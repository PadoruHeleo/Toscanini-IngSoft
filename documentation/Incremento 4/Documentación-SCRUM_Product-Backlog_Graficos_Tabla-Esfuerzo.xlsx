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Francisco\Downloads\"/>
    </mc:Choice>
  </mc:AlternateContent>
  <xr:revisionPtr revIDLastSave="0" documentId="13_ncr:1_{E770C893-FFCF-409E-A43A-135036974BA5}" xr6:coauthVersionLast="47" xr6:coauthVersionMax="47" xr10:uidLastSave="{00000000-0000-0000-0000-000000000000}"/>
  <bookViews>
    <workbookView xWindow="13590" yWindow="2145" windowWidth="22245" windowHeight="17355" firstSheet="1" activeTab="1" xr2:uid="{00000000-000D-0000-FFFF-FFFF00000000}"/>
  </bookViews>
  <sheets>
    <sheet name="Division Incrementos" sheetId="1" r:id="rId1"/>
    <sheet name="ProductSprint Backlog" sheetId="2" r:id="rId2"/>
    <sheet name="BurnUp-Down INC 4" sheetId="4" r:id="rId3"/>
    <sheet name="Registro de HH INC4" sheetId="5" r:id="rId4"/>
    <sheet name="Tabla de Esfuerzo INC4 SPT5" sheetId="6" r:id="rId5"/>
    <sheet name="Aux Esfuerzo Estimado INC4 SPT5" sheetId="7" r:id="rId6"/>
    <sheet name="BurnUp-Down INC 3" sheetId="8" r:id="rId7"/>
    <sheet name="Registro de HH INC3" sheetId="9" r:id="rId8"/>
    <sheet name="Tabla de Esfuerzo INC3 SPT4" sheetId="10" r:id="rId9"/>
    <sheet name="Aux Esfuerzo Estimado INC3 SPT4" sheetId="11" r:id="rId10"/>
    <sheet name="BurnUp-Down INC 2" sheetId="12" r:id="rId11"/>
    <sheet name="Registro de HH INC2" sheetId="13" r:id="rId12"/>
    <sheet name="Tabla de Esfuerzo INC2 SPT2" sheetId="14" r:id="rId13"/>
    <sheet name="Tabla de Esfuerzo INC2 SPT1" sheetId="15" r:id="rId14"/>
    <sheet name="BurnUp-BurnDown INC 1" sheetId="16" r:id="rId15"/>
    <sheet name="Tabla de Esfuerzo" sheetId="17" r:id="rId16"/>
    <sheet name="Aux Esfuerzo Estimado INC2 SPT2" sheetId="18" r:id="rId17"/>
    <sheet name="Aux Esfuerzo Estimado INC2 SPT1" sheetId="19" r:id="rId18"/>
    <sheet name="Auxiliar Esfuerzo Estimado" sheetId="20" r:id="rId19"/>
    <sheet name="Auxiliar EsfuerzoDia" sheetId="21"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1" l="1" a="1"/>
  <c r="B4" i="21" s="1"/>
  <c r="C4" i="21" a="1"/>
  <c r="C4" i="21" s="1"/>
  <c r="D4" i="21" a="1"/>
  <c r="D4" i="21" s="1"/>
  <c r="E4" i="21" a="1"/>
  <c r="E4" i="21"/>
  <c r="F4" i="21" a="1"/>
  <c r="F4" i="21"/>
  <c r="G4" i="21" a="1"/>
  <c r="G4" i="21" s="1"/>
  <c r="H4" i="21" a="1"/>
  <c r="H4" i="21" s="1"/>
  <c r="I4" i="21" a="1"/>
  <c r="I4" i="21" s="1"/>
  <c r="J4" i="21" a="1"/>
  <c r="J4" i="21" s="1"/>
  <c r="K4" i="21" a="1"/>
  <c r="K4" i="21" s="1"/>
  <c r="L4" i="21" a="1"/>
  <c r="L4" i="21" s="1"/>
  <c r="M4" i="21" a="1"/>
  <c r="M4" i="21" s="1"/>
  <c r="N4" i="21" a="1"/>
  <c r="N4" i="21" s="1"/>
  <c r="O4" i="21" a="1"/>
  <c r="O4" i="21" s="1"/>
  <c r="P4" i="21" a="1"/>
  <c r="P4" i="21" s="1"/>
  <c r="B5" i="21" a="1"/>
  <c r="B5" i="21" s="1"/>
  <c r="C5" i="21" a="1"/>
  <c r="C5" i="21" s="1"/>
  <c r="D5" i="21" a="1"/>
  <c r="D5" i="21" s="1"/>
  <c r="E5" i="21" a="1"/>
  <c r="E5" i="21" s="1"/>
  <c r="F5" i="21" a="1"/>
  <c r="F5" i="21" s="1"/>
  <c r="G5" i="21" a="1"/>
  <c r="G5" i="21" s="1"/>
  <c r="H5" i="21" a="1"/>
  <c r="H5" i="21" s="1"/>
  <c r="I5" i="21" a="1"/>
  <c r="I5" i="21" s="1"/>
  <c r="J5" i="21" a="1"/>
  <c r="J5" i="21"/>
  <c r="K5" i="21" a="1"/>
  <c r="K5" i="21" s="1"/>
  <c r="L5" i="21" a="1"/>
  <c r="L5" i="21" s="1"/>
  <c r="M5" i="21" a="1"/>
  <c r="M5" i="21" s="1"/>
  <c r="N5" i="21" a="1"/>
  <c r="N5" i="21" s="1"/>
  <c r="O5" i="21" a="1"/>
  <c r="O5" i="21" s="1"/>
  <c r="P5" i="21" a="1"/>
  <c r="P5" i="21" s="1"/>
  <c r="B6" i="21" a="1"/>
  <c r="B6" i="21" s="1"/>
  <c r="C6" i="21" a="1"/>
  <c r="C6" i="21" s="1"/>
  <c r="D6" i="21" a="1"/>
  <c r="D6" i="21" s="1"/>
  <c r="E6" i="21" a="1"/>
  <c r="E6" i="21" s="1"/>
  <c r="F6" i="21" a="1"/>
  <c r="F6" i="21" s="1"/>
  <c r="G6" i="21" a="1"/>
  <c r="G6" i="21"/>
  <c r="H6" i="21" a="1"/>
  <c r="H6" i="21" s="1"/>
  <c r="I6" i="21" a="1"/>
  <c r="I6" i="21" s="1"/>
  <c r="J6" i="21" a="1"/>
  <c r="J6" i="21" s="1"/>
  <c r="K6" i="21" a="1"/>
  <c r="K6" i="21" s="1"/>
  <c r="L6" i="21" a="1"/>
  <c r="L6" i="21" s="1"/>
  <c r="M6" i="21" a="1"/>
  <c r="M6" i="21"/>
  <c r="N6" i="21" a="1"/>
  <c r="N6" i="21" s="1"/>
  <c r="O6" i="21" a="1"/>
  <c r="O6" i="21" s="1"/>
  <c r="P6" i="21" a="1"/>
  <c r="P6" i="21" s="1"/>
  <c r="B7" i="21" a="1"/>
  <c r="B7" i="21" s="1"/>
  <c r="C7" i="21" a="1"/>
  <c r="C7" i="21" s="1"/>
  <c r="D7" i="21" a="1"/>
  <c r="D7" i="21"/>
  <c r="E7" i="21" a="1"/>
  <c r="E7" i="21" s="1"/>
  <c r="F7" i="21" a="1"/>
  <c r="F7" i="21" s="1"/>
  <c r="G7" i="21" a="1"/>
  <c r="G7" i="21" s="1"/>
  <c r="H7" i="21" a="1"/>
  <c r="H7" i="21" s="1"/>
  <c r="I7" i="21" a="1"/>
  <c r="I7" i="21" s="1"/>
  <c r="J7" i="21" a="1"/>
  <c r="J7" i="21"/>
  <c r="K7" i="21" a="1"/>
  <c r="K7" i="21" s="1"/>
  <c r="L7" i="21" a="1"/>
  <c r="L7" i="21" s="1"/>
  <c r="M7" i="21" a="1"/>
  <c r="M7" i="21" s="1"/>
  <c r="N7" i="21" a="1"/>
  <c r="N7" i="21" s="1"/>
  <c r="O7" i="21" a="1"/>
  <c r="O7" i="21" s="1"/>
  <c r="P7" i="21" a="1"/>
  <c r="P7" i="21" s="1"/>
  <c r="B8" i="21" a="1"/>
  <c r="B8" i="21" s="1"/>
  <c r="C8" i="21" a="1"/>
  <c r="C8" i="21" s="1"/>
  <c r="D8" i="21" a="1"/>
  <c r="D8" i="21" s="1"/>
  <c r="E8" i="21" a="1"/>
  <c r="E8" i="21" s="1"/>
  <c r="F8" i="21" a="1"/>
  <c r="F8" i="21" s="1"/>
  <c r="G8" i="21" a="1"/>
  <c r="G8" i="21"/>
  <c r="H8" i="21" a="1"/>
  <c r="H8" i="21" s="1"/>
  <c r="I8" i="21" a="1"/>
  <c r="I8" i="21" s="1"/>
  <c r="J8" i="21" a="1"/>
  <c r="J8" i="21" s="1"/>
  <c r="K8" i="21" a="1"/>
  <c r="K8" i="21" s="1"/>
  <c r="L8" i="21" a="1"/>
  <c r="L8" i="21" s="1"/>
  <c r="M8" i="21" a="1"/>
  <c r="M8" i="21"/>
  <c r="N8" i="21" a="1"/>
  <c r="N8" i="21" s="1"/>
  <c r="O8" i="21" a="1"/>
  <c r="O8" i="21" s="1"/>
  <c r="P8" i="21" a="1"/>
  <c r="P8" i="21" s="1"/>
  <c r="B9" i="21" a="1"/>
  <c r="B9" i="21" s="1"/>
  <c r="C9" i="21" a="1"/>
  <c r="C9" i="21" s="1"/>
  <c r="D9" i="21" a="1"/>
  <c r="D9" i="21" s="1"/>
  <c r="E9" i="21" a="1"/>
  <c r="E9" i="21" s="1"/>
  <c r="F9" i="21" a="1"/>
  <c r="F9" i="21" s="1"/>
  <c r="G9" i="21" a="1"/>
  <c r="G9" i="21" s="1"/>
  <c r="H9" i="21" a="1"/>
  <c r="H9" i="21" s="1"/>
  <c r="I9" i="21" a="1"/>
  <c r="I9" i="21" s="1"/>
  <c r="J9" i="21" a="1"/>
  <c r="J9" i="21" s="1"/>
  <c r="K9" i="21" a="1"/>
  <c r="K9" i="21" s="1"/>
  <c r="L9" i="21" a="1"/>
  <c r="L9" i="21" s="1"/>
  <c r="M9" i="21" a="1"/>
  <c r="M9" i="21" s="1"/>
  <c r="N9" i="21" a="1"/>
  <c r="N9" i="21" s="1"/>
  <c r="O9" i="21" a="1"/>
  <c r="O9" i="21" s="1"/>
  <c r="P9" i="21" a="1"/>
  <c r="P9" i="21" s="1"/>
  <c r="B10" i="21" a="1"/>
  <c r="B10" i="21" s="1"/>
  <c r="C10" i="21" a="1"/>
  <c r="C10" i="21" s="1"/>
  <c r="D10" i="21" a="1"/>
  <c r="D10" i="21" s="1"/>
  <c r="E10" i="21" a="1"/>
  <c r="E10" i="21" s="1"/>
  <c r="F10" i="21" a="1"/>
  <c r="F10" i="21" s="1"/>
  <c r="G10" i="21" a="1"/>
  <c r="G10" i="21"/>
  <c r="H10" i="21" a="1"/>
  <c r="H10" i="21" s="1"/>
  <c r="I10" i="21" a="1"/>
  <c r="I10" i="21" s="1"/>
  <c r="J10" i="21" a="1"/>
  <c r="J10" i="21" s="1"/>
  <c r="K10" i="21" a="1"/>
  <c r="K10" i="21" s="1"/>
  <c r="L10" i="21" a="1"/>
  <c r="L10" i="21" s="1"/>
  <c r="M10" i="21" a="1"/>
  <c r="M10" i="21" s="1"/>
  <c r="N10" i="21" a="1"/>
  <c r="N10" i="21" s="1"/>
  <c r="O10" i="21" a="1"/>
  <c r="O10" i="21" s="1"/>
  <c r="P10" i="21" a="1"/>
  <c r="P10" i="21" s="1"/>
  <c r="B11" i="21" a="1"/>
  <c r="B11" i="21" s="1"/>
  <c r="C11" i="21" a="1"/>
  <c r="C11" i="21" s="1"/>
  <c r="D11" i="21" a="1"/>
  <c r="D11" i="21"/>
  <c r="E11" i="21" a="1"/>
  <c r="E11" i="21" s="1"/>
  <c r="F11" i="21" a="1"/>
  <c r="F11" i="21" s="1"/>
  <c r="G11" i="21" a="1"/>
  <c r="G11" i="21" s="1"/>
  <c r="H11" i="21" a="1"/>
  <c r="H11" i="21" s="1"/>
  <c r="I11" i="21" a="1"/>
  <c r="I11" i="21" s="1"/>
  <c r="J11" i="21" a="1"/>
  <c r="J11" i="21"/>
  <c r="K11" i="21" a="1"/>
  <c r="K11" i="21" s="1"/>
  <c r="L11" i="21" a="1"/>
  <c r="L11" i="21" s="1"/>
  <c r="M11" i="21" a="1"/>
  <c r="M11" i="21" s="1"/>
  <c r="N11" i="21" a="1"/>
  <c r="N11" i="21" s="1"/>
  <c r="O11" i="21" a="1"/>
  <c r="O11" i="21" s="1"/>
  <c r="P11" i="21" a="1"/>
  <c r="P11" i="21"/>
  <c r="B12" i="21" a="1"/>
  <c r="B12" i="21" s="1"/>
  <c r="C12" i="21" a="1"/>
  <c r="C12" i="21" s="1"/>
  <c r="D12" i="21" a="1"/>
  <c r="D12" i="21" s="1"/>
  <c r="E12" i="21" a="1"/>
  <c r="E12" i="21" s="1"/>
  <c r="F12" i="21" a="1"/>
  <c r="F12" i="21" s="1"/>
  <c r="G12" i="21" a="1"/>
  <c r="G12" i="21"/>
  <c r="H12" i="21" a="1"/>
  <c r="H12" i="21" s="1"/>
  <c r="I12" i="21" a="1"/>
  <c r="I12" i="21" s="1"/>
  <c r="J12" i="21" a="1"/>
  <c r="J12" i="21" s="1"/>
  <c r="K12" i="21" a="1"/>
  <c r="K12" i="21" s="1"/>
  <c r="L12" i="21" a="1"/>
  <c r="L12" i="21" s="1"/>
  <c r="M12" i="21" a="1"/>
  <c r="M12" i="21" s="1"/>
  <c r="N12" i="21" a="1"/>
  <c r="N12" i="21" s="1"/>
  <c r="O12" i="21" a="1"/>
  <c r="O12" i="21" s="1"/>
  <c r="P12" i="21" a="1"/>
  <c r="P12" i="21" s="1"/>
  <c r="B13" i="21" a="1"/>
  <c r="B13" i="21" s="1"/>
  <c r="C13" i="21" a="1"/>
  <c r="C13" i="21" s="1"/>
  <c r="D13" i="21" a="1"/>
  <c r="D13" i="21"/>
  <c r="E13" i="21" a="1"/>
  <c r="E13" i="21" s="1"/>
  <c r="F13" i="21" a="1"/>
  <c r="F13" i="21" s="1"/>
  <c r="G13" i="21" a="1"/>
  <c r="G13" i="21" s="1"/>
  <c r="H13" i="21" a="1"/>
  <c r="H13" i="21" s="1"/>
  <c r="I13" i="21" a="1"/>
  <c r="I13" i="21" s="1"/>
  <c r="J13" i="21" a="1"/>
  <c r="J13" i="21" s="1"/>
  <c r="K13" i="21" a="1"/>
  <c r="K13" i="21" s="1"/>
  <c r="L13" i="21" a="1"/>
  <c r="L13" i="21" s="1"/>
  <c r="M13" i="21" a="1"/>
  <c r="M13" i="21" s="1"/>
  <c r="N13" i="21" a="1"/>
  <c r="N13" i="21" s="1"/>
  <c r="O13" i="21" a="1"/>
  <c r="O13" i="21" s="1"/>
  <c r="P13" i="21" a="1"/>
  <c r="P13" i="21" s="1"/>
  <c r="B14" i="21" a="1"/>
  <c r="B14" i="21" s="1"/>
  <c r="C14" i="21" a="1"/>
  <c r="C14" i="21" s="1"/>
  <c r="D14" i="21" a="1"/>
  <c r="D14" i="21" s="1"/>
  <c r="E14" i="21" a="1"/>
  <c r="E14" i="21" s="1"/>
  <c r="F14" i="21" a="1"/>
  <c r="F14" i="21" s="1"/>
  <c r="G14" i="21" a="1"/>
  <c r="G14" i="21" s="1"/>
  <c r="H14" i="21" a="1"/>
  <c r="H14" i="21" s="1"/>
  <c r="I14" i="21" a="1"/>
  <c r="I14" i="21" s="1"/>
  <c r="J14" i="21" a="1"/>
  <c r="J14" i="21" s="1"/>
  <c r="K14" i="21" a="1"/>
  <c r="K14" i="21" s="1"/>
  <c r="L14" i="21" a="1"/>
  <c r="L14" i="21" s="1"/>
  <c r="M14" i="21" a="1"/>
  <c r="M14" i="21"/>
  <c r="N14" i="21" a="1"/>
  <c r="N14" i="21" s="1"/>
  <c r="O14" i="21" a="1"/>
  <c r="O14" i="21" s="1"/>
  <c r="P14" i="21" a="1"/>
  <c r="P14" i="21" s="1"/>
  <c r="B15" i="21" a="1"/>
  <c r="B15" i="21" s="1"/>
  <c r="C15" i="21" a="1"/>
  <c r="C15" i="21" s="1"/>
  <c r="D15" i="21" a="1"/>
  <c r="D15" i="21"/>
  <c r="E15" i="21" a="1"/>
  <c r="E15" i="21" s="1"/>
  <c r="F15" i="21" a="1"/>
  <c r="F15" i="21" s="1"/>
  <c r="G15" i="21" a="1"/>
  <c r="G15" i="21" s="1"/>
  <c r="H15" i="21" a="1"/>
  <c r="H15" i="21" s="1"/>
  <c r="I15" i="21" a="1"/>
  <c r="I15" i="21" s="1"/>
  <c r="J15" i="21" a="1"/>
  <c r="J15" i="21" s="1"/>
  <c r="K15" i="21" a="1"/>
  <c r="K15" i="21" s="1"/>
  <c r="L15" i="21" a="1"/>
  <c r="L15" i="21" s="1"/>
  <c r="M15" i="21" a="1"/>
  <c r="M15" i="21" s="1"/>
  <c r="N15" i="21" a="1"/>
  <c r="N15" i="21" s="1"/>
  <c r="O15" i="21" a="1"/>
  <c r="O15" i="21" s="1"/>
  <c r="P15" i="21" a="1"/>
  <c r="P15" i="21"/>
  <c r="B16" i="21" a="1"/>
  <c r="B16" i="21" s="1"/>
  <c r="C16" i="21" a="1"/>
  <c r="C16" i="21" s="1"/>
  <c r="D16" i="21" a="1"/>
  <c r="D16" i="21" s="1"/>
  <c r="E16" i="21" a="1"/>
  <c r="E16" i="21" s="1"/>
  <c r="F16" i="21" a="1"/>
  <c r="F16" i="21" s="1"/>
  <c r="G16" i="21" a="1"/>
  <c r="G16" i="21"/>
  <c r="H16" i="21" a="1"/>
  <c r="H16" i="21" s="1"/>
  <c r="I16" i="21" a="1"/>
  <c r="I16" i="21" s="1"/>
  <c r="J16" i="21" a="1"/>
  <c r="J16" i="21" s="1"/>
  <c r="K16" i="21" a="1"/>
  <c r="K16" i="21" s="1"/>
  <c r="L16" i="21" a="1"/>
  <c r="L16" i="21" s="1"/>
  <c r="M16" i="21" a="1"/>
  <c r="M16" i="21"/>
  <c r="N16" i="21" a="1"/>
  <c r="N16" i="21" s="1"/>
  <c r="O16" i="21" a="1"/>
  <c r="O16" i="21" s="1"/>
  <c r="P16" i="21" a="1"/>
  <c r="P16" i="21" s="1"/>
  <c r="B17" i="21" a="1"/>
  <c r="B17" i="21" s="1"/>
  <c r="C17" i="21" a="1"/>
  <c r="C17" i="21" s="1"/>
  <c r="D17" i="21" a="1"/>
  <c r="D17" i="21" s="1"/>
  <c r="E17" i="21" a="1"/>
  <c r="E17" i="21" s="1"/>
  <c r="F17" i="21" a="1"/>
  <c r="F17" i="21" s="1"/>
  <c r="G17" i="21" a="1"/>
  <c r="G17" i="21" s="1"/>
  <c r="H17" i="21" a="1"/>
  <c r="H17" i="21" s="1"/>
  <c r="I17" i="21" a="1"/>
  <c r="I17" i="21" s="1"/>
  <c r="J17" i="21" a="1"/>
  <c r="J17" i="21" s="1"/>
  <c r="K17" i="21" a="1"/>
  <c r="K17" i="21" s="1"/>
  <c r="L17" i="21" a="1"/>
  <c r="L17" i="21" s="1"/>
  <c r="M17" i="21" a="1"/>
  <c r="M17" i="21" s="1"/>
  <c r="N17" i="21" a="1"/>
  <c r="N17" i="21" s="1"/>
  <c r="O17" i="21" a="1"/>
  <c r="O17" i="21" s="1"/>
  <c r="P17" i="21" a="1"/>
  <c r="P17" i="21"/>
  <c r="B18" i="21" a="1"/>
  <c r="B18" i="21" s="1"/>
  <c r="C18" i="21" a="1"/>
  <c r="C18" i="21" s="1"/>
  <c r="D18" i="21" a="1"/>
  <c r="D18" i="21" s="1"/>
  <c r="E18" i="21" a="1"/>
  <c r="E18" i="21" s="1"/>
  <c r="F18" i="21" a="1"/>
  <c r="F18" i="21" s="1"/>
  <c r="G18" i="21" a="1"/>
  <c r="G18" i="21" s="1"/>
  <c r="H18" i="21" a="1"/>
  <c r="H18" i="21" s="1"/>
  <c r="I18" i="21" a="1"/>
  <c r="I18" i="21" s="1"/>
  <c r="J18" i="21" a="1"/>
  <c r="J18" i="21" s="1"/>
  <c r="K18" i="21" a="1"/>
  <c r="K18" i="21" s="1"/>
  <c r="L18" i="21" a="1"/>
  <c r="L18" i="21" s="1"/>
  <c r="M18" i="21" a="1"/>
  <c r="M18" i="21" s="1"/>
  <c r="N18" i="21" a="1"/>
  <c r="N18" i="21" s="1"/>
  <c r="O18" i="21" a="1"/>
  <c r="O18" i="21" s="1"/>
  <c r="P18" i="21" a="1"/>
  <c r="P18" i="21" s="1"/>
  <c r="B19" i="21" a="1"/>
  <c r="B19" i="21" s="1"/>
  <c r="C19" i="21" a="1"/>
  <c r="C19" i="21" s="1"/>
  <c r="D19" i="21" a="1"/>
  <c r="D19" i="21" s="1"/>
  <c r="E19" i="21" a="1"/>
  <c r="E19" i="21" s="1"/>
  <c r="F19" i="21" a="1"/>
  <c r="F19" i="21" s="1"/>
  <c r="G19" i="21" a="1"/>
  <c r="G19" i="21" s="1"/>
  <c r="H19" i="21" a="1"/>
  <c r="H19" i="21" s="1"/>
  <c r="I19" i="21" a="1"/>
  <c r="I19" i="21" s="1"/>
  <c r="J19" i="21" a="1"/>
  <c r="J19" i="21" s="1"/>
  <c r="K19" i="21" a="1"/>
  <c r="K19" i="21" s="1"/>
  <c r="L19" i="21" a="1"/>
  <c r="L19" i="21" s="1"/>
  <c r="M19" i="21" a="1"/>
  <c r="M19" i="21" s="1"/>
  <c r="N19" i="21" a="1"/>
  <c r="N19" i="21" s="1"/>
  <c r="O19" i="21" a="1"/>
  <c r="O19" i="21" s="1"/>
  <c r="P19" i="21" a="1"/>
  <c r="P19" i="21"/>
  <c r="B20" i="21" a="1"/>
  <c r="B20" i="21" s="1"/>
  <c r="C20" i="21" a="1"/>
  <c r="C20" i="21" s="1"/>
  <c r="D20" i="21" a="1"/>
  <c r="D20" i="21" s="1"/>
  <c r="E20" i="21" a="1"/>
  <c r="E20" i="21" s="1"/>
  <c r="F20" i="21" a="1"/>
  <c r="F20" i="21" s="1"/>
  <c r="G20" i="21" a="1"/>
  <c r="G20" i="21" s="1"/>
  <c r="H20" i="21" a="1"/>
  <c r="H20" i="21" s="1"/>
  <c r="I20" i="21" a="1"/>
  <c r="I20" i="21" s="1"/>
  <c r="J20" i="21" a="1"/>
  <c r="J20" i="21" s="1"/>
  <c r="K20" i="21" a="1"/>
  <c r="K20" i="21" s="1"/>
  <c r="L20" i="21" a="1"/>
  <c r="L20" i="21" s="1"/>
  <c r="M20" i="21" a="1"/>
  <c r="M20" i="21"/>
  <c r="N20" i="21" a="1"/>
  <c r="N20" i="21" s="1"/>
  <c r="O20" i="21" a="1"/>
  <c r="O20" i="21" s="1"/>
  <c r="P20" i="21" a="1"/>
  <c r="P20" i="21" s="1"/>
  <c r="B21" i="21" a="1"/>
  <c r="B21" i="21" s="1"/>
  <c r="C21" i="21" a="1"/>
  <c r="C21" i="21" s="1"/>
  <c r="D21" i="21" a="1"/>
  <c r="D21" i="21"/>
  <c r="E21" i="21" a="1"/>
  <c r="E21" i="21" s="1"/>
  <c r="F21" i="21" a="1"/>
  <c r="F21" i="21" s="1"/>
  <c r="G21" i="21" a="1"/>
  <c r="G21" i="21" s="1"/>
  <c r="H21" i="21" a="1"/>
  <c r="H21" i="21" s="1"/>
  <c r="I21" i="21" a="1"/>
  <c r="I21" i="21" s="1"/>
  <c r="J21" i="21" a="1"/>
  <c r="J21" i="21"/>
  <c r="K21" i="21" a="1"/>
  <c r="K21" i="21" s="1"/>
  <c r="L21" i="21" a="1"/>
  <c r="L21" i="21" s="1"/>
  <c r="M21" i="21" a="1"/>
  <c r="M21" i="21" s="1"/>
  <c r="N21" i="21" a="1"/>
  <c r="N21" i="21" s="1"/>
  <c r="O21" i="21" a="1"/>
  <c r="O21" i="21" s="1"/>
  <c r="P21" i="21" a="1"/>
  <c r="P21" i="21" s="1"/>
  <c r="B22" i="21" a="1"/>
  <c r="B22" i="21" s="1"/>
  <c r="C22" i="21" a="1"/>
  <c r="C22" i="21" s="1"/>
  <c r="D22" i="21" a="1"/>
  <c r="D22" i="21" s="1"/>
  <c r="E22" i="21" a="1"/>
  <c r="E22" i="21" s="1"/>
  <c r="F22" i="21" a="1"/>
  <c r="F22" i="21" s="1"/>
  <c r="G22" i="21" a="1"/>
  <c r="G22" i="21" s="1"/>
  <c r="H22" i="21" a="1"/>
  <c r="H22" i="21" s="1"/>
  <c r="I22" i="21" a="1"/>
  <c r="I22" i="21" s="1"/>
  <c r="J22" i="21" a="1"/>
  <c r="J22" i="21" s="1"/>
  <c r="K22" i="21" a="1"/>
  <c r="K22" i="21" s="1"/>
  <c r="L22" i="21" a="1"/>
  <c r="L22" i="21" s="1"/>
  <c r="M22" i="21" a="1"/>
  <c r="M22" i="21"/>
  <c r="N22" i="21" a="1"/>
  <c r="N22" i="21" s="1"/>
  <c r="O22" i="21" a="1"/>
  <c r="O22" i="21" s="1"/>
  <c r="P22" i="21" a="1"/>
  <c r="P22" i="21" s="1"/>
  <c r="B23" i="21" a="1"/>
  <c r="B23" i="21" s="1"/>
  <c r="C23" i="21" a="1"/>
  <c r="C23" i="21" s="1"/>
  <c r="D23" i="21" a="1"/>
  <c r="D23" i="21" s="1"/>
  <c r="E23" i="21" a="1"/>
  <c r="E23" i="21" s="1"/>
  <c r="F23" i="21" a="1"/>
  <c r="F23" i="21" s="1"/>
  <c r="G23" i="21" a="1"/>
  <c r="G23" i="21" s="1"/>
  <c r="H23" i="21" a="1"/>
  <c r="H23" i="21" s="1"/>
  <c r="I23" i="21" a="1"/>
  <c r="I23" i="21" s="1"/>
  <c r="J23" i="21" a="1"/>
  <c r="J23" i="21" s="1"/>
  <c r="K23" i="21" a="1"/>
  <c r="K23" i="21" s="1"/>
  <c r="L23" i="21" a="1"/>
  <c r="L23" i="21" s="1"/>
  <c r="M23" i="21" a="1"/>
  <c r="M23" i="21" s="1"/>
  <c r="N23" i="21" a="1"/>
  <c r="N23" i="21" s="1"/>
  <c r="O23" i="21" a="1"/>
  <c r="O23" i="21" s="1"/>
  <c r="P23" i="21" a="1"/>
  <c r="P23" i="21" s="1"/>
  <c r="B24" i="21" a="1"/>
  <c r="B24" i="21" s="1"/>
  <c r="C24" i="21" a="1"/>
  <c r="C24" i="21" s="1"/>
  <c r="D24" i="21" a="1"/>
  <c r="D24" i="21" s="1"/>
  <c r="E24" i="21" a="1"/>
  <c r="E24" i="21" s="1"/>
  <c r="F24" i="21" a="1"/>
  <c r="F24" i="21" s="1"/>
  <c r="G24" i="21" a="1"/>
  <c r="G24" i="21"/>
  <c r="H24" i="21" a="1"/>
  <c r="H24" i="21" s="1"/>
  <c r="I24" i="21" a="1"/>
  <c r="I24" i="21" s="1"/>
  <c r="J24" i="21" a="1"/>
  <c r="J24" i="21" s="1"/>
  <c r="K24" i="21" a="1"/>
  <c r="K24" i="21" s="1"/>
  <c r="L24" i="21" a="1"/>
  <c r="L24" i="21" s="1"/>
  <c r="M24" i="21" a="1"/>
  <c r="M24" i="21"/>
  <c r="N24" i="21" a="1"/>
  <c r="N24" i="21" s="1"/>
  <c r="O24" i="21" a="1"/>
  <c r="O24" i="21" s="1"/>
  <c r="P24" i="21" a="1"/>
  <c r="P24" i="21" s="1"/>
  <c r="B25" i="21" a="1"/>
  <c r="B25" i="21" s="1"/>
  <c r="C25" i="21" a="1"/>
  <c r="C25" i="21" s="1"/>
  <c r="D25" i="21" a="1"/>
  <c r="D25" i="21" s="1"/>
  <c r="E25" i="21" a="1"/>
  <c r="E25" i="21" s="1"/>
  <c r="F25" i="21" a="1"/>
  <c r="F25" i="21" s="1"/>
  <c r="G25" i="21" a="1"/>
  <c r="G25" i="21" s="1"/>
  <c r="H25" i="21" a="1"/>
  <c r="H25" i="21" s="1"/>
  <c r="I25" i="21" a="1"/>
  <c r="I25" i="21" s="1"/>
  <c r="J25" i="21" a="1"/>
  <c r="J25" i="21"/>
  <c r="K25" i="21" a="1"/>
  <c r="K25" i="21" s="1"/>
  <c r="L25" i="21" a="1"/>
  <c r="L25" i="21" s="1"/>
  <c r="M25" i="21" a="1"/>
  <c r="M25" i="21" s="1"/>
  <c r="N25" i="21" a="1"/>
  <c r="N25" i="21" s="1"/>
  <c r="O25" i="21" a="1"/>
  <c r="O25" i="21" s="1"/>
  <c r="P25" i="21" a="1"/>
  <c r="P25" i="21"/>
  <c r="B26" i="21" a="1"/>
  <c r="B26" i="21" s="1"/>
  <c r="C26" i="21" a="1"/>
  <c r="C26" i="21" s="1"/>
  <c r="D26" i="21" a="1"/>
  <c r="D26" i="21" s="1"/>
  <c r="E26" i="21" a="1"/>
  <c r="E26" i="21"/>
  <c r="F26" i="21" a="1"/>
  <c r="F26" i="21" s="1"/>
  <c r="G26" i="21" a="1"/>
  <c r="G26" i="21"/>
  <c r="H26" i="21" a="1"/>
  <c r="H26" i="21" s="1"/>
  <c r="I26" i="21" a="1"/>
  <c r="I26" i="21" s="1"/>
  <c r="J26" i="21" a="1"/>
  <c r="J26" i="21" s="1"/>
  <c r="K26" i="21" a="1"/>
  <c r="K26" i="21" s="1"/>
  <c r="L26" i="21" a="1"/>
  <c r="L26" i="21" s="1"/>
  <c r="M26" i="21" a="1"/>
  <c r="M26" i="21"/>
  <c r="N26" i="21" a="1"/>
  <c r="N26" i="21" s="1"/>
  <c r="O26" i="21" a="1"/>
  <c r="O26" i="21" s="1"/>
  <c r="P26" i="21" a="1"/>
  <c r="P26" i="21" s="1"/>
  <c r="B27" i="21" a="1"/>
  <c r="B27" i="21" s="1"/>
  <c r="C27" i="21" a="1"/>
  <c r="C27" i="21" s="1"/>
  <c r="D27" i="21" a="1"/>
  <c r="D27" i="21"/>
  <c r="E27" i="21" a="1"/>
  <c r="E27" i="21" s="1"/>
  <c r="F27" i="21" a="1"/>
  <c r="F27" i="21" s="1"/>
  <c r="G27" i="21" a="1"/>
  <c r="G27" i="21" s="1"/>
  <c r="H27" i="21" a="1"/>
  <c r="H27" i="21"/>
  <c r="I27" i="21" a="1"/>
  <c r="I27" i="21" s="1"/>
  <c r="J27" i="21" a="1"/>
  <c r="J27" i="21" s="1"/>
  <c r="K27" i="21" a="1"/>
  <c r="K27" i="21" s="1"/>
  <c r="L27" i="21" a="1"/>
  <c r="L27" i="21" s="1"/>
  <c r="M27" i="21" a="1"/>
  <c r="M27" i="21" s="1"/>
  <c r="N27" i="21" a="1"/>
  <c r="N27" i="21" s="1"/>
  <c r="O27" i="21" a="1"/>
  <c r="O27" i="21" s="1"/>
  <c r="P27" i="21" a="1"/>
  <c r="P27" i="21"/>
  <c r="B28" i="21" a="1"/>
  <c r="B28" i="21" s="1"/>
  <c r="C28" i="21" a="1"/>
  <c r="C28" i="21" s="1"/>
  <c r="D28" i="21" a="1"/>
  <c r="D28" i="21" s="1"/>
  <c r="E28" i="21" a="1"/>
  <c r="E28" i="21" s="1"/>
  <c r="F28" i="21" a="1"/>
  <c r="F28" i="21" s="1"/>
  <c r="G28" i="21" a="1"/>
  <c r="G28" i="21"/>
  <c r="H28" i="21" a="1"/>
  <c r="H28" i="21" s="1"/>
  <c r="I28" i="21" a="1"/>
  <c r="I28" i="21" s="1"/>
  <c r="J28" i="21" a="1"/>
  <c r="J28" i="21" s="1"/>
  <c r="K28" i="21" a="1"/>
  <c r="K28" i="21"/>
  <c r="L28" i="21" a="1"/>
  <c r="L28" i="21" s="1"/>
  <c r="M28" i="21" a="1"/>
  <c r="M28" i="21"/>
  <c r="N28" i="21" a="1"/>
  <c r="N28" i="21" s="1"/>
  <c r="O28" i="21" a="1"/>
  <c r="O28" i="21" s="1"/>
  <c r="P28" i="21" a="1"/>
  <c r="P28" i="21" s="1"/>
  <c r="B29" i="21" a="1"/>
  <c r="B29" i="21" s="1"/>
  <c r="C29" i="21" a="1"/>
  <c r="C29" i="21" s="1"/>
  <c r="D29" i="21" a="1"/>
  <c r="D29" i="21"/>
  <c r="E29" i="21" a="1"/>
  <c r="E29" i="21" s="1"/>
  <c r="F29" i="21" a="1"/>
  <c r="F29" i="21" s="1"/>
  <c r="G29" i="21" a="1"/>
  <c r="G29" i="21" s="1"/>
  <c r="H29" i="21" a="1"/>
  <c r="H29" i="21" s="1"/>
  <c r="I29" i="21" a="1"/>
  <c r="I29" i="21" s="1"/>
  <c r="J29" i="21" a="1"/>
  <c r="J29" i="21"/>
  <c r="K29" i="21" a="1"/>
  <c r="K29" i="21" s="1"/>
  <c r="L29" i="21" a="1"/>
  <c r="L29" i="21" s="1"/>
  <c r="M29" i="21" a="1"/>
  <c r="M29" i="21" s="1"/>
  <c r="N29" i="21" a="1"/>
  <c r="N29" i="21"/>
  <c r="O29" i="21" a="1"/>
  <c r="O29" i="21" s="1"/>
  <c r="P29" i="21" a="1"/>
  <c r="P29" i="21" s="1"/>
  <c r="B30" i="21" a="1"/>
  <c r="B30" i="21" s="1"/>
  <c r="C30" i="21" a="1"/>
  <c r="C30" i="21" s="1"/>
  <c r="D30" i="21" a="1"/>
  <c r="D30" i="21" s="1"/>
  <c r="E30" i="21" a="1"/>
  <c r="E30" i="21" s="1"/>
  <c r="F30" i="21" a="1"/>
  <c r="F30" i="21" s="1"/>
  <c r="G30" i="21" a="1"/>
  <c r="G30" i="21"/>
  <c r="H30" i="21" a="1"/>
  <c r="H30" i="21" s="1"/>
  <c r="I30" i="21" a="1"/>
  <c r="I30" i="21" s="1"/>
  <c r="J30" i="21" a="1"/>
  <c r="J30" i="21" s="1"/>
  <c r="K30" i="21" a="1"/>
  <c r="K30" i="21" s="1"/>
  <c r="L30" i="21" a="1"/>
  <c r="L30" i="21" s="1"/>
  <c r="M30" i="21" a="1"/>
  <c r="M30" i="21"/>
  <c r="N30" i="21" a="1"/>
  <c r="N30" i="21" s="1"/>
  <c r="O30" i="21" a="1"/>
  <c r="O30" i="21" s="1"/>
  <c r="P30" i="21" a="1"/>
  <c r="P30" i="21" s="1"/>
  <c r="B31" i="21" a="1"/>
  <c r="B31" i="21"/>
  <c r="C31" i="21" a="1"/>
  <c r="C31" i="21" s="1"/>
  <c r="D31" i="21" a="1"/>
  <c r="D31" i="21"/>
  <c r="E31" i="21" a="1"/>
  <c r="E31" i="21" s="1"/>
  <c r="F31" i="21" a="1"/>
  <c r="F31" i="21" s="1"/>
  <c r="G31" i="21" a="1"/>
  <c r="G31" i="21" s="1"/>
  <c r="H31" i="21" a="1"/>
  <c r="H31" i="21" s="1"/>
  <c r="I31" i="21" a="1"/>
  <c r="I31" i="21" s="1"/>
  <c r="J31" i="21" a="1"/>
  <c r="J31" i="21"/>
  <c r="K31" i="21" a="1"/>
  <c r="K31" i="21" s="1"/>
  <c r="L31" i="21" a="1"/>
  <c r="L31" i="21" s="1"/>
  <c r="M31" i="21" a="1"/>
  <c r="M31" i="21" s="1"/>
  <c r="N31" i="21" a="1"/>
  <c r="N31" i="21" s="1"/>
  <c r="O31" i="21" a="1"/>
  <c r="O31" i="21" s="1"/>
  <c r="P31" i="21" a="1"/>
  <c r="P31" i="21"/>
  <c r="B32" i="21" a="1"/>
  <c r="B32" i="21" s="1"/>
  <c r="C32" i="21" a="1"/>
  <c r="C32" i="21" s="1"/>
  <c r="D32" i="21" a="1"/>
  <c r="D32" i="21" s="1"/>
  <c r="E32" i="21" a="1"/>
  <c r="E32" i="21"/>
  <c r="F32" i="21" a="1"/>
  <c r="F32" i="21" s="1"/>
  <c r="G32" i="21" a="1"/>
  <c r="G32" i="21" s="1"/>
  <c r="H32" i="21" a="1"/>
  <c r="H32" i="21" s="1"/>
  <c r="I32" i="21" a="1"/>
  <c r="I32" i="21" s="1"/>
  <c r="J32" i="21" a="1"/>
  <c r="J32" i="21" s="1"/>
  <c r="K32" i="21" a="1"/>
  <c r="K32" i="21" s="1"/>
  <c r="L32" i="21" a="1"/>
  <c r="L32" i="21" s="1"/>
  <c r="M32" i="21" a="1"/>
  <c r="M32" i="21"/>
  <c r="N32" i="21" a="1"/>
  <c r="N32" i="21" s="1"/>
  <c r="O32" i="21" a="1"/>
  <c r="O32" i="21" s="1"/>
  <c r="P32" i="21" a="1"/>
  <c r="P32" i="21" s="1"/>
  <c r="B33" i="21" a="1"/>
  <c r="B33" i="21" s="1"/>
  <c r="C33" i="21" a="1"/>
  <c r="C33" i="21" s="1"/>
  <c r="D33" i="21" a="1"/>
  <c r="D33" i="21"/>
  <c r="E33" i="21" a="1"/>
  <c r="E33" i="21" s="1"/>
  <c r="F33" i="21" a="1"/>
  <c r="F33" i="21" s="1"/>
  <c r="G33" i="21" a="1"/>
  <c r="G33" i="21" s="1"/>
  <c r="H33" i="21" a="1"/>
  <c r="H33" i="21"/>
  <c r="I33" i="21" a="1"/>
  <c r="I33" i="21" s="1"/>
  <c r="J33" i="21" a="1"/>
  <c r="J33" i="21"/>
  <c r="K33" i="21" a="1"/>
  <c r="K33" i="21" s="1"/>
  <c r="L33" i="21" a="1"/>
  <c r="L33" i="21" s="1"/>
  <c r="M33" i="21" a="1"/>
  <c r="M33" i="21" s="1"/>
  <c r="N33" i="21" a="1"/>
  <c r="N33" i="21" s="1"/>
  <c r="O33" i="21" a="1"/>
  <c r="O33" i="21" s="1"/>
  <c r="P33" i="21" a="1"/>
  <c r="P33" i="21"/>
  <c r="B34" i="21" a="1"/>
  <c r="B34" i="21" s="1"/>
  <c r="C34" i="21" a="1"/>
  <c r="C34" i="21" s="1"/>
  <c r="D34" i="21" a="1"/>
  <c r="D34" i="21" s="1"/>
  <c r="E34" i="21" a="1"/>
  <c r="E34" i="21" s="1"/>
  <c r="F34" i="21" a="1"/>
  <c r="F34" i="21" s="1"/>
  <c r="G34" i="21" a="1"/>
  <c r="G34" i="21"/>
  <c r="H34" i="21" a="1"/>
  <c r="H34" i="21" s="1"/>
  <c r="I34" i="21" a="1"/>
  <c r="I34" i="21" s="1"/>
  <c r="J34" i="21" a="1"/>
  <c r="J34" i="21" s="1"/>
  <c r="K34" i="21" a="1"/>
  <c r="K34" i="21"/>
  <c r="L34" i="21" a="1"/>
  <c r="L34" i="21" s="1"/>
  <c r="M34" i="21" a="1"/>
  <c r="M34" i="21" s="1"/>
  <c r="N34" i="21" a="1"/>
  <c r="N34" i="21" s="1"/>
  <c r="O34" i="21" a="1"/>
  <c r="O34" i="21" s="1"/>
  <c r="P34" i="21" a="1"/>
  <c r="P34" i="21" s="1"/>
  <c r="B35" i="21" a="1"/>
  <c r="B35" i="21" s="1"/>
  <c r="C35" i="21" a="1"/>
  <c r="C35" i="21" s="1"/>
  <c r="D35" i="21" a="1"/>
  <c r="D35" i="21"/>
  <c r="E35" i="21" a="1"/>
  <c r="E35" i="21" s="1"/>
  <c r="F35" i="21" a="1"/>
  <c r="F35" i="21" s="1"/>
  <c r="G35" i="21" a="1"/>
  <c r="G35" i="21" s="1"/>
  <c r="H35" i="21" a="1"/>
  <c r="H35" i="21" s="1"/>
  <c r="I35" i="21" a="1"/>
  <c r="I35" i="21" s="1"/>
  <c r="J35" i="21" a="1"/>
  <c r="J35" i="21"/>
  <c r="K35" i="21" a="1"/>
  <c r="K35" i="21" s="1"/>
  <c r="L35" i="21" a="1"/>
  <c r="L35" i="21" s="1"/>
  <c r="M35" i="21" a="1"/>
  <c r="M35" i="21" s="1"/>
  <c r="N35" i="21" a="1"/>
  <c r="N35" i="21"/>
  <c r="O35" i="21" a="1"/>
  <c r="O35" i="21" s="1"/>
  <c r="P35" i="21" a="1"/>
  <c r="P35" i="21"/>
  <c r="B36" i="21" a="1"/>
  <c r="B36" i="21" s="1"/>
  <c r="C36" i="21" a="1"/>
  <c r="C36" i="21" s="1"/>
  <c r="D36" i="21" a="1"/>
  <c r="D36" i="21" s="1"/>
  <c r="E36" i="21" a="1"/>
  <c r="E36" i="21" s="1"/>
  <c r="F36" i="21" a="1"/>
  <c r="F36" i="21" s="1"/>
  <c r="G36" i="21" a="1"/>
  <c r="G36" i="21"/>
  <c r="H36" i="21" a="1"/>
  <c r="H36" i="21" s="1"/>
  <c r="I36" i="21" a="1"/>
  <c r="I36" i="21" s="1"/>
  <c r="J36" i="21" a="1"/>
  <c r="J36" i="21" s="1"/>
  <c r="K36" i="21" a="1"/>
  <c r="K36" i="21" s="1"/>
  <c r="L36" i="21" a="1"/>
  <c r="L36" i="21" s="1"/>
  <c r="M36" i="21" a="1"/>
  <c r="M36" i="21"/>
  <c r="N36" i="21" a="1"/>
  <c r="N36" i="21" s="1"/>
  <c r="O36" i="21" a="1"/>
  <c r="O36" i="21" s="1"/>
  <c r="P36" i="21" a="1"/>
  <c r="P36" i="21" s="1"/>
  <c r="B37" i="21" a="1"/>
  <c r="B37" i="21"/>
  <c r="C37" i="21" a="1"/>
  <c r="C37" i="21" s="1"/>
  <c r="D37" i="21" a="1"/>
  <c r="D37" i="21" s="1"/>
  <c r="E37" i="21" a="1"/>
  <c r="E37" i="21" s="1"/>
  <c r="F37" i="21" a="1"/>
  <c r="F37" i="21" s="1"/>
  <c r="G37" i="21" a="1"/>
  <c r="G37" i="21" s="1"/>
  <c r="H37" i="21" a="1"/>
  <c r="H37" i="21" s="1"/>
  <c r="I37" i="21" a="1"/>
  <c r="I37" i="21" s="1"/>
  <c r="J37" i="21" a="1"/>
  <c r="J37" i="21" s="1"/>
  <c r="K37" i="21" a="1"/>
  <c r="K37" i="21" s="1"/>
  <c r="L37" i="21" a="1"/>
  <c r="L37" i="21" s="1"/>
  <c r="M37" i="21" a="1"/>
  <c r="M37" i="21" s="1"/>
  <c r="N37" i="21" a="1"/>
  <c r="N37" i="21" s="1"/>
  <c r="O37" i="21" a="1"/>
  <c r="O37" i="21" s="1"/>
  <c r="P37" i="21" a="1"/>
  <c r="P37" i="21"/>
  <c r="B38" i="21" a="1"/>
  <c r="B38" i="21"/>
  <c r="C38" i="21" a="1"/>
  <c r="C38" i="21" s="1"/>
  <c r="D38" i="21" a="1"/>
  <c r="D38" i="21" s="1"/>
  <c r="E38" i="21" a="1"/>
  <c r="E38" i="21"/>
  <c r="F38" i="21" a="1"/>
  <c r="F38" i="21" s="1"/>
  <c r="G38" i="21" a="1"/>
  <c r="G38" i="21" s="1"/>
  <c r="H38" i="21" a="1"/>
  <c r="H38" i="21"/>
  <c r="I38" i="21" a="1"/>
  <c r="I38" i="21" s="1"/>
  <c r="J38" i="21" a="1"/>
  <c r="J38" i="21" s="1"/>
  <c r="K38" i="21" a="1"/>
  <c r="K38" i="21"/>
  <c r="L38" i="21" a="1"/>
  <c r="L38" i="21" s="1"/>
  <c r="M38" i="21" a="1"/>
  <c r="M38" i="21" s="1"/>
  <c r="N38" i="21" a="1"/>
  <c r="N38" i="21"/>
  <c r="O38" i="21" a="1"/>
  <c r="O38" i="21" s="1"/>
  <c r="P38" i="21" a="1"/>
  <c r="P38" i="21" s="1"/>
  <c r="B39" i="21" a="1"/>
  <c r="B39" i="21" s="1"/>
  <c r="C39" i="21" a="1"/>
  <c r="C39" i="21" s="1"/>
  <c r="D39" i="21" a="1"/>
  <c r="D39" i="21" s="1"/>
  <c r="E39" i="21" a="1"/>
  <c r="E39" i="21"/>
  <c r="F39" i="21" a="1"/>
  <c r="F39" i="21" s="1"/>
  <c r="G39" i="21" a="1"/>
  <c r="G39" i="21" s="1"/>
  <c r="H39" i="21" a="1"/>
  <c r="H39" i="21"/>
  <c r="I39" i="21" a="1"/>
  <c r="I39" i="21" s="1"/>
  <c r="J39" i="21" a="1"/>
  <c r="J39" i="21" s="1"/>
  <c r="K39" i="21" a="1"/>
  <c r="K39" i="21"/>
  <c r="L39" i="21" a="1"/>
  <c r="L39" i="21" s="1"/>
  <c r="M39" i="21" a="1"/>
  <c r="M39" i="21" s="1"/>
  <c r="N39" i="21" a="1"/>
  <c r="N39" i="21" s="1"/>
  <c r="O39" i="21" a="1"/>
  <c r="O39" i="21" s="1"/>
  <c r="P39" i="21" a="1"/>
  <c r="P39" i="21" s="1"/>
  <c r="B40" i="21" a="1"/>
  <c r="B40" i="21"/>
  <c r="C40" i="21" a="1"/>
  <c r="C40" i="21" s="1"/>
  <c r="D40" i="21" a="1"/>
  <c r="D40" i="21" s="1"/>
  <c r="E40" i="21" a="1"/>
  <c r="E40" i="21" s="1"/>
  <c r="F40" i="21" a="1"/>
  <c r="F40" i="21" s="1"/>
  <c r="G40" i="21" a="1"/>
  <c r="G40" i="21" s="1"/>
  <c r="H40" i="21" a="1"/>
  <c r="H40" i="21"/>
  <c r="I40" i="21" a="1"/>
  <c r="I40" i="21" s="1"/>
  <c r="J40" i="21" a="1"/>
  <c r="J40" i="21" s="1"/>
  <c r="K40" i="21" a="1"/>
  <c r="K40" i="21"/>
  <c r="L40" i="21" a="1"/>
  <c r="L40" i="21" s="1"/>
  <c r="M40" i="21" a="1"/>
  <c r="M40" i="21" s="1"/>
  <c r="N40" i="21" a="1"/>
  <c r="N40" i="21" s="1"/>
  <c r="O40" i="21" a="1"/>
  <c r="O40" i="21" s="1"/>
  <c r="P40" i="21" a="1"/>
  <c r="P40" i="21" s="1"/>
  <c r="B41" i="21" a="1"/>
  <c r="B41" i="21"/>
  <c r="C41" i="21" a="1"/>
  <c r="C41" i="21" s="1"/>
  <c r="D41" i="21" a="1"/>
  <c r="D41" i="21" s="1"/>
  <c r="E41" i="21" a="1"/>
  <c r="E41" i="21" s="1"/>
  <c r="F41" i="21" a="1"/>
  <c r="F41" i="21" s="1"/>
  <c r="G41" i="21" a="1"/>
  <c r="G41" i="21" s="1"/>
  <c r="H41" i="21" a="1"/>
  <c r="H41" i="21" s="1"/>
  <c r="I41" i="21" a="1"/>
  <c r="I41" i="21" s="1"/>
  <c r="J41" i="21" a="1"/>
  <c r="J41" i="21" s="1"/>
  <c r="K41" i="21" a="1"/>
  <c r="K41" i="21" s="1"/>
  <c r="L41" i="21" a="1"/>
  <c r="L41" i="21" s="1"/>
  <c r="M41" i="21" a="1"/>
  <c r="M41" i="21" s="1"/>
  <c r="N41" i="21" a="1"/>
  <c r="N41" i="21" s="1"/>
  <c r="O41" i="21" a="1"/>
  <c r="O41" i="21" s="1"/>
  <c r="P41" i="21" a="1"/>
  <c r="P41" i="21" s="1"/>
  <c r="B42" i="21" a="1"/>
  <c r="B42" i="21" s="1"/>
  <c r="C42" i="21" a="1"/>
  <c r="C42" i="21" s="1"/>
  <c r="D42" i="21" a="1"/>
  <c r="D42" i="21" s="1"/>
  <c r="E42" i="21" a="1"/>
  <c r="E42" i="21" s="1"/>
  <c r="F42" i="21" a="1"/>
  <c r="F42" i="21" s="1"/>
  <c r="G42" i="21" a="1"/>
  <c r="G42" i="21" s="1"/>
  <c r="H42" i="21" a="1"/>
  <c r="H42" i="21" s="1"/>
  <c r="I42" i="21" a="1"/>
  <c r="I42" i="21" s="1"/>
  <c r="J42" i="21" a="1"/>
  <c r="J42" i="21" s="1"/>
  <c r="K42" i="21" a="1"/>
  <c r="K42" i="21"/>
  <c r="L42" i="21" a="1"/>
  <c r="L42" i="21" s="1"/>
  <c r="M42" i="21" a="1"/>
  <c r="M42" i="21" s="1"/>
  <c r="N42" i="21" a="1"/>
  <c r="N42" i="21" s="1"/>
  <c r="O42" i="21" a="1"/>
  <c r="O42" i="21" s="1"/>
  <c r="P42" i="21" a="1"/>
  <c r="P42" i="21" s="1"/>
  <c r="B43" i="21" a="1"/>
  <c r="B43" i="21" s="1"/>
  <c r="C43" i="21" a="1"/>
  <c r="C43" i="21" s="1"/>
  <c r="D43" i="21" a="1"/>
  <c r="D43" i="21" s="1"/>
  <c r="E43" i="21" a="1"/>
  <c r="E43" i="21" s="1"/>
  <c r="F43" i="21" a="1"/>
  <c r="F43" i="21" s="1"/>
  <c r="G43" i="21" a="1"/>
  <c r="G43" i="21" s="1"/>
  <c r="H43" i="21" a="1"/>
  <c r="H43" i="21" s="1"/>
  <c r="I43" i="21" a="1"/>
  <c r="I43" i="21" s="1"/>
  <c r="J43" i="21" a="1"/>
  <c r="J43" i="21" s="1"/>
  <c r="K43" i="21" a="1"/>
  <c r="K43" i="21" s="1"/>
  <c r="L43" i="21" a="1"/>
  <c r="L43" i="21" s="1"/>
  <c r="M43" i="21" a="1"/>
  <c r="M43" i="21" s="1"/>
  <c r="N43" i="21" a="1"/>
  <c r="N43" i="21" s="1"/>
  <c r="O43" i="21" a="1"/>
  <c r="O43" i="21" s="1"/>
  <c r="P43" i="21" a="1"/>
  <c r="P43" i="21" s="1"/>
  <c r="B44" i="21" a="1"/>
  <c r="B44" i="21" s="1"/>
  <c r="C44" i="21" a="1"/>
  <c r="C44" i="21" s="1"/>
  <c r="D44" i="21" a="1"/>
  <c r="D44" i="21" s="1"/>
  <c r="E44" i="21" a="1"/>
  <c r="E44" i="21"/>
  <c r="F44" i="21" a="1"/>
  <c r="F44" i="21" s="1"/>
  <c r="G44" i="21" a="1"/>
  <c r="G44" i="21" s="1"/>
  <c r="H44" i="21" a="1"/>
  <c r="H44" i="21" s="1"/>
  <c r="I44" i="21" a="1"/>
  <c r="I44" i="21" s="1"/>
  <c r="J44" i="21" a="1"/>
  <c r="J44" i="21" s="1"/>
  <c r="K44" i="21" a="1"/>
  <c r="K44" i="21"/>
  <c r="L44" i="21" a="1"/>
  <c r="L44" i="21" s="1"/>
  <c r="M44" i="21" a="1"/>
  <c r="M44" i="21" s="1"/>
  <c r="N44" i="21" a="1"/>
  <c r="N44" i="21" s="1"/>
  <c r="O44" i="21" a="1"/>
  <c r="O44" i="21" s="1"/>
  <c r="P44" i="21" a="1"/>
  <c r="P44" i="21" s="1"/>
  <c r="B45" i="21" a="1"/>
  <c r="B45" i="21"/>
  <c r="C45" i="21" a="1"/>
  <c r="C45" i="21" s="1"/>
  <c r="D45" i="21" a="1"/>
  <c r="D45" i="21" s="1"/>
  <c r="E45" i="21" a="1"/>
  <c r="E45" i="21" s="1"/>
  <c r="F45" i="21" a="1"/>
  <c r="F45" i="21" s="1"/>
  <c r="G45" i="21" a="1"/>
  <c r="G45" i="21" s="1"/>
  <c r="H45" i="21" a="1"/>
  <c r="H45" i="21"/>
  <c r="I45" i="21" a="1"/>
  <c r="I45" i="21" s="1"/>
  <c r="J45" i="21" a="1"/>
  <c r="J45" i="21" s="1"/>
  <c r="K45" i="21" a="1"/>
  <c r="K45" i="21" s="1"/>
  <c r="L45" i="21" a="1"/>
  <c r="L45" i="21" s="1"/>
  <c r="M45" i="21" a="1"/>
  <c r="M45" i="21" s="1"/>
  <c r="N45" i="21" a="1"/>
  <c r="N45" i="21"/>
  <c r="O45" i="21" a="1"/>
  <c r="O45" i="21" s="1"/>
  <c r="P45" i="21" a="1"/>
  <c r="P45" i="21" s="1"/>
  <c r="B46" i="21" a="1"/>
  <c r="B46" i="21" s="1"/>
  <c r="C46" i="21" a="1"/>
  <c r="C46" i="21" s="1"/>
  <c r="D46" i="21" a="1"/>
  <c r="D46" i="21" s="1"/>
  <c r="E46" i="21" a="1"/>
  <c r="E46" i="21" s="1"/>
  <c r="F46" i="21" a="1"/>
  <c r="F46" i="21" s="1"/>
  <c r="G46" i="21" a="1"/>
  <c r="G46" i="21" s="1"/>
  <c r="H46" i="21" a="1"/>
  <c r="H46" i="21" s="1"/>
  <c r="I46" i="21" a="1"/>
  <c r="I46" i="21" s="1"/>
  <c r="J46" i="21" a="1"/>
  <c r="J46" i="21" s="1"/>
  <c r="K46" i="21" a="1"/>
  <c r="K46" i="21" s="1"/>
  <c r="L46" i="21" a="1"/>
  <c r="L46" i="21" s="1"/>
  <c r="M46" i="21" a="1"/>
  <c r="M46" i="21" s="1"/>
  <c r="N46" i="21" a="1"/>
  <c r="N46" i="21" s="1"/>
  <c r="O46" i="21" a="1"/>
  <c r="O46" i="21" s="1"/>
  <c r="P46" i="21" a="1"/>
  <c r="P46" i="21" s="1"/>
  <c r="B47" i="21" a="1"/>
  <c r="B47" i="21" s="1"/>
  <c r="C47" i="21" a="1"/>
  <c r="C47" i="21" s="1"/>
  <c r="D47" i="21" a="1"/>
  <c r="D47" i="21" s="1"/>
  <c r="E47" i="21" a="1"/>
  <c r="E47" i="21" s="1"/>
  <c r="F47" i="21" a="1"/>
  <c r="F47" i="21" s="1"/>
  <c r="G47" i="21" a="1"/>
  <c r="G47" i="21" s="1"/>
  <c r="H47" i="21" a="1"/>
  <c r="H47" i="21"/>
  <c r="I47" i="21" a="1"/>
  <c r="I47" i="21" s="1"/>
  <c r="J47" i="21" a="1"/>
  <c r="J47" i="21" s="1"/>
  <c r="K47" i="21" a="1"/>
  <c r="K47" i="21" s="1"/>
  <c r="L47" i="21" a="1"/>
  <c r="L47" i="21" s="1"/>
  <c r="M47" i="21" a="1"/>
  <c r="M47" i="21" s="1"/>
  <c r="N47" i="21" a="1"/>
  <c r="N47" i="21" s="1"/>
  <c r="O47" i="21" a="1"/>
  <c r="O47" i="21" s="1"/>
  <c r="P47" i="21" a="1"/>
  <c r="P47" i="21" s="1"/>
  <c r="B48" i="21" a="1"/>
  <c r="B48" i="21" s="1"/>
  <c r="C48" i="21" a="1"/>
  <c r="C48" i="21" s="1"/>
  <c r="D48" i="21" a="1"/>
  <c r="D48" i="21" s="1"/>
  <c r="E48" i="21" a="1"/>
  <c r="E48" i="21" s="1"/>
  <c r="F48" i="21" a="1"/>
  <c r="F48" i="21" s="1"/>
  <c r="G48" i="21" a="1"/>
  <c r="G48" i="21" s="1"/>
  <c r="H48" i="21" a="1"/>
  <c r="H48" i="21" s="1"/>
  <c r="I48" i="21" a="1"/>
  <c r="I48" i="21" s="1"/>
  <c r="J48" i="21" a="1"/>
  <c r="J48" i="21" s="1"/>
  <c r="K48" i="21" a="1"/>
  <c r="K48" i="21" s="1"/>
  <c r="L48" i="21" a="1"/>
  <c r="L48" i="21" s="1"/>
  <c r="M48" i="21" a="1"/>
  <c r="M48" i="21" s="1"/>
  <c r="N48" i="21" a="1"/>
  <c r="N48" i="21" s="1"/>
  <c r="O48" i="21" a="1"/>
  <c r="O48" i="21" s="1"/>
  <c r="P48" i="21" a="1"/>
  <c r="P48" i="21" s="1"/>
  <c r="B49" i="21" a="1"/>
  <c r="B49" i="21"/>
  <c r="C49" i="21" a="1"/>
  <c r="C49" i="21" s="1"/>
  <c r="D49" i="21" a="1"/>
  <c r="D49" i="21" s="1"/>
  <c r="E49" i="21" a="1"/>
  <c r="E49" i="21" s="1"/>
  <c r="F49" i="21" a="1"/>
  <c r="F49" i="21" s="1"/>
  <c r="G49" i="21" a="1"/>
  <c r="G49" i="21" s="1"/>
  <c r="H49" i="21" a="1"/>
  <c r="H49" i="21"/>
  <c r="I49" i="21" a="1"/>
  <c r="I49" i="21" s="1"/>
  <c r="J49" i="21" a="1"/>
  <c r="J49" i="21" s="1"/>
  <c r="K49" i="21" a="1"/>
  <c r="K49" i="21" s="1"/>
  <c r="L49" i="21" a="1"/>
  <c r="L49" i="21" s="1"/>
  <c r="M49" i="21" a="1"/>
  <c r="M49" i="21" s="1"/>
  <c r="N49" i="21" a="1"/>
  <c r="N49" i="21"/>
  <c r="O49" i="21" a="1"/>
  <c r="O49" i="21" s="1"/>
  <c r="P49" i="21" a="1"/>
  <c r="P49" i="21" s="1"/>
  <c r="B50" i="21" a="1"/>
  <c r="B50" i="21" s="1"/>
  <c r="C50" i="21" a="1"/>
  <c r="C50" i="21" s="1"/>
  <c r="D50" i="21" a="1"/>
  <c r="D50" i="21" s="1"/>
  <c r="E50" i="21" a="1"/>
  <c r="E50" i="21"/>
  <c r="F50" i="21" a="1"/>
  <c r="F50" i="21" s="1"/>
  <c r="G50" i="21" a="1"/>
  <c r="G50" i="21" s="1"/>
  <c r="H50" i="21" a="1"/>
  <c r="H50" i="21" s="1"/>
  <c r="I50" i="21" a="1"/>
  <c r="I50" i="21" s="1"/>
  <c r="J50" i="21" a="1"/>
  <c r="J50" i="21" s="1"/>
  <c r="K50" i="21" a="1"/>
  <c r="K50" i="21"/>
  <c r="L50" i="21" a="1"/>
  <c r="L50" i="21" s="1"/>
  <c r="M50" i="21" a="1"/>
  <c r="M50" i="21" s="1"/>
  <c r="N50" i="21" a="1"/>
  <c r="N50" i="21" s="1"/>
  <c r="O50" i="21" a="1"/>
  <c r="O50" i="21" s="1"/>
  <c r="P50" i="21" a="1"/>
  <c r="P50" i="21" s="1"/>
  <c r="B51" i="21" a="1"/>
  <c r="B51" i="21" s="1"/>
  <c r="C51" i="21" a="1"/>
  <c r="C51" i="21" s="1"/>
  <c r="D51" i="21" a="1"/>
  <c r="D51" i="21" s="1"/>
  <c r="E51" i="21" a="1"/>
  <c r="E51" i="21" s="1"/>
  <c r="F51" i="21" a="1"/>
  <c r="F51" i="21" s="1"/>
  <c r="G51" i="21" a="1"/>
  <c r="G51" i="21" s="1"/>
  <c r="H51" i="21" a="1"/>
  <c r="H51" i="21" s="1"/>
  <c r="I51" i="21" a="1"/>
  <c r="I51" i="21" s="1"/>
  <c r="J51" i="21" a="1"/>
  <c r="J51" i="21" s="1"/>
  <c r="K51" i="21" a="1"/>
  <c r="K51" i="21" s="1"/>
  <c r="L51" i="21" a="1"/>
  <c r="L51" i="21" s="1"/>
  <c r="M51" i="21" a="1"/>
  <c r="M51" i="21" s="1"/>
  <c r="N51" i="21" a="1"/>
  <c r="N51" i="21" s="1"/>
  <c r="O51" i="21" a="1"/>
  <c r="O51" i="21" s="1"/>
  <c r="P51" i="21" a="1"/>
  <c r="P51" i="21" s="1"/>
  <c r="B52" i="21" a="1"/>
  <c r="B52" i="21" s="1"/>
  <c r="C52" i="21" a="1"/>
  <c r="C52" i="21" s="1"/>
  <c r="D52" i="21" a="1"/>
  <c r="D52" i="21" s="1"/>
  <c r="E52" i="21" a="1"/>
  <c r="E52" i="21"/>
  <c r="F52" i="21" a="1"/>
  <c r="F52" i="21" s="1"/>
  <c r="G52" i="21" a="1"/>
  <c r="G52" i="21" s="1"/>
  <c r="H52" i="21" a="1"/>
  <c r="H52" i="21" s="1"/>
  <c r="I52" i="21" a="1"/>
  <c r="I52" i="21" s="1"/>
  <c r="J52" i="21" a="1"/>
  <c r="J52" i="21" s="1"/>
  <c r="K52" i="21" a="1"/>
  <c r="K52" i="21" s="1"/>
  <c r="L52" i="21" a="1"/>
  <c r="L52" i="21" s="1"/>
  <c r="M52" i="21" a="1"/>
  <c r="M52" i="21" s="1"/>
  <c r="N52" i="21" a="1"/>
  <c r="N52" i="21" s="1"/>
  <c r="O52" i="21" a="1"/>
  <c r="O52" i="21" s="1"/>
  <c r="P52" i="21" a="1"/>
  <c r="P52" i="21" s="1"/>
  <c r="B53" i="21" a="1"/>
  <c r="B53" i="21" s="1"/>
  <c r="C53" i="21" a="1"/>
  <c r="C53" i="21" s="1"/>
  <c r="D53" i="21" a="1"/>
  <c r="D53" i="21" s="1"/>
  <c r="E53" i="21" a="1"/>
  <c r="E53" i="21" s="1"/>
  <c r="F53" i="21" a="1"/>
  <c r="F53" i="21" s="1"/>
  <c r="G53" i="21" a="1"/>
  <c r="G53" i="21" s="1"/>
  <c r="H53" i="21" a="1"/>
  <c r="H53" i="21" s="1"/>
  <c r="I53" i="21" a="1"/>
  <c r="I53" i="21" s="1"/>
  <c r="J53" i="21" a="1"/>
  <c r="J53" i="21" s="1"/>
  <c r="K53" i="21" a="1"/>
  <c r="K53" i="21" s="1"/>
  <c r="L53" i="21" a="1"/>
  <c r="L53" i="21" s="1"/>
  <c r="M53" i="21" a="1"/>
  <c r="M53" i="21" s="1"/>
  <c r="N53" i="21" a="1"/>
  <c r="N53" i="21"/>
  <c r="O53" i="21" a="1"/>
  <c r="O53" i="21" s="1"/>
  <c r="P53" i="21" a="1"/>
  <c r="P53" i="21" s="1"/>
  <c r="B54" i="21" a="1"/>
  <c r="B54" i="21" s="1"/>
  <c r="C54" i="21" a="1"/>
  <c r="C54" i="21" s="1"/>
  <c r="D54" i="21" a="1"/>
  <c r="D54" i="21" s="1"/>
  <c r="E54" i="21" a="1"/>
  <c r="E54" i="21"/>
  <c r="F54" i="21" a="1"/>
  <c r="F54" i="21" s="1"/>
  <c r="G54" i="21" a="1"/>
  <c r="G54" i="21" s="1"/>
  <c r="H54" i="21" a="1"/>
  <c r="H54" i="21" s="1"/>
  <c r="I54" i="21" a="1"/>
  <c r="I54" i="21" s="1"/>
  <c r="J54" i="21" a="1"/>
  <c r="J54" i="21" s="1"/>
  <c r="K54" i="21" a="1"/>
  <c r="K54" i="21"/>
  <c r="L54" i="21" a="1"/>
  <c r="L54" i="21" s="1"/>
  <c r="M54" i="21" a="1"/>
  <c r="M54" i="21" s="1"/>
  <c r="N54" i="21" a="1"/>
  <c r="N54" i="21" s="1"/>
  <c r="O54" i="21" a="1"/>
  <c r="O54" i="21" s="1"/>
  <c r="P54" i="21" a="1"/>
  <c r="P54" i="21" s="1"/>
  <c r="B55" i="21" a="1"/>
  <c r="B55" i="21"/>
  <c r="C55" i="21" a="1"/>
  <c r="C55" i="21" s="1"/>
  <c r="D55" i="21" a="1"/>
  <c r="D55" i="21" s="1"/>
  <c r="E55" i="21" a="1"/>
  <c r="E55" i="21" s="1"/>
  <c r="F55" i="21" a="1"/>
  <c r="F55" i="21" s="1"/>
  <c r="G55" i="21" a="1"/>
  <c r="G55" i="21" s="1"/>
  <c r="H55" i="21" a="1"/>
  <c r="H55" i="21"/>
  <c r="I55" i="21" a="1"/>
  <c r="I55" i="21" s="1"/>
  <c r="J55" i="21" a="1"/>
  <c r="J55" i="21" s="1"/>
  <c r="K55" i="21" a="1"/>
  <c r="K55" i="21" s="1"/>
  <c r="L55" i="21" a="1"/>
  <c r="L55" i="21" s="1"/>
  <c r="M55" i="21" a="1"/>
  <c r="M55" i="21" s="1"/>
  <c r="N55" i="21" a="1"/>
  <c r="N55" i="21" s="1"/>
  <c r="O55" i="21" a="1"/>
  <c r="O55" i="21" s="1"/>
  <c r="P55" i="21" a="1"/>
  <c r="P55" i="21" s="1"/>
  <c r="B56" i="21" a="1"/>
  <c r="B56" i="21" s="1"/>
  <c r="C56" i="21" a="1"/>
  <c r="C56" i="21" s="1"/>
  <c r="D56" i="21" a="1"/>
  <c r="D56" i="21" s="1"/>
  <c r="E56" i="21" a="1"/>
  <c r="E56" i="21" s="1"/>
  <c r="F56" i="21" a="1"/>
  <c r="F56" i="21" s="1"/>
  <c r="G56" i="21" a="1"/>
  <c r="G56" i="21" s="1"/>
  <c r="H56" i="21" a="1"/>
  <c r="H56" i="21" s="1"/>
  <c r="I56" i="21" a="1"/>
  <c r="I56" i="21" s="1"/>
  <c r="J56" i="21" a="1"/>
  <c r="J56" i="21" s="1"/>
  <c r="K56" i="21" a="1"/>
  <c r="K56" i="21" s="1"/>
  <c r="L56" i="21" a="1"/>
  <c r="L56" i="21" s="1"/>
  <c r="M56" i="21" a="1"/>
  <c r="M56" i="21" s="1"/>
  <c r="N56" i="21" a="1"/>
  <c r="N56" i="21" s="1"/>
  <c r="O56" i="21" a="1"/>
  <c r="O56" i="21" s="1"/>
  <c r="P56" i="21" a="1"/>
  <c r="P56" i="21" s="1"/>
  <c r="B57" i="21" a="1"/>
  <c r="B57" i="21"/>
  <c r="C57" i="21" a="1"/>
  <c r="C57" i="21" s="1"/>
  <c r="D57" i="21" a="1"/>
  <c r="D57" i="21" s="1"/>
  <c r="E57" i="21" a="1"/>
  <c r="E57" i="21" s="1"/>
  <c r="F57" i="21" a="1"/>
  <c r="F57" i="21" s="1"/>
  <c r="G57" i="21" a="1"/>
  <c r="G57" i="21" s="1"/>
  <c r="H57" i="21" a="1"/>
  <c r="H57" i="21" s="1"/>
  <c r="I57" i="21" a="1"/>
  <c r="I57" i="21" s="1"/>
  <c r="J57" i="21" a="1"/>
  <c r="J57" i="21" s="1"/>
  <c r="K57" i="21" a="1"/>
  <c r="K57" i="21" s="1"/>
  <c r="L57" i="21" a="1"/>
  <c r="L57" i="21" s="1"/>
  <c r="M57" i="21" a="1"/>
  <c r="M57" i="21" s="1"/>
  <c r="N57" i="21" a="1"/>
  <c r="N57" i="21" s="1"/>
  <c r="O57" i="21" a="1"/>
  <c r="O57" i="21" s="1"/>
  <c r="P57" i="21" a="1"/>
  <c r="P57" i="21" s="1"/>
  <c r="B58" i="21" a="1"/>
  <c r="B58" i="21" s="1"/>
  <c r="C58" i="21" a="1"/>
  <c r="C58" i="21" s="1"/>
  <c r="D58" i="21" a="1"/>
  <c r="D58" i="21" s="1"/>
  <c r="E58" i="21" a="1"/>
  <c r="E58" i="21" s="1"/>
  <c r="F58" i="21" a="1"/>
  <c r="F58" i="21" s="1"/>
  <c r="G58" i="21" a="1"/>
  <c r="G58" i="21" s="1"/>
  <c r="H58" i="21" a="1"/>
  <c r="H58" i="21" s="1"/>
  <c r="I58" i="21" a="1"/>
  <c r="I58" i="21" s="1"/>
  <c r="J58" i="21" a="1"/>
  <c r="J58" i="21" s="1"/>
  <c r="K58" i="21" a="1"/>
  <c r="K58" i="21"/>
  <c r="L58" i="21" a="1"/>
  <c r="L58" i="21" s="1"/>
  <c r="M58" i="21" a="1"/>
  <c r="M58" i="21" s="1"/>
  <c r="N58" i="21" a="1"/>
  <c r="N58" i="21" s="1"/>
  <c r="O58" i="21" a="1"/>
  <c r="O58" i="21" s="1"/>
  <c r="P58" i="21" a="1"/>
  <c r="P58" i="21" s="1"/>
  <c r="B59" i="21" a="1"/>
  <c r="B59" i="21"/>
  <c r="C59" i="21" a="1"/>
  <c r="C59" i="21" s="1"/>
  <c r="D59" i="21" a="1"/>
  <c r="D59" i="21" s="1"/>
  <c r="E59" i="21" a="1"/>
  <c r="E59" i="21" s="1"/>
  <c r="F59" i="21" a="1"/>
  <c r="F59" i="21" s="1"/>
  <c r="G59" i="21" a="1"/>
  <c r="G59" i="21" s="1"/>
  <c r="H59" i="21" a="1"/>
  <c r="H59" i="21"/>
  <c r="I59" i="21" a="1"/>
  <c r="I59" i="21" s="1"/>
  <c r="J59" i="21" a="1"/>
  <c r="J59" i="21" s="1"/>
  <c r="K59" i="21" a="1"/>
  <c r="K59" i="21" s="1"/>
  <c r="L59" i="21" a="1"/>
  <c r="L59" i="21" s="1"/>
  <c r="M59" i="21" a="1"/>
  <c r="M59" i="21" s="1"/>
  <c r="N59" i="21" a="1"/>
  <c r="N59" i="21"/>
  <c r="O59" i="21" a="1"/>
  <c r="O59" i="21" s="1"/>
  <c r="P59" i="21" a="1"/>
  <c r="P59" i="21" s="1"/>
  <c r="B60" i="21" a="1"/>
  <c r="B60" i="21" s="1"/>
  <c r="C60" i="21" a="1"/>
  <c r="C60" i="21" s="1"/>
  <c r="D60" i="21" a="1"/>
  <c r="D60" i="21" s="1"/>
  <c r="E60" i="21" a="1"/>
  <c r="E60" i="21"/>
  <c r="F60" i="21" a="1"/>
  <c r="F60" i="21" s="1"/>
  <c r="G60" i="21" a="1"/>
  <c r="G60" i="21" s="1"/>
  <c r="H60" i="21" a="1"/>
  <c r="H60" i="21" s="1"/>
  <c r="I60" i="21" a="1"/>
  <c r="I60" i="21" s="1"/>
  <c r="J60" i="21" a="1"/>
  <c r="J60" i="21" s="1"/>
  <c r="K60" i="21" a="1"/>
  <c r="K60" i="21" s="1"/>
  <c r="L60" i="21" a="1"/>
  <c r="L60" i="21" s="1"/>
  <c r="M60" i="21" a="1"/>
  <c r="M60" i="21" s="1"/>
  <c r="N60" i="21" a="1"/>
  <c r="N60" i="21" s="1"/>
  <c r="O60" i="21" a="1"/>
  <c r="O60" i="21" s="1"/>
  <c r="P60" i="21" a="1"/>
  <c r="P60" i="21" s="1"/>
  <c r="B61" i="21" a="1"/>
  <c r="B61" i="21" s="1"/>
  <c r="C61" i="21" a="1"/>
  <c r="C61" i="21" s="1"/>
  <c r="D61" i="21" a="1"/>
  <c r="D61" i="21" s="1"/>
  <c r="E61" i="21" a="1"/>
  <c r="E61" i="21" s="1"/>
  <c r="F61" i="21" a="1"/>
  <c r="F61" i="21" s="1"/>
  <c r="G61" i="21" a="1"/>
  <c r="G61" i="21" s="1"/>
  <c r="H61" i="21" a="1"/>
  <c r="H61" i="21" s="1"/>
  <c r="I61" i="21" a="1"/>
  <c r="I61" i="21" s="1"/>
  <c r="J61" i="21" a="1"/>
  <c r="J61" i="21" s="1"/>
  <c r="K61" i="21" a="1"/>
  <c r="K61" i="21" s="1"/>
  <c r="L61" i="21" a="1"/>
  <c r="L61" i="21" s="1"/>
  <c r="M61" i="21" a="1"/>
  <c r="M61" i="21" s="1"/>
  <c r="N61" i="21" a="1"/>
  <c r="N61" i="21"/>
  <c r="O61" i="21" a="1"/>
  <c r="O61" i="21" s="1"/>
  <c r="P61" i="21" a="1"/>
  <c r="P61" i="21" s="1"/>
  <c r="B62" i="21" a="1"/>
  <c r="B62" i="21" s="1"/>
  <c r="C62" i="21" a="1"/>
  <c r="C62" i="21" s="1"/>
  <c r="D62" i="21" a="1"/>
  <c r="D62" i="21" s="1"/>
  <c r="E62" i="21" a="1"/>
  <c r="E62" i="21" s="1"/>
  <c r="F62" i="21" a="1"/>
  <c r="F62" i="21" s="1"/>
  <c r="G62" i="21" a="1"/>
  <c r="G62" i="21" s="1"/>
  <c r="H62" i="21" a="1"/>
  <c r="H62" i="21" s="1"/>
  <c r="I62" i="21" a="1"/>
  <c r="I62" i="21" s="1"/>
  <c r="J62" i="21" a="1"/>
  <c r="J62" i="21" s="1"/>
  <c r="K62" i="21" a="1"/>
  <c r="K62" i="21" s="1"/>
  <c r="L62" i="21" a="1"/>
  <c r="L62" i="21" s="1"/>
  <c r="M62" i="21" a="1"/>
  <c r="M62" i="21" s="1"/>
  <c r="N62" i="21" a="1"/>
  <c r="N62" i="21" s="1"/>
  <c r="O62" i="21" a="1"/>
  <c r="O62" i="21" s="1"/>
  <c r="P62" i="21" a="1"/>
  <c r="P62" i="21" s="1"/>
  <c r="B63" i="21" a="1"/>
  <c r="B63" i="21" s="1"/>
  <c r="C63" i="21" a="1"/>
  <c r="C63" i="21" s="1"/>
  <c r="D63" i="21" a="1"/>
  <c r="D63" i="21" s="1"/>
  <c r="E63" i="21" a="1"/>
  <c r="E63" i="21" s="1"/>
  <c r="F63" i="21" a="1"/>
  <c r="F63" i="21" s="1"/>
  <c r="G63" i="21" a="1"/>
  <c r="G63" i="21" s="1"/>
  <c r="H63" i="21" a="1"/>
  <c r="H63" i="21"/>
  <c r="I63" i="21" a="1"/>
  <c r="I63" i="21" s="1"/>
  <c r="J63" i="21" a="1"/>
  <c r="J63" i="21" s="1"/>
  <c r="K63" i="21" a="1"/>
  <c r="K63" i="21" s="1"/>
  <c r="L63" i="21" a="1"/>
  <c r="L63" i="21" s="1"/>
  <c r="M63" i="21" a="1"/>
  <c r="M63" i="21" s="1"/>
  <c r="N63" i="21" a="1"/>
  <c r="N63" i="21"/>
  <c r="O63" i="21" a="1"/>
  <c r="O63" i="21" s="1"/>
  <c r="P63" i="21" a="1"/>
  <c r="P63" i="21" s="1"/>
  <c r="B64" i="21" a="1"/>
  <c r="B64" i="21" s="1"/>
  <c r="C64" i="21" a="1"/>
  <c r="C64" i="21" s="1"/>
  <c r="D64" i="21" a="1"/>
  <c r="D64" i="21" s="1"/>
  <c r="E64" i="21" a="1"/>
  <c r="E64" i="21"/>
  <c r="F64" i="21" a="1"/>
  <c r="F64" i="21" s="1"/>
  <c r="G64" i="21" a="1"/>
  <c r="G64" i="21" s="1"/>
  <c r="H64" i="21" a="1"/>
  <c r="H64" i="21" s="1"/>
  <c r="I64" i="21" a="1"/>
  <c r="I64" i="21" s="1"/>
  <c r="J64" i="21" a="1"/>
  <c r="J64" i="21" s="1"/>
  <c r="K64" i="21" a="1"/>
  <c r="K64" i="21"/>
  <c r="L64" i="21" a="1"/>
  <c r="L64" i="21" s="1"/>
  <c r="M64" i="21" a="1"/>
  <c r="M64" i="21" s="1"/>
  <c r="N64" i="21" a="1"/>
  <c r="N64" i="21" s="1"/>
  <c r="O64" i="21" a="1"/>
  <c r="O64" i="21" s="1"/>
  <c r="P64" i="21" a="1"/>
  <c r="P64" i="21" s="1"/>
  <c r="B65" i="21" a="1"/>
  <c r="B65" i="21"/>
  <c r="C65" i="21" a="1"/>
  <c r="C65" i="21" s="1"/>
  <c r="D65" i="21" a="1"/>
  <c r="D65" i="21" s="1"/>
  <c r="E65" i="21" a="1"/>
  <c r="E65" i="21" s="1"/>
  <c r="F65" i="21" a="1"/>
  <c r="F65" i="21" s="1"/>
  <c r="G65" i="21" a="1"/>
  <c r="G65" i="21" s="1"/>
  <c r="H65" i="21" a="1"/>
  <c r="H65" i="21" s="1"/>
  <c r="I65" i="21" a="1"/>
  <c r="I65" i="21" s="1"/>
  <c r="J65" i="21" a="1"/>
  <c r="J65" i="21" s="1"/>
  <c r="K65" i="21" a="1"/>
  <c r="K65" i="21" s="1"/>
  <c r="L65" i="21" a="1"/>
  <c r="L65" i="21" s="1"/>
  <c r="M65" i="21" a="1"/>
  <c r="M65" i="21" s="1"/>
  <c r="N65" i="21" a="1"/>
  <c r="N65" i="21" s="1"/>
  <c r="O65" i="21" a="1"/>
  <c r="O65" i="21" s="1"/>
  <c r="P65" i="21" a="1"/>
  <c r="P65" i="21" s="1"/>
  <c r="B66" i="21" a="1"/>
  <c r="B66" i="21" s="1"/>
  <c r="C66" i="21" a="1"/>
  <c r="C66" i="21" s="1"/>
  <c r="D66" i="21" a="1"/>
  <c r="D66" i="21" s="1"/>
  <c r="E66" i="21" a="1"/>
  <c r="E66" i="21" s="1"/>
  <c r="F66" i="21" a="1"/>
  <c r="F66" i="21" s="1"/>
  <c r="G66" i="21" a="1"/>
  <c r="G66" i="21" s="1"/>
  <c r="H66" i="21" a="1"/>
  <c r="H66" i="21" s="1"/>
  <c r="I66" i="21" a="1"/>
  <c r="I66" i="21" s="1"/>
  <c r="J66" i="21" a="1"/>
  <c r="J66" i="21" s="1"/>
  <c r="K66" i="21" a="1"/>
  <c r="K66" i="21"/>
  <c r="L66" i="21" a="1"/>
  <c r="L66" i="21" s="1"/>
  <c r="M66" i="21" a="1"/>
  <c r="M66" i="21" s="1"/>
  <c r="N66" i="21" a="1"/>
  <c r="N66" i="21" s="1"/>
  <c r="O66" i="21" a="1"/>
  <c r="O66" i="21" s="1"/>
  <c r="P66" i="21" a="1"/>
  <c r="P66" i="21" s="1"/>
  <c r="B67" i="21" a="1"/>
  <c r="B67" i="21"/>
  <c r="C67" i="21" a="1"/>
  <c r="C67" i="21" s="1"/>
  <c r="D67" i="21" a="1"/>
  <c r="D67" i="21" s="1"/>
  <c r="E67" i="21" a="1"/>
  <c r="E67" i="21" s="1"/>
  <c r="F67" i="21" a="1"/>
  <c r="F67" i="21" s="1"/>
  <c r="G67" i="21" a="1"/>
  <c r="G67" i="21" s="1"/>
  <c r="H67" i="21" a="1"/>
  <c r="H67" i="21" s="1"/>
  <c r="I67" i="21" a="1"/>
  <c r="I67" i="21" s="1"/>
  <c r="J67" i="21" a="1"/>
  <c r="J67" i="21" s="1"/>
  <c r="K67" i="21" a="1"/>
  <c r="K67" i="21" s="1"/>
  <c r="L67" i="21" a="1"/>
  <c r="L67" i="21" s="1"/>
  <c r="M67" i="21" a="1"/>
  <c r="M67" i="21" s="1"/>
  <c r="N67" i="21" a="1"/>
  <c r="N67" i="21" s="1"/>
  <c r="O67" i="21" a="1"/>
  <c r="O67" i="21" s="1"/>
  <c r="P67" i="21" a="1"/>
  <c r="P67" i="21" s="1"/>
  <c r="B68" i="21" a="1"/>
  <c r="B68" i="21" s="1"/>
  <c r="C68" i="21" a="1"/>
  <c r="C68" i="21" s="1"/>
  <c r="D68" i="21" a="1"/>
  <c r="D68" i="21" s="1"/>
  <c r="E68" i="21" a="1"/>
  <c r="E68" i="21"/>
  <c r="F68" i="21" a="1"/>
  <c r="F68" i="21" s="1"/>
  <c r="G68" i="21" a="1"/>
  <c r="G68" i="21" s="1"/>
  <c r="H68" i="21" a="1"/>
  <c r="H68" i="21" s="1"/>
  <c r="I68" i="21" a="1"/>
  <c r="I68" i="21" s="1"/>
  <c r="J68" i="21" a="1"/>
  <c r="J68" i="21" s="1"/>
  <c r="K68" i="21" a="1"/>
  <c r="K68" i="21"/>
  <c r="L68" i="21" a="1"/>
  <c r="L68" i="21" s="1"/>
  <c r="M68" i="21" a="1"/>
  <c r="M68" i="21" s="1"/>
  <c r="N68" i="21" a="1"/>
  <c r="N68" i="21" s="1"/>
  <c r="O68" i="21" a="1"/>
  <c r="O68" i="21" s="1"/>
  <c r="P68" i="21" a="1"/>
  <c r="P68" i="21" s="1"/>
  <c r="B69" i="21" a="1"/>
  <c r="B69" i="21"/>
  <c r="C69" i="21" a="1"/>
  <c r="C69" i="21" s="1"/>
  <c r="D69" i="21" a="1"/>
  <c r="D69" i="21" s="1"/>
  <c r="E69" i="21" a="1"/>
  <c r="E69" i="21" s="1"/>
  <c r="F69" i="21" a="1"/>
  <c r="F69" i="21" s="1"/>
  <c r="G69" i="21" a="1"/>
  <c r="G69" i="21" s="1"/>
  <c r="H69" i="21" a="1"/>
  <c r="H69" i="21"/>
  <c r="I69" i="21" a="1"/>
  <c r="I69" i="21" s="1"/>
  <c r="J69" i="21" a="1"/>
  <c r="J69" i="21" s="1"/>
  <c r="K69" i="21" a="1"/>
  <c r="K69" i="21" s="1"/>
  <c r="L69" i="21" a="1"/>
  <c r="L69" i="21" s="1"/>
  <c r="M69" i="21" a="1"/>
  <c r="M69" i="21" s="1"/>
  <c r="N69" i="21" a="1"/>
  <c r="N69" i="21"/>
  <c r="O69" i="21" a="1"/>
  <c r="O69" i="21" s="1"/>
  <c r="P69" i="21" a="1"/>
  <c r="P69" i="21" s="1"/>
  <c r="B70" i="21" a="1"/>
  <c r="B70" i="21" s="1"/>
  <c r="C70" i="21" a="1"/>
  <c r="C70" i="21" s="1"/>
  <c r="D70" i="21" a="1"/>
  <c r="D70" i="21" s="1"/>
  <c r="E70" i="21" a="1"/>
  <c r="E70" i="21"/>
  <c r="F70" i="21" a="1"/>
  <c r="F70" i="21" s="1"/>
  <c r="G70" i="21" a="1"/>
  <c r="G70" i="21"/>
  <c r="H70" i="21" a="1"/>
  <c r="H70" i="21" s="1"/>
  <c r="I70" i="21" a="1"/>
  <c r="I70" i="21"/>
  <c r="J70" i="21" a="1"/>
  <c r="J70" i="21" s="1"/>
  <c r="K70" i="21" a="1"/>
  <c r="K70" i="21"/>
  <c r="L70" i="21" a="1"/>
  <c r="L70" i="21" s="1"/>
  <c r="M70" i="21" a="1"/>
  <c r="M70" i="21"/>
  <c r="N70" i="21" a="1"/>
  <c r="N70" i="21" s="1"/>
  <c r="O70" i="21" a="1"/>
  <c r="O70" i="21"/>
  <c r="P70" i="21" a="1"/>
  <c r="P70" i="21" s="1"/>
  <c r="B71" i="21" a="1"/>
  <c r="B71" i="21"/>
  <c r="C71" i="21" a="1"/>
  <c r="C71" i="21" s="1"/>
  <c r="D71" i="21" a="1"/>
  <c r="D71" i="21"/>
  <c r="E71" i="21" a="1"/>
  <c r="E71" i="21" s="1"/>
  <c r="F71" i="21" a="1"/>
  <c r="F71" i="21"/>
  <c r="G71" i="21" a="1"/>
  <c r="G71" i="21" s="1"/>
  <c r="H71" i="21" a="1"/>
  <c r="H71" i="21"/>
  <c r="I71" i="21" a="1"/>
  <c r="I71" i="21" s="1"/>
  <c r="J71" i="21" a="1"/>
  <c r="J71" i="21"/>
  <c r="K71" i="21" a="1"/>
  <c r="K71" i="21" s="1"/>
  <c r="L71" i="21" a="1"/>
  <c r="L71" i="21"/>
  <c r="M71" i="21" a="1"/>
  <c r="M71" i="21" s="1"/>
  <c r="N71" i="21" a="1"/>
  <c r="N71" i="21"/>
  <c r="O71" i="21" a="1"/>
  <c r="O71" i="21" s="1"/>
  <c r="P71" i="21" a="1"/>
  <c r="P71" i="21"/>
  <c r="B72" i="21" a="1"/>
  <c r="B72" i="21" s="1"/>
  <c r="C72" i="21" a="1"/>
  <c r="C72" i="21"/>
  <c r="D72" i="21" a="1"/>
  <c r="D72" i="21" s="1"/>
  <c r="E72" i="21" a="1"/>
  <c r="E72" i="21"/>
  <c r="F72" i="21" a="1"/>
  <c r="F72" i="21" s="1"/>
  <c r="G72" i="21" a="1"/>
  <c r="G72" i="21" s="1"/>
  <c r="H72" i="21" a="1"/>
  <c r="H72" i="21" s="1"/>
  <c r="I72" i="21" a="1"/>
  <c r="I72" i="21"/>
  <c r="J72" i="21" a="1"/>
  <c r="J72" i="21" s="1"/>
  <c r="K72" i="21" a="1"/>
  <c r="K72" i="21"/>
  <c r="L72" i="21" a="1"/>
  <c r="L72" i="21" s="1"/>
  <c r="M72" i="21" a="1"/>
  <c r="M72" i="21" s="1"/>
  <c r="N72" i="21" a="1"/>
  <c r="N72" i="21" s="1"/>
  <c r="O72" i="21" a="1"/>
  <c r="O72" i="21"/>
  <c r="P72" i="21" a="1"/>
  <c r="P72" i="21" s="1"/>
  <c r="B73" i="21" a="1"/>
  <c r="B73" i="21"/>
  <c r="C73" i="21" a="1"/>
  <c r="C73" i="21" s="1"/>
  <c r="D73" i="21" a="1"/>
  <c r="D73" i="21" s="1"/>
  <c r="E73" i="21" a="1"/>
  <c r="E73" i="21" s="1"/>
  <c r="F73" i="21" a="1"/>
  <c r="F73" i="21"/>
  <c r="G73" i="21" a="1"/>
  <c r="G73" i="21" s="1"/>
  <c r="H73" i="21" a="1"/>
  <c r="H73" i="21"/>
  <c r="I73" i="21" a="1"/>
  <c r="I73" i="21" s="1"/>
  <c r="J73" i="21" a="1"/>
  <c r="J73" i="21" s="1"/>
  <c r="K73" i="21" a="1"/>
  <c r="K73" i="21" s="1"/>
  <c r="L73" i="21" a="1"/>
  <c r="L73" i="21"/>
  <c r="M73" i="21" a="1"/>
  <c r="M73" i="21" s="1"/>
  <c r="N73" i="21" a="1"/>
  <c r="N73" i="21"/>
  <c r="O73" i="21" a="1"/>
  <c r="O73" i="21" s="1"/>
  <c r="P73" i="21" a="1"/>
  <c r="P73" i="21" s="1"/>
  <c r="B74" i="21" a="1"/>
  <c r="B74" i="21" s="1"/>
  <c r="C74" i="21" a="1"/>
  <c r="C74" i="21"/>
  <c r="D74" i="21" a="1"/>
  <c r="D74" i="21" s="1"/>
  <c r="E74" i="21" a="1"/>
  <c r="E74" i="21"/>
  <c r="F74" i="21" a="1"/>
  <c r="F74" i="21" s="1"/>
  <c r="G74" i="21" a="1"/>
  <c r="G74" i="21" s="1"/>
  <c r="H74" i="21" a="1"/>
  <c r="H74" i="21" s="1"/>
  <c r="I74" i="21" a="1"/>
  <c r="I74" i="21"/>
  <c r="J74" i="21" a="1"/>
  <c r="J74" i="21" s="1"/>
  <c r="K74" i="21" a="1"/>
  <c r="K74" i="21"/>
  <c r="L74" i="21" a="1"/>
  <c r="L74" i="21" s="1"/>
  <c r="M74" i="21" a="1"/>
  <c r="M74" i="21" s="1"/>
  <c r="N74" i="21" a="1"/>
  <c r="N74" i="21" s="1"/>
  <c r="O74" i="21" a="1"/>
  <c r="O74" i="21"/>
  <c r="P74" i="21" a="1"/>
  <c r="P74" i="21" s="1"/>
  <c r="B75" i="21" a="1"/>
  <c r="B75" i="21"/>
  <c r="C75" i="21" a="1"/>
  <c r="C75" i="21" s="1"/>
  <c r="D75" i="21" a="1"/>
  <c r="D75" i="21" s="1"/>
  <c r="E75" i="21" a="1"/>
  <c r="E75" i="21" s="1"/>
  <c r="F75" i="21" a="1"/>
  <c r="F75" i="21"/>
  <c r="G75" i="21" a="1"/>
  <c r="G75" i="21" s="1"/>
  <c r="H75" i="21" a="1"/>
  <c r="H75" i="21"/>
  <c r="I75" i="21" a="1"/>
  <c r="I75" i="21" s="1"/>
  <c r="J75" i="21" a="1"/>
  <c r="J75" i="21" s="1"/>
  <c r="K75" i="21" a="1"/>
  <c r="K75" i="21" s="1"/>
  <c r="L75" i="21" a="1"/>
  <c r="L75" i="21"/>
  <c r="M75" i="21" a="1"/>
  <c r="M75" i="21" s="1"/>
  <c r="N75" i="21" a="1"/>
  <c r="N75" i="21"/>
  <c r="O75" i="21" a="1"/>
  <c r="O75" i="21" s="1"/>
  <c r="P75" i="21" a="1"/>
  <c r="P75" i="21" s="1"/>
  <c r="B76" i="21" a="1"/>
  <c r="B76" i="21" s="1"/>
  <c r="C76" i="21" a="1"/>
  <c r="C76" i="21"/>
  <c r="D76" i="21" a="1"/>
  <c r="D76" i="21" s="1"/>
  <c r="E76" i="21" a="1"/>
  <c r="E76" i="21"/>
  <c r="F76" i="21" a="1"/>
  <c r="F76" i="21" s="1"/>
  <c r="G76" i="21" a="1"/>
  <c r="G76" i="21" s="1"/>
  <c r="H76" i="21" a="1"/>
  <c r="H76" i="21" s="1"/>
  <c r="I76" i="21" a="1"/>
  <c r="I76" i="21"/>
  <c r="J76" i="21" a="1"/>
  <c r="J76" i="21" s="1"/>
  <c r="K76" i="21" a="1"/>
  <c r="K76" i="21" s="1"/>
  <c r="L76" i="21" a="1"/>
  <c r="L76" i="21" s="1"/>
  <c r="M76" i="21" a="1"/>
  <c r="M76" i="21" s="1"/>
  <c r="N76" i="21" a="1"/>
  <c r="N76" i="21" s="1"/>
  <c r="O76" i="21" a="1"/>
  <c r="O76" i="21"/>
  <c r="P76" i="21" a="1"/>
  <c r="P76" i="21" s="1"/>
  <c r="B77" i="21" a="1"/>
  <c r="B77" i="21" s="1"/>
  <c r="C77" i="21" a="1"/>
  <c r="C77" i="21" s="1"/>
  <c r="D77" i="21" a="1"/>
  <c r="D77" i="21" s="1"/>
  <c r="E77" i="21" a="1"/>
  <c r="E77" i="21" s="1"/>
  <c r="F77" i="21" a="1"/>
  <c r="F77" i="21"/>
  <c r="G77" i="21" a="1"/>
  <c r="G77" i="21" s="1"/>
  <c r="H77" i="21" a="1"/>
  <c r="H77" i="21" s="1"/>
  <c r="I77" i="21" a="1"/>
  <c r="I77" i="21" s="1"/>
  <c r="J77" i="21" a="1"/>
  <c r="J77" i="21" s="1"/>
  <c r="K77" i="21" a="1"/>
  <c r="K77" i="21" s="1"/>
  <c r="L77" i="21" a="1"/>
  <c r="L77" i="21"/>
  <c r="M77" i="21" a="1"/>
  <c r="M77" i="21" s="1"/>
  <c r="N77" i="21" a="1"/>
  <c r="N77" i="21" s="1"/>
  <c r="O77" i="21" a="1"/>
  <c r="O77" i="21" s="1"/>
  <c r="P77" i="21" a="1"/>
  <c r="P77" i="21" s="1"/>
  <c r="B78" i="21" a="1"/>
  <c r="B78" i="21" s="1"/>
  <c r="C78" i="21" a="1"/>
  <c r="C78" i="21"/>
  <c r="D78" i="21" a="1"/>
  <c r="D78" i="21" s="1"/>
  <c r="E78" i="21" a="1"/>
  <c r="E78" i="21" s="1"/>
  <c r="F78" i="21" a="1"/>
  <c r="F78" i="21" s="1"/>
  <c r="G78" i="21" a="1"/>
  <c r="G78" i="21" s="1"/>
  <c r="H78" i="21" a="1"/>
  <c r="H78" i="21" s="1"/>
  <c r="I78" i="21" a="1"/>
  <c r="I78" i="21"/>
  <c r="J78" i="21" a="1"/>
  <c r="J78" i="21" s="1"/>
  <c r="K78" i="21" a="1"/>
  <c r="K78" i="21" s="1"/>
  <c r="L78" i="21" a="1"/>
  <c r="L78" i="21" s="1"/>
  <c r="M78" i="21" a="1"/>
  <c r="M78" i="21" s="1"/>
  <c r="N78" i="21" a="1"/>
  <c r="N78" i="21" s="1"/>
  <c r="O78" i="21" a="1"/>
  <c r="O78" i="21"/>
  <c r="P78" i="21" a="1"/>
  <c r="P78" i="21" s="1"/>
  <c r="B79" i="21" a="1"/>
  <c r="B79" i="21" s="1"/>
  <c r="C79" i="21" a="1"/>
  <c r="C79" i="21" s="1"/>
  <c r="D79" i="21" a="1"/>
  <c r="D79" i="21" s="1"/>
  <c r="E79" i="21" a="1"/>
  <c r="E79" i="21" s="1"/>
  <c r="F79" i="21" a="1"/>
  <c r="F79" i="21"/>
  <c r="G79" i="21" a="1"/>
  <c r="G79" i="21" s="1"/>
  <c r="H79" i="21" a="1"/>
  <c r="H79" i="21" s="1"/>
  <c r="I79" i="21" a="1"/>
  <c r="I79" i="21" s="1"/>
  <c r="J79" i="21" a="1"/>
  <c r="J79" i="21" s="1"/>
  <c r="K79" i="21" a="1"/>
  <c r="K79" i="21" s="1"/>
  <c r="L79" i="21" a="1"/>
  <c r="L79" i="21"/>
  <c r="M79" i="21" a="1"/>
  <c r="M79" i="21" s="1"/>
  <c r="N79" i="21" a="1"/>
  <c r="N79" i="21" s="1"/>
  <c r="O79" i="21" a="1"/>
  <c r="O79" i="21" s="1"/>
  <c r="P79" i="21" a="1"/>
  <c r="P79" i="21" s="1"/>
  <c r="B80" i="21" a="1"/>
  <c r="B80" i="21" s="1"/>
  <c r="C80" i="21" a="1"/>
  <c r="C80" i="21"/>
  <c r="D80" i="21" a="1"/>
  <c r="D80" i="21" s="1"/>
  <c r="E80" i="21" a="1"/>
  <c r="E80" i="21" s="1"/>
  <c r="F80" i="21" a="1"/>
  <c r="F80" i="21" s="1"/>
  <c r="G80" i="21" a="1"/>
  <c r="G80" i="21" s="1"/>
  <c r="H80" i="21" a="1"/>
  <c r="H80" i="21" s="1"/>
  <c r="I80" i="21" a="1"/>
  <c r="I80" i="21"/>
  <c r="J80" i="21" a="1"/>
  <c r="J80" i="21" s="1"/>
  <c r="K80" i="21" a="1"/>
  <c r="K80" i="21" s="1"/>
  <c r="L80" i="21" a="1"/>
  <c r="L80" i="21" s="1"/>
  <c r="M80" i="21" a="1"/>
  <c r="M80" i="21" s="1"/>
  <c r="N80" i="21" a="1"/>
  <c r="N80" i="21" s="1"/>
  <c r="O80" i="21" a="1"/>
  <c r="O80" i="21"/>
  <c r="P80" i="21" a="1"/>
  <c r="P80" i="21" s="1"/>
  <c r="B81" i="21" a="1"/>
  <c r="B81" i="21" s="1"/>
  <c r="C81" i="21" a="1"/>
  <c r="C81" i="21" s="1"/>
  <c r="D81" i="21" a="1"/>
  <c r="D81" i="21" s="1"/>
  <c r="E81" i="21" a="1"/>
  <c r="E81" i="21" s="1"/>
  <c r="F81" i="21" a="1"/>
  <c r="F81" i="21"/>
  <c r="G81" i="21" a="1"/>
  <c r="G81" i="21" s="1"/>
  <c r="H81" i="21" a="1"/>
  <c r="H81" i="21" s="1"/>
  <c r="I81" i="21" a="1"/>
  <c r="I81" i="21" s="1"/>
  <c r="J81" i="21" a="1"/>
  <c r="J81" i="21" s="1"/>
  <c r="K81" i="21" a="1"/>
  <c r="K81" i="21" s="1"/>
  <c r="L81" i="21" a="1"/>
  <c r="L81" i="21"/>
  <c r="M81" i="21" a="1"/>
  <c r="M81" i="21" s="1"/>
  <c r="N81" i="21" a="1"/>
  <c r="N81" i="21" s="1"/>
  <c r="O81" i="21" a="1"/>
  <c r="O81" i="21" s="1"/>
  <c r="P81" i="21" a="1"/>
  <c r="P81" i="21" s="1"/>
  <c r="B82" i="21" a="1"/>
  <c r="B82" i="21" s="1"/>
  <c r="C82" i="21" a="1"/>
  <c r="C82" i="21"/>
  <c r="D82" i="21" a="1"/>
  <c r="D82" i="21" s="1"/>
  <c r="E82" i="21" a="1"/>
  <c r="E82" i="21" s="1"/>
  <c r="F82" i="21" a="1"/>
  <c r="F82" i="21" s="1"/>
  <c r="G82" i="21" a="1"/>
  <c r="G82" i="21" s="1"/>
  <c r="H82" i="21" a="1"/>
  <c r="H82" i="21" s="1"/>
  <c r="I82" i="21" a="1"/>
  <c r="I82" i="21"/>
  <c r="J82" i="21" a="1"/>
  <c r="J82" i="21" s="1"/>
  <c r="K82" i="21" a="1"/>
  <c r="K82" i="21" s="1"/>
  <c r="L82" i="21" a="1"/>
  <c r="L82" i="21" s="1"/>
  <c r="M82" i="21" a="1"/>
  <c r="M82" i="21" s="1"/>
  <c r="N82" i="21" a="1"/>
  <c r="N82" i="21" s="1"/>
  <c r="O82" i="21" a="1"/>
  <c r="O82" i="21"/>
  <c r="P82" i="21" a="1"/>
  <c r="P82" i="21" s="1"/>
  <c r="B83" i="21" a="1"/>
  <c r="B83" i="21" s="1"/>
  <c r="C83" i="21" a="1"/>
  <c r="C83" i="21" s="1"/>
  <c r="D83" i="21" a="1"/>
  <c r="D83" i="21" s="1"/>
  <c r="E83" i="21" a="1"/>
  <c r="E83" i="21" s="1"/>
  <c r="F83" i="21" a="1"/>
  <c r="F83" i="21"/>
  <c r="G83" i="21" a="1"/>
  <c r="G83" i="21" s="1"/>
  <c r="H83" i="21" a="1"/>
  <c r="H83" i="21" s="1"/>
  <c r="I83" i="21" a="1"/>
  <c r="I83" i="21" s="1"/>
  <c r="J83" i="21" a="1"/>
  <c r="J83" i="21" s="1"/>
  <c r="K83" i="21" a="1"/>
  <c r="K83" i="21" s="1"/>
  <c r="L83" i="21" a="1"/>
  <c r="L83" i="21"/>
  <c r="M83" i="21" a="1"/>
  <c r="M83" i="21" s="1"/>
  <c r="N83" i="21" a="1"/>
  <c r="N83" i="21" s="1"/>
  <c r="O83" i="21" a="1"/>
  <c r="O83" i="21" s="1"/>
  <c r="P83" i="21" a="1"/>
  <c r="P83" i="21" s="1"/>
  <c r="B84" i="21" a="1"/>
  <c r="B84" i="21" s="1"/>
  <c r="C84" i="21" a="1"/>
  <c r="C84" i="21"/>
  <c r="D84" i="21" a="1"/>
  <c r="D84" i="21" s="1"/>
  <c r="E84" i="21" a="1"/>
  <c r="E84" i="21" s="1"/>
  <c r="F84" i="21" a="1"/>
  <c r="F84" i="21" s="1"/>
  <c r="G84" i="21" a="1"/>
  <c r="G84" i="21" s="1"/>
  <c r="H84" i="21" a="1"/>
  <c r="H84" i="21" s="1"/>
  <c r="I84" i="21" a="1"/>
  <c r="I84" i="21"/>
  <c r="J84" i="21" a="1"/>
  <c r="J84" i="21" s="1"/>
  <c r="K84" i="21" a="1"/>
  <c r="K84" i="21" s="1"/>
  <c r="L84" i="21" a="1"/>
  <c r="L84" i="21" s="1"/>
  <c r="M84" i="21" a="1"/>
  <c r="M84" i="21" s="1"/>
  <c r="N84" i="21" a="1"/>
  <c r="N84" i="21" s="1"/>
  <c r="O84" i="21" a="1"/>
  <c r="O84" i="21"/>
  <c r="P84" i="21" a="1"/>
  <c r="P84" i="21" s="1"/>
  <c r="B85" i="21" a="1"/>
  <c r="B85" i="21" s="1"/>
  <c r="C85" i="21" a="1"/>
  <c r="C85" i="21" s="1"/>
  <c r="D85" i="21" a="1"/>
  <c r="D85" i="21" s="1"/>
  <c r="E85" i="21" a="1"/>
  <c r="E85" i="21" s="1"/>
  <c r="F85" i="21" a="1"/>
  <c r="F85" i="21"/>
  <c r="G85" i="21" a="1"/>
  <c r="G85" i="21" s="1"/>
  <c r="H85" i="21" a="1"/>
  <c r="H85" i="21" s="1"/>
  <c r="I85" i="21" a="1"/>
  <c r="I85" i="21" s="1"/>
  <c r="J85" i="21" a="1"/>
  <c r="J85" i="21" s="1"/>
  <c r="K85" i="21" a="1"/>
  <c r="K85" i="21" s="1"/>
  <c r="L85" i="21" a="1"/>
  <c r="L85" i="21"/>
  <c r="M85" i="21" a="1"/>
  <c r="M85" i="21" s="1"/>
  <c r="N85" i="21" a="1"/>
  <c r="N85" i="21" s="1"/>
  <c r="O85" i="21" a="1"/>
  <c r="O85" i="21" s="1"/>
  <c r="P85" i="21" a="1"/>
  <c r="P85" i="21" s="1"/>
  <c r="B86" i="21" a="1"/>
  <c r="B86" i="21" s="1"/>
  <c r="C86" i="21" a="1"/>
  <c r="C86" i="21"/>
  <c r="D86" i="21" a="1"/>
  <c r="D86" i="21" s="1"/>
  <c r="E86" i="21" a="1"/>
  <c r="E86" i="21" s="1"/>
  <c r="F86" i="21" a="1"/>
  <c r="F86" i="21" s="1"/>
  <c r="G86" i="21" a="1"/>
  <c r="G86" i="21" s="1"/>
  <c r="H86" i="21" a="1"/>
  <c r="H86" i="21" s="1"/>
  <c r="I86" i="21" a="1"/>
  <c r="I86" i="21"/>
  <c r="J86" i="21" a="1"/>
  <c r="J86" i="21" s="1"/>
  <c r="K86" i="21" a="1"/>
  <c r="K86" i="21" s="1"/>
  <c r="L86" i="21" a="1"/>
  <c r="L86" i="21" s="1"/>
  <c r="M86" i="21" a="1"/>
  <c r="M86" i="21" s="1"/>
  <c r="N86" i="21" a="1"/>
  <c r="N86" i="21" s="1"/>
  <c r="O86" i="21" a="1"/>
  <c r="O86" i="21"/>
  <c r="P86" i="21" a="1"/>
  <c r="P86" i="21" s="1"/>
  <c r="B87" i="21" a="1"/>
  <c r="B87" i="21" s="1"/>
  <c r="C87" i="21" a="1"/>
  <c r="C87" i="21" s="1"/>
  <c r="D87" i="21" a="1"/>
  <c r="D87" i="21" s="1"/>
  <c r="E87" i="21" a="1"/>
  <c r="E87" i="21" s="1"/>
  <c r="F87" i="21" a="1"/>
  <c r="F87" i="21"/>
  <c r="G87" i="21" a="1"/>
  <c r="G87" i="21" s="1"/>
  <c r="H87" i="21" a="1"/>
  <c r="H87" i="21" s="1"/>
  <c r="I87" i="21" a="1"/>
  <c r="I87" i="21" s="1"/>
  <c r="J87" i="21" a="1"/>
  <c r="J87" i="21" s="1"/>
  <c r="K87" i="21" a="1"/>
  <c r="K87" i="21" s="1"/>
  <c r="L87" i="21" a="1"/>
  <c r="L87" i="21"/>
  <c r="M87" i="21" a="1"/>
  <c r="M87" i="21" s="1"/>
  <c r="N87" i="21" a="1"/>
  <c r="N87" i="21" s="1"/>
  <c r="O87" i="21" a="1"/>
  <c r="O87" i="21" s="1"/>
  <c r="P87" i="21" a="1"/>
  <c r="P87" i="21" s="1"/>
  <c r="C3" i="21" a="1"/>
  <c r="C3" i="21" s="1"/>
  <c r="D3" i="21" a="1"/>
  <c r="D3" i="21" s="1"/>
  <c r="E3" i="21" a="1"/>
  <c r="E3" i="21" s="1"/>
  <c r="F3" i="21" a="1"/>
  <c r="F3" i="21" s="1"/>
  <c r="G3" i="21" a="1"/>
  <c r="G3" i="21"/>
  <c r="H3" i="21" a="1"/>
  <c r="H3" i="21" s="1"/>
  <c r="I3" i="21" a="1"/>
  <c r="I3" i="21" s="1"/>
  <c r="J3" i="21" a="1"/>
  <c r="J3" i="21" s="1"/>
  <c r="K3" i="21" a="1"/>
  <c r="K3" i="21" s="1"/>
  <c r="L3" i="21" a="1"/>
  <c r="L3" i="21" s="1"/>
  <c r="M3" i="21" a="1"/>
  <c r="M3" i="21"/>
  <c r="N3" i="21" a="1"/>
  <c r="N3" i="21" s="1"/>
  <c r="O3" i="21" a="1"/>
  <c r="O3" i="21" s="1"/>
  <c r="P3" i="21" a="1"/>
  <c r="P3" i="21" s="1"/>
  <c r="B3" i="21" a="1"/>
  <c r="B3" i="21" s="1"/>
  <c r="B4" i="20" a="1"/>
  <c r="B4" i="20" s="1"/>
  <c r="C4" i="20" a="1"/>
  <c r="C4" i="20" s="1"/>
  <c r="D4" i="20" a="1"/>
  <c r="D4" i="20" s="1"/>
  <c r="E4" i="20" a="1"/>
  <c r="E4" i="20" s="1"/>
  <c r="F4" i="20" a="1"/>
  <c r="F4" i="20" s="1"/>
  <c r="G4" i="20" a="1"/>
  <c r="G4" i="20"/>
  <c r="H4" i="20" a="1"/>
  <c r="H4" i="20" s="1"/>
  <c r="I4" i="20" a="1"/>
  <c r="I4" i="20" s="1"/>
  <c r="J4" i="20" a="1"/>
  <c r="J4" i="20" s="1"/>
  <c r="K4" i="20" a="1"/>
  <c r="K4" i="20" s="1"/>
  <c r="L4" i="20" a="1"/>
  <c r="L4" i="20" s="1"/>
  <c r="M4" i="20" a="1"/>
  <c r="M4" i="20"/>
  <c r="N4" i="20" a="1"/>
  <c r="N4" i="20" s="1"/>
  <c r="O4" i="20" a="1"/>
  <c r="O4" i="20" s="1"/>
  <c r="B5" i="20" a="1"/>
  <c r="B5" i="20" s="1"/>
  <c r="C5" i="20" a="1"/>
  <c r="C5" i="20" s="1"/>
  <c r="D5" i="20" a="1"/>
  <c r="D5" i="20" s="1"/>
  <c r="E5" i="20" a="1"/>
  <c r="E5" i="20"/>
  <c r="F5" i="20" a="1"/>
  <c r="F5" i="20" s="1"/>
  <c r="G5" i="20" a="1"/>
  <c r="G5" i="20" s="1"/>
  <c r="H5" i="20" a="1"/>
  <c r="H5" i="20" s="1"/>
  <c r="I5" i="20" a="1"/>
  <c r="I5" i="20" s="1"/>
  <c r="J5" i="20" a="1"/>
  <c r="J5" i="20" s="1"/>
  <c r="K5" i="20" a="1"/>
  <c r="K5" i="20" s="1"/>
  <c r="L5" i="20" a="1"/>
  <c r="L5" i="20" s="1"/>
  <c r="M5" i="20" a="1"/>
  <c r="M5" i="20" s="1"/>
  <c r="N5" i="20" a="1"/>
  <c r="N5" i="20" s="1"/>
  <c r="O5" i="20" a="1"/>
  <c r="O5" i="20" s="1"/>
  <c r="B6" i="20" a="1"/>
  <c r="B6" i="20" s="1"/>
  <c r="C6" i="20" a="1"/>
  <c r="C6" i="20"/>
  <c r="D6" i="20" a="1"/>
  <c r="D6" i="20" s="1"/>
  <c r="E6" i="20" a="1"/>
  <c r="E6" i="20" s="1"/>
  <c r="F6" i="20" a="1"/>
  <c r="F6" i="20" s="1"/>
  <c r="G6" i="20" a="1"/>
  <c r="G6" i="20" s="1"/>
  <c r="H6" i="20" a="1"/>
  <c r="H6" i="20" s="1"/>
  <c r="I6" i="20" a="1"/>
  <c r="I6" i="20" s="1"/>
  <c r="J6" i="20" a="1"/>
  <c r="J6" i="20" s="1"/>
  <c r="K6" i="20" a="1"/>
  <c r="K6" i="20" s="1"/>
  <c r="L6" i="20" a="1"/>
  <c r="L6" i="20" s="1"/>
  <c r="M6" i="20" a="1"/>
  <c r="M6" i="20" s="1"/>
  <c r="N6" i="20" a="1"/>
  <c r="N6" i="20" s="1"/>
  <c r="O6" i="20" a="1"/>
  <c r="O6" i="20" s="1"/>
  <c r="B7" i="20" a="1"/>
  <c r="B7" i="20" s="1"/>
  <c r="C7" i="20" a="1"/>
  <c r="C7" i="20" s="1"/>
  <c r="D7" i="20" a="1"/>
  <c r="D7" i="20" s="1"/>
  <c r="E7" i="20" a="1"/>
  <c r="E7" i="20" s="1"/>
  <c r="F7" i="20" a="1"/>
  <c r="F7" i="20" s="1"/>
  <c r="G7" i="20" a="1"/>
  <c r="G7" i="20" s="1"/>
  <c r="H7" i="20" a="1"/>
  <c r="H7" i="20" s="1"/>
  <c r="I7" i="20" a="1"/>
  <c r="I7" i="20" s="1"/>
  <c r="J7" i="20" a="1"/>
  <c r="J7" i="20" s="1"/>
  <c r="K7" i="20" a="1"/>
  <c r="K7" i="20" s="1"/>
  <c r="L7" i="20" a="1"/>
  <c r="L7" i="20" s="1"/>
  <c r="M7" i="20" a="1"/>
  <c r="M7" i="20" s="1"/>
  <c r="N7" i="20" a="1"/>
  <c r="N7" i="20" s="1"/>
  <c r="O7" i="20" a="1"/>
  <c r="O7" i="20" s="1"/>
  <c r="B8" i="20" a="1"/>
  <c r="B8" i="20" s="1"/>
  <c r="C8" i="20" a="1"/>
  <c r="C8" i="20" s="1"/>
  <c r="D8" i="20" a="1"/>
  <c r="D8" i="20" s="1"/>
  <c r="E8" i="20" a="1"/>
  <c r="E8" i="20" s="1"/>
  <c r="F8" i="20" a="1"/>
  <c r="F8" i="20" s="1"/>
  <c r="G8" i="20" a="1"/>
  <c r="G8" i="20" s="1"/>
  <c r="H8" i="20" a="1"/>
  <c r="H8" i="20" s="1"/>
  <c r="I8" i="20" a="1"/>
  <c r="I8" i="20" s="1"/>
  <c r="J8" i="20" a="1"/>
  <c r="J8" i="20" s="1"/>
  <c r="K8" i="20" a="1"/>
  <c r="K8" i="20" s="1"/>
  <c r="L8" i="20" a="1"/>
  <c r="L8" i="20" s="1"/>
  <c r="M8" i="20" a="1"/>
  <c r="M8" i="20" s="1"/>
  <c r="N8" i="20" a="1"/>
  <c r="N8" i="20" s="1"/>
  <c r="O8" i="20" a="1"/>
  <c r="O8" i="20" s="1"/>
  <c r="B9" i="20" a="1"/>
  <c r="B9" i="20" s="1"/>
  <c r="C9" i="20" a="1"/>
  <c r="C9" i="20" s="1"/>
  <c r="D9" i="20" a="1"/>
  <c r="D9" i="20" s="1"/>
  <c r="E9" i="20" a="1"/>
  <c r="E9" i="20" s="1"/>
  <c r="F9" i="20" a="1"/>
  <c r="F9" i="20" s="1"/>
  <c r="G9" i="20" a="1"/>
  <c r="G9" i="20" s="1"/>
  <c r="H9" i="20" a="1"/>
  <c r="H9" i="20" s="1"/>
  <c r="I9" i="20" a="1"/>
  <c r="I9" i="20"/>
  <c r="J9" i="20" a="1"/>
  <c r="J9" i="20" s="1"/>
  <c r="K9" i="20" a="1"/>
  <c r="K9" i="20" s="1"/>
  <c r="L9" i="20" a="1"/>
  <c r="L9" i="20" s="1"/>
  <c r="M9" i="20" a="1"/>
  <c r="M9" i="20" s="1"/>
  <c r="N9" i="20" a="1"/>
  <c r="N9" i="20" s="1"/>
  <c r="O9" i="20" a="1"/>
  <c r="O9" i="20"/>
  <c r="B10" i="20" a="1"/>
  <c r="B10" i="20" s="1"/>
  <c r="C10" i="20" a="1"/>
  <c r="C10" i="20" s="1"/>
  <c r="D10" i="20" a="1"/>
  <c r="D10" i="20" s="1"/>
  <c r="E10" i="20" a="1"/>
  <c r="E10" i="20" s="1"/>
  <c r="F10" i="20" a="1"/>
  <c r="F10" i="20" s="1"/>
  <c r="G10" i="20" a="1"/>
  <c r="G10" i="20"/>
  <c r="H10" i="20" a="1"/>
  <c r="H10" i="20" s="1"/>
  <c r="I10" i="20" a="1"/>
  <c r="I10" i="20" s="1"/>
  <c r="J10" i="20" a="1"/>
  <c r="J10" i="20" s="1"/>
  <c r="K10" i="20" a="1"/>
  <c r="K10" i="20" s="1"/>
  <c r="L10" i="20" a="1"/>
  <c r="L10" i="20" s="1"/>
  <c r="M10" i="20" a="1"/>
  <c r="M10" i="20"/>
  <c r="N10" i="20" a="1"/>
  <c r="N10" i="20" s="1"/>
  <c r="O10" i="20" a="1"/>
  <c r="O10" i="20" s="1"/>
  <c r="B11" i="20" a="1"/>
  <c r="B11" i="20" s="1"/>
  <c r="C11" i="20" a="1"/>
  <c r="C11" i="20" s="1"/>
  <c r="D11" i="20" a="1"/>
  <c r="D11" i="20" s="1"/>
  <c r="E11" i="20" a="1"/>
  <c r="E11" i="20"/>
  <c r="F11" i="20" a="1"/>
  <c r="F11" i="20" s="1"/>
  <c r="G11" i="20" a="1"/>
  <c r="G11" i="20" s="1"/>
  <c r="H11" i="20" a="1"/>
  <c r="H11" i="20" s="1"/>
  <c r="I11" i="20" a="1"/>
  <c r="I11" i="20" s="1"/>
  <c r="J11" i="20" a="1"/>
  <c r="J11" i="20" s="1"/>
  <c r="K11" i="20" a="1"/>
  <c r="K11" i="20" s="1"/>
  <c r="L11" i="20" a="1"/>
  <c r="L11" i="20" s="1"/>
  <c r="M11" i="20" a="1"/>
  <c r="M11" i="20" s="1"/>
  <c r="N11" i="20" a="1"/>
  <c r="N11" i="20" s="1"/>
  <c r="O11" i="20" a="1"/>
  <c r="O11" i="20" s="1"/>
  <c r="B12" i="20" a="1"/>
  <c r="B12" i="20" s="1"/>
  <c r="C12" i="20" a="1"/>
  <c r="C12" i="20" s="1"/>
  <c r="D12" i="20" a="1"/>
  <c r="D12" i="20" s="1"/>
  <c r="E12" i="20" a="1"/>
  <c r="E12" i="20" s="1"/>
  <c r="F12" i="20" a="1"/>
  <c r="F12" i="20" s="1"/>
  <c r="G12" i="20" a="1"/>
  <c r="G12" i="20" s="1"/>
  <c r="H12" i="20" a="1"/>
  <c r="H12" i="20" s="1"/>
  <c r="I12" i="20" a="1"/>
  <c r="I12" i="20" s="1"/>
  <c r="J12" i="20" a="1"/>
  <c r="J12" i="20" s="1"/>
  <c r="K12" i="20" a="1"/>
  <c r="K12" i="20" s="1"/>
  <c r="L12" i="20" a="1"/>
  <c r="L12" i="20" s="1"/>
  <c r="M12" i="20" a="1"/>
  <c r="M12" i="20" s="1"/>
  <c r="N12" i="20" a="1"/>
  <c r="N12" i="20" s="1"/>
  <c r="O12" i="20" a="1"/>
  <c r="O12" i="20" s="1"/>
  <c r="B13" i="20" a="1"/>
  <c r="B13" i="20" s="1"/>
  <c r="C13" i="20" a="1"/>
  <c r="C13" i="20" s="1"/>
  <c r="D13" i="20" a="1"/>
  <c r="D13" i="20" s="1"/>
  <c r="E13" i="20" a="1"/>
  <c r="E13" i="20" s="1"/>
  <c r="F13" i="20" a="1"/>
  <c r="F13" i="20" s="1"/>
  <c r="G13" i="20" a="1"/>
  <c r="G13" i="20" s="1"/>
  <c r="H13" i="20" a="1"/>
  <c r="H13" i="20" s="1"/>
  <c r="I13" i="20" a="1"/>
  <c r="I13" i="20" s="1"/>
  <c r="J13" i="20" a="1"/>
  <c r="J13" i="20" s="1"/>
  <c r="K13" i="20" a="1"/>
  <c r="K13" i="20" s="1"/>
  <c r="L13" i="20" a="1"/>
  <c r="L13" i="20" s="1"/>
  <c r="M13" i="20" a="1"/>
  <c r="M13" i="20" s="1"/>
  <c r="N13" i="20" a="1"/>
  <c r="N13" i="20" s="1"/>
  <c r="O13" i="20" a="1"/>
  <c r="O13" i="20" s="1"/>
  <c r="B14" i="20" a="1"/>
  <c r="B14" i="20" s="1"/>
  <c r="C14" i="20" a="1"/>
  <c r="C14" i="20" s="1"/>
  <c r="D14" i="20" a="1"/>
  <c r="D14" i="20" s="1"/>
  <c r="E14" i="20" a="1"/>
  <c r="E14" i="20" s="1"/>
  <c r="F14" i="20" a="1"/>
  <c r="F14" i="20" s="1"/>
  <c r="G14" i="20" a="1"/>
  <c r="G14" i="20" s="1"/>
  <c r="H14" i="20" a="1"/>
  <c r="H14" i="20" s="1"/>
  <c r="I14" i="20" a="1"/>
  <c r="I14" i="20" s="1"/>
  <c r="J14" i="20" a="1"/>
  <c r="J14" i="20" s="1"/>
  <c r="K14" i="20" a="1"/>
  <c r="K14" i="20"/>
  <c r="L14" i="20" a="1"/>
  <c r="L14" i="20" s="1"/>
  <c r="M14" i="20" a="1"/>
  <c r="M14" i="20" s="1"/>
  <c r="N14" i="20" a="1"/>
  <c r="N14" i="20" s="1"/>
  <c r="O14" i="20" a="1"/>
  <c r="O14" i="20" s="1"/>
  <c r="B15" i="20" a="1"/>
  <c r="B15" i="20" s="1"/>
  <c r="C15" i="20" a="1"/>
  <c r="C15" i="20"/>
  <c r="D15" i="20" a="1"/>
  <c r="D15" i="20" s="1"/>
  <c r="E15" i="20" a="1"/>
  <c r="E15" i="20" s="1"/>
  <c r="F15" i="20" a="1"/>
  <c r="F15" i="20" s="1"/>
  <c r="G15" i="20" a="1"/>
  <c r="G15" i="20" s="1"/>
  <c r="H15" i="20" a="1"/>
  <c r="H15" i="20" s="1"/>
  <c r="I15" i="20" a="1"/>
  <c r="I15" i="20"/>
  <c r="J15" i="20" a="1"/>
  <c r="J15" i="20" s="1"/>
  <c r="K15" i="20" a="1"/>
  <c r="K15" i="20" s="1"/>
  <c r="L15" i="20" a="1"/>
  <c r="L15" i="20" s="1"/>
  <c r="M15" i="20" a="1"/>
  <c r="M15" i="20" s="1"/>
  <c r="N15" i="20" a="1"/>
  <c r="N15" i="20" s="1"/>
  <c r="O15" i="20" a="1"/>
  <c r="O15" i="20"/>
  <c r="B16" i="20" a="1"/>
  <c r="B16" i="20" s="1"/>
  <c r="C16" i="20" a="1"/>
  <c r="C16" i="20" s="1"/>
  <c r="D16" i="20" a="1"/>
  <c r="D16" i="20" s="1"/>
  <c r="E16" i="20" a="1"/>
  <c r="E16" i="20" s="1"/>
  <c r="F16" i="20" a="1"/>
  <c r="F16" i="20" s="1"/>
  <c r="G16" i="20" a="1"/>
  <c r="G16" i="20"/>
  <c r="H16" i="20" a="1"/>
  <c r="H16" i="20" s="1"/>
  <c r="I16" i="20" a="1"/>
  <c r="I16" i="20" s="1"/>
  <c r="J16" i="20" a="1"/>
  <c r="J16" i="20" s="1"/>
  <c r="K16" i="20" a="1"/>
  <c r="K16" i="20" s="1"/>
  <c r="L16" i="20" a="1"/>
  <c r="L16" i="20" s="1"/>
  <c r="M16" i="20" a="1"/>
  <c r="M16" i="20" s="1"/>
  <c r="N16" i="20" a="1"/>
  <c r="N16" i="20" s="1"/>
  <c r="O16" i="20" a="1"/>
  <c r="O16" i="20" s="1"/>
  <c r="B17" i="20" a="1"/>
  <c r="B17" i="20" s="1"/>
  <c r="C17" i="20" a="1"/>
  <c r="C17" i="20" s="1"/>
  <c r="D17" i="20" a="1"/>
  <c r="D17" i="20" s="1"/>
  <c r="E17" i="20" a="1"/>
  <c r="E17" i="20" s="1"/>
  <c r="F17" i="20" a="1"/>
  <c r="F17" i="20" s="1"/>
  <c r="G17" i="20" a="1"/>
  <c r="G17" i="20" s="1"/>
  <c r="H17" i="20" a="1"/>
  <c r="H17" i="20" s="1"/>
  <c r="I17" i="20" a="1"/>
  <c r="I17" i="20" s="1"/>
  <c r="J17" i="20" a="1"/>
  <c r="J17" i="20" s="1"/>
  <c r="K17" i="20" a="1"/>
  <c r="K17" i="20" s="1"/>
  <c r="L17" i="20" a="1"/>
  <c r="L17" i="20" s="1"/>
  <c r="M17" i="20" a="1"/>
  <c r="M17" i="20" s="1"/>
  <c r="N17" i="20" a="1"/>
  <c r="N17" i="20" s="1"/>
  <c r="O17" i="20" a="1"/>
  <c r="O17" i="20" s="1"/>
  <c r="B18" i="20" a="1"/>
  <c r="B18" i="20" s="1"/>
  <c r="C18" i="20" a="1"/>
  <c r="C18" i="20" s="1"/>
  <c r="D18" i="20" a="1"/>
  <c r="D18" i="20" s="1"/>
  <c r="E18" i="20" a="1"/>
  <c r="E18" i="20" s="1"/>
  <c r="F18" i="20" a="1"/>
  <c r="F18" i="20" s="1"/>
  <c r="G18" i="20" a="1"/>
  <c r="G18" i="20" s="1"/>
  <c r="H18" i="20" a="1"/>
  <c r="H18" i="20" s="1"/>
  <c r="I18" i="20" a="1"/>
  <c r="I18" i="20" s="1"/>
  <c r="J18" i="20" a="1"/>
  <c r="J18" i="20" s="1"/>
  <c r="K18" i="20" a="1"/>
  <c r="K18" i="20" s="1"/>
  <c r="L18" i="20" a="1"/>
  <c r="L18" i="20" s="1"/>
  <c r="M18" i="20" a="1"/>
  <c r="M18" i="20" s="1"/>
  <c r="N18" i="20" a="1"/>
  <c r="N18" i="20" s="1"/>
  <c r="O18" i="20" a="1"/>
  <c r="O18" i="20" s="1"/>
  <c r="B19" i="20" a="1"/>
  <c r="B19" i="20" s="1"/>
  <c r="C19" i="20" a="1"/>
  <c r="C19" i="20" s="1"/>
  <c r="D19" i="20" a="1"/>
  <c r="D19" i="20" s="1"/>
  <c r="E19" i="20" a="1"/>
  <c r="E19" i="20" s="1"/>
  <c r="F19" i="20" a="1"/>
  <c r="F19" i="20" s="1"/>
  <c r="G19" i="20" a="1"/>
  <c r="G19" i="20" s="1"/>
  <c r="H19" i="20" a="1"/>
  <c r="H19" i="20" s="1"/>
  <c r="I19" i="20" a="1"/>
  <c r="I19" i="20" s="1"/>
  <c r="J19" i="20" a="1"/>
  <c r="J19" i="20" s="1"/>
  <c r="K19" i="20" a="1"/>
  <c r="K19" i="20" s="1"/>
  <c r="L19" i="20" a="1"/>
  <c r="L19" i="20" s="1"/>
  <c r="M19" i="20" a="1"/>
  <c r="M19" i="20" s="1"/>
  <c r="N19" i="20" a="1"/>
  <c r="N19" i="20" s="1"/>
  <c r="O19" i="20" a="1"/>
  <c r="O19" i="20" s="1"/>
  <c r="B20" i="20" a="1"/>
  <c r="B20" i="20" s="1"/>
  <c r="C20" i="20" a="1"/>
  <c r="C20" i="20" s="1"/>
  <c r="D20" i="20" a="1"/>
  <c r="D20" i="20"/>
  <c r="E20" i="20" a="1"/>
  <c r="E20" i="20"/>
  <c r="F20" i="20" a="1"/>
  <c r="F20" i="20" s="1"/>
  <c r="G20" i="20" a="1"/>
  <c r="G20" i="20" s="1"/>
  <c r="H20" i="20" a="1"/>
  <c r="H20" i="20" s="1"/>
  <c r="I20" i="20" a="1"/>
  <c r="I20" i="20" s="1"/>
  <c r="J20" i="20" a="1"/>
  <c r="J20" i="20" s="1"/>
  <c r="K20" i="20" a="1"/>
  <c r="K20" i="20" s="1"/>
  <c r="L20" i="20" a="1"/>
  <c r="L20" i="20" s="1"/>
  <c r="M20" i="20" a="1"/>
  <c r="M20" i="20" s="1"/>
  <c r="N20" i="20" a="1"/>
  <c r="N20" i="20" s="1"/>
  <c r="O20" i="20" a="1"/>
  <c r="O20" i="20" s="1"/>
  <c r="B21" i="20" a="1"/>
  <c r="B21" i="20" s="1"/>
  <c r="C21" i="20" a="1"/>
  <c r="C21" i="20" s="1"/>
  <c r="D21" i="20" a="1"/>
  <c r="D21" i="20" s="1"/>
  <c r="E21" i="20" a="1"/>
  <c r="E21" i="20" s="1"/>
  <c r="F21" i="20" a="1"/>
  <c r="F21" i="20" s="1"/>
  <c r="G21" i="20" a="1"/>
  <c r="G21" i="20" s="1"/>
  <c r="H21" i="20" a="1"/>
  <c r="H21" i="20"/>
  <c r="I21" i="20" a="1"/>
  <c r="I21" i="20"/>
  <c r="J21" i="20" a="1"/>
  <c r="J21" i="20" s="1"/>
  <c r="K21" i="20" a="1"/>
  <c r="K21" i="20" s="1"/>
  <c r="L21" i="20" a="1"/>
  <c r="L21" i="20" s="1"/>
  <c r="M21" i="20" a="1"/>
  <c r="M21" i="20" s="1"/>
  <c r="N21" i="20" a="1"/>
  <c r="N21" i="20" s="1"/>
  <c r="O21" i="20" a="1"/>
  <c r="O21" i="20" s="1"/>
  <c r="B22" i="20" a="1"/>
  <c r="B22" i="20" s="1"/>
  <c r="C22" i="20" a="1"/>
  <c r="C22" i="20" s="1"/>
  <c r="D22" i="20" a="1"/>
  <c r="D22" i="20" s="1"/>
  <c r="E22" i="20" a="1"/>
  <c r="E22" i="20" s="1"/>
  <c r="F22" i="20" a="1"/>
  <c r="F22" i="20" s="1"/>
  <c r="G22" i="20" a="1"/>
  <c r="G22" i="20" s="1"/>
  <c r="H22" i="20" a="1"/>
  <c r="H22" i="20" s="1"/>
  <c r="I22" i="20" a="1"/>
  <c r="I22" i="20" s="1"/>
  <c r="J22" i="20" a="1"/>
  <c r="J22" i="20" s="1"/>
  <c r="K22" i="20" a="1"/>
  <c r="K22" i="20" s="1"/>
  <c r="L22" i="20" a="1"/>
  <c r="L22" i="20" s="1"/>
  <c r="M22" i="20" a="1"/>
  <c r="M22" i="20"/>
  <c r="N22" i="20" a="1"/>
  <c r="N22" i="20" s="1"/>
  <c r="O22" i="20" a="1"/>
  <c r="O22" i="20" s="1"/>
  <c r="B23" i="20" a="1"/>
  <c r="B23" i="20" s="1"/>
  <c r="C23" i="20" a="1"/>
  <c r="C23" i="20" s="1"/>
  <c r="D23" i="20" a="1"/>
  <c r="D23" i="20" s="1"/>
  <c r="E23" i="20" a="1"/>
  <c r="E23" i="20" s="1"/>
  <c r="F23" i="20" a="1"/>
  <c r="F23" i="20" s="1"/>
  <c r="G23" i="20" a="1"/>
  <c r="G23" i="20" s="1"/>
  <c r="H23" i="20" a="1"/>
  <c r="H23" i="20" s="1"/>
  <c r="I23" i="20" a="1"/>
  <c r="I23" i="20" s="1"/>
  <c r="J23" i="20" a="1"/>
  <c r="J23" i="20" s="1"/>
  <c r="K23" i="20" a="1"/>
  <c r="K23" i="20" s="1"/>
  <c r="L23" i="20" a="1"/>
  <c r="L23" i="20" s="1"/>
  <c r="M23" i="20" a="1"/>
  <c r="M23" i="20" s="1"/>
  <c r="N23" i="20" a="1"/>
  <c r="N23" i="20" s="1"/>
  <c r="O23" i="20" a="1"/>
  <c r="O23" i="20" s="1"/>
  <c r="B24" i="20" a="1"/>
  <c r="B24" i="20" s="1"/>
  <c r="C24" i="20" a="1"/>
  <c r="C24" i="20"/>
  <c r="D24" i="20" a="1"/>
  <c r="D24" i="20" s="1"/>
  <c r="E24" i="20" a="1"/>
  <c r="E24" i="20" s="1"/>
  <c r="F24" i="20" a="1"/>
  <c r="F24" i="20" s="1"/>
  <c r="G24" i="20" a="1"/>
  <c r="G24" i="20" s="1"/>
  <c r="H24" i="20" a="1"/>
  <c r="H24" i="20" s="1"/>
  <c r="I24" i="20" a="1"/>
  <c r="I24" i="20" s="1"/>
  <c r="J24" i="20" a="1"/>
  <c r="J24" i="20" s="1"/>
  <c r="K24" i="20" a="1"/>
  <c r="K24" i="20" s="1"/>
  <c r="L24" i="20" a="1"/>
  <c r="L24" i="20" s="1"/>
  <c r="M24" i="20" a="1"/>
  <c r="M24" i="20" s="1"/>
  <c r="N24" i="20" a="1"/>
  <c r="N24" i="20" s="1"/>
  <c r="O24" i="20" a="1"/>
  <c r="O24" i="20" s="1"/>
  <c r="B25" i="20" a="1"/>
  <c r="B25" i="20" s="1"/>
  <c r="C25" i="20" a="1"/>
  <c r="C25" i="20" s="1"/>
  <c r="D25" i="20" a="1"/>
  <c r="D25" i="20" s="1"/>
  <c r="E25" i="20" a="1"/>
  <c r="E25" i="20" s="1"/>
  <c r="F25" i="20" a="1"/>
  <c r="F25" i="20" s="1"/>
  <c r="G25" i="20" a="1"/>
  <c r="G25" i="20"/>
  <c r="H25" i="20" a="1"/>
  <c r="H25" i="20" s="1"/>
  <c r="I25" i="20" a="1"/>
  <c r="I25" i="20" s="1"/>
  <c r="J25" i="20" a="1"/>
  <c r="J25" i="20" s="1"/>
  <c r="K25" i="20" a="1"/>
  <c r="K25" i="20" s="1"/>
  <c r="L25" i="20" a="1"/>
  <c r="L25" i="20" s="1"/>
  <c r="M25" i="20" a="1"/>
  <c r="M25" i="20" s="1"/>
  <c r="N25" i="20" a="1"/>
  <c r="N25" i="20" s="1"/>
  <c r="O25" i="20" a="1"/>
  <c r="O25" i="20" s="1"/>
  <c r="B26" i="20" a="1"/>
  <c r="B26" i="20" s="1"/>
  <c r="C26" i="20" a="1"/>
  <c r="C26" i="20" s="1"/>
  <c r="D26" i="20" a="1"/>
  <c r="D26" i="20" s="1"/>
  <c r="E26" i="20" a="1"/>
  <c r="E26" i="20" s="1"/>
  <c r="F26" i="20" a="1"/>
  <c r="F26" i="20" s="1"/>
  <c r="G26" i="20" a="1"/>
  <c r="G26" i="20" s="1"/>
  <c r="H26" i="20" a="1"/>
  <c r="H26" i="20" s="1"/>
  <c r="I26" i="20" a="1"/>
  <c r="I26" i="20" s="1"/>
  <c r="J26" i="20" a="1"/>
  <c r="J26" i="20" s="1"/>
  <c r="K26" i="20" a="1"/>
  <c r="K26" i="20"/>
  <c r="L26" i="20" a="1"/>
  <c r="L26" i="20" s="1"/>
  <c r="M26" i="20" a="1"/>
  <c r="M26" i="20" s="1"/>
  <c r="N26" i="20" a="1"/>
  <c r="N26" i="20" s="1"/>
  <c r="O26" i="20" a="1"/>
  <c r="O26" i="20" s="1"/>
  <c r="B27" i="20" a="1"/>
  <c r="B27" i="20" s="1"/>
  <c r="C27" i="20" a="1"/>
  <c r="C27" i="20" s="1"/>
  <c r="D27" i="20" a="1"/>
  <c r="D27" i="20" s="1"/>
  <c r="E27" i="20" a="1"/>
  <c r="E27" i="20" s="1"/>
  <c r="F27" i="20" a="1"/>
  <c r="F27" i="20" s="1"/>
  <c r="G27" i="20" a="1"/>
  <c r="G27" i="20" s="1"/>
  <c r="H27" i="20" a="1"/>
  <c r="H27" i="20" s="1"/>
  <c r="I27" i="20" a="1"/>
  <c r="I27" i="20" s="1"/>
  <c r="J27" i="20" a="1"/>
  <c r="J27" i="20" s="1"/>
  <c r="K27" i="20" a="1"/>
  <c r="K27" i="20" s="1"/>
  <c r="L27" i="20" a="1"/>
  <c r="L27" i="20" s="1"/>
  <c r="M27" i="20" a="1"/>
  <c r="M27" i="20" s="1"/>
  <c r="N27" i="20" a="1"/>
  <c r="N27" i="20" s="1"/>
  <c r="O27" i="20" a="1"/>
  <c r="O27" i="20" s="1"/>
  <c r="B28" i="20" a="1"/>
  <c r="B28" i="20" s="1"/>
  <c r="C28" i="20" a="1"/>
  <c r="C28" i="20" s="1"/>
  <c r="D28" i="20" a="1"/>
  <c r="D28" i="20" s="1"/>
  <c r="E28" i="20" a="1"/>
  <c r="E28" i="20" s="1"/>
  <c r="F28" i="20" a="1"/>
  <c r="F28" i="20" s="1"/>
  <c r="G28" i="20" a="1"/>
  <c r="G28" i="20" s="1"/>
  <c r="H28" i="20" a="1"/>
  <c r="H28" i="20" s="1"/>
  <c r="I28" i="20" a="1"/>
  <c r="I28" i="20" s="1"/>
  <c r="J28" i="20" a="1"/>
  <c r="J28" i="20" s="1"/>
  <c r="K28" i="20" a="1"/>
  <c r="K28" i="20" s="1"/>
  <c r="L28" i="20" a="1"/>
  <c r="L28" i="20" s="1"/>
  <c r="M28" i="20" a="1"/>
  <c r="M28" i="20" s="1"/>
  <c r="N28" i="20" a="1"/>
  <c r="N28" i="20" s="1"/>
  <c r="O28" i="20" a="1"/>
  <c r="O28" i="20" s="1"/>
  <c r="B29" i="20" a="1"/>
  <c r="B29" i="20" s="1"/>
  <c r="C29" i="20" a="1"/>
  <c r="C29" i="20" s="1"/>
  <c r="D29" i="20" a="1"/>
  <c r="D29" i="20" s="1"/>
  <c r="E29" i="20" a="1"/>
  <c r="E29" i="20" s="1"/>
  <c r="F29" i="20" a="1"/>
  <c r="F29" i="20" s="1"/>
  <c r="G29" i="20" a="1"/>
  <c r="G29" i="20" s="1"/>
  <c r="H29" i="20" a="1"/>
  <c r="H29" i="20" s="1"/>
  <c r="I29" i="20" a="1"/>
  <c r="I29" i="20" s="1"/>
  <c r="J29" i="20" a="1"/>
  <c r="J29" i="20" s="1"/>
  <c r="K29" i="20" a="1"/>
  <c r="K29" i="20" s="1"/>
  <c r="L29" i="20" a="1"/>
  <c r="L29" i="20" s="1"/>
  <c r="M29" i="20" a="1"/>
  <c r="M29" i="20" s="1"/>
  <c r="N29" i="20" a="1"/>
  <c r="N29" i="20" s="1"/>
  <c r="O29" i="20" a="1"/>
  <c r="O29" i="20" s="1"/>
  <c r="B30" i="20" a="1"/>
  <c r="B30" i="20" s="1"/>
  <c r="C30" i="20" a="1"/>
  <c r="C30" i="20" s="1"/>
  <c r="D30" i="20" a="1"/>
  <c r="D30" i="20" s="1"/>
  <c r="E30" i="20" a="1"/>
  <c r="E30" i="20" s="1"/>
  <c r="F30" i="20" a="1"/>
  <c r="F30" i="20" s="1"/>
  <c r="G30" i="20" a="1"/>
  <c r="G30" i="20" s="1"/>
  <c r="H30" i="20" a="1"/>
  <c r="H30" i="20" s="1"/>
  <c r="I30" i="20" a="1"/>
  <c r="I30" i="20" s="1"/>
  <c r="J30" i="20" a="1"/>
  <c r="J30" i="20" s="1"/>
  <c r="K30" i="20" a="1"/>
  <c r="K30" i="20" s="1"/>
  <c r="L30" i="20" a="1"/>
  <c r="L30" i="20" s="1"/>
  <c r="M30" i="20" a="1"/>
  <c r="M30" i="20" s="1"/>
  <c r="N30" i="20" a="1"/>
  <c r="N30" i="20" s="1"/>
  <c r="O30" i="20" a="1"/>
  <c r="O30" i="20" s="1"/>
  <c r="B31" i="20" a="1"/>
  <c r="B31" i="20" s="1"/>
  <c r="C31" i="20" a="1"/>
  <c r="C31" i="20" s="1"/>
  <c r="D31" i="20" a="1"/>
  <c r="D31" i="20" s="1"/>
  <c r="E31" i="20" a="1"/>
  <c r="E31" i="20" s="1"/>
  <c r="F31" i="20" a="1"/>
  <c r="F31" i="20" s="1"/>
  <c r="G31" i="20" a="1"/>
  <c r="G31" i="20" s="1"/>
  <c r="H31" i="20" a="1"/>
  <c r="H31" i="20" s="1"/>
  <c r="I31" i="20" a="1"/>
  <c r="I31" i="20" s="1"/>
  <c r="J31" i="20" a="1"/>
  <c r="J31" i="20" s="1"/>
  <c r="K31" i="20" a="1"/>
  <c r="K31" i="20" s="1"/>
  <c r="L31" i="20" a="1"/>
  <c r="L31" i="20" s="1"/>
  <c r="M31" i="20" a="1"/>
  <c r="M31" i="20" s="1"/>
  <c r="N31" i="20" a="1"/>
  <c r="N31" i="20" s="1"/>
  <c r="O31" i="20" a="1"/>
  <c r="O31" i="20" s="1"/>
  <c r="B32" i="20" a="1"/>
  <c r="B32" i="20" s="1"/>
  <c r="C32" i="20" a="1"/>
  <c r="C32" i="20" s="1"/>
  <c r="D32" i="20" a="1"/>
  <c r="D32" i="20" s="1"/>
  <c r="E32" i="20" a="1"/>
  <c r="E32" i="20" s="1"/>
  <c r="F32" i="20" a="1"/>
  <c r="F32" i="20" s="1"/>
  <c r="G32" i="20" a="1"/>
  <c r="G32" i="20" s="1"/>
  <c r="H32" i="20" a="1"/>
  <c r="H32" i="20" s="1"/>
  <c r="I32" i="20" a="1"/>
  <c r="I32" i="20" s="1"/>
  <c r="J32" i="20" a="1"/>
  <c r="J32" i="20" s="1"/>
  <c r="K32" i="20" a="1"/>
  <c r="K32" i="20" s="1"/>
  <c r="L32" i="20" a="1"/>
  <c r="L32" i="20" s="1"/>
  <c r="M32" i="20" a="1"/>
  <c r="M32" i="20" s="1"/>
  <c r="N32" i="20" a="1"/>
  <c r="N32" i="20" s="1"/>
  <c r="O32" i="20" a="1"/>
  <c r="O32" i="20" s="1"/>
  <c r="B33" i="20" a="1"/>
  <c r="B33" i="20" s="1"/>
  <c r="C33" i="20" a="1"/>
  <c r="C33" i="20" s="1"/>
  <c r="D33" i="20" a="1"/>
  <c r="D33" i="20" s="1"/>
  <c r="E33" i="20" a="1"/>
  <c r="E33" i="20" s="1"/>
  <c r="F33" i="20" a="1"/>
  <c r="F33" i="20" s="1"/>
  <c r="G33" i="20" a="1"/>
  <c r="G33" i="20" s="1"/>
  <c r="H33" i="20" a="1"/>
  <c r="H33" i="20" s="1"/>
  <c r="I33" i="20" a="1"/>
  <c r="I33" i="20" s="1"/>
  <c r="J33" i="20" a="1"/>
  <c r="J33" i="20" s="1"/>
  <c r="K33" i="20" a="1"/>
  <c r="K33" i="20" s="1"/>
  <c r="L33" i="20" a="1"/>
  <c r="L33" i="20" s="1"/>
  <c r="M33" i="20" a="1"/>
  <c r="M33" i="20" s="1"/>
  <c r="N33" i="20" a="1"/>
  <c r="N33" i="20" s="1"/>
  <c r="O33" i="20" a="1"/>
  <c r="O33" i="20" s="1"/>
  <c r="B34" i="20" a="1"/>
  <c r="B34" i="20" s="1"/>
  <c r="C34" i="20" a="1"/>
  <c r="C34" i="20" s="1"/>
  <c r="D34" i="20" a="1"/>
  <c r="D34" i="20" s="1"/>
  <c r="E34" i="20" a="1"/>
  <c r="E34" i="20" s="1"/>
  <c r="F34" i="20" a="1"/>
  <c r="F34" i="20" s="1"/>
  <c r="G34" i="20" a="1"/>
  <c r="G34" i="20" s="1"/>
  <c r="H34" i="20" a="1"/>
  <c r="H34" i="20" s="1"/>
  <c r="I34" i="20" a="1"/>
  <c r="I34" i="20" s="1"/>
  <c r="J34" i="20" a="1"/>
  <c r="J34" i="20" s="1"/>
  <c r="K34" i="20" a="1"/>
  <c r="K34" i="20" s="1"/>
  <c r="L34" i="20" a="1"/>
  <c r="L34" i="20" s="1"/>
  <c r="M34" i="20" a="1"/>
  <c r="M34" i="20" s="1"/>
  <c r="N34" i="20" a="1"/>
  <c r="N34" i="20" s="1"/>
  <c r="O34" i="20" a="1"/>
  <c r="O34" i="20" s="1"/>
  <c r="B35" i="20" a="1"/>
  <c r="B35" i="20" s="1"/>
  <c r="C35" i="20" a="1"/>
  <c r="C35" i="20" s="1"/>
  <c r="D35" i="20" a="1"/>
  <c r="D35" i="20" s="1"/>
  <c r="E35" i="20" a="1"/>
  <c r="E35" i="20" s="1"/>
  <c r="F35" i="20" a="1"/>
  <c r="F35" i="20" s="1"/>
  <c r="G35" i="20" a="1"/>
  <c r="G35" i="20" s="1"/>
  <c r="H35" i="20" a="1"/>
  <c r="H35" i="20" s="1"/>
  <c r="I35" i="20" a="1"/>
  <c r="I35" i="20" s="1"/>
  <c r="J35" i="20" a="1"/>
  <c r="J35" i="20" s="1"/>
  <c r="K35" i="20" a="1"/>
  <c r="K35" i="20" s="1"/>
  <c r="L35" i="20" a="1"/>
  <c r="L35" i="20" s="1"/>
  <c r="M35" i="20" a="1"/>
  <c r="M35" i="20" s="1"/>
  <c r="N35" i="20" a="1"/>
  <c r="N35" i="20" s="1"/>
  <c r="O35" i="20" a="1"/>
  <c r="O35" i="20" s="1"/>
  <c r="B36" i="20" a="1"/>
  <c r="B36" i="20" s="1"/>
  <c r="C36" i="20" a="1"/>
  <c r="C36" i="20" s="1"/>
  <c r="D36" i="20" a="1"/>
  <c r="D36" i="20" s="1"/>
  <c r="E36" i="20" a="1"/>
  <c r="E36" i="20" s="1"/>
  <c r="F36" i="20" a="1"/>
  <c r="F36" i="20" s="1"/>
  <c r="G36" i="20" a="1"/>
  <c r="G36" i="20" s="1"/>
  <c r="H36" i="20" a="1"/>
  <c r="H36" i="20" s="1"/>
  <c r="I36" i="20" a="1"/>
  <c r="I36" i="20" s="1"/>
  <c r="J36" i="20" a="1"/>
  <c r="J36" i="20" s="1"/>
  <c r="K36" i="20" a="1"/>
  <c r="K36" i="20" s="1"/>
  <c r="L36" i="20" a="1"/>
  <c r="L36" i="20" s="1"/>
  <c r="M36" i="20" a="1"/>
  <c r="M36" i="20" s="1"/>
  <c r="N36" i="20" a="1"/>
  <c r="N36" i="20" s="1"/>
  <c r="O36" i="20" a="1"/>
  <c r="O36" i="20" s="1"/>
  <c r="B37" i="20" a="1"/>
  <c r="B37" i="20" s="1"/>
  <c r="C37" i="20" a="1"/>
  <c r="C37" i="20" s="1"/>
  <c r="D37" i="20" a="1"/>
  <c r="D37" i="20" s="1"/>
  <c r="E37" i="20" a="1"/>
  <c r="E37" i="20" s="1"/>
  <c r="F37" i="20" a="1"/>
  <c r="F37" i="20" s="1"/>
  <c r="G37" i="20" a="1"/>
  <c r="G37" i="20" s="1"/>
  <c r="H37" i="20" a="1"/>
  <c r="H37" i="20" s="1"/>
  <c r="I37" i="20" a="1"/>
  <c r="I37" i="20" s="1"/>
  <c r="J37" i="20" a="1"/>
  <c r="J37" i="20" s="1"/>
  <c r="K37" i="20" a="1"/>
  <c r="K37" i="20" s="1"/>
  <c r="L37" i="20" a="1"/>
  <c r="L37" i="20" s="1"/>
  <c r="M37" i="20" a="1"/>
  <c r="M37" i="20" s="1"/>
  <c r="N37" i="20" a="1"/>
  <c r="N37" i="20" s="1"/>
  <c r="O37" i="20" a="1"/>
  <c r="O37" i="20" s="1"/>
  <c r="B38" i="20" a="1"/>
  <c r="B38" i="20" s="1"/>
  <c r="C38" i="20" a="1"/>
  <c r="C38" i="20" s="1"/>
  <c r="D38" i="20" a="1"/>
  <c r="D38" i="20" s="1"/>
  <c r="E38" i="20" a="1"/>
  <c r="E38" i="20" s="1"/>
  <c r="F38" i="20" a="1"/>
  <c r="F38" i="20" s="1"/>
  <c r="G38" i="20" a="1"/>
  <c r="G38" i="20" s="1"/>
  <c r="H38" i="20" a="1"/>
  <c r="H38" i="20" s="1"/>
  <c r="I38" i="20" a="1"/>
  <c r="I38" i="20" s="1"/>
  <c r="J38" i="20" a="1"/>
  <c r="J38" i="20" s="1"/>
  <c r="K38" i="20" a="1"/>
  <c r="K38" i="20" s="1"/>
  <c r="L38" i="20" a="1"/>
  <c r="L38" i="20" s="1"/>
  <c r="M38" i="20" a="1"/>
  <c r="M38" i="20" s="1"/>
  <c r="N38" i="20" a="1"/>
  <c r="N38" i="20" s="1"/>
  <c r="O38" i="20" a="1"/>
  <c r="O38" i="20" s="1"/>
  <c r="B39" i="20" a="1"/>
  <c r="B39" i="20" s="1"/>
  <c r="C39" i="20" a="1"/>
  <c r="C39" i="20" s="1"/>
  <c r="D39" i="20" a="1"/>
  <c r="D39" i="20" s="1"/>
  <c r="E39" i="20" a="1"/>
  <c r="E39" i="20" s="1"/>
  <c r="F39" i="20" a="1"/>
  <c r="F39" i="20" s="1"/>
  <c r="G39" i="20" a="1"/>
  <c r="G39" i="20" s="1"/>
  <c r="H39" i="20" a="1"/>
  <c r="H39" i="20" s="1"/>
  <c r="I39" i="20" a="1"/>
  <c r="I39" i="20" s="1"/>
  <c r="J39" i="20" a="1"/>
  <c r="J39" i="20" s="1"/>
  <c r="K39" i="20" a="1"/>
  <c r="K39" i="20" s="1"/>
  <c r="L39" i="20" a="1"/>
  <c r="L39" i="20" s="1"/>
  <c r="M39" i="20" a="1"/>
  <c r="M39" i="20" s="1"/>
  <c r="N39" i="20" a="1"/>
  <c r="N39" i="20" s="1"/>
  <c r="O39" i="20" a="1"/>
  <c r="O39" i="20" s="1"/>
  <c r="B40" i="20" a="1"/>
  <c r="B40" i="20" s="1"/>
  <c r="C40" i="20" a="1"/>
  <c r="C40" i="20" s="1"/>
  <c r="D40" i="20" a="1"/>
  <c r="D40" i="20" s="1"/>
  <c r="E40" i="20" a="1"/>
  <c r="E40" i="20" s="1"/>
  <c r="F40" i="20" a="1"/>
  <c r="F40" i="20" s="1"/>
  <c r="G40" i="20" a="1"/>
  <c r="G40" i="20" s="1"/>
  <c r="H40" i="20" a="1"/>
  <c r="H40" i="20" s="1"/>
  <c r="I40" i="20" a="1"/>
  <c r="I40" i="20" s="1"/>
  <c r="J40" i="20" a="1"/>
  <c r="J40" i="20" s="1"/>
  <c r="K40" i="20" a="1"/>
  <c r="K40" i="20" s="1"/>
  <c r="L40" i="20" a="1"/>
  <c r="L40" i="20" s="1"/>
  <c r="M40" i="20" a="1"/>
  <c r="M40" i="20" s="1"/>
  <c r="N40" i="20" a="1"/>
  <c r="N40" i="20" s="1"/>
  <c r="O40" i="20" a="1"/>
  <c r="O40" i="20" s="1"/>
  <c r="B41" i="20" a="1"/>
  <c r="B41" i="20" s="1"/>
  <c r="C41" i="20" a="1"/>
  <c r="C41" i="20" s="1"/>
  <c r="D41" i="20" a="1"/>
  <c r="D41" i="20" s="1"/>
  <c r="E41" i="20" a="1"/>
  <c r="E41" i="20" s="1"/>
  <c r="F41" i="20" a="1"/>
  <c r="F41" i="20" s="1"/>
  <c r="G41" i="20" a="1"/>
  <c r="G41" i="20" s="1"/>
  <c r="H41" i="20" a="1"/>
  <c r="H41" i="20" s="1"/>
  <c r="I41" i="20" a="1"/>
  <c r="I41" i="20" s="1"/>
  <c r="J41" i="20" a="1"/>
  <c r="J41" i="20" s="1"/>
  <c r="K41" i="20" a="1"/>
  <c r="K41" i="20" s="1"/>
  <c r="L41" i="20" a="1"/>
  <c r="L41" i="20" s="1"/>
  <c r="M41" i="20" a="1"/>
  <c r="M41" i="20" s="1"/>
  <c r="N41" i="20" a="1"/>
  <c r="N41" i="20" s="1"/>
  <c r="O41" i="20" a="1"/>
  <c r="O41" i="20" s="1"/>
  <c r="B42" i="20" a="1"/>
  <c r="B42" i="20" s="1"/>
  <c r="C42" i="20" a="1"/>
  <c r="C42" i="20" s="1"/>
  <c r="D42" i="20" a="1"/>
  <c r="D42" i="20" s="1"/>
  <c r="E42" i="20" a="1"/>
  <c r="E42" i="20" s="1"/>
  <c r="F42" i="20" a="1"/>
  <c r="F42" i="20" s="1"/>
  <c r="G42" i="20" a="1"/>
  <c r="G42" i="20" s="1"/>
  <c r="H42" i="20" a="1"/>
  <c r="H42" i="20" s="1"/>
  <c r="I42" i="20" a="1"/>
  <c r="I42" i="20" s="1"/>
  <c r="J42" i="20" a="1"/>
  <c r="J42" i="20" s="1"/>
  <c r="K42" i="20" a="1"/>
  <c r="K42" i="20" s="1"/>
  <c r="L42" i="20" a="1"/>
  <c r="L42" i="20" s="1"/>
  <c r="M42" i="20" a="1"/>
  <c r="M42" i="20" s="1"/>
  <c r="N42" i="20" a="1"/>
  <c r="N42" i="20" s="1"/>
  <c r="O42" i="20" a="1"/>
  <c r="O42" i="20" s="1"/>
  <c r="B43" i="20" a="1"/>
  <c r="B43" i="20" s="1"/>
  <c r="C43" i="20" a="1"/>
  <c r="C43" i="20" s="1"/>
  <c r="D43" i="20" a="1"/>
  <c r="D43" i="20" s="1"/>
  <c r="E43" i="20" a="1"/>
  <c r="E43" i="20" s="1"/>
  <c r="F43" i="20" a="1"/>
  <c r="F43" i="20" s="1"/>
  <c r="G43" i="20" a="1"/>
  <c r="G43" i="20" s="1"/>
  <c r="H43" i="20" a="1"/>
  <c r="H43" i="20" s="1"/>
  <c r="I43" i="20" a="1"/>
  <c r="I43" i="20" s="1"/>
  <c r="J43" i="20" a="1"/>
  <c r="J43" i="20" s="1"/>
  <c r="K43" i="20" a="1"/>
  <c r="K43" i="20" s="1"/>
  <c r="L43" i="20" a="1"/>
  <c r="L43" i="20" s="1"/>
  <c r="M43" i="20" a="1"/>
  <c r="M43" i="20" s="1"/>
  <c r="N43" i="20" a="1"/>
  <c r="N43" i="20" s="1"/>
  <c r="O43" i="20" a="1"/>
  <c r="O43" i="20" s="1"/>
  <c r="B44" i="20" a="1"/>
  <c r="B44" i="20" s="1"/>
  <c r="C44" i="20" a="1"/>
  <c r="C44" i="20" s="1"/>
  <c r="D44" i="20" a="1"/>
  <c r="D44" i="20" s="1"/>
  <c r="E44" i="20" a="1"/>
  <c r="E44" i="20" s="1"/>
  <c r="F44" i="20" a="1"/>
  <c r="F44" i="20" s="1"/>
  <c r="G44" i="20" a="1"/>
  <c r="G44" i="20" s="1"/>
  <c r="H44" i="20" a="1"/>
  <c r="H44" i="20" s="1"/>
  <c r="I44" i="20" a="1"/>
  <c r="I44" i="20" s="1"/>
  <c r="J44" i="20" a="1"/>
  <c r="J44" i="20" s="1"/>
  <c r="K44" i="20" a="1"/>
  <c r="K44" i="20" s="1"/>
  <c r="L44" i="20" a="1"/>
  <c r="L44" i="20" s="1"/>
  <c r="M44" i="20" a="1"/>
  <c r="M44" i="20" s="1"/>
  <c r="N44" i="20" a="1"/>
  <c r="N44" i="20" s="1"/>
  <c r="O44" i="20" a="1"/>
  <c r="O44" i="20" s="1"/>
  <c r="B45" i="20" a="1"/>
  <c r="B45" i="20" s="1"/>
  <c r="C45" i="20" a="1"/>
  <c r="C45" i="20" s="1"/>
  <c r="D45" i="20" a="1"/>
  <c r="D45" i="20" s="1"/>
  <c r="E45" i="20" a="1"/>
  <c r="E45" i="20" s="1"/>
  <c r="F45" i="20" a="1"/>
  <c r="F45" i="20" s="1"/>
  <c r="G45" i="20" a="1"/>
  <c r="G45" i="20" s="1"/>
  <c r="H45" i="20" a="1"/>
  <c r="H45" i="20" s="1"/>
  <c r="I45" i="20" a="1"/>
  <c r="I45" i="20" s="1"/>
  <c r="J45" i="20" a="1"/>
  <c r="J45" i="20" s="1"/>
  <c r="K45" i="20" a="1"/>
  <c r="K45" i="20" s="1"/>
  <c r="L45" i="20" a="1"/>
  <c r="L45" i="20" s="1"/>
  <c r="M45" i="20" a="1"/>
  <c r="M45" i="20" s="1"/>
  <c r="N45" i="20" a="1"/>
  <c r="N45" i="20" s="1"/>
  <c r="O45" i="20" a="1"/>
  <c r="O45" i="20" s="1"/>
  <c r="B46" i="20" a="1"/>
  <c r="B46" i="20" s="1"/>
  <c r="C46" i="20" a="1"/>
  <c r="C46" i="20" s="1"/>
  <c r="D46" i="20" a="1"/>
  <c r="D46" i="20" s="1"/>
  <c r="E46" i="20" a="1"/>
  <c r="E46" i="20" s="1"/>
  <c r="F46" i="20" a="1"/>
  <c r="F46" i="20" s="1"/>
  <c r="G46" i="20" a="1"/>
  <c r="G46" i="20" s="1"/>
  <c r="H46" i="20" a="1"/>
  <c r="H46" i="20" s="1"/>
  <c r="I46" i="20" a="1"/>
  <c r="I46" i="20" s="1"/>
  <c r="J46" i="20" a="1"/>
  <c r="J46" i="20" s="1"/>
  <c r="K46" i="20" a="1"/>
  <c r="K46" i="20" s="1"/>
  <c r="L46" i="20" a="1"/>
  <c r="L46" i="20" s="1"/>
  <c r="M46" i="20" a="1"/>
  <c r="M46" i="20" s="1"/>
  <c r="N46" i="20" a="1"/>
  <c r="N46" i="20" s="1"/>
  <c r="O46" i="20" a="1"/>
  <c r="O46" i="20" s="1"/>
  <c r="B47" i="20" a="1"/>
  <c r="B47" i="20" s="1"/>
  <c r="C47" i="20" a="1"/>
  <c r="C47" i="20" s="1"/>
  <c r="D47" i="20" a="1"/>
  <c r="D47" i="20" s="1"/>
  <c r="E47" i="20" a="1"/>
  <c r="E47" i="20" s="1"/>
  <c r="F47" i="20" a="1"/>
  <c r="F47" i="20" s="1"/>
  <c r="G47" i="20" a="1"/>
  <c r="G47" i="20" s="1"/>
  <c r="H47" i="20" a="1"/>
  <c r="H47" i="20" s="1"/>
  <c r="I47" i="20" a="1"/>
  <c r="I47" i="20" s="1"/>
  <c r="J47" i="20" a="1"/>
  <c r="J47" i="20" s="1"/>
  <c r="K47" i="20" a="1"/>
  <c r="K47" i="20" s="1"/>
  <c r="L47" i="20" a="1"/>
  <c r="L47" i="20" s="1"/>
  <c r="M47" i="20" a="1"/>
  <c r="M47" i="20" s="1"/>
  <c r="N47" i="20" a="1"/>
  <c r="N47" i="20" s="1"/>
  <c r="O47" i="20" a="1"/>
  <c r="O47" i="20" s="1"/>
  <c r="B48" i="20" a="1"/>
  <c r="B48" i="20" s="1"/>
  <c r="C48" i="20" a="1"/>
  <c r="C48" i="20" s="1"/>
  <c r="D48" i="20" a="1"/>
  <c r="D48" i="20" s="1"/>
  <c r="E48" i="20" a="1"/>
  <c r="E48" i="20" s="1"/>
  <c r="F48" i="20" a="1"/>
  <c r="F48" i="20" s="1"/>
  <c r="G48" i="20" a="1"/>
  <c r="G48" i="20" s="1"/>
  <c r="H48" i="20" a="1"/>
  <c r="H48" i="20" s="1"/>
  <c r="I48" i="20" a="1"/>
  <c r="I48" i="20" s="1"/>
  <c r="J48" i="20" a="1"/>
  <c r="J48" i="20" s="1"/>
  <c r="K48" i="20" a="1"/>
  <c r="K48" i="20" s="1"/>
  <c r="L48" i="20" a="1"/>
  <c r="L48" i="20" s="1"/>
  <c r="M48" i="20" a="1"/>
  <c r="M48" i="20" s="1"/>
  <c r="N48" i="20" a="1"/>
  <c r="N48" i="20" s="1"/>
  <c r="O48" i="20" a="1"/>
  <c r="O48" i="20" s="1"/>
  <c r="B49" i="20" a="1"/>
  <c r="B49" i="20" s="1"/>
  <c r="C49" i="20" a="1"/>
  <c r="C49" i="20" s="1"/>
  <c r="D49" i="20" a="1"/>
  <c r="D49" i="20" s="1"/>
  <c r="E49" i="20" a="1"/>
  <c r="E49" i="20" s="1"/>
  <c r="F49" i="20" a="1"/>
  <c r="F49" i="20" s="1"/>
  <c r="G49" i="20" a="1"/>
  <c r="G49" i="20" s="1"/>
  <c r="H49" i="20" a="1"/>
  <c r="H49" i="20" s="1"/>
  <c r="I49" i="20" a="1"/>
  <c r="I49" i="20" s="1"/>
  <c r="J49" i="20" a="1"/>
  <c r="J49" i="20" s="1"/>
  <c r="K49" i="20" a="1"/>
  <c r="K49" i="20" s="1"/>
  <c r="L49" i="20" a="1"/>
  <c r="L49" i="20" s="1"/>
  <c r="M49" i="20" a="1"/>
  <c r="M49" i="20" s="1"/>
  <c r="N49" i="20" a="1"/>
  <c r="N49" i="20" s="1"/>
  <c r="O49" i="20" a="1"/>
  <c r="O49" i="20" s="1"/>
  <c r="B50" i="20" a="1"/>
  <c r="B50" i="20" s="1"/>
  <c r="C50" i="20" a="1"/>
  <c r="C50" i="20" s="1"/>
  <c r="D50" i="20" a="1"/>
  <c r="D50" i="20" s="1"/>
  <c r="E50" i="20" a="1"/>
  <c r="E50" i="20" s="1"/>
  <c r="F50" i="20" a="1"/>
  <c r="F50" i="20" s="1"/>
  <c r="G50" i="20" a="1"/>
  <c r="G50" i="20" s="1"/>
  <c r="H50" i="20" a="1"/>
  <c r="H50" i="20" s="1"/>
  <c r="I50" i="20" a="1"/>
  <c r="I50" i="20" s="1"/>
  <c r="J50" i="20" a="1"/>
  <c r="J50" i="20" s="1"/>
  <c r="K50" i="20" a="1"/>
  <c r="K50" i="20" s="1"/>
  <c r="L50" i="20" a="1"/>
  <c r="L50" i="20" s="1"/>
  <c r="M50" i="20" a="1"/>
  <c r="M50" i="20" s="1"/>
  <c r="N50" i="20" a="1"/>
  <c r="N50" i="20" s="1"/>
  <c r="O50" i="20" a="1"/>
  <c r="O50" i="20" s="1"/>
  <c r="B51" i="20" a="1"/>
  <c r="B51" i="20" s="1"/>
  <c r="C51" i="20" a="1"/>
  <c r="C51" i="20" s="1"/>
  <c r="D51" i="20" a="1"/>
  <c r="D51" i="20" s="1"/>
  <c r="E51" i="20" a="1"/>
  <c r="E51" i="20" s="1"/>
  <c r="F51" i="20" a="1"/>
  <c r="F51" i="20" s="1"/>
  <c r="G51" i="20" a="1"/>
  <c r="G51" i="20" s="1"/>
  <c r="H51" i="20" a="1"/>
  <c r="H51" i="20" s="1"/>
  <c r="I51" i="20" a="1"/>
  <c r="I51" i="20" s="1"/>
  <c r="J51" i="20" a="1"/>
  <c r="J51" i="20" s="1"/>
  <c r="K51" i="20" a="1"/>
  <c r="K51" i="20" s="1"/>
  <c r="L51" i="20" a="1"/>
  <c r="L51" i="20" s="1"/>
  <c r="M51" i="20" a="1"/>
  <c r="M51" i="20" s="1"/>
  <c r="N51" i="20" a="1"/>
  <c r="N51" i="20" s="1"/>
  <c r="O51" i="20" a="1"/>
  <c r="O51" i="20" s="1"/>
  <c r="B52" i="20" a="1"/>
  <c r="B52" i="20" s="1"/>
  <c r="C52" i="20" a="1"/>
  <c r="C52" i="20" s="1"/>
  <c r="D52" i="20" a="1"/>
  <c r="D52" i="20" s="1"/>
  <c r="E52" i="20" a="1"/>
  <c r="E52" i="20" s="1"/>
  <c r="F52" i="20" a="1"/>
  <c r="F52" i="20" s="1"/>
  <c r="G52" i="20" a="1"/>
  <c r="G52" i="20" s="1"/>
  <c r="H52" i="20" a="1"/>
  <c r="H52" i="20" s="1"/>
  <c r="I52" i="20" a="1"/>
  <c r="I52" i="20" s="1"/>
  <c r="J52" i="20" a="1"/>
  <c r="J52" i="20" s="1"/>
  <c r="K52" i="20" a="1"/>
  <c r="K52" i="20" s="1"/>
  <c r="L52" i="20" a="1"/>
  <c r="L52" i="20" s="1"/>
  <c r="M52" i="20" a="1"/>
  <c r="M52" i="20" s="1"/>
  <c r="N52" i="20" a="1"/>
  <c r="N52" i="20" s="1"/>
  <c r="O52" i="20" a="1"/>
  <c r="O52" i="20" s="1"/>
  <c r="B53" i="20" a="1"/>
  <c r="B53" i="20" s="1"/>
  <c r="C53" i="20" a="1"/>
  <c r="C53" i="20" s="1"/>
  <c r="D53" i="20" a="1"/>
  <c r="D53" i="20" s="1"/>
  <c r="E53" i="20" a="1"/>
  <c r="E53" i="20" s="1"/>
  <c r="F53" i="20" a="1"/>
  <c r="F53" i="20" s="1"/>
  <c r="G53" i="20" a="1"/>
  <c r="G53" i="20" s="1"/>
  <c r="H53" i="20" a="1"/>
  <c r="H53" i="20" s="1"/>
  <c r="I53" i="20" a="1"/>
  <c r="I53" i="20" s="1"/>
  <c r="J53" i="20" a="1"/>
  <c r="J53" i="20" s="1"/>
  <c r="K53" i="20" a="1"/>
  <c r="K53" i="20" s="1"/>
  <c r="L53" i="20" a="1"/>
  <c r="L53" i="20" s="1"/>
  <c r="M53" i="20" a="1"/>
  <c r="M53" i="20" s="1"/>
  <c r="N53" i="20" a="1"/>
  <c r="N53" i="20" s="1"/>
  <c r="O53" i="20" a="1"/>
  <c r="O53" i="20" s="1"/>
  <c r="B54" i="20" a="1"/>
  <c r="B54" i="20" s="1"/>
  <c r="C54" i="20" a="1"/>
  <c r="C54" i="20" s="1"/>
  <c r="D54" i="20" a="1"/>
  <c r="D54" i="20" s="1"/>
  <c r="E54" i="20" a="1"/>
  <c r="E54" i="20" s="1"/>
  <c r="F54" i="20" a="1"/>
  <c r="F54" i="20" s="1"/>
  <c r="G54" i="20" a="1"/>
  <c r="G54" i="20" s="1"/>
  <c r="H54" i="20" a="1"/>
  <c r="H54" i="20" s="1"/>
  <c r="I54" i="20" a="1"/>
  <c r="I54" i="20" s="1"/>
  <c r="J54" i="20" a="1"/>
  <c r="J54" i="20" s="1"/>
  <c r="K54" i="20" a="1"/>
  <c r="K54" i="20" s="1"/>
  <c r="L54" i="20" a="1"/>
  <c r="L54" i="20" s="1"/>
  <c r="M54" i="20" a="1"/>
  <c r="M54" i="20" s="1"/>
  <c r="N54" i="20" a="1"/>
  <c r="N54" i="20" s="1"/>
  <c r="O54" i="20" a="1"/>
  <c r="O54" i="20" s="1"/>
  <c r="B55" i="20" a="1"/>
  <c r="B55" i="20" s="1"/>
  <c r="C55" i="20" a="1"/>
  <c r="C55" i="20" s="1"/>
  <c r="D55" i="20" a="1"/>
  <c r="D55" i="20" s="1"/>
  <c r="E55" i="20" a="1"/>
  <c r="E55" i="20" s="1"/>
  <c r="F55" i="20" a="1"/>
  <c r="F55" i="20" s="1"/>
  <c r="G55" i="20" a="1"/>
  <c r="G55" i="20" s="1"/>
  <c r="H55" i="20" a="1"/>
  <c r="H55" i="20" s="1"/>
  <c r="I55" i="20" a="1"/>
  <c r="I55" i="20" s="1"/>
  <c r="J55" i="20" a="1"/>
  <c r="J55" i="20" s="1"/>
  <c r="K55" i="20" a="1"/>
  <c r="K55" i="20" s="1"/>
  <c r="L55" i="20" a="1"/>
  <c r="L55" i="20" s="1"/>
  <c r="M55" i="20" a="1"/>
  <c r="M55" i="20" s="1"/>
  <c r="N55" i="20" a="1"/>
  <c r="N55" i="20" s="1"/>
  <c r="O55" i="20" a="1"/>
  <c r="O55" i="20" s="1"/>
  <c r="B56" i="20" a="1"/>
  <c r="B56" i="20" s="1"/>
  <c r="C56" i="20" a="1"/>
  <c r="C56" i="20" s="1"/>
  <c r="D56" i="20" a="1"/>
  <c r="D56" i="20" s="1"/>
  <c r="E56" i="20" a="1"/>
  <c r="E56" i="20" s="1"/>
  <c r="F56" i="20" a="1"/>
  <c r="F56" i="20" s="1"/>
  <c r="G56" i="20" a="1"/>
  <c r="G56" i="20" s="1"/>
  <c r="H56" i="20" a="1"/>
  <c r="H56" i="20" s="1"/>
  <c r="I56" i="20" a="1"/>
  <c r="I56" i="20" s="1"/>
  <c r="J56" i="20" a="1"/>
  <c r="J56" i="20" s="1"/>
  <c r="K56" i="20" a="1"/>
  <c r="K56" i="20" s="1"/>
  <c r="L56" i="20" a="1"/>
  <c r="L56" i="20" s="1"/>
  <c r="M56" i="20" a="1"/>
  <c r="M56" i="20" s="1"/>
  <c r="N56" i="20" a="1"/>
  <c r="N56" i="20" s="1"/>
  <c r="O56" i="20" a="1"/>
  <c r="O56" i="20" s="1"/>
  <c r="B57" i="20" a="1"/>
  <c r="B57" i="20" s="1"/>
  <c r="C57" i="20" a="1"/>
  <c r="C57" i="20" s="1"/>
  <c r="D57" i="20" a="1"/>
  <c r="D57" i="20" s="1"/>
  <c r="E57" i="20" a="1"/>
  <c r="E57" i="20" s="1"/>
  <c r="F57" i="20" a="1"/>
  <c r="F57" i="20" s="1"/>
  <c r="G57" i="20" a="1"/>
  <c r="G57" i="20" s="1"/>
  <c r="H57" i="20" a="1"/>
  <c r="H57" i="20" s="1"/>
  <c r="I57" i="20" a="1"/>
  <c r="I57" i="20" s="1"/>
  <c r="J57" i="20" a="1"/>
  <c r="J57" i="20" s="1"/>
  <c r="K57" i="20" a="1"/>
  <c r="K57" i="20" s="1"/>
  <c r="L57" i="20" a="1"/>
  <c r="L57" i="20" s="1"/>
  <c r="M57" i="20" a="1"/>
  <c r="M57" i="20" s="1"/>
  <c r="N57" i="20" a="1"/>
  <c r="N57" i="20" s="1"/>
  <c r="O57" i="20" a="1"/>
  <c r="O57" i="20" s="1"/>
  <c r="B58" i="20" a="1"/>
  <c r="B58" i="20" s="1"/>
  <c r="C58" i="20" a="1"/>
  <c r="C58" i="20" s="1"/>
  <c r="D58" i="20" a="1"/>
  <c r="D58" i="20" s="1"/>
  <c r="E58" i="20" a="1"/>
  <c r="E58" i="20" s="1"/>
  <c r="F58" i="20" a="1"/>
  <c r="F58" i="20" s="1"/>
  <c r="G58" i="20" a="1"/>
  <c r="G58" i="20" s="1"/>
  <c r="H58" i="20" a="1"/>
  <c r="H58" i="20" s="1"/>
  <c r="I58" i="20" a="1"/>
  <c r="I58" i="20" s="1"/>
  <c r="J58" i="20" a="1"/>
  <c r="J58" i="20" s="1"/>
  <c r="K58" i="20" a="1"/>
  <c r="K58" i="20" s="1"/>
  <c r="L58" i="20" a="1"/>
  <c r="L58" i="20" s="1"/>
  <c r="M58" i="20" a="1"/>
  <c r="M58" i="20" s="1"/>
  <c r="N58" i="20" a="1"/>
  <c r="N58" i="20" s="1"/>
  <c r="O58" i="20" a="1"/>
  <c r="O58" i="20" s="1"/>
  <c r="B59" i="20" a="1"/>
  <c r="B59" i="20" s="1"/>
  <c r="C59" i="20" a="1"/>
  <c r="C59" i="20" s="1"/>
  <c r="D59" i="20" a="1"/>
  <c r="D59" i="20" s="1"/>
  <c r="E59" i="20" a="1"/>
  <c r="E59" i="20" s="1"/>
  <c r="F59" i="20" a="1"/>
  <c r="F59" i="20" s="1"/>
  <c r="G59" i="20" a="1"/>
  <c r="G59" i="20" s="1"/>
  <c r="H59" i="20" a="1"/>
  <c r="H59" i="20" s="1"/>
  <c r="I59" i="20" a="1"/>
  <c r="I59" i="20" s="1"/>
  <c r="J59" i="20" a="1"/>
  <c r="J59" i="20" s="1"/>
  <c r="K59" i="20" a="1"/>
  <c r="K59" i="20" s="1"/>
  <c r="L59" i="20" a="1"/>
  <c r="L59" i="20" s="1"/>
  <c r="M59" i="20" a="1"/>
  <c r="M59" i="20" s="1"/>
  <c r="N59" i="20" a="1"/>
  <c r="N59" i="20" s="1"/>
  <c r="O59" i="20" a="1"/>
  <c r="O59" i="20" s="1"/>
  <c r="B60" i="20" a="1"/>
  <c r="B60" i="20" s="1"/>
  <c r="C60" i="20" a="1"/>
  <c r="C60" i="20" s="1"/>
  <c r="D60" i="20" a="1"/>
  <c r="D60" i="20" s="1"/>
  <c r="E60" i="20" a="1"/>
  <c r="E60" i="20" s="1"/>
  <c r="F60" i="20" a="1"/>
  <c r="F60" i="20" s="1"/>
  <c r="G60" i="20" a="1"/>
  <c r="G60" i="20" s="1"/>
  <c r="H60" i="20" a="1"/>
  <c r="H60" i="20" s="1"/>
  <c r="I60" i="20" a="1"/>
  <c r="I60" i="20" s="1"/>
  <c r="J60" i="20" a="1"/>
  <c r="J60" i="20" s="1"/>
  <c r="K60" i="20" a="1"/>
  <c r="K60" i="20" s="1"/>
  <c r="L60" i="20" a="1"/>
  <c r="L60" i="20" s="1"/>
  <c r="M60" i="20" a="1"/>
  <c r="M60" i="20" s="1"/>
  <c r="N60" i="20" a="1"/>
  <c r="N60" i="20" s="1"/>
  <c r="O60" i="20" a="1"/>
  <c r="O60" i="20" s="1"/>
  <c r="B61" i="20" a="1"/>
  <c r="B61" i="20" s="1"/>
  <c r="C61" i="20" a="1"/>
  <c r="C61" i="20" s="1"/>
  <c r="D61" i="20" a="1"/>
  <c r="D61" i="20" s="1"/>
  <c r="E61" i="20" a="1"/>
  <c r="E61" i="20" s="1"/>
  <c r="F61" i="20" a="1"/>
  <c r="F61" i="20" s="1"/>
  <c r="G61" i="20" a="1"/>
  <c r="G61" i="20" s="1"/>
  <c r="H61" i="20" a="1"/>
  <c r="H61" i="20" s="1"/>
  <c r="I61" i="20" a="1"/>
  <c r="I61" i="20" s="1"/>
  <c r="J61" i="20" a="1"/>
  <c r="J61" i="20" s="1"/>
  <c r="K61" i="20" a="1"/>
  <c r="K61" i="20" s="1"/>
  <c r="L61" i="20" a="1"/>
  <c r="L61" i="20" s="1"/>
  <c r="M61" i="20" a="1"/>
  <c r="M61" i="20" s="1"/>
  <c r="N61" i="20" a="1"/>
  <c r="N61" i="20" s="1"/>
  <c r="O61" i="20" a="1"/>
  <c r="O61" i="20" s="1"/>
  <c r="B62" i="20" a="1"/>
  <c r="B62" i="20" s="1"/>
  <c r="C62" i="20" a="1"/>
  <c r="C62" i="20" s="1"/>
  <c r="D62" i="20" a="1"/>
  <c r="D62" i="20" s="1"/>
  <c r="E62" i="20" a="1"/>
  <c r="E62" i="20" s="1"/>
  <c r="F62" i="20" a="1"/>
  <c r="F62" i="20" s="1"/>
  <c r="G62" i="20" a="1"/>
  <c r="G62" i="20" s="1"/>
  <c r="H62" i="20" a="1"/>
  <c r="H62" i="20" s="1"/>
  <c r="I62" i="20" a="1"/>
  <c r="I62" i="20" s="1"/>
  <c r="J62" i="20" a="1"/>
  <c r="J62" i="20" s="1"/>
  <c r="K62" i="20" a="1"/>
  <c r="K62" i="20" s="1"/>
  <c r="L62" i="20" a="1"/>
  <c r="L62" i="20" s="1"/>
  <c r="M62" i="20" a="1"/>
  <c r="M62" i="20" s="1"/>
  <c r="N62" i="20" a="1"/>
  <c r="N62" i="20" s="1"/>
  <c r="O62" i="20" a="1"/>
  <c r="O62" i="20" s="1"/>
  <c r="B63" i="20" a="1"/>
  <c r="B63" i="20" s="1"/>
  <c r="C63" i="20" a="1"/>
  <c r="C63" i="20" s="1"/>
  <c r="D63" i="20" a="1"/>
  <c r="D63" i="20" s="1"/>
  <c r="E63" i="20" a="1"/>
  <c r="E63" i="20" s="1"/>
  <c r="F63" i="20" a="1"/>
  <c r="F63" i="20" s="1"/>
  <c r="G63" i="20" a="1"/>
  <c r="G63" i="20" s="1"/>
  <c r="H63" i="20" a="1"/>
  <c r="H63" i="20" s="1"/>
  <c r="I63" i="20" a="1"/>
  <c r="I63" i="20" s="1"/>
  <c r="J63" i="20" a="1"/>
  <c r="J63" i="20" s="1"/>
  <c r="K63" i="20" a="1"/>
  <c r="K63" i="20" s="1"/>
  <c r="L63" i="20" a="1"/>
  <c r="L63" i="20" s="1"/>
  <c r="M63" i="20" a="1"/>
  <c r="M63" i="20" s="1"/>
  <c r="N63" i="20" a="1"/>
  <c r="N63" i="20" s="1"/>
  <c r="O63" i="20" a="1"/>
  <c r="O63" i="20" s="1"/>
  <c r="B64" i="20" a="1"/>
  <c r="B64" i="20" s="1"/>
  <c r="C64" i="20" a="1"/>
  <c r="C64" i="20" s="1"/>
  <c r="D64" i="20" a="1"/>
  <c r="D64" i="20" s="1"/>
  <c r="E64" i="20" a="1"/>
  <c r="E64" i="20" s="1"/>
  <c r="F64" i="20" a="1"/>
  <c r="F64" i="20" s="1"/>
  <c r="G64" i="20" a="1"/>
  <c r="G64" i="20" s="1"/>
  <c r="H64" i="20" a="1"/>
  <c r="H64" i="20" s="1"/>
  <c r="I64" i="20" a="1"/>
  <c r="I64" i="20" s="1"/>
  <c r="J64" i="20" a="1"/>
  <c r="J64" i="20" s="1"/>
  <c r="K64" i="20" a="1"/>
  <c r="K64" i="20" s="1"/>
  <c r="L64" i="20" a="1"/>
  <c r="L64" i="20" s="1"/>
  <c r="M64" i="20" a="1"/>
  <c r="M64" i="20" s="1"/>
  <c r="N64" i="20" a="1"/>
  <c r="N64" i="20" s="1"/>
  <c r="O64" i="20" a="1"/>
  <c r="O64" i="20" s="1"/>
  <c r="B65" i="20" a="1"/>
  <c r="B65" i="20" s="1"/>
  <c r="C65" i="20" a="1"/>
  <c r="C65" i="20" s="1"/>
  <c r="D65" i="20" a="1"/>
  <c r="D65" i="20" s="1"/>
  <c r="E65" i="20" a="1"/>
  <c r="E65" i="20" s="1"/>
  <c r="F65" i="20" a="1"/>
  <c r="F65" i="20" s="1"/>
  <c r="G65" i="20" a="1"/>
  <c r="G65" i="20" s="1"/>
  <c r="H65" i="20" a="1"/>
  <c r="H65" i="20" s="1"/>
  <c r="I65" i="20" a="1"/>
  <c r="I65" i="20" s="1"/>
  <c r="J65" i="20" a="1"/>
  <c r="J65" i="20" s="1"/>
  <c r="K65" i="20" a="1"/>
  <c r="K65" i="20" s="1"/>
  <c r="L65" i="20" a="1"/>
  <c r="L65" i="20" s="1"/>
  <c r="M65" i="20" a="1"/>
  <c r="M65" i="20" s="1"/>
  <c r="N65" i="20" a="1"/>
  <c r="N65" i="20" s="1"/>
  <c r="O65" i="20" a="1"/>
  <c r="O65" i="20" s="1"/>
  <c r="B66" i="20" a="1"/>
  <c r="B66" i="20" s="1"/>
  <c r="C66" i="20" a="1"/>
  <c r="C66" i="20" s="1"/>
  <c r="D66" i="20" a="1"/>
  <c r="D66" i="20" s="1"/>
  <c r="E66" i="20" a="1"/>
  <c r="E66" i="20" s="1"/>
  <c r="F66" i="20" a="1"/>
  <c r="F66" i="20" s="1"/>
  <c r="G66" i="20" a="1"/>
  <c r="G66" i="20" s="1"/>
  <c r="H66" i="20" a="1"/>
  <c r="H66" i="20" s="1"/>
  <c r="I66" i="20" a="1"/>
  <c r="I66" i="20" s="1"/>
  <c r="J66" i="20" a="1"/>
  <c r="J66" i="20" s="1"/>
  <c r="K66" i="20" a="1"/>
  <c r="K66" i="20" s="1"/>
  <c r="L66" i="20" a="1"/>
  <c r="L66" i="20" s="1"/>
  <c r="M66" i="20" a="1"/>
  <c r="M66" i="20" s="1"/>
  <c r="N66" i="20" a="1"/>
  <c r="N66" i="20" s="1"/>
  <c r="O66" i="20" a="1"/>
  <c r="O66" i="20" s="1"/>
  <c r="B67" i="20" a="1"/>
  <c r="B67" i="20" s="1"/>
  <c r="C67" i="20" a="1"/>
  <c r="C67" i="20" s="1"/>
  <c r="D67" i="20" a="1"/>
  <c r="D67" i="20" s="1"/>
  <c r="E67" i="20" a="1"/>
  <c r="E67" i="20" s="1"/>
  <c r="F67" i="20" a="1"/>
  <c r="F67" i="20" s="1"/>
  <c r="G67" i="20" a="1"/>
  <c r="G67" i="20" s="1"/>
  <c r="H67" i="20" a="1"/>
  <c r="H67" i="20" s="1"/>
  <c r="I67" i="20" a="1"/>
  <c r="I67" i="20" s="1"/>
  <c r="J67" i="20" a="1"/>
  <c r="J67" i="20" s="1"/>
  <c r="K67" i="20" a="1"/>
  <c r="K67" i="20" s="1"/>
  <c r="L67" i="20" a="1"/>
  <c r="L67" i="20" s="1"/>
  <c r="M67" i="20" a="1"/>
  <c r="M67" i="20" s="1"/>
  <c r="N67" i="20" a="1"/>
  <c r="N67" i="20" s="1"/>
  <c r="O67" i="20" a="1"/>
  <c r="O67" i="20" s="1"/>
  <c r="B68" i="20" a="1"/>
  <c r="B68" i="20" s="1"/>
  <c r="C68" i="20" a="1"/>
  <c r="C68" i="20" s="1"/>
  <c r="D68" i="20" a="1"/>
  <c r="D68" i="20" s="1"/>
  <c r="E68" i="20" a="1"/>
  <c r="E68" i="20" s="1"/>
  <c r="F68" i="20" a="1"/>
  <c r="F68" i="20" s="1"/>
  <c r="G68" i="20" a="1"/>
  <c r="G68" i="20" s="1"/>
  <c r="H68" i="20" a="1"/>
  <c r="H68" i="20" s="1"/>
  <c r="I68" i="20" a="1"/>
  <c r="I68" i="20" s="1"/>
  <c r="J68" i="20" a="1"/>
  <c r="J68" i="20" s="1"/>
  <c r="K68" i="20" a="1"/>
  <c r="K68" i="20" s="1"/>
  <c r="L68" i="20" a="1"/>
  <c r="L68" i="20" s="1"/>
  <c r="M68" i="20" a="1"/>
  <c r="M68" i="20"/>
  <c r="N68" i="20" a="1"/>
  <c r="N68" i="20" s="1"/>
  <c r="O68" i="20" a="1"/>
  <c r="O68" i="20" s="1"/>
  <c r="B69" i="20" a="1"/>
  <c r="B69" i="20" s="1"/>
  <c r="C69" i="20" a="1"/>
  <c r="C69" i="20" s="1"/>
  <c r="D69" i="20" a="1"/>
  <c r="D69" i="20" s="1"/>
  <c r="E69" i="20" a="1"/>
  <c r="E69" i="20"/>
  <c r="F69" i="20" a="1"/>
  <c r="F69" i="20" s="1"/>
  <c r="G69" i="20" a="1"/>
  <c r="G69" i="20" s="1"/>
  <c r="H69" i="20" a="1"/>
  <c r="H69" i="20" s="1"/>
  <c r="I69" i="20" a="1"/>
  <c r="I69" i="20" s="1"/>
  <c r="J69" i="20" a="1"/>
  <c r="J69" i="20" s="1"/>
  <c r="K69" i="20" a="1"/>
  <c r="K69" i="20"/>
  <c r="L69" i="20" a="1"/>
  <c r="L69" i="20" s="1"/>
  <c r="M69" i="20" a="1"/>
  <c r="M69" i="20" s="1"/>
  <c r="N69" i="20" a="1"/>
  <c r="N69" i="20" s="1"/>
  <c r="O69" i="20" a="1"/>
  <c r="O69" i="20" s="1"/>
  <c r="B70" i="20" a="1"/>
  <c r="B70" i="20" s="1"/>
  <c r="C70" i="20" a="1"/>
  <c r="C70" i="20"/>
  <c r="D70" i="20" a="1"/>
  <c r="D70" i="20" s="1"/>
  <c r="E70" i="20" a="1"/>
  <c r="E70" i="20" s="1"/>
  <c r="F70" i="20" a="1"/>
  <c r="F70" i="20" s="1"/>
  <c r="G70" i="20" a="1"/>
  <c r="G70" i="20" s="1"/>
  <c r="H70" i="20" a="1"/>
  <c r="H70" i="20" s="1"/>
  <c r="I70" i="20" a="1"/>
  <c r="I70" i="20"/>
  <c r="J70" i="20" a="1"/>
  <c r="J70" i="20" s="1"/>
  <c r="K70" i="20" a="1"/>
  <c r="K70" i="20" s="1"/>
  <c r="L70" i="20" a="1"/>
  <c r="L70" i="20" s="1"/>
  <c r="M70" i="20" a="1"/>
  <c r="M70" i="20" s="1"/>
  <c r="N70" i="20" a="1"/>
  <c r="N70" i="20" s="1"/>
  <c r="O70" i="20" a="1"/>
  <c r="O70" i="20"/>
  <c r="B71" i="20" a="1"/>
  <c r="B71" i="20" s="1"/>
  <c r="C71" i="20" a="1"/>
  <c r="C71" i="20" s="1"/>
  <c r="D71" i="20" a="1"/>
  <c r="D71" i="20" s="1"/>
  <c r="E71" i="20" a="1"/>
  <c r="E71" i="20" s="1"/>
  <c r="F71" i="20" a="1"/>
  <c r="F71" i="20" s="1"/>
  <c r="G71" i="20" a="1"/>
  <c r="G71" i="20"/>
  <c r="H71" i="20" a="1"/>
  <c r="H71" i="20" s="1"/>
  <c r="I71" i="20" a="1"/>
  <c r="I71" i="20" s="1"/>
  <c r="J71" i="20" a="1"/>
  <c r="J71" i="20" s="1"/>
  <c r="K71" i="20" a="1"/>
  <c r="K71" i="20" s="1"/>
  <c r="L71" i="20" a="1"/>
  <c r="L71" i="20" s="1"/>
  <c r="M71" i="20" a="1"/>
  <c r="M71" i="20" s="1"/>
  <c r="N71" i="20" a="1"/>
  <c r="N71" i="20" s="1"/>
  <c r="O71" i="20" a="1"/>
  <c r="O71" i="20" s="1"/>
  <c r="B72" i="20" a="1"/>
  <c r="B72" i="20" s="1"/>
  <c r="C72" i="20" a="1"/>
  <c r="C72" i="20" s="1"/>
  <c r="D72" i="20" a="1"/>
  <c r="D72" i="20" s="1"/>
  <c r="E72" i="20" a="1"/>
  <c r="E72" i="20"/>
  <c r="F72" i="20" a="1"/>
  <c r="F72" i="20" s="1"/>
  <c r="G72" i="20" a="1"/>
  <c r="G72" i="20" s="1"/>
  <c r="H72" i="20" a="1"/>
  <c r="H72" i="20" s="1"/>
  <c r="I72" i="20" a="1"/>
  <c r="I72" i="20" s="1"/>
  <c r="J72" i="20" a="1"/>
  <c r="J72" i="20" s="1"/>
  <c r="K72" i="20" a="1"/>
  <c r="K72" i="20"/>
  <c r="L72" i="20" a="1"/>
  <c r="L72" i="20" s="1"/>
  <c r="M72" i="20" a="1"/>
  <c r="M72" i="20" s="1"/>
  <c r="N72" i="20" a="1"/>
  <c r="N72" i="20" s="1"/>
  <c r="O72" i="20" a="1"/>
  <c r="O72" i="20" s="1"/>
  <c r="B73" i="20" a="1"/>
  <c r="B73" i="20" s="1"/>
  <c r="C73" i="20" a="1"/>
  <c r="C73" i="20" s="1"/>
  <c r="D73" i="20" a="1"/>
  <c r="D73" i="20" s="1"/>
  <c r="E73" i="20" a="1"/>
  <c r="E73" i="20" s="1"/>
  <c r="F73" i="20" a="1"/>
  <c r="F73" i="20" s="1"/>
  <c r="G73" i="20" a="1"/>
  <c r="G73" i="20" s="1"/>
  <c r="H73" i="20" a="1"/>
  <c r="H73" i="20" s="1"/>
  <c r="I73" i="20" a="1"/>
  <c r="I73" i="20" s="1"/>
  <c r="J73" i="20" a="1"/>
  <c r="J73" i="20" s="1"/>
  <c r="K73" i="20" a="1"/>
  <c r="K73" i="20" s="1"/>
  <c r="L73" i="20" a="1"/>
  <c r="L73" i="20" s="1"/>
  <c r="M73" i="20" a="1"/>
  <c r="M73" i="20" s="1"/>
  <c r="N73" i="20" a="1"/>
  <c r="N73" i="20" s="1"/>
  <c r="O73" i="20" a="1"/>
  <c r="O73" i="20"/>
  <c r="B74" i="20" a="1"/>
  <c r="B74" i="20" s="1"/>
  <c r="C74" i="20" a="1"/>
  <c r="C74" i="20" s="1"/>
  <c r="D74" i="20" a="1"/>
  <c r="D74" i="20" s="1"/>
  <c r="E74" i="20" a="1"/>
  <c r="E74" i="20" s="1"/>
  <c r="F74" i="20" a="1"/>
  <c r="F74" i="20" s="1"/>
  <c r="G74" i="20" a="1"/>
  <c r="G74" i="20" s="1"/>
  <c r="H74" i="20" a="1"/>
  <c r="H74" i="20" s="1"/>
  <c r="I74" i="20" a="1"/>
  <c r="I74" i="20" s="1"/>
  <c r="J74" i="20" a="1"/>
  <c r="J74" i="20" s="1"/>
  <c r="K74" i="20" a="1"/>
  <c r="K74" i="20" s="1"/>
  <c r="L74" i="20" a="1"/>
  <c r="L74" i="20" s="1"/>
  <c r="M74" i="20" a="1"/>
  <c r="M74" i="20"/>
  <c r="N74" i="20" a="1"/>
  <c r="N74" i="20" s="1"/>
  <c r="O74" i="20" a="1"/>
  <c r="O74" i="20" s="1"/>
  <c r="B75" i="20" a="1"/>
  <c r="B75" i="20" s="1"/>
  <c r="C75" i="20" a="1"/>
  <c r="C75" i="20" s="1"/>
  <c r="D75" i="20" a="1"/>
  <c r="D75" i="20" s="1"/>
  <c r="E75" i="20" a="1"/>
  <c r="E75" i="20"/>
  <c r="F75" i="20" a="1"/>
  <c r="F75" i="20" s="1"/>
  <c r="G75" i="20" a="1"/>
  <c r="G75" i="20" s="1"/>
  <c r="H75" i="20" a="1"/>
  <c r="H75" i="20" s="1"/>
  <c r="I75" i="20" a="1"/>
  <c r="I75" i="20" s="1"/>
  <c r="J75" i="20" a="1"/>
  <c r="J75" i="20" s="1"/>
  <c r="K75" i="20" a="1"/>
  <c r="K75" i="20"/>
  <c r="L75" i="20" a="1"/>
  <c r="L75" i="20" s="1"/>
  <c r="M75" i="20" a="1"/>
  <c r="M75" i="20" s="1"/>
  <c r="N75" i="20" a="1"/>
  <c r="N75" i="20" s="1"/>
  <c r="O75" i="20" a="1"/>
  <c r="O75" i="20" s="1"/>
  <c r="B76" i="20" a="1"/>
  <c r="B76" i="20" s="1"/>
  <c r="C76" i="20" a="1"/>
  <c r="C76" i="20" s="1"/>
  <c r="D76" i="20" a="1"/>
  <c r="D76" i="20" s="1"/>
  <c r="E76" i="20" a="1"/>
  <c r="E76" i="20" s="1"/>
  <c r="F76" i="20" a="1"/>
  <c r="F76" i="20" s="1"/>
  <c r="G76" i="20" a="1"/>
  <c r="G76" i="20" s="1"/>
  <c r="H76" i="20" a="1"/>
  <c r="H76" i="20" s="1"/>
  <c r="I76" i="20" a="1"/>
  <c r="I76" i="20" s="1"/>
  <c r="J76" i="20" a="1"/>
  <c r="J76" i="20" s="1"/>
  <c r="K76" i="20" a="1"/>
  <c r="K76" i="20" s="1"/>
  <c r="L76" i="20" a="1"/>
  <c r="L76" i="20" s="1"/>
  <c r="M76" i="20" a="1"/>
  <c r="M76" i="20" s="1"/>
  <c r="N76" i="20" a="1"/>
  <c r="N76" i="20" s="1"/>
  <c r="O76" i="20" a="1"/>
  <c r="O76" i="20" s="1"/>
  <c r="B77" i="20" a="1"/>
  <c r="B77" i="20" s="1"/>
  <c r="C77" i="20" a="1"/>
  <c r="C77" i="20" s="1"/>
  <c r="D77" i="20" a="1"/>
  <c r="D77" i="20" s="1"/>
  <c r="E77" i="20" a="1"/>
  <c r="E77" i="20" s="1"/>
  <c r="F77" i="20" a="1"/>
  <c r="F77" i="20" s="1"/>
  <c r="G77" i="20" a="1"/>
  <c r="G77" i="20"/>
  <c r="H77" i="20" a="1"/>
  <c r="H77" i="20" s="1"/>
  <c r="I77" i="20" a="1"/>
  <c r="I77" i="20" s="1"/>
  <c r="J77" i="20" a="1"/>
  <c r="J77" i="20" s="1"/>
  <c r="K77" i="20" a="1"/>
  <c r="K77" i="20" s="1"/>
  <c r="L77" i="20" a="1"/>
  <c r="L77" i="20" s="1"/>
  <c r="M77" i="20" a="1"/>
  <c r="M77" i="20"/>
  <c r="N77" i="20" a="1"/>
  <c r="N77" i="20" s="1"/>
  <c r="O77" i="20" a="1"/>
  <c r="O77" i="20" s="1"/>
  <c r="B78" i="20" a="1"/>
  <c r="B78" i="20" s="1"/>
  <c r="C78" i="20" a="1"/>
  <c r="C78" i="20" s="1"/>
  <c r="D78" i="20" a="1"/>
  <c r="D78" i="20" s="1"/>
  <c r="E78" i="20" a="1"/>
  <c r="E78" i="20"/>
  <c r="F78" i="20" a="1"/>
  <c r="F78" i="20" s="1"/>
  <c r="G78" i="20" a="1"/>
  <c r="G78" i="20" s="1"/>
  <c r="H78" i="20" a="1"/>
  <c r="H78" i="20" s="1"/>
  <c r="I78" i="20" a="1"/>
  <c r="I78" i="20" s="1"/>
  <c r="J78" i="20" a="1"/>
  <c r="J78" i="20" s="1"/>
  <c r="K78" i="20" a="1"/>
  <c r="K78" i="20"/>
  <c r="L78" i="20" a="1"/>
  <c r="L78" i="20" s="1"/>
  <c r="M78" i="20" a="1"/>
  <c r="M78" i="20" s="1"/>
  <c r="N78" i="20" a="1"/>
  <c r="N78" i="20" s="1"/>
  <c r="O78" i="20" a="1"/>
  <c r="O78" i="20" s="1"/>
  <c r="B79" i="20" a="1"/>
  <c r="B79" i="20" s="1"/>
  <c r="C79" i="20" a="1"/>
  <c r="C79" i="20"/>
  <c r="D79" i="20" a="1"/>
  <c r="D79" i="20" s="1"/>
  <c r="E79" i="20" a="1"/>
  <c r="E79" i="20" s="1"/>
  <c r="F79" i="20" a="1"/>
  <c r="F79" i="20" s="1"/>
  <c r="G79" i="20" a="1"/>
  <c r="G79" i="20" s="1"/>
  <c r="H79" i="20" a="1"/>
  <c r="H79" i="20" s="1"/>
  <c r="I79" i="20" a="1"/>
  <c r="I79" i="20" s="1"/>
  <c r="J79" i="20" a="1"/>
  <c r="J79" i="20" s="1"/>
  <c r="K79" i="20" a="1"/>
  <c r="K79" i="20" s="1"/>
  <c r="L79" i="20" a="1"/>
  <c r="L79" i="20" s="1"/>
  <c r="M79" i="20" a="1"/>
  <c r="M79" i="20" s="1"/>
  <c r="N79" i="20" a="1"/>
  <c r="N79" i="20" s="1"/>
  <c r="O79" i="20" a="1"/>
  <c r="O79" i="20" s="1"/>
  <c r="B80" i="20" a="1"/>
  <c r="B80" i="20" s="1"/>
  <c r="C80" i="20" a="1"/>
  <c r="C80" i="20" s="1"/>
  <c r="D80" i="20" a="1"/>
  <c r="D80" i="20" s="1"/>
  <c r="E80" i="20" a="1"/>
  <c r="E80" i="20" s="1"/>
  <c r="F80" i="20" a="1"/>
  <c r="F80" i="20" s="1"/>
  <c r="G80" i="20" a="1"/>
  <c r="G80" i="20"/>
  <c r="H80" i="20" a="1"/>
  <c r="H80" i="20" s="1"/>
  <c r="I80" i="20" a="1"/>
  <c r="I80" i="20" s="1"/>
  <c r="J80" i="20" a="1"/>
  <c r="J80" i="20" s="1"/>
  <c r="K80" i="20" a="1"/>
  <c r="K80" i="20" s="1"/>
  <c r="L80" i="20" a="1"/>
  <c r="L80" i="20" s="1"/>
  <c r="M80" i="20" a="1"/>
  <c r="M80" i="20"/>
  <c r="N80" i="20" a="1"/>
  <c r="N80" i="20" s="1"/>
  <c r="O80" i="20" a="1"/>
  <c r="O80" i="20" s="1"/>
  <c r="B81" i="20" a="1"/>
  <c r="B81" i="20" s="1"/>
  <c r="C81" i="20" a="1"/>
  <c r="C81" i="20" s="1"/>
  <c r="D81" i="20" a="1"/>
  <c r="D81" i="20" s="1"/>
  <c r="E81" i="20" a="1"/>
  <c r="E81" i="20" s="1"/>
  <c r="F81" i="20" a="1"/>
  <c r="F81" i="20" s="1"/>
  <c r="G81" i="20" a="1"/>
  <c r="G81" i="20" s="1"/>
  <c r="H81" i="20" a="1"/>
  <c r="H81" i="20" s="1"/>
  <c r="I81" i="20" a="1"/>
  <c r="I81" i="20" s="1"/>
  <c r="J81" i="20" a="1"/>
  <c r="J81" i="20" s="1"/>
  <c r="K81" i="20" a="1"/>
  <c r="K81" i="20" s="1"/>
  <c r="L81" i="20" a="1"/>
  <c r="L81" i="20" s="1"/>
  <c r="M81" i="20" a="1"/>
  <c r="M81" i="20" s="1"/>
  <c r="N81" i="20" a="1"/>
  <c r="N81" i="20" s="1"/>
  <c r="O81" i="20" a="1"/>
  <c r="O81" i="20" s="1"/>
  <c r="B82" i="20" a="1"/>
  <c r="B82" i="20" s="1"/>
  <c r="C82" i="20" a="1"/>
  <c r="C82" i="20" s="1"/>
  <c r="D82" i="20" a="1"/>
  <c r="D82" i="20" s="1"/>
  <c r="E82" i="20" a="1"/>
  <c r="E82" i="20" s="1"/>
  <c r="F82" i="20" a="1"/>
  <c r="F82" i="20" s="1"/>
  <c r="G82" i="20" a="1"/>
  <c r="G82" i="20" s="1"/>
  <c r="H82" i="20" a="1"/>
  <c r="H82" i="20" s="1"/>
  <c r="I82" i="20" a="1"/>
  <c r="I82" i="20" s="1"/>
  <c r="J82" i="20" a="1"/>
  <c r="J82" i="20" s="1"/>
  <c r="K82" i="20" a="1"/>
  <c r="K82" i="20" s="1"/>
  <c r="L82" i="20" a="1"/>
  <c r="L82" i="20" s="1"/>
  <c r="M82" i="20" a="1"/>
  <c r="M82" i="20" s="1"/>
  <c r="N82" i="20" a="1"/>
  <c r="N82" i="20" s="1"/>
  <c r="O82" i="20" a="1"/>
  <c r="O82" i="20"/>
  <c r="B83" i="20" a="1"/>
  <c r="B83" i="20" s="1"/>
  <c r="C83" i="20" a="1"/>
  <c r="C83" i="20" s="1"/>
  <c r="D83" i="20" a="1"/>
  <c r="D83" i="20" s="1"/>
  <c r="E83" i="20" a="1"/>
  <c r="E83" i="20" s="1"/>
  <c r="F83" i="20" a="1"/>
  <c r="F83" i="20" s="1"/>
  <c r="G83" i="20" a="1"/>
  <c r="G83" i="20" s="1"/>
  <c r="H83" i="20" a="1"/>
  <c r="H83" i="20" s="1"/>
  <c r="I83" i="20" a="1"/>
  <c r="I83" i="20" s="1"/>
  <c r="J83" i="20" a="1"/>
  <c r="J83" i="20" s="1"/>
  <c r="K83" i="20" a="1"/>
  <c r="K83" i="20" s="1"/>
  <c r="L83" i="20" a="1"/>
  <c r="L83" i="20" s="1"/>
  <c r="M83" i="20" a="1"/>
  <c r="M83" i="20"/>
  <c r="N83" i="20" a="1"/>
  <c r="N83" i="20" s="1"/>
  <c r="O83" i="20" a="1"/>
  <c r="O83" i="20" s="1"/>
  <c r="B84" i="20" a="1"/>
  <c r="B84" i="20" s="1"/>
  <c r="C84" i="20" a="1"/>
  <c r="C84" i="20" s="1"/>
  <c r="D84" i="20" a="1"/>
  <c r="D84" i="20" s="1"/>
  <c r="E84" i="20" a="1"/>
  <c r="E84" i="20"/>
  <c r="F84" i="20" a="1"/>
  <c r="F84" i="20" s="1"/>
  <c r="G84" i="20" a="1"/>
  <c r="G84" i="20" s="1"/>
  <c r="H84" i="20" a="1"/>
  <c r="H84" i="20" s="1"/>
  <c r="I84" i="20" a="1"/>
  <c r="I84" i="20" s="1"/>
  <c r="J84" i="20" a="1"/>
  <c r="J84" i="20" s="1"/>
  <c r="K84" i="20" a="1"/>
  <c r="K84" i="20" s="1"/>
  <c r="L84" i="20" a="1"/>
  <c r="L84" i="20" s="1"/>
  <c r="M84" i="20" a="1"/>
  <c r="M84" i="20" s="1"/>
  <c r="N84" i="20" a="1"/>
  <c r="N84" i="20" s="1"/>
  <c r="O84" i="20" a="1"/>
  <c r="O84" i="20" s="1"/>
  <c r="B85" i="20" a="1"/>
  <c r="B85" i="20" s="1"/>
  <c r="C85" i="20" a="1"/>
  <c r="C85" i="20" s="1"/>
  <c r="D85" i="20" a="1"/>
  <c r="D85" i="20" s="1"/>
  <c r="E85" i="20" a="1"/>
  <c r="E85" i="20" s="1"/>
  <c r="F85" i="20" a="1"/>
  <c r="F85" i="20" s="1"/>
  <c r="G85" i="20" a="1"/>
  <c r="G85" i="20" s="1"/>
  <c r="H85" i="20" a="1"/>
  <c r="H85" i="20" s="1"/>
  <c r="I85" i="20" a="1"/>
  <c r="I85" i="20"/>
  <c r="J85" i="20" a="1"/>
  <c r="J85" i="20" s="1"/>
  <c r="K85" i="20" a="1"/>
  <c r="K85" i="20" s="1"/>
  <c r="L85" i="20" a="1"/>
  <c r="L85" i="20" s="1"/>
  <c r="M85" i="20" a="1"/>
  <c r="M85" i="20" s="1"/>
  <c r="N85" i="20" a="1"/>
  <c r="N85" i="20" s="1"/>
  <c r="O85" i="20" a="1"/>
  <c r="O85" i="20"/>
  <c r="B86" i="20" a="1"/>
  <c r="B86" i="20" s="1"/>
  <c r="C86" i="20" a="1"/>
  <c r="C86" i="20" s="1"/>
  <c r="D86" i="20" a="1"/>
  <c r="D86" i="20" s="1"/>
  <c r="E86" i="20" a="1"/>
  <c r="E86" i="20" s="1"/>
  <c r="F86" i="20" a="1"/>
  <c r="F86" i="20" s="1"/>
  <c r="G86" i="20" a="1"/>
  <c r="G86" i="20" s="1"/>
  <c r="H86" i="20" a="1"/>
  <c r="H86" i="20" s="1"/>
  <c r="I86" i="20" a="1"/>
  <c r="I86" i="20" s="1"/>
  <c r="J86" i="20" a="1"/>
  <c r="J86" i="20" s="1"/>
  <c r="K86" i="20" a="1"/>
  <c r="K86" i="20" s="1"/>
  <c r="L86" i="20" a="1"/>
  <c r="L86" i="20" s="1"/>
  <c r="M86" i="20" a="1"/>
  <c r="M86" i="20" s="1"/>
  <c r="N86" i="20" a="1"/>
  <c r="N86" i="20" s="1"/>
  <c r="O86" i="20" a="1"/>
  <c r="O86" i="20" s="1"/>
  <c r="B87" i="20" a="1"/>
  <c r="B87" i="20" s="1"/>
  <c r="C87" i="20" a="1"/>
  <c r="C87" i="20" s="1"/>
  <c r="D87" i="20" a="1"/>
  <c r="D87" i="20" s="1"/>
  <c r="E87" i="20" a="1"/>
  <c r="E87" i="20" s="1"/>
  <c r="F87" i="20" a="1"/>
  <c r="F87" i="20" s="1"/>
  <c r="G87" i="20" a="1"/>
  <c r="G87" i="20" s="1"/>
  <c r="H87" i="20" a="1"/>
  <c r="H87" i="20" s="1"/>
  <c r="I87" i="20" a="1"/>
  <c r="I87" i="20" s="1"/>
  <c r="J87" i="20" a="1"/>
  <c r="J87" i="20" s="1"/>
  <c r="K87" i="20" a="1"/>
  <c r="K87" i="20" s="1"/>
  <c r="L87" i="20" a="1"/>
  <c r="L87" i="20" s="1"/>
  <c r="M87" i="20" a="1"/>
  <c r="M87" i="20" s="1"/>
  <c r="N87" i="20" a="1"/>
  <c r="N87" i="20" s="1"/>
  <c r="O87" i="20" a="1"/>
  <c r="O87" i="20" s="1"/>
  <c r="B88" i="20" a="1"/>
  <c r="B88" i="20" s="1"/>
  <c r="C88" i="20" a="1"/>
  <c r="C88" i="20"/>
  <c r="D88" i="20" a="1"/>
  <c r="D88" i="20" s="1"/>
  <c r="E88" i="20" a="1"/>
  <c r="E88" i="20" s="1"/>
  <c r="F88" i="20" a="1"/>
  <c r="F88" i="20" s="1"/>
  <c r="G88" i="20" a="1"/>
  <c r="G88" i="20" s="1"/>
  <c r="H88" i="20" a="1"/>
  <c r="H88" i="20" s="1"/>
  <c r="I88" i="20" a="1"/>
  <c r="I88" i="20" s="1"/>
  <c r="J88" i="20" a="1"/>
  <c r="J88" i="20" s="1"/>
  <c r="K88" i="20" a="1"/>
  <c r="K88" i="20" s="1"/>
  <c r="L88" i="20" a="1"/>
  <c r="L88" i="20" s="1"/>
  <c r="M88" i="20" a="1"/>
  <c r="M88" i="20" s="1"/>
  <c r="N88" i="20" a="1"/>
  <c r="N88" i="20" s="1"/>
  <c r="O88" i="20" a="1"/>
  <c r="O88" i="20"/>
  <c r="B89" i="20" a="1"/>
  <c r="B89" i="20" s="1"/>
  <c r="C89" i="20" a="1"/>
  <c r="C89" i="20" s="1"/>
  <c r="D89" i="20" a="1"/>
  <c r="D89" i="20" s="1"/>
  <c r="E89" i="20" a="1"/>
  <c r="E89" i="20" s="1"/>
  <c r="F89" i="20" a="1"/>
  <c r="F89" i="20" s="1"/>
  <c r="G89" i="20" a="1"/>
  <c r="G89" i="20"/>
  <c r="H89" i="20" a="1"/>
  <c r="H89" i="20" s="1"/>
  <c r="I89" i="20" a="1"/>
  <c r="I89" i="20" s="1"/>
  <c r="J89" i="20" a="1"/>
  <c r="J89" i="20" s="1"/>
  <c r="K89" i="20" a="1"/>
  <c r="K89" i="20" s="1"/>
  <c r="L89" i="20" a="1"/>
  <c r="L89" i="20" s="1"/>
  <c r="M89" i="20" a="1"/>
  <c r="M89" i="20" s="1"/>
  <c r="N89" i="20" a="1"/>
  <c r="N89" i="20" s="1"/>
  <c r="O89" i="20" a="1"/>
  <c r="O89" i="20" s="1"/>
  <c r="B90" i="20" a="1"/>
  <c r="B90" i="20" s="1"/>
  <c r="C90" i="20" a="1"/>
  <c r="C90" i="20" s="1"/>
  <c r="D90" i="20" a="1"/>
  <c r="D90" i="20" s="1"/>
  <c r="E90" i="20" a="1"/>
  <c r="E90" i="20" s="1"/>
  <c r="F90" i="20" a="1"/>
  <c r="F90" i="20" s="1"/>
  <c r="G90" i="20" a="1"/>
  <c r="G90" i="20" s="1"/>
  <c r="H90" i="20" a="1"/>
  <c r="H90" i="20" s="1"/>
  <c r="I90" i="20" a="1"/>
  <c r="I90" i="20" s="1"/>
  <c r="J90" i="20" a="1"/>
  <c r="J90" i="20" s="1"/>
  <c r="K90" i="20" a="1"/>
  <c r="K90" i="20"/>
  <c r="L90" i="20" a="1"/>
  <c r="L90" i="20" s="1"/>
  <c r="M90" i="20" a="1"/>
  <c r="M90" i="20" s="1"/>
  <c r="N90" i="20" a="1"/>
  <c r="N90" i="20" s="1"/>
  <c r="O90" i="20" a="1"/>
  <c r="O90" i="20" s="1"/>
  <c r="B91" i="20" a="1"/>
  <c r="B91" i="20" s="1"/>
  <c r="C91" i="20" a="1"/>
  <c r="C91" i="20" s="1"/>
  <c r="D91" i="20" a="1"/>
  <c r="D91" i="20" s="1"/>
  <c r="E91" i="20" a="1"/>
  <c r="E91" i="20" s="1"/>
  <c r="F91" i="20" a="1"/>
  <c r="F91" i="20" s="1"/>
  <c r="G91" i="20" a="1"/>
  <c r="G91" i="20" s="1"/>
  <c r="H91" i="20" a="1"/>
  <c r="H91" i="20" s="1"/>
  <c r="I91" i="20" a="1"/>
  <c r="I91" i="20" s="1"/>
  <c r="J91" i="20" a="1"/>
  <c r="J91" i="20" s="1"/>
  <c r="K91" i="20" a="1"/>
  <c r="K91" i="20" s="1"/>
  <c r="L91" i="20" a="1"/>
  <c r="L91" i="20" s="1"/>
  <c r="M91" i="20" a="1"/>
  <c r="M91" i="20" s="1"/>
  <c r="N91" i="20" a="1"/>
  <c r="N91" i="20" s="1"/>
  <c r="O91" i="20" a="1"/>
  <c r="O91" i="20" s="1"/>
  <c r="B92" i="20" a="1"/>
  <c r="B92" i="20" s="1"/>
  <c r="C92" i="20" a="1"/>
  <c r="C92" i="20" s="1"/>
  <c r="D92" i="20" a="1"/>
  <c r="D92" i="20" s="1"/>
  <c r="E92" i="20" a="1"/>
  <c r="E92" i="20" s="1"/>
  <c r="F92" i="20" a="1"/>
  <c r="F92" i="20" s="1"/>
  <c r="G92" i="20" a="1"/>
  <c r="G92" i="20" s="1"/>
  <c r="H92" i="20" a="1"/>
  <c r="H92" i="20" s="1"/>
  <c r="I92" i="20" a="1"/>
  <c r="I92" i="20" s="1"/>
  <c r="J92" i="20" a="1"/>
  <c r="J92" i="20" s="1"/>
  <c r="K92" i="20" a="1"/>
  <c r="K92" i="20" s="1"/>
  <c r="L92" i="20" a="1"/>
  <c r="L92" i="20" s="1"/>
  <c r="M92" i="20" a="1"/>
  <c r="M92" i="20"/>
  <c r="N92" i="20" a="1"/>
  <c r="N92" i="20" s="1"/>
  <c r="O92" i="20" a="1"/>
  <c r="O92" i="20" s="1"/>
  <c r="B93" i="20" a="1"/>
  <c r="B93" i="20" s="1"/>
  <c r="C93" i="20" a="1"/>
  <c r="C93" i="20" s="1"/>
  <c r="D93" i="20" a="1"/>
  <c r="D93" i="20" s="1"/>
  <c r="E93" i="20" a="1"/>
  <c r="E93" i="20"/>
  <c r="F93" i="20" a="1"/>
  <c r="F93" i="20" s="1"/>
  <c r="G93" i="20" a="1"/>
  <c r="G93" i="20" s="1"/>
  <c r="H93" i="20" a="1"/>
  <c r="H93" i="20" s="1"/>
  <c r="I93" i="20" a="1"/>
  <c r="I93" i="20" s="1"/>
  <c r="J93" i="20" a="1"/>
  <c r="J93" i="20" s="1"/>
  <c r="K93" i="20" a="1"/>
  <c r="K93" i="20" s="1"/>
  <c r="L93" i="20" a="1"/>
  <c r="L93" i="20" s="1"/>
  <c r="M93" i="20" a="1"/>
  <c r="M93" i="20" s="1"/>
  <c r="N93" i="20" a="1"/>
  <c r="N93" i="20" s="1"/>
  <c r="O93" i="20" a="1"/>
  <c r="O93" i="20" s="1"/>
  <c r="B94" i="20" a="1"/>
  <c r="B94" i="20" s="1"/>
  <c r="C94" i="20" a="1"/>
  <c r="C94" i="20"/>
  <c r="D94" i="20" a="1"/>
  <c r="D94" i="20" s="1"/>
  <c r="E94" i="20" a="1"/>
  <c r="E94" i="20" s="1"/>
  <c r="F94" i="20" a="1"/>
  <c r="F94" i="20" s="1"/>
  <c r="G94" i="20" a="1"/>
  <c r="G94" i="20" s="1"/>
  <c r="H94" i="20" a="1"/>
  <c r="H94" i="20" s="1"/>
  <c r="I94" i="20" a="1"/>
  <c r="I94" i="20"/>
  <c r="J94" i="20" a="1"/>
  <c r="J94" i="20" s="1"/>
  <c r="K94" i="20" a="1"/>
  <c r="K94" i="20" s="1"/>
  <c r="L94" i="20" a="1"/>
  <c r="L94" i="20" s="1"/>
  <c r="M94" i="20" a="1"/>
  <c r="M94" i="20" s="1"/>
  <c r="N94" i="20" a="1"/>
  <c r="N94" i="20" s="1"/>
  <c r="O94" i="20" a="1"/>
  <c r="O94" i="20" s="1"/>
  <c r="B95" i="20" a="1"/>
  <c r="B95" i="20" s="1"/>
  <c r="C95" i="20" a="1"/>
  <c r="C95" i="20" s="1"/>
  <c r="D95" i="20" a="1"/>
  <c r="D95" i="20" s="1"/>
  <c r="E95" i="20" a="1"/>
  <c r="E95" i="20" s="1"/>
  <c r="F95" i="20" a="1"/>
  <c r="F95" i="20" s="1"/>
  <c r="G95" i="20" a="1"/>
  <c r="G95" i="20" s="1"/>
  <c r="H95" i="20" a="1"/>
  <c r="H95" i="20" s="1"/>
  <c r="I95" i="20" a="1"/>
  <c r="I95" i="20" s="1"/>
  <c r="J95" i="20" a="1"/>
  <c r="J95" i="20" s="1"/>
  <c r="K95" i="20" a="1"/>
  <c r="K95" i="20" s="1"/>
  <c r="L95" i="20" a="1"/>
  <c r="L95" i="20" s="1"/>
  <c r="M95" i="20" a="1"/>
  <c r="M95" i="20" s="1"/>
  <c r="N95" i="20" a="1"/>
  <c r="N95" i="20" s="1"/>
  <c r="O95" i="20" a="1"/>
  <c r="O95" i="20" s="1"/>
  <c r="B96" i="20" a="1"/>
  <c r="B96" i="20" s="1"/>
  <c r="C96" i="20" a="1"/>
  <c r="C96" i="20" s="1"/>
  <c r="D96" i="20" a="1"/>
  <c r="D96" i="20" s="1"/>
  <c r="E96" i="20" a="1"/>
  <c r="E96" i="20" s="1"/>
  <c r="F96" i="20" a="1"/>
  <c r="F96" i="20" s="1"/>
  <c r="G96" i="20" a="1"/>
  <c r="G96" i="20" s="1"/>
  <c r="H96" i="20" a="1"/>
  <c r="H96" i="20" s="1"/>
  <c r="I96" i="20" a="1"/>
  <c r="I96" i="20" s="1"/>
  <c r="J96" i="20" a="1"/>
  <c r="J96" i="20" s="1"/>
  <c r="K96" i="20" a="1"/>
  <c r="K96" i="20" s="1"/>
  <c r="L96" i="20" a="1"/>
  <c r="L96" i="20" s="1"/>
  <c r="M96" i="20" a="1"/>
  <c r="M96" i="20" s="1"/>
  <c r="N96" i="20" a="1"/>
  <c r="N96" i="20" s="1"/>
  <c r="O96" i="20" a="1"/>
  <c r="O96" i="20" s="1"/>
  <c r="B97" i="20" a="1"/>
  <c r="B97" i="20" s="1"/>
  <c r="C97" i="20" a="1"/>
  <c r="C97" i="20" s="1"/>
  <c r="D97" i="20" a="1"/>
  <c r="D97" i="20" s="1"/>
  <c r="E97" i="20" a="1"/>
  <c r="E97" i="20" s="1"/>
  <c r="F97" i="20" a="1"/>
  <c r="F97" i="20" s="1"/>
  <c r="G97" i="20" a="1"/>
  <c r="G97" i="20" s="1"/>
  <c r="H97" i="20" a="1"/>
  <c r="H97" i="20" s="1"/>
  <c r="I97" i="20" a="1"/>
  <c r="I97" i="20" s="1"/>
  <c r="J97" i="20" a="1"/>
  <c r="J97" i="20" s="1"/>
  <c r="K97" i="20" a="1"/>
  <c r="K97" i="20" s="1"/>
  <c r="L97" i="20" a="1"/>
  <c r="L97" i="20" s="1"/>
  <c r="M97" i="20" a="1"/>
  <c r="M97" i="20" s="1"/>
  <c r="N97" i="20" a="1"/>
  <c r="N97" i="20" s="1"/>
  <c r="O97" i="20" a="1"/>
  <c r="O97" i="20"/>
  <c r="B98" i="20" a="1"/>
  <c r="B98" i="20" s="1"/>
  <c r="C98" i="20" a="1"/>
  <c r="C98" i="20" s="1"/>
  <c r="D98" i="20" a="1"/>
  <c r="D98" i="20" s="1"/>
  <c r="E98" i="20" a="1"/>
  <c r="E98" i="20" s="1"/>
  <c r="F98" i="20" a="1"/>
  <c r="F98" i="20" s="1"/>
  <c r="G98" i="20" a="1"/>
  <c r="G98" i="20"/>
  <c r="H98" i="20" a="1"/>
  <c r="H98" i="20" s="1"/>
  <c r="I98" i="20" a="1"/>
  <c r="I98" i="20" s="1"/>
  <c r="J98" i="20" a="1"/>
  <c r="J98" i="20" s="1"/>
  <c r="K98" i="20" a="1"/>
  <c r="K98" i="20" s="1"/>
  <c r="L98" i="20" a="1"/>
  <c r="L98" i="20" s="1"/>
  <c r="M98" i="20" a="1"/>
  <c r="M98" i="20" s="1"/>
  <c r="N98" i="20" a="1"/>
  <c r="N98" i="20" s="1"/>
  <c r="O98" i="20" a="1"/>
  <c r="O98" i="20" s="1"/>
  <c r="B99" i="20" a="1"/>
  <c r="B99" i="20" s="1"/>
  <c r="C99" i="20" a="1"/>
  <c r="C99" i="20" s="1"/>
  <c r="D99" i="20" a="1"/>
  <c r="D99" i="20" s="1"/>
  <c r="E99" i="20" a="1"/>
  <c r="E99" i="20"/>
  <c r="F99" i="20" a="1"/>
  <c r="F99" i="20" s="1"/>
  <c r="G99" i="20" a="1"/>
  <c r="G99" i="20" s="1"/>
  <c r="H99" i="20" a="1"/>
  <c r="H99" i="20" s="1"/>
  <c r="I99" i="20" a="1"/>
  <c r="I99" i="20" s="1"/>
  <c r="J99" i="20" a="1"/>
  <c r="J99" i="20" s="1"/>
  <c r="K99" i="20" a="1"/>
  <c r="K99" i="20"/>
  <c r="L99" i="20" a="1"/>
  <c r="L99" i="20" s="1"/>
  <c r="M99" i="20" a="1"/>
  <c r="M99" i="20" s="1"/>
  <c r="N99" i="20" a="1"/>
  <c r="N99" i="20" s="1"/>
  <c r="O99" i="20" a="1"/>
  <c r="O99" i="20" s="1"/>
  <c r="B100" i="20" a="1"/>
  <c r="B100" i="20" s="1"/>
  <c r="C100" i="20" a="1"/>
  <c r="C100" i="20" s="1"/>
  <c r="D100" i="20" a="1"/>
  <c r="D100" i="20" s="1"/>
  <c r="E100" i="20" a="1"/>
  <c r="E100" i="20" s="1"/>
  <c r="F100" i="20" a="1"/>
  <c r="F100" i="20" s="1"/>
  <c r="G100" i="20" a="1"/>
  <c r="G100" i="20" s="1"/>
  <c r="H100" i="20" a="1"/>
  <c r="H100" i="20" s="1"/>
  <c r="I100" i="20" a="1"/>
  <c r="I100" i="20"/>
  <c r="J100" i="20" a="1"/>
  <c r="J100" i="20" s="1"/>
  <c r="K100" i="20" a="1"/>
  <c r="K100" i="20" s="1"/>
  <c r="L100" i="20" a="1"/>
  <c r="L100" i="20" s="1"/>
  <c r="M100" i="20" a="1"/>
  <c r="M100" i="20" s="1"/>
  <c r="N100" i="20" a="1"/>
  <c r="N100" i="20" s="1"/>
  <c r="O100" i="20" a="1"/>
  <c r="O100" i="20" s="1"/>
  <c r="B101" i="20" a="1"/>
  <c r="B101" i="20" s="1"/>
  <c r="C101" i="20" a="1"/>
  <c r="C101" i="20" s="1"/>
  <c r="D101" i="20" a="1"/>
  <c r="D101" i="20" s="1"/>
  <c r="E101" i="20" a="1"/>
  <c r="E101" i="20" s="1"/>
  <c r="F101" i="20" a="1"/>
  <c r="F101" i="20" s="1"/>
  <c r="G101" i="20" a="1"/>
  <c r="G101" i="20"/>
  <c r="H101" i="20" a="1"/>
  <c r="H101" i="20" s="1"/>
  <c r="I101" i="20" a="1"/>
  <c r="I101" i="20" s="1"/>
  <c r="J101" i="20" a="1"/>
  <c r="J101" i="20" s="1"/>
  <c r="K101" i="20" a="1"/>
  <c r="K101" i="20" s="1"/>
  <c r="L101" i="20" a="1"/>
  <c r="L101" i="20" s="1"/>
  <c r="M101" i="20" a="1"/>
  <c r="M101" i="20" s="1"/>
  <c r="N101" i="20" a="1"/>
  <c r="N101" i="20" s="1"/>
  <c r="O101" i="20" a="1"/>
  <c r="O101" i="20" s="1"/>
  <c r="B102" i="20" a="1"/>
  <c r="B102" i="20" s="1"/>
  <c r="C102" i="20" a="1"/>
  <c r="C102" i="20" s="1"/>
  <c r="D102" i="20" a="1"/>
  <c r="D102" i="20" s="1"/>
  <c r="E102" i="20" a="1"/>
  <c r="E102" i="20" s="1"/>
  <c r="F102" i="20" a="1"/>
  <c r="F102" i="20" s="1"/>
  <c r="G102" i="20" a="1"/>
  <c r="G102" i="20" s="1"/>
  <c r="H102" i="20" a="1"/>
  <c r="H102" i="20" s="1"/>
  <c r="I102" i="20" a="1"/>
  <c r="I102" i="20" s="1"/>
  <c r="J102" i="20" a="1"/>
  <c r="J102" i="20" s="1"/>
  <c r="K102" i="20" a="1"/>
  <c r="K102" i="20" s="1"/>
  <c r="L102" i="20" a="1"/>
  <c r="L102" i="20" s="1"/>
  <c r="M102" i="20" a="1"/>
  <c r="M102" i="20" s="1"/>
  <c r="N102" i="20" a="1"/>
  <c r="N102" i="20" s="1"/>
  <c r="O102" i="20" a="1"/>
  <c r="O102" i="20" s="1"/>
  <c r="B103" i="20" a="1"/>
  <c r="B103" i="20" s="1"/>
  <c r="C103" i="20" a="1"/>
  <c r="C103" i="20"/>
  <c r="D103" i="20" a="1"/>
  <c r="D103" i="20" s="1"/>
  <c r="E103" i="20" a="1"/>
  <c r="E103" i="20" s="1"/>
  <c r="F103" i="20" a="1"/>
  <c r="F103" i="20" s="1"/>
  <c r="G103" i="20" a="1"/>
  <c r="G103" i="20" s="1"/>
  <c r="H103" i="20" a="1"/>
  <c r="H103" i="20" s="1"/>
  <c r="I103" i="20" a="1"/>
  <c r="I103" i="20"/>
  <c r="J103" i="20" a="1"/>
  <c r="J103" i="20" s="1"/>
  <c r="K103" i="20" a="1"/>
  <c r="K103" i="20" s="1"/>
  <c r="L103" i="20" a="1"/>
  <c r="L103" i="20" s="1"/>
  <c r="M103" i="20" a="1"/>
  <c r="M103" i="20" s="1"/>
  <c r="N103" i="20" a="1"/>
  <c r="N103" i="20" s="1"/>
  <c r="O103" i="20" a="1"/>
  <c r="O103" i="20" s="1"/>
  <c r="B104" i="20" a="1"/>
  <c r="B104" i="20" s="1"/>
  <c r="C104" i="20" a="1"/>
  <c r="C104" i="20" s="1"/>
  <c r="D104" i="20" a="1"/>
  <c r="D104" i="20" s="1"/>
  <c r="E104" i="20" a="1"/>
  <c r="E104" i="20" s="1"/>
  <c r="F104" i="20" a="1"/>
  <c r="F104" i="20" s="1"/>
  <c r="G104" i="20" a="1"/>
  <c r="G104" i="20" s="1"/>
  <c r="H104" i="20" a="1"/>
  <c r="H104" i="20" s="1"/>
  <c r="I104" i="20" a="1"/>
  <c r="I104" i="20" s="1"/>
  <c r="J104" i="20" a="1"/>
  <c r="J104" i="20" s="1"/>
  <c r="K104" i="20" a="1"/>
  <c r="K104" i="20" s="1"/>
  <c r="L104" i="20" a="1"/>
  <c r="L104" i="20" s="1"/>
  <c r="M104" i="20" a="1"/>
  <c r="M104" i="20"/>
  <c r="N104" i="20" a="1"/>
  <c r="N104" i="20" s="1"/>
  <c r="O104" i="20" a="1"/>
  <c r="O104" i="20" s="1"/>
  <c r="B105" i="20" a="1"/>
  <c r="B105" i="20" s="1"/>
  <c r="C105" i="20" a="1"/>
  <c r="C105" i="20" s="1"/>
  <c r="D105" i="20" a="1"/>
  <c r="D105" i="20" s="1"/>
  <c r="E105" i="20" a="1"/>
  <c r="E105" i="20"/>
  <c r="F105" i="20" a="1"/>
  <c r="F105" i="20" s="1"/>
  <c r="G105" i="20" a="1"/>
  <c r="G105" i="20"/>
  <c r="H105" i="20" a="1"/>
  <c r="H105" i="20" s="1"/>
  <c r="I105" i="20" a="1"/>
  <c r="I105" i="20" s="1"/>
  <c r="J105" i="20" a="1"/>
  <c r="J105" i="20" s="1"/>
  <c r="K105" i="20" a="1"/>
  <c r="K105" i="20"/>
  <c r="L105" i="20" a="1"/>
  <c r="L105" i="20" s="1"/>
  <c r="M105" i="20" a="1"/>
  <c r="M105" i="20"/>
  <c r="N105" i="20" a="1"/>
  <c r="N105" i="20" s="1"/>
  <c r="O105" i="20" a="1"/>
  <c r="O105" i="20"/>
  <c r="B106" i="20" a="1"/>
  <c r="B106" i="20" s="1"/>
  <c r="C106" i="20" a="1"/>
  <c r="C106" i="20"/>
  <c r="D106" i="20" a="1"/>
  <c r="D106" i="20" s="1"/>
  <c r="E106" i="20" a="1"/>
  <c r="E106" i="20"/>
  <c r="F106" i="20" a="1"/>
  <c r="F106" i="20" s="1"/>
  <c r="G106" i="20" a="1"/>
  <c r="G106" i="20" s="1"/>
  <c r="H106" i="20" a="1"/>
  <c r="H106" i="20" s="1"/>
  <c r="I106" i="20" a="1"/>
  <c r="I106" i="20"/>
  <c r="J106" i="20" a="1"/>
  <c r="J106" i="20" s="1"/>
  <c r="K106" i="20" a="1"/>
  <c r="K106" i="20"/>
  <c r="L106" i="20" a="1"/>
  <c r="L106" i="20" s="1"/>
  <c r="M106" i="20" a="1"/>
  <c r="M106" i="20"/>
  <c r="N106" i="20" a="1"/>
  <c r="N106" i="20" s="1"/>
  <c r="O106" i="20" a="1"/>
  <c r="O106" i="20"/>
  <c r="B107" i="20" a="1"/>
  <c r="B107" i="20" s="1"/>
  <c r="C107" i="20" a="1"/>
  <c r="C107" i="20"/>
  <c r="D107" i="20" a="1"/>
  <c r="D107" i="20" s="1"/>
  <c r="E107" i="20" a="1"/>
  <c r="E107" i="20" s="1"/>
  <c r="F107" i="20" a="1"/>
  <c r="F107" i="20" s="1"/>
  <c r="G107" i="20" a="1"/>
  <c r="G107" i="20"/>
  <c r="H107" i="20" a="1"/>
  <c r="H107" i="20" s="1"/>
  <c r="I107" i="20" a="1"/>
  <c r="I107" i="20"/>
  <c r="J107" i="20" a="1"/>
  <c r="J107" i="20" s="1"/>
  <c r="K107" i="20" a="1"/>
  <c r="K107" i="20" s="1"/>
  <c r="L107" i="20" a="1"/>
  <c r="L107" i="20" s="1"/>
  <c r="M107" i="20" a="1"/>
  <c r="M107" i="20"/>
  <c r="N107" i="20" a="1"/>
  <c r="N107" i="20" s="1"/>
  <c r="O107" i="20" a="1"/>
  <c r="O107" i="20"/>
  <c r="B108" i="20" a="1"/>
  <c r="B108" i="20" s="1"/>
  <c r="C108" i="20" a="1"/>
  <c r="C108" i="20" s="1"/>
  <c r="D108" i="20" a="1"/>
  <c r="D108" i="20" s="1"/>
  <c r="E108" i="20" a="1"/>
  <c r="E108" i="20"/>
  <c r="F108" i="20" a="1"/>
  <c r="F108" i="20" s="1"/>
  <c r="G108" i="20" a="1"/>
  <c r="G108" i="20"/>
  <c r="H108" i="20" a="1"/>
  <c r="H108" i="20" s="1"/>
  <c r="I108" i="20" a="1"/>
  <c r="I108" i="20" s="1"/>
  <c r="J108" i="20" a="1"/>
  <c r="J108" i="20" s="1"/>
  <c r="K108" i="20" a="1"/>
  <c r="K108" i="20"/>
  <c r="L108" i="20" a="1"/>
  <c r="L108" i="20" s="1"/>
  <c r="M108" i="20" a="1"/>
  <c r="M108" i="20"/>
  <c r="N108" i="20" a="1"/>
  <c r="N108" i="20" s="1"/>
  <c r="O108" i="20" a="1"/>
  <c r="O108" i="20" s="1"/>
  <c r="B109" i="20" a="1"/>
  <c r="B109" i="20" s="1"/>
  <c r="C109" i="20" a="1"/>
  <c r="C109" i="20"/>
  <c r="D109" i="20" a="1"/>
  <c r="D109" i="20" s="1"/>
  <c r="E109" i="20" a="1"/>
  <c r="E109" i="20"/>
  <c r="F109" i="20" a="1"/>
  <c r="F109" i="20" s="1"/>
  <c r="G109" i="20" a="1"/>
  <c r="G109" i="20" s="1"/>
  <c r="H109" i="20" a="1"/>
  <c r="H109" i="20" s="1"/>
  <c r="I109" i="20" a="1"/>
  <c r="I109" i="20"/>
  <c r="J109" i="20" a="1"/>
  <c r="J109" i="20" s="1"/>
  <c r="K109" i="20" a="1"/>
  <c r="K109" i="20"/>
  <c r="L109" i="20" a="1"/>
  <c r="L109" i="20" s="1"/>
  <c r="M109" i="20" a="1"/>
  <c r="M109" i="20" s="1"/>
  <c r="N109" i="20" a="1"/>
  <c r="N109" i="20" s="1"/>
  <c r="O109" i="20" a="1"/>
  <c r="O109" i="20" s="1"/>
  <c r="B110" i="20" a="1"/>
  <c r="B110" i="20" s="1"/>
  <c r="C110" i="20" a="1"/>
  <c r="C110" i="20" s="1"/>
  <c r="D110" i="20" a="1"/>
  <c r="D110" i="20" s="1"/>
  <c r="E110" i="20" a="1"/>
  <c r="E110" i="20"/>
  <c r="F110" i="20" a="1"/>
  <c r="F110" i="20" s="1"/>
  <c r="G110" i="20" a="1"/>
  <c r="G110" i="20" s="1"/>
  <c r="H110" i="20" a="1"/>
  <c r="H110" i="20" s="1"/>
  <c r="I110" i="20" a="1"/>
  <c r="I110" i="20" s="1"/>
  <c r="J110" i="20" a="1"/>
  <c r="J110" i="20" s="1"/>
  <c r="K110" i="20" a="1"/>
  <c r="K110" i="20" s="1"/>
  <c r="L110" i="20" a="1"/>
  <c r="L110" i="20" s="1"/>
  <c r="M110" i="20" a="1"/>
  <c r="M110" i="20"/>
  <c r="N110" i="20" a="1"/>
  <c r="N110" i="20" s="1"/>
  <c r="O110" i="20" a="1"/>
  <c r="O110" i="20" s="1"/>
  <c r="B111" i="20" a="1"/>
  <c r="B111" i="20" s="1"/>
  <c r="C111" i="20" a="1"/>
  <c r="C111" i="20" s="1"/>
  <c r="D111" i="20" a="1"/>
  <c r="D111" i="20" s="1"/>
  <c r="E111" i="20" a="1"/>
  <c r="E111" i="20" s="1"/>
  <c r="F111" i="20" a="1"/>
  <c r="F111" i="20" s="1"/>
  <c r="G111" i="20" a="1"/>
  <c r="G111" i="20"/>
  <c r="H111" i="20" a="1"/>
  <c r="H111" i="20" s="1"/>
  <c r="I111" i="20" a="1"/>
  <c r="I111" i="20" s="1"/>
  <c r="J111" i="20" a="1"/>
  <c r="J111" i="20" s="1"/>
  <c r="K111" i="20" a="1"/>
  <c r="K111" i="20" s="1"/>
  <c r="L111" i="20" a="1"/>
  <c r="L111" i="20" s="1"/>
  <c r="M111" i="20" a="1"/>
  <c r="M111" i="20" s="1"/>
  <c r="N111" i="20" a="1"/>
  <c r="N111" i="20" s="1"/>
  <c r="O111" i="20" a="1"/>
  <c r="O111" i="20"/>
  <c r="B112" i="20" a="1"/>
  <c r="B112" i="20" s="1"/>
  <c r="C112" i="20" a="1"/>
  <c r="C112" i="20" s="1"/>
  <c r="D112" i="20" a="1"/>
  <c r="D112" i="20" s="1"/>
  <c r="E112" i="20" a="1"/>
  <c r="E112" i="20" s="1"/>
  <c r="F112" i="20" a="1"/>
  <c r="F112" i="20" s="1"/>
  <c r="G112" i="20" a="1"/>
  <c r="G112" i="20" s="1"/>
  <c r="H112" i="20" a="1"/>
  <c r="H112" i="20" s="1"/>
  <c r="I112" i="20" a="1"/>
  <c r="I112" i="20"/>
  <c r="J112" i="20" a="1"/>
  <c r="J112" i="20" s="1"/>
  <c r="K112" i="20" a="1"/>
  <c r="K112" i="20" s="1"/>
  <c r="L112" i="20" a="1"/>
  <c r="L112" i="20" s="1"/>
  <c r="M112" i="20" a="1"/>
  <c r="M112" i="20" s="1"/>
  <c r="N112" i="20" a="1"/>
  <c r="N112" i="20" s="1"/>
  <c r="O112" i="20" a="1"/>
  <c r="O112" i="20" s="1"/>
  <c r="B113" i="20" a="1"/>
  <c r="B113" i="20" s="1"/>
  <c r="C113" i="20" a="1"/>
  <c r="C113" i="20"/>
  <c r="D113" i="20" a="1"/>
  <c r="D113" i="20" s="1"/>
  <c r="E113" i="20" a="1"/>
  <c r="E113" i="20" s="1"/>
  <c r="F113" i="20" a="1"/>
  <c r="F113" i="20" s="1"/>
  <c r="G113" i="20" a="1"/>
  <c r="G113" i="20" s="1"/>
  <c r="H113" i="20" a="1"/>
  <c r="H113" i="20" s="1"/>
  <c r="I113" i="20" a="1"/>
  <c r="I113" i="20" s="1"/>
  <c r="J113" i="20" a="1"/>
  <c r="J113" i="20" s="1"/>
  <c r="K113" i="20" a="1"/>
  <c r="K113" i="20" s="1"/>
  <c r="L113" i="20" a="1"/>
  <c r="L113" i="20" s="1"/>
  <c r="M113" i="20" a="1"/>
  <c r="M113" i="20" s="1"/>
  <c r="N113" i="20" a="1"/>
  <c r="N113" i="20" s="1"/>
  <c r="O113" i="20" a="1"/>
  <c r="O113" i="20" s="1"/>
  <c r="B114" i="20" a="1"/>
  <c r="B114" i="20" s="1"/>
  <c r="C114" i="20" a="1"/>
  <c r="C114" i="20" s="1"/>
  <c r="D114" i="20" a="1"/>
  <c r="D114" i="20" s="1"/>
  <c r="E114" i="20" a="1"/>
  <c r="E114" i="20"/>
  <c r="F114" i="20" a="1"/>
  <c r="F114" i="20" s="1"/>
  <c r="G114" i="20" a="1"/>
  <c r="G114" i="20" s="1"/>
  <c r="H114" i="20" a="1"/>
  <c r="H114" i="20" s="1"/>
  <c r="I114" i="20" a="1"/>
  <c r="I114" i="20" s="1"/>
  <c r="J114" i="20" a="1"/>
  <c r="J114" i="20" s="1"/>
  <c r="K114" i="20" a="1"/>
  <c r="K114" i="20" s="1"/>
  <c r="L114" i="20" a="1"/>
  <c r="L114" i="20" s="1"/>
  <c r="M114" i="20" a="1"/>
  <c r="M114" i="20"/>
  <c r="N114" i="20" a="1"/>
  <c r="N114" i="20" s="1"/>
  <c r="O114" i="20" a="1"/>
  <c r="O114" i="20" s="1"/>
  <c r="B115" i="20" a="1"/>
  <c r="B115" i="20" s="1"/>
  <c r="C115" i="20" a="1"/>
  <c r="C115" i="20" s="1"/>
  <c r="D115" i="20" a="1"/>
  <c r="D115" i="20" s="1"/>
  <c r="E115" i="20" a="1"/>
  <c r="E115" i="20" s="1"/>
  <c r="F115" i="20" a="1"/>
  <c r="F115" i="20" s="1"/>
  <c r="G115" i="20" a="1"/>
  <c r="G115" i="20"/>
  <c r="H115" i="20" a="1"/>
  <c r="H115" i="20" s="1"/>
  <c r="I115" i="20" a="1"/>
  <c r="I115" i="20" s="1"/>
  <c r="J115" i="20" a="1"/>
  <c r="J115" i="20" s="1"/>
  <c r="K115" i="20" a="1"/>
  <c r="K115" i="20" s="1"/>
  <c r="L115" i="20" a="1"/>
  <c r="L115" i="20" s="1"/>
  <c r="M115" i="20" a="1"/>
  <c r="M115" i="20" s="1"/>
  <c r="N115" i="20" a="1"/>
  <c r="N115" i="20" s="1"/>
  <c r="O115" i="20" a="1"/>
  <c r="O115" i="20" s="1"/>
  <c r="B116" i="20" a="1"/>
  <c r="B116" i="20" s="1"/>
  <c r="C116" i="20" a="1"/>
  <c r="C116" i="20" s="1"/>
  <c r="D116" i="20" a="1"/>
  <c r="D116" i="20" s="1"/>
  <c r="E116" i="20" a="1"/>
  <c r="E116" i="20" s="1"/>
  <c r="F116" i="20" a="1"/>
  <c r="F116" i="20" s="1"/>
  <c r="G116" i="20" a="1"/>
  <c r="G116" i="20" s="1"/>
  <c r="H116" i="20" a="1"/>
  <c r="H116" i="20" s="1"/>
  <c r="I116" i="20" a="1"/>
  <c r="I116" i="20"/>
  <c r="J116" i="20" a="1"/>
  <c r="J116" i="20" s="1"/>
  <c r="K116" i="20" a="1"/>
  <c r="K116" i="20" s="1"/>
  <c r="L116" i="20" a="1"/>
  <c r="L116" i="20" s="1"/>
  <c r="M116" i="20" a="1"/>
  <c r="M116" i="20" s="1"/>
  <c r="N116" i="20" a="1"/>
  <c r="N116" i="20" s="1"/>
  <c r="O116" i="20" a="1"/>
  <c r="O116" i="20" s="1"/>
  <c r="B117" i="20" a="1"/>
  <c r="B117" i="20" s="1"/>
  <c r="C117" i="20" a="1"/>
  <c r="C117" i="20" s="1"/>
  <c r="D117" i="20" a="1"/>
  <c r="D117" i="20" s="1"/>
  <c r="E117" i="20" a="1"/>
  <c r="E117" i="20" s="1"/>
  <c r="F117" i="20" a="1"/>
  <c r="F117" i="20" s="1"/>
  <c r="G117" i="20" a="1"/>
  <c r="G117" i="20" s="1"/>
  <c r="H117" i="20" a="1"/>
  <c r="H117" i="20" s="1"/>
  <c r="I117" i="20" a="1"/>
  <c r="I117" i="20" s="1"/>
  <c r="J117" i="20" a="1"/>
  <c r="J117" i="20" s="1"/>
  <c r="K117" i="20" a="1"/>
  <c r="K117" i="20"/>
  <c r="L117" i="20" a="1"/>
  <c r="L117" i="20" s="1"/>
  <c r="M117" i="20" a="1"/>
  <c r="M117" i="20" s="1"/>
  <c r="N117" i="20" a="1"/>
  <c r="N117" i="20" s="1"/>
  <c r="O117" i="20" a="1"/>
  <c r="O117" i="20" s="1"/>
  <c r="B118" i="20" a="1"/>
  <c r="B118" i="20" s="1"/>
  <c r="C118" i="20" a="1"/>
  <c r="C118" i="20" s="1"/>
  <c r="D118" i="20" a="1"/>
  <c r="D118" i="20" s="1"/>
  <c r="E118" i="20" a="1"/>
  <c r="E118" i="20" s="1"/>
  <c r="F118" i="20" a="1"/>
  <c r="F118" i="20" s="1"/>
  <c r="G118" i="20" a="1"/>
  <c r="G118" i="20" s="1"/>
  <c r="H118" i="20" a="1"/>
  <c r="H118" i="20" s="1"/>
  <c r="I118" i="20" a="1"/>
  <c r="I118" i="20" s="1"/>
  <c r="J118" i="20" a="1"/>
  <c r="J118" i="20" s="1"/>
  <c r="K118" i="20" a="1"/>
  <c r="K118" i="20" s="1"/>
  <c r="L118" i="20" a="1"/>
  <c r="L118" i="20" s="1"/>
  <c r="M118" i="20" a="1"/>
  <c r="M118" i="20"/>
  <c r="N118" i="20" a="1"/>
  <c r="N118" i="20" s="1"/>
  <c r="O118" i="20" a="1"/>
  <c r="O118" i="20" s="1"/>
  <c r="B119" i="20" a="1"/>
  <c r="B119" i="20" s="1"/>
  <c r="C119" i="20" a="1"/>
  <c r="C119" i="20" s="1"/>
  <c r="D119" i="20" a="1"/>
  <c r="D119" i="20" s="1"/>
  <c r="E119" i="20" a="1"/>
  <c r="E119" i="20" s="1"/>
  <c r="F119" i="20" a="1"/>
  <c r="F119" i="20" s="1"/>
  <c r="G119" i="20" a="1"/>
  <c r="G119" i="20" s="1"/>
  <c r="H119" i="20" a="1"/>
  <c r="H119" i="20" s="1"/>
  <c r="I119" i="20" a="1"/>
  <c r="I119" i="20" s="1"/>
  <c r="J119" i="20" a="1"/>
  <c r="J119" i="20" s="1"/>
  <c r="K119" i="20" a="1"/>
  <c r="K119" i="20" s="1"/>
  <c r="L119" i="20" a="1"/>
  <c r="L119" i="20" s="1"/>
  <c r="M119" i="20" a="1"/>
  <c r="M119" i="20" s="1"/>
  <c r="N119" i="20" a="1"/>
  <c r="N119" i="20" s="1"/>
  <c r="O119" i="20" a="1"/>
  <c r="O119" i="20"/>
  <c r="B120" i="20" a="1"/>
  <c r="B120" i="20" s="1"/>
  <c r="C120" i="20" a="1"/>
  <c r="C120" i="20" s="1"/>
  <c r="D120" i="20" a="1"/>
  <c r="D120" i="20" s="1"/>
  <c r="E120" i="20" a="1"/>
  <c r="E120" i="20" s="1"/>
  <c r="F120" i="20" a="1"/>
  <c r="F120" i="20" s="1"/>
  <c r="G120" i="20" a="1"/>
  <c r="G120" i="20" s="1"/>
  <c r="H120" i="20" a="1"/>
  <c r="H120" i="20" s="1"/>
  <c r="I120" i="20" a="1"/>
  <c r="I120" i="20" s="1"/>
  <c r="J120" i="20" a="1"/>
  <c r="J120" i="20" s="1"/>
  <c r="K120" i="20" a="1"/>
  <c r="K120" i="20" s="1"/>
  <c r="L120" i="20" a="1"/>
  <c r="L120" i="20" s="1"/>
  <c r="M120" i="20" a="1"/>
  <c r="M120" i="20" s="1"/>
  <c r="N120" i="20" a="1"/>
  <c r="N120" i="20" s="1"/>
  <c r="O120" i="20" a="1"/>
  <c r="O120" i="20" s="1"/>
  <c r="B121" i="20" a="1"/>
  <c r="B121" i="20" s="1"/>
  <c r="C121" i="20" a="1"/>
  <c r="C121" i="20"/>
  <c r="D121" i="20" a="1"/>
  <c r="D121" i="20" s="1"/>
  <c r="E121" i="20" a="1"/>
  <c r="E121" i="20" s="1"/>
  <c r="F121" i="20" a="1"/>
  <c r="F121" i="20" s="1"/>
  <c r="G121" i="20" a="1"/>
  <c r="G121" i="20" s="1"/>
  <c r="H121" i="20" a="1"/>
  <c r="H121" i="20" s="1"/>
  <c r="I121" i="20" a="1"/>
  <c r="I121" i="20" s="1"/>
  <c r="J121" i="20" a="1"/>
  <c r="J121" i="20" s="1"/>
  <c r="K121" i="20" a="1"/>
  <c r="K121" i="20" s="1"/>
  <c r="L121" i="20" a="1"/>
  <c r="L121" i="20" s="1"/>
  <c r="M121" i="20" a="1"/>
  <c r="M121" i="20" s="1"/>
  <c r="N121" i="20" a="1"/>
  <c r="N121" i="20" s="1"/>
  <c r="O121" i="20" a="1"/>
  <c r="O121" i="20" s="1"/>
  <c r="B122" i="20" a="1"/>
  <c r="B122" i="20" s="1"/>
  <c r="C122" i="20" a="1"/>
  <c r="C122" i="20" s="1"/>
  <c r="D122" i="20" a="1"/>
  <c r="D122" i="20" s="1"/>
  <c r="E122" i="20" a="1"/>
  <c r="E122" i="20"/>
  <c r="F122" i="20" a="1"/>
  <c r="F122" i="20" s="1"/>
  <c r="G122" i="20" a="1"/>
  <c r="G122" i="20" s="1"/>
  <c r="H122" i="20" a="1"/>
  <c r="H122" i="20" s="1"/>
  <c r="I122" i="20" a="1"/>
  <c r="I122" i="20" s="1"/>
  <c r="J122" i="20" a="1"/>
  <c r="J122" i="20" s="1"/>
  <c r="K122" i="20" a="1"/>
  <c r="K122" i="20" s="1"/>
  <c r="L122" i="20" a="1"/>
  <c r="L122" i="20" s="1"/>
  <c r="M122" i="20" a="1"/>
  <c r="M122" i="20" s="1"/>
  <c r="N122" i="20" a="1"/>
  <c r="N122" i="20" s="1"/>
  <c r="O122" i="20" a="1"/>
  <c r="O122" i="20" s="1"/>
  <c r="B123" i="20" a="1"/>
  <c r="B123" i="20" s="1"/>
  <c r="C123" i="20" a="1"/>
  <c r="C123" i="20" s="1"/>
  <c r="D123" i="20" a="1"/>
  <c r="D123" i="20" s="1"/>
  <c r="E123" i="20" a="1"/>
  <c r="E123" i="20" s="1"/>
  <c r="F123" i="20" a="1"/>
  <c r="F123" i="20" s="1"/>
  <c r="G123" i="20" a="1"/>
  <c r="G123" i="20"/>
  <c r="H123" i="20" a="1"/>
  <c r="H123" i="20" s="1"/>
  <c r="I123" i="20" a="1"/>
  <c r="I123" i="20" s="1"/>
  <c r="J123" i="20" a="1"/>
  <c r="J123" i="20" s="1"/>
  <c r="K123" i="20" a="1"/>
  <c r="K123" i="20" s="1"/>
  <c r="L123" i="20" a="1"/>
  <c r="L123" i="20" s="1"/>
  <c r="M123" i="20" a="1"/>
  <c r="M123" i="20" s="1"/>
  <c r="N123" i="20" a="1"/>
  <c r="N123" i="20" s="1"/>
  <c r="O123" i="20" a="1"/>
  <c r="O123" i="20" s="1"/>
  <c r="B124" i="20" a="1"/>
  <c r="B124" i="20" s="1"/>
  <c r="C124" i="20" a="1"/>
  <c r="C124" i="20" s="1"/>
  <c r="D124" i="20" a="1"/>
  <c r="D124" i="20" s="1"/>
  <c r="E124" i="20" a="1"/>
  <c r="E124" i="20" s="1"/>
  <c r="F124" i="20" a="1"/>
  <c r="F124" i="20" s="1"/>
  <c r="G124" i="20" a="1"/>
  <c r="G124" i="20" s="1"/>
  <c r="H124" i="20" a="1"/>
  <c r="H124" i="20" s="1"/>
  <c r="I124" i="20" a="1"/>
  <c r="I124" i="20"/>
  <c r="J124" i="20" a="1"/>
  <c r="J124" i="20" s="1"/>
  <c r="K124" i="20" a="1"/>
  <c r="K124" i="20" s="1"/>
  <c r="L124" i="20" a="1"/>
  <c r="L124" i="20" s="1"/>
  <c r="M124" i="20" a="1"/>
  <c r="M124" i="20" s="1"/>
  <c r="N124" i="20" a="1"/>
  <c r="N124" i="20" s="1"/>
  <c r="O124" i="20" a="1"/>
  <c r="O124" i="20" s="1"/>
  <c r="B125" i="20" a="1"/>
  <c r="B125" i="20" s="1"/>
  <c r="C125" i="20" a="1"/>
  <c r="C125" i="20" s="1"/>
  <c r="D125" i="20" a="1"/>
  <c r="D125" i="20" s="1"/>
  <c r="E125" i="20" a="1"/>
  <c r="E125" i="20" s="1"/>
  <c r="F125" i="20" a="1"/>
  <c r="F125" i="20" s="1"/>
  <c r="G125" i="20" a="1"/>
  <c r="G125" i="20" s="1"/>
  <c r="H125" i="20" a="1"/>
  <c r="H125" i="20" s="1"/>
  <c r="I125" i="20" a="1"/>
  <c r="I125" i="20" s="1"/>
  <c r="J125" i="20" a="1"/>
  <c r="J125" i="20" s="1"/>
  <c r="K125" i="20" a="1"/>
  <c r="K125" i="20"/>
  <c r="L125" i="20" a="1"/>
  <c r="L125" i="20" s="1"/>
  <c r="M125" i="20" a="1"/>
  <c r="M125" i="20" s="1"/>
  <c r="N125" i="20" a="1"/>
  <c r="N125" i="20" s="1"/>
  <c r="O125" i="20" a="1"/>
  <c r="O125" i="20" s="1"/>
  <c r="B126" i="20" a="1"/>
  <c r="B126" i="20" s="1"/>
  <c r="C126" i="20" a="1"/>
  <c r="C126" i="20" s="1"/>
  <c r="D126" i="20" a="1"/>
  <c r="D126" i="20" s="1"/>
  <c r="E126" i="20" a="1"/>
  <c r="E126" i="20" s="1"/>
  <c r="F126" i="20" a="1"/>
  <c r="F126" i="20" s="1"/>
  <c r="G126" i="20" a="1"/>
  <c r="G126" i="20" s="1"/>
  <c r="H126" i="20" a="1"/>
  <c r="H126" i="20" s="1"/>
  <c r="I126" i="20" a="1"/>
  <c r="I126" i="20" s="1"/>
  <c r="J126" i="20" a="1"/>
  <c r="J126" i="20" s="1"/>
  <c r="K126" i="20" a="1"/>
  <c r="K126" i="20" s="1"/>
  <c r="L126" i="20" a="1"/>
  <c r="L126" i="20" s="1"/>
  <c r="M126" i="20" a="1"/>
  <c r="M126" i="20"/>
  <c r="N126" i="20" a="1"/>
  <c r="N126" i="20" s="1"/>
  <c r="O126" i="20" a="1"/>
  <c r="O126" i="20" s="1"/>
  <c r="B127" i="20" a="1"/>
  <c r="B127" i="20" s="1"/>
  <c r="C127" i="20" a="1"/>
  <c r="C127" i="20" s="1"/>
  <c r="D127" i="20" a="1"/>
  <c r="D127" i="20" s="1"/>
  <c r="E127" i="20" a="1"/>
  <c r="E127" i="20" s="1"/>
  <c r="F127" i="20" a="1"/>
  <c r="F127" i="20" s="1"/>
  <c r="G127" i="20" a="1"/>
  <c r="G127" i="20" s="1"/>
  <c r="H127" i="20" a="1"/>
  <c r="H127" i="20" s="1"/>
  <c r="I127" i="20" a="1"/>
  <c r="I127" i="20" s="1"/>
  <c r="J127" i="20" a="1"/>
  <c r="J127" i="20" s="1"/>
  <c r="K127" i="20" a="1"/>
  <c r="K127" i="20" s="1"/>
  <c r="L127" i="20" a="1"/>
  <c r="L127" i="20" s="1"/>
  <c r="M127" i="20" a="1"/>
  <c r="M127" i="20" s="1"/>
  <c r="N127" i="20" a="1"/>
  <c r="N127" i="20" s="1"/>
  <c r="O127" i="20" a="1"/>
  <c r="O127" i="20"/>
  <c r="B128" i="20" a="1"/>
  <c r="B128" i="20" s="1"/>
  <c r="C128" i="20" a="1"/>
  <c r="C128" i="20" s="1"/>
  <c r="D128" i="20" a="1"/>
  <c r="D128" i="20" s="1"/>
  <c r="E128" i="20" a="1"/>
  <c r="E128" i="20" s="1"/>
  <c r="F128" i="20" a="1"/>
  <c r="F128" i="20" s="1"/>
  <c r="G128" i="20" a="1"/>
  <c r="G128" i="20" s="1"/>
  <c r="H128" i="20" a="1"/>
  <c r="H128" i="20" s="1"/>
  <c r="I128" i="20" a="1"/>
  <c r="I128" i="20" s="1"/>
  <c r="J128" i="20" a="1"/>
  <c r="J128" i="20" s="1"/>
  <c r="K128" i="20" a="1"/>
  <c r="K128" i="20" s="1"/>
  <c r="L128" i="20" a="1"/>
  <c r="L128" i="20" s="1"/>
  <c r="M128" i="20" a="1"/>
  <c r="M128" i="20" s="1"/>
  <c r="N128" i="20" a="1"/>
  <c r="N128" i="20" s="1"/>
  <c r="O128" i="20" a="1"/>
  <c r="O128" i="20" s="1"/>
  <c r="B129" i="20" a="1"/>
  <c r="B129" i="20" s="1"/>
  <c r="C129" i="20" a="1"/>
  <c r="C129" i="20"/>
  <c r="D129" i="20" a="1"/>
  <c r="D129" i="20" s="1"/>
  <c r="E129" i="20" a="1"/>
  <c r="E129" i="20" s="1"/>
  <c r="F129" i="20" a="1"/>
  <c r="F129" i="20" s="1"/>
  <c r="G129" i="20" a="1"/>
  <c r="G129" i="20" s="1"/>
  <c r="H129" i="20" a="1"/>
  <c r="H129" i="20" s="1"/>
  <c r="I129" i="20" a="1"/>
  <c r="I129" i="20" s="1"/>
  <c r="J129" i="20" a="1"/>
  <c r="J129" i="20" s="1"/>
  <c r="K129" i="20" a="1"/>
  <c r="K129" i="20" s="1"/>
  <c r="L129" i="20" a="1"/>
  <c r="L129" i="20" s="1"/>
  <c r="M129" i="20" a="1"/>
  <c r="M129" i="20" s="1"/>
  <c r="N129" i="20" a="1"/>
  <c r="N129" i="20" s="1"/>
  <c r="O129" i="20" a="1"/>
  <c r="O129" i="20" s="1"/>
  <c r="B130" i="20" a="1"/>
  <c r="B130" i="20" s="1"/>
  <c r="C130" i="20" a="1"/>
  <c r="C130" i="20" s="1"/>
  <c r="D130" i="20" a="1"/>
  <c r="D130" i="20" s="1"/>
  <c r="E130" i="20" a="1"/>
  <c r="E130" i="20"/>
  <c r="F130" i="20" a="1"/>
  <c r="F130" i="20" s="1"/>
  <c r="G130" i="20" a="1"/>
  <c r="G130" i="20" s="1"/>
  <c r="H130" i="20" a="1"/>
  <c r="H130" i="20" s="1"/>
  <c r="I130" i="20" a="1"/>
  <c r="I130" i="20" s="1"/>
  <c r="J130" i="20" a="1"/>
  <c r="J130" i="20" s="1"/>
  <c r="K130" i="20" a="1"/>
  <c r="K130" i="20" s="1"/>
  <c r="L130" i="20" a="1"/>
  <c r="L130" i="20" s="1"/>
  <c r="M130" i="20" a="1"/>
  <c r="M130" i="20" s="1"/>
  <c r="N130" i="20" a="1"/>
  <c r="N130" i="20" s="1"/>
  <c r="O130" i="20" a="1"/>
  <c r="O130" i="20" s="1"/>
  <c r="B131" i="20" a="1"/>
  <c r="B131" i="20" s="1"/>
  <c r="C131" i="20" a="1"/>
  <c r="C131" i="20" s="1"/>
  <c r="D131" i="20" a="1"/>
  <c r="D131" i="20" s="1"/>
  <c r="E131" i="20" a="1"/>
  <c r="E131" i="20" s="1"/>
  <c r="F131" i="20" a="1"/>
  <c r="F131" i="20" s="1"/>
  <c r="G131" i="20" a="1"/>
  <c r="G131" i="20" s="1"/>
  <c r="H131" i="20" a="1"/>
  <c r="H131" i="20" s="1"/>
  <c r="I131" i="20" a="1"/>
  <c r="I131" i="20" s="1"/>
  <c r="J131" i="20" a="1"/>
  <c r="J131" i="20" s="1"/>
  <c r="K131" i="20" a="1"/>
  <c r="K131" i="20" s="1"/>
  <c r="L131" i="20" a="1"/>
  <c r="L131" i="20" s="1"/>
  <c r="M131" i="20" a="1"/>
  <c r="M131" i="20" s="1"/>
  <c r="N131" i="20" a="1"/>
  <c r="N131" i="20" s="1"/>
  <c r="O131" i="20" a="1"/>
  <c r="O131" i="20" s="1"/>
  <c r="B132" i="20" a="1"/>
  <c r="B132" i="20" s="1"/>
  <c r="C132" i="20" a="1"/>
  <c r="C132" i="20" s="1"/>
  <c r="D132" i="20" a="1"/>
  <c r="D132" i="20" s="1"/>
  <c r="E132" i="20" a="1"/>
  <c r="E132" i="20" s="1"/>
  <c r="F132" i="20" a="1"/>
  <c r="F132" i="20" s="1"/>
  <c r="G132" i="20" a="1"/>
  <c r="G132" i="20" s="1"/>
  <c r="H132" i="20" a="1"/>
  <c r="H132" i="20" s="1"/>
  <c r="I132" i="20" a="1"/>
  <c r="I132" i="20"/>
  <c r="J132" i="20" a="1"/>
  <c r="J132" i="20" s="1"/>
  <c r="K132" i="20" a="1"/>
  <c r="K132" i="20" s="1"/>
  <c r="L132" i="20" a="1"/>
  <c r="L132" i="20" s="1"/>
  <c r="M132" i="20" a="1"/>
  <c r="M132" i="20"/>
  <c r="N132" i="20" a="1"/>
  <c r="N132" i="20" s="1"/>
  <c r="O132" i="20" a="1"/>
  <c r="O132" i="20" s="1"/>
  <c r="B133" i="20" a="1"/>
  <c r="B133" i="20" s="1"/>
  <c r="C133" i="20" a="1"/>
  <c r="C133" i="20"/>
  <c r="D133" i="20" a="1"/>
  <c r="D133" i="20" s="1"/>
  <c r="E133" i="20" a="1"/>
  <c r="E133" i="20" s="1"/>
  <c r="F133" i="20" a="1"/>
  <c r="F133" i="20" s="1"/>
  <c r="G133" i="20" a="1"/>
  <c r="G133" i="20" s="1"/>
  <c r="H133" i="20" a="1"/>
  <c r="H133" i="20" s="1"/>
  <c r="I133" i="20" a="1"/>
  <c r="I133" i="20" s="1"/>
  <c r="J133" i="20" a="1"/>
  <c r="J133" i="20" s="1"/>
  <c r="K133" i="20" a="1"/>
  <c r="K133" i="20" s="1"/>
  <c r="L133" i="20" a="1"/>
  <c r="L133" i="20" s="1"/>
  <c r="M133" i="20" a="1"/>
  <c r="M133" i="20" s="1"/>
  <c r="N133" i="20" a="1"/>
  <c r="N133" i="20" s="1"/>
  <c r="O133" i="20" a="1"/>
  <c r="O133" i="20"/>
  <c r="B134" i="20" a="1"/>
  <c r="B134" i="20" s="1"/>
  <c r="C134" i="20" a="1"/>
  <c r="C134" i="20" s="1"/>
  <c r="D134" i="20" a="1"/>
  <c r="D134" i="20" s="1"/>
  <c r="E134" i="20" a="1"/>
  <c r="E134" i="20"/>
  <c r="F134" i="20" a="1"/>
  <c r="F134" i="20" s="1"/>
  <c r="G134" i="20" a="1"/>
  <c r="G134" i="20" s="1"/>
  <c r="H134" i="20" a="1"/>
  <c r="H134" i="20" s="1"/>
  <c r="I134" i="20" a="1"/>
  <c r="I134" i="20" s="1"/>
  <c r="J134" i="20" a="1"/>
  <c r="J134" i="20" s="1"/>
  <c r="K134" i="20" a="1"/>
  <c r="K134" i="20" s="1"/>
  <c r="L134" i="20" a="1"/>
  <c r="L134" i="20" s="1"/>
  <c r="M134" i="20" a="1"/>
  <c r="M134" i="20" s="1"/>
  <c r="N134" i="20" a="1"/>
  <c r="N134" i="20" s="1"/>
  <c r="O134" i="20" a="1"/>
  <c r="O134" i="20" s="1"/>
  <c r="B135" i="20" a="1"/>
  <c r="B135" i="20" s="1"/>
  <c r="C135" i="20" a="1"/>
  <c r="C135" i="20" s="1"/>
  <c r="D135" i="20" a="1"/>
  <c r="D135" i="20" s="1"/>
  <c r="E135" i="20" a="1"/>
  <c r="E135" i="20" s="1"/>
  <c r="F135" i="20" a="1"/>
  <c r="F135" i="20" s="1"/>
  <c r="G135" i="20" a="1"/>
  <c r="G135" i="20" s="1"/>
  <c r="H135" i="20" a="1"/>
  <c r="H135" i="20" s="1"/>
  <c r="I135" i="20" a="1"/>
  <c r="I135" i="20" s="1"/>
  <c r="J135" i="20" a="1"/>
  <c r="J135" i="20" s="1"/>
  <c r="K135" i="20" a="1"/>
  <c r="K135" i="20" s="1"/>
  <c r="L135" i="20" a="1"/>
  <c r="L135" i="20" s="1"/>
  <c r="M135" i="20" a="1"/>
  <c r="M135" i="20" s="1"/>
  <c r="N135" i="20" a="1"/>
  <c r="N135" i="20" s="1"/>
  <c r="O135" i="20" a="1"/>
  <c r="O135" i="20"/>
  <c r="B136" i="20" a="1"/>
  <c r="B136" i="20" s="1"/>
  <c r="C136" i="20" a="1"/>
  <c r="C136" i="20" s="1"/>
  <c r="D136" i="20" a="1"/>
  <c r="D136" i="20" s="1"/>
  <c r="E136" i="20" a="1"/>
  <c r="E136" i="20"/>
  <c r="F136" i="20" a="1"/>
  <c r="F136" i="20" s="1"/>
  <c r="G136" i="20" a="1"/>
  <c r="G136" i="20" s="1"/>
  <c r="H136" i="20" a="1"/>
  <c r="H136" i="20" s="1"/>
  <c r="I136" i="20" a="1"/>
  <c r="I136" i="20"/>
  <c r="J136" i="20" a="1"/>
  <c r="J136" i="20" s="1"/>
  <c r="K136" i="20" a="1"/>
  <c r="K136" i="20" s="1"/>
  <c r="L136" i="20" a="1"/>
  <c r="L136" i="20" s="1"/>
  <c r="M136" i="20" a="1"/>
  <c r="M136" i="20"/>
  <c r="N136" i="20" a="1"/>
  <c r="N136" i="20" s="1"/>
  <c r="O136" i="20" a="1"/>
  <c r="O136" i="20" s="1"/>
  <c r="B137" i="20" a="1"/>
  <c r="B137" i="20" s="1"/>
  <c r="C137" i="20" a="1"/>
  <c r="C137" i="20" s="1"/>
  <c r="D137" i="20" a="1"/>
  <c r="D137" i="20" s="1"/>
  <c r="E137" i="20" a="1"/>
  <c r="E137" i="20" s="1"/>
  <c r="F137" i="20" a="1"/>
  <c r="F137" i="20" s="1"/>
  <c r="G137" i="20" a="1"/>
  <c r="G137" i="20"/>
  <c r="H137" i="20" a="1"/>
  <c r="H137" i="20" s="1"/>
  <c r="I137" i="20" a="1"/>
  <c r="I137" i="20" s="1"/>
  <c r="J137" i="20" a="1"/>
  <c r="J137" i="20" s="1"/>
  <c r="K137" i="20" a="1"/>
  <c r="K137" i="20"/>
  <c r="L137" i="20" a="1"/>
  <c r="L137" i="20" s="1"/>
  <c r="M137" i="20" a="1"/>
  <c r="M137" i="20" s="1"/>
  <c r="N137" i="20" a="1"/>
  <c r="N137" i="20" s="1"/>
  <c r="O137" i="20" a="1"/>
  <c r="O137" i="20" s="1"/>
  <c r="B138" i="20" a="1"/>
  <c r="B138" i="20" s="1"/>
  <c r="C138" i="20" a="1"/>
  <c r="C138" i="20" s="1"/>
  <c r="D138" i="20" a="1"/>
  <c r="D138" i="20" s="1"/>
  <c r="E138" i="20" a="1"/>
  <c r="E138" i="20" s="1"/>
  <c r="F138" i="20" a="1"/>
  <c r="F138" i="20" s="1"/>
  <c r="G138" i="20" a="1"/>
  <c r="G138" i="20" s="1"/>
  <c r="H138" i="20" a="1"/>
  <c r="H138" i="20" s="1"/>
  <c r="I138" i="20" a="1"/>
  <c r="I138" i="20" s="1"/>
  <c r="J138" i="20" a="1"/>
  <c r="J138" i="20" s="1"/>
  <c r="K138" i="20" a="1"/>
  <c r="K138" i="20" s="1"/>
  <c r="L138" i="20" a="1"/>
  <c r="L138" i="20" s="1"/>
  <c r="M138" i="20" a="1"/>
  <c r="M138" i="20" s="1"/>
  <c r="N138" i="20" a="1"/>
  <c r="N138" i="20" s="1"/>
  <c r="O138" i="20" a="1"/>
  <c r="O138" i="20" s="1"/>
  <c r="B139" i="20" a="1"/>
  <c r="B139" i="20"/>
  <c r="C139" i="20" a="1"/>
  <c r="C139" i="20" s="1"/>
  <c r="D139" i="20" a="1"/>
  <c r="D139" i="20" s="1"/>
  <c r="E139" i="20" a="1"/>
  <c r="E139" i="20" s="1"/>
  <c r="F139" i="20" a="1"/>
  <c r="F139" i="20"/>
  <c r="G139" i="20" a="1"/>
  <c r="G139" i="20" s="1"/>
  <c r="H139" i="20" a="1"/>
  <c r="H139" i="20" s="1"/>
  <c r="I139" i="20" a="1"/>
  <c r="I139" i="20"/>
  <c r="J139" i="20" a="1"/>
  <c r="J139" i="20" s="1"/>
  <c r="K139" i="20" a="1"/>
  <c r="K139" i="20" s="1"/>
  <c r="L139" i="20" a="1"/>
  <c r="L139" i="20" s="1"/>
  <c r="M139" i="20" a="1"/>
  <c r="M139" i="20" s="1"/>
  <c r="N139" i="20" a="1"/>
  <c r="N139" i="20" s="1"/>
  <c r="O139" i="20" a="1"/>
  <c r="O139" i="20" s="1"/>
  <c r="B140" i="20" a="1"/>
  <c r="B140" i="20" s="1"/>
  <c r="C140" i="20" a="1"/>
  <c r="C140" i="20" s="1"/>
  <c r="D140" i="20" a="1"/>
  <c r="D140" i="20" s="1"/>
  <c r="E140" i="20" a="1"/>
  <c r="E140" i="20" s="1"/>
  <c r="F140" i="20" a="1"/>
  <c r="F140" i="20"/>
  <c r="G140" i="20" a="1"/>
  <c r="G140" i="20" s="1"/>
  <c r="H140" i="20" a="1"/>
  <c r="H140" i="20" s="1"/>
  <c r="I140" i="20" a="1"/>
  <c r="I140" i="20"/>
  <c r="J140" i="20" a="1"/>
  <c r="J140" i="20" s="1"/>
  <c r="K140" i="20" a="1"/>
  <c r="K140" i="20" s="1"/>
  <c r="L140" i="20" a="1"/>
  <c r="L140" i="20"/>
  <c r="M140" i="20" a="1"/>
  <c r="M140" i="20"/>
  <c r="N140" i="20" a="1"/>
  <c r="N140" i="20" s="1"/>
  <c r="O140" i="20" a="1"/>
  <c r="O140" i="20"/>
  <c r="B141" i="20" a="1"/>
  <c r="B141" i="20"/>
  <c r="C141" i="20" a="1"/>
  <c r="C141" i="20" s="1"/>
  <c r="D141" i="20" a="1"/>
  <c r="D141" i="20" s="1"/>
  <c r="E141" i="20" a="1"/>
  <c r="E141" i="20"/>
  <c r="F141" i="20" a="1"/>
  <c r="F141" i="20" s="1"/>
  <c r="G141" i="20" a="1"/>
  <c r="G141" i="20"/>
  <c r="H141" i="20" a="1"/>
  <c r="H141" i="20"/>
  <c r="I141" i="20" a="1"/>
  <c r="I141" i="20" s="1"/>
  <c r="J141" i="20" a="1"/>
  <c r="J141" i="20"/>
  <c r="K141" i="20" a="1"/>
  <c r="K141" i="20" s="1"/>
  <c r="L141" i="20" a="1"/>
  <c r="L141" i="20" s="1"/>
  <c r="M141" i="20" a="1"/>
  <c r="M141" i="20" s="1"/>
  <c r="N141" i="20" a="1"/>
  <c r="N141" i="20"/>
  <c r="O141" i="20" a="1"/>
  <c r="O141" i="20" s="1"/>
  <c r="B142" i="20" a="1"/>
  <c r="B142" i="20" s="1"/>
  <c r="C142" i="20" a="1"/>
  <c r="C142" i="20"/>
  <c r="D142" i="20" a="1"/>
  <c r="D142" i="20" s="1"/>
  <c r="E142" i="20" a="1"/>
  <c r="E142" i="20" s="1"/>
  <c r="F142" i="20" a="1"/>
  <c r="F142" i="20" s="1"/>
  <c r="G142" i="20" a="1"/>
  <c r="G142" i="20" s="1"/>
  <c r="H142" i="20" a="1"/>
  <c r="H142" i="20" s="1"/>
  <c r="I142" i="20" a="1"/>
  <c r="I142" i="20" s="1"/>
  <c r="J142" i="20" a="1"/>
  <c r="J142" i="20" s="1"/>
  <c r="K142" i="20" a="1"/>
  <c r="K142" i="20" s="1"/>
  <c r="L142" i="20" a="1"/>
  <c r="L142" i="20" s="1"/>
  <c r="M142" i="20" a="1"/>
  <c r="M142" i="20" s="1"/>
  <c r="N142" i="20" a="1"/>
  <c r="N142" i="20"/>
  <c r="O142" i="20" a="1"/>
  <c r="O142" i="20" s="1"/>
  <c r="B143" i="20" a="1"/>
  <c r="B143" i="20" s="1"/>
  <c r="C143" i="20" a="1"/>
  <c r="C143" i="20"/>
  <c r="D143" i="20" a="1"/>
  <c r="D143" i="20" s="1"/>
  <c r="E143" i="20" a="1"/>
  <c r="E143" i="20" s="1"/>
  <c r="F143" i="20" a="1"/>
  <c r="F143" i="20"/>
  <c r="G143" i="20" a="1"/>
  <c r="G143" i="20"/>
  <c r="H143" i="20" a="1"/>
  <c r="H143" i="20" s="1"/>
  <c r="I143" i="20" a="1"/>
  <c r="I143" i="20"/>
  <c r="J143" i="20" a="1"/>
  <c r="J143" i="20"/>
  <c r="K143" i="20" a="1"/>
  <c r="K143" i="20" s="1"/>
  <c r="L143" i="20" a="1"/>
  <c r="L143" i="20" s="1"/>
  <c r="M143" i="20" a="1"/>
  <c r="M143" i="20"/>
  <c r="N143" i="20" a="1"/>
  <c r="N143" i="20" s="1"/>
  <c r="O143" i="20" a="1"/>
  <c r="O143" i="20"/>
  <c r="B144" i="20" a="1"/>
  <c r="B144" i="20"/>
  <c r="C144" i="20" a="1"/>
  <c r="C144" i="20" s="1"/>
  <c r="D144" i="20" a="1"/>
  <c r="D144" i="20"/>
  <c r="E144" i="20" a="1"/>
  <c r="E144" i="20" s="1"/>
  <c r="F144" i="20" a="1"/>
  <c r="F144" i="20" s="1"/>
  <c r="G144" i="20" a="1"/>
  <c r="G144" i="20" s="1"/>
  <c r="H144" i="20" a="1"/>
  <c r="H144" i="20"/>
  <c r="I144" i="20" a="1"/>
  <c r="I144" i="20" s="1"/>
  <c r="J144" i="20" a="1"/>
  <c r="J144" i="20" s="1"/>
  <c r="K144" i="20" a="1"/>
  <c r="K144" i="20"/>
  <c r="L144" i="20" a="1"/>
  <c r="L144" i="20" s="1"/>
  <c r="M144" i="20" a="1"/>
  <c r="M144" i="20" s="1"/>
  <c r="N144" i="20" a="1"/>
  <c r="N144" i="20" s="1"/>
  <c r="O144" i="20" a="1"/>
  <c r="O144" i="20" s="1"/>
  <c r="B145" i="20" a="1"/>
  <c r="B145" i="20" s="1"/>
  <c r="C145" i="20" a="1"/>
  <c r="C145" i="20" s="1"/>
  <c r="D145" i="20" a="1"/>
  <c r="D145" i="20" s="1"/>
  <c r="E145" i="20" a="1"/>
  <c r="E145" i="20" s="1"/>
  <c r="F145" i="20" a="1"/>
  <c r="F145" i="20" s="1"/>
  <c r="G145" i="20" a="1"/>
  <c r="G145" i="20" s="1"/>
  <c r="H145" i="20" a="1"/>
  <c r="H145" i="20"/>
  <c r="I145" i="20" a="1"/>
  <c r="I145" i="20" s="1"/>
  <c r="J145" i="20" a="1"/>
  <c r="J145" i="20" s="1"/>
  <c r="K145" i="20" a="1"/>
  <c r="K145" i="20"/>
  <c r="L145" i="20" a="1"/>
  <c r="L145" i="20" s="1"/>
  <c r="M145" i="20" a="1"/>
  <c r="M145" i="20" s="1"/>
  <c r="N145" i="20" a="1"/>
  <c r="N145" i="20"/>
  <c r="O145" i="20" a="1"/>
  <c r="O145" i="20"/>
  <c r="B146" i="20" a="1"/>
  <c r="B146" i="20" s="1"/>
  <c r="C146" i="20" a="1"/>
  <c r="C146" i="20"/>
  <c r="D146" i="20" a="1"/>
  <c r="D146" i="20"/>
  <c r="E146" i="20" a="1"/>
  <c r="E146" i="20" s="1"/>
  <c r="F146" i="20" a="1"/>
  <c r="F146" i="20" s="1"/>
  <c r="G146" i="20" a="1"/>
  <c r="G146" i="20"/>
  <c r="H146" i="20" a="1"/>
  <c r="H146" i="20" s="1"/>
  <c r="I146" i="20" a="1"/>
  <c r="I146" i="20"/>
  <c r="J146" i="20" a="1"/>
  <c r="J146" i="20"/>
  <c r="K146" i="20" a="1"/>
  <c r="K146" i="20" s="1"/>
  <c r="L146" i="20" a="1"/>
  <c r="L146" i="20"/>
  <c r="M146" i="20" a="1"/>
  <c r="M146" i="20" s="1"/>
  <c r="N146" i="20" a="1"/>
  <c r="N146" i="20" s="1"/>
  <c r="O146" i="20" a="1"/>
  <c r="O146" i="20" s="1"/>
  <c r="B147" i="20" a="1"/>
  <c r="B147" i="20"/>
  <c r="C147" i="20" a="1"/>
  <c r="C147" i="20" s="1"/>
  <c r="D147" i="20" a="1"/>
  <c r="D147" i="20" s="1"/>
  <c r="E147" i="20" a="1"/>
  <c r="E147" i="20"/>
  <c r="F147" i="20" a="1"/>
  <c r="F147" i="20" s="1"/>
  <c r="G147" i="20" a="1"/>
  <c r="G147" i="20" s="1"/>
  <c r="H147" i="20" a="1"/>
  <c r="H147" i="20" s="1"/>
  <c r="I147" i="20" a="1"/>
  <c r="I147" i="20" s="1"/>
  <c r="J147" i="20" a="1"/>
  <c r="J147" i="20" s="1"/>
  <c r="K147" i="20" a="1"/>
  <c r="K147" i="20" s="1"/>
  <c r="L147" i="20" a="1"/>
  <c r="L147" i="20" s="1"/>
  <c r="M147" i="20" a="1"/>
  <c r="M147" i="20" s="1"/>
  <c r="N147" i="20" a="1"/>
  <c r="N147" i="20" s="1"/>
  <c r="O147" i="20" a="1"/>
  <c r="O147" i="20" s="1"/>
  <c r="B148" i="20" a="1"/>
  <c r="B148" i="20"/>
  <c r="C148" i="20" a="1"/>
  <c r="C148" i="20" s="1"/>
  <c r="D148" i="20" a="1"/>
  <c r="D148" i="20" s="1"/>
  <c r="E148" i="20" a="1"/>
  <c r="E148" i="20"/>
  <c r="F148" i="20" a="1"/>
  <c r="F148" i="20" s="1"/>
  <c r="G148" i="20" a="1"/>
  <c r="G148" i="20" s="1"/>
  <c r="H148" i="20" a="1"/>
  <c r="H148" i="20"/>
  <c r="I148" i="20" a="1"/>
  <c r="I148" i="20"/>
  <c r="J148" i="20" a="1"/>
  <c r="J148" i="20" s="1"/>
  <c r="K148" i="20" a="1"/>
  <c r="K148" i="20"/>
  <c r="L148" i="20" a="1"/>
  <c r="L148" i="20"/>
  <c r="M148" i="20" a="1"/>
  <c r="M148" i="20" s="1"/>
  <c r="N148" i="20" a="1"/>
  <c r="N148" i="20" s="1"/>
  <c r="O148" i="20" a="1"/>
  <c r="O148" i="20"/>
  <c r="B149" i="20" a="1"/>
  <c r="B149" i="20" s="1"/>
  <c r="C149" i="20" a="1"/>
  <c r="C149" i="20"/>
  <c r="D149" i="20" a="1"/>
  <c r="D149" i="20"/>
  <c r="E149" i="20" a="1"/>
  <c r="E149" i="20" s="1"/>
  <c r="F149" i="20" a="1"/>
  <c r="F149" i="20"/>
  <c r="G149" i="20" a="1"/>
  <c r="G149" i="20" s="1"/>
  <c r="H149" i="20" a="1"/>
  <c r="H149" i="20" s="1"/>
  <c r="I149" i="20" a="1"/>
  <c r="I149" i="20" s="1"/>
  <c r="J149" i="20" a="1"/>
  <c r="J149" i="20"/>
  <c r="K149" i="20" a="1"/>
  <c r="K149" i="20" s="1"/>
  <c r="L149" i="20" a="1"/>
  <c r="L149" i="20" s="1"/>
  <c r="M149" i="20" a="1"/>
  <c r="M149" i="20"/>
  <c r="N149" i="20" a="1"/>
  <c r="N149" i="20" s="1"/>
  <c r="O149" i="20" a="1"/>
  <c r="O149" i="20" s="1"/>
  <c r="B150" i="20" a="1"/>
  <c r="B150" i="20" s="1"/>
  <c r="C150" i="20" a="1"/>
  <c r="C150" i="20" s="1"/>
  <c r="D150" i="20" a="1"/>
  <c r="D150" i="20" s="1"/>
  <c r="E150" i="20" a="1"/>
  <c r="E150" i="20" s="1"/>
  <c r="F150" i="20" a="1"/>
  <c r="F150" i="20" s="1"/>
  <c r="G150" i="20" a="1"/>
  <c r="G150" i="20" s="1"/>
  <c r="H150" i="20" a="1"/>
  <c r="H150" i="20" s="1"/>
  <c r="I150" i="20" a="1"/>
  <c r="I150" i="20" s="1"/>
  <c r="J150" i="20" a="1"/>
  <c r="J150" i="20"/>
  <c r="K150" i="20" a="1"/>
  <c r="K150" i="20" s="1"/>
  <c r="L150" i="20" a="1"/>
  <c r="L150" i="20" s="1"/>
  <c r="M150" i="20" a="1"/>
  <c r="M150" i="20"/>
  <c r="N150" i="20" a="1"/>
  <c r="N150" i="20" s="1"/>
  <c r="O150" i="20" a="1"/>
  <c r="O150" i="20" s="1"/>
  <c r="B151" i="20" a="1"/>
  <c r="B151" i="20"/>
  <c r="C151" i="20" a="1"/>
  <c r="C151" i="20"/>
  <c r="D151" i="20" a="1"/>
  <c r="D151" i="20" s="1"/>
  <c r="E151" i="20" a="1"/>
  <c r="E151" i="20"/>
  <c r="F151" i="20" a="1"/>
  <c r="F151" i="20"/>
  <c r="G151" i="20" a="1"/>
  <c r="G151" i="20" s="1"/>
  <c r="H151" i="20" a="1"/>
  <c r="H151" i="20" s="1"/>
  <c r="I151" i="20" a="1"/>
  <c r="I151" i="20"/>
  <c r="J151" i="20" a="1"/>
  <c r="J151" i="20"/>
  <c r="K151" i="20" a="1"/>
  <c r="K151" i="20" s="1"/>
  <c r="L151" i="20" a="1"/>
  <c r="L151" i="20" s="1"/>
  <c r="M151" i="20" a="1"/>
  <c r="M151" i="20" s="1"/>
  <c r="N151" i="20" a="1"/>
  <c r="N151" i="20" s="1"/>
  <c r="O151" i="20" a="1"/>
  <c r="O151" i="20" s="1"/>
  <c r="B152" i="20" a="1"/>
  <c r="B152" i="20" s="1"/>
  <c r="C152" i="20" a="1"/>
  <c r="C152" i="20"/>
  <c r="D152" i="20" a="1"/>
  <c r="D152" i="20"/>
  <c r="E152" i="20" a="1"/>
  <c r="E152" i="20" s="1"/>
  <c r="F152" i="20" a="1"/>
  <c r="F152" i="20"/>
  <c r="G152" i="20" a="1"/>
  <c r="G152" i="20" s="1"/>
  <c r="H152" i="20" a="1"/>
  <c r="H152" i="20"/>
  <c r="I152" i="20" a="1"/>
  <c r="I152" i="20"/>
  <c r="J152" i="20" a="1"/>
  <c r="J152" i="20" s="1"/>
  <c r="K152" i="20" a="1"/>
  <c r="K152" i="20" s="1"/>
  <c r="L152" i="20" a="1"/>
  <c r="L152" i="20"/>
  <c r="M152" i="20" a="1"/>
  <c r="M152" i="20" s="1"/>
  <c r="N152" i="20" a="1"/>
  <c r="N152" i="20" s="1"/>
  <c r="O152" i="20" a="1"/>
  <c r="O152" i="20" s="1"/>
  <c r="B153" i="20" a="1"/>
  <c r="B153" i="20"/>
  <c r="C153" i="20" a="1"/>
  <c r="C153" i="20" s="1"/>
  <c r="D153" i="20" a="1"/>
  <c r="D153" i="20" s="1"/>
  <c r="E153" i="20" a="1"/>
  <c r="E153" i="20"/>
  <c r="F153" i="20" a="1"/>
  <c r="F153" i="20" s="1"/>
  <c r="G153" i="20" a="1"/>
  <c r="G153" i="20"/>
  <c r="H153" i="20" a="1"/>
  <c r="H153" i="20"/>
  <c r="I153" i="20" a="1"/>
  <c r="I153" i="20" s="1"/>
  <c r="J153" i="20" a="1"/>
  <c r="J153" i="20"/>
  <c r="K153" i="20" a="1"/>
  <c r="K153" i="20"/>
  <c r="L153" i="20" a="1"/>
  <c r="L153" i="20" s="1"/>
  <c r="M153" i="20" a="1"/>
  <c r="M153" i="20" s="1"/>
  <c r="N153" i="20" a="1"/>
  <c r="N153" i="20" s="1"/>
  <c r="O153" i="20" a="1"/>
  <c r="O153" i="20" s="1"/>
  <c r="B154" i="20" a="1"/>
  <c r="B154" i="20" s="1"/>
  <c r="C154" i="20" a="1"/>
  <c r="C154" i="20" s="1"/>
  <c r="D154" i="20" a="1"/>
  <c r="D154" i="20"/>
  <c r="E154" i="20" a="1"/>
  <c r="E154" i="20" s="1"/>
  <c r="F154" i="20" a="1"/>
  <c r="F154" i="20"/>
  <c r="G154" i="20" a="1"/>
  <c r="G154" i="20" s="1"/>
  <c r="H154" i="20" a="1"/>
  <c r="H154" i="20"/>
  <c r="I154" i="20" a="1"/>
  <c r="I154" i="20"/>
  <c r="J154" i="20" a="1"/>
  <c r="J154" i="20"/>
  <c r="K154" i="20" a="1"/>
  <c r="K154" i="20" s="1"/>
  <c r="L154" i="20" a="1"/>
  <c r="L154" i="20" s="1"/>
  <c r="M154" i="20" a="1"/>
  <c r="M154" i="20" s="1"/>
  <c r="N154" i="20" a="1"/>
  <c r="N154" i="20"/>
  <c r="O154" i="20" a="1"/>
  <c r="O154" i="20" s="1"/>
  <c r="B155" i="20" a="1"/>
  <c r="B155" i="20" s="1"/>
  <c r="C155" i="20" a="1"/>
  <c r="C155" i="20"/>
  <c r="D155" i="20" a="1"/>
  <c r="D155" i="20" s="1"/>
  <c r="E155" i="20" a="1"/>
  <c r="E155" i="20" s="1"/>
  <c r="F155" i="20" a="1"/>
  <c r="F155" i="20" s="1"/>
  <c r="G155" i="20" a="1"/>
  <c r="G155" i="20"/>
  <c r="H155" i="20" a="1"/>
  <c r="H155" i="20"/>
  <c r="I155" i="20" a="1"/>
  <c r="I155" i="20"/>
  <c r="J155" i="20" a="1"/>
  <c r="J155" i="20" s="1"/>
  <c r="K155" i="20" a="1"/>
  <c r="K155" i="20" s="1"/>
  <c r="L155" i="20" a="1"/>
  <c r="L155" i="20"/>
  <c r="M155" i="20" a="1"/>
  <c r="M155" i="20"/>
  <c r="N155" i="20" a="1"/>
  <c r="N155" i="20" s="1"/>
  <c r="O155" i="20" a="1"/>
  <c r="O155" i="20" s="1"/>
  <c r="B156" i="20" a="1"/>
  <c r="B156" i="20"/>
  <c r="C156" i="20" a="1"/>
  <c r="C156" i="20" s="1"/>
  <c r="D156" i="20" a="1"/>
  <c r="D156" i="20" s="1"/>
  <c r="E156" i="20" a="1"/>
  <c r="E156" i="20" s="1"/>
  <c r="F156" i="20" a="1"/>
  <c r="F156" i="20"/>
  <c r="G156" i="20" a="1"/>
  <c r="G156" i="20"/>
  <c r="H156" i="20" a="1"/>
  <c r="H156" i="20"/>
  <c r="I156" i="20" a="1"/>
  <c r="I156" i="20" s="1"/>
  <c r="J156" i="20" a="1"/>
  <c r="J156" i="20" s="1"/>
  <c r="K156" i="20" a="1"/>
  <c r="K156" i="20"/>
  <c r="L156" i="20" a="1"/>
  <c r="L156" i="20"/>
  <c r="M156" i="20" a="1"/>
  <c r="M156" i="20" s="1"/>
  <c r="N156" i="20" a="1"/>
  <c r="N156" i="20" s="1"/>
  <c r="O156" i="20" a="1"/>
  <c r="O156" i="20" s="1"/>
  <c r="C3" i="20" a="1"/>
  <c r="C3" i="20" s="1"/>
  <c r="D3" i="20" a="1"/>
  <c r="D3" i="20" s="1"/>
  <c r="E3" i="20" a="1"/>
  <c r="E3" i="20" s="1"/>
  <c r="F3" i="20" a="1"/>
  <c r="F3" i="20"/>
  <c r="G3" i="20" a="1"/>
  <c r="G3" i="20" s="1"/>
  <c r="H3" i="20" a="1"/>
  <c r="H3" i="20"/>
  <c r="I3" i="20" a="1"/>
  <c r="I3" i="20" s="1"/>
  <c r="J3" i="20" a="1"/>
  <c r="J3" i="20" s="1"/>
  <c r="K3" i="20" a="1"/>
  <c r="K3" i="20" s="1"/>
  <c r="L3" i="20" a="1"/>
  <c r="L3" i="20"/>
  <c r="M3" i="20" a="1"/>
  <c r="M3" i="20" s="1"/>
  <c r="N3" i="20" a="1"/>
  <c r="N3" i="20"/>
  <c r="O3" i="20" a="1"/>
  <c r="O3" i="20" s="1"/>
  <c r="B3" i="20" a="1"/>
  <c r="B3" i="20" s="1"/>
  <c r="B4" i="19" a="1"/>
  <c r="B4" i="19" s="1"/>
  <c r="C4" i="19" a="1"/>
  <c r="C4" i="19" s="1"/>
  <c r="D4" i="19" a="1"/>
  <c r="D4" i="19" s="1"/>
  <c r="E4" i="19" a="1"/>
  <c r="E4" i="19" s="1"/>
  <c r="F4" i="19" a="1"/>
  <c r="F4" i="19"/>
  <c r="G4" i="19" a="1"/>
  <c r="G4" i="19" s="1"/>
  <c r="H4" i="19" a="1"/>
  <c r="H4" i="19" s="1"/>
  <c r="I4" i="19" a="1"/>
  <c r="I4" i="19" s="1"/>
  <c r="J4" i="19" a="1"/>
  <c r="J4" i="19" s="1"/>
  <c r="K4" i="19" a="1"/>
  <c r="K4" i="19" s="1"/>
  <c r="L4" i="19" a="1"/>
  <c r="L4" i="19" s="1"/>
  <c r="M4" i="19" a="1"/>
  <c r="M4" i="19" s="1"/>
  <c r="N4" i="19" a="1"/>
  <c r="N4" i="19" s="1"/>
  <c r="O4" i="19" a="1"/>
  <c r="O4" i="19" s="1"/>
  <c r="P4" i="19" a="1"/>
  <c r="P4" i="19" s="1"/>
  <c r="Q4" i="19" a="1"/>
  <c r="Q4" i="19" s="1"/>
  <c r="R4" i="19" a="1"/>
  <c r="R4" i="19" s="1"/>
  <c r="S4" i="19" a="1"/>
  <c r="S4" i="19" s="1"/>
  <c r="T4" i="19" a="1"/>
  <c r="T4" i="19" s="1"/>
  <c r="B5" i="19" a="1"/>
  <c r="B5" i="19" s="1"/>
  <c r="C5" i="19" a="1"/>
  <c r="C5" i="19" s="1"/>
  <c r="D5" i="19" a="1"/>
  <c r="D5" i="19" s="1"/>
  <c r="E5" i="19" a="1"/>
  <c r="E5" i="19" s="1"/>
  <c r="F5" i="19" a="1"/>
  <c r="F5" i="19" s="1"/>
  <c r="G5" i="19" a="1"/>
  <c r="G5" i="19" s="1"/>
  <c r="H5" i="19" a="1"/>
  <c r="H5" i="19" s="1"/>
  <c r="I5" i="19" a="1"/>
  <c r="I5" i="19" s="1"/>
  <c r="J5" i="19" a="1"/>
  <c r="J5" i="19" s="1"/>
  <c r="K5" i="19" a="1"/>
  <c r="K5" i="19" s="1"/>
  <c r="L5" i="19" a="1"/>
  <c r="L5" i="19" s="1"/>
  <c r="M5" i="19" a="1"/>
  <c r="M5" i="19" s="1"/>
  <c r="N5" i="19" a="1"/>
  <c r="N5" i="19" s="1"/>
  <c r="O5" i="19" a="1"/>
  <c r="O5" i="19" s="1"/>
  <c r="P5" i="19" a="1"/>
  <c r="P5" i="19" s="1"/>
  <c r="Q5" i="19" a="1"/>
  <c r="Q5" i="19" s="1"/>
  <c r="R5" i="19" a="1"/>
  <c r="R5" i="19" s="1"/>
  <c r="S5" i="19" a="1"/>
  <c r="S5" i="19" s="1"/>
  <c r="T5" i="19" a="1"/>
  <c r="T5" i="19" s="1"/>
  <c r="B6" i="19" a="1"/>
  <c r="B6" i="19" s="1"/>
  <c r="C6" i="19" a="1"/>
  <c r="C6" i="19" s="1"/>
  <c r="D6" i="19" a="1"/>
  <c r="D6" i="19"/>
  <c r="E6" i="19" a="1"/>
  <c r="E6" i="19" s="1"/>
  <c r="F6" i="19" a="1"/>
  <c r="F6" i="19" s="1"/>
  <c r="G6" i="19" a="1"/>
  <c r="G6" i="19" s="1"/>
  <c r="H6" i="19" a="1"/>
  <c r="H6" i="19" s="1"/>
  <c r="I6" i="19" a="1"/>
  <c r="I6" i="19" s="1"/>
  <c r="J6" i="19" a="1"/>
  <c r="J6" i="19"/>
  <c r="K6" i="19" a="1"/>
  <c r="K6" i="19" s="1"/>
  <c r="L6" i="19" a="1"/>
  <c r="L6" i="19" s="1"/>
  <c r="M6" i="19" a="1"/>
  <c r="M6" i="19" s="1"/>
  <c r="N6" i="19" a="1"/>
  <c r="N6" i="19" s="1"/>
  <c r="O6" i="19" a="1"/>
  <c r="O6" i="19" s="1"/>
  <c r="P6" i="19" a="1"/>
  <c r="P6" i="19"/>
  <c r="Q6" i="19" a="1"/>
  <c r="Q6" i="19" s="1"/>
  <c r="R6" i="19" a="1"/>
  <c r="R6" i="19" s="1"/>
  <c r="S6" i="19" a="1"/>
  <c r="S6" i="19" s="1"/>
  <c r="T6" i="19" a="1"/>
  <c r="T6" i="19" s="1"/>
  <c r="B7" i="19" a="1"/>
  <c r="B7" i="19" s="1"/>
  <c r="C7" i="19" a="1"/>
  <c r="C7" i="19"/>
  <c r="D7" i="19" a="1"/>
  <c r="D7" i="19" s="1"/>
  <c r="E7" i="19" a="1"/>
  <c r="E7" i="19" s="1"/>
  <c r="F7" i="19" a="1"/>
  <c r="F7" i="19" s="1"/>
  <c r="G7" i="19" a="1"/>
  <c r="G7" i="19" s="1"/>
  <c r="H7" i="19" a="1"/>
  <c r="H7" i="19" s="1"/>
  <c r="I7" i="19" a="1"/>
  <c r="I7" i="19" s="1"/>
  <c r="J7" i="19" a="1"/>
  <c r="J7" i="19" s="1"/>
  <c r="K7" i="19" a="1"/>
  <c r="K7" i="19" s="1"/>
  <c r="L7" i="19" a="1"/>
  <c r="L7" i="19" s="1"/>
  <c r="M7" i="19" a="1"/>
  <c r="M7" i="19" s="1"/>
  <c r="N7" i="19" a="1"/>
  <c r="N7" i="19" s="1"/>
  <c r="O7" i="19" a="1"/>
  <c r="O7" i="19"/>
  <c r="P7" i="19" a="1"/>
  <c r="P7" i="19" s="1"/>
  <c r="Q7" i="19" a="1"/>
  <c r="Q7" i="19" s="1"/>
  <c r="R7" i="19" a="1"/>
  <c r="R7" i="19" s="1"/>
  <c r="S7" i="19" a="1"/>
  <c r="S7" i="19" s="1"/>
  <c r="T7" i="19" a="1"/>
  <c r="T7" i="19" s="1"/>
  <c r="B8" i="19" a="1"/>
  <c r="B8" i="19"/>
  <c r="C8" i="19" a="1"/>
  <c r="C8" i="19" s="1"/>
  <c r="D8" i="19" a="1"/>
  <c r="D8" i="19" s="1"/>
  <c r="E8" i="19" a="1"/>
  <c r="E8" i="19" s="1"/>
  <c r="F8" i="19" a="1"/>
  <c r="F8" i="19" s="1"/>
  <c r="G8" i="19" a="1"/>
  <c r="G8" i="19" s="1"/>
  <c r="H8" i="19" a="1"/>
  <c r="H8" i="19"/>
  <c r="I8" i="19" a="1"/>
  <c r="I8" i="19" s="1"/>
  <c r="J8" i="19" a="1"/>
  <c r="J8" i="19" s="1"/>
  <c r="K8" i="19" a="1"/>
  <c r="K8" i="19" s="1"/>
  <c r="L8" i="19" a="1"/>
  <c r="L8" i="19" s="1"/>
  <c r="M8" i="19" a="1"/>
  <c r="M8" i="19" s="1"/>
  <c r="N8" i="19" a="1"/>
  <c r="N8" i="19"/>
  <c r="O8" i="19" a="1"/>
  <c r="O8" i="19" s="1"/>
  <c r="P8" i="19" a="1"/>
  <c r="P8" i="19" s="1"/>
  <c r="Q8" i="19" a="1"/>
  <c r="Q8" i="19" s="1"/>
  <c r="R8" i="19" a="1"/>
  <c r="R8" i="19" s="1"/>
  <c r="S8" i="19" a="1"/>
  <c r="S8" i="19" s="1"/>
  <c r="T8" i="19" a="1"/>
  <c r="T8" i="19"/>
  <c r="B9" i="19" a="1"/>
  <c r="B9" i="19" s="1"/>
  <c r="C9" i="19" a="1"/>
  <c r="C9" i="19" s="1"/>
  <c r="D9" i="19" a="1"/>
  <c r="D9" i="19" s="1"/>
  <c r="E9" i="19" a="1"/>
  <c r="E9" i="19" s="1"/>
  <c r="F9" i="19" a="1"/>
  <c r="F9" i="19" s="1"/>
  <c r="G9" i="19" a="1"/>
  <c r="G9" i="19"/>
  <c r="H9" i="19" a="1"/>
  <c r="H9" i="19" s="1"/>
  <c r="I9" i="19" a="1"/>
  <c r="I9" i="19" s="1"/>
  <c r="J9" i="19" a="1"/>
  <c r="J9" i="19" s="1"/>
  <c r="K9" i="19" a="1"/>
  <c r="K9" i="19" s="1"/>
  <c r="L9" i="19" a="1"/>
  <c r="L9" i="19" s="1"/>
  <c r="M9" i="19" a="1"/>
  <c r="M9" i="19"/>
  <c r="N9" i="19" a="1"/>
  <c r="N9" i="19" s="1"/>
  <c r="O9" i="19" a="1"/>
  <c r="O9" i="19" s="1"/>
  <c r="P9" i="19" a="1"/>
  <c r="P9" i="19" s="1"/>
  <c r="Q9" i="19" a="1"/>
  <c r="Q9" i="19" s="1"/>
  <c r="R9" i="19" a="1"/>
  <c r="R9" i="19" s="1"/>
  <c r="S9" i="19" a="1"/>
  <c r="S9" i="19" s="1"/>
  <c r="T9" i="19" a="1"/>
  <c r="T9" i="19" s="1"/>
  <c r="B10" i="19" a="1"/>
  <c r="B10" i="19" s="1"/>
  <c r="C10" i="19" a="1"/>
  <c r="C10" i="19" s="1"/>
  <c r="D10" i="19" a="1"/>
  <c r="D10" i="19" s="1"/>
  <c r="E10" i="19" a="1"/>
  <c r="E10" i="19" s="1"/>
  <c r="F10" i="19" a="1"/>
  <c r="F10" i="19"/>
  <c r="G10" i="19" a="1"/>
  <c r="G10" i="19" s="1"/>
  <c r="H10" i="19" a="1"/>
  <c r="H10" i="19" s="1"/>
  <c r="I10" i="19" a="1"/>
  <c r="I10" i="19" s="1"/>
  <c r="J10" i="19" a="1"/>
  <c r="J10" i="19" s="1"/>
  <c r="K10" i="19" a="1"/>
  <c r="K10" i="19" s="1"/>
  <c r="L10" i="19" a="1"/>
  <c r="L10" i="19"/>
  <c r="M10" i="19" a="1"/>
  <c r="M10" i="19" s="1"/>
  <c r="N10" i="19" a="1"/>
  <c r="N10" i="19" s="1"/>
  <c r="O10" i="19" a="1"/>
  <c r="O10" i="19" s="1"/>
  <c r="P10" i="19" a="1"/>
  <c r="P10" i="19" s="1"/>
  <c r="Q10" i="19" a="1"/>
  <c r="Q10" i="19" s="1"/>
  <c r="R10" i="19" a="1"/>
  <c r="R10" i="19" s="1"/>
  <c r="S10" i="19" a="1"/>
  <c r="S10" i="19" s="1"/>
  <c r="T10" i="19" a="1"/>
  <c r="T10" i="19" s="1"/>
  <c r="B11" i="19" a="1"/>
  <c r="B11" i="19" s="1"/>
  <c r="C11" i="19" a="1"/>
  <c r="C11" i="19" s="1"/>
  <c r="D11" i="19" a="1"/>
  <c r="D11" i="19" s="1"/>
  <c r="E11" i="19" a="1"/>
  <c r="E11" i="19" s="1"/>
  <c r="F11" i="19" a="1"/>
  <c r="F11" i="19" s="1"/>
  <c r="G11" i="19" a="1"/>
  <c r="G11" i="19" s="1"/>
  <c r="H11" i="19" a="1"/>
  <c r="H11" i="19" s="1"/>
  <c r="I11" i="19" a="1"/>
  <c r="I11" i="19" s="1"/>
  <c r="J11" i="19" a="1"/>
  <c r="J11" i="19" s="1"/>
  <c r="K11" i="19" a="1"/>
  <c r="K11" i="19"/>
  <c r="L11" i="19" a="1"/>
  <c r="L11" i="19" s="1"/>
  <c r="M11" i="19" a="1"/>
  <c r="M11" i="19" s="1"/>
  <c r="N11" i="19" a="1"/>
  <c r="N11" i="19" s="1"/>
  <c r="O11" i="19" a="1"/>
  <c r="O11" i="19" s="1"/>
  <c r="P11" i="19" a="1"/>
  <c r="P11" i="19" s="1"/>
  <c r="Q11" i="19" a="1"/>
  <c r="Q11" i="19" s="1"/>
  <c r="R11" i="19" a="1"/>
  <c r="R11" i="19" s="1"/>
  <c r="S11" i="19" a="1"/>
  <c r="S11" i="19" s="1"/>
  <c r="T11" i="19" a="1"/>
  <c r="T11" i="19" s="1"/>
  <c r="B12" i="19" a="1"/>
  <c r="B12" i="19" s="1"/>
  <c r="C12" i="19" a="1"/>
  <c r="C12" i="19" s="1"/>
  <c r="D12" i="19" a="1"/>
  <c r="D12" i="19" s="1"/>
  <c r="E12" i="19" a="1"/>
  <c r="E12" i="19" s="1"/>
  <c r="F12" i="19" a="1"/>
  <c r="F12" i="19" s="1"/>
  <c r="G12" i="19" a="1"/>
  <c r="G12" i="19" s="1"/>
  <c r="H12" i="19" a="1"/>
  <c r="H12" i="19" s="1"/>
  <c r="I12" i="19" a="1"/>
  <c r="I12" i="19" s="1"/>
  <c r="J12" i="19" a="1"/>
  <c r="J12" i="19"/>
  <c r="K12" i="19" a="1"/>
  <c r="K12" i="19" s="1"/>
  <c r="L12" i="19" a="1"/>
  <c r="L12" i="19" s="1"/>
  <c r="M12" i="19" a="1"/>
  <c r="M12" i="19" s="1"/>
  <c r="N12" i="19" a="1"/>
  <c r="N12" i="19" s="1"/>
  <c r="O12" i="19" a="1"/>
  <c r="O12" i="19" s="1"/>
  <c r="P12" i="19" a="1"/>
  <c r="P12" i="19" s="1"/>
  <c r="Q12" i="19" a="1"/>
  <c r="Q12" i="19" s="1"/>
  <c r="R12" i="19" a="1"/>
  <c r="R12" i="19" s="1"/>
  <c r="S12" i="19" a="1"/>
  <c r="S12" i="19" s="1"/>
  <c r="T12" i="19" a="1"/>
  <c r="T12" i="19" s="1"/>
  <c r="B13" i="19" a="1"/>
  <c r="B13" i="19" s="1"/>
  <c r="C13" i="19" a="1"/>
  <c r="C13" i="19" s="1"/>
  <c r="D13" i="19" a="1"/>
  <c r="D13" i="19" s="1"/>
  <c r="E13" i="19" a="1"/>
  <c r="E13" i="19" s="1"/>
  <c r="F13" i="19" a="1"/>
  <c r="F13" i="19" s="1"/>
  <c r="G13" i="19" a="1"/>
  <c r="G13" i="19" s="1"/>
  <c r="H13" i="19" a="1"/>
  <c r="H13" i="19" s="1"/>
  <c r="I13" i="19" a="1"/>
  <c r="I13" i="19"/>
  <c r="J13" i="19" a="1"/>
  <c r="J13" i="19" s="1"/>
  <c r="K13" i="19" a="1"/>
  <c r="K13" i="19" s="1"/>
  <c r="L13" i="19" a="1"/>
  <c r="L13" i="19" s="1"/>
  <c r="M13" i="19" a="1"/>
  <c r="M13" i="19" s="1"/>
  <c r="N13" i="19" a="1"/>
  <c r="N13" i="19" s="1"/>
  <c r="O13" i="19" a="1"/>
  <c r="O13" i="19" s="1"/>
  <c r="P13" i="19" a="1"/>
  <c r="P13" i="19" s="1"/>
  <c r="Q13" i="19" a="1"/>
  <c r="Q13" i="19" s="1"/>
  <c r="R13" i="19" a="1"/>
  <c r="R13" i="19" s="1"/>
  <c r="S13" i="19" a="1"/>
  <c r="S13" i="19" s="1"/>
  <c r="T13" i="19" a="1"/>
  <c r="T13" i="19" s="1"/>
  <c r="B14" i="19" a="1"/>
  <c r="B14" i="19" s="1"/>
  <c r="C14" i="19" a="1"/>
  <c r="C14" i="19" s="1"/>
  <c r="D14" i="19" a="1"/>
  <c r="D14" i="19" s="1"/>
  <c r="E14" i="19" a="1"/>
  <c r="E14" i="19" s="1"/>
  <c r="F14" i="19" a="1"/>
  <c r="F14" i="19" s="1"/>
  <c r="G14" i="19" a="1"/>
  <c r="G14" i="19" s="1"/>
  <c r="H14" i="19" a="1"/>
  <c r="H14" i="19"/>
  <c r="I14" i="19" a="1"/>
  <c r="I14" i="19" s="1"/>
  <c r="J14" i="19" a="1"/>
  <c r="J14" i="19" s="1"/>
  <c r="K14" i="19" a="1"/>
  <c r="K14" i="19" s="1"/>
  <c r="L14" i="19" a="1"/>
  <c r="L14" i="19" s="1"/>
  <c r="M14" i="19" a="1"/>
  <c r="M14" i="19" s="1"/>
  <c r="N14" i="19" a="1"/>
  <c r="N14" i="19" s="1"/>
  <c r="O14" i="19" a="1"/>
  <c r="O14" i="19" s="1"/>
  <c r="P14" i="19" a="1"/>
  <c r="P14" i="19" s="1"/>
  <c r="Q14" i="19" a="1"/>
  <c r="Q14" i="19" s="1"/>
  <c r="R14" i="19" a="1"/>
  <c r="R14" i="19" s="1"/>
  <c r="S14" i="19" a="1"/>
  <c r="S14" i="19" s="1"/>
  <c r="T14" i="19" a="1"/>
  <c r="T14" i="19" s="1"/>
  <c r="B15" i="19" a="1"/>
  <c r="B15" i="19" s="1"/>
  <c r="C15" i="19" a="1"/>
  <c r="C15" i="19" s="1"/>
  <c r="D15" i="19" a="1"/>
  <c r="D15" i="19" s="1"/>
  <c r="E15" i="19" a="1"/>
  <c r="E15" i="19" s="1"/>
  <c r="F15" i="19" a="1"/>
  <c r="F15" i="19" s="1"/>
  <c r="G15" i="19" a="1"/>
  <c r="G15" i="19"/>
  <c r="H15" i="19" a="1"/>
  <c r="H15" i="19" s="1"/>
  <c r="I15" i="19" a="1"/>
  <c r="I15" i="19" s="1"/>
  <c r="J15" i="19" a="1"/>
  <c r="J15" i="19" s="1"/>
  <c r="K15" i="19" a="1"/>
  <c r="K15" i="19" s="1"/>
  <c r="L15" i="19" a="1"/>
  <c r="L15" i="19" s="1"/>
  <c r="M15" i="19" a="1"/>
  <c r="M15" i="19" s="1"/>
  <c r="N15" i="19" a="1"/>
  <c r="N15" i="19" s="1"/>
  <c r="O15" i="19" a="1"/>
  <c r="O15" i="19" s="1"/>
  <c r="P15" i="19" a="1"/>
  <c r="P15" i="19" s="1"/>
  <c r="Q15" i="19" a="1"/>
  <c r="Q15" i="19" s="1"/>
  <c r="R15" i="19" a="1"/>
  <c r="R15" i="19" s="1"/>
  <c r="S15" i="19" a="1"/>
  <c r="S15" i="19" s="1"/>
  <c r="T15" i="19" a="1"/>
  <c r="T15" i="19" s="1"/>
  <c r="B16" i="19" a="1"/>
  <c r="B16" i="19" s="1"/>
  <c r="C16" i="19" a="1"/>
  <c r="C16" i="19" s="1"/>
  <c r="D16" i="19" a="1"/>
  <c r="D16" i="19" s="1"/>
  <c r="E16" i="19" a="1"/>
  <c r="E16" i="19" s="1"/>
  <c r="F16" i="19" a="1"/>
  <c r="F16" i="19"/>
  <c r="G16" i="19" a="1"/>
  <c r="G16" i="19" s="1"/>
  <c r="H16" i="19" a="1"/>
  <c r="H16" i="19" s="1"/>
  <c r="I16" i="19" a="1"/>
  <c r="I16" i="19" s="1"/>
  <c r="J16" i="19" a="1"/>
  <c r="J16" i="19" s="1"/>
  <c r="K16" i="19" a="1"/>
  <c r="K16" i="19" s="1"/>
  <c r="L16" i="19" a="1"/>
  <c r="L16" i="19" s="1"/>
  <c r="M16" i="19" a="1"/>
  <c r="M16" i="19" s="1"/>
  <c r="N16" i="19" a="1"/>
  <c r="N16" i="19" s="1"/>
  <c r="O16" i="19" a="1"/>
  <c r="O16" i="19" s="1"/>
  <c r="P16" i="19" a="1"/>
  <c r="P16" i="19" s="1"/>
  <c r="Q16" i="19" a="1"/>
  <c r="Q16" i="19" s="1"/>
  <c r="R16" i="19" a="1"/>
  <c r="R16" i="19" s="1"/>
  <c r="S16" i="19" a="1"/>
  <c r="S16" i="19" s="1"/>
  <c r="T16" i="19" a="1"/>
  <c r="T16" i="19" s="1"/>
  <c r="B17" i="19" a="1"/>
  <c r="B17" i="19" s="1"/>
  <c r="C17" i="19" a="1"/>
  <c r="C17" i="19" s="1"/>
  <c r="D17" i="19" a="1"/>
  <c r="D17" i="19" s="1"/>
  <c r="E17" i="19" a="1"/>
  <c r="E17" i="19"/>
  <c r="F17" i="19" a="1"/>
  <c r="F17" i="19" s="1"/>
  <c r="G17" i="19" a="1"/>
  <c r="G17" i="19" s="1"/>
  <c r="H17" i="19" a="1"/>
  <c r="H17" i="19" s="1"/>
  <c r="I17" i="19" a="1"/>
  <c r="I17" i="19" s="1"/>
  <c r="J17" i="19" a="1"/>
  <c r="J17" i="19" s="1"/>
  <c r="K17" i="19" a="1"/>
  <c r="K17" i="19" s="1"/>
  <c r="L17" i="19" a="1"/>
  <c r="L17" i="19" s="1"/>
  <c r="M17" i="19" a="1"/>
  <c r="M17" i="19" s="1"/>
  <c r="N17" i="19" a="1"/>
  <c r="N17" i="19" s="1"/>
  <c r="O17" i="19" a="1"/>
  <c r="O17" i="19" s="1"/>
  <c r="P17" i="19" a="1"/>
  <c r="P17" i="19" s="1"/>
  <c r="Q17" i="19" a="1"/>
  <c r="Q17" i="19" s="1"/>
  <c r="R17" i="19" a="1"/>
  <c r="R17" i="19" s="1"/>
  <c r="S17" i="19" a="1"/>
  <c r="S17" i="19" s="1"/>
  <c r="T17" i="19" a="1"/>
  <c r="T17" i="19" s="1"/>
  <c r="B18" i="19" a="1"/>
  <c r="B18" i="19" s="1"/>
  <c r="C18" i="19" a="1"/>
  <c r="C18" i="19" s="1"/>
  <c r="D18" i="19" a="1"/>
  <c r="D18" i="19"/>
  <c r="E18" i="19" a="1"/>
  <c r="E18" i="19" s="1"/>
  <c r="F18" i="19" a="1"/>
  <c r="F18" i="19" s="1"/>
  <c r="G18" i="19" a="1"/>
  <c r="G18" i="19" s="1"/>
  <c r="H18" i="19" a="1"/>
  <c r="H18" i="19" s="1"/>
  <c r="I18" i="19" a="1"/>
  <c r="I18" i="19" s="1"/>
  <c r="J18" i="19" a="1"/>
  <c r="J18" i="19" s="1"/>
  <c r="K18" i="19" a="1"/>
  <c r="K18" i="19" s="1"/>
  <c r="L18" i="19" a="1"/>
  <c r="L18" i="19" s="1"/>
  <c r="M18" i="19" a="1"/>
  <c r="M18" i="19" s="1"/>
  <c r="N18" i="19" a="1"/>
  <c r="N18" i="19" s="1"/>
  <c r="O18" i="19" a="1"/>
  <c r="O18" i="19" s="1"/>
  <c r="P18" i="19" a="1"/>
  <c r="P18" i="19" s="1"/>
  <c r="Q18" i="19" a="1"/>
  <c r="Q18" i="19" s="1"/>
  <c r="R18" i="19" a="1"/>
  <c r="R18" i="19" s="1"/>
  <c r="S18" i="19" a="1"/>
  <c r="S18" i="19" s="1"/>
  <c r="T18" i="19" a="1"/>
  <c r="T18" i="19" s="1"/>
  <c r="B19" i="19" a="1"/>
  <c r="B19" i="19" s="1"/>
  <c r="C19" i="19" a="1"/>
  <c r="C19" i="19"/>
  <c r="D19" i="19" a="1"/>
  <c r="D19" i="19" s="1"/>
  <c r="E19" i="19" a="1"/>
  <c r="E19" i="19" s="1"/>
  <c r="F19" i="19" a="1"/>
  <c r="F19" i="19" s="1"/>
  <c r="G19" i="19" a="1"/>
  <c r="G19" i="19" s="1"/>
  <c r="H19" i="19" a="1"/>
  <c r="H19" i="19" s="1"/>
  <c r="I19" i="19" a="1"/>
  <c r="I19" i="19" s="1"/>
  <c r="J19" i="19" a="1"/>
  <c r="J19" i="19" s="1"/>
  <c r="K19" i="19" a="1"/>
  <c r="K19" i="19" s="1"/>
  <c r="L19" i="19" a="1"/>
  <c r="L19" i="19" s="1"/>
  <c r="M19" i="19" a="1"/>
  <c r="M19" i="19" s="1"/>
  <c r="N19" i="19" a="1"/>
  <c r="N19" i="19" s="1"/>
  <c r="O19" i="19" a="1"/>
  <c r="O19" i="19" s="1"/>
  <c r="P19" i="19" a="1"/>
  <c r="P19" i="19" s="1"/>
  <c r="Q19" i="19" a="1"/>
  <c r="Q19" i="19" s="1"/>
  <c r="R19" i="19" a="1"/>
  <c r="R19" i="19" s="1"/>
  <c r="S19" i="19" a="1"/>
  <c r="S19" i="19" s="1"/>
  <c r="T19" i="19" a="1"/>
  <c r="T19" i="19" s="1"/>
  <c r="B20" i="19" a="1"/>
  <c r="B20" i="19"/>
  <c r="C20" i="19" a="1"/>
  <c r="C20" i="19" s="1"/>
  <c r="D20" i="19" a="1"/>
  <c r="D20" i="19" s="1"/>
  <c r="E20" i="19" a="1"/>
  <c r="E20" i="19" s="1"/>
  <c r="F20" i="19" a="1"/>
  <c r="F20" i="19" s="1"/>
  <c r="G20" i="19" a="1"/>
  <c r="G20" i="19" s="1"/>
  <c r="H20" i="19" a="1"/>
  <c r="H20" i="19" s="1"/>
  <c r="I20" i="19" a="1"/>
  <c r="I20" i="19" s="1"/>
  <c r="J20" i="19" a="1"/>
  <c r="J20" i="19" s="1"/>
  <c r="K20" i="19" a="1"/>
  <c r="K20" i="19" s="1"/>
  <c r="L20" i="19" a="1"/>
  <c r="L20" i="19" s="1"/>
  <c r="M20" i="19" a="1"/>
  <c r="M20" i="19" s="1"/>
  <c r="N20" i="19" a="1"/>
  <c r="N20" i="19" s="1"/>
  <c r="O20" i="19" a="1"/>
  <c r="O20" i="19" s="1"/>
  <c r="P20" i="19" a="1"/>
  <c r="P20" i="19" s="1"/>
  <c r="Q20" i="19" a="1"/>
  <c r="Q20" i="19" s="1"/>
  <c r="R20" i="19" a="1"/>
  <c r="R20" i="19" s="1"/>
  <c r="S20" i="19" a="1"/>
  <c r="S20" i="19" s="1"/>
  <c r="T20" i="19" a="1"/>
  <c r="T20" i="19"/>
  <c r="B21" i="19" a="1"/>
  <c r="B21" i="19" s="1"/>
  <c r="C21" i="19" a="1"/>
  <c r="C21" i="19" s="1"/>
  <c r="D21" i="19" a="1"/>
  <c r="D21" i="19" s="1"/>
  <c r="E21" i="19" a="1"/>
  <c r="E21" i="19" s="1"/>
  <c r="F21" i="19" a="1"/>
  <c r="F21" i="19" s="1"/>
  <c r="G21" i="19" a="1"/>
  <c r="G21" i="19" s="1"/>
  <c r="H21" i="19" a="1"/>
  <c r="H21" i="19" s="1"/>
  <c r="I21" i="19" a="1"/>
  <c r="I21" i="19" s="1"/>
  <c r="J21" i="19" a="1"/>
  <c r="J21" i="19" s="1"/>
  <c r="K21" i="19" a="1"/>
  <c r="K21" i="19" s="1"/>
  <c r="L21" i="19" a="1"/>
  <c r="L21" i="19" s="1"/>
  <c r="M21" i="19" a="1"/>
  <c r="M21" i="19" s="1"/>
  <c r="N21" i="19" a="1"/>
  <c r="N21" i="19" s="1"/>
  <c r="O21" i="19" a="1"/>
  <c r="O21" i="19" s="1"/>
  <c r="P21" i="19" a="1"/>
  <c r="P21" i="19" s="1"/>
  <c r="Q21" i="19" a="1"/>
  <c r="Q21" i="19" s="1"/>
  <c r="R21" i="19" a="1"/>
  <c r="R21" i="19" s="1"/>
  <c r="S21" i="19" a="1"/>
  <c r="S21" i="19"/>
  <c r="T21" i="19" a="1"/>
  <c r="T21" i="19" s="1"/>
  <c r="B22" i="19" a="1"/>
  <c r="B22" i="19" s="1"/>
  <c r="C22" i="19" a="1"/>
  <c r="C22" i="19" s="1"/>
  <c r="D22" i="19" a="1"/>
  <c r="D22" i="19" s="1"/>
  <c r="E22" i="19" a="1"/>
  <c r="E22" i="19"/>
  <c r="F22" i="19" a="1"/>
  <c r="F22" i="19"/>
  <c r="G22" i="19" a="1"/>
  <c r="G22" i="19"/>
  <c r="H22" i="19" a="1"/>
  <c r="H22" i="19" s="1"/>
  <c r="I22" i="19" a="1"/>
  <c r="I22" i="19" s="1"/>
  <c r="J22" i="19" a="1"/>
  <c r="J22" i="19" s="1"/>
  <c r="K22" i="19" a="1"/>
  <c r="K22" i="19" s="1"/>
  <c r="L22" i="19" a="1"/>
  <c r="L22" i="19" s="1"/>
  <c r="M22" i="19" a="1"/>
  <c r="M22" i="19" s="1"/>
  <c r="N22" i="19" a="1"/>
  <c r="N22" i="19" s="1"/>
  <c r="O22" i="19" a="1"/>
  <c r="O22" i="19" s="1"/>
  <c r="P22" i="19" a="1"/>
  <c r="P22" i="19" s="1"/>
  <c r="Q22" i="19" a="1"/>
  <c r="Q22" i="19" s="1"/>
  <c r="R22" i="19" a="1"/>
  <c r="R22" i="19"/>
  <c r="S22" i="19" a="1"/>
  <c r="S22" i="19"/>
  <c r="T22" i="19" a="1"/>
  <c r="T22" i="19" s="1"/>
  <c r="B23" i="19" a="1"/>
  <c r="B23" i="19" s="1"/>
  <c r="C23" i="19" a="1"/>
  <c r="C23" i="19" s="1"/>
  <c r="D23" i="19" a="1"/>
  <c r="D23" i="19" s="1"/>
  <c r="E23" i="19" a="1"/>
  <c r="E23" i="19"/>
  <c r="F23" i="19" a="1"/>
  <c r="F23" i="19" s="1"/>
  <c r="G23" i="19" a="1"/>
  <c r="G23" i="19" s="1"/>
  <c r="H23" i="19" a="1"/>
  <c r="H23" i="19" s="1"/>
  <c r="I23" i="19" a="1"/>
  <c r="I23" i="19" s="1"/>
  <c r="J23" i="19" a="1"/>
  <c r="J23" i="19"/>
  <c r="K23" i="19" a="1"/>
  <c r="K23" i="19"/>
  <c r="L23" i="19" a="1"/>
  <c r="L23" i="19"/>
  <c r="M23" i="19" a="1"/>
  <c r="M23" i="19" s="1"/>
  <c r="N23" i="19" a="1"/>
  <c r="N23" i="19" s="1"/>
  <c r="O23" i="19" a="1"/>
  <c r="O23" i="19" s="1"/>
  <c r="P23" i="19" a="1"/>
  <c r="P23" i="19" s="1"/>
  <c r="Q23" i="19" a="1"/>
  <c r="Q23" i="19" s="1"/>
  <c r="R23" i="19" a="1"/>
  <c r="R23" i="19" s="1"/>
  <c r="S23" i="19" a="1"/>
  <c r="S23" i="19" s="1"/>
  <c r="T23" i="19" a="1"/>
  <c r="T23" i="19" s="1"/>
  <c r="B24" i="19" a="1"/>
  <c r="B24" i="19" s="1"/>
  <c r="C24" i="19" a="1"/>
  <c r="C24" i="19"/>
  <c r="D24" i="19" a="1"/>
  <c r="D24" i="19"/>
  <c r="E24" i="19" a="1"/>
  <c r="E24" i="19"/>
  <c r="F24" i="19" a="1"/>
  <c r="F24" i="19" s="1"/>
  <c r="G24" i="19" a="1"/>
  <c r="G24" i="19" s="1"/>
  <c r="H24" i="19" a="1"/>
  <c r="H24" i="19" s="1"/>
  <c r="I24" i="19" a="1"/>
  <c r="I24" i="19" s="1"/>
  <c r="J24" i="19" a="1"/>
  <c r="J24" i="19"/>
  <c r="K24" i="19" a="1"/>
  <c r="K24" i="19" s="1"/>
  <c r="L24" i="19" a="1"/>
  <c r="L24" i="19" s="1"/>
  <c r="M24" i="19" a="1"/>
  <c r="M24" i="19" s="1"/>
  <c r="N24" i="19" a="1"/>
  <c r="N24" i="19" s="1"/>
  <c r="O24" i="19" a="1"/>
  <c r="O24" i="19"/>
  <c r="P24" i="19" a="1"/>
  <c r="P24" i="19"/>
  <c r="Q24" i="19" a="1"/>
  <c r="Q24" i="19"/>
  <c r="R24" i="19" a="1"/>
  <c r="R24" i="19" s="1"/>
  <c r="S24" i="19" a="1"/>
  <c r="S24" i="19" s="1"/>
  <c r="T24" i="19" a="1"/>
  <c r="T24" i="19" s="1"/>
  <c r="B25" i="19" a="1"/>
  <c r="B25" i="19" s="1"/>
  <c r="C25" i="19" a="1"/>
  <c r="C25" i="19" s="1"/>
  <c r="D25" i="19" a="1"/>
  <c r="D25" i="19" s="1"/>
  <c r="E25" i="19" a="1"/>
  <c r="E25" i="19" s="1"/>
  <c r="F25" i="19" a="1"/>
  <c r="F25" i="19" s="1"/>
  <c r="G25" i="19" a="1"/>
  <c r="G25" i="19" s="1"/>
  <c r="H25" i="19" a="1"/>
  <c r="H25" i="19"/>
  <c r="I25" i="19" a="1"/>
  <c r="I25" i="19"/>
  <c r="J25" i="19" a="1"/>
  <c r="J25" i="19"/>
  <c r="K25" i="19" a="1"/>
  <c r="K25" i="19" s="1"/>
  <c r="L25" i="19" a="1"/>
  <c r="L25" i="19" s="1"/>
  <c r="M25" i="19" a="1"/>
  <c r="M25" i="19" s="1"/>
  <c r="N25" i="19" a="1"/>
  <c r="N25" i="19" s="1"/>
  <c r="O25" i="19" a="1"/>
  <c r="O25" i="19"/>
  <c r="P25" i="19" a="1"/>
  <c r="P25" i="19" s="1"/>
  <c r="Q25" i="19" a="1"/>
  <c r="Q25" i="19" s="1"/>
  <c r="R25" i="19" a="1"/>
  <c r="R25" i="19" s="1"/>
  <c r="S25" i="19" a="1"/>
  <c r="S25" i="19" s="1"/>
  <c r="T25" i="19" a="1"/>
  <c r="T25" i="19"/>
  <c r="B26" i="19" a="1"/>
  <c r="B26" i="19"/>
  <c r="C26" i="19" a="1"/>
  <c r="C26" i="19"/>
  <c r="D26" i="19" a="1"/>
  <c r="D26" i="19" s="1"/>
  <c r="E26" i="19" a="1"/>
  <c r="E26" i="19" s="1"/>
  <c r="F26" i="19" a="1"/>
  <c r="F26" i="19" s="1"/>
  <c r="G26" i="19" a="1"/>
  <c r="G26" i="19" s="1"/>
  <c r="H26" i="19" a="1"/>
  <c r="H26" i="19" s="1"/>
  <c r="I26" i="19" a="1"/>
  <c r="I26" i="19" s="1"/>
  <c r="J26" i="19" a="1"/>
  <c r="J26" i="19" s="1"/>
  <c r="K26" i="19" a="1"/>
  <c r="K26" i="19" s="1"/>
  <c r="L26" i="19" a="1"/>
  <c r="L26" i="19" s="1"/>
  <c r="M26" i="19" a="1"/>
  <c r="M26" i="19" s="1"/>
  <c r="N26" i="19" a="1"/>
  <c r="N26" i="19"/>
  <c r="O26" i="19" a="1"/>
  <c r="O26" i="19"/>
  <c r="P26" i="19" a="1"/>
  <c r="P26" i="19" s="1"/>
  <c r="Q26" i="19" a="1"/>
  <c r="Q26" i="19" s="1"/>
  <c r="R26" i="19" a="1"/>
  <c r="R26" i="19" s="1"/>
  <c r="S26" i="19" a="1"/>
  <c r="S26" i="19" s="1"/>
  <c r="T26" i="19" a="1"/>
  <c r="T26" i="19"/>
  <c r="B27" i="19" a="1"/>
  <c r="B27" i="19" s="1"/>
  <c r="C27" i="19" a="1"/>
  <c r="C27" i="19" s="1"/>
  <c r="D27" i="19" a="1"/>
  <c r="D27" i="19" s="1"/>
  <c r="E27" i="19" a="1"/>
  <c r="E27" i="19" s="1"/>
  <c r="F27" i="19" a="1"/>
  <c r="F27" i="19"/>
  <c r="G27" i="19" a="1"/>
  <c r="G27" i="19"/>
  <c r="H27" i="19" a="1"/>
  <c r="H27" i="19"/>
  <c r="I27" i="19" a="1"/>
  <c r="I27" i="19" s="1"/>
  <c r="J27" i="19" a="1"/>
  <c r="J27" i="19" s="1"/>
  <c r="K27" i="19" a="1"/>
  <c r="K27" i="19" s="1"/>
  <c r="L27" i="19" a="1"/>
  <c r="L27" i="19" s="1"/>
  <c r="M27" i="19" a="1"/>
  <c r="M27" i="19" s="1"/>
  <c r="N27" i="19" a="1"/>
  <c r="N27" i="19" s="1"/>
  <c r="O27" i="19" a="1"/>
  <c r="O27" i="19" s="1"/>
  <c r="P27" i="19" a="1"/>
  <c r="P27" i="19" s="1"/>
  <c r="Q27" i="19" a="1"/>
  <c r="Q27" i="19" s="1"/>
  <c r="R27" i="19" a="1"/>
  <c r="R27" i="19" s="1"/>
  <c r="S27" i="19" a="1"/>
  <c r="S27" i="19"/>
  <c r="T27" i="19" a="1"/>
  <c r="T27" i="19"/>
  <c r="B28" i="19" a="1"/>
  <c r="B28" i="19" s="1"/>
  <c r="C28" i="19" a="1"/>
  <c r="C28" i="19" s="1"/>
  <c r="D28" i="19" a="1"/>
  <c r="D28" i="19" s="1"/>
  <c r="E28" i="19" a="1"/>
  <c r="E28" i="19" s="1"/>
  <c r="F28" i="19" a="1"/>
  <c r="F28" i="19"/>
  <c r="G28" i="19" a="1"/>
  <c r="G28" i="19" s="1"/>
  <c r="H28" i="19" a="1"/>
  <c r="H28" i="19" s="1"/>
  <c r="I28" i="19" a="1"/>
  <c r="I28" i="19" s="1"/>
  <c r="J28" i="19" a="1"/>
  <c r="J28" i="19" s="1"/>
  <c r="K28" i="19" a="1"/>
  <c r="K28" i="19"/>
  <c r="L28" i="19" a="1"/>
  <c r="L28" i="19"/>
  <c r="M28" i="19" a="1"/>
  <c r="M28" i="19"/>
  <c r="N28" i="19" a="1"/>
  <c r="N28" i="19" s="1"/>
  <c r="O28" i="19" a="1"/>
  <c r="O28" i="19" s="1"/>
  <c r="P28" i="19" a="1"/>
  <c r="P28" i="19" s="1"/>
  <c r="Q28" i="19" a="1"/>
  <c r="Q28" i="19" s="1"/>
  <c r="R28" i="19" a="1"/>
  <c r="R28" i="19" s="1"/>
  <c r="S28" i="19" a="1"/>
  <c r="S28" i="19" s="1"/>
  <c r="T28" i="19" a="1"/>
  <c r="T28" i="19" s="1"/>
  <c r="B29" i="19" a="1"/>
  <c r="B29" i="19" s="1"/>
  <c r="C29" i="19" a="1"/>
  <c r="C29" i="19" s="1"/>
  <c r="D29" i="19" a="1"/>
  <c r="D29" i="19"/>
  <c r="E29" i="19" a="1"/>
  <c r="E29" i="19"/>
  <c r="F29" i="19" a="1"/>
  <c r="F29" i="19"/>
  <c r="G29" i="19" a="1"/>
  <c r="G29" i="19" s="1"/>
  <c r="H29" i="19" a="1"/>
  <c r="H29" i="19" s="1"/>
  <c r="I29" i="19" a="1"/>
  <c r="I29" i="19" s="1"/>
  <c r="J29" i="19" a="1"/>
  <c r="J29" i="19" s="1"/>
  <c r="K29" i="19" a="1"/>
  <c r="K29" i="19" s="1"/>
  <c r="L29" i="19" a="1"/>
  <c r="L29" i="19" s="1"/>
  <c r="M29" i="19" a="1"/>
  <c r="M29" i="19" s="1"/>
  <c r="N29" i="19" a="1"/>
  <c r="N29" i="19" s="1"/>
  <c r="O29" i="19" a="1"/>
  <c r="O29" i="19" s="1"/>
  <c r="P29" i="19" a="1"/>
  <c r="P29" i="19"/>
  <c r="Q29" i="19" a="1"/>
  <c r="Q29" i="19"/>
  <c r="R29" i="19" a="1"/>
  <c r="R29" i="19"/>
  <c r="S29" i="19" a="1"/>
  <c r="S29" i="19" s="1"/>
  <c r="T29" i="19" a="1"/>
  <c r="T29" i="19" s="1"/>
  <c r="B30" i="19" a="1"/>
  <c r="B30" i="19" s="1"/>
  <c r="C30" i="19" a="1"/>
  <c r="C30" i="19" s="1"/>
  <c r="D30" i="19" a="1"/>
  <c r="D30" i="19" s="1"/>
  <c r="E30" i="19" a="1"/>
  <c r="E30" i="19" s="1"/>
  <c r="F30" i="19" a="1"/>
  <c r="F30" i="19" s="1"/>
  <c r="G30" i="19" a="1"/>
  <c r="G30" i="19" s="1"/>
  <c r="H30" i="19" a="1"/>
  <c r="H30" i="19" s="1"/>
  <c r="I30" i="19" a="1"/>
  <c r="I30" i="19"/>
  <c r="J30" i="19" a="1"/>
  <c r="J30" i="19"/>
  <c r="K30" i="19" a="1"/>
  <c r="K30" i="19"/>
  <c r="L30" i="19" a="1"/>
  <c r="L30" i="19" s="1"/>
  <c r="M30" i="19" a="1"/>
  <c r="M30" i="19" s="1"/>
  <c r="N30" i="19" a="1"/>
  <c r="N30" i="19" s="1"/>
  <c r="O30" i="19" a="1"/>
  <c r="O30" i="19" s="1"/>
  <c r="P30" i="19" a="1"/>
  <c r="P30" i="19" s="1"/>
  <c r="Q30" i="19" a="1"/>
  <c r="Q30" i="19" s="1"/>
  <c r="R30" i="19" a="1"/>
  <c r="R30" i="19" s="1"/>
  <c r="S30" i="19" a="1"/>
  <c r="S30" i="19" s="1"/>
  <c r="T30" i="19" a="1"/>
  <c r="T30" i="19" s="1"/>
  <c r="B31" i="19" a="1"/>
  <c r="B31" i="19" s="1"/>
  <c r="C31" i="19" a="1"/>
  <c r="C31" i="19"/>
  <c r="D31" i="19" a="1"/>
  <c r="D31" i="19" s="1"/>
  <c r="E31" i="19" a="1"/>
  <c r="E31" i="19"/>
  <c r="F31" i="19" a="1"/>
  <c r="F31" i="19" s="1"/>
  <c r="G31" i="19" a="1"/>
  <c r="G31" i="19" s="1"/>
  <c r="H31" i="19" a="1"/>
  <c r="H31" i="19" s="1"/>
  <c r="I31" i="19" a="1"/>
  <c r="I31" i="19"/>
  <c r="J31" i="19" a="1"/>
  <c r="J31" i="19" s="1"/>
  <c r="K31" i="19" a="1"/>
  <c r="K31" i="19" s="1"/>
  <c r="L31" i="19" a="1"/>
  <c r="L31" i="19" s="1"/>
  <c r="M31" i="19" a="1"/>
  <c r="M31" i="19" s="1"/>
  <c r="N31" i="19" a="1"/>
  <c r="N31" i="19" s="1"/>
  <c r="O31" i="19" a="1"/>
  <c r="O31" i="19"/>
  <c r="P31" i="19" a="1"/>
  <c r="P31" i="19" s="1"/>
  <c r="Q31" i="19" a="1"/>
  <c r="Q31" i="19"/>
  <c r="R31" i="19" a="1"/>
  <c r="R31" i="19" s="1"/>
  <c r="S31" i="19" a="1"/>
  <c r="S31" i="19" s="1"/>
  <c r="T31" i="19" a="1"/>
  <c r="T31" i="19" s="1"/>
  <c r="B32" i="19" a="1"/>
  <c r="B32" i="19"/>
  <c r="C32" i="19" a="1"/>
  <c r="C32" i="19" s="1"/>
  <c r="D32" i="19" a="1"/>
  <c r="D32" i="19" s="1"/>
  <c r="E32" i="19" a="1"/>
  <c r="E32" i="19" s="1"/>
  <c r="F32" i="19" a="1"/>
  <c r="F32" i="19" s="1"/>
  <c r="G32" i="19" a="1"/>
  <c r="G32" i="19" s="1"/>
  <c r="H32" i="19" a="1"/>
  <c r="H32" i="19" s="1"/>
  <c r="I32" i="19" a="1"/>
  <c r="I32" i="19" s="1"/>
  <c r="J32" i="19" a="1"/>
  <c r="J32" i="19" s="1"/>
  <c r="K32" i="19" a="1"/>
  <c r="K32" i="19" s="1"/>
  <c r="L32" i="19" a="1"/>
  <c r="L32" i="19" s="1"/>
  <c r="M32" i="19" a="1"/>
  <c r="M32" i="19" s="1"/>
  <c r="N32" i="19" a="1"/>
  <c r="N32" i="19"/>
  <c r="O32" i="19" a="1"/>
  <c r="O32" i="19" s="1"/>
  <c r="P32" i="19" a="1"/>
  <c r="P32" i="19"/>
  <c r="Q32" i="19" a="1"/>
  <c r="Q32" i="19" s="1"/>
  <c r="R32" i="19" a="1"/>
  <c r="R32" i="19" s="1"/>
  <c r="S32" i="19" a="1"/>
  <c r="S32" i="19" s="1"/>
  <c r="T32" i="19" a="1"/>
  <c r="T32" i="19"/>
  <c r="B33" i="19" a="1"/>
  <c r="B33" i="19" s="1"/>
  <c r="C33" i="19" a="1"/>
  <c r="C33" i="19" s="1"/>
  <c r="D33" i="19" a="1"/>
  <c r="D33" i="19" s="1"/>
  <c r="E33" i="19" a="1"/>
  <c r="E33" i="19" s="1"/>
  <c r="F33" i="19" a="1"/>
  <c r="F33" i="19" s="1"/>
  <c r="G33" i="19" a="1"/>
  <c r="G33" i="19" s="1"/>
  <c r="H33" i="19" a="1"/>
  <c r="H33" i="19" s="1"/>
  <c r="I33" i="19" a="1"/>
  <c r="I33" i="19" s="1"/>
  <c r="J33" i="19" a="1"/>
  <c r="J33" i="19" s="1"/>
  <c r="K33" i="19" a="1"/>
  <c r="K33" i="19" s="1"/>
  <c r="L33" i="19" a="1"/>
  <c r="L33" i="19" s="1"/>
  <c r="M33" i="19" a="1"/>
  <c r="M33" i="19"/>
  <c r="N33" i="19" a="1"/>
  <c r="N33" i="19" s="1"/>
  <c r="O33" i="19" a="1"/>
  <c r="O33" i="19"/>
  <c r="P33" i="19" a="1"/>
  <c r="P33" i="19" s="1"/>
  <c r="Q33" i="19" a="1"/>
  <c r="Q33" i="19" s="1"/>
  <c r="R33" i="19" a="1"/>
  <c r="R33" i="19" s="1"/>
  <c r="S33" i="19" a="1"/>
  <c r="S33" i="19"/>
  <c r="T33" i="19" a="1"/>
  <c r="T33" i="19" s="1"/>
  <c r="B34" i="19" a="1"/>
  <c r="B34" i="19" s="1"/>
  <c r="C34" i="19" a="1"/>
  <c r="C34" i="19" s="1"/>
  <c r="D34" i="19" a="1"/>
  <c r="D34" i="19" s="1"/>
  <c r="E34" i="19" a="1"/>
  <c r="E34" i="19" s="1"/>
  <c r="F34" i="19" a="1"/>
  <c r="F34" i="19" s="1"/>
  <c r="G34" i="19" a="1"/>
  <c r="G34" i="19" s="1"/>
  <c r="H34" i="19" a="1"/>
  <c r="H34" i="19" s="1"/>
  <c r="I34" i="19" a="1"/>
  <c r="I34" i="19" s="1"/>
  <c r="J34" i="19" a="1"/>
  <c r="J34" i="19" s="1"/>
  <c r="K34" i="19" a="1"/>
  <c r="K34" i="19" s="1"/>
  <c r="L34" i="19" a="1"/>
  <c r="L34" i="19"/>
  <c r="M34" i="19" a="1"/>
  <c r="M34" i="19" s="1"/>
  <c r="N34" i="19" a="1"/>
  <c r="N34" i="19"/>
  <c r="O34" i="19" a="1"/>
  <c r="O34" i="19" s="1"/>
  <c r="P34" i="19" a="1"/>
  <c r="P34" i="19" s="1"/>
  <c r="Q34" i="19" a="1"/>
  <c r="Q34" i="19" s="1"/>
  <c r="R34" i="19" a="1"/>
  <c r="R34" i="19"/>
  <c r="S34" i="19" a="1"/>
  <c r="S34" i="19" s="1"/>
  <c r="T34" i="19" a="1"/>
  <c r="T34" i="19" s="1"/>
  <c r="B35" i="19" a="1"/>
  <c r="B35" i="19" s="1"/>
  <c r="C35" i="19" a="1"/>
  <c r="C35" i="19" s="1"/>
  <c r="D35" i="19" a="1"/>
  <c r="D35" i="19" s="1"/>
  <c r="E35" i="19" a="1"/>
  <c r="E35" i="19"/>
  <c r="F35" i="19" a="1"/>
  <c r="F35" i="19" s="1"/>
  <c r="G35" i="19" a="1"/>
  <c r="G35" i="19" s="1"/>
  <c r="H35" i="19" a="1"/>
  <c r="H35" i="19" s="1"/>
  <c r="I35" i="19" a="1"/>
  <c r="I35" i="19" s="1"/>
  <c r="J35" i="19" a="1"/>
  <c r="J35" i="19" s="1"/>
  <c r="K35" i="19" a="1"/>
  <c r="K35" i="19"/>
  <c r="L35" i="19" a="1"/>
  <c r="L35" i="19" s="1"/>
  <c r="M35" i="19" a="1"/>
  <c r="M35" i="19"/>
  <c r="N35" i="19" a="1"/>
  <c r="N35" i="19" s="1"/>
  <c r="O35" i="19" a="1"/>
  <c r="O35" i="19" s="1"/>
  <c r="P35" i="19" a="1"/>
  <c r="P35" i="19" s="1"/>
  <c r="Q35" i="19" a="1"/>
  <c r="Q35" i="19"/>
  <c r="R35" i="19" a="1"/>
  <c r="R35" i="19" s="1"/>
  <c r="S35" i="19" a="1"/>
  <c r="S35" i="19" s="1"/>
  <c r="T35" i="19" a="1"/>
  <c r="T35" i="19" s="1"/>
  <c r="B36" i="19" a="1"/>
  <c r="B36" i="19" s="1"/>
  <c r="C36" i="19" a="1"/>
  <c r="C36" i="19" s="1"/>
  <c r="D36" i="19" a="1"/>
  <c r="D36" i="19"/>
  <c r="E36" i="19" a="1"/>
  <c r="E36" i="19" s="1"/>
  <c r="F36" i="19" a="1"/>
  <c r="F36" i="19" s="1"/>
  <c r="G36" i="19" a="1"/>
  <c r="G36" i="19" s="1"/>
  <c r="H36" i="19" a="1"/>
  <c r="H36" i="19" s="1"/>
  <c r="I36" i="19" a="1"/>
  <c r="I36" i="19" s="1"/>
  <c r="J36" i="19" a="1"/>
  <c r="J36" i="19"/>
  <c r="K36" i="19" a="1"/>
  <c r="K36" i="19" s="1"/>
  <c r="L36" i="19" a="1"/>
  <c r="L36" i="19"/>
  <c r="M36" i="19" a="1"/>
  <c r="M36" i="19" s="1"/>
  <c r="N36" i="19" a="1"/>
  <c r="N36" i="19" s="1"/>
  <c r="O36" i="19" a="1"/>
  <c r="O36" i="19" s="1"/>
  <c r="P36" i="19" a="1"/>
  <c r="P36" i="19"/>
  <c r="Q36" i="19" a="1"/>
  <c r="Q36" i="19" s="1"/>
  <c r="R36" i="19" a="1"/>
  <c r="R36" i="19" s="1"/>
  <c r="S36" i="19" a="1"/>
  <c r="S36" i="19" s="1"/>
  <c r="T36" i="19" a="1"/>
  <c r="T36" i="19" s="1"/>
  <c r="B37" i="19" a="1"/>
  <c r="B37" i="19" s="1"/>
  <c r="C37" i="19" a="1"/>
  <c r="C37" i="19" s="1"/>
  <c r="D37" i="19" a="1"/>
  <c r="D37" i="19" s="1"/>
  <c r="E37" i="19" a="1"/>
  <c r="E37" i="19" s="1"/>
  <c r="F37" i="19" a="1"/>
  <c r="F37" i="19" s="1"/>
  <c r="G37" i="19" a="1"/>
  <c r="G37" i="19" s="1"/>
  <c r="H37" i="19" a="1"/>
  <c r="H37" i="19" s="1"/>
  <c r="I37" i="19" a="1"/>
  <c r="I37" i="19"/>
  <c r="J37" i="19" a="1"/>
  <c r="J37" i="19" s="1"/>
  <c r="K37" i="19" a="1"/>
  <c r="K37" i="19"/>
  <c r="L37" i="19" a="1"/>
  <c r="L37" i="19" s="1"/>
  <c r="M37" i="19" a="1"/>
  <c r="M37" i="19" s="1"/>
  <c r="N37" i="19" a="1"/>
  <c r="N37" i="19" s="1"/>
  <c r="O37" i="19" a="1"/>
  <c r="O37" i="19"/>
  <c r="P37" i="19" a="1"/>
  <c r="P37" i="19" s="1"/>
  <c r="Q37" i="19" a="1"/>
  <c r="Q37" i="19" s="1"/>
  <c r="R37" i="19" a="1"/>
  <c r="R37" i="19" s="1"/>
  <c r="S37" i="19" a="1"/>
  <c r="S37" i="19" s="1"/>
  <c r="T37" i="19" a="1"/>
  <c r="T37" i="19" s="1"/>
  <c r="B38" i="19" a="1"/>
  <c r="B38" i="19" s="1"/>
  <c r="C38" i="19" a="1"/>
  <c r="C38" i="19" s="1"/>
  <c r="D38" i="19" a="1"/>
  <c r="D38" i="19" s="1"/>
  <c r="E38" i="19" a="1"/>
  <c r="E38" i="19" s="1"/>
  <c r="F38" i="19" a="1"/>
  <c r="F38" i="19" s="1"/>
  <c r="G38" i="19" a="1"/>
  <c r="G38" i="19" s="1"/>
  <c r="H38" i="19" a="1"/>
  <c r="H38" i="19"/>
  <c r="I38" i="19" a="1"/>
  <c r="I38" i="19" s="1"/>
  <c r="J38" i="19" a="1"/>
  <c r="J38" i="19"/>
  <c r="K38" i="19" a="1"/>
  <c r="K38" i="19" s="1"/>
  <c r="L38" i="19" a="1"/>
  <c r="L38" i="19" s="1"/>
  <c r="M38" i="19" a="1"/>
  <c r="M38" i="19" s="1"/>
  <c r="N38" i="19" a="1"/>
  <c r="N38" i="19"/>
  <c r="O38" i="19" a="1"/>
  <c r="O38" i="19" s="1"/>
  <c r="P38" i="19" a="1"/>
  <c r="P38" i="19" s="1"/>
  <c r="Q38" i="19" a="1"/>
  <c r="Q38" i="19" s="1"/>
  <c r="R38" i="19" a="1"/>
  <c r="R38" i="19" s="1"/>
  <c r="S38" i="19" a="1"/>
  <c r="S38" i="19" s="1"/>
  <c r="T38" i="19" a="1"/>
  <c r="T38" i="19" s="1"/>
  <c r="B39" i="19" a="1"/>
  <c r="B39" i="19" s="1"/>
  <c r="C39" i="19" a="1"/>
  <c r="C39" i="19" s="1"/>
  <c r="D39" i="19" a="1"/>
  <c r="D39" i="19" s="1"/>
  <c r="E39" i="19" a="1"/>
  <c r="E39" i="19" s="1"/>
  <c r="F39" i="19" a="1"/>
  <c r="F39" i="19" s="1"/>
  <c r="G39" i="19" a="1"/>
  <c r="G39" i="19"/>
  <c r="H39" i="19" a="1"/>
  <c r="H39" i="19" s="1"/>
  <c r="I39" i="19" a="1"/>
  <c r="I39" i="19"/>
  <c r="J39" i="19" a="1"/>
  <c r="J39" i="19" s="1"/>
  <c r="K39" i="19" a="1"/>
  <c r="K39" i="19" s="1"/>
  <c r="L39" i="19" a="1"/>
  <c r="L39" i="19" s="1"/>
  <c r="M39" i="19" a="1"/>
  <c r="M39" i="19"/>
  <c r="N39" i="19" a="1"/>
  <c r="N39" i="19" s="1"/>
  <c r="O39" i="19" a="1"/>
  <c r="O39" i="19" s="1"/>
  <c r="P39" i="19" a="1"/>
  <c r="P39" i="19" s="1"/>
  <c r="Q39" i="19" a="1"/>
  <c r="Q39" i="19" s="1"/>
  <c r="R39" i="19" a="1"/>
  <c r="R39" i="19" s="1"/>
  <c r="S39" i="19" a="1"/>
  <c r="S39" i="19" s="1"/>
  <c r="T39" i="19" a="1"/>
  <c r="T39" i="19" s="1"/>
  <c r="B40" i="19" a="1"/>
  <c r="B40" i="19" s="1"/>
  <c r="C40" i="19" a="1"/>
  <c r="C40" i="19" s="1"/>
  <c r="D40" i="19" a="1"/>
  <c r="D40" i="19" s="1"/>
  <c r="E40" i="19" a="1"/>
  <c r="E40" i="19" s="1"/>
  <c r="F40" i="19" a="1"/>
  <c r="F40" i="19"/>
  <c r="G40" i="19" a="1"/>
  <c r="G40" i="19" s="1"/>
  <c r="H40" i="19" a="1"/>
  <c r="H40" i="19"/>
  <c r="I40" i="19" a="1"/>
  <c r="I40" i="19" s="1"/>
  <c r="J40" i="19" a="1"/>
  <c r="J40" i="19" s="1"/>
  <c r="K40" i="19" a="1"/>
  <c r="K40" i="19" s="1"/>
  <c r="L40" i="19" a="1"/>
  <c r="L40" i="19"/>
  <c r="M40" i="19" a="1"/>
  <c r="M40" i="19" s="1"/>
  <c r="N40" i="19" a="1"/>
  <c r="N40" i="19" s="1"/>
  <c r="O40" i="19" a="1"/>
  <c r="O40" i="19" s="1"/>
  <c r="P40" i="19" a="1"/>
  <c r="P40" i="19" s="1"/>
  <c r="Q40" i="19" a="1"/>
  <c r="Q40" i="19" s="1"/>
  <c r="R40" i="19" a="1"/>
  <c r="R40" i="19"/>
  <c r="S40" i="19" a="1"/>
  <c r="S40" i="19" s="1"/>
  <c r="T40" i="19" a="1"/>
  <c r="T40" i="19" s="1"/>
  <c r="B41" i="19" a="1"/>
  <c r="B41" i="19" s="1"/>
  <c r="C41" i="19" a="1"/>
  <c r="C41" i="19" s="1"/>
  <c r="D41" i="19" a="1"/>
  <c r="D41" i="19" s="1"/>
  <c r="E41" i="19" a="1"/>
  <c r="E41" i="19"/>
  <c r="F41" i="19" a="1"/>
  <c r="F41" i="19" s="1"/>
  <c r="G41" i="19" a="1"/>
  <c r="G41" i="19"/>
  <c r="H41" i="19" a="1"/>
  <c r="H41" i="19" s="1"/>
  <c r="I41" i="19" a="1"/>
  <c r="I41" i="19" s="1"/>
  <c r="J41" i="19" a="1"/>
  <c r="J41" i="19" s="1"/>
  <c r="K41" i="19" a="1"/>
  <c r="K41" i="19"/>
  <c r="L41" i="19" a="1"/>
  <c r="L41" i="19" s="1"/>
  <c r="M41" i="19" a="1"/>
  <c r="M41" i="19" s="1"/>
  <c r="N41" i="19" a="1"/>
  <c r="N41" i="19" s="1"/>
  <c r="O41" i="19" a="1"/>
  <c r="O41" i="19" s="1"/>
  <c r="P41" i="19" a="1"/>
  <c r="P41" i="19"/>
  <c r="Q41" i="19" a="1"/>
  <c r="Q41" i="19" s="1"/>
  <c r="R41" i="19" a="1"/>
  <c r="R41" i="19" s="1"/>
  <c r="S41" i="19" a="1"/>
  <c r="S41" i="19"/>
  <c r="T41" i="19" a="1"/>
  <c r="T41" i="19" s="1"/>
  <c r="B42" i="19" a="1"/>
  <c r="B42" i="19"/>
  <c r="C42" i="19" a="1"/>
  <c r="C42" i="19" s="1"/>
  <c r="D42" i="19" a="1"/>
  <c r="D42" i="19" s="1"/>
  <c r="E42" i="19" a="1"/>
  <c r="E42" i="19" s="1"/>
  <c r="F42" i="19" a="1"/>
  <c r="F42" i="19" s="1"/>
  <c r="G42" i="19" a="1"/>
  <c r="G42" i="19" s="1"/>
  <c r="H42" i="19" a="1"/>
  <c r="H42" i="19" s="1"/>
  <c r="I42" i="19" a="1"/>
  <c r="I42" i="19"/>
  <c r="J42" i="19" a="1"/>
  <c r="J42" i="19" s="1"/>
  <c r="K42" i="19" a="1"/>
  <c r="K42" i="19" s="1"/>
  <c r="L42" i="19" a="1"/>
  <c r="L42" i="19" s="1"/>
  <c r="M42" i="19" a="1"/>
  <c r="M42" i="19" s="1"/>
  <c r="N42" i="19" a="1"/>
  <c r="N42" i="19"/>
  <c r="O42" i="19" a="1"/>
  <c r="O42" i="19" s="1"/>
  <c r="P42" i="19" a="1"/>
  <c r="P42" i="19"/>
  <c r="Q42" i="19" a="1"/>
  <c r="Q42" i="19" s="1"/>
  <c r="R42" i="19" a="1"/>
  <c r="R42" i="19"/>
  <c r="S42" i="19" a="1"/>
  <c r="S42" i="19" s="1"/>
  <c r="T42" i="19" a="1"/>
  <c r="T42" i="19" s="1"/>
  <c r="B43" i="19" a="1"/>
  <c r="B43" i="19"/>
  <c r="C43" i="19" a="1"/>
  <c r="C43" i="19" s="1"/>
  <c r="D43" i="19" a="1"/>
  <c r="D43" i="19" s="1"/>
  <c r="E43" i="19" a="1"/>
  <c r="E43" i="19"/>
  <c r="F43" i="19" a="1"/>
  <c r="F43" i="19" s="1"/>
  <c r="G43" i="19" a="1"/>
  <c r="G43" i="19"/>
  <c r="H43" i="19" a="1"/>
  <c r="H43" i="19" s="1"/>
  <c r="I43" i="19" a="1"/>
  <c r="I43" i="19"/>
  <c r="J43" i="19" a="1"/>
  <c r="J43" i="19" s="1"/>
  <c r="K43" i="19" a="1"/>
  <c r="K43" i="19" s="1"/>
  <c r="L43" i="19" a="1"/>
  <c r="L43" i="19" s="1"/>
  <c r="M43" i="19" a="1"/>
  <c r="M43" i="19" s="1"/>
  <c r="N43" i="19" a="1"/>
  <c r="N43" i="19"/>
  <c r="O43" i="19" a="1"/>
  <c r="O43" i="19" s="1"/>
  <c r="P43" i="19" a="1"/>
  <c r="P43" i="19" s="1"/>
  <c r="Q43" i="19" a="1"/>
  <c r="Q43" i="19"/>
  <c r="R43" i="19" a="1"/>
  <c r="R43" i="19" s="1"/>
  <c r="S43" i="19" a="1"/>
  <c r="S43" i="19"/>
  <c r="T43" i="19" a="1"/>
  <c r="T43" i="19" s="1"/>
  <c r="B44" i="19" a="1"/>
  <c r="B44" i="19" s="1"/>
  <c r="C44" i="19" a="1"/>
  <c r="C44" i="19" s="1"/>
  <c r="D44" i="19" a="1"/>
  <c r="D44" i="19" s="1"/>
  <c r="E44" i="19" a="1"/>
  <c r="E44" i="19" s="1"/>
  <c r="F44" i="19" a="1"/>
  <c r="F44" i="19" s="1"/>
  <c r="G44" i="19" a="1"/>
  <c r="G44" i="19" s="1"/>
  <c r="H44" i="19" a="1"/>
  <c r="H44" i="19" s="1"/>
  <c r="I44" i="19" a="1"/>
  <c r="I44" i="19" s="1"/>
  <c r="J44" i="19" a="1"/>
  <c r="J44" i="19" s="1"/>
  <c r="K44" i="19" a="1"/>
  <c r="K44" i="19" s="1"/>
  <c r="L44" i="19" a="1"/>
  <c r="L44" i="19"/>
  <c r="M44" i="19" a="1"/>
  <c r="M44" i="19" s="1"/>
  <c r="N44" i="19" a="1"/>
  <c r="N44" i="19" s="1"/>
  <c r="O44" i="19" a="1"/>
  <c r="O44" i="19" s="1"/>
  <c r="P44" i="19" a="1"/>
  <c r="P44" i="19"/>
  <c r="Q44" i="19" a="1"/>
  <c r="Q44" i="19" s="1"/>
  <c r="R44" i="19" a="1"/>
  <c r="R44" i="19" s="1"/>
  <c r="S44" i="19" a="1"/>
  <c r="S44" i="19"/>
  <c r="T44" i="19" a="1"/>
  <c r="T44" i="19" s="1"/>
  <c r="B45" i="19" a="1"/>
  <c r="B45" i="19" s="1"/>
  <c r="C45" i="19" a="1"/>
  <c r="C45" i="19"/>
  <c r="D45" i="19" a="1"/>
  <c r="D45" i="19" s="1"/>
  <c r="E45" i="19" a="1"/>
  <c r="E45" i="19" s="1"/>
  <c r="F45" i="19" a="1"/>
  <c r="F45" i="19" s="1"/>
  <c r="G45" i="19" a="1"/>
  <c r="G45" i="19"/>
  <c r="H45" i="19" a="1"/>
  <c r="H45" i="19" s="1"/>
  <c r="I45" i="19" a="1"/>
  <c r="I45" i="19" s="1"/>
  <c r="J45" i="19" a="1"/>
  <c r="J45" i="19" s="1"/>
  <c r="K45" i="19" a="1"/>
  <c r="K45" i="19" s="1"/>
  <c r="L45" i="19" a="1"/>
  <c r="L45" i="19" s="1"/>
  <c r="M45" i="19" a="1"/>
  <c r="M45" i="19" s="1"/>
  <c r="N45" i="19" a="1"/>
  <c r="N45" i="19" s="1"/>
  <c r="O45" i="19" a="1"/>
  <c r="O45" i="19"/>
  <c r="P45" i="19" a="1"/>
  <c r="P45" i="19" s="1"/>
  <c r="Q45" i="19" a="1"/>
  <c r="Q45" i="19" s="1"/>
  <c r="R45" i="19" a="1"/>
  <c r="R45" i="19" s="1"/>
  <c r="S45" i="19" a="1"/>
  <c r="S45" i="19" s="1"/>
  <c r="T45" i="19" a="1"/>
  <c r="T45" i="19" s="1"/>
  <c r="B46" i="19" a="1"/>
  <c r="B46" i="19" s="1"/>
  <c r="C46" i="19" a="1"/>
  <c r="C46" i="19" s="1"/>
  <c r="D46" i="19" a="1"/>
  <c r="D46" i="19" s="1"/>
  <c r="E46" i="19" a="1"/>
  <c r="E46" i="19" s="1"/>
  <c r="F46" i="19" a="1"/>
  <c r="F46" i="19" s="1"/>
  <c r="G46" i="19" a="1"/>
  <c r="G46" i="19" s="1"/>
  <c r="H46" i="19" a="1"/>
  <c r="H46" i="19" s="1"/>
  <c r="I46" i="19" a="1"/>
  <c r="I46" i="19" s="1"/>
  <c r="J46" i="19" a="1"/>
  <c r="J46" i="19"/>
  <c r="K46" i="19" a="1"/>
  <c r="K46" i="19" s="1"/>
  <c r="L46" i="19" a="1"/>
  <c r="L46" i="19" s="1"/>
  <c r="M46" i="19" a="1"/>
  <c r="M46" i="19" s="1"/>
  <c r="N46" i="19" a="1"/>
  <c r="N46" i="19"/>
  <c r="O46" i="19" a="1"/>
  <c r="O46" i="19" s="1"/>
  <c r="P46" i="19" a="1"/>
  <c r="P46" i="19" s="1"/>
  <c r="Q46" i="19" a="1"/>
  <c r="Q46" i="19"/>
  <c r="R46" i="19" a="1"/>
  <c r="R46" i="19" s="1"/>
  <c r="S46" i="19" a="1"/>
  <c r="S46" i="19" s="1"/>
  <c r="T46" i="19" a="1"/>
  <c r="T46" i="19"/>
  <c r="B47" i="19" a="1"/>
  <c r="B47" i="19" s="1"/>
  <c r="C47" i="19" a="1"/>
  <c r="C47" i="19" s="1"/>
  <c r="D47" i="19" a="1"/>
  <c r="D47" i="19" s="1"/>
  <c r="E47" i="19" a="1"/>
  <c r="E47" i="19"/>
  <c r="F47" i="19" a="1"/>
  <c r="F47" i="19" s="1"/>
  <c r="G47" i="19" a="1"/>
  <c r="G47" i="19" s="1"/>
  <c r="H47" i="19" a="1"/>
  <c r="H47" i="19" s="1"/>
  <c r="I47" i="19" a="1"/>
  <c r="I47" i="19" s="1"/>
  <c r="J47" i="19" a="1"/>
  <c r="J47" i="19" s="1"/>
  <c r="K47" i="19" a="1"/>
  <c r="K47" i="19" s="1"/>
  <c r="L47" i="19" a="1"/>
  <c r="L47" i="19" s="1"/>
  <c r="M47" i="19" a="1"/>
  <c r="M47" i="19"/>
  <c r="N47" i="19" a="1"/>
  <c r="N47" i="19" s="1"/>
  <c r="O47" i="19" a="1"/>
  <c r="O47" i="19" s="1"/>
  <c r="P47" i="19" a="1"/>
  <c r="P47" i="19" s="1"/>
  <c r="Q47" i="19" a="1"/>
  <c r="Q47" i="19"/>
  <c r="R47" i="19" a="1"/>
  <c r="R47" i="19" s="1"/>
  <c r="S47" i="19" a="1"/>
  <c r="S47" i="19" s="1"/>
  <c r="T47" i="19" a="1"/>
  <c r="T47" i="19" s="1"/>
  <c r="B48" i="19" a="1"/>
  <c r="B48" i="19" s="1"/>
  <c r="C48" i="19" a="1"/>
  <c r="C48" i="19" s="1"/>
  <c r="D48" i="19" a="1"/>
  <c r="D48" i="19" s="1"/>
  <c r="E48" i="19" a="1"/>
  <c r="E48" i="19" s="1"/>
  <c r="F48" i="19" a="1"/>
  <c r="F48" i="19" s="1"/>
  <c r="G48" i="19" a="1"/>
  <c r="G48" i="19" s="1"/>
  <c r="H48" i="19" a="1"/>
  <c r="H48" i="19"/>
  <c r="I48" i="19" a="1"/>
  <c r="I48" i="19" s="1"/>
  <c r="J48" i="19" a="1"/>
  <c r="J48" i="19" s="1"/>
  <c r="K48" i="19" a="1"/>
  <c r="K48" i="19" s="1"/>
  <c r="L48" i="19" a="1"/>
  <c r="L48" i="19"/>
  <c r="M48" i="19" a="1"/>
  <c r="M48" i="19" s="1"/>
  <c r="N48" i="19" a="1"/>
  <c r="N48" i="19" s="1"/>
  <c r="O48" i="19" a="1"/>
  <c r="O48" i="19"/>
  <c r="P48" i="19" a="1"/>
  <c r="P48" i="19" s="1"/>
  <c r="Q48" i="19" a="1"/>
  <c r="Q48" i="19" s="1"/>
  <c r="R48" i="19" a="1"/>
  <c r="R48" i="19"/>
  <c r="S48" i="19" a="1"/>
  <c r="S48" i="19" s="1"/>
  <c r="T48" i="19" a="1"/>
  <c r="T48" i="19"/>
  <c r="B49" i="19" a="1"/>
  <c r="B49" i="19" s="1"/>
  <c r="C49" i="19" a="1"/>
  <c r="C49" i="19"/>
  <c r="D49" i="19" a="1"/>
  <c r="D49" i="19" s="1"/>
  <c r="E49" i="19" a="1"/>
  <c r="E49" i="19" s="1"/>
  <c r="F49" i="19" a="1"/>
  <c r="F49" i="19" s="1"/>
  <c r="G49" i="19" a="1"/>
  <c r="G49" i="19" s="1"/>
  <c r="H49" i="19" a="1"/>
  <c r="H49" i="19" s="1"/>
  <c r="I49" i="19" a="1"/>
  <c r="I49" i="19" s="1"/>
  <c r="J49" i="19" a="1"/>
  <c r="J49" i="19" s="1"/>
  <c r="K49" i="19" a="1"/>
  <c r="K49" i="19"/>
  <c r="L49" i="19" a="1"/>
  <c r="L49" i="19" s="1"/>
  <c r="M49" i="19" a="1"/>
  <c r="M49" i="19" s="1"/>
  <c r="N49" i="19" a="1"/>
  <c r="N49" i="19" s="1"/>
  <c r="O49" i="19" a="1"/>
  <c r="O49" i="19"/>
  <c r="P49" i="19" a="1"/>
  <c r="P49" i="19" s="1"/>
  <c r="Q49" i="19" a="1"/>
  <c r="Q49" i="19" s="1"/>
  <c r="R49" i="19" a="1"/>
  <c r="R49" i="19" s="1"/>
  <c r="S49" i="19" a="1"/>
  <c r="S49" i="19" s="1"/>
  <c r="T49" i="19" a="1"/>
  <c r="T49" i="19" s="1"/>
  <c r="B50" i="19" a="1"/>
  <c r="B50" i="19" s="1"/>
  <c r="C50" i="19" a="1"/>
  <c r="C50" i="19" s="1"/>
  <c r="D50" i="19" a="1"/>
  <c r="D50" i="19" s="1"/>
  <c r="E50" i="19" a="1"/>
  <c r="E50" i="19" s="1"/>
  <c r="F50" i="19" a="1"/>
  <c r="F50" i="19"/>
  <c r="G50" i="19" a="1"/>
  <c r="G50" i="19" s="1"/>
  <c r="H50" i="19" a="1"/>
  <c r="H50" i="19" s="1"/>
  <c r="I50" i="19" a="1"/>
  <c r="I50" i="19" s="1"/>
  <c r="J50" i="19" a="1"/>
  <c r="J50" i="19" s="1"/>
  <c r="K50" i="19" a="1"/>
  <c r="K50" i="19" s="1"/>
  <c r="L50" i="19" a="1"/>
  <c r="L50" i="19"/>
  <c r="M50" i="19" a="1"/>
  <c r="M50" i="19" s="1"/>
  <c r="N50" i="19" a="1"/>
  <c r="N50" i="19" s="1"/>
  <c r="O50" i="19" a="1"/>
  <c r="O50" i="19" s="1"/>
  <c r="P50" i="19" a="1"/>
  <c r="P50" i="19"/>
  <c r="Q50" i="19" a="1"/>
  <c r="Q50" i="19" s="1"/>
  <c r="R50" i="19" a="1"/>
  <c r="R50" i="19"/>
  <c r="S50" i="19" a="1"/>
  <c r="S50" i="19" s="1"/>
  <c r="T50" i="19" a="1"/>
  <c r="T50" i="19" s="1"/>
  <c r="B51" i="19" a="1"/>
  <c r="B51" i="19" s="1"/>
  <c r="C51" i="19" a="1"/>
  <c r="C51" i="19" s="1"/>
  <c r="D51" i="19" a="1"/>
  <c r="D51" i="19" s="1"/>
  <c r="E51" i="19" a="1"/>
  <c r="E51" i="19"/>
  <c r="F51" i="19" a="1"/>
  <c r="F51" i="19" s="1"/>
  <c r="G51" i="19" a="1"/>
  <c r="G51" i="19" s="1"/>
  <c r="H51" i="19" a="1"/>
  <c r="H51" i="19" s="1"/>
  <c r="I51" i="19" a="1"/>
  <c r="I51" i="19" s="1"/>
  <c r="J51" i="19" a="1"/>
  <c r="J51" i="19" s="1"/>
  <c r="K51" i="19" a="1"/>
  <c r="K51" i="19" s="1"/>
  <c r="L51" i="19" a="1"/>
  <c r="L51" i="19" s="1"/>
  <c r="M51" i="19" a="1"/>
  <c r="M51" i="19" s="1"/>
  <c r="N51" i="19" a="1"/>
  <c r="N51" i="19" s="1"/>
  <c r="O51" i="19" a="1"/>
  <c r="O51" i="19"/>
  <c r="P51" i="19" a="1"/>
  <c r="P51" i="19" s="1"/>
  <c r="Q51" i="19" a="1"/>
  <c r="Q51" i="19" s="1"/>
  <c r="R51" i="19" a="1"/>
  <c r="R51" i="19" s="1"/>
  <c r="S51" i="19" a="1"/>
  <c r="S51" i="19" s="1"/>
  <c r="T51" i="19" a="1"/>
  <c r="T51" i="19" s="1"/>
  <c r="B52" i="19" a="1"/>
  <c r="B52" i="19"/>
  <c r="C52" i="19" a="1"/>
  <c r="C52" i="19" s="1"/>
  <c r="D52" i="19" a="1"/>
  <c r="D52" i="19" s="1"/>
  <c r="E52" i="19" a="1"/>
  <c r="E52" i="19" s="1"/>
  <c r="F52" i="19" a="1"/>
  <c r="F52" i="19" s="1"/>
  <c r="G52" i="19" a="1"/>
  <c r="G52" i="19" s="1"/>
  <c r="H52" i="19" a="1"/>
  <c r="H52" i="19" s="1"/>
  <c r="I52" i="19" a="1"/>
  <c r="I52" i="19" s="1"/>
  <c r="J52" i="19" a="1"/>
  <c r="J52" i="19" s="1"/>
  <c r="K52" i="19" a="1"/>
  <c r="K52" i="19" s="1"/>
  <c r="L52" i="19" a="1"/>
  <c r="L52" i="19" s="1"/>
  <c r="M52" i="19" a="1"/>
  <c r="M52" i="19" s="1"/>
  <c r="N52" i="19" a="1"/>
  <c r="N52" i="19" s="1"/>
  <c r="O52" i="19" a="1"/>
  <c r="O52" i="19" s="1"/>
  <c r="P52" i="19" a="1"/>
  <c r="P52" i="19" s="1"/>
  <c r="Q52" i="19" a="1"/>
  <c r="Q52" i="19" s="1"/>
  <c r="R52" i="19" a="1"/>
  <c r="R52" i="19" s="1"/>
  <c r="S52" i="19" a="1"/>
  <c r="S52" i="19" s="1"/>
  <c r="T52" i="19" a="1"/>
  <c r="T52" i="19" s="1"/>
  <c r="B53" i="19" a="1"/>
  <c r="B53" i="19" s="1"/>
  <c r="C53" i="19" a="1"/>
  <c r="C53" i="19" s="1"/>
  <c r="D53" i="19" a="1"/>
  <c r="D53" i="19" s="1"/>
  <c r="E53" i="19" a="1"/>
  <c r="E53" i="19" s="1"/>
  <c r="F53" i="19" a="1"/>
  <c r="F53" i="19" s="1"/>
  <c r="G53" i="19" a="1"/>
  <c r="G53" i="19" s="1"/>
  <c r="H53" i="19" a="1"/>
  <c r="H53" i="19" s="1"/>
  <c r="I53" i="19" a="1"/>
  <c r="I53" i="19" s="1"/>
  <c r="J53" i="19" a="1"/>
  <c r="J53" i="19" s="1"/>
  <c r="K53" i="19" a="1"/>
  <c r="K53" i="19" s="1"/>
  <c r="L53" i="19" a="1"/>
  <c r="L53" i="19" s="1"/>
  <c r="M53" i="19" a="1"/>
  <c r="M53" i="19"/>
  <c r="N53" i="19" a="1"/>
  <c r="N53" i="19" s="1"/>
  <c r="O53" i="19" a="1"/>
  <c r="O53" i="19" s="1"/>
  <c r="P53" i="19" a="1"/>
  <c r="P53" i="19" s="1"/>
  <c r="Q53" i="19" a="1"/>
  <c r="Q53" i="19" s="1"/>
  <c r="R53" i="19" a="1"/>
  <c r="R53" i="19" s="1"/>
  <c r="S53" i="19" a="1"/>
  <c r="S53" i="19"/>
  <c r="T53" i="19" a="1"/>
  <c r="T53" i="19" s="1"/>
  <c r="B54" i="19" a="1"/>
  <c r="B54" i="19" s="1"/>
  <c r="C54" i="19" a="1"/>
  <c r="C54" i="19" s="1"/>
  <c r="D54" i="19" a="1"/>
  <c r="D54" i="19" s="1"/>
  <c r="E54" i="19" a="1"/>
  <c r="E54" i="19" s="1"/>
  <c r="F54" i="19" a="1"/>
  <c r="F54" i="19" s="1"/>
  <c r="G54" i="19" a="1"/>
  <c r="G54" i="19" s="1"/>
  <c r="H54" i="19" a="1"/>
  <c r="H54" i="19" s="1"/>
  <c r="I54" i="19" a="1"/>
  <c r="I54" i="19" s="1"/>
  <c r="J54" i="19" a="1"/>
  <c r="J54" i="19" s="1"/>
  <c r="K54" i="19" a="1"/>
  <c r="K54" i="19" s="1"/>
  <c r="L54" i="19" a="1"/>
  <c r="L54" i="19" s="1"/>
  <c r="M54" i="19" a="1"/>
  <c r="M54" i="19" s="1"/>
  <c r="N54" i="19" a="1"/>
  <c r="N54" i="19" s="1"/>
  <c r="O54" i="19" a="1"/>
  <c r="O54" i="19" s="1"/>
  <c r="P54" i="19" a="1"/>
  <c r="P54" i="19" s="1"/>
  <c r="Q54" i="19" a="1"/>
  <c r="Q54" i="19" s="1"/>
  <c r="R54" i="19" a="1"/>
  <c r="R54" i="19"/>
  <c r="S54" i="19" a="1"/>
  <c r="S54" i="19" s="1"/>
  <c r="T54" i="19" a="1"/>
  <c r="T54" i="19" s="1"/>
  <c r="B55" i="19" a="1"/>
  <c r="B55" i="19" s="1"/>
  <c r="C55" i="19" a="1"/>
  <c r="C55" i="19" s="1"/>
  <c r="D55" i="19" a="1"/>
  <c r="D55" i="19" s="1"/>
  <c r="E55" i="19" a="1"/>
  <c r="E55" i="19" s="1"/>
  <c r="F55" i="19" a="1"/>
  <c r="F55" i="19" s="1"/>
  <c r="G55" i="19" a="1"/>
  <c r="G55" i="19" s="1"/>
  <c r="H55" i="19" a="1"/>
  <c r="H55" i="19" s="1"/>
  <c r="I55" i="19" a="1"/>
  <c r="I55" i="19" s="1"/>
  <c r="J55" i="19" a="1"/>
  <c r="J55" i="19" s="1"/>
  <c r="K55" i="19" a="1"/>
  <c r="K55" i="19"/>
  <c r="L55" i="19" a="1"/>
  <c r="L55" i="19" s="1"/>
  <c r="M55" i="19" a="1"/>
  <c r="M55" i="19" s="1"/>
  <c r="N55" i="19" a="1"/>
  <c r="N55" i="19" s="1"/>
  <c r="O55" i="19" a="1"/>
  <c r="O55" i="19" s="1"/>
  <c r="P55" i="19" a="1"/>
  <c r="P55" i="19" s="1"/>
  <c r="Q55" i="19" a="1"/>
  <c r="Q55" i="19"/>
  <c r="R55" i="19" a="1"/>
  <c r="R55" i="19" s="1"/>
  <c r="S55" i="19" a="1"/>
  <c r="S55" i="19" s="1"/>
  <c r="T55" i="19" a="1"/>
  <c r="T55" i="19" s="1"/>
  <c r="B56" i="19" a="1"/>
  <c r="B56" i="19" s="1"/>
  <c r="C56" i="19" a="1"/>
  <c r="C56" i="19" s="1"/>
  <c r="D56" i="19" a="1"/>
  <c r="D56" i="19" s="1"/>
  <c r="E56" i="19" a="1"/>
  <c r="E56" i="19" s="1"/>
  <c r="F56" i="19" a="1"/>
  <c r="F56" i="19" s="1"/>
  <c r="G56" i="19" a="1"/>
  <c r="G56" i="19" s="1"/>
  <c r="H56" i="19" a="1"/>
  <c r="H56" i="19" s="1"/>
  <c r="I56" i="19" a="1"/>
  <c r="I56" i="19" s="1"/>
  <c r="J56" i="19" a="1"/>
  <c r="J56" i="19" s="1"/>
  <c r="K56" i="19" a="1"/>
  <c r="K56" i="19" s="1"/>
  <c r="L56" i="19" a="1"/>
  <c r="L56" i="19" s="1"/>
  <c r="M56" i="19" a="1"/>
  <c r="M56" i="19" s="1"/>
  <c r="N56" i="19" a="1"/>
  <c r="N56" i="19" s="1"/>
  <c r="O56" i="19" a="1"/>
  <c r="O56" i="19" s="1"/>
  <c r="P56" i="19" a="1"/>
  <c r="P56" i="19"/>
  <c r="Q56" i="19" a="1"/>
  <c r="Q56" i="19" s="1"/>
  <c r="R56" i="19" a="1"/>
  <c r="R56" i="19" s="1"/>
  <c r="S56" i="19" a="1"/>
  <c r="S56" i="19" s="1"/>
  <c r="T56" i="19" a="1"/>
  <c r="T56" i="19" s="1"/>
  <c r="B57" i="19" a="1"/>
  <c r="B57" i="19" s="1"/>
  <c r="C57" i="19" a="1"/>
  <c r="C57" i="19" s="1"/>
  <c r="D57" i="19" a="1"/>
  <c r="D57" i="19" s="1"/>
  <c r="E57" i="19" a="1"/>
  <c r="E57" i="19" s="1"/>
  <c r="F57" i="19" a="1"/>
  <c r="F57" i="19" s="1"/>
  <c r="G57" i="19" a="1"/>
  <c r="G57" i="19" s="1"/>
  <c r="H57" i="19" a="1"/>
  <c r="H57" i="19" s="1"/>
  <c r="I57" i="19" a="1"/>
  <c r="I57" i="19"/>
  <c r="J57" i="19" a="1"/>
  <c r="J57" i="19" s="1"/>
  <c r="K57" i="19" a="1"/>
  <c r="K57" i="19" s="1"/>
  <c r="L57" i="19" a="1"/>
  <c r="L57" i="19" s="1"/>
  <c r="M57" i="19" a="1"/>
  <c r="M57" i="19" s="1"/>
  <c r="N57" i="19" a="1"/>
  <c r="N57" i="19" s="1"/>
  <c r="O57" i="19" a="1"/>
  <c r="O57" i="19"/>
  <c r="P57" i="19" a="1"/>
  <c r="P57" i="19" s="1"/>
  <c r="Q57" i="19" a="1"/>
  <c r="Q57" i="19" s="1"/>
  <c r="R57" i="19" a="1"/>
  <c r="R57" i="19" s="1"/>
  <c r="S57" i="19" a="1"/>
  <c r="S57" i="19" s="1"/>
  <c r="T57" i="19" a="1"/>
  <c r="T57" i="19" s="1"/>
  <c r="B58" i="19" a="1"/>
  <c r="B58" i="19" s="1"/>
  <c r="C58" i="19" a="1"/>
  <c r="C58" i="19" s="1"/>
  <c r="D58" i="19" a="1"/>
  <c r="D58" i="19" s="1"/>
  <c r="E58" i="19" a="1"/>
  <c r="E58" i="19" s="1"/>
  <c r="F58" i="19" a="1"/>
  <c r="F58" i="19" s="1"/>
  <c r="G58" i="19" a="1"/>
  <c r="G58" i="19" s="1"/>
  <c r="H58" i="19" a="1"/>
  <c r="H58" i="19" s="1"/>
  <c r="I58" i="19" a="1"/>
  <c r="I58" i="19" s="1"/>
  <c r="J58" i="19" a="1"/>
  <c r="J58" i="19" s="1"/>
  <c r="K58" i="19" a="1"/>
  <c r="K58" i="19" s="1"/>
  <c r="L58" i="19" a="1"/>
  <c r="L58" i="19" s="1"/>
  <c r="M58" i="19" a="1"/>
  <c r="M58" i="19" s="1"/>
  <c r="N58" i="19" a="1"/>
  <c r="N58" i="19"/>
  <c r="O58" i="19" a="1"/>
  <c r="O58" i="19" s="1"/>
  <c r="P58" i="19" a="1"/>
  <c r="P58" i="19" s="1"/>
  <c r="Q58" i="19" a="1"/>
  <c r="Q58" i="19" s="1"/>
  <c r="R58" i="19" a="1"/>
  <c r="R58" i="19" s="1"/>
  <c r="S58" i="19" a="1"/>
  <c r="S58" i="19" s="1"/>
  <c r="T58" i="19" a="1"/>
  <c r="T58" i="19" s="1"/>
  <c r="B59" i="19" a="1"/>
  <c r="B59" i="19" s="1"/>
  <c r="C59" i="19" a="1"/>
  <c r="C59" i="19" s="1"/>
  <c r="D59" i="19" a="1"/>
  <c r="D59" i="19" s="1"/>
  <c r="E59" i="19" a="1"/>
  <c r="E59" i="19" s="1"/>
  <c r="F59" i="19" a="1"/>
  <c r="F59" i="19" s="1"/>
  <c r="G59" i="19" a="1"/>
  <c r="G59" i="19"/>
  <c r="H59" i="19" a="1"/>
  <c r="H59" i="19" s="1"/>
  <c r="I59" i="19" a="1"/>
  <c r="I59" i="19" s="1"/>
  <c r="J59" i="19" a="1"/>
  <c r="J59" i="19" s="1"/>
  <c r="K59" i="19" a="1"/>
  <c r="K59" i="19" s="1"/>
  <c r="L59" i="19" a="1"/>
  <c r="L59" i="19" s="1"/>
  <c r="M59" i="19" a="1"/>
  <c r="M59" i="19"/>
  <c r="N59" i="19" a="1"/>
  <c r="N59" i="19" s="1"/>
  <c r="O59" i="19" a="1"/>
  <c r="O59" i="19" s="1"/>
  <c r="P59" i="19" a="1"/>
  <c r="P59" i="19" s="1"/>
  <c r="Q59" i="19" a="1"/>
  <c r="Q59" i="19" s="1"/>
  <c r="R59" i="19" a="1"/>
  <c r="R59" i="19" s="1"/>
  <c r="S59" i="19" a="1"/>
  <c r="S59" i="19" s="1"/>
  <c r="T59" i="19" a="1"/>
  <c r="T59" i="19" s="1"/>
  <c r="B60" i="19" a="1"/>
  <c r="B60" i="19" s="1"/>
  <c r="C60" i="19" a="1"/>
  <c r="C60" i="19" s="1"/>
  <c r="D60" i="19" a="1"/>
  <c r="D60" i="19" s="1"/>
  <c r="E60" i="19" a="1"/>
  <c r="E60" i="19" s="1"/>
  <c r="F60" i="19" a="1"/>
  <c r="F60" i="19" s="1"/>
  <c r="G60" i="19" a="1"/>
  <c r="G60" i="19" s="1"/>
  <c r="H60" i="19" a="1"/>
  <c r="H60" i="19" s="1"/>
  <c r="I60" i="19" a="1"/>
  <c r="I60" i="19" s="1"/>
  <c r="J60" i="19" a="1"/>
  <c r="J60" i="19" s="1"/>
  <c r="K60" i="19" a="1"/>
  <c r="K60" i="19" s="1"/>
  <c r="L60" i="19" a="1"/>
  <c r="L60" i="19"/>
  <c r="M60" i="19" a="1"/>
  <c r="M60" i="19" s="1"/>
  <c r="N60" i="19" a="1"/>
  <c r="N60" i="19" s="1"/>
  <c r="O60" i="19" a="1"/>
  <c r="O60" i="19" s="1"/>
  <c r="P60" i="19" a="1"/>
  <c r="P60" i="19" s="1"/>
  <c r="Q60" i="19" a="1"/>
  <c r="Q60" i="19" s="1"/>
  <c r="R60" i="19" a="1"/>
  <c r="R60" i="19" s="1"/>
  <c r="S60" i="19" a="1"/>
  <c r="S60" i="19" s="1"/>
  <c r="T60" i="19" a="1"/>
  <c r="T60" i="19" s="1"/>
  <c r="B61" i="19" a="1"/>
  <c r="B61" i="19" s="1"/>
  <c r="C61" i="19" a="1"/>
  <c r="C61" i="19" s="1"/>
  <c r="D61" i="19" a="1"/>
  <c r="D61" i="19" s="1"/>
  <c r="E61" i="19" a="1"/>
  <c r="E61" i="19"/>
  <c r="F61" i="19" a="1"/>
  <c r="F61" i="19" s="1"/>
  <c r="G61" i="19" a="1"/>
  <c r="G61" i="19" s="1"/>
  <c r="H61" i="19" a="1"/>
  <c r="H61" i="19" s="1"/>
  <c r="I61" i="19" a="1"/>
  <c r="I61" i="19" s="1"/>
  <c r="J61" i="19" a="1"/>
  <c r="J61" i="19" s="1"/>
  <c r="K61" i="19" a="1"/>
  <c r="K61" i="19"/>
  <c r="L61" i="19" a="1"/>
  <c r="L61" i="19" s="1"/>
  <c r="M61" i="19" a="1"/>
  <c r="M61" i="19" s="1"/>
  <c r="N61" i="19" a="1"/>
  <c r="N61" i="19" s="1"/>
  <c r="O61" i="19" a="1"/>
  <c r="O61" i="19" s="1"/>
  <c r="P61" i="19" a="1"/>
  <c r="P61" i="19" s="1"/>
  <c r="Q61" i="19" a="1"/>
  <c r="Q61" i="19" s="1"/>
  <c r="R61" i="19" a="1"/>
  <c r="R61" i="19" s="1"/>
  <c r="S61" i="19" a="1"/>
  <c r="S61" i="19" s="1"/>
  <c r="T61" i="19" a="1"/>
  <c r="T61" i="19" s="1"/>
  <c r="B62" i="19" a="1"/>
  <c r="B62" i="19" s="1"/>
  <c r="C62" i="19" a="1"/>
  <c r="C62" i="19" s="1"/>
  <c r="D62" i="19" a="1"/>
  <c r="D62" i="19" s="1"/>
  <c r="E62" i="19" a="1"/>
  <c r="E62" i="19" s="1"/>
  <c r="F62" i="19" a="1"/>
  <c r="F62" i="19" s="1"/>
  <c r="G62" i="19" a="1"/>
  <c r="G62" i="19" s="1"/>
  <c r="H62" i="19" a="1"/>
  <c r="H62" i="19" s="1"/>
  <c r="I62" i="19" a="1"/>
  <c r="I62" i="19" s="1"/>
  <c r="J62" i="19" a="1"/>
  <c r="J62" i="19"/>
  <c r="K62" i="19" a="1"/>
  <c r="K62" i="19" s="1"/>
  <c r="L62" i="19" a="1"/>
  <c r="L62" i="19" s="1"/>
  <c r="M62" i="19" a="1"/>
  <c r="M62" i="19" s="1"/>
  <c r="N62" i="19" a="1"/>
  <c r="N62" i="19" s="1"/>
  <c r="O62" i="19" a="1"/>
  <c r="O62" i="19" s="1"/>
  <c r="P62" i="19" a="1"/>
  <c r="P62" i="19" s="1"/>
  <c r="Q62" i="19" a="1"/>
  <c r="Q62" i="19" s="1"/>
  <c r="R62" i="19" a="1"/>
  <c r="R62" i="19" s="1"/>
  <c r="S62" i="19" a="1"/>
  <c r="S62" i="19" s="1"/>
  <c r="T62" i="19" a="1"/>
  <c r="T62" i="19" s="1"/>
  <c r="B63" i="19" a="1"/>
  <c r="B63" i="19" s="1"/>
  <c r="C63" i="19" a="1"/>
  <c r="C63" i="19"/>
  <c r="D63" i="19" a="1"/>
  <c r="D63" i="19" s="1"/>
  <c r="E63" i="19" a="1"/>
  <c r="E63" i="19" s="1"/>
  <c r="F63" i="19" a="1"/>
  <c r="F63" i="19" s="1"/>
  <c r="G63" i="19" a="1"/>
  <c r="G63" i="19" s="1"/>
  <c r="H63" i="19" a="1"/>
  <c r="H63" i="19" s="1"/>
  <c r="I63" i="19" a="1"/>
  <c r="I63" i="19"/>
  <c r="J63" i="19" a="1"/>
  <c r="J63" i="19" s="1"/>
  <c r="K63" i="19" a="1"/>
  <c r="K63" i="19" s="1"/>
  <c r="L63" i="19" a="1"/>
  <c r="L63" i="19" s="1"/>
  <c r="M63" i="19" a="1"/>
  <c r="M63" i="19" s="1"/>
  <c r="N63" i="19" a="1"/>
  <c r="N63" i="19" s="1"/>
  <c r="O63" i="19" a="1"/>
  <c r="O63" i="19"/>
  <c r="P63" i="19" a="1"/>
  <c r="P63" i="19" s="1"/>
  <c r="Q63" i="19" a="1"/>
  <c r="Q63" i="19" s="1"/>
  <c r="R63" i="19" a="1"/>
  <c r="R63" i="19" s="1"/>
  <c r="S63" i="19" a="1"/>
  <c r="S63" i="19" s="1"/>
  <c r="T63" i="19" a="1"/>
  <c r="T63" i="19" s="1"/>
  <c r="B64" i="19" a="1"/>
  <c r="B64" i="19"/>
  <c r="C64" i="19" a="1"/>
  <c r="C64" i="19" s="1"/>
  <c r="D64" i="19" a="1"/>
  <c r="D64" i="19" s="1"/>
  <c r="E64" i="19" a="1"/>
  <c r="E64" i="19" s="1"/>
  <c r="F64" i="19" a="1"/>
  <c r="F64" i="19" s="1"/>
  <c r="G64" i="19" a="1"/>
  <c r="G64" i="19" s="1"/>
  <c r="H64" i="19" a="1"/>
  <c r="H64" i="19"/>
  <c r="I64" i="19" a="1"/>
  <c r="I64" i="19" s="1"/>
  <c r="J64" i="19" a="1"/>
  <c r="J64" i="19" s="1"/>
  <c r="K64" i="19" a="1"/>
  <c r="K64" i="19" s="1"/>
  <c r="L64" i="19" a="1"/>
  <c r="L64" i="19" s="1"/>
  <c r="M64" i="19" a="1"/>
  <c r="M64" i="19" s="1"/>
  <c r="N64" i="19" a="1"/>
  <c r="N64" i="19" s="1"/>
  <c r="O64" i="19" a="1"/>
  <c r="O64" i="19" s="1"/>
  <c r="P64" i="19" a="1"/>
  <c r="P64" i="19" s="1"/>
  <c r="Q64" i="19" a="1"/>
  <c r="Q64" i="19" s="1"/>
  <c r="R64" i="19" a="1"/>
  <c r="R64" i="19" s="1"/>
  <c r="S64" i="19" a="1"/>
  <c r="S64" i="19" s="1"/>
  <c r="T64" i="19" a="1"/>
  <c r="T64" i="19"/>
  <c r="B65" i="19" a="1"/>
  <c r="B65" i="19" s="1"/>
  <c r="C65" i="19" a="1"/>
  <c r="C65" i="19" s="1"/>
  <c r="D65" i="19" a="1"/>
  <c r="D65" i="19" s="1"/>
  <c r="E65" i="19" a="1"/>
  <c r="E65" i="19" s="1"/>
  <c r="F65" i="19" a="1"/>
  <c r="F65" i="19" s="1"/>
  <c r="G65" i="19" a="1"/>
  <c r="G65" i="19"/>
  <c r="H65" i="19" a="1"/>
  <c r="H65" i="19" s="1"/>
  <c r="I65" i="19" a="1"/>
  <c r="I65" i="19" s="1"/>
  <c r="J65" i="19" a="1"/>
  <c r="J65" i="19" s="1"/>
  <c r="K65" i="19" a="1"/>
  <c r="K65" i="19" s="1"/>
  <c r="L65" i="19" a="1"/>
  <c r="L65" i="19" s="1"/>
  <c r="M65" i="19" a="1"/>
  <c r="M65" i="19" s="1"/>
  <c r="N65" i="19" a="1"/>
  <c r="N65" i="19" s="1"/>
  <c r="O65" i="19" a="1"/>
  <c r="O65" i="19" s="1"/>
  <c r="P65" i="19" a="1"/>
  <c r="P65" i="19" s="1"/>
  <c r="Q65" i="19" a="1"/>
  <c r="Q65" i="19" s="1"/>
  <c r="R65" i="19" a="1"/>
  <c r="R65" i="19" s="1"/>
  <c r="S65" i="19" a="1"/>
  <c r="S65" i="19" s="1"/>
  <c r="T65" i="19" a="1"/>
  <c r="T65" i="19" s="1"/>
  <c r="B66" i="19" a="1"/>
  <c r="B66" i="19" s="1"/>
  <c r="C66" i="19" a="1"/>
  <c r="C66" i="19" s="1"/>
  <c r="D66" i="19" a="1"/>
  <c r="D66" i="19" s="1"/>
  <c r="E66" i="19" a="1"/>
  <c r="E66" i="19" s="1"/>
  <c r="F66" i="19" a="1"/>
  <c r="F66" i="19"/>
  <c r="G66" i="19" a="1"/>
  <c r="G66" i="19" s="1"/>
  <c r="H66" i="19" a="1"/>
  <c r="H66" i="19" s="1"/>
  <c r="I66" i="19" a="1"/>
  <c r="I66" i="19" s="1"/>
  <c r="J66" i="19" a="1"/>
  <c r="J66" i="19" s="1"/>
  <c r="K66" i="19" a="1"/>
  <c r="K66" i="19" s="1"/>
  <c r="L66" i="19" a="1"/>
  <c r="L66" i="19" s="1"/>
  <c r="M66" i="19" a="1"/>
  <c r="M66" i="19" s="1"/>
  <c r="N66" i="19" a="1"/>
  <c r="N66" i="19" s="1"/>
  <c r="O66" i="19" a="1"/>
  <c r="O66" i="19" s="1"/>
  <c r="P66" i="19" a="1"/>
  <c r="P66" i="19" s="1"/>
  <c r="Q66" i="19" a="1"/>
  <c r="Q66" i="19" s="1"/>
  <c r="R66" i="19" a="1"/>
  <c r="R66" i="19"/>
  <c r="S66" i="19" a="1"/>
  <c r="S66" i="19" s="1"/>
  <c r="T66" i="19" a="1"/>
  <c r="T66" i="19" s="1"/>
  <c r="B67" i="19" a="1"/>
  <c r="B67" i="19" s="1"/>
  <c r="C67" i="19" a="1"/>
  <c r="C67" i="19" s="1"/>
  <c r="D67" i="19" a="1"/>
  <c r="D67" i="19" s="1"/>
  <c r="E67" i="19" a="1"/>
  <c r="E67" i="19"/>
  <c r="F67" i="19" a="1"/>
  <c r="F67" i="19" s="1"/>
  <c r="G67" i="19" a="1"/>
  <c r="G67" i="19" s="1"/>
  <c r="H67" i="19" a="1"/>
  <c r="H67" i="19" s="1"/>
  <c r="I67" i="19" a="1"/>
  <c r="I67" i="19" s="1"/>
  <c r="J67" i="19" a="1"/>
  <c r="J67" i="19" s="1"/>
  <c r="K67" i="19" a="1"/>
  <c r="K67" i="19"/>
  <c r="L67" i="19" a="1"/>
  <c r="L67" i="19" s="1"/>
  <c r="M67" i="19" a="1"/>
  <c r="M67" i="19" s="1"/>
  <c r="N67" i="19" a="1"/>
  <c r="N67" i="19" s="1"/>
  <c r="O67" i="19" a="1"/>
  <c r="O67" i="19" s="1"/>
  <c r="P67" i="19" a="1"/>
  <c r="P67" i="19" s="1"/>
  <c r="Q67" i="19" a="1"/>
  <c r="Q67" i="19"/>
  <c r="R67" i="19" a="1"/>
  <c r="R67" i="19" s="1"/>
  <c r="S67" i="19" a="1"/>
  <c r="S67" i="19" s="1"/>
  <c r="T67" i="19" a="1"/>
  <c r="T67" i="19" s="1"/>
  <c r="B68" i="19" a="1"/>
  <c r="B68" i="19" s="1"/>
  <c r="C68" i="19" a="1"/>
  <c r="C68" i="19" s="1"/>
  <c r="D68" i="19" a="1"/>
  <c r="D68" i="19"/>
  <c r="E68" i="19" a="1"/>
  <c r="E68" i="19" s="1"/>
  <c r="F68" i="19" a="1"/>
  <c r="F68" i="19" s="1"/>
  <c r="G68" i="19" a="1"/>
  <c r="G68" i="19" s="1"/>
  <c r="H68" i="19" a="1"/>
  <c r="H68" i="19" s="1"/>
  <c r="I68" i="19" a="1"/>
  <c r="I68" i="19" s="1"/>
  <c r="J68" i="19" a="1"/>
  <c r="J68" i="19" s="1"/>
  <c r="K68" i="19" a="1"/>
  <c r="K68" i="19" s="1"/>
  <c r="L68" i="19" a="1"/>
  <c r="L68" i="19" s="1"/>
  <c r="M68" i="19" a="1"/>
  <c r="M68" i="19" s="1"/>
  <c r="N68" i="19" a="1"/>
  <c r="N68" i="19" s="1"/>
  <c r="O68" i="19" a="1"/>
  <c r="O68" i="19" s="1"/>
  <c r="P68" i="19" a="1"/>
  <c r="P68" i="19"/>
  <c r="Q68" i="19" a="1"/>
  <c r="Q68" i="19" s="1"/>
  <c r="R68" i="19" a="1"/>
  <c r="R68" i="19" s="1"/>
  <c r="S68" i="19" a="1"/>
  <c r="S68" i="19" s="1"/>
  <c r="T68" i="19" a="1"/>
  <c r="T68" i="19" s="1"/>
  <c r="B69" i="19" a="1"/>
  <c r="B69" i="19" s="1"/>
  <c r="C69" i="19" a="1"/>
  <c r="C69" i="19"/>
  <c r="D69" i="19" a="1"/>
  <c r="D69" i="19" s="1"/>
  <c r="E69" i="19" a="1"/>
  <c r="E69" i="19" s="1"/>
  <c r="F69" i="19" a="1"/>
  <c r="F69" i="19" s="1"/>
  <c r="G69" i="19" a="1"/>
  <c r="G69" i="19" s="1"/>
  <c r="H69" i="19" a="1"/>
  <c r="H69" i="19" s="1"/>
  <c r="I69" i="19" a="1"/>
  <c r="I69" i="19" s="1"/>
  <c r="J69" i="19" a="1"/>
  <c r="J69" i="19" s="1"/>
  <c r="K69" i="19" a="1"/>
  <c r="K69" i="19" s="1"/>
  <c r="L69" i="19" a="1"/>
  <c r="L69" i="19" s="1"/>
  <c r="M69" i="19" a="1"/>
  <c r="M69" i="19" s="1"/>
  <c r="N69" i="19" a="1"/>
  <c r="N69" i="19" s="1"/>
  <c r="O69" i="19" a="1"/>
  <c r="O69" i="19" s="1"/>
  <c r="P69" i="19" a="1"/>
  <c r="P69" i="19" s="1"/>
  <c r="Q69" i="19" a="1"/>
  <c r="Q69" i="19" s="1"/>
  <c r="R69" i="19" a="1"/>
  <c r="R69" i="19" s="1"/>
  <c r="S69" i="19" a="1"/>
  <c r="S69" i="19" s="1"/>
  <c r="T69" i="19" a="1"/>
  <c r="T69" i="19" s="1"/>
  <c r="B70" i="19" a="1"/>
  <c r="B70" i="19"/>
  <c r="C70" i="19" a="1"/>
  <c r="C70" i="19" s="1"/>
  <c r="D70" i="19" a="1"/>
  <c r="D70" i="19" s="1"/>
  <c r="E70" i="19" a="1"/>
  <c r="E70" i="19" s="1"/>
  <c r="F70" i="19" a="1"/>
  <c r="F70" i="19" s="1"/>
  <c r="G70" i="19" a="1"/>
  <c r="G70" i="19" s="1"/>
  <c r="H70" i="19" a="1"/>
  <c r="H70" i="19" s="1"/>
  <c r="I70" i="19" a="1"/>
  <c r="I70" i="19" s="1"/>
  <c r="J70" i="19" a="1"/>
  <c r="J70" i="19" s="1"/>
  <c r="K70" i="19" a="1"/>
  <c r="K70" i="19" s="1"/>
  <c r="L70" i="19" a="1"/>
  <c r="L70" i="19" s="1"/>
  <c r="M70" i="19" a="1"/>
  <c r="M70" i="19" s="1"/>
  <c r="N70" i="19" a="1"/>
  <c r="N70" i="19"/>
  <c r="O70" i="19" a="1"/>
  <c r="O70" i="19" s="1"/>
  <c r="P70" i="19" a="1"/>
  <c r="P70" i="19" s="1"/>
  <c r="Q70" i="19" a="1"/>
  <c r="Q70" i="19" s="1"/>
  <c r="R70" i="19" a="1"/>
  <c r="R70" i="19" s="1"/>
  <c r="S70" i="19" a="1"/>
  <c r="S70" i="19"/>
  <c r="T70" i="19" a="1"/>
  <c r="T70" i="19"/>
  <c r="B71" i="19" a="1"/>
  <c r="B71" i="19" s="1"/>
  <c r="C71" i="19" a="1"/>
  <c r="C71" i="19" s="1"/>
  <c r="D71" i="19" a="1"/>
  <c r="D71" i="19" s="1"/>
  <c r="E71" i="19" a="1"/>
  <c r="E71" i="19" s="1"/>
  <c r="F71" i="19" a="1"/>
  <c r="F71" i="19" s="1"/>
  <c r="G71" i="19" a="1"/>
  <c r="G71" i="19" s="1"/>
  <c r="H71" i="19" a="1"/>
  <c r="H71" i="19" s="1"/>
  <c r="I71" i="19" a="1"/>
  <c r="I71" i="19" s="1"/>
  <c r="J71" i="19" a="1"/>
  <c r="J71" i="19" s="1"/>
  <c r="K71" i="19" a="1"/>
  <c r="K71" i="19" s="1"/>
  <c r="L71" i="19" a="1"/>
  <c r="L71" i="19"/>
  <c r="M71" i="19" a="1"/>
  <c r="M71" i="19"/>
  <c r="N71" i="19" a="1"/>
  <c r="N71" i="19" s="1"/>
  <c r="O71" i="19" a="1"/>
  <c r="O71" i="19" s="1"/>
  <c r="P71" i="19" a="1"/>
  <c r="P71" i="19" s="1"/>
  <c r="Q71" i="19" a="1"/>
  <c r="Q71" i="19" s="1"/>
  <c r="R71" i="19" a="1"/>
  <c r="R71" i="19"/>
  <c r="S71" i="19" a="1"/>
  <c r="S71" i="19" s="1"/>
  <c r="T71" i="19" a="1"/>
  <c r="T71" i="19" s="1"/>
  <c r="B72" i="19" a="1"/>
  <c r="B72" i="19" s="1"/>
  <c r="C72" i="19" a="1"/>
  <c r="C72" i="19" s="1"/>
  <c r="D72" i="19" a="1"/>
  <c r="D72" i="19" s="1"/>
  <c r="E72" i="19" a="1"/>
  <c r="E72" i="19"/>
  <c r="F72" i="19" a="1"/>
  <c r="F72" i="19" s="1"/>
  <c r="G72" i="19" a="1"/>
  <c r="G72" i="19" s="1"/>
  <c r="H72" i="19" a="1"/>
  <c r="H72" i="19" s="1"/>
  <c r="I72" i="19" a="1"/>
  <c r="I72" i="19" s="1"/>
  <c r="J72" i="19" a="1"/>
  <c r="J72" i="19" s="1"/>
  <c r="K72" i="19" a="1"/>
  <c r="K72" i="19" s="1"/>
  <c r="L72" i="19" a="1"/>
  <c r="L72" i="19" s="1"/>
  <c r="M72" i="19" a="1"/>
  <c r="M72" i="19" s="1"/>
  <c r="N72" i="19" a="1"/>
  <c r="N72" i="19" s="1"/>
  <c r="O72" i="19" a="1"/>
  <c r="O72" i="19"/>
  <c r="P72" i="19" a="1"/>
  <c r="P72" i="19" s="1"/>
  <c r="Q72" i="19" a="1"/>
  <c r="Q72" i="19"/>
  <c r="R72" i="19" a="1"/>
  <c r="R72" i="19" s="1"/>
  <c r="S72" i="19" a="1"/>
  <c r="S72" i="19" s="1"/>
  <c r="T72" i="19" a="1"/>
  <c r="T72" i="19"/>
  <c r="B73" i="19" a="1"/>
  <c r="B73" i="19" s="1"/>
  <c r="C73" i="19" a="1"/>
  <c r="C73" i="19" s="1"/>
  <c r="D73" i="19" a="1"/>
  <c r="D73" i="19" s="1"/>
  <c r="E73" i="19" a="1"/>
  <c r="E73" i="19" s="1"/>
  <c r="F73" i="19" a="1"/>
  <c r="F73" i="19" s="1"/>
  <c r="G73" i="19" a="1"/>
  <c r="G73" i="19"/>
  <c r="H73" i="19" a="1"/>
  <c r="H73" i="19"/>
  <c r="I73" i="19" a="1"/>
  <c r="I73" i="19" s="1"/>
  <c r="J73" i="19" a="1"/>
  <c r="J73" i="19"/>
  <c r="K73" i="19" a="1"/>
  <c r="K73" i="19" s="1"/>
  <c r="L73" i="19" a="1"/>
  <c r="L73" i="19" s="1"/>
  <c r="M73" i="19" a="1"/>
  <c r="M73" i="19" s="1"/>
  <c r="N73" i="19" a="1"/>
  <c r="N73" i="19"/>
  <c r="O73" i="19" a="1"/>
  <c r="O73" i="19" s="1"/>
  <c r="P73" i="19" a="1"/>
  <c r="P73" i="19"/>
  <c r="Q73" i="19" a="1"/>
  <c r="Q73" i="19"/>
  <c r="R73" i="19" a="1"/>
  <c r="R73" i="19" s="1"/>
  <c r="S73" i="19" a="1"/>
  <c r="S73" i="19"/>
  <c r="T73" i="19" a="1"/>
  <c r="T73" i="19" s="1"/>
  <c r="B74" i="19" a="1"/>
  <c r="B74" i="19"/>
  <c r="C74" i="19" a="1"/>
  <c r="C74" i="19"/>
  <c r="D74" i="19" a="1"/>
  <c r="D74" i="19" s="1"/>
  <c r="E74" i="19" a="1"/>
  <c r="E74" i="19"/>
  <c r="F74" i="19" a="1"/>
  <c r="F74" i="19"/>
  <c r="G74" i="19" a="1"/>
  <c r="G74" i="19" s="1"/>
  <c r="H74" i="19" a="1"/>
  <c r="H74" i="19"/>
  <c r="I74" i="19" a="1"/>
  <c r="I74" i="19"/>
  <c r="J74" i="19" a="1"/>
  <c r="J74" i="19" s="1"/>
  <c r="K74" i="19" a="1"/>
  <c r="K74" i="19"/>
  <c r="L74" i="19" a="1"/>
  <c r="L74" i="19"/>
  <c r="M74" i="19" a="1"/>
  <c r="M74" i="19"/>
  <c r="N74" i="19" a="1"/>
  <c r="N74" i="19"/>
  <c r="O74" i="19" a="1"/>
  <c r="O74" i="19"/>
  <c r="P74" i="19" a="1"/>
  <c r="P74" i="19" s="1"/>
  <c r="Q74" i="19" a="1"/>
  <c r="Q74" i="19"/>
  <c r="R74" i="19" a="1"/>
  <c r="R74" i="19"/>
  <c r="S74" i="19" a="1"/>
  <c r="S74" i="19" s="1"/>
  <c r="T74" i="19" a="1"/>
  <c r="T74" i="19"/>
  <c r="B75" i="19" a="1"/>
  <c r="B75" i="19"/>
  <c r="C75" i="19" a="1"/>
  <c r="C75" i="19" s="1"/>
  <c r="D75" i="19" a="1"/>
  <c r="D75" i="19"/>
  <c r="E75" i="19" a="1"/>
  <c r="E75" i="19"/>
  <c r="F75" i="19" a="1"/>
  <c r="F75" i="19"/>
  <c r="G75" i="19" a="1"/>
  <c r="G75" i="19"/>
  <c r="H75" i="19" a="1"/>
  <c r="H75" i="19"/>
  <c r="I75" i="19" a="1"/>
  <c r="I75" i="19" s="1"/>
  <c r="J75" i="19" a="1"/>
  <c r="J75" i="19"/>
  <c r="K75" i="19" a="1"/>
  <c r="K75" i="19"/>
  <c r="L75" i="19" a="1"/>
  <c r="L75" i="19"/>
  <c r="M75" i="19" a="1"/>
  <c r="M75" i="19"/>
  <c r="N75" i="19" a="1"/>
  <c r="N75" i="19"/>
  <c r="O75" i="19" a="1"/>
  <c r="O75" i="19" s="1"/>
  <c r="P75" i="19" a="1"/>
  <c r="P75" i="19"/>
  <c r="Q75" i="19" a="1"/>
  <c r="Q75" i="19"/>
  <c r="R75" i="19" a="1"/>
  <c r="R75" i="19"/>
  <c r="S75" i="19" a="1"/>
  <c r="S75" i="19"/>
  <c r="T75" i="19" a="1"/>
  <c r="T75" i="19"/>
  <c r="B76" i="19" a="1"/>
  <c r="B76" i="19" s="1"/>
  <c r="C76" i="19" a="1"/>
  <c r="C76" i="19"/>
  <c r="D76" i="19" a="1"/>
  <c r="D76" i="19" s="1"/>
  <c r="E76" i="19" a="1"/>
  <c r="E76" i="19"/>
  <c r="F76" i="19" a="1"/>
  <c r="F76" i="19"/>
  <c r="G76" i="19" a="1"/>
  <c r="G76" i="19"/>
  <c r="H76" i="19" a="1"/>
  <c r="H76" i="19" s="1"/>
  <c r="I76" i="19" a="1"/>
  <c r="I76" i="19"/>
  <c r="J76" i="19" a="1"/>
  <c r="J76" i="19"/>
  <c r="K76" i="19" a="1"/>
  <c r="K76" i="19" s="1"/>
  <c r="L76" i="19" a="1"/>
  <c r="L76" i="19"/>
  <c r="M76" i="19" a="1"/>
  <c r="M76" i="19"/>
  <c r="N76" i="19" a="1"/>
  <c r="N76" i="19" s="1"/>
  <c r="O76" i="19" a="1"/>
  <c r="O76" i="19" s="1"/>
  <c r="P76" i="19" a="1"/>
  <c r="P76" i="19" s="1"/>
  <c r="Q76" i="19" a="1"/>
  <c r="Q76" i="19" s="1"/>
  <c r="R76" i="19" a="1"/>
  <c r="R76" i="19" s="1"/>
  <c r="S76" i="19" a="1"/>
  <c r="S76" i="19"/>
  <c r="T76" i="19" a="1"/>
  <c r="T76" i="19" s="1"/>
  <c r="B77" i="19" a="1"/>
  <c r="B77" i="19" s="1"/>
  <c r="C77" i="19" a="1"/>
  <c r="C77" i="19" s="1"/>
  <c r="D77" i="19" a="1"/>
  <c r="D77" i="19" s="1"/>
  <c r="E77" i="19" a="1"/>
  <c r="E77" i="19" s="1"/>
  <c r="F77" i="19" a="1"/>
  <c r="F77" i="19" s="1"/>
  <c r="G77" i="19" a="1"/>
  <c r="G77" i="19" s="1"/>
  <c r="H77" i="19" a="1"/>
  <c r="H77" i="19"/>
  <c r="I77" i="19" a="1"/>
  <c r="I77" i="19" s="1"/>
  <c r="J77" i="19" a="1"/>
  <c r="J77" i="19"/>
  <c r="K77" i="19" a="1"/>
  <c r="K77" i="19" s="1"/>
  <c r="L77" i="19" a="1"/>
  <c r="L77" i="19"/>
  <c r="M77" i="19" a="1"/>
  <c r="M77" i="19" s="1"/>
  <c r="N77" i="19" a="1"/>
  <c r="N77" i="19"/>
  <c r="O77" i="19" a="1"/>
  <c r="O77" i="19"/>
  <c r="P77" i="19" a="1"/>
  <c r="P77" i="19" s="1"/>
  <c r="Q77" i="19" a="1"/>
  <c r="Q77" i="19" s="1"/>
  <c r="R77" i="19" a="1"/>
  <c r="R77" i="19" s="1"/>
  <c r="S77" i="19" a="1"/>
  <c r="S77" i="19" s="1"/>
  <c r="T77" i="19" a="1"/>
  <c r="T77" i="19" s="1"/>
  <c r="B78" i="19" a="1"/>
  <c r="B78" i="19"/>
  <c r="C78" i="19" a="1"/>
  <c r="C78" i="19" s="1"/>
  <c r="D78" i="19" a="1"/>
  <c r="D78" i="19" s="1"/>
  <c r="E78" i="19" a="1"/>
  <c r="E78" i="19"/>
  <c r="F78" i="19" a="1"/>
  <c r="F78" i="19" s="1"/>
  <c r="G78" i="19" a="1"/>
  <c r="G78" i="19" s="1"/>
  <c r="H78" i="19" a="1"/>
  <c r="H78" i="19" s="1"/>
  <c r="I78" i="19" a="1"/>
  <c r="I78" i="19" s="1"/>
  <c r="J78" i="19" a="1"/>
  <c r="J78" i="19" s="1"/>
  <c r="K78" i="19" a="1"/>
  <c r="K78" i="19"/>
  <c r="L78" i="19" a="1"/>
  <c r="L78" i="19" s="1"/>
  <c r="M78" i="19" a="1"/>
  <c r="M78" i="19" s="1"/>
  <c r="N78" i="19" a="1"/>
  <c r="N78" i="19" s="1"/>
  <c r="O78" i="19" a="1"/>
  <c r="O78" i="19" s="1"/>
  <c r="P78" i="19" a="1"/>
  <c r="P78" i="19" s="1"/>
  <c r="Q78" i="19" a="1"/>
  <c r="Q78" i="19"/>
  <c r="R78" i="19" a="1"/>
  <c r="R78" i="19" s="1"/>
  <c r="S78" i="19" a="1"/>
  <c r="S78" i="19" s="1"/>
  <c r="T78" i="19" a="1"/>
  <c r="T78" i="19"/>
  <c r="B79" i="19" a="1"/>
  <c r="B79" i="19" s="1"/>
  <c r="C79" i="19" a="1"/>
  <c r="C79" i="19" s="1"/>
  <c r="D79" i="19" a="1"/>
  <c r="D79" i="19"/>
  <c r="E79" i="19" a="1"/>
  <c r="E79" i="19" s="1"/>
  <c r="F79" i="19" a="1"/>
  <c r="F79" i="19"/>
  <c r="G79" i="19" a="1"/>
  <c r="G79" i="19" s="1"/>
  <c r="H79" i="19" a="1"/>
  <c r="H79" i="19"/>
  <c r="I79" i="19" a="1"/>
  <c r="I79" i="19" s="1"/>
  <c r="J79" i="19" a="1"/>
  <c r="J79" i="19"/>
  <c r="K79" i="19" a="1"/>
  <c r="K79" i="19" s="1"/>
  <c r="L79" i="19" a="1"/>
  <c r="L79" i="19" s="1"/>
  <c r="M79" i="19" a="1"/>
  <c r="M79" i="19" s="1"/>
  <c r="N79" i="19" a="1"/>
  <c r="N79" i="19" s="1"/>
  <c r="O79" i="19" a="1"/>
  <c r="O79" i="19" s="1"/>
  <c r="P79" i="19" a="1"/>
  <c r="P79" i="19" s="1"/>
  <c r="Q79" i="19" a="1"/>
  <c r="Q79" i="19" s="1"/>
  <c r="R79" i="19" a="1"/>
  <c r="R79" i="19" s="1"/>
  <c r="S79" i="19" a="1"/>
  <c r="S79" i="19" s="1"/>
  <c r="T79" i="19" a="1"/>
  <c r="T79" i="19" s="1"/>
  <c r="B80" i="19" a="1"/>
  <c r="B80" i="19" s="1"/>
  <c r="C80" i="19" a="1"/>
  <c r="C80" i="19"/>
  <c r="D80" i="19" a="1"/>
  <c r="D80" i="19" s="1"/>
  <c r="E80" i="19" a="1"/>
  <c r="E80" i="19" s="1"/>
  <c r="F80" i="19" a="1"/>
  <c r="F80" i="19" s="1"/>
  <c r="G80" i="19" a="1"/>
  <c r="G80" i="19" s="1"/>
  <c r="H80" i="19" a="1"/>
  <c r="H80" i="19" s="1"/>
  <c r="I80" i="19" a="1"/>
  <c r="I80" i="19"/>
  <c r="J80" i="19" a="1"/>
  <c r="J80" i="19" s="1"/>
  <c r="K80" i="19" a="1"/>
  <c r="K80" i="19"/>
  <c r="L80" i="19" a="1"/>
  <c r="L80" i="19" s="1"/>
  <c r="M80" i="19" a="1"/>
  <c r="M80" i="19" s="1"/>
  <c r="N80" i="19" a="1"/>
  <c r="N80" i="19" s="1"/>
  <c r="O80" i="19" a="1"/>
  <c r="O80" i="19"/>
  <c r="P80" i="19" a="1"/>
  <c r="P80" i="19" s="1"/>
  <c r="Q80" i="19" a="1"/>
  <c r="Q80" i="19" s="1"/>
  <c r="R80" i="19" a="1"/>
  <c r="R80" i="19" s="1"/>
  <c r="S80" i="19" a="1"/>
  <c r="S80" i="19" s="1"/>
  <c r="T80" i="19" a="1"/>
  <c r="T80" i="19" s="1"/>
  <c r="B81" i="19" a="1"/>
  <c r="B81" i="19"/>
  <c r="C81" i="19" a="1"/>
  <c r="C81" i="19" s="1"/>
  <c r="D81" i="19" a="1"/>
  <c r="D81" i="19" s="1"/>
  <c r="E81" i="19" a="1"/>
  <c r="E81" i="19" s="1"/>
  <c r="F81" i="19" a="1"/>
  <c r="F81" i="19"/>
  <c r="G81" i="19" a="1"/>
  <c r="G81" i="19" s="1"/>
  <c r="H81" i="19" a="1"/>
  <c r="H81" i="19"/>
  <c r="I81" i="19" a="1"/>
  <c r="I81" i="19" s="1"/>
  <c r="J81" i="19" a="1"/>
  <c r="J81" i="19" s="1"/>
  <c r="K81" i="19" a="1"/>
  <c r="K81" i="19" s="1"/>
  <c r="L81" i="19" a="1"/>
  <c r="L81" i="19" s="1"/>
  <c r="M81" i="19" a="1"/>
  <c r="M81" i="19" s="1"/>
  <c r="N81" i="19" a="1"/>
  <c r="N81" i="19" s="1"/>
  <c r="O81" i="19" a="1"/>
  <c r="O81" i="19" s="1"/>
  <c r="P81" i="19" a="1"/>
  <c r="P81" i="19" s="1"/>
  <c r="Q81" i="19" a="1"/>
  <c r="Q81" i="19" s="1"/>
  <c r="R81" i="19" a="1"/>
  <c r="R81" i="19" s="1"/>
  <c r="S81" i="19" a="1"/>
  <c r="S81" i="19" s="1"/>
  <c r="T81" i="19" a="1"/>
  <c r="T81" i="19"/>
  <c r="B82" i="19" a="1"/>
  <c r="B82" i="19" s="1"/>
  <c r="C82" i="19" a="1"/>
  <c r="C82" i="19" s="1"/>
  <c r="D82" i="19" a="1"/>
  <c r="D82" i="19" s="1"/>
  <c r="E82" i="19" a="1"/>
  <c r="E82" i="19" s="1"/>
  <c r="F82" i="19" a="1"/>
  <c r="F82" i="19" s="1"/>
  <c r="G82" i="19" a="1"/>
  <c r="G82" i="19"/>
  <c r="H82" i="19" a="1"/>
  <c r="H82" i="19" s="1"/>
  <c r="I82" i="19" a="1"/>
  <c r="I82" i="19"/>
  <c r="J82" i="19" a="1"/>
  <c r="J82" i="19" s="1"/>
  <c r="K82" i="19" a="1"/>
  <c r="K82" i="19" s="1"/>
  <c r="L82" i="19" a="1"/>
  <c r="L82" i="19" s="1"/>
  <c r="M82" i="19" a="1"/>
  <c r="M82" i="19"/>
  <c r="N82" i="19" a="1"/>
  <c r="N82" i="19" s="1"/>
  <c r="O82" i="19" a="1"/>
  <c r="O82" i="19" s="1"/>
  <c r="P82" i="19" a="1"/>
  <c r="P82" i="19"/>
  <c r="Q82" i="19" a="1"/>
  <c r="Q82" i="19" s="1"/>
  <c r="R82" i="19" a="1"/>
  <c r="R82" i="19" s="1"/>
  <c r="S82" i="19" a="1"/>
  <c r="S82" i="19"/>
  <c r="T82" i="19" a="1"/>
  <c r="T82" i="19" s="1"/>
  <c r="B83" i="19" a="1"/>
  <c r="B83" i="19" s="1"/>
  <c r="C83" i="19" a="1"/>
  <c r="C83" i="19" s="1"/>
  <c r="D83" i="19" a="1"/>
  <c r="D83" i="19" s="1"/>
  <c r="E83" i="19" a="1"/>
  <c r="E83" i="19" s="1"/>
  <c r="F83" i="19" a="1"/>
  <c r="F83" i="19"/>
  <c r="G83" i="19" a="1"/>
  <c r="G83" i="19" s="1"/>
  <c r="H83" i="19" a="1"/>
  <c r="H83" i="19" s="1"/>
  <c r="I83" i="19" a="1"/>
  <c r="I83" i="19" s="1"/>
  <c r="J83" i="19" a="1"/>
  <c r="J83" i="19" s="1"/>
  <c r="K83" i="19" a="1"/>
  <c r="K83" i="19" s="1"/>
  <c r="L83" i="19" a="1"/>
  <c r="L83" i="19" s="1"/>
  <c r="M83" i="19" a="1"/>
  <c r="M83" i="19" s="1"/>
  <c r="N83" i="19" a="1"/>
  <c r="N83" i="19" s="1"/>
  <c r="O83" i="19" a="1"/>
  <c r="O83" i="19" s="1"/>
  <c r="P83" i="19" a="1"/>
  <c r="P83" i="19" s="1"/>
  <c r="Q83" i="19" a="1"/>
  <c r="Q83" i="19" s="1"/>
  <c r="R83" i="19" a="1"/>
  <c r="R83" i="19"/>
  <c r="S83" i="19" a="1"/>
  <c r="S83" i="19" s="1"/>
  <c r="T83" i="19" a="1"/>
  <c r="T83" i="19" s="1"/>
  <c r="B84" i="19" a="1"/>
  <c r="B84" i="19" s="1"/>
  <c r="C84" i="19" a="1"/>
  <c r="C84" i="19" s="1"/>
  <c r="D84" i="19" a="1"/>
  <c r="D84" i="19" s="1"/>
  <c r="E84" i="19" a="1"/>
  <c r="E84" i="19"/>
  <c r="F84" i="19" a="1"/>
  <c r="F84" i="19" s="1"/>
  <c r="G84" i="19" a="1"/>
  <c r="G84" i="19" s="1"/>
  <c r="H84" i="19" a="1"/>
  <c r="H84" i="19" s="1"/>
  <c r="I84" i="19" a="1"/>
  <c r="I84" i="19" s="1"/>
  <c r="J84" i="19" a="1"/>
  <c r="J84" i="19" s="1"/>
  <c r="K84" i="19" a="1"/>
  <c r="K84" i="19"/>
  <c r="L84" i="19" a="1"/>
  <c r="L84" i="19" s="1"/>
  <c r="M84" i="19" a="1"/>
  <c r="M84" i="19" s="1"/>
  <c r="N84" i="19" a="1"/>
  <c r="N84" i="19"/>
  <c r="O84" i="19" a="1"/>
  <c r="O84" i="19" s="1"/>
  <c r="P84" i="19" a="1"/>
  <c r="P84" i="19" s="1"/>
  <c r="Q84" i="19" a="1"/>
  <c r="Q84" i="19"/>
  <c r="R84" i="19" a="1"/>
  <c r="R84" i="19" s="1"/>
  <c r="S84" i="19" a="1"/>
  <c r="S84" i="19" s="1"/>
  <c r="T84" i="19" a="1"/>
  <c r="T84" i="19" s="1"/>
  <c r="B85" i="19" a="1"/>
  <c r="B85" i="19"/>
  <c r="C85" i="19" a="1"/>
  <c r="C85" i="19" s="1"/>
  <c r="D85" i="19" a="1"/>
  <c r="D85" i="19"/>
  <c r="E85" i="19" a="1"/>
  <c r="E85" i="19" s="1"/>
  <c r="F85" i="19" a="1"/>
  <c r="F85" i="19" s="1"/>
  <c r="G85" i="19" a="1"/>
  <c r="G85" i="19" s="1"/>
  <c r="H85" i="19" a="1"/>
  <c r="H85" i="19" s="1"/>
  <c r="I85" i="19" a="1"/>
  <c r="I85" i="19" s="1"/>
  <c r="J85" i="19" a="1"/>
  <c r="J85" i="19" s="1"/>
  <c r="K85" i="19" a="1"/>
  <c r="K85" i="19" s="1"/>
  <c r="L85" i="19" a="1"/>
  <c r="L85" i="19" s="1"/>
  <c r="M85" i="19" a="1"/>
  <c r="M85" i="19" s="1"/>
  <c r="N85" i="19" a="1"/>
  <c r="N85" i="19" s="1"/>
  <c r="O85" i="19" a="1"/>
  <c r="O85" i="19" s="1"/>
  <c r="P85" i="19" a="1"/>
  <c r="P85" i="19"/>
  <c r="Q85" i="19" a="1"/>
  <c r="Q85" i="19" s="1"/>
  <c r="R85" i="19" a="1"/>
  <c r="R85" i="19" s="1"/>
  <c r="S85" i="19" a="1"/>
  <c r="S85" i="19" s="1"/>
  <c r="T85" i="19" a="1"/>
  <c r="T85" i="19" s="1"/>
  <c r="B86" i="19" a="1"/>
  <c r="B86" i="19" s="1"/>
  <c r="C86" i="19" a="1"/>
  <c r="C86" i="19"/>
  <c r="D86" i="19" a="1"/>
  <c r="D86" i="19" s="1"/>
  <c r="E86" i="19" a="1"/>
  <c r="E86" i="19"/>
  <c r="F86" i="19" a="1"/>
  <c r="F86" i="19" s="1"/>
  <c r="G86" i="19" a="1"/>
  <c r="G86" i="19" s="1"/>
  <c r="H86" i="19" a="1"/>
  <c r="H86" i="19" s="1"/>
  <c r="I86" i="19" a="1"/>
  <c r="I86" i="19"/>
  <c r="J86" i="19" a="1"/>
  <c r="J86" i="19" s="1"/>
  <c r="K86" i="19" a="1"/>
  <c r="K86" i="19" s="1"/>
  <c r="L86" i="19" a="1"/>
  <c r="L86" i="19" s="1"/>
  <c r="M86" i="19" a="1"/>
  <c r="M86" i="19" s="1"/>
  <c r="N86" i="19" a="1"/>
  <c r="N86" i="19" s="1"/>
  <c r="O86" i="19" a="1"/>
  <c r="O86" i="19"/>
  <c r="P86" i="19" a="1"/>
  <c r="P86" i="19" s="1"/>
  <c r="Q86" i="19" a="1"/>
  <c r="Q86" i="19" s="1"/>
  <c r="R86" i="19" a="1"/>
  <c r="R86" i="19" s="1"/>
  <c r="S86" i="19" a="1"/>
  <c r="S86" i="19"/>
  <c r="T86" i="19" a="1"/>
  <c r="T86" i="19" s="1"/>
  <c r="B87" i="19" a="1"/>
  <c r="B87" i="19"/>
  <c r="C87" i="19" a="1"/>
  <c r="C87" i="19" s="1"/>
  <c r="D87" i="19" a="1"/>
  <c r="D87" i="19" s="1"/>
  <c r="E87" i="19" a="1"/>
  <c r="E87" i="19" s="1"/>
  <c r="F87" i="19" a="1"/>
  <c r="F87" i="19" s="1"/>
  <c r="G87" i="19" a="1"/>
  <c r="G87" i="19" s="1"/>
  <c r="H87" i="19" a="1"/>
  <c r="H87" i="19" s="1"/>
  <c r="I87" i="19" a="1"/>
  <c r="I87" i="19" s="1"/>
  <c r="J87" i="19" a="1"/>
  <c r="J87" i="19" s="1"/>
  <c r="K87" i="19" a="1"/>
  <c r="K87" i="19" s="1"/>
  <c r="L87" i="19" a="1"/>
  <c r="L87" i="19" s="1"/>
  <c r="M87" i="19" a="1"/>
  <c r="M87" i="19" s="1"/>
  <c r="N87" i="19" a="1"/>
  <c r="N87" i="19"/>
  <c r="O87" i="19" a="1"/>
  <c r="O87" i="19" s="1"/>
  <c r="P87" i="19" a="1"/>
  <c r="P87" i="19" s="1"/>
  <c r="Q87" i="19" a="1"/>
  <c r="Q87" i="19" s="1"/>
  <c r="R87" i="19" a="1"/>
  <c r="R87" i="19" s="1"/>
  <c r="S87" i="19" a="1"/>
  <c r="S87" i="19" s="1"/>
  <c r="T87" i="19" a="1"/>
  <c r="T87" i="19"/>
  <c r="B88" i="19" a="1"/>
  <c r="B88" i="19" s="1"/>
  <c r="C88" i="19" a="1"/>
  <c r="C88" i="19"/>
  <c r="D88" i="19" a="1"/>
  <c r="D88" i="19" s="1"/>
  <c r="E88" i="19" a="1"/>
  <c r="E88" i="19" s="1"/>
  <c r="F88" i="19" a="1"/>
  <c r="F88" i="19" s="1"/>
  <c r="G88" i="19" a="1"/>
  <c r="G88" i="19"/>
  <c r="H88" i="19" a="1"/>
  <c r="H88" i="19" s="1"/>
  <c r="I88" i="19" a="1"/>
  <c r="I88" i="19" s="1"/>
  <c r="J88" i="19" a="1"/>
  <c r="J88" i="19"/>
  <c r="K88" i="19" a="1"/>
  <c r="K88" i="19" s="1"/>
  <c r="L88" i="19" a="1"/>
  <c r="L88" i="19" s="1"/>
  <c r="M88" i="19" a="1"/>
  <c r="M88" i="19"/>
  <c r="N88" i="19" a="1"/>
  <c r="N88" i="19" s="1"/>
  <c r="O88" i="19" a="1"/>
  <c r="O88" i="19" s="1"/>
  <c r="P88" i="19" a="1"/>
  <c r="P88" i="19" s="1"/>
  <c r="Q88" i="19" a="1"/>
  <c r="Q88" i="19"/>
  <c r="R88" i="19" a="1"/>
  <c r="R88" i="19" s="1"/>
  <c r="S88" i="19" a="1"/>
  <c r="S88" i="19"/>
  <c r="T88" i="19" a="1"/>
  <c r="T88" i="19" s="1"/>
  <c r="B89" i="19" a="1"/>
  <c r="B89" i="19" s="1"/>
  <c r="C89" i="19" a="1"/>
  <c r="C89" i="19" s="1"/>
  <c r="D89" i="19" a="1"/>
  <c r="D89" i="19" s="1"/>
  <c r="E89" i="19" a="1"/>
  <c r="E89" i="19" s="1"/>
  <c r="F89" i="19" a="1"/>
  <c r="F89" i="19" s="1"/>
  <c r="G89" i="19" a="1"/>
  <c r="G89" i="19" s="1"/>
  <c r="H89" i="19" a="1"/>
  <c r="H89" i="19" s="1"/>
  <c r="I89" i="19" a="1"/>
  <c r="I89" i="19" s="1"/>
  <c r="J89" i="19" a="1"/>
  <c r="J89" i="19" s="1"/>
  <c r="K89" i="19" a="1"/>
  <c r="K89" i="19" s="1"/>
  <c r="L89" i="19" a="1"/>
  <c r="L89" i="19"/>
  <c r="M89" i="19" a="1"/>
  <c r="M89" i="19" s="1"/>
  <c r="N89" i="19" a="1"/>
  <c r="N89" i="19" s="1"/>
  <c r="O89" i="19" a="1"/>
  <c r="O89" i="19" s="1"/>
  <c r="P89" i="19" a="1"/>
  <c r="P89" i="19" s="1"/>
  <c r="Q89" i="19" a="1"/>
  <c r="Q89" i="19" s="1"/>
  <c r="R89" i="19" a="1"/>
  <c r="R89" i="19"/>
  <c r="S89" i="19" a="1"/>
  <c r="S89" i="19" s="1"/>
  <c r="T89" i="19" a="1"/>
  <c r="T89" i="19" s="1"/>
  <c r="B90" i="19" a="1"/>
  <c r="B90" i="19" s="1"/>
  <c r="C90" i="19" a="1"/>
  <c r="C90" i="19" s="1"/>
  <c r="D90" i="19" a="1"/>
  <c r="D90" i="19" s="1"/>
  <c r="E90" i="19" a="1"/>
  <c r="E90" i="19"/>
  <c r="F90" i="19" a="1"/>
  <c r="F90" i="19" s="1"/>
  <c r="G90" i="19" a="1"/>
  <c r="G90" i="19" s="1"/>
  <c r="H90" i="19" a="1"/>
  <c r="H90" i="19" s="1"/>
  <c r="I90" i="19" a="1"/>
  <c r="I90" i="19" s="1"/>
  <c r="J90" i="19" a="1"/>
  <c r="J90" i="19" s="1"/>
  <c r="K90" i="19" a="1"/>
  <c r="K90" i="19"/>
  <c r="L90" i="19" a="1"/>
  <c r="L90" i="19" s="1"/>
  <c r="M90" i="19" a="1"/>
  <c r="M90" i="19" s="1"/>
  <c r="N90" i="19" a="1"/>
  <c r="N90" i="19" s="1"/>
  <c r="O90" i="19" a="1"/>
  <c r="O90" i="19"/>
  <c r="P90" i="19" a="1"/>
  <c r="P90" i="19" s="1"/>
  <c r="Q90" i="19" a="1"/>
  <c r="Q90" i="19"/>
  <c r="R90" i="19" a="1"/>
  <c r="R90" i="19" s="1"/>
  <c r="S90" i="19" a="1"/>
  <c r="S90" i="19" s="1"/>
  <c r="T90" i="19" a="1"/>
  <c r="T90" i="19" s="1"/>
  <c r="B91" i="19" a="1"/>
  <c r="B91" i="19" s="1"/>
  <c r="C91" i="19" a="1"/>
  <c r="C91" i="19" s="1"/>
  <c r="D91" i="19" a="1"/>
  <c r="D91" i="19" s="1"/>
  <c r="E91" i="19" a="1"/>
  <c r="E91" i="19" s="1"/>
  <c r="F91" i="19" a="1"/>
  <c r="F91" i="19" s="1"/>
  <c r="G91" i="19" a="1"/>
  <c r="G91" i="19" s="1"/>
  <c r="H91" i="19" a="1"/>
  <c r="H91" i="19" s="1"/>
  <c r="I91" i="19" a="1"/>
  <c r="I91" i="19" s="1"/>
  <c r="J91" i="19" a="1"/>
  <c r="J91" i="19"/>
  <c r="K91" i="19" a="1"/>
  <c r="K91" i="19" s="1"/>
  <c r="L91" i="19" a="1"/>
  <c r="L91" i="19" s="1"/>
  <c r="M91" i="19" a="1"/>
  <c r="M91" i="19" s="1"/>
  <c r="N91" i="19" a="1"/>
  <c r="N91" i="19" s="1"/>
  <c r="O91" i="19" a="1"/>
  <c r="O91" i="19" s="1"/>
  <c r="P91" i="19" a="1"/>
  <c r="P91" i="19"/>
  <c r="Q91" i="19" a="1"/>
  <c r="Q91" i="19" s="1"/>
  <c r="R91" i="19" a="1"/>
  <c r="R91" i="19"/>
  <c r="S91" i="19" a="1"/>
  <c r="S91" i="19" s="1"/>
  <c r="T91" i="19" a="1"/>
  <c r="T91" i="19" s="1"/>
  <c r="B92" i="19" a="1"/>
  <c r="B92" i="19" s="1"/>
  <c r="C92" i="19" a="1"/>
  <c r="C92" i="19"/>
  <c r="D92" i="19" a="1"/>
  <c r="D92" i="19" s="1"/>
  <c r="E92" i="19" a="1"/>
  <c r="E92" i="19" s="1"/>
  <c r="F92" i="19" a="1"/>
  <c r="F92" i="19" s="1"/>
  <c r="G92" i="19" a="1"/>
  <c r="G92" i="19" s="1"/>
  <c r="H92" i="19" a="1"/>
  <c r="H92" i="19" s="1"/>
  <c r="I92" i="19" a="1"/>
  <c r="I92" i="19"/>
  <c r="J92" i="19" a="1"/>
  <c r="J92" i="19" s="1"/>
  <c r="K92" i="19" a="1"/>
  <c r="K92" i="19" s="1"/>
  <c r="L92" i="19" a="1"/>
  <c r="L92" i="19" s="1"/>
  <c r="M92" i="19" a="1"/>
  <c r="M92" i="19"/>
  <c r="N92" i="19" a="1"/>
  <c r="N92" i="19" s="1"/>
  <c r="O92" i="19" a="1"/>
  <c r="O92" i="19"/>
  <c r="P92" i="19" a="1"/>
  <c r="P92" i="19" s="1"/>
  <c r="Q92" i="19" a="1"/>
  <c r="Q92" i="19" s="1"/>
  <c r="R92" i="19" a="1"/>
  <c r="R92" i="19" s="1"/>
  <c r="S92" i="19" a="1"/>
  <c r="S92" i="19" s="1"/>
  <c r="T92" i="19" a="1"/>
  <c r="T92" i="19" s="1"/>
  <c r="B93" i="19" a="1"/>
  <c r="B93" i="19" s="1"/>
  <c r="C93" i="19" a="1"/>
  <c r="C93" i="19" s="1"/>
  <c r="D93" i="19" a="1"/>
  <c r="D93" i="19" s="1"/>
  <c r="E93" i="19" a="1"/>
  <c r="E93" i="19" s="1"/>
  <c r="F93" i="19" a="1"/>
  <c r="F93" i="19" s="1"/>
  <c r="G93" i="19" a="1"/>
  <c r="G93" i="19" s="1"/>
  <c r="H93" i="19" a="1"/>
  <c r="H93" i="19"/>
  <c r="I93" i="19" a="1"/>
  <c r="I93" i="19" s="1"/>
  <c r="J93" i="19" a="1"/>
  <c r="J93" i="19" s="1"/>
  <c r="K93" i="19" a="1"/>
  <c r="K93" i="19" s="1"/>
  <c r="L93" i="19" a="1"/>
  <c r="L93" i="19" s="1"/>
  <c r="M93" i="19" a="1"/>
  <c r="M93" i="19" s="1"/>
  <c r="N93" i="19" a="1"/>
  <c r="N93" i="19"/>
  <c r="O93" i="19" a="1"/>
  <c r="O93" i="19" s="1"/>
  <c r="P93" i="19" a="1"/>
  <c r="P93" i="19" s="1"/>
  <c r="Q93" i="19" a="1"/>
  <c r="Q93" i="19" s="1"/>
  <c r="R93" i="19" a="1"/>
  <c r="R93" i="19" s="1"/>
  <c r="S93" i="19" a="1"/>
  <c r="S93" i="19" s="1"/>
  <c r="T93" i="19" a="1"/>
  <c r="T93" i="19"/>
  <c r="B94" i="19" a="1"/>
  <c r="B94" i="19" s="1"/>
  <c r="C94" i="19" a="1"/>
  <c r="C94" i="19" s="1"/>
  <c r="D94" i="19" a="1"/>
  <c r="D94" i="19"/>
  <c r="E94" i="19" a="1"/>
  <c r="E94" i="19" s="1"/>
  <c r="F94" i="19" a="1"/>
  <c r="F94" i="19" s="1"/>
  <c r="G94" i="19" a="1"/>
  <c r="G94" i="19"/>
  <c r="H94" i="19" a="1"/>
  <c r="H94" i="19" s="1"/>
  <c r="I94" i="19" a="1"/>
  <c r="I94" i="19" s="1"/>
  <c r="J94" i="19" a="1"/>
  <c r="J94" i="19" s="1"/>
  <c r="K94" i="19" a="1"/>
  <c r="K94" i="19"/>
  <c r="L94" i="19" a="1"/>
  <c r="L94" i="19" s="1"/>
  <c r="M94" i="19" a="1"/>
  <c r="M94" i="19"/>
  <c r="N94" i="19" a="1"/>
  <c r="N94" i="19" s="1"/>
  <c r="O94" i="19" a="1"/>
  <c r="O94" i="19" s="1"/>
  <c r="P94" i="19" a="1"/>
  <c r="P94" i="19" s="1"/>
  <c r="Q94" i="19" a="1"/>
  <c r="Q94" i="19" s="1"/>
  <c r="R94" i="19" a="1"/>
  <c r="R94" i="19" s="1"/>
  <c r="S94" i="19" a="1"/>
  <c r="S94" i="19" s="1"/>
  <c r="T94" i="19" a="1"/>
  <c r="T94" i="19" s="1"/>
  <c r="B95" i="19" a="1"/>
  <c r="B95" i="19" s="1"/>
  <c r="C95" i="19" a="1"/>
  <c r="C95" i="19" s="1"/>
  <c r="D95" i="19" a="1"/>
  <c r="D95" i="19" s="1"/>
  <c r="E95" i="19" a="1"/>
  <c r="E95" i="19" s="1"/>
  <c r="F95" i="19" a="1"/>
  <c r="F95" i="19"/>
  <c r="G95" i="19" a="1"/>
  <c r="G95" i="19" s="1"/>
  <c r="H95" i="19" a="1"/>
  <c r="H95" i="19" s="1"/>
  <c r="I95" i="19" a="1"/>
  <c r="I95" i="19" s="1"/>
  <c r="J95" i="19" a="1"/>
  <c r="J95" i="19" s="1"/>
  <c r="K95" i="19" a="1"/>
  <c r="K95" i="19" s="1"/>
  <c r="L95" i="19" a="1"/>
  <c r="L95" i="19"/>
  <c r="M95" i="19" a="1"/>
  <c r="M95" i="19" s="1"/>
  <c r="N95" i="19" a="1"/>
  <c r="N95" i="19" s="1"/>
  <c r="O95" i="19" a="1"/>
  <c r="O95" i="19" s="1"/>
  <c r="P95" i="19" a="1"/>
  <c r="P95" i="19" s="1"/>
  <c r="Q95" i="19" a="1"/>
  <c r="Q95" i="19" s="1"/>
  <c r="R95" i="19" a="1"/>
  <c r="R95" i="19"/>
  <c r="S95" i="19" a="1"/>
  <c r="S95" i="19" s="1"/>
  <c r="T95" i="19" a="1"/>
  <c r="T95" i="19" s="1"/>
  <c r="B96" i="19" a="1"/>
  <c r="B96" i="19" s="1"/>
  <c r="C96" i="19" a="1"/>
  <c r="C96" i="19" s="1"/>
  <c r="D96" i="19" a="1"/>
  <c r="D96" i="19" s="1"/>
  <c r="E96" i="19" a="1"/>
  <c r="E96" i="19"/>
  <c r="F96" i="19" a="1"/>
  <c r="F96" i="19" s="1"/>
  <c r="G96" i="19" a="1"/>
  <c r="G96" i="19" s="1"/>
  <c r="H96" i="19" a="1"/>
  <c r="H96" i="19" s="1"/>
  <c r="I96" i="19" a="1"/>
  <c r="I96" i="19"/>
  <c r="J96" i="19" a="1"/>
  <c r="J96" i="19" s="1"/>
  <c r="K96" i="19" a="1"/>
  <c r="K96" i="19"/>
  <c r="L96" i="19" a="1"/>
  <c r="L96" i="19" s="1"/>
  <c r="M96" i="19" a="1"/>
  <c r="M96" i="19" s="1"/>
  <c r="N96" i="19" a="1"/>
  <c r="N96" i="19" s="1"/>
  <c r="O96" i="19" a="1"/>
  <c r="O96" i="19" s="1"/>
  <c r="P96" i="19" a="1"/>
  <c r="P96" i="19" s="1"/>
  <c r="Q96" i="19" a="1"/>
  <c r="Q96" i="19" s="1"/>
  <c r="R96" i="19" a="1"/>
  <c r="R96" i="19"/>
  <c r="S96" i="19" a="1"/>
  <c r="S96" i="19"/>
  <c r="T96" i="19" a="1"/>
  <c r="T96" i="19"/>
  <c r="B97" i="19" a="1"/>
  <c r="B97" i="19"/>
  <c r="C97" i="19" a="1"/>
  <c r="C97" i="19"/>
  <c r="D97" i="19" a="1"/>
  <c r="D97" i="19" s="1"/>
  <c r="E97" i="19" a="1"/>
  <c r="E97" i="19"/>
  <c r="F97" i="19" a="1"/>
  <c r="F97" i="19"/>
  <c r="G97" i="19" a="1"/>
  <c r="G97" i="19"/>
  <c r="H97" i="19" a="1"/>
  <c r="H97" i="19"/>
  <c r="I97" i="19" a="1"/>
  <c r="I97" i="19"/>
  <c r="J97" i="19" a="1"/>
  <c r="J97" i="19" s="1"/>
  <c r="K97" i="19" a="1"/>
  <c r="K97" i="19"/>
  <c r="L97" i="19" a="1"/>
  <c r="L97" i="19"/>
  <c r="M97" i="19" a="1"/>
  <c r="M97" i="19" s="1"/>
  <c r="N97" i="19" a="1"/>
  <c r="N97" i="19"/>
  <c r="O97" i="19" a="1"/>
  <c r="O97" i="19"/>
  <c r="P97" i="19" a="1"/>
  <c r="P97" i="19" s="1"/>
  <c r="Q97" i="19" a="1"/>
  <c r="Q97" i="19"/>
  <c r="R97" i="19" a="1"/>
  <c r="R97" i="19"/>
  <c r="S97" i="19" a="1"/>
  <c r="S97" i="19" s="1"/>
  <c r="T97" i="19" a="1"/>
  <c r="T97" i="19"/>
  <c r="B98" i="19" a="1"/>
  <c r="B98" i="19"/>
  <c r="C98" i="19" a="1"/>
  <c r="C98" i="19" s="1"/>
  <c r="D98" i="19" a="1"/>
  <c r="D98" i="19"/>
  <c r="E98" i="19" a="1"/>
  <c r="E98" i="19"/>
  <c r="F98" i="19" a="1"/>
  <c r="F98" i="19" s="1"/>
  <c r="G98" i="19" a="1"/>
  <c r="G98" i="19"/>
  <c r="H98" i="19" a="1"/>
  <c r="H98" i="19"/>
  <c r="I98" i="19" a="1"/>
  <c r="I98" i="19" s="1"/>
  <c r="J98" i="19" a="1"/>
  <c r="J98" i="19"/>
  <c r="K98" i="19" a="1"/>
  <c r="K98" i="19" s="1"/>
  <c r="L98" i="19" a="1"/>
  <c r="L98" i="19" s="1"/>
  <c r="M98" i="19" a="1"/>
  <c r="M98" i="19"/>
  <c r="N98" i="19" a="1"/>
  <c r="N98" i="19"/>
  <c r="O98" i="19" a="1"/>
  <c r="O98" i="19" s="1"/>
  <c r="P98" i="19" a="1"/>
  <c r="P98" i="19"/>
  <c r="Q98" i="19" a="1"/>
  <c r="Q98" i="19" s="1"/>
  <c r="R98" i="19" a="1"/>
  <c r="R98" i="19" s="1"/>
  <c r="S98" i="19" a="1"/>
  <c r="S98" i="19"/>
  <c r="T98" i="19" a="1"/>
  <c r="T98" i="19"/>
  <c r="B99" i="19" a="1"/>
  <c r="B99" i="19" s="1"/>
  <c r="C99" i="19" a="1"/>
  <c r="C99" i="19"/>
  <c r="D99" i="19" a="1"/>
  <c r="D99" i="19" s="1"/>
  <c r="E99" i="19" a="1"/>
  <c r="E99" i="19" s="1"/>
  <c r="F99" i="19" a="1"/>
  <c r="F99" i="19"/>
  <c r="G99" i="19" a="1"/>
  <c r="G99" i="19"/>
  <c r="H99" i="19" a="1"/>
  <c r="H99" i="19" s="1"/>
  <c r="I99" i="19" a="1"/>
  <c r="I99" i="19"/>
  <c r="J99" i="19" a="1"/>
  <c r="J99" i="19" s="1"/>
  <c r="K99" i="19" a="1"/>
  <c r="K99" i="19" s="1"/>
  <c r="L99" i="19" a="1"/>
  <c r="L99" i="19"/>
  <c r="M99" i="19" a="1"/>
  <c r="M99" i="19"/>
  <c r="N99" i="19" a="1"/>
  <c r="N99" i="19" s="1"/>
  <c r="O99" i="19" a="1"/>
  <c r="O99" i="19"/>
  <c r="P99" i="19" a="1"/>
  <c r="P99" i="19" s="1"/>
  <c r="Q99" i="19" a="1"/>
  <c r="Q99" i="19" s="1"/>
  <c r="R99" i="19" a="1"/>
  <c r="R99" i="19"/>
  <c r="S99" i="19" a="1"/>
  <c r="S99" i="19"/>
  <c r="T99" i="19" a="1"/>
  <c r="T99" i="19" s="1"/>
  <c r="B100" i="19" a="1"/>
  <c r="B100" i="19"/>
  <c r="C100" i="19" a="1"/>
  <c r="C100" i="19" s="1"/>
  <c r="D100" i="19" a="1"/>
  <c r="D100" i="19" s="1"/>
  <c r="E100" i="19" a="1"/>
  <c r="E100" i="19"/>
  <c r="F100" i="19" a="1"/>
  <c r="F100" i="19"/>
  <c r="G100" i="19" a="1"/>
  <c r="G100" i="19" s="1"/>
  <c r="H100" i="19" a="1"/>
  <c r="H100" i="19"/>
  <c r="I100" i="19" a="1"/>
  <c r="I100" i="19" s="1"/>
  <c r="J100" i="19" a="1"/>
  <c r="J100" i="19" s="1"/>
  <c r="K100" i="19" a="1"/>
  <c r="K100" i="19"/>
  <c r="L100" i="19" a="1"/>
  <c r="L100" i="19"/>
  <c r="M100" i="19" a="1"/>
  <c r="M100" i="19" s="1"/>
  <c r="N100" i="19" a="1"/>
  <c r="N100" i="19"/>
  <c r="O100" i="19" a="1"/>
  <c r="O100" i="19" s="1"/>
  <c r="P100" i="19" a="1"/>
  <c r="P100" i="19" s="1"/>
  <c r="Q100" i="19" a="1"/>
  <c r="Q100" i="19"/>
  <c r="R100" i="19" a="1"/>
  <c r="R100" i="19"/>
  <c r="S100" i="19" a="1"/>
  <c r="S100" i="19" s="1"/>
  <c r="T100" i="19" a="1"/>
  <c r="T100" i="19"/>
  <c r="B101" i="19" a="1"/>
  <c r="B101" i="19" s="1"/>
  <c r="C101" i="19" a="1"/>
  <c r="C101" i="19" s="1"/>
  <c r="D101" i="19" a="1"/>
  <c r="D101" i="19"/>
  <c r="E101" i="19" a="1"/>
  <c r="E101" i="19"/>
  <c r="F101" i="19" a="1"/>
  <c r="F101" i="19" s="1"/>
  <c r="G101" i="19" a="1"/>
  <c r="G101" i="19"/>
  <c r="H101" i="19" a="1"/>
  <c r="H101" i="19" s="1"/>
  <c r="I101" i="19" a="1"/>
  <c r="I101" i="19" s="1"/>
  <c r="J101" i="19" a="1"/>
  <c r="J101" i="19"/>
  <c r="K101" i="19" a="1"/>
  <c r="K101" i="19"/>
  <c r="L101" i="19" a="1"/>
  <c r="L101" i="19" s="1"/>
  <c r="M101" i="19" a="1"/>
  <c r="M101" i="19"/>
  <c r="N101" i="19" a="1"/>
  <c r="N101" i="19" s="1"/>
  <c r="O101" i="19" a="1"/>
  <c r="O101" i="19" s="1"/>
  <c r="P101" i="19" a="1"/>
  <c r="P101" i="19"/>
  <c r="Q101" i="19" a="1"/>
  <c r="Q101" i="19"/>
  <c r="R101" i="19" a="1"/>
  <c r="R101" i="19" s="1"/>
  <c r="S101" i="19" a="1"/>
  <c r="S101" i="19"/>
  <c r="T101" i="19" a="1"/>
  <c r="T101" i="19" s="1"/>
  <c r="B102" i="19" a="1"/>
  <c r="B102" i="19" s="1"/>
  <c r="C102" i="19" a="1"/>
  <c r="C102" i="19"/>
  <c r="D102" i="19" a="1"/>
  <c r="D102" i="19"/>
  <c r="E102" i="19" a="1"/>
  <c r="E102" i="19" s="1"/>
  <c r="F102" i="19" a="1"/>
  <c r="F102" i="19"/>
  <c r="G102" i="19" a="1"/>
  <c r="G102" i="19" s="1"/>
  <c r="H102" i="19" a="1"/>
  <c r="H102" i="19" s="1"/>
  <c r="I102" i="19" a="1"/>
  <c r="I102" i="19" s="1"/>
  <c r="J102" i="19" a="1"/>
  <c r="J102" i="19"/>
  <c r="K102" i="19" a="1"/>
  <c r="K102" i="19" s="1"/>
  <c r="L102" i="19" a="1"/>
  <c r="L102" i="19"/>
  <c r="M102" i="19" a="1"/>
  <c r="M102" i="19" s="1"/>
  <c r="N102" i="19" a="1"/>
  <c r="N102" i="19" s="1"/>
  <c r="O102" i="19" a="1"/>
  <c r="O102" i="19" s="1"/>
  <c r="P102" i="19" a="1"/>
  <c r="P102" i="19"/>
  <c r="Q102" i="19" a="1"/>
  <c r="Q102" i="19" s="1"/>
  <c r="R102" i="19" a="1"/>
  <c r="R102" i="19"/>
  <c r="S102" i="19" a="1"/>
  <c r="S102" i="19" s="1"/>
  <c r="T102" i="19" a="1"/>
  <c r="T102" i="19" s="1"/>
  <c r="B103" i="19" a="1"/>
  <c r="B103" i="19" s="1"/>
  <c r="C103" i="19" a="1"/>
  <c r="C103" i="19"/>
  <c r="D103" i="19" a="1"/>
  <c r="D103" i="19" s="1"/>
  <c r="E103" i="19" a="1"/>
  <c r="E103" i="19"/>
  <c r="F103" i="19" a="1"/>
  <c r="F103" i="19" s="1"/>
  <c r="G103" i="19" a="1"/>
  <c r="G103" i="19" s="1"/>
  <c r="H103" i="19" a="1"/>
  <c r="H103" i="19" s="1"/>
  <c r="I103" i="19" a="1"/>
  <c r="I103" i="19"/>
  <c r="J103" i="19" a="1"/>
  <c r="J103" i="19" s="1"/>
  <c r="K103" i="19" a="1"/>
  <c r="K103" i="19"/>
  <c r="L103" i="19" a="1"/>
  <c r="L103" i="19" s="1"/>
  <c r="M103" i="19" a="1"/>
  <c r="M103" i="19" s="1"/>
  <c r="N103" i="19" a="1"/>
  <c r="N103" i="19" s="1"/>
  <c r="O103" i="19" a="1"/>
  <c r="O103" i="19"/>
  <c r="P103" i="19" a="1"/>
  <c r="P103" i="19" s="1"/>
  <c r="Q103" i="19" a="1"/>
  <c r="Q103" i="19"/>
  <c r="R103" i="19" a="1"/>
  <c r="R103" i="19" s="1"/>
  <c r="S103" i="19" a="1"/>
  <c r="S103" i="19" s="1"/>
  <c r="T103" i="19" a="1"/>
  <c r="T103" i="19" s="1"/>
  <c r="B104" i="19" a="1"/>
  <c r="B104" i="19"/>
  <c r="C104" i="19" a="1"/>
  <c r="C104" i="19" s="1"/>
  <c r="D104" i="19" a="1"/>
  <c r="D104" i="19"/>
  <c r="E104" i="19" a="1"/>
  <c r="E104" i="19" s="1"/>
  <c r="F104" i="19" a="1"/>
  <c r="F104" i="19" s="1"/>
  <c r="G104" i="19" a="1"/>
  <c r="G104" i="19" s="1"/>
  <c r="H104" i="19" a="1"/>
  <c r="H104" i="19"/>
  <c r="I104" i="19" a="1"/>
  <c r="I104" i="19" s="1"/>
  <c r="J104" i="19" a="1"/>
  <c r="J104" i="19"/>
  <c r="K104" i="19" a="1"/>
  <c r="K104" i="19" s="1"/>
  <c r="L104" i="19" a="1"/>
  <c r="L104" i="19" s="1"/>
  <c r="M104" i="19" a="1"/>
  <c r="M104" i="19" s="1"/>
  <c r="N104" i="19" a="1"/>
  <c r="N104" i="19"/>
  <c r="O104" i="19" a="1"/>
  <c r="O104" i="19" s="1"/>
  <c r="P104" i="19" a="1"/>
  <c r="P104" i="19"/>
  <c r="Q104" i="19" a="1"/>
  <c r="Q104" i="19" s="1"/>
  <c r="R104" i="19" a="1"/>
  <c r="R104" i="19" s="1"/>
  <c r="S104" i="19" a="1"/>
  <c r="S104" i="19" s="1"/>
  <c r="T104" i="19" a="1"/>
  <c r="T104" i="19"/>
  <c r="B105" i="19" a="1"/>
  <c r="B105" i="19" s="1"/>
  <c r="C105" i="19" a="1"/>
  <c r="C105" i="19" s="1"/>
  <c r="D105" i="19" a="1"/>
  <c r="D105" i="19" s="1"/>
  <c r="E105" i="19" a="1"/>
  <c r="E105" i="19" s="1"/>
  <c r="F105" i="19" a="1"/>
  <c r="F105" i="19" s="1"/>
  <c r="G105" i="19" a="1"/>
  <c r="G105" i="19"/>
  <c r="H105" i="19" a="1"/>
  <c r="H105" i="19" s="1"/>
  <c r="I105" i="19" a="1"/>
  <c r="I105" i="19" s="1"/>
  <c r="J105" i="19" a="1"/>
  <c r="J105" i="19" s="1"/>
  <c r="K105" i="19" a="1"/>
  <c r="K105" i="19" s="1"/>
  <c r="L105" i="19" a="1"/>
  <c r="L105" i="19" s="1"/>
  <c r="M105" i="19" a="1"/>
  <c r="M105" i="19" s="1"/>
  <c r="N105" i="19" a="1"/>
  <c r="N105" i="19" s="1"/>
  <c r="O105" i="19" a="1"/>
  <c r="O105" i="19"/>
  <c r="P105" i="19" a="1"/>
  <c r="P105" i="19" s="1"/>
  <c r="Q105" i="19" a="1"/>
  <c r="Q105" i="19" s="1"/>
  <c r="R105" i="19" a="1"/>
  <c r="R105" i="19" s="1"/>
  <c r="S105" i="19" a="1"/>
  <c r="S105" i="19"/>
  <c r="T105" i="19" a="1"/>
  <c r="T105" i="19" s="1"/>
  <c r="B106" i="19" a="1"/>
  <c r="B106" i="19"/>
  <c r="C106" i="19" a="1"/>
  <c r="C106" i="19" s="1"/>
  <c r="D106" i="19" a="1"/>
  <c r="D106" i="19" s="1"/>
  <c r="E106" i="19" a="1"/>
  <c r="E106" i="19" s="1"/>
  <c r="F106" i="19" a="1"/>
  <c r="F106" i="19"/>
  <c r="G106" i="19" a="1"/>
  <c r="G106" i="19" s="1"/>
  <c r="H106" i="19" a="1"/>
  <c r="H106" i="19" s="1"/>
  <c r="I106" i="19" a="1"/>
  <c r="I106" i="19" s="1"/>
  <c r="J106" i="19" a="1"/>
  <c r="J106" i="19" s="1"/>
  <c r="K106" i="19" a="1"/>
  <c r="K106" i="19" s="1"/>
  <c r="L106" i="19" a="1"/>
  <c r="L106" i="19"/>
  <c r="M106" i="19" a="1"/>
  <c r="M106" i="19" s="1"/>
  <c r="N106" i="19" a="1"/>
  <c r="N106" i="19"/>
  <c r="O106" i="19" a="1"/>
  <c r="O106" i="19" s="1"/>
  <c r="P106" i="19" a="1"/>
  <c r="P106" i="19" s="1"/>
  <c r="Q106" i="19" a="1"/>
  <c r="Q106" i="19" s="1"/>
  <c r="R106" i="19" a="1"/>
  <c r="R106" i="19"/>
  <c r="S106" i="19" a="1"/>
  <c r="S106" i="19" s="1"/>
  <c r="T106" i="19" a="1"/>
  <c r="T106" i="19"/>
  <c r="B107" i="19" a="1"/>
  <c r="B107" i="19" s="1"/>
  <c r="C107" i="19" a="1"/>
  <c r="C107" i="19" s="1"/>
  <c r="D107" i="19" a="1"/>
  <c r="D107" i="19" s="1"/>
  <c r="E107" i="19" a="1"/>
  <c r="E107" i="19"/>
  <c r="F107" i="19" a="1"/>
  <c r="F107" i="19" s="1"/>
  <c r="G107" i="19" a="1"/>
  <c r="G107" i="19" s="1"/>
  <c r="H107" i="19" a="1"/>
  <c r="H107" i="19" s="1"/>
  <c r="I107" i="19" a="1"/>
  <c r="I107" i="19" s="1"/>
  <c r="J107" i="19" a="1"/>
  <c r="J107" i="19" s="1"/>
  <c r="K107" i="19" a="1"/>
  <c r="K107" i="19"/>
  <c r="L107" i="19" a="1"/>
  <c r="L107" i="19" s="1"/>
  <c r="M107" i="19" a="1"/>
  <c r="M107" i="19"/>
  <c r="N107" i="19" a="1"/>
  <c r="N107" i="19" s="1"/>
  <c r="O107" i="19" a="1"/>
  <c r="O107" i="19" s="1"/>
  <c r="P107" i="19" a="1"/>
  <c r="P107" i="19" s="1"/>
  <c r="Q107" i="19" a="1"/>
  <c r="Q107" i="19"/>
  <c r="R107" i="19" a="1"/>
  <c r="R107" i="19" s="1"/>
  <c r="S107" i="19" a="1"/>
  <c r="S107" i="19" s="1"/>
  <c r="T107" i="19" a="1"/>
  <c r="T107" i="19" s="1"/>
  <c r="B108" i="19" a="1"/>
  <c r="B108" i="19" s="1"/>
  <c r="C108" i="19" a="1"/>
  <c r="C108" i="19" s="1"/>
  <c r="D108" i="19" a="1"/>
  <c r="D108" i="19"/>
  <c r="E108" i="19" a="1"/>
  <c r="E108" i="19" s="1"/>
  <c r="F108" i="19" a="1"/>
  <c r="F108" i="19" s="1"/>
  <c r="G108" i="19" a="1"/>
  <c r="G108" i="19" s="1"/>
  <c r="H108" i="19" a="1"/>
  <c r="H108" i="19" s="1"/>
  <c r="I108" i="19" a="1"/>
  <c r="I108" i="19" s="1"/>
  <c r="J108" i="19" a="1"/>
  <c r="J108" i="19" s="1"/>
  <c r="K108" i="19" a="1"/>
  <c r="K108" i="19" s="1"/>
  <c r="L108" i="19" a="1"/>
  <c r="L108" i="19"/>
  <c r="M108" i="19" a="1"/>
  <c r="M108" i="19" s="1"/>
  <c r="N108" i="19" a="1"/>
  <c r="N108" i="19" s="1"/>
  <c r="O108" i="19" a="1"/>
  <c r="O108" i="19" s="1"/>
  <c r="P108" i="19" a="1"/>
  <c r="P108" i="19"/>
  <c r="Q108" i="19" a="1"/>
  <c r="Q108" i="19" s="1"/>
  <c r="R108" i="19" a="1"/>
  <c r="R108" i="19"/>
  <c r="S108" i="19" a="1"/>
  <c r="S108" i="19" s="1"/>
  <c r="T108" i="19" a="1"/>
  <c r="T108" i="19" s="1"/>
  <c r="B109" i="19" a="1"/>
  <c r="B109" i="19" s="1"/>
  <c r="C109" i="19" a="1"/>
  <c r="C109" i="19"/>
  <c r="D109" i="19" a="1"/>
  <c r="D109" i="19" s="1"/>
  <c r="E109" i="19" a="1"/>
  <c r="E109" i="19" s="1"/>
  <c r="F109" i="19" a="1"/>
  <c r="F109" i="19" s="1"/>
  <c r="G109" i="19" a="1"/>
  <c r="G109" i="19" s="1"/>
  <c r="H109" i="19" a="1"/>
  <c r="H109" i="19" s="1"/>
  <c r="I109" i="19" a="1"/>
  <c r="I109" i="19"/>
  <c r="J109" i="19" a="1"/>
  <c r="J109" i="19" s="1"/>
  <c r="K109" i="19" a="1"/>
  <c r="K109" i="19"/>
  <c r="L109" i="19" a="1"/>
  <c r="L109" i="19" s="1"/>
  <c r="M109" i="19" a="1"/>
  <c r="M109" i="19" s="1"/>
  <c r="N109" i="19" a="1"/>
  <c r="N109" i="19" s="1"/>
  <c r="O109" i="19" a="1"/>
  <c r="O109" i="19"/>
  <c r="P109" i="19" a="1"/>
  <c r="P109" i="19" s="1"/>
  <c r="Q109" i="19" a="1"/>
  <c r="Q109" i="19" s="1"/>
  <c r="R109" i="19" a="1"/>
  <c r="R109" i="19" s="1"/>
  <c r="S109" i="19" a="1"/>
  <c r="S109" i="19" s="1"/>
  <c r="T109" i="19" a="1"/>
  <c r="T109" i="19" s="1"/>
  <c r="B110" i="19" a="1"/>
  <c r="B110" i="19"/>
  <c r="C110" i="19" a="1"/>
  <c r="C110" i="19" s="1"/>
  <c r="D110" i="19" a="1"/>
  <c r="D110" i="19" s="1"/>
  <c r="E110" i="19" a="1"/>
  <c r="E110" i="19" s="1"/>
  <c r="F110" i="19" a="1"/>
  <c r="F110" i="19" s="1"/>
  <c r="G110" i="19" a="1"/>
  <c r="G110" i="19" s="1"/>
  <c r="H110" i="19" a="1"/>
  <c r="H110" i="19" s="1"/>
  <c r="I110" i="19" a="1"/>
  <c r="I110" i="19" s="1"/>
  <c r="J110" i="19" a="1"/>
  <c r="J110" i="19"/>
  <c r="K110" i="19" a="1"/>
  <c r="K110" i="19" s="1"/>
  <c r="L110" i="19" a="1"/>
  <c r="L110" i="19" s="1"/>
  <c r="M110" i="19" a="1"/>
  <c r="M110" i="19" s="1"/>
  <c r="N110" i="19" a="1"/>
  <c r="N110" i="19"/>
  <c r="O110" i="19" a="1"/>
  <c r="O110" i="19" s="1"/>
  <c r="P110" i="19" a="1"/>
  <c r="P110" i="19" s="1"/>
  <c r="Q110" i="19" a="1"/>
  <c r="Q110" i="19" s="1"/>
  <c r="R110" i="19" a="1"/>
  <c r="R110" i="19" s="1"/>
  <c r="S110" i="19" a="1"/>
  <c r="S110" i="19" s="1"/>
  <c r="T110" i="19" a="1"/>
  <c r="T110" i="19"/>
  <c r="B111" i="19" a="1"/>
  <c r="B111" i="19" s="1"/>
  <c r="C111" i="19" a="1"/>
  <c r="C111" i="19" s="1"/>
  <c r="D111" i="19" a="1"/>
  <c r="D111" i="19" s="1"/>
  <c r="E111" i="19" a="1"/>
  <c r="E111" i="19" s="1"/>
  <c r="F111" i="19" a="1"/>
  <c r="F111" i="19" s="1"/>
  <c r="G111" i="19" a="1"/>
  <c r="G111" i="19" s="1"/>
  <c r="H111" i="19" a="1"/>
  <c r="H111" i="19" s="1"/>
  <c r="I111" i="19" a="1"/>
  <c r="I111" i="19"/>
  <c r="J111" i="19" a="1"/>
  <c r="J111" i="19" s="1"/>
  <c r="K111" i="19" a="1"/>
  <c r="K111" i="19" s="1"/>
  <c r="L111" i="19" a="1"/>
  <c r="L111" i="19" s="1"/>
  <c r="M111" i="19" a="1"/>
  <c r="M111" i="19"/>
  <c r="N111" i="19" a="1"/>
  <c r="N111" i="19" s="1"/>
  <c r="O111" i="19" a="1"/>
  <c r="O111" i="19"/>
  <c r="P111" i="19" a="1"/>
  <c r="P111" i="19" s="1"/>
  <c r="Q111" i="19" a="1"/>
  <c r="Q111" i="19" s="1"/>
  <c r="R111" i="19" a="1"/>
  <c r="R111" i="19" s="1"/>
  <c r="S111" i="19" a="1"/>
  <c r="S111" i="19"/>
  <c r="T111" i="19" a="1"/>
  <c r="T111" i="19" s="1"/>
  <c r="B112" i="19" a="1"/>
  <c r="B112" i="19" s="1"/>
  <c r="C112" i="19" a="1"/>
  <c r="C112" i="19" s="1"/>
  <c r="D112" i="19" a="1"/>
  <c r="D112" i="19" s="1"/>
  <c r="E112" i="19" a="1"/>
  <c r="E112" i="19" s="1"/>
  <c r="F112" i="19" a="1"/>
  <c r="F112" i="19"/>
  <c r="G112" i="19" a="1"/>
  <c r="G112" i="19" s="1"/>
  <c r="H112" i="19" a="1"/>
  <c r="H112" i="19"/>
  <c r="I112" i="19" a="1"/>
  <c r="I112" i="19" s="1"/>
  <c r="J112" i="19" a="1"/>
  <c r="J112" i="19" s="1"/>
  <c r="K112" i="19" a="1"/>
  <c r="K112" i="19" s="1"/>
  <c r="L112" i="19" a="1"/>
  <c r="L112" i="19"/>
  <c r="M112" i="19" a="1"/>
  <c r="M112" i="19" s="1"/>
  <c r="N112" i="19" a="1"/>
  <c r="N112" i="19"/>
  <c r="O112" i="19" a="1"/>
  <c r="O112" i="19" s="1"/>
  <c r="P112" i="19" a="1"/>
  <c r="P112" i="19" s="1"/>
  <c r="Q112" i="19" a="1"/>
  <c r="Q112" i="19" s="1"/>
  <c r="R112" i="19" a="1"/>
  <c r="R112" i="19" s="1"/>
  <c r="S112" i="19" a="1"/>
  <c r="S112" i="19" s="1"/>
  <c r="T112" i="19" a="1"/>
  <c r="T112" i="19"/>
  <c r="B113" i="19" a="1"/>
  <c r="B113" i="19"/>
  <c r="C113" i="19" a="1"/>
  <c r="C113" i="19" s="1"/>
  <c r="D113" i="19" a="1"/>
  <c r="D113" i="19" s="1"/>
  <c r="E113" i="19" a="1"/>
  <c r="E113" i="19" s="1"/>
  <c r="F113" i="19" a="1"/>
  <c r="F113" i="19" s="1"/>
  <c r="G113" i="19" a="1"/>
  <c r="G113" i="19" s="1"/>
  <c r="H113" i="19" a="1"/>
  <c r="H113" i="19" s="1"/>
  <c r="I113" i="19" a="1"/>
  <c r="I113" i="19" s="1"/>
  <c r="J113" i="19" a="1"/>
  <c r="J113" i="19" s="1"/>
  <c r="K113" i="19" a="1"/>
  <c r="K113" i="19" s="1"/>
  <c r="L113" i="19" a="1"/>
  <c r="L113" i="19" s="1"/>
  <c r="M113" i="19" a="1"/>
  <c r="M113" i="19" s="1"/>
  <c r="N113" i="19" a="1"/>
  <c r="N113" i="19"/>
  <c r="O113" i="19" a="1"/>
  <c r="O113" i="19" s="1"/>
  <c r="P113" i="19" a="1"/>
  <c r="P113" i="19" s="1"/>
  <c r="Q113" i="19" a="1"/>
  <c r="Q113" i="19"/>
  <c r="R113" i="19" a="1"/>
  <c r="R113" i="19" s="1"/>
  <c r="S113" i="19" a="1"/>
  <c r="S113" i="19"/>
  <c r="T113" i="19" a="1"/>
  <c r="T113" i="19" s="1"/>
  <c r="B114" i="19" a="1"/>
  <c r="B114" i="19" s="1"/>
  <c r="C114" i="19" a="1"/>
  <c r="C114" i="19" s="1"/>
  <c r="D114" i="19" a="1"/>
  <c r="D114" i="19" s="1"/>
  <c r="E114" i="19" a="1"/>
  <c r="E114" i="19" s="1"/>
  <c r="F114" i="19" a="1"/>
  <c r="F114" i="19"/>
  <c r="G114" i="19" a="1"/>
  <c r="G114" i="19"/>
  <c r="H114" i="19" a="1"/>
  <c r="H114" i="19" s="1"/>
  <c r="I114" i="19" a="1"/>
  <c r="I114" i="19"/>
  <c r="J114" i="19" a="1"/>
  <c r="J114" i="19" s="1"/>
  <c r="K114" i="19" a="1"/>
  <c r="K114" i="19" s="1"/>
  <c r="L114" i="19" a="1"/>
  <c r="L114" i="19"/>
  <c r="M114" i="19" a="1"/>
  <c r="M114" i="19"/>
  <c r="N114" i="19" a="1"/>
  <c r="N114" i="19" s="1"/>
  <c r="O114" i="19" a="1"/>
  <c r="O114" i="19"/>
  <c r="P114" i="19" a="1"/>
  <c r="P114" i="19"/>
  <c r="Q114" i="19" a="1"/>
  <c r="Q114" i="19" s="1"/>
  <c r="R114" i="19" a="1"/>
  <c r="R114" i="19" s="1"/>
  <c r="S114" i="19" a="1"/>
  <c r="S114" i="19"/>
  <c r="T114" i="19" a="1"/>
  <c r="T114" i="19" s="1"/>
  <c r="B115" i="19" a="1"/>
  <c r="B115" i="19"/>
  <c r="C115" i="19" a="1"/>
  <c r="C115" i="19" s="1"/>
  <c r="D115" i="19" a="1"/>
  <c r="D115" i="19" s="1"/>
  <c r="E115" i="19" a="1"/>
  <c r="E115" i="19"/>
  <c r="F115" i="19" a="1"/>
  <c r="F115" i="19" s="1"/>
  <c r="G115" i="19" a="1"/>
  <c r="G115" i="19" s="1"/>
  <c r="H115" i="19" a="1"/>
  <c r="H115" i="19"/>
  <c r="I115" i="19" a="1"/>
  <c r="I115" i="19"/>
  <c r="J115" i="19" a="1"/>
  <c r="J115" i="19" s="1"/>
  <c r="K115" i="19" a="1"/>
  <c r="K115" i="19" s="1"/>
  <c r="L115" i="19" a="1"/>
  <c r="L115" i="19"/>
  <c r="M115" i="19" a="1"/>
  <c r="M115" i="19" s="1"/>
  <c r="N115" i="19" a="1"/>
  <c r="N115" i="19" s="1"/>
  <c r="O115" i="19" a="1"/>
  <c r="O115" i="19"/>
  <c r="P115" i="19" a="1"/>
  <c r="P115" i="19" s="1"/>
  <c r="Q115" i="19" a="1"/>
  <c r="Q115" i="19" s="1"/>
  <c r="R115" i="19" a="1"/>
  <c r="R115" i="19" s="1"/>
  <c r="S115" i="19" a="1"/>
  <c r="S115" i="19" s="1"/>
  <c r="T115" i="19" a="1"/>
  <c r="T115" i="19" s="1"/>
  <c r="B116" i="19" a="1"/>
  <c r="B116" i="19" s="1"/>
  <c r="C116" i="19" a="1"/>
  <c r="C116" i="19" s="1"/>
  <c r="D116" i="19" a="1"/>
  <c r="D116" i="19"/>
  <c r="E116" i="19" a="1"/>
  <c r="E116" i="19" s="1"/>
  <c r="F116" i="19" a="1"/>
  <c r="F116" i="19" s="1"/>
  <c r="G116" i="19" a="1"/>
  <c r="G116" i="19"/>
  <c r="H116" i="19" a="1"/>
  <c r="H116" i="19" s="1"/>
  <c r="I116" i="19" a="1"/>
  <c r="I116" i="19" s="1"/>
  <c r="J116" i="19" a="1"/>
  <c r="J116" i="19"/>
  <c r="K116" i="19" a="1"/>
  <c r="K116" i="19" s="1"/>
  <c r="L116" i="19" a="1"/>
  <c r="L116" i="19" s="1"/>
  <c r="M116" i="19" a="1"/>
  <c r="M116" i="19" s="1"/>
  <c r="N116" i="19" a="1"/>
  <c r="N116" i="19"/>
  <c r="O116" i="19" a="1"/>
  <c r="O116" i="19" s="1"/>
  <c r="P116" i="19" a="1"/>
  <c r="P116" i="19" s="1"/>
  <c r="Q116" i="19" a="1"/>
  <c r="Q116" i="19"/>
  <c r="R116" i="19" a="1"/>
  <c r="R116" i="19" s="1"/>
  <c r="S116" i="19" a="1"/>
  <c r="S116" i="19" s="1"/>
  <c r="T116" i="19" a="1"/>
  <c r="T116" i="19"/>
  <c r="B117" i="19" a="1"/>
  <c r="B117" i="19" s="1"/>
  <c r="C117" i="19" a="1"/>
  <c r="C117" i="19"/>
  <c r="D117" i="19" a="1"/>
  <c r="D117" i="19" s="1"/>
  <c r="E117" i="19" a="1"/>
  <c r="E117" i="19" s="1"/>
  <c r="F117" i="19" a="1"/>
  <c r="F117" i="19"/>
  <c r="G117" i="19" a="1"/>
  <c r="G117" i="19"/>
  <c r="H117" i="19" a="1"/>
  <c r="H117" i="19" s="1"/>
  <c r="I117" i="19" a="1"/>
  <c r="I117" i="19" s="1"/>
  <c r="J117" i="19" a="1"/>
  <c r="J117" i="19"/>
  <c r="K117" i="19" a="1"/>
  <c r="K117" i="19" s="1"/>
  <c r="L117" i="19" a="1"/>
  <c r="L117" i="19" s="1"/>
  <c r="M117" i="19" a="1"/>
  <c r="M117" i="19"/>
  <c r="N117" i="19" a="1"/>
  <c r="N117" i="19" s="1"/>
  <c r="O117" i="19" a="1"/>
  <c r="O117" i="19" s="1"/>
  <c r="P117" i="19" a="1"/>
  <c r="P117" i="19" s="1"/>
  <c r="Q117" i="19" a="1"/>
  <c r="Q117" i="19" s="1"/>
  <c r="R117" i="19" a="1"/>
  <c r="R117" i="19" s="1"/>
  <c r="S117" i="19" a="1"/>
  <c r="S117" i="19" s="1"/>
  <c r="T117" i="19" a="1"/>
  <c r="T117" i="19" s="1"/>
  <c r="B118" i="19" a="1"/>
  <c r="B118" i="19"/>
  <c r="C118" i="19" a="1"/>
  <c r="C118" i="19"/>
  <c r="D118" i="19" a="1"/>
  <c r="D118" i="19" s="1"/>
  <c r="E118" i="19" a="1"/>
  <c r="E118" i="19"/>
  <c r="F118" i="19" a="1"/>
  <c r="F118" i="19" s="1"/>
  <c r="G118" i="19" a="1"/>
  <c r="G118" i="19" s="1"/>
  <c r="H118" i="19" a="1"/>
  <c r="H118" i="19"/>
  <c r="I118" i="19" a="1"/>
  <c r="I118" i="19"/>
  <c r="J118" i="19" a="1"/>
  <c r="J118" i="19" s="1"/>
  <c r="K118" i="19" a="1"/>
  <c r="K118" i="19"/>
  <c r="L118" i="19" a="1"/>
  <c r="L118" i="19"/>
  <c r="M118" i="19" a="1"/>
  <c r="M118" i="19" s="1"/>
  <c r="N118" i="19" a="1"/>
  <c r="N118" i="19" s="1"/>
  <c r="O118" i="19" a="1"/>
  <c r="O118" i="19"/>
  <c r="P118" i="19" a="1"/>
  <c r="P118" i="19" s="1"/>
  <c r="Q118" i="19" a="1"/>
  <c r="Q118" i="19"/>
  <c r="R118" i="19" a="1"/>
  <c r="R118" i="19" s="1"/>
  <c r="S118" i="19" a="1"/>
  <c r="S118" i="19" s="1"/>
  <c r="T118" i="19" a="1"/>
  <c r="T118" i="19"/>
  <c r="B119" i="19" a="1"/>
  <c r="B119" i="19" s="1"/>
  <c r="C119" i="19" a="1"/>
  <c r="C119" i="19" s="1"/>
  <c r="D119" i="19" a="1"/>
  <c r="D119" i="19"/>
  <c r="E119" i="19" a="1"/>
  <c r="E119" i="19" s="1"/>
  <c r="F119" i="19" a="1"/>
  <c r="F119" i="19" s="1"/>
  <c r="G119" i="19" a="1"/>
  <c r="G119" i="19" s="1"/>
  <c r="H119" i="19" a="1"/>
  <c r="H119" i="19"/>
  <c r="I119" i="19" a="1"/>
  <c r="I119" i="19" s="1"/>
  <c r="J119" i="19" a="1"/>
  <c r="J119" i="19" s="1"/>
  <c r="K119" i="19" a="1"/>
  <c r="K119" i="19"/>
  <c r="L119" i="19" a="1"/>
  <c r="L119" i="19"/>
  <c r="M119" i="19" a="1"/>
  <c r="M119" i="19" s="1"/>
  <c r="N119" i="19" a="1"/>
  <c r="N119" i="19"/>
  <c r="O119" i="19" a="1"/>
  <c r="O119" i="19" s="1"/>
  <c r="P119" i="19" a="1"/>
  <c r="P119" i="19" s="1"/>
  <c r="Q119" i="19" a="1"/>
  <c r="Q119" i="19"/>
  <c r="R119" i="19" a="1"/>
  <c r="R119" i="19"/>
  <c r="S119" i="19" a="1"/>
  <c r="S119" i="19"/>
  <c r="T119" i="19" a="1"/>
  <c r="T119" i="19" s="1"/>
  <c r="B120" i="19" a="1"/>
  <c r="B120" i="19"/>
  <c r="C120" i="19" a="1"/>
  <c r="C120" i="19" s="1"/>
  <c r="D120" i="19" a="1"/>
  <c r="D120" i="19"/>
  <c r="E120" i="19" a="1"/>
  <c r="E120" i="19"/>
  <c r="F120" i="19" a="1"/>
  <c r="F120" i="19"/>
  <c r="G120" i="19" a="1"/>
  <c r="G120" i="19" s="1"/>
  <c r="H120" i="19" a="1"/>
  <c r="H120" i="19"/>
  <c r="I120" i="19" a="1"/>
  <c r="I120" i="19" s="1"/>
  <c r="J120" i="19" a="1"/>
  <c r="J120" i="19"/>
  <c r="K120" i="19" a="1"/>
  <c r="K120" i="19"/>
  <c r="L120" i="19" a="1"/>
  <c r="L120" i="19"/>
  <c r="M120" i="19" a="1"/>
  <c r="M120" i="19" s="1"/>
  <c r="N120" i="19" a="1"/>
  <c r="N120" i="19"/>
  <c r="O120" i="19" a="1"/>
  <c r="O120" i="19" s="1"/>
  <c r="P120" i="19" a="1"/>
  <c r="P120" i="19"/>
  <c r="Q120" i="19" a="1"/>
  <c r="Q120" i="19"/>
  <c r="R120" i="19" a="1"/>
  <c r="R120" i="19"/>
  <c r="S120" i="19" a="1"/>
  <c r="S120" i="19" s="1"/>
  <c r="T120" i="19" a="1"/>
  <c r="T120" i="19"/>
  <c r="B121" i="19" a="1"/>
  <c r="B121" i="19" s="1"/>
  <c r="C121" i="19" a="1"/>
  <c r="C121" i="19"/>
  <c r="D121" i="19" a="1"/>
  <c r="D121" i="19" s="1"/>
  <c r="E121" i="19" a="1"/>
  <c r="E121" i="19"/>
  <c r="F121" i="19" a="1"/>
  <c r="F121" i="19" s="1"/>
  <c r="G121" i="19" a="1"/>
  <c r="G121" i="19"/>
  <c r="H121" i="19" a="1"/>
  <c r="H121" i="19" s="1"/>
  <c r="I121" i="19" a="1"/>
  <c r="I121" i="19"/>
  <c r="J121" i="19" a="1"/>
  <c r="J121" i="19"/>
  <c r="K121" i="19" a="1"/>
  <c r="K121" i="19" s="1"/>
  <c r="L121" i="19" a="1"/>
  <c r="L121" i="19" s="1"/>
  <c r="M121" i="19" a="1"/>
  <c r="M121" i="19"/>
  <c r="N121" i="19" a="1"/>
  <c r="N121" i="19" s="1"/>
  <c r="O121" i="19" a="1"/>
  <c r="O121" i="19"/>
  <c r="P121" i="19" a="1"/>
  <c r="P121" i="19"/>
  <c r="Q121" i="19" a="1"/>
  <c r="Q121" i="19"/>
  <c r="R121" i="19" a="1"/>
  <c r="R121" i="19" s="1"/>
  <c r="S121" i="19" a="1"/>
  <c r="S121" i="19"/>
  <c r="T121" i="19" a="1"/>
  <c r="T121" i="19" s="1"/>
  <c r="B122" i="19" a="1"/>
  <c r="B122" i="19"/>
  <c r="C122" i="19" a="1"/>
  <c r="C122" i="19"/>
  <c r="D122" i="19" a="1"/>
  <c r="D122" i="19"/>
  <c r="E122" i="19" a="1"/>
  <c r="E122" i="19" s="1"/>
  <c r="F122" i="19" a="1"/>
  <c r="F122" i="19"/>
  <c r="G122" i="19" a="1"/>
  <c r="G122" i="19" s="1"/>
  <c r="H122" i="19" a="1"/>
  <c r="H122" i="19"/>
  <c r="I122" i="19" a="1"/>
  <c r="I122" i="19"/>
  <c r="J122" i="19" a="1"/>
  <c r="J122" i="19"/>
  <c r="K122" i="19" a="1"/>
  <c r="K122" i="19" s="1"/>
  <c r="L122" i="19" a="1"/>
  <c r="L122" i="19"/>
  <c r="M122" i="19" a="1"/>
  <c r="M122" i="19" s="1"/>
  <c r="N122" i="19" a="1"/>
  <c r="N122" i="19"/>
  <c r="O122" i="19" a="1"/>
  <c r="O122" i="19"/>
  <c r="P122" i="19" a="1"/>
  <c r="P122" i="19"/>
  <c r="Q122" i="19" a="1"/>
  <c r="Q122" i="19" s="1"/>
  <c r="R122" i="19" a="1"/>
  <c r="R122" i="19"/>
  <c r="S122" i="19" a="1"/>
  <c r="S122" i="19" s="1"/>
  <c r="T122" i="19" a="1"/>
  <c r="T122" i="19"/>
  <c r="B123" i="19" a="1"/>
  <c r="B123" i="19" s="1"/>
  <c r="C123" i="19" a="1"/>
  <c r="C123" i="19"/>
  <c r="D123" i="19" a="1"/>
  <c r="D123" i="19" s="1"/>
  <c r="E123" i="19" a="1"/>
  <c r="E123" i="19"/>
  <c r="F123" i="19" a="1"/>
  <c r="F123" i="19" s="1"/>
  <c r="G123" i="19" a="1"/>
  <c r="G123" i="19"/>
  <c r="H123" i="19" a="1"/>
  <c r="H123" i="19"/>
  <c r="I123" i="19" a="1"/>
  <c r="I123" i="19" s="1"/>
  <c r="J123" i="19" a="1"/>
  <c r="J123" i="19" s="1"/>
  <c r="K123" i="19" a="1"/>
  <c r="K123" i="19"/>
  <c r="L123" i="19" a="1"/>
  <c r="L123" i="19" s="1"/>
  <c r="M123" i="19" a="1"/>
  <c r="M123" i="19"/>
  <c r="N123" i="19" a="1"/>
  <c r="N123" i="19"/>
  <c r="O123" i="19" a="1"/>
  <c r="O123" i="19"/>
  <c r="P123" i="19" a="1"/>
  <c r="P123" i="19" s="1"/>
  <c r="Q123" i="19" a="1"/>
  <c r="Q123" i="19"/>
  <c r="R123" i="19" a="1"/>
  <c r="R123" i="19" s="1"/>
  <c r="S123" i="19" a="1"/>
  <c r="S123" i="19"/>
  <c r="T123" i="19" a="1"/>
  <c r="T123" i="19"/>
  <c r="B124" i="19" a="1"/>
  <c r="B124" i="19"/>
  <c r="C124" i="19" a="1"/>
  <c r="C124" i="19" s="1"/>
  <c r="D124" i="19" a="1"/>
  <c r="D124" i="19"/>
  <c r="E124" i="19" a="1"/>
  <c r="E124" i="19" s="1"/>
  <c r="F124" i="19" a="1"/>
  <c r="F124" i="19"/>
  <c r="G124" i="19" a="1"/>
  <c r="G124" i="19"/>
  <c r="H124" i="19" a="1"/>
  <c r="H124" i="19"/>
  <c r="I124" i="19" a="1"/>
  <c r="I124" i="19" s="1"/>
  <c r="J124" i="19" a="1"/>
  <c r="J124" i="19"/>
  <c r="K124" i="19" a="1"/>
  <c r="K124" i="19" s="1"/>
  <c r="L124" i="19" a="1"/>
  <c r="L124" i="19"/>
  <c r="M124" i="19" a="1"/>
  <c r="M124" i="19"/>
  <c r="N124" i="19" a="1"/>
  <c r="N124" i="19"/>
  <c r="O124" i="19" a="1"/>
  <c r="O124" i="19" s="1"/>
  <c r="P124" i="19" a="1"/>
  <c r="P124" i="19"/>
  <c r="Q124" i="19" a="1"/>
  <c r="Q124" i="19" s="1"/>
  <c r="R124" i="19" a="1"/>
  <c r="R124" i="19"/>
  <c r="S124" i="19" a="1"/>
  <c r="S124" i="19" s="1"/>
  <c r="T124" i="19" a="1"/>
  <c r="T124" i="19"/>
  <c r="B125" i="19" a="1"/>
  <c r="B125" i="19" s="1"/>
  <c r="C125" i="19" a="1"/>
  <c r="C125" i="19"/>
  <c r="D125" i="19" a="1"/>
  <c r="D125" i="19" s="1"/>
  <c r="E125" i="19" a="1"/>
  <c r="E125" i="19"/>
  <c r="F125" i="19" a="1"/>
  <c r="F125" i="19"/>
  <c r="G125" i="19" a="1"/>
  <c r="G125" i="19" s="1"/>
  <c r="H125" i="19" a="1"/>
  <c r="H125" i="19" s="1"/>
  <c r="I125" i="19" a="1"/>
  <c r="I125" i="19"/>
  <c r="J125" i="19" a="1"/>
  <c r="J125" i="19" s="1"/>
  <c r="K125" i="19" a="1"/>
  <c r="K125" i="19"/>
  <c r="L125" i="19" a="1"/>
  <c r="L125" i="19"/>
  <c r="M125" i="19" a="1"/>
  <c r="M125" i="19"/>
  <c r="N125" i="19" a="1"/>
  <c r="N125" i="19" s="1"/>
  <c r="O125" i="19" a="1"/>
  <c r="O125" i="19"/>
  <c r="P125" i="19" a="1"/>
  <c r="P125" i="19" s="1"/>
  <c r="Q125" i="19" a="1"/>
  <c r="Q125" i="19"/>
  <c r="R125" i="19" a="1"/>
  <c r="R125" i="19" s="1"/>
  <c r="S125" i="19" a="1"/>
  <c r="S125" i="19"/>
  <c r="T125" i="19" a="1"/>
  <c r="T125" i="19" s="1"/>
  <c r="B126" i="19" a="1"/>
  <c r="B126" i="19"/>
  <c r="C126" i="19" a="1"/>
  <c r="C126" i="19" s="1"/>
  <c r="D126" i="19" a="1"/>
  <c r="D126" i="19"/>
  <c r="E126" i="19" a="1"/>
  <c r="E126" i="19"/>
  <c r="F126" i="19" a="1"/>
  <c r="F126" i="19" s="1"/>
  <c r="G126" i="19" a="1"/>
  <c r="G126" i="19" s="1"/>
  <c r="H126" i="19" a="1"/>
  <c r="H126" i="19" s="1"/>
  <c r="I126" i="19" a="1"/>
  <c r="I126" i="19" s="1"/>
  <c r="J126" i="19" a="1"/>
  <c r="J126" i="19"/>
  <c r="K126" i="19" a="1"/>
  <c r="K126" i="19"/>
  <c r="L126" i="19" a="1"/>
  <c r="L126" i="19"/>
  <c r="M126" i="19" a="1"/>
  <c r="M126" i="19" s="1"/>
  <c r="N126" i="19" a="1"/>
  <c r="N126" i="19" s="1"/>
  <c r="O126" i="19" a="1"/>
  <c r="O126" i="19" s="1"/>
  <c r="P126" i="19" a="1"/>
  <c r="P126" i="19"/>
  <c r="Q126" i="19" a="1"/>
  <c r="Q126" i="19" s="1"/>
  <c r="R126" i="19" a="1"/>
  <c r="R126" i="19"/>
  <c r="S126" i="19" a="1"/>
  <c r="S126" i="19" s="1"/>
  <c r="T126" i="19" a="1"/>
  <c r="T126" i="19"/>
  <c r="B127" i="19" a="1"/>
  <c r="B127" i="19" s="1"/>
  <c r="C127" i="19" a="1"/>
  <c r="C127" i="19"/>
  <c r="D127" i="19" a="1"/>
  <c r="D127" i="19"/>
  <c r="E127" i="19" a="1"/>
  <c r="E127" i="19" s="1"/>
  <c r="F127" i="19" a="1"/>
  <c r="F127" i="19" s="1"/>
  <c r="G127" i="19" a="1"/>
  <c r="G127" i="19" s="1"/>
  <c r="H127" i="19" a="1"/>
  <c r="H127" i="19" s="1"/>
  <c r="I127" i="19" a="1"/>
  <c r="I127" i="19"/>
  <c r="J127" i="19" a="1"/>
  <c r="J127" i="19"/>
  <c r="K127" i="19" a="1"/>
  <c r="K127" i="19"/>
  <c r="L127" i="19" a="1"/>
  <c r="L127" i="19" s="1"/>
  <c r="M127" i="19" a="1"/>
  <c r="M127" i="19"/>
  <c r="N127" i="19" a="1"/>
  <c r="N127" i="19" s="1"/>
  <c r="O127" i="19" a="1"/>
  <c r="O127" i="19"/>
  <c r="P127" i="19" a="1"/>
  <c r="P127" i="19" s="1"/>
  <c r="Q127" i="19" a="1"/>
  <c r="Q127" i="19"/>
  <c r="R127" i="19" a="1"/>
  <c r="R127" i="19" s="1"/>
  <c r="S127" i="19" a="1"/>
  <c r="S127" i="19"/>
  <c r="T127" i="19" a="1"/>
  <c r="T127" i="19" s="1"/>
  <c r="B128" i="19" a="1"/>
  <c r="B128" i="19"/>
  <c r="C128" i="19" a="1"/>
  <c r="C128" i="19"/>
  <c r="D128" i="19" a="1"/>
  <c r="D128" i="19" s="1"/>
  <c r="E128" i="19" a="1"/>
  <c r="E128" i="19" s="1"/>
  <c r="F128" i="19" a="1"/>
  <c r="F128" i="19" s="1"/>
  <c r="G128" i="19" a="1"/>
  <c r="G128" i="19" s="1"/>
  <c r="H128" i="19" a="1"/>
  <c r="H128" i="19"/>
  <c r="I128" i="19" a="1"/>
  <c r="I128" i="19"/>
  <c r="J128" i="19" a="1"/>
  <c r="J128" i="19"/>
  <c r="K128" i="19" a="1"/>
  <c r="K128" i="19" s="1"/>
  <c r="L128" i="19" a="1"/>
  <c r="L128" i="19" s="1"/>
  <c r="M128" i="19" a="1"/>
  <c r="M128" i="19" s="1"/>
  <c r="N128" i="19" a="1"/>
  <c r="N128" i="19"/>
  <c r="O128" i="19" a="1"/>
  <c r="O128" i="19" s="1"/>
  <c r="P128" i="19" a="1"/>
  <c r="P128" i="19"/>
  <c r="Q128" i="19" a="1"/>
  <c r="Q128" i="19" s="1"/>
  <c r="R128" i="19" a="1"/>
  <c r="R128" i="19"/>
  <c r="S128" i="19" a="1"/>
  <c r="S128" i="19" s="1"/>
  <c r="T128" i="19" a="1"/>
  <c r="T128" i="19"/>
  <c r="B129" i="19" a="1"/>
  <c r="B129" i="19"/>
  <c r="C129" i="19" a="1"/>
  <c r="C129" i="19" s="1"/>
  <c r="D129" i="19" a="1"/>
  <c r="D129" i="19" s="1"/>
  <c r="E129" i="19" a="1"/>
  <c r="E129" i="19" s="1"/>
  <c r="F129" i="19" a="1"/>
  <c r="F129" i="19" s="1"/>
  <c r="G129" i="19" a="1"/>
  <c r="G129" i="19"/>
  <c r="H129" i="19" a="1"/>
  <c r="H129" i="19"/>
  <c r="I129" i="19" a="1"/>
  <c r="I129" i="19"/>
  <c r="J129" i="19" a="1"/>
  <c r="J129" i="19" s="1"/>
  <c r="K129" i="19" a="1"/>
  <c r="K129" i="19"/>
  <c r="L129" i="19" a="1"/>
  <c r="L129" i="19" s="1"/>
  <c r="M129" i="19" a="1"/>
  <c r="M129" i="19"/>
  <c r="N129" i="19" a="1"/>
  <c r="N129" i="19"/>
  <c r="O129" i="19" a="1"/>
  <c r="O129" i="19"/>
  <c r="P129" i="19" a="1"/>
  <c r="P129" i="19" s="1"/>
  <c r="Q129" i="19" a="1"/>
  <c r="Q129" i="19"/>
  <c r="R129" i="19" a="1"/>
  <c r="R129" i="19" s="1"/>
  <c r="S129" i="19" a="1"/>
  <c r="S129" i="19"/>
  <c r="T129" i="19" a="1"/>
  <c r="T129" i="19"/>
  <c r="B130" i="19" a="1"/>
  <c r="B130" i="19"/>
  <c r="C130" i="19" a="1"/>
  <c r="C130" i="19" s="1"/>
  <c r="D130" i="19" a="1"/>
  <c r="D130" i="19" s="1"/>
  <c r="E130" i="19" a="1"/>
  <c r="E130" i="19" s="1"/>
  <c r="F130" i="19" a="1"/>
  <c r="F130" i="19"/>
  <c r="G130" i="19" a="1"/>
  <c r="G130" i="19"/>
  <c r="H130" i="19" a="1"/>
  <c r="H130" i="19"/>
  <c r="I130" i="19" a="1"/>
  <c r="I130" i="19" s="1"/>
  <c r="J130" i="19" a="1"/>
  <c r="J130" i="19" s="1"/>
  <c r="K130" i="19" a="1"/>
  <c r="K130" i="19" s="1"/>
  <c r="L130" i="19" a="1"/>
  <c r="L130" i="19"/>
  <c r="M130" i="19" a="1"/>
  <c r="M130" i="19" s="1"/>
  <c r="N130" i="19" a="1"/>
  <c r="N130" i="19"/>
  <c r="O130" i="19" a="1"/>
  <c r="O130" i="19" s="1"/>
  <c r="P130" i="19" a="1"/>
  <c r="P130" i="19"/>
  <c r="Q130" i="19" a="1"/>
  <c r="Q130" i="19" s="1"/>
  <c r="R130" i="19" a="1"/>
  <c r="R130" i="19"/>
  <c r="S130" i="19" a="1"/>
  <c r="S130" i="19" s="1"/>
  <c r="T130" i="19" a="1"/>
  <c r="T130" i="19" s="1"/>
  <c r="B131" i="19" a="1"/>
  <c r="B131" i="19" s="1"/>
  <c r="C131" i="19" a="1"/>
  <c r="C131" i="19" s="1"/>
  <c r="D131" i="19" a="1"/>
  <c r="D131" i="19" s="1"/>
  <c r="E131" i="19" a="1"/>
  <c r="E131" i="19"/>
  <c r="F131" i="19" a="1"/>
  <c r="F131" i="19"/>
  <c r="G131" i="19" a="1"/>
  <c r="G131" i="19" s="1"/>
  <c r="H131" i="19" a="1"/>
  <c r="H131" i="19" s="1"/>
  <c r="I131" i="19" a="1"/>
  <c r="I131" i="19"/>
  <c r="J131" i="19" a="1"/>
  <c r="J131" i="19" s="1"/>
  <c r="K131" i="19" a="1"/>
  <c r="K131" i="19"/>
  <c r="L131" i="19" a="1"/>
  <c r="L131" i="19" s="1"/>
  <c r="M131" i="19" a="1"/>
  <c r="M131" i="19"/>
  <c r="N131" i="19" a="1"/>
  <c r="N131" i="19" s="1"/>
  <c r="O131" i="19" a="1"/>
  <c r="O131" i="19"/>
  <c r="P131" i="19" a="1"/>
  <c r="P131" i="19" s="1"/>
  <c r="Q131" i="19" a="1"/>
  <c r="Q131" i="19"/>
  <c r="R131" i="19" a="1"/>
  <c r="R131" i="19"/>
  <c r="S131" i="19" a="1"/>
  <c r="S131" i="19" s="1"/>
  <c r="T131" i="19" a="1"/>
  <c r="T131" i="19" s="1"/>
  <c r="B132" i="19" a="1"/>
  <c r="B132" i="19" s="1"/>
  <c r="C132" i="19" a="1"/>
  <c r="C132" i="19" s="1"/>
  <c r="D132" i="19" a="1"/>
  <c r="D132" i="19" s="1"/>
  <c r="E132" i="19" a="1"/>
  <c r="E132" i="19"/>
  <c r="F132" i="19" a="1"/>
  <c r="F132" i="19"/>
  <c r="G132" i="19" a="1"/>
  <c r="G132" i="19" s="1"/>
  <c r="H132" i="19" a="1"/>
  <c r="H132" i="19" s="1"/>
  <c r="I132" i="19" a="1"/>
  <c r="I132" i="19" s="1"/>
  <c r="J132" i="19" a="1"/>
  <c r="J132" i="19" s="1"/>
  <c r="K132" i="19" a="1"/>
  <c r="K132" i="19" s="1"/>
  <c r="L132" i="19" a="1"/>
  <c r="L132" i="19"/>
  <c r="M132" i="19" a="1"/>
  <c r="M132" i="19" s="1"/>
  <c r="N132" i="19" a="1"/>
  <c r="N132" i="19"/>
  <c r="O132" i="19" a="1"/>
  <c r="O132" i="19" s="1"/>
  <c r="P132" i="19" a="1"/>
  <c r="P132" i="19"/>
  <c r="Q132" i="19" a="1"/>
  <c r="Q132" i="19" s="1"/>
  <c r="R132" i="19" a="1"/>
  <c r="R132" i="19" s="1"/>
  <c r="S132" i="19" a="1"/>
  <c r="S132" i="19" s="1"/>
  <c r="T132" i="19" a="1"/>
  <c r="T132" i="19" s="1"/>
  <c r="B133" i="19" a="1"/>
  <c r="B133" i="19" s="1"/>
  <c r="C133" i="19" a="1"/>
  <c r="C133" i="19" s="1"/>
  <c r="D133" i="19" a="1"/>
  <c r="D133" i="19"/>
  <c r="E133" i="19" a="1"/>
  <c r="E133" i="19" s="1"/>
  <c r="F133" i="19" a="1"/>
  <c r="F133" i="19" s="1"/>
  <c r="G133" i="19" a="1"/>
  <c r="G133" i="19"/>
  <c r="H133" i="19" a="1"/>
  <c r="H133" i="19" s="1"/>
  <c r="I133" i="19" a="1"/>
  <c r="I133" i="19"/>
  <c r="J133" i="19" a="1"/>
  <c r="J133" i="19" s="1"/>
  <c r="K133" i="19" a="1"/>
  <c r="K133" i="19"/>
  <c r="L133" i="19" a="1"/>
  <c r="L133" i="19" s="1"/>
  <c r="M133" i="19" a="1"/>
  <c r="M133" i="19"/>
  <c r="N133" i="19" a="1"/>
  <c r="N133" i="19" s="1"/>
  <c r="O133" i="19" a="1"/>
  <c r="O133" i="19"/>
  <c r="P133" i="19" a="1"/>
  <c r="P133" i="19"/>
  <c r="Q133" i="19" a="1"/>
  <c r="Q133" i="19" s="1"/>
  <c r="R133" i="19" a="1"/>
  <c r="R133" i="19" s="1"/>
  <c r="S133" i="19" a="1"/>
  <c r="S133" i="19" s="1"/>
  <c r="T133" i="19" a="1"/>
  <c r="T133" i="19" s="1"/>
  <c r="B134" i="19" a="1"/>
  <c r="B134" i="19" s="1"/>
  <c r="C134" i="19" a="1"/>
  <c r="C134" i="19"/>
  <c r="D134" i="19" a="1"/>
  <c r="D134" i="19"/>
  <c r="E134" i="19" a="1"/>
  <c r="E134" i="19" s="1"/>
  <c r="F134" i="19" a="1"/>
  <c r="F134" i="19" s="1"/>
  <c r="G134" i="19" a="1"/>
  <c r="G134" i="19" s="1"/>
  <c r="H134" i="19" a="1"/>
  <c r="H134" i="19" s="1"/>
  <c r="I134" i="19" a="1"/>
  <c r="I134" i="19" s="1"/>
  <c r="J134" i="19" a="1"/>
  <c r="J134" i="19"/>
  <c r="K134" i="19" a="1"/>
  <c r="K134" i="19" s="1"/>
  <c r="L134" i="19" a="1"/>
  <c r="L134" i="19"/>
  <c r="M134" i="19" a="1"/>
  <c r="M134" i="19" s="1"/>
  <c r="N134" i="19" a="1"/>
  <c r="N134" i="19"/>
  <c r="O134" i="19" a="1"/>
  <c r="O134" i="19" s="1"/>
  <c r="P134" i="19" a="1"/>
  <c r="P134" i="19" s="1"/>
  <c r="Q134" i="19" a="1"/>
  <c r="Q134" i="19" s="1"/>
  <c r="R134" i="19" a="1"/>
  <c r="R134" i="19" s="1"/>
  <c r="S134" i="19" a="1"/>
  <c r="S134" i="19" s="1"/>
  <c r="T134" i="19" a="1"/>
  <c r="T134" i="19"/>
  <c r="B135" i="19" a="1"/>
  <c r="B135" i="19"/>
  <c r="C135" i="19" a="1"/>
  <c r="C135" i="19" s="1"/>
  <c r="D135" i="19" a="1"/>
  <c r="D135" i="19" s="1"/>
  <c r="E135" i="19" a="1"/>
  <c r="E135" i="19"/>
  <c r="F135" i="19" a="1"/>
  <c r="F135" i="19" s="1"/>
  <c r="G135" i="19" a="1"/>
  <c r="G135" i="19"/>
  <c r="H135" i="19" a="1"/>
  <c r="H135" i="19"/>
  <c r="I135" i="19" a="1"/>
  <c r="I135" i="19"/>
  <c r="J135" i="19" a="1"/>
  <c r="J135" i="19" s="1"/>
  <c r="K135" i="19" a="1"/>
  <c r="K135" i="19"/>
  <c r="L135" i="19" a="1"/>
  <c r="L135" i="19" s="1"/>
  <c r="M135" i="19" a="1"/>
  <c r="M135" i="19"/>
  <c r="N135" i="19" a="1"/>
  <c r="N135" i="19"/>
  <c r="O135" i="19" a="1"/>
  <c r="O135" i="19"/>
  <c r="P135" i="19" a="1"/>
  <c r="P135" i="19" s="1"/>
  <c r="Q135" i="19" a="1"/>
  <c r="Q135" i="19" s="1"/>
  <c r="R135" i="19" a="1"/>
  <c r="R135" i="19" s="1"/>
  <c r="S135" i="19" a="1"/>
  <c r="S135" i="19" s="1"/>
  <c r="T135" i="19" a="1"/>
  <c r="T135" i="19"/>
  <c r="B136" i="19" a="1"/>
  <c r="B136" i="19"/>
  <c r="C136" i="19" a="1"/>
  <c r="C136" i="19" s="1"/>
  <c r="D136" i="19" a="1"/>
  <c r="D136" i="19" s="1"/>
  <c r="E136" i="19" a="1"/>
  <c r="E136" i="19" s="1"/>
  <c r="F136" i="19" a="1"/>
  <c r="F136" i="19" s="1"/>
  <c r="G136" i="19" a="1"/>
  <c r="G136" i="19" s="1"/>
  <c r="H136" i="19" a="1"/>
  <c r="H136" i="19"/>
  <c r="I136" i="19" a="1"/>
  <c r="I136" i="19" s="1"/>
  <c r="J136" i="19" a="1"/>
  <c r="J136" i="19"/>
  <c r="K136" i="19" a="1"/>
  <c r="K136" i="19" s="1"/>
  <c r="L136" i="19" a="1"/>
  <c r="L136" i="19"/>
  <c r="M136" i="19" a="1"/>
  <c r="M136" i="19" s="1"/>
  <c r="N136" i="19" a="1"/>
  <c r="N136" i="19" s="1"/>
  <c r="O136" i="19" a="1"/>
  <c r="O136" i="19" s="1"/>
  <c r="P136" i="19" a="1"/>
  <c r="P136" i="19" s="1"/>
  <c r="Q136" i="19" a="1"/>
  <c r="Q136" i="19" s="1"/>
  <c r="R136" i="19" a="1"/>
  <c r="R136" i="19" s="1"/>
  <c r="S136" i="19" a="1"/>
  <c r="S136" i="19"/>
  <c r="T136" i="19" a="1"/>
  <c r="T136" i="19" s="1"/>
  <c r="B137" i="19" a="1"/>
  <c r="B137" i="19" s="1"/>
  <c r="C137" i="19" a="1"/>
  <c r="C137" i="19"/>
  <c r="D137" i="19" a="1"/>
  <c r="D137" i="19" s="1"/>
  <c r="E137" i="19" a="1"/>
  <c r="E137" i="19"/>
  <c r="F137" i="19" a="1"/>
  <c r="F137" i="19"/>
  <c r="G137" i="19" a="1"/>
  <c r="G137" i="19"/>
  <c r="H137" i="19" a="1"/>
  <c r="H137" i="19" s="1"/>
  <c r="I137" i="19" a="1"/>
  <c r="I137" i="19"/>
  <c r="J137" i="19" a="1"/>
  <c r="J137" i="19" s="1"/>
  <c r="K137" i="19" a="1"/>
  <c r="K137" i="19"/>
  <c r="L137" i="19" a="1"/>
  <c r="L137" i="19"/>
  <c r="M137" i="19" a="1"/>
  <c r="M137" i="19"/>
  <c r="N137" i="19" a="1"/>
  <c r="N137" i="19" s="1"/>
  <c r="O137" i="19" a="1"/>
  <c r="O137" i="19" s="1"/>
  <c r="P137" i="19" a="1"/>
  <c r="P137" i="19" s="1"/>
  <c r="Q137" i="19" a="1"/>
  <c r="Q137" i="19" s="1"/>
  <c r="R137" i="19" a="1"/>
  <c r="R137" i="19"/>
  <c r="S137" i="19" a="1"/>
  <c r="S137" i="19"/>
  <c r="T137" i="19" a="1"/>
  <c r="T137" i="19" s="1"/>
  <c r="B138" i="19" a="1"/>
  <c r="B138" i="19" s="1"/>
  <c r="C138" i="19" a="1"/>
  <c r="C138" i="19" s="1"/>
  <c r="D138" i="19" a="1"/>
  <c r="D138" i="19" s="1"/>
  <c r="E138" i="19" a="1"/>
  <c r="E138" i="19" s="1"/>
  <c r="F138" i="19" a="1"/>
  <c r="F138" i="19"/>
  <c r="G138" i="19" a="1"/>
  <c r="G138" i="19" s="1"/>
  <c r="H138" i="19" a="1"/>
  <c r="H138" i="19"/>
  <c r="I138" i="19" a="1"/>
  <c r="I138" i="19" s="1"/>
  <c r="J138" i="19" a="1"/>
  <c r="J138" i="19"/>
  <c r="K138" i="19" a="1"/>
  <c r="K138" i="19" s="1"/>
  <c r="L138" i="19" a="1"/>
  <c r="L138" i="19" s="1"/>
  <c r="M138" i="19" a="1"/>
  <c r="M138" i="19" s="1"/>
  <c r="N138" i="19" a="1"/>
  <c r="N138" i="19" s="1"/>
  <c r="O138" i="19" a="1"/>
  <c r="O138" i="19" s="1"/>
  <c r="P138" i="19" a="1"/>
  <c r="P138" i="19"/>
  <c r="Q138" i="19" a="1"/>
  <c r="Q138" i="19"/>
  <c r="R138" i="19" a="1"/>
  <c r="R138" i="19" s="1"/>
  <c r="S138" i="19" a="1"/>
  <c r="S138" i="19" s="1"/>
  <c r="T138" i="19" a="1"/>
  <c r="T138" i="19"/>
  <c r="B139" i="19" a="1"/>
  <c r="B139" i="19" s="1"/>
  <c r="C139" i="19" a="1"/>
  <c r="C139" i="19"/>
  <c r="D139" i="19" a="1"/>
  <c r="D139" i="19" s="1"/>
  <c r="E139" i="19" a="1"/>
  <c r="E139" i="19"/>
  <c r="F139" i="19" a="1"/>
  <c r="F139" i="19" s="1"/>
  <c r="G139" i="19" a="1"/>
  <c r="G139" i="19"/>
  <c r="H139" i="19" a="1"/>
  <c r="H139" i="19" s="1"/>
  <c r="I139" i="19" a="1"/>
  <c r="I139" i="19"/>
  <c r="J139" i="19" a="1"/>
  <c r="J139" i="19"/>
  <c r="K139" i="19" a="1"/>
  <c r="K139" i="19" s="1"/>
  <c r="L139" i="19" a="1"/>
  <c r="L139" i="19" s="1"/>
  <c r="M139" i="19" a="1"/>
  <c r="M139" i="19" s="1"/>
  <c r="N139" i="19" a="1"/>
  <c r="N139" i="19" s="1"/>
  <c r="O139" i="19" a="1"/>
  <c r="O139" i="19" s="1"/>
  <c r="P139" i="19" a="1"/>
  <c r="P139" i="19"/>
  <c r="Q139" i="19" a="1"/>
  <c r="Q139" i="19"/>
  <c r="R139" i="19" a="1"/>
  <c r="R139" i="19" s="1"/>
  <c r="S139" i="19" a="1"/>
  <c r="S139" i="19" s="1"/>
  <c r="T139" i="19" a="1"/>
  <c r="T139" i="19" s="1"/>
  <c r="B140" i="19" a="1"/>
  <c r="B140" i="19" s="1"/>
  <c r="C140" i="19" a="1"/>
  <c r="C140" i="19" s="1"/>
  <c r="D140" i="19" a="1"/>
  <c r="D140" i="19" s="1"/>
  <c r="E140" i="19" a="1"/>
  <c r="E140" i="19" s="1"/>
  <c r="F140" i="19" a="1"/>
  <c r="F140" i="19"/>
  <c r="G140" i="19" a="1"/>
  <c r="G140" i="19" s="1"/>
  <c r="H140" i="19" a="1"/>
  <c r="H140" i="19"/>
  <c r="I140" i="19" a="1"/>
  <c r="I140" i="19" s="1"/>
  <c r="J140" i="19" a="1"/>
  <c r="J140" i="19" s="1"/>
  <c r="K140" i="19" a="1"/>
  <c r="K140" i="19" s="1"/>
  <c r="L140" i="19" a="1"/>
  <c r="L140" i="19" s="1"/>
  <c r="M140" i="19" a="1"/>
  <c r="M140" i="19" s="1"/>
  <c r="N140" i="19" a="1"/>
  <c r="N140" i="19" s="1"/>
  <c r="O140" i="19" a="1"/>
  <c r="O140" i="19"/>
  <c r="P140" i="19" a="1"/>
  <c r="P140" i="19" s="1"/>
  <c r="Q140" i="19" a="1"/>
  <c r="Q140" i="19" s="1"/>
  <c r="R140" i="19" a="1"/>
  <c r="R140" i="19"/>
  <c r="S140" i="19" a="1"/>
  <c r="S140" i="19" s="1"/>
  <c r="T140" i="19" a="1"/>
  <c r="T140" i="19"/>
  <c r="B141" i="19" a="1"/>
  <c r="B141" i="19"/>
  <c r="C141" i="19" a="1"/>
  <c r="C141" i="19"/>
  <c r="D141" i="19" a="1"/>
  <c r="D141" i="19" s="1"/>
  <c r="E141" i="19" a="1"/>
  <c r="E141" i="19"/>
  <c r="F141" i="19" a="1"/>
  <c r="F141" i="19" s="1"/>
  <c r="G141" i="19" a="1"/>
  <c r="G141" i="19"/>
  <c r="H141" i="19" a="1"/>
  <c r="H141" i="19"/>
  <c r="I141" i="19" a="1"/>
  <c r="I141" i="19"/>
  <c r="J141" i="19" a="1"/>
  <c r="J141" i="19" s="1"/>
  <c r="K141" i="19" a="1"/>
  <c r="K141" i="19" s="1"/>
  <c r="L141" i="19" a="1"/>
  <c r="L141" i="19" s="1"/>
  <c r="M141" i="19" a="1"/>
  <c r="M141" i="19" s="1"/>
  <c r="N141" i="19" a="1"/>
  <c r="N141" i="19" s="1"/>
  <c r="O141" i="19" a="1"/>
  <c r="O141" i="19"/>
  <c r="P141" i="19" a="1"/>
  <c r="P141" i="19" s="1"/>
  <c r="Q141" i="19" a="1"/>
  <c r="Q141" i="19" s="1"/>
  <c r="R141" i="19" a="1"/>
  <c r="R141" i="19" s="1"/>
  <c r="S141" i="19" a="1"/>
  <c r="S141" i="19" s="1"/>
  <c r="T141" i="19" a="1"/>
  <c r="T141" i="19" s="1"/>
  <c r="B142" i="19" a="1"/>
  <c r="B142" i="19" s="1"/>
  <c r="C142" i="19" a="1"/>
  <c r="C142" i="19" s="1"/>
  <c r="D142" i="19" a="1"/>
  <c r="D142" i="19"/>
  <c r="E142" i="19" a="1"/>
  <c r="E142" i="19" s="1"/>
  <c r="F142" i="19" a="1"/>
  <c r="F142" i="19"/>
  <c r="G142" i="19" a="1"/>
  <c r="G142" i="19" s="1"/>
  <c r="H142" i="19" a="1"/>
  <c r="H142" i="19" s="1"/>
  <c r="I142" i="19" a="1"/>
  <c r="I142" i="19" s="1"/>
  <c r="J142" i="19" a="1"/>
  <c r="J142" i="19" s="1"/>
  <c r="K142" i="19" a="1"/>
  <c r="K142" i="19" s="1"/>
  <c r="L142" i="19" a="1"/>
  <c r="L142" i="19" s="1"/>
  <c r="M142" i="19" a="1"/>
  <c r="M142" i="19"/>
  <c r="N142" i="19" a="1"/>
  <c r="N142" i="19" s="1"/>
  <c r="O142" i="19" a="1"/>
  <c r="O142" i="19" s="1"/>
  <c r="P142" i="19" a="1"/>
  <c r="P142" i="19"/>
  <c r="Q142" i="19" a="1"/>
  <c r="Q142" i="19" s="1"/>
  <c r="R142" i="19" a="1"/>
  <c r="R142" i="19"/>
  <c r="S142" i="19" a="1"/>
  <c r="S142" i="19" s="1"/>
  <c r="T142" i="19" a="1"/>
  <c r="T142" i="19"/>
  <c r="B143" i="19" a="1"/>
  <c r="B143" i="19" s="1"/>
  <c r="C143" i="19" a="1"/>
  <c r="C143" i="19"/>
  <c r="D143" i="19" a="1"/>
  <c r="D143" i="19" s="1"/>
  <c r="E143" i="19" a="1"/>
  <c r="E143" i="19" s="1"/>
  <c r="F143" i="19" a="1"/>
  <c r="F143" i="19"/>
  <c r="G143" i="19" a="1"/>
  <c r="G143" i="19"/>
  <c r="H143" i="19" a="1"/>
  <c r="H143" i="19" s="1"/>
  <c r="I143" i="19" a="1"/>
  <c r="I143" i="19" s="1"/>
  <c r="J143" i="19" a="1"/>
  <c r="J143" i="19" s="1"/>
  <c r="K143" i="19" a="1"/>
  <c r="K143" i="19" s="1"/>
  <c r="L143" i="19" a="1"/>
  <c r="L143" i="19" s="1"/>
  <c r="M143" i="19" a="1"/>
  <c r="M143" i="19"/>
  <c r="N143" i="19" a="1"/>
  <c r="N143" i="19" s="1"/>
  <c r="O143" i="19" a="1"/>
  <c r="O143" i="19" s="1"/>
  <c r="P143" i="19" a="1"/>
  <c r="P143" i="19" s="1"/>
  <c r="Q143" i="19" a="1"/>
  <c r="Q143" i="19" s="1"/>
  <c r="R143" i="19" a="1"/>
  <c r="R143" i="19" s="1"/>
  <c r="S143" i="19" a="1"/>
  <c r="S143" i="19" s="1"/>
  <c r="T143" i="19" a="1"/>
  <c r="T143" i="19" s="1"/>
  <c r="B144" i="19" a="1"/>
  <c r="B144" i="19"/>
  <c r="C144" i="19" a="1"/>
  <c r="C144" i="19" s="1"/>
  <c r="D144" i="19" a="1"/>
  <c r="D144" i="19"/>
  <c r="E144" i="19" a="1"/>
  <c r="E144" i="19" s="1"/>
  <c r="F144" i="19" a="1"/>
  <c r="F144" i="19" s="1"/>
  <c r="G144" i="19" a="1"/>
  <c r="G144" i="19" s="1"/>
  <c r="H144" i="19" a="1"/>
  <c r="H144" i="19" s="1"/>
  <c r="I144" i="19" a="1"/>
  <c r="I144" i="19" s="1"/>
  <c r="J144" i="19" a="1"/>
  <c r="J144" i="19" s="1"/>
  <c r="K144" i="19" a="1"/>
  <c r="K144" i="19"/>
  <c r="L144" i="19" a="1"/>
  <c r="L144" i="19" s="1"/>
  <c r="M144" i="19" a="1"/>
  <c r="M144" i="19" s="1"/>
  <c r="N144" i="19" a="1"/>
  <c r="N144" i="19"/>
  <c r="O144" i="19" a="1"/>
  <c r="O144" i="19" s="1"/>
  <c r="P144" i="19" a="1"/>
  <c r="P144" i="19"/>
  <c r="Q144" i="19" a="1"/>
  <c r="Q144" i="19" s="1"/>
  <c r="R144" i="19" a="1"/>
  <c r="R144" i="19"/>
  <c r="S144" i="19" a="1"/>
  <c r="S144" i="19" s="1"/>
  <c r="T144" i="19" a="1"/>
  <c r="T144" i="19"/>
  <c r="B145" i="19" a="1"/>
  <c r="B145" i="19" s="1"/>
  <c r="C145" i="19" a="1"/>
  <c r="C145" i="19" s="1"/>
  <c r="D145" i="19" a="1"/>
  <c r="D145" i="19"/>
  <c r="E145" i="19" a="1"/>
  <c r="E145" i="19"/>
  <c r="F145" i="19" a="1"/>
  <c r="F145" i="19" s="1"/>
  <c r="G145" i="19" a="1"/>
  <c r="G145" i="19"/>
  <c r="H145" i="19" a="1"/>
  <c r="H145" i="19" s="1"/>
  <c r="I145" i="19" a="1"/>
  <c r="I145" i="19" s="1"/>
  <c r="J145" i="19" a="1"/>
  <c r="J145" i="19" s="1"/>
  <c r="K145" i="19" a="1"/>
  <c r="K145" i="19"/>
  <c r="L145" i="19" a="1"/>
  <c r="L145" i="19" s="1"/>
  <c r="M145" i="19" a="1"/>
  <c r="M145" i="19" s="1"/>
  <c r="N145" i="19" a="1"/>
  <c r="N145" i="19" s="1"/>
  <c r="O145" i="19" a="1"/>
  <c r="O145" i="19" s="1"/>
  <c r="P145" i="19" a="1"/>
  <c r="P145" i="19" s="1"/>
  <c r="Q145" i="19" a="1"/>
  <c r="Q145" i="19" s="1"/>
  <c r="R145" i="19" a="1"/>
  <c r="R145" i="19" s="1"/>
  <c r="S145" i="19" a="1"/>
  <c r="S145" i="19"/>
  <c r="T145" i="19" a="1"/>
  <c r="T145" i="19" s="1"/>
  <c r="B146" i="19" a="1"/>
  <c r="B146" i="19"/>
  <c r="C146" i="19" a="1"/>
  <c r="C146" i="19" s="1"/>
  <c r="D146" i="19" a="1"/>
  <c r="D146" i="19" s="1"/>
  <c r="E146" i="19" a="1"/>
  <c r="E146" i="19" s="1"/>
  <c r="F146" i="19" a="1"/>
  <c r="F146" i="19" s="1"/>
  <c r="G146" i="19" a="1"/>
  <c r="G146" i="19" s="1"/>
  <c r="H146" i="19" a="1"/>
  <c r="H146" i="19" s="1"/>
  <c r="I146" i="19" a="1"/>
  <c r="I146" i="19"/>
  <c r="J146" i="19" a="1"/>
  <c r="J146" i="19" s="1"/>
  <c r="K146" i="19" a="1"/>
  <c r="K146" i="19" s="1"/>
  <c r="L146" i="19" a="1"/>
  <c r="L146" i="19"/>
  <c r="M146" i="19" a="1"/>
  <c r="M146" i="19" s="1"/>
  <c r="N146" i="19" a="1"/>
  <c r="N146" i="19"/>
  <c r="O146" i="19" a="1"/>
  <c r="O146" i="19" s="1"/>
  <c r="P146" i="19" a="1"/>
  <c r="P146" i="19"/>
  <c r="Q146" i="19" a="1"/>
  <c r="Q146" i="19" s="1"/>
  <c r="R146" i="19" a="1"/>
  <c r="R146" i="19"/>
  <c r="S146" i="19" a="1"/>
  <c r="S146" i="19" s="1"/>
  <c r="T146" i="19" a="1"/>
  <c r="T146" i="19" s="1"/>
  <c r="B147" i="19" a="1"/>
  <c r="B147" i="19"/>
  <c r="C147" i="19" a="1"/>
  <c r="C147" i="19" s="1"/>
  <c r="D147" i="19" a="1"/>
  <c r="D147" i="19" s="1"/>
  <c r="E147" i="19" a="1"/>
  <c r="E147" i="19"/>
  <c r="F147" i="19" a="1"/>
  <c r="F147" i="19" s="1"/>
  <c r="G147" i="19" a="1"/>
  <c r="G147" i="19" s="1"/>
  <c r="H147" i="19" a="1"/>
  <c r="H147" i="19" s="1"/>
  <c r="I147" i="19" a="1"/>
  <c r="I147" i="19"/>
  <c r="J147" i="19" a="1"/>
  <c r="J147" i="19" s="1"/>
  <c r="K147" i="19" a="1"/>
  <c r="K147" i="19" s="1"/>
  <c r="L147" i="19" a="1"/>
  <c r="L147" i="19" s="1"/>
  <c r="M147" i="19" a="1"/>
  <c r="M147" i="19" s="1"/>
  <c r="N147" i="19" a="1"/>
  <c r="N147" i="19" s="1"/>
  <c r="O147" i="19" a="1"/>
  <c r="O147" i="19" s="1"/>
  <c r="P147" i="19" a="1"/>
  <c r="P147" i="19" s="1"/>
  <c r="Q147" i="19" a="1"/>
  <c r="Q147" i="19"/>
  <c r="R147" i="19" a="1"/>
  <c r="R147" i="19" s="1"/>
  <c r="S147" i="19" a="1"/>
  <c r="S147" i="19"/>
  <c r="T147" i="19" a="1"/>
  <c r="T147" i="19" s="1"/>
  <c r="B148" i="19" a="1"/>
  <c r="B148" i="19" s="1"/>
  <c r="C148" i="19" a="1"/>
  <c r="C148" i="19" s="1"/>
  <c r="D148" i="19" a="1"/>
  <c r="D148" i="19" s="1"/>
  <c r="E148" i="19" a="1"/>
  <c r="E148" i="19" s="1"/>
  <c r="F148" i="19" a="1"/>
  <c r="F148" i="19"/>
  <c r="G148" i="19" a="1"/>
  <c r="G148" i="19"/>
  <c r="H148" i="19" a="1"/>
  <c r="H148" i="19" s="1"/>
  <c r="I148" i="19" a="1"/>
  <c r="I148" i="19" s="1"/>
  <c r="J148" i="19" a="1"/>
  <c r="J148" i="19"/>
  <c r="K148" i="19" a="1"/>
  <c r="K148" i="19" s="1"/>
  <c r="L148" i="19" a="1"/>
  <c r="L148" i="19"/>
  <c r="M148" i="19" a="1"/>
  <c r="M148" i="19"/>
  <c r="N148" i="19" a="1"/>
  <c r="N148" i="19"/>
  <c r="O148" i="19" a="1"/>
  <c r="O148" i="19" s="1"/>
  <c r="P148" i="19" a="1"/>
  <c r="P148" i="19"/>
  <c r="Q148" i="19" a="1"/>
  <c r="Q148" i="19" s="1"/>
  <c r="R148" i="19" a="1"/>
  <c r="R148" i="19" s="1"/>
  <c r="S148" i="19" a="1"/>
  <c r="S148" i="19"/>
  <c r="T148" i="19" a="1"/>
  <c r="T148" i="19" s="1"/>
  <c r="B149" i="19" a="1"/>
  <c r="B149" i="19" s="1"/>
  <c r="C149" i="19" a="1"/>
  <c r="C149" i="19"/>
  <c r="D149" i="19" a="1"/>
  <c r="D149" i="19" s="1"/>
  <c r="E149" i="19" a="1"/>
  <c r="E149" i="19" s="1"/>
  <c r="F149" i="19" a="1"/>
  <c r="F149" i="19" s="1"/>
  <c r="G149" i="19" a="1"/>
  <c r="G149" i="19"/>
  <c r="H149" i="19" a="1"/>
  <c r="H149" i="19" s="1"/>
  <c r="I149" i="19" a="1"/>
  <c r="I149" i="19" s="1"/>
  <c r="J149" i="19" a="1"/>
  <c r="J149" i="19" s="1"/>
  <c r="K149" i="19" a="1"/>
  <c r="K149" i="19" s="1"/>
  <c r="L149" i="19" a="1"/>
  <c r="L149" i="19" s="1"/>
  <c r="M149" i="19" a="1"/>
  <c r="M149" i="19" s="1"/>
  <c r="N149" i="19" a="1"/>
  <c r="N149" i="19" s="1"/>
  <c r="O149" i="19" a="1"/>
  <c r="O149" i="19"/>
  <c r="P149" i="19" a="1"/>
  <c r="P149" i="19" s="1"/>
  <c r="Q149" i="19" a="1"/>
  <c r="Q149" i="19"/>
  <c r="R149" i="19" a="1"/>
  <c r="R149" i="19" s="1"/>
  <c r="S149" i="19" a="1"/>
  <c r="S149" i="19" s="1"/>
  <c r="T149" i="19" a="1"/>
  <c r="T149" i="19" s="1"/>
  <c r="B150" i="19" a="1"/>
  <c r="B150" i="19" s="1"/>
  <c r="C150" i="19" a="1"/>
  <c r="C150" i="19" s="1"/>
  <c r="D150" i="19" a="1"/>
  <c r="D150" i="19"/>
  <c r="E150" i="19" a="1"/>
  <c r="E150" i="19"/>
  <c r="F150" i="19" a="1"/>
  <c r="F150" i="19" s="1"/>
  <c r="G150" i="19" a="1"/>
  <c r="G150" i="19" s="1"/>
  <c r="H150" i="19" a="1"/>
  <c r="H150" i="19"/>
  <c r="I150" i="19" a="1"/>
  <c r="I150" i="19" s="1"/>
  <c r="J150" i="19" a="1"/>
  <c r="J150" i="19"/>
  <c r="K150" i="19" a="1"/>
  <c r="K150" i="19"/>
  <c r="L150" i="19" a="1"/>
  <c r="L150" i="19"/>
  <c r="M150" i="19" a="1"/>
  <c r="M150" i="19" s="1"/>
  <c r="N150" i="19" a="1"/>
  <c r="N150" i="19"/>
  <c r="O150" i="19" a="1"/>
  <c r="O150" i="19" s="1"/>
  <c r="P150" i="19" a="1"/>
  <c r="P150" i="19" s="1"/>
  <c r="Q150" i="19" a="1"/>
  <c r="Q150" i="19"/>
  <c r="R150" i="19" a="1"/>
  <c r="R150" i="19"/>
  <c r="S150" i="19" a="1"/>
  <c r="S150" i="19" s="1"/>
  <c r="T150" i="19" a="1"/>
  <c r="T150" i="19" s="1"/>
  <c r="B151" i="19" a="1"/>
  <c r="B151" i="19" s="1"/>
  <c r="C151" i="19" a="1"/>
  <c r="C151" i="19" s="1"/>
  <c r="D151" i="19" a="1"/>
  <c r="D151" i="19" s="1"/>
  <c r="E151" i="19" a="1"/>
  <c r="E151" i="19"/>
  <c r="F151" i="19" a="1"/>
  <c r="F151" i="19" s="1"/>
  <c r="G151" i="19" a="1"/>
  <c r="G151" i="19" s="1"/>
  <c r="H151" i="19" a="1"/>
  <c r="H151" i="19" s="1"/>
  <c r="I151" i="19" a="1"/>
  <c r="I151" i="19" s="1"/>
  <c r="J151" i="19" a="1"/>
  <c r="J151" i="19" s="1"/>
  <c r="K151" i="19" a="1"/>
  <c r="K151" i="19" s="1"/>
  <c r="L151" i="19" a="1"/>
  <c r="L151" i="19" s="1"/>
  <c r="M151" i="19" a="1"/>
  <c r="M151" i="19"/>
  <c r="N151" i="19" a="1"/>
  <c r="N151" i="19" s="1"/>
  <c r="O151" i="19" a="1"/>
  <c r="O151" i="19"/>
  <c r="P151" i="19" a="1"/>
  <c r="P151" i="19" s="1"/>
  <c r="Q151" i="19" a="1"/>
  <c r="Q151" i="19" s="1"/>
  <c r="R151" i="19" a="1"/>
  <c r="R151" i="19" s="1"/>
  <c r="S151" i="19" a="1"/>
  <c r="S151" i="19" s="1"/>
  <c r="T151" i="19" a="1"/>
  <c r="T151" i="19" s="1"/>
  <c r="B152" i="19" a="1"/>
  <c r="B152" i="19" s="1"/>
  <c r="C152" i="19" a="1"/>
  <c r="C152" i="19"/>
  <c r="D152" i="19" a="1"/>
  <c r="D152" i="19" s="1"/>
  <c r="E152" i="19" a="1"/>
  <c r="E152" i="19" s="1"/>
  <c r="F152" i="19" a="1"/>
  <c r="F152" i="19"/>
  <c r="G152" i="19" a="1"/>
  <c r="G152" i="19" s="1"/>
  <c r="H152" i="19" a="1"/>
  <c r="H152" i="19"/>
  <c r="I152" i="19" a="1"/>
  <c r="I152" i="19"/>
  <c r="J152" i="19" a="1"/>
  <c r="J152" i="19"/>
  <c r="K152" i="19" a="1"/>
  <c r="K152" i="19" s="1"/>
  <c r="L152" i="19" a="1"/>
  <c r="L152" i="19"/>
  <c r="M152" i="19" a="1"/>
  <c r="M152" i="19" s="1"/>
  <c r="N152" i="19" a="1"/>
  <c r="N152" i="19" s="1"/>
  <c r="O152" i="19" a="1"/>
  <c r="O152" i="19"/>
  <c r="P152" i="19" a="1"/>
  <c r="P152" i="19"/>
  <c r="Q152" i="19" a="1"/>
  <c r="Q152" i="19" s="1"/>
  <c r="R152" i="19" a="1"/>
  <c r="R152" i="19"/>
  <c r="S152" i="19" a="1"/>
  <c r="S152" i="19" s="1"/>
  <c r="T152" i="19" a="1"/>
  <c r="T152" i="19" s="1"/>
  <c r="B153" i="19" a="1"/>
  <c r="B153" i="19" s="1"/>
  <c r="C153" i="19" a="1"/>
  <c r="C153" i="19"/>
  <c r="D153" i="19" a="1"/>
  <c r="D153" i="19" s="1"/>
  <c r="E153" i="19" a="1"/>
  <c r="E153" i="19" s="1"/>
  <c r="F153" i="19" a="1"/>
  <c r="F153" i="19" s="1"/>
  <c r="G153" i="19" a="1"/>
  <c r="G153" i="19" s="1"/>
  <c r="H153" i="19" a="1"/>
  <c r="H153" i="19" s="1"/>
  <c r="I153" i="19" a="1"/>
  <c r="I153" i="19" s="1"/>
  <c r="J153" i="19" a="1"/>
  <c r="J153" i="19" s="1"/>
  <c r="K153" i="19" a="1"/>
  <c r="K153" i="19"/>
  <c r="L153" i="19" a="1"/>
  <c r="L153" i="19" s="1"/>
  <c r="M153" i="19" a="1"/>
  <c r="M153" i="19"/>
  <c r="N153" i="19" a="1"/>
  <c r="N153" i="19" s="1"/>
  <c r="O153" i="19" a="1"/>
  <c r="O153" i="19" s="1"/>
  <c r="P153" i="19" a="1"/>
  <c r="P153" i="19" s="1"/>
  <c r="Q153" i="19" a="1"/>
  <c r="Q153" i="19" s="1"/>
  <c r="R153" i="19" a="1"/>
  <c r="R153" i="19" s="1"/>
  <c r="S153" i="19" a="1"/>
  <c r="S153" i="19"/>
  <c r="T153" i="19" a="1"/>
  <c r="T153" i="19"/>
  <c r="B154" i="19" a="1"/>
  <c r="B154" i="19" s="1"/>
  <c r="C154" i="19" a="1"/>
  <c r="C154" i="19" s="1"/>
  <c r="D154" i="19" a="1"/>
  <c r="D154" i="19"/>
  <c r="E154" i="19" a="1"/>
  <c r="E154" i="19" s="1"/>
  <c r="F154" i="19" a="1"/>
  <c r="F154" i="19"/>
  <c r="G154" i="19" a="1"/>
  <c r="G154" i="19" s="1"/>
  <c r="H154" i="19" a="1"/>
  <c r="H154" i="19"/>
  <c r="I154" i="19" a="1"/>
  <c r="I154" i="19" s="1"/>
  <c r="J154" i="19" a="1"/>
  <c r="J154" i="19"/>
  <c r="K154" i="19" a="1"/>
  <c r="K154" i="19" s="1"/>
  <c r="L154" i="19" a="1"/>
  <c r="L154" i="19" s="1"/>
  <c r="M154" i="19" a="1"/>
  <c r="M154" i="19"/>
  <c r="N154" i="19" a="1"/>
  <c r="N154" i="19"/>
  <c r="O154" i="19" a="1"/>
  <c r="O154" i="19" s="1"/>
  <c r="P154" i="19" a="1"/>
  <c r="P154" i="19" s="1"/>
  <c r="Q154" i="19" a="1"/>
  <c r="Q154" i="19" s="1"/>
  <c r="R154" i="19" a="1"/>
  <c r="R154" i="19" s="1"/>
  <c r="S154" i="19" a="1"/>
  <c r="S154" i="19" s="1"/>
  <c r="T154" i="19" a="1"/>
  <c r="T154" i="19"/>
  <c r="B155" i="19" a="1"/>
  <c r="B155" i="19" s="1"/>
  <c r="C155" i="19" a="1"/>
  <c r="C155" i="19" s="1"/>
  <c r="D155" i="19" a="1"/>
  <c r="D155" i="19" s="1"/>
  <c r="E155" i="19" a="1"/>
  <c r="E155" i="19" s="1"/>
  <c r="F155" i="19" a="1"/>
  <c r="F155" i="19" s="1"/>
  <c r="G155" i="19" a="1"/>
  <c r="G155" i="19" s="1"/>
  <c r="H155" i="19" a="1"/>
  <c r="H155" i="19" s="1"/>
  <c r="I155" i="19" a="1"/>
  <c r="I155" i="19" s="1"/>
  <c r="J155" i="19" a="1"/>
  <c r="J155" i="19" s="1"/>
  <c r="K155" i="19" a="1"/>
  <c r="K155" i="19"/>
  <c r="L155" i="19" a="1"/>
  <c r="L155" i="19" s="1"/>
  <c r="M155" i="19" a="1"/>
  <c r="M155" i="19" s="1"/>
  <c r="N155" i="19" a="1"/>
  <c r="N155" i="19" s="1"/>
  <c r="O155" i="19" a="1"/>
  <c r="O155" i="19" s="1"/>
  <c r="P155" i="19" a="1"/>
  <c r="P155" i="19" s="1"/>
  <c r="Q155" i="19" a="1"/>
  <c r="Q155" i="19" s="1"/>
  <c r="R155" i="19" a="1"/>
  <c r="R155" i="19"/>
  <c r="S155" i="19" a="1"/>
  <c r="S155" i="19" s="1"/>
  <c r="T155" i="19" a="1"/>
  <c r="T155" i="19" s="1"/>
  <c r="B156" i="19" a="1"/>
  <c r="B156" i="19"/>
  <c r="C156" i="19" a="1"/>
  <c r="C156" i="19" s="1"/>
  <c r="D156" i="19" a="1"/>
  <c r="D156" i="19"/>
  <c r="E156" i="19" a="1"/>
  <c r="E156" i="19"/>
  <c r="F156" i="19" a="1"/>
  <c r="F156" i="19"/>
  <c r="G156" i="19" a="1"/>
  <c r="G156" i="19" s="1"/>
  <c r="H156" i="19" a="1"/>
  <c r="H156" i="19"/>
  <c r="I156" i="19" a="1"/>
  <c r="I156" i="19" s="1"/>
  <c r="J156" i="19" a="1"/>
  <c r="J156" i="19" s="1"/>
  <c r="K156" i="19" a="1"/>
  <c r="K156" i="19"/>
  <c r="L156" i="19" a="1"/>
  <c r="L156" i="19" s="1"/>
  <c r="M156" i="19" a="1"/>
  <c r="M156" i="19" s="1"/>
  <c r="N156" i="19" a="1"/>
  <c r="N156" i="19"/>
  <c r="O156" i="19" a="1"/>
  <c r="O156" i="19" s="1"/>
  <c r="P156" i="19" a="1"/>
  <c r="P156" i="19" s="1"/>
  <c r="Q156" i="19" a="1"/>
  <c r="Q156" i="19" s="1"/>
  <c r="R156" i="19" a="1"/>
  <c r="R156" i="19"/>
  <c r="S156" i="19" a="1"/>
  <c r="S156" i="19" s="1"/>
  <c r="T156" i="19" a="1"/>
  <c r="T156" i="19" s="1"/>
  <c r="B157" i="19" a="1"/>
  <c r="B157" i="19" s="1"/>
  <c r="C157" i="19" a="1"/>
  <c r="C157" i="19" s="1"/>
  <c r="D157" i="19" a="1"/>
  <c r="D157" i="19" s="1"/>
  <c r="E157" i="19" a="1"/>
  <c r="E157" i="19" s="1"/>
  <c r="F157" i="19" a="1"/>
  <c r="F157" i="19" s="1"/>
  <c r="G157" i="19" a="1"/>
  <c r="G157" i="19"/>
  <c r="H157" i="19" a="1"/>
  <c r="H157" i="19" s="1"/>
  <c r="I157" i="19" a="1"/>
  <c r="I157" i="19"/>
  <c r="J157" i="19" a="1"/>
  <c r="J157" i="19" s="1"/>
  <c r="K157" i="19" a="1"/>
  <c r="K157" i="19" s="1"/>
  <c r="L157" i="19" a="1"/>
  <c r="L157" i="19" s="1"/>
  <c r="M157" i="19" a="1"/>
  <c r="M157" i="19" s="1"/>
  <c r="N157" i="19" a="1"/>
  <c r="N157" i="19" s="1"/>
  <c r="O157" i="19" a="1"/>
  <c r="O157" i="19"/>
  <c r="P157" i="19" a="1"/>
  <c r="P157" i="19"/>
  <c r="Q157" i="19" a="1"/>
  <c r="Q157" i="19" s="1"/>
  <c r="R157" i="19" a="1"/>
  <c r="R157" i="19" s="1"/>
  <c r="S157" i="19" a="1"/>
  <c r="S157" i="19"/>
  <c r="T157" i="19" a="1"/>
  <c r="T157" i="19" s="1"/>
  <c r="B158" i="19" a="1"/>
  <c r="B158" i="19"/>
  <c r="C158" i="19" a="1"/>
  <c r="C158" i="19" s="1"/>
  <c r="D158" i="19" a="1"/>
  <c r="D158" i="19"/>
  <c r="E158" i="19" a="1"/>
  <c r="E158" i="19" s="1"/>
  <c r="F158" i="19" a="1"/>
  <c r="F158" i="19"/>
  <c r="G158" i="19" a="1"/>
  <c r="G158" i="19" s="1"/>
  <c r="H158" i="19" a="1"/>
  <c r="H158" i="19" s="1"/>
  <c r="I158" i="19" a="1"/>
  <c r="I158" i="19"/>
  <c r="J158" i="19" a="1"/>
  <c r="J158" i="19"/>
  <c r="K158" i="19" a="1"/>
  <c r="K158" i="19" s="1"/>
  <c r="L158" i="19" a="1"/>
  <c r="L158" i="19" s="1"/>
  <c r="M158" i="19" a="1"/>
  <c r="M158" i="19" s="1"/>
  <c r="N158" i="19" a="1"/>
  <c r="N158" i="19" s="1"/>
  <c r="O158" i="19" a="1"/>
  <c r="O158" i="19" s="1"/>
  <c r="P158" i="19" a="1"/>
  <c r="P158" i="19"/>
  <c r="Q158" i="19" a="1"/>
  <c r="Q158" i="19" s="1"/>
  <c r="R158" i="19" a="1"/>
  <c r="R158" i="19" s="1"/>
  <c r="S158" i="19" a="1"/>
  <c r="S158" i="19" s="1"/>
  <c r="T158" i="19" a="1"/>
  <c r="T158" i="19" s="1"/>
  <c r="B159" i="19" a="1"/>
  <c r="B159" i="19" s="1"/>
  <c r="C159" i="19" a="1"/>
  <c r="C159" i="19" s="1"/>
  <c r="D159" i="19" a="1"/>
  <c r="D159" i="19" s="1"/>
  <c r="E159" i="19" a="1"/>
  <c r="E159" i="19" s="1"/>
  <c r="F159" i="19" a="1"/>
  <c r="F159" i="19" s="1"/>
  <c r="G159" i="19" a="1"/>
  <c r="G159" i="19"/>
  <c r="H159" i="19" a="1"/>
  <c r="H159" i="19" s="1"/>
  <c r="I159" i="19" a="1"/>
  <c r="I159" i="19" s="1"/>
  <c r="J159" i="19" a="1"/>
  <c r="J159" i="19" s="1"/>
  <c r="K159" i="19" a="1"/>
  <c r="K159" i="19" s="1"/>
  <c r="L159" i="19" a="1"/>
  <c r="L159" i="19" s="1"/>
  <c r="M159" i="19" a="1"/>
  <c r="M159" i="19" s="1"/>
  <c r="N159" i="19" a="1"/>
  <c r="N159" i="19"/>
  <c r="O159" i="19" a="1"/>
  <c r="O159" i="19" s="1"/>
  <c r="P159" i="19" a="1"/>
  <c r="P159" i="19" s="1"/>
  <c r="Q159" i="19" a="1"/>
  <c r="Q159" i="19"/>
  <c r="R159" i="19" a="1"/>
  <c r="R159" i="19" s="1"/>
  <c r="S159" i="19" a="1"/>
  <c r="S159" i="19"/>
  <c r="T159" i="19" a="1"/>
  <c r="T159" i="19"/>
  <c r="B160" i="19" a="1"/>
  <c r="B160" i="19"/>
  <c r="C160" i="19" a="1"/>
  <c r="C160" i="19" s="1"/>
  <c r="D160" i="19" a="1"/>
  <c r="D160" i="19"/>
  <c r="E160" i="19" a="1"/>
  <c r="E160" i="19" s="1"/>
  <c r="F160" i="19" a="1"/>
  <c r="F160" i="19" s="1"/>
  <c r="G160" i="19" a="1"/>
  <c r="G160" i="19"/>
  <c r="H160" i="19" a="1"/>
  <c r="H160" i="19" s="1"/>
  <c r="I160" i="19" a="1"/>
  <c r="I160" i="19" s="1"/>
  <c r="J160" i="19" a="1"/>
  <c r="J160" i="19"/>
  <c r="K160" i="19" a="1"/>
  <c r="K160" i="19" s="1"/>
  <c r="L160" i="19" a="1"/>
  <c r="L160" i="19" s="1"/>
  <c r="M160" i="19" a="1"/>
  <c r="M160" i="19" s="1"/>
  <c r="N160" i="19" a="1"/>
  <c r="N160" i="19"/>
  <c r="O160" i="19" a="1"/>
  <c r="O160" i="19" s="1"/>
  <c r="P160" i="19" a="1"/>
  <c r="P160" i="19" s="1"/>
  <c r="Q160" i="19" a="1"/>
  <c r="Q160" i="19" s="1"/>
  <c r="R160" i="19" a="1"/>
  <c r="R160" i="19" s="1"/>
  <c r="S160" i="19" a="1"/>
  <c r="S160" i="19" s="1"/>
  <c r="T160" i="19" a="1"/>
  <c r="T160" i="19" s="1"/>
  <c r="B161" i="19" a="1"/>
  <c r="B161" i="19" s="1"/>
  <c r="C161" i="19" a="1"/>
  <c r="C161" i="19" s="1"/>
  <c r="D161" i="19" a="1"/>
  <c r="D161" i="19" s="1"/>
  <c r="E161" i="19" a="1"/>
  <c r="E161" i="19"/>
  <c r="F161" i="19" a="1"/>
  <c r="F161" i="19" s="1"/>
  <c r="G161" i="19" a="1"/>
  <c r="G161" i="19" s="1"/>
  <c r="H161" i="19" a="1"/>
  <c r="H161" i="19" s="1"/>
  <c r="I161" i="19" a="1"/>
  <c r="I161" i="19" s="1"/>
  <c r="J161" i="19" a="1"/>
  <c r="J161" i="19" s="1"/>
  <c r="K161" i="19" a="1"/>
  <c r="K161" i="19"/>
  <c r="L161" i="19" a="1"/>
  <c r="L161" i="19"/>
  <c r="M161" i="19" a="1"/>
  <c r="M161" i="19" s="1"/>
  <c r="N161" i="19" a="1"/>
  <c r="N161" i="19" s="1"/>
  <c r="O161" i="19" a="1"/>
  <c r="O161" i="19"/>
  <c r="P161" i="19" a="1"/>
  <c r="P161" i="19" s="1"/>
  <c r="Q161" i="19" a="1"/>
  <c r="Q161" i="19"/>
  <c r="R161" i="19" a="1"/>
  <c r="R161" i="19" s="1"/>
  <c r="S161" i="19" a="1"/>
  <c r="S161" i="19"/>
  <c r="T161" i="19" a="1"/>
  <c r="T161" i="19" s="1"/>
  <c r="B162" i="19" a="1"/>
  <c r="B162" i="19"/>
  <c r="C162" i="19" a="1"/>
  <c r="C162" i="19" s="1"/>
  <c r="D162" i="19" a="1"/>
  <c r="D162" i="19" s="1"/>
  <c r="E162" i="19" a="1"/>
  <c r="E162" i="19"/>
  <c r="F162" i="19" a="1"/>
  <c r="F162" i="19"/>
  <c r="G162" i="19" a="1"/>
  <c r="G162" i="19" s="1"/>
  <c r="H162" i="19" a="1"/>
  <c r="H162" i="19"/>
  <c r="I162" i="19" a="1"/>
  <c r="I162" i="19" s="1"/>
  <c r="J162" i="19" a="1"/>
  <c r="J162" i="19" s="1"/>
  <c r="K162" i="19" a="1"/>
  <c r="K162" i="19" s="1"/>
  <c r="L162" i="19" a="1"/>
  <c r="L162" i="19"/>
  <c r="M162" i="19" a="1"/>
  <c r="M162" i="19" s="1"/>
  <c r="N162" i="19" a="1"/>
  <c r="N162" i="19" s="1"/>
  <c r="O162" i="19" a="1"/>
  <c r="O162" i="19" s="1"/>
  <c r="P162" i="19" a="1"/>
  <c r="P162" i="19" s="1"/>
  <c r="Q162" i="19" a="1"/>
  <c r="Q162" i="19" s="1"/>
  <c r="R162" i="19" a="1"/>
  <c r="R162" i="19" s="1"/>
  <c r="S162" i="19" a="1"/>
  <c r="S162" i="19" s="1"/>
  <c r="T162" i="19" a="1"/>
  <c r="T162" i="19"/>
  <c r="B163" i="19" a="1"/>
  <c r="B163" i="19" s="1"/>
  <c r="C163" i="19" a="1"/>
  <c r="C163" i="19"/>
  <c r="D163" i="19" a="1"/>
  <c r="D163" i="19" s="1"/>
  <c r="E163" i="19" a="1"/>
  <c r="E163" i="19" s="1"/>
  <c r="F163" i="19" a="1"/>
  <c r="F163" i="19" s="1"/>
  <c r="G163" i="19" a="1"/>
  <c r="G163" i="19" s="1"/>
  <c r="H163" i="19" a="1"/>
  <c r="H163" i="19" s="1"/>
  <c r="I163" i="19" a="1"/>
  <c r="I163" i="19" s="1"/>
  <c r="J163" i="19" a="1"/>
  <c r="J163" i="19"/>
  <c r="K163" i="19" a="1"/>
  <c r="K163" i="19" s="1"/>
  <c r="L163" i="19" a="1"/>
  <c r="L163" i="19" s="1"/>
  <c r="M163" i="19" a="1"/>
  <c r="M163" i="19"/>
  <c r="N163" i="19" a="1"/>
  <c r="N163" i="19" s="1"/>
  <c r="O163" i="19" a="1"/>
  <c r="O163" i="19"/>
  <c r="P163" i="19" a="1"/>
  <c r="P163" i="19" s="1"/>
  <c r="Q163" i="19" a="1"/>
  <c r="Q163" i="19"/>
  <c r="R163" i="19" a="1"/>
  <c r="R163" i="19" s="1"/>
  <c r="S163" i="19" a="1"/>
  <c r="S163" i="19"/>
  <c r="T163" i="19" a="1"/>
  <c r="T163" i="19" s="1"/>
  <c r="B164" i="19" a="1"/>
  <c r="B164" i="19" s="1"/>
  <c r="C164" i="19" a="1"/>
  <c r="C164" i="19"/>
  <c r="D164" i="19" a="1"/>
  <c r="D164" i="19" s="1"/>
  <c r="E164" i="19" a="1"/>
  <c r="E164" i="19" s="1"/>
  <c r="F164" i="19" a="1"/>
  <c r="F164" i="19"/>
  <c r="G164" i="19" a="1"/>
  <c r="G164" i="19" s="1"/>
  <c r="H164" i="19" a="1"/>
  <c r="H164" i="19" s="1"/>
  <c r="I164" i="19" a="1"/>
  <c r="I164" i="19" s="1"/>
  <c r="J164" i="19" a="1"/>
  <c r="J164" i="19"/>
  <c r="K164" i="19" a="1"/>
  <c r="K164" i="19" s="1"/>
  <c r="L164" i="19" a="1"/>
  <c r="L164" i="19" s="1"/>
  <c r="M164" i="19" a="1"/>
  <c r="M164" i="19" s="1"/>
  <c r="N164" i="19" a="1"/>
  <c r="N164" i="19"/>
  <c r="O164" i="19" a="1"/>
  <c r="O164" i="19" s="1"/>
  <c r="P164" i="19" a="1"/>
  <c r="P164" i="19" s="1"/>
  <c r="Q164" i="19" a="1"/>
  <c r="Q164" i="19" s="1"/>
  <c r="R164" i="19" a="1"/>
  <c r="R164" i="19" s="1"/>
  <c r="S164" i="19" a="1"/>
  <c r="S164" i="19" s="1"/>
  <c r="T164" i="19" a="1"/>
  <c r="T164" i="19"/>
  <c r="B165" i="19" a="1"/>
  <c r="B165" i="19" s="1"/>
  <c r="C165" i="19" a="1"/>
  <c r="C165" i="19" s="1"/>
  <c r="D165" i="19" a="1"/>
  <c r="D165" i="19" s="1"/>
  <c r="E165" i="19" a="1"/>
  <c r="E165" i="19" s="1"/>
  <c r="F165" i="19" a="1"/>
  <c r="F165" i="19" s="1"/>
  <c r="G165" i="19" a="1"/>
  <c r="G165" i="19" s="1"/>
  <c r="H165" i="19" a="1"/>
  <c r="H165" i="19" s="1"/>
  <c r="I165" i="19" a="1"/>
  <c r="I165" i="19" s="1"/>
  <c r="J165" i="19" a="1"/>
  <c r="J165" i="19" s="1"/>
  <c r="K165" i="19" a="1"/>
  <c r="K165" i="19" s="1"/>
  <c r="L165" i="19" a="1"/>
  <c r="L165" i="19"/>
  <c r="M165" i="19" a="1"/>
  <c r="M165" i="19" s="1"/>
  <c r="N165" i="19" a="1"/>
  <c r="N165" i="19" s="1"/>
  <c r="O165" i="19" a="1"/>
  <c r="O165" i="19" s="1"/>
  <c r="P165" i="19" a="1"/>
  <c r="P165" i="19" s="1"/>
  <c r="Q165" i="19" a="1"/>
  <c r="Q165" i="19"/>
  <c r="R165" i="19" a="1"/>
  <c r="R165" i="19" s="1"/>
  <c r="S165" i="19" a="1"/>
  <c r="S165" i="19"/>
  <c r="T165" i="19" a="1"/>
  <c r="T165" i="19" s="1"/>
  <c r="B166" i="19" a="1"/>
  <c r="B166" i="19" s="1"/>
  <c r="C166" i="19" a="1"/>
  <c r="C166" i="19" s="1"/>
  <c r="D166" i="19" a="1"/>
  <c r="D166" i="19" s="1"/>
  <c r="E166" i="19" a="1"/>
  <c r="E166" i="19" s="1"/>
  <c r="F166" i="19" a="1"/>
  <c r="F166" i="19"/>
  <c r="G166" i="19" a="1"/>
  <c r="G166" i="19"/>
  <c r="H166" i="19" a="1"/>
  <c r="H166" i="19"/>
  <c r="I166" i="19" a="1"/>
  <c r="I166" i="19" s="1"/>
  <c r="J166" i="19" a="1"/>
  <c r="J166" i="19" s="1"/>
  <c r="K166" i="19" a="1"/>
  <c r="K166" i="19"/>
  <c r="L166" i="19" a="1"/>
  <c r="L166" i="19" s="1"/>
  <c r="M166" i="19" a="1"/>
  <c r="M166" i="19" s="1"/>
  <c r="N166" i="19" a="1"/>
  <c r="N166" i="19"/>
  <c r="O166" i="19" a="1"/>
  <c r="O166" i="19" s="1"/>
  <c r="P166" i="19" a="1"/>
  <c r="P166" i="19" s="1"/>
  <c r="Q166" i="19" a="1"/>
  <c r="Q166" i="19" s="1"/>
  <c r="R166" i="19" a="1"/>
  <c r="R166" i="19" s="1"/>
  <c r="S166" i="19" a="1"/>
  <c r="S166" i="19"/>
  <c r="T166" i="19" a="1"/>
  <c r="T166" i="19"/>
  <c r="B167" i="19" a="1"/>
  <c r="B167" i="19" s="1"/>
  <c r="C167" i="19" a="1"/>
  <c r="C167" i="19"/>
  <c r="D167" i="19" a="1"/>
  <c r="D167" i="19"/>
  <c r="E167" i="19" a="1"/>
  <c r="E167" i="19"/>
  <c r="F167" i="19" a="1"/>
  <c r="F167" i="19" s="1"/>
  <c r="G167" i="19" a="1"/>
  <c r="G167" i="19" s="1"/>
  <c r="H167" i="19" a="1"/>
  <c r="H167" i="19" s="1"/>
  <c r="I167" i="19" a="1"/>
  <c r="I167" i="19" s="1"/>
  <c r="J167" i="19" a="1"/>
  <c r="J167" i="19" s="1"/>
  <c r="K167" i="19" a="1"/>
  <c r="K167" i="19" s="1"/>
  <c r="L167" i="19" a="1"/>
  <c r="L167" i="19" s="1"/>
  <c r="M167" i="19" a="1"/>
  <c r="M167" i="19"/>
  <c r="N167" i="19" a="1"/>
  <c r="N167" i="19" s="1"/>
  <c r="O167" i="19" a="1"/>
  <c r="O167" i="19" s="1"/>
  <c r="P167" i="19" a="1"/>
  <c r="P167" i="19" s="1"/>
  <c r="Q167" i="19" a="1"/>
  <c r="Q167" i="19" s="1"/>
  <c r="R167" i="19" a="1"/>
  <c r="R167" i="19"/>
  <c r="S167" i="19" a="1"/>
  <c r="S167" i="19" s="1"/>
  <c r="T167" i="19" a="1"/>
  <c r="T167" i="19" s="1"/>
  <c r="B168" i="19" a="1"/>
  <c r="B168" i="19" s="1"/>
  <c r="C168" i="19" a="1"/>
  <c r="C168" i="19" s="1"/>
  <c r="D168" i="19" a="1"/>
  <c r="D168" i="19"/>
  <c r="E168" i="19" a="1"/>
  <c r="E168" i="19" s="1"/>
  <c r="F168" i="19" a="1"/>
  <c r="F168" i="19" s="1"/>
  <c r="G168" i="19" a="1"/>
  <c r="G168" i="19" s="1"/>
  <c r="H168" i="19" a="1"/>
  <c r="H168" i="19"/>
  <c r="I168" i="19" a="1"/>
  <c r="I168" i="19"/>
  <c r="J168" i="19" a="1"/>
  <c r="J168" i="19"/>
  <c r="K168" i="19" a="1"/>
  <c r="K168" i="19"/>
  <c r="L168" i="19" a="1"/>
  <c r="L168" i="19"/>
  <c r="M168" i="19" a="1"/>
  <c r="M168" i="19" s="1"/>
  <c r="N168" i="19" a="1"/>
  <c r="N168" i="19"/>
  <c r="O168" i="19" a="1"/>
  <c r="O168" i="19" s="1"/>
  <c r="P168" i="19" a="1"/>
  <c r="P168" i="19" s="1"/>
  <c r="Q168" i="19" a="1"/>
  <c r="Q168" i="19" s="1"/>
  <c r="R168" i="19" a="1"/>
  <c r="R168" i="19" s="1"/>
  <c r="S168" i="19" a="1"/>
  <c r="S168" i="19" s="1"/>
  <c r="T168" i="19" a="1"/>
  <c r="T168" i="19" s="1"/>
  <c r="B169" i="19" a="1"/>
  <c r="B169" i="19" s="1"/>
  <c r="C169" i="19" a="1"/>
  <c r="C169" i="19"/>
  <c r="D169" i="19" a="1"/>
  <c r="D169" i="19"/>
  <c r="E169" i="19" a="1"/>
  <c r="E169" i="19"/>
  <c r="F169" i="19" a="1"/>
  <c r="F169" i="19" s="1"/>
  <c r="G169" i="19" a="1"/>
  <c r="G169" i="19" s="1"/>
  <c r="H169" i="19" a="1"/>
  <c r="H169" i="19"/>
  <c r="I169" i="19" a="1"/>
  <c r="I169" i="19" s="1"/>
  <c r="J169" i="19" a="1"/>
  <c r="J169" i="19"/>
  <c r="K169" i="19" a="1"/>
  <c r="K169" i="19"/>
  <c r="L169" i="19" a="1"/>
  <c r="L169" i="19" s="1"/>
  <c r="M169" i="19" a="1"/>
  <c r="M169" i="19"/>
  <c r="N169" i="19" a="1"/>
  <c r="N169" i="19" s="1"/>
  <c r="O169" i="19" a="1"/>
  <c r="O169" i="19" s="1"/>
  <c r="P169" i="19" a="1"/>
  <c r="P169" i="19" s="1"/>
  <c r="Q169" i="19" a="1"/>
  <c r="Q169" i="19"/>
  <c r="R169" i="19" a="1"/>
  <c r="R169" i="19"/>
  <c r="S169" i="19" a="1"/>
  <c r="S169" i="19"/>
  <c r="T169" i="19" a="1"/>
  <c r="T169" i="19" s="1"/>
  <c r="B170" i="19" a="1"/>
  <c r="B170" i="19"/>
  <c r="C170" i="19" a="1"/>
  <c r="C170" i="19" s="1"/>
  <c r="D170" i="19" a="1"/>
  <c r="D170" i="19"/>
  <c r="E170" i="19" a="1"/>
  <c r="E170" i="19" s="1"/>
  <c r="F170" i="19" a="1"/>
  <c r="F170" i="19"/>
  <c r="G170" i="19" a="1"/>
  <c r="G170" i="19" s="1"/>
  <c r="H170" i="19" a="1"/>
  <c r="H170" i="19"/>
  <c r="I170" i="19" a="1"/>
  <c r="I170" i="19" s="1"/>
  <c r="J170" i="19" a="1"/>
  <c r="J170" i="19" s="1"/>
  <c r="K170" i="19" a="1"/>
  <c r="K170" i="19"/>
  <c r="L170" i="19" a="1"/>
  <c r="L170" i="19"/>
  <c r="M170" i="19" a="1"/>
  <c r="M170" i="19" s="1"/>
  <c r="N170" i="19" a="1"/>
  <c r="N170" i="19" s="1"/>
  <c r="O170" i="19" a="1"/>
  <c r="O170" i="19"/>
  <c r="P170" i="19" a="1"/>
  <c r="P170" i="19" s="1"/>
  <c r="Q170" i="19" a="1"/>
  <c r="Q170" i="19"/>
  <c r="R170" i="19" a="1"/>
  <c r="R170" i="19"/>
  <c r="S170" i="19" a="1"/>
  <c r="S170" i="19" s="1"/>
  <c r="T170" i="19" a="1"/>
  <c r="T170" i="19"/>
  <c r="B171" i="19" a="1"/>
  <c r="B171" i="19"/>
  <c r="C171" i="19" a="1"/>
  <c r="C171" i="19" s="1"/>
  <c r="D171" i="19" a="1"/>
  <c r="D171" i="19" s="1"/>
  <c r="E171" i="19" a="1"/>
  <c r="E171" i="19"/>
  <c r="F171" i="19" a="1"/>
  <c r="F171" i="19" s="1"/>
  <c r="G171" i="19" a="1"/>
  <c r="G171" i="19" s="1"/>
  <c r="H171" i="19" a="1"/>
  <c r="H171" i="19" s="1"/>
  <c r="I171" i="19" a="1"/>
  <c r="I171" i="19"/>
  <c r="J171" i="19" a="1"/>
  <c r="J171" i="19" s="1"/>
  <c r="K171" i="19" a="1"/>
  <c r="K171" i="19"/>
  <c r="L171" i="19" a="1"/>
  <c r="L171" i="19" s="1"/>
  <c r="M171" i="19" a="1"/>
  <c r="M171" i="19"/>
  <c r="N171" i="19" a="1"/>
  <c r="N171" i="19"/>
  <c r="O171" i="19" a="1"/>
  <c r="O171" i="19"/>
  <c r="P171" i="19" a="1"/>
  <c r="P171" i="19" s="1"/>
  <c r="Q171" i="19" a="1"/>
  <c r="Q171" i="19"/>
  <c r="R171" i="19" a="1"/>
  <c r="R171" i="19" s="1"/>
  <c r="S171" i="19" a="1"/>
  <c r="S171" i="19" s="1"/>
  <c r="T171" i="19" a="1"/>
  <c r="T171" i="19" s="1"/>
  <c r="B172" i="19" a="1"/>
  <c r="B172" i="19" s="1"/>
  <c r="C172" i="19" a="1"/>
  <c r="C172" i="19"/>
  <c r="D172" i="19" a="1"/>
  <c r="D172" i="19"/>
  <c r="E172" i="19" a="1"/>
  <c r="E172" i="19" s="1"/>
  <c r="F172" i="19" a="1"/>
  <c r="F172" i="19"/>
  <c r="G172" i="19" a="1"/>
  <c r="G172" i="19"/>
  <c r="H172" i="19" a="1"/>
  <c r="H172" i="19"/>
  <c r="I172" i="19" a="1"/>
  <c r="I172" i="19"/>
  <c r="J172" i="19" a="1"/>
  <c r="J172" i="19"/>
  <c r="K172" i="19" a="1"/>
  <c r="K172" i="19" s="1"/>
  <c r="L172" i="19" a="1"/>
  <c r="L172" i="19"/>
  <c r="M172" i="19" a="1"/>
  <c r="M172" i="19" s="1"/>
  <c r="N172" i="19" a="1"/>
  <c r="N172" i="19" s="1"/>
  <c r="O172" i="19" a="1"/>
  <c r="O172" i="19" s="1"/>
  <c r="P172" i="19" a="1"/>
  <c r="P172" i="19"/>
  <c r="Q172" i="19" a="1"/>
  <c r="Q172" i="19" s="1"/>
  <c r="R172" i="19" a="1"/>
  <c r="R172" i="19" s="1"/>
  <c r="S172" i="19" a="1"/>
  <c r="S172" i="19"/>
  <c r="T172" i="19" a="1"/>
  <c r="T172" i="19"/>
  <c r="B173" i="19" a="1"/>
  <c r="B173" i="19"/>
  <c r="C173" i="19" a="1"/>
  <c r="C173" i="19"/>
  <c r="D173" i="19" a="1"/>
  <c r="D173" i="19" s="1"/>
  <c r="E173" i="19" a="1"/>
  <c r="E173" i="19" s="1"/>
  <c r="F173" i="19" a="1"/>
  <c r="F173" i="19"/>
  <c r="G173" i="19" a="1"/>
  <c r="G173" i="19" s="1"/>
  <c r="H173" i="19" a="1"/>
  <c r="H173" i="19" s="1"/>
  <c r="I173" i="19" a="1"/>
  <c r="I173" i="19"/>
  <c r="J173" i="19" a="1"/>
  <c r="J173" i="19" s="1"/>
  <c r="K173" i="19" a="1"/>
  <c r="K173" i="19" s="1"/>
  <c r="L173" i="19" a="1"/>
  <c r="L173" i="19" s="1"/>
  <c r="M173" i="19" a="1"/>
  <c r="M173" i="19"/>
  <c r="N173" i="19" a="1"/>
  <c r="N173" i="19"/>
  <c r="O173" i="19" a="1"/>
  <c r="O173" i="19"/>
  <c r="P173" i="19" a="1"/>
  <c r="P173" i="19" s="1"/>
  <c r="Q173" i="19" a="1"/>
  <c r="Q173" i="19"/>
  <c r="R173" i="19" a="1"/>
  <c r="R173" i="19" s="1"/>
  <c r="S173" i="19" a="1"/>
  <c r="S173" i="19"/>
  <c r="T173" i="19" a="1"/>
  <c r="T173" i="19" s="1"/>
  <c r="B174" i="19" a="1"/>
  <c r="B174" i="19"/>
  <c r="C174" i="19" a="1"/>
  <c r="C174" i="19" s="1"/>
  <c r="D174" i="19" a="1"/>
  <c r="D174" i="19"/>
  <c r="E174" i="19" a="1"/>
  <c r="E174" i="19" s="1"/>
  <c r="F174" i="19" a="1"/>
  <c r="F174" i="19" s="1"/>
  <c r="G174" i="19" a="1"/>
  <c r="G174" i="19"/>
  <c r="H174" i="19" a="1"/>
  <c r="H174" i="19"/>
  <c r="I174" i="19" a="1"/>
  <c r="I174" i="19" s="1"/>
  <c r="J174" i="19" a="1"/>
  <c r="J174" i="19" s="1"/>
  <c r="K174" i="19" a="1"/>
  <c r="K174" i="19"/>
  <c r="L174" i="19" a="1"/>
  <c r="L174" i="19" s="1"/>
  <c r="M174" i="19" a="1"/>
  <c r="M174" i="19"/>
  <c r="N174" i="19" a="1"/>
  <c r="N174" i="19"/>
  <c r="O174" i="19" a="1"/>
  <c r="O174" i="19" s="1"/>
  <c r="P174" i="19" a="1"/>
  <c r="P174" i="19"/>
  <c r="Q174" i="19" a="1"/>
  <c r="Q174" i="19"/>
  <c r="R174" i="19" a="1"/>
  <c r="R174" i="19" s="1"/>
  <c r="S174" i="19" a="1"/>
  <c r="S174" i="19" s="1"/>
  <c r="T174" i="19" a="1"/>
  <c r="T174" i="19"/>
  <c r="B175" i="19" a="1"/>
  <c r="B175" i="19" s="1"/>
  <c r="C175" i="19" a="1"/>
  <c r="C175" i="19" s="1"/>
  <c r="D175" i="19" a="1"/>
  <c r="D175" i="19" s="1"/>
  <c r="E175" i="19" a="1"/>
  <c r="E175" i="19"/>
  <c r="F175" i="19" a="1"/>
  <c r="F175" i="19" s="1"/>
  <c r="G175" i="19" a="1"/>
  <c r="G175" i="19"/>
  <c r="H175" i="19" a="1"/>
  <c r="H175" i="19" s="1"/>
  <c r="I175" i="19" a="1"/>
  <c r="I175" i="19"/>
  <c r="J175" i="19" a="1"/>
  <c r="J175" i="19"/>
  <c r="K175" i="19" a="1"/>
  <c r="K175" i="19"/>
  <c r="L175" i="19" a="1"/>
  <c r="L175" i="19" s="1"/>
  <c r="M175" i="19" a="1"/>
  <c r="M175" i="19"/>
  <c r="N175" i="19" a="1"/>
  <c r="N175" i="19" s="1"/>
  <c r="O175" i="19" a="1"/>
  <c r="O175" i="19" s="1"/>
  <c r="P175" i="19" a="1"/>
  <c r="P175" i="19" s="1"/>
  <c r="Q175" i="19" a="1"/>
  <c r="Q175" i="19" s="1"/>
  <c r="R175" i="19" a="1"/>
  <c r="R175" i="19"/>
  <c r="S175" i="19" a="1"/>
  <c r="S175" i="19"/>
  <c r="T175" i="19" a="1"/>
  <c r="T175" i="19" s="1"/>
  <c r="B176" i="19" a="1"/>
  <c r="B176" i="19"/>
  <c r="C176" i="19" a="1"/>
  <c r="C176" i="19"/>
  <c r="D176" i="19" a="1"/>
  <c r="D176" i="19"/>
  <c r="E176" i="19" a="1"/>
  <c r="E176" i="19"/>
  <c r="F176" i="19" a="1"/>
  <c r="F176" i="19"/>
  <c r="G176" i="19" a="1"/>
  <c r="G176" i="19" s="1"/>
  <c r="H176" i="19" a="1"/>
  <c r="H176" i="19"/>
  <c r="I176" i="19" a="1"/>
  <c r="I176" i="19" s="1"/>
  <c r="J176" i="19" a="1"/>
  <c r="J176" i="19" s="1"/>
  <c r="K176" i="19" a="1"/>
  <c r="K176" i="19" s="1"/>
  <c r="L176" i="19" a="1"/>
  <c r="L176" i="19"/>
  <c r="M176" i="19" a="1"/>
  <c r="M176" i="19" s="1"/>
  <c r="N176" i="19" a="1"/>
  <c r="N176" i="19" s="1"/>
  <c r="O176" i="19" a="1"/>
  <c r="O176" i="19"/>
  <c r="P176" i="19" a="1"/>
  <c r="P176" i="19"/>
  <c r="Q176" i="19" a="1"/>
  <c r="Q176" i="19"/>
  <c r="R176" i="19" a="1"/>
  <c r="R176" i="19"/>
  <c r="S176" i="19" a="1"/>
  <c r="S176" i="19" s="1"/>
  <c r="T176" i="19" a="1"/>
  <c r="T176" i="19" s="1"/>
  <c r="B177" i="19" a="1"/>
  <c r="B177" i="19"/>
  <c r="C177" i="19" a="1"/>
  <c r="C177" i="19" s="1"/>
  <c r="D177" i="19" a="1"/>
  <c r="D177" i="19" s="1"/>
  <c r="E177" i="19" a="1"/>
  <c r="E177" i="19"/>
  <c r="F177" i="19" a="1"/>
  <c r="F177" i="19" s="1"/>
  <c r="G177" i="19" a="1"/>
  <c r="G177" i="19" s="1"/>
  <c r="H177" i="19" a="1"/>
  <c r="H177" i="19" s="1"/>
  <c r="I177" i="19" a="1"/>
  <c r="I177" i="19"/>
  <c r="J177" i="19" a="1"/>
  <c r="J177" i="19"/>
  <c r="K177" i="19" a="1"/>
  <c r="K177" i="19"/>
  <c r="L177" i="19" a="1"/>
  <c r="L177" i="19" s="1"/>
  <c r="M177" i="19" a="1"/>
  <c r="M177" i="19"/>
  <c r="N177" i="19" a="1"/>
  <c r="N177" i="19" s="1"/>
  <c r="O177" i="19" a="1"/>
  <c r="O177" i="19"/>
  <c r="P177" i="19" a="1"/>
  <c r="P177" i="19" s="1"/>
  <c r="Q177" i="19" a="1"/>
  <c r="Q177" i="19"/>
  <c r="R177" i="19" a="1"/>
  <c r="R177" i="19" s="1"/>
  <c r="S177" i="19" a="1"/>
  <c r="S177" i="19"/>
  <c r="T177" i="19" a="1"/>
  <c r="T177" i="19" s="1"/>
  <c r="B178" i="19" a="1"/>
  <c r="B178" i="19"/>
  <c r="C178" i="19" a="1"/>
  <c r="C178" i="19"/>
  <c r="D178" i="19" a="1"/>
  <c r="D178" i="19"/>
  <c r="E178" i="19" a="1"/>
  <c r="E178" i="19" s="1"/>
  <c r="F178" i="19" a="1"/>
  <c r="F178" i="19" s="1"/>
  <c r="G178" i="19" a="1"/>
  <c r="G178" i="19" s="1"/>
  <c r="H178" i="19" a="1"/>
  <c r="H178" i="19" s="1"/>
  <c r="I178" i="19" a="1"/>
  <c r="I178" i="19"/>
  <c r="J178" i="19" a="1"/>
  <c r="J178" i="19"/>
  <c r="K178" i="19" a="1"/>
  <c r="K178" i="19" s="1"/>
  <c r="L178" i="19" a="1"/>
  <c r="L178" i="19"/>
  <c r="M178" i="19" a="1"/>
  <c r="M178" i="19"/>
  <c r="N178" i="19" a="1"/>
  <c r="N178" i="19" s="1"/>
  <c r="O178" i="19" a="1"/>
  <c r="O178" i="19"/>
  <c r="P178" i="19" a="1"/>
  <c r="P178" i="19"/>
  <c r="Q178" i="19" a="1"/>
  <c r="Q178" i="19" s="1"/>
  <c r="R178" i="19" a="1"/>
  <c r="R178" i="19" s="1"/>
  <c r="S178" i="19" a="1"/>
  <c r="S178" i="19" s="1"/>
  <c r="T178" i="19" a="1"/>
  <c r="T178" i="19"/>
  <c r="B179" i="19" a="1"/>
  <c r="B179" i="19" s="1"/>
  <c r="C179" i="19" a="1"/>
  <c r="C179" i="19"/>
  <c r="D179" i="19" a="1"/>
  <c r="D179" i="19" s="1"/>
  <c r="E179" i="19" a="1"/>
  <c r="E179" i="19"/>
  <c r="F179" i="19" a="1"/>
  <c r="F179" i="19"/>
  <c r="G179" i="19" a="1"/>
  <c r="G179" i="19"/>
  <c r="H179" i="19" a="1"/>
  <c r="H179" i="19" s="1"/>
  <c r="I179" i="19" a="1"/>
  <c r="I179" i="19"/>
  <c r="J179" i="19" a="1"/>
  <c r="J179" i="19" s="1"/>
  <c r="K179" i="19" a="1"/>
  <c r="K179" i="19" s="1"/>
  <c r="L179" i="19" a="1"/>
  <c r="L179" i="19" s="1"/>
  <c r="M179" i="19" a="1"/>
  <c r="M179" i="19" s="1"/>
  <c r="N179" i="19" a="1"/>
  <c r="N179" i="19" s="1"/>
  <c r="O179" i="19" a="1"/>
  <c r="O179" i="19"/>
  <c r="P179" i="19" a="1"/>
  <c r="P179" i="19" s="1"/>
  <c r="Q179" i="19" a="1"/>
  <c r="Q179" i="19"/>
  <c r="R179" i="19" a="1"/>
  <c r="R179" i="19"/>
  <c r="S179" i="19" a="1"/>
  <c r="S179" i="19"/>
  <c r="T179" i="19" a="1"/>
  <c r="T179" i="19"/>
  <c r="B180" i="19" a="1"/>
  <c r="B180" i="19"/>
  <c r="C180" i="19" a="1"/>
  <c r="C180" i="19" s="1"/>
  <c r="D180" i="19" a="1"/>
  <c r="D180" i="19"/>
  <c r="E180" i="19" a="1"/>
  <c r="E180" i="19" s="1"/>
  <c r="F180" i="19" a="1"/>
  <c r="F180" i="19" s="1"/>
  <c r="G180" i="19" a="1"/>
  <c r="G180" i="19" s="1"/>
  <c r="H180" i="19" a="1"/>
  <c r="H180" i="19"/>
  <c r="I180" i="19" a="1"/>
  <c r="I180" i="19" s="1"/>
  <c r="J180" i="19" a="1"/>
  <c r="J180" i="19"/>
  <c r="K180" i="19" a="1"/>
  <c r="K180" i="19"/>
  <c r="L180" i="19" a="1"/>
  <c r="L180" i="19"/>
  <c r="M180" i="19" a="1"/>
  <c r="M180" i="19"/>
  <c r="N180" i="19" a="1"/>
  <c r="N180" i="19"/>
  <c r="O180" i="19" a="1"/>
  <c r="O180" i="19" s="1"/>
  <c r="P180" i="19" a="1"/>
  <c r="P180" i="19" s="1"/>
  <c r="Q180" i="19" a="1"/>
  <c r="Q180" i="19"/>
  <c r="R180" i="19" a="1"/>
  <c r="R180" i="19" s="1"/>
  <c r="S180" i="19" a="1"/>
  <c r="S180" i="19" s="1"/>
  <c r="T180" i="19" a="1"/>
  <c r="T180" i="19"/>
  <c r="B181" i="19" a="1"/>
  <c r="B181" i="19" s="1"/>
  <c r="C181" i="19" a="1"/>
  <c r="C181" i="19" s="1"/>
  <c r="D181" i="19" a="1"/>
  <c r="D181" i="19"/>
  <c r="E181" i="19" a="1"/>
  <c r="E181" i="19"/>
  <c r="F181" i="19" a="1"/>
  <c r="F181" i="19"/>
  <c r="G181" i="19" a="1"/>
  <c r="G181" i="19"/>
  <c r="H181" i="19" a="1"/>
  <c r="H181" i="19" s="1"/>
  <c r="I181" i="19" a="1"/>
  <c r="I181" i="19"/>
  <c r="J181" i="19" a="1"/>
  <c r="J181" i="19" s="1"/>
  <c r="K181" i="19" a="1"/>
  <c r="K181" i="19"/>
  <c r="L181" i="19" a="1"/>
  <c r="L181" i="19" s="1"/>
  <c r="M181" i="19" a="1"/>
  <c r="M181" i="19"/>
  <c r="N181" i="19" a="1"/>
  <c r="N181" i="19" s="1"/>
  <c r="O181" i="19" a="1"/>
  <c r="O181" i="19"/>
  <c r="P181" i="19" a="1"/>
  <c r="P181" i="19" s="1"/>
  <c r="Q181" i="19" a="1"/>
  <c r="Q181" i="19"/>
  <c r="R181" i="19" a="1"/>
  <c r="R181" i="19"/>
  <c r="S181" i="19" a="1"/>
  <c r="S181" i="19"/>
  <c r="T181" i="19" a="1"/>
  <c r="T181" i="19" s="1"/>
  <c r="B182" i="19" a="1"/>
  <c r="B182" i="19" s="1"/>
  <c r="C182" i="19" a="1"/>
  <c r="C182" i="19"/>
  <c r="D182" i="19" a="1"/>
  <c r="D182" i="19" s="1"/>
  <c r="E182" i="19" a="1"/>
  <c r="E182" i="19"/>
  <c r="F182" i="19" a="1"/>
  <c r="F182" i="19"/>
  <c r="G182" i="19" a="1"/>
  <c r="G182" i="19" s="1"/>
  <c r="H182" i="19" a="1"/>
  <c r="H182" i="19"/>
  <c r="I182" i="19" a="1"/>
  <c r="I182" i="19"/>
  <c r="J182" i="19" a="1"/>
  <c r="J182" i="19" s="1"/>
  <c r="K182" i="19" a="1"/>
  <c r="K182" i="19"/>
  <c r="L182" i="19" a="1"/>
  <c r="L182" i="19"/>
  <c r="M182" i="19" a="1"/>
  <c r="M182" i="19" s="1"/>
  <c r="N182" i="19" a="1"/>
  <c r="N182" i="19" s="1"/>
  <c r="O182" i="19" a="1"/>
  <c r="O182" i="19" s="1"/>
  <c r="P182" i="19" a="1"/>
  <c r="P182" i="19" s="1"/>
  <c r="Q182" i="19" a="1"/>
  <c r="Q182" i="19" s="1"/>
  <c r="R182" i="19" a="1"/>
  <c r="R182" i="19"/>
  <c r="S182" i="19" a="1"/>
  <c r="S182" i="19" s="1"/>
  <c r="T182" i="19" a="1"/>
  <c r="T182" i="19"/>
  <c r="B183" i="19" a="1"/>
  <c r="B183" i="19"/>
  <c r="C183" i="19" a="1"/>
  <c r="C183" i="19"/>
  <c r="D183" i="19" a="1"/>
  <c r="D183" i="19" s="1"/>
  <c r="E183" i="19" a="1"/>
  <c r="E183" i="19"/>
  <c r="F183" i="19" a="1"/>
  <c r="F183" i="19" s="1"/>
  <c r="G183" i="19" a="1"/>
  <c r="G183" i="19" s="1"/>
  <c r="H183" i="19" a="1"/>
  <c r="H183" i="19" s="1"/>
  <c r="I183" i="19" a="1"/>
  <c r="I183" i="19" s="1"/>
  <c r="J183" i="19" a="1"/>
  <c r="J183" i="19" s="1"/>
  <c r="K183" i="19" a="1"/>
  <c r="K183" i="19"/>
  <c r="L183" i="19" a="1"/>
  <c r="L183" i="19" s="1"/>
  <c r="M183" i="19" a="1"/>
  <c r="M183" i="19"/>
  <c r="N183" i="19" a="1"/>
  <c r="N183" i="19"/>
  <c r="O183" i="19" a="1"/>
  <c r="O183" i="19"/>
  <c r="P183" i="19" a="1"/>
  <c r="P183" i="19"/>
  <c r="Q183" i="19" a="1"/>
  <c r="Q183" i="19"/>
  <c r="R183" i="19" a="1"/>
  <c r="R183" i="19" s="1"/>
  <c r="S183" i="19" a="1"/>
  <c r="S183" i="19"/>
  <c r="T183" i="19" a="1"/>
  <c r="T183" i="19" s="1"/>
  <c r="B184" i="19" a="1"/>
  <c r="B184" i="19" s="1"/>
  <c r="C184" i="19" a="1"/>
  <c r="C184" i="19" s="1"/>
  <c r="D184" i="19" a="1"/>
  <c r="D184" i="19"/>
  <c r="E184" i="19" a="1"/>
  <c r="E184" i="19" s="1"/>
  <c r="F184" i="19" a="1"/>
  <c r="F184" i="19"/>
  <c r="G184" i="19" a="1"/>
  <c r="G184" i="19"/>
  <c r="H184" i="19" a="1"/>
  <c r="H184" i="19"/>
  <c r="I184" i="19" a="1"/>
  <c r="I184" i="19"/>
  <c r="J184" i="19" a="1"/>
  <c r="J184" i="19"/>
  <c r="K184" i="19" a="1"/>
  <c r="K184" i="19" s="1"/>
  <c r="L184" i="19" a="1"/>
  <c r="L184" i="19" s="1"/>
  <c r="M184" i="19" a="1"/>
  <c r="M184" i="19"/>
  <c r="N184" i="19" a="1"/>
  <c r="N184" i="19" s="1"/>
  <c r="O184" i="19" a="1"/>
  <c r="O184" i="19"/>
  <c r="P184" i="19" a="1"/>
  <c r="P184" i="19"/>
  <c r="Q184" i="19" a="1"/>
  <c r="Q184" i="19" s="1"/>
  <c r="R184" i="19" a="1"/>
  <c r="R184" i="19" s="1"/>
  <c r="S184" i="19" a="1"/>
  <c r="S184" i="19"/>
  <c r="T184" i="19" a="1"/>
  <c r="T184" i="19"/>
  <c r="B185" i="19" a="1"/>
  <c r="B185" i="19"/>
  <c r="C185" i="19" a="1"/>
  <c r="C185" i="19"/>
  <c r="D185" i="19" a="1"/>
  <c r="D185" i="19" s="1"/>
  <c r="E185" i="19" a="1"/>
  <c r="E185" i="19"/>
  <c r="F185" i="19" a="1"/>
  <c r="F185" i="19" s="1"/>
  <c r="G185" i="19" a="1"/>
  <c r="G185" i="19"/>
  <c r="H185" i="19" a="1"/>
  <c r="H185" i="19" s="1"/>
  <c r="I185" i="19" a="1"/>
  <c r="I185" i="19"/>
  <c r="J185" i="19" a="1"/>
  <c r="J185" i="19" s="1"/>
  <c r="K185" i="19" a="1"/>
  <c r="K185" i="19"/>
  <c r="L185" i="19" a="1"/>
  <c r="L185" i="19" s="1"/>
  <c r="M185" i="19" a="1"/>
  <c r="M185" i="19"/>
  <c r="N185" i="19" a="1"/>
  <c r="N185" i="19"/>
  <c r="O185" i="19" a="1"/>
  <c r="O185" i="19"/>
  <c r="P185" i="19" a="1"/>
  <c r="P185" i="19" s="1"/>
  <c r="Q185" i="19" a="1"/>
  <c r="Q185" i="19" s="1"/>
  <c r="R185" i="19" a="1"/>
  <c r="R185" i="19"/>
  <c r="S185" i="19" a="1"/>
  <c r="S185" i="19" s="1"/>
  <c r="T185" i="19" a="1"/>
  <c r="T185" i="19"/>
  <c r="B186" i="19" a="1"/>
  <c r="B186" i="19"/>
  <c r="C186" i="19" a="1"/>
  <c r="C186" i="19" s="1"/>
  <c r="D186" i="19" a="1"/>
  <c r="D186" i="19"/>
  <c r="E186" i="19" a="1"/>
  <c r="E186" i="19"/>
  <c r="F186" i="19" a="1"/>
  <c r="F186" i="19" s="1"/>
  <c r="G186" i="19" a="1"/>
  <c r="G186" i="19"/>
  <c r="H186" i="19" a="1"/>
  <c r="H186" i="19"/>
  <c r="I186" i="19" a="1"/>
  <c r="I186" i="19" s="1"/>
  <c r="J186" i="19" a="1"/>
  <c r="J186" i="19" s="1"/>
  <c r="K186" i="19" a="1"/>
  <c r="K186" i="19" s="1"/>
  <c r="L186" i="19" a="1"/>
  <c r="L186" i="19"/>
  <c r="M186" i="19" a="1"/>
  <c r="M186" i="19" s="1"/>
  <c r="N186" i="19" a="1"/>
  <c r="N186" i="19"/>
  <c r="O186" i="19" a="1"/>
  <c r="O186" i="19" s="1"/>
  <c r="P186" i="19" a="1"/>
  <c r="P186" i="19"/>
  <c r="Q186" i="19" a="1"/>
  <c r="Q186" i="19" s="1"/>
  <c r="R186" i="19" a="1"/>
  <c r="R186" i="19"/>
  <c r="S186" i="19" a="1"/>
  <c r="S186" i="19" s="1"/>
  <c r="T186" i="19" a="1"/>
  <c r="T186" i="19"/>
  <c r="B187" i="19" a="1"/>
  <c r="B187" i="19" s="1"/>
  <c r="C187" i="19" a="1"/>
  <c r="C187" i="19" s="1"/>
  <c r="D187" i="19" a="1"/>
  <c r="D187" i="19"/>
  <c r="E187" i="19" a="1"/>
  <c r="E187" i="19" s="1"/>
  <c r="F187" i="19" a="1"/>
  <c r="F187" i="19" s="1"/>
  <c r="G187" i="19" a="1"/>
  <c r="G187" i="19"/>
  <c r="H187" i="19" a="1"/>
  <c r="H187" i="19" s="1"/>
  <c r="I187" i="19" a="1"/>
  <c r="I187" i="19"/>
  <c r="J187" i="19" a="1"/>
  <c r="J187" i="19"/>
  <c r="K187" i="19" a="1"/>
  <c r="K187" i="19"/>
  <c r="L187" i="19" a="1"/>
  <c r="L187" i="19"/>
  <c r="M187" i="19" a="1"/>
  <c r="M187" i="19"/>
  <c r="N187" i="19" a="1"/>
  <c r="N187" i="19" s="1"/>
  <c r="O187" i="19" a="1"/>
  <c r="O187" i="19"/>
  <c r="P187" i="19" a="1"/>
  <c r="P187" i="19" s="1"/>
  <c r="Q187" i="19" a="1"/>
  <c r="Q187" i="19"/>
  <c r="R187" i="19" a="1"/>
  <c r="R187" i="19" s="1"/>
  <c r="S187" i="19" a="1"/>
  <c r="S187" i="19"/>
  <c r="T187" i="19" a="1"/>
  <c r="T187" i="19" s="1"/>
  <c r="B188" i="19" a="1"/>
  <c r="B188" i="19"/>
  <c r="C188" i="19" a="1"/>
  <c r="C188" i="19"/>
  <c r="D188" i="19" a="1"/>
  <c r="D188" i="19"/>
  <c r="E188" i="19" a="1"/>
  <c r="E188" i="19"/>
  <c r="F188" i="19" a="1"/>
  <c r="F188" i="19"/>
  <c r="G188" i="19" a="1"/>
  <c r="G188" i="19" s="1"/>
  <c r="H188" i="19" a="1"/>
  <c r="H188" i="19" s="1"/>
  <c r="I188" i="19" a="1"/>
  <c r="I188" i="19"/>
  <c r="J188" i="19" a="1"/>
  <c r="J188" i="19" s="1"/>
  <c r="K188" i="19" a="1"/>
  <c r="K188" i="19"/>
  <c r="L188" i="19" a="1"/>
  <c r="L188" i="19"/>
  <c r="M188" i="19" a="1"/>
  <c r="M188" i="19" s="1"/>
  <c r="N188" i="19" a="1"/>
  <c r="N188" i="19" s="1"/>
  <c r="O188" i="19" a="1"/>
  <c r="O188" i="19"/>
  <c r="P188" i="19" a="1"/>
  <c r="P188" i="19"/>
  <c r="Q188" i="19" a="1"/>
  <c r="Q188" i="19"/>
  <c r="R188" i="19" a="1"/>
  <c r="R188" i="19"/>
  <c r="S188" i="19" a="1"/>
  <c r="S188" i="19" s="1"/>
  <c r="T188" i="19" a="1"/>
  <c r="T188" i="19"/>
  <c r="B189" i="19" a="1"/>
  <c r="B189" i="19" s="1"/>
  <c r="C189" i="19" a="1"/>
  <c r="C189" i="19"/>
  <c r="D189" i="19" a="1"/>
  <c r="D189" i="19" s="1"/>
  <c r="E189" i="19" a="1"/>
  <c r="E189" i="19" s="1"/>
  <c r="F189" i="19" a="1"/>
  <c r="F189" i="19" s="1"/>
  <c r="G189" i="19" a="1"/>
  <c r="G189" i="19"/>
  <c r="H189" i="19" a="1"/>
  <c r="H189" i="19"/>
  <c r="I189" i="19" a="1"/>
  <c r="I189" i="19"/>
  <c r="J189" i="19" a="1"/>
  <c r="J189" i="19"/>
  <c r="K189" i="19" a="1"/>
  <c r="K189" i="19"/>
  <c r="L189" i="19" a="1"/>
  <c r="L189" i="19" s="1"/>
  <c r="M189" i="19" a="1"/>
  <c r="M189" i="19" s="1"/>
  <c r="N189" i="19" a="1"/>
  <c r="N189" i="19"/>
  <c r="O189" i="19" a="1"/>
  <c r="O189" i="19" s="1"/>
  <c r="P189" i="19" a="1"/>
  <c r="P189" i="19"/>
  <c r="Q189" i="19" a="1"/>
  <c r="Q189" i="19" s="1"/>
  <c r="R189" i="19" a="1"/>
  <c r="R189" i="19" s="1"/>
  <c r="S189" i="19" a="1"/>
  <c r="S189" i="19"/>
  <c r="T189" i="19" a="1"/>
  <c r="T189" i="19"/>
  <c r="B190" i="19" a="1"/>
  <c r="B190" i="19" s="1"/>
  <c r="C190" i="19" a="1"/>
  <c r="C190" i="19"/>
  <c r="D190" i="19" a="1"/>
  <c r="D190" i="19"/>
  <c r="E190" i="19" a="1"/>
  <c r="E190" i="19" s="1"/>
  <c r="F190" i="19" a="1"/>
  <c r="F190" i="19" s="1"/>
  <c r="G190" i="19" a="1"/>
  <c r="G190" i="19" s="1"/>
  <c r="H190" i="19" a="1"/>
  <c r="H190" i="19" s="1"/>
  <c r="I190" i="19" a="1"/>
  <c r="I190" i="19" s="1"/>
  <c r="J190" i="19" a="1"/>
  <c r="J190" i="19"/>
  <c r="K190" i="19" a="1"/>
  <c r="K190" i="19" s="1"/>
  <c r="L190" i="19" a="1"/>
  <c r="L190" i="19"/>
  <c r="M190" i="19" a="1"/>
  <c r="M190" i="19"/>
  <c r="N190" i="19" a="1"/>
  <c r="N190" i="19"/>
  <c r="O190" i="19" a="1"/>
  <c r="O190" i="19" s="1"/>
  <c r="P190" i="19" a="1"/>
  <c r="P190" i="19"/>
  <c r="Q190" i="19" a="1"/>
  <c r="Q190" i="19" s="1"/>
  <c r="R190" i="19" a="1"/>
  <c r="R190" i="19" s="1"/>
  <c r="S190" i="19" a="1"/>
  <c r="S190" i="19"/>
  <c r="T190" i="19" a="1"/>
  <c r="T190" i="19" s="1"/>
  <c r="B191" i="19" a="1"/>
  <c r="B191" i="19" s="1"/>
  <c r="C191" i="19" a="1"/>
  <c r="C191" i="19" s="1"/>
  <c r="D191" i="19" a="1"/>
  <c r="D191" i="19" s="1"/>
  <c r="E191" i="19" a="1"/>
  <c r="E191" i="19"/>
  <c r="F191" i="19" a="1"/>
  <c r="F191" i="19"/>
  <c r="G191" i="19" a="1"/>
  <c r="G191" i="19"/>
  <c r="H191" i="19" a="1"/>
  <c r="H191" i="19"/>
  <c r="I191" i="19" a="1"/>
  <c r="I191" i="19" s="1"/>
  <c r="J191" i="19" a="1"/>
  <c r="J191" i="19" s="1"/>
  <c r="K191" i="19" a="1"/>
  <c r="K191" i="19"/>
  <c r="L191" i="19" a="1"/>
  <c r="L191" i="19" s="1"/>
  <c r="M191" i="19" a="1"/>
  <c r="M191" i="19"/>
  <c r="N191" i="19" a="1"/>
  <c r="N191" i="19" s="1"/>
  <c r="O191" i="19" a="1"/>
  <c r="O191" i="19"/>
  <c r="P191" i="19" a="1"/>
  <c r="P191" i="19" s="1"/>
  <c r="Q191" i="19" a="1"/>
  <c r="Q191" i="19"/>
  <c r="R191" i="19" a="1"/>
  <c r="R191" i="19"/>
  <c r="S191" i="19" a="1"/>
  <c r="S191" i="19"/>
  <c r="T191" i="19" a="1"/>
  <c r="T191" i="19"/>
  <c r="B192" i="19" a="1"/>
  <c r="B192" i="19"/>
  <c r="C192" i="19" a="1"/>
  <c r="C192" i="19" s="1"/>
  <c r="D192" i="19" a="1"/>
  <c r="D192" i="19" s="1"/>
  <c r="E192" i="19" a="1"/>
  <c r="E192" i="19"/>
  <c r="F192" i="19" a="1"/>
  <c r="F192" i="19" s="1"/>
  <c r="G192" i="19" a="1"/>
  <c r="G192" i="19" s="1"/>
  <c r="H192" i="19" a="1"/>
  <c r="H192" i="19" s="1"/>
  <c r="I192" i="19" a="1"/>
  <c r="I192" i="19" s="1"/>
  <c r="J192" i="19" a="1"/>
  <c r="J192" i="19" s="1"/>
  <c r="K192" i="19" a="1"/>
  <c r="K192" i="19"/>
  <c r="L192" i="19" a="1"/>
  <c r="L192" i="19"/>
  <c r="M192" i="19" a="1"/>
  <c r="M192" i="19"/>
  <c r="N192" i="19" a="1"/>
  <c r="N192" i="19" s="1"/>
  <c r="O192" i="19" a="1"/>
  <c r="O192" i="19" s="1"/>
  <c r="P192" i="19" a="1"/>
  <c r="P192" i="19"/>
  <c r="Q192" i="19" a="1"/>
  <c r="Q192" i="19" s="1"/>
  <c r="R192" i="19" a="1"/>
  <c r="R192" i="19"/>
  <c r="S192" i="19" a="1"/>
  <c r="S192" i="19" s="1"/>
  <c r="T192" i="19" a="1"/>
  <c r="T192" i="19" s="1"/>
  <c r="B193" i="19" a="1"/>
  <c r="B193" i="19" s="1"/>
  <c r="C193" i="19" a="1"/>
  <c r="C193" i="19"/>
  <c r="D193" i="19" a="1"/>
  <c r="D193" i="19" s="1"/>
  <c r="E193" i="19" a="1"/>
  <c r="E193" i="19"/>
  <c r="F193" i="19" a="1"/>
  <c r="F193" i="19"/>
  <c r="G193" i="19" a="1"/>
  <c r="G193" i="19"/>
  <c r="H193" i="19" a="1"/>
  <c r="H193" i="19" s="1"/>
  <c r="I193" i="19" a="1"/>
  <c r="I193" i="19" s="1"/>
  <c r="J193" i="19" a="1"/>
  <c r="J193" i="19" s="1"/>
  <c r="K193" i="19" a="1"/>
  <c r="K193" i="19" s="1"/>
  <c r="L193" i="19" a="1"/>
  <c r="L193" i="19"/>
  <c r="M193" i="19" a="1"/>
  <c r="M193" i="19" s="1"/>
  <c r="N193" i="19" a="1"/>
  <c r="N193" i="19" s="1"/>
  <c r="O193" i="19" a="1"/>
  <c r="O193" i="19"/>
  <c r="P193" i="19" a="1"/>
  <c r="P193" i="19"/>
  <c r="Q193" i="19" a="1"/>
  <c r="Q193" i="19" s="1"/>
  <c r="R193" i="19" a="1"/>
  <c r="R193" i="19"/>
  <c r="S193" i="19" a="1"/>
  <c r="S193" i="19"/>
  <c r="T193" i="19" a="1"/>
  <c r="T193" i="19" s="1"/>
  <c r="B194" i="19" a="1"/>
  <c r="B194" i="19"/>
  <c r="C194" i="19" a="1"/>
  <c r="C194" i="19" s="1"/>
  <c r="D194" i="19" a="1"/>
  <c r="D194" i="19" s="1"/>
  <c r="E194" i="19" a="1"/>
  <c r="E194" i="19" s="1"/>
  <c r="F194" i="19" a="1"/>
  <c r="F194" i="19"/>
  <c r="G194" i="19" a="1"/>
  <c r="G194" i="19" s="1"/>
  <c r="H194" i="19" a="1"/>
  <c r="H194" i="19"/>
  <c r="I194" i="19" a="1"/>
  <c r="I194" i="19"/>
  <c r="J194" i="19" a="1"/>
  <c r="J194" i="19"/>
  <c r="K194" i="19" a="1"/>
  <c r="K194" i="19" s="1"/>
  <c r="L194" i="19" a="1"/>
  <c r="L194" i="19"/>
  <c r="M194" i="19" a="1"/>
  <c r="M194" i="19" s="1"/>
  <c r="N194" i="19" a="1"/>
  <c r="N194" i="19" s="1"/>
  <c r="O194" i="19" a="1"/>
  <c r="O194" i="19"/>
  <c r="P194" i="19" a="1"/>
  <c r="P194" i="19" s="1"/>
  <c r="Q194" i="19" a="1"/>
  <c r="Q194" i="19"/>
  <c r="R194" i="19" a="1"/>
  <c r="R194" i="19" s="1"/>
  <c r="S194" i="19" a="1"/>
  <c r="S194" i="19" s="1"/>
  <c r="T194" i="19" a="1"/>
  <c r="T194" i="19"/>
  <c r="B195" i="19" a="1"/>
  <c r="B195" i="19"/>
  <c r="C195" i="19" a="1"/>
  <c r="C195" i="19" s="1"/>
  <c r="D195" i="19" a="1"/>
  <c r="D195" i="19"/>
  <c r="E195" i="19" a="1"/>
  <c r="E195" i="19"/>
  <c r="F195" i="19" a="1"/>
  <c r="F195" i="19" s="1"/>
  <c r="G195" i="19" a="1"/>
  <c r="G195" i="19"/>
  <c r="H195" i="19" a="1"/>
  <c r="H195" i="19" s="1"/>
  <c r="I195" i="19" a="1"/>
  <c r="I195" i="19" s="1"/>
  <c r="J195" i="19" a="1"/>
  <c r="J195" i="19" s="1"/>
  <c r="K195" i="19" a="1"/>
  <c r="K195" i="19"/>
  <c r="L195" i="19" a="1"/>
  <c r="L195" i="19" s="1"/>
  <c r="M195" i="19" a="1"/>
  <c r="M195" i="19"/>
  <c r="N195" i="19" a="1"/>
  <c r="N195" i="19"/>
  <c r="O195" i="19" a="1"/>
  <c r="O195" i="19"/>
  <c r="P195" i="19" a="1"/>
  <c r="P195" i="19" s="1"/>
  <c r="Q195" i="19" a="1"/>
  <c r="Q195" i="19"/>
  <c r="R195" i="19" a="1"/>
  <c r="R195" i="19" s="1"/>
  <c r="S195" i="19" a="1"/>
  <c r="S195" i="19" s="1"/>
  <c r="T195" i="19" a="1"/>
  <c r="T195" i="19"/>
  <c r="B196" i="19" a="1"/>
  <c r="B196" i="19" s="1"/>
  <c r="C196" i="19" a="1"/>
  <c r="C196" i="19" s="1"/>
  <c r="D196" i="19" a="1"/>
  <c r="D196" i="19" s="1"/>
  <c r="E196" i="19" a="1"/>
  <c r="E196" i="19" s="1"/>
  <c r="F196" i="19" a="1"/>
  <c r="F196" i="19"/>
  <c r="G196" i="19" a="1"/>
  <c r="G196" i="19"/>
  <c r="H196" i="19" a="1"/>
  <c r="H196" i="19"/>
  <c r="I196" i="19" a="1"/>
  <c r="I196" i="19"/>
  <c r="J196" i="19" a="1"/>
  <c r="J196" i="19" s="1"/>
  <c r="K196" i="19" a="1"/>
  <c r="K196" i="19" s="1"/>
  <c r="L196" i="19" a="1"/>
  <c r="L196" i="19" s="1"/>
  <c r="M196" i="19" a="1"/>
  <c r="M196" i="19" s="1"/>
  <c r="N196" i="19" a="1"/>
  <c r="N196" i="19"/>
  <c r="O196" i="19" a="1"/>
  <c r="O196" i="19" s="1"/>
  <c r="P196" i="19" a="1"/>
  <c r="P196" i="19"/>
  <c r="Q196" i="19" a="1"/>
  <c r="Q196" i="19" s="1"/>
  <c r="R196" i="19" a="1"/>
  <c r="R196" i="19"/>
  <c r="S196" i="19" a="1"/>
  <c r="S196" i="19" s="1"/>
  <c r="T196" i="19" a="1"/>
  <c r="T196" i="19"/>
  <c r="B197" i="19" a="1"/>
  <c r="B197" i="19"/>
  <c r="C197" i="19" a="1"/>
  <c r="C197" i="19"/>
  <c r="D197" i="19" a="1"/>
  <c r="D197" i="19" s="1"/>
  <c r="E197" i="19" a="1"/>
  <c r="E197" i="19" s="1"/>
  <c r="F197" i="19" a="1"/>
  <c r="F197" i="19" s="1"/>
  <c r="G197" i="19" a="1"/>
  <c r="G197" i="19" s="1"/>
  <c r="H197" i="19" a="1"/>
  <c r="H197" i="19"/>
  <c r="I197" i="19" a="1"/>
  <c r="I197" i="19" s="1"/>
  <c r="J197" i="19" a="1"/>
  <c r="J197" i="19" s="1"/>
  <c r="K197" i="19" a="1"/>
  <c r="K197" i="19" s="1"/>
  <c r="L197" i="19" a="1"/>
  <c r="L197" i="19"/>
  <c r="M197" i="19" a="1"/>
  <c r="M197" i="19"/>
  <c r="N197" i="19" a="1"/>
  <c r="N197" i="19"/>
  <c r="O197" i="19" a="1"/>
  <c r="O197" i="19"/>
  <c r="P197" i="19" a="1"/>
  <c r="P197" i="19" s="1"/>
  <c r="Q197" i="19" a="1"/>
  <c r="Q197" i="19"/>
  <c r="R197" i="19" a="1"/>
  <c r="R197" i="19" s="1"/>
  <c r="S197" i="19" a="1"/>
  <c r="S197" i="19"/>
  <c r="T197" i="19" a="1"/>
  <c r="T197" i="19" s="1"/>
  <c r="B198" i="19" a="1"/>
  <c r="B198" i="19"/>
  <c r="C198" i="19" a="1"/>
  <c r="C198" i="19" s="1"/>
  <c r="D198" i="19" a="1"/>
  <c r="D198" i="19"/>
  <c r="E198" i="19" a="1"/>
  <c r="E198" i="19" s="1"/>
  <c r="F198" i="19" a="1"/>
  <c r="F198" i="19"/>
  <c r="G198" i="19" a="1"/>
  <c r="G198" i="19"/>
  <c r="H198" i="19" a="1"/>
  <c r="H198" i="19"/>
  <c r="I198" i="19" a="1"/>
  <c r="I198" i="19" s="1"/>
  <c r="J198" i="19" a="1"/>
  <c r="J198" i="19" s="1"/>
  <c r="K198" i="19" a="1"/>
  <c r="K198" i="19" s="1"/>
  <c r="L198" i="19" a="1"/>
  <c r="L198" i="19" s="1"/>
  <c r="M198" i="19" a="1"/>
  <c r="M198" i="19"/>
  <c r="N198" i="19" a="1"/>
  <c r="N198" i="19" s="1"/>
  <c r="O198" i="19" a="1"/>
  <c r="O198" i="19" s="1"/>
  <c r="P198" i="19" a="1"/>
  <c r="P198" i="19"/>
  <c r="Q198" i="19" a="1"/>
  <c r="Q198" i="19"/>
  <c r="R198" i="19" a="1"/>
  <c r="R198" i="19" s="1"/>
  <c r="S198" i="19" a="1"/>
  <c r="S198" i="19"/>
  <c r="T198" i="19" a="1"/>
  <c r="T198" i="19"/>
  <c r="B199" i="19" a="1"/>
  <c r="B199" i="19" s="1"/>
  <c r="C199" i="19" a="1"/>
  <c r="C199" i="19"/>
  <c r="D199" i="19" a="1"/>
  <c r="D199" i="19" s="1"/>
  <c r="E199" i="19" a="1"/>
  <c r="E199" i="19" s="1"/>
  <c r="F199" i="19" a="1"/>
  <c r="F199" i="19" s="1"/>
  <c r="G199" i="19" a="1"/>
  <c r="G199" i="19" s="1"/>
  <c r="H199" i="19" a="1"/>
  <c r="H199" i="19" s="1"/>
  <c r="I199" i="19" a="1"/>
  <c r="I199" i="19"/>
  <c r="J199" i="19" a="1"/>
  <c r="J199" i="19"/>
  <c r="K199" i="19" a="1"/>
  <c r="K199" i="19"/>
  <c r="L199" i="19" a="1"/>
  <c r="L199" i="19" s="1"/>
  <c r="M199" i="19" a="1"/>
  <c r="M199" i="19"/>
  <c r="N199" i="19" a="1"/>
  <c r="N199" i="19" s="1"/>
  <c r="O199" i="19" a="1"/>
  <c r="O199" i="19" s="1"/>
  <c r="P199" i="19" a="1"/>
  <c r="P199" i="19"/>
  <c r="Q199" i="19" a="1"/>
  <c r="Q199" i="19" s="1"/>
  <c r="R199" i="19" a="1"/>
  <c r="R199" i="19"/>
  <c r="S199" i="19" a="1"/>
  <c r="S199" i="19" s="1"/>
  <c r="T199" i="19" a="1"/>
  <c r="T199" i="19" s="1"/>
  <c r="B200" i="19" a="1"/>
  <c r="B200" i="19"/>
  <c r="C200" i="19" a="1"/>
  <c r="C200" i="19"/>
  <c r="D200" i="19" a="1"/>
  <c r="D200" i="19"/>
  <c r="E200" i="19" a="1"/>
  <c r="E200" i="19"/>
  <c r="F200" i="19" a="1"/>
  <c r="F200" i="19"/>
  <c r="G200" i="19" a="1"/>
  <c r="G200" i="19" s="1"/>
  <c r="H200" i="19" a="1"/>
  <c r="H200" i="19" s="1"/>
  <c r="I200" i="19" a="1"/>
  <c r="I200" i="19" s="1"/>
  <c r="J200" i="19" a="1"/>
  <c r="J200" i="19"/>
  <c r="K200" i="19" a="1"/>
  <c r="K200" i="19" s="1"/>
  <c r="L200" i="19" a="1"/>
  <c r="L200" i="19"/>
  <c r="M200" i="19" a="1"/>
  <c r="M200" i="19" s="1"/>
  <c r="N200" i="19" a="1"/>
  <c r="N200" i="19"/>
  <c r="O200" i="19" a="1"/>
  <c r="O200" i="19"/>
  <c r="P200" i="19" a="1"/>
  <c r="P200" i="19"/>
  <c r="Q200" i="19" a="1"/>
  <c r="Q200" i="19"/>
  <c r="R200" i="19" a="1"/>
  <c r="R200" i="19"/>
  <c r="S200" i="19" a="1"/>
  <c r="S200" i="19" s="1"/>
  <c r="T200" i="19" a="1"/>
  <c r="T200" i="19" s="1"/>
  <c r="B201" i="19" a="1"/>
  <c r="B201" i="19"/>
  <c r="C201" i="19" a="1"/>
  <c r="C201" i="19" s="1"/>
  <c r="D201" i="19" a="1"/>
  <c r="D201" i="19"/>
  <c r="E201" i="19" a="1"/>
  <c r="E201" i="19" s="1"/>
  <c r="F201" i="19" a="1"/>
  <c r="F201" i="19" s="1"/>
  <c r="G201" i="19" a="1"/>
  <c r="G201" i="19"/>
  <c r="H201" i="19" a="1"/>
  <c r="H201" i="19"/>
  <c r="I201" i="19" a="1"/>
  <c r="I201" i="19"/>
  <c r="J201" i="19" a="1"/>
  <c r="J201" i="19"/>
  <c r="K201" i="19" a="1"/>
  <c r="K201" i="19"/>
  <c r="L201" i="19" a="1"/>
  <c r="L201" i="19" s="1"/>
  <c r="M201" i="19" a="1"/>
  <c r="M201" i="19" s="1"/>
  <c r="N201" i="19" a="1"/>
  <c r="N201" i="19" s="1"/>
  <c r="O201" i="19" a="1"/>
  <c r="O201" i="19"/>
  <c r="P201" i="19" a="1"/>
  <c r="P201" i="19" s="1"/>
  <c r="Q201" i="19" a="1"/>
  <c r="Q201" i="19"/>
  <c r="R201" i="19" a="1"/>
  <c r="R201" i="19" s="1"/>
  <c r="S201" i="19" a="1"/>
  <c r="S201" i="19"/>
  <c r="T201" i="19" a="1"/>
  <c r="T201" i="19" s="1"/>
  <c r="B202" i="19" a="1"/>
  <c r="B202" i="19"/>
  <c r="C202" i="19" a="1"/>
  <c r="C202" i="19"/>
  <c r="D202" i="19" a="1"/>
  <c r="D202" i="19"/>
  <c r="E202" i="19" a="1"/>
  <c r="E202" i="19" s="1"/>
  <c r="F202" i="19" a="1"/>
  <c r="F202" i="19" s="1"/>
  <c r="G202" i="19" a="1"/>
  <c r="G202" i="19" s="1"/>
  <c r="H202" i="19" a="1"/>
  <c r="H202" i="19" s="1"/>
  <c r="I202" i="19" a="1"/>
  <c r="I202" i="19" s="1"/>
  <c r="J202" i="19" a="1"/>
  <c r="J202" i="19" s="1"/>
  <c r="K202" i="19" a="1"/>
  <c r="K202" i="19" s="1"/>
  <c r="L202" i="19" a="1"/>
  <c r="L202" i="19"/>
  <c r="M202" i="19" a="1"/>
  <c r="M202" i="19"/>
  <c r="N202" i="19" a="1"/>
  <c r="N202" i="19"/>
  <c r="O202" i="19" a="1"/>
  <c r="O202" i="19"/>
  <c r="P202" i="19" a="1"/>
  <c r="P202" i="19" s="1"/>
  <c r="Q202" i="19" a="1"/>
  <c r="Q202" i="19" s="1"/>
  <c r="R202" i="19" a="1"/>
  <c r="R202" i="19"/>
  <c r="S202" i="19" a="1"/>
  <c r="S202" i="19" s="1"/>
  <c r="T202" i="19" a="1"/>
  <c r="T202" i="19"/>
  <c r="B203" i="19" a="1"/>
  <c r="B203" i="19" s="1"/>
  <c r="C203" i="19" a="1"/>
  <c r="C203" i="19" s="1"/>
  <c r="D203" i="19" a="1"/>
  <c r="D203" i="19" s="1"/>
  <c r="E203" i="19" a="1"/>
  <c r="E203" i="19"/>
  <c r="F203" i="19" a="1"/>
  <c r="F203" i="19"/>
  <c r="G203" i="19" a="1"/>
  <c r="G203" i="19"/>
  <c r="H203" i="19" a="1"/>
  <c r="H203" i="19"/>
  <c r="I203" i="19" a="1"/>
  <c r="I203" i="19"/>
  <c r="J203" i="19" a="1"/>
  <c r="J203" i="19" s="1"/>
  <c r="K203" i="19" a="1"/>
  <c r="K203" i="19" s="1"/>
  <c r="L203" i="19" a="1"/>
  <c r="L203" i="19"/>
  <c r="M203" i="19" a="1"/>
  <c r="M203" i="19" s="1"/>
  <c r="N203" i="19" a="1"/>
  <c r="N203" i="19"/>
  <c r="O203" i="19" a="1"/>
  <c r="O203" i="19" s="1"/>
  <c r="P203" i="19" a="1"/>
  <c r="P203" i="19" s="1"/>
  <c r="Q203" i="19" a="1"/>
  <c r="Q203" i="19"/>
  <c r="R203" i="19" a="1"/>
  <c r="R203" i="19"/>
  <c r="S203" i="19" a="1"/>
  <c r="S203" i="19"/>
  <c r="T203" i="19" a="1"/>
  <c r="T203" i="19"/>
  <c r="B204" i="19" a="1"/>
  <c r="B204" i="19"/>
  <c r="C204" i="19" a="1"/>
  <c r="C204" i="19" s="1"/>
  <c r="D204" i="19" a="1"/>
  <c r="D204" i="19"/>
  <c r="E204" i="19" a="1"/>
  <c r="E204" i="19" s="1"/>
  <c r="F204" i="19" a="1"/>
  <c r="F204" i="19"/>
  <c r="G204" i="19" a="1"/>
  <c r="G204" i="19" s="1"/>
  <c r="H204" i="19" a="1"/>
  <c r="H204" i="19" s="1"/>
  <c r="I204" i="19" a="1"/>
  <c r="I204" i="19" s="1"/>
  <c r="J204" i="19" a="1"/>
  <c r="J204" i="19"/>
  <c r="K204" i="19" a="1"/>
  <c r="K204" i="19"/>
  <c r="L204" i="19" a="1"/>
  <c r="L204" i="19"/>
  <c r="M204" i="19" a="1"/>
  <c r="M204" i="19"/>
  <c r="N204" i="19" a="1"/>
  <c r="N204" i="19"/>
  <c r="O204" i="19" a="1"/>
  <c r="O204" i="19" s="1"/>
  <c r="P204" i="19" a="1"/>
  <c r="P204" i="19" s="1"/>
  <c r="Q204" i="19" a="1"/>
  <c r="Q204" i="19"/>
  <c r="R204" i="19" a="1"/>
  <c r="R204" i="19" s="1"/>
  <c r="S204" i="19" a="1"/>
  <c r="S204" i="19"/>
  <c r="T204" i="19" a="1"/>
  <c r="T204" i="19" s="1"/>
  <c r="B205" i="19" a="1"/>
  <c r="B205" i="19" s="1"/>
  <c r="C205" i="19" a="1"/>
  <c r="C205" i="19"/>
  <c r="D205" i="19" a="1"/>
  <c r="D205" i="19"/>
  <c r="E205" i="19" a="1"/>
  <c r="E205" i="19" s="1"/>
  <c r="F205" i="19" a="1"/>
  <c r="F205" i="19"/>
  <c r="G205" i="19" a="1"/>
  <c r="G205" i="19"/>
  <c r="H205" i="19" a="1"/>
  <c r="H205" i="19" s="1"/>
  <c r="I205" i="19" a="1"/>
  <c r="I205" i="19" s="1"/>
  <c r="J205" i="19" a="1"/>
  <c r="J205" i="19" s="1"/>
  <c r="K205" i="19" a="1"/>
  <c r="K205" i="19" s="1"/>
  <c r="L205" i="19" a="1"/>
  <c r="L205" i="19" s="1"/>
  <c r="M205" i="19" a="1"/>
  <c r="M205" i="19"/>
  <c r="N205" i="19" a="1"/>
  <c r="N205" i="19" s="1"/>
  <c r="O205" i="19" a="1"/>
  <c r="O205" i="19"/>
  <c r="P205" i="19" a="1"/>
  <c r="P205" i="19"/>
  <c r="Q205" i="19" a="1"/>
  <c r="Q205" i="19"/>
  <c r="R205" i="19" a="1"/>
  <c r="R205" i="19" s="1"/>
  <c r="S205" i="19" a="1"/>
  <c r="S205" i="19"/>
  <c r="T205" i="19" a="1"/>
  <c r="T205" i="19" s="1"/>
  <c r="B206" i="19" a="1"/>
  <c r="B206" i="19" s="1"/>
  <c r="C206" i="19" a="1"/>
  <c r="C206" i="19" s="1"/>
  <c r="D206" i="19" a="1"/>
  <c r="D206" i="19" s="1"/>
  <c r="E206" i="19" a="1"/>
  <c r="E206" i="19" s="1"/>
  <c r="F206" i="19" a="1"/>
  <c r="F206" i="19" s="1"/>
  <c r="G206" i="19" a="1"/>
  <c r="G206" i="19" s="1"/>
  <c r="H206" i="19" a="1"/>
  <c r="H206" i="19"/>
  <c r="I206" i="19" a="1"/>
  <c r="I206" i="19"/>
  <c r="J206" i="19" a="1"/>
  <c r="J206" i="19" s="1"/>
  <c r="K206" i="19" a="1"/>
  <c r="K206" i="19"/>
  <c r="L206" i="19" a="1"/>
  <c r="L206" i="19" s="1"/>
  <c r="M206" i="19" a="1"/>
  <c r="M206" i="19" s="1"/>
  <c r="N206" i="19" a="1"/>
  <c r="N206" i="19"/>
  <c r="O206" i="19" a="1"/>
  <c r="O206" i="19" s="1"/>
  <c r="P206" i="19" a="1"/>
  <c r="P206" i="19"/>
  <c r="Q206" i="19" a="1"/>
  <c r="Q206" i="19" s="1"/>
  <c r="R206" i="19" a="1"/>
  <c r="R206" i="19" s="1"/>
  <c r="S206" i="19" a="1"/>
  <c r="S206" i="19" s="1"/>
  <c r="T206" i="19" a="1"/>
  <c r="T206" i="19"/>
  <c r="B207" i="19" a="1"/>
  <c r="B207" i="19" s="1"/>
  <c r="C207" i="19" a="1"/>
  <c r="C207" i="19"/>
  <c r="D207" i="19" a="1"/>
  <c r="D207" i="19"/>
  <c r="E207" i="19" a="1"/>
  <c r="E207" i="19"/>
  <c r="F207" i="19" a="1"/>
  <c r="F207" i="19" s="1"/>
  <c r="G207" i="19" a="1"/>
  <c r="G207" i="19" s="1"/>
  <c r="H207" i="19" a="1"/>
  <c r="H207" i="19"/>
  <c r="I207" i="19" a="1"/>
  <c r="I207" i="19" s="1"/>
  <c r="J207" i="19" a="1"/>
  <c r="J207" i="19" s="1"/>
  <c r="K207" i="19" a="1"/>
  <c r="K207" i="19" s="1"/>
  <c r="L207" i="19" a="1"/>
  <c r="L207" i="19" s="1"/>
  <c r="M207" i="19" a="1"/>
  <c r="M207" i="19"/>
  <c r="N207" i="19" a="1"/>
  <c r="N207" i="19"/>
  <c r="O207" i="19" a="1"/>
  <c r="O207" i="19"/>
  <c r="P207" i="19" a="1"/>
  <c r="P207" i="19"/>
  <c r="Q207" i="19" a="1"/>
  <c r="Q207" i="19" s="1"/>
  <c r="R207" i="19" a="1"/>
  <c r="R207" i="19" s="1"/>
  <c r="S207" i="19" a="1"/>
  <c r="S207" i="19"/>
  <c r="T207" i="19" a="1"/>
  <c r="T207" i="19" s="1"/>
  <c r="B208" i="19" a="1"/>
  <c r="B208" i="19"/>
  <c r="C208" i="19" a="1"/>
  <c r="C208" i="19" s="1"/>
  <c r="D208" i="19" a="1"/>
  <c r="D208" i="19" s="1"/>
  <c r="E208" i="19" a="1"/>
  <c r="E208" i="19" s="1"/>
  <c r="F208" i="19" a="1"/>
  <c r="F208" i="19"/>
  <c r="G208" i="19" a="1"/>
  <c r="G208" i="19" s="1"/>
  <c r="H208" i="19" a="1"/>
  <c r="H208" i="19"/>
  <c r="I208" i="19" a="1"/>
  <c r="I208" i="19" s="1"/>
  <c r="J208" i="19" a="1"/>
  <c r="J208" i="19"/>
  <c r="K208" i="19" a="1"/>
  <c r="K208" i="19" s="1"/>
  <c r="L208" i="19" a="1"/>
  <c r="L208" i="19" s="1"/>
  <c r="M208" i="19" a="1"/>
  <c r="M208" i="19" s="1"/>
  <c r="N208" i="19" a="1"/>
  <c r="N208" i="19" s="1"/>
  <c r="O208" i="19" a="1"/>
  <c r="O208" i="19"/>
  <c r="P208" i="19" a="1"/>
  <c r="P208" i="19" s="1"/>
  <c r="Q208" i="19" a="1"/>
  <c r="Q208" i="19" s="1"/>
  <c r="R208" i="19" a="1"/>
  <c r="R208" i="19"/>
  <c r="S208" i="19" a="1"/>
  <c r="S208" i="19"/>
  <c r="T208" i="19" a="1"/>
  <c r="T208" i="19" s="1"/>
  <c r="B209" i="19" a="1"/>
  <c r="B209" i="19"/>
  <c r="C209" i="19" a="1"/>
  <c r="C209" i="19"/>
  <c r="D209" i="19" a="1"/>
  <c r="D209" i="19" s="1"/>
  <c r="E209" i="19" a="1"/>
  <c r="E209" i="19" s="1"/>
  <c r="F209" i="19" a="1"/>
  <c r="F209" i="19" s="1"/>
  <c r="G209" i="19" a="1"/>
  <c r="G209" i="19" s="1"/>
  <c r="H209" i="19" a="1"/>
  <c r="H209" i="19" s="1"/>
  <c r="I209" i="19" a="1"/>
  <c r="I209" i="19"/>
  <c r="J209" i="19" a="1"/>
  <c r="J209" i="19" s="1"/>
  <c r="K209" i="19" a="1"/>
  <c r="K209" i="19"/>
  <c r="L209" i="19" a="1"/>
  <c r="L209" i="19" s="1"/>
  <c r="M209" i="19" a="1"/>
  <c r="M209" i="19"/>
  <c r="N209" i="19" a="1"/>
  <c r="N209" i="19" s="1"/>
  <c r="O209" i="19" a="1"/>
  <c r="O209" i="19"/>
  <c r="P209" i="19" a="1"/>
  <c r="P209" i="19" s="1"/>
  <c r="Q209" i="19" a="1"/>
  <c r="Q209" i="19" s="1"/>
  <c r="R209" i="19" a="1"/>
  <c r="R209" i="19"/>
  <c r="S209" i="19" a="1"/>
  <c r="S209" i="19" s="1"/>
  <c r="T209" i="19" a="1"/>
  <c r="T209" i="19" s="1"/>
  <c r="B210" i="19" a="1"/>
  <c r="B210" i="19" s="1"/>
  <c r="C210" i="19" a="1"/>
  <c r="C210" i="19" s="1"/>
  <c r="D210" i="19" a="1"/>
  <c r="D210" i="19"/>
  <c r="E210" i="19" a="1"/>
  <c r="E210" i="19"/>
  <c r="F210" i="19" a="1"/>
  <c r="F210" i="19" s="1"/>
  <c r="G210" i="19" a="1"/>
  <c r="G210" i="19"/>
  <c r="H210" i="19" a="1"/>
  <c r="H210" i="19" s="1"/>
  <c r="I210" i="19" a="1"/>
  <c r="I210" i="19" s="1"/>
  <c r="J210" i="19" a="1"/>
  <c r="J210" i="19"/>
  <c r="K210" i="19" a="1"/>
  <c r="K210" i="19" s="1"/>
  <c r="L210" i="19" a="1"/>
  <c r="L210" i="19" s="1"/>
  <c r="M210" i="19" a="1"/>
  <c r="M210" i="19" s="1"/>
  <c r="N210" i="19" a="1"/>
  <c r="N210" i="19"/>
  <c r="O210" i="19" a="1"/>
  <c r="O210" i="19" s="1"/>
  <c r="P210" i="19" a="1"/>
  <c r="P210" i="19"/>
  <c r="Q210" i="19" a="1"/>
  <c r="Q210" i="19"/>
  <c r="R210" i="19" a="1"/>
  <c r="R210" i="19"/>
  <c r="S210" i="19" a="1"/>
  <c r="S210" i="19" s="1"/>
  <c r="T210" i="19" a="1"/>
  <c r="T210" i="19"/>
  <c r="B211" i="19" a="1"/>
  <c r="B211" i="19" s="1"/>
  <c r="C211" i="19" a="1"/>
  <c r="C211" i="19" s="1"/>
  <c r="D211" i="19" a="1"/>
  <c r="D211" i="19"/>
  <c r="E211" i="19" a="1"/>
  <c r="E211" i="19" s="1"/>
  <c r="F211" i="19" a="1"/>
  <c r="F211" i="19" s="1"/>
  <c r="G211" i="19" a="1"/>
  <c r="G211" i="19" s="1"/>
  <c r="H211" i="19" a="1"/>
  <c r="H211" i="19" s="1"/>
  <c r="I211" i="19" a="1"/>
  <c r="I211" i="19"/>
  <c r="J211" i="19" a="1"/>
  <c r="J211" i="19"/>
  <c r="K211" i="19" a="1"/>
  <c r="K211" i="19" s="1"/>
  <c r="L211" i="19" a="1"/>
  <c r="L211" i="19"/>
  <c r="M211" i="19" a="1"/>
  <c r="M211" i="19" s="1"/>
  <c r="N211" i="19" a="1"/>
  <c r="N211" i="19" s="1"/>
  <c r="O211" i="19" a="1"/>
  <c r="O211" i="19" s="1"/>
  <c r="P211" i="19" a="1"/>
  <c r="P211" i="19" s="1"/>
  <c r="Q211" i="19" a="1"/>
  <c r="Q211" i="19"/>
  <c r="R211" i="19" a="1"/>
  <c r="R211" i="19" s="1"/>
  <c r="S211" i="19" a="1"/>
  <c r="S211" i="19" s="1"/>
  <c r="T211" i="19" a="1"/>
  <c r="T211" i="19" s="1"/>
  <c r="B212" i="19" a="1"/>
  <c r="B212" i="19"/>
  <c r="C212" i="19" a="1"/>
  <c r="C212" i="19" s="1"/>
  <c r="D212" i="19" a="1"/>
  <c r="D212" i="19"/>
  <c r="E212" i="19" a="1"/>
  <c r="E212" i="19"/>
  <c r="F212" i="19" a="1"/>
  <c r="F212" i="19"/>
  <c r="G212" i="19" a="1"/>
  <c r="G212" i="19" s="1"/>
  <c r="H212" i="19" a="1"/>
  <c r="H212" i="19" s="1"/>
  <c r="I212" i="19" a="1"/>
  <c r="I212" i="19" s="1"/>
  <c r="J212" i="19" a="1"/>
  <c r="J212" i="19" s="1"/>
  <c r="K212" i="19" a="1"/>
  <c r="K212" i="19"/>
  <c r="L212" i="19" a="1"/>
  <c r="L212" i="19" s="1"/>
  <c r="M212" i="19" a="1"/>
  <c r="M212" i="19" s="1"/>
  <c r="N212" i="19" a="1"/>
  <c r="N212" i="19"/>
  <c r="O212" i="19" a="1"/>
  <c r="O212" i="19"/>
  <c r="P212" i="19" a="1"/>
  <c r="P212" i="19"/>
  <c r="Q212" i="19" a="1"/>
  <c r="Q212" i="19"/>
  <c r="R212" i="19" a="1"/>
  <c r="R212" i="19" s="1"/>
  <c r="S212" i="19" a="1"/>
  <c r="S212" i="19" s="1"/>
  <c r="T212" i="19" a="1"/>
  <c r="T212" i="19" s="1"/>
  <c r="B213" i="19" a="1"/>
  <c r="B213" i="19" s="1"/>
  <c r="C213" i="19" a="1"/>
  <c r="C213" i="19" s="1"/>
  <c r="D213" i="19" a="1"/>
  <c r="D213" i="19" s="1"/>
  <c r="E213" i="19" a="1"/>
  <c r="E213" i="19"/>
  <c r="F213" i="19" a="1"/>
  <c r="F213" i="19" s="1"/>
  <c r="G213" i="19" a="1"/>
  <c r="G213" i="19"/>
  <c r="H213" i="19" a="1"/>
  <c r="H213" i="19" s="1"/>
  <c r="I213" i="19" a="1"/>
  <c r="I213" i="19"/>
  <c r="J213" i="19" a="1"/>
  <c r="J213" i="19" s="1"/>
  <c r="K213" i="19" a="1"/>
  <c r="K213" i="19"/>
  <c r="L213" i="19" a="1"/>
  <c r="L213" i="19" s="1"/>
  <c r="M213" i="19" a="1"/>
  <c r="M213" i="19" s="1"/>
  <c r="N213" i="19" a="1"/>
  <c r="N213" i="19" s="1"/>
  <c r="O213" i="19" a="1"/>
  <c r="O213" i="19" s="1"/>
  <c r="P213" i="19" a="1"/>
  <c r="P213" i="19" s="1"/>
  <c r="Q213" i="19" a="1"/>
  <c r="Q213" i="19" s="1"/>
  <c r="R213" i="19" a="1"/>
  <c r="R213" i="19" s="1"/>
  <c r="S213" i="19" a="1"/>
  <c r="S213" i="19"/>
  <c r="T213" i="19" a="1"/>
  <c r="T213" i="19"/>
  <c r="B214" i="19" a="1"/>
  <c r="B214" i="19" s="1"/>
  <c r="C214" i="19" a="1"/>
  <c r="C214" i="19"/>
  <c r="D214" i="19" a="1"/>
  <c r="D214" i="19" s="1"/>
  <c r="E214" i="19" a="1"/>
  <c r="E214" i="19"/>
  <c r="F214" i="19" a="1"/>
  <c r="F214" i="19"/>
  <c r="G214" i="19" a="1"/>
  <c r="G214" i="19"/>
  <c r="H214" i="19" a="1"/>
  <c r="H214" i="19" s="1"/>
  <c r="I214" i="19" a="1"/>
  <c r="I214" i="19"/>
  <c r="J214" i="19" a="1"/>
  <c r="J214" i="19" s="1"/>
  <c r="K214" i="19" a="1"/>
  <c r="K214" i="19"/>
  <c r="L214" i="19" a="1"/>
  <c r="L214" i="19"/>
  <c r="M214" i="19" a="1"/>
  <c r="M214" i="19"/>
  <c r="N214" i="19" a="1"/>
  <c r="N214" i="19" s="1"/>
  <c r="O214" i="19" a="1"/>
  <c r="O214" i="19"/>
  <c r="P214" i="19" a="1"/>
  <c r="P214" i="19" s="1"/>
  <c r="Q214" i="19" a="1"/>
  <c r="Q214" i="19"/>
  <c r="R214" i="19" a="1"/>
  <c r="R214" i="19"/>
  <c r="S214" i="19" a="1"/>
  <c r="S214" i="19"/>
  <c r="T214" i="19" a="1"/>
  <c r="T214" i="19" s="1"/>
  <c r="B215" i="19" a="1"/>
  <c r="B215" i="19"/>
  <c r="C215" i="19" a="1"/>
  <c r="C215" i="19" s="1"/>
  <c r="D215" i="19" a="1"/>
  <c r="D215" i="19"/>
  <c r="E215" i="19" a="1"/>
  <c r="E215" i="19"/>
  <c r="F215" i="19" a="1"/>
  <c r="F215" i="19"/>
  <c r="G215" i="19" a="1"/>
  <c r="G215" i="19" s="1"/>
  <c r="H215" i="19" a="1"/>
  <c r="H215" i="19"/>
  <c r="I215" i="19" a="1"/>
  <c r="I215" i="19" s="1"/>
  <c r="J215" i="19" a="1"/>
  <c r="J215" i="19"/>
  <c r="K215" i="19" a="1"/>
  <c r="K215" i="19"/>
  <c r="L215" i="19" a="1"/>
  <c r="L215" i="19"/>
  <c r="M215" i="19" a="1"/>
  <c r="M215" i="19" s="1"/>
  <c r="N215" i="19" a="1"/>
  <c r="N215" i="19"/>
  <c r="O215" i="19" a="1"/>
  <c r="O215" i="19" s="1"/>
  <c r="P215" i="19" a="1"/>
  <c r="P215" i="19"/>
  <c r="Q215" i="19" a="1"/>
  <c r="Q215" i="19"/>
  <c r="R215" i="19" a="1"/>
  <c r="R215" i="19"/>
  <c r="S215" i="19" a="1"/>
  <c r="S215" i="19" s="1"/>
  <c r="T215" i="19" a="1"/>
  <c r="T215" i="19"/>
  <c r="B216" i="19" a="1"/>
  <c r="B216" i="19" s="1"/>
  <c r="C216" i="19" a="1"/>
  <c r="C216" i="19"/>
  <c r="D216" i="19" a="1"/>
  <c r="D216" i="19"/>
  <c r="E216" i="19" a="1"/>
  <c r="E216" i="19"/>
  <c r="F216" i="19" a="1"/>
  <c r="F216" i="19" s="1"/>
  <c r="G216" i="19" a="1"/>
  <c r="G216" i="19"/>
  <c r="H216" i="19" a="1"/>
  <c r="H216" i="19" s="1"/>
  <c r="I216" i="19" a="1"/>
  <c r="I216" i="19"/>
  <c r="J216" i="19" a="1"/>
  <c r="J216" i="19"/>
  <c r="K216" i="19" a="1"/>
  <c r="K216" i="19"/>
  <c r="L216" i="19" a="1"/>
  <c r="L216" i="19" s="1"/>
  <c r="M216" i="19" a="1"/>
  <c r="M216" i="19"/>
  <c r="N216" i="19" a="1"/>
  <c r="N216" i="19" s="1"/>
  <c r="O216" i="19" a="1"/>
  <c r="O216" i="19"/>
  <c r="P216" i="19" a="1"/>
  <c r="P216" i="19"/>
  <c r="Q216" i="19" a="1"/>
  <c r="Q216" i="19"/>
  <c r="R216" i="19" a="1"/>
  <c r="R216" i="19" s="1"/>
  <c r="S216" i="19" a="1"/>
  <c r="S216" i="19"/>
  <c r="T216" i="19" a="1"/>
  <c r="T216" i="19" s="1"/>
  <c r="B217" i="19" a="1"/>
  <c r="B217" i="19"/>
  <c r="C217" i="19" a="1"/>
  <c r="C217" i="19"/>
  <c r="D217" i="19" a="1"/>
  <c r="D217" i="19"/>
  <c r="E217" i="19" a="1"/>
  <c r="E217" i="19" s="1"/>
  <c r="F217" i="19" a="1"/>
  <c r="F217" i="19"/>
  <c r="G217" i="19" a="1"/>
  <c r="G217" i="19" s="1"/>
  <c r="H217" i="19" a="1"/>
  <c r="H217" i="19"/>
  <c r="I217" i="19" a="1"/>
  <c r="I217" i="19"/>
  <c r="J217" i="19" a="1"/>
  <c r="J217" i="19"/>
  <c r="K217" i="19" a="1"/>
  <c r="K217" i="19" s="1"/>
  <c r="L217" i="19" a="1"/>
  <c r="L217" i="19"/>
  <c r="M217" i="19" a="1"/>
  <c r="M217" i="19" s="1"/>
  <c r="N217" i="19" a="1"/>
  <c r="N217" i="19"/>
  <c r="O217" i="19" a="1"/>
  <c r="O217" i="19"/>
  <c r="P217" i="19" a="1"/>
  <c r="P217" i="19"/>
  <c r="Q217" i="19" a="1"/>
  <c r="Q217" i="19" s="1"/>
  <c r="R217" i="19" a="1"/>
  <c r="R217" i="19"/>
  <c r="S217" i="19" a="1"/>
  <c r="S217" i="19" s="1"/>
  <c r="T217" i="19" a="1"/>
  <c r="T217" i="19"/>
  <c r="B218" i="19" a="1"/>
  <c r="B218" i="19"/>
  <c r="C218" i="19" a="1"/>
  <c r="C218" i="19"/>
  <c r="D218" i="19" a="1"/>
  <c r="D218" i="19" s="1"/>
  <c r="E218" i="19" a="1"/>
  <c r="E218" i="19"/>
  <c r="F218" i="19" a="1"/>
  <c r="F218" i="19" s="1"/>
  <c r="G218" i="19" a="1"/>
  <c r="G218" i="19"/>
  <c r="H218" i="19" a="1"/>
  <c r="H218" i="19"/>
  <c r="I218" i="19" a="1"/>
  <c r="I218" i="19"/>
  <c r="J218" i="19" a="1"/>
  <c r="J218" i="19" s="1"/>
  <c r="K218" i="19" a="1"/>
  <c r="K218" i="19"/>
  <c r="L218" i="19" a="1"/>
  <c r="L218" i="19" s="1"/>
  <c r="M218" i="19" a="1"/>
  <c r="M218" i="19"/>
  <c r="N218" i="19" a="1"/>
  <c r="N218" i="19"/>
  <c r="O218" i="19" a="1"/>
  <c r="O218" i="19"/>
  <c r="P218" i="19" a="1"/>
  <c r="P218" i="19" s="1"/>
  <c r="Q218" i="19" a="1"/>
  <c r="Q218" i="19"/>
  <c r="R218" i="19" a="1"/>
  <c r="R218" i="19" s="1"/>
  <c r="S218" i="19" a="1"/>
  <c r="S218" i="19"/>
  <c r="T218" i="19" a="1"/>
  <c r="T218" i="19"/>
  <c r="B219" i="19" a="1"/>
  <c r="B219" i="19"/>
  <c r="C219" i="19" a="1"/>
  <c r="C219" i="19" s="1"/>
  <c r="D219" i="19" a="1"/>
  <c r="D219" i="19"/>
  <c r="E219" i="19" a="1"/>
  <c r="E219" i="19" s="1"/>
  <c r="F219" i="19" a="1"/>
  <c r="F219" i="19" s="1"/>
  <c r="G219" i="19" a="1"/>
  <c r="G219" i="19"/>
  <c r="H219" i="19" a="1"/>
  <c r="H219" i="19"/>
  <c r="I219" i="19" a="1"/>
  <c r="I219" i="19"/>
  <c r="J219" i="19" a="1"/>
  <c r="J219" i="19" s="1"/>
  <c r="K219" i="19" a="1"/>
  <c r="K219" i="19"/>
  <c r="L219" i="19" a="1"/>
  <c r="L219" i="19" s="1"/>
  <c r="M219" i="19" a="1"/>
  <c r="M219" i="19" s="1"/>
  <c r="N219" i="19" a="1"/>
  <c r="N219" i="19"/>
  <c r="O219" i="19" a="1"/>
  <c r="O219" i="19" s="1"/>
  <c r="P219" i="19" a="1"/>
  <c r="P219" i="19" s="1"/>
  <c r="Q219" i="19" a="1"/>
  <c r="Q219" i="19"/>
  <c r="R219" i="19" a="1"/>
  <c r="R219" i="19" s="1"/>
  <c r="S219" i="19" a="1"/>
  <c r="S219" i="19"/>
  <c r="T219" i="19" a="1"/>
  <c r="T219" i="19"/>
  <c r="B220" i="19" a="1"/>
  <c r="B220" i="19"/>
  <c r="C220" i="19" a="1"/>
  <c r="C220" i="19"/>
  <c r="D220" i="19" a="1"/>
  <c r="D220" i="19" s="1"/>
  <c r="E220" i="19" a="1"/>
  <c r="E220" i="19" s="1"/>
  <c r="F220" i="19" a="1"/>
  <c r="F220" i="19" s="1"/>
  <c r="G220" i="19" a="1"/>
  <c r="G220" i="19"/>
  <c r="H220" i="19" a="1"/>
  <c r="H220" i="19"/>
  <c r="I220" i="19" a="1"/>
  <c r="I220" i="19" s="1"/>
  <c r="J220" i="19" a="1"/>
  <c r="J220" i="19" s="1"/>
  <c r="K220" i="19" a="1"/>
  <c r="K220" i="19" s="1"/>
  <c r="L220" i="19" a="1"/>
  <c r="L220" i="19"/>
  <c r="M220" i="19" a="1"/>
  <c r="M220" i="19"/>
  <c r="N220" i="19" a="1"/>
  <c r="N220" i="19"/>
  <c r="O220" i="19" a="1"/>
  <c r="O220" i="19"/>
  <c r="P220" i="19" a="1"/>
  <c r="P220" i="19"/>
  <c r="Q220" i="19" a="1"/>
  <c r="Q220" i="19" s="1"/>
  <c r="R220" i="19" a="1"/>
  <c r="R220" i="19"/>
  <c r="S220" i="19" a="1"/>
  <c r="S220" i="19"/>
  <c r="T220" i="19" a="1"/>
  <c r="T220" i="19" s="1"/>
  <c r="B221" i="19" a="1"/>
  <c r="B221" i="19"/>
  <c r="C221" i="19" a="1"/>
  <c r="C221" i="19" s="1"/>
  <c r="D221" i="19" a="1"/>
  <c r="D221" i="19" s="1"/>
  <c r="E221" i="19" a="1"/>
  <c r="E221" i="19" s="1"/>
  <c r="F221" i="19" a="1"/>
  <c r="F221" i="19"/>
  <c r="G221" i="19" a="1"/>
  <c r="G221" i="19"/>
  <c r="H221" i="19" a="1"/>
  <c r="H221" i="19"/>
  <c r="I221" i="19" a="1"/>
  <c r="I221" i="19"/>
  <c r="J221" i="19" a="1"/>
  <c r="J221" i="19" s="1"/>
  <c r="K221" i="19" a="1"/>
  <c r="K221" i="19" s="1"/>
  <c r="L221" i="19" a="1"/>
  <c r="L221" i="19"/>
  <c r="M221" i="19" a="1"/>
  <c r="M221" i="19" s="1"/>
  <c r="N221" i="19" a="1"/>
  <c r="N221" i="19" s="1"/>
  <c r="O221" i="19" a="1"/>
  <c r="O221" i="19"/>
  <c r="P221" i="19" a="1"/>
  <c r="P221" i="19" s="1"/>
  <c r="Q221" i="19" a="1"/>
  <c r="Q221" i="19"/>
  <c r="R221" i="19" a="1"/>
  <c r="R221" i="19"/>
  <c r="S221" i="19" a="1"/>
  <c r="S221" i="19"/>
  <c r="T221" i="19" a="1"/>
  <c r="T221" i="19"/>
  <c r="B222" i="19" a="1"/>
  <c r="B222" i="19"/>
  <c r="C222" i="19" a="1"/>
  <c r="C222" i="19" s="1"/>
  <c r="D222" i="19" a="1"/>
  <c r="D222" i="19" s="1"/>
  <c r="E222" i="19" a="1"/>
  <c r="E222" i="19"/>
  <c r="F222" i="19" a="1"/>
  <c r="F222" i="19"/>
  <c r="G222" i="19" a="1"/>
  <c r="G222" i="19" s="1"/>
  <c r="H222" i="19" a="1"/>
  <c r="H222" i="19" s="1"/>
  <c r="I222" i="19" a="1"/>
  <c r="I222" i="19" s="1"/>
  <c r="J222" i="19" a="1"/>
  <c r="J222" i="19"/>
  <c r="K222" i="19" a="1"/>
  <c r="K222" i="19"/>
  <c r="L222" i="19" a="1"/>
  <c r="L222" i="19" s="1"/>
  <c r="M222" i="19" a="1"/>
  <c r="M222" i="19"/>
  <c r="N222" i="19" a="1"/>
  <c r="N222" i="19"/>
  <c r="O222" i="19" a="1"/>
  <c r="O222" i="19" s="1"/>
  <c r="P222" i="19" a="1"/>
  <c r="P222" i="19"/>
  <c r="Q222" i="19" a="1"/>
  <c r="Q222" i="19"/>
  <c r="R222" i="19" a="1"/>
  <c r="R222" i="19" s="1"/>
  <c r="S222" i="19" a="1"/>
  <c r="S222" i="19"/>
  <c r="T222" i="19" a="1"/>
  <c r="T222" i="19" s="1"/>
  <c r="B223" i="19" a="1"/>
  <c r="B223" i="19" s="1"/>
  <c r="C223" i="19" a="1"/>
  <c r="C223" i="19"/>
  <c r="D223" i="19" a="1"/>
  <c r="D223" i="19"/>
  <c r="E223" i="19" a="1"/>
  <c r="E223" i="19"/>
  <c r="F223" i="19" a="1"/>
  <c r="F223" i="19" s="1"/>
  <c r="G223" i="19" a="1"/>
  <c r="G223" i="19"/>
  <c r="H223" i="19" a="1"/>
  <c r="H223" i="19" s="1"/>
  <c r="I223" i="19" a="1"/>
  <c r="I223" i="19" s="1"/>
  <c r="J223" i="19" a="1"/>
  <c r="J223" i="19"/>
  <c r="K223" i="19" a="1"/>
  <c r="K223" i="19" s="1"/>
  <c r="L223" i="19" a="1"/>
  <c r="L223" i="19" s="1"/>
  <c r="M223" i="19" a="1"/>
  <c r="M223" i="19"/>
  <c r="N223" i="19" a="1"/>
  <c r="N223" i="19" s="1"/>
  <c r="O223" i="19" a="1"/>
  <c r="O223" i="19"/>
  <c r="P223" i="19" a="1"/>
  <c r="P223" i="19"/>
  <c r="Q223" i="19" a="1"/>
  <c r="Q223" i="19"/>
  <c r="R223" i="19" a="1"/>
  <c r="R223" i="19"/>
  <c r="S223" i="19" a="1"/>
  <c r="S223" i="19" s="1"/>
  <c r="T223" i="19" a="1"/>
  <c r="T223" i="19" s="1"/>
  <c r="B224" i="19" a="1"/>
  <c r="B224" i="19" s="1"/>
  <c r="C224" i="19" a="1"/>
  <c r="C224" i="19"/>
  <c r="D224" i="19" a="1"/>
  <c r="D224" i="19"/>
  <c r="E224" i="19" a="1"/>
  <c r="E224" i="19" s="1"/>
  <c r="F224" i="19" a="1"/>
  <c r="F224" i="19" s="1"/>
  <c r="G224" i="19" a="1"/>
  <c r="G224" i="19" s="1"/>
  <c r="H224" i="19" a="1"/>
  <c r="H224" i="19"/>
  <c r="I224" i="19" a="1"/>
  <c r="I224" i="19"/>
  <c r="J224" i="19" a="1"/>
  <c r="J224" i="19"/>
  <c r="K224" i="19" a="1"/>
  <c r="K224" i="19"/>
  <c r="L224" i="19" a="1"/>
  <c r="L224" i="19"/>
  <c r="M224" i="19" a="1"/>
  <c r="M224" i="19" s="1"/>
  <c r="N224" i="19" a="1"/>
  <c r="N224" i="19"/>
  <c r="O224" i="19" a="1"/>
  <c r="O224" i="19"/>
  <c r="P224" i="19" a="1"/>
  <c r="P224" i="19" s="1"/>
  <c r="Q224" i="19" a="1"/>
  <c r="Q224" i="19"/>
  <c r="R224" i="19" a="1"/>
  <c r="R224" i="19" s="1"/>
  <c r="S224" i="19" a="1"/>
  <c r="S224" i="19" s="1"/>
  <c r="T224" i="19" a="1"/>
  <c r="T224" i="19" s="1"/>
  <c r="B225" i="19" a="1"/>
  <c r="B225" i="19"/>
  <c r="C225" i="19" a="1"/>
  <c r="C225" i="19"/>
  <c r="D225" i="19" a="1"/>
  <c r="D225" i="19"/>
  <c r="E225" i="19" a="1"/>
  <c r="E225" i="19"/>
  <c r="F225" i="19" a="1"/>
  <c r="F225" i="19" s="1"/>
  <c r="G225" i="19" a="1"/>
  <c r="G225" i="19" s="1"/>
  <c r="H225" i="19" a="1"/>
  <c r="H225" i="19"/>
  <c r="I225" i="19" a="1"/>
  <c r="I225" i="19" s="1"/>
  <c r="J225" i="19" a="1"/>
  <c r="J225" i="19" s="1"/>
  <c r="K225" i="19" a="1"/>
  <c r="K225" i="19"/>
  <c r="L225" i="19" a="1"/>
  <c r="L225" i="19" s="1"/>
  <c r="M225" i="19" a="1"/>
  <c r="M225" i="19"/>
  <c r="N225" i="19" a="1"/>
  <c r="N225" i="19"/>
  <c r="O225" i="19" a="1"/>
  <c r="O225" i="19"/>
  <c r="P225" i="19" a="1"/>
  <c r="P225" i="19"/>
  <c r="Q225" i="19" a="1"/>
  <c r="Q225" i="19"/>
  <c r="R225" i="19" a="1"/>
  <c r="R225" i="19" s="1"/>
  <c r="S225" i="19" a="1"/>
  <c r="S225" i="19" s="1"/>
  <c r="T225" i="19" a="1"/>
  <c r="T225" i="19"/>
  <c r="B226" i="19" a="1"/>
  <c r="B226" i="19"/>
  <c r="C226" i="19" a="1"/>
  <c r="C226" i="19" s="1"/>
  <c r="D226" i="19" a="1"/>
  <c r="D226" i="19" s="1"/>
  <c r="E226" i="19" a="1"/>
  <c r="E226" i="19" s="1"/>
  <c r="F226" i="19" a="1"/>
  <c r="F226" i="19"/>
  <c r="G226" i="19" a="1"/>
  <c r="G226" i="19"/>
  <c r="H226" i="19" a="1"/>
  <c r="H226" i="19" s="1"/>
  <c r="I226" i="19" a="1"/>
  <c r="I226" i="19"/>
  <c r="J226" i="19" a="1"/>
  <c r="J226" i="19"/>
  <c r="K226" i="19" a="1"/>
  <c r="K226" i="19" s="1"/>
  <c r="L226" i="19" a="1"/>
  <c r="L226" i="19"/>
  <c r="M226" i="19" a="1"/>
  <c r="M226" i="19" s="1"/>
  <c r="N226" i="19" a="1"/>
  <c r="N226" i="19" s="1"/>
  <c r="O226" i="19" a="1"/>
  <c r="O226" i="19"/>
  <c r="P226" i="19" a="1"/>
  <c r="P226" i="19" s="1"/>
  <c r="Q226" i="19" a="1"/>
  <c r="Q226" i="19" s="1"/>
  <c r="R226" i="19" a="1"/>
  <c r="R226" i="19"/>
  <c r="S226" i="19" a="1"/>
  <c r="S226" i="19"/>
  <c r="T226" i="19" a="1"/>
  <c r="T226" i="19"/>
  <c r="B227" i="19" a="1"/>
  <c r="B227" i="19" s="1"/>
  <c r="C227" i="19" a="1"/>
  <c r="C227" i="19"/>
  <c r="D227" i="19" a="1"/>
  <c r="D227" i="19" s="1"/>
  <c r="E227" i="19" a="1"/>
  <c r="E227" i="19" s="1"/>
  <c r="F227" i="19" a="1"/>
  <c r="F227" i="19"/>
  <c r="G227" i="19" a="1"/>
  <c r="G227" i="19" s="1"/>
  <c r="H227" i="19" a="1"/>
  <c r="H227" i="19" s="1"/>
  <c r="I227" i="19" a="1"/>
  <c r="I227" i="19"/>
  <c r="J227" i="19" a="1"/>
  <c r="J227" i="19" s="1"/>
  <c r="K227" i="19" a="1"/>
  <c r="K227" i="19"/>
  <c r="L227" i="19" a="1"/>
  <c r="L227" i="19"/>
  <c r="M227" i="19" a="1"/>
  <c r="M227" i="19"/>
  <c r="N227" i="19" a="1"/>
  <c r="N227" i="19"/>
  <c r="O227" i="19" a="1"/>
  <c r="O227" i="19" s="1"/>
  <c r="P227" i="19" a="1"/>
  <c r="P227" i="19" s="1"/>
  <c r="Q227" i="19" a="1"/>
  <c r="Q227" i="19" s="1"/>
  <c r="R227" i="19" a="1"/>
  <c r="R227" i="19" s="1"/>
  <c r="S227" i="19" a="1"/>
  <c r="S227" i="19"/>
  <c r="T227" i="19" a="1"/>
  <c r="T227" i="19" s="1"/>
  <c r="B228" i="19" a="1"/>
  <c r="B228" i="19" s="1"/>
  <c r="C228" i="19" a="1"/>
  <c r="C228" i="19" s="1"/>
  <c r="D228" i="19" a="1"/>
  <c r="D228" i="19"/>
  <c r="E228" i="19" a="1"/>
  <c r="E228" i="19"/>
  <c r="F228" i="19" a="1"/>
  <c r="F228" i="19"/>
  <c r="G228" i="19" a="1"/>
  <c r="G228" i="19"/>
  <c r="H228" i="19" a="1"/>
  <c r="H228" i="19"/>
  <c r="I228" i="19" a="1"/>
  <c r="I228" i="19" s="1"/>
  <c r="J228" i="19" a="1"/>
  <c r="J228" i="19"/>
  <c r="K228" i="19" a="1"/>
  <c r="K228" i="19" s="1"/>
  <c r="L228" i="19" a="1"/>
  <c r="L228" i="19" s="1"/>
  <c r="M228" i="19" a="1"/>
  <c r="M228" i="19"/>
  <c r="N228" i="19" a="1"/>
  <c r="N228" i="19" s="1"/>
  <c r="O228" i="19" a="1"/>
  <c r="O228" i="19" s="1"/>
  <c r="P228" i="19" a="1"/>
  <c r="P228" i="19" s="1"/>
  <c r="Q228" i="19" a="1"/>
  <c r="Q228" i="19"/>
  <c r="R228" i="19" a="1"/>
  <c r="R228" i="19"/>
  <c r="S228" i="19" a="1"/>
  <c r="S228" i="19"/>
  <c r="T228" i="19" a="1"/>
  <c r="T228" i="19"/>
  <c r="B229" i="19" a="1"/>
  <c r="B229" i="19" s="1"/>
  <c r="C229" i="19" a="1"/>
  <c r="C229" i="19" s="1"/>
  <c r="D229" i="19" a="1"/>
  <c r="D229" i="19"/>
  <c r="E229" i="19" a="1"/>
  <c r="E229" i="19" s="1"/>
  <c r="F229" i="19" a="1"/>
  <c r="F229" i="19" s="1"/>
  <c r="G229" i="19" a="1"/>
  <c r="G229" i="19"/>
  <c r="H229" i="19" a="1"/>
  <c r="H229" i="19" s="1"/>
  <c r="I229" i="19" a="1"/>
  <c r="I229" i="19"/>
  <c r="J229" i="19" a="1"/>
  <c r="J229" i="19" s="1"/>
  <c r="K229" i="19" a="1"/>
  <c r="K229" i="19"/>
  <c r="L229" i="19" a="1"/>
  <c r="L229" i="19"/>
  <c r="M229" i="19" a="1"/>
  <c r="M229" i="19"/>
  <c r="N229" i="19" a="1"/>
  <c r="N229" i="19" s="1"/>
  <c r="O229" i="19" a="1"/>
  <c r="O229" i="19" s="1"/>
  <c r="P229" i="19" a="1"/>
  <c r="P229" i="19" s="1"/>
  <c r="Q229" i="19" a="1"/>
  <c r="Q229" i="19"/>
  <c r="R229" i="19" a="1"/>
  <c r="R229" i="19" s="1"/>
  <c r="S229" i="19" a="1"/>
  <c r="S229" i="19" s="1"/>
  <c r="T229" i="19" a="1"/>
  <c r="T229" i="19" s="1"/>
  <c r="B230" i="19" a="1"/>
  <c r="B230" i="19"/>
  <c r="C230" i="19" a="1"/>
  <c r="C230" i="19"/>
  <c r="D230" i="19" a="1"/>
  <c r="D230" i="19" s="1"/>
  <c r="E230" i="19" a="1"/>
  <c r="E230" i="19"/>
  <c r="F230" i="19" a="1"/>
  <c r="F230" i="19"/>
  <c r="G230" i="19" a="1"/>
  <c r="G230" i="19" s="1"/>
  <c r="H230" i="19" a="1"/>
  <c r="H230" i="19"/>
  <c r="I230" i="19" a="1"/>
  <c r="I230" i="19" s="1"/>
  <c r="J230" i="19" a="1"/>
  <c r="J230" i="19" s="1"/>
  <c r="K230" i="19" a="1"/>
  <c r="K230" i="19"/>
  <c r="L230" i="19" a="1"/>
  <c r="L230" i="19" s="1"/>
  <c r="M230" i="19" a="1"/>
  <c r="M230" i="19" s="1"/>
  <c r="N230" i="19" a="1"/>
  <c r="N230" i="19"/>
  <c r="O230" i="19" a="1"/>
  <c r="O230" i="19"/>
  <c r="P230" i="19" a="1"/>
  <c r="P230" i="19"/>
  <c r="Q230" i="19" a="1"/>
  <c r="Q230" i="19" s="1"/>
  <c r="R230" i="19" a="1"/>
  <c r="R230" i="19"/>
  <c r="S230" i="19" a="1"/>
  <c r="S230" i="19" s="1"/>
  <c r="T230" i="19" a="1"/>
  <c r="T230" i="19" s="1"/>
  <c r="B231" i="19" a="1"/>
  <c r="B231" i="19"/>
  <c r="C231" i="19" a="1"/>
  <c r="C231" i="19" s="1"/>
  <c r="D231" i="19" a="1"/>
  <c r="D231" i="19" s="1"/>
  <c r="E231" i="19" a="1"/>
  <c r="E231" i="19"/>
  <c r="F231" i="19" a="1"/>
  <c r="F231" i="19" s="1"/>
  <c r="G231" i="19" a="1"/>
  <c r="G231" i="19"/>
  <c r="H231" i="19" a="1"/>
  <c r="H231" i="19"/>
  <c r="I231" i="19" a="1"/>
  <c r="I231" i="19"/>
  <c r="J231" i="19" a="1"/>
  <c r="J231" i="19"/>
  <c r="K231" i="19" a="1"/>
  <c r="K231" i="19" s="1"/>
  <c r="L231" i="19" a="1"/>
  <c r="L231" i="19" s="1"/>
  <c r="M231" i="19" a="1"/>
  <c r="M231" i="19" s="1"/>
  <c r="N231" i="19" a="1"/>
  <c r="N231" i="19" s="1"/>
  <c r="O231" i="19" a="1"/>
  <c r="O231" i="19"/>
  <c r="P231" i="19" a="1"/>
  <c r="P231" i="19" s="1"/>
  <c r="Q231" i="19" a="1"/>
  <c r="Q231" i="19" s="1"/>
  <c r="R231" i="19" a="1"/>
  <c r="R231" i="19" s="1"/>
  <c r="S231" i="19" a="1"/>
  <c r="S231" i="19"/>
  <c r="T231" i="19" a="1"/>
  <c r="T231" i="19"/>
  <c r="B232" i="19" a="1"/>
  <c r="B232" i="19"/>
  <c r="C232" i="19" a="1"/>
  <c r="C232" i="19"/>
  <c r="D232" i="19" a="1"/>
  <c r="D232" i="19"/>
  <c r="E232" i="19" a="1"/>
  <c r="E232" i="19" s="1"/>
  <c r="F232" i="19" a="1"/>
  <c r="F232" i="19"/>
  <c r="G232" i="19" a="1"/>
  <c r="G232" i="19" s="1"/>
  <c r="H232" i="19" a="1"/>
  <c r="H232" i="19" s="1"/>
  <c r="I232" i="19" a="1"/>
  <c r="I232" i="19"/>
  <c r="J232" i="19" a="1"/>
  <c r="J232" i="19" s="1"/>
  <c r="K232" i="19" a="1"/>
  <c r="K232" i="19" s="1"/>
  <c r="L232" i="19" a="1"/>
  <c r="L232" i="19" s="1"/>
  <c r="M232" i="19" a="1"/>
  <c r="M232" i="19"/>
  <c r="N232" i="19" a="1"/>
  <c r="N232" i="19"/>
  <c r="O232" i="19" a="1"/>
  <c r="O232" i="19"/>
  <c r="P232" i="19" a="1"/>
  <c r="P232" i="19"/>
  <c r="Q232" i="19" a="1"/>
  <c r="Q232" i="19" s="1"/>
  <c r="R232" i="19" a="1"/>
  <c r="R232" i="19" s="1"/>
  <c r="S232" i="19" a="1"/>
  <c r="S232" i="19"/>
  <c r="T232" i="19" a="1"/>
  <c r="T232" i="19" s="1"/>
  <c r="B233" i="19" a="1"/>
  <c r="B233" i="19" s="1"/>
  <c r="C233" i="19" a="1"/>
  <c r="C233" i="19"/>
  <c r="D233" i="19" a="1"/>
  <c r="D233" i="19" s="1"/>
  <c r="E233" i="19" a="1"/>
  <c r="E233" i="19"/>
  <c r="F233" i="19" a="1"/>
  <c r="F233" i="19" s="1"/>
  <c r="G233" i="19" a="1"/>
  <c r="G233" i="19"/>
  <c r="H233" i="19" a="1"/>
  <c r="H233" i="19"/>
  <c r="I233" i="19" a="1"/>
  <c r="I233" i="19"/>
  <c r="J233" i="19" a="1"/>
  <c r="J233" i="19" s="1"/>
  <c r="K233" i="19" a="1"/>
  <c r="K233" i="19" s="1"/>
  <c r="L233" i="19" a="1"/>
  <c r="L233" i="19" s="1"/>
  <c r="M233" i="19" a="1"/>
  <c r="M233" i="19"/>
  <c r="N233" i="19" a="1"/>
  <c r="N233" i="19" s="1"/>
  <c r="O233" i="19" a="1"/>
  <c r="O233" i="19" s="1"/>
  <c r="P233" i="19" a="1"/>
  <c r="P233" i="19" s="1"/>
  <c r="Q233" i="19" a="1"/>
  <c r="Q233" i="19"/>
  <c r="R233" i="19" a="1"/>
  <c r="R233" i="19"/>
  <c r="S233" i="19" a="1"/>
  <c r="S233" i="19" s="1"/>
  <c r="T233" i="19" a="1"/>
  <c r="T233" i="19"/>
  <c r="B234" i="19" a="1"/>
  <c r="B234" i="19"/>
  <c r="C234" i="19" a="1"/>
  <c r="C234" i="19" s="1"/>
  <c r="D234" i="19" a="1"/>
  <c r="D234" i="19"/>
  <c r="E234" i="19" a="1"/>
  <c r="E234" i="19" s="1"/>
  <c r="F234" i="19" a="1"/>
  <c r="F234" i="19" s="1"/>
  <c r="G234" i="19" a="1"/>
  <c r="G234" i="19"/>
  <c r="H234" i="19" a="1"/>
  <c r="H234" i="19" s="1"/>
  <c r="I234" i="19" a="1"/>
  <c r="I234" i="19" s="1"/>
  <c r="J234" i="19" a="1"/>
  <c r="J234" i="19"/>
  <c r="K234" i="19" a="1"/>
  <c r="K234" i="19"/>
  <c r="L234" i="19" a="1"/>
  <c r="L234" i="19"/>
  <c r="M234" i="19" a="1"/>
  <c r="M234" i="19" s="1"/>
  <c r="N234" i="19" a="1"/>
  <c r="N234" i="19"/>
  <c r="O234" i="19" a="1"/>
  <c r="O234" i="19" s="1"/>
  <c r="P234" i="19" a="1"/>
  <c r="P234" i="19" s="1"/>
  <c r="Q234" i="19" a="1"/>
  <c r="Q234" i="19"/>
  <c r="R234" i="19" a="1"/>
  <c r="R234" i="19" s="1"/>
  <c r="S234" i="19" a="1"/>
  <c r="S234" i="19" s="1"/>
  <c r="T234" i="19" a="1"/>
  <c r="T234" i="19"/>
  <c r="B235" i="19" a="1"/>
  <c r="B235" i="19" s="1"/>
  <c r="C235" i="19" a="1"/>
  <c r="C235" i="19"/>
  <c r="D235" i="19" a="1"/>
  <c r="D235" i="19"/>
  <c r="E235" i="19" a="1"/>
  <c r="E235" i="19"/>
  <c r="F235" i="19" a="1"/>
  <c r="F235" i="19"/>
  <c r="G235" i="19" a="1"/>
  <c r="G235" i="19" s="1"/>
  <c r="H235" i="19" a="1"/>
  <c r="H235" i="19" s="1"/>
  <c r="I235" i="19" a="1"/>
  <c r="I235" i="19" s="1"/>
  <c r="J235" i="19" a="1"/>
  <c r="J235" i="19" s="1"/>
  <c r="K235" i="19" a="1"/>
  <c r="K235" i="19"/>
  <c r="L235" i="19" a="1"/>
  <c r="L235" i="19" s="1"/>
  <c r="M235" i="19" a="1"/>
  <c r="M235" i="19" s="1"/>
  <c r="N235" i="19" a="1"/>
  <c r="N235" i="19" s="1"/>
  <c r="O235" i="19" a="1"/>
  <c r="O235" i="19"/>
  <c r="P235" i="19" a="1"/>
  <c r="P235" i="19"/>
  <c r="Q235" i="19" a="1"/>
  <c r="Q235" i="19"/>
  <c r="R235" i="19" a="1"/>
  <c r="R235" i="19"/>
  <c r="S235" i="19" a="1"/>
  <c r="S235" i="19"/>
  <c r="T235" i="19" a="1"/>
  <c r="T235" i="19" s="1"/>
  <c r="B236" i="19" a="1"/>
  <c r="B236" i="19"/>
  <c r="C236" i="19" a="1"/>
  <c r="C236" i="19" s="1"/>
  <c r="D236" i="19" a="1"/>
  <c r="D236" i="19" s="1"/>
  <c r="E236" i="19" a="1"/>
  <c r="E236" i="19"/>
  <c r="F236" i="19" a="1"/>
  <c r="F236" i="19" s="1"/>
  <c r="G236" i="19" a="1"/>
  <c r="G236" i="19" s="1"/>
  <c r="H236" i="19" a="1"/>
  <c r="H236" i="19" s="1"/>
  <c r="I236" i="19" a="1"/>
  <c r="I236" i="19"/>
  <c r="J236" i="19" a="1"/>
  <c r="J236" i="19"/>
  <c r="K236" i="19" a="1"/>
  <c r="K236" i="19"/>
  <c r="L236" i="19" a="1"/>
  <c r="L236" i="19"/>
  <c r="M236" i="19" a="1"/>
  <c r="M236" i="19" s="1"/>
  <c r="N236" i="19" a="1"/>
  <c r="N236" i="19" s="1"/>
  <c r="O236" i="19" a="1"/>
  <c r="O236" i="19"/>
  <c r="P236" i="19" a="1"/>
  <c r="P236" i="19" s="1"/>
  <c r="Q236" i="19" a="1"/>
  <c r="Q236" i="19" s="1"/>
  <c r="R236" i="19" a="1"/>
  <c r="R236" i="19"/>
  <c r="S236" i="19" a="1"/>
  <c r="S236" i="19" s="1"/>
  <c r="T236" i="19" a="1"/>
  <c r="T236" i="19"/>
  <c r="B237" i="19" a="1"/>
  <c r="B237" i="19" s="1"/>
  <c r="C237" i="19" a="1"/>
  <c r="C237" i="19"/>
  <c r="D237" i="19" a="1"/>
  <c r="D237" i="19"/>
  <c r="E237" i="19" a="1"/>
  <c r="E237" i="19"/>
  <c r="F237" i="19" a="1"/>
  <c r="F237" i="19" s="1"/>
  <c r="G237" i="19" a="1"/>
  <c r="G237" i="19" s="1"/>
  <c r="H237" i="19" a="1"/>
  <c r="H237" i="19" s="1"/>
  <c r="I237" i="19" a="1"/>
  <c r="I237" i="19"/>
  <c r="J237" i="19" a="1"/>
  <c r="J237" i="19" s="1"/>
  <c r="K237" i="19" a="1"/>
  <c r="K237" i="19" s="1"/>
  <c r="L237" i="19" a="1"/>
  <c r="L237" i="19" s="1"/>
  <c r="M237" i="19" a="1"/>
  <c r="M237" i="19"/>
  <c r="N237" i="19" a="1"/>
  <c r="N237" i="19"/>
  <c r="O237" i="19" a="1"/>
  <c r="O237" i="19" s="1"/>
  <c r="P237" i="19" a="1"/>
  <c r="P237" i="19"/>
  <c r="Q237" i="19" a="1"/>
  <c r="Q237" i="19"/>
  <c r="R237" i="19" a="1"/>
  <c r="R237" i="19" s="1"/>
  <c r="S237" i="19" a="1"/>
  <c r="S237" i="19"/>
  <c r="T237" i="19" a="1"/>
  <c r="T237" i="19" s="1"/>
  <c r="B238" i="19" a="1"/>
  <c r="B238" i="19" s="1"/>
  <c r="C238" i="19" a="1"/>
  <c r="C238" i="19"/>
  <c r="D238" i="19" a="1"/>
  <c r="D238" i="19" s="1"/>
  <c r="E238" i="19" a="1"/>
  <c r="E238" i="19" s="1"/>
  <c r="F238" i="19" a="1"/>
  <c r="F238" i="19"/>
  <c r="G238" i="19" a="1"/>
  <c r="G238" i="19"/>
  <c r="H238" i="19" a="1"/>
  <c r="H238" i="19"/>
  <c r="I238" i="19" a="1"/>
  <c r="I238" i="19" s="1"/>
  <c r="J238" i="19" a="1"/>
  <c r="J238" i="19"/>
  <c r="K238" i="19" a="1"/>
  <c r="K238" i="19" s="1"/>
  <c r="L238" i="19" a="1"/>
  <c r="L238" i="19" s="1"/>
  <c r="M238" i="19" a="1"/>
  <c r="M238" i="19"/>
  <c r="N238" i="19" a="1"/>
  <c r="N238" i="19" s="1"/>
  <c r="O238" i="19" a="1"/>
  <c r="O238" i="19" s="1"/>
  <c r="P238" i="19" a="1"/>
  <c r="P238" i="19"/>
  <c r="Q238" i="19" a="1"/>
  <c r="Q238" i="19" s="1"/>
  <c r="R238" i="19" a="1"/>
  <c r="R238" i="19"/>
  <c r="S238" i="19" a="1"/>
  <c r="S238" i="19"/>
  <c r="T238" i="19" a="1"/>
  <c r="T238" i="19"/>
  <c r="B239" i="19" a="1"/>
  <c r="B239" i="19"/>
  <c r="C239" i="19" a="1"/>
  <c r="C239" i="19" s="1"/>
  <c r="D239" i="19" a="1"/>
  <c r="D239" i="19" s="1"/>
  <c r="E239" i="19" a="1"/>
  <c r="E239" i="19" s="1"/>
  <c r="F239" i="19" a="1"/>
  <c r="F239" i="19" s="1"/>
  <c r="G239" i="19" a="1"/>
  <c r="G239" i="19"/>
  <c r="H239" i="19" a="1"/>
  <c r="H239" i="19" s="1"/>
  <c r="I239" i="19" a="1"/>
  <c r="I239" i="19" s="1"/>
  <c r="J239" i="19" a="1"/>
  <c r="J239" i="19" s="1"/>
  <c r="K239" i="19" a="1"/>
  <c r="K239" i="19"/>
  <c r="L239" i="19" a="1"/>
  <c r="L239" i="19"/>
  <c r="M239" i="19" a="1"/>
  <c r="M239" i="19"/>
  <c r="N239" i="19" a="1"/>
  <c r="N239" i="19"/>
  <c r="O239" i="19" a="1"/>
  <c r="O239" i="19"/>
  <c r="P239" i="19" a="1"/>
  <c r="P239" i="19" s="1"/>
  <c r="Q239" i="19" a="1"/>
  <c r="Q239" i="19"/>
  <c r="R239" i="19" a="1"/>
  <c r="R239" i="19" s="1"/>
  <c r="S239" i="19" a="1"/>
  <c r="S239" i="19" s="1"/>
  <c r="T239" i="19" a="1"/>
  <c r="T239" i="19"/>
  <c r="B240" i="19" a="1"/>
  <c r="B240" i="19" s="1"/>
  <c r="C240" i="19" a="1"/>
  <c r="C240" i="19" s="1"/>
  <c r="D240" i="19" a="1"/>
  <c r="D240" i="19" s="1"/>
  <c r="E240" i="19" a="1"/>
  <c r="E240" i="19"/>
  <c r="F240" i="19" a="1"/>
  <c r="F240" i="19"/>
  <c r="G240" i="19" a="1"/>
  <c r="G240" i="19"/>
  <c r="H240" i="19" a="1"/>
  <c r="H240" i="19"/>
  <c r="I240" i="19" a="1"/>
  <c r="I240" i="19" s="1"/>
  <c r="J240" i="19" a="1"/>
  <c r="J240" i="19" s="1"/>
  <c r="K240" i="19" a="1"/>
  <c r="K240" i="19"/>
  <c r="L240" i="19" a="1"/>
  <c r="L240" i="19" s="1"/>
  <c r="M240" i="19" a="1"/>
  <c r="M240" i="19" s="1"/>
  <c r="N240" i="19" a="1"/>
  <c r="N240" i="19"/>
  <c r="O240" i="19" a="1"/>
  <c r="O240" i="19" s="1"/>
  <c r="P240" i="19" a="1"/>
  <c r="P240" i="19"/>
  <c r="Q240" i="19" a="1"/>
  <c r="Q240" i="19" s="1"/>
  <c r="R240" i="19" a="1"/>
  <c r="R240" i="19"/>
  <c r="S240" i="19" a="1"/>
  <c r="S240" i="19"/>
  <c r="T240" i="19" a="1"/>
  <c r="T240" i="19"/>
  <c r="B241" i="19" a="1"/>
  <c r="B241" i="19" s="1"/>
  <c r="C241" i="19" a="1"/>
  <c r="C241" i="19" s="1"/>
  <c r="D241" i="19" a="1"/>
  <c r="D241" i="19" s="1"/>
  <c r="E241" i="19" a="1"/>
  <c r="E241" i="19"/>
  <c r="F241" i="19" a="1"/>
  <c r="F241" i="19" s="1"/>
  <c r="G241" i="19" a="1"/>
  <c r="G241" i="19" s="1"/>
  <c r="H241" i="19" a="1"/>
  <c r="H241" i="19"/>
  <c r="I241" i="19" a="1"/>
  <c r="I241" i="19" s="1"/>
  <c r="J241" i="19" a="1"/>
  <c r="J241" i="19" s="1"/>
  <c r="K241" i="19" a="1"/>
  <c r="K241" i="19"/>
  <c r="L241" i="19" a="1"/>
  <c r="L241" i="19" s="1"/>
  <c r="M241" i="19" a="1"/>
  <c r="M241" i="19" s="1"/>
  <c r="N241" i="19" a="1"/>
  <c r="N241" i="19"/>
  <c r="O241" i="19" a="1"/>
  <c r="O241" i="19" s="1"/>
  <c r="P241" i="19" a="1"/>
  <c r="P241" i="19" s="1"/>
  <c r="Q241" i="19" a="1"/>
  <c r="Q241" i="19"/>
  <c r="R241" i="19" a="1"/>
  <c r="R241" i="19" s="1"/>
  <c r="S241" i="19" a="1"/>
  <c r="S241" i="19" s="1"/>
  <c r="T241" i="19" a="1"/>
  <c r="T241" i="19"/>
  <c r="B242" i="19" a="1"/>
  <c r="B242" i="19" s="1"/>
  <c r="C242" i="19" a="1"/>
  <c r="C242" i="19" s="1"/>
  <c r="D242" i="19" a="1"/>
  <c r="D242" i="19"/>
  <c r="E242" i="19" a="1"/>
  <c r="E242" i="19" s="1"/>
  <c r="F242" i="19" a="1"/>
  <c r="F242" i="19" s="1"/>
  <c r="G242" i="19" a="1"/>
  <c r="G242" i="19"/>
  <c r="H242" i="19" a="1"/>
  <c r="H242" i="19" s="1"/>
  <c r="I242" i="19" a="1"/>
  <c r="I242" i="19" s="1"/>
  <c r="J242" i="19" a="1"/>
  <c r="J242" i="19"/>
  <c r="K242" i="19" a="1"/>
  <c r="K242" i="19" s="1"/>
  <c r="L242" i="19" a="1"/>
  <c r="L242" i="19" s="1"/>
  <c r="M242" i="19" a="1"/>
  <c r="M242" i="19"/>
  <c r="N242" i="19" a="1"/>
  <c r="N242" i="19" s="1"/>
  <c r="O242" i="19" a="1"/>
  <c r="O242" i="19" s="1"/>
  <c r="P242" i="19" a="1"/>
  <c r="P242" i="19"/>
  <c r="Q242" i="19" a="1"/>
  <c r="Q242" i="19" s="1"/>
  <c r="R242" i="19" a="1"/>
  <c r="R242" i="19" s="1"/>
  <c r="S242" i="19" a="1"/>
  <c r="S242" i="19"/>
  <c r="T242" i="19" a="1"/>
  <c r="T242" i="19" s="1"/>
  <c r="B243" i="19" a="1"/>
  <c r="B243" i="19" s="1"/>
  <c r="C243" i="19" a="1"/>
  <c r="C243" i="19"/>
  <c r="D243" i="19" a="1"/>
  <c r="D243" i="19" s="1"/>
  <c r="E243" i="19" a="1"/>
  <c r="E243" i="19" s="1"/>
  <c r="F243" i="19" a="1"/>
  <c r="F243" i="19"/>
  <c r="G243" i="19" a="1"/>
  <c r="G243" i="19" s="1"/>
  <c r="H243" i="19" a="1"/>
  <c r="H243" i="19" s="1"/>
  <c r="I243" i="19" a="1"/>
  <c r="I243" i="19"/>
  <c r="J243" i="19" a="1"/>
  <c r="J243" i="19" s="1"/>
  <c r="K243" i="19" a="1"/>
  <c r="K243" i="19" s="1"/>
  <c r="L243" i="19" a="1"/>
  <c r="L243" i="19"/>
  <c r="M243" i="19" a="1"/>
  <c r="M243" i="19" s="1"/>
  <c r="N243" i="19" a="1"/>
  <c r="N243" i="19" s="1"/>
  <c r="O243" i="19" a="1"/>
  <c r="O243" i="19"/>
  <c r="P243" i="19" a="1"/>
  <c r="P243" i="19" s="1"/>
  <c r="Q243" i="19" a="1"/>
  <c r="Q243" i="19" s="1"/>
  <c r="R243" i="19" a="1"/>
  <c r="R243" i="19"/>
  <c r="S243" i="19" a="1"/>
  <c r="S243" i="19" s="1"/>
  <c r="T243" i="19" a="1"/>
  <c r="T243" i="19" s="1"/>
  <c r="B244" i="19" a="1"/>
  <c r="B244" i="19"/>
  <c r="C244" i="19" a="1"/>
  <c r="C244" i="19" s="1"/>
  <c r="D244" i="19" a="1"/>
  <c r="D244" i="19" s="1"/>
  <c r="E244" i="19" a="1"/>
  <c r="E244" i="19"/>
  <c r="F244" i="19" a="1"/>
  <c r="F244" i="19" s="1"/>
  <c r="G244" i="19" a="1"/>
  <c r="G244" i="19" s="1"/>
  <c r="H244" i="19" a="1"/>
  <c r="H244" i="19"/>
  <c r="I244" i="19" a="1"/>
  <c r="I244" i="19" s="1"/>
  <c r="J244" i="19" a="1"/>
  <c r="J244" i="19" s="1"/>
  <c r="K244" i="19" a="1"/>
  <c r="K244" i="19"/>
  <c r="L244" i="19" a="1"/>
  <c r="L244" i="19" s="1"/>
  <c r="M244" i="19" a="1"/>
  <c r="M244" i="19" s="1"/>
  <c r="N244" i="19" a="1"/>
  <c r="N244" i="19"/>
  <c r="O244" i="19" a="1"/>
  <c r="O244" i="19" s="1"/>
  <c r="P244" i="19" a="1"/>
  <c r="P244" i="19" s="1"/>
  <c r="Q244" i="19" a="1"/>
  <c r="Q244" i="19"/>
  <c r="R244" i="19" a="1"/>
  <c r="R244" i="19" s="1"/>
  <c r="S244" i="19" a="1"/>
  <c r="S244" i="19" s="1"/>
  <c r="T244" i="19" a="1"/>
  <c r="T244" i="19"/>
  <c r="B245" i="19" a="1"/>
  <c r="B245" i="19" s="1"/>
  <c r="C245" i="19" a="1"/>
  <c r="C245" i="19" s="1"/>
  <c r="D245" i="19" a="1"/>
  <c r="D245" i="19"/>
  <c r="E245" i="19" a="1"/>
  <c r="E245" i="19" s="1"/>
  <c r="F245" i="19" a="1"/>
  <c r="F245" i="19" s="1"/>
  <c r="G245" i="19" a="1"/>
  <c r="G245" i="19"/>
  <c r="H245" i="19" a="1"/>
  <c r="H245" i="19" s="1"/>
  <c r="I245" i="19" a="1"/>
  <c r="I245" i="19" s="1"/>
  <c r="J245" i="19" a="1"/>
  <c r="J245" i="19"/>
  <c r="K245" i="19" a="1"/>
  <c r="K245" i="19" s="1"/>
  <c r="L245" i="19" a="1"/>
  <c r="L245" i="19" s="1"/>
  <c r="M245" i="19" a="1"/>
  <c r="M245" i="19"/>
  <c r="N245" i="19" a="1"/>
  <c r="N245" i="19" s="1"/>
  <c r="O245" i="19" a="1"/>
  <c r="O245" i="19" s="1"/>
  <c r="P245" i="19" a="1"/>
  <c r="P245" i="19"/>
  <c r="Q245" i="19" a="1"/>
  <c r="Q245" i="19" s="1"/>
  <c r="R245" i="19" a="1"/>
  <c r="R245" i="19" s="1"/>
  <c r="S245" i="19" a="1"/>
  <c r="S245" i="19"/>
  <c r="T245" i="19" a="1"/>
  <c r="T245" i="19" s="1"/>
  <c r="C3" i="19" a="1"/>
  <c r="C3" i="19" s="1"/>
  <c r="D3" i="19" a="1"/>
  <c r="D3" i="19" s="1"/>
  <c r="E3" i="19" a="1"/>
  <c r="E3" i="19" s="1"/>
  <c r="F3" i="19" a="1"/>
  <c r="F3" i="19"/>
  <c r="G3" i="19" a="1"/>
  <c r="G3" i="19" s="1"/>
  <c r="H3" i="19" a="1"/>
  <c r="H3" i="19" s="1"/>
  <c r="I3" i="19" a="1"/>
  <c r="I3" i="19" s="1"/>
  <c r="J3" i="19" a="1"/>
  <c r="J3" i="19" s="1"/>
  <c r="K3" i="19" a="1"/>
  <c r="K3" i="19" s="1"/>
  <c r="L3" i="19" a="1"/>
  <c r="L3" i="19"/>
  <c r="M3" i="19" a="1"/>
  <c r="M3" i="19" s="1"/>
  <c r="N3" i="19" a="1"/>
  <c r="N3" i="19" s="1"/>
  <c r="O3" i="19" a="1"/>
  <c r="O3" i="19" s="1"/>
  <c r="P3" i="19" a="1"/>
  <c r="P3" i="19" s="1"/>
  <c r="Q3" i="19" a="1"/>
  <c r="Q3" i="19" s="1"/>
  <c r="R3" i="19" a="1"/>
  <c r="R3" i="19" s="1"/>
  <c r="S3" i="19" a="1"/>
  <c r="S3" i="19" s="1"/>
  <c r="T3" i="19" a="1"/>
  <c r="T3" i="19" s="1"/>
  <c r="B3" i="19" a="1"/>
  <c r="B3" i="19" s="1"/>
  <c r="B4" i="18" a="1"/>
  <c r="B4" i="18" s="1"/>
  <c r="C4" i="18" a="1"/>
  <c r="C4" i="18"/>
  <c r="D4" i="18" a="1"/>
  <c r="D4" i="18" s="1"/>
  <c r="E4" i="18" a="1"/>
  <c r="E4" i="18" s="1"/>
  <c r="F4" i="18" a="1"/>
  <c r="F4" i="18"/>
  <c r="G4" i="18" a="1"/>
  <c r="G4" i="18"/>
  <c r="H4" i="18" a="1"/>
  <c r="H4" i="18" s="1"/>
  <c r="I4" i="18" a="1"/>
  <c r="I4" i="18"/>
  <c r="J4" i="18" a="1"/>
  <c r="J4" i="18" s="1"/>
  <c r="K4" i="18" a="1"/>
  <c r="K4" i="18" s="1"/>
  <c r="L4" i="18" a="1"/>
  <c r="L4" i="18" s="1"/>
  <c r="M4" i="18" a="1"/>
  <c r="M4" i="18" s="1"/>
  <c r="N4" i="18" a="1"/>
  <c r="N4" i="18" s="1"/>
  <c r="O4" i="18" a="1"/>
  <c r="O4" i="18"/>
  <c r="P4" i="18" a="1"/>
  <c r="P4" i="18" s="1"/>
  <c r="Q4" i="18" a="1"/>
  <c r="Q4" i="18" s="1"/>
  <c r="B5" i="18" a="1"/>
  <c r="B5" i="18" s="1"/>
  <c r="C5" i="18" a="1"/>
  <c r="C5" i="18"/>
  <c r="D5" i="18" a="1"/>
  <c r="D5" i="18" s="1"/>
  <c r="E5" i="18" a="1"/>
  <c r="E5" i="18" s="1"/>
  <c r="F5" i="18" a="1"/>
  <c r="F5" i="18" s="1"/>
  <c r="G5" i="18" a="1"/>
  <c r="G5" i="18" s="1"/>
  <c r="H5" i="18" a="1"/>
  <c r="H5" i="18"/>
  <c r="I5" i="18" a="1"/>
  <c r="I5" i="18"/>
  <c r="J5" i="18" a="1"/>
  <c r="J5" i="18" s="1"/>
  <c r="K5" i="18" a="1"/>
  <c r="K5" i="18" s="1"/>
  <c r="L5" i="18" a="1"/>
  <c r="L5" i="18" s="1"/>
  <c r="M5" i="18" a="1"/>
  <c r="M5" i="18" s="1"/>
  <c r="N5" i="18" a="1"/>
  <c r="N5" i="18"/>
  <c r="O5" i="18" a="1"/>
  <c r="O5" i="18" s="1"/>
  <c r="P5" i="18" a="1"/>
  <c r="P5" i="18" s="1"/>
  <c r="Q5" i="18" a="1"/>
  <c r="Q5" i="18" s="1"/>
  <c r="B6" i="18" a="1"/>
  <c r="B6" i="18" s="1"/>
  <c r="C6" i="18" a="1"/>
  <c r="C6" i="18" s="1"/>
  <c r="D6" i="18" a="1"/>
  <c r="D6" i="18" s="1"/>
  <c r="E6" i="18" a="1"/>
  <c r="E6" i="18" s="1"/>
  <c r="F6" i="18" a="1"/>
  <c r="F6" i="18" s="1"/>
  <c r="G6" i="18" a="1"/>
  <c r="G6" i="18" s="1"/>
  <c r="H6" i="18" a="1"/>
  <c r="H6" i="18" s="1"/>
  <c r="I6" i="18" a="1"/>
  <c r="I6" i="18" s="1"/>
  <c r="J6" i="18" a="1"/>
  <c r="J6" i="18" s="1"/>
  <c r="K6" i="18" a="1"/>
  <c r="K6" i="18"/>
  <c r="L6" i="18" a="1"/>
  <c r="L6" i="18" s="1"/>
  <c r="M6" i="18" a="1"/>
  <c r="M6" i="18" s="1"/>
  <c r="N6" i="18" a="1"/>
  <c r="N6" i="18" s="1"/>
  <c r="O6" i="18" a="1"/>
  <c r="O6" i="18" s="1"/>
  <c r="P6" i="18" a="1"/>
  <c r="P6" i="18"/>
  <c r="Q6" i="18" a="1"/>
  <c r="Q6" i="18" s="1"/>
  <c r="B7" i="18" a="1"/>
  <c r="B7" i="18" s="1"/>
  <c r="C7" i="18" a="1"/>
  <c r="C7" i="18" s="1"/>
  <c r="D7" i="18" a="1"/>
  <c r="D7" i="18" s="1"/>
  <c r="E7" i="18" a="1"/>
  <c r="E7" i="18" s="1"/>
  <c r="F7" i="18" a="1"/>
  <c r="F7" i="18" s="1"/>
  <c r="G7" i="18" a="1"/>
  <c r="G7" i="18" s="1"/>
  <c r="H7" i="18" a="1"/>
  <c r="H7" i="18" s="1"/>
  <c r="I7" i="18" a="1"/>
  <c r="I7" i="18" s="1"/>
  <c r="J7" i="18" a="1"/>
  <c r="J7" i="18" s="1"/>
  <c r="K7" i="18" a="1"/>
  <c r="K7" i="18" s="1"/>
  <c r="L7" i="18" a="1"/>
  <c r="L7" i="18"/>
  <c r="M7" i="18" a="1"/>
  <c r="M7" i="18" s="1"/>
  <c r="N7" i="18" a="1"/>
  <c r="N7" i="18" s="1"/>
  <c r="O7" i="18" a="1"/>
  <c r="O7" i="18" s="1"/>
  <c r="P7" i="18" a="1"/>
  <c r="P7" i="18" s="1"/>
  <c r="Q7" i="18" a="1"/>
  <c r="Q7" i="18" s="1"/>
  <c r="B8" i="18" a="1"/>
  <c r="B8" i="18"/>
  <c r="C8" i="18" a="1"/>
  <c r="C8" i="18" s="1"/>
  <c r="D8" i="18" a="1"/>
  <c r="D8" i="18" s="1"/>
  <c r="E8" i="18" a="1"/>
  <c r="E8" i="18" s="1"/>
  <c r="F8" i="18" a="1"/>
  <c r="F8" i="18" s="1"/>
  <c r="G8" i="18" a="1"/>
  <c r="G8" i="18" s="1"/>
  <c r="H8" i="18" a="1"/>
  <c r="H8" i="18" s="1"/>
  <c r="I8" i="18" a="1"/>
  <c r="I8" i="18" s="1"/>
  <c r="J8" i="18" a="1"/>
  <c r="J8" i="18" s="1"/>
  <c r="K8" i="18" a="1"/>
  <c r="K8" i="18" s="1"/>
  <c r="L8" i="18" a="1"/>
  <c r="L8" i="18" s="1"/>
  <c r="M8" i="18" a="1"/>
  <c r="M8" i="18" s="1"/>
  <c r="N8" i="18" a="1"/>
  <c r="N8" i="18"/>
  <c r="O8" i="18" a="1"/>
  <c r="O8" i="18"/>
  <c r="P8" i="18" a="1"/>
  <c r="P8" i="18" s="1"/>
  <c r="Q8" i="18" a="1"/>
  <c r="Q8" i="18" s="1"/>
  <c r="B9" i="18" a="1"/>
  <c r="B9" i="18" s="1"/>
  <c r="C9" i="18" a="1"/>
  <c r="C9" i="18" s="1"/>
  <c r="D9" i="18" a="1"/>
  <c r="D9" i="18"/>
  <c r="E9" i="18" a="1"/>
  <c r="E9" i="18" s="1"/>
  <c r="F9" i="18" a="1"/>
  <c r="F9" i="18" s="1"/>
  <c r="G9" i="18" a="1"/>
  <c r="G9" i="18" s="1"/>
  <c r="H9" i="18" a="1"/>
  <c r="H9" i="18" s="1"/>
  <c r="I9" i="18" a="1"/>
  <c r="I9" i="18" s="1"/>
  <c r="J9" i="18" a="1"/>
  <c r="J9" i="18" s="1"/>
  <c r="K9" i="18" a="1"/>
  <c r="K9" i="18" s="1"/>
  <c r="L9" i="18" a="1"/>
  <c r="L9" i="18" s="1"/>
  <c r="M9" i="18" a="1"/>
  <c r="M9" i="18" s="1"/>
  <c r="N9" i="18" a="1"/>
  <c r="N9" i="18" s="1"/>
  <c r="O9" i="18" a="1"/>
  <c r="O9" i="18" s="1"/>
  <c r="P9" i="18" a="1"/>
  <c r="P9" i="18"/>
  <c r="Q9" i="18" a="1"/>
  <c r="Q9" i="18"/>
  <c r="B10" i="18" a="1"/>
  <c r="B10" i="18" s="1"/>
  <c r="C10" i="18" a="1"/>
  <c r="C10" i="18" s="1"/>
  <c r="D10" i="18" a="1"/>
  <c r="D10" i="18" s="1"/>
  <c r="E10" i="18" a="1"/>
  <c r="E10" i="18" s="1"/>
  <c r="F10" i="18" a="1"/>
  <c r="F10" i="18"/>
  <c r="G10" i="18" a="1"/>
  <c r="G10" i="18" s="1"/>
  <c r="H10" i="18" a="1"/>
  <c r="H10" i="18" s="1"/>
  <c r="I10" i="18" a="1"/>
  <c r="I10" i="18" s="1"/>
  <c r="J10" i="18" a="1"/>
  <c r="J10" i="18" s="1"/>
  <c r="K10" i="18" a="1"/>
  <c r="K10" i="18" s="1"/>
  <c r="L10" i="18" a="1"/>
  <c r="L10" i="18" s="1"/>
  <c r="M10" i="18" a="1"/>
  <c r="M10" i="18" s="1"/>
  <c r="N10" i="18" a="1"/>
  <c r="N10" i="18" s="1"/>
  <c r="O10" i="18" a="1"/>
  <c r="O10" i="18" s="1"/>
  <c r="P10" i="18" a="1"/>
  <c r="P10" i="18" s="1"/>
  <c r="Q10" i="18" a="1"/>
  <c r="Q10" i="18" s="1"/>
  <c r="B11" i="18" a="1"/>
  <c r="B11" i="18"/>
  <c r="C11" i="18" a="1"/>
  <c r="C11" i="18"/>
  <c r="D11" i="18" a="1"/>
  <c r="D11" i="18" s="1"/>
  <c r="E11" i="18" a="1"/>
  <c r="E11" i="18" s="1"/>
  <c r="F11" i="18" a="1"/>
  <c r="F11" i="18" s="1"/>
  <c r="G11" i="18" a="1"/>
  <c r="G11" i="18" s="1"/>
  <c r="H11" i="18" a="1"/>
  <c r="H11" i="18"/>
  <c r="I11" i="18" a="1"/>
  <c r="I11" i="18" s="1"/>
  <c r="J11" i="18" a="1"/>
  <c r="J11" i="18" s="1"/>
  <c r="K11" i="18" a="1"/>
  <c r="K11" i="18" s="1"/>
  <c r="L11" i="18" a="1"/>
  <c r="L11" i="18" s="1"/>
  <c r="M11" i="18" a="1"/>
  <c r="M11" i="18" s="1"/>
  <c r="N11" i="18" a="1"/>
  <c r="N11" i="18" s="1"/>
  <c r="O11" i="18" a="1"/>
  <c r="O11" i="18" s="1"/>
  <c r="P11" i="18" a="1"/>
  <c r="P11" i="18" s="1"/>
  <c r="Q11" i="18" a="1"/>
  <c r="Q11" i="18" s="1"/>
  <c r="B12" i="18" a="1"/>
  <c r="B12" i="18" s="1"/>
  <c r="C12" i="18" a="1"/>
  <c r="C12" i="18" s="1"/>
  <c r="D12" i="18" a="1"/>
  <c r="D12" i="18"/>
  <c r="E12" i="18" a="1"/>
  <c r="E12" i="18" s="1"/>
  <c r="F12" i="18" a="1"/>
  <c r="F12" i="18" s="1"/>
  <c r="G12" i="18" a="1"/>
  <c r="G12" i="18" s="1"/>
  <c r="H12" i="18" a="1"/>
  <c r="H12" i="18" s="1"/>
  <c r="I12" i="18" a="1"/>
  <c r="I12" i="18" s="1"/>
  <c r="J12" i="18" a="1"/>
  <c r="J12" i="18"/>
  <c r="K12" i="18" a="1"/>
  <c r="K12" i="18" s="1"/>
  <c r="L12" i="18" a="1"/>
  <c r="L12" i="18" s="1"/>
  <c r="M12" i="18" a="1"/>
  <c r="M12" i="18" s="1"/>
  <c r="N12" i="18" a="1"/>
  <c r="N12" i="18" s="1"/>
  <c r="O12" i="18" a="1"/>
  <c r="O12" i="18" s="1"/>
  <c r="P12" i="18" a="1"/>
  <c r="P12" i="18" s="1"/>
  <c r="Q12" i="18" a="1"/>
  <c r="Q12" i="18" s="1"/>
  <c r="B13" i="18" a="1"/>
  <c r="B13" i="18" s="1"/>
  <c r="C13" i="18" a="1"/>
  <c r="C13" i="18" s="1"/>
  <c r="D13" i="18" a="1"/>
  <c r="D13" i="18" s="1"/>
  <c r="E13" i="18" a="1"/>
  <c r="E13" i="18" s="1"/>
  <c r="F13" i="18" a="1"/>
  <c r="F13" i="18" s="1"/>
  <c r="G13" i="18" a="1"/>
  <c r="G13" i="18"/>
  <c r="H13" i="18" a="1"/>
  <c r="H13" i="18" s="1"/>
  <c r="I13" i="18" a="1"/>
  <c r="I13" i="18" s="1"/>
  <c r="J13" i="18" a="1"/>
  <c r="J13" i="18" s="1"/>
  <c r="K13" i="18" a="1"/>
  <c r="K13" i="18" s="1"/>
  <c r="L13" i="18" a="1"/>
  <c r="L13" i="18"/>
  <c r="M13" i="18" a="1"/>
  <c r="M13" i="18" s="1"/>
  <c r="N13" i="18" a="1"/>
  <c r="N13" i="18" s="1"/>
  <c r="O13" i="18" a="1"/>
  <c r="O13" i="18" s="1"/>
  <c r="P13" i="18" a="1"/>
  <c r="P13" i="18" s="1"/>
  <c r="Q13" i="18" a="1"/>
  <c r="Q13" i="18" s="1"/>
  <c r="B14" i="18" a="1"/>
  <c r="B14" i="18" s="1"/>
  <c r="C14" i="18" a="1"/>
  <c r="C14" i="18" s="1"/>
  <c r="D14" i="18" a="1"/>
  <c r="D14" i="18" s="1"/>
  <c r="E14" i="18" a="1"/>
  <c r="E14" i="18" s="1"/>
  <c r="F14" i="18" a="1"/>
  <c r="F14" i="18" s="1"/>
  <c r="G14" i="18" a="1"/>
  <c r="G14" i="18" s="1"/>
  <c r="H14" i="18" a="1"/>
  <c r="H14" i="18" s="1"/>
  <c r="I14" i="18" a="1"/>
  <c r="I14" i="18" s="1"/>
  <c r="J14" i="18" a="1"/>
  <c r="J14" i="18" s="1"/>
  <c r="K14" i="18" a="1"/>
  <c r="K14" i="18" s="1"/>
  <c r="L14" i="18" a="1"/>
  <c r="L14" i="18" s="1"/>
  <c r="M14" i="18" a="1"/>
  <c r="M14" i="18" s="1"/>
  <c r="N14" i="18" a="1"/>
  <c r="N14" i="18"/>
  <c r="O14" i="18" a="1"/>
  <c r="O14" i="18" s="1"/>
  <c r="P14" i="18" a="1"/>
  <c r="P14" i="18" s="1"/>
  <c r="Q14" i="18" a="1"/>
  <c r="Q14" i="18" s="1"/>
  <c r="B15" i="18" a="1"/>
  <c r="B15" i="18" s="1"/>
  <c r="C15" i="18" a="1"/>
  <c r="C15" i="18" s="1"/>
  <c r="D15" i="18" a="1"/>
  <c r="D15" i="18" s="1"/>
  <c r="E15" i="18" a="1"/>
  <c r="E15" i="18" s="1"/>
  <c r="F15" i="18" a="1"/>
  <c r="F15" i="18" s="1"/>
  <c r="G15" i="18" a="1"/>
  <c r="G15" i="18" s="1"/>
  <c r="H15" i="18" a="1"/>
  <c r="H15" i="18" s="1"/>
  <c r="I15" i="18" a="1"/>
  <c r="I15" i="18" s="1"/>
  <c r="J15" i="18" a="1"/>
  <c r="J15" i="18" s="1"/>
  <c r="K15" i="18" a="1"/>
  <c r="K15" i="18" s="1"/>
  <c r="L15" i="18" a="1"/>
  <c r="L15" i="18" s="1"/>
  <c r="M15" i="18" a="1"/>
  <c r="M15" i="18" s="1"/>
  <c r="N15" i="18" a="1"/>
  <c r="N15" i="18" s="1"/>
  <c r="O15" i="18" a="1"/>
  <c r="O15" i="18" s="1"/>
  <c r="P15" i="18" a="1"/>
  <c r="P15" i="18" s="1"/>
  <c r="Q15" i="18" a="1"/>
  <c r="Q15" i="18" s="1"/>
  <c r="B16" i="18" a="1"/>
  <c r="B16" i="18" s="1"/>
  <c r="C16" i="18" a="1"/>
  <c r="C16" i="18" s="1"/>
  <c r="D16" i="18" a="1"/>
  <c r="D16" i="18" s="1"/>
  <c r="E16" i="18" a="1"/>
  <c r="E16" i="18" s="1"/>
  <c r="F16" i="18" a="1"/>
  <c r="F16" i="18" s="1"/>
  <c r="G16" i="18" a="1"/>
  <c r="G16" i="18" s="1"/>
  <c r="H16" i="18" a="1"/>
  <c r="H16" i="18" s="1"/>
  <c r="I16" i="18" a="1"/>
  <c r="I16" i="18" s="1"/>
  <c r="J16" i="18" a="1"/>
  <c r="J16" i="18" s="1"/>
  <c r="K16" i="18" a="1"/>
  <c r="K16" i="18" s="1"/>
  <c r="L16" i="18" a="1"/>
  <c r="L16" i="18" s="1"/>
  <c r="M16" i="18" a="1"/>
  <c r="M16" i="18"/>
  <c r="N16" i="18" a="1"/>
  <c r="N16" i="18" s="1"/>
  <c r="O16" i="18" a="1"/>
  <c r="O16" i="18" s="1"/>
  <c r="P16" i="18" a="1"/>
  <c r="P16" i="18" s="1"/>
  <c r="Q16" i="18" a="1"/>
  <c r="Q16" i="18" s="1"/>
  <c r="B17" i="18" a="1"/>
  <c r="B17" i="18" s="1"/>
  <c r="C17" i="18" a="1"/>
  <c r="C17" i="18" s="1"/>
  <c r="D17" i="18" a="1"/>
  <c r="D17" i="18" s="1"/>
  <c r="E17" i="18" a="1"/>
  <c r="E17" i="18" s="1"/>
  <c r="F17" i="18" a="1"/>
  <c r="F17" i="18" s="1"/>
  <c r="G17" i="18" a="1"/>
  <c r="G17" i="18" s="1"/>
  <c r="H17" i="18" a="1"/>
  <c r="H17" i="18" s="1"/>
  <c r="I17" i="18" a="1"/>
  <c r="I17" i="18" s="1"/>
  <c r="J17" i="18" a="1"/>
  <c r="J17" i="18" s="1"/>
  <c r="K17" i="18" a="1"/>
  <c r="K17" i="18" s="1"/>
  <c r="L17" i="18" a="1"/>
  <c r="L17" i="18" s="1"/>
  <c r="M17" i="18" a="1"/>
  <c r="M17" i="18" s="1"/>
  <c r="N17" i="18" a="1"/>
  <c r="N17" i="18" s="1"/>
  <c r="O17" i="18" a="1"/>
  <c r="O17" i="18"/>
  <c r="P17" i="18" a="1"/>
  <c r="P17" i="18" s="1"/>
  <c r="Q17" i="18" a="1"/>
  <c r="Q17" i="18" s="1"/>
  <c r="B18" i="18" a="1"/>
  <c r="B18" i="18" s="1"/>
  <c r="C18" i="18" a="1"/>
  <c r="C18" i="18" s="1"/>
  <c r="D18" i="18" a="1"/>
  <c r="D18" i="18" s="1"/>
  <c r="E18" i="18" a="1"/>
  <c r="E18" i="18" s="1"/>
  <c r="F18" i="18" a="1"/>
  <c r="F18" i="18" s="1"/>
  <c r="G18" i="18" a="1"/>
  <c r="G18" i="18" s="1"/>
  <c r="H18" i="18" a="1"/>
  <c r="H18" i="18" s="1"/>
  <c r="I18" i="18" a="1"/>
  <c r="I18" i="18" s="1"/>
  <c r="J18" i="18" a="1"/>
  <c r="J18" i="18" s="1"/>
  <c r="K18" i="18" a="1"/>
  <c r="K18" i="18" s="1"/>
  <c r="L18" i="18" a="1"/>
  <c r="L18" i="18" s="1"/>
  <c r="M18" i="18" a="1"/>
  <c r="M18" i="18" s="1"/>
  <c r="N18" i="18" a="1"/>
  <c r="N18" i="18" s="1"/>
  <c r="O18" i="18" a="1"/>
  <c r="O18" i="18" s="1"/>
  <c r="P18" i="18" a="1"/>
  <c r="P18" i="18" s="1"/>
  <c r="Q18" i="18" a="1"/>
  <c r="Q18" i="18"/>
  <c r="B19" i="18" a="1"/>
  <c r="B19" i="18" s="1"/>
  <c r="C19" i="18" a="1"/>
  <c r="C19" i="18" s="1"/>
  <c r="D19" i="18" a="1"/>
  <c r="D19" i="18" s="1"/>
  <c r="E19" i="18" a="1"/>
  <c r="E19" i="18" s="1"/>
  <c r="F19" i="18" a="1"/>
  <c r="F19" i="18" s="1"/>
  <c r="G19" i="18" a="1"/>
  <c r="G19" i="18" s="1"/>
  <c r="H19" i="18" a="1"/>
  <c r="H19" i="18" s="1"/>
  <c r="I19" i="18" a="1"/>
  <c r="I19" i="18" s="1"/>
  <c r="J19" i="18" a="1"/>
  <c r="J19" i="18" s="1"/>
  <c r="K19" i="18" a="1"/>
  <c r="K19" i="18" s="1"/>
  <c r="L19" i="18" a="1"/>
  <c r="L19" i="18" s="1"/>
  <c r="M19" i="18" a="1"/>
  <c r="M19" i="18" s="1"/>
  <c r="N19" i="18" a="1"/>
  <c r="N19" i="18" s="1"/>
  <c r="O19" i="18" a="1"/>
  <c r="O19" i="18" s="1"/>
  <c r="P19" i="18" a="1"/>
  <c r="P19" i="18" s="1"/>
  <c r="Q19" i="18" a="1"/>
  <c r="Q19" i="18" s="1"/>
  <c r="B20" i="18" a="1"/>
  <c r="B20" i="18" s="1"/>
  <c r="C20" i="18" a="1"/>
  <c r="C20" i="18" s="1"/>
  <c r="D20" i="18" a="1"/>
  <c r="D20" i="18" s="1"/>
  <c r="E20" i="18" a="1"/>
  <c r="E20" i="18" s="1"/>
  <c r="F20" i="18" a="1"/>
  <c r="F20" i="18" s="1"/>
  <c r="G20" i="18" a="1"/>
  <c r="G20" i="18" s="1"/>
  <c r="H20" i="18" a="1"/>
  <c r="H20" i="18" s="1"/>
  <c r="I20" i="18" a="1"/>
  <c r="I20" i="18" s="1"/>
  <c r="J20" i="18" a="1"/>
  <c r="J20" i="18" s="1"/>
  <c r="K20" i="18" a="1"/>
  <c r="K20" i="18" s="1"/>
  <c r="L20" i="18" a="1"/>
  <c r="L20" i="18" s="1"/>
  <c r="M20" i="18" a="1"/>
  <c r="M20" i="18" s="1"/>
  <c r="N20" i="18" a="1"/>
  <c r="N20" i="18" s="1"/>
  <c r="O20" i="18" a="1"/>
  <c r="O20" i="18" s="1"/>
  <c r="P20" i="18" a="1"/>
  <c r="P20" i="18" s="1"/>
  <c r="Q20" i="18" a="1"/>
  <c r="Q20" i="18" s="1"/>
  <c r="B21" i="18" a="1"/>
  <c r="B21" i="18" s="1"/>
  <c r="C21" i="18" a="1"/>
  <c r="C21" i="18" s="1"/>
  <c r="D21" i="18" a="1"/>
  <c r="D21" i="18" s="1"/>
  <c r="E21" i="18" a="1"/>
  <c r="E21" i="18"/>
  <c r="F21" i="18" a="1"/>
  <c r="F21" i="18" s="1"/>
  <c r="G21" i="18" a="1"/>
  <c r="G21" i="18" s="1"/>
  <c r="H21" i="18" a="1"/>
  <c r="H21" i="18" s="1"/>
  <c r="I21" i="18" a="1"/>
  <c r="I21" i="18" s="1"/>
  <c r="J21" i="18" a="1"/>
  <c r="J21" i="18" s="1"/>
  <c r="K21" i="18" a="1"/>
  <c r="K21" i="18" s="1"/>
  <c r="L21" i="18" a="1"/>
  <c r="L21" i="18" s="1"/>
  <c r="M21" i="18" a="1"/>
  <c r="M21" i="18" s="1"/>
  <c r="N21" i="18" a="1"/>
  <c r="N21" i="18" s="1"/>
  <c r="O21" i="18" a="1"/>
  <c r="O21" i="18" s="1"/>
  <c r="P21" i="18" a="1"/>
  <c r="P21" i="18" s="1"/>
  <c r="Q21" i="18" a="1"/>
  <c r="Q21" i="18" s="1"/>
  <c r="B22" i="18" a="1"/>
  <c r="B22" i="18" s="1"/>
  <c r="C22" i="18" a="1"/>
  <c r="C22" i="18" s="1"/>
  <c r="D22" i="18" a="1"/>
  <c r="D22" i="18" s="1"/>
  <c r="E22" i="18" a="1"/>
  <c r="E22" i="18" s="1"/>
  <c r="F22" i="18" a="1"/>
  <c r="F22" i="18" s="1"/>
  <c r="G22" i="18" a="1"/>
  <c r="G22" i="18"/>
  <c r="H22" i="18" a="1"/>
  <c r="H22" i="18" s="1"/>
  <c r="I22" i="18" a="1"/>
  <c r="I22" i="18" s="1"/>
  <c r="J22" i="18" a="1"/>
  <c r="J22" i="18" s="1"/>
  <c r="K22" i="18" a="1"/>
  <c r="K22" i="18" s="1"/>
  <c r="L22" i="18" a="1"/>
  <c r="L22" i="18" s="1"/>
  <c r="M22" i="18" a="1"/>
  <c r="M22" i="18" s="1"/>
  <c r="N22" i="18" a="1"/>
  <c r="N22" i="18" s="1"/>
  <c r="O22" i="18" a="1"/>
  <c r="O22" i="18" s="1"/>
  <c r="P22" i="18" a="1"/>
  <c r="P22" i="18" s="1"/>
  <c r="Q22" i="18" a="1"/>
  <c r="Q22" i="18" s="1"/>
  <c r="B23" i="18" a="1"/>
  <c r="B23" i="18" s="1"/>
  <c r="C23" i="18" a="1"/>
  <c r="C23" i="18" s="1"/>
  <c r="D23" i="18" a="1"/>
  <c r="D23" i="18" s="1"/>
  <c r="E23" i="18" a="1"/>
  <c r="E23" i="18" s="1"/>
  <c r="F23" i="18" a="1"/>
  <c r="F23" i="18" s="1"/>
  <c r="G23" i="18" a="1"/>
  <c r="G23" i="18" s="1"/>
  <c r="H23" i="18" a="1"/>
  <c r="H23" i="18" s="1"/>
  <c r="I23" i="18" a="1"/>
  <c r="I23" i="18"/>
  <c r="J23" i="18" a="1"/>
  <c r="J23" i="18" s="1"/>
  <c r="K23" i="18" a="1"/>
  <c r="K23" i="18" s="1"/>
  <c r="L23" i="18" a="1"/>
  <c r="L23" i="18" s="1"/>
  <c r="M23" i="18" a="1"/>
  <c r="M23" i="18" s="1"/>
  <c r="N23" i="18" a="1"/>
  <c r="N23" i="18" s="1"/>
  <c r="O23" i="18" a="1"/>
  <c r="O23" i="18" s="1"/>
  <c r="P23" i="18" a="1"/>
  <c r="P23" i="18" s="1"/>
  <c r="Q23" i="18" a="1"/>
  <c r="Q23" i="18" s="1"/>
  <c r="B24" i="18" a="1"/>
  <c r="B24" i="18" s="1"/>
  <c r="C24" i="18" a="1"/>
  <c r="C24" i="18" s="1"/>
  <c r="D24" i="18" a="1"/>
  <c r="D24" i="18" s="1"/>
  <c r="E24" i="18" a="1"/>
  <c r="E24" i="18" s="1"/>
  <c r="F24" i="18" a="1"/>
  <c r="F24" i="18" s="1"/>
  <c r="G24" i="18" a="1"/>
  <c r="G24" i="18" s="1"/>
  <c r="H24" i="18" a="1"/>
  <c r="H24" i="18" s="1"/>
  <c r="I24" i="18" a="1"/>
  <c r="I24" i="18" s="1"/>
  <c r="J24" i="18" a="1"/>
  <c r="J24" i="18" s="1"/>
  <c r="K24" i="18" a="1"/>
  <c r="K24" i="18" s="1"/>
  <c r="L24" i="18" a="1"/>
  <c r="L24" i="18" s="1"/>
  <c r="M24" i="18" a="1"/>
  <c r="M24" i="18" s="1"/>
  <c r="N24" i="18" a="1"/>
  <c r="N24" i="18" s="1"/>
  <c r="O24" i="18" a="1"/>
  <c r="O24" i="18" s="1"/>
  <c r="P24" i="18" a="1"/>
  <c r="P24" i="18" s="1"/>
  <c r="Q24" i="18" a="1"/>
  <c r="Q24" i="18" s="1"/>
  <c r="B25" i="18" a="1"/>
  <c r="B25" i="18" s="1"/>
  <c r="C25" i="18" a="1"/>
  <c r="C25" i="18" s="1"/>
  <c r="D25" i="18" a="1"/>
  <c r="D25" i="18" s="1"/>
  <c r="E25" i="18" a="1"/>
  <c r="E25" i="18" s="1"/>
  <c r="F25" i="18" a="1"/>
  <c r="F25" i="18" s="1"/>
  <c r="G25" i="18" a="1"/>
  <c r="G25" i="18" s="1"/>
  <c r="H25" i="18" a="1"/>
  <c r="H25" i="18" s="1"/>
  <c r="I25" i="18" a="1"/>
  <c r="I25" i="18" s="1"/>
  <c r="J25" i="18" a="1"/>
  <c r="J25" i="18" s="1"/>
  <c r="K25" i="18" a="1"/>
  <c r="K25" i="18" s="1"/>
  <c r="L25" i="18" a="1"/>
  <c r="L25" i="18" s="1"/>
  <c r="M25" i="18" a="1"/>
  <c r="M25" i="18"/>
  <c r="N25" i="18" a="1"/>
  <c r="N25" i="18" s="1"/>
  <c r="O25" i="18" a="1"/>
  <c r="O25" i="18" s="1"/>
  <c r="P25" i="18" a="1"/>
  <c r="P25" i="18" s="1"/>
  <c r="Q25" i="18" a="1"/>
  <c r="Q25" i="18" s="1"/>
  <c r="B26" i="18" a="1"/>
  <c r="B26" i="18" s="1"/>
  <c r="C26" i="18" a="1"/>
  <c r="C26" i="18" s="1"/>
  <c r="D26" i="18" a="1"/>
  <c r="D26" i="18" s="1"/>
  <c r="E26" i="18" a="1"/>
  <c r="E26" i="18" s="1"/>
  <c r="F26" i="18" a="1"/>
  <c r="F26" i="18" s="1"/>
  <c r="G26" i="18" a="1"/>
  <c r="G26" i="18" s="1"/>
  <c r="H26" i="18" a="1"/>
  <c r="H26" i="18" s="1"/>
  <c r="I26" i="18" a="1"/>
  <c r="I26" i="18" s="1"/>
  <c r="J26" i="18" a="1"/>
  <c r="J26" i="18" s="1"/>
  <c r="K26" i="18" a="1"/>
  <c r="K26" i="18"/>
  <c r="L26" i="18" a="1"/>
  <c r="L26" i="18" s="1"/>
  <c r="M26" i="18" a="1"/>
  <c r="M26" i="18" s="1"/>
  <c r="N26" i="18" a="1"/>
  <c r="N26" i="18"/>
  <c r="O26" i="18" a="1"/>
  <c r="O26" i="18" s="1"/>
  <c r="P26" i="18" a="1"/>
  <c r="P26" i="18" s="1"/>
  <c r="Q26" i="18" a="1"/>
  <c r="Q26" i="18" s="1"/>
  <c r="B27" i="18" a="1"/>
  <c r="B27" i="18" s="1"/>
  <c r="C27" i="18" a="1"/>
  <c r="C27" i="18" s="1"/>
  <c r="D27" i="18" a="1"/>
  <c r="D27" i="18" s="1"/>
  <c r="E27" i="18" a="1"/>
  <c r="E27" i="18" s="1"/>
  <c r="F27" i="18" a="1"/>
  <c r="F27" i="18" s="1"/>
  <c r="G27" i="18" a="1"/>
  <c r="G27" i="18" s="1"/>
  <c r="H27" i="18" a="1"/>
  <c r="H27" i="18" s="1"/>
  <c r="I27" i="18" a="1"/>
  <c r="I27" i="18" s="1"/>
  <c r="J27" i="18" a="1"/>
  <c r="J27" i="18"/>
  <c r="K27" i="18" a="1"/>
  <c r="K27" i="18"/>
  <c r="L27" i="18" a="1"/>
  <c r="L27" i="18" s="1"/>
  <c r="M27" i="18" a="1"/>
  <c r="M27" i="18" s="1"/>
  <c r="N27" i="18" a="1"/>
  <c r="N27" i="18" s="1"/>
  <c r="O27" i="18" a="1"/>
  <c r="O27" i="18" s="1"/>
  <c r="P27" i="18" a="1"/>
  <c r="P27" i="18" s="1"/>
  <c r="Q27" i="18" a="1"/>
  <c r="Q27" i="18" s="1"/>
  <c r="B28" i="18" a="1"/>
  <c r="B28" i="18" s="1"/>
  <c r="C28" i="18" a="1"/>
  <c r="C28" i="18"/>
  <c r="D28" i="18" a="1"/>
  <c r="D28" i="18" s="1"/>
  <c r="E28" i="18" a="1"/>
  <c r="E28" i="18" s="1"/>
  <c r="F28" i="18" a="1"/>
  <c r="F28" i="18"/>
  <c r="G28" i="18" a="1"/>
  <c r="G28" i="18" s="1"/>
  <c r="H28" i="18" a="1"/>
  <c r="H28" i="18" s="1"/>
  <c r="I28" i="18" a="1"/>
  <c r="I28" i="18" s="1"/>
  <c r="J28" i="18" a="1"/>
  <c r="J28" i="18" s="1"/>
  <c r="K28" i="18" a="1"/>
  <c r="K28" i="18" s="1"/>
  <c r="L28" i="18" a="1"/>
  <c r="L28" i="18" s="1"/>
  <c r="M28" i="18" a="1"/>
  <c r="M28" i="18" s="1"/>
  <c r="N28" i="18" a="1"/>
  <c r="N28" i="18" s="1"/>
  <c r="O28" i="18" a="1"/>
  <c r="O28" i="18" s="1"/>
  <c r="P28" i="18" a="1"/>
  <c r="P28" i="18" s="1"/>
  <c r="Q28" i="18" a="1"/>
  <c r="Q28" i="18" s="1"/>
  <c r="B29" i="18" a="1"/>
  <c r="B29" i="18"/>
  <c r="C29" i="18" a="1"/>
  <c r="C29" i="18"/>
  <c r="D29" i="18" a="1"/>
  <c r="D29" i="18" s="1"/>
  <c r="E29" i="18" a="1"/>
  <c r="E29" i="18" s="1"/>
  <c r="F29" i="18" a="1"/>
  <c r="F29" i="18" s="1"/>
  <c r="G29" i="18" a="1"/>
  <c r="G29" i="18" s="1"/>
  <c r="H29" i="18" a="1"/>
  <c r="H29" i="18" s="1"/>
  <c r="I29" i="18" a="1"/>
  <c r="I29" i="18" s="1"/>
  <c r="J29" i="18" a="1"/>
  <c r="J29" i="18" s="1"/>
  <c r="K29" i="18" a="1"/>
  <c r="K29" i="18"/>
  <c r="L29" i="18" a="1"/>
  <c r="L29" i="18" s="1"/>
  <c r="M29" i="18" a="1"/>
  <c r="M29" i="18" s="1"/>
  <c r="N29" i="18" a="1"/>
  <c r="N29" i="18"/>
  <c r="O29" i="18" a="1"/>
  <c r="O29" i="18" s="1"/>
  <c r="P29" i="18" a="1"/>
  <c r="P29" i="18" s="1"/>
  <c r="Q29" i="18" a="1"/>
  <c r="Q29" i="18" s="1"/>
  <c r="B30" i="18" a="1"/>
  <c r="B30" i="18" s="1"/>
  <c r="C30" i="18" a="1"/>
  <c r="C30" i="18" s="1"/>
  <c r="D30" i="18" a="1"/>
  <c r="D30" i="18" s="1"/>
  <c r="E30" i="18" a="1"/>
  <c r="E30" i="18" s="1"/>
  <c r="F30" i="18" a="1"/>
  <c r="F30" i="18" s="1"/>
  <c r="G30" i="18" a="1"/>
  <c r="G30" i="18" s="1"/>
  <c r="H30" i="18" a="1"/>
  <c r="H30" i="18" s="1"/>
  <c r="I30" i="18" a="1"/>
  <c r="I30" i="18" s="1"/>
  <c r="J30" i="18" a="1"/>
  <c r="J30" i="18"/>
  <c r="K30" i="18" a="1"/>
  <c r="K30" i="18"/>
  <c r="L30" i="18" a="1"/>
  <c r="L30" i="18" s="1"/>
  <c r="M30" i="18" a="1"/>
  <c r="M30" i="18" s="1"/>
  <c r="N30" i="18" a="1"/>
  <c r="N30" i="18" s="1"/>
  <c r="O30" i="18" a="1"/>
  <c r="O30" i="18" s="1"/>
  <c r="P30" i="18" a="1"/>
  <c r="P30" i="18" s="1"/>
  <c r="Q30" i="18" a="1"/>
  <c r="Q30" i="18" s="1"/>
  <c r="B31" i="18" a="1"/>
  <c r="B31" i="18" s="1"/>
  <c r="C31" i="18" a="1"/>
  <c r="C31" i="18"/>
  <c r="D31" i="18" a="1"/>
  <c r="D31" i="18" s="1"/>
  <c r="E31" i="18" a="1"/>
  <c r="E31" i="18" s="1"/>
  <c r="F31" i="18" a="1"/>
  <c r="F31" i="18"/>
  <c r="G31" i="18" a="1"/>
  <c r="G31" i="18" s="1"/>
  <c r="H31" i="18" a="1"/>
  <c r="H31" i="18" s="1"/>
  <c r="I31" i="18" a="1"/>
  <c r="I31" i="18" s="1"/>
  <c r="J31" i="18" a="1"/>
  <c r="J31" i="18" s="1"/>
  <c r="K31" i="18" a="1"/>
  <c r="K31" i="18" s="1"/>
  <c r="L31" i="18" a="1"/>
  <c r="L31" i="18" s="1"/>
  <c r="M31" i="18" a="1"/>
  <c r="M31" i="18" s="1"/>
  <c r="N31" i="18" a="1"/>
  <c r="N31" i="18" s="1"/>
  <c r="O31" i="18" a="1"/>
  <c r="O31" i="18" s="1"/>
  <c r="P31" i="18" a="1"/>
  <c r="P31" i="18" s="1"/>
  <c r="Q31" i="18" a="1"/>
  <c r="Q31" i="18" s="1"/>
  <c r="B32" i="18" a="1"/>
  <c r="B32" i="18"/>
  <c r="C32" i="18" a="1"/>
  <c r="C32" i="18"/>
  <c r="D32" i="18" a="1"/>
  <c r="D32" i="18" s="1"/>
  <c r="E32" i="18" a="1"/>
  <c r="E32" i="18" s="1"/>
  <c r="F32" i="18" a="1"/>
  <c r="F32" i="18" s="1"/>
  <c r="G32" i="18" a="1"/>
  <c r="G32" i="18" s="1"/>
  <c r="H32" i="18" a="1"/>
  <c r="H32" i="18" s="1"/>
  <c r="I32" i="18" a="1"/>
  <c r="I32" i="18" s="1"/>
  <c r="J32" i="18" a="1"/>
  <c r="J32" i="18" s="1"/>
  <c r="K32" i="18" a="1"/>
  <c r="K32" i="18"/>
  <c r="L32" i="18" a="1"/>
  <c r="L32" i="18" s="1"/>
  <c r="M32" i="18" a="1"/>
  <c r="M32" i="18" s="1"/>
  <c r="N32" i="18" a="1"/>
  <c r="N32" i="18"/>
  <c r="O32" i="18" a="1"/>
  <c r="O32" i="18" s="1"/>
  <c r="P32" i="18" a="1"/>
  <c r="P32" i="18" s="1"/>
  <c r="Q32" i="18" a="1"/>
  <c r="Q32" i="18" s="1"/>
  <c r="B33" i="18" a="1"/>
  <c r="B33" i="18" s="1"/>
  <c r="C33" i="18" a="1"/>
  <c r="C33" i="18" s="1"/>
  <c r="D33" i="18" a="1"/>
  <c r="D33" i="18" s="1"/>
  <c r="E33" i="18" a="1"/>
  <c r="E33" i="18" s="1"/>
  <c r="F33" i="18" a="1"/>
  <c r="F33" i="18" s="1"/>
  <c r="G33" i="18" a="1"/>
  <c r="G33" i="18" s="1"/>
  <c r="H33" i="18" a="1"/>
  <c r="H33" i="18" s="1"/>
  <c r="I33" i="18" a="1"/>
  <c r="I33" i="18" s="1"/>
  <c r="J33" i="18" a="1"/>
  <c r="J33" i="18"/>
  <c r="K33" i="18" a="1"/>
  <c r="K33" i="18"/>
  <c r="L33" i="18" a="1"/>
  <c r="L33" i="18" s="1"/>
  <c r="M33" i="18" a="1"/>
  <c r="M33" i="18" s="1"/>
  <c r="N33" i="18" a="1"/>
  <c r="N33" i="18" s="1"/>
  <c r="O33" i="18" a="1"/>
  <c r="O33" i="18" s="1"/>
  <c r="P33" i="18" a="1"/>
  <c r="P33" i="18" s="1"/>
  <c r="Q33" i="18" a="1"/>
  <c r="Q33" i="18" s="1"/>
  <c r="B34" i="18" a="1"/>
  <c r="B34" i="18" s="1"/>
  <c r="C34" i="18" a="1"/>
  <c r="C34" i="18"/>
  <c r="D34" i="18" a="1"/>
  <c r="D34" i="18" s="1"/>
  <c r="E34" i="18" a="1"/>
  <c r="E34" i="18" s="1"/>
  <c r="F34" i="18" a="1"/>
  <c r="F34" i="18"/>
  <c r="G34" i="18" a="1"/>
  <c r="G34" i="18" s="1"/>
  <c r="H34" i="18" a="1"/>
  <c r="H34" i="18" s="1"/>
  <c r="I34" i="18" a="1"/>
  <c r="I34" i="18" s="1"/>
  <c r="J34" i="18" a="1"/>
  <c r="J34" i="18" s="1"/>
  <c r="K34" i="18" a="1"/>
  <c r="K34" i="18" s="1"/>
  <c r="L34" i="18" a="1"/>
  <c r="L34" i="18" s="1"/>
  <c r="M34" i="18" a="1"/>
  <c r="M34" i="18" s="1"/>
  <c r="N34" i="18" a="1"/>
  <c r="N34" i="18" s="1"/>
  <c r="O34" i="18" a="1"/>
  <c r="O34" i="18" s="1"/>
  <c r="P34" i="18" a="1"/>
  <c r="P34" i="18" s="1"/>
  <c r="Q34" i="18" a="1"/>
  <c r="Q34" i="18" s="1"/>
  <c r="B35" i="18" a="1"/>
  <c r="B35" i="18"/>
  <c r="C35" i="18" a="1"/>
  <c r="C35" i="18"/>
  <c r="D35" i="18" a="1"/>
  <c r="D35" i="18" s="1"/>
  <c r="E35" i="18" a="1"/>
  <c r="E35" i="18" s="1"/>
  <c r="F35" i="18" a="1"/>
  <c r="F35" i="18" s="1"/>
  <c r="G35" i="18" a="1"/>
  <c r="G35" i="18" s="1"/>
  <c r="H35" i="18" a="1"/>
  <c r="H35" i="18" s="1"/>
  <c r="I35" i="18" a="1"/>
  <c r="I35" i="18" s="1"/>
  <c r="J35" i="18" a="1"/>
  <c r="J35" i="18" s="1"/>
  <c r="K35" i="18" a="1"/>
  <c r="K35" i="18"/>
  <c r="L35" i="18" a="1"/>
  <c r="L35" i="18" s="1"/>
  <c r="M35" i="18" a="1"/>
  <c r="M35" i="18" s="1"/>
  <c r="N35" i="18" a="1"/>
  <c r="N35" i="18"/>
  <c r="O35" i="18" a="1"/>
  <c r="O35" i="18" s="1"/>
  <c r="P35" i="18" a="1"/>
  <c r="P35" i="18"/>
  <c r="Q35" i="18" a="1"/>
  <c r="Q35" i="18"/>
  <c r="B36" i="18" a="1"/>
  <c r="B36" i="18"/>
  <c r="C36" i="18" a="1"/>
  <c r="C36" i="18"/>
  <c r="D36" i="18" a="1"/>
  <c r="D36" i="18"/>
  <c r="E36" i="18" a="1"/>
  <c r="E36" i="18" s="1"/>
  <c r="F36" i="18" a="1"/>
  <c r="F36" i="18"/>
  <c r="G36" i="18" a="1"/>
  <c r="G36" i="18"/>
  <c r="H36" i="18" a="1"/>
  <c r="H36" i="18"/>
  <c r="I36" i="18" a="1"/>
  <c r="I36" i="18"/>
  <c r="J36" i="18" a="1"/>
  <c r="J36" i="18"/>
  <c r="K36" i="18" a="1"/>
  <c r="K36" i="18" s="1"/>
  <c r="L36" i="18" a="1"/>
  <c r="L36" i="18"/>
  <c r="M36" i="18" a="1"/>
  <c r="M36" i="18"/>
  <c r="N36" i="18" a="1"/>
  <c r="N36" i="18"/>
  <c r="O36" i="18" a="1"/>
  <c r="O36" i="18"/>
  <c r="P36" i="18" a="1"/>
  <c r="P36" i="18"/>
  <c r="Q36" i="18" a="1"/>
  <c r="Q36" i="18" s="1"/>
  <c r="B37" i="18" a="1"/>
  <c r="B37" i="18"/>
  <c r="C37" i="18" a="1"/>
  <c r="C37" i="18"/>
  <c r="D37" i="18" a="1"/>
  <c r="D37" i="18"/>
  <c r="E37" i="18" a="1"/>
  <c r="E37" i="18"/>
  <c r="F37" i="18" a="1"/>
  <c r="F37" i="18"/>
  <c r="G37" i="18" a="1"/>
  <c r="G37" i="18" s="1"/>
  <c r="H37" i="18" a="1"/>
  <c r="H37" i="18"/>
  <c r="I37" i="18" a="1"/>
  <c r="I37" i="18"/>
  <c r="J37" i="18" a="1"/>
  <c r="J37" i="18"/>
  <c r="K37" i="18" a="1"/>
  <c r="K37" i="18"/>
  <c r="L37" i="18" a="1"/>
  <c r="L37" i="18"/>
  <c r="M37" i="18" a="1"/>
  <c r="M37" i="18" s="1"/>
  <c r="N37" i="18" a="1"/>
  <c r="N37" i="18"/>
  <c r="O37" i="18" a="1"/>
  <c r="O37" i="18"/>
  <c r="P37" i="18" a="1"/>
  <c r="P37" i="18"/>
  <c r="Q37" i="18" a="1"/>
  <c r="Q37" i="18"/>
  <c r="B38" i="18" a="1"/>
  <c r="B38" i="18"/>
  <c r="C38" i="18" a="1"/>
  <c r="C38" i="18" s="1"/>
  <c r="D38" i="18" a="1"/>
  <c r="D38" i="18"/>
  <c r="E38" i="18" a="1"/>
  <c r="E38" i="18"/>
  <c r="F38" i="18" a="1"/>
  <c r="F38" i="18"/>
  <c r="G38" i="18" a="1"/>
  <c r="G38" i="18"/>
  <c r="H38" i="18" a="1"/>
  <c r="H38" i="18"/>
  <c r="I38" i="18" a="1"/>
  <c r="I38" i="18" s="1"/>
  <c r="J38" i="18" a="1"/>
  <c r="J38" i="18"/>
  <c r="K38" i="18" a="1"/>
  <c r="K38" i="18"/>
  <c r="L38" i="18" a="1"/>
  <c r="L38" i="18"/>
  <c r="M38" i="18" a="1"/>
  <c r="M38" i="18"/>
  <c r="N38" i="18" a="1"/>
  <c r="N38" i="18"/>
  <c r="O38" i="18" a="1"/>
  <c r="O38" i="18" s="1"/>
  <c r="P38" i="18" a="1"/>
  <c r="P38" i="18"/>
  <c r="Q38" i="18" a="1"/>
  <c r="Q38" i="18"/>
  <c r="B39" i="18" a="1"/>
  <c r="B39" i="18" s="1"/>
  <c r="C39" i="18" a="1"/>
  <c r="C39" i="18"/>
  <c r="D39" i="18" a="1"/>
  <c r="D39" i="18"/>
  <c r="E39" i="18" a="1"/>
  <c r="E39" i="18" s="1"/>
  <c r="F39" i="18" a="1"/>
  <c r="F39" i="18"/>
  <c r="G39" i="18" a="1"/>
  <c r="G39" i="18"/>
  <c r="H39" i="18" a="1"/>
  <c r="H39" i="18" s="1"/>
  <c r="I39" i="18" a="1"/>
  <c r="I39" i="18"/>
  <c r="J39" i="18" a="1"/>
  <c r="J39" i="18"/>
  <c r="K39" i="18" a="1"/>
  <c r="K39" i="18" s="1"/>
  <c r="L39" i="18" a="1"/>
  <c r="L39" i="18"/>
  <c r="M39" i="18" a="1"/>
  <c r="M39" i="18"/>
  <c r="N39" i="18" a="1"/>
  <c r="N39" i="18" s="1"/>
  <c r="O39" i="18" a="1"/>
  <c r="O39" i="18"/>
  <c r="P39" i="18" a="1"/>
  <c r="P39" i="18"/>
  <c r="Q39" i="18" a="1"/>
  <c r="Q39" i="18" s="1"/>
  <c r="B40" i="18" a="1"/>
  <c r="B40" i="18"/>
  <c r="C40" i="18" a="1"/>
  <c r="C40" i="18"/>
  <c r="D40" i="18" a="1"/>
  <c r="D40" i="18" s="1"/>
  <c r="E40" i="18" a="1"/>
  <c r="E40" i="18"/>
  <c r="F40" i="18" a="1"/>
  <c r="F40" i="18"/>
  <c r="G40" i="18" a="1"/>
  <c r="G40" i="18" s="1"/>
  <c r="H40" i="18" a="1"/>
  <c r="H40" i="18"/>
  <c r="I40" i="18" a="1"/>
  <c r="I40" i="18"/>
  <c r="J40" i="18" a="1"/>
  <c r="J40" i="18" s="1"/>
  <c r="K40" i="18" a="1"/>
  <c r="K40" i="18"/>
  <c r="L40" i="18" a="1"/>
  <c r="L40" i="18"/>
  <c r="M40" i="18" a="1"/>
  <c r="M40" i="18" s="1"/>
  <c r="N40" i="18" a="1"/>
  <c r="N40" i="18"/>
  <c r="O40" i="18" a="1"/>
  <c r="O40" i="18"/>
  <c r="P40" i="18" a="1"/>
  <c r="P40" i="18" s="1"/>
  <c r="Q40" i="18" a="1"/>
  <c r="Q40" i="18"/>
  <c r="B41" i="18" a="1"/>
  <c r="B41" i="18"/>
  <c r="C41" i="18" a="1"/>
  <c r="C41" i="18" s="1"/>
  <c r="D41" i="18" a="1"/>
  <c r="D41" i="18"/>
  <c r="E41" i="18" a="1"/>
  <c r="E41" i="18"/>
  <c r="F41" i="18" a="1"/>
  <c r="F41" i="18" s="1"/>
  <c r="G41" i="18" a="1"/>
  <c r="G41" i="18"/>
  <c r="H41" i="18" a="1"/>
  <c r="H41" i="18"/>
  <c r="I41" i="18" a="1"/>
  <c r="I41" i="18" s="1"/>
  <c r="J41" i="18" a="1"/>
  <c r="J41" i="18"/>
  <c r="K41" i="18" a="1"/>
  <c r="K41" i="18"/>
  <c r="L41" i="18" a="1"/>
  <c r="L41" i="18" s="1"/>
  <c r="M41" i="18" a="1"/>
  <c r="M41" i="18"/>
  <c r="N41" i="18" a="1"/>
  <c r="N41" i="18"/>
  <c r="O41" i="18" a="1"/>
  <c r="O41" i="18" s="1"/>
  <c r="P41" i="18" a="1"/>
  <c r="P41" i="18"/>
  <c r="Q41" i="18" a="1"/>
  <c r="Q41" i="18"/>
  <c r="B42" i="18" a="1"/>
  <c r="B42" i="18" s="1"/>
  <c r="C42" i="18" a="1"/>
  <c r="C42" i="18"/>
  <c r="D42" i="18" a="1"/>
  <c r="D42" i="18"/>
  <c r="E42" i="18" a="1"/>
  <c r="E42" i="18" s="1"/>
  <c r="F42" i="18" a="1"/>
  <c r="F42" i="18"/>
  <c r="G42" i="18" a="1"/>
  <c r="G42" i="18"/>
  <c r="H42" i="18" a="1"/>
  <c r="H42" i="18" s="1"/>
  <c r="I42" i="18" a="1"/>
  <c r="I42" i="18"/>
  <c r="J42" i="18" a="1"/>
  <c r="J42" i="18"/>
  <c r="K42" i="18" a="1"/>
  <c r="K42" i="18" s="1"/>
  <c r="L42" i="18" a="1"/>
  <c r="L42" i="18"/>
  <c r="M42" i="18" a="1"/>
  <c r="M42" i="18"/>
  <c r="N42" i="18" a="1"/>
  <c r="N42" i="18" s="1"/>
  <c r="O42" i="18" a="1"/>
  <c r="O42" i="18"/>
  <c r="P42" i="18" a="1"/>
  <c r="P42" i="18"/>
  <c r="Q42" i="18" a="1"/>
  <c r="Q42" i="18" s="1"/>
  <c r="B43" i="18" a="1"/>
  <c r="B43" i="18"/>
  <c r="C43" i="18" a="1"/>
  <c r="C43" i="18"/>
  <c r="D43" i="18" a="1"/>
  <c r="D43" i="18" s="1"/>
  <c r="E43" i="18" a="1"/>
  <c r="E43" i="18"/>
  <c r="F43" i="18" a="1"/>
  <c r="F43" i="18"/>
  <c r="G43" i="18" a="1"/>
  <c r="G43" i="18" s="1"/>
  <c r="H43" i="18" a="1"/>
  <c r="H43" i="18"/>
  <c r="I43" i="18" a="1"/>
  <c r="I43" i="18"/>
  <c r="J43" i="18" a="1"/>
  <c r="J43" i="18" s="1"/>
  <c r="K43" i="18" a="1"/>
  <c r="K43" i="18"/>
  <c r="L43" i="18" a="1"/>
  <c r="L43" i="18"/>
  <c r="M43" i="18" a="1"/>
  <c r="M43" i="18" s="1"/>
  <c r="N43" i="18" a="1"/>
  <c r="N43" i="18"/>
  <c r="O43" i="18" a="1"/>
  <c r="O43" i="18"/>
  <c r="P43" i="18" a="1"/>
  <c r="P43" i="18" s="1"/>
  <c r="Q43" i="18" a="1"/>
  <c r="Q43" i="18" s="1"/>
  <c r="B44" i="18" a="1"/>
  <c r="B44" i="18"/>
  <c r="C44" i="18" a="1"/>
  <c r="C44" i="18" s="1"/>
  <c r="D44" i="18" a="1"/>
  <c r="D44" i="18"/>
  <c r="E44" i="18" a="1"/>
  <c r="E44" i="18"/>
  <c r="F44" i="18" a="1"/>
  <c r="F44" i="18" s="1"/>
  <c r="G44" i="18" a="1"/>
  <c r="G44" i="18"/>
  <c r="H44" i="18" a="1"/>
  <c r="H44" i="18" s="1"/>
  <c r="I44" i="18" a="1"/>
  <c r="I44" i="18" s="1"/>
  <c r="J44" i="18" a="1"/>
  <c r="J44" i="18"/>
  <c r="K44" i="18" a="1"/>
  <c r="K44" i="18"/>
  <c r="L44" i="18" a="1"/>
  <c r="L44" i="18" s="1"/>
  <c r="M44" i="18" a="1"/>
  <c r="M44" i="18" s="1"/>
  <c r="N44" i="18" a="1"/>
  <c r="N44" i="18"/>
  <c r="O44" i="18" a="1"/>
  <c r="O44" i="18" s="1"/>
  <c r="P44" i="18" a="1"/>
  <c r="P44" i="18"/>
  <c r="Q44" i="18" a="1"/>
  <c r="Q44" i="18"/>
  <c r="B45" i="18" a="1"/>
  <c r="B45" i="18" s="1"/>
  <c r="C45" i="18" a="1"/>
  <c r="C45" i="18" s="1"/>
  <c r="D45" i="18" a="1"/>
  <c r="D45" i="18" s="1"/>
  <c r="E45" i="18" a="1"/>
  <c r="E45" i="18" s="1"/>
  <c r="F45" i="18" a="1"/>
  <c r="F45" i="18"/>
  <c r="G45" i="18" a="1"/>
  <c r="G45" i="18"/>
  <c r="H45" i="18" a="1"/>
  <c r="H45" i="18" s="1"/>
  <c r="I45" i="18" a="1"/>
  <c r="I45" i="18" s="1"/>
  <c r="J45" i="18" a="1"/>
  <c r="J45" i="18" s="1"/>
  <c r="K45" i="18" a="1"/>
  <c r="K45" i="18" s="1"/>
  <c r="L45" i="18" a="1"/>
  <c r="L45" i="18" s="1"/>
  <c r="M45" i="18" a="1"/>
  <c r="M45" i="18"/>
  <c r="N45" i="18" a="1"/>
  <c r="N45" i="18" s="1"/>
  <c r="O45" i="18" a="1"/>
  <c r="O45" i="18"/>
  <c r="P45" i="18" a="1"/>
  <c r="P45" i="18"/>
  <c r="Q45" i="18" a="1"/>
  <c r="Q45" i="18" s="1"/>
  <c r="B46" i="18" a="1"/>
  <c r="B46" i="18" s="1"/>
  <c r="C46" i="18" a="1"/>
  <c r="C46" i="18"/>
  <c r="D46" i="18" a="1"/>
  <c r="D46" i="18" s="1"/>
  <c r="E46" i="18" a="1"/>
  <c r="E46" i="18" s="1"/>
  <c r="F46" i="18" a="1"/>
  <c r="F46" i="18" s="1"/>
  <c r="G46" i="18" a="1"/>
  <c r="G46" i="18" s="1"/>
  <c r="H46" i="18" a="1"/>
  <c r="H46" i="18" s="1"/>
  <c r="I46" i="18" a="1"/>
  <c r="I46" i="18" s="1"/>
  <c r="J46" i="18" a="1"/>
  <c r="J46" i="18" s="1"/>
  <c r="K46" i="18" a="1"/>
  <c r="K46" i="18"/>
  <c r="L46" i="18" a="1"/>
  <c r="L46" i="18" s="1"/>
  <c r="M46" i="18" a="1"/>
  <c r="M46" i="18" s="1"/>
  <c r="N46" i="18" a="1"/>
  <c r="N46" i="18" s="1"/>
  <c r="O46" i="18" a="1"/>
  <c r="O46" i="18"/>
  <c r="P46" i="18" a="1"/>
  <c r="P46" i="18" s="1"/>
  <c r="Q46" i="18" a="1"/>
  <c r="Q46" i="18" s="1"/>
  <c r="B47" i="18" a="1"/>
  <c r="B47" i="18" s="1"/>
  <c r="C47" i="18" a="1"/>
  <c r="C47" i="18" s="1"/>
  <c r="D47" i="18" a="1"/>
  <c r="D47" i="18" s="1"/>
  <c r="E47" i="18" a="1"/>
  <c r="E47" i="18" s="1"/>
  <c r="F47" i="18" a="1"/>
  <c r="F47" i="18" s="1"/>
  <c r="G47" i="18" a="1"/>
  <c r="G47" i="18"/>
  <c r="H47" i="18" a="1"/>
  <c r="H47" i="18"/>
  <c r="I47" i="18" a="1"/>
  <c r="I47" i="18" s="1"/>
  <c r="J47" i="18" a="1"/>
  <c r="J47" i="18" s="1"/>
  <c r="K47" i="18" a="1"/>
  <c r="K47" i="18"/>
  <c r="L47" i="18" a="1"/>
  <c r="L47" i="18" s="1"/>
  <c r="M47" i="18" a="1"/>
  <c r="M47" i="18" s="1"/>
  <c r="N47" i="18" a="1"/>
  <c r="N47" i="18" s="1"/>
  <c r="O47" i="18" a="1"/>
  <c r="O47" i="18" s="1"/>
  <c r="P47" i="18" a="1"/>
  <c r="P47" i="18" s="1"/>
  <c r="Q47" i="18" a="1"/>
  <c r="Q47" i="18" s="1"/>
  <c r="B48" i="18" a="1"/>
  <c r="B48" i="18" s="1"/>
  <c r="C48" i="18" a="1"/>
  <c r="C48" i="18"/>
  <c r="D48" i="18" a="1"/>
  <c r="D48" i="18" s="1"/>
  <c r="E48" i="18" a="1"/>
  <c r="E48" i="18" s="1"/>
  <c r="F48" i="18" a="1"/>
  <c r="F48" i="18" s="1"/>
  <c r="G48" i="18" a="1"/>
  <c r="G48" i="18"/>
  <c r="H48" i="18" a="1"/>
  <c r="H48" i="18" s="1"/>
  <c r="I48" i="18" a="1"/>
  <c r="I48" i="18" s="1"/>
  <c r="J48" i="18" a="1"/>
  <c r="J48" i="18" s="1"/>
  <c r="K48" i="18" a="1"/>
  <c r="K48" i="18" s="1"/>
  <c r="L48" i="18" a="1"/>
  <c r="L48" i="18" s="1"/>
  <c r="M48" i="18" a="1"/>
  <c r="M48" i="18" s="1"/>
  <c r="N48" i="18" a="1"/>
  <c r="N48" i="18" s="1"/>
  <c r="O48" i="18" a="1"/>
  <c r="O48" i="18"/>
  <c r="P48" i="18" a="1"/>
  <c r="P48" i="18"/>
  <c r="Q48" i="18" a="1"/>
  <c r="Q48" i="18" s="1"/>
  <c r="B49" i="18" a="1"/>
  <c r="B49" i="18" s="1"/>
  <c r="C49" i="18" a="1"/>
  <c r="C49" i="18"/>
  <c r="D49" i="18" a="1"/>
  <c r="D49" i="18" s="1"/>
  <c r="E49" i="18" a="1"/>
  <c r="E49" i="18" s="1"/>
  <c r="F49" i="18" a="1"/>
  <c r="F49" i="18" s="1"/>
  <c r="G49" i="18" a="1"/>
  <c r="G49" i="18" s="1"/>
  <c r="H49" i="18" a="1"/>
  <c r="H49" i="18" s="1"/>
  <c r="I49" i="18" a="1"/>
  <c r="I49" i="18" s="1"/>
  <c r="J49" i="18" a="1"/>
  <c r="J49" i="18" s="1"/>
  <c r="K49" i="18" a="1"/>
  <c r="K49" i="18"/>
  <c r="L49" i="18" a="1"/>
  <c r="L49" i="18" s="1"/>
  <c r="M49" i="18" a="1"/>
  <c r="M49" i="18" s="1"/>
  <c r="N49" i="18" a="1"/>
  <c r="N49" i="18" s="1"/>
  <c r="O49" i="18" a="1"/>
  <c r="O49" i="18"/>
  <c r="P49" i="18" a="1"/>
  <c r="P49" i="18" s="1"/>
  <c r="Q49" i="18" a="1"/>
  <c r="Q49" i="18" s="1"/>
  <c r="B50" i="18" a="1"/>
  <c r="B50" i="18" s="1"/>
  <c r="C50" i="18" a="1"/>
  <c r="C50" i="18" s="1"/>
  <c r="D50" i="18" a="1"/>
  <c r="D50" i="18" s="1"/>
  <c r="E50" i="18" a="1"/>
  <c r="E50" i="18" s="1"/>
  <c r="F50" i="18" a="1"/>
  <c r="F50" i="18" s="1"/>
  <c r="G50" i="18" a="1"/>
  <c r="G50" i="18"/>
  <c r="H50" i="18" a="1"/>
  <c r="H50" i="18" s="1"/>
  <c r="I50" i="18" a="1"/>
  <c r="I50" i="18" s="1"/>
  <c r="J50" i="18" a="1"/>
  <c r="J50" i="18" s="1"/>
  <c r="K50" i="18" a="1"/>
  <c r="K50" i="18"/>
  <c r="L50" i="18" a="1"/>
  <c r="L50" i="18" s="1"/>
  <c r="M50" i="18" a="1"/>
  <c r="M50" i="18" s="1"/>
  <c r="N50" i="18" a="1"/>
  <c r="N50" i="18" s="1"/>
  <c r="O50" i="18" a="1"/>
  <c r="O50" i="18" s="1"/>
  <c r="P50" i="18" a="1"/>
  <c r="P50" i="18" s="1"/>
  <c r="Q50" i="18" a="1"/>
  <c r="Q50" i="18" s="1"/>
  <c r="B51" i="18" a="1"/>
  <c r="B51" i="18" s="1"/>
  <c r="C51" i="18" a="1"/>
  <c r="C51" i="18"/>
  <c r="D51" i="18" a="1"/>
  <c r="D51" i="18" s="1"/>
  <c r="E51" i="18" a="1"/>
  <c r="E51" i="18" s="1"/>
  <c r="F51" i="18" a="1"/>
  <c r="F51" i="18" s="1"/>
  <c r="G51" i="18" a="1"/>
  <c r="G51" i="18"/>
  <c r="H51" i="18" a="1"/>
  <c r="H51" i="18" s="1"/>
  <c r="I51" i="18" a="1"/>
  <c r="I51" i="18" s="1"/>
  <c r="J51" i="18" a="1"/>
  <c r="J51" i="18" s="1"/>
  <c r="K51" i="18" a="1"/>
  <c r="K51" i="18" s="1"/>
  <c r="L51" i="18" a="1"/>
  <c r="L51" i="18" s="1"/>
  <c r="M51" i="18" a="1"/>
  <c r="M51" i="18" s="1"/>
  <c r="N51" i="18" a="1"/>
  <c r="N51" i="18" s="1"/>
  <c r="O51" i="18" a="1"/>
  <c r="O51" i="18"/>
  <c r="P51" i="18" a="1"/>
  <c r="P51" i="18"/>
  <c r="Q51" i="18" a="1"/>
  <c r="Q51" i="18" s="1"/>
  <c r="B52" i="18" a="1"/>
  <c r="B52" i="18" s="1"/>
  <c r="C52" i="18" a="1"/>
  <c r="C52" i="18"/>
  <c r="D52" i="18" a="1"/>
  <c r="D52" i="18" s="1"/>
  <c r="E52" i="18" a="1"/>
  <c r="E52" i="18" s="1"/>
  <c r="F52" i="18" a="1"/>
  <c r="F52" i="18" s="1"/>
  <c r="G52" i="18" a="1"/>
  <c r="G52" i="18" s="1"/>
  <c r="H52" i="18" a="1"/>
  <c r="H52" i="18" s="1"/>
  <c r="I52" i="18" a="1"/>
  <c r="I52" i="18" s="1"/>
  <c r="J52" i="18" a="1"/>
  <c r="J52" i="18" s="1"/>
  <c r="K52" i="18" a="1"/>
  <c r="K52" i="18"/>
  <c r="L52" i="18" a="1"/>
  <c r="L52" i="18" s="1"/>
  <c r="M52" i="18" a="1"/>
  <c r="M52" i="18" s="1"/>
  <c r="N52" i="18" a="1"/>
  <c r="N52" i="18" s="1"/>
  <c r="O52" i="18" a="1"/>
  <c r="O52" i="18"/>
  <c r="P52" i="18" a="1"/>
  <c r="P52" i="18" s="1"/>
  <c r="Q52" i="18" a="1"/>
  <c r="Q52" i="18" s="1"/>
  <c r="B53" i="18" a="1"/>
  <c r="B53" i="18" s="1"/>
  <c r="C53" i="18" a="1"/>
  <c r="C53" i="18" s="1"/>
  <c r="D53" i="18" a="1"/>
  <c r="D53" i="18" s="1"/>
  <c r="E53" i="18" a="1"/>
  <c r="E53" i="18" s="1"/>
  <c r="F53" i="18" a="1"/>
  <c r="F53" i="18" s="1"/>
  <c r="G53" i="18" a="1"/>
  <c r="G53" i="18"/>
  <c r="H53" i="18" a="1"/>
  <c r="H53" i="18"/>
  <c r="I53" i="18" a="1"/>
  <c r="I53" i="18" s="1"/>
  <c r="J53" i="18" a="1"/>
  <c r="J53" i="18" s="1"/>
  <c r="K53" i="18" a="1"/>
  <c r="K53" i="18"/>
  <c r="L53" i="18" a="1"/>
  <c r="L53" i="18" s="1"/>
  <c r="M53" i="18" a="1"/>
  <c r="M53" i="18" s="1"/>
  <c r="N53" i="18" a="1"/>
  <c r="N53" i="18" s="1"/>
  <c r="O53" i="18" a="1"/>
  <c r="O53" i="18" s="1"/>
  <c r="P53" i="18" a="1"/>
  <c r="P53" i="18" s="1"/>
  <c r="Q53" i="18" a="1"/>
  <c r="Q53" i="18" s="1"/>
  <c r="B54" i="18" a="1"/>
  <c r="B54" i="18" s="1"/>
  <c r="C54" i="18" a="1"/>
  <c r="C54" i="18"/>
  <c r="D54" i="18" a="1"/>
  <c r="D54" i="18" s="1"/>
  <c r="E54" i="18" a="1"/>
  <c r="E54" i="18" s="1"/>
  <c r="F54" i="18" a="1"/>
  <c r="F54" i="18" s="1"/>
  <c r="G54" i="18" a="1"/>
  <c r="G54" i="18"/>
  <c r="H54" i="18" a="1"/>
  <c r="H54" i="18" s="1"/>
  <c r="I54" i="18" a="1"/>
  <c r="I54" i="18" s="1"/>
  <c r="J54" i="18" a="1"/>
  <c r="J54" i="18" s="1"/>
  <c r="K54" i="18" a="1"/>
  <c r="K54" i="18" s="1"/>
  <c r="L54" i="18" a="1"/>
  <c r="L54" i="18" s="1"/>
  <c r="M54" i="18" a="1"/>
  <c r="M54" i="18" s="1"/>
  <c r="N54" i="18" a="1"/>
  <c r="N54" i="18" s="1"/>
  <c r="O54" i="18" a="1"/>
  <c r="O54" i="18"/>
  <c r="P54" i="18" a="1"/>
  <c r="P54" i="18" s="1"/>
  <c r="Q54" i="18" a="1"/>
  <c r="Q54" i="18" s="1"/>
  <c r="B55" i="18" a="1"/>
  <c r="B55" i="18" s="1"/>
  <c r="C55" i="18" a="1"/>
  <c r="C55" i="18"/>
  <c r="D55" i="18" a="1"/>
  <c r="D55" i="18" s="1"/>
  <c r="E55" i="18" a="1"/>
  <c r="E55" i="18" s="1"/>
  <c r="F55" i="18" a="1"/>
  <c r="F55" i="18" s="1"/>
  <c r="G55" i="18" a="1"/>
  <c r="G55" i="18" s="1"/>
  <c r="H55" i="18" a="1"/>
  <c r="H55" i="18" s="1"/>
  <c r="I55" i="18" a="1"/>
  <c r="I55" i="18" s="1"/>
  <c r="J55" i="18" a="1"/>
  <c r="J55" i="18" s="1"/>
  <c r="K55" i="18" a="1"/>
  <c r="K55" i="18"/>
  <c r="L55" i="18" a="1"/>
  <c r="L55" i="18" s="1"/>
  <c r="M55" i="18" a="1"/>
  <c r="M55" i="18" s="1"/>
  <c r="N55" i="18" a="1"/>
  <c r="N55" i="18" s="1"/>
  <c r="O55" i="18" a="1"/>
  <c r="O55" i="18"/>
  <c r="P55" i="18" a="1"/>
  <c r="P55" i="18" s="1"/>
  <c r="Q55" i="18" a="1"/>
  <c r="Q55" i="18" s="1"/>
  <c r="B56" i="18" a="1"/>
  <c r="B56" i="18" s="1"/>
  <c r="C56" i="18" a="1"/>
  <c r="C56" i="18" s="1"/>
  <c r="D56" i="18" a="1"/>
  <c r="D56" i="18" s="1"/>
  <c r="E56" i="18" a="1"/>
  <c r="E56" i="18" s="1"/>
  <c r="F56" i="18" a="1"/>
  <c r="F56" i="18" s="1"/>
  <c r="G56" i="18" a="1"/>
  <c r="G56" i="18"/>
  <c r="H56" i="18" a="1"/>
  <c r="H56" i="18" s="1"/>
  <c r="I56" i="18" a="1"/>
  <c r="I56" i="18" s="1"/>
  <c r="J56" i="18" a="1"/>
  <c r="J56" i="18" s="1"/>
  <c r="K56" i="18" a="1"/>
  <c r="K56" i="18"/>
  <c r="L56" i="18" a="1"/>
  <c r="L56" i="18" s="1"/>
  <c r="M56" i="18" a="1"/>
  <c r="M56" i="18" s="1"/>
  <c r="N56" i="18" a="1"/>
  <c r="N56" i="18" s="1"/>
  <c r="O56" i="18" a="1"/>
  <c r="O56" i="18" s="1"/>
  <c r="P56" i="18" a="1"/>
  <c r="P56" i="18"/>
  <c r="Q56" i="18" a="1"/>
  <c r="Q56" i="18"/>
  <c r="B57" i="18" a="1"/>
  <c r="B57" i="18" s="1"/>
  <c r="C57" i="18" a="1"/>
  <c r="C57" i="18" s="1"/>
  <c r="D57" i="18" a="1"/>
  <c r="D57" i="18" s="1"/>
  <c r="E57" i="18" a="1"/>
  <c r="E57" i="18" s="1"/>
  <c r="F57" i="18" a="1"/>
  <c r="F57" i="18"/>
  <c r="G57" i="18" a="1"/>
  <c r="G57" i="18"/>
  <c r="H57" i="18" a="1"/>
  <c r="H57" i="18" s="1"/>
  <c r="I57" i="18" a="1"/>
  <c r="I57" i="18" s="1"/>
  <c r="J57" i="18" a="1"/>
  <c r="J57" i="18"/>
  <c r="K57" i="18" a="1"/>
  <c r="K57" i="18" s="1"/>
  <c r="L57" i="18" a="1"/>
  <c r="L57" i="18"/>
  <c r="M57" i="18" a="1"/>
  <c r="M57" i="18"/>
  <c r="N57" i="18" a="1"/>
  <c r="N57" i="18" s="1"/>
  <c r="O57" i="18" a="1"/>
  <c r="O57" i="18" s="1"/>
  <c r="P57" i="18" a="1"/>
  <c r="P57" i="18" s="1"/>
  <c r="Q57" i="18" a="1"/>
  <c r="Q57" i="18" s="1"/>
  <c r="B58" i="18" a="1"/>
  <c r="B58" i="18" s="1"/>
  <c r="C58" i="18" a="1"/>
  <c r="C58" i="18"/>
  <c r="D58" i="18" a="1"/>
  <c r="D58" i="18" s="1"/>
  <c r="E58" i="18" a="1"/>
  <c r="E58" i="18" s="1"/>
  <c r="F58" i="18" a="1"/>
  <c r="F58" i="18" s="1"/>
  <c r="G58" i="18" a="1"/>
  <c r="G58" i="18" s="1"/>
  <c r="H58" i="18" a="1"/>
  <c r="H58" i="18"/>
  <c r="I58" i="18" a="1"/>
  <c r="I58" i="18" s="1"/>
  <c r="J58" i="18" a="1"/>
  <c r="J58" i="18" s="1"/>
  <c r="K58" i="18" a="1"/>
  <c r="K58" i="18" s="1"/>
  <c r="L58" i="18" a="1"/>
  <c r="L58" i="18"/>
  <c r="M58" i="18" a="1"/>
  <c r="M58" i="18" s="1"/>
  <c r="N58" i="18" a="1"/>
  <c r="N58" i="18"/>
  <c r="O58" i="18" a="1"/>
  <c r="O58" i="18"/>
  <c r="P58" i="18" a="1"/>
  <c r="P58" i="18" s="1"/>
  <c r="Q58" i="18" a="1"/>
  <c r="Q58" i="18" s="1"/>
  <c r="B59" i="18" a="1"/>
  <c r="B59" i="18" s="1"/>
  <c r="C59" i="18" a="1"/>
  <c r="C59" i="18" s="1"/>
  <c r="D59" i="18" a="1"/>
  <c r="D59" i="18" s="1"/>
  <c r="E59" i="18" a="1"/>
  <c r="E59" i="18"/>
  <c r="F59" i="18" a="1"/>
  <c r="F59" i="18" s="1"/>
  <c r="G59" i="18" a="1"/>
  <c r="G59" i="18"/>
  <c r="H59" i="18" a="1"/>
  <c r="H59" i="18" s="1"/>
  <c r="I59" i="18" a="1"/>
  <c r="I59" i="18" s="1"/>
  <c r="J59" i="18" a="1"/>
  <c r="J59" i="18"/>
  <c r="K59" i="18" a="1"/>
  <c r="K59" i="18"/>
  <c r="L59" i="18" a="1"/>
  <c r="L59" i="18" s="1"/>
  <c r="M59" i="18" a="1"/>
  <c r="M59" i="18" s="1"/>
  <c r="N59" i="18" a="1"/>
  <c r="N59" i="18" s="1"/>
  <c r="O59" i="18" a="1"/>
  <c r="O59" i="18" s="1"/>
  <c r="P59" i="18" a="1"/>
  <c r="P59" i="18"/>
  <c r="Q59" i="18" a="1"/>
  <c r="Q59" i="18"/>
  <c r="B60" i="18" a="1"/>
  <c r="B60" i="18" s="1"/>
  <c r="C60" i="18" a="1"/>
  <c r="C60" i="18" s="1"/>
  <c r="D60" i="18" a="1"/>
  <c r="D60" i="18" s="1"/>
  <c r="E60" i="18" a="1"/>
  <c r="E60" i="18" s="1"/>
  <c r="F60" i="18" a="1"/>
  <c r="F60" i="18" s="1"/>
  <c r="G60" i="18" a="1"/>
  <c r="G60" i="18"/>
  <c r="H60" i="18" a="1"/>
  <c r="H60" i="18" s="1"/>
  <c r="I60" i="18" a="1"/>
  <c r="I60" i="18"/>
  <c r="J60" i="18" a="1"/>
  <c r="J60" i="18" s="1"/>
  <c r="K60" i="18" a="1"/>
  <c r="K60" i="18" s="1"/>
  <c r="L60" i="18" a="1"/>
  <c r="L60" i="18"/>
  <c r="M60" i="18" a="1"/>
  <c r="M60" i="18" s="1"/>
  <c r="N60" i="18" a="1"/>
  <c r="N60" i="18" s="1"/>
  <c r="O60" i="18" a="1"/>
  <c r="O60" i="18" s="1"/>
  <c r="P60" i="18" a="1"/>
  <c r="P60" i="18" s="1"/>
  <c r="Q60" i="18" a="1"/>
  <c r="Q60" i="18" s="1"/>
  <c r="B61" i="18" a="1"/>
  <c r="B61" i="18"/>
  <c r="C61" i="18" a="1"/>
  <c r="C61" i="18"/>
  <c r="D61" i="18" a="1"/>
  <c r="D61" i="18" s="1"/>
  <c r="E61" i="18" a="1"/>
  <c r="E61" i="18" s="1"/>
  <c r="F61" i="18" a="1"/>
  <c r="F61" i="18" s="1"/>
  <c r="G61" i="18" a="1"/>
  <c r="G61" i="18" s="1"/>
  <c r="H61" i="18" a="1"/>
  <c r="H61" i="18"/>
  <c r="I61" i="18" a="1"/>
  <c r="I61" i="18"/>
  <c r="J61" i="18" a="1"/>
  <c r="J61" i="18" s="1"/>
  <c r="K61" i="18" a="1"/>
  <c r="K61" i="18" s="1"/>
  <c r="L61" i="18" a="1"/>
  <c r="L61" i="18" s="1"/>
  <c r="M61" i="18" a="1"/>
  <c r="M61" i="18" s="1"/>
  <c r="N61" i="18" a="1"/>
  <c r="N61" i="18"/>
  <c r="O61" i="18" a="1"/>
  <c r="O61" i="18"/>
  <c r="P61" i="18" a="1"/>
  <c r="P61" i="18" s="1"/>
  <c r="Q61" i="18" a="1"/>
  <c r="Q61" i="18" s="1"/>
  <c r="B62" i="18" a="1"/>
  <c r="B62" i="18"/>
  <c r="C62" i="18" a="1"/>
  <c r="C62" i="18" s="1"/>
  <c r="D62" i="18" a="1"/>
  <c r="D62" i="18"/>
  <c r="E62" i="18" a="1"/>
  <c r="E62" i="18"/>
  <c r="F62" i="18" a="1"/>
  <c r="F62" i="18" s="1"/>
  <c r="G62" i="18" a="1"/>
  <c r="G62" i="18" s="1"/>
  <c r="H62" i="18" a="1"/>
  <c r="H62" i="18" s="1"/>
  <c r="I62" i="18" a="1"/>
  <c r="I62" i="18" s="1"/>
  <c r="J62" i="18" a="1"/>
  <c r="J62" i="18" s="1"/>
  <c r="K62" i="18" a="1"/>
  <c r="K62" i="18"/>
  <c r="L62" i="18" a="1"/>
  <c r="L62" i="18" s="1"/>
  <c r="M62" i="18" a="1"/>
  <c r="M62" i="18"/>
  <c r="N62" i="18" a="1"/>
  <c r="N62" i="18" s="1"/>
  <c r="O62" i="18" a="1"/>
  <c r="O62" i="18" s="1"/>
  <c r="P62" i="18" a="1"/>
  <c r="P62" i="18"/>
  <c r="Q62" i="18" a="1"/>
  <c r="Q62" i="18" s="1"/>
  <c r="B63" i="18" a="1"/>
  <c r="B63" i="18" s="1"/>
  <c r="C63" i="18" a="1"/>
  <c r="C63" i="18" s="1"/>
  <c r="D63" i="18" a="1"/>
  <c r="D63" i="18"/>
  <c r="E63" i="18" a="1"/>
  <c r="E63" i="18" s="1"/>
  <c r="F63" i="18" a="1"/>
  <c r="F63" i="18" s="1"/>
  <c r="G63" i="18" a="1"/>
  <c r="G63" i="18"/>
  <c r="H63" i="18" a="1"/>
  <c r="H63" i="18" s="1"/>
  <c r="I63" i="18" a="1"/>
  <c r="I63" i="18"/>
  <c r="J63" i="18" a="1"/>
  <c r="J63" i="18" s="1"/>
  <c r="K63" i="18" a="1"/>
  <c r="K63" i="18" s="1"/>
  <c r="L63" i="18" a="1"/>
  <c r="L63" i="18" s="1"/>
  <c r="M63" i="18" a="1"/>
  <c r="M63" i="18" s="1"/>
  <c r="N63" i="18" a="1"/>
  <c r="N63" i="18" s="1"/>
  <c r="O63" i="18" a="1"/>
  <c r="O63" i="18"/>
  <c r="P63" i="18" a="1"/>
  <c r="P63" i="18" s="1"/>
  <c r="Q63" i="18" a="1"/>
  <c r="Q63" i="18" s="1"/>
  <c r="B64" i="18" a="1"/>
  <c r="B64" i="18" s="1"/>
  <c r="C64" i="18" a="1"/>
  <c r="C64" i="18" s="1"/>
  <c r="D64" i="18" a="1"/>
  <c r="D64" i="18" s="1"/>
  <c r="E64" i="18" a="1"/>
  <c r="E64" i="18" s="1"/>
  <c r="F64" i="18" a="1"/>
  <c r="F64" i="18"/>
  <c r="G64" i="18" a="1"/>
  <c r="G64" i="18" s="1"/>
  <c r="H64" i="18" a="1"/>
  <c r="H64" i="18" s="1"/>
  <c r="I64" i="18" a="1"/>
  <c r="I64" i="18"/>
  <c r="J64" i="18" a="1"/>
  <c r="J64" i="18" s="1"/>
  <c r="K64" i="18" a="1"/>
  <c r="K64" i="18" s="1"/>
  <c r="L64" i="18" a="1"/>
  <c r="L64" i="18"/>
  <c r="M64" i="18" a="1"/>
  <c r="M64" i="18" s="1"/>
  <c r="N64" i="18" a="1"/>
  <c r="N64" i="18" s="1"/>
  <c r="O64" i="18" a="1"/>
  <c r="O64" i="18"/>
  <c r="P64" i="18" a="1"/>
  <c r="P64" i="18" s="1"/>
  <c r="Q64" i="18" a="1"/>
  <c r="Q64" i="18"/>
  <c r="B65" i="18" a="1"/>
  <c r="B65" i="18" s="1"/>
  <c r="C65" i="18" a="1"/>
  <c r="C65" i="18" s="1"/>
  <c r="D65" i="18" a="1"/>
  <c r="D65" i="18" s="1"/>
  <c r="E65" i="18" a="1"/>
  <c r="E65" i="18" s="1"/>
  <c r="F65" i="18" a="1"/>
  <c r="F65" i="18" s="1"/>
  <c r="G65" i="18" a="1"/>
  <c r="G65" i="18"/>
  <c r="H65" i="18" a="1"/>
  <c r="H65" i="18" s="1"/>
  <c r="I65" i="18" a="1"/>
  <c r="I65" i="18" s="1"/>
  <c r="J65" i="18" a="1"/>
  <c r="J65" i="18" s="1"/>
  <c r="K65" i="18" a="1"/>
  <c r="K65" i="18" s="1"/>
  <c r="L65" i="18" a="1"/>
  <c r="L65" i="18" s="1"/>
  <c r="M65" i="18" a="1"/>
  <c r="M65" i="18" s="1"/>
  <c r="N65" i="18" a="1"/>
  <c r="N65" i="18"/>
  <c r="O65" i="18" a="1"/>
  <c r="O65" i="18" s="1"/>
  <c r="P65" i="18" a="1"/>
  <c r="P65" i="18" s="1"/>
  <c r="Q65" i="18" a="1"/>
  <c r="Q65" i="18"/>
  <c r="B66" i="18" a="1"/>
  <c r="B66" i="18" s="1"/>
  <c r="C66" i="18" a="1"/>
  <c r="C66" i="18" s="1"/>
  <c r="D66" i="18" a="1"/>
  <c r="D66" i="18"/>
  <c r="E66" i="18" a="1"/>
  <c r="E66" i="18" s="1"/>
  <c r="F66" i="18" a="1"/>
  <c r="F66" i="18" s="1"/>
  <c r="G66" i="18" a="1"/>
  <c r="G66" i="18"/>
  <c r="H66" i="18" a="1"/>
  <c r="H66" i="18" s="1"/>
  <c r="I66" i="18" a="1"/>
  <c r="I66" i="18"/>
  <c r="J66" i="18" a="1"/>
  <c r="J66" i="18" s="1"/>
  <c r="K66" i="18" a="1"/>
  <c r="K66" i="18" s="1"/>
  <c r="L66" i="18" a="1"/>
  <c r="L66" i="18" s="1"/>
  <c r="M66" i="18" a="1"/>
  <c r="M66" i="18" s="1"/>
  <c r="N66" i="18" a="1"/>
  <c r="N66" i="18" s="1"/>
  <c r="O66" i="18" a="1"/>
  <c r="O66" i="18"/>
  <c r="P66" i="18" a="1"/>
  <c r="P66" i="18" s="1"/>
  <c r="Q66" i="18" a="1"/>
  <c r="Q66" i="18" s="1"/>
  <c r="B67" i="18" a="1"/>
  <c r="B67" i="18" s="1"/>
  <c r="C67" i="18" a="1"/>
  <c r="C67" i="18" s="1"/>
  <c r="D67" i="18" a="1"/>
  <c r="D67" i="18" s="1"/>
  <c r="E67" i="18" a="1"/>
  <c r="E67" i="18" s="1"/>
  <c r="F67" i="18" a="1"/>
  <c r="F67" i="18"/>
  <c r="G67" i="18" a="1"/>
  <c r="G67" i="18" s="1"/>
  <c r="H67" i="18" a="1"/>
  <c r="H67" i="18" s="1"/>
  <c r="I67" i="18" a="1"/>
  <c r="I67" i="18"/>
  <c r="J67" i="18" a="1"/>
  <c r="J67" i="18" s="1"/>
  <c r="K67" i="18" a="1"/>
  <c r="K67" i="18" s="1"/>
  <c r="L67" i="18" a="1"/>
  <c r="L67" i="18"/>
  <c r="M67" i="18" a="1"/>
  <c r="M67" i="18" s="1"/>
  <c r="N67" i="18" a="1"/>
  <c r="N67" i="18" s="1"/>
  <c r="O67" i="18" a="1"/>
  <c r="O67" i="18"/>
  <c r="P67" i="18" a="1"/>
  <c r="P67" i="18" s="1"/>
  <c r="Q67" i="18" a="1"/>
  <c r="Q67" i="18"/>
  <c r="B68" i="18" a="1"/>
  <c r="B68" i="18" s="1"/>
  <c r="C68" i="18" a="1"/>
  <c r="C68" i="18" s="1"/>
  <c r="D68" i="18" a="1"/>
  <c r="D68" i="18" s="1"/>
  <c r="E68" i="18" a="1"/>
  <c r="E68" i="18" s="1"/>
  <c r="F68" i="18" a="1"/>
  <c r="F68" i="18" s="1"/>
  <c r="G68" i="18" a="1"/>
  <c r="G68" i="18"/>
  <c r="H68" i="18" a="1"/>
  <c r="H68" i="18" s="1"/>
  <c r="I68" i="18" a="1"/>
  <c r="I68" i="18" s="1"/>
  <c r="J68" i="18" a="1"/>
  <c r="J68" i="18" s="1"/>
  <c r="K68" i="18" a="1"/>
  <c r="K68" i="18" s="1"/>
  <c r="L68" i="18" a="1"/>
  <c r="L68" i="18" s="1"/>
  <c r="M68" i="18" a="1"/>
  <c r="M68" i="18" s="1"/>
  <c r="N68" i="18" a="1"/>
  <c r="N68" i="18"/>
  <c r="O68" i="18" a="1"/>
  <c r="O68" i="18" s="1"/>
  <c r="P68" i="18" a="1"/>
  <c r="P68" i="18" s="1"/>
  <c r="Q68" i="18" a="1"/>
  <c r="Q68" i="18"/>
  <c r="B69" i="18" a="1"/>
  <c r="B69" i="18" s="1"/>
  <c r="C69" i="18" a="1"/>
  <c r="C69" i="18" s="1"/>
  <c r="D69" i="18" a="1"/>
  <c r="D69" i="18"/>
  <c r="E69" i="18" a="1"/>
  <c r="E69" i="18" s="1"/>
  <c r="F69" i="18" a="1"/>
  <c r="F69" i="18" s="1"/>
  <c r="G69" i="18" a="1"/>
  <c r="G69" i="18"/>
  <c r="H69" i="18" a="1"/>
  <c r="H69" i="18" s="1"/>
  <c r="I69" i="18" a="1"/>
  <c r="I69" i="18"/>
  <c r="J69" i="18" a="1"/>
  <c r="J69" i="18" s="1"/>
  <c r="K69" i="18" a="1"/>
  <c r="K69" i="18" s="1"/>
  <c r="L69" i="18" a="1"/>
  <c r="L69" i="18" s="1"/>
  <c r="M69" i="18" a="1"/>
  <c r="M69" i="18" s="1"/>
  <c r="N69" i="18" a="1"/>
  <c r="N69" i="18" s="1"/>
  <c r="O69" i="18" a="1"/>
  <c r="O69" i="18"/>
  <c r="P69" i="18" a="1"/>
  <c r="P69" i="18" s="1"/>
  <c r="Q69" i="18" a="1"/>
  <c r="Q69" i="18" s="1"/>
  <c r="B70" i="18" a="1"/>
  <c r="B70" i="18" s="1"/>
  <c r="C70" i="18" a="1"/>
  <c r="C70" i="18" s="1"/>
  <c r="D70" i="18" a="1"/>
  <c r="D70" i="18" s="1"/>
  <c r="E70" i="18" a="1"/>
  <c r="E70" i="18" s="1"/>
  <c r="F70" i="18" a="1"/>
  <c r="F70" i="18"/>
  <c r="G70" i="18" a="1"/>
  <c r="G70" i="18" s="1"/>
  <c r="H70" i="18" a="1"/>
  <c r="H70" i="18" s="1"/>
  <c r="I70" i="18" a="1"/>
  <c r="I70" i="18"/>
  <c r="J70" i="18" a="1"/>
  <c r="J70" i="18" s="1"/>
  <c r="K70" i="18" a="1"/>
  <c r="K70" i="18" s="1"/>
  <c r="L70" i="18" a="1"/>
  <c r="L70" i="18"/>
  <c r="M70" i="18" a="1"/>
  <c r="M70" i="18" s="1"/>
  <c r="N70" i="18" a="1"/>
  <c r="N70" i="18" s="1"/>
  <c r="O70" i="18" a="1"/>
  <c r="O70" i="18"/>
  <c r="P70" i="18" a="1"/>
  <c r="P70" i="18" s="1"/>
  <c r="Q70" i="18" a="1"/>
  <c r="Q70" i="18" s="1"/>
  <c r="B71" i="18" a="1"/>
  <c r="B71" i="18" s="1"/>
  <c r="C71" i="18" a="1"/>
  <c r="C71" i="18" s="1"/>
  <c r="D71" i="18" a="1"/>
  <c r="D71" i="18" s="1"/>
  <c r="E71" i="18" a="1"/>
  <c r="E71" i="18" s="1"/>
  <c r="F71" i="18" a="1"/>
  <c r="F71" i="18" s="1"/>
  <c r="G71" i="18" a="1"/>
  <c r="G71" i="18"/>
  <c r="H71" i="18" a="1"/>
  <c r="H71" i="18" s="1"/>
  <c r="I71" i="18" a="1"/>
  <c r="I71" i="18" s="1"/>
  <c r="J71" i="18" a="1"/>
  <c r="J71" i="18" s="1"/>
  <c r="K71" i="18" a="1"/>
  <c r="K71" i="18" s="1"/>
  <c r="L71" i="18" a="1"/>
  <c r="L71" i="18" s="1"/>
  <c r="M71" i="18" a="1"/>
  <c r="M71" i="18" s="1"/>
  <c r="N71" i="18" a="1"/>
  <c r="N71" i="18"/>
  <c r="O71" i="18" a="1"/>
  <c r="O71" i="18" s="1"/>
  <c r="P71" i="18" a="1"/>
  <c r="P71" i="18" s="1"/>
  <c r="Q71" i="18" a="1"/>
  <c r="Q71" i="18"/>
  <c r="B72" i="18" a="1"/>
  <c r="B72" i="18" s="1"/>
  <c r="C72" i="18" a="1"/>
  <c r="C72" i="18" s="1"/>
  <c r="D72" i="18" a="1"/>
  <c r="D72" i="18"/>
  <c r="E72" i="18" a="1"/>
  <c r="E72" i="18" s="1"/>
  <c r="F72" i="18" a="1"/>
  <c r="F72" i="18" s="1"/>
  <c r="G72" i="18" a="1"/>
  <c r="G72" i="18"/>
  <c r="H72" i="18" a="1"/>
  <c r="H72" i="18" s="1"/>
  <c r="I72" i="18" a="1"/>
  <c r="I72" i="18"/>
  <c r="J72" i="18" a="1"/>
  <c r="J72" i="18" s="1"/>
  <c r="K72" i="18" a="1"/>
  <c r="K72" i="18" s="1"/>
  <c r="L72" i="18" a="1"/>
  <c r="L72" i="18" s="1"/>
  <c r="M72" i="18" a="1"/>
  <c r="M72" i="18" s="1"/>
  <c r="N72" i="18" a="1"/>
  <c r="N72" i="18" s="1"/>
  <c r="O72" i="18" a="1"/>
  <c r="O72" i="18"/>
  <c r="P72" i="18" a="1"/>
  <c r="P72" i="18" s="1"/>
  <c r="Q72" i="18" a="1"/>
  <c r="Q72" i="18" s="1"/>
  <c r="B73" i="18" a="1"/>
  <c r="B73" i="18" s="1"/>
  <c r="C73" i="18" a="1"/>
  <c r="C73" i="18" s="1"/>
  <c r="D73" i="18" a="1"/>
  <c r="D73" i="18" s="1"/>
  <c r="E73" i="18" a="1"/>
  <c r="E73" i="18" s="1"/>
  <c r="F73" i="18" a="1"/>
  <c r="F73" i="18"/>
  <c r="G73" i="18" a="1"/>
  <c r="G73" i="18" s="1"/>
  <c r="H73" i="18" a="1"/>
  <c r="H73" i="18" s="1"/>
  <c r="I73" i="18" a="1"/>
  <c r="I73" i="18"/>
  <c r="J73" i="18" a="1"/>
  <c r="J73" i="18" s="1"/>
  <c r="K73" i="18" a="1"/>
  <c r="K73" i="18" s="1"/>
  <c r="L73" i="18" a="1"/>
  <c r="L73" i="18"/>
  <c r="M73" i="18" a="1"/>
  <c r="M73" i="18" s="1"/>
  <c r="N73" i="18" a="1"/>
  <c r="N73" i="18" s="1"/>
  <c r="O73" i="18" a="1"/>
  <c r="O73" i="18" s="1"/>
  <c r="P73" i="18" a="1"/>
  <c r="P73" i="18" s="1"/>
  <c r="Q73" i="18" a="1"/>
  <c r="Q73" i="18" s="1"/>
  <c r="B74" i="18" a="1"/>
  <c r="B74" i="18" s="1"/>
  <c r="C74" i="18" a="1"/>
  <c r="C74" i="18" s="1"/>
  <c r="D74" i="18" a="1"/>
  <c r="D74" i="18" s="1"/>
  <c r="E74" i="18" a="1"/>
  <c r="E74" i="18" s="1"/>
  <c r="F74" i="18" a="1"/>
  <c r="F74" i="18" s="1"/>
  <c r="G74" i="18" a="1"/>
  <c r="G74" i="18"/>
  <c r="H74" i="18" a="1"/>
  <c r="H74" i="18" s="1"/>
  <c r="I74" i="18" a="1"/>
  <c r="I74" i="18" s="1"/>
  <c r="J74" i="18" a="1"/>
  <c r="J74" i="18" s="1"/>
  <c r="K74" i="18" a="1"/>
  <c r="K74" i="18" s="1"/>
  <c r="L74" i="18" a="1"/>
  <c r="L74" i="18" s="1"/>
  <c r="M74" i="18" a="1"/>
  <c r="M74" i="18" s="1"/>
  <c r="N74" i="18" a="1"/>
  <c r="N74" i="18"/>
  <c r="O74" i="18" a="1"/>
  <c r="O74" i="18" s="1"/>
  <c r="P74" i="18" a="1"/>
  <c r="P74" i="18" s="1"/>
  <c r="Q74" i="18" a="1"/>
  <c r="Q74" i="18" s="1"/>
  <c r="B75" i="18" a="1"/>
  <c r="B75" i="18" s="1"/>
  <c r="C75" i="18" a="1"/>
  <c r="C75" i="18" s="1"/>
  <c r="D75" i="18" a="1"/>
  <c r="D75" i="18"/>
  <c r="E75" i="18" a="1"/>
  <c r="E75" i="18" s="1"/>
  <c r="F75" i="18" a="1"/>
  <c r="F75" i="18" s="1"/>
  <c r="G75" i="18" a="1"/>
  <c r="G75" i="18" s="1"/>
  <c r="H75" i="18" a="1"/>
  <c r="H75" i="18" s="1"/>
  <c r="I75" i="18" a="1"/>
  <c r="I75" i="18" s="1"/>
  <c r="J75" i="18" a="1"/>
  <c r="J75" i="18" s="1"/>
  <c r="K75" i="18" a="1"/>
  <c r="K75" i="18" s="1"/>
  <c r="L75" i="18" a="1"/>
  <c r="L75" i="18" s="1"/>
  <c r="M75" i="18" a="1"/>
  <c r="M75" i="18" s="1"/>
  <c r="N75" i="18" a="1"/>
  <c r="N75" i="18" s="1"/>
  <c r="O75" i="18" a="1"/>
  <c r="O75" i="18" s="1"/>
  <c r="P75" i="18" a="1"/>
  <c r="P75" i="18" s="1"/>
  <c r="Q75" i="18" a="1"/>
  <c r="Q75" i="18" s="1"/>
  <c r="B76" i="18" a="1"/>
  <c r="B76" i="18" s="1"/>
  <c r="C76" i="18" a="1"/>
  <c r="C76" i="18" s="1"/>
  <c r="D76" i="18" a="1"/>
  <c r="D76" i="18" s="1"/>
  <c r="E76" i="18" a="1"/>
  <c r="E76" i="18" s="1"/>
  <c r="F76" i="18" a="1"/>
  <c r="F76" i="18"/>
  <c r="G76" i="18" a="1"/>
  <c r="G76" i="18" s="1"/>
  <c r="H76" i="18" a="1"/>
  <c r="H76" i="18" s="1"/>
  <c r="I76" i="18" a="1"/>
  <c r="I76" i="18" s="1"/>
  <c r="J76" i="18" a="1"/>
  <c r="J76" i="18" s="1"/>
  <c r="K76" i="18" a="1"/>
  <c r="K76" i="18" s="1"/>
  <c r="L76" i="18" a="1"/>
  <c r="L76" i="18"/>
  <c r="M76" i="18" a="1"/>
  <c r="M76" i="18" s="1"/>
  <c r="N76" i="18" a="1"/>
  <c r="N76" i="18" s="1"/>
  <c r="O76" i="18" a="1"/>
  <c r="O76" i="18"/>
  <c r="P76" i="18" a="1"/>
  <c r="P76" i="18" s="1"/>
  <c r="Q76" i="18" a="1"/>
  <c r="Q76" i="18" s="1"/>
  <c r="B77" i="18" a="1"/>
  <c r="B77" i="18" s="1"/>
  <c r="C77" i="18" a="1"/>
  <c r="C77" i="18" s="1"/>
  <c r="D77" i="18" a="1"/>
  <c r="D77" i="18" s="1"/>
  <c r="E77" i="18" a="1"/>
  <c r="E77" i="18" s="1"/>
  <c r="F77" i="18" a="1"/>
  <c r="F77" i="18" s="1"/>
  <c r="G77" i="18" a="1"/>
  <c r="G77" i="18"/>
  <c r="H77" i="18" a="1"/>
  <c r="H77" i="18" s="1"/>
  <c r="I77" i="18" a="1"/>
  <c r="I77" i="18" s="1"/>
  <c r="J77" i="18" a="1"/>
  <c r="J77" i="18" s="1"/>
  <c r="K77" i="18" a="1"/>
  <c r="K77" i="18" s="1"/>
  <c r="L77" i="18" a="1"/>
  <c r="L77" i="18" s="1"/>
  <c r="M77" i="18" a="1"/>
  <c r="M77" i="18" s="1"/>
  <c r="N77" i="18" a="1"/>
  <c r="N77" i="18" s="1"/>
  <c r="O77" i="18" a="1"/>
  <c r="O77" i="18" s="1"/>
  <c r="P77" i="18" a="1"/>
  <c r="P77" i="18" s="1"/>
  <c r="Q77" i="18" a="1"/>
  <c r="Q77" i="18" s="1"/>
  <c r="B78" i="18" a="1"/>
  <c r="B78" i="18" s="1"/>
  <c r="C78" i="18" a="1"/>
  <c r="C78" i="18" s="1"/>
  <c r="D78" i="18" a="1"/>
  <c r="D78" i="18"/>
  <c r="E78" i="18" a="1"/>
  <c r="E78" i="18" s="1"/>
  <c r="F78" i="18" a="1"/>
  <c r="F78" i="18" s="1"/>
  <c r="G78" i="18" a="1"/>
  <c r="G78" i="18" s="1"/>
  <c r="H78" i="18" a="1"/>
  <c r="H78" i="18" s="1"/>
  <c r="I78" i="18" a="1"/>
  <c r="I78" i="18" s="1"/>
  <c r="J78" i="18" a="1"/>
  <c r="J78" i="18" s="1"/>
  <c r="K78" i="18" a="1"/>
  <c r="K78" i="18" s="1"/>
  <c r="L78" i="18" a="1"/>
  <c r="L78" i="18" s="1"/>
  <c r="M78" i="18" a="1"/>
  <c r="M78" i="18" s="1"/>
  <c r="N78" i="18" a="1"/>
  <c r="N78" i="18" s="1"/>
  <c r="O78" i="18" a="1"/>
  <c r="O78" i="18"/>
  <c r="P78" i="18" a="1"/>
  <c r="P78" i="18" s="1"/>
  <c r="Q78" i="18" a="1"/>
  <c r="Q78" i="18" s="1"/>
  <c r="B79" i="18" a="1"/>
  <c r="B79" i="18" s="1"/>
  <c r="C79" i="18" a="1"/>
  <c r="C79" i="18" s="1"/>
  <c r="D79" i="18" a="1"/>
  <c r="D79" i="18" s="1"/>
  <c r="E79" i="18" a="1"/>
  <c r="E79" i="18" s="1"/>
  <c r="F79" i="18" a="1"/>
  <c r="F79" i="18"/>
  <c r="G79" i="18" a="1"/>
  <c r="G79" i="18" s="1"/>
  <c r="H79" i="18" a="1"/>
  <c r="H79" i="18" s="1"/>
  <c r="I79" i="18" a="1"/>
  <c r="I79" i="18" s="1"/>
  <c r="J79" i="18" a="1"/>
  <c r="J79" i="18" s="1"/>
  <c r="K79" i="18" a="1"/>
  <c r="K79" i="18" s="1"/>
  <c r="L79" i="18" a="1"/>
  <c r="L79" i="18" s="1"/>
  <c r="M79" i="18" a="1"/>
  <c r="M79" i="18" s="1"/>
  <c r="N79" i="18" a="1"/>
  <c r="N79" i="18" s="1"/>
  <c r="O79" i="18" a="1"/>
  <c r="O79" i="18" s="1"/>
  <c r="P79" i="18" a="1"/>
  <c r="P79" i="18" s="1"/>
  <c r="Q79" i="18" a="1"/>
  <c r="Q79" i="18" s="1"/>
  <c r="B80" i="18" a="1"/>
  <c r="B80" i="18" s="1"/>
  <c r="C80" i="18" a="1"/>
  <c r="C80" i="18" s="1"/>
  <c r="D80" i="18" a="1"/>
  <c r="D80" i="18" s="1"/>
  <c r="E80" i="18" a="1"/>
  <c r="E80" i="18" s="1"/>
  <c r="F80" i="18" a="1"/>
  <c r="F80" i="18" s="1"/>
  <c r="G80" i="18" a="1"/>
  <c r="G80" i="18" s="1"/>
  <c r="H80" i="18" a="1"/>
  <c r="H80" i="18" s="1"/>
  <c r="I80" i="18" a="1"/>
  <c r="I80" i="18" s="1"/>
  <c r="J80" i="18" a="1"/>
  <c r="J80" i="18" s="1"/>
  <c r="K80" i="18" a="1"/>
  <c r="K80" i="18" s="1"/>
  <c r="L80" i="18" a="1"/>
  <c r="L80" i="18" s="1"/>
  <c r="M80" i="18" a="1"/>
  <c r="M80" i="18" s="1"/>
  <c r="N80" i="18" a="1"/>
  <c r="N80" i="18" s="1"/>
  <c r="O80" i="18" a="1"/>
  <c r="O80" i="18" s="1"/>
  <c r="P80" i="18" a="1"/>
  <c r="P80" i="18" s="1"/>
  <c r="Q80" i="18" a="1"/>
  <c r="Q80" i="18" s="1"/>
  <c r="B81" i="18" a="1"/>
  <c r="B81" i="18" s="1"/>
  <c r="C81" i="18" a="1"/>
  <c r="C81" i="18" s="1"/>
  <c r="D81" i="18" a="1"/>
  <c r="D81" i="18" s="1"/>
  <c r="E81" i="18" a="1"/>
  <c r="E81" i="18" s="1"/>
  <c r="F81" i="18" a="1"/>
  <c r="F81" i="18" s="1"/>
  <c r="G81" i="18" a="1"/>
  <c r="G81" i="18"/>
  <c r="H81" i="18" a="1"/>
  <c r="H81" i="18" s="1"/>
  <c r="I81" i="18" a="1"/>
  <c r="I81" i="18" s="1"/>
  <c r="J81" i="18" a="1"/>
  <c r="J81" i="18" s="1"/>
  <c r="K81" i="18" a="1"/>
  <c r="K81" i="18" s="1"/>
  <c r="L81" i="18" a="1"/>
  <c r="L81" i="18" s="1"/>
  <c r="M81" i="18" a="1"/>
  <c r="M81" i="18" s="1"/>
  <c r="N81" i="18" a="1"/>
  <c r="N81" i="18" s="1"/>
  <c r="O81" i="18" a="1"/>
  <c r="O81" i="18"/>
  <c r="P81" i="18" a="1"/>
  <c r="P81" i="18" s="1"/>
  <c r="Q81" i="18" a="1"/>
  <c r="Q81" i="18" s="1"/>
  <c r="B82" i="18" a="1"/>
  <c r="B82" i="18" s="1"/>
  <c r="C82" i="18" a="1"/>
  <c r="C82" i="18" s="1"/>
  <c r="D82" i="18" a="1"/>
  <c r="D82" i="18" s="1"/>
  <c r="E82" i="18" a="1"/>
  <c r="E82" i="18" s="1"/>
  <c r="F82" i="18" a="1"/>
  <c r="F82" i="18" s="1"/>
  <c r="G82" i="18" a="1"/>
  <c r="G82" i="18" s="1"/>
  <c r="H82" i="18" a="1"/>
  <c r="H82" i="18" s="1"/>
  <c r="I82" i="18" a="1"/>
  <c r="I82" i="18" s="1"/>
  <c r="J82" i="18" a="1"/>
  <c r="J82" i="18" s="1"/>
  <c r="K82" i="18" a="1"/>
  <c r="K82" i="18" s="1"/>
  <c r="L82" i="18" a="1"/>
  <c r="L82" i="18"/>
  <c r="M82" i="18" a="1"/>
  <c r="M82" i="18" s="1"/>
  <c r="N82" i="18" a="1"/>
  <c r="N82" i="18" s="1"/>
  <c r="O82" i="18" a="1"/>
  <c r="O82" i="18" s="1"/>
  <c r="P82" i="18" a="1"/>
  <c r="P82" i="18" s="1"/>
  <c r="Q82" i="18" a="1"/>
  <c r="Q82" i="18" s="1"/>
  <c r="B83" i="18" a="1"/>
  <c r="B83" i="18" s="1"/>
  <c r="C83" i="18" a="1"/>
  <c r="C83" i="18" s="1"/>
  <c r="D83" i="18" a="1"/>
  <c r="D83" i="18" s="1"/>
  <c r="E83" i="18" a="1"/>
  <c r="E83" i="18" s="1"/>
  <c r="F83" i="18" a="1"/>
  <c r="F83" i="18" s="1"/>
  <c r="G83" i="18" a="1"/>
  <c r="G83" i="18" s="1"/>
  <c r="H83" i="18" a="1"/>
  <c r="H83" i="18" s="1"/>
  <c r="I83" i="18" a="1"/>
  <c r="I83" i="18" s="1"/>
  <c r="J83" i="18" a="1"/>
  <c r="J83" i="18" s="1"/>
  <c r="K83" i="18" a="1"/>
  <c r="K83" i="18" s="1"/>
  <c r="L83" i="18" a="1"/>
  <c r="L83" i="18" s="1"/>
  <c r="M83" i="18" a="1"/>
  <c r="M83" i="18" s="1"/>
  <c r="N83" i="18" a="1"/>
  <c r="N83" i="18"/>
  <c r="O83" i="18" a="1"/>
  <c r="O83" i="18" s="1"/>
  <c r="P83" i="18" a="1"/>
  <c r="P83" i="18" s="1"/>
  <c r="Q83" i="18" a="1"/>
  <c r="Q83" i="18" s="1"/>
  <c r="B84" i="18" a="1"/>
  <c r="B84" i="18" s="1"/>
  <c r="C84" i="18" a="1"/>
  <c r="C84" i="18" s="1"/>
  <c r="D84" i="18" a="1"/>
  <c r="D84" i="18" s="1"/>
  <c r="E84" i="18" a="1"/>
  <c r="E84" i="18" s="1"/>
  <c r="F84" i="18" a="1"/>
  <c r="F84" i="18" s="1"/>
  <c r="G84" i="18" a="1"/>
  <c r="G84" i="18"/>
  <c r="H84" i="18" a="1"/>
  <c r="H84" i="18" s="1"/>
  <c r="I84" i="18" a="1"/>
  <c r="I84" i="18"/>
  <c r="J84" i="18" a="1"/>
  <c r="J84" i="18" s="1"/>
  <c r="K84" i="18" a="1"/>
  <c r="K84" i="18" s="1"/>
  <c r="L84" i="18" a="1"/>
  <c r="L84" i="18" s="1"/>
  <c r="M84" i="18" a="1"/>
  <c r="M84" i="18" s="1"/>
  <c r="N84" i="18" a="1"/>
  <c r="N84" i="18" s="1"/>
  <c r="O84" i="18" a="1"/>
  <c r="O84" i="18" s="1"/>
  <c r="P84" i="18" a="1"/>
  <c r="P84" i="18"/>
  <c r="Q84" i="18" a="1"/>
  <c r="Q84" i="18" s="1"/>
  <c r="B85" i="18" a="1"/>
  <c r="B85" i="18"/>
  <c r="C85" i="18" a="1"/>
  <c r="C85" i="18" s="1"/>
  <c r="D85" i="18" a="1"/>
  <c r="D85" i="18" s="1"/>
  <c r="E85" i="18" a="1"/>
  <c r="E85" i="18" s="1"/>
  <c r="F85" i="18" a="1"/>
  <c r="F85" i="18" s="1"/>
  <c r="G85" i="18" a="1"/>
  <c r="G85" i="18" s="1"/>
  <c r="H85" i="18" a="1"/>
  <c r="H85" i="18" s="1"/>
  <c r="I85" i="18" a="1"/>
  <c r="I85" i="18"/>
  <c r="J85" i="18" a="1"/>
  <c r="J85" i="18" s="1"/>
  <c r="K85" i="18" a="1"/>
  <c r="K85" i="18"/>
  <c r="L85" i="18" a="1"/>
  <c r="L85" i="18" s="1"/>
  <c r="M85" i="18" a="1"/>
  <c r="M85" i="18" s="1"/>
  <c r="N85" i="18" a="1"/>
  <c r="N85" i="18" s="1"/>
  <c r="O85" i="18" a="1"/>
  <c r="O85" i="18" s="1"/>
  <c r="P85" i="18" a="1"/>
  <c r="P85" i="18" s="1"/>
  <c r="Q85" i="18" a="1"/>
  <c r="Q85" i="18" s="1"/>
  <c r="B86" i="18" a="1"/>
  <c r="B86" i="18"/>
  <c r="C86" i="18" a="1"/>
  <c r="C86" i="18"/>
  <c r="D86" i="18" a="1"/>
  <c r="D86" i="18" s="1"/>
  <c r="E86" i="18" a="1"/>
  <c r="E86" i="18"/>
  <c r="F86" i="18" a="1"/>
  <c r="F86" i="18" s="1"/>
  <c r="G86" i="18" a="1"/>
  <c r="G86" i="18"/>
  <c r="H86" i="18" a="1"/>
  <c r="H86" i="18"/>
  <c r="I86" i="18" a="1"/>
  <c r="I86" i="18"/>
  <c r="J86" i="18" a="1"/>
  <c r="J86" i="18" s="1"/>
  <c r="K86" i="18" a="1"/>
  <c r="K86" i="18"/>
  <c r="L86" i="18" a="1"/>
  <c r="L86" i="18" s="1"/>
  <c r="M86" i="18" a="1"/>
  <c r="M86" i="18" s="1"/>
  <c r="N86" i="18" a="1"/>
  <c r="N86" i="18"/>
  <c r="O86" i="18" a="1"/>
  <c r="O86" i="18" s="1"/>
  <c r="P86" i="18" a="1"/>
  <c r="P86" i="18" s="1"/>
  <c r="Q86" i="18" a="1"/>
  <c r="Q86" i="18"/>
  <c r="B87" i="18" a="1"/>
  <c r="B87" i="18" s="1"/>
  <c r="C87" i="18" a="1"/>
  <c r="C87" i="18" s="1"/>
  <c r="D87" i="18" a="1"/>
  <c r="D87" i="18"/>
  <c r="E87" i="18" a="1"/>
  <c r="E87" i="18"/>
  <c r="F87" i="18" a="1"/>
  <c r="F87" i="18" s="1"/>
  <c r="G87" i="18" a="1"/>
  <c r="G87" i="18"/>
  <c r="H87" i="18" a="1"/>
  <c r="H87" i="18" s="1"/>
  <c r="I87" i="18" a="1"/>
  <c r="I87" i="18"/>
  <c r="J87" i="18" a="1"/>
  <c r="J87" i="18"/>
  <c r="K87" i="18" a="1"/>
  <c r="K87" i="18" s="1"/>
  <c r="L87" i="18" a="1"/>
  <c r="L87" i="18" s="1"/>
  <c r="M87" i="18" a="1"/>
  <c r="M87" i="18"/>
  <c r="N87" i="18" a="1"/>
  <c r="N87" i="18" s="1"/>
  <c r="O87" i="18" a="1"/>
  <c r="O87" i="18"/>
  <c r="P87" i="18" a="1"/>
  <c r="P87" i="18"/>
  <c r="Q87" i="18" a="1"/>
  <c r="Q87" i="18" s="1"/>
  <c r="B88" i="18" a="1"/>
  <c r="B88" i="18" s="1"/>
  <c r="C88" i="18" a="1"/>
  <c r="C88" i="18" s="1"/>
  <c r="D88" i="18" a="1"/>
  <c r="D88" i="18" s="1"/>
  <c r="E88" i="18" a="1"/>
  <c r="E88" i="18" s="1"/>
  <c r="F88" i="18" a="1"/>
  <c r="F88" i="18"/>
  <c r="G88" i="18" a="1"/>
  <c r="G88" i="18"/>
  <c r="H88" i="18" a="1"/>
  <c r="H88" i="18" s="1"/>
  <c r="I88" i="18" a="1"/>
  <c r="I88" i="18"/>
  <c r="J88" i="18" a="1"/>
  <c r="J88" i="18" s="1"/>
  <c r="K88" i="18" a="1"/>
  <c r="K88" i="18"/>
  <c r="L88" i="18" a="1"/>
  <c r="L88" i="18"/>
  <c r="M88" i="18" a="1"/>
  <c r="M88" i="18"/>
  <c r="N88" i="18" a="1"/>
  <c r="N88" i="18" s="1"/>
  <c r="O88" i="18" a="1"/>
  <c r="O88" i="18" s="1"/>
  <c r="P88" i="18" a="1"/>
  <c r="P88" i="18" s="1"/>
  <c r="Q88" i="18" a="1"/>
  <c r="Q88" i="18" s="1"/>
  <c r="B89" i="18" a="1"/>
  <c r="B89" i="18"/>
  <c r="C89" i="18" a="1"/>
  <c r="C89" i="18" s="1"/>
  <c r="D89" i="18" a="1"/>
  <c r="D89" i="18" s="1"/>
  <c r="E89" i="18" a="1"/>
  <c r="E89" i="18" s="1"/>
  <c r="F89" i="18" a="1"/>
  <c r="F89" i="18" s="1"/>
  <c r="G89" i="18" a="1"/>
  <c r="G89" i="18" s="1"/>
  <c r="H89" i="18" a="1"/>
  <c r="H89" i="18" s="1"/>
  <c r="I89" i="18" a="1"/>
  <c r="I89" i="18"/>
  <c r="J89" i="18" a="1"/>
  <c r="J89" i="18" s="1"/>
  <c r="K89" i="18" a="1"/>
  <c r="K89" i="18"/>
  <c r="L89" i="18" a="1"/>
  <c r="L89" i="18" s="1"/>
  <c r="M89" i="18" a="1"/>
  <c r="M89" i="18"/>
  <c r="N89" i="18" a="1"/>
  <c r="N89" i="18" s="1"/>
  <c r="O89" i="18" a="1"/>
  <c r="O89" i="18" s="1"/>
  <c r="P89" i="18" a="1"/>
  <c r="P89" i="18" s="1"/>
  <c r="Q89" i="18" a="1"/>
  <c r="Q89" i="18"/>
  <c r="B90" i="18" a="1"/>
  <c r="B90" i="18" s="1"/>
  <c r="C90" i="18" a="1"/>
  <c r="C90" i="18"/>
  <c r="D90" i="18" a="1"/>
  <c r="D90" i="18"/>
  <c r="E90" i="18" a="1"/>
  <c r="E90" i="18" s="1"/>
  <c r="F90" i="18" a="1"/>
  <c r="F90" i="18" s="1"/>
  <c r="G90" i="18" a="1"/>
  <c r="G90" i="18" s="1"/>
  <c r="H90" i="18" a="1"/>
  <c r="H90" i="18" s="1"/>
  <c r="I90" i="18" a="1"/>
  <c r="I90" i="18" s="1"/>
  <c r="J90" i="18" a="1"/>
  <c r="J90" i="18"/>
  <c r="K90" i="18" a="1"/>
  <c r="K90" i="18"/>
  <c r="L90" i="18" a="1"/>
  <c r="L90" i="18" s="1"/>
  <c r="M90" i="18" a="1"/>
  <c r="M90" i="18"/>
  <c r="N90" i="18" a="1"/>
  <c r="N90" i="18" s="1"/>
  <c r="O90" i="18" a="1"/>
  <c r="O90" i="18"/>
  <c r="P90" i="18" a="1"/>
  <c r="P90" i="18" s="1"/>
  <c r="Q90" i="18" a="1"/>
  <c r="Q90" i="18"/>
  <c r="B91" i="18" a="1"/>
  <c r="B91" i="18" s="1"/>
  <c r="C91" i="18" a="1"/>
  <c r="C91" i="18" s="1"/>
  <c r="D91" i="18" a="1"/>
  <c r="D91" i="18" s="1"/>
  <c r="E91" i="18" a="1"/>
  <c r="E91" i="18" s="1"/>
  <c r="F91" i="18" a="1"/>
  <c r="F91" i="18"/>
  <c r="G91" i="18" a="1"/>
  <c r="G91" i="18" s="1"/>
  <c r="H91" i="18" a="1"/>
  <c r="H91" i="18" s="1"/>
  <c r="I91" i="18" a="1"/>
  <c r="I91" i="18" s="1"/>
  <c r="J91" i="18" a="1"/>
  <c r="J91" i="18" s="1"/>
  <c r="K91" i="18" a="1"/>
  <c r="K91" i="18" s="1"/>
  <c r="L91" i="18" a="1"/>
  <c r="L91" i="18" s="1"/>
  <c r="M91" i="18" a="1"/>
  <c r="M91" i="18"/>
  <c r="N91" i="18" a="1"/>
  <c r="N91" i="18" s="1"/>
  <c r="O91" i="18" a="1"/>
  <c r="O91" i="18"/>
  <c r="P91" i="18" a="1"/>
  <c r="P91" i="18" s="1"/>
  <c r="Q91" i="18" a="1"/>
  <c r="Q91" i="18"/>
  <c r="B92" i="18" a="1"/>
  <c r="B92" i="18" s="1"/>
  <c r="C92" i="18" a="1"/>
  <c r="C92" i="18" s="1"/>
  <c r="D92" i="18" a="1"/>
  <c r="D92" i="18" s="1"/>
  <c r="E92" i="18" a="1"/>
  <c r="E92" i="18"/>
  <c r="F92" i="18" a="1"/>
  <c r="F92" i="18" s="1"/>
  <c r="G92" i="18" a="1"/>
  <c r="G92" i="18"/>
  <c r="H92" i="18" a="1"/>
  <c r="H92" i="18"/>
  <c r="I92" i="18" a="1"/>
  <c r="I92" i="18" s="1"/>
  <c r="J92" i="18" a="1"/>
  <c r="J92" i="18" s="1"/>
  <c r="K92" i="18" a="1"/>
  <c r="K92" i="18" s="1"/>
  <c r="L92" i="18" a="1"/>
  <c r="L92" i="18" s="1"/>
  <c r="M92" i="18" a="1"/>
  <c r="M92" i="18" s="1"/>
  <c r="N92" i="18" a="1"/>
  <c r="N92" i="18"/>
  <c r="O92" i="18" a="1"/>
  <c r="O92" i="18"/>
  <c r="P92" i="18" a="1"/>
  <c r="P92" i="18" s="1"/>
  <c r="Q92" i="18" a="1"/>
  <c r="Q92" i="18"/>
  <c r="B93" i="18" a="1"/>
  <c r="B93" i="18" s="1"/>
  <c r="C93" i="18" a="1"/>
  <c r="C93" i="18"/>
  <c r="D93" i="18" a="1"/>
  <c r="D93" i="18" s="1"/>
  <c r="E93" i="18" a="1"/>
  <c r="E93" i="18"/>
  <c r="F93" i="18" a="1"/>
  <c r="F93" i="18" s="1"/>
  <c r="G93" i="18" a="1"/>
  <c r="G93" i="18"/>
  <c r="H93" i="18" a="1"/>
  <c r="H93" i="18" s="1"/>
  <c r="I93" i="18" a="1"/>
  <c r="I93" i="18" s="1"/>
  <c r="J93" i="18" a="1"/>
  <c r="J93" i="18"/>
  <c r="K93" i="18" a="1"/>
  <c r="K93" i="18" s="1"/>
  <c r="L93" i="18" a="1"/>
  <c r="L93" i="18" s="1"/>
  <c r="M93" i="18" a="1"/>
  <c r="M93" i="18" s="1"/>
  <c r="N93" i="18" a="1"/>
  <c r="N93" i="18" s="1"/>
  <c r="O93" i="18" a="1"/>
  <c r="O93" i="18" s="1"/>
  <c r="P93" i="18" a="1"/>
  <c r="P93" i="18" s="1"/>
  <c r="Q93" i="18" a="1"/>
  <c r="Q93" i="18"/>
  <c r="B94" i="18" a="1"/>
  <c r="B94" i="18" s="1"/>
  <c r="C94" i="18" a="1"/>
  <c r="C94" i="18"/>
  <c r="D94" i="18" a="1"/>
  <c r="D94" i="18" s="1"/>
  <c r="E94" i="18" a="1"/>
  <c r="E94" i="18"/>
  <c r="F94" i="18" a="1"/>
  <c r="F94" i="18" s="1"/>
  <c r="G94" i="18" a="1"/>
  <c r="G94" i="18" s="1"/>
  <c r="H94" i="18" a="1"/>
  <c r="H94" i="18" s="1"/>
  <c r="I94" i="18" a="1"/>
  <c r="I94" i="18"/>
  <c r="J94" i="18" a="1"/>
  <c r="J94" i="18" s="1"/>
  <c r="K94" i="18" a="1"/>
  <c r="K94" i="18"/>
  <c r="L94" i="18" a="1"/>
  <c r="L94" i="18"/>
  <c r="M94" i="18" a="1"/>
  <c r="M94" i="18" s="1"/>
  <c r="N94" i="18" a="1"/>
  <c r="N94" i="18" s="1"/>
  <c r="O94" i="18" a="1"/>
  <c r="O94" i="18" s="1"/>
  <c r="P94" i="18" a="1"/>
  <c r="P94" i="18" s="1"/>
  <c r="Q94" i="18" a="1"/>
  <c r="Q94" i="18" s="1"/>
  <c r="B95" i="18" a="1"/>
  <c r="B95" i="18"/>
  <c r="C95" i="18" a="1"/>
  <c r="C95" i="18"/>
  <c r="D95" i="18" a="1"/>
  <c r="D95" i="18" s="1"/>
  <c r="E95" i="18" a="1"/>
  <c r="E95" i="18"/>
  <c r="F95" i="18" a="1"/>
  <c r="F95" i="18" s="1"/>
  <c r="G95" i="18" a="1"/>
  <c r="G95" i="18"/>
  <c r="H95" i="18" a="1"/>
  <c r="H95" i="18" s="1"/>
  <c r="I95" i="18" a="1"/>
  <c r="I95" i="18"/>
  <c r="J95" i="18" a="1"/>
  <c r="J95" i="18" s="1"/>
  <c r="K95" i="18" a="1"/>
  <c r="K95" i="18"/>
  <c r="L95" i="18" a="1"/>
  <c r="L95" i="18" s="1"/>
  <c r="M95" i="18" a="1"/>
  <c r="M95" i="18" s="1"/>
  <c r="N95" i="18" a="1"/>
  <c r="N95" i="18"/>
  <c r="O95" i="18" a="1"/>
  <c r="O95" i="18" s="1"/>
  <c r="P95" i="18" a="1"/>
  <c r="P95" i="18" s="1"/>
  <c r="Q95" i="18" a="1"/>
  <c r="Q95" i="18" s="1"/>
  <c r="B96" i="18" a="1"/>
  <c r="B96" i="18" s="1"/>
  <c r="C96" i="18" a="1"/>
  <c r="C96" i="18" s="1"/>
  <c r="D96" i="18" a="1"/>
  <c r="D96" i="18" s="1"/>
  <c r="E96" i="18" a="1"/>
  <c r="E96" i="18"/>
  <c r="F96" i="18" a="1"/>
  <c r="F96" i="18" s="1"/>
  <c r="G96" i="18" a="1"/>
  <c r="G96" i="18"/>
  <c r="H96" i="18" a="1"/>
  <c r="H96" i="18" s="1"/>
  <c r="I96" i="18" a="1"/>
  <c r="I96" i="18"/>
  <c r="J96" i="18" a="1"/>
  <c r="J96" i="18" s="1"/>
  <c r="K96" i="18" a="1"/>
  <c r="K96" i="18" s="1"/>
  <c r="L96" i="18" a="1"/>
  <c r="L96" i="18" s="1"/>
  <c r="M96" i="18" a="1"/>
  <c r="M96" i="18"/>
  <c r="N96" i="18" a="1"/>
  <c r="N96" i="18" s="1"/>
  <c r="O96" i="18" a="1"/>
  <c r="O96" i="18"/>
  <c r="P96" i="18" a="1"/>
  <c r="P96" i="18"/>
  <c r="Q96" i="18" a="1"/>
  <c r="Q96" i="18" s="1"/>
  <c r="B97" i="18" a="1"/>
  <c r="B97" i="18" s="1"/>
  <c r="C97" i="18" a="1"/>
  <c r="C97" i="18" s="1"/>
  <c r="D97" i="18" a="1"/>
  <c r="D97" i="18" s="1"/>
  <c r="E97" i="18" a="1"/>
  <c r="E97" i="18" s="1"/>
  <c r="F97" i="18" a="1"/>
  <c r="F97" i="18"/>
  <c r="G97" i="18" a="1"/>
  <c r="G97" i="18"/>
  <c r="H97" i="18" a="1"/>
  <c r="H97" i="18" s="1"/>
  <c r="I97" i="18" a="1"/>
  <c r="I97" i="18"/>
  <c r="J97" i="18" a="1"/>
  <c r="J97" i="18" s="1"/>
  <c r="K97" i="18" a="1"/>
  <c r="K97" i="18"/>
  <c r="L97" i="18" a="1"/>
  <c r="L97" i="18" s="1"/>
  <c r="M97" i="18" a="1"/>
  <c r="M97" i="18"/>
  <c r="N97" i="18" a="1"/>
  <c r="N97" i="18" s="1"/>
  <c r="O97" i="18" a="1"/>
  <c r="O97" i="18" s="1"/>
  <c r="P97" i="18" a="1"/>
  <c r="P97" i="18" s="1"/>
  <c r="Q97" i="18" a="1"/>
  <c r="Q97" i="18" s="1"/>
  <c r="B98" i="18" a="1"/>
  <c r="B98" i="18"/>
  <c r="C98" i="18" a="1"/>
  <c r="C98" i="18" s="1"/>
  <c r="D98" i="18" a="1"/>
  <c r="D98" i="18" s="1"/>
  <c r="E98" i="18" a="1"/>
  <c r="E98" i="18" s="1"/>
  <c r="F98" i="18" a="1"/>
  <c r="F98" i="18" s="1"/>
  <c r="G98" i="18" a="1"/>
  <c r="G98" i="18" s="1"/>
  <c r="H98" i="18" a="1"/>
  <c r="H98" i="18" s="1"/>
  <c r="I98" i="18" a="1"/>
  <c r="I98" i="18"/>
  <c r="J98" i="18" a="1"/>
  <c r="J98" i="18" s="1"/>
  <c r="K98" i="18" a="1"/>
  <c r="K98" i="18"/>
  <c r="L98" i="18" a="1"/>
  <c r="L98" i="18" s="1"/>
  <c r="M98" i="18" a="1"/>
  <c r="M98" i="18"/>
  <c r="N98" i="18" a="1"/>
  <c r="N98" i="18" s="1"/>
  <c r="O98" i="18" a="1"/>
  <c r="O98" i="18" s="1"/>
  <c r="P98" i="18" a="1"/>
  <c r="P98" i="18" s="1"/>
  <c r="Q98" i="18" a="1"/>
  <c r="Q98" i="18"/>
  <c r="B99" i="18" a="1"/>
  <c r="B99" i="18" s="1"/>
  <c r="C99" i="18" a="1"/>
  <c r="C99" i="18"/>
  <c r="D99" i="18" a="1"/>
  <c r="D99" i="18"/>
  <c r="E99" i="18" a="1"/>
  <c r="E99" i="18" s="1"/>
  <c r="F99" i="18" a="1"/>
  <c r="F99" i="18" s="1"/>
  <c r="G99" i="18" a="1"/>
  <c r="G99" i="18" s="1"/>
  <c r="H99" i="18" a="1"/>
  <c r="H99" i="18" s="1"/>
  <c r="I99" i="18" a="1"/>
  <c r="I99" i="18" s="1"/>
  <c r="J99" i="18" a="1"/>
  <c r="J99" i="18"/>
  <c r="K99" i="18" a="1"/>
  <c r="K99" i="18"/>
  <c r="L99" i="18" a="1"/>
  <c r="L99" i="18" s="1"/>
  <c r="M99" i="18" a="1"/>
  <c r="M99" i="18"/>
  <c r="N99" i="18" a="1"/>
  <c r="N99" i="18" s="1"/>
  <c r="O99" i="18" a="1"/>
  <c r="O99" i="18"/>
  <c r="P99" i="18" a="1"/>
  <c r="P99" i="18" s="1"/>
  <c r="Q99" i="18" a="1"/>
  <c r="Q99" i="18"/>
  <c r="B100" i="18" a="1"/>
  <c r="B100" i="18" s="1"/>
  <c r="C100" i="18" a="1"/>
  <c r="C100" i="18"/>
  <c r="D100" i="18" a="1"/>
  <c r="D100" i="18" s="1"/>
  <c r="E100" i="18" a="1"/>
  <c r="E100" i="18" s="1"/>
  <c r="F100" i="18" a="1"/>
  <c r="F100" i="18"/>
  <c r="G100" i="18" a="1"/>
  <c r="G100" i="18" s="1"/>
  <c r="H100" i="18" a="1"/>
  <c r="H100" i="18" s="1"/>
  <c r="I100" i="18" a="1"/>
  <c r="I100" i="18" s="1"/>
  <c r="J100" i="18" a="1"/>
  <c r="J100" i="18" s="1"/>
  <c r="K100" i="18" a="1"/>
  <c r="K100" i="18" s="1"/>
  <c r="L100" i="18" a="1"/>
  <c r="L100" i="18" s="1"/>
  <c r="M100" i="18" a="1"/>
  <c r="M100" i="18"/>
  <c r="N100" i="18" a="1"/>
  <c r="N100" i="18" s="1"/>
  <c r="O100" i="18" a="1"/>
  <c r="O100" i="18"/>
  <c r="P100" i="18" a="1"/>
  <c r="P100" i="18" s="1"/>
  <c r="Q100" i="18" a="1"/>
  <c r="Q100" i="18"/>
  <c r="B101" i="18" a="1"/>
  <c r="B101" i="18" s="1"/>
  <c r="C101" i="18" a="1"/>
  <c r="C101" i="18" s="1"/>
  <c r="D101" i="18" a="1"/>
  <c r="D101" i="18" s="1"/>
  <c r="E101" i="18" a="1"/>
  <c r="E101" i="18"/>
  <c r="F101" i="18" a="1"/>
  <c r="F101" i="18" s="1"/>
  <c r="G101" i="18" a="1"/>
  <c r="G101" i="18"/>
  <c r="H101" i="18" a="1"/>
  <c r="H101" i="18"/>
  <c r="I101" i="18" a="1"/>
  <c r="I101" i="18" s="1"/>
  <c r="J101" i="18" a="1"/>
  <c r="J101" i="18" s="1"/>
  <c r="K101" i="18" a="1"/>
  <c r="K101" i="18" s="1"/>
  <c r="L101" i="18" a="1"/>
  <c r="L101" i="18" s="1"/>
  <c r="M101" i="18" a="1"/>
  <c r="M101" i="18" s="1"/>
  <c r="N101" i="18" a="1"/>
  <c r="N101" i="18"/>
  <c r="O101" i="18" a="1"/>
  <c r="O101" i="18"/>
  <c r="P101" i="18" a="1"/>
  <c r="P101" i="18" s="1"/>
  <c r="Q101" i="18" a="1"/>
  <c r="Q101" i="18"/>
  <c r="B102" i="18" a="1"/>
  <c r="B102" i="18" s="1"/>
  <c r="C102" i="18" a="1"/>
  <c r="C102" i="18"/>
  <c r="D102" i="18" a="1"/>
  <c r="D102" i="18" s="1"/>
  <c r="E102" i="18" a="1"/>
  <c r="E102" i="18"/>
  <c r="F102" i="18" a="1"/>
  <c r="F102" i="18" s="1"/>
  <c r="G102" i="18" a="1"/>
  <c r="G102" i="18"/>
  <c r="H102" i="18" a="1"/>
  <c r="H102" i="18" s="1"/>
  <c r="I102" i="18" a="1"/>
  <c r="I102" i="18" s="1"/>
  <c r="J102" i="18" a="1"/>
  <c r="J102" i="18"/>
  <c r="K102" i="18" a="1"/>
  <c r="K102" i="18" s="1"/>
  <c r="L102" i="18" a="1"/>
  <c r="L102" i="18" s="1"/>
  <c r="M102" i="18" a="1"/>
  <c r="M102" i="18" s="1"/>
  <c r="N102" i="18" a="1"/>
  <c r="N102" i="18" s="1"/>
  <c r="O102" i="18" a="1"/>
  <c r="O102" i="18" s="1"/>
  <c r="P102" i="18" a="1"/>
  <c r="P102" i="18" s="1"/>
  <c r="Q102" i="18" a="1"/>
  <c r="Q102" i="18"/>
  <c r="B103" i="18" a="1"/>
  <c r="B103" i="18" s="1"/>
  <c r="C103" i="18" a="1"/>
  <c r="C103" i="18"/>
  <c r="D103" i="18" a="1"/>
  <c r="D103" i="18" s="1"/>
  <c r="E103" i="18" a="1"/>
  <c r="E103" i="18"/>
  <c r="F103" i="18" a="1"/>
  <c r="F103" i="18" s="1"/>
  <c r="G103" i="18" a="1"/>
  <c r="G103" i="18" s="1"/>
  <c r="H103" i="18" a="1"/>
  <c r="H103" i="18" s="1"/>
  <c r="I103" i="18" a="1"/>
  <c r="I103" i="18"/>
  <c r="J103" i="18" a="1"/>
  <c r="J103" i="18" s="1"/>
  <c r="K103" i="18" a="1"/>
  <c r="K103" i="18"/>
  <c r="L103" i="18" a="1"/>
  <c r="L103" i="18"/>
  <c r="M103" i="18" a="1"/>
  <c r="M103" i="18" s="1"/>
  <c r="N103" i="18" a="1"/>
  <c r="N103" i="18" s="1"/>
  <c r="O103" i="18" a="1"/>
  <c r="O103" i="18"/>
  <c r="P103" i="18" a="1"/>
  <c r="P103" i="18" s="1"/>
  <c r="Q103" i="18" a="1"/>
  <c r="Q103" i="18" s="1"/>
  <c r="B104" i="18" a="1"/>
  <c r="B104" i="18"/>
  <c r="C104" i="18" a="1"/>
  <c r="C104" i="18"/>
  <c r="D104" i="18" a="1"/>
  <c r="D104" i="18" s="1"/>
  <c r="E104" i="18" a="1"/>
  <c r="E104" i="18"/>
  <c r="F104" i="18" a="1"/>
  <c r="F104" i="18" s="1"/>
  <c r="G104" i="18" a="1"/>
  <c r="G104" i="18"/>
  <c r="H104" i="18" a="1"/>
  <c r="H104" i="18" s="1"/>
  <c r="I104" i="18" a="1"/>
  <c r="I104" i="18"/>
  <c r="J104" i="18" a="1"/>
  <c r="J104" i="18" s="1"/>
  <c r="K104" i="18" a="1"/>
  <c r="K104" i="18"/>
  <c r="L104" i="18" a="1"/>
  <c r="L104" i="18" s="1"/>
  <c r="M104" i="18" a="1"/>
  <c r="M104" i="18" s="1"/>
  <c r="N104" i="18" a="1"/>
  <c r="N104" i="18"/>
  <c r="O104" i="18" a="1"/>
  <c r="O104" i="18" s="1"/>
  <c r="P104" i="18" a="1"/>
  <c r="P104" i="18" s="1"/>
  <c r="Q104" i="18" a="1"/>
  <c r="Q104" i="18" s="1"/>
  <c r="B105" i="18" a="1"/>
  <c r="B105" i="18" s="1"/>
  <c r="C105" i="18" a="1"/>
  <c r="C105" i="18" s="1"/>
  <c r="D105" i="18" a="1"/>
  <c r="D105" i="18" s="1"/>
  <c r="E105" i="18" a="1"/>
  <c r="E105" i="18"/>
  <c r="F105" i="18" a="1"/>
  <c r="F105" i="18" s="1"/>
  <c r="G105" i="18" a="1"/>
  <c r="G105" i="18"/>
  <c r="H105" i="18" a="1"/>
  <c r="H105" i="18" s="1"/>
  <c r="I105" i="18" a="1"/>
  <c r="I105" i="18"/>
  <c r="J105" i="18" a="1"/>
  <c r="J105" i="18" s="1"/>
  <c r="K105" i="18" a="1"/>
  <c r="K105" i="18" s="1"/>
  <c r="L105" i="18" a="1"/>
  <c r="L105" i="18" s="1"/>
  <c r="M105" i="18" a="1"/>
  <c r="M105" i="18"/>
  <c r="N105" i="18" a="1"/>
  <c r="N105" i="18" s="1"/>
  <c r="O105" i="18" a="1"/>
  <c r="O105" i="18"/>
  <c r="P105" i="18" a="1"/>
  <c r="P105" i="18"/>
  <c r="Q105" i="18" a="1"/>
  <c r="Q105" i="18" s="1"/>
  <c r="B106" i="18" a="1"/>
  <c r="B106" i="18" s="1"/>
  <c r="C106" i="18" a="1"/>
  <c r="C106" i="18"/>
  <c r="D106" i="18" a="1"/>
  <c r="D106" i="18" s="1"/>
  <c r="E106" i="18" a="1"/>
  <c r="E106" i="18" s="1"/>
  <c r="F106" i="18" a="1"/>
  <c r="F106" i="18"/>
  <c r="G106" i="18" a="1"/>
  <c r="G106" i="18"/>
  <c r="H106" i="18" a="1"/>
  <c r="H106" i="18" s="1"/>
  <c r="I106" i="18" a="1"/>
  <c r="I106" i="18"/>
  <c r="J106" i="18" a="1"/>
  <c r="J106" i="18" s="1"/>
  <c r="K106" i="18" a="1"/>
  <c r="K106" i="18"/>
  <c r="L106" i="18" a="1"/>
  <c r="L106" i="18" s="1"/>
  <c r="M106" i="18" a="1"/>
  <c r="M106" i="18"/>
  <c r="N106" i="18" a="1"/>
  <c r="N106" i="18" s="1"/>
  <c r="O106" i="18" a="1"/>
  <c r="O106" i="18"/>
  <c r="P106" i="18" a="1"/>
  <c r="P106" i="18" s="1"/>
  <c r="Q106" i="18" a="1"/>
  <c r="Q106" i="18" s="1"/>
  <c r="B107" i="18" a="1"/>
  <c r="B107" i="18"/>
  <c r="C107" i="18" a="1"/>
  <c r="C107" i="18" s="1"/>
  <c r="D107" i="18" a="1"/>
  <c r="D107" i="18" s="1"/>
  <c r="E107" i="18" a="1"/>
  <c r="E107" i="18" s="1"/>
  <c r="F107" i="18" a="1"/>
  <c r="F107" i="18" s="1"/>
  <c r="G107" i="18" a="1"/>
  <c r="G107" i="18" s="1"/>
  <c r="H107" i="18" a="1"/>
  <c r="H107" i="18" s="1"/>
  <c r="I107" i="18" a="1"/>
  <c r="I107" i="18"/>
  <c r="J107" i="18" a="1"/>
  <c r="J107" i="18" s="1"/>
  <c r="K107" i="18" a="1"/>
  <c r="K107" i="18"/>
  <c r="L107" i="18" a="1"/>
  <c r="L107" i="18" s="1"/>
  <c r="M107" i="18" a="1"/>
  <c r="M107" i="18"/>
  <c r="N107" i="18" a="1"/>
  <c r="N107" i="18" s="1"/>
  <c r="O107" i="18" a="1"/>
  <c r="O107" i="18" s="1"/>
  <c r="P107" i="18" a="1"/>
  <c r="P107" i="18" s="1"/>
  <c r="Q107" i="18" a="1"/>
  <c r="Q107" i="18"/>
  <c r="B108" i="18" a="1"/>
  <c r="B108" i="18" s="1"/>
  <c r="C108" i="18" a="1"/>
  <c r="C108" i="18"/>
  <c r="D108" i="18" a="1"/>
  <c r="D108" i="18"/>
  <c r="E108" i="18" a="1"/>
  <c r="E108" i="18" s="1"/>
  <c r="F108" i="18" a="1"/>
  <c r="F108" i="18" s="1"/>
  <c r="G108" i="18" a="1"/>
  <c r="G108" i="18"/>
  <c r="H108" i="18" a="1"/>
  <c r="H108" i="18" s="1"/>
  <c r="I108" i="18" a="1"/>
  <c r="I108" i="18" s="1"/>
  <c r="J108" i="18" a="1"/>
  <c r="J108" i="18"/>
  <c r="K108" i="18" a="1"/>
  <c r="K108" i="18"/>
  <c r="L108" i="18" a="1"/>
  <c r="L108" i="18" s="1"/>
  <c r="M108" i="18" a="1"/>
  <c r="M108" i="18"/>
  <c r="N108" i="18" a="1"/>
  <c r="N108" i="18" s="1"/>
  <c r="O108" i="18" a="1"/>
  <c r="O108" i="18"/>
  <c r="P108" i="18" a="1"/>
  <c r="P108" i="18" s="1"/>
  <c r="Q108" i="18" a="1"/>
  <c r="Q108" i="18"/>
  <c r="B109" i="18" a="1"/>
  <c r="B109" i="18" s="1"/>
  <c r="C109" i="18" a="1"/>
  <c r="C109" i="18" s="1"/>
  <c r="D109" i="18" a="1"/>
  <c r="D109" i="18" s="1"/>
  <c r="E109" i="18" a="1"/>
  <c r="E109" i="18" s="1"/>
  <c r="F109" i="18" a="1"/>
  <c r="F109" i="18"/>
  <c r="G109" i="18" a="1"/>
  <c r="G109" i="18" s="1"/>
  <c r="H109" i="18" a="1"/>
  <c r="H109" i="18" s="1"/>
  <c r="I109" i="18" a="1"/>
  <c r="I109" i="18" s="1"/>
  <c r="J109" i="18" a="1"/>
  <c r="J109" i="18" s="1"/>
  <c r="K109" i="18" a="1"/>
  <c r="K109" i="18" s="1"/>
  <c r="L109" i="18" a="1"/>
  <c r="L109" i="18" s="1"/>
  <c r="M109" i="18" a="1"/>
  <c r="M109" i="18"/>
  <c r="N109" i="18" a="1"/>
  <c r="N109" i="18" s="1"/>
  <c r="O109" i="18" a="1"/>
  <c r="O109" i="18"/>
  <c r="P109" i="18" a="1"/>
  <c r="P109" i="18" s="1"/>
  <c r="Q109" i="18" a="1"/>
  <c r="Q109" i="18"/>
  <c r="B110" i="18" a="1"/>
  <c r="B110" i="18" s="1"/>
  <c r="C110" i="18" a="1"/>
  <c r="C110" i="18" s="1"/>
  <c r="D110" i="18" a="1"/>
  <c r="D110" i="18" s="1"/>
  <c r="E110" i="18" a="1"/>
  <c r="E110" i="18"/>
  <c r="F110" i="18" a="1"/>
  <c r="F110" i="18" s="1"/>
  <c r="G110" i="18" a="1"/>
  <c r="G110" i="18" s="1"/>
  <c r="H110" i="18" a="1"/>
  <c r="H110" i="18"/>
  <c r="I110" i="18" a="1"/>
  <c r="I110" i="18" s="1"/>
  <c r="J110" i="18" a="1"/>
  <c r="J110" i="18" s="1"/>
  <c r="K110" i="18" a="1"/>
  <c r="K110" i="18"/>
  <c r="L110" i="18" a="1"/>
  <c r="L110" i="18" s="1"/>
  <c r="M110" i="18" a="1"/>
  <c r="M110" i="18" s="1"/>
  <c r="N110" i="18" a="1"/>
  <c r="N110" i="18" s="1"/>
  <c r="O110" i="18" a="1"/>
  <c r="O110" i="18"/>
  <c r="P110" i="18" a="1"/>
  <c r="P110" i="18" s="1"/>
  <c r="Q110" i="18" a="1"/>
  <c r="Q110" i="18"/>
  <c r="B111" i="18" a="1"/>
  <c r="B111" i="18" s="1"/>
  <c r="C111" i="18" a="1"/>
  <c r="C111" i="18"/>
  <c r="D111" i="18" a="1"/>
  <c r="D111" i="18" s="1"/>
  <c r="E111" i="18" a="1"/>
  <c r="E111" i="18"/>
  <c r="F111" i="18" a="1"/>
  <c r="F111" i="18"/>
  <c r="G111" i="18" a="1"/>
  <c r="G111" i="18" s="1"/>
  <c r="H111" i="18" a="1"/>
  <c r="H111" i="18" s="1"/>
  <c r="I111" i="18" a="1"/>
  <c r="I111" i="18"/>
  <c r="J111" i="18" a="1"/>
  <c r="J111" i="18"/>
  <c r="K111" i="18" a="1"/>
  <c r="K111" i="18"/>
  <c r="L111" i="18" a="1"/>
  <c r="L111" i="18" s="1"/>
  <c r="M111" i="18" a="1"/>
  <c r="M111" i="18" s="1"/>
  <c r="N111" i="18" a="1"/>
  <c r="N111" i="18" s="1"/>
  <c r="O111" i="18" a="1"/>
  <c r="O111" i="18" s="1"/>
  <c r="P111" i="18" a="1"/>
  <c r="P111" i="18"/>
  <c r="Q111" i="18" a="1"/>
  <c r="Q111" i="18" s="1"/>
  <c r="B112" i="18" a="1"/>
  <c r="B112" i="18"/>
  <c r="C112" i="18" a="1"/>
  <c r="C112" i="18"/>
  <c r="D112" i="18" a="1"/>
  <c r="D112" i="18" s="1"/>
  <c r="E112" i="18" a="1"/>
  <c r="E112" i="18"/>
  <c r="F112" i="18" a="1"/>
  <c r="F112" i="18"/>
  <c r="G112" i="18" a="1"/>
  <c r="G112" i="18"/>
  <c r="H112" i="18" a="1"/>
  <c r="H112" i="18"/>
  <c r="I112" i="18" a="1"/>
  <c r="I112" i="18" s="1"/>
  <c r="J112" i="18" a="1"/>
  <c r="J112" i="18" s="1"/>
  <c r="K112" i="18" a="1"/>
  <c r="K112" i="18" s="1"/>
  <c r="L112" i="18" a="1"/>
  <c r="L112" i="18" s="1"/>
  <c r="M112" i="18" a="1"/>
  <c r="M112" i="18"/>
  <c r="N112" i="18" a="1"/>
  <c r="N112" i="18" s="1"/>
  <c r="O112" i="18" a="1"/>
  <c r="O112" i="18"/>
  <c r="P112" i="18" a="1"/>
  <c r="P112" i="18" s="1"/>
  <c r="Q112" i="18" a="1"/>
  <c r="Q112" i="18"/>
  <c r="B113" i="18" a="1"/>
  <c r="B113" i="18"/>
  <c r="C113" i="18" a="1"/>
  <c r="C113" i="18"/>
  <c r="D113" i="18" a="1"/>
  <c r="D113" i="18"/>
  <c r="E113" i="18" a="1"/>
  <c r="E113" i="18"/>
  <c r="F113" i="18" a="1"/>
  <c r="F113" i="18" s="1"/>
  <c r="G113" i="18" a="1"/>
  <c r="G113" i="18"/>
  <c r="H113" i="18" a="1"/>
  <c r="H113" i="18" s="1"/>
  <c r="I113" i="18" a="1"/>
  <c r="I113" i="18" s="1"/>
  <c r="J113" i="18" a="1"/>
  <c r="J113" i="18"/>
  <c r="K113" i="18" a="1"/>
  <c r="K113" i="18" s="1"/>
  <c r="L113" i="18" a="1"/>
  <c r="L113" i="18" s="1"/>
  <c r="M113" i="18" a="1"/>
  <c r="M113" i="18" s="1"/>
  <c r="N113" i="18" a="1"/>
  <c r="N113" i="18"/>
  <c r="O113" i="18" a="1"/>
  <c r="O113" i="18"/>
  <c r="P113" i="18" a="1"/>
  <c r="P113" i="18"/>
  <c r="Q113" i="18" a="1"/>
  <c r="Q113" i="18"/>
  <c r="B114" i="18" a="1"/>
  <c r="B114" i="18" s="1"/>
  <c r="C114" i="18" a="1"/>
  <c r="C114" i="18" s="1"/>
  <c r="D114" i="18" a="1"/>
  <c r="D114" i="18" s="1"/>
  <c r="E114" i="18" a="1"/>
  <c r="E114" i="18" s="1"/>
  <c r="F114" i="18" a="1"/>
  <c r="F114" i="18" s="1"/>
  <c r="G114" i="18" a="1"/>
  <c r="G114" i="18"/>
  <c r="H114" i="18" a="1"/>
  <c r="H114" i="18" s="1"/>
  <c r="I114" i="18" a="1"/>
  <c r="I114" i="18"/>
  <c r="J114" i="18" a="1"/>
  <c r="J114" i="18"/>
  <c r="K114" i="18" a="1"/>
  <c r="K114" i="18" s="1"/>
  <c r="L114" i="18" a="1"/>
  <c r="L114" i="18"/>
  <c r="M114" i="18" a="1"/>
  <c r="M114" i="18"/>
  <c r="N114" i="18" a="1"/>
  <c r="N114" i="18" s="1"/>
  <c r="O114" i="18" a="1"/>
  <c r="O114" i="18" s="1"/>
  <c r="P114" i="18" a="1"/>
  <c r="P114" i="18"/>
  <c r="Q114" i="18" a="1"/>
  <c r="Q114" i="18" s="1"/>
  <c r="B115" i="18" a="1"/>
  <c r="B115" i="18" s="1"/>
  <c r="C115" i="18" a="1"/>
  <c r="C115" i="18" s="1"/>
  <c r="D115" i="18" a="1"/>
  <c r="D115" i="18" s="1"/>
  <c r="E115" i="18" a="1"/>
  <c r="E115" i="18"/>
  <c r="F115" i="18" a="1"/>
  <c r="F115" i="18"/>
  <c r="G115" i="18" a="1"/>
  <c r="G115" i="18" s="1"/>
  <c r="H115" i="18" a="1"/>
  <c r="H115" i="18"/>
  <c r="I115" i="18" a="1"/>
  <c r="I115" i="18"/>
  <c r="J115" i="18" a="1"/>
  <c r="J115" i="18" s="1"/>
  <c r="K115" i="18" a="1"/>
  <c r="K115" i="18"/>
  <c r="L115" i="18" a="1"/>
  <c r="L115" i="18" s="1"/>
  <c r="M115" i="18" a="1"/>
  <c r="M115" i="18"/>
  <c r="N115" i="18" a="1"/>
  <c r="N115" i="18" s="1"/>
  <c r="O115" i="18" a="1"/>
  <c r="O115" i="18" s="1"/>
  <c r="P115" i="18" a="1"/>
  <c r="P115" i="18" s="1"/>
  <c r="Q115" i="18" a="1"/>
  <c r="Q115" i="18"/>
  <c r="B116" i="18" a="1"/>
  <c r="B116" i="18"/>
  <c r="C116" i="18" a="1"/>
  <c r="C116" i="18"/>
  <c r="D116" i="18" a="1"/>
  <c r="D116" i="18"/>
  <c r="E116" i="18" a="1"/>
  <c r="E116" i="18" s="1"/>
  <c r="F116" i="18" a="1"/>
  <c r="F116" i="18" s="1"/>
  <c r="G116" i="18" a="1"/>
  <c r="G116" i="18" s="1"/>
  <c r="H116" i="18" a="1"/>
  <c r="H116" i="18"/>
  <c r="I116" i="18" a="1"/>
  <c r="I116" i="18" s="1"/>
  <c r="J116" i="18" a="1"/>
  <c r="J116" i="18"/>
  <c r="K116" i="18" a="1"/>
  <c r="K116" i="18"/>
  <c r="L116" i="18" a="1"/>
  <c r="L116" i="18" s="1"/>
  <c r="M116" i="18" a="1"/>
  <c r="M116" i="18"/>
  <c r="N116" i="18" a="1"/>
  <c r="N116" i="18" s="1"/>
  <c r="O116" i="18" a="1"/>
  <c r="O116" i="18"/>
  <c r="P116" i="18" a="1"/>
  <c r="P116" i="18"/>
  <c r="Q116" i="18" a="1"/>
  <c r="Q116" i="18"/>
  <c r="B117" i="18" a="1"/>
  <c r="B117" i="18" s="1"/>
  <c r="C117" i="18" a="1"/>
  <c r="C117" i="18" s="1"/>
  <c r="D117" i="18" a="1"/>
  <c r="D117" i="18" s="1"/>
  <c r="E117" i="18" a="1"/>
  <c r="E117" i="18"/>
  <c r="F117" i="18" a="1"/>
  <c r="F117" i="18" s="1"/>
  <c r="G117" i="18" a="1"/>
  <c r="G117" i="18"/>
  <c r="H117" i="18" a="1"/>
  <c r="H117" i="18" s="1"/>
  <c r="I117" i="18" a="1"/>
  <c r="I117" i="18" s="1"/>
  <c r="J117" i="18" a="1"/>
  <c r="J117" i="18"/>
  <c r="K117" i="18" a="1"/>
  <c r="K117" i="18" s="1"/>
  <c r="L117" i="18" a="1"/>
  <c r="L117" i="18"/>
  <c r="M117" i="18" a="1"/>
  <c r="M117" i="18"/>
  <c r="N117" i="18" a="1"/>
  <c r="N117" i="18" s="1"/>
  <c r="O117" i="18" a="1"/>
  <c r="O117" i="18" s="1"/>
  <c r="P117" i="18" a="1"/>
  <c r="P117" i="18" s="1"/>
  <c r="Q117" i="18" a="1"/>
  <c r="Q117" i="18" s="1"/>
  <c r="B118" i="18" a="1"/>
  <c r="B118" i="18"/>
  <c r="C118" i="18" a="1"/>
  <c r="C118" i="18" s="1"/>
  <c r="D118" i="18" a="1"/>
  <c r="D118" i="18" s="1"/>
  <c r="E118" i="18" a="1"/>
  <c r="E118" i="18" s="1"/>
  <c r="F118" i="18" a="1"/>
  <c r="F118" i="18"/>
  <c r="G118" i="18" a="1"/>
  <c r="G118" i="18"/>
  <c r="H118" i="18" a="1"/>
  <c r="H118" i="18" s="1"/>
  <c r="I118" i="18" a="1"/>
  <c r="I118" i="18"/>
  <c r="J118" i="18" a="1"/>
  <c r="J118" i="18" s="1"/>
  <c r="K118" i="18" a="1"/>
  <c r="K118" i="18"/>
  <c r="L118" i="18" a="1"/>
  <c r="L118" i="18" s="1"/>
  <c r="M118" i="18" a="1"/>
  <c r="M118" i="18" s="1"/>
  <c r="N118" i="18" a="1"/>
  <c r="N118" i="18" s="1"/>
  <c r="O118" i="18" a="1"/>
  <c r="O118" i="18"/>
  <c r="P118" i="18" a="1"/>
  <c r="P118" i="18" s="1"/>
  <c r="Q118" i="18" a="1"/>
  <c r="Q118" i="18"/>
  <c r="B119" i="18" a="1"/>
  <c r="B119" i="18"/>
  <c r="C119" i="18" a="1"/>
  <c r="C119" i="18"/>
  <c r="D119" i="18" a="1"/>
  <c r="D119" i="18"/>
  <c r="E119" i="18" a="1"/>
  <c r="E119" i="18" s="1"/>
  <c r="F119" i="18" a="1"/>
  <c r="F119" i="18" s="1"/>
  <c r="G119" i="18" a="1"/>
  <c r="G119" i="18" s="1"/>
  <c r="H119" i="18" a="1"/>
  <c r="H119" i="18" s="1"/>
  <c r="I119" i="18" a="1"/>
  <c r="I119" i="18" s="1"/>
  <c r="J119" i="18" a="1"/>
  <c r="J119" i="18" s="1"/>
  <c r="K119" i="18" a="1"/>
  <c r="K119" i="18" s="1"/>
  <c r="L119" i="18" a="1"/>
  <c r="L119" i="18" s="1"/>
  <c r="M119" i="18" a="1"/>
  <c r="M119" i="18"/>
  <c r="N119" i="18" a="1"/>
  <c r="N119" i="18"/>
  <c r="O119" i="18" a="1"/>
  <c r="O119" i="18" s="1"/>
  <c r="P119" i="18" a="1"/>
  <c r="P119" i="18"/>
  <c r="Q119" i="18" a="1"/>
  <c r="Q119" i="18"/>
  <c r="B120" i="18" a="1"/>
  <c r="B120" i="18" s="1"/>
  <c r="C120" i="18" a="1"/>
  <c r="C120" i="18"/>
  <c r="D120" i="18" a="1"/>
  <c r="D120" i="18" s="1"/>
  <c r="E120" i="18" a="1"/>
  <c r="E120" i="18" s="1"/>
  <c r="F120" i="18" a="1"/>
  <c r="F120" i="18" s="1"/>
  <c r="G120" i="18" a="1"/>
  <c r="G120" i="18" s="1"/>
  <c r="H120" i="18" a="1"/>
  <c r="H120" i="18" s="1"/>
  <c r="I120" i="18" a="1"/>
  <c r="I120" i="18" s="1"/>
  <c r="J120" i="18" a="1"/>
  <c r="J120" i="18"/>
  <c r="K120" i="18" a="1"/>
  <c r="K120" i="18"/>
  <c r="L120" i="18" a="1"/>
  <c r="L120" i="18" s="1"/>
  <c r="M120" i="18" a="1"/>
  <c r="M120" i="18" s="1"/>
  <c r="N120" i="18" a="1"/>
  <c r="N120" i="18" s="1"/>
  <c r="O120" i="18" a="1"/>
  <c r="O120" i="18" s="1"/>
  <c r="P120" i="18" a="1"/>
  <c r="P120" i="18"/>
  <c r="Q120" i="18" a="1"/>
  <c r="Q120" i="18" s="1"/>
  <c r="B121" i="18" a="1"/>
  <c r="B121" i="18"/>
  <c r="C121" i="18" a="1"/>
  <c r="C121" i="18"/>
  <c r="D121" i="18" a="1"/>
  <c r="D121" i="18" s="1"/>
  <c r="E121" i="18" a="1"/>
  <c r="E121" i="18"/>
  <c r="F121" i="18" a="1"/>
  <c r="F121" i="18" s="1"/>
  <c r="G121" i="18" a="1"/>
  <c r="G121" i="18"/>
  <c r="H121" i="18" a="1"/>
  <c r="H121" i="18"/>
  <c r="I121" i="18" a="1"/>
  <c r="I121" i="18"/>
  <c r="J121" i="18" a="1"/>
  <c r="J121" i="18" s="1"/>
  <c r="K121" i="18" a="1"/>
  <c r="K121" i="18" s="1"/>
  <c r="L121" i="18" a="1"/>
  <c r="L121" i="18" s="1"/>
  <c r="M121" i="18" a="1"/>
  <c r="M121" i="18"/>
  <c r="N121" i="18" a="1"/>
  <c r="N121" i="18" s="1"/>
  <c r="O121" i="18" a="1"/>
  <c r="O121" i="18"/>
  <c r="P121" i="18" a="1"/>
  <c r="P121" i="18" s="1"/>
  <c r="Q121" i="18" a="1"/>
  <c r="Q121" i="18"/>
  <c r="B122" i="18" a="1"/>
  <c r="B122" i="18"/>
  <c r="C122" i="18" a="1"/>
  <c r="C122" i="18" s="1"/>
  <c r="D122" i="18" a="1"/>
  <c r="D122" i="18"/>
  <c r="E122" i="18" a="1"/>
  <c r="E122" i="18"/>
  <c r="F122" i="18" a="1"/>
  <c r="F122" i="18" s="1"/>
  <c r="G122" i="18" a="1"/>
  <c r="G122" i="18" s="1"/>
  <c r="H122" i="18" a="1"/>
  <c r="H122" i="18" s="1"/>
  <c r="I122" i="18" a="1"/>
  <c r="I122" i="18" s="1"/>
  <c r="J122" i="18" a="1"/>
  <c r="J122" i="18"/>
  <c r="K122" i="18" a="1"/>
  <c r="K122" i="18" s="1"/>
  <c r="L122" i="18" a="1"/>
  <c r="L122" i="18" s="1"/>
  <c r="M122" i="18" a="1"/>
  <c r="M122" i="18" s="1"/>
  <c r="N122" i="18" a="1"/>
  <c r="N122" i="18" s="1"/>
  <c r="O122" i="18" a="1"/>
  <c r="O122" i="18"/>
  <c r="P122" i="18" a="1"/>
  <c r="P122" i="18" s="1"/>
  <c r="Q122" i="18" a="1"/>
  <c r="Q122" i="18"/>
  <c r="B123" i="18" a="1"/>
  <c r="B123" i="18" s="1"/>
  <c r="C123" i="18" a="1"/>
  <c r="C123" i="18"/>
  <c r="D123" i="18" a="1"/>
  <c r="D123" i="18" s="1"/>
  <c r="E123" i="18" a="1"/>
  <c r="E123" i="18" s="1"/>
  <c r="F123" i="18" a="1"/>
  <c r="F123" i="18" s="1"/>
  <c r="G123" i="18" a="1"/>
  <c r="G123" i="18"/>
  <c r="H123" i="18" a="1"/>
  <c r="H123" i="18" s="1"/>
  <c r="I123" i="18" a="1"/>
  <c r="I123" i="18"/>
  <c r="J123" i="18" a="1"/>
  <c r="J123" i="18"/>
  <c r="K123" i="18" a="1"/>
  <c r="K123" i="18"/>
  <c r="L123" i="18" a="1"/>
  <c r="L123" i="18"/>
  <c r="M123" i="18" a="1"/>
  <c r="M123" i="18" s="1"/>
  <c r="N123" i="18" a="1"/>
  <c r="N123" i="18" s="1"/>
  <c r="O123" i="18" a="1"/>
  <c r="O123" i="18" s="1"/>
  <c r="P123" i="18" a="1"/>
  <c r="P123" i="18"/>
  <c r="Q123" i="18" a="1"/>
  <c r="Q123" i="18" s="1"/>
  <c r="B124" i="18" a="1"/>
  <c r="B124" i="18" s="1"/>
  <c r="C124" i="18" a="1"/>
  <c r="C124" i="18" s="1"/>
  <c r="D124" i="18" a="1"/>
  <c r="D124" i="18" s="1"/>
  <c r="E124" i="18" a="1"/>
  <c r="E124" i="18"/>
  <c r="F124" i="18" a="1"/>
  <c r="F124" i="18"/>
  <c r="G124" i="18" a="1"/>
  <c r="G124" i="18"/>
  <c r="H124" i="18" a="1"/>
  <c r="H124" i="18"/>
  <c r="I124" i="18" a="1"/>
  <c r="I124" i="18"/>
  <c r="J124" i="18" a="1"/>
  <c r="J124" i="18" s="1"/>
  <c r="K124" i="18" a="1"/>
  <c r="K124" i="18"/>
  <c r="L124" i="18" a="1"/>
  <c r="L124" i="18" s="1"/>
  <c r="M124" i="18" a="1"/>
  <c r="M124" i="18"/>
  <c r="N124" i="18" a="1"/>
  <c r="N124" i="18"/>
  <c r="O124" i="18" a="1"/>
  <c r="O124" i="18" s="1"/>
  <c r="P124" i="18" a="1"/>
  <c r="P124" i="18" s="1"/>
  <c r="Q124" i="18" a="1"/>
  <c r="Q124" i="18" s="1"/>
  <c r="B125" i="18" a="1"/>
  <c r="B125" i="18"/>
  <c r="C125" i="18" a="1"/>
  <c r="C125" i="18"/>
  <c r="D125" i="18" a="1"/>
  <c r="D125" i="18" s="1"/>
  <c r="E125" i="18" a="1"/>
  <c r="E125" i="18" s="1"/>
  <c r="F125" i="18" a="1"/>
  <c r="F125" i="18" s="1"/>
  <c r="G125" i="18" a="1"/>
  <c r="G125" i="18" s="1"/>
  <c r="H125" i="18" a="1"/>
  <c r="H125" i="18"/>
  <c r="I125" i="18" a="1"/>
  <c r="I125" i="18" s="1"/>
  <c r="J125" i="18" a="1"/>
  <c r="J125" i="18"/>
  <c r="K125" i="18" a="1"/>
  <c r="K125" i="18" s="1"/>
  <c r="L125" i="18" a="1"/>
  <c r="L125" i="18" s="1"/>
  <c r="M125" i="18" a="1"/>
  <c r="M125" i="18"/>
  <c r="N125" i="18" a="1"/>
  <c r="N125" i="18" s="1"/>
  <c r="O125" i="18" a="1"/>
  <c r="O125" i="18"/>
  <c r="P125" i="18" a="1"/>
  <c r="P125" i="18"/>
  <c r="Q125" i="18" a="1"/>
  <c r="Q125" i="18" s="1"/>
  <c r="B126" i="18" a="1"/>
  <c r="B126" i="18" s="1"/>
  <c r="C126" i="18" a="1"/>
  <c r="C126" i="18" s="1"/>
  <c r="D126" i="18" a="1"/>
  <c r="D126" i="18" s="1"/>
  <c r="E126" i="18" a="1"/>
  <c r="E126" i="18"/>
  <c r="F126" i="18" a="1"/>
  <c r="F126" i="18" s="1"/>
  <c r="G126" i="18" a="1"/>
  <c r="G126" i="18"/>
  <c r="H126" i="18" a="1"/>
  <c r="H126" i="18"/>
  <c r="I126" i="18" a="1"/>
  <c r="I126" i="18" s="1"/>
  <c r="J126" i="18" a="1"/>
  <c r="J126" i="18" s="1"/>
  <c r="K126" i="18" a="1"/>
  <c r="K126" i="18"/>
  <c r="L126" i="18" a="1"/>
  <c r="L126" i="18" s="1"/>
  <c r="M126" i="18" a="1"/>
  <c r="M126" i="18" s="1"/>
  <c r="N126" i="18" a="1"/>
  <c r="N126" i="18"/>
  <c r="O126" i="18" a="1"/>
  <c r="O126" i="18" s="1"/>
  <c r="P126" i="18" a="1"/>
  <c r="P126" i="18" s="1"/>
  <c r="Q126" i="18" a="1"/>
  <c r="Q126" i="18"/>
  <c r="B127" i="18" a="1"/>
  <c r="B127" i="18" s="1"/>
  <c r="C127" i="18" a="1"/>
  <c r="C127" i="18" s="1"/>
  <c r="D127" i="18" a="1"/>
  <c r="D127" i="18"/>
  <c r="E127" i="18" a="1"/>
  <c r="E127" i="18" s="1"/>
  <c r="F127" i="18" a="1"/>
  <c r="F127" i="18" s="1"/>
  <c r="G127" i="18" a="1"/>
  <c r="G127" i="18"/>
  <c r="H127" i="18" a="1"/>
  <c r="H127" i="18" s="1"/>
  <c r="I127" i="18" a="1"/>
  <c r="I127" i="18"/>
  <c r="J127" i="18" a="1"/>
  <c r="J127" i="18" s="1"/>
  <c r="K127" i="18" a="1"/>
  <c r="K127" i="18" s="1"/>
  <c r="L127" i="18" a="1"/>
  <c r="L127" i="18" s="1"/>
  <c r="M127" i="18" a="1"/>
  <c r="M127" i="18"/>
  <c r="N127" i="18" a="1"/>
  <c r="N127" i="18" s="1"/>
  <c r="O127" i="18" a="1"/>
  <c r="O127" i="18"/>
  <c r="P127" i="18" a="1"/>
  <c r="P127" i="18"/>
  <c r="Q127" i="18" a="1"/>
  <c r="Q127" i="18" s="1"/>
  <c r="B128" i="18" a="1"/>
  <c r="B128" i="18" s="1"/>
  <c r="C128" i="18" a="1"/>
  <c r="C128" i="18"/>
  <c r="D128" i="18" a="1"/>
  <c r="D128" i="18" s="1"/>
  <c r="E128" i="18" a="1"/>
  <c r="E128" i="18" s="1"/>
  <c r="F128" i="18" a="1"/>
  <c r="F128" i="18"/>
  <c r="G128" i="18" a="1"/>
  <c r="G128" i="18" s="1"/>
  <c r="H128" i="18" a="1"/>
  <c r="H128" i="18" s="1"/>
  <c r="I128" i="18" a="1"/>
  <c r="I128" i="18"/>
  <c r="J128" i="18" a="1"/>
  <c r="J128" i="18" s="1"/>
  <c r="K128" i="18" a="1"/>
  <c r="K128" i="18" s="1"/>
  <c r="L128" i="18" a="1"/>
  <c r="L128" i="18" s="1"/>
  <c r="M128" i="18" a="1"/>
  <c r="M128" i="18" s="1"/>
  <c r="N128" i="18" a="1"/>
  <c r="N128" i="18" s="1"/>
  <c r="O128" i="18" a="1"/>
  <c r="O128" i="18"/>
  <c r="P128" i="18" a="1"/>
  <c r="P128" i="18" s="1"/>
  <c r="Q128" i="18" a="1"/>
  <c r="Q128" i="18"/>
  <c r="B129" i="18" a="1"/>
  <c r="B129" i="18" s="1"/>
  <c r="C129" i="18" a="1"/>
  <c r="C129" i="18" s="1"/>
  <c r="D129" i="18" a="1"/>
  <c r="D129" i="18" s="1"/>
  <c r="E129" i="18" a="1"/>
  <c r="E129" i="18" s="1"/>
  <c r="F129" i="18" a="1"/>
  <c r="F129" i="18" s="1"/>
  <c r="G129" i="18" a="1"/>
  <c r="G129" i="18"/>
  <c r="H129" i="18" a="1"/>
  <c r="H129" i="18"/>
  <c r="I129" i="18" a="1"/>
  <c r="I129" i="18" s="1"/>
  <c r="J129" i="18" a="1"/>
  <c r="J129" i="18" s="1"/>
  <c r="K129" i="18" a="1"/>
  <c r="K129" i="18" s="1"/>
  <c r="L129" i="18" a="1"/>
  <c r="L129" i="18" s="1"/>
  <c r="M129" i="18" a="1"/>
  <c r="M129" i="18" s="1"/>
  <c r="N129" i="18" a="1"/>
  <c r="N129" i="18"/>
  <c r="O129" i="18" a="1"/>
  <c r="O129" i="18" s="1"/>
  <c r="P129" i="18" a="1"/>
  <c r="P129" i="18" s="1"/>
  <c r="Q129" i="18" a="1"/>
  <c r="Q129" i="18" s="1"/>
  <c r="B130" i="18" a="1"/>
  <c r="B130" i="18" s="1"/>
  <c r="C130" i="18" a="1"/>
  <c r="C130" i="18" s="1"/>
  <c r="D130" i="18" a="1"/>
  <c r="D130" i="18" s="1"/>
  <c r="E130" i="18" a="1"/>
  <c r="E130" i="18" s="1"/>
  <c r="F130" i="18" a="1"/>
  <c r="F130" i="18" s="1"/>
  <c r="G130" i="18" a="1"/>
  <c r="G130" i="18"/>
  <c r="H130" i="18" a="1"/>
  <c r="H130" i="18" s="1"/>
  <c r="I130" i="18" a="1"/>
  <c r="I130" i="18" s="1"/>
  <c r="J130" i="18" a="1"/>
  <c r="J130" i="18" s="1"/>
  <c r="K130" i="18" a="1"/>
  <c r="K130" i="18" s="1"/>
  <c r="L130" i="18" a="1"/>
  <c r="L130" i="18" s="1"/>
  <c r="M130" i="18" a="1"/>
  <c r="M130" i="18" s="1"/>
  <c r="N130" i="18" a="1"/>
  <c r="N130" i="18" s="1"/>
  <c r="O130" i="18" a="1"/>
  <c r="O130" i="18"/>
  <c r="P130" i="18" a="1"/>
  <c r="P130" i="18"/>
  <c r="Q130" i="18" a="1"/>
  <c r="Q130" i="18" s="1"/>
  <c r="B131" i="18" a="1"/>
  <c r="B131" i="18" s="1"/>
  <c r="C131" i="18" a="1"/>
  <c r="C131" i="18" s="1"/>
  <c r="D131" i="18" a="1"/>
  <c r="D131" i="18" s="1"/>
  <c r="E131" i="18" a="1"/>
  <c r="E131" i="18" s="1"/>
  <c r="F131" i="18" a="1"/>
  <c r="F131" i="18"/>
  <c r="G131" i="18" a="1"/>
  <c r="G131" i="18" s="1"/>
  <c r="H131" i="18" a="1"/>
  <c r="H131" i="18" s="1"/>
  <c r="I131" i="18" a="1"/>
  <c r="I131" i="18"/>
  <c r="J131" i="18" a="1"/>
  <c r="J131" i="18" s="1"/>
  <c r="K131" i="18" a="1"/>
  <c r="K131" i="18" s="1"/>
  <c r="L131" i="18" a="1"/>
  <c r="L131" i="18" s="1"/>
  <c r="M131" i="18" a="1"/>
  <c r="M131" i="18" s="1"/>
  <c r="N131" i="18" a="1"/>
  <c r="N131" i="18" s="1"/>
  <c r="O131" i="18" a="1"/>
  <c r="O131" i="18"/>
  <c r="P131" i="18" a="1"/>
  <c r="P131" i="18" s="1"/>
  <c r="Q131" i="18" a="1"/>
  <c r="Q131" i="18"/>
  <c r="B132" i="18" a="1"/>
  <c r="B132" i="18" s="1"/>
  <c r="C132" i="18" a="1"/>
  <c r="C132" i="18" s="1"/>
  <c r="D132" i="18" a="1"/>
  <c r="D132" i="18" s="1"/>
  <c r="E132" i="18" a="1"/>
  <c r="E132" i="18" s="1"/>
  <c r="F132" i="18" a="1"/>
  <c r="F132" i="18" s="1"/>
  <c r="G132" i="18" a="1"/>
  <c r="G132" i="18"/>
  <c r="H132" i="18" a="1"/>
  <c r="H132" i="18"/>
  <c r="I132" i="18" a="1"/>
  <c r="I132" i="18" s="1"/>
  <c r="J132" i="18" a="1"/>
  <c r="J132" i="18" s="1"/>
  <c r="K132" i="18" a="1"/>
  <c r="K132" i="18" s="1"/>
  <c r="L132" i="18" a="1"/>
  <c r="L132" i="18" s="1"/>
  <c r="M132" i="18" a="1"/>
  <c r="M132" i="18" s="1"/>
  <c r="N132" i="18" a="1"/>
  <c r="N132" i="18"/>
  <c r="O132" i="18" a="1"/>
  <c r="O132" i="18" s="1"/>
  <c r="P132" i="18" a="1"/>
  <c r="P132" i="18" s="1"/>
  <c r="Q132" i="18" a="1"/>
  <c r="Q132" i="18" s="1"/>
  <c r="B133" i="18" a="1"/>
  <c r="B133" i="18" s="1"/>
  <c r="C133" i="18" a="1"/>
  <c r="C133" i="18" s="1"/>
  <c r="D133" i="18" a="1"/>
  <c r="D133" i="18" s="1"/>
  <c r="E133" i="18" a="1"/>
  <c r="E133" i="18" s="1"/>
  <c r="F133" i="18" a="1"/>
  <c r="F133" i="18" s="1"/>
  <c r="G133" i="18" a="1"/>
  <c r="G133" i="18"/>
  <c r="H133" i="18" a="1"/>
  <c r="H133" i="18" s="1"/>
  <c r="I133" i="18" a="1"/>
  <c r="I133" i="18" s="1"/>
  <c r="J133" i="18" a="1"/>
  <c r="J133" i="18" s="1"/>
  <c r="K133" i="18" a="1"/>
  <c r="K133" i="18" s="1"/>
  <c r="L133" i="18" a="1"/>
  <c r="L133" i="18" s="1"/>
  <c r="M133" i="18" a="1"/>
  <c r="M133" i="18" s="1"/>
  <c r="N133" i="18" a="1"/>
  <c r="N133" i="18" s="1"/>
  <c r="O133" i="18" a="1"/>
  <c r="O133" i="18"/>
  <c r="P133" i="18" a="1"/>
  <c r="P133" i="18"/>
  <c r="Q133" i="18" a="1"/>
  <c r="Q133" i="18" s="1"/>
  <c r="B134" i="18" a="1"/>
  <c r="B134" i="18" s="1"/>
  <c r="C134" i="18" a="1"/>
  <c r="C134" i="18" s="1"/>
  <c r="D134" i="18" a="1"/>
  <c r="D134" i="18" s="1"/>
  <c r="E134" i="18" a="1"/>
  <c r="E134" i="18" s="1"/>
  <c r="F134" i="18" a="1"/>
  <c r="F134" i="18"/>
  <c r="G134" i="18" a="1"/>
  <c r="G134" i="18" s="1"/>
  <c r="H134" i="18" a="1"/>
  <c r="H134" i="18" s="1"/>
  <c r="I134" i="18" a="1"/>
  <c r="I134" i="18" s="1"/>
  <c r="J134" i="18" a="1"/>
  <c r="J134" i="18" s="1"/>
  <c r="K134" i="18" a="1"/>
  <c r="K134" i="18" s="1"/>
  <c r="L134" i="18" a="1"/>
  <c r="L134" i="18" s="1"/>
  <c r="M134" i="18" a="1"/>
  <c r="M134" i="18" s="1"/>
  <c r="N134" i="18" a="1"/>
  <c r="N134" i="18" s="1"/>
  <c r="O134" i="18" a="1"/>
  <c r="O134" i="18"/>
  <c r="P134" i="18" a="1"/>
  <c r="P134" i="18" s="1"/>
  <c r="Q134" i="18" a="1"/>
  <c r="Q134" i="18"/>
  <c r="B135" i="18" a="1"/>
  <c r="B135" i="18" s="1"/>
  <c r="C135" i="18" a="1"/>
  <c r="C135" i="18" s="1"/>
  <c r="D135" i="18" a="1"/>
  <c r="D135" i="18" s="1"/>
  <c r="E135" i="18" a="1"/>
  <c r="E135" i="18" s="1"/>
  <c r="F135" i="18" a="1"/>
  <c r="F135" i="18" s="1"/>
  <c r="G135" i="18" a="1"/>
  <c r="G135" i="18"/>
  <c r="H135" i="18" a="1"/>
  <c r="H135" i="18"/>
  <c r="I135" i="18" a="1"/>
  <c r="I135" i="18" s="1"/>
  <c r="J135" i="18" a="1"/>
  <c r="J135" i="18" s="1"/>
  <c r="K135" i="18" a="1"/>
  <c r="K135" i="18"/>
  <c r="L135" i="18" a="1"/>
  <c r="L135" i="18" s="1"/>
  <c r="M135" i="18" a="1"/>
  <c r="M135" i="18"/>
  <c r="N135" i="18" a="1"/>
  <c r="N135" i="18"/>
  <c r="O135" i="18" a="1"/>
  <c r="O135" i="18" s="1"/>
  <c r="P135" i="18" a="1"/>
  <c r="P135" i="18"/>
  <c r="Q135" i="18" a="1"/>
  <c r="Q135" i="18" s="1"/>
  <c r="B136" i="18" a="1"/>
  <c r="B136" i="18" s="1"/>
  <c r="C136" i="18" a="1"/>
  <c r="C136" i="18" s="1"/>
  <c r="D136" i="18" a="1"/>
  <c r="D136" i="18"/>
  <c r="E136" i="18" a="1"/>
  <c r="E136" i="18" s="1"/>
  <c r="F136" i="18" a="1"/>
  <c r="F136" i="18"/>
  <c r="G136" i="18" a="1"/>
  <c r="G136" i="18" s="1"/>
  <c r="H136" i="18" a="1"/>
  <c r="H136" i="18" s="1"/>
  <c r="I136" i="18" a="1"/>
  <c r="I136" i="18" s="1"/>
  <c r="J136" i="18" a="1"/>
  <c r="J136" i="18" s="1"/>
  <c r="K136" i="18" a="1"/>
  <c r="K136" i="18" s="1"/>
  <c r="L136" i="18" a="1"/>
  <c r="L136" i="18"/>
  <c r="M136" i="18" a="1"/>
  <c r="M136" i="18"/>
  <c r="N136" i="18" a="1"/>
  <c r="N136" i="18" s="1"/>
  <c r="O136" i="18" a="1"/>
  <c r="O136" i="18" s="1"/>
  <c r="P136" i="18" a="1"/>
  <c r="P136" i="18" s="1"/>
  <c r="Q136" i="18" a="1"/>
  <c r="Q136" i="18" s="1"/>
  <c r="B137" i="18" a="1"/>
  <c r="B137" i="18" s="1"/>
  <c r="C137" i="18" a="1"/>
  <c r="C137" i="18"/>
  <c r="D137" i="18" a="1"/>
  <c r="D137" i="18" s="1"/>
  <c r="E137" i="18" a="1"/>
  <c r="E137" i="18"/>
  <c r="F137" i="18" a="1"/>
  <c r="F137" i="18"/>
  <c r="G137" i="18" a="1"/>
  <c r="G137" i="18" s="1"/>
  <c r="H137" i="18" a="1"/>
  <c r="H137" i="18"/>
  <c r="I137" i="18" a="1"/>
  <c r="I137" i="18" s="1"/>
  <c r="J137" i="18" a="1"/>
  <c r="J137" i="18" s="1"/>
  <c r="K137" i="18" a="1"/>
  <c r="K137" i="18"/>
  <c r="L137" i="18" a="1"/>
  <c r="L137" i="18"/>
  <c r="M137" i="18" a="1"/>
  <c r="M137" i="18" s="1"/>
  <c r="N137" i="18" a="1"/>
  <c r="N137" i="18" s="1"/>
  <c r="O137" i="18" a="1"/>
  <c r="O137" i="18"/>
  <c r="P137" i="18" a="1"/>
  <c r="P137" i="18" s="1"/>
  <c r="Q137" i="18" a="1"/>
  <c r="Q137" i="18"/>
  <c r="B138" i="18" a="1"/>
  <c r="B138" i="18"/>
  <c r="C138" i="18" a="1"/>
  <c r="C138" i="18" s="1"/>
  <c r="D138" i="18" a="1"/>
  <c r="D138" i="18"/>
  <c r="E138" i="18" a="1"/>
  <c r="E138" i="18" s="1"/>
  <c r="F138" i="18" a="1"/>
  <c r="F138" i="18" s="1"/>
  <c r="G138" i="18" a="1"/>
  <c r="G138" i="18" s="1"/>
  <c r="H138" i="18" a="1"/>
  <c r="H138" i="18"/>
  <c r="I138" i="18" a="1"/>
  <c r="I138" i="18" s="1"/>
  <c r="J138" i="18" a="1"/>
  <c r="J138" i="18"/>
  <c r="K138" i="18" a="1"/>
  <c r="K138" i="18"/>
  <c r="L138" i="18" a="1"/>
  <c r="L138" i="18" s="1"/>
  <c r="M138" i="18" a="1"/>
  <c r="M138" i="18"/>
  <c r="N138" i="18" a="1"/>
  <c r="N138" i="18" s="1"/>
  <c r="O138" i="18" a="1"/>
  <c r="O138" i="18" s="1"/>
  <c r="P138" i="18" a="1"/>
  <c r="P138" i="18"/>
  <c r="Q138" i="18" a="1"/>
  <c r="Q138" i="18"/>
  <c r="B139" i="18" a="1"/>
  <c r="B139" i="18"/>
  <c r="C139" i="18" a="1"/>
  <c r="C139" i="18" s="1"/>
  <c r="D139" i="18" a="1"/>
  <c r="D139" i="18"/>
  <c r="E139" i="18" a="1"/>
  <c r="E139" i="18" s="1"/>
  <c r="F139" i="18" a="1"/>
  <c r="F139" i="18"/>
  <c r="G139" i="18" a="1"/>
  <c r="G139" i="18"/>
  <c r="H139" i="18" a="1"/>
  <c r="H139" i="18" s="1"/>
  <c r="I139" i="18" a="1"/>
  <c r="I139" i="18" s="1"/>
  <c r="J139" i="18" a="1"/>
  <c r="J139" i="18"/>
  <c r="K139" i="18" a="1"/>
  <c r="K139" i="18" s="1"/>
  <c r="L139" i="18" a="1"/>
  <c r="L139" i="18"/>
  <c r="M139" i="18" a="1"/>
  <c r="M139" i="18"/>
  <c r="N139" i="18" a="1"/>
  <c r="N139" i="18"/>
  <c r="O139" i="18" a="1"/>
  <c r="O139" i="18" s="1"/>
  <c r="P139" i="18" a="1"/>
  <c r="P139" i="18" s="1"/>
  <c r="Q139" i="18" a="1"/>
  <c r="Q139" i="18" s="1"/>
  <c r="B140" i="18" a="1"/>
  <c r="B140" i="18" s="1"/>
  <c r="C140" i="18" a="1"/>
  <c r="C140" i="18"/>
  <c r="D140" i="18" a="1"/>
  <c r="D140" i="18"/>
  <c r="E140" i="18" a="1"/>
  <c r="E140" i="18" s="1"/>
  <c r="F140" i="18" a="1"/>
  <c r="F140" i="18" s="1"/>
  <c r="G140" i="18" a="1"/>
  <c r="G140" i="18" s="1"/>
  <c r="H140" i="18" a="1"/>
  <c r="H140" i="18"/>
  <c r="I140" i="18" a="1"/>
  <c r="I140" i="18"/>
  <c r="J140" i="18" a="1"/>
  <c r="J140" i="18"/>
  <c r="K140" i="18" a="1"/>
  <c r="K140" i="18"/>
  <c r="L140" i="18" a="1"/>
  <c r="L140" i="18" s="1"/>
  <c r="M140" i="18" a="1"/>
  <c r="M140" i="18" s="1"/>
  <c r="N140" i="18" a="1"/>
  <c r="N140" i="18"/>
  <c r="O140" i="18" a="1"/>
  <c r="O140" i="18" s="1"/>
  <c r="P140" i="18" a="1"/>
  <c r="P140" i="18"/>
  <c r="Q140" i="18" a="1"/>
  <c r="Q140" i="18"/>
  <c r="B141" i="18" a="1"/>
  <c r="B141" i="18" s="1"/>
  <c r="C141" i="18" a="1"/>
  <c r="C141" i="18" s="1"/>
  <c r="D141" i="18" a="1"/>
  <c r="D141" i="18" s="1"/>
  <c r="E141" i="18" a="1"/>
  <c r="E141" i="18"/>
  <c r="F141" i="18" a="1"/>
  <c r="F141" i="18"/>
  <c r="G141" i="18" a="1"/>
  <c r="G141" i="18"/>
  <c r="H141" i="18" a="1"/>
  <c r="H141" i="18"/>
  <c r="I141" i="18" a="1"/>
  <c r="I141" i="18" s="1"/>
  <c r="J141" i="18" a="1"/>
  <c r="J141" i="18" s="1"/>
  <c r="K141" i="18" a="1"/>
  <c r="K141" i="18"/>
  <c r="L141" i="18" a="1"/>
  <c r="L141" i="18" s="1"/>
  <c r="M141" i="18" a="1"/>
  <c r="M141" i="18"/>
  <c r="N141" i="18" a="1"/>
  <c r="N141" i="18"/>
  <c r="O141" i="18" a="1"/>
  <c r="O141" i="18" s="1"/>
  <c r="P141" i="18" a="1"/>
  <c r="P141" i="18"/>
  <c r="Q141" i="18" a="1"/>
  <c r="Q141" i="18" s="1"/>
  <c r="B142" i="18" a="1"/>
  <c r="B142" i="18"/>
  <c r="C142" i="18" a="1"/>
  <c r="C142" i="18"/>
  <c r="D142" i="18" a="1"/>
  <c r="D142" i="18"/>
  <c r="E142" i="18" a="1"/>
  <c r="E142" i="18" s="1"/>
  <c r="F142" i="18" a="1"/>
  <c r="F142" i="18"/>
  <c r="G142" i="18" a="1"/>
  <c r="G142" i="18" s="1"/>
  <c r="H142" i="18" a="1"/>
  <c r="H142" i="18"/>
  <c r="I142" i="18" a="1"/>
  <c r="I142" i="18" s="1"/>
  <c r="J142" i="18" a="1"/>
  <c r="J142" i="18"/>
  <c r="K142" i="18" a="1"/>
  <c r="K142" i="18" s="1"/>
  <c r="L142" i="18" a="1"/>
  <c r="L142" i="18"/>
  <c r="M142" i="18" a="1"/>
  <c r="M142" i="18"/>
  <c r="N142" i="18" a="1"/>
  <c r="N142" i="18" s="1"/>
  <c r="O142" i="18" a="1"/>
  <c r="O142" i="18"/>
  <c r="P142" i="18" a="1"/>
  <c r="P142" i="18"/>
  <c r="Q142" i="18" a="1"/>
  <c r="Q142" i="18" s="1"/>
  <c r="B143" i="18" a="1"/>
  <c r="B143" i="18"/>
  <c r="C143" i="18" a="1"/>
  <c r="C143" i="18" s="1"/>
  <c r="D143" i="18" a="1"/>
  <c r="D143" i="18" s="1"/>
  <c r="E143" i="18" a="1"/>
  <c r="E143" i="18"/>
  <c r="F143" i="18" a="1"/>
  <c r="F143" i="18" s="1"/>
  <c r="G143" i="18" a="1"/>
  <c r="G143" i="18" s="1"/>
  <c r="H143" i="18" a="1"/>
  <c r="H143" i="18"/>
  <c r="I143" i="18" a="1"/>
  <c r="I143" i="18"/>
  <c r="J143" i="18" a="1"/>
  <c r="J143" i="18" s="1"/>
  <c r="K143" i="18" a="1"/>
  <c r="K143" i="18" s="1"/>
  <c r="L143" i="18" a="1"/>
  <c r="L143" i="18"/>
  <c r="M143" i="18" a="1"/>
  <c r="M143" i="18" s="1"/>
  <c r="N143" i="18" a="1"/>
  <c r="N143" i="18"/>
  <c r="O143" i="18" a="1"/>
  <c r="O143" i="18"/>
  <c r="P143" i="18" a="1"/>
  <c r="P143" i="18" s="1"/>
  <c r="Q143" i="18" a="1"/>
  <c r="Q143" i="18" s="1"/>
  <c r="B144" i="18" a="1"/>
  <c r="B144" i="18"/>
  <c r="C144" i="18" a="1"/>
  <c r="C144" i="18" s="1"/>
  <c r="D144" i="18" a="1"/>
  <c r="D144" i="18"/>
  <c r="E144" i="18" a="1"/>
  <c r="E144" i="18"/>
  <c r="F144" i="18" a="1"/>
  <c r="F144" i="18"/>
  <c r="G144" i="18" a="1"/>
  <c r="G144" i="18" s="1"/>
  <c r="H144" i="18" a="1"/>
  <c r="H144" i="18" s="1"/>
  <c r="I144" i="18" a="1"/>
  <c r="I144" i="18" s="1"/>
  <c r="J144" i="18" a="1"/>
  <c r="J144" i="18" s="1"/>
  <c r="K144" i="18" a="1"/>
  <c r="K144" i="18"/>
  <c r="L144" i="18" a="1"/>
  <c r="L144" i="18"/>
  <c r="M144" i="18" a="1"/>
  <c r="M144" i="18"/>
  <c r="N144" i="18" a="1"/>
  <c r="N144" i="18" s="1"/>
  <c r="O144" i="18" a="1"/>
  <c r="O144" i="18" s="1"/>
  <c r="P144" i="18" a="1"/>
  <c r="P144" i="18"/>
  <c r="Q144" i="18" a="1"/>
  <c r="Q144" i="18"/>
  <c r="B145" i="18" a="1"/>
  <c r="B145" i="18"/>
  <c r="C145" i="18" a="1"/>
  <c r="C145" i="18"/>
  <c r="D145" i="18" a="1"/>
  <c r="D145" i="18"/>
  <c r="E145" i="18" a="1"/>
  <c r="E145" i="18" s="1"/>
  <c r="F145" i="18" a="1"/>
  <c r="F145" i="18"/>
  <c r="G145" i="18" a="1"/>
  <c r="G145" i="18" s="1"/>
  <c r="H145" i="18" a="1"/>
  <c r="H145" i="18"/>
  <c r="I145" i="18" a="1"/>
  <c r="I145" i="18" s="1"/>
  <c r="J145" i="18" a="1"/>
  <c r="J145" i="18"/>
  <c r="K145" i="18" a="1"/>
  <c r="K145" i="18" s="1"/>
  <c r="L145" i="18" a="1"/>
  <c r="L145" i="18" s="1"/>
  <c r="M145" i="18" a="1"/>
  <c r="M145" i="18"/>
  <c r="N145" i="18" a="1"/>
  <c r="N145" i="18"/>
  <c r="O145" i="18" a="1"/>
  <c r="O145" i="18"/>
  <c r="P145" i="18" a="1"/>
  <c r="P145" i="18"/>
  <c r="Q145" i="18" a="1"/>
  <c r="Q145" i="18" s="1"/>
  <c r="B146" i="18" a="1"/>
  <c r="B146" i="18" s="1"/>
  <c r="C146" i="18" a="1"/>
  <c r="C146" i="18"/>
  <c r="D146" i="18" a="1"/>
  <c r="D146" i="18" s="1"/>
  <c r="E146" i="18" a="1"/>
  <c r="E146" i="18"/>
  <c r="F146" i="18" a="1"/>
  <c r="F146" i="18" s="1"/>
  <c r="G146" i="18" a="1"/>
  <c r="G146" i="18" s="1"/>
  <c r="H146" i="18" a="1"/>
  <c r="H146" i="18" s="1"/>
  <c r="I146" i="18" a="1"/>
  <c r="I146" i="18" s="1"/>
  <c r="J146" i="18" a="1"/>
  <c r="J146" i="18"/>
  <c r="K146" i="18" a="1"/>
  <c r="K146" i="18"/>
  <c r="L146" i="18" a="1"/>
  <c r="L146" i="18"/>
  <c r="M146" i="18" a="1"/>
  <c r="M146" i="18" s="1"/>
  <c r="N146" i="18" a="1"/>
  <c r="N146" i="18" s="1"/>
  <c r="O146" i="18" a="1"/>
  <c r="O146" i="18" s="1"/>
  <c r="P146" i="18" a="1"/>
  <c r="P146" i="18"/>
  <c r="Q146" i="18" a="1"/>
  <c r="Q146" i="18" s="1"/>
  <c r="B147" i="18" a="1"/>
  <c r="B147" i="18"/>
  <c r="C147" i="18" a="1"/>
  <c r="C147" i="18" s="1"/>
  <c r="D147" i="18" a="1"/>
  <c r="D147" i="18"/>
  <c r="E147" i="18" a="1"/>
  <c r="E147" i="18" s="1"/>
  <c r="F147" i="18" a="1"/>
  <c r="F147" i="18" s="1"/>
  <c r="G147" i="18" a="1"/>
  <c r="G147" i="18"/>
  <c r="H147" i="18" a="1"/>
  <c r="H147" i="18"/>
  <c r="I147" i="18" a="1"/>
  <c r="I147" i="18" s="1"/>
  <c r="J147" i="18" a="1"/>
  <c r="J147" i="18" s="1"/>
  <c r="K147" i="18" a="1"/>
  <c r="K147" i="18"/>
  <c r="L147" i="18" a="1"/>
  <c r="L147" i="18" s="1"/>
  <c r="M147" i="18" a="1"/>
  <c r="M147" i="18"/>
  <c r="N147" i="18" a="1"/>
  <c r="N147" i="18" s="1"/>
  <c r="O147" i="18" a="1"/>
  <c r="O147" i="18" s="1"/>
  <c r="P147" i="18" a="1"/>
  <c r="P147" i="18"/>
  <c r="Q147" i="18" a="1"/>
  <c r="Q147" i="18"/>
  <c r="B148" i="18" a="1"/>
  <c r="B148" i="18"/>
  <c r="C148" i="18" a="1"/>
  <c r="C148" i="18" s="1"/>
  <c r="D148" i="18" a="1"/>
  <c r="D148" i="18"/>
  <c r="E148" i="18" a="1"/>
  <c r="E148" i="18" s="1"/>
  <c r="F148" i="18" a="1"/>
  <c r="F148" i="18"/>
  <c r="G148" i="18" a="1"/>
  <c r="G148" i="18" s="1"/>
  <c r="H148" i="18" a="1"/>
  <c r="H148" i="18"/>
  <c r="I148" i="18" a="1"/>
  <c r="I148" i="18" s="1"/>
  <c r="J148" i="18" a="1"/>
  <c r="J148" i="18"/>
  <c r="K148" i="18" a="1"/>
  <c r="K148" i="18" s="1"/>
  <c r="L148" i="18" a="1"/>
  <c r="L148" i="18"/>
  <c r="M148" i="18" a="1"/>
  <c r="M148" i="18"/>
  <c r="N148" i="18" a="1"/>
  <c r="N148" i="18"/>
  <c r="O148" i="18" a="1"/>
  <c r="O148" i="18"/>
  <c r="P148" i="18" a="1"/>
  <c r="P148" i="18" s="1"/>
  <c r="Q148" i="18" a="1"/>
  <c r="Q148" i="18" s="1"/>
  <c r="B149" i="18" a="1"/>
  <c r="B149" i="18" s="1"/>
  <c r="C149" i="18" a="1"/>
  <c r="C149" i="18"/>
  <c r="D149" i="18" a="1"/>
  <c r="D149" i="18" s="1"/>
  <c r="E149" i="18" a="1"/>
  <c r="E149" i="18" s="1"/>
  <c r="F149" i="18" a="1"/>
  <c r="F149" i="18" s="1"/>
  <c r="G149" i="18" a="1"/>
  <c r="G149" i="18" s="1"/>
  <c r="H149" i="18" a="1"/>
  <c r="H149" i="18"/>
  <c r="I149" i="18" a="1"/>
  <c r="I149" i="18"/>
  <c r="J149" i="18" a="1"/>
  <c r="J149" i="18"/>
  <c r="K149" i="18" a="1"/>
  <c r="K149" i="18"/>
  <c r="L149" i="18" a="1"/>
  <c r="L149" i="18" s="1"/>
  <c r="M149" i="18" a="1"/>
  <c r="M149" i="18" s="1"/>
  <c r="N149" i="18" a="1"/>
  <c r="N149" i="18"/>
  <c r="O149" i="18" a="1"/>
  <c r="O149" i="18" s="1"/>
  <c r="P149" i="18" a="1"/>
  <c r="P149" i="18"/>
  <c r="Q149" i="18" a="1"/>
  <c r="Q149" i="18" s="1"/>
  <c r="B150" i="18" a="1"/>
  <c r="B150" i="18" s="1"/>
  <c r="C150" i="18" a="1"/>
  <c r="C150" i="18" s="1"/>
  <c r="D150" i="18" a="1"/>
  <c r="D150" i="18" s="1"/>
  <c r="E150" i="18" a="1"/>
  <c r="E150" i="18"/>
  <c r="F150" i="18" a="1"/>
  <c r="F150" i="18"/>
  <c r="G150" i="18" a="1"/>
  <c r="G150" i="18"/>
  <c r="H150" i="18" a="1"/>
  <c r="H150" i="18"/>
  <c r="I150" i="18" a="1"/>
  <c r="I150" i="18" s="1"/>
  <c r="J150" i="18" a="1"/>
  <c r="J150" i="18" s="1"/>
  <c r="K150" i="18" a="1"/>
  <c r="K150" i="18"/>
  <c r="L150" i="18" a="1"/>
  <c r="L150" i="18" s="1"/>
  <c r="M150" i="18" a="1"/>
  <c r="M150" i="18"/>
  <c r="N150" i="18" a="1"/>
  <c r="N150" i="18" s="1"/>
  <c r="O150" i="18" a="1"/>
  <c r="O150" i="18" s="1"/>
  <c r="P150" i="18" a="1"/>
  <c r="P150" i="18"/>
  <c r="Q150" i="18" a="1"/>
  <c r="Q150" i="18" s="1"/>
  <c r="B151" i="18" a="1"/>
  <c r="B151" i="18"/>
  <c r="C151" i="18" a="1"/>
  <c r="C151" i="18"/>
  <c r="D151" i="18" a="1"/>
  <c r="D151" i="18"/>
  <c r="E151" i="18" a="1"/>
  <c r="E151" i="18" s="1"/>
  <c r="F151" i="18" a="1"/>
  <c r="F151" i="18"/>
  <c r="G151" i="18" a="1"/>
  <c r="G151" i="18" s="1"/>
  <c r="H151" i="18" a="1"/>
  <c r="H151" i="18"/>
  <c r="I151" i="18" a="1"/>
  <c r="I151" i="18" s="1"/>
  <c r="J151" i="18" a="1"/>
  <c r="J151" i="18"/>
  <c r="K151" i="18" a="1"/>
  <c r="K151" i="18" s="1"/>
  <c r="L151" i="18" a="1"/>
  <c r="L151" i="18"/>
  <c r="M151" i="18" a="1"/>
  <c r="M151" i="18"/>
  <c r="N151" i="18" a="1"/>
  <c r="N151" i="18" s="1"/>
  <c r="O151" i="18" a="1"/>
  <c r="O151" i="18"/>
  <c r="P151" i="18" a="1"/>
  <c r="P151" i="18"/>
  <c r="Q151" i="18" a="1"/>
  <c r="Q151" i="18" s="1"/>
  <c r="B152" i="18" a="1"/>
  <c r="B152" i="18" s="1"/>
  <c r="C152" i="18" a="1"/>
  <c r="C152" i="18" s="1"/>
  <c r="D152" i="18" a="1"/>
  <c r="D152" i="18" s="1"/>
  <c r="E152" i="18" a="1"/>
  <c r="E152" i="18"/>
  <c r="F152" i="18" a="1"/>
  <c r="F152" i="18" s="1"/>
  <c r="G152" i="18" a="1"/>
  <c r="G152" i="18" s="1"/>
  <c r="H152" i="18" a="1"/>
  <c r="H152" i="18"/>
  <c r="I152" i="18" a="1"/>
  <c r="I152" i="18"/>
  <c r="J152" i="18" a="1"/>
  <c r="J152" i="18" s="1"/>
  <c r="K152" i="18" a="1"/>
  <c r="K152" i="18" s="1"/>
  <c r="L152" i="18" a="1"/>
  <c r="L152" i="18"/>
  <c r="M152" i="18" a="1"/>
  <c r="M152" i="18" s="1"/>
  <c r="N152" i="18" a="1"/>
  <c r="N152" i="18"/>
  <c r="O152" i="18" a="1"/>
  <c r="O152" i="18" s="1"/>
  <c r="P152" i="18" a="1"/>
  <c r="P152" i="18"/>
  <c r="Q152" i="18" a="1"/>
  <c r="Q152" i="18" s="1"/>
  <c r="B153" i="18" a="1"/>
  <c r="B153" i="18"/>
  <c r="C153" i="18" a="1"/>
  <c r="C153" i="18" s="1"/>
  <c r="D153" i="18" a="1"/>
  <c r="D153" i="18"/>
  <c r="E153" i="18" a="1"/>
  <c r="E153" i="18"/>
  <c r="F153" i="18" a="1"/>
  <c r="F153" i="18"/>
  <c r="G153" i="18" a="1"/>
  <c r="G153" i="18"/>
  <c r="H153" i="18" a="1"/>
  <c r="H153" i="18" s="1"/>
  <c r="I153" i="18" a="1"/>
  <c r="I153" i="18" s="1"/>
  <c r="J153" i="18" a="1"/>
  <c r="J153" i="18" s="1"/>
  <c r="K153" i="18" a="1"/>
  <c r="K153" i="18"/>
  <c r="L153" i="18" a="1"/>
  <c r="L153" i="18" s="1"/>
  <c r="M153" i="18" a="1"/>
  <c r="M153" i="18"/>
  <c r="N153" i="18" a="1"/>
  <c r="N153" i="18" s="1"/>
  <c r="O153" i="18" a="1"/>
  <c r="O153" i="18" s="1"/>
  <c r="P153" i="18" a="1"/>
  <c r="P153" i="18"/>
  <c r="Q153" i="18" a="1"/>
  <c r="Q153" i="18"/>
  <c r="B154" i="18" a="1"/>
  <c r="B154" i="18"/>
  <c r="C154" i="18" a="1"/>
  <c r="C154" i="18"/>
  <c r="D154" i="18" a="1"/>
  <c r="D154" i="18"/>
  <c r="E154" i="18" a="1"/>
  <c r="E154" i="18" s="1"/>
  <c r="F154" i="18" a="1"/>
  <c r="F154" i="18"/>
  <c r="G154" i="18" a="1"/>
  <c r="G154" i="18" s="1"/>
  <c r="H154" i="18" a="1"/>
  <c r="H154" i="18"/>
  <c r="I154" i="18" a="1"/>
  <c r="I154" i="18" s="1"/>
  <c r="J154" i="18" a="1"/>
  <c r="J154" i="18" s="1"/>
  <c r="K154" i="18" a="1"/>
  <c r="K154" i="18" s="1"/>
  <c r="L154" i="18" a="1"/>
  <c r="L154" i="18" s="1"/>
  <c r="M154" i="18" a="1"/>
  <c r="M154" i="18"/>
  <c r="N154" i="18" a="1"/>
  <c r="N154" i="18"/>
  <c r="O154" i="18" a="1"/>
  <c r="O154" i="18"/>
  <c r="P154" i="18" a="1"/>
  <c r="P154" i="18"/>
  <c r="Q154" i="18" a="1"/>
  <c r="Q154" i="18" s="1"/>
  <c r="B155" i="18" a="1"/>
  <c r="B155" i="18" s="1"/>
  <c r="C155" i="18" a="1"/>
  <c r="C155" i="18"/>
  <c r="D155" i="18" a="1"/>
  <c r="D155" i="18" s="1"/>
  <c r="E155" i="18" a="1"/>
  <c r="E155" i="18"/>
  <c r="F155" i="18" a="1"/>
  <c r="F155" i="18" s="1"/>
  <c r="G155" i="18" a="1"/>
  <c r="G155" i="18" s="1"/>
  <c r="H155" i="18" a="1"/>
  <c r="H155" i="18" s="1"/>
  <c r="I155" i="18" a="1"/>
  <c r="I155" i="18" s="1"/>
  <c r="J155" i="18" a="1"/>
  <c r="J155" i="18"/>
  <c r="K155" i="18" a="1"/>
  <c r="K155" i="18"/>
  <c r="L155" i="18" a="1"/>
  <c r="L155" i="18"/>
  <c r="M155" i="18" a="1"/>
  <c r="M155" i="18" s="1"/>
  <c r="N155" i="18" a="1"/>
  <c r="N155" i="18" s="1"/>
  <c r="O155" i="18" a="1"/>
  <c r="O155" i="18" s="1"/>
  <c r="P155" i="18" a="1"/>
  <c r="P155" i="18"/>
  <c r="Q155" i="18" a="1"/>
  <c r="Q155" i="18" s="1"/>
  <c r="B156" i="18" a="1"/>
  <c r="B156" i="18"/>
  <c r="C156" i="18" a="1"/>
  <c r="C156" i="18" s="1"/>
  <c r="D156" i="18" a="1"/>
  <c r="D156" i="18"/>
  <c r="E156" i="18" a="1"/>
  <c r="E156" i="18" s="1"/>
  <c r="F156" i="18" a="1"/>
  <c r="F156" i="18" s="1"/>
  <c r="G156" i="18" a="1"/>
  <c r="G156" i="18"/>
  <c r="H156" i="18" a="1"/>
  <c r="H156" i="18"/>
  <c r="I156" i="18" a="1"/>
  <c r="I156" i="18" s="1"/>
  <c r="J156" i="18" a="1"/>
  <c r="J156" i="18" s="1"/>
  <c r="K156" i="18" a="1"/>
  <c r="K156" i="18"/>
  <c r="L156" i="18" a="1"/>
  <c r="L156" i="18"/>
  <c r="M156" i="18" a="1"/>
  <c r="M156" i="18"/>
  <c r="N156" i="18" a="1"/>
  <c r="N156" i="18" s="1"/>
  <c r="O156" i="18" a="1"/>
  <c r="O156" i="18" s="1"/>
  <c r="P156" i="18" a="1"/>
  <c r="P156" i="18"/>
  <c r="Q156" i="18" a="1"/>
  <c r="Q156" i="18"/>
  <c r="B157" i="18" a="1"/>
  <c r="B157" i="18"/>
  <c r="C157" i="18" a="1"/>
  <c r="C157" i="18" s="1"/>
  <c r="D157" i="18" a="1"/>
  <c r="D157" i="18"/>
  <c r="E157" i="18" a="1"/>
  <c r="E157" i="18" s="1"/>
  <c r="F157" i="18" a="1"/>
  <c r="F157" i="18"/>
  <c r="G157" i="18" a="1"/>
  <c r="G157" i="18" s="1"/>
  <c r="H157" i="18" a="1"/>
  <c r="H157" i="18"/>
  <c r="I157" i="18" a="1"/>
  <c r="I157" i="18"/>
  <c r="J157" i="18" a="1"/>
  <c r="J157" i="18"/>
  <c r="K157" i="18" a="1"/>
  <c r="K157" i="18" s="1"/>
  <c r="L157" i="18" a="1"/>
  <c r="L157" i="18"/>
  <c r="M157" i="18" a="1"/>
  <c r="M157" i="18"/>
  <c r="N157" i="18" a="1"/>
  <c r="N157" i="18"/>
  <c r="O157" i="18" a="1"/>
  <c r="O157" i="18"/>
  <c r="P157" i="18" a="1"/>
  <c r="P157" i="18" s="1"/>
  <c r="Q157" i="18" a="1"/>
  <c r="Q157" i="18" s="1"/>
  <c r="B158" i="18" a="1"/>
  <c r="B158" i="18" s="1"/>
  <c r="C158" i="18" a="1"/>
  <c r="C158" i="18"/>
  <c r="D158" i="18" a="1"/>
  <c r="D158" i="18"/>
  <c r="E158" i="18" a="1"/>
  <c r="E158" i="18" s="1"/>
  <c r="F158" i="18" a="1"/>
  <c r="F158" i="18"/>
  <c r="G158" i="18" a="1"/>
  <c r="G158" i="18" s="1"/>
  <c r="H158" i="18" a="1"/>
  <c r="H158" i="18"/>
  <c r="I158" i="18" a="1"/>
  <c r="I158" i="18"/>
  <c r="J158" i="18" a="1"/>
  <c r="J158" i="18"/>
  <c r="K158" i="18" a="1"/>
  <c r="K158" i="18"/>
  <c r="L158" i="18" a="1"/>
  <c r="L158" i="18" s="1"/>
  <c r="M158" i="18" a="1"/>
  <c r="M158" i="18" s="1"/>
  <c r="N158" i="18" a="1"/>
  <c r="N158" i="18"/>
  <c r="O158" i="18" a="1"/>
  <c r="O158" i="18" s="1"/>
  <c r="P158" i="18" a="1"/>
  <c r="P158" i="18"/>
  <c r="Q158" i="18" a="1"/>
  <c r="Q158" i="18"/>
  <c r="B159" i="18" a="1"/>
  <c r="B159" i="18" s="1"/>
  <c r="C159" i="18" a="1"/>
  <c r="C159" i="18" s="1"/>
  <c r="D159" i="18" a="1"/>
  <c r="D159" i="18" s="1"/>
  <c r="E159" i="18" a="1"/>
  <c r="E159" i="18"/>
  <c r="F159" i="18" a="1"/>
  <c r="F159" i="18"/>
  <c r="G159" i="18" a="1"/>
  <c r="G159" i="18"/>
  <c r="H159" i="18" a="1"/>
  <c r="H159" i="18"/>
  <c r="I159" i="18" a="1"/>
  <c r="I159" i="18" s="1"/>
  <c r="J159" i="18" a="1"/>
  <c r="J159" i="18" s="1"/>
  <c r="K159" i="18" a="1"/>
  <c r="K159" i="18"/>
  <c r="L159" i="18" a="1"/>
  <c r="L159" i="18" s="1"/>
  <c r="M159" i="18" a="1"/>
  <c r="M159" i="18"/>
  <c r="N159" i="18" a="1"/>
  <c r="N159" i="18"/>
  <c r="O159" i="18" a="1"/>
  <c r="O159" i="18" s="1"/>
  <c r="P159" i="18" a="1"/>
  <c r="P159" i="18" s="1"/>
  <c r="Q159" i="18" a="1"/>
  <c r="Q159" i="18" s="1"/>
  <c r="B160" i="18" a="1"/>
  <c r="B160" i="18"/>
  <c r="C160" i="18" a="1"/>
  <c r="C160" i="18"/>
  <c r="D160" i="18" a="1"/>
  <c r="D160" i="18"/>
  <c r="E160" i="18" a="1"/>
  <c r="E160" i="18" s="1"/>
  <c r="F160" i="18" a="1"/>
  <c r="F160" i="18" s="1"/>
  <c r="G160" i="18" a="1"/>
  <c r="G160" i="18" s="1"/>
  <c r="H160" i="18" a="1"/>
  <c r="H160" i="18"/>
  <c r="I160" i="18" a="1"/>
  <c r="I160" i="18" s="1"/>
  <c r="J160" i="18" a="1"/>
  <c r="J160" i="18"/>
  <c r="K160" i="18" a="1"/>
  <c r="K160" i="18" s="1"/>
  <c r="L160" i="18" a="1"/>
  <c r="L160" i="18"/>
  <c r="M160" i="18" a="1"/>
  <c r="M160" i="18" s="1"/>
  <c r="N160" i="18" a="1"/>
  <c r="N160" i="18" s="1"/>
  <c r="O160" i="18" a="1"/>
  <c r="O160" i="18"/>
  <c r="P160" i="18" a="1"/>
  <c r="P160" i="18"/>
  <c r="Q160" i="18" a="1"/>
  <c r="Q160" i="18" s="1"/>
  <c r="B161" i="18" a="1"/>
  <c r="B161" i="18"/>
  <c r="C161" i="18" a="1"/>
  <c r="C161" i="18"/>
  <c r="D161" i="18" a="1"/>
  <c r="D161" i="18" s="1"/>
  <c r="E161" i="18" a="1"/>
  <c r="E161" i="18"/>
  <c r="F161" i="18" a="1"/>
  <c r="F161" i="18" s="1"/>
  <c r="G161" i="18" a="1"/>
  <c r="G161" i="18" s="1"/>
  <c r="H161" i="18" a="1"/>
  <c r="H161" i="18"/>
  <c r="I161" i="18" a="1"/>
  <c r="I161" i="18"/>
  <c r="J161" i="18" a="1"/>
  <c r="J161" i="18"/>
  <c r="K161" i="18" a="1"/>
  <c r="K161" i="18" s="1"/>
  <c r="L161" i="18" a="1"/>
  <c r="L161" i="18"/>
  <c r="M161" i="18" a="1"/>
  <c r="M161" i="18" s="1"/>
  <c r="N161" i="18" a="1"/>
  <c r="N161" i="18"/>
  <c r="O161" i="18" a="1"/>
  <c r="O161" i="18"/>
  <c r="P161" i="18" a="1"/>
  <c r="P161" i="18"/>
  <c r="Q161" i="18" a="1"/>
  <c r="Q161" i="18"/>
  <c r="B162" i="18" a="1"/>
  <c r="B162" i="18"/>
  <c r="C162" i="18" a="1"/>
  <c r="C162" i="18" s="1"/>
  <c r="D162" i="18" a="1"/>
  <c r="D162" i="18"/>
  <c r="E162" i="18" a="1"/>
  <c r="E162" i="18"/>
  <c r="F162" i="18" a="1"/>
  <c r="F162" i="18"/>
  <c r="G162" i="18" a="1"/>
  <c r="G162" i="18"/>
  <c r="H162" i="18" a="1"/>
  <c r="H162" i="18" s="1"/>
  <c r="I162" i="18" a="1"/>
  <c r="I162" i="18" s="1"/>
  <c r="J162" i="18" a="1"/>
  <c r="J162" i="18" s="1"/>
  <c r="K162" i="18" a="1"/>
  <c r="K162" i="18"/>
  <c r="L162" i="18" a="1"/>
  <c r="L162" i="18" s="1"/>
  <c r="M162" i="18" a="1"/>
  <c r="M162" i="18"/>
  <c r="N162" i="18" a="1"/>
  <c r="N162" i="18"/>
  <c r="O162" i="18" a="1"/>
  <c r="O162" i="18" s="1"/>
  <c r="P162" i="18" a="1"/>
  <c r="P162" i="18"/>
  <c r="Q162" i="18" a="1"/>
  <c r="Q162" i="18"/>
  <c r="B163" i="18" a="1"/>
  <c r="B163" i="18"/>
  <c r="C163" i="18" a="1"/>
  <c r="C163" i="18" s="1"/>
  <c r="D163" i="18" a="1"/>
  <c r="D163" i="18"/>
  <c r="E163" i="18" a="1"/>
  <c r="E163" i="18" s="1"/>
  <c r="F163" i="18" a="1"/>
  <c r="F163" i="18"/>
  <c r="G163" i="18" a="1"/>
  <c r="G163" i="18" s="1"/>
  <c r="H163" i="18" a="1"/>
  <c r="H163" i="18"/>
  <c r="I163" i="18" a="1"/>
  <c r="I163" i="18" s="1"/>
  <c r="J163" i="18" a="1"/>
  <c r="J163" i="18" s="1"/>
  <c r="K163" i="18" a="1"/>
  <c r="K163" i="18" s="1"/>
  <c r="L163" i="18" a="1"/>
  <c r="L163" i="18" s="1"/>
  <c r="M163" i="18" a="1"/>
  <c r="M163" i="18"/>
  <c r="N163" i="18" a="1"/>
  <c r="N163" i="18"/>
  <c r="O163" i="18" a="1"/>
  <c r="O163" i="18"/>
  <c r="P163" i="18" a="1"/>
  <c r="P163" i="18" s="1"/>
  <c r="Q163" i="18" a="1"/>
  <c r="Q163" i="18" s="1"/>
  <c r="B164" i="18" a="1"/>
  <c r="B164" i="18"/>
  <c r="C164" i="18" a="1"/>
  <c r="C164" i="18"/>
  <c r="D164" i="18" a="1"/>
  <c r="D164" i="18" s="1"/>
  <c r="E164" i="18" a="1"/>
  <c r="E164" i="18"/>
  <c r="F164" i="18" a="1"/>
  <c r="F164" i="18"/>
  <c r="G164" i="18" a="1"/>
  <c r="G164" i="18" s="1"/>
  <c r="H164" i="18" a="1"/>
  <c r="H164" i="18" s="1"/>
  <c r="I164" i="18" a="1"/>
  <c r="I164" i="18" s="1"/>
  <c r="J164" i="18" a="1"/>
  <c r="J164" i="18"/>
  <c r="K164" i="18" a="1"/>
  <c r="K164" i="18"/>
  <c r="L164" i="18" a="1"/>
  <c r="L164" i="18"/>
  <c r="M164" i="18" a="1"/>
  <c r="M164" i="18" s="1"/>
  <c r="N164" i="18" a="1"/>
  <c r="N164" i="18" s="1"/>
  <c r="O164" i="18" a="1"/>
  <c r="O164" i="18" s="1"/>
  <c r="P164" i="18" a="1"/>
  <c r="P164" i="18"/>
  <c r="Q164" i="18" a="1"/>
  <c r="Q164" i="18" s="1"/>
  <c r="B165" i="18" a="1"/>
  <c r="B165" i="18"/>
  <c r="C165" i="18" a="1"/>
  <c r="C165" i="18" s="1"/>
  <c r="D165" i="18" a="1"/>
  <c r="D165" i="18" s="1"/>
  <c r="E165" i="18" a="1"/>
  <c r="E165" i="18" s="1"/>
  <c r="F165" i="18" a="1"/>
  <c r="F165" i="18" s="1"/>
  <c r="G165" i="18" a="1"/>
  <c r="G165" i="18"/>
  <c r="H165" i="18" a="1"/>
  <c r="H165" i="18"/>
  <c r="I165" i="18" a="1"/>
  <c r="I165" i="18" s="1"/>
  <c r="J165" i="18" a="1"/>
  <c r="J165" i="18"/>
  <c r="K165" i="18" a="1"/>
  <c r="K165" i="18" s="1"/>
  <c r="L165" i="18" a="1"/>
  <c r="L165" i="18" s="1"/>
  <c r="M165" i="18" a="1"/>
  <c r="M165" i="18"/>
  <c r="N165" i="18" a="1"/>
  <c r="N165" i="18" s="1"/>
  <c r="O165" i="18" a="1"/>
  <c r="O165" i="18" s="1"/>
  <c r="P165" i="18" a="1"/>
  <c r="P165" i="18"/>
  <c r="Q165" i="18" a="1"/>
  <c r="Q165" i="18"/>
  <c r="B166" i="18" a="1"/>
  <c r="B166" i="18" s="1"/>
  <c r="C166" i="18" a="1"/>
  <c r="C166" i="18" s="1"/>
  <c r="D166" i="18" a="1"/>
  <c r="D166" i="18"/>
  <c r="E166" i="18" a="1"/>
  <c r="E166" i="18"/>
  <c r="F166" i="18" a="1"/>
  <c r="F166" i="18"/>
  <c r="G166" i="18" a="1"/>
  <c r="G166" i="18"/>
  <c r="H166" i="18" a="1"/>
  <c r="H166" i="18"/>
  <c r="I166" i="18" a="1"/>
  <c r="I166" i="18" s="1"/>
  <c r="J166" i="18" a="1"/>
  <c r="J166" i="18"/>
  <c r="K166" i="18" a="1"/>
  <c r="K166" i="18"/>
  <c r="L166" i="18" a="1"/>
  <c r="L166" i="18"/>
  <c r="M166" i="18" a="1"/>
  <c r="M166" i="18"/>
  <c r="N166" i="18" a="1"/>
  <c r="N166" i="18"/>
  <c r="O166" i="18" a="1"/>
  <c r="O166" i="18" s="1"/>
  <c r="P166" i="18" a="1"/>
  <c r="P166" i="18"/>
  <c r="Q166" i="18" a="1"/>
  <c r="Q166" i="18"/>
  <c r="B167" i="18" a="1"/>
  <c r="B167" i="18" s="1"/>
  <c r="C167" i="18" a="1"/>
  <c r="C167" i="18"/>
  <c r="D167" i="18" a="1"/>
  <c r="D167" i="18"/>
  <c r="E167" i="18" a="1"/>
  <c r="E167" i="18" s="1"/>
  <c r="F167" i="18" a="1"/>
  <c r="F167" i="18"/>
  <c r="G167" i="18" a="1"/>
  <c r="G167" i="18"/>
  <c r="H167" i="18" a="1"/>
  <c r="H167" i="18" s="1"/>
  <c r="I167" i="18" a="1"/>
  <c r="I167" i="18"/>
  <c r="J167" i="18" a="1"/>
  <c r="J167" i="18"/>
  <c r="K167" i="18" a="1"/>
  <c r="K167" i="18" s="1"/>
  <c r="L167" i="18" a="1"/>
  <c r="L167" i="18"/>
  <c r="M167" i="18" a="1"/>
  <c r="M167" i="18"/>
  <c r="N167" i="18" a="1"/>
  <c r="N167" i="18" s="1"/>
  <c r="O167" i="18" a="1"/>
  <c r="O167" i="18" s="1"/>
  <c r="P167" i="18" a="1"/>
  <c r="P167" i="18"/>
  <c r="Q167" i="18" a="1"/>
  <c r="Q167" i="18" s="1"/>
  <c r="B168" i="18" a="1"/>
  <c r="B168" i="18"/>
  <c r="C168" i="18" a="1"/>
  <c r="C168" i="18"/>
  <c r="D168" i="18" a="1"/>
  <c r="D168" i="18" s="1"/>
  <c r="E168" i="18" a="1"/>
  <c r="E168" i="18" s="1"/>
  <c r="F168" i="18" a="1"/>
  <c r="F168" i="18"/>
  <c r="G168" i="18" a="1"/>
  <c r="G168" i="18" s="1"/>
  <c r="H168" i="18" a="1"/>
  <c r="H168" i="18"/>
  <c r="I168" i="18" a="1"/>
  <c r="I168" i="18"/>
  <c r="J168" i="18" a="1"/>
  <c r="J168" i="18"/>
  <c r="K168" i="18" a="1"/>
  <c r="K168" i="18" s="1"/>
  <c r="L168" i="18" a="1"/>
  <c r="L168" i="18" s="1"/>
  <c r="M168" i="18" a="1"/>
  <c r="M168" i="18" s="1"/>
  <c r="N168" i="18" a="1"/>
  <c r="N168" i="18"/>
  <c r="O168" i="18" a="1"/>
  <c r="O168" i="18"/>
  <c r="P168" i="18" a="1"/>
  <c r="P168" i="18" s="1"/>
  <c r="Q168" i="18" a="1"/>
  <c r="Q168" i="18" s="1"/>
  <c r="B169" i="18" a="1"/>
  <c r="B169" i="18" s="1"/>
  <c r="C169" i="18" a="1"/>
  <c r="C169" i="18" s="1"/>
  <c r="D169" i="18" a="1"/>
  <c r="D169" i="18"/>
  <c r="E169" i="18" a="1"/>
  <c r="E169" i="18"/>
  <c r="F169" i="18" a="1"/>
  <c r="F169" i="18"/>
  <c r="G169" i="18" a="1"/>
  <c r="G169" i="18"/>
  <c r="H169" i="18" a="1"/>
  <c r="H169" i="18" s="1"/>
  <c r="I169" i="18" a="1"/>
  <c r="I169" i="18" s="1"/>
  <c r="J169" i="18" a="1"/>
  <c r="J169" i="18"/>
  <c r="K169" i="18" a="1"/>
  <c r="K169" i="18"/>
  <c r="L169" i="18" a="1"/>
  <c r="L169" i="18"/>
  <c r="M169" i="18" a="1"/>
  <c r="M169" i="18" s="1"/>
  <c r="N169" i="18" a="1"/>
  <c r="N169" i="18" s="1"/>
  <c r="O169" i="18" a="1"/>
  <c r="O169" i="18" s="1"/>
  <c r="P169" i="18" a="1"/>
  <c r="P169" i="18" s="1"/>
  <c r="Q169" i="18" a="1"/>
  <c r="Q169" i="18"/>
  <c r="B170" i="18" a="1"/>
  <c r="B170" i="18"/>
  <c r="C170" i="18" a="1"/>
  <c r="C170" i="18"/>
  <c r="D170" i="18" a="1"/>
  <c r="D170" i="18"/>
  <c r="E170" i="18" a="1"/>
  <c r="E170" i="18" s="1"/>
  <c r="F170" i="18" a="1"/>
  <c r="F170" i="18" s="1"/>
  <c r="G170" i="18" a="1"/>
  <c r="G170" i="18"/>
  <c r="H170" i="18" a="1"/>
  <c r="H170" i="18"/>
  <c r="I170" i="18" a="1"/>
  <c r="I170" i="18"/>
  <c r="J170" i="18" a="1"/>
  <c r="J170" i="18" s="1"/>
  <c r="K170" i="18" a="1"/>
  <c r="K170" i="18" s="1"/>
  <c r="L170" i="18" a="1"/>
  <c r="L170" i="18" s="1"/>
  <c r="M170" i="18" a="1"/>
  <c r="M170" i="18"/>
  <c r="N170" i="18" a="1"/>
  <c r="N170" i="18"/>
  <c r="O170" i="18" a="1"/>
  <c r="O170" i="18"/>
  <c r="P170" i="18" a="1"/>
  <c r="P170" i="18"/>
  <c r="Q170" i="18" a="1"/>
  <c r="Q170" i="18" s="1"/>
  <c r="B171" i="18" a="1"/>
  <c r="B171" i="18" s="1"/>
  <c r="C171" i="18" a="1"/>
  <c r="C171" i="18" s="1"/>
  <c r="D171" i="18" a="1"/>
  <c r="D171" i="18" s="1"/>
  <c r="E171" i="18" a="1"/>
  <c r="E171" i="18"/>
  <c r="F171" i="18" a="1"/>
  <c r="F171" i="18"/>
  <c r="G171" i="18" a="1"/>
  <c r="G171" i="18" s="1"/>
  <c r="H171" i="18" a="1"/>
  <c r="H171" i="18" s="1"/>
  <c r="I171" i="18" a="1"/>
  <c r="I171" i="18" s="1"/>
  <c r="J171" i="18" a="1"/>
  <c r="J171" i="18" s="1"/>
  <c r="K171" i="18" a="1"/>
  <c r="K171" i="18" s="1"/>
  <c r="L171" i="18" a="1"/>
  <c r="L171" i="18"/>
  <c r="M171" i="18" a="1"/>
  <c r="M171" i="18" s="1"/>
  <c r="N171" i="18" a="1"/>
  <c r="N171" i="18"/>
  <c r="O171" i="18" a="1"/>
  <c r="O171" i="18" s="1"/>
  <c r="P171" i="18" a="1"/>
  <c r="P171" i="18"/>
  <c r="Q171" i="18" a="1"/>
  <c r="Q171" i="18" s="1"/>
  <c r="B172" i="18" a="1"/>
  <c r="B172" i="18" s="1"/>
  <c r="C172" i="18" a="1"/>
  <c r="C172" i="18" s="1"/>
  <c r="D172" i="18" a="1"/>
  <c r="D172" i="18"/>
  <c r="E172" i="18" a="1"/>
  <c r="E172" i="18" s="1"/>
  <c r="F172" i="18" a="1"/>
  <c r="F172" i="18" s="1"/>
  <c r="G172" i="18" a="1"/>
  <c r="G172" i="18"/>
  <c r="H172" i="18" a="1"/>
  <c r="H172" i="18" s="1"/>
  <c r="I172" i="18" a="1"/>
  <c r="I172" i="18" s="1"/>
  <c r="J172" i="18" a="1"/>
  <c r="J172" i="18"/>
  <c r="K172" i="18" a="1"/>
  <c r="K172" i="18" s="1"/>
  <c r="L172" i="18" a="1"/>
  <c r="L172" i="18"/>
  <c r="M172" i="18" a="1"/>
  <c r="M172" i="18"/>
  <c r="N172" i="18" a="1"/>
  <c r="N172" i="18"/>
  <c r="O172" i="18" a="1"/>
  <c r="O172" i="18" s="1"/>
  <c r="P172" i="18" a="1"/>
  <c r="P172" i="18" s="1"/>
  <c r="Q172" i="18" a="1"/>
  <c r="Q172" i="18" s="1"/>
  <c r="B173" i="18" a="1"/>
  <c r="B173" i="18"/>
  <c r="C173" i="18" a="1"/>
  <c r="C173" i="18"/>
  <c r="D173" i="18" a="1"/>
  <c r="D173" i="18"/>
  <c r="E173" i="18" a="1"/>
  <c r="E173" i="18" s="1"/>
  <c r="F173" i="18" a="1"/>
  <c r="F173" i="18"/>
  <c r="G173" i="18" a="1"/>
  <c r="G173" i="18" s="1"/>
  <c r="H173" i="18" a="1"/>
  <c r="H173" i="18" s="1"/>
  <c r="I173" i="18" a="1"/>
  <c r="I173" i="18"/>
  <c r="J173" i="18" a="1"/>
  <c r="J173" i="18"/>
  <c r="K173" i="18" a="1"/>
  <c r="K173" i="18" s="1"/>
  <c r="L173" i="18" a="1"/>
  <c r="L173" i="18" s="1"/>
  <c r="M173" i="18" a="1"/>
  <c r="M173" i="18" s="1"/>
  <c r="N173" i="18" a="1"/>
  <c r="N173" i="18" s="1"/>
  <c r="O173" i="18" a="1"/>
  <c r="O173" i="18" s="1"/>
  <c r="P173" i="18" a="1"/>
  <c r="P173" i="18"/>
  <c r="Q173" i="18" a="1"/>
  <c r="Q173" i="18" s="1"/>
  <c r="B174" i="18" a="1"/>
  <c r="B174" i="18"/>
  <c r="C174" i="18" a="1"/>
  <c r="C174" i="18" s="1"/>
  <c r="D174" i="18" a="1"/>
  <c r="D174" i="18"/>
  <c r="E174" i="18" a="1"/>
  <c r="E174" i="18" s="1"/>
  <c r="F174" i="18" a="1"/>
  <c r="F174" i="18" s="1"/>
  <c r="G174" i="18" a="1"/>
  <c r="G174" i="18" s="1"/>
  <c r="H174" i="18" a="1"/>
  <c r="H174" i="18"/>
  <c r="I174" i="18" a="1"/>
  <c r="I174" i="18" s="1"/>
  <c r="J174" i="18" a="1"/>
  <c r="J174" i="18"/>
  <c r="K174" i="18" a="1"/>
  <c r="K174" i="18"/>
  <c r="L174" i="18" a="1"/>
  <c r="L174" i="18" s="1"/>
  <c r="M174" i="18" a="1"/>
  <c r="M174" i="18" s="1"/>
  <c r="N174" i="18" a="1"/>
  <c r="N174" i="18"/>
  <c r="O174" i="18" a="1"/>
  <c r="O174" i="18" s="1"/>
  <c r="P174" i="18" a="1"/>
  <c r="P174" i="18"/>
  <c r="Q174" i="18" a="1"/>
  <c r="Q174" i="18" s="1"/>
  <c r="B175" i="18" a="1"/>
  <c r="B175" i="18"/>
  <c r="C175" i="18" a="1"/>
  <c r="C175" i="18" s="1"/>
  <c r="D175" i="18" a="1"/>
  <c r="D175" i="18" s="1"/>
  <c r="E175" i="18" a="1"/>
  <c r="E175" i="18" s="1"/>
  <c r="F175" i="18" a="1"/>
  <c r="F175" i="18"/>
  <c r="G175" i="18" a="1"/>
  <c r="G175" i="18" s="1"/>
  <c r="H175" i="18" a="1"/>
  <c r="H175" i="18"/>
  <c r="I175" i="18" a="1"/>
  <c r="I175" i="18" s="1"/>
  <c r="J175" i="18" a="1"/>
  <c r="J175" i="18"/>
  <c r="K175" i="18" a="1"/>
  <c r="K175" i="18" s="1"/>
  <c r="L175" i="18" a="1"/>
  <c r="L175" i="18" s="1"/>
  <c r="M175" i="18" a="1"/>
  <c r="M175" i="18" s="1"/>
  <c r="N175" i="18" a="1"/>
  <c r="N175" i="18"/>
  <c r="O175" i="18" a="1"/>
  <c r="O175" i="18" s="1"/>
  <c r="P175" i="18" a="1"/>
  <c r="P175" i="18" s="1"/>
  <c r="Q175" i="18" a="1"/>
  <c r="Q175" i="18" s="1"/>
  <c r="B176" i="18" a="1"/>
  <c r="B176" i="18" s="1"/>
  <c r="C176" i="18" a="1"/>
  <c r="C176" i="18" s="1"/>
  <c r="D176" i="18" a="1"/>
  <c r="D176" i="18" s="1"/>
  <c r="E176" i="18" a="1"/>
  <c r="E176" i="18" s="1"/>
  <c r="F176" i="18" a="1"/>
  <c r="F176" i="18"/>
  <c r="G176" i="18" a="1"/>
  <c r="G176" i="18" s="1"/>
  <c r="H176" i="18" a="1"/>
  <c r="H176" i="18"/>
  <c r="I176" i="18" a="1"/>
  <c r="I176" i="18" s="1"/>
  <c r="J176" i="18" a="1"/>
  <c r="J176" i="18" s="1"/>
  <c r="K176" i="18" a="1"/>
  <c r="K176" i="18" s="1"/>
  <c r="L176" i="18" a="1"/>
  <c r="L176" i="18"/>
  <c r="M176" i="18" a="1"/>
  <c r="M176" i="18" s="1"/>
  <c r="N176" i="18" a="1"/>
  <c r="N176" i="18"/>
  <c r="O176" i="18" a="1"/>
  <c r="O176" i="18"/>
  <c r="P176" i="18" a="1"/>
  <c r="P176" i="18" s="1"/>
  <c r="Q176" i="18" a="1"/>
  <c r="Q176" i="18" s="1"/>
  <c r="B177" i="18" a="1"/>
  <c r="B177" i="18"/>
  <c r="C177" i="18" a="1"/>
  <c r="C177" i="18" s="1"/>
  <c r="D177" i="18" a="1"/>
  <c r="D177" i="18" s="1"/>
  <c r="E177" i="18" a="1"/>
  <c r="E177" i="18"/>
  <c r="F177" i="18" a="1"/>
  <c r="F177" i="18"/>
  <c r="G177" i="18" a="1"/>
  <c r="G177" i="18" s="1"/>
  <c r="H177" i="18" a="1"/>
  <c r="H177" i="18" s="1"/>
  <c r="I177" i="18" a="1"/>
  <c r="I177" i="18" s="1"/>
  <c r="J177" i="18" a="1"/>
  <c r="J177" i="18" s="1"/>
  <c r="K177" i="18" a="1"/>
  <c r="K177" i="18"/>
  <c r="L177" i="18" a="1"/>
  <c r="L177" i="18" s="1"/>
  <c r="M177" i="18" a="1"/>
  <c r="M177" i="18" s="1"/>
  <c r="N177" i="18" a="1"/>
  <c r="N177" i="18"/>
  <c r="O177" i="18" a="1"/>
  <c r="O177" i="18" s="1"/>
  <c r="P177" i="18" a="1"/>
  <c r="P177" i="18" s="1"/>
  <c r="Q177" i="18" a="1"/>
  <c r="Q177" i="18" s="1"/>
  <c r="B178" i="18" a="1"/>
  <c r="B178" i="18" s="1"/>
  <c r="C178" i="18" a="1"/>
  <c r="C178" i="18" s="1"/>
  <c r="D178" i="18" a="1"/>
  <c r="D178" i="18" s="1"/>
  <c r="E178" i="18" a="1"/>
  <c r="E178" i="18" s="1"/>
  <c r="F178" i="18" a="1"/>
  <c r="F178" i="18" s="1"/>
  <c r="G178" i="18" a="1"/>
  <c r="G178" i="18" s="1"/>
  <c r="H178" i="18" a="1"/>
  <c r="H178" i="18" s="1"/>
  <c r="I178" i="18" a="1"/>
  <c r="I178" i="18" s="1"/>
  <c r="J178" i="18" a="1"/>
  <c r="J178" i="18"/>
  <c r="K178" i="18" a="1"/>
  <c r="K178" i="18" s="1"/>
  <c r="L178" i="18" a="1"/>
  <c r="L178" i="18"/>
  <c r="M178" i="18" a="1"/>
  <c r="M178" i="18" s="1"/>
  <c r="N178" i="18" a="1"/>
  <c r="N178" i="18" s="1"/>
  <c r="O178" i="18" a="1"/>
  <c r="O178" i="18" s="1"/>
  <c r="P178" i="18" a="1"/>
  <c r="P178" i="18"/>
  <c r="Q178" i="18" a="1"/>
  <c r="Q178" i="18" s="1"/>
  <c r="B179" i="18" a="1"/>
  <c r="B179" i="18"/>
  <c r="C179" i="18" a="1"/>
  <c r="C179" i="18"/>
  <c r="D179" i="18" a="1"/>
  <c r="D179" i="18" s="1"/>
  <c r="E179" i="18" a="1"/>
  <c r="E179" i="18" s="1"/>
  <c r="F179" i="18" a="1"/>
  <c r="F179" i="18"/>
  <c r="G179" i="18" a="1"/>
  <c r="G179" i="18" s="1"/>
  <c r="H179" i="18" a="1"/>
  <c r="H179" i="18"/>
  <c r="I179" i="18" a="1"/>
  <c r="I179" i="18"/>
  <c r="J179" i="18" a="1"/>
  <c r="J179" i="18"/>
  <c r="K179" i="18" a="1"/>
  <c r="K179" i="18" s="1"/>
  <c r="L179" i="18" a="1"/>
  <c r="L179" i="18"/>
  <c r="M179" i="18" a="1"/>
  <c r="M179" i="18" s="1"/>
  <c r="N179" i="18" a="1"/>
  <c r="N179" i="18" s="1"/>
  <c r="O179" i="18" a="1"/>
  <c r="O179" i="18" s="1"/>
  <c r="P179" i="18" a="1"/>
  <c r="P179" i="18"/>
  <c r="Q179" i="18" a="1"/>
  <c r="Q179" i="18" s="1"/>
  <c r="B180" i="18" a="1"/>
  <c r="B180" i="18"/>
  <c r="C180" i="18" a="1"/>
  <c r="C180" i="18" s="1"/>
  <c r="D180" i="18" a="1"/>
  <c r="D180" i="18" s="1"/>
  <c r="E180" i="18" a="1"/>
  <c r="E180" i="18" s="1"/>
  <c r="F180" i="18" a="1"/>
  <c r="F180" i="18"/>
  <c r="G180" i="18" a="1"/>
  <c r="G180" i="18" s="1"/>
  <c r="H180" i="18" a="1"/>
  <c r="H180" i="18" s="1"/>
  <c r="I180" i="18" a="1"/>
  <c r="I180" i="18" s="1"/>
  <c r="J180" i="18" a="1"/>
  <c r="J180" i="18" s="1"/>
  <c r="K180" i="18" a="1"/>
  <c r="K180" i="18" s="1"/>
  <c r="L180" i="18" a="1"/>
  <c r="L180" i="18" s="1"/>
  <c r="M180" i="18" a="1"/>
  <c r="M180" i="18" s="1"/>
  <c r="N180" i="18" a="1"/>
  <c r="N180" i="18"/>
  <c r="O180" i="18" a="1"/>
  <c r="O180" i="18" s="1"/>
  <c r="P180" i="18" a="1"/>
  <c r="P180" i="18"/>
  <c r="Q180" i="18" a="1"/>
  <c r="Q180" i="18" s="1"/>
  <c r="B181" i="18" a="1"/>
  <c r="B181" i="18" s="1"/>
  <c r="C181" i="18" a="1"/>
  <c r="C181" i="18" s="1"/>
  <c r="D181" i="18" a="1"/>
  <c r="D181" i="18"/>
  <c r="E181" i="18" a="1"/>
  <c r="E181" i="18" s="1"/>
  <c r="F181" i="18" a="1"/>
  <c r="F181" i="18" s="1"/>
  <c r="G181" i="18" a="1"/>
  <c r="G181" i="18"/>
  <c r="H181" i="18" a="1"/>
  <c r="H181" i="18" s="1"/>
  <c r="I181" i="18" a="1"/>
  <c r="I181" i="18" s="1"/>
  <c r="J181" i="18" a="1"/>
  <c r="J181" i="18"/>
  <c r="K181" i="18" a="1"/>
  <c r="K181" i="18" s="1"/>
  <c r="L181" i="18" a="1"/>
  <c r="L181" i="18"/>
  <c r="M181" i="18" a="1"/>
  <c r="M181" i="18"/>
  <c r="N181" i="18" a="1"/>
  <c r="N181" i="18"/>
  <c r="O181" i="18" a="1"/>
  <c r="O181" i="18" s="1"/>
  <c r="P181" i="18" a="1"/>
  <c r="P181" i="18"/>
  <c r="Q181" i="18" a="1"/>
  <c r="Q181" i="18" s="1"/>
  <c r="B182" i="18" a="1"/>
  <c r="B182" i="18" s="1"/>
  <c r="C182" i="18" a="1"/>
  <c r="C182" i="18"/>
  <c r="D182" i="18" a="1"/>
  <c r="D182" i="18"/>
  <c r="E182" i="18" a="1"/>
  <c r="E182" i="18" s="1"/>
  <c r="F182" i="18" a="1"/>
  <c r="F182" i="18"/>
  <c r="G182" i="18" a="1"/>
  <c r="G182" i="18" s="1"/>
  <c r="H182" i="18" a="1"/>
  <c r="H182" i="18" s="1"/>
  <c r="I182" i="18" a="1"/>
  <c r="I182" i="18" s="1"/>
  <c r="J182" i="18" a="1"/>
  <c r="J182" i="18" s="1"/>
  <c r="K182" i="18" a="1"/>
  <c r="K182" i="18" s="1"/>
  <c r="L182" i="18" a="1"/>
  <c r="L182" i="18" s="1"/>
  <c r="M182" i="18" a="1"/>
  <c r="M182" i="18" s="1"/>
  <c r="N182" i="18" a="1"/>
  <c r="N182" i="18" s="1"/>
  <c r="O182" i="18" a="1"/>
  <c r="O182" i="18" s="1"/>
  <c r="P182" i="18" a="1"/>
  <c r="P182" i="18" s="1"/>
  <c r="Q182" i="18" a="1"/>
  <c r="Q182" i="18" s="1"/>
  <c r="B183" i="18" a="1"/>
  <c r="B183" i="18" s="1"/>
  <c r="C183" i="18" a="1"/>
  <c r="C183" i="18" s="1"/>
  <c r="D183" i="18" a="1"/>
  <c r="D183" i="18"/>
  <c r="E183" i="18" a="1"/>
  <c r="E183" i="18" s="1"/>
  <c r="F183" i="18" a="1"/>
  <c r="F183" i="18" s="1"/>
  <c r="G183" i="18" a="1"/>
  <c r="G183" i="18" s="1"/>
  <c r="H183" i="18" a="1"/>
  <c r="H183" i="18"/>
  <c r="I183" i="18" a="1"/>
  <c r="I183" i="18" s="1"/>
  <c r="J183" i="18" a="1"/>
  <c r="J183" i="18"/>
  <c r="K183" i="18" a="1"/>
  <c r="K183" i="18"/>
  <c r="L183" i="18" a="1"/>
  <c r="L183" i="18" s="1"/>
  <c r="M183" i="18" a="1"/>
  <c r="M183" i="18" s="1"/>
  <c r="N183" i="18" a="1"/>
  <c r="N183" i="18"/>
  <c r="O183" i="18" a="1"/>
  <c r="O183" i="18" s="1"/>
  <c r="P183" i="18" a="1"/>
  <c r="P183" i="18"/>
  <c r="Q183" i="18" a="1"/>
  <c r="Q183" i="18"/>
  <c r="B184" i="18" a="1"/>
  <c r="B184" i="18"/>
  <c r="C184" i="18" a="1"/>
  <c r="C184" i="18" s="1"/>
  <c r="D184" i="18" a="1"/>
  <c r="D184" i="18"/>
  <c r="E184" i="18" a="1"/>
  <c r="E184" i="18" s="1"/>
  <c r="F184" i="18" a="1"/>
  <c r="F184" i="18" s="1"/>
  <c r="G184" i="18" a="1"/>
  <c r="G184" i="18"/>
  <c r="H184" i="18" a="1"/>
  <c r="H184" i="18" s="1"/>
  <c r="I184" i="18" a="1"/>
  <c r="I184" i="18" s="1"/>
  <c r="J184" i="18" a="1"/>
  <c r="J184" i="18" s="1"/>
  <c r="K184" i="18" a="1"/>
  <c r="K184" i="18" s="1"/>
  <c r="L184" i="18" a="1"/>
  <c r="L184" i="18" s="1"/>
  <c r="M184" i="18" a="1"/>
  <c r="M184" i="18" s="1"/>
  <c r="N184" i="18" a="1"/>
  <c r="N184" i="18"/>
  <c r="O184" i="18" a="1"/>
  <c r="O184" i="18" s="1"/>
  <c r="P184" i="18" a="1"/>
  <c r="P184" i="18" s="1"/>
  <c r="Q184" i="18" a="1"/>
  <c r="Q184" i="18" s="1"/>
  <c r="B185" i="18" a="1"/>
  <c r="B185" i="18" s="1"/>
  <c r="C185" i="18" a="1"/>
  <c r="C185" i="18" s="1"/>
  <c r="D185" i="18" a="1"/>
  <c r="D185" i="18" s="1"/>
  <c r="E185" i="18" a="1"/>
  <c r="E185" i="18" s="1"/>
  <c r="F185" i="18" a="1"/>
  <c r="F185" i="18"/>
  <c r="G185" i="18" a="1"/>
  <c r="G185" i="18" s="1"/>
  <c r="H185" i="18" a="1"/>
  <c r="H185" i="18"/>
  <c r="I185" i="18" a="1"/>
  <c r="I185" i="18" s="1"/>
  <c r="J185" i="18" a="1"/>
  <c r="J185" i="18" s="1"/>
  <c r="K185" i="18" a="1"/>
  <c r="K185" i="18" s="1"/>
  <c r="L185" i="18" a="1"/>
  <c r="L185" i="18"/>
  <c r="M185" i="18" a="1"/>
  <c r="M185" i="18" s="1"/>
  <c r="N185" i="18" a="1"/>
  <c r="N185" i="18"/>
  <c r="O185" i="18" a="1"/>
  <c r="O185" i="18"/>
  <c r="P185" i="18" a="1"/>
  <c r="P185" i="18" s="1"/>
  <c r="Q185" i="18" a="1"/>
  <c r="Q185" i="18" s="1"/>
  <c r="B186" i="18" a="1"/>
  <c r="B186" i="18"/>
  <c r="C186" i="18" a="1"/>
  <c r="C186" i="18" s="1"/>
  <c r="D186" i="18" a="1"/>
  <c r="D186" i="18"/>
  <c r="E186" i="18" a="1"/>
  <c r="E186" i="18" s="1"/>
  <c r="F186" i="18" a="1"/>
  <c r="F186" i="18"/>
  <c r="G186" i="18" a="1"/>
  <c r="G186" i="18" s="1"/>
  <c r="H186" i="18" a="1"/>
  <c r="H186" i="18"/>
  <c r="I186" i="18" a="1"/>
  <c r="I186" i="18" s="1"/>
  <c r="J186" i="18" a="1"/>
  <c r="J186" i="18" s="1"/>
  <c r="K186" i="18" a="1"/>
  <c r="K186" i="18" s="1"/>
  <c r="L186" i="18" a="1"/>
  <c r="L186" i="18"/>
  <c r="M186" i="18" a="1"/>
  <c r="M186" i="18" s="1"/>
  <c r="N186" i="18" a="1"/>
  <c r="N186" i="18"/>
  <c r="O186" i="18" a="1"/>
  <c r="O186" i="18" s="1"/>
  <c r="P186" i="18" a="1"/>
  <c r="P186" i="18" s="1"/>
  <c r="Q186" i="18" a="1"/>
  <c r="Q186" i="18" s="1"/>
  <c r="B187" i="18" a="1"/>
  <c r="B187" i="18"/>
  <c r="C187" i="18" a="1"/>
  <c r="C187" i="18" s="1"/>
  <c r="D187" i="18" a="1"/>
  <c r="D187" i="18" s="1"/>
  <c r="E187" i="18" a="1"/>
  <c r="E187" i="18" s="1"/>
  <c r="F187" i="18" a="1"/>
  <c r="F187" i="18" s="1"/>
  <c r="G187" i="18" a="1"/>
  <c r="G187" i="18" s="1"/>
  <c r="H187" i="18" a="1"/>
  <c r="H187" i="18" s="1"/>
  <c r="I187" i="18" a="1"/>
  <c r="I187" i="18" s="1"/>
  <c r="J187" i="18" a="1"/>
  <c r="J187" i="18"/>
  <c r="K187" i="18" a="1"/>
  <c r="K187" i="18" s="1"/>
  <c r="L187" i="18" a="1"/>
  <c r="L187" i="18"/>
  <c r="M187" i="18" a="1"/>
  <c r="M187" i="18" s="1"/>
  <c r="N187" i="18" a="1"/>
  <c r="N187" i="18" s="1"/>
  <c r="O187" i="18" a="1"/>
  <c r="O187" i="18" s="1"/>
  <c r="P187" i="18" a="1"/>
  <c r="P187" i="18"/>
  <c r="Q187" i="18" a="1"/>
  <c r="Q187" i="18" s="1"/>
  <c r="B188" i="18" a="1"/>
  <c r="B188" i="18" s="1"/>
  <c r="C188" i="18" a="1"/>
  <c r="C188" i="18"/>
  <c r="D188" i="18" a="1"/>
  <c r="D188" i="18" s="1"/>
  <c r="E188" i="18" a="1"/>
  <c r="E188" i="18" s="1"/>
  <c r="F188" i="18" a="1"/>
  <c r="F188" i="18"/>
  <c r="G188" i="18" a="1"/>
  <c r="G188" i="18" s="1"/>
  <c r="H188" i="18" a="1"/>
  <c r="H188" i="18" s="1"/>
  <c r="I188" i="18" a="1"/>
  <c r="I188" i="18"/>
  <c r="J188" i="18" a="1"/>
  <c r="J188" i="18"/>
  <c r="K188" i="18" a="1"/>
  <c r="K188" i="18" s="1"/>
  <c r="L188" i="18" a="1"/>
  <c r="L188" i="18"/>
  <c r="M188" i="18" a="1"/>
  <c r="M188" i="18" s="1"/>
  <c r="N188" i="18" a="1"/>
  <c r="N188" i="18" s="1"/>
  <c r="O188" i="18" a="1"/>
  <c r="O188" i="18"/>
  <c r="P188" i="18" a="1"/>
  <c r="P188" i="18"/>
  <c r="Q188" i="18" a="1"/>
  <c r="Q188" i="18" s="1"/>
  <c r="B189" i="18" a="1"/>
  <c r="B189" i="18"/>
  <c r="C189" i="18" a="1"/>
  <c r="C189" i="18" s="1"/>
  <c r="D189" i="18" a="1"/>
  <c r="D189" i="18" s="1"/>
  <c r="E189" i="18" a="1"/>
  <c r="E189" i="18" s="1"/>
  <c r="F189" i="18" a="1"/>
  <c r="F189" i="18" s="1"/>
  <c r="G189" i="18" a="1"/>
  <c r="G189" i="18" s="1"/>
  <c r="H189" i="18" a="1"/>
  <c r="H189" i="18" s="1"/>
  <c r="I189" i="18" a="1"/>
  <c r="I189" i="18" s="1"/>
  <c r="J189" i="18" a="1"/>
  <c r="J189" i="18" s="1"/>
  <c r="K189" i="18" a="1"/>
  <c r="K189" i="18" s="1"/>
  <c r="L189" i="18" a="1"/>
  <c r="L189" i="18" s="1"/>
  <c r="M189" i="18" a="1"/>
  <c r="M189" i="18" s="1"/>
  <c r="N189" i="18" a="1"/>
  <c r="N189" i="18"/>
  <c r="O189" i="18" a="1"/>
  <c r="O189" i="18" s="1"/>
  <c r="P189" i="18" a="1"/>
  <c r="P189" i="18"/>
  <c r="Q189" i="18" a="1"/>
  <c r="Q189" i="18" s="1"/>
  <c r="B190" i="18" a="1"/>
  <c r="B190" i="18" s="1"/>
  <c r="C190" i="18" a="1"/>
  <c r="C190" i="18" s="1"/>
  <c r="D190" i="18" a="1"/>
  <c r="D190" i="18"/>
  <c r="E190" i="18" a="1"/>
  <c r="E190" i="18" s="1"/>
  <c r="F190" i="18" a="1"/>
  <c r="F190" i="18"/>
  <c r="G190" i="18" a="1"/>
  <c r="G190" i="18"/>
  <c r="H190" i="18" a="1"/>
  <c r="H190" i="18" s="1"/>
  <c r="I190" i="18" a="1"/>
  <c r="I190" i="18" s="1"/>
  <c r="J190" i="18" a="1"/>
  <c r="J190" i="18"/>
  <c r="K190" i="18" a="1"/>
  <c r="K190" i="18" s="1"/>
  <c r="L190" i="18" a="1"/>
  <c r="L190" i="18"/>
  <c r="M190" i="18" a="1"/>
  <c r="M190" i="18"/>
  <c r="N190" i="18" a="1"/>
  <c r="N190" i="18"/>
  <c r="O190" i="18" a="1"/>
  <c r="O190" i="18" s="1"/>
  <c r="P190" i="18" a="1"/>
  <c r="P190" i="18"/>
  <c r="Q190" i="18" a="1"/>
  <c r="Q190" i="18" s="1"/>
  <c r="B191" i="18" a="1"/>
  <c r="B191" i="18" s="1"/>
  <c r="C191" i="18" a="1"/>
  <c r="C191" i="18"/>
  <c r="D191" i="18" a="1"/>
  <c r="D191" i="18"/>
  <c r="E191" i="18" a="1"/>
  <c r="E191" i="18" s="1"/>
  <c r="F191" i="18" a="1"/>
  <c r="F191" i="18"/>
  <c r="G191" i="18" a="1"/>
  <c r="G191" i="18" s="1"/>
  <c r="H191" i="18" a="1"/>
  <c r="H191" i="18" s="1"/>
  <c r="I191" i="18" a="1"/>
  <c r="I191" i="18" s="1"/>
  <c r="J191" i="18" a="1"/>
  <c r="J191" i="18"/>
  <c r="K191" i="18" a="1"/>
  <c r="K191" i="18" s="1"/>
  <c r="L191" i="18" a="1"/>
  <c r="L191" i="18"/>
  <c r="M191" i="18" a="1"/>
  <c r="M191" i="18" s="1"/>
  <c r="N191" i="18" a="1"/>
  <c r="N191" i="18" s="1"/>
  <c r="O191" i="18" a="1"/>
  <c r="O191" i="18" s="1"/>
  <c r="P191" i="18" a="1"/>
  <c r="P191" i="18" s="1"/>
  <c r="Q191" i="18" a="1"/>
  <c r="Q191" i="18" s="1"/>
  <c r="B192" i="18" a="1"/>
  <c r="B192" i="18" s="1"/>
  <c r="C192" i="18" a="1"/>
  <c r="C192" i="18" s="1"/>
  <c r="D192" i="18" a="1"/>
  <c r="D192" i="18" s="1"/>
  <c r="E192" i="18" a="1"/>
  <c r="E192" i="18" s="1"/>
  <c r="F192" i="18" a="1"/>
  <c r="F192" i="18" s="1"/>
  <c r="G192" i="18" a="1"/>
  <c r="G192" i="18" s="1"/>
  <c r="H192" i="18" a="1"/>
  <c r="H192" i="18"/>
  <c r="I192" i="18" a="1"/>
  <c r="I192" i="18" s="1"/>
  <c r="J192" i="18" a="1"/>
  <c r="J192" i="18"/>
  <c r="K192" i="18" a="1"/>
  <c r="K192" i="18"/>
  <c r="L192" i="18" a="1"/>
  <c r="L192" i="18" s="1"/>
  <c r="M192" i="18" a="1"/>
  <c r="M192" i="18" s="1"/>
  <c r="N192" i="18" a="1"/>
  <c r="N192" i="18"/>
  <c r="O192" i="18" a="1"/>
  <c r="O192" i="18" s="1"/>
  <c r="P192" i="18" a="1"/>
  <c r="P192" i="18"/>
  <c r="Q192" i="18" a="1"/>
  <c r="Q192" i="18"/>
  <c r="B193" i="18" a="1"/>
  <c r="B193" i="18" s="1"/>
  <c r="C193" i="18" a="1"/>
  <c r="C193" i="18" s="1"/>
  <c r="D193" i="18" a="1"/>
  <c r="D193" i="18"/>
  <c r="E193" i="18" a="1"/>
  <c r="E193" i="18" s="1"/>
  <c r="F193" i="18" a="1"/>
  <c r="F193" i="18"/>
  <c r="G193" i="18" a="1"/>
  <c r="G193" i="18"/>
  <c r="H193" i="18" a="1"/>
  <c r="H193" i="18"/>
  <c r="I193" i="18" a="1"/>
  <c r="I193" i="18" s="1"/>
  <c r="J193" i="18" a="1"/>
  <c r="J193" i="18"/>
  <c r="K193" i="18" a="1"/>
  <c r="K193" i="18" s="1"/>
  <c r="L193" i="18" a="1"/>
  <c r="L193" i="18" s="1"/>
  <c r="M193" i="18" a="1"/>
  <c r="M193" i="18"/>
  <c r="N193" i="18" a="1"/>
  <c r="N193" i="18"/>
  <c r="O193" i="18" a="1"/>
  <c r="O193" i="18" s="1"/>
  <c r="P193" i="18" a="1"/>
  <c r="P193" i="18"/>
  <c r="Q193" i="18" a="1"/>
  <c r="Q193" i="18" s="1"/>
  <c r="B194" i="18" a="1"/>
  <c r="B194" i="18"/>
  <c r="C194" i="18" a="1"/>
  <c r="C194" i="18" s="1"/>
  <c r="D194" i="18" a="1"/>
  <c r="D194" i="18"/>
  <c r="E194" i="18" a="1"/>
  <c r="E194" i="18" s="1"/>
  <c r="F194" i="18" a="1"/>
  <c r="F194" i="18"/>
  <c r="G194" i="18" a="1"/>
  <c r="G194" i="18" s="1"/>
  <c r="H194" i="18" a="1"/>
  <c r="H194" i="18"/>
  <c r="I194" i="18" a="1"/>
  <c r="I194" i="18" s="1"/>
  <c r="J194" i="18" a="1"/>
  <c r="J194" i="18" s="1"/>
  <c r="K194" i="18" a="1"/>
  <c r="K194" i="18" s="1"/>
  <c r="L194" i="18" a="1"/>
  <c r="L194" i="18" s="1"/>
  <c r="M194" i="18" a="1"/>
  <c r="M194" i="18" s="1"/>
  <c r="N194" i="18" a="1"/>
  <c r="N194" i="18"/>
  <c r="O194" i="18" a="1"/>
  <c r="O194" i="18" s="1"/>
  <c r="P194" i="18" a="1"/>
  <c r="P194" i="18"/>
  <c r="Q194" i="18" a="1"/>
  <c r="Q194" i="18" s="1"/>
  <c r="B195" i="18" a="1"/>
  <c r="B195" i="18"/>
  <c r="C195" i="18" a="1"/>
  <c r="C195" i="18" s="1"/>
  <c r="D195" i="18" a="1"/>
  <c r="D195" i="18"/>
  <c r="E195" i="18" a="1"/>
  <c r="E195" i="18" s="1"/>
  <c r="F195" i="18" a="1"/>
  <c r="F195" i="18" s="1"/>
  <c r="G195" i="18" a="1"/>
  <c r="G195" i="18" s="1"/>
  <c r="H195" i="18" a="1"/>
  <c r="H195" i="18" s="1"/>
  <c r="I195" i="18" a="1"/>
  <c r="I195" i="18" s="1"/>
  <c r="J195" i="18" a="1"/>
  <c r="J195" i="18" s="1"/>
  <c r="K195" i="18" a="1"/>
  <c r="K195" i="18"/>
  <c r="L195" i="18" a="1"/>
  <c r="L195" i="18" s="1"/>
  <c r="M195" i="18" a="1"/>
  <c r="M195" i="18" s="1"/>
  <c r="N195" i="18" a="1"/>
  <c r="N195" i="18"/>
  <c r="O195" i="18" a="1"/>
  <c r="O195" i="18" s="1"/>
  <c r="P195" i="18" a="1"/>
  <c r="P195" i="18" s="1"/>
  <c r="Q195" i="18" a="1"/>
  <c r="Q195" i="18"/>
  <c r="B196" i="18" a="1"/>
  <c r="B196" i="18" s="1"/>
  <c r="C196" i="18" a="1"/>
  <c r="C196" i="18" s="1"/>
  <c r="D196" i="18" a="1"/>
  <c r="D196" i="18" s="1"/>
  <c r="E196" i="18" a="1"/>
  <c r="E196" i="18" s="1"/>
  <c r="F196" i="18" a="1"/>
  <c r="F196" i="18"/>
  <c r="G196" i="18" a="1"/>
  <c r="G196" i="18" s="1"/>
  <c r="H196" i="18" a="1"/>
  <c r="H196" i="18"/>
  <c r="I196" i="18" a="1"/>
  <c r="I196" i="18" s="1"/>
  <c r="J196" i="18" a="1"/>
  <c r="J196" i="18" s="1"/>
  <c r="K196" i="18" a="1"/>
  <c r="K196" i="18" s="1"/>
  <c r="L196" i="18" a="1"/>
  <c r="L196" i="18" s="1"/>
  <c r="M196" i="18" a="1"/>
  <c r="M196" i="18" s="1"/>
  <c r="N196" i="18" a="1"/>
  <c r="N196" i="18" s="1"/>
  <c r="O196" i="18" a="1"/>
  <c r="O196" i="18" s="1"/>
  <c r="P196" i="18" a="1"/>
  <c r="P196" i="18"/>
  <c r="Q196" i="18" a="1"/>
  <c r="Q196" i="18" s="1"/>
  <c r="B197" i="18" a="1"/>
  <c r="B197" i="18" s="1"/>
  <c r="C197" i="18" a="1"/>
  <c r="C197" i="18"/>
  <c r="D197" i="18" a="1"/>
  <c r="D197" i="18"/>
  <c r="E197" i="18" a="1"/>
  <c r="E197" i="18" s="1"/>
  <c r="F197" i="18" a="1"/>
  <c r="F197" i="18"/>
  <c r="G197" i="18" a="1"/>
  <c r="G197" i="18" s="1"/>
  <c r="H197" i="18" a="1"/>
  <c r="H197" i="18"/>
  <c r="I197" i="18" a="1"/>
  <c r="I197" i="18" s="1"/>
  <c r="J197" i="18" a="1"/>
  <c r="J197" i="18"/>
  <c r="K197" i="18" a="1"/>
  <c r="K197" i="18" s="1"/>
  <c r="L197" i="18" a="1"/>
  <c r="L197" i="18" s="1"/>
  <c r="M197" i="18" a="1"/>
  <c r="M197" i="18" s="1"/>
  <c r="N197" i="18" a="1"/>
  <c r="N197" i="18" s="1"/>
  <c r="O197" i="18" a="1"/>
  <c r="O197" i="18"/>
  <c r="P197" i="18" a="1"/>
  <c r="P197" i="18" s="1"/>
  <c r="Q197" i="18" a="1"/>
  <c r="Q197" i="18" s="1"/>
  <c r="B198" i="18" a="1"/>
  <c r="B198" i="18" s="1"/>
  <c r="C198" i="18" a="1"/>
  <c r="C198" i="18" s="1"/>
  <c r="D198" i="18" a="1"/>
  <c r="D198" i="18" s="1"/>
  <c r="E198" i="18" a="1"/>
  <c r="E198" i="18"/>
  <c r="F198" i="18" a="1"/>
  <c r="F198" i="18"/>
  <c r="G198" i="18" a="1"/>
  <c r="G198" i="18" s="1"/>
  <c r="H198" i="18" a="1"/>
  <c r="H198" i="18" s="1"/>
  <c r="I198" i="18" a="1"/>
  <c r="I198" i="18" s="1"/>
  <c r="J198" i="18" a="1"/>
  <c r="J198" i="18" s="1"/>
  <c r="K198" i="18" a="1"/>
  <c r="K198" i="18" s="1"/>
  <c r="L198" i="18" a="1"/>
  <c r="L198" i="18"/>
  <c r="M198" i="18" a="1"/>
  <c r="M198" i="18" s="1"/>
  <c r="N198" i="18" a="1"/>
  <c r="N198" i="18"/>
  <c r="O198" i="18" a="1"/>
  <c r="O198" i="18" s="1"/>
  <c r="P198" i="18" a="1"/>
  <c r="P198" i="18" s="1"/>
  <c r="Q198" i="18" a="1"/>
  <c r="Q198" i="18"/>
  <c r="B199" i="18" a="1"/>
  <c r="B199" i="18" s="1"/>
  <c r="C199" i="18" a="1"/>
  <c r="C199" i="18" s="1"/>
  <c r="D199" i="18" a="1"/>
  <c r="D199" i="18"/>
  <c r="E199" i="18" a="1"/>
  <c r="E199" i="18" s="1"/>
  <c r="F199" i="18" a="1"/>
  <c r="F199" i="18"/>
  <c r="G199" i="18" a="1"/>
  <c r="G199" i="18" s="1"/>
  <c r="H199" i="18" a="1"/>
  <c r="H199" i="18"/>
  <c r="I199" i="18" a="1"/>
  <c r="I199" i="18" s="1"/>
  <c r="J199" i="18" a="1"/>
  <c r="J199" i="18"/>
  <c r="K199" i="18" a="1"/>
  <c r="K199" i="18" s="1"/>
  <c r="L199" i="18" a="1"/>
  <c r="L199" i="18"/>
  <c r="M199" i="18" a="1"/>
  <c r="M199" i="18"/>
  <c r="N199" i="18" a="1"/>
  <c r="N199" i="18" s="1"/>
  <c r="O199" i="18" a="1"/>
  <c r="O199" i="18" s="1"/>
  <c r="P199" i="18" a="1"/>
  <c r="P199" i="18"/>
  <c r="Q199" i="18" a="1"/>
  <c r="Q199" i="18" s="1"/>
  <c r="B200" i="18" a="1"/>
  <c r="B200" i="18" s="1"/>
  <c r="C200" i="18" a="1"/>
  <c r="C200" i="18" s="1"/>
  <c r="D200" i="18" a="1"/>
  <c r="D200" i="18"/>
  <c r="E200" i="18" a="1"/>
  <c r="E200" i="18" s="1"/>
  <c r="F200" i="18" a="1"/>
  <c r="F200" i="18" s="1"/>
  <c r="G200" i="18" a="1"/>
  <c r="G200" i="18" s="1"/>
  <c r="H200" i="18" a="1"/>
  <c r="H200" i="18" s="1"/>
  <c r="I200" i="18" a="1"/>
  <c r="I200" i="18"/>
  <c r="J200" i="18" a="1"/>
  <c r="J200" i="18"/>
  <c r="K200" i="18" a="1"/>
  <c r="K200" i="18" s="1"/>
  <c r="L200" i="18" a="1"/>
  <c r="L200" i="18"/>
  <c r="M200" i="18" a="1"/>
  <c r="M200" i="18" s="1"/>
  <c r="N200" i="18" a="1"/>
  <c r="N200" i="18" s="1"/>
  <c r="O200" i="18" a="1"/>
  <c r="O200" i="18" s="1"/>
  <c r="P200" i="18" a="1"/>
  <c r="P200" i="18" s="1"/>
  <c r="Q200" i="18" a="1"/>
  <c r="Q200" i="18" s="1"/>
  <c r="B201" i="18" a="1"/>
  <c r="B201" i="18"/>
  <c r="C201" i="18" a="1"/>
  <c r="C201" i="18" s="1"/>
  <c r="D201" i="18" a="1"/>
  <c r="D201" i="18"/>
  <c r="E201" i="18" a="1"/>
  <c r="E201" i="18" s="1"/>
  <c r="F201" i="18" a="1"/>
  <c r="F201" i="18" s="1"/>
  <c r="G201" i="18" a="1"/>
  <c r="G201" i="18" s="1"/>
  <c r="H201" i="18" a="1"/>
  <c r="H201" i="18" s="1"/>
  <c r="I201" i="18" a="1"/>
  <c r="I201" i="18" s="1"/>
  <c r="J201" i="18" a="1"/>
  <c r="J201" i="18"/>
  <c r="K201" i="18" a="1"/>
  <c r="K201" i="18" s="1"/>
  <c r="L201" i="18" a="1"/>
  <c r="L201" i="18"/>
  <c r="M201" i="18" a="1"/>
  <c r="M201" i="18" s="1"/>
  <c r="N201" i="18" a="1"/>
  <c r="N201" i="18"/>
  <c r="O201" i="18" a="1"/>
  <c r="O201" i="18" s="1"/>
  <c r="P201" i="18" a="1"/>
  <c r="P201" i="18"/>
  <c r="Q201" i="18" a="1"/>
  <c r="Q201" i="18"/>
  <c r="B202" i="18" a="1"/>
  <c r="B202" i="18" s="1"/>
  <c r="C202" i="18" a="1"/>
  <c r="C202" i="18" s="1"/>
  <c r="D202" i="18" a="1"/>
  <c r="D202" i="18" s="1"/>
  <c r="E202" i="18" a="1"/>
  <c r="E202" i="18" s="1"/>
  <c r="F202" i="18" a="1"/>
  <c r="F202" i="18"/>
  <c r="G202" i="18" a="1"/>
  <c r="G202" i="18"/>
  <c r="H202" i="18" a="1"/>
  <c r="H202" i="18"/>
  <c r="I202" i="18" a="1"/>
  <c r="I202" i="18" s="1"/>
  <c r="J202" i="18" a="1"/>
  <c r="J202" i="18"/>
  <c r="K202" i="18" a="1"/>
  <c r="K202" i="18" s="1"/>
  <c r="L202" i="18" a="1"/>
  <c r="L202" i="18" s="1"/>
  <c r="M202" i="18" a="1"/>
  <c r="M202" i="18"/>
  <c r="N202" i="18" a="1"/>
  <c r="N202" i="18" s="1"/>
  <c r="O202" i="18" a="1"/>
  <c r="O202" i="18" s="1"/>
  <c r="P202" i="18" a="1"/>
  <c r="P202" i="18"/>
  <c r="Q202" i="18" a="1"/>
  <c r="Q202" i="18" s="1"/>
  <c r="B203" i="18" a="1"/>
  <c r="B203" i="18"/>
  <c r="C203" i="18" a="1"/>
  <c r="C203" i="18"/>
  <c r="D203" i="18" a="1"/>
  <c r="D203" i="18"/>
  <c r="E203" i="18" a="1"/>
  <c r="E203" i="18" s="1"/>
  <c r="F203" i="18" a="1"/>
  <c r="F203" i="18" s="1"/>
  <c r="G203" i="18" a="1"/>
  <c r="G203" i="18"/>
  <c r="H203" i="18" a="1"/>
  <c r="H203" i="18"/>
  <c r="I203" i="18" a="1"/>
  <c r="I203" i="18" s="1"/>
  <c r="J203" i="18" a="1"/>
  <c r="J203" i="18" s="1"/>
  <c r="K203" i="18" a="1"/>
  <c r="K203" i="18"/>
  <c r="L203" i="18" a="1"/>
  <c r="L203" i="18"/>
  <c r="M203" i="18" a="1"/>
  <c r="M203" i="18"/>
  <c r="N203" i="18" a="1"/>
  <c r="N203" i="18" s="1"/>
  <c r="O203" i="18" a="1"/>
  <c r="O203" i="18" s="1"/>
  <c r="P203" i="18" a="1"/>
  <c r="P203" i="18" s="1"/>
  <c r="Q203" i="18" a="1"/>
  <c r="Q203" i="18"/>
  <c r="B204" i="18" a="1"/>
  <c r="B204" i="18" s="1"/>
  <c r="C204" i="18" a="1"/>
  <c r="C204" i="18" s="1"/>
  <c r="D204" i="18" a="1"/>
  <c r="D204" i="18"/>
  <c r="E204" i="18" a="1"/>
  <c r="E204" i="18" s="1"/>
  <c r="F204" i="18" a="1"/>
  <c r="F204" i="18"/>
  <c r="G204" i="18" a="1"/>
  <c r="G204" i="18" s="1"/>
  <c r="H204" i="18" a="1"/>
  <c r="H204" i="18"/>
  <c r="I204" i="18" a="1"/>
  <c r="I204" i="18"/>
  <c r="J204" i="18" a="1"/>
  <c r="J204" i="18"/>
  <c r="K204" i="18" a="1"/>
  <c r="K204" i="18" s="1"/>
  <c r="L204" i="18" a="1"/>
  <c r="L204" i="18"/>
  <c r="M204" i="18" a="1"/>
  <c r="M204" i="18" s="1"/>
  <c r="N204" i="18" a="1"/>
  <c r="N204" i="18"/>
  <c r="O204" i="18" a="1"/>
  <c r="O204" i="18" s="1"/>
  <c r="P204" i="18" a="1"/>
  <c r="P204" i="18" s="1"/>
  <c r="Q204" i="18" a="1"/>
  <c r="Q204" i="18" s="1"/>
  <c r="B205" i="18" a="1"/>
  <c r="B205" i="18" s="1"/>
  <c r="C205" i="18" a="1"/>
  <c r="C205" i="18"/>
  <c r="D205" i="18" a="1"/>
  <c r="D205" i="18" s="1"/>
  <c r="E205" i="18" a="1"/>
  <c r="E205" i="18"/>
  <c r="F205" i="18" a="1"/>
  <c r="F205" i="18"/>
  <c r="G205" i="18" a="1"/>
  <c r="G205" i="18" s="1"/>
  <c r="H205" i="18" a="1"/>
  <c r="H205" i="18"/>
  <c r="I205" i="18" a="1"/>
  <c r="I205" i="18"/>
  <c r="J205" i="18" a="1"/>
  <c r="J205" i="18" s="1"/>
  <c r="K205" i="18" a="1"/>
  <c r="K205" i="18"/>
  <c r="L205" i="18" a="1"/>
  <c r="L205" i="18" s="1"/>
  <c r="M205" i="18" a="1"/>
  <c r="M205" i="18" s="1"/>
  <c r="N205" i="18" a="1"/>
  <c r="N205" i="18"/>
  <c r="O205" i="18" a="1"/>
  <c r="O205" i="18" s="1"/>
  <c r="P205" i="18" a="1"/>
  <c r="P205" i="18"/>
  <c r="Q205" i="18" a="1"/>
  <c r="Q205" i="18" s="1"/>
  <c r="B206" i="18" a="1"/>
  <c r="B206" i="18"/>
  <c r="C206" i="18" a="1"/>
  <c r="C206" i="18" s="1"/>
  <c r="D206" i="18" a="1"/>
  <c r="D206" i="18" s="1"/>
  <c r="E206" i="18" a="1"/>
  <c r="E206" i="18"/>
  <c r="F206" i="18" a="1"/>
  <c r="F206" i="18"/>
  <c r="G206" i="18" a="1"/>
  <c r="G206" i="18" s="1"/>
  <c r="H206" i="18" a="1"/>
  <c r="H206" i="18"/>
  <c r="I206" i="18" a="1"/>
  <c r="I206" i="18" s="1"/>
  <c r="J206" i="18" a="1"/>
  <c r="J206" i="18"/>
  <c r="K206" i="18" a="1"/>
  <c r="K206" i="18"/>
  <c r="L206" i="18" a="1"/>
  <c r="L206" i="18" s="1"/>
  <c r="M206" i="18" a="1"/>
  <c r="M206" i="18"/>
  <c r="N206" i="18" a="1"/>
  <c r="N206" i="18" s="1"/>
  <c r="O206" i="18" a="1"/>
  <c r="O206" i="18" s="1"/>
  <c r="P206" i="18" a="1"/>
  <c r="P206" i="18"/>
  <c r="Q206" i="18" a="1"/>
  <c r="Q206" i="18" s="1"/>
  <c r="B207" i="18" a="1"/>
  <c r="B207" i="18" s="1"/>
  <c r="C207" i="18" a="1"/>
  <c r="C207" i="18"/>
  <c r="D207" i="18" a="1"/>
  <c r="D207" i="18" s="1"/>
  <c r="E207" i="18" a="1"/>
  <c r="E207" i="18" s="1"/>
  <c r="F207" i="18" a="1"/>
  <c r="F207" i="18"/>
  <c r="G207" i="18" a="1"/>
  <c r="G207" i="18"/>
  <c r="H207" i="18" a="1"/>
  <c r="H207" i="18"/>
  <c r="I207" i="18" a="1"/>
  <c r="I207" i="18" s="1"/>
  <c r="J207" i="18" a="1"/>
  <c r="J207" i="18"/>
  <c r="K207" i="18" a="1"/>
  <c r="K207" i="18" s="1"/>
  <c r="L207" i="18" a="1"/>
  <c r="L207" i="18"/>
  <c r="M207" i="18" a="1"/>
  <c r="M207" i="18" s="1"/>
  <c r="N207" i="18" a="1"/>
  <c r="N207" i="18" s="1"/>
  <c r="O207" i="18" a="1"/>
  <c r="O207" i="18" s="1"/>
  <c r="P207" i="18" a="1"/>
  <c r="P207" i="18"/>
  <c r="Q207" i="18" a="1"/>
  <c r="Q207" i="18" s="1"/>
  <c r="B208" i="18" a="1"/>
  <c r="B208" i="18" s="1"/>
  <c r="C208" i="18" a="1"/>
  <c r="C208" i="18"/>
  <c r="D208" i="18" a="1"/>
  <c r="D208" i="18"/>
  <c r="E208" i="18" a="1"/>
  <c r="E208" i="18"/>
  <c r="F208" i="18" a="1"/>
  <c r="F208" i="18" s="1"/>
  <c r="G208" i="18" a="1"/>
  <c r="G208" i="18" s="1"/>
  <c r="H208" i="18" a="1"/>
  <c r="H208" i="18" s="1"/>
  <c r="I208" i="18" a="1"/>
  <c r="I208" i="18"/>
  <c r="J208" i="18" a="1"/>
  <c r="J208" i="18"/>
  <c r="K208" i="18" a="1"/>
  <c r="K208" i="18" s="1"/>
  <c r="L208" i="18" a="1"/>
  <c r="L208" i="18"/>
  <c r="M208" i="18" a="1"/>
  <c r="M208" i="18" s="1"/>
  <c r="N208" i="18" a="1"/>
  <c r="N208" i="18"/>
  <c r="O208" i="18" a="1"/>
  <c r="O208" i="18" s="1"/>
  <c r="P208" i="18" a="1"/>
  <c r="P208" i="18"/>
  <c r="Q208" i="18" a="1"/>
  <c r="Q208" i="18"/>
  <c r="B209" i="18" a="1"/>
  <c r="B209" i="18"/>
  <c r="C209" i="18" a="1"/>
  <c r="C209" i="18" s="1"/>
  <c r="D209" i="18" a="1"/>
  <c r="D209" i="18"/>
  <c r="E209" i="18" a="1"/>
  <c r="E209" i="18" s="1"/>
  <c r="F209" i="18" a="1"/>
  <c r="F209" i="18"/>
  <c r="G209" i="18" a="1"/>
  <c r="G209" i="18" s="1"/>
  <c r="H209" i="18" a="1"/>
  <c r="H209" i="18" s="1"/>
  <c r="I209" i="18" a="1"/>
  <c r="I209" i="18" s="1"/>
  <c r="J209" i="18" a="1"/>
  <c r="J209" i="18" s="1"/>
  <c r="K209" i="18" a="1"/>
  <c r="K209" i="18"/>
  <c r="L209" i="18" a="1"/>
  <c r="L209" i="18" s="1"/>
  <c r="M209" i="18" a="1"/>
  <c r="M209" i="18" s="1"/>
  <c r="N209" i="18" a="1"/>
  <c r="N209" i="18" s="1"/>
  <c r="O209" i="18" a="1"/>
  <c r="O209" i="18" s="1"/>
  <c r="P209" i="18" a="1"/>
  <c r="P209" i="18" s="1"/>
  <c r="Q209" i="18" a="1"/>
  <c r="Q209" i="18"/>
  <c r="B210" i="18" a="1"/>
  <c r="B210" i="18" s="1"/>
  <c r="C210" i="18" a="1"/>
  <c r="C210" i="18"/>
  <c r="D210" i="18" a="1"/>
  <c r="D210" i="18" s="1"/>
  <c r="E210" i="18" a="1"/>
  <c r="E210" i="18" s="1"/>
  <c r="F210" i="18" a="1"/>
  <c r="F210" i="18"/>
  <c r="G210" i="18" a="1"/>
  <c r="G210" i="18" s="1"/>
  <c r="H210" i="18" a="1"/>
  <c r="H210" i="18"/>
  <c r="I210" i="18" a="1"/>
  <c r="I210" i="18" s="1"/>
  <c r="J210" i="18" a="1"/>
  <c r="J210" i="18"/>
  <c r="K210" i="18" a="1"/>
  <c r="K210" i="18" s="1"/>
  <c r="L210" i="18" a="1"/>
  <c r="L210" i="18" s="1"/>
  <c r="M210" i="18" a="1"/>
  <c r="M210" i="18"/>
  <c r="N210" i="18" a="1"/>
  <c r="N210" i="18"/>
  <c r="O210" i="18" a="1"/>
  <c r="O210" i="18" s="1"/>
  <c r="P210" i="18" a="1"/>
  <c r="P210" i="18"/>
  <c r="Q210" i="18" a="1"/>
  <c r="Q210" i="18" s="1"/>
  <c r="B211" i="18" a="1"/>
  <c r="B211" i="18"/>
  <c r="C211" i="18" a="1"/>
  <c r="C211" i="18"/>
  <c r="D211" i="18" a="1"/>
  <c r="D211" i="18" s="1"/>
  <c r="E211" i="18" a="1"/>
  <c r="E211" i="18"/>
  <c r="F211" i="18" a="1"/>
  <c r="F211" i="18" s="1"/>
  <c r="G211" i="18" a="1"/>
  <c r="G211" i="18" s="1"/>
  <c r="H211" i="18" a="1"/>
  <c r="H211" i="18"/>
  <c r="I211" i="18" a="1"/>
  <c r="I211" i="18" s="1"/>
  <c r="J211" i="18" a="1"/>
  <c r="J211" i="18"/>
  <c r="K211" i="18" a="1"/>
  <c r="K211" i="18"/>
  <c r="L211" i="18" a="1"/>
  <c r="L211" i="18" s="1"/>
  <c r="M211" i="18" a="1"/>
  <c r="M211" i="18" s="1"/>
  <c r="N211" i="18" a="1"/>
  <c r="N211" i="18"/>
  <c r="O211" i="18" a="1"/>
  <c r="O211" i="18" s="1"/>
  <c r="P211" i="18" a="1"/>
  <c r="P211" i="18"/>
  <c r="Q211" i="18" a="1"/>
  <c r="Q211" i="18" s="1"/>
  <c r="B212" i="18" a="1"/>
  <c r="B212" i="18"/>
  <c r="C212" i="18" a="1"/>
  <c r="C212" i="18" s="1"/>
  <c r="D212" i="18" a="1"/>
  <c r="D212" i="18"/>
  <c r="E212" i="18" a="1"/>
  <c r="E212" i="18"/>
  <c r="F212" i="18" a="1"/>
  <c r="F212" i="18" s="1"/>
  <c r="G212" i="18" a="1"/>
  <c r="G212" i="18"/>
  <c r="H212" i="18" a="1"/>
  <c r="H212" i="18"/>
  <c r="I212" i="18" a="1"/>
  <c r="I212" i="18" s="1"/>
  <c r="J212" i="18" a="1"/>
  <c r="J212" i="18" s="1"/>
  <c r="K212" i="18" a="1"/>
  <c r="K212" i="18" s="1"/>
  <c r="L212" i="18" a="1"/>
  <c r="L212" i="18" s="1"/>
  <c r="M212" i="18" a="1"/>
  <c r="M212" i="18"/>
  <c r="N212" i="18" a="1"/>
  <c r="N212" i="18" s="1"/>
  <c r="O212" i="18" a="1"/>
  <c r="O212" i="18" s="1"/>
  <c r="P212" i="18" a="1"/>
  <c r="P212" i="18" s="1"/>
  <c r="Q212" i="18" a="1"/>
  <c r="Q212" i="18"/>
  <c r="B213" i="18" a="1"/>
  <c r="B213" i="18" s="1"/>
  <c r="C213" i="18" a="1"/>
  <c r="C213" i="18" s="1"/>
  <c r="D213" i="18" a="1"/>
  <c r="D213" i="18" s="1"/>
  <c r="E213" i="18" a="1"/>
  <c r="E213" i="18" s="1"/>
  <c r="F213" i="18" a="1"/>
  <c r="F213" i="18"/>
  <c r="G213" i="18" a="1"/>
  <c r="G213" i="18" s="1"/>
  <c r="H213" i="18" a="1"/>
  <c r="H213" i="18"/>
  <c r="I213" i="18" a="1"/>
  <c r="I213" i="18"/>
  <c r="J213" i="18" a="1"/>
  <c r="J213" i="18"/>
  <c r="K213" i="18" a="1"/>
  <c r="K213" i="18" s="1"/>
  <c r="L213" i="18" a="1"/>
  <c r="L213" i="18"/>
  <c r="M213" i="18" a="1"/>
  <c r="M213" i="18" s="1"/>
  <c r="N213" i="18" a="1"/>
  <c r="N213" i="18"/>
  <c r="O213" i="18" a="1"/>
  <c r="O213" i="18"/>
  <c r="P213" i="18" a="1"/>
  <c r="P213" i="18" s="1"/>
  <c r="Q213" i="18" a="1"/>
  <c r="Q213" i="18" s="1"/>
  <c r="B214" i="18" a="1"/>
  <c r="B214" i="18"/>
  <c r="C214" i="18" a="1"/>
  <c r="C214" i="18" s="1"/>
  <c r="D214" i="18" a="1"/>
  <c r="D214" i="18"/>
  <c r="E214" i="18" a="1"/>
  <c r="E214" i="18"/>
  <c r="F214" i="18" a="1"/>
  <c r="F214" i="18" s="1"/>
  <c r="G214" i="18" a="1"/>
  <c r="G214" i="18"/>
  <c r="H214" i="18" a="1"/>
  <c r="H214" i="18"/>
  <c r="I214" i="18" a="1"/>
  <c r="I214" i="18" s="1"/>
  <c r="J214" i="18" a="1"/>
  <c r="J214" i="18"/>
  <c r="K214" i="18" a="1"/>
  <c r="K214" i="18" s="1"/>
  <c r="L214" i="18" a="1"/>
  <c r="L214" i="18" s="1"/>
  <c r="M214" i="18" a="1"/>
  <c r="M214" i="18"/>
  <c r="N214" i="18" a="1"/>
  <c r="N214" i="18"/>
  <c r="O214" i="18" a="1"/>
  <c r="O214" i="18" s="1"/>
  <c r="P214" i="18" a="1"/>
  <c r="P214" i="18"/>
  <c r="Q214" i="18" a="1"/>
  <c r="Q214" i="18" s="1"/>
  <c r="B215" i="18" a="1"/>
  <c r="B215" i="18" s="1"/>
  <c r="C215" i="18" a="1"/>
  <c r="C215" i="18" s="1"/>
  <c r="D215" i="18" a="1"/>
  <c r="D215" i="18"/>
  <c r="E215" i="18" a="1"/>
  <c r="E215" i="18" s="1"/>
  <c r="F215" i="18" a="1"/>
  <c r="F215" i="18"/>
  <c r="G215" i="18" a="1"/>
  <c r="G215" i="18" s="1"/>
  <c r="H215" i="18" a="1"/>
  <c r="H215" i="18" s="1"/>
  <c r="I215" i="18" a="1"/>
  <c r="I215" i="18"/>
  <c r="J215" i="18" a="1"/>
  <c r="J215" i="18"/>
  <c r="K215" i="18" a="1"/>
  <c r="K215" i="18" s="1"/>
  <c r="L215" i="18" a="1"/>
  <c r="L215" i="18"/>
  <c r="M215" i="18" a="1"/>
  <c r="M215" i="18"/>
  <c r="N215" i="18" a="1"/>
  <c r="N215" i="18" s="1"/>
  <c r="O215" i="18" a="1"/>
  <c r="O215" i="18"/>
  <c r="P215" i="18" a="1"/>
  <c r="P215" i="18"/>
  <c r="Q215" i="18" a="1"/>
  <c r="Q215" i="18" s="1"/>
  <c r="B216" i="18" a="1"/>
  <c r="B216" i="18"/>
  <c r="C216" i="18" a="1"/>
  <c r="C216" i="18"/>
  <c r="D216" i="18" a="1"/>
  <c r="D216" i="18" s="1"/>
  <c r="E216" i="18" a="1"/>
  <c r="E216" i="18" s="1"/>
  <c r="F216" i="18" a="1"/>
  <c r="F216" i="18"/>
  <c r="G216" i="18" a="1"/>
  <c r="G216" i="18" s="1"/>
  <c r="H216" i="18" a="1"/>
  <c r="H216" i="18"/>
  <c r="I216" i="18" a="1"/>
  <c r="I216" i="18"/>
  <c r="J216" i="18" a="1"/>
  <c r="J216" i="18" s="1"/>
  <c r="K216" i="18" a="1"/>
  <c r="K216" i="18"/>
  <c r="L216" i="18" a="1"/>
  <c r="L216" i="18"/>
  <c r="M216" i="18" a="1"/>
  <c r="M216" i="18" s="1"/>
  <c r="N216" i="18" a="1"/>
  <c r="N216" i="18"/>
  <c r="O216" i="18" a="1"/>
  <c r="O216" i="18" s="1"/>
  <c r="P216" i="18" a="1"/>
  <c r="P216" i="18" s="1"/>
  <c r="Q216" i="18" a="1"/>
  <c r="Q216" i="18"/>
  <c r="B217" i="18" a="1"/>
  <c r="B217" i="18"/>
  <c r="C217" i="18" a="1"/>
  <c r="C217" i="18" s="1"/>
  <c r="D217" i="18" a="1"/>
  <c r="D217" i="18"/>
  <c r="E217" i="18" a="1"/>
  <c r="E217" i="18" s="1"/>
  <c r="F217" i="18" a="1"/>
  <c r="F217" i="18" s="1"/>
  <c r="G217" i="18" a="1"/>
  <c r="G217" i="18" s="1"/>
  <c r="H217" i="18" a="1"/>
  <c r="H217" i="18"/>
  <c r="I217" i="18" a="1"/>
  <c r="I217" i="18" s="1"/>
  <c r="J217" i="18" a="1"/>
  <c r="J217" i="18"/>
  <c r="K217" i="18" a="1"/>
  <c r="K217" i="18" s="1"/>
  <c r="L217" i="18" a="1"/>
  <c r="L217" i="18" s="1"/>
  <c r="M217" i="18" a="1"/>
  <c r="M217" i="18"/>
  <c r="N217" i="18" a="1"/>
  <c r="N217" i="18"/>
  <c r="O217" i="18" a="1"/>
  <c r="O217" i="18" s="1"/>
  <c r="P217" i="18" a="1"/>
  <c r="P217" i="18"/>
  <c r="Q217" i="18" a="1"/>
  <c r="Q217" i="18"/>
  <c r="B218" i="18" a="1"/>
  <c r="B218" i="18" s="1"/>
  <c r="C218" i="18" a="1"/>
  <c r="C218" i="18"/>
  <c r="D218" i="18" a="1"/>
  <c r="D218" i="18"/>
  <c r="E218" i="18" a="1"/>
  <c r="E218" i="18" s="1"/>
  <c r="F218" i="18" a="1"/>
  <c r="F218" i="18"/>
  <c r="G218" i="18" a="1"/>
  <c r="G218" i="18"/>
  <c r="H218" i="18" a="1"/>
  <c r="H218" i="18" s="1"/>
  <c r="I218" i="18" a="1"/>
  <c r="I218" i="18" s="1"/>
  <c r="J218" i="18" a="1"/>
  <c r="J218" i="18" s="1"/>
  <c r="K218" i="18" a="1"/>
  <c r="K218" i="18" s="1"/>
  <c r="L218" i="18" a="1"/>
  <c r="L218" i="18"/>
  <c r="M218" i="18" a="1"/>
  <c r="M218" i="18" s="1"/>
  <c r="N218" i="18" a="1"/>
  <c r="N218" i="18" s="1"/>
  <c r="O218" i="18" a="1"/>
  <c r="O218" i="18"/>
  <c r="P218" i="18" a="1"/>
  <c r="P218" i="18" s="1"/>
  <c r="Q218" i="18" a="1"/>
  <c r="Q218" i="18" s="1"/>
  <c r="B219" i="18" a="1"/>
  <c r="B219" i="18"/>
  <c r="C219" i="18" a="1"/>
  <c r="C219" i="18" s="1"/>
  <c r="D219" i="18" a="1"/>
  <c r="D219" i="18" s="1"/>
  <c r="E219" i="18" a="1"/>
  <c r="E219" i="18" s="1"/>
  <c r="F219" i="18" a="1"/>
  <c r="F219" i="18" s="1"/>
  <c r="G219" i="18" a="1"/>
  <c r="G219" i="18" s="1"/>
  <c r="H219" i="18" a="1"/>
  <c r="H219" i="18"/>
  <c r="I219" i="18" a="1"/>
  <c r="I219" i="18" s="1"/>
  <c r="J219" i="18" a="1"/>
  <c r="J219" i="18" s="1"/>
  <c r="K219" i="18" a="1"/>
  <c r="K219" i="18" s="1"/>
  <c r="L219" i="18" a="1"/>
  <c r="L219" i="18" s="1"/>
  <c r="M219" i="18" a="1"/>
  <c r="M219" i="18" s="1"/>
  <c r="N219" i="18" a="1"/>
  <c r="N219" i="18"/>
  <c r="O219" i="18" a="1"/>
  <c r="O219" i="18"/>
  <c r="P219" i="18" a="1"/>
  <c r="P219" i="18" s="1"/>
  <c r="Q219" i="18" a="1"/>
  <c r="Q219" i="18" s="1"/>
  <c r="B220" i="18" a="1"/>
  <c r="B220" i="18" s="1"/>
  <c r="C220" i="18" a="1"/>
  <c r="C220" i="18" s="1"/>
  <c r="D220" i="18" a="1"/>
  <c r="D220" i="18"/>
  <c r="E220" i="18" a="1"/>
  <c r="E220" i="18" s="1"/>
  <c r="F220" i="18" a="1"/>
  <c r="F220" i="18" s="1"/>
  <c r="G220" i="18" a="1"/>
  <c r="G220" i="18"/>
  <c r="H220" i="18" a="1"/>
  <c r="H220" i="18" s="1"/>
  <c r="I220" i="18" a="1"/>
  <c r="I220" i="18" s="1"/>
  <c r="J220" i="18" a="1"/>
  <c r="J220" i="18"/>
  <c r="K220" i="18" a="1"/>
  <c r="K220" i="18" s="1"/>
  <c r="L220" i="18" a="1"/>
  <c r="L220" i="18" s="1"/>
  <c r="M220" i="18" a="1"/>
  <c r="M220" i="18" s="1"/>
  <c r="N220" i="18" a="1"/>
  <c r="N220" i="18" s="1"/>
  <c r="O220" i="18" a="1"/>
  <c r="O220" i="18" s="1"/>
  <c r="P220" i="18" a="1"/>
  <c r="P220" i="18"/>
  <c r="Q220" i="18" a="1"/>
  <c r="Q220" i="18" s="1"/>
  <c r="B221" i="18" a="1"/>
  <c r="B221" i="18" s="1"/>
  <c r="C221" i="18" a="1"/>
  <c r="C221" i="18" s="1"/>
  <c r="D221" i="18" a="1"/>
  <c r="D221" i="18" s="1"/>
  <c r="E221" i="18" a="1"/>
  <c r="E221" i="18" s="1"/>
  <c r="F221" i="18" a="1"/>
  <c r="F221" i="18"/>
  <c r="G221" i="18" a="1"/>
  <c r="G221" i="18"/>
  <c r="H221" i="18" a="1"/>
  <c r="H221" i="18" s="1"/>
  <c r="I221" i="18" a="1"/>
  <c r="I221" i="18" s="1"/>
  <c r="J221" i="18" a="1"/>
  <c r="J221" i="18" s="1"/>
  <c r="K221" i="18" a="1"/>
  <c r="K221" i="18" s="1"/>
  <c r="L221" i="18" a="1"/>
  <c r="L221" i="18"/>
  <c r="M221" i="18" a="1"/>
  <c r="M221" i="18" s="1"/>
  <c r="N221" i="18" a="1"/>
  <c r="N221" i="18" s="1"/>
  <c r="O221" i="18" a="1"/>
  <c r="O221" i="18"/>
  <c r="P221" i="18" a="1"/>
  <c r="P221" i="18" s="1"/>
  <c r="Q221" i="18" a="1"/>
  <c r="Q221" i="18" s="1"/>
  <c r="B222" i="18" a="1"/>
  <c r="B222" i="18"/>
  <c r="C222" i="18" a="1"/>
  <c r="C222" i="18" s="1"/>
  <c r="D222" i="18" a="1"/>
  <c r="D222" i="18" s="1"/>
  <c r="E222" i="18" a="1"/>
  <c r="E222" i="18" s="1"/>
  <c r="F222" i="18" a="1"/>
  <c r="F222" i="18" s="1"/>
  <c r="G222" i="18" a="1"/>
  <c r="G222" i="18" s="1"/>
  <c r="H222" i="18" a="1"/>
  <c r="H222" i="18"/>
  <c r="I222" i="18" a="1"/>
  <c r="I222" i="18" s="1"/>
  <c r="J222" i="18" a="1"/>
  <c r="J222" i="18" s="1"/>
  <c r="K222" i="18" a="1"/>
  <c r="K222" i="18" s="1"/>
  <c r="L222" i="18" a="1"/>
  <c r="L222" i="18" s="1"/>
  <c r="M222" i="18" a="1"/>
  <c r="M222" i="18" s="1"/>
  <c r="N222" i="18" a="1"/>
  <c r="N222" i="18"/>
  <c r="O222" i="18" a="1"/>
  <c r="O222" i="18"/>
  <c r="P222" i="18" a="1"/>
  <c r="P222" i="18" s="1"/>
  <c r="Q222" i="18" a="1"/>
  <c r="Q222" i="18" s="1"/>
  <c r="B223" i="18" a="1"/>
  <c r="B223" i="18" s="1"/>
  <c r="C223" i="18" a="1"/>
  <c r="C223" i="18" s="1"/>
  <c r="D223" i="18" a="1"/>
  <c r="D223" i="18"/>
  <c r="E223" i="18" a="1"/>
  <c r="E223" i="18" s="1"/>
  <c r="F223" i="18" a="1"/>
  <c r="F223" i="18" s="1"/>
  <c r="G223" i="18" a="1"/>
  <c r="G223" i="18"/>
  <c r="H223" i="18" a="1"/>
  <c r="H223" i="18" s="1"/>
  <c r="I223" i="18" a="1"/>
  <c r="I223" i="18" s="1"/>
  <c r="J223" i="18" a="1"/>
  <c r="J223" i="18"/>
  <c r="K223" i="18" a="1"/>
  <c r="K223" i="18" s="1"/>
  <c r="L223" i="18" a="1"/>
  <c r="L223" i="18" s="1"/>
  <c r="M223" i="18" a="1"/>
  <c r="M223" i="18" s="1"/>
  <c r="N223" i="18" a="1"/>
  <c r="N223" i="18" s="1"/>
  <c r="O223" i="18" a="1"/>
  <c r="O223" i="18" s="1"/>
  <c r="P223" i="18" a="1"/>
  <c r="P223" i="18"/>
  <c r="Q223" i="18" a="1"/>
  <c r="Q223" i="18" s="1"/>
  <c r="B224" i="18" a="1"/>
  <c r="B224" i="18" s="1"/>
  <c r="C224" i="18" a="1"/>
  <c r="C224" i="18" s="1"/>
  <c r="D224" i="18" a="1"/>
  <c r="D224" i="18" s="1"/>
  <c r="E224" i="18" a="1"/>
  <c r="E224" i="18" s="1"/>
  <c r="F224" i="18" a="1"/>
  <c r="F224" i="18"/>
  <c r="G224" i="18" a="1"/>
  <c r="G224" i="18"/>
  <c r="H224" i="18" a="1"/>
  <c r="H224" i="18" s="1"/>
  <c r="I224" i="18" a="1"/>
  <c r="I224" i="18" s="1"/>
  <c r="J224" i="18" a="1"/>
  <c r="J224" i="18" s="1"/>
  <c r="K224" i="18" a="1"/>
  <c r="K224" i="18" s="1"/>
  <c r="L224" i="18" a="1"/>
  <c r="L224" i="18"/>
  <c r="M224" i="18" a="1"/>
  <c r="M224" i="18" s="1"/>
  <c r="N224" i="18" a="1"/>
  <c r="N224" i="18" s="1"/>
  <c r="O224" i="18" a="1"/>
  <c r="O224" i="18"/>
  <c r="P224" i="18" a="1"/>
  <c r="P224" i="18" s="1"/>
  <c r="Q224" i="18" a="1"/>
  <c r="Q224" i="18" s="1"/>
  <c r="B225" i="18" a="1"/>
  <c r="B225" i="18"/>
  <c r="C225" i="18" a="1"/>
  <c r="C225" i="18" s="1"/>
  <c r="D225" i="18" a="1"/>
  <c r="D225" i="18" s="1"/>
  <c r="E225" i="18" a="1"/>
  <c r="E225" i="18" s="1"/>
  <c r="F225" i="18" a="1"/>
  <c r="F225" i="18" s="1"/>
  <c r="G225" i="18" a="1"/>
  <c r="G225" i="18" s="1"/>
  <c r="H225" i="18" a="1"/>
  <c r="H225" i="18"/>
  <c r="I225" i="18" a="1"/>
  <c r="I225" i="18" s="1"/>
  <c r="J225" i="18" a="1"/>
  <c r="J225" i="18" s="1"/>
  <c r="K225" i="18" a="1"/>
  <c r="K225" i="18" s="1"/>
  <c r="L225" i="18" a="1"/>
  <c r="L225" i="18" s="1"/>
  <c r="M225" i="18" a="1"/>
  <c r="M225" i="18" s="1"/>
  <c r="N225" i="18" a="1"/>
  <c r="N225" i="18"/>
  <c r="O225" i="18" a="1"/>
  <c r="O225" i="18"/>
  <c r="P225" i="18" a="1"/>
  <c r="P225" i="18" s="1"/>
  <c r="Q225" i="18" a="1"/>
  <c r="Q225" i="18" s="1"/>
  <c r="B226" i="18" a="1"/>
  <c r="B226" i="18" s="1"/>
  <c r="C226" i="18" a="1"/>
  <c r="C226" i="18" s="1"/>
  <c r="D226" i="18" a="1"/>
  <c r="D226" i="18"/>
  <c r="E226" i="18" a="1"/>
  <c r="E226" i="18" s="1"/>
  <c r="F226" i="18" a="1"/>
  <c r="F226" i="18" s="1"/>
  <c r="G226" i="18" a="1"/>
  <c r="G226" i="18"/>
  <c r="H226" i="18" a="1"/>
  <c r="H226" i="18" s="1"/>
  <c r="I226" i="18" a="1"/>
  <c r="I226" i="18" s="1"/>
  <c r="J226" i="18" a="1"/>
  <c r="J226" i="18"/>
  <c r="K226" i="18" a="1"/>
  <c r="K226" i="18" s="1"/>
  <c r="L226" i="18" a="1"/>
  <c r="L226" i="18" s="1"/>
  <c r="M226" i="18" a="1"/>
  <c r="M226" i="18" s="1"/>
  <c r="N226" i="18" a="1"/>
  <c r="N226" i="18" s="1"/>
  <c r="O226" i="18" a="1"/>
  <c r="O226" i="18" s="1"/>
  <c r="P226" i="18" a="1"/>
  <c r="P226" i="18"/>
  <c r="Q226" i="18" a="1"/>
  <c r="Q226" i="18" s="1"/>
  <c r="B227" i="18" a="1"/>
  <c r="B227" i="18" s="1"/>
  <c r="C227" i="18" a="1"/>
  <c r="C227" i="18" s="1"/>
  <c r="D227" i="18" a="1"/>
  <c r="D227" i="18" s="1"/>
  <c r="E227" i="18" a="1"/>
  <c r="E227" i="18" s="1"/>
  <c r="F227" i="18" a="1"/>
  <c r="F227" i="18"/>
  <c r="G227" i="18" a="1"/>
  <c r="G227" i="18"/>
  <c r="H227" i="18" a="1"/>
  <c r="H227" i="18" s="1"/>
  <c r="I227" i="18" a="1"/>
  <c r="I227" i="18" s="1"/>
  <c r="J227" i="18" a="1"/>
  <c r="J227" i="18" s="1"/>
  <c r="K227" i="18" a="1"/>
  <c r="K227" i="18" s="1"/>
  <c r="L227" i="18" a="1"/>
  <c r="L227" i="18"/>
  <c r="M227" i="18" a="1"/>
  <c r="M227" i="18" s="1"/>
  <c r="N227" i="18" a="1"/>
  <c r="N227" i="18" s="1"/>
  <c r="O227" i="18" a="1"/>
  <c r="O227" i="18"/>
  <c r="P227" i="18" a="1"/>
  <c r="P227" i="18" s="1"/>
  <c r="Q227" i="18" a="1"/>
  <c r="Q227" i="18" s="1"/>
  <c r="B228" i="18" a="1"/>
  <c r="B228" i="18"/>
  <c r="C228" i="18" a="1"/>
  <c r="C228" i="18" s="1"/>
  <c r="D228" i="18" a="1"/>
  <c r="D228" i="18" s="1"/>
  <c r="E228" i="18" a="1"/>
  <c r="E228" i="18" s="1"/>
  <c r="F228" i="18" a="1"/>
  <c r="F228" i="18" s="1"/>
  <c r="G228" i="18" a="1"/>
  <c r="G228" i="18" s="1"/>
  <c r="H228" i="18" a="1"/>
  <c r="H228" i="18"/>
  <c r="I228" i="18" a="1"/>
  <c r="I228" i="18" s="1"/>
  <c r="J228" i="18" a="1"/>
  <c r="J228" i="18" s="1"/>
  <c r="K228" i="18" a="1"/>
  <c r="K228" i="18" s="1"/>
  <c r="L228" i="18" a="1"/>
  <c r="L228" i="18" s="1"/>
  <c r="M228" i="18" a="1"/>
  <c r="M228" i="18" s="1"/>
  <c r="N228" i="18" a="1"/>
  <c r="N228" i="18"/>
  <c r="O228" i="18" a="1"/>
  <c r="O228" i="18"/>
  <c r="P228" i="18" a="1"/>
  <c r="P228" i="18" s="1"/>
  <c r="Q228" i="18" a="1"/>
  <c r="Q228" i="18" s="1"/>
  <c r="B229" i="18" a="1"/>
  <c r="B229" i="18" s="1"/>
  <c r="C229" i="18" a="1"/>
  <c r="C229" i="18" s="1"/>
  <c r="D229" i="18" a="1"/>
  <c r="D229" i="18"/>
  <c r="E229" i="18" a="1"/>
  <c r="E229" i="18" s="1"/>
  <c r="F229" i="18" a="1"/>
  <c r="F229" i="18" s="1"/>
  <c r="G229" i="18" a="1"/>
  <c r="G229" i="18"/>
  <c r="H229" i="18" a="1"/>
  <c r="H229" i="18" s="1"/>
  <c r="I229" i="18" a="1"/>
  <c r="I229" i="18" s="1"/>
  <c r="J229" i="18" a="1"/>
  <c r="J229" i="18"/>
  <c r="K229" i="18" a="1"/>
  <c r="K229" i="18" s="1"/>
  <c r="L229" i="18" a="1"/>
  <c r="L229" i="18" s="1"/>
  <c r="M229" i="18" a="1"/>
  <c r="M229" i="18" s="1"/>
  <c r="N229" i="18" a="1"/>
  <c r="N229" i="18" s="1"/>
  <c r="O229" i="18" a="1"/>
  <c r="O229" i="18" s="1"/>
  <c r="P229" i="18" a="1"/>
  <c r="P229" i="18"/>
  <c r="Q229" i="18" a="1"/>
  <c r="Q229" i="18" s="1"/>
  <c r="B230" i="18" a="1"/>
  <c r="B230" i="18" s="1"/>
  <c r="C230" i="18" a="1"/>
  <c r="C230" i="18" s="1"/>
  <c r="D230" i="18" a="1"/>
  <c r="D230" i="18" s="1"/>
  <c r="E230" i="18" a="1"/>
  <c r="E230" i="18" s="1"/>
  <c r="F230" i="18" a="1"/>
  <c r="F230" i="18"/>
  <c r="G230" i="18" a="1"/>
  <c r="G230" i="18"/>
  <c r="H230" i="18" a="1"/>
  <c r="H230" i="18" s="1"/>
  <c r="I230" i="18" a="1"/>
  <c r="I230" i="18" s="1"/>
  <c r="J230" i="18" a="1"/>
  <c r="J230" i="18" s="1"/>
  <c r="K230" i="18" a="1"/>
  <c r="K230" i="18" s="1"/>
  <c r="L230" i="18" a="1"/>
  <c r="L230" i="18"/>
  <c r="M230" i="18" a="1"/>
  <c r="M230" i="18" s="1"/>
  <c r="N230" i="18" a="1"/>
  <c r="N230" i="18" s="1"/>
  <c r="O230" i="18" a="1"/>
  <c r="O230" i="18"/>
  <c r="P230" i="18" a="1"/>
  <c r="P230" i="18" s="1"/>
  <c r="Q230" i="18" a="1"/>
  <c r="Q230" i="18" s="1"/>
  <c r="B231" i="18" a="1"/>
  <c r="B231" i="18"/>
  <c r="C231" i="18" a="1"/>
  <c r="C231" i="18" s="1"/>
  <c r="D231" i="18" a="1"/>
  <c r="D231" i="18" s="1"/>
  <c r="E231" i="18" a="1"/>
  <c r="E231" i="18" s="1"/>
  <c r="F231" i="18" a="1"/>
  <c r="F231" i="18"/>
  <c r="G231" i="18" a="1"/>
  <c r="G231" i="18" s="1"/>
  <c r="H231" i="18" a="1"/>
  <c r="H231" i="18"/>
  <c r="I231" i="18" a="1"/>
  <c r="I231" i="18"/>
  <c r="J231" i="18" a="1"/>
  <c r="J231" i="18" s="1"/>
  <c r="K231" i="18" a="1"/>
  <c r="K231" i="18"/>
  <c r="L231" i="18" a="1"/>
  <c r="L231" i="18" s="1"/>
  <c r="M231" i="18" a="1"/>
  <c r="M231" i="18" s="1"/>
  <c r="N231" i="18" a="1"/>
  <c r="N231" i="18"/>
  <c r="O231" i="18" a="1"/>
  <c r="O231" i="18"/>
  <c r="P231" i="18" a="1"/>
  <c r="P231" i="18" s="1"/>
  <c r="Q231" i="18" a="1"/>
  <c r="Q231" i="18"/>
  <c r="B232" i="18" a="1"/>
  <c r="B232" i="18"/>
  <c r="C232" i="18" a="1"/>
  <c r="C232" i="18" s="1"/>
  <c r="D232" i="18" a="1"/>
  <c r="D232" i="18"/>
  <c r="E232" i="18" a="1"/>
  <c r="E232" i="18"/>
  <c r="F232" i="18" a="1"/>
  <c r="F232" i="18" s="1"/>
  <c r="G232" i="18" a="1"/>
  <c r="G232" i="18" s="1"/>
  <c r="H232" i="18" a="1"/>
  <c r="H232" i="18"/>
  <c r="I232" i="18" a="1"/>
  <c r="I232" i="18" s="1"/>
  <c r="J232" i="18" a="1"/>
  <c r="J232" i="18" s="1"/>
  <c r="K232" i="18" a="1"/>
  <c r="K232" i="18"/>
  <c r="L232" i="18" a="1"/>
  <c r="L232" i="18" s="1"/>
  <c r="M232" i="18" a="1"/>
  <c r="M232" i="18"/>
  <c r="N232" i="18" a="1"/>
  <c r="N232" i="18" s="1"/>
  <c r="O232" i="18" a="1"/>
  <c r="O232" i="18" s="1"/>
  <c r="P232" i="18" a="1"/>
  <c r="P232" i="18" s="1"/>
  <c r="Q232" i="18" a="1"/>
  <c r="Q232" i="18" s="1"/>
  <c r="B233" i="18" a="1"/>
  <c r="B233" i="18" s="1"/>
  <c r="C233" i="18" a="1"/>
  <c r="C233" i="18"/>
  <c r="D233" i="18" a="1"/>
  <c r="D233" i="18"/>
  <c r="E233" i="18" a="1"/>
  <c r="E233" i="18" s="1"/>
  <c r="F233" i="18" a="1"/>
  <c r="F233" i="18"/>
  <c r="G233" i="18" a="1"/>
  <c r="G233" i="18" s="1"/>
  <c r="H233" i="18" a="1"/>
  <c r="H233" i="18" s="1"/>
  <c r="I233" i="18" a="1"/>
  <c r="I233" i="18" s="1"/>
  <c r="J233" i="18" a="1"/>
  <c r="J233" i="18"/>
  <c r="K233" i="18" a="1"/>
  <c r="K233" i="18" s="1"/>
  <c r="L233" i="18" a="1"/>
  <c r="L233" i="18"/>
  <c r="M233" i="18" a="1"/>
  <c r="M233" i="18"/>
  <c r="N233" i="18" a="1"/>
  <c r="N233" i="18" s="1"/>
  <c r="O233" i="18" a="1"/>
  <c r="O233" i="18"/>
  <c r="P233" i="18" a="1"/>
  <c r="P233" i="18" s="1"/>
  <c r="Q233" i="18" a="1"/>
  <c r="Q233" i="18" s="1"/>
  <c r="B234" i="18" a="1"/>
  <c r="B234" i="18"/>
  <c r="C234" i="18" a="1"/>
  <c r="C234" i="18"/>
  <c r="D234" i="18" a="1"/>
  <c r="D234" i="18" s="1"/>
  <c r="E234" i="18" a="1"/>
  <c r="E234" i="18"/>
  <c r="F234" i="18" a="1"/>
  <c r="F234" i="18"/>
  <c r="G234" i="18" a="1"/>
  <c r="G234" i="18" s="1"/>
  <c r="H234" i="18" a="1"/>
  <c r="H234" i="18"/>
  <c r="I234" i="18" a="1"/>
  <c r="I234" i="18"/>
  <c r="J234" i="18" a="1"/>
  <c r="J234" i="18" s="1"/>
  <c r="K234" i="18" a="1"/>
  <c r="K234" i="18" s="1"/>
  <c r="L234" i="18" a="1"/>
  <c r="L234" i="18"/>
  <c r="M234" i="18" a="1"/>
  <c r="M234" i="18" s="1"/>
  <c r="N234" i="18" a="1"/>
  <c r="N234" i="18"/>
  <c r="O234" i="18" a="1"/>
  <c r="O234" i="18"/>
  <c r="P234" i="18" a="1"/>
  <c r="P234" i="18" s="1"/>
  <c r="Q234" i="18" a="1"/>
  <c r="Q234" i="18"/>
  <c r="B235" i="18" a="1"/>
  <c r="B235" i="18" s="1"/>
  <c r="C235" i="18" a="1"/>
  <c r="C235" i="18" s="1"/>
  <c r="D235" i="18" a="1"/>
  <c r="D235" i="18" s="1"/>
  <c r="E235" i="18" a="1"/>
  <c r="E235" i="18" s="1"/>
  <c r="F235" i="18" a="1"/>
  <c r="F235" i="18" s="1"/>
  <c r="G235" i="18" a="1"/>
  <c r="G235" i="18"/>
  <c r="H235" i="18" a="1"/>
  <c r="H235" i="18"/>
  <c r="I235" i="18" a="1"/>
  <c r="I235" i="18" s="1"/>
  <c r="J235" i="18" a="1"/>
  <c r="J235" i="18"/>
  <c r="K235" i="18" a="1"/>
  <c r="K235" i="18" s="1"/>
  <c r="L235" i="18" a="1"/>
  <c r="L235" i="18" s="1"/>
  <c r="M235" i="18" a="1"/>
  <c r="M235" i="18" s="1"/>
  <c r="N235" i="18" a="1"/>
  <c r="N235" i="18"/>
  <c r="O235" i="18" a="1"/>
  <c r="O235" i="18" s="1"/>
  <c r="P235" i="18" a="1"/>
  <c r="P235" i="18"/>
  <c r="Q235" i="18" a="1"/>
  <c r="Q235" i="18"/>
  <c r="B236" i="18" a="1"/>
  <c r="B236" i="18" s="1"/>
  <c r="C236" i="18" a="1"/>
  <c r="C236" i="18"/>
  <c r="D236" i="18" a="1"/>
  <c r="D236" i="18" s="1"/>
  <c r="E236" i="18" a="1"/>
  <c r="E236" i="18" s="1"/>
  <c r="F236" i="18" a="1"/>
  <c r="F236" i="18"/>
  <c r="G236" i="18" a="1"/>
  <c r="G236" i="18"/>
  <c r="H236" i="18" a="1"/>
  <c r="H236" i="18" s="1"/>
  <c r="I236" i="18" a="1"/>
  <c r="I236" i="18"/>
  <c r="J236" i="18" a="1"/>
  <c r="J236" i="18"/>
  <c r="K236" i="18" a="1"/>
  <c r="K236" i="18" s="1"/>
  <c r="L236" i="18" a="1"/>
  <c r="L236" i="18"/>
  <c r="M236" i="18" a="1"/>
  <c r="M236" i="18"/>
  <c r="N236" i="18" a="1"/>
  <c r="N236" i="18" s="1"/>
  <c r="O236" i="18" a="1"/>
  <c r="O236" i="18" s="1"/>
  <c r="P236" i="18" a="1"/>
  <c r="P236" i="18"/>
  <c r="Q236" i="18" a="1"/>
  <c r="Q236" i="18"/>
  <c r="B237" i="18" a="1"/>
  <c r="B237" i="18" s="1"/>
  <c r="C237" i="18" a="1"/>
  <c r="C237" i="18"/>
  <c r="D237" i="18" a="1"/>
  <c r="D237" i="18" s="1"/>
  <c r="E237" i="18" a="1"/>
  <c r="E237" i="18"/>
  <c r="F237" i="18" a="1"/>
  <c r="F237" i="18"/>
  <c r="G237" i="18" a="1"/>
  <c r="G237" i="18" s="1"/>
  <c r="H237" i="18" a="1"/>
  <c r="H237" i="18"/>
  <c r="I237" i="18" a="1"/>
  <c r="I237" i="18"/>
  <c r="J237" i="18" a="1"/>
  <c r="J237" i="18"/>
  <c r="K237" i="18" a="1"/>
  <c r="K237" i="18"/>
  <c r="L237" i="18" a="1"/>
  <c r="L237" i="18"/>
  <c r="M237" i="18" a="1"/>
  <c r="M237" i="18" s="1"/>
  <c r="N237" i="18" a="1"/>
  <c r="N237" i="18"/>
  <c r="O237" i="18" a="1"/>
  <c r="O237" i="18"/>
  <c r="P237" i="18" a="1"/>
  <c r="P237" i="18"/>
  <c r="Q237" i="18" a="1"/>
  <c r="Q237" i="18"/>
  <c r="B238" i="18" a="1"/>
  <c r="B238" i="18"/>
  <c r="C238" i="18" a="1"/>
  <c r="C238" i="18" s="1"/>
  <c r="D238" i="18" a="1"/>
  <c r="D238" i="18"/>
  <c r="E238" i="18" a="1"/>
  <c r="E238" i="18"/>
  <c r="F238" i="18" a="1"/>
  <c r="F238" i="18"/>
  <c r="G238" i="18" a="1"/>
  <c r="G238" i="18"/>
  <c r="H238" i="18" a="1"/>
  <c r="H238" i="18"/>
  <c r="I238" i="18" a="1"/>
  <c r="I238" i="18" s="1"/>
  <c r="J238" i="18" a="1"/>
  <c r="J238" i="18" s="1"/>
  <c r="K238" i="18" a="1"/>
  <c r="K238" i="18"/>
  <c r="L238" i="18" a="1"/>
  <c r="L238" i="18"/>
  <c r="M238" i="18" a="1"/>
  <c r="M238" i="18"/>
  <c r="N238" i="18" a="1"/>
  <c r="N238" i="18"/>
  <c r="O238" i="18" a="1"/>
  <c r="O238" i="18" s="1"/>
  <c r="P238" i="18" a="1"/>
  <c r="P238" i="18" s="1"/>
  <c r="Q238" i="18" a="1"/>
  <c r="Q238" i="18"/>
  <c r="B239" i="18" a="1"/>
  <c r="B239" i="18"/>
  <c r="C239" i="18" a="1"/>
  <c r="C239" i="18"/>
  <c r="D239" i="18" a="1"/>
  <c r="D239" i="18"/>
  <c r="E239" i="18" a="1"/>
  <c r="E239" i="18" s="1"/>
  <c r="F239" i="18" a="1"/>
  <c r="F239" i="18" s="1"/>
  <c r="G239" i="18" a="1"/>
  <c r="G239" i="18"/>
  <c r="H239" i="18" a="1"/>
  <c r="H239" i="18"/>
  <c r="I239" i="18" a="1"/>
  <c r="I239" i="18"/>
  <c r="J239" i="18" a="1"/>
  <c r="J239" i="18"/>
  <c r="K239" i="18" a="1"/>
  <c r="K239" i="18" s="1"/>
  <c r="L239" i="18" a="1"/>
  <c r="L239" i="18" s="1"/>
  <c r="M239" i="18" a="1"/>
  <c r="M239" i="18"/>
  <c r="N239" i="18" a="1"/>
  <c r="N239" i="18"/>
  <c r="O239" i="18" a="1"/>
  <c r="O239" i="18"/>
  <c r="P239" i="18" a="1"/>
  <c r="P239" i="18"/>
  <c r="Q239" i="18" a="1"/>
  <c r="Q239" i="18" s="1"/>
  <c r="B240" i="18" a="1"/>
  <c r="B240" i="18" s="1"/>
  <c r="C240" i="18" a="1"/>
  <c r="C240" i="18"/>
  <c r="D240" i="18" a="1"/>
  <c r="D240" i="18"/>
  <c r="E240" i="18" a="1"/>
  <c r="E240" i="18"/>
  <c r="F240" i="18" a="1"/>
  <c r="F240" i="18"/>
  <c r="G240" i="18" a="1"/>
  <c r="G240" i="18" s="1"/>
  <c r="H240" i="18" a="1"/>
  <c r="H240" i="18" s="1"/>
  <c r="I240" i="18" a="1"/>
  <c r="I240" i="18"/>
  <c r="J240" i="18" a="1"/>
  <c r="J240" i="18"/>
  <c r="K240" i="18" a="1"/>
  <c r="K240" i="18"/>
  <c r="L240" i="18" a="1"/>
  <c r="L240" i="18" s="1"/>
  <c r="M240" i="18" a="1"/>
  <c r="M240" i="18" s="1"/>
  <c r="N240" i="18" a="1"/>
  <c r="N240" i="18" s="1"/>
  <c r="O240" i="18" a="1"/>
  <c r="O240" i="18"/>
  <c r="P240" i="18" a="1"/>
  <c r="P240" i="18"/>
  <c r="Q240" i="18" a="1"/>
  <c r="Q240" i="18"/>
  <c r="B241" i="18" a="1"/>
  <c r="B241" i="18" s="1"/>
  <c r="C241" i="18" a="1"/>
  <c r="C241" i="18" s="1"/>
  <c r="D241" i="18" a="1"/>
  <c r="D241" i="18" s="1"/>
  <c r="E241" i="18" a="1"/>
  <c r="E241" i="18"/>
  <c r="F241" i="18" a="1"/>
  <c r="F241" i="18"/>
  <c r="G241" i="18" a="1"/>
  <c r="G241" i="18"/>
  <c r="H241" i="18" a="1"/>
  <c r="H241" i="18" s="1"/>
  <c r="I241" i="18" a="1"/>
  <c r="I241" i="18" s="1"/>
  <c r="J241" i="18" a="1"/>
  <c r="J241" i="18" s="1"/>
  <c r="K241" i="18" a="1"/>
  <c r="K241" i="18"/>
  <c r="L241" i="18" a="1"/>
  <c r="L241" i="18"/>
  <c r="M241" i="18" a="1"/>
  <c r="M241" i="18"/>
  <c r="N241" i="18" a="1"/>
  <c r="N241" i="18" s="1"/>
  <c r="O241" i="18" a="1"/>
  <c r="O241" i="18" s="1"/>
  <c r="P241" i="18" a="1"/>
  <c r="P241" i="18" s="1"/>
  <c r="Q241" i="18" a="1"/>
  <c r="Q241" i="18"/>
  <c r="B242" i="18" a="1"/>
  <c r="B242" i="18"/>
  <c r="C242" i="18" a="1"/>
  <c r="C242" i="18"/>
  <c r="D242" i="18" a="1"/>
  <c r="D242" i="18" s="1"/>
  <c r="E242" i="18" a="1"/>
  <c r="E242" i="18" s="1"/>
  <c r="F242" i="18" a="1"/>
  <c r="F242" i="18" s="1"/>
  <c r="G242" i="18" a="1"/>
  <c r="G242" i="18"/>
  <c r="H242" i="18" a="1"/>
  <c r="H242" i="18"/>
  <c r="I242" i="18" a="1"/>
  <c r="I242" i="18"/>
  <c r="J242" i="18" a="1"/>
  <c r="J242" i="18" s="1"/>
  <c r="K242" i="18" a="1"/>
  <c r="K242" i="18" s="1"/>
  <c r="L242" i="18" a="1"/>
  <c r="L242" i="18" s="1"/>
  <c r="M242" i="18" a="1"/>
  <c r="M242" i="18"/>
  <c r="N242" i="18" a="1"/>
  <c r="N242" i="18"/>
  <c r="O242" i="18" a="1"/>
  <c r="O242" i="18"/>
  <c r="P242" i="18" a="1"/>
  <c r="P242" i="18" s="1"/>
  <c r="Q242" i="18" a="1"/>
  <c r="Q242" i="18" s="1"/>
  <c r="B243" i="18" a="1"/>
  <c r="B243" i="18" s="1"/>
  <c r="C243" i="18" a="1"/>
  <c r="C243" i="18"/>
  <c r="D243" i="18" a="1"/>
  <c r="D243" i="18" s="1"/>
  <c r="E243" i="18" a="1"/>
  <c r="E243" i="18"/>
  <c r="F243" i="18" a="1"/>
  <c r="F243" i="18" s="1"/>
  <c r="G243" i="18" a="1"/>
  <c r="G243" i="18" s="1"/>
  <c r="H243" i="18" a="1"/>
  <c r="H243" i="18" s="1"/>
  <c r="I243" i="18" a="1"/>
  <c r="I243" i="18"/>
  <c r="J243" i="18" a="1"/>
  <c r="J243" i="18" s="1"/>
  <c r="K243" i="18" a="1"/>
  <c r="K243" i="18"/>
  <c r="L243" i="18" a="1"/>
  <c r="L243" i="18" s="1"/>
  <c r="M243" i="18" a="1"/>
  <c r="M243" i="18" s="1"/>
  <c r="N243" i="18" a="1"/>
  <c r="N243" i="18" s="1"/>
  <c r="O243" i="18" a="1"/>
  <c r="O243" i="18"/>
  <c r="P243" i="18" a="1"/>
  <c r="P243" i="18" s="1"/>
  <c r="Q243" i="18" a="1"/>
  <c r="Q243" i="18"/>
  <c r="B244" i="18" a="1"/>
  <c r="B244" i="18" s="1"/>
  <c r="C244" i="18" a="1"/>
  <c r="C244" i="18" s="1"/>
  <c r="D244" i="18" a="1"/>
  <c r="D244" i="18" s="1"/>
  <c r="E244" i="18" a="1"/>
  <c r="E244" i="18"/>
  <c r="F244" i="18" a="1"/>
  <c r="F244" i="18" s="1"/>
  <c r="G244" i="18" a="1"/>
  <c r="G244" i="18"/>
  <c r="H244" i="18" a="1"/>
  <c r="H244" i="18" s="1"/>
  <c r="I244" i="18" a="1"/>
  <c r="I244" i="18" s="1"/>
  <c r="J244" i="18" a="1"/>
  <c r="J244" i="18" s="1"/>
  <c r="K244" i="18" a="1"/>
  <c r="K244" i="18"/>
  <c r="L244" i="18" a="1"/>
  <c r="L244" i="18" s="1"/>
  <c r="M244" i="18" a="1"/>
  <c r="M244" i="18"/>
  <c r="N244" i="18" a="1"/>
  <c r="N244" i="18" s="1"/>
  <c r="O244" i="18" a="1"/>
  <c r="O244" i="18" s="1"/>
  <c r="P244" i="18" a="1"/>
  <c r="P244" i="18" s="1"/>
  <c r="Q244" i="18" a="1"/>
  <c r="Q244" i="18"/>
  <c r="B245" i="18" a="1"/>
  <c r="B245" i="18" s="1"/>
  <c r="C245" i="18" a="1"/>
  <c r="C245" i="18"/>
  <c r="D245" i="18" a="1"/>
  <c r="D245" i="18" s="1"/>
  <c r="E245" i="18" a="1"/>
  <c r="E245" i="18" s="1"/>
  <c r="F245" i="18" a="1"/>
  <c r="F245" i="18" s="1"/>
  <c r="G245" i="18" a="1"/>
  <c r="G245" i="18"/>
  <c r="H245" i="18" a="1"/>
  <c r="H245" i="18" s="1"/>
  <c r="I245" i="18" a="1"/>
  <c r="I245" i="18"/>
  <c r="J245" i="18" a="1"/>
  <c r="J245" i="18" s="1"/>
  <c r="K245" i="18" a="1"/>
  <c r="K245" i="18" s="1"/>
  <c r="L245" i="18" a="1"/>
  <c r="L245" i="18" s="1"/>
  <c r="M245" i="18" a="1"/>
  <c r="M245" i="18" s="1"/>
  <c r="N245" i="18" a="1"/>
  <c r="N245" i="18" s="1"/>
  <c r="O245" i="18" a="1"/>
  <c r="O245" i="18"/>
  <c r="P245" i="18" a="1"/>
  <c r="P245" i="18" s="1"/>
  <c r="Q245" i="18" a="1"/>
  <c r="Q245" i="18" s="1"/>
  <c r="C3" i="18" a="1"/>
  <c r="C3" i="18" s="1"/>
  <c r="D3" i="18" a="1"/>
  <c r="D3" i="18"/>
  <c r="E3" i="18" a="1"/>
  <c r="E3" i="18" s="1"/>
  <c r="F3" i="18" a="1"/>
  <c r="F3" i="18" s="1"/>
  <c r="G3" i="18" a="1"/>
  <c r="G3" i="18" s="1"/>
  <c r="H3" i="18" a="1"/>
  <c r="H3" i="18"/>
  <c r="I3" i="18" a="1"/>
  <c r="I3" i="18" s="1"/>
  <c r="J3" i="18" a="1"/>
  <c r="J3" i="18"/>
  <c r="K3" i="18" a="1"/>
  <c r="K3" i="18" s="1"/>
  <c r="L3" i="18" a="1"/>
  <c r="L3" i="18" s="1"/>
  <c r="M3" i="18" a="1"/>
  <c r="M3" i="18" s="1"/>
  <c r="N3" i="18" a="1"/>
  <c r="N3" i="18"/>
  <c r="O3" i="18" a="1"/>
  <c r="O3" i="18" s="1"/>
  <c r="P3" i="18" a="1"/>
  <c r="P3" i="18"/>
  <c r="Q3" i="18" a="1"/>
  <c r="Q3" i="18" s="1"/>
  <c r="B3" i="18" a="1"/>
  <c r="B3" i="18" s="1"/>
  <c r="B4" i="11" a="1"/>
  <c r="B4" i="11" s="1"/>
  <c r="C4" i="11" a="1"/>
  <c r="C4" i="11" s="1"/>
  <c r="D4" i="11" a="1"/>
  <c r="D4" i="11" s="1"/>
  <c r="E4" i="11" a="1"/>
  <c r="E4" i="11" s="1"/>
  <c r="F4" i="11" a="1"/>
  <c r="F4" i="11" s="1"/>
  <c r="G4" i="11" a="1"/>
  <c r="G4" i="11" s="1"/>
  <c r="H4" i="11" a="1"/>
  <c r="H4" i="11" s="1"/>
  <c r="I4" i="11" a="1"/>
  <c r="I4" i="11" s="1"/>
  <c r="J4" i="11" a="1"/>
  <c r="J4" i="11" s="1"/>
  <c r="K4" i="11" a="1"/>
  <c r="K4" i="11" s="1"/>
  <c r="L4" i="11" a="1"/>
  <c r="L4" i="11" s="1"/>
  <c r="M4" i="11" a="1"/>
  <c r="M4" i="11" s="1"/>
  <c r="N4" i="11" a="1"/>
  <c r="N4" i="11" s="1"/>
  <c r="O4" i="11" a="1"/>
  <c r="O4" i="11" s="1"/>
  <c r="P4" i="11" a="1"/>
  <c r="P4" i="11" s="1"/>
  <c r="Q4" i="11" a="1"/>
  <c r="Q4" i="11" s="1"/>
  <c r="B5" i="11" a="1"/>
  <c r="B5" i="11" s="1"/>
  <c r="C5" i="11" a="1"/>
  <c r="C5" i="11" s="1"/>
  <c r="D5" i="11" a="1"/>
  <c r="D5" i="11" s="1"/>
  <c r="E5" i="11" a="1"/>
  <c r="E5" i="11" s="1"/>
  <c r="F5" i="11" a="1"/>
  <c r="F5" i="11" s="1"/>
  <c r="G5" i="11" a="1"/>
  <c r="G5" i="11" s="1"/>
  <c r="H5" i="11" a="1"/>
  <c r="H5" i="11" s="1"/>
  <c r="I5" i="11" a="1"/>
  <c r="I5" i="11" s="1"/>
  <c r="J5" i="11" a="1"/>
  <c r="J5" i="11" s="1"/>
  <c r="K5" i="11" a="1"/>
  <c r="K5" i="11" s="1"/>
  <c r="L5" i="11" a="1"/>
  <c r="L5" i="11" s="1"/>
  <c r="M5" i="11" a="1"/>
  <c r="M5" i="11" s="1"/>
  <c r="N5" i="11" a="1"/>
  <c r="N5" i="11" s="1"/>
  <c r="O5" i="11" a="1"/>
  <c r="O5" i="11" s="1"/>
  <c r="P5" i="11" a="1"/>
  <c r="P5" i="11" s="1"/>
  <c r="Q5" i="11" a="1"/>
  <c r="Q5" i="11" s="1"/>
  <c r="B6" i="11" a="1"/>
  <c r="B6" i="11" s="1"/>
  <c r="C6" i="11" a="1"/>
  <c r="C6" i="11" s="1"/>
  <c r="D6" i="11" a="1"/>
  <c r="D6" i="11" s="1"/>
  <c r="E6" i="11" a="1"/>
  <c r="E6" i="11" s="1"/>
  <c r="F6" i="11" a="1"/>
  <c r="F6" i="11" s="1"/>
  <c r="G6" i="11" a="1"/>
  <c r="G6" i="11" s="1"/>
  <c r="H6" i="11" a="1"/>
  <c r="H6" i="11" s="1"/>
  <c r="I6" i="11" a="1"/>
  <c r="I6" i="11" s="1"/>
  <c r="J6" i="11" a="1"/>
  <c r="J6" i="11"/>
  <c r="K6" i="11" a="1"/>
  <c r="K6" i="11" s="1"/>
  <c r="L6" i="11" a="1"/>
  <c r="L6" i="11" s="1"/>
  <c r="M6" i="11" a="1"/>
  <c r="M6" i="11" s="1"/>
  <c r="N6" i="11" a="1"/>
  <c r="N6" i="11" s="1"/>
  <c r="O6" i="11" a="1"/>
  <c r="O6" i="11" s="1"/>
  <c r="P6" i="11" a="1"/>
  <c r="P6" i="11"/>
  <c r="Q6" i="11" a="1"/>
  <c r="Q6" i="11" s="1"/>
  <c r="B7" i="11" a="1"/>
  <c r="B7" i="11" s="1"/>
  <c r="C7" i="11" a="1"/>
  <c r="C7" i="11" s="1"/>
  <c r="D7" i="11" a="1"/>
  <c r="D7" i="11" s="1"/>
  <c r="E7" i="11" a="1"/>
  <c r="E7" i="11" s="1"/>
  <c r="F7" i="11" a="1"/>
  <c r="F7" i="11"/>
  <c r="G7" i="11" a="1"/>
  <c r="G7" i="11" s="1"/>
  <c r="H7" i="11" a="1"/>
  <c r="H7" i="11" s="1"/>
  <c r="I7" i="11" a="1"/>
  <c r="I7" i="11" s="1"/>
  <c r="J7" i="11" a="1"/>
  <c r="J7" i="11" s="1"/>
  <c r="K7" i="11" a="1"/>
  <c r="K7" i="11" s="1"/>
  <c r="L7" i="11" a="1"/>
  <c r="L7" i="11"/>
  <c r="M7" i="11" a="1"/>
  <c r="M7" i="11" s="1"/>
  <c r="N7" i="11" a="1"/>
  <c r="N7" i="11" s="1"/>
  <c r="O7" i="11" a="1"/>
  <c r="O7" i="11" s="1"/>
  <c r="P7" i="11" a="1"/>
  <c r="P7" i="11" s="1"/>
  <c r="Q7" i="11" a="1"/>
  <c r="Q7" i="11" s="1"/>
  <c r="B8" i="11" a="1"/>
  <c r="B8" i="11"/>
  <c r="C8" i="11" a="1"/>
  <c r="C8" i="11" s="1"/>
  <c r="D8" i="11" a="1"/>
  <c r="D8" i="11" s="1"/>
  <c r="E8" i="11" a="1"/>
  <c r="E8" i="11" s="1"/>
  <c r="F8" i="11" a="1"/>
  <c r="F8" i="11" s="1"/>
  <c r="G8" i="11" a="1"/>
  <c r="G8" i="11" s="1"/>
  <c r="H8" i="11" a="1"/>
  <c r="H8" i="11"/>
  <c r="I8" i="11" a="1"/>
  <c r="I8" i="11" s="1"/>
  <c r="J8" i="11" a="1"/>
  <c r="J8" i="11" s="1"/>
  <c r="K8" i="11" a="1"/>
  <c r="K8" i="11" s="1"/>
  <c r="L8" i="11" a="1"/>
  <c r="L8" i="11" s="1"/>
  <c r="M8" i="11" a="1"/>
  <c r="M8" i="11" s="1"/>
  <c r="N8" i="11" a="1"/>
  <c r="N8" i="11" s="1"/>
  <c r="O8" i="11" a="1"/>
  <c r="O8" i="11" s="1"/>
  <c r="P8" i="11" a="1"/>
  <c r="P8" i="11" s="1"/>
  <c r="Q8" i="11" a="1"/>
  <c r="Q8" i="11" s="1"/>
  <c r="B9" i="11" a="1"/>
  <c r="B9" i="11" s="1"/>
  <c r="C9" i="11" a="1"/>
  <c r="C9" i="11" s="1"/>
  <c r="D9" i="11" a="1"/>
  <c r="D9" i="11" s="1"/>
  <c r="E9" i="11" a="1"/>
  <c r="E9" i="11" s="1"/>
  <c r="F9" i="11" a="1"/>
  <c r="F9" i="11" s="1"/>
  <c r="G9" i="11" a="1"/>
  <c r="G9" i="11" s="1"/>
  <c r="H9" i="11" a="1"/>
  <c r="H9" i="11" s="1"/>
  <c r="I9" i="11" a="1"/>
  <c r="I9" i="11" s="1"/>
  <c r="J9" i="11" a="1"/>
  <c r="J9" i="11" s="1"/>
  <c r="K9" i="11" a="1"/>
  <c r="K9" i="11" s="1"/>
  <c r="L9" i="11" a="1"/>
  <c r="L9" i="11" s="1"/>
  <c r="M9" i="11" a="1"/>
  <c r="M9" i="11" s="1"/>
  <c r="N9" i="11" a="1"/>
  <c r="N9" i="11" s="1"/>
  <c r="O9" i="11" a="1"/>
  <c r="O9" i="11" s="1"/>
  <c r="P9" i="11" a="1"/>
  <c r="P9" i="11" s="1"/>
  <c r="Q9" i="11" a="1"/>
  <c r="Q9" i="11" s="1"/>
  <c r="B10" i="11" a="1"/>
  <c r="B10" i="11" s="1"/>
  <c r="C10" i="11" a="1"/>
  <c r="C10" i="11" s="1"/>
  <c r="D10" i="11" a="1"/>
  <c r="D10" i="11" s="1"/>
  <c r="E10" i="11" a="1"/>
  <c r="E10" i="11" s="1"/>
  <c r="F10" i="11" a="1"/>
  <c r="F10" i="11" s="1"/>
  <c r="G10" i="11" a="1"/>
  <c r="G10" i="11" s="1"/>
  <c r="H10" i="11" a="1"/>
  <c r="H10" i="11" s="1"/>
  <c r="I10" i="11" a="1"/>
  <c r="I10" i="11" s="1"/>
  <c r="J10" i="11" a="1"/>
  <c r="J10" i="11" s="1"/>
  <c r="K10" i="11" a="1"/>
  <c r="K10" i="11" s="1"/>
  <c r="L10" i="11" a="1"/>
  <c r="L10" i="11" s="1"/>
  <c r="M10" i="11" a="1"/>
  <c r="M10" i="11" s="1"/>
  <c r="N10" i="11" a="1"/>
  <c r="N10" i="11" s="1"/>
  <c r="O10" i="11" a="1"/>
  <c r="O10" i="11" s="1"/>
  <c r="P10" i="11" a="1"/>
  <c r="P10" i="11" s="1"/>
  <c r="Q10" i="11" a="1"/>
  <c r="Q10" i="11" s="1"/>
  <c r="B11" i="11" a="1"/>
  <c r="B11" i="11" s="1"/>
  <c r="C11" i="11" a="1"/>
  <c r="C11" i="11" s="1"/>
  <c r="D11" i="11" a="1"/>
  <c r="D11" i="11" s="1"/>
  <c r="E11" i="11" a="1"/>
  <c r="E11" i="11" s="1"/>
  <c r="F11" i="11" a="1"/>
  <c r="F11" i="11" s="1"/>
  <c r="G11" i="11" a="1"/>
  <c r="G11" i="11" s="1"/>
  <c r="H11" i="11" a="1"/>
  <c r="H11" i="11"/>
  <c r="I11" i="11" a="1"/>
  <c r="I11" i="11" s="1"/>
  <c r="J11" i="11" a="1"/>
  <c r="J11" i="11" s="1"/>
  <c r="K11" i="11" a="1"/>
  <c r="K11" i="11" s="1"/>
  <c r="L11" i="11" a="1"/>
  <c r="L11" i="11" s="1"/>
  <c r="M11" i="11" a="1"/>
  <c r="M11" i="11" s="1"/>
  <c r="N11" i="11" a="1"/>
  <c r="N11" i="11"/>
  <c r="O11" i="11" a="1"/>
  <c r="O11" i="11" s="1"/>
  <c r="P11" i="11" a="1"/>
  <c r="P11" i="11" s="1"/>
  <c r="Q11" i="11" a="1"/>
  <c r="Q11" i="11" s="1"/>
  <c r="B12" i="11" a="1"/>
  <c r="B12" i="11" s="1"/>
  <c r="C12" i="11" a="1"/>
  <c r="C12" i="11" s="1"/>
  <c r="D12" i="11" a="1"/>
  <c r="D12" i="11"/>
  <c r="E12" i="11" a="1"/>
  <c r="E12" i="11" s="1"/>
  <c r="F12" i="11" a="1"/>
  <c r="F12" i="11" s="1"/>
  <c r="G12" i="11" a="1"/>
  <c r="G12" i="11" s="1"/>
  <c r="H12" i="11" a="1"/>
  <c r="H12" i="11" s="1"/>
  <c r="I12" i="11" a="1"/>
  <c r="I12" i="11" s="1"/>
  <c r="J12" i="11" a="1"/>
  <c r="J12" i="11"/>
  <c r="K12" i="11" a="1"/>
  <c r="K12" i="11" s="1"/>
  <c r="L12" i="11" a="1"/>
  <c r="L12" i="11" s="1"/>
  <c r="M12" i="11" a="1"/>
  <c r="M12" i="11" s="1"/>
  <c r="N12" i="11" a="1"/>
  <c r="N12" i="11" s="1"/>
  <c r="O12" i="11" a="1"/>
  <c r="O12" i="11" s="1"/>
  <c r="P12" i="11" a="1"/>
  <c r="P12" i="11"/>
  <c r="Q12" i="11" a="1"/>
  <c r="Q12" i="11" s="1"/>
  <c r="B13" i="11" a="1"/>
  <c r="B13" i="11" s="1"/>
  <c r="C13" i="11" a="1"/>
  <c r="C13" i="11" s="1"/>
  <c r="D13" i="11" a="1"/>
  <c r="D13" i="11" s="1"/>
  <c r="E13" i="11" a="1"/>
  <c r="E13" i="11" s="1"/>
  <c r="F13" i="11" a="1"/>
  <c r="F13" i="11" s="1"/>
  <c r="G13" i="11" a="1"/>
  <c r="G13" i="11" s="1"/>
  <c r="H13" i="11" a="1"/>
  <c r="H13" i="11" s="1"/>
  <c r="I13" i="11" a="1"/>
  <c r="I13" i="11" s="1"/>
  <c r="J13" i="11" a="1"/>
  <c r="J13" i="11" s="1"/>
  <c r="K13" i="11" a="1"/>
  <c r="K13" i="11" s="1"/>
  <c r="L13" i="11" a="1"/>
  <c r="L13" i="11"/>
  <c r="M13" i="11" a="1"/>
  <c r="M13" i="11"/>
  <c r="N13" i="11" a="1"/>
  <c r="N13" i="11" s="1"/>
  <c r="O13" i="11" a="1"/>
  <c r="O13" i="11" s="1"/>
  <c r="P13" i="11" a="1"/>
  <c r="P13" i="11" s="1"/>
  <c r="Q13" i="11" a="1"/>
  <c r="Q13" i="11" s="1"/>
  <c r="B14" i="11" a="1"/>
  <c r="B14" i="11" s="1"/>
  <c r="C14" i="11" a="1"/>
  <c r="C14" i="11"/>
  <c r="D14" i="11" a="1"/>
  <c r="D14" i="11" s="1"/>
  <c r="E14" i="11" a="1"/>
  <c r="E14" i="11" s="1"/>
  <c r="F14" i="11" a="1"/>
  <c r="F14" i="11" s="1"/>
  <c r="G14" i="11" a="1"/>
  <c r="G14" i="11" s="1"/>
  <c r="H14" i="11" a="1"/>
  <c r="H14" i="11" s="1"/>
  <c r="I14" i="11" a="1"/>
  <c r="I14" i="11" s="1"/>
  <c r="J14" i="11" a="1"/>
  <c r="J14" i="11" s="1"/>
  <c r="K14" i="11" a="1"/>
  <c r="K14" i="11" s="1"/>
  <c r="L14" i="11" a="1"/>
  <c r="L14" i="11" s="1"/>
  <c r="M14" i="11" a="1"/>
  <c r="M14" i="11" s="1"/>
  <c r="N14" i="11" a="1"/>
  <c r="N14" i="11"/>
  <c r="O14" i="11" a="1"/>
  <c r="O14" i="11"/>
  <c r="P14" i="11" a="1"/>
  <c r="P14" i="11" s="1"/>
  <c r="Q14" i="11" a="1"/>
  <c r="Q14" i="11" s="1"/>
  <c r="B15" i="11" a="1"/>
  <c r="B15" i="11" s="1"/>
  <c r="C15" i="11" a="1"/>
  <c r="C15" i="11" s="1"/>
  <c r="D15" i="11" a="1"/>
  <c r="D15" i="11" s="1"/>
  <c r="E15" i="11" a="1"/>
  <c r="E15" i="11"/>
  <c r="F15" i="11" a="1"/>
  <c r="F15" i="11" s="1"/>
  <c r="G15" i="11" a="1"/>
  <c r="G15" i="11" s="1"/>
  <c r="H15" i="11" a="1"/>
  <c r="H15" i="11" s="1"/>
  <c r="I15" i="11" a="1"/>
  <c r="I15" i="11" s="1"/>
  <c r="J15" i="11" a="1"/>
  <c r="J15" i="11" s="1"/>
  <c r="K15" i="11" a="1"/>
  <c r="K15" i="11" s="1"/>
  <c r="L15" i="11" a="1"/>
  <c r="L15" i="11" s="1"/>
  <c r="M15" i="11" a="1"/>
  <c r="M15" i="11" s="1"/>
  <c r="N15" i="11" a="1"/>
  <c r="N15" i="11" s="1"/>
  <c r="O15" i="11" a="1"/>
  <c r="O15" i="11" s="1"/>
  <c r="P15" i="11" a="1"/>
  <c r="P15" i="11"/>
  <c r="Q15" i="11" a="1"/>
  <c r="Q15" i="11"/>
  <c r="B16" i="11" a="1"/>
  <c r="B16" i="11" s="1"/>
  <c r="C16" i="11" a="1"/>
  <c r="C16" i="11" s="1"/>
  <c r="D16" i="11" a="1"/>
  <c r="D16" i="11" s="1"/>
  <c r="E16" i="11" a="1"/>
  <c r="E16" i="11" s="1"/>
  <c r="F16" i="11" a="1"/>
  <c r="F16" i="11" s="1"/>
  <c r="G16" i="11" a="1"/>
  <c r="G16" i="11"/>
  <c r="H16" i="11" a="1"/>
  <c r="H16" i="11" s="1"/>
  <c r="I16" i="11" a="1"/>
  <c r="I16" i="11" s="1"/>
  <c r="J16" i="11" a="1"/>
  <c r="J16" i="11" s="1"/>
  <c r="K16" i="11" a="1"/>
  <c r="K16" i="11" s="1"/>
  <c r="L16" i="11" a="1"/>
  <c r="L16" i="11" s="1"/>
  <c r="M16" i="11" a="1"/>
  <c r="M16" i="11" s="1"/>
  <c r="N16" i="11" a="1"/>
  <c r="N16" i="11" s="1"/>
  <c r="O16" i="11" a="1"/>
  <c r="O16" i="11" s="1"/>
  <c r="P16" i="11" a="1"/>
  <c r="P16" i="11" s="1"/>
  <c r="Q16" i="11" a="1"/>
  <c r="Q16" i="11" s="1"/>
  <c r="B17" i="11" a="1"/>
  <c r="B17" i="11"/>
  <c r="C17" i="11" a="1"/>
  <c r="C17" i="11"/>
  <c r="D17" i="11" a="1"/>
  <c r="D17" i="11" s="1"/>
  <c r="E17" i="11" a="1"/>
  <c r="E17" i="11" s="1"/>
  <c r="F17" i="11" a="1"/>
  <c r="F17" i="11" s="1"/>
  <c r="G17" i="11" a="1"/>
  <c r="G17" i="11" s="1"/>
  <c r="H17" i="11" a="1"/>
  <c r="H17" i="11" s="1"/>
  <c r="I17" i="11" a="1"/>
  <c r="I17" i="11" s="1"/>
  <c r="J17" i="11" a="1"/>
  <c r="J17" i="11" s="1"/>
  <c r="K17" i="11" a="1"/>
  <c r="K17" i="11" s="1"/>
  <c r="L17" i="11" a="1"/>
  <c r="L17" i="11" s="1"/>
  <c r="M17" i="11" a="1"/>
  <c r="M17" i="11" s="1"/>
  <c r="N17" i="11" a="1"/>
  <c r="N17" i="11" s="1"/>
  <c r="O17" i="11" a="1"/>
  <c r="O17" i="11" s="1"/>
  <c r="P17" i="11" a="1"/>
  <c r="P17" i="11" s="1"/>
  <c r="Q17" i="11" a="1"/>
  <c r="Q17" i="11" s="1"/>
  <c r="B18" i="11" a="1"/>
  <c r="B18" i="11" s="1"/>
  <c r="C18" i="11" a="1"/>
  <c r="C18" i="11" s="1"/>
  <c r="D18" i="11" a="1"/>
  <c r="D18" i="11" s="1"/>
  <c r="E18" i="11" a="1"/>
  <c r="E18" i="11"/>
  <c r="F18" i="11" a="1"/>
  <c r="F18" i="11" s="1"/>
  <c r="G18" i="11" a="1"/>
  <c r="G18" i="11" s="1"/>
  <c r="H18" i="11" a="1"/>
  <c r="H18" i="11" s="1"/>
  <c r="I18" i="11" a="1"/>
  <c r="I18" i="11" s="1"/>
  <c r="J18" i="11" a="1"/>
  <c r="J18" i="11" s="1"/>
  <c r="K18" i="11" a="1"/>
  <c r="K18" i="11" s="1"/>
  <c r="L18" i="11" a="1"/>
  <c r="L18" i="11" s="1"/>
  <c r="M18" i="11" a="1"/>
  <c r="M18" i="11" s="1"/>
  <c r="N18" i="11" a="1"/>
  <c r="N18" i="11" s="1"/>
  <c r="O18" i="11" a="1"/>
  <c r="O18" i="11" s="1"/>
  <c r="P18" i="11" a="1"/>
  <c r="P18" i="11" s="1"/>
  <c r="Q18" i="11" a="1"/>
  <c r="Q18" i="11" s="1"/>
  <c r="B19" i="11" a="1"/>
  <c r="B19" i="11" s="1"/>
  <c r="C19" i="11" a="1"/>
  <c r="C19" i="11" s="1"/>
  <c r="D19" i="11" a="1"/>
  <c r="D19" i="11" s="1"/>
  <c r="E19" i="11" a="1"/>
  <c r="E19" i="11" s="1"/>
  <c r="F19" i="11" a="1"/>
  <c r="F19" i="11"/>
  <c r="G19" i="11" a="1"/>
  <c r="G19" i="11"/>
  <c r="H19" i="11" a="1"/>
  <c r="H19" i="11" s="1"/>
  <c r="I19" i="11" a="1"/>
  <c r="I19" i="11" s="1"/>
  <c r="J19" i="11" a="1"/>
  <c r="J19" i="11" s="1"/>
  <c r="K19" i="11" a="1"/>
  <c r="K19" i="11" s="1"/>
  <c r="L19" i="11" a="1"/>
  <c r="L19" i="11"/>
  <c r="M19" i="11" a="1"/>
  <c r="M19" i="11" s="1"/>
  <c r="N19" i="11" a="1"/>
  <c r="N19" i="11" s="1"/>
  <c r="O19" i="11" a="1"/>
  <c r="O19" i="11" s="1"/>
  <c r="P19" i="11" a="1"/>
  <c r="P19" i="11" s="1"/>
  <c r="Q19" i="11" a="1"/>
  <c r="Q19" i="11"/>
  <c r="B20" i="11" a="1"/>
  <c r="B20" i="11"/>
  <c r="C20" i="11" a="1"/>
  <c r="C20" i="11"/>
  <c r="D20" i="11" a="1"/>
  <c r="D20" i="11" s="1"/>
  <c r="E20" i="11" a="1"/>
  <c r="E20" i="11" s="1"/>
  <c r="F20" i="11" a="1"/>
  <c r="F20" i="11" s="1"/>
  <c r="G20" i="11" a="1"/>
  <c r="G20" i="11"/>
  <c r="H20" i="11" a="1"/>
  <c r="H20" i="11" s="1"/>
  <c r="I20" i="11" a="1"/>
  <c r="I20" i="11" s="1"/>
  <c r="J20" i="11" a="1"/>
  <c r="J20" i="11" s="1"/>
  <c r="K20" i="11" a="1"/>
  <c r="K20" i="11" s="1"/>
  <c r="L20" i="11" a="1"/>
  <c r="L20" i="11" s="1"/>
  <c r="M20" i="11" a="1"/>
  <c r="M20" i="11" s="1"/>
  <c r="N20" i="11" a="1"/>
  <c r="N20" i="11"/>
  <c r="O20" i="11" a="1"/>
  <c r="O20" i="11"/>
  <c r="P20" i="11" a="1"/>
  <c r="P20" i="11" s="1"/>
  <c r="Q20" i="11" a="1"/>
  <c r="Q20" i="11" s="1"/>
  <c r="B21" i="11" a="1"/>
  <c r="B21" i="11" s="1"/>
  <c r="C21" i="11" a="1"/>
  <c r="C21" i="11" s="1"/>
  <c r="D21" i="11" a="1"/>
  <c r="D21" i="11"/>
  <c r="E21" i="11" a="1"/>
  <c r="E21" i="11"/>
  <c r="F21" i="11" a="1"/>
  <c r="F21" i="11" s="1"/>
  <c r="G21" i="11" a="1"/>
  <c r="G21" i="11" s="1"/>
  <c r="H21" i="11" a="1"/>
  <c r="H21" i="11" s="1"/>
  <c r="I21" i="11" a="1"/>
  <c r="I21" i="11"/>
  <c r="J21" i="11" a="1"/>
  <c r="J21" i="11"/>
  <c r="K21" i="11" a="1"/>
  <c r="K21" i="11"/>
  <c r="L21" i="11" a="1"/>
  <c r="L21" i="11" s="1"/>
  <c r="M21" i="11" a="1"/>
  <c r="M21" i="11" s="1"/>
  <c r="N21" i="11" a="1"/>
  <c r="N21" i="11" s="1"/>
  <c r="O21" i="11" a="1"/>
  <c r="O21" i="11"/>
  <c r="P21" i="11" a="1"/>
  <c r="P21" i="11" s="1"/>
  <c r="Q21" i="11" a="1"/>
  <c r="Q21" i="11" s="1"/>
  <c r="B22" i="11" a="1"/>
  <c r="B22" i="11" s="1"/>
  <c r="C22" i="11" a="1"/>
  <c r="C22" i="11" s="1"/>
  <c r="D22" i="11" a="1"/>
  <c r="D22" i="11" s="1"/>
  <c r="E22" i="11" a="1"/>
  <c r="E22" i="11" s="1"/>
  <c r="F22" i="11" a="1"/>
  <c r="F22" i="11"/>
  <c r="G22" i="11" a="1"/>
  <c r="G22" i="11"/>
  <c r="H22" i="11" a="1"/>
  <c r="H22" i="11" s="1"/>
  <c r="I22" i="11" a="1"/>
  <c r="I22" i="11" s="1"/>
  <c r="J22" i="11" a="1"/>
  <c r="J22" i="11" s="1"/>
  <c r="K22" i="11" a="1"/>
  <c r="K22" i="11" s="1"/>
  <c r="L22" i="11" a="1"/>
  <c r="L22" i="11" s="1"/>
  <c r="M22" i="11" a="1"/>
  <c r="M22" i="11"/>
  <c r="N22" i="11" a="1"/>
  <c r="N22" i="11" s="1"/>
  <c r="O22" i="11" a="1"/>
  <c r="O22" i="11" s="1"/>
  <c r="P22" i="11" a="1"/>
  <c r="P22" i="11" s="1"/>
  <c r="Q22" i="11" a="1"/>
  <c r="Q22" i="11"/>
  <c r="B23" i="11" a="1"/>
  <c r="B23" i="11"/>
  <c r="C23" i="11" a="1"/>
  <c r="C23" i="11"/>
  <c r="D23" i="11" a="1"/>
  <c r="D23" i="11" s="1"/>
  <c r="E23" i="11" a="1"/>
  <c r="E23" i="11" s="1"/>
  <c r="F23" i="11" a="1"/>
  <c r="F23" i="11" s="1"/>
  <c r="G23" i="11" a="1"/>
  <c r="G23" i="11"/>
  <c r="H23" i="11" a="1"/>
  <c r="H23" i="11" s="1"/>
  <c r="I23" i="11" a="1"/>
  <c r="I23" i="11" s="1"/>
  <c r="J23" i="11" a="1"/>
  <c r="J23" i="11" s="1"/>
  <c r="K23" i="11" a="1"/>
  <c r="K23" i="11" s="1"/>
  <c r="L23" i="11" a="1"/>
  <c r="L23" i="11" s="1"/>
  <c r="M23" i="11" a="1"/>
  <c r="M23" i="11" s="1"/>
  <c r="N23" i="11" a="1"/>
  <c r="N23" i="11"/>
  <c r="O23" i="11" a="1"/>
  <c r="O23" i="11"/>
  <c r="P23" i="11" a="1"/>
  <c r="P23" i="11" s="1"/>
  <c r="Q23" i="11" a="1"/>
  <c r="Q23" i="11" s="1"/>
  <c r="B24" i="11" a="1"/>
  <c r="B24" i="11" s="1"/>
  <c r="C24" i="11" a="1"/>
  <c r="C24" i="11" s="1"/>
  <c r="D24" i="11" a="1"/>
  <c r="D24" i="11"/>
  <c r="E24" i="11" a="1"/>
  <c r="E24" i="11"/>
  <c r="F24" i="11" a="1"/>
  <c r="F24" i="11" s="1"/>
  <c r="G24" i="11" a="1"/>
  <c r="G24" i="11" s="1"/>
  <c r="H24" i="11" a="1"/>
  <c r="H24" i="11" s="1"/>
  <c r="I24" i="11" a="1"/>
  <c r="I24" i="11"/>
  <c r="J24" i="11" a="1"/>
  <c r="J24" i="11"/>
  <c r="K24" i="11" a="1"/>
  <c r="K24" i="11"/>
  <c r="L24" i="11" a="1"/>
  <c r="L24" i="11" s="1"/>
  <c r="M24" i="11" a="1"/>
  <c r="M24" i="11" s="1"/>
  <c r="N24" i="11" a="1"/>
  <c r="N24" i="11" s="1"/>
  <c r="O24" i="11" a="1"/>
  <c r="O24" i="11"/>
  <c r="P24" i="11" a="1"/>
  <c r="P24" i="11" s="1"/>
  <c r="Q24" i="11" a="1"/>
  <c r="Q24" i="11" s="1"/>
  <c r="B25" i="11" a="1"/>
  <c r="B25" i="11" s="1"/>
  <c r="C25" i="11" a="1"/>
  <c r="C25" i="11" s="1"/>
  <c r="D25" i="11" a="1"/>
  <c r="D25" i="11" s="1"/>
  <c r="E25" i="11" a="1"/>
  <c r="E25" i="11" s="1"/>
  <c r="F25" i="11" a="1"/>
  <c r="F25" i="11"/>
  <c r="G25" i="11" a="1"/>
  <c r="G25" i="11"/>
  <c r="H25" i="11" a="1"/>
  <c r="H25" i="11" s="1"/>
  <c r="I25" i="11" a="1"/>
  <c r="I25" i="11" s="1"/>
  <c r="J25" i="11" a="1"/>
  <c r="J25" i="11" s="1"/>
  <c r="K25" i="11" a="1"/>
  <c r="K25" i="11" s="1"/>
  <c r="L25" i="11" a="1"/>
  <c r="L25" i="11"/>
  <c r="M25" i="11" a="1"/>
  <c r="M25" i="11"/>
  <c r="N25" i="11" a="1"/>
  <c r="N25" i="11" s="1"/>
  <c r="O25" i="11" a="1"/>
  <c r="O25" i="11" s="1"/>
  <c r="P25" i="11" a="1"/>
  <c r="P25" i="11" s="1"/>
  <c r="Q25" i="11" a="1"/>
  <c r="Q25" i="11"/>
  <c r="B26" i="11" a="1"/>
  <c r="B26" i="11"/>
  <c r="C26" i="11" a="1"/>
  <c r="C26" i="11"/>
  <c r="D26" i="11" a="1"/>
  <c r="D26" i="11" s="1"/>
  <c r="E26" i="11" a="1"/>
  <c r="E26" i="11" s="1"/>
  <c r="F26" i="11" a="1"/>
  <c r="F26" i="11" s="1"/>
  <c r="G26" i="11" a="1"/>
  <c r="G26" i="11"/>
  <c r="H26" i="11" a="1"/>
  <c r="H26" i="11" s="1"/>
  <c r="I26" i="11" a="1"/>
  <c r="I26" i="11" s="1"/>
  <c r="J26" i="11" a="1"/>
  <c r="J26" i="11" s="1"/>
  <c r="K26" i="11" a="1"/>
  <c r="K26" i="11" s="1"/>
  <c r="L26" i="11" a="1"/>
  <c r="L26" i="11" s="1"/>
  <c r="M26" i="11" a="1"/>
  <c r="M26" i="11" s="1"/>
  <c r="N26" i="11" a="1"/>
  <c r="N26" i="11"/>
  <c r="O26" i="11" a="1"/>
  <c r="O26" i="11"/>
  <c r="P26" i="11" a="1"/>
  <c r="P26" i="11" s="1"/>
  <c r="Q26" i="11" a="1"/>
  <c r="Q26" i="11" s="1"/>
  <c r="B27" i="11" a="1"/>
  <c r="B27" i="11" s="1"/>
  <c r="C27" i="11" a="1"/>
  <c r="C27" i="11" s="1"/>
  <c r="D27" i="11" a="1"/>
  <c r="D27" i="11" s="1"/>
  <c r="E27" i="11" a="1"/>
  <c r="E27" i="11" s="1"/>
  <c r="F27" i="11" a="1"/>
  <c r="F27" i="11" s="1"/>
  <c r="G27" i="11" a="1"/>
  <c r="G27" i="11" s="1"/>
  <c r="H27" i="11" a="1"/>
  <c r="H27" i="11" s="1"/>
  <c r="I27" i="11" a="1"/>
  <c r="I27" i="11"/>
  <c r="J27" i="11" a="1"/>
  <c r="J27" i="11"/>
  <c r="K27" i="11" a="1"/>
  <c r="K27" i="11"/>
  <c r="L27" i="11" a="1"/>
  <c r="L27" i="11" s="1"/>
  <c r="M27" i="11" a="1"/>
  <c r="M27" i="11" s="1"/>
  <c r="N27" i="11" a="1"/>
  <c r="N27" i="11" s="1"/>
  <c r="O27" i="11" a="1"/>
  <c r="O27" i="11"/>
  <c r="P27" i="11" a="1"/>
  <c r="P27" i="11" s="1"/>
  <c r="Q27" i="11" a="1"/>
  <c r="Q27" i="11" s="1"/>
  <c r="B28" i="11" a="1"/>
  <c r="B28" i="11" s="1"/>
  <c r="C28" i="11" a="1"/>
  <c r="C28" i="11" s="1"/>
  <c r="D28" i="11" a="1"/>
  <c r="D28" i="11" s="1"/>
  <c r="E28" i="11" a="1"/>
  <c r="E28" i="11" s="1"/>
  <c r="F28" i="11" a="1"/>
  <c r="F28" i="11"/>
  <c r="G28" i="11" a="1"/>
  <c r="G28" i="11"/>
  <c r="H28" i="11" a="1"/>
  <c r="H28" i="11" s="1"/>
  <c r="I28" i="11" a="1"/>
  <c r="I28" i="11" s="1"/>
  <c r="J28" i="11" a="1"/>
  <c r="J28" i="11" s="1"/>
  <c r="K28" i="11" a="1"/>
  <c r="K28" i="11" s="1"/>
  <c r="L28" i="11" a="1"/>
  <c r="L28" i="11" s="1"/>
  <c r="M28" i="11" a="1"/>
  <c r="M28" i="11"/>
  <c r="N28" i="11" a="1"/>
  <c r="N28" i="11" s="1"/>
  <c r="O28" i="11" a="1"/>
  <c r="O28" i="11" s="1"/>
  <c r="P28" i="11" a="1"/>
  <c r="P28" i="11" s="1"/>
  <c r="Q28" i="11" a="1"/>
  <c r="Q28" i="11"/>
  <c r="B29" i="11" a="1"/>
  <c r="B29" i="11"/>
  <c r="C29" i="11" a="1"/>
  <c r="C29" i="11"/>
  <c r="D29" i="11" a="1"/>
  <c r="D29" i="11" s="1"/>
  <c r="E29" i="11" a="1"/>
  <c r="E29" i="11" s="1"/>
  <c r="F29" i="11" a="1"/>
  <c r="F29" i="11" s="1"/>
  <c r="G29" i="11" a="1"/>
  <c r="G29" i="11"/>
  <c r="H29" i="11" a="1"/>
  <c r="H29" i="11" s="1"/>
  <c r="I29" i="11" a="1"/>
  <c r="I29" i="11" s="1"/>
  <c r="J29" i="11" a="1"/>
  <c r="J29" i="11" s="1"/>
  <c r="K29" i="11" a="1"/>
  <c r="K29" i="11" s="1"/>
  <c r="L29" i="11" a="1"/>
  <c r="L29" i="11" s="1"/>
  <c r="M29" i="11" a="1"/>
  <c r="M29" i="11" s="1"/>
  <c r="N29" i="11" a="1"/>
  <c r="N29" i="11"/>
  <c r="O29" i="11" a="1"/>
  <c r="O29" i="11"/>
  <c r="P29" i="11" a="1"/>
  <c r="P29" i="11" s="1"/>
  <c r="Q29" i="11" a="1"/>
  <c r="Q29" i="11" s="1"/>
  <c r="B30" i="11" a="1"/>
  <c r="B30" i="11" s="1"/>
  <c r="C30" i="11" a="1"/>
  <c r="C30" i="11" s="1"/>
  <c r="D30" i="11" a="1"/>
  <c r="D30" i="11"/>
  <c r="E30" i="11" a="1"/>
  <c r="E30" i="11"/>
  <c r="F30" i="11" a="1"/>
  <c r="F30" i="11" s="1"/>
  <c r="G30" i="11" a="1"/>
  <c r="G30" i="11" s="1"/>
  <c r="H30" i="11" a="1"/>
  <c r="H30" i="11" s="1"/>
  <c r="I30" i="11" a="1"/>
  <c r="I30" i="11"/>
  <c r="J30" i="11" a="1"/>
  <c r="J30" i="11"/>
  <c r="K30" i="11" a="1"/>
  <c r="K30" i="11"/>
  <c r="L30" i="11" a="1"/>
  <c r="L30" i="11" s="1"/>
  <c r="M30" i="11" a="1"/>
  <c r="M30" i="11" s="1"/>
  <c r="N30" i="11" a="1"/>
  <c r="N30" i="11" s="1"/>
  <c r="O30" i="11" a="1"/>
  <c r="O30" i="11"/>
  <c r="P30" i="11" a="1"/>
  <c r="P30" i="11" s="1"/>
  <c r="Q30" i="11" a="1"/>
  <c r="Q30" i="11" s="1"/>
  <c r="B31" i="11" a="1"/>
  <c r="B31" i="11" s="1"/>
  <c r="C31" i="11" a="1"/>
  <c r="C31" i="11" s="1"/>
  <c r="D31" i="11" a="1"/>
  <c r="D31" i="11" s="1"/>
  <c r="E31" i="11" a="1"/>
  <c r="E31" i="11" s="1"/>
  <c r="F31" i="11" a="1"/>
  <c r="F31" i="11"/>
  <c r="G31" i="11" a="1"/>
  <c r="G31" i="11"/>
  <c r="H31" i="11" a="1"/>
  <c r="H31" i="11" s="1"/>
  <c r="I31" i="11" a="1"/>
  <c r="I31" i="11" s="1"/>
  <c r="J31" i="11" a="1"/>
  <c r="J31" i="11" s="1"/>
  <c r="K31" i="11" a="1"/>
  <c r="K31" i="11" s="1"/>
  <c r="L31" i="11" a="1"/>
  <c r="L31" i="11"/>
  <c r="M31" i="11" a="1"/>
  <c r="M31" i="11"/>
  <c r="N31" i="11" a="1"/>
  <c r="N31" i="11" s="1"/>
  <c r="O31" i="11" a="1"/>
  <c r="O31" i="11" s="1"/>
  <c r="P31" i="11" a="1"/>
  <c r="P31" i="11" s="1"/>
  <c r="Q31" i="11" a="1"/>
  <c r="Q31" i="11"/>
  <c r="B32" i="11" a="1"/>
  <c r="B32" i="11"/>
  <c r="C32" i="11" a="1"/>
  <c r="C32" i="11"/>
  <c r="D32" i="11" a="1"/>
  <c r="D32" i="11" s="1"/>
  <c r="E32" i="11" a="1"/>
  <c r="E32" i="11" s="1"/>
  <c r="F32" i="11" a="1"/>
  <c r="F32" i="11" s="1"/>
  <c r="G32" i="11" a="1"/>
  <c r="G32" i="11"/>
  <c r="H32" i="11" a="1"/>
  <c r="H32" i="11" s="1"/>
  <c r="I32" i="11" a="1"/>
  <c r="I32" i="11" s="1"/>
  <c r="J32" i="11" a="1"/>
  <c r="J32" i="11" s="1"/>
  <c r="K32" i="11" a="1"/>
  <c r="K32" i="11" s="1"/>
  <c r="L32" i="11" a="1"/>
  <c r="L32" i="11" s="1"/>
  <c r="M32" i="11" a="1"/>
  <c r="M32" i="11" s="1"/>
  <c r="N32" i="11" a="1"/>
  <c r="N32" i="11"/>
  <c r="O32" i="11" a="1"/>
  <c r="O32" i="11" s="1"/>
  <c r="P32" i="11" a="1"/>
  <c r="P32" i="11" s="1"/>
  <c r="Q32" i="11" a="1"/>
  <c r="Q32" i="11" s="1"/>
  <c r="B33" i="11" a="1"/>
  <c r="B33" i="11" s="1"/>
  <c r="C33" i="11" a="1"/>
  <c r="C33" i="11" s="1"/>
  <c r="D33" i="11" a="1"/>
  <c r="D33" i="11" s="1"/>
  <c r="E33" i="11" a="1"/>
  <c r="E33" i="11"/>
  <c r="F33" i="11" a="1"/>
  <c r="F33" i="11" s="1"/>
  <c r="G33" i="11" a="1"/>
  <c r="G33" i="11" s="1"/>
  <c r="H33" i="11" a="1"/>
  <c r="H33" i="11" s="1"/>
  <c r="I33" i="11" a="1"/>
  <c r="I33" i="11"/>
  <c r="J33" i="11" a="1"/>
  <c r="J33" i="11"/>
  <c r="K33" i="11" a="1"/>
  <c r="K33" i="11"/>
  <c r="L33" i="11" a="1"/>
  <c r="L33" i="11" s="1"/>
  <c r="M33" i="11" a="1"/>
  <c r="M33" i="11" s="1"/>
  <c r="N33" i="11" a="1"/>
  <c r="N33" i="11" s="1"/>
  <c r="O33" i="11" a="1"/>
  <c r="O33" i="11"/>
  <c r="P33" i="11" a="1"/>
  <c r="P33" i="11" s="1"/>
  <c r="Q33" i="11" a="1"/>
  <c r="Q33" i="11" s="1"/>
  <c r="B34" i="11" a="1"/>
  <c r="B34" i="11" s="1"/>
  <c r="C34" i="11" a="1"/>
  <c r="C34" i="11" s="1"/>
  <c r="D34" i="11" a="1"/>
  <c r="D34" i="11" s="1"/>
  <c r="E34" i="11" a="1"/>
  <c r="E34" i="11" s="1"/>
  <c r="F34" i="11" a="1"/>
  <c r="F34" i="11"/>
  <c r="G34" i="11" a="1"/>
  <c r="G34" i="11" s="1"/>
  <c r="H34" i="11" a="1"/>
  <c r="H34" i="11" s="1"/>
  <c r="I34" i="11" a="1"/>
  <c r="I34" i="11" s="1"/>
  <c r="J34" i="11" a="1"/>
  <c r="J34" i="11" s="1"/>
  <c r="K34" i="11" a="1"/>
  <c r="K34" i="11" s="1"/>
  <c r="L34" i="11" a="1"/>
  <c r="L34" i="11" s="1"/>
  <c r="M34" i="11" a="1"/>
  <c r="M34" i="11"/>
  <c r="N34" i="11" a="1"/>
  <c r="N34" i="11" s="1"/>
  <c r="O34" i="11" a="1"/>
  <c r="O34" i="11" s="1"/>
  <c r="P34" i="11" a="1"/>
  <c r="P34" i="11" s="1"/>
  <c r="Q34" i="11" a="1"/>
  <c r="Q34" i="11"/>
  <c r="B35" i="11" a="1"/>
  <c r="B35" i="11"/>
  <c r="C35" i="11" a="1"/>
  <c r="C35" i="11"/>
  <c r="D35" i="11" a="1"/>
  <c r="D35" i="11" s="1"/>
  <c r="E35" i="11" a="1"/>
  <c r="E35" i="11" s="1"/>
  <c r="F35" i="11" a="1"/>
  <c r="F35" i="11" s="1"/>
  <c r="G35" i="11" a="1"/>
  <c r="G35" i="11"/>
  <c r="H35" i="11" a="1"/>
  <c r="H35" i="11" s="1"/>
  <c r="I35" i="11" a="1"/>
  <c r="I35" i="11" s="1"/>
  <c r="J35" i="11" a="1"/>
  <c r="J35" i="11" s="1"/>
  <c r="K35" i="11" a="1"/>
  <c r="K35" i="11" s="1"/>
  <c r="L35" i="11" a="1"/>
  <c r="L35" i="11" s="1"/>
  <c r="M35" i="11" a="1"/>
  <c r="M35" i="11" s="1"/>
  <c r="N35" i="11" a="1"/>
  <c r="N35" i="11"/>
  <c r="O35" i="11" a="1"/>
  <c r="O35" i="11" s="1"/>
  <c r="P35" i="11" a="1"/>
  <c r="P35" i="11"/>
  <c r="Q35" i="11" a="1"/>
  <c r="Q35" i="11"/>
  <c r="B36" i="11" a="1"/>
  <c r="B36" i="11"/>
  <c r="C36" i="11" a="1"/>
  <c r="C36" i="11" s="1"/>
  <c r="D36" i="11" a="1"/>
  <c r="D36" i="11"/>
  <c r="E36" i="11" a="1"/>
  <c r="E36" i="11" s="1"/>
  <c r="F36" i="11" a="1"/>
  <c r="F36" i="11"/>
  <c r="G36" i="11" a="1"/>
  <c r="G36" i="11"/>
  <c r="H36" i="11" a="1"/>
  <c r="H36" i="11"/>
  <c r="I36" i="11" a="1"/>
  <c r="I36" i="11" s="1"/>
  <c r="J36" i="11" a="1"/>
  <c r="J36" i="11"/>
  <c r="K36" i="11" a="1"/>
  <c r="K36" i="11" s="1"/>
  <c r="L36" i="11" a="1"/>
  <c r="L36" i="11"/>
  <c r="M36" i="11" a="1"/>
  <c r="M36" i="11"/>
  <c r="N36" i="11" a="1"/>
  <c r="N36" i="11"/>
  <c r="O36" i="11" a="1"/>
  <c r="O36" i="11" s="1"/>
  <c r="P36" i="11" a="1"/>
  <c r="P36" i="11" s="1"/>
  <c r="Q36" i="11" a="1"/>
  <c r="Q36" i="11" s="1"/>
  <c r="B37" i="11" a="1"/>
  <c r="B37" i="11"/>
  <c r="C37" i="11" a="1"/>
  <c r="C37" i="11"/>
  <c r="D37" i="11" a="1"/>
  <c r="D37" i="11"/>
  <c r="E37" i="11" a="1"/>
  <c r="E37" i="11" s="1"/>
  <c r="F37" i="11" a="1"/>
  <c r="F37" i="11" s="1"/>
  <c r="G37" i="11" a="1"/>
  <c r="G37" i="11" s="1"/>
  <c r="H37" i="11" a="1"/>
  <c r="H37" i="11"/>
  <c r="I37" i="11" a="1"/>
  <c r="I37" i="11"/>
  <c r="J37" i="11" a="1"/>
  <c r="J37" i="11"/>
  <c r="K37" i="11" a="1"/>
  <c r="K37" i="11" s="1"/>
  <c r="L37" i="11" a="1"/>
  <c r="L37" i="11" s="1"/>
  <c r="M37" i="11" a="1"/>
  <c r="M37" i="11" s="1"/>
  <c r="N37" i="11" a="1"/>
  <c r="N37" i="11"/>
  <c r="O37" i="11" a="1"/>
  <c r="O37" i="11" s="1"/>
  <c r="P37" i="11" a="1"/>
  <c r="P37" i="11"/>
  <c r="Q37" i="11" a="1"/>
  <c r="Q37" i="11" s="1"/>
  <c r="B38" i="11" a="1"/>
  <c r="B38" i="11" s="1"/>
  <c r="C38" i="11" a="1"/>
  <c r="C38" i="11" s="1"/>
  <c r="D38" i="11" a="1"/>
  <c r="D38" i="11"/>
  <c r="E38" i="11" a="1"/>
  <c r="E38" i="11" s="1"/>
  <c r="F38" i="11" a="1"/>
  <c r="F38" i="11"/>
  <c r="G38" i="11" a="1"/>
  <c r="G38" i="11" s="1"/>
  <c r="H38" i="11" a="1"/>
  <c r="H38" i="11" s="1"/>
  <c r="I38" i="11" a="1"/>
  <c r="I38" i="11" s="1"/>
  <c r="J38" i="11" a="1"/>
  <c r="J38" i="11" s="1"/>
  <c r="K38" i="11" a="1"/>
  <c r="K38" i="11" s="1"/>
  <c r="L38" i="11" a="1"/>
  <c r="L38" i="11"/>
  <c r="M38" i="11" a="1"/>
  <c r="M38" i="11" s="1"/>
  <c r="N38" i="11" a="1"/>
  <c r="N38" i="11" s="1"/>
  <c r="O38" i="11" a="1"/>
  <c r="O38" i="11" s="1"/>
  <c r="P38" i="11" a="1"/>
  <c r="P38" i="11" s="1"/>
  <c r="Q38" i="11" a="1"/>
  <c r="Q38" i="11" s="1"/>
  <c r="B39" i="11" a="1"/>
  <c r="B39" i="11"/>
  <c r="C39" i="11" a="1"/>
  <c r="C39" i="11" s="1"/>
  <c r="D39" i="11" a="1"/>
  <c r="D39" i="11" s="1"/>
  <c r="E39" i="11" a="1"/>
  <c r="E39" i="11" s="1"/>
  <c r="F39" i="11" a="1"/>
  <c r="F39" i="11" s="1"/>
  <c r="G39" i="11" a="1"/>
  <c r="G39" i="11" s="1"/>
  <c r="H39" i="11" a="1"/>
  <c r="H39" i="11"/>
  <c r="I39" i="11" a="1"/>
  <c r="I39" i="11" s="1"/>
  <c r="J39" i="11" a="1"/>
  <c r="J39" i="11" s="1"/>
  <c r="K39" i="11" a="1"/>
  <c r="K39" i="11" s="1"/>
  <c r="L39" i="11" a="1"/>
  <c r="L39" i="11" s="1"/>
  <c r="M39" i="11" a="1"/>
  <c r="M39" i="11" s="1"/>
  <c r="N39" i="11" a="1"/>
  <c r="N39" i="11" s="1"/>
  <c r="O39" i="11" a="1"/>
  <c r="O39" i="11" s="1"/>
  <c r="P39" i="11" a="1"/>
  <c r="P39" i="11" s="1"/>
  <c r="Q39" i="11" a="1"/>
  <c r="Q39" i="11" s="1"/>
  <c r="B40" i="11" a="1"/>
  <c r="B40" i="11" s="1"/>
  <c r="C40" i="11" a="1"/>
  <c r="C40" i="11" s="1"/>
  <c r="D40" i="11" a="1"/>
  <c r="D40" i="11" s="1"/>
  <c r="E40" i="11" a="1"/>
  <c r="E40" i="11" s="1"/>
  <c r="F40" i="11" a="1"/>
  <c r="F40" i="11" s="1"/>
  <c r="G40" i="11" a="1"/>
  <c r="G40" i="11" s="1"/>
  <c r="H40" i="11" a="1"/>
  <c r="H40" i="11" s="1"/>
  <c r="I40" i="11" a="1"/>
  <c r="I40" i="11" s="1"/>
  <c r="J40" i="11" a="1"/>
  <c r="J40" i="11" s="1"/>
  <c r="K40" i="11" a="1"/>
  <c r="K40" i="11" s="1"/>
  <c r="L40" i="11" a="1"/>
  <c r="L40" i="11" s="1"/>
  <c r="M40" i="11" a="1"/>
  <c r="M40" i="11" s="1"/>
  <c r="N40" i="11" a="1"/>
  <c r="N40" i="11" s="1"/>
  <c r="O40" i="11" a="1"/>
  <c r="O40" i="11" s="1"/>
  <c r="P40" i="11" a="1"/>
  <c r="P40" i="11"/>
  <c r="Q40" i="11" a="1"/>
  <c r="Q40" i="11" s="1"/>
  <c r="B41" i="11" a="1"/>
  <c r="B41" i="11" s="1"/>
  <c r="C41" i="11" a="1"/>
  <c r="C41" i="11" s="1"/>
  <c r="D41" i="11" a="1"/>
  <c r="D41" i="11" s="1"/>
  <c r="E41" i="11" a="1"/>
  <c r="E41" i="11" s="1"/>
  <c r="F41" i="11" a="1"/>
  <c r="F41" i="11" s="1"/>
  <c r="G41" i="11" a="1"/>
  <c r="G41" i="11" s="1"/>
  <c r="H41" i="11" a="1"/>
  <c r="H41" i="11" s="1"/>
  <c r="I41" i="11" a="1"/>
  <c r="I41" i="11"/>
  <c r="J41" i="11" a="1"/>
  <c r="J41" i="11" s="1"/>
  <c r="K41" i="11" a="1"/>
  <c r="K41" i="11" s="1"/>
  <c r="L41" i="11" a="1"/>
  <c r="L41" i="11" s="1"/>
  <c r="M41" i="11" a="1"/>
  <c r="M41" i="11" s="1"/>
  <c r="N41" i="11" a="1"/>
  <c r="N41" i="11" s="1"/>
  <c r="O41" i="11" a="1"/>
  <c r="O41" i="11" s="1"/>
  <c r="P41" i="11" a="1"/>
  <c r="P41" i="11" s="1"/>
  <c r="Q41" i="11" a="1"/>
  <c r="Q41" i="11" s="1"/>
  <c r="B42" i="11" a="1"/>
  <c r="B42" i="11"/>
  <c r="C42" i="11" a="1"/>
  <c r="C42" i="11" s="1"/>
  <c r="D42" i="11" a="1"/>
  <c r="D42" i="11" s="1"/>
  <c r="E42" i="11" a="1"/>
  <c r="E42" i="11" s="1"/>
  <c r="F42" i="11" a="1"/>
  <c r="F42" i="11" s="1"/>
  <c r="G42" i="11" a="1"/>
  <c r="G42" i="11" s="1"/>
  <c r="H42" i="11" a="1"/>
  <c r="H42" i="11" s="1"/>
  <c r="I42" i="11" a="1"/>
  <c r="I42" i="11" s="1"/>
  <c r="J42" i="11" a="1"/>
  <c r="J42" i="11" s="1"/>
  <c r="K42" i="11" a="1"/>
  <c r="K42" i="11"/>
  <c r="L42" i="11" a="1"/>
  <c r="L42" i="11" s="1"/>
  <c r="M42" i="11" a="1"/>
  <c r="M42" i="11" s="1"/>
  <c r="N42" i="11" a="1"/>
  <c r="N42" i="11" s="1"/>
  <c r="O42" i="11" a="1"/>
  <c r="O42" i="11" s="1"/>
  <c r="P42" i="11" a="1"/>
  <c r="P42" i="11" s="1"/>
  <c r="Q42" i="11" a="1"/>
  <c r="Q42" i="11" s="1"/>
  <c r="B43" i="11" a="1"/>
  <c r="B43" i="11" s="1"/>
  <c r="C43" i="11" a="1"/>
  <c r="C43" i="11" s="1"/>
  <c r="D43" i="11" a="1"/>
  <c r="D43" i="11"/>
  <c r="E43" i="11" a="1"/>
  <c r="E43" i="11" s="1"/>
  <c r="F43" i="11" a="1"/>
  <c r="F43" i="11" s="1"/>
  <c r="G43" i="11" a="1"/>
  <c r="G43" i="11" s="1"/>
  <c r="H43" i="11" a="1"/>
  <c r="H43" i="11" s="1"/>
  <c r="I43" i="11" a="1"/>
  <c r="I43" i="11" s="1"/>
  <c r="J43" i="11" a="1"/>
  <c r="J43" i="11" s="1"/>
  <c r="K43" i="11" a="1"/>
  <c r="K43" i="11" s="1"/>
  <c r="L43" i="11" a="1"/>
  <c r="L43" i="11" s="1"/>
  <c r="M43" i="11" a="1"/>
  <c r="M43" i="11"/>
  <c r="N43" i="11" a="1"/>
  <c r="N43" i="11" s="1"/>
  <c r="O43" i="11" a="1"/>
  <c r="O43" i="11" s="1"/>
  <c r="P43" i="11" a="1"/>
  <c r="P43" i="11" s="1"/>
  <c r="Q43" i="11" a="1"/>
  <c r="Q43" i="11" s="1"/>
  <c r="B44" i="11" a="1"/>
  <c r="B44" i="11" s="1"/>
  <c r="C44" i="11" a="1"/>
  <c r="C44" i="11" s="1"/>
  <c r="D44" i="11" a="1"/>
  <c r="D44" i="11" s="1"/>
  <c r="E44" i="11" a="1"/>
  <c r="E44" i="11" s="1"/>
  <c r="F44" i="11" a="1"/>
  <c r="F44" i="11" s="1"/>
  <c r="G44" i="11" a="1"/>
  <c r="G44" i="11" s="1"/>
  <c r="H44" i="11" a="1"/>
  <c r="H44" i="11" s="1"/>
  <c r="I44" i="11" a="1"/>
  <c r="I44" i="11" s="1"/>
  <c r="J44" i="11" a="1"/>
  <c r="J44" i="11" s="1"/>
  <c r="K44" i="11" a="1"/>
  <c r="K44" i="11" s="1"/>
  <c r="L44" i="11" a="1"/>
  <c r="L44" i="11" s="1"/>
  <c r="M44" i="11" a="1"/>
  <c r="M44" i="11" s="1"/>
  <c r="N44" i="11" a="1"/>
  <c r="N44" i="11" s="1"/>
  <c r="O44" i="11" a="1"/>
  <c r="O44" i="11" s="1"/>
  <c r="P44" i="11" a="1"/>
  <c r="P44" i="11" s="1"/>
  <c r="Q44" i="11" a="1"/>
  <c r="Q44" i="11" s="1"/>
  <c r="B45" i="11" a="1"/>
  <c r="B45" i="11" s="1"/>
  <c r="C45" i="11" a="1"/>
  <c r="C45" i="11" s="1"/>
  <c r="D45" i="11" a="1"/>
  <c r="D45" i="11" s="1"/>
  <c r="E45" i="11" a="1"/>
  <c r="E45" i="11" s="1"/>
  <c r="F45" i="11" a="1"/>
  <c r="F45" i="11" s="1"/>
  <c r="G45" i="11" a="1"/>
  <c r="G45" i="11" s="1"/>
  <c r="H45" i="11" a="1"/>
  <c r="H45" i="11" s="1"/>
  <c r="I45" i="11" a="1"/>
  <c r="I45" i="11" s="1"/>
  <c r="J45" i="11" a="1"/>
  <c r="J45" i="11" s="1"/>
  <c r="K45" i="11" a="1"/>
  <c r="K45" i="11" s="1"/>
  <c r="L45" i="11" a="1"/>
  <c r="L45" i="11" s="1"/>
  <c r="M45" i="11" a="1"/>
  <c r="M45" i="11" s="1"/>
  <c r="N45" i="11" a="1"/>
  <c r="N45" i="11" s="1"/>
  <c r="O45" i="11" a="1"/>
  <c r="O45" i="11" s="1"/>
  <c r="P45" i="11" a="1"/>
  <c r="P45" i="11" s="1"/>
  <c r="Q45" i="11" a="1"/>
  <c r="Q45" i="11" s="1"/>
  <c r="B46" i="11" a="1"/>
  <c r="B46" i="11" s="1"/>
  <c r="C46" i="11" a="1"/>
  <c r="C46" i="11" s="1"/>
  <c r="D46" i="11" a="1"/>
  <c r="D46" i="11" s="1"/>
  <c r="E46" i="11" a="1"/>
  <c r="E46" i="11" s="1"/>
  <c r="F46" i="11" a="1"/>
  <c r="F46" i="11" s="1"/>
  <c r="G46" i="11" a="1"/>
  <c r="G46" i="11" s="1"/>
  <c r="H46" i="11" a="1"/>
  <c r="H46" i="11" s="1"/>
  <c r="I46" i="11" a="1"/>
  <c r="I46" i="11" s="1"/>
  <c r="J46" i="11" a="1"/>
  <c r="J46" i="11" s="1"/>
  <c r="K46" i="11" a="1"/>
  <c r="K46" i="11" s="1"/>
  <c r="L46" i="11" a="1"/>
  <c r="L46" i="11" s="1"/>
  <c r="M46" i="11" a="1"/>
  <c r="M46" i="11" s="1"/>
  <c r="N46" i="11" a="1"/>
  <c r="N46" i="11" s="1"/>
  <c r="O46" i="11" a="1"/>
  <c r="O46" i="11" s="1"/>
  <c r="P46" i="11" a="1"/>
  <c r="P46" i="11" s="1"/>
  <c r="Q46" i="11" a="1"/>
  <c r="Q46" i="11" s="1"/>
  <c r="B47" i="11" a="1"/>
  <c r="B47" i="11" s="1"/>
  <c r="C47" i="11" a="1"/>
  <c r="C47" i="11" s="1"/>
  <c r="D47" i="11" a="1"/>
  <c r="D47" i="11" s="1"/>
  <c r="E47" i="11" a="1"/>
  <c r="E47" i="11" s="1"/>
  <c r="F47" i="11" a="1"/>
  <c r="F47" i="11" s="1"/>
  <c r="G47" i="11" a="1"/>
  <c r="G47" i="11" s="1"/>
  <c r="H47" i="11" a="1"/>
  <c r="H47" i="11" s="1"/>
  <c r="I47" i="11" a="1"/>
  <c r="I47" i="11" s="1"/>
  <c r="J47" i="11" a="1"/>
  <c r="J47" i="11" s="1"/>
  <c r="K47" i="11" a="1"/>
  <c r="K47" i="11" s="1"/>
  <c r="L47" i="11" a="1"/>
  <c r="L47" i="11" s="1"/>
  <c r="M47" i="11" a="1"/>
  <c r="M47" i="11" s="1"/>
  <c r="N47" i="11" a="1"/>
  <c r="N47" i="11" s="1"/>
  <c r="O47" i="11" a="1"/>
  <c r="O47" i="11" s="1"/>
  <c r="P47" i="11" a="1"/>
  <c r="P47" i="11" s="1"/>
  <c r="Q47" i="11" a="1"/>
  <c r="Q47" i="11" s="1"/>
  <c r="B48" i="11" a="1"/>
  <c r="B48" i="11" s="1"/>
  <c r="C48" i="11" a="1"/>
  <c r="C48" i="11" s="1"/>
  <c r="D48" i="11" a="1"/>
  <c r="D48" i="11" s="1"/>
  <c r="E48" i="11" a="1"/>
  <c r="E48" i="11" s="1"/>
  <c r="F48" i="11" a="1"/>
  <c r="F48" i="11" s="1"/>
  <c r="G48" i="11" a="1"/>
  <c r="G48" i="11" s="1"/>
  <c r="H48" i="11" a="1"/>
  <c r="H48" i="11" s="1"/>
  <c r="I48" i="11" a="1"/>
  <c r="I48" i="11" s="1"/>
  <c r="J48" i="11" a="1"/>
  <c r="J48" i="11" s="1"/>
  <c r="K48" i="11" a="1"/>
  <c r="K48" i="11" s="1"/>
  <c r="L48" i="11" a="1"/>
  <c r="L48" i="11" s="1"/>
  <c r="M48" i="11" a="1"/>
  <c r="M48" i="11" s="1"/>
  <c r="N48" i="11" a="1"/>
  <c r="N48" i="11" s="1"/>
  <c r="O48" i="11" a="1"/>
  <c r="O48" i="11" s="1"/>
  <c r="P48" i="11" a="1"/>
  <c r="P48" i="11" s="1"/>
  <c r="Q48" i="11" a="1"/>
  <c r="Q48" i="11" s="1"/>
  <c r="B49" i="11" a="1"/>
  <c r="B49" i="11" s="1"/>
  <c r="C49" i="11" a="1"/>
  <c r="C49" i="11" s="1"/>
  <c r="D49" i="11" a="1"/>
  <c r="D49" i="11" s="1"/>
  <c r="E49" i="11" a="1"/>
  <c r="E49" i="11" s="1"/>
  <c r="F49" i="11" a="1"/>
  <c r="F49" i="11" s="1"/>
  <c r="G49" i="11" a="1"/>
  <c r="G49" i="11" s="1"/>
  <c r="H49" i="11" a="1"/>
  <c r="H49" i="11" s="1"/>
  <c r="I49" i="11" a="1"/>
  <c r="I49" i="11" s="1"/>
  <c r="J49" i="11" a="1"/>
  <c r="J49" i="11" s="1"/>
  <c r="K49" i="11" a="1"/>
  <c r="K49" i="11" s="1"/>
  <c r="L49" i="11" a="1"/>
  <c r="L49" i="11" s="1"/>
  <c r="M49" i="11" a="1"/>
  <c r="M49" i="11" s="1"/>
  <c r="N49" i="11" a="1"/>
  <c r="N49" i="11" s="1"/>
  <c r="O49" i="11" a="1"/>
  <c r="O49" i="11" s="1"/>
  <c r="P49" i="11" a="1"/>
  <c r="P49" i="11" s="1"/>
  <c r="Q49" i="11" a="1"/>
  <c r="Q49" i="11" s="1"/>
  <c r="B50" i="11" a="1"/>
  <c r="B50" i="11" s="1"/>
  <c r="C50" i="11" a="1"/>
  <c r="C50" i="11" s="1"/>
  <c r="D50" i="11" a="1"/>
  <c r="D50" i="11" s="1"/>
  <c r="E50" i="11" a="1"/>
  <c r="E50" i="11" s="1"/>
  <c r="F50" i="11" a="1"/>
  <c r="F50" i="11" s="1"/>
  <c r="G50" i="11" a="1"/>
  <c r="G50" i="11" s="1"/>
  <c r="H50" i="11" a="1"/>
  <c r="H50" i="11" s="1"/>
  <c r="I50" i="11" a="1"/>
  <c r="I50" i="11" s="1"/>
  <c r="J50" i="11" a="1"/>
  <c r="J50" i="11" s="1"/>
  <c r="K50" i="11" a="1"/>
  <c r="K50" i="11" s="1"/>
  <c r="L50" i="11" a="1"/>
  <c r="L50" i="11" s="1"/>
  <c r="M50" i="11" a="1"/>
  <c r="M50" i="11" s="1"/>
  <c r="N50" i="11" a="1"/>
  <c r="N50" i="11" s="1"/>
  <c r="O50" i="11" a="1"/>
  <c r="O50" i="11" s="1"/>
  <c r="P50" i="11" a="1"/>
  <c r="P50" i="11" s="1"/>
  <c r="Q50" i="11" a="1"/>
  <c r="Q50" i="11" s="1"/>
  <c r="B51" i="11" a="1"/>
  <c r="B51" i="11" s="1"/>
  <c r="C51" i="11" a="1"/>
  <c r="C51" i="11" s="1"/>
  <c r="D51" i="11" a="1"/>
  <c r="D51" i="11" s="1"/>
  <c r="E51" i="11" a="1"/>
  <c r="E51" i="11" s="1"/>
  <c r="F51" i="11" a="1"/>
  <c r="F51" i="11" s="1"/>
  <c r="G51" i="11" a="1"/>
  <c r="G51" i="11" s="1"/>
  <c r="H51" i="11" a="1"/>
  <c r="H51" i="11" s="1"/>
  <c r="I51" i="11" a="1"/>
  <c r="I51" i="11" s="1"/>
  <c r="J51" i="11" a="1"/>
  <c r="J51" i="11" s="1"/>
  <c r="K51" i="11" a="1"/>
  <c r="K51" i="11" s="1"/>
  <c r="L51" i="11" a="1"/>
  <c r="L51" i="11" s="1"/>
  <c r="M51" i="11" a="1"/>
  <c r="M51" i="11" s="1"/>
  <c r="N51" i="11" a="1"/>
  <c r="N51" i="11" s="1"/>
  <c r="O51" i="11" a="1"/>
  <c r="O51" i="11" s="1"/>
  <c r="P51" i="11" a="1"/>
  <c r="P51" i="11" s="1"/>
  <c r="Q51" i="11" a="1"/>
  <c r="Q51" i="11" s="1"/>
  <c r="B52" i="11" a="1"/>
  <c r="B52" i="11" s="1"/>
  <c r="C52" i="11" a="1"/>
  <c r="C52" i="11" s="1"/>
  <c r="D52" i="11" a="1"/>
  <c r="D52" i="11" s="1"/>
  <c r="E52" i="11" a="1"/>
  <c r="E52" i="11" s="1"/>
  <c r="F52" i="11" a="1"/>
  <c r="F52" i="11" s="1"/>
  <c r="G52" i="11" a="1"/>
  <c r="G52" i="11" s="1"/>
  <c r="H52" i="11" a="1"/>
  <c r="H52" i="11" s="1"/>
  <c r="I52" i="11" a="1"/>
  <c r="I52" i="11" s="1"/>
  <c r="J52" i="11" a="1"/>
  <c r="J52" i="11" s="1"/>
  <c r="K52" i="11" a="1"/>
  <c r="K52" i="11" s="1"/>
  <c r="L52" i="11" a="1"/>
  <c r="L52" i="11" s="1"/>
  <c r="M52" i="11" a="1"/>
  <c r="M52" i="11" s="1"/>
  <c r="N52" i="11" a="1"/>
  <c r="N52" i="11" s="1"/>
  <c r="O52" i="11" a="1"/>
  <c r="O52" i="11" s="1"/>
  <c r="P52" i="11" a="1"/>
  <c r="P52" i="11" s="1"/>
  <c r="Q52" i="11" a="1"/>
  <c r="Q52" i="11" s="1"/>
  <c r="B53" i="11" a="1"/>
  <c r="B53" i="11" s="1"/>
  <c r="C53" i="11" a="1"/>
  <c r="C53" i="11" s="1"/>
  <c r="D53" i="11" a="1"/>
  <c r="D53" i="11" s="1"/>
  <c r="E53" i="11" a="1"/>
  <c r="E53" i="11" s="1"/>
  <c r="F53" i="11" a="1"/>
  <c r="F53" i="11" s="1"/>
  <c r="G53" i="11" a="1"/>
  <c r="G53" i="11" s="1"/>
  <c r="H53" i="11" a="1"/>
  <c r="H53" i="11" s="1"/>
  <c r="I53" i="11" a="1"/>
  <c r="I53" i="11" s="1"/>
  <c r="J53" i="11" a="1"/>
  <c r="J53" i="11" s="1"/>
  <c r="K53" i="11" a="1"/>
  <c r="K53" i="11" s="1"/>
  <c r="L53" i="11" a="1"/>
  <c r="L53" i="11" s="1"/>
  <c r="M53" i="11" a="1"/>
  <c r="M53" i="11" s="1"/>
  <c r="N53" i="11" a="1"/>
  <c r="N53" i="11" s="1"/>
  <c r="O53" i="11" a="1"/>
  <c r="O53" i="11" s="1"/>
  <c r="P53" i="11" a="1"/>
  <c r="P53" i="11" s="1"/>
  <c r="Q53" i="11" a="1"/>
  <c r="Q53" i="11" s="1"/>
  <c r="B54" i="11" a="1"/>
  <c r="B54" i="11" s="1"/>
  <c r="C54" i="11" a="1"/>
  <c r="C54" i="11" s="1"/>
  <c r="D54" i="11" a="1"/>
  <c r="D54" i="11" s="1"/>
  <c r="E54" i="11" a="1"/>
  <c r="E54" i="11" s="1"/>
  <c r="F54" i="11" a="1"/>
  <c r="F54" i="11" s="1"/>
  <c r="G54" i="11" a="1"/>
  <c r="G54" i="11" s="1"/>
  <c r="H54" i="11" a="1"/>
  <c r="H54" i="11" s="1"/>
  <c r="I54" i="11" a="1"/>
  <c r="I54" i="11" s="1"/>
  <c r="J54" i="11" a="1"/>
  <c r="J54" i="11" s="1"/>
  <c r="K54" i="11" a="1"/>
  <c r="K54" i="11" s="1"/>
  <c r="L54" i="11" a="1"/>
  <c r="L54" i="11" s="1"/>
  <c r="M54" i="11" a="1"/>
  <c r="M54" i="11" s="1"/>
  <c r="N54" i="11" a="1"/>
  <c r="N54" i="11" s="1"/>
  <c r="O54" i="11" a="1"/>
  <c r="O54" i="11" s="1"/>
  <c r="P54" i="11" a="1"/>
  <c r="P54" i="11" s="1"/>
  <c r="Q54" i="11" a="1"/>
  <c r="Q54" i="11" s="1"/>
  <c r="B55" i="11" a="1"/>
  <c r="B55" i="11" s="1"/>
  <c r="C55" i="11" a="1"/>
  <c r="C55" i="11" s="1"/>
  <c r="D55" i="11" a="1"/>
  <c r="D55" i="11" s="1"/>
  <c r="E55" i="11" a="1"/>
  <c r="E55" i="11" s="1"/>
  <c r="F55" i="11" a="1"/>
  <c r="F55" i="11" s="1"/>
  <c r="G55" i="11" a="1"/>
  <c r="G55" i="11" s="1"/>
  <c r="H55" i="11" a="1"/>
  <c r="H55" i="11" s="1"/>
  <c r="I55" i="11" a="1"/>
  <c r="I55" i="11" s="1"/>
  <c r="J55" i="11" a="1"/>
  <c r="J55" i="11" s="1"/>
  <c r="K55" i="11" a="1"/>
  <c r="K55" i="11" s="1"/>
  <c r="L55" i="11" a="1"/>
  <c r="L55" i="11" s="1"/>
  <c r="M55" i="11" a="1"/>
  <c r="M55" i="11" s="1"/>
  <c r="N55" i="11" a="1"/>
  <c r="N55" i="11" s="1"/>
  <c r="O55" i="11" a="1"/>
  <c r="O55" i="11" s="1"/>
  <c r="P55" i="11" a="1"/>
  <c r="P55" i="11" s="1"/>
  <c r="Q55" i="11" a="1"/>
  <c r="Q55" i="11" s="1"/>
  <c r="B56" i="11" a="1"/>
  <c r="B56" i="11" s="1"/>
  <c r="C56" i="11" a="1"/>
  <c r="C56" i="11" s="1"/>
  <c r="D56" i="11" a="1"/>
  <c r="D56" i="11" s="1"/>
  <c r="E56" i="11" a="1"/>
  <c r="E56" i="11" s="1"/>
  <c r="F56" i="11" a="1"/>
  <c r="F56" i="11" s="1"/>
  <c r="G56" i="11" a="1"/>
  <c r="G56" i="11" s="1"/>
  <c r="H56" i="11" a="1"/>
  <c r="H56" i="11" s="1"/>
  <c r="I56" i="11" a="1"/>
  <c r="I56" i="11" s="1"/>
  <c r="J56" i="11" a="1"/>
  <c r="J56" i="11" s="1"/>
  <c r="K56" i="11" a="1"/>
  <c r="K56" i="11" s="1"/>
  <c r="L56" i="11" a="1"/>
  <c r="L56" i="11" s="1"/>
  <c r="M56" i="11" a="1"/>
  <c r="M56" i="11" s="1"/>
  <c r="N56" i="11" a="1"/>
  <c r="N56" i="11" s="1"/>
  <c r="O56" i="11" a="1"/>
  <c r="O56" i="11" s="1"/>
  <c r="P56" i="11" a="1"/>
  <c r="P56" i="11" s="1"/>
  <c r="Q56" i="11" a="1"/>
  <c r="Q56" i="11" s="1"/>
  <c r="B57" i="11" a="1"/>
  <c r="B57" i="11" s="1"/>
  <c r="C57" i="11" a="1"/>
  <c r="C57" i="11" s="1"/>
  <c r="D57" i="11" a="1"/>
  <c r="D57" i="11" s="1"/>
  <c r="E57" i="11" a="1"/>
  <c r="E57" i="11" s="1"/>
  <c r="F57" i="11" a="1"/>
  <c r="F57" i="11" s="1"/>
  <c r="G57" i="11" a="1"/>
  <c r="G57" i="11" s="1"/>
  <c r="H57" i="11" a="1"/>
  <c r="H57" i="11" s="1"/>
  <c r="I57" i="11" a="1"/>
  <c r="I57" i="11" s="1"/>
  <c r="J57" i="11" a="1"/>
  <c r="J57" i="11" s="1"/>
  <c r="K57" i="11" a="1"/>
  <c r="K57" i="11" s="1"/>
  <c r="L57" i="11" a="1"/>
  <c r="L57" i="11" s="1"/>
  <c r="M57" i="11" a="1"/>
  <c r="M57" i="11" s="1"/>
  <c r="N57" i="11" a="1"/>
  <c r="N57" i="11" s="1"/>
  <c r="O57" i="11" a="1"/>
  <c r="O57" i="11" s="1"/>
  <c r="P57" i="11" a="1"/>
  <c r="P57" i="11" s="1"/>
  <c r="Q57" i="11" a="1"/>
  <c r="Q57" i="11" s="1"/>
  <c r="B58" i="11" a="1"/>
  <c r="B58" i="11" s="1"/>
  <c r="C58" i="11" a="1"/>
  <c r="C58" i="11" s="1"/>
  <c r="D58" i="11" a="1"/>
  <c r="D58" i="11" s="1"/>
  <c r="E58" i="11" a="1"/>
  <c r="E58" i="11" s="1"/>
  <c r="F58" i="11" a="1"/>
  <c r="F58" i="11" s="1"/>
  <c r="G58" i="11" a="1"/>
  <c r="G58" i="11" s="1"/>
  <c r="H58" i="11" a="1"/>
  <c r="H58" i="11" s="1"/>
  <c r="I58" i="11" a="1"/>
  <c r="I58" i="11" s="1"/>
  <c r="J58" i="11" a="1"/>
  <c r="J58" i="11" s="1"/>
  <c r="K58" i="11" a="1"/>
  <c r="K58" i="11" s="1"/>
  <c r="L58" i="11" a="1"/>
  <c r="L58" i="11" s="1"/>
  <c r="M58" i="11" a="1"/>
  <c r="M58" i="11" s="1"/>
  <c r="N58" i="11" a="1"/>
  <c r="N58" i="11" s="1"/>
  <c r="O58" i="11" a="1"/>
  <c r="O58" i="11" s="1"/>
  <c r="P58" i="11" a="1"/>
  <c r="P58" i="11" s="1"/>
  <c r="Q58" i="11" a="1"/>
  <c r="Q58" i="11" s="1"/>
  <c r="B59" i="11" a="1"/>
  <c r="B59" i="11" s="1"/>
  <c r="C59" i="11" a="1"/>
  <c r="C59" i="11" s="1"/>
  <c r="D59" i="11" a="1"/>
  <c r="D59" i="11" s="1"/>
  <c r="E59" i="11" a="1"/>
  <c r="E59" i="11" s="1"/>
  <c r="F59" i="11" a="1"/>
  <c r="F59" i="11" s="1"/>
  <c r="G59" i="11" a="1"/>
  <c r="G59" i="11" s="1"/>
  <c r="H59" i="11" a="1"/>
  <c r="H59" i="11" s="1"/>
  <c r="I59" i="11" a="1"/>
  <c r="I59" i="11" s="1"/>
  <c r="J59" i="11" a="1"/>
  <c r="J59" i="11" s="1"/>
  <c r="K59" i="11" a="1"/>
  <c r="K59" i="11" s="1"/>
  <c r="L59" i="11" a="1"/>
  <c r="L59" i="11" s="1"/>
  <c r="M59" i="11" a="1"/>
  <c r="M59" i="11" s="1"/>
  <c r="N59" i="11" a="1"/>
  <c r="N59" i="11" s="1"/>
  <c r="O59" i="11" a="1"/>
  <c r="O59" i="11" s="1"/>
  <c r="P59" i="11" a="1"/>
  <c r="P59" i="11" s="1"/>
  <c r="Q59" i="11" a="1"/>
  <c r="Q59" i="11" s="1"/>
  <c r="B60" i="11" a="1"/>
  <c r="B60" i="11" s="1"/>
  <c r="C60" i="11" a="1"/>
  <c r="C60" i="11" s="1"/>
  <c r="D60" i="11" a="1"/>
  <c r="D60" i="11" s="1"/>
  <c r="E60" i="11" a="1"/>
  <c r="E60" i="11" s="1"/>
  <c r="F60" i="11" a="1"/>
  <c r="F60" i="11" s="1"/>
  <c r="G60" i="11" a="1"/>
  <c r="G60" i="11" s="1"/>
  <c r="H60" i="11" a="1"/>
  <c r="H60" i="11" s="1"/>
  <c r="I60" i="11" a="1"/>
  <c r="I60" i="11" s="1"/>
  <c r="J60" i="11" a="1"/>
  <c r="J60" i="11" s="1"/>
  <c r="K60" i="11" a="1"/>
  <c r="K60" i="11" s="1"/>
  <c r="L60" i="11" a="1"/>
  <c r="L60" i="11" s="1"/>
  <c r="M60" i="11" a="1"/>
  <c r="M60" i="11" s="1"/>
  <c r="N60" i="11" a="1"/>
  <c r="N60" i="11" s="1"/>
  <c r="O60" i="11" a="1"/>
  <c r="O60" i="11" s="1"/>
  <c r="P60" i="11" a="1"/>
  <c r="P60" i="11" s="1"/>
  <c r="Q60" i="11" a="1"/>
  <c r="Q60" i="11" s="1"/>
  <c r="B61" i="11" a="1"/>
  <c r="B61" i="11" s="1"/>
  <c r="C61" i="11" a="1"/>
  <c r="C61" i="11" s="1"/>
  <c r="D61" i="11" a="1"/>
  <c r="D61" i="11" s="1"/>
  <c r="E61" i="11" a="1"/>
  <c r="E61" i="11" s="1"/>
  <c r="F61" i="11" a="1"/>
  <c r="F61" i="11" s="1"/>
  <c r="G61" i="11" a="1"/>
  <c r="G61" i="11" s="1"/>
  <c r="H61" i="11" a="1"/>
  <c r="H61" i="11" s="1"/>
  <c r="I61" i="11" a="1"/>
  <c r="I61" i="11" s="1"/>
  <c r="J61" i="11" a="1"/>
  <c r="J61" i="11" s="1"/>
  <c r="K61" i="11" a="1"/>
  <c r="K61" i="11" s="1"/>
  <c r="L61" i="11" a="1"/>
  <c r="L61" i="11" s="1"/>
  <c r="M61" i="11" a="1"/>
  <c r="M61" i="11" s="1"/>
  <c r="N61" i="11" a="1"/>
  <c r="N61" i="11" s="1"/>
  <c r="O61" i="11" a="1"/>
  <c r="O61" i="11" s="1"/>
  <c r="P61" i="11" a="1"/>
  <c r="P61" i="11" s="1"/>
  <c r="Q61" i="11" a="1"/>
  <c r="Q61" i="11" s="1"/>
  <c r="B62" i="11" a="1"/>
  <c r="B62" i="11" s="1"/>
  <c r="C62" i="11" a="1"/>
  <c r="C62" i="11" s="1"/>
  <c r="D62" i="11" a="1"/>
  <c r="D62" i="11" s="1"/>
  <c r="E62" i="11" a="1"/>
  <c r="E62" i="11" s="1"/>
  <c r="F62" i="11" a="1"/>
  <c r="F62" i="11" s="1"/>
  <c r="G62" i="11" a="1"/>
  <c r="G62" i="11" s="1"/>
  <c r="H62" i="11" a="1"/>
  <c r="H62" i="11" s="1"/>
  <c r="I62" i="11" a="1"/>
  <c r="I62" i="11" s="1"/>
  <c r="J62" i="11" a="1"/>
  <c r="J62" i="11" s="1"/>
  <c r="K62" i="11" a="1"/>
  <c r="K62" i="11" s="1"/>
  <c r="L62" i="11" a="1"/>
  <c r="L62" i="11" s="1"/>
  <c r="M62" i="11" a="1"/>
  <c r="M62" i="11" s="1"/>
  <c r="N62" i="11" a="1"/>
  <c r="N62" i="11" s="1"/>
  <c r="O62" i="11" a="1"/>
  <c r="O62" i="11"/>
  <c r="P62" i="11" a="1"/>
  <c r="P62" i="11" s="1"/>
  <c r="Q62" i="11" a="1"/>
  <c r="Q62" i="11"/>
  <c r="B63" i="11" a="1"/>
  <c r="B63" i="11"/>
  <c r="C63" i="11" a="1"/>
  <c r="C63" i="11"/>
  <c r="D63" i="11" a="1"/>
  <c r="D63" i="11" s="1"/>
  <c r="E63" i="11" a="1"/>
  <c r="E63" i="11"/>
  <c r="F63" i="11" a="1"/>
  <c r="F63" i="11"/>
  <c r="G63" i="11" a="1"/>
  <c r="G63" i="11"/>
  <c r="H63" i="11" a="1"/>
  <c r="H63" i="11"/>
  <c r="I63" i="11" a="1"/>
  <c r="I63" i="11"/>
  <c r="J63" i="11" a="1"/>
  <c r="J63" i="11" s="1"/>
  <c r="K63" i="11" a="1"/>
  <c r="K63" i="11"/>
  <c r="L63" i="11" a="1"/>
  <c r="L63" i="11"/>
  <c r="M63" i="11" a="1"/>
  <c r="M63" i="11"/>
  <c r="N63" i="11" a="1"/>
  <c r="N63" i="11"/>
  <c r="O63" i="11" a="1"/>
  <c r="O63" i="11"/>
  <c r="P63" i="11" a="1"/>
  <c r="P63" i="11" s="1"/>
  <c r="Q63" i="11" a="1"/>
  <c r="Q63" i="11"/>
  <c r="B64" i="11" a="1"/>
  <c r="B64" i="11"/>
  <c r="C64" i="11" a="1"/>
  <c r="C64" i="11"/>
  <c r="D64" i="11" a="1"/>
  <c r="D64" i="11" s="1"/>
  <c r="E64" i="11" a="1"/>
  <c r="E64" i="11"/>
  <c r="F64" i="11" a="1"/>
  <c r="F64" i="11" s="1"/>
  <c r="G64" i="11" a="1"/>
  <c r="G64" i="11"/>
  <c r="H64" i="11" a="1"/>
  <c r="H64" i="11" s="1"/>
  <c r="I64" i="11" a="1"/>
  <c r="I64" i="11"/>
  <c r="J64" i="11" a="1"/>
  <c r="J64" i="11" s="1"/>
  <c r="K64" i="11" a="1"/>
  <c r="K64" i="11"/>
  <c r="L64" i="11" a="1"/>
  <c r="L64" i="11" s="1"/>
  <c r="M64" i="11" a="1"/>
  <c r="M64" i="11"/>
  <c r="N64" i="11" a="1"/>
  <c r="N64" i="11" s="1"/>
  <c r="O64" i="11" a="1"/>
  <c r="O64" i="11"/>
  <c r="P64" i="11" a="1"/>
  <c r="P64" i="11" s="1"/>
  <c r="Q64" i="11" a="1"/>
  <c r="Q64" i="11"/>
  <c r="B65" i="11" a="1"/>
  <c r="B65" i="11" s="1"/>
  <c r="C65" i="11" a="1"/>
  <c r="C65" i="11"/>
  <c r="D65" i="11" a="1"/>
  <c r="D65" i="11"/>
  <c r="E65" i="11" a="1"/>
  <c r="E65" i="11"/>
  <c r="F65" i="11" a="1"/>
  <c r="F65" i="11" s="1"/>
  <c r="G65" i="11" a="1"/>
  <c r="G65" i="11"/>
  <c r="H65" i="11" a="1"/>
  <c r="H65" i="11" s="1"/>
  <c r="I65" i="11" a="1"/>
  <c r="I65" i="11"/>
  <c r="J65" i="11" a="1"/>
  <c r="J65" i="11" s="1"/>
  <c r="K65" i="11" a="1"/>
  <c r="K65" i="11"/>
  <c r="L65" i="11" a="1"/>
  <c r="L65" i="11" s="1"/>
  <c r="M65" i="11" a="1"/>
  <c r="M65" i="11"/>
  <c r="N65" i="11" a="1"/>
  <c r="N65" i="11" s="1"/>
  <c r="O65" i="11" a="1"/>
  <c r="O65" i="11"/>
  <c r="P65" i="11" a="1"/>
  <c r="P65" i="11" s="1"/>
  <c r="Q65" i="11" a="1"/>
  <c r="Q65" i="11"/>
  <c r="B66" i="11" a="1"/>
  <c r="B66" i="11" s="1"/>
  <c r="C66" i="11" a="1"/>
  <c r="C66" i="11"/>
  <c r="D66" i="11" a="1"/>
  <c r="D66" i="11" s="1"/>
  <c r="E66" i="11" a="1"/>
  <c r="E66" i="11"/>
  <c r="F66" i="11" a="1"/>
  <c r="F66" i="11"/>
  <c r="G66" i="11" a="1"/>
  <c r="G66" i="11"/>
  <c r="H66" i="11" a="1"/>
  <c r="H66" i="11" s="1"/>
  <c r="I66" i="11" a="1"/>
  <c r="I66" i="11"/>
  <c r="J66" i="11" a="1"/>
  <c r="J66" i="11" s="1"/>
  <c r="K66" i="11" a="1"/>
  <c r="K66" i="11"/>
  <c r="L66" i="11" a="1"/>
  <c r="L66" i="11" s="1"/>
  <c r="M66" i="11" a="1"/>
  <c r="M66" i="11"/>
  <c r="N66" i="11" a="1"/>
  <c r="N66" i="11" s="1"/>
  <c r="O66" i="11" a="1"/>
  <c r="O66" i="11"/>
  <c r="P66" i="11" a="1"/>
  <c r="P66" i="11" s="1"/>
  <c r="Q66" i="11" a="1"/>
  <c r="Q66" i="11"/>
  <c r="B67" i="11" a="1"/>
  <c r="B67" i="11" s="1"/>
  <c r="C67" i="11" a="1"/>
  <c r="C67" i="11"/>
  <c r="D67" i="11" a="1"/>
  <c r="D67" i="11" s="1"/>
  <c r="E67" i="11" a="1"/>
  <c r="E67" i="11"/>
  <c r="F67" i="11" a="1"/>
  <c r="F67" i="11" s="1"/>
  <c r="G67" i="11" a="1"/>
  <c r="G67" i="11"/>
  <c r="H67" i="11" a="1"/>
  <c r="H67" i="11" s="1"/>
  <c r="I67" i="11" a="1"/>
  <c r="I67" i="11"/>
  <c r="J67" i="11" a="1"/>
  <c r="J67" i="11" s="1"/>
  <c r="K67" i="11" a="1"/>
  <c r="K67" i="11"/>
  <c r="L67" i="11" a="1"/>
  <c r="L67" i="11" s="1"/>
  <c r="M67" i="11" a="1"/>
  <c r="M67" i="11"/>
  <c r="N67" i="11" a="1"/>
  <c r="N67" i="11" s="1"/>
  <c r="O67" i="11" a="1"/>
  <c r="O67" i="11"/>
  <c r="P67" i="11" a="1"/>
  <c r="P67" i="11" s="1"/>
  <c r="Q67" i="11" a="1"/>
  <c r="Q67" i="11"/>
  <c r="B68" i="11" a="1"/>
  <c r="B68" i="11" s="1"/>
  <c r="C68" i="11" a="1"/>
  <c r="C68" i="11"/>
  <c r="D68" i="11" a="1"/>
  <c r="D68" i="11" s="1"/>
  <c r="E68" i="11" a="1"/>
  <c r="E68" i="11"/>
  <c r="F68" i="11" a="1"/>
  <c r="F68" i="11" s="1"/>
  <c r="G68" i="11" a="1"/>
  <c r="G68" i="11"/>
  <c r="H68" i="11" a="1"/>
  <c r="H68" i="11" s="1"/>
  <c r="I68" i="11" a="1"/>
  <c r="I68" i="11"/>
  <c r="J68" i="11" a="1"/>
  <c r="J68" i="11" s="1"/>
  <c r="K68" i="11" a="1"/>
  <c r="K68" i="11"/>
  <c r="L68" i="11" a="1"/>
  <c r="L68" i="11" s="1"/>
  <c r="M68" i="11" a="1"/>
  <c r="M68" i="11"/>
  <c r="N68" i="11" a="1"/>
  <c r="N68" i="11" s="1"/>
  <c r="O68" i="11" a="1"/>
  <c r="O68" i="11"/>
  <c r="P68" i="11" a="1"/>
  <c r="P68" i="11" s="1"/>
  <c r="Q68" i="11" a="1"/>
  <c r="Q68" i="11"/>
  <c r="B69" i="11" a="1"/>
  <c r="B69" i="11" s="1"/>
  <c r="C69" i="11" a="1"/>
  <c r="C69" i="11"/>
  <c r="D69" i="11" a="1"/>
  <c r="D69" i="11" s="1"/>
  <c r="E69" i="11" a="1"/>
  <c r="E69" i="11"/>
  <c r="F69" i="11" a="1"/>
  <c r="F69" i="11" s="1"/>
  <c r="G69" i="11" a="1"/>
  <c r="G69" i="11"/>
  <c r="H69" i="11" a="1"/>
  <c r="H69" i="11" s="1"/>
  <c r="I69" i="11" a="1"/>
  <c r="I69" i="11"/>
  <c r="J69" i="11" a="1"/>
  <c r="J69" i="11" s="1"/>
  <c r="K69" i="11" a="1"/>
  <c r="K69" i="11"/>
  <c r="L69" i="11" a="1"/>
  <c r="L69" i="11" s="1"/>
  <c r="M69" i="11" a="1"/>
  <c r="M69" i="11"/>
  <c r="N69" i="11" a="1"/>
  <c r="N69" i="11" s="1"/>
  <c r="O69" i="11" a="1"/>
  <c r="O69" i="11"/>
  <c r="P69" i="11" a="1"/>
  <c r="P69" i="11" s="1"/>
  <c r="Q69" i="11" a="1"/>
  <c r="Q69" i="11"/>
  <c r="B70" i="11" a="1"/>
  <c r="B70" i="11" s="1"/>
  <c r="C70" i="11" a="1"/>
  <c r="C70" i="11"/>
  <c r="D70" i="11" a="1"/>
  <c r="D70" i="11" s="1"/>
  <c r="E70" i="11" a="1"/>
  <c r="E70" i="11"/>
  <c r="F70" i="11" a="1"/>
  <c r="F70" i="11" s="1"/>
  <c r="G70" i="11" a="1"/>
  <c r="G70" i="11"/>
  <c r="H70" i="11" a="1"/>
  <c r="H70" i="11"/>
  <c r="I70" i="11" a="1"/>
  <c r="I70" i="11"/>
  <c r="J70" i="11" a="1"/>
  <c r="J70" i="11" s="1"/>
  <c r="K70" i="11" a="1"/>
  <c r="K70" i="11"/>
  <c r="L70" i="11" a="1"/>
  <c r="L70" i="11" s="1"/>
  <c r="M70" i="11" a="1"/>
  <c r="M70" i="11"/>
  <c r="N70" i="11" a="1"/>
  <c r="N70" i="11" s="1"/>
  <c r="O70" i="11" a="1"/>
  <c r="O70" i="11"/>
  <c r="P70" i="11" a="1"/>
  <c r="P70" i="11" s="1"/>
  <c r="Q70" i="11" a="1"/>
  <c r="Q70" i="11"/>
  <c r="B71" i="11" a="1"/>
  <c r="B71" i="11" s="1"/>
  <c r="C71" i="11" a="1"/>
  <c r="C71" i="11"/>
  <c r="D71" i="11" a="1"/>
  <c r="D71" i="11" s="1"/>
  <c r="E71" i="11" a="1"/>
  <c r="E71" i="11"/>
  <c r="F71" i="11" a="1"/>
  <c r="F71" i="11" s="1"/>
  <c r="G71" i="11" a="1"/>
  <c r="G71" i="11"/>
  <c r="H71" i="11" a="1"/>
  <c r="H71" i="11" s="1"/>
  <c r="I71" i="11" a="1"/>
  <c r="I71" i="11"/>
  <c r="J71" i="11" a="1"/>
  <c r="J71" i="11" s="1"/>
  <c r="K71" i="11" a="1"/>
  <c r="K71" i="11"/>
  <c r="L71" i="11" a="1"/>
  <c r="L71" i="11" s="1"/>
  <c r="M71" i="11" a="1"/>
  <c r="M71" i="11"/>
  <c r="N71" i="11" a="1"/>
  <c r="N71" i="11" s="1"/>
  <c r="O71" i="11" a="1"/>
  <c r="O71" i="11"/>
  <c r="P71" i="11" a="1"/>
  <c r="P71" i="11" s="1"/>
  <c r="Q71" i="11" a="1"/>
  <c r="Q71" i="11"/>
  <c r="B72" i="11" a="1"/>
  <c r="B72" i="11" s="1"/>
  <c r="C72" i="11" a="1"/>
  <c r="C72" i="11"/>
  <c r="D72" i="11" a="1"/>
  <c r="D72" i="11" s="1"/>
  <c r="E72" i="11" a="1"/>
  <c r="E72" i="11"/>
  <c r="F72" i="11" a="1"/>
  <c r="F72" i="11" s="1"/>
  <c r="G72" i="11" a="1"/>
  <c r="G72" i="11"/>
  <c r="H72" i="11" a="1"/>
  <c r="H72" i="11" s="1"/>
  <c r="I72" i="11" a="1"/>
  <c r="I72" i="11"/>
  <c r="J72" i="11" a="1"/>
  <c r="J72" i="11" s="1"/>
  <c r="K72" i="11" a="1"/>
  <c r="K72" i="11"/>
  <c r="L72" i="11" a="1"/>
  <c r="L72" i="11" s="1"/>
  <c r="M72" i="11" a="1"/>
  <c r="M72" i="11"/>
  <c r="N72" i="11" a="1"/>
  <c r="N72" i="11"/>
  <c r="O72" i="11" a="1"/>
  <c r="O72" i="11"/>
  <c r="P72" i="11" a="1"/>
  <c r="P72" i="11" s="1"/>
  <c r="Q72" i="11" a="1"/>
  <c r="Q72" i="11"/>
  <c r="B73" i="11" a="1"/>
  <c r="B73" i="11" s="1"/>
  <c r="C73" i="11" a="1"/>
  <c r="C73" i="11"/>
  <c r="D73" i="11" a="1"/>
  <c r="D73" i="11" s="1"/>
  <c r="E73" i="11" a="1"/>
  <c r="E73" i="11"/>
  <c r="F73" i="11" a="1"/>
  <c r="F73" i="11" s="1"/>
  <c r="G73" i="11" a="1"/>
  <c r="G73" i="11"/>
  <c r="H73" i="11" a="1"/>
  <c r="H73" i="11"/>
  <c r="I73" i="11" a="1"/>
  <c r="I73" i="11"/>
  <c r="J73" i="11" a="1"/>
  <c r="J73" i="11"/>
  <c r="K73" i="11" a="1"/>
  <c r="K73" i="11"/>
  <c r="L73" i="11" a="1"/>
  <c r="L73" i="11" s="1"/>
  <c r="M73" i="11" a="1"/>
  <c r="M73" i="11"/>
  <c r="N73" i="11" a="1"/>
  <c r="N73" i="11" s="1"/>
  <c r="O73" i="11" a="1"/>
  <c r="O73" i="11"/>
  <c r="P73" i="11" a="1"/>
  <c r="P73" i="11" s="1"/>
  <c r="Q73" i="11" a="1"/>
  <c r="Q73" i="11"/>
  <c r="B74" i="11" a="1"/>
  <c r="B74" i="11" s="1"/>
  <c r="C74" i="11" a="1"/>
  <c r="C74" i="11"/>
  <c r="D74" i="11" a="1"/>
  <c r="D74" i="11"/>
  <c r="E74" i="11" a="1"/>
  <c r="E74" i="11"/>
  <c r="F74" i="11" a="1"/>
  <c r="F74" i="11" s="1"/>
  <c r="G74" i="11" a="1"/>
  <c r="G74" i="11"/>
  <c r="H74" i="11" a="1"/>
  <c r="H74" i="11" s="1"/>
  <c r="I74" i="11" a="1"/>
  <c r="I74" i="11"/>
  <c r="J74" i="11" a="1"/>
  <c r="J74" i="11" s="1"/>
  <c r="K74" i="11" a="1"/>
  <c r="K74" i="11"/>
  <c r="L74" i="11" a="1"/>
  <c r="L74" i="11"/>
  <c r="M74" i="11" a="1"/>
  <c r="M74" i="11"/>
  <c r="N74" i="11" a="1"/>
  <c r="N74" i="11" s="1"/>
  <c r="O74" i="11" a="1"/>
  <c r="O74" i="11"/>
  <c r="P74" i="11" a="1"/>
  <c r="P74" i="11"/>
  <c r="Q74" i="11" a="1"/>
  <c r="Q74" i="11"/>
  <c r="B75" i="11" a="1"/>
  <c r="B75" i="11"/>
  <c r="C75" i="11" a="1"/>
  <c r="C75" i="11"/>
  <c r="D75" i="11" a="1"/>
  <c r="D75" i="11" s="1"/>
  <c r="E75" i="11" a="1"/>
  <c r="E75" i="11"/>
  <c r="F75" i="11" a="1"/>
  <c r="F75" i="11" s="1"/>
  <c r="G75" i="11" a="1"/>
  <c r="G75" i="11"/>
  <c r="H75" i="11" a="1"/>
  <c r="H75" i="11" s="1"/>
  <c r="I75" i="11" a="1"/>
  <c r="I75" i="11"/>
  <c r="J75" i="11" a="1"/>
  <c r="J75" i="11" s="1"/>
  <c r="K75" i="11" a="1"/>
  <c r="K75" i="11"/>
  <c r="L75" i="11" a="1"/>
  <c r="L75" i="11"/>
  <c r="M75" i="11" a="1"/>
  <c r="M75" i="11"/>
  <c r="N75" i="11" a="1"/>
  <c r="N75" i="11"/>
  <c r="O75" i="11" a="1"/>
  <c r="O75" i="11"/>
  <c r="P75" i="11" a="1"/>
  <c r="P75" i="11" s="1"/>
  <c r="Q75" i="11" a="1"/>
  <c r="Q75" i="11"/>
  <c r="B76" i="11" a="1"/>
  <c r="B76" i="11" s="1"/>
  <c r="C76" i="11" a="1"/>
  <c r="C76" i="11"/>
  <c r="D76" i="11" a="1"/>
  <c r="D76" i="11" s="1"/>
  <c r="E76" i="11" a="1"/>
  <c r="E76" i="11"/>
  <c r="F76" i="11" a="1"/>
  <c r="F76" i="11" s="1"/>
  <c r="G76" i="11" a="1"/>
  <c r="G76" i="11"/>
  <c r="H76" i="11" a="1"/>
  <c r="H76" i="11"/>
  <c r="I76" i="11" a="1"/>
  <c r="I76" i="11"/>
  <c r="J76" i="11" a="1"/>
  <c r="J76" i="11"/>
  <c r="K76" i="11" a="1"/>
  <c r="K76" i="11"/>
  <c r="L76" i="11" a="1"/>
  <c r="L76" i="11" s="1"/>
  <c r="M76" i="11" a="1"/>
  <c r="M76" i="11"/>
  <c r="N76" i="11" a="1"/>
  <c r="N76" i="11" s="1"/>
  <c r="O76" i="11" a="1"/>
  <c r="O76" i="11"/>
  <c r="P76" i="11" a="1"/>
  <c r="P76" i="11" s="1"/>
  <c r="Q76" i="11" a="1"/>
  <c r="Q76" i="11"/>
  <c r="B77" i="11" a="1"/>
  <c r="B77" i="11" s="1"/>
  <c r="C77" i="11" a="1"/>
  <c r="C77" i="11"/>
  <c r="D77" i="11" a="1"/>
  <c r="D77" i="11" s="1"/>
  <c r="E77" i="11" a="1"/>
  <c r="E77" i="11" s="1"/>
  <c r="F77" i="11" a="1"/>
  <c r="F77" i="11" s="1"/>
  <c r="G77" i="11" a="1"/>
  <c r="G77" i="11"/>
  <c r="H77" i="11" a="1"/>
  <c r="H77" i="11" s="1"/>
  <c r="I77" i="11" a="1"/>
  <c r="I77" i="11"/>
  <c r="J77" i="11" a="1"/>
  <c r="J77" i="11"/>
  <c r="K77" i="11" a="1"/>
  <c r="K77" i="11" s="1"/>
  <c r="L77" i="11" a="1"/>
  <c r="L77" i="11" s="1"/>
  <c r="M77" i="11" a="1"/>
  <c r="M77" i="11"/>
  <c r="N77" i="11" a="1"/>
  <c r="N77" i="11" s="1"/>
  <c r="O77" i="11" a="1"/>
  <c r="O77" i="11"/>
  <c r="P77" i="11" a="1"/>
  <c r="P77" i="11"/>
  <c r="Q77" i="11" a="1"/>
  <c r="Q77" i="11" s="1"/>
  <c r="B78" i="11" a="1"/>
  <c r="B78" i="11"/>
  <c r="C78" i="11" a="1"/>
  <c r="C78" i="11"/>
  <c r="D78" i="11" a="1"/>
  <c r="D78" i="11" s="1"/>
  <c r="E78" i="11" a="1"/>
  <c r="E78" i="11"/>
  <c r="F78" i="11" a="1"/>
  <c r="F78" i="11"/>
  <c r="G78" i="11" a="1"/>
  <c r="G78" i="11" s="1"/>
  <c r="H78" i="11" a="1"/>
  <c r="H78" i="11" s="1"/>
  <c r="I78" i="11" a="1"/>
  <c r="I78" i="11"/>
  <c r="J78" i="11" a="1"/>
  <c r="J78" i="11" s="1"/>
  <c r="K78" i="11" a="1"/>
  <c r="K78" i="11"/>
  <c r="L78" i="11" a="1"/>
  <c r="L78" i="11"/>
  <c r="M78" i="11" a="1"/>
  <c r="M78" i="11" s="1"/>
  <c r="N78" i="11" a="1"/>
  <c r="N78" i="11" s="1"/>
  <c r="O78" i="11" a="1"/>
  <c r="O78" i="11"/>
  <c r="P78" i="11" a="1"/>
  <c r="P78" i="11" s="1"/>
  <c r="Q78" i="11" a="1"/>
  <c r="Q78" i="11" s="1"/>
  <c r="B79" i="11" a="1"/>
  <c r="B79" i="11"/>
  <c r="C79" i="11" a="1"/>
  <c r="C79" i="11" s="1"/>
  <c r="D79" i="11" a="1"/>
  <c r="D79" i="11" s="1"/>
  <c r="E79" i="11" a="1"/>
  <c r="E79" i="11"/>
  <c r="F79" i="11" a="1"/>
  <c r="F79" i="11" s="1"/>
  <c r="G79" i="11" a="1"/>
  <c r="G79" i="11"/>
  <c r="H79" i="11" a="1"/>
  <c r="H79" i="11" s="1"/>
  <c r="I79" i="11" a="1"/>
  <c r="I79" i="11" s="1"/>
  <c r="J79" i="11" a="1"/>
  <c r="J79" i="11" s="1"/>
  <c r="K79" i="11" a="1"/>
  <c r="K79" i="11"/>
  <c r="L79" i="11" a="1"/>
  <c r="L79" i="11" s="1"/>
  <c r="M79" i="11" a="1"/>
  <c r="M79" i="11"/>
  <c r="N79" i="11" a="1"/>
  <c r="N79" i="11"/>
  <c r="O79" i="11" a="1"/>
  <c r="O79" i="11" s="1"/>
  <c r="P79" i="11" a="1"/>
  <c r="P79" i="11" s="1"/>
  <c r="Q79" i="11" a="1"/>
  <c r="Q79" i="11" s="1"/>
  <c r="B80" i="11" a="1"/>
  <c r="B80" i="11" s="1"/>
  <c r="C80" i="11" a="1"/>
  <c r="C80" i="11" s="1"/>
  <c r="D80" i="11" a="1"/>
  <c r="D80" i="11" s="1"/>
  <c r="E80" i="11" a="1"/>
  <c r="E80" i="11" s="1"/>
  <c r="F80" i="11" a="1"/>
  <c r="F80" i="11"/>
  <c r="G80" i="11" a="1"/>
  <c r="G80" i="11" s="1"/>
  <c r="H80" i="11" a="1"/>
  <c r="H80" i="11" s="1"/>
  <c r="I80" i="11" a="1"/>
  <c r="I80" i="11"/>
  <c r="J80" i="11" a="1"/>
  <c r="J80" i="11"/>
  <c r="K80" i="11" a="1"/>
  <c r="K80" i="11" s="1"/>
  <c r="L80" i="11" a="1"/>
  <c r="L80" i="11" s="1"/>
  <c r="M80" i="11" a="1"/>
  <c r="M80" i="11" s="1"/>
  <c r="N80" i="11" a="1"/>
  <c r="N80" i="11" s="1"/>
  <c r="O80" i="11" a="1"/>
  <c r="O80" i="11" s="1"/>
  <c r="P80" i="11" a="1"/>
  <c r="P80" i="11" s="1"/>
  <c r="Q80" i="11" a="1"/>
  <c r="Q80" i="11" s="1"/>
  <c r="B81" i="11" a="1"/>
  <c r="B81" i="11"/>
  <c r="C81" i="11" a="1"/>
  <c r="C81" i="11" s="1"/>
  <c r="D81" i="11" a="1"/>
  <c r="D81" i="11" s="1"/>
  <c r="E81" i="11" a="1"/>
  <c r="E81" i="11"/>
  <c r="F81" i="11" a="1"/>
  <c r="F81" i="11"/>
  <c r="G81" i="11" a="1"/>
  <c r="G81" i="11" s="1"/>
  <c r="H81" i="11" a="1"/>
  <c r="H81" i="11" s="1"/>
  <c r="I81" i="11" a="1"/>
  <c r="I81" i="11" s="1"/>
  <c r="J81" i="11" a="1"/>
  <c r="J81" i="11" s="1"/>
  <c r="K81" i="11" a="1"/>
  <c r="K81" i="11" s="1"/>
  <c r="L81" i="11" a="1"/>
  <c r="L81" i="11" s="1"/>
  <c r="M81" i="11" a="1"/>
  <c r="M81" i="11" s="1"/>
  <c r="N81" i="11" a="1"/>
  <c r="N81" i="11"/>
  <c r="O81" i="11" a="1"/>
  <c r="O81" i="11" s="1"/>
  <c r="P81" i="11" a="1"/>
  <c r="P81" i="11" s="1"/>
  <c r="Q81" i="11" a="1"/>
  <c r="Q81" i="11"/>
  <c r="B82" i="11" a="1"/>
  <c r="B82" i="11"/>
  <c r="C82" i="11" a="1"/>
  <c r="C82" i="11" s="1"/>
  <c r="D82" i="11" a="1"/>
  <c r="D82" i="11" s="1"/>
  <c r="E82" i="11" a="1"/>
  <c r="E82" i="11" s="1"/>
  <c r="F82" i="11" a="1"/>
  <c r="F82" i="11" s="1"/>
  <c r="G82" i="11" a="1"/>
  <c r="G82" i="11"/>
  <c r="H82" i="11" a="1"/>
  <c r="H82" i="11" s="1"/>
  <c r="I82" i="11" a="1"/>
  <c r="I82" i="11" s="1"/>
  <c r="J82" i="11" a="1"/>
  <c r="J82" i="11"/>
  <c r="K82" i="11" a="1"/>
  <c r="K82" i="11" s="1"/>
  <c r="L82" i="11" a="1"/>
  <c r="L82" i="11" s="1"/>
  <c r="M82" i="11" a="1"/>
  <c r="M82" i="11"/>
  <c r="N82" i="11" a="1"/>
  <c r="N82" i="11"/>
  <c r="O82" i="11" a="1"/>
  <c r="O82" i="11" s="1"/>
  <c r="P82" i="11" a="1"/>
  <c r="P82" i="11" s="1"/>
  <c r="Q82" i="11" a="1"/>
  <c r="Q82" i="11" s="1"/>
  <c r="B83" i="11" a="1"/>
  <c r="B83" i="11" s="1"/>
  <c r="C83" i="11" a="1"/>
  <c r="C83" i="11" s="1"/>
  <c r="D83" i="11" a="1"/>
  <c r="D83" i="11" s="1"/>
  <c r="E83" i="11" a="1"/>
  <c r="E83" i="11" s="1"/>
  <c r="F83" i="11" a="1"/>
  <c r="F83" i="11"/>
  <c r="G83" i="11" a="1"/>
  <c r="G83" i="11" s="1"/>
  <c r="H83" i="11" a="1"/>
  <c r="H83" i="11" s="1"/>
  <c r="I83" i="11" a="1"/>
  <c r="I83" i="11"/>
  <c r="J83" i="11" a="1"/>
  <c r="J83" i="11"/>
  <c r="K83" i="11" a="1"/>
  <c r="K83" i="11" s="1"/>
  <c r="L83" i="11" a="1"/>
  <c r="L83" i="11" s="1"/>
  <c r="M83" i="11" a="1"/>
  <c r="M83" i="11" s="1"/>
  <c r="N83" i="11" a="1"/>
  <c r="N83" i="11" s="1"/>
  <c r="O83" i="11" a="1"/>
  <c r="O83" i="11" s="1"/>
  <c r="P83" i="11" a="1"/>
  <c r="P83" i="11" s="1"/>
  <c r="Q83" i="11" a="1"/>
  <c r="Q83" i="11" s="1"/>
  <c r="B84" i="11" a="1"/>
  <c r="B84" i="11"/>
  <c r="C84" i="11" a="1"/>
  <c r="C84" i="11" s="1"/>
  <c r="D84" i="11" a="1"/>
  <c r="D84" i="11" s="1"/>
  <c r="E84" i="11" a="1"/>
  <c r="E84" i="11"/>
  <c r="F84" i="11" a="1"/>
  <c r="F84" i="11"/>
  <c r="G84" i="11" a="1"/>
  <c r="G84" i="11" s="1"/>
  <c r="H84" i="11" a="1"/>
  <c r="H84" i="11" s="1"/>
  <c r="I84" i="11" a="1"/>
  <c r="I84" i="11" s="1"/>
  <c r="J84" i="11" a="1"/>
  <c r="J84" i="11" s="1"/>
  <c r="K84" i="11" a="1"/>
  <c r="K84" i="11" s="1"/>
  <c r="L84" i="11" a="1"/>
  <c r="L84" i="11" s="1"/>
  <c r="M84" i="11" a="1"/>
  <c r="M84" i="11" s="1"/>
  <c r="N84" i="11" a="1"/>
  <c r="N84" i="11"/>
  <c r="O84" i="11" a="1"/>
  <c r="O84" i="11" s="1"/>
  <c r="P84" i="11" a="1"/>
  <c r="P84" i="11" s="1"/>
  <c r="Q84" i="11" a="1"/>
  <c r="Q84" i="11"/>
  <c r="B85" i="11" a="1"/>
  <c r="B85" i="11"/>
  <c r="C85" i="11" a="1"/>
  <c r="C85" i="11" s="1"/>
  <c r="D85" i="11" a="1"/>
  <c r="D85" i="11" s="1"/>
  <c r="E85" i="11" a="1"/>
  <c r="E85" i="11" s="1"/>
  <c r="F85" i="11" a="1"/>
  <c r="F85" i="11" s="1"/>
  <c r="G85" i="11" a="1"/>
  <c r="G85" i="11"/>
  <c r="H85" i="11" a="1"/>
  <c r="H85" i="11" s="1"/>
  <c r="I85" i="11" a="1"/>
  <c r="I85" i="11" s="1"/>
  <c r="J85" i="11" a="1"/>
  <c r="J85" i="11"/>
  <c r="K85" i="11" a="1"/>
  <c r="K85" i="11" s="1"/>
  <c r="L85" i="11" a="1"/>
  <c r="L85" i="11" s="1"/>
  <c r="M85" i="11" a="1"/>
  <c r="M85" i="11"/>
  <c r="N85" i="11" a="1"/>
  <c r="N85" i="11"/>
  <c r="O85" i="11" a="1"/>
  <c r="O85" i="11" s="1"/>
  <c r="P85" i="11" a="1"/>
  <c r="P85" i="11" s="1"/>
  <c r="Q85" i="11" a="1"/>
  <c r="Q85" i="11" s="1"/>
  <c r="B86" i="11" a="1"/>
  <c r="B86" i="11" s="1"/>
  <c r="C86" i="11" a="1"/>
  <c r="C86" i="11" s="1"/>
  <c r="D86" i="11" a="1"/>
  <c r="D86" i="11" s="1"/>
  <c r="E86" i="11" a="1"/>
  <c r="E86" i="11" s="1"/>
  <c r="F86" i="11" a="1"/>
  <c r="F86" i="11"/>
  <c r="G86" i="11" a="1"/>
  <c r="G86" i="11" s="1"/>
  <c r="H86" i="11" a="1"/>
  <c r="H86" i="11" s="1"/>
  <c r="I86" i="11" a="1"/>
  <c r="I86" i="11"/>
  <c r="J86" i="11" a="1"/>
  <c r="J86" i="11"/>
  <c r="K86" i="11" a="1"/>
  <c r="K86" i="11" s="1"/>
  <c r="L86" i="11" a="1"/>
  <c r="L86" i="11" s="1"/>
  <c r="M86" i="11" a="1"/>
  <c r="M86" i="11" s="1"/>
  <c r="N86" i="11" a="1"/>
  <c r="N86" i="11" s="1"/>
  <c r="O86" i="11" a="1"/>
  <c r="O86" i="11" s="1"/>
  <c r="P86" i="11" a="1"/>
  <c r="P86" i="11" s="1"/>
  <c r="Q86" i="11" a="1"/>
  <c r="Q86" i="11" s="1"/>
  <c r="B87" i="11" a="1"/>
  <c r="B87" i="11"/>
  <c r="C87" i="11" a="1"/>
  <c r="C87" i="11" s="1"/>
  <c r="D87" i="11" a="1"/>
  <c r="D87" i="11" s="1"/>
  <c r="E87" i="11" a="1"/>
  <c r="E87" i="11"/>
  <c r="F87" i="11" a="1"/>
  <c r="F87" i="11"/>
  <c r="G87" i="11" a="1"/>
  <c r="G87" i="11" s="1"/>
  <c r="H87" i="11" a="1"/>
  <c r="H87" i="11" s="1"/>
  <c r="I87" i="11" a="1"/>
  <c r="I87" i="11" s="1"/>
  <c r="J87" i="11" a="1"/>
  <c r="J87" i="11" s="1"/>
  <c r="K87" i="11" a="1"/>
  <c r="K87" i="11" s="1"/>
  <c r="L87" i="11" a="1"/>
  <c r="L87" i="11" s="1"/>
  <c r="M87" i="11" a="1"/>
  <c r="M87" i="11" s="1"/>
  <c r="N87" i="11" a="1"/>
  <c r="N87" i="11"/>
  <c r="O87" i="11" a="1"/>
  <c r="O87" i="11" s="1"/>
  <c r="P87" i="11" a="1"/>
  <c r="P87" i="11" s="1"/>
  <c r="Q87" i="11" a="1"/>
  <c r="Q87" i="11"/>
  <c r="B88" i="11" a="1"/>
  <c r="B88" i="11"/>
  <c r="C88" i="11" a="1"/>
  <c r="C88" i="11" s="1"/>
  <c r="D88" i="11" a="1"/>
  <c r="D88" i="11" s="1"/>
  <c r="E88" i="11" a="1"/>
  <c r="E88" i="11" s="1"/>
  <c r="F88" i="11" a="1"/>
  <c r="F88" i="11" s="1"/>
  <c r="G88" i="11" a="1"/>
  <c r="G88" i="11" s="1"/>
  <c r="H88" i="11" a="1"/>
  <c r="H88" i="11" s="1"/>
  <c r="I88" i="11" a="1"/>
  <c r="I88" i="11" s="1"/>
  <c r="J88" i="11" a="1"/>
  <c r="J88" i="11"/>
  <c r="K88" i="11" a="1"/>
  <c r="K88" i="11" s="1"/>
  <c r="L88" i="11" a="1"/>
  <c r="L88" i="11" s="1"/>
  <c r="M88" i="11" a="1"/>
  <c r="M88" i="11"/>
  <c r="N88" i="11" a="1"/>
  <c r="N88" i="11"/>
  <c r="O88" i="11" a="1"/>
  <c r="O88" i="11" s="1"/>
  <c r="P88" i="11" a="1"/>
  <c r="P88" i="11" s="1"/>
  <c r="Q88" i="11" a="1"/>
  <c r="Q88" i="11" s="1"/>
  <c r="B89" i="11" a="1"/>
  <c r="B89" i="11" s="1"/>
  <c r="C89" i="11" a="1"/>
  <c r="C89" i="11" s="1"/>
  <c r="D89" i="11" a="1"/>
  <c r="D89" i="11" s="1"/>
  <c r="E89" i="11" a="1"/>
  <c r="E89" i="11" s="1"/>
  <c r="F89" i="11" a="1"/>
  <c r="F89" i="11"/>
  <c r="G89" i="11" a="1"/>
  <c r="G89" i="11" s="1"/>
  <c r="H89" i="11" a="1"/>
  <c r="H89" i="11" s="1"/>
  <c r="I89" i="11" a="1"/>
  <c r="I89" i="11"/>
  <c r="J89" i="11" a="1"/>
  <c r="J89" i="11"/>
  <c r="K89" i="11" a="1"/>
  <c r="K89" i="11" s="1"/>
  <c r="L89" i="11" a="1"/>
  <c r="L89" i="11" s="1"/>
  <c r="M89" i="11" a="1"/>
  <c r="M89" i="11" s="1"/>
  <c r="N89" i="11" a="1"/>
  <c r="N89" i="11" s="1"/>
  <c r="O89" i="11" a="1"/>
  <c r="O89" i="11"/>
  <c r="P89" i="11" a="1"/>
  <c r="P89" i="11" s="1"/>
  <c r="Q89" i="11" a="1"/>
  <c r="Q89" i="11" s="1"/>
  <c r="B90" i="11" a="1"/>
  <c r="B90" i="11"/>
  <c r="C90" i="11" a="1"/>
  <c r="C90" i="11" s="1"/>
  <c r="D90" i="11" a="1"/>
  <c r="D90" i="11" s="1"/>
  <c r="E90" i="11" a="1"/>
  <c r="E90" i="11"/>
  <c r="F90" i="11" a="1"/>
  <c r="F90" i="11" s="1"/>
  <c r="G90" i="11" a="1"/>
  <c r="G90" i="11" s="1"/>
  <c r="H90" i="11" a="1"/>
  <c r="H90" i="11" s="1"/>
  <c r="I90" i="11" a="1"/>
  <c r="I90" i="11" s="1"/>
  <c r="J90" i="11" a="1"/>
  <c r="J90" i="11" s="1"/>
  <c r="K90" i="11" a="1"/>
  <c r="K90" i="11" s="1"/>
  <c r="L90" i="11" a="1"/>
  <c r="L90" i="11" s="1"/>
  <c r="M90" i="11" a="1"/>
  <c r="M90" i="11" s="1"/>
  <c r="N90" i="11" a="1"/>
  <c r="N90" i="11"/>
  <c r="O90" i="11" a="1"/>
  <c r="O90" i="11" s="1"/>
  <c r="P90" i="11" a="1"/>
  <c r="P90" i="11" s="1"/>
  <c r="Q90" i="11" a="1"/>
  <c r="Q90" i="11"/>
  <c r="B91" i="11" a="1"/>
  <c r="B91" i="11"/>
  <c r="C91" i="11" a="1"/>
  <c r="C91" i="11" s="1"/>
  <c r="D91" i="11" a="1"/>
  <c r="D91" i="11" s="1"/>
  <c r="E91" i="11" a="1"/>
  <c r="E91" i="11"/>
  <c r="F91" i="11" a="1"/>
  <c r="F91" i="11" s="1"/>
  <c r="G91" i="11" a="1"/>
  <c r="G91" i="11" s="1"/>
  <c r="H91" i="11" a="1"/>
  <c r="H91" i="11"/>
  <c r="I91" i="11" a="1"/>
  <c r="I91" i="11" s="1"/>
  <c r="J91" i="11" a="1"/>
  <c r="J91" i="11"/>
  <c r="K91" i="11" a="1"/>
  <c r="K91" i="11" s="1"/>
  <c r="L91" i="11" a="1"/>
  <c r="L91" i="11" s="1"/>
  <c r="M91" i="11" a="1"/>
  <c r="M91" i="11" s="1"/>
  <c r="N91" i="11" a="1"/>
  <c r="N91" i="11" s="1"/>
  <c r="O91" i="11" a="1"/>
  <c r="O91" i="11" s="1"/>
  <c r="P91" i="11" a="1"/>
  <c r="P91" i="11"/>
  <c r="Q91" i="11" a="1"/>
  <c r="Q91" i="11"/>
  <c r="B92" i="11" a="1"/>
  <c r="B92" i="11" s="1"/>
  <c r="C92" i="11" a="1"/>
  <c r="C92" i="11"/>
  <c r="D92" i="11" a="1"/>
  <c r="D92" i="11" s="1"/>
  <c r="E92" i="11" a="1"/>
  <c r="E92" i="11" s="1"/>
  <c r="F92" i="11" a="1"/>
  <c r="F92" i="11" s="1"/>
  <c r="G92" i="11" a="1"/>
  <c r="G92" i="11"/>
  <c r="H92" i="11" a="1"/>
  <c r="H92" i="11" s="1"/>
  <c r="I92" i="11" a="1"/>
  <c r="I92" i="11" s="1"/>
  <c r="J92" i="11" a="1"/>
  <c r="J92" i="11"/>
  <c r="K92" i="11" a="1"/>
  <c r="K92" i="11" s="1"/>
  <c r="L92" i="11" a="1"/>
  <c r="L92" i="11" s="1"/>
  <c r="M92" i="11" a="1"/>
  <c r="M92" i="11" s="1"/>
  <c r="N92" i="11" a="1"/>
  <c r="N92" i="11" s="1"/>
  <c r="O92" i="11" a="1"/>
  <c r="O92" i="11"/>
  <c r="P92" i="11" a="1"/>
  <c r="P92" i="11"/>
  <c r="Q92" i="11" a="1"/>
  <c r="Q92" i="11" s="1"/>
  <c r="B93" i="11" a="1"/>
  <c r="B93" i="11"/>
  <c r="C93" i="11" a="1"/>
  <c r="C93" i="11"/>
  <c r="D93" i="11" a="1"/>
  <c r="D93" i="11" s="1"/>
  <c r="E93" i="11" a="1"/>
  <c r="E93" i="11"/>
  <c r="F93" i="11" a="1"/>
  <c r="F93" i="11"/>
  <c r="G93" i="11" a="1"/>
  <c r="G93" i="11" s="1"/>
  <c r="H93" i="11" a="1"/>
  <c r="H93" i="11" s="1"/>
  <c r="I93" i="11" a="1"/>
  <c r="I93" i="11"/>
  <c r="J93" i="11" a="1"/>
  <c r="J93" i="11" s="1"/>
  <c r="K93" i="11" a="1"/>
  <c r="K93" i="11" s="1"/>
  <c r="L93" i="11" a="1"/>
  <c r="L93" i="11"/>
  <c r="M93" i="11" a="1"/>
  <c r="M93" i="11" s="1"/>
  <c r="N93" i="11" a="1"/>
  <c r="N93" i="11"/>
  <c r="O93" i="11" a="1"/>
  <c r="O93" i="11" s="1"/>
  <c r="P93" i="11" a="1"/>
  <c r="P93" i="11"/>
  <c r="Q93" i="11" a="1"/>
  <c r="Q93" i="11"/>
  <c r="B94" i="11" a="1"/>
  <c r="B94" i="11" s="1"/>
  <c r="C94" i="11" a="1"/>
  <c r="C94" i="11"/>
  <c r="D94" i="11" a="1"/>
  <c r="D94" i="11" s="1"/>
  <c r="E94" i="11" a="1"/>
  <c r="E94" i="11" s="1"/>
  <c r="F94" i="11" a="1"/>
  <c r="F94" i="11" s="1"/>
  <c r="G94" i="11" a="1"/>
  <c r="G94" i="11" s="1"/>
  <c r="H94" i="11" a="1"/>
  <c r="H94" i="11" s="1"/>
  <c r="I94" i="11" a="1"/>
  <c r="I94" i="11"/>
  <c r="J94" i="11" a="1"/>
  <c r="J94" i="11" s="1"/>
  <c r="K94" i="11" a="1"/>
  <c r="K94" i="11" s="1"/>
  <c r="L94" i="11" a="1"/>
  <c r="L94" i="11" s="1"/>
  <c r="M94" i="11" a="1"/>
  <c r="M94" i="11" s="1"/>
  <c r="N94" i="11" a="1"/>
  <c r="N94" i="11" s="1"/>
  <c r="O94" i="11" a="1"/>
  <c r="O94" i="11"/>
  <c r="P94" i="11" a="1"/>
  <c r="P94" i="11"/>
  <c r="Q94" i="11" a="1"/>
  <c r="Q94" i="11" s="1"/>
  <c r="B95" i="11" a="1"/>
  <c r="B95" i="11" s="1"/>
  <c r="C95" i="11" a="1"/>
  <c r="C95" i="11" s="1"/>
  <c r="D95" i="11" a="1"/>
  <c r="D95" i="11" s="1"/>
  <c r="E95" i="11" a="1"/>
  <c r="E95" i="11"/>
  <c r="F95" i="11" a="1"/>
  <c r="F95" i="11"/>
  <c r="G95" i="11" a="1"/>
  <c r="G95" i="11" s="1"/>
  <c r="H95" i="11" a="1"/>
  <c r="H95" i="11" s="1"/>
  <c r="I95" i="11" a="1"/>
  <c r="I95" i="11" s="1"/>
  <c r="J95" i="11" a="1"/>
  <c r="J95" i="11" s="1"/>
  <c r="K95" i="11" a="1"/>
  <c r="K95" i="11"/>
  <c r="L95" i="11" a="1"/>
  <c r="L95" i="11"/>
  <c r="M95" i="11" a="1"/>
  <c r="M95" i="11" s="1"/>
  <c r="N95" i="11" a="1"/>
  <c r="N95" i="11"/>
  <c r="O95" i="11" a="1"/>
  <c r="O95" i="11" s="1"/>
  <c r="P95" i="11" a="1"/>
  <c r="P95" i="11" s="1"/>
  <c r="Q95" i="11" a="1"/>
  <c r="Q95" i="11" s="1"/>
  <c r="B96" i="11" a="1"/>
  <c r="B96" i="11"/>
  <c r="C96" i="11" a="1"/>
  <c r="C96" i="11" s="1"/>
  <c r="D96" i="11" a="1"/>
  <c r="D96" i="11" s="1"/>
  <c r="E96" i="11" a="1"/>
  <c r="E96" i="11"/>
  <c r="F96" i="11" a="1"/>
  <c r="F96" i="11" s="1"/>
  <c r="G96" i="11" a="1"/>
  <c r="G96" i="11" s="1"/>
  <c r="H96" i="11" a="1"/>
  <c r="H96" i="11" s="1"/>
  <c r="I96" i="11" a="1"/>
  <c r="I96" i="11" s="1"/>
  <c r="J96" i="11" a="1"/>
  <c r="J96" i="11" s="1"/>
  <c r="K96" i="11" a="1"/>
  <c r="K96" i="11" s="1"/>
  <c r="L96" i="11" a="1"/>
  <c r="L96" i="11" s="1"/>
  <c r="M96" i="11" a="1"/>
  <c r="M96" i="11"/>
  <c r="N96" i="11" a="1"/>
  <c r="N96" i="11" s="1"/>
  <c r="O96" i="11" a="1"/>
  <c r="O96" i="11" s="1"/>
  <c r="P96" i="11" a="1"/>
  <c r="P96" i="11" s="1"/>
  <c r="Q96" i="11" a="1"/>
  <c r="Q96" i="11" s="1"/>
  <c r="B97" i="11" a="1"/>
  <c r="B97" i="11" s="1"/>
  <c r="C97" i="11" a="1"/>
  <c r="C97" i="11"/>
  <c r="D97" i="11" a="1"/>
  <c r="D97" i="11"/>
  <c r="E97" i="11" a="1"/>
  <c r="E97" i="11" s="1"/>
  <c r="F97" i="11" a="1"/>
  <c r="F97" i="11" s="1"/>
  <c r="G97" i="11" a="1"/>
  <c r="G97" i="11" s="1"/>
  <c r="H97" i="11" a="1"/>
  <c r="H97" i="11" s="1"/>
  <c r="I97" i="11" a="1"/>
  <c r="I97" i="11"/>
  <c r="J97" i="11" a="1"/>
  <c r="J97" i="11"/>
  <c r="K97" i="11" a="1"/>
  <c r="K97" i="11" s="1"/>
  <c r="L97" i="11" a="1"/>
  <c r="L97" i="11" s="1"/>
  <c r="M97" i="11" a="1"/>
  <c r="M97" i="11" s="1"/>
  <c r="N97" i="11" a="1"/>
  <c r="N97" i="11" s="1"/>
  <c r="O97" i="11" a="1"/>
  <c r="O97" i="11"/>
  <c r="P97" i="11" a="1"/>
  <c r="P97" i="11"/>
  <c r="Q97" i="11" a="1"/>
  <c r="Q97" i="11" s="1"/>
  <c r="B98" i="11" a="1"/>
  <c r="B98" i="11"/>
  <c r="C98" i="11" a="1"/>
  <c r="C98" i="11"/>
  <c r="D98" i="11" a="1"/>
  <c r="D98" i="11" s="1"/>
  <c r="E98" i="11" a="1"/>
  <c r="E98" i="11" s="1"/>
  <c r="F98" i="11" a="1"/>
  <c r="F98" i="11"/>
  <c r="G98" i="11" a="1"/>
  <c r="G98" i="11" s="1"/>
  <c r="H98" i="11" a="1"/>
  <c r="H98" i="11" s="1"/>
  <c r="I98" i="11" a="1"/>
  <c r="I98" i="11"/>
  <c r="J98" i="11" a="1"/>
  <c r="J98" i="11" s="1"/>
  <c r="K98" i="11" a="1"/>
  <c r="K98" i="11" s="1"/>
  <c r="L98" i="11" a="1"/>
  <c r="L98" i="11" s="1"/>
  <c r="M98" i="11" a="1"/>
  <c r="M98" i="11" s="1"/>
  <c r="N98" i="11" a="1"/>
  <c r="N98" i="11" s="1"/>
  <c r="O98" i="11" a="1"/>
  <c r="O98" i="11" s="1"/>
  <c r="P98" i="11" a="1"/>
  <c r="P98" i="11" s="1"/>
  <c r="Q98" i="11" a="1"/>
  <c r="Q98" i="11"/>
  <c r="B99" i="11" a="1"/>
  <c r="B99" i="11" s="1"/>
  <c r="C99" i="11" a="1"/>
  <c r="C99" i="11" s="1"/>
  <c r="D99" i="11" a="1"/>
  <c r="D99" i="11" s="1"/>
  <c r="E99" i="11" a="1"/>
  <c r="E99" i="11" s="1"/>
  <c r="F99" i="11" a="1"/>
  <c r="F99" i="11" s="1"/>
  <c r="G99" i="11" a="1"/>
  <c r="G99" i="11"/>
  <c r="H99" i="11" a="1"/>
  <c r="H99" i="11"/>
  <c r="I99" i="11" a="1"/>
  <c r="I99" i="11" s="1"/>
  <c r="J99" i="11" a="1"/>
  <c r="J99" i="11" s="1"/>
  <c r="K99" i="11" a="1"/>
  <c r="K99" i="11" s="1"/>
  <c r="L99" i="11" a="1"/>
  <c r="L99" i="11" s="1"/>
  <c r="M99" i="11" a="1"/>
  <c r="M99" i="11"/>
  <c r="N99" i="11" a="1"/>
  <c r="N99" i="11"/>
  <c r="O99" i="11" a="1"/>
  <c r="O99" i="11" s="1"/>
  <c r="P99" i="11" a="1"/>
  <c r="P99" i="11" s="1"/>
  <c r="Q99" i="11" a="1"/>
  <c r="Q99" i="11" s="1"/>
  <c r="B100" i="11" a="1"/>
  <c r="B100" i="11" s="1"/>
  <c r="C100" i="11" a="1"/>
  <c r="C100" i="11"/>
  <c r="D100" i="11" a="1"/>
  <c r="D100" i="11"/>
  <c r="E100" i="11" a="1"/>
  <c r="E100" i="11" s="1"/>
  <c r="F100" i="11" a="1"/>
  <c r="F100" i="11"/>
  <c r="G100" i="11" a="1"/>
  <c r="G100" i="11"/>
  <c r="H100" i="11" a="1"/>
  <c r="H100" i="11" s="1"/>
  <c r="I100" i="11" a="1"/>
  <c r="I100" i="11" s="1"/>
  <c r="J100" i="11" a="1"/>
  <c r="J100" i="11"/>
  <c r="K100" i="11" a="1"/>
  <c r="K100" i="11" s="1"/>
  <c r="L100" i="11" a="1"/>
  <c r="L100" i="11" s="1"/>
  <c r="M100" i="11" a="1"/>
  <c r="M100" i="11"/>
  <c r="N100" i="11" a="1"/>
  <c r="N100" i="11" s="1"/>
  <c r="O100" i="11" a="1"/>
  <c r="O100" i="11" s="1"/>
  <c r="P100" i="11" a="1"/>
  <c r="P100" i="11" s="1"/>
  <c r="Q100" i="11" a="1"/>
  <c r="Q100" i="11" s="1"/>
  <c r="B101" i="11" a="1"/>
  <c r="B101" i="11" s="1"/>
  <c r="C101" i="11" a="1"/>
  <c r="C101" i="11" s="1"/>
  <c r="D101" i="11" a="1"/>
  <c r="D101" i="11" s="1"/>
  <c r="E101" i="11" a="1"/>
  <c r="E101" i="11"/>
  <c r="F101" i="11" a="1"/>
  <c r="F101" i="11" s="1"/>
  <c r="G101" i="11" a="1"/>
  <c r="G101" i="11" s="1"/>
  <c r="H101" i="11" a="1"/>
  <c r="H101" i="11" s="1"/>
  <c r="I101" i="11" a="1"/>
  <c r="I101" i="11" s="1"/>
  <c r="J101" i="11" a="1"/>
  <c r="J101" i="11" s="1"/>
  <c r="K101" i="11" a="1"/>
  <c r="K101" i="11"/>
  <c r="L101" i="11" a="1"/>
  <c r="L101" i="11"/>
  <c r="M101" i="11" a="1"/>
  <c r="M101" i="11" s="1"/>
  <c r="N101" i="11" a="1"/>
  <c r="N101" i="11" s="1"/>
  <c r="O101" i="11" a="1"/>
  <c r="O101" i="11" s="1"/>
  <c r="P101" i="11" a="1"/>
  <c r="P101" i="11" s="1"/>
  <c r="Q101" i="11" a="1"/>
  <c r="Q101" i="11"/>
  <c r="B102" i="11" a="1"/>
  <c r="B102" i="11"/>
  <c r="C102" i="11" a="1"/>
  <c r="C102" i="11" s="1"/>
  <c r="D102" i="11" a="1"/>
  <c r="D102" i="11" s="1"/>
  <c r="E102" i="11" a="1"/>
  <c r="E102" i="11" s="1"/>
  <c r="F102" i="11" a="1"/>
  <c r="F102" i="11" s="1"/>
  <c r="G102" i="11" a="1"/>
  <c r="G102" i="11"/>
  <c r="H102" i="11" a="1"/>
  <c r="H102" i="11"/>
  <c r="I102" i="11" a="1"/>
  <c r="I102" i="11" s="1"/>
  <c r="J102" i="11" a="1"/>
  <c r="J102" i="11"/>
  <c r="K102" i="11" a="1"/>
  <c r="K102" i="11"/>
  <c r="L102" i="11" a="1"/>
  <c r="L102" i="11" s="1"/>
  <c r="M102" i="11" a="1"/>
  <c r="M102" i="11"/>
  <c r="N102" i="11" a="1"/>
  <c r="N102" i="11"/>
  <c r="O102" i="11" a="1"/>
  <c r="O102" i="11" s="1"/>
  <c r="P102" i="11" a="1"/>
  <c r="P102" i="11" s="1"/>
  <c r="Q102" i="11" a="1"/>
  <c r="Q102" i="11"/>
  <c r="B103" i="11" a="1"/>
  <c r="B103" i="11" s="1"/>
  <c r="C103" i="11" a="1"/>
  <c r="C103" i="11" s="1"/>
  <c r="D103" i="11" a="1"/>
  <c r="D103" i="11" s="1"/>
  <c r="E103" i="11" a="1"/>
  <c r="E103" i="11" s="1"/>
  <c r="F103" i="11" a="1"/>
  <c r="F103" i="11" s="1"/>
  <c r="G103" i="11" a="1"/>
  <c r="G103" i="11" s="1"/>
  <c r="H103" i="11" a="1"/>
  <c r="H103" i="11" s="1"/>
  <c r="I103" i="11" a="1"/>
  <c r="I103" i="11"/>
  <c r="J103" i="11" a="1"/>
  <c r="J103" i="11" s="1"/>
  <c r="K103" i="11" a="1"/>
  <c r="K103" i="11" s="1"/>
  <c r="L103" i="11" a="1"/>
  <c r="L103" i="11" s="1"/>
  <c r="M103" i="11" a="1"/>
  <c r="M103" i="11" s="1"/>
  <c r="N103" i="11" a="1"/>
  <c r="N103" i="11" s="1"/>
  <c r="O103" i="11" a="1"/>
  <c r="O103" i="11"/>
  <c r="P103" i="11" a="1"/>
  <c r="P103" i="11"/>
  <c r="Q103" i="11" a="1"/>
  <c r="Q103" i="11" s="1"/>
  <c r="B104" i="11" a="1"/>
  <c r="B104" i="11" s="1"/>
  <c r="C104" i="11" a="1"/>
  <c r="C104" i="11" s="1"/>
  <c r="D104" i="11" a="1"/>
  <c r="D104" i="11" s="1"/>
  <c r="E104" i="11" a="1"/>
  <c r="E104" i="11"/>
  <c r="F104" i="11" a="1"/>
  <c r="F104" i="11"/>
  <c r="G104" i="11" a="1"/>
  <c r="G104" i="11" s="1"/>
  <c r="H104" i="11" a="1"/>
  <c r="H104" i="11"/>
  <c r="I104" i="11" a="1"/>
  <c r="I104" i="11" s="1"/>
  <c r="J104" i="11" a="1"/>
  <c r="J104" i="11" s="1"/>
  <c r="K104" i="11" a="1"/>
  <c r="K104" i="11"/>
  <c r="L104" i="11" a="1"/>
  <c r="L104" i="11"/>
  <c r="M104" i="11" a="1"/>
  <c r="M104" i="11" s="1"/>
  <c r="N104" i="11" a="1"/>
  <c r="N104" i="11"/>
  <c r="O104" i="11" a="1"/>
  <c r="O104" i="11" s="1"/>
  <c r="P104" i="11" a="1"/>
  <c r="P104" i="11" s="1"/>
  <c r="Q104" i="11" a="1"/>
  <c r="Q104" i="11"/>
  <c r="B105" i="11" a="1"/>
  <c r="B105" i="11"/>
  <c r="C105" i="11" a="1"/>
  <c r="C105" i="11" s="1"/>
  <c r="D105" i="11" a="1"/>
  <c r="D105" i="11" s="1"/>
  <c r="E105" i="11" a="1"/>
  <c r="E105" i="11"/>
  <c r="F105" i="11" a="1"/>
  <c r="F105" i="11" s="1"/>
  <c r="G105" i="11" a="1"/>
  <c r="G105" i="11" s="1"/>
  <c r="H105" i="11" a="1"/>
  <c r="H105" i="11" s="1"/>
  <c r="I105" i="11" a="1"/>
  <c r="I105" i="11" s="1"/>
  <c r="J105" i="11" a="1"/>
  <c r="J105" i="11" s="1"/>
  <c r="K105" i="11" a="1"/>
  <c r="K105" i="11" s="1"/>
  <c r="L105" i="11" a="1"/>
  <c r="L105" i="11" s="1"/>
  <c r="M105" i="11" a="1"/>
  <c r="M105" i="11"/>
  <c r="N105" i="11" a="1"/>
  <c r="N105" i="11" s="1"/>
  <c r="O105" i="11" a="1"/>
  <c r="O105" i="11" s="1"/>
  <c r="P105" i="11" a="1"/>
  <c r="P105" i="11" s="1"/>
  <c r="Q105" i="11" a="1"/>
  <c r="Q105" i="11" s="1"/>
  <c r="B106" i="11" a="1"/>
  <c r="B106" i="11" s="1"/>
  <c r="C106" i="11" a="1"/>
  <c r="C106" i="11"/>
  <c r="D106" i="11" a="1"/>
  <c r="D106" i="11"/>
  <c r="E106" i="11" a="1"/>
  <c r="E106" i="11" s="1"/>
  <c r="F106" i="11" a="1"/>
  <c r="F106" i="11" s="1"/>
  <c r="G106" i="11" a="1"/>
  <c r="G106" i="11" s="1"/>
  <c r="H106" i="11" a="1"/>
  <c r="H106" i="11" s="1"/>
  <c r="I106" i="11" a="1"/>
  <c r="I106" i="11"/>
  <c r="J106" i="11" a="1"/>
  <c r="J106" i="11"/>
  <c r="K106" i="11" a="1"/>
  <c r="K106" i="11" s="1"/>
  <c r="L106" i="11" a="1"/>
  <c r="L106" i="11"/>
  <c r="M106" i="11" a="1"/>
  <c r="M106" i="11" s="1"/>
  <c r="N106" i="11" a="1"/>
  <c r="N106" i="11" s="1"/>
  <c r="O106" i="11" a="1"/>
  <c r="O106" i="11"/>
  <c r="P106" i="11" a="1"/>
  <c r="P106" i="11"/>
  <c r="Q106" i="11" a="1"/>
  <c r="Q106" i="11" s="1"/>
  <c r="B107" i="11" a="1"/>
  <c r="B107" i="11"/>
  <c r="C107" i="11" a="1"/>
  <c r="C107" i="11"/>
  <c r="D107" i="11" a="1"/>
  <c r="D107" i="11" s="1"/>
  <c r="E107" i="11" a="1"/>
  <c r="E107" i="11"/>
  <c r="F107" i="11" a="1"/>
  <c r="F107" i="11"/>
  <c r="G107" i="11" a="1"/>
  <c r="G107" i="11" s="1"/>
  <c r="H107" i="11" a="1"/>
  <c r="H107" i="11" s="1"/>
  <c r="I107" i="11" a="1"/>
  <c r="I107" i="11"/>
  <c r="J107" i="11" a="1"/>
  <c r="J107" i="11" s="1"/>
  <c r="K107" i="11" a="1"/>
  <c r="K107" i="11" s="1"/>
  <c r="L107" i="11" a="1"/>
  <c r="L107" i="11"/>
  <c r="M107" i="11" a="1"/>
  <c r="M107" i="11" s="1"/>
  <c r="N107" i="11" a="1"/>
  <c r="N107" i="11" s="1"/>
  <c r="O107" i="11" a="1"/>
  <c r="O107" i="11" s="1"/>
  <c r="P107" i="11" a="1"/>
  <c r="P107" i="11" s="1"/>
  <c r="Q107" i="11" a="1"/>
  <c r="Q107" i="11"/>
  <c r="B108" i="11" a="1"/>
  <c r="B108" i="11" s="1"/>
  <c r="C108" i="11" a="1"/>
  <c r="C108" i="11" s="1"/>
  <c r="D108" i="11" a="1"/>
  <c r="D108" i="11" s="1"/>
  <c r="E108" i="11" a="1"/>
  <c r="E108" i="11" s="1"/>
  <c r="F108" i="11" a="1"/>
  <c r="F108" i="11" s="1"/>
  <c r="G108" i="11" a="1"/>
  <c r="G108" i="11"/>
  <c r="H108" i="11" a="1"/>
  <c r="H108" i="11"/>
  <c r="I108" i="11" a="1"/>
  <c r="I108" i="11" s="1"/>
  <c r="J108" i="11" a="1"/>
  <c r="J108" i="11" s="1"/>
  <c r="K108" i="11" a="1"/>
  <c r="K108" i="11" s="1"/>
  <c r="L108" i="11" a="1"/>
  <c r="L108" i="11" s="1"/>
  <c r="M108" i="11" a="1"/>
  <c r="M108" i="11"/>
  <c r="N108" i="11" a="1"/>
  <c r="N108" i="11"/>
  <c r="O108" i="11" a="1"/>
  <c r="O108" i="11" s="1"/>
  <c r="P108" i="11" a="1"/>
  <c r="P108" i="11" s="1"/>
  <c r="Q108" i="11" a="1"/>
  <c r="Q108" i="11" s="1"/>
  <c r="B109" i="11" a="1"/>
  <c r="B109" i="11" s="1"/>
  <c r="C109" i="11" a="1"/>
  <c r="C109" i="11"/>
  <c r="D109" i="11" a="1"/>
  <c r="D109" i="11"/>
  <c r="E109" i="11" a="1"/>
  <c r="E109" i="11" s="1"/>
  <c r="F109" i="11" a="1"/>
  <c r="F109" i="11"/>
  <c r="G109" i="11" a="1"/>
  <c r="G109" i="11"/>
  <c r="H109" i="11" a="1"/>
  <c r="H109" i="11" s="1"/>
  <c r="I109" i="11" a="1"/>
  <c r="I109" i="11"/>
  <c r="J109" i="11" a="1"/>
  <c r="J109" i="11"/>
  <c r="K109" i="11" a="1"/>
  <c r="K109" i="11" s="1"/>
  <c r="L109" i="11" a="1"/>
  <c r="L109" i="11" s="1"/>
  <c r="M109" i="11" a="1"/>
  <c r="M109" i="11"/>
  <c r="N109" i="11" a="1"/>
  <c r="N109" i="11" s="1"/>
  <c r="O109" i="11" a="1"/>
  <c r="O109" i="11" s="1"/>
  <c r="P109" i="11" a="1"/>
  <c r="P109" i="11"/>
  <c r="Q109" i="11" a="1"/>
  <c r="Q109" i="11" s="1"/>
  <c r="B110" i="11" a="1"/>
  <c r="B110" i="11" s="1"/>
  <c r="C110" i="11" a="1"/>
  <c r="C110" i="11" s="1"/>
  <c r="D110" i="11" a="1"/>
  <c r="D110" i="11" s="1"/>
  <c r="E110" i="11" a="1"/>
  <c r="E110" i="11"/>
  <c r="F110" i="11" a="1"/>
  <c r="F110" i="11" s="1"/>
  <c r="G110" i="11" a="1"/>
  <c r="G110" i="11" s="1"/>
  <c r="H110" i="11" a="1"/>
  <c r="H110" i="11" s="1"/>
  <c r="I110" i="11" a="1"/>
  <c r="I110" i="11" s="1"/>
  <c r="J110" i="11" a="1"/>
  <c r="J110" i="11" s="1"/>
  <c r="K110" i="11" a="1"/>
  <c r="K110" i="11"/>
  <c r="L110" i="11" a="1"/>
  <c r="L110" i="11"/>
  <c r="M110" i="11" a="1"/>
  <c r="M110" i="11" s="1"/>
  <c r="N110" i="11" a="1"/>
  <c r="N110" i="11" s="1"/>
  <c r="O110" i="11" a="1"/>
  <c r="O110" i="11" s="1"/>
  <c r="P110" i="11" a="1"/>
  <c r="P110" i="11" s="1"/>
  <c r="Q110" i="11" a="1"/>
  <c r="Q110" i="11"/>
  <c r="B111" i="11" a="1"/>
  <c r="B111" i="11"/>
  <c r="C111" i="11" a="1"/>
  <c r="C111" i="11" s="1"/>
  <c r="D111" i="11" a="1"/>
  <c r="D111" i="11"/>
  <c r="E111" i="11" a="1"/>
  <c r="E111" i="11" s="1"/>
  <c r="F111" i="11" a="1"/>
  <c r="F111" i="11" s="1"/>
  <c r="G111" i="11" a="1"/>
  <c r="G111" i="11"/>
  <c r="H111" i="11" a="1"/>
  <c r="H111" i="11" s="1"/>
  <c r="I111" i="11" a="1"/>
  <c r="I111" i="11" s="1"/>
  <c r="J111" i="11" a="1"/>
  <c r="J111" i="11"/>
  <c r="K111" i="11" a="1"/>
  <c r="K111" i="11" s="1"/>
  <c r="L111" i="11" a="1"/>
  <c r="L111" i="11" s="1"/>
  <c r="M111" i="11" a="1"/>
  <c r="M111" i="11"/>
  <c r="N111" i="11" a="1"/>
  <c r="N111" i="11"/>
  <c r="O111" i="11" a="1"/>
  <c r="O111" i="11" s="1"/>
  <c r="P111" i="11" a="1"/>
  <c r="P111" i="11" s="1"/>
  <c r="Q111" i="11" a="1"/>
  <c r="Q111" i="11"/>
  <c r="B112" i="11" a="1"/>
  <c r="B112" i="11" s="1"/>
  <c r="C112" i="11" a="1"/>
  <c r="C112" i="11" s="1"/>
  <c r="D112" i="11" a="1"/>
  <c r="D112" i="11"/>
  <c r="E112" i="11" a="1"/>
  <c r="E112" i="11" s="1"/>
  <c r="F112" i="11" a="1"/>
  <c r="F112" i="11" s="1"/>
  <c r="G112" i="11" a="1"/>
  <c r="G112" i="11" s="1"/>
  <c r="H112" i="11" a="1"/>
  <c r="H112" i="11" s="1"/>
  <c r="I112" i="11" a="1"/>
  <c r="I112" i="11"/>
  <c r="J112" i="11" a="1"/>
  <c r="J112" i="11" s="1"/>
  <c r="K112" i="11" a="1"/>
  <c r="K112" i="11" s="1"/>
  <c r="L112" i="11" a="1"/>
  <c r="L112" i="11" s="1"/>
  <c r="M112" i="11" a="1"/>
  <c r="M112" i="11" s="1"/>
  <c r="N112" i="11" a="1"/>
  <c r="N112" i="11" s="1"/>
  <c r="O112" i="11" a="1"/>
  <c r="O112" i="11"/>
  <c r="P112" i="11" a="1"/>
  <c r="P112" i="11"/>
  <c r="Q112" i="11" a="1"/>
  <c r="Q112" i="11" s="1"/>
  <c r="B113" i="11" a="1"/>
  <c r="B113" i="11" s="1"/>
  <c r="C113" i="11" a="1"/>
  <c r="C113" i="11" s="1"/>
  <c r="D113" i="11" a="1"/>
  <c r="D113" i="11" s="1"/>
  <c r="E113" i="11" a="1"/>
  <c r="E113" i="11" s="1"/>
  <c r="F113" i="11" a="1"/>
  <c r="F113" i="11"/>
  <c r="G113" i="11" a="1"/>
  <c r="G113" i="11" s="1"/>
  <c r="H113" i="11" a="1"/>
  <c r="H113" i="11"/>
  <c r="I113" i="11" a="1"/>
  <c r="I113" i="11" s="1"/>
  <c r="J113" i="11" a="1"/>
  <c r="J113" i="11" s="1"/>
  <c r="K113" i="11" a="1"/>
  <c r="K113" i="11"/>
  <c r="L113" i="11" a="1"/>
  <c r="L113" i="11" s="1"/>
  <c r="M113" i="11" a="1"/>
  <c r="M113" i="11" s="1"/>
  <c r="N113" i="11" a="1"/>
  <c r="N113" i="11"/>
  <c r="O113" i="11" a="1"/>
  <c r="O113" i="11" s="1"/>
  <c r="P113" i="11" a="1"/>
  <c r="P113" i="11" s="1"/>
  <c r="Q113" i="11" a="1"/>
  <c r="Q113" i="11"/>
  <c r="B114" i="11" a="1"/>
  <c r="B114" i="11"/>
  <c r="C114" i="11" a="1"/>
  <c r="C114" i="11" s="1"/>
  <c r="D114" i="11" a="1"/>
  <c r="D114" i="11" s="1"/>
  <c r="E114" i="11" a="1"/>
  <c r="E114" i="11"/>
  <c r="F114" i="11" a="1"/>
  <c r="F114" i="11" s="1"/>
  <c r="G114" i="11" a="1"/>
  <c r="G114" i="11" s="1"/>
  <c r="H114" i="11" a="1"/>
  <c r="H114" i="11"/>
  <c r="I114" i="11" a="1"/>
  <c r="I114" i="11" s="1"/>
  <c r="J114" i="11" a="1"/>
  <c r="J114" i="11" s="1"/>
  <c r="K114" i="11" a="1"/>
  <c r="K114" i="11" s="1"/>
  <c r="L114" i="11" a="1"/>
  <c r="L114" i="11" s="1"/>
  <c r="M114" i="11" a="1"/>
  <c r="M114" i="11"/>
  <c r="N114" i="11" a="1"/>
  <c r="N114" i="11" s="1"/>
  <c r="O114" i="11" a="1"/>
  <c r="O114" i="11" s="1"/>
  <c r="P114" i="11" a="1"/>
  <c r="P114" i="11" s="1"/>
  <c r="Q114" i="11" a="1"/>
  <c r="Q114" i="11" s="1"/>
  <c r="B115" i="11" a="1"/>
  <c r="B115" i="11" s="1"/>
  <c r="C115" i="11" a="1"/>
  <c r="C115" i="11"/>
  <c r="D115" i="11" a="1"/>
  <c r="D115" i="11"/>
  <c r="E115" i="11" a="1"/>
  <c r="E115" i="11" s="1"/>
  <c r="F115" i="11" a="1"/>
  <c r="F115" i="11" s="1"/>
  <c r="G115" i="11" a="1"/>
  <c r="G115" i="11" s="1"/>
  <c r="H115" i="11" a="1"/>
  <c r="H115" i="11" s="1"/>
  <c r="I115" i="11" a="1"/>
  <c r="I115" i="11" s="1"/>
  <c r="J115" i="11" a="1"/>
  <c r="J115" i="11"/>
  <c r="K115" i="11" a="1"/>
  <c r="K115" i="11" s="1"/>
  <c r="L115" i="11" a="1"/>
  <c r="L115" i="11"/>
  <c r="M115" i="11" a="1"/>
  <c r="M115" i="11" s="1"/>
  <c r="N115" i="11" a="1"/>
  <c r="N115" i="11" s="1"/>
  <c r="O115" i="11" a="1"/>
  <c r="O115" i="11"/>
  <c r="P115" i="11" a="1"/>
  <c r="P115" i="11" s="1"/>
  <c r="Q115" i="11" a="1"/>
  <c r="Q115" i="11" s="1"/>
  <c r="B116" i="11" a="1"/>
  <c r="B116" i="11"/>
  <c r="C116" i="11" a="1"/>
  <c r="C116" i="11" s="1"/>
  <c r="D116" i="11" a="1"/>
  <c r="D116" i="11" s="1"/>
  <c r="E116" i="11" a="1"/>
  <c r="E116" i="11"/>
  <c r="F116" i="11" a="1"/>
  <c r="F116" i="11"/>
  <c r="G116" i="11" a="1"/>
  <c r="G116" i="11" s="1"/>
  <c r="H116" i="11" a="1"/>
  <c r="H116" i="11"/>
  <c r="I116" i="11" a="1"/>
  <c r="I116" i="11"/>
  <c r="J116" i="11" a="1"/>
  <c r="J116" i="11" s="1"/>
  <c r="K116" i="11" a="1"/>
  <c r="K116" i="11" s="1"/>
  <c r="L116" i="11" a="1"/>
  <c r="L116" i="11" s="1"/>
  <c r="M116" i="11" a="1"/>
  <c r="M116" i="11" s="1"/>
  <c r="N116" i="11" a="1"/>
  <c r="N116" i="11" s="1"/>
  <c r="O116" i="11" a="1"/>
  <c r="O116" i="11"/>
  <c r="P116" i="11" a="1"/>
  <c r="P116" i="11" s="1"/>
  <c r="Q116" i="11" a="1"/>
  <c r="Q116" i="11" s="1"/>
  <c r="B117" i="11" a="1"/>
  <c r="B117" i="11"/>
  <c r="C117" i="11" a="1"/>
  <c r="C117" i="11"/>
  <c r="D117" i="11" a="1"/>
  <c r="D117" i="11" s="1"/>
  <c r="E117" i="11" a="1"/>
  <c r="E117" i="11"/>
  <c r="F117" i="11" a="1"/>
  <c r="F117" i="11" s="1"/>
  <c r="G117" i="11" a="1"/>
  <c r="G117" i="11"/>
  <c r="H117" i="11" a="1"/>
  <c r="H117" i="11" s="1"/>
  <c r="I117" i="11" a="1"/>
  <c r="I117" i="11" s="1"/>
  <c r="J117" i="11" a="1"/>
  <c r="J117" i="11" s="1"/>
  <c r="K117" i="11" a="1"/>
  <c r="K117" i="11" s="1"/>
  <c r="L117" i="11" a="1"/>
  <c r="L117" i="11" s="1"/>
  <c r="M117" i="11" a="1"/>
  <c r="M117" i="11"/>
  <c r="N117" i="11" a="1"/>
  <c r="N117" i="11" s="1"/>
  <c r="O117" i="11" a="1"/>
  <c r="O117" i="11"/>
  <c r="P117" i="11" a="1"/>
  <c r="P117" i="11"/>
  <c r="Q117" i="11" a="1"/>
  <c r="Q117" i="11" s="1"/>
  <c r="B118" i="11" a="1"/>
  <c r="B118" i="11" s="1"/>
  <c r="C118" i="11" a="1"/>
  <c r="C118" i="11"/>
  <c r="D118" i="11" a="1"/>
  <c r="D118" i="11"/>
  <c r="E118" i="11" a="1"/>
  <c r="E118" i="11" s="1"/>
  <c r="F118" i="11" a="1"/>
  <c r="F118" i="11" s="1"/>
  <c r="G118" i="11" a="1"/>
  <c r="G118" i="11" s="1"/>
  <c r="H118" i="11" a="1"/>
  <c r="H118" i="11" s="1"/>
  <c r="I118" i="11" a="1"/>
  <c r="I118" i="11"/>
  <c r="J118" i="11" a="1"/>
  <c r="J118" i="11"/>
  <c r="K118" i="11" a="1"/>
  <c r="K118" i="11" s="1"/>
  <c r="L118" i="11" a="1"/>
  <c r="L118" i="11"/>
  <c r="M118" i="11" a="1"/>
  <c r="M118" i="11"/>
  <c r="N118" i="11" a="1"/>
  <c r="N118" i="11" s="1"/>
  <c r="O118" i="11" a="1"/>
  <c r="O118" i="11" s="1"/>
  <c r="P118" i="11" a="1"/>
  <c r="P118" i="11"/>
  <c r="Q118" i="11" a="1"/>
  <c r="Q118" i="11"/>
  <c r="B119" i="11" a="1"/>
  <c r="B119" i="11" s="1"/>
  <c r="C119" i="11" a="1"/>
  <c r="C119" i="11" s="1"/>
  <c r="D119" i="11" a="1"/>
  <c r="D119" i="11" s="1"/>
  <c r="E119" i="11" a="1"/>
  <c r="E119" i="11" s="1"/>
  <c r="F119" i="11" a="1"/>
  <c r="F119" i="11"/>
  <c r="G119" i="11" a="1"/>
  <c r="G119" i="11"/>
  <c r="H119" i="11" a="1"/>
  <c r="H119" i="11" s="1"/>
  <c r="I119" i="11" a="1"/>
  <c r="I119" i="11"/>
  <c r="J119" i="11" a="1"/>
  <c r="J119" i="11" s="1"/>
  <c r="K119" i="11" a="1"/>
  <c r="K119" i="11" s="1"/>
  <c r="L119" i="11" a="1"/>
  <c r="L119" i="11" s="1"/>
  <c r="M119" i="11" a="1"/>
  <c r="M119" i="11"/>
  <c r="N119" i="11" a="1"/>
  <c r="N119" i="11" s="1"/>
  <c r="O119" i="11" a="1"/>
  <c r="O119" i="11" s="1"/>
  <c r="P119" i="11" a="1"/>
  <c r="P119" i="11" s="1"/>
  <c r="Q119" i="11" a="1"/>
  <c r="Q119" i="11"/>
  <c r="B120" i="11" a="1"/>
  <c r="B120" i="11" s="1"/>
  <c r="C120" i="11" a="1"/>
  <c r="C120" i="11"/>
  <c r="D120" i="11" a="1"/>
  <c r="D120" i="11"/>
  <c r="E120" i="11" a="1"/>
  <c r="E120" i="11" s="1"/>
  <c r="F120" i="11" a="1"/>
  <c r="F120" i="11" s="1"/>
  <c r="G120" i="11" a="1"/>
  <c r="G120" i="11" s="1"/>
  <c r="H120" i="11" a="1"/>
  <c r="H120" i="11" s="1"/>
  <c r="I120" i="11" a="1"/>
  <c r="I120" i="11" s="1"/>
  <c r="J120" i="11" a="1"/>
  <c r="J120" i="11"/>
  <c r="K120" i="11" a="1"/>
  <c r="K120" i="11"/>
  <c r="L120" i="11" a="1"/>
  <c r="L120" i="11" s="1"/>
  <c r="M120" i="11" a="1"/>
  <c r="M120" i="11"/>
  <c r="N120" i="11" a="1"/>
  <c r="N120" i="11"/>
  <c r="O120" i="11" a="1"/>
  <c r="O120" i="11" s="1"/>
  <c r="P120" i="11" a="1"/>
  <c r="P120" i="11"/>
  <c r="Q120" i="11" a="1"/>
  <c r="Q120" i="11"/>
  <c r="B121" i="11" a="1"/>
  <c r="B121" i="11" s="1"/>
  <c r="C121" i="11" a="1"/>
  <c r="C121" i="11" s="1"/>
  <c r="D121" i="11" a="1"/>
  <c r="D121" i="11" s="1"/>
  <c r="E121" i="11" a="1"/>
  <c r="E121" i="11" s="1"/>
  <c r="F121" i="11" a="1"/>
  <c r="F121" i="11" s="1"/>
  <c r="G121" i="11" a="1"/>
  <c r="G121" i="11"/>
  <c r="H121" i="11" a="1"/>
  <c r="H121" i="11" s="1"/>
  <c r="I121" i="11" a="1"/>
  <c r="I121" i="11" s="1"/>
  <c r="J121" i="11" a="1"/>
  <c r="J121" i="11"/>
  <c r="K121" i="11" a="1"/>
  <c r="K121" i="11"/>
  <c r="L121" i="11" a="1"/>
  <c r="L121" i="11" s="1"/>
  <c r="M121" i="11" a="1"/>
  <c r="M121" i="11"/>
  <c r="N121" i="11" a="1"/>
  <c r="N121" i="11" s="1"/>
  <c r="O121" i="11" a="1"/>
  <c r="O121" i="11"/>
  <c r="P121" i="11" a="1"/>
  <c r="P121" i="11" s="1"/>
  <c r="Q121" i="11" a="1"/>
  <c r="Q121" i="11" s="1"/>
  <c r="B122" i="11" a="1"/>
  <c r="B122" i="11" s="1"/>
  <c r="C122" i="11" a="1"/>
  <c r="C122" i="11" s="1"/>
  <c r="D122" i="11" a="1"/>
  <c r="D122" i="11" s="1"/>
  <c r="E122" i="11" a="1"/>
  <c r="E122" i="11"/>
  <c r="F122" i="11" a="1"/>
  <c r="F122" i="11" s="1"/>
  <c r="G122" i="11" a="1"/>
  <c r="G122" i="11"/>
  <c r="H122" i="11" a="1"/>
  <c r="H122" i="11"/>
  <c r="I122" i="11" a="1"/>
  <c r="I122" i="11" s="1"/>
  <c r="J122" i="11" a="1"/>
  <c r="J122" i="11" s="1"/>
  <c r="K122" i="11" a="1"/>
  <c r="K122" i="11"/>
  <c r="L122" i="11" a="1"/>
  <c r="L122" i="11"/>
  <c r="M122" i="11" a="1"/>
  <c r="M122" i="11" s="1"/>
  <c r="N122" i="11" a="1"/>
  <c r="N122" i="11" s="1"/>
  <c r="O122" i="11" a="1"/>
  <c r="O122" i="11" s="1"/>
  <c r="P122" i="11" a="1"/>
  <c r="P122" i="11" s="1"/>
  <c r="Q122" i="11" a="1"/>
  <c r="Q122" i="11"/>
  <c r="B123" i="11" a="1"/>
  <c r="B123" i="11"/>
  <c r="C123" i="11" a="1"/>
  <c r="C123" i="11" s="1"/>
  <c r="D123" i="11" a="1"/>
  <c r="D123" i="11"/>
  <c r="E123" i="11" a="1"/>
  <c r="E123" i="11"/>
  <c r="F123" i="11" a="1"/>
  <c r="F123" i="11" s="1"/>
  <c r="G123" i="11" a="1"/>
  <c r="G123" i="11"/>
  <c r="H123" i="11" a="1"/>
  <c r="H123" i="11"/>
  <c r="I123" i="11" a="1"/>
  <c r="I123" i="11" s="1"/>
  <c r="J123" i="11" a="1"/>
  <c r="J123" i="11"/>
  <c r="K123" i="11" a="1"/>
  <c r="K123" i="11"/>
  <c r="L123" i="11" a="1"/>
  <c r="L123" i="11" s="1"/>
  <c r="M123" i="11" a="1"/>
  <c r="M123" i="11"/>
  <c r="N123" i="11" a="1"/>
  <c r="N123" i="11" s="1"/>
  <c r="O123" i="11" a="1"/>
  <c r="O123" i="11" s="1"/>
  <c r="P123" i="11" a="1"/>
  <c r="P123" i="11"/>
  <c r="Q123" i="11" a="1"/>
  <c r="Q123" i="11"/>
  <c r="B124" i="11" a="1"/>
  <c r="B124" i="11" s="1"/>
  <c r="C124" i="11" a="1"/>
  <c r="C124" i="11"/>
  <c r="D124" i="11" a="1"/>
  <c r="D124" i="11"/>
  <c r="E124" i="11" a="1"/>
  <c r="E124" i="11" s="1"/>
  <c r="F124" i="11" a="1"/>
  <c r="F124" i="11" s="1"/>
  <c r="G124" i="11" a="1"/>
  <c r="G124" i="11"/>
  <c r="H124" i="11" a="1"/>
  <c r="H124" i="11" s="1"/>
  <c r="I124" i="11" a="1"/>
  <c r="I124" i="11"/>
  <c r="J124" i="11" a="1"/>
  <c r="J124" i="11"/>
  <c r="K124" i="11" a="1"/>
  <c r="K124" i="11" s="1"/>
  <c r="L124" i="11" a="1"/>
  <c r="L124" i="11" s="1"/>
  <c r="M124" i="11" a="1"/>
  <c r="M124" i="11"/>
  <c r="N124" i="11" a="1"/>
  <c r="N124" i="11" s="1"/>
  <c r="O124" i="11" a="1"/>
  <c r="O124" i="11" s="1"/>
  <c r="P124" i="11" a="1"/>
  <c r="P124" i="11" s="1"/>
  <c r="Q124" i="11" a="1"/>
  <c r="Q124" i="11" s="1"/>
  <c r="B125" i="11" a="1"/>
  <c r="B125" i="11" s="1"/>
  <c r="C125" i="11" a="1"/>
  <c r="C125" i="11"/>
  <c r="D125" i="11" a="1"/>
  <c r="D125" i="11" s="1"/>
  <c r="E125" i="11" a="1"/>
  <c r="E125" i="11" s="1"/>
  <c r="F125" i="11" a="1"/>
  <c r="F125" i="11" s="1"/>
  <c r="G125" i="11" a="1"/>
  <c r="G125" i="11" s="1"/>
  <c r="H125" i="11" a="1"/>
  <c r="H125" i="11" s="1"/>
  <c r="I125" i="11" a="1"/>
  <c r="I125" i="11"/>
  <c r="J125" i="11" a="1"/>
  <c r="J125" i="11" s="1"/>
  <c r="K125" i="11" a="1"/>
  <c r="K125" i="11" s="1"/>
  <c r="L125" i="11" a="1"/>
  <c r="L125" i="11"/>
  <c r="M125" i="11" a="1"/>
  <c r="M125" i="11" s="1"/>
  <c r="N125" i="11" a="1"/>
  <c r="N125" i="11" s="1"/>
  <c r="O125" i="11" a="1"/>
  <c r="O125" i="11"/>
  <c r="P125" i="11" a="1"/>
  <c r="P125" i="11" s="1"/>
  <c r="Q125" i="11" a="1"/>
  <c r="Q125" i="11" s="1"/>
  <c r="B126" i="11" a="1"/>
  <c r="B126" i="11" s="1"/>
  <c r="C126" i="11" a="1"/>
  <c r="C126" i="11" s="1"/>
  <c r="D126" i="11" a="1"/>
  <c r="D126" i="11" s="1"/>
  <c r="E126" i="11" a="1"/>
  <c r="E126" i="11"/>
  <c r="F126" i="11" a="1"/>
  <c r="F126" i="11" s="1"/>
  <c r="G126" i="11" a="1"/>
  <c r="G126" i="11" s="1"/>
  <c r="H126" i="11" a="1"/>
  <c r="H126" i="11" s="1"/>
  <c r="I126" i="11" a="1"/>
  <c r="I126" i="11" s="1"/>
  <c r="J126" i="11" a="1"/>
  <c r="J126" i="11" s="1"/>
  <c r="K126" i="11" a="1"/>
  <c r="K126" i="11"/>
  <c r="L126" i="11" a="1"/>
  <c r="L126" i="11" s="1"/>
  <c r="M126" i="11" a="1"/>
  <c r="M126" i="11" s="1"/>
  <c r="N126" i="11" a="1"/>
  <c r="N126" i="11" s="1"/>
  <c r="O126" i="11" a="1"/>
  <c r="O126" i="11" s="1"/>
  <c r="P126" i="11" a="1"/>
  <c r="P126" i="11" s="1"/>
  <c r="Q126" i="11" a="1"/>
  <c r="Q126" i="11" s="1"/>
  <c r="B127" i="11" a="1"/>
  <c r="B127" i="11" s="1"/>
  <c r="C127" i="11" a="1"/>
  <c r="C127" i="11" s="1"/>
  <c r="D127" i="11" a="1"/>
  <c r="D127" i="11" s="1"/>
  <c r="E127" i="11" a="1"/>
  <c r="E127" i="11" s="1"/>
  <c r="F127" i="11" a="1"/>
  <c r="F127" i="11" s="1"/>
  <c r="G127" i="11" a="1"/>
  <c r="G127" i="11" s="1"/>
  <c r="H127" i="11" a="1"/>
  <c r="H127" i="11" s="1"/>
  <c r="I127" i="11" a="1"/>
  <c r="I127" i="11" s="1"/>
  <c r="J127" i="11" a="1"/>
  <c r="J127" i="11" s="1"/>
  <c r="K127" i="11" a="1"/>
  <c r="K127" i="11" s="1"/>
  <c r="L127" i="11" a="1"/>
  <c r="L127" i="11" s="1"/>
  <c r="M127" i="11" a="1"/>
  <c r="M127" i="11" s="1"/>
  <c r="N127" i="11" a="1"/>
  <c r="N127" i="11" s="1"/>
  <c r="O127" i="11" a="1"/>
  <c r="O127" i="11" s="1"/>
  <c r="P127" i="11" a="1"/>
  <c r="P127" i="11" s="1"/>
  <c r="Q127" i="11" a="1"/>
  <c r="Q127" i="11" s="1"/>
  <c r="B128" i="11" a="1"/>
  <c r="B128" i="11" s="1"/>
  <c r="C128" i="11" a="1"/>
  <c r="C128" i="11" s="1"/>
  <c r="D128" i="11" a="1"/>
  <c r="D128" i="11" s="1"/>
  <c r="E128" i="11" a="1"/>
  <c r="E128" i="11" s="1"/>
  <c r="F128" i="11" a="1"/>
  <c r="F128" i="11" s="1"/>
  <c r="G128" i="11" a="1"/>
  <c r="G128" i="11" s="1"/>
  <c r="H128" i="11" a="1"/>
  <c r="H128" i="11" s="1"/>
  <c r="I128" i="11" a="1"/>
  <c r="I128" i="11" s="1"/>
  <c r="J128" i="11" a="1"/>
  <c r="J128" i="11" s="1"/>
  <c r="K128" i="11" a="1"/>
  <c r="K128" i="11" s="1"/>
  <c r="L128" i="11" a="1"/>
  <c r="L128" i="11" s="1"/>
  <c r="M128" i="11" a="1"/>
  <c r="M128" i="11" s="1"/>
  <c r="N128" i="11" a="1"/>
  <c r="N128" i="11" s="1"/>
  <c r="O128" i="11" a="1"/>
  <c r="O128" i="11" s="1"/>
  <c r="P128" i="11" a="1"/>
  <c r="P128" i="11" s="1"/>
  <c r="Q128" i="11" a="1"/>
  <c r="Q128" i="11" s="1"/>
  <c r="B129" i="11" a="1"/>
  <c r="B129" i="11" s="1"/>
  <c r="C129" i="11" a="1"/>
  <c r="C129" i="11" s="1"/>
  <c r="D129" i="11" a="1"/>
  <c r="D129" i="11" s="1"/>
  <c r="E129" i="11" a="1"/>
  <c r="E129" i="11" s="1"/>
  <c r="F129" i="11" a="1"/>
  <c r="F129" i="11" s="1"/>
  <c r="G129" i="11" a="1"/>
  <c r="G129" i="11" s="1"/>
  <c r="H129" i="11" a="1"/>
  <c r="H129" i="11" s="1"/>
  <c r="I129" i="11" a="1"/>
  <c r="I129" i="11" s="1"/>
  <c r="J129" i="11" a="1"/>
  <c r="J129" i="11" s="1"/>
  <c r="K129" i="11" a="1"/>
  <c r="K129" i="11" s="1"/>
  <c r="L129" i="11" a="1"/>
  <c r="L129" i="11" s="1"/>
  <c r="M129" i="11" a="1"/>
  <c r="M129" i="11" s="1"/>
  <c r="N129" i="11" a="1"/>
  <c r="N129" i="11" s="1"/>
  <c r="O129" i="11" a="1"/>
  <c r="O129" i="11" s="1"/>
  <c r="P129" i="11" a="1"/>
  <c r="P129" i="11" s="1"/>
  <c r="Q129" i="11" a="1"/>
  <c r="Q129" i="11" s="1"/>
  <c r="B130" i="11" a="1"/>
  <c r="B130" i="11" s="1"/>
  <c r="C130" i="11" a="1"/>
  <c r="C130" i="11" s="1"/>
  <c r="D130" i="11" a="1"/>
  <c r="D130" i="11" s="1"/>
  <c r="E130" i="11" a="1"/>
  <c r="E130" i="11" s="1"/>
  <c r="F130" i="11" a="1"/>
  <c r="F130" i="11" s="1"/>
  <c r="G130" i="11" a="1"/>
  <c r="G130" i="11" s="1"/>
  <c r="H130" i="11" a="1"/>
  <c r="H130" i="11" s="1"/>
  <c r="I130" i="11" a="1"/>
  <c r="I130" i="11" s="1"/>
  <c r="J130" i="11" a="1"/>
  <c r="J130" i="11" s="1"/>
  <c r="K130" i="11" a="1"/>
  <c r="K130" i="11" s="1"/>
  <c r="L130" i="11" a="1"/>
  <c r="L130" i="11" s="1"/>
  <c r="M130" i="11" a="1"/>
  <c r="M130" i="11" s="1"/>
  <c r="N130" i="11" a="1"/>
  <c r="N130" i="11" s="1"/>
  <c r="O130" i="11" a="1"/>
  <c r="O130" i="11" s="1"/>
  <c r="P130" i="11" a="1"/>
  <c r="P130" i="11" s="1"/>
  <c r="Q130" i="11" a="1"/>
  <c r="Q130" i="11" s="1"/>
  <c r="B131" i="11" a="1"/>
  <c r="B131" i="11" s="1"/>
  <c r="C131" i="11" a="1"/>
  <c r="C131" i="11" s="1"/>
  <c r="D131" i="11" a="1"/>
  <c r="D131" i="11" s="1"/>
  <c r="E131" i="11" a="1"/>
  <c r="E131" i="11" s="1"/>
  <c r="F131" i="11" a="1"/>
  <c r="F131" i="11" s="1"/>
  <c r="G131" i="11" a="1"/>
  <c r="G131" i="11" s="1"/>
  <c r="H131" i="11" a="1"/>
  <c r="H131" i="11" s="1"/>
  <c r="I131" i="11" a="1"/>
  <c r="I131" i="11" s="1"/>
  <c r="J131" i="11" a="1"/>
  <c r="J131" i="11" s="1"/>
  <c r="K131" i="11" a="1"/>
  <c r="K131" i="11" s="1"/>
  <c r="L131" i="11" a="1"/>
  <c r="L131" i="11" s="1"/>
  <c r="M131" i="11" a="1"/>
  <c r="M131" i="11" s="1"/>
  <c r="N131" i="11" a="1"/>
  <c r="N131" i="11" s="1"/>
  <c r="O131" i="11" a="1"/>
  <c r="O131" i="11" s="1"/>
  <c r="P131" i="11" a="1"/>
  <c r="P131" i="11" s="1"/>
  <c r="Q131" i="11" a="1"/>
  <c r="Q131" i="11" s="1"/>
  <c r="B132" i="11" a="1"/>
  <c r="B132" i="11" s="1"/>
  <c r="C132" i="11" a="1"/>
  <c r="C132" i="11" s="1"/>
  <c r="D132" i="11" a="1"/>
  <c r="D132" i="11" s="1"/>
  <c r="E132" i="11" a="1"/>
  <c r="E132" i="11" s="1"/>
  <c r="F132" i="11" a="1"/>
  <c r="F132" i="11" s="1"/>
  <c r="G132" i="11" a="1"/>
  <c r="G132" i="11" s="1"/>
  <c r="H132" i="11" a="1"/>
  <c r="H132" i="11" s="1"/>
  <c r="I132" i="11" a="1"/>
  <c r="I132" i="11" s="1"/>
  <c r="J132" i="11" a="1"/>
  <c r="J132" i="11" s="1"/>
  <c r="K132" i="11" a="1"/>
  <c r="K132" i="11" s="1"/>
  <c r="L132" i="11" a="1"/>
  <c r="L132" i="11" s="1"/>
  <c r="M132" i="11" a="1"/>
  <c r="M132" i="11" s="1"/>
  <c r="N132" i="11" a="1"/>
  <c r="N132" i="11" s="1"/>
  <c r="O132" i="11" a="1"/>
  <c r="O132" i="11" s="1"/>
  <c r="P132" i="11" a="1"/>
  <c r="P132" i="11" s="1"/>
  <c r="Q132" i="11" a="1"/>
  <c r="Q132" i="11" s="1"/>
  <c r="B133" i="11" a="1"/>
  <c r="B133" i="11" s="1"/>
  <c r="C133" i="11" a="1"/>
  <c r="C133" i="11" s="1"/>
  <c r="D133" i="11" a="1"/>
  <c r="D133" i="11" s="1"/>
  <c r="E133" i="11" a="1"/>
  <c r="E133" i="11" s="1"/>
  <c r="F133" i="11" a="1"/>
  <c r="F133" i="11" s="1"/>
  <c r="G133" i="11" a="1"/>
  <c r="G133" i="11" s="1"/>
  <c r="H133" i="11" a="1"/>
  <c r="H133" i="11" s="1"/>
  <c r="I133" i="11" a="1"/>
  <c r="I133" i="11" s="1"/>
  <c r="J133" i="11" a="1"/>
  <c r="J133" i="11" s="1"/>
  <c r="K133" i="11" a="1"/>
  <c r="K133" i="11" s="1"/>
  <c r="L133" i="11" a="1"/>
  <c r="L133" i="11" s="1"/>
  <c r="M133" i="11" a="1"/>
  <c r="M133" i="11" s="1"/>
  <c r="N133" i="11" a="1"/>
  <c r="N133" i="11" s="1"/>
  <c r="O133" i="11" a="1"/>
  <c r="O133" i="11" s="1"/>
  <c r="P133" i="11" a="1"/>
  <c r="P133" i="11" s="1"/>
  <c r="Q133" i="11" a="1"/>
  <c r="Q133" i="11" s="1"/>
  <c r="B134" i="11" a="1"/>
  <c r="B134" i="11" s="1"/>
  <c r="C134" i="11" a="1"/>
  <c r="C134" i="11" s="1"/>
  <c r="D134" i="11" a="1"/>
  <c r="D134" i="11" s="1"/>
  <c r="E134" i="11" a="1"/>
  <c r="E134" i="11" s="1"/>
  <c r="F134" i="11" a="1"/>
  <c r="F134" i="11" s="1"/>
  <c r="G134" i="11" a="1"/>
  <c r="G134" i="11" s="1"/>
  <c r="H134" i="11" a="1"/>
  <c r="H134" i="11" s="1"/>
  <c r="I134" i="11" a="1"/>
  <c r="I134" i="11" s="1"/>
  <c r="J134" i="11" a="1"/>
  <c r="J134" i="11" s="1"/>
  <c r="K134" i="11" a="1"/>
  <c r="K134" i="11" s="1"/>
  <c r="L134" i="11" a="1"/>
  <c r="L134" i="11" s="1"/>
  <c r="M134" i="11" a="1"/>
  <c r="M134" i="11" s="1"/>
  <c r="N134" i="11" a="1"/>
  <c r="N134" i="11" s="1"/>
  <c r="O134" i="11" a="1"/>
  <c r="O134" i="11" s="1"/>
  <c r="P134" i="11" a="1"/>
  <c r="P134" i="11" s="1"/>
  <c r="Q134" i="11" a="1"/>
  <c r="Q134" i="11" s="1"/>
  <c r="B135" i="11" a="1"/>
  <c r="B135" i="11" s="1"/>
  <c r="C135" i="11" a="1"/>
  <c r="C135" i="11" s="1"/>
  <c r="D135" i="11" a="1"/>
  <c r="D135" i="11" s="1"/>
  <c r="E135" i="11" a="1"/>
  <c r="E135" i="11" s="1"/>
  <c r="F135" i="11" a="1"/>
  <c r="F135" i="11" s="1"/>
  <c r="G135" i="11" a="1"/>
  <c r="G135" i="11" s="1"/>
  <c r="H135" i="11" a="1"/>
  <c r="H135" i="11" s="1"/>
  <c r="I135" i="11" a="1"/>
  <c r="I135" i="11" s="1"/>
  <c r="J135" i="11" a="1"/>
  <c r="J135" i="11" s="1"/>
  <c r="K135" i="11" a="1"/>
  <c r="K135" i="11" s="1"/>
  <c r="L135" i="11" a="1"/>
  <c r="L135" i="11" s="1"/>
  <c r="M135" i="11" a="1"/>
  <c r="M135" i="11" s="1"/>
  <c r="N135" i="11" a="1"/>
  <c r="N135" i="11" s="1"/>
  <c r="O135" i="11" a="1"/>
  <c r="O135" i="11" s="1"/>
  <c r="P135" i="11" a="1"/>
  <c r="P135" i="11" s="1"/>
  <c r="Q135" i="11" a="1"/>
  <c r="Q135" i="11" s="1"/>
  <c r="B136" i="11" a="1"/>
  <c r="B136" i="11" s="1"/>
  <c r="C136" i="11" a="1"/>
  <c r="C136" i="11" s="1"/>
  <c r="D136" i="11" a="1"/>
  <c r="D136" i="11" s="1"/>
  <c r="E136" i="11" a="1"/>
  <c r="E136" i="11" s="1"/>
  <c r="F136" i="11" a="1"/>
  <c r="F136" i="11" s="1"/>
  <c r="G136" i="11" a="1"/>
  <c r="G136" i="11" s="1"/>
  <c r="H136" i="11" a="1"/>
  <c r="H136" i="11" s="1"/>
  <c r="I136" i="11" a="1"/>
  <c r="I136" i="11" s="1"/>
  <c r="J136" i="11" a="1"/>
  <c r="J136" i="11" s="1"/>
  <c r="K136" i="11" a="1"/>
  <c r="K136" i="11" s="1"/>
  <c r="L136" i="11" a="1"/>
  <c r="L136" i="11" s="1"/>
  <c r="M136" i="11" a="1"/>
  <c r="M136" i="11" s="1"/>
  <c r="N136" i="11" a="1"/>
  <c r="N136" i="11" s="1"/>
  <c r="O136" i="11" a="1"/>
  <c r="O136" i="11" s="1"/>
  <c r="P136" i="11" a="1"/>
  <c r="P136" i="11" s="1"/>
  <c r="Q136" i="11" a="1"/>
  <c r="Q136" i="11" s="1"/>
  <c r="B137" i="11" a="1"/>
  <c r="B137" i="11" s="1"/>
  <c r="C137" i="11" a="1"/>
  <c r="C137" i="11" s="1"/>
  <c r="D137" i="11" a="1"/>
  <c r="D137" i="11" s="1"/>
  <c r="E137" i="11" a="1"/>
  <c r="E137" i="11" s="1"/>
  <c r="F137" i="11" a="1"/>
  <c r="F137" i="11" s="1"/>
  <c r="G137" i="11" a="1"/>
  <c r="G137" i="11" s="1"/>
  <c r="H137" i="11" a="1"/>
  <c r="H137" i="11" s="1"/>
  <c r="I137" i="11" a="1"/>
  <c r="I137" i="11" s="1"/>
  <c r="J137" i="11" a="1"/>
  <c r="J137" i="11" s="1"/>
  <c r="K137" i="11" a="1"/>
  <c r="K137" i="11" s="1"/>
  <c r="L137" i="11" a="1"/>
  <c r="L137" i="11" s="1"/>
  <c r="M137" i="11" a="1"/>
  <c r="M137" i="11" s="1"/>
  <c r="N137" i="11" a="1"/>
  <c r="N137" i="11" s="1"/>
  <c r="O137" i="11" a="1"/>
  <c r="O137" i="11" s="1"/>
  <c r="P137" i="11" a="1"/>
  <c r="P137" i="11" s="1"/>
  <c r="Q137" i="11" a="1"/>
  <c r="Q137" i="11" s="1"/>
  <c r="B138" i="11" a="1"/>
  <c r="B138" i="11" s="1"/>
  <c r="C138" i="11" a="1"/>
  <c r="C138" i="11" s="1"/>
  <c r="D138" i="11" a="1"/>
  <c r="D138" i="11" s="1"/>
  <c r="E138" i="11" a="1"/>
  <c r="E138" i="11" s="1"/>
  <c r="F138" i="11" a="1"/>
  <c r="F138" i="11" s="1"/>
  <c r="G138" i="11" a="1"/>
  <c r="G138" i="11" s="1"/>
  <c r="H138" i="11" a="1"/>
  <c r="H138" i="11" s="1"/>
  <c r="I138" i="11" a="1"/>
  <c r="I138" i="11" s="1"/>
  <c r="J138" i="11" a="1"/>
  <c r="J138" i="11" s="1"/>
  <c r="K138" i="11" a="1"/>
  <c r="K138" i="11" s="1"/>
  <c r="L138" i="11" a="1"/>
  <c r="L138" i="11" s="1"/>
  <c r="M138" i="11" a="1"/>
  <c r="M138" i="11" s="1"/>
  <c r="N138" i="11" a="1"/>
  <c r="N138" i="11" s="1"/>
  <c r="O138" i="11" a="1"/>
  <c r="O138" i="11" s="1"/>
  <c r="P138" i="11" a="1"/>
  <c r="P138" i="11" s="1"/>
  <c r="Q138" i="11" a="1"/>
  <c r="Q138" i="11" s="1"/>
  <c r="B139" i="11" a="1"/>
  <c r="B139" i="11" s="1"/>
  <c r="C139" i="11" a="1"/>
  <c r="C139" i="11" s="1"/>
  <c r="D139" i="11" a="1"/>
  <c r="D139" i="11" s="1"/>
  <c r="E139" i="11" a="1"/>
  <c r="E139" i="11" s="1"/>
  <c r="F139" i="11" a="1"/>
  <c r="F139" i="11" s="1"/>
  <c r="G139" i="11" a="1"/>
  <c r="G139" i="11" s="1"/>
  <c r="H139" i="11" a="1"/>
  <c r="H139" i="11" s="1"/>
  <c r="I139" i="11" a="1"/>
  <c r="I139" i="11" s="1"/>
  <c r="J139" i="11" a="1"/>
  <c r="J139" i="11" s="1"/>
  <c r="K139" i="11" a="1"/>
  <c r="K139" i="11" s="1"/>
  <c r="L139" i="11" a="1"/>
  <c r="L139" i="11" s="1"/>
  <c r="M139" i="11" a="1"/>
  <c r="M139" i="11" s="1"/>
  <c r="N139" i="11" a="1"/>
  <c r="N139" i="11" s="1"/>
  <c r="O139" i="11" a="1"/>
  <c r="O139" i="11" s="1"/>
  <c r="P139" i="11" a="1"/>
  <c r="P139" i="11" s="1"/>
  <c r="Q139" i="11" a="1"/>
  <c r="Q139" i="11" s="1"/>
  <c r="B140" i="11" a="1"/>
  <c r="B140" i="11" s="1"/>
  <c r="C140" i="11" a="1"/>
  <c r="C140" i="11" s="1"/>
  <c r="D140" i="11" a="1"/>
  <c r="D140" i="11" s="1"/>
  <c r="E140" i="11" a="1"/>
  <c r="E140" i="11" s="1"/>
  <c r="F140" i="11" a="1"/>
  <c r="F140" i="11" s="1"/>
  <c r="G140" i="11" a="1"/>
  <c r="G140" i="11" s="1"/>
  <c r="H140" i="11" a="1"/>
  <c r="H140" i="11" s="1"/>
  <c r="I140" i="11" a="1"/>
  <c r="I140" i="11" s="1"/>
  <c r="J140" i="11" a="1"/>
  <c r="J140" i="11" s="1"/>
  <c r="K140" i="11" a="1"/>
  <c r="K140" i="11" s="1"/>
  <c r="L140" i="11" a="1"/>
  <c r="L140" i="11" s="1"/>
  <c r="M140" i="11" a="1"/>
  <c r="M140" i="11" s="1"/>
  <c r="N140" i="11" a="1"/>
  <c r="N140" i="11" s="1"/>
  <c r="O140" i="11" a="1"/>
  <c r="O140" i="11" s="1"/>
  <c r="P140" i="11" a="1"/>
  <c r="P140" i="11" s="1"/>
  <c r="Q140" i="11" a="1"/>
  <c r="Q140" i="11" s="1"/>
  <c r="B141" i="11" a="1"/>
  <c r="B141" i="11" s="1"/>
  <c r="C141" i="11" a="1"/>
  <c r="C141" i="11" s="1"/>
  <c r="D141" i="11" a="1"/>
  <c r="D141" i="11" s="1"/>
  <c r="E141" i="11" a="1"/>
  <c r="E141" i="11" s="1"/>
  <c r="F141" i="11" a="1"/>
  <c r="F141" i="11" s="1"/>
  <c r="G141" i="11" a="1"/>
  <c r="G141" i="11" s="1"/>
  <c r="H141" i="11" a="1"/>
  <c r="H141" i="11" s="1"/>
  <c r="I141" i="11" a="1"/>
  <c r="I141" i="11" s="1"/>
  <c r="J141" i="11" a="1"/>
  <c r="J141" i="11" s="1"/>
  <c r="K141" i="11" a="1"/>
  <c r="K141" i="11" s="1"/>
  <c r="L141" i="11" a="1"/>
  <c r="L141" i="11" s="1"/>
  <c r="M141" i="11" a="1"/>
  <c r="M141" i="11" s="1"/>
  <c r="N141" i="11" a="1"/>
  <c r="N141" i="11" s="1"/>
  <c r="O141" i="11" a="1"/>
  <c r="O141" i="11" s="1"/>
  <c r="P141" i="11" a="1"/>
  <c r="P141" i="11" s="1"/>
  <c r="Q141" i="11" a="1"/>
  <c r="Q141" i="11" s="1"/>
  <c r="B142" i="11" a="1"/>
  <c r="B142" i="11" s="1"/>
  <c r="C142" i="11" a="1"/>
  <c r="C142" i="11" s="1"/>
  <c r="D142" i="11" a="1"/>
  <c r="D142" i="11" s="1"/>
  <c r="E142" i="11" a="1"/>
  <c r="E142" i="11" s="1"/>
  <c r="F142" i="11" a="1"/>
  <c r="F142" i="11" s="1"/>
  <c r="G142" i="11" a="1"/>
  <c r="G142" i="11" s="1"/>
  <c r="H142" i="11" a="1"/>
  <c r="H142" i="11" s="1"/>
  <c r="I142" i="11" a="1"/>
  <c r="I142" i="11" s="1"/>
  <c r="J142" i="11" a="1"/>
  <c r="J142" i="11" s="1"/>
  <c r="K142" i="11" a="1"/>
  <c r="K142" i="11" s="1"/>
  <c r="L142" i="11" a="1"/>
  <c r="L142" i="11" s="1"/>
  <c r="M142" i="11" a="1"/>
  <c r="M142" i="11" s="1"/>
  <c r="N142" i="11" a="1"/>
  <c r="N142" i="11" s="1"/>
  <c r="O142" i="11" a="1"/>
  <c r="O142" i="11" s="1"/>
  <c r="P142" i="11" a="1"/>
  <c r="P142" i="11" s="1"/>
  <c r="Q142" i="11" a="1"/>
  <c r="Q142" i="11" s="1"/>
  <c r="B143" i="11" a="1"/>
  <c r="B143" i="11" s="1"/>
  <c r="C143" i="11" a="1"/>
  <c r="C143" i="11" s="1"/>
  <c r="D143" i="11" a="1"/>
  <c r="D143" i="11" s="1"/>
  <c r="E143" i="11" a="1"/>
  <c r="E143" i="11" s="1"/>
  <c r="F143" i="11" a="1"/>
  <c r="F143" i="11" s="1"/>
  <c r="G143" i="11" a="1"/>
  <c r="G143" i="11" s="1"/>
  <c r="H143" i="11" a="1"/>
  <c r="H143" i="11" s="1"/>
  <c r="I143" i="11" a="1"/>
  <c r="I143" i="11" s="1"/>
  <c r="J143" i="11" a="1"/>
  <c r="J143" i="11" s="1"/>
  <c r="K143" i="11" a="1"/>
  <c r="K143" i="11" s="1"/>
  <c r="L143" i="11" a="1"/>
  <c r="L143" i="11" s="1"/>
  <c r="M143" i="11" a="1"/>
  <c r="M143" i="11"/>
  <c r="N143" i="11" a="1"/>
  <c r="N143" i="11" s="1"/>
  <c r="O143" i="11" a="1"/>
  <c r="O143" i="11" s="1"/>
  <c r="P143" i="11" a="1"/>
  <c r="P143" i="11" s="1"/>
  <c r="Q143" i="11" a="1"/>
  <c r="Q143" i="11" s="1"/>
  <c r="B144" i="11" a="1"/>
  <c r="B144" i="11" s="1"/>
  <c r="C144" i="11" a="1"/>
  <c r="C144" i="11"/>
  <c r="D144" i="11" a="1"/>
  <c r="D144" i="11" s="1"/>
  <c r="E144" i="11" a="1"/>
  <c r="E144" i="11"/>
  <c r="F144" i="11" a="1"/>
  <c r="F144" i="11" s="1"/>
  <c r="G144" i="11" a="1"/>
  <c r="G144" i="11" s="1"/>
  <c r="H144" i="11" a="1"/>
  <c r="H144" i="11" s="1"/>
  <c r="I144" i="11" a="1"/>
  <c r="I144" i="11" s="1"/>
  <c r="J144" i="11" a="1"/>
  <c r="J144" i="11" s="1"/>
  <c r="K144" i="11" a="1"/>
  <c r="K144" i="11" s="1"/>
  <c r="L144" i="11" a="1"/>
  <c r="L144" i="11" s="1"/>
  <c r="M144" i="11" a="1"/>
  <c r="M144" i="11" s="1"/>
  <c r="N144" i="11" a="1"/>
  <c r="N144" i="11" s="1"/>
  <c r="O144" i="11" a="1"/>
  <c r="O144" i="11" s="1"/>
  <c r="P144" i="11" a="1"/>
  <c r="P144" i="11" s="1"/>
  <c r="Q144" i="11" a="1"/>
  <c r="Q144" i="11" s="1"/>
  <c r="B145" i="11" a="1"/>
  <c r="B145" i="11" s="1"/>
  <c r="C145" i="11" a="1"/>
  <c r="C145" i="11" s="1"/>
  <c r="D145" i="11" a="1"/>
  <c r="D145" i="11" s="1"/>
  <c r="E145" i="11" a="1"/>
  <c r="E145" i="11"/>
  <c r="F145" i="11" a="1"/>
  <c r="F145" i="11" s="1"/>
  <c r="G145" i="11" a="1"/>
  <c r="G145" i="11" s="1"/>
  <c r="H145" i="11" a="1"/>
  <c r="H145" i="11" s="1"/>
  <c r="I145" i="11" a="1"/>
  <c r="I145" i="11" s="1"/>
  <c r="J145" i="11" a="1"/>
  <c r="J145" i="11" s="1"/>
  <c r="K145" i="11" a="1"/>
  <c r="K145" i="11" s="1"/>
  <c r="L145" i="11" a="1"/>
  <c r="L145" i="11" s="1"/>
  <c r="M145" i="11" a="1"/>
  <c r="M145" i="11" s="1"/>
  <c r="N145" i="11" a="1"/>
  <c r="N145" i="11" s="1"/>
  <c r="O145" i="11" a="1"/>
  <c r="O145" i="11" s="1"/>
  <c r="P145" i="11" a="1"/>
  <c r="P145" i="11" s="1"/>
  <c r="Q145" i="11" a="1"/>
  <c r="Q145" i="11" s="1"/>
  <c r="B146" i="11" a="1"/>
  <c r="B146" i="11" s="1"/>
  <c r="C146" i="11" a="1"/>
  <c r="C146" i="11" s="1"/>
  <c r="D146" i="11" a="1"/>
  <c r="D146" i="11" s="1"/>
  <c r="E146" i="11" a="1"/>
  <c r="E146" i="11" s="1"/>
  <c r="F146" i="11" a="1"/>
  <c r="F146" i="11" s="1"/>
  <c r="G146" i="11" a="1"/>
  <c r="G146" i="11" s="1"/>
  <c r="H146" i="11" a="1"/>
  <c r="H146" i="11" s="1"/>
  <c r="I146" i="11" a="1"/>
  <c r="I146" i="11" s="1"/>
  <c r="J146" i="11" a="1"/>
  <c r="J146" i="11" s="1"/>
  <c r="K146" i="11" a="1"/>
  <c r="K146" i="11" s="1"/>
  <c r="L146" i="11" a="1"/>
  <c r="L146" i="11" s="1"/>
  <c r="M146" i="11" a="1"/>
  <c r="M146" i="11" s="1"/>
  <c r="N146" i="11" a="1"/>
  <c r="N146" i="11" s="1"/>
  <c r="O146" i="11" a="1"/>
  <c r="O146" i="11" s="1"/>
  <c r="P146" i="11" a="1"/>
  <c r="P146" i="11" s="1"/>
  <c r="Q146" i="11" a="1"/>
  <c r="Q146" i="11" s="1"/>
  <c r="B147" i="11" a="1"/>
  <c r="B147" i="11" s="1"/>
  <c r="C147" i="11" a="1"/>
  <c r="C147" i="11" s="1"/>
  <c r="D147" i="11" a="1"/>
  <c r="D147" i="11" s="1"/>
  <c r="E147" i="11" a="1"/>
  <c r="E147" i="11" s="1"/>
  <c r="F147" i="11" a="1"/>
  <c r="F147" i="11" s="1"/>
  <c r="G147" i="11" a="1"/>
  <c r="G147" i="11" s="1"/>
  <c r="H147" i="11" a="1"/>
  <c r="H147" i="11" s="1"/>
  <c r="I147" i="11" a="1"/>
  <c r="I147" i="11" s="1"/>
  <c r="J147" i="11" a="1"/>
  <c r="J147" i="11" s="1"/>
  <c r="K147" i="11" a="1"/>
  <c r="K147" i="11" s="1"/>
  <c r="L147" i="11" a="1"/>
  <c r="L147" i="11" s="1"/>
  <c r="M147" i="11" a="1"/>
  <c r="M147" i="11" s="1"/>
  <c r="N147" i="11" a="1"/>
  <c r="N147" i="11" s="1"/>
  <c r="O147" i="11" a="1"/>
  <c r="O147" i="11" s="1"/>
  <c r="P147" i="11" a="1"/>
  <c r="P147" i="11" s="1"/>
  <c r="Q147" i="11" a="1"/>
  <c r="Q147" i="11" s="1"/>
  <c r="B148" i="11" a="1"/>
  <c r="B148" i="11" s="1"/>
  <c r="C148" i="11" a="1"/>
  <c r="C148" i="11" s="1"/>
  <c r="D148" i="11" a="1"/>
  <c r="D148" i="11" s="1"/>
  <c r="E148" i="11" a="1"/>
  <c r="E148" i="11" s="1"/>
  <c r="F148" i="11" a="1"/>
  <c r="F148" i="11" s="1"/>
  <c r="G148" i="11" a="1"/>
  <c r="G148" i="11" s="1"/>
  <c r="H148" i="11" a="1"/>
  <c r="H148" i="11" s="1"/>
  <c r="I148" i="11" a="1"/>
  <c r="I148" i="11" s="1"/>
  <c r="J148" i="11" a="1"/>
  <c r="J148" i="11" s="1"/>
  <c r="K148" i="11" a="1"/>
  <c r="K148" i="11" s="1"/>
  <c r="L148" i="11" a="1"/>
  <c r="L148" i="11" s="1"/>
  <c r="M148" i="11" a="1"/>
  <c r="M148" i="11" s="1"/>
  <c r="N148" i="11" a="1"/>
  <c r="N148" i="11" s="1"/>
  <c r="O148" i="11" a="1"/>
  <c r="O148" i="11" s="1"/>
  <c r="P148" i="11" a="1"/>
  <c r="P148" i="11" s="1"/>
  <c r="Q148" i="11" a="1"/>
  <c r="Q148" i="11" s="1"/>
  <c r="B149" i="11" a="1"/>
  <c r="B149" i="11" s="1"/>
  <c r="C149" i="11" a="1"/>
  <c r="C149" i="11" s="1"/>
  <c r="D149" i="11" a="1"/>
  <c r="D149" i="11" s="1"/>
  <c r="E149" i="11" a="1"/>
  <c r="E149" i="11" s="1"/>
  <c r="F149" i="11" a="1"/>
  <c r="F149" i="11" s="1"/>
  <c r="G149" i="11" a="1"/>
  <c r="G149" i="11" s="1"/>
  <c r="H149" i="11" a="1"/>
  <c r="H149" i="11" s="1"/>
  <c r="I149" i="11" a="1"/>
  <c r="I149" i="11" s="1"/>
  <c r="J149" i="11" a="1"/>
  <c r="J149" i="11" s="1"/>
  <c r="K149" i="11" a="1"/>
  <c r="K149" i="11" s="1"/>
  <c r="L149" i="11" a="1"/>
  <c r="L149" i="11" s="1"/>
  <c r="M149" i="11" a="1"/>
  <c r="M149" i="11" s="1"/>
  <c r="N149" i="11" a="1"/>
  <c r="N149" i="11" s="1"/>
  <c r="O149" i="11" a="1"/>
  <c r="O149" i="11" s="1"/>
  <c r="P149" i="11" a="1"/>
  <c r="P149" i="11" s="1"/>
  <c r="Q149" i="11" a="1"/>
  <c r="Q149" i="11" s="1"/>
  <c r="B150" i="11" a="1"/>
  <c r="B150" i="11" s="1"/>
  <c r="C150" i="11" a="1"/>
  <c r="C150" i="11" s="1"/>
  <c r="D150" i="11" a="1"/>
  <c r="D150" i="11" s="1"/>
  <c r="E150" i="11" a="1"/>
  <c r="E150" i="11" s="1"/>
  <c r="F150" i="11" a="1"/>
  <c r="F150" i="11" s="1"/>
  <c r="G150" i="11" a="1"/>
  <c r="G150" i="11" s="1"/>
  <c r="H150" i="11" a="1"/>
  <c r="H150" i="11" s="1"/>
  <c r="I150" i="11" a="1"/>
  <c r="I150" i="11" s="1"/>
  <c r="J150" i="11" a="1"/>
  <c r="J150" i="11" s="1"/>
  <c r="K150" i="11" a="1"/>
  <c r="K150" i="11" s="1"/>
  <c r="L150" i="11" a="1"/>
  <c r="L150" i="11" s="1"/>
  <c r="M150" i="11" a="1"/>
  <c r="M150" i="11" s="1"/>
  <c r="N150" i="11" a="1"/>
  <c r="N150" i="11" s="1"/>
  <c r="O150" i="11" a="1"/>
  <c r="O150" i="11" s="1"/>
  <c r="P150" i="11" a="1"/>
  <c r="P150" i="11" s="1"/>
  <c r="Q150" i="11" a="1"/>
  <c r="Q150" i="11" s="1"/>
  <c r="B151" i="11" a="1"/>
  <c r="B151" i="11" s="1"/>
  <c r="C151" i="11" a="1"/>
  <c r="C151" i="11" s="1"/>
  <c r="D151" i="11" a="1"/>
  <c r="D151" i="11" s="1"/>
  <c r="E151" i="11" a="1"/>
  <c r="E151" i="11" s="1"/>
  <c r="F151" i="11" a="1"/>
  <c r="F151" i="11" s="1"/>
  <c r="G151" i="11" a="1"/>
  <c r="G151" i="11" s="1"/>
  <c r="H151" i="11" a="1"/>
  <c r="H151" i="11" s="1"/>
  <c r="I151" i="11" a="1"/>
  <c r="I151" i="11" s="1"/>
  <c r="J151" i="11" a="1"/>
  <c r="J151" i="11" s="1"/>
  <c r="K151" i="11" a="1"/>
  <c r="K151" i="11" s="1"/>
  <c r="L151" i="11" a="1"/>
  <c r="L151" i="11" s="1"/>
  <c r="M151" i="11" a="1"/>
  <c r="M151" i="11" s="1"/>
  <c r="N151" i="11" a="1"/>
  <c r="N151" i="11" s="1"/>
  <c r="O151" i="11" a="1"/>
  <c r="O151" i="11" s="1"/>
  <c r="P151" i="11" a="1"/>
  <c r="P151" i="11" s="1"/>
  <c r="Q151" i="11" a="1"/>
  <c r="Q151" i="11" s="1"/>
  <c r="B152" i="11" a="1"/>
  <c r="B152" i="11" s="1"/>
  <c r="C152" i="11" a="1"/>
  <c r="C152" i="11" s="1"/>
  <c r="D152" i="11" a="1"/>
  <c r="D152" i="11" s="1"/>
  <c r="E152" i="11" a="1"/>
  <c r="E152" i="11" s="1"/>
  <c r="F152" i="11" a="1"/>
  <c r="F152" i="11" s="1"/>
  <c r="G152" i="11" a="1"/>
  <c r="G152" i="11" s="1"/>
  <c r="H152" i="11" a="1"/>
  <c r="H152" i="11" s="1"/>
  <c r="I152" i="11" a="1"/>
  <c r="I152" i="11" s="1"/>
  <c r="J152" i="11" a="1"/>
  <c r="J152" i="11" s="1"/>
  <c r="K152" i="11" a="1"/>
  <c r="K152" i="11" s="1"/>
  <c r="L152" i="11" a="1"/>
  <c r="L152" i="11" s="1"/>
  <c r="M152" i="11" a="1"/>
  <c r="M152" i="11" s="1"/>
  <c r="N152" i="11" a="1"/>
  <c r="N152" i="11" s="1"/>
  <c r="O152" i="11" a="1"/>
  <c r="O152" i="11" s="1"/>
  <c r="P152" i="11" a="1"/>
  <c r="P152" i="11" s="1"/>
  <c r="Q152" i="11" a="1"/>
  <c r="Q152" i="11" s="1"/>
  <c r="B153" i="11" a="1"/>
  <c r="B153" i="11" s="1"/>
  <c r="C153" i="11" a="1"/>
  <c r="C153" i="11" s="1"/>
  <c r="D153" i="11" a="1"/>
  <c r="D153" i="11" s="1"/>
  <c r="E153" i="11" a="1"/>
  <c r="E153" i="11" s="1"/>
  <c r="F153" i="11" a="1"/>
  <c r="F153" i="11" s="1"/>
  <c r="G153" i="11" a="1"/>
  <c r="G153" i="11" s="1"/>
  <c r="H153" i="11" a="1"/>
  <c r="H153" i="11" s="1"/>
  <c r="I153" i="11" a="1"/>
  <c r="I153" i="11" s="1"/>
  <c r="J153" i="11" a="1"/>
  <c r="J153" i="11" s="1"/>
  <c r="K153" i="11" a="1"/>
  <c r="K153" i="11" s="1"/>
  <c r="L153" i="11" a="1"/>
  <c r="L153" i="11" s="1"/>
  <c r="M153" i="11" a="1"/>
  <c r="M153" i="11" s="1"/>
  <c r="N153" i="11" a="1"/>
  <c r="N153" i="11" s="1"/>
  <c r="O153" i="11" a="1"/>
  <c r="O153" i="11" s="1"/>
  <c r="P153" i="11" a="1"/>
  <c r="P153" i="11" s="1"/>
  <c r="Q153" i="11" a="1"/>
  <c r="Q153" i="11" s="1"/>
  <c r="B154" i="11" a="1"/>
  <c r="B154" i="11" s="1"/>
  <c r="C154" i="11" a="1"/>
  <c r="C154" i="11" s="1"/>
  <c r="D154" i="11" a="1"/>
  <c r="D154" i="11" s="1"/>
  <c r="E154" i="11" a="1"/>
  <c r="E154" i="11" s="1"/>
  <c r="F154" i="11" a="1"/>
  <c r="F154" i="11" s="1"/>
  <c r="G154" i="11" a="1"/>
  <c r="G154" i="11" s="1"/>
  <c r="H154" i="11" a="1"/>
  <c r="H154" i="11" s="1"/>
  <c r="I154" i="11" a="1"/>
  <c r="I154" i="11" s="1"/>
  <c r="J154" i="11" a="1"/>
  <c r="J154" i="11" s="1"/>
  <c r="K154" i="11" a="1"/>
  <c r="K154" i="11" s="1"/>
  <c r="L154" i="11" a="1"/>
  <c r="L154" i="11" s="1"/>
  <c r="M154" i="11" a="1"/>
  <c r="M154" i="11" s="1"/>
  <c r="N154" i="11" a="1"/>
  <c r="N154" i="11" s="1"/>
  <c r="O154" i="11" a="1"/>
  <c r="O154" i="11" s="1"/>
  <c r="P154" i="11" a="1"/>
  <c r="P154" i="11" s="1"/>
  <c r="Q154" i="11" a="1"/>
  <c r="Q154" i="11" s="1"/>
  <c r="B155" i="11" a="1"/>
  <c r="B155" i="11" s="1"/>
  <c r="C155" i="11" a="1"/>
  <c r="C155" i="11" s="1"/>
  <c r="D155" i="11" a="1"/>
  <c r="D155" i="11" s="1"/>
  <c r="E155" i="11" a="1"/>
  <c r="E155" i="11" s="1"/>
  <c r="F155" i="11" a="1"/>
  <c r="F155" i="11" s="1"/>
  <c r="G155" i="11" a="1"/>
  <c r="G155" i="11"/>
  <c r="H155" i="11" a="1"/>
  <c r="H155" i="11" s="1"/>
  <c r="I155" i="11" a="1"/>
  <c r="I155" i="11"/>
  <c r="J155" i="11" a="1"/>
  <c r="J155" i="11" s="1"/>
  <c r="K155" i="11" a="1"/>
  <c r="K155" i="11"/>
  <c r="L155" i="11" a="1"/>
  <c r="L155" i="11"/>
  <c r="M155" i="11" a="1"/>
  <c r="M155" i="11" s="1"/>
  <c r="N155" i="11" a="1"/>
  <c r="N155" i="11" s="1"/>
  <c r="O155" i="11" a="1"/>
  <c r="O155" i="11" s="1"/>
  <c r="P155" i="11" a="1"/>
  <c r="P155" i="11" s="1"/>
  <c r="Q155" i="11" a="1"/>
  <c r="Q155" i="11" s="1"/>
  <c r="B156" i="11" a="1"/>
  <c r="B156" i="11"/>
  <c r="C156" i="11" a="1"/>
  <c r="C156" i="11" s="1"/>
  <c r="D156" i="11" a="1"/>
  <c r="D156" i="11" s="1"/>
  <c r="E156" i="11" a="1"/>
  <c r="E156" i="11" s="1"/>
  <c r="F156" i="11" a="1"/>
  <c r="F156" i="11" s="1"/>
  <c r="G156" i="11" a="1"/>
  <c r="G156" i="11" s="1"/>
  <c r="H156" i="11" a="1"/>
  <c r="H156" i="11"/>
  <c r="I156" i="11" a="1"/>
  <c r="I156" i="11"/>
  <c r="J156" i="11" a="1"/>
  <c r="J156" i="11" s="1"/>
  <c r="K156" i="11" a="1"/>
  <c r="K156" i="11" s="1"/>
  <c r="L156" i="11" a="1"/>
  <c r="L156" i="11" s="1"/>
  <c r="M156" i="11" a="1"/>
  <c r="M156" i="11"/>
  <c r="N156" i="11" a="1"/>
  <c r="N156" i="11" s="1"/>
  <c r="O156" i="11" a="1"/>
  <c r="O156" i="11"/>
  <c r="P156" i="11" a="1"/>
  <c r="P156" i="11" s="1"/>
  <c r="Q156" i="11" a="1"/>
  <c r="Q156" i="11"/>
  <c r="B157" i="11" a="1"/>
  <c r="B157" i="11" s="1"/>
  <c r="C157" i="11" a="1"/>
  <c r="C157" i="11" s="1"/>
  <c r="D157" i="11" a="1"/>
  <c r="D157" i="11"/>
  <c r="E157" i="11" a="1"/>
  <c r="E157" i="11" s="1"/>
  <c r="F157" i="11" a="1"/>
  <c r="F157" i="11" s="1"/>
  <c r="G157" i="11" a="1"/>
  <c r="G157" i="11" s="1"/>
  <c r="H157" i="11" a="1"/>
  <c r="H157" i="11" s="1"/>
  <c r="I157" i="11" a="1"/>
  <c r="I157" i="11" s="1"/>
  <c r="J157" i="11" a="1"/>
  <c r="J157" i="11" s="1"/>
  <c r="K157" i="11" a="1"/>
  <c r="K157" i="11"/>
  <c r="L157" i="11" a="1"/>
  <c r="L157" i="11" s="1"/>
  <c r="M157" i="11" a="1"/>
  <c r="M157" i="11"/>
  <c r="N157" i="11" a="1"/>
  <c r="N157" i="11" s="1"/>
  <c r="O157" i="11" a="1"/>
  <c r="O157" i="11"/>
  <c r="P157" i="11" a="1"/>
  <c r="P157" i="11"/>
  <c r="Q157" i="11" a="1"/>
  <c r="Q157" i="11" s="1"/>
  <c r="B158" i="11" a="1"/>
  <c r="B158" i="11" s="1"/>
  <c r="C158" i="11" a="1"/>
  <c r="C158" i="11" s="1"/>
  <c r="D158" i="11" a="1"/>
  <c r="D158" i="11" s="1"/>
  <c r="E158" i="11" a="1"/>
  <c r="E158" i="11" s="1"/>
  <c r="F158" i="11" a="1"/>
  <c r="F158" i="11"/>
  <c r="G158" i="11" a="1"/>
  <c r="G158" i="11"/>
  <c r="H158" i="11" a="1"/>
  <c r="H158" i="11" s="1"/>
  <c r="I158" i="11" a="1"/>
  <c r="I158" i="11" s="1"/>
  <c r="J158" i="11" a="1"/>
  <c r="J158" i="11" s="1"/>
  <c r="K158" i="11" a="1"/>
  <c r="K158" i="11" s="1"/>
  <c r="L158" i="11" a="1"/>
  <c r="L158" i="11"/>
  <c r="M158" i="11" a="1"/>
  <c r="M158" i="11"/>
  <c r="N158" i="11" a="1"/>
  <c r="N158" i="11" s="1"/>
  <c r="O158" i="11" a="1"/>
  <c r="O158" i="11" s="1"/>
  <c r="P158" i="11" a="1"/>
  <c r="P158" i="11" s="1"/>
  <c r="Q158" i="11" a="1"/>
  <c r="Q158" i="11"/>
  <c r="B159" i="11" a="1"/>
  <c r="B159" i="11" s="1"/>
  <c r="C159" i="11" a="1"/>
  <c r="C159" i="11" s="1"/>
  <c r="D159" i="11" a="1"/>
  <c r="D159" i="11" s="1"/>
  <c r="E159" i="11" a="1"/>
  <c r="E159" i="11" s="1"/>
  <c r="F159" i="11" a="1"/>
  <c r="F159" i="11" s="1"/>
  <c r="G159" i="11" a="1"/>
  <c r="G159" i="11" s="1"/>
  <c r="H159" i="11" a="1"/>
  <c r="H159" i="11"/>
  <c r="I159" i="11" a="1"/>
  <c r="I159" i="11" s="1"/>
  <c r="J159" i="11" a="1"/>
  <c r="J159" i="11" s="1"/>
  <c r="K159" i="11" a="1"/>
  <c r="K159" i="11" s="1"/>
  <c r="L159" i="11" a="1"/>
  <c r="L159" i="11" s="1"/>
  <c r="M159" i="11" a="1"/>
  <c r="M159" i="11"/>
  <c r="N159" i="11" a="1"/>
  <c r="N159" i="11" s="1"/>
  <c r="O159" i="11" a="1"/>
  <c r="O159" i="11"/>
  <c r="P159" i="11" a="1"/>
  <c r="P159" i="11" s="1"/>
  <c r="Q159" i="11" a="1"/>
  <c r="Q159" i="11"/>
  <c r="B160" i="11" a="1"/>
  <c r="B160" i="11" s="1"/>
  <c r="C160" i="11" a="1"/>
  <c r="C160" i="11"/>
  <c r="D160" i="11" a="1"/>
  <c r="D160" i="11"/>
  <c r="E160" i="11" a="1"/>
  <c r="E160" i="11" s="1"/>
  <c r="F160" i="11" a="1"/>
  <c r="F160" i="11" s="1"/>
  <c r="G160" i="11" a="1"/>
  <c r="G160" i="11"/>
  <c r="H160" i="11" a="1"/>
  <c r="H160" i="11" s="1"/>
  <c r="I160" i="11" a="1"/>
  <c r="I160" i="11"/>
  <c r="J160" i="11" a="1"/>
  <c r="J160" i="11"/>
  <c r="K160" i="11" a="1"/>
  <c r="K160" i="11"/>
  <c r="L160" i="11" a="1"/>
  <c r="L160" i="11" s="1"/>
  <c r="M160" i="11" a="1"/>
  <c r="M160" i="11" s="1"/>
  <c r="N160" i="11" a="1"/>
  <c r="N160" i="11" s="1"/>
  <c r="O160" i="11" a="1"/>
  <c r="O160" i="11" s="1"/>
  <c r="P160" i="11" a="1"/>
  <c r="P160" i="11" s="1"/>
  <c r="Q160" i="11" a="1"/>
  <c r="Q160" i="11"/>
  <c r="B161" i="11" a="1"/>
  <c r="B161" i="11" s="1"/>
  <c r="C161" i="11" a="1"/>
  <c r="C161" i="11"/>
  <c r="D161" i="11" a="1"/>
  <c r="D161" i="11" s="1"/>
  <c r="E161" i="11" a="1"/>
  <c r="E161" i="11"/>
  <c r="F161" i="11" a="1"/>
  <c r="F161" i="11" s="1"/>
  <c r="G161" i="11" a="1"/>
  <c r="G161" i="11"/>
  <c r="H161" i="11" a="1"/>
  <c r="H161" i="11" s="1"/>
  <c r="I161" i="11" a="1"/>
  <c r="I161" i="11"/>
  <c r="J161" i="11" a="1"/>
  <c r="J161" i="11" s="1"/>
  <c r="K161" i="11" a="1"/>
  <c r="K161" i="11"/>
  <c r="L161" i="11" a="1"/>
  <c r="L161" i="11"/>
  <c r="M161" i="11" a="1"/>
  <c r="M161" i="11" s="1"/>
  <c r="N161" i="11" a="1"/>
  <c r="N161" i="11" s="1"/>
  <c r="O161" i="11" a="1"/>
  <c r="O161" i="11" s="1"/>
  <c r="P161" i="11" a="1"/>
  <c r="P161" i="11" s="1"/>
  <c r="Q161" i="11" a="1"/>
  <c r="Q161" i="11"/>
  <c r="B162" i="11" a="1"/>
  <c r="B162" i="11" s="1"/>
  <c r="C162" i="11" a="1"/>
  <c r="C162" i="11"/>
  <c r="D162" i="11" a="1"/>
  <c r="D162" i="11"/>
  <c r="E162" i="11" a="1"/>
  <c r="E162" i="11" s="1"/>
  <c r="F162" i="11" a="1"/>
  <c r="F162" i="11" s="1"/>
  <c r="G162" i="11" a="1"/>
  <c r="G162" i="11" s="1"/>
  <c r="H162" i="11" a="1"/>
  <c r="H162" i="11" s="1"/>
  <c r="I162" i="11" a="1"/>
  <c r="I162" i="11"/>
  <c r="J162" i="11" a="1"/>
  <c r="J162" i="11"/>
  <c r="K162" i="11" a="1"/>
  <c r="K162" i="11" s="1"/>
  <c r="L162" i="11" a="1"/>
  <c r="L162" i="11" s="1"/>
  <c r="M162" i="11" a="1"/>
  <c r="M162" i="11" s="1"/>
  <c r="N162" i="11" a="1"/>
  <c r="N162" i="11" s="1"/>
  <c r="O162" i="11" a="1"/>
  <c r="O162" i="11" s="1"/>
  <c r="P162" i="11" a="1"/>
  <c r="P162" i="11"/>
  <c r="Q162" i="11" a="1"/>
  <c r="Q162" i="11" s="1"/>
  <c r="B163" i="11" a="1"/>
  <c r="B163" i="11" s="1"/>
  <c r="C163" i="11" a="1"/>
  <c r="C163" i="11" s="1"/>
  <c r="D163" i="11" a="1"/>
  <c r="D163" i="11" s="1"/>
  <c r="E163" i="11" a="1"/>
  <c r="E163" i="11"/>
  <c r="F163" i="11" a="1"/>
  <c r="F163" i="11"/>
  <c r="G163" i="11" a="1"/>
  <c r="G163" i="11" s="1"/>
  <c r="H163" i="11" a="1"/>
  <c r="H163" i="11" s="1"/>
  <c r="I163" i="11" a="1"/>
  <c r="I163" i="11" s="1"/>
  <c r="J163" i="11" a="1"/>
  <c r="J163" i="11" s="1"/>
  <c r="K163" i="11" a="1"/>
  <c r="K163" i="11"/>
  <c r="L163" i="11" a="1"/>
  <c r="L163" i="11"/>
  <c r="M163" i="11" a="1"/>
  <c r="M163" i="11" s="1"/>
  <c r="N163" i="11" a="1"/>
  <c r="N163" i="11"/>
  <c r="O163" i="11" a="1"/>
  <c r="O163" i="11" s="1"/>
  <c r="P163" i="11" a="1"/>
  <c r="P163" i="11" s="1"/>
  <c r="Q163" i="11" a="1"/>
  <c r="Q163" i="11" s="1"/>
  <c r="B164" i="11" a="1"/>
  <c r="B164" i="11"/>
  <c r="C164" i="11" a="1"/>
  <c r="C164" i="11" s="1"/>
  <c r="D164" i="11" a="1"/>
  <c r="D164" i="11" s="1"/>
  <c r="E164" i="11" a="1"/>
  <c r="E164" i="11"/>
  <c r="F164" i="11" a="1"/>
  <c r="F164" i="11" s="1"/>
  <c r="G164" i="11" a="1"/>
  <c r="G164" i="11"/>
  <c r="H164" i="11" a="1"/>
  <c r="H164" i="11"/>
  <c r="I164" i="11" a="1"/>
  <c r="I164" i="11" s="1"/>
  <c r="J164" i="11" a="1"/>
  <c r="J164" i="11" s="1"/>
  <c r="K164" i="11" a="1"/>
  <c r="K164" i="11" s="1"/>
  <c r="L164" i="11" a="1"/>
  <c r="L164" i="11" s="1"/>
  <c r="M164" i="11" a="1"/>
  <c r="M164" i="11"/>
  <c r="N164" i="11" a="1"/>
  <c r="N164" i="11"/>
  <c r="O164" i="11" a="1"/>
  <c r="O164" i="11" s="1"/>
  <c r="P164" i="11" a="1"/>
  <c r="P164" i="11" s="1"/>
  <c r="Q164" i="11" a="1"/>
  <c r="Q164" i="11" s="1"/>
  <c r="B165" i="11" a="1"/>
  <c r="B165" i="11" s="1"/>
  <c r="C165" i="11" a="1"/>
  <c r="C165" i="11" s="1"/>
  <c r="D165" i="11" a="1"/>
  <c r="D165" i="11"/>
  <c r="E165" i="11" a="1"/>
  <c r="E165" i="11" s="1"/>
  <c r="F165" i="11" a="1"/>
  <c r="F165" i="11"/>
  <c r="G165" i="11" a="1"/>
  <c r="G165" i="11" s="1"/>
  <c r="H165" i="11" a="1"/>
  <c r="H165" i="11" s="1"/>
  <c r="I165" i="11" a="1"/>
  <c r="I165" i="11"/>
  <c r="J165" i="11" a="1"/>
  <c r="J165" i="11"/>
  <c r="K165" i="11" a="1"/>
  <c r="K165" i="11" s="1"/>
  <c r="L165" i="11" a="1"/>
  <c r="L165" i="11" s="1"/>
  <c r="M165" i="11" a="1"/>
  <c r="M165" i="11" s="1"/>
  <c r="N165" i="11" a="1"/>
  <c r="N165" i="11" s="1"/>
  <c r="O165" i="11" a="1"/>
  <c r="O165" i="11"/>
  <c r="P165" i="11" a="1"/>
  <c r="P165" i="11"/>
  <c r="Q165" i="11" a="1"/>
  <c r="Q165" i="11" s="1"/>
  <c r="B166" i="11" a="1"/>
  <c r="B166" i="11"/>
  <c r="C166" i="11" a="1"/>
  <c r="C166" i="11" s="1"/>
  <c r="D166" i="11" a="1"/>
  <c r="D166" i="11" s="1"/>
  <c r="E166" i="11" a="1"/>
  <c r="E166" i="11" s="1"/>
  <c r="F166" i="11" a="1"/>
  <c r="F166" i="11"/>
  <c r="G166" i="11" a="1"/>
  <c r="G166" i="11" s="1"/>
  <c r="H166" i="11" a="1"/>
  <c r="H166" i="11" s="1"/>
  <c r="I166" i="11" a="1"/>
  <c r="I166" i="11" s="1"/>
  <c r="J166" i="11" a="1"/>
  <c r="J166" i="11" s="1"/>
  <c r="K166" i="11" a="1"/>
  <c r="K166" i="11"/>
  <c r="L166" i="11" a="1"/>
  <c r="L166" i="11"/>
  <c r="M166" i="11" a="1"/>
  <c r="M166" i="11" s="1"/>
  <c r="N166" i="11" a="1"/>
  <c r="N166" i="11" s="1"/>
  <c r="O166" i="11" a="1"/>
  <c r="O166" i="11" s="1"/>
  <c r="P166" i="11" a="1"/>
  <c r="P166" i="11" s="1"/>
  <c r="Q166" i="11" a="1"/>
  <c r="Q166" i="11"/>
  <c r="B167" i="11" a="1"/>
  <c r="B167" i="11"/>
  <c r="C167" i="11" a="1"/>
  <c r="C167" i="11" s="1"/>
  <c r="D167" i="11" a="1"/>
  <c r="D167" i="11" s="1"/>
  <c r="E167" i="11" a="1"/>
  <c r="E167" i="11" s="1"/>
  <c r="F167" i="11" a="1"/>
  <c r="F167" i="11" s="1"/>
  <c r="G167" i="11" a="1"/>
  <c r="G167" i="11" s="1"/>
  <c r="H167" i="11" a="1"/>
  <c r="H167" i="11"/>
  <c r="I167" i="11" a="1"/>
  <c r="I167" i="11" s="1"/>
  <c r="J167" i="11" a="1"/>
  <c r="J167" i="11"/>
  <c r="K167" i="11" a="1"/>
  <c r="K167" i="11" s="1"/>
  <c r="L167" i="11" a="1"/>
  <c r="L167" i="11" s="1"/>
  <c r="M167" i="11" a="1"/>
  <c r="M167" i="11"/>
  <c r="N167" i="11" a="1"/>
  <c r="N167" i="11" s="1"/>
  <c r="O167" i="11" a="1"/>
  <c r="O167" i="11" s="1"/>
  <c r="P167" i="11" a="1"/>
  <c r="P167" i="11" s="1"/>
  <c r="Q167" i="11" a="1"/>
  <c r="Q167" i="11" s="1"/>
  <c r="B168" i="11" a="1"/>
  <c r="B168" i="11" s="1"/>
  <c r="C168" i="11" a="1"/>
  <c r="C168" i="11"/>
  <c r="D168" i="11" a="1"/>
  <c r="D168" i="11"/>
  <c r="E168" i="11" a="1"/>
  <c r="E168" i="11" s="1"/>
  <c r="F168" i="11" a="1"/>
  <c r="F168" i="11"/>
  <c r="G168" i="11" a="1"/>
  <c r="G168" i="11" s="1"/>
  <c r="H168" i="11" a="1"/>
  <c r="H168" i="11" s="1"/>
  <c r="I168" i="11" a="1"/>
  <c r="I168" i="11" s="1"/>
  <c r="J168" i="11" a="1"/>
  <c r="J168" i="11"/>
  <c r="K168" i="11" a="1"/>
  <c r="K168" i="11" s="1"/>
  <c r="L168" i="11" a="1"/>
  <c r="L168" i="11" s="1"/>
  <c r="M168" i="11" a="1"/>
  <c r="M168" i="11" s="1"/>
  <c r="N168" i="11" a="1"/>
  <c r="N168" i="11" s="1"/>
  <c r="O168" i="11" a="1"/>
  <c r="O168" i="11"/>
  <c r="P168" i="11" a="1"/>
  <c r="P168" i="11" s="1"/>
  <c r="Q168" i="11" a="1"/>
  <c r="Q168" i="11" s="1"/>
  <c r="B169" i="11" a="1"/>
  <c r="B169" i="11" s="1"/>
  <c r="C169" i="11" a="1"/>
  <c r="C169" i="11" s="1"/>
  <c r="D169" i="11" a="1"/>
  <c r="D169" i="11" s="1"/>
  <c r="E169" i="11" a="1"/>
  <c r="E169" i="11"/>
  <c r="F169" i="11" a="1"/>
  <c r="F169" i="11"/>
  <c r="G169" i="11" a="1"/>
  <c r="G169" i="11" s="1"/>
  <c r="H169" i="11" a="1"/>
  <c r="H169" i="11" s="1"/>
  <c r="I169" i="11" a="1"/>
  <c r="I169" i="11" s="1"/>
  <c r="J169" i="11" a="1"/>
  <c r="J169" i="11" s="1"/>
  <c r="K169" i="11" a="1"/>
  <c r="K169" i="11" s="1"/>
  <c r="L169" i="11" a="1"/>
  <c r="L169" i="11"/>
  <c r="M169" i="11" a="1"/>
  <c r="M169" i="11" s="1"/>
  <c r="N169" i="11" a="1"/>
  <c r="N169" i="11"/>
  <c r="O169" i="11" a="1"/>
  <c r="O169" i="11" s="1"/>
  <c r="P169" i="11" a="1"/>
  <c r="P169" i="11" s="1"/>
  <c r="Q169" i="11" a="1"/>
  <c r="Q169" i="11"/>
  <c r="B170" i="11" a="1"/>
  <c r="B170" i="11" s="1"/>
  <c r="C170" i="11" a="1"/>
  <c r="C170" i="11" s="1"/>
  <c r="D170" i="11" a="1"/>
  <c r="D170" i="11" s="1"/>
  <c r="E170" i="11" a="1"/>
  <c r="E170" i="11"/>
  <c r="F170" i="11" a="1"/>
  <c r="F170" i="11" s="1"/>
  <c r="G170" i="11" a="1"/>
  <c r="G170" i="11"/>
  <c r="H170" i="11" a="1"/>
  <c r="H170" i="11"/>
  <c r="I170" i="11" a="1"/>
  <c r="I170" i="11" s="1"/>
  <c r="J170" i="11" a="1"/>
  <c r="J170" i="11" s="1"/>
  <c r="K170" i="11" a="1"/>
  <c r="K170" i="11" s="1"/>
  <c r="L170" i="11" a="1"/>
  <c r="L170" i="11" s="1"/>
  <c r="M170" i="11" a="1"/>
  <c r="M170" i="11" s="1"/>
  <c r="N170" i="11" a="1"/>
  <c r="N170" i="11"/>
  <c r="O170" i="11" a="1"/>
  <c r="O170" i="11" s="1"/>
  <c r="P170" i="11" a="1"/>
  <c r="P170" i="11" s="1"/>
  <c r="Q170" i="11" a="1"/>
  <c r="Q170" i="11" s="1"/>
  <c r="B171" i="11" a="1"/>
  <c r="B171" i="11" s="1"/>
  <c r="C171" i="11" a="1"/>
  <c r="C171" i="11"/>
  <c r="D171" i="11" a="1"/>
  <c r="D171" i="11" s="1"/>
  <c r="E171" i="11" a="1"/>
  <c r="E171" i="11" s="1"/>
  <c r="F171" i="11" a="1"/>
  <c r="F171" i="11" s="1"/>
  <c r="G171" i="11" a="1"/>
  <c r="G171" i="11" s="1"/>
  <c r="H171" i="11" a="1"/>
  <c r="H171" i="11" s="1"/>
  <c r="I171" i="11" a="1"/>
  <c r="I171" i="11"/>
  <c r="J171" i="11" a="1"/>
  <c r="J171" i="11"/>
  <c r="K171" i="11" a="1"/>
  <c r="K171" i="11" s="1"/>
  <c r="L171" i="11" a="1"/>
  <c r="L171" i="11" s="1"/>
  <c r="M171" i="11" a="1"/>
  <c r="M171" i="11" s="1"/>
  <c r="N171" i="11" a="1"/>
  <c r="N171" i="11" s="1"/>
  <c r="O171" i="11" a="1"/>
  <c r="O171" i="11" s="1"/>
  <c r="P171" i="11" a="1"/>
  <c r="P171" i="11"/>
  <c r="Q171" i="11" a="1"/>
  <c r="Q171" i="11" s="1"/>
  <c r="B172" i="11" a="1"/>
  <c r="B172" i="11" s="1"/>
  <c r="C172" i="11" a="1"/>
  <c r="C172" i="11" s="1"/>
  <c r="D172" i="11" a="1"/>
  <c r="D172" i="11" s="1"/>
  <c r="E172" i="11" a="1"/>
  <c r="E172" i="11"/>
  <c r="F172" i="11" a="1"/>
  <c r="F172" i="11" s="1"/>
  <c r="G172" i="11" a="1"/>
  <c r="G172" i="11" s="1"/>
  <c r="H172" i="11" a="1"/>
  <c r="H172" i="11" s="1"/>
  <c r="I172" i="11" a="1"/>
  <c r="I172" i="11"/>
  <c r="J172" i="11" a="1"/>
  <c r="J172" i="11" s="1"/>
  <c r="K172" i="11" a="1"/>
  <c r="K172" i="11"/>
  <c r="L172" i="11" a="1"/>
  <c r="L172" i="11"/>
  <c r="M172" i="11" a="1"/>
  <c r="M172" i="11" s="1"/>
  <c r="N172" i="11" a="1"/>
  <c r="N172" i="11" s="1"/>
  <c r="O172" i="11" a="1"/>
  <c r="O172" i="11" s="1"/>
  <c r="P172" i="11" a="1"/>
  <c r="P172" i="11" s="1"/>
  <c r="Q172" i="11" a="1"/>
  <c r="Q172" i="11" s="1"/>
  <c r="B173" i="11" a="1"/>
  <c r="B173" i="11"/>
  <c r="C173" i="11" a="1"/>
  <c r="C173" i="11" s="1"/>
  <c r="D173" i="11" a="1"/>
  <c r="D173" i="11" s="1"/>
  <c r="E173" i="11" a="1"/>
  <c r="E173" i="11" s="1"/>
  <c r="F173" i="11" a="1"/>
  <c r="F173" i="11" s="1"/>
  <c r="G173" i="11" a="1"/>
  <c r="G173" i="11"/>
  <c r="H173" i="11" a="1"/>
  <c r="H173" i="11" s="1"/>
  <c r="I173" i="11" a="1"/>
  <c r="I173" i="11" s="1"/>
  <c r="J173" i="11" a="1"/>
  <c r="J173" i="11" s="1"/>
  <c r="K173" i="11" a="1"/>
  <c r="K173" i="11" s="1"/>
  <c r="L173" i="11" a="1"/>
  <c r="L173" i="11" s="1"/>
  <c r="M173" i="11" a="1"/>
  <c r="M173" i="11"/>
  <c r="N173" i="11" a="1"/>
  <c r="N173" i="11"/>
  <c r="O173" i="11" a="1"/>
  <c r="O173" i="11" s="1"/>
  <c r="P173" i="11" a="1"/>
  <c r="P173" i="11" s="1"/>
  <c r="Q173" i="11" a="1"/>
  <c r="Q173" i="11" s="1"/>
  <c r="B174" i="11" a="1"/>
  <c r="B174" i="11" s="1"/>
  <c r="C174" i="11" a="1"/>
  <c r="C174" i="11" s="1"/>
  <c r="D174" i="11" a="1"/>
  <c r="D174" i="11"/>
  <c r="E174" i="11" a="1"/>
  <c r="E174" i="11" s="1"/>
  <c r="F174" i="11" a="1"/>
  <c r="F174" i="11" s="1"/>
  <c r="G174" i="11" a="1"/>
  <c r="G174" i="11" s="1"/>
  <c r="H174" i="11" a="1"/>
  <c r="H174" i="11" s="1"/>
  <c r="I174" i="11" a="1"/>
  <c r="I174" i="11"/>
  <c r="J174" i="11" a="1"/>
  <c r="J174" i="11" s="1"/>
  <c r="K174" i="11" a="1"/>
  <c r="K174" i="11" s="1"/>
  <c r="L174" i="11" a="1"/>
  <c r="L174" i="11" s="1"/>
  <c r="M174" i="11" a="1"/>
  <c r="M174" i="11" s="1"/>
  <c r="N174" i="11" a="1"/>
  <c r="N174" i="11" s="1"/>
  <c r="O174" i="11" a="1"/>
  <c r="O174" i="11"/>
  <c r="P174" i="11" a="1"/>
  <c r="P174" i="11"/>
  <c r="Q174" i="11" a="1"/>
  <c r="Q174" i="11" s="1"/>
  <c r="B175" i="11" a="1"/>
  <c r="B175" i="11" s="1"/>
  <c r="C175" i="11" a="1"/>
  <c r="C175" i="11" s="1"/>
  <c r="D175" i="11" a="1"/>
  <c r="D175" i="11" s="1"/>
  <c r="E175" i="11" a="1"/>
  <c r="E175" i="11" s="1"/>
  <c r="F175" i="11" a="1"/>
  <c r="F175" i="11"/>
  <c r="G175" i="11" a="1"/>
  <c r="G175" i="11" s="1"/>
  <c r="H175" i="11" a="1"/>
  <c r="H175" i="11" s="1"/>
  <c r="I175" i="11" a="1"/>
  <c r="I175" i="11" s="1"/>
  <c r="J175" i="11" a="1"/>
  <c r="J175" i="11" s="1"/>
  <c r="K175" i="11" a="1"/>
  <c r="K175" i="11"/>
  <c r="L175" i="11" a="1"/>
  <c r="L175" i="11" s="1"/>
  <c r="M175" i="11" a="1"/>
  <c r="M175" i="11" s="1"/>
  <c r="N175" i="11" a="1"/>
  <c r="N175" i="11" s="1"/>
  <c r="O175" i="11" a="1"/>
  <c r="O175" i="11" s="1"/>
  <c r="P175" i="11" a="1"/>
  <c r="P175" i="11" s="1"/>
  <c r="Q175" i="11" a="1"/>
  <c r="Q175" i="11"/>
  <c r="B176" i="11" a="1"/>
  <c r="B176" i="11"/>
  <c r="C176" i="11" a="1"/>
  <c r="C176" i="11" s="1"/>
  <c r="D176" i="11" a="1"/>
  <c r="D176" i="11" s="1"/>
  <c r="E176" i="11" a="1"/>
  <c r="E176" i="11" s="1"/>
  <c r="F176" i="11" a="1"/>
  <c r="F176" i="11" s="1"/>
  <c r="G176" i="11" a="1"/>
  <c r="G176" i="11" s="1"/>
  <c r="H176" i="11" a="1"/>
  <c r="H176" i="11"/>
  <c r="I176" i="11" a="1"/>
  <c r="I176" i="11" s="1"/>
  <c r="J176" i="11" a="1"/>
  <c r="J176" i="11"/>
  <c r="K176" i="11" a="1"/>
  <c r="K176" i="11" s="1"/>
  <c r="L176" i="11" a="1"/>
  <c r="L176" i="11" s="1"/>
  <c r="M176" i="11" a="1"/>
  <c r="M176" i="11"/>
  <c r="N176" i="11" a="1"/>
  <c r="N176" i="11" s="1"/>
  <c r="O176" i="11" a="1"/>
  <c r="O176" i="11" s="1"/>
  <c r="P176" i="11" a="1"/>
  <c r="P176" i="11" s="1"/>
  <c r="Q176" i="11" a="1"/>
  <c r="Q176" i="11" s="1"/>
  <c r="B177" i="11" a="1"/>
  <c r="B177" i="11" s="1"/>
  <c r="C177" i="11" a="1"/>
  <c r="C177" i="11"/>
  <c r="D177" i="11" a="1"/>
  <c r="D177" i="11"/>
  <c r="E177" i="11" a="1"/>
  <c r="E177" i="11" s="1"/>
  <c r="F177" i="11" a="1"/>
  <c r="F177" i="11" s="1"/>
  <c r="G177" i="11" a="1"/>
  <c r="G177" i="11" s="1"/>
  <c r="H177" i="11" a="1"/>
  <c r="H177" i="11" s="1"/>
  <c r="I177" i="11" a="1"/>
  <c r="I177" i="11" s="1"/>
  <c r="J177" i="11" a="1"/>
  <c r="J177" i="11"/>
  <c r="K177" i="11" a="1"/>
  <c r="K177" i="11" s="1"/>
  <c r="L177" i="11" a="1"/>
  <c r="L177" i="11" s="1"/>
  <c r="M177" i="11" a="1"/>
  <c r="M177" i="11" s="1"/>
  <c r="N177" i="11" a="1"/>
  <c r="N177" i="11" s="1"/>
  <c r="O177" i="11" a="1"/>
  <c r="O177" i="11"/>
  <c r="P177" i="11" a="1"/>
  <c r="P177" i="11" s="1"/>
  <c r="Q177" i="11" a="1"/>
  <c r="Q177" i="11" s="1"/>
  <c r="B178" i="11" a="1"/>
  <c r="B178" i="11" s="1"/>
  <c r="C178" i="11" a="1"/>
  <c r="C178" i="11" s="1"/>
  <c r="D178" i="11" a="1"/>
  <c r="D178" i="11" s="1"/>
  <c r="E178" i="11" a="1"/>
  <c r="E178" i="11"/>
  <c r="F178" i="11" a="1"/>
  <c r="F178" i="11"/>
  <c r="G178" i="11" a="1"/>
  <c r="G178" i="11" s="1"/>
  <c r="H178" i="11" a="1"/>
  <c r="H178" i="11" s="1"/>
  <c r="I178" i="11" a="1"/>
  <c r="I178" i="11" s="1"/>
  <c r="J178" i="11" a="1"/>
  <c r="J178" i="11" s="1"/>
  <c r="K178" i="11" a="1"/>
  <c r="K178" i="11" s="1"/>
  <c r="L178" i="11" a="1"/>
  <c r="L178" i="11"/>
  <c r="M178" i="11" a="1"/>
  <c r="M178" i="11" s="1"/>
  <c r="N178" i="11" a="1"/>
  <c r="N178" i="11" s="1"/>
  <c r="O178" i="11" a="1"/>
  <c r="O178" i="11" s="1"/>
  <c r="P178" i="11" a="1"/>
  <c r="P178" i="11" s="1"/>
  <c r="Q178" i="11" a="1"/>
  <c r="Q178" i="11"/>
  <c r="B179" i="11" a="1"/>
  <c r="B179" i="11" s="1"/>
  <c r="C179" i="11" a="1"/>
  <c r="C179" i="11" s="1"/>
  <c r="D179" i="11" a="1"/>
  <c r="D179" i="11" s="1"/>
  <c r="E179" i="11" a="1"/>
  <c r="E179" i="11"/>
  <c r="F179" i="11" a="1"/>
  <c r="F179" i="11" s="1"/>
  <c r="G179" i="11" a="1"/>
  <c r="G179" i="11"/>
  <c r="H179" i="11" a="1"/>
  <c r="H179" i="11"/>
  <c r="I179" i="11" a="1"/>
  <c r="I179" i="11" s="1"/>
  <c r="J179" i="11" a="1"/>
  <c r="J179" i="11" s="1"/>
  <c r="K179" i="11" a="1"/>
  <c r="K179" i="11" s="1"/>
  <c r="L179" i="11" a="1"/>
  <c r="L179" i="11" s="1"/>
  <c r="M179" i="11" a="1"/>
  <c r="M179" i="11" s="1"/>
  <c r="N179" i="11" a="1"/>
  <c r="N179" i="11"/>
  <c r="O179" i="11" a="1"/>
  <c r="O179" i="11" s="1"/>
  <c r="P179" i="11" a="1"/>
  <c r="P179" i="11" s="1"/>
  <c r="Q179" i="11" a="1"/>
  <c r="Q179" i="11" s="1"/>
  <c r="B180" i="11" a="1"/>
  <c r="B180" i="11" s="1"/>
  <c r="C180" i="11" a="1"/>
  <c r="C180" i="11"/>
  <c r="D180" i="11" a="1"/>
  <c r="D180" i="11" s="1"/>
  <c r="E180" i="11" a="1"/>
  <c r="E180" i="11" s="1"/>
  <c r="F180" i="11" a="1"/>
  <c r="F180" i="11" s="1"/>
  <c r="G180" i="11" a="1"/>
  <c r="G180" i="11" s="1"/>
  <c r="H180" i="11" a="1"/>
  <c r="H180" i="11" s="1"/>
  <c r="I180" i="11" a="1"/>
  <c r="I180" i="11"/>
  <c r="J180" i="11" a="1"/>
  <c r="J180" i="11"/>
  <c r="K180" i="11" a="1"/>
  <c r="K180" i="11" s="1"/>
  <c r="L180" i="11" a="1"/>
  <c r="L180" i="11" s="1"/>
  <c r="M180" i="11" a="1"/>
  <c r="M180" i="11" s="1"/>
  <c r="N180" i="11" a="1"/>
  <c r="N180" i="11" s="1"/>
  <c r="O180" i="11" a="1"/>
  <c r="O180" i="11" s="1"/>
  <c r="P180" i="11" a="1"/>
  <c r="P180" i="11"/>
  <c r="Q180" i="11" a="1"/>
  <c r="Q180" i="11" s="1"/>
  <c r="B181" i="11" a="1"/>
  <c r="B181" i="11"/>
  <c r="C181" i="11" a="1"/>
  <c r="C181" i="11" s="1"/>
  <c r="D181" i="11" a="1"/>
  <c r="D181" i="11" s="1"/>
  <c r="E181" i="11" a="1"/>
  <c r="E181" i="11"/>
  <c r="F181" i="11" a="1"/>
  <c r="F181" i="11" s="1"/>
  <c r="G181" i="11" a="1"/>
  <c r="G181" i="11" s="1"/>
  <c r="H181" i="11" a="1"/>
  <c r="H181" i="11" s="1"/>
  <c r="I181" i="11" a="1"/>
  <c r="I181" i="11"/>
  <c r="J181" i="11" a="1"/>
  <c r="J181" i="11" s="1"/>
  <c r="K181" i="11" a="1"/>
  <c r="K181" i="11"/>
  <c r="L181" i="11" a="1"/>
  <c r="L181" i="11"/>
  <c r="M181" i="11" a="1"/>
  <c r="M181" i="11" s="1"/>
  <c r="N181" i="11" a="1"/>
  <c r="N181" i="11" s="1"/>
  <c r="O181" i="11" a="1"/>
  <c r="O181" i="11" s="1"/>
  <c r="P181" i="11" a="1"/>
  <c r="P181" i="11" s="1"/>
  <c r="Q181" i="11" a="1"/>
  <c r="Q181" i="11" s="1"/>
  <c r="B182" i="11" a="1"/>
  <c r="B182" i="11"/>
  <c r="C182" i="11" a="1"/>
  <c r="C182" i="11" s="1"/>
  <c r="D182" i="11" a="1"/>
  <c r="D182" i="11" s="1"/>
  <c r="E182" i="11" a="1"/>
  <c r="E182" i="11" s="1"/>
  <c r="F182" i="11" a="1"/>
  <c r="F182" i="11" s="1"/>
  <c r="G182" i="11" a="1"/>
  <c r="G182" i="11"/>
  <c r="H182" i="11" a="1"/>
  <c r="H182" i="11" s="1"/>
  <c r="I182" i="11" a="1"/>
  <c r="I182" i="11" s="1"/>
  <c r="J182" i="11" a="1"/>
  <c r="J182" i="11" s="1"/>
  <c r="K182" i="11" a="1"/>
  <c r="K182" i="11" s="1"/>
  <c r="L182" i="11" a="1"/>
  <c r="L182" i="11" s="1"/>
  <c r="M182" i="11" a="1"/>
  <c r="M182" i="11"/>
  <c r="N182" i="11" a="1"/>
  <c r="N182" i="11"/>
  <c r="O182" i="11" a="1"/>
  <c r="O182" i="11" s="1"/>
  <c r="P182" i="11" a="1"/>
  <c r="P182" i="11" s="1"/>
  <c r="Q182" i="11" a="1"/>
  <c r="Q182" i="11" s="1"/>
  <c r="B183" i="11" a="1"/>
  <c r="B183" i="11" s="1"/>
  <c r="C183" i="11" a="1"/>
  <c r="C183" i="11" s="1"/>
  <c r="D183" i="11" a="1"/>
  <c r="D183" i="11"/>
  <c r="E183" i="11" a="1"/>
  <c r="E183" i="11" s="1"/>
  <c r="F183" i="11" a="1"/>
  <c r="F183" i="11"/>
  <c r="G183" i="11" a="1"/>
  <c r="G183" i="11" s="1"/>
  <c r="H183" i="11" a="1"/>
  <c r="H183" i="11" s="1"/>
  <c r="I183" i="11" a="1"/>
  <c r="I183" i="11"/>
  <c r="J183" i="11" a="1"/>
  <c r="J183" i="11" s="1"/>
  <c r="K183" i="11" a="1"/>
  <c r="K183" i="11" s="1"/>
  <c r="L183" i="11" a="1"/>
  <c r="L183" i="11" s="1"/>
  <c r="M183" i="11" a="1"/>
  <c r="M183" i="11"/>
  <c r="N183" i="11" a="1"/>
  <c r="N183" i="11" s="1"/>
  <c r="O183" i="11" a="1"/>
  <c r="O183" i="11"/>
  <c r="P183" i="11" a="1"/>
  <c r="P183" i="11"/>
  <c r="Q183" i="11" a="1"/>
  <c r="Q183" i="11" s="1"/>
  <c r="B184" i="11" a="1"/>
  <c r="B184" i="11" s="1"/>
  <c r="C184" i="11" a="1"/>
  <c r="C184" i="11" s="1"/>
  <c r="D184" i="11" a="1"/>
  <c r="D184" i="11"/>
  <c r="E184" i="11" a="1"/>
  <c r="E184" i="11" s="1"/>
  <c r="F184" i="11" a="1"/>
  <c r="F184" i="11" s="1"/>
  <c r="G184" i="11" a="1"/>
  <c r="G184" i="11"/>
  <c r="H184" i="11" a="1"/>
  <c r="H184" i="11" s="1"/>
  <c r="I184" i="11" a="1"/>
  <c r="I184" i="11" s="1"/>
  <c r="J184" i="11" a="1"/>
  <c r="J184" i="11" s="1"/>
  <c r="K184" i="11" a="1"/>
  <c r="K184" i="11" s="1"/>
  <c r="L184" i="11" a="1"/>
  <c r="L184" i="11" s="1"/>
  <c r="M184" i="11" a="1"/>
  <c r="M184" i="11"/>
  <c r="N184" i="11" a="1"/>
  <c r="N184" i="11" s="1"/>
  <c r="O184" i="11" a="1"/>
  <c r="O184" i="11" s="1"/>
  <c r="P184" i="11" a="1"/>
  <c r="P184" i="11"/>
  <c r="Q184" i="11" a="1"/>
  <c r="Q184" i="11" s="1"/>
  <c r="B185" i="11" a="1"/>
  <c r="B185" i="11" s="1"/>
  <c r="C185" i="11" a="1"/>
  <c r="C185" i="11" s="1"/>
  <c r="D185" i="11" a="1"/>
  <c r="D185" i="11" s="1"/>
  <c r="E185" i="11" a="1"/>
  <c r="E185" i="11" s="1"/>
  <c r="F185" i="11" a="1"/>
  <c r="F185" i="11"/>
  <c r="G185" i="11" a="1"/>
  <c r="G185" i="11" s="1"/>
  <c r="H185" i="11" a="1"/>
  <c r="H185" i="11" s="1"/>
  <c r="I185" i="11" a="1"/>
  <c r="I185" i="11"/>
  <c r="J185" i="11" a="1"/>
  <c r="J185" i="11" s="1"/>
  <c r="K185" i="11" a="1"/>
  <c r="K185" i="11" s="1"/>
  <c r="L185" i="11" a="1"/>
  <c r="L185" i="11" s="1"/>
  <c r="M185" i="11" a="1"/>
  <c r="M185" i="11" s="1"/>
  <c r="N185" i="11" a="1"/>
  <c r="N185" i="11" s="1"/>
  <c r="O185" i="11" a="1"/>
  <c r="O185" i="11"/>
  <c r="P185" i="11" a="1"/>
  <c r="P185" i="11" s="1"/>
  <c r="Q185" i="11" a="1"/>
  <c r="Q185" i="11" s="1"/>
  <c r="B186" i="11" a="1"/>
  <c r="B186" i="11" s="1"/>
  <c r="C186" i="11" a="1"/>
  <c r="C186" i="11" s="1"/>
  <c r="D186" i="11" a="1"/>
  <c r="D186" i="11" s="1"/>
  <c r="E186" i="11" a="1"/>
  <c r="E186" i="11" s="1"/>
  <c r="F186" i="11" a="1"/>
  <c r="F186" i="11" s="1"/>
  <c r="G186" i="11" a="1"/>
  <c r="G186" i="11" s="1"/>
  <c r="H186" i="11" a="1"/>
  <c r="H186" i="11"/>
  <c r="I186" i="11" a="1"/>
  <c r="I186" i="11" s="1"/>
  <c r="J186" i="11" a="1"/>
  <c r="J186" i="11" s="1"/>
  <c r="K186" i="11" a="1"/>
  <c r="K186" i="11" s="1"/>
  <c r="L186" i="11" a="1"/>
  <c r="L186" i="11" s="1"/>
  <c r="M186" i="11" a="1"/>
  <c r="M186" i="11" s="1"/>
  <c r="N186" i="11" a="1"/>
  <c r="N186" i="11" s="1"/>
  <c r="O186" i="11" a="1"/>
  <c r="O186" i="11" s="1"/>
  <c r="P186" i="11" a="1"/>
  <c r="P186" i="11" s="1"/>
  <c r="Q186" i="11" a="1"/>
  <c r="Q186" i="11"/>
  <c r="B187" i="11" a="1"/>
  <c r="B187" i="11" s="1"/>
  <c r="C187" i="11" a="1"/>
  <c r="C187" i="11" s="1"/>
  <c r="D187" i="11" a="1"/>
  <c r="D187" i="11" s="1"/>
  <c r="E187" i="11" a="1"/>
  <c r="E187" i="11" s="1"/>
  <c r="F187" i="11" a="1"/>
  <c r="F187" i="11" s="1"/>
  <c r="G187" i="11" a="1"/>
  <c r="G187" i="11" s="1"/>
  <c r="H187" i="11" a="1"/>
  <c r="H187" i="11" s="1"/>
  <c r="I187" i="11" a="1"/>
  <c r="I187" i="11" s="1"/>
  <c r="J187" i="11" a="1"/>
  <c r="J187" i="11" s="1"/>
  <c r="K187" i="11" a="1"/>
  <c r="K187" i="11" s="1"/>
  <c r="L187" i="11" a="1"/>
  <c r="L187" i="11" s="1"/>
  <c r="M187" i="11" a="1"/>
  <c r="M187" i="11" s="1"/>
  <c r="N187" i="11" a="1"/>
  <c r="N187" i="11" s="1"/>
  <c r="O187" i="11" a="1"/>
  <c r="O187" i="11" s="1"/>
  <c r="P187" i="11" a="1"/>
  <c r="P187" i="11" s="1"/>
  <c r="Q187" i="11" a="1"/>
  <c r="Q187" i="11" s="1"/>
  <c r="B188" i="11" a="1"/>
  <c r="B188" i="11" s="1"/>
  <c r="C188" i="11" a="1"/>
  <c r="C188" i="11" s="1"/>
  <c r="D188" i="11" a="1"/>
  <c r="D188" i="11" s="1"/>
  <c r="E188" i="11" a="1"/>
  <c r="E188" i="11" s="1"/>
  <c r="F188" i="11" a="1"/>
  <c r="F188" i="11" s="1"/>
  <c r="G188" i="11" a="1"/>
  <c r="G188" i="11" s="1"/>
  <c r="H188" i="11" a="1"/>
  <c r="H188" i="11" s="1"/>
  <c r="I188" i="11" a="1"/>
  <c r="I188" i="11" s="1"/>
  <c r="J188" i="11" a="1"/>
  <c r="J188" i="11" s="1"/>
  <c r="K188" i="11" a="1"/>
  <c r="K188" i="11" s="1"/>
  <c r="L188" i="11" a="1"/>
  <c r="L188" i="11" s="1"/>
  <c r="M188" i="11" a="1"/>
  <c r="M188" i="11" s="1"/>
  <c r="N188" i="11" a="1"/>
  <c r="N188" i="11" s="1"/>
  <c r="O188" i="11" a="1"/>
  <c r="O188" i="11" s="1"/>
  <c r="P188" i="11" a="1"/>
  <c r="P188" i="11" s="1"/>
  <c r="Q188" i="11" a="1"/>
  <c r="Q188" i="11" s="1"/>
  <c r="B189" i="11" a="1"/>
  <c r="B189" i="11" s="1"/>
  <c r="C189" i="11" a="1"/>
  <c r="C189" i="11" s="1"/>
  <c r="D189" i="11" a="1"/>
  <c r="D189" i="11" s="1"/>
  <c r="E189" i="11" a="1"/>
  <c r="E189" i="11" s="1"/>
  <c r="F189" i="11" a="1"/>
  <c r="F189" i="11" s="1"/>
  <c r="G189" i="11" a="1"/>
  <c r="G189" i="11" s="1"/>
  <c r="H189" i="11" a="1"/>
  <c r="H189" i="11" s="1"/>
  <c r="I189" i="11" a="1"/>
  <c r="I189" i="11" s="1"/>
  <c r="J189" i="11" a="1"/>
  <c r="J189" i="11" s="1"/>
  <c r="K189" i="11" a="1"/>
  <c r="K189" i="11" s="1"/>
  <c r="L189" i="11" a="1"/>
  <c r="L189" i="11" s="1"/>
  <c r="M189" i="11" a="1"/>
  <c r="M189" i="11" s="1"/>
  <c r="N189" i="11" a="1"/>
  <c r="N189" i="11" s="1"/>
  <c r="O189" i="11" a="1"/>
  <c r="O189" i="11" s="1"/>
  <c r="P189" i="11" a="1"/>
  <c r="P189" i="11" s="1"/>
  <c r="Q189" i="11" a="1"/>
  <c r="Q189" i="11" s="1"/>
  <c r="B190" i="11" a="1"/>
  <c r="B190" i="11" s="1"/>
  <c r="C190" i="11" a="1"/>
  <c r="C190" i="11" s="1"/>
  <c r="D190" i="11" a="1"/>
  <c r="D190" i="11" s="1"/>
  <c r="E190" i="11" a="1"/>
  <c r="E190" i="11" s="1"/>
  <c r="F190" i="11" a="1"/>
  <c r="F190" i="11" s="1"/>
  <c r="G190" i="11" a="1"/>
  <c r="G190" i="11" s="1"/>
  <c r="H190" i="11" a="1"/>
  <c r="H190" i="11" s="1"/>
  <c r="I190" i="11" a="1"/>
  <c r="I190" i="11" s="1"/>
  <c r="J190" i="11" a="1"/>
  <c r="J190" i="11" s="1"/>
  <c r="K190" i="11" a="1"/>
  <c r="K190" i="11" s="1"/>
  <c r="L190" i="11" a="1"/>
  <c r="L190" i="11" s="1"/>
  <c r="M190" i="11" a="1"/>
  <c r="M190" i="11" s="1"/>
  <c r="N190" i="11" a="1"/>
  <c r="N190" i="11" s="1"/>
  <c r="O190" i="11" a="1"/>
  <c r="O190" i="11" s="1"/>
  <c r="P190" i="11" a="1"/>
  <c r="P190" i="11" s="1"/>
  <c r="Q190" i="11" a="1"/>
  <c r="Q190" i="11" s="1"/>
  <c r="B191" i="11" a="1"/>
  <c r="B191" i="11" s="1"/>
  <c r="C191" i="11" a="1"/>
  <c r="C191" i="11" s="1"/>
  <c r="D191" i="11" a="1"/>
  <c r="D191" i="11" s="1"/>
  <c r="E191" i="11" a="1"/>
  <c r="E191" i="11" s="1"/>
  <c r="F191" i="11" a="1"/>
  <c r="F191" i="11" s="1"/>
  <c r="G191" i="11" a="1"/>
  <c r="G191" i="11" s="1"/>
  <c r="H191" i="11" a="1"/>
  <c r="H191" i="11" s="1"/>
  <c r="I191" i="11" a="1"/>
  <c r="I191" i="11" s="1"/>
  <c r="J191" i="11" a="1"/>
  <c r="J191" i="11" s="1"/>
  <c r="K191" i="11" a="1"/>
  <c r="K191" i="11" s="1"/>
  <c r="L191" i="11" a="1"/>
  <c r="L191" i="11" s="1"/>
  <c r="M191" i="11" a="1"/>
  <c r="M191" i="11" s="1"/>
  <c r="N191" i="11" a="1"/>
  <c r="N191" i="11" s="1"/>
  <c r="O191" i="11" a="1"/>
  <c r="O191" i="11" s="1"/>
  <c r="P191" i="11" a="1"/>
  <c r="P191" i="11" s="1"/>
  <c r="Q191" i="11" a="1"/>
  <c r="Q191" i="11" s="1"/>
  <c r="B192" i="11" a="1"/>
  <c r="B192" i="11" s="1"/>
  <c r="C192" i="11" a="1"/>
  <c r="C192" i="11" s="1"/>
  <c r="D192" i="11" a="1"/>
  <c r="D192" i="11" s="1"/>
  <c r="E192" i="11" a="1"/>
  <c r="E192" i="11" s="1"/>
  <c r="F192" i="11" a="1"/>
  <c r="F192" i="11" s="1"/>
  <c r="G192" i="11" a="1"/>
  <c r="G192" i="11" s="1"/>
  <c r="H192" i="11" a="1"/>
  <c r="H192" i="11" s="1"/>
  <c r="I192" i="11" a="1"/>
  <c r="I192" i="11" s="1"/>
  <c r="J192" i="11" a="1"/>
  <c r="J192" i="11" s="1"/>
  <c r="K192" i="11" a="1"/>
  <c r="K192" i="11" s="1"/>
  <c r="L192" i="11" a="1"/>
  <c r="L192" i="11" s="1"/>
  <c r="M192" i="11" a="1"/>
  <c r="M192" i="11" s="1"/>
  <c r="N192" i="11" a="1"/>
  <c r="N192" i="11" s="1"/>
  <c r="O192" i="11" a="1"/>
  <c r="O192" i="11" s="1"/>
  <c r="P192" i="11" a="1"/>
  <c r="P192" i="11" s="1"/>
  <c r="Q192" i="11" a="1"/>
  <c r="Q192" i="11" s="1"/>
  <c r="B193" i="11" a="1"/>
  <c r="B193" i="11" s="1"/>
  <c r="C193" i="11" a="1"/>
  <c r="C193" i="11" s="1"/>
  <c r="D193" i="11" a="1"/>
  <c r="D193" i="11" s="1"/>
  <c r="E193" i="11" a="1"/>
  <c r="E193" i="11" s="1"/>
  <c r="F193" i="11" a="1"/>
  <c r="F193" i="11" s="1"/>
  <c r="G193" i="11" a="1"/>
  <c r="G193" i="11" s="1"/>
  <c r="H193" i="11" a="1"/>
  <c r="H193" i="11" s="1"/>
  <c r="I193" i="11" a="1"/>
  <c r="I193" i="11" s="1"/>
  <c r="J193" i="11" a="1"/>
  <c r="J193" i="11" s="1"/>
  <c r="K193" i="11" a="1"/>
  <c r="K193" i="11" s="1"/>
  <c r="L193" i="11" a="1"/>
  <c r="L193" i="11" s="1"/>
  <c r="M193" i="11" a="1"/>
  <c r="M193" i="11" s="1"/>
  <c r="N193" i="11" a="1"/>
  <c r="N193" i="11" s="1"/>
  <c r="O193" i="11" a="1"/>
  <c r="O193" i="11" s="1"/>
  <c r="P193" i="11" a="1"/>
  <c r="P193" i="11" s="1"/>
  <c r="Q193" i="11" a="1"/>
  <c r="Q193" i="11" s="1"/>
  <c r="B194" i="11" a="1"/>
  <c r="B194" i="11" s="1"/>
  <c r="C194" i="11" a="1"/>
  <c r="C194" i="11" s="1"/>
  <c r="D194" i="11" a="1"/>
  <c r="D194" i="11" s="1"/>
  <c r="E194" i="11" a="1"/>
  <c r="E194" i="11" s="1"/>
  <c r="F194" i="11" a="1"/>
  <c r="F194" i="11" s="1"/>
  <c r="G194" i="11" a="1"/>
  <c r="G194" i="11" s="1"/>
  <c r="H194" i="11" a="1"/>
  <c r="H194" i="11" s="1"/>
  <c r="I194" i="11" a="1"/>
  <c r="I194" i="11" s="1"/>
  <c r="J194" i="11" a="1"/>
  <c r="J194" i="11" s="1"/>
  <c r="K194" i="11" a="1"/>
  <c r="K194" i="11" s="1"/>
  <c r="L194" i="11" a="1"/>
  <c r="L194" i="11" s="1"/>
  <c r="M194" i="11" a="1"/>
  <c r="M194" i="11" s="1"/>
  <c r="N194" i="11" a="1"/>
  <c r="N194" i="11" s="1"/>
  <c r="O194" i="11" a="1"/>
  <c r="O194" i="11" s="1"/>
  <c r="P194" i="11" a="1"/>
  <c r="P194" i="11" s="1"/>
  <c r="Q194" i="11" a="1"/>
  <c r="Q194" i="11" s="1"/>
  <c r="B195" i="11" a="1"/>
  <c r="B195" i="11" s="1"/>
  <c r="C195" i="11" a="1"/>
  <c r="C195" i="11" s="1"/>
  <c r="D195" i="11" a="1"/>
  <c r="D195" i="11" s="1"/>
  <c r="E195" i="11" a="1"/>
  <c r="E195" i="11" s="1"/>
  <c r="F195" i="11" a="1"/>
  <c r="F195" i="11" s="1"/>
  <c r="G195" i="11" a="1"/>
  <c r="G195" i="11" s="1"/>
  <c r="H195" i="11" a="1"/>
  <c r="H195" i="11" s="1"/>
  <c r="I195" i="11" a="1"/>
  <c r="I195" i="11" s="1"/>
  <c r="J195" i="11" a="1"/>
  <c r="J195" i="11" s="1"/>
  <c r="K195" i="11" a="1"/>
  <c r="K195" i="11" s="1"/>
  <c r="L195" i="11" a="1"/>
  <c r="L195" i="11" s="1"/>
  <c r="M195" i="11" a="1"/>
  <c r="M195" i="11" s="1"/>
  <c r="N195" i="11" a="1"/>
  <c r="N195" i="11" s="1"/>
  <c r="O195" i="11" a="1"/>
  <c r="O195" i="11" s="1"/>
  <c r="P195" i="11" a="1"/>
  <c r="P195" i="11" s="1"/>
  <c r="Q195" i="11" a="1"/>
  <c r="Q195" i="11" s="1"/>
  <c r="B196" i="11" a="1"/>
  <c r="B196" i="11" s="1"/>
  <c r="C196" i="11" a="1"/>
  <c r="C196" i="11" s="1"/>
  <c r="D196" i="11" a="1"/>
  <c r="D196" i="11" s="1"/>
  <c r="E196" i="11" a="1"/>
  <c r="E196" i="11" s="1"/>
  <c r="F196" i="11" a="1"/>
  <c r="F196" i="11" s="1"/>
  <c r="G196" i="11" a="1"/>
  <c r="G196" i="11" s="1"/>
  <c r="H196" i="11" a="1"/>
  <c r="H196" i="11" s="1"/>
  <c r="I196" i="11" a="1"/>
  <c r="I196" i="11" s="1"/>
  <c r="J196" i="11" a="1"/>
  <c r="J196" i="11" s="1"/>
  <c r="K196" i="11" a="1"/>
  <c r="K196" i="11" s="1"/>
  <c r="L196" i="11" a="1"/>
  <c r="L196" i="11" s="1"/>
  <c r="M196" i="11" a="1"/>
  <c r="M196" i="11" s="1"/>
  <c r="N196" i="11" a="1"/>
  <c r="N196" i="11" s="1"/>
  <c r="O196" i="11" a="1"/>
  <c r="O196" i="11" s="1"/>
  <c r="P196" i="11" a="1"/>
  <c r="P196" i="11" s="1"/>
  <c r="Q196" i="11" a="1"/>
  <c r="Q196" i="11" s="1"/>
  <c r="B197" i="11" a="1"/>
  <c r="B197" i="11" s="1"/>
  <c r="C197" i="11" a="1"/>
  <c r="C197" i="11" s="1"/>
  <c r="D197" i="11" a="1"/>
  <c r="D197" i="11" s="1"/>
  <c r="E197" i="11" a="1"/>
  <c r="E197" i="11" s="1"/>
  <c r="F197" i="11" a="1"/>
  <c r="F197" i="11" s="1"/>
  <c r="G197" i="11" a="1"/>
  <c r="G197" i="11" s="1"/>
  <c r="H197" i="11" a="1"/>
  <c r="H197" i="11" s="1"/>
  <c r="I197" i="11" a="1"/>
  <c r="I197" i="11" s="1"/>
  <c r="J197" i="11" a="1"/>
  <c r="J197" i="11" s="1"/>
  <c r="K197" i="11" a="1"/>
  <c r="K197" i="11" s="1"/>
  <c r="L197" i="11" a="1"/>
  <c r="L197" i="11" s="1"/>
  <c r="M197" i="11" a="1"/>
  <c r="M197" i="11" s="1"/>
  <c r="N197" i="11" a="1"/>
  <c r="N197" i="11" s="1"/>
  <c r="O197" i="11" a="1"/>
  <c r="O197" i="11" s="1"/>
  <c r="P197" i="11" a="1"/>
  <c r="P197" i="11" s="1"/>
  <c r="Q197" i="11" a="1"/>
  <c r="Q197" i="11" s="1"/>
  <c r="B198" i="11" a="1"/>
  <c r="B198" i="11" s="1"/>
  <c r="C198" i="11" a="1"/>
  <c r="C198" i="11" s="1"/>
  <c r="D198" i="11" a="1"/>
  <c r="D198" i="11" s="1"/>
  <c r="E198" i="11" a="1"/>
  <c r="E198" i="11" s="1"/>
  <c r="F198" i="11" a="1"/>
  <c r="F198" i="11" s="1"/>
  <c r="G198" i="11" a="1"/>
  <c r="G198" i="11" s="1"/>
  <c r="H198" i="11" a="1"/>
  <c r="H198" i="11" s="1"/>
  <c r="I198" i="11" a="1"/>
  <c r="I198" i="11" s="1"/>
  <c r="J198" i="11" a="1"/>
  <c r="J198" i="11" s="1"/>
  <c r="K198" i="11" a="1"/>
  <c r="K198" i="11" s="1"/>
  <c r="L198" i="11" a="1"/>
  <c r="L198" i="11" s="1"/>
  <c r="M198" i="11" a="1"/>
  <c r="M198" i="11" s="1"/>
  <c r="N198" i="11" a="1"/>
  <c r="N198" i="11" s="1"/>
  <c r="O198" i="11" a="1"/>
  <c r="O198" i="11" s="1"/>
  <c r="P198" i="11" a="1"/>
  <c r="P198" i="11" s="1"/>
  <c r="Q198" i="11" a="1"/>
  <c r="Q198" i="11" s="1"/>
  <c r="B199" i="11" a="1"/>
  <c r="B199" i="11" s="1"/>
  <c r="C199" i="11" a="1"/>
  <c r="C199" i="11" s="1"/>
  <c r="D199" i="11" a="1"/>
  <c r="D199" i="11" s="1"/>
  <c r="E199" i="11" a="1"/>
  <c r="E199" i="11" s="1"/>
  <c r="F199" i="11" a="1"/>
  <c r="F199" i="11" s="1"/>
  <c r="G199" i="11" a="1"/>
  <c r="G199" i="11" s="1"/>
  <c r="H199" i="11" a="1"/>
  <c r="H199" i="11" s="1"/>
  <c r="I199" i="11" a="1"/>
  <c r="I199" i="11" s="1"/>
  <c r="J199" i="11" a="1"/>
  <c r="J199" i="11" s="1"/>
  <c r="K199" i="11" a="1"/>
  <c r="K199" i="11" s="1"/>
  <c r="L199" i="11" a="1"/>
  <c r="L199" i="11" s="1"/>
  <c r="M199" i="11" a="1"/>
  <c r="M199" i="11" s="1"/>
  <c r="N199" i="11" a="1"/>
  <c r="N199" i="11" s="1"/>
  <c r="O199" i="11" a="1"/>
  <c r="O199" i="11" s="1"/>
  <c r="P199" i="11" a="1"/>
  <c r="P199" i="11" s="1"/>
  <c r="Q199" i="11" a="1"/>
  <c r="Q199" i="11" s="1"/>
  <c r="B200" i="11" a="1"/>
  <c r="B200" i="11" s="1"/>
  <c r="C200" i="11" a="1"/>
  <c r="C200" i="11" s="1"/>
  <c r="D200" i="11" a="1"/>
  <c r="D200" i="11" s="1"/>
  <c r="E200" i="11" a="1"/>
  <c r="E200" i="11" s="1"/>
  <c r="F200" i="11" a="1"/>
  <c r="F200" i="11" s="1"/>
  <c r="G200" i="11" a="1"/>
  <c r="G200" i="11" s="1"/>
  <c r="H200" i="11" a="1"/>
  <c r="H200" i="11" s="1"/>
  <c r="I200" i="11" a="1"/>
  <c r="I200" i="11" s="1"/>
  <c r="J200" i="11" a="1"/>
  <c r="J200" i="11" s="1"/>
  <c r="K200" i="11" a="1"/>
  <c r="K200" i="11" s="1"/>
  <c r="L200" i="11" a="1"/>
  <c r="L200" i="11" s="1"/>
  <c r="M200" i="11" a="1"/>
  <c r="M200" i="11" s="1"/>
  <c r="N200" i="11" a="1"/>
  <c r="N200" i="11" s="1"/>
  <c r="O200" i="11" a="1"/>
  <c r="O200" i="11" s="1"/>
  <c r="P200" i="11" a="1"/>
  <c r="P200" i="11" s="1"/>
  <c r="Q200" i="11" a="1"/>
  <c r="Q200" i="11" s="1"/>
  <c r="B201" i="11" a="1"/>
  <c r="B201" i="11" s="1"/>
  <c r="C201" i="11" a="1"/>
  <c r="C201" i="11" s="1"/>
  <c r="D201" i="11" a="1"/>
  <c r="D201" i="11" s="1"/>
  <c r="E201" i="11" a="1"/>
  <c r="E201" i="11" s="1"/>
  <c r="F201" i="11" a="1"/>
  <c r="F201" i="11" s="1"/>
  <c r="G201" i="11" a="1"/>
  <c r="G201" i="11" s="1"/>
  <c r="H201" i="11" a="1"/>
  <c r="H201" i="11" s="1"/>
  <c r="I201" i="11" a="1"/>
  <c r="I201" i="11" s="1"/>
  <c r="J201" i="11" a="1"/>
  <c r="J201" i="11" s="1"/>
  <c r="K201" i="11" a="1"/>
  <c r="K201" i="11" s="1"/>
  <c r="L201" i="11" a="1"/>
  <c r="L201" i="11" s="1"/>
  <c r="M201" i="11" a="1"/>
  <c r="M201" i="11" s="1"/>
  <c r="N201" i="11" a="1"/>
  <c r="N201" i="11" s="1"/>
  <c r="O201" i="11" a="1"/>
  <c r="O201" i="11" s="1"/>
  <c r="P201" i="11" a="1"/>
  <c r="P201" i="11" s="1"/>
  <c r="Q201" i="11" a="1"/>
  <c r="Q201" i="11" s="1"/>
  <c r="B202" i="11" a="1"/>
  <c r="B202" i="11" s="1"/>
  <c r="C202" i="11" a="1"/>
  <c r="C202" i="11" s="1"/>
  <c r="D202" i="11" a="1"/>
  <c r="D202" i="11" s="1"/>
  <c r="E202" i="11" a="1"/>
  <c r="E202" i="11" s="1"/>
  <c r="F202" i="11" a="1"/>
  <c r="F202" i="11" s="1"/>
  <c r="G202" i="11" a="1"/>
  <c r="G202" i="11" s="1"/>
  <c r="H202" i="11" a="1"/>
  <c r="H202" i="11" s="1"/>
  <c r="I202" i="11" a="1"/>
  <c r="I202" i="11" s="1"/>
  <c r="J202" i="11" a="1"/>
  <c r="J202" i="11" s="1"/>
  <c r="K202" i="11" a="1"/>
  <c r="K202" i="11" s="1"/>
  <c r="L202" i="11" a="1"/>
  <c r="L202" i="11" s="1"/>
  <c r="M202" i="11" a="1"/>
  <c r="M202" i="11" s="1"/>
  <c r="N202" i="11" a="1"/>
  <c r="N202" i="11" s="1"/>
  <c r="O202" i="11" a="1"/>
  <c r="O202" i="11" s="1"/>
  <c r="P202" i="11" a="1"/>
  <c r="P202" i="11" s="1"/>
  <c r="Q202" i="11" a="1"/>
  <c r="Q202" i="11" s="1"/>
  <c r="B203" i="11" a="1"/>
  <c r="B203" i="11" s="1"/>
  <c r="C203" i="11" a="1"/>
  <c r="C203" i="11" s="1"/>
  <c r="D203" i="11" a="1"/>
  <c r="D203" i="11" s="1"/>
  <c r="E203" i="11" a="1"/>
  <c r="E203" i="11" s="1"/>
  <c r="F203" i="11" a="1"/>
  <c r="F203" i="11" s="1"/>
  <c r="G203" i="11" a="1"/>
  <c r="G203" i="11" s="1"/>
  <c r="H203" i="11" a="1"/>
  <c r="H203" i="11" s="1"/>
  <c r="I203" i="11" a="1"/>
  <c r="I203" i="11" s="1"/>
  <c r="J203" i="11" a="1"/>
  <c r="J203" i="11" s="1"/>
  <c r="K203" i="11" a="1"/>
  <c r="K203" i="11" s="1"/>
  <c r="L203" i="11" a="1"/>
  <c r="L203" i="11" s="1"/>
  <c r="M203" i="11" a="1"/>
  <c r="M203" i="11" s="1"/>
  <c r="N203" i="11" a="1"/>
  <c r="N203" i="11" s="1"/>
  <c r="O203" i="11" a="1"/>
  <c r="O203" i="11" s="1"/>
  <c r="P203" i="11" a="1"/>
  <c r="P203" i="11" s="1"/>
  <c r="Q203" i="11" a="1"/>
  <c r="Q203" i="11" s="1"/>
  <c r="B204" i="11" a="1"/>
  <c r="B204" i="11" s="1"/>
  <c r="C204" i="11" a="1"/>
  <c r="C204" i="11" s="1"/>
  <c r="D204" i="11" a="1"/>
  <c r="D204" i="11" s="1"/>
  <c r="E204" i="11" a="1"/>
  <c r="E204" i="11" s="1"/>
  <c r="F204" i="11" a="1"/>
  <c r="F204" i="11" s="1"/>
  <c r="G204" i="11" a="1"/>
  <c r="G204" i="11" s="1"/>
  <c r="H204" i="11" a="1"/>
  <c r="H204" i="11" s="1"/>
  <c r="I204" i="11" a="1"/>
  <c r="I204" i="11" s="1"/>
  <c r="J204" i="11" a="1"/>
  <c r="J204" i="11" s="1"/>
  <c r="K204" i="11" a="1"/>
  <c r="K204" i="11" s="1"/>
  <c r="L204" i="11" a="1"/>
  <c r="L204" i="11" s="1"/>
  <c r="M204" i="11" a="1"/>
  <c r="M204" i="11" s="1"/>
  <c r="N204" i="11" a="1"/>
  <c r="N204" i="11" s="1"/>
  <c r="O204" i="11" a="1"/>
  <c r="O204" i="11" s="1"/>
  <c r="P204" i="11" a="1"/>
  <c r="P204" i="11" s="1"/>
  <c r="Q204" i="11" a="1"/>
  <c r="Q204" i="11" s="1"/>
  <c r="B205" i="11" a="1"/>
  <c r="B205" i="11" s="1"/>
  <c r="C205" i="11" a="1"/>
  <c r="C205" i="11" s="1"/>
  <c r="D205" i="11" a="1"/>
  <c r="D205" i="11" s="1"/>
  <c r="E205" i="11" a="1"/>
  <c r="E205" i="11" s="1"/>
  <c r="F205" i="11" a="1"/>
  <c r="F205" i="11" s="1"/>
  <c r="G205" i="11" a="1"/>
  <c r="G205" i="11" s="1"/>
  <c r="H205" i="11" a="1"/>
  <c r="H205" i="11" s="1"/>
  <c r="I205" i="11" a="1"/>
  <c r="I205" i="11" s="1"/>
  <c r="J205" i="11" a="1"/>
  <c r="J205" i="11" s="1"/>
  <c r="K205" i="11" a="1"/>
  <c r="K205" i="11" s="1"/>
  <c r="L205" i="11" a="1"/>
  <c r="L205" i="11" s="1"/>
  <c r="M205" i="11" a="1"/>
  <c r="M205" i="11" s="1"/>
  <c r="N205" i="11" a="1"/>
  <c r="N205" i="11" s="1"/>
  <c r="O205" i="11" a="1"/>
  <c r="O205" i="11"/>
  <c r="P205" i="11" a="1"/>
  <c r="P205" i="11"/>
  <c r="Q205" i="11" a="1"/>
  <c r="Q205" i="11" s="1"/>
  <c r="B206" i="11" a="1"/>
  <c r="B206" i="11" s="1"/>
  <c r="C206" i="11" a="1"/>
  <c r="C206" i="11"/>
  <c r="D206" i="11" a="1"/>
  <c r="D206" i="11" s="1"/>
  <c r="E206" i="11" a="1"/>
  <c r="E206" i="11" s="1"/>
  <c r="F206" i="11" a="1"/>
  <c r="F206" i="11" s="1"/>
  <c r="G206" i="11" a="1"/>
  <c r="G206" i="11" s="1"/>
  <c r="H206" i="11" a="1"/>
  <c r="H206" i="11" s="1"/>
  <c r="I206" i="11" a="1"/>
  <c r="I206" i="11" s="1"/>
  <c r="J206" i="11" a="1"/>
  <c r="J206" i="11" s="1"/>
  <c r="K206" i="11" a="1"/>
  <c r="K206" i="11" s="1"/>
  <c r="L206" i="11" a="1"/>
  <c r="L206" i="11" s="1"/>
  <c r="M206" i="11" a="1"/>
  <c r="M206" i="11" s="1"/>
  <c r="N206" i="11" a="1"/>
  <c r="N206" i="11" s="1"/>
  <c r="O206" i="11" a="1"/>
  <c r="O206" i="11" s="1"/>
  <c r="P206" i="11" a="1"/>
  <c r="P206" i="11" s="1"/>
  <c r="Q206" i="11" a="1"/>
  <c r="Q206" i="11" s="1"/>
  <c r="B207" i="11" a="1"/>
  <c r="B207" i="11" s="1"/>
  <c r="C207" i="11" a="1"/>
  <c r="C207" i="11" s="1"/>
  <c r="D207" i="11" a="1"/>
  <c r="D207" i="11" s="1"/>
  <c r="E207" i="11" a="1"/>
  <c r="E207" i="11" s="1"/>
  <c r="F207" i="11" a="1"/>
  <c r="F207" i="11" s="1"/>
  <c r="G207" i="11" a="1"/>
  <c r="G207" i="11" s="1"/>
  <c r="H207" i="11" a="1"/>
  <c r="H207" i="11" s="1"/>
  <c r="I207" i="11" a="1"/>
  <c r="I207" i="11" s="1"/>
  <c r="J207" i="11" a="1"/>
  <c r="J207" i="11" s="1"/>
  <c r="K207" i="11" a="1"/>
  <c r="K207" i="11" s="1"/>
  <c r="L207" i="11" a="1"/>
  <c r="L207" i="11" s="1"/>
  <c r="M207" i="11" a="1"/>
  <c r="M207" i="11" s="1"/>
  <c r="N207" i="11" a="1"/>
  <c r="N207" i="11" s="1"/>
  <c r="O207" i="11" a="1"/>
  <c r="O207" i="11" s="1"/>
  <c r="P207" i="11" a="1"/>
  <c r="P207" i="11" s="1"/>
  <c r="Q207" i="11" a="1"/>
  <c r="Q207" i="11" s="1"/>
  <c r="B208" i="11" a="1"/>
  <c r="B208" i="11" s="1"/>
  <c r="C208" i="11" a="1"/>
  <c r="C208" i="11"/>
  <c r="D208" i="11" a="1"/>
  <c r="D208" i="11" s="1"/>
  <c r="E208" i="11" a="1"/>
  <c r="E208" i="11" s="1"/>
  <c r="F208" i="11" a="1"/>
  <c r="F208" i="11" s="1"/>
  <c r="G208" i="11" a="1"/>
  <c r="G208" i="11" s="1"/>
  <c r="H208" i="11" a="1"/>
  <c r="H208" i="11" s="1"/>
  <c r="I208" i="11" a="1"/>
  <c r="I208" i="11" s="1"/>
  <c r="J208" i="11" a="1"/>
  <c r="J208" i="11" s="1"/>
  <c r="K208" i="11" a="1"/>
  <c r="K208" i="11" s="1"/>
  <c r="L208" i="11" a="1"/>
  <c r="L208" i="11" s="1"/>
  <c r="M208" i="11" a="1"/>
  <c r="M208" i="11" s="1"/>
  <c r="N208" i="11" a="1"/>
  <c r="N208" i="11" s="1"/>
  <c r="O208" i="11" a="1"/>
  <c r="O208" i="11" s="1"/>
  <c r="P208" i="11" a="1"/>
  <c r="P208" i="11" s="1"/>
  <c r="Q208" i="11" a="1"/>
  <c r="Q208" i="11" s="1"/>
  <c r="B209" i="11" a="1"/>
  <c r="B209" i="11" s="1"/>
  <c r="C209" i="11" a="1"/>
  <c r="C209" i="11" s="1"/>
  <c r="D209" i="11" a="1"/>
  <c r="D209" i="11" s="1"/>
  <c r="E209" i="11" a="1"/>
  <c r="E209" i="11" s="1"/>
  <c r="F209" i="11" a="1"/>
  <c r="F209" i="11" s="1"/>
  <c r="G209" i="11" a="1"/>
  <c r="G209" i="11" s="1"/>
  <c r="H209" i="11" a="1"/>
  <c r="H209" i="11" s="1"/>
  <c r="I209" i="11" a="1"/>
  <c r="I209" i="11" s="1"/>
  <c r="J209" i="11" a="1"/>
  <c r="J209" i="11" s="1"/>
  <c r="K209" i="11" a="1"/>
  <c r="K209" i="11"/>
  <c r="L209" i="11" a="1"/>
  <c r="L209" i="11" s="1"/>
  <c r="M209" i="11" a="1"/>
  <c r="M209" i="11" s="1"/>
  <c r="N209" i="11" a="1"/>
  <c r="N209" i="11" s="1"/>
  <c r="O209" i="11" a="1"/>
  <c r="O209" i="11" s="1"/>
  <c r="P209" i="11" a="1"/>
  <c r="P209" i="11" s="1"/>
  <c r="Q209" i="11" a="1"/>
  <c r="Q209" i="11" s="1"/>
  <c r="B210" i="11" a="1"/>
  <c r="B210" i="11" s="1"/>
  <c r="C210" i="11" a="1"/>
  <c r="C210" i="11"/>
  <c r="D210" i="11" a="1"/>
  <c r="D210" i="11" s="1"/>
  <c r="E210" i="11" a="1"/>
  <c r="E210" i="11" s="1"/>
  <c r="F210" i="11" a="1"/>
  <c r="F210" i="11" s="1"/>
  <c r="G210" i="11" a="1"/>
  <c r="G210" i="11" s="1"/>
  <c r="H210" i="11" a="1"/>
  <c r="H210" i="11" s="1"/>
  <c r="I210" i="11" a="1"/>
  <c r="I210" i="11" s="1"/>
  <c r="J210" i="11" a="1"/>
  <c r="J210" i="11" s="1"/>
  <c r="K210" i="11" a="1"/>
  <c r="K210" i="11" s="1"/>
  <c r="L210" i="11" a="1"/>
  <c r="L210" i="11" s="1"/>
  <c r="M210" i="11" a="1"/>
  <c r="M210" i="11" s="1"/>
  <c r="N210" i="11" a="1"/>
  <c r="N210" i="11" s="1"/>
  <c r="O210" i="11" a="1"/>
  <c r="O210" i="11" s="1"/>
  <c r="P210" i="11" a="1"/>
  <c r="P210" i="11" s="1"/>
  <c r="Q210" i="11" a="1"/>
  <c r="Q210" i="11" s="1"/>
  <c r="B211" i="11" a="1"/>
  <c r="B211" i="11" s="1"/>
  <c r="C211" i="11" a="1"/>
  <c r="C211" i="11" s="1"/>
  <c r="D211" i="11" a="1"/>
  <c r="D211" i="11" s="1"/>
  <c r="E211" i="11" a="1"/>
  <c r="E211" i="11" s="1"/>
  <c r="F211" i="11" a="1"/>
  <c r="F211" i="11" s="1"/>
  <c r="G211" i="11" a="1"/>
  <c r="G211" i="11" s="1"/>
  <c r="H211" i="11" a="1"/>
  <c r="H211" i="11" s="1"/>
  <c r="I211" i="11" a="1"/>
  <c r="I211" i="11" s="1"/>
  <c r="J211" i="11" a="1"/>
  <c r="J211" i="11" s="1"/>
  <c r="K211" i="11" a="1"/>
  <c r="K211" i="11"/>
  <c r="L211" i="11" a="1"/>
  <c r="L211" i="11" s="1"/>
  <c r="M211" i="11" a="1"/>
  <c r="M211" i="11" s="1"/>
  <c r="N211" i="11" a="1"/>
  <c r="N211" i="11" s="1"/>
  <c r="O211" i="11" a="1"/>
  <c r="O211" i="11" s="1"/>
  <c r="P211" i="11" a="1"/>
  <c r="P211" i="11" s="1"/>
  <c r="Q211" i="11" a="1"/>
  <c r="Q211" i="11" s="1"/>
  <c r="B212" i="11" a="1"/>
  <c r="B212" i="11" s="1"/>
  <c r="C212" i="11" a="1"/>
  <c r="C212" i="11"/>
  <c r="D212" i="11" a="1"/>
  <c r="D212" i="11" s="1"/>
  <c r="E212" i="11" a="1"/>
  <c r="E212" i="11" s="1"/>
  <c r="F212" i="11" a="1"/>
  <c r="F212" i="11" s="1"/>
  <c r="G212" i="11" a="1"/>
  <c r="G212" i="11" s="1"/>
  <c r="H212" i="11" a="1"/>
  <c r="H212" i="11" s="1"/>
  <c r="I212" i="11" a="1"/>
  <c r="I212" i="11" s="1"/>
  <c r="J212" i="11" a="1"/>
  <c r="J212" i="11" s="1"/>
  <c r="K212" i="11" a="1"/>
  <c r="K212" i="11" s="1"/>
  <c r="L212" i="11" a="1"/>
  <c r="L212" i="11" s="1"/>
  <c r="M212" i="11" a="1"/>
  <c r="M212" i="11" s="1"/>
  <c r="N212" i="11" a="1"/>
  <c r="N212" i="11" s="1"/>
  <c r="O212" i="11" a="1"/>
  <c r="O212" i="11" s="1"/>
  <c r="P212" i="11" a="1"/>
  <c r="P212" i="11" s="1"/>
  <c r="Q212" i="11" a="1"/>
  <c r="Q212" i="11" s="1"/>
  <c r="B213" i="11" a="1"/>
  <c r="B213" i="11" s="1"/>
  <c r="C213" i="11" a="1"/>
  <c r="C213" i="11" s="1"/>
  <c r="D213" i="11" a="1"/>
  <c r="D213" i="11" s="1"/>
  <c r="E213" i="11" a="1"/>
  <c r="E213" i="11" s="1"/>
  <c r="F213" i="11" a="1"/>
  <c r="F213" i="11" s="1"/>
  <c r="G213" i="11" a="1"/>
  <c r="G213" i="11" s="1"/>
  <c r="H213" i="11" a="1"/>
  <c r="H213" i="11" s="1"/>
  <c r="I213" i="11" a="1"/>
  <c r="I213" i="11" s="1"/>
  <c r="J213" i="11" a="1"/>
  <c r="J213" i="11" s="1"/>
  <c r="K213" i="11" a="1"/>
  <c r="K213" i="11" s="1"/>
  <c r="L213" i="11" a="1"/>
  <c r="L213" i="11" s="1"/>
  <c r="M213" i="11" a="1"/>
  <c r="M213" i="11" s="1"/>
  <c r="N213" i="11" a="1"/>
  <c r="N213" i="11" s="1"/>
  <c r="O213" i="11" a="1"/>
  <c r="O213" i="11" s="1"/>
  <c r="P213" i="11" a="1"/>
  <c r="P213" i="11" s="1"/>
  <c r="Q213" i="11" a="1"/>
  <c r="Q213" i="11" s="1"/>
  <c r="B214" i="11" a="1"/>
  <c r="B214" i="11" s="1"/>
  <c r="C214" i="11" a="1"/>
  <c r="C214" i="11"/>
  <c r="D214" i="11" a="1"/>
  <c r="D214" i="11" s="1"/>
  <c r="E214" i="11" a="1"/>
  <c r="E214" i="11" s="1"/>
  <c r="F214" i="11" a="1"/>
  <c r="F214" i="11" s="1"/>
  <c r="G214" i="11" a="1"/>
  <c r="G214" i="11" s="1"/>
  <c r="H214" i="11" a="1"/>
  <c r="H214" i="11" s="1"/>
  <c r="I214" i="11" a="1"/>
  <c r="I214" i="11" s="1"/>
  <c r="J214" i="11" a="1"/>
  <c r="J214" i="11" s="1"/>
  <c r="K214" i="11" a="1"/>
  <c r="K214" i="11" s="1"/>
  <c r="L214" i="11" a="1"/>
  <c r="L214" i="11" s="1"/>
  <c r="M214" i="11" a="1"/>
  <c r="M214" i="11" s="1"/>
  <c r="N214" i="11" a="1"/>
  <c r="N214" i="11" s="1"/>
  <c r="O214" i="11" a="1"/>
  <c r="O214" i="11" s="1"/>
  <c r="P214" i="11" a="1"/>
  <c r="P214" i="11" s="1"/>
  <c r="Q214" i="11" a="1"/>
  <c r="Q214" i="11" s="1"/>
  <c r="B215" i="11" a="1"/>
  <c r="B215" i="11" s="1"/>
  <c r="C215" i="11" a="1"/>
  <c r="C215" i="11" s="1"/>
  <c r="D215" i="11" a="1"/>
  <c r="D215" i="11" s="1"/>
  <c r="E215" i="11" a="1"/>
  <c r="E215" i="11" s="1"/>
  <c r="F215" i="11" a="1"/>
  <c r="F215" i="11" s="1"/>
  <c r="G215" i="11" a="1"/>
  <c r="G215" i="11" s="1"/>
  <c r="H215" i="11" a="1"/>
  <c r="H215" i="11" s="1"/>
  <c r="I215" i="11" a="1"/>
  <c r="I215" i="11" s="1"/>
  <c r="J215" i="11" a="1"/>
  <c r="J215" i="11" s="1"/>
  <c r="K215" i="11" a="1"/>
  <c r="K215" i="11"/>
  <c r="L215" i="11" a="1"/>
  <c r="L215" i="11" s="1"/>
  <c r="M215" i="11" a="1"/>
  <c r="M215" i="11" s="1"/>
  <c r="N215" i="11" a="1"/>
  <c r="N215" i="11" s="1"/>
  <c r="O215" i="11" a="1"/>
  <c r="O215" i="11" s="1"/>
  <c r="P215" i="11" a="1"/>
  <c r="P215" i="11" s="1"/>
  <c r="Q215" i="11" a="1"/>
  <c r="Q215" i="11" s="1"/>
  <c r="B216" i="11" a="1"/>
  <c r="B216" i="11" s="1"/>
  <c r="C216" i="11" a="1"/>
  <c r="C216" i="11"/>
  <c r="D216" i="11" a="1"/>
  <c r="D216" i="11" s="1"/>
  <c r="E216" i="11" a="1"/>
  <c r="E216" i="11" s="1"/>
  <c r="F216" i="11" a="1"/>
  <c r="F216" i="11" s="1"/>
  <c r="G216" i="11" a="1"/>
  <c r="G216" i="11" s="1"/>
  <c r="H216" i="11" a="1"/>
  <c r="H216" i="11" s="1"/>
  <c r="I216" i="11" a="1"/>
  <c r="I216" i="11" s="1"/>
  <c r="J216" i="11" a="1"/>
  <c r="J216" i="11" s="1"/>
  <c r="K216" i="11" a="1"/>
  <c r="K216" i="11" s="1"/>
  <c r="L216" i="11" a="1"/>
  <c r="L216" i="11" s="1"/>
  <c r="M216" i="11" a="1"/>
  <c r="M216" i="11" s="1"/>
  <c r="N216" i="11" a="1"/>
  <c r="N216" i="11" s="1"/>
  <c r="O216" i="11" a="1"/>
  <c r="O216" i="11" s="1"/>
  <c r="P216" i="11" a="1"/>
  <c r="P216" i="11" s="1"/>
  <c r="Q216" i="11" a="1"/>
  <c r="Q216" i="11" s="1"/>
  <c r="B217" i="11" a="1"/>
  <c r="B217" i="11" s="1"/>
  <c r="C217" i="11" a="1"/>
  <c r="C217" i="11" s="1"/>
  <c r="D217" i="11" a="1"/>
  <c r="D217" i="11" s="1"/>
  <c r="E217" i="11" a="1"/>
  <c r="E217" i="11" s="1"/>
  <c r="F217" i="11" a="1"/>
  <c r="F217" i="11" s="1"/>
  <c r="G217" i="11" a="1"/>
  <c r="G217" i="11" s="1"/>
  <c r="H217" i="11" a="1"/>
  <c r="H217" i="11" s="1"/>
  <c r="I217" i="11" a="1"/>
  <c r="I217" i="11" s="1"/>
  <c r="J217" i="11" a="1"/>
  <c r="J217" i="11" s="1"/>
  <c r="K217" i="11" a="1"/>
  <c r="K217" i="11"/>
  <c r="L217" i="11" a="1"/>
  <c r="L217" i="11" s="1"/>
  <c r="M217" i="11" a="1"/>
  <c r="M217" i="11" s="1"/>
  <c r="N217" i="11" a="1"/>
  <c r="N217" i="11" s="1"/>
  <c r="O217" i="11" a="1"/>
  <c r="O217" i="11" s="1"/>
  <c r="P217" i="11" a="1"/>
  <c r="P217" i="11" s="1"/>
  <c r="Q217" i="11" a="1"/>
  <c r="Q217" i="11" s="1"/>
  <c r="B218" i="11" a="1"/>
  <c r="B218" i="11" s="1"/>
  <c r="C218" i="11" a="1"/>
  <c r="C218" i="11"/>
  <c r="D218" i="11" a="1"/>
  <c r="D218" i="11" s="1"/>
  <c r="E218" i="11" a="1"/>
  <c r="E218" i="11" s="1"/>
  <c r="F218" i="11" a="1"/>
  <c r="F218" i="11" s="1"/>
  <c r="G218" i="11" a="1"/>
  <c r="G218" i="11" s="1"/>
  <c r="H218" i="11" a="1"/>
  <c r="H218" i="11" s="1"/>
  <c r="I218" i="11" a="1"/>
  <c r="I218" i="11" s="1"/>
  <c r="J218" i="11" a="1"/>
  <c r="J218" i="11" s="1"/>
  <c r="K218" i="11" a="1"/>
  <c r="K218" i="11" s="1"/>
  <c r="L218" i="11" a="1"/>
  <c r="L218" i="11" s="1"/>
  <c r="M218" i="11" a="1"/>
  <c r="M218" i="11" s="1"/>
  <c r="N218" i="11" a="1"/>
  <c r="N218" i="11" s="1"/>
  <c r="O218" i="11" a="1"/>
  <c r="O218" i="11" s="1"/>
  <c r="P218" i="11" a="1"/>
  <c r="P218" i="11" s="1"/>
  <c r="Q218" i="11" a="1"/>
  <c r="Q218" i="11" s="1"/>
  <c r="B219" i="11" a="1"/>
  <c r="B219" i="11" s="1"/>
  <c r="C219" i="11" a="1"/>
  <c r="C219" i="11" s="1"/>
  <c r="D219" i="11" a="1"/>
  <c r="D219" i="11" s="1"/>
  <c r="E219" i="11" a="1"/>
  <c r="E219" i="11" s="1"/>
  <c r="F219" i="11" a="1"/>
  <c r="F219" i="11" s="1"/>
  <c r="G219" i="11" a="1"/>
  <c r="G219" i="11" s="1"/>
  <c r="H219" i="11" a="1"/>
  <c r="H219" i="11" s="1"/>
  <c r="I219" i="11" a="1"/>
  <c r="I219" i="11" s="1"/>
  <c r="J219" i="11" a="1"/>
  <c r="J219" i="11" s="1"/>
  <c r="K219" i="11" a="1"/>
  <c r="K219" i="11" s="1"/>
  <c r="L219" i="11" a="1"/>
  <c r="L219" i="11" s="1"/>
  <c r="M219" i="11" a="1"/>
  <c r="M219" i="11" s="1"/>
  <c r="N219" i="11" a="1"/>
  <c r="N219" i="11" s="1"/>
  <c r="O219" i="11" a="1"/>
  <c r="O219" i="11" s="1"/>
  <c r="P219" i="11" a="1"/>
  <c r="P219" i="11" s="1"/>
  <c r="Q219" i="11" a="1"/>
  <c r="Q219" i="11" s="1"/>
  <c r="B220" i="11" a="1"/>
  <c r="B220" i="11" s="1"/>
  <c r="C220" i="11" a="1"/>
  <c r="C220" i="11"/>
  <c r="D220" i="11" a="1"/>
  <c r="D220" i="11" s="1"/>
  <c r="E220" i="11" a="1"/>
  <c r="E220" i="11" s="1"/>
  <c r="F220" i="11" a="1"/>
  <c r="F220" i="11" s="1"/>
  <c r="G220" i="11" a="1"/>
  <c r="G220" i="11" s="1"/>
  <c r="H220" i="11" a="1"/>
  <c r="H220" i="11" s="1"/>
  <c r="I220" i="11" a="1"/>
  <c r="I220" i="11" s="1"/>
  <c r="J220" i="11" a="1"/>
  <c r="J220" i="11" s="1"/>
  <c r="K220" i="11" a="1"/>
  <c r="K220" i="11" s="1"/>
  <c r="L220" i="11" a="1"/>
  <c r="L220" i="11" s="1"/>
  <c r="M220" i="11" a="1"/>
  <c r="M220" i="11" s="1"/>
  <c r="N220" i="11" a="1"/>
  <c r="N220" i="11" s="1"/>
  <c r="O220" i="11" a="1"/>
  <c r="O220" i="11" s="1"/>
  <c r="P220" i="11" a="1"/>
  <c r="P220" i="11" s="1"/>
  <c r="Q220" i="11" a="1"/>
  <c r="Q220" i="11" s="1"/>
  <c r="B221" i="11" a="1"/>
  <c r="B221" i="11" s="1"/>
  <c r="C221" i="11" a="1"/>
  <c r="C221" i="11" s="1"/>
  <c r="D221" i="11" a="1"/>
  <c r="D221" i="11" s="1"/>
  <c r="E221" i="11" a="1"/>
  <c r="E221" i="11" s="1"/>
  <c r="F221" i="11" a="1"/>
  <c r="F221" i="11" s="1"/>
  <c r="G221" i="11" a="1"/>
  <c r="G221" i="11" s="1"/>
  <c r="H221" i="11" a="1"/>
  <c r="H221" i="11" s="1"/>
  <c r="I221" i="11" a="1"/>
  <c r="I221" i="11" s="1"/>
  <c r="J221" i="11" a="1"/>
  <c r="J221" i="11" s="1"/>
  <c r="K221" i="11" a="1"/>
  <c r="K221" i="11"/>
  <c r="L221" i="11" a="1"/>
  <c r="L221" i="11" s="1"/>
  <c r="M221" i="11" a="1"/>
  <c r="M221" i="11" s="1"/>
  <c r="N221" i="11" a="1"/>
  <c r="N221" i="11" s="1"/>
  <c r="O221" i="11" a="1"/>
  <c r="O221" i="11" s="1"/>
  <c r="P221" i="11" a="1"/>
  <c r="P221" i="11" s="1"/>
  <c r="Q221" i="11" a="1"/>
  <c r="Q221" i="11" s="1"/>
  <c r="B222" i="11" a="1"/>
  <c r="B222" i="11" s="1"/>
  <c r="C222" i="11" a="1"/>
  <c r="C222" i="11"/>
  <c r="D222" i="11" a="1"/>
  <c r="D222" i="11" s="1"/>
  <c r="E222" i="11" a="1"/>
  <c r="E222" i="11" s="1"/>
  <c r="F222" i="11" a="1"/>
  <c r="F222" i="11" s="1"/>
  <c r="G222" i="11" a="1"/>
  <c r="G222" i="11" s="1"/>
  <c r="H222" i="11" a="1"/>
  <c r="H222" i="11" s="1"/>
  <c r="I222" i="11" a="1"/>
  <c r="I222" i="11" s="1"/>
  <c r="J222" i="11" a="1"/>
  <c r="J222" i="11" s="1"/>
  <c r="K222" i="11" a="1"/>
  <c r="K222" i="11" s="1"/>
  <c r="L222" i="11" a="1"/>
  <c r="L222" i="11" s="1"/>
  <c r="M222" i="11" a="1"/>
  <c r="M222" i="11" s="1"/>
  <c r="N222" i="11" a="1"/>
  <c r="N222" i="11" s="1"/>
  <c r="O222" i="11" a="1"/>
  <c r="O222" i="11" s="1"/>
  <c r="P222" i="11" a="1"/>
  <c r="P222" i="11" s="1"/>
  <c r="Q222" i="11" a="1"/>
  <c r="Q222" i="11" s="1"/>
  <c r="B223" i="11" a="1"/>
  <c r="B223" i="11" s="1"/>
  <c r="C223" i="11" a="1"/>
  <c r="C223" i="11" s="1"/>
  <c r="D223" i="11" a="1"/>
  <c r="D223" i="11" s="1"/>
  <c r="E223" i="11" a="1"/>
  <c r="E223" i="11" s="1"/>
  <c r="F223" i="11" a="1"/>
  <c r="F223" i="11" s="1"/>
  <c r="G223" i="11" a="1"/>
  <c r="G223" i="11" s="1"/>
  <c r="H223" i="11" a="1"/>
  <c r="H223" i="11" s="1"/>
  <c r="I223" i="11" a="1"/>
  <c r="I223" i="11" s="1"/>
  <c r="J223" i="11" a="1"/>
  <c r="J223" i="11" s="1"/>
  <c r="K223" i="11" a="1"/>
  <c r="K223" i="11" s="1"/>
  <c r="L223" i="11" a="1"/>
  <c r="L223" i="11" s="1"/>
  <c r="M223" i="11" a="1"/>
  <c r="M223" i="11" s="1"/>
  <c r="N223" i="11" a="1"/>
  <c r="N223" i="11" s="1"/>
  <c r="O223" i="11" a="1"/>
  <c r="O223" i="11" s="1"/>
  <c r="P223" i="11" a="1"/>
  <c r="P223" i="11" s="1"/>
  <c r="Q223" i="11" a="1"/>
  <c r="Q223" i="11" s="1"/>
  <c r="B224" i="11" a="1"/>
  <c r="B224" i="11" s="1"/>
  <c r="C224" i="11" a="1"/>
  <c r="C224" i="11" s="1"/>
  <c r="D224" i="11" a="1"/>
  <c r="D224" i="11" s="1"/>
  <c r="E224" i="11" a="1"/>
  <c r="E224" i="11" s="1"/>
  <c r="F224" i="11" a="1"/>
  <c r="F224" i="11" s="1"/>
  <c r="G224" i="11" a="1"/>
  <c r="G224" i="11" s="1"/>
  <c r="H224" i="11" a="1"/>
  <c r="H224" i="11" s="1"/>
  <c r="I224" i="11" a="1"/>
  <c r="I224" i="11" s="1"/>
  <c r="J224" i="11" a="1"/>
  <c r="J224" i="11" s="1"/>
  <c r="K224" i="11" a="1"/>
  <c r="K224" i="11" s="1"/>
  <c r="L224" i="11" a="1"/>
  <c r="L224" i="11" s="1"/>
  <c r="M224" i="11" a="1"/>
  <c r="M224" i="11" s="1"/>
  <c r="N224" i="11" a="1"/>
  <c r="N224" i="11" s="1"/>
  <c r="O224" i="11" a="1"/>
  <c r="O224" i="11" s="1"/>
  <c r="P224" i="11" a="1"/>
  <c r="P224" i="11" s="1"/>
  <c r="Q224" i="11" a="1"/>
  <c r="Q224" i="11" s="1"/>
  <c r="B225" i="11" a="1"/>
  <c r="B225" i="11" s="1"/>
  <c r="C225" i="11" a="1"/>
  <c r="C225" i="11" s="1"/>
  <c r="D225" i="11" a="1"/>
  <c r="D225" i="11" s="1"/>
  <c r="E225" i="11" a="1"/>
  <c r="E225" i="11" s="1"/>
  <c r="F225" i="11" a="1"/>
  <c r="F225" i="11" s="1"/>
  <c r="G225" i="11" a="1"/>
  <c r="G225" i="11" s="1"/>
  <c r="H225" i="11" a="1"/>
  <c r="H225" i="11" s="1"/>
  <c r="I225" i="11" a="1"/>
  <c r="I225" i="11" s="1"/>
  <c r="J225" i="11" a="1"/>
  <c r="J225" i="11" s="1"/>
  <c r="K225" i="11" a="1"/>
  <c r="K225" i="11" s="1"/>
  <c r="L225" i="11" a="1"/>
  <c r="L225" i="11" s="1"/>
  <c r="M225" i="11" a="1"/>
  <c r="M225" i="11" s="1"/>
  <c r="N225" i="11" a="1"/>
  <c r="N225" i="11" s="1"/>
  <c r="O225" i="11" a="1"/>
  <c r="O225" i="11" s="1"/>
  <c r="P225" i="11" a="1"/>
  <c r="P225" i="11" s="1"/>
  <c r="Q225" i="11" a="1"/>
  <c r="Q225" i="11" s="1"/>
  <c r="B226" i="11" a="1"/>
  <c r="B226" i="11" s="1"/>
  <c r="C226" i="11" a="1"/>
  <c r="C226" i="11" s="1"/>
  <c r="D226" i="11" a="1"/>
  <c r="D226" i="11" s="1"/>
  <c r="E226" i="11" a="1"/>
  <c r="E226" i="11" s="1"/>
  <c r="F226" i="11" a="1"/>
  <c r="F226" i="11" s="1"/>
  <c r="G226" i="11" a="1"/>
  <c r="G226" i="11" s="1"/>
  <c r="H226" i="11" a="1"/>
  <c r="H226" i="11" s="1"/>
  <c r="I226" i="11" a="1"/>
  <c r="I226" i="11" s="1"/>
  <c r="J226" i="11" a="1"/>
  <c r="J226" i="11" s="1"/>
  <c r="K226" i="11" a="1"/>
  <c r="K226" i="11" s="1"/>
  <c r="L226" i="11" a="1"/>
  <c r="L226" i="11" s="1"/>
  <c r="M226" i="11" a="1"/>
  <c r="M226" i="11" s="1"/>
  <c r="N226" i="11" a="1"/>
  <c r="N226" i="11" s="1"/>
  <c r="O226" i="11" a="1"/>
  <c r="O226" i="11" s="1"/>
  <c r="P226" i="11" a="1"/>
  <c r="P226" i="11" s="1"/>
  <c r="Q226" i="11" a="1"/>
  <c r="Q226" i="11" s="1"/>
  <c r="B227" i="11" a="1"/>
  <c r="B227" i="11" s="1"/>
  <c r="C227" i="11" a="1"/>
  <c r="C227" i="11" s="1"/>
  <c r="D227" i="11" a="1"/>
  <c r="D227" i="11" s="1"/>
  <c r="E227" i="11" a="1"/>
  <c r="E227" i="11" s="1"/>
  <c r="F227" i="11" a="1"/>
  <c r="F227" i="11" s="1"/>
  <c r="G227" i="11" a="1"/>
  <c r="G227" i="11" s="1"/>
  <c r="H227" i="11" a="1"/>
  <c r="H227" i="11" s="1"/>
  <c r="I227" i="11" a="1"/>
  <c r="I227" i="11" s="1"/>
  <c r="J227" i="11" a="1"/>
  <c r="J227" i="11" s="1"/>
  <c r="K227" i="11" a="1"/>
  <c r="K227" i="11"/>
  <c r="L227" i="11" a="1"/>
  <c r="L227" i="11" s="1"/>
  <c r="M227" i="11" a="1"/>
  <c r="M227" i="11" s="1"/>
  <c r="N227" i="11" a="1"/>
  <c r="N227" i="11" s="1"/>
  <c r="O227" i="11" a="1"/>
  <c r="O227" i="11" s="1"/>
  <c r="P227" i="11" a="1"/>
  <c r="P227" i="11" s="1"/>
  <c r="Q227" i="11" a="1"/>
  <c r="Q227" i="11" s="1"/>
  <c r="B228" i="11" a="1"/>
  <c r="B228" i="11" s="1"/>
  <c r="C228" i="11" a="1"/>
  <c r="C228" i="11" s="1"/>
  <c r="D228" i="11" a="1"/>
  <c r="D228" i="11" s="1"/>
  <c r="E228" i="11" a="1"/>
  <c r="E228" i="11" s="1"/>
  <c r="F228" i="11" a="1"/>
  <c r="F228" i="11" s="1"/>
  <c r="G228" i="11" a="1"/>
  <c r="G228" i="11" s="1"/>
  <c r="H228" i="11" a="1"/>
  <c r="H228" i="11" s="1"/>
  <c r="I228" i="11" a="1"/>
  <c r="I228" i="11" s="1"/>
  <c r="J228" i="11" a="1"/>
  <c r="J228" i="11" s="1"/>
  <c r="K228" i="11" a="1"/>
  <c r="K228" i="11" s="1"/>
  <c r="L228" i="11" a="1"/>
  <c r="L228" i="11" s="1"/>
  <c r="M228" i="11" a="1"/>
  <c r="M228" i="11" s="1"/>
  <c r="N228" i="11" a="1"/>
  <c r="N228" i="11" s="1"/>
  <c r="O228" i="11" a="1"/>
  <c r="O228" i="11" s="1"/>
  <c r="P228" i="11" a="1"/>
  <c r="P228" i="11" s="1"/>
  <c r="Q228" i="11" a="1"/>
  <c r="Q228" i="11" s="1"/>
  <c r="B229" i="11" a="1"/>
  <c r="B229" i="11" s="1"/>
  <c r="C229" i="11" a="1"/>
  <c r="C229" i="11" s="1"/>
  <c r="D229" i="11" a="1"/>
  <c r="D229" i="11" s="1"/>
  <c r="E229" i="11" a="1"/>
  <c r="E229" i="11" s="1"/>
  <c r="F229" i="11" a="1"/>
  <c r="F229" i="11" s="1"/>
  <c r="G229" i="11" a="1"/>
  <c r="G229" i="11" s="1"/>
  <c r="H229" i="11" a="1"/>
  <c r="H229" i="11" s="1"/>
  <c r="I229" i="11" a="1"/>
  <c r="I229" i="11" s="1"/>
  <c r="J229" i="11" a="1"/>
  <c r="J229" i="11" s="1"/>
  <c r="K229" i="11" a="1"/>
  <c r="K229" i="11"/>
  <c r="L229" i="11" a="1"/>
  <c r="L229" i="11" s="1"/>
  <c r="M229" i="11" a="1"/>
  <c r="M229" i="11" s="1"/>
  <c r="N229" i="11" a="1"/>
  <c r="N229" i="11" s="1"/>
  <c r="O229" i="11" a="1"/>
  <c r="O229" i="11" s="1"/>
  <c r="P229" i="11" a="1"/>
  <c r="P229" i="11" s="1"/>
  <c r="Q229" i="11" a="1"/>
  <c r="Q229" i="11" s="1"/>
  <c r="B230" i="11" a="1"/>
  <c r="B230" i="11" s="1"/>
  <c r="C230" i="11" a="1"/>
  <c r="C230" i="11" s="1"/>
  <c r="D230" i="11" a="1"/>
  <c r="D230" i="11" s="1"/>
  <c r="E230" i="11" a="1"/>
  <c r="E230" i="11" s="1"/>
  <c r="F230" i="11" a="1"/>
  <c r="F230" i="11" s="1"/>
  <c r="G230" i="11" a="1"/>
  <c r="G230" i="11" s="1"/>
  <c r="H230" i="11" a="1"/>
  <c r="H230" i="11" s="1"/>
  <c r="I230" i="11" a="1"/>
  <c r="I230" i="11" s="1"/>
  <c r="J230" i="11" a="1"/>
  <c r="J230" i="11" s="1"/>
  <c r="K230" i="11" a="1"/>
  <c r="K230" i="11" s="1"/>
  <c r="L230" i="11" a="1"/>
  <c r="L230" i="11" s="1"/>
  <c r="M230" i="11" a="1"/>
  <c r="M230" i="11" s="1"/>
  <c r="N230" i="11" a="1"/>
  <c r="N230" i="11" s="1"/>
  <c r="O230" i="11" a="1"/>
  <c r="O230" i="11" s="1"/>
  <c r="P230" i="11" a="1"/>
  <c r="P230" i="11" s="1"/>
  <c r="Q230" i="11" a="1"/>
  <c r="Q230" i="11" s="1"/>
  <c r="B231" i="11" a="1"/>
  <c r="B231" i="11" s="1"/>
  <c r="C231" i="11" a="1"/>
  <c r="C231" i="11" s="1"/>
  <c r="D231" i="11" a="1"/>
  <c r="D231" i="11" s="1"/>
  <c r="E231" i="11" a="1"/>
  <c r="E231" i="11" s="1"/>
  <c r="F231" i="11" a="1"/>
  <c r="F231" i="11" s="1"/>
  <c r="G231" i="11" a="1"/>
  <c r="G231" i="11" s="1"/>
  <c r="H231" i="11" a="1"/>
  <c r="H231" i="11" s="1"/>
  <c r="I231" i="11" a="1"/>
  <c r="I231" i="11" s="1"/>
  <c r="J231" i="11" a="1"/>
  <c r="J231" i="11" s="1"/>
  <c r="K231" i="11" a="1"/>
  <c r="K231" i="11" s="1"/>
  <c r="L231" i="11" a="1"/>
  <c r="L231" i="11" s="1"/>
  <c r="M231" i="11" a="1"/>
  <c r="M231" i="11" s="1"/>
  <c r="N231" i="11" a="1"/>
  <c r="N231" i="11" s="1"/>
  <c r="O231" i="11" a="1"/>
  <c r="O231" i="11" s="1"/>
  <c r="P231" i="11" a="1"/>
  <c r="P231" i="11" s="1"/>
  <c r="Q231" i="11" a="1"/>
  <c r="Q231" i="11" s="1"/>
  <c r="B232" i="11" a="1"/>
  <c r="B232" i="11" s="1"/>
  <c r="C232" i="11" a="1"/>
  <c r="C232" i="11" s="1"/>
  <c r="D232" i="11" a="1"/>
  <c r="D232" i="11" s="1"/>
  <c r="E232" i="11" a="1"/>
  <c r="E232" i="11" s="1"/>
  <c r="F232" i="11" a="1"/>
  <c r="F232" i="11" s="1"/>
  <c r="G232" i="11" a="1"/>
  <c r="G232" i="11" s="1"/>
  <c r="H232" i="11" a="1"/>
  <c r="H232" i="11" s="1"/>
  <c r="I232" i="11" a="1"/>
  <c r="I232" i="11" s="1"/>
  <c r="J232" i="11" a="1"/>
  <c r="J232" i="11" s="1"/>
  <c r="K232" i="11" a="1"/>
  <c r="K232" i="11" s="1"/>
  <c r="L232" i="11" a="1"/>
  <c r="L232" i="11" s="1"/>
  <c r="M232" i="11" a="1"/>
  <c r="M232" i="11" s="1"/>
  <c r="N232" i="11" a="1"/>
  <c r="N232" i="11" s="1"/>
  <c r="O232" i="11" a="1"/>
  <c r="O232" i="11" s="1"/>
  <c r="P232" i="11" a="1"/>
  <c r="P232" i="11" s="1"/>
  <c r="Q232" i="11" a="1"/>
  <c r="Q232" i="11" s="1"/>
  <c r="B233" i="11" a="1"/>
  <c r="B233" i="11" s="1"/>
  <c r="C233" i="11" a="1"/>
  <c r="C233" i="11" s="1"/>
  <c r="D233" i="11" a="1"/>
  <c r="D233" i="11" s="1"/>
  <c r="E233" i="11" a="1"/>
  <c r="E233" i="11" s="1"/>
  <c r="F233" i="11" a="1"/>
  <c r="F233" i="11" s="1"/>
  <c r="G233" i="11" a="1"/>
  <c r="G233" i="11" s="1"/>
  <c r="H233" i="11" a="1"/>
  <c r="H233" i="11" s="1"/>
  <c r="I233" i="11" a="1"/>
  <c r="I233" i="11" s="1"/>
  <c r="J233" i="11" a="1"/>
  <c r="J233" i="11" s="1"/>
  <c r="K233" i="11" a="1"/>
  <c r="K233" i="11" s="1"/>
  <c r="L233" i="11" a="1"/>
  <c r="L233" i="11" s="1"/>
  <c r="M233" i="11" a="1"/>
  <c r="M233" i="11" s="1"/>
  <c r="N233" i="11" a="1"/>
  <c r="N233" i="11" s="1"/>
  <c r="O233" i="11" a="1"/>
  <c r="O233" i="11" s="1"/>
  <c r="P233" i="11" a="1"/>
  <c r="P233" i="11" s="1"/>
  <c r="Q233" i="11" a="1"/>
  <c r="Q233" i="11" s="1"/>
  <c r="B234" i="11" a="1"/>
  <c r="B234" i="11" s="1"/>
  <c r="C234" i="11" a="1"/>
  <c r="C234" i="11" s="1"/>
  <c r="D234" i="11" a="1"/>
  <c r="D234" i="11" s="1"/>
  <c r="E234" i="11" a="1"/>
  <c r="E234" i="11" s="1"/>
  <c r="F234" i="11" a="1"/>
  <c r="F234" i="11" s="1"/>
  <c r="G234" i="11" a="1"/>
  <c r="G234" i="11" s="1"/>
  <c r="H234" i="11" a="1"/>
  <c r="H234" i="11" s="1"/>
  <c r="I234" i="11" a="1"/>
  <c r="I234" i="11" s="1"/>
  <c r="J234" i="11" a="1"/>
  <c r="J234" i="11" s="1"/>
  <c r="K234" i="11" a="1"/>
  <c r="K234" i="11" s="1"/>
  <c r="L234" i="11" a="1"/>
  <c r="L234" i="11" s="1"/>
  <c r="M234" i="11" a="1"/>
  <c r="M234" i="11" s="1"/>
  <c r="N234" i="11" a="1"/>
  <c r="N234" i="11" s="1"/>
  <c r="O234" i="11" a="1"/>
  <c r="O234" i="11" s="1"/>
  <c r="P234" i="11" a="1"/>
  <c r="P234" i="11" s="1"/>
  <c r="Q234" i="11" a="1"/>
  <c r="Q234" i="11" s="1"/>
  <c r="B235" i="11" a="1"/>
  <c r="B235" i="11" s="1"/>
  <c r="C235" i="11" a="1"/>
  <c r="C235" i="11" s="1"/>
  <c r="D235" i="11" a="1"/>
  <c r="D235" i="11" s="1"/>
  <c r="E235" i="11" a="1"/>
  <c r="E235" i="11" s="1"/>
  <c r="F235" i="11" a="1"/>
  <c r="F235" i="11" s="1"/>
  <c r="G235" i="11" a="1"/>
  <c r="G235" i="11" s="1"/>
  <c r="H235" i="11" a="1"/>
  <c r="H235" i="11" s="1"/>
  <c r="I235" i="11" a="1"/>
  <c r="I235" i="11" s="1"/>
  <c r="J235" i="11" a="1"/>
  <c r="J235" i="11" s="1"/>
  <c r="K235" i="11" a="1"/>
  <c r="K235" i="11" s="1"/>
  <c r="L235" i="11" a="1"/>
  <c r="L235" i="11" s="1"/>
  <c r="M235" i="11" a="1"/>
  <c r="M235" i="11" s="1"/>
  <c r="N235" i="11" a="1"/>
  <c r="N235" i="11" s="1"/>
  <c r="O235" i="11" a="1"/>
  <c r="O235" i="11" s="1"/>
  <c r="P235" i="11" a="1"/>
  <c r="P235" i="11" s="1"/>
  <c r="Q235" i="11" a="1"/>
  <c r="Q235" i="11" s="1"/>
  <c r="B236" i="11" a="1"/>
  <c r="B236" i="11" s="1"/>
  <c r="C236" i="11" a="1"/>
  <c r="C236" i="11" s="1"/>
  <c r="D236" i="11" a="1"/>
  <c r="D236" i="11" s="1"/>
  <c r="E236" i="11" a="1"/>
  <c r="E236" i="11" s="1"/>
  <c r="F236" i="11" a="1"/>
  <c r="F236" i="11" s="1"/>
  <c r="G236" i="11" a="1"/>
  <c r="G236" i="11" s="1"/>
  <c r="H236" i="11" a="1"/>
  <c r="H236" i="11" s="1"/>
  <c r="I236" i="11" a="1"/>
  <c r="I236" i="11" s="1"/>
  <c r="J236" i="11" a="1"/>
  <c r="J236" i="11" s="1"/>
  <c r="K236" i="11" a="1"/>
  <c r="K236" i="11" s="1"/>
  <c r="L236" i="11" a="1"/>
  <c r="L236" i="11" s="1"/>
  <c r="M236" i="11" a="1"/>
  <c r="M236" i="11" s="1"/>
  <c r="N236" i="11" a="1"/>
  <c r="N236" i="11" s="1"/>
  <c r="O236" i="11" a="1"/>
  <c r="O236" i="11" s="1"/>
  <c r="P236" i="11" a="1"/>
  <c r="P236" i="11" s="1"/>
  <c r="Q236" i="11" a="1"/>
  <c r="Q236" i="11" s="1"/>
  <c r="B237" i="11" a="1"/>
  <c r="B237" i="11" s="1"/>
  <c r="C237" i="11" a="1"/>
  <c r="C237" i="11" s="1"/>
  <c r="D237" i="11" a="1"/>
  <c r="D237" i="11" s="1"/>
  <c r="E237" i="11" a="1"/>
  <c r="E237" i="11" s="1"/>
  <c r="F237" i="11" a="1"/>
  <c r="F237" i="11" s="1"/>
  <c r="G237" i="11" a="1"/>
  <c r="G237" i="11" s="1"/>
  <c r="H237" i="11" a="1"/>
  <c r="H237" i="11" s="1"/>
  <c r="I237" i="11" a="1"/>
  <c r="I237" i="11" s="1"/>
  <c r="J237" i="11" a="1"/>
  <c r="J237" i="11" s="1"/>
  <c r="K237" i="11" a="1"/>
  <c r="K237" i="11"/>
  <c r="L237" i="11" a="1"/>
  <c r="L237" i="11" s="1"/>
  <c r="M237" i="11" a="1"/>
  <c r="M237" i="11" s="1"/>
  <c r="N237" i="11" a="1"/>
  <c r="N237" i="11" s="1"/>
  <c r="O237" i="11" a="1"/>
  <c r="O237" i="11" s="1"/>
  <c r="P237" i="11" a="1"/>
  <c r="P237" i="11" s="1"/>
  <c r="Q237" i="11" a="1"/>
  <c r="Q237" i="11" s="1"/>
  <c r="B238" i="11" a="1"/>
  <c r="B238" i="11" s="1"/>
  <c r="C238" i="11" a="1"/>
  <c r="C238" i="11" s="1"/>
  <c r="D238" i="11" a="1"/>
  <c r="D238" i="11" s="1"/>
  <c r="E238" i="11" a="1"/>
  <c r="E238" i="11" s="1"/>
  <c r="F238" i="11" a="1"/>
  <c r="F238" i="11" s="1"/>
  <c r="G238" i="11" a="1"/>
  <c r="G238" i="11" s="1"/>
  <c r="H238" i="11" a="1"/>
  <c r="H238" i="11" s="1"/>
  <c r="I238" i="11" a="1"/>
  <c r="I238" i="11" s="1"/>
  <c r="J238" i="11" a="1"/>
  <c r="J238" i="11" s="1"/>
  <c r="K238" i="11" a="1"/>
  <c r="K238" i="11" s="1"/>
  <c r="L238" i="11" a="1"/>
  <c r="L238" i="11" s="1"/>
  <c r="M238" i="11" a="1"/>
  <c r="M238" i="11" s="1"/>
  <c r="N238" i="11" a="1"/>
  <c r="N238" i="11" s="1"/>
  <c r="O238" i="11" a="1"/>
  <c r="O238" i="11" s="1"/>
  <c r="P238" i="11" a="1"/>
  <c r="P238" i="11" s="1"/>
  <c r="Q238" i="11" a="1"/>
  <c r="Q238" i="11" s="1"/>
  <c r="B239" i="11" a="1"/>
  <c r="B239" i="11" s="1"/>
  <c r="C239" i="11" a="1"/>
  <c r="C239" i="11" s="1"/>
  <c r="D239" i="11" a="1"/>
  <c r="D239" i="11" s="1"/>
  <c r="E239" i="11" a="1"/>
  <c r="E239" i="11" s="1"/>
  <c r="F239" i="11" a="1"/>
  <c r="F239" i="11" s="1"/>
  <c r="G239" i="11" a="1"/>
  <c r="G239" i="11" s="1"/>
  <c r="H239" i="11" a="1"/>
  <c r="H239" i="11" s="1"/>
  <c r="I239" i="11" a="1"/>
  <c r="I239" i="11" s="1"/>
  <c r="J239" i="11" a="1"/>
  <c r="J239" i="11" s="1"/>
  <c r="K239" i="11" a="1"/>
  <c r="K239" i="11" s="1"/>
  <c r="L239" i="11" a="1"/>
  <c r="L239" i="11" s="1"/>
  <c r="M239" i="11" a="1"/>
  <c r="M239" i="11" s="1"/>
  <c r="N239" i="11" a="1"/>
  <c r="N239" i="11" s="1"/>
  <c r="O239" i="11" a="1"/>
  <c r="O239" i="11" s="1"/>
  <c r="P239" i="11" a="1"/>
  <c r="P239" i="11" s="1"/>
  <c r="Q239" i="11" a="1"/>
  <c r="Q239" i="11" s="1"/>
  <c r="B240" i="11" a="1"/>
  <c r="B240" i="11" s="1"/>
  <c r="C240" i="11" a="1"/>
  <c r="C240" i="11" s="1"/>
  <c r="D240" i="11" a="1"/>
  <c r="D240" i="11" s="1"/>
  <c r="E240" i="11" a="1"/>
  <c r="E240" i="11" s="1"/>
  <c r="F240" i="11" a="1"/>
  <c r="F240" i="11" s="1"/>
  <c r="G240" i="11" a="1"/>
  <c r="G240" i="11" s="1"/>
  <c r="H240" i="11" a="1"/>
  <c r="H240" i="11" s="1"/>
  <c r="I240" i="11" a="1"/>
  <c r="I240" i="11" s="1"/>
  <c r="J240" i="11" a="1"/>
  <c r="J240" i="11" s="1"/>
  <c r="K240" i="11" a="1"/>
  <c r="K240" i="11" s="1"/>
  <c r="L240" i="11" a="1"/>
  <c r="L240" i="11" s="1"/>
  <c r="M240" i="11" a="1"/>
  <c r="M240" i="11" s="1"/>
  <c r="N240" i="11" a="1"/>
  <c r="N240" i="11" s="1"/>
  <c r="O240" i="11" a="1"/>
  <c r="O240" i="11" s="1"/>
  <c r="P240" i="11" a="1"/>
  <c r="P240" i="11" s="1"/>
  <c r="Q240" i="11" a="1"/>
  <c r="Q240" i="11" s="1"/>
  <c r="B241" i="11" a="1"/>
  <c r="B241" i="11" s="1"/>
  <c r="C241" i="11" a="1"/>
  <c r="C241" i="11" s="1"/>
  <c r="D241" i="11" a="1"/>
  <c r="D241" i="11" s="1"/>
  <c r="E241" i="11" a="1"/>
  <c r="E241" i="11" s="1"/>
  <c r="F241" i="11" a="1"/>
  <c r="F241" i="11" s="1"/>
  <c r="G241" i="11" a="1"/>
  <c r="G241" i="11" s="1"/>
  <c r="H241" i="11" a="1"/>
  <c r="H241" i="11" s="1"/>
  <c r="I241" i="11" a="1"/>
  <c r="I241" i="11" s="1"/>
  <c r="J241" i="11" a="1"/>
  <c r="J241" i="11" s="1"/>
  <c r="K241" i="11" a="1"/>
  <c r="K241" i="11" s="1"/>
  <c r="L241" i="11" a="1"/>
  <c r="L241" i="11" s="1"/>
  <c r="M241" i="11" a="1"/>
  <c r="M241" i="11" s="1"/>
  <c r="N241" i="11" a="1"/>
  <c r="N241" i="11" s="1"/>
  <c r="O241" i="11" a="1"/>
  <c r="O241" i="11" s="1"/>
  <c r="P241" i="11" a="1"/>
  <c r="P241" i="11" s="1"/>
  <c r="Q241" i="11" a="1"/>
  <c r="Q241" i="11" s="1"/>
  <c r="B242" i="11" a="1"/>
  <c r="B242" i="11" s="1"/>
  <c r="C242" i="11" a="1"/>
  <c r="C242" i="11" s="1"/>
  <c r="D242" i="11" a="1"/>
  <c r="D242" i="11" s="1"/>
  <c r="E242" i="11" a="1"/>
  <c r="E242" i="11" s="1"/>
  <c r="F242" i="11" a="1"/>
  <c r="F242" i="11" s="1"/>
  <c r="G242" i="11" a="1"/>
  <c r="G242" i="11" s="1"/>
  <c r="H242" i="11" a="1"/>
  <c r="H242" i="11" s="1"/>
  <c r="I242" i="11" a="1"/>
  <c r="I242" i="11" s="1"/>
  <c r="J242" i="11" a="1"/>
  <c r="J242" i="11" s="1"/>
  <c r="K242" i="11" a="1"/>
  <c r="K242" i="11" s="1"/>
  <c r="L242" i="11" a="1"/>
  <c r="L242" i="11" s="1"/>
  <c r="M242" i="11" a="1"/>
  <c r="M242" i="11" s="1"/>
  <c r="N242" i="11" a="1"/>
  <c r="N242" i="11" s="1"/>
  <c r="O242" i="11" a="1"/>
  <c r="O242" i="11" s="1"/>
  <c r="P242" i="11" a="1"/>
  <c r="P242" i="11" s="1"/>
  <c r="Q242" i="11" a="1"/>
  <c r="Q242" i="11" s="1"/>
  <c r="B243" i="11" a="1"/>
  <c r="B243" i="11" s="1"/>
  <c r="C243" i="11" a="1"/>
  <c r="C243" i="11" s="1"/>
  <c r="D243" i="11" a="1"/>
  <c r="D243" i="11" s="1"/>
  <c r="E243" i="11" a="1"/>
  <c r="E243" i="11" s="1"/>
  <c r="F243" i="11" a="1"/>
  <c r="F243" i="11" s="1"/>
  <c r="G243" i="11" a="1"/>
  <c r="G243" i="11" s="1"/>
  <c r="H243" i="11" a="1"/>
  <c r="H243" i="11" s="1"/>
  <c r="I243" i="11" a="1"/>
  <c r="I243" i="11" s="1"/>
  <c r="J243" i="11" a="1"/>
  <c r="J243" i="11" s="1"/>
  <c r="K243" i="11" a="1"/>
  <c r="K243" i="11" s="1"/>
  <c r="L243" i="11" a="1"/>
  <c r="L243" i="11" s="1"/>
  <c r="M243" i="11" a="1"/>
  <c r="M243" i="11" s="1"/>
  <c r="N243" i="11" a="1"/>
  <c r="N243" i="11" s="1"/>
  <c r="O243" i="11" a="1"/>
  <c r="O243" i="11" s="1"/>
  <c r="P243" i="11" a="1"/>
  <c r="P243" i="11" s="1"/>
  <c r="Q243" i="11" a="1"/>
  <c r="Q243" i="11" s="1"/>
  <c r="B244" i="11" a="1"/>
  <c r="B244" i="11" s="1"/>
  <c r="C244" i="11" a="1"/>
  <c r="C244" i="11" s="1"/>
  <c r="D244" i="11" a="1"/>
  <c r="D244" i="11" s="1"/>
  <c r="E244" i="11" a="1"/>
  <c r="E244" i="11" s="1"/>
  <c r="F244" i="11" a="1"/>
  <c r="F244" i="11" s="1"/>
  <c r="G244" i="11" a="1"/>
  <c r="G244" i="11" s="1"/>
  <c r="H244" i="11" a="1"/>
  <c r="H244" i="11" s="1"/>
  <c r="I244" i="11" a="1"/>
  <c r="I244" i="11" s="1"/>
  <c r="J244" i="11" a="1"/>
  <c r="J244" i="11" s="1"/>
  <c r="K244" i="11" a="1"/>
  <c r="K244" i="11" s="1"/>
  <c r="L244" i="11" a="1"/>
  <c r="L244" i="11" s="1"/>
  <c r="M244" i="11" a="1"/>
  <c r="M244" i="11" s="1"/>
  <c r="N244" i="11" a="1"/>
  <c r="N244" i="11" s="1"/>
  <c r="O244" i="11" a="1"/>
  <c r="O244" i="11" s="1"/>
  <c r="P244" i="11" a="1"/>
  <c r="P244" i="11" s="1"/>
  <c r="Q244" i="11" a="1"/>
  <c r="Q244" i="11" s="1"/>
  <c r="B245" i="11" a="1"/>
  <c r="B245" i="11" s="1"/>
  <c r="C245" i="11" a="1"/>
  <c r="C245" i="11" s="1"/>
  <c r="D245" i="11" a="1"/>
  <c r="D245" i="11" s="1"/>
  <c r="E245" i="11" a="1"/>
  <c r="E245" i="11" s="1"/>
  <c r="F245" i="11" a="1"/>
  <c r="F245" i="11" s="1"/>
  <c r="G245" i="11" a="1"/>
  <c r="G245" i="11" s="1"/>
  <c r="H245" i="11" a="1"/>
  <c r="H245" i="11" s="1"/>
  <c r="I245" i="11" a="1"/>
  <c r="I245" i="11" s="1"/>
  <c r="J245" i="11" a="1"/>
  <c r="J245" i="11" s="1"/>
  <c r="K245" i="11" a="1"/>
  <c r="K245" i="11"/>
  <c r="L245" i="11" a="1"/>
  <c r="L245" i="11" s="1"/>
  <c r="M245" i="11" a="1"/>
  <c r="M245" i="11" s="1"/>
  <c r="N245" i="11" a="1"/>
  <c r="N245" i="11" s="1"/>
  <c r="O245" i="11" a="1"/>
  <c r="O245" i="11" s="1"/>
  <c r="P245" i="11" a="1"/>
  <c r="P245" i="11" s="1"/>
  <c r="Q245" i="11" a="1"/>
  <c r="Q245" i="11" s="1"/>
  <c r="B246" i="11" a="1"/>
  <c r="B246" i="11" s="1"/>
  <c r="C246" i="11" a="1"/>
  <c r="C246" i="11" s="1"/>
  <c r="D246" i="11" a="1"/>
  <c r="D246" i="11" s="1"/>
  <c r="E246" i="11" a="1"/>
  <c r="E246" i="11" s="1"/>
  <c r="F246" i="11" a="1"/>
  <c r="F246" i="11" s="1"/>
  <c r="G246" i="11" a="1"/>
  <c r="G246" i="11" s="1"/>
  <c r="H246" i="11" a="1"/>
  <c r="H246" i="11" s="1"/>
  <c r="I246" i="11" a="1"/>
  <c r="I246" i="11" s="1"/>
  <c r="J246" i="11" a="1"/>
  <c r="J246" i="11" s="1"/>
  <c r="K246" i="11" a="1"/>
  <c r="K246" i="11" s="1"/>
  <c r="L246" i="11" a="1"/>
  <c r="L246" i="11" s="1"/>
  <c r="M246" i="11" a="1"/>
  <c r="M246" i="11" s="1"/>
  <c r="N246" i="11" a="1"/>
  <c r="N246" i="11" s="1"/>
  <c r="O246" i="11" a="1"/>
  <c r="O246" i="11" s="1"/>
  <c r="P246" i="11" a="1"/>
  <c r="P246" i="11" s="1"/>
  <c r="Q246" i="11" a="1"/>
  <c r="Q246" i="11" s="1"/>
  <c r="B247" i="11" a="1"/>
  <c r="B247" i="11" s="1"/>
  <c r="C247" i="11" a="1"/>
  <c r="C247" i="11" s="1"/>
  <c r="D247" i="11" a="1"/>
  <c r="D247" i="11" s="1"/>
  <c r="E247" i="11" a="1"/>
  <c r="E247" i="11" s="1"/>
  <c r="F247" i="11" a="1"/>
  <c r="F247" i="11" s="1"/>
  <c r="G247" i="11" a="1"/>
  <c r="G247" i="11" s="1"/>
  <c r="H247" i="11" a="1"/>
  <c r="H247" i="11" s="1"/>
  <c r="I247" i="11" a="1"/>
  <c r="I247" i="11" s="1"/>
  <c r="J247" i="11" a="1"/>
  <c r="J247" i="11" s="1"/>
  <c r="K247" i="11" a="1"/>
  <c r="K247" i="11" s="1"/>
  <c r="L247" i="11" a="1"/>
  <c r="L247" i="11" s="1"/>
  <c r="M247" i="11" a="1"/>
  <c r="M247" i="11" s="1"/>
  <c r="N247" i="11" a="1"/>
  <c r="N247" i="11" s="1"/>
  <c r="O247" i="11" a="1"/>
  <c r="O247" i="11" s="1"/>
  <c r="P247" i="11" a="1"/>
  <c r="P247" i="11" s="1"/>
  <c r="Q247" i="11" a="1"/>
  <c r="Q247" i="11" s="1"/>
  <c r="B248" i="11" a="1"/>
  <c r="B248" i="11" s="1"/>
  <c r="C248" i="11" a="1"/>
  <c r="C248" i="11" s="1"/>
  <c r="D248" i="11" a="1"/>
  <c r="D248" i="11" s="1"/>
  <c r="E248" i="11" a="1"/>
  <c r="E248" i="11" s="1"/>
  <c r="F248" i="11" a="1"/>
  <c r="F248" i="11" s="1"/>
  <c r="G248" i="11" a="1"/>
  <c r="G248" i="11" s="1"/>
  <c r="H248" i="11" a="1"/>
  <c r="H248" i="11" s="1"/>
  <c r="I248" i="11" a="1"/>
  <c r="I248" i="11" s="1"/>
  <c r="J248" i="11" a="1"/>
  <c r="J248" i="11" s="1"/>
  <c r="K248" i="11" a="1"/>
  <c r="K248" i="11" s="1"/>
  <c r="L248" i="11" a="1"/>
  <c r="L248" i="11" s="1"/>
  <c r="M248" i="11" a="1"/>
  <c r="M248" i="11" s="1"/>
  <c r="N248" i="11" a="1"/>
  <c r="N248" i="11" s="1"/>
  <c r="O248" i="11" a="1"/>
  <c r="O248" i="11" s="1"/>
  <c r="P248" i="11" a="1"/>
  <c r="P248" i="11" s="1"/>
  <c r="Q248" i="11" a="1"/>
  <c r="Q248" i="11" s="1"/>
  <c r="B249" i="11" a="1"/>
  <c r="B249" i="11" s="1"/>
  <c r="C249" i="11" a="1"/>
  <c r="C249" i="11" s="1"/>
  <c r="D249" i="11" a="1"/>
  <c r="D249" i="11" s="1"/>
  <c r="E249" i="11" a="1"/>
  <c r="E249" i="11" s="1"/>
  <c r="F249" i="11" a="1"/>
  <c r="F249" i="11" s="1"/>
  <c r="G249" i="11" a="1"/>
  <c r="G249" i="11" s="1"/>
  <c r="H249" i="11" a="1"/>
  <c r="H249" i="11" s="1"/>
  <c r="I249" i="11" a="1"/>
  <c r="I249" i="11" s="1"/>
  <c r="J249" i="11" a="1"/>
  <c r="J249" i="11" s="1"/>
  <c r="K249" i="11" a="1"/>
  <c r="K249" i="11" s="1"/>
  <c r="L249" i="11" a="1"/>
  <c r="L249" i="11" s="1"/>
  <c r="M249" i="11" a="1"/>
  <c r="M249" i="11" s="1"/>
  <c r="N249" i="11" a="1"/>
  <c r="N249" i="11" s="1"/>
  <c r="O249" i="11" a="1"/>
  <c r="O249" i="11" s="1"/>
  <c r="P249" i="11" a="1"/>
  <c r="P249" i="11" s="1"/>
  <c r="Q249" i="11" a="1"/>
  <c r="Q249" i="11" s="1"/>
  <c r="B250" i="11" a="1"/>
  <c r="B250" i="11" s="1"/>
  <c r="C250" i="11" a="1"/>
  <c r="C250" i="11" s="1"/>
  <c r="D250" i="11" a="1"/>
  <c r="D250" i="11" s="1"/>
  <c r="E250" i="11" a="1"/>
  <c r="E250" i="11" s="1"/>
  <c r="F250" i="11" a="1"/>
  <c r="F250" i="11" s="1"/>
  <c r="G250" i="11" a="1"/>
  <c r="G250" i="11" s="1"/>
  <c r="H250" i="11" a="1"/>
  <c r="H250" i="11" s="1"/>
  <c r="I250" i="11" a="1"/>
  <c r="I250" i="11" s="1"/>
  <c r="J250" i="11" a="1"/>
  <c r="J250" i="11" s="1"/>
  <c r="K250" i="11" a="1"/>
  <c r="K250" i="11" s="1"/>
  <c r="L250" i="11" a="1"/>
  <c r="L250" i="11" s="1"/>
  <c r="M250" i="11" a="1"/>
  <c r="M250" i="11" s="1"/>
  <c r="N250" i="11" a="1"/>
  <c r="N250" i="11" s="1"/>
  <c r="O250" i="11" a="1"/>
  <c r="O250" i="11" s="1"/>
  <c r="P250" i="11" a="1"/>
  <c r="P250" i="11" s="1"/>
  <c r="Q250" i="11" a="1"/>
  <c r="Q250" i="11" s="1"/>
  <c r="B251" i="11" a="1"/>
  <c r="B251" i="11" s="1"/>
  <c r="C251" i="11" a="1"/>
  <c r="C251" i="11" s="1"/>
  <c r="D251" i="11" a="1"/>
  <c r="D251" i="11" s="1"/>
  <c r="E251" i="11" a="1"/>
  <c r="E251" i="11" s="1"/>
  <c r="F251" i="11" a="1"/>
  <c r="F251" i="11" s="1"/>
  <c r="G251" i="11" a="1"/>
  <c r="G251" i="11" s="1"/>
  <c r="H251" i="11" a="1"/>
  <c r="H251" i="11" s="1"/>
  <c r="I251" i="11" a="1"/>
  <c r="I251" i="11" s="1"/>
  <c r="J251" i="11" a="1"/>
  <c r="J251" i="11" s="1"/>
  <c r="K251" i="11" a="1"/>
  <c r="K251" i="11" s="1"/>
  <c r="L251" i="11" a="1"/>
  <c r="L251" i="11" s="1"/>
  <c r="M251" i="11" a="1"/>
  <c r="M251" i="11" s="1"/>
  <c r="N251" i="11" a="1"/>
  <c r="N251" i="11" s="1"/>
  <c r="O251" i="11" a="1"/>
  <c r="O251" i="11" s="1"/>
  <c r="P251" i="11" a="1"/>
  <c r="P251" i="11" s="1"/>
  <c r="Q251" i="11" a="1"/>
  <c r="Q251" i="11" s="1"/>
  <c r="B252" i="11" a="1"/>
  <c r="B252" i="11" s="1"/>
  <c r="C252" i="11" a="1"/>
  <c r="C252" i="11" s="1"/>
  <c r="D252" i="11" a="1"/>
  <c r="D252" i="11" s="1"/>
  <c r="E252" i="11" a="1"/>
  <c r="E252" i="11" s="1"/>
  <c r="F252" i="11" a="1"/>
  <c r="F252" i="11" s="1"/>
  <c r="G252" i="11" a="1"/>
  <c r="G252" i="11" s="1"/>
  <c r="H252" i="11" a="1"/>
  <c r="H252" i="11" s="1"/>
  <c r="I252" i="11" a="1"/>
  <c r="I252" i="11" s="1"/>
  <c r="J252" i="11" a="1"/>
  <c r="J252" i="11" s="1"/>
  <c r="K252" i="11" a="1"/>
  <c r="K252" i="11" s="1"/>
  <c r="L252" i="11" a="1"/>
  <c r="L252" i="11" s="1"/>
  <c r="M252" i="11" a="1"/>
  <c r="M252" i="11" s="1"/>
  <c r="N252" i="11" a="1"/>
  <c r="N252" i="11" s="1"/>
  <c r="O252" i="11" a="1"/>
  <c r="O252" i="11" s="1"/>
  <c r="P252" i="11" a="1"/>
  <c r="P252" i="11" s="1"/>
  <c r="Q252" i="11" a="1"/>
  <c r="Q252" i="11" s="1"/>
  <c r="B253" i="11" a="1"/>
  <c r="B253" i="11" s="1"/>
  <c r="C253" i="11" a="1"/>
  <c r="C253" i="11" s="1"/>
  <c r="D253" i="11" a="1"/>
  <c r="D253" i="11" s="1"/>
  <c r="E253" i="11" a="1"/>
  <c r="E253" i="11" s="1"/>
  <c r="F253" i="11" a="1"/>
  <c r="F253" i="11" s="1"/>
  <c r="G253" i="11" a="1"/>
  <c r="G253" i="11" s="1"/>
  <c r="H253" i="11" a="1"/>
  <c r="H253" i="11" s="1"/>
  <c r="I253" i="11" a="1"/>
  <c r="I253" i="11" s="1"/>
  <c r="J253" i="11" a="1"/>
  <c r="J253" i="11" s="1"/>
  <c r="K253" i="11" a="1"/>
  <c r="K253" i="11"/>
  <c r="L253" i="11" a="1"/>
  <c r="L253" i="11" s="1"/>
  <c r="M253" i="11" a="1"/>
  <c r="M253" i="11" s="1"/>
  <c r="N253" i="11" a="1"/>
  <c r="N253" i="11" s="1"/>
  <c r="O253" i="11" a="1"/>
  <c r="O253" i="11" s="1"/>
  <c r="P253" i="11" a="1"/>
  <c r="P253" i="11" s="1"/>
  <c r="Q253" i="11" a="1"/>
  <c r="Q253" i="11" s="1"/>
  <c r="B254" i="11" a="1"/>
  <c r="B254" i="11" s="1"/>
  <c r="C254" i="11" a="1"/>
  <c r="C254" i="11" s="1"/>
  <c r="D254" i="11" a="1"/>
  <c r="D254" i="11" s="1"/>
  <c r="E254" i="11" a="1"/>
  <c r="E254" i="11" s="1"/>
  <c r="F254" i="11" a="1"/>
  <c r="F254" i="11" s="1"/>
  <c r="G254" i="11" a="1"/>
  <c r="G254" i="11" s="1"/>
  <c r="H254" i="11" a="1"/>
  <c r="H254" i="11" s="1"/>
  <c r="I254" i="11" a="1"/>
  <c r="I254" i="11" s="1"/>
  <c r="J254" i="11" a="1"/>
  <c r="J254" i="11" s="1"/>
  <c r="K254" i="11" a="1"/>
  <c r="K254" i="11" s="1"/>
  <c r="L254" i="11" a="1"/>
  <c r="L254" i="11" s="1"/>
  <c r="M254" i="11" a="1"/>
  <c r="M254" i="11" s="1"/>
  <c r="N254" i="11" a="1"/>
  <c r="N254" i="11" s="1"/>
  <c r="O254" i="11" a="1"/>
  <c r="O254" i="11" s="1"/>
  <c r="P254" i="11" a="1"/>
  <c r="P254" i="11"/>
  <c r="Q254" i="11" a="1"/>
  <c r="Q254" i="11"/>
  <c r="B255" i="11" a="1"/>
  <c r="B255" i="11" s="1"/>
  <c r="C255" i="11" a="1"/>
  <c r="C255" i="11"/>
  <c r="D255" i="11" a="1"/>
  <c r="D255" i="11" s="1"/>
  <c r="E255" i="11" a="1"/>
  <c r="E255" i="11"/>
  <c r="F255" i="11" a="1"/>
  <c r="F255" i="11" s="1"/>
  <c r="G255" i="11" a="1"/>
  <c r="G255" i="11"/>
  <c r="H255" i="11" a="1"/>
  <c r="H255" i="11"/>
  <c r="I255" i="11" a="1"/>
  <c r="I255" i="11" s="1"/>
  <c r="J255" i="11" a="1"/>
  <c r="J255" i="11"/>
  <c r="K255" i="11" a="1"/>
  <c r="K255" i="11"/>
  <c r="L255" i="11" a="1"/>
  <c r="L255" i="11" s="1"/>
  <c r="M255" i="11" a="1"/>
  <c r="M255" i="11"/>
  <c r="N255" i="11" a="1"/>
  <c r="N255" i="11"/>
  <c r="O255" i="11" a="1"/>
  <c r="O255" i="11"/>
  <c r="P255" i="11" a="1"/>
  <c r="P255" i="11"/>
  <c r="Q255" i="11" a="1"/>
  <c r="Q255" i="11"/>
  <c r="B256" i="11" a="1"/>
  <c r="B256" i="11" s="1"/>
  <c r="C256" i="11" a="1"/>
  <c r="C256" i="11" s="1"/>
  <c r="D256" i="11" a="1"/>
  <c r="D256" i="11"/>
  <c r="E256" i="11" a="1"/>
  <c r="E256" i="11" s="1"/>
  <c r="F256" i="11" a="1"/>
  <c r="F256" i="11" s="1"/>
  <c r="G256" i="11" a="1"/>
  <c r="G256" i="11"/>
  <c r="H256" i="11" a="1"/>
  <c r="H256" i="11" s="1"/>
  <c r="I256" i="11" a="1"/>
  <c r="I256" i="11" s="1"/>
  <c r="J256" i="11" a="1"/>
  <c r="J256" i="11"/>
  <c r="K256" i="11" a="1"/>
  <c r="K256" i="11"/>
  <c r="L256" i="11" a="1"/>
  <c r="L256" i="11"/>
  <c r="M256" i="11" a="1"/>
  <c r="M256" i="11"/>
  <c r="N256" i="11" a="1"/>
  <c r="N256" i="11" s="1"/>
  <c r="O256" i="11" a="1"/>
  <c r="O256" i="11"/>
  <c r="P256" i="11" a="1"/>
  <c r="P256" i="11"/>
  <c r="Q256" i="11" a="1"/>
  <c r="Q256" i="11" s="1"/>
  <c r="B257" i="11" a="1"/>
  <c r="B257" i="11" s="1"/>
  <c r="C257" i="11" a="1"/>
  <c r="C257" i="11"/>
  <c r="D257" i="11" a="1"/>
  <c r="D257" i="11" s="1"/>
  <c r="E257" i="11" a="1"/>
  <c r="E257" i="11" s="1"/>
  <c r="F257" i="11" a="1"/>
  <c r="F257" i="11"/>
  <c r="G257" i="11" a="1"/>
  <c r="G257" i="11"/>
  <c r="H257" i="11" a="1"/>
  <c r="H257" i="11"/>
  <c r="I257" i="11" a="1"/>
  <c r="I257" i="11"/>
  <c r="J257" i="11" a="1"/>
  <c r="J257" i="11" s="1"/>
  <c r="K257" i="11" a="1"/>
  <c r="K257" i="11"/>
  <c r="L257" i="11" a="1"/>
  <c r="L257" i="11"/>
  <c r="M257" i="11" a="1"/>
  <c r="M257" i="11" s="1"/>
  <c r="N257" i="11" a="1"/>
  <c r="N257" i="11" s="1"/>
  <c r="O257" i="11" a="1"/>
  <c r="O257" i="11"/>
  <c r="P257" i="11" a="1"/>
  <c r="P257" i="11" s="1"/>
  <c r="Q257" i="11" a="1"/>
  <c r="Q257" i="11"/>
  <c r="B258" i="11" a="1"/>
  <c r="B258" i="11"/>
  <c r="C258" i="11" a="1"/>
  <c r="C258" i="11" s="1"/>
  <c r="D258" i="11" a="1"/>
  <c r="D258" i="11"/>
  <c r="E258" i="11" a="1"/>
  <c r="E258" i="11"/>
  <c r="F258" i="11" a="1"/>
  <c r="F258" i="11" s="1"/>
  <c r="G258" i="11" a="1"/>
  <c r="G258" i="11" s="1"/>
  <c r="H258" i="11" a="1"/>
  <c r="H258" i="11"/>
  <c r="I258" i="11" a="1"/>
  <c r="I258" i="11"/>
  <c r="J258" i="11" a="1"/>
  <c r="J258" i="11" s="1"/>
  <c r="K258" i="11" a="1"/>
  <c r="K258" i="11"/>
  <c r="L258" i="11" a="1"/>
  <c r="L258" i="11" s="1"/>
  <c r="M258" i="11" a="1"/>
  <c r="M258" i="11"/>
  <c r="N258" i="11" a="1"/>
  <c r="N258" i="11"/>
  <c r="O258" i="11" a="1"/>
  <c r="O258" i="11" s="1"/>
  <c r="P258" i="11" a="1"/>
  <c r="P258" i="11" s="1"/>
  <c r="Q258" i="11" a="1"/>
  <c r="Q258" i="11"/>
  <c r="B259" i="11" a="1"/>
  <c r="B259" i="11" s="1"/>
  <c r="C259" i="11" a="1"/>
  <c r="C259" i="11" s="1"/>
  <c r="D259" i="11" a="1"/>
  <c r="D259" i="11"/>
  <c r="E259" i="11" a="1"/>
  <c r="E259" i="11"/>
  <c r="F259" i="11" a="1"/>
  <c r="F259" i="11"/>
  <c r="G259" i="11" a="1"/>
  <c r="G259" i="11"/>
  <c r="H259" i="11" a="1"/>
  <c r="H259" i="11" s="1"/>
  <c r="I259" i="11" a="1"/>
  <c r="I259" i="11" s="1"/>
  <c r="J259" i="11" a="1"/>
  <c r="J259" i="11"/>
  <c r="K259" i="11" a="1"/>
  <c r="K259" i="11"/>
  <c r="L259" i="11" a="1"/>
  <c r="L259" i="11" s="1"/>
  <c r="M259" i="11" a="1"/>
  <c r="M259" i="11"/>
  <c r="N259" i="11" a="1"/>
  <c r="N259" i="11" s="1"/>
  <c r="O259" i="11" a="1"/>
  <c r="O259" i="11" s="1"/>
  <c r="P259" i="11" a="1"/>
  <c r="P259" i="11"/>
  <c r="Q259" i="11" a="1"/>
  <c r="Q259" i="11" s="1"/>
  <c r="B260" i="11" a="1"/>
  <c r="B260" i="11"/>
  <c r="C260" i="11" a="1"/>
  <c r="C260" i="11"/>
  <c r="D260" i="11" a="1"/>
  <c r="D260" i="11" s="1"/>
  <c r="E260" i="11" a="1"/>
  <c r="E260" i="11"/>
  <c r="F260" i="11" a="1"/>
  <c r="F260" i="11"/>
  <c r="G260" i="11" a="1"/>
  <c r="G260" i="11"/>
  <c r="H260" i="11" a="1"/>
  <c r="H260" i="11"/>
  <c r="I260" i="11" a="1"/>
  <c r="I260" i="11"/>
  <c r="J260" i="11" a="1"/>
  <c r="J260" i="11" s="1"/>
  <c r="K260" i="11" a="1"/>
  <c r="K260" i="11" s="1"/>
  <c r="L260" i="11" a="1"/>
  <c r="L260" i="11"/>
  <c r="M260" i="11" a="1"/>
  <c r="M260" i="11" s="1"/>
  <c r="N260" i="11" a="1"/>
  <c r="N260" i="11" s="1"/>
  <c r="O260" i="11" a="1"/>
  <c r="O260" i="11"/>
  <c r="P260" i="11" a="1"/>
  <c r="P260" i="11" s="1"/>
  <c r="Q260" i="11" a="1"/>
  <c r="Q260" i="11" s="1"/>
  <c r="B261" i="11" a="1"/>
  <c r="B261" i="11"/>
  <c r="C261" i="11" a="1"/>
  <c r="C261" i="11"/>
  <c r="D261" i="11" a="1"/>
  <c r="D261" i="11"/>
  <c r="E261" i="11" a="1"/>
  <c r="E261" i="11"/>
  <c r="F261" i="11" a="1"/>
  <c r="F261" i="11" s="1"/>
  <c r="G261" i="11" a="1"/>
  <c r="G261" i="11"/>
  <c r="H261" i="11" a="1"/>
  <c r="H261" i="11"/>
  <c r="I261" i="11" a="1"/>
  <c r="I261" i="11" s="1"/>
  <c r="J261" i="11" a="1"/>
  <c r="J261" i="11" s="1"/>
  <c r="K261" i="11" a="1"/>
  <c r="K261" i="11"/>
  <c r="L261" i="11" a="1"/>
  <c r="L261" i="11" s="1"/>
  <c r="M261" i="11" a="1"/>
  <c r="M261" i="11" s="1"/>
  <c r="N261" i="11" a="1"/>
  <c r="N261" i="11"/>
  <c r="O261" i="11" a="1"/>
  <c r="O261" i="11"/>
  <c r="P261" i="11" a="1"/>
  <c r="P261" i="11"/>
  <c r="Q261" i="11" a="1"/>
  <c r="Q261" i="11"/>
  <c r="B262" i="11" a="1"/>
  <c r="B262" i="11" s="1"/>
  <c r="C262" i="11" a="1"/>
  <c r="C262" i="11"/>
  <c r="D262" i="11" a="1"/>
  <c r="D262" i="11"/>
  <c r="E262" i="11" a="1"/>
  <c r="E262" i="11" s="1"/>
  <c r="F262" i="11" a="1"/>
  <c r="F262" i="11"/>
  <c r="G262" i="11" a="1"/>
  <c r="G262" i="11"/>
  <c r="H262" i="11" a="1"/>
  <c r="H262" i="11" s="1"/>
  <c r="I262" i="11" a="1"/>
  <c r="I262" i="11"/>
  <c r="J262" i="11" a="1"/>
  <c r="J262" i="11"/>
  <c r="K262" i="11" a="1"/>
  <c r="K262" i="11" s="1"/>
  <c r="L262" i="11" a="1"/>
  <c r="L262" i="11"/>
  <c r="M262" i="11" a="1"/>
  <c r="M262" i="11"/>
  <c r="N262" i="11" a="1"/>
  <c r="N262" i="11" s="1"/>
  <c r="O262" i="11" a="1"/>
  <c r="O262" i="11" s="1"/>
  <c r="P262" i="11" a="1"/>
  <c r="P262" i="11"/>
  <c r="Q262" i="11" a="1"/>
  <c r="Q262" i="11"/>
  <c r="B263" i="11" a="1"/>
  <c r="B263" i="11" s="1"/>
  <c r="C263" i="11" a="1"/>
  <c r="C263" i="11"/>
  <c r="D263" i="11" a="1"/>
  <c r="D263" i="11" s="1"/>
  <c r="E263" i="11" a="1"/>
  <c r="E263" i="11"/>
  <c r="F263" i="11" a="1"/>
  <c r="F263" i="11"/>
  <c r="G263" i="11" a="1"/>
  <c r="G263" i="11" s="1"/>
  <c r="H263" i="11" a="1"/>
  <c r="H263" i="11" s="1"/>
  <c r="I263" i="11" a="1"/>
  <c r="I263" i="11"/>
  <c r="J263" i="11" a="1"/>
  <c r="J263" i="11" s="1"/>
  <c r="K263" i="11" a="1"/>
  <c r="K263" i="11" s="1"/>
  <c r="L263" i="11" a="1"/>
  <c r="L263" i="11"/>
  <c r="M263" i="11" a="1"/>
  <c r="M263" i="11"/>
  <c r="N263" i="11" a="1"/>
  <c r="N263" i="11"/>
  <c r="O263" i="11" a="1"/>
  <c r="O263" i="11"/>
  <c r="P263" i="11" a="1"/>
  <c r="P263" i="11" s="1"/>
  <c r="Q263" i="11" a="1"/>
  <c r="Q263" i="11"/>
  <c r="B264" i="11" a="1"/>
  <c r="B264" i="11"/>
  <c r="C264" i="11" a="1"/>
  <c r="C264" i="11"/>
  <c r="D264" i="11" a="1"/>
  <c r="D264" i="11" s="1"/>
  <c r="E264" i="11" a="1"/>
  <c r="E264" i="11"/>
  <c r="F264" i="11" a="1"/>
  <c r="F264" i="11" s="1"/>
  <c r="G264" i="11" a="1"/>
  <c r="G264" i="11" s="1"/>
  <c r="H264" i="11" a="1"/>
  <c r="H264" i="11"/>
  <c r="I264" i="11" a="1"/>
  <c r="I264" i="11" s="1"/>
  <c r="J264" i="11" a="1"/>
  <c r="J264" i="11"/>
  <c r="K264" i="11" a="1"/>
  <c r="K264" i="11"/>
  <c r="L264" i="11" a="1"/>
  <c r="L264" i="11" s="1"/>
  <c r="M264" i="11" a="1"/>
  <c r="M264" i="11"/>
  <c r="N264" i="11" a="1"/>
  <c r="N264" i="11"/>
  <c r="O264" i="11" a="1"/>
  <c r="O264" i="11"/>
  <c r="P264" i="11" a="1"/>
  <c r="P264" i="11"/>
  <c r="Q264" i="11" a="1"/>
  <c r="Q264" i="11"/>
  <c r="B265" i="11" a="1"/>
  <c r="B265" i="11" s="1"/>
  <c r="C265" i="11" a="1"/>
  <c r="C265" i="11" s="1"/>
  <c r="D265" i="11" a="1"/>
  <c r="D265" i="11" s="1"/>
  <c r="E265" i="11" a="1"/>
  <c r="E265" i="11" s="1"/>
  <c r="F265" i="11" a="1"/>
  <c r="F265" i="11" s="1"/>
  <c r="G265" i="11" a="1"/>
  <c r="G265" i="11"/>
  <c r="H265" i="11" a="1"/>
  <c r="H265" i="11" s="1"/>
  <c r="I265" i="11" a="1"/>
  <c r="I265" i="11" s="1"/>
  <c r="J265" i="11" a="1"/>
  <c r="J265" i="11"/>
  <c r="K265" i="11" a="1"/>
  <c r="K265" i="11" s="1"/>
  <c r="L265" i="11" a="1"/>
  <c r="L265" i="11"/>
  <c r="M265" i="11" a="1"/>
  <c r="M265" i="11"/>
  <c r="N265" i="11" a="1"/>
  <c r="N265" i="11" s="1"/>
  <c r="O265" i="11" a="1"/>
  <c r="O265" i="11"/>
  <c r="P265" i="11" a="1"/>
  <c r="P265" i="11" s="1"/>
  <c r="Q265" i="11" a="1"/>
  <c r="Q265" i="11" s="1"/>
  <c r="B266" i="11" a="1"/>
  <c r="B266" i="11" s="1"/>
  <c r="C266" i="11" a="1"/>
  <c r="C266" i="11" s="1"/>
  <c r="D266" i="11" a="1"/>
  <c r="D266" i="11" s="1"/>
  <c r="E266" i="11" a="1"/>
  <c r="E266" i="11" s="1"/>
  <c r="F266" i="11" a="1"/>
  <c r="F266" i="11" s="1"/>
  <c r="G266" i="11" a="1"/>
  <c r="G266" i="11"/>
  <c r="H266" i="11" a="1"/>
  <c r="H266" i="11" s="1"/>
  <c r="I266" i="11" a="1"/>
  <c r="I266" i="11"/>
  <c r="J266" i="11" a="1"/>
  <c r="J266" i="11" s="1"/>
  <c r="K266" i="11" a="1"/>
  <c r="K266" i="11"/>
  <c r="L266" i="11" a="1"/>
  <c r="L266" i="11"/>
  <c r="M266" i="11" a="1"/>
  <c r="M266" i="11" s="1"/>
  <c r="N266" i="11" a="1"/>
  <c r="N266" i="11" s="1"/>
  <c r="O266" i="11" a="1"/>
  <c r="O266" i="11" s="1"/>
  <c r="P266" i="11" a="1"/>
  <c r="P266" i="11" s="1"/>
  <c r="Q266" i="11" a="1"/>
  <c r="Q266" i="11"/>
  <c r="B267" i="11" a="1"/>
  <c r="B267" i="11" s="1"/>
  <c r="C267" i="11" a="1"/>
  <c r="C267" i="11" s="1"/>
  <c r="D267" i="11" a="1"/>
  <c r="D267" i="11"/>
  <c r="E267" i="11" a="1"/>
  <c r="E267" i="11"/>
  <c r="F267" i="11" a="1"/>
  <c r="F267" i="11" s="1"/>
  <c r="G267" i="11" a="1"/>
  <c r="G267" i="11" s="1"/>
  <c r="H267" i="11" a="1"/>
  <c r="H267" i="11"/>
  <c r="I267" i="11" a="1"/>
  <c r="I267" i="11"/>
  <c r="J267" i="11" a="1"/>
  <c r="J267" i="11" s="1"/>
  <c r="K267" i="11" a="1"/>
  <c r="K267" i="11" s="1"/>
  <c r="L267" i="11" a="1"/>
  <c r="L267" i="11" s="1"/>
  <c r="M267" i="11" a="1"/>
  <c r="M267" i="11"/>
  <c r="N267" i="11" a="1"/>
  <c r="N267" i="11"/>
  <c r="O267" i="11" a="1"/>
  <c r="O267" i="11" s="1"/>
  <c r="P267" i="11" a="1"/>
  <c r="P267" i="11" s="1"/>
  <c r="Q267" i="11" a="1"/>
  <c r="Q267" i="11"/>
  <c r="B268" i="11" a="1"/>
  <c r="B268" i="11" s="1"/>
  <c r="C268" i="11" a="1"/>
  <c r="C268" i="11" s="1"/>
  <c r="D268" i="11" a="1"/>
  <c r="D268" i="11" s="1"/>
  <c r="E268" i="11" a="1"/>
  <c r="E268" i="11"/>
  <c r="F268" i="11" a="1"/>
  <c r="F268" i="11"/>
  <c r="G268" i="11" a="1"/>
  <c r="G268" i="11" s="1"/>
  <c r="H268" i="11" a="1"/>
  <c r="H268" i="11" s="1"/>
  <c r="I268" i="11" a="1"/>
  <c r="I268" i="11" s="1"/>
  <c r="J268" i="11" a="1"/>
  <c r="J268" i="11"/>
  <c r="K268" i="11" a="1"/>
  <c r="K268" i="11"/>
  <c r="L268" i="11" a="1"/>
  <c r="L268" i="11" s="1"/>
  <c r="M268" i="11" a="1"/>
  <c r="M268" i="11" s="1"/>
  <c r="N268" i="11" a="1"/>
  <c r="N268" i="11" s="1"/>
  <c r="O268" i="11" a="1"/>
  <c r="O268" i="11" s="1"/>
  <c r="P268" i="11" a="1"/>
  <c r="P268" i="11" s="1"/>
  <c r="Q268" i="11" a="1"/>
  <c r="Q268" i="11" s="1"/>
  <c r="B269" i="11" a="1"/>
  <c r="B269" i="11"/>
  <c r="C269" i="11" a="1"/>
  <c r="C269" i="11"/>
  <c r="D269" i="11" a="1"/>
  <c r="D269" i="11" s="1"/>
  <c r="E269" i="11" a="1"/>
  <c r="E269" i="11"/>
  <c r="F269" i="11" a="1"/>
  <c r="F269" i="11"/>
  <c r="G269" i="11" a="1"/>
  <c r="G269" i="11"/>
  <c r="H269" i="11" a="1"/>
  <c r="H269" i="11"/>
  <c r="I269" i="11" a="1"/>
  <c r="I269" i="11" s="1"/>
  <c r="J269" i="11" a="1"/>
  <c r="J269" i="11" s="1"/>
  <c r="K269" i="11" a="1"/>
  <c r="K269" i="11" s="1"/>
  <c r="L269" i="11" a="1"/>
  <c r="L269" i="11"/>
  <c r="M269" i="11" a="1"/>
  <c r="M269" i="11" s="1"/>
  <c r="N269" i="11" a="1"/>
  <c r="N269" i="11" s="1"/>
  <c r="O269" i="11" a="1"/>
  <c r="O269" i="11"/>
  <c r="P269" i="11" a="1"/>
  <c r="P269" i="11" s="1"/>
  <c r="Q269" i="11" a="1"/>
  <c r="Q269" i="11" s="1"/>
  <c r="B270" i="11" a="1"/>
  <c r="B270" i="11"/>
  <c r="C270" i="11" a="1"/>
  <c r="C270" i="11"/>
  <c r="D270" i="11" a="1"/>
  <c r="D270" i="11"/>
  <c r="E270" i="11" a="1"/>
  <c r="E270" i="11"/>
  <c r="F270" i="11" a="1"/>
  <c r="F270" i="11" s="1"/>
  <c r="G270" i="11" a="1"/>
  <c r="G270" i="11"/>
  <c r="H270" i="11" a="1"/>
  <c r="H270" i="11" s="1"/>
  <c r="I270" i="11" a="1"/>
  <c r="I270" i="11" s="1"/>
  <c r="J270" i="11" a="1"/>
  <c r="J270" i="11" s="1"/>
  <c r="K270" i="11" a="1"/>
  <c r="K270" i="11" s="1"/>
  <c r="L270" i="11" a="1"/>
  <c r="L270" i="11" s="1"/>
  <c r="M270" i="11" a="1"/>
  <c r="M270" i="11" s="1"/>
  <c r="N270" i="11" a="1"/>
  <c r="N270" i="11" s="1"/>
  <c r="O270" i="11" a="1"/>
  <c r="O270" i="11"/>
  <c r="P270" i="11" a="1"/>
  <c r="P270" i="11"/>
  <c r="Q270" i="11" a="1"/>
  <c r="Q270" i="11"/>
  <c r="B271" i="11" a="1"/>
  <c r="B271" i="11" s="1"/>
  <c r="C271" i="11" a="1"/>
  <c r="C271" i="11"/>
  <c r="D271" i="11" a="1"/>
  <c r="D271" i="11"/>
  <c r="E271" i="11" a="1"/>
  <c r="E271" i="11" s="1"/>
  <c r="F271" i="11" a="1"/>
  <c r="F271" i="11"/>
  <c r="G271" i="11" a="1"/>
  <c r="G271" i="11" s="1"/>
  <c r="H271" i="11" a="1"/>
  <c r="H271" i="11" s="1"/>
  <c r="I271" i="11" a="1"/>
  <c r="I271" i="11"/>
  <c r="J271" i="11" a="1"/>
  <c r="J271" i="11" s="1"/>
  <c r="K271" i="11" a="1"/>
  <c r="K271" i="11" s="1"/>
  <c r="L271" i="11" a="1"/>
  <c r="L271" i="11"/>
  <c r="M271" i="11" a="1"/>
  <c r="M271" i="11" s="1"/>
  <c r="N271" i="11" a="1"/>
  <c r="N271" i="11" s="1"/>
  <c r="O271" i="11" a="1"/>
  <c r="O271" i="11" s="1"/>
  <c r="P271" i="11" a="1"/>
  <c r="P271" i="11"/>
  <c r="Q271" i="11" a="1"/>
  <c r="Q271" i="11"/>
  <c r="B272" i="11" a="1"/>
  <c r="B272" i="11" s="1"/>
  <c r="C272" i="11" a="1"/>
  <c r="C272" i="11"/>
  <c r="D272" i="11" a="1"/>
  <c r="D272" i="11" s="1"/>
  <c r="E272" i="11" a="1"/>
  <c r="E272" i="11"/>
  <c r="F272" i="11" a="1"/>
  <c r="F272" i="11"/>
  <c r="G272" i="11" a="1"/>
  <c r="G272" i="11" s="1"/>
  <c r="H272" i="11" a="1"/>
  <c r="H272" i="11" s="1"/>
  <c r="I272" i="11" a="1"/>
  <c r="I272" i="11"/>
  <c r="J272" i="11" a="1"/>
  <c r="J272" i="11" s="1"/>
  <c r="K272" i="11" a="1"/>
  <c r="K272" i="11" s="1"/>
  <c r="L272" i="11" a="1"/>
  <c r="L272" i="11" s="1"/>
  <c r="M272" i="11" a="1"/>
  <c r="M272" i="11"/>
  <c r="N272" i="11" a="1"/>
  <c r="N272" i="11"/>
  <c r="O272" i="11" a="1"/>
  <c r="O272" i="11" s="1"/>
  <c r="P272" i="11" a="1"/>
  <c r="P272" i="11" s="1"/>
  <c r="Q272" i="11" a="1"/>
  <c r="Q272" i="11" s="1"/>
  <c r="B273" i="11" a="1"/>
  <c r="B273" i="11"/>
  <c r="C273" i="11" a="1"/>
  <c r="C273" i="11"/>
  <c r="D273" i="11" a="1"/>
  <c r="D273" i="11" s="1"/>
  <c r="E273" i="11" a="1"/>
  <c r="E273" i="11" s="1"/>
  <c r="F273" i="11" a="1"/>
  <c r="F273" i="11" s="1"/>
  <c r="G273" i="11" a="1"/>
  <c r="G273" i="11"/>
  <c r="H273" i="11" a="1"/>
  <c r="H273" i="11" s="1"/>
  <c r="I273" i="11" a="1"/>
  <c r="I273" i="11" s="1"/>
  <c r="J273" i="11" a="1"/>
  <c r="J273" i="11"/>
  <c r="K273" i="11" a="1"/>
  <c r="K273" i="11"/>
  <c r="L273" i="11" a="1"/>
  <c r="L273" i="11" s="1"/>
  <c r="M273" i="11" a="1"/>
  <c r="M273" i="11"/>
  <c r="N273" i="11" a="1"/>
  <c r="N273" i="11"/>
  <c r="O273" i="11" a="1"/>
  <c r="O273" i="11"/>
  <c r="P273" i="11" a="1"/>
  <c r="P273" i="11"/>
  <c r="Q273" i="11" a="1"/>
  <c r="Q273" i="11" s="1"/>
  <c r="B274" i="11" a="1"/>
  <c r="B274" i="11" s="1"/>
  <c r="C274" i="11" a="1"/>
  <c r="C274" i="11" s="1"/>
  <c r="D274" i="11" a="1"/>
  <c r="D274" i="11" s="1"/>
  <c r="E274" i="11" a="1"/>
  <c r="E274" i="11" s="1"/>
  <c r="F274" i="11" a="1"/>
  <c r="F274" i="11" s="1"/>
  <c r="G274" i="11" a="1"/>
  <c r="G274" i="11"/>
  <c r="H274" i="11" a="1"/>
  <c r="H274" i="11" s="1"/>
  <c r="I274" i="11" a="1"/>
  <c r="I274" i="11" s="1"/>
  <c r="J274" i="11" a="1"/>
  <c r="J274" i="11"/>
  <c r="K274" i="11" a="1"/>
  <c r="K274" i="11" s="1"/>
  <c r="L274" i="11" a="1"/>
  <c r="L274" i="11"/>
  <c r="M274" i="11" a="1"/>
  <c r="M274" i="11"/>
  <c r="N274" i="11" a="1"/>
  <c r="N274" i="11" s="1"/>
  <c r="O274" i="11" a="1"/>
  <c r="O274" i="11"/>
  <c r="P274" i="11" a="1"/>
  <c r="P274" i="11" s="1"/>
  <c r="Q274" i="11" a="1"/>
  <c r="Q274" i="11" s="1"/>
  <c r="B275" i="11" a="1"/>
  <c r="B275" i="11" s="1"/>
  <c r="C275" i="11" a="1"/>
  <c r="C275" i="11" s="1"/>
  <c r="D275" i="11" a="1"/>
  <c r="D275" i="11" s="1"/>
  <c r="E275" i="11" a="1"/>
  <c r="E275" i="11" s="1"/>
  <c r="F275" i="11" a="1"/>
  <c r="F275" i="11" s="1"/>
  <c r="G275" i="11" a="1"/>
  <c r="G275" i="11"/>
  <c r="H275" i="11" a="1"/>
  <c r="H275" i="11" s="1"/>
  <c r="I275" i="11" a="1"/>
  <c r="I275" i="11"/>
  <c r="J275" i="11" a="1"/>
  <c r="J275" i="11" s="1"/>
  <c r="K275" i="11" a="1"/>
  <c r="K275" i="11"/>
  <c r="L275" i="11" a="1"/>
  <c r="L275" i="11"/>
  <c r="M275" i="11" a="1"/>
  <c r="M275" i="11" s="1"/>
  <c r="N275" i="11" a="1"/>
  <c r="N275" i="11"/>
  <c r="O275" i="11" a="1"/>
  <c r="O275" i="11" s="1"/>
  <c r="P275" i="11" a="1"/>
  <c r="P275" i="11" s="1"/>
  <c r="Q275" i="11" a="1"/>
  <c r="Q275" i="11"/>
  <c r="B276" i="11" a="1"/>
  <c r="B276" i="11" s="1"/>
  <c r="C276" i="11" a="1"/>
  <c r="C276" i="11" s="1"/>
  <c r="D276" i="11" a="1"/>
  <c r="D276" i="11"/>
  <c r="E276" i="11" a="1"/>
  <c r="E276" i="11"/>
  <c r="F276" i="11" a="1"/>
  <c r="F276" i="11" s="1"/>
  <c r="G276" i="11" a="1"/>
  <c r="G276" i="11" s="1"/>
  <c r="H276" i="11" a="1"/>
  <c r="H276" i="11"/>
  <c r="I276" i="11" a="1"/>
  <c r="I276" i="11"/>
  <c r="J276" i="11" a="1"/>
  <c r="J276" i="11" s="1"/>
  <c r="K276" i="11" a="1"/>
  <c r="K276" i="11" s="1"/>
  <c r="L276" i="11" a="1"/>
  <c r="L276" i="11" s="1"/>
  <c r="M276" i="11" a="1"/>
  <c r="M276" i="11"/>
  <c r="N276" i="11" a="1"/>
  <c r="N276" i="11"/>
  <c r="O276" i="11" a="1"/>
  <c r="O276" i="11" s="1"/>
  <c r="P276" i="11" a="1"/>
  <c r="P276" i="11" s="1"/>
  <c r="Q276" i="11" a="1"/>
  <c r="Q276" i="11"/>
  <c r="B277" i="11" a="1"/>
  <c r="B277" i="11" s="1"/>
  <c r="C277" i="11" a="1"/>
  <c r="C277" i="11" s="1"/>
  <c r="D277" i="11" a="1"/>
  <c r="D277" i="11" s="1"/>
  <c r="E277" i="11" a="1"/>
  <c r="E277" i="11"/>
  <c r="F277" i="11" a="1"/>
  <c r="F277" i="11"/>
  <c r="G277" i="11" a="1"/>
  <c r="G277" i="11" s="1"/>
  <c r="H277" i="11" a="1"/>
  <c r="H277" i="11" s="1"/>
  <c r="I277" i="11" a="1"/>
  <c r="I277" i="11"/>
  <c r="J277" i="11" a="1"/>
  <c r="J277" i="11"/>
  <c r="K277" i="11" a="1"/>
  <c r="K277" i="11"/>
  <c r="L277" i="11" a="1"/>
  <c r="L277" i="11" s="1"/>
  <c r="M277" i="11" a="1"/>
  <c r="M277" i="11" s="1"/>
  <c r="N277" i="11" a="1"/>
  <c r="N277" i="11" s="1"/>
  <c r="O277" i="11" a="1"/>
  <c r="O277" i="11"/>
  <c r="P277" i="11" a="1"/>
  <c r="P277" i="11" s="1"/>
  <c r="Q277" i="11" a="1"/>
  <c r="Q277" i="11" s="1"/>
  <c r="B278" i="11" a="1"/>
  <c r="B278" i="11"/>
  <c r="C278" i="11" a="1"/>
  <c r="C278" i="11"/>
  <c r="D278" i="11" a="1"/>
  <c r="D278" i="11" s="1"/>
  <c r="E278" i="11" a="1"/>
  <c r="E278" i="11"/>
  <c r="F278" i="11" a="1"/>
  <c r="F278" i="11" s="1"/>
  <c r="G278" i="11" a="1"/>
  <c r="G278" i="11"/>
  <c r="H278" i="11" a="1"/>
  <c r="H278" i="11"/>
  <c r="I278" i="11" a="1"/>
  <c r="I278" i="11" s="1"/>
  <c r="J278" i="11" a="1"/>
  <c r="J278" i="11" s="1"/>
  <c r="K278" i="11" a="1"/>
  <c r="K278" i="11" s="1"/>
  <c r="L278" i="11" a="1"/>
  <c r="L278" i="11"/>
  <c r="M278" i="11" a="1"/>
  <c r="M278" i="11" s="1"/>
  <c r="N278" i="11" a="1"/>
  <c r="N278" i="11" s="1"/>
  <c r="O278" i="11" a="1"/>
  <c r="O278" i="11"/>
  <c r="P278" i="11" a="1"/>
  <c r="P278" i="11" s="1"/>
  <c r="Q278" i="11" a="1"/>
  <c r="Q278" i="11" s="1"/>
  <c r="B279" i="11" a="1"/>
  <c r="B279" i="11"/>
  <c r="C279" i="11" a="1"/>
  <c r="C279" i="11"/>
  <c r="D279" i="11" a="1"/>
  <c r="D279" i="11"/>
  <c r="E279" i="11" a="1"/>
  <c r="E279" i="11"/>
  <c r="F279" i="11" a="1"/>
  <c r="F279" i="11" s="1"/>
  <c r="G279" i="11" a="1"/>
  <c r="G279" i="11"/>
  <c r="H279" i="11" a="1"/>
  <c r="H279" i="11" s="1"/>
  <c r="I279" i="11" a="1"/>
  <c r="I279" i="11" s="1"/>
  <c r="J279" i="11" a="1"/>
  <c r="J279" i="11" s="1"/>
  <c r="K279" i="11" a="1"/>
  <c r="K279" i="11" s="1"/>
  <c r="L279" i="11" a="1"/>
  <c r="L279" i="11" s="1"/>
  <c r="M279" i="11" a="1"/>
  <c r="M279" i="11" s="1"/>
  <c r="N279" i="11" a="1"/>
  <c r="N279" i="11" s="1"/>
  <c r="O279" i="11" a="1"/>
  <c r="O279" i="11"/>
  <c r="P279" i="11" a="1"/>
  <c r="P279" i="11" s="1"/>
  <c r="Q279" i="11" a="1"/>
  <c r="Q279" i="11"/>
  <c r="B280" i="11" a="1"/>
  <c r="B280" i="11" s="1"/>
  <c r="C280" i="11" a="1"/>
  <c r="C280" i="11"/>
  <c r="D280" i="11" a="1"/>
  <c r="D280" i="11"/>
  <c r="E280" i="11" a="1"/>
  <c r="E280" i="11" s="1"/>
  <c r="F280" i="11" a="1"/>
  <c r="F280" i="11" s="1"/>
  <c r="G280" i="11" a="1"/>
  <c r="G280" i="11" s="1"/>
  <c r="H280" i="11" a="1"/>
  <c r="H280" i="11" s="1"/>
  <c r="I280" i="11" a="1"/>
  <c r="I280" i="11"/>
  <c r="J280" i="11" a="1"/>
  <c r="J280" i="11" s="1"/>
  <c r="K280" i="11" a="1"/>
  <c r="K280" i="11" s="1"/>
  <c r="L280" i="11" a="1"/>
  <c r="L280" i="11"/>
  <c r="M280" i="11" a="1"/>
  <c r="M280" i="11" s="1"/>
  <c r="N280" i="11" a="1"/>
  <c r="N280" i="11" s="1"/>
  <c r="O280" i="11" a="1"/>
  <c r="O280" i="11" s="1"/>
  <c r="P280" i="11" a="1"/>
  <c r="P280" i="11"/>
  <c r="Q280" i="11" a="1"/>
  <c r="Q280" i="11"/>
  <c r="B281" i="11" a="1"/>
  <c r="B281" i="11" s="1"/>
  <c r="C281" i="11" a="1"/>
  <c r="C281" i="11" s="1"/>
  <c r="D281" i="11" a="1"/>
  <c r="D281" i="11" s="1"/>
  <c r="E281" i="11" a="1"/>
  <c r="E281" i="11"/>
  <c r="F281" i="11" a="1"/>
  <c r="F281" i="11"/>
  <c r="G281" i="11" a="1"/>
  <c r="G281" i="11" s="1"/>
  <c r="H281" i="11" a="1"/>
  <c r="H281" i="11" s="1"/>
  <c r="I281" i="11" a="1"/>
  <c r="I281" i="11"/>
  <c r="J281" i="11" a="1"/>
  <c r="J281" i="11" s="1"/>
  <c r="K281" i="11" a="1"/>
  <c r="K281" i="11" s="1"/>
  <c r="L281" i="11" a="1"/>
  <c r="L281" i="11" s="1"/>
  <c r="M281" i="11" a="1"/>
  <c r="M281" i="11"/>
  <c r="N281" i="11" a="1"/>
  <c r="N281" i="11"/>
  <c r="O281" i="11" a="1"/>
  <c r="O281" i="11" s="1"/>
  <c r="P281" i="11" a="1"/>
  <c r="P281" i="11" s="1"/>
  <c r="Q281" i="11" a="1"/>
  <c r="Q281" i="11" s="1"/>
  <c r="B282" i="11" a="1"/>
  <c r="B282" i="11"/>
  <c r="C282" i="11" a="1"/>
  <c r="C282" i="11"/>
  <c r="D282" i="11" a="1"/>
  <c r="D282" i="11" s="1"/>
  <c r="E282" i="11" a="1"/>
  <c r="E282" i="11" s="1"/>
  <c r="F282" i="11" a="1"/>
  <c r="F282" i="11"/>
  <c r="G282" i="11" a="1"/>
  <c r="G282" i="11"/>
  <c r="H282" i="11" a="1"/>
  <c r="H282" i="11"/>
  <c r="I282" i="11" a="1"/>
  <c r="I282" i="11"/>
  <c r="J282" i="11" a="1"/>
  <c r="J282" i="11" s="1"/>
  <c r="K282" i="11" a="1"/>
  <c r="K282" i="11" s="1"/>
  <c r="L282" i="11" a="1"/>
  <c r="L282" i="11"/>
  <c r="M282" i="11" a="1"/>
  <c r="M282" i="11"/>
  <c r="N282" i="11" a="1"/>
  <c r="N282" i="11"/>
  <c r="O282" i="11" a="1"/>
  <c r="O282" i="11"/>
  <c r="P282" i="11" a="1"/>
  <c r="P282" i="11" s="1"/>
  <c r="Q282" i="11" a="1"/>
  <c r="Q282" i="11" s="1"/>
  <c r="B283" i="11" a="1"/>
  <c r="B283" i="11"/>
  <c r="C283" i="11" a="1"/>
  <c r="C283" i="11"/>
  <c r="D283" i="11" a="1"/>
  <c r="D283" i="11"/>
  <c r="E283" i="11" a="1"/>
  <c r="E283" i="11"/>
  <c r="F283" i="11" a="1"/>
  <c r="F283" i="11" s="1"/>
  <c r="G283" i="11" a="1"/>
  <c r="G283" i="11" s="1"/>
  <c r="H283" i="11" a="1"/>
  <c r="H283" i="11"/>
  <c r="I283" i="11" a="1"/>
  <c r="I283" i="11" s="1"/>
  <c r="J283" i="11" a="1"/>
  <c r="J283" i="11"/>
  <c r="K283" i="11" a="1"/>
  <c r="K283" i="11"/>
  <c r="L283" i="11" a="1"/>
  <c r="L283" i="11" s="1"/>
  <c r="M283" i="11" a="1"/>
  <c r="M283" i="11" s="1"/>
  <c r="N283" i="11" a="1"/>
  <c r="N283" i="11"/>
  <c r="O283" i="11" a="1"/>
  <c r="O283" i="11"/>
  <c r="P283" i="11" a="1"/>
  <c r="P283" i="11"/>
  <c r="Q283" i="11" a="1"/>
  <c r="Q283" i="11"/>
  <c r="B284" i="11" a="1"/>
  <c r="B284" i="11" s="1"/>
  <c r="C284" i="11" a="1"/>
  <c r="C284" i="11" s="1"/>
  <c r="D284" i="11" a="1"/>
  <c r="D284" i="11"/>
  <c r="E284" i="11" a="1"/>
  <c r="E284" i="11" s="1"/>
  <c r="F284" i="11" a="1"/>
  <c r="F284" i="11"/>
  <c r="G284" i="11" a="1"/>
  <c r="G284" i="11"/>
  <c r="H284" i="11" a="1"/>
  <c r="H284" i="11" s="1"/>
  <c r="I284" i="11" a="1"/>
  <c r="I284" i="11" s="1"/>
  <c r="J284" i="11" a="1"/>
  <c r="J284" i="11"/>
  <c r="K284" i="11" a="1"/>
  <c r="K284" i="11"/>
  <c r="L284" i="11" a="1"/>
  <c r="L284" i="11"/>
  <c r="M284" i="11" a="1"/>
  <c r="M284" i="11"/>
  <c r="N284" i="11" a="1"/>
  <c r="N284" i="11" s="1"/>
  <c r="O284" i="11" a="1"/>
  <c r="O284" i="11" s="1"/>
  <c r="P284" i="11" a="1"/>
  <c r="P284" i="11"/>
  <c r="Q284" i="11" a="1"/>
  <c r="Q284" i="11"/>
  <c r="B285" i="11" a="1"/>
  <c r="B285" i="11"/>
  <c r="C285" i="11" a="1"/>
  <c r="C285" i="11"/>
  <c r="D285" i="11" a="1"/>
  <c r="D285" i="11" s="1"/>
  <c r="E285" i="11" a="1"/>
  <c r="E285" i="11" s="1"/>
  <c r="F285" i="11" a="1"/>
  <c r="F285" i="11" s="1"/>
  <c r="G285" i="11" a="1"/>
  <c r="G285" i="11"/>
  <c r="H285" i="11" a="1"/>
  <c r="H285" i="11"/>
  <c r="I285" i="11" a="1"/>
  <c r="I285" i="11"/>
  <c r="J285" i="11" a="1"/>
  <c r="J285" i="11" s="1"/>
  <c r="K285" i="11" a="1"/>
  <c r="K285" i="11" s="1"/>
  <c r="L285" i="11" a="1"/>
  <c r="L285" i="11"/>
  <c r="M285" i="11" a="1"/>
  <c r="M285" i="11" s="1"/>
  <c r="N285" i="11" a="1"/>
  <c r="N285" i="11"/>
  <c r="O285" i="11" a="1"/>
  <c r="O285" i="11"/>
  <c r="P285" i="11" a="1"/>
  <c r="P285" i="11" s="1"/>
  <c r="Q285" i="11" a="1"/>
  <c r="Q285" i="11" s="1"/>
  <c r="B286" i="11" a="1"/>
  <c r="B286" i="11" s="1"/>
  <c r="C286" i="11" a="1"/>
  <c r="C286" i="11"/>
  <c r="D286" i="11" a="1"/>
  <c r="D286" i="11"/>
  <c r="E286" i="11" a="1"/>
  <c r="E286" i="11"/>
  <c r="F286" i="11" a="1"/>
  <c r="F286" i="11" s="1"/>
  <c r="G286" i="11" a="1"/>
  <c r="G286" i="11" s="1"/>
  <c r="H286" i="11" a="1"/>
  <c r="H286" i="11"/>
  <c r="I286" i="11" a="1"/>
  <c r="I286" i="11" s="1"/>
  <c r="J286" i="11" a="1"/>
  <c r="J286" i="11"/>
  <c r="K286" i="11" a="1"/>
  <c r="K286" i="11"/>
  <c r="L286" i="11" a="1"/>
  <c r="L286" i="11" s="1"/>
  <c r="M286" i="11" a="1"/>
  <c r="M286" i="11" s="1"/>
  <c r="N286" i="11" a="1"/>
  <c r="N286" i="11"/>
  <c r="O286" i="11" a="1"/>
  <c r="O286" i="11"/>
  <c r="P286" i="11" a="1"/>
  <c r="P286" i="11" s="1"/>
  <c r="Q286" i="11" a="1"/>
  <c r="Q286" i="11"/>
  <c r="B287" i="11" a="1"/>
  <c r="B287" i="11" s="1"/>
  <c r="C287" i="11" a="1"/>
  <c r="C287" i="11" s="1"/>
  <c r="D287" i="11" a="1"/>
  <c r="D287" i="11"/>
  <c r="E287" i="11" a="1"/>
  <c r="E287" i="11"/>
  <c r="F287" i="11" a="1"/>
  <c r="F287" i="11"/>
  <c r="G287" i="11" a="1"/>
  <c r="G287" i="11" s="1"/>
  <c r="H287" i="11" a="1"/>
  <c r="H287" i="11" s="1"/>
  <c r="I287" i="11" a="1"/>
  <c r="I287" i="11" s="1"/>
  <c r="J287" i="11" a="1"/>
  <c r="J287" i="11" s="1"/>
  <c r="K287" i="11" a="1"/>
  <c r="K287" i="11" s="1"/>
  <c r="L287" i="11" a="1"/>
  <c r="L287" i="11" s="1"/>
  <c r="M287" i="11" a="1"/>
  <c r="M287" i="11" s="1"/>
  <c r="N287" i="11" a="1"/>
  <c r="N287" i="11" s="1"/>
  <c r="O287" i="11" a="1"/>
  <c r="O287" i="11" s="1"/>
  <c r="P287" i="11" a="1"/>
  <c r="P287" i="11" s="1"/>
  <c r="Q287" i="11" a="1"/>
  <c r="Q287" i="11"/>
  <c r="B288" i="11" a="1"/>
  <c r="B288" i="11" s="1"/>
  <c r="C288" i="11" a="1"/>
  <c r="C288" i="11" s="1"/>
  <c r="D288" i="11" a="1"/>
  <c r="D288" i="11" s="1"/>
  <c r="E288" i="11" a="1"/>
  <c r="E288" i="11" s="1"/>
  <c r="F288" i="11" a="1"/>
  <c r="F288" i="11" s="1"/>
  <c r="G288" i="11" a="1"/>
  <c r="G288" i="11"/>
  <c r="H288" i="11" a="1"/>
  <c r="H288" i="11"/>
  <c r="I288" i="11" a="1"/>
  <c r="I288" i="11" s="1"/>
  <c r="J288" i="11" a="1"/>
  <c r="J288" i="11" s="1"/>
  <c r="K288" i="11" a="1"/>
  <c r="K288" i="11" s="1"/>
  <c r="L288" i="11" a="1"/>
  <c r="L288" i="11"/>
  <c r="M288" i="11" a="1"/>
  <c r="M288" i="11"/>
  <c r="N288" i="11" a="1"/>
  <c r="N288" i="11"/>
  <c r="O288" i="11" a="1"/>
  <c r="O288" i="11" s="1"/>
  <c r="P288" i="11" a="1"/>
  <c r="P288" i="11" s="1"/>
  <c r="Q288" i="11" a="1"/>
  <c r="Q288" i="11" s="1"/>
  <c r="B289" i="11" a="1"/>
  <c r="B289" i="11" s="1"/>
  <c r="C289" i="11" a="1"/>
  <c r="C289" i="11" s="1"/>
  <c r="D289" i="11" a="1"/>
  <c r="D289" i="11" s="1"/>
  <c r="E289" i="11" a="1"/>
  <c r="E289" i="11" s="1"/>
  <c r="F289" i="11" a="1"/>
  <c r="F289" i="11" s="1"/>
  <c r="G289" i="11" a="1"/>
  <c r="G289" i="11" s="1"/>
  <c r="H289" i="11" a="1"/>
  <c r="H289" i="11" s="1"/>
  <c r="I289" i="11" a="1"/>
  <c r="I289" i="11"/>
  <c r="J289" i="11" a="1"/>
  <c r="J289" i="11" s="1"/>
  <c r="K289" i="11" a="1"/>
  <c r="K289" i="11" s="1"/>
  <c r="L289" i="11" a="1"/>
  <c r="L289" i="11" s="1"/>
  <c r="M289" i="11" a="1"/>
  <c r="M289" i="11" s="1"/>
  <c r="N289" i="11" a="1"/>
  <c r="N289" i="11" s="1"/>
  <c r="O289" i="11" a="1"/>
  <c r="O289" i="11" s="1"/>
  <c r="P289" i="11" a="1"/>
  <c r="P289" i="11"/>
  <c r="Q289" i="11" a="1"/>
  <c r="Q289" i="11" s="1"/>
  <c r="B290" i="11" a="1"/>
  <c r="B290" i="11" s="1"/>
  <c r="C290" i="11" a="1"/>
  <c r="C290" i="11" s="1"/>
  <c r="D290" i="11" a="1"/>
  <c r="D290" i="11"/>
  <c r="E290" i="11" a="1"/>
  <c r="E290" i="11"/>
  <c r="F290" i="11" a="1"/>
  <c r="F290" i="11"/>
  <c r="G290" i="11" a="1"/>
  <c r="G290" i="11" s="1"/>
  <c r="H290" i="11" a="1"/>
  <c r="H290" i="11" s="1"/>
  <c r="I290" i="11" a="1"/>
  <c r="I290" i="11" s="1"/>
  <c r="J290" i="11" a="1"/>
  <c r="J290" i="11" s="1"/>
  <c r="K290" i="11" a="1"/>
  <c r="K290" i="11" s="1"/>
  <c r="L290" i="11" a="1"/>
  <c r="L290" i="11" s="1"/>
  <c r="M290" i="11" a="1"/>
  <c r="M290" i="11" s="1"/>
  <c r="N290" i="11" a="1"/>
  <c r="N290" i="11" s="1"/>
  <c r="O290" i="11" a="1"/>
  <c r="O290" i="11" s="1"/>
  <c r="P290" i="11" a="1"/>
  <c r="P290" i="11" s="1"/>
  <c r="Q290" i="11" a="1"/>
  <c r="Q290" i="11"/>
  <c r="B291" i="11" a="1"/>
  <c r="B291" i="11" s="1"/>
  <c r="C291" i="11" a="1"/>
  <c r="C291" i="11" s="1"/>
  <c r="D291" i="11" a="1"/>
  <c r="D291" i="11" s="1"/>
  <c r="E291" i="11" a="1"/>
  <c r="E291" i="11" s="1"/>
  <c r="F291" i="11" a="1"/>
  <c r="F291" i="11" s="1"/>
  <c r="G291" i="11" a="1"/>
  <c r="G291" i="11" s="1"/>
  <c r="H291" i="11" a="1"/>
  <c r="H291" i="11"/>
  <c r="I291" i="11" a="1"/>
  <c r="I291" i="11" s="1"/>
  <c r="J291" i="11" a="1"/>
  <c r="J291" i="11" s="1"/>
  <c r="K291" i="11" a="1"/>
  <c r="K291" i="11" s="1"/>
  <c r="L291" i="11" a="1"/>
  <c r="L291" i="11"/>
  <c r="M291" i="11" a="1"/>
  <c r="M291" i="11"/>
  <c r="N291" i="11" a="1"/>
  <c r="N291" i="11"/>
  <c r="O291" i="11" a="1"/>
  <c r="O291" i="11" s="1"/>
  <c r="P291" i="11" a="1"/>
  <c r="P291" i="11" s="1"/>
  <c r="Q291" i="11" a="1"/>
  <c r="Q291" i="11" s="1"/>
  <c r="B292" i="11" a="1"/>
  <c r="B292" i="11" s="1"/>
  <c r="C292" i="11" a="1"/>
  <c r="C292" i="11" s="1"/>
  <c r="D292" i="11" a="1"/>
  <c r="D292" i="11" s="1"/>
  <c r="E292" i="11" a="1"/>
  <c r="E292" i="11" s="1"/>
  <c r="F292" i="11" a="1"/>
  <c r="F292" i="11" s="1"/>
  <c r="G292" i="11" a="1"/>
  <c r="G292" i="11" s="1"/>
  <c r="H292" i="11" a="1"/>
  <c r="H292" i="11" s="1"/>
  <c r="I292" i="11" a="1"/>
  <c r="I292" i="11"/>
  <c r="J292" i="11" a="1"/>
  <c r="J292" i="11" s="1"/>
  <c r="K292" i="11" a="1"/>
  <c r="K292" i="11" s="1"/>
  <c r="L292" i="11" a="1"/>
  <c r="L292" i="11" s="1"/>
  <c r="M292" i="11" a="1"/>
  <c r="M292" i="11" s="1"/>
  <c r="N292" i="11" a="1"/>
  <c r="N292" i="11" s="1"/>
  <c r="O292" i="11" a="1"/>
  <c r="O292" i="11" s="1"/>
  <c r="P292" i="11" a="1"/>
  <c r="P292" i="11"/>
  <c r="Q292" i="11" a="1"/>
  <c r="Q292" i="11" s="1"/>
  <c r="B293" i="11" a="1"/>
  <c r="B293" i="11" s="1"/>
  <c r="C293" i="11" a="1"/>
  <c r="C293" i="11" s="1"/>
  <c r="D293" i="11" a="1"/>
  <c r="D293" i="11"/>
  <c r="E293" i="11" a="1"/>
  <c r="E293" i="11"/>
  <c r="F293" i="11" a="1"/>
  <c r="F293" i="11"/>
  <c r="G293" i="11" a="1"/>
  <c r="G293" i="11" s="1"/>
  <c r="H293" i="11" a="1"/>
  <c r="H293" i="11" s="1"/>
  <c r="I293" i="11" a="1"/>
  <c r="I293" i="11" s="1"/>
  <c r="J293" i="11" a="1"/>
  <c r="J293" i="11" s="1"/>
  <c r="K293" i="11" a="1"/>
  <c r="K293" i="11" s="1"/>
  <c r="L293" i="11" a="1"/>
  <c r="L293" i="11" s="1"/>
  <c r="M293" i="11" a="1"/>
  <c r="M293" i="11" s="1"/>
  <c r="N293" i="11" a="1"/>
  <c r="N293" i="11" s="1"/>
  <c r="O293" i="11" a="1"/>
  <c r="O293" i="11" s="1"/>
  <c r="P293" i="11" a="1"/>
  <c r="P293" i="11" s="1"/>
  <c r="Q293" i="11" a="1"/>
  <c r="Q293" i="11"/>
  <c r="B294" i="11" a="1"/>
  <c r="B294" i="11" s="1"/>
  <c r="C294" i="11" a="1"/>
  <c r="C294" i="11" s="1"/>
  <c r="D294" i="11" a="1"/>
  <c r="D294" i="11" s="1"/>
  <c r="E294" i="11" a="1"/>
  <c r="E294" i="11" s="1"/>
  <c r="F294" i="11" a="1"/>
  <c r="F294" i="11" s="1"/>
  <c r="G294" i="11" a="1"/>
  <c r="G294" i="11"/>
  <c r="H294" i="11" a="1"/>
  <c r="H294" i="11"/>
  <c r="I294" i="11" a="1"/>
  <c r="I294" i="11" s="1"/>
  <c r="J294" i="11" a="1"/>
  <c r="J294" i="11" s="1"/>
  <c r="K294" i="11" a="1"/>
  <c r="K294" i="11" s="1"/>
  <c r="L294" i="11" a="1"/>
  <c r="L294" i="11"/>
  <c r="M294" i="11" a="1"/>
  <c r="M294" i="11"/>
  <c r="N294" i="11" a="1"/>
  <c r="N294" i="11"/>
  <c r="O294" i="11" a="1"/>
  <c r="O294" i="11" s="1"/>
  <c r="P294" i="11" a="1"/>
  <c r="P294" i="11" s="1"/>
  <c r="Q294" i="11" a="1"/>
  <c r="Q294" i="11" s="1"/>
  <c r="B295" i="11" a="1"/>
  <c r="B295" i="11" s="1"/>
  <c r="C295" i="11" a="1"/>
  <c r="C295" i="11" s="1"/>
  <c r="D295" i="11" a="1"/>
  <c r="D295" i="11" s="1"/>
  <c r="E295" i="11" a="1"/>
  <c r="E295" i="11" s="1"/>
  <c r="F295" i="11" a="1"/>
  <c r="F295" i="11" s="1"/>
  <c r="G295" i="11" a="1"/>
  <c r="G295" i="11" s="1"/>
  <c r="H295" i="11" a="1"/>
  <c r="H295" i="11" s="1"/>
  <c r="I295" i="11" a="1"/>
  <c r="I295" i="11"/>
  <c r="J295" i="11" a="1"/>
  <c r="J295" i="11" s="1"/>
  <c r="K295" i="11" a="1"/>
  <c r="K295" i="11" s="1"/>
  <c r="L295" i="11" a="1"/>
  <c r="L295" i="11" s="1"/>
  <c r="M295" i="11" a="1"/>
  <c r="M295" i="11" s="1"/>
  <c r="N295" i="11" a="1"/>
  <c r="N295" i="11" s="1"/>
  <c r="O295" i="11" a="1"/>
  <c r="O295" i="11" s="1"/>
  <c r="P295" i="11" a="1"/>
  <c r="P295" i="11"/>
  <c r="Q295" i="11" a="1"/>
  <c r="Q295" i="11" s="1"/>
  <c r="B296" i="11" a="1"/>
  <c r="B296" i="11" s="1"/>
  <c r="C296" i="11" a="1"/>
  <c r="C296" i="11" s="1"/>
  <c r="D296" i="11" a="1"/>
  <c r="D296" i="11"/>
  <c r="E296" i="11" a="1"/>
  <c r="E296" i="11"/>
  <c r="F296" i="11" a="1"/>
  <c r="F296" i="11"/>
  <c r="G296" i="11" a="1"/>
  <c r="G296" i="11" s="1"/>
  <c r="H296" i="11" a="1"/>
  <c r="H296" i="11" s="1"/>
  <c r="I296" i="11" a="1"/>
  <c r="I296" i="11" s="1"/>
  <c r="J296" i="11" a="1"/>
  <c r="J296" i="11" s="1"/>
  <c r="K296" i="11" a="1"/>
  <c r="K296" i="11" s="1"/>
  <c r="L296" i="11" a="1"/>
  <c r="L296" i="11" s="1"/>
  <c r="M296" i="11" a="1"/>
  <c r="M296" i="11" s="1"/>
  <c r="N296" i="11" a="1"/>
  <c r="N296" i="11" s="1"/>
  <c r="O296" i="11" a="1"/>
  <c r="O296" i="11" s="1"/>
  <c r="P296" i="11" a="1"/>
  <c r="P296" i="11" s="1"/>
  <c r="Q296" i="11" a="1"/>
  <c r="Q296" i="11"/>
  <c r="B297" i="11" a="1"/>
  <c r="B297" i="11" s="1"/>
  <c r="C297" i="11" a="1"/>
  <c r="C297" i="11" s="1"/>
  <c r="D297" i="11" a="1"/>
  <c r="D297" i="11" s="1"/>
  <c r="E297" i="11" a="1"/>
  <c r="E297" i="11" s="1"/>
  <c r="F297" i="11" a="1"/>
  <c r="F297" i="11" s="1"/>
  <c r="G297" i="11" a="1"/>
  <c r="G297" i="11"/>
  <c r="H297" i="11" a="1"/>
  <c r="H297" i="11"/>
  <c r="I297" i="11" a="1"/>
  <c r="I297" i="11" s="1"/>
  <c r="J297" i="11" a="1"/>
  <c r="J297" i="11" s="1"/>
  <c r="K297" i="11" a="1"/>
  <c r="K297" i="11" s="1"/>
  <c r="L297" i="11" a="1"/>
  <c r="L297" i="11"/>
  <c r="M297" i="11" a="1"/>
  <c r="M297" i="11"/>
  <c r="N297" i="11" a="1"/>
  <c r="N297" i="11"/>
  <c r="O297" i="11" a="1"/>
  <c r="O297" i="11" s="1"/>
  <c r="P297" i="11" a="1"/>
  <c r="P297" i="11" s="1"/>
  <c r="Q297" i="11" a="1"/>
  <c r="Q297" i="11" s="1"/>
  <c r="B298" i="11" a="1"/>
  <c r="B298" i="11" s="1"/>
  <c r="C298" i="11" a="1"/>
  <c r="C298" i="11" s="1"/>
  <c r="D298" i="11" a="1"/>
  <c r="D298" i="11" s="1"/>
  <c r="E298" i="11" a="1"/>
  <c r="E298" i="11" s="1"/>
  <c r="F298" i="11" a="1"/>
  <c r="F298" i="11" s="1"/>
  <c r="G298" i="11" a="1"/>
  <c r="G298" i="11" s="1"/>
  <c r="H298" i="11" a="1"/>
  <c r="H298" i="11" s="1"/>
  <c r="I298" i="11" a="1"/>
  <c r="I298" i="11"/>
  <c r="J298" i="11" a="1"/>
  <c r="J298" i="11" s="1"/>
  <c r="K298" i="11" a="1"/>
  <c r="K298" i="11" s="1"/>
  <c r="L298" i="11" a="1"/>
  <c r="L298" i="11" s="1"/>
  <c r="M298" i="11" a="1"/>
  <c r="M298" i="11" s="1"/>
  <c r="N298" i="11" a="1"/>
  <c r="N298" i="11" s="1"/>
  <c r="O298" i="11" a="1"/>
  <c r="O298" i="11" s="1"/>
  <c r="P298" i="11" a="1"/>
  <c r="P298" i="11"/>
  <c r="Q298" i="11" a="1"/>
  <c r="Q298" i="11" s="1"/>
  <c r="B299" i="11" a="1"/>
  <c r="B299" i="11" s="1"/>
  <c r="C299" i="11" a="1"/>
  <c r="C299" i="11" s="1"/>
  <c r="D299" i="11" a="1"/>
  <c r="D299" i="11"/>
  <c r="E299" i="11" a="1"/>
  <c r="E299" i="11"/>
  <c r="F299" i="11" a="1"/>
  <c r="F299" i="11"/>
  <c r="G299" i="11" a="1"/>
  <c r="G299" i="11" s="1"/>
  <c r="H299" i="11" a="1"/>
  <c r="H299" i="11" s="1"/>
  <c r="I299" i="11" a="1"/>
  <c r="I299" i="11" s="1"/>
  <c r="J299" i="11" a="1"/>
  <c r="J299" i="11" s="1"/>
  <c r="K299" i="11" a="1"/>
  <c r="K299" i="11" s="1"/>
  <c r="L299" i="11" a="1"/>
  <c r="L299" i="11" s="1"/>
  <c r="M299" i="11" a="1"/>
  <c r="M299" i="11" s="1"/>
  <c r="N299" i="11" a="1"/>
  <c r="N299" i="11" s="1"/>
  <c r="O299" i="11" a="1"/>
  <c r="O299" i="11" s="1"/>
  <c r="P299" i="11" a="1"/>
  <c r="P299" i="11" s="1"/>
  <c r="Q299" i="11" a="1"/>
  <c r="Q299" i="11"/>
  <c r="B300" i="11" a="1"/>
  <c r="B300" i="11" s="1"/>
  <c r="C300" i="11" a="1"/>
  <c r="C300" i="11" s="1"/>
  <c r="D300" i="11" a="1"/>
  <c r="D300" i="11" s="1"/>
  <c r="E300" i="11" a="1"/>
  <c r="E300" i="11" s="1"/>
  <c r="F300" i="11" a="1"/>
  <c r="F300" i="11" s="1"/>
  <c r="G300" i="11" a="1"/>
  <c r="G300" i="11"/>
  <c r="H300" i="11" a="1"/>
  <c r="H300" i="11"/>
  <c r="I300" i="11" a="1"/>
  <c r="I300" i="11" s="1"/>
  <c r="J300" i="11" a="1"/>
  <c r="J300" i="11" s="1"/>
  <c r="K300" i="11" a="1"/>
  <c r="K300" i="11" s="1"/>
  <c r="L300" i="11" a="1"/>
  <c r="L300" i="11"/>
  <c r="M300" i="11" a="1"/>
  <c r="M300" i="11"/>
  <c r="N300" i="11" a="1"/>
  <c r="N300" i="11"/>
  <c r="O300" i="11" a="1"/>
  <c r="O300" i="11" s="1"/>
  <c r="P300" i="11" a="1"/>
  <c r="P300" i="11" s="1"/>
  <c r="Q300" i="11" a="1"/>
  <c r="Q300" i="11" s="1"/>
  <c r="B301" i="11" a="1"/>
  <c r="B301" i="11" s="1"/>
  <c r="C301" i="11" a="1"/>
  <c r="C301" i="11" s="1"/>
  <c r="D301" i="11" a="1"/>
  <c r="D301" i="11" s="1"/>
  <c r="E301" i="11" a="1"/>
  <c r="E301" i="11" s="1"/>
  <c r="F301" i="11" a="1"/>
  <c r="F301" i="11" s="1"/>
  <c r="G301" i="11" a="1"/>
  <c r="G301" i="11" s="1"/>
  <c r="H301" i="11" a="1"/>
  <c r="H301" i="11" s="1"/>
  <c r="I301" i="11" a="1"/>
  <c r="I301" i="11"/>
  <c r="J301" i="11" a="1"/>
  <c r="J301" i="11" s="1"/>
  <c r="K301" i="11" a="1"/>
  <c r="K301" i="11" s="1"/>
  <c r="L301" i="11" a="1"/>
  <c r="L301" i="11" s="1"/>
  <c r="M301" i="11" a="1"/>
  <c r="M301" i="11" s="1"/>
  <c r="N301" i="11" a="1"/>
  <c r="N301" i="11" s="1"/>
  <c r="O301" i="11" a="1"/>
  <c r="O301" i="11" s="1"/>
  <c r="P301" i="11" a="1"/>
  <c r="P301" i="11"/>
  <c r="Q301" i="11" a="1"/>
  <c r="Q301" i="11" s="1"/>
  <c r="B302" i="11" a="1"/>
  <c r="B302" i="11" s="1"/>
  <c r="C302" i="11" a="1"/>
  <c r="C302" i="11" s="1"/>
  <c r="D302" i="11" a="1"/>
  <c r="D302" i="11"/>
  <c r="E302" i="11" a="1"/>
  <c r="E302" i="11"/>
  <c r="F302" i="11" a="1"/>
  <c r="F302" i="11"/>
  <c r="G302" i="11" a="1"/>
  <c r="G302" i="11" s="1"/>
  <c r="H302" i="11" a="1"/>
  <c r="H302" i="11" s="1"/>
  <c r="I302" i="11" a="1"/>
  <c r="I302" i="11" s="1"/>
  <c r="J302" i="11" a="1"/>
  <c r="J302" i="11" s="1"/>
  <c r="K302" i="11" a="1"/>
  <c r="K302" i="11" s="1"/>
  <c r="L302" i="11" a="1"/>
  <c r="L302" i="11" s="1"/>
  <c r="M302" i="11" a="1"/>
  <c r="M302" i="11" s="1"/>
  <c r="N302" i="11" a="1"/>
  <c r="N302" i="11" s="1"/>
  <c r="O302" i="11" a="1"/>
  <c r="O302" i="11" s="1"/>
  <c r="P302" i="11" a="1"/>
  <c r="P302" i="11" s="1"/>
  <c r="Q302" i="11" a="1"/>
  <c r="Q302" i="11"/>
  <c r="B303" i="11" a="1"/>
  <c r="B303" i="11" s="1"/>
  <c r="C303" i="11" a="1"/>
  <c r="C303" i="11" s="1"/>
  <c r="D303" i="11" a="1"/>
  <c r="D303" i="11" s="1"/>
  <c r="E303" i="11" a="1"/>
  <c r="E303" i="11"/>
  <c r="F303" i="11" a="1"/>
  <c r="F303" i="11"/>
  <c r="G303" i="11" a="1"/>
  <c r="G303" i="11" s="1"/>
  <c r="H303" i="11" a="1"/>
  <c r="H303" i="11"/>
  <c r="I303" i="11" a="1"/>
  <c r="I303" i="11" s="1"/>
  <c r="J303" i="11" a="1"/>
  <c r="J303" i="11" s="1"/>
  <c r="K303" i="11" a="1"/>
  <c r="K303" i="11"/>
  <c r="L303" i="11" a="1"/>
  <c r="L303" i="11"/>
  <c r="M303" i="11" a="1"/>
  <c r="M303" i="11"/>
  <c r="N303" i="11" a="1"/>
  <c r="N303" i="11" s="1"/>
  <c r="O303" i="11" a="1"/>
  <c r="O303" i="11" s="1"/>
  <c r="P303" i="11" a="1"/>
  <c r="P303" i="11" s="1"/>
  <c r="Q303" i="11" a="1"/>
  <c r="Q303" i="11" s="1"/>
  <c r="B304" i="11" a="1"/>
  <c r="B304" i="11"/>
  <c r="C304" i="11" a="1"/>
  <c r="C304" i="11"/>
  <c r="D304" i="11" a="1"/>
  <c r="D304" i="11"/>
  <c r="E304" i="11" a="1"/>
  <c r="E304" i="11" s="1"/>
  <c r="F304" i="11" a="1"/>
  <c r="F304" i="11" s="1"/>
  <c r="G304" i="11" a="1"/>
  <c r="G304" i="11"/>
  <c r="H304" i="11" a="1"/>
  <c r="H304" i="11" s="1"/>
  <c r="I304" i="11" a="1"/>
  <c r="I304" i="11"/>
  <c r="J304" i="11" a="1"/>
  <c r="J304" i="11"/>
  <c r="K304" i="11" a="1"/>
  <c r="K304" i="11" s="1"/>
  <c r="L304" i="11" a="1"/>
  <c r="L304" i="11" s="1"/>
  <c r="M304" i="11" a="1"/>
  <c r="M304" i="11" s="1"/>
  <c r="N304" i="11" a="1"/>
  <c r="N304" i="11"/>
  <c r="O304" i="11" a="1"/>
  <c r="O304" i="11" s="1"/>
  <c r="P304" i="11" a="1"/>
  <c r="P304" i="11"/>
  <c r="Q304" i="11" a="1"/>
  <c r="Q304" i="11" s="1"/>
  <c r="B305" i="11" a="1"/>
  <c r="B305" i="11" s="1"/>
  <c r="C305" i="11" a="1"/>
  <c r="C305" i="11"/>
  <c r="D305" i="11" a="1"/>
  <c r="D305" i="11" s="1"/>
  <c r="E305" i="11" a="1"/>
  <c r="E305" i="11"/>
  <c r="F305" i="11" a="1"/>
  <c r="F305" i="11" s="1"/>
  <c r="G305" i="11" a="1"/>
  <c r="G305" i="11" s="1"/>
  <c r="H305" i="11" a="1"/>
  <c r="H305" i="11" s="1"/>
  <c r="I305" i="11" a="1"/>
  <c r="I305" i="11"/>
  <c r="J305" i="11" a="1"/>
  <c r="J305" i="11"/>
  <c r="K305" i="11" a="1"/>
  <c r="K305" i="11" s="1"/>
  <c r="L305" i="11" a="1"/>
  <c r="L305" i="11"/>
  <c r="M305" i="11" a="1"/>
  <c r="M305" i="11" s="1"/>
  <c r="N305" i="11" a="1"/>
  <c r="N305" i="11" s="1"/>
  <c r="O305" i="11" a="1"/>
  <c r="O305" i="11"/>
  <c r="P305" i="11" a="1"/>
  <c r="P305" i="11"/>
  <c r="Q305" i="11" a="1"/>
  <c r="Q305" i="11"/>
  <c r="B306" i="11" a="1"/>
  <c r="B306" i="11" s="1"/>
  <c r="C306" i="11" a="1"/>
  <c r="C306" i="11" s="1"/>
  <c r="D306" i="11" a="1"/>
  <c r="D306" i="11" s="1"/>
  <c r="E306" i="11" a="1"/>
  <c r="E306" i="11" s="1"/>
  <c r="F306" i="11" a="1"/>
  <c r="F306" i="11" s="1"/>
  <c r="G306" i="11" a="1"/>
  <c r="G306" i="11"/>
  <c r="H306" i="11" a="1"/>
  <c r="H306" i="11"/>
  <c r="I306" i="11" a="1"/>
  <c r="I306" i="11" s="1"/>
  <c r="J306" i="11" a="1"/>
  <c r="J306" i="11" s="1"/>
  <c r="K306" i="11" a="1"/>
  <c r="K306" i="11"/>
  <c r="L306" i="11" a="1"/>
  <c r="L306" i="11" s="1"/>
  <c r="M306" i="11" a="1"/>
  <c r="M306" i="11" s="1"/>
  <c r="N306" i="11" a="1"/>
  <c r="N306" i="11"/>
  <c r="O306" i="11" a="1"/>
  <c r="O306" i="11" s="1"/>
  <c r="P306" i="11" a="1"/>
  <c r="P306" i="11" s="1"/>
  <c r="Q306" i="11" a="1"/>
  <c r="Q306" i="11" s="1"/>
  <c r="B307" i="11" a="1"/>
  <c r="B307" i="11"/>
  <c r="C307" i="11" a="1"/>
  <c r="C307" i="11" s="1"/>
  <c r="D307" i="11" a="1"/>
  <c r="D307" i="11" s="1"/>
  <c r="E307" i="11" a="1"/>
  <c r="E307" i="11" s="1"/>
  <c r="F307" i="11" a="1"/>
  <c r="F307" i="11" s="1"/>
  <c r="G307" i="11" a="1"/>
  <c r="G307" i="11"/>
  <c r="H307" i="11" a="1"/>
  <c r="H307" i="11" s="1"/>
  <c r="I307" i="11" a="1"/>
  <c r="I307" i="11"/>
  <c r="J307" i="11" a="1"/>
  <c r="J307" i="11" s="1"/>
  <c r="K307" i="11" a="1"/>
  <c r="K307" i="11" s="1"/>
  <c r="L307" i="11" a="1"/>
  <c r="L307" i="11" s="1"/>
  <c r="M307" i="11" a="1"/>
  <c r="M307" i="11"/>
  <c r="N307" i="11" a="1"/>
  <c r="N307" i="11"/>
  <c r="O307" i="11" a="1"/>
  <c r="O307" i="11" s="1"/>
  <c r="P307" i="11" a="1"/>
  <c r="P307" i="11"/>
  <c r="Q307" i="11" a="1"/>
  <c r="Q307" i="11" s="1"/>
  <c r="B308" i="11" a="1"/>
  <c r="B308" i="11" s="1"/>
  <c r="C308" i="11" a="1"/>
  <c r="C308" i="11" s="1"/>
  <c r="D308" i="11" a="1"/>
  <c r="D308" i="11"/>
  <c r="E308" i="11" a="1"/>
  <c r="E308" i="11"/>
  <c r="F308" i="11" a="1"/>
  <c r="F308" i="11" s="1"/>
  <c r="G308" i="11" a="1"/>
  <c r="G308" i="11" s="1"/>
  <c r="H308" i="11" a="1"/>
  <c r="H308" i="11" s="1"/>
  <c r="I308" i="11" a="1"/>
  <c r="I308" i="11" s="1"/>
  <c r="J308" i="11" a="1"/>
  <c r="J308" i="11" s="1"/>
  <c r="K308" i="11" a="1"/>
  <c r="K308" i="11"/>
  <c r="L308" i="11" a="1"/>
  <c r="L308" i="11"/>
  <c r="M308" i="11" a="1"/>
  <c r="M308" i="11" s="1"/>
  <c r="N308" i="11" a="1"/>
  <c r="N308" i="11" s="1"/>
  <c r="O308" i="11" a="1"/>
  <c r="O308" i="11"/>
  <c r="P308" i="11" a="1"/>
  <c r="P308" i="11" s="1"/>
  <c r="Q308" i="11" a="1"/>
  <c r="Q308" i="11" s="1"/>
  <c r="B309" i="11" a="1"/>
  <c r="B309" i="11"/>
  <c r="C309" i="11" a="1"/>
  <c r="C309" i="11" s="1"/>
  <c r="D309" i="11" a="1"/>
  <c r="D309" i="11" s="1"/>
  <c r="E309" i="11" a="1"/>
  <c r="E309" i="11" s="1"/>
  <c r="F309" i="11" a="1"/>
  <c r="F309" i="11"/>
  <c r="G309" i="11" a="1"/>
  <c r="G309" i="11" s="1"/>
  <c r="H309" i="11" a="1"/>
  <c r="H309" i="11" s="1"/>
  <c r="I309" i="11" a="1"/>
  <c r="I309" i="11" s="1"/>
  <c r="J309" i="11" a="1"/>
  <c r="J309" i="11" s="1"/>
  <c r="K309" i="11" a="1"/>
  <c r="K309" i="11"/>
  <c r="L309" i="11" a="1"/>
  <c r="L309" i="11" s="1"/>
  <c r="M309" i="11" a="1"/>
  <c r="M309" i="11"/>
  <c r="N309" i="11" a="1"/>
  <c r="N309" i="11" s="1"/>
  <c r="O309" i="11" a="1"/>
  <c r="O309" i="11" s="1"/>
  <c r="P309" i="11" a="1"/>
  <c r="P309" i="11" s="1"/>
  <c r="Q309" i="11" a="1"/>
  <c r="Q309" i="11"/>
  <c r="B310" i="11" a="1"/>
  <c r="B310" i="11"/>
  <c r="C310" i="11" a="1"/>
  <c r="C310" i="11" s="1"/>
  <c r="D310" i="11" a="1"/>
  <c r="D310" i="11"/>
  <c r="E310" i="11" a="1"/>
  <c r="E310" i="11" s="1"/>
  <c r="F310" i="11" a="1"/>
  <c r="F310" i="11" s="1"/>
  <c r="G310" i="11" a="1"/>
  <c r="G310" i="11" s="1"/>
  <c r="H310" i="11" a="1"/>
  <c r="H310" i="11"/>
  <c r="I310" i="11" a="1"/>
  <c r="I310" i="11"/>
  <c r="J310" i="11" a="1"/>
  <c r="J310" i="11" s="1"/>
  <c r="K310" i="11" a="1"/>
  <c r="K310" i="11" s="1"/>
  <c r="L310" i="11" a="1"/>
  <c r="L310" i="11" s="1"/>
  <c r="M310" i="11" a="1"/>
  <c r="M310" i="11" s="1"/>
  <c r="N310" i="11" a="1"/>
  <c r="N310" i="11" s="1"/>
  <c r="O310" i="11" a="1"/>
  <c r="O310" i="11"/>
  <c r="P310" i="11" a="1"/>
  <c r="P310" i="11"/>
  <c r="Q310" i="11" a="1"/>
  <c r="Q310" i="11" s="1"/>
  <c r="B311" i="11" a="1"/>
  <c r="B311" i="11" s="1"/>
  <c r="C311" i="11" a="1"/>
  <c r="C311" i="11"/>
  <c r="D311" i="11" a="1"/>
  <c r="D311" i="11" s="1"/>
  <c r="E311" i="11" a="1"/>
  <c r="E311" i="11" s="1"/>
  <c r="F311" i="11" a="1"/>
  <c r="F311" i="11"/>
  <c r="G311" i="11" a="1"/>
  <c r="G311" i="11" s="1"/>
  <c r="H311" i="11" a="1"/>
  <c r="H311" i="11" s="1"/>
  <c r="I311" i="11" a="1"/>
  <c r="I311" i="11" s="1"/>
  <c r="J311" i="11" a="1"/>
  <c r="J311" i="11"/>
  <c r="K311" i="11" a="1"/>
  <c r="K311" i="11" s="1"/>
  <c r="L311" i="11" a="1"/>
  <c r="L311" i="11" s="1"/>
  <c r="M311" i="11" a="1"/>
  <c r="M311" i="11" s="1"/>
  <c r="N311" i="11" a="1"/>
  <c r="N311" i="11" s="1"/>
  <c r="O311" i="11" a="1"/>
  <c r="O311" i="11"/>
  <c r="P311" i="11" a="1"/>
  <c r="P311" i="11" s="1"/>
  <c r="Q311" i="11" a="1"/>
  <c r="Q311" i="11"/>
  <c r="B312" i="11" a="1"/>
  <c r="B312" i="11" s="1"/>
  <c r="C312" i="11" a="1"/>
  <c r="C312" i="11" s="1"/>
  <c r="D312" i="11" a="1"/>
  <c r="D312" i="11" s="1"/>
  <c r="E312" i="11" a="1"/>
  <c r="E312" i="11"/>
  <c r="F312" i="11" a="1"/>
  <c r="F312" i="11"/>
  <c r="G312" i="11" a="1"/>
  <c r="G312" i="11" s="1"/>
  <c r="H312" i="11" a="1"/>
  <c r="H312" i="11"/>
  <c r="I312" i="11" a="1"/>
  <c r="I312" i="11" s="1"/>
  <c r="J312" i="11" a="1"/>
  <c r="J312" i="11" s="1"/>
  <c r="K312" i="11" a="1"/>
  <c r="K312" i="11" s="1"/>
  <c r="L312" i="11" a="1"/>
  <c r="L312" i="11"/>
  <c r="M312" i="11" a="1"/>
  <c r="M312" i="11"/>
  <c r="N312" i="11" a="1"/>
  <c r="N312" i="11" s="1"/>
  <c r="O312" i="11" a="1"/>
  <c r="O312" i="11" s="1"/>
  <c r="P312" i="11" a="1"/>
  <c r="P312" i="11" s="1"/>
  <c r="Q312" i="11" a="1"/>
  <c r="Q312" i="11" s="1"/>
  <c r="B313" i="11" a="1"/>
  <c r="B313" i="11" s="1"/>
  <c r="C313" i="11" a="1"/>
  <c r="C313" i="11"/>
  <c r="D313" i="11" a="1"/>
  <c r="D313" i="11"/>
  <c r="E313" i="11" a="1"/>
  <c r="E313" i="11" s="1"/>
  <c r="F313" i="11" a="1"/>
  <c r="F313" i="11" s="1"/>
  <c r="G313" i="11" a="1"/>
  <c r="G313" i="11"/>
  <c r="H313" i="11" a="1"/>
  <c r="H313" i="11" s="1"/>
  <c r="I313" i="11" a="1"/>
  <c r="I313" i="11" s="1"/>
  <c r="J313" i="11" a="1"/>
  <c r="J313" i="11"/>
  <c r="K313" i="11" a="1"/>
  <c r="K313" i="11" s="1"/>
  <c r="L313" i="11" a="1"/>
  <c r="L313" i="11" s="1"/>
  <c r="M313" i="11" a="1"/>
  <c r="M313" i="11" s="1"/>
  <c r="N313" i="11" a="1"/>
  <c r="N313" i="11"/>
  <c r="O313" i="11" a="1"/>
  <c r="O313" i="11" s="1"/>
  <c r="P313" i="11" a="1"/>
  <c r="P313" i="11" s="1"/>
  <c r="Q313" i="11" a="1"/>
  <c r="Q313" i="11" s="1"/>
  <c r="B314" i="11" a="1"/>
  <c r="B314" i="11" s="1"/>
  <c r="C314" i="11" a="1"/>
  <c r="C314" i="11"/>
  <c r="D314" i="11" a="1"/>
  <c r="D314" i="11" s="1"/>
  <c r="E314" i="11" a="1"/>
  <c r="E314" i="11"/>
  <c r="F314" i="11" a="1"/>
  <c r="F314" i="11" s="1"/>
  <c r="G314" i="11" a="1"/>
  <c r="G314" i="11" s="1"/>
  <c r="H314" i="11" a="1"/>
  <c r="H314" i="11" s="1"/>
  <c r="I314" i="11" a="1"/>
  <c r="I314" i="11"/>
  <c r="J314" i="11" a="1"/>
  <c r="J314" i="11"/>
  <c r="K314" i="11" a="1"/>
  <c r="K314" i="11" s="1"/>
  <c r="L314" i="11" a="1"/>
  <c r="L314" i="11"/>
  <c r="M314" i="11" a="1"/>
  <c r="M314" i="11" s="1"/>
  <c r="N314" i="11" a="1"/>
  <c r="N314" i="11" s="1"/>
  <c r="O314" i="11" a="1"/>
  <c r="O314" i="11" s="1"/>
  <c r="P314" i="11" a="1"/>
  <c r="P314" i="11"/>
  <c r="Q314" i="11" a="1"/>
  <c r="Q314" i="11"/>
  <c r="B315" i="11" a="1"/>
  <c r="B315" i="11" s="1"/>
  <c r="C315" i="11" a="1"/>
  <c r="C315" i="11" s="1"/>
  <c r="D315" i="11" a="1"/>
  <c r="D315" i="11" s="1"/>
  <c r="E315" i="11" a="1"/>
  <c r="E315" i="11" s="1"/>
  <c r="F315" i="11" a="1"/>
  <c r="F315" i="11" s="1"/>
  <c r="G315" i="11" a="1"/>
  <c r="G315" i="11"/>
  <c r="H315" i="11" a="1"/>
  <c r="H315" i="11"/>
  <c r="I315" i="11" a="1"/>
  <c r="I315" i="11" s="1"/>
  <c r="J315" i="11" a="1"/>
  <c r="J315" i="11" s="1"/>
  <c r="K315" i="11" a="1"/>
  <c r="K315" i="11"/>
  <c r="L315" i="11" a="1"/>
  <c r="L315" i="11" s="1"/>
  <c r="M315" i="11" a="1"/>
  <c r="M315" i="11" s="1"/>
  <c r="N315" i="11" a="1"/>
  <c r="N315" i="11"/>
  <c r="O315" i="11" a="1"/>
  <c r="O315" i="11" s="1"/>
  <c r="P315" i="11" a="1"/>
  <c r="P315" i="11" s="1"/>
  <c r="Q315" i="11" a="1"/>
  <c r="Q315" i="11" s="1"/>
  <c r="B316" i="11" a="1"/>
  <c r="B316" i="11"/>
  <c r="C316" i="11" a="1"/>
  <c r="C316" i="11" s="1"/>
  <c r="D316" i="11" a="1"/>
  <c r="D316" i="11" s="1"/>
  <c r="E316" i="11" a="1"/>
  <c r="E316" i="11" s="1"/>
  <c r="F316" i="11" a="1"/>
  <c r="F316" i="11" s="1"/>
  <c r="G316" i="11" a="1"/>
  <c r="G316" i="11"/>
  <c r="H316" i="11" a="1"/>
  <c r="H316" i="11" s="1"/>
  <c r="I316" i="11" a="1"/>
  <c r="I316" i="11" s="1"/>
  <c r="J316" i="11" a="1"/>
  <c r="J316" i="11" s="1"/>
  <c r="K316" i="11" a="1"/>
  <c r="K316" i="11" s="1"/>
  <c r="L316" i="11" a="1"/>
  <c r="L316" i="11" s="1"/>
  <c r="M316" i="11" a="1"/>
  <c r="M316" i="11"/>
  <c r="N316" i="11" a="1"/>
  <c r="N316" i="11"/>
  <c r="O316" i="11" a="1"/>
  <c r="O316" i="11" s="1"/>
  <c r="P316" i="11" a="1"/>
  <c r="P316" i="11" s="1"/>
  <c r="Q316" i="11" a="1"/>
  <c r="Q316" i="11" s="1"/>
  <c r="B317" i="11" a="1"/>
  <c r="B317" i="11" s="1"/>
  <c r="C317" i="11" a="1"/>
  <c r="C317" i="11" s="1"/>
  <c r="D317" i="11" a="1"/>
  <c r="D317" i="11"/>
  <c r="E317" i="11" a="1"/>
  <c r="E317" i="11"/>
  <c r="F317" i="11" a="1"/>
  <c r="F317" i="11" s="1"/>
  <c r="G317" i="11" a="1"/>
  <c r="G317" i="11" s="1"/>
  <c r="H317" i="11" a="1"/>
  <c r="H317" i="11" s="1"/>
  <c r="I317" i="11" a="1"/>
  <c r="I317" i="11" s="1"/>
  <c r="J317" i="11" a="1"/>
  <c r="J317" i="11" s="1"/>
  <c r="K317" i="11" a="1"/>
  <c r="K317" i="11"/>
  <c r="L317" i="11" a="1"/>
  <c r="L317" i="11"/>
  <c r="M317" i="11" a="1"/>
  <c r="M317" i="11" s="1"/>
  <c r="N317" i="11" a="1"/>
  <c r="N317" i="11" s="1"/>
  <c r="O317" i="11" a="1"/>
  <c r="O317" i="11" s="1"/>
  <c r="P317" i="11" a="1"/>
  <c r="P317" i="11" s="1"/>
  <c r="Q317" i="11" a="1"/>
  <c r="Q317" i="11" s="1"/>
  <c r="B318" i="11" a="1"/>
  <c r="B318" i="11"/>
  <c r="C318" i="11" a="1"/>
  <c r="C318" i="11" s="1"/>
  <c r="D318" i="11" a="1"/>
  <c r="D318" i="11" s="1"/>
  <c r="E318" i="11" a="1"/>
  <c r="E318" i="11" s="1"/>
  <c r="F318" i="11" a="1"/>
  <c r="F318" i="11"/>
  <c r="G318" i="11" a="1"/>
  <c r="G318" i="11" s="1"/>
  <c r="H318" i="11" a="1"/>
  <c r="H318" i="11" s="1"/>
  <c r="I318" i="11" a="1"/>
  <c r="I318" i="11" s="1"/>
  <c r="J318" i="11" a="1"/>
  <c r="J318" i="11" s="1"/>
  <c r="K318" i="11" a="1"/>
  <c r="K318" i="11"/>
  <c r="L318" i="11" a="1"/>
  <c r="L318" i="11" s="1"/>
  <c r="M318" i="11" a="1"/>
  <c r="M318" i="11" s="1"/>
  <c r="N318" i="11" a="1"/>
  <c r="N318" i="11" s="1"/>
  <c r="O318" i="11" a="1"/>
  <c r="O318" i="11" s="1"/>
  <c r="P318" i="11" a="1"/>
  <c r="P318" i="11" s="1"/>
  <c r="Q318" i="11" a="1"/>
  <c r="Q318" i="11"/>
  <c r="B319" i="11" a="1"/>
  <c r="B319" i="11"/>
  <c r="C319" i="11" a="1"/>
  <c r="C319" i="11" s="1"/>
  <c r="D319" i="11" a="1"/>
  <c r="D319" i="11" s="1"/>
  <c r="E319" i="11" a="1"/>
  <c r="E319" i="11" s="1"/>
  <c r="F319" i="11" a="1"/>
  <c r="F319" i="11" s="1"/>
  <c r="G319" i="11" a="1"/>
  <c r="G319" i="11" s="1"/>
  <c r="H319" i="11" a="1"/>
  <c r="H319" i="11"/>
  <c r="I319" i="11" a="1"/>
  <c r="I319" i="11"/>
  <c r="J319" i="11" a="1"/>
  <c r="J319" i="11" s="1"/>
  <c r="K319" i="11" a="1"/>
  <c r="K319" i="11" s="1"/>
  <c r="L319" i="11" a="1"/>
  <c r="L319" i="11" s="1"/>
  <c r="M319" i="11" a="1"/>
  <c r="M319" i="11" s="1"/>
  <c r="N319" i="11" a="1"/>
  <c r="N319" i="11" s="1"/>
  <c r="O319" i="11" a="1"/>
  <c r="O319" i="11"/>
  <c r="P319" i="11" a="1"/>
  <c r="P319" i="11"/>
  <c r="Q319" i="11" a="1"/>
  <c r="Q319" i="11" s="1"/>
  <c r="B320" i="11" a="1"/>
  <c r="B320" i="11" s="1"/>
  <c r="C320" i="11" a="1"/>
  <c r="C320" i="11" s="1"/>
  <c r="D320" i="11" a="1"/>
  <c r="D320" i="11" s="1"/>
  <c r="E320" i="11" a="1"/>
  <c r="E320" i="11" s="1"/>
  <c r="F320" i="11" a="1"/>
  <c r="F320" i="11"/>
  <c r="G320" i="11" a="1"/>
  <c r="G320" i="11" s="1"/>
  <c r="H320" i="11" a="1"/>
  <c r="H320" i="11" s="1"/>
  <c r="I320" i="11" a="1"/>
  <c r="I320" i="11" s="1"/>
  <c r="J320" i="11" a="1"/>
  <c r="J320" i="11"/>
  <c r="K320" i="11" a="1"/>
  <c r="K320" i="11" s="1"/>
  <c r="L320" i="11" a="1"/>
  <c r="L320" i="11" s="1"/>
  <c r="M320" i="11" a="1"/>
  <c r="M320" i="11" s="1"/>
  <c r="N320" i="11" a="1"/>
  <c r="N320" i="11" s="1"/>
  <c r="O320" i="11" a="1"/>
  <c r="O320" i="11"/>
  <c r="P320" i="11" a="1"/>
  <c r="P320" i="11" s="1"/>
  <c r="Q320" i="11" a="1"/>
  <c r="Q320" i="11" s="1"/>
  <c r="B321" i="11" a="1"/>
  <c r="B321" i="11" s="1"/>
  <c r="C321" i="11" a="1"/>
  <c r="C321" i="11" s="1"/>
  <c r="D321" i="11" a="1"/>
  <c r="D321" i="11" s="1"/>
  <c r="E321" i="11" a="1"/>
  <c r="E321" i="11"/>
  <c r="F321" i="11" a="1"/>
  <c r="F321" i="11"/>
  <c r="G321" i="11" a="1"/>
  <c r="G321" i="11" s="1"/>
  <c r="H321" i="11" a="1"/>
  <c r="H321" i="11" s="1"/>
  <c r="I321" i="11" a="1"/>
  <c r="I321" i="11" s="1"/>
  <c r="J321" i="11" a="1"/>
  <c r="J321" i="11" s="1"/>
  <c r="K321" i="11" a="1"/>
  <c r="K321" i="11" s="1"/>
  <c r="L321" i="11" a="1"/>
  <c r="L321" i="11"/>
  <c r="M321" i="11" a="1"/>
  <c r="M321" i="11"/>
  <c r="N321" i="11" a="1"/>
  <c r="N321" i="11" s="1"/>
  <c r="O321" i="11" a="1"/>
  <c r="O321" i="11" s="1"/>
  <c r="P321" i="11" a="1"/>
  <c r="P321" i="11" s="1"/>
  <c r="Q321" i="11" a="1"/>
  <c r="Q321" i="11" s="1"/>
  <c r="B322" i="11" a="1"/>
  <c r="B322" i="11" s="1"/>
  <c r="C322" i="11" a="1"/>
  <c r="C322" i="11"/>
  <c r="D322" i="11" a="1"/>
  <c r="D322" i="11"/>
  <c r="E322" i="11" a="1"/>
  <c r="E322" i="11" s="1"/>
  <c r="F322" i="11" a="1"/>
  <c r="F322" i="11" s="1"/>
  <c r="G322" i="11" a="1"/>
  <c r="G322" i="11" s="1"/>
  <c r="H322" i="11" a="1"/>
  <c r="H322" i="11" s="1"/>
  <c r="I322" i="11" a="1"/>
  <c r="I322" i="11" s="1"/>
  <c r="J322" i="11" a="1"/>
  <c r="J322" i="11"/>
  <c r="K322" i="11" a="1"/>
  <c r="K322" i="11" s="1"/>
  <c r="L322" i="11" a="1"/>
  <c r="L322" i="11" s="1"/>
  <c r="M322" i="11" a="1"/>
  <c r="M322" i="11" s="1"/>
  <c r="N322" i="11" a="1"/>
  <c r="N322" i="11"/>
  <c r="O322" i="11" a="1"/>
  <c r="O322" i="11" s="1"/>
  <c r="P322" i="11" a="1"/>
  <c r="P322" i="11" s="1"/>
  <c r="Q322" i="11" a="1"/>
  <c r="Q322" i="11" s="1"/>
  <c r="B323" i="11" a="1"/>
  <c r="B323" i="11" s="1"/>
  <c r="C323" i="11" a="1"/>
  <c r="C323" i="11"/>
  <c r="D323" i="11" a="1"/>
  <c r="D323" i="11" s="1"/>
  <c r="E323" i="11" a="1"/>
  <c r="E323" i="11" s="1"/>
  <c r="F323" i="11" a="1"/>
  <c r="F323" i="11" s="1"/>
  <c r="G323" i="11" a="1"/>
  <c r="G323" i="11" s="1"/>
  <c r="H323" i="11" a="1"/>
  <c r="H323" i="11" s="1"/>
  <c r="I323" i="11" a="1"/>
  <c r="I323" i="11"/>
  <c r="J323" i="11" a="1"/>
  <c r="J323" i="11"/>
  <c r="K323" i="11" a="1"/>
  <c r="K323" i="11" s="1"/>
  <c r="L323" i="11" a="1"/>
  <c r="L323" i="11" s="1"/>
  <c r="M323" i="11" a="1"/>
  <c r="M323" i="11" s="1"/>
  <c r="N323" i="11" a="1"/>
  <c r="N323" i="11" s="1"/>
  <c r="O323" i="11" a="1"/>
  <c r="O323" i="11" s="1"/>
  <c r="P323" i="11" a="1"/>
  <c r="P323" i="11"/>
  <c r="Q323" i="11" a="1"/>
  <c r="Q323" i="11"/>
  <c r="B324" i="11" a="1"/>
  <c r="B324" i="11" s="1"/>
  <c r="C324" i="11" a="1"/>
  <c r="C324" i="11" s="1"/>
  <c r="D324" i="11" a="1"/>
  <c r="D324" i="11" s="1"/>
  <c r="E324" i="11" a="1"/>
  <c r="E324" i="11" s="1"/>
  <c r="F324" i="11" a="1"/>
  <c r="F324" i="11" s="1"/>
  <c r="G324" i="11" a="1"/>
  <c r="G324" i="11"/>
  <c r="H324" i="11" a="1"/>
  <c r="H324" i="11"/>
  <c r="I324" i="11" a="1"/>
  <c r="I324" i="11" s="1"/>
  <c r="J324" i="11" a="1"/>
  <c r="J324" i="11" s="1"/>
  <c r="K324" i="11" a="1"/>
  <c r="K324" i="11" s="1"/>
  <c r="L324" i="11" a="1"/>
  <c r="L324" i="11" s="1"/>
  <c r="M324" i="11" a="1"/>
  <c r="M324" i="11" s="1"/>
  <c r="N324" i="11" a="1"/>
  <c r="N324" i="11"/>
  <c r="O324" i="11" a="1"/>
  <c r="O324" i="11" s="1"/>
  <c r="P324" i="11" a="1"/>
  <c r="P324" i="11" s="1"/>
  <c r="Q324" i="11" a="1"/>
  <c r="Q324" i="11" s="1"/>
  <c r="B325" i="11" a="1"/>
  <c r="B325" i="11"/>
  <c r="C325" i="11" a="1"/>
  <c r="C325" i="11" s="1"/>
  <c r="D325" i="11" a="1"/>
  <c r="D325" i="11" s="1"/>
  <c r="E325" i="11" a="1"/>
  <c r="E325" i="11" s="1"/>
  <c r="F325" i="11" a="1"/>
  <c r="F325" i="11" s="1"/>
  <c r="G325" i="11" a="1"/>
  <c r="G325" i="11"/>
  <c r="H325" i="11" a="1"/>
  <c r="H325" i="11" s="1"/>
  <c r="I325" i="11" a="1"/>
  <c r="I325" i="11" s="1"/>
  <c r="J325" i="11" a="1"/>
  <c r="J325" i="11" s="1"/>
  <c r="K325" i="11" a="1"/>
  <c r="K325" i="11" s="1"/>
  <c r="L325" i="11" a="1"/>
  <c r="L325" i="11" s="1"/>
  <c r="M325" i="11" a="1"/>
  <c r="M325" i="11"/>
  <c r="N325" i="11" a="1"/>
  <c r="N325" i="11"/>
  <c r="O325" i="11" a="1"/>
  <c r="O325" i="11" s="1"/>
  <c r="P325" i="11" a="1"/>
  <c r="P325" i="11" s="1"/>
  <c r="Q325" i="11" a="1"/>
  <c r="Q325" i="11" s="1"/>
  <c r="B326" i="11" a="1"/>
  <c r="B326" i="11" s="1"/>
  <c r="C326" i="11" a="1"/>
  <c r="C326" i="11" s="1"/>
  <c r="D326" i="11" a="1"/>
  <c r="D326" i="11"/>
  <c r="E326" i="11" a="1"/>
  <c r="E326" i="11"/>
  <c r="F326" i="11" a="1"/>
  <c r="F326" i="11" s="1"/>
  <c r="G326" i="11" a="1"/>
  <c r="G326" i="11" s="1"/>
  <c r="H326" i="11" a="1"/>
  <c r="H326" i="11" s="1"/>
  <c r="I326" i="11" a="1"/>
  <c r="I326" i="11" s="1"/>
  <c r="J326" i="11" a="1"/>
  <c r="J326" i="11" s="1"/>
  <c r="K326" i="11" a="1"/>
  <c r="K326" i="11"/>
  <c r="L326" i="11" a="1"/>
  <c r="L326" i="11"/>
  <c r="M326" i="11" a="1"/>
  <c r="M326" i="11" s="1"/>
  <c r="N326" i="11" a="1"/>
  <c r="N326" i="11" s="1"/>
  <c r="O326" i="11" a="1"/>
  <c r="O326" i="11" s="1"/>
  <c r="P326" i="11" a="1"/>
  <c r="P326" i="11" s="1"/>
  <c r="Q326" i="11" a="1"/>
  <c r="Q326" i="11" s="1"/>
  <c r="B327" i="11" a="1"/>
  <c r="B327" i="11"/>
  <c r="C327" i="11" a="1"/>
  <c r="C327" i="11" s="1"/>
  <c r="D327" i="11" a="1"/>
  <c r="D327" i="11" s="1"/>
  <c r="E327" i="11" a="1"/>
  <c r="E327" i="11" s="1"/>
  <c r="F327" i="11" a="1"/>
  <c r="F327" i="11"/>
  <c r="G327" i="11" a="1"/>
  <c r="G327" i="11" s="1"/>
  <c r="H327" i="11" a="1"/>
  <c r="H327" i="11" s="1"/>
  <c r="I327" i="11" a="1"/>
  <c r="I327" i="11" s="1"/>
  <c r="J327" i="11" a="1"/>
  <c r="J327" i="11" s="1"/>
  <c r="K327" i="11" a="1"/>
  <c r="K327" i="11"/>
  <c r="L327" i="11" a="1"/>
  <c r="L327" i="11"/>
  <c r="M327" i="11" a="1"/>
  <c r="M327" i="11" s="1"/>
  <c r="N327" i="11" a="1"/>
  <c r="N327" i="11"/>
  <c r="O327" i="11" a="1"/>
  <c r="O327" i="11"/>
  <c r="P327" i="11" a="1"/>
  <c r="P327" i="11" s="1"/>
  <c r="Q327" i="11" a="1"/>
  <c r="Q327" i="11" s="1"/>
  <c r="B328" i="11" a="1"/>
  <c r="B328" i="11"/>
  <c r="C328" i="11" a="1"/>
  <c r="C328" i="11" s="1"/>
  <c r="D328" i="11" a="1"/>
  <c r="D328" i="11"/>
  <c r="E328" i="11" a="1"/>
  <c r="E328" i="11"/>
  <c r="F328" i="11" a="1"/>
  <c r="F328" i="11" s="1"/>
  <c r="G328" i="11" a="1"/>
  <c r="G328" i="11" s="1"/>
  <c r="H328" i="11" a="1"/>
  <c r="H328" i="11"/>
  <c r="I328" i="11" a="1"/>
  <c r="I328" i="11" s="1"/>
  <c r="J328" i="11" a="1"/>
  <c r="J328" i="11"/>
  <c r="K328" i="11" a="1"/>
  <c r="K328" i="11"/>
  <c r="L328" i="11" a="1"/>
  <c r="L328" i="11" s="1"/>
  <c r="M328" i="11" a="1"/>
  <c r="M328" i="11"/>
  <c r="N328" i="11" a="1"/>
  <c r="N328" i="11"/>
  <c r="O328" i="11" a="1"/>
  <c r="O328" i="11" s="1"/>
  <c r="P328" i="11" a="1"/>
  <c r="P328" i="11"/>
  <c r="Q328" i="11" a="1"/>
  <c r="Q328" i="11"/>
  <c r="B329" i="11" a="1"/>
  <c r="B329" i="11" s="1"/>
  <c r="C329" i="11" a="1"/>
  <c r="C329" i="11" s="1"/>
  <c r="D329" i="11" a="1"/>
  <c r="D329" i="11"/>
  <c r="E329" i="11" a="1"/>
  <c r="E329" i="11" s="1"/>
  <c r="F329" i="11" a="1"/>
  <c r="F329" i="11"/>
  <c r="G329" i="11" a="1"/>
  <c r="G329" i="11"/>
  <c r="H329" i="11" a="1"/>
  <c r="H329" i="11" s="1"/>
  <c r="I329" i="11" a="1"/>
  <c r="I329" i="11"/>
  <c r="J329" i="11" a="1"/>
  <c r="J329" i="11"/>
  <c r="K329" i="11" a="1"/>
  <c r="K329" i="11" s="1"/>
  <c r="L329" i="11" a="1"/>
  <c r="L329" i="11"/>
  <c r="M329" i="11" a="1"/>
  <c r="M329" i="11"/>
  <c r="N329" i="11" a="1"/>
  <c r="N329" i="11" s="1"/>
  <c r="O329" i="11" a="1"/>
  <c r="O329" i="11"/>
  <c r="P329" i="11" a="1"/>
  <c r="P329" i="11"/>
  <c r="Q329" i="11" a="1"/>
  <c r="Q329" i="11" s="1"/>
  <c r="B330" i="11" a="1"/>
  <c r="B330" i="11"/>
  <c r="C330" i="11" a="1"/>
  <c r="C330" i="11"/>
  <c r="D330" i="11" a="1"/>
  <c r="D330" i="11" s="1"/>
  <c r="E330" i="11" a="1"/>
  <c r="E330" i="11" s="1"/>
  <c r="F330" i="11" a="1"/>
  <c r="F330" i="11"/>
  <c r="G330" i="11" a="1"/>
  <c r="G330" i="11" s="1"/>
  <c r="H330" i="11" a="1"/>
  <c r="H330" i="11"/>
  <c r="I330" i="11" a="1"/>
  <c r="I330" i="11"/>
  <c r="J330" i="11" a="1"/>
  <c r="J330" i="11" s="1"/>
  <c r="K330" i="11" a="1"/>
  <c r="K330" i="11" s="1"/>
  <c r="L330" i="11" a="1"/>
  <c r="L330" i="11"/>
  <c r="M330" i="11" a="1"/>
  <c r="M330" i="11" s="1"/>
  <c r="N330" i="11" a="1"/>
  <c r="N330" i="11"/>
  <c r="O330" i="11" a="1"/>
  <c r="O330" i="11"/>
  <c r="P330" i="11" a="1"/>
  <c r="P330" i="11" s="1"/>
  <c r="Q330" i="11" a="1"/>
  <c r="Q330" i="11"/>
  <c r="B331" i="11" a="1"/>
  <c r="B331" i="11"/>
  <c r="C331" i="11" a="1"/>
  <c r="C331" i="11" s="1"/>
  <c r="D331" i="11" a="1"/>
  <c r="D331" i="11"/>
  <c r="E331" i="11" a="1"/>
  <c r="E331" i="11"/>
  <c r="F331" i="11" a="1"/>
  <c r="F331" i="11" s="1"/>
  <c r="G331" i="11" a="1"/>
  <c r="G331" i="11" s="1"/>
  <c r="H331" i="11" a="1"/>
  <c r="H331" i="11"/>
  <c r="I331" i="11" a="1"/>
  <c r="I331" i="11" s="1"/>
  <c r="J331" i="11" a="1"/>
  <c r="J331" i="11"/>
  <c r="K331" i="11" a="1"/>
  <c r="K331" i="11"/>
  <c r="L331" i="11" a="1"/>
  <c r="L331" i="11" s="1"/>
  <c r="M331" i="11" a="1"/>
  <c r="M331" i="11" s="1"/>
  <c r="N331" i="11" a="1"/>
  <c r="N331" i="11"/>
  <c r="O331" i="11" a="1"/>
  <c r="O331" i="11" s="1"/>
  <c r="P331" i="11" a="1"/>
  <c r="P331" i="11"/>
  <c r="Q331" i="11" a="1"/>
  <c r="Q331" i="11"/>
  <c r="B332" i="11" a="1"/>
  <c r="B332" i="11" s="1"/>
  <c r="C332" i="11" a="1"/>
  <c r="C332" i="11"/>
  <c r="D332" i="11" a="1"/>
  <c r="D332" i="11"/>
  <c r="E332" i="11" a="1"/>
  <c r="E332" i="11" s="1"/>
  <c r="F332" i="11" a="1"/>
  <c r="F332" i="11"/>
  <c r="G332" i="11" a="1"/>
  <c r="G332" i="11"/>
  <c r="H332" i="11" a="1"/>
  <c r="H332" i="11" s="1"/>
  <c r="I332" i="11" a="1"/>
  <c r="I332" i="11" s="1"/>
  <c r="J332" i="11" a="1"/>
  <c r="J332" i="11"/>
  <c r="K332" i="11" a="1"/>
  <c r="K332" i="11" s="1"/>
  <c r="L332" i="11" a="1"/>
  <c r="L332" i="11"/>
  <c r="M332" i="11" a="1"/>
  <c r="M332" i="11"/>
  <c r="N332" i="11" a="1"/>
  <c r="N332" i="11" s="1"/>
  <c r="O332" i="11" a="1"/>
  <c r="O332" i="11"/>
  <c r="P332" i="11" a="1"/>
  <c r="P332" i="11"/>
  <c r="Q332" i="11" a="1"/>
  <c r="Q332" i="11" s="1"/>
  <c r="B333" i="11" a="1"/>
  <c r="B333" i="11"/>
  <c r="C333" i="11" a="1"/>
  <c r="C333" i="11"/>
  <c r="D333" i="11" a="1"/>
  <c r="D333" i="11" s="1"/>
  <c r="E333" i="11" a="1"/>
  <c r="E333" i="11"/>
  <c r="F333" i="11" a="1"/>
  <c r="F333" i="11"/>
  <c r="G333" i="11" a="1"/>
  <c r="G333" i="11" s="1"/>
  <c r="H333" i="11" a="1"/>
  <c r="H333" i="11"/>
  <c r="I333" i="11" a="1"/>
  <c r="I333" i="11"/>
  <c r="J333" i="11" a="1"/>
  <c r="J333" i="11" s="1"/>
  <c r="K333" i="11" a="1"/>
  <c r="K333" i="11" s="1"/>
  <c r="L333" i="11" a="1"/>
  <c r="L333" i="11"/>
  <c r="M333" i="11" a="1"/>
  <c r="M333" i="11" s="1"/>
  <c r="N333" i="11" a="1"/>
  <c r="N333" i="11"/>
  <c r="O333" i="11" a="1"/>
  <c r="O333" i="11"/>
  <c r="P333" i="11" a="1"/>
  <c r="P333" i="11" s="1"/>
  <c r="Q333" i="11" a="1"/>
  <c r="Q333" i="11" s="1"/>
  <c r="B334" i="11" a="1"/>
  <c r="B334" i="11"/>
  <c r="C334" i="11" a="1"/>
  <c r="C334" i="11" s="1"/>
  <c r="D334" i="11" a="1"/>
  <c r="D334" i="11"/>
  <c r="E334" i="11" a="1"/>
  <c r="E334" i="11"/>
  <c r="F334" i="11" a="1"/>
  <c r="F334" i="11" s="1"/>
  <c r="G334" i="11" a="1"/>
  <c r="G334" i="11"/>
  <c r="H334" i="11" a="1"/>
  <c r="H334" i="11"/>
  <c r="I334" i="11" a="1"/>
  <c r="I334" i="11" s="1"/>
  <c r="J334" i="11" a="1"/>
  <c r="J334" i="11"/>
  <c r="K334" i="11" a="1"/>
  <c r="K334" i="11"/>
  <c r="L334" i="11" a="1"/>
  <c r="L334" i="11" s="1"/>
  <c r="M334" i="11" a="1"/>
  <c r="M334" i="11" s="1"/>
  <c r="N334" i="11" a="1"/>
  <c r="N334" i="11"/>
  <c r="O334" i="11" a="1"/>
  <c r="O334" i="11" s="1"/>
  <c r="P334" i="11" a="1"/>
  <c r="P334" i="11"/>
  <c r="Q334" i="11" a="1"/>
  <c r="Q334" i="11"/>
  <c r="B335" i="11" a="1"/>
  <c r="B335" i="11" s="1"/>
  <c r="C335" i="11" a="1"/>
  <c r="C335" i="11" s="1"/>
  <c r="D335" i="11" a="1"/>
  <c r="D335" i="11"/>
  <c r="E335" i="11" a="1"/>
  <c r="E335" i="11" s="1"/>
  <c r="F335" i="11" a="1"/>
  <c r="F335" i="11"/>
  <c r="G335" i="11" a="1"/>
  <c r="G335" i="11"/>
  <c r="H335" i="11" a="1"/>
  <c r="H335" i="11" s="1"/>
  <c r="I335" i="11" a="1"/>
  <c r="I335" i="11"/>
  <c r="J335" i="11" a="1"/>
  <c r="J335" i="11"/>
  <c r="K335" i="11" a="1"/>
  <c r="K335" i="11" s="1"/>
  <c r="L335" i="11" a="1"/>
  <c r="L335" i="11"/>
  <c r="M335" i="11" a="1"/>
  <c r="M335" i="11"/>
  <c r="N335" i="11" a="1"/>
  <c r="N335" i="11" s="1"/>
  <c r="O335" i="11" a="1"/>
  <c r="O335" i="11" s="1"/>
  <c r="P335" i="11" a="1"/>
  <c r="P335" i="11"/>
  <c r="Q335" i="11" a="1"/>
  <c r="Q335" i="11" s="1"/>
  <c r="B336" i="11" a="1"/>
  <c r="B336" i="11"/>
  <c r="C336" i="11" a="1"/>
  <c r="C336" i="11"/>
  <c r="D336" i="11" a="1"/>
  <c r="D336" i="11" s="1"/>
  <c r="E336" i="11" a="1"/>
  <c r="E336" i="11" s="1"/>
  <c r="F336" i="11" a="1"/>
  <c r="F336" i="11"/>
  <c r="G336" i="11" a="1"/>
  <c r="G336" i="11" s="1"/>
  <c r="H336" i="11" a="1"/>
  <c r="H336" i="11"/>
  <c r="I336" i="11" a="1"/>
  <c r="I336" i="11"/>
  <c r="J336" i="11" a="1"/>
  <c r="J336" i="11" s="1"/>
  <c r="K336" i="11" a="1"/>
  <c r="K336" i="11"/>
  <c r="L336" i="11" a="1"/>
  <c r="L336" i="11"/>
  <c r="M336" i="11" a="1"/>
  <c r="M336" i="11" s="1"/>
  <c r="N336" i="11" a="1"/>
  <c r="N336" i="11"/>
  <c r="O336" i="11" a="1"/>
  <c r="O336" i="11"/>
  <c r="P336" i="11" a="1"/>
  <c r="P336" i="11" s="1"/>
  <c r="Q336" i="11" a="1"/>
  <c r="Q336" i="11" s="1"/>
  <c r="B337" i="11" a="1"/>
  <c r="B337" i="11"/>
  <c r="C337" i="11" a="1"/>
  <c r="C337" i="11" s="1"/>
  <c r="D337" i="11" a="1"/>
  <c r="D337" i="11"/>
  <c r="E337" i="11" a="1"/>
  <c r="E337" i="11"/>
  <c r="F337" i="11" a="1"/>
  <c r="F337" i="11" s="1"/>
  <c r="G337" i="11" a="1"/>
  <c r="G337" i="11"/>
  <c r="H337" i="11" a="1"/>
  <c r="H337" i="11"/>
  <c r="I337" i="11" a="1"/>
  <c r="I337" i="11" s="1"/>
  <c r="J337" i="11" a="1"/>
  <c r="J337" i="11"/>
  <c r="K337" i="11" a="1"/>
  <c r="K337" i="11"/>
  <c r="L337" i="11" a="1"/>
  <c r="L337" i="11" s="1"/>
  <c r="M337" i="11" a="1"/>
  <c r="M337" i="11"/>
  <c r="N337" i="11" a="1"/>
  <c r="N337" i="11"/>
  <c r="O337" i="11" a="1"/>
  <c r="O337" i="11" s="1"/>
  <c r="P337" i="11" a="1"/>
  <c r="P337" i="11"/>
  <c r="Q337" i="11" a="1"/>
  <c r="Q337" i="11"/>
  <c r="B338" i="11" a="1"/>
  <c r="B338" i="11" s="1"/>
  <c r="C338" i="11" a="1"/>
  <c r="C338" i="11" s="1"/>
  <c r="D338" i="11" a="1"/>
  <c r="D338" i="11"/>
  <c r="E338" i="11" a="1"/>
  <c r="E338" i="11" s="1"/>
  <c r="F338" i="11" a="1"/>
  <c r="F338" i="11"/>
  <c r="G338" i="11" a="1"/>
  <c r="G338" i="11"/>
  <c r="H338" i="11" a="1"/>
  <c r="H338" i="11" s="1"/>
  <c r="I338" i="11" a="1"/>
  <c r="I338" i="11" s="1"/>
  <c r="J338" i="11" a="1"/>
  <c r="J338" i="11"/>
  <c r="K338" i="11" a="1"/>
  <c r="K338" i="11" s="1"/>
  <c r="L338" i="11" a="1"/>
  <c r="L338" i="11"/>
  <c r="M338" i="11" a="1"/>
  <c r="M338" i="11"/>
  <c r="N338" i="11" a="1"/>
  <c r="N338" i="11" s="1"/>
  <c r="O338" i="11" a="1"/>
  <c r="O338" i="11"/>
  <c r="P338" i="11" a="1"/>
  <c r="P338" i="11"/>
  <c r="Q338" i="11" a="1"/>
  <c r="Q338" i="11" s="1"/>
  <c r="B339" i="11" a="1"/>
  <c r="B339" i="11"/>
  <c r="C339" i="11" a="1"/>
  <c r="C339" i="11"/>
  <c r="D339" i="11" a="1"/>
  <c r="D339" i="11" s="1"/>
  <c r="E339" i="11" a="1"/>
  <c r="E339" i="11" s="1"/>
  <c r="F339" i="11" a="1"/>
  <c r="F339" i="11"/>
  <c r="G339" i="11" a="1"/>
  <c r="G339" i="11" s="1"/>
  <c r="H339" i="11" a="1"/>
  <c r="H339" i="11"/>
  <c r="I339" i="11" a="1"/>
  <c r="I339" i="11"/>
  <c r="J339" i="11" a="1"/>
  <c r="J339" i="11" s="1"/>
  <c r="K339" i="11" a="1"/>
  <c r="K339" i="11" s="1"/>
  <c r="L339" i="11" a="1"/>
  <c r="L339" i="11"/>
  <c r="M339" i="11" a="1"/>
  <c r="M339" i="11" s="1"/>
  <c r="N339" i="11" a="1"/>
  <c r="N339" i="11"/>
  <c r="O339" i="11" a="1"/>
  <c r="O339" i="11"/>
  <c r="P339" i="11" a="1"/>
  <c r="P339" i="11" s="1"/>
  <c r="Q339" i="11" a="1"/>
  <c r="Q339" i="11"/>
  <c r="B340" i="11" a="1"/>
  <c r="B340" i="11"/>
  <c r="C340" i="11" a="1"/>
  <c r="C340" i="11" s="1"/>
  <c r="D340" i="11" a="1"/>
  <c r="D340" i="11"/>
  <c r="E340" i="11" a="1"/>
  <c r="E340" i="11"/>
  <c r="F340" i="11" a="1"/>
  <c r="F340" i="11" s="1"/>
  <c r="G340" i="11" a="1"/>
  <c r="G340" i="11" s="1"/>
  <c r="H340" i="11" a="1"/>
  <c r="H340" i="11"/>
  <c r="I340" i="11" a="1"/>
  <c r="I340" i="11" s="1"/>
  <c r="J340" i="11" a="1"/>
  <c r="J340" i="11"/>
  <c r="K340" i="11" a="1"/>
  <c r="K340" i="11"/>
  <c r="L340" i="11" a="1"/>
  <c r="L340" i="11" s="1"/>
  <c r="M340" i="11" a="1"/>
  <c r="M340" i="11" s="1"/>
  <c r="N340" i="11" a="1"/>
  <c r="N340" i="11"/>
  <c r="O340" i="11" a="1"/>
  <c r="O340" i="11" s="1"/>
  <c r="P340" i="11" a="1"/>
  <c r="P340" i="11" s="1"/>
  <c r="Q340" i="11" a="1"/>
  <c r="Q340" i="11"/>
  <c r="B341" i="11" a="1"/>
  <c r="B341" i="11" s="1"/>
  <c r="C341" i="11" a="1"/>
  <c r="C341" i="11"/>
  <c r="D341" i="11" a="1"/>
  <c r="D341" i="11"/>
  <c r="E341" i="11" a="1"/>
  <c r="E341" i="11" s="1"/>
  <c r="F341" i="11" a="1"/>
  <c r="F341" i="11" s="1"/>
  <c r="G341" i="11" a="1"/>
  <c r="G341" i="11"/>
  <c r="H341" i="11" a="1"/>
  <c r="H341" i="11" s="1"/>
  <c r="I341" i="11" a="1"/>
  <c r="I341" i="11" s="1"/>
  <c r="J341" i="11" a="1"/>
  <c r="J341" i="11"/>
  <c r="K341" i="11" a="1"/>
  <c r="K341" i="11" s="1"/>
  <c r="L341" i="11" a="1"/>
  <c r="L341" i="11" s="1"/>
  <c r="M341" i="11" a="1"/>
  <c r="M341" i="11"/>
  <c r="N341" i="11" a="1"/>
  <c r="N341" i="11" s="1"/>
  <c r="O341" i="11" a="1"/>
  <c r="O341" i="11"/>
  <c r="P341" i="11" a="1"/>
  <c r="P341" i="11"/>
  <c r="Q341" i="11" a="1"/>
  <c r="Q341" i="11" s="1"/>
  <c r="B342" i="11" a="1"/>
  <c r="B342" i="11" s="1"/>
  <c r="C342" i="11" a="1"/>
  <c r="C342" i="11"/>
  <c r="D342" i="11" a="1"/>
  <c r="D342" i="11" s="1"/>
  <c r="E342" i="11" a="1"/>
  <c r="E342" i="11" s="1"/>
  <c r="F342" i="11" a="1"/>
  <c r="F342" i="11"/>
  <c r="G342" i="11" a="1"/>
  <c r="G342" i="11" s="1"/>
  <c r="H342" i="11" a="1"/>
  <c r="H342" i="11" s="1"/>
  <c r="I342" i="11" a="1"/>
  <c r="I342" i="11"/>
  <c r="J342" i="11" a="1"/>
  <c r="J342" i="11" s="1"/>
  <c r="K342" i="11" a="1"/>
  <c r="K342" i="11"/>
  <c r="L342" i="11" a="1"/>
  <c r="L342" i="11"/>
  <c r="M342" i="11" a="1"/>
  <c r="M342" i="11" s="1"/>
  <c r="N342" i="11" a="1"/>
  <c r="N342" i="11" s="1"/>
  <c r="O342" i="11" a="1"/>
  <c r="O342" i="11" s="1"/>
  <c r="P342" i="11" a="1"/>
  <c r="P342" i="11" s="1"/>
  <c r="Q342" i="11" a="1"/>
  <c r="Q342" i="11"/>
  <c r="B343" i="11" a="1"/>
  <c r="B343" i="11"/>
  <c r="C343" i="11" a="1"/>
  <c r="C343" i="11" s="1"/>
  <c r="D343" i="11" a="1"/>
  <c r="D343" i="11" s="1"/>
  <c r="E343" i="11" a="1"/>
  <c r="E343" i="11" s="1"/>
  <c r="F343" i="11" a="1"/>
  <c r="F343" i="11" s="1"/>
  <c r="G343" i="11" a="1"/>
  <c r="G343" i="11" s="1"/>
  <c r="H343" i="11" a="1"/>
  <c r="H343" i="11"/>
  <c r="I343" i="11" a="1"/>
  <c r="I343" i="11" s="1"/>
  <c r="J343" i="11" a="1"/>
  <c r="J343" i="11" s="1"/>
  <c r="K343" i="11" a="1"/>
  <c r="K343" i="11" s="1"/>
  <c r="L343" i="11" a="1"/>
  <c r="L343" i="11" s="1"/>
  <c r="M343" i="11" a="1"/>
  <c r="M343" i="11"/>
  <c r="N343" i="11" a="1"/>
  <c r="N343" i="11"/>
  <c r="O343" i="11" a="1"/>
  <c r="O343" i="11" s="1"/>
  <c r="P343" i="11" a="1"/>
  <c r="P343" i="11" s="1"/>
  <c r="Q343" i="11" a="1"/>
  <c r="Q343" i="11" s="1"/>
  <c r="B344" i="11" a="1"/>
  <c r="B344" i="11" s="1"/>
  <c r="C344" i="11" a="1"/>
  <c r="C344" i="11"/>
  <c r="D344" i="11" a="1"/>
  <c r="D344" i="11"/>
  <c r="E344" i="11" a="1"/>
  <c r="E344" i="11" s="1"/>
  <c r="F344" i="11" a="1"/>
  <c r="F344" i="11" s="1"/>
  <c r="G344" i="11" a="1"/>
  <c r="G344" i="11" s="1"/>
  <c r="H344" i="11" a="1"/>
  <c r="H344" i="11" s="1"/>
  <c r="I344" i="11" a="1"/>
  <c r="I344" i="11" s="1"/>
  <c r="J344" i="11" a="1"/>
  <c r="J344" i="11"/>
  <c r="K344" i="11" a="1"/>
  <c r="K344" i="11" s="1"/>
  <c r="L344" i="11" a="1"/>
  <c r="L344" i="11" s="1"/>
  <c r="M344" i="11" a="1"/>
  <c r="M344" i="11" s="1"/>
  <c r="N344" i="11" a="1"/>
  <c r="N344" i="11" s="1"/>
  <c r="O344" i="11" a="1"/>
  <c r="O344" i="11"/>
  <c r="P344" i="11" a="1"/>
  <c r="P344" i="11" s="1"/>
  <c r="Q344" i="11" a="1"/>
  <c r="Q344" i="11" s="1"/>
  <c r="B345" i="11" a="1"/>
  <c r="B345" i="11" s="1"/>
  <c r="C345" i="11" a="1"/>
  <c r="C345" i="11" s="1"/>
  <c r="D345" i="11" a="1"/>
  <c r="D345" i="11" s="1"/>
  <c r="E345" i="11" a="1"/>
  <c r="E345" i="11"/>
  <c r="F345" i="11" a="1"/>
  <c r="F345" i="11" s="1"/>
  <c r="G345" i="11" a="1"/>
  <c r="G345" i="11" s="1"/>
  <c r="H345" i="11" a="1"/>
  <c r="H345" i="11" s="1"/>
  <c r="I345" i="11" a="1"/>
  <c r="I345" i="11" s="1"/>
  <c r="J345" i="11" a="1"/>
  <c r="J345" i="11" s="1"/>
  <c r="K345" i="11" a="1"/>
  <c r="K345" i="11" s="1"/>
  <c r="L345" i="11" a="1"/>
  <c r="L345" i="11"/>
  <c r="M345" i="11" a="1"/>
  <c r="M345" i="11" s="1"/>
  <c r="N345" i="11" a="1"/>
  <c r="N345" i="11" s="1"/>
  <c r="O345" i="11" a="1"/>
  <c r="O345" i="11" s="1"/>
  <c r="P345" i="11" a="1"/>
  <c r="P345" i="11" s="1"/>
  <c r="Q345" i="11" a="1"/>
  <c r="Q345" i="11"/>
  <c r="B346" i="11" a="1"/>
  <c r="B346" i="11" s="1"/>
  <c r="C346" i="11" a="1"/>
  <c r="C346" i="11" s="1"/>
  <c r="D346" i="11" a="1"/>
  <c r="D346" i="11" s="1"/>
  <c r="E346" i="11" a="1"/>
  <c r="E346" i="11" s="1"/>
  <c r="F346" i="11" a="1"/>
  <c r="F346" i="11" s="1"/>
  <c r="G346" i="11" a="1"/>
  <c r="G346" i="11"/>
  <c r="H346" i="11" a="1"/>
  <c r="H346" i="11" s="1"/>
  <c r="I346" i="11" a="1"/>
  <c r="I346" i="11" s="1"/>
  <c r="J346" i="11" a="1"/>
  <c r="J346" i="11" s="1"/>
  <c r="K346" i="11" a="1"/>
  <c r="K346" i="11" s="1"/>
  <c r="L346" i="11" a="1"/>
  <c r="L346" i="11" s="1"/>
  <c r="M346" i="11" a="1"/>
  <c r="M346" i="11" s="1"/>
  <c r="N346" i="11" a="1"/>
  <c r="N346" i="11"/>
  <c r="O346" i="11" a="1"/>
  <c r="O346" i="11" s="1"/>
  <c r="P346" i="11" a="1"/>
  <c r="P346" i="11" s="1"/>
  <c r="Q346" i="11" a="1"/>
  <c r="Q346" i="11" s="1"/>
  <c r="B347" i="11" a="1"/>
  <c r="B347" i="11" s="1"/>
  <c r="C347" i="11" a="1"/>
  <c r="C347" i="11"/>
  <c r="D347" i="11" a="1"/>
  <c r="D347" i="11" s="1"/>
  <c r="E347" i="11" a="1"/>
  <c r="E347" i="11" s="1"/>
  <c r="F347" i="11" a="1"/>
  <c r="F347" i="11" s="1"/>
  <c r="G347" i="11" a="1"/>
  <c r="G347" i="11" s="1"/>
  <c r="H347" i="11" a="1"/>
  <c r="H347" i="11" s="1"/>
  <c r="I347" i="11" a="1"/>
  <c r="I347" i="11"/>
  <c r="J347" i="11" a="1"/>
  <c r="J347" i="11" s="1"/>
  <c r="K347" i="11" a="1"/>
  <c r="K347" i="11" s="1"/>
  <c r="L347" i="11" a="1"/>
  <c r="L347" i="11" s="1"/>
  <c r="M347" i="11" a="1"/>
  <c r="M347" i="11" s="1"/>
  <c r="N347" i="11" a="1"/>
  <c r="N347" i="11" s="1"/>
  <c r="O347" i="11" a="1"/>
  <c r="O347" i="11" s="1"/>
  <c r="P347" i="11" a="1"/>
  <c r="P347" i="11"/>
  <c r="Q347" i="11" a="1"/>
  <c r="Q347" i="11" s="1"/>
  <c r="B348" i="11" a="1"/>
  <c r="B348" i="11" s="1"/>
  <c r="C348" i="11" a="1"/>
  <c r="C348" i="11" s="1"/>
  <c r="D348" i="11" a="1"/>
  <c r="D348" i="11" s="1"/>
  <c r="E348" i="11" a="1"/>
  <c r="E348" i="11"/>
  <c r="F348" i="11" a="1"/>
  <c r="F348" i="11" s="1"/>
  <c r="G348" i="11" a="1"/>
  <c r="G348" i="11" s="1"/>
  <c r="H348" i="11" a="1"/>
  <c r="H348" i="11" s="1"/>
  <c r="I348" i="11" a="1"/>
  <c r="I348" i="11" s="1"/>
  <c r="J348" i="11" a="1"/>
  <c r="J348" i="11" s="1"/>
  <c r="K348" i="11" a="1"/>
  <c r="K348" i="11"/>
  <c r="L348" i="11" a="1"/>
  <c r="L348" i="11" s="1"/>
  <c r="M348" i="11" a="1"/>
  <c r="M348" i="11" s="1"/>
  <c r="N348" i="11" a="1"/>
  <c r="N348" i="11" s="1"/>
  <c r="O348" i="11" a="1"/>
  <c r="O348" i="11" s="1"/>
  <c r="P348" i="11" a="1"/>
  <c r="P348" i="11" s="1"/>
  <c r="Q348" i="11" a="1"/>
  <c r="Q348" i="11" s="1"/>
  <c r="B349" i="11" a="1"/>
  <c r="B349" i="11"/>
  <c r="C349" i="11" a="1"/>
  <c r="C349" i="11" s="1"/>
  <c r="D349" i="11" a="1"/>
  <c r="D349" i="11" s="1"/>
  <c r="E349" i="11" a="1"/>
  <c r="E349" i="11" s="1"/>
  <c r="F349" i="11" a="1"/>
  <c r="F349" i="11" s="1"/>
  <c r="G349" i="11" a="1"/>
  <c r="G349" i="11"/>
  <c r="H349" i="11" a="1"/>
  <c r="H349" i="11" s="1"/>
  <c r="I349" i="11" a="1"/>
  <c r="I349" i="11" s="1"/>
  <c r="J349" i="11" a="1"/>
  <c r="J349" i="11" s="1"/>
  <c r="K349" i="11" a="1"/>
  <c r="K349" i="11" s="1"/>
  <c r="L349" i="11" a="1"/>
  <c r="L349" i="11" s="1"/>
  <c r="M349" i="11" a="1"/>
  <c r="M349" i="11"/>
  <c r="N349" i="11" a="1"/>
  <c r="N349" i="11" s="1"/>
  <c r="O349" i="11" a="1"/>
  <c r="O349" i="11" s="1"/>
  <c r="P349" i="11" a="1"/>
  <c r="P349" i="11" s="1"/>
  <c r="Q349" i="11" a="1"/>
  <c r="Q349" i="11" s="1"/>
  <c r="B350" i="11" a="1"/>
  <c r="B350" i="11" s="1"/>
  <c r="C350" i="11" a="1"/>
  <c r="C350" i="11" s="1"/>
  <c r="D350" i="11" a="1"/>
  <c r="D350" i="11"/>
  <c r="E350" i="11" a="1"/>
  <c r="E350" i="11" s="1"/>
  <c r="F350" i="11" a="1"/>
  <c r="F350" i="11" s="1"/>
  <c r="G350" i="11" a="1"/>
  <c r="G350" i="11" s="1"/>
  <c r="H350" i="11" a="1"/>
  <c r="H350" i="11" s="1"/>
  <c r="I350" i="11" a="1"/>
  <c r="I350" i="11"/>
  <c r="J350" i="11" a="1"/>
  <c r="J350" i="11" s="1"/>
  <c r="K350" i="11" a="1"/>
  <c r="K350" i="11" s="1"/>
  <c r="L350" i="11" a="1"/>
  <c r="L350" i="11" s="1"/>
  <c r="M350" i="11" a="1"/>
  <c r="M350" i="11" s="1"/>
  <c r="N350" i="11" a="1"/>
  <c r="N350" i="11" s="1"/>
  <c r="O350" i="11" a="1"/>
  <c r="O350" i="11"/>
  <c r="P350" i="11" a="1"/>
  <c r="P350" i="11" s="1"/>
  <c r="Q350" i="11" a="1"/>
  <c r="Q350" i="11" s="1"/>
  <c r="B351" i="11" a="1"/>
  <c r="B351" i="11" s="1"/>
  <c r="C351" i="11" a="1"/>
  <c r="C351" i="11" s="1"/>
  <c r="D351" i="11" a="1"/>
  <c r="D351" i="11" s="1"/>
  <c r="E351" i="11" a="1"/>
  <c r="E351" i="11" s="1"/>
  <c r="F351" i="11" a="1"/>
  <c r="F351" i="11" s="1"/>
  <c r="G351" i="11" a="1"/>
  <c r="G351" i="11" s="1"/>
  <c r="H351" i="11" a="1"/>
  <c r="H351" i="11" s="1"/>
  <c r="I351" i="11" a="1"/>
  <c r="I351" i="11" s="1"/>
  <c r="J351" i="11" a="1"/>
  <c r="J351" i="11" s="1"/>
  <c r="K351" i="11" a="1"/>
  <c r="K351" i="11"/>
  <c r="L351" i="11" a="1"/>
  <c r="L351" i="11" s="1"/>
  <c r="M351" i="11" a="1"/>
  <c r="M351" i="11" s="1"/>
  <c r="N351" i="11" a="1"/>
  <c r="N351" i="11" s="1"/>
  <c r="O351" i="11" a="1"/>
  <c r="O351" i="11" s="1"/>
  <c r="P351" i="11" a="1"/>
  <c r="P351" i="11" s="1"/>
  <c r="Q351" i="11" a="1"/>
  <c r="Q351" i="11"/>
  <c r="B352" i="11" a="1"/>
  <c r="B352" i="11" s="1"/>
  <c r="C352" i="11" a="1"/>
  <c r="C352" i="11" s="1"/>
  <c r="D352" i="11" a="1"/>
  <c r="D352" i="11" s="1"/>
  <c r="E352" i="11" a="1"/>
  <c r="E352" i="11" s="1"/>
  <c r="F352" i="11" a="1"/>
  <c r="F352" i="11" s="1"/>
  <c r="G352" i="11" a="1"/>
  <c r="G352" i="11" s="1"/>
  <c r="H352" i="11" a="1"/>
  <c r="H352" i="11" s="1"/>
  <c r="I352" i="11" a="1"/>
  <c r="I352" i="11" s="1"/>
  <c r="J352" i="11" a="1"/>
  <c r="J352" i="11" s="1"/>
  <c r="K352" i="11" a="1"/>
  <c r="K352" i="11" s="1"/>
  <c r="L352" i="11" a="1"/>
  <c r="L352" i="11" s="1"/>
  <c r="M352" i="11" a="1"/>
  <c r="M352" i="11"/>
  <c r="N352" i="11" a="1"/>
  <c r="N352" i="11" s="1"/>
  <c r="O352" i="11" a="1"/>
  <c r="O352" i="11" s="1"/>
  <c r="P352" i="11" a="1"/>
  <c r="P352" i="11" s="1"/>
  <c r="Q352" i="11" a="1"/>
  <c r="Q352" i="11" s="1"/>
  <c r="B353" i="11" a="1"/>
  <c r="B353" i="11"/>
  <c r="C353" i="11" a="1"/>
  <c r="C353" i="11" s="1"/>
  <c r="D353" i="11" a="1"/>
  <c r="D353" i="11"/>
  <c r="E353" i="11" a="1"/>
  <c r="E353" i="11" s="1"/>
  <c r="F353" i="11" a="1"/>
  <c r="F353" i="11" s="1"/>
  <c r="G353" i="11" a="1"/>
  <c r="G353" i="11" s="1"/>
  <c r="H353" i="11" a="1"/>
  <c r="H353" i="11" s="1"/>
  <c r="I353" i="11" a="1"/>
  <c r="I353" i="11"/>
  <c r="J353" i="11" a="1"/>
  <c r="J353" i="11"/>
  <c r="K353" i="11" a="1"/>
  <c r="K353" i="11" s="1"/>
  <c r="L353" i="11" a="1"/>
  <c r="L353" i="11" s="1"/>
  <c r="M353" i="11" a="1"/>
  <c r="M353" i="11" s="1"/>
  <c r="N353" i="11" a="1"/>
  <c r="N353" i="11" s="1"/>
  <c r="O353" i="11" a="1"/>
  <c r="O353" i="11" s="1"/>
  <c r="P353" i="11" a="1"/>
  <c r="P353" i="11" s="1"/>
  <c r="Q353" i="11" a="1"/>
  <c r="Q353" i="11" s="1"/>
  <c r="B354" i="11" a="1"/>
  <c r="B354" i="11" s="1"/>
  <c r="C354" i="11" a="1"/>
  <c r="C354" i="11" s="1"/>
  <c r="D354" i="11" a="1"/>
  <c r="D354" i="11" s="1"/>
  <c r="E354" i="11" a="1"/>
  <c r="E354" i="11"/>
  <c r="F354" i="11" a="1"/>
  <c r="F354" i="11" s="1"/>
  <c r="G354" i="11" a="1"/>
  <c r="G354" i="11" s="1"/>
  <c r="H354" i="11" a="1"/>
  <c r="H354" i="11" s="1"/>
  <c r="I354" i="11" a="1"/>
  <c r="I354" i="11" s="1"/>
  <c r="J354" i="11" a="1"/>
  <c r="J354" i="11"/>
  <c r="K354" i="11" a="1"/>
  <c r="K354" i="11" s="1"/>
  <c r="L354" i="11" a="1"/>
  <c r="L354" i="11"/>
  <c r="M354" i="11" a="1"/>
  <c r="M354" i="11" s="1"/>
  <c r="N354" i="11" a="1"/>
  <c r="N354" i="11" s="1"/>
  <c r="O354" i="11" a="1"/>
  <c r="O354" i="11" s="1"/>
  <c r="P354" i="11" a="1"/>
  <c r="P354" i="11" s="1"/>
  <c r="Q354" i="11" a="1"/>
  <c r="Q354" i="11"/>
  <c r="B355" i="11" a="1"/>
  <c r="B355" i="11"/>
  <c r="C355" i="11" a="1"/>
  <c r="C355" i="11" s="1"/>
  <c r="D355" i="11" a="1"/>
  <c r="D355" i="11" s="1"/>
  <c r="E355" i="11" a="1"/>
  <c r="E355" i="11" s="1"/>
  <c r="F355" i="11" a="1"/>
  <c r="F355" i="11" s="1"/>
  <c r="G355" i="11" a="1"/>
  <c r="G355" i="11" s="1"/>
  <c r="H355" i="11" a="1"/>
  <c r="H355" i="11" s="1"/>
  <c r="I355" i="11" a="1"/>
  <c r="I355" i="11" s="1"/>
  <c r="J355" i="11" a="1"/>
  <c r="J355" i="11" s="1"/>
  <c r="K355" i="11" a="1"/>
  <c r="K355" i="11" s="1"/>
  <c r="L355" i="11" a="1"/>
  <c r="L355" i="11" s="1"/>
  <c r="M355" i="11" a="1"/>
  <c r="M355" i="11"/>
  <c r="N355" i="11" a="1"/>
  <c r="N355" i="11" s="1"/>
  <c r="O355" i="11" a="1"/>
  <c r="O355" i="11" s="1"/>
  <c r="P355" i="11" a="1"/>
  <c r="P355" i="11" s="1"/>
  <c r="Q355" i="11" a="1"/>
  <c r="Q355" i="11" s="1"/>
  <c r="B356" i="11" a="1"/>
  <c r="B356" i="11"/>
  <c r="C356" i="11" a="1"/>
  <c r="C356" i="11" s="1"/>
  <c r="D356" i="11" a="1"/>
  <c r="D356" i="11"/>
  <c r="E356" i="11" a="1"/>
  <c r="E356" i="11" s="1"/>
  <c r="F356" i="11" a="1"/>
  <c r="F356" i="11" s="1"/>
  <c r="G356" i="11" a="1"/>
  <c r="G356" i="11" s="1"/>
  <c r="H356" i="11" a="1"/>
  <c r="H356" i="11" s="1"/>
  <c r="I356" i="11" a="1"/>
  <c r="I356" i="11"/>
  <c r="J356" i="11" a="1"/>
  <c r="J356" i="11" s="1"/>
  <c r="K356" i="11" a="1"/>
  <c r="K356" i="11" s="1"/>
  <c r="L356" i="11" a="1"/>
  <c r="L356" i="11" s="1"/>
  <c r="M356" i="11" a="1"/>
  <c r="M356" i="11" s="1"/>
  <c r="N356" i="11" a="1"/>
  <c r="N356" i="11" s="1"/>
  <c r="O356" i="11" a="1"/>
  <c r="O356" i="11" s="1"/>
  <c r="P356" i="11" a="1"/>
  <c r="P356" i="11" s="1"/>
  <c r="Q356" i="11" a="1"/>
  <c r="Q356" i="11" s="1"/>
  <c r="B357" i="11" a="1"/>
  <c r="B357" i="11"/>
  <c r="C357" i="11" a="1"/>
  <c r="C357" i="11" s="1"/>
  <c r="D357" i="11" a="1"/>
  <c r="D357" i="11"/>
  <c r="E357" i="11" a="1"/>
  <c r="E357" i="11" s="1"/>
  <c r="F357" i="11" a="1"/>
  <c r="F357" i="11" s="1"/>
  <c r="G357" i="11" a="1"/>
  <c r="G357" i="11"/>
  <c r="H357" i="11" a="1"/>
  <c r="H357" i="11" s="1"/>
  <c r="I357" i="11" a="1"/>
  <c r="I357" i="11" s="1"/>
  <c r="J357" i="11" a="1"/>
  <c r="J357" i="11"/>
  <c r="K357" i="11" a="1"/>
  <c r="K357" i="11" s="1"/>
  <c r="L357" i="11" a="1"/>
  <c r="L357" i="11" s="1"/>
  <c r="M357" i="11" a="1"/>
  <c r="M357" i="11"/>
  <c r="N357" i="11" a="1"/>
  <c r="N357" i="11" s="1"/>
  <c r="O357" i="11" a="1"/>
  <c r="O357" i="11" s="1"/>
  <c r="P357" i="11" a="1"/>
  <c r="P357" i="11"/>
  <c r="Q357" i="11" a="1"/>
  <c r="Q357" i="11" s="1"/>
  <c r="B358" i="11" a="1"/>
  <c r="B358" i="11" s="1"/>
  <c r="C358" i="11" a="1"/>
  <c r="C358" i="11"/>
  <c r="D358" i="11" a="1"/>
  <c r="D358" i="11" s="1"/>
  <c r="E358" i="11" a="1"/>
  <c r="E358" i="11" s="1"/>
  <c r="F358" i="11" a="1"/>
  <c r="F358" i="11"/>
  <c r="G358" i="11" a="1"/>
  <c r="G358" i="11" s="1"/>
  <c r="H358" i="11" a="1"/>
  <c r="H358" i="11" s="1"/>
  <c r="I358" i="11" a="1"/>
  <c r="I358" i="11"/>
  <c r="J358" i="11" a="1"/>
  <c r="J358" i="11"/>
  <c r="K358" i="11" a="1"/>
  <c r="K358" i="11" s="1"/>
  <c r="L358" i="11" a="1"/>
  <c r="L358" i="11"/>
  <c r="M358" i="11" a="1"/>
  <c r="M358" i="11" s="1"/>
  <c r="N358" i="11" a="1"/>
  <c r="N358" i="11" s="1"/>
  <c r="O358" i="11" a="1"/>
  <c r="O358" i="11"/>
  <c r="P358" i="11" a="1"/>
  <c r="P358" i="11" s="1"/>
  <c r="Q358" i="11" a="1"/>
  <c r="Q358" i="11" s="1"/>
  <c r="B359" i="11" a="1"/>
  <c r="B359" i="11"/>
  <c r="C359" i="11" a="1"/>
  <c r="C359" i="11" s="1"/>
  <c r="D359" i="11" a="1"/>
  <c r="D359" i="11" s="1"/>
  <c r="E359" i="11" a="1"/>
  <c r="E359" i="11"/>
  <c r="F359" i="11" a="1"/>
  <c r="F359" i="11" s="1"/>
  <c r="G359" i="11" a="1"/>
  <c r="G359" i="11" s="1"/>
  <c r="H359" i="11" a="1"/>
  <c r="H359" i="11"/>
  <c r="I359" i="11" a="1"/>
  <c r="I359" i="11" s="1"/>
  <c r="J359" i="11" a="1"/>
  <c r="J359" i="11" s="1"/>
  <c r="K359" i="11" a="1"/>
  <c r="K359" i="11" s="1"/>
  <c r="L359" i="11" a="1"/>
  <c r="L359" i="11"/>
  <c r="M359" i="11" a="1"/>
  <c r="M359" i="11" s="1"/>
  <c r="N359" i="11" a="1"/>
  <c r="N359" i="11"/>
  <c r="O359" i="11" a="1"/>
  <c r="O359" i="11" s="1"/>
  <c r="P359" i="11" a="1"/>
  <c r="P359" i="11" s="1"/>
  <c r="Q359" i="11" a="1"/>
  <c r="Q359" i="11" s="1"/>
  <c r="B360" i="11" a="1"/>
  <c r="B360" i="11"/>
  <c r="C360" i="11" a="1"/>
  <c r="C360" i="11" s="1"/>
  <c r="D360" i="11" a="1"/>
  <c r="D360" i="11"/>
  <c r="E360" i="11" a="1"/>
  <c r="E360" i="11" s="1"/>
  <c r="F360" i="11" a="1"/>
  <c r="F360" i="11" s="1"/>
  <c r="G360" i="11" a="1"/>
  <c r="G360" i="11" s="1"/>
  <c r="H360" i="11" a="1"/>
  <c r="H360" i="11" s="1"/>
  <c r="I360" i="11" a="1"/>
  <c r="I360" i="11" s="1"/>
  <c r="J360" i="11" a="1"/>
  <c r="J360" i="11"/>
  <c r="K360" i="11" a="1"/>
  <c r="K360" i="11" s="1"/>
  <c r="L360" i="11" a="1"/>
  <c r="L360" i="11" s="1"/>
  <c r="M360" i="11" a="1"/>
  <c r="M360" i="11" s="1"/>
  <c r="N360" i="11" a="1"/>
  <c r="N360" i="11"/>
  <c r="O360" i="11" a="1"/>
  <c r="O360" i="11" s="1"/>
  <c r="P360" i="11" a="1"/>
  <c r="P360" i="11"/>
  <c r="Q360" i="11" a="1"/>
  <c r="Q360" i="11" s="1"/>
  <c r="B361" i="11" a="1"/>
  <c r="B361" i="11" s="1"/>
  <c r="C361" i="11" a="1"/>
  <c r="C361" i="11" s="1"/>
  <c r="D361" i="11" a="1"/>
  <c r="D361" i="11"/>
  <c r="E361" i="11" a="1"/>
  <c r="E361" i="11" s="1"/>
  <c r="F361" i="11" a="1"/>
  <c r="F361" i="11"/>
  <c r="G361" i="11" a="1"/>
  <c r="G361" i="11" s="1"/>
  <c r="H361" i="11" a="1"/>
  <c r="H361" i="11" s="1"/>
  <c r="I361" i="11" a="1"/>
  <c r="I361" i="11" s="1"/>
  <c r="J361" i="11" a="1"/>
  <c r="J361" i="11" s="1"/>
  <c r="K361" i="11" a="1"/>
  <c r="K361" i="11" s="1"/>
  <c r="L361" i="11" a="1"/>
  <c r="L361" i="11"/>
  <c r="M361" i="11" a="1"/>
  <c r="M361" i="11" s="1"/>
  <c r="N361" i="11" a="1"/>
  <c r="N361" i="11" s="1"/>
  <c r="O361" i="11" a="1"/>
  <c r="O361" i="11" s="1"/>
  <c r="P361" i="11" a="1"/>
  <c r="P361" i="11"/>
  <c r="Q361" i="11" a="1"/>
  <c r="Q361" i="11" s="1"/>
  <c r="B362" i="11" a="1"/>
  <c r="B362" i="11"/>
  <c r="C362" i="11" a="1"/>
  <c r="C362" i="11" s="1"/>
  <c r="D362" i="11" a="1"/>
  <c r="D362" i="11" s="1"/>
  <c r="E362" i="11" a="1"/>
  <c r="E362" i="11" s="1"/>
  <c r="F362" i="11" a="1"/>
  <c r="F362" i="11"/>
  <c r="G362" i="11" a="1"/>
  <c r="G362" i="11" s="1"/>
  <c r="H362" i="11" a="1"/>
  <c r="H362" i="11"/>
  <c r="I362" i="11" a="1"/>
  <c r="I362" i="11" s="1"/>
  <c r="J362" i="11" a="1"/>
  <c r="J362" i="11" s="1"/>
  <c r="K362" i="11" a="1"/>
  <c r="K362" i="11" s="1"/>
  <c r="L362" i="11" a="1"/>
  <c r="L362" i="11" s="1"/>
  <c r="M362" i="11" a="1"/>
  <c r="M362" i="11" s="1"/>
  <c r="N362" i="11" a="1"/>
  <c r="N362" i="11"/>
  <c r="O362" i="11" a="1"/>
  <c r="O362" i="11" s="1"/>
  <c r="P362" i="11" a="1"/>
  <c r="P362" i="11" s="1"/>
  <c r="Q362" i="11" a="1"/>
  <c r="Q362" i="11" s="1"/>
  <c r="B363" i="11" a="1"/>
  <c r="B363" i="11"/>
  <c r="C363" i="11" a="1"/>
  <c r="C363" i="11" s="1"/>
  <c r="D363" i="11" a="1"/>
  <c r="D363" i="11"/>
  <c r="E363" i="11" a="1"/>
  <c r="E363" i="11" s="1"/>
  <c r="F363" i="11" a="1"/>
  <c r="F363" i="11" s="1"/>
  <c r="G363" i="11" a="1"/>
  <c r="G363" i="11" s="1"/>
  <c r="H363" i="11" a="1"/>
  <c r="H363" i="11"/>
  <c r="I363" i="11" a="1"/>
  <c r="I363" i="11" s="1"/>
  <c r="J363" i="11" a="1"/>
  <c r="J363" i="11" s="1"/>
  <c r="K363" i="11" a="1"/>
  <c r="K363" i="11" s="1"/>
  <c r="L363" i="11" a="1"/>
  <c r="L363" i="11" s="1"/>
  <c r="M363" i="11" a="1"/>
  <c r="M363" i="11" s="1"/>
  <c r="N363" i="11" a="1"/>
  <c r="N363" i="11" s="1"/>
  <c r="O363" i="11" a="1"/>
  <c r="O363" i="11" s="1"/>
  <c r="P363" i="11" a="1"/>
  <c r="P363" i="11" s="1"/>
  <c r="Q363" i="11" a="1"/>
  <c r="Q363" i="11" s="1"/>
  <c r="B364" i="11" a="1"/>
  <c r="B364" i="11" s="1"/>
  <c r="C364" i="11" a="1"/>
  <c r="C364" i="11" s="1"/>
  <c r="D364" i="11" a="1"/>
  <c r="D364" i="11"/>
  <c r="E364" i="11" a="1"/>
  <c r="E364" i="11" s="1"/>
  <c r="F364" i="11" a="1"/>
  <c r="F364" i="11"/>
  <c r="G364" i="11" a="1"/>
  <c r="G364" i="11" s="1"/>
  <c r="H364" i="11" a="1"/>
  <c r="H364" i="11" s="1"/>
  <c r="I364" i="11" a="1"/>
  <c r="I364" i="11" s="1"/>
  <c r="J364" i="11" a="1"/>
  <c r="J364" i="11"/>
  <c r="K364" i="11" a="1"/>
  <c r="K364" i="11" s="1"/>
  <c r="L364" i="11" a="1"/>
  <c r="L364" i="11" s="1"/>
  <c r="M364" i="11" a="1"/>
  <c r="M364" i="11" s="1"/>
  <c r="N364" i="11" a="1"/>
  <c r="N364" i="11" s="1"/>
  <c r="O364" i="11" a="1"/>
  <c r="O364" i="11" s="1"/>
  <c r="P364" i="11" a="1"/>
  <c r="P364" i="11" s="1"/>
  <c r="Q364" i="11" a="1"/>
  <c r="Q364" i="11" s="1"/>
  <c r="B365" i="11" a="1"/>
  <c r="B365" i="11" s="1"/>
  <c r="C365" i="11" a="1"/>
  <c r="C365" i="11" s="1"/>
  <c r="D365" i="11" a="1"/>
  <c r="D365" i="11" s="1"/>
  <c r="E365" i="11" a="1"/>
  <c r="E365" i="11" s="1"/>
  <c r="F365" i="11" a="1"/>
  <c r="F365" i="11"/>
  <c r="G365" i="11" a="1"/>
  <c r="G365" i="11" s="1"/>
  <c r="H365" i="11" a="1"/>
  <c r="H365" i="11"/>
  <c r="I365" i="11" a="1"/>
  <c r="I365" i="11" s="1"/>
  <c r="J365" i="11" a="1"/>
  <c r="J365" i="11" s="1"/>
  <c r="K365" i="11" a="1"/>
  <c r="K365" i="11" s="1"/>
  <c r="L365" i="11" a="1"/>
  <c r="L365" i="11"/>
  <c r="M365" i="11" a="1"/>
  <c r="M365" i="11" s="1"/>
  <c r="N365" i="11" a="1"/>
  <c r="N365" i="11" s="1"/>
  <c r="O365" i="11" a="1"/>
  <c r="O365" i="11" s="1"/>
  <c r="P365" i="11" a="1"/>
  <c r="P365" i="11" s="1"/>
  <c r="Q365" i="11" a="1"/>
  <c r="Q365" i="11" s="1"/>
  <c r="B366" i="11" a="1"/>
  <c r="B366" i="11" s="1"/>
  <c r="C366" i="11" a="1"/>
  <c r="C366" i="11" s="1"/>
  <c r="D366" i="11" a="1"/>
  <c r="D366" i="11" s="1"/>
  <c r="E366" i="11" a="1"/>
  <c r="E366" i="11" s="1"/>
  <c r="F366" i="11" a="1"/>
  <c r="F366" i="11" s="1"/>
  <c r="G366" i="11" a="1"/>
  <c r="G366" i="11" s="1"/>
  <c r="H366" i="11" a="1"/>
  <c r="H366" i="11"/>
  <c r="I366" i="11" a="1"/>
  <c r="I366" i="11" s="1"/>
  <c r="J366" i="11" a="1"/>
  <c r="J366" i="11"/>
  <c r="K366" i="11" a="1"/>
  <c r="K366" i="11" s="1"/>
  <c r="L366" i="11" a="1"/>
  <c r="L366" i="11" s="1"/>
  <c r="M366" i="11" a="1"/>
  <c r="M366" i="11" s="1"/>
  <c r="N366" i="11" a="1"/>
  <c r="N366" i="11"/>
  <c r="O366" i="11" a="1"/>
  <c r="O366" i="11" s="1"/>
  <c r="P366" i="11" a="1"/>
  <c r="P366" i="11" s="1"/>
  <c r="Q366" i="11" a="1"/>
  <c r="Q366" i="11" s="1"/>
  <c r="B367" i="11" a="1"/>
  <c r="B367" i="11" s="1"/>
  <c r="C367" i="11" a="1"/>
  <c r="C367" i="11" s="1"/>
  <c r="D367" i="11" a="1"/>
  <c r="D367" i="11" s="1"/>
  <c r="E367" i="11" a="1"/>
  <c r="E367" i="11" s="1"/>
  <c r="F367" i="11" a="1"/>
  <c r="F367" i="11" s="1"/>
  <c r="G367" i="11" a="1"/>
  <c r="G367" i="11" s="1"/>
  <c r="H367" i="11" a="1"/>
  <c r="H367" i="11" s="1"/>
  <c r="I367" i="11" a="1"/>
  <c r="I367" i="11" s="1"/>
  <c r="J367" i="11" a="1"/>
  <c r="J367" i="11"/>
  <c r="K367" i="11" a="1"/>
  <c r="K367" i="11" s="1"/>
  <c r="L367" i="11" a="1"/>
  <c r="L367" i="11"/>
  <c r="M367" i="11" a="1"/>
  <c r="M367" i="11" s="1"/>
  <c r="N367" i="11" a="1"/>
  <c r="N367" i="11" s="1"/>
  <c r="O367" i="11" a="1"/>
  <c r="O367" i="11" s="1"/>
  <c r="P367" i="11" a="1"/>
  <c r="P367" i="11"/>
  <c r="Q367" i="11" a="1"/>
  <c r="Q367" i="11" s="1"/>
  <c r="B368" i="11" a="1"/>
  <c r="B368" i="11" s="1"/>
  <c r="C368" i="11" a="1"/>
  <c r="C368" i="11" s="1"/>
  <c r="D368" i="11" a="1"/>
  <c r="D368" i="11" s="1"/>
  <c r="E368" i="11" a="1"/>
  <c r="E368" i="11" s="1"/>
  <c r="F368" i="11" a="1"/>
  <c r="F368" i="11" s="1"/>
  <c r="G368" i="11" a="1"/>
  <c r="G368" i="11" s="1"/>
  <c r="H368" i="11" a="1"/>
  <c r="H368" i="11" s="1"/>
  <c r="I368" i="11" a="1"/>
  <c r="I368" i="11" s="1"/>
  <c r="J368" i="11" a="1"/>
  <c r="J368" i="11" s="1"/>
  <c r="K368" i="11" a="1"/>
  <c r="K368" i="11" s="1"/>
  <c r="L368" i="11" a="1"/>
  <c r="L368" i="11"/>
  <c r="M368" i="11" a="1"/>
  <c r="M368" i="11" s="1"/>
  <c r="N368" i="11" a="1"/>
  <c r="N368" i="11"/>
  <c r="O368" i="11" a="1"/>
  <c r="O368" i="11" s="1"/>
  <c r="P368" i="11" a="1"/>
  <c r="P368" i="11" s="1"/>
  <c r="Q368" i="11" a="1"/>
  <c r="Q368" i="11" s="1"/>
  <c r="B369" i="11" a="1"/>
  <c r="B369" i="11"/>
  <c r="C369" i="11" a="1"/>
  <c r="C369" i="11" s="1"/>
  <c r="D369" i="11" a="1"/>
  <c r="D369" i="11" s="1"/>
  <c r="E369" i="11" a="1"/>
  <c r="E369" i="11" s="1"/>
  <c r="F369" i="11" a="1"/>
  <c r="F369" i="11" s="1"/>
  <c r="G369" i="11" a="1"/>
  <c r="G369" i="11" s="1"/>
  <c r="H369" i="11" a="1"/>
  <c r="H369" i="11" s="1"/>
  <c r="I369" i="11" a="1"/>
  <c r="I369" i="11" s="1"/>
  <c r="J369" i="11" a="1"/>
  <c r="J369" i="11" s="1"/>
  <c r="K369" i="11" a="1"/>
  <c r="K369" i="11" s="1"/>
  <c r="L369" i="11" a="1"/>
  <c r="L369" i="11" s="1"/>
  <c r="M369" i="11" a="1"/>
  <c r="M369" i="11" s="1"/>
  <c r="N369" i="11" a="1"/>
  <c r="N369" i="11"/>
  <c r="O369" i="11" a="1"/>
  <c r="O369" i="11" s="1"/>
  <c r="P369" i="11" a="1"/>
  <c r="P369" i="11"/>
  <c r="Q369" i="11" a="1"/>
  <c r="Q369" i="11" s="1"/>
  <c r="B370" i="11" a="1"/>
  <c r="B370" i="11" s="1"/>
  <c r="C370" i="11" a="1"/>
  <c r="C370" i="11" s="1"/>
  <c r="D370" i="11" a="1"/>
  <c r="D370" i="11"/>
  <c r="E370" i="11" a="1"/>
  <c r="E370" i="11" s="1"/>
  <c r="F370" i="11" a="1"/>
  <c r="F370" i="11" s="1"/>
  <c r="G370" i="11" a="1"/>
  <c r="G370" i="11" s="1"/>
  <c r="H370" i="11" a="1"/>
  <c r="H370" i="11" s="1"/>
  <c r="I370" i="11" a="1"/>
  <c r="I370" i="11" s="1"/>
  <c r="J370" i="11" a="1"/>
  <c r="J370" i="11" s="1"/>
  <c r="K370" i="11" a="1"/>
  <c r="K370" i="11" s="1"/>
  <c r="L370" i="11" a="1"/>
  <c r="L370" i="11" s="1"/>
  <c r="M370" i="11" a="1"/>
  <c r="M370" i="11" s="1"/>
  <c r="N370" i="11" a="1"/>
  <c r="N370" i="11" s="1"/>
  <c r="O370" i="11" a="1"/>
  <c r="O370" i="11" s="1"/>
  <c r="P370" i="11" a="1"/>
  <c r="P370" i="11" s="1"/>
  <c r="Q370" i="11" a="1"/>
  <c r="Q370" i="11" s="1"/>
  <c r="B371" i="11" a="1"/>
  <c r="B371" i="11"/>
  <c r="C371" i="11" a="1"/>
  <c r="C371" i="11" s="1"/>
  <c r="D371" i="11" a="1"/>
  <c r="D371" i="11" s="1"/>
  <c r="E371" i="11" a="1"/>
  <c r="E371" i="11" s="1"/>
  <c r="F371" i="11" a="1"/>
  <c r="F371" i="11"/>
  <c r="G371" i="11" a="1"/>
  <c r="G371" i="11" s="1"/>
  <c r="H371" i="11" a="1"/>
  <c r="H371" i="11" s="1"/>
  <c r="I371" i="11" a="1"/>
  <c r="I371" i="11" s="1"/>
  <c r="J371" i="11" a="1"/>
  <c r="J371" i="11" s="1"/>
  <c r="K371" i="11" a="1"/>
  <c r="K371" i="11" s="1"/>
  <c r="L371" i="11" a="1"/>
  <c r="L371" i="11" s="1"/>
  <c r="M371" i="11" a="1"/>
  <c r="M371" i="11" s="1"/>
  <c r="N371" i="11" a="1"/>
  <c r="N371" i="11" s="1"/>
  <c r="O371" i="11" a="1"/>
  <c r="O371" i="11" s="1"/>
  <c r="P371" i="11" a="1"/>
  <c r="P371" i="11" s="1"/>
  <c r="Q371" i="11" a="1"/>
  <c r="Q371" i="11" s="1"/>
  <c r="B372" i="11" a="1"/>
  <c r="B372" i="11" s="1"/>
  <c r="C372" i="11" a="1"/>
  <c r="C372" i="11" s="1"/>
  <c r="D372" i="11" a="1"/>
  <c r="D372" i="11"/>
  <c r="E372" i="11" a="1"/>
  <c r="E372" i="11" s="1"/>
  <c r="F372" i="11" a="1"/>
  <c r="F372" i="11" s="1"/>
  <c r="G372" i="11" a="1"/>
  <c r="G372" i="11" s="1"/>
  <c r="H372" i="11" a="1"/>
  <c r="H372" i="11"/>
  <c r="I372" i="11" a="1"/>
  <c r="I372" i="11" s="1"/>
  <c r="J372" i="11" a="1"/>
  <c r="J372" i="11" s="1"/>
  <c r="K372" i="11" a="1"/>
  <c r="K372" i="11" s="1"/>
  <c r="L372" i="11" a="1"/>
  <c r="L372" i="11" s="1"/>
  <c r="M372" i="11" a="1"/>
  <c r="M372" i="11" s="1"/>
  <c r="N372" i="11" a="1"/>
  <c r="N372" i="11" s="1"/>
  <c r="O372" i="11" a="1"/>
  <c r="O372" i="11" s="1"/>
  <c r="P372" i="11" a="1"/>
  <c r="P372" i="11" s="1"/>
  <c r="Q372" i="11" a="1"/>
  <c r="Q372" i="11" s="1"/>
  <c r="B373" i="11" a="1"/>
  <c r="B373" i="11" s="1"/>
  <c r="C373" i="11" a="1"/>
  <c r="C373" i="11" s="1"/>
  <c r="D373" i="11" a="1"/>
  <c r="D373" i="11" s="1"/>
  <c r="E373" i="11" a="1"/>
  <c r="E373" i="11" s="1"/>
  <c r="F373" i="11" a="1"/>
  <c r="F373" i="11"/>
  <c r="G373" i="11" a="1"/>
  <c r="G373" i="11" s="1"/>
  <c r="H373" i="11" a="1"/>
  <c r="H373" i="11" s="1"/>
  <c r="I373" i="11" a="1"/>
  <c r="I373" i="11" s="1"/>
  <c r="J373" i="11" a="1"/>
  <c r="J373" i="11"/>
  <c r="K373" i="11" a="1"/>
  <c r="K373" i="11" s="1"/>
  <c r="L373" i="11" a="1"/>
  <c r="L373" i="11" s="1"/>
  <c r="M373" i="11" a="1"/>
  <c r="M373" i="11" s="1"/>
  <c r="N373" i="11" a="1"/>
  <c r="N373" i="11" s="1"/>
  <c r="O373" i="11" a="1"/>
  <c r="O373" i="11" s="1"/>
  <c r="P373" i="11" a="1"/>
  <c r="P373" i="11" s="1"/>
  <c r="Q373" i="11" a="1"/>
  <c r="Q373" i="11" s="1"/>
  <c r="B374" i="11" a="1"/>
  <c r="B374" i="11" s="1"/>
  <c r="C374" i="11" a="1"/>
  <c r="C374" i="11" s="1"/>
  <c r="D374" i="11" a="1"/>
  <c r="D374" i="11" s="1"/>
  <c r="E374" i="11" a="1"/>
  <c r="E374" i="11" s="1"/>
  <c r="F374" i="11" a="1"/>
  <c r="F374" i="11" s="1"/>
  <c r="G374" i="11" a="1"/>
  <c r="G374" i="11" s="1"/>
  <c r="H374" i="11" a="1"/>
  <c r="H374" i="11"/>
  <c r="I374" i="11" a="1"/>
  <c r="I374" i="11" s="1"/>
  <c r="J374" i="11" a="1"/>
  <c r="J374" i="11" s="1"/>
  <c r="K374" i="11" a="1"/>
  <c r="K374" i="11" s="1"/>
  <c r="L374" i="11" a="1"/>
  <c r="L374" i="11"/>
  <c r="M374" i="11" a="1"/>
  <c r="M374" i="11" s="1"/>
  <c r="N374" i="11" a="1"/>
  <c r="N374" i="11" s="1"/>
  <c r="O374" i="11" a="1"/>
  <c r="O374" i="11" s="1"/>
  <c r="P374" i="11" a="1"/>
  <c r="P374" i="11" s="1"/>
  <c r="Q374" i="11" a="1"/>
  <c r="Q374" i="11" s="1"/>
  <c r="B375" i="11" a="1"/>
  <c r="B375" i="11" s="1"/>
  <c r="C375" i="11" a="1"/>
  <c r="C375" i="11" s="1"/>
  <c r="D375" i="11" a="1"/>
  <c r="D375" i="11" s="1"/>
  <c r="E375" i="11" a="1"/>
  <c r="E375" i="11" s="1"/>
  <c r="F375" i="11" a="1"/>
  <c r="F375" i="11" s="1"/>
  <c r="G375" i="11" a="1"/>
  <c r="G375" i="11" s="1"/>
  <c r="H375" i="11" a="1"/>
  <c r="H375" i="11"/>
  <c r="I375" i="11" a="1"/>
  <c r="I375" i="11" s="1"/>
  <c r="J375" i="11" a="1"/>
  <c r="J375" i="11"/>
  <c r="K375" i="11" a="1"/>
  <c r="K375" i="11" s="1"/>
  <c r="L375" i="11" a="1"/>
  <c r="L375" i="11" s="1"/>
  <c r="M375" i="11" a="1"/>
  <c r="M375" i="11" s="1"/>
  <c r="N375" i="11" a="1"/>
  <c r="N375" i="11"/>
  <c r="O375" i="11" a="1"/>
  <c r="O375" i="11" s="1"/>
  <c r="P375" i="11" a="1"/>
  <c r="P375" i="11" s="1"/>
  <c r="Q375" i="11" a="1"/>
  <c r="Q375" i="11" s="1"/>
  <c r="B376" i="11" a="1"/>
  <c r="B376" i="11" s="1"/>
  <c r="C376" i="11" a="1"/>
  <c r="C376" i="11" s="1"/>
  <c r="D376" i="11" a="1"/>
  <c r="D376" i="11" s="1"/>
  <c r="E376" i="11" a="1"/>
  <c r="E376" i="11" s="1"/>
  <c r="F376" i="11" a="1"/>
  <c r="F376" i="11" s="1"/>
  <c r="G376" i="11" a="1"/>
  <c r="G376" i="11" s="1"/>
  <c r="H376" i="11" a="1"/>
  <c r="H376" i="11" s="1"/>
  <c r="I376" i="11" a="1"/>
  <c r="I376" i="11" s="1"/>
  <c r="J376" i="11" a="1"/>
  <c r="J376" i="11"/>
  <c r="K376" i="11" a="1"/>
  <c r="K376" i="11" s="1"/>
  <c r="L376" i="11" a="1"/>
  <c r="L376" i="11"/>
  <c r="M376" i="11" a="1"/>
  <c r="M376" i="11" s="1"/>
  <c r="N376" i="11" a="1"/>
  <c r="N376" i="11" s="1"/>
  <c r="O376" i="11" a="1"/>
  <c r="O376" i="11" s="1"/>
  <c r="P376" i="11" a="1"/>
  <c r="P376" i="11"/>
  <c r="Q376" i="11" a="1"/>
  <c r="Q376" i="11" s="1"/>
  <c r="B377" i="11" a="1"/>
  <c r="B377" i="11" s="1"/>
  <c r="C377" i="11" a="1"/>
  <c r="C377" i="11" s="1"/>
  <c r="D377" i="11" a="1"/>
  <c r="D377" i="11" s="1"/>
  <c r="E377" i="11" a="1"/>
  <c r="E377" i="11" s="1"/>
  <c r="F377" i="11" a="1"/>
  <c r="F377" i="11" s="1"/>
  <c r="G377" i="11" a="1"/>
  <c r="G377" i="11" s="1"/>
  <c r="H377" i="11" a="1"/>
  <c r="H377" i="11" s="1"/>
  <c r="I377" i="11" a="1"/>
  <c r="I377" i="11" s="1"/>
  <c r="J377" i="11" a="1"/>
  <c r="J377" i="11" s="1"/>
  <c r="K377" i="11" a="1"/>
  <c r="K377" i="11" s="1"/>
  <c r="L377" i="11" a="1"/>
  <c r="L377" i="11" s="1"/>
  <c r="M377" i="11" a="1"/>
  <c r="M377" i="11" s="1"/>
  <c r="N377" i="11" a="1"/>
  <c r="N377" i="11"/>
  <c r="O377" i="11" a="1"/>
  <c r="O377" i="11" s="1"/>
  <c r="P377" i="11" a="1"/>
  <c r="P377" i="11" s="1"/>
  <c r="Q377" i="11" a="1"/>
  <c r="Q377" i="11" s="1"/>
  <c r="B378" i="11" a="1"/>
  <c r="B378" i="11"/>
  <c r="C378" i="11" a="1"/>
  <c r="C378" i="11" s="1"/>
  <c r="D378" i="11" a="1"/>
  <c r="D378" i="11" s="1"/>
  <c r="E378" i="11" a="1"/>
  <c r="E378" i="11" s="1"/>
  <c r="F378" i="11" a="1"/>
  <c r="F378" i="11" s="1"/>
  <c r="G378" i="11" a="1"/>
  <c r="G378" i="11" s="1"/>
  <c r="H378" i="11" a="1"/>
  <c r="H378" i="11" s="1"/>
  <c r="I378" i="11" a="1"/>
  <c r="I378" i="11" s="1"/>
  <c r="J378" i="11" a="1"/>
  <c r="J378" i="11" s="1"/>
  <c r="K378" i="11" a="1"/>
  <c r="K378" i="11" s="1"/>
  <c r="L378" i="11" a="1"/>
  <c r="L378" i="11" s="1"/>
  <c r="M378" i="11" a="1"/>
  <c r="M378" i="11" s="1"/>
  <c r="N378" i="11" a="1"/>
  <c r="N378" i="11" s="1"/>
  <c r="O378" i="11" a="1"/>
  <c r="O378" i="11" s="1"/>
  <c r="P378" i="11" a="1"/>
  <c r="P378" i="11"/>
  <c r="Q378" i="11" a="1"/>
  <c r="Q378" i="11" s="1"/>
  <c r="B379" i="11" a="1"/>
  <c r="B379" i="11" s="1"/>
  <c r="C379" i="11" a="1"/>
  <c r="C379" i="11" s="1"/>
  <c r="D379" i="11" a="1"/>
  <c r="D379" i="11"/>
  <c r="E379" i="11" a="1"/>
  <c r="E379" i="11" s="1"/>
  <c r="F379" i="11" a="1"/>
  <c r="F379" i="11" s="1"/>
  <c r="G379" i="11" a="1"/>
  <c r="G379" i="11" s="1"/>
  <c r="H379" i="11" a="1"/>
  <c r="H379" i="11" s="1"/>
  <c r="I379" i="11" a="1"/>
  <c r="I379" i="11" s="1"/>
  <c r="J379" i="11" a="1"/>
  <c r="J379" i="11" s="1"/>
  <c r="K379" i="11" a="1"/>
  <c r="K379" i="11" s="1"/>
  <c r="L379" i="11" a="1"/>
  <c r="L379" i="11" s="1"/>
  <c r="M379" i="11" a="1"/>
  <c r="M379" i="11" s="1"/>
  <c r="N379" i="11" a="1"/>
  <c r="N379" i="11" s="1"/>
  <c r="O379" i="11" a="1"/>
  <c r="O379" i="11" s="1"/>
  <c r="P379" i="11" a="1"/>
  <c r="P379" i="11" s="1"/>
  <c r="Q379" i="11" a="1"/>
  <c r="Q379" i="11" s="1"/>
  <c r="B380" i="11" a="1"/>
  <c r="B380" i="11"/>
  <c r="C380" i="11" a="1"/>
  <c r="C380" i="11" s="1"/>
  <c r="D380" i="11" a="1"/>
  <c r="D380" i="11" s="1"/>
  <c r="E380" i="11" a="1"/>
  <c r="E380" i="11" s="1"/>
  <c r="F380" i="11" a="1"/>
  <c r="F380" i="11"/>
  <c r="G380" i="11" a="1"/>
  <c r="G380" i="11" s="1"/>
  <c r="H380" i="11" a="1"/>
  <c r="H380" i="11" s="1"/>
  <c r="I380" i="11" a="1"/>
  <c r="I380" i="11" s="1"/>
  <c r="J380" i="11" a="1"/>
  <c r="J380" i="11" s="1"/>
  <c r="K380" i="11" a="1"/>
  <c r="K380" i="11" s="1"/>
  <c r="L380" i="11" a="1"/>
  <c r="L380" i="11" s="1"/>
  <c r="M380" i="11" a="1"/>
  <c r="M380" i="11" s="1"/>
  <c r="N380" i="11" a="1"/>
  <c r="N380" i="11" s="1"/>
  <c r="O380" i="11" a="1"/>
  <c r="O380" i="11" s="1"/>
  <c r="P380" i="11" a="1"/>
  <c r="P380" i="11" s="1"/>
  <c r="Q380" i="11" a="1"/>
  <c r="Q380" i="11" s="1"/>
  <c r="B381" i="11" a="1"/>
  <c r="B381" i="11" s="1"/>
  <c r="C381" i="11" a="1"/>
  <c r="C381" i="11" s="1"/>
  <c r="D381" i="11" a="1"/>
  <c r="D381" i="11"/>
  <c r="E381" i="11" a="1"/>
  <c r="E381" i="11" s="1"/>
  <c r="F381" i="11" a="1"/>
  <c r="F381" i="11" s="1"/>
  <c r="G381" i="11" a="1"/>
  <c r="G381" i="11" s="1"/>
  <c r="H381" i="11" a="1"/>
  <c r="H381" i="11"/>
  <c r="I381" i="11" a="1"/>
  <c r="I381" i="11" s="1"/>
  <c r="J381" i="11" a="1"/>
  <c r="J381" i="11" s="1"/>
  <c r="K381" i="11" a="1"/>
  <c r="K381" i="11" s="1"/>
  <c r="L381" i="11" a="1"/>
  <c r="L381" i="11" s="1"/>
  <c r="M381" i="11" a="1"/>
  <c r="M381" i="11" s="1"/>
  <c r="N381" i="11" a="1"/>
  <c r="N381" i="11" s="1"/>
  <c r="O381" i="11" a="1"/>
  <c r="O381" i="11" s="1"/>
  <c r="P381" i="11" a="1"/>
  <c r="P381" i="11" s="1"/>
  <c r="Q381" i="11" a="1"/>
  <c r="Q381" i="11" s="1"/>
  <c r="B382" i="11" a="1"/>
  <c r="B382" i="11" s="1"/>
  <c r="C382" i="11" a="1"/>
  <c r="C382" i="11" s="1"/>
  <c r="D382" i="11" a="1"/>
  <c r="D382" i="11" s="1"/>
  <c r="E382" i="11" a="1"/>
  <c r="E382" i="11" s="1"/>
  <c r="F382" i="11" a="1"/>
  <c r="F382" i="11"/>
  <c r="G382" i="11" a="1"/>
  <c r="G382" i="11" s="1"/>
  <c r="H382" i="11" a="1"/>
  <c r="H382" i="11" s="1"/>
  <c r="I382" i="11" a="1"/>
  <c r="I382" i="11" s="1"/>
  <c r="J382" i="11" a="1"/>
  <c r="J382" i="11"/>
  <c r="K382" i="11" a="1"/>
  <c r="K382" i="11" s="1"/>
  <c r="L382" i="11" a="1"/>
  <c r="L382" i="11" s="1"/>
  <c r="M382" i="11" a="1"/>
  <c r="M382" i="11" s="1"/>
  <c r="N382" i="11" a="1"/>
  <c r="N382" i="11" s="1"/>
  <c r="O382" i="11" a="1"/>
  <c r="O382" i="11" s="1"/>
  <c r="P382" i="11" a="1"/>
  <c r="P382" i="11" s="1"/>
  <c r="Q382" i="11" a="1"/>
  <c r="Q382" i="11" s="1"/>
  <c r="B383" i="11" a="1"/>
  <c r="B383" i="11" s="1"/>
  <c r="C383" i="11" a="1"/>
  <c r="C383" i="11" s="1"/>
  <c r="D383" i="11" a="1"/>
  <c r="D383" i="11" s="1"/>
  <c r="E383" i="11" a="1"/>
  <c r="E383" i="11" s="1"/>
  <c r="F383" i="11" a="1"/>
  <c r="F383" i="11" s="1"/>
  <c r="G383" i="11" a="1"/>
  <c r="G383" i="11" s="1"/>
  <c r="H383" i="11" a="1"/>
  <c r="H383" i="11"/>
  <c r="I383" i="11" a="1"/>
  <c r="I383" i="11" s="1"/>
  <c r="J383" i="11" a="1"/>
  <c r="J383" i="11" s="1"/>
  <c r="K383" i="11" a="1"/>
  <c r="K383" i="11" s="1"/>
  <c r="L383" i="11" a="1"/>
  <c r="L383" i="11"/>
  <c r="M383" i="11" a="1"/>
  <c r="M383" i="11" s="1"/>
  <c r="N383" i="11" a="1"/>
  <c r="N383" i="11" s="1"/>
  <c r="O383" i="11" a="1"/>
  <c r="O383" i="11" s="1"/>
  <c r="P383" i="11" a="1"/>
  <c r="P383" i="11" s="1"/>
  <c r="Q383" i="11" a="1"/>
  <c r="Q383" i="11" s="1"/>
  <c r="B384" i="11" a="1"/>
  <c r="B384" i="11" s="1"/>
  <c r="C384" i="11" a="1"/>
  <c r="C384" i="11" s="1"/>
  <c r="D384" i="11" a="1"/>
  <c r="D384" i="11" s="1"/>
  <c r="E384" i="11" a="1"/>
  <c r="E384" i="11" s="1"/>
  <c r="F384" i="11" a="1"/>
  <c r="F384" i="11" s="1"/>
  <c r="G384" i="11" a="1"/>
  <c r="G384" i="11" s="1"/>
  <c r="H384" i="11" a="1"/>
  <c r="H384" i="11"/>
  <c r="I384" i="11" a="1"/>
  <c r="I384" i="11" s="1"/>
  <c r="J384" i="11" a="1"/>
  <c r="J384" i="11"/>
  <c r="K384" i="11" a="1"/>
  <c r="K384" i="11" s="1"/>
  <c r="L384" i="11" a="1"/>
  <c r="L384" i="11" s="1"/>
  <c r="M384" i="11" a="1"/>
  <c r="M384" i="11" s="1"/>
  <c r="N384" i="11" a="1"/>
  <c r="N384" i="11"/>
  <c r="O384" i="11" a="1"/>
  <c r="O384" i="11" s="1"/>
  <c r="P384" i="11" a="1"/>
  <c r="P384" i="11" s="1"/>
  <c r="Q384" i="11" a="1"/>
  <c r="Q384" i="11" s="1"/>
  <c r="B385" i="11" a="1"/>
  <c r="B385" i="11" s="1"/>
  <c r="C385" i="11" a="1"/>
  <c r="C385" i="11" s="1"/>
  <c r="D385" i="11" a="1"/>
  <c r="D385" i="11" s="1"/>
  <c r="E385" i="11" a="1"/>
  <c r="E385" i="11" s="1"/>
  <c r="F385" i="11" a="1"/>
  <c r="F385" i="11" s="1"/>
  <c r="G385" i="11" a="1"/>
  <c r="G385" i="11" s="1"/>
  <c r="H385" i="11" a="1"/>
  <c r="H385" i="11" s="1"/>
  <c r="I385" i="11" a="1"/>
  <c r="I385" i="11" s="1"/>
  <c r="J385" i="11" a="1"/>
  <c r="J385" i="11" s="1"/>
  <c r="K385" i="11" a="1"/>
  <c r="K385" i="11" s="1"/>
  <c r="L385" i="11" a="1"/>
  <c r="L385" i="11"/>
  <c r="M385" i="11" a="1"/>
  <c r="M385" i="11" s="1"/>
  <c r="N385" i="11" a="1"/>
  <c r="N385" i="11" s="1"/>
  <c r="O385" i="11" a="1"/>
  <c r="O385" i="11" s="1"/>
  <c r="P385" i="11" a="1"/>
  <c r="P385" i="11"/>
  <c r="Q385" i="11" a="1"/>
  <c r="Q385" i="11" s="1"/>
  <c r="B386" i="11" a="1"/>
  <c r="B386" i="11" s="1"/>
  <c r="C386" i="11" a="1"/>
  <c r="C386" i="11" s="1"/>
  <c r="D386" i="11" a="1"/>
  <c r="D386" i="11" s="1"/>
  <c r="E386" i="11" a="1"/>
  <c r="E386" i="11" s="1"/>
  <c r="F386" i="11" a="1"/>
  <c r="F386" i="11" s="1"/>
  <c r="G386" i="11" a="1"/>
  <c r="G386" i="11" s="1"/>
  <c r="H386" i="11" a="1"/>
  <c r="H386" i="11" s="1"/>
  <c r="I386" i="11" a="1"/>
  <c r="I386" i="11" s="1"/>
  <c r="J386" i="11" a="1"/>
  <c r="J386" i="11" s="1"/>
  <c r="K386" i="11" a="1"/>
  <c r="K386" i="11" s="1"/>
  <c r="L386" i="11" a="1"/>
  <c r="L386" i="11" s="1"/>
  <c r="M386" i="11" a="1"/>
  <c r="M386" i="11" s="1"/>
  <c r="N386" i="11" a="1"/>
  <c r="N386" i="11"/>
  <c r="O386" i="11" a="1"/>
  <c r="O386" i="11" s="1"/>
  <c r="P386" i="11" a="1"/>
  <c r="P386" i="11" s="1"/>
  <c r="Q386" i="11" a="1"/>
  <c r="Q386" i="11" s="1"/>
  <c r="B387" i="11" a="1"/>
  <c r="B387" i="11"/>
  <c r="C387" i="11" a="1"/>
  <c r="C387" i="11" s="1"/>
  <c r="D387" i="11" a="1"/>
  <c r="D387" i="11" s="1"/>
  <c r="E387" i="11" a="1"/>
  <c r="E387" i="11" s="1"/>
  <c r="F387" i="11" a="1"/>
  <c r="F387" i="11" s="1"/>
  <c r="G387" i="11" a="1"/>
  <c r="G387" i="11" s="1"/>
  <c r="H387" i="11" a="1"/>
  <c r="H387" i="11" s="1"/>
  <c r="I387" i="11" a="1"/>
  <c r="I387" i="11" s="1"/>
  <c r="J387" i="11" a="1"/>
  <c r="J387" i="11" s="1"/>
  <c r="K387" i="11" a="1"/>
  <c r="K387" i="11" s="1"/>
  <c r="L387" i="11" a="1"/>
  <c r="L387" i="11" s="1"/>
  <c r="M387" i="11" a="1"/>
  <c r="M387" i="11" s="1"/>
  <c r="N387" i="11" a="1"/>
  <c r="N387" i="11" s="1"/>
  <c r="O387" i="11" a="1"/>
  <c r="O387" i="11" s="1"/>
  <c r="P387" i="11" a="1"/>
  <c r="P387" i="11"/>
  <c r="Q387" i="11" a="1"/>
  <c r="Q387" i="11" s="1"/>
  <c r="B388" i="11" a="1"/>
  <c r="B388" i="11" s="1"/>
  <c r="C388" i="11" a="1"/>
  <c r="C388" i="11" s="1"/>
  <c r="D388" i="11" a="1"/>
  <c r="D388" i="11"/>
  <c r="E388" i="11" a="1"/>
  <c r="E388" i="11" s="1"/>
  <c r="F388" i="11" a="1"/>
  <c r="F388" i="11" s="1"/>
  <c r="G388" i="11" a="1"/>
  <c r="G388" i="11" s="1"/>
  <c r="H388" i="11" a="1"/>
  <c r="H388" i="11" s="1"/>
  <c r="I388" i="11" a="1"/>
  <c r="I388" i="11" s="1"/>
  <c r="J388" i="11" a="1"/>
  <c r="J388" i="11" s="1"/>
  <c r="K388" i="11" a="1"/>
  <c r="K388" i="11" s="1"/>
  <c r="L388" i="11" a="1"/>
  <c r="L388" i="11" s="1"/>
  <c r="M388" i="11" a="1"/>
  <c r="M388" i="11" s="1"/>
  <c r="N388" i="11" a="1"/>
  <c r="N388" i="11" s="1"/>
  <c r="O388" i="11" a="1"/>
  <c r="O388" i="11" s="1"/>
  <c r="P388" i="11" a="1"/>
  <c r="P388" i="11" s="1"/>
  <c r="Q388" i="11" a="1"/>
  <c r="Q388" i="11" s="1"/>
  <c r="B389" i="11" a="1"/>
  <c r="B389" i="11"/>
  <c r="C389" i="11" a="1"/>
  <c r="C389" i="11" s="1"/>
  <c r="D389" i="11" a="1"/>
  <c r="D389" i="11" s="1"/>
  <c r="E389" i="11" a="1"/>
  <c r="E389" i="11" s="1"/>
  <c r="F389" i="11" a="1"/>
  <c r="F389" i="11"/>
  <c r="G389" i="11" a="1"/>
  <c r="G389" i="11" s="1"/>
  <c r="H389" i="11" a="1"/>
  <c r="H389" i="11" s="1"/>
  <c r="I389" i="11" a="1"/>
  <c r="I389" i="11" s="1"/>
  <c r="J389" i="11" a="1"/>
  <c r="J389" i="11" s="1"/>
  <c r="K389" i="11" a="1"/>
  <c r="K389" i="11" s="1"/>
  <c r="L389" i="11" a="1"/>
  <c r="L389" i="11" s="1"/>
  <c r="M389" i="11" a="1"/>
  <c r="M389" i="11" s="1"/>
  <c r="N389" i="11" a="1"/>
  <c r="N389" i="11" s="1"/>
  <c r="O389" i="11" a="1"/>
  <c r="O389" i="11" s="1"/>
  <c r="P389" i="11" a="1"/>
  <c r="P389" i="11" s="1"/>
  <c r="Q389" i="11" a="1"/>
  <c r="Q389" i="11" s="1"/>
  <c r="B390" i="11" a="1"/>
  <c r="B390" i="11" s="1"/>
  <c r="C390" i="11" a="1"/>
  <c r="C390" i="11" s="1"/>
  <c r="D390" i="11" a="1"/>
  <c r="D390" i="11"/>
  <c r="E390" i="11" a="1"/>
  <c r="E390" i="11" s="1"/>
  <c r="F390" i="11" a="1"/>
  <c r="F390" i="11" s="1"/>
  <c r="G390" i="11" a="1"/>
  <c r="G390" i="11" s="1"/>
  <c r="H390" i="11" a="1"/>
  <c r="H390" i="11"/>
  <c r="I390" i="11" a="1"/>
  <c r="I390" i="11" s="1"/>
  <c r="J390" i="11" a="1"/>
  <c r="J390" i="11" s="1"/>
  <c r="K390" i="11" a="1"/>
  <c r="K390" i="11" s="1"/>
  <c r="L390" i="11" a="1"/>
  <c r="L390" i="11" s="1"/>
  <c r="M390" i="11" a="1"/>
  <c r="M390" i="11" s="1"/>
  <c r="N390" i="11" a="1"/>
  <c r="N390" i="11" s="1"/>
  <c r="O390" i="11" a="1"/>
  <c r="O390" i="11" s="1"/>
  <c r="P390" i="11" a="1"/>
  <c r="P390" i="11" s="1"/>
  <c r="Q390" i="11" a="1"/>
  <c r="Q390" i="11" s="1"/>
  <c r="B391" i="11" a="1"/>
  <c r="B391" i="11" s="1"/>
  <c r="C391" i="11" a="1"/>
  <c r="C391" i="11" s="1"/>
  <c r="D391" i="11" a="1"/>
  <c r="D391" i="11" s="1"/>
  <c r="E391" i="11" a="1"/>
  <c r="E391" i="11" s="1"/>
  <c r="F391" i="11" a="1"/>
  <c r="F391" i="11"/>
  <c r="G391" i="11" a="1"/>
  <c r="G391" i="11" s="1"/>
  <c r="H391" i="11" a="1"/>
  <c r="H391" i="11" s="1"/>
  <c r="I391" i="11" a="1"/>
  <c r="I391" i="11" s="1"/>
  <c r="J391" i="11" a="1"/>
  <c r="J391" i="11"/>
  <c r="K391" i="11" a="1"/>
  <c r="K391" i="11" s="1"/>
  <c r="L391" i="11" a="1"/>
  <c r="L391" i="11" s="1"/>
  <c r="M391" i="11" a="1"/>
  <c r="M391" i="11" s="1"/>
  <c r="N391" i="11" a="1"/>
  <c r="N391" i="11" s="1"/>
  <c r="O391" i="11" a="1"/>
  <c r="O391" i="11" s="1"/>
  <c r="P391" i="11" a="1"/>
  <c r="P391" i="11" s="1"/>
  <c r="Q391" i="11" a="1"/>
  <c r="Q391" i="11" s="1"/>
  <c r="B392" i="11" a="1"/>
  <c r="B392" i="11" s="1"/>
  <c r="C392" i="11" a="1"/>
  <c r="C392" i="11" s="1"/>
  <c r="D392" i="11" a="1"/>
  <c r="D392" i="11" s="1"/>
  <c r="E392" i="11" a="1"/>
  <c r="E392" i="11" s="1"/>
  <c r="F392" i="11" a="1"/>
  <c r="F392" i="11"/>
  <c r="G392" i="11" a="1"/>
  <c r="G392" i="11" s="1"/>
  <c r="H392" i="11" a="1"/>
  <c r="H392" i="11"/>
  <c r="I392" i="11" a="1"/>
  <c r="I392" i="11" s="1"/>
  <c r="J392" i="11" a="1"/>
  <c r="J392" i="11" s="1"/>
  <c r="K392" i="11" a="1"/>
  <c r="K392" i="11" s="1"/>
  <c r="L392" i="11" a="1"/>
  <c r="L392" i="11"/>
  <c r="M392" i="11" a="1"/>
  <c r="M392" i="11" s="1"/>
  <c r="N392" i="11" a="1"/>
  <c r="N392" i="11" s="1"/>
  <c r="O392" i="11" a="1"/>
  <c r="O392" i="11" s="1"/>
  <c r="P392" i="11" a="1"/>
  <c r="P392" i="11" s="1"/>
  <c r="Q392" i="11" a="1"/>
  <c r="Q392" i="11" s="1"/>
  <c r="B393" i="11" a="1"/>
  <c r="B393" i="11" s="1"/>
  <c r="C393" i="11" a="1"/>
  <c r="C393" i="11" s="1"/>
  <c r="D393" i="11" a="1"/>
  <c r="D393" i="11" s="1"/>
  <c r="E393" i="11" a="1"/>
  <c r="E393" i="11" s="1"/>
  <c r="F393" i="11" a="1"/>
  <c r="F393" i="11" s="1"/>
  <c r="G393" i="11" a="1"/>
  <c r="G393" i="11" s="1"/>
  <c r="H393" i="11" a="1"/>
  <c r="H393" i="11"/>
  <c r="I393" i="11" a="1"/>
  <c r="I393" i="11" s="1"/>
  <c r="J393" i="11" a="1"/>
  <c r="J393" i="11"/>
  <c r="K393" i="11" a="1"/>
  <c r="K393" i="11" s="1"/>
  <c r="L393" i="11" a="1"/>
  <c r="L393" i="11" s="1"/>
  <c r="M393" i="11" a="1"/>
  <c r="M393" i="11" s="1"/>
  <c r="N393" i="11" a="1"/>
  <c r="N393" i="11"/>
  <c r="O393" i="11" a="1"/>
  <c r="O393" i="11" s="1"/>
  <c r="P393" i="11" a="1"/>
  <c r="P393" i="11" s="1"/>
  <c r="Q393" i="11" a="1"/>
  <c r="Q393" i="11" s="1"/>
  <c r="B394" i="11" a="1"/>
  <c r="B394" i="11" s="1"/>
  <c r="C394" i="11" a="1"/>
  <c r="C394" i="11" s="1"/>
  <c r="D394" i="11" a="1"/>
  <c r="D394" i="11" s="1"/>
  <c r="E394" i="11" a="1"/>
  <c r="E394" i="11" s="1"/>
  <c r="F394" i="11" a="1"/>
  <c r="F394" i="11" s="1"/>
  <c r="G394" i="11" a="1"/>
  <c r="G394" i="11" s="1"/>
  <c r="H394" i="11" a="1"/>
  <c r="H394" i="11" s="1"/>
  <c r="I394" i="11" a="1"/>
  <c r="I394" i="11" s="1"/>
  <c r="J394" i="11" a="1"/>
  <c r="J394" i="11"/>
  <c r="K394" i="11" a="1"/>
  <c r="K394" i="11" s="1"/>
  <c r="L394" i="11" a="1"/>
  <c r="L394" i="11"/>
  <c r="M394" i="11" a="1"/>
  <c r="M394" i="11" s="1"/>
  <c r="N394" i="11" a="1"/>
  <c r="N394" i="11" s="1"/>
  <c r="O394" i="11" a="1"/>
  <c r="O394" i="11" s="1"/>
  <c r="P394" i="11" a="1"/>
  <c r="P394" i="11"/>
  <c r="Q394" i="11" a="1"/>
  <c r="Q394" i="11" s="1"/>
  <c r="B395" i="11" a="1"/>
  <c r="B395" i="11" s="1"/>
  <c r="C395" i="11" a="1"/>
  <c r="C395" i="11" s="1"/>
  <c r="D395" i="11" a="1"/>
  <c r="D395" i="11" s="1"/>
  <c r="E395" i="11" a="1"/>
  <c r="E395" i="11" s="1"/>
  <c r="F395" i="11" a="1"/>
  <c r="F395" i="11" s="1"/>
  <c r="G395" i="11" a="1"/>
  <c r="G395" i="11" s="1"/>
  <c r="H395" i="11" a="1"/>
  <c r="H395" i="11" s="1"/>
  <c r="I395" i="11" a="1"/>
  <c r="I395" i="11" s="1"/>
  <c r="J395" i="11" a="1"/>
  <c r="J395" i="11" s="1"/>
  <c r="K395" i="11" a="1"/>
  <c r="K395" i="11" s="1"/>
  <c r="L395" i="11" a="1"/>
  <c r="L395" i="11"/>
  <c r="M395" i="11" a="1"/>
  <c r="M395" i="11" s="1"/>
  <c r="N395" i="11" a="1"/>
  <c r="N395" i="11"/>
  <c r="O395" i="11" a="1"/>
  <c r="O395" i="11" s="1"/>
  <c r="P395" i="11" a="1"/>
  <c r="P395" i="11" s="1"/>
  <c r="Q395" i="11" a="1"/>
  <c r="Q395" i="11" s="1"/>
  <c r="B396" i="11" a="1"/>
  <c r="B396" i="11"/>
  <c r="C396" i="11" a="1"/>
  <c r="C396" i="11" s="1"/>
  <c r="D396" i="11" a="1"/>
  <c r="D396" i="11" s="1"/>
  <c r="E396" i="11" a="1"/>
  <c r="E396" i="11" s="1"/>
  <c r="F396" i="11" a="1"/>
  <c r="F396" i="11" s="1"/>
  <c r="G396" i="11" a="1"/>
  <c r="G396" i="11" s="1"/>
  <c r="H396" i="11" a="1"/>
  <c r="H396" i="11" s="1"/>
  <c r="I396" i="11" a="1"/>
  <c r="I396" i="11" s="1"/>
  <c r="J396" i="11" a="1"/>
  <c r="J396" i="11" s="1"/>
  <c r="K396" i="11" a="1"/>
  <c r="K396" i="11" s="1"/>
  <c r="L396" i="11" a="1"/>
  <c r="L396" i="11" s="1"/>
  <c r="M396" i="11" a="1"/>
  <c r="M396" i="11" s="1"/>
  <c r="N396" i="11" a="1"/>
  <c r="N396" i="11"/>
  <c r="O396" i="11" a="1"/>
  <c r="O396" i="11" s="1"/>
  <c r="P396" i="11" a="1"/>
  <c r="P396" i="11"/>
  <c r="Q396" i="11" a="1"/>
  <c r="Q396" i="11" s="1"/>
  <c r="B397" i="11" a="1"/>
  <c r="B397" i="11" s="1"/>
  <c r="C397" i="11" a="1"/>
  <c r="C397" i="11" s="1"/>
  <c r="D397" i="11" a="1"/>
  <c r="D397" i="11"/>
  <c r="E397" i="11" a="1"/>
  <c r="E397" i="11" s="1"/>
  <c r="F397" i="11" a="1"/>
  <c r="F397" i="11" s="1"/>
  <c r="G397" i="11" a="1"/>
  <c r="G397" i="11" s="1"/>
  <c r="H397" i="11" a="1"/>
  <c r="H397" i="11" s="1"/>
  <c r="I397" i="11" a="1"/>
  <c r="I397" i="11" s="1"/>
  <c r="J397" i="11" a="1"/>
  <c r="J397" i="11" s="1"/>
  <c r="K397" i="11" a="1"/>
  <c r="K397" i="11" s="1"/>
  <c r="L397" i="11" a="1"/>
  <c r="L397" i="11" s="1"/>
  <c r="M397" i="11" a="1"/>
  <c r="M397" i="11" s="1"/>
  <c r="N397" i="11" a="1"/>
  <c r="N397" i="11" s="1"/>
  <c r="O397" i="11" a="1"/>
  <c r="O397" i="11" s="1"/>
  <c r="P397" i="11" a="1"/>
  <c r="P397" i="11"/>
  <c r="Q397" i="11" a="1"/>
  <c r="Q397" i="11" s="1"/>
  <c r="B398" i="11" a="1"/>
  <c r="B398" i="11"/>
  <c r="C398" i="11" a="1"/>
  <c r="C398" i="11" s="1"/>
  <c r="D398" i="11" a="1"/>
  <c r="D398" i="11" s="1"/>
  <c r="E398" i="11" a="1"/>
  <c r="E398" i="11" s="1"/>
  <c r="F398" i="11" a="1"/>
  <c r="F398" i="11"/>
  <c r="G398" i="11" a="1"/>
  <c r="G398" i="11" s="1"/>
  <c r="H398" i="11" a="1"/>
  <c r="H398" i="11" s="1"/>
  <c r="I398" i="11" a="1"/>
  <c r="I398" i="11" s="1"/>
  <c r="J398" i="11" a="1"/>
  <c r="J398" i="11" s="1"/>
  <c r="K398" i="11" a="1"/>
  <c r="K398" i="11" s="1"/>
  <c r="L398" i="11" a="1"/>
  <c r="L398" i="11" s="1"/>
  <c r="M398" i="11" a="1"/>
  <c r="M398" i="11" s="1"/>
  <c r="N398" i="11" a="1"/>
  <c r="N398" i="11" s="1"/>
  <c r="O398" i="11" a="1"/>
  <c r="O398" i="11" s="1"/>
  <c r="P398" i="11" a="1"/>
  <c r="P398" i="11" s="1"/>
  <c r="Q398" i="11" a="1"/>
  <c r="Q398" i="11" s="1"/>
  <c r="B399" i="11" a="1"/>
  <c r="B399" i="11"/>
  <c r="C399" i="11" a="1"/>
  <c r="C399" i="11" s="1"/>
  <c r="D399" i="11" a="1"/>
  <c r="D399" i="11"/>
  <c r="E399" i="11" a="1"/>
  <c r="E399" i="11" s="1"/>
  <c r="F399" i="11" a="1"/>
  <c r="F399" i="11" s="1"/>
  <c r="G399" i="11" a="1"/>
  <c r="G399" i="11" s="1"/>
  <c r="H399" i="11" a="1"/>
  <c r="H399" i="11"/>
  <c r="I399" i="11" a="1"/>
  <c r="I399" i="11" s="1"/>
  <c r="J399" i="11" a="1"/>
  <c r="J399" i="11" s="1"/>
  <c r="K399" i="11" a="1"/>
  <c r="K399" i="11" s="1"/>
  <c r="L399" i="11" a="1"/>
  <c r="L399" i="11" s="1"/>
  <c r="M399" i="11" a="1"/>
  <c r="M399" i="11" s="1"/>
  <c r="N399" i="11" a="1"/>
  <c r="N399" i="11" s="1"/>
  <c r="O399" i="11" a="1"/>
  <c r="O399" i="11" s="1"/>
  <c r="P399" i="11" a="1"/>
  <c r="P399" i="11" s="1"/>
  <c r="Q399" i="11" a="1"/>
  <c r="Q399" i="11" s="1"/>
  <c r="B400" i="11" a="1"/>
  <c r="B400" i="11" s="1"/>
  <c r="C400" i="11" a="1"/>
  <c r="C400" i="11" s="1"/>
  <c r="D400" i="11" a="1"/>
  <c r="D400" i="11"/>
  <c r="E400" i="11" a="1"/>
  <c r="E400" i="11" s="1"/>
  <c r="F400" i="11" a="1"/>
  <c r="F400" i="11"/>
  <c r="G400" i="11" a="1"/>
  <c r="G400" i="11" s="1"/>
  <c r="H400" i="11" a="1"/>
  <c r="H400" i="11" s="1"/>
  <c r="I400" i="11" a="1"/>
  <c r="I400" i="11" s="1"/>
  <c r="J400" i="11" a="1"/>
  <c r="J400" i="11"/>
  <c r="K400" i="11" a="1"/>
  <c r="K400" i="11" s="1"/>
  <c r="L400" i="11" a="1"/>
  <c r="L400" i="11" s="1"/>
  <c r="M400" i="11" a="1"/>
  <c r="M400" i="11" s="1"/>
  <c r="N400" i="11" a="1"/>
  <c r="N400" i="11" s="1"/>
  <c r="O400" i="11" a="1"/>
  <c r="O400" i="11" s="1"/>
  <c r="P400" i="11" a="1"/>
  <c r="P400" i="11" s="1"/>
  <c r="Q400" i="11" a="1"/>
  <c r="Q400" i="11" s="1"/>
  <c r="B401" i="11" a="1"/>
  <c r="B401" i="11" s="1"/>
  <c r="C401" i="11" a="1"/>
  <c r="C401" i="11" s="1"/>
  <c r="D401" i="11" a="1"/>
  <c r="D401" i="11" s="1"/>
  <c r="E401" i="11" a="1"/>
  <c r="E401" i="11" s="1"/>
  <c r="F401" i="11" a="1"/>
  <c r="F401" i="11"/>
  <c r="G401" i="11" a="1"/>
  <c r="G401" i="11" s="1"/>
  <c r="H401" i="11" a="1"/>
  <c r="H401" i="11"/>
  <c r="I401" i="11" a="1"/>
  <c r="I401" i="11" s="1"/>
  <c r="J401" i="11" a="1"/>
  <c r="J401" i="11" s="1"/>
  <c r="K401" i="11" a="1"/>
  <c r="K401" i="11" s="1"/>
  <c r="L401" i="11" a="1"/>
  <c r="L401" i="11"/>
  <c r="M401" i="11" a="1"/>
  <c r="M401" i="11" s="1"/>
  <c r="N401" i="11" a="1"/>
  <c r="N401" i="11" s="1"/>
  <c r="O401" i="11" a="1"/>
  <c r="O401" i="11" s="1"/>
  <c r="P401" i="11" a="1"/>
  <c r="P401" i="11" s="1"/>
  <c r="Q401" i="11" a="1"/>
  <c r="Q401" i="11" s="1"/>
  <c r="B402" i="11" a="1"/>
  <c r="B402" i="11" s="1"/>
  <c r="C402" i="11" a="1"/>
  <c r="C402" i="11" s="1"/>
  <c r="D402" i="11" a="1"/>
  <c r="D402" i="11" s="1"/>
  <c r="E402" i="11" a="1"/>
  <c r="E402" i="11" s="1"/>
  <c r="F402" i="11" a="1"/>
  <c r="F402" i="11" s="1"/>
  <c r="G402" i="11" a="1"/>
  <c r="G402" i="11" s="1"/>
  <c r="H402" i="11" a="1"/>
  <c r="H402" i="11"/>
  <c r="I402" i="11" a="1"/>
  <c r="I402" i="11" s="1"/>
  <c r="J402" i="11" a="1"/>
  <c r="J402" i="11"/>
  <c r="K402" i="11" a="1"/>
  <c r="K402" i="11" s="1"/>
  <c r="L402" i="11" a="1"/>
  <c r="L402" i="11" s="1"/>
  <c r="M402" i="11" a="1"/>
  <c r="M402" i="11" s="1"/>
  <c r="N402" i="11" a="1"/>
  <c r="N402" i="11"/>
  <c r="O402" i="11" a="1"/>
  <c r="O402" i="11" s="1"/>
  <c r="P402" i="11" a="1"/>
  <c r="P402" i="11" s="1"/>
  <c r="Q402" i="11" a="1"/>
  <c r="Q402" i="11" s="1"/>
  <c r="B403" i="11" a="1"/>
  <c r="B403" i="11" s="1"/>
  <c r="C403" i="11" a="1"/>
  <c r="C403" i="11" s="1"/>
  <c r="D403" i="11" a="1"/>
  <c r="D403" i="11" s="1"/>
  <c r="E403" i="11" a="1"/>
  <c r="E403" i="11" s="1"/>
  <c r="F403" i="11" a="1"/>
  <c r="F403" i="11" s="1"/>
  <c r="G403" i="11" a="1"/>
  <c r="G403" i="11" s="1"/>
  <c r="H403" i="11" a="1"/>
  <c r="H403" i="11" s="1"/>
  <c r="I403" i="11" a="1"/>
  <c r="I403" i="11" s="1"/>
  <c r="J403" i="11" a="1"/>
  <c r="J403" i="11"/>
  <c r="K403" i="11" a="1"/>
  <c r="K403" i="11" s="1"/>
  <c r="L403" i="11" a="1"/>
  <c r="L403" i="11"/>
  <c r="M403" i="11" a="1"/>
  <c r="M403" i="11" s="1"/>
  <c r="N403" i="11" a="1"/>
  <c r="N403" i="11" s="1"/>
  <c r="O403" i="11" a="1"/>
  <c r="O403" i="11" s="1"/>
  <c r="P403" i="11" a="1"/>
  <c r="P403" i="11"/>
  <c r="Q403" i="11" a="1"/>
  <c r="Q403" i="11" s="1"/>
  <c r="B404" i="11" a="1"/>
  <c r="B404" i="11" s="1"/>
  <c r="C404" i="11" a="1"/>
  <c r="C404" i="11" s="1"/>
  <c r="D404" i="11" a="1"/>
  <c r="D404" i="11" s="1"/>
  <c r="E404" i="11" a="1"/>
  <c r="E404" i="11" s="1"/>
  <c r="F404" i="11" a="1"/>
  <c r="F404" i="11" s="1"/>
  <c r="G404" i="11" a="1"/>
  <c r="G404" i="11" s="1"/>
  <c r="H404" i="11" a="1"/>
  <c r="H404" i="11" s="1"/>
  <c r="I404" i="11" a="1"/>
  <c r="I404" i="11" s="1"/>
  <c r="J404" i="11" a="1"/>
  <c r="J404" i="11" s="1"/>
  <c r="K404" i="11" a="1"/>
  <c r="K404" i="11" s="1"/>
  <c r="L404" i="11" a="1"/>
  <c r="L404" i="11"/>
  <c r="M404" i="11" a="1"/>
  <c r="M404" i="11" s="1"/>
  <c r="N404" i="11" a="1"/>
  <c r="N404" i="11"/>
  <c r="O404" i="11" a="1"/>
  <c r="O404" i="11" s="1"/>
  <c r="P404" i="11" a="1"/>
  <c r="P404" i="11" s="1"/>
  <c r="Q404" i="11" a="1"/>
  <c r="Q404" i="11" s="1"/>
  <c r="B405" i="11" a="1"/>
  <c r="B405" i="11"/>
  <c r="C405" i="11" a="1"/>
  <c r="C405" i="11" s="1"/>
  <c r="D405" i="11" a="1"/>
  <c r="D405" i="11" s="1"/>
  <c r="E405" i="11" a="1"/>
  <c r="E405" i="11" s="1"/>
  <c r="F405" i="11" a="1"/>
  <c r="F405" i="11" s="1"/>
  <c r="G405" i="11" a="1"/>
  <c r="G405" i="11" s="1"/>
  <c r="H405" i="11" a="1"/>
  <c r="H405" i="11" s="1"/>
  <c r="I405" i="11" a="1"/>
  <c r="I405" i="11" s="1"/>
  <c r="J405" i="11" a="1"/>
  <c r="J405" i="11" s="1"/>
  <c r="K405" i="11" a="1"/>
  <c r="K405" i="11" s="1"/>
  <c r="L405" i="11" a="1"/>
  <c r="L405" i="11" s="1"/>
  <c r="M405" i="11" a="1"/>
  <c r="M405" i="11" s="1"/>
  <c r="N405" i="11" a="1"/>
  <c r="N405" i="11"/>
  <c r="O405" i="11" a="1"/>
  <c r="O405" i="11" s="1"/>
  <c r="P405" i="11" a="1"/>
  <c r="P405" i="11"/>
  <c r="Q405" i="11" a="1"/>
  <c r="Q405" i="11" s="1"/>
  <c r="B406" i="11" a="1"/>
  <c r="B406" i="11" s="1"/>
  <c r="C406" i="11" a="1"/>
  <c r="C406" i="11" s="1"/>
  <c r="D406" i="11" a="1"/>
  <c r="D406" i="11"/>
  <c r="E406" i="11" a="1"/>
  <c r="E406" i="11" s="1"/>
  <c r="F406" i="11" a="1"/>
  <c r="F406" i="11" s="1"/>
  <c r="G406" i="11" a="1"/>
  <c r="G406" i="11" s="1"/>
  <c r="H406" i="11" a="1"/>
  <c r="H406" i="11" s="1"/>
  <c r="I406" i="11" a="1"/>
  <c r="I406" i="11" s="1"/>
  <c r="J406" i="11" a="1"/>
  <c r="J406" i="11" s="1"/>
  <c r="K406" i="11" a="1"/>
  <c r="K406" i="11" s="1"/>
  <c r="L406" i="11" a="1"/>
  <c r="L406" i="11" s="1"/>
  <c r="M406" i="11" a="1"/>
  <c r="M406" i="11" s="1"/>
  <c r="N406" i="11" a="1"/>
  <c r="N406" i="11" s="1"/>
  <c r="O406" i="11" a="1"/>
  <c r="O406" i="11" s="1"/>
  <c r="P406" i="11" a="1"/>
  <c r="P406" i="11"/>
  <c r="Q406" i="11" a="1"/>
  <c r="Q406" i="11" s="1"/>
  <c r="B407" i="11" a="1"/>
  <c r="B407" i="11"/>
  <c r="C407" i="11" a="1"/>
  <c r="C407" i="11" s="1"/>
  <c r="D407" i="11" a="1"/>
  <c r="D407" i="11" s="1"/>
  <c r="E407" i="11" a="1"/>
  <c r="E407" i="11" s="1"/>
  <c r="F407" i="11" a="1"/>
  <c r="F407" i="11"/>
  <c r="G407" i="11" a="1"/>
  <c r="G407" i="11" s="1"/>
  <c r="H407" i="11" a="1"/>
  <c r="H407" i="11" s="1"/>
  <c r="I407" i="11" a="1"/>
  <c r="I407" i="11" s="1"/>
  <c r="J407" i="11" a="1"/>
  <c r="J407" i="11" s="1"/>
  <c r="K407" i="11" a="1"/>
  <c r="K407" i="11" s="1"/>
  <c r="L407" i="11" a="1"/>
  <c r="L407" i="11" s="1"/>
  <c r="M407" i="11" a="1"/>
  <c r="M407" i="11" s="1"/>
  <c r="N407" i="11" a="1"/>
  <c r="N407" i="11" s="1"/>
  <c r="O407" i="11" a="1"/>
  <c r="O407" i="11" s="1"/>
  <c r="P407" i="11" a="1"/>
  <c r="P407" i="11" s="1"/>
  <c r="Q407" i="11" a="1"/>
  <c r="Q407" i="11" s="1"/>
  <c r="B408" i="11" a="1"/>
  <c r="B408" i="11"/>
  <c r="C408" i="11" a="1"/>
  <c r="C408" i="11" s="1"/>
  <c r="D408" i="11" a="1"/>
  <c r="D408" i="11"/>
  <c r="E408" i="11" a="1"/>
  <c r="E408" i="11" s="1"/>
  <c r="F408" i="11" a="1"/>
  <c r="F408" i="11" s="1"/>
  <c r="G408" i="11" a="1"/>
  <c r="G408" i="11" s="1"/>
  <c r="H408" i="11" a="1"/>
  <c r="H408" i="11"/>
  <c r="I408" i="11" a="1"/>
  <c r="I408" i="11" s="1"/>
  <c r="J408" i="11" a="1"/>
  <c r="J408" i="11" s="1"/>
  <c r="K408" i="11" a="1"/>
  <c r="K408" i="11" s="1"/>
  <c r="L408" i="11" a="1"/>
  <c r="L408" i="11" s="1"/>
  <c r="M408" i="11" a="1"/>
  <c r="M408" i="11" s="1"/>
  <c r="N408" i="11" a="1"/>
  <c r="N408" i="11" s="1"/>
  <c r="O408" i="11" a="1"/>
  <c r="O408" i="11" s="1"/>
  <c r="P408" i="11" a="1"/>
  <c r="P408" i="11" s="1"/>
  <c r="Q408" i="11" a="1"/>
  <c r="Q408" i="11" s="1"/>
  <c r="B409" i="11" a="1"/>
  <c r="B409" i="11" s="1"/>
  <c r="C409" i="11" a="1"/>
  <c r="C409" i="11" s="1"/>
  <c r="D409" i="11" a="1"/>
  <c r="D409" i="11"/>
  <c r="E409" i="11" a="1"/>
  <c r="E409" i="11" s="1"/>
  <c r="F409" i="11" a="1"/>
  <c r="F409" i="11"/>
  <c r="G409" i="11" a="1"/>
  <c r="G409" i="11" s="1"/>
  <c r="H409" i="11" a="1"/>
  <c r="H409" i="11" s="1"/>
  <c r="I409" i="11" a="1"/>
  <c r="I409" i="11" s="1"/>
  <c r="J409" i="11" a="1"/>
  <c r="J409" i="11"/>
  <c r="K409" i="11" a="1"/>
  <c r="K409" i="11" s="1"/>
  <c r="L409" i="11" a="1"/>
  <c r="L409" i="11" s="1"/>
  <c r="M409" i="11" a="1"/>
  <c r="M409" i="11" s="1"/>
  <c r="N409" i="11" a="1"/>
  <c r="N409" i="11" s="1"/>
  <c r="O409" i="11" a="1"/>
  <c r="O409" i="11" s="1"/>
  <c r="P409" i="11" a="1"/>
  <c r="P409" i="11" s="1"/>
  <c r="Q409" i="11" a="1"/>
  <c r="Q409" i="11" s="1"/>
  <c r="B410" i="11" a="1"/>
  <c r="B410" i="11" s="1"/>
  <c r="C410" i="11" a="1"/>
  <c r="C410" i="11" s="1"/>
  <c r="D410" i="11" a="1"/>
  <c r="D410" i="11" s="1"/>
  <c r="E410" i="11" a="1"/>
  <c r="E410" i="11" s="1"/>
  <c r="F410" i="11" a="1"/>
  <c r="F410" i="11"/>
  <c r="G410" i="11" a="1"/>
  <c r="G410" i="11" s="1"/>
  <c r="H410" i="11" a="1"/>
  <c r="H410" i="11"/>
  <c r="I410" i="11" a="1"/>
  <c r="I410" i="11" s="1"/>
  <c r="J410" i="11" a="1"/>
  <c r="J410" i="11" s="1"/>
  <c r="K410" i="11" a="1"/>
  <c r="K410" i="11" s="1"/>
  <c r="L410" i="11" a="1"/>
  <c r="L410" i="11"/>
  <c r="M410" i="11" a="1"/>
  <c r="M410" i="11" s="1"/>
  <c r="N410" i="11" a="1"/>
  <c r="N410" i="11" s="1"/>
  <c r="O410" i="11" a="1"/>
  <c r="O410" i="11" s="1"/>
  <c r="P410" i="11" a="1"/>
  <c r="P410" i="11" s="1"/>
  <c r="Q410" i="11" a="1"/>
  <c r="Q410" i="11" s="1"/>
  <c r="B411" i="11" a="1"/>
  <c r="B411" i="11" s="1"/>
  <c r="C411" i="11" a="1"/>
  <c r="C411" i="11" s="1"/>
  <c r="D411" i="11" a="1"/>
  <c r="D411" i="11" s="1"/>
  <c r="E411" i="11" a="1"/>
  <c r="E411" i="11" s="1"/>
  <c r="F411" i="11" a="1"/>
  <c r="F411" i="11" s="1"/>
  <c r="G411" i="11" a="1"/>
  <c r="G411" i="11" s="1"/>
  <c r="H411" i="11" a="1"/>
  <c r="H411" i="11"/>
  <c r="I411" i="11" a="1"/>
  <c r="I411" i="11" s="1"/>
  <c r="J411" i="11" a="1"/>
  <c r="J411" i="11"/>
  <c r="K411" i="11" a="1"/>
  <c r="K411" i="11" s="1"/>
  <c r="L411" i="11" a="1"/>
  <c r="L411" i="11" s="1"/>
  <c r="M411" i="11" a="1"/>
  <c r="M411" i="11" s="1"/>
  <c r="N411" i="11" a="1"/>
  <c r="N411" i="11"/>
  <c r="O411" i="11" a="1"/>
  <c r="O411" i="11" s="1"/>
  <c r="P411" i="11" a="1"/>
  <c r="P411" i="11" s="1"/>
  <c r="Q411" i="11" a="1"/>
  <c r="Q411" i="11" s="1"/>
  <c r="B412" i="11" a="1"/>
  <c r="B412" i="11" s="1"/>
  <c r="C412" i="11" a="1"/>
  <c r="C412" i="11" s="1"/>
  <c r="D412" i="11" a="1"/>
  <c r="D412" i="11" s="1"/>
  <c r="E412" i="11" a="1"/>
  <c r="E412" i="11" s="1"/>
  <c r="F412" i="11" a="1"/>
  <c r="F412" i="11" s="1"/>
  <c r="G412" i="11" a="1"/>
  <c r="G412" i="11" s="1"/>
  <c r="H412" i="11" a="1"/>
  <c r="H412" i="11" s="1"/>
  <c r="I412" i="11" a="1"/>
  <c r="I412" i="11" s="1"/>
  <c r="J412" i="11" a="1"/>
  <c r="J412" i="11"/>
  <c r="K412" i="11" a="1"/>
  <c r="K412" i="11" s="1"/>
  <c r="L412" i="11" a="1"/>
  <c r="L412" i="11"/>
  <c r="M412" i="11" a="1"/>
  <c r="M412" i="11" s="1"/>
  <c r="N412" i="11" a="1"/>
  <c r="N412" i="11" s="1"/>
  <c r="O412" i="11" a="1"/>
  <c r="O412" i="11" s="1"/>
  <c r="P412" i="11" a="1"/>
  <c r="P412" i="11"/>
  <c r="Q412" i="11" a="1"/>
  <c r="Q412" i="11" s="1"/>
  <c r="B413" i="11" a="1"/>
  <c r="B413" i="11" s="1"/>
  <c r="C413" i="11" a="1"/>
  <c r="C413" i="11" s="1"/>
  <c r="D413" i="11" a="1"/>
  <c r="D413" i="11" s="1"/>
  <c r="E413" i="11" a="1"/>
  <c r="E413" i="11" s="1"/>
  <c r="F413" i="11" a="1"/>
  <c r="F413" i="11" s="1"/>
  <c r="G413" i="11" a="1"/>
  <c r="G413" i="11" s="1"/>
  <c r="H413" i="11" a="1"/>
  <c r="H413" i="11" s="1"/>
  <c r="I413" i="11" a="1"/>
  <c r="I413" i="11" s="1"/>
  <c r="J413" i="11" a="1"/>
  <c r="J413" i="11" s="1"/>
  <c r="K413" i="11" a="1"/>
  <c r="K413" i="11" s="1"/>
  <c r="L413" i="11" a="1"/>
  <c r="L413" i="11"/>
  <c r="M413" i="11" a="1"/>
  <c r="M413" i="11" s="1"/>
  <c r="N413" i="11" a="1"/>
  <c r="N413" i="11"/>
  <c r="O413" i="11" a="1"/>
  <c r="O413" i="11" s="1"/>
  <c r="P413" i="11" a="1"/>
  <c r="P413" i="11" s="1"/>
  <c r="Q413" i="11" a="1"/>
  <c r="Q413" i="11" s="1"/>
  <c r="B414" i="11" a="1"/>
  <c r="B414" i="11"/>
  <c r="C414" i="11" a="1"/>
  <c r="C414" i="11" s="1"/>
  <c r="D414" i="11" a="1"/>
  <c r="D414" i="11" s="1"/>
  <c r="E414" i="11" a="1"/>
  <c r="E414" i="11"/>
  <c r="F414" i="11" a="1"/>
  <c r="F414" i="11" s="1"/>
  <c r="G414" i="11" a="1"/>
  <c r="G414" i="11" s="1"/>
  <c r="H414" i="11" a="1"/>
  <c r="H414" i="11"/>
  <c r="I414" i="11" a="1"/>
  <c r="I414" i="11" s="1"/>
  <c r="J414" i="11" a="1"/>
  <c r="J414" i="11"/>
  <c r="K414" i="11" a="1"/>
  <c r="K414" i="11" s="1"/>
  <c r="L414" i="11" a="1"/>
  <c r="L414" i="11" s="1"/>
  <c r="M414" i="11" a="1"/>
  <c r="M414" i="11" s="1"/>
  <c r="N414" i="11" a="1"/>
  <c r="N414" i="11"/>
  <c r="O414" i="11" a="1"/>
  <c r="O414" i="11" s="1"/>
  <c r="P414" i="11" a="1"/>
  <c r="P414" i="11"/>
  <c r="Q414" i="11" a="1"/>
  <c r="Q414" i="11" s="1"/>
  <c r="B415" i="11" a="1"/>
  <c r="B415" i="11" s="1"/>
  <c r="C415" i="11" a="1"/>
  <c r="C415" i="11" s="1"/>
  <c r="D415" i="11" a="1"/>
  <c r="D415" i="11" s="1"/>
  <c r="E415" i="11" a="1"/>
  <c r="E415" i="11" s="1"/>
  <c r="F415" i="11" a="1"/>
  <c r="F415" i="11"/>
  <c r="G415" i="11" a="1"/>
  <c r="G415" i="11" s="1"/>
  <c r="H415" i="11" a="1"/>
  <c r="H415" i="11" s="1"/>
  <c r="I415" i="11" a="1"/>
  <c r="I415" i="11" s="1"/>
  <c r="J415" i="11" a="1"/>
  <c r="J415" i="11"/>
  <c r="K415" i="11" a="1"/>
  <c r="K415" i="11" s="1"/>
  <c r="L415" i="11" a="1"/>
  <c r="L415" i="11" s="1"/>
  <c r="M415" i="11" a="1"/>
  <c r="M415" i="11"/>
  <c r="N415" i="11" a="1"/>
  <c r="N415" i="11" s="1"/>
  <c r="O415" i="11" a="1"/>
  <c r="O415" i="11" s="1"/>
  <c r="P415" i="11" a="1"/>
  <c r="P415" i="11"/>
  <c r="Q415" i="11" a="1"/>
  <c r="Q415" i="11" s="1"/>
  <c r="B416" i="11" a="1"/>
  <c r="B416" i="11"/>
  <c r="C416" i="11" a="1"/>
  <c r="C416" i="11" s="1"/>
  <c r="D416" i="11" a="1"/>
  <c r="D416" i="11" s="1"/>
  <c r="E416" i="11" a="1"/>
  <c r="E416" i="11" s="1"/>
  <c r="F416" i="11" a="1"/>
  <c r="F416" i="11"/>
  <c r="G416" i="11" a="1"/>
  <c r="G416" i="11" s="1"/>
  <c r="H416" i="11" a="1"/>
  <c r="H416" i="11"/>
  <c r="I416" i="11" a="1"/>
  <c r="I416" i="11" s="1"/>
  <c r="J416" i="11" a="1"/>
  <c r="J416" i="11" s="1"/>
  <c r="K416" i="11" a="1"/>
  <c r="K416" i="11" s="1"/>
  <c r="L416" i="11" a="1"/>
  <c r="L416" i="11" s="1"/>
  <c r="M416" i="11" a="1"/>
  <c r="M416" i="11" s="1"/>
  <c r="N416" i="11" a="1"/>
  <c r="N416" i="11"/>
  <c r="O416" i="11" a="1"/>
  <c r="O416" i="11" s="1"/>
  <c r="P416" i="11" a="1"/>
  <c r="P416" i="11" s="1"/>
  <c r="Q416" i="11" a="1"/>
  <c r="Q416" i="11" s="1"/>
  <c r="B417" i="11" a="1"/>
  <c r="B417" i="11"/>
  <c r="C417" i="11" a="1"/>
  <c r="C417" i="11" s="1"/>
  <c r="D417" i="11" a="1"/>
  <c r="D417" i="11"/>
  <c r="E417" i="11" a="1"/>
  <c r="E417" i="11"/>
  <c r="F417" i="11" a="1"/>
  <c r="F417" i="11" s="1"/>
  <c r="G417" i="11" a="1"/>
  <c r="G417" i="11"/>
  <c r="H417" i="11" a="1"/>
  <c r="H417" i="11"/>
  <c r="I417" i="11" a="1"/>
  <c r="I417" i="11" s="1"/>
  <c r="J417" i="11" a="1"/>
  <c r="J417" i="11"/>
  <c r="K417" i="11" a="1"/>
  <c r="K417" i="11"/>
  <c r="L417" i="11" a="1"/>
  <c r="L417" i="11" s="1"/>
  <c r="M417" i="11" a="1"/>
  <c r="M417" i="11" s="1"/>
  <c r="N417" i="11" a="1"/>
  <c r="N417" i="11"/>
  <c r="O417" i="11" a="1"/>
  <c r="O417" i="11" s="1"/>
  <c r="P417" i="11" a="1"/>
  <c r="P417" i="11"/>
  <c r="Q417" i="11" a="1"/>
  <c r="Q417" i="11"/>
  <c r="B418" i="11" a="1"/>
  <c r="B418" i="11" s="1"/>
  <c r="C418" i="11" a="1"/>
  <c r="C418" i="11" s="1"/>
  <c r="D418" i="11" a="1"/>
  <c r="D418" i="11"/>
  <c r="E418" i="11" a="1"/>
  <c r="E418" i="11" s="1"/>
  <c r="F418" i="11" a="1"/>
  <c r="F418" i="11"/>
  <c r="G418" i="11" a="1"/>
  <c r="G418" i="11"/>
  <c r="H418" i="11" a="1"/>
  <c r="H418" i="11" s="1"/>
  <c r="I418" i="11" a="1"/>
  <c r="I418" i="11" s="1"/>
  <c r="J418" i="11" a="1"/>
  <c r="J418" i="11"/>
  <c r="K418" i="11" a="1"/>
  <c r="K418" i="11" s="1"/>
  <c r="L418" i="11" a="1"/>
  <c r="L418" i="11" s="1"/>
  <c r="M418" i="11" a="1"/>
  <c r="M418" i="11"/>
  <c r="N418" i="11" a="1"/>
  <c r="N418" i="11" s="1"/>
  <c r="O418" i="11" a="1"/>
  <c r="O418" i="11" s="1"/>
  <c r="P418" i="11" a="1"/>
  <c r="P418" i="11"/>
  <c r="Q418" i="11" a="1"/>
  <c r="Q418" i="11" s="1"/>
  <c r="B419" i="11" a="1"/>
  <c r="B419" i="11" s="1"/>
  <c r="C419" i="11" a="1"/>
  <c r="C419" i="11"/>
  <c r="D419" i="11" a="1"/>
  <c r="D419" i="11" s="1"/>
  <c r="E419" i="11" a="1"/>
  <c r="E419" i="11" s="1"/>
  <c r="F419" i="11" a="1"/>
  <c r="F419" i="11"/>
  <c r="G419" i="11" a="1"/>
  <c r="G419" i="11" s="1"/>
  <c r="H419" i="11" a="1"/>
  <c r="H419" i="11" s="1"/>
  <c r="I419" i="11" a="1"/>
  <c r="I419" i="11"/>
  <c r="J419" i="11" a="1"/>
  <c r="J419" i="11" s="1"/>
  <c r="K419" i="11" a="1"/>
  <c r="K419" i="11" s="1"/>
  <c r="L419" i="11" a="1"/>
  <c r="L419" i="11"/>
  <c r="M419" i="11" a="1"/>
  <c r="M419" i="11" s="1"/>
  <c r="N419" i="11" a="1"/>
  <c r="N419" i="11" s="1"/>
  <c r="O419" i="11" a="1"/>
  <c r="O419" i="11"/>
  <c r="P419" i="11" a="1"/>
  <c r="P419" i="11" s="1"/>
  <c r="Q419" i="11" a="1"/>
  <c r="Q419" i="11" s="1"/>
  <c r="B420" i="11" a="1"/>
  <c r="B420" i="11"/>
  <c r="C420" i="11" a="1"/>
  <c r="C420" i="11" s="1"/>
  <c r="D420" i="11" a="1"/>
  <c r="D420" i="11" s="1"/>
  <c r="E420" i="11" a="1"/>
  <c r="E420" i="11"/>
  <c r="F420" i="11" a="1"/>
  <c r="F420" i="11" s="1"/>
  <c r="G420" i="11" a="1"/>
  <c r="G420" i="11" s="1"/>
  <c r="H420" i="11" a="1"/>
  <c r="H420" i="11"/>
  <c r="I420" i="11" a="1"/>
  <c r="I420" i="11" s="1"/>
  <c r="J420" i="11" a="1"/>
  <c r="J420" i="11" s="1"/>
  <c r="K420" i="11" a="1"/>
  <c r="K420" i="11"/>
  <c r="L420" i="11" a="1"/>
  <c r="L420" i="11" s="1"/>
  <c r="M420" i="11" a="1"/>
  <c r="M420" i="11" s="1"/>
  <c r="N420" i="11" a="1"/>
  <c r="N420" i="11"/>
  <c r="O420" i="11" a="1"/>
  <c r="O420" i="11" s="1"/>
  <c r="P420" i="11" a="1"/>
  <c r="P420" i="11" s="1"/>
  <c r="Q420" i="11" a="1"/>
  <c r="Q420" i="11"/>
  <c r="B421" i="11" a="1"/>
  <c r="B421" i="11" s="1"/>
  <c r="C421" i="11" a="1"/>
  <c r="C421" i="11" s="1"/>
  <c r="D421" i="11" a="1"/>
  <c r="D421" i="11"/>
  <c r="E421" i="11" a="1"/>
  <c r="E421" i="11" s="1"/>
  <c r="F421" i="11" a="1"/>
  <c r="F421" i="11" s="1"/>
  <c r="G421" i="11" a="1"/>
  <c r="G421" i="11"/>
  <c r="H421" i="11" a="1"/>
  <c r="H421" i="11" s="1"/>
  <c r="I421" i="11" a="1"/>
  <c r="I421" i="11" s="1"/>
  <c r="J421" i="11" a="1"/>
  <c r="J421" i="11"/>
  <c r="K421" i="11" a="1"/>
  <c r="K421" i="11" s="1"/>
  <c r="L421" i="11" a="1"/>
  <c r="L421" i="11" s="1"/>
  <c r="M421" i="11" a="1"/>
  <c r="M421" i="11"/>
  <c r="N421" i="11" a="1"/>
  <c r="N421" i="11" s="1"/>
  <c r="O421" i="11" a="1"/>
  <c r="O421" i="11" s="1"/>
  <c r="P421" i="11" a="1"/>
  <c r="P421" i="11"/>
  <c r="Q421" i="11" a="1"/>
  <c r="Q421" i="11" s="1"/>
  <c r="B422" i="11" a="1"/>
  <c r="B422" i="11" s="1"/>
  <c r="C422" i="11" a="1"/>
  <c r="C422" i="11"/>
  <c r="D422" i="11" a="1"/>
  <c r="D422" i="11" s="1"/>
  <c r="E422" i="11" a="1"/>
  <c r="E422" i="11" s="1"/>
  <c r="F422" i="11" a="1"/>
  <c r="F422" i="11"/>
  <c r="G422" i="11" a="1"/>
  <c r="G422" i="11" s="1"/>
  <c r="H422" i="11" a="1"/>
  <c r="H422" i="11" s="1"/>
  <c r="I422" i="11" a="1"/>
  <c r="I422" i="11"/>
  <c r="J422" i="11" a="1"/>
  <c r="J422" i="11" s="1"/>
  <c r="K422" i="11" a="1"/>
  <c r="K422" i="11" s="1"/>
  <c r="L422" i="11" a="1"/>
  <c r="L422" i="11"/>
  <c r="M422" i="11" a="1"/>
  <c r="M422" i="11" s="1"/>
  <c r="N422" i="11" a="1"/>
  <c r="N422" i="11" s="1"/>
  <c r="O422" i="11" a="1"/>
  <c r="O422" i="11"/>
  <c r="P422" i="11" a="1"/>
  <c r="P422" i="11" s="1"/>
  <c r="Q422" i="11" a="1"/>
  <c r="Q422" i="11" s="1"/>
  <c r="B423" i="11" a="1"/>
  <c r="B423" i="11"/>
  <c r="C423" i="11" a="1"/>
  <c r="C423" i="11" s="1"/>
  <c r="D423" i="11" a="1"/>
  <c r="D423" i="11" s="1"/>
  <c r="E423" i="11" a="1"/>
  <c r="E423" i="11"/>
  <c r="F423" i="11" a="1"/>
  <c r="F423" i="11" s="1"/>
  <c r="G423" i="11" a="1"/>
  <c r="G423" i="11" s="1"/>
  <c r="H423" i="11" a="1"/>
  <c r="H423" i="11"/>
  <c r="I423" i="11" a="1"/>
  <c r="I423" i="11" s="1"/>
  <c r="J423" i="11" a="1"/>
  <c r="J423" i="11" s="1"/>
  <c r="K423" i="11" a="1"/>
  <c r="K423" i="11"/>
  <c r="L423" i="11" a="1"/>
  <c r="L423" i="11" s="1"/>
  <c r="M423" i="11" a="1"/>
  <c r="M423" i="11" s="1"/>
  <c r="N423" i="11" a="1"/>
  <c r="N423" i="11"/>
  <c r="O423" i="11" a="1"/>
  <c r="O423" i="11" s="1"/>
  <c r="P423" i="11" a="1"/>
  <c r="P423" i="11" s="1"/>
  <c r="Q423" i="11" a="1"/>
  <c r="Q423" i="11"/>
  <c r="B424" i="11" a="1"/>
  <c r="B424" i="11" s="1"/>
  <c r="C424" i="11" a="1"/>
  <c r="C424" i="11" s="1"/>
  <c r="D424" i="11" a="1"/>
  <c r="D424" i="11"/>
  <c r="E424" i="11" a="1"/>
  <c r="E424" i="11" s="1"/>
  <c r="F424" i="11" a="1"/>
  <c r="F424" i="11" s="1"/>
  <c r="G424" i="11" a="1"/>
  <c r="G424" i="11"/>
  <c r="H424" i="11" a="1"/>
  <c r="H424" i="11" s="1"/>
  <c r="I424" i="11" a="1"/>
  <c r="I424" i="11" s="1"/>
  <c r="J424" i="11" a="1"/>
  <c r="J424" i="11"/>
  <c r="K424" i="11" a="1"/>
  <c r="K424" i="11" s="1"/>
  <c r="L424" i="11" a="1"/>
  <c r="L424" i="11" s="1"/>
  <c r="M424" i="11" a="1"/>
  <c r="M424" i="11"/>
  <c r="N424" i="11" a="1"/>
  <c r="N424" i="11" s="1"/>
  <c r="O424" i="11" a="1"/>
  <c r="O424" i="11" s="1"/>
  <c r="P424" i="11" a="1"/>
  <c r="P424" i="11"/>
  <c r="Q424" i="11" a="1"/>
  <c r="Q424" i="11" s="1"/>
  <c r="B425" i="11" a="1"/>
  <c r="B425" i="11" s="1"/>
  <c r="C425" i="11" a="1"/>
  <c r="C425" i="11"/>
  <c r="D425" i="11" a="1"/>
  <c r="D425" i="11" s="1"/>
  <c r="E425" i="11" a="1"/>
  <c r="E425" i="11" s="1"/>
  <c r="F425" i="11" a="1"/>
  <c r="F425" i="11"/>
  <c r="G425" i="11" a="1"/>
  <c r="G425" i="11" s="1"/>
  <c r="H425" i="11" a="1"/>
  <c r="H425" i="11" s="1"/>
  <c r="I425" i="11" a="1"/>
  <c r="I425" i="11"/>
  <c r="J425" i="11" a="1"/>
  <c r="J425" i="11" s="1"/>
  <c r="K425" i="11" a="1"/>
  <c r="K425" i="11" s="1"/>
  <c r="L425" i="11" a="1"/>
  <c r="L425" i="11"/>
  <c r="M425" i="11" a="1"/>
  <c r="M425" i="11" s="1"/>
  <c r="N425" i="11" a="1"/>
  <c r="N425" i="11" s="1"/>
  <c r="O425" i="11" a="1"/>
  <c r="O425" i="11"/>
  <c r="P425" i="11" a="1"/>
  <c r="P425" i="11" s="1"/>
  <c r="Q425" i="11" a="1"/>
  <c r="Q425" i="11" s="1"/>
  <c r="B426" i="11" a="1"/>
  <c r="B426" i="11"/>
  <c r="C426" i="11" a="1"/>
  <c r="C426" i="11" s="1"/>
  <c r="D426" i="11" a="1"/>
  <c r="D426" i="11" s="1"/>
  <c r="E426" i="11" a="1"/>
  <c r="E426" i="11"/>
  <c r="F426" i="11" a="1"/>
  <c r="F426" i="11" s="1"/>
  <c r="G426" i="11" a="1"/>
  <c r="G426" i="11" s="1"/>
  <c r="H426" i="11" a="1"/>
  <c r="H426" i="11"/>
  <c r="I426" i="11" a="1"/>
  <c r="I426" i="11" s="1"/>
  <c r="J426" i="11" a="1"/>
  <c r="J426" i="11" s="1"/>
  <c r="K426" i="11" a="1"/>
  <c r="K426" i="11"/>
  <c r="L426" i="11" a="1"/>
  <c r="L426" i="11" s="1"/>
  <c r="M426" i="11" a="1"/>
  <c r="M426" i="11" s="1"/>
  <c r="N426" i="11" a="1"/>
  <c r="N426" i="11"/>
  <c r="O426" i="11" a="1"/>
  <c r="O426" i="11" s="1"/>
  <c r="P426" i="11" a="1"/>
  <c r="P426" i="11" s="1"/>
  <c r="Q426" i="11" a="1"/>
  <c r="Q426" i="11"/>
  <c r="B427" i="11" a="1"/>
  <c r="B427" i="11" s="1"/>
  <c r="C427" i="11" a="1"/>
  <c r="C427" i="11" s="1"/>
  <c r="D427" i="11" a="1"/>
  <c r="D427" i="11"/>
  <c r="E427" i="11" a="1"/>
  <c r="E427" i="11" s="1"/>
  <c r="F427" i="11" a="1"/>
  <c r="F427" i="11" s="1"/>
  <c r="G427" i="11" a="1"/>
  <c r="G427" i="11"/>
  <c r="H427" i="11" a="1"/>
  <c r="H427" i="11" s="1"/>
  <c r="I427" i="11" a="1"/>
  <c r="I427" i="11" s="1"/>
  <c r="J427" i="11" a="1"/>
  <c r="J427" i="11"/>
  <c r="K427" i="11" a="1"/>
  <c r="K427" i="11" s="1"/>
  <c r="L427" i="11" a="1"/>
  <c r="L427" i="11" s="1"/>
  <c r="M427" i="11" a="1"/>
  <c r="M427" i="11"/>
  <c r="N427" i="11" a="1"/>
  <c r="N427" i="11" s="1"/>
  <c r="O427" i="11" a="1"/>
  <c r="O427" i="11" s="1"/>
  <c r="P427" i="11" a="1"/>
  <c r="P427" i="11"/>
  <c r="Q427" i="11" a="1"/>
  <c r="Q427" i="11" s="1"/>
  <c r="B428" i="11" a="1"/>
  <c r="B428" i="11" s="1"/>
  <c r="C428" i="11" a="1"/>
  <c r="C428" i="11"/>
  <c r="D428" i="11" a="1"/>
  <c r="D428" i="11" s="1"/>
  <c r="E428" i="11" a="1"/>
  <c r="E428" i="11" s="1"/>
  <c r="F428" i="11" a="1"/>
  <c r="F428" i="11"/>
  <c r="G428" i="11" a="1"/>
  <c r="G428" i="11" s="1"/>
  <c r="H428" i="11" a="1"/>
  <c r="H428" i="11" s="1"/>
  <c r="I428" i="11" a="1"/>
  <c r="I428" i="11"/>
  <c r="J428" i="11" a="1"/>
  <c r="J428" i="11" s="1"/>
  <c r="K428" i="11" a="1"/>
  <c r="K428" i="11" s="1"/>
  <c r="L428" i="11" a="1"/>
  <c r="L428" i="11"/>
  <c r="M428" i="11" a="1"/>
  <c r="M428" i="11" s="1"/>
  <c r="N428" i="11" a="1"/>
  <c r="N428" i="11" s="1"/>
  <c r="O428" i="11" a="1"/>
  <c r="O428" i="11"/>
  <c r="P428" i="11" a="1"/>
  <c r="P428" i="11" s="1"/>
  <c r="Q428" i="11" a="1"/>
  <c r="Q428" i="11" s="1"/>
  <c r="B429" i="11" a="1"/>
  <c r="B429" i="11"/>
  <c r="C429" i="11" a="1"/>
  <c r="C429" i="11" s="1"/>
  <c r="D429" i="11" a="1"/>
  <c r="D429" i="11" s="1"/>
  <c r="E429" i="11" a="1"/>
  <c r="E429" i="11"/>
  <c r="F429" i="11" a="1"/>
  <c r="F429" i="11" s="1"/>
  <c r="G429" i="11" a="1"/>
  <c r="G429" i="11" s="1"/>
  <c r="H429" i="11" a="1"/>
  <c r="H429" i="11"/>
  <c r="I429" i="11" a="1"/>
  <c r="I429" i="11" s="1"/>
  <c r="J429" i="11" a="1"/>
  <c r="J429" i="11" s="1"/>
  <c r="K429" i="11" a="1"/>
  <c r="K429" i="11"/>
  <c r="L429" i="11" a="1"/>
  <c r="L429" i="11" s="1"/>
  <c r="M429" i="11" a="1"/>
  <c r="M429" i="11" s="1"/>
  <c r="N429" i="11" a="1"/>
  <c r="N429" i="11"/>
  <c r="O429" i="11" a="1"/>
  <c r="O429" i="11" s="1"/>
  <c r="P429" i="11" a="1"/>
  <c r="P429" i="11" s="1"/>
  <c r="Q429" i="11" a="1"/>
  <c r="Q429" i="11"/>
  <c r="B430" i="11" a="1"/>
  <c r="B430" i="11" s="1"/>
  <c r="C430" i="11" a="1"/>
  <c r="C430" i="11" s="1"/>
  <c r="D430" i="11" a="1"/>
  <c r="D430" i="11"/>
  <c r="E430" i="11" a="1"/>
  <c r="E430" i="11" s="1"/>
  <c r="F430" i="11" a="1"/>
  <c r="F430" i="11" s="1"/>
  <c r="G430" i="11" a="1"/>
  <c r="G430" i="11"/>
  <c r="H430" i="11" a="1"/>
  <c r="H430" i="11" s="1"/>
  <c r="I430" i="11" a="1"/>
  <c r="I430" i="11" s="1"/>
  <c r="J430" i="11" a="1"/>
  <c r="J430" i="11"/>
  <c r="K430" i="11" a="1"/>
  <c r="K430" i="11" s="1"/>
  <c r="L430" i="11" a="1"/>
  <c r="L430" i="11" s="1"/>
  <c r="M430" i="11" a="1"/>
  <c r="M430" i="11"/>
  <c r="N430" i="11" a="1"/>
  <c r="N430" i="11" s="1"/>
  <c r="O430" i="11" a="1"/>
  <c r="O430" i="11" s="1"/>
  <c r="P430" i="11" a="1"/>
  <c r="P430" i="11"/>
  <c r="Q430" i="11" a="1"/>
  <c r="Q430" i="11" s="1"/>
  <c r="B431" i="11" a="1"/>
  <c r="B431" i="11" s="1"/>
  <c r="C431" i="11" a="1"/>
  <c r="C431" i="11"/>
  <c r="D431" i="11" a="1"/>
  <c r="D431" i="11" s="1"/>
  <c r="E431" i="11" a="1"/>
  <c r="E431" i="11" s="1"/>
  <c r="F431" i="11" a="1"/>
  <c r="F431" i="11"/>
  <c r="G431" i="11" a="1"/>
  <c r="G431" i="11" s="1"/>
  <c r="H431" i="11" a="1"/>
  <c r="H431" i="11" s="1"/>
  <c r="I431" i="11" a="1"/>
  <c r="I431" i="11"/>
  <c r="J431" i="11" a="1"/>
  <c r="J431" i="11" s="1"/>
  <c r="K431" i="11" a="1"/>
  <c r="K431" i="11" s="1"/>
  <c r="L431" i="11" a="1"/>
  <c r="L431" i="11"/>
  <c r="M431" i="11" a="1"/>
  <c r="M431" i="11" s="1"/>
  <c r="N431" i="11" a="1"/>
  <c r="N431" i="11" s="1"/>
  <c r="O431" i="11" a="1"/>
  <c r="O431" i="11"/>
  <c r="P431" i="11" a="1"/>
  <c r="P431" i="11" s="1"/>
  <c r="Q431" i="11" a="1"/>
  <c r="Q431" i="11" s="1"/>
  <c r="B432" i="11" a="1"/>
  <c r="B432" i="11"/>
  <c r="C432" i="11" a="1"/>
  <c r="C432" i="11" s="1"/>
  <c r="D432" i="11" a="1"/>
  <c r="D432" i="11" s="1"/>
  <c r="E432" i="11" a="1"/>
  <c r="E432" i="11"/>
  <c r="F432" i="11" a="1"/>
  <c r="F432" i="11" s="1"/>
  <c r="G432" i="11" a="1"/>
  <c r="G432" i="11" s="1"/>
  <c r="H432" i="11" a="1"/>
  <c r="H432" i="11"/>
  <c r="I432" i="11" a="1"/>
  <c r="I432" i="11" s="1"/>
  <c r="J432" i="11" a="1"/>
  <c r="J432" i="11" s="1"/>
  <c r="K432" i="11" a="1"/>
  <c r="K432" i="11"/>
  <c r="L432" i="11" a="1"/>
  <c r="L432" i="11" s="1"/>
  <c r="M432" i="11" a="1"/>
  <c r="M432" i="11" s="1"/>
  <c r="N432" i="11" a="1"/>
  <c r="N432" i="11"/>
  <c r="O432" i="11" a="1"/>
  <c r="O432" i="11" s="1"/>
  <c r="P432" i="11" a="1"/>
  <c r="P432" i="11" s="1"/>
  <c r="Q432" i="11" a="1"/>
  <c r="Q432" i="11"/>
  <c r="B433" i="11" a="1"/>
  <c r="B433" i="11" s="1"/>
  <c r="C433" i="11" a="1"/>
  <c r="C433" i="11" s="1"/>
  <c r="D433" i="11" a="1"/>
  <c r="D433" i="11"/>
  <c r="E433" i="11" a="1"/>
  <c r="E433" i="11" s="1"/>
  <c r="F433" i="11" a="1"/>
  <c r="F433" i="11" s="1"/>
  <c r="G433" i="11" a="1"/>
  <c r="G433" i="11"/>
  <c r="H433" i="11" a="1"/>
  <c r="H433" i="11" s="1"/>
  <c r="I433" i="11" a="1"/>
  <c r="I433" i="11" s="1"/>
  <c r="J433" i="11" a="1"/>
  <c r="J433" i="11"/>
  <c r="K433" i="11" a="1"/>
  <c r="K433" i="11" s="1"/>
  <c r="L433" i="11" a="1"/>
  <c r="L433" i="11" s="1"/>
  <c r="M433" i="11" a="1"/>
  <c r="M433" i="11"/>
  <c r="N433" i="11" a="1"/>
  <c r="N433" i="11" s="1"/>
  <c r="O433" i="11" a="1"/>
  <c r="O433" i="11" s="1"/>
  <c r="P433" i="11" a="1"/>
  <c r="P433" i="11"/>
  <c r="Q433" i="11" a="1"/>
  <c r="Q433" i="11" s="1"/>
  <c r="B434" i="11" a="1"/>
  <c r="B434" i="11" s="1"/>
  <c r="C434" i="11" a="1"/>
  <c r="C434" i="11"/>
  <c r="D434" i="11" a="1"/>
  <c r="D434" i="11" s="1"/>
  <c r="E434" i="11" a="1"/>
  <c r="E434" i="11" s="1"/>
  <c r="F434" i="11" a="1"/>
  <c r="F434" i="11"/>
  <c r="G434" i="11" a="1"/>
  <c r="G434" i="11" s="1"/>
  <c r="H434" i="11" a="1"/>
  <c r="H434" i="11" s="1"/>
  <c r="I434" i="11" a="1"/>
  <c r="I434" i="11"/>
  <c r="J434" i="11" a="1"/>
  <c r="J434" i="11" s="1"/>
  <c r="K434" i="11" a="1"/>
  <c r="K434" i="11" s="1"/>
  <c r="L434" i="11" a="1"/>
  <c r="L434" i="11"/>
  <c r="M434" i="11" a="1"/>
  <c r="M434" i="11" s="1"/>
  <c r="N434" i="11" a="1"/>
  <c r="N434" i="11" s="1"/>
  <c r="O434" i="11" a="1"/>
  <c r="O434" i="11"/>
  <c r="P434" i="11" a="1"/>
  <c r="P434" i="11" s="1"/>
  <c r="Q434" i="11" a="1"/>
  <c r="Q434" i="11" s="1"/>
  <c r="B435" i="11" a="1"/>
  <c r="B435" i="11"/>
  <c r="C435" i="11" a="1"/>
  <c r="C435" i="11" s="1"/>
  <c r="D435" i="11" a="1"/>
  <c r="D435" i="11" s="1"/>
  <c r="E435" i="11" a="1"/>
  <c r="E435" i="11"/>
  <c r="F435" i="11" a="1"/>
  <c r="F435" i="11" s="1"/>
  <c r="G435" i="11" a="1"/>
  <c r="G435" i="11" s="1"/>
  <c r="H435" i="11" a="1"/>
  <c r="H435" i="11"/>
  <c r="I435" i="11" a="1"/>
  <c r="I435" i="11" s="1"/>
  <c r="J435" i="11" a="1"/>
  <c r="J435" i="11" s="1"/>
  <c r="K435" i="11" a="1"/>
  <c r="K435" i="11"/>
  <c r="L435" i="11" a="1"/>
  <c r="L435" i="11" s="1"/>
  <c r="M435" i="11" a="1"/>
  <c r="M435" i="11" s="1"/>
  <c r="N435" i="11" a="1"/>
  <c r="N435" i="11"/>
  <c r="O435" i="11" a="1"/>
  <c r="O435" i="11" s="1"/>
  <c r="P435" i="11" a="1"/>
  <c r="P435" i="11" s="1"/>
  <c r="Q435" i="11" a="1"/>
  <c r="Q435" i="11"/>
  <c r="B436" i="11" a="1"/>
  <c r="B436" i="11" s="1"/>
  <c r="C436" i="11" a="1"/>
  <c r="C436" i="11" s="1"/>
  <c r="D436" i="11" a="1"/>
  <c r="D436" i="11"/>
  <c r="E436" i="11" a="1"/>
  <c r="E436" i="11" s="1"/>
  <c r="F436" i="11" a="1"/>
  <c r="F436" i="11" s="1"/>
  <c r="G436" i="11" a="1"/>
  <c r="G436" i="11"/>
  <c r="H436" i="11" a="1"/>
  <c r="H436" i="11" s="1"/>
  <c r="I436" i="11" a="1"/>
  <c r="I436" i="11" s="1"/>
  <c r="J436" i="11" a="1"/>
  <c r="J436" i="11"/>
  <c r="K436" i="11" a="1"/>
  <c r="K436" i="11" s="1"/>
  <c r="L436" i="11" a="1"/>
  <c r="L436" i="11" s="1"/>
  <c r="M436" i="11" a="1"/>
  <c r="M436" i="11"/>
  <c r="N436" i="11" a="1"/>
  <c r="N436" i="11" s="1"/>
  <c r="O436" i="11" a="1"/>
  <c r="O436" i="11" s="1"/>
  <c r="P436" i="11" a="1"/>
  <c r="P436" i="11" s="1"/>
  <c r="Q436" i="11" a="1"/>
  <c r="Q436" i="11" s="1"/>
  <c r="B437" i="11" a="1"/>
  <c r="B437" i="11" s="1"/>
  <c r="C437" i="11" a="1"/>
  <c r="C437" i="11"/>
  <c r="D437" i="11" a="1"/>
  <c r="D437" i="11" s="1"/>
  <c r="E437" i="11" a="1"/>
  <c r="E437" i="11" s="1"/>
  <c r="F437" i="11" a="1"/>
  <c r="F437" i="11" s="1"/>
  <c r="G437" i="11" a="1"/>
  <c r="G437" i="11" s="1"/>
  <c r="H437" i="11" a="1"/>
  <c r="H437" i="11" s="1"/>
  <c r="I437" i="11" a="1"/>
  <c r="I437" i="11"/>
  <c r="J437" i="11" a="1"/>
  <c r="J437" i="11" s="1"/>
  <c r="K437" i="11" a="1"/>
  <c r="K437" i="11" s="1"/>
  <c r="L437" i="11" a="1"/>
  <c r="L437" i="11" s="1"/>
  <c r="M437" i="11" a="1"/>
  <c r="M437" i="11" s="1"/>
  <c r="N437" i="11" a="1"/>
  <c r="N437" i="11" s="1"/>
  <c r="O437" i="11" a="1"/>
  <c r="O437" i="11"/>
  <c r="P437" i="11" a="1"/>
  <c r="P437" i="11" s="1"/>
  <c r="Q437" i="11" a="1"/>
  <c r="Q437" i="11" s="1"/>
  <c r="B438" i="11" a="1"/>
  <c r="B438" i="11" s="1"/>
  <c r="C438" i="11" a="1"/>
  <c r="C438" i="11" s="1"/>
  <c r="D438" i="11" a="1"/>
  <c r="D438" i="11" s="1"/>
  <c r="E438" i="11" a="1"/>
  <c r="E438" i="11"/>
  <c r="F438" i="11" a="1"/>
  <c r="F438" i="11" s="1"/>
  <c r="G438" i="11" a="1"/>
  <c r="G438" i="11" s="1"/>
  <c r="H438" i="11" a="1"/>
  <c r="H438" i="11" s="1"/>
  <c r="I438" i="11" a="1"/>
  <c r="I438" i="11" s="1"/>
  <c r="J438" i="11" a="1"/>
  <c r="J438" i="11" s="1"/>
  <c r="K438" i="11" a="1"/>
  <c r="K438" i="11"/>
  <c r="L438" i="11" a="1"/>
  <c r="L438" i="11" s="1"/>
  <c r="M438" i="11" a="1"/>
  <c r="M438" i="11" s="1"/>
  <c r="N438" i="11" a="1"/>
  <c r="N438" i="11" s="1"/>
  <c r="O438" i="11" a="1"/>
  <c r="O438" i="11" s="1"/>
  <c r="P438" i="11" a="1"/>
  <c r="P438" i="11" s="1"/>
  <c r="Q438" i="11" a="1"/>
  <c r="Q438" i="11"/>
  <c r="B439" i="11" a="1"/>
  <c r="B439" i="11" s="1"/>
  <c r="C439" i="11" a="1"/>
  <c r="C439" i="11" s="1"/>
  <c r="D439" i="11" a="1"/>
  <c r="D439" i="11" s="1"/>
  <c r="E439" i="11" a="1"/>
  <c r="E439" i="11" s="1"/>
  <c r="F439" i="11" a="1"/>
  <c r="F439" i="11" s="1"/>
  <c r="G439" i="11" a="1"/>
  <c r="G439" i="11"/>
  <c r="H439" i="11" a="1"/>
  <c r="H439" i="11" s="1"/>
  <c r="I439" i="11" a="1"/>
  <c r="I439" i="11" s="1"/>
  <c r="J439" i="11" a="1"/>
  <c r="J439" i="11" s="1"/>
  <c r="K439" i="11" a="1"/>
  <c r="K439" i="11" s="1"/>
  <c r="L439" i="11" a="1"/>
  <c r="L439" i="11" s="1"/>
  <c r="M439" i="11" a="1"/>
  <c r="M439" i="11"/>
  <c r="N439" i="11" a="1"/>
  <c r="N439" i="11" s="1"/>
  <c r="O439" i="11" a="1"/>
  <c r="O439" i="11" s="1"/>
  <c r="P439" i="11" a="1"/>
  <c r="P439" i="11" s="1"/>
  <c r="Q439" i="11" a="1"/>
  <c r="Q439" i="11" s="1"/>
  <c r="B440" i="11" a="1"/>
  <c r="B440" i="11" s="1"/>
  <c r="C440" i="11" a="1"/>
  <c r="C440" i="11"/>
  <c r="D440" i="11" a="1"/>
  <c r="D440" i="11" s="1"/>
  <c r="E440" i="11" a="1"/>
  <c r="E440" i="11" s="1"/>
  <c r="F440" i="11" a="1"/>
  <c r="F440" i="11" s="1"/>
  <c r="G440" i="11" a="1"/>
  <c r="G440" i="11" s="1"/>
  <c r="H440" i="11" a="1"/>
  <c r="H440" i="11" s="1"/>
  <c r="I440" i="11" a="1"/>
  <c r="I440" i="11"/>
  <c r="J440" i="11" a="1"/>
  <c r="J440" i="11" s="1"/>
  <c r="K440" i="11" a="1"/>
  <c r="K440" i="11" s="1"/>
  <c r="L440" i="11" a="1"/>
  <c r="L440" i="11" s="1"/>
  <c r="M440" i="11" a="1"/>
  <c r="M440" i="11" s="1"/>
  <c r="N440" i="11" a="1"/>
  <c r="N440" i="11" s="1"/>
  <c r="O440" i="11" a="1"/>
  <c r="O440" i="11"/>
  <c r="P440" i="11" a="1"/>
  <c r="P440" i="11" s="1"/>
  <c r="Q440" i="11" a="1"/>
  <c r="Q440" i="11" s="1"/>
  <c r="B441" i="11" a="1"/>
  <c r="B441" i="11" s="1"/>
  <c r="C441" i="11" a="1"/>
  <c r="C441" i="11" s="1"/>
  <c r="D441" i="11" a="1"/>
  <c r="D441" i="11" s="1"/>
  <c r="E441" i="11" a="1"/>
  <c r="E441" i="11"/>
  <c r="F441" i="11" a="1"/>
  <c r="F441" i="11" s="1"/>
  <c r="G441" i="11" a="1"/>
  <c r="G441" i="11" s="1"/>
  <c r="H441" i="11" a="1"/>
  <c r="H441" i="11" s="1"/>
  <c r="I441" i="11" a="1"/>
  <c r="I441" i="11" s="1"/>
  <c r="J441" i="11" a="1"/>
  <c r="J441" i="11" s="1"/>
  <c r="K441" i="11" a="1"/>
  <c r="K441" i="11"/>
  <c r="L441" i="11" a="1"/>
  <c r="L441" i="11" s="1"/>
  <c r="M441" i="11" a="1"/>
  <c r="M441" i="11" s="1"/>
  <c r="N441" i="11" a="1"/>
  <c r="N441" i="11" s="1"/>
  <c r="O441" i="11" a="1"/>
  <c r="O441" i="11" s="1"/>
  <c r="P441" i="11" a="1"/>
  <c r="P441" i="11" s="1"/>
  <c r="Q441" i="11" a="1"/>
  <c r="Q441" i="11"/>
  <c r="B442" i="11" a="1"/>
  <c r="B442" i="11" s="1"/>
  <c r="C442" i="11" a="1"/>
  <c r="C442" i="11" s="1"/>
  <c r="D442" i="11" a="1"/>
  <c r="D442" i="11" s="1"/>
  <c r="E442" i="11" a="1"/>
  <c r="E442" i="11" s="1"/>
  <c r="F442" i="11" a="1"/>
  <c r="F442" i="11" s="1"/>
  <c r="G442" i="11" a="1"/>
  <c r="G442" i="11"/>
  <c r="H442" i="11" a="1"/>
  <c r="H442" i="11" s="1"/>
  <c r="I442" i="11" a="1"/>
  <c r="I442" i="11" s="1"/>
  <c r="J442" i="11" a="1"/>
  <c r="J442" i="11" s="1"/>
  <c r="K442" i="11" a="1"/>
  <c r="K442" i="11" s="1"/>
  <c r="L442" i="11" a="1"/>
  <c r="L442" i="11" s="1"/>
  <c r="M442" i="11" a="1"/>
  <c r="M442" i="11"/>
  <c r="N442" i="11" a="1"/>
  <c r="N442" i="11" s="1"/>
  <c r="O442" i="11" a="1"/>
  <c r="O442" i="11" s="1"/>
  <c r="P442" i="11" a="1"/>
  <c r="P442" i="11" s="1"/>
  <c r="Q442" i="11" a="1"/>
  <c r="Q442" i="11" s="1"/>
  <c r="B443" i="11" a="1"/>
  <c r="B443" i="11" s="1"/>
  <c r="C443" i="11" a="1"/>
  <c r="C443" i="11"/>
  <c r="D443" i="11" a="1"/>
  <c r="D443" i="11" s="1"/>
  <c r="E443" i="11" a="1"/>
  <c r="E443" i="11" s="1"/>
  <c r="F443" i="11" a="1"/>
  <c r="F443" i="11" s="1"/>
  <c r="G443" i="11" a="1"/>
  <c r="G443" i="11" s="1"/>
  <c r="H443" i="11" a="1"/>
  <c r="H443" i="11" s="1"/>
  <c r="I443" i="11" a="1"/>
  <c r="I443" i="11"/>
  <c r="J443" i="11" a="1"/>
  <c r="J443" i="11" s="1"/>
  <c r="K443" i="11" a="1"/>
  <c r="K443" i="11" s="1"/>
  <c r="L443" i="11" a="1"/>
  <c r="L443" i="11" s="1"/>
  <c r="M443" i="11" a="1"/>
  <c r="M443" i="11" s="1"/>
  <c r="N443" i="11" a="1"/>
  <c r="N443" i="11" s="1"/>
  <c r="O443" i="11" a="1"/>
  <c r="O443" i="11"/>
  <c r="P443" i="11" a="1"/>
  <c r="P443" i="11" s="1"/>
  <c r="Q443" i="11" a="1"/>
  <c r="Q443" i="11" s="1"/>
  <c r="B444" i="11" a="1"/>
  <c r="B444" i="11" s="1"/>
  <c r="C444" i="11" a="1"/>
  <c r="C444" i="11" s="1"/>
  <c r="D444" i="11" a="1"/>
  <c r="D444" i="11" s="1"/>
  <c r="E444" i="11" a="1"/>
  <c r="E444" i="11"/>
  <c r="F444" i="11" a="1"/>
  <c r="F444" i="11" s="1"/>
  <c r="G444" i="11" a="1"/>
  <c r="G444" i="11" s="1"/>
  <c r="H444" i="11" a="1"/>
  <c r="H444" i="11" s="1"/>
  <c r="I444" i="11" a="1"/>
  <c r="I444" i="11" s="1"/>
  <c r="J444" i="11" a="1"/>
  <c r="J444" i="11" s="1"/>
  <c r="K444" i="11" a="1"/>
  <c r="K444" i="11"/>
  <c r="L444" i="11" a="1"/>
  <c r="L444" i="11" s="1"/>
  <c r="M444" i="11" a="1"/>
  <c r="M444" i="11" s="1"/>
  <c r="N444" i="11" a="1"/>
  <c r="N444" i="11" s="1"/>
  <c r="O444" i="11" a="1"/>
  <c r="O444" i="11" s="1"/>
  <c r="P444" i="11" a="1"/>
  <c r="P444" i="11" s="1"/>
  <c r="Q444" i="11" a="1"/>
  <c r="Q444" i="11"/>
  <c r="B445" i="11" a="1"/>
  <c r="B445" i="11" s="1"/>
  <c r="C445" i="11" a="1"/>
  <c r="C445" i="11" s="1"/>
  <c r="D445" i="11" a="1"/>
  <c r="D445" i="11" s="1"/>
  <c r="E445" i="11" a="1"/>
  <c r="E445" i="11" s="1"/>
  <c r="F445" i="11" a="1"/>
  <c r="F445" i="11" s="1"/>
  <c r="G445" i="11" a="1"/>
  <c r="G445" i="11"/>
  <c r="H445" i="11" a="1"/>
  <c r="H445" i="11" s="1"/>
  <c r="I445" i="11" a="1"/>
  <c r="I445" i="11" s="1"/>
  <c r="J445" i="11" a="1"/>
  <c r="J445" i="11" s="1"/>
  <c r="K445" i="11" a="1"/>
  <c r="K445" i="11" s="1"/>
  <c r="L445" i="11" a="1"/>
  <c r="L445" i="11" s="1"/>
  <c r="M445" i="11" a="1"/>
  <c r="M445" i="11"/>
  <c r="N445" i="11" a="1"/>
  <c r="N445" i="11" s="1"/>
  <c r="O445" i="11" a="1"/>
  <c r="O445" i="11" s="1"/>
  <c r="P445" i="11" a="1"/>
  <c r="P445" i="11" s="1"/>
  <c r="Q445" i="11" a="1"/>
  <c r="Q445" i="11" s="1"/>
  <c r="B446" i="11" a="1"/>
  <c r="B446" i="11" s="1"/>
  <c r="C446" i="11" a="1"/>
  <c r="C446" i="11"/>
  <c r="D446" i="11" a="1"/>
  <c r="D446" i="11" s="1"/>
  <c r="E446" i="11" a="1"/>
  <c r="E446" i="11" s="1"/>
  <c r="F446" i="11" a="1"/>
  <c r="F446" i="11" s="1"/>
  <c r="G446" i="11" a="1"/>
  <c r="G446" i="11" s="1"/>
  <c r="H446" i="11" a="1"/>
  <c r="H446" i="11" s="1"/>
  <c r="I446" i="11" a="1"/>
  <c r="I446" i="11"/>
  <c r="J446" i="11" a="1"/>
  <c r="J446" i="11" s="1"/>
  <c r="K446" i="11" a="1"/>
  <c r="K446" i="11" s="1"/>
  <c r="L446" i="11" a="1"/>
  <c r="L446" i="11" s="1"/>
  <c r="M446" i="11" a="1"/>
  <c r="M446" i="11" s="1"/>
  <c r="N446" i="11" a="1"/>
  <c r="N446" i="11" s="1"/>
  <c r="O446" i="11" a="1"/>
  <c r="O446" i="11"/>
  <c r="P446" i="11" a="1"/>
  <c r="P446" i="11" s="1"/>
  <c r="Q446" i="11" a="1"/>
  <c r="Q446" i="11" s="1"/>
  <c r="B447" i="11" a="1"/>
  <c r="B447" i="11" s="1"/>
  <c r="C447" i="11" a="1"/>
  <c r="C447" i="11" s="1"/>
  <c r="D447" i="11" a="1"/>
  <c r="D447" i="11" s="1"/>
  <c r="E447" i="11" a="1"/>
  <c r="E447" i="11"/>
  <c r="F447" i="11" a="1"/>
  <c r="F447" i="11" s="1"/>
  <c r="G447" i="11" a="1"/>
  <c r="G447" i="11" s="1"/>
  <c r="H447" i="11" a="1"/>
  <c r="H447" i="11" s="1"/>
  <c r="I447" i="11" a="1"/>
  <c r="I447" i="11" s="1"/>
  <c r="J447" i="11" a="1"/>
  <c r="J447" i="11" s="1"/>
  <c r="K447" i="11" a="1"/>
  <c r="K447" i="11"/>
  <c r="L447" i="11" a="1"/>
  <c r="L447" i="11" s="1"/>
  <c r="M447" i="11" a="1"/>
  <c r="M447" i="11" s="1"/>
  <c r="N447" i="11" a="1"/>
  <c r="N447" i="11" s="1"/>
  <c r="O447" i="11" a="1"/>
  <c r="O447" i="11" s="1"/>
  <c r="P447" i="11" a="1"/>
  <c r="P447" i="11" s="1"/>
  <c r="Q447" i="11" a="1"/>
  <c r="Q447" i="11"/>
  <c r="B448" i="11" a="1"/>
  <c r="B448" i="11" s="1"/>
  <c r="C448" i="11" a="1"/>
  <c r="C448" i="11" s="1"/>
  <c r="D448" i="11" a="1"/>
  <c r="D448" i="11" s="1"/>
  <c r="E448" i="11" a="1"/>
  <c r="E448" i="11" s="1"/>
  <c r="F448" i="11" a="1"/>
  <c r="F448" i="11" s="1"/>
  <c r="G448" i="11" a="1"/>
  <c r="G448" i="11"/>
  <c r="H448" i="11" a="1"/>
  <c r="H448" i="11" s="1"/>
  <c r="I448" i="11" a="1"/>
  <c r="I448" i="11" s="1"/>
  <c r="J448" i="11" a="1"/>
  <c r="J448" i="11" s="1"/>
  <c r="K448" i="11" a="1"/>
  <c r="K448" i="11" s="1"/>
  <c r="L448" i="11" a="1"/>
  <c r="L448" i="11" s="1"/>
  <c r="M448" i="11" a="1"/>
  <c r="M448" i="11"/>
  <c r="N448" i="11" a="1"/>
  <c r="N448" i="11" s="1"/>
  <c r="O448" i="11" a="1"/>
  <c r="O448" i="11" s="1"/>
  <c r="P448" i="11" a="1"/>
  <c r="P448" i="11" s="1"/>
  <c r="Q448" i="11" a="1"/>
  <c r="Q448" i="11" s="1"/>
  <c r="B449" i="11" a="1"/>
  <c r="B449" i="11" s="1"/>
  <c r="C449" i="11" a="1"/>
  <c r="C449" i="11"/>
  <c r="D449" i="11" a="1"/>
  <c r="D449" i="11" s="1"/>
  <c r="E449" i="11" a="1"/>
  <c r="E449" i="11" s="1"/>
  <c r="F449" i="11" a="1"/>
  <c r="F449" i="11" s="1"/>
  <c r="G449" i="11" a="1"/>
  <c r="G449" i="11" s="1"/>
  <c r="H449" i="11" a="1"/>
  <c r="H449" i="11" s="1"/>
  <c r="I449" i="11" a="1"/>
  <c r="I449" i="11"/>
  <c r="J449" i="11" a="1"/>
  <c r="J449" i="11" s="1"/>
  <c r="K449" i="11" a="1"/>
  <c r="K449" i="11" s="1"/>
  <c r="L449" i="11" a="1"/>
  <c r="L449" i="11" s="1"/>
  <c r="M449" i="11" a="1"/>
  <c r="M449" i="11" s="1"/>
  <c r="N449" i="11" a="1"/>
  <c r="N449" i="11" s="1"/>
  <c r="O449" i="11" a="1"/>
  <c r="O449" i="11"/>
  <c r="P449" i="11" a="1"/>
  <c r="P449" i="11" s="1"/>
  <c r="Q449" i="11" a="1"/>
  <c r="Q449" i="11" s="1"/>
  <c r="B450" i="11" a="1"/>
  <c r="B450" i="11" s="1"/>
  <c r="C450" i="11" a="1"/>
  <c r="C450" i="11" s="1"/>
  <c r="D450" i="11" a="1"/>
  <c r="D450" i="11" s="1"/>
  <c r="E450" i="11" a="1"/>
  <c r="E450" i="11"/>
  <c r="F450" i="11" a="1"/>
  <c r="F450" i="11" s="1"/>
  <c r="G450" i="11" a="1"/>
  <c r="G450" i="11" s="1"/>
  <c r="H450" i="11" a="1"/>
  <c r="H450" i="11" s="1"/>
  <c r="I450" i="11" a="1"/>
  <c r="I450" i="11" s="1"/>
  <c r="J450" i="11" a="1"/>
  <c r="J450" i="11" s="1"/>
  <c r="K450" i="11" a="1"/>
  <c r="K450" i="11"/>
  <c r="L450" i="11" a="1"/>
  <c r="L450" i="11" s="1"/>
  <c r="M450" i="11" a="1"/>
  <c r="M450" i="11" s="1"/>
  <c r="N450" i="11" a="1"/>
  <c r="N450" i="11" s="1"/>
  <c r="O450" i="11" a="1"/>
  <c r="O450" i="11" s="1"/>
  <c r="P450" i="11" a="1"/>
  <c r="P450" i="11" s="1"/>
  <c r="Q450" i="11" a="1"/>
  <c r="Q450" i="11"/>
  <c r="B451" i="11" a="1"/>
  <c r="B451" i="11" s="1"/>
  <c r="C451" i="11" a="1"/>
  <c r="C451" i="11" s="1"/>
  <c r="D451" i="11" a="1"/>
  <c r="D451" i="11" s="1"/>
  <c r="E451" i="11" a="1"/>
  <c r="E451" i="11" s="1"/>
  <c r="F451" i="11" a="1"/>
  <c r="F451" i="11" s="1"/>
  <c r="G451" i="11" a="1"/>
  <c r="G451" i="11"/>
  <c r="H451" i="11" a="1"/>
  <c r="H451" i="11" s="1"/>
  <c r="I451" i="11" a="1"/>
  <c r="I451" i="11" s="1"/>
  <c r="J451" i="11" a="1"/>
  <c r="J451" i="11" s="1"/>
  <c r="K451" i="11" a="1"/>
  <c r="K451" i="11" s="1"/>
  <c r="L451" i="11" a="1"/>
  <c r="L451" i="11" s="1"/>
  <c r="M451" i="11" a="1"/>
  <c r="M451" i="11"/>
  <c r="N451" i="11" a="1"/>
  <c r="N451" i="11" s="1"/>
  <c r="O451" i="11" a="1"/>
  <c r="O451" i="11" s="1"/>
  <c r="P451" i="11" a="1"/>
  <c r="P451" i="11" s="1"/>
  <c r="Q451" i="11" a="1"/>
  <c r="Q451" i="11" s="1"/>
  <c r="B452" i="11" a="1"/>
  <c r="B452" i="11" s="1"/>
  <c r="C452" i="11" a="1"/>
  <c r="C452" i="11"/>
  <c r="D452" i="11" a="1"/>
  <c r="D452" i="11" s="1"/>
  <c r="E452" i="11" a="1"/>
  <c r="E452" i="11" s="1"/>
  <c r="F452" i="11" a="1"/>
  <c r="F452" i="11" s="1"/>
  <c r="G452" i="11" a="1"/>
  <c r="G452" i="11" s="1"/>
  <c r="H452" i="11" a="1"/>
  <c r="H452" i="11" s="1"/>
  <c r="I452" i="11" a="1"/>
  <c r="I452" i="11"/>
  <c r="J452" i="11" a="1"/>
  <c r="J452" i="11" s="1"/>
  <c r="K452" i="11" a="1"/>
  <c r="K452" i="11" s="1"/>
  <c r="L452" i="11" a="1"/>
  <c r="L452" i="11" s="1"/>
  <c r="M452" i="11" a="1"/>
  <c r="M452" i="11" s="1"/>
  <c r="N452" i="11" a="1"/>
  <c r="N452" i="11" s="1"/>
  <c r="O452" i="11" a="1"/>
  <c r="O452" i="11"/>
  <c r="P452" i="11" a="1"/>
  <c r="P452" i="11" s="1"/>
  <c r="Q452" i="11" a="1"/>
  <c r="Q452" i="11" s="1"/>
  <c r="B453" i="11" a="1"/>
  <c r="B453" i="11" s="1"/>
  <c r="C453" i="11" a="1"/>
  <c r="C453" i="11" s="1"/>
  <c r="D453" i="11" a="1"/>
  <c r="D453" i="11" s="1"/>
  <c r="E453" i="11" a="1"/>
  <c r="E453" i="11"/>
  <c r="F453" i="11" a="1"/>
  <c r="F453" i="11" s="1"/>
  <c r="G453" i="11" a="1"/>
  <c r="G453" i="11" s="1"/>
  <c r="H453" i="11" a="1"/>
  <c r="H453" i="11" s="1"/>
  <c r="I453" i="11" a="1"/>
  <c r="I453" i="11" s="1"/>
  <c r="J453" i="11" a="1"/>
  <c r="J453" i="11" s="1"/>
  <c r="K453" i="11" a="1"/>
  <c r="K453" i="11"/>
  <c r="L453" i="11" a="1"/>
  <c r="L453" i="11" s="1"/>
  <c r="M453" i="11" a="1"/>
  <c r="M453" i="11" s="1"/>
  <c r="N453" i="11" a="1"/>
  <c r="N453" i="11" s="1"/>
  <c r="O453" i="11" a="1"/>
  <c r="O453" i="11" s="1"/>
  <c r="P453" i="11" a="1"/>
  <c r="P453" i="11" s="1"/>
  <c r="Q453" i="11" a="1"/>
  <c r="Q453" i="11"/>
  <c r="C3" i="11" a="1"/>
  <c r="C3" i="11" s="1"/>
  <c r="D3" i="11" a="1"/>
  <c r="D3" i="11" s="1"/>
  <c r="E3" i="11" a="1"/>
  <c r="E3" i="11" s="1"/>
  <c r="F3" i="11" a="1"/>
  <c r="F3" i="11" s="1"/>
  <c r="G3" i="11" a="1"/>
  <c r="G3" i="11" s="1"/>
  <c r="H3" i="11" a="1"/>
  <c r="H3" i="11"/>
  <c r="I3" i="11" a="1"/>
  <c r="I3" i="11" s="1"/>
  <c r="J3" i="11" a="1"/>
  <c r="J3" i="11" s="1"/>
  <c r="K3" i="11" a="1"/>
  <c r="K3" i="11" s="1"/>
  <c r="L3" i="11" a="1"/>
  <c r="L3" i="11" s="1"/>
  <c r="M3" i="11" a="1"/>
  <c r="M3" i="11" s="1"/>
  <c r="N3" i="11" a="1"/>
  <c r="N3" i="11"/>
  <c r="O3" i="11" a="1"/>
  <c r="O3" i="11" s="1"/>
  <c r="P3" i="11" a="1"/>
  <c r="P3" i="11" s="1"/>
  <c r="Q3" i="11" a="1"/>
  <c r="Q3" i="11" s="1"/>
  <c r="B3" i="11" a="1"/>
  <c r="B3" i="11" s="1"/>
  <c r="B4" i="7" a="1"/>
  <c r="B4" i="7" s="1"/>
  <c r="C4" i="7" a="1"/>
  <c r="C4" i="7" s="1"/>
  <c r="D4" i="7" a="1"/>
  <c r="D4" i="7" s="1"/>
  <c r="E4" i="7" a="1"/>
  <c r="E4" i="7" s="1"/>
  <c r="F4" i="7" a="1"/>
  <c r="F4" i="7" s="1"/>
  <c r="G4" i="7" a="1"/>
  <c r="G4" i="7" s="1"/>
  <c r="H4" i="7" a="1"/>
  <c r="H4" i="7" s="1"/>
  <c r="I4" i="7" a="1"/>
  <c r="I4" i="7" s="1"/>
  <c r="J4" i="7" a="1"/>
  <c r="J4" i="7" s="1"/>
  <c r="B5" i="7" a="1"/>
  <c r="B5" i="7" s="1"/>
  <c r="C5" i="7" a="1"/>
  <c r="C5" i="7" s="1"/>
  <c r="D5" i="7" a="1"/>
  <c r="D5" i="7" s="1"/>
  <c r="E5" i="7" a="1"/>
  <c r="E5" i="7" s="1"/>
  <c r="F5" i="7" a="1"/>
  <c r="F5" i="7" s="1"/>
  <c r="G5" i="7" a="1"/>
  <c r="G5" i="7" s="1"/>
  <c r="H5" i="7" a="1"/>
  <c r="H5" i="7" s="1"/>
  <c r="I5" i="7" a="1"/>
  <c r="I5" i="7" s="1"/>
  <c r="J5" i="7" a="1"/>
  <c r="J5" i="7" s="1"/>
  <c r="B6" i="7" a="1"/>
  <c r="B6" i="7" s="1"/>
  <c r="C6" i="7" a="1"/>
  <c r="C6" i="7" s="1"/>
  <c r="D6" i="7" a="1"/>
  <c r="D6" i="7" s="1"/>
  <c r="E6" i="7" a="1"/>
  <c r="E6" i="7" s="1"/>
  <c r="F6" i="7" a="1"/>
  <c r="F6" i="7"/>
  <c r="G6" i="7" a="1"/>
  <c r="G6" i="7" s="1"/>
  <c r="H6" i="7" a="1"/>
  <c r="H6" i="7" s="1"/>
  <c r="I6" i="7" a="1"/>
  <c r="I6" i="7" s="1"/>
  <c r="J6" i="7" a="1"/>
  <c r="J6" i="7" s="1"/>
  <c r="B7" i="7" a="1"/>
  <c r="B7" i="7" s="1"/>
  <c r="C7" i="7" a="1"/>
  <c r="C7" i="7" s="1"/>
  <c r="D7" i="7" a="1"/>
  <c r="D7" i="7" s="1"/>
  <c r="E7" i="7" a="1"/>
  <c r="E7" i="7" s="1"/>
  <c r="F7" i="7" a="1"/>
  <c r="F7" i="7" s="1"/>
  <c r="G7" i="7" a="1"/>
  <c r="G7" i="7" s="1"/>
  <c r="H7" i="7" a="1"/>
  <c r="H7" i="7" s="1"/>
  <c r="I7" i="7" a="1"/>
  <c r="I7" i="7" s="1"/>
  <c r="J7" i="7" a="1"/>
  <c r="J7" i="7" s="1"/>
  <c r="B8" i="7" a="1"/>
  <c r="B8" i="7" s="1"/>
  <c r="C8" i="7" a="1"/>
  <c r="C8" i="7" s="1"/>
  <c r="D8" i="7" a="1"/>
  <c r="D8" i="7" s="1"/>
  <c r="E8" i="7" a="1"/>
  <c r="E8" i="7" s="1"/>
  <c r="F8" i="7" a="1"/>
  <c r="F8" i="7" s="1"/>
  <c r="G8" i="7" a="1"/>
  <c r="G8" i="7" s="1"/>
  <c r="H8" i="7" a="1"/>
  <c r="H8" i="7" s="1"/>
  <c r="I8" i="7" a="1"/>
  <c r="I8" i="7" s="1"/>
  <c r="J8" i="7" a="1"/>
  <c r="J8" i="7" s="1"/>
  <c r="B9" i="7" a="1"/>
  <c r="B9" i="7" s="1"/>
  <c r="C9" i="7" a="1"/>
  <c r="C9" i="7"/>
  <c r="D9" i="7" a="1"/>
  <c r="D9" i="7" s="1"/>
  <c r="E9" i="7" a="1"/>
  <c r="E9" i="7" s="1"/>
  <c r="F9" i="7" a="1"/>
  <c r="F9" i="7" s="1"/>
  <c r="G9" i="7" a="1"/>
  <c r="G9" i="7" s="1"/>
  <c r="H9" i="7" a="1"/>
  <c r="H9" i="7" s="1"/>
  <c r="I9" i="7" a="1"/>
  <c r="I9" i="7"/>
  <c r="J9" i="7" a="1"/>
  <c r="J9" i="7" s="1"/>
  <c r="B10" i="7" a="1"/>
  <c r="B10" i="7" s="1"/>
  <c r="C10" i="7" a="1"/>
  <c r="C10" i="7" s="1"/>
  <c r="D10" i="7" a="1"/>
  <c r="D10" i="7" s="1"/>
  <c r="E10" i="7" a="1"/>
  <c r="E10" i="7" s="1"/>
  <c r="F10" i="7" a="1"/>
  <c r="F10" i="7"/>
  <c r="G10" i="7" a="1"/>
  <c r="G10" i="7" s="1"/>
  <c r="H10" i="7" a="1"/>
  <c r="H10" i="7" s="1"/>
  <c r="I10" i="7" a="1"/>
  <c r="I10" i="7" s="1"/>
  <c r="J10" i="7" a="1"/>
  <c r="J10" i="7" s="1"/>
  <c r="B11" i="7" a="1"/>
  <c r="B11" i="7" s="1"/>
  <c r="C11" i="7" a="1"/>
  <c r="C11" i="7" s="1"/>
  <c r="D11" i="7" a="1"/>
  <c r="D11" i="7" s="1"/>
  <c r="E11" i="7" a="1"/>
  <c r="E11" i="7" s="1"/>
  <c r="F11" i="7" a="1"/>
  <c r="F11" i="7" s="1"/>
  <c r="G11" i="7" a="1"/>
  <c r="G11" i="7" s="1"/>
  <c r="H11" i="7" a="1"/>
  <c r="H11" i="7" s="1"/>
  <c r="I11" i="7" a="1"/>
  <c r="I11" i="7"/>
  <c r="J11" i="7" a="1"/>
  <c r="J11" i="7" s="1"/>
  <c r="B12" i="7" a="1"/>
  <c r="B12" i="7" s="1"/>
  <c r="C12" i="7" a="1"/>
  <c r="C12" i="7" s="1"/>
  <c r="D12" i="7" a="1"/>
  <c r="D12" i="7" s="1"/>
  <c r="E12" i="7" a="1"/>
  <c r="E12" i="7" s="1"/>
  <c r="F12" i="7" a="1"/>
  <c r="F12" i="7"/>
  <c r="G12" i="7" a="1"/>
  <c r="G12" i="7" s="1"/>
  <c r="H12" i="7" a="1"/>
  <c r="H12" i="7" s="1"/>
  <c r="I12" i="7" a="1"/>
  <c r="I12" i="7" s="1"/>
  <c r="J12" i="7" a="1"/>
  <c r="J12" i="7" s="1"/>
  <c r="B13" i="7" a="1"/>
  <c r="B13" i="7" s="1"/>
  <c r="C13" i="7" a="1"/>
  <c r="C13" i="7" s="1"/>
  <c r="D13" i="7" a="1"/>
  <c r="D13" i="7" s="1"/>
  <c r="E13" i="7" a="1"/>
  <c r="E13" i="7" s="1"/>
  <c r="F13" i="7" a="1"/>
  <c r="F13" i="7" s="1"/>
  <c r="G13" i="7" a="1"/>
  <c r="G13" i="7" s="1"/>
  <c r="H13" i="7" a="1"/>
  <c r="H13" i="7" s="1"/>
  <c r="I13" i="7" a="1"/>
  <c r="I13" i="7" s="1"/>
  <c r="J13" i="7" a="1"/>
  <c r="J13" i="7" s="1"/>
  <c r="B14" i="7" a="1"/>
  <c r="B14" i="7" s="1"/>
  <c r="C14" i="7" a="1"/>
  <c r="C14" i="7" s="1"/>
  <c r="D14" i="7" a="1"/>
  <c r="D14" i="7" s="1"/>
  <c r="E14" i="7" a="1"/>
  <c r="E14" i="7" s="1"/>
  <c r="F14" i="7" a="1"/>
  <c r="F14" i="7"/>
  <c r="G14" i="7" a="1"/>
  <c r="G14" i="7" s="1"/>
  <c r="H14" i="7" a="1"/>
  <c r="H14" i="7" s="1"/>
  <c r="I14" i="7" a="1"/>
  <c r="I14" i="7" s="1"/>
  <c r="J14" i="7" a="1"/>
  <c r="J14" i="7" s="1"/>
  <c r="B15" i="7" a="1"/>
  <c r="B15" i="7" s="1"/>
  <c r="C15" i="7" a="1"/>
  <c r="C15" i="7" s="1"/>
  <c r="D15" i="7" a="1"/>
  <c r="D15" i="7" s="1"/>
  <c r="E15" i="7" a="1"/>
  <c r="E15" i="7" s="1"/>
  <c r="F15" i="7" a="1"/>
  <c r="F15" i="7" s="1"/>
  <c r="G15" i="7" a="1"/>
  <c r="G15" i="7" s="1"/>
  <c r="H15" i="7" a="1"/>
  <c r="H15" i="7" s="1"/>
  <c r="I15" i="7" a="1"/>
  <c r="I15" i="7" s="1"/>
  <c r="J15" i="7" a="1"/>
  <c r="J15" i="7" s="1"/>
  <c r="B16" i="7" a="1"/>
  <c r="B16" i="7" s="1"/>
  <c r="C16" i="7" a="1"/>
  <c r="C16" i="7" s="1"/>
  <c r="D16" i="7" a="1"/>
  <c r="D16" i="7" s="1"/>
  <c r="E16" i="7" a="1"/>
  <c r="E16" i="7" s="1"/>
  <c r="F16" i="7" a="1"/>
  <c r="F16" i="7" s="1"/>
  <c r="G16" i="7" a="1"/>
  <c r="G16" i="7" s="1"/>
  <c r="H16" i="7" a="1"/>
  <c r="H16" i="7" s="1"/>
  <c r="I16" i="7" a="1"/>
  <c r="I16" i="7" s="1"/>
  <c r="J16" i="7" a="1"/>
  <c r="J16" i="7" s="1"/>
  <c r="B17" i="7" a="1"/>
  <c r="B17" i="7" s="1"/>
  <c r="C17" i="7" a="1"/>
  <c r="C17" i="7"/>
  <c r="D17" i="7" a="1"/>
  <c r="D17" i="7" s="1"/>
  <c r="E17" i="7" a="1"/>
  <c r="E17" i="7" s="1"/>
  <c r="F17" i="7" a="1"/>
  <c r="F17" i="7" s="1"/>
  <c r="G17" i="7" a="1"/>
  <c r="G17" i="7" s="1"/>
  <c r="H17" i="7" a="1"/>
  <c r="H17" i="7" s="1"/>
  <c r="I17" i="7" a="1"/>
  <c r="I17" i="7"/>
  <c r="J17" i="7" a="1"/>
  <c r="J17" i="7" s="1"/>
  <c r="B18" i="7" a="1"/>
  <c r="B18" i="7" s="1"/>
  <c r="C18" i="7" a="1"/>
  <c r="C18" i="7" s="1"/>
  <c r="D18" i="7" a="1"/>
  <c r="D18" i="7" s="1"/>
  <c r="E18" i="7" a="1"/>
  <c r="E18" i="7" s="1"/>
  <c r="F18" i="7" a="1"/>
  <c r="F18" i="7"/>
  <c r="G18" i="7" a="1"/>
  <c r="G18" i="7" s="1"/>
  <c r="H18" i="7" a="1"/>
  <c r="H18" i="7" s="1"/>
  <c r="I18" i="7" a="1"/>
  <c r="I18" i="7" s="1"/>
  <c r="J18" i="7" a="1"/>
  <c r="J18" i="7" s="1"/>
  <c r="B19" i="7" a="1"/>
  <c r="B19" i="7" s="1"/>
  <c r="C19" i="7" a="1"/>
  <c r="C19" i="7" s="1"/>
  <c r="D19" i="7" a="1"/>
  <c r="D19" i="7" s="1"/>
  <c r="E19" i="7" a="1"/>
  <c r="E19" i="7" s="1"/>
  <c r="F19" i="7" a="1"/>
  <c r="F19" i="7" s="1"/>
  <c r="G19" i="7" a="1"/>
  <c r="G19" i="7" s="1"/>
  <c r="H19" i="7" a="1"/>
  <c r="H19" i="7" s="1"/>
  <c r="I19" i="7" a="1"/>
  <c r="I19" i="7"/>
  <c r="J19" i="7" a="1"/>
  <c r="J19" i="7" s="1"/>
  <c r="B20" i="7" a="1"/>
  <c r="B20" i="7" s="1"/>
  <c r="C20" i="7" a="1"/>
  <c r="C20" i="7" s="1"/>
  <c r="D20" i="7" a="1"/>
  <c r="D20" i="7" s="1"/>
  <c r="E20" i="7" a="1"/>
  <c r="E20" i="7" s="1"/>
  <c r="F20" i="7" a="1"/>
  <c r="F20" i="7"/>
  <c r="G20" i="7" a="1"/>
  <c r="G20" i="7" s="1"/>
  <c r="H20" i="7" a="1"/>
  <c r="H20" i="7" s="1"/>
  <c r="I20" i="7" a="1"/>
  <c r="I20" i="7" s="1"/>
  <c r="J20" i="7" a="1"/>
  <c r="J20" i="7" s="1"/>
  <c r="B21" i="7" a="1"/>
  <c r="B21" i="7" s="1"/>
  <c r="C21" i="7" a="1"/>
  <c r="C21" i="7" s="1"/>
  <c r="D21" i="7" a="1"/>
  <c r="D21" i="7" s="1"/>
  <c r="E21" i="7" a="1"/>
  <c r="E21" i="7" s="1"/>
  <c r="F21" i="7" a="1"/>
  <c r="F21" i="7" s="1"/>
  <c r="G21" i="7" a="1"/>
  <c r="G21" i="7" s="1"/>
  <c r="H21" i="7" a="1"/>
  <c r="H21" i="7" s="1"/>
  <c r="I21" i="7" a="1"/>
  <c r="I21" i="7" s="1"/>
  <c r="J21" i="7" a="1"/>
  <c r="J21" i="7" s="1"/>
  <c r="B22" i="7" a="1"/>
  <c r="B22" i="7" s="1"/>
  <c r="C22" i="7" a="1"/>
  <c r="C22" i="7" s="1"/>
  <c r="D22" i="7" a="1"/>
  <c r="D22" i="7" s="1"/>
  <c r="E22" i="7" a="1"/>
  <c r="E22" i="7" s="1"/>
  <c r="F22" i="7" a="1"/>
  <c r="F22" i="7"/>
  <c r="G22" i="7" a="1"/>
  <c r="G22" i="7" s="1"/>
  <c r="H22" i="7" a="1"/>
  <c r="H22" i="7" s="1"/>
  <c r="I22" i="7" a="1"/>
  <c r="I22" i="7" s="1"/>
  <c r="J22" i="7" a="1"/>
  <c r="J22" i="7" s="1"/>
  <c r="B23" i="7" a="1"/>
  <c r="B23" i="7" s="1"/>
  <c r="C23" i="7" a="1"/>
  <c r="C23" i="7" s="1"/>
  <c r="D23" i="7" a="1"/>
  <c r="D23" i="7" s="1"/>
  <c r="E23" i="7" a="1"/>
  <c r="E23" i="7" s="1"/>
  <c r="F23" i="7" a="1"/>
  <c r="F23" i="7" s="1"/>
  <c r="G23" i="7" a="1"/>
  <c r="G23" i="7" s="1"/>
  <c r="H23" i="7" a="1"/>
  <c r="H23" i="7" s="1"/>
  <c r="I23" i="7" a="1"/>
  <c r="I23" i="7" s="1"/>
  <c r="J23" i="7" a="1"/>
  <c r="J23" i="7" s="1"/>
  <c r="B24" i="7" a="1"/>
  <c r="B24" i="7" s="1"/>
  <c r="C24" i="7" a="1"/>
  <c r="C24" i="7" s="1"/>
  <c r="D24" i="7" a="1"/>
  <c r="D24" i="7" s="1"/>
  <c r="E24" i="7" a="1"/>
  <c r="E24" i="7" s="1"/>
  <c r="F24" i="7" a="1"/>
  <c r="F24" i="7" s="1"/>
  <c r="G24" i="7" a="1"/>
  <c r="G24" i="7" s="1"/>
  <c r="H24" i="7" a="1"/>
  <c r="H24" i="7" s="1"/>
  <c r="I24" i="7" a="1"/>
  <c r="I24" i="7" s="1"/>
  <c r="J24" i="7" a="1"/>
  <c r="J24" i="7" s="1"/>
  <c r="B25" i="7" a="1"/>
  <c r="B25" i="7" s="1"/>
  <c r="C25" i="7" a="1"/>
  <c r="C25" i="7"/>
  <c r="D25" i="7" a="1"/>
  <c r="D25" i="7" s="1"/>
  <c r="E25" i="7" a="1"/>
  <c r="E25" i="7" s="1"/>
  <c r="F25" i="7" a="1"/>
  <c r="F25" i="7" s="1"/>
  <c r="G25" i="7" a="1"/>
  <c r="G25" i="7" s="1"/>
  <c r="H25" i="7" a="1"/>
  <c r="H25" i="7" s="1"/>
  <c r="I25" i="7" a="1"/>
  <c r="I25" i="7"/>
  <c r="J25" i="7" a="1"/>
  <c r="J25" i="7" s="1"/>
  <c r="B26" i="7" a="1"/>
  <c r="B26" i="7" s="1"/>
  <c r="C26" i="7" a="1"/>
  <c r="C26" i="7" s="1"/>
  <c r="D26" i="7" a="1"/>
  <c r="D26" i="7" s="1"/>
  <c r="E26" i="7" a="1"/>
  <c r="E26" i="7" s="1"/>
  <c r="F26" i="7" a="1"/>
  <c r="F26" i="7"/>
  <c r="G26" i="7" a="1"/>
  <c r="G26" i="7" s="1"/>
  <c r="H26" i="7" a="1"/>
  <c r="H26" i="7" s="1"/>
  <c r="I26" i="7" a="1"/>
  <c r="I26" i="7" s="1"/>
  <c r="J26" i="7" a="1"/>
  <c r="J26" i="7" s="1"/>
  <c r="B27" i="7" a="1"/>
  <c r="B27" i="7" s="1"/>
  <c r="C27" i="7" a="1"/>
  <c r="C27" i="7" s="1"/>
  <c r="D27" i="7" a="1"/>
  <c r="D27" i="7" s="1"/>
  <c r="E27" i="7" a="1"/>
  <c r="E27" i="7" s="1"/>
  <c r="F27" i="7" a="1"/>
  <c r="F27" i="7" s="1"/>
  <c r="G27" i="7" a="1"/>
  <c r="G27" i="7" s="1"/>
  <c r="H27" i="7" a="1"/>
  <c r="H27" i="7" s="1"/>
  <c r="I27" i="7" a="1"/>
  <c r="I27" i="7"/>
  <c r="J27" i="7" a="1"/>
  <c r="J27" i="7" s="1"/>
  <c r="B28" i="7" a="1"/>
  <c r="B28" i="7" s="1"/>
  <c r="C28" i="7" a="1"/>
  <c r="C28" i="7" s="1"/>
  <c r="D28" i="7" a="1"/>
  <c r="D28" i="7" s="1"/>
  <c r="E28" i="7" a="1"/>
  <c r="E28" i="7" s="1"/>
  <c r="F28" i="7" a="1"/>
  <c r="F28" i="7"/>
  <c r="G28" i="7" a="1"/>
  <c r="G28" i="7" s="1"/>
  <c r="H28" i="7" a="1"/>
  <c r="H28" i="7" s="1"/>
  <c r="I28" i="7" a="1"/>
  <c r="I28" i="7" s="1"/>
  <c r="J28" i="7" a="1"/>
  <c r="J28" i="7" s="1"/>
  <c r="B29" i="7" a="1"/>
  <c r="B29" i="7" s="1"/>
  <c r="C29" i="7" a="1"/>
  <c r="C29" i="7" s="1"/>
  <c r="D29" i="7" a="1"/>
  <c r="D29" i="7" s="1"/>
  <c r="E29" i="7" a="1"/>
  <c r="E29" i="7" s="1"/>
  <c r="F29" i="7" a="1"/>
  <c r="F29" i="7" s="1"/>
  <c r="G29" i="7" a="1"/>
  <c r="G29" i="7" s="1"/>
  <c r="H29" i="7" a="1"/>
  <c r="H29" i="7" s="1"/>
  <c r="I29" i="7" a="1"/>
  <c r="I29" i="7" s="1"/>
  <c r="J29" i="7" a="1"/>
  <c r="J29" i="7" s="1"/>
  <c r="B30" i="7" a="1"/>
  <c r="B30" i="7" s="1"/>
  <c r="C30" i="7" a="1"/>
  <c r="C30" i="7" s="1"/>
  <c r="D30" i="7" a="1"/>
  <c r="D30" i="7" s="1"/>
  <c r="E30" i="7" a="1"/>
  <c r="E30" i="7" s="1"/>
  <c r="F30" i="7" a="1"/>
  <c r="F30" i="7"/>
  <c r="G30" i="7" a="1"/>
  <c r="G30" i="7" s="1"/>
  <c r="H30" i="7" a="1"/>
  <c r="H30" i="7" s="1"/>
  <c r="I30" i="7" a="1"/>
  <c r="I30" i="7" s="1"/>
  <c r="J30" i="7" a="1"/>
  <c r="J30" i="7" s="1"/>
  <c r="B31" i="7" a="1"/>
  <c r="B31" i="7" s="1"/>
  <c r="C31" i="7" a="1"/>
  <c r="C31" i="7" s="1"/>
  <c r="D31" i="7" a="1"/>
  <c r="D31" i="7" s="1"/>
  <c r="E31" i="7" a="1"/>
  <c r="E31" i="7" s="1"/>
  <c r="F31" i="7" a="1"/>
  <c r="F31" i="7" s="1"/>
  <c r="G31" i="7" a="1"/>
  <c r="G31" i="7" s="1"/>
  <c r="H31" i="7" a="1"/>
  <c r="H31" i="7" s="1"/>
  <c r="I31" i="7" a="1"/>
  <c r="I31" i="7"/>
  <c r="J31" i="7" a="1"/>
  <c r="J31" i="7" s="1"/>
  <c r="B32" i="7" a="1"/>
  <c r="B32" i="7" s="1"/>
  <c r="C32" i="7" a="1"/>
  <c r="C32" i="7" s="1"/>
  <c r="D32" i="7" a="1"/>
  <c r="D32" i="7" s="1"/>
  <c r="E32" i="7" a="1"/>
  <c r="E32" i="7" s="1"/>
  <c r="F32" i="7" a="1"/>
  <c r="F32" i="7"/>
  <c r="G32" i="7" a="1"/>
  <c r="G32" i="7" s="1"/>
  <c r="H32" i="7" a="1"/>
  <c r="H32" i="7" s="1"/>
  <c r="I32" i="7" a="1"/>
  <c r="I32" i="7" s="1"/>
  <c r="J32" i="7" a="1"/>
  <c r="J32" i="7" s="1"/>
  <c r="B33" i="7" a="1"/>
  <c r="B33" i="7" s="1"/>
  <c r="C33" i="7" a="1"/>
  <c r="C33" i="7" s="1"/>
  <c r="D33" i="7" a="1"/>
  <c r="D33" i="7" s="1"/>
  <c r="E33" i="7" a="1"/>
  <c r="E33" i="7" s="1"/>
  <c r="F33" i="7" a="1"/>
  <c r="F33" i="7" s="1"/>
  <c r="G33" i="7" a="1"/>
  <c r="G33" i="7" s="1"/>
  <c r="H33" i="7" a="1"/>
  <c r="H33" i="7" s="1"/>
  <c r="I33" i="7" a="1"/>
  <c r="I33" i="7"/>
  <c r="J33" i="7" a="1"/>
  <c r="J33" i="7" s="1"/>
  <c r="B34" i="7" a="1"/>
  <c r="B34" i="7" s="1"/>
  <c r="C34" i="7" a="1"/>
  <c r="C34" i="7" s="1"/>
  <c r="D34" i="7" a="1"/>
  <c r="D34" i="7" s="1"/>
  <c r="E34" i="7" a="1"/>
  <c r="E34" i="7" s="1"/>
  <c r="F34" i="7" a="1"/>
  <c r="F34" i="7"/>
  <c r="G34" i="7" a="1"/>
  <c r="G34" i="7" s="1"/>
  <c r="H34" i="7" a="1"/>
  <c r="H34" i="7" s="1"/>
  <c r="I34" i="7" a="1"/>
  <c r="I34" i="7" s="1"/>
  <c r="J34" i="7" a="1"/>
  <c r="J34" i="7" s="1"/>
  <c r="B35" i="7" a="1"/>
  <c r="B35" i="7" s="1"/>
  <c r="C35" i="7" a="1"/>
  <c r="C35" i="7" s="1"/>
  <c r="D35" i="7" a="1"/>
  <c r="D35" i="7" s="1"/>
  <c r="E35" i="7" a="1"/>
  <c r="E35" i="7" s="1"/>
  <c r="F35" i="7" a="1"/>
  <c r="F35" i="7" s="1"/>
  <c r="G35" i="7" a="1"/>
  <c r="G35" i="7" s="1"/>
  <c r="H35" i="7" a="1"/>
  <c r="H35" i="7" s="1"/>
  <c r="I35" i="7" a="1"/>
  <c r="I35" i="7" s="1"/>
  <c r="J35" i="7" a="1"/>
  <c r="J35" i="7" s="1"/>
  <c r="B36" i="7" a="1"/>
  <c r="B36" i="7" s="1"/>
  <c r="C36" i="7" a="1"/>
  <c r="C36" i="7" s="1"/>
  <c r="D36" i="7" a="1"/>
  <c r="D36" i="7" s="1"/>
  <c r="E36" i="7" a="1"/>
  <c r="E36" i="7" s="1"/>
  <c r="F36" i="7" a="1"/>
  <c r="F36" i="7"/>
  <c r="G36" i="7" a="1"/>
  <c r="G36" i="7" s="1"/>
  <c r="H36" i="7" a="1"/>
  <c r="H36" i="7" s="1"/>
  <c r="I36" i="7" a="1"/>
  <c r="I36" i="7" s="1"/>
  <c r="J36" i="7" a="1"/>
  <c r="J36" i="7" s="1"/>
  <c r="B37" i="7" a="1"/>
  <c r="B37" i="7" s="1"/>
  <c r="C37" i="7" a="1"/>
  <c r="C37" i="7" s="1"/>
  <c r="D37" i="7" a="1"/>
  <c r="D37" i="7" s="1"/>
  <c r="E37" i="7" a="1"/>
  <c r="E37" i="7" s="1"/>
  <c r="F37" i="7" a="1"/>
  <c r="F37" i="7" s="1"/>
  <c r="G37" i="7" a="1"/>
  <c r="G37" i="7" s="1"/>
  <c r="H37" i="7" a="1"/>
  <c r="H37" i="7" s="1"/>
  <c r="I37" i="7" a="1"/>
  <c r="I37" i="7" s="1"/>
  <c r="J37" i="7" a="1"/>
  <c r="J37" i="7" s="1"/>
  <c r="B38" i="7" a="1"/>
  <c r="B38" i="7" s="1"/>
  <c r="C38" i="7" a="1"/>
  <c r="C38" i="7" s="1"/>
  <c r="D38" i="7" a="1"/>
  <c r="D38" i="7" s="1"/>
  <c r="E38" i="7" a="1"/>
  <c r="E38" i="7" s="1"/>
  <c r="F38" i="7" a="1"/>
  <c r="F38" i="7"/>
  <c r="G38" i="7" a="1"/>
  <c r="G38" i="7" s="1"/>
  <c r="H38" i="7" a="1"/>
  <c r="H38" i="7" s="1"/>
  <c r="I38" i="7" a="1"/>
  <c r="I38" i="7" s="1"/>
  <c r="J38" i="7" a="1"/>
  <c r="J38" i="7" s="1"/>
  <c r="B39" i="7" a="1"/>
  <c r="B39" i="7" s="1"/>
  <c r="C39" i="7" a="1"/>
  <c r="C39" i="7" s="1"/>
  <c r="D39" i="7" a="1"/>
  <c r="D39" i="7" s="1"/>
  <c r="E39" i="7" a="1"/>
  <c r="E39" i="7" s="1"/>
  <c r="F39" i="7" a="1"/>
  <c r="F39" i="7" s="1"/>
  <c r="G39" i="7" a="1"/>
  <c r="G39" i="7" s="1"/>
  <c r="H39" i="7" a="1"/>
  <c r="H39" i="7" s="1"/>
  <c r="I39" i="7" a="1"/>
  <c r="I39" i="7" s="1"/>
  <c r="J39" i="7" a="1"/>
  <c r="J39" i="7" s="1"/>
  <c r="B40" i="7" a="1"/>
  <c r="B40" i="7" s="1"/>
  <c r="C40" i="7" a="1"/>
  <c r="C40" i="7" s="1"/>
  <c r="D40" i="7" a="1"/>
  <c r="D40" i="7" s="1"/>
  <c r="E40" i="7" a="1"/>
  <c r="E40" i="7" s="1"/>
  <c r="F40" i="7" a="1"/>
  <c r="F40" i="7" s="1"/>
  <c r="G40" i="7" a="1"/>
  <c r="G40" i="7"/>
  <c r="H40" i="7" a="1"/>
  <c r="H40" i="7" s="1"/>
  <c r="I40" i="7" a="1"/>
  <c r="I40" i="7" s="1"/>
  <c r="J40" i="7" a="1"/>
  <c r="J40" i="7" s="1"/>
  <c r="B41" i="7" a="1"/>
  <c r="B41" i="7" s="1"/>
  <c r="C41" i="7" a="1"/>
  <c r="C41" i="7" s="1"/>
  <c r="D41" i="7" a="1"/>
  <c r="D41" i="7" s="1"/>
  <c r="E41" i="7" a="1"/>
  <c r="E41" i="7" s="1"/>
  <c r="F41" i="7" a="1"/>
  <c r="F41" i="7" s="1"/>
  <c r="G41" i="7" a="1"/>
  <c r="G41" i="7" s="1"/>
  <c r="H41" i="7" a="1"/>
  <c r="H41" i="7" s="1"/>
  <c r="I41" i="7" a="1"/>
  <c r="I41" i="7" s="1"/>
  <c r="J41" i="7" a="1"/>
  <c r="J41" i="7" s="1"/>
  <c r="B42" i="7" a="1"/>
  <c r="B42" i="7" s="1"/>
  <c r="C42" i="7" a="1"/>
  <c r="C42" i="7" s="1"/>
  <c r="D42" i="7" a="1"/>
  <c r="D42" i="7" s="1"/>
  <c r="E42" i="7" a="1"/>
  <c r="E42" i="7" s="1"/>
  <c r="F42" i="7" a="1"/>
  <c r="F42" i="7" s="1"/>
  <c r="G42" i="7" a="1"/>
  <c r="G42" i="7" s="1"/>
  <c r="H42" i="7" a="1"/>
  <c r="H42" i="7" s="1"/>
  <c r="I42" i="7" a="1"/>
  <c r="I42" i="7" s="1"/>
  <c r="J42" i="7" a="1"/>
  <c r="J42" i="7" s="1"/>
  <c r="B43" i="7" a="1"/>
  <c r="B43" i="7" s="1"/>
  <c r="C43" i="7" a="1"/>
  <c r="C43" i="7" s="1"/>
  <c r="D43" i="7" a="1"/>
  <c r="D43" i="7" s="1"/>
  <c r="E43" i="7" a="1"/>
  <c r="E43" i="7" s="1"/>
  <c r="F43" i="7" a="1"/>
  <c r="F43" i="7" s="1"/>
  <c r="G43" i="7" a="1"/>
  <c r="G43" i="7" s="1"/>
  <c r="H43" i="7" a="1"/>
  <c r="H43" i="7" s="1"/>
  <c r="I43" i="7" a="1"/>
  <c r="I43" i="7" s="1"/>
  <c r="J43" i="7" a="1"/>
  <c r="J43" i="7" s="1"/>
  <c r="B44" i="7" a="1"/>
  <c r="B44" i="7" s="1"/>
  <c r="C44" i="7" a="1"/>
  <c r="C44" i="7" s="1"/>
  <c r="D44" i="7" a="1"/>
  <c r="D44" i="7" s="1"/>
  <c r="E44" i="7" a="1"/>
  <c r="E44" i="7" s="1"/>
  <c r="F44" i="7" a="1"/>
  <c r="F44" i="7" s="1"/>
  <c r="G44" i="7" a="1"/>
  <c r="G44" i="7" s="1"/>
  <c r="H44" i="7" a="1"/>
  <c r="H44" i="7" s="1"/>
  <c r="I44" i="7" a="1"/>
  <c r="I44" i="7" s="1"/>
  <c r="J44" i="7" a="1"/>
  <c r="J44" i="7" s="1"/>
  <c r="B45" i="7" a="1"/>
  <c r="B45" i="7" s="1"/>
  <c r="C45" i="7" a="1"/>
  <c r="C45" i="7"/>
  <c r="D45" i="7" a="1"/>
  <c r="D45" i="7" s="1"/>
  <c r="E45" i="7" a="1"/>
  <c r="E45" i="7" s="1"/>
  <c r="F45" i="7" a="1"/>
  <c r="F45" i="7" s="1"/>
  <c r="G45" i="7" a="1"/>
  <c r="G45" i="7" s="1"/>
  <c r="H45" i="7" a="1"/>
  <c r="H45" i="7" s="1"/>
  <c r="I45" i="7" a="1"/>
  <c r="I45" i="7" s="1"/>
  <c r="J45" i="7" a="1"/>
  <c r="J45" i="7" s="1"/>
  <c r="B46" i="7" a="1"/>
  <c r="B46" i="7" s="1"/>
  <c r="C46" i="7" a="1"/>
  <c r="C46" i="7" s="1"/>
  <c r="D46" i="7" a="1"/>
  <c r="D46" i="7" s="1"/>
  <c r="E46" i="7" a="1"/>
  <c r="E46" i="7" s="1"/>
  <c r="F46" i="7" a="1"/>
  <c r="F46" i="7" s="1"/>
  <c r="G46" i="7" a="1"/>
  <c r="G46" i="7"/>
  <c r="H46" i="7" a="1"/>
  <c r="H46" i="7" s="1"/>
  <c r="I46" i="7" a="1"/>
  <c r="I46" i="7" s="1"/>
  <c r="J46" i="7" a="1"/>
  <c r="J46" i="7" s="1"/>
  <c r="B47" i="7" a="1"/>
  <c r="B47" i="7" s="1"/>
  <c r="C47" i="7" a="1"/>
  <c r="C47" i="7"/>
  <c r="D47" i="7" a="1"/>
  <c r="D47" i="7" s="1"/>
  <c r="E47" i="7" a="1"/>
  <c r="E47" i="7" s="1"/>
  <c r="F47" i="7" a="1"/>
  <c r="F47" i="7" s="1"/>
  <c r="G47" i="7" a="1"/>
  <c r="G47" i="7" s="1"/>
  <c r="H47" i="7" a="1"/>
  <c r="H47" i="7" s="1"/>
  <c r="I47" i="7" a="1"/>
  <c r="I47" i="7" s="1"/>
  <c r="J47" i="7" a="1"/>
  <c r="J47" i="7" s="1"/>
  <c r="B48" i="7" a="1"/>
  <c r="B48" i="7" s="1"/>
  <c r="C48" i="7" a="1"/>
  <c r="C48" i="7" s="1"/>
  <c r="D48" i="7" a="1"/>
  <c r="D48" i="7" s="1"/>
  <c r="E48" i="7" a="1"/>
  <c r="E48" i="7" s="1"/>
  <c r="F48" i="7" a="1"/>
  <c r="F48" i="7" s="1"/>
  <c r="G48" i="7" a="1"/>
  <c r="G48" i="7"/>
  <c r="H48" i="7" a="1"/>
  <c r="H48" i="7" s="1"/>
  <c r="I48" i="7" a="1"/>
  <c r="I48" i="7" s="1"/>
  <c r="J48" i="7" a="1"/>
  <c r="J48" i="7" s="1"/>
  <c r="B49" i="7" a="1"/>
  <c r="B49" i="7" s="1"/>
  <c r="C49" i="7" a="1"/>
  <c r="C49" i="7"/>
  <c r="D49" i="7" a="1"/>
  <c r="D49" i="7" s="1"/>
  <c r="E49" i="7" a="1"/>
  <c r="E49" i="7" s="1"/>
  <c r="F49" i="7" a="1"/>
  <c r="F49" i="7" s="1"/>
  <c r="G49" i="7" a="1"/>
  <c r="G49" i="7" s="1"/>
  <c r="H49" i="7" a="1"/>
  <c r="H49" i="7" s="1"/>
  <c r="I49" i="7" a="1"/>
  <c r="I49" i="7" s="1"/>
  <c r="J49" i="7" a="1"/>
  <c r="J49" i="7" s="1"/>
  <c r="B50" i="7" a="1"/>
  <c r="B50" i="7" s="1"/>
  <c r="C50" i="7" a="1"/>
  <c r="C50" i="7" s="1"/>
  <c r="D50" i="7" a="1"/>
  <c r="D50" i="7" s="1"/>
  <c r="E50" i="7" a="1"/>
  <c r="E50" i="7" s="1"/>
  <c r="F50" i="7" a="1"/>
  <c r="F50" i="7" s="1"/>
  <c r="G50" i="7" a="1"/>
  <c r="G50" i="7" s="1"/>
  <c r="H50" i="7" a="1"/>
  <c r="H50" i="7" s="1"/>
  <c r="I50" i="7" a="1"/>
  <c r="I50" i="7" s="1"/>
  <c r="J50" i="7" a="1"/>
  <c r="J50" i="7" s="1"/>
  <c r="B51" i="7" a="1"/>
  <c r="B51" i="7" s="1"/>
  <c r="C51" i="7" a="1"/>
  <c r="C51" i="7"/>
  <c r="D51" i="7" a="1"/>
  <c r="D51" i="7" s="1"/>
  <c r="E51" i="7" a="1"/>
  <c r="E51" i="7" s="1"/>
  <c r="F51" i="7" a="1"/>
  <c r="F51" i="7" s="1"/>
  <c r="G51" i="7" a="1"/>
  <c r="G51" i="7" s="1"/>
  <c r="H51" i="7" a="1"/>
  <c r="H51" i="7" s="1"/>
  <c r="I51" i="7" a="1"/>
  <c r="I51" i="7" s="1"/>
  <c r="J51" i="7" a="1"/>
  <c r="J51" i="7" s="1"/>
  <c r="B52" i="7" a="1"/>
  <c r="B52" i="7" s="1"/>
  <c r="C52" i="7" a="1"/>
  <c r="C52" i="7" s="1"/>
  <c r="D52" i="7" a="1"/>
  <c r="D52" i="7" s="1"/>
  <c r="E52" i="7" a="1"/>
  <c r="E52" i="7" s="1"/>
  <c r="F52" i="7" a="1"/>
  <c r="F52" i="7" s="1"/>
  <c r="G52" i="7" a="1"/>
  <c r="G52" i="7"/>
  <c r="H52" i="7" a="1"/>
  <c r="H52" i="7" s="1"/>
  <c r="I52" i="7" a="1"/>
  <c r="I52" i="7" s="1"/>
  <c r="J52" i="7" a="1"/>
  <c r="J52" i="7" s="1"/>
  <c r="B53" i="7" a="1"/>
  <c r="B53" i="7" s="1"/>
  <c r="C53" i="7" a="1"/>
  <c r="C53" i="7"/>
  <c r="D53" i="7" a="1"/>
  <c r="D53" i="7" s="1"/>
  <c r="E53" i="7" a="1"/>
  <c r="E53" i="7" s="1"/>
  <c r="F53" i="7" a="1"/>
  <c r="F53" i="7" s="1"/>
  <c r="G53" i="7" a="1"/>
  <c r="G53" i="7" s="1"/>
  <c r="H53" i="7" a="1"/>
  <c r="H53" i="7" s="1"/>
  <c r="I53" i="7" a="1"/>
  <c r="I53" i="7" s="1"/>
  <c r="J53" i="7" a="1"/>
  <c r="J53" i="7" s="1"/>
  <c r="B54" i="7" a="1"/>
  <c r="B54" i="7" s="1"/>
  <c r="C54" i="7" a="1"/>
  <c r="C54" i="7" s="1"/>
  <c r="D54" i="7" a="1"/>
  <c r="D54" i="7" s="1"/>
  <c r="E54" i="7" a="1"/>
  <c r="E54" i="7" s="1"/>
  <c r="F54" i="7" a="1"/>
  <c r="F54" i="7" s="1"/>
  <c r="G54" i="7" a="1"/>
  <c r="G54" i="7"/>
  <c r="H54" i="7" a="1"/>
  <c r="H54" i="7" s="1"/>
  <c r="I54" i="7" a="1"/>
  <c r="I54" i="7" s="1"/>
  <c r="J54" i="7" a="1"/>
  <c r="J54" i="7" s="1"/>
  <c r="B55" i="7" a="1"/>
  <c r="B55" i="7" s="1"/>
  <c r="C55" i="7" a="1"/>
  <c r="C55" i="7" s="1"/>
  <c r="D55" i="7" a="1"/>
  <c r="D55" i="7" s="1"/>
  <c r="E55" i="7" a="1"/>
  <c r="E55" i="7" s="1"/>
  <c r="F55" i="7" a="1"/>
  <c r="F55" i="7" s="1"/>
  <c r="G55" i="7" a="1"/>
  <c r="G55" i="7" s="1"/>
  <c r="H55" i="7" a="1"/>
  <c r="H55" i="7" s="1"/>
  <c r="I55" i="7" a="1"/>
  <c r="I55" i="7" s="1"/>
  <c r="J55" i="7" a="1"/>
  <c r="J55" i="7" s="1"/>
  <c r="B56" i="7" a="1"/>
  <c r="B56" i="7" s="1"/>
  <c r="C56" i="7" a="1"/>
  <c r="C56" i="7" s="1"/>
  <c r="D56" i="7" a="1"/>
  <c r="D56" i="7" s="1"/>
  <c r="E56" i="7" a="1"/>
  <c r="E56" i="7" s="1"/>
  <c r="F56" i="7" a="1"/>
  <c r="F56" i="7" s="1"/>
  <c r="G56" i="7" a="1"/>
  <c r="G56" i="7" s="1"/>
  <c r="H56" i="7" a="1"/>
  <c r="H56" i="7" s="1"/>
  <c r="I56" i="7" a="1"/>
  <c r="I56" i="7" s="1"/>
  <c r="J56" i="7" a="1"/>
  <c r="J56" i="7" s="1"/>
  <c r="B57" i="7" a="1"/>
  <c r="B57" i="7" s="1"/>
  <c r="C57" i="7" a="1"/>
  <c r="C57" i="7"/>
  <c r="D57" i="7" a="1"/>
  <c r="D57" i="7" s="1"/>
  <c r="E57" i="7" a="1"/>
  <c r="E57" i="7" s="1"/>
  <c r="F57" i="7" a="1"/>
  <c r="F57" i="7" s="1"/>
  <c r="G57" i="7" a="1"/>
  <c r="G57" i="7" s="1"/>
  <c r="H57" i="7" a="1"/>
  <c r="H57" i="7" s="1"/>
  <c r="I57" i="7" a="1"/>
  <c r="I57" i="7" s="1"/>
  <c r="J57" i="7" a="1"/>
  <c r="J57" i="7" s="1"/>
  <c r="B58" i="7" a="1"/>
  <c r="B58" i="7" s="1"/>
  <c r="C58" i="7" a="1"/>
  <c r="C58" i="7" s="1"/>
  <c r="D58" i="7" a="1"/>
  <c r="D58" i="7" s="1"/>
  <c r="E58" i="7" a="1"/>
  <c r="E58" i="7" s="1"/>
  <c r="F58" i="7" a="1"/>
  <c r="F58" i="7" s="1"/>
  <c r="G58" i="7" a="1"/>
  <c r="G58" i="7"/>
  <c r="H58" i="7" a="1"/>
  <c r="H58" i="7" s="1"/>
  <c r="I58" i="7" a="1"/>
  <c r="I58" i="7" s="1"/>
  <c r="J58" i="7" a="1"/>
  <c r="J58" i="7" s="1"/>
  <c r="B59" i="7" a="1"/>
  <c r="B59" i="7" s="1"/>
  <c r="C59" i="7" a="1"/>
  <c r="C59" i="7"/>
  <c r="D59" i="7" a="1"/>
  <c r="D59" i="7" s="1"/>
  <c r="E59" i="7" a="1"/>
  <c r="E59" i="7" s="1"/>
  <c r="F59" i="7" a="1"/>
  <c r="F59" i="7" s="1"/>
  <c r="G59" i="7" a="1"/>
  <c r="G59" i="7" s="1"/>
  <c r="H59" i="7" a="1"/>
  <c r="H59" i="7" s="1"/>
  <c r="I59" i="7" a="1"/>
  <c r="I59" i="7" s="1"/>
  <c r="J59" i="7" a="1"/>
  <c r="J59" i="7" s="1"/>
  <c r="B60" i="7" a="1"/>
  <c r="B60" i="7" s="1"/>
  <c r="C60" i="7" a="1"/>
  <c r="C60" i="7" s="1"/>
  <c r="D60" i="7" a="1"/>
  <c r="D60" i="7" s="1"/>
  <c r="E60" i="7" a="1"/>
  <c r="E60" i="7" s="1"/>
  <c r="F60" i="7" a="1"/>
  <c r="F60" i="7" s="1"/>
  <c r="G60" i="7" a="1"/>
  <c r="G60" i="7" s="1"/>
  <c r="H60" i="7" a="1"/>
  <c r="H60" i="7" s="1"/>
  <c r="I60" i="7" a="1"/>
  <c r="I60" i="7" s="1"/>
  <c r="J60" i="7" a="1"/>
  <c r="J60" i="7"/>
  <c r="B61" i="7" a="1"/>
  <c r="B61" i="7" s="1"/>
  <c r="C61" i="7" a="1"/>
  <c r="C61" i="7" s="1"/>
  <c r="D61" i="7" a="1"/>
  <c r="D61" i="7" s="1"/>
  <c r="E61" i="7" a="1"/>
  <c r="E61" i="7" s="1"/>
  <c r="F61" i="7" a="1"/>
  <c r="F61" i="7" s="1"/>
  <c r="G61" i="7" a="1"/>
  <c r="G61" i="7" s="1"/>
  <c r="H61" i="7" a="1"/>
  <c r="H61" i="7" s="1"/>
  <c r="I61" i="7" a="1"/>
  <c r="I61" i="7" s="1"/>
  <c r="J61" i="7" a="1"/>
  <c r="J61" i="7"/>
  <c r="B62" i="7" a="1"/>
  <c r="B62" i="7" s="1"/>
  <c r="C62" i="7" a="1"/>
  <c r="C62" i="7" s="1"/>
  <c r="D62" i="7" a="1"/>
  <c r="D62" i="7" s="1"/>
  <c r="E62" i="7" a="1"/>
  <c r="E62" i="7" s="1"/>
  <c r="F62" i="7" a="1"/>
  <c r="F62" i="7" s="1"/>
  <c r="G62" i="7" a="1"/>
  <c r="G62" i="7" s="1"/>
  <c r="H62" i="7" a="1"/>
  <c r="H62" i="7" s="1"/>
  <c r="I62" i="7" a="1"/>
  <c r="I62" i="7" s="1"/>
  <c r="J62" i="7" a="1"/>
  <c r="J62" i="7"/>
  <c r="B63" i="7" a="1"/>
  <c r="B63" i="7" s="1"/>
  <c r="C63" i="7" a="1"/>
  <c r="C63" i="7" s="1"/>
  <c r="D63" i="7" a="1"/>
  <c r="D63" i="7" s="1"/>
  <c r="E63" i="7" a="1"/>
  <c r="E63" i="7" s="1"/>
  <c r="F63" i="7" a="1"/>
  <c r="F63" i="7" s="1"/>
  <c r="G63" i="7" a="1"/>
  <c r="G63" i="7" s="1"/>
  <c r="H63" i="7" a="1"/>
  <c r="H63" i="7" s="1"/>
  <c r="I63" i="7" a="1"/>
  <c r="I63" i="7" s="1"/>
  <c r="J63" i="7" a="1"/>
  <c r="J63" i="7"/>
  <c r="B64" i="7" a="1"/>
  <c r="B64" i="7" s="1"/>
  <c r="C64" i="7" a="1"/>
  <c r="C64" i="7" s="1"/>
  <c r="D64" i="7" a="1"/>
  <c r="D64" i="7" s="1"/>
  <c r="E64" i="7" a="1"/>
  <c r="E64" i="7" s="1"/>
  <c r="F64" i="7" a="1"/>
  <c r="F64" i="7" s="1"/>
  <c r="G64" i="7" a="1"/>
  <c r="G64" i="7" s="1"/>
  <c r="H64" i="7" a="1"/>
  <c r="H64" i="7" s="1"/>
  <c r="I64" i="7" a="1"/>
  <c r="I64" i="7" s="1"/>
  <c r="J64" i="7" a="1"/>
  <c r="J64" i="7" s="1"/>
  <c r="B65" i="7" a="1"/>
  <c r="B65" i="7" s="1"/>
  <c r="C65" i="7" a="1"/>
  <c r="C65" i="7" s="1"/>
  <c r="D65" i="7" a="1"/>
  <c r="D65" i="7" s="1"/>
  <c r="E65" i="7" a="1"/>
  <c r="E65" i="7" s="1"/>
  <c r="F65" i="7" a="1"/>
  <c r="F65" i="7" s="1"/>
  <c r="G65" i="7" a="1"/>
  <c r="G65" i="7" s="1"/>
  <c r="H65" i="7" a="1"/>
  <c r="H65" i="7" s="1"/>
  <c r="I65" i="7" a="1"/>
  <c r="I65" i="7" s="1"/>
  <c r="J65" i="7" a="1"/>
  <c r="J65" i="7" s="1"/>
  <c r="B66" i="7" a="1"/>
  <c r="B66" i="7" s="1"/>
  <c r="C66" i="7" a="1"/>
  <c r="C66" i="7" s="1"/>
  <c r="D66" i="7" a="1"/>
  <c r="D66" i="7" s="1"/>
  <c r="E66" i="7" a="1"/>
  <c r="E66" i="7" s="1"/>
  <c r="F66" i="7" a="1"/>
  <c r="F66" i="7" s="1"/>
  <c r="G66" i="7" a="1"/>
  <c r="G66" i="7" s="1"/>
  <c r="H66" i="7" a="1"/>
  <c r="H66" i="7" s="1"/>
  <c r="I66" i="7" a="1"/>
  <c r="I66" i="7" s="1"/>
  <c r="J66" i="7" a="1"/>
  <c r="J66" i="7" s="1"/>
  <c r="B67" i="7" a="1"/>
  <c r="B67" i="7" s="1"/>
  <c r="C67" i="7" a="1"/>
  <c r="C67" i="7" s="1"/>
  <c r="D67" i="7" a="1"/>
  <c r="D67" i="7" s="1"/>
  <c r="E67" i="7" a="1"/>
  <c r="E67" i="7" s="1"/>
  <c r="F67" i="7" a="1"/>
  <c r="F67" i="7" s="1"/>
  <c r="G67" i="7" a="1"/>
  <c r="G67" i="7" s="1"/>
  <c r="H67" i="7" a="1"/>
  <c r="H67" i="7" s="1"/>
  <c r="I67" i="7" a="1"/>
  <c r="I67" i="7" s="1"/>
  <c r="J67" i="7" a="1"/>
  <c r="J67" i="7" s="1"/>
  <c r="B68" i="7" a="1"/>
  <c r="B68" i="7" s="1"/>
  <c r="C68" i="7" a="1"/>
  <c r="C68" i="7" s="1"/>
  <c r="D68" i="7" a="1"/>
  <c r="D68" i="7" s="1"/>
  <c r="E68" i="7" a="1"/>
  <c r="E68" i="7" s="1"/>
  <c r="F68" i="7" a="1"/>
  <c r="F68" i="7" s="1"/>
  <c r="G68" i="7" a="1"/>
  <c r="G68" i="7" s="1"/>
  <c r="H68" i="7" a="1"/>
  <c r="H68" i="7" s="1"/>
  <c r="I68" i="7" a="1"/>
  <c r="I68" i="7" s="1"/>
  <c r="J68" i="7" a="1"/>
  <c r="J68" i="7" s="1"/>
  <c r="B69" i="7" a="1"/>
  <c r="B69" i="7" s="1"/>
  <c r="C69" i="7" a="1"/>
  <c r="C69" i="7" s="1"/>
  <c r="D69" i="7" a="1"/>
  <c r="D69" i="7" s="1"/>
  <c r="E69" i="7" a="1"/>
  <c r="E69" i="7" s="1"/>
  <c r="F69" i="7" a="1"/>
  <c r="F69" i="7" s="1"/>
  <c r="G69" i="7" a="1"/>
  <c r="G69" i="7" s="1"/>
  <c r="H69" i="7" a="1"/>
  <c r="H69" i="7" s="1"/>
  <c r="I69" i="7" a="1"/>
  <c r="I69" i="7" s="1"/>
  <c r="J69" i="7" a="1"/>
  <c r="J69" i="7" s="1"/>
  <c r="B70" i="7" a="1"/>
  <c r="B70" i="7" s="1"/>
  <c r="C70" i="7" a="1"/>
  <c r="C70" i="7" s="1"/>
  <c r="D70" i="7" a="1"/>
  <c r="D70" i="7" s="1"/>
  <c r="E70" i="7" a="1"/>
  <c r="E70" i="7" s="1"/>
  <c r="F70" i="7" a="1"/>
  <c r="F70" i="7" s="1"/>
  <c r="G70" i="7" a="1"/>
  <c r="G70" i="7" s="1"/>
  <c r="H70" i="7" a="1"/>
  <c r="H70" i="7" s="1"/>
  <c r="I70" i="7" a="1"/>
  <c r="I70" i="7" s="1"/>
  <c r="J70" i="7" a="1"/>
  <c r="J70" i="7" s="1"/>
  <c r="B71" i="7" a="1"/>
  <c r="B71" i="7" s="1"/>
  <c r="C71" i="7" a="1"/>
  <c r="C71" i="7" s="1"/>
  <c r="D71" i="7" a="1"/>
  <c r="D71" i="7" s="1"/>
  <c r="E71" i="7" a="1"/>
  <c r="E71" i="7" s="1"/>
  <c r="F71" i="7" a="1"/>
  <c r="F71" i="7" s="1"/>
  <c r="G71" i="7" a="1"/>
  <c r="G71" i="7" s="1"/>
  <c r="H71" i="7" a="1"/>
  <c r="H71" i="7" s="1"/>
  <c r="I71" i="7" a="1"/>
  <c r="I71" i="7" s="1"/>
  <c r="J71" i="7" a="1"/>
  <c r="J71" i="7" s="1"/>
  <c r="B72" i="7" a="1"/>
  <c r="B72" i="7" s="1"/>
  <c r="C72" i="7" a="1"/>
  <c r="C72" i="7" s="1"/>
  <c r="D72" i="7" a="1"/>
  <c r="D72" i="7" s="1"/>
  <c r="E72" i="7" a="1"/>
  <c r="E72" i="7" s="1"/>
  <c r="F72" i="7" a="1"/>
  <c r="F72" i="7" s="1"/>
  <c r="G72" i="7" a="1"/>
  <c r="G72" i="7" s="1"/>
  <c r="H72" i="7" a="1"/>
  <c r="H72" i="7" s="1"/>
  <c r="I72" i="7" a="1"/>
  <c r="I72" i="7" s="1"/>
  <c r="J72" i="7" a="1"/>
  <c r="J72" i="7" s="1"/>
  <c r="B73" i="7" a="1"/>
  <c r="B73" i="7" s="1"/>
  <c r="C73" i="7" a="1"/>
  <c r="C73" i="7" s="1"/>
  <c r="D73" i="7" a="1"/>
  <c r="D73" i="7" s="1"/>
  <c r="E73" i="7" a="1"/>
  <c r="E73" i="7" s="1"/>
  <c r="F73" i="7" a="1"/>
  <c r="F73" i="7" s="1"/>
  <c r="G73" i="7" a="1"/>
  <c r="G73" i="7" s="1"/>
  <c r="H73" i="7" a="1"/>
  <c r="H73" i="7" s="1"/>
  <c r="I73" i="7" a="1"/>
  <c r="I73" i="7" s="1"/>
  <c r="J73" i="7" a="1"/>
  <c r="J73" i="7" s="1"/>
  <c r="B74" i="7" a="1"/>
  <c r="B74" i="7" s="1"/>
  <c r="C74" i="7" a="1"/>
  <c r="C74" i="7" s="1"/>
  <c r="D74" i="7" a="1"/>
  <c r="D74" i="7" s="1"/>
  <c r="E74" i="7" a="1"/>
  <c r="E74" i="7" s="1"/>
  <c r="F74" i="7" a="1"/>
  <c r="F74" i="7" s="1"/>
  <c r="G74" i="7" a="1"/>
  <c r="G74" i="7" s="1"/>
  <c r="H74" i="7" a="1"/>
  <c r="H74" i="7" s="1"/>
  <c r="I74" i="7" a="1"/>
  <c r="I74" i="7" s="1"/>
  <c r="J74" i="7" a="1"/>
  <c r="J74" i="7" s="1"/>
  <c r="B75" i="7" a="1"/>
  <c r="B75" i="7" s="1"/>
  <c r="C75" i="7" a="1"/>
  <c r="C75" i="7" s="1"/>
  <c r="D75" i="7" a="1"/>
  <c r="D75" i="7" s="1"/>
  <c r="E75" i="7" a="1"/>
  <c r="E75" i="7" s="1"/>
  <c r="F75" i="7" a="1"/>
  <c r="F75" i="7" s="1"/>
  <c r="G75" i="7" a="1"/>
  <c r="G75" i="7" s="1"/>
  <c r="H75" i="7" a="1"/>
  <c r="H75" i="7" s="1"/>
  <c r="I75" i="7" a="1"/>
  <c r="I75" i="7" s="1"/>
  <c r="J75" i="7" a="1"/>
  <c r="J75" i="7" s="1"/>
  <c r="B76" i="7" a="1"/>
  <c r="B76" i="7" s="1"/>
  <c r="C76" i="7" a="1"/>
  <c r="C76" i="7" s="1"/>
  <c r="D76" i="7" a="1"/>
  <c r="D76" i="7" s="1"/>
  <c r="E76" i="7" a="1"/>
  <c r="E76" i="7" s="1"/>
  <c r="F76" i="7" a="1"/>
  <c r="F76" i="7" s="1"/>
  <c r="G76" i="7" a="1"/>
  <c r="G76" i="7" s="1"/>
  <c r="H76" i="7" a="1"/>
  <c r="H76" i="7" s="1"/>
  <c r="I76" i="7" a="1"/>
  <c r="I76" i="7" s="1"/>
  <c r="J76" i="7" a="1"/>
  <c r="J76" i="7" s="1"/>
  <c r="B77" i="7" a="1"/>
  <c r="B77" i="7" s="1"/>
  <c r="C77" i="7" a="1"/>
  <c r="C77" i="7" s="1"/>
  <c r="D77" i="7" a="1"/>
  <c r="D77" i="7" s="1"/>
  <c r="E77" i="7" a="1"/>
  <c r="E77" i="7" s="1"/>
  <c r="F77" i="7" a="1"/>
  <c r="F77" i="7" s="1"/>
  <c r="G77" i="7" a="1"/>
  <c r="G77" i="7" s="1"/>
  <c r="H77" i="7" a="1"/>
  <c r="H77" i="7" s="1"/>
  <c r="I77" i="7" a="1"/>
  <c r="I77" i="7" s="1"/>
  <c r="J77" i="7" a="1"/>
  <c r="J77" i="7" s="1"/>
  <c r="B78" i="7" a="1"/>
  <c r="B78" i="7" s="1"/>
  <c r="C78" i="7" a="1"/>
  <c r="C78" i="7" s="1"/>
  <c r="D78" i="7" a="1"/>
  <c r="D78" i="7" s="1"/>
  <c r="E78" i="7" a="1"/>
  <c r="E78" i="7" s="1"/>
  <c r="F78" i="7" a="1"/>
  <c r="F78" i="7" s="1"/>
  <c r="G78" i="7" a="1"/>
  <c r="G78" i="7" s="1"/>
  <c r="H78" i="7" a="1"/>
  <c r="H78" i="7" s="1"/>
  <c r="I78" i="7" a="1"/>
  <c r="I78" i="7" s="1"/>
  <c r="J78" i="7" a="1"/>
  <c r="J78" i="7" s="1"/>
  <c r="B79" i="7" a="1"/>
  <c r="B79" i="7" s="1"/>
  <c r="C79" i="7" a="1"/>
  <c r="C79" i="7" s="1"/>
  <c r="D79" i="7" a="1"/>
  <c r="D79" i="7" s="1"/>
  <c r="E79" i="7" a="1"/>
  <c r="E79" i="7" s="1"/>
  <c r="F79" i="7" a="1"/>
  <c r="F79" i="7" s="1"/>
  <c r="G79" i="7" a="1"/>
  <c r="G79" i="7" s="1"/>
  <c r="H79" i="7" a="1"/>
  <c r="H79" i="7" s="1"/>
  <c r="I79" i="7" a="1"/>
  <c r="I79" i="7" s="1"/>
  <c r="J79" i="7" a="1"/>
  <c r="J79" i="7" s="1"/>
  <c r="B80" i="7" a="1"/>
  <c r="B80" i="7" s="1"/>
  <c r="C80" i="7" a="1"/>
  <c r="C80" i="7" s="1"/>
  <c r="D80" i="7" a="1"/>
  <c r="D80" i="7" s="1"/>
  <c r="E80" i="7" a="1"/>
  <c r="E80" i="7" s="1"/>
  <c r="F80" i="7" a="1"/>
  <c r="F80" i="7" s="1"/>
  <c r="G80" i="7" a="1"/>
  <c r="G80" i="7" s="1"/>
  <c r="H80" i="7" a="1"/>
  <c r="H80" i="7" s="1"/>
  <c r="I80" i="7" a="1"/>
  <c r="I80" i="7" s="1"/>
  <c r="J80" i="7" a="1"/>
  <c r="J80" i="7" s="1"/>
  <c r="B81" i="7" a="1"/>
  <c r="B81" i="7" s="1"/>
  <c r="C81" i="7" a="1"/>
  <c r="C81" i="7" s="1"/>
  <c r="D81" i="7" a="1"/>
  <c r="D81" i="7" s="1"/>
  <c r="E81" i="7" a="1"/>
  <c r="E81" i="7" s="1"/>
  <c r="F81" i="7" a="1"/>
  <c r="F81" i="7" s="1"/>
  <c r="G81" i="7" a="1"/>
  <c r="G81" i="7" s="1"/>
  <c r="H81" i="7" a="1"/>
  <c r="H81" i="7" s="1"/>
  <c r="I81" i="7" a="1"/>
  <c r="I81" i="7" s="1"/>
  <c r="J81" i="7" a="1"/>
  <c r="J81" i="7" s="1"/>
  <c r="B82" i="7" a="1"/>
  <c r="B82" i="7" s="1"/>
  <c r="C82" i="7" a="1"/>
  <c r="C82" i="7" s="1"/>
  <c r="D82" i="7" a="1"/>
  <c r="D82" i="7" s="1"/>
  <c r="E82" i="7" a="1"/>
  <c r="E82" i="7" s="1"/>
  <c r="F82" i="7" a="1"/>
  <c r="F82" i="7" s="1"/>
  <c r="G82" i="7" a="1"/>
  <c r="G82" i="7" s="1"/>
  <c r="H82" i="7" a="1"/>
  <c r="H82" i="7" s="1"/>
  <c r="I82" i="7" a="1"/>
  <c r="I82" i="7" s="1"/>
  <c r="J82" i="7" a="1"/>
  <c r="J82" i="7" s="1"/>
  <c r="B83" i="7" a="1"/>
  <c r="B83" i="7" s="1"/>
  <c r="C83" i="7" a="1"/>
  <c r="C83" i="7" s="1"/>
  <c r="D83" i="7" a="1"/>
  <c r="D83" i="7" s="1"/>
  <c r="E83" i="7" a="1"/>
  <c r="E83" i="7" s="1"/>
  <c r="F83" i="7" a="1"/>
  <c r="F83" i="7" s="1"/>
  <c r="G83" i="7" a="1"/>
  <c r="G83" i="7" s="1"/>
  <c r="H83" i="7" a="1"/>
  <c r="H83" i="7" s="1"/>
  <c r="I83" i="7" a="1"/>
  <c r="I83" i="7" s="1"/>
  <c r="J83" i="7" a="1"/>
  <c r="J83" i="7" s="1"/>
  <c r="B84" i="7" a="1"/>
  <c r="B84" i="7" s="1"/>
  <c r="C84" i="7" a="1"/>
  <c r="C84" i="7" s="1"/>
  <c r="D84" i="7" a="1"/>
  <c r="D84" i="7" s="1"/>
  <c r="E84" i="7" a="1"/>
  <c r="E84" i="7" s="1"/>
  <c r="F84" i="7" a="1"/>
  <c r="F84" i="7" s="1"/>
  <c r="G84" i="7" a="1"/>
  <c r="G84" i="7" s="1"/>
  <c r="H84" i="7" a="1"/>
  <c r="H84" i="7" s="1"/>
  <c r="I84" i="7" a="1"/>
  <c r="I84" i="7" s="1"/>
  <c r="J84" i="7" a="1"/>
  <c r="J84" i="7" s="1"/>
  <c r="B85" i="7" a="1"/>
  <c r="B85" i="7" s="1"/>
  <c r="C85" i="7" a="1"/>
  <c r="C85" i="7" s="1"/>
  <c r="D85" i="7" a="1"/>
  <c r="D85" i="7" s="1"/>
  <c r="E85" i="7" a="1"/>
  <c r="E85" i="7" s="1"/>
  <c r="F85" i="7" a="1"/>
  <c r="F85" i="7" s="1"/>
  <c r="G85" i="7" a="1"/>
  <c r="G85" i="7" s="1"/>
  <c r="H85" i="7" a="1"/>
  <c r="H85" i="7" s="1"/>
  <c r="I85" i="7" a="1"/>
  <c r="I85" i="7" s="1"/>
  <c r="J85" i="7" a="1"/>
  <c r="J85" i="7" s="1"/>
  <c r="B86" i="7" a="1"/>
  <c r="B86" i="7" s="1"/>
  <c r="C86" i="7" a="1"/>
  <c r="C86" i="7" s="1"/>
  <c r="D86" i="7" a="1"/>
  <c r="D86" i="7" s="1"/>
  <c r="E86" i="7" a="1"/>
  <c r="E86" i="7" s="1"/>
  <c r="F86" i="7" a="1"/>
  <c r="F86" i="7" s="1"/>
  <c r="G86" i="7" a="1"/>
  <c r="G86" i="7" s="1"/>
  <c r="H86" i="7" a="1"/>
  <c r="H86" i="7" s="1"/>
  <c r="I86" i="7" a="1"/>
  <c r="I86" i="7" s="1"/>
  <c r="J86" i="7" a="1"/>
  <c r="J86" i="7" s="1"/>
  <c r="B87" i="7" a="1"/>
  <c r="B87" i="7" s="1"/>
  <c r="C87" i="7" a="1"/>
  <c r="C87" i="7" s="1"/>
  <c r="D87" i="7" a="1"/>
  <c r="D87" i="7" s="1"/>
  <c r="E87" i="7" a="1"/>
  <c r="E87" i="7" s="1"/>
  <c r="F87" i="7" a="1"/>
  <c r="F87" i="7" s="1"/>
  <c r="G87" i="7" a="1"/>
  <c r="G87" i="7" s="1"/>
  <c r="H87" i="7" a="1"/>
  <c r="H87" i="7" s="1"/>
  <c r="I87" i="7" a="1"/>
  <c r="I87" i="7" s="1"/>
  <c r="J87" i="7" a="1"/>
  <c r="J87" i="7" s="1"/>
  <c r="B88" i="7" a="1"/>
  <c r="B88" i="7" s="1"/>
  <c r="C88" i="7" a="1"/>
  <c r="C88" i="7" s="1"/>
  <c r="D88" i="7" a="1"/>
  <c r="D88" i="7" s="1"/>
  <c r="E88" i="7" a="1"/>
  <c r="E88" i="7" s="1"/>
  <c r="F88" i="7" a="1"/>
  <c r="F88" i="7" s="1"/>
  <c r="G88" i="7" a="1"/>
  <c r="G88" i="7" s="1"/>
  <c r="H88" i="7" a="1"/>
  <c r="H88" i="7" s="1"/>
  <c r="I88" i="7" a="1"/>
  <c r="I88" i="7" s="1"/>
  <c r="J88" i="7" a="1"/>
  <c r="J88" i="7" s="1"/>
  <c r="B89" i="7" a="1"/>
  <c r="B89" i="7" s="1"/>
  <c r="C89" i="7" a="1"/>
  <c r="C89" i="7" s="1"/>
  <c r="D89" i="7" a="1"/>
  <c r="D89" i="7" s="1"/>
  <c r="E89" i="7" a="1"/>
  <c r="E89" i="7" s="1"/>
  <c r="F89" i="7" a="1"/>
  <c r="F89" i="7" s="1"/>
  <c r="G89" i="7" a="1"/>
  <c r="G89" i="7" s="1"/>
  <c r="H89" i="7" a="1"/>
  <c r="H89" i="7" s="1"/>
  <c r="I89" i="7" a="1"/>
  <c r="I89" i="7" s="1"/>
  <c r="J89" i="7" a="1"/>
  <c r="J89" i="7" s="1"/>
  <c r="B90" i="7" a="1"/>
  <c r="B90" i="7" s="1"/>
  <c r="C90" i="7" a="1"/>
  <c r="C90" i="7" s="1"/>
  <c r="D90" i="7" a="1"/>
  <c r="D90" i="7" s="1"/>
  <c r="E90" i="7" a="1"/>
  <c r="E90" i="7" s="1"/>
  <c r="F90" i="7" a="1"/>
  <c r="F90" i="7" s="1"/>
  <c r="G90" i="7" a="1"/>
  <c r="G90" i="7" s="1"/>
  <c r="H90" i="7" a="1"/>
  <c r="H90" i="7" s="1"/>
  <c r="I90" i="7" a="1"/>
  <c r="I90" i="7" s="1"/>
  <c r="J90" i="7" a="1"/>
  <c r="J90" i="7" s="1"/>
  <c r="B91" i="7" a="1"/>
  <c r="B91" i="7" s="1"/>
  <c r="C91" i="7" a="1"/>
  <c r="C91" i="7" s="1"/>
  <c r="D91" i="7" a="1"/>
  <c r="D91" i="7" s="1"/>
  <c r="E91" i="7" a="1"/>
  <c r="E91" i="7" s="1"/>
  <c r="F91" i="7" a="1"/>
  <c r="F91" i="7" s="1"/>
  <c r="G91" i="7" a="1"/>
  <c r="G91" i="7" s="1"/>
  <c r="H91" i="7" a="1"/>
  <c r="H91" i="7" s="1"/>
  <c r="I91" i="7" a="1"/>
  <c r="I91" i="7" s="1"/>
  <c r="J91" i="7" a="1"/>
  <c r="J91" i="7" s="1"/>
  <c r="B92" i="7" a="1"/>
  <c r="B92" i="7" s="1"/>
  <c r="C92" i="7" a="1"/>
  <c r="C92" i="7" s="1"/>
  <c r="D92" i="7" a="1"/>
  <c r="D92" i="7" s="1"/>
  <c r="E92" i="7" a="1"/>
  <c r="E92" i="7" s="1"/>
  <c r="F92" i="7" a="1"/>
  <c r="F92" i="7" s="1"/>
  <c r="G92" i="7" a="1"/>
  <c r="G92" i="7" s="1"/>
  <c r="H92" i="7" a="1"/>
  <c r="H92" i="7" s="1"/>
  <c r="I92" i="7" a="1"/>
  <c r="I92" i="7" s="1"/>
  <c r="J92" i="7" a="1"/>
  <c r="J92" i="7" s="1"/>
  <c r="B93" i="7" a="1"/>
  <c r="B93" i="7" s="1"/>
  <c r="C93" i="7" a="1"/>
  <c r="C93" i="7" s="1"/>
  <c r="D93" i="7" a="1"/>
  <c r="D93" i="7" s="1"/>
  <c r="E93" i="7" a="1"/>
  <c r="E93" i="7" s="1"/>
  <c r="F93" i="7" a="1"/>
  <c r="F93" i="7" s="1"/>
  <c r="G93" i="7" a="1"/>
  <c r="G93" i="7" s="1"/>
  <c r="H93" i="7" a="1"/>
  <c r="H93" i="7" s="1"/>
  <c r="I93" i="7" a="1"/>
  <c r="I93" i="7" s="1"/>
  <c r="J93" i="7" a="1"/>
  <c r="J93" i="7" s="1"/>
  <c r="B94" i="7" a="1"/>
  <c r="B94" i="7" s="1"/>
  <c r="C94" i="7" a="1"/>
  <c r="C94" i="7" s="1"/>
  <c r="D94" i="7" a="1"/>
  <c r="D94" i="7" s="1"/>
  <c r="E94" i="7" a="1"/>
  <c r="E94" i="7" s="1"/>
  <c r="F94" i="7" a="1"/>
  <c r="F94" i="7" s="1"/>
  <c r="G94" i="7" a="1"/>
  <c r="G94" i="7" s="1"/>
  <c r="H94" i="7" a="1"/>
  <c r="H94" i="7" s="1"/>
  <c r="I94" i="7" a="1"/>
  <c r="I94" i="7" s="1"/>
  <c r="J94" i="7" a="1"/>
  <c r="J94" i="7" s="1"/>
  <c r="B95" i="7" a="1"/>
  <c r="B95" i="7" s="1"/>
  <c r="C95" i="7" a="1"/>
  <c r="C95" i="7" s="1"/>
  <c r="D95" i="7" a="1"/>
  <c r="D95" i="7" s="1"/>
  <c r="E95" i="7" a="1"/>
  <c r="E95" i="7" s="1"/>
  <c r="F95" i="7" a="1"/>
  <c r="F95" i="7" s="1"/>
  <c r="G95" i="7" a="1"/>
  <c r="G95" i="7" s="1"/>
  <c r="H95" i="7" a="1"/>
  <c r="H95" i="7" s="1"/>
  <c r="I95" i="7" a="1"/>
  <c r="I95" i="7" s="1"/>
  <c r="J95" i="7" a="1"/>
  <c r="J95" i="7" s="1"/>
  <c r="B96" i="7" a="1"/>
  <c r="B96" i="7" s="1"/>
  <c r="C96" i="7" a="1"/>
  <c r="C96" i="7" s="1"/>
  <c r="D96" i="7" a="1"/>
  <c r="D96" i="7" s="1"/>
  <c r="E96" i="7" a="1"/>
  <c r="E96" i="7" s="1"/>
  <c r="F96" i="7" a="1"/>
  <c r="F96" i="7" s="1"/>
  <c r="G96" i="7" a="1"/>
  <c r="G96" i="7" s="1"/>
  <c r="H96" i="7" a="1"/>
  <c r="H96" i="7" s="1"/>
  <c r="I96" i="7" a="1"/>
  <c r="I96" i="7" s="1"/>
  <c r="J96" i="7" a="1"/>
  <c r="J96" i="7" s="1"/>
  <c r="B97" i="7" a="1"/>
  <c r="B97" i="7" s="1"/>
  <c r="C97" i="7" a="1"/>
  <c r="C97" i="7" s="1"/>
  <c r="D97" i="7" a="1"/>
  <c r="D97" i="7" s="1"/>
  <c r="E97" i="7" a="1"/>
  <c r="E97" i="7" s="1"/>
  <c r="F97" i="7" a="1"/>
  <c r="F97" i="7" s="1"/>
  <c r="G97" i="7" a="1"/>
  <c r="G97" i="7" s="1"/>
  <c r="H97" i="7" a="1"/>
  <c r="H97" i="7" s="1"/>
  <c r="I97" i="7" a="1"/>
  <c r="I97" i="7" s="1"/>
  <c r="J97" i="7" a="1"/>
  <c r="J97" i="7" s="1"/>
  <c r="B98" i="7" a="1"/>
  <c r="B98" i="7" s="1"/>
  <c r="C98" i="7" a="1"/>
  <c r="C98" i="7" s="1"/>
  <c r="D98" i="7" a="1"/>
  <c r="D98" i="7" s="1"/>
  <c r="E98" i="7" a="1"/>
  <c r="E98" i="7" s="1"/>
  <c r="F98" i="7" a="1"/>
  <c r="F98" i="7" s="1"/>
  <c r="G98" i="7" a="1"/>
  <c r="G98" i="7" s="1"/>
  <c r="H98" i="7" a="1"/>
  <c r="H98" i="7" s="1"/>
  <c r="I98" i="7" a="1"/>
  <c r="I98" i="7" s="1"/>
  <c r="J98" i="7" a="1"/>
  <c r="J98" i="7" s="1"/>
  <c r="B99" i="7" a="1"/>
  <c r="B99" i="7" s="1"/>
  <c r="C99" i="7" a="1"/>
  <c r="C99" i="7" s="1"/>
  <c r="D99" i="7" a="1"/>
  <c r="D99" i="7" s="1"/>
  <c r="E99" i="7" a="1"/>
  <c r="E99" i="7" s="1"/>
  <c r="F99" i="7" a="1"/>
  <c r="F99" i="7" s="1"/>
  <c r="G99" i="7" a="1"/>
  <c r="G99" i="7" s="1"/>
  <c r="H99" i="7" a="1"/>
  <c r="H99" i="7" s="1"/>
  <c r="I99" i="7" a="1"/>
  <c r="I99" i="7" s="1"/>
  <c r="J99" i="7" a="1"/>
  <c r="J99" i="7" s="1"/>
  <c r="B100" i="7" a="1"/>
  <c r="B100" i="7" s="1"/>
  <c r="C100" i="7" a="1"/>
  <c r="C100" i="7" s="1"/>
  <c r="D100" i="7" a="1"/>
  <c r="D100" i="7" s="1"/>
  <c r="E100" i="7" a="1"/>
  <c r="E100" i="7" s="1"/>
  <c r="F100" i="7" a="1"/>
  <c r="F100" i="7" s="1"/>
  <c r="G100" i="7" a="1"/>
  <c r="G100" i="7" s="1"/>
  <c r="H100" i="7" a="1"/>
  <c r="H100" i="7" s="1"/>
  <c r="I100" i="7" a="1"/>
  <c r="I100" i="7" s="1"/>
  <c r="J100" i="7" a="1"/>
  <c r="J100" i="7" s="1"/>
  <c r="B101" i="7" a="1"/>
  <c r="B101" i="7" s="1"/>
  <c r="C101" i="7" a="1"/>
  <c r="C101" i="7" s="1"/>
  <c r="D101" i="7" a="1"/>
  <c r="D101" i="7" s="1"/>
  <c r="E101" i="7" a="1"/>
  <c r="E101" i="7" s="1"/>
  <c r="F101" i="7" a="1"/>
  <c r="F101" i="7" s="1"/>
  <c r="G101" i="7" a="1"/>
  <c r="G101" i="7" s="1"/>
  <c r="H101" i="7" a="1"/>
  <c r="H101" i="7" s="1"/>
  <c r="I101" i="7" a="1"/>
  <c r="I101" i="7" s="1"/>
  <c r="J101" i="7" a="1"/>
  <c r="J101" i="7" s="1"/>
  <c r="B102" i="7" a="1"/>
  <c r="B102" i="7" s="1"/>
  <c r="C102" i="7" a="1"/>
  <c r="C102" i="7" s="1"/>
  <c r="D102" i="7" a="1"/>
  <c r="D102" i="7" s="1"/>
  <c r="E102" i="7" a="1"/>
  <c r="E102" i="7" s="1"/>
  <c r="F102" i="7" a="1"/>
  <c r="F102" i="7" s="1"/>
  <c r="G102" i="7" a="1"/>
  <c r="G102" i="7" s="1"/>
  <c r="H102" i="7" a="1"/>
  <c r="H102" i="7" s="1"/>
  <c r="I102" i="7" a="1"/>
  <c r="I102" i="7" s="1"/>
  <c r="J102" i="7" a="1"/>
  <c r="J102" i="7" s="1"/>
  <c r="B103" i="7" a="1"/>
  <c r="B103" i="7" s="1"/>
  <c r="C103" i="7" a="1"/>
  <c r="C103" i="7" s="1"/>
  <c r="D103" i="7" a="1"/>
  <c r="D103" i="7" s="1"/>
  <c r="E103" i="7" a="1"/>
  <c r="E103" i="7" s="1"/>
  <c r="F103" i="7" a="1"/>
  <c r="F103" i="7" s="1"/>
  <c r="G103" i="7" a="1"/>
  <c r="G103" i="7" s="1"/>
  <c r="H103" i="7" a="1"/>
  <c r="H103" i="7" s="1"/>
  <c r="I103" i="7" a="1"/>
  <c r="I103" i="7" s="1"/>
  <c r="J103" i="7" a="1"/>
  <c r="J103" i="7" s="1"/>
  <c r="B104" i="7" a="1"/>
  <c r="B104" i="7" s="1"/>
  <c r="C104" i="7" a="1"/>
  <c r="C104" i="7" s="1"/>
  <c r="D104" i="7" a="1"/>
  <c r="D104" i="7" s="1"/>
  <c r="E104" i="7" a="1"/>
  <c r="E104" i="7" s="1"/>
  <c r="F104" i="7" a="1"/>
  <c r="F104" i="7" s="1"/>
  <c r="G104" i="7" a="1"/>
  <c r="G104" i="7" s="1"/>
  <c r="H104" i="7" a="1"/>
  <c r="H104" i="7" s="1"/>
  <c r="I104" i="7" a="1"/>
  <c r="I104" i="7" s="1"/>
  <c r="J104" i="7" a="1"/>
  <c r="J104" i="7" s="1"/>
  <c r="B105" i="7" a="1"/>
  <c r="B105" i="7" s="1"/>
  <c r="C105" i="7" a="1"/>
  <c r="C105" i="7" s="1"/>
  <c r="D105" i="7" a="1"/>
  <c r="D105" i="7" s="1"/>
  <c r="E105" i="7" a="1"/>
  <c r="E105" i="7" s="1"/>
  <c r="F105" i="7" a="1"/>
  <c r="F105" i="7" s="1"/>
  <c r="G105" i="7" a="1"/>
  <c r="G105" i="7" s="1"/>
  <c r="H105" i="7" a="1"/>
  <c r="H105" i="7" s="1"/>
  <c r="I105" i="7" a="1"/>
  <c r="I105" i="7" s="1"/>
  <c r="J105" i="7" a="1"/>
  <c r="J105" i="7"/>
  <c r="B106" i="7" a="1"/>
  <c r="B106" i="7" s="1"/>
  <c r="C106" i="7" a="1"/>
  <c r="C106" i="7" s="1"/>
  <c r="D106" i="7" a="1"/>
  <c r="D106" i="7"/>
  <c r="E106" i="7" a="1"/>
  <c r="E106" i="7"/>
  <c r="F106" i="7" a="1"/>
  <c r="F106" i="7" s="1"/>
  <c r="G106" i="7" a="1"/>
  <c r="G106" i="7" s="1"/>
  <c r="H106" i="7" a="1"/>
  <c r="H106" i="7" s="1"/>
  <c r="I106" i="7" a="1"/>
  <c r="I106" i="7" s="1"/>
  <c r="J106" i="7" a="1"/>
  <c r="J106" i="7"/>
  <c r="B107" i="7" a="1"/>
  <c r="B107" i="7" s="1"/>
  <c r="C107" i="7" a="1"/>
  <c r="C107" i="7" s="1"/>
  <c r="D107" i="7" a="1"/>
  <c r="D107" i="7" s="1"/>
  <c r="E107" i="7" a="1"/>
  <c r="E107" i="7" s="1"/>
  <c r="F107" i="7" a="1"/>
  <c r="F107" i="7" s="1"/>
  <c r="G107" i="7" a="1"/>
  <c r="G107" i="7" s="1"/>
  <c r="H107" i="7" a="1"/>
  <c r="H107" i="7"/>
  <c r="I107" i="7" a="1"/>
  <c r="I107" i="7" s="1"/>
  <c r="J107" i="7" a="1"/>
  <c r="J107" i="7" s="1"/>
  <c r="B108" i="7" a="1"/>
  <c r="B108" i="7" s="1"/>
  <c r="C108" i="7" a="1"/>
  <c r="C108" i="7" s="1"/>
  <c r="D108" i="7" a="1"/>
  <c r="D108" i="7" s="1"/>
  <c r="E108" i="7" a="1"/>
  <c r="E108" i="7"/>
  <c r="F108" i="7" a="1"/>
  <c r="F108" i="7" s="1"/>
  <c r="G108" i="7" a="1"/>
  <c r="G108" i="7"/>
  <c r="H108" i="7" a="1"/>
  <c r="H108" i="7" s="1"/>
  <c r="I108" i="7" a="1"/>
  <c r="I108" i="7" s="1"/>
  <c r="J108" i="7" a="1"/>
  <c r="J108" i="7"/>
  <c r="B109" i="7" a="1"/>
  <c r="B109" i="7"/>
  <c r="C109" i="7" a="1"/>
  <c r="C109" i="7" s="1"/>
  <c r="D109" i="7" a="1"/>
  <c r="D109" i="7"/>
  <c r="E109" i="7" a="1"/>
  <c r="E109" i="7" s="1"/>
  <c r="F109" i="7" a="1"/>
  <c r="F109" i="7" s="1"/>
  <c r="G109" i="7" a="1"/>
  <c r="G109" i="7"/>
  <c r="H109" i="7" a="1"/>
  <c r="H109" i="7" s="1"/>
  <c r="I109" i="7" a="1"/>
  <c r="I109" i="7" s="1"/>
  <c r="J109" i="7" a="1"/>
  <c r="J109" i="7" s="1"/>
  <c r="B110" i="7" a="1"/>
  <c r="B110" i="7" s="1"/>
  <c r="C110" i="7" a="1"/>
  <c r="C110" i="7" s="1"/>
  <c r="D110" i="7" a="1"/>
  <c r="D110" i="7"/>
  <c r="E110" i="7" a="1"/>
  <c r="E110" i="7"/>
  <c r="F110" i="7" a="1"/>
  <c r="F110" i="7" s="1"/>
  <c r="G110" i="7" a="1"/>
  <c r="G110" i="7" s="1"/>
  <c r="H110" i="7" a="1"/>
  <c r="H110" i="7" s="1"/>
  <c r="I110" i="7" a="1"/>
  <c r="I110" i="7" s="1"/>
  <c r="J110" i="7" a="1"/>
  <c r="J110" i="7" s="1"/>
  <c r="B111" i="7" a="1"/>
  <c r="B111" i="7"/>
  <c r="C111" i="7" a="1"/>
  <c r="C111" i="7" s="1"/>
  <c r="D111" i="7" a="1"/>
  <c r="D111" i="7"/>
  <c r="E111" i="7" a="1"/>
  <c r="E111" i="7" s="1"/>
  <c r="F111" i="7" a="1"/>
  <c r="F111" i="7" s="1"/>
  <c r="G111" i="7" a="1"/>
  <c r="G111" i="7"/>
  <c r="H111" i="7" a="1"/>
  <c r="H111" i="7"/>
  <c r="I111" i="7" a="1"/>
  <c r="I111" i="7" s="1"/>
  <c r="J111" i="7" a="1"/>
  <c r="J111" i="7"/>
  <c r="B112" i="7" a="1"/>
  <c r="B112" i="7" s="1"/>
  <c r="C112" i="7" a="1"/>
  <c r="C112" i="7" s="1"/>
  <c r="D112" i="7" a="1"/>
  <c r="D112" i="7"/>
  <c r="E112" i="7" a="1"/>
  <c r="E112" i="7" s="1"/>
  <c r="F112" i="7" a="1"/>
  <c r="F112" i="7" s="1"/>
  <c r="G112" i="7" a="1"/>
  <c r="G112" i="7" s="1"/>
  <c r="H112" i="7" a="1"/>
  <c r="H112" i="7" s="1"/>
  <c r="I112" i="7" a="1"/>
  <c r="I112" i="7" s="1"/>
  <c r="J112" i="7" a="1"/>
  <c r="J112" i="7"/>
  <c r="B113" i="7" a="1"/>
  <c r="B113" i="7"/>
  <c r="C113" i="7" a="1"/>
  <c r="C113" i="7" s="1"/>
  <c r="D113" i="7" a="1"/>
  <c r="D113" i="7" s="1"/>
  <c r="E113" i="7" a="1"/>
  <c r="E113" i="7" s="1"/>
  <c r="F113" i="7" a="1"/>
  <c r="F113" i="7" s="1"/>
  <c r="G113" i="7" a="1"/>
  <c r="G113" i="7" s="1"/>
  <c r="H113" i="7" a="1"/>
  <c r="H113" i="7"/>
  <c r="I113" i="7" a="1"/>
  <c r="I113" i="7" s="1"/>
  <c r="J113" i="7" a="1"/>
  <c r="J113" i="7"/>
  <c r="B114" i="7" a="1"/>
  <c r="B114" i="7" s="1"/>
  <c r="C114" i="7" a="1"/>
  <c r="C114" i="7" s="1"/>
  <c r="D114" i="7" a="1"/>
  <c r="D114" i="7"/>
  <c r="E114" i="7" a="1"/>
  <c r="E114" i="7" s="1"/>
  <c r="F114" i="7" a="1"/>
  <c r="F114" i="7" s="1"/>
  <c r="G114" i="7" a="1"/>
  <c r="G114" i="7"/>
  <c r="H114" i="7" a="1"/>
  <c r="H114" i="7" s="1"/>
  <c r="I114" i="7" a="1"/>
  <c r="I114" i="7" s="1"/>
  <c r="J114" i="7" a="1"/>
  <c r="J114" i="7" s="1"/>
  <c r="B115" i="7" a="1"/>
  <c r="B115" i="7" s="1"/>
  <c r="C115" i="7" a="1"/>
  <c r="C115" i="7" s="1"/>
  <c r="D115" i="7" a="1"/>
  <c r="D115" i="7" s="1"/>
  <c r="E115" i="7" a="1"/>
  <c r="E115" i="7" s="1"/>
  <c r="F115" i="7" a="1"/>
  <c r="F115" i="7" s="1"/>
  <c r="G115" i="7" a="1"/>
  <c r="G115" i="7"/>
  <c r="H115" i="7" a="1"/>
  <c r="H115" i="7" s="1"/>
  <c r="I115" i="7" a="1"/>
  <c r="I115" i="7" s="1"/>
  <c r="J115" i="7" a="1"/>
  <c r="J115" i="7" s="1"/>
  <c r="B116" i="7" a="1"/>
  <c r="B116" i="7" s="1"/>
  <c r="C116" i="7" a="1"/>
  <c r="C116" i="7" s="1"/>
  <c r="D116" i="7" a="1"/>
  <c r="D116" i="7" s="1"/>
  <c r="E116" i="7" a="1"/>
  <c r="E116" i="7" s="1"/>
  <c r="F116" i="7" a="1"/>
  <c r="F116" i="7" s="1"/>
  <c r="G116" i="7" a="1"/>
  <c r="G116" i="7"/>
  <c r="H116" i="7" a="1"/>
  <c r="H116" i="7" s="1"/>
  <c r="I116" i="7" a="1"/>
  <c r="I116" i="7" s="1"/>
  <c r="J116" i="7" a="1"/>
  <c r="J116" i="7"/>
  <c r="B117" i="7" a="1"/>
  <c r="B117" i="7"/>
  <c r="C117" i="7" a="1"/>
  <c r="C117" i="7" s="1"/>
  <c r="D117" i="7" a="1"/>
  <c r="D117" i="7" s="1"/>
  <c r="E117" i="7" a="1"/>
  <c r="E117" i="7" s="1"/>
  <c r="F117" i="7" a="1"/>
  <c r="F117" i="7" s="1"/>
  <c r="G117" i="7" a="1"/>
  <c r="G117" i="7"/>
  <c r="H117" i="7" a="1"/>
  <c r="H117" i="7" s="1"/>
  <c r="I117" i="7" a="1"/>
  <c r="I117" i="7" s="1"/>
  <c r="J117" i="7" a="1"/>
  <c r="J117" i="7" s="1"/>
  <c r="B118" i="7" a="1"/>
  <c r="B118" i="7" s="1"/>
  <c r="C118" i="7" a="1"/>
  <c r="C118" i="7" s="1"/>
  <c r="D118" i="7" a="1"/>
  <c r="D118" i="7" s="1"/>
  <c r="E118" i="7" a="1"/>
  <c r="E118" i="7" s="1"/>
  <c r="F118" i="7" a="1"/>
  <c r="F118" i="7" s="1"/>
  <c r="G118" i="7" a="1"/>
  <c r="G118" i="7" s="1"/>
  <c r="H118" i="7" a="1"/>
  <c r="H118" i="7" s="1"/>
  <c r="I118" i="7" a="1"/>
  <c r="I118" i="7" s="1"/>
  <c r="J118" i="7" a="1"/>
  <c r="J118" i="7" s="1"/>
  <c r="B119" i="7" a="1"/>
  <c r="B119" i="7"/>
  <c r="C119" i="7" a="1"/>
  <c r="C119" i="7" s="1"/>
  <c r="D119" i="7" a="1"/>
  <c r="D119" i="7" s="1"/>
  <c r="E119" i="7" a="1"/>
  <c r="E119" i="7" s="1"/>
  <c r="F119" i="7" a="1"/>
  <c r="F119" i="7" s="1"/>
  <c r="G119" i="7" a="1"/>
  <c r="G119" i="7"/>
  <c r="H119" i="7" a="1"/>
  <c r="H119" i="7"/>
  <c r="I119" i="7" a="1"/>
  <c r="I119" i="7" s="1"/>
  <c r="J119" i="7" a="1"/>
  <c r="J119" i="7"/>
  <c r="B120" i="7" a="1"/>
  <c r="B120" i="7" s="1"/>
  <c r="C120" i="7" a="1"/>
  <c r="C120" i="7" s="1"/>
  <c r="D120" i="7" a="1"/>
  <c r="D120" i="7"/>
  <c r="E120" i="7" a="1"/>
  <c r="E120" i="7" s="1"/>
  <c r="F120" i="7" a="1"/>
  <c r="F120" i="7" s="1"/>
  <c r="G120" i="7" a="1"/>
  <c r="G120" i="7" s="1"/>
  <c r="H120" i="7" a="1"/>
  <c r="H120" i="7" s="1"/>
  <c r="I120" i="7" a="1"/>
  <c r="I120" i="7" s="1"/>
  <c r="J120" i="7" a="1"/>
  <c r="J120" i="7"/>
  <c r="B121" i="7" a="1"/>
  <c r="B121" i="7" s="1"/>
  <c r="C121" i="7" a="1"/>
  <c r="C121" i="7" s="1"/>
  <c r="D121" i="7" a="1"/>
  <c r="D121" i="7" s="1"/>
  <c r="E121" i="7" a="1"/>
  <c r="E121" i="7" s="1"/>
  <c r="F121" i="7" a="1"/>
  <c r="F121" i="7" s="1"/>
  <c r="G121" i="7" a="1"/>
  <c r="G121" i="7" s="1"/>
  <c r="H121" i="7" a="1"/>
  <c r="H121" i="7" s="1"/>
  <c r="I121" i="7" a="1"/>
  <c r="I121" i="7" s="1"/>
  <c r="J121" i="7" a="1"/>
  <c r="J121" i="7" s="1"/>
  <c r="B122" i="7" a="1"/>
  <c r="B122" i="7" s="1"/>
  <c r="C122" i="7" a="1"/>
  <c r="C122" i="7" s="1"/>
  <c r="D122" i="7" a="1"/>
  <c r="D122" i="7"/>
  <c r="E122" i="7" a="1"/>
  <c r="E122" i="7"/>
  <c r="F122" i="7" a="1"/>
  <c r="F122" i="7" s="1"/>
  <c r="G122" i="7" a="1"/>
  <c r="G122" i="7" s="1"/>
  <c r="H122" i="7" a="1"/>
  <c r="H122" i="7" s="1"/>
  <c r="I122" i="7" a="1"/>
  <c r="I122" i="7" s="1"/>
  <c r="J122" i="7" a="1"/>
  <c r="J122" i="7" s="1"/>
  <c r="B123" i="7" a="1"/>
  <c r="B123" i="7" s="1"/>
  <c r="C123" i="7" a="1"/>
  <c r="C123" i="7" s="1"/>
  <c r="D123" i="7" a="1"/>
  <c r="D123" i="7"/>
  <c r="E123" i="7" a="1"/>
  <c r="E123" i="7" s="1"/>
  <c r="F123" i="7" a="1"/>
  <c r="F123" i="7" s="1"/>
  <c r="G123" i="7" a="1"/>
  <c r="G123" i="7" s="1"/>
  <c r="H123" i="7" a="1"/>
  <c r="H123" i="7"/>
  <c r="I123" i="7" a="1"/>
  <c r="I123" i="7" s="1"/>
  <c r="J123" i="7" a="1"/>
  <c r="J123" i="7" s="1"/>
  <c r="B124" i="7" a="1"/>
  <c r="B124" i="7" s="1"/>
  <c r="C124" i="7" a="1"/>
  <c r="C124" i="7" s="1"/>
  <c r="D124" i="7" a="1"/>
  <c r="D124" i="7"/>
  <c r="E124" i="7" a="1"/>
  <c r="E124" i="7" s="1"/>
  <c r="F124" i="7" a="1"/>
  <c r="F124" i="7" s="1"/>
  <c r="G124" i="7" a="1"/>
  <c r="G124" i="7" s="1"/>
  <c r="H124" i="7" a="1"/>
  <c r="H124" i="7" s="1"/>
  <c r="I124" i="7" a="1"/>
  <c r="I124" i="7" s="1"/>
  <c r="J124" i="7" a="1"/>
  <c r="J124" i="7"/>
  <c r="B125" i="7" a="1"/>
  <c r="B125" i="7" s="1"/>
  <c r="C125" i="7" a="1"/>
  <c r="C125" i="7" s="1"/>
  <c r="D125" i="7" a="1"/>
  <c r="D125" i="7" s="1"/>
  <c r="E125" i="7" a="1"/>
  <c r="E125" i="7" s="1"/>
  <c r="F125" i="7" a="1"/>
  <c r="F125" i="7" s="1"/>
  <c r="G125" i="7" a="1"/>
  <c r="G125" i="7"/>
  <c r="H125" i="7" a="1"/>
  <c r="H125" i="7" s="1"/>
  <c r="I125" i="7" a="1"/>
  <c r="I125" i="7" s="1"/>
  <c r="J125" i="7" a="1"/>
  <c r="J125" i="7"/>
  <c r="B126" i="7" a="1"/>
  <c r="B126" i="7" s="1"/>
  <c r="C126" i="7" a="1"/>
  <c r="C126" i="7" s="1"/>
  <c r="D126" i="7" a="1"/>
  <c r="D126" i="7" s="1"/>
  <c r="E126" i="7" a="1"/>
  <c r="E126" i="7" s="1"/>
  <c r="F126" i="7" a="1"/>
  <c r="F126" i="7" s="1"/>
  <c r="G126" i="7" a="1"/>
  <c r="G126" i="7" s="1"/>
  <c r="H126" i="7" a="1"/>
  <c r="H126" i="7" s="1"/>
  <c r="I126" i="7" a="1"/>
  <c r="I126" i="7" s="1"/>
  <c r="J126" i="7" a="1"/>
  <c r="J126" i="7"/>
  <c r="B127" i="7" a="1"/>
  <c r="B127" i="7"/>
  <c r="C127" i="7" a="1"/>
  <c r="C127" i="7" s="1"/>
  <c r="D127" i="7" a="1"/>
  <c r="D127" i="7"/>
  <c r="E127" i="7" a="1"/>
  <c r="E127" i="7" s="1"/>
  <c r="F127" i="7" a="1"/>
  <c r="F127" i="7" s="1"/>
  <c r="G127" i="7" a="1"/>
  <c r="G127" i="7"/>
  <c r="H127" i="7" a="1"/>
  <c r="H127" i="7" s="1"/>
  <c r="I127" i="7" a="1"/>
  <c r="I127" i="7" s="1"/>
  <c r="J127" i="7" a="1"/>
  <c r="J127" i="7"/>
  <c r="B128" i="7" a="1"/>
  <c r="B128" i="7" s="1"/>
  <c r="C128" i="7" a="1"/>
  <c r="C128" i="7" s="1"/>
  <c r="D128" i="7" a="1"/>
  <c r="D128" i="7" s="1"/>
  <c r="E128" i="7" a="1"/>
  <c r="E128" i="7" s="1"/>
  <c r="F128" i="7" a="1"/>
  <c r="F128" i="7" s="1"/>
  <c r="G128" i="7" a="1"/>
  <c r="G128" i="7" s="1"/>
  <c r="H128" i="7" a="1"/>
  <c r="H128" i="7" s="1"/>
  <c r="I128" i="7" a="1"/>
  <c r="I128" i="7" s="1"/>
  <c r="J128" i="7" a="1"/>
  <c r="J128" i="7"/>
  <c r="B129" i="7" a="1"/>
  <c r="B129" i="7" s="1"/>
  <c r="C129" i="7" a="1"/>
  <c r="C129" i="7" s="1"/>
  <c r="D129" i="7" a="1"/>
  <c r="D129" i="7" s="1"/>
  <c r="E129" i="7" a="1"/>
  <c r="E129" i="7" s="1"/>
  <c r="F129" i="7" a="1"/>
  <c r="F129" i="7" s="1"/>
  <c r="G129" i="7" a="1"/>
  <c r="G129" i="7" s="1"/>
  <c r="H129" i="7" a="1"/>
  <c r="H129" i="7"/>
  <c r="I129" i="7" a="1"/>
  <c r="I129" i="7" s="1"/>
  <c r="J129" i="7" a="1"/>
  <c r="J129" i="7"/>
  <c r="B130" i="7" a="1"/>
  <c r="B130" i="7" s="1"/>
  <c r="C130" i="7" a="1"/>
  <c r="C130" i="7" s="1"/>
  <c r="D130" i="7" a="1"/>
  <c r="D130" i="7"/>
  <c r="E130" i="7" a="1"/>
  <c r="E130" i="7"/>
  <c r="F130" i="7" a="1"/>
  <c r="F130" i="7" s="1"/>
  <c r="G130" i="7" a="1"/>
  <c r="G130" i="7"/>
  <c r="H130" i="7" a="1"/>
  <c r="H130" i="7" s="1"/>
  <c r="I130" i="7" a="1"/>
  <c r="I130" i="7" s="1"/>
  <c r="J130" i="7" a="1"/>
  <c r="J130" i="7" s="1"/>
  <c r="B131" i="7" a="1"/>
  <c r="B131" i="7" s="1"/>
  <c r="C131" i="7" a="1"/>
  <c r="C131" i="7" s="1"/>
  <c r="D131" i="7" a="1"/>
  <c r="D131" i="7"/>
  <c r="E131" i="7" a="1"/>
  <c r="E131" i="7" s="1"/>
  <c r="F131" i="7" a="1"/>
  <c r="F131" i="7" s="1"/>
  <c r="G131" i="7" a="1"/>
  <c r="G131" i="7"/>
  <c r="H131" i="7" a="1"/>
  <c r="H131" i="7"/>
  <c r="I131" i="7" a="1"/>
  <c r="I131" i="7" s="1"/>
  <c r="J131" i="7" a="1"/>
  <c r="J131" i="7" s="1"/>
  <c r="B132" i="7" a="1"/>
  <c r="B132" i="7" s="1"/>
  <c r="C132" i="7" a="1"/>
  <c r="C132" i="7" s="1"/>
  <c r="D132" i="7" a="1"/>
  <c r="D132" i="7"/>
  <c r="E132" i="7" a="1"/>
  <c r="E132" i="7" s="1"/>
  <c r="F132" i="7" a="1"/>
  <c r="F132" i="7" s="1"/>
  <c r="G132" i="7" a="1"/>
  <c r="G132" i="7"/>
  <c r="H132" i="7" a="1"/>
  <c r="H132" i="7" s="1"/>
  <c r="I132" i="7" a="1"/>
  <c r="I132" i="7" s="1"/>
  <c r="J132" i="7" a="1"/>
  <c r="J132" i="7"/>
  <c r="B133" i="7" a="1"/>
  <c r="B133" i="7" s="1"/>
  <c r="C133" i="7" a="1"/>
  <c r="C133" i="7" s="1"/>
  <c r="D133" i="7" a="1"/>
  <c r="D133" i="7" s="1"/>
  <c r="E133" i="7" a="1"/>
  <c r="E133" i="7" s="1"/>
  <c r="F133" i="7" a="1"/>
  <c r="F133" i="7" s="1"/>
  <c r="G133" i="7" a="1"/>
  <c r="G133" i="7"/>
  <c r="H133" i="7" a="1"/>
  <c r="H133" i="7" s="1"/>
  <c r="I133" i="7" a="1"/>
  <c r="I133" i="7" s="1"/>
  <c r="J133" i="7" a="1"/>
  <c r="J133" i="7" s="1"/>
  <c r="B134" i="7" a="1"/>
  <c r="B134" i="7" s="1"/>
  <c r="C134" i="7" a="1"/>
  <c r="C134" i="7" s="1"/>
  <c r="D134" i="7" a="1"/>
  <c r="D134" i="7" s="1"/>
  <c r="E134" i="7" a="1"/>
  <c r="E134" i="7"/>
  <c r="F134" i="7" a="1"/>
  <c r="F134" i="7" s="1"/>
  <c r="G134" i="7" a="1"/>
  <c r="G134" i="7" s="1"/>
  <c r="H134" i="7" a="1"/>
  <c r="H134" i="7" s="1"/>
  <c r="I134" i="7" a="1"/>
  <c r="I134" i="7" s="1"/>
  <c r="J134" i="7" a="1"/>
  <c r="J134" i="7" s="1"/>
  <c r="B135" i="7" a="1"/>
  <c r="B135" i="7"/>
  <c r="C135" i="7" a="1"/>
  <c r="C135" i="7" s="1"/>
  <c r="D135" i="7" a="1"/>
  <c r="D135" i="7" s="1"/>
  <c r="E135" i="7" a="1"/>
  <c r="E135" i="7" s="1"/>
  <c r="F135" i="7" a="1"/>
  <c r="F135" i="7" s="1"/>
  <c r="G135" i="7" a="1"/>
  <c r="G135" i="7"/>
  <c r="H135" i="7" a="1"/>
  <c r="H135" i="7"/>
  <c r="I135" i="7" a="1"/>
  <c r="I135" i="7" s="1"/>
  <c r="J135" i="7" a="1"/>
  <c r="J135" i="7"/>
  <c r="B136" i="7" a="1"/>
  <c r="B136" i="7" s="1"/>
  <c r="C136" i="7" a="1"/>
  <c r="C136" i="7" s="1"/>
  <c r="D136" i="7" a="1"/>
  <c r="D136" i="7"/>
  <c r="E136" i="7" a="1"/>
  <c r="E136" i="7" s="1"/>
  <c r="F136" i="7" a="1"/>
  <c r="F136" i="7" s="1"/>
  <c r="G136" i="7" a="1"/>
  <c r="G136" i="7" s="1"/>
  <c r="H136" i="7" a="1"/>
  <c r="H136" i="7" s="1"/>
  <c r="I136" i="7" a="1"/>
  <c r="I136" i="7" s="1"/>
  <c r="J136" i="7" a="1"/>
  <c r="J136" i="7"/>
  <c r="B137" i="7" a="1"/>
  <c r="B137" i="7" s="1"/>
  <c r="C137" i="7" a="1"/>
  <c r="C137" i="7" s="1"/>
  <c r="D137" i="7" a="1"/>
  <c r="D137" i="7" s="1"/>
  <c r="E137" i="7" a="1"/>
  <c r="E137" i="7" s="1"/>
  <c r="F137" i="7" a="1"/>
  <c r="F137" i="7" s="1"/>
  <c r="G137" i="7" a="1"/>
  <c r="G137" i="7" s="1"/>
  <c r="H137" i="7" a="1"/>
  <c r="H137" i="7" s="1"/>
  <c r="I137" i="7" a="1"/>
  <c r="I137" i="7" s="1"/>
  <c r="J137" i="7" a="1"/>
  <c r="J137" i="7"/>
  <c r="B138" i="7" a="1"/>
  <c r="B138" i="7" s="1"/>
  <c r="C138" i="7" a="1"/>
  <c r="C138" i="7" s="1"/>
  <c r="D138" i="7" a="1"/>
  <c r="D138" i="7"/>
  <c r="E138" i="7" a="1"/>
  <c r="E138" i="7"/>
  <c r="F138" i="7" a="1"/>
  <c r="F138" i="7" s="1"/>
  <c r="G138" i="7" a="1"/>
  <c r="G138" i="7" s="1"/>
  <c r="H138" i="7" a="1"/>
  <c r="H138" i="7" s="1"/>
  <c r="I138" i="7" a="1"/>
  <c r="I138" i="7" s="1"/>
  <c r="J138" i="7" a="1"/>
  <c r="J138" i="7" s="1"/>
  <c r="B139" i="7" a="1"/>
  <c r="B139" i="7" s="1"/>
  <c r="C139" i="7" a="1"/>
  <c r="C139" i="7" s="1"/>
  <c r="D139" i="7" a="1"/>
  <c r="D139" i="7"/>
  <c r="E139" i="7" a="1"/>
  <c r="E139" i="7" s="1"/>
  <c r="F139" i="7" a="1"/>
  <c r="F139" i="7" s="1"/>
  <c r="G139" i="7" a="1"/>
  <c r="G139" i="7" s="1"/>
  <c r="H139" i="7" a="1"/>
  <c r="H139" i="7"/>
  <c r="I139" i="7" a="1"/>
  <c r="I139" i="7" s="1"/>
  <c r="J139" i="7" a="1"/>
  <c r="J139" i="7" s="1"/>
  <c r="B140" i="7" a="1"/>
  <c r="B140" i="7" s="1"/>
  <c r="C140" i="7" a="1"/>
  <c r="C140" i="7" s="1"/>
  <c r="D140" i="7" a="1"/>
  <c r="D140" i="7"/>
  <c r="E140" i="7" a="1"/>
  <c r="E140" i="7" s="1"/>
  <c r="F140" i="7" a="1"/>
  <c r="F140" i="7" s="1"/>
  <c r="G140" i="7" a="1"/>
  <c r="G140" i="7"/>
  <c r="H140" i="7" a="1"/>
  <c r="H140" i="7" s="1"/>
  <c r="I140" i="7" a="1"/>
  <c r="I140" i="7" s="1"/>
  <c r="J140" i="7" a="1"/>
  <c r="J140" i="7"/>
  <c r="B141" i="7" a="1"/>
  <c r="B141" i="7"/>
  <c r="C141" i="7" a="1"/>
  <c r="C141" i="7" s="1"/>
  <c r="D141" i="7" a="1"/>
  <c r="D141" i="7" s="1"/>
  <c r="E141" i="7" a="1"/>
  <c r="E141" i="7" s="1"/>
  <c r="F141" i="7" a="1"/>
  <c r="F141" i="7" s="1"/>
  <c r="G141" i="7" a="1"/>
  <c r="G141" i="7"/>
  <c r="H141" i="7" a="1"/>
  <c r="H141" i="7" s="1"/>
  <c r="I141" i="7" a="1"/>
  <c r="I141" i="7" s="1"/>
  <c r="J141" i="7" a="1"/>
  <c r="J141" i="7"/>
  <c r="B142" i="7" a="1"/>
  <c r="B142" i="7" s="1"/>
  <c r="C142" i="7" a="1"/>
  <c r="C142" i="7" s="1"/>
  <c r="D142" i="7" a="1"/>
  <c r="D142" i="7" s="1"/>
  <c r="E142" i="7" a="1"/>
  <c r="E142" i="7" s="1"/>
  <c r="F142" i="7" a="1"/>
  <c r="F142" i="7" s="1"/>
  <c r="G142" i="7" a="1"/>
  <c r="G142" i="7" s="1"/>
  <c r="H142" i="7" a="1"/>
  <c r="H142" i="7" s="1"/>
  <c r="I142" i="7" a="1"/>
  <c r="I142" i="7" s="1"/>
  <c r="J142" i="7" a="1"/>
  <c r="J142" i="7" s="1"/>
  <c r="B143" i="7" a="1"/>
  <c r="B143" i="7"/>
  <c r="C143" i="7" a="1"/>
  <c r="C143" i="7" s="1"/>
  <c r="D143" i="7" a="1"/>
  <c r="D143" i="7"/>
  <c r="E143" i="7" a="1"/>
  <c r="E143" i="7" s="1"/>
  <c r="F143" i="7" a="1"/>
  <c r="F143" i="7" s="1"/>
  <c r="G143" i="7" a="1"/>
  <c r="G143" i="7"/>
  <c r="H143" i="7" a="1"/>
  <c r="H143" i="7" s="1"/>
  <c r="I143" i="7" a="1"/>
  <c r="I143" i="7" s="1"/>
  <c r="J143" i="7" a="1"/>
  <c r="J143" i="7"/>
  <c r="B144" i="7" a="1"/>
  <c r="B144" i="7" s="1"/>
  <c r="C144" i="7" a="1"/>
  <c r="C144" i="7" s="1"/>
  <c r="D144" i="7" a="1"/>
  <c r="D144" i="7" s="1"/>
  <c r="E144" i="7" a="1"/>
  <c r="E144" i="7" s="1"/>
  <c r="F144" i="7" a="1"/>
  <c r="F144" i="7" s="1"/>
  <c r="G144" i="7" a="1"/>
  <c r="G144" i="7" s="1"/>
  <c r="H144" i="7" a="1"/>
  <c r="H144" i="7" s="1"/>
  <c r="I144" i="7" a="1"/>
  <c r="I144" i="7" s="1"/>
  <c r="J144" i="7" a="1"/>
  <c r="J144" i="7"/>
  <c r="B145" i="7" a="1"/>
  <c r="B145" i="7" s="1"/>
  <c r="C145" i="7" a="1"/>
  <c r="C145" i="7" s="1"/>
  <c r="D145" i="7" a="1"/>
  <c r="D145" i="7" s="1"/>
  <c r="E145" i="7" a="1"/>
  <c r="E145" i="7" s="1"/>
  <c r="F145" i="7" a="1"/>
  <c r="F145" i="7" s="1"/>
  <c r="G145" i="7" a="1"/>
  <c r="G145" i="7" s="1"/>
  <c r="H145" i="7" a="1"/>
  <c r="H145" i="7" s="1"/>
  <c r="I145" i="7" a="1"/>
  <c r="I145" i="7" s="1"/>
  <c r="J145" i="7" a="1"/>
  <c r="J145" i="7"/>
  <c r="B146" i="7" a="1"/>
  <c r="B146" i="7" s="1"/>
  <c r="C146" i="7" a="1"/>
  <c r="C146" i="7" s="1"/>
  <c r="D146" i="7" a="1"/>
  <c r="D146" i="7"/>
  <c r="E146" i="7" a="1"/>
  <c r="E146" i="7" s="1"/>
  <c r="F146" i="7" a="1"/>
  <c r="F146" i="7" s="1"/>
  <c r="G146" i="7" a="1"/>
  <c r="G146" i="7" s="1"/>
  <c r="H146" i="7" a="1"/>
  <c r="H146" i="7" s="1"/>
  <c r="I146" i="7" a="1"/>
  <c r="I146" i="7" s="1"/>
  <c r="J146" i="7" a="1"/>
  <c r="J146" i="7" s="1"/>
  <c r="B147" i="7" a="1"/>
  <c r="B147" i="7" s="1"/>
  <c r="C147" i="7" a="1"/>
  <c r="C147" i="7" s="1"/>
  <c r="D147" i="7" a="1"/>
  <c r="D147" i="7"/>
  <c r="E147" i="7" a="1"/>
  <c r="E147" i="7" s="1"/>
  <c r="F147" i="7" a="1"/>
  <c r="F147" i="7" s="1"/>
  <c r="G147" i="7" a="1"/>
  <c r="G147" i="7" s="1"/>
  <c r="H147" i="7" a="1"/>
  <c r="H147" i="7"/>
  <c r="I147" i="7" a="1"/>
  <c r="I147" i="7" s="1"/>
  <c r="J147" i="7" a="1"/>
  <c r="J147" i="7" s="1"/>
  <c r="B148" i="7" a="1"/>
  <c r="B148" i="7" s="1"/>
  <c r="C148" i="7" a="1"/>
  <c r="C148" i="7" s="1"/>
  <c r="D148" i="7" a="1"/>
  <c r="D148" i="7"/>
  <c r="E148" i="7" a="1"/>
  <c r="E148" i="7" s="1"/>
  <c r="F148" i="7" a="1"/>
  <c r="F148" i="7" s="1"/>
  <c r="G148" i="7" a="1"/>
  <c r="G148" i="7"/>
  <c r="H148" i="7" a="1"/>
  <c r="H148" i="7" s="1"/>
  <c r="I148" i="7" a="1"/>
  <c r="I148" i="7" s="1"/>
  <c r="J148" i="7" a="1"/>
  <c r="J148" i="7"/>
  <c r="B149" i="7" a="1"/>
  <c r="B149" i="7"/>
  <c r="C149" i="7" a="1"/>
  <c r="C149" i="7" s="1"/>
  <c r="D149" i="7" a="1"/>
  <c r="D149" i="7" s="1"/>
  <c r="E149" i="7" a="1"/>
  <c r="E149" i="7" s="1"/>
  <c r="F149" i="7" a="1"/>
  <c r="F149" i="7" s="1"/>
  <c r="G149" i="7" a="1"/>
  <c r="G149" i="7"/>
  <c r="H149" i="7" a="1"/>
  <c r="H149" i="7" s="1"/>
  <c r="I149" i="7" a="1"/>
  <c r="I149" i="7" s="1"/>
  <c r="J149" i="7" a="1"/>
  <c r="J149" i="7" s="1"/>
  <c r="B150" i="7" a="1"/>
  <c r="B150" i="7" s="1"/>
  <c r="C150" i="7" a="1"/>
  <c r="C150" i="7" s="1"/>
  <c r="D150" i="7" a="1"/>
  <c r="D150" i="7" s="1"/>
  <c r="E150" i="7" a="1"/>
  <c r="E150" i="7" s="1"/>
  <c r="F150" i="7" a="1"/>
  <c r="F150" i="7" s="1"/>
  <c r="G150" i="7" a="1"/>
  <c r="G150" i="7" s="1"/>
  <c r="H150" i="7" a="1"/>
  <c r="H150" i="7" s="1"/>
  <c r="I150" i="7" a="1"/>
  <c r="I150" i="7" s="1"/>
  <c r="J150" i="7" a="1"/>
  <c r="J150" i="7" s="1"/>
  <c r="B151" i="7" a="1"/>
  <c r="B151" i="7"/>
  <c r="C151" i="7" a="1"/>
  <c r="C151" i="7" s="1"/>
  <c r="D151" i="7" a="1"/>
  <c r="D151" i="7" s="1"/>
  <c r="E151" i="7" a="1"/>
  <c r="E151" i="7" s="1"/>
  <c r="F151" i="7" a="1"/>
  <c r="F151" i="7" s="1"/>
  <c r="G151" i="7" a="1"/>
  <c r="G151" i="7"/>
  <c r="H151" i="7" a="1"/>
  <c r="H151" i="7"/>
  <c r="I151" i="7" a="1"/>
  <c r="I151" i="7" s="1"/>
  <c r="J151" i="7" a="1"/>
  <c r="J151" i="7"/>
  <c r="B152" i="7" a="1"/>
  <c r="B152" i="7" s="1"/>
  <c r="C152" i="7" a="1"/>
  <c r="C152" i="7" s="1"/>
  <c r="D152" i="7" a="1"/>
  <c r="D152" i="7" s="1"/>
  <c r="E152" i="7" a="1"/>
  <c r="E152" i="7" s="1"/>
  <c r="F152" i="7" a="1"/>
  <c r="F152" i="7" s="1"/>
  <c r="G152" i="7" a="1"/>
  <c r="G152" i="7" s="1"/>
  <c r="H152" i="7" a="1"/>
  <c r="H152" i="7" s="1"/>
  <c r="I152" i="7" a="1"/>
  <c r="I152" i="7" s="1"/>
  <c r="J152" i="7" a="1"/>
  <c r="J152" i="7"/>
  <c r="B153" i="7" a="1"/>
  <c r="B153" i="7" s="1"/>
  <c r="C153" i="7" a="1"/>
  <c r="C153" i="7" s="1"/>
  <c r="D153" i="7" a="1"/>
  <c r="D153" i="7" s="1"/>
  <c r="E153" i="7" a="1"/>
  <c r="E153" i="7" s="1"/>
  <c r="F153" i="7" a="1"/>
  <c r="F153" i="7" s="1"/>
  <c r="G153" i="7" a="1"/>
  <c r="G153" i="7" s="1"/>
  <c r="H153" i="7" a="1"/>
  <c r="H153" i="7" s="1"/>
  <c r="I153" i="7" a="1"/>
  <c r="I153" i="7" s="1"/>
  <c r="J153" i="7" a="1"/>
  <c r="J153" i="7" s="1"/>
  <c r="B154" i="7" a="1"/>
  <c r="B154" i="7" s="1"/>
  <c r="C154" i="7" a="1"/>
  <c r="C154" i="7" s="1"/>
  <c r="D154" i="7" a="1"/>
  <c r="D154" i="7"/>
  <c r="E154" i="7" a="1"/>
  <c r="E154" i="7"/>
  <c r="F154" i="7" a="1"/>
  <c r="F154" i="7" s="1"/>
  <c r="G154" i="7" a="1"/>
  <c r="G154" i="7" s="1"/>
  <c r="H154" i="7" a="1"/>
  <c r="H154" i="7" s="1"/>
  <c r="I154" i="7" a="1"/>
  <c r="I154" i="7" s="1"/>
  <c r="J154" i="7" a="1"/>
  <c r="J154" i="7" s="1"/>
  <c r="B155" i="7" a="1"/>
  <c r="B155" i="7" s="1"/>
  <c r="C155" i="7" a="1"/>
  <c r="C155" i="7" s="1"/>
  <c r="D155" i="7" a="1"/>
  <c r="D155" i="7"/>
  <c r="E155" i="7" a="1"/>
  <c r="E155" i="7" s="1"/>
  <c r="F155" i="7" a="1"/>
  <c r="F155" i="7" s="1"/>
  <c r="G155" i="7" a="1"/>
  <c r="G155" i="7" s="1"/>
  <c r="H155" i="7" a="1"/>
  <c r="H155" i="7"/>
  <c r="I155" i="7" a="1"/>
  <c r="I155" i="7" s="1"/>
  <c r="J155" i="7" a="1"/>
  <c r="J155" i="7"/>
  <c r="B156" i="7" a="1"/>
  <c r="B156" i="7" s="1"/>
  <c r="C156" i="7" a="1"/>
  <c r="C156" i="7" s="1"/>
  <c r="D156" i="7" a="1"/>
  <c r="D156" i="7"/>
  <c r="E156" i="7" a="1"/>
  <c r="E156" i="7"/>
  <c r="F156" i="7" a="1"/>
  <c r="F156" i="7" s="1"/>
  <c r="G156" i="7" a="1"/>
  <c r="G156" i="7"/>
  <c r="H156" i="7" a="1"/>
  <c r="H156" i="7" s="1"/>
  <c r="I156" i="7" a="1"/>
  <c r="I156" i="7" s="1"/>
  <c r="J156" i="7" a="1"/>
  <c r="J156" i="7" s="1"/>
  <c r="B157" i="7" a="1"/>
  <c r="B157" i="7"/>
  <c r="C157" i="7" a="1"/>
  <c r="C157" i="7" s="1"/>
  <c r="D157" i="7" a="1"/>
  <c r="D157" i="7"/>
  <c r="E157" i="7" a="1"/>
  <c r="E157" i="7" s="1"/>
  <c r="F157" i="7" a="1"/>
  <c r="F157" i="7" s="1"/>
  <c r="G157" i="7" a="1"/>
  <c r="G157" i="7"/>
  <c r="H157" i="7" a="1"/>
  <c r="H157" i="7" s="1"/>
  <c r="I157" i="7" a="1"/>
  <c r="I157" i="7" s="1"/>
  <c r="J157" i="7" a="1"/>
  <c r="J157" i="7"/>
  <c r="B158" i="7" a="1"/>
  <c r="B158" i="7" s="1"/>
  <c r="C158" i="7" a="1"/>
  <c r="C158" i="7" s="1"/>
  <c r="D158" i="7" a="1"/>
  <c r="D158" i="7"/>
  <c r="E158" i="7" a="1"/>
  <c r="E158" i="7" s="1"/>
  <c r="F158" i="7" a="1"/>
  <c r="F158" i="7" s="1"/>
  <c r="G158" i="7" a="1"/>
  <c r="G158" i="7"/>
  <c r="H158" i="7" a="1"/>
  <c r="H158" i="7" s="1"/>
  <c r="I158" i="7" a="1"/>
  <c r="I158" i="7" s="1"/>
  <c r="J158" i="7" a="1"/>
  <c r="J158" i="7"/>
  <c r="B159" i="7" a="1"/>
  <c r="B159" i="7" s="1"/>
  <c r="C159" i="7" a="1"/>
  <c r="C159" i="7" s="1"/>
  <c r="D159" i="7" a="1"/>
  <c r="D159" i="7"/>
  <c r="E159" i="7" a="1"/>
  <c r="E159" i="7" s="1"/>
  <c r="F159" i="7" a="1"/>
  <c r="F159" i="7" s="1"/>
  <c r="G159" i="7" a="1"/>
  <c r="G159" i="7"/>
  <c r="H159" i="7" a="1"/>
  <c r="H159" i="7" s="1"/>
  <c r="I159" i="7" a="1"/>
  <c r="I159" i="7" s="1"/>
  <c r="J159" i="7" a="1"/>
  <c r="J159" i="7" s="1"/>
  <c r="B160" i="7" a="1"/>
  <c r="B160" i="7" s="1"/>
  <c r="C160" i="7" a="1"/>
  <c r="C160" i="7" s="1"/>
  <c r="D160" i="7" a="1"/>
  <c r="D160" i="7"/>
  <c r="E160" i="7" a="1"/>
  <c r="E160" i="7" s="1"/>
  <c r="F160" i="7" a="1"/>
  <c r="F160" i="7" s="1"/>
  <c r="G160" i="7" a="1"/>
  <c r="G160" i="7" s="1"/>
  <c r="H160" i="7" a="1"/>
  <c r="H160" i="7" s="1"/>
  <c r="I160" i="7" a="1"/>
  <c r="I160" i="7" s="1"/>
  <c r="J160" i="7" a="1"/>
  <c r="J160" i="7"/>
  <c r="B161" i="7" a="1"/>
  <c r="B161" i="7" s="1"/>
  <c r="C161" i="7" a="1"/>
  <c r="C161" i="7" s="1"/>
  <c r="D161" i="7" a="1"/>
  <c r="D161" i="7" s="1"/>
  <c r="E161" i="7" a="1"/>
  <c r="E161" i="7" s="1"/>
  <c r="F161" i="7" a="1"/>
  <c r="F161" i="7" s="1"/>
  <c r="G161" i="7" a="1"/>
  <c r="G161" i="7"/>
  <c r="H161" i="7" a="1"/>
  <c r="H161" i="7" s="1"/>
  <c r="I161" i="7" a="1"/>
  <c r="I161" i="7" s="1"/>
  <c r="J161" i="7" a="1"/>
  <c r="J161" i="7" s="1"/>
  <c r="B162" i="7" a="1"/>
  <c r="B162" i="7" s="1"/>
  <c r="C162" i="7" a="1"/>
  <c r="C162" i="7" s="1"/>
  <c r="D162" i="7" a="1"/>
  <c r="D162" i="7"/>
  <c r="E162" i="7" a="1"/>
  <c r="E162" i="7" s="1"/>
  <c r="F162" i="7" a="1"/>
  <c r="F162" i="7" s="1"/>
  <c r="G162" i="7" a="1"/>
  <c r="G162" i="7" s="1"/>
  <c r="H162" i="7" a="1"/>
  <c r="H162" i="7" s="1"/>
  <c r="I162" i="7" a="1"/>
  <c r="I162" i="7" s="1"/>
  <c r="J162" i="7" a="1"/>
  <c r="J162" i="7"/>
  <c r="B163" i="7" a="1"/>
  <c r="B163" i="7" s="1"/>
  <c r="C163" i="7" a="1"/>
  <c r="C163" i="7" s="1"/>
  <c r="D163" i="7" a="1"/>
  <c r="D163" i="7" s="1"/>
  <c r="E163" i="7" a="1"/>
  <c r="E163" i="7" s="1"/>
  <c r="F163" i="7" a="1"/>
  <c r="F163" i="7" s="1"/>
  <c r="G163" i="7" a="1"/>
  <c r="G163" i="7"/>
  <c r="H163" i="7" a="1"/>
  <c r="H163" i="7" s="1"/>
  <c r="I163" i="7" a="1"/>
  <c r="I163" i="7" s="1"/>
  <c r="J163" i="7" a="1"/>
  <c r="J163" i="7" s="1"/>
  <c r="B164" i="7" a="1"/>
  <c r="B164" i="7" s="1"/>
  <c r="C164" i="7" a="1"/>
  <c r="C164" i="7" s="1"/>
  <c r="D164" i="7" a="1"/>
  <c r="D164" i="7"/>
  <c r="E164" i="7" a="1"/>
  <c r="E164" i="7" s="1"/>
  <c r="F164" i="7" a="1"/>
  <c r="F164" i="7" s="1"/>
  <c r="G164" i="7" a="1"/>
  <c r="G164" i="7" s="1"/>
  <c r="H164" i="7" a="1"/>
  <c r="H164" i="7" s="1"/>
  <c r="I164" i="7" a="1"/>
  <c r="I164" i="7" s="1"/>
  <c r="J164" i="7" a="1"/>
  <c r="J164" i="7"/>
  <c r="B165" i="7" a="1"/>
  <c r="B165" i="7" s="1"/>
  <c r="C165" i="7" a="1"/>
  <c r="C165" i="7" s="1"/>
  <c r="D165" i="7" a="1"/>
  <c r="D165" i="7" s="1"/>
  <c r="E165" i="7" a="1"/>
  <c r="E165" i="7" s="1"/>
  <c r="F165" i="7" a="1"/>
  <c r="F165" i="7" s="1"/>
  <c r="G165" i="7" a="1"/>
  <c r="G165" i="7"/>
  <c r="H165" i="7" a="1"/>
  <c r="H165" i="7" s="1"/>
  <c r="I165" i="7" a="1"/>
  <c r="I165" i="7" s="1"/>
  <c r="J165" i="7" a="1"/>
  <c r="J165" i="7" s="1"/>
  <c r="B166" i="7" a="1"/>
  <c r="B166" i="7" s="1"/>
  <c r="C166" i="7" a="1"/>
  <c r="C166" i="7" s="1"/>
  <c r="D166" i="7" a="1"/>
  <c r="D166" i="7"/>
  <c r="E166" i="7" a="1"/>
  <c r="E166" i="7" s="1"/>
  <c r="F166" i="7" a="1"/>
  <c r="F166" i="7" s="1"/>
  <c r="G166" i="7" a="1"/>
  <c r="G166" i="7" s="1"/>
  <c r="H166" i="7" a="1"/>
  <c r="H166" i="7" s="1"/>
  <c r="I166" i="7" a="1"/>
  <c r="I166" i="7" s="1"/>
  <c r="J166" i="7" a="1"/>
  <c r="J166" i="7"/>
  <c r="B167" i="7" a="1"/>
  <c r="B167" i="7" s="1"/>
  <c r="C167" i="7" a="1"/>
  <c r="C167" i="7" s="1"/>
  <c r="D167" i="7" a="1"/>
  <c r="D167" i="7" s="1"/>
  <c r="E167" i="7" a="1"/>
  <c r="E167" i="7" s="1"/>
  <c r="F167" i="7" a="1"/>
  <c r="F167" i="7" s="1"/>
  <c r="G167" i="7" a="1"/>
  <c r="G167" i="7"/>
  <c r="H167" i="7" a="1"/>
  <c r="H167" i="7" s="1"/>
  <c r="I167" i="7" a="1"/>
  <c r="I167" i="7" s="1"/>
  <c r="J167" i="7" a="1"/>
  <c r="J167" i="7" s="1"/>
  <c r="B168" i="7" a="1"/>
  <c r="B168" i="7" s="1"/>
  <c r="C168" i="7" a="1"/>
  <c r="C168" i="7" s="1"/>
  <c r="D168" i="7" a="1"/>
  <c r="D168" i="7"/>
  <c r="E168" i="7" a="1"/>
  <c r="E168" i="7" s="1"/>
  <c r="F168" i="7" a="1"/>
  <c r="F168" i="7" s="1"/>
  <c r="G168" i="7" a="1"/>
  <c r="G168" i="7" s="1"/>
  <c r="H168" i="7" a="1"/>
  <c r="H168" i="7" s="1"/>
  <c r="I168" i="7" a="1"/>
  <c r="I168" i="7" s="1"/>
  <c r="J168" i="7" a="1"/>
  <c r="J168" i="7" s="1"/>
  <c r="B169" i="7" a="1"/>
  <c r="B169" i="7" s="1"/>
  <c r="C169" i="7" a="1"/>
  <c r="C169" i="7" s="1"/>
  <c r="D169" i="7" a="1"/>
  <c r="D169" i="7" s="1"/>
  <c r="E169" i="7" a="1"/>
  <c r="E169" i="7" s="1"/>
  <c r="F169" i="7" a="1"/>
  <c r="F169" i="7" s="1"/>
  <c r="G169" i="7" a="1"/>
  <c r="G169" i="7"/>
  <c r="H169" i="7" a="1"/>
  <c r="H169" i="7" s="1"/>
  <c r="I169" i="7" a="1"/>
  <c r="I169" i="7" s="1"/>
  <c r="J169" i="7" a="1"/>
  <c r="J169" i="7" s="1"/>
  <c r="B170" i="7" a="1"/>
  <c r="B170" i="7" s="1"/>
  <c r="C170" i="7" a="1"/>
  <c r="C170" i="7" s="1"/>
  <c r="D170" i="7" a="1"/>
  <c r="D170" i="7" s="1"/>
  <c r="E170" i="7" a="1"/>
  <c r="E170" i="7" s="1"/>
  <c r="F170" i="7" a="1"/>
  <c r="F170" i="7" s="1"/>
  <c r="G170" i="7" a="1"/>
  <c r="G170" i="7" s="1"/>
  <c r="H170" i="7" a="1"/>
  <c r="H170" i="7" s="1"/>
  <c r="I170" i="7" a="1"/>
  <c r="I170" i="7" s="1"/>
  <c r="J170" i="7" a="1"/>
  <c r="J170" i="7" s="1"/>
  <c r="B171" i="7" a="1"/>
  <c r="B171" i="7" s="1"/>
  <c r="C171" i="7" a="1"/>
  <c r="C171" i="7" s="1"/>
  <c r="D171" i="7" a="1"/>
  <c r="D171" i="7" s="1"/>
  <c r="E171" i="7" a="1"/>
  <c r="E171" i="7" s="1"/>
  <c r="F171" i="7" a="1"/>
  <c r="F171" i="7" s="1"/>
  <c r="G171" i="7" a="1"/>
  <c r="G171" i="7"/>
  <c r="H171" i="7" a="1"/>
  <c r="H171" i="7" s="1"/>
  <c r="I171" i="7" a="1"/>
  <c r="I171" i="7" s="1"/>
  <c r="J171" i="7" a="1"/>
  <c r="J171" i="7" s="1"/>
  <c r="B172" i="7" a="1"/>
  <c r="B172" i="7" s="1"/>
  <c r="C172" i="7" a="1"/>
  <c r="C172" i="7" s="1"/>
  <c r="D172" i="7" a="1"/>
  <c r="D172" i="7"/>
  <c r="E172" i="7" a="1"/>
  <c r="E172" i="7" s="1"/>
  <c r="F172" i="7" a="1"/>
  <c r="F172" i="7" s="1"/>
  <c r="G172" i="7" a="1"/>
  <c r="G172" i="7" s="1"/>
  <c r="H172" i="7" a="1"/>
  <c r="H172" i="7" s="1"/>
  <c r="I172" i="7" a="1"/>
  <c r="I172" i="7" s="1"/>
  <c r="J172" i="7" a="1"/>
  <c r="J172" i="7" s="1"/>
  <c r="B173" i="7" a="1"/>
  <c r="B173" i="7" s="1"/>
  <c r="C173" i="7" a="1"/>
  <c r="C173" i="7" s="1"/>
  <c r="D173" i="7" a="1"/>
  <c r="D173" i="7" s="1"/>
  <c r="E173" i="7" a="1"/>
  <c r="E173" i="7" s="1"/>
  <c r="F173" i="7" a="1"/>
  <c r="F173" i="7" s="1"/>
  <c r="G173" i="7" a="1"/>
  <c r="G173" i="7"/>
  <c r="H173" i="7" a="1"/>
  <c r="H173" i="7" s="1"/>
  <c r="I173" i="7" a="1"/>
  <c r="I173" i="7" s="1"/>
  <c r="J173" i="7" a="1"/>
  <c r="J173" i="7" s="1"/>
  <c r="B174" i="7" a="1"/>
  <c r="B174" i="7" s="1"/>
  <c r="C174" i="7" a="1"/>
  <c r="C174" i="7" s="1"/>
  <c r="D174" i="7" a="1"/>
  <c r="D174" i="7"/>
  <c r="E174" i="7" a="1"/>
  <c r="E174" i="7" s="1"/>
  <c r="F174" i="7" a="1"/>
  <c r="F174" i="7" s="1"/>
  <c r="G174" i="7" a="1"/>
  <c r="G174" i="7" s="1"/>
  <c r="H174" i="7" a="1"/>
  <c r="H174" i="7" s="1"/>
  <c r="I174" i="7" a="1"/>
  <c r="I174" i="7" s="1"/>
  <c r="J174" i="7" a="1"/>
  <c r="J174" i="7"/>
  <c r="B175" i="7" a="1"/>
  <c r="B175" i="7" s="1"/>
  <c r="C175" i="7" a="1"/>
  <c r="C175" i="7" s="1"/>
  <c r="D175" i="7" a="1"/>
  <c r="D175" i="7" s="1"/>
  <c r="E175" i="7" a="1"/>
  <c r="E175" i="7" s="1"/>
  <c r="F175" i="7" a="1"/>
  <c r="F175" i="7" s="1"/>
  <c r="G175" i="7" a="1"/>
  <c r="G175" i="7"/>
  <c r="H175" i="7" a="1"/>
  <c r="H175" i="7" s="1"/>
  <c r="I175" i="7" a="1"/>
  <c r="I175" i="7" s="1"/>
  <c r="J175" i="7" a="1"/>
  <c r="J175" i="7" s="1"/>
  <c r="B176" i="7" a="1"/>
  <c r="B176" i="7" s="1"/>
  <c r="C176" i="7" a="1"/>
  <c r="C176" i="7" s="1"/>
  <c r="D176" i="7" a="1"/>
  <c r="D176" i="7" s="1"/>
  <c r="E176" i="7" a="1"/>
  <c r="E176" i="7" s="1"/>
  <c r="F176" i="7" a="1"/>
  <c r="F176" i="7" s="1"/>
  <c r="G176" i="7" a="1"/>
  <c r="G176" i="7" s="1"/>
  <c r="H176" i="7" a="1"/>
  <c r="H176" i="7" s="1"/>
  <c r="I176" i="7" a="1"/>
  <c r="I176" i="7" s="1"/>
  <c r="J176" i="7" a="1"/>
  <c r="J176" i="7" s="1"/>
  <c r="B177" i="7" a="1"/>
  <c r="B177" i="7" s="1"/>
  <c r="C177" i="7" a="1"/>
  <c r="C177" i="7" s="1"/>
  <c r="D177" i="7" a="1"/>
  <c r="D177" i="7" s="1"/>
  <c r="E177" i="7" a="1"/>
  <c r="E177" i="7" s="1"/>
  <c r="F177" i="7" a="1"/>
  <c r="F177" i="7" s="1"/>
  <c r="G177" i="7" a="1"/>
  <c r="G177" i="7"/>
  <c r="H177" i="7" a="1"/>
  <c r="H177" i="7" s="1"/>
  <c r="I177" i="7" a="1"/>
  <c r="I177" i="7" s="1"/>
  <c r="J177" i="7" a="1"/>
  <c r="J177" i="7" s="1"/>
  <c r="B178" i="7" a="1"/>
  <c r="B178" i="7" s="1"/>
  <c r="C178" i="7" a="1"/>
  <c r="C178" i="7" s="1"/>
  <c r="D178" i="7" a="1"/>
  <c r="D178" i="7" s="1"/>
  <c r="E178" i="7" a="1"/>
  <c r="E178" i="7" s="1"/>
  <c r="F178" i="7" a="1"/>
  <c r="F178" i="7" s="1"/>
  <c r="G178" i="7" a="1"/>
  <c r="G178" i="7" s="1"/>
  <c r="H178" i="7" a="1"/>
  <c r="H178" i="7" s="1"/>
  <c r="I178" i="7" a="1"/>
  <c r="I178" i="7" s="1"/>
  <c r="J178" i="7" a="1"/>
  <c r="J178" i="7" s="1"/>
  <c r="B179" i="7" a="1"/>
  <c r="B179" i="7" s="1"/>
  <c r="C179" i="7" a="1"/>
  <c r="C179" i="7" s="1"/>
  <c r="D179" i="7" a="1"/>
  <c r="D179" i="7" s="1"/>
  <c r="E179" i="7" a="1"/>
  <c r="E179" i="7" s="1"/>
  <c r="F179" i="7" a="1"/>
  <c r="F179" i="7" s="1"/>
  <c r="G179" i="7" a="1"/>
  <c r="G179" i="7"/>
  <c r="H179" i="7" a="1"/>
  <c r="H179" i="7" s="1"/>
  <c r="I179" i="7" a="1"/>
  <c r="I179" i="7" s="1"/>
  <c r="J179" i="7" a="1"/>
  <c r="J179" i="7" s="1"/>
  <c r="B180" i="7" a="1"/>
  <c r="B180" i="7" s="1"/>
  <c r="C180" i="7" a="1"/>
  <c r="C180" i="7" s="1"/>
  <c r="D180" i="7" a="1"/>
  <c r="D180" i="7"/>
  <c r="E180" i="7" a="1"/>
  <c r="E180" i="7" s="1"/>
  <c r="F180" i="7" a="1"/>
  <c r="F180" i="7" s="1"/>
  <c r="G180" i="7" a="1"/>
  <c r="G180" i="7" s="1"/>
  <c r="H180" i="7" a="1"/>
  <c r="H180" i="7" s="1"/>
  <c r="I180" i="7" a="1"/>
  <c r="I180" i="7" s="1"/>
  <c r="J180" i="7" a="1"/>
  <c r="J180" i="7" s="1"/>
  <c r="B181" i="7" a="1"/>
  <c r="B181" i="7" s="1"/>
  <c r="C181" i="7" a="1"/>
  <c r="C181" i="7" s="1"/>
  <c r="D181" i="7" a="1"/>
  <c r="D181" i="7" s="1"/>
  <c r="E181" i="7" a="1"/>
  <c r="E181" i="7" s="1"/>
  <c r="F181" i="7" a="1"/>
  <c r="F181" i="7" s="1"/>
  <c r="G181" i="7" a="1"/>
  <c r="G181" i="7"/>
  <c r="H181" i="7" a="1"/>
  <c r="H181" i="7" s="1"/>
  <c r="I181" i="7" a="1"/>
  <c r="I181" i="7" s="1"/>
  <c r="J181" i="7" a="1"/>
  <c r="J181" i="7" s="1"/>
  <c r="B182" i="7" a="1"/>
  <c r="B182" i="7" s="1"/>
  <c r="C182" i="7" a="1"/>
  <c r="C182" i="7" s="1"/>
  <c r="D182" i="7" a="1"/>
  <c r="D182" i="7"/>
  <c r="E182" i="7" a="1"/>
  <c r="E182" i="7" s="1"/>
  <c r="F182" i="7" a="1"/>
  <c r="F182" i="7" s="1"/>
  <c r="G182" i="7" a="1"/>
  <c r="G182" i="7" s="1"/>
  <c r="H182" i="7" a="1"/>
  <c r="H182" i="7" s="1"/>
  <c r="I182" i="7" a="1"/>
  <c r="I182" i="7" s="1"/>
  <c r="J182" i="7" a="1"/>
  <c r="J182" i="7"/>
  <c r="B183" i="7" a="1"/>
  <c r="B183" i="7" s="1"/>
  <c r="C183" i="7" a="1"/>
  <c r="C183" i="7" s="1"/>
  <c r="D183" i="7" a="1"/>
  <c r="D183" i="7" s="1"/>
  <c r="E183" i="7" a="1"/>
  <c r="E183" i="7" s="1"/>
  <c r="F183" i="7" a="1"/>
  <c r="F183" i="7" s="1"/>
  <c r="G183" i="7" a="1"/>
  <c r="G183" i="7" s="1"/>
  <c r="H183" i="7" a="1"/>
  <c r="H183" i="7" s="1"/>
  <c r="I183" i="7" a="1"/>
  <c r="I183" i="7" s="1"/>
  <c r="J183" i="7" a="1"/>
  <c r="J183" i="7" s="1"/>
  <c r="B184" i="7" a="1"/>
  <c r="B184" i="7" s="1"/>
  <c r="C184" i="7" a="1"/>
  <c r="C184" i="7" s="1"/>
  <c r="D184" i="7" a="1"/>
  <c r="D184" i="7" s="1"/>
  <c r="E184" i="7" a="1"/>
  <c r="E184" i="7" s="1"/>
  <c r="F184" i="7" a="1"/>
  <c r="F184" i="7" s="1"/>
  <c r="G184" i="7" a="1"/>
  <c r="G184" i="7" s="1"/>
  <c r="H184" i="7" a="1"/>
  <c r="H184" i="7" s="1"/>
  <c r="I184" i="7" a="1"/>
  <c r="I184" i="7" s="1"/>
  <c r="J184" i="7" a="1"/>
  <c r="J184" i="7" s="1"/>
  <c r="B185" i="7" a="1"/>
  <c r="B185" i="7" s="1"/>
  <c r="C185" i="7" a="1"/>
  <c r="C185" i="7" s="1"/>
  <c r="D185" i="7" a="1"/>
  <c r="D185" i="7" s="1"/>
  <c r="E185" i="7" a="1"/>
  <c r="E185" i="7" s="1"/>
  <c r="F185" i="7" a="1"/>
  <c r="F185" i="7" s="1"/>
  <c r="G185" i="7" a="1"/>
  <c r="G185" i="7"/>
  <c r="H185" i="7" a="1"/>
  <c r="H185" i="7" s="1"/>
  <c r="I185" i="7" a="1"/>
  <c r="I185" i="7" s="1"/>
  <c r="J185" i="7" a="1"/>
  <c r="J185" i="7" s="1"/>
  <c r="B186" i="7" a="1"/>
  <c r="B186" i="7" s="1"/>
  <c r="C186" i="7" a="1"/>
  <c r="C186" i="7" s="1"/>
  <c r="D186" i="7" a="1"/>
  <c r="D186" i="7" s="1"/>
  <c r="E186" i="7" a="1"/>
  <c r="E186" i="7" s="1"/>
  <c r="F186" i="7" a="1"/>
  <c r="F186" i="7" s="1"/>
  <c r="G186" i="7" a="1"/>
  <c r="G186" i="7" s="1"/>
  <c r="H186" i="7" a="1"/>
  <c r="H186" i="7" s="1"/>
  <c r="I186" i="7" a="1"/>
  <c r="I186" i="7" s="1"/>
  <c r="J186" i="7" a="1"/>
  <c r="J186" i="7" s="1"/>
  <c r="B187" i="7" a="1"/>
  <c r="B187" i="7" s="1"/>
  <c r="C187" i="7" a="1"/>
  <c r="C187" i="7" s="1"/>
  <c r="D187" i="7" a="1"/>
  <c r="D187" i="7" s="1"/>
  <c r="E187" i="7" a="1"/>
  <c r="E187" i="7" s="1"/>
  <c r="F187" i="7" a="1"/>
  <c r="F187" i="7" s="1"/>
  <c r="G187" i="7" a="1"/>
  <c r="G187" i="7"/>
  <c r="H187" i="7" a="1"/>
  <c r="H187" i="7" s="1"/>
  <c r="I187" i="7" a="1"/>
  <c r="I187" i="7" s="1"/>
  <c r="J187" i="7" a="1"/>
  <c r="J187" i="7" s="1"/>
  <c r="B188" i="7" a="1"/>
  <c r="B188" i="7" s="1"/>
  <c r="C188" i="7" a="1"/>
  <c r="C188" i="7" s="1"/>
  <c r="D188" i="7" a="1"/>
  <c r="D188" i="7"/>
  <c r="E188" i="7" a="1"/>
  <c r="E188" i="7" s="1"/>
  <c r="F188" i="7" a="1"/>
  <c r="F188" i="7" s="1"/>
  <c r="G188" i="7" a="1"/>
  <c r="G188" i="7" s="1"/>
  <c r="H188" i="7" a="1"/>
  <c r="H188" i="7" s="1"/>
  <c r="I188" i="7" a="1"/>
  <c r="I188" i="7" s="1"/>
  <c r="J188" i="7" a="1"/>
  <c r="J188" i="7" s="1"/>
  <c r="B189" i="7" a="1"/>
  <c r="B189" i="7" s="1"/>
  <c r="C189" i="7" a="1"/>
  <c r="C189" i="7" s="1"/>
  <c r="D189" i="7" a="1"/>
  <c r="D189" i="7" s="1"/>
  <c r="E189" i="7" a="1"/>
  <c r="E189" i="7" s="1"/>
  <c r="F189" i="7" a="1"/>
  <c r="F189" i="7" s="1"/>
  <c r="G189" i="7" a="1"/>
  <c r="G189" i="7"/>
  <c r="H189" i="7" a="1"/>
  <c r="H189" i="7" s="1"/>
  <c r="I189" i="7" a="1"/>
  <c r="I189" i="7" s="1"/>
  <c r="J189" i="7" a="1"/>
  <c r="J189" i="7" s="1"/>
  <c r="B190" i="7" a="1"/>
  <c r="B190" i="7" s="1"/>
  <c r="C190" i="7" a="1"/>
  <c r="C190" i="7" s="1"/>
  <c r="D190" i="7" a="1"/>
  <c r="D190" i="7"/>
  <c r="E190" i="7" a="1"/>
  <c r="E190" i="7" s="1"/>
  <c r="F190" i="7" a="1"/>
  <c r="F190" i="7" s="1"/>
  <c r="G190" i="7" a="1"/>
  <c r="G190" i="7" s="1"/>
  <c r="H190" i="7" a="1"/>
  <c r="H190" i="7" s="1"/>
  <c r="I190" i="7" a="1"/>
  <c r="I190" i="7" s="1"/>
  <c r="J190" i="7" a="1"/>
  <c r="J190" i="7"/>
  <c r="B191" i="7" a="1"/>
  <c r="B191" i="7" s="1"/>
  <c r="C191" i="7" a="1"/>
  <c r="C191" i="7" s="1"/>
  <c r="D191" i="7" a="1"/>
  <c r="D191" i="7" s="1"/>
  <c r="E191" i="7" a="1"/>
  <c r="E191" i="7" s="1"/>
  <c r="F191" i="7" a="1"/>
  <c r="F191" i="7" s="1"/>
  <c r="G191" i="7" a="1"/>
  <c r="G191" i="7" s="1"/>
  <c r="H191" i="7" a="1"/>
  <c r="H191" i="7" s="1"/>
  <c r="I191" i="7" a="1"/>
  <c r="I191" i="7" s="1"/>
  <c r="J191" i="7" a="1"/>
  <c r="J191" i="7" s="1"/>
  <c r="B192" i="7" a="1"/>
  <c r="B192" i="7" s="1"/>
  <c r="C192" i="7" a="1"/>
  <c r="C192" i="7" s="1"/>
  <c r="D192" i="7" a="1"/>
  <c r="D192" i="7" s="1"/>
  <c r="E192" i="7" a="1"/>
  <c r="E192" i="7" s="1"/>
  <c r="F192" i="7" a="1"/>
  <c r="F192" i="7" s="1"/>
  <c r="G192" i="7" a="1"/>
  <c r="G192" i="7" s="1"/>
  <c r="H192" i="7" a="1"/>
  <c r="H192" i="7" s="1"/>
  <c r="I192" i="7" a="1"/>
  <c r="I192" i="7" s="1"/>
  <c r="J192" i="7" a="1"/>
  <c r="J192" i="7" s="1"/>
  <c r="B193" i="7" a="1"/>
  <c r="B193" i="7" s="1"/>
  <c r="C193" i="7" a="1"/>
  <c r="C193" i="7" s="1"/>
  <c r="D193" i="7" a="1"/>
  <c r="D193" i="7" s="1"/>
  <c r="E193" i="7" a="1"/>
  <c r="E193" i="7" s="1"/>
  <c r="F193" i="7" a="1"/>
  <c r="F193" i="7" s="1"/>
  <c r="G193" i="7" a="1"/>
  <c r="G193" i="7"/>
  <c r="H193" i="7" a="1"/>
  <c r="H193" i="7" s="1"/>
  <c r="I193" i="7" a="1"/>
  <c r="I193" i="7" s="1"/>
  <c r="J193" i="7" a="1"/>
  <c r="J193" i="7" s="1"/>
  <c r="B194" i="7" a="1"/>
  <c r="B194" i="7" s="1"/>
  <c r="C194" i="7" a="1"/>
  <c r="C194" i="7" s="1"/>
  <c r="D194" i="7" a="1"/>
  <c r="D194" i="7" s="1"/>
  <c r="E194" i="7" a="1"/>
  <c r="E194" i="7" s="1"/>
  <c r="F194" i="7" a="1"/>
  <c r="F194" i="7" s="1"/>
  <c r="G194" i="7" a="1"/>
  <c r="G194" i="7" s="1"/>
  <c r="H194" i="7" a="1"/>
  <c r="H194" i="7" s="1"/>
  <c r="I194" i="7" a="1"/>
  <c r="I194" i="7" s="1"/>
  <c r="J194" i="7" a="1"/>
  <c r="J194" i="7" s="1"/>
  <c r="B195" i="7" a="1"/>
  <c r="B195" i="7" s="1"/>
  <c r="C195" i="7" a="1"/>
  <c r="C195" i="7" s="1"/>
  <c r="D195" i="7" a="1"/>
  <c r="D195" i="7" s="1"/>
  <c r="E195" i="7" a="1"/>
  <c r="E195" i="7" s="1"/>
  <c r="F195" i="7" a="1"/>
  <c r="F195" i="7" s="1"/>
  <c r="G195" i="7" a="1"/>
  <c r="G195" i="7"/>
  <c r="H195" i="7" a="1"/>
  <c r="H195" i="7" s="1"/>
  <c r="I195" i="7" a="1"/>
  <c r="I195" i="7" s="1"/>
  <c r="J195" i="7" a="1"/>
  <c r="J195" i="7" s="1"/>
  <c r="B196" i="7" a="1"/>
  <c r="B196" i="7" s="1"/>
  <c r="C196" i="7" a="1"/>
  <c r="C196" i="7" s="1"/>
  <c r="D196" i="7" a="1"/>
  <c r="D196" i="7"/>
  <c r="E196" i="7" a="1"/>
  <c r="E196" i="7" s="1"/>
  <c r="F196" i="7" a="1"/>
  <c r="F196" i="7" s="1"/>
  <c r="G196" i="7" a="1"/>
  <c r="G196" i="7" s="1"/>
  <c r="H196" i="7" a="1"/>
  <c r="H196" i="7" s="1"/>
  <c r="I196" i="7" a="1"/>
  <c r="I196" i="7" s="1"/>
  <c r="J196" i="7" a="1"/>
  <c r="J196" i="7" s="1"/>
  <c r="B197" i="7" a="1"/>
  <c r="B197" i="7" s="1"/>
  <c r="C197" i="7" a="1"/>
  <c r="C197" i="7" s="1"/>
  <c r="D197" i="7" a="1"/>
  <c r="D197" i="7" s="1"/>
  <c r="E197" i="7" a="1"/>
  <c r="E197" i="7" s="1"/>
  <c r="F197" i="7" a="1"/>
  <c r="F197" i="7" s="1"/>
  <c r="G197" i="7" a="1"/>
  <c r="G197" i="7"/>
  <c r="H197" i="7" a="1"/>
  <c r="H197" i="7" s="1"/>
  <c r="I197" i="7" a="1"/>
  <c r="I197" i="7" s="1"/>
  <c r="J197" i="7" a="1"/>
  <c r="J197" i="7" s="1"/>
  <c r="B198" i="7" a="1"/>
  <c r="B198" i="7" s="1"/>
  <c r="C198" i="7" a="1"/>
  <c r="C198" i="7" s="1"/>
  <c r="D198" i="7" a="1"/>
  <c r="D198" i="7"/>
  <c r="E198" i="7" a="1"/>
  <c r="E198" i="7" s="1"/>
  <c r="F198" i="7" a="1"/>
  <c r="F198" i="7" s="1"/>
  <c r="G198" i="7" a="1"/>
  <c r="G198" i="7" s="1"/>
  <c r="H198" i="7" a="1"/>
  <c r="H198" i="7" s="1"/>
  <c r="I198" i="7" a="1"/>
  <c r="I198" i="7" s="1"/>
  <c r="J198" i="7" a="1"/>
  <c r="J198" i="7"/>
  <c r="B199" i="7" a="1"/>
  <c r="B199" i="7" s="1"/>
  <c r="C199" i="7" a="1"/>
  <c r="C199" i="7" s="1"/>
  <c r="D199" i="7" a="1"/>
  <c r="D199" i="7" s="1"/>
  <c r="E199" i="7" a="1"/>
  <c r="E199" i="7" s="1"/>
  <c r="F199" i="7" a="1"/>
  <c r="F199" i="7" s="1"/>
  <c r="G199" i="7" a="1"/>
  <c r="G199" i="7"/>
  <c r="H199" i="7" a="1"/>
  <c r="H199" i="7" s="1"/>
  <c r="I199" i="7" a="1"/>
  <c r="I199" i="7" s="1"/>
  <c r="J199" i="7" a="1"/>
  <c r="J199" i="7" s="1"/>
  <c r="B200" i="7" a="1"/>
  <c r="B200" i="7" s="1"/>
  <c r="C200" i="7" a="1"/>
  <c r="C200" i="7" s="1"/>
  <c r="D200" i="7" a="1"/>
  <c r="D200" i="7" s="1"/>
  <c r="E200" i="7" a="1"/>
  <c r="E200" i="7" s="1"/>
  <c r="F200" i="7" a="1"/>
  <c r="F200" i="7" s="1"/>
  <c r="G200" i="7" a="1"/>
  <c r="G200" i="7" s="1"/>
  <c r="H200" i="7" a="1"/>
  <c r="H200" i="7" s="1"/>
  <c r="I200" i="7" a="1"/>
  <c r="I200" i="7" s="1"/>
  <c r="J200" i="7" a="1"/>
  <c r="J200" i="7" s="1"/>
  <c r="B201" i="7" a="1"/>
  <c r="B201" i="7" s="1"/>
  <c r="C201" i="7" a="1"/>
  <c r="C201" i="7" s="1"/>
  <c r="D201" i="7" a="1"/>
  <c r="D201" i="7" s="1"/>
  <c r="E201" i="7" a="1"/>
  <c r="E201" i="7" s="1"/>
  <c r="F201" i="7" a="1"/>
  <c r="F201" i="7" s="1"/>
  <c r="G201" i="7" a="1"/>
  <c r="G201" i="7"/>
  <c r="H201" i="7" a="1"/>
  <c r="H201" i="7" s="1"/>
  <c r="I201" i="7" a="1"/>
  <c r="I201" i="7" s="1"/>
  <c r="J201" i="7" a="1"/>
  <c r="J201" i="7" s="1"/>
  <c r="B202" i="7" a="1"/>
  <c r="B202" i="7" s="1"/>
  <c r="C202" i="7" a="1"/>
  <c r="C202" i="7" s="1"/>
  <c r="D202" i="7" a="1"/>
  <c r="D202" i="7" s="1"/>
  <c r="E202" i="7" a="1"/>
  <c r="E202" i="7" s="1"/>
  <c r="F202" i="7" a="1"/>
  <c r="F202" i="7" s="1"/>
  <c r="G202" i="7" a="1"/>
  <c r="G202" i="7" s="1"/>
  <c r="H202" i="7" a="1"/>
  <c r="H202" i="7" s="1"/>
  <c r="I202" i="7" a="1"/>
  <c r="I202" i="7" s="1"/>
  <c r="J202" i="7" a="1"/>
  <c r="J202" i="7" s="1"/>
  <c r="B203" i="7" a="1"/>
  <c r="B203" i="7" s="1"/>
  <c r="C203" i="7" a="1"/>
  <c r="C203" i="7" s="1"/>
  <c r="D203" i="7" a="1"/>
  <c r="D203" i="7" s="1"/>
  <c r="E203" i="7" a="1"/>
  <c r="E203" i="7" s="1"/>
  <c r="F203" i="7" a="1"/>
  <c r="F203" i="7" s="1"/>
  <c r="G203" i="7" a="1"/>
  <c r="G203" i="7"/>
  <c r="H203" i="7" a="1"/>
  <c r="H203" i="7" s="1"/>
  <c r="I203" i="7" a="1"/>
  <c r="I203" i="7" s="1"/>
  <c r="J203" i="7" a="1"/>
  <c r="J203" i="7" s="1"/>
  <c r="B204" i="7" a="1"/>
  <c r="B204" i="7" s="1"/>
  <c r="C204" i="7" a="1"/>
  <c r="C204" i="7" s="1"/>
  <c r="D204" i="7" a="1"/>
  <c r="D204" i="7"/>
  <c r="E204" i="7" a="1"/>
  <c r="E204" i="7" s="1"/>
  <c r="F204" i="7" a="1"/>
  <c r="F204" i="7" s="1"/>
  <c r="G204" i="7" a="1"/>
  <c r="G204" i="7" s="1"/>
  <c r="H204" i="7" a="1"/>
  <c r="H204" i="7" s="1"/>
  <c r="I204" i="7" a="1"/>
  <c r="I204" i="7" s="1"/>
  <c r="J204" i="7" a="1"/>
  <c r="J204" i="7" s="1"/>
  <c r="B205" i="7" a="1"/>
  <c r="B205" i="7" s="1"/>
  <c r="C205" i="7" a="1"/>
  <c r="C205" i="7" s="1"/>
  <c r="D205" i="7" a="1"/>
  <c r="D205" i="7" s="1"/>
  <c r="E205" i="7" a="1"/>
  <c r="E205" i="7" s="1"/>
  <c r="F205" i="7" a="1"/>
  <c r="F205" i="7" s="1"/>
  <c r="G205" i="7" a="1"/>
  <c r="G205" i="7"/>
  <c r="H205" i="7" a="1"/>
  <c r="H205" i="7" s="1"/>
  <c r="I205" i="7" a="1"/>
  <c r="I205" i="7" s="1"/>
  <c r="J205" i="7" a="1"/>
  <c r="J205" i="7" s="1"/>
  <c r="B206" i="7" a="1"/>
  <c r="B206" i="7" s="1"/>
  <c r="C206" i="7" a="1"/>
  <c r="C206" i="7" s="1"/>
  <c r="D206" i="7" a="1"/>
  <c r="D206" i="7"/>
  <c r="E206" i="7" a="1"/>
  <c r="E206" i="7" s="1"/>
  <c r="F206" i="7" a="1"/>
  <c r="F206" i="7" s="1"/>
  <c r="G206" i="7" a="1"/>
  <c r="G206" i="7" s="1"/>
  <c r="H206" i="7" a="1"/>
  <c r="H206" i="7" s="1"/>
  <c r="I206" i="7" a="1"/>
  <c r="I206" i="7" s="1"/>
  <c r="J206" i="7" a="1"/>
  <c r="J206" i="7"/>
  <c r="B207" i="7" a="1"/>
  <c r="B207" i="7" s="1"/>
  <c r="C207" i="7" a="1"/>
  <c r="C207" i="7" s="1"/>
  <c r="D207" i="7" a="1"/>
  <c r="D207" i="7" s="1"/>
  <c r="E207" i="7" a="1"/>
  <c r="E207" i="7" s="1"/>
  <c r="F207" i="7" a="1"/>
  <c r="F207" i="7" s="1"/>
  <c r="G207" i="7" a="1"/>
  <c r="G207" i="7"/>
  <c r="H207" i="7" a="1"/>
  <c r="H207" i="7" s="1"/>
  <c r="I207" i="7" a="1"/>
  <c r="I207" i="7" s="1"/>
  <c r="J207" i="7" a="1"/>
  <c r="J207" i="7" s="1"/>
  <c r="B208" i="7" a="1"/>
  <c r="B208" i="7" s="1"/>
  <c r="C208" i="7" a="1"/>
  <c r="C208" i="7" s="1"/>
  <c r="D208" i="7" a="1"/>
  <c r="D208" i="7" s="1"/>
  <c r="E208" i="7" a="1"/>
  <c r="E208" i="7" s="1"/>
  <c r="F208" i="7" a="1"/>
  <c r="F208" i="7" s="1"/>
  <c r="G208" i="7" a="1"/>
  <c r="G208" i="7" s="1"/>
  <c r="H208" i="7" a="1"/>
  <c r="H208" i="7" s="1"/>
  <c r="I208" i="7" a="1"/>
  <c r="I208" i="7" s="1"/>
  <c r="J208" i="7" a="1"/>
  <c r="J208" i="7" s="1"/>
  <c r="B209" i="7" a="1"/>
  <c r="B209" i="7" s="1"/>
  <c r="C209" i="7" a="1"/>
  <c r="C209" i="7" s="1"/>
  <c r="D209" i="7" a="1"/>
  <c r="D209" i="7" s="1"/>
  <c r="E209" i="7" a="1"/>
  <c r="E209" i="7" s="1"/>
  <c r="F209" i="7" a="1"/>
  <c r="F209" i="7" s="1"/>
  <c r="G209" i="7" a="1"/>
  <c r="G209" i="7"/>
  <c r="H209" i="7" a="1"/>
  <c r="H209" i="7" s="1"/>
  <c r="I209" i="7" a="1"/>
  <c r="I209" i="7" s="1"/>
  <c r="J209" i="7" a="1"/>
  <c r="J209" i="7" s="1"/>
  <c r="B210" i="7" a="1"/>
  <c r="B210" i="7" s="1"/>
  <c r="C210" i="7" a="1"/>
  <c r="C210" i="7" s="1"/>
  <c r="D210" i="7" a="1"/>
  <c r="D210" i="7" s="1"/>
  <c r="E210" i="7" a="1"/>
  <c r="E210" i="7" s="1"/>
  <c r="F210" i="7" a="1"/>
  <c r="F210" i="7" s="1"/>
  <c r="G210" i="7" a="1"/>
  <c r="G210" i="7" s="1"/>
  <c r="H210" i="7" a="1"/>
  <c r="H210" i="7" s="1"/>
  <c r="I210" i="7" a="1"/>
  <c r="I210" i="7" s="1"/>
  <c r="J210" i="7" a="1"/>
  <c r="J210" i="7" s="1"/>
  <c r="B211" i="7" a="1"/>
  <c r="B211" i="7" s="1"/>
  <c r="C211" i="7" a="1"/>
  <c r="C211" i="7" s="1"/>
  <c r="D211" i="7" a="1"/>
  <c r="D211" i="7" s="1"/>
  <c r="E211" i="7" a="1"/>
  <c r="E211" i="7" s="1"/>
  <c r="F211" i="7" a="1"/>
  <c r="F211" i="7" s="1"/>
  <c r="G211" i="7" a="1"/>
  <c r="G211" i="7"/>
  <c r="H211" i="7" a="1"/>
  <c r="H211" i="7" s="1"/>
  <c r="I211" i="7" a="1"/>
  <c r="I211" i="7" s="1"/>
  <c r="J211" i="7" a="1"/>
  <c r="J211" i="7" s="1"/>
  <c r="B212" i="7" a="1"/>
  <c r="B212" i="7" s="1"/>
  <c r="C212" i="7" a="1"/>
  <c r="C212" i="7" s="1"/>
  <c r="D212" i="7" a="1"/>
  <c r="D212" i="7"/>
  <c r="E212" i="7" a="1"/>
  <c r="E212" i="7" s="1"/>
  <c r="F212" i="7" a="1"/>
  <c r="F212" i="7" s="1"/>
  <c r="G212" i="7" a="1"/>
  <c r="G212" i="7" s="1"/>
  <c r="H212" i="7" a="1"/>
  <c r="H212" i="7" s="1"/>
  <c r="I212" i="7" a="1"/>
  <c r="I212" i="7" s="1"/>
  <c r="J212" i="7" a="1"/>
  <c r="J212" i="7" s="1"/>
  <c r="B213" i="7" a="1"/>
  <c r="B213" i="7" s="1"/>
  <c r="C213" i="7" a="1"/>
  <c r="C213" i="7" s="1"/>
  <c r="D213" i="7" a="1"/>
  <c r="D213" i="7" s="1"/>
  <c r="E213" i="7" a="1"/>
  <c r="E213" i="7" s="1"/>
  <c r="F213" i="7" a="1"/>
  <c r="F213" i="7" s="1"/>
  <c r="G213" i="7" a="1"/>
  <c r="G213" i="7"/>
  <c r="H213" i="7" a="1"/>
  <c r="H213" i="7" s="1"/>
  <c r="I213" i="7" a="1"/>
  <c r="I213" i="7" s="1"/>
  <c r="J213" i="7" a="1"/>
  <c r="J213" i="7" s="1"/>
  <c r="B214" i="7" a="1"/>
  <c r="B214" i="7" s="1"/>
  <c r="C214" i="7" a="1"/>
  <c r="C214" i="7" s="1"/>
  <c r="D214" i="7" a="1"/>
  <c r="D214" i="7"/>
  <c r="E214" i="7" a="1"/>
  <c r="E214" i="7" s="1"/>
  <c r="F214" i="7" a="1"/>
  <c r="F214" i="7" s="1"/>
  <c r="G214" i="7" a="1"/>
  <c r="G214" i="7" s="1"/>
  <c r="H214" i="7" a="1"/>
  <c r="H214" i="7" s="1"/>
  <c r="I214" i="7" a="1"/>
  <c r="I214" i="7" s="1"/>
  <c r="J214" i="7" a="1"/>
  <c r="J214" i="7"/>
  <c r="B215" i="7" a="1"/>
  <c r="B215" i="7" s="1"/>
  <c r="C215" i="7" a="1"/>
  <c r="C215" i="7" s="1"/>
  <c r="D215" i="7" a="1"/>
  <c r="D215" i="7" s="1"/>
  <c r="E215" i="7" a="1"/>
  <c r="E215" i="7" s="1"/>
  <c r="F215" i="7" a="1"/>
  <c r="F215" i="7" s="1"/>
  <c r="G215" i="7" a="1"/>
  <c r="G215" i="7"/>
  <c r="H215" i="7" a="1"/>
  <c r="H215" i="7" s="1"/>
  <c r="I215" i="7" a="1"/>
  <c r="I215" i="7" s="1"/>
  <c r="J215" i="7" a="1"/>
  <c r="J215" i="7" s="1"/>
  <c r="B216" i="7" a="1"/>
  <c r="B216" i="7" s="1"/>
  <c r="C216" i="7" a="1"/>
  <c r="C216" i="7" s="1"/>
  <c r="D216" i="7" a="1"/>
  <c r="D216" i="7" s="1"/>
  <c r="E216" i="7" a="1"/>
  <c r="E216" i="7" s="1"/>
  <c r="F216" i="7" a="1"/>
  <c r="F216" i="7" s="1"/>
  <c r="G216" i="7" a="1"/>
  <c r="G216" i="7" s="1"/>
  <c r="H216" i="7" a="1"/>
  <c r="H216" i="7" s="1"/>
  <c r="I216" i="7" a="1"/>
  <c r="I216" i="7" s="1"/>
  <c r="J216" i="7" a="1"/>
  <c r="J216" i="7" s="1"/>
  <c r="B217" i="7" a="1"/>
  <c r="B217" i="7" s="1"/>
  <c r="C217" i="7" a="1"/>
  <c r="C217" i="7" s="1"/>
  <c r="D217" i="7" a="1"/>
  <c r="D217" i="7" s="1"/>
  <c r="E217" i="7" a="1"/>
  <c r="E217" i="7" s="1"/>
  <c r="F217" i="7" a="1"/>
  <c r="F217" i="7" s="1"/>
  <c r="G217" i="7" a="1"/>
  <c r="G217" i="7"/>
  <c r="H217" i="7" a="1"/>
  <c r="H217" i="7" s="1"/>
  <c r="I217" i="7" a="1"/>
  <c r="I217" i="7" s="1"/>
  <c r="J217" i="7" a="1"/>
  <c r="J217" i="7" s="1"/>
  <c r="B218" i="7" a="1"/>
  <c r="B218" i="7" s="1"/>
  <c r="C218" i="7" a="1"/>
  <c r="C218" i="7" s="1"/>
  <c r="D218" i="7" a="1"/>
  <c r="D218" i="7" s="1"/>
  <c r="E218" i="7" a="1"/>
  <c r="E218" i="7" s="1"/>
  <c r="F218" i="7" a="1"/>
  <c r="F218" i="7" s="1"/>
  <c r="G218" i="7" a="1"/>
  <c r="G218" i="7" s="1"/>
  <c r="H218" i="7" a="1"/>
  <c r="H218" i="7" s="1"/>
  <c r="I218" i="7" a="1"/>
  <c r="I218" i="7" s="1"/>
  <c r="J218" i="7" a="1"/>
  <c r="J218" i="7" s="1"/>
  <c r="B219" i="7" a="1"/>
  <c r="B219" i="7" s="1"/>
  <c r="C219" i="7" a="1"/>
  <c r="C219" i="7" s="1"/>
  <c r="D219" i="7" a="1"/>
  <c r="D219" i="7" s="1"/>
  <c r="E219" i="7" a="1"/>
  <c r="E219" i="7" s="1"/>
  <c r="F219" i="7" a="1"/>
  <c r="F219" i="7" s="1"/>
  <c r="G219" i="7" a="1"/>
  <c r="G219" i="7"/>
  <c r="H219" i="7" a="1"/>
  <c r="H219" i="7" s="1"/>
  <c r="I219" i="7" a="1"/>
  <c r="I219" i="7" s="1"/>
  <c r="J219" i="7" a="1"/>
  <c r="J219" i="7" s="1"/>
  <c r="B220" i="7" a="1"/>
  <c r="B220" i="7" s="1"/>
  <c r="C220" i="7" a="1"/>
  <c r="C220" i="7" s="1"/>
  <c r="D220" i="7" a="1"/>
  <c r="D220" i="7"/>
  <c r="E220" i="7" a="1"/>
  <c r="E220" i="7" s="1"/>
  <c r="F220" i="7" a="1"/>
  <c r="F220" i="7" s="1"/>
  <c r="G220" i="7" a="1"/>
  <c r="G220" i="7" s="1"/>
  <c r="H220" i="7" a="1"/>
  <c r="H220" i="7" s="1"/>
  <c r="I220" i="7" a="1"/>
  <c r="I220" i="7" s="1"/>
  <c r="J220" i="7" a="1"/>
  <c r="J220" i="7" s="1"/>
  <c r="B221" i="7" a="1"/>
  <c r="B221" i="7" s="1"/>
  <c r="C221" i="7" a="1"/>
  <c r="C221" i="7" s="1"/>
  <c r="D221" i="7" a="1"/>
  <c r="D221" i="7" s="1"/>
  <c r="E221" i="7" a="1"/>
  <c r="E221" i="7" s="1"/>
  <c r="F221" i="7" a="1"/>
  <c r="F221" i="7" s="1"/>
  <c r="G221" i="7" a="1"/>
  <c r="G221" i="7"/>
  <c r="H221" i="7" a="1"/>
  <c r="H221" i="7" s="1"/>
  <c r="I221" i="7" a="1"/>
  <c r="I221" i="7" s="1"/>
  <c r="J221" i="7" a="1"/>
  <c r="J221" i="7" s="1"/>
  <c r="B222" i="7" a="1"/>
  <c r="B222" i="7" s="1"/>
  <c r="C222" i="7" a="1"/>
  <c r="C222" i="7" s="1"/>
  <c r="D222" i="7" a="1"/>
  <c r="D222" i="7"/>
  <c r="E222" i="7" a="1"/>
  <c r="E222" i="7" s="1"/>
  <c r="F222" i="7" a="1"/>
  <c r="F222" i="7" s="1"/>
  <c r="G222" i="7" a="1"/>
  <c r="G222" i="7" s="1"/>
  <c r="H222" i="7" a="1"/>
  <c r="H222" i="7" s="1"/>
  <c r="I222" i="7" a="1"/>
  <c r="I222" i="7" s="1"/>
  <c r="J222" i="7" a="1"/>
  <c r="J222" i="7"/>
  <c r="B223" i="7" a="1"/>
  <c r="B223" i="7" s="1"/>
  <c r="C223" i="7" a="1"/>
  <c r="C223" i="7" s="1"/>
  <c r="D223" i="7" a="1"/>
  <c r="D223" i="7" s="1"/>
  <c r="E223" i="7" a="1"/>
  <c r="E223" i="7" s="1"/>
  <c r="F223" i="7" a="1"/>
  <c r="F223" i="7" s="1"/>
  <c r="G223" i="7" a="1"/>
  <c r="G223" i="7" s="1"/>
  <c r="H223" i="7" a="1"/>
  <c r="H223" i="7" s="1"/>
  <c r="I223" i="7" a="1"/>
  <c r="I223" i="7" s="1"/>
  <c r="J223" i="7" a="1"/>
  <c r="J223" i="7" s="1"/>
  <c r="B224" i="7" a="1"/>
  <c r="B224" i="7" s="1"/>
  <c r="C224" i="7" a="1"/>
  <c r="C224" i="7" s="1"/>
  <c r="D224" i="7" a="1"/>
  <c r="D224" i="7" s="1"/>
  <c r="E224" i="7" a="1"/>
  <c r="E224" i="7" s="1"/>
  <c r="F224" i="7" a="1"/>
  <c r="F224" i="7" s="1"/>
  <c r="G224" i="7" a="1"/>
  <c r="G224" i="7" s="1"/>
  <c r="H224" i="7" a="1"/>
  <c r="H224" i="7" s="1"/>
  <c r="I224" i="7" a="1"/>
  <c r="I224" i="7" s="1"/>
  <c r="J224" i="7" a="1"/>
  <c r="J224" i="7" s="1"/>
  <c r="B225" i="7" a="1"/>
  <c r="B225" i="7" s="1"/>
  <c r="C225" i="7" a="1"/>
  <c r="C225" i="7" s="1"/>
  <c r="D225" i="7" a="1"/>
  <c r="D225" i="7" s="1"/>
  <c r="E225" i="7" a="1"/>
  <c r="E225" i="7" s="1"/>
  <c r="F225" i="7" a="1"/>
  <c r="F225" i="7" s="1"/>
  <c r="G225" i="7" a="1"/>
  <c r="G225" i="7"/>
  <c r="H225" i="7" a="1"/>
  <c r="H225" i="7" s="1"/>
  <c r="I225" i="7" a="1"/>
  <c r="I225" i="7" s="1"/>
  <c r="J225" i="7" a="1"/>
  <c r="J225" i="7" s="1"/>
  <c r="B226" i="7" a="1"/>
  <c r="B226" i="7" s="1"/>
  <c r="C226" i="7" a="1"/>
  <c r="C226" i="7" s="1"/>
  <c r="D226" i="7" a="1"/>
  <c r="D226" i="7" s="1"/>
  <c r="E226" i="7" a="1"/>
  <c r="E226" i="7" s="1"/>
  <c r="F226" i="7" a="1"/>
  <c r="F226" i="7" s="1"/>
  <c r="G226" i="7" a="1"/>
  <c r="G226" i="7" s="1"/>
  <c r="H226" i="7" a="1"/>
  <c r="H226" i="7" s="1"/>
  <c r="I226" i="7" a="1"/>
  <c r="I226" i="7" s="1"/>
  <c r="J226" i="7" a="1"/>
  <c r="J226" i="7" s="1"/>
  <c r="B227" i="7" a="1"/>
  <c r="B227" i="7" s="1"/>
  <c r="C227" i="7" a="1"/>
  <c r="C227" i="7" s="1"/>
  <c r="D227" i="7" a="1"/>
  <c r="D227" i="7" s="1"/>
  <c r="E227" i="7" a="1"/>
  <c r="E227" i="7" s="1"/>
  <c r="F227" i="7" a="1"/>
  <c r="F227" i="7" s="1"/>
  <c r="G227" i="7" a="1"/>
  <c r="G227" i="7"/>
  <c r="H227" i="7" a="1"/>
  <c r="H227" i="7" s="1"/>
  <c r="I227" i="7" a="1"/>
  <c r="I227" i="7" s="1"/>
  <c r="J227" i="7" a="1"/>
  <c r="J227" i="7" s="1"/>
  <c r="B228" i="7" a="1"/>
  <c r="B228" i="7" s="1"/>
  <c r="C228" i="7" a="1"/>
  <c r="C228" i="7" s="1"/>
  <c r="D228" i="7" a="1"/>
  <c r="D228" i="7"/>
  <c r="E228" i="7" a="1"/>
  <c r="E228" i="7" s="1"/>
  <c r="F228" i="7" a="1"/>
  <c r="F228" i="7" s="1"/>
  <c r="G228" i="7" a="1"/>
  <c r="G228" i="7" s="1"/>
  <c r="H228" i="7" a="1"/>
  <c r="H228" i="7" s="1"/>
  <c r="I228" i="7" a="1"/>
  <c r="I228" i="7" s="1"/>
  <c r="J228" i="7" a="1"/>
  <c r="J228" i="7" s="1"/>
  <c r="B229" i="7" a="1"/>
  <c r="B229" i="7" s="1"/>
  <c r="C229" i="7" a="1"/>
  <c r="C229" i="7" s="1"/>
  <c r="D229" i="7" a="1"/>
  <c r="D229" i="7" s="1"/>
  <c r="E229" i="7" a="1"/>
  <c r="E229" i="7" s="1"/>
  <c r="F229" i="7" a="1"/>
  <c r="F229" i="7" s="1"/>
  <c r="G229" i="7" a="1"/>
  <c r="G229" i="7"/>
  <c r="H229" i="7" a="1"/>
  <c r="H229" i="7" s="1"/>
  <c r="I229" i="7" a="1"/>
  <c r="I229" i="7" s="1"/>
  <c r="J229" i="7" a="1"/>
  <c r="J229" i="7" s="1"/>
  <c r="B230" i="7" a="1"/>
  <c r="B230" i="7" s="1"/>
  <c r="C230" i="7" a="1"/>
  <c r="C230" i="7" s="1"/>
  <c r="D230" i="7" a="1"/>
  <c r="D230" i="7"/>
  <c r="E230" i="7" a="1"/>
  <c r="E230" i="7" s="1"/>
  <c r="F230" i="7" a="1"/>
  <c r="F230" i="7" s="1"/>
  <c r="G230" i="7" a="1"/>
  <c r="G230" i="7" s="1"/>
  <c r="H230" i="7" a="1"/>
  <c r="H230" i="7" s="1"/>
  <c r="I230" i="7" a="1"/>
  <c r="I230" i="7" s="1"/>
  <c r="J230" i="7" a="1"/>
  <c r="J230" i="7"/>
  <c r="B231" i="7" a="1"/>
  <c r="B231" i="7" s="1"/>
  <c r="C231" i="7" a="1"/>
  <c r="C231" i="7" s="1"/>
  <c r="D231" i="7" a="1"/>
  <c r="D231" i="7" s="1"/>
  <c r="E231" i="7" a="1"/>
  <c r="E231" i="7" s="1"/>
  <c r="F231" i="7" a="1"/>
  <c r="F231" i="7" s="1"/>
  <c r="G231" i="7" a="1"/>
  <c r="G231" i="7" s="1"/>
  <c r="H231" i="7" a="1"/>
  <c r="H231" i="7" s="1"/>
  <c r="I231" i="7" a="1"/>
  <c r="I231" i="7" s="1"/>
  <c r="J231" i="7" a="1"/>
  <c r="J231" i="7" s="1"/>
  <c r="B232" i="7" a="1"/>
  <c r="B232" i="7" s="1"/>
  <c r="C232" i="7" a="1"/>
  <c r="C232" i="7" s="1"/>
  <c r="D232" i="7" a="1"/>
  <c r="D232" i="7" s="1"/>
  <c r="E232" i="7" a="1"/>
  <c r="E232" i="7" s="1"/>
  <c r="F232" i="7" a="1"/>
  <c r="F232" i="7" s="1"/>
  <c r="G232" i="7" a="1"/>
  <c r="G232" i="7" s="1"/>
  <c r="H232" i="7" a="1"/>
  <c r="H232" i="7" s="1"/>
  <c r="I232" i="7" a="1"/>
  <c r="I232" i="7" s="1"/>
  <c r="J232" i="7" a="1"/>
  <c r="J232" i="7" s="1"/>
  <c r="B233" i="7" a="1"/>
  <c r="B233" i="7" s="1"/>
  <c r="C233" i="7" a="1"/>
  <c r="C233" i="7" s="1"/>
  <c r="D233" i="7" a="1"/>
  <c r="D233" i="7" s="1"/>
  <c r="E233" i="7" a="1"/>
  <c r="E233" i="7" s="1"/>
  <c r="F233" i="7" a="1"/>
  <c r="F233" i="7" s="1"/>
  <c r="G233" i="7" a="1"/>
  <c r="G233" i="7"/>
  <c r="H233" i="7" a="1"/>
  <c r="H233" i="7" s="1"/>
  <c r="I233" i="7" a="1"/>
  <c r="I233" i="7" s="1"/>
  <c r="J233" i="7" a="1"/>
  <c r="J233" i="7" s="1"/>
  <c r="B234" i="7" a="1"/>
  <c r="B234" i="7" s="1"/>
  <c r="C234" i="7" a="1"/>
  <c r="C234" i="7" s="1"/>
  <c r="D234" i="7" a="1"/>
  <c r="D234" i="7" s="1"/>
  <c r="E234" i="7" a="1"/>
  <c r="E234" i="7" s="1"/>
  <c r="F234" i="7" a="1"/>
  <c r="F234" i="7" s="1"/>
  <c r="G234" i="7" a="1"/>
  <c r="G234" i="7" s="1"/>
  <c r="H234" i="7" a="1"/>
  <c r="H234" i="7" s="1"/>
  <c r="I234" i="7" a="1"/>
  <c r="I234" i="7" s="1"/>
  <c r="J234" i="7" a="1"/>
  <c r="J234" i="7" s="1"/>
  <c r="B235" i="7" a="1"/>
  <c r="B235" i="7" s="1"/>
  <c r="C235" i="7" a="1"/>
  <c r="C235" i="7" s="1"/>
  <c r="D235" i="7" a="1"/>
  <c r="D235" i="7" s="1"/>
  <c r="E235" i="7" a="1"/>
  <c r="E235" i="7" s="1"/>
  <c r="F235" i="7" a="1"/>
  <c r="F235" i="7" s="1"/>
  <c r="G235" i="7" a="1"/>
  <c r="G235" i="7"/>
  <c r="H235" i="7" a="1"/>
  <c r="H235" i="7" s="1"/>
  <c r="I235" i="7" a="1"/>
  <c r="I235" i="7" s="1"/>
  <c r="J235" i="7" a="1"/>
  <c r="J235" i="7" s="1"/>
  <c r="B236" i="7" a="1"/>
  <c r="B236" i="7" s="1"/>
  <c r="C236" i="7" a="1"/>
  <c r="C236" i="7" s="1"/>
  <c r="D236" i="7" a="1"/>
  <c r="D236" i="7"/>
  <c r="E236" i="7" a="1"/>
  <c r="E236" i="7" s="1"/>
  <c r="F236" i="7" a="1"/>
  <c r="F236" i="7" s="1"/>
  <c r="G236" i="7" a="1"/>
  <c r="G236" i="7" s="1"/>
  <c r="H236" i="7" a="1"/>
  <c r="H236" i="7" s="1"/>
  <c r="I236" i="7" a="1"/>
  <c r="I236" i="7" s="1"/>
  <c r="J236" i="7" a="1"/>
  <c r="J236" i="7"/>
  <c r="B237" i="7" a="1"/>
  <c r="B237" i="7" s="1"/>
  <c r="C237" i="7" a="1"/>
  <c r="C237" i="7" s="1"/>
  <c r="D237" i="7" a="1"/>
  <c r="D237" i="7" s="1"/>
  <c r="E237" i="7" a="1"/>
  <c r="E237" i="7" s="1"/>
  <c r="F237" i="7" a="1"/>
  <c r="F237" i="7" s="1"/>
  <c r="G237" i="7" a="1"/>
  <c r="G237" i="7"/>
  <c r="H237" i="7" a="1"/>
  <c r="H237" i="7" s="1"/>
  <c r="I237" i="7" a="1"/>
  <c r="I237" i="7" s="1"/>
  <c r="J237" i="7" a="1"/>
  <c r="J237" i="7" s="1"/>
  <c r="B238" i="7" a="1"/>
  <c r="B238" i="7" s="1"/>
  <c r="C238" i="7" a="1"/>
  <c r="C238" i="7" s="1"/>
  <c r="D238" i="7" a="1"/>
  <c r="D238" i="7"/>
  <c r="E238" i="7" a="1"/>
  <c r="E238" i="7" s="1"/>
  <c r="F238" i="7" a="1"/>
  <c r="F238" i="7" s="1"/>
  <c r="G238" i="7" a="1"/>
  <c r="G238" i="7" s="1"/>
  <c r="H238" i="7" a="1"/>
  <c r="H238" i="7" s="1"/>
  <c r="I238" i="7" a="1"/>
  <c r="I238" i="7" s="1"/>
  <c r="J238" i="7" a="1"/>
  <c r="J238" i="7"/>
  <c r="B239" i="7" a="1"/>
  <c r="B239" i="7" s="1"/>
  <c r="C239" i="7" a="1"/>
  <c r="C239" i="7" s="1"/>
  <c r="D239" i="7" a="1"/>
  <c r="D239" i="7" s="1"/>
  <c r="E239" i="7" a="1"/>
  <c r="E239" i="7" s="1"/>
  <c r="F239" i="7" a="1"/>
  <c r="F239" i="7" s="1"/>
  <c r="G239" i="7" a="1"/>
  <c r="G239" i="7" s="1"/>
  <c r="H239" i="7" a="1"/>
  <c r="H239" i="7" s="1"/>
  <c r="I239" i="7" a="1"/>
  <c r="I239" i="7" s="1"/>
  <c r="J239" i="7" a="1"/>
  <c r="J239" i="7" s="1"/>
  <c r="B240" i="7" a="1"/>
  <c r="B240" i="7" s="1"/>
  <c r="C240" i="7" a="1"/>
  <c r="C240" i="7" s="1"/>
  <c r="D240" i="7" a="1"/>
  <c r="D240" i="7" s="1"/>
  <c r="E240" i="7" a="1"/>
  <c r="E240" i="7" s="1"/>
  <c r="F240" i="7" a="1"/>
  <c r="F240" i="7" s="1"/>
  <c r="G240" i="7" a="1"/>
  <c r="G240" i="7" s="1"/>
  <c r="H240" i="7" a="1"/>
  <c r="H240" i="7" s="1"/>
  <c r="I240" i="7" a="1"/>
  <c r="I240" i="7" s="1"/>
  <c r="J240" i="7" a="1"/>
  <c r="J240" i="7" s="1"/>
  <c r="B241" i="7" a="1"/>
  <c r="B241" i="7" s="1"/>
  <c r="C241" i="7" a="1"/>
  <c r="C241" i="7" s="1"/>
  <c r="D241" i="7" a="1"/>
  <c r="D241" i="7" s="1"/>
  <c r="E241" i="7" a="1"/>
  <c r="E241" i="7" s="1"/>
  <c r="F241" i="7" a="1"/>
  <c r="F241" i="7" s="1"/>
  <c r="G241" i="7" a="1"/>
  <c r="G241" i="7"/>
  <c r="H241" i="7" a="1"/>
  <c r="H241" i="7" s="1"/>
  <c r="I241" i="7" a="1"/>
  <c r="I241" i="7" s="1"/>
  <c r="J241" i="7" a="1"/>
  <c r="J241" i="7" s="1"/>
  <c r="B242" i="7" a="1"/>
  <c r="B242" i="7" s="1"/>
  <c r="C242" i="7" a="1"/>
  <c r="C242" i="7" s="1"/>
  <c r="D242" i="7" a="1"/>
  <c r="D242" i="7" s="1"/>
  <c r="E242" i="7" a="1"/>
  <c r="E242" i="7" s="1"/>
  <c r="F242" i="7" a="1"/>
  <c r="F242" i="7" s="1"/>
  <c r="G242" i="7" a="1"/>
  <c r="G242" i="7" s="1"/>
  <c r="H242" i="7" a="1"/>
  <c r="H242" i="7" s="1"/>
  <c r="I242" i="7" a="1"/>
  <c r="I242" i="7" s="1"/>
  <c r="J242" i="7" a="1"/>
  <c r="J242" i="7" s="1"/>
  <c r="B243" i="7" a="1"/>
  <c r="B243" i="7" s="1"/>
  <c r="C243" i="7" a="1"/>
  <c r="C243" i="7" s="1"/>
  <c r="D243" i="7" a="1"/>
  <c r="D243" i="7" s="1"/>
  <c r="E243" i="7" a="1"/>
  <c r="E243" i="7" s="1"/>
  <c r="F243" i="7" a="1"/>
  <c r="F243" i="7" s="1"/>
  <c r="G243" i="7" a="1"/>
  <c r="G243" i="7"/>
  <c r="H243" i="7" a="1"/>
  <c r="H243" i="7" s="1"/>
  <c r="I243" i="7" a="1"/>
  <c r="I243" i="7" s="1"/>
  <c r="J243" i="7" a="1"/>
  <c r="J243" i="7" s="1"/>
  <c r="B244" i="7" a="1"/>
  <c r="B244" i="7" s="1"/>
  <c r="C244" i="7" a="1"/>
  <c r="C244" i="7" s="1"/>
  <c r="D244" i="7" a="1"/>
  <c r="D244" i="7"/>
  <c r="E244" i="7" a="1"/>
  <c r="E244" i="7" s="1"/>
  <c r="F244" i="7" a="1"/>
  <c r="F244" i="7" s="1"/>
  <c r="G244" i="7" a="1"/>
  <c r="G244" i="7" s="1"/>
  <c r="H244" i="7" a="1"/>
  <c r="H244" i="7" s="1"/>
  <c r="I244" i="7" a="1"/>
  <c r="I244" i="7" s="1"/>
  <c r="J244" i="7" a="1"/>
  <c r="J244" i="7"/>
  <c r="B245" i="7" a="1"/>
  <c r="B245" i="7" s="1"/>
  <c r="C245" i="7" a="1"/>
  <c r="C245" i="7" s="1"/>
  <c r="D245" i="7" a="1"/>
  <c r="D245" i="7" s="1"/>
  <c r="E245" i="7" a="1"/>
  <c r="E245" i="7" s="1"/>
  <c r="F245" i="7" a="1"/>
  <c r="F245" i="7" s="1"/>
  <c r="G245" i="7" a="1"/>
  <c r="G245" i="7"/>
  <c r="H245" i="7" a="1"/>
  <c r="H245" i="7" s="1"/>
  <c r="I245" i="7" a="1"/>
  <c r="I245" i="7" s="1"/>
  <c r="J245" i="7" a="1"/>
  <c r="J245" i="7" s="1"/>
  <c r="B246" i="7" a="1"/>
  <c r="B246" i="7" s="1"/>
  <c r="C246" i="7" a="1"/>
  <c r="C246" i="7" s="1"/>
  <c r="D246" i="7" a="1"/>
  <c r="D246" i="7"/>
  <c r="E246" i="7" a="1"/>
  <c r="E246" i="7" s="1"/>
  <c r="F246" i="7" a="1"/>
  <c r="F246" i="7" s="1"/>
  <c r="G246" i="7" a="1"/>
  <c r="G246" i="7" s="1"/>
  <c r="H246" i="7" a="1"/>
  <c r="H246" i="7" s="1"/>
  <c r="I246" i="7" a="1"/>
  <c r="I246" i="7" s="1"/>
  <c r="J246" i="7" a="1"/>
  <c r="J246" i="7"/>
  <c r="B247" i="7" a="1"/>
  <c r="B247" i="7" s="1"/>
  <c r="C247" i="7" a="1"/>
  <c r="C247" i="7" s="1"/>
  <c r="D247" i="7" a="1"/>
  <c r="D247" i="7" s="1"/>
  <c r="E247" i="7" a="1"/>
  <c r="E247" i="7" s="1"/>
  <c r="F247" i="7" a="1"/>
  <c r="F247" i="7" s="1"/>
  <c r="G247" i="7" a="1"/>
  <c r="G247" i="7" s="1"/>
  <c r="H247" i="7" a="1"/>
  <c r="H247" i="7" s="1"/>
  <c r="I247" i="7" a="1"/>
  <c r="I247" i="7" s="1"/>
  <c r="J247" i="7" a="1"/>
  <c r="J247" i="7" s="1"/>
  <c r="B248" i="7" a="1"/>
  <c r="B248" i="7" s="1"/>
  <c r="C248" i="7" a="1"/>
  <c r="C248" i="7" s="1"/>
  <c r="D248" i="7" a="1"/>
  <c r="D248" i="7" s="1"/>
  <c r="E248" i="7" a="1"/>
  <c r="E248" i="7" s="1"/>
  <c r="F248" i="7" a="1"/>
  <c r="F248" i="7" s="1"/>
  <c r="G248" i="7" a="1"/>
  <c r="G248" i="7" s="1"/>
  <c r="H248" i="7" a="1"/>
  <c r="H248" i="7" s="1"/>
  <c r="I248" i="7" a="1"/>
  <c r="I248" i="7" s="1"/>
  <c r="J248" i="7" a="1"/>
  <c r="J248" i="7" s="1"/>
  <c r="B249" i="7" a="1"/>
  <c r="B249" i="7" s="1"/>
  <c r="C249" i="7" a="1"/>
  <c r="C249" i="7" s="1"/>
  <c r="D249" i="7" a="1"/>
  <c r="D249" i="7" s="1"/>
  <c r="E249" i="7" a="1"/>
  <c r="E249" i="7" s="1"/>
  <c r="F249" i="7" a="1"/>
  <c r="F249" i="7" s="1"/>
  <c r="G249" i="7" a="1"/>
  <c r="G249" i="7"/>
  <c r="H249" i="7" a="1"/>
  <c r="H249" i="7" s="1"/>
  <c r="I249" i="7" a="1"/>
  <c r="I249" i="7" s="1"/>
  <c r="J249" i="7" a="1"/>
  <c r="J249" i="7" s="1"/>
  <c r="B250" i="7" a="1"/>
  <c r="B250" i="7" s="1"/>
  <c r="C250" i="7" a="1"/>
  <c r="C250" i="7" s="1"/>
  <c r="D250" i="7" a="1"/>
  <c r="D250" i="7" s="1"/>
  <c r="E250" i="7" a="1"/>
  <c r="E250" i="7" s="1"/>
  <c r="F250" i="7" a="1"/>
  <c r="F250" i="7" s="1"/>
  <c r="G250" i="7" a="1"/>
  <c r="G250" i="7" s="1"/>
  <c r="H250" i="7" a="1"/>
  <c r="H250" i="7" s="1"/>
  <c r="I250" i="7" a="1"/>
  <c r="I250" i="7" s="1"/>
  <c r="J250" i="7" a="1"/>
  <c r="J250" i="7" s="1"/>
  <c r="B251" i="7" a="1"/>
  <c r="B251" i="7" s="1"/>
  <c r="C251" i="7" a="1"/>
  <c r="C251" i="7" s="1"/>
  <c r="D251" i="7" a="1"/>
  <c r="D251" i="7" s="1"/>
  <c r="E251" i="7" a="1"/>
  <c r="E251" i="7" s="1"/>
  <c r="F251" i="7" a="1"/>
  <c r="F251" i="7" s="1"/>
  <c r="G251" i="7" a="1"/>
  <c r="G251" i="7"/>
  <c r="H251" i="7" a="1"/>
  <c r="H251" i="7" s="1"/>
  <c r="I251" i="7" a="1"/>
  <c r="I251" i="7" s="1"/>
  <c r="J251" i="7" a="1"/>
  <c r="J251" i="7" s="1"/>
  <c r="B252" i="7" a="1"/>
  <c r="B252" i="7" s="1"/>
  <c r="C252" i="7" a="1"/>
  <c r="C252" i="7" s="1"/>
  <c r="D252" i="7" a="1"/>
  <c r="D252" i="7"/>
  <c r="E252" i="7" a="1"/>
  <c r="E252" i="7" s="1"/>
  <c r="F252" i="7" a="1"/>
  <c r="F252" i="7" s="1"/>
  <c r="G252" i="7" a="1"/>
  <c r="G252" i="7" s="1"/>
  <c r="H252" i="7" a="1"/>
  <c r="H252" i="7" s="1"/>
  <c r="I252" i="7" a="1"/>
  <c r="I252" i="7" s="1"/>
  <c r="J252" i="7" a="1"/>
  <c r="J252" i="7"/>
  <c r="B253" i="7" a="1"/>
  <c r="B253" i="7" s="1"/>
  <c r="C253" i="7" a="1"/>
  <c r="C253" i="7" s="1"/>
  <c r="D253" i="7" a="1"/>
  <c r="D253" i="7" s="1"/>
  <c r="E253" i="7" a="1"/>
  <c r="E253" i="7" s="1"/>
  <c r="F253" i="7" a="1"/>
  <c r="F253" i="7" s="1"/>
  <c r="G253" i="7" a="1"/>
  <c r="G253" i="7"/>
  <c r="H253" i="7" a="1"/>
  <c r="H253" i="7" s="1"/>
  <c r="I253" i="7" a="1"/>
  <c r="I253" i="7" s="1"/>
  <c r="J253" i="7" a="1"/>
  <c r="J253" i="7" s="1"/>
  <c r="B254" i="7" a="1"/>
  <c r="B254" i="7" s="1"/>
  <c r="C254" i="7" a="1"/>
  <c r="C254" i="7" s="1"/>
  <c r="D254" i="7" a="1"/>
  <c r="D254" i="7"/>
  <c r="E254" i="7" a="1"/>
  <c r="E254" i="7" s="1"/>
  <c r="F254" i="7" a="1"/>
  <c r="F254" i="7" s="1"/>
  <c r="G254" i="7" a="1"/>
  <c r="G254" i="7" s="1"/>
  <c r="H254" i="7" a="1"/>
  <c r="H254" i="7" s="1"/>
  <c r="I254" i="7" a="1"/>
  <c r="I254" i="7" s="1"/>
  <c r="J254" i="7" a="1"/>
  <c r="J254" i="7"/>
  <c r="B255" i="7" a="1"/>
  <c r="B255" i="7" s="1"/>
  <c r="C255" i="7" a="1"/>
  <c r="C255" i="7" s="1"/>
  <c r="D255" i="7" a="1"/>
  <c r="D255" i="7" s="1"/>
  <c r="E255" i="7" a="1"/>
  <c r="E255" i="7" s="1"/>
  <c r="F255" i="7" a="1"/>
  <c r="F255" i="7" s="1"/>
  <c r="G255" i="7" a="1"/>
  <c r="G255" i="7" s="1"/>
  <c r="H255" i="7" a="1"/>
  <c r="H255" i="7" s="1"/>
  <c r="I255" i="7" a="1"/>
  <c r="I255" i="7" s="1"/>
  <c r="J255" i="7" a="1"/>
  <c r="J255" i="7" s="1"/>
  <c r="B256" i="7" a="1"/>
  <c r="B256" i="7" s="1"/>
  <c r="C256" i="7" a="1"/>
  <c r="C256" i="7" s="1"/>
  <c r="D256" i="7" a="1"/>
  <c r="D256" i="7" s="1"/>
  <c r="E256" i="7" a="1"/>
  <c r="E256" i="7" s="1"/>
  <c r="F256" i="7" a="1"/>
  <c r="F256" i="7" s="1"/>
  <c r="G256" i="7" a="1"/>
  <c r="G256" i="7" s="1"/>
  <c r="H256" i="7" a="1"/>
  <c r="H256" i="7" s="1"/>
  <c r="I256" i="7" a="1"/>
  <c r="I256" i="7" s="1"/>
  <c r="J256" i="7" a="1"/>
  <c r="J256" i="7" s="1"/>
  <c r="B257" i="7" a="1"/>
  <c r="B257" i="7" s="1"/>
  <c r="C257" i="7" a="1"/>
  <c r="C257" i="7" s="1"/>
  <c r="D257" i="7" a="1"/>
  <c r="D257" i="7" s="1"/>
  <c r="E257" i="7" a="1"/>
  <c r="E257" i="7" s="1"/>
  <c r="F257" i="7" a="1"/>
  <c r="F257" i="7" s="1"/>
  <c r="G257" i="7" a="1"/>
  <c r="G257" i="7"/>
  <c r="H257" i="7" a="1"/>
  <c r="H257" i="7" s="1"/>
  <c r="I257" i="7" a="1"/>
  <c r="I257" i="7" s="1"/>
  <c r="J257" i="7" a="1"/>
  <c r="J257" i="7" s="1"/>
  <c r="B258" i="7" a="1"/>
  <c r="B258" i="7" s="1"/>
  <c r="C258" i="7" a="1"/>
  <c r="C258" i="7" s="1"/>
  <c r="D258" i="7" a="1"/>
  <c r="D258" i="7" s="1"/>
  <c r="E258" i="7" a="1"/>
  <c r="E258" i="7" s="1"/>
  <c r="F258" i="7" a="1"/>
  <c r="F258" i="7" s="1"/>
  <c r="G258" i="7" a="1"/>
  <c r="G258" i="7"/>
  <c r="H258" i="7" a="1"/>
  <c r="H258" i="7"/>
  <c r="I258" i="7" a="1"/>
  <c r="I258" i="7" s="1"/>
  <c r="J258" i="7" a="1"/>
  <c r="J258" i="7" s="1"/>
  <c r="B259" i="7" a="1"/>
  <c r="B259" i="7" s="1"/>
  <c r="C259" i="7" a="1"/>
  <c r="C259" i="7"/>
  <c r="D259" i="7" a="1"/>
  <c r="D259" i="7" s="1"/>
  <c r="E259" i="7" a="1"/>
  <c r="E259" i="7"/>
  <c r="F259" i="7" a="1"/>
  <c r="F259" i="7" s="1"/>
  <c r="G259" i="7" a="1"/>
  <c r="G259" i="7"/>
  <c r="H259" i="7" a="1"/>
  <c r="H259" i="7"/>
  <c r="I259" i="7" a="1"/>
  <c r="I259" i="7"/>
  <c r="J259" i="7" a="1"/>
  <c r="J259" i="7" s="1"/>
  <c r="B260" i="7" a="1"/>
  <c r="B260" i="7"/>
  <c r="C260" i="7" a="1"/>
  <c r="C260" i="7" s="1"/>
  <c r="D260" i="7" a="1"/>
  <c r="D260" i="7"/>
  <c r="E260" i="7" a="1"/>
  <c r="E260" i="7"/>
  <c r="F260" i="7" a="1"/>
  <c r="F260" i="7"/>
  <c r="G260" i="7" a="1"/>
  <c r="G260" i="7" s="1"/>
  <c r="H260" i="7" a="1"/>
  <c r="H260" i="7"/>
  <c r="I260" i="7" a="1"/>
  <c r="I260" i="7" s="1"/>
  <c r="J260" i="7" a="1"/>
  <c r="J260" i="7"/>
  <c r="B261" i="7" a="1"/>
  <c r="B261" i="7"/>
  <c r="C261" i="7" a="1"/>
  <c r="C261" i="7"/>
  <c r="D261" i="7" a="1"/>
  <c r="D261" i="7" s="1"/>
  <c r="E261" i="7" a="1"/>
  <c r="E261" i="7"/>
  <c r="F261" i="7" a="1"/>
  <c r="F261" i="7" s="1"/>
  <c r="G261" i="7" a="1"/>
  <c r="G261" i="7"/>
  <c r="H261" i="7" a="1"/>
  <c r="H261" i="7"/>
  <c r="I261" i="7" a="1"/>
  <c r="I261" i="7"/>
  <c r="J261" i="7" a="1"/>
  <c r="J261" i="7" s="1"/>
  <c r="B262" i="7" a="1"/>
  <c r="B262" i="7"/>
  <c r="C262" i="7" a="1"/>
  <c r="C262" i="7" s="1"/>
  <c r="D262" i="7" a="1"/>
  <c r="D262" i="7"/>
  <c r="E262" i="7" a="1"/>
  <c r="E262" i="7"/>
  <c r="F262" i="7" a="1"/>
  <c r="F262" i="7"/>
  <c r="G262" i="7" a="1"/>
  <c r="G262" i="7" s="1"/>
  <c r="H262" i="7" a="1"/>
  <c r="H262" i="7"/>
  <c r="I262" i="7" a="1"/>
  <c r="I262" i="7" s="1"/>
  <c r="J262" i="7" a="1"/>
  <c r="J262" i="7" s="1"/>
  <c r="B263" i="7" a="1"/>
  <c r="B263" i="7"/>
  <c r="C263" i="7" a="1"/>
  <c r="C263" i="7" s="1"/>
  <c r="D263" i="7" a="1"/>
  <c r="D263" i="7" s="1"/>
  <c r="E263" i="7" a="1"/>
  <c r="E263" i="7"/>
  <c r="F263" i="7" a="1"/>
  <c r="F263" i="7" s="1"/>
  <c r="G263" i="7" a="1"/>
  <c r="G263" i="7" s="1"/>
  <c r="H263" i="7" a="1"/>
  <c r="H263" i="7"/>
  <c r="I263" i="7" a="1"/>
  <c r="I263" i="7" s="1"/>
  <c r="J263" i="7" a="1"/>
  <c r="J263" i="7" s="1"/>
  <c r="B264" i="7" a="1"/>
  <c r="B264" i="7"/>
  <c r="C264" i="7" a="1"/>
  <c r="C264" i="7" s="1"/>
  <c r="D264" i="7" a="1"/>
  <c r="D264" i="7" s="1"/>
  <c r="E264" i="7" a="1"/>
  <c r="E264" i="7"/>
  <c r="F264" i="7" a="1"/>
  <c r="F264" i="7" s="1"/>
  <c r="G264" i="7" a="1"/>
  <c r="G264" i="7" s="1"/>
  <c r="H264" i="7" a="1"/>
  <c r="H264" i="7"/>
  <c r="I264" i="7" a="1"/>
  <c r="I264" i="7" s="1"/>
  <c r="J264" i="7" a="1"/>
  <c r="J264" i="7" s="1"/>
  <c r="B265" i="7" a="1"/>
  <c r="B265" i="7"/>
  <c r="C265" i="7" a="1"/>
  <c r="C265" i="7" s="1"/>
  <c r="D265" i="7" a="1"/>
  <c r="D265" i="7" s="1"/>
  <c r="E265" i="7" a="1"/>
  <c r="E265" i="7"/>
  <c r="F265" i="7" a="1"/>
  <c r="F265" i="7" s="1"/>
  <c r="G265" i="7" a="1"/>
  <c r="G265" i="7" s="1"/>
  <c r="H265" i="7" a="1"/>
  <c r="H265" i="7" s="1"/>
  <c r="I265" i="7" a="1"/>
  <c r="I265" i="7" s="1"/>
  <c r="J265" i="7" a="1"/>
  <c r="J265" i="7" s="1"/>
  <c r="B266" i="7" a="1"/>
  <c r="B266" i="7"/>
  <c r="C266" i="7" a="1"/>
  <c r="C266" i="7" s="1"/>
  <c r="D266" i="7" a="1"/>
  <c r="D266" i="7" s="1"/>
  <c r="E266" i="7" a="1"/>
  <c r="E266" i="7" s="1"/>
  <c r="F266" i="7" a="1"/>
  <c r="F266" i="7" s="1"/>
  <c r="G266" i="7" a="1"/>
  <c r="G266" i="7" s="1"/>
  <c r="H266" i="7" a="1"/>
  <c r="H266" i="7"/>
  <c r="I266" i="7" a="1"/>
  <c r="I266" i="7" s="1"/>
  <c r="J266" i="7" a="1"/>
  <c r="J266" i="7" s="1"/>
  <c r="B267" i="7" a="1"/>
  <c r="B267" i="7" s="1"/>
  <c r="C267" i="7" a="1"/>
  <c r="C267" i="7" s="1"/>
  <c r="D267" i="7" a="1"/>
  <c r="D267" i="7" s="1"/>
  <c r="E267" i="7" a="1"/>
  <c r="E267" i="7"/>
  <c r="F267" i="7" a="1"/>
  <c r="F267" i="7" s="1"/>
  <c r="G267" i="7" a="1"/>
  <c r="G267" i="7" s="1"/>
  <c r="H267" i="7" a="1"/>
  <c r="H267" i="7" s="1"/>
  <c r="I267" i="7" a="1"/>
  <c r="I267" i="7" s="1"/>
  <c r="J267" i="7" a="1"/>
  <c r="J267" i="7" s="1"/>
  <c r="B268" i="7" a="1"/>
  <c r="B268" i="7"/>
  <c r="C268" i="7" a="1"/>
  <c r="C268" i="7" s="1"/>
  <c r="D268" i="7" a="1"/>
  <c r="D268" i="7" s="1"/>
  <c r="E268" i="7" a="1"/>
  <c r="E268" i="7" s="1"/>
  <c r="F268" i="7" a="1"/>
  <c r="F268" i="7" s="1"/>
  <c r="G268" i="7" a="1"/>
  <c r="G268" i="7" s="1"/>
  <c r="H268" i="7" a="1"/>
  <c r="H268" i="7"/>
  <c r="I268" i="7" a="1"/>
  <c r="I268" i="7" s="1"/>
  <c r="J268" i="7" a="1"/>
  <c r="J268" i="7" s="1"/>
  <c r="B269" i="7" a="1"/>
  <c r="B269" i="7" s="1"/>
  <c r="C269" i="7" a="1"/>
  <c r="C269" i="7" s="1"/>
  <c r="D269" i="7" a="1"/>
  <c r="D269" i="7" s="1"/>
  <c r="E269" i="7" a="1"/>
  <c r="E269" i="7"/>
  <c r="F269" i="7" a="1"/>
  <c r="F269" i="7" s="1"/>
  <c r="G269" i="7" a="1"/>
  <c r="G269" i="7" s="1"/>
  <c r="H269" i="7" a="1"/>
  <c r="H269" i="7" s="1"/>
  <c r="I269" i="7" a="1"/>
  <c r="I269" i="7" s="1"/>
  <c r="J269" i="7" a="1"/>
  <c r="J269" i="7" s="1"/>
  <c r="B270" i="7" a="1"/>
  <c r="B270" i="7"/>
  <c r="C270" i="7" a="1"/>
  <c r="C270" i="7" s="1"/>
  <c r="D270" i="7" a="1"/>
  <c r="D270" i="7" s="1"/>
  <c r="E270" i="7" a="1"/>
  <c r="E270" i="7" s="1"/>
  <c r="F270" i="7" a="1"/>
  <c r="F270" i="7" s="1"/>
  <c r="G270" i="7" a="1"/>
  <c r="G270" i="7" s="1"/>
  <c r="H270" i="7" a="1"/>
  <c r="H270" i="7"/>
  <c r="I270" i="7" a="1"/>
  <c r="I270" i="7" s="1"/>
  <c r="J270" i="7" a="1"/>
  <c r="J270" i="7" s="1"/>
  <c r="B271" i="7" a="1"/>
  <c r="B271" i="7" s="1"/>
  <c r="C271" i="7" a="1"/>
  <c r="C271" i="7" s="1"/>
  <c r="D271" i="7" a="1"/>
  <c r="D271" i="7" s="1"/>
  <c r="E271" i="7" a="1"/>
  <c r="E271" i="7"/>
  <c r="F271" i="7" a="1"/>
  <c r="F271" i="7" s="1"/>
  <c r="G271" i="7" a="1"/>
  <c r="G271" i="7" s="1"/>
  <c r="H271" i="7" a="1"/>
  <c r="H271" i="7" s="1"/>
  <c r="I271" i="7" a="1"/>
  <c r="I271" i="7" s="1"/>
  <c r="J271" i="7" a="1"/>
  <c r="J271" i="7" s="1"/>
  <c r="B272" i="7" a="1"/>
  <c r="B272" i="7"/>
  <c r="C272" i="7" a="1"/>
  <c r="C272" i="7" s="1"/>
  <c r="D272" i="7" a="1"/>
  <c r="D272" i="7" s="1"/>
  <c r="E272" i="7" a="1"/>
  <c r="E272" i="7" s="1"/>
  <c r="F272" i="7" a="1"/>
  <c r="F272" i="7" s="1"/>
  <c r="G272" i="7" a="1"/>
  <c r="G272" i="7" s="1"/>
  <c r="H272" i="7" a="1"/>
  <c r="H272" i="7"/>
  <c r="I272" i="7" a="1"/>
  <c r="I272" i="7" s="1"/>
  <c r="J272" i="7" a="1"/>
  <c r="J272" i="7" s="1"/>
  <c r="B273" i="7" a="1"/>
  <c r="B273" i="7" s="1"/>
  <c r="C273" i="7" a="1"/>
  <c r="C273" i="7" s="1"/>
  <c r="D273" i="7" a="1"/>
  <c r="D273" i="7" s="1"/>
  <c r="E273" i="7" a="1"/>
  <c r="E273" i="7"/>
  <c r="F273" i="7" a="1"/>
  <c r="F273" i="7" s="1"/>
  <c r="G273" i="7" a="1"/>
  <c r="G273" i="7" s="1"/>
  <c r="H273" i="7" a="1"/>
  <c r="H273" i="7" s="1"/>
  <c r="I273" i="7" a="1"/>
  <c r="I273" i="7" s="1"/>
  <c r="J273" i="7" a="1"/>
  <c r="J273" i="7" s="1"/>
  <c r="B274" i="7" a="1"/>
  <c r="B274" i="7"/>
  <c r="C274" i="7" a="1"/>
  <c r="C274" i="7" s="1"/>
  <c r="D274" i="7" a="1"/>
  <c r="D274" i="7" s="1"/>
  <c r="E274" i="7" a="1"/>
  <c r="E274" i="7" s="1"/>
  <c r="F274" i="7" a="1"/>
  <c r="F274" i="7" s="1"/>
  <c r="G274" i="7" a="1"/>
  <c r="G274" i="7" s="1"/>
  <c r="H274" i="7" a="1"/>
  <c r="H274" i="7"/>
  <c r="I274" i="7" a="1"/>
  <c r="I274" i="7" s="1"/>
  <c r="J274" i="7" a="1"/>
  <c r="J274" i="7" s="1"/>
  <c r="B275" i="7" a="1"/>
  <c r="B275" i="7" s="1"/>
  <c r="C275" i="7" a="1"/>
  <c r="C275" i="7" s="1"/>
  <c r="D275" i="7" a="1"/>
  <c r="D275" i="7" s="1"/>
  <c r="E275" i="7" a="1"/>
  <c r="E275" i="7"/>
  <c r="F275" i="7" a="1"/>
  <c r="F275" i="7" s="1"/>
  <c r="G275" i="7" a="1"/>
  <c r="G275" i="7" s="1"/>
  <c r="H275" i="7" a="1"/>
  <c r="H275" i="7" s="1"/>
  <c r="I275" i="7" a="1"/>
  <c r="I275" i="7" s="1"/>
  <c r="J275" i="7" a="1"/>
  <c r="J275" i="7" s="1"/>
  <c r="B276" i="7" a="1"/>
  <c r="B276" i="7"/>
  <c r="C276" i="7" a="1"/>
  <c r="C276" i="7" s="1"/>
  <c r="D276" i="7" a="1"/>
  <c r="D276" i="7" s="1"/>
  <c r="E276" i="7" a="1"/>
  <c r="E276" i="7" s="1"/>
  <c r="F276" i="7" a="1"/>
  <c r="F276" i="7" s="1"/>
  <c r="G276" i="7" a="1"/>
  <c r="G276" i="7" s="1"/>
  <c r="H276" i="7" a="1"/>
  <c r="H276" i="7"/>
  <c r="I276" i="7" a="1"/>
  <c r="I276" i="7" s="1"/>
  <c r="J276" i="7" a="1"/>
  <c r="J276" i="7" s="1"/>
  <c r="B277" i="7" a="1"/>
  <c r="B277" i="7" s="1"/>
  <c r="C277" i="7" a="1"/>
  <c r="C277" i="7" s="1"/>
  <c r="D277" i="7" a="1"/>
  <c r="D277" i="7" s="1"/>
  <c r="E277" i="7" a="1"/>
  <c r="E277" i="7"/>
  <c r="F277" i="7" a="1"/>
  <c r="F277" i="7" s="1"/>
  <c r="G277" i="7" a="1"/>
  <c r="G277" i="7" s="1"/>
  <c r="H277" i="7" a="1"/>
  <c r="H277" i="7" s="1"/>
  <c r="I277" i="7" a="1"/>
  <c r="I277" i="7" s="1"/>
  <c r="J277" i="7" a="1"/>
  <c r="J277" i="7" s="1"/>
  <c r="B278" i="7" a="1"/>
  <c r="B278" i="7"/>
  <c r="C278" i="7" a="1"/>
  <c r="C278" i="7" s="1"/>
  <c r="D278" i="7" a="1"/>
  <c r="D278" i="7" s="1"/>
  <c r="E278" i="7" a="1"/>
  <c r="E278" i="7" s="1"/>
  <c r="F278" i="7" a="1"/>
  <c r="F278" i="7" s="1"/>
  <c r="G278" i="7" a="1"/>
  <c r="G278" i="7" s="1"/>
  <c r="H278" i="7" a="1"/>
  <c r="H278" i="7"/>
  <c r="I278" i="7" a="1"/>
  <c r="I278" i="7" s="1"/>
  <c r="J278" i="7" a="1"/>
  <c r="J278" i="7" s="1"/>
  <c r="B279" i="7" a="1"/>
  <c r="B279" i="7" s="1"/>
  <c r="C279" i="7" a="1"/>
  <c r="C279" i="7" s="1"/>
  <c r="D279" i="7" a="1"/>
  <c r="D279" i="7" s="1"/>
  <c r="E279" i="7" a="1"/>
  <c r="E279" i="7"/>
  <c r="F279" i="7" a="1"/>
  <c r="F279" i="7" s="1"/>
  <c r="G279" i="7" a="1"/>
  <c r="G279" i="7" s="1"/>
  <c r="H279" i="7" a="1"/>
  <c r="H279" i="7" s="1"/>
  <c r="I279" i="7" a="1"/>
  <c r="I279" i="7" s="1"/>
  <c r="J279" i="7" a="1"/>
  <c r="J279" i="7" s="1"/>
  <c r="B280" i="7" a="1"/>
  <c r="B280" i="7"/>
  <c r="C280" i="7" a="1"/>
  <c r="C280" i="7" s="1"/>
  <c r="D280" i="7" a="1"/>
  <c r="D280" i="7" s="1"/>
  <c r="E280" i="7" a="1"/>
  <c r="E280" i="7" s="1"/>
  <c r="F280" i="7" a="1"/>
  <c r="F280" i="7" s="1"/>
  <c r="G280" i="7" a="1"/>
  <c r="G280" i="7" s="1"/>
  <c r="H280" i="7" a="1"/>
  <c r="H280" i="7"/>
  <c r="I280" i="7" a="1"/>
  <c r="I280" i="7" s="1"/>
  <c r="J280" i="7" a="1"/>
  <c r="J280" i="7" s="1"/>
  <c r="B281" i="7" a="1"/>
  <c r="B281" i="7" s="1"/>
  <c r="C281" i="7" a="1"/>
  <c r="C281" i="7" s="1"/>
  <c r="D281" i="7" a="1"/>
  <c r="D281" i="7" s="1"/>
  <c r="E281" i="7" a="1"/>
  <c r="E281" i="7"/>
  <c r="F281" i="7" a="1"/>
  <c r="F281" i="7" s="1"/>
  <c r="G281" i="7" a="1"/>
  <c r="G281" i="7" s="1"/>
  <c r="H281" i="7" a="1"/>
  <c r="H281" i="7" s="1"/>
  <c r="I281" i="7" a="1"/>
  <c r="I281" i="7" s="1"/>
  <c r="J281" i="7" a="1"/>
  <c r="J281" i="7" s="1"/>
  <c r="B282" i="7" a="1"/>
  <c r="B282" i="7"/>
  <c r="C282" i="7" a="1"/>
  <c r="C282" i="7" s="1"/>
  <c r="D282" i="7" a="1"/>
  <c r="D282" i="7" s="1"/>
  <c r="E282" i="7" a="1"/>
  <c r="E282" i="7" s="1"/>
  <c r="F282" i="7" a="1"/>
  <c r="F282" i="7" s="1"/>
  <c r="G282" i="7" a="1"/>
  <c r="G282" i="7" s="1"/>
  <c r="H282" i="7" a="1"/>
  <c r="H282" i="7"/>
  <c r="I282" i="7" a="1"/>
  <c r="I282" i="7" s="1"/>
  <c r="J282" i="7" a="1"/>
  <c r="J282" i="7" s="1"/>
  <c r="B283" i="7" a="1"/>
  <c r="B283" i="7" s="1"/>
  <c r="C283" i="7" a="1"/>
  <c r="C283" i="7" s="1"/>
  <c r="D283" i="7" a="1"/>
  <c r="D283" i="7" s="1"/>
  <c r="E283" i="7" a="1"/>
  <c r="E283" i="7"/>
  <c r="F283" i="7" a="1"/>
  <c r="F283" i="7" s="1"/>
  <c r="G283" i="7" a="1"/>
  <c r="G283" i="7" s="1"/>
  <c r="H283" i="7" a="1"/>
  <c r="H283" i="7" s="1"/>
  <c r="I283" i="7" a="1"/>
  <c r="I283" i="7" s="1"/>
  <c r="J283" i="7" a="1"/>
  <c r="J283" i="7" s="1"/>
  <c r="B284" i="7" a="1"/>
  <c r="B284" i="7"/>
  <c r="C284" i="7" a="1"/>
  <c r="C284" i="7" s="1"/>
  <c r="D284" i="7" a="1"/>
  <c r="D284" i="7" s="1"/>
  <c r="E284" i="7" a="1"/>
  <c r="E284" i="7" s="1"/>
  <c r="F284" i="7" a="1"/>
  <c r="F284" i="7" s="1"/>
  <c r="G284" i="7" a="1"/>
  <c r="G284" i="7" s="1"/>
  <c r="H284" i="7" a="1"/>
  <c r="H284" i="7"/>
  <c r="I284" i="7" a="1"/>
  <c r="I284" i="7" s="1"/>
  <c r="J284" i="7" a="1"/>
  <c r="J284" i="7" s="1"/>
  <c r="B285" i="7" a="1"/>
  <c r="B285" i="7" s="1"/>
  <c r="C285" i="7" a="1"/>
  <c r="C285" i="7" s="1"/>
  <c r="D285" i="7" a="1"/>
  <c r="D285" i="7" s="1"/>
  <c r="E285" i="7" a="1"/>
  <c r="E285" i="7"/>
  <c r="F285" i="7" a="1"/>
  <c r="F285" i="7" s="1"/>
  <c r="G285" i="7" a="1"/>
  <c r="G285" i="7" s="1"/>
  <c r="H285" i="7" a="1"/>
  <c r="H285" i="7" s="1"/>
  <c r="I285" i="7" a="1"/>
  <c r="I285" i="7" s="1"/>
  <c r="J285" i="7" a="1"/>
  <c r="J285" i="7" s="1"/>
  <c r="B286" i="7" a="1"/>
  <c r="B286" i="7"/>
  <c r="C286" i="7" a="1"/>
  <c r="C286" i="7" s="1"/>
  <c r="D286" i="7" a="1"/>
  <c r="D286" i="7" s="1"/>
  <c r="E286" i="7" a="1"/>
  <c r="E286" i="7" s="1"/>
  <c r="F286" i="7" a="1"/>
  <c r="F286" i="7" s="1"/>
  <c r="G286" i="7" a="1"/>
  <c r="G286" i="7" s="1"/>
  <c r="H286" i="7" a="1"/>
  <c r="H286" i="7"/>
  <c r="I286" i="7" a="1"/>
  <c r="I286" i="7" s="1"/>
  <c r="J286" i="7" a="1"/>
  <c r="J286" i="7" s="1"/>
  <c r="B287" i="7" a="1"/>
  <c r="B287" i="7" s="1"/>
  <c r="C287" i="7" a="1"/>
  <c r="C287" i="7" s="1"/>
  <c r="D287" i="7" a="1"/>
  <c r="D287" i="7" s="1"/>
  <c r="E287" i="7" a="1"/>
  <c r="E287" i="7"/>
  <c r="F287" i="7" a="1"/>
  <c r="F287" i="7" s="1"/>
  <c r="G287" i="7" a="1"/>
  <c r="G287" i="7" s="1"/>
  <c r="H287" i="7" a="1"/>
  <c r="H287" i="7" s="1"/>
  <c r="I287" i="7" a="1"/>
  <c r="I287" i="7" s="1"/>
  <c r="J287" i="7" a="1"/>
  <c r="J287" i="7" s="1"/>
  <c r="B288" i="7" a="1"/>
  <c r="B288" i="7"/>
  <c r="C288" i="7" a="1"/>
  <c r="C288" i="7" s="1"/>
  <c r="D288" i="7" a="1"/>
  <c r="D288" i="7" s="1"/>
  <c r="E288" i="7" a="1"/>
  <c r="E288" i="7" s="1"/>
  <c r="F288" i="7" a="1"/>
  <c r="F288" i="7" s="1"/>
  <c r="G288" i="7" a="1"/>
  <c r="G288" i="7" s="1"/>
  <c r="H288" i="7" a="1"/>
  <c r="H288" i="7"/>
  <c r="I288" i="7" a="1"/>
  <c r="I288" i="7" s="1"/>
  <c r="J288" i="7" a="1"/>
  <c r="J288" i="7" s="1"/>
  <c r="B289" i="7" a="1"/>
  <c r="B289" i="7" s="1"/>
  <c r="C289" i="7" a="1"/>
  <c r="C289" i="7" s="1"/>
  <c r="D289" i="7" a="1"/>
  <c r="D289" i="7" s="1"/>
  <c r="E289" i="7" a="1"/>
  <c r="E289" i="7"/>
  <c r="F289" i="7" a="1"/>
  <c r="F289" i="7" s="1"/>
  <c r="G289" i="7" a="1"/>
  <c r="G289" i="7" s="1"/>
  <c r="H289" i="7" a="1"/>
  <c r="H289" i="7" s="1"/>
  <c r="I289" i="7" a="1"/>
  <c r="I289" i="7" s="1"/>
  <c r="J289" i="7" a="1"/>
  <c r="J289" i="7" s="1"/>
  <c r="B290" i="7" a="1"/>
  <c r="B290" i="7"/>
  <c r="C290" i="7" a="1"/>
  <c r="C290" i="7" s="1"/>
  <c r="D290" i="7" a="1"/>
  <c r="D290" i="7" s="1"/>
  <c r="E290" i="7" a="1"/>
  <c r="E290" i="7" s="1"/>
  <c r="F290" i="7" a="1"/>
  <c r="F290" i="7" s="1"/>
  <c r="G290" i="7" a="1"/>
  <c r="G290" i="7" s="1"/>
  <c r="H290" i="7" a="1"/>
  <c r="H290" i="7"/>
  <c r="I290" i="7" a="1"/>
  <c r="I290" i="7" s="1"/>
  <c r="J290" i="7" a="1"/>
  <c r="J290" i="7" s="1"/>
  <c r="B291" i="7" a="1"/>
  <c r="B291" i="7" s="1"/>
  <c r="C291" i="7" a="1"/>
  <c r="C291" i="7" s="1"/>
  <c r="D291" i="7" a="1"/>
  <c r="D291" i="7" s="1"/>
  <c r="E291" i="7" a="1"/>
  <c r="E291" i="7"/>
  <c r="F291" i="7" a="1"/>
  <c r="F291" i="7" s="1"/>
  <c r="G291" i="7" a="1"/>
  <c r="G291" i="7" s="1"/>
  <c r="H291" i="7" a="1"/>
  <c r="H291" i="7" s="1"/>
  <c r="I291" i="7" a="1"/>
  <c r="I291" i="7" s="1"/>
  <c r="J291" i="7" a="1"/>
  <c r="J291" i="7" s="1"/>
  <c r="B292" i="7" a="1"/>
  <c r="B292" i="7"/>
  <c r="C292" i="7" a="1"/>
  <c r="C292" i="7" s="1"/>
  <c r="D292" i="7" a="1"/>
  <c r="D292" i="7" s="1"/>
  <c r="E292" i="7" a="1"/>
  <c r="E292" i="7" s="1"/>
  <c r="F292" i="7" a="1"/>
  <c r="F292" i="7" s="1"/>
  <c r="G292" i="7" a="1"/>
  <c r="G292" i="7" s="1"/>
  <c r="H292" i="7" a="1"/>
  <c r="H292" i="7"/>
  <c r="I292" i="7" a="1"/>
  <c r="I292" i="7" s="1"/>
  <c r="J292" i="7" a="1"/>
  <c r="J292" i="7" s="1"/>
  <c r="B293" i="7" a="1"/>
  <c r="B293" i="7" s="1"/>
  <c r="C293" i="7" a="1"/>
  <c r="C293" i="7" s="1"/>
  <c r="D293" i="7" a="1"/>
  <c r="D293" i="7" s="1"/>
  <c r="E293" i="7" a="1"/>
  <c r="E293" i="7"/>
  <c r="F293" i="7" a="1"/>
  <c r="F293" i="7" s="1"/>
  <c r="G293" i="7" a="1"/>
  <c r="G293" i="7" s="1"/>
  <c r="H293" i="7" a="1"/>
  <c r="H293" i="7" s="1"/>
  <c r="I293" i="7" a="1"/>
  <c r="I293" i="7" s="1"/>
  <c r="J293" i="7" a="1"/>
  <c r="J293" i="7" s="1"/>
  <c r="C3" i="7" a="1"/>
  <c r="C3" i="7" s="1"/>
  <c r="D3" i="7" a="1"/>
  <c r="D3" i="7" s="1"/>
  <c r="E3" i="7" a="1"/>
  <c r="E3" i="7" s="1"/>
  <c r="F3" i="7" a="1"/>
  <c r="F3" i="7" s="1"/>
  <c r="G3" i="7" a="1"/>
  <c r="G3" i="7" s="1"/>
  <c r="H3" i="7" a="1"/>
  <c r="H3" i="7" s="1"/>
  <c r="I3" i="7" a="1"/>
  <c r="I3" i="7" s="1"/>
  <c r="J3" i="7" a="1"/>
  <c r="J3" i="7" s="1"/>
  <c r="B3" i="7" a="1"/>
  <c r="B3" i="7" s="1"/>
  <c r="O91" i="21"/>
  <c r="N91" i="21"/>
  <c r="M91" i="21"/>
  <c r="L91" i="21"/>
  <c r="K91" i="21"/>
  <c r="J91" i="21"/>
  <c r="I91" i="21"/>
  <c r="H91" i="21"/>
  <c r="G91" i="21"/>
  <c r="F91" i="21"/>
  <c r="E91" i="21"/>
  <c r="D91" i="21"/>
  <c r="C91" i="21"/>
  <c r="B91" i="21"/>
  <c r="O90" i="21"/>
  <c r="N90" i="21"/>
  <c r="M90" i="21"/>
  <c r="L90" i="21"/>
  <c r="K90" i="21"/>
  <c r="J90" i="21"/>
  <c r="I90" i="21"/>
  <c r="H90" i="21"/>
  <c r="G90" i="21"/>
  <c r="F90" i="21"/>
  <c r="E90" i="21"/>
  <c r="D90" i="21"/>
  <c r="C90" i="21"/>
  <c r="B90" i="21"/>
  <c r="O89" i="21"/>
  <c r="N89" i="21"/>
  <c r="M89" i="21"/>
  <c r="L89" i="21"/>
  <c r="K89" i="21"/>
  <c r="J89" i="21"/>
  <c r="I89" i="21"/>
  <c r="H89" i="21"/>
  <c r="G89" i="21"/>
  <c r="F89" i="21"/>
  <c r="E89" i="21"/>
  <c r="D89" i="21"/>
  <c r="C89" i="21"/>
  <c r="B89" i="21"/>
  <c r="O88" i="21"/>
  <c r="N88" i="21"/>
  <c r="M88" i="21"/>
  <c r="L88" i="21"/>
  <c r="K88" i="21"/>
  <c r="J88" i="21"/>
  <c r="I88" i="21"/>
  <c r="H88" i="21"/>
  <c r="G88" i="21"/>
  <c r="F88" i="21"/>
  <c r="E88" i="21"/>
  <c r="D88" i="21"/>
  <c r="C88" i="21"/>
  <c r="B88" i="21"/>
  <c r="O89" i="17"/>
  <c r="N89" i="17"/>
  <c r="M89" i="17"/>
  <c r="L89" i="17"/>
  <c r="K89" i="17"/>
  <c r="J89" i="17"/>
  <c r="I89" i="17"/>
  <c r="H89" i="17"/>
  <c r="G89" i="17"/>
  <c r="F89" i="17"/>
  <c r="E89" i="17"/>
  <c r="D89" i="17"/>
  <c r="C89" i="17"/>
  <c r="B89" i="17"/>
  <c r="O88" i="17"/>
  <c r="N88" i="17"/>
  <c r="M88" i="17"/>
  <c r="L88" i="17"/>
  <c r="K88" i="17"/>
  <c r="J88" i="17"/>
  <c r="I88" i="17"/>
  <c r="H88" i="17"/>
  <c r="G88" i="17"/>
  <c r="F88" i="17"/>
  <c r="E88" i="17"/>
  <c r="D88" i="17"/>
  <c r="C88" i="17"/>
  <c r="B88" i="17"/>
  <c r="O87" i="17"/>
  <c r="N87" i="17"/>
  <c r="M87" i="17"/>
  <c r="L87" i="17"/>
  <c r="K87" i="17"/>
  <c r="J87" i="17"/>
  <c r="I87" i="17"/>
  <c r="H87" i="17"/>
  <c r="G87" i="17"/>
  <c r="F87" i="17"/>
  <c r="E87" i="17"/>
  <c r="D87" i="17"/>
  <c r="C87" i="17"/>
  <c r="B87" i="17"/>
  <c r="O86" i="17"/>
  <c r="N86" i="17"/>
  <c r="M86" i="17"/>
  <c r="L86" i="17"/>
  <c r="K86" i="17"/>
  <c r="J86" i="17"/>
  <c r="I86" i="17"/>
  <c r="H86" i="17"/>
  <c r="G86" i="17"/>
  <c r="F86" i="17"/>
  <c r="E86" i="17"/>
  <c r="D86" i="17"/>
  <c r="C86" i="17"/>
  <c r="B86" i="17"/>
  <c r="O85" i="17"/>
  <c r="N85" i="17"/>
  <c r="M85" i="17"/>
  <c r="L85" i="17"/>
  <c r="K85" i="17"/>
  <c r="J85" i="17"/>
  <c r="I85" i="17"/>
  <c r="H85" i="17"/>
  <c r="G85" i="17"/>
  <c r="F85" i="17"/>
  <c r="E85" i="17"/>
  <c r="D85" i="17"/>
  <c r="C85" i="17"/>
  <c r="B85" i="17"/>
  <c r="O83" i="17"/>
  <c r="N83" i="17"/>
  <c r="M83" i="17"/>
  <c r="L83" i="17"/>
  <c r="K83" i="17"/>
  <c r="J83" i="17"/>
  <c r="I83" i="17"/>
  <c r="H83" i="17"/>
  <c r="G83" i="17"/>
  <c r="F83" i="17"/>
  <c r="E83" i="17"/>
  <c r="D83" i="17"/>
  <c r="C83" i="17"/>
  <c r="B83" i="17"/>
  <c r="O82" i="17"/>
  <c r="N82" i="17"/>
  <c r="M82" i="17"/>
  <c r="L82" i="17"/>
  <c r="K82" i="17"/>
  <c r="J82" i="17"/>
  <c r="I82" i="17"/>
  <c r="H82" i="17"/>
  <c r="G82" i="17"/>
  <c r="F82" i="17"/>
  <c r="E82" i="17"/>
  <c r="D82" i="17"/>
  <c r="C82" i="17"/>
  <c r="B82" i="17"/>
  <c r="O81" i="17"/>
  <c r="N81" i="17"/>
  <c r="M81" i="17"/>
  <c r="L81" i="17"/>
  <c r="K81" i="17"/>
  <c r="J81" i="17"/>
  <c r="I81" i="17"/>
  <c r="H81" i="17"/>
  <c r="G81" i="17"/>
  <c r="F81" i="17"/>
  <c r="E81" i="17"/>
  <c r="D81" i="17"/>
  <c r="C81" i="17"/>
  <c r="B81" i="17"/>
  <c r="O80" i="17"/>
  <c r="N80" i="17"/>
  <c r="M80" i="17"/>
  <c r="L80" i="17"/>
  <c r="K80" i="17"/>
  <c r="J80" i="17"/>
  <c r="I80" i="17"/>
  <c r="H80" i="17"/>
  <c r="G80" i="17"/>
  <c r="F80" i="17"/>
  <c r="E80" i="17"/>
  <c r="D80" i="17"/>
  <c r="C80" i="17"/>
  <c r="B80" i="17"/>
  <c r="O79" i="17"/>
  <c r="N79" i="17"/>
  <c r="M79" i="17"/>
  <c r="L79" i="17"/>
  <c r="K79" i="17"/>
  <c r="J79" i="17"/>
  <c r="I79" i="17"/>
  <c r="H79" i="17"/>
  <c r="G79" i="17"/>
  <c r="F79" i="17"/>
  <c r="E79" i="17"/>
  <c r="D79" i="17"/>
  <c r="C79" i="17"/>
  <c r="B79" i="17"/>
  <c r="O77" i="17"/>
  <c r="N77" i="17"/>
  <c r="M77" i="17"/>
  <c r="L77" i="17"/>
  <c r="K77" i="17"/>
  <c r="J77" i="17"/>
  <c r="I77" i="17"/>
  <c r="H77" i="17"/>
  <c r="G77" i="17"/>
  <c r="F77" i="17"/>
  <c r="E77" i="17"/>
  <c r="D77" i="17"/>
  <c r="C77" i="17"/>
  <c r="B77" i="17"/>
  <c r="O76" i="17"/>
  <c r="N76" i="17"/>
  <c r="M76" i="17"/>
  <c r="L76" i="17"/>
  <c r="K76" i="17"/>
  <c r="J76" i="17"/>
  <c r="I76" i="17"/>
  <c r="H76" i="17"/>
  <c r="G76" i="17"/>
  <c r="F76" i="17"/>
  <c r="E76" i="17"/>
  <c r="D76" i="17"/>
  <c r="C76" i="17"/>
  <c r="B76" i="17"/>
  <c r="O75" i="17"/>
  <c r="N75" i="17"/>
  <c r="M75" i="17"/>
  <c r="L75" i="17"/>
  <c r="K75" i="17"/>
  <c r="J75" i="17"/>
  <c r="I75" i="17"/>
  <c r="H75" i="17"/>
  <c r="G75" i="17"/>
  <c r="F75" i="17"/>
  <c r="E75" i="17"/>
  <c r="D75" i="17"/>
  <c r="C75" i="17"/>
  <c r="B75" i="17"/>
  <c r="O74" i="17"/>
  <c r="N74" i="17"/>
  <c r="M74" i="17"/>
  <c r="L74" i="17"/>
  <c r="K74" i="17"/>
  <c r="J74" i="17"/>
  <c r="I74" i="17"/>
  <c r="H74" i="17"/>
  <c r="G74" i="17"/>
  <c r="F74" i="17"/>
  <c r="E74" i="17"/>
  <c r="D74" i="17"/>
  <c r="C74" i="17"/>
  <c r="B74" i="17"/>
  <c r="O73" i="17"/>
  <c r="N73" i="17"/>
  <c r="M73" i="17"/>
  <c r="L73" i="17"/>
  <c r="K73" i="17"/>
  <c r="J73" i="17"/>
  <c r="I73" i="17"/>
  <c r="H73" i="17"/>
  <c r="G73" i="17"/>
  <c r="F73" i="17"/>
  <c r="E73" i="17"/>
  <c r="D73" i="17"/>
  <c r="C73" i="17"/>
  <c r="B73" i="17"/>
  <c r="O72" i="17"/>
  <c r="N72" i="17"/>
  <c r="M72" i="17"/>
  <c r="L72" i="17"/>
  <c r="K72" i="17"/>
  <c r="J72" i="17"/>
  <c r="I72" i="17"/>
  <c r="H72" i="17"/>
  <c r="G72" i="17"/>
  <c r="F72" i="17"/>
  <c r="E72" i="17"/>
  <c r="D72" i="17"/>
  <c r="C72" i="17"/>
  <c r="B72" i="17"/>
  <c r="O70" i="17"/>
  <c r="N70" i="17"/>
  <c r="M70" i="17"/>
  <c r="L70" i="17"/>
  <c r="K70" i="17"/>
  <c r="J70" i="17"/>
  <c r="I70" i="17"/>
  <c r="H70" i="17"/>
  <c r="G70" i="17"/>
  <c r="F70" i="17"/>
  <c r="E70" i="17"/>
  <c r="D70" i="17"/>
  <c r="C70" i="17"/>
  <c r="B70" i="17"/>
  <c r="O69" i="17"/>
  <c r="N69" i="17"/>
  <c r="M69" i="17"/>
  <c r="L69" i="17"/>
  <c r="K69" i="17"/>
  <c r="J69" i="17"/>
  <c r="I69" i="17"/>
  <c r="H69" i="17"/>
  <c r="G69" i="17"/>
  <c r="F69" i="17"/>
  <c r="E69" i="17"/>
  <c r="D69" i="17"/>
  <c r="C69" i="17"/>
  <c r="B69" i="17"/>
  <c r="O68" i="17"/>
  <c r="N68" i="17"/>
  <c r="M68" i="17"/>
  <c r="L68" i="17"/>
  <c r="K68" i="17"/>
  <c r="J68" i="17"/>
  <c r="I68" i="17"/>
  <c r="H68" i="17"/>
  <c r="G68" i="17"/>
  <c r="F68" i="17"/>
  <c r="E68" i="17"/>
  <c r="D68" i="17"/>
  <c r="C68" i="17"/>
  <c r="B68" i="17"/>
  <c r="O67" i="17"/>
  <c r="N67" i="17"/>
  <c r="M67" i="17"/>
  <c r="L67" i="17"/>
  <c r="K67" i="17"/>
  <c r="J67" i="17"/>
  <c r="I67" i="17"/>
  <c r="H67" i="17"/>
  <c r="G67" i="17"/>
  <c r="F67" i="17"/>
  <c r="E67" i="17"/>
  <c r="D67" i="17"/>
  <c r="C67" i="17"/>
  <c r="B67" i="17"/>
  <c r="O66" i="17"/>
  <c r="N66" i="17"/>
  <c r="M66" i="17"/>
  <c r="L66" i="17"/>
  <c r="K66" i="17"/>
  <c r="J66" i="17"/>
  <c r="I66" i="17"/>
  <c r="H66" i="17"/>
  <c r="G66" i="17"/>
  <c r="F66" i="17"/>
  <c r="E66" i="17"/>
  <c r="D66" i="17"/>
  <c r="C66" i="17"/>
  <c r="B66" i="17"/>
  <c r="O65" i="17"/>
  <c r="N65" i="17"/>
  <c r="M65" i="17"/>
  <c r="L65" i="17"/>
  <c r="K65" i="17"/>
  <c r="J65" i="17"/>
  <c r="I65" i="17"/>
  <c r="H65" i="17"/>
  <c r="G65" i="17"/>
  <c r="F65" i="17"/>
  <c r="E65" i="17"/>
  <c r="D65" i="17"/>
  <c r="C65" i="17"/>
  <c r="B65" i="17"/>
  <c r="O63" i="17"/>
  <c r="N63" i="17"/>
  <c r="M63" i="17"/>
  <c r="L63" i="17"/>
  <c r="K63" i="17"/>
  <c r="J63" i="17"/>
  <c r="I63" i="17"/>
  <c r="H63" i="17"/>
  <c r="G63" i="17"/>
  <c r="F63" i="17"/>
  <c r="E63" i="17"/>
  <c r="D63" i="17"/>
  <c r="C63" i="17"/>
  <c r="B63" i="17"/>
  <c r="O62" i="17"/>
  <c r="N62" i="17"/>
  <c r="M62" i="17"/>
  <c r="L62" i="17"/>
  <c r="K62" i="17"/>
  <c r="J62" i="17"/>
  <c r="I62" i="17"/>
  <c r="H62" i="17"/>
  <c r="G62" i="17"/>
  <c r="F62" i="17"/>
  <c r="E62" i="17"/>
  <c r="D62" i="17"/>
  <c r="C62" i="17"/>
  <c r="B62" i="17"/>
  <c r="O61" i="17"/>
  <c r="N61" i="17"/>
  <c r="M61" i="17"/>
  <c r="L61" i="17"/>
  <c r="K61" i="17"/>
  <c r="J61" i="17"/>
  <c r="I61" i="17"/>
  <c r="H61" i="17"/>
  <c r="G61" i="17"/>
  <c r="F61" i="17"/>
  <c r="E61" i="17"/>
  <c r="D61" i="17"/>
  <c r="C61" i="17"/>
  <c r="B61" i="17"/>
  <c r="O60" i="17"/>
  <c r="N60" i="17"/>
  <c r="M60" i="17"/>
  <c r="L60" i="17"/>
  <c r="K60" i="17"/>
  <c r="J60" i="17"/>
  <c r="I60" i="17"/>
  <c r="H60" i="17"/>
  <c r="G60" i="17"/>
  <c r="F60" i="17"/>
  <c r="E60" i="17"/>
  <c r="D60" i="17"/>
  <c r="C60" i="17"/>
  <c r="B60" i="17"/>
  <c r="O59" i="17"/>
  <c r="N59" i="17"/>
  <c r="M59" i="17"/>
  <c r="L59" i="17"/>
  <c r="K59" i="17"/>
  <c r="J59" i="17"/>
  <c r="I59" i="17"/>
  <c r="H59" i="17"/>
  <c r="G59" i="17"/>
  <c r="F59" i="17"/>
  <c r="E59" i="17"/>
  <c r="D59" i="17"/>
  <c r="C59" i="17"/>
  <c r="B59" i="17"/>
  <c r="O57" i="17"/>
  <c r="N57" i="17"/>
  <c r="M57" i="17"/>
  <c r="L57" i="17"/>
  <c r="K57" i="17"/>
  <c r="J57" i="17"/>
  <c r="I57" i="17"/>
  <c r="H57" i="17"/>
  <c r="G57" i="17"/>
  <c r="F57" i="17"/>
  <c r="E57" i="17"/>
  <c r="D57" i="17"/>
  <c r="C57" i="17"/>
  <c r="B57" i="17"/>
  <c r="O56" i="17"/>
  <c r="N56" i="17"/>
  <c r="M56" i="17"/>
  <c r="L56" i="17"/>
  <c r="K56" i="17"/>
  <c r="J56" i="17"/>
  <c r="I56" i="17"/>
  <c r="H56" i="17"/>
  <c r="G56" i="17"/>
  <c r="F56" i="17"/>
  <c r="E56" i="17"/>
  <c r="D56" i="17"/>
  <c r="C56" i="17"/>
  <c r="B56" i="17"/>
  <c r="O54" i="17"/>
  <c r="N54" i="17"/>
  <c r="M54" i="17"/>
  <c r="L54" i="17"/>
  <c r="K54" i="17"/>
  <c r="J54" i="17"/>
  <c r="I54" i="17"/>
  <c r="H54" i="17"/>
  <c r="G54" i="17"/>
  <c r="F54" i="17"/>
  <c r="E54" i="17"/>
  <c r="D54" i="17"/>
  <c r="C54" i="17"/>
  <c r="B54" i="17"/>
  <c r="O53" i="17"/>
  <c r="N53" i="17"/>
  <c r="M53" i="17"/>
  <c r="L53" i="17"/>
  <c r="K53" i="17"/>
  <c r="J53" i="17"/>
  <c r="I53" i="17"/>
  <c r="H53" i="17"/>
  <c r="G53" i="17"/>
  <c r="F53" i="17"/>
  <c r="E53" i="17"/>
  <c r="D53" i="17"/>
  <c r="C53" i="17"/>
  <c r="B53" i="17"/>
  <c r="O51" i="17"/>
  <c r="N51" i="17"/>
  <c r="M51" i="17"/>
  <c r="L51" i="17"/>
  <c r="K51" i="17"/>
  <c r="J51" i="17"/>
  <c r="I51" i="17"/>
  <c r="H51" i="17"/>
  <c r="G51" i="17"/>
  <c r="F51" i="17"/>
  <c r="E51" i="17"/>
  <c r="D51" i="17"/>
  <c r="C51" i="17"/>
  <c r="B51" i="17"/>
  <c r="O50" i="17"/>
  <c r="N50" i="17"/>
  <c r="M50" i="17"/>
  <c r="L50" i="17"/>
  <c r="K50" i="17"/>
  <c r="J50" i="17"/>
  <c r="I50" i="17"/>
  <c r="H50" i="17"/>
  <c r="G50" i="17"/>
  <c r="F50" i="17"/>
  <c r="E50" i="17"/>
  <c r="D50" i="17"/>
  <c r="C50" i="17"/>
  <c r="B50" i="17"/>
  <c r="O48" i="17"/>
  <c r="N48" i="17"/>
  <c r="M48" i="17"/>
  <c r="L48" i="17"/>
  <c r="K48" i="17"/>
  <c r="J48" i="17"/>
  <c r="I48" i="17"/>
  <c r="H48" i="17"/>
  <c r="G48" i="17"/>
  <c r="F48" i="17"/>
  <c r="E48" i="17"/>
  <c r="D48" i="17"/>
  <c r="C48" i="17"/>
  <c r="B48" i="17"/>
  <c r="O47" i="17"/>
  <c r="N47" i="17"/>
  <c r="M47" i="17"/>
  <c r="L47" i="17"/>
  <c r="K47" i="17"/>
  <c r="J47" i="17"/>
  <c r="I47" i="17"/>
  <c r="H47" i="17"/>
  <c r="G47" i="17"/>
  <c r="F47" i="17"/>
  <c r="E47" i="17"/>
  <c r="D47" i="17"/>
  <c r="C47" i="17"/>
  <c r="B47" i="17"/>
  <c r="O45" i="17"/>
  <c r="N45" i="17"/>
  <c r="M45" i="17"/>
  <c r="L45" i="17"/>
  <c r="K45" i="17"/>
  <c r="J45" i="17"/>
  <c r="I45" i="17"/>
  <c r="H45" i="17"/>
  <c r="G45" i="17"/>
  <c r="F45" i="17"/>
  <c r="E45" i="17"/>
  <c r="D45" i="17"/>
  <c r="C45" i="17"/>
  <c r="B45" i="17"/>
  <c r="O44" i="17"/>
  <c r="N44" i="17"/>
  <c r="M44" i="17"/>
  <c r="L44" i="17"/>
  <c r="K44" i="17"/>
  <c r="J44" i="17"/>
  <c r="I44" i="17"/>
  <c r="H44" i="17"/>
  <c r="G44" i="17"/>
  <c r="F44" i="17"/>
  <c r="E44" i="17"/>
  <c r="D44" i="17"/>
  <c r="C44" i="17"/>
  <c r="B44" i="17"/>
  <c r="O43" i="17"/>
  <c r="N43" i="17"/>
  <c r="M43" i="17"/>
  <c r="L43" i="17"/>
  <c r="K43" i="17"/>
  <c r="J43" i="17"/>
  <c r="I43" i="17"/>
  <c r="H43" i="17"/>
  <c r="G43" i="17"/>
  <c r="F43" i="17"/>
  <c r="E43" i="17"/>
  <c r="D43" i="17"/>
  <c r="C43" i="17"/>
  <c r="B43" i="17"/>
  <c r="O42" i="17"/>
  <c r="N42" i="17"/>
  <c r="M42" i="17"/>
  <c r="L42" i="17"/>
  <c r="K42" i="17"/>
  <c r="J42" i="17"/>
  <c r="I42" i="17"/>
  <c r="H42" i="17"/>
  <c r="G42" i="17"/>
  <c r="F42" i="17"/>
  <c r="E42" i="17"/>
  <c r="D42" i="17"/>
  <c r="C42" i="17"/>
  <c r="B42" i="17"/>
  <c r="O40" i="17"/>
  <c r="N40" i="17"/>
  <c r="M40" i="17"/>
  <c r="L40" i="17"/>
  <c r="K40" i="17"/>
  <c r="J40" i="17"/>
  <c r="I40" i="17"/>
  <c r="H40" i="17"/>
  <c r="G40" i="17"/>
  <c r="F40" i="17"/>
  <c r="E40" i="17"/>
  <c r="D40" i="17"/>
  <c r="C40" i="17"/>
  <c r="B40" i="17"/>
  <c r="O39" i="17"/>
  <c r="N39" i="17"/>
  <c r="M39" i="17"/>
  <c r="L39" i="17"/>
  <c r="K39" i="17"/>
  <c r="J39" i="17"/>
  <c r="I39" i="17"/>
  <c r="H39" i="17"/>
  <c r="G39" i="17"/>
  <c r="F39" i="17"/>
  <c r="E39" i="17"/>
  <c r="D39" i="17"/>
  <c r="C39" i="17"/>
  <c r="B39" i="17"/>
  <c r="O38" i="17"/>
  <c r="N38" i="17"/>
  <c r="M38" i="17"/>
  <c r="L38" i="17"/>
  <c r="K38" i="17"/>
  <c r="J38" i="17"/>
  <c r="I38" i="17"/>
  <c r="H38" i="17"/>
  <c r="G38" i="17"/>
  <c r="F38" i="17"/>
  <c r="E38" i="17"/>
  <c r="D38" i="17"/>
  <c r="C38" i="17"/>
  <c r="B38" i="17"/>
  <c r="O37" i="17"/>
  <c r="N37" i="17"/>
  <c r="M37" i="17"/>
  <c r="L37" i="17"/>
  <c r="K37" i="17"/>
  <c r="J37" i="17"/>
  <c r="I37" i="17"/>
  <c r="H37" i="17"/>
  <c r="G37" i="17"/>
  <c r="F37" i="17"/>
  <c r="E37" i="17"/>
  <c r="D37" i="17"/>
  <c r="C37" i="17"/>
  <c r="B37" i="17"/>
  <c r="O35" i="17"/>
  <c r="N35" i="17"/>
  <c r="M35" i="17"/>
  <c r="L35" i="17"/>
  <c r="K35" i="17"/>
  <c r="J35" i="17"/>
  <c r="I35" i="17"/>
  <c r="H35" i="17"/>
  <c r="G35" i="17"/>
  <c r="F35" i="17"/>
  <c r="E35" i="17"/>
  <c r="D35" i="17"/>
  <c r="C35" i="17"/>
  <c r="B35" i="17"/>
  <c r="O34" i="17"/>
  <c r="N34" i="17"/>
  <c r="M34" i="17"/>
  <c r="L34" i="17"/>
  <c r="K34" i="17"/>
  <c r="J34" i="17"/>
  <c r="I34" i="17"/>
  <c r="H34" i="17"/>
  <c r="G34" i="17"/>
  <c r="F34" i="17"/>
  <c r="E34" i="17"/>
  <c r="D34" i="17"/>
  <c r="C34" i="17"/>
  <c r="B34" i="17"/>
  <c r="O33" i="17"/>
  <c r="N33" i="17"/>
  <c r="M33" i="17"/>
  <c r="L33" i="17"/>
  <c r="K33" i="17"/>
  <c r="J33" i="17"/>
  <c r="I33" i="17"/>
  <c r="H33" i="17"/>
  <c r="G33" i="17"/>
  <c r="F33" i="17"/>
  <c r="E33" i="17"/>
  <c r="D33" i="17"/>
  <c r="C33" i="17"/>
  <c r="B33" i="17"/>
  <c r="O31" i="17"/>
  <c r="N31" i="17"/>
  <c r="M31" i="17"/>
  <c r="L31" i="17"/>
  <c r="K31" i="17"/>
  <c r="J31" i="17"/>
  <c r="I31" i="17"/>
  <c r="H31" i="17"/>
  <c r="G31" i="17"/>
  <c r="F31" i="17"/>
  <c r="E31" i="17"/>
  <c r="D31" i="17"/>
  <c r="C31" i="17"/>
  <c r="B31" i="17"/>
  <c r="O30" i="17"/>
  <c r="N30" i="17"/>
  <c r="M30" i="17"/>
  <c r="L30" i="17"/>
  <c r="K30" i="17"/>
  <c r="J30" i="17"/>
  <c r="I30" i="17"/>
  <c r="H30" i="17"/>
  <c r="G30" i="17"/>
  <c r="F30" i="17"/>
  <c r="E30" i="17"/>
  <c r="D30" i="17"/>
  <c r="C30" i="17"/>
  <c r="B30" i="17"/>
  <c r="O29" i="17"/>
  <c r="N29" i="17"/>
  <c r="M29" i="17"/>
  <c r="L29" i="17"/>
  <c r="K29" i="17"/>
  <c r="J29" i="17"/>
  <c r="I29" i="17"/>
  <c r="H29" i="17"/>
  <c r="G29" i="17"/>
  <c r="F29" i="17"/>
  <c r="E29" i="17"/>
  <c r="D29" i="17"/>
  <c r="C29" i="17"/>
  <c r="B29" i="17"/>
  <c r="O27" i="17"/>
  <c r="N27" i="17"/>
  <c r="M27" i="17"/>
  <c r="L27" i="17"/>
  <c r="K27" i="17"/>
  <c r="J27" i="17"/>
  <c r="I27" i="17"/>
  <c r="H27" i="17"/>
  <c r="G27" i="17"/>
  <c r="F27" i="17"/>
  <c r="E27" i="17"/>
  <c r="D27" i="17"/>
  <c r="C27" i="17"/>
  <c r="B27" i="17"/>
  <c r="O26" i="17"/>
  <c r="N26" i="17"/>
  <c r="M26" i="17"/>
  <c r="L26" i="17"/>
  <c r="K26" i="17"/>
  <c r="J26" i="17"/>
  <c r="I26" i="17"/>
  <c r="H26" i="17"/>
  <c r="G26" i="17"/>
  <c r="F26" i="17"/>
  <c r="E26" i="17"/>
  <c r="D26" i="17"/>
  <c r="C26" i="17"/>
  <c r="B26" i="17"/>
  <c r="O25" i="17"/>
  <c r="N25" i="17"/>
  <c r="M25" i="17"/>
  <c r="L25" i="17"/>
  <c r="K25" i="17"/>
  <c r="J25" i="17"/>
  <c r="I25" i="17"/>
  <c r="H25" i="17"/>
  <c r="G25" i="17"/>
  <c r="F25" i="17"/>
  <c r="E25" i="17"/>
  <c r="D25" i="17"/>
  <c r="C25" i="17"/>
  <c r="B25" i="17"/>
  <c r="O24" i="17"/>
  <c r="N24" i="17"/>
  <c r="M24" i="17"/>
  <c r="L24" i="17"/>
  <c r="K24" i="17"/>
  <c r="J24" i="17"/>
  <c r="I24" i="17"/>
  <c r="H24" i="17"/>
  <c r="G24" i="17"/>
  <c r="F24" i="17"/>
  <c r="E24" i="17"/>
  <c r="D24" i="17"/>
  <c r="C24" i="17"/>
  <c r="B24" i="17"/>
  <c r="O22" i="17"/>
  <c r="N22" i="17"/>
  <c r="M22" i="17"/>
  <c r="L22" i="17"/>
  <c r="K22" i="17"/>
  <c r="J22" i="17"/>
  <c r="I22" i="17"/>
  <c r="H22" i="17"/>
  <c r="G22" i="17"/>
  <c r="F22" i="17"/>
  <c r="E22" i="17"/>
  <c r="D22" i="17"/>
  <c r="C22" i="17"/>
  <c r="B22" i="17"/>
  <c r="O21" i="17"/>
  <c r="N21" i="17"/>
  <c r="M21" i="17"/>
  <c r="L21" i="17"/>
  <c r="K21" i="17"/>
  <c r="J21" i="17"/>
  <c r="I21" i="17"/>
  <c r="H21" i="17"/>
  <c r="G21" i="17"/>
  <c r="F21" i="17"/>
  <c r="E21" i="17"/>
  <c r="D21" i="17"/>
  <c r="C21" i="17"/>
  <c r="B21" i="17"/>
  <c r="O20" i="17"/>
  <c r="N20" i="17"/>
  <c r="M20" i="17"/>
  <c r="L20" i="17"/>
  <c r="K20" i="17"/>
  <c r="J20" i="17"/>
  <c r="I20" i="17"/>
  <c r="H20" i="17"/>
  <c r="G20" i="17"/>
  <c r="F20" i="17"/>
  <c r="E20" i="17"/>
  <c r="D20" i="17"/>
  <c r="C20" i="17"/>
  <c r="B20" i="17"/>
  <c r="O19" i="17"/>
  <c r="N19" i="17"/>
  <c r="M19" i="17"/>
  <c r="L19" i="17"/>
  <c r="K19" i="17"/>
  <c r="J19" i="17"/>
  <c r="I19" i="17"/>
  <c r="H19" i="17"/>
  <c r="G19" i="17"/>
  <c r="F19" i="17"/>
  <c r="E19" i="17"/>
  <c r="D19" i="17"/>
  <c r="C19" i="17"/>
  <c r="B19" i="17"/>
  <c r="O17" i="17"/>
  <c r="N17" i="17"/>
  <c r="M17" i="17"/>
  <c r="L17" i="17"/>
  <c r="K17" i="17"/>
  <c r="J17" i="17"/>
  <c r="I17" i="17"/>
  <c r="H17" i="17"/>
  <c r="G17" i="17"/>
  <c r="F17" i="17"/>
  <c r="E17" i="17"/>
  <c r="D17" i="17"/>
  <c r="C17" i="17"/>
  <c r="B17" i="17"/>
  <c r="O16" i="17"/>
  <c r="N16" i="17"/>
  <c r="M16" i="17"/>
  <c r="L16" i="17"/>
  <c r="K16" i="17"/>
  <c r="J16" i="17"/>
  <c r="I16" i="17"/>
  <c r="H16" i="17"/>
  <c r="G16" i="17"/>
  <c r="F16" i="17"/>
  <c r="E16" i="17"/>
  <c r="D16" i="17"/>
  <c r="C16" i="17"/>
  <c r="B16" i="17"/>
  <c r="O15" i="17"/>
  <c r="N15" i="17"/>
  <c r="M15" i="17"/>
  <c r="L15" i="17"/>
  <c r="K15" i="17"/>
  <c r="J15" i="17"/>
  <c r="I15" i="17"/>
  <c r="H15" i="17"/>
  <c r="G15" i="17"/>
  <c r="F15" i="17"/>
  <c r="E15" i="17"/>
  <c r="D15" i="17"/>
  <c r="C15" i="17"/>
  <c r="B15" i="17"/>
  <c r="O14" i="17"/>
  <c r="N14" i="17"/>
  <c r="M14" i="17"/>
  <c r="L14" i="17"/>
  <c r="K14" i="17"/>
  <c r="J14" i="17"/>
  <c r="I14" i="17"/>
  <c r="H14" i="17"/>
  <c r="G14" i="17"/>
  <c r="F14" i="17"/>
  <c r="E14" i="17"/>
  <c r="D14" i="17"/>
  <c r="C14" i="17"/>
  <c r="B14" i="17"/>
  <c r="O13" i="17"/>
  <c r="N13" i="17"/>
  <c r="M13" i="17"/>
  <c r="L13" i="17"/>
  <c r="K13" i="17"/>
  <c r="J13" i="17"/>
  <c r="I13" i="17"/>
  <c r="H13" i="17"/>
  <c r="G13" i="17"/>
  <c r="F13" i="17"/>
  <c r="E13" i="17"/>
  <c r="D13" i="17"/>
  <c r="C13" i="17"/>
  <c r="B13" i="17"/>
  <c r="O11" i="17"/>
  <c r="N11" i="17"/>
  <c r="M11" i="17"/>
  <c r="L11" i="17"/>
  <c r="K11" i="17"/>
  <c r="J11" i="17"/>
  <c r="I11" i="17"/>
  <c r="H11" i="17"/>
  <c r="G11" i="17"/>
  <c r="F11" i="17"/>
  <c r="E11" i="17"/>
  <c r="D11" i="17"/>
  <c r="C11" i="17"/>
  <c r="B11" i="17"/>
  <c r="O10" i="17"/>
  <c r="N10" i="17"/>
  <c r="M10" i="17"/>
  <c r="L10" i="17"/>
  <c r="K10" i="17"/>
  <c r="J10" i="17"/>
  <c r="I10" i="17"/>
  <c r="H10" i="17"/>
  <c r="G10" i="17"/>
  <c r="F10" i="17"/>
  <c r="E10" i="17"/>
  <c r="D10" i="17"/>
  <c r="C10" i="17"/>
  <c r="B10" i="17"/>
  <c r="O9" i="17"/>
  <c r="N9" i="17"/>
  <c r="M9" i="17"/>
  <c r="L9" i="17"/>
  <c r="K9" i="17"/>
  <c r="J9" i="17"/>
  <c r="I9" i="17"/>
  <c r="H9" i="17"/>
  <c r="G9" i="17"/>
  <c r="F9" i="17"/>
  <c r="E9" i="17"/>
  <c r="D9" i="17"/>
  <c r="C9" i="17"/>
  <c r="B9" i="17"/>
  <c r="O8" i="17"/>
  <c r="N8" i="17"/>
  <c r="M8" i="17"/>
  <c r="L8" i="17"/>
  <c r="K8" i="17"/>
  <c r="J8" i="17"/>
  <c r="I8" i="17"/>
  <c r="H8" i="17"/>
  <c r="G8" i="17"/>
  <c r="F8" i="17"/>
  <c r="E8" i="17"/>
  <c r="D8" i="17"/>
  <c r="C8" i="17"/>
  <c r="B8" i="17"/>
  <c r="O4" i="17"/>
  <c r="N4" i="17"/>
  <c r="M4" i="17"/>
  <c r="L4" i="17"/>
  <c r="K4" i="17"/>
  <c r="J4" i="17"/>
  <c r="I4" i="17"/>
  <c r="H4" i="17"/>
  <c r="G4" i="17"/>
  <c r="F4" i="17"/>
  <c r="E4" i="17"/>
  <c r="D4" i="17"/>
  <c r="C4" i="17"/>
  <c r="B4" i="17"/>
  <c r="O3" i="17"/>
  <c r="N3" i="17"/>
  <c r="M3" i="17"/>
  <c r="L3" i="17"/>
  <c r="K3" i="17"/>
  <c r="J3" i="17"/>
  <c r="I3" i="17"/>
  <c r="H3" i="17"/>
  <c r="G3" i="17"/>
  <c r="F3" i="17"/>
  <c r="E3" i="17"/>
  <c r="D3" i="17"/>
  <c r="C3" i="17"/>
  <c r="B3" i="17"/>
  <c r="B16" i="16"/>
  <c r="B15" i="16"/>
  <c r="F1" i="16"/>
  <c r="S87" i="15"/>
  <c r="R87" i="15"/>
  <c r="Q87" i="15"/>
  <c r="P87" i="15"/>
  <c r="O87" i="15"/>
  <c r="N87" i="15"/>
  <c r="M87" i="15"/>
  <c r="L87" i="15"/>
  <c r="K87" i="15"/>
  <c r="J87" i="15"/>
  <c r="I87" i="15"/>
  <c r="H87" i="15"/>
  <c r="G87" i="15"/>
  <c r="F87" i="15"/>
  <c r="E87" i="15"/>
  <c r="D87" i="15"/>
  <c r="C87" i="15"/>
  <c r="B87" i="15"/>
  <c r="S86" i="15"/>
  <c r="R86" i="15"/>
  <c r="Q86" i="15"/>
  <c r="P86" i="15"/>
  <c r="O86" i="15"/>
  <c r="N86" i="15"/>
  <c r="M86" i="15"/>
  <c r="L86" i="15"/>
  <c r="K86" i="15"/>
  <c r="J86" i="15"/>
  <c r="I86" i="15"/>
  <c r="H86" i="15"/>
  <c r="G86" i="15"/>
  <c r="F86" i="15"/>
  <c r="E86" i="15"/>
  <c r="D86" i="15"/>
  <c r="C86" i="15"/>
  <c r="B86" i="15"/>
  <c r="S85" i="15"/>
  <c r="R85" i="15"/>
  <c r="Q85" i="15"/>
  <c r="P85" i="15"/>
  <c r="O85" i="15"/>
  <c r="N85" i="15"/>
  <c r="M85" i="15"/>
  <c r="L85" i="15"/>
  <c r="K85" i="15"/>
  <c r="J85" i="15"/>
  <c r="I85" i="15"/>
  <c r="H85" i="15"/>
  <c r="G85" i="15"/>
  <c r="F85" i="15"/>
  <c r="E85" i="15"/>
  <c r="D85" i="15"/>
  <c r="C85" i="15"/>
  <c r="B85" i="15"/>
  <c r="S84" i="15"/>
  <c r="R84" i="15"/>
  <c r="Q84" i="15"/>
  <c r="P84" i="15"/>
  <c r="O84" i="15"/>
  <c r="N84" i="15"/>
  <c r="M84" i="15"/>
  <c r="L84" i="15"/>
  <c r="K84" i="15"/>
  <c r="J84" i="15"/>
  <c r="I84" i="15"/>
  <c r="H84" i="15"/>
  <c r="G84" i="15"/>
  <c r="F84" i="15"/>
  <c r="E84" i="15"/>
  <c r="D84" i="15"/>
  <c r="C84" i="15"/>
  <c r="B84" i="15"/>
  <c r="S83" i="15"/>
  <c r="R83" i="15"/>
  <c r="Q83" i="15"/>
  <c r="P83" i="15"/>
  <c r="O83" i="15"/>
  <c r="N83" i="15"/>
  <c r="M83" i="15"/>
  <c r="L83" i="15"/>
  <c r="K83" i="15"/>
  <c r="J83" i="15"/>
  <c r="I83" i="15"/>
  <c r="H83" i="15"/>
  <c r="G83" i="15"/>
  <c r="F83" i="15"/>
  <c r="E83" i="15"/>
  <c r="D83" i="15"/>
  <c r="C83" i="15"/>
  <c r="B83" i="15"/>
  <c r="S82" i="15"/>
  <c r="R82" i="15"/>
  <c r="Q82" i="15"/>
  <c r="P82" i="15"/>
  <c r="O82" i="15"/>
  <c r="N82" i="15"/>
  <c r="M82" i="15"/>
  <c r="L82" i="15"/>
  <c r="K82" i="15"/>
  <c r="J82" i="15"/>
  <c r="I82" i="15"/>
  <c r="H82" i="15"/>
  <c r="G82" i="15"/>
  <c r="F82" i="15"/>
  <c r="E82" i="15"/>
  <c r="D82" i="15"/>
  <c r="C82" i="15"/>
  <c r="B82" i="15"/>
  <c r="S81" i="15"/>
  <c r="R81" i="15"/>
  <c r="Q81" i="15"/>
  <c r="P81" i="15"/>
  <c r="O81" i="15"/>
  <c r="N81" i="15"/>
  <c r="M81" i="15"/>
  <c r="L81" i="15"/>
  <c r="K81" i="15"/>
  <c r="J81" i="15"/>
  <c r="I81" i="15"/>
  <c r="H81" i="15"/>
  <c r="G81" i="15"/>
  <c r="F81" i="15"/>
  <c r="E81" i="15"/>
  <c r="D81" i="15"/>
  <c r="C81" i="15"/>
  <c r="B81" i="15"/>
  <c r="S79" i="15"/>
  <c r="R79" i="15"/>
  <c r="Q79" i="15"/>
  <c r="P79" i="15"/>
  <c r="O79" i="15"/>
  <c r="N79" i="15"/>
  <c r="M79" i="15"/>
  <c r="L79" i="15"/>
  <c r="K79" i="15"/>
  <c r="J79" i="15"/>
  <c r="I79" i="15"/>
  <c r="H79" i="15"/>
  <c r="G79" i="15"/>
  <c r="F79" i="15"/>
  <c r="E79" i="15"/>
  <c r="D79" i="15"/>
  <c r="C79" i="15"/>
  <c r="B79" i="15"/>
  <c r="S78" i="15"/>
  <c r="R78" i="15"/>
  <c r="Q78" i="15"/>
  <c r="P78" i="15"/>
  <c r="O78" i="15"/>
  <c r="N78" i="15"/>
  <c r="M78" i="15"/>
  <c r="L78" i="15"/>
  <c r="K78" i="15"/>
  <c r="J78" i="15"/>
  <c r="I78" i="15"/>
  <c r="H78" i="15"/>
  <c r="G78" i="15"/>
  <c r="F78" i="15"/>
  <c r="E78" i="15"/>
  <c r="D78" i="15"/>
  <c r="C78" i="15"/>
  <c r="B78" i="15"/>
  <c r="S77" i="15"/>
  <c r="R77" i="15"/>
  <c r="Q77" i="15"/>
  <c r="P77" i="15"/>
  <c r="O77" i="15"/>
  <c r="N77" i="15"/>
  <c r="M77" i="15"/>
  <c r="L77" i="15"/>
  <c r="K77" i="15"/>
  <c r="J77" i="15"/>
  <c r="I77" i="15"/>
  <c r="H77" i="15"/>
  <c r="G77" i="15"/>
  <c r="F77" i="15"/>
  <c r="E77" i="15"/>
  <c r="D77" i="15"/>
  <c r="C77" i="15"/>
  <c r="B77" i="15"/>
  <c r="S76" i="15"/>
  <c r="R76" i="15"/>
  <c r="Q76" i="15"/>
  <c r="P76" i="15"/>
  <c r="O76" i="15"/>
  <c r="N76" i="15"/>
  <c r="M76" i="15"/>
  <c r="L76" i="15"/>
  <c r="K76" i="15"/>
  <c r="J76" i="15"/>
  <c r="I76" i="15"/>
  <c r="H76" i="15"/>
  <c r="G76" i="15"/>
  <c r="F76" i="15"/>
  <c r="E76" i="15"/>
  <c r="D76" i="15"/>
  <c r="C76" i="15"/>
  <c r="B76" i="15"/>
  <c r="S75" i="15"/>
  <c r="R75" i="15"/>
  <c r="Q75" i="15"/>
  <c r="P75" i="15"/>
  <c r="O75" i="15"/>
  <c r="N75" i="15"/>
  <c r="M75" i="15"/>
  <c r="L75" i="15"/>
  <c r="K75" i="15"/>
  <c r="J75" i="15"/>
  <c r="I75" i="15"/>
  <c r="H75" i="15"/>
  <c r="G75" i="15"/>
  <c r="F75" i="15"/>
  <c r="E75" i="15"/>
  <c r="D75" i="15"/>
  <c r="C75" i="15"/>
  <c r="B75" i="15"/>
  <c r="S74" i="15"/>
  <c r="R74" i="15"/>
  <c r="Q74" i="15"/>
  <c r="P74" i="15"/>
  <c r="O74" i="15"/>
  <c r="N74" i="15"/>
  <c r="M74" i="15"/>
  <c r="L74" i="15"/>
  <c r="K74" i="15"/>
  <c r="J74" i="15"/>
  <c r="I74" i="15"/>
  <c r="H74" i="15"/>
  <c r="G74" i="15"/>
  <c r="F74" i="15"/>
  <c r="E74" i="15"/>
  <c r="D74" i="15"/>
  <c r="C74" i="15"/>
  <c r="B74" i="15"/>
  <c r="S73" i="15"/>
  <c r="R73" i="15"/>
  <c r="Q73" i="15"/>
  <c r="P73" i="15"/>
  <c r="O73" i="15"/>
  <c r="N73" i="15"/>
  <c r="M73" i="15"/>
  <c r="L73" i="15"/>
  <c r="K73" i="15"/>
  <c r="J73" i="15"/>
  <c r="I73" i="15"/>
  <c r="H73" i="15"/>
  <c r="G73" i="15"/>
  <c r="F73" i="15"/>
  <c r="E73" i="15"/>
  <c r="D73" i="15"/>
  <c r="C73" i="15"/>
  <c r="B73" i="15"/>
  <c r="S72" i="15"/>
  <c r="R72" i="15"/>
  <c r="Q72" i="15"/>
  <c r="P72" i="15"/>
  <c r="O72" i="15"/>
  <c r="N72" i="15"/>
  <c r="M72" i="15"/>
  <c r="L72" i="15"/>
  <c r="K72" i="15"/>
  <c r="J72" i="15"/>
  <c r="I72" i="15"/>
  <c r="H72" i="15"/>
  <c r="G72" i="15"/>
  <c r="F72" i="15"/>
  <c r="E72" i="15"/>
  <c r="D72" i="15"/>
  <c r="C72" i="15"/>
  <c r="B72" i="15"/>
  <c r="S71" i="15"/>
  <c r="R71" i="15"/>
  <c r="Q71" i="15"/>
  <c r="P71" i="15"/>
  <c r="O71" i="15"/>
  <c r="N71" i="15"/>
  <c r="M71" i="15"/>
  <c r="L71" i="15"/>
  <c r="K71" i="15"/>
  <c r="J71" i="15"/>
  <c r="I71" i="15"/>
  <c r="H71" i="15"/>
  <c r="G71" i="15"/>
  <c r="F71" i="15"/>
  <c r="E71" i="15"/>
  <c r="D71" i="15"/>
  <c r="C71" i="15"/>
  <c r="B71" i="15"/>
  <c r="S70" i="15"/>
  <c r="R70" i="15"/>
  <c r="Q70" i="15"/>
  <c r="P70" i="15"/>
  <c r="O70" i="15"/>
  <c r="N70" i="15"/>
  <c r="M70" i="15"/>
  <c r="L70" i="15"/>
  <c r="K70" i="15"/>
  <c r="J70" i="15"/>
  <c r="I70" i="15"/>
  <c r="H70" i="15"/>
  <c r="G70" i="15"/>
  <c r="F70" i="15"/>
  <c r="E70" i="15"/>
  <c r="D70" i="15"/>
  <c r="C70" i="15"/>
  <c r="B70" i="15"/>
  <c r="S69" i="15"/>
  <c r="R69" i="15"/>
  <c r="Q69" i="15"/>
  <c r="P69" i="15"/>
  <c r="O69" i="15"/>
  <c r="N69" i="15"/>
  <c r="M69" i="15"/>
  <c r="L69" i="15"/>
  <c r="K69" i="15"/>
  <c r="J69" i="15"/>
  <c r="I69" i="15"/>
  <c r="H69" i="15"/>
  <c r="G69" i="15"/>
  <c r="F69" i="15"/>
  <c r="E69" i="15"/>
  <c r="D69" i="15"/>
  <c r="C69" i="15"/>
  <c r="B69" i="15"/>
  <c r="S68" i="15"/>
  <c r="R68" i="15"/>
  <c r="Q68" i="15"/>
  <c r="P68" i="15"/>
  <c r="O68" i="15"/>
  <c r="N68" i="15"/>
  <c r="M68" i="15"/>
  <c r="L68" i="15"/>
  <c r="K68" i="15"/>
  <c r="J68" i="15"/>
  <c r="I68" i="15"/>
  <c r="H68" i="15"/>
  <c r="G68" i="15"/>
  <c r="F68" i="15"/>
  <c r="E68" i="15"/>
  <c r="D68" i="15"/>
  <c r="C68" i="15"/>
  <c r="B68" i="15"/>
  <c r="S67" i="15"/>
  <c r="R67" i="15"/>
  <c r="Q67" i="15"/>
  <c r="P67" i="15"/>
  <c r="O67" i="15"/>
  <c r="N67" i="15"/>
  <c r="M67" i="15"/>
  <c r="L67" i="15"/>
  <c r="K67" i="15"/>
  <c r="J67" i="15"/>
  <c r="I67" i="15"/>
  <c r="H67" i="15"/>
  <c r="G67" i="15"/>
  <c r="F67" i="15"/>
  <c r="E67" i="15"/>
  <c r="D67" i="15"/>
  <c r="C67" i="15"/>
  <c r="B67" i="15"/>
  <c r="S66" i="15"/>
  <c r="R66" i="15"/>
  <c r="Q66" i="15"/>
  <c r="P66" i="15"/>
  <c r="O66" i="15"/>
  <c r="N66" i="15"/>
  <c r="M66" i="15"/>
  <c r="L66" i="15"/>
  <c r="K66" i="15"/>
  <c r="J66" i="15"/>
  <c r="I66" i="15"/>
  <c r="H66" i="15"/>
  <c r="G66" i="15"/>
  <c r="F66" i="15"/>
  <c r="E66" i="15"/>
  <c r="D66" i="15"/>
  <c r="C66" i="15"/>
  <c r="B66" i="15"/>
  <c r="S65" i="15"/>
  <c r="R65" i="15"/>
  <c r="Q65" i="15"/>
  <c r="P65" i="15"/>
  <c r="O65" i="15"/>
  <c r="N65" i="15"/>
  <c r="M65" i="15"/>
  <c r="L65" i="15"/>
  <c r="K65" i="15"/>
  <c r="J65" i="15"/>
  <c r="I65" i="15"/>
  <c r="H65" i="15"/>
  <c r="G65" i="15"/>
  <c r="F65" i="15"/>
  <c r="E65" i="15"/>
  <c r="D65" i="15"/>
  <c r="C65" i="15"/>
  <c r="B65" i="15"/>
  <c r="S64" i="15"/>
  <c r="R64" i="15"/>
  <c r="Q64" i="15"/>
  <c r="P64" i="15"/>
  <c r="O64" i="15"/>
  <c r="N64" i="15"/>
  <c r="M64" i="15"/>
  <c r="L64" i="15"/>
  <c r="K64" i="15"/>
  <c r="J64" i="15"/>
  <c r="I64" i="15"/>
  <c r="H64" i="15"/>
  <c r="G64" i="15"/>
  <c r="F64" i="15"/>
  <c r="E64" i="15"/>
  <c r="D64" i="15"/>
  <c r="C64" i="15"/>
  <c r="B64" i="15"/>
  <c r="S63" i="15"/>
  <c r="R63" i="15"/>
  <c r="Q63" i="15"/>
  <c r="P63" i="15"/>
  <c r="O63" i="15"/>
  <c r="N63" i="15"/>
  <c r="M63" i="15"/>
  <c r="L63" i="15"/>
  <c r="K63" i="15"/>
  <c r="J63" i="15"/>
  <c r="I63" i="15"/>
  <c r="H63" i="15"/>
  <c r="G63" i="15"/>
  <c r="F63" i="15"/>
  <c r="E63" i="15"/>
  <c r="D63" i="15"/>
  <c r="C63" i="15"/>
  <c r="B63" i="15"/>
  <c r="S62" i="15"/>
  <c r="R62" i="15"/>
  <c r="Q62" i="15"/>
  <c r="P62" i="15"/>
  <c r="O62" i="15"/>
  <c r="N62" i="15"/>
  <c r="M62" i="15"/>
  <c r="L62" i="15"/>
  <c r="K62" i="15"/>
  <c r="J62" i="15"/>
  <c r="I62" i="15"/>
  <c r="H62" i="15"/>
  <c r="G62" i="15"/>
  <c r="F62" i="15"/>
  <c r="E62" i="15"/>
  <c r="D62" i="15"/>
  <c r="C62" i="15"/>
  <c r="B62" i="15"/>
  <c r="S61" i="15"/>
  <c r="R61" i="15"/>
  <c r="Q61" i="15"/>
  <c r="P61" i="15"/>
  <c r="O61" i="15"/>
  <c r="N61" i="15"/>
  <c r="M61" i="15"/>
  <c r="L61" i="15"/>
  <c r="K61" i="15"/>
  <c r="J61" i="15"/>
  <c r="I61" i="15"/>
  <c r="H61" i="15"/>
  <c r="G61" i="15"/>
  <c r="F61" i="15"/>
  <c r="E61" i="15"/>
  <c r="D61" i="15"/>
  <c r="C61" i="15"/>
  <c r="B61" i="15"/>
  <c r="S60" i="15"/>
  <c r="R60" i="15"/>
  <c r="Q60" i="15"/>
  <c r="P60" i="15"/>
  <c r="O60" i="15"/>
  <c r="N60" i="15"/>
  <c r="M60" i="15"/>
  <c r="L60" i="15"/>
  <c r="K60" i="15"/>
  <c r="J60" i="15"/>
  <c r="I60" i="15"/>
  <c r="H60" i="15"/>
  <c r="G60" i="15"/>
  <c r="F60" i="15"/>
  <c r="E60" i="15"/>
  <c r="D60" i="15"/>
  <c r="C60" i="15"/>
  <c r="B60" i="15"/>
  <c r="S59" i="15"/>
  <c r="R59" i="15"/>
  <c r="Q59" i="15"/>
  <c r="P59" i="15"/>
  <c r="O59" i="15"/>
  <c r="N59" i="15"/>
  <c r="M59" i="15"/>
  <c r="L59" i="15"/>
  <c r="K59" i="15"/>
  <c r="J59" i="15"/>
  <c r="I59" i="15"/>
  <c r="H59" i="15"/>
  <c r="G59" i="15"/>
  <c r="F59" i="15"/>
  <c r="E59" i="15"/>
  <c r="D59" i="15"/>
  <c r="C59" i="15"/>
  <c r="B59" i="15"/>
  <c r="S58" i="15"/>
  <c r="R58" i="15"/>
  <c r="Q58" i="15"/>
  <c r="P58" i="15"/>
  <c r="O58" i="15"/>
  <c r="N58" i="15"/>
  <c r="M58" i="15"/>
  <c r="L58" i="15"/>
  <c r="K58" i="15"/>
  <c r="J58" i="15"/>
  <c r="I58" i="15"/>
  <c r="H58" i="15"/>
  <c r="G58" i="15"/>
  <c r="F58" i="15"/>
  <c r="E58" i="15"/>
  <c r="D58" i="15"/>
  <c r="C58" i="15"/>
  <c r="B58" i="15"/>
  <c r="S57" i="15"/>
  <c r="R57" i="15"/>
  <c r="Q57" i="15"/>
  <c r="P57" i="15"/>
  <c r="O57" i="15"/>
  <c r="N57" i="15"/>
  <c r="M57" i="15"/>
  <c r="L57" i="15"/>
  <c r="K57" i="15"/>
  <c r="J57" i="15"/>
  <c r="I57" i="15"/>
  <c r="H57" i="15"/>
  <c r="G57" i="15"/>
  <c r="F57" i="15"/>
  <c r="E57" i="15"/>
  <c r="D57" i="15"/>
  <c r="C57" i="15"/>
  <c r="B57" i="15"/>
  <c r="S56" i="15"/>
  <c r="R56" i="15"/>
  <c r="Q56" i="15"/>
  <c r="P56" i="15"/>
  <c r="O56" i="15"/>
  <c r="N56" i="15"/>
  <c r="M56" i="15"/>
  <c r="L56" i="15"/>
  <c r="K56" i="15"/>
  <c r="J56" i="15"/>
  <c r="I56" i="15"/>
  <c r="H56" i="15"/>
  <c r="G56" i="15"/>
  <c r="F56" i="15"/>
  <c r="E56" i="15"/>
  <c r="D56" i="15"/>
  <c r="C56" i="15"/>
  <c r="B56" i="15"/>
  <c r="S55" i="15"/>
  <c r="R55" i="15"/>
  <c r="Q55" i="15"/>
  <c r="P55" i="15"/>
  <c r="O55" i="15"/>
  <c r="N55" i="15"/>
  <c r="M55" i="15"/>
  <c r="L55" i="15"/>
  <c r="K55" i="15"/>
  <c r="J55" i="15"/>
  <c r="I55" i="15"/>
  <c r="H55" i="15"/>
  <c r="G55" i="15"/>
  <c r="F55" i="15"/>
  <c r="E55" i="15"/>
  <c r="D55" i="15"/>
  <c r="C55" i="15"/>
  <c r="B55" i="15"/>
  <c r="S54" i="15"/>
  <c r="R54" i="15"/>
  <c r="Q54" i="15"/>
  <c r="P54" i="15"/>
  <c r="O54" i="15"/>
  <c r="N54" i="15"/>
  <c r="M54" i="15"/>
  <c r="L54" i="15"/>
  <c r="K54" i="15"/>
  <c r="J54" i="15"/>
  <c r="I54" i="15"/>
  <c r="H54" i="15"/>
  <c r="G54" i="15"/>
  <c r="F54" i="15"/>
  <c r="E54" i="15"/>
  <c r="D54" i="15"/>
  <c r="C54" i="15"/>
  <c r="B54" i="15"/>
  <c r="S53" i="15"/>
  <c r="R53" i="15"/>
  <c r="Q53" i="15"/>
  <c r="P53" i="15"/>
  <c r="O53" i="15"/>
  <c r="N53" i="15"/>
  <c r="M53" i="15"/>
  <c r="L53" i="15"/>
  <c r="K53" i="15"/>
  <c r="J53" i="15"/>
  <c r="I53" i="15"/>
  <c r="H53" i="15"/>
  <c r="G53" i="15"/>
  <c r="F53" i="15"/>
  <c r="E53" i="15"/>
  <c r="D53" i="15"/>
  <c r="C53" i="15"/>
  <c r="B53" i="15"/>
  <c r="S52" i="15"/>
  <c r="R52" i="15"/>
  <c r="Q52" i="15"/>
  <c r="P52" i="15"/>
  <c r="O52" i="15"/>
  <c r="N52" i="15"/>
  <c r="M52" i="15"/>
  <c r="L52" i="15"/>
  <c r="K52" i="15"/>
  <c r="J52" i="15"/>
  <c r="I52" i="15"/>
  <c r="H52" i="15"/>
  <c r="G52" i="15"/>
  <c r="F52" i="15"/>
  <c r="E52" i="15"/>
  <c r="D52" i="15"/>
  <c r="C52" i="15"/>
  <c r="B52" i="15"/>
  <c r="S51" i="15"/>
  <c r="R51" i="15"/>
  <c r="Q51" i="15"/>
  <c r="P51" i="15"/>
  <c r="O51" i="15"/>
  <c r="N51" i="15"/>
  <c r="M51" i="15"/>
  <c r="L51" i="15"/>
  <c r="K51" i="15"/>
  <c r="J51" i="15"/>
  <c r="I51" i="15"/>
  <c r="H51" i="15"/>
  <c r="G51" i="15"/>
  <c r="F51" i="15"/>
  <c r="E51" i="15"/>
  <c r="D51" i="15"/>
  <c r="C51" i="15"/>
  <c r="B51" i="15"/>
  <c r="S50" i="15"/>
  <c r="R50" i="15"/>
  <c r="Q50" i="15"/>
  <c r="P50" i="15"/>
  <c r="O50" i="15"/>
  <c r="N50" i="15"/>
  <c r="M50" i="15"/>
  <c r="L50" i="15"/>
  <c r="K50" i="15"/>
  <c r="J50" i="15"/>
  <c r="I50" i="15"/>
  <c r="H50" i="15"/>
  <c r="G50" i="15"/>
  <c r="F50" i="15"/>
  <c r="E50" i="15"/>
  <c r="D50" i="15"/>
  <c r="C50" i="15"/>
  <c r="B50" i="15"/>
  <c r="S49" i="15"/>
  <c r="R49" i="15"/>
  <c r="Q49" i="15"/>
  <c r="P49" i="15"/>
  <c r="O49" i="15"/>
  <c r="N49" i="15"/>
  <c r="M49" i="15"/>
  <c r="L49" i="15"/>
  <c r="K49" i="15"/>
  <c r="J49" i="15"/>
  <c r="I49" i="15"/>
  <c r="H49" i="15"/>
  <c r="G49" i="15"/>
  <c r="F49" i="15"/>
  <c r="E49" i="15"/>
  <c r="D49" i="15"/>
  <c r="C49" i="15"/>
  <c r="B49" i="15"/>
  <c r="S48" i="15"/>
  <c r="R48" i="15"/>
  <c r="Q48" i="15"/>
  <c r="P48" i="15"/>
  <c r="O48" i="15"/>
  <c r="N48" i="15"/>
  <c r="M48" i="15"/>
  <c r="L48" i="15"/>
  <c r="K48" i="15"/>
  <c r="J48" i="15"/>
  <c r="I48" i="15"/>
  <c r="H48" i="15"/>
  <c r="G48" i="15"/>
  <c r="F48" i="15"/>
  <c r="E48" i="15"/>
  <c r="D48" i="15"/>
  <c r="C48" i="15"/>
  <c r="B48" i="15"/>
  <c r="S47" i="15"/>
  <c r="R47" i="15"/>
  <c r="Q47" i="15"/>
  <c r="P47" i="15"/>
  <c r="O47" i="15"/>
  <c r="N47" i="15"/>
  <c r="M47" i="15"/>
  <c r="L47" i="15"/>
  <c r="K47" i="15"/>
  <c r="J47" i="15"/>
  <c r="I47" i="15"/>
  <c r="H47" i="15"/>
  <c r="G47" i="15"/>
  <c r="F47" i="15"/>
  <c r="E47" i="15"/>
  <c r="D47" i="15"/>
  <c r="C47" i="15"/>
  <c r="B47" i="15"/>
  <c r="S46" i="15"/>
  <c r="R46" i="15"/>
  <c r="Q46" i="15"/>
  <c r="P46" i="15"/>
  <c r="O46" i="15"/>
  <c r="N46" i="15"/>
  <c r="M46" i="15"/>
  <c r="L46" i="15"/>
  <c r="K46" i="15"/>
  <c r="J46" i="15"/>
  <c r="I46" i="15"/>
  <c r="H46" i="15"/>
  <c r="G46" i="15"/>
  <c r="F46" i="15"/>
  <c r="E46" i="15"/>
  <c r="D46" i="15"/>
  <c r="C46" i="15"/>
  <c r="B46" i="15"/>
  <c r="S44" i="15"/>
  <c r="R44" i="15"/>
  <c r="Q44" i="15"/>
  <c r="P44" i="15"/>
  <c r="O44" i="15"/>
  <c r="N44" i="15"/>
  <c r="M44" i="15"/>
  <c r="L44" i="15"/>
  <c r="K44" i="15"/>
  <c r="J44" i="15"/>
  <c r="I44" i="15"/>
  <c r="H44" i="15"/>
  <c r="G44" i="15"/>
  <c r="F44" i="15"/>
  <c r="E44" i="15"/>
  <c r="D44" i="15"/>
  <c r="C44" i="15"/>
  <c r="B44" i="15"/>
  <c r="S43" i="15"/>
  <c r="R43" i="15"/>
  <c r="Q43" i="15"/>
  <c r="P43" i="15"/>
  <c r="O43" i="15"/>
  <c r="N43" i="15"/>
  <c r="M43" i="15"/>
  <c r="L43" i="15"/>
  <c r="K43" i="15"/>
  <c r="J43" i="15"/>
  <c r="I43" i="15"/>
  <c r="H43" i="15"/>
  <c r="G43" i="15"/>
  <c r="F43" i="15"/>
  <c r="E43" i="15"/>
  <c r="D43" i="15"/>
  <c r="C43" i="15"/>
  <c r="B43" i="15"/>
  <c r="S42" i="15"/>
  <c r="R42" i="15"/>
  <c r="Q42" i="15"/>
  <c r="P42" i="15"/>
  <c r="O42" i="15"/>
  <c r="N42" i="15"/>
  <c r="M42" i="15"/>
  <c r="L42" i="15"/>
  <c r="K42" i="15"/>
  <c r="J42" i="15"/>
  <c r="I42" i="15"/>
  <c r="H42" i="15"/>
  <c r="G42" i="15"/>
  <c r="F42" i="15"/>
  <c r="E42" i="15"/>
  <c r="D42" i="15"/>
  <c r="C42" i="15"/>
  <c r="B42" i="15"/>
  <c r="S41" i="15"/>
  <c r="R41" i="15"/>
  <c r="Q41" i="15"/>
  <c r="P41" i="15"/>
  <c r="O41" i="15"/>
  <c r="N41" i="15"/>
  <c r="M41" i="15"/>
  <c r="L41" i="15"/>
  <c r="K41" i="15"/>
  <c r="J41" i="15"/>
  <c r="I41" i="15"/>
  <c r="H41" i="15"/>
  <c r="G41" i="15"/>
  <c r="F41" i="15"/>
  <c r="E41" i="15"/>
  <c r="D41" i="15"/>
  <c r="C41" i="15"/>
  <c r="B41" i="15"/>
  <c r="S40" i="15"/>
  <c r="R40" i="15"/>
  <c r="Q40" i="15"/>
  <c r="P40" i="15"/>
  <c r="O40" i="15"/>
  <c r="N40" i="15"/>
  <c r="M40" i="15"/>
  <c r="L40" i="15"/>
  <c r="K40" i="15"/>
  <c r="J40" i="15"/>
  <c r="I40" i="15"/>
  <c r="H40" i="15"/>
  <c r="G40" i="15"/>
  <c r="F40" i="15"/>
  <c r="E40" i="15"/>
  <c r="D40" i="15"/>
  <c r="C40" i="15"/>
  <c r="B40" i="15"/>
  <c r="S39" i="15"/>
  <c r="R39" i="15"/>
  <c r="Q39" i="15"/>
  <c r="P39" i="15"/>
  <c r="O39" i="15"/>
  <c r="N39" i="15"/>
  <c r="M39" i="15"/>
  <c r="L39" i="15"/>
  <c r="K39" i="15"/>
  <c r="J39" i="15"/>
  <c r="I39" i="15"/>
  <c r="H39" i="15"/>
  <c r="G39" i="15"/>
  <c r="F39" i="15"/>
  <c r="E39" i="15"/>
  <c r="D39" i="15"/>
  <c r="C39" i="15"/>
  <c r="B39" i="15"/>
  <c r="S37" i="15"/>
  <c r="R37" i="15"/>
  <c r="Q37" i="15"/>
  <c r="P37" i="15"/>
  <c r="O37" i="15"/>
  <c r="N37" i="15"/>
  <c r="M37" i="15"/>
  <c r="L37" i="15"/>
  <c r="K37" i="15"/>
  <c r="J37" i="15"/>
  <c r="I37" i="15"/>
  <c r="H37" i="15"/>
  <c r="G37" i="15"/>
  <c r="F37" i="15"/>
  <c r="E37" i="15"/>
  <c r="D37" i="15"/>
  <c r="C37" i="15"/>
  <c r="B37" i="15"/>
  <c r="S36" i="15"/>
  <c r="R36" i="15"/>
  <c r="Q36" i="15"/>
  <c r="P36" i="15"/>
  <c r="O36" i="15"/>
  <c r="N36" i="15"/>
  <c r="M36" i="15"/>
  <c r="L36" i="15"/>
  <c r="K36" i="15"/>
  <c r="J36" i="15"/>
  <c r="I36" i="15"/>
  <c r="H36" i="15"/>
  <c r="G36" i="15"/>
  <c r="F36" i="15"/>
  <c r="E36" i="15"/>
  <c r="D36" i="15"/>
  <c r="C36" i="15"/>
  <c r="B36" i="15"/>
  <c r="S35" i="15"/>
  <c r="R35" i="15"/>
  <c r="Q35" i="15"/>
  <c r="P35" i="15"/>
  <c r="O35" i="15"/>
  <c r="N35" i="15"/>
  <c r="M35" i="15"/>
  <c r="L35" i="15"/>
  <c r="K35" i="15"/>
  <c r="J35" i="15"/>
  <c r="I35" i="15"/>
  <c r="H35" i="15"/>
  <c r="G35" i="15"/>
  <c r="F35" i="15"/>
  <c r="E35" i="15"/>
  <c r="D35" i="15"/>
  <c r="C35" i="15"/>
  <c r="B35" i="15"/>
  <c r="S34" i="15"/>
  <c r="R34" i="15"/>
  <c r="Q34" i="15"/>
  <c r="P34" i="15"/>
  <c r="O34" i="15"/>
  <c r="N34" i="15"/>
  <c r="M34" i="15"/>
  <c r="L34" i="15"/>
  <c r="K34" i="15"/>
  <c r="J34" i="15"/>
  <c r="I34" i="15"/>
  <c r="H34" i="15"/>
  <c r="G34" i="15"/>
  <c r="F34" i="15"/>
  <c r="E34" i="15"/>
  <c r="D34" i="15"/>
  <c r="C34" i="15"/>
  <c r="B34" i="15"/>
  <c r="S33" i="15"/>
  <c r="R33" i="15"/>
  <c r="Q33" i="15"/>
  <c r="P33" i="15"/>
  <c r="O33" i="15"/>
  <c r="N33" i="15"/>
  <c r="M33" i="15"/>
  <c r="L33" i="15"/>
  <c r="K33" i="15"/>
  <c r="J33" i="15"/>
  <c r="I33" i="15"/>
  <c r="H33" i="15"/>
  <c r="G33" i="15"/>
  <c r="F33" i="15"/>
  <c r="E33" i="15"/>
  <c r="D33" i="15"/>
  <c r="C33" i="15"/>
  <c r="B33" i="15"/>
  <c r="S32" i="15"/>
  <c r="R32" i="15"/>
  <c r="Q32" i="15"/>
  <c r="P32" i="15"/>
  <c r="O32" i="15"/>
  <c r="N32" i="15"/>
  <c r="M32" i="15"/>
  <c r="L32" i="15"/>
  <c r="K32" i="15"/>
  <c r="J32" i="15"/>
  <c r="I32" i="15"/>
  <c r="H32" i="15"/>
  <c r="G32" i="15"/>
  <c r="F32" i="15"/>
  <c r="E32" i="15"/>
  <c r="D32" i="15"/>
  <c r="C32" i="15"/>
  <c r="B32" i="15"/>
  <c r="S31" i="15"/>
  <c r="R31" i="15"/>
  <c r="Q31" i="15"/>
  <c r="P31" i="15"/>
  <c r="O31" i="15"/>
  <c r="N31" i="15"/>
  <c r="M31" i="15"/>
  <c r="L31" i="15"/>
  <c r="K31" i="15"/>
  <c r="J31" i="15"/>
  <c r="I31" i="15"/>
  <c r="H31" i="15"/>
  <c r="G31" i="15"/>
  <c r="F31" i="15"/>
  <c r="E31" i="15"/>
  <c r="D31" i="15"/>
  <c r="C31" i="15"/>
  <c r="B31" i="15"/>
  <c r="S30" i="15"/>
  <c r="R30" i="15"/>
  <c r="Q30" i="15"/>
  <c r="P30" i="15"/>
  <c r="O30" i="15"/>
  <c r="N30" i="15"/>
  <c r="M30" i="15"/>
  <c r="L30" i="15"/>
  <c r="K30" i="15"/>
  <c r="J30" i="15"/>
  <c r="I30" i="15"/>
  <c r="H30" i="15"/>
  <c r="G30" i="15"/>
  <c r="F30" i="15"/>
  <c r="E30" i="15"/>
  <c r="D30" i="15"/>
  <c r="C30" i="15"/>
  <c r="B30" i="15"/>
  <c r="S29" i="15"/>
  <c r="R29" i="15"/>
  <c r="Q29" i="15"/>
  <c r="P29" i="15"/>
  <c r="O29" i="15"/>
  <c r="N29" i="15"/>
  <c r="M29" i="15"/>
  <c r="L29" i="15"/>
  <c r="K29" i="15"/>
  <c r="J29" i="15"/>
  <c r="I29" i="15"/>
  <c r="H29" i="15"/>
  <c r="G29" i="15"/>
  <c r="F29" i="15"/>
  <c r="E29" i="15"/>
  <c r="D29" i="15"/>
  <c r="C29" i="15"/>
  <c r="B29" i="15"/>
  <c r="S27" i="15"/>
  <c r="R27" i="15"/>
  <c r="Q27" i="15"/>
  <c r="P27" i="15"/>
  <c r="O27" i="15"/>
  <c r="N27" i="15"/>
  <c r="M27" i="15"/>
  <c r="L27" i="15"/>
  <c r="K27" i="15"/>
  <c r="J27" i="15"/>
  <c r="I27" i="15"/>
  <c r="H27" i="15"/>
  <c r="G27" i="15"/>
  <c r="F27" i="15"/>
  <c r="E27" i="15"/>
  <c r="D27" i="15"/>
  <c r="C27" i="15"/>
  <c r="B27" i="15"/>
  <c r="S26" i="15"/>
  <c r="R26" i="15"/>
  <c r="Q26" i="15"/>
  <c r="P26" i="15"/>
  <c r="O26" i="15"/>
  <c r="N26" i="15"/>
  <c r="M26" i="15"/>
  <c r="L26" i="15"/>
  <c r="K26" i="15"/>
  <c r="J26" i="15"/>
  <c r="I26" i="15"/>
  <c r="H26" i="15"/>
  <c r="G26" i="15"/>
  <c r="F26" i="15"/>
  <c r="E26" i="15"/>
  <c r="D26" i="15"/>
  <c r="C26" i="15"/>
  <c r="B26" i="15"/>
  <c r="S25" i="15"/>
  <c r="R25" i="15"/>
  <c r="Q25" i="15"/>
  <c r="P25" i="15"/>
  <c r="O25" i="15"/>
  <c r="N25" i="15"/>
  <c r="M25" i="15"/>
  <c r="L25" i="15"/>
  <c r="K25" i="15"/>
  <c r="J25" i="15"/>
  <c r="I25" i="15"/>
  <c r="H25" i="15"/>
  <c r="G25" i="15"/>
  <c r="F25" i="15"/>
  <c r="E25" i="15"/>
  <c r="D25" i="15"/>
  <c r="C25" i="15"/>
  <c r="B25" i="15"/>
  <c r="S24" i="15"/>
  <c r="R24" i="15"/>
  <c r="Q24" i="15"/>
  <c r="P24" i="15"/>
  <c r="O24" i="15"/>
  <c r="N24" i="15"/>
  <c r="M24" i="15"/>
  <c r="L24" i="15"/>
  <c r="K24" i="15"/>
  <c r="J24" i="15"/>
  <c r="I24" i="15"/>
  <c r="H24" i="15"/>
  <c r="G24" i="15"/>
  <c r="F24" i="15"/>
  <c r="E24" i="15"/>
  <c r="D24" i="15"/>
  <c r="C24" i="15"/>
  <c r="B24" i="15"/>
  <c r="S23" i="15"/>
  <c r="R23" i="15"/>
  <c r="Q23" i="15"/>
  <c r="P23" i="15"/>
  <c r="O23" i="15"/>
  <c r="N23" i="15"/>
  <c r="M23" i="15"/>
  <c r="L23" i="15"/>
  <c r="K23" i="15"/>
  <c r="J23" i="15"/>
  <c r="I23" i="15"/>
  <c r="H23" i="15"/>
  <c r="G23" i="15"/>
  <c r="F23" i="15"/>
  <c r="E23" i="15"/>
  <c r="D23" i="15"/>
  <c r="C23" i="15"/>
  <c r="B23" i="15"/>
  <c r="S22" i="15"/>
  <c r="R22" i="15"/>
  <c r="Q22" i="15"/>
  <c r="P22" i="15"/>
  <c r="O22" i="15"/>
  <c r="N22" i="15"/>
  <c r="M22" i="15"/>
  <c r="L22" i="15"/>
  <c r="K22" i="15"/>
  <c r="J22" i="15"/>
  <c r="I22" i="15"/>
  <c r="H22" i="15"/>
  <c r="G22" i="15"/>
  <c r="F22" i="15"/>
  <c r="E22" i="15"/>
  <c r="D22" i="15"/>
  <c r="C22" i="15"/>
  <c r="B22" i="15"/>
  <c r="S21" i="15"/>
  <c r="R21" i="15"/>
  <c r="Q21" i="15"/>
  <c r="P21" i="15"/>
  <c r="O21" i="15"/>
  <c r="N21" i="15"/>
  <c r="M21" i="15"/>
  <c r="L21" i="15"/>
  <c r="K21" i="15"/>
  <c r="J21" i="15"/>
  <c r="I21" i="15"/>
  <c r="H21" i="15"/>
  <c r="G21" i="15"/>
  <c r="F21" i="15"/>
  <c r="E21" i="15"/>
  <c r="D21" i="15"/>
  <c r="C21" i="15"/>
  <c r="B21" i="15"/>
  <c r="S20" i="15"/>
  <c r="R20" i="15"/>
  <c r="Q20" i="15"/>
  <c r="P20" i="15"/>
  <c r="O20" i="15"/>
  <c r="N20" i="15"/>
  <c r="M20" i="15"/>
  <c r="L20" i="15"/>
  <c r="K20" i="15"/>
  <c r="J20" i="15"/>
  <c r="I20" i="15"/>
  <c r="H20" i="15"/>
  <c r="G20" i="15"/>
  <c r="F20" i="15"/>
  <c r="E20" i="15"/>
  <c r="D20" i="15"/>
  <c r="C20" i="15"/>
  <c r="B20" i="15"/>
  <c r="S19" i="15"/>
  <c r="R19" i="15"/>
  <c r="Q19" i="15"/>
  <c r="P19" i="15"/>
  <c r="O19" i="15"/>
  <c r="N19" i="15"/>
  <c r="M19" i="15"/>
  <c r="L19" i="15"/>
  <c r="K19" i="15"/>
  <c r="J19" i="15"/>
  <c r="I19" i="15"/>
  <c r="H19" i="15"/>
  <c r="G19" i="15"/>
  <c r="F19" i="15"/>
  <c r="E19" i="15"/>
  <c r="D19" i="15"/>
  <c r="C19" i="15"/>
  <c r="B19" i="15"/>
  <c r="S18" i="15"/>
  <c r="R18" i="15"/>
  <c r="Q18" i="15"/>
  <c r="P18" i="15"/>
  <c r="O18" i="15"/>
  <c r="N18" i="15"/>
  <c r="M18" i="15"/>
  <c r="L18" i="15"/>
  <c r="K18" i="15"/>
  <c r="J18" i="15"/>
  <c r="I18" i="15"/>
  <c r="H18" i="15"/>
  <c r="G18" i="15"/>
  <c r="F18" i="15"/>
  <c r="E18" i="15"/>
  <c r="D18" i="15"/>
  <c r="C18" i="15"/>
  <c r="B18" i="15"/>
  <c r="S16" i="15"/>
  <c r="R16" i="15"/>
  <c r="Q16" i="15"/>
  <c r="P16" i="15"/>
  <c r="O16" i="15"/>
  <c r="N16" i="15"/>
  <c r="M16" i="15"/>
  <c r="L16" i="15"/>
  <c r="K16" i="15"/>
  <c r="J16" i="15"/>
  <c r="I16" i="15"/>
  <c r="H16" i="15"/>
  <c r="G16" i="15"/>
  <c r="F16" i="15"/>
  <c r="E16" i="15"/>
  <c r="D16" i="15"/>
  <c r="C16" i="15"/>
  <c r="B16" i="15"/>
  <c r="S15" i="15"/>
  <c r="R15" i="15"/>
  <c r="Q15" i="15"/>
  <c r="P15" i="15"/>
  <c r="O15" i="15"/>
  <c r="N15" i="15"/>
  <c r="M15" i="15"/>
  <c r="L15" i="15"/>
  <c r="K15" i="15"/>
  <c r="J15" i="15"/>
  <c r="I15" i="15"/>
  <c r="H15" i="15"/>
  <c r="G15" i="15"/>
  <c r="F15" i="15"/>
  <c r="E15" i="15"/>
  <c r="D15" i="15"/>
  <c r="C15" i="15"/>
  <c r="B15" i="15"/>
  <c r="S14" i="15"/>
  <c r="R14" i="15"/>
  <c r="Q14" i="15"/>
  <c r="P14" i="15"/>
  <c r="O14" i="15"/>
  <c r="N14" i="15"/>
  <c r="M14" i="15"/>
  <c r="L14" i="15"/>
  <c r="K14" i="15"/>
  <c r="J14" i="15"/>
  <c r="I14" i="15"/>
  <c r="H14" i="15"/>
  <c r="G14" i="15"/>
  <c r="F14" i="15"/>
  <c r="E14" i="15"/>
  <c r="D14" i="15"/>
  <c r="C14" i="15"/>
  <c r="B14" i="15"/>
  <c r="S13" i="15"/>
  <c r="R13" i="15"/>
  <c r="Q13" i="15"/>
  <c r="P13" i="15"/>
  <c r="O13" i="15"/>
  <c r="N13" i="15"/>
  <c r="M13" i="15"/>
  <c r="L13" i="15"/>
  <c r="K13" i="15"/>
  <c r="J13" i="15"/>
  <c r="I13" i="15"/>
  <c r="H13" i="15"/>
  <c r="G13" i="15"/>
  <c r="F13" i="15"/>
  <c r="E13" i="15"/>
  <c r="D13" i="15"/>
  <c r="C13" i="15"/>
  <c r="B13" i="15"/>
  <c r="S12" i="15"/>
  <c r="R12" i="15"/>
  <c r="Q12" i="15"/>
  <c r="P12" i="15"/>
  <c r="O12" i="15"/>
  <c r="N12" i="15"/>
  <c r="M12" i="15"/>
  <c r="L12" i="15"/>
  <c r="K12" i="15"/>
  <c r="J12" i="15"/>
  <c r="I12" i="15"/>
  <c r="H12" i="15"/>
  <c r="G12" i="15"/>
  <c r="F12" i="15"/>
  <c r="E12" i="15"/>
  <c r="D12" i="15"/>
  <c r="C12" i="15"/>
  <c r="B12" i="15"/>
  <c r="S11" i="15"/>
  <c r="R11" i="15"/>
  <c r="Q11" i="15"/>
  <c r="P11" i="15"/>
  <c r="O11" i="15"/>
  <c r="N11" i="15"/>
  <c r="M11" i="15"/>
  <c r="L11" i="15"/>
  <c r="K11" i="15"/>
  <c r="J11" i="15"/>
  <c r="I11" i="15"/>
  <c r="H11" i="15"/>
  <c r="G11" i="15"/>
  <c r="F11" i="15"/>
  <c r="E11" i="15"/>
  <c r="D11" i="15"/>
  <c r="C11" i="15"/>
  <c r="B11" i="15"/>
  <c r="S10" i="15"/>
  <c r="R10" i="15"/>
  <c r="Q10" i="15"/>
  <c r="P10" i="15"/>
  <c r="O10" i="15"/>
  <c r="N10" i="15"/>
  <c r="M10" i="15"/>
  <c r="L10" i="15"/>
  <c r="K10" i="15"/>
  <c r="J10" i="15"/>
  <c r="I10" i="15"/>
  <c r="H10" i="15"/>
  <c r="G10" i="15"/>
  <c r="F10" i="15"/>
  <c r="E10" i="15"/>
  <c r="D10" i="15"/>
  <c r="C10" i="15"/>
  <c r="B10" i="15"/>
  <c r="S9" i="15"/>
  <c r="R9" i="15"/>
  <c r="Q9" i="15"/>
  <c r="P9" i="15"/>
  <c r="O9" i="15"/>
  <c r="N9" i="15"/>
  <c r="M9" i="15"/>
  <c r="L9" i="15"/>
  <c r="K9" i="15"/>
  <c r="J9" i="15"/>
  <c r="I9" i="15"/>
  <c r="H9" i="15"/>
  <c r="G9" i="15"/>
  <c r="F9" i="15"/>
  <c r="E9" i="15"/>
  <c r="D9" i="15"/>
  <c r="C9" i="15"/>
  <c r="B9" i="15"/>
  <c r="S8" i="15"/>
  <c r="R8" i="15"/>
  <c r="Q8" i="15"/>
  <c r="P8" i="15"/>
  <c r="O8" i="15"/>
  <c r="N8" i="15"/>
  <c r="M8" i="15"/>
  <c r="L8" i="15"/>
  <c r="K8" i="15"/>
  <c r="J8" i="15"/>
  <c r="I8" i="15"/>
  <c r="H8" i="15"/>
  <c r="G8" i="15"/>
  <c r="F8" i="15"/>
  <c r="E8" i="15"/>
  <c r="D8" i="15"/>
  <c r="C8" i="15"/>
  <c r="B8" i="15"/>
  <c r="S7" i="15"/>
  <c r="R7" i="15"/>
  <c r="Q7" i="15"/>
  <c r="P7" i="15"/>
  <c r="O7" i="15"/>
  <c r="N7" i="15"/>
  <c r="M7" i="15"/>
  <c r="L7" i="15"/>
  <c r="K7" i="15"/>
  <c r="J7" i="15"/>
  <c r="I7" i="15"/>
  <c r="H7" i="15"/>
  <c r="G7" i="15"/>
  <c r="F7" i="15"/>
  <c r="E7" i="15"/>
  <c r="D7" i="15"/>
  <c r="C7" i="15"/>
  <c r="B7" i="15"/>
  <c r="S3" i="15"/>
  <c r="R3" i="15"/>
  <c r="Q3" i="15"/>
  <c r="P3" i="15"/>
  <c r="O3" i="15"/>
  <c r="N3" i="15"/>
  <c r="M3" i="15"/>
  <c r="L3" i="15"/>
  <c r="K3" i="15"/>
  <c r="J3" i="15"/>
  <c r="I3" i="15"/>
  <c r="H3" i="15"/>
  <c r="G3" i="15"/>
  <c r="F3" i="15"/>
  <c r="E3" i="15"/>
  <c r="D3" i="15"/>
  <c r="C3" i="15"/>
  <c r="B3" i="15"/>
  <c r="P77" i="14"/>
  <c r="O77" i="14"/>
  <c r="N77" i="14"/>
  <c r="M77" i="14"/>
  <c r="L77" i="14"/>
  <c r="K77" i="14"/>
  <c r="J77" i="14"/>
  <c r="I77" i="14"/>
  <c r="H77" i="14"/>
  <c r="G77" i="14"/>
  <c r="F77" i="14"/>
  <c r="E77" i="14"/>
  <c r="D77" i="14"/>
  <c r="C77" i="14"/>
  <c r="B77" i="14"/>
  <c r="P76" i="14"/>
  <c r="O76" i="14"/>
  <c r="N76" i="14"/>
  <c r="M76" i="14"/>
  <c r="L76" i="14"/>
  <c r="K76" i="14"/>
  <c r="J76" i="14"/>
  <c r="I76" i="14"/>
  <c r="H76" i="14"/>
  <c r="G76" i="14"/>
  <c r="F76" i="14"/>
  <c r="E76" i="14"/>
  <c r="D76" i="14"/>
  <c r="C76" i="14"/>
  <c r="B76" i="14"/>
  <c r="P75" i="14"/>
  <c r="O75" i="14"/>
  <c r="N75" i="14"/>
  <c r="M75" i="14"/>
  <c r="L75" i="14"/>
  <c r="K75" i="14"/>
  <c r="J75" i="14"/>
  <c r="I75" i="14"/>
  <c r="H75" i="14"/>
  <c r="G75" i="14"/>
  <c r="F75" i="14"/>
  <c r="E75" i="14"/>
  <c r="D75" i="14"/>
  <c r="C75" i="14"/>
  <c r="B75" i="14"/>
  <c r="P74" i="14"/>
  <c r="O74" i="14"/>
  <c r="N74" i="14"/>
  <c r="M74" i="14"/>
  <c r="L74" i="14"/>
  <c r="K74" i="14"/>
  <c r="J74" i="14"/>
  <c r="I74" i="14"/>
  <c r="H74" i="14"/>
  <c r="G74" i="14"/>
  <c r="F74" i="14"/>
  <c r="E74" i="14"/>
  <c r="D74" i="14"/>
  <c r="C74" i="14"/>
  <c r="B74" i="14"/>
  <c r="P73" i="14"/>
  <c r="O73" i="14"/>
  <c r="N73" i="14"/>
  <c r="M73" i="14"/>
  <c r="L73" i="14"/>
  <c r="K73" i="14"/>
  <c r="J73" i="14"/>
  <c r="I73" i="14"/>
  <c r="H73" i="14"/>
  <c r="G73" i="14"/>
  <c r="F73" i="14"/>
  <c r="E73" i="14"/>
  <c r="D73" i="14"/>
  <c r="C73" i="14"/>
  <c r="B73" i="14"/>
  <c r="P72" i="14"/>
  <c r="O72" i="14"/>
  <c r="N72" i="14"/>
  <c r="M72" i="14"/>
  <c r="L72" i="14"/>
  <c r="K72" i="14"/>
  <c r="J72" i="14"/>
  <c r="I72" i="14"/>
  <c r="H72" i="14"/>
  <c r="G72" i="14"/>
  <c r="F72" i="14"/>
  <c r="E72" i="14"/>
  <c r="D72" i="14"/>
  <c r="C72" i="14"/>
  <c r="B72" i="14"/>
  <c r="P71" i="14"/>
  <c r="O71" i="14"/>
  <c r="N71" i="14"/>
  <c r="M71" i="14"/>
  <c r="L71" i="14"/>
  <c r="K71" i="14"/>
  <c r="J71" i="14"/>
  <c r="I71" i="14"/>
  <c r="H71" i="14"/>
  <c r="G71" i="14"/>
  <c r="F71" i="14"/>
  <c r="E71" i="14"/>
  <c r="D71" i="14"/>
  <c r="C71" i="14"/>
  <c r="B71" i="14"/>
  <c r="P70" i="14"/>
  <c r="O70" i="14"/>
  <c r="N70" i="14"/>
  <c r="M70" i="14"/>
  <c r="L70" i="14"/>
  <c r="K70" i="14"/>
  <c r="J70" i="14"/>
  <c r="I70" i="14"/>
  <c r="H70" i="14"/>
  <c r="G70" i="14"/>
  <c r="F70" i="14"/>
  <c r="E70" i="14"/>
  <c r="D70" i="14"/>
  <c r="C70" i="14"/>
  <c r="B70" i="14"/>
  <c r="P69" i="14"/>
  <c r="O69" i="14"/>
  <c r="N69" i="14"/>
  <c r="M69" i="14"/>
  <c r="L69" i="14"/>
  <c r="K69" i="14"/>
  <c r="J69" i="14"/>
  <c r="I69" i="14"/>
  <c r="H69" i="14"/>
  <c r="G69" i="14"/>
  <c r="F69" i="14"/>
  <c r="E69" i="14"/>
  <c r="D69" i="14"/>
  <c r="C69" i="14"/>
  <c r="B69" i="14"/>
  <c r="P68" i="14"/>
  <c r="O68" i="14"/>
  <c r="N68" i="14"/>
  <c r="M68" i="14"/>
  <c r="L68" i="14"/>
  <c r="K68" i="14"/>
  <c r="J68" i="14"/>
  <c r="I68" i="14"/>
  <c r="H68" i="14"/>
  <c r="G68" i="14"/>
  <c r="F68" i="14"/>
  <c r="E68" i="14"/>
  <c r="D68" i="14"/>
  <c r="C68" i="14"/>
  <c r="B68" i="14"/>
  <c r="P67" i="14"/>
  <c r="O67" i="14"/>
  <c r="N67" i="14"/>
  <c r="M67" i="14"/>
  <c r="L67" i="14"/>
  <c r="K67" i="14"/>
  <c r="J67" i="14"/>
  <c r="I67" i="14"/>
  <c r="H67" i="14"/>
  <c r="G67" i="14"/>
  <c r="F67" i="14"/>
  <c r="E67" i="14"/>
  <c r="D67" i="14"/>
  <c r="C67" i="14"/>
  <c r="B67" i="14"/>
  <c r="P66" i="14"/>
  <c r="O66" i="14"/>
  <c r="N66" i="14"/>
  <c r="M66" i="14"/>
  <c r="L66" i="14"/>
  <c r="K66" i="14"/>
  <c r="J66" i="14"/>
  <c r="I66" i="14"/>
  <c r="H66" i="14"/>
  <c r="G66" i="14"/>
  <c r="F66" i="14"/>
  <c r="E66" i="14"/>
  <c r="D66" i="14"/>
  <c r="C66" i="14"/>
  <c r="B66" i="14"/>
  <c r="P65" i="14"/>
  <c r="O65" i="14"/>
  <c r="N65" i="14"/>
  <c r="M65" i="14"/>
  <c r="L65" i="14"/>
  <c r="K65" i="14"/>
  <c r="J65" i="14"/>
  <c r="I65" i="14"/>
  <c r="H65" i="14"/>
  <c r="G65" i="14"/>
  <c r="F65" i="14"/>
  <c r="E65" i="14"/>
  <c r="D65" i="14"/>
  <c r="C65" i="14"/>
  <c r="B65" i="14"/>
  <c r="P64" i="14"/>
  <c r="O64" i="14"/>
  <c r="N64" i="14"/>
  <c r="M64" i="14"/>
  <c r="L64" i="14"/>
  <c r="K64" i="14"/>
  <c r="J64" i="14"/>
  <c r="I64" i="14"/>
  <c r="H64" i="14"/>
  <c r="G64" i="14"/>
  <c r="F64" i="14"/>
  <c r="E64" i="14"/>
  <c r="D64" i="14"/>
  <c r="C64" i="14"/>
  <c r="B64" i="14"/>
  <c r="P63" i="14"/>
  <c r="O63" i="14"/>
  <c r="N63" i="14"/>
  <c r="M63" i="14"/>
  <c r="L63" i="14"/>
  <c r="K63" i="14"/>
  <c r="J63" i="14"/>
  <c r="I63" i="14"/>
  <c r="H63" i="14"/>
  <c r="G63" i="14"/>
  <c r="F63" i="14"/>
  <c r="E63" i="14"/>
  <c r="D63" i="14"/>
  <c r="C63" i="14"/>
  <c r="B63" i="14"/>
  <c r="P62" i="14"/>
  <c r="O62" i="14"/>
  <c r="N62" i="14"/>
  <c r="M62" i="14"/>
  <c r="L62" i="14"/>
  <c r="K62" i="14"/>
  <c r="J62" i="14"/>
  <c r="I62" i="14"/>
  <c r="H62" i="14"/>
  <c r="G62" i="14"/>
  <c r="F62" i="14"/>
  <c r="E62" i="14"/>
  <c r="D62" i="14"/>
  <c r="C62" i="14"/>
  <c r="B62" i="14"/>
  <c r="P61" i="14"/>
  <c r="O61" i="14"/>
  <c r="N61" i="14"/>
  <c r="M61" i="14"/>
  <c r="L61" i="14"/>
  <c r="K61" i="14"/>
  <c r="J61" i="14"/>
  <c r="I61" i="14"/>
  <c r="H61" i="14"/>
  <c r="G61" i="14"/>
  <c r="F61" i="14"/>
  <c r="E61" i="14"/>
  <c r="D61" i="14"/>
  <c r="C61" i="14"/>
  <c r="B61" i="14"/>
  <c r="P60" i="14"/>
  <c r="O60" i="14"/>
  <c r="N60" i="14"/>
  <c r="M60" i="14"/>
  <c r="L60" i="14"/>
  <c r="K60" i="14"/>
  <c r="J60" i="14"/>
  <c r="I60" i="14"/>
  <c r="H60" i="14"/>
  <c r="G60" i="14"/>
  <c r="F60" i="14"/>
  <c r="E60" i="14"/>
  <c r="D60" i="14"/>
  <c r="C60" i="14"/>
  <c r="B60" i="14"/>
  <c r="P59" i="14"/>
  <c r="O59" i="14"/>
  <c r="N59" i="14"/>
  <c r="M59" i="14"/>
  <c r="L59" i="14"/>
  <c r="K59" i="14"/>
  <c r="J59" i="14"/>
  <c r="I59" i="14"/>
  <c r="H59" i="14"/>
  <c r="G59" i="14"/>
  <c r="F59" i="14"/>
  <c r="E59" i="14"/>
  <c r="D59" i="14"/>
  <c r="C59" i="14"/>
  <c r="B59" i="14"/>
  <c r="P58" i="14"/>
  <c r="O58" i="14"/>
  <c r="N58" i="14"/>
  <c r="M58" i="14"/>
  <c r="L58" i="14"/>
  <c r="K58" i="14"/>
  <c r="J58" i="14"/>
  <c r="I58" i="14"/>
  <c r="H58" i="14"/>
  <c r="G58" i="14"/>
  <c r="F58" i="14"/>
  <c r="E58" i="14"/>
  <c r="D58" i="14"/>
  <c r="C58" i="14"/>
  <c r="B58" i="14"/>
  <c r="P57" i="14"/>
  <c r="O57" i="14"/>
  <c r="N57" i="14"/>
  <c r="M57" i="14"/>
  <c r="L57" i="14"/>
  <c r="K57" i="14"/>
  <c r="J57" i="14"/>
  <c r="I57" i="14"/>
  <c r="H57" i="14"/>
  <c r="G57" i="14"/>
  <c r="F57" i="14"/>
  <c r="E57" i="14"/>
  <c r="D57" i="14"/>
  <c r="C57" i="14"/>
  <c r="B57" i="14"/>
  <c r="P56" i="14"/>
  <c r="O56" i="14"/>
  <c r="N56" i="14"/>
  <c r="M56" i="14"/>
  <c r="L56" i="14"/>
  <c r="K56" i="14"/>
  <c r="J56" i="14"/>
  <c r="I56" i="14"/>
  <c r="H56" i="14"/>
  <c r="G56" i="14"/>
  <c r="F56" i="14"/>
  <c r="E56" i="14"/>
  <c r="D56" i="14"/>
  <c r="C56" i="14"/>
  <c r="B56" i="14"/>
  <c r="P55" i="14"/>
  <c r="O55" i="14"/>
  <c r="N55" i="14"/>
  <c r="M55" i="14"/>
  <c r="L55" i="14"/>
  <c r="K55" i="14"/>
  <c r="J55" i="14"/>
  <c r="I55" i="14"/>
  <c r="H55" i="14"/>
  <c r="G55" i="14"/>
  <c r="F55" i="14"/>
  <c r="E55" i="14"/>
  <c r="D55" i="14"/>
  <c r="C55" i="14"/>
  <c r="B55" i="14"/>
  <c r="P54" i="14"/>
  <c r="O54" i="14"/>
  <c r="N54" i="14"/>
  <c r="M54" i="14"/>
  <c r="L54" i="14"/>
  <c r="K54" i="14"/>
  <c r="J54" i="14"/>
  <c r="I54" i="14"/>
  <c r="H54" i="14"/>
  <c r="G54" i="14"/>
  <c r="F54" i="14"/>
  <c r="E54" i="14"/>
  <c r="D54" i="14"/>
  <c r="C54" i="14"/>
  <c r="B54" i="14"/>
  <c r="P53" i="14"/>
  <c r="O53" i="14"/>
  <c r="N53" i="14"/>
  <c r="M53" i="14"/>
  <c r="L53" i="14"/>
  <c r="K53" i="14"/>
  <c r="J53" i="14"/>
  <c r="I53" i="14"/>
  <c r="H53" i="14"/>
  <c r="G53" i="14"/>
  <c r="F53" i="14"/>
  <c r="E53" i="14"/>
  <c r="D53" i="14"/>
  <c r="C53" i="14"/>
  <c r="B53" i="14"/>
  <c r="P52" i="14"/>
  <c r="O52" i="14"/>
  <c r="N52" i="14"/>
  <c r="M52" i="14"/>
  <c r="L52" i="14"/>
  <c r="K52" i="14"/>
  <c r="J52" i="14"/>
  <c r="I52" i="14"/>
  <c r="H52" i="14"/>
  <c r="G52" i="14"/>
  <c r="F52" i="14"/>
  <c r="E52" i="14"/>
  <c r="D52" i="14"/>
  <c r="C52" i="14"/>
  <c r="B52" i="14"/>
  <c r="P51" i="14"/>
  <c r="O51" i="14"/>
  <c r="N51" i="14"/>
  <c r="M51" i="14"/>
  <c r="L51" i="14"/>
  <c r="K51" i="14"/>
  <c r="J51" i="14"/>
  <c r="I51" i="14"/>
  <c r="H51" i="14"/>
  <c r="G51" i="14"/>
  <c r="F51" i="14"/>
  <c r="E51" i="14"/>
  <c r="D51" i="14"/>
  <c r="C51" i="14"/>
  <c r="B51" i="14"/>
  <c r="P50" i="14"/>
  <c r="O50" i="14"/>
  <c r="N50" i="14"/>
  <c r="M50" i="14"/>
  <c r="L50" i="14"/>
  <c r="K50" i="14"/>
  <c r="J50" i="14"/>
  <c r="I50" i="14"/>
  <c r="H50" i="14"/>
  <c r="G50" i="14"/>
  <c r="F50" i="14"/>
  <c r="E50" i="14"/>
  <c r="D50" i="14"/>
  <c r="C50" i="14"/>
  <c r="B50" i="14"/>
  <c r="P49" i="14"/>
  <c r="O49" i="14"/>
  <c r="N49" i="14"/>
  <c r="M49" i="14"/>
  <c r="L49" i="14"/>
  <c r="K49" i="14"/>
  <c r="J49" i="14"/>
  <c r="I49" i="14"/>
  <c r="H49" i="14"/>
  <c r="G49" i="14"/>
  <c r="F49" i="14"/>
  <c r="E49" i="14"/>
  <c r="D49" i="14"/>
  <c r="C49" i="14"/>
  <c r="B49" i="14"/>
  <c r="P48" i="14"/>
  <c r="O48" i="14"/>
  <c r="N48" i="14"/>
  <c r="M48" i="14"/>
  <c r="L48" i="14"/>
  <c r="K48" i="14"/>
  <c r="J48" i="14"/>
  <c r="I48" i="14"/>
  <c r="H48" i="14"/>
  <c r="G48" i="14"/>
  <c r="F48" i="14"/>
  <c r="E48" i="14"/>
  <c r="D48" i="14"/>
  <c r="C48" i="14"/>
  <c r="B48" i="14"/>
  <c r="P47" i="14"/>
  <c r="O47" i="14"/>
  <c r="N47" i="14"/>
  <c r="M47" i="14"/>
  <c r="L47" i="14"/>
  <c r="K47" i="14"/>
  <c r="J47" i="14"/>
  <c r="I47" i="14"/>
  <c r="H47" i="14"/>
  <c r="G47" i="14"/>
  <c r="F47" i="14"/>
  <c r="E47" i="14"/>
  <c r="D47" i="14"/>
  <c r="C47" i="14"/>
  <c r="B47" i="14"/>
  <c r="P46" i="14"/>
  <c r="O46" i="14"/>
  <c r="N46" i="14"/>
  <c r="M46" i="14"/>
  <c r="L46" i="14"/>
  <c r="K46" i="14"/>
  <c r="J46" i="14"/>
  <c r="I46" i="14"/>
  <c r="H46" i="14"/>
  <c r="G46" i="14"/>
  <c r="F46" i="14"/>
  <c r="E46" i="14"/>
  <c r="D46" i="14"/>
  <c r="C46" i="14"/>
  <c r="B46" i="14"/>
  <c r="P45" i="14"/>
  <c r="O45" i="14"/>
  <c r="N45" i="14"/>
  <c r="M45" i="14"/>
  <c r="L45" i="14"/>
  <c r="K45" i="14"/>
  <c r="J45" i="14"/>
  <c r="I45" i="14"/>
  <c r="H45" i="14"/>
  <c r="G45" i="14"/>
  <c r="F45" i="14"/>
  <c r="E45" i="14"/>
  <c r="D45" i="14"/>
  <c r="C45" i="14"/>
  <c r="B45" i="14"/>
  <c r="P44" i="14"/>
  <c r="O44" i="14"/>
  <c r="N44" i="14"/>
  <c r="M44" i="14"/>
  <c r="L44" i="14"/>
  <c r="K44" i="14"/>
  <c r="J44" i="14"/>
  <c r="I44" i="14"/>
  <c r="H44" i="14"/>
  <c r="G44" i="14"/>
  <c r="F44" i="14"/>
  <c r="E44" i="14"/>
  <c r="D44" i="14"/>
  <c r="C44" i="14"/>
  <c r="B44" i="14"/>
  <c r="P43" i="14"/>
  <c r="O43" i="14"/>
  <c r="N43" i="14"/>
  <c r="M43" i="14"/>
  <c r="L43" i="14"/>
  <c r="K43" i="14"/>
  <c r="J43" i="14"/>
  <c r="I43" i="14"/>
  <c r="H43" i="14"/>
  <c r="G43" i="14"/>
  <c r="F43" i="14"/>
  <c r="E43" i="14"/>
  <c r="D43" i="14"/>
  <c r="C43" i="14"/>
  <c r="B43" i="14"/>
  <c r="P42" i="14"/>
  <c r="O42" i="14"/>
  <c r="N42" i="14"/>
  <c r="M42" i="14"/>
  <c r="L42" i="14"/>
  <c r="K42" i="14"/>
  <c r="J42" i="14"/>
  <c r="I42" i="14"/>
  <c r="H42" i="14"/>
  <c r="G42" i="14"/>
  <c r="F42" i="14"/>
  <c r="E42" i="14"/>
  <c r="D42" i="14"/>
  <c r="C42" i="14"/>
  <c r="B42" i="14"/>
  <c r="P41" i="14"/>
  <c r="O41" i="14"/>
  <c r="N41" i="14"/>
  <c r="M41" i="14"/>
  <c r="L41" i="14"/>
  <c r="K41" i="14"/>
  <c r="J41" i="14"/>
  <c r="I41" i="14"/>
  <c r="H41" i="14"/>
  <c r="G41" i="14"/>
  <c r="F41" i="14"/>
  <c r="E41" i="14"/>
  <c r="D41" i="14"/>
  <c r="C41" i="14"/>
  <c r="B41" i="14"/>
  <c r="P40" i="14"/>
  <c r="O40" i="14"/>
  <c r="N40" i="14"/>
  <c r="M40" i="14"/>
  <c r="L40" i="14"/>
  <c r="K40" i="14"/>
  <c r="J40" i="14"/>
  <c r="I40" i="14"/>
  <c r="H40" i="14"/>
  <c r="G40" i="14"/>
  <c r="F40" i="14"/>
  <c r="E40" i="14"/>
  <c r="D40" i="14"/>
  <c r="C40" i="14"/>
  <c r="B40" i="14"/>
  <c r="P39" i="14"/>
  <c r="O39" i="14"/>
  <c r="N39" i="14"/>
  <c r="M39" i="14"/>
  <c r="L39" i="14"/>
  <c r="K39" i="14"/>
  <c r="J39" i="14"/>
  <c r="I39" i="14"/>
  <c r="H39" i="14"/>
  <c r="G39" i="14"/>
  <c r="F39" i="14"/>
  <c r="E39" i="14"/>
  <c r="D39" i="14"/>
  <c r="C39" i="14"/>
  <c r="B39" i="14"/>
  <c r="P38" i="14"/>
  <c r="O38" i="14"/>
  <c r="N38" i="14"/>
  <c r="M38" i="14"/>
  <c r="L38" i="14"/>
  <c r="K38" i="14"/>
  <c r="J38" i="14"/>
  <c r="I38" i="14"/>
  <c r="H38" i="14"/>
  <c r="G38" i="14"/>
  <c r="F38" i="14"/>
  <c r="E38" i="14"/>
  <c r="D38" i="14"/>
  <c r="C38" i="14"/>
  <c r="B38" i="14"/>
  <c r="P37" i="14"/>
  <c r="O37" i="14"/>
  <c r="N37" i="14"/>
  <c r="M37" i="14"/>
  <c r="L37" i="14"/>
  <c r="K37" i="14"/>
  <c r="J37" i="14"/>
  <c r="I37" i="14"/>
  <c r="H37" i="14"/>
  <c r="G37" i="14"/>
  <c r="F37" i="14"/>
  <c r="E37" i="14"/>
  <c r="D37" i="14"/>
  <c r="C37" i="14"/>
  <c r="B37" i="14"/>
  <c r="P36" i="14"/>
  <c r="O36" i="14"/>
  <c r="N36" i="14"/>
  <c r="M36" i="14"/>
  <c r="L36" i="14"/>
  <c r="K36" i="14"/>
  <c r="J36" i="14"/>
  <c r="I36" i="14"/>
  <c r="H36" i="14"/>
  <c r="G36" i="14"/>
  <c r="F36" i="14"/>
  <c r="E36" i="14"/>
  <c r="D36" i="14"/>
  <c r="C36" i="14"/>
  <c r="B36" i="14"/>
  <c r="P35" i="14"/>
  <c r="O35" i="14"/>
  <c r="N35" i="14"/>
  <c r="M35" i="14"/>
  <c r="L35" i="14"/>
  <c r="K35" i="14"/>
  <c r="J35" i="14"/>
  <c r="I35" i="14"/>
  <c r="H35" i="14"/>
  <c r="G35" i="14"/>
  <c r="F35" i="14"/>
  <c r="E35" i="14"/>
  <c r="D35" i="14"/>
  <c r="C35" i="14"/>
  <c r="B35" i="14"/>
  <c r="P34" i="14"/>
  <c r="O34" i="14"/>
  <c r="N34" i="14"/>
  <c r="M34" i="14"/>
  <c r="L34" i="14"/>
  <c r="K34" i="14"/>
  <c r="J34" i="14"/>
  <c r="I34" i="14"/>
  <c r="H34" i="14"/>
  <c r="G34" i="14"/>
  <c r="F34" i="14"/>
  <c r="E34" i="14"/>
  <c r="D34" i="14"/>
  <c r="C34" i="14"/>
  <c r="B34" i="14"/>
  <c r="P33" i="14"/>
  <c r="O33" i="14"/>
  <c r="N33" i="14"/>
  <c r="M33" i="14"/>
  <c r="L33" i="14"/>
  <c r="K33" i="14"/>
  <c r="J33" i="14"/>
  <c r="I33" i="14"/>
  <c r="H33" i="14"/>
  <c r="G33" i="14"/>
  <c r="F33" i="14"/>
  <c r="E33" i="14"/>
  <c r="D33" i="14"/>
  <c r="C33" i="14"/>
  <c r="B33" i="14"/>
  <c r="P32" i="14"/>
  <c r="O32" i="14"/>
  <c r="N32" i="14"/>
  <c r="M32" i="14"/>
  <c r="L32" i="14"/>
  <c r="K32" i="14"/>
  <c r="J32" i="14"/>
  <c r="I32" i="14"/>
  <c r="H32" i="14"/>
  <c r="G32" i="14"/>
  <c r="F32" i="14"/>
  <c r="E32" i="14"/>
  <c r="D32" i="14"/>
  <c r="C32" i="14"/>
  <c r="B32" i="14"/>
  <c r="P31" i="14"/>
  <c r="O31" i="14"/>
  <c r="N31" i="14"/>
  <c r="M31" i="14"/>
  <c r="L31" i="14"/>
  <c r="K31" i="14"/>
  <c r="J31" i="14"/>
  <c r="I31" i="14"/>
  <c r="H31" i="14"/>
  <c r="G31" i="14"/>
  <c r="F31" i="14"/>
  <c r="E31" i="14"/>
  <c r="D31" i="14"/>
  <c r="C31" i="14"/>
  <c r="B31" i="14"/>
  <c r="P30" i="14"/>
  <c r="O30" i="14"/>
  <c r="N30" i="14"/>
  <c r="M30" i="14"/>
  <c r="L30" i="14"/>
  <c r="K30" i="14"/>
  <c r="J30" i="14"/>
  <c r="I30" i="14"/>
  <c r="H30" i="14"/>
  <c r="G30" i="14"/>
  <c r="F30" i="14"/>
  <c r="E30" i="14"/>
  <c r="D30" i="14"/>
  <c r="C30" i="14"/>
  <c r="B30" i="14"/>
  <c r="P29" i="14"/>
  <c r="O29" i="14"/>
  <c r="N29" i="14"/>
  <c r="M29" i="14"/>
  <c r="L29" i="14"/>
  <c r="K29" i="14"/>
  <c r="J29" i="14"/>
  <c r="I29" i="14"/>
  <c r="H29" i="14"/>
  <c r="G29" i="14"/>
  <c r="F29" i="14"/>
  <c r="E29" i="14"/>
  <c r="D29" i="14"/>
  <c r="C29" i="14"/>
  <c r="B29" i="14"/>
  <c r="P28" i="14"/>
  <c r="O28" i="14"/>
  <c r="N28" i="14"/>
  <c r="M28" i="14"/>
  <c r="L28" i="14"/>
  <c r="K28" i="14"/>
  <c r="J28" i="14"/>
  <c r="I28" i="14"/>
  <c r="H28" i="14"/>
  <c r="G28" i="14"/>
  <c r="F28" i="14"/>
  <c r="E28" i="14"/>
  <c r="D28" i="14"/>
  <c r="C28" i="14"/>
  <c r="B28" i="14"/>
  <c r="P27" i="14"/>
  <c r="O27" i="14"/>
  <c r="N27" i="14"/>
  <c r="M27" i="14"/>
  <c r="L27" i="14"/>
  <c r="K27" i="14"/>
  <c r="J27" i="14"/>
  <c r="I27" i="14"/>
  <c r="H27" i="14"/>
  <c r="G27" i="14"/>
  <c r="F27" i="14"/>
  <c r="E27" i="14"/>
  <c r="D27" i="14"/>
  <c r="C27" i="14"/>
  <c r="B27" i="14"/>
  <c r="P26" i="14"/>
  <c r="O26" i="14"/>
  <c r="N26" i="14"/>
  <c r="M26" i="14"/>
  <c r="L26" i="14"/>
  <c r="K26" i="14"/>
  <c r="J26" i="14"/>
  <c r="I26" i="14"/>
  <c r="H26" i="14"/>
  <c r="G26" i="14"/>
  <c r="F26" i="14"/>
  <c r="E26" i="14"/>
  <c r="D26" i="14"/>
  <c r="C26" i="14"/>
  <c r="B26" i="14"/>
  <c r="P25" i="14"/>
  <c r="O25" i="14"/>
  <c r="N25" i="14"/>
  <c r="M25" i="14"/>
  <c r="L25" i="14"/>
  <c r="K25" i="14"/>
  <c r="J25" i="14"/>
  <c r="I25" i="14"/>
  <c r="H25" i="14"/>
  <c r="G25" i="14"/>
  <c r="F25" i="14"/>
  <c r="E25" i="14"/>
  <c r="D25" i="14"/>
  <c r="C25" i="14"/>
  <c r="B25" i="14"/>
  <c r="P24" i="14"/>
  <c r="O24" i="14"/>
  <c r="N24" i="14"/>
  <c r="M24" i="14"/>
  <c r="L24" i="14"/>
  <c r="K24" i="14"/>
  <c r="J24" i="14"/>
  <c r="I24" i="14"/>
  <c r="H24" i="14"/>
  <c r="G24" i="14"/>
  <c r="F24" i="14"/>
  <c r="E24" i="14"/>
  <c r="D24" i="14"/>
  <c r="C24" i="14"/>
  <c r="B24" i="14"/>
  <c r="P23" i="14"/>
  <c r="O23" i="14"/>
  <c r="N23" i="14"/>
  <c r="M23" i="14"/>
  <c r="L23" i="14"/>
  <c r="K23" i="14"/>
  <c r="J23" i="14"/>
  <c r="I23" i="14"/>
  <c r="H23" i="14"/>
  <c r="G23" i="14"/>
  <c r="F23" i="14"/>
  <c r="E23" i="14"/>
  <c r="D23" i="14"/>
  <c r="C23" i="14"/>
  <c r="B23" i="14"/>
  <c r="P22" i="14"/>
  <c r="O22" i="14"/>
  <c r="N22" i="14"/>
  <c r="M22" i="14"/>
  <c r="L22" i="14"/>
  <c r="K22" i="14"/>
  <c r="J22" i="14"/>
  <c r="I22" i="14"/>
  <c r="H22" i="14"/>
  <c r="G22" i="14"/>
  <c r="F22" i="14"/>
  <c r="E22" i="14"/>
  <c r="D22" i="14"/>
  <c r="C22" i="14"/>
  <c r="B22" i="14"/>
  <c r="P21" i="14"/>
  <c r="O21" i="14"/>
  <c r="N21" i="14"/>
  <c r="M21" i="14"/>
  <c r="L21" i="14"/>
  <c r="K21" i="14"/>
  <c r="J21" i="14"/>
  <c r="I21" i="14"/>
  <c r="H21" i="14"/>
  <c r="G21" i="14"/>
  <c r="F21" i="14"/>
  <c r="E21" i="14"/>
  <c r="D21" i="14"/>
  <c r="C21" i="14"/>
  <c r="B21" i="14"/>
  <c r="P20" i="14"/>
  <c r="O20" i="14"/>
  <c r="N20" i="14"/>
  <c r="M20" i="14"/>
  <c r="L20" i="14"/>
  <c r="K20" i="14"/>
  <c r="J20" i="14"/>
  <c r="I20" i="14"/>
  <c r="H20" i="14"/>
  <c r="G20" i="14"/>
  <c r="F20" i="14"/>
  <c r="E20" i="14"/>
  <c r="D20" i="14"/>
  <c r="C20" i="14"/>
  <c r="B20" i="14"/>
  <c r="P19" i="14"/>
  <c r="O19" i="14"/>
  <c r="N19" i="14"/>
  <c r="M19" i="14"/>
  <c r="L19" i="14"/>
  <c r="K19" i="14"/>
  <c r="J19" i="14"/>
  <c r="I19" i="14"/>
  <c r="H19" i="14"/>
  <c r="G19" i="14"/>
  <c r="F19" i="14"/>
  <c r="E19" i="14"/>
  <c r="D19" i="14"/>
  <c r="C19" i="14"/>
  <c r="B19" i="14"/>
  <c r="P18" i="14"/>
  <c r="O18" i="14"/>
  <c r="N18" i="14"/>
  <c r="M18" i="14"/>
  <c r="L18" i="14"/>
  <c r="K18" i="14"/>
  <c r="J18" i="14"/>
  <c r="I18" i="14"/>
  <c r="H18" i="14"/>
  <c r="G18" i="14"/>
  <c r="F18" i="14"/>
  <c r="E18" i="14"/>
  <c r="D18" i="14"/>
  <c r="C18" i="14"/>
  <c r="B18" i="14"/>
  <c r="P17" i="14"/>
  <c r="O17" i="14"/>
  <c r="N17" i="14"/>
  <c r="M17" i="14"/>
  <c r="L17" i="14"/>
  <c r="K17" i="14"/>
  <c r="J17" i="14"/>
  <c r="I17" i="14"/>
  <c r="H17" i="14"/>
  <c r="G17" i="14"/>
  <c r="F17" i="14"/>
  <c r="E17" i="14"/>
  <c r="D17" i="14"/>
  <c r="C17" i="14"/>
  <c r="B17" i="14"/>
  <c r="P16" i="14"/>
  <c r="O16" i="14"/>
  <c r="N16" i="14"/>
  <c r="M16" i="14"/>
  <c r="L16" i="14"/>
  <c r="K16" i="14"/>
  <c r="J16" i="14"/>
  <c r="I16" i="14"/>
  <c r="H16" i="14"/>
  <c r="G16" i="14"/>
  <c r="F16" i="14"/>
  <c r="E16" i="14"/>
  <c r="D16" i="14"/>
  <c r="C16" i="14"/>
  <c r="B16" i="14"/>
  <c r="P15" i="14"/>
  <c r="O15" i="14"/>
  <c r="N15" i="14"/>
  <c r="M15" i="14"/>
  <c r="L15" i="14"/>
  <c r="K15" i="14"/>
  <c r="J15" i="14"/>
  <c r="I15" i="14"/>
  <c r="H15" i="14"/>
  <c r="G15" i="14"/>
  <c r="F15" i="14"/>
  <c r="E15" i="14"/>
  <c r="D15" i="14"/>
  <c r="C15" i="14"/>
  <c r="B15" i="14"/>
  <c r="P14" i="14"/>
  <c r="O14" i="14"/>
  <c r="N14" i="14"/>
  <c r="M14" i="14"/>
  <c r="L14" i="14"/>
  <c r="K14" i="14"/>
  <c r="J14" i="14"/>
  <c r="I14" i="14"/>
  <c r="H14" i="14"/>
  <c r="G14" i="14"/>
  <c r="F14" i="14"/>
  <c r="E14" i="14"/>
  <c r="D14" i="14"/>
  <c r="C14" i="14"/>
  <c r="B14" i="14"/>
  <c r="P13" i="14"/>
  <c r="O13" i="14"/>
  <c r="N13" i="14"/>
  <c r="M13" i="14"/>
  <c r="L13" i="14"/>
  <c r="K13" i="14"/>
  <c r="J13" i="14"/>
  <c r="I13" i="14"/>
  <c r="H13" i="14"/>
  <c r="G13" i="14"/>
  <c r="F13" i="14"/>
  <c r="E13" i="14"/>
  <c r="D13" i="14"/>
  <c r="C13" i="14"/>
  <c r="B13" i="14"/>
  <c r="P12" i="14"/>
  <c r="O12" i="14"/>
  <c r="N12" i="14"/>
  <c r="M12" i="14"/>
  <c r="L12" i="14"/>
  <c r="K12" i="14"/>
  <c r="J12" i="14"/>
  <c r="I12" i="14"/>
  <c r="H12" i="14"/>
  <c r="G12" i="14"/>
  <c r="F12" i="14"/>
  <c r="E12" i="14"/>
  <c r="D12" i="14"/>
  <c r="C12" i="14"/>
  <c r="B12" i="14"/>
  <c r="P11" i="14"/>
  <c r="O11" i="14"/>
  <c r="N11" i="14"/>
  <c r="M11" i="14"/>
  <c r="L11" i="14"/>
  <c r="K11" i="14"/>
  <c r="J11" i="14"/>
  <c r="I11" i="14"/>
  <c r="H11" i="14"/>
  <c r="G11" i="14"/>
  <c r="F11" i="14"/>
  <c r="E11" i="14"/>
  <c r="D11" i="14"/>
  <c r="C11" i="14"/>
  <c r="B11" i="14"/>
  <c r="P10" i="14"/>
  <c r="O10" i="14"/>
  <c r="N10" i="14"/>
  <c r="M10" i="14"/>
  <c r="L10" i="14"/>
  <c r="K10" i="14"/>
  <c r="J10" i="14"/>
  <c r="I10" i="14"/>
  <c r="H10" i="14"/>
  <c r="G10" i="14"/>
  <c r="F10" i="14"/>
  <c r="E10" i="14"/>
  <c r="D10" i="14"/>
  <c r="C10" i="14"/>
  <c r="B10" i="14"/>
  <c r="P9" i="14"/>
  <c r="O9" i="14"/>
  <c r="N9" i="14"/>
  <c r="M9" i="14"/>
  <c r="L9" i="14"/>
  <c r="K9" i="14"/>
  <c r="J9" i="14"/>
  <c r="I9" i="14"/>
  <c r="H9" i="14"/>
  <c r="G9" i="14"/>
  <c r="F9" i="14"/>
  <c r="E9" i="14"/>
  <c r="D9" i="14"/>
  <c r="C9" i="14"/>
  <c r="B9" i="14"/>
  <c r="P8" i="14"/>
  <c r="O8" i="14"/>
  <c r="N8" i="14"/>
  <c r="M8" i="14"/>
  <c r="L8" i="14"/>
  <c r="K8" i="14"/>
  <c r="J8" i="14"/>
  <c r="I8" i="14"/>
  <c r="H8" i="14"/>
  <c r="G8" i="14"/>
  <c r="F8" i="14"/>
  <c r="E8" i="14"/>
  <c r="D8" i="14"/>
  <c r="C8" i="14"/>
  <c r="B8" i="14"/>
  <c r="P7" i="14"/>
  <c r="O7" i="14"/>
  <c r="N7" i="14"/>
  <c r="M7" i="14"/>
  <c r="L7" i="14"/>
  <c r="K7" i="14"/>
  <c r="J7" i="14"/>
  <c r="I7" i="14"/>
  <c r="H7" i="14"/>
  <c r="G7" i="14"/>
  <c r="F7" i="14"/>
  <c r="E7" i="14"/>
  <c r="D7" i="14"/>
  <c r="C7" i="14"/>
  <c r="B7" i="14"/>
  <c r="P3" i="14"/>
  <c r="O3" i="14"/>
  <c r="N3" i="14"/>
  <c r="M3" i="14"/>
  <c r="L3" i="14"/>
  <c r="K3" i="14"/>
  <c r="J3" i="14"/>
  <c r="I3" i="14"/>
  <c r="H3" i="14"/>
  <c r="G3" i="14"/>
  <c r="F3" i="14"/>
  <c r="E3" i="14"/>
  <c r="D3" i="14"/>
  <c r="C3" i="14"/>
  <c r="B3" i="14"/>
  <c r="E23" i="13"/>
  <c r="D23" i="12" s="1"/>
  <c r="D23" i="13"/>
  <c r="C23" i="13"/>
  <c r="T22" i="13"/>
  <c r="S22" i="13"/>
  <c r="R22" i="13"/>
  <c r="Q22" i="13"/>
  <c r="P22" i="13"/>
  <c r="O22" i="13"/>
  <c r="N22" i="13"/>
  <c r="M22" i="13"/>
  <c r="L22" i="13"/>
  <c r="K22" i="13"/>
  <c r="J22" i="13"/>
  <c r="I22" i="13"/>
  <c r="H22" i="13"/>
  <c r="G22" i="13"/>
  <c r="F22" i="13"/>
  <c r="E22" i="13"/>
  <c r="D22" i="13"/>
  <c r="C11" i="13"/>
  <c r="C6" i="12" s="1"/>
  <c r="B11" i="13"/>
  <c r="S10" i="13"/>
  <c r="R10" i="13"/>
  <c r="Q10" i="13"/>
  <c r="P10" i="13"/>
  <c r="O10" i="13"/>
  <c r="N10" i="13"/>
  <c r="M10" i="13"/>
  <c r="L10" i="13"/>
  <c r="K10" i="13"/>
  <c r="J10" i="13"/>
  <c r="I10" i="13"/>
  <c r="H10" i="13"/>
  <c r="G10" i="13"/>
  <c r="F10" i="13"/>
  <c r="E10" i="13"/>
  <c r="D10" i="13"/>
  <c r="C10" i="13"/>
  <c r="B30" i="12"/>
  <c r="B29" i="12"/>
  <c r="C29" i="12" s="1"/>
  <c r="D29" i="12" s="1"/>
  <c r="E29" i="12" s="1"/>
  <c r="F29" i="12" s="1"/>
  <c r="G29" i="12" s="1"/>
  <c r="H29" i="12" s="1"/>
  <c r="I29" i="12" s="1"/>
  <c r="J29" i="12" s="1"/>
  <c r="K29" i="12" s="1"/>
  <c r="L29" i="12" s="1"/>
  <c r="M29" i="12" s="1"/>
  <c r="N29" i="12" s="1"/>
  <c r="O29" i="12" s="1"/>
  <c r="P29" i="12" s="1"/>
  <c r="Q29" i="12" s="1"/>
  <c r="R29" i="12" s="1"/>
  <c r="S29" i="12" s="1"/>
  <c r="C23" i="12"/>
  <c r="F17" i="12"/>
  <c r="B13" i="12"/>
  <c r="C12" i="12"/>
  <c r="D12" i="12" s="1"/>
  <c r="E12" i="12" s="1"/>
  <c r="F12" i="12" s="1"/>
  <c r="G12" i="12" s="1"/>
  <c r="H12" i="12" s="1"/>
  <c r="I12" i="12" s="1"/>
  <c r="J12" i="12" s="1"/>
  <c r="K12" i="12" s="1"/>
  <c r="L12" i="12" s="1"/>
  <c r="M12" i="12" s="1"/>
  <c r="N12" i="12" s="1"/>
  <c r="O12" i="12" s="1"/>
  <c r="P12" i="12" s="1"/>
  <c r="Q12" i="12" s="1"/>
  <c r="R12" i="12" s="1"/>
  <c r="S12" i="12" s="1"/>
  <c r="B12" i="12"/>
  <c r="F1" i="12"/>
  <c r="P47" i="10"/>
  <c r="O47" i="10"/>
  <c r="N47" i="10"/>
  <c r="M47" i="10"/>
  <c r="L47" i="10"/>
  <c r="K47" i="10"/>
  <c r="J47" i="10"/>
  <c r="I47" i="10"/>
  <c r="H47" i="10"/>
  <c r="G47" i="10"/>
  <c r="F47" i="10"/>
  <c r="E47" i="10"/>
  <c r="D47" i="10"/>
  <c r="C47" i="10"/>
  <c r="B47" i="10"/>
  <c r="P46" i="10"/>
  <c r="O46" i="10"/>
  <c r="N46" i="10"/>
  <c r="M46" i="10"/>
  <c r="L46" i="10"/>
  <c r="K46" i="10"/>
  <c r="J46" i="10"/>
  <c r="I46" i="10"/>
  <c r="H46" i="10"/>
  <c r="G46" i="10"/>
  <c r="F46" i="10"/>
  <c r="E46" i="10"/>
  <c r="D46" i="10"/>
  <c r="C46" i="10"/>
  <c r="B46" i="10"/>
  <c r="P45" i="10"/>
  <c r="O45" i="10"/>
  <c r="N45" i="10"/>
  <c r="M45" i="10"/>
  <c r="L45" i="10"/>
  <c r="K45" i="10"/>
  <c r="J45" i="10"/>
  <c r="I45" i="10"/>
  <c r="H45" i="10"/>
  <c r="G45" i="10"/>
  <c r="F45" i="10"/>
  <c r="E45" i="10"/>
  <c r="D45" i="10"/>
  <c r="C45" i="10"/>
  <c r="B45" i="10"/>
  <c r="P44" i="10"/>
  <c r="O44" i="10"/>
  <c r="N44" i="10"/>
  <c r="M44" i="10"/>
  <c r="L44" i="10"/>
  <c r="K44" i="10"/>
  <c r="J44" i="10"/>
  <c r="I44" i="10"/>
  <c r="H44" i="10"/>
  <c r="G44" i="10"/>
  <c r="F44" i="10"/>
  <c r="E44" i="10"/>
  <c r="D44" i="10"/>
  <c r="C44" i="10"/>
  <c r="B44" i="10"/>
  <c r="P43" i="10"/>
  <c r="O43" i="10"/>
  <c r="N43" i="10"/>
  <c r="M43" i="10"/>
  <c r="L43" i="10"/>
  <c r="K43" i="10"/>
  <c r="J43" i="10"/>
  <c r="I43" i="10"/>
  <c r="H43" i="10"/>
  <c r="G43" i="10"/>
  <c r="F43" i="10"/>
  <c r="E43" i="10"/>
  <c r="D43" i="10"/>
  <c r="C43" i="10"/>
  <c r="B43" i="10"/>
  <c r="P42" i="10"/>
  <c r="O42" i="10"/>
  <c r="N42" i="10"/>
  <c r="M42" i="10"/>
  <c r="L42" i="10"/>
  <c r="K42" i="10"/>
  <c r="J42" i="10"/>
  <c r="I42" i="10"/>
  <c r="H42" i="10"/>
  <c r="G42" i="10"/>
  <c r="F42" i="10"/>
  <c r="E42" i="10"/>
  <c r="D42" i="10"/>
  <c r="C42" i="10"/>
  <c r="B42" i="10"/>
  <c r="P41" i="10"/>
  <c r="O41" i="10"/>
  <c r="N41" i="10"/>
  <c r="M41" i="10"/>
  <c r="L41" i="10"/>
  <c r="K41" i="10"/>
  <c r="J41" i="10"/>
  <c r="I41" i="10"/>
  <c r="H41" i="10"/>
  <c r="G41" i="10"/>
  <c r="F41" i="10"/>
  <c r="E41" i="10"/>
  <c r="D41" i="10"/>
  <c r="C41" i="10"/>
  <c r="B41" i="10"/>
  <c r="P40" i="10"/>
  <c r="O40" i="10"/>
  <c r="N40" i="10"/>
  <c r="M40" i="10"/>
  <c r="L40" i="10"/>
  <c r="K40" i="10"/>
  <c r="J40" i="10"/>
  <c r="I40" i="10"/>
  <c r="H40" i="10"/>
  <c r="G40" i="10"/>
  <c r="F40" i="10"/>
  <c r="E40" i="10"/>
  <c r="D40" i="10"/>
  <c r="C40" i="10"/>
  <c r="B40" i="10"/>
  <c r="P39" i="10"/>
  <c r="O39" i="10"/>
  <c r="N39" i="10"/>
  <c r="M39" i="10"/>
  <c r="L39" i="10"/>
  <c r="K39" i="10"/>
  <c r="J39" i="10"/>
  <c r="I39" i="10"/>
  <c r="H39" i="10"/>
  <c r="G39" i="10"/>
  <c r="F39" i="10"/>
  <c r="E39" i="10"/>
  <c r="D39" i="10"/>
  <c r="C39" i="10"/>
  <c r="B39" i="10"/>
  <c r="P38" i="10"/>
  <c r="O38" i="10"/>
  <c r="N38" i="10"/>
  <c r="M38" i="10"/>
  <c r="L38" i="10"/>
  <c r="K38" i="10"/>
  <c r="J38" i="10"/>
  <c r="I38" i="10"/>
  <c r="H38" i="10"/>
  <c r="G38" i="10"/>
  <c r="F38" i="10"/>
  <c r="E38" i="10"/>
  <c r="D38" i="10"/>
  <c r="C38" i="10"/>
  <c r="B38" i="10"/>
  <c r="P37" i="10"/>
  <c r="O37" i="10"/>
  <c r="N37" i="10"/>
  <c r="M37" i="10"/>
  <c r="L37" i="10"/>
  <c r="K37" i="10"/>
  <c r="J37" i="10"/>
  <c r="I37" i="10"/>
  <c r="H37" i="10"/>
  <c r="G37" i="10"/>
  <c r="F37" i="10"/>
  <c r="E37" i="10"/>
  <c r="D37" i="10"/>
  <c r="C37" i="10"/>
  <c r="B37" i="10"/>
  <c r="P36" i="10"/>
  <c r="O36" i="10"/>
  <c r="N36" i="10"/>
  <c r="M36" i="10"/>
  <c r="L36" i="10"/>
  <c r="K36" i="10"/>
  <c r="J36" i="10"/>
  <c r="I36" i="10"/>
  <c r="H36" i="10"/>
  <c r="G36" i="10"/>
  <c r="F36" i="10"/>
  <c r="E36" i="10"/>
  <c r="D36" i="10"/>
  <c r="C36" i="10"/>
  <c r="B36" i="10"/>
  <c r="P35" i="10"/>
  <c r="O35" i="10"/>
  <c r="N35" i="10"/>
  <c r="M35" i="10"/>
  <c r="L35" i="10"/>
  <c r="K35" i="10"/>
  <c r="J35" i="10"/>
  <c r="I35" i="10"/>
  <c r="H35" i="10"/>
  <c r="G35" i="10"/>
  <c r="F35" i="10"/>
  <c r="E35" i="10"/>
  <c r="D35" i="10"/>
  <c r="C35" i="10"/>
  <c r="B35" i="10"/>
  <c r="P34" i="10"/>
  <c r="O34" i="10"/>
  <c r="N34" i="10"/>
  <c r="M34" i="10"/>
  <c r="L34" i="10"/>
  <c r="K34" i="10"/>
  <c r="J34" i="10"/>
  <c r="I34" i="10"/>
  <c r="H34" i="10"/>
  <c r="G34" i="10"/>
  <c r="F34" i="10"/>
  <c r="E34" i="10"/>
  <c r="D34" i="10"/>
  <c r="C34" i="10"/>
  <c r="B34" i="10"/>
  <c r="P33" i="10"/>
  <c r="O33" i="10"/>
  <c r="N33" i="10"/>
  <c r="M33" i="10"/>
  <c r="L33" i="10"/>
  <c r="K33" i="10"/>
  <c r="J33" i="10"/>
  <c r="I33" i="10"/>
  <c r="H33" i="10"/>
  <c r="G33" i="10"/>
  <c r="F33" i="10"/>
  <c r="E33" i="10"/>
  <c r="D33" i="10"/>
  <c r="C33" i="10"/>
  <c r="B33" i="10"/>
  <c r="P32" i="10"/>
  <c r="O32" i="10"/>
  <c r="N32" i="10"/>
  <c r="M32" i="10"/>
  <c r="L32" i="10"/>
  <c r="K32" i="10"/>
  <c r="J32" i="10"/>
  <c r="I32" i="10"/>
  <c r="H32" i="10"/>
  <c r="G32" i="10"/>
  <c r="F32" i="10"/>
  <c r="E32" i="10"/>
  <c r="D32" i="10"/>
  <c r="C32" i="10"/>
  <c r="B32" i="10"/>
  <c r="P31" i="10"/>
  <c r="O31" i="10"/>
  <c r="N31" i="10"/>
  <c r="M31" i="10"/>
  <c r="L31" i="10"/>
  <c r="K31" i="10"/>
  <c r="J31" i="10"/>
  <c r="I31" i="10"/>
  <c r="H31" i="10"/>
  <c r="G31" i="10"/>
  <c r="F31" i="10"/>
  <c r="E31" i="10"/>
  <c r="D31" i="10"/>
  <c r="C31" i="10"/>
  <c r="B31" i="10"/>
  <c r="P30" i="10"/>
  <c r="O30" i="10"/>
  <c r="N30" i="10"/>
  <c r="M30" i="10"/>
  <c r="L30" i="10"/>
  <c r="K30" i="10"/>
  <c r="J30" i="10"/>
  <c r="I30" i="10"/>
  <c r="H30" i="10"/>
  <c r="G30" i="10"/>
  <c r="F30" i="10"/>
  <c r="E30" i="10"/>
  <c r="D30" i="10"/>
  <c r="C30" i="10"/>
  <c r="B30" i="10"/>
  <c r="P29" i="10"/>
  <c r="O29" i="10"/>
  <c r="N29" i="10"/>
  <c r="M29" i="10"/>
  <c r="L29" i="10"/>
  <c r="K29" i="10"/>
  <c r="J29" i="10"/>
  <c r="I29" i="10"/>
  <c r="H29" i="10"/>
  <c r="G29" i="10"/>
  <c r="F29" i="10"/>
  <c r="E29" i="10"/>
  <c r="D29" i="10"/>
  <c r="C29" i="10"/>
  <c r="B29" i="10"/>
  <c r="P28" i="10"/>
  <c r="O28" i="10"/>
  <c r="N28" i="10"/>
  <c r="M28" i="10"/>
  <c r="L28" i="10"/>
  <c r="K28" i="10"/>
  <c r="J28" i="10"/>
  <c r="I28" i="10"/>
  <c r="H28" i="10"/>
  <c r="G28" i="10"/>
  <c r="F28" i="10"/>
  <c r="E28" i="10"/>
  <c r="D28" i="10"/>
  <c r="C28" i="10"/>
  <c r="B28" i="10"/>
  <c r="P27" i="10"/>
  <c r="O27" i="10"/>
  <c r="N27" i="10"/>
  <c r="M27" i="10"/>
  <c r="L27" i="10"/>
  <c r="K27" i="10"/>
  <c r="J27" i="10"/>
  <c r="I27" i="10"/>
  <c r="H27" i="10"/>
  <c r="G27" i="10"/>
  <c r="F27" i="10"/>
  <c r="E27" i="10"/>
  <c r="D27" i="10"/>
  <c r="C27" i="10"/>
  <c r="B27" i="10"/>
  <c r="P26" i="10"/>
  <c r="O26" i="10"/>
  <c r="N26" i="10"/>
  <c r="M26" i="10"/>
  <c r="L26" i="10"/>
  <c r="K26" i="10"/>
  <c r="J26" i="10"/>
  <c r="I26" i="10"/>
  <c r="H26" i="10"/>
  <c r="G26" i="10"/>
  <c r="F26" i="10"/>
  <c r="E26" i="10"/>
  <c r="D26" i="10"/>
  <c r="C26" i="10"/>
  <c r="B26" i="10"/>
  <c r="P25" i="10"/>
  <c r="O25" i="10"/>
  <c r="N25" i="10"/>
  <c r="M25" i="10"/>
  <c r="L25" i="10"/>
  <c r="K25" i="10"/>
  <c r="J25" i="10"/>
  <c r="I25" i="10"/>
  <c r="H25" i="10"/>
  <c r="G25" i="10"/>
  <c r="F25" i="10"/>
  <c r="E25" i="10"/>
  <c r="D25" i="10"/>
  <c r="C25" i="10"/>
  <c r="B25" i="10"/>
  <c r="P24" i="10"/>
  <c r="O24" i="10"/>
  <c r="N24" i="10"/>
  <c r="M24" i="10"/>
  <c r="L24" i="10"/>
  <c r="K24" i="10"/>
  <c r="J24" i="10"/>
  <c r="I24" i="10"/>
  <c r="H24" i="10"/>
  <c r="G24" i="10"/>
  <c r="F24" i="10"/>
  <c r="E24" i="10"/>
  <c r="D24" i="10"/>
  <c r="C24" i="10"/>
  <c r="B24" i="10"/>
  <c r="P23" i="10"/>
  <c r="O23" i="10"/>
  <c r="N23" i="10"/>
  <c r="M23" i="10"/>
  <c r="L23" i="10"/>
  <c r="K23" i="10"/>
  <c r="J23" i="10"/>
  <c r="I23" i="10"/>
  <c r="H23" i="10"/>
  <c r="G23" i="10"/>
  <c r="F23" i="10"/>
  <c r="E23" i="10"/>
  <c r="D23" i="10"/>
  <c r="C23" i="10"/>
  <c r="B23" i="10"/>
  <c r="P22" i="10"/>
  <c r="O22" i="10"/>
  <c r="N22" i="10"/>
  <c r="M22" i="10"/>
  <c r="L22" i="10"/>
  <c r="K22" i="10"/>
  <c r="J22" i="10"/>
  <c r="I22" i="10"/>
  <c r="H22" i="10"/>
  <c r="G22" i="10"/>
  <c r="F22" i="10"/>
  <c r="E22" i="10"/>
  <c r="D22" i="10"/>
  <c r="C22" i="10"/>
  <c r="B22" i="10"/>
  <c r="P21" i="10"/>
  <c r="O21" i="10"/>
  <c r="N21" i="10"/>
  <c r="M21" i="10"/>
  <c r="L21" i="10"/>
  <c r="K21" i="10"/>
  <c r="J21" i="10"/>
  <c r="I21" i="10"/>
  <c r="H21" i="10"/>
  <c r="G21" i="10"/>
  <c r="F21" i="10"/>
  <c r="E21" i="10"/>
  <c r="D21" i="10"/>
  <c r="C21" i="10"/>
  <c r="B21" i="10"/>
  <c r="P20" i="10"/>
  <c r="O20" i="10"/>
  <c r="N20" i="10"/>
  <c r="M20" i="10"/>
  <c r="L20" i="10"/>
  <c r="K20" i="10"/>
  <c r="J20" i="10"/>
  <c r="I20" i="10"/>
  <c r="H20" i="10"/>
  <c r="G20" i="10"/>
  <c r="F20" i="10"/>
  <c r="E20" i="10"/>
  <c r="D20" i="10"/>
  <c r="C20" i="10"/>
  <c r="B20" i="10"/>
  <c r="P19" i="10"/>
  <c r="O19" i="10"/>
  <c r="N19" i="10"/>
  <c r="M19" i="10"/>
  <c r="L19" i="10"/>
  <c r="K19" i="10"/>
  <c r="J19" i="10"/>
  <c r="I19" i="10"/>
  <c r="H19" i="10"/>
  <c r="G19" i="10"/>
  <c r="F19" i="10"/>
  <c r="E19" i="10"/>
  <c r="D19" i="10"/>
  <c r="C19" i="10"/>
  <c r="B19" i="10"/>
  <c r="P18" i="10"/>
  <c r="O18" i="10"/>
  <c r="N18" i="10"/>
  <c r="M18" i="10"/>
  <c r="L18" i="10"/>
  <c r="K18" i="10"/>
  <c r="J18" i="10"/>
  <c r="I18" i="10"/>
  <c r="H18" i="10"/>
  <c r="G18" i="10"/>
  <c r="F18" i="10"/>
  <c r="E18" i="10"/>
  <c r="D18" i="10"/>
  <c r="C18" i="10"/>
  <c r="B18" i="10"/>
  <c r="P17" i="10"/>
  <c r="O17" i="10"/>
  <c r="N17" i="10"/>
  <c r="M17" i="10"/>
  <c r="L17" i="10"/>
  <c r="K17" i="10"/>
  <c r="J17" i="10"/>
  <c r="I17" i="10"/>
  <c r="H17" i="10"/>
  <c r="G17" i="10"/>
  <c r="F17" i="10"/>
  <c r="E17" i="10"/>
  <c r="D17" i="10"/>
  <c r="C17" i="10"/>
  <c r="B17" i="10"/>
  <c r="P16" i="10"/>
  <c r="O16" i="10"/>
  <c r="N16" i="10"/>
  <c r="M16" i="10"/>
  <c r="L16" i="10"/>
  <c r="K16" i="10"/>
  <c r="J16" i="10"/>
  <c r="I16" i="10"/>
  <c r="H16" i="10"/>
  <c r="G16" i="10"/>
  <c r="F16" i="10"/>
  <c r="E16" i="10"/>
  <c r="D16" i="10"/>
  <c r="C16" i="10"/>
  <c r="B16" i="10"/>
  <c r="P15" i="10"/>
  <c r="O15" i="10"/>
  <c r="N15" i="10"/>
  <c r="M15" i="10"/>
  <c r="L15" i="10"/>
  <c r="K15" i="10"/>
  <c r="J15" i="10"/>
  <c r="I15" i="10"/>
  <c r="H15" i="10"/>
  <c r="G15" i="10"/>
  <c r="F15" i="10"/>
  <c r="E15" i="10"/>
  <c r="D15" i="10"/>
  <c r="C15" i="10"/>
  <c r="B15" i="10"/>
  <c r="P14" i="10"/>
  <c r="O14" i="10"/>
  <c r="N14" i="10"/>
  <c r="M14" i="10"/>
  <c r="L14" i="10"/>
  <c r="K14" i="10"/>
  <c r="J14" i="10"/>
  <c r="I14" i="10"/>
  <c r="H14" i="10"/>
  <c r="G14" i="10"/>
  <c r="F14" i="10"/>
  <c r="E14" i="10"/>
  <c r="D14" i="10"/>
  <c r="C14" i="10"/>
  <c r="B14" i="10"/>
  <c r="P13" i="10"/>
  <c r="O13" i="10"/>
  <c r="N13" i="10"/>
  <c r="M13" i="10"/>
  <c r="L13" i="10"/>
  <c r="K13" i="10"/>
  <c r="J13" i="10"/>
  <c r="I13" i="10"/>
  <c r="H13" i="10"/>
  <c r="G13" i="10"/>
  <c r="F13" i="10"/>
  <c r="E13" i="10"/>
  <c r="D13" i="10"/>
  <c r="C13" i="10"/>
  <c r="B13" i="10"/>
  <c r="P12" i="10"/>
  <c r="O12" i="10"/>
  <c r="N12" i="10"/>
  <c r="M12" i="10"/>
  <c r="L12" i="10"/>
  <c r="K12" i="10"/>
  <c r="J12" i="10"/>
  <c r="I12" i="10"/>
  <c r="H12" i="10"/>
  <c r="G12" i="10"/>
  <c r="F12" i="10"/>
  <c r="E12" i="10"/>
  <c r="D12" i="10"/>
  <c r="C12" i="10"/>
  <c r="B12" i="10"/>
  <c r="P11" i="10"/>
  <c r="O11" i="10"/>
  <c r="N11" i="10"/>
  <c r="M11" i="10"/>
  <c r="L11" i="10"/>
  <c r="K11" i="10"/>
  <c r="J11" i="10"/>
  <c r="I11" i="10"/>
  <c r="H11" i="10"/>
  <c r="G11" i="10"/>
  <c r="F11" i="10"/>
  <c r="E11" i="10"/>
  <c r="D11" i="10"/>
  <c r="C11" i="10"/>
  <c r="B11" i="10"/>
  <c r="P10" i="10"/>
  <c r="O10" i="10"/>
  <c r="N10" i="10"/>
  <c r="M10" i="10"/>
  <c r="L10" i="10"/>
  <c r="K10" i="10"/>
  <c r="J10" i="10"/>
  <c r="I10" i="10"/>
  <c r="H10" i="10"/>
  <c r="G10" i="10"/>
  <c r="F10" i="10"/>
  <c r="E10" i="10"/>
  <c r="D10" i="10"/>
  <c r="C10" i="10"/>
  <c r="B10" i="10"/>
  <c r="P9" i="10"/>
  <c r="O9" i="10"/>
  <c r="N9" i="10"/>
  <c r="M9" i="10"/>
  <c r="L9" i="10"/>
  <c r="K9" i="10"/>
  <c r="J9" i="10"/>
  <c r="I9" i="10"/>
  <c r="H9" i="10"/>
  <c r="G9" i="10"/>
  <c r="F9" i="10"/>
  <c r="E9" i="10"/>
  <c r="D9" i="10"/>
  <c r="C9" i="10"/>
  <c r="B9" i="10"/>
  <c r="P8" i="10"/>
  <c r="O8" i="10"/>
  <c r="N8" i="10"/>
  <c r="M8" i="10"/>
  <c r="L8" i="10"/>
  <c r="K8" i="10"/>
  <c r="J8" i="10"/>
  <c r="I8" i="10"/>
  <c r="H8" i="10"/>
  <c r="G8" i="10"/>
  <c r="F8" i="10"/>
  <c r="E8" i="10"/>
  <c r="D8" i="10"/>
  <c r="C8" i="10"/>
  <c r="B8" i="10"/>
  <c r="P7" i="10"/>
  <c r="O7" i="10"/>
  <c r="N7" i="10"/>
  <c r="M7" i="10"/>
  <c r="L7" i="10"/>
  <c r="K7" i="10"/>
  <c r="J7" i="10"/>
  <c r="I7" i="10"/>
  <c r="H7" i="10"/>
  <c r="G7" i="10"/>
  <c r="F7" i="10"/>
  <c r="E7" i="10"/>
  <c r="D7" i="10"/>
  <c r="C7" i="10"/>
  <c r="B7" i="10"/>
  <c r="P3" i="10"/>
  <c r="O3" i="10"/>
  <c r="N3" i="10"/>
  <c r="M3" i="10"/>
  <c r="L3" i="10"/>
  <c r="K3" i="10"/>
  <c r="J3" i="10"/>
  <c r="I3" i="10"/>
  <c r="H3" i="10"/>
  <c r="G3" i="10"/>
  <c r="F3" i="10"/>
  <c r="E3" i="10"/>
  <c r="D3" i="10"/>
  <c r="C3" i="10"/>
  <c r="B3" i="10"/>
  <c r="C11" i="9"/>
  <c r="C6" i="8" s="1"/>
  <c r="K10" i="9"/>
  <c r="J10" i="9"/>
  <c r="I10" i="9"/>
  <c r="H10" i="9"/>
  <c r="G10" i="9"/>
  <c r="F10" i="9"/>
  <c r="E10" i="9"/>
  <c r="D10" i="9"/>
  <c r="C10" i="9"/>
  <c r="L8" i="9"/>
  <c r="B13" i="8"/>
  <c r="B12" i="8"/>
  <c r="C12" i="8" s="1"/>
  <c r="D12" i="8" s="1"/>
  <c r="E12" i="8" s="1"/>
  <c r="F12" i="8" s="1"/>
  <c r="G12" i="8" s="1"/>
  <c r="H12" i="8" s="1"/>
  <c r="I12" i="8" s="1"/>
  <c r="J12" i="8" s="1"/>
  <c r="F1" i="8"/>
  <c r="I14" i="6"/>
  <c r="H14" i="6"/>
  <c r="G14" i="6"/>
  <c r="F14" i="6"/>
  <c r="E14" i="6"/>
  <c r="D14" i="6"/>
  <c r="C14" i="6"/>
  <c r="B14" i="6"/>
  <c r="I13" i="6"/>
  <c r="H13" i="6"/>
  <c r="G13" i="6"/>
  <c r="F13" i="6"/>
  <c r="E13" i="6"/>
  <c r="D13" i="6"/>
  <c r="C13" i="6"/>
  <c r="B13" i="6"/>
  <c r="I12" i="6"/>
  <c r="H12" i="6"/>
  <c r="G12" i="6"/>
  <c r="F12" i="6"/>
  <c r="E12" i="6"/>
  <c r="D12" i="6"/>
  <c r="C12" i="6"/>
  <c r="B12" i="6"/>
  <c r="I11" i="6"/>
  <c r="H11" i="6"/>
  <c r="G11" i="6"/>
  <c r="F11" i="6"/>
  <c r="E11" i="6"/>
  <c r="D11" i="6"/>
  <c r="C11" i="6"/>
  <c r="B11" i="6"/>
  <c r="I10" i="6"/>
  <c r="H10" i="6"/>
  <c r="G10" i="6"/>
  <c r="F10" i="6"/>
  <c r="E10" i="6"/>
  <c r="D10" i="6"/>
  <c r="C10" i="6"/>
  <c r="B10" i="6"/>
  <c r="I9" i="6"/>
  <c r="H9" i="6"/>
  <c r="G9" i="6"/>
  <c r="F9" i="6"/>
  <c r="E9" i="6"/>
  <c r="D9" i="6"/>
  <c r="C9" i="6"/>
  <c r="B9" i="6"/>
  <c r="I8" i="6"/>
  <c r="H8" i="6"/>
  <c r="G8" i="6"/>
  <c r="F8" i="6"/>
  <c r="E8" i="6"/>
  <c r="D8" i="6"/>
  <c r="C8" i="6"/>
  <c r="B8" i="6"/>
  <c r="I7" i="6"/>
  <c r="H7" i="6"/>
  <c r="G7" i="6"/>
  <c r="F7" i="6"/>
  <c r="E7" i="6"/>
  <c r="D7" i="6"/>
  <c r="C7" i="6"/>
  <c r="B7" i="6"/>
  <c r="I3" i="6"/>
  <c r="H3" i="6"/>
  <c r="G3" i="6"/>
  <c r="F3" i="6"/>
  <c r="E3" i="6"/>
  <c r="D3" i="6"/>
  <c r="C3" i="6"/>
  <c r="B3" i="6"/>
  <c r="C11" i="5"/>
  <c r="C6" i="4" s="1"/>
  <c r="K10" i="5"/>
  <c r="J10" i="5"/>
  <c r="I10" i="5"/>
  <c r="H10" i="5"/>
  <c r="G10" i="5"/>
  <c r="F10" i="5"/>
  <c r="E10" i="5"/>
  <c r="D10" i="5"/>
  <c r="C10" i="5"/>
  <c r="B13" i="4"/>
  <c r="C12" i="4"/>
  <c r="D12" i="4" s="1"/>
  <c r="E12" i="4" s="1"/>
  <c r="F12" i="4" s="1"/>
  <c r="G12" i="4" s="1"/>
  <c r="H12" i="4" s="1"/>
  <c r="I12" i="4" s="1"/>
  <c r="J12" i="4" s="1"/>
  <c r="B12" i="4"/>
  <c r="F1" i="4"/>
  <c r="D7" i="1"/>
  <c r="D6" i="1"/>
  <c r="D5" i="1"/>
  <c r="D4" i="1"/>
  <c r="E8" i="1" s="1"/>
  <c r="C9" i="1" s="1"/>
  <c r="R8" i="21" l="1"/>
  <c r="Q5" i="20"/>
  <c r="C7" i="12"/>
  <c r="C24" i="12"/>
  <c r="C7" i="8"/>
  <c r="C13" i="12"/>
  <c r="D13" i="12" s="1"/>
  <c r="E13" i="12" s="1"/>
  <c r="F13" i="12" s="1"/>
  <c r="G13" i="12" s="1"/>
  <c r="H13" i="12" s="1"/>
  <c r="I13" i="12" s="1"/>
  <c r="J13" i="12" s="1"/>
  <c r="K13" i="12" s="1"/>
  <c r="L13" i="12" s="1"/>
  <c r="M13" i="12" s="1"/>
  <c r="N13" i="12" s="1"/>
  <c r="O13" i="12" s="1"/>
  <c r="P13" i="12" s="1"/>
  <c r="Q13" i="12" s="1"/>
  <c r="R13" i="12" s="1"/>
  <c r="S13" i="12" s="1"/>
  <c r="C6" i="16"/>
  <c r="D6" i="16" s="1"/>
  <c r="E6" i="16" s="1"/>
  <c r="F6" i="16" s="1"/>
  <c r="G6" i="16" s="1"/>
  <c r="H6" i="16" s="1"/>
  <c r="I6" i="16" s="1"/>
  <c r="J6" i="16" s="1"/>
  <c r="K6" i="16" s="1"/>
  <c r="L6" i="16" s="1"/>
  <c r="M6" i="16" s="1"/>
  <c r="N6" i="16" s="1"/>
  <c r="O6" i="16" s="1"/>
  <c r="C15" i="16"/>
  <c r="D15" i="16" s="1"/>
  <c r="E15" i="16" s="1"/>
  <c r="F15" i="16" s="1"/>
  <c r="G15" i="16" s="1"/>
  <c r="H15" i="16" s="1"/>
  <c r="I15" i="16" s="1"/>
  <c r="J15" i="16" s="1"/>
  <c r="K15" i="16" s="1"/>
  <c r="L15" i="16" s="1"/>
  <c r="M15" i="16" s="1"/>
  <c r="N15" i="16" s="1"/>
  <c r="O15" i="16" s="1"/>
  <c r="D7" i="8"/>
  <c r="E7" i="8" s="1"/>
  <c r="F7" i="8" s="1"/>
  <c r="G7" i="8" s="1"/>
  <c r="H7" i="8" s="1"/>
  <c r="I7" i="8" s="1"/>
  <c r="J7" i="8" s="1"/>
  <c r="D24" i="12"/>
  <c r="E24" i="12" s="1"/>
  <c r="F24" i="12" s="1"/>
  <c r="G24" i="12" s="1"/>
  <c r="H24" i="12" s="1"/>
  <c r="I24" i="12" s="1"/>
  <c r="J24" i="12" s="1"/>
  <c r="K24" i="12" s="1"/>
  <c r="L24" i="12" s="1"/>
  <c r="M24" i="12" s="1"/>
  <c r="N24" i="12" s="1"/>
  <c r="O24" i="12" s="1"/>
  <c r="P24" i="12" s="1"/>
  <c r="Q24" i="12" s="1"/>
  <c r="R24" i="12" s="1"/>
  <c r="S24" i="12" s="1"/>
  <c r="C7" i="4"/>
  <c r="D7" i="4" s="1"/>
  <c r="E7" i="4" s="1"/>
  <c r="F7" i="4" s="1"/>
  <c r="G7" i="4" s="1"/>
  <c r="H7" i="4" s="1"/>
  <c r="I7" i="4" s="1"/>
  <c r="J7" i="4" s="1"/>
  <c r="C7" i="16"/>
  <c r="D7" i="16" s="1"/>
  <c r="E7" i="16" s="1"/>
  <c r="F7" i="16" s="1"/>
  <c r="G7" i="16" s="1"/>
  <c r="H7" i="16" s="1"/>
  <c r="I7" i="16" s="1"/>
  <c r="J7" i="16" s="1"/>
  <c r="K7" i="16" s="1"/>
  <c r="L7" i="16" s="1"/>
  <c r="M7" i="16" s="1"/>
  <c r="N7" i="16" s="1"/>
  <c r="O7" i="16" s="1"/>
  <c r="C16" i="16"/>
  <c r="D16" i="16" s="1"/>
  <c r="E16" i="16" s="1"/>
  <c r="F16" i="16" s="1"/>
  <c r="G16" i="16" s="1"/>
  <c r="H16" i="16" s="1"/>
  <c r="I16" i="16" s="1"/>
  <c r="J16" i="16" s="1"/>
  <c r="K16" i="16" s="1"/>
  <c r="L16" i="16" s="1"/>
  <c r="M16" i="16" s="1"/>
  <c r="N16" i="16" s="1"/>
  <c r="O16" i="16" s="1"/>
  <c r="C13" i="4"/>
  <c r="D13" i="4" s="1"/>
  <c r="E13" i="4" s="1"/>
  <c r="F13" i="4" s="1"/>
  <c r="G13" i="4" s="1"/>
  <c r="H13" i="4" s="1"/>
  <c r="I13" i="4" s="1"/>
  <c r="J13" i="4" s="1"/>
  <c r="C13" i="8"/>
  <c r="D13" i="8" s="1"/>
  <c r="E13" i="8" s="1"/>
  <c r="F13" i="8" s="1"/>
  <c r="G13" i="8" s="1"/>
  <c r="H13" i="8" s="1"/>
  <c r="I13" i="8" s="1"/>
  <c r="J13" i="8" s="1"/>
  <c r="C30" i="12"/>
  <c r="D30" i="12" s="1"/>
  <c r="E30" i="12" s="1"/>
  <c r="F30" i="12" s="1"/>
  <c r="G30" i="12" s="1"/>
  <c r="H30" i="12" s="1"/>
  <c r="I30" i="12" s="1"/>
  <c r="J30" i="12" s="1"/>
  <c r="K30" i="12" s="1"/>
  <c r="L30" i="12" s="1"/>
  <c r="M30" i="12" s="1"/>
  <c r="N30" i="12" s="1"/>
  <c r="O30" i="12" s="1"/>
  <c r="P30" i="12" s="1"/>
  <c r="Q30" i="12" s="1"/>
  <c r="R30" i="12" s="1"/>
  <c r="D7" i="12"/>
  <c r="E7" i="12" s="1"/>
  <c r="F7" i="12" s="1"/>
  <c r="G7" i="12" s="1"/>
  <c r="H7" i="12" s="1"/>
  <c r="I7" i="12" s="1"/>
  <c r="J7" i="12" s="1"/>
  <c r="K7" i="12" s="1"/>
  <c r="L7" i="12" s="1"/>
  <c r="M7" i="12" s="1"/>
  <c r="N7" i="12" s="1"/>
  <c r="O7" i="12" s="1"/>
  <c r="P7" i="12" s="1"/>
  <c r="Q7" i="12" s="1"/>
  <c r="R7" i="12" s="1"/>
  <c r="S7" i="12" s="1"/>
  <c r="B5" i="1"/>
  <c r="B6" i="1"/>
  <c r="B7" i="1"/>
  <c r="D11" i="13"/>
  <c r="F23" i="13"/>
  <c r="D11" i="5"/>
  <c r="B4" i="1"/>
  <c r="C4" i="1" s="1"/>
  <c r="C5" i="1" s="1"/>
  <c r="C6" i="1" s="1"/>
  <c r="C7" i="1" s="1"/>
  <c r="R10" i="21"/>
  <c r="D11" i="9"/>
  <c r="E11" i="9" l="1"/>
  <c r="D6" i="8"/>
  <c r="G23" i="13"/>
  <c r="E23" i="12"/>
  <c r="D6" i="4"/>
  <c r="E11" i="5"/>
  <c r="E11" i="13"/>
  <c r="D6" i="12"/>
  <c r="F11" i="13" l="1"/>
  <c r="E6" i="12"/>
  <c r="E6" i="4"/>
  <c r="F11" i="5"/>
  <c r="H23" i="13"/>
  <c r="F23" i="12"/>
  <c r="F11" i="9"/>
  <c r="E6" i="8"/>
  <c r="G11" i="9" l="1"/>
  <c r="F6" i="8"/>
  <c r="I23" i="13"/>
  <c r="G23" i="12"/>
  <c r="F6" i="4"/>
  <c r="G11" i="5"/>
  <c r="G11" i="13"/>
  <c r="F6" i="12"/>
  <c r="H11" i="13" l="1"/>
  <c r="G6" i="12"/>
  <c r="G6" i="4"/>
  <c r="H11" i="5"/>
  <c r="J23" i="13"/>
  <c r="H23" i="12"/>
  <c r="G6" i="8"/>
  <c r="H11" i="9"/>
  <c r="H6" i="8" l="1"/>
  <c r="I11" i="9"/>
  <c r="H6" i="4"/>
  <c r="I11" i="5"/>
  <c r="K23" i="13"/>
  <c r="I23" i="12"/>
  <c r="I11" i="13"/>
  <c r="H6" i="12"/>
  <c r="J11" i="13" l="1"/>
  <c r="I6" i="12"/>
  <c r="L23" i="13"/>
  <c r="J23" i="12"/>
  <c r="I6" i="4"/>
  <c r="J11" i="5"/>
  <c r="I6" i="8"/>
  <c r="J11" i="9"/>
  <c r="M23" i="13" l="1"/>
  <c r="K23" i="12"/>
  <c r="J6" i="8"/>
  <c r="K11" i="9"/>
  <c r="J6" i="4"/>
  <c r="K11" i="5"/>
  <c r="K11" i="13"/>
  <c r="J6" i="12"/>
  <c r="L11" i="13" l="1"/>
  <c r="K6" i="12"/>
  <c r="N23" i="13"/>
  <c r="L23" i="12"/>
  <c r="O23" i="13" l="1"/>
  <c r="M23" i="12"/>
  <c r="M11" i="13"/>
  <c r="L6" i="12"/>
  <c r="N11" i="13" l="1"/>
  <c r="M6" i="12"/>
  <c r="P23" i="13"/>
  <c r="N23" i="12"/>
  <c r="O23" i="12" l="1"/>
  <c r="Q23" i="13"/>
  <c r="N6" i="12"/>
  <c r="O11" i="13"/>
  <c r="P23" i="12" l="1"/>
  <c r="R23" i="13"/>
  <c r="O6" i="12"/>
  <c r="P11" i="13"/>
  <c r="S23" i="13" l="1"/>
  <c r="Q23" i="12"/>
  <c r="Q11" i="13"/>
  <c r="P6" i="12"/>
  <c r="R11" i="13" l="1"/>
  <c r="Q6" i="12"/>
  <c r="T23" i="13"/>
  <c r="R23" i="12"/>
  <c r="S11" i="13" l="1"/>
  <c r="S6" i="12" s="1"/>
  <c r="R6"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45" authorId="0" shapeId="0" xr:uid="{00000000-0006-0000-0100-000002000000}">
      <text>
        <r>
          <rPr>
            <sz val="10"/>
            <color rgb="FF000000"/>
            <rFont val="Arial"/>
            <scheme val="minor"/>
          </rPr>
          <t>MUERTE 2
	-Francisco Torres
----
MUERTE
	-Francisco Torres</t>
        </r>
      </text>
    </comment>
    <comment ref="B96" authorId="0" shapeId="0" xr:uid="{00000000-0006-0000-0100-000001000000}">
      <text>
        <r>
          <rPr>
            <sz val="10"/>
            <color rgb="FF000000"/>
            <rFont val="Arial"/>
            <scheme val="minor"/>
          </rPr>
          <t>Eliminable
	-Francisco Torres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<sst xmlns="http://schemas.openxmlformats.org/spreadsheetml/2006/main" count="1774" uniqueCount="543">
  <si>
    <t xml:space="preserve">Incremento </t>
  </si>
  <si>
    <t>Porcentaje</t>
  </si>
  <si>
    <t>Porcentaje Acumulado</t>
  </si>
  <si>
    <t>Cantidad de Casos de Uso</t>
  </si>
  <si>
    <t>Total CU</t>
  </si>
  <si>
    <t>Product Backlog</t>
  </si>
  <si>
    <t>Estimado</t>
  </si>
  <si>
    <t>Real</t>
  </si>
  <si>
    <t>Proyecto</t>
  </si>
  <si>
    <t>Incremento</t>
  </si>
  <si>
    <t>Sprint</t>
  </si>
  <si>
    <t>Caso de Uso Extendido</t>
  </si>
  <si>
    <t>Actividades</t>
  </si>
  <si>
    <t>Responsable</t>
  </si>
  <si>
    <t>Estimar HH</t>
  </si>
  <si>
    <t>Estado</t>
  </si>
  <si>
    <t>Objetivo del Sprint</t>
  </si>
  <si>
    <t xml:space="preserve"> Inicio</t>
  </si>
  <si>
    <t>Fin</t>
  </si>
  <si>
    <t>HH Efectivas</t>
  </si>
  <si>
    <t xml:space="preserve">8.1.1 Iniciando sesión en el sistema </t>
  </si>
  <si>
    <t>Diseñar y desarrollar el formulario de login.</t>
  </si>
  <si>
    <t>Geronimo Lopez</t>
  </si>
  <si>
    <t>Terminado</t>
  </si>
  <si>
    <t>Realizar el diseño del login junto con sus conexiones y llamadas a la BD</t>
  </si>
  <si>
    <t>Implementar validación de formato y de credenciales contra base de datos.</t>
  </si>
  <si>
    <t xml:space="preserve">Aplicar las validaciones de formato para correo y pwd, junto con las de credenciales </t>
  </si>
  <si>
    <t>Redireccionar a vista según rol del usuario.</t>
  </si>
  <si>
    <t>Redireccionar a la vista del rol definido en la BD, inmediatamente después de ingresar</t>
  </si>
  <si>
    <t>Registrar evento de inicio de sesión en logs.</t>
  </si>
  <si>
    <t>Guardar en los logs de auditoría y en la info interna de usuarios, los registros de inicio de sesión</t>
  </si>
  <si>
    <t>8.2.1 Recuperando contraseña olvidada</t>
  </si>
  <si>
    <t>Diseñar botón y flujo de “¿Olvidó su contraseña?”.</t>
  </si>
  <si>
    <t>Agregar al diseño del login la entrada al flujo del recuperacion de contraseña, y diseñar el flujo correspondiente</t>
  </si>
  <si>
    <t>Implementar validación de existencia del correo electrónico.</t>
  </si>
  <si>
    <t>Consultar en la BD si existe el correo de la persona que quiere recuperar contraseña</t>
  </si>
  <si>
    <t>Generar contraseña temporal de recuperación.</t>
  </si>
  <si>
    <t>Generar la password, que sea segura al ser una combinación de número, letras y caracteres especiales</t>
  </si>
  <si>
    <t>Enviar correo con la contraseña temporal.</t>
  </si>
  <si>
    <t xml:space="preserve">Diseñar y enviar el mensaje con la nueva contraseña al correo de la persona </t>
  </si>
  <si>
    <t>Validar contraseña y permitir ingreso con nueva contraseña.</t>
  </si>
  <si>
    <t>Realizar el cambio de pwd en la BD, y así validar cuando entre con la contraseña nueva</t>
  </si>
  <si>
    <t>8.3.1 Expirando sesión tras 16 horas</t>
  </si>
  <si>
    <t>Registrar hora de inicio de sesión.</t>
  </si>
  <si>
    <t>Cuando inicie sesión la persona, tomar un timestamp del momento en que ingresó</t>
  </si>
  <si>
    <t>Implementar monitoreo de duración de sesión.</t>
  </si>
  <si>
    <t>Hacer que el sistema sea capaz de monitorear la sesión, sabiendo su tiempo de sesión actual</t>
  </si>
  <si>
    <t>Forzar cierre de sesión a las 16 horas.</t>
  </si>
  <si>
    <t>En base al monitoreo, forzar salida de sesión cuando se detecten las 16 horas</t>
  </si>
  <si>
    <t>Mostrar mensaje de expiración y redirigir al login.</t>
  </si>
  <si>
    <t>Cuando suceda lo anterior, mostrar un mensaje al usuario y redirigir a la vista de inicio de sesión</t>
  </si>
  <si>
    <t>4.1.1 Registrando un nuevo equipo (Registro)</t>
  </si>
  <si>
    <t>Diseñar formulario de registro de equipo (marca, modelo, número de serie, tipo, descripción, cliente).</t>
  </si>
  <si>
    <t>Samir Saud</t>
  </si>
  <si>
    <t>Diseñar el formulario del registro de equipo para el proceso de reparación, incluyendo los campos mencionados</t>
  </si>
  <si>
    <t>Validar que el número de serie no exista en la base de datos y los campos obligatorios.</t>
  </si>
  <si>
    <t>Revisar el número de serie al momento de ser ingresado, para decidir si ir a CU 4.2.1, luego validar los otros campos</t>
  </si>
  <si>
    <t>Registrar equipo y asociarlo al cliente (usar cliente único durante entorno de desarrollo).</t>
  </si>
  <si>
    <t>Registrar lo ingresado en el formulario en la base de datos, vinculando a un cliente en la BD (usar un cliente estático en desarrollo)</t>
  </si>
  <si>
    <t>Generar automáticamente una orden de trabajo inicial y almacenarla</t>
  </si>
  <si>
    <t>Generar la orden de trabajo con los datos ingresados, almacenarlo en la BD</t>
  </si>
  <si>
    <t>4.2.1 Generando orden de trabajo asociada a equipo ya ingresado (Registro)</t>
  </si>
  <si>
    <t>Detectar qué equipo ya está registrado al ingresar el número de serie.</t>
  </si>
  <si>
    <t>Detectar que el número de serie ingresado ya existe en la BD</t>
  </si>
  <si>
    <t>Autocompletar datos del equipo y cliente al acceder, y notificar al usuario de que se encontró un equipo ya existente</t>
  </si>
  <si>
    <t>Luego, consultar en la BD la info del equipo, utilizando los datos para autocompletar el formulario, para luego notificar al usuario de que ya existe el equipo</t>
  </si>
  <si>
    <t>Generar orden de trabajo (número único, estado “Recibido”) y almacenarla</t>
  </si>
  <si>
    <t>Generar una nueva orden de trabajo con los datos ingresados, almacenarlo en la BD</t>
  </si>
  <si>
    <t>4.3.1 Mostrando alerta de registro exitoso de equipo (Registro)</t>
  </si>
  <si>
    <t>Diseñar e implementar alerta visual (popup o toast) para mensaje de éxito.</t>
  </si>
  <si>
    <t>Diseñar una alerta visual para cuando se genera la orden</t>
  </si>
  <si>
    <t>Incluir en el mensaje: “Equipo registrado exitosamente” y “Orden de trabajo generada con número: [ID]” y otra información relevante.</t>
  </si>
  <si>
    <t>Agregar la información pertinente al equipo y la orden de trabajo en la alerta visual diseñada</t>
  </si>
  <si>
    <t>Asegurar que la alerta se active automáticamente tras registrar equipo y generar orden.</t>
  </si>
  <si>
    <t>Luego de 4.1.1 o 4.2.1, hacer que el sistema muestre la alerta diseñada</t>
  </si>
  <si>
    <t>2.1.1 Visualizando información principal de los equipos (Laboratorio)</t>
  </si>
  <si>
    <t>Crear vista para técnicos del laboratorio con listado de equipos</t>
  </si>
  <si>
    <t>Bastian Benitez</t>
  </si>
  <si>
    <t>Crear la vista genera de Gestión de Órdenes del personal de laboratorio</t>
  </si>
  <si>
    <t>Mostrar campos: marca, modelo, cliente, estado, prioridad, fecha de ingreso.</t>
  </si>
  <si>
    <t>Incluir en esa vista la información del equipo y orden más importante para el rol</t>
  </si>
  <si>
    <t>Mostrar los botones de interacción: ver informe, ver cotizacion, crear cotización, ver historial de equipo y crear informe</t>
  </si>
  <si>
    <t>Agregar los botones de interacción posibles, solo visualmente, la funcionalidad se integra cuando las secciones correspondientes estén listas</t>
  </si>
  <si>
    <t>Asegurar actualización en tiempo real o con recarga controlada</t>
  </si>
  <si>
    <t>Implementar que el sistema actualice en tiempo real (o pseudoreal, con un timer corto) los cambio en la BD de los equipos y órdenes</t>
  </si>
  <si>
    <t>3.1.1 Visualizando información principal de los equipos (Recepción)</t>
  </si>
  <si>
    <t>Crear vista para recepción con listado de equipos</t>
  </si>
  <si>
    <t>Mostrar marca, modelo, cliente, estado actual, prioridad y fecha.</t>
  </si>
  <si>
    <t>Mostrar los botones de interacción: ver informe, ver cotización, aprobar cotizacion, rechazar cotizacion y ver historial de equipo</t>
  </si>
  <si>
    <t>2.2.1 Visualizando Informe Técnico de un Equipo (Laboratorio)</t>
  </si>
  <si>
    <t>Habilitar opción “Visualizar Informe Técnico” solo si el informe existe.</t>
  </si>
  <si>
    <t>Manuel Vidal</t>
  </si>
  <si>
    <t>Activar el botón cuando el campo de la BD de la orden tenga un informe relacionado</t>
  </si>
  <si>
    <t>Mostrar contenido del informe en vista interna legible.</t>
  </si>
  <si>
    <t>Al presionar el botón, aparezca una vista del informe técnico (no necesariamente PDF), con los datos guardados en la BD</t>
  </si>
  <si>
    <t>2.2.2 Visualizando Cotización de un Equipo(Laboratorio)</t>
  </si>
  <si>
    <t>Habilitar opción “Visualizar Cotizacion” solo si la Cotización existe.</t>
  </si>
  <si>
    <t>Eliam Rivas</t>
  </si>
  <si>
    <t>Activar el botón cuando el campo de la BD de la orden tenga una cotización relacionada</t>
  </si>
  <si>
    <t>Mostrar contenido de la cotización en vista interna legible.</t>
  </si>
  <si>
    <t>Al presionar el botón, aparezca una vista de cotización (no necesariamente PDF), con los datos guardados en la BD</t>
  </si>
  <si>
    <t>3.2.1 Visualizando Informe Técnico de un equipo (Recepción)</t>
  </si>
  <si>
    <t>3.2.2 Visualizando Cotización de un equipo (Recepción)</t>
  </si>
  <si>
    <t xml:space="preserve">6.1.1 Generando informe de reparación </t>
  </si>
  <si>
    <t>Diseñar el formulario de creación de informe técnico.</t>
  </si>
  <si>
    <t xml:space="preserve">Realizar el diseño del formulario para el informe técnico, incluyendo los campos necesarios </t>
  </si>
  <si>
    <t>Autocompletar datos del equipo y cliente al acceder.</t>
  </si>
  <si>
    <t>Autocompletar los datos del equipo, orden y cliente correspondiente, a través de una consulta en la BD</t>
  </si>
  <si>
    <t>Permitir ingresar diagnóstico, trabajos realizados, repuestos y observaciones en un formato intuitivo</t>
  </si>
  <si>
    <t>Asegurar que el diseño del formulario sea intuitivo y fácil de implementar para las medidas de evaluación y el ingreso en la tabla de piezas utilizadas</t>
  </si>
  <si>
    <t>Validar campos obligatorios antes de continuar e implementar mensaje de error cuando falle</t>
  </si>
  <si>
    <t>Implementar validación en los campos y diseñar alertas de error, aplicándolas cuando la validación falle en algún campo</t>
  </si>
  <si>
    <t>Mostrar vista previa del informe técnico</t>
  </si>
  <si>
    <t>Luego de completar y antes de pasar a la etapa de "Confirmación (6.3.1)", mostrar una vista previa del informe técnico con los datos ingresados</t>
  </si>
  <si>
    <t xml:space="preserve">6.3.1 Confirmando generación de informe </t>
  </si>
  <si>
    <t>Implementar el botón de confirmación y luego de presionarlo solicitar confirmación del usuario.</t>
  </si>
  <si>
    <t>Implementar el flujo de confirmar la generación del informe, primero con un botón, que abre otra confirmación (ej modal), que pregunta "Estas seguro" o algo similar</t>
  </si>
  <si>
    <t>Bloquear el informe para futuras ediciones.</t>
  </si>
  <si>
    <t>En la realidad, el informe existe en forma de borrador, luego de confirmar ya no puede ser modificado</t>
  </si>
  <si>
    <t>Generar el informe, almacenar en la base de datos y asociarlo a la orden correspondiente</t>
  </si>
  <si>
    <t>Generar el informe en la base de datos si por alguna razón no existe, asociarlo a la orden correspondiente</t>
  </si>
  <si>
    <t>Cambiar estado de la orden de trabajo a “Espera de Retiro”.</t>
  </si>
  <si>
    <t>Cambiar el estado de la orden de trabajo asociada</t>
  </si>
  <si>
    <t>Registrar la fecha y hora de confirmación junto con la actividad en los logs.</t>
  </si>
  <si>
    <t>Registrar el evento como un registro de auditoría en la bd</t>
  </si>
  <si>
    <t>Mostrar mensaje de éxito</t>
  </si>
  <si>
    <t>Diseñar y mostrar el mensaje de éxito, dando información sobre el informe creado</t>
  </si>
  <si>
    <t>5.1.1 Generando nueva cotización</t>
  </si>
  <si>
    <t>Diseñar el formulario de creación de cotización.</t>
  </si>
  <si>
    <t>Autocompletar datos del equipo y cliente al acceder a la sección.</t>
  </si>
  <si>
    <t>Permitir ingresar: mano de obra, repuestos, observaciones, condiciones.</t>
  </si>
  <si>
    <t>Asegurar que el diseño del formulario sea intuitivo y fácil de implementar los precios, observaciones, y la tabla de repuestos</t>
  </si>
  <si>
    <t>Validar que no exista cotización previa activa.</t>
  </si>
  <si>
    <t>Revisar que la orden de trabajo tenga una cotización previa conectada a ella, evitando sobrescribir información útil.</t>
  </si>
  <si>
    <t>Validar campos obligatorios y formatos, e implementar mensaje de error cuando falle.</t>
  </si>
  <si>
    <t>Mostrar vista previa de la cotización</t>
  </si>
  <si>
    <t>Luego de completar y antes de pasar a la etapa de "Confirmación (5.4.1)", mostrar una vista previa del informe técnico con los datos ingresados</t>
  </si>
  <si>
    <t>5.4.1 Confirmando creación de cotización</t>
  </si>
  <si>
    <t>Implementar el flujo de confirmar la generación de cotización, primero con un botón, que abre otra confirmación (ej modal), que pregunta "Estas seguro" o algo similar</t>
  </si>
  <si>
    <t>Generar la cotización, almacenar en la base de datos y asociarlo a la orden correspondiente</t>
  </si>
  <si>
    <t>Generar la cotización en la base de datos si por alguna razón no existe, asociarlo a la orden correspondiente</t>
  </si>
  <si>
    <t>Cambiar estado de la orden de trabajo a “Cotización Enviada”.</t>
  </si>
  <si>
    <t>Diseñar y mostrar el mensaje de éxito, dando información sobre la cotización creada</t>
  </si>
  <si>
    <t>4.4.1 Enviando correo de notificación a laboratorio (Registro)</t>
  </si>
  <si>
    <t>Detectar evento de registro exitoso de equipo y generación de orden de trabajo.</t>
  </si>
  <si>
    <t>Hacer que el sistema reconozca la creación de una nueva orden de trabajo</t>
  </si>
  <si>
    <t xml:space="preserve">Recopilar automáticamente los siguientes datos: fecha, cliente, modelo, marca. id orden de trabajo y descripción del problema </t>
  </si>
  <si>
    <t>Recopilar aparte la información importante de la orden para laboratorio</t>
  </si>
  <si>
    <t>Generar correo con asunto estándar (“Nueva Orden de Trabajo Generada”) y redactar el cuerpo con los datos anteriores y mensaje dirigido al laboratorio.</t>
  </si>
  <si>
    <t>En base a la información anterior, preparar el cuerpo y asunto del correo</t>
  </si>
  <si>
    <t>Enviar el correo a los destinatarios correspondientes del laboratorio.</t>
  </si>
  <si>
    <t>Efectivamente enviar el correo, actualmente usamos Resend en entorno de desarrollo pero creo que puede cambiar si usamos la SMTP de Toscanini</t>
  </si>
  <si>
    <t>Registrar el evento de envío en el log del sistema para trazabilidad.</t>
  </si>
  <si>
    <t>Registrar el evento en los logs, en específico el timestamp de cuando se mandó, y los detalles del envío</t>
  </si>
  <si>
    <t>3.3.1 Aprobando cotización de un equipo</t>
  </si>
  <si>
    <t>Implementar botón para la aprobación de la cotización, y que esté habilitado sólo si la cotización la orden de trabajo asociada está en estado "Cotización Enviada"</t>
  </si>
  <si>
    <t>Implementar el botón para la aprobación después de la comunicación del cliente, asegurando que esté habilitado para las órdenes válidas</t>
  </si>
  <si>
    <t>Implementar la confirmación de la aprobación de la cotización, que puede ser en forma de modal</t>
  </si>
  <si>
    <t>Diseñar la interfaz de la confirmación</t>
  </si>
  <si>
    <t>Cambiar el estado de la orden de trabajo a "En reparación"</t>
  </si>
  <si>
    <t>Asegurar que se realice el cambio de estado en la BD</t>
  </si>
  <si>
    <t>Registrar el evento en el log del sistema</t>
  </si>
  <si>
    <t>Registrar en los logs para auditoría</t>
  </si>
  <si>
    <t>Diseñar mensaje de confirmación luego de la realización de la acción de forma correcta, y su implementación</t>
  </si>
  <si>
    <t>Mostrar un mensaje que confirme al usuario que el proceso fue exitoso</t>
  </si>
  <si>
    <t>3.3.2 Rechazando cotización de un equipo</t>
  </si>
  <si>
    <t>Implementar botón para el rechazo de la cotización, y que esté habilitado sólo si la cotización la orden de trabajo asociada está en estado "Cotización Enviada"</t>
  </si>
  <si>
    <t>Implementar el botón para el rechazo después de la comunicación del cliente, asegurando que esté habilitado para las órdenes válidas</t>
  </si>
  <si>
    <t>Implementar la confirmación del rechazo de la cotización, que puede ser en forma de modal. Además, incluir un campo opcional para ingresar el motivo del rechazo</t>
  </si>
  <si>
    <t>Diseñar la interfaz del rechazo, incluyendo campos opcionales de motivos</t>
  </si>
  <si>
    <t>Cambiar el estado de la orden de trabajo a "Cotización Rechazada"</t>
  </si>
  <si>
    <t>2.2.4 Declarando Equipo como No Reparable (Laboratorio)</t>
  </si>
  <si>
    <t>Implementar botón para la declaración de no reparable, y que esté habilitado sólo si la cotización la orden de trabajo asociada está en estado "Recibido"</t>
  </si>
  <si>
    <t>Implementar el botón para la declaración luego del análisis del Técnico, asegurando que esté habilitado para las órdenes válidas</t>
  </si>
  <si>
    <t>Implementar la confirmación de la declaración de abandono, que puede ser en forma de modal. Además, incluir un campo opcional para ingresar justificación o comentarios</t>
  </si>
  <si>
    <t>Cambiar el estado de la orden de trabajo a "No Reparable"</t>
  </si>
  <si>
    <t>3.2.4 Declarando Equipo como Abandonado (Recepción)</t>
  </si>
  <si>
    <t>Implementar botón para la declaración de abandono, y que esté habilitado sólo si la cotización la orden de trabajo asociada NO está en estado "Recibido" y ha pasado el tiempo necesario desde su creación original</t>
  </si>
  <si>
    <t>Implementar el botón para la declaración luego del análisis del usuario, asegurando que esté habilitado para las órdenes válidas</t>
  </si>
  <si>
    <t>Cambiar el estado de la orden de trabajo a "Abandonado"</t>
  </si>
  <si>
    <t>2.5.1 Notificando por cotización no realizada</t>
  </si>
  <si>
    <t>Implementar revision de ordenes de trabajo en estado "Recibido", cuales NO tengan cotización asociada en 2 días hábiles desde su creación</t>
  </si>
  <si>
    <t>Francisco Torres</t>
  </si>
  <si>
    <t>Implementar una revisión periódica de los datos de la BD, buscando si existen órdenes que cumplan los requerimientos</t>
  </si>
  <si>
    <t>Diseñar notificación de cotización no realizada, debe incluir: tiempo transcurrido, identificación del equipo/orden de trabajo, fecha de ingreso</t>
  </si>
  <si>
    <t>Diseñar la notificación con la información de utilidad para el técnico, con el objetivo que tenga la información necesaria para considerar qué hacer</t>
  </si>
  <si>
    <t>Mostrar la notificación en la interfaz del usuario si su rol es técnico de laboratorio</t>
  </si>
  <si>
    <t>Asegurar que aparezca la notificación en la interfaz del sistema</t>
  </si>
  <si>
    <t>2.5.2 Notificando por cotización no enviada</t>
  </si>
  <si>
    <t>Implementar revision de ordenes de trabajo en estado "Recibido", las cuales tengan 3 días hábiles de antigüedad.</t>
  </si>
  <si>
    <t>Diseñar notificación de cotización no enviada, debe incluir: tiempo de retraso, identificación del equipo/orden de trabajo, fecha de ingreso</t>
  </si>
  <si>
    <t>2.5.3 Notificando por alta prioridad no atendida</t>
  </si>
  <si>
    <t>Implementar revision de ordenes de trabajo en estado "Recibido" con prioridad "Alta", cuales NO tengan cotización asociada o cambio de estado en 24 horas hábiles desde su creación.</t>
  </si>
  <si>
    <t>Diseñar notificación de recordatorio de atención, debe incluir: tiempo transcurrido, identificación del equipo/orden de trabajo, fecha de ingreso</t>
  </si>
  <si>
    <t>3.2.3 Visualizando Historial de un equipo (Recepción)</t>
  </si>
  <si>
    <t>Implementar botón de "Visualizar Historial" en la vista de los equipos</t>
  </si>
  <si>
    <t>Implementar el botón en la interfaz, en la vista de equipos</t>
  </si>
  <si>
    <t>Diseñar vista del historial del equipo, mostrando: fecha de ingreso, las órdenes de trabajo asociadas junto con sus cotizaciones, informes técnicos y cambios de estado</t>
  </si>
  <si>
    <t>Diseñar la vista, tiene que incluir el pasado del equipo, con todos los documentos asociados. De alguna manera debe quedar comprensible</t>
  </si>
  <si>
    <t>Asegurar que la información a visualizar este ordenada cronológicamente</t>
  </si>
  <si>
    <t>Mostrar en orden cronológico, siguiendo el objetivo de historial</t>
  </si>
  <si>
    <t>2.2.3 Visualizando Historial de Equipo (Laboratorio)</t>
  </si>
  <si>
    <t>2.4.1 Visualizando Estados Críticos (Laboratorio)</t>
  </si>
  <si>
    <t>Desarrollar revisión de las órdenes de trabajo, obteniendo información del tiempo de ingreso sin cotización, tiempo desde aprobación sin reparación, prioridad de la orden</t>
  </si>
  <si>
    <t>Implementar una revisión periódica de los datos de la BD, la información relevante de la orden de trabajo y el equipo</t>
  </si>
  <si>
    <t>Implementar un método para destacar visualmente la orden de trabajo, si supera umbrales de tiempo o prioridad establecidos</t>
  </si>
  <si>
    <t>Diseñar el elemento visual que mostrará al usuario los estados relevantes de la orden o el equipo</t>
  </si>
  <si>
    <t>Asegurar actualización dinámica de los cambios visuales</t>
  </si>
  <si>
    <t>Implementar la revisión periódica de los pasos anteriores</t>
  </si>
  <si>
    <t>2.3.1 Filtrando órdenes por Fecha (Laboratorio)</t>
  </si>
  <si>
    <t>Diseñar menú de filtrado de órdenes de trabajo y opción de fecha, donde pueda seleccionar una fecha o un rango de fechas de ingreso</t>
  </si>
  <si>
    <t>Diseñar el menú o interfaz de filtrado, que incluya todos los filtros posibles y el filtro de este caso de uso</t>
  </si>
  <si>
    <t>Implementar la funcionalidad del filtro, cumpliendo las condiciones seleccionadas</t>
  </si>
  <si>
    <t>Asegurar el funcionamiento del filtro, realizando una nueva llamada en la BD</t>
  </si>
  <si>
    <t>Agregar la funcionalidad de eliminar el filtro, llevando a la recarga del listado completo</t>
  </si>
  <si>
    <t>Implementar la eliminación del filtro, agregando a la usabilidad del sistema junto con el uso simultáneo de filtros</t>
  </si>
  <si>
    <t>2.3.2 Filtrando órdenes por Prioridad (Laboratorio)</t>
  </si>
  <si>
    <t>Diseñar filtrado por prioridad, donde pueda seleccionar, por medio de checkbox o similar, las prioridades a filtrar</t>
  </si>
  <si>
    <t>Diseñar el elemento interactivo para el filtrado, incluyendo dentro del menú de filtros</t>
  </si>
  <si>
    <t>2.3.3 Filtrando órdenes por Marca (Laboratorio)</t>
  </si>
  <si>
    <t>Diseñar filtrado por marca, donde pueda seleccionar, por medio de radiobuttons o similar, la marca con la que filtrar</t>
  </si>
  <si>
    <t>2.3.4 Filtrando órdenes por Modelo (Laboratorio)</t>
  </si>
  <si>
    <t>Diseñar filtrado por modelo, donde pueda seleccionar, por medio de texto, el modelo con el que filtrar</t>
  </si>
  <si>
    <t>2.3.5 Filtrando órdenes por Cliente (Laboratorio)</t>
  </si>
  <si>
    <t>Diseñar filtrado por Cliente, donde pueda seleccionar, por medio de una lista combobox o texto, el cliente con el que filtrar</t>
  </si>
  <si>
    <t>3.4.1 Filtrando órdenes por Fecha (Recepción)</t>
  </si>
  <si>
    <t>3.4.2 Filtrando órdenes por Prioridad (Recepción)</t>
  </si>
  <si>
    <t>3.4.3 Filtrando órdenes por Marca (Recepción)</t>
  </si>
  <si>
    <t>3.4.4 Filtrando órdenes por Modelo (Recepción)</t>
  </si>
  <si>
    <t>3.4.5 Filtrando órdenes por Cliente (Recepción)</t>
  </si>
  <si>
    <t>4.4.2 Enviando correo de confirmación al cliente</t>
  </si>
  <si>
    <t>Diseñar correo electrónico de confirmación al cliente, que contenga: nombre de cliente, código orden de trabajo, marca y modelo del equipo, número de serie, fecha de ingreso, preinforme, mensaje de agradecimiento y siguientes pasos</t>
  </si>
  <si>
    <t>Preparar el esqueleto del correo electrónico, que luego se le adjuntan los datos correspondientes a la orden de trabajo generada y el equipo asociado</t>
  </si>
  <si>
    <t>Enviar correo electrónico cuando la orden de trabajo sea generada correctamente</t>
  </si>
  <si>
    <t>Asegurar el envío del correo electrónico</t>
  </si>
  <si>
    <t>Asegurar que se autocomplete la información de la orden de trabajo de forma correcta</t>
  </si>
  <si>
    <t>Revisar que la información del correo enviada sea la que corresponda a la orden de trabajo asociada</t>
  </si>
  <si>
    <t>Registrar el evento de envío del correo electrónico en el log del sistema para trazabilidad.</t>
  </si>
  <si>
    <t>Registrar en los logs de auditoría el envío del correo electrónico</t>
  </si>
  <si>
    <t>5.3.1 Generando y visualizando documento en PDF</t>
  </si>
  <si>
    <t>Habilitar Botón "Generar PDF" para los secciones de redacción o lectura de las cotizaciones o informes</t>
  </si>
  <si>
    <t>Agregar el botón de generar PDF en los informes de trabajo y las cotizaciones</t>
  </si>
  <si>
    <t>Desarrollar lógica en el Backend para la Creación del documento PDF</t>
  </si>
  <si>
    <t>Implementar la creación del PDF en si en el backend, incluyendo la información necesaria</t>
  </si>
  <si>
    <t>Habilitar la Opcion de descarga del documento PDF tras su generación, permitiendo al usuario guardarlo en cualquier lugar de su dispositivo.</t>
  </si>
  <si>
    <t>Asegurar que sea posible descargar el documento PDF generado</t>
  </si>
  <si>
    <t>3.5.1 Visualizando información de clientes registrados</t>
  </si>
  <si>
    <t>Diseñar la interfaz de lista de clientes en solo lectura (RUN/RUT, nombre/razón social, correo, teléfono, dirección).</t>
  </si>
  <si>
    <t>Diseñar la sección del dashboard con la vista de clientes, incluyendo la información del cliente relevante</t>
  </si>
  <si>
    <t>Desarrollar navegación al detalle del cliente (equipos, órdenes, cotizaciones, informes).</t>
  </si>
  <si>
    <t>Incluir un botón para ingresar al detalle del cliente, con los documentos asociados obtenidos de la información de la base de datos</t>
  </si>
  <si>
    <t>Implementar lógica de backend para listar clientes y ver detalle.</t>
  </si>
  <si>
    <t>Implementar el procesamiento de la información de la BD para el frontend</t>
  </si>
  <si>
    <t>3.6.1 Filtrando clientes por Nombre</t>
  </si>
  <si>
    <t>Diseñar filtrado por el nombre/razón social, por medio de una caja de texto</t>
  </si>
  <si>
    <t>Mostrar estados “sin coincidencias” y pruebas básicas de validación del filtro.</t>
  </si>
  <si>
    <t>Realizar la validación del filtro y su capacidad de aceptar caracteres especiales</t>
  </si>
  <si>
    <t>3.6.2 Ordenando clientes alfabéticamente</t>
  </si>
  <si>
    <t>Agregar control de orden A-Z / Z-A en la lista (UI) y persistir la elección en el sistema</t>
  </si>
  <si>
    <t>Diseñar el elemento interactivo que muestre el cambio de orden de los clientes</t>
  </si>
  <si>
    <t>Implementar en backend el parámetro sort=name:asc|desc con paginación consistente.</t>
  </si>
  <si>
    <t>Implementar la llamada a la base de datos que incluya la opción elegida por el usuario</t>
  </si>
  <si>
    <t>11.6.2 Eliminando clientes</t>
  </si>
  <si>
    <t>Implementar acción “Eliminar cliente” (eliminación lógica) en la ficha/listado de clientes con diálogo de confirmación y motivo (marcar estado “Inactivo/Eliminado”).</t>
  </si>
  <si>
    <t>Agregar el elemento en la vista que permita la eliminación del cliente, incluyendo el motivo de la acción</t>
  </si>
  <si>
    <t>Desarrollar endpoint de backend para baja lógica con validaciones: usuario con rol administrador</t>
  </si>
  <si>
    <t>Implementar los cambios en la base de datos y asegurarse que solo un administrador pueda realizar este cambio</t>
  </si>
  <si>
    <t>Ajustar consultas/listados para excluir clientes inactivos en búsquedas y operaciones habituales .</t>
  </si>
  <si>
    <t>Asegurar que los documentos asociados al cliente desactivado no incluya la información del cliente</t>
  </si>
  <si>
    <t>Registrar auditoría del evento: usuario que elimina, fecha/hora, motivo, id del cliente; mantener el registro histórico disponible.</t>
  </si>
  <si>
    <t>Registrar en los logs de auditoría la eliminación del cliente</t>
  </si>
  <si>
    <t>3.7.1 Registrando un nuevo cliente</t>
  </si>
  <si>
    <t>Diseñar e implementar el formulario “Registrar Nuevo Cliente” con campos: RUN/RUT, Nombre/Razón Social, Correo, Teléfono y Dirección.</t>
  </si>
  <si>
    <t>Implementar la vista del registro de nuevo cliente, incluyendo los campos de información necesarios</t>
  </si>
  <si>
    <t>Validar datos al guardar: formato de correo y no duplicidad de RUN/RUT y correo.</t>
  </si>
  <si>
    <t xml:space="preserve">Realizar una validación de los campos del correo electrónico, RUN/RUT </t>
  </si>
  <si>
    <t>Implementar endpoint POST /clientes para crear cliente y dejar disponible su asociación a equipos/órdenes.</t>
  </si>
  <si>
    <t>Desarrollar el sistema del backend que agregue el nuevo cliente en la base de datos</t>
  </si>
  <si>
    <t>Mostrar mensajes de resultado: éxito al registrar y errores de validación.</t>
  </si>
  <si>
    <t>Diseñar el mensaje de éxito para el usuario luego de completar el proceso</t>
  </si>
  <si>
    <t>Registrar evento de creación en trazabilidad (usuario, fecha/hora, id cliente).</t>
  </si>
  <si>
    <t>Registrar en los logs de auditoría el registro del cliente</t>
  </si>
  <si>
    <t>9.1.1 Creando un nuevo usuario</t>
  </si>
  <si>
    <t>Diseñar formulario con campos: Nombre completo, RUN/RUT, Correo electrónico, Rol del usuario (selección entre Recepcionista, Técnico, Administrador), y Teléfono (opcional).</t>
  </si>
  <si>
    <t>Implementar la vista de la creación de nuevo usuario, incluyendo los campos de información necesarios</t>
  </si>
  <si>
    <t>Implementar validación unicidad de correo y RUN/RUT, crear usuario y asignar rol (Recepcionista/Técnico/Administrador)</t>
  </si>
  <si>
    <t>Realizar una validación de los campos del correo electrónico, RUN/RUT y rol asignado</t>
  </si>
  <si>
    <t>Mostrar mensajes de éxito y errores de validación (duplicados/formato).</t>
  </si>
  <si>
    <t>(Si aplica flujo completo) Disparar 9.2.1 para generar y enviar contraseña inicial temporal al correo del nuevo usuario y registrar auditoría del envío.</t>
  </si>
  <si>
    <t>Asegurar que se ejecute el caso de 9.2.1 en el proceso</t>
  </si>
  <si>
    <t>9.2.1 Generando y enviando contraseña inicial</t>
  </si>
  <si>
    <t>Generar contraseña temporal segura y asociarla a la cuenta del nuevo usuario (mezcla de letras, números y símbolos; cumple reglas: ≥8 caracteres, 1 mayúscula, 1 número y 1 carácter especial).</t>
  </si>
  <si>
    <t>Asegurar que la contraseña creada y enviada al nuevo usuario sea segura, junto a que efectivamente esté asociada a la cuenta</t>
  </si>
  <si>
    <t>Enviar correo al nuevo usuario con: nombre de usuario, contraseña temporal e instrucciones de primer acceso incluyendo el cambio obligatorio de contraseña.</t>
  </si>
  <si>
    <t>Diseñar y enviar el correo electrónico que incluya la información relevante del nuevo usuario</t>
  </si>
  <si>
    <t>Registrar en auditoría el envío exitoso del correo y la trazabilidad asociada.</t>
  </si>
  <si>
    <t>Registrar en los logs de auditoría el envío del correo del cliente</t>
  </si>
  <si>
    <t>10.1.1 Modificar datos personales de usuario</t>
  </si>
  <si>
    <t>Diseñar pantalla “Modificar Mis Datos” con campos autorizados.</t>
  </si>
  <si>
    <t>Diseñar la nueva vista, con los campos de edición de la información del usuario</t>
  </si>
  <si>
    <t>Validar datos antes de guardar (formato de correo/teléfono; solo campos permitidos para el usuario autenticado).</t>
  </si>
  <si>
    <t>Realizar una validación de los campos ingresados</t>
  </si>
  <si>
    <t>Implementar actualización de perfil con control de autenticación y restricción a propios datos.</t>
  </si>
  <si>
    <t>Asegurar que se realicen los cambios en la base de datos</t>
  </si>
  <si>
    <t>Confirmar resultado en la UI (mensaje de éxito/error) y actualizar la información visible del perfil tras el guardado.</t>
  </si>
  <si>
    <t>10.2.1 Validando permisos para acciones de usuario</t>
  </si>
  <si>
    <t>Validar que solo los usuarios con lo roles correctos puedan realizar las acciones que les corresponde, por ejemplo un Rol técnico no puede crear un usuario, por ende no debe de ser capaz de poder ver la sección para crear o manejar a los usuario.</t>
  </si>
  <si>
    <t>Asegurar el control de las acciones realizables por cada rol, incluyendo el acceso a las vistas correspondientes</t>
  </si>
  <si>
    <t>Configurar los permisos que posee cada uno de los roles dentro de la aplicación.</t>
  </si>
  <si>
    <t>Implementar los controles de rol dentro de la aplicación</t>
  </si>
  <si>
    <t>5.2.1 Creando y gestionando términos y condiciones (Cotizaciones e Informes)</t>
  </si>
  <si>
    <t>Diseñar la interfaz del módulo de Términos y Condiciones (pantalla de listado y formulario de creación/edición).</t>
  </si>
  <si>
    <t>Diseñar el elemento visual del módulo, incluyendo los formularios de creación</t>
  </si>
  <si>
    <t>Implementar CRUD de Términos y Condiciones (crear, editar, publicar, inactivar).</t>
  </si>
  <si>
    <t xml:space="preserve">Implementar las opciones </t>
  </si>
  <si>
    <t>Registrar auditoría de acciones (usuario, acción, fecha/hora, versión).</t>
  </si>
  <si>
    <t>Registrar en los logs de auditoría la creación de los términos y condiciones</t>
  </si>
  <si>
    <t>6.2.1 Agregando términos y condiciones a documentos (Cotización / Informe Técnico)</t>
  </si>
  <si>
    <t>Implementar campo/área en la interfaz de generación de cotizaciones para añadir y editar los Términos y Condiciones.</t>
  </si>
  <si>
    <t>Añadir a la interfaz ya existente de cotización e informe la capacidad de agregar y editar los términos y condiciones</t>
  </si>
  <si>
    <t>Desarrollar la lógica de asociación: guardar los términos seleccionados o ingresados como parte del documento en edición.</t>
  </si>
  <si>
    <t>Asegurar la conexión en las tablas de base de datos</t>
  </si>
  <si>
    <t>Registrar en auditoría la acción de agregar o modificar términos y condiciones (usuario, fecha/hora, id de cotización).</t>
  </si>
  <si>
    <t>Registrar en los logs de auditoría la agregación de los términos y condiciones al documento correspondiente</t>
  </si>
  <si>
    <t>11.1.1 Visualizando equipos en vista de administrador</t>
  </si>
  <si>
    <t>Habilitar navegación desde la lista a las acciones de administración del cliente: Ver detalle, Editar, Eliminar.</t>
  </si>
  <si>
    <t>Agregar los botones correspondientes a las acciones especiales que puede realizar el administrador</t>
  </si>
  <si>
    <t>11.4.1 Visualizando clientes registrados</t>
  </si>
  <si>
    <t>Diseñar pantalla Editar cliente con campos: RUN/RUT, Nombre/Razón Social, Correo, Teléfono, Dirección, Estado (Activo/Inactivo).</t>
  </si>
  <si>
    <t>Diseñar la sección del dashboard con la vista de clientes, incluyendo la información del cliente relevante y la capacidad de edición</t>
  </si>
  <si>
    <t>Aplicar permisos: solo Administrador puede editar; mostrar mensajes claros de éxito y error en la UI.</t>
  </si>
  <si>
    <t>Asegurar que solo el administrador tenga la capacidad de editar el cliente.</t>
  </si>
  <si>
    <t>Registrar auditoría de cambios: usuario, fecha/hora, campos modificados, valor anterior y valor nuevo.</t>
  </si>
  <si>
    <t>Registrar en los logs de auditoría los cambios realizados.</t>
  </si>
  <si>
    <t>11.5.1 Filtrando clientes por nombre</t>
  </si>
  <si>
    <t>Habilitar acciones desde la ficha: Editar cliente (11.4.1) y Eliminar cliente (11.6.2), con controles de permiso para Administrador.</t>
  </si>
  <si>
    <t>Asegurar la inclusión de las capacidades especiales del administrador, incluyendo la edición del cliente y su eliminación</t>
  </si>
  <si>
    <t>11.5.2 Ordenando clientes alfabéticamente</t>
  </si>
  <si>
    <t>Asegurar que el orden se mantenga cuando se realicen nuevos cambios en la base de datos</t>
  </si>
  <si>
    <t>Realizar llamadas periódicas que actualicen la información disponible junto con el orden elegido por el usuario</t>
  </si>
  <si>
    <t>12.1.1 Registrando nuevo equipo en inventario</t>
  </si>
  <si>
    <t>Diseñar formulario con campos obligatorios: Modelo, Marca, Número de serie; opcional: Comentarios; la Fecha de ingreso se completa automáticamente por el sistema.</t>
  </si>
  <si>
    <t>Implementar la opción del registro universal del equipo, fuera del proceso de reparación</t>
  </si>
  <si>
    <t>Validar que los obligatorios estén completos y, si falla, mostrar alerta clara indicando campo afectado y motivo del error.</t>
  </si>
  <si>
    <t>Realizar las validaciones correspondientes a la adición de un equipo en la base de datos</t>
  </si>
  <si>
    <t>Implementar la creación del registro en inventario al guardar (usuario autenticado), persistiendo los datos y la fecha/hora de ingreso.</t>
  </si>
  <si>
    <t>Asegurar que se registre en la base de datos la información ingresada en la aplicación</t>
  </si>
  <si>
    <t>Registrar en auditoría la acción de agregar un nuevo equipo de manera universal.</t>
  </si>
  <si>
    <t>Registrar en los logs de auditoría la adición de un nuevo equipo</t>
  </si>
  <si>
    <t>12.2.1 Registrando salida de equipo del inventario</t>
  </si>
  <si>
    <t>“Registrar salida” desde ficha del equipo/inventario; formulario con Número de serie (obligatorio) y Motivo: Entregado al cliente, Retirado sin reparación, Declarado como abandono, Baja definitiva; pedir confirmación antes de ejecutar.</t>
  </si>
  <si>
    <t>Diseñar el formulario de salida del equipo, incluyendo los datos de este y el motivo</t>
  </si>
  <si>
    <t>Validar equipo existente y activo, aplicar transición de estado según motivo y persistir la operación.</t>
  </si>
  <si>
    <t>Realizar las validaciones correspondientes junto con los cambios en la base de datos</t>
  </si>
  <si>
    <t>Registrar en auditoría la acción la salida universal de un equipo.</t>
  </si>
  <si>
    <t>Registrar en los logs de auditoría la salida del equipo</t>
  </si>
  <si>
    <t>12.3.1 Visualizar listado de equipos universales</t>
  </si>
  <si>
    <t>Historial de movimientos: listar eventos cronológicos (ingreso, cambios de estado, salida), con fecha/hora, usuario, motivo y observaciones.</t>
  </si>
  <si>
    <t>Añadir la capacidad de ingresar al historial del equipo, incluyendo los documentos asociados pasados</t>
  </si>
  <si>
    <t>Filtros y orden: filtrar historial por tipo de evento y rango de fechas; ordenar A-Z/Z-A (por modelo) o por fecha (asc/desc).</t>
  </si>
  <si>
    <t>Incluir la funcionalidad de filtros en el listado universal de equipos</t>
  </si>
  <si>
    <t>5.4.2 Rechazando creación de cotización</t>
  </si>
  <si>
    <t>UI (previsualización/edición): añadir acción “Rechazar cotización” con modal de confirmación (opción de motivo). Solo visible si la cotización está Borrador/En Edición.</t>
  </si>
  <si>
    <t>Implementar el botón para rechazar la generación de la cotización, asegurando que esté habilitado para las cotización válidas</t>
  </si>
  <si>
    <t>Backend: endpoint que valide estado y aplique la política: marcar “Rechazada” o eliminar el registro; resolver la reserva del identificador según configuración.</t>
  </si>
  <si>
    <t>Asegurar la cancelación de otras acciones realizada en el informe</t>
  </si>
  <si>
    <t>Efectos del rechazo: no enviar cotización al cliente y no cambiar el estado de la OT. Registrar mensaje de confirmación.</t>
  </si>
  <si>
    <t>Realizar el cambio de estado en la base de datos y deshabilitar cualquier acción futura en el informe</t>
  </si>
  <si>
    <t>Auditoría y listados: registrar evento (usuario, fecha/hora, id, acción y motivo) y reflejar en listados/filtros (mostrar etiqueta Rechazada o excluir según vista).</t>
  </si>
  <si>
    <t>Registrar en los logs de auditoría el rechazo de la creación de cotización</t>
  </si>
  <si>
    <t>6.3.2 Rechazando generación de informe</t>
  </si>
  <si>
    <t>UI – Acción “Rechazar generación”: botón visible sólo si el informe está en estado Borrador o En generación; abrir modal con motivo obligatorio y confirmación.</t>
  </si>
  <si>
    <t>Implementar el botón para rechazar la generación del informe, asegurando que esté habilitado para las cotización válidas</t>
  </si>
  <si>
    <t>Validar estado permitido, cancelar job de generación si está en curso, liberar folio/identificador reservado y eliminar artefactos temporales.</t>
  </si>
  <si>
    <t>Política de efectos: marcar informe como Rechazado, no generar PDF, no enviar correos ni notificaciones; si había cola de generación, sacar el ítem.</t>
  </si>
  <si>
    <t>Auditoría y trazabilidad: registrar usuario, fecha/hora, estado previo, estado nuevo = Rechazado, motivo y id del informe.</t>
  </si>
  <si>
    <t>Registrar en los logs de auditoría el rechazo de la generación del informe</t>
  </si>
  <si>
    <t>11.2.1 Creando informe técnico (Administrador)</t>
  </si>
  <si>
    <t>Incluir el botón de creación de informe técnico en la vista de administrador.</t>
  </si>
  <si>
    <t>Agregar el botón de creación de forma visible para el usuario</t>
  </si>
  <si>
    <t>Diseñar el formulario de creación de informe técnico para el administrador y sus validaciones</t>
  </si>
  <si>
    <t>Asegurar que el formulario incluya la información necesaria para la base de datos e incluya las validaciones necesarias</t>
  </si>
  <si>
    <t>Asegurar el registro en auditoria para mantener la trazabilidad de las acciones</t>
  </si>
  <si>
    <t>Registrar en auditoria la inserción en la base de datos, incluyendo la información relevante</t>
  </si>
  <si>
    <t>Diseñar y mostrar un mensaje de éxito al completar el proceso, o un mensaje de error si falla una validación</t>
  </si>
  <si>
    <t>Mostrar un mensaje informativo para el usuario, que muestra que se genero el informe técnico</t>
  </si>
  <si>
    <t>11.2.2 Visualizando informe técnico (Administrador)</t>
  </si>
  <si>
    <t>Diseñar la vista de informe técnico para administrador, incluyendo la información detallada del documento en sí.</t>
  </si>
  <si>
    <t>Presentar los datos completos del informe técnico, incluyendo la información de la base de datos</t>
  </si>
  <si>
    <t>Asegurar la visibilidad de los botones de interacción del informe</t>
  </si>
  <si>
    <t>Incluir los botones de modificación, eliminación y generacion PDF</t>
  </si>
  <si>
    <t>11.2.3 Creando cotización (Administrador)</t>
  </si>
  <si>
    <t>Incluir el botón de creación de cotización en la vista de administrador.</t>
  </si>
  <si>
    <t>Diseñar el formulario de creación de cotización para el administrador y sus validaciones</t>
  </si>
  <si>
    <t>Mostrar un mensaje informativo para el usuario, que muestra que se generó cotización</t>
  </si>
  <si>
    <t>11.2.4 Visualizando cotización (Administrador)</t>
  </si>
  <si>
    <t>Diseñar la vista de cotización para administrador, incluyendo la información detallada del documento en sí.</t>
  </si>
  <si>
    <t>Presentar los datos completos de la cotización, incluyendo la información de la base de datos</t>
  </si>
  <si>
    <t>Asegurar la visibilidad de los botones de interacción de cotización</t>
  </si>
  <si>
    <t>Incluir los botones de aprobación, rechazo, modificación, eliminación, generación PDF y envio al cliente</t>
  </si>
  <si>
    <t>11.2.5 Visualizando historial de equipo (Administrador)</t>
  </si>
  <si>
    <t>Incluir el botón para acceder al detalle del equipo</t>
  </si>
  <si>
    <t>Mostrar el botón en la interfaz</t>
  </si>
  <si>
    <t>Diseñar y mostrar la vista que presente las órdenes de trabajo y sus documentos asociados</t>
  </si>
  <si>
    <t>Asegurar que se presenten los datos de los documentos anteriores, y se pueda navegar a los informes técnicos y cotizaciones asociadas</t>
  </si>
  <si>
    <t>Asegurar que muestre todos los eventos y documentos anteriores relacionados al equipo</t>
  </si>
  <si>
    <t>Mostrar los eventos realizados y sus fechas, como los cambios de estado</t>
  </si>
  <si>
    <t>11.2.6 Declarando equipo como no reparable (Administrador)</t>
  </si>
  <si>
    <t>Diseñar el flujo para la declaración no reparable, incluyendo los botones y modales</t>
  </si>
  <si>
    <t>Se debe incluir el botón para comenzar el proceso, y el modal de confirmación/detalle</t>
  </si>
  <si>
    <t>Mostrar un modal de confirmación donde se incluyan los motivos asociados a la declaración</t>
  </si>
  <si>
    <t>Es necesario que el usuario incluya los motivos por los que se declara el equipo no reparable</t>
  </si>
  <si>
    <t>Registrar en auditoria la inserción en la base de datos</t>
  </si>
  <si>
    <t>11.2.7 Modificando informe técnico (Administrador)</t>
  </si>
  <si>
    <t>Diseñar el flujo de modificación de informe técnico y las vistas asociadas</t>
  </si>
  <si>
    <t>Incluir el boton de modificación y decidir si incluirla dentro de la consulta de informe técnico o en el listado de ordenes</t>
  </si>
  <si>
    <t>Mostrar la vista que permite la modificación e incluir las validaciones</t>
  </si>
  <si>
    <t>Mostrar una vista donde se presentan los campos del documento y los que son modificables</t>
  </si>
  <si>
    <t>Registrar en auditoría el cambio en los registros de la base de datos</t>
  </si>
  <si>
    <t>Mostrar un mensaje informativo para el usuario, que muestra que se modifico el informe técnico</t>
  </si>
  <si>
    <t>11.2.8 Modificando cotización (Administrador)</t>
  </si>
  <si>
    <t>Diseñar el flujo de modificación de cotización y las vistas asociadas</t>
  </si>
  <si>
    <t>Incluir el boton de modificación y decidir si incluirla dentro de la consulta de cotización o en el listado de ordenes</t>
  </si>
  <si>
    <t>Mostrar un mensaje informativo para el usuario, que muestra que se modificó cotización</t>
  </si>
  <si>
    <t>11.3.1 Modificando estado de equipo libremente</t>
  </si>
  <si>
    <t>Incluir un botón que permite realizar modificaciones en la orden de trabajo</t>
  </si>
  <si>
    <t>Incluir el boton de modificación y decidir si incluirla dentro de la consulta del equipo en el listado de equipos</t>
  </si>
  <si>
    <t>Mostrar modal donde se deba incluir las razones del cambio</t>
  </si>
  <si>
    <t>El administrador debe incluir las razones por el cambio de estado, ya que es algo que evade el flujo normal del proceso de reparación</t>
  </si>
  <si>
    <t>Diseñar y mostrar un mensaje de éxito al completar el proceso</t>
  </si>
  <si>
    <t>Mostrar un mensaje informativo para el usuario, que muestra que la modificación fue realizada</t>
  </si>
  <si>
    <t>11.6.1 Modificando datos de clientes</t>
  </si>
  <si>
    <t>Incluir un botón que permite realizar modificaciones en los clientes</t>
  </si>
  <si>
    <t>Incluir el boton de modificación y decidir si incluirla dentro de la consulta de cliente o en el listado de clientes</t>
  </si>
  <si>
    <t>Mostrar modal para la modificacion de los datos</t>
  </si>
  <si>
    <t>El modal debe incluir los parametros editables del cliente</t>
  </si>
  <si>
    <t>7.1.1 Registrando acciones y cambios en auditoría</t>
  </si>
  <si>
    <t>Revisar todos los procesos que generan, modifican, o eliminan orden de trabajo, informe y cotizaciones. En estos procesos incluir la generación de registros de auditoría</t>
  </si>
  <si>
    <t>Asegurar que las acciones que afecten las órdenes de trabajo, informe técnico y cotizaciones sean registradas para trazabilidad</t>
  </si>
  <si>
    <t>Revisar todos los procesos que realizan cambios de estados de registros en la base de datos. En estos procesos incluir la generación de registros de auditoría</t>
  </si>
  <si>
    <t>Asegurar que las acciones que los cambios de estado de las órdenes de trabajo y otras tablas sean registradas para trazabilidad</t>
  </si>
  <si>
    <t>Revisar todos los procesos que generan, modifican, o eliminan equipos, clientes y usuarios. En estos procesos incluir la generación de registros de auditoría</t>
  </si>
  <si>
    <t>Asegurar que las acciones que afecten los equipos, clientes y usuarios sean registradas para trazabilidad</t>
  </si>
  <si>
    <t>7.2.1 Consultando registros de auditoría</t>
  </si>
  <si>
    <t>Diseñar vista de consulta de registros de auditoría, accesible por solo el administrador</t>
  </si>
  <si>
    <t>Mostrar el listado de registros de auditoría, para que el administrador examine las actividades en el sistema</t>
  </si>
  <si>
    <t>Permitir seleccionar un registro y mostrar el detalle del seleccionado</t>
  </si>
  <si>
    <t>El usuario puede seleccionar un registro de la lista para ceder a detalles que la vista general no muestra</t>
  </si>
  <si>
    <t>Incluir aplicación de filtros de búsqueda</t>
  </si>
  <si>
    <t>Los filtros deben ser de Fecha, Usuario, Tipo de Acción, Entidad Afectada</t>
  </si>
  <si>
    <t>Asegurar que se actualice la vista de registros de auditoría cada cierto tiempo</t>
  </si>
  <si>
    <t>Cuando el usuario se mantiene en la vista, se debe actualizar si se realizaron cambios en la base de datos, cada 5 minutos por ejemplo</t>
  </si>
  <si>
    <t>11.2.9 Eliminando informe técnico (desactivar)</t>
  </si>
  <si>
    <t>Diseñar botones e interfaces del proceso de eliminación</t>
  </si>
  <si>
    <t>Incluir el boton de eliminacion dentro del la visualización del informe técnico</t>
  </si>
  <si>
    <t>Mostrar el modal de confirmación, incluyendo el campo de detalles.</t>
  </si>
  <si>
    <t>Es necesario que el usuario incluya las razones de la eliminación lógica</t>
  </si>
  <si>
    <t>Mostrar un mensaje informativo para el usuario, que muestra que se "elimino" el informe técnico</t>
  </si>
  <si>
    <t>11.2.10 Eliminando cotización (desactivar)</t>
  </si>
  <si>
    <t>Incluir el boton de eliminación dentro de la visualización de la cotización</t>
  </si>
  <si>
    <t>Mostrar un mensaje informativo para el usuario, que muestra que se "eliminó" la cotización</t>
  </si>
  <si>
    <t>Periodo de Sprint 1</t>
  </si>
  <si>
    <t>BurnUp</t>
  </si>
  <si>
    <t>Día 1</t>
  </si>
  <si>
    <t>Día 2</t>
  </si>
  <si>
    <t>Día 3</t>
  </si>
  <si>
    <t>Día 4</t>
  </si>
  <si>
    <t>Día 5</t>
  </si>
  <si>
    <t>Día 6</t>
  </si>
  <si>
    <t>Día 7</t>
  </si>
  <si>
    <t>Día 8</t>
  </si>
  <si>
    <t>Día 9</t>
  </si>
  <si>
    <t>Esfuerzo Real Acumulado (HH)</t>
  </si>
  <si>
    <t>Esfuerzo Estimado Acumulado (HH)</t>
  </si>
  <si>
    <t>BurnDown</t>
  </si>
  <si>
    <t>Esfuerzo Real Restante (HH)</t>
  </si>
  <si>
    <t>Esfuerzo Estimado Restante (HH)</t>
  </si>
  <si>
    <t>Sprint 2</t>
  </si>
  <si>
    <t>Dia 0</t>
  </si>
  <si>
    <t>Dia 1</t>
  </si>
  <si>
    <t>Dia 2</t>
  </si>
  <si>
    <t>Dia 3</t>
  </si>
  <si>
    <t>Dia 4</t>
  </si>
  <si>
    <t>Dia 5</t>
  </si>
  <si>
    <t>Dia 6</t>
  </si>
  <si>
    <t>Dia 7</t>
  </si>
  <si>
    <t>Dia 8</t>
  </si>
  <si>
    <t>Dia 9</t>
  </si>
  <si>
    <t>Persona</t>
  </si>
  <si>
    <t>Bastian</t>
  </si>
  <si>
    <t>Eliam</t>
  </si>
  <si>
    <t>Geronimo</t>
  </si>
  <si>
    <t>Manuel</t>
  </si>
  <si>
    <t>Samir</t>
  </si>
  <si>
    <t>Francisco</t>
  </si>
  <si>
    <t>Total Dia</t>
  </si>
  <si>
    <t>Total Acumulado</t>
  </si>
  <si>
    <t>Tareas Pendientes</t>
  </si>
  <si>
    <t>Tarea</t>
  </si>
  <si>
    <t>Esfuerzo</t>
  </si>
  <si>
    <t>&lt;------------------</t>
  </si>
  <si>
    <t>Modificar esto para que calcular los esfuersos en el tiempo</t>
  </si>
  <si>
    <t>Dia 10</t>
  </si>
  <si>
    <t>Dia 11</t>
  </si>
  <si>
    <t>Dia 12</t>
  </si>
  <si>
    <t>Dia 13</t>
  </si>
  <si>
    <t>Dia 14</t>
  </si>
  <si>
    <t>Dia 15</t>
  </si>
  <si>
    <t>Dia 16</t>
  </si>
  <si>
    <t>Día 10</t>
  </si>
  <si>
    <t>Día 11</t>
  </si>
  <si>
    <t>Día 12</t>
  </si>
  <si>
    <t>Día 13</t>
  </si>
  <si>
    <t>Día 14</t>
  </si>
  <si>
    <t>Día 15</t>
  </si>
  <si>
    <t>Día 16</t>
  </si>
  <si>
    <t>Día 17</t>
  </si>
  <si>
    <t>Día 18</t>
  </si>
  <si>
    <t>Periodo de Sprint 2</t>
  </si>
  <si>
    <t>Dia 17</t>
  </si>
  <si>
    <t>Sprint 3</t>
  </si>
  <si>
    <t>Dia 18</t>
  </si>
  <si>
    <t>Implementar boton para la aprobación de la cotización, y que este habilitado sólo si la cotización la orden de trabajo asociada está en estado "Cotización Enviada"</t>
  </si>
  <si>
    <t>Desarrollar revisión de las ordenes de trabajo, obteniendo información del tiempo de ingreso sin cotización, tiempo desde aprobación sin reparación, prioridad de la orden</t>
  </si>
  <si>
    <t>Periodo de Sprint</t>
  </si>
  <si>
    <t>DÍa 1</t>
  </si>
  <si>
    <t>DÍa 2</t>
  </si>
  <si>
    <t>DÍa 3</t>
  </si>
  <si>
    <t>DÍa 4</t>
  </si>
  <si>
    <t>DÍa 5</t>
  </si>
  <si>
    <t>DÍa 6</t>
  </si>
  <si>
    <t>DÍa 7</t>
  </si>
  <si>
    <t>DÍa 8</t>
  </si>
  <si>
    <t>DÍa 9</t>
  </si>
  <si>
    <t>DÍa 10</t>
  </si>
  <si>
    <t>DÍa 11</t>
  </si>
  <si>
    <t>DÍa 12</t>
  </si>
  <si>
    <t>DÍa 13</t>
  </si>
  <si>
    <t>DÍa 14</t>
  </si>
  <si>
    <t>Horas Pendientes</t>
  </si>
  <si>
    <t>Detectar que equipo ya esta registrado al ingresar el número de serie.</t>
  </si>
  <si>
    <t>Implementar el boton de confirmación y luego de presionarlo solicitar confirmación del usuario.</t>
  </si>
  <si>
    <t>Dia 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</si>
</sst>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m"/>
    <numFmt numFmtId="165" formatCode="d/m/yy"/>
    <numFmt numFmtId="166" formatCode="d/m"/>
    <numFmt numFmtId="167" formatCode="d/m/yyyy"/>
    <numFmt numFmtId="168" formatCode="0.0"/>
  </numFmts>
  <fonts count="5" x14ac:knownFonts="1">
    <font>
      <sz val="10"/>
      <color rgb="FF000000"/>
      <name val="Arial"/>
      <scheme val="minor"/>
    </font>
    <font>
      <sz val="10"/>
      <color theme="1"/>
      <name val="Arial"/>
      <scheme val="minor"/>
    </font>
    <font>
      <sz val="10"/>
      <color theme="1"/>
      <name val="Arial"/>
      <scheme val="minor"/>
    </font>
    <font>
      <sz val="10"/>
      <name val="Arial"/>
    </font>
    <font>
      <sz val="10"/>
      <color theme="1"/>
      <name val="Arial"/>
    </font>
  </fonts>
  <fills count="9">
    <fill>
      <patternFill patternType="none"/>
    </fill>
    <fill>
      <patternFill patternType="gray125"/>
    </fill>
    <fill>
      <patternFill patternType="solid">
        <fgColor theme="6"/>
        <bgColor theme="6"/>
      </patternFill>
    </fill>
    <fill>
      <patternFill patternType="solid">
        <fgColor theme="7"/>
        <bgColor theme="7"/>
      </patternFill>
    </fill>
    <fill>
      <patternFill patternType="solid">
        <fgColor theme="9"/>
        <bgColor theme="9"/>
      </patternFill>
    </fill>
    <fill>
      <patternFill patternType="solid">
        <fgColor rgb="FF000000"/>
        <bgColor rgb="FF000000"/>
      </patternFill>
    </fill>
    <fill>
      <patternFill patternType="solid">
        <fgColor theme="1"/>
        <bgColor theme="1"/>
      </patternFill>
    </fill>
    <fill>
      <patternFill patternType="solid">
        <fgColor rgb="FFCCCCCC"/>
        <bgColor rgb="FFCCCCCC"/>
      </patternFill>
    </fill>
    <fill>
      <patternFill patternType="solid">
        <fgColor rgb="FFD9D9D9"/>
        <bgColor rgb="FFD9D9D9"/>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74">
    <xf numFmtId="0" fontId="0" fillId="0" borderId="0" xfId="0"/>
    <xf numFmtId="0" fontId="1" fillId="0" borderId="0" xfId="0" applyFont="1" applyAlignment="1">
      <alignment horizontal="left" vertical="center"/>
    </xf>
    <xf numFmtId="0" fontId="1" fillId="0" borderId="1" xfId="0" applyFont="1" applyBorder="1" applyAlignment="1">
      <alignment vertical="center"/>
    </xf>
    <xf numFmtId="10" fontId="1" fillId="0" borderId="1" xfId="0" applyNumberFormat="1" applyFont="1" applyBorder="1" applyAlignment="1">
      <alignment vertical="center"/>
    </xf>
    <xf numFmtId="0" fontId="1" fillId="0" borderId="0" xfId="0" applyFont="1"/>
    <xf numFmtId="164" fontId="1" fillId="2" borderId="0" xfId="0" applyNumberFormat="1" applyFont="1" applyFill="1" applyAlignment="1">
      <alignment horizontal="center"/>
    </xf>
    <xf numFmtId="0" fontId="1" fillId="3" borderId="0" xfId="0" applyFont="1" applyFill="1" applyAlignment="1">
      <alignment horizontal="center" wrapText="1"/>
    </xf>
    <xf numFmtId="0" fontId="1" fillId="4" borderId="0" xfId="0" applyFont="1" applyFill="1" applyAlignment="1">
      <alignment horizontal="center"/>
    </xf>
    <xf numFmtId="0" fontId="1" fillId="0" borderId="0" xfId="0" applyFont="1" applyAlignment="1">
      <alignment horizontal="center"/>
    </xf>
    <xf numFmtId="0" fontId="1"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1" fillId="0" borderId="0" xfId="0" applyFont="1" applyAlignment="1">
      <alignment horizontal="center" vertical="center" wrapText="1"/>
    </xf>
    <xf numFmtId="0" fontId="1" fillId="0" borderId="3" xfId="0" applyFont="1" applyBorder="1"/>
    <xf numFmtId="0" fontId="1" fillId="0" borderId="4" xfId="0" applyFont="1" applyBorder="1"/>
    <xf numFmtId="0" fontId="1" fillId="0" borderId="1" xfId="0" applyFont="1" applyBorder="1" applyAlignment="1">
      <alignment wrapText="1"/>
    </xf>
    <xf numFmtId="0" fontId="1" fillId="0" borderId="1" xfId="0" applyFont="1" applyBorder="1"/>
    <xf numFmtId="165" fontId="1" fillId="0" borderId="1" xfId="0" applyNumberFormat="1" applyFont="1" applyBorder="1"/>
    <xf numFmtId="0" fontId="1" fillId="0" borderId="6" xfId="0" applyFont="1" applyBorder="1"/>
    <xf numFmtId="0" fontId="1" fillId="0" borderId="7" xfId="0" applyFont="1" applyBorder="1"/>
    <xf numFmtId="0" fontId="1" fillId="0" borderId="8" xfId="0" applyFont="1" applyBorder="1"/>
    <xf numFmtId="0" fontId="2" fillId="0" borderId="1" xfId="0" applyFont="1" applyBorder="1" applyAlignment="1">
      <alignment horizontal="center" vertical="center" wrapText="1"/>
    </xf>
    <xf numFmtId="166" fontId="1" fillId="0" borderId="1" xfId="0" applyNumberFormat="1" applyFont="1" applyBorder="1"/>
    <xf numFmtId="0" fontId="1" fillId="5" borderId="6" xfId="0" applyFont="1" applyFill="1" applyBorder="1"/>
    <xf numFmtId="0" fontId="1" fillId="5" borderId="7" xfId="0" applyFont="1" applyFill="1" applyBorder="1"/>
    <xf numFmtId="0" fontId="1" fillId="5" borderId="8" xfId="0" applyFont="1" applyFill="1" applyBorder="1"/>
    <xf numFmtId="0" fontId="1" fillId="5" borderId="0" xfId="0" applyFont="1" applyFill="1"/>
    <xf numFmtId="165" fontId="1" fillId="0" borderId="4" xfId="0" applyNumberFormat="1" applyFont="1" applyBorder="1"/>
    <xf numFmtId="0" fontId="2" fillId="0" borderId="0" xfId="0" applyFont="1" applyAlignment="1">
      <alignment horizontal="center" vertical="center" wrapText="1"/>
    </xf>
    <xf numFmtId="0" fontId="1" fillId="0" borderId="0" xfId="0" applyFont="1" applyAlignment="1">
      <alignment wrapText="1"/>
    </xf>
    <xf numFmtId="0" fontId="1" fillId="0" borderId="0" xfId="0" applyFont="1" applyAlignment="1">
      <alignment vertical="center"/>
    </xf>
    <xf numFmtId="165" fontId="4" fillId="0" borderId="4" xfId="0" applyNumberFormat="1" applyFont="1" applyBorder="1" applyAlignment="1">
      <alignment horizontal="right"/>
    </xf>
    <xf numFmtId="0" fontId="1" fillId="6" borderId="6" xfId="0" applyFont="1" applyFill="1" applyBorder="1"/>
    <xf numFmtId="0" fontId="1" fillId="6" borderId="7" xfId="0" applyFont="1" applyFill="1" applyBorder="1"/>
    <xf numFmtId="0" fontId="1" fillId="6" borderId="8" xfId="0" applyFont="1" applyFill="1" applyBorder="1"/>
    <xf numFmtId="0" fontId="1" fillId="6" borderId="0" xfId="0" applyFont="1" applyFill="1"/>
    <xf numFmtId="167" fontId="1" fillId="0" borderId="1" xfId="0" applyNumberFormat="1" applyFont="1" applyBorder="1"/>
    <xf numFmtId="0" fontId="4" fillId="0" borderId="1" xfId="0" applyFont="1" applyBorder="1"/>
    <xf numFmtId="0" fontId="4" fillId="0" borderId="1" xfId="0" applyFont="1" applyBorder="1" applyAlignment="1">
      <alignment wrapText="1"/>
    </xf>
    <xf numFmtId="0" fontId="4" fillId="0" borderId="0" xfId="0" applyFont="1"/>
    <xf numFmtId="167" fontId="1" fillId="0" borderId="0" xfId="0" applyNumberFormat="1" applyFont="1"/>
    <xf numFmtId="0" fontId="2" fillId="6" borderId="0" xfId="0" applyFont="1" applyFill="1" applyAlignment="1">
      <alignment horizontal="center" vertical="center" wrapText="1"/>
    </xf>
    <xf numFmtId="0" fontId="1" fillId="6" borderId="0" xfId="0" applyFont="1" applyFill="1" applyAlignment="1">
      <alignment wrapText="1"/>
    </xf>
    <xf numFmtId="0" fontId="1" fillId="6" borderId="0" xfId="0" applyFont="1" applyFill="1" applyAlignment="1">
      <alignment vertical="center"/>
    </xf>
    <xf numFmtId="165" fontId="4" fillId="0" borderId="1" xfId="0" applyNumberFormat="1" applyFont="1" applyBorder="1" applyAlignment="1">
      <alignment horizontal="right"/>
    </xf>
    <xf numFmtId="165" fontId="1" fillId="0" borderId="0" xfId="0" applyNumberFormat="1" applyFont="1"/>
    <xf numFmtId="168" fontId="1" fillId="0" borderId="0" xfId="0" applyNumberFormat="1" applyFont="1"/>
    <xf numFmtId="165" fontId="1" fillId="7" borderId="1" xfId="0" applyNumberFormat="1" applyFont="1" applyFill="1" applyBorder="1"/>
    <xf numFmtId="0" fontId="1" fillId="8" borderId="1" xfId="0" applyFont="1" applyFill="1" applyBorder="1"/>
    <xf numFmtId="0" fontId="1" fillId="0" borderId="1" xfId="0" applyFont="1" applyBorder="1" applyAlignment="1">
      <alignment horizontal="center" vertical="center"/>
    </xf>
    <xf numFmtId="0" fontId="1" fillId="0" borderId="4" xfId="0" applyFont="1" applyBorder="1" applyAlignment="1">
      <alignment wrapText="1"/>
    </xf>
    <xf numFmtId="0" fontId="1" fillId="0" borderId="0" xfId="0" applyFont="1" applyAlignment="1">
      <alignment horizontal="center" vertical="center"/>
    </xf>
    <xf numFmtId="165" fontId="1" fillId="7" borderId="0" xfId="0" applyNumberFormat="1" applyFont="1" applyFill="1"/>
    <xf numFmtId="0" fontId="1" fillId="8" borderId="0" xfId="0" applyFont="1" applyFill="1" applyAlignment="1">
      <alignment horizontal="center" vertical="center"/>
    </xf>
    <xf numFmtId="0" fontId="1" fillId="0" borderId="4" xfId="0" applyFont="1" applyBorder="1" applyAlignment="1">
      <alignment horizontal="center" vertical="center"/>
    </xf>
    <xf numFmtId="2" fontId="1" fillId="0" borderId="0" xfId="0" applyNumberFormat="1" applyFont="1"/>
    <xf numFmtId="167" fontId="1" fillId="8" borderId="1" xfId="0" applyNumberFormat="1" applyFont="1" applyFill="1" applyBorder="1" applyAlignment="1">
      <alignment wrapText="1"/>
    </xf>
    <xf numFmtId="1" fontId="1" fillId="0" borderId="1" xfId="0" applyNumberFormat="1" applyFont="1" applyBorder="1" applyAlignment="1">
      <alignment horizontal="center" vertical="center"/>
    </xf>
    <xf numFmtId="0" fontId="1" fillId="2" borderId="0" xfId="0" applyFont="1" applyFill="1" applyAlignment="1">
      <alignment horizontal="center"/>
    </xf>
    <xf numFmtId="0" fontId="0" fillId="0" borderId="0" xfId="0"/>
    <xf numFmtId="0" fontId="1" fillId="4" borderId="0" xfId="0" applyFont="1" applyFill="1" applyAlignment="1">
      <alignment horizontal="center"/>
    </xf>
    <xf numFmtId="0" fontId="1" fillId="0" borderId="3" xfId="0" applyFont="1" applyBorder="1"/>
    <xf numFmtId="0" fontId="3" fillId="0" borderId="3" xfId="0" applyFont="1" applyBorder="1"/>
    <xf numFmtId="0" fontId="3" fillId="0" borderId="5" xfId="0" applyFont="1" applyBorder="1"/>
    <xf numFmtId="0" fontId="1" fillId="0" borderId="4" xfId="0" applyFont="1" applyBorder="1"/>
    <xf numFmtId="0" fontId="2" fillId="0" borderId="4" xfId="0" applyFont="1" applyBorder="1" applyAlignment="1">
      <alignment horizontal="center" vertical="center" wrapText="1"/>
    </xf>
    <xf numFmtId="0" fontId="4" fillId="0" borderId="4" xfId="0" applyFont="1" applyBorder="1" applyAlignment="1">
      <alignment horizontal="right"/>
    </xf>
    <xf numFmtId="0" fontId="4" fillId="0" borderId="4" xfId="0" applyFont="1" applyBorder="1" applyAlignment="1">
      <alignment horizontal="center" wrapText="1"/>
    </xf>
    <xf numFmtId="0" fontId="1" fillId="8" borderId="6" xfId="0" applyFont="1" applyFill="1" applyBorder="1" applyAlignment="1">
      <alignment horizontal="center" vertical="center"/>
    </xf>
    <xf numFmtId="0" fontId="3" fillId="0" borderId="7" xfId="0" applyFont="1" applyBorder="1"/>
    <xf numFmtId="0" fontId="3" fillId="0" borderId="8" xfId="0" applyFont="1" applyBorder="1"/>
    <xf numFmtId="0" fontId="1" fillId="0" borderId="6" xfId="0" applyFont="1" applyBorder="1" applyAlignment="1">
      <alignment horizontal="center" vertical="center"/>
    </xf>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Division Incrementos-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2000" b="1">
                <a:solidFill>
                  <a:srgbClr val="757575"/>
                </a:solidFill>
                <a:latin typeface="+mn-lt"/>
              </a:defRPr>
            </a:pPr>
            <a:r>
              <a:rPr lang="es-CL" sz="2000" b="1">
                <a:solidFill>
                  <a:srgbClr val="757575"/>
                </a:solidFill>
                <a:latin typeface="+mn-lt"/>
              </a:rPr>
              <a:t>BurnUp Sprint 5 Incremento 4</a:t>
            </a:r>
          </a:p>
        </c:rich>
      </c:tx>
      <c:layout>
        <c:manualLayout>
          <c:xMode val="edge"/>
          <c:yMode val="edge"/>
          <c:x val="2.912772585669782E-2"/>
          <c:y val="0.05"/>
        </c:manualLayout>
      </c:layout>
      <c:overlay val="0"/>
    </c:title>
    <c:autoTitleDeleted val="0"/>
    <c:plotArea>
      <c:layout/>
      <c:lineChart>
        <c:grouping val="standard"/>
        <c:varyColors val="1"/>
        <c:ser>
          <c:idx val="0"/>
          <c:order val="0"/>
          <c:tx>
            <c:strRef>
              <c:f>'BurnUp-Down INC 4'!$A$6</c:f>
              <c:strCache>
                <c:ptCount val="1"/>
                <c:pt idx="0">
                  <c:v>Esfuerzo Real Acumulado (HH)</c:v>
                </c:pt>
              </c:strCache>
            </c:strRef>
          </c:tx>
          <c:spPr>
            <a:ln w="19050" cmpd="sng">
              <a:solidFill>
                <a:srgbClr val="4285F4"/>
              </a:solidFill>
            </a:ln>
          </c:spPr>
          <c:marker>
            <c:symbol val="circle"/>
            <c:size val="7"/>
            <c:spPr>
              <a:solidFill>
                <a:srgbClr val="4285F4"/>
              </a:solidFill>
              <a:ln cmpd="sng">
                <a:solidFill>
                  <a:srgbClr val="4285F4"/>
                </a:solidFill>
              </a:ln>
            </c:spPr>
          </c:marker>
          <c:dLbls>
            <c:spPr>
              <a:noFill/>
              <a:ln>
                <a:noFill/>
              </a:ln>
              <a:effectLst/>
            </c:spPr>
            <c:txPr>
              <a:bodyPr/>
              <a:lstStyle/>
              <a:p>
                <a:pPr lvl="0">
                  <a:defRPr sz="1400"/>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'BurnUp-Down INC 4'!$B$5:$J$5</c:f>
              <c:strCache>
                <c:ptCount val="9"/>
                <c:pt idx="0">
                  <c:v>Día 1</c:v>
                </c:pt>
                <c:pt idx="1">
                  <c:v>Día 2</c:v>
                </c:pt>
                <c:pt idx="2">
                  <c:v>Día 3</c:v>
                </c:pt>
                <c:pt idx="3">
                  <c:v>Día 4</c:v>
                </c:pt>
                <c:pt idx="4">
                  <c:v>Día 5</c:v>
                </c:pt>
                <c:pt idx="5">
                  <c:v>Día 6</c:v>
                </c:pt>
                <c:pt idx="6">
                  <c:v>Día 7</c:v>
                </c:pt>
                <c:pt idx="7">
                  <c:v>Día 8</c:v>
                </c:pt>
                <c:pt idx="8">
                  <c:v>Día 9</c:v>
                </c:pt>
              </c:strCache>
            </c:strRef>
          </c:cat>
          <c:val>
            <c:numRef>
              <c:f>'BurnUp-Down INC 4'!$B$6:$J$6</c:f>
              <c:numCache>
                <c:formatCode>0.0</c:formatCode>
                <c:ptCount val="9"/>
                <c:pt idx="0">
                  <c:v>0</c:v>
                </c:pt>
                <c:pt idx="1">
                  <c:v>0</c:v>
                </c:pt>
                <c:pt idx="2">
                  <c:v>1</c:v>
                </c:pt>
                <c:pt idx="3">
                  <c:v>1.5</c:v>
                </c:pt>
                <c:pt idx="4">
                  <c:v>2.5</c:v>
                </c:pt>
                <c:pt idx="5">
                  <c:v>4</c:v>
                </c:pt>
                <c:pt idx="6">
                  <c:v>4.5</c:v>
                </c:pt>
                <c:pt idx="7">
                  <c:v>4.5</c:v>
                </c:pt>
                <c:pt idx="8">
                  <c:v>4.5</c:v>
                </c:pt>
              </c:numCache>
            </c:numRef>
          </c:val>
          <c:smooth val="0"/>
          <c:extLst>
            <c:ext xmlns:c16="http://schemas.microsoft.com/office/drawing/2014/chart" uri="{C3380CC4-5D6E-409C-BE32-E72D297353CC}">
              <c16:uniqueId val="{00000000-47BE-4A7A-BEF7-D95E70F63B81}"/>
            </c:ext>
          </c:extLst>
        </c:ser>
        <c:ser>
          <c:idx val="1"/>
          <c:order val="1"/>
          <c:tx>
            <c:strRef>
              <c:f>'BurnUp-Down INC 4'!$A$7</c:f>
              <c:strCache>
                <c:ptCount val="1"/>
                <c:pt idx="0">
                  <c:v>Esfuerzo Estimado Acumulado (HH)</c:v>
                </c:pt>
              </c:strCache>
            </c:strRef>
          </c:tx>
          <c:spPr>
            <a:ln w="19050" cmpd="sng">
              <a:solidFill>
                <a:srgbClr val="EA4335"/>
              </a:solidFill>
            </a:ln>
          </c:spPr>
          <c:marker>
            <c:symbol val="circle"/>
            <c:size val="7"/>
            <c:spPr>
              <a:solidFill>
                <a:srgbClr val="EA4335"/>
              </a:solidFill>
              <a:ln cmpd="sng">
                <a:solidFill>
                  <a:srgbClr val="EA4335"/>
                </a:solidFill>
              </a:ln>
            </c:spPr>
          </c:marker>
          <c:dLbls>
            <c:spPr>
              <a:noFill/>
              <a:ln>
                <a:noFill/>
              </a:ln>
              <a:effectLst/>
            </c:spPr>
            <c:txPr>
              <a:bodyPr/>
              <a:lstStyle/>
              <a:p>
                <a:pPr lvl="0">
                  <a:defRPr sz="1400"/>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'BurnUp-Down INC 4'!$B$5:$J$5</c:f>
              <c:strCache>
                <c:ptCount val="9"/>
                <c:pt idx="0">
                  <c:v>Día 1</c:v>
                </c:pt>
                <c:pt idx="1">
                  <c:v>Día 2</c:v>
                </c:pt>
                <c:pt idx="2">
                  <c:v>Día 3</c:v>
                </c:pt>
                <c:pt idx="3">
                  <c:v>Día 4</c:v>
                </c:pt>
                <c:pt idx="4">
                  <c:v>Día 5</c:v>
                </c:pt>
                <c:pt idx="5">
                  <c:v>Día 6</c:v>
                </c:pt>
                <c:pt idx="6">
                  <c:v>Día 7</c:v>
                </c:pt>
                <c:pt idx="7">
                  <c:v>Día 8</c:v>
                </c:pt>
                <c:pt idx="8">
                  <c:v>Día 9</c:v>
                </c:pt>
              </c:strCache>
            </c:strRef>
          </c:cat>
          <c:val>
            <c:numRef>
              <c:f>'BurnUp-Down INC 4'!$B$7:$J$7</c:f>
              <c:numCache>
                <c:formatCode>0.0</c:formatCode>
                <c:ptCount val="9"/>
                <c:pt idx="0">
                  <c:v>0</c:v>
                </c:pt>
                <c:pt idx="1">
                  <c:v>0.5</c:v>
                </c:pt>
                <c:pt idx="2">
                  <c:v>1</c:v>
                </c:pt>
                <c:pt idx="3">
                  <c:v>2.5</c:v>
                </c:pt>
                <c:pt idx="4">
                  <c:v>3.5</c:v>
                </c:pt>
                <c:pt idx="5">
                  <c:v>4</c:v>
                </c:pt>
                <c:pt idx="6">
                  <c:v>4.5</c:v>
                </c:pt>
                <c:pt idx="7">
                  <c:v>5.5</c:v>
                </c:pt>
                <c:pt idx="8">
                  <c:v>5.5</c:v>
                </c:pt>
              </c:numCache>
            </c:numRef>
          </c:val>
          <c:smooth val="0"/>
          <c:extLst>
            <c:ext xmlns:c16="http://schemas.microsoft.com/office/drawing/2014/chart" uri="{C3380CC4-5D6E-409C-BE32-E72D297353CC}">
              <c16:uniqueId val="{00000001-47BE-4A7A-BEF7-D95E70F63B81}"/>
            </c:ext>
          </c:extLst>
        </c:ser>
        <c:dLbls>
          <c:showLegendKey val="0"/>
          <c:showVal val="0"/>
          <c:showCatName val="0"/>
          <c:showSerName val="0"/>
          <c:showPercent val="0"/>
          <c:showBubbleSize val="0"/>
        </c:dLbls>
        <c:marker val="1"/>
        <c:smooth val="0"/>
        <c:axId val="23773085"/>
        <c:axId val="365488658"/>
      </c:lineChart>
      <c:catAx>
        <c:axId val="23773085"/>
        <c:scaling>
          <c:orientation val="minMax"/>
        </c:scaling>
        <c:delete val="0"/>
        <c:axPos val="b"/>
        <c:title>
          <c:tx>
            <c:rich>
              <a:bodyPr/>
              <a:lstStyle/>
              <a:p>
                <a:pPr lvl="0">
                  <a:defRPr b="0">
                    <a:solidFill>
                      <a:srgbClr val="000000"/>
                    </a:solidFill>
                    <a:latin typeface="+mn-lt"/>
                  </a:defRPr>
                </a:pPr>
                <a:r>
                  <a:rPr lang="es-CL" b="0">
                    <a:solidFill>
                      <a:srgbClr val="000000"/>
                    </a:solidFill>
                    <a:latin typeface="+mn-lt"/>
                  </a:rPr>
                  <a:t>Días del Sprint</a:t>
                </a:r>
              </a:p>
            </c:rich>
          </c:tx>
          <c:overlay val="0"/>
        </c:title>
        <c:numFmt formatCode="General" sourceLinked="1"/>
        <c:majorTickMark val="none"/>
        <c:minorTickMark val="none"/>
        <c:tickLblPos val="nextTo"/>
        <c:txPr>
          <a:bodyPr/>
          <a:lstStyle/>
          <a:p>
            <a:pPr lvl="0">
              <a:defRPr sz="1400" b="0">
                <a:solidFill>
                  <a:srgbClr val="000000"/>
                </a:solidFill>
                <a:latin typeface="+mn-lt"/>
              </a:defRPr>
            </a:pPr>
            <a:endParaRPr lang="es-CL"/>
          </a:p>
        </c:txPr>
        <c:crossAx val="365488658"/>
        <c:crosses val="autoZero"/>
        <c:auto val="1"/>
        <c:lblAlgn val="ctr"/>
        <c:lblOffset val="100"/>
        <c:noMultiLvlLbl val="1"/>
      </c:catAx>
      <c:valAx>
        <c:axId val="3654886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CL" b="0">
                    <a:solidFill>
                      <a:srgbClr val="000000"/>
                    </a:solidFill>
                    <a:latin typeface="+mn-lt"/>
                  </a:rPr>
                  <a:t>Horas Hombre</a:t>
                </a:r>
              </a:p>
            </c:rich>
          </c:tx>
          <c:overlay val="0"/>
        </c:title>
        <c:numFmt formatCode="0.0" sourceLinked="1"/>
        <c:majorTickMark val="none"/>
        <c:minorTickMark val="none"/>
        <c:tickLblPos val="nextTo"/>
        <c:spPr>
          <a:ln>
            <a:solidFill/>
          </a:ln>
        </c:spPr>
        <c:txPr>
          <a:bodyPr/>
          <a:lstStyle/>
          <a:p>
            <a:pPr lvl="0">
              <a:defRPr sz="1400" b="0">
                <a:solidFill>
                  <a:srgbClr val="000000"/>
                </a:solidFill>
                <a:latin typeface="+mn-lt"/>
              </a:defRPr>
            </a:pPr>
            <a:endParaRPr lang="es-CL"/>
          </a:p>
        </c:txPr>
        <c:crossAx val="23773085"/>
        <c:crosses val="autoZero"/>
        <c:crossBetween val="between"/>
      </c:valAx>
    </c:plotArea>
    <c:legend>
      <c:legendPos val="b"/>
      <c:overlay val="0"/>
      <c:txPr>
        <a:bodyPr/>
        <a:lstStyle/>
        <a:p>
          <a:pPr lvl="0">
            <a:defRPr sz="1400" b="0">
              <a:solidFill>
                <a:srgbClr val="1A1A1A"/>
              </a:solidFill>
              <a:latin typeface="+mn-lt"/>
            </a:defRPr>
          </a:pPr>
          <a:endParaRPr lang="es-CL"/>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2000" b="1">
                <a:solidFill>
                  <a:srgbClr val="757575"/>
                </a:solidFill>
                <a:latin typeface="+mn-lt"/>
              </a:defRPr>
            </a:pPr>
            <a:r>
              <a:rPr lang="es-CL" sz="2000" b="1">
                <a:solidFill>
                  <a:srgbClr val="757575"/>
                </a:solidFill>
                <a:latin typeface="+mn-lt"/>
              </a:rPr>
              <a:t>BurnDown Sprint 5 Incremento 4</a:t>
            </a:r>
          </a:p>
        </c:rich>
      </c:tx>
      <c:overlay val="0"/>
    </c:title>
    <c:autoTitleDeleted val="0"/>
    <c:plotArea>
      <c:layout/>
      <c:lineChart>
        <c:grouping val="standard"/>
        <c:varyColors val="1"/>
        <c:ser>
          <c:idx val="0"/>
          <c:order val="0"/>
          <c:tx>
            <c:strRef>
              <c:f>'BurnUp-Down INC 4'!$A$12</c:f>
              <c:strCache>
                <c:ptCount val="1"/>
                <c:pt idx="0">
                  <c:v>Esfuerzo Real Restante (HH)</c:v>
                </c:pt>
              </c:strCache>
            </c:strRef>
          </c:tx>
          <c:spPr>
            <a:ln w="19050" cmpd="sng">
              <a:solidFill>
                <a:srgbClr val="4285F4"/>
              </a:solidFill>
            </a:ln>
          </c:spPr>
          <c:marker>
            <c:symbol val="circle"/>
            <c:size val="7"/>
            <c:spPr>
              <a:solidFill>
                <a:srgbClr val="4285F4"/>
              </a:solidFill>
              <a:ln cmpd="sng">
                <a:solidFill>
                  <a:srgbClr val="4285F4"/>
                </a:solidFill>
              </a:ln>
            </c:spPr>
          </c:marker>
          <c:dLbls>
            <c:spPr>
              <a:noFill/>
              <a:ln>
                <a:noFill/>
              </a:ln>
              <a:effectLst/>
            </c:spPr>
            <c:txPr>
              <a:bodyPr/>
              <a:lstStyle/>
              <a:p>
                <a:pPr lvl="0">
                  <a:defRPr sz="1400"/>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'BurnUp-Down INC 4'!$B$11:$J$11</c:f>
              <c:strCache>
                <c:ptCount val="9"/>
                <c:pt idx="0">
                  <c:v>Día 1</c:v>
                </c:pt>
                <c:pt idx="1">
                  <c:v>Día 2</c:v>
                </c:pt>
                <c:pt idx="2">
                  <c:v>Día 3</c:v>
                </c:pt>
                <c:pt idx="3">
                  <c:v>Día 4</c:v>
                </c:pt>
                <c:pt idx="4">
                  <c:v>Día 5</c:v>
                </c:pt>
                <c:pt idx="5">
                  <c:v>Día 6</c:v>
                </c:pt>
                <c:pt idx="6">
                  <c:v>Día 7</c:v>
                </c:pt>
                <c:pt idx="7">
                  <c:v>Día 8</c:v>
                </c:pt>
                <c:pt idx="8">
                  <c:v>Día 9</c:v>
                </c:pt>
              </c:strCache>
            </c:strRef>
          </c:cat>
          <c:val>
            <c:numRef>
              <c:f>'BurnUp-Down INC 4'!$B$12:$J$12</c:f>
              <c:numCache>
                <c:formatCode>0.0</c:formatCode>
                <c:ptCount val="9"/>
                <c:pt idx="0">
                  <c:v>4.5</c:v>
                </c:pt>
                <c:pt idx="1">
                  <c:v>4.5</c:v>
                </c:pt>
                <c:pt idx="2">
                  <c:v>3.5</c:v>
                </c:pt>
                <c:pt idx="3">
                  <c:v>3</c:v>
                </c:pt>
                <c:pt idx="4">
                  <c:v>2</c:v>
                </c:pt>
                <c:pt idx="5">
                  <c:v>0.5</c:v>
                </c:pt>
                <c:pt idx="6">
                  <c:v>0</c:v>
                </c:pt>
                <c:pt idx="7">
                  <c:v>0</c:v>
                </c:pt>
                <c:pt idx="8">
                  <c:v>0</c:v>
                </c:pt>
              </c:numCache>
            </c:numRef>
          </c:val>
          <c:smooth val="0"/>
          <c:extLst>
            <c:ext xmlns:c16="http://schemas.microsoft.com/office/drawing/2014/chart" uri="{C3380CC4-5D6E-409C-BE32-E72D297353CC}">
              <c16:uniqueId val="{00000000-5FB9-48B7-ABFE-E57B979E3049}"/>
            </c:ext>
          </c:extLst>
        </c:ser>
        <c:ser>
          <c:idx val="1"/>
          <c:order val="1"/>
          <c:tx>
            <c:strRef>
              <c:f>'BurnUp-Down INC 4'!$A$13</c:f>
              <c:strCache>
                <c:ptCount val="1"/>
                <c:pt idx="0">
                  <c:v>Esfuerzo Estimado Restante (HH)</c:v>
                </c:pt>
              </c:strCache>
            </c:strRef>
          </c:tx>
          <c:spPr>
            <a:ln w="19050" cmpd="sng">
              <a:solidFill>
                <a:srgbClr val="EA4335"/>
              </a:solidFill>
            </a:ln>
          </c:spPr>
          <c:marker>
            <c:symbol val="circle"/>
            <c:size val="7"/>
            <c:spPr>
              <a:solidFill>
                <a:srgbClr val="EA4335"/>
              </a:solidFill>
              <a:ln cmpd="sng">
                <a:solidFill>
                  <a:srgbClr val="EA4335"/>
                </a:solidFill>
              </a:ln>
            </c:spPr>
          </c:marker>
          <c:dLbls>
            <c:spPr>
              <a:noFill/>
              <a:ln>
                <a:noFill/>
              </a:ln>
              <a:effectLst/>
            </c:spPr>
            <c:txPr>
              <a:bodyPr/>
              <a:lstStyle/>
              <a:p>
                <a:pPr lvl="0">
                  <a:defRPr sz="1400"/>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'BurnUp-Down INC 4'!$B$11:$J$11</c:f>
              <c:strCache>
                <c:ptCount val="9"/>
                <c:pt idx="0">
                  <c:v>Día 1</c:v>
                </c:pt>
                <c:pt idx="1">
                  <c:v>Día 2</c:v>
                </c:pt>
                <c:pt idx="2">
                  <c:v>Día 3</c:v>
                </c:pt>
                <c:pt idx="3">
                  <c:v>Día 4</c:v>
                </c:pt>
                <c:pt idx="4">
                  <c:v>Día 5</c:v>
                </c:pt>
                <c:pt idx="5">
                  <c:v>Día 6</c:v>
                </c:pt>
                <c:pt idx="6">
                  <c:v>Día 7</c:v>
                </c:pt>
                <c:pt idx="7">
                  <c:v>Día 8</c:v>
                </c:pt>
                <c:pt idx="8">
                  <c:v>Día 9</c:v>
                </c:pt>
              </c:strCache>
            </c:strRef>
          </c:cat>
          <c:val>
            <c:numRef>
              <c:f>'BurnUp-Down INC 4'!$B$13:$J$13</c:f>
              <c:numCache>
                <c:formatCode>0.0</c:formatCode>
                <c:ptCount val="9"/>
                <c:pt idx="0">
                  <c:v>5.5</c:v>
                </c:pt>
                <c:pt idx="1">
                  <c:v>5</c:v>
                </c:pt>
                <c:pt idx="2">
                  <c:v>4.5</c:v>
                </c:pt>
                <c:pt idx="3">
                  <c:v>3</c:v>
                </c:pt>
                <c:pt idx="4">
                  <c:v>2</c:v>
                </c:pt>
                <c:pt idx="5">
                  <c:v>1.5</c:v>
                </c:pt>
                <c:pt idx="6">
                  <c:v>1</c:v>
                </c:pt>
                <c:pt idx="7">
                  <c:v>0</c:v>
                </c:pt>
                <c:pt idx="8">
                  <c:v>0</c:v>
                </c:pt>
              </c:numCache>
            </c:numRef>
          </c:val>
          <c:smooth val="0"/>
          <c:extLst>
            <c:ext xmlns:c16="http://schemas.microsoft.com/office/drawing/2014/chart" uri="{C3380CC4-5D6E-409C-BE32-E72D297353CC}">
              <c16:uniqueId val="{00000001-5FB9-48B7-ABFE-E57B979E3049}"/>
            </c:ext>
          </c:extLst>
        </c:ser>
        <c:dLbls>
          <c:showLegendKey val="0"/>
          <c:showVal val="0"/>
          <c:showCatName val="0"/>
          <c:showSerName val="0"/>
          <c:showPercent val="0"/>
          <c:showBubbleSize val="0"/>
        </c:dLbls>
        <c:marker val="1"/>
        <c:smooth val="0"/>
        <c:axId val="1108615177"/>
        <c:axId val="356526990"/>
      </c:lineChart>
      <c:catAx>
        <c:axId val="1108615177"/>
        <c:scaling>
          <c:orientation val="minMax"/>
        </c:scaling>
        <c:delete val="0"/>
        <c:axPos val="b"/>
        <c:title>
          <c:tx>
            <c:rich>
              <a:bodyPr/>
              <a:lstStyle/>
              <a:p>
                <a:pPr lvl="0">
                  <a:defRPr b="0">
                    <a:solidFill>
                      <a:srgbClr val="000000"/>
                    </a:solidFill>
                    <a:latin typeface="+mn-lt"/>
                  </a:defRPr>
                </a:pPr>
                <a:r>
                  <a:rPr lang="es-CL" b="0">
                    <a:solidFill>
                      <a:srgbClr val="000000"/>
                    </a:solidFill>
                    <a:latin typeface="+mn-lt"/>
                  </a:rPr>
                  <a:t>Días del Sprint</a:t>
                </a:r>
              </a:p>
            </c:rich>
          </c:tx>
          <c:overlay val="0"/>
        </c:title>
        <c:numFmt formatCode="General" sourceLinked="1"/>
        <c:majorTickMark val="none"/>
        <c:minorTickMark val="none"/>
        <c:tickLblPos val="nextTo"/>
        <c:txPr>
          <a:bodyPr/>
          <a:lstStyle/>
          <a:p>
            <a:pPr lvl="0">
              <a:defRPr sz="1400" b="0">
                <a:solidFill>
                  <a:srgbClr val="000000"/>
                </a:solidFill>
                <a:latin typeface="+mn-lt"/>
              </a:defRPr>
            </a:pPr>
            <a:endParaRPr lang="es-CL"/>
          </a:p>
        </c:txPr>
        <c:crossAx val="356526990"/>
        <c:crosses val="autoZero"/>
        <c:auto val="1"/>
        <c:lblAlgn val="ctr"/>
        <c:lblOffset val="100"/>
        <c:noMultiLvlLbl val="1"/>
      </c:catAx>
      <c:valAx>
        <c:axId val="356526990"/>
        <c:scaling>
          <c:orientation val="minMax"/>
          <c:min val="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CL" b="0">
                    <a:solidFill>
                      <a:srgbClr val="000000"/>
                    </a:solidFill>
                    <a:latin typeface="+mn-lt"/>
                  </a:rPr>
                  <a:t>Horas Hombre</a:t>
                </a:r>
              </a:p>
            </c:rich>
          </c:tx>
          <c:overlay val="0"/>
        </c:title>
        <c:numFmt formatCode="0.0" sourceLinked="1"/>
        <c:majorTickMark val="none"/>
        <c:minorTickMark val="none"/>
        <c:tickLblPos val="nextTo"/>
        <c:spPr>
          <a:ln>
            <a:solidFill/>
          </a:ln>
        </c:spPr>
        <c:txPr>
          <a:bodyPr/>
          <a:lstStyle/>
          <a:p>
            <a:pPr lvl="0">
              <a:defRPr sz="1400" b="0">
                <a:solidFill>
                  <a:srgbClr val="000000"/>
                </a:solidFill>
                <a:latin typeface="+mn-lt"/>
              </a:defRPr>
            </a:pPr>
            <a:endParaRPr lang="es-CL"/>
          </a:p>
        </c:txPr>
        <c:crossAx val="1108615177"/>
        <c:crosses val="autoZero"/>
        <c:crossBetween val="between"/>
      </c:valAx>
    </c:plotArea>
    <c:legend>
      <c:legendPos val="b"/>
      <c:overlay val="0"/>
      <c:txPr>
        <a:bodyPr/>
        <a:lstStyle/>
        <a:p>
          <a:pPr lvl="0">
            <a:defRPr sz="1400" b="0">
              <a:solidFill>
                <a:srgbClr val="1A1A1A"/>
              </a:solidFill>
              <a:latin typeface="+mn-lt"/>
            </a:defRPr>
          </a:pPr>
          <a:endParaRPr lang="es-CL"/>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2000" b="1">
                <a:solidFill>
                  <a:srgbClr val="757575"/>
                </a:solidFill>
                <a:latin typeface="+mn-lt"/>
              </a:defRPr>
            </a:pPr>
            <a:r>
              <a:rPr lang="es-CL" sz="2000" b="1">
                <a:solidFill>
                  <a:srgbClr val="757575"/>
                </a:solidFill>
                <a:latin typeface="+mn-lt"/>
              </a:rPr>
              <a:t>BurnUp Sprint 4 Incremento 3</a:t>
            </a:r>
          </a:p>
        </c:rich>
      </c:tx>
      <c:layout>
        <c:manualLayout>
          <c:xMode val="edge"/>
          <c:yMode val="edge"/>
          <c:x val="2.912772585669782E-2"/>
          <c:y val="0.05"/>
        </c:manualLayout>
      </c:layout>
      <c:overlay val="0"/>
    </c:title>
    <c:autoTitleDeleted val="0"/>
    <c:plotArea>
      <c:layout/>
      <c:lineChart>
        <c:grouping val="standard"/>
        <c:varyColors val="1"/>
        <c:ser>
          <c:idx val="0"/>
          <c:order val="0"/>
          <c:tx>
            <c:strRef>
              <c:f>'BurnUp-Down INC 3'!$A$6</c:f>
              <c:strCache>
                <c:ptCount val="1"/>
                <c:pt idx="0">
                  <c:v>Esfuerzo Real Acumulado (HH)</c:v>
                </c:pt>
              </c:strCache>
            </c:strRef>
          </c:tx>
          <c:spPr>
            <a:ln w="19050" cmpd="sng">
              <a:solidFill>
                <a:srgbClr val="4285F4"/>
              </a:solidFill>
            </a:ln>
          </c:spPr>
          <c:marker>
            <c:symbol val="circle"/>
            <c:size val="7"/>
            <c:spPr>
              <a:solidFill>
                <a:srgbClr val="4285F4"/>
              </a:solidFill>
              <a:ln cmpd="sng">
                <a:solidFill>
                  <a:srgbClr val="4285F4"/>
                </a:solidFill>
              </a:ln>
            </c:spPr>
          </c:marker>
          <c:dLbls>
            <c:spPr>
              <a:noFill/>
              <a:ln>
                <a:noFill/>
              </a:ln>
              <a:effectLst/>
            </c:spPr>
            <c:txPr>
              <a:bodyPr/>
              <a:lstStyle/>
              <a:p>
                <a:pPr lvl="0">
                  <a:defRPr sz="1400"/>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'BurnUp-Down INC 3'!$B$5:$J$5</c:f>
              <c:strCache>
                <c:ptCount val="9"/>
                <c:pt idx="0">
                  <c:v>Día 1</c:v>
                </c:pt>
                <c:pt idx="1">
                  <c:v>Día 2</c:v>
                </c:pt>
                <c:pt idx="2">
                  <c:v>Día 3</c:v>
                </c:pt>
                <c:pt idx="3">
                  <c:v>Día 4</c:v>
                </c:pt>
                <c:pt idx="4">
                  <c:v>Día 5</c:v>
                </c:pt>
                <c:pt idx="5">
                  <c:v>Día 6</c:v>
                </c:pt>
                <c:pt idx="6">
                  <c:v>Día 7</c:v>
                </c:pt>
                <c:pt idx="7">
                  <c:v>Día 8</c:v>
                </c:pt>
                <c:pt idx="8">
                  <c:v>Día 9</c:v>
                </c:pt>
              </c:strCache>
            </c:strRef>
          </c:cat>
          <c:val>
            <c:numRef>
              <c:f>'BurnUp-Down INC 3'!$B$6:$J$6</c:f>
              <c:numCache>
                <c:formatCode>0.0</c:formatCode>
                <c:ptCount val="9"/>
                <c:pt idx="0">
                  <c:v>0</c:v>
                </c:pt>
                <c:pt idx="1">
                  <c:v>1</c:v>
                </c:pt>
                <c:pt idx="2">
                  <c:v>5</c:v>
                </c:pt>
                <c:pt idx="3">
                  <c:v>12.5</c:v>
                </c:pt>
                <c:pt idx="4">
                  <c:v>18.5</c:v>
                </c:pt>
                <c:pt idx="5">
                  <c:v>29</c:v>
                </c:pt>
                <c:pt idx="6">
                  <c:v>35</c:v>
                </c:pt>
                <c:pt idx="7">
                  <c:v>42</c:v>
                </c:pt>
                <c:pt idx="8">
                  <c:v>46</c:v>
                </c:pt>
              </c:numCache>
            </c:numRef>
          </c:val>
          <c:smooth val="0"/>
          <c:extLst>
            <c:ext xmlns:c16="http://schemas.microsoft.com/office/drawing/2014/chart" uri="{C3380CC4-5D6E-409C-BE32-E72D297353CC}">
              <c16:uniqueId val="{00000000-3EEB-477D-87AB-7FD87CC6A203}"/>
            </c:ext>
          </c:extLst>
        </c:ser>
        <c:ser>
          <c:idx val="1"/>
          <c:order val="1"/>
          <c:tx>
            <c:strRef>
              <c:f>'BurnUp-Down INC 3'!$A$7</c:f>
              <c:strCache>
                <c:ptCount val="1"/>
                <c:pt idx="0">
                  <c:v>Esfuerzo Estimado Acumulado (HH)</c:v>
                </c:pt>
              </c:strCache>
            </c:strRef>
          </c:tx>
          <c:spPr>
            <a:ln w="19050" cmpd="sng">
              <a:solidFill>
                <a:srgbClr val="EA4335"/>
              </a:solidFill>
            </a:ln>
          </c:spPr>
          <c:marker>
            <c:symbol val="circle"/>
            <c:size val="7"/>
            <c:spPr>
              <a:solidFill>
                <a:srgbClr val="EA4335"/>
              </a:solidFill>
              <a:ln cmpd="sng">
                <a:solidFill>
                  <a:srgbClr val="EA4335"/>
                </a:solidFill>
              </a:ln>
            </c:spPr>
          </c:marker>
          <c:dLbls>
            <c:spPr>
              <a:noFill/>
              <a:ln>
                <a:noFill/>
              </a:ln>
              <a:effectLst/>
            </c:spPr>
            <c:txPr>
              <a:bodyPr/>
              <a:lstStyle/>
              <a:p>
                <a:pPr lvl="0">
                  <a:defRPr sz="1400"/>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'BurnUp-Down INC 3'!$B$5:$J$5</c:f>
              <c:strCache>
                <c:ptCount val="9"/>
                <c:pt idx="0">
                  <c:v>Día 1</c:v>
                </c:pt>
                <c:pt idx="1">
                  <c:v>Día 2</c:v>
                </c:pt>
                <c:pt idx="2">
                  <c:v>Día 3</c:v>
                </c:pt>
                <c:pt idx="3">
                  <c:v>Día 4</c:v>
                </c:pt>
                <c:pt idx="4">
                  <c:v>Día 5</c:v>
                </c:pt>
                <c:pt idx="5">
                  <c:v>Día 6</c:v>
                </c:pt>
                <c:pt idx="6">
                  <c:v>Día 7</c:v>
                </c:pt>
                <c:pt idx="7">
                  <c:v>Día 8</c:v>
                </c:pt>
                <c:pt idx="8">
                  <c:v>Día 9</c:v>
                </c:pt>
              </c:strCache>
            </c:strRef>
          </c:cat>
          <c:val>
            <c:numRef>
              <c:f>'BurnUp-Down INC 3'!$B$7:$J$7</c:f>
              <c:numCache>
                <c:formatCode>0.0</c:formatCode>
                <c:ptCount val="9"/>
                <c:pt idx="0">
                  <c:v>0</c:v>
                </c:pt>
                <c:pt idx="1">
                  <c:v>9.5</c:v>
                </c:pt>
                <c:pt idx="2">
                  <c:v>16</c:v>
                </c:pt>
                <c:pt idx="3">
                  <c:v>23.5</c:v>
                </c:pt>
                <c:pt idx="4">
                  <c:v>29.5</c:v>
                </c:pt>
                <c:pt idx="5">
                  <c:v>36</c:v>
                </c:pt>
                <c:pt idx="6">
                  <c:v>41.5</c:v>
                </c:pt>
                <c:pt idx="7">
                  <c:v>47.5</c:v>
                </c:pt>
                <c:pt idx="8">
                  <c:v>47.5</c:v>
                </c:pt>
              </c:numCache>
            </c:numRef>
          </c:val>
          <c:smooth val="0"/>
          <c:extLst>
            <c:ext xmlns:c16="http://schemas.microsoft.com/office/drawing/2014/chart" uri="{C3380CC4-5D6E-409C-BE32-E72D297353CC}">
              <c16:uniqueId val="{00000001-3EEB-477D-87AB-7FD87CC6A203}"/>
            </c:ext>
          </c:extLst>
        </c:ser>
        <c:dLbls>
          <c:showLegendKey val="0"/>
          <c:showVal val="0"/>
          <c:showCatName val="0"/>
          <c:showSerName val="0"/>
          <c:showPercent val="0"/>
          <c:showBubbleSize val="0"/>
        </c:dLbls>
        <c:marker val="1"/>
        <c:smooth val="0"/>
        <c:axId val="916922430"/>
        <c:axId val="1566209544"/>
      </c:lineChart>
      <c:catAx>
        <c:axId val="916922430"/>
        <c:scaling>
          <c:orientation val="minMax"/>
        </c:scaling>
        <c:delete val="0"/>
        <c:axPos val="b"/>
        <c:title>
          <c:tx>
            <c:rich>
              <a:bodyPr/>
              <a:lstStyle/>
              <a:p>
                <a:pPr lvl="0">
                  <a:defRPr b="0">
                    <a:solidFill>
                      <a:srgbClr val="000000"/>
                    </a:solidFill>
                    <a:latin typeface="+mn-lt"/>
                  </a:defRPr>
                </a:pPr>
                <a:r>
                  <a:rPr lang="es-CL" b="0">
                    <a:solidFill>
                      <a:srgbClr val="000000"/>
                    </a:solidFill>
                    <a:latin typeface="+mn-lt"/>
                  </a:rPr>
                  <a:t>Días del Sprint</a:t>
                </a:r>
              </a:p>
            </c:rich>
          </c:tx>
          <c:overlay val="0"/>
        </c:title>
        <c:numFmt formatCode="General" sourceLinked="1"/>
        <c:majorTickMark val="none"/>
        <c:minorTickMark val="none"/>
        <c:tickLblPos val="nextTo"/>
        <c:txPr>
          <a:bodyPr/>
          <a:lstStyle/>
          <a:p>
            <a:pPr lvl="0">
              <a:defRPr sz="1400" b="0">
                <a:solidFill>
                  <a:srgbClr val="000000"/>
                </a:solidFill>
                <a:latin typeface="+mn-lt"/>
              </a:defRPr>
            </a:pPr>
            <a:endParaRPr lang="es-CL"/>
          </a:p>
        </c:txPr>
        <c:crossAx val="1566209544"/>
        <c:crosses val="autoZero"/>
        <c:auto val="1"/>
        <c:lblAlgn val="ctr"/>
        <c:lblOffset val="100"/>
        <c:noMultiLvlLbl val="1"/>
      </c:catAx>
      <c:valAx>
        <c:axId val="15662095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CL" b="0">
                    <a:solidFill>
                      <a:srgbClr val="000000"/>
                    </a:solidFill>
                    <a:latin typeface="+mn-lt"/>
                  </a:rPr>
                  <a:t>Horas Hombre</a:t>
                </a:r>
              </a:p>
            </c:rich>
          </c:tx>
          <c:overlay val="0"/>
        </c:title>
        <c:numFmt formatCode="0.0" sourceLinked="1"/>
        <c:majorTickMark val="none"/>
        <c:minorTickMark val="none"/>
        <c:tickLblPos val="nextTo"/>
        <c:spPr>
          <a:ln>
            <a:solidFill/>
          </a:ln>
        </c:spPr>
        <c:txPr>
          <a:bodyPr/>
          <a:lstStyle/>
          <a:p>
            <a:pPr lvl="0">
              <a:defRPr sz="1400" b="0">
                <a:solidFill>
                  <a:srgbClr val="000000"/>
                </a:solidFill>
                <a:latin typeface="+mn-lt"/>
              </a:defRPr>
            </a:pPr>
            <a:endParaRPr lang="es-CL"/>
          </a:p>
        </c:txPr>
        <c:crossAx val="916922430"/>
        <c:crosses val="autoZero"/>
        <c:crossBetween val="between"/>
      </c:valAx>
    </c:plotArea>
    <c:legend>
      <c:legendPos val="b"/>
      <c:overlay val="0"/>
      <c:txPr>
        <a:bodyPr/>
        <a:lstStyle/>
        <a:p>
          <a:pPr lvl="0">
            <a:defRPr sz="1400" b="0">
              <a:solidFill>
                <a:srgbClr val="1A1A1A"/>
              </a:solidFill>
              <a:latin typeface="+mn-lt"/>
            </a:defRPr>
          </a:pPr>
          <a:endParaRPr lang="es-CL"/>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2000" b="1">
                <a:solidFill>
                  <a:srgbClr val="757575"/>
                </a:solidFill>
                <a:latin typeface="+mn-lt"/>
              </a:defRPr>
            </a:pPr>
            <a:r>
              <a:rPr lang="es-CL" sz="2000" b="1">
                <a:solidFill>
                  <a:srgbClr val="757575"/>
                </a:solidFill>
                <a:latin typeface="+mn-lt"/>
              </a:rPr>
              <a:t>BurnDown Sprint 4 Incremento 3</a:t>
            </a:r>
          </a:p>
        </c:rich>
      </c:tx>
      <c:overlay val="0"/>
    </c:title>
    <c:autoTitleDeleted val="0"/>
    <c:plotArea>
      <c:layout/>
      <c:lineChart>
        <c:grouping val="standard"/>
        <c:varyColors val="1"/>
        <c:ser>
          <c:idx val="0"/>
          <c:order val="0"/>
          <c:tx>
            <c:strRef>
              <c:f>'BurnUp-Down INC 3'!$A$12</c:f>
              <c:strCache>
                <c:ptCount val="1"/>
                <c:pt idx="0">
                  <c:v>Esfuerzo Real Restante (HH)</c:v>
                </c:pt>
              </c:strCache>
            </c:strRef>
          </c:tx>
          <c:spPr>
            <a:ln w="19050" cmpd="sng">
              <a:solidFill>
                <a:srgbClr val="4285F4"/>
              </a:solidFill>
            </a:ln>
          </c:spPr>
          <c:marker>
            <c:symbol val="circle"/>
            <c:size val="7"/>
            <c:spPr>
              <a:solidFill>
                <a:srgbClr val="4285F4"/>
              </a:solidFill>
              <a:ln cmpd="sng">
                <a:solidFill>
                  <a:srgbClr val="4285F4"/>
                </a:solidFill>
              </a:ln>
            </c:spPr>
          </c:marker>
          <c:dLbls>
            <c:spPr>
              <a:noFill/>
              <a:ln>
                <a:noFill/>
              </a:ln>
              <a:effectLst/>
            </c:spPr>
            <c:txPr>
              <a:bodyPr/>
              <a:lstStyle/>
              <a:p>
                <a:pPr lvl="0">
                  <a:defRPr sz="1400"/>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'BurnUp-Down INC 3'!$B$11:$J$11</c:f>
              <c:strCache>
                <c:ptCount val="9"/>
                <c:pt idx="0">
                  <c:v>Día 1</c:v>
                </c:pt>
                <c:pt idx="1">
                  <c:v>Día 2</c:v>
                </c:pt>
                <c:pt idx="2">
                  <c:v>Día 3</c:v>
                </c:pt>
                <c:pt idx="3">
                  <c:v>Día 4</c:v>
                </c:pt>
                <c:pt idx="4">
                  <c:v>Día 5</c:v>
                </c:pt>
                <c:pt idx="5">
                  <c:v>Día 6</c:v>
                </c:pt>
                <c:pt idx="6">
                  <c:v>Día 7</c:v>
                </c:pt>
                <c:pt idx="7">
                  <c:v>Día 8</c:v>
                </c:pt>
                <c:pt idx="8">
                  <c:v>Día 9</c:v>
                </c:pt>
              </c:strCache>
            </c:strRef>
          </c:cat>
          <c:val>
            <c:numRef>
              <c:f>'BurnUp-Down INC 3'!$B$12:$J$12</c:f>
              <c:numCache>
                <c:formatCode>0.0</c:formatCode>
                <c:ptCount val="9"/>
                <c:pt idx="0">
                  <c:v>46</c:v>
                </c:pt>
                <c:pt idx="1">
                  <c:v>45</c:v>
                </c:pt>
                <c:pt idx="2">
                  <c:v>41</c:v>
                </c:pt>
                <c:pt idx="3">
                  <c:v>33.5</c:v>
                </c:pt>
                <c:pt idx="4">
                  <c:v>27.5</c:v>
                </c:pt>
                <c:pt idx="5">
                  <c:v>17</c:v>
                </c:pt>
                <c:pt idx="6">
                  <c:v>11</c:v>
                </c:pt>
                <c:pt idx="7">
                  <c:v>4</c:v>
                </c:pt>
                <c:pt idx="8">
                  <c:v>0</c:v>
                </c:pt>
              </c:numCache>
            </c:numRef>
          </c:val>
          <c:smooth val="0"/>
          <c:extLst>
            <c:ext xmlns:c16="http://schemas.microsoft.com/office/drawing/2014/chart" uri="{C3380CC4-5D6E-409C-BE32-E72D297353CC}">
              <c16:uniqueId val="{00000000-05A9-434A-B44C-695BA7DC0BA8}"/>
            </c:ext>
          </c:extLst>
        </c:ser>
        <c:ser>
          <c:idx val="1"/>
          <c:order val="1"/>
          <c:tx>
            <c:strRef>
              <c:f>'BurnUp-Down INC 3'!$A$13</c:f>
              <c:strCache>
                <c:ptCount val="1"/>
                <c:pt idx="0">
                  <c:v>Esfuerzo Estimado Restante (HH)</c:v>
                </c:pt>
              </c:strCache>
            </c:strRef>
          </c:tx>
          <c:spPr>
            <a:ln w="19050" cmpd="sng">
              <a:solidFill>
                <a:srgbClr val="EA4335"/>
              </a:solidFill>
            </a:ln>
          </c:spPr>
          <c:marker>
            <c:symbol val="circle"/>
            <c:size val="7"/>
            <c:spPr>
              <a:solidFill>
                <a:srgbClr val="EA4335"/>
              </a:solidFill>
              <a:ln cmpd="sng">
                <a:solidFill>
                  <a:srgbClr val="EA4335"/>
                </a:solidFill>
              </a:ln>
            </c:spPr>
          </c:marker>
          <c:dLbls>
            <c:spPr>
              <a:noFill/>
              <a:ln>
                <a:noFill/>
              </a:ln>
              <a:effectLst/>
            </c:spPr>
            <c:txPr>
              <a:bodyPr/>
              <a:lstStyle/>
              <a:p>
                <a:pPr lvl="0">
                  <a:defRPr sz="1400"/>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'BurnUp-Down INC 3'!$B$11:$J$11</c:f>
              <c:strCache>
                <c:ptCount val="9"/>
                <c:pt idx="0">
                  <c:v>Día 1</c:v>
                </c:pt>
                <c:pt idx="1">
                  <c:v>Día 2</c:v>
                </c:pt>
                <c:pt idx="2">
                  <c:v>Día 3</c:v>
                </c:pt>
                <c:pt idx="3">
                  <c:v>Día 4</c:v>
                </c:pt>
                <c:pt idx="4">
                  <c:v>Día 5</c:v>
                </c:pt>
                <c:pt idx="5">
                  <c:v>Día 6</c:v>
                </c:pt>
                <c:pt idx="6">
                  <c:v>Día 7</c:v>
                </c:pt>
                <c:pt idx="7">
                  <c:v>Día 8</c:v>
                </c:pt>
                <c:pt idx="8">
                  <c:v>Día 9</c:v>
                </c:pt>
              </c:strCache>
            </c:strRef>
          </c:cat>
          <c:val>
            <c:numRef>
              <c:f>'BurnUp-Down INC 3'!$B$13:$J$13</c:f>
              <c:numCache>
                <c:formatCode>0.0</c:formatCode>
                <c:ptCount val="9"/>
                <c:pt idx="0">
                  <c:v>47.5</c:v>
                </c:pt>
                <c:pt idx="1">
                  <c:v>38</c:v>
                </c:pt>
                <c:pt idx="2">
                  <c:v>31.5</c:v>
                </c:pt>
                <c:pt idx="3">
                  <c:v>24</c:v>
                </c:pt>
                <c:pt idx="4">
                  <c:v>18</c:v>
                </c:pt>
                <c:pt idx="5">
                  <c:v>11.5</c:v>
                </c:pt>
                <c:pt idx="6">
                  <c:v>6</c:v>
                </c:pt>
                <c:pt idx="7">
                  <c:v>0</c:v>
                </c:pt>
                <c:pt idx="8">
                  <c:v>0</c:v>
                </c:pt>
              </c:numCache>
            </c:numRef>
          </c:val>
          <c:smooth val="0"/>
          <c:extLst>
            <c:ext xmlns:c16="http://schemas.microsoft.com/office/drawing/2014/chart" uri="{C3380CC4-5D6E-409C-BE32-E72D297353CC}">
              <c16:uniqueId val="{00000001-05A9-434A-B44C-695BA7DC0BA8}"/>
            </c:ext>
          </c:extLst>
        </c:ser>
        <c:dLbls>
          <c:showLegendKey val="0"/>
          <c:showVal val="0"/>
          <c:showCatName val="0"/>
          <c:showSerName val="0"/>
          <c:showPercent val="0"/>
          <c:showBubbleSize val="0"/>
        </c:dLbls>
        <c:marker val="1"/>
        <c:smooth val="0"/>
        <c:axId val="526312117"/>
        <c:axId val="408254185"/>
      </c:lineChart>
      <c:catAx>
        <c:axId val="526312117"/>
        <c:scaling>
          <c:orientation val="minMax"/>
        </c:scaling>
        <c:delete val="0"/>
        <c:axPos val="b"/>
        <c:title>
          <c:tx>
            <c:rich>
              <a:bodyPr/>
              <a:lstStyle/>
              <a:p>
                <a:pPr lvl="0">
                  <a:defRPr b="0">
                    <a:solidFill>
                      <a:srgbClr val="000000"/>
                    </a:solidFill>
                    <a:latin typeface="+mn-lt"/>
                  </a:defRPr>
                </a:pPr>
                <a:r>
                  <a:rPr lang="es-CL" b="0">
                    <a:solidFill>
                      <a:srgbClr val="000000"/>
                    </a:solidFill>
                    <a:latin typeface="+mn-lt"/>
                  </a:rPr>
                  <a:t>Días del Sprint</a:t>
                </a:r>
              </a:p>
            </c:rich>
          </c:tx>
          <c:overlay val="0"/>
        </c:title>
        <c:numFmt formatCode="General" sourceLinked="1"/>
        <c:majorTickMark val="none"/>
        <c:minorTickMark val="none"/>
        <c:tickLblPos val="nextTo"/>
        <c:txPr>
          <a:bodyPr/>
          <a:lstStyle/>
          <a:p>
            <a:pPr lvl="0">
              <a:defRPr sz="1400" b="0">
                <a:solidFill>
                  <a:srgbClr val="000000"/>
                </a:solidFill>
                <a:latin typeface="+mn-lt"/>
              </a:defRPr>
            </a:pPr>
            <a:endParaRPr lang="es-CL"/>
          </a:p>
        </c:txPr>
        <c:crossAx val="408254185"/>
        <c:crosses val="autoZero"/>
        <c:auto val="1"/>
        <c:lblAlgn val="ctr"/>
        <c:lblOffset val="100"/>
        <c:noMultiLvlLbl val="1"/>
      </c:catAx>
      <c:valAx>
        <c:axId val="408254185"/>
        <c:scaling>
          <c:orientation val="minMax"/>
          <c:min val="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CL" b="0">
                    <a:solidFill>
                      <a:srgbClr val="000000"/>
                    </a:solidFill>
                    <a:latin typeface="+mn-lt"/>
                  </a:rPr>
                  <a:t>Horas Hombre</a:t>
                </a:r>
              </a:p>
            </c:rich>
          </c:tx>
          <c:overlay val="0"/>
        </c:title>
        <c:numFmt formatCode="0.0" sourceLinked="1"/>
        <c:majorTickMark val="none"/>
        <c:minorTickMark val="none"/>
        <c:tickLblPos val="nextTo"/>
        <c:spPr>
          <a:ln>
            <a:solidFill/>
          </a:ln>
        </c:spPr>
        <c:txPr>
          <a:bodyPr/>
          <a:lstStyle/>
          <a:p>
            <a:pPr lvl="0">
              <a:defRPr sz="1400" b="0">
                <a:solidFill>
                  <a:srgbClr val="000000"/>
                </a:solidFill>
                <a:latin typeface="+mn-lt"/>
              </a:defRPr>
            </a:pPr>
            <a:endParaRPr lang="es-CL"/>
          </a:p>
        </c:txPr>
        <c:crossAx val="526312117"/>
        <c:crosses val="autoZero"/>
        <c:crossBetween val="between"/>
      </c:valAx>
    </c:plotArea>
    <c:legend>
      <c:legendPos val="b"/>
      <c:overlay val="0"/>
      <c:txPr>
        <a:bodyPr/>
        <a:lstStyle/>
        <a:p>
          <a:pPr lvl="0">
            <a:defRPr sz="1400" b="0">
              <a:solidFill>
                <a:srgbClr val="1A1A1A"/>
              </a:solidFill>
              <a:latin typeface="+mn-lt"/>
            </a:defRPr>
          </a:pPr>
          <a:endParaRPr lang="es-CL"/>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2000" b="1">
                <a:solidFill>
                  <a:srgbClr val="757575"/>
                </a:solidFill>
                <a:latin typeface="+mn-lt"/>
              </a:defRPr>
            </a:pPr>
            <a:r>
              <a:rPr lang="es-CL" sz="2000" b="1">
                <a:solidFill>
                  <a:srgbClr val="757575"/>
                </a:solidFill>
                <a:latin typeface="+mn-lt"/>
              </a:rPr>
              <a:t>BurnUp Sprint 2</a:t>
            </a:r>
          </a:p>
        </c:rich>
      </c:tx>
      <c:overlay val="0"/>
    </c:title>
    <c:autoTitleDeleted val="0"/>
    <c:plotArea>
      <c:layout/>
      <c:lineChart>
        <c:grouping val="standard"/>
        <c:varyColors val="1"/>
        <c:ser>
          <c:idx val="0"/>
          <c:order val="0"/>
          <c:tx>
            <c:strRef>
              <c:f>'BurnUp-Down INC 2'!$A$6</c:f>
              <c:strCache>
                <c:ptCount val="1"/>
                <c:pt idx="0">
                  <c:v>Esfuerzo Real Acumulado (HH)</c:v>
                </c:pt>
              </c:strCache>
            </c:strRef>
          </c:tx>
          <c:spPr>
            <a:ln w="19050" cmpd="sng">
              <a:solidFill>
                <a:srgbClr val="4285F4"/>
              </a:solidFill>
            </a:ln>
          </c:spPr>
          <c:marker>
            <c:symbol val="circle"/>
            <c:size val="7"/>
            <c:spPr>
              <a:solidFill>
                <a:srgbClr val="4285F4"/>
              </a:solidFill>
              <a:ln cmpd="sng">
                <a:solidFill>
                  <a:srgbClr val="4285F4"/>
                </a:solidFill>
              </a:ln>
            </c:spPr>
          </c:marker>
          <c:dLbls>
            <c:spPr>
              <a:noFill/>
              <a:ln>
                <a:noFill/>
              </a:ln>
              <a:effectLst/>
            </c:spPr>
            <c:txPr>
              <a:bodyPr/>
              <a:lstStyle/>
              <a:p>
                <a:pPr lvl="0">
                  <a:defRPr sz="1400"/>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'BurnUp-Down INC 2'!$B$5:$S$5</c:f>
              <c:strCache>
                <c:ptCount val="18"/>
                <c:pt idx="0">
                  <c:v>Día 1</c:v>
                </c:pt>
                <c:pt idx="1">
                  <c:v>Día 2</c:v>
                </c:pt>
                <c:pt idx="2">
                  <c:v>Día 3</c:v>
                </c:pt>
                <c:pt idx="3">
                  <c:v>Día 4</c:v>
                </c:pt>
                <c:pt idx="4">
                  <c:v>Día 5</c:v>
                </c:pt>
                <c:pt idx="5">
                  <c:v>Día 6</c:v>
                </c:pt>
                <c:pt idx="6">
                  <c:v>Día 7</c:v>
                </c:pt>
                <c:pt idx="7">
                  <c:v>Día 8</c:v>
                </c:pt>
                <c:pt idx="8">
                  <c:v>Día 9</c:v>
                </c:pt>
                <c:pt idx="9">
                  <c:v>Día 10</c:v>
                </c:pt>
                <c:pt idx="10">
                  <c:v>Día 11</c:v>
                </c:pt>
                <c:pt idx="11">
                  <c:v>Día 12</c:v>
                </c:pt>
                <c:pt idx="12">
                  <c:v>Día 13</c:v>
                </c:pt>
                <c:pt idx="13">
                  <c:v>Día 14</c:v>
                </c:pt>
                <c:pt idx="14">
                  <c:v>Día 15</c:v>
                </c:pt>
                <c:pt idx="15">
                  <c:v>Día 16</c:v>
                </c:pt>
                <c:pt idx="16">
                  <c:v>Día 17</c:v>
                </c:pt>
                <c:pt idx="17">
                  <c:v>Día 18</c:v>
                </c:pt>
              </c:strCache>
            </c:strRef>
          </c:cat>
          <c:val>
            <c:numRef>
              <c:f>'BurnUp-Down INC 2'!$B$6:$S$6</c:f>
              <c:numCache>
                <c:formatCode>0.0</c:formatCode>
                <c:ptCount val="18"/>
                <c:pt idx="0">
                  <c:v>0</c:v>
                </c:pt>
                <c:pt idx="1">
                  <c:v>4</c:v>
                </c:pt>
                <c:pt idx="2">
                  <c:v>11</c:v>
                </c:pt>
                <c:pt idx="3">
                  <c:v>14</c:v>
                </c:pt>
                <c:pt idx="4">
                  <c:v>14</c:v>
                </c:pt>
                <c:pt idx="5">
                  <c:v>25</c:v>
                </c:pt>
                <c:pt idx="6">
                  <c:v>33</c:v>
                </c:pt>
                <c:pt idx="7">
                  <c:v>42</c:v>
                </c:pt>
                <c:pt idx="8">
                  <c:v>48</c:v>
                </c:pt>
                <c:pt idx="9">
                  <c:v>53</c:v>
                </c:pt>
                <c:pt idx="10">
                  <c:v>53</c:v>
                </c:pt>
                <c:pt idx="11">
                  <c:v>56</c:v>
                </c:pt>
                <c:pt idx="12">
                  <c:v>60</c:v>
                </c:pt>
                <c:pt idx="13">
                  <c:v>64</c:v>
                </c:pt>
                <c:pt idx="14">
                  <c:v>67</c:v>
                </c:pt>
                <c:pt idx="15">
                  <c:v>70</c:v>
                </c:pt>
                <c:pt idx="16">
                  <c:v>70</c:v>
                </c:pt>
                <c:pt idx="17">
                  <c:v>74</c:v>
                </c:pt>
              </c:numCache>
            </c:numRef>
          </c:val>
          <c:smooth val="0"/>
          <c:extLst>
            <c:ext xmlns:c16="http://schemas.microsoft.com/office/drawing/2014/chart" uri="{C3380CC4-5D6E-409C-BE32-E72D297353CC}">
              <c16:uniqueId val="{00000000-59D9-4CC1-90E7-B1AE30B3F992}"/>
            </c:ext>
          </c:extLst>
        </c:ser>
        <c:ser>
          <c:idx val="1"/>
          <c:order val="1"/>
          <c:tx>
            <c:strRef>
              <c:f>'BurnUp-Down INC 2'!$A$7</c:f>
              <c:strCache>
                <c:ptCount val="1"/>
                <c:pt idx="0">
                  <c:v>Esfuerzo Estimado Acumulado (HH)</c:v>
                </c:pt>
              </c:strCache>
            </c:strRef>
          </c:tx>
          <c:spPr>
            <a:ln w="19050" cmpd="sng">
              <a:solidFill>
                <a:srgbClr val="EA4335"/>
              </a:solidFill>
            </a:ln>
          </c:spPr>
          <c:marker>
            <c:symbol val="circle"/>
            <c:size val="7"/>
            <c:spPr>
              <a:solidFill>
                <a:srgbClr val="EA4335"/>
              </a:solidFill>
              <a:ln cmpd="sng">
                <a:solidFill>
                  <a:srgbClr val="EA4335"/>
                </a:solidFill>
              </a:ln>
            </c:spPr>
          </c:marker>
          <c:dLbls>
            <c:spPr>
              <a:noFill/>
              <a:ln>
                <a:noFill/>
              </a:ln>
              <a:effectLst/>
            </c:spPr>
            <c:txPr>
              <a:bodyPr/>
              <a:lstStyle/>
              <a:p>
                <a:pPr lvl="0">
                  <a:defRPr sz="1400"/>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'BurnUp-Down INC 2'!$B$5:$S$5</c:f>
              <c:strCache>
                <c:ptCount val="18"/>
                <c:pt idx="0">
                  <c:v>Día 1</c:v>
                </c:pt>
                <c:pt idx="1">
                  <c:v>Día 2</c:v>
                </c:pt>
                <c:pt idx="2">
                  <c:v>Día 3</c:v>
                </c:pt>
                <c:pt idx="3">
                  <c:v>Día 4</c:v>
                </c:pt>
                <c:pt idx="4">
                  <c:v>Día 5</c:v>
                </c:pt>
                <c:pt idx="5">
                  <c:v>Día 6</c:v>
                </c:pt>
                <c:pt idx="6">
                  <c:v>Día 7</c:v>
                </c:pt>
                <c:pt idx="7">
                  <c:v>Día 8</c:v>
                </c:pt>
                <c:pt idx="8">
                  <c:v>Día 9</c:v>
                </c:pt>
                <c:pt idx="9">
                  <c:v>Día 10</c:v>
                </c:pt>
                <c:pt idx="10">
                  <c:v>Día 11</c:v>
                </c:pt>
                <c:pt idx="11">
                  <c:v>Día 12</c:v>
                </c:pt>
                <c:pt idx="12">
                  <c:v>Día 13</c:v>
                </c:pt>
                <c:pt idx="13">
                  <c:v>Día 14</c:v>
                </c:pt>
                <c:pt idx="14">
                  <c:v>Día 15</c:v>
                </c:pt>
                <c:pt idx="15">
                  <c:v>Día 16</c:v>
                </c:pt>
                <c:pt idx="16">
                  <c:v>Día 17</c:v>
                </c:pt>
                <c:pt idx="17">
                  <c:v>Día 18</c:v>
                </c:pt>
              </c:strCache>
            </c:strRef>
          </c:cat>
          <c:val>
            <c:numRef>
              <c:f>'BurnUp-Down INC 2'!$B$7:$S$7</c:f>
              <c:numCache>
                <c:formatCode>0.0</c:formatCode>
                <c:ptCount val="18"/>
                <c:pt idx="0">
                  <c:v>0</c:v>
                </c:pt>
                <c:pt idx="1">
                  <c:v>5.7333333333333325</c:v>
                </c:pt>
                <c:pt idx="2">
                  <c:v>11.466666666666665</c:v>
                </c:pt>
                <c:pt idx="3">
                  <c:v>17.199999999999996</c:v>
                </c:pt>
                <c:pt idx="4">
                  <c:v>20.266666666666662</c:v>
                </c:pt>
                <c:pt idx="5">
                  <c:v>24.333333333333329</c:v>
                </c:pt>
                <c:pt idx="6">
                  <c:v>31.066666666666663</c:v>
                </c:pt>
                <c:pt idx="7">
                  <c:v>34.133333333333333</c:v>
                </c:pt>
                <c:pt idx="8">
                  <c:v>41.033333333333331</c:v>
                </c:pt>
                <c:pt idx="9">
                  <c:v>46.93333333333333</c:v>
                </c:pt>
                <c:pt idx="10">
                  <c:v>50.43333333333333</c:v>
                </c:pt>
                <c:pt idx="11">
                  <c:v>56.533333333333331</c:v>
                </c:pt>
                <c:pt idx="12">
                  <c:v>61.966666666666669</c:v>
                </c:pt>
                <c:pt idx="13">
                  <c:v>68.566666666666663</c:v>
                </c:pt>
                <c:pt idx="14">
                  <c:v>80.333333333333329</c:v>
                </c:pt>
                <c:pt idx="15">
                  <c:v>82</c:v>
                </c:pt>
                <c:pt idx="16">
                  <c:v>82</c:v>
                </c:pt>
                <c:pt idx="17">
                  <c:v>82</c:v>
                </c:pt>
              </c:numCache>
            </c:numRef>
          </c:val>
          <c:smooth val="0"/>
          <c:extLst>
            <c:ext xmlns:c16="http://schemas.microsoft.com/office/drawing/2014/chart" uri="{C3380CC4-5D6E-409C-BE32-E72D297353CC}">
              <c16:uniqueId val="{00000001-59D9-4CC1-90E7-B1AE30B3F992}"/>
            </c:ext>
          </c:extLst>
        </c:ser>
        <c:dLbls>
          <c:showLegendKey val="0"/>
          <c:showVal val="0"/>
          <c:showCatName val="0"/>
          <c:showSerName val="0"/>
          <c:showPercent val="0"/>
          <c:showBubbleSize val="0"/>
        </c:dLbls>
        <c:marker val="1"/>
        <c:smooth val="0"/>
        <c:axId val="1756390872"/>
        <c:axId val="1749957093"/>
      </c:lineChart>
      <c:catAx>
        <c:axId val="1756390872"/>
        <c:scaling>
          <c:orientation val="minMax"/>
        </c:scaling>
        <c:delete val="0"/>
        <c:axPos val="b"/>
        <c:title>
          <c:tx>
            <c:rich>
              <a:bodyPr/>
              <a:lstStyle/>
              <a:p>
                <a:pPr lvl="0">
                  <a:defRPr b="0">
                    <a:solidFill>
                      <a:srgbClr val="000000"/>
                    </a:solidFill>
                    <a:latin typeface="+mn-lt"/>
                  </a:defRPr>
                </a:pPr>
                <a:r>
                  <a:rPr lang="es-CL" b="0">
                    <a:solidFill>
                      <a:srgbClr val="000000"/>
                    </a:solidFill>
                    <a:latin typeface="+mn-lt"/>
                  </a:rPr>
                  <a:t>Días del Sprint</a:t>
                </a:r>
              </a:p>
            </c:rich>
          </c:tx>
          <c:overlay val="0"/>
        </c:title>
        <c:numFmt formatCode="General" sourceLinked="1"/>
        <c:majorTickMark val="none"/>
        <c:minorTickMark val="none"/>
        <c:tickLblPos val="nextTo"/>
        <c:txPr>
          <a:bodyPr/>
          <a:lstStyle/>
          <a:p>
            <a:pPr lvl="0">
              <a:defRPr sz="1400" b="0">
                <a:solidFill>
                  <a:srgbClr val="000000"/>
                </a:solidFill>
                <a:latin typeface="+mn-lt"/>
              </a:defRPr>
            </a:pPr>
            <a:endParaRPr lang="es-CL"/>
          </a:p>
        </c:txPr>
        <c:crossAx val="1749957093"/>
        <c:crosses val="autoZero"/>
        <c:auto val="1"/>
        <c:lblAlgn val="ctr"/>
        <c:lblOffset val="100"/>
        <c:noMultiLvlLbl val="1"/>
      </c:catAx>
      <c:valAx>
        <c:axId val="17499570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CL" b="0">
                    <a:solidFill>
                      <a:srgbClr val="000000"/>
                    </a:solidFill>
                    <a:latin typeface="+mn-lt"/>
                  </a:rPr>
                  <a:t>Horas Hombre</a:t>
                </a:r>
              </a:p>
            </c:rich>
          </c:tx>
          <c:overlay val="0"/>
        </c:title>
        <c:numFmt formatCode="0.0" sourceLinked="1"/>
        <c:majorTickMark val="none"/>
        <c:minorTickMark val="none"/>
        <c:tickLblPos val="nextTo"/>
        <c:spPr>
          <a:ln>
            <a:solidFill/>
          </a:ln>
        </c:spPr>
        <c:txPr>
          <a:bodyPr/>
          <a:lstStyle/>
          <a:p>
            <a:pPr lvl="0">
              <a:defRPr sz="1400" b="0">
                <a:solidFill>
                  <a:srgbClr val="000000"/>
                </a:solidFill>
                <a:latin typeface="+mn-lt"/>
              </a:defRPr>
            </a:pPr>
            <a:endParaRPr lang="es-CL"/>
          </a:p>
        </c:txPr>
        <c:crossAx val="1756390872"/>
        <c:crosses val="autoZero"/>
        <c:crossBetween val="between"/>
      </c:valAx>
    </c:plotArea>
    <c:legend>
      <c:legendPos val="b"/>
      <c:overlay val="0"/>
      <c:txPr>
        <a:bodyPr/>
        <a:lstStyle/>
        <a:p>
          <a:pPr lvl="0">
            <a:defRPr sz="1400" b="0">
              <a:solidFill>
                <a:srgbClr val="1A1A1A"/>
              </a:solidFill>
              <a:latin typeface="+mn-lt"/>
            </a:defRPr>
          </a:pPr>
          <a:endParaRPr lang="es-CL"/>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2000" b="1">
                <a:solidFill>
                  <a:srgbClr val="757575"/>
                </a:solidFill>
                <a:latin typeface="+mn-lt"/>
              </a:defRPr>
            </a:pPr>
            <a:r>
              <a:rPr lang="es-CL" sz="2000" b="1">
                <a:solidFill>
                  <a:srgbClr val="757575"/>
                </a:solidFill>
                <a:latin typeface="+mn-lt"/>
              </a:rPr>
              <a:t>BurnDown Sprint 2</a:t>
            </a:r>
          </a:p>
        </c:rich>
      </c:tx>
      <c:overlay val="0"/>
    </c:title>
    <c:autoTitleDeleted val="0"/>
    <c:plotArea>
      <c:layout/>
      <c:lineChart>
        <c:grouping val="standard"/>
        <c:varyColors val="1"/>
        <c:ser>
          <c:idx val="0"/>
          <c:order val="0"/>
          <c:tx>
            <c:strRef>
              <c:f>'BurnUp-Down INC 2'!$A$12</c:f>
              <c:strCache>
                <c:ptCount val="1"/>
                <c:pt idx="0">
                  <c:v>Esfuerzo Real Restante (HH)</c:v>
                </c:pt>
              </c:strCache>
            </c:strRef>
          </c:tx>
          <c:spPr>
            <a:ln w="19050" cmpd="sng">
              <a:solidFill>
                <a:srgbClr val="4285F4"/>
              </a:solidFill>
            </a:ln>
          </c:spPr>
          <c:marker>
            <c:symbol val="circle"/>
            <c:size val="7"/>
            <c:spPr>
              <a:solidFill>
                <a:srgbClr val="4285F4"/>
              </a:solidFill>
              <a:ln cmpd="sng">
                <a:solidFill>
                  <a:srgbClr val="4285F4"/>
                </a:solidFill>
              </a:ln>
            </c:spPr>
          </c:marker>
          <c:dLbls>
            <c:spPr>
              <a:noFill/>
              <a:ln>
                <a:noFill/>
              </a:ln>
              <a:effectLst/>
            </c:spPr>
            <c:txPr>
              <a:bodyPr/>
              <a:lstStyle/>
              <a:p>
                <a:pPr lvl="0">
                  <a:defRPr sz="1400"/>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'BurnUp-Down INC 2'!$B$11:$S$11</c:f>
              <c:strCache>
                <c:ptCount val="18"/>
                <c:pt idx="0">
                  <c:v>Día 1</c:v>
                </c:pt>
                <c:pt idx="1">
                  <c:v>Día 2</c:v>
                </c:pt>
                <c:pt idx="2">
                  <c:v>Día 3</c:v>
                </c:pt>
                <c:pt idx="3">
                  <c:v>Día 4</c:v>
                </c:pt>
                <c:pt idx="4">
                  <c:v>Día 5</c:v>
                </c:pt>
                <c:pt idx="5">
                  <c:v>Día 6</c:v>
                </c:pt>
                <c:pt idx="6">
                  <c:v>Día 7</c:v>
                </c:pt>
                <c:pt idx="7">
                  <c:v>Día 8</c:v>
                </c:pt>
                <c:pt idx="8">
                  <c:v>Día 9</c:v>
                </c:pt>
                <c:pt idx="9">
                  <c:v>Día 10</c:v>
                </c:pt>
                <c:pt idx="10">
                  <c:v>Día 11</c:v>
                </c:pt>
                <c:pt idx="11">
                  <c:v>Día 12</c:v>
                </c:pt>
                <c:pt idx="12">
                  <c:v>Día 13</c:v>
                </c:pt>
                <c:pt idx="13">
                  <c:v>Día 14</c:v>
                </c:pt>
                <c:pt idx="14">
                  <c:v>Día 15</c:v>
                </c:pt>
                <c:pt idx="15">
                  <c:v>Día 16</c:v>
                </c:pt>
                <c:pt idx="16">
                  <c:v>Día 17</c:v>
                </c:pt>
                <c:pt idx="17">
                  <c:v>Día 18</c:v>
                </c:pt>
              </c:strCache>
            </c:strRef>
          </c:cat>
          <c:val>
            <c:numRef>
              <c:f>'BurnUp-Down INC 2'!$B$12:$S$12</c:f>
              <c:numCache>
                <c:formatCode>0.0</c:formatCode>
                <c:ptCount val="18"/>
                <c:pt idx="0">
                  <c:v>74</c:v>
                </c:pt>
                <c:pt idx="1">
                  <c:v>70</c:v>
                </c:pt>
                <c:pt idx="2">
                  <c:v>63</c:v>
                </c:pt>
                <c:pt idx="3">
                  <c:v>60</c:v>
                </c:pt>
                <c:pt idx="4">
                  <c:v>60</c:v>
                </c:pt>
                <c:pt idx="5">
                  <c:v>49</c:v>
                </c:pt>
                <c:pt idx="6">
                  <c:v>41</c:v>
                </c:pt>
                <c:pt idx="7">
                  <c:v>32</c:v>
                </c:pt>
                <c:pt idx="8">
                  <c:v>26</c:v>
                </c:pt>
                <c:pt idx="9">
                  <c:v>21</c:v>
                </c:pt>
                <c:pt idx="10">
                  <c:v>21</c:v>
                </c:pt>
                <c:pt idx="11">
                  <c:v>18</c:v>
                </c:pt>
                <c:pt idx="12">
                  <c:v>14</c:v>
                </c:pt>
                <c:pt idx="13">
                  <c:v>10</c:v>
                </c:pt>
                <c:pt idx="14">
                  <c:v>7</c:v>
                </c:pt>
                <c:pt idx="15">
                  <c:v>4</c:v>
                </c:pt>
                <c:pt idx="16">
                  <c:v>4</c:v>
                </c:pt>
                <c:pt idx="17">
                  <c:v>0</c:v>
                </c:pt>
              </c:numCache>
            </c:numRef>
          </c:val>
          <c:smooth val="0"/>
          <c:extLst>
            <c:ext xmlns:c16="http://schemas.microsoft.com/office/drawing/2014/chart" uri="{C3380CC4-5D6E-409C-BE32-E72D297353CC}">
              <c16:uniqueId val="{00000000-4F0B-4A68-BC6E-65E613A5856D}"/>
            </c:ext>
          </c:extLst>
        </c:ser>
        <c:ser>
          <c:idx val="1"/>
          <c:order val="1"/>
          <c:tx>
            <c:strRef>
              <c:f>'BurnUp-Down INC 2'!$A$13</c:f>
              <c:strCache>
                <c:ptCount val="1"/>
                <c:pt idx="0">
                  <c:v>Esfuerzo Estimado Restante (HH)</c:v>
                </c:pt>
              </c:strCache>
            </c:strRef>
          </c:tx>
          <c:spPr>
            <a:ln w="19050" cmpd="sng">
              <a:solidFill>
                <a:srgbClr val="EA4335"/>
              </a:solidFill>
            </a:ln>
          </c:spPr>
          <c:marker>
            <c:symbol val="circle"/>
            <c:size val="7"/>
            <c:spPr>
              <a:solidFill>
                <a:srgbClr val="EA4335"/>
              </a:solidFill>
              <a:ln cmpd="sng">
                <a:solidFill>
                  <a:srgbClr val="EA4335"/>
                </a:solidFill>
              </a:ln>
            </c:spPr>
          </c:marker>
          <c:dLbls>
            <c:spPr>
              <a:noFill/>
              <a:ln>
                <a:noFill/>
              </a:ln>
              <a:effectLst/>
            </c:spPr>
            <c:txPr>
              <a:bodyPr/>
              <a:lstStyle/>
              <a:p>
                <a:pPr lvl="0">
                  <a:defRPr sz="1400"/>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'BurnUp-Down INC 2'!$B$11:$S$11</c:f>
              <c:strCache>
                <c:ptCount val="18"/>
                <c:pt idx="0">
                  <c:v>Día 1</c:v>
                </c:pt>
                <c:pt idx="1">
                  <c:v>Día 2</c:v>
                </c:pt>
                <c:pt idx="2">
                  <c:v>Día 3</c:v>
                </c:pt>
                <c:pt idx="3">
                  <c:v>Día 4</c:v>
                </c:pt>
                <c:pt idx="4">
                  <c:v>Día 5</c:v>
                </c:pt>
                <c:pt idx="5">
                  <c:v>Día 6</c:v>
                </c:pt>
                <c:pt idx="6">
                  <c:v>Día 7</c:v>
                </c:pt>
                <c:pt idx="7">
                  <c:v>Día 8</c:v>
                </c:pt>
                <c:pt idx="8">
                  <c:v>Día 9</c:v>
                </c:pt>
                <c:pt idx="9">
                  <c:v>Día 10</c:v>
                </c:pt>
                <c:pt idx="10">
                  <c:v>Día 11</c:v>
                </c:pt>
                <c:pt idx="11">
                  <c:v>Día 12</c:v>
                </c:pt>
                <c:pt idx="12">
                  <c:v>Día 13</c:v>
                </c:pt>
                <c:pt idx="13">
                  <c:v>Día 14</c:v>
                </c:pt>
                <c:pt idx="14">
                  <c:v>Día 15</c:v>
                </c:pt>
                <c:pt idx="15">
                  <c:v>Día 16</c:v>
                </c:pt>
                <c:pt idx="16">
                  <c:v>Día 17</c:v>
                </c:pt>
                <c:pt idx="17">
                  <c:v>Día 18</c:v>
                </c:pt>
              </c:strCache>
            </c:strRef>
          </c:cat>
          <c:val>
            <c:numRef>
              <c:f>'BurnUp-Down INC 2'!$B$13:$S$13</c:f>
              <c:numCache>
                <c:formatCode>0.0</c:formatCode>
                <c:ptCount val="18"/>
                <c:pt idx="0">
                  <c:v>82</c:v>
                </c:pt>
                <c:pt idx="1">
                  <c:v>76.266666666666666</c:v>
                </c:pt>
                <c:pt idx="2">
                  <c:v>70.533333333333331</c:v>
                </c:pt>
                <c:pt idx="3">
                  <c:v>64.8</c:v>
                </c:pt>
                <c:pt idx="4">
                  <c:v>61.733333333333327</c:v>
                </c:pt>
                <c:pt idx="5">
                  <c:v>57.666666666666657</c:v>
                </c:pt>
                <c:pt idx="6">
                  <c:v>50.933333333333323</c:v>
                </c:pt>
                <c:pt idx="7">
                  <c:v>47.866666666666653</c:v>
                </c:pt>
                <c:pt idx="8">
                  <c:v>40.966666666666654</c:v>
                </c:pt>
                <c:pt idx="9">
                  <c:v>35.066666666666656</c:v>
                </c:pt>
                <c:pt idx="10">
                  <c:v>31.566666666666656</c:v>
                </c:pt>
                <c:pt idx="11">
                  <c:v>25.466666666666654</c:v>
                </c:pt>
                <c:pt idx="12">
                  <c:v>20.033333333333321</c:v>
                </c:pt>
                <c:pt idx="13">
                  <c:v>13.433333333333319</c:v>
                </c:pt>
                <c:pt idx="14">
                  <c:v>1.6666666666666519</c:v>
                </c:pt>
                <c:pt idx="15">
                  <c:v>-1.4654943925052066E-14</c:v>
                </c:pt>
                <c:pt idx="16">
                  <c:v>-1.4654943925052066E-14</c:v>
                </c:pt>
                <c:pt idx="17">
                  <c:v>-1.4654943925052066E-14</c:v>
                </c:pt>
              </c:numCache>
            </c:numRef>
          </c:val>
          <c:smooth val="0"/>
          <c:extLst>
            <c:ext xmlns:c16="http://schemas.microsoft.com/office/drawing/2014/chart" uri="{C3380CC4-5D6E-409C-BE32-E72D297353CC}">
              <c16:uniqueId val="{00000001-4F0B-4A68-BC6E-65E613A5856D}"/>
            </c:ext>
          </c:extLst>
        </c:ser>
        <c:dLbls>
          <c:showLegendKey val="0"/>
          <c:showVal val="0"/>
          <c:showCatName val="0"/>
          <c:showSerName val="0"/>
          <c:showPercent val="0"/>
          <c:showBubbleSize val="0"/>
        </c:dLbls>
        <c:marker val="1"/>
        <c:smooth val="0"/>
        <c:axId val="857673517"/>
        <c:axId val="1250060348"/>
      </c:lineChart>
      <c:catAx>
        <c:axId val="857673517"/>
        <c:scaling>
          <c:orientation val="minMax"/>
        </c:scaling>
        <c:delete val="0"/>
        <c:axPos val="b"/>
        <c:title>
          <c:tx>
            <c:rich>
              <a:bodyPr/>
              <a:lstStyle/>
              <a:p>
                <a:pPr lvl="0">
                  <a:defRPr b="0">
                    <a:solidFill>
                      <a:srgbClr val="000000"/>
                    </a:solidFill>
                    <a:latin typeface="+mn-lt"/>
                  </a:defRPr>
                </a:pPr>
                <a:r>
                  <a:rPr lang="es-CL" b="0">
                    <a:solidFill>
                      <a:srgbClr val="000000"/>
                    </a:solidFill>
                    <a:latin typeface="+mn-lt"/>
                  </a:rPr>
                  <a:t>Días del Sprint</a:t>
                </a:r>
              </a:p>
            </c:rich>
          </c:tx>
          <c:overlay val="0"/>
        </c:title>
        <c:numFmt formatCode="General" sourceLinked="1"/>
        <c:majorTickMark val="none"/>
        <c:minorTickMark val="none"/>
        <c:tickLblPos val="nextTo"/>
        <c:txPr>
          <a:bodyPr/>
          <a:lstStyle/>
          <a:p>
            <a:pPr lvl="0">
              <a:defRPr sz="1400" b="0">
                <a:solidFill>
                  <a:srgbClr val="000000"/>
                </a:solidFill>
                <a:latin typeface="+mn-lt"/>
              </a:defRPr>
            </a:pPr>
            <a:endParaRPr lang="es-CL"/>
          </a:p>
        </c:txPr>
        <c:crossAx val="1250060348"/>
        <c:crosses val="autoZero"/>
        <c:auto val="1"/>
        <c:lblAlgn val="ctr"/>
        <c:lblOffset val="100"/>
        <c:noMultiLvlLbl val="1"/>
      </c:catAx>
      <c:valAx>
        <c:axId val="1250060348"/>
        <c:scaling>
          <c:orientation val="minMax"/>
          <c:min val="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CL" b="0">
                    <a:solidFill>
                      <a:srgbClr val="000000"/>
                    </a:solidFill>
                    <a:latin typeface="+mn-lt"/>
                  </a:rPr>
                  <a:t>Horas Hombre</a:t>
                </a:r>
              </a:p>
            </c:rich>
          </c:tx>
          <c:overlay val="0"/>
        </c:title>
        <c:numFmt formatCode="0.0" sourceLinked="1"/>
        <c:majorTickMark val="none"/>
        <c:minorTickMark val="none"/>
        <c:tickLblPos val="nextTo"/>
        <c:spPr>
          <a:ln>
            <a:solidFill/>
          </a:ln>
        </c:spPr>
        <c:txPr>
          <a:bodyPr/>
          <a:lstStyle/>
          <a:p>
            <a:pPr lvl="0">
              <a:defRPr sz="1400" b="0">
                <a:solidFill>
                  <a:srgbClr val="000000"/>
                </a:solidFill>
                <a:latin typeface="+mn-lt"/>
              </a:defRPr>
            </a:pPr>
            <a:endParaRPr lang="es-CL"/>
          </a:p>
        </c:txPr>
        <c:crossAx val="857673517"/>
        <c:crosses val="autoZero"/>
        <c:crossBetween val="between"/>
      </c:valAx>
    </c:plotArea>
    <c:legend>
      <c:legendPos val="b"/>
      <c:overlay val="0"/>
      <c:txPr>
        <a:bodyPr/>
        <a:lstStyle/>
        <a:p>
          <a:pPr lvl="0">
            <a:defRPr sz="1400" b="0">
              <a:solidFill>
                <a:srgbClr val="1A1A1A"/>
              </a:solidFill>
              <a:latin typeface="+mn-lt"/>
            </a:defRPr>
          </a:pPr>
          <a:endParaRPr lang="es-CL"/>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2000" b="1">
                <a:solidFill>
                  <a:srgbClr val="757575"/>
                </a:solidFill>
                <a:latin typeface="+mn-lt"/>
              </a:defRPr>
            </a:pPr>
            <a:r>
              <a:rPr lang="es-CL" sz="2000" b="1">
                <a:solidFill>
                  <a:srgbClr val="757575"/>
                </a:solidFill>
                <a:latin typeface="+mn-lt"/>
              </a:rPr>
              <a:t>BurnUp Sprint 3</a:t>
            </a:r>
          </a:p>
        </c:rich>
      </c:tx>
      <c:overlay val="0"/>
    </c:title>
    <c:autoTitleDeleted val="0"/>
    <c:plotArea>
      <c:layout/>
      <c:lineChart>
        <c:grouping val="standard"/>
        <c:varyColors val="1"/>
        <c:ser>
          <c:idx val="0"/>
          <c:order val="0"/>
          <c:tx>
            <c:strRef>
              <c:f>'BurnUp-Down INC 2'!$A$23</c:f>
              <c:strCache>
                <c:ptCount val="1"/>
                <c:pt idx="0">
                  <c:v>Esfuerzo Real Acumulado (HH)</c:v>
                </c:pt>
              </c:strCache>
            </c:strRef>
          </c:tx>
          <c:spPr>
            <a:ln w="19050" cmpd="sng">
              <a:solidFill>
                <a:srgbClr val="4285F4"/>
              </a:solidFill>
            </a:ln>
          </c:spPr>
          <c:marker>
            <c:symbol val="circle"/>
            <c:size val="7"/>
            <c:spPr>
              <a:solidFill>
                <a:srgbClr val="4285F4"/>
              </a:solidFill>
              <a:ln cmpd="sng">
                <a:solidFill>
                  <a:srgbClr val="4285F4"/>
                </a:solidFill>
              </a:ln>
            </c:spPr>
          </c:marker>
          <c:dLbls>
            <c:spPr>
              <a:noFill/>
              <a:ln>
                <a:noFill/>
              </a:ln>
              <a:effectLst/>
            </c:spPr>
            <c:txPr>
              <a:bodyPr/>
              <a:lstStyle/>
              <a:p>
                <a:pPr lvl="0">
                  <a:defRPr sz="1400"/>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'BurnUp-Down INC 2'!$B$22:$Q$22</c:f>
              <c:strCache>
                <c:ptCount val="16"/>
                <c:pt idx="0">
                  <c:v>Día 1</c:v>
                </c:pt>
                <c:pt idx="1">
                  <c:v>Día 2</c:v>
                </c:pt>
                <c:pt idx="2">
                  <c:v>Día 3</c:v>
                </c:pt>
                <c:pt idx="3">
                  <c:v>Día 4</c:v>
                </c:pt>
                <c:pt idx="4">
                  <c:v>Día 5</c:v>
                </c:pt>
                <c:pt idx="5">
                  <c:v>Día 6</c:v>
                </c:pt>
                <c:pt idx="6">
                  <c:v>Día 7</c:v>
                </c:pt>
                <c:pt idx="7">
                  <c:v>Día 8</c:v>
                </c:pt>
                <c:pt idx="8">
                  <c:v>Día 9</c:v>
                </c:pt>
                <c:pt idx="9">
                  <c:v>Día 10</c:v>
                </c:pt>
                <c:pt idx="10">
                  <c:v>Día 11</c:v>
                </c:pt>
                <c:pt idx="11">
                  <c:v>Día 12</c:v>
                </c:pt>
                <c:pt idx="12">
                  <c:v>Día 13</c:v>
                </c:pt>
                <c:pt idx="13">
                  <c:v>Día 14</c:v>
                </c:pt>
                <c:pt idx="14">
                  <c:v>Día 15</c:v>
                </c:pt>
                <c:pt idx="15">
                  <c:v>Día 16</c:v>
                </c:pt>
              </c:strCache>
            </c:strRef>
          </c:cat>
          <c:val>
            <c:numRef>
              <c:f>'BurnUp-Down INC 2'!$B$23:$Q$23</c:f>
              <c:numCache>
                <c:formatCode>0.0</c:formatCode>
                <c:ptCount val="16"/>
                <c:pt idx="0">
                  <c:v>0</c:v>
                </c:pt>
                <c:pt idx="1">
                  <c:v>2</c:v>
                </c:pt>
                <c:pt idx="2">
                  <c:v>4</c:v>
                </c:pt>
                <c:pt idx="3">
                  <c:v>8</c:v>
                </c:pt>
                <c:pt idx="4">
                  <c:v>14</c:v>
                </c:pt>
                <c:pt idx="5">
                  <c:v>19</c:v>
                </c:pt>
                <c:pt idx="6">
                  <c:v>22</c:v>
                </c:pt>
                <c:pt idx="7">
                  <c:v>33</c:v>
                </c:pt>
                <c:pt idx="8">
                  <c:v>43</c:v>
                </c:pt>
                <c:pt idx="9">
                  <c:v>43</c:v>
                </c:pt>
                <c:pt idx="10">
                  <c:v>45</c:v>
                </c:pt>
                <c:pt idx="11">
                  <c:v>51</c:v>
                </c:pt>
                <c:pt idx="12">
                  <c:v>56</c:v>
                </c:pt>
                <c:pt idx="13">
                  <c:v>65</c:v>
                </c:pt>
                <c:pt idx="14">
                  <c:v>73</c:v>
                </c:pt>
                <c:pt idx="15">
                  <c:v>79</c:v>
                </c:pt>
              </c:numCache>
            </c:numRef>
          </c:val>
          <c:smooth val="0"/>
          <c:extLst>
            <c:ext xmlns:c16="http://schemas.microsoft.com/office/drawing/2014/chart" uri="{C3380CC4-5D6E-409C-BE32-E72D297353CC}">
              <c16:uniqueId val="{00000000-102C-4D9D-88A6-445FE26F174A}"/>
            </c:ext>
          </c:extLst>
        </c:ser>
        <c:ser>
          <c:idx val="1"/>
          <c:order val="1"/>
          <c:tx>
            <c:strRef>
              <c:f>'BurnUp-Down INC 2'!$A$24</c:f>
              <c:strCache>
                <c:ptCount val="1"/>
                <c:pt idx="0">
                  <c:v>Esfuerzo Estimado Acumulado (HH)</c:v>
                </c:pt>
              </c:strCache>
            </c:strRef>
          </c:tx>
          <c:spPr>
            <a:ln w="19050" cmpd="sng">
              <a:solidFill>
                <a:srgbClr val="EA4335"/>
              </a:solidFill>
            </a:ln>
          </c:spPr>
          <c:marker>
            <c:symbol val="circle"/>
            <c:size val="7"/>
            <c:spPr>
              <a:solidFill>
                <a:srgbClr val="EA4335"/>
              </a:solidFill>
              <a:ln cmpd="sng">
                <a:solidFill>
                  <a:srgbClr val="EA4335"/>
                </a:solidFill>
              </a:ln>
            </c:spPr>
          </c:marker>
          <c:dLbls>
            <c:spPr>
              <a:noFill/>
              <a:ln>
                <a:noFill/>
              </a:ln>
              <a:effectLst/>
            </c:spPr>
            <c:txPr>
              <a:bodyPr/>
              <a:lstStyle/>
              <a:p>
                <a:pPr lvl="0">
                  <a:defRPr sz="1400"/>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'BurnUp-Down INC 2'!$B$22:$Q$22</c:f>
              <c:strCache>
                <c:ptCount val="16"/>
                <c:pt idx="0">
                  <c:v>Día 1</c:v>
                </c:pt>
                <c:pt idx="1">
                  <c:v>Día 2</c:v>
                </c:pt>
                <c:pt idx="2">
                  <c:v>Día 3</c:v>
                </c:pt>
                <c:pt idx="3">
                  <c:v>Día 4</c:v>
                </c:pt>
                <c:pt idx="4">
                  <c:v>Día 5</c:v>
                </c:pt>
                <c:pt idx="5">
                  <c:v>Día 6</c:v>
                </c:pt>
                <c:pt idx="6">
                  <c:v>Día 7</c:v>
                </c:pt>
                <c:pt idx="7">
                  <c:v>Día 8</c:v>
                </c:pt>
                <c:pt idx="8">
                  <c:v>Día 9</c:v>
                </c:pt>
                <c:pt idx="9">
                  <c:v>Día 10</c:v>
                </c:pt>
                <c:pt idx="10">
                  <c:v>Día 11</c:v>
                </c:pt>
                <c:pt idx="11">
                  <c:v>Día 12</c:v>
                </c:pt>
                <c:pt idx="12">
                  <c:v>Día 13</c:v>
                </c:pt>
                <c:pt idx="13">
                  <c:v>Día 14</c:v>
                </c:pt>
                <c:pt idx="14">
                  <c:v>Día 15</c:v>
                </c:pt>
                <c:pt idx="15">
                  <c:v>Día 16</c:v>
                </c:pt>
              </c:strCache>
            </c:strRef>
          </c:cat>
          <c:val>
            <c:numRef>
              <c:f>'BurnUp-Down INC 2'!$B$24:$Q$24</c:f>
              <c:numCache>
                <c:formatCode>0.0</c:formatCode>
                <c:ptCount val="16"/>
                <c:pt idx="0">
                  <c:v>0</c:v>
                </c:pt>
                <c:pt idx="1">
                  <c:v>5.8714285714285737</c:v>
                </c:pt>
                <c:pt idx="2">
                  <c:v>11.742857142857147</c:v>
                </c:pt>
                <c:pt idx="3">
                  <c:v>17.614285714285721</c:v>
                </c:pt>
                <c:pt idx="4">
                  <c:v>21.485714285714295</c:v>
                </c:pt>
                <c:pt idx="5">
                  <c:v>26.857142857142868</c:v>
                </c:pt>
                <c:pt idx="6">
                  <c:v>31.761904761904773</c:v>
                </c:pt>
                <c:pt idx="7">
                  <c:v>39.000000000000014</c:v>
                </c:pt>
                <c:pt idx="8">
                  <c:v>42.666666666666679</c:v>
                </c:pt>
                <c:pt idx="9">
                  <c:v>48.571428571428584</c:v>
                </c:pt>
                <c:pt idx="10">
                  <c:v>54.142857142857153</c:v>
                </c:pt>
                <c:pt idx="11">
                  <c:v>59.64761904761906</c:v>
                </c:pt>
                <c:pt idx="12">
                  <c:v>63.152380952380966</c:v>
                </c:pt>
                <c:pt idx="13">
                  <c:v>68.323809523809544</c:v>
                </c:pt>
                <c:pt idx="14">
                  <c:v>74.661904761904779</c:v>
                </c:pt>
                <c:pt idx="15">
                  <c:v>81.000000000000014</c:v>
                </c:pt>
              </c:numCache>
            </c:numRef>
          </c:val>
          <c:smooth val="0"/>
          <c:extLst>
            <c:ext xmlns:c16="http://schemas.microsoft.com/office/drawing/2014/chart" uri="{C3380CC4-5D6E-409C-BE32-E72D297353CC}">
              <c16:uniqueId val="{00000001-102C-4D9D-88A6-445FE26F174A}"/>
            </c:ext>
          </c:extLst>
        </c:ser>
        <c:dLbls>
          <c:showLegendKey val="0"/>
          <c:showVal val="0"/>
          <c:showCatName val="0"/>
          <c:showSerName val="0"/>
          <c:showPercent val="0"/>
          <c:showBubbleSize val="0"/>
        </c:dLbls>
        <c:marker val="1"/>
        <c:smooth val="0"/>
        <c:axId val="195363060"/>
        <c:axId val="477402378"/>
      </c:lineChart>
      <c:catAx>
        <c:axId val="195363060"/>
        <c:scaling>
          <c:orientation val="minMax"/>
        </c:scaling>
        <c:delete val="0"/>
        <c:axPos val="b"/>
        <c:title>
          <c:tx>
            <c:rich>
              <a:bodyPr/>
              <a:lstStyle/>
              <a:p>
                <a:pPr lvl="0">
                  <a:defRPr b="0">
                    <a:solidFill>
                      <a:srgbClr val="000000"/>
                    </a:solidFill>
                    <a:latin typeface="+mn-lt"/>
                  </a:defRPr>
                </a:pPr>
                <a:r>
                  <a:rPr lang="es-CL" b="0">
                    <a:solidFill>
                      <a:srgbClr val="000000"/>
                    </a:solidFill>
                    <a:latin typeface="+mn-lt"/>
                  </a:rPr>
                  <a:t>Días del Sprint</a:t>
                </a:r>
              </a:p>
            </c:rich>
          </c:tx>
          <c:overlay val="0"/>
        </c:title>
        <c:numFmt formatCode="General" sourceLinked="1"/>
        <c:majorTickMark val="none"/>
        <c:minorTickMark val="none"/>
        <c:tickLblPos val="nextTo"/>
        <c:txPr>
          <a:bodyPr/>
          <a:lstStyle/>
          <a:p>
            <a:pPr lvl="0">
              <a:defRPr sz="1400" b="0">
                <a:solidFill>
                  <a:srgbClr val="000000"/>
                </a:solidFill>
                <a:latin typeface="+mn-lt"/>
              </a:defRPr>
            </a:pPr>
            <a:endParaRPr lang="es-CL"/>
          </a:p>
        </c:txPr>
        <c:crossAx val="477402378"/>
        <c:crosses val="autoZero"/>
        <c:auto val="1"/>
        <c:lblAlgn val="ctr"/>
        <c:lblOffset val="100"/>
        <c:noMultiLvlLbl val="1"/>
      </c:catAx>
      <c:valAx>
        <c:axId val="4774023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CL" b="0">
                    <a:solidFill>
                      <a:srgbClr val="000000"/>
                    </a:solidFill>
                    <a:latin typeface="+mn-lt"/>
                  </a:rPr>
                  <a:t>Horas Hombre</a:t>
                </a:r>
              </a:p>
            </c:rich>
          </c:tx>
          <c:overlay val="0"/>
        </c:title>
        <c:numFmt formatCode="0.0" sourceLinked="1"/>
        <c:majorTickMark val="none"/>
        <c:minorTickMark val="none"/>
        <c:tickLblPos val="nextTo"/>
        <c:spPr>
          <a:ln>
            <a:solidFill/>
          </a:ln>
        </c:spPr>
        <c:txPr>
          <a:bodyPr/>
          <a:lstStyle/>
          <a:p>
            <a:pPr lvl="0">
              <a:defRPr sz="1400" b="0">
                <a:solidFill>
                  <a:srgbClr val="000000"/>
                </a:solidFill>
                <a:latin typeface="+mn-lt"/>
              </a:defRPr>
            </a:pPr>
            <a:endParaRPr lang="es-CL"/>
          </a:p>
        </c:txPr>
        <c:crossAx val="195363060"/>
        <c:crosses val="autoZero"/>
        <c:crossBetween val="between"/>
      </c:valAx>
    </c:plotArea>
    <c:legend>
      <c:legendPos val="b"/>
      <c:overlay val="0"/>
      <c:txPr>
        <a:bodyPr/>
        <a:lstStyle/>
        <a:p>
          <a:pPr lvl="0">
            <a:defRPr sz="1400" b="0">
              <a:solidFill>
                <a:srgbClr val="1A1A1A"/>
              </a:solidFill>
              <a:latin typeface="+mn-lt"/>
            </a:defRPr>
          </a:pPr>
          <a:endParaRPr lang="es-CL"/>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2000" b="1">
                <a:solidFill>
                  <a:srgbClr val="757575"/>
                </a:solidFill>
                <a:latin typeface="+mn-lt"/>
              </a:defRPr>
            </a:pPr>
            <a:r>
              <a:rPr lang="es-CL" sz="2000" b="1">
                <a:solidFill>
                  <a:srgbClr val="757575"/>
                </a:solidFill>
                <a:latin typeface="+mn-lt"/>
              </a:rPr>
              <a:t>BurnDown Sprint 3</a:t>
            </a:r>
          </a:p>
        </c:rich>
      </c:tx>
      <c:overlay val="0"/>
    </c:title>
    <c:autoTitleDeleted val="0"/>
    <c:plotArea>
      <c:layout/>
      <c:lineChart>
        <c:grouping val="standard"/>
        <c:varyColors val="1"/>
        <c:ser>
          <c:idx val="0"/>
          <c:order val="0"/>
          <c:tx>
            <c:strRef>
              <c:f>'BurnUp-Down INC 2'!$A$29</c:f>
              <c:strCache>
                <c:ptCount val="1"/>
                <c:pt idx="0">
                  <c:v>Esfuerzo Real Restante (HH)</c:v>
                </c:pt>
              </c:strCache>
            </c:strRef>
          </c:tx>
          <c:spPr>
            <a:ln w="19050" cmpd="sng">
              <a:solidFill>
                <a:srgbClr val="4285F4"/>
              </a:solidFill>
            </a:ln>
          </c:spPr>
          <c:marker>
            <c:symbol val="circle"/>
            <c:size val="7"/>
            <c:spPr>
              <a:solidFill>
                <a:srgbClr val="4285F4"/>
              </a:solidFill>
              <a:ln cmpd="sng">
                <a:solidFill>
                  <a:srgbClr val="4285F4"/>
                </a:solidFill>
              </a:ln>
            </c:spPr>
          </c:marker>
          <c:dLbls>
            <c:spPr>
              <a:noFill/>
              <a:ln>
                <a:noFill/>
              </a:ln>
              <a:effectLst/>
            </c:spPr>
            <c:txPr>
              <a:bodyPr/>
              <a:lstStyle/>
              <a:p>
                <a:pPr lvl="0">
                  <a:defRPr sz="1400"/>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'BurnUp-Down INC 2'!$B$28:$Q$28</c:f>
              <c:strCache>
                <c:ptCount val="16"/>
                <c:pt idx="0">
                  <c:v>Día 1</c:v>
                </c:pt>
                <c:pt idx="1">
                  <c:v>Día 2</c:v>
                </c:pt>
                <c:pt idx="2">
                  <c:v>Día 3</c:v>
                </c:pt>
                <c:pt idx="3">
                  <c:v>Día 4</c:v>
                </c:pt>
                <c:pt idx="4">
                  <c:v>Día 5</c:v>
                </c:pt>
                <c:pt idx="5">
                  <c:v>Día 6</c:v>
                </c:pt>
                <c:pt idx="6">
                  <c:v>Día 7</c:v>
                </c:pt>
                <c:pt idx="7">
                  <c:v>Día 8</c:v>
                </c:pt>
                <c:pt idx="8">
                  <c:v>Día 9</c:v>
                </c:pt>
                <c:pt idx="9">
                  <c:v>Día 10</c:v>
                </c:pt>
                <c:pt idx="10">
                  <c:v>Día 11</c:v>
                </c:pt>
                <c:pt idx="11">
                  <c:v>Día 12</c:v>
                </c:pt>
                <c:pt idx="12">
                  <c:v>Día 13</c:v>
                </c:pt>
                <c:pt idx="13">
                  <c:v>Día 14</c:v>
                </c:pt>
                <c:pt idx="14">
                  <c:v>Día 15</c:v>
                </c:pt>
                <c:pt idx="15">
                  <c:v>Día 16</c:v>
                </c:pt>
              </c:strCache>
            </c:strRef>
          </c:cat>
          <c:val>
            <c:numRef>
              <c:f>'BurnUp-Down INC 2'!$B$29:$Q$29</c:f>
              <c:numCache>
                <c:formatCode>0.0</c:formatCode>
                <c:ptCount val="16"/>
                <c:pt idx="0">
                  <c:v>79</c:v>
                </c:pt>
                <c:pt idx="1">
                  <c:v>77</c:v>
                </c:pt>
                <c:pt idx="2">
                  <c:v>75</c:v>
                </c:pt>
                <c:pt idx="3">
                  <c:v>71</c:v>
                </c:pt>
                <c:pt idx="4">
                  <c:v>65</c:v>
                </c:pt>
                <c:pt idx="5">
                  <c:v>60</c:v>
                </c:pt>
                <c:pt idx="6">
                  <c:v>57</c:v>
                </c:pt>
                <c:pt idx="7">
                  <c:v>46</c:v>
                </c:pt>
                <c:pt idx="8">
                  <c:v>36</c:v>
                </c:pt>
                <c:pt idx="9">
                  <c:v>36</c:v>
                </c:pt>
                <c:pt idx="10">
                  <c:v>34</c:v>
                </c:pt>
                <c:pt idx="11">
                  <c:v>28</c:v>
                </c:pt>
                <c:pt idx="12">
                  <c:v>23</c:v>
                </c:pt>
                <c:pt idx="13">
                  <c:v>14</c:v>
                </c:pt>
                <c:pt idx="14">
                  <c:v>6</c:v>
                </c:pt>
                <c:pt idx="15">
                  <c:v>0</c:v>
                </c:pt>
              </c:numCache>
            </c:numRef>
          </c:val>
          <c:smooth val="0"/>
          <c:extLst>
            <c:ext xmlns:c16="http://schemas.microsoft.com/office/drawing/2014/chart" uri="{C3380CC4-5D6E-409C-BE32-E72D297353CC}">
              <c16:uniqueId val="{00000000-8553-4B06-AA09-5DCBCF1BCB56}"/>
            </c:ext>
          </c:extLst>
        </c:ser>
        <c:ser>
          <c:idx val="1"/>
          <c:order val="1"/>
          <c:tx>
            <c:strRef>
              <c:f>'BurnUp-Down INC 2'!$A$30</c:f>
              <c:strCache>
                <c:ptCount val="1"/>
                <c:pt idx="0">
                  <c:v>Esfuerzo Estimado Restante (HH)</c:v>
                </c:pt>
              </c:strCache>
            </c:strRef>
          </c:tx>
          <c:spPr>
            <a:ln w="19050" cmpd="sng">
              <a:solidFill>
                <a:srgbClr val="EA4335"/>
              </a:solidFill>
            </a:ln>
          </c:spPr>
          <c:marker>
            <c:symbol val="circle"/>
            <c:size val="7"/>
            <c:spPr>
              <a:solidFill>
                <a:srgbClr val="EA4335"/>
              </a:solidFill>
              <a:ln cmpd="sng">
                <a:solidFill>
                  <a:srgbClr val="EA4335"/>
                </a:solidFill>
              </a:ln>
            </c:spPr>
          </c:marker>
          <c:dLbls>
            <c:spPr>
              <a:noFill/>
              <a:ln>
                <a:noFill/>
              </a:ln>
              <a:effectLst/>
            </c:spPr>
            <c:txPr>
              <a:bodyPr/>
              <a:lstStyle/>
              <a:p>
                <a:pPr lvl="0">
                  <a:defRPr sz="1400"/>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'BurnUp-Down INC 2'!$B$28:$Q$28</c:f>
              <c:strCache>
                <c:ptCount val="16"/>
                <c:pt idx="0">
                  <c:v>Día 1</c:v>
                </c:pt>
                <c:pt idx="1">
                  <c:v>Día 2</c:v>
                </c:pt>
                <c:pt idx="2">
                  <c:v>Día 3</c:v>
                </c:pt>
                <c:pt idx="3">
                  <c:v>Día 4</c:v>
                </c:pt>
                <c:pt idx="4">
                  <c:v>Día 5</c:v>
                </c:pt>
                <c:pt idx="5">
                  <c:v>Día 6</c:v>
                </c:pt>
                <c:pt idx="6">
                  <c:v>Día 7</c:v>
                </c:pt>
                <c:pt idx="7">
                  <c:v>Día 8</c:v>
                </c:pt>
                <c:pt idx="8">
                  <c:v>Día 9</c:v>
                </c:pt>
                <c:pt idx="9">
                  <c:v>Día 10</c:v>
                </c:pt>
                <c:pt idx="10">
                  <c:v>Día 11</c:v>
                </c:pt>
                <c:pt idx="11">
                  <c:v>Día 12</c:v>
                </c:pt>
                <c:pt idx="12">
                  <c:v>Día 13</c:v>
                </c:pt>
                <c:pt idx="13">
                  <c:v>Día 14</c:v>
                </c:pt>
                <c:pt idx="14">
                  <c:v>Día 15</c:v>
                </c:pt>
                <c:pt idx="15">
                  <c:v>Día 16</c:v>
                </c:pt>
              </c:strCache>
            </c:strRef>
          </c:cat>
          <c:val>
            <c:numRef>
              <c:f>'BurnUp-Down INC 2'!$B$30:$Q$30</c:f>
              <c:numCache>
                <c:formatCode>0.0</c:formatCode>
                <c:ptCount val="16"/>
                <c:pt idx="0">
                  <c:v>81</c:v>
                </c:pt>
                <c:pt idx="1">
                  <c:v>75.128571428571433</c:v>
                </c:pt>
                <c:pt idx="2">
                  <c:v>69.257142857142867</c:v>
                </c:pt>
                <c:pt idx="3">
                  <c:v>63.385714285714293</c:v>
                </c:pt>
                <c:pt idx="4">
                  <c:v>59.51428571428572</c:v>
                </c:pt>
                <c:pt idx="5">
                  <c:v>54.142857142857146</c:v>
                </c:pt>
                <c:pt idx="6">
                  <c:v>49.238095238095241</c:v>
                </c:pt>
                <c:pt idx="7">
                  <c:v>42</c:v>
                </c:pt>
                <c:pt idx="8">
                  <c:v>38.333333333333336</c:v>
                </c:pt>
                <c:pt idx="9">
                  <c:v>32.428571428571431</c:v>
                </c:pt>
                <c:pt idx="10">
                  <c:v>26.857142857142858</c:v>
                </c:pt>
                <c:pt idx="11">
                  <c:v>21.352380952380951</c:v>
                </c:pt>
                <c:pt idx="12">
                  <c:v>17.847619047619045</c:v>
                </c:pt>
                <c:pt idx="13">
                  <c:v>12.67619047619047</c:v>
                </c:pt>
                <c:pt idx="14">
                  <c:v>6.3380952380952298</c:v>
                </c:pt>
                <c:pt idx="15">
                  <c:v>-1.0658141036401503E-14</c:v>
                </c:pt>
              </c:numCache>
            </c:numRef>
          </c:val>
          <c:smooth val="0"/>
          <c:extLst>
            <c:ext xmlns:c16="http://schemas.microsoft.com/office/drawing/2014/chart" uri="{C3380CC4-5D6E-409C-BE32-E72D297353CC}">
              <c16:uniqueId val="{00000001-8553-4B06-AA09-5DCBCF1BCB56}"/>
            </c:ext>
          </c:extLst>
        </c:ser>
        <c:dLbls>
          <c:showLegendKey val="0"/>
          <c:showVal val="0"/>
          <c:showCatName val="0"/>
          <c:showSerName val="0"/>
          <c:showPercent val="0"/>
          <c:showBubbleSize val="0"/>
        </c:dLbls>
        <c:marker val="1"/>
        <c:smooth val="0"/>
        <c:axId val="1625490675"/>
        <c:axId val="495943030"/>
      </c:lineChart>
      <c:catAx>
        <c:axId val="1625490675"/>
        <c:scaling>
          <c:orientation val="minMax"/>
        </c:scaling>
        <c:delete val="0"/>
        <c:axPos val="b"/>
        <c:title>
          <c:tx>
            <c:rich>
              <a:bodyPr/>
              <a:lstStyle/>
              <a:p>
                <a:pPr lvl="0">
                  <a:defRPr b="0">
                    <a:solidFill>
                      <a:srgbClr val="000000"/>
                    </a:solidFill>
                    <a:latin typeface="+mn-lt"/>
                  </a:defRPr>
                </a:pPr>
                <a:r>
                  <a:rPr lang="es-CL" b="0">
                    <a:solidFill>
                      <a:srgbClr val="000000"/>
                    </a:solidFill>
                    <a:latin typeface="+mn-lt"/>
                  </a:rPr>
                  <a:t>Días del Sprint</a:t>
                </a:r>
              </a:p>
            </c:rich>
          </c:tx>
          <c:overlay val="0"/>
        </c:title>
        <c:numFmt formatCode="General" sourceLinked="1"/>
        <c:majorTickMark val="none"/>
        <c:minorTickMark val="none"/>
        <c:tickLblPos val="nextTo"/>
        <c:txPr>
          <a:bodyPr/>
          <a:lstStyle/>
          <a:p>
            <a:pPr lvl="0">
              <a:defRPr sz="1400" b="0">
                <a:solidFill>
                  <a:srgbClr val="000000"/>
                </a:solidFill>
                <a:latin typeface="+mn-lt"/>
              </a:defRPr>
            </a:pPr>
            <a:endParaRPr lang="es-CL"/>
          </a:p>
        </c:txPr>
        <c:crossAx val="495943030"/>
        <c:crosses val="autoZero"/>
        <c:auto val="1"/>
        <c:lblAlgn val="ctr"/>
        <c:lblOffset val="100"/>
        <c:noMultiLvlLbl val="1"/>
      </c:catAx>
      <c:valAx>
        <c:axId val="495943030"/>
        <c:scaling>
          <c:orientation val="minMax"/>
          <c:min val="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CL" b="0">
                    <a:solidFill>
                      <a:srgbClr val="000000"/>
                    </a:solidFill>
                    <a:latin typeface="+mn-lt"/>
                  </a:rPr>
                  <a:t>Horas Hombre</a:t>
                </a:r>
              </a:p>
            </c:rich>
          </c:tx>
          <c:overlay val="0"/>
        </c:title>
        <c:numFmt formatCode="0.0" sourceLinked="1"/>
        <c:majorTickMark val="none"/>
        <c:minorTickMark val="none"/>
        <c:tickLblPos val="nextTo"/>
        <c:spPr>
          <a:ln>
            <a:solidFill/>
          </a:ln>
        </c:spPr>
        <c:txPr>
          <a:bodyPr/>
          <a:lstStyle/>
          <a:p>
            <a:pPr lvl="0">
              <a:defRPr sz="1400" b="0">
                <a:solidFill>
                  <a:srgbClr val="000000"/>
                </a:solidFill>
                <a:latin typeface="+mn-lt"/>
              </a:defRPr>
            </a:pPr>
            <a:endParaRPr lang="es-CL"/>
          </a:p>
        </c:txPr>
        <c:crossAx val="1625490675"/>
        <c:crosses val="autoZero"/>
        <c:crossBetween val="between"/>
      </c:valAx>
    </c:plotArea>
    <c:legend>
      <c:legendPos val="b"/>
      <c:overlay val="0"/>
      <c:txPr>
        <a:bodyPr/>
        <a:lstStyle/>
        <a:p>
          <a:pPr lvl="0">
            <a:defRPr sz="1400" b="0">
              <a:solidFill>
                <a:srgbClr val="1A1A1A"/>
              </a:solidFill>
              <a:latin typeface="+mn-lt"/>
            </a:defRPr>
          </a:pPr>
          <a:endParaRPr lang="es-CL"/>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a:solidFill>
                  <a:srgbClr val="757575"/>
                </a:solidFill>
                <a:latin typeface="+mn-lt"/>
              </a:defRPr>
            </a:pPr>
            <a:r>
              <a:rPr lang="es-CL" b="1">
                <a:solidFill>
                  <a:srgbClr val="757575"/>
                </a:solidFill>
                <a:latin typeface="+mn-lt"/>
              </a:rPr>
              <a:t>BurnUp Incremento 1</a:t>
            </a:r>
          </a:p>
        </c:rich>
      </c:tx>
      <c:overlay val="0"/>
    </c:title>
    <c:autoTitleDeleted val="0"/>
    <c:plotArea>
      <c:layout/>
      <c:lineChart>
        <c:grouping val="standard"/>
        <c:varyColors val="1"/>
        <c:ser>
          <c:idx val="0"/>
          <c:order val="0"/>
          <c:tx>
            <c:strRef>
              <c:f>'BurnUp-BurnDown INC 1'!$A$6</c:f>
              <c:strCache>
                <c:ptCount val="1"/>
                <c:pt idx="0">
                  <c:v>Esfuerzo Real Acumulado (HH)</c:v>
                </c:pt>
              </c:strCache>
            </c:strRef>
          </c:tx>
          <c:spPr>
            <a:ln w="19050" cmpd="sng">
              <a:solidFill>
                <a:srgbClr val="4285F4"/>
              </a:solidFill>
              <a:prstDash val="solid"/>
            </a:ln>
          </c:spPr>
          <c:marker>
            <c:symbol val="circle"/>
            <c:size val="7"/>
            <c:spPr>
              <a:solidFill>
                <a:srgbClr val="4285F4"/>
              </a:solidFill>
              <a:ln cmpd="sng">
                <a:solidFill>
                  <a:srgbClr val="4285F4"/>
                </a:solidFill>
              </a:ln>
            </c:spPr>
          </c:marker>
          <c:dLbls>
            <c:spPr>
              <a:noFill/>
              <a:ln>
                <a:noFill/>
              </a:ln>
              <a:effectLst/>
            </c:spPr>
            <c:txPr>
              <a:bodyPr/>
              <a:lstStyle/>
              <a:p>
                <a:pPr lvl="0">
                  <a:defRPr sz="1400" b="0" i="0"/>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'BurnUp-BurnDown INC 1'!$B$5:$O$5</c:f>
              <c:strCache>
                <c:ptCount val="14"/>
                <c:pt idx="0">
                  <c:v>DÍa 1</c:v>
                </c:pt>
                <c:pt idx="1">
                  <c:v>DÍa 2</c:v>
                </c:pt>
                <c:pt idx="2">
                  <c:v>DÍa 3</c:v>
                </c:pt>
                <c:pt idx="3">
                  <c:v>DÍa 4</c:v>
                </c:pt>
                <c:pt idx="4">
                  <c:v>DÍa 5</c:v>
                </c:pt>
                <c:pt idx="5">
                  <c:v>DÍa 6</c:v>
                </c:pt>
                <c:pt idx="6">
                  <c:v>DÍa 7</c:v>
                </c:pt>
                <c:pt idx="7">
                  <c:v>DÍa 8</c:v>
                </c:pt>
                <c:pt idx="8">
                  <c:v>DÍa 9</c:v>
                </c:pt>
                <c:pt idx="9">
                  <c:v>DÍa 10</c:v>
                </c:pt>
                <c:pt idx="10">
                  <c:v>DÍa 11</c:v>
                </c:pt>
                <c:pt idx="11">
                  <c:v>DÍa 12</c:v>
                </c:pt>
                <c:pt idx="12">
                  <c:v>DÍa 13</c:v>
                </c:pt>
                <c:pt idx="13">
                  <c:v>DÍa 14</c:v>
                </c:pt>
              </c:strCache>
            </c:strRef>
          </c:cat>
          <c:val>
            <c:numRef>
              <c:f>'BurnUp-BurnDown INC 1'!$B$6:$O$6</c:f>
              <c:numCache>
                <c:formatCode>0.0</c:formatCode>
                <c:ptCount val="14"/>
                <c:pt idx="0">
                  <c:v>0</c:v>
                </c:pt>
                <c:pt idx="1">
                  <c:v>1.75</c:v>
                </c:pt>
                <c:pt idx="2">
                  <c:v>4.5</c:v>
                </c:pt>
                <c:pt idx="3">
                  <c:v>10.166666666666666</c:v>
                </c:pt>
                <c:pt idx="4">
                  <c:v>19.333333333333332</c:v>
                </c:pt>
                <c:pt idx="5">
                  <c:v>34</c:v>
                </c:pt>
                <c:pt idx="6">
                  <c:v>50.666666666666671</c:v>
                </c:pt>
                <c:pt idx="7">
                  <c:v>63.416666666666671</c:v>
                </c:pt>
                <c:pt idx="8">
                  <c:v>72.833333333333343</c:v>
                </c:pt>
                <c:pt idx="9">
                  <c:v>88.583333333333343</c:v>
                </c:pt>
                <c:pt idx="10">
                  <c:v>104.25000000000001</c:v>
                </c:pt>
                <c:pt idx="11">
                  <c:v>118.00000000000001</c:v>
                </c:pt>
                <c:pt idx="12">
                  <c:v>122.50000000000001</c:v>
                </c:pt>
                <c:pt idx="13">
                  <c:v>126.50000000000001</c:v>
                </c:pt>
              </c:numCache>
            </c:numRef>
          </c:val>
          <c:smooth val="0"/>
          <c:extLst>
            <c:ext xmlns:c16="http://schemas.microsoft.com/office/drawing/2014/chart" uri="{C3380CC4-5D6E-409C-BE32-E72D297353CC}">
              <c16:uniqueId val="{00000000-D8A3-4646-8AC1-1342FCA0F66E}"/>
            </c:ext>
          </c:extLst>
        </c:ser>
        <c:ser>
          <c:idx val="1"/>
          <c:order val="1"/>
          <c:tx>
            <c:strRef>
              <c:f>'BurnUp-BurnDown INC 1'!$A$7</c:f>
              <c:strCache>
                <c:ptCount val="1"/>
                <c:pt idx="0">
                  <c:v>Esfuerzo Estimado Acumulado (HH)</c:v>
                </c:pt>
              </c:strCache>
            </c:strRef>
          </c:tx>
          <c:spPr>
            <a:ln w="19050" cmpd="sng">
              <a:solidFill>
                <a:srgbClr val="EA4335"/>
              </a:solidFill>
            </a:ln>
          </c:spPr>
          <c:marker>
            <c:symbol val="circle"/>
            <c:size val="7"/>
            <c:spPr>
              <a:solidFill>
                <a:srgbClr val="EA4335"/>
              </a:solidFill>
              <a:ln cmpd="sng">
                <a:solidFill>
                  <a:srgbClr val="EA4335"/>
                </a:solidFill>
              </a:ln>
            </c:spPr>
          </c:marker>
          <c:dLbls>
            <c:spPr>
              <a:noFill/>
              <a:ln>
                <a:noFill/>
              </a:ln>
              <a:effectLst/>
            </c:spPr>
            <c:txPr>
              <a:bodyPr/>
              <a:lstStyle/>
              <a:p>
                <a:pPr lvl="0">
                  <a:defRPr sz="1400" b="0" i="0"/>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'BurnUp-BurnDown INC 1'!$B$5:$O$5</c:f>
              <c:strCache>
                <c:ptCount val="14"/>
                <c:pt idx="0">
                  <c:v>DÍa 1</c:v>
                </c:pt>
                <c:pt idx="1">
                  <c:v>DÍa 2</c:v>
                </c:pt>
                <c:pt idx="2">
                  <c:v>DÍa 3</c:v>
                </c:pt>
                <c:pt idx="3">
                  <c:v>DÍa 4</c:v>
                </c:pt>
                <c:pt idx="4">
                  <c:v>DÍa 5</c:v>
                </c:pt>
                <c:pt idx="5">
                  <c:v>DÍa 6</c:v>
                </c:pt>
                <c:pt idx="6">
                  <c:v>DÍa 7</c:v>
                </c:pt>
                <c:pt idx="7">
                  <c:v>DÍa 8</c:v>
                </c:pt>
                <c:pt idx="8">
                  <c:v>DÍa 9</c:v>
                </c:pt>
                <c:pt idx="9">
                  <c:v>DÍa 10</c:v>
                </c:pt>
                <c:pt idx="10">
                  <c:v>DÍa 11</c:v>
                </c:pt>
                <c:pt idx="11">
                  <c:v>DÍa 12</c:v>
                </c:pt>
                <c:pt idx="12">
                  <c:v>DÍa 13</c:v>
                </c:pt>
                <c:pt idx="13">
                  <c:v>DÍa 14</c:v>
                </c:pt>
              </c:strCache>
            </c:strRef>
          </c:cat>
          <c:val>
            <c:numRef>
              <c:f>'BurnUp-BurnDown INC 1'!$B$7:$O$7</c:f>
              <c:numCache>
                <c:formatCode>0.0</c:formatCode>
                <c:ptCount val="14"/>
                <c:pt idx="0">
                  <c:v>0</c:v>
                </c:pt>
                <c:pt idx="1">
                  <c:v>3.5000000000000004</c:v>
                </c:pt>
                <c:pt idx="2">
                  <c:v>8</c:v>
                </c:pt>
                <c:pt idx="3">
                  <c:v>16.350000000000001</c:v>
                </c:pt>
                <c:pt idx="4">
                  <c:v>24.700000000000003</c:v>
                </c:pt>
                <c:pt idx="5">
                  <c:v>47.05</c:v>
                </c:pt>
                <c:pt idx="6">
                  <c:v>65.066666666666663</c:v>
                </c:pt>
                <c:pt idx="7">
                  <c:v>82.833333333333329</c:v>
                </c:pt>
                <c:pt idx="8">
                  <c:v>99.899999999999991</c:v>
                </c:pt>
                <c:pt idx="9">
                  <c:v>112.3</c:v>
                </c:pt>
                <c:pt idx="10">
                  <c:v>122.7</c:v>
                </c:pt>
                <c:pt idx="11">
                  <c:v>133.1</c:v>
                </c:pt>
                <c:pt idx="12">
                  <c:v>143</c:v>
                </c:pt>
                <c:pt idx="13">
                  <c:v>143</c:v>
                </c:pt>
              </c:numCache>
            </c:numRef>
          </c:val>
          <c:smooth val="0"/>
          <c:extLst>
            <c:ext xmlns:c16="http://schemas.microsoft.com/office/drawing/2014/chart" uri="{C3380CC4-5D6E-409C-BE32-E72D297353CC}">
              <c16:uniqueId val="{00000001-D8A3-4646-8AC1-1342FCA0F66E}"/>
            </c:ext>
          </c:extLst>
        </c:ser>
        <c:dLbls>
          <c:showLegendKey val="0"/>
          <c:showVal val="0"/>
          <c:showCatName val="0"/>
          <c:showSerName val="0"/>
          <c:showPercent val="0"/>
          <c:showBubbleSize val="0"/>
        </c:dLbls>
        <c:marker val="1"/>
        <c:smooth val="0"/>
        <c:axId val="1219209666"/>
        <c:axId val="518114001"/>
      </c:lineChart>
      <c:catAx>
        <c:axId val="1219209666"/>
        <c:scaling>
          <c:orientation val="minMax"/>
        </c:scaling>
        <c:delete val="0"/>
        <c:axPos val="b"/>
        <c:title>
          <c:tx>
            <c:rich>
              <a:bodyPr/>
              <a:lstStyle/>
              <a:p>
                <a:pPr lvl="0">
                  <a:defRPr sz="1400" b="0">
                    <a:solidFill>
                      <a:srgbClr val="000000"/>
                    </a:solidFill>
                    <a:latin typeface="+mn-lt"/>
                  </a:defRPr>
                </a:pPr>
                <a:r>
                  <a:rPr lang="es-CL" sz="1400" b="0">
                    <a:solidFill>
                      <a:srgbClr val="000000"/>
                    </a:solidFill>
                    <a:latin typeface="+mn-lt"/>
                  </a:rPr>
                  <a:t>Días del Sprint</a:t>
                </a:r>
              </a:p>
            </c:rich>
          </c:tx>
          <c:overlay val="0"/>
        </c:title>
        <c:numFmt formatCode="General" sourceLinked="1"/>
        <c:majorTickMark val="none"/>
        <c:minorTickMark val="none"/>
        <c:tickLblPos val="nextTo"/>
        <c:txPr>
          <a:bodyPr/>
          <a:lstStyle/>
          <a:p>
            <a:pPr lvl="0">
              <a:defRPr sz="1400" b="0">
                <a:solidFill>
                  <a:srgbClr val="000000"/>
                </a:solidFill>
                <a:latin typeface="+mn-lt"/>
              </a:defRPr>
            </a:pPr>
            <a:endParaRPr lang="es-CL"/>
          </a:p>
        </c:txPr>
        <c:crossAx val="518114001"/>
        <c:crosses val="autoZero"/>
        <c:auto val="1"/>
        <c:lblAlgn val="ctr"/>
        <c:lblOffset val="100"/>
        <c:noMultiLvlLbl val="1"/>
      </c:catAx>
      <c:valAx>
        <c:axId val="5181140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sz="1600" b="0">
                    <a:solidFill>
                      <a:srgbClr val="000000"/>
                    </a:solidFill>
                    <a:latin typeface="+mn-lt"/>
                  </a:defRPr>
                </a:pPr>
                <a:r>
                  <a:rPr lang="es-CL" sz="1600" b="0">
                    <a:solidFill>
                      <a:srgbClr val="000000"/>
                    </a:solidFill>
                    <a:latin typeface="+mn-lt"/>
                  </a:rPr>
                  <a:t>Horas Hombre</a:t>
                </a:r>
              </a:p>
            </c:rich>
          </c:tx>
          <c:overlay val="0"/>
        </c:title>
        <c:numFmt formatCode="0.0" sourceLinked="1"/>
        <c:majorTickMark val="none"/>
        <c:minorTickMark val="none"/>
        <c:tickLblPos val="nextTo"/>
        <c:spPr>
          <a:ln>
            <a:solidFill/>
          </a:ln>
        </c:spPr>
        <c:txPr>
          <a:bodyPr/>
          <a:lstStyle/>
          <a:p>
            <a:pPr lvl="0">
              <a:defRPr sz="1400" b="0">
                <a:solidFill>
                  <a:srgbClr val="000000"/>
                </a:solidFill>
                <a:latin typeface="+mn-lt"/>
              </a:defRPr>
            </a:pPr>
            <a:endParaRPr lang="es-CL"/>
          </a:p>
        </c:txPr>
        <c:crossAx val="1219209666"/>
        <c:crosses val="autoZero"/>
        <c:crossBetween val="between"/>
      </c:valAx>
    </c:plotArea>
    <c:legend>
      <c:legendPos val="b"/>
      <c:overlay val="0"/>
      <c:txPr>
        <a:bodyPr/>
        <a:lstStyle/>
        <a:p>
          <a:pPr lvl="0">
            <a:defRPr sz="1400" b="0">
              <a:solidFill>
                <a:srgbClr val="1A1A1A"/>
              </a:solidFill>
              <a:latin typeface="+mn-lt"/>
            </a:defRPr>
          </a:pPr>
          <a:endParaRPr lang="es-CL"/>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a:solidFill>
                  <a:srgbClr val="757575"/>
                </a:solidFill>
                <a:latin typeface="+mn-lt"/>
              </a:defRPr>
            </a:pPr>
            <a:r>
              <a:rPr lang="es-CL" b="1">
                <a:solidFill>
                  <a:srgbClr val="757575"/>
                </a:solidFill>
                <a:latin typeface="+mn-lt"/>
              </a:rPr>
              <a:t>BurnDown Incremento 1</a:t>
            </a:r>
          </a:p>
        </c:rich>
      </c:tx>
      <c:overlay val="0"/>
    </c:title>
    <c:autoTitleDeleted val="0"/>
    <c:plotArea>
      <c:layout/>
      <c:lineChart>
        <c:grouping val="standard"/>
        <c:varyColors val="1"/>
        <c:ser>
          <c:idx val="0"/>
          <c:order val="0"/>
          <c:tx>
            <c:strRef>
              <c:f>'BurnUp-BurnDown INC 1'!$A$15</c:f>
              <c:strCache>
                <c:ptCount val="1"/>
                <c:pt idx="0">
                  <c:v>Esfuerzo Real Restante (HH)</c:v>
                </c:pt>
              </c:strCache>
            </c:strRef>
          </c:tx>
          <c:spPr>
            <a:ln cmpd="sng">
              <a:solidFill>
                <a:srgbClr val="4285F4"/>
              </a:solidFill>
            </a:ln>
          </c:spPr>
          <c:marker>
            <c:symbol val="circle"/>
            <c:size val="7"/>
            <c:spPr>
              <a:solidFill>
                <a:srgbClr val="4285F4"/>
              </a:solidFill>
              <a:ln cmpd="sng">
                <a:solidFill>
                  <a:srgbClr val="4285F4"/>
                </a:solidFill>
              </a:ln>
            </c:spPr>
          </c:marker>
          <c:dLbls>
            <c:spPr>
              <a:noFill/>
              <a:ln>
                <a:noFill/>
              </a:ln>
              <a:effectLst/>
            </c:spPr>
            <c:txPr>
              <a:bodyPr/>
              <a:lstStyle/>
              <a:p>
                <a:pPr lvl="0">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'BurnUp-BurnDown INC 1'!$B$14:$O$14</c:f>
              <c:strCache>
                <c:ptCount val="14"/>
                <c:pt idx="0">
                  <c:v>DÍa 1</c:v>
                </c:pt>
                <c:pt idx="1">
                  <c:v>DÍa 2</c:v>
                </c:pt>
                <c:pt idx="2">
                  <c:v>DÍa 3</c:v>
                </c:pt>
                <c:pt idx="3">
                  <c:v>DÍa 4</c:v>
                </c:pt>
                <c:pt idx="4">
                  <c:v>DÍa 5</c:v>
                </c:pt>
                <c:pt idx="5">
                  <c:v>DÍa 6</c:v>
                </c:pt>
                <c:pt idx="6">
                  <c:v>DÍa 7</c:v>
                </c:pt>
                <c:pt idx="7">
                  <c:v>DÍa 8</c:v>
                </c:pt>
                <c:pt idx="8">
                  <c:v>DÍa 9</c:v>
                </c:pt>
                <c:pt idx="9">
                  <c:v>DÍa 10</c:v>
                </c:pt>
                <c:pt idx="10">
                  <c:v>DÍa 11</c:v>
                </c:pt>
                <c:pt idx="11">
                  <c:v>DÍa 12</c:v>
                </c:pt>
                <c:pt idx="12">
                  <c:v>DÍa 13</c:v>
                </c:pt>
                <c:pt idx="13">
                  <c:v>DÍa 14</c:v>
                </c:pt>
              </c:strCache>
            </c:strRef>
          </c:cat>
          <c:val>
            <c:numRef>
              <c:f>'BurnUp-BurnDown INC 1'!$B$15:$O$15</c:f>
              <c:numCache>
                <c:formatCode>0.0</c:formatCode>
                <c:ptCount val="14"/>
                <c:pt idx="0">
                  <c:v>126.5</c:v>
                </c:pt>
                <c:pt idx="1">
                  <c:v>124.75</c:v>
                </c:pt>
                <c:pt idx="2">
                  <c:v>122</c:v>
                </c:pt>
                <c:pt idx="3">
                  <c:v>116.33333333333333</c:v>
                </c:pt>
                <c:pt idx="4">
                  <c:v>107.16666666666666</c:v>
                </c:pt>
                <c:pt idx="5">
                  <c:v>92.499999999999986</c:v>
                </c:pt>
                <c:pt idx="6">
                  <c:v>75.833333333333314</c:v>
                </c:pt>
                <c:pt idx="7">
                  <c:v>63.083333333333314</c:v>
                </c:pt>
                <c:pt idx="8">
                  <c:v>53.66666666666665</c:v>
                </c:pt>
                <c:pt idx="9">
                  <c:v>37.91666666666665</c:v>
                </c:pt>
                <c:pt idx="10">
                  <c:v>22.249999999999986</c:v>
                </c:pt>
                <c:pt idx="11">
                  <c:v>8.4999999999999858</c:v>
                </c:pt>
                <c:pt idx="12">
                  <c:v>3.9999999999999858</c:v>
                </c:pt>
                <c:pt idx="13">
                  <c:v>-1.4210854715202004E-14</c:v>
                </c:pt>
              </c:numCache>
            </c:numRef>
          </c:val>
          <c:smooth val="0"/>
          <c:extLst>
            <c:ext xmlns:c16="http://schemas.microsoft.com/office/drawing/2014/chart" uri="{C3380CC4-5D6E-409C-BE32-E72D297353CC}">
              <c16:uniqueId val="{00000000-86D4-4E4C-AA14-E6959EF76A4B}"/>
            </c:ext>
          </c:extLst>
        </c:ser>
        <c:ser>
          <c:idx val="1"/>
          <c:order val="1"/>
          <c:tx>
            <c:strRef>
              <c:f>'BurnUp-BurnDown INC 1'!$A$16</c:f>
              <c:strCache>
                <c:ptCount val="1"/>
                <c:pt idx="0">
                  <c:v>Esfuerzo Estimado Restante (HH)</c:v>
                </c:pt>
              </c:strCache>
            </c:strRef>
          </c:tx>
          <c:spPr>
            <a:ln cmpd="sng">
              <a:solidFill>
                <a:srgbClr val="EA4335"/>
              </a:solidFill>
            </a:ln>
          </c:spPr>
          <c:marker>
            <c:symbol val="circle"/>
            <c:size val="7"/>
            <c:spPr>
              <a:solidFill>
                <a:srgbClr val="EA4335"/>
              </a:solidFill>
              <a:ln cmpd="sng">
                <a:solidFill>
                  <a:srgbClr val="EA4335"/>
                </a:solidFill>
              </a:ln>
            </c:spPr>
          </c:marker>
          <c:dLbls>
            <c:spPr>
              <a:noFill/>
              <a:ln>
                <a:noFill/>
              </a:ln>
              <a:effectLst/>
            </c:spPr>
            <c:txPr>
              <a:bodyPr/>
              <a:lstStyle/>
              <a:p>
                <a:pPr lvl="0">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'BurnUp-BurnDown INC 1'!$B$14:$O$14</c:f>
              <c:strCache>
                <c:ptCount val="14"/>
                <c:pt idx="0">
                  <c:v>DÍa 1</c:v>
                </c:pt>
                <c:pt idx="1">
                  <c:v>DÍa 2</c:v>
                </c:pt>
                <c:pt idx="2">
                  <c:v>DÍa 3</c:v>
                </c:pt>
                <c:pt idx="3">
                  <c:v>DÍa 4</c:v>
                </c:pt>
                <c:pt idx="4">
                  <c:v>DÍa 5</c:v>
                </c:pt>
                <c:pt idx="5">
                  <c:v>DÍa 6</c:v>
                </c:pt>
                <c:pt idx="6">
                  <c:v>DÍa 7</c:v>
                </c:pt>
                <c:pt idx="7">
                  <c:v>DÍa 8</c:v>
                </c:pt>
                <c:pt idx="8">
                  <c:v>DÍa 9</c:v>
                </c:pt>
                <c:pt idx="9">
                  <c:v>DÍa 10</c:v>
                </c:pt>
                <c:pt idx="10">
                  <c:v>DÍa 11</c:v>
                </c:pt>
                <c:pt idx="11">
                  <c:v>DÍa 12</c:v>
                </c:pt>
                <c:pt idx="12">
                  <c:v>DÍa 13</c:v>
                </c:pt>
                <c:pt idx="13">
                  <c:v>DÍa 14</c:v>
                </c:pt>
              </c:strCache>
            </c:strRef>
          </c:cat>
          <c:val>
            <c:numRef>
              <c:f>'BurnUp-BurnDown INC 1'!$B$16:$O$16</c:f>
              <c:numCache>
                <c:formatCode>0.0</c:formatCode>
                <c:ptCount val="14"/>
                <c:pt idx="0">
                  <c:v>143</c:v>
                </c:pt>
                <c:pt idx="1">
                  <c:v>139.5</c:v>
                </c:pt>
                <c:pt idx="2">
                  <c:v>135</c:v>
                </c:pt>
                <c:pt idx="3">
                  <c:v>126.65</c:v>
                </c:pt>
                <c:pt idx="4">
                  <c:v>118.30000000000001</c:v>
                </c:pt>
                <c:pt idx="5">
                  <c:v>95.950000000000017</c:v>
                </c:pt>
                <c:pt idx="6">
                  <c:v>77.933333333333351</c:v>
                </c:pt>
                <c:pt idx="7">
                  <c:v>60.166666666666686</c:v>
                </c:pt>
                <c:pt idx="8">
                  <c:v>43.100000000000023</c:v>
                </c:pt>
                <c:pt idx="9">
                  <c:v>30.700000000000024</c:v>
                </c:pt>
                <c:pt idx="10">
                  <c:v>20.300000000000026</c:v>
                </c:pt>
                <c:pt idx="11">
                  <c:v>9.9000000000000252</c:v>
                </c:pt>
                <c:pt idx="12">
                  <c:v>2.4868995751603507E-14</c:v>
                </c:pt>
                <c:pt idx="13">
                  <c:v>2.4868995751603507E-14</c:v>
                </c:pt>
              </c:numCache>
            </c:numRef>
          </c:val>
          <c:smooth val="0"/>
          <c:extLst>
            <c:ext xmlns:c16="http://schemas.microsoft.com/office/drawing/2014/chart" uri="{C3380CC4-5D6E-409C-BE32-E72D297353CC}">
              <c16:uniqueId val="{00000001-86D4-4E4C-AA14-E6959EF76A4B}"/>
            </c:ext>
          </c:extLst>
        </c:ser>
        <c:dLbls>
          <c:showLegendKey val="0"/>
          <c:showVal val="0"/>
          <c:showCatName val="0"/>
          <c:showSerName val="0"/>
          <c:showPercent val="0"/>
          <c:showBubbleSize val="0"/>
        </c:dLbls>
        <c:marker val="1"/>
        <c:smooth val="0"/>
        <c:axId val="1993958890"/>
        <c:axId val="84142266"/>
      </c:lineChart>
      <c:catAx>
        <c:axId val="1993958890"/>
        <c:scaling>
          <c:orientation val="minMax"/>
        </c:scaling>
        <c:delete val="0"/>
        <c:axPos val="b"/>
        <c:title>
          <c:tx>
            <c:rich>
              <a:bodyPr/>
              <a:lstStyle/>
              <a:p>
                <a:pPr lvl="0">
                  <a:defRPr sz="1400" b="0">
                    <a:solidFill>
                      <a:srgbClr val="000000"/>
                    </a:solidFill>
                    <a:latin typeface="+mn-lt"/>
                  </a:defRPr>
                </a:pPr>
                <a:r>
                  <a:rPr lang="es-CL" sz="1400" b="0">
                    <a:solidFill>
                      <a:srgbClr val="000000"/>
                    </a:solidFill>
                    <a:latin typeface="+mn-lt"/>
                  </a:rPr>
                  <a:t>Días del Sprint</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CL"/>
          </a:p>
        </c:txPr>
        <c:crossAx val="84142266"/>
        <c:crosses val="autoZero"/>
        <c:auto val="1"/>
        <c:lblAlgn val="ctr"/>
        <c:lblOffset val="100"/>
        <c:noMultiLvlLbl val="1"/>
      </c:catAx>
      <c:valAx>
        <c:axId val="84142266"/>
        <c:scaling>
          <c:orientation val="minMax"/>
          <c:min val="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sz="1400" b="0">
                    <a:solidFill>
                      <a:srgbClr val="000000"/>
                    </a:solidFill>
                    <a:latin typeface="+mn-lt"/>
                  </a:defRPr>
                </a:pPr>
                <a:r>
                  <a:rPr lang="es-CL" sz="1400" b="0">
                    <a:solidFill>
                      <a:srgbClr val="000000"/>
                    </a:solidFill>
                    <a:latin typeface="+mn-lt"/>
                  </a:rPr>
                  <a:t>Horas Hombre</a:t>
                </a:r>
              </a:p>
            </c:rich>
          </c:tx>
          <c:overlay val="0"/>
        </c:title>
        <c:numFmt formatCode="0.0" sourceLinked="1"/>
        <c:majorTickMark val="none"/>
        <c:minorTickMark val="none"/>
        <c:tickLblPos val="nextTo"/>
        <c:spPr>
          <a:ln>
            <a:solidFill/>
          </a:ln>
        </c:spPr>
        <c:txPr>
          <a:bodyPr/>
          <a:lstStyle/>
          <a:p>
            <a:pPr lvl="0">
              <a:defRPr b="0">
                <a:solidFill>
                  <a:srgbClr val="000000"/>
                </a:solidFill>
                <a:latin typeface="+mn-lt"/>
              </a:defRPr>
            </a:pPr>
            <a:endParaRPr lang="es-CL"/>
          </a:p>
        </c:txPr>
        <c:crossAx val="1993958890"/>
        <c:crosses val="autoZero"/>
        <c:crossBetween val="between"/>
      </c:valAx>
    </c:plotArea>
    <c:legend>
      <c:legendPos val="b"/>
      <c:overlay val="0"/>
      <c:txPr>
        <a:bodyPr/>
        <a:lstStyle/>
        <a:p>
          <a:pPr lvl="0">
            <a:defRPr sz="1400" b="0">
              <a:solidFill>
                <a:srgbClr val="1A1A1A"/>
              </a:solidFill>
              <a:latin typeface="+mn-lt"/>
            </a:defRPr>
          </a:pPr>
          <a:endParaRPr lang="es-CL"/>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0</xdr:col>
      <xdr:colOff>609600</xdr:colOff>
      <xdr:row>21</xdr:row>
      <xdr:rowOff>190500</xdr:rowOff>
    </xdr:from>
    <xdr:ext cx="9172575" cy="5534025"/>
    <xdr:graphicFrame macro="">
      <xdr:nvGraphicFramePr>
        <xdr:cNvPr id="2" name="Chart 1" title="Gráfico">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11</xdr:col>
      <xdr:colOff>781050</xdr:colOff>
      <xdr:row>23</xdr:row>
      <xdr:rowOff>85725</xdr:rowOff>
    </xdr:from>
    <xdr:ext cx="9172575" cy="5534025"/>
    <xdr:graphicFrame macro="">
      <xdr:nvGraphicFramePr>
        <xdr:cNvPr id="3" name="Chart 2" title="Gráfico">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1038225</xdr:colOff>
      <xdr:row>31</xdr:row>
      <xdr:rowOff>123825</xdr:rowOff>
    </xdr:from>
    <xdr:ext cx="9172575" cy="5534025"/>
    <xdr:graphicFrame macro="">
      <xdr:nvGraphicFramePr>
        <xdr:cNvPr id="3" name="Chart 3" title="Gráfico">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11</xdr:col>
      <xdr:colOff>400050</xdr:colOff>
      <xdr:row>31</xdr:row>
      <xdr:rowOff>104775</xdr:rowOff>
    </xdr:from>
    <xdr:ext cx="9172575" cy="5534025"/>
    <xdr:graphicFrame macro="">
      <xdr:nvGraphicFramePr>
        <xdr:cNvPr id="4" name="Chart 4" title="Gráfico">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1038225</xdr:colOff>
      <xdr:row>31</xdr:row>
      <xdr:rowOff>123825</xdr:rowOff>
    </xdr:from>
    <xdr:ext cx="9172575" cy="5534025"/>
    <xdr:graphicFrame macro="">
      <xdr:nvGraphicFramePr>
        <xdr:cNvPr id="5" name="Chart 5" title="Gráfico">
          <a:extLst>
            <a:ext uri="{FF2B5EF4-FFF2-40B4-BE49-F238E27FC236}">
              <a16:creationId xmlns:a16="http://schemas.microsoft.com/office/drawing/2014/main" id="{00000000-0008-0000-0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828675</xdr:colOff>
      <xdr:row>31</xdr:row>
      <xdr:rowOff>123825</xdr:rowOff>
    </xdr:from>
    <xdr:ext cx="9172575" cy="5534025"/>
    <xdr:graphicFrame macro="">
      <xdr:nvGraphicFramePr>
        <xdr:cNvPr id="6" name="Chart 6" title="Gráfico">
          <a:extLst>
            <a:ext uri="{FF2B5EF4-FFF2-40B4-BE49-F238E27FC236}">
              <a16:creationId xmlns:a16="http://schemas.microsoft.com/office/drawing/2014/main" id="{00000000-0008-0000-0B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76200</xdr:colOff>
      <xdr:row>59</xdr:row>
      <xdr:rowOff>114300</xdr:rowOff>
    </xdr:from>
    <xdr:ext cx="9172575" cy="5534025"/>
    <xdr:graphicFrame macro="">
      <xdr:nvGraphicFramePr>
        <xdr:cNvPr id="7" name="Chart 7" title="Gráfico">
          <a:extLst>
            <a:ext uri="{FF2B5EF4-FFF2-40B4-BE49-F238E27FC236}">
              <a16:creationId xmlns:a16="http://schemas.microsoft.com/office/drawing/2014/main" id="{00000000-0008-0000-0B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11</xdr:col>
      <xdr:colOff>342900</xdr:colOff>
      <xdr:row>60</xdr:row>
      <xdr:rowOff>123825</xdr:rowOff>
    </xdr:from>
    <xdr:ext cx="9172575" cy="5534025"/>
    <xdr:graphicFrame macro="">
      <xdr:nvGraphicFramePr>
        <xdr:cNvPr id="8" name="Chart 8" title="Gráfico">
          <a:extLst>
            <a:ext uri="{FF2B5EF4-FFF2-40B4-BE49-F238E27FC236}">
              <a16:creationId xmlns:a16="http://schemas.microsoft.com/office/drawing/2014/main" id="{00000000-0008-0000-0B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1028700</xdr:colOff>
      <xdr:row>17</xdr:row>
      <xdr:rowOff>66675</xdr:rowOff>
    </xdr:from>
    <xdr:ext cx="10896600" cy="6734175"/>
    <xdr:graphicFrame macro="">
      <xdr:nvGraphicFramePr>
        <xdr:cNvPr id="9" name="Chart 9" title="Gráfico">
          <a:extLst>
            <a:ext uri="{FF2B5EF4-FFF2-40B4-BE49-F238E27FC236}">
              <a16:creationId xmlns:a16="http://schemas.microsoft.com/office/drawing/2014/main" id="{00000000-0008-0000-0F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17</xdr:col>
      <xdr:colOff>266700</xdr:colOff>
      <xdr:row>16</xdr:row>
      <xdr:rowOff>28575</xdr:rowOff>
    </xdr:from>
    <xdr:ext cx="10896600" cy="6734175"/>
    <xdr:graphicFrame macro="">
      <xdr:nvGraphicFramePr>
        <xdr:cNvPr id="10" name="Chart 10" title="Gráfico">
          <a:extLst>
            <a:ext uri="{FF2B5EF4-FFF2-40B4-BE49-F238E27FC236}">
              <a16:creationId xmlns:a16="http://schemas.microsoft.com/office/drawing/2014/main" id="{00000000-0008-0000-0F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_1" displayName="Tabla_1" ref="A3:D7">
  <tableColumns count="4">
    <tableColumn id="1" xr3:uid="{00000000-0010-0000-0000-000001000000}" name="Incremento "/>
    <tableColumn id="2" xr3:uid="{00000000-0010-0000-0000-000002000000}" name="Porcentaje"/>
    <tableColumn id="3" xr3:uid="{00000000-0010-0000-0000-000003000000}" name="Porcentaje Acumulado"/>
    <tableColumn id="4" xr3:uid="{00000000-0010-0000-0000-000004000000}" name="Cantidad de Casos de Uso"/>
  </tableColumns>
  <tableStyleInfo name="Division Incremento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3:E19"/>
  <sheetViews>
    <sheetView workbookViewId="0"/>
  </sheetViews>
  <sheetFormatPr baseColWidth="10" defaultColWidth="12.5703125" defaultRowHeight="15.75" customHeight="1" x14ac:dyDescent="0.2"/>
  <cols>
    <col min="1" max="1" width="11.5703125" customWidth="1"/>
    <col min="2" max="2" width="14" customWidth="1"/>
    <col min="3" max="3" width="20.7109375" customWidth="1"/>
    <col min="4" max="4" width="25.5703125" customWidth="1"/>
    <col min="5" max="5" width="25.140625" customWidth="1"/>
    <col min="7" max="7" width="17.7109375" customWidth="1"/>
    <col min="8" max="8" width="24" customWidth="1"/>
  </cols>
  <sheetData>
    <row r="3" spans="1:5" ht="27.75" customHeight="1" x14ac:dyDescent="0.2">
      <c r="A3" s="1" t="s">
        <v>0</v>
      </c>
      <c r="B3" s="1" t="s">
        <v>1</v>
      </c>
      <c r="C3" s="1" t="s">
        <v>2</v>
      </c>
      <c r="D3" s="1" t="s">
        <v>3</v>
      </c>
    </row>
    <row r="4" spans="1:5" ht="22.5" customHeight="1" x14ac:dyDescent="0.2">
      <c r="A4" s="2">
        <v>1</v>
      </c>
      <c r="B4" s="3">
        <f t="shared" ref="B4:B7" si="0">D4/$C$9</f>
        <v>0.23287671232876711</v>
      </c>
      <c r="C4" s="3">
        <f>B4</f>
        <v>0.23287671232876711</v>
      </c>
      <c r="D4" s="2">
        <f>COUNTIF('ProductSprint Backlog'!B:B, 1)</f>
        <v>17</v>
      </c>
    </row>
    <row r="5" spans="1:5" ht="22.5" customHeight="1" x14ac:dyDescent="0.2">
      <c r="A5" s="2">
        <v>2</v>
      </c>
      <c r="B5" s="3">
        <f t="shared" si="0"/>
        <v>0.57534246575342463</v>
      </c>
      <c r="C5" s="3">
        <f t="shared" ref="C5:C7" si="1">C4+B5</f>
        <v>0.80821917808219168</v>
      </c>
      <c r="D5" s="2">
        <f>COUNTIF('ProductSprint Backlog'!B:B, 2) +COUNTIF('ProductSprint Backlog'!B:B, 3)</f>
        <v>42</v>
      </c>
    </row>
    <row r="6" spans="1:5" ht="22.5" customHeight="1" x14ac:dyDescent="0.2">
      <c r="A6" s="2">
        <v>3</v>
      </c>
      <c r="B6" s="3">
        <f t="shared" si="0"/>
        <v>0.16438356164383561</v>
      </c>
      <c r="C6" s="3">
        <f t="shared" si="1"/>
        <v>0.97260273972602729</v>
      </c>
      <c r="D6" s="2">
        <f>COUNTIF('ProductSprint Backlog'!B:B, 4)</f>
        <v>12</v>
      </c>
    </row>
    <row r="7" spans="1:5" ht="22.5" customHeight="1" x14ac:dyDescent="0.2">
      <c r="A7" s="2">
        <v>4</v>
      </c>
      <c r="B7" s="3">
        <f t="shared" si="0"/>
        <v>2.7397260273972601E-2</v>
      </c>
      <c r="C7" s="3">
        <f t="shared" si="1"/>
        <v>0.99999999999999989</v>
      </c>
      <c r="D7" s="2">
        <f>COUNTIF('ProductSprint Backlog'!B:B, 5)</f>
        <v>2</v>
      </c>
    </row>
    <row r="8" spans="1:5" ht="12.75" x14ac:dyDescent="0.2">
      <c r="E8" s="4">
        <f>SUM(D4:D7)</f>
        <v>73</v>
      </c>
    </row>
    <row r="9" spans="1:5" ht="12.75" x14ac:dyDescent="0.2">
      <c r="B9" s="4" t="s">
        <v>4</v>
      </c>
      <c r="C9" s="4">
        <f>E8</f>
        <v>73</v>
      </c>
    </row>
    <row r="15" spans="1:5" ht="12.75" x14ac:dyDescent="0.2">
      <c r="A15" s="4"/>
      <c r="B15" s="4"/>
      <c r="C15" s="4"/>
      <c r="D15" s="4"/>
    </row>
    <row r="16" spans="1:5" ht="12.75" x14ac:dyDescent="0.2">
      <c r="A16" s="4"/>
      <c r="B16" s="4"/>
      <c r="C16" s="4"/>
      <c r="D16" s="4"/>
    </row>
    <row r="17" spans="1:4" ht="12.75" x14ac:dyDescent="0.2">
      <c r="A17" s="4"/>
      <c r="B17" s="4"/>
      <c r="C17" s="4"/>
      <c r="D17" s="4"/>
    </row>
    <row r="18" spans="1:4" ht="12.75" x14ac:dyDescent="0.2">
      <c r="A18" s="4"/>
      <c r="B18" s="4"/>
      <c r="C18" s="4"/>
      <c r="D18" s="4"/>
    </row>
    <row r="19" spans="1:4" ht="12.75" x14ac:dyDescent="0.2">
      <c r="A19" s="4"/>
      <c r="B19" s="4"/>
      <c r="C19" s="4"/>
      <c r="D19" s="4"/>
    </row>
  </sheetData>
  <dataValidations count="1">
    <dataValidation type="custom" allowBlank="1" showDropDown="1" sqref="B4:C7" xr:uid="{00000000-0002-0000-0000-000000000000}">
      <formula1>AND(ISNUMBER(B4),(NOT(OR(NOT(ISERROR(DATEVALUE(B4))), AND(ISNUMBER(B4), LEFT(CELL("format", B4))="D")))))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148"/>
  <sheetViews>
    <sheetView tabSelected="1" workbookViewId="0">
      <pane ySplit="2" topLeftCell="A261" activePane="bottomLeft" state="frozen"/>
      <selection pane="bottomLeft" activeCell="B3" sqref="B3:B6"/>
    </sheetView>
  </sheetViews>
  <sheetFormatPr baseColWidth="10" defaultColWidth="12.5703125" defaultRowHeight="15.75" customHeight="1" x14ac:dyDescent="0.2"/>
  <cols>
    <col min="1" max="1" width="7.42578125" customWidth="1"/>
    <col min="2" max="2" width="5.42578125" customWidth="1"/>
    <col min="3" max="3" width="20.7109375" customWidth="1"/>
    <col min="4" max="4" width="63.7109375" customWidth="1"/>
    <col min="5" max="5" width="18.28515625" customWidth="1"/>
    <col min="6" max="6" width="7.140625" customWidth="1"/>
    <col min="7" max="7" width="15.42578125" customWidth="1"/>
    <col min="8" max="8" width="66.85546875" customWidth="1"/>
    <col min="9" max="9" width="8.140625" customWidth="1"/>
    <col min="10" max="10" width="8.28515625" customWidth="1"/>
    <col min="11" max="11" width="9.42578125" customWidth="1"/>
    <col min="12" max="12" width="9" customWidth="1"/>
    <col min="13" max="13" width="11.5703125" customWidth="1"/>
  </cols>
  <sheetData>
    <row r="1" spans="1:28" x14ac:dyDescent="0.2">
      <c r="A1" s="5"/>
      <c r="B1" s="60" t="s">
        <v>5</v>
      </c>
      <c r="C1" s="61"/>
      <c r="D1" s="61"/>
      <c r="E1" s="61"/>
      <c r="F1" s="61"/>
      <c r="G1" s="61"/>
      <c r="H1" s="6"/>
      <c r="I1" s="62" t="s">
        <v>6</v>
      </c>
      <c r="J1" s="61"/>
      <c r="K1" s="62" t="s">
        <v>7</v>
      </c>
      <c r="L1" s="61"/>
      <c r="M1" s="7" t="s">
        <v>8</v>
      </c>
      <c r="N1" s="8"/>
      <c r="O1" s="8"/>
      <c r="P1" s="8"/>
      <c r="Q1" s="8"/>
      <c r="R1" s="8"/>
      <c r="S1" s="8"/>
      <c r="T1" s="8"/>
      <c r="U1" s="8"/>
      <c r="V1" s="8"/>
      <c r="W1" s="8"/>
      <c r="X1" s="8"/>
      <c r="Y1" s="8"/>
      <c r="Z1" s="8"/>
      <c r="AA1" s="8"/>
      <c r="AB1" s="8"/>
    </row>
    <row r="2" spans="1:28" x14ac:dyDescent="0.2">
      <c r="A2" s="9" t="s">
        <v>9</v>
      </c>
      <c r="B2" s="10" t="s">
        <v>10</v>
      </c>
      <c r="C2" s="11" t="s">
        <v>11</v>
      </c>
      <c r="D2" s="10" t="s">
        <v>12</v>
      </c>
      <c r="E2" s="10" t="s">
        <v>13</v>
      </c>
      <c r="F2" s="10" t="s">
        <v>14</v>
      </c>
      <c r="G2" s="10" t="s">
        <v>15</v>
      </c>
      <c r="H2" s="12" t="s">
        <v>16</v>
      </c>
      <c r="I2" s="13" t="s">
        <v>17</v>
      </c>
      <c r="J2" s="13" t="s">
        <v>18</v>
      </c>
      <c r="K2" s="13" t="s">
        <v>17</v>
      </c>
      <c r="L2" s="13" t="s">
        <v>18</v>
      </c>
      <c r="M2" s="13" t="s">
        <v>19</v>
      </c>
      <c r="N2" s="14"/>
      <c r="O2" s="14"/>
      <c r="P2" s="14"/>
      <c r="Q2" s="14"/>
      <c r="R2" s="14"/>
      <c r="S2" s="14"/>
      <c r="T2" s="14"/>
      <c r="U2" s="14"/>
      <c r="V2" s="14"/>
      <c r="W2" s="14"/>
      <c r="X2" s="14"/>
      <c r="Y2" s="14"/>
      <c r="Z2" s="14"/>
      <c r="AA2" s="14"/>
      <c r="AB2" s="14"/>
    </row>
    <row r="3" spans="1:28" x14ac:dyDescent="0.2">
      <c r="A3" s="63">
        <v>1</v>
      </c>
      <c r="B3" s="66">
        <v>1</v>
      </c>
      <c r="C3" s="67" t="s">
        <v>20</v>
      </c>
      <c r="D3" s="17" t="s">
        <v>21</v>
      </c>
      <c r="E3" s="2" t="s">
        <v>22</v>
      </c>
      <c r="F3" s="18">
        <v>5</v>
      </c>
      <c r="G3" s="18" t="s">
        <v>23</v>
      </c>
      <c r="H3" s="17" t="s">
        <v>24</v>
      </c>
      <c r="I3" s="19">
        <v>45806</v>
      </c>
      <c r="J3" s="19">
        <v>45812</v>
      </c>
      <c r="K3" s="19">
        <v>45806</v>
      </c>
      <c r="L3" s="19">
        <v>45812</v>
      </c>
      <c r="M3" s="18">
        <v>4.5</v>
      </c>
    </row>
    <row r="4" spans="1:28" x14ac:dyDescent="0.2">
      <c r="A4" s="64"/>
      <c r="B4" s="64"/>
      <c r="C4" s="64"/>
      <c r="D4" s="17" t="s">
        <v>25</v>
      </c>
      <c r="E4" s="2" t="s">
        <v>22</v>
      </c>
      <c r="F4" s="18">
        <v>3</v>
      </c>
      <c r="G4" s="18" t="s">
        <v>23</v>
      </c>
      <c r="H4" s="17" t="s">
        <v>26</v>
      </c>
      <c r="I4" s="19">
        <v>45808</v>
      </c>
      <c r="J4" s="19">
        <v>45813</v>
      </c>
      <c r="K4" s="19">
        <v>45809</v>
      </c>
      <c r="L4" s="19">
        <v>45813</v>
      </c>
      <c r="M4" s="18">
        <v>2</v>
      </c>
    </row>
    <row r="5" spans="1:28" x14ac:dyDescent="0.2">
      <c r="A5" s="64"/>
      <c r="B5" s="64"/>
      <c r="C5" s="64"/>
      <c r="D5" s="17" t="s">
        <v>27</v>
      </c>
      <c r="E5" s="2" t="s">
        <v>22</v>
      </c>
      <c r="F5" s="18">
        <v>2</v>
      </c>
      <c r="G5" s="18" t="s">
        <v>23</v>
      </c>
      <c r="H5" s="17" t="s">
        <v>28</v>
      </c>
      <c r="I5" s="19">
        <v>45810</v>
      </c>
      <c r="J5" s="19">
        <v>45811</v>
      </c>
      <c r="K5" s="19">
        <v>45810</v>
      </c>
      <c r="L5" s="19">
        <v>45812</v>
      </c>
      <c r="M5" s="18">
        <v>1.5</v>
      </c>
    </row>
    <row r="6" spans="1:28" x14ac:dyDescent="0.2">
      <c r="A6" s="65"/>
      <c r="B6" s="65"/>
      <c r="C6" s="65"/>
      <c r="D6" s="17" t="s">
        <v>29</v>
      </c>
      <c r="E6" s="2" t="s">
        <v>22</v>
      </c>
      <c r="F6" s="18">
        <v>2</v>
      </c>
      <c r="G6" s="18" t="s">
        <v>23</v>
      </c>
      <c r="H6" s="17" t="s">
        <v>30</v>
      </c>
      <c r="I6" s="19">
        <v>45813</v>
      </c>
      <c r="J6" s="19">
        <v>45818</v>
      </c>
      <c r="K6" s="19">
        <v>45813</v>
      </c>
      <c r="L6" s="19">
        <v>45816</v>
      </c>
      <c r="M6" s="18">
        <v>2</v>
      </c>
    </row>
    <row r="7" spans="1:28" x14ac:dyDescent="0.2">
      <c r="A7" s="20"/>
      <c r="B7" s="20"/>
      <c r="C7" s="21"/>
      <c r="D7" s="21"/>
      <c r="E7" s="21"/>
      <c r="F7" s="21"/>
      <c r="G7" s="21"/>
      <c r="H7" s="21"/>
      <c r="I7" s="21"/>
      <c r="J7" s="21"/>
      <c r="K7" s="21"/>
      <c r="L7" s="21"/>
      <c r="M7" s="22"/>
    </row>
    <row r="8" spans="1:28" x14ac:dyDescent="0.2">
      <c r="A8" s="66">
        <v>1</v>
      </c>
      <c r="B8" s="66">
        <v>1</v>
      </c>
      <c r="C8" s="67" t="s">
        <v>31</v>
      </c>
      <c r="D8" s="17" t="s">
        <v>32</v>
      </c>
      <c r="E8" s="2" t="s">
        <v>22</v>
      </c>
      <c r="F8" s="18">
        <v>1</v>
      </c>
      <c r="G8" s="18" t="s">
        <v>23</v>
      </c>
      <c r="H8" s="17" t="s">
        <v>33</v>
      </c>
      <c r="I8" s="19">
        <v>45810</v>
      </c>
      <c r="J8" s="19">
        <v>45812</v>
      </c>
      <c r="K8" s="19">
        <v>45811</v>
      </c>
      <c r="L8" s="19">
        <v>45812</v>
      </c>
      <c r="M8" s="18">
        <v>1.5</v>
      </c>
    </row>
    <row r="9" spans="1:28" x14ac:dyDescent="0.2">
      <c r="A9" s="64"/>
      <c r="B9" s="64"/>
      <c r="C9" s="64"/>
      <c r="D9" s="17" t="s">
        <v>34</v>
      </c>
      <c r="E9" s="2" t="s">
        <v>22</v>
      </c>
      <c r="F9" s="18">
        <v>2</v>
      </c>
      <c r="G9" s="18" t="s">
        <v>23</v>
      </c>
      <c r="H9" s="17" t="s">
        <v>35</v>
      </c>
      <c r="I9" s="19">
        <v>45810</v>
      </c>
      <c r="J9" s="19">
        <v>45812</v>
      </c>
      <c r="K9" s="19">
        <v>45812</v>
      </c>
      <c r="L9" s="19">
        <v>45813</v>
      </c>
      <c r="M9" s="18">
        <v>1</v>
      </c>
    </row>
    <row r="10" spans="1:28" x14ac:dyDescent="0.2">
      <c r="A10" s="64"/>
      <c r="B10" s="64"/>
      <c r="C10" s="64"/>
      <c r="D10" s="17" t="s">
        <v>36</v>
      </c>
      <c r="E10" s="2" t="s">
        <v>22</v>
      </c>
      <c r="F10" s="18">
        <v>3</v>
      </c>
      <c r="G10" s="18" t="s">
        <v>23</v>
      </c>
      <c r="H10" s="17" t="s">
        <v>37</v>
      </c>
      <c r="I10" s="19">
        <v>45811</v>
      </c>
      <c r="J10" s="19">
        <v>45813</v>
      </c>
      <c r="K10" s="19">
        <v>45812</v>
      </c>
      <c r="L10" s="19">
        <v>45813</v>
      </c>
      <c r="M10" s="18">
        <v>3</v>
      </c>
    </row>
    <row r="11" spans="1:28" x14ac:dyDescent="0.2">
      <c r="A11" s="64"/>
      <c r="B11" s="64"/>
      <c r="C11" s="64"/>
      <c r="D11" s="17" t="s">
        <v>38</v>
      </c>
      <c r="E11" s="2" t="s">
        <v>22</v>
      </c>
      <c r="F11" s="18">
        <v>3</v>
      </c>
      <c r="G11" s="18" t="s">
        <v>23</v>
      </c>
      <c r="H11" s="17" t="s">
        <v>39</v>
      </c>
      <c r="I11" s="19">
        <v>45811</v>
      </c>
      <c r="J11" s="19">
        <v>45814</v>
      </c>
      <c r="K11" s="19">
        <v>45813</v>
      </c>
      <c r="L11" s="19">
        <v>45814</v>
      </c>
      <c r="M11" s="18">
        <v>3</v>
      </c>
    </row>
    <row r="12" spans="1:28" x14ac:dyDescent="0.2">
      <c r="A12" s="65"/>
      <c r="B12" s="65"/>
      <c r="C12" s="65"/>
      <c r="D12" s="17" t="s">
        <v>40</v>
      </c>
      <c r="E12" s="2" t="s">
        <v>22</v>
      </c>
      <c r="F12" s="18">
        <v>2</v>
      </c>
      <c r="G12" s="18" t="s">
        <v>23</v>
      </c>
      <c r="H12" s="17" t="s">
        <v>41</v>
      </c>
      <c r="I12" s="19">
        <v>45812</v>
      </c>
      <c r="J12" s="19">
        <v>45814</v>
      </c>
      <c r="K12" s="19">
        <v>45814</v>
      </c>
      <c r="L12" s="19">
        <v>45815</v>
      </c>
      <c r="M12" s="18">
        <v>2</v>
      </c>
    </row>
    <row r="13" spans="1:28" x14ac:dyDescent="0.2">
      <c r="A13" s="18"/>
      <c r="B13" s="18"/>
      <c r="C13" s="23"/>
      <c r="D13" s="17"/>
      <c r="E13" s="2"/>
      <c r="F13" s="18"/>
      <c r="G13" s="18" t="s">
        <v>23</v>
      </c>
      <c r="H13" s="17"/>
      <c r="I13" s="18"/>
      <c r="J13" s="18"/>
      <c r="K13" s="18"/>
      <c r="L13" s="18"/>
      <c r="M13" s="18"/>
    </row>
    <row r="14" spans="1:28" x14ac:dyDescent="0.2">
      <c r="A14" s="66">
        <v>1</v>
      </c>
      <c r="B14" s="66">
        <v>1</v>
      </c>
      <c r="C14" s="67" t="s">
        <v>42</v>
      </c>
      <c r="D14" s="17" t="s">
        <v>43</v>
      </c>
      <c r="E14" s="2" t="s">
        <v>22</v>
      </c>
      <c r="F14" s="18">
        <v>2</v>
      </c>
      <c r="G14" s="18" t="s">
        <v>23</v>
      </c>
      <c r="H14" s="17" t="s">
        <v>44</v>
      </c>
      <c r="I14" s="24">
        <v>45813</v>
      </c>
      <c r="J14" s="19">
        <v>45815</v>
      </c>
      <c r="K14" s="24">
        <v>45815</v>
      </c>
      <c r="L14" s="19">
        <v>45816</v>
      </c>
      <c r="M14" s="18">
        <v>1</v>
      </c>
    </row>
    <row r="15" spans="1:28" x14ac:dyDescent="0.2">
      <c r="A15" s="64"/>
      <c r="B15" s="64"/>
      <c r="C15" s="64"/>
      <c r="D15" s="17" t="s">
        <v>45</v>
      </c>
      <c r="E15" s="2" t="s">
        <v>22</v>
      </c>
      <c r="F15" s="18">
        <v>4</v>
      </c>
      <c r="G15" s="18" t="s">
        <v>23</v>
      </c>
      <c r="H15" s="17" t="s">
        <v>46</v>
      </c>
      <c r="I15" s="19">
        <v>45813</v>
      </c>
      <c r="J15" s="19">
        <v>45815</v>
      </c>
      <c r="K15" s="19">
        <v>45815</v>
      </c>
      <c r="L15" s="19">
        <v>45817</v>
      </c>
      <c r="M15" s="18">
        <v>4.5</v>
      </c>
    </row>
    <row r="16" spans="1:28" x14ac:dyDescent="0.2">
      <c r="A16" s="64"/>
      <c r="B16" s="64"/>
      <c r="C16" s="64"/>
      <c r="D16" s="17" t="s">
        <v>47</v>
      </c>
      <c r="E16" s="2" t="s">
        <v>22</v>
      </c>
      <c r="F16" s="18">
        <v>3</v>
      </c>
      <c r="G16" s="18" t="s">
        <v>23</v>
      </c>
      <c r="H16" s="17" t="s">
        <v>48</v>
      </c>
      <c r="I16" s="19">
        <v>45815</v>
      </c>
      <c r="J16" s="19">
        <v>45818</v>
      </c>
      <c r="K16" s="19">
        <v>45816</v>
      </c>
      <c r="L16" s="19">
        <v>45818</v>
      </c>
      <c r="M16" s="18">
        <v>2</v>
      </c>
    </row>
    <row r="17" spans="1:13" x14ac:dyDescent="0.2">
      <c r="A17" s="65"/>
      <c r="B17" s="65"/>
      <c r="C17" s="65"/>
      <c r="D17" s="17" t="s">
        <v>49</v>
      </c>
      <c r="E17" s="2" t="s">
        <v>22</v>
      </c>
      <c r="F17" s="18">
        <v>2</v>
      </c>
      <c r="G17" s="18" t="s">
        <v>23</v>
      </c>
      <c r="H17" s="17" t="s">
        <v>50</v>
      </c>
      <c r="I17" s="19">
        <v>45817</v>
      </c>
      <c r="J17" s="19">
        <v>45818</v>
      </c>
      <c r="K17" s="19">
        <v>45818</v>
      </c>
      <c r="L17" s="19">
        <v>45819</v>
      </c>
      <c r="M17" s="18">
        <v>1</v>
      </c>
    </row>
    <row r="18" spans="1:13" x14ac:dyDescent="0.2">
      <c r="A18" s="20"/>
      <c r="B18" s="20"/>
      <c r="C18" s="21"/>
      <c r="D18" s="21"/>
      <c r="E18" s="21"/>
      <c r="F18" s="21"/>
      <c r="G18" s="21"/>
      <c r="H18" s="21"/>
      <c r="I18" s="21"/>
      <c r="J18" s="21"/>
      <c r="K18" s="21"/>
      <c r="L18" s="21"/>
      <c r="M18" s="22"/>
    </row>
    <row r="19" spans="1:13" x14ac:dyDescent="0.2">
      <c r="A19" s="66">
        <v>1</v>
      </c>
      <c r="B19" s="66">
        <v>1</v>
      </c>
      <c r="C19" s="67" t="s">
        <v>51</v>
      </c>
      <c r="D19" s="17" t="s">
        <v>52</v>
      </c>
      <c r="E19" s="2" t="s">
        <v>53</v>
      </c>
      <c r="F19" s="18">
        <v>6</v>
      </c>
      <c r="G19" s="18" t="s">
        <v>23</v>
      </c>
      <c r="H19" s="17" t="s">
        <v>54</v>
      </c>
      <c r="I19" s="19">
        <v>45806</v>
      </c>
      <c r="J19" s="19">
        <v>45812</v>
      </c>
      <c r="K19" s="19">
        <v>45808</v>
      </c>
      <c r="L19" s="19">
        <v>45814</v>
      </c>
      <c r="M19" s="18">
        <v>5.5</v>
      </c>
    </row>
    <row r="20" spans="1:13" x14ac:dyDescent="0.2">
      <c r="A20" s="64"/>
      <c r="B20" s="64"/>
      <c r="C20" s="64"/>
      <c r="D20" s="17" t="s">
        <v>55</v>
      </c>
      <c r="E20" s="2" t="s">
        <v>53</v>
      </c>
      <c r="F20" s="18">
        <v>3</v>
      </c>
      <c r="G20" s="18" t="s">
        <v>23</v>
      </c>
      <c r="H20" s="17" t="s">
        <v>56</v>
      </c>
      <c r="I20" s="19">
        <v>45808</v>
      </c>
      <c r="J20" s="19">
        <v>45810</v>
      </c>
      <c r="K20" s="19">
        <v>45809</v>
      </c>
      <c r="L20" s="19">
        <v>45810</v>
      </c>
      <c r="M20" s="18">
        <v>2</v>
      </c>
    </row>
    <row r="21" spans="1:13" x14ac:dyDescent="0.2">
      <c r="A21" s="64"/>
      <c r="B21" s="64"/>
      <c r="C21" s="64"/>
      <c r="D21" s="17" t="s">
        <v>57</v>
      </c>
      <c r="E21" s="2" t="s">
        <v>53</v>
      </c>
      <c r="F21" s="18">
        <v>2</v>
      </c>
      <c r="G21" s="18" t="s">
        <v>23</v>
      </c>
      <c r="H21" s="17" t="s">
        <v>58</v>
      </c>
      <c r="I21" s="19">
        <v>45811</v>
      </c>
      <c r="J21" s="19">
        <v>45814</v>
      </c>
      <c r="K21" s="19">
        <v>45811</v>
      </c>
      <c r="L21" s="19">
        <v>45812</v>
      </c>
      <c r="M21" s="18">
        <v>3</v>
      </c>
    </row>
    <row r="22" spans="1:13" x14ac:dyDescent="0.2">
      <c r="A22" s="65"/>
      <c r="B22" s="65"/>
      <c r="C22" s="65"/>
      <c r="D22" s="17" t="s">
        <v>59</v>
      </c>
      <c r="E22" s="2" t="s">
        <v>53</v>
      </c>
      <c r="F22" s="18">
        <v>3</v>
      </c>
      <c r="G22" s="18" t="s">
        <v>23</v>
      </c>
      <c r="H22" s="17" t="s">
        <v>60</v>
      </c>
      <c r="I22" s="19">
        <v>45812</v>
      </c>
      <c r="J22" s="19">
        <v>45814</v>
      </c>
      <c r="K22" s="19">
        <v>45812</v>
      </c>
      <c r="L22" s="19">
        <v>45814</v>
      </c>
      <c r="M22" s="18">
        <v>2</v>
      </c>
    </row>
    <row r="23" spans="1:13" x14ac:dyDescent="0.2">
      <c r="A23" s="20"/>
      <c r="B23" s="20"/>
      <c r="C23" s="21"/>
      <c r="D23" s="21"/>
      <c r="E23" s="21"/>
      <c r="F23" s="21"/>
      <c r="G23" s="21"/>
      <c r="H23" s="21"/>
      <c r="I23" s="21"/>
      <c r="J23" s="21"/>
      <c r="K23" s="21"/>
      <c r="L23" s="21"/>
      <c r="M23" s="22"/>
    </row>
    <row r="24" spans="1:13" x14ac:dyDescent="0.2">
      <c r="A24" s="66">
        <v>1</v>
      </c>
      <c r="B24" s="66">
        <v>1</v>
      </c>
      <c r="C24" s="67" t="s">
        <v>61</v>
      </c>
      <c r="D24" s="17" t="s">
        <v>62</v>
      </c>
      <c r="E24" s="2" t="s">
        <v>53</v>
      </c>
      <c r="F24" s="18">
        <v>1</v>
      </c>
      <c r="G24" s="18" t="s">
        <v>23</v>
      </c>
      <c r="H24" s="17" t="s">
        <v>63</v>
      </c>
      <c r="I24" s="19">
        <v>45808</v>
      </c>
      <c r="J24" s="19">
        <v>45809</v>
      </c>
      <c r="K24" s="19">
        <v>45808</v>
      </c>
      <c r="L24" s="19">
        <v>45809</v>
      </c>
      <c r="M24" s="18">
        <v>1</v>
      </c>
    </row>
    <row r="25" spans="1:13" x14ac:dyDescent="0.2">
      <c r="A25" s="64"/>
      <c r="B25" s="64"/>
      <c r="C25" s="64"/>
      <c r="D25" s="17" t="s">
        <v>64</v>
      </c>
      <c r="E25" s="2" t="s">
        <v>53</v>
      </c>
      <c r="F25" s="18">
        <v>3</v>
      </c>
      <c r="G25" s="18" t="s">
        <v>23</v>
      </c>
      <c r="H25" s="17" t="s">
        <v>65</v>
      </c>
      <c r="I25" s="19">
        <v>45808</v>
      </c>
      <c r="J25" s="19">
        <v>45812</v>
      </c>
      <c r="K25" s="19">
        <v>45810</v>
      </c>
      <c r="L25" s="19">
        <v>45812</v>
      </c>
      <c r="M25" s="18">
        <v>3.5</v>
      </c>
    </row>
    <row r="26" spans="1:13" x14ac:dyDescent="0.2">
      <c r="A26" s="65"/>
      <c r="B26" s="65"/>
      <c r="C26" s="65"/>
      <c r="D26" s="17" t="s">
        <v>66</v>
      </c>
      <c r="E26" s="2" t="s">
        <v>53</v>
      </c>
      <c r="F26" s="18">
        <v>2</v>
      </c>
      <c r="G26" s="18" t="s">
        <v>23</v>
      </c>
      <c r="H26" s="17" t="s">
        <v>67</v>
      </c>
      <c r="I26" s="19">
        <v>45812</v>
      </c>
      <c r="J26" s="19">
        <v>45814</v>
      </c>
      <c r="K26" s="19">
        <v>45812</v>
      </c>
      <c r="L26" s="19">
        <v>45814</v>
      </c>
      <c r="M26" s="18">
        <v>1</v>
      </c>
    </row>
    <row r="27" spans="1:13" x14ac:dyDescent="0.2">
      <c r="A27" s="20"/>
      <c r="B27" s="20"/>
      <c r="C27" s="21"/>
      <c r="D27" s="21"/>
      <c r="E27" s="21"/>
      <c r="F27" s="21"/>
      <c r="G27" s="21"/>
      <c r="H27" s="21"/>
      <c r="I27" s="21"/>
      <c r="J27" s="21"/>
      <c r="K27" s="21"/>
      <c r="L27" s="21"/>
      <c r="M27" s="22"/>
    </row>
    <row r="28" spans="1:13" x14ac:dyDescent="0.2">
      <c r="A28" s="66">
        <v>1</v>
      </c>
      <c r="B28" s="66">
        <v>1</v>
      </c>
      <c r="C28" s="67" t="s">
        <v>68</v>
      </c>
      <c r="D28" s="17" t="s">
        <v>69</v>
      </c>
      <c r="E28" s="2" t="s">
        <v>53</v>
      </c>
      <c r="F28" s="18">
        <v>1</v>
      </c>
      <c r="G28" s="18" t="s">
        <v>23</v>
      </c>
      <c r="H28" s="17" t="s">
        <v>70</v>
      </c>
      <c r="I28" s="19">
        <v>45813</v>
      </c>
      <c r="J28" s="19">
        <v>45815</v>
      </c>
      <c r="K28" s="19">
        <v>45814</v>
      </c>
      <c r="L28" s="19">
        <v>45816</v>
      </c>
      <c r="M28" s="18">
        <v>1</v>
      </c>
    </row>
    <row r="29" spans="1:13" x14ac:dyDescent="0.2">
      <c r="A29" s="64"/>
      <c r="B29" s="64"/>
      <c r="C29" s="64"/>
      <c r="D29" s="17" t="s">
        <v>71</v>
      </c>
      <c r="E29" s="2" t="s">
        <v>53</v>
      </c>
      <c r="F29" s="18">
        <v>1</v>
      </c>
      <c r="G29" s="18" t="s">
        <v>23</v>
      </c>
      <c r="H29" s="17" t="s">
        <v>72</v>
      </c>
      <c r="I29" s="19">
        <v>45813</v>
      </c>
      <c r="J29" s="19">
        <v>45815</v>
      </c>
      <c r="K29" s="19">
        <v>45815</v>
      </c>
      <c r="L29" s="19">
        <v>45815</v>
      </c>
      <c r="M29" s="18">
        <v>0.5</v>
      </c>
    </row>
    <row r="30" spans="1:13" x14ac:dyDescent="0.2">
      <c r="A30" s="65"/>
      <c r="B30" s="65"/>
      <c r="C30" s="65"/>
      <c r="D30" s="17" t="s">
        <v>73</v>
      </c>
      <c r="E30" s="2" t="s">
        <v>53</v>
      </c>
      <c r="F30" s="18">
        <v>1</v>
      </c>
      <c r="G30" s="18" t="s">
        <v>23</v>
      </c>
      <c r="H30" s="17" t="s">
        <v>74</v>
      </c>
      <c r="I30" s="19">
        <v>45814</v>
      </c>
      <c r="J30" s="19">
        <v>45815</v>
      </c>
      <c r="K30" s="19">
        <v>45815</v>
      </c>
      <c r="L30" s="19">
        <v>45816</v>
      </c>
      <c r="M30" s="18">
        <v>1</v>
      </c>
    </row>
    <row r="31" spans="1:13" x14ac:dyDescent="0.2">
      <c r="A31" s="20"/>
      <c r="B31" s="20"/>
      <c r="C31" s="21"/>
      <c r="D31" s="21"/>
      <c r="E31" s="21"/>
      <c r="F31" s="21"/>
      <c r="G31" s="21"/>
      <c r="H31" s="21"/>
      <c r="I31" s="21"/>
      <c r="J31" s="21"/>
      <c r="K31" s="21"/>
      <c r="L31" s="21"/>
      <c r="M31" s="22"/>
    </row>
    <row r="32" spans="1:13" x14ac:dyDescent="0.2">
      <c r="A32" s="66">
        <v>1</v>
      </c>
      <c r="B32" s="66">
        <v>1</v>
      </c>
      <c r="C32" s="67" t="s">
        <v>75</v>
      </c>
      <c r="D32" s="17" t="s">
        <v>76</v>
      </c>
      <c r="E32" s="2" t="s">
        <v>77</v>
      </c>
      <c r="F32" s="18">
        <v>3</v>
      </c>
      <c r="G32" s="18" t="s">
        <v>23</v>
      </c>
      <c r="H32" s="17" t="s">
        <v>78</v>
      </c>
      <c r="I32" s="19">
        <v>45807</v>
      </c>
      <c r="J32" s="19">
        <v>45810</v>
      </c>
      <c r="K32" s="19">
        <v>45807</v>
      </c>
      <c r="L32" s="19">
        <v>45810</v>
      </c>
      <c r="M32" s="18">
        <v>3</v>
      </c>
    </row>
    <row r="33" spans="1:13" x14ac:dyDescent="0.2">
      <c r="A33" s="64"/>
      <c r="B33" s="64"/>
      <c r="C33" s="64"/>
      <c r="D33" s="17" t="s">
        <v>79</v>
      </c>
      <c r="E33" s="2" t="s">
        <v>77</v>
      </c>
      <c r="F33" s="18">
        <v>2</v>
      </c>
      <c r="G33" s="18" t="s">
        <v>23</v>
      </c>
      <c r="H33" s="17" t="s">
        <v>80</v>
      </c>
      <c r="I33" s="19">
        <v>45809</v>
      </c>
      <c r="J33" s="19">
        <v>45811</v>
      </c>
      <c r="K33" s="19">
        <v>45809</v>
      </c>
      <c r="L33" s="19">
        <v>45810</v>
      </c>
      <c r="M33" s="18">
        <v>2</v>
      </c>
    </row>
    <row r="34" spans="1:13" x14ac:dyDescent="0.2">
      <c r="A34" s="64"/>
      <c r="B34" s="64"/>
      <c r="C34" s="64"/>
      <c r="D34" s="17" t="s">
        <v>81</v>
      </c>
      <c r="E34" s="2" t="s">
        <v>77</v>
      </c>
      <c r="F34" s="18">
        <v>2</v>
      </c>
      <c r="G34" s="18" t="s">
        <v>23</v>
      </c>
      <c r="H34" s="17" t="s">
        <v>82</v>
      </c>
      <c r="I34" s="19">
        <v>45810</v>
      </c>
      <c r="J34" s="19">
        <v>45811</v>
      </c>
      <c r="K34" s="19">
        <v>45810</v>
      </c>
      <c r="L34" s="19">
        <v>45811</v>
      </c>
      <c r="M34" s="18">
        <v>1</v>
      </c>
    </row>
    <row r="35" spans="1:13" x14ac:dyDescent="0.2">
      <c r="A35" s="65"/>
      <c r="B35" s="65"/>
      <c r="C35" s="65"/>
      <c r="D35" s="17" t="s">
        <v>83</v>
      </c>
      <c r="E35" s="2" t="s">
        <v>77</v>
      </c>
      <c r="F35" s="18">
        <v>2</v>
      </c>
      <c r="G35" s="18" t="s">
        <v>23</v>
      </c>
      <c r="H35" s="17" t="s">
        <v>84</v>
      </c>
      <c r="I35" s="19">
        <v>45810</v>
      </c>
      <c r="J35" s="19">
        <v>45811</v>
      </c>
      <c r="K35" s="19">
        <v>45810</v>
      </c>
      <c r="L35" s="19">
        <v>45811</v>
      </c>
      <c r="M35" s="18">
        <v>1</v>
      </c>
    </row>
    <row r="36" spans="1:13" x14ac:dyDescent="0.2">
      <c r="A36" s="20"/>
      <c r="B36" s="20"/>
      <c r="C36" s="21"/>
      <c r="D36" s="21"/>
      <c r="E36" s="21"/>
      <c r="F36" s="21"/>
      <c r="G36" s="21"/>
      <c r="H36" s="21"/>
      <c r="I36" s="21"/>
      <c r="J36" s="21"/>
      <c r="K36" s="21"/>
      <c r="L36" s="21"/>
      <c r="M36" s="22"/>
    </row>
    <row r="37" spans="1:13" x14ac:dyDescent="0.2">
      <c r="A37" s="66">
        <v>1</v>
      </c>
      <c r="B37" s="66">
        <v>1</v>
      </c>
      <c r="C37" s="67" t="s">
        <v>85</v>
      </c>
      <c r="D37" s="17" t="s">
        <v>86</v>
      </c>
      <c r="E37" s="2" t="s">
        <v>77</v>
      </c>
      <c r="F37" s="18">
        <v>3</v>
      </c>
      <c r="G37" s="18" t="s">
        <v>23</v>
      </c>
      <c r="H37" s="17" t="s">
        <v>78</v>
      </c>
      <c r="I37" s="19">
        <v>45810</v>
      </c>
      <c r="J37" s="19">
        <v>45811</v>
      </c>
      <c r="K37" s="19">
        <v>45810</v>
      </c>
      <c r="L37" s="19">
        <v>45810</v>
      </c>
      <c r="M37" s="18">
        <v>2</v>
      </c>
    </row>
    <row r="38" spans="1:13" x14ac:dyDescent="0.2">
      <c r="A38" s="64"/>
      <c r="B38" s="64"/>
      <c r="C38" s="64"/>
      <c r="D38" s="17" t="s">
        <v>87</v>
      </c>
      <c r="E38" s="2" t="s">
        <v>77</v>
      </c>
      <c r="F38" s="18">
        <v>2</v>
      </c>
      <c r="G38" s="18" t="s">
        <v>23</v>
      </c>
      <c r="H38" s="17" t="s">
        <v>80</v>
      </c>
      <c r="I38" s="19">
        <v>45810</v>
      </c>
      <c r="J38" s="19">
        <v>45811</v>
      </c>
      <c r="K38" s="19">
        <v>45810</v>
      </c>
      <c r="L38" s="19">
        <v>45811</v>
      </c>
      <c r="M38" s="18">
        <v>1</v>
      </c>
    </row>
    <row r="39" spans="1:13" x14ac:dyDescent="0.2">
      <c r="A39" s="64"/>
      <c r="B39" s="64"/>
      <c r="C39" s="64"/>
      <c r="D39" s="17" t="s">
        <v>88</v>
      </c>
      <c r="E39" s="2" t="s">
        <v>77</v>
      </c>
      <c r="F39" s="18">
        <v>2</v>
      </c>
      <c r="G39" s="18" t="s">
        <v>23</v>
      </c>
      <c r="H39" s="17" t="s">
        <v>82</v>
      </c>
      <c r="I39" s="19">
        <v>45811</v>
      </c>
      <c r="J39" s="19">
        <v>45812</v>
      </c>
      <c r="K39" s="19">
        <v>45811</v>
      </c>
      <c r="L39" s="19">
        <v>45811</v>
      </c>
      <c r="M39" s="18">
        <v>1</v>
      </c>
    </row>
    <row r="40" spans="1:13" x14ac:dyDescent="0.2">
      <c r="A40" s="65"/>
      <c r="B40" s="65"/>
      <c r="C40" s="65"/>
      <c r="D40" s="17" t="s">
        <v>83</v>
      </c>
      <c r="E40" s="2" t="s">
        <v>77</v>
      </c>
      <c r="F40" s="18">
        <v>2</v>
      </c>
      <c r="G40" s="18" t="s">
        <v>23</v>
      </c>
      <c r="H40" s="17" t="s">
        <v>84</v>
      </c>
      <c r="I40" s="19">
        <v>45812</v>
      </c>
      <c r="J40" s="19">
        <v>45813</v>
      </c>
      <c r="K40" s="19">
        <v>45811</v>
      </c>
      <c r="L40" s="19">
        <v>45811</v>
      </c>
      <c r="M40" s="18">
        <v>1</v>
      </c>
    </row>
    <row r="41" spans="1:13" x14ac:dyDescent="0.2">
      <c r="A41" s="20"/>
      <c r="B41" s="20"/>
      <c r="C41" s="21"/>
      <c r="D41" s="21"/>
      <c r="E41" s="21"/>
      <c r="F41" s="21"/>
      <c r="G41" s="21"/>
      <c r="H41" s="21"/>
      <c r="I41" s="21"/>
      <c r="J41" s="21"/>
      <c r="K41" s="21"/>
      <c r="L41" s="21"/>
      <c r="M41" s="22"/>
    </row>
    <row r="42" spans="1:13" x14ac:dyDescent="0.2">
      <c r="A42" s="66">
        <v>1</v>
      </c>
      <c r="B42" s="66">
        <v>1</v>
      </c>
      <c r="C42" s="67" t="s">
        <v>89</v>
      </c>
      <c r="D42" s="17" t="s">
        <v>90</v>
      </c>
      <c r="E42" s="2" t="s">
        <v>91</v>
      </c>
      <c r="F42" s="18">
        <v>1</v>
      </c>
      <c r="G42" s="18" t="s">
        <v>23</v>
      </c>
      <c r="H42" s="17" t="s">
        <v>92</v>
      </c>
      <c r="I42" s="19">
        <v>45815</v>
      </c>
      <c r="J42" s="19">
        <v>45817</v>
      </c>
      <c r="K42" s="19">
        <v>45816</v>
      </c>
      <c r="L42" s="19">
        <v>45817</v>
      </c>
      <c r="M42" s="18">
        <v>1</v>
      </c>
    </row>
    <row r="43" spans="1:13" x14ac:dyDescent="0.2">
      <c r="A43" s="65"/>
      <c r="B43" s="65"/>
      <c r="C43" s="65"/>
      <c r="D43" s="17" t="s">
        <v>93</v>
      </c>
      <c r="E43" s="2" t="s">
        <v>91</v>
      </c>
      <c r="F43" s="18">
        <v>3</v>
      </c>
      <c r="G43" s="18" t="s">
        <v>23</v>
      </c>
      <c r="H43" s="17" t="s">
        <v>94</v>
      </c>
      <c r="I43" s="19">
        <v>45816</v>
      </c>
      <c r="J43" s="19">
        <v>45818</v>
      </c>
      <c r="K43" s="19">
        <v>45816</v>
      </c>
      <c r="L43" s="19">
        <v>45818</v>
      </c>
      <c r="M43" s="18">
        <v>4</v>
      </c>
    </row>
    <row r="44" spans="1:13" x14ac:dyDescent="0.2">
      <c r="A44" s="20"/>
      <c r="B44" s="20"/>
      <c r="C44" s="21"/>
      <c r="D44" s="21"/>
      <c r="E44" s="21"/>
      <c r="F44" s="21"/>
      <c r="G44" s="21"/>
      <c r="H44" s="21"/>
      <c r="I44" s="21"/>
      <c r="J44" s="21"/>
      <c r="K44" s="21"/>
      <c r="L44" s="21"/>
      <c r="M44" s="22"/>
    </row>
    <row r="45" spans="1:13" x14ac:dyDescent="0.2">
      <c r="A45" s="66">
        <v>1</v>
      </c>
      <c r="B45" s="66">
        <v>1</v>
      </c>
      <c r="C45" s="67" t="s">
        <v>95</v>
      </c>
      <c r="D45" s="17" t="s">
        <v>96</v>
      </c>
      <c r="E45" s="2" t="s">
        <v>97</v>
      </c>
      <c r="F45" s="18">
        <v>1</v>
      </c>
      <c r="G45" s="18" t="s">
        <v>23</v>
      </c>
      <c r="H45" s="17" t="s">
        <v>98</v>
      </c>
      <c r="I45" s="19">
        <v>45815</v>
      </c>
      <c r="J45" s="19">
        <v>45817</v>
      </c>
      <c r="K45" s="19">
        <v>45815</v>
      </c>
      <c r="L45" s="19">
        <v>45817</v>
      </c>
      <c r="M45" s="18">
        <v>1</v>
      </c>
    </row>
    <row r="46" spans="1:13" x14ac:dyDescent="0.2">
      <c r="A46" s="65"/>
      <c r="B46" s="65"/>
      <c r="C46" s="65"/>
      <c r="D46" s="17" t="s">
        <v>99</v>
      </c>
      <c r="E46" s="2" t="s">
        <v>97</v>
      </c>
      <c r="F46" s="18">
        <v>3</v>
      </c>
      <c r="G46" s="18" t="s">
        <v>23</v>
      </c>
      <c r="H46" s="17" t="s">
        <v>100</v>
      </c>
      <c r="I46" s="19">
        <v>45816</v>
      </c>
      <c r="J46" s="19">
        <v>45818</v>
      </c>
      <c r="K46" s="19">
        <v>45816</v>
      </c>
      <c r="L46" s="19">
        <v>45818</v>
      </c>
      <c r="M46" s="18">
        <v>3</v>
      </c>
    </row>
    <row r="47" spans="1:13" x14ac:dyDescent="0.2">
      <c r="A47" s="20"/>
      <c r="B47" s="20"/>
      <c r="C47" s="21"/>
      <c r="D47" s="21"/>
      <c r="E47" s="21"/>
      <c r="F47" s="21"/>
      <c r="G47" s="21"/>
      <c r="H47" s="21"/>
      <c r="I47" s="21"/>
      <c r="J47" s="21"/>
      <c r="K47" s="21"/>
      <c r="L47" s="21"/>
      <c r="M47" s="22"/>
    </row>
    <row r="48" spans="1:13" x14ac:dyDescent="0.2">
      <c r="A48" s="66">
        <v>1</v>
      </c>
      <c r="B48" s="66">
        <v>1</v>
      </c>
      <c r="C48" s="67" t="s">
        <v>101</v>
      </c>
      <c r="D48" s="17" t="s">
        <v>90</v>
      </c>
      <c r="E48" s="2" t="s">
        <v>91</v>
      </c>
      <c r="F48" s="18">
        <v>1</v>
      </c>
      <c r="G48" s="18" t="s">
        <v>23</v>
      </c>
      <c r="H48" s="17" t="s">
        <v>92</v>
      </c>
      <c r="I48" s="19">
        <v>45815</v>
      </c>
      <c r="J48" s="19">
        <v>45817</v>
      </c>
      <c r="K48" s="19">
        <v>45816</v>
      </c>
      <c r="L48" s="19">
        <v>45816</v>
      </c>
      <c r="M48" s="18">
        <v>0.5</v>
      </c>
    </row>
    <row r="49" spans="1:13" x14ac:dyDescent="0.2">
      <c r="A49" s="65"/>
      <c r="B49" s="65"/>
      <c r="C49" s="65"/>
      <c r="D49" s="17" t="s">
        <v>93</v>
      </c>
      <c r="E49" s="2" t="s">
        <v>91</v>
      </c>
      <c r="F49" s="18">
        <v>3</v>
      </c>
      <c r="G49" s="18" t="s">
        <v>23</v>
      </c>
      <c r="H49" s="17" t="s">
        <v>94</v>
      </c>
      <c r="I49" s="19">
        <v>45816</v>
      </c>
      <c r="J49" s="19">
        <v>45818</v>
      </c>
      <c r="K49" s="19">
        <v>45818</v>
      </c>
      <c r="L49" s="19">
        <v>45819</v>
      </c>
      <c r="M49" s="18">
        <v>3</v>
      </c>
    </row>
    <row r="50" spans="1:13" x14ac:dyDescent="0.2">
      <c r="A50" s="20"/>
      <c r="B50" s="20"/>
      <c r="C50" s="21"/>
      <c r="D50" s="21"/>
      <c r="E50" s="21"/>
      <c r="F50" s="21"/>
      <c r="G50" s="21"/>
      <c r="H50" s="21"/>
      <c r="I50" s="21"/>
      <c r="J50" s="21"/>
      <c r="K50" s="21"/>
      <c r="L50" s="21"/>
      <c r="M50" s="22"/>
    </row>
    <row r="51" spans="1:13" x14ac:dyDescent="0.2">
      <c r="A51" s="66">
        <v>1</v>
      </c>
      <c r="B51" s="66">
        <v>1</v>
      </c>
      <c r="C51" s="67" t="s">
        <v>102</v>
      </c>
      <c r="D51" s="17" t="s">
        <v>96</v>
      </c>
      <c r="E51" s="2" t="s">
        <v>97</v>
      </c>
      <c r="F51" s="18">
        <v>1</v>
      </c>
      <c r="G51" s="18" t="s">
        <v>23</v>
      </c>
      <c r="H51" s="17" t="s">
        <v>98</v>
      </c>
      <c r="I51" s="19">
        <v>45815</v>
      </c>
      <c r="J51" s="19">
        <v>45817</v>
      </c>
      <c r="K51" s="19">
        <v>45815</v>
      </c>
      <c r="L51" s="19">
        <v>45816</v>
      </c>
      <c r="M51" s="18">
        <v>0.5</v>
      </c>
    </row>
    <row r="52" spans="1:13" x14ac:dyDescent="0.2">
      <c r="A52" s="65"/>
      <c r="B52" s="65"/>
      <c r="C52" s="65"/>
      <c r="D52" s="17" t="s">
        <v>99</v>
      </c>
      <c r="E52" s="2" t="s">
        <v>97</v>
      </c>
      <c r="F52" s="18">
        <v>3</v>
      </c>
      <c r="G52" s="18" t="s">
        <v>23</v>
      </c>
      <c r="H52" s="17" t="s">
        <v>100</v>
      </c>
      <c r="I52" s="19">
        <v>45816</v>
      </c>
      <c r="J52" s="19">
        <v>45818</v>
      </c>
      <c r="K52" s="19">
        <v>45816</v>
      </c>
      <c r="L52" s="19">
        <v>45817</v>
      </c>
      <c r="M52" s="18">
        <v>2</v>
      </c>
    </row>
    <row r="53" spans="1:13" x14ac:dyDescent="0.2">
      <c r="A53" s="20"/>
      <c r="B53" s="20"/>
      <c r="C53" s="21"/>
      <c r="D53" s="21"/>
      <c r="E53" s="21"/>
      <c r="F53" s="21"/>
      <c r="G53" s="21"/>
      <c r="H53" s="21"/>
      <c r="I53" s="21"/>
      <c r="J53" s="21"/>
      <c r="K53" s="21"/>
      <c r="L53" s="21"/>
      <c r="M53" s="22"/>
    </row>
    <row r="54" spans="1:13" x14ac:dyDescent="0.2">
      <c r="A54" s="66">
        <v>1</v>
      </c>
      <c r="B54" s="66">
        <v>1</v>
      </c>
      <c r="C54" s="67" t="s">
        <v>103</v>
      </c>
      <c r="D54" s="17" t="s">
        <v>104</v>
      </c>
      <c r="E54" s="2" t="s">
        <v>91</v>
      </c>
      <c r="F54" s="18">
        <v>5</v>
      </c>
      <c r="G54" s="18" t="s">
        <v>23</v>
      </c>
      <c r="H54" s="17" t="s">
        <v>105</v>
      </c>
      <c r="I54" s="19">
        <v>45806</v>
      </c>
      <c r="J54" s="19">
        <v>45812</v>
      </c>
      <c r="K54" s="19">
        <v>45808</v>
      </c>
      <c r="L54" s="19">
        <v>45814</v>
      </c>
      <c r="M54" s="18">
        <v>6</v>
      </c>
    </row>
    <row r="55" spans="1:13" x14ac:dyDescent="0.2">
      <c r="A55" s="64"/>
      <c r="B55" s="64"/>
      <c r="C55" s="64"/>
      <c r="D55" s="17" t="s">
        <v>106</v>
      </c>
      <c r="E55" s="2" t="s">
        <v>91</v>
      </c>
      <c r="F55" s="18">
        <v>3</v>
      </c>
      <c r="G55" s="18" t="s">
        <v>23</v>
      </c>
      <c r="H55" s="17" t="s">
        <v>107</v>
      </c>
      <c r="I55" s="19">
        <v>45810</v>
      </c>
      <c r="J55" s="24">
        <v>45813</v>
      </c>
      <c r="K55" s="19">
        <v>45812</v>
      </c>
      <c r="L55" s="24">
        <v>45815</v>
      </c>
      <c r="M55" s="18">
        <v>4</v>
      </c>
    </row>
    <row r="56" spans="1:13" x14ac:dyDescent="0.2">
      <c r="A56" s="64"/>
      <c r="B56" s="64"/>
      <c r="C56" s="64"/>
      <c r="D56" s="17" t="s">
        <v>108</v>
      </c>
      <c r="E56" s="2" t="s">
        <v>91</v>
      </c>
      <c r="F56" s="18">
        <v>2</v>
      </c>
      <c r="G56" s="18" t="s">
        <v>23</v>
      </c>
      <c r="H56" s="17" t="s">
        <v>109</v>
      </c>
      <c r="I56" s="19">
        <v>45810</v>
      </c>
      <c r="J56" s="19">
        <v>45812</v>
      </c>
      <c r="K56" s="19">
        <v>45812</v>
      </c>
      <c r="L56" s="19">
        <v>45814</v>
      </c>
      <c r="M56" s="18">
        <v>2</v>
      </c>
    </row>
    <row r="57" spans="1:13" x14ac:dyDescent="0.2">
      <c r="A57" s="64"/>
      <c r="B57" s="64"/>
      <c r="C57" s="64"/>
      <c r="D57" s="17" t="s">
        <v>110</v>
      </c>
      <c r="E57" s="2" t="s">
        <v>91</v>
      </c>
      <c r="F57" s="18">
        <v>2</v>
      </c>
      <c r="G57" s="18" t="s">
        <v>23</v>
      </c>
      <c r="H57" s="17" t="s">
        <v>111</v>
      </c>
      <c r="I57" s="19">
        <v>45811</v>
      </c>
      <c r="J57" s="19">
        <v>45813</v>
      </c>
      <c r="K57" s="19">
        <v>45814</v>
      </c>
      <c r="L57" s="19">
        <v>45815</v>
      </c>
      <c r="M57" s="18">
        <v>2</v>
      </c>
    </row>
    <row r="58" spans="1:13" x14ac:dyDescent="0.2">
      <c r="A58" s="65"/>
      <c r="B58" s="65"/>
      <c r="C58" s="65"/>
      <c r="D58" s="17" t="s">
        <v>112</v>
      </c>
      <c r="E58" s="2" t="s">
        <v>91</v>
      </c>
      <c r="F58" s="18">
        <v>2</v>
      </c>
      <c r="G58" s="18" t="s">
        <v>23</v>
      </c>
      <c r="H58" s="17" t="s">
        <v>113</v>
      </c>
      <c r="I58" s="19">
        <v>45812</v>
      </c>
      <c r="J58" s="19">
        <v>45813</v>
      </c>
      <c r="K58" s="19">
        <v>45814</v>
      </c>
      <c r="L58" s="19">
        <v>45816</v>
      </c>
      <c r="M58" s="18">
        <v>3</v>
      </c>
    </row>
    <row r="59" spans="1:13" x14ac:dyDescent="0.2">
      <c r="A59" s="20"/>
      <c r="B59" s="20"/>
      <c r="C59" s="21"/>
      <c r="D59" s="21"/>
      <c r="E59" s="21"/>
      <c r="F59" s="21"/>
      <c r="G59" s="21"/>
      <c r="H59" s="21"/>
      <c r="I59" s="21"/>
      <c r="J59" s="21"/>
      <c r="K59" s="21"/>
      <c r="L59" s="21"/>
      <c r="M59" s="22"/>
    </row>
    <row r="60" spans="1:13" x14ac:dyDescent="0.2">
      <c r="A60" s="66">
        <v>1</v>
      </c>
      <c r="B60" s="66">
        <v>1</v>
      </c>
      <c r="C60" s="67" t="s">
        <v>114</v>
      </c>
      <c r="D60" s="17" t="s">
        <v>115</v>
      </c>
      <c r="E60" s="2" t="s">
        <v>91</v>
      </c>
      <c r="F60" s="18">
        <v>1</v>
      </c>
      <c r="G60" s="18" t="s">
        <v>23</v>
      </c>
      <c r="H60" s="17" t="s">
        <v>116</v>
      </c>
      <c r="I60" s="19">
        <v>45813</v>
      </c>
      <c r="J60" s="19">
        <v>45814</v>
      </c>
      <c r="K60" s="19">
        <v>45815</v>
      </c>
      <c r="L60" s="19">
        <v>45816</v>
      </c>
      <c r="M60" s="18">
        <v>1</v>
      </c>
    </row>
    <row r="61" spans="1:13" x14ac:dyDescent="0.2">
      <c r="A61" s="64"/>
      <c r="B61" s="64"/>
      <c r="C61" s="64"/>
      <c r="D61" s="17" t="s">
        <v>117</v>
      </c>
      <c r="E61" s="2" t="s">
        <v>91</v>
      </c>
      <c r="F61" s="18">
        <v>2</v>
      </c>
      <c r="G61" s="18" t="s">
        <v>23</v>
      </c>
      <c r="H61" s="17" t="s">
        <v>118</v>
      </c>
      <c r="I61" s="19">
        <v>45813</v>
      </c>
      <c r="J61" s="19">
        <v>45814</v>
      </c>
      <c r="K61" s="19">
        <v>45815</v>
      </c>
      <c r="L61" s="19">
        <v>45815</v>
      </c>
      <c r="M61" s="18">
        <v>1</v>
      </c>
    </row>
    <row r="62" spans="1:13" x14ac:dyDescent="0.2">
      <c r="A62" s="64"/>
      <c r="B62" s="64"/>
      <c r="C62" s="64"/>
      <c r="D62" s="17" t="s">
        <v>119</v>
      </c>
      <c r="E62" s="2" t="s">
        <v>91</v>
      </c>
      <c r="F62" s="18">
        <v>2</v>
      </c>
      <c r="G62" s="18" t="s">
        <v>23</v>
      </c>
      <c r="H62" s="17" t="s">
        <v>120</v>
      </c>
      <c r="I62" s="19">
        <v>45814</v>
      </c>
      <c r="J62" s="19">
        <v>45816</v>
      </c>
      <c r="K62" s="19">
        <v>45815</v>
      </c>
      <c r="L62" s="19">
        <v>45816</v>
      </c>
      <c r="M62" s="18">
        <v>2</v>
      </c>
    </row>
    <row r="63" spans="1:13" x14ac:dyDescent="0.2">
      <c r="A63" s="64"/>
      <c r="B63" s="64"/>
      <c r="C63" s="64"/>
      <c r="D63" s="17" t="s">
        <v>121</v>
      </c>
      <c r="E63" s="2" t="s">
        <v>91</v>
      </c>
      <c r="F63" s="18">
        <v>1</v>
      </c>
      <c r="G63" s="18" t="s">
        <v>23</v>
      </c>
      <c r="H63" s="17" t="s">
        <v>122</v>
      </c>
      <c r="I63" s="19">
        <v>45814</v>
      </c>
      <c r="J63" s="19">
        <v>45815</v>
      </c>
      <c r="K63" s="19">
        <v>45815</v>
      </c>
      <c r="L63" s="19">
        <v>45815</v>
      </c>
      <c r="M63" s="18">
        <v>1</v>
      </c>
    </row>
    <row r="64" spans="1:13" x14ac:dyDescent="0.2">
      <c r="A64" s="64"/>
      <c r="B64" s="64"/>
      <c r="C64" s="64"/>
      <c r="D64" s="17" t="s">
        <v>123</v>
      </c>
      <c r="E64" s="2" t="s">
        <v>91</v>
      </c>
      <c r="F64" s="18">
        <v>2</v>
      </c>
      <c r="G64" s="18" t="s">
        <v>23</v>
      </c>
      <c r="H64" s="17" t="s">
        <v>124</v>
      </c>
      <c r="I64" s="19">
        <v>45815</v>
      </c>
      <c r="J64" s="19">
        <v>45816</v>
      </c>
      <c r="K64" s="19">
        <v>45816</v>
      </c>
      <c r="L64" s="19">
        <v>45817</v>
      </c>
      <c r="M64" s="18">
        <v>1</v>
      </c>
    </row>
    <row r="65" spans="1:13" x14ac:dyDescent="0.2">
      <c r="A65" s="65"/>
      <c r="B65" s="65"/>
      <c r="C65" s="65"/>
      <c r="D65" s="17" t="s">
        <v>125</v>
      </c>
      <c r="E65" s="2" t="s">
        <v>91</v>
      </c>
      <c r="F65" s="18">
        <v>1</v>
      </c>
      <c r="G65" s="18" t="s">
        <v>23</v>
      </c>
      <c r="H65" s="17" t="s">
        <v>126</v>
      </c>
      <c r="I65" s="19">
        <v>45815</v>
      </c>
      <c r="J65" s="19">
        <v>45816</v>
      </c>
      <c r="K65" s="19">
        <v>45816</v>
      </c>
      <c r="L65" s="19">
        <v>45817</v>
      </c>
      <c r="M65" s="18">
        <v>1</v>
      </c>
    </row>
    <row r="66" spans="1:13" x14ac:dyDescent="0.2">
      <c r="A66" s="20"/>
      <c r="B66" s="20"/>
      <c r="C66" s="21"/>
      <c r="D66" s="21"/>
      <c r="E66" s="21"/>
      <c r="F66" s="21"/>
      <c r="G66" s="21"/>
      <c r="H66" s="21"/>
      <c r="I66" s="21"/>
      <c r="J66" s="21"/>
      <c r="K66" s="21"/>
      <c r="L66" s="21"/>
      <c r="M66" s="22"/>
    </row>
    <row r="67" spans="1:13" x14ac:dyDescent="0.2">
      <c r="A67" s="66">
        <v>1</v>
      </c>
      <c r="B67" s="66">
        <v>1</v>
      </c>
      <c r="C67" s="67" t="s">
        <v>127</v>
      </c>
      <c r="D67" s="17" t="s">
        <v>128</v>
      </c>
      <c r="E67" s="2" t="s">
        <v>97</v>
      </c>
      <c r="F67" s="18">
        <v>5</v>
      </c>
      <c r="G67" s="18" t="s">
        <v>23</v>
      </c>
      <c r="H67" s="17" t="s">
        <v>105</v>
      </c>
      <c r="I67" s="19">
        <v>45806</v>
      </c>
      <c r="J67" s="19">
        <v>45812</v>
      </c>
      <c r="K67" s="19">
        <v>45806</v>
      </c>
      <c r="L67" s="19">
        <v>45811</v>
      </c>
      <c r="M67" s="18">
        <v>5</v>
      </c>
    </row>
    <row r="68" spans="1:13" x14ac:dyDescent="0.2">
      <c r="A68" s="64"/>
      <c r="B68" s="64"/>
      <c r="C68" s="64"/>
      <c r="D68" s="17" t="s">
        <v>129</v>
      </c>
      <c r="E68" s="2" t="s">
        <v>97</v>
      </c>
      <c r="F68" s="18">
        <v>3</v>
      </c>
      <c r="G68" s="18" t="s">
        <v>23</v>
      </c>
      <c r="H68" s="17" t="s">
        <v>107</v>
      </c>
      <c r="I68" s="19">
        <v>45810</v>
      </c>
      <c r="J68" s="24">
        <v>45813</v>
      </c>
      <c r="K68" s="19">
        <v>45810</v>
      </c>
      <c r="L68" s="24">
        <v>45812</v>
      </c>
      <c r="M68" s="18">
        <v>3.5</v>
      </c>
    </row>
    <row r="69" spans="1:13" x14ac:dyDescent="0.2">
      <c r="A69" s="64"/>
      <c r="B69" s="64"/>
      <c r="C69" s="64"/>
      <c r="D69" s="17" t="s">
        <v>130</v>
      </c>
      <c r="E69" s="2" t="s">
        <v>97</v>
      </c>
      <c r="F69" s="18">
        <v>2</v>
      </c>
      <c r="G69" s="18" t="s">
        <v>23</v>
      </c>
      <c r="H69" s="17" t="s">
        <v>131</v>
      </c>
      <c r="I69" s="19">
        <v>45810</v>
      </c>
      <c r="J69" s="19">
        <v>45812</v>
      </c>
      <c r="K69" s="19">
        <v>45810</v>
      </c>
      <c r="L69" s="19">
        <v>45812</v>
      </c>
      <c r="M69" s="18">
        <v>2.5</v>
      </c>
    </row>
    <row r="70" spans="1:13" x14ac:dyDescent="0.2">
      <c r="A70" s="64"/>
      <c r="B70" s="64"/>
      <c r="C70" s="64"/>
      <c r="D70" s="17" t="s">
        <v>132</v>
      </c>
      <c r="E70" s="2" t="s">
        <v>97</v>
      </c>
      <c r="F70" s="18">
        <v>1</v>
      </c>
      <c r="G70" s="18" t="s">
        <v>23</v>
      </c>
      <c r="H70" s="17" t="s">
        <v>133</v>
      </c>
      <c r="I70" s="19">
        <v>45811</v>
      </c>
      <c r="J70" s="19">
        <v>45813</v>
      </c>
      <c r="K70" s="19">
        <v>45812</v>
      </c>
      <c r="L70" s="19">
        <v>45813</v>
      </c>
      <c r="M70" s="18">
        <v>1</v>
      </c>
    </row>
    <row r="71" spans="1:13" x14ac:dyDescent="0.2">
      <c r="A71" s="64"/>
      <c r="B71" s="64"/>
      <c r="C71" s="64"/>
      <c r="D71" s="17" t="s">
        <v>134</v>
      </c>
      <c r="E71" s="2" t="s">
        <v>97</v>
      </c>
      <c r="F71" s="18">
        <v>2</v>
      </c>
      <c r="G71" s="18" t="s">
        <v>23</v>
      </c>
      <c r="H71" s="17" t="s">
        <v>111</v>
      </c>
      <c r="I71" s="19">
        <v>45811</v>
      </c>
      <c r="J71" s="19">
        <v>45813</v>
      </c>
      <c r="K71" s="19">
        <v>45811</v>
      </c>
      <c r="L71" s="19">
        <v>45812</v>
      </c>
      <c r="M71" s="18">
        <v>1.5</v>
      </c>
    </row>
    <row r="72" spans="1:13" x14ac:dyDescent="0.2">
      <c r="A72" s="65"/>
      <c r="B72" s="65"/>
      <c r="C72" s="65"/>
      <c r="D72" s="17" t="s">
        <v>135</v>
      </c>
      <c r="E72" s="2" t="s">
        <v>97</v>
      </c>
      <c r="F72" s="18">
        <v>2</v>
      </c>
      <c r="G72" s="18" t="s">
        <v>23</v>
      </c>
      <c r="H72" s="17" t="s">
        <v>136</v>
      </c>
      <c r="I72" s="19">
        <v>45812</v>
      </c>
      <c r="J72" s="19">
        <v>45813</v>
      </c>
      <c r="K72" s="19">
        <v>45812</v>
      </c>
      <c r="L72" s="19">
        <v>45813</v>
      </c>
      <c r="M72" s="18">
        <v>1.5</v>
      </c>
    </row>
    <row r="73" spans="1:13" x14ac:dyDescent="0.2">
      <c r="A73" s="20"/>
      <c r="B73" s="20"/>
      <c r="C73" s="21"/>
      <c r="D73" s="21"/>
      <c r="E73" s="21"/>
      <c r="F73" s="21"/>
      <c r="G73" s="21"/>
      <c r="H73" s="21"/>
      <c r="I73" s="21"/>
      <c r="J73" s="21"/>
      <c r="K73" s="21"/>
      <c r="L73" s="21"/>
      <c r="M73" s="22"/>
    </row>
    <row r="74" spans="1:13" x14ac:dyDescent="0.2">
      <c r="A74" s="66">
        <v>1</v>
      </c>
      <c r="B74" s="66">
        <v>1</v>
      </c>
      <c r="C74" s="67" t="s">
        <v>137</v>
      </c>
      <c r="D74" s="17" t="s">
        <v>115</v>
      </c>
      <c r="E74" s="2" t="s">
        <v>97</v>
      </c>
      <c r="F74" s="18">
        <v>1</v>
      </c>
      <c r="G74" s="18" t="s">
        <v>23</v>
      </c>
      <c r="H74" s="17" t="s">
        <v>138</v>
      </c>
      <c r="I74" s="19">
        <v>45813</v>
      </c>
      <c r="J74" s="19">
        <v>45814</v>
      </c>
      <c r="K74" s="19">
        <v>45814</v>
      </c>
      <c r="L74" s="19">
        <v>45814</v>
      </c>
      <c r="M74" s="18">
        <v>0.5</v>
      </c>
    </row>
    <row r="75" spans="1:13" x14ac:dyDescent="0.2">
      <c r="A75" s="64"/>
      <c r="B75" s="64"/>
      <c r="C75" s="64"/>
      <c r="D75" s="17" t="s">
        <v>139</v>
      </c>
      <c r="E75" s="2" t="s">
        <v>97</v>
      </c>
      <c r="F75" s="18">
        <v>2</v>
      </c>
      <c r="G75" s="18" t="s">
        <v>23</v>
      </c>
      <c r="H75" s="17" t="s">
        <v>140</v>
      </c>
      <c r="I75" s="19">
        <v>45813</v>
      </c>
      <c r="J75" s="19">
        <v>45814</v>
      </c>
      <c r="K75" s="19">
        <v>45814</v>
      </c>
      <c r="L75" s="19">
        <v>45815</v>
      </c>
      <c r="M75" s="18">
        <v>1.5</v>
      </c>
    </row>
    <row r="76" spans="1:13" x14ac:dyDescent="0.2">
      <c r="A76" s="64"/>
      <c r="B76" s="64"/>
      <c r="C76" s="64"/>
      <c r="D76" s="17" t="s">
        <v>141</v>
      </c>
      <c r="E76" s="2" t="s">
        <v>97</v>
      </c>
      <c r="F76" s="18">
        <v>1</v>
      </c>
      <c r="G76" s="18" t="s">
        <v>23</v>
      </c>
      <c r="H76" s="17" t="s">
        <v>122</v>
      </c>
      <c r="I76" s="19">
        <v>45814</v>
      </c>
      <c r="J76" s="19">
        <v>45816</v>
      </c>
      <c r="K76" s="19">
        <v>45814</v>
      </c>
      <c r="L76" s="19">
        <v>45814</v>
      </c>
      <c r="M76" s="18">
        <v>0.5</v>
      </c>
    </row>
    <row r="77" spans="1:13" x14ac:dyDescent="0.2">
      <c r="A77" s="64"/>
      <c r="B77" s="64"/>
      <c r="C77" s="64"/>
      <c r="D77" s="17" t="s">
        <v>123</v>
      </c>
      <c r="E77" s="2" t="s">
        <v>97</v>
      </c>
      <c r="F77" s="18">
        <v>2</v>
      </c>
      <c r="G77" s="18" t="s">
        <v>23</v>
      </c>
      <c r="H77" s="17" t="s">
        <v>124</v>
      </c>
      <c r="I77" s="19">
        <v>45814</v>
      </c>
      <c r="J77" s="19">
        <v>45815</v>
      </c>
      <c r="K77" s="19">
        <v>45814</v>
      </c>
      <c r="L77" s="19">
        <v>45815</v>
      </c>
      <c r="M77" s="18">
        <v>1.5</v>
      </c>
    </row>
    <row r="78" spans="1:13" x14ac:dyDescent="0.2">
      <c r="A78" s="65"/>
      <c r="B78" s="65"/>
      <c r="C78" s="65"/>
      <c r="D78" s="17" t="s">
        <v>125</v>
      </c>
      <c r="E78" s="2" t="s">
        <v>97</v>
      </c>
      <c r="F78" s="18">
        <v>1</v>
      </c>
      <c r="G78" s="18" t="s">
        <v>23</v>
      </c>
      <c r="H78" s="17" t="s">
        <v>142</v>
      </c>
      <c r="I78" s="19">
        <v>45815</v>
      </c>
      <c r="J78" s="19">
        <v>45816</v>
      </c>
      <c r="K78" s="19">
        <v>45815</v>
      </c>
      <c r="L78" s="19">
        <v>45815</v>
      </c>
      <c r="M78" s="18">
        <v>0.5</v>
      </c>
    </row>
    <row r="79" spans="1:13" x14ac:dyDescent="0.2">
      <c r="A79" s="20"/>
      <c r="B79" s="20"/>
      <c r="C79" s="21"/>
      <c r="D79" s="21"/>
      <c r="E79" s="21"/>
      <c r="F79" s="21"/>
      <c r="G79" s="21"/>
      <c r="H79" s="21"/>
      <c r="I79" s="21"/>
      <c r="J79" s="21"/>
      <c r="K79" s="21"/>
      <c r="L79" s="21"/>
      <c r="M79" s="22"/>
    </row>
    <row r="80" spans="1:13" x14ac:dyDescent="0.2">
      <c r="A80" s="66">
        <v>1</v>
      </c>
      <c r="B80" s="66">
        <v>1</v>
      </c>
      <c r="C80" s="67" t="s">
        <v>143</v>
      </c>
      <c r="D80" s="17" t="s">
        <v>144</v>
      </c>
      <c r="E80" s="2" t="s">
        <v>77</v>
      </c>
      <c r="F80" s="18">
        <v>2</v>
      </c>
      <c r="G80" s="18" t="s">
        <v>23</v>
      </c>
      <c r="H80" s="17" t="s">
        <v>145</v>
      </c>
      <c r="I80" s="19">
        <v>45813</v>
      </c>
      <c r="J80" s="19">
        <v>45815</v>
      </c>
      <c r="K80" s="19">
        <v>45814</v>
      </c>
      <c r="L80" s="19">
        <v>45815</v>
      </c>
      <c r="M80" s="18">
        <v>1.5</v>
      </c>
    </row>
    <row r="81" spans="1:28" x14ac:dyDescent="0.2">
      <c r="A81" s="64"/>
      <c r="B81" s="64"/>
      <c r="C81" s="64"/>
      <c r="D81" s="17" t="s">
        <v>146</v>
      </c>
      <c r="E81" s="2" t="s">
        <v>77</v>
      </c>
      <c r="F81" s="18">
        <v>1</v>
      </c>
      <c r="G81" s="18" t="s">
        <v>23</v>
      </c>
      <c r="H81" s="17" t="s">
        <v>147</v>
      </c>
      <c r="I81" s="19">
        <v>45813</v>
      </c>
      <c r="J81" s="19">
        <v>45815</v>
      </c>
      <c r="K81" s="19">
        <v>45814</v>
      </c>
      <c r="L81" s="19">
        <v>45815</v>
      </c>
      <c r="M81" s="18">
        <v>1</v>
      </c>
    </row>
    <row r="82" spans="1:28" x14ac:dyDescent="0.2">
      <c r="A82" s="64"/>
      <c r="B82" s="64"/>
      <c r="C82" s="64"/>
      <c r="D82" s="17" t="s">
        <v>148</v>
      </c>
      <c r="E82" s="2" t="s">
        <v>77</v>
      </c>
      <c r="F82" s="18">
        <v>2</v>
      </c>
      <c r="G82" s="18" t="s">
        <v>23</v>
      </c>
      <c r="H82" s="17" t="s">
        <v>149</v>
      </c>
      <c r="I82" s="19">
        <v>45814</v>
      </c>
      <c r="J82" s="19">
        <v>45816</v>
      </c>
      <c r="K82" s="19">
        <v>45814</v>
      </c>
      <c r="L82" s="19">
        <v>45816</v>
      </c>
      <c r="M82" s="18">
        <v>2.5</v>
      </c>
    </row>
    <row r="83" spans="1:28" x14ac:dyDescent="0.2">
      <c r="A83" s="64"/>
      <c r="B83" s="64"/>
      <c r="C83" s="64"/>
      <c r="D83" s="17" t="s">
        <v>150</v>
      </c>
      <c r="E83" s="2" t="s">
        <v>77</v>
      </c>
      <c r="F83" s="18">
        <v>1</v>
      </c>
      <c r="G83" s="18" t="s">
        <v>23</v>
      </c>
      <c r="H83" s="17" t="s">
        <v>151</v>
      </c>
      <c r="I83" s="19">
        <v>45815</v>
      </c>
      <c r="J83" s="19">
        <v>45817</v>
      </c>
      <c r="K83" s="19">
        <v>45815</v>
      </c>
      <c r="L83" s="19">
        <v>45817</v>
      </c>
      <c r="M83" s="18">
        <v>1</v>
      </c>
    </row>
    <row r="84" spans="1:28" x14ac:dyDescent="0.2">
      <c r="A84" s="65"/>
      <c r="B84" s="65"/>
      <c r="C84" s="65"/>
      <c r="D84" s="17" t="s">
        <v>152</v>
      </c>
      <c r="E84" s="2" t="s">
        <v>77</v>
      </c>
      <c r="F84" s="18">
        <v>1</v>
      </c>
      <c r="G84" s="18" t="s">
        <v>23</v>
      </c>
      <c r="H84" s="17" t="s">
        <v>153</v>
      </c>
      <c r="I84" s="19">
        <v>45816</v>
      </c>
      <c r="J84" s="19">
        <v>45818</v>
      </c>
      <c r="K84" s="19">
        <v>45816</v>
      </c>
      <c r="L84" s="19">
        <v>45817</v>
      </c>
      <c r="M84" s="18">
        <v>0.5</v>
      </c>
    </row>
    <row r="85" spans="1:28" x14ac:dyDescent="0.2">
      <c r="A85" s="25"/>
      <c r="B85" s="25"/>
      <c r="C85" s="26"/>
      <c r="D85" s="26"/>
      <c r="E85" s="26"/>
      <c r="F85" s="26"/>
      <c r="G85" s="26"/>
      <c r="H85" s="26"/>
      <c r="I85" s="26"/>
      <c r="J85" s="26"/>
      <c r="K85" s="26"/>
      <c r="L85" s="26"/>
      <c r="M85" s="27"/>
      <c r="N85" s="28"/>
      <c r="O85" s="28"/>
      <c r="P85" s="28"/>
      <c r="Q85" s="28"/>
      <c r="R85" s="28"/>
      <c r="S85" s="28"/>
      <c r="T85" s="28"/>
      <c r="U85" s="28"/>
      <c r="V85" s="28"/>
      <c r="W85" s="28"/>
      <c r="X85" s="28"/>
      <c r="Y85" s="28"/>
      <c r="Z85" s="28"/>
      <c r="AA85" s="28"/>
      <c r="AB85" s="28"/>
    </row>
    <row r="86" spans="1:28" x14ac:dyDescent="0.2">
      <c r="A86" s="66">
        <v>2</v>
      </c>
      <c r="B86" s="66">
        <v>2</v>
      </c>
      <c r="C86" s="67" t="s">
        <v>154</v>
      </c>
      <c r="D86" s="17" t="s">
        <v>155</v>
      </c>
      <c r="E86" s="2" t="s">
        <v>53</v>
      </c>
      <c r="F86" s="18">
        <v>1</v>
      </c>
      <c r="G86" s="18" t="s">
        <v>23</v>
      </c>
      <c r="H86" s="17" t="s">
        <v>156</v>
      </c>
      <c r="I86" s="29">
        <v>45875</v>
      </c>
      <c r="J86" s="29">
        <v>45879</v>
      </c>
      <c r="K86" s="29">
        <v>45881</v>
      </c>
      <c r="L86" s="29">
        <v>45882</v>
      </c>
      <c r="M86" s="18">
        <v>0.5</v>
      </c>
    </row>
    <row r="87" spans="1:28" x14ac:dyDescent="0.2">
      <c r="A87" s="64"/>
      <c r="B87" s="64"/>
      <c r="C87" s="64"/>
      <c r="D87" s="17" t="s">
        <v>157</v>
      </c>
      <c r="E87" s="2" t="s">
        <v>53</v>
      </c>
      <c r="F87" s="18">
        <v>1</v>
      </c>
      <c r="G87" s="18" t="s">
        <v>23</v>
      </c>
      <c r="H87" s="17" t="s">
        <v>158</v>
      </c>
      <c r="I87" s="29">
        <v>45875</v>
      </c>
      <c r="J87" s="29">
        <v>45879</v>
      </c>
      <c r="K87" s="29">
        <v>45881</v>
      </c>
      <c r="L87" s="29">
        <v>45882</v>
      </c>
      <c r="M87" s="18">
        <v>1</v>
      </c>
    </row>
    <row r="88" spans="1:28" x14ac:dyDescent="0.2">
      <c r="A88" s="64"/>
      <c r="B88" s="64"/>
      <c r="C88" s="64"/>
      <c r="D88" s="17" t="s">
        <v>159</v>
      </c>
      <c r="E88" s="2" t="s">
        <v>53</v>
      </c>
      <c r="F88" s="18">
        <v>1</v>
      </c>
      <c r="G88" s="18" t="s">
        <v>23</v>
      </c>
      <c r="H88" s="17" t="s">
        <v>160</v>
      </c>
      <c r="I88" s="29">
        <v>45875</v>
      </c>
      <c r="J88" s="29">
        <v>45879</v>
      </c>
      <c r="K88" s="29">
        <v>45881</v>
      </c>
      <c r="L88" s="29">
        <v>45882</v>
      </c>
      <c r="M88" s="18">
        <v>0.5</v>
      </c>
    </row>
    <row r="89" spans="1:28" x14ac:dyDescent="0.2">
      <c r="A89" s="64"/>
      <c r="B89" s="64"/>
      <c r="C89" s="64"/>
      <c r="D89" s="17" t="s">
        <v>161</v>
      </c>
      <c r="E89" s="2" t="s">
        <v>53</v>
      </c>
      <c r="F89" s="18">
        <v>1</v>
      </c>
      <c r="G89" s="18" t="s">
        <v>23</v>
      </c>
      <c r="H89" s="17" t="s">
        <v>162</v>
      </c>
      <c r="I89" s="29">
        <v>45875</v>
      </c>
      <c r="J89" s="29">
        <v>45879</v>
      </c>
      <c r="K89" s="29">
        <v>45881</v>
      </c>
      <c r="L89" s="29">
        <v>45882</v>
      </c>
      <c r="M89" s="18">
        <v>1</v>
      </c>
    </row>
    <row r="90" spans="1:28" x14ac:dyDescent="0.2">
      <c r="A90" s="65"/>
      <c r="B90" s="65"/>
      <c r="C90" s="65"/>
      <c r="D90" s="17" t="s">
        <v>163</v>
      </c>
      <c r="E90" s="2" t="s">
        <v>53</v>
      </c>
      <c r="F90" s="18">
        <v>1</v>
      </c>
      <c r="G90" s="18" t="s">
        <v>23</v>
      </c>
      <c r="H90" s="17" t="s">
        <v>164</v>
      </c>
      <c r="I90" s="29">
        <v>45875</v>
      </c>
      <c r="J90" s="29">
        <v>45879</v>
      </c>
      <c r="K90" s="29">
        <v>45881</v>
      </c>
      <c r="L90" s="29">
        <v>45882</v>
      </c>
      <c r="M90" s="18">
        <v>0.5</v>
      </c>
    </row>
    <row r="91" spans="1:28" x14ac:dyDescent="0.2">
      <c r="A91" s="66">
        <v>2</v>
      </c>
      <c r="B91" s="66">
        <v>2</v>
      </c>
      <c r="C91" s="67" t="s">
        <v>165</v>
      </c>
      <c r="D91" s="17" t="s">
        <v>166</v>
      </c>
      <c r="E91" s="2" t="s">
        <v>53</v>
      </c>
      <c r="F91" s="18">
        <v>1</v>
      </c>
      <c r="G91" s="18" t="s">
        <v>23</v>
      </c>
      <c r="H91" s="17" t="s">
        <v>167</v>
      </c>
      <c r="I91" s="29">
        <v>45880</v>
      </c>
      <c r="J91" s="29">
        <v>45883</v>
      </c>
      <c r="K91" s="29">
        <v>45883</v>
      </c>
      <c r="L91" s="29">
        <v>45884</v>
      </c>
      <c r="M91" s="18">
        <v>0.5</v>
      </c>
    </row>
    <row r="92" spans="1:28" x14ac:dyDescent="0.2">
      <c r="A92" s="64"/>
      <c r="B92" s="64"/>
      <c r="C92" s="64"/>
      <c r="D92" s="17" t="s">
        <v>168</v>
      </c>
      <c r="E92" s="2" t="s">
        <v>53</v>
      </c>
      <c r="F92" s="18">
        <v>1</v>
      </c>
      <c r="G92" s="18" t="s">
        <v>23</v>
      </c>
      <c r="H92" s="17" t="s">
        <v>169</v>
      </c>
      <c r="I92" s="29">
        <v>45880</v>
      </c>
      <c r="J92" s="29">
        <v>45883</v>
      </c>
      <c r="K92" s="29">
        <v>45883</v>
      </c>
      <c r="L92" s="29">
        <v>45884</v>
      </c>
      <c r="M92" s="18">
        <v>0.5</v>
      </c>
    </row>
    <row r="93" spans="1:28" x14ac:dyDescent="0.2">
      <c r="A93" s="64"/>
      <c r="B93" s="64"/>
      <c r="C93" s="64"/>
      <c r="D93" s="17" t="s">
        <v>170</v>
      </c>
      <c r="E93" s="2" t="s">
        <v>53</v>
      </c>
      <c r="F93" s="18">
        <v>1</v>
      </c>
      <c r="G93" s="18" t="s">
        <v>23</v>
      </c>
      <c r="H93" s="17" t="s">
        <v>160</v>
      </c>
      <c r="I93" s="29">
        <v>45880</v>
      </c>
      <c r="J93" s="29">
        <v>45883</v>
      </c>
      <c r="K93" s="29">
        <v>45883</v>
      </c>
      <c r="L93" s="29">
        <v>45884</v>
      </c>
      <c r="M93" s="18">
        <v>0.5</v>
      </c>
    </row>
    <row r="94" spans="1:28" x14ac:dyDescent="0.2">
      <c r="A94" s="64"/>
      <c r="B94" s="64"/>
      <c r="C94" s="64"/>
      <c r="D94" s="17" t="s">
        <v>161</v>
      </c>
      <c r="E94" s="2" t="s">
        <v>53</v>
      </c>
      <c r="F94" s="18">
        <v>1</v>
      </c>
      <c r="G94" s="18" t="s">
        <v>23</v>
      </c>
      <c r="H94" s="17" t="s">
        <v>162</v>
      </c>
      <c r="I94" s="29">
        <v>45880</v>
      </c>
      <c r="J94" s="29">
        <v>45883</v>
      </c>
      <c r="K94" s="29">
        <v>45883</v>
      </c>
      <c r="L94" s="29">
        <v>45884</v>
      </c>
      <c r="M94" s="18">
        <v>0.5</v>
      </c>
    </row>
    <row r="95" spans="1:28" x14ac:dyDescent="0.2">
      <c r="A95" s="65"/>
      <c r="B95" s="65"/>
      <c r="C95" s="65"/>
      <c r="D95" s="17" t="s">
        <v>163</v>
      </c>
      <c r="E95" s="2" t="s">
        <v>53</v>
      </c>
      <c r="F95" s="18">
        <v>1</v>
      </c>
      <c r="G95" s="18" t="s">
        <v>23</v>
      </c>
      <c r="H95" s="17" t="s">
        <v>164</v>
      </c>
      <c r="I95" s="19">
        <v>45880</v>
      </c>
      <c r="J95" s="19">
        <v>45883</v>
      </c>
      <c r="K95" s="19">
        <v>45883</v>
      </c>
      <c r="L95" s="19">
        <v>45884</v>
      </c>
      <c r="M95" s="18">
        <v>0.5</v>
      </c>
    </row>
    <row r="96" spans="1:28" x14ac:dyDescent="0.2">
      <c r="A96" s="4"/>
      <c r="B96" s="4"/>
      <c r="C96" s="30"/>
      <c r="D96" s="31"/>
      <c r="E96" s="32"/>
      <c r="H96" s="31"/>
    </row>
    <row r="97" spans="1:13" x14ac:dyDescent="0.2">
      <c r="A97" s="66">
        <v>2</v>
      </c>
      <c r="B97" s="66">
        <v>2</v>
      </c>
      <c r="C97" s="67" t="s">
        <v>171</v>
      </c>
      <c r="D97" s="17" t="s">
        <v>172</v>
      </c>
      <c r="E97" s="2" t="s">
        <v>53</v>
      </c>
      <c r="F97" s="18">
        <v>1</v>
      </c>
      <c r="G97" s="18" t="s">
        <v>23</v>
      </c>
      <c r="H97" s="17" t="s">
        <v>173</v>
      </c>
      <c r="I97" s="29">
        <v>45883</v>
      </c>
      <c r="J97" s="29">
        <v>45886</v>
      </c>
      <c r="K97" s="29">
        <v>45886</v>
      </c>
      <c r="L97" s="29">
        <v>45887</v>
      </c>
      <c r="M97" s="16">
        <v>0.5</v>
      </c>
    </row>
    <row r="98" spans="1:13" x14ac:dyDescent="0.2">
      <c r="A98" s="64"/>
      <c r="B98" s="64"/>
      <c r="C98" s="64"/>
      <c r="D98" s="17" t="s">
        <v>174</v>
      </c>
      <c r="E98" s="2" t="s">
        <v>53</v>
      </c>
      <c r="F98" s="18">
        <v>1</v>
      </c>
      <c r="G98" s="18" t="s">
        <v>23</v>
      </c>
      <c r="H98" s="17" t="s">
        <v>169</v>
      </c>
      <c r="I98" s="29">
        <v>45883</v>
      </c>
      <c r="J98" s="29">
        <v>45886</v>
      </c>
      <c r="K98" s="29">
        <v>45886</v>
      </c>
      <c r="L98" s="29">
        <v>45887</v>
      </c>
      <c r="M98" s="18">
        <v>1</v>
      </c>
    </row>
    <row r="99" spans="1:13" x14ac:dyDescent="0.2">
      <c r="A99" s="64"/>
      <c r="B99" s="64"/>
      <c r="C99" s="64"/>
      <c r="D99" s="17" t="s">
        <v>175</v>
      </c>
      <c r="E99" s="2" t="s">
        <v>53</v>
      </c>
      <c r="F99" s="18">
        <v>1</v>
      </c>
      <c r="G99" s="18" t="s">
        <v>23</v>
      </c>
      <c r="H99" s="17" t="s">
        <v>160</v>
      </c>
      <c r="I99" s="29">
        <v>45883</v>
      </c>
      <c r="J99" s="29">
        <v>45886</v>
      </c>
      <c r="K99" s="29">
        <v>45886</v>
      </c>
      <c r="L99" s="29">
        <v>45887</v>
      </c>
      <c r="M99" s="18">
        <v>0.5</v>
      </c>
    </row>
    <row r="100" spans="1:13" x14ac:dyDescent="0.2">
      <c r="A100" s="64"/>
      <c r="B100" s="64"/>
      <c r="C100" s="64"/>
      <c r="D100" s="17" t="s">
        <v>161</v>
      </c>
      <c r="E100" s="2" t="s">
        <v>53</v>
      </c>
      <c r="F100" s="18">
        <v>1</v>
      </c>
      <c r="G100" s="18" t="s">
        <v>23</v>
      </c>
      <c r="H100" s="17" t="s">
        <v>162</v>
      </c>
      <c r="I100" s="29">
        <v>45883</v>
      </c>
      <c r="J100" s="29">
        <v>45886</v>
      </c>
      <c r="K100" s="29">
        <v>45886</v>
      </c>
      <c r="L100" s="29">
        <v>45887</v>
      </c>
      <c r="M100" s="18">
        <v>1</v>
      </c>
    </row>
    <row r="101" spans="1:13" x14ac:dyDescent="0.2">
      <c r="A101" s="65"/>
      <c r="B101" s="65"/>
      <c r="C101" s="65"/>
      <c r="D101" s="17" t="s">
        <v>163</v>
      </c>
      <c r="E101" s="2" t="s">
        <v>53</v>
      </c>
      <c r="F101" s="18">
        <v>1</v>
      </c>
      <c r="G101" s="18" t="s">
        <v>23</v>
      </c>
      <c r="H101" s="17" t="s">
        <v>164</v>
      </c>
      <c r="I101" s="29">
        <v>45883</v>
      </c>
      <c r="J101" s="29">
        <v>45886</v>
      </c>
      <c r="K101" s="29">
        <v>45886</v>
      </c>
      <c r="L101" s="29">
        <v>45887</v>
      </c>
      <c r="M101" s="18">
        <v>0.5</v>
      </c>
    </row>
    <row r="102" spans="1:13" x14ac:dyDescent="0.2">
      <c r="A102" s="66">
        <v>2</v>
      </c>
      <c r="B102" s="66">
        <v>2</v>
      </c>
      <c r="C102" s="67" t="s">
        <v>176</v>
      </c>
      <c r="D102" s="17" t="s">
        <v>177</v>
      </c>
      <c r="E102" s="2" t="s">
        <v>53</v>
      </c>
      <c r="F102" s="18">
        <v>1</v>
      </c>
      <c r="G102" s="18" t="s">
        <v>23</v>
      </c>
      <c r="H102" s="17" t="s">
        <v>178</v>
      </c>
      <c r="I102" s="29">
        <v>45887</v>
      </c>
      <c r="J102" s="29">
        <v>45889</v>
      </c>
      <c r="K102" s="29">
        <v>45887</v>
      </c>
      <c r="L102" s="29">
        <v>45888</v>
      </c>
      <c r="M102" s="18">
        <v>0.5</v>
      </c>
    </row>
    <row r="103" spans="1:13" x14ac:dyDescent="0.2">
      <c r="A103" s="64"/>
      <c r="B103" s="64"/>
      <c r="C103" s="64"/>
      <c r="D103" s="17" t="s">
        <v>174</v>
      </c>
      <c r="E103" s="2" t="s">
        <v>53</v>
      </c>
      <c r="F103" s="18">
        <v>1</v>
      </c>
      <c r="G103" s="18" t="s">
        <v>23</v>
      </c>
      <c r="H103" s="17" t="s">
        <v>169</v>
      </c>
      <c r="I103" s="29">
        <v>45887</v>
      </c>
      <c r="J103" s="29">
        <v>45889</v>
      </c>
      <c r="K103" s="29">
        <v>45887</v>
      </c>
      <c r="L103" s="29">
        <v>45888</v>
      </c>
      <c r="M103" s="18">
        <v>0.5</v>
      </c>
    </row>
    <row r="104" spans="1:13" x14ac:dyDescent="0.2">
      <c r="A104" s="64"/>
      <c r="B104" s="64"/>
      <c r="C104" s="64"/>
      <c r="D104" s="17" t="s">
        <v>179</v>
      </c>
      <c r="E104" s="2" t="s">
        <v>53</v>
      </c>
      <c r="F104" s="18">
        <v>1</v>
      </c>
      <c r="G104" s="18" t="s">
        <v>23</v>
      </c>
      <c r="H104" s="17" t="s">
        <v>160</v>
      </c>
      <c r="I104" s="29">
        <v>45887</v>
      </c>
      <c r="J104" s="29">
        <v>45889</v>
      </c>
      <c r="K104" s="29">
        <v>45887</v>
      </c>
      <c r="L104" s="29">
        <v>45888</v>
      </c>
      <c r="M104" s="18">
        <v>0.5</v>
      </c>
    </row>
    <row r="105" spans="1:13" x14ac:dyDescent="0.2">
      <c r="A105" s="64"/>
      <c r="B105" s="64"/>
      <c r="C105" s="64"/>
      <c r="D105" s="17" t="s">
        <v>161</v>
      </c>
      <c r="E105" s="2" t="s">
        <v>53</v>
      </c>
      <c r="F105" s="18">
        <v>1</v>
      </c>
      <c r="G105" s="18" t="s">
        <v>23</v>
      </c>
      <c r="H105" s="17" t="s">
        <v>162</v>
      </c>
      <c r="I105" s="29">
        <v>45887</v>
      </c>
      <c r="J105" s="29">
        <v>45889</v>
      </c>
      <c r="K105" s="29">
        <v>45887</v>
      </c>
      <c r="L105" s="29">
        <v>45888</v>
      </c>
      <c r="M105" s="18">
        <v>0.5</v>
      </c>
    </row>
    <row r="106" spans="1:13" x14ac:dyDescent="0.2">
      <c r="A106" s="65"/>
      <c r="B106" s="65"/>
      <c r="C106" s="65"/>
      <c r="D106" s="17" t="s">
        <v>163</v>
      </c>
      <c r="E106" s="2" t="s">
        <v>53</v>
      </c>
      <c r="F106" s="18">
        <v>1</v>
      </c>
      <c r="G106" s="18" t="s">
        <v>23</v>
      </c>
      <c r="H106" s="17" t="s">
        <v>164</v>
      </c>
      <c r="I106" s="29">
        <v>45887</v>
      </c>
      <c r="J106" s="29">
        <v>45889</v>
      </c>
      <c r="K106" s="29">
        <v>45887</v>
      </c>
      <c r="L106" s="29">
        <v>45888</v>
      </c>
      <c r="M106" s="18">
        <v>0.5</v>
      </c>
    </row>
    <row r="107" spans="1:13" x14ac:dyDescent="0.2">
      <c r="A107" s="20"/>
      <c r="B107" s="20"/>
      <c r="C107" s="21"/>
      <c r="D107" s="21"/>
      <c r="E107" s="21"/>
      <c r="F107" s="21"/>
      <c r="G107" s="21"/>
      <c r="H107" s="21"/>
      <c r="I107" s="21"/>
      <c r="J107" s="21"/>
      <c r="K107" s="21"/>
      <c r="L107" s="21"/>
      <c r="M107" s="15"/>
    </row>
    <row r="108" spans="1:13" x14ac:dyDescent="0.2">
      <c r="A108" s="66">
        <v>2</v>
      </c>
      <c r="B108" s="66">
        <v>2</v>
      </c>
      <c r="C108" s="67" t="s">
        <v>180</v>
      </c>
      <c r="D108" s="17" t="s">
        <v>181</v>
      </c>
      <c r="E108" s="2" t="s">
        <v>182</v>
      </c>
      <c r="F108" s="18">
        <v>1</v>
      </c>
      <c r="G108" s="18" t="s">
        <v>23</v>
      </c>
      <c r="H108" s="17" t="s">
        <v>183</v>
      </c>
      <c r="I108" s="29">
        <v>45875</v>
      </c>
      <c r="J108" s="29">
        <v>45879</v>
      </c>
      <c r="K108" s="29">
        <v>45887</v>
      </c>
      <c r="L108" s="29">
        <v>45888</v>
      </c>
      <c r="M108" s="18">
        <v>2</v>
      </c>
    </row>
    <row r="109" spans="1:13" x14ac:dyDescent="0.2">
      <c r="A109" s="64"/>
      <c r="B109" s="64"/>
      <c r="C109" s="64"/>
      <c r="D109" s="17" t="s">
        <v>184</v>
      </c>
      <c r="E109" s="2" t="s">
        <v>182</v>
      </c>
      <c r="F109" s="18">
        <v>1</v>
      </c>
      <c r="G109" s="18" t="s">
        <v>23</v>
      </c>
      <c r="H109" s="17" t="s">
        <v>185</v>
      </c>
      <c r="I109" s="29">
        <v>45875</v>
      </c>
      <c r="J109" s="29">
        <v>45879</v>
      </c>
      <c r="K109" s="29">
        <v>45887</v>
      </c>
      <c r="L109" s="29">
        <v>45888</v>
      </c>
      <c r="M109" s="18">
        <v>1</v>
      </c>
    </row>
    <row r="110" spans="1:13" x14ac:dyDescent="0.2">
      <c r="A110" s="65"/>
      <c r="B110" s="65"/>
      <c r="C110" s="65"/>
      <c r="D110" s="17" t="s">
        <v>186</v>
      </c>
      <c r="E110" s="2" t="s">
        <v>182</v>
      </c>
      <c r="F110" s="18">
        <v>1</v>
      </c>
      <c r="G110" s="18" t="s">
        <v>23</v>
      </c>
      <c r="H110" s="17" t="s">
        <v>187</v>
      </c>
      <c r="I110" s="29">
        <v>45875</v>
      </c>
      <c r="J110" s="29">
        <v>45879</v>
      </c>
      <c r="K110" s="29">
        <v>45887</v>
      </c>
      <c r="L110" s="29">
        <v>45888</v>
      </c>
      <c r="M110" s="18">
        <v>1</v>
      </c>
    </row>
    <row r="111" spans="1:13" x14ac:dyDescent="0.2">
      <c r="A111" s="66">
        <v>2</v>
      </c>
      <c r="B111" s="66">
        <v>2</v>
      </c>
      <c r="C111" s="67" t="s">
        <v>188</v>
      </c>
      <c r="D111" s="17" t="s">
        <v>189</v>
      </c>
      <c r="E111" s="2" t="s">
        <v>182</v>
      </c>
      <c r="F111" s="18">
        <v>1</v>
      </c>
      <c r="G111" s="18" t="s">
        <v>23</v>
      </c>
      <c r="H111" s="17" t="s">
        <v>183</v>
      </c>
      <c r="I111" s="29">
        <v>45880</v>
      </c>
      <c r="J111" s="29">
        <v>45883</v>
      </c>
      <c r="K111" s="29">
        <v>45889</v>
      </c>
      <c r="L111" s="29">
        <v>45889</v>
      </c>
      <c r="M111" s="18">
        <v>1</v>
      </c>
    </row>
    <row r="112" spans="1:13" x14ac:dyDescent="0.2">
      <c r="A112" s="64"/>
      <c r="B112" s="64"/>
      <c r="C112" s="64"/>
      <c r="D112" s="17" t="s">
        <v>190</v>
      </c>
      <c r="E112" s="2" t="s">
        <v>182</v>
      </c>
      <c r="F112" s="18">
        <v>1</v>
      </c>
      <c r="G112" s="18" t="s">
        <v>23</v>
      </c>
      <c r="H112" s="17" t="s">
        <v>185</v>
      </c>
      <c r="I112" s="29">
        <v>45880</v>
      </c>
      <c r="J112" s="29">
        <v>45883</v>
      </c>
      <c r="K112" s="29">
        <v>45889</v>
      </c>
      <c r="L112" s="29">
        <v>45889</v>
      </c>
      <c r="M112" s="18">
        <v>1</v>
      </c>
    </row>
    <row r="113" spans="1:13" x14ac:dyDescent="0.2">
      <c r="A113" s="65"/>
      <c r="B113" s="65"/>
      <c r="C113" s="65"/>
      <c r="D113" s="17" t="s">
        <v>186</v>
      </c>
      <c r="E113" s="2" t="s">
        <v>182</v>
      </c>
      <c r="F113" s="18">
        <v>1</v>
      </c>
      <c r="G113" s="18" t="s">
        <v>23</v>
      </c>
      <c r="H113" s="17" t="s">
        <v>187</v>
      </c>
      <c r="I113" s="29">
        <v>45880</v>
      </c>
      <c r="J113" s="29">
        <v>45883</v>
      </c>
      <c r="K113" s="29">
        <v>45889</v>
      </c>
      <c r="L113" s="29">
        <v>45889</v>
      </c>
      <c r="M113" s="18">
        <v>1</v>
      </c>
    </row>
    <row r="114" spans="1:13" x14ac:dyDescent="0.2">
      <c r="A114" s="66">
        <v>2</v>
      </c>
      <c r="B114" s="66">
        <v>2</v>
      </c>
      <c r="C114" s="67" t="s">
        <v>191</v>
      </c>
      <c r="D114" s="17" t="s">
        <v>192</v>
      </c>
      <c r="E114" s="2" t="s">
        <v>182</v>
      </c>
      <c r="F114" s="18">
        <v>1</v>
      </c>
      <c r="G114" s="18" t="s">
        <v>23</v>
      </c>
      <c r="H114" s="17" t="s">
        <v>183</v>
      </c>
      <c r="I114" s="29">
        <v>45884</v>
      </c>
      <c r="J114" s="29">
        <v>45889</v>
      </c>
      <c r="K114" s="29">
        <v>45889</v>
      </c>
      <c r="L114" s="29">
        <v>45890</v>
      </c>
      <c r="M114" s="18">
        <v>1</v>
      </c>
    </row>
    <row r="115" spans="1:13" x14ac:dyDescent="0.2">
      <c r="A115" s="64"/>
      <c r="B115" s="64"/>
      <c r="C115" s="64"/>
      <c r="D115" s="17" t="s">
        <v>193</v>
      </c>
      <c r="E115" s="2" t="s">
        <v>182</v>
      </c>
      <c r="F115" s="18">
        <v>1</v>
      </c>
      <c r="G115" s="18" t="s">
        <v>23</v>
      </c>
      <c r="H115" s="17" t="s">
        <v>185</v>
      </c>
      <c r="I115" s="29">
        <v>45884</v>
      </c>
      <c r="J115" s="29">
        <v>45889</v>
      </c>
      <c r="K115" s="29">
        <v>45889</v>
      </c>
      <c r="L115" s="29">
        <v>45890</v>
      </c>
      <c r="M115" s="18">
        <v>1</v>
      </c>
    </row>
    <row r="116" spans="1:13" x14ac:dyDescent="0.2">
      <c r="A116" s="65"/>
      <c r="B116" s="65"/>
      <c r="C116" s="65"/>
      <c r="D116" s="17" t="s">
        <v>186</v>
      </c>
      <c r="E116" s="2" t="s">
        <v>182</v>
      </c>
      <c r="F116" s="18">
        <v>1</v>
      </c>
      <c r="G116" s="18" t="s">
        <v>23</v>
      </c>
      <c r="H116" s="17" t="s">
        <v>187</v>
      </c>
      <c r="I116" s="29">
        <v>45884</v>
      </c>
      <c r="J116" s="29">
        <v>45889</v>
      </c>
      <c r="K116" s="29">
        <v>45889</v>
      </c>
      <c r="L116" s="29">
        <v>45890</v>
      </c>
      <c r="M116" s="18">
        <v>1</v>
      </c>
    </row>
    <row r="117" spans="1:13" x14ac:dyDescent="0.2">
      <c r="A117" s="20"/>
      <c r="B117" s="20"/>
      <c r="C117" s="21"/>
      <c r="D117" s="21"/>
      <c r="E117" s="21"/>
      <c r="F117" s="21"/>
      <c r="G117" s="21"/>
      <c r="H117" s="21"/>
      <c r="I117" s="21"/>
      <c r="J117" s="21"/>
      <c r="K117" s="21"/>
      <c r="L117" s="21"/>
      <c r="M117" s="22"/>
    </row>
    <row r="118" spans="1:13" x14ac:dyDescent="0.2">
      <c r="A118" s="66">
        <v>2</v>
      </c>
      <c r="B118" s="66">
        <v>2</v>
      </c>
      <c r="C118" s="67" t="s">
        <v>194</v>
      </c>
      <c r="D118" s="17" t="s">
        <v>195</v>
      </c>
      <c r="E118" s="2" t="s">
        <v>97</v>
      </c>
      <c r="F118" s="18">
        <v>1</v>
      </c>
      <c r="G118" s="18" t="s">
        <v>23</v>
      </c>
      <c r="H118" s="17" t="s">
        <v>196</v>
      </c>
      <c r="I118" s="29">
        <v>45875</v>
      </c>
      <c r="J118" s="29">
        <v>45885</v>
      </c>
      <c r="K118" s="29">
        <v>45876</v>
      </c>
      <c r="L118" s="29">
        <v>45880</v>
      </c>
      <c r="M118" s="18">
        <v>1</v>
      </c>
    </row>
    <row r="119" spans="1:13" x14ac:dyDescent="0.2">
      <c r="A119" s="64"/>
      <c r="B119" s="64"/>
      <c r="C119" s="64"/>
      <c r="D119" s="17" t="s">
        <v>197</v>
      </c>
      <c r="E119" s="2" t="s">
        <v>97</v>
      </c>
      <c r="F119" s="18">
        <v>2</v>
      </c>
      <c r="G119" s="18" t="s">
        <v>23</v>
      </c>
      <c r="H119" s="17" t="s">
        <v>198</v>
      </c>
      <c r="I119" s="29">
        <v>45875</v>
      </c>
      <c r="J119" s="29">
        <v>45885</v>
      </c>
      <c r="K119" s="29">
        <v>45876</v>
      </c>
      <c r="L119" s="29">
        <v>45880</v>
      </c>
      <c r="M119" s="18">
        <v>1</v>
      </c>
    </row>
    <row r="120" spans="1:13" x14ac:dyDescent="0.2">
      <c r="A120" s="65"/>
      <c r="B120" s="65"/>
      <c r="C120" s="65"/>
      <c r="D120" s="17" t="s">
        <v>199</v>
      </c>
      <c r="E120" s="2" t="s">
        <v>97</v>
      </c>
      <c r="F120" s="18">
        <v>1</v>
      </c>
      <c r="G120" s="18" t="s">
        <v>23</v>
      </c>
      <c r="H120" s="17" t="s">
        <v>200</v>
      </c>
      <c r="I120" s="29">
        <v>45875</v>
      </c>
      <c r="J120" s="29">
        <v>45885</v>
      </c>
      <c r="K120" s="29">
        <v>45876</v>
      </c>
      <c r="L120" s="29">
        <v>45880</v>
      </c>
      <c r="M120" s="18">
        <v>1</v>
      </c>
    </row>
    <row r="121" spans="1:13" x14ac:dyDescent="0.2">
      <c r="A121" s="66">
        <v>2</v>
      </c>
      <c r="B121" s="66">
        <v>2</v>
      </c>
      <c r="C121" s="67" t="s">
        <v>201</v>
      </c>
      <c r="D121" s="17" t="s">
        <v>195</v>
      </c>
      <c r="E121" s="2" t="s">
        <v>97</v>
      </c>
      <c r="F121" s="18">
        <v>1</v>
      </c>
      <c r="G121" s="18" t="s">
        <v>23</v>
      </c>
      <c r="H121" s="17" t="s">
        <v>196</v>
      </c>
      <c r="I121" s="29">
        <v>45886</v>
      </c>
      <c r="J121" s="29">
        <v>45889</v>
      </c>
      <c r="K121" s="29">
        <v>45880</v>
      </c>
      <c r="L121" s="29">
        <v>45884</v>
      </c>
      <c r="M121" s="18">
        <v>1</v>
      </c>
    </row>
    <row r="122" spans="1:13" x14ac:dyDescent="0.2">
      <c r="A122" s="64"/>
      <c r="B122" s="64"/>
      <c r="C122" s="64"/>
      <c r="D122" s="17" t="s">
        <v>197</v>
      </c>
      <c r="E122" s="2" t="s">
        <v>97</v>
      </c>
      <c r="F122" s="18">
        <v>1</v>
      </c>
      <c r="G122" s="18" t="s">
        <v>23</v>
      </c>
      <c r="H122" s="17" t="s">
        <v>198</v>
      </c>
      <c r="I122" s="29">
        <v>45886</v>
      </c>
      <c r="J122" s="29">
        <v>45889</v>
      </c>
      <c r="K122" s="29">
        <v>45880</v>
      </c>
      <c r="L122" s="29">
        <v>45884</v>
      </c>
      <c r="M122" s="18">
        <v>1</v>
      </c>
    </row>
    <row r="123" spans="1:13" x14ac:dyDescent="0.2">
      <c r="A123" s="65"/>
      <c r="B123" s="65"/>
      <c r="C123" s="65"/>
      <c r="D123" s="17" t="s">
        <v>199</v>
      </c>
      <c r="E123" s="2" t="s">
        <v>97</v>
      </c>
      <c r="F123" s="18">
        <v>1</v>
      </c>
      <c r="G123" s="18" t="s">
        <v>23</v>
      </c>
      <c r="H123" s="17" t="s">
        <v>200</v>
      </c>
      <c r="I123" s="29">
        <v>45886</v>
      </c>
      <c r="J123" s="29">
        <v>45889</v>
      </c>
      <c r="K123" s="29">
        <v>45880</v>
      </c>
      <c r="L123" s="29">
        <v>45884</v>
      </c>
      <c r="M123" s="18">
        <v>1</v>
      </c>
    </row>
    <row r="124" spans="1:13" x14ac:dyDescent="0.2">
      <c r="A124" s="20"/>
      <c r="B124" s="20"/>
      <c r="C124" s="21"/>
      <c r="D124" s="21"/>
      <c r="E124" s="21"/>
      <c r="F124" s="21"/>
      <c r="G124" s="21"/>
      <c r="H124" s="21"/>
      <c r="I124" s="21"/>
      <c r="J124" s="21"/>
      <c r="K124" s="21"/>
      <c r="L124" s="21"/>
      <c r="M124" s="22"/>
    </row>
    <row r="125" spans="1:13" x14ac:dyDescent="0.2">
      <c r="A125" s="66">
        <v>2</v>
      </c>
      <c r="B125" s="66">
        <v>2</v>
      </c>
      <c r="C125" s="67" t="s">
        <v>202</v>
      </c>
      <c r="D125" s="17" t="s">
        <v>203</v>
      </c>
      <c r="E125" s="2" t="s">
        <v>22</v>
      </c>
      <c r="F125" s="18">
        <v>2</v>
      </c>
      <c r="G125" s="18" t="s">
        <v>23</v>
      </c>
      <c r="H125" s="17" t="s">
        <v>204</v>
      </c>
      <c r="I125" s="29">
        <v>45875</v>
      </c>
      <c r="J125" s="29">
        <v>45881</v>
      </c>
      <c r="K125" s="29">
        <v>45876</v>
      </c>
      <c r="L125" s="29">
        <v>45879</v>
      </c>
      <c r="M125" s="18">
        <v>2</v>
      </c>
    </row>
    <row r="126" spans="1:13" x14ac:dyDescent="0.2">
      <c r="A126" s="64"/>
      <c r="B126" s="64"/>
      <c r="C126" s="64"/>
      <c r="D126" s="17" t="s">
        <v>205</v>
      </c>
      <c r="E126" s="2" t="s">
        <v>22</v>
      </c>
      <c r="F126" s="18">
        <v>1</v>
      </c>
      <c r="G126" s="18" t="s">
        <v>23</v>
      </c>
      <c r="H126" s="17" t="s">
        <v>206</v>
      </c>
      <c r="I126" s="29">
        <v>45875</v>
      </c>
      <c r="J126" s="29">
        <v>45881</v>
      </c>
      <c r="K126" s="29">
        <v>45876</v>
      </c>
      <c r="L126" s="29">
        <v>45879</v>
      </c>
      <c r="M126" s="18">
        <v>2</v>
      </c>
    </row>
    <row r="127" spans="1:13" x14ac:dyDescent="0.2">
      <c r="A127" s="65"/>
      <c r="B127" s="65"/>
      <c r="C127" s="65"/>
      <c r="D127" s="17" t="s">
        <v>207</v>
      </c>
      <c r="E127" s="2" t="s">
        <v>22</v>
      </c>
      <c r="F127" s="18">
        <v>1</v>
      </c>
      <c r="G127" s="18" t="s">
        <v>23</v>
      </c>
      <c r="H127" s="17" t="s">
        <v>208</v>
      </c>
      <c r="I127" s="29">
        <v>45875</v>
      </c>
      <c r="J127" s="29">
        <v>45881</v>
      </c>
      <c r="K127" s="29">
        <v>45876</v>
      </c>
      <c r="L127" s="29">
        <v>45879</v>
      </c>
      <c r="M127" s="18">
        <v>1</v>
      </c>
    </row>
    <row r="128" spans="1:13" x14ac:dyDescent="0.2">
      <c r="A128" s="20"/>
      <c r="B128" s="20"/>
      <c r="C128" s="21"/>
      <c r="D128" s="21"/>
      <c r="E128" s="21"/>
      <c r="F128" s="21"/>
      <c r="G128" s="21"/>
      <c r="H128" s="21"/>
      <c r="I128" s="21"/>
      <c r="J128" s="21"/>
      <c r="K128" s="21"/>
      <c r="L128" s="21"/>
      <c r="M128" s="22"/>
    </row>
    <row r="129" spans="1:13" x14ac:dyDescent="0.2">
      <c r="A129" s="66">
        <v>2</v>
      </c>
      <c r="B129" s="66">
        <v>2</v>
      </c>
      <c r="C129" s="67" t="s">
        <v>209</v>
      </c>
      <c r="D129" s="17" t="s">
        <v>210</v>
      </c>
      <c r="E129" s="2" t="s">
        <v>91</v>
      </c>
      <c r="F129" s="18">
        <v>2</v>
      </c>
      <c r="G129" s="18" t="s">
        <v>23</v>
      </c>
      <c r="H129" s="17" t="s">
        <v>211</v>
      </c>
      <c r="I129" s="29">
        <v>45875</v>
      </c>
      <c r="J129" s="29">
        <v>45878</v>
      </c>
      <c r="K129" s="29">
        <v>45877</v>
      </c>
      <c r="L129" s="29">
        <v>45873</v>
      </c>
      <c r="M129" s="18">
        <v>2</v>
      </c>
    </row>
    <row r="130" spans="1:13" x14ac:dyDescent="0.2">
      <c r="A130" s="64"/>
      <c r="B130" s="64"/>
      <c r="C130" s="64"/>
      <c r="D130" s="17" t="s">
        <v>212</v>
      </c>
      <c r="E130" s="2" t="s">
        <v>91</v>
      </c>
      <c r="F130" s="18">
        <v>2</v>
      </c>
      <c r="G130" s="18" t="s">
        <v>23</v>
      </c>
      <c r="H130" s="17" t="s">
        <v>213</v>
      </c>
      <c r="I130" s="29">
        <v>45875</v>
      </c>
      <c r="J130" s="29">
        <v>45878</v>
      </c>
      <c r="K130" s="29">
        <v>45877</v>
      </c>
      <c r="L130" s="29">
        <v>45873</v>
      </c>
      <c r="M130" s="18">
        <v>2</v>
      </c>
    </row>
    <row r="131" spans="1:13" x14ac:dyDescent="0.2">
      <c r="A131" s="65"/>
      <c r="B131" s="65"/>
      <c r="C131" s="65"/>
      <c r="D131" s="17" t="s">
        <v>214</v>
      </c>
      <c r="E131" s="2" t="s">
        <v>91</v>
      </c>
      <c r="F131" s="18">
        <v>1</v>
      </c>
      <c r="G131" s="18" t="s">
        <v>23</v>
      </c>
      <c r="H131" s="17" t="s">
        <v>215</v>
      </c>
      <c r="I131" s="29">
        <v>45875</v>
      </c>
      <c r="J131" s="29">
        <v>45878</v>
      </c>
      <c r="K131" s="29">
        <v>45877</v>
      </c>
      <c r="L131" s="29">
        <v>45873</v>
      </c>
      <c r="M131" s="18">
        <v>1</v>
      </c>
    </row>
    <row r="132" spans="1:13" x14ac:dyDescent="0.2">
      <c r="A132" s="66">
        <v>2</v>
      </c>
      <c r="B132" s="66">
        <v>2</v>
      </c>
      <c r="C132" s="67" t="s">
        <v>216</v>
      </c>
      <c r="D132" s="17" t="s">
        <v>217</v>
      </c>
      <c r="E132" s="2" t="s">
        <v>91</v>
      </c>
      <c r="F132" s="18">
        <v>1</v>
      </c>
      <c r="G132" s="18" t="s">
        <v>23</v>
      </c>
      <c r="H132" s="17" t="s">
        <v>218</v>
      </c>
      <c r="I132" s="29">
        <v>45879</v>
      </c>
      <c r="J132" s="29">
        <v>45881</v>
      </c>
      <c r="K132" s="29">
        <v>45881</v>
      </c>
      <c r="L132" s="29">
        <v>45882</v>
      </c>
      <c r="M132" s="18">
        <v>1</v>
      </c>
    </row>
    <row r="133" spans="1:13" x14ac:dyDescent="0.2">
      <c r="A133" s="64"/>
      <c r="B133" s="64"/>
      <c r="C133" s="64"/>
      <c r="D133" s="17" t="s">
        <v>212</v>
      </c>
      <c r="E133" s="2" t="s">
        <v>91</v>
      </c>
      <c r="F133" s="18">
        <v>1</v>
      </c>
      <c r="G133" s="18" t="s">
        <v>23</v>
      </c>
      <c r="H133" s="17" t="s">
        <v>213</v>
      </c>
      <c r="I133" s="29">
        <v>45879</v>
      </c>
      <c r="J133" s="29">
        <v>45881</v>
      </c>
      <c r="K133" s="29">
        <v>45881</v>
      </c>
      <c r="L133" s="29">
        <v>45882</v>
      </c>
      <c r="M133" s="18">
        <v>0.5</v>
      </c>
    </row>
    <row r="134" spans="1:13" x14ac:dyDescent="0.2">
      <c r="A134" s="65"/>
      <c r="B134" s="65"/>
      <c r="C134" s="65"/>
      <c r="D134" s="17" t="s">
        <v>214</v>
      </c>
      <c r="E134" s="2" t="s">
        <v>91</v>
      </c>
      <c r="F134" s="18">
        <v>1</v>
      </c>
      <c r="G134" s="18" t="s">
        <v>23</v>
      </c>
      <c r="H134" s="17" t="s">
        <v>215</v>
      </c>
      <c r="I134" s="29">
        <v>45879</v>
      </c>
      <c r="J134" s="29">
        <v>45881</v>
      </c>
      <c r="K134" s="29">
        <v>45881</v>
      </c>
      <c r="L134" s="29">
        <v>45882</v>
      </c>
      <c r="M134" s="18">
        <v>0.5</v>
      </c>
    </row>
    <row r="135" spans="1:13" x14ac:dyDescent="0.2">
      <c r="A135" s="66">
        <v>2</v>
      </c>
      <c r="B135" s="66">
        <v>2</v>
      </c>
      <c r="C135" s="67" t="s">
        <v>219</v>
      </c>
      <c r="D135" s="17" t="s">
        <v>220</v>
      </c>
      <c r="E135" s="2" t="s">
        <v>91</v>
      </c>
      <c r="F135" s="18">
        <v>1</v>
      </c>
      <c r="G135" s="18" t="s">
        <v>23</v>
      </c>
      <c r="H135" s="17" t="s">
        <v>218</v>
      </c>
      <c r="I135" s="29">
        <v>45882</v>
      </c>
      <c r="J135" s="29">
        <v>45884</v>
      </c>
      <c r="K135" s="29">
        <v>45882</v>
      </c>
      <c r="L135" s="29">
        <v>45883</v>
      </c>
      <c r="M135" s="18">
        <v>1</v>
      </c>
    </row>
    <row r="136" spans="1:13" x14ac:dyDescent="0.2">
      <c r="A136" s="64"/>
      <c r="B136" s="64"/>
      <c r="C136" s="64"/>
      <c r="D136" s="17" t="s">
        <v>212</v>
      </c>
      <c r="E136" s="2" t="s">
        <v>91</v>
      </c>
      <c r="F136" s="18">
        <v>1</v>
      </c>
      <c r="G136" s="18" t="s">
        <v>23</v>
      </c>
      <c r="H136" s="17" t="s">
        <v>213</v>
      </c>
      <c r="I136" s="29">
        <v>45882</v>
      </c>
      <c r="J136" s="29">
        <v>45884</v>
      </c>
      <c r="K136" s="29">
        <v>45882</v>
      </c>
      <c r="L136" s="29">
        <v>45883</v>
      </c>
      <c r="M136" s="18">
        <v>1</v>
      </c>
    </row>
    <row r="137" spans="1:13" x14ac:dyDescent="0.2">
      <c r="A137" s="65"/>
      <c r="B137" s="65"/>
      <c r="C137" s="65"/>
      <c r="D137" s="17" t="s">
        <v>214</v>
      </c>
      <c r="E137" s="2" t="s">
        <v>91</v>
      </c>
      <c r="F137" s="18">
        <v>1</v>
      </c>
      <c r="G137" s="18" t="s">
        <v>23</v>
      </c>
      <c r="H137" s="17" t="s">
        <v>215</v>
      </c>
      <c r="I137" s="29">
        <v>45882</v>
      </c>
      <c r="J137" s="29">
        <v>45884</v>
      </c>
      <c r="K137" s="29">
        <v>45882</v>
      </c>
      <c r="L137" s="29">
        <v>45883</v>
      </c>
      <c r="M137" s="18">
        <v>1</v>
      </c>
    </row>
    <row r="138" spans="1:13" x14ac:dyDescent="0.2">
      <c r="A138" s="66">
        <v>2</v>
      </c>
      <c r="B138" s="66">
        <v>2</v>
      </c>
      <c r="C138" s="67" t="s">
        <v>221</v>
      </c>
      <c r="D138" s="17" t="s">
        <v>222</v>
      </c>
      <c r="E138" s="2" t="s">
        <v>91</v>
      </c>
      <c r="F138" s="18">
        <v>1</v>
      </c>
      <c r="G138" s="18" t="s">
        <v>23</v>
      </c>
      <c r="H138" s="17" t="s">
        <v>218</v>
      </c>
      <c r="I138" s="29">
        <v>45885</v>
      </c>
      <c r="J138" s="29">
        <v>45887</v>
      </c>
      <c r="K138" s="29">
        <v>45882</v>
      </c>
      <c r="L138" s="29">
        <v>45883</v>
      </c>
      <c r="M138" s="18">
        <v>1</v>
      </c>
    </row>
    <row r="139" spans="1:13" x14ac:dyDescent="0.2">
      <c r="A139" s="64"/>
      <c r="B139" s="64"/>
      <c r="C139" s="64"/>
      <c r="D139" s="17" t="s">
        <v>212</v>
      </c>
      <c r="E139" s="2" t="s">
        <v>91</v>
      </c>
      <c r="F139" s="18">
        <v>1</v>
      </c>
      <c r="G139" s="18" t="s">
        <v>23</v>
      </c>
      <c r="H139" s="17" t="s">
        <v>213</v>
      </c>
      <c r="I139" s="29">
        <v>45885</v>
      </c>
      <c r="J139" s="29">
        <v>45887</v>
      </c>
      <c r="K139" s="29">
        <v>45882</v>
      </c>
      <c r="L139" s="29">
        <v>45883</v>
      </c>
      <c r="M139" s="18">
        <v>1</v>
      </c>
    </row>
    <row r="140" spans="1:13" x14ac:dyDescent="0.2">
      <c r="A140" s="65"/>
      <c r="B140" s="65"/>
      <c r="C140" s="65"/>
      <c r="D140" s="17" t="s">
        <v>214</v>
      </c>
      <c r="E140" s="2" t="s">
        <v>91</v>
      </c>
      <c r="F140" s="18">
        <v>1</v>
      </c>
      <c r="G140" s="18" t="s">
        <v>23</v>
      </c>
      <c r="H140" s="17" t="s">
        <v>215</v>
      </c>
      <c r="I140" s="29">
        <v>45885</v>
      </c>
      <c r="J140" s="29">
        <v>45887</v>
      </c>
      <c r="K140" s="29">
        <v>45882</v>
      </c>
      <c r="L140" s="29">
        <v>45883</v>
      </c>
      <c r="M140" s="18">
        <v>1</v>
      </c>
    </row>
    <row r="141" spans="1:13" x14ac:dyDescent="0.2">
      <c r="A141" s="66">
        <v>2</v>
      </c>
      <c r="B141" s="66">
        <v>2</v>
      </c>
      <c r="C141" s="67" t="s">
        <v>223</v>
      </c>
      <c r="D141" s="17" t="s">
        <v>224</v>
      </c>
      <c r="E141" s="2" t="s">
        <v>91</v>
      </c>
      <c r="F141" s="18">
        <v>1</v>
      </c>
      <c r="G141" s="18" t="s">
        <v>23</v>
      </c>
      <c r="H141" s="17" t="s">
        <v>218</v>
      </c>
      <c r="I141" s="29">
        <v>45888</v>
      </c>
      <c r="J141" s="29">
        <v>45889</v>
      </c>
      <c r="K141" s="29">
        <v>45883</v>
      </c>
      <c r="L141" s="29">
        <v>45884</v>
      </c>
      <c r="M141" s="18">
        <v>1</v>
      </c>
    </row>
    <row r="142" spans="1:13" x14ac:dyDescent="0.2">
      <c r="A142" s="64"/>
      <c r="B142" s="64"/>
      <c r="C142" s="64"/>
      <c r="D142" s="17" t="s">
        <v>212</v>
      </c>
      <c r="E142" s="2" t="s">
        <v>91</v>
      </c>
      <c r="F142" s="18">
        <v>1</v>
      </c>
      <c r="G142" s="18" t="s">
        <v>23</v>
      </c>
      <c r="H142" s="17" t="s">
        <v>213</v>
      </c>
      <c r="I142" s="29">
        <v>45888</v>
      </c>
      <c r="J142" s="29">
        <v>45889</v>
      </c>
      <c r="K142" s="29">
        <v>45883</v>
      </c>
      <c r="L142" s="29">
        <v>45884</v>
      </c>
      <c r="M142" s="18">
        <v>1</v>
      </c>
    </row>
    <row r="143" spans="1:13" x14ac:dyDescent="0.2">
      <c r="A143" s="65"/>
      <c r="B143" s="65"/>
      <c r="C143" s="65"/>
      <c r="D143" s="17" t="s">
        <v>214</v>
      </c>
      <c r="E143" s="2" t="s">
        <v>91</v>
      </c>
      <c r="F143" s="18">
        <v>1</v>
      </c>
      <c r="G143" s="18" t="s">
        <v>23</v>
      </c>
      <c r="H143" s="17" t="s">
        <v>215</v>
      </c>
      <c r="I143" s="29">
        <v>45888</v>
      </c>
      <c r="J143" s="29">
        <v>45889</v>
      </c>
      <c r="K143" s="29">
        <v>45883</v>
      </c>
      <c r="L143" s="29">
        <v>45884</v>
      </c>
      <c r="M143" s="18">
        <v>1</v>
      </c>
    </row>
    <row r="144" spans="1:13" x14ac:dyDescent="0.2">
      <c r="A144" s="66">
        <v>2</v>
      </c>
      <c r="B144" s="66">
        <v>2</v>
      </c>
      <c r="C144" s="67" t="s">
        <v>225</v>
      </c>
      <c r="D144" s="17" t="s">
        <v>210</v>
      </c>
      <c r="E144" s="2" t="s">
        <v>77</v>
      </c>
      <c r="F144" s="18">
        <v>1</v>
      </c>
      <c r="G144" s="18" t="s">
        <v>23</v>
      </c>
      <c r="H144" s="17" t="s">
        <v>218</v>
      </c>
      <c r="I144" s="29">
        <v>45875</v>
      </c>
      <c r="J144" s="29">
        <v>45878</v>
      </c>
      <c r="K144" s="29">
        <v>45877</v>
      </c>
      <c r="L144" s="29">
        <v>45880</v>
      </c>
      <c r="M144" s="18">
        <v>1</v>
      </c>
    </row>
    <row r="145" spans="1:13" x14ac:dyDescent="0.2">
      <c r="A145" s="64"/>
      <c r="B145" s="64"/>
      <c r="C145" s="64"/>
      <c r="D145" s="17" t="s">
        <v>212</v>
      </c>
      <c r="E145" s="2" t="s">
        <v>77</v>
      </c>
      <c r="F145" s="18">
        <v>1</v>
      </c>
      <c r="G145" s="18" t="s">
        <v>23</v>
      </c>
      <c r="H145" s="17" t="s">
        <v>213</v>
      </c>
      <c r="I145" s="29">
        <v>45875</v>
      </c>
      <c r="J145" s="29">
        <v>45878</v>
      </c>
      <c r="K145" s="29">
        <v>45877</v>
      </c>
      <c r="L145" s="29">
        <v>45880</v>
      </c>
      <c r="M145" s="18">
        <v>1</v>
      </c>
    </row>
    <row r="146" spans="1:13" x14ac:dyDescent="0.2">
      <c r="A146" s="65"/>
      <c r="B146" s="65"/>
      <c r="C146" s="65"/>
      <c r="D146" s="17" t="s">
        <v>214</v>
      </c>
      <c r="E146" s="2" t="s">
        <v>77</v>
      </c>
      <c r="F146" s="18">
        <v>1</v>
      </c>
      <c r="G146" s="18" t="s">
        <v>23</v>
      </c>
      <c r="H146" s="17" t="s">
        <v>215</v>
      </c>
      <c r="I146" s="29">
        <v>45875</v>
      </c>
      <c r="J146" s="29">
        <v>45878</v>
      </c>
      <c r="K146" s="29">
        <v>45877</v>
      </c>
      <c r="L146" s="29">
        <v>45880</v>
      </c>
      <c r="M146" s="18">
        <v>1</v>
      </c>
    </row>
    <row r="147" spans="1:13" x14ac:dyDescent="0.2">
      <c r="A147" s="66">
        <v>2</v>
      </c>
      <c r="B147" s="66">
        <v>2</v>
      </c>
      <c r="C147" s="67" t="s">
        <v>226</v>
      </c>
      <c r="D147" s="17" t="s">
        <v>217</v>
      </c>
      <c r="E147" s="2" t="s">
        <v>77</v>
      </c>
      <c r="F147" s="18">
        <v>1</v>
      </c>
      <c r="G147" s="18" t="s">
        <v>23</v>
      </c>
      <c r="H147" s="17" t="s">
        <v>218</v>
      </c>
      <c r="I147" s="29">
        <v>45879</v>
      </c>
      <c r="J147" s="29">
        <v>45881</v>
      </c>
      <c r="K147" s="29">
        <v>45880</v>
      </c>
      <c r="L147" s="29">
        <v>45881</v>
      </c>
      <c r="M147" s="18">
        <v>0.5</v>
      </c>
    </row>
    <row r="148" spans="1:13" x14ac:dyDescent="0.2">
      <c r="A148" s="64"/>
      <c r="B148" s="64"/>
      <c r="C148" s="64"/>
      <c r="D148" s="17" t="s">
        <v>212</v>
      </c>
      <c r="E148" s="2" t="s">
        <v>77</v>
      </c>
      <c r="F148" s="18">
        <v>1</v>
      </c>
      <c r="G148" s="18" t="s">
        <v>23</v>
      </c>
      <c r="H148" s="17" t="s">
        <v>213</v>
      </c>
      <c r="I148" s="29">
        <v>45879</v>
      </c>
      <c r="J148" s="29">
        <v>45881</v>
      </c>
      <c r="K148" s="29">
        <v>45880</v>
      </c>
      <c r="L148" s="29">
        <v>45881</v>
      </c>
      <c r="M148" s="18">
        <v>0.5</v>
      </c>
    </row>
    <row r="149" spans="1:13" x14ac:dyDescent="0.2">
      <c r="A149" s="65"/>
      <c r="B149" s="65"/>
      <c r="C149" s="65"/>
      <c r="D149" s="17" t="s">
        <v>214</v>
      </c>
      <c r="E149" s="2" t="s">
        <v>77</v>
      </c>
      <c r="F149" s="18">
        <v>1</v>
      </c>
      <c r="G149" s="18" t="s">
        <v>23</v>
      </c>
      <c r="H149" s="17" t="s">
        <v>215</v>
      </c>
      <c r="I149" s="29">
        <v>45879</v>
      </c>
      <c r="J149" s="29">
        <v>45881</v>
      </c>
      <c r="K149" s="29">
        <v>45880</v>
      </c>
      <c r="L149" s="29">
        <v>45881</v>
      </c>
      <c r="M149" s="18">
        <v>0.5</v>
      </c>
    </row>
    <row r="150" spans="1:13" x14ac:dyDescent="0.2">
      <c r="A150" s="66">
        <v>2</v>
      </c>
      <c r="B150" s="66">
        <v>2</v>
      </c>
      <c r="C150" s="67" t="s">
        <v>227</v>
      </c>
      <c r="D150" s="17" t="s">
        <v>220</v>
      </c>
      <c r="E150" s="2" t="s">
        <v>77</v>
      </c>
      <c r="F150" s="18">
        <v>1</v>
      </c>
      <c r="G150" s="18" t="s">
        <v>23</v>
      </c>
      <c r="H150" s="17" t="s">
        <v>218</v>
      </c>
      <c r="I150" s="29">
        <v>45882</v>
      </c>
      <c r="J150" s="29">
        <v>45884</v>
      </c>
      <c r="K150" s="29">
        <v>45880</v>
      </c>
      <c r="L150" s="29">
        <v>45881</v>
      </c>
      <c r="M150" s="18">
        <v>0.5</v>
      </c>
    </row>
    <row r="151" spans="1:13" x14ac:dyDescent="0.2">
      <c r="A151" s="64"/>
      <c r="B151" s="64"/>
      <c r="C151" s="64"/>
      <c r="D151" s="17" t="s">
        <v>212</v>
      </c>
      <c r="E151" s="2" t="s">
        <v>77</v>
      </c>
      <c r="F151" s="18">
        <v>1</v>
      </c>
      <c r="G151" s="18" t="s">
        <v>23</v>
      </c>
      <c r="H151" s="17" t="s">
        <v>213</v>
      </c>
      <c r="I151" s="29">
        <v>45882</v>
      </c>
      <c r="J151" s="29">
        <v>45884</v>
      </c>
      <c r="K151" s="29">
        <v>45880</v>
      </c>
      <c r="L151" s="29">
        <v>45881</v>
      </c>
      <c r="M151" s="18">
        <v>0.5</v>
      </c>
    </row>
    <row r="152" spans="1:13" x14ac:dyDescent="0.2">
      <c r="A152" s="65"/>
      <c r="B152" s="65"/>
      <c r="C152" s="65"/>
      <c r="D152" s="17" t="s">
        <v>214</v>
      </c>
      <c r="E152" s="2" t="s">
        <v>77</v>
      </c>
      <c r="F152" s="18">
        <v>1</v>
      </c>
      <c r="G152" s="18" t="s">
        <v>23</v>
      </c>
      <c r="H152" s="17" t="s">
        <v>215</v>
      </c>
      <c r="I152" s="29">
        <v>45882</v>
      </c>
      <c r="J152" s="29">
        <v>45884</v>
      </c>
      <c r="K152" s="29">
        <v>45880</v>
      </c>
      <c r="L152" s="29">
        <v>45881</v>
      </c>
      <c r="M152" s="18">
        <v>0.5</v>
      </c>
    </row>
    <row r="153" spans="1:13" x14ac:dyDescent="0.2">
      <c r="A153" s="66">
        <v>2</v>
      </c>
      <c r="B153" s="66">
        <v>2</v>
      </c>
      <c r="C153" s="67" t="s">
        <v>228</v>
      </c>
      <c r="D153" s="17" t="s">
        <v>222</v>
      </c>
      <c r="E153" s="2" t="s">
        <v>77</v>
      </c>
      <c r="F153" s="18">
        <v>1</v>
      </c>
      <c r="G153" s="18" t="s">
        <v>23</v>
      </c>
      <c r="H153" s="17" t="s">
        <v>218</v>
      </c>
      <c r="I153" s="29">
        <v>45885</v>
      </c>
      <c r="J153" s="29">
        <v>45887</v>
      </c>
      <c r="K153" s="29">
        <v>45881</v>
      </c>
      <c r="L153" s="29">
        <v>45882</v>
      </c>
      <c r="M153" s="18">
        <v>1</v>
      </c>
    </row>
    <row r="154" spans="1:13" x14ac:dyDescent="0.2">
      <c r="A154" s="64"/>
      <c r="B154" s="64"/>
      <c r="C154" s="64"/>
      <c r="D154" s="17" t="s">
        <v>212</v>
      </c>
      <c r="E154" s="2" t="s">
        <v>77</v>
      </c>
      <c r="F154" s="18">
        <v>1</v>
      </c>
      <c r="G154" s="18" t="s">
        <v>23</v>
      </c>
      <c r="H154" s="17" t="s">
        <v>213</v>
      </c>
      <c r="I154" s="29">
        <v>45885</v>
      </c>
      <c r="J154" s="29">
        <v>45887</v>
      </c>
      <c r="K154" s="29">
        <v>45881</v>
      </c>
      <c r="L154" s="29">
        <v>45882</v>
      </c>
      <c r="M154" s="18">
        <v>1</v>
      </c>
    </row>
    <row r="155" spans="1:13" x14ac:dyDescent="0.2">
      <c r="A155" s="65"/>
      <c r="B155" s="65"/>
      <c r="C155" s="65"/>
      <c r="D155" s="17" t="s">
        <v>214</v>
      </c>
      <c r="E155" s="2" t="s">
        <v>77</v>
      </c>
      <c r="F155" s="18">
        <v>1</v>
      </c>
      <c r="G155" s="18" t="s">
        <v>23</v>
      </c>
      <c r="H155" s="17" t="s">
        <v>215</v>
      </c>
      <c r="I155" s="29">
        <v>45885</v>
      </c>
      <c r="J155" s="29">
        <v>45887</v>
      </c>
      <c r="K155" s="29">
        <v>45881</v>
      </c>
      <c r="L155" s="29">
        <v>45882</v>
      </c>
      <c r="M155" s="18">
        <v>0.5</v>
      </c>
    </row>
    <row r="156" spans="1:13" x14ac:dyDescent="0.2">
      <c r="A156" s="66">
        <v>2</v>
      </c>
      <c r="B156" s="66">
        <v>2</v>
      </c>
      <c r="C156" s="67" t="s">
        <v>229</v>
      </c>
      <c r="D156" s="17" t="s">
        <v>224</v>
      </c>
      <c r="E156" s="2" t="s">
        <v>77</v>
      </c>
      <c r="F156" s="18">
        <v>1</v>
      </c>
      <c r="G156" s="18" t="s">
        <v>23</v>
      </c>
      <c r="H156" s="17" t="s">
        <v>218</v>
      </c>
      <c r="I156" s="29">
        <v>45888</v>
      </c>
      <c r="J156" s="29">
        <v>45889</v>
      </c>
      <c r="K156" s="29">
        <v>45882</v>
      </c>
      <c r="L156" s="29">
        <v>45882</v>
      </c>
      <c r="M156" s="18">
        <v>1</v>
      </c>
    </row>
    <row r="157" spans="1:13" x14ac:dyDescent="0.2">
      <c r="A157" s="64"/>
      <c r="B157" s="64"/>
      <c r="C157" s="64"/>
      <c r="D157" s="17" t="s">
        <v>212</v>
      </c>
      <c r="E157" s="2" t="s">
        <v>77</v>
      </c>
      <c r="F157" s="18">
        <v>1</v>
      </c>
      <c r="G157" s="18" t="s">
        <v>23</v>
      </c>
      <c r="H157" s="17" t="s">
        <v>213</v>
      </c>
      <c r="I157" s="29">
        <v>45888</v>
      </c>
      <c r="J157" s="29">
        <v>45889</v>
      </c>
      <c r="K157" s="29">
        <v>45882</v>
      </c>
      <c r="L157" s="29">
        <v>45882</v>
      </c>
      <c r="M157" s="18">
        <v>1</v>
      </c>
    </row>
    <row r="158" spans="1:13" x14ac:dyDescent="0.2">
      <c r="A158" s="65"/>
      <c r="B158" s="65"/>
      <c r="C158" s="65"/>
      <c r="D158" s="17" t="s">
        <v>214</v>
      </c>
      <c r="E158" s="2" t="s">
        <v>77</v>
      </c>
      <c r="F158" s="18">
        <v>1</v>
      </c>
      <c r="G158" s="18" t="s">
        <v>23</v>
      </c>
      <c r="H158" s="17" t="s">
        <v>215</v>
      </c>
      <c r="I158" s="29">
        <v>45888</v>
      </c>
      <c r="J158" s="29">
        <v>45889</v>
      </c>
      <c r="K158" s="29">
        <v>45882</v>
      </c>
      <c r="L158" s="29">
        <v>45882</v>
      </c>
      <c r="M158" s="18">
        <v>0.5</v>
      </c>
    </row>
    <row r="159" spans="1:13" x14ac:dyDescent="0.2">
      <c r="A159" s="20"/>
      <c r="B159" s="20"/>
      <c r="C159" s="21"/>
      <c r="D159" s="21"/>
      <c r="E159" s="21"/>
      <c r="F159" s="21"/>
      <c r="G159" s="21"/>
      <c r="H159" s="21"/>
      <c r="I159" s="21"/>
      <c r="J159" s="21"/>
      <c r="K159" s="21"/>
      <c r="L159" s="21"/>
      <c r="M159" s="22"/>
    </row>
    <row r="160" spans="1:13" x14ac:dyDescent="0.2">
      <c r="A160" s="66">
        <v>2</v>
      </c>
      <c r="B160" s="66">
        <v>2</v>
      </c>
      <c r="C160" s="67" t="s">
        <v>230</v>
      </c>
      <c r="D160" s="17" t="s">
        <v>231</v>
      </c>
      <c r="E160" s="2" t="s">
        <v>22</v>
      </c>
      <c r="F160" s="18">
        <v>2</v>
      </c>
      <c r="G160" s="18" t="s">
        <v>23</v>
      </c>
      <c r="H160" s="17" t="s">
        <v>232</v>
      </c>
      <c r="I160" s="29">
        <v>45882</v>
      </c>
      <c r="J160" s="29">
        <v>45888</v>
      </c>
      <c r="K160" s="29">
        <v>45889</v>
      </c>
      <c r="L160" s="29">
        <v>45892</v>
      </c>
      <c r="M160" s="18">
        <v>3</v>
      </c>
    </row>
    <row r="161" spans="1:28" x14ac:dyDescent="0.2">
      <c r="A161" s="64"/>
      <c r="B161" s="64"/>
      <c r="C161" s="64"/>
      <c r="D161" s="17" t="s">
        <v>233</v>
      </c>
      <c r="E161" s="2" t="s">
        <v>22</v>
      </c>
      <c r="F161" s="18">
        <v>1</v>
      </c>
      <c r="G161" s="18" t="s">
        <v>23</v>
      </c>
      <c r="H161" s="17" t="s">
        <v>234</v>
      </c>
      <c r="I161" s="29">
        <v>45882</v>
      </c>
      <c r="J161" s="29">
        <v>45888</v>
      </c>
      <c r="K161" s="29">
        <v>45889</v>
      </c>
      <c r="L161" s="29">
        <v>45892</v>
      </c>
      <c r="M161" s="18">
        <v>2</v>
      </c>
    </row>
    <row r="162" spans="1:28" x14ac:dyDescent="0.2">
      <c r="A162" s="64"/>
      <c r="B162" s="64"/>
      <c r="C162" s="64"/>
      <c r="D162" s="17" t="s">
        <v>235</v>
      </c>
      <c r="E162" s="2" t="s">
        <v>22</v>
      </c>
      <c r="F162" s="18">
        <v>1</v>
      </c>
      <c r="G162" s="18" t="s">
        <v>23</v>
      </c>
      <c r="H162" s="17" t="s">
        <v>236</v>
      </c>
      <c r="I162" s="29">
        <v>45882</v>
      </c>
      <c r="J162" s="29">
        <v>45888</v>
      </c>
      <c r="K162" s="29">
        <v>45889</v>
      </c>
      <c r="L162" s="29">
        <v>45892</v>
      </c>
      <c r="M162" s="18">
        <v>2</v>
      </c>
    </row>
    <row r="163" spans="1:28" x14ac:dyDescent="0.2">
      <c r="A163" s="65"/>
      <c r="B163" s="65"/>
      <c r="C163" s="65"/>
      <c r="D163" s="17" t="s">
        <v>237</v>
      </c>
      <c r="E163" s="2" t="s">
        <v>22</v>
      </c>
      <c r="F163" s="18">
        <v>1</v>
      </c>
      <c r="G163" s="18" t="s">
        <v>23</v>
      </c>
      <c r="H163" s="17" t="s">
        <v>238</v>
      </c>
      <c r="I163" s="29">
        <v>45882</v>
      </c>
      <c r="J163" s="29">
        <v>45888</v>
      </c>
      <c r="K163" s="29">
        <v>45889</v>
      </c>
      <c r="L163" s="29">
        <v>45892</v>
      </c>
      <c r="M163" s="18">
        <v>2</v>
      </c>
    </row>
    <row r="164" spans="1:28" x14ac:dyDescent="0.2">
      <c r="A164" s="66">
        <v>2</v>
      </c>
      <c r="B164" s="66">
        <v>2</v>
      </c>
      <c r="C164" s="67" t="s">
        <v>239</v>
      </c>
      <c r="D164" s="17" t="s">
        <v>240</v>
      </c>
      <c r="E164" s="2" t="s">
        <v>77</v>
      </c>
      <c r="F164" s="18">
        <v>1</v>
      </c>
      <c r="G164" s="18" t="s">
        <v>23</v>
      </c>
      <c r="H164" s="17" t="s">
        <v>241</v>
      </c>
      <c r="I164" s="33">
        <v>45887</v>
      </c>
      <c r="J164" s="33">
        <v>45890</v>
      </c>
      <c r="K164" s="33">
        <v>45883</v>
      </c>
      <c r="L164" s="33">
        <v>45884</v>
      </c>
      <c r="M164" s="18">
        <v>1</v>
      </c>
    </row>
    <row r="165" spans="1:28" x14ac:dyDescent="0.2">
      <c r="A165" s="64"/>
      <c r="B165" s="64"/>
      <c r="C165" s="64"/>
      <c r="D165" s="18" t="s">
        <v>242</v>
      </c>
      <c r="E165" s="2" t="s">
        <v>77</v>
      </c>
      <c r="F165" s="18">
        <v>2</v>
      </c>
      <c r="G165" s="18" t="s">
        <v>23</v>
      </c>
      <c r="H165" s="18" t="s">
        <v>243</v>
      </c>
      <c r="I165" s="33">
        <v>45887</v>
      </c>
      <c r="J165" s="33">
        <v>45890</v>
      </c>
      <c r="K165" s="33">
        <v>45883</v>
      </c>
      <c r="L165" s="33">
        <v>45884</v>
      </c>
      <c r="M165" s="18">
        <v>3</v>
      </c>
      <c r="N165" s="4"/>
      <c r="O165" s="4"/>
      <c r="P165" s="4"/>
      <c r="Q165" s="4"/>
      <c r="R165" s="4"/>
      <c r="S165" s="4"/>
      <c r="T165" s="4"/>
      <c r="U165" s="4"/>
      <c r="V165" s="4"/>
      <c r="W165" s="4"/>
      <c r="X165" s="4"/>
      <c r="Y165" s="4"/>
      <c r="Z165" s="4"/>
      <c r="AA165" s="4"/>
      <c r="AB165" s="4"/>
    </row>
    <row r="166" spans="1:28" x14ac:dyDescent="0.2">
      <c r="A166" s="65"/>
      <c r="B166" s="65"/>
      <c r="C166" s="65"/>
      <c r="D166" s="17" t="s">
        <v>244</v>
      </c>
      <c r="E166" s="2" t="s">
        <v>77</v>
      </c>
      <c r="F166" s="18">
        <v>2</v>
      </c>
      <c r="G166" s="18" t="s">
        <v>23</v>
      </c>
      <c r="H166" s="18" t="s">
        <v>245</v>
      </c>
      <c r="I166" s="33">
        <v>45887</v>
      </c>
      <c r="J166" s="33">
        <v>45890</v>
      </c>
      <c r="K166" s="33">
        <v>45883</v>
      </c>
      <c r="L166" s="33">
        <v>45884</v>
      </c>
      <c r="M166" s="18">
        <v>1</v>
      </c>
      <c r="N166" s="4"/>
      <c r="O166" s="4"/>
      <c r="P166" s="4"/>
      <c r="Q166" s="4"/>
      <c r="R166" s="4"/>
      <c r="S166" s="4"/>
      <c r="T166" s="4"/>
      <c r="U166" s="4"/>
      <c r="V166" s="4"/>
      <c r="W166" s="4"/>
      <c r="X166" s="4"/>
      <c r="Y166" s="4"/>
      <c r="Z166" s="4"/>
      <c r="AA166" s="4"/>
      <c r="AB166" s="4"/>
    </row>
    <row r="167" spans="1:28" x14ac:dyDescent="0.2">
      <c r="A167" s="34"/>
      <c r="B167" s="34"/>
      <c r="C167" s="35"/>
      <c r="D167" s="35"/>
      <c r="E167" s="35"/>
      <c r="F167" s="35"/>
      <c r="G167" s="35"/>
      <c r="H167" s="35"/>
      <c r="I167" s="35"/>
      <c r="J167" s="35"/>
      <c r="K167" s="35"/>
      <c r="L167" s="35"/>
      <c r="M167" s="36"/>
      <c r="N167" s="37"/>
      <c r="O167" s="37"/>
      <c r="P167" s="37"/>
      <c r="Q167" s="37"/>
      <c r="R167" s="37"/>
      <c r="S167" s="37"/>
      <c r="T167" s="37"/>
      <c r="U167" s="37"/>
      <c r="V167" s="37"/>
      <c r="W167" s="37"/>
      <c r="X167" s="37"/>
      <c r="Y167" s="37"/>
      <c r="Z167" s="37"/>
      <c r="AA167" s="37"/>
      <c r="AB167" s="37"/>
    </row>
    <row r="168" spans="1:28" x14ac:dyDescent="0.2">
      <c r="A168" s="66">
        <v>2</v>
      </c>
      <c r="B168" s="66">
        <v>3</v>
      </c>
      <c r="C168" s="67" t="s">
        <v>246</v>
      </c>
      <c r="D168" s="17" t="s">
        <v>247</v>
      </c>
      <c r="E168" s="2" t="s">
        <v>91</v>
      </c>
      <c r="F168" s="18">
        <v>1</v>
      </c>
      <c r="G168" s="18" t="s">
        <v>23</v>
      </c>
      <c r="H168" s="17" t="s">
        <v>248</v>
      </c>
      <c r="I168" s="38">
        <v>45901</v>
      </c>
      <c r="J168" s="29">
        <v>45904</v>
      </c>
      <c r="K168" s="33">
        <v>45901</v>
      </c>
      <c r="L168" s="33">
        <v>45902</v>
      </c>
      <c r="M168" s="18">
        <v>1</v>
      </c>
    </row>
    <row r="169" spans="1:28" x14ac:dyDescent="0.2">
      <c r="A169" s="64"/>
      <c r="B169" s="64"/>
      <c r="C169" s="64"/>
      <c r="D169" s="17" t="s">
        <v>249</v>
      </c>
      <c r="E169" s="2" t="s">
        <v>91</v>
      </c>
      <c r="F169" s="18">
        <v>1</v>
      </c>
      <c r="G169" s="18" t="s">
        <v>23</v>
      </c>
      <c r="H169" s="17" t="s">
        <v>250</v>
      </c>
      <c r="I169" s="38">
        <v>45901</v>
      </c>
      <c r="J169" s="29">
        <v>45904</v>
      </c>
      <c r="K169" s="33">
        <v>45901</v>
      </c>
      <c r="L169" s="33">
        <v>45902</v>
      </c>
      <c r="M169" s="18">
        <v>1</v>
      </c>
    </row>
    <row r="170" spans="1:28" x14ac:dyDescent="0.2">
      <c r="A170" s="65"/>
      <c r="B170" s="65"/>
      <c r="C170" s="65"/>
      <c r="D170" s="17" t="s">
        <v>251</v>
      </c>
      <c r="E170" s="2" t="s">
        <v>91</v>
      </c>
      <c r="F170" s="18">
        <v>1</v>
      </c>
      <c r="G170" s="18" t="s">
        <v>23</v>
      </c>
      <c r="H170" s="17" t="s">
        <v>252</v>
      </c>
      <c r="I170" s="38">
        <v>45901</v>
      </c>
      <c r="J170" s="29">
        <v>45904</v>
      </c>
      <c r="K170" s="33">
        <v>45901</v>
      </c>
      <c r="L170" s="33">
        <v>45902</v>
      </c>
      <c r="M170" s="18">
        <v>0.5</v>
      </c>
    </row>
    <row r="171" spans="1:28" x14ac:dyDescent="0.2">
      <c r="A171" s="66">
        <v>2</v>
      </c>
      <c r="B171" s="66">
        <v>3</v>
      </c>
      <c r="C171" s="67" t="s">
        <v>253</v>
      </c>
      <c r="D171" s="17" t="s">
        <v>254</v>
      </c>
      <c r="E171" s="2" t="s">
        <v>91</v>
      </c>
      <c r="F171" s="18">
        <v>1</v>
      </c>
      <c r="G171" s="18" t="s">
        <v>23</v>
      </c>
      <c r="H171" s="17" t="s">
        <v>218</v>
      </c>
      <c r="I171" s="19">
        <v>45905</v>
      </c>
      <c r="J171" s="29">
        <v>45908</v>
      </c>
      <c r="K171" s="33">
        <v>45902</v>
      </c>
      <c r="L171" s="33">
        <v>45902</v>
      </c>
      <c r="M171" s="18">
        <v>1</v>
      </c>
    </row>
    <row r="172" spans="1:28" x14ac:dyDescent="0.2">
      <c r="A172" s="64"/>
      <c r="B172" s="64"/>
      <c r="C172" s="64"/>
      <c r="D172" s="17" t="s">
        <v>212</v>
      </c>
      <c r="E172" s="2" t="s">
        <v>91</v>
      </c>
      <c r="F172" s="18">
        <v>1</v>
      </c>
      <c r="G172" s="18" t="s">
        <v>23</v>
      </c>
      <c r="H172" s="17" t="s">
        <v>213</v>
      </c>
      <c r="I172" s="19">
        <v>45905</v>
      </c>
      <c r="J172" s="29">
        <v>45908</v>
      </c>
      <c r="K172" s="33">
        <v>45902</v>
      </c>
      <c r="L172" s="33">
        <v>45902</v>
      </c>
      <c r="M172" s="18">
        <v>1</v>
      </c>
    </row>
    <row r="173" spans="1:28" x14ac:dyDescent="0.2">
      <c r="A173" s="64"/>
      <c r="B173" s="64"/>
      <c r="C173" s="64"/>
      <c r="D173" s="17" t="s">
        <v>214</v>
      </c>
      <c r="E173" s="2" t="s">
        <v>91</v>
      </c>
      <c r="F173" s="18">
        <v>1</v>
      </c>
      <c r="G173" s="18" t="s">
        <v>23</v>
      </c>
      <c r="H173" s="17" t="s">
        <v>215</v>
      </c>
      <c r="I173" s="29">
        <v>45905</v>
      </c>
      <c r="J173" s="29">
        <v>45908</v>
      </c>
      <c r="K173" s="33">
        <v>45902</v>
      </c>
      <c r="L173" s="33">
        <v>45902</v>
      </c>
      <c r="M173" s="18">
        <v>0.5</v>
      </c>
    </row>
    <row r="174" spans="1:28" x14ac:dyDescent="0.2">
      <c r="A174" s="65"/>
      <c r="B174" s="65"/>
      <c r="C174" s="65"/>
      <c r="D174" s="17" t="s">
        <v>255</v>
      </c>
      <c r="E174" s="2" t="s">
        <v>91</v>
      </c>
      <c r="F174" s="18">
        <v>1</v>
      </c>
      <c r="G174" s="18" t="s">
        <v>23</v>
      </c>
      <c r="H174" s="17" t="s">
        <v>256</v>
      </c>
      <c r="I174" s="29">
        <v>45905</v>
      </c>
      <c r="J174" s="29">
        <v>45908</v>
      </c>
      <c r="K174" s="33">
        <v>45902</v>
      </c>
      <c r="L174" s="33">
        <v>45902</v>
      </c>
      <c r="M174" s="18">
        <v>0.5</v>
      </c>
    </row>
    <row r="175" spans="1:28" x14ac:dyDescent="0.2">
      <c r="A175" s="66">
        <v>2</v>
      </c>
      <c r="B175" s="66">
        <v>3</v>
      </c>
      <c r="C175" s="67" t="s">
        <v>257</v>
      </c>
      <c r="D175" s="17" t="s">
        <v>258</v>
      </c>
      <c r="E175" s="2" t="s">
        <v>91</v>
      </c>
      <c r="F175" s="18">
        <v>1</v>
      </c>
      <c r="G175" s="18" t="s">
        <v>23</v>
      </c>
      <c r="H175" s="17" t="s">
        <v>259</v>
      </c>
      <c r="I175" s="29">
        <v>45909</v>
      </c>
      <c r="J175" s="29">
        <v>45911</v>
      </c>
      <c r="K175" s="33">
        <v>45902</v>
      </c>
      <c r="L175" s="33">
        <v>45903</v>
      </c>
      <c r="M175" s="18">
        <v>0.5</v>
      </c>
    </row>
    <row r="176" spans="1:28" x14ac:dyDescent="0.2">
      <c r="A176" s="65"/>
      <c r="B176" s="65"/>
      <c r="C176" s="65"/>
      <c r="D176" s="17" t="s">
        <v>260</v>
      </c>
      <c r="E176" s="2" t="s">
        <v>91</v>
      </c>
      <c r="F176" s="18">
        <v>1</v>
      </c>
      <c r="G176" s="18" t="s">
        <v>23</v>
      </c>
      <c r="H176" s="17" t="s">
        <v>261</v>
      </c>
      <c r="I176" s="29">
        <v>45909</v>
      </c>
      <c r="J176" s="29">
        <v>45911</v>
      </c>
      <c r="K176" s="33">
        <v>45902</v>
      </c>
      <c r="L176" s="33">
        <v>45903</v>
      </c>
      <c r="M176" s="18">
        <v>0.5</v>
      </c>
    </row>
    <row r="177" spans="1:28" x14ac:dyDescent="0.2">
      <c r="A177" s="68">
        <v>2</v>
      </c>
      <c r="B177" s="68">
        <v>3</v>
      </c>
      <c r="C177" s="69" t="s">
        <v>262</v>
      </c>
      <c r="D177" s="17" t="s">
        <v>263</v>
      </c>
      <c r="E177" s="2" t="s">
        <v>91</v>
      </c>
      <c r="F177" s="39">
        <v>1</v>
      </c>
      <c r="G177" s="39" t="s">
        <v>23</v>
      </c>
      <c r="H177" s="40" t="s">
        <v>264</v>
      </c>
      <c r="I177" s="29">
        <v>45911</v>
      </c>
      <c r="J177" s="29">
        <v>45914</v>
      </c>
      <c r="K177" s="33">
        <v>45906</v>
      </c>
      <c r="L177" s="33">
        <v>45908</v>
      </c>
      <c r="M177" s="39">
        <v>1</v>
      </c>
      <c r="N177" s="41"/>
      <c r="O177" s="41"/>
      <c r="P177" s="41"/>
      <c r="Q177" s="41"/>
      <c r="R177" s="41"/>
      <c r="S177" s="41"/>
      <c r="T177" s="41"/>
      <c r="U177" s="41"/>
      <c r="V177" s="41"/>
      <c r="W177" s="41"/>
      <c r="X177" s="41"/>
      <c r="Y177" s="41"/>
      <c r="Z177" s="41"/>
      <c r="AA177" s="41"/>
      <c r="AB177" s="41"/>
    </row>
    <row r="178" spans="1:28" x14ac:dyDescent="0.2">
      <c r="A178" s="64"/>
      <c r="B178" s="64"/>
      <c r="C178" s="64"/>
      <c r="D178" s="17" t="s">
        <v>265</v>
      </c>
      <c r="E178" s="2" t="s">
        <v>91</v>
      </c>
      <c r="F178" s="39">
        <v>1</v>
      </c>
      <c r="G178" s="39" t="s">
        <v>23</v>
      </c>
      <c r="H178" s="40" t="s">
        <v>266</v>
      </c>
      <c r="I178" s="29">
        <v>45911</v>
      </c>
      <c r="J178" s="29">
        <v>45914</v>
      </c>
      <c r="K178" s="33">
        <v>45906</v>
      </c>
      <c r="L178" s="33">
        <v>45908</v>
      </c>
      <c r="M178" s="39">
        <v>1</v>
      </c>
      <c r="N178" s="41"/>
      <c r="O178" s="41"/>
      <c r="P178" s="41"/>
      <c r="Q178" s="41"/>
      <c r="R178" s="41"/>
      <c r="S178" s="41"/>
      <c r="T178" s="41"/>
      <c r="U178" s="41"/>
      <c r="V178" s="41"/>
      <c r="W178" s="41"/>
      <c r="X178" s="41"/>
      <c r="Y178" s="41"/>
      <c r="Z178" s="41"/>
      <c r="AA178" s="41"/>
      <c r="AB178" s="41"/>
    </row>
    <row r="179" spans="1:28" x14ac:dyDescent="0.2">
      <c r="A179" s="64"/>
      <c r="B179" s="64"/>
      <c r="C179" s="64"/>
      <c r="D179" s="17" t="s">
        <v>267</v>
      </c>
      <c r="E179" s="2" t="s">
        <v>91</v>
      </c>
      <c r="F179" s="39">
        <v>1</v>
      </c>
      <c r="G179" s="39" t="s">
        <v>23</v>
      </c>
      <c r="H179" s="40" t="s">
        <v>268</v>
      </c>
      <c r="I179" s="29">
        <v>45911</v>
      </c>
      <c r="J179" s="29">
        <v>45914</v>
      </c>
      <c r="K179" s="33">
        <v>45906</v>
      </c>
      <c r="L179" s="33">
        <v>45908</v>
      </c>
      <c r="M179" s="39">
        <v>1</v>
      </c>
      <c r="N179" s="41"/>
      <c r="O179" s="41"/>
      <c r="P179" s="41"/>
      <c r="Q179" s="41"/>
      <c r="R179" s="41"/>
      <c r="S179" s="41"/>
      <c r="T179" s="41"/>
      <c r="U179" s="41"/>
      <c r="V179" s="41"/>
      <c r="W179" s="41"/>
      <c r="X179" s="41"/>
      <c r="Y179" s="41"/>
      <c r="Z179" s="41"/>
      <c r="AA179" s="41"/>
      <c r="AB179" s="41"/>
    </row>
    <row r="180" spans="1:28" x14ac:dyDescent="0.2">
      <c r="A180" s="65"/>
      <c r="B180" s="65"/>
      <c r="C180" s="65"/>
      <c r="D180" s="17" t="s">
        <v>269</v>
      </c>
      <c r="E180" s="2" t="s">
        <v>91</v>
      </c>
      <c r="F180" s="39">
        <v>1</v>
      </c>
      <c r="G180" s="39" t="s">
        <v>23</v>
      </c>
      <c r="H180" s="17" t="s">
        <v>270</v>
      </c>
      <c r="I180" s="29">
        <v>45911</v>
      </c>
      <c r="J180" s="29">
        <v>45914</v>
      </c>
      <c r="K180" s="33">
        <v>45906</v>
      </c>
      <c r="L180" s="33">
        <v>45908</v>
      </c>
      <c r="M180" s="39">
        <v>1</v>
      </c>
      <c r="N180" s="41"/>
      <c r="O180" s="41"/>
      <c r="P180" s="41"/>
      <c r="Q180" s="41"/>
      <c r="R180" s="41"/>
      <c r="S180" s="41"/>
      <c r="T180" s="41"/>
      <c r="U180" s="41"/>
      <c r="V180" s="41"/>
      <c r="W180" s="41"/>
      <c r="X180" s="41"/>
      <c r="Y180" s="41"/>
      <c r="Z180" s="41"/>
      <c r="AA180" s="41"/>
      <c r="AB180" s="41"/>
    </row>
    <row r="181" spans="1:28" x14ac:dyDescent="0.2">
      <c r="A181" s="66">
        <v>2</v>
      </c>
      <c r="B181" s="66">
        <v>3</v>
      </c>
      <c r="C181" s="67" t="s">
        <v>271</v>
      </c>
      <c r="D181" s="17" t="s">
        <v>272</v>
      </c>
      <c r="E181" s="2" t="s">
        <v>91</v>
      </c>
      <c r="F181" s="18">
        <v>1</v>
      </c>
      <c r="G181" s="18" t="s">
        <v>23</v>
      </c>
      <c r="H181" s="17" t="s">
        <v>273</v>
      </c>
      <c r="I181" s="29">
        <v>45914</v>
      </c>
      <c r="J181" s="29">
        <v>45916</v>
      </c>
      <c r="K181" s="33">
        <v>45908</v>
      </c>
      <c r="L181" s="33">
        <v>45913</v>
      </c>
      <c r="M181" s="18">
        <v>1</v>
      </c>
    </row>
    <row r="182" spans="1:28" x14ac:dyDescent="0.2">
      <c r="A182" s="64"/>
      <c r="B182" s="64"/>
      <c r="C182" s="64"/>
      <c r="D182" s="17" t="s">
        <v>274</v>
      </c>
      <c r="E182" s="2" t="s">
        <v>91</v>
      </c>
      <c r="F182" s="18">
        <v>1</v>
      </c>
      <c r="G182" s="18" t="s">
        <v>23</v>
      </c>
      <c r="H182" s="17" t="s">
        <v>275</v>
      </c>
      <c r="I182" s="29">
        <v>45914</v>
      </c>
      <c r="J182" s="29">
        <v>45916</v>
      </c>
      <c r="K182" s="33">
        <v>45908</v>
      </c>
      <c r="L182" s="33">
        <v>45913</v>
      </c>
      <c r="M182" s="18">
        <v>1</v>
      </c>
    </row>
    <row r="183" spans="1:28" x14ac:dyDescent="0.2">
      <c r="A183" s="64"/>
      <c r="B183" s="64"/>
      <c r="C183" s="64"/>
      <c r="D183" s="17" t="s">
        <v>276</v>
      </c>
      <c r="E183" s="2" t="s">
        <v>91</v>
      </c>
      <c r="F183" s="18">
        <v>1</v>
      </c>
      <c r="G183" s="18" t="s">
        <v>23</v>
      </c>
      <c r="H183" s="17" t="s">
        <v>277</v>
      </c>
      <c r="I183" s="29">
        <v>45914</v>
      </c>
      <c r="J183" s="29">
        <v>45916</v>
      </c>
      <c r="K183" s="33">
        <v>45908</v>
      </c>
      <c r="L183" s="33">
        <v>45913</v>
      </c>
      <c r="M183" s="18">
        <v>1</v>
      </c>
    </row>
    <row r="184" spans="1:28" x14ac:dyDescent="0.2">
      <c r="A184" s="64"/>
      <c r="B184" s="64"/>
      <c r="C184" s="64"/>
      <c r="D184" s="17" t="s">
        <v>278</v>
      </c>
      <c r="E184" s="2" t="s">
        <v>91</v>
      </c>
      <c r="F184" s="18">
        <v>1</v>
      </c>
      <c r="G184" s="18" t="s">
        <v>23</v>
      </c>
      <c r="H184" s="17" t="s">
        <v>279</v>
      </c>
      <c r="I184" s="29">
        <v>45914</v>
      </c>
      <c r="J184" s="29">
        <v>45916</v>
      </c>
      <c r="K184" s="33">
        <v>45908</v>
      </c>
      <c r="L184" s="33">
        <v>45913</v>
      </c>
      <c r="M184" s="18">
        <v>1</v>
      </c>
    </row>
    <row r="185" spans="1:28" x14ac:dyDescent="0.2">
      <c r="A185" s="65"/>
      <c r="B185" s="65"/>
      <c r="C185" s="65"/>
      <c r="D185" s="17" t="s">
        <v>280</v>
      </c>
      <c r="E185" s="2" t="s">
        <v>91</v>
      </c>
      <c r="F185" s="18">
        <v>1</v>
      </c>
      <c r="G185" s="18" t="s">
        <v>23</v>
      </c>
      <c r="H185" s="17" t="s">
        <v>281</v>
      </c>
      <c r="I185" s="29">
        <v>45914</v>
      </c>
      <c r="J185" s="29">
        <v>45916</v>
      </c>
      <c r="K185" s="33">
        <v>45908</v>
      </c>
      <c r="L185" s="33">
        <v>45913</v>
      </c>
      <c r="M185" s="18">
        <v>1</v>
      </c>
    </row>
    <row r="186" spans="1:28" x14ac:dyDescent="0.2">
      <c r="A186" s="66">
        <v>2</v>
      </c>
      <c r="B186" s="66">
        <v>3</v>
      </c>
      <c r="C186" s="67" t="s">
        <v>282</v>
      </c>
      <c r="D186" s="17" t="s">
        <v>283</v>
      </c>
      <c r="E186" s="2" t="s">
        <v>22</v>
      </c>
      <c r="F186" s="18">
        <v>2</v>
      </c>
      <c r="G186" s="18" t="s">
        <v>23</v>
      </c>
      <c r="H186" s="17" t="s">
        <v>284</v>
      </c>
      <c r="I186" s="42">
        <v>45901</v>
      </c>
      <c r="J186" s="29">
        <v>45906</v>
      </c>
      <c r="K186" s="33">
        <v>45904</v>
      </c>
      <c r="L186" s="33">
        <v>45907</v>
      </c>
      <c r="M186" s="18">
        <v>2</v>
      </c>
    </row>
    <row r="187" spans="1:28" x14ac:dyDescent="0.2">
      <c r="A187" s="64"/>
      <c r="B187" s="64"/>
      <c r="C187" s="64"/>
      <c r="D187" s="17" t="s">
        <v>285</v>
      </c>
      <c r="E187" s="2" t="s">
        <v>22</v>
      </c>
      <c r="F187" s="18">
        <v>1</v>
      </c>
      <c r="G187" s="18" t="s">
        <v>23</v>
      </c>
      <c r="H187" s="17" t="s">
        <v>286</v>
      </c>
      <c r="I187" s="42">
        <v>45901</v>
      </c>
      <c r="J187" s="29">
        <v>45906</v>
      </c>
      <c r="K187" s="33">
        <v>45904</v>
      </c>
      <c r="L187" s="33">
        <v>45907</v>
      </c>
      <c r="M187" s="18">
        <v>2</v>
      </c>
    </row>
    <row r="188" spans="1:28" x14ac:dyDescent="0.2">
      <c r="A188" s="64"/>
      <c r="B188" s="64"/>
      <c r="C188" s="64"/>
      <c r="D188" s="17" t="s">
        <v>287</v>
      </c>
      <c r="E188" s="2" t="s">
        <v>22</v>
      </c>
      <c r="F188" s="18">
        <v>1</v>
      </c>
      <c r="G188" s="18" t="s">
        <v>23</v>
      </c>
      <c r="H188" s="17" t="s">
        <v>279</v>
      </c>
      <c r="I188" s="42">
        <v>45901</v>
      </c>
      <c r="J188" s="29">
        <v>45906</v>
      </c>
      <c r="K188" s="33">
        <v>45904</v>
      </c>
      <c r="L188" s="33">
        <v>45907</v>
      </c>
      <c r="M188" s="18">
        <v>1</v>
      </c>
    </row>
    <row r="189" spans="1:28" x14ac:dyDescent="0.2">
      <c r="A189" s="65"/>
      <c r="B189" s="65"/>
      <c r="C189" s="65"/>
      <c r="D189" s="17" t="s">
        <v>288</v>
      </c>
      <c r="E189" s="2" t="s">
        <v>22</v>
      </c>
      <c r="F189" s="18">
        <v>1</v>
      </c>
      <c r="G189" s="18" t="s">
        <v>23</v>
      </c>
      <c r="H189" s="17" t="s">
        <v>289</v>
      </c>
      <c r="I189" s="42">
        <v>45901</v>
      </c>
      <c r="J189" s="29">
        <v>45906</v>
      </c>
      <c r="K189" s="33">
        <v>45904</v>
      </c>
      <c r="L189" s="33">
        <v>45907</v>
      </c>
      <c r="M189" s="18">
        <v>2</v>
      </c>
    </row>
    <row r="190" spans="1:28" x14ac:dyDescent="0.2">
      <c r="A190" s="66">
        <v>2</v>
      </c>
      <c r="B190" s="66">
        <v>3</v>
      </c>
      <c r="C190" s="67" t="s">
        <v>290</v>
      </c>
      <c r="D190" s="17" t="s">
        <v>291</v>
      </c>
      <c r="E190" s="2" t="s">
        <v>22</v>
      </c>
      <c r="F190" s="18">
        <v>1</v>
      </c>
      <c r="G190" s="18" t="s">
        <v>23</v>
      </c>
      <c r="H190" s="17" t="s">
        <v>292</v>
      </c>
      <c r="I190" s="29">
        <v>45907</v>
      </c>
      <c r="J190" s="29">
        <v>45910</v>
      </c>
      <c r="K190" s="33">
        <v>45911</v>
      </c>
      <c r="L190" s="33">
        <v>45914</v>
      </c>
      <c r="M190" s="18">
        <v>2</v>
      </c>
    </row>
    <row r="191" spans="1:28" x14ac:dyDescent="0.2">
      <c r="A191" s="64"/>
      <c r="B191" s="64"/>
      <c r="C191" s="64"/>
      <c r="D191" s="17" t="s">
        <v>293</v>
      </c>
      <c r="E191" s="2" t="s">
        <v>22</v>
      </c>
      <c r="F191" s="18">
        <v>1</v>
      </c>
      <c r="G191" s="18" t="s">
        <v>23</v>
      </c>
      <c r="H191" s="17" t="s">
        <v>294</v>
      </c>
      <c r="I191" s="29">
        <v>45907</v>
      </c>
      <c r="J191" s="29">
        <v>45910</v>
      </c>
      <c r="K191" s="33">
        <v>45911</v>
      </c>
      <c r="L191" s="33">
        <v>45914</v>
      </c>
      <c r="M191" s="18">
        <v>2</v>
      </c>
    </row>
    <row r="192" spans="1:28" x14ac:dyDescent="0.2">
      <c r="A192" s="65"/>
      <c r="B192" s="65"/>
      <c r="C192" s="65"/>
      <c r="D192" s="17" t="s">
        <v>295</v>
      </c>
      <c r="E192" s="2" t="s">
        <v>22</v>
      </c>
      <c r="F192" s="18">
        <v>1</v>
      </c>
      <c r="G192" s="18" t="s">
        <v>23</v>
      </c>
      <c r="H192" s="17" t="s">
        <v>296</v>
      </c>
      <c r="I192" s="29">
        <v>45907</v>
      </c>
      <c r="J192" s="29">
        <v>45910</v>
      </c>
      <c r="K192" s="33">
        <v>45911</v>
      </c>
      <c r="L192" s="33">
        <v>45914</v>
      </c>
      <c r="M192" s="18">
        <v>1</v>
      </c>
    </row>
    <row r="193" spans="1:13" x14ac:dyDescent="0.2">
      <c r="A193" s="66">
        <v>2</v>
      </c>
      <c r="B193" s="66">
        <v>3</v>
      </c>
      <c r="C193" s="67" t="s">
        <v>297</v>
      </c>
      <c r="D193" s="17" t="s">
        <v>298</v>
      </c>
      <c r="E193" s="2" t="s">
        <v>22</v>
      </c>
      <c r="F193" s="18">
        <v>1</v>
      </c>
      <c r="G193" s="18" t="s">
        <v>23</v>
      </c>
      <c r="H193" s="17" t="s">
        <v>299</v>
      </c>
      <c r="I193" s="29">
        <v>45911</v>
      </c>
      <c r="J193" s="29">
        <v>45916</v>
      </c>
      <c r="K193" s="33">
        <v>45914</v>
      </c>
      <c r="L193" s="33">
        <v>45915</v>
      </c>
      <c r="M193" s="18">
        <v>3</v>
      </c>
    </row>
    <row r="194" spans="1:13" x14ac:dyDescent="0.2">
      <c r="A194" s="64"/>
      <c r="B194" s="64"/>
      <c r="C194" s="64"/>
      <c r="D194" s="17" t="s">
        <v>300</v>
      </c>
      <c r="E194" s="2" t="s">
        <v>22</v>
      </c>
      <c r="F194" s="18">
        <v>1</v>
      </c>
      <c r="G194" s="18" t="s">
        <v>23</v>
      </c>
      <c r="H194" s="17" t="s">
        <v>301</v>
      </c>
      <c r="I194" s="29">
        <v>45911</v>
      </c>
      <c r="J194" s="29">
        <v>45916</v>
      </c>
      <c r="K194" s="33">
        <v>45914</v>
      </c>
      <c r="L194" s="33">
        <v>45915</v>
      </c>
      <c r="M194" s="18">
        <v>1</v>
      </c>
    </row>
    <row r="195" spans="1:13" x14ac:dyDescent="0.2">
      <c r="A195" s="64"/>
      <c r="B195" s="64"/>
      <c r="C195" s="64"/>
      <c r="D195" s="17" t="s">
        <v>302</v>
      </c>
      <c r="E195" s="2" t="s">
        <v>22</v>
      </c>
      <c r="F195" s="18">
        <v>1</v>
      </c>
      <c r="G195" s="18" t="s">
        <v>23</v>
      </c>
      <c r="H195" s="17" t="s">
        <v>303</v>
      </c>
      <c r="I195" s="29">
        <v>45911</v>
      </c>
      <c r="J195" s="29">
        <v>45916</v>
      </c>
      <c r="K195" s="33">
        <v>45914</v>
      </c>
      <c r="L195" s="33">
        <v>45915</v>
      </c>
      <c r="M195" s="18">
        <v>2</v>
      </c>
    </row>
    <row r="196" spans="1:13" x14ac:dyDescent="0.2">
      <c r="A196" s="65"/>
      <c r="B196" s="65"/>
      <c r="C196" s="65"/>
      <c r="D196" s="17" t="s">
        <v>304</v>
      </c>
      <c r="E196" s="2" t="s">
        <v>22</v>
      </c>
      <c r="F196" s="18">
        <v>1</v>
      </c>
      <c r="G196" s="18" t="s">
        <v>23</v>
      </c>
      <c r="H196" s="17" t="s">
        <v>279</v>
      </c>
      <c r="I196" s="19">
        <v>45911</v>
      </c>
      <c r="J196" s="29">
        <v>45916</v>
      </c>
      <c r="K196" s="33">
        <v>45914</v>
      </c>
      <c r="L196" s="33">
        <v>45915</v>
      </c>
      <c r="M196" s="18">
        <v>1</v>
      </c>
    </row>
    <row r="197" spans="1:13" x14ac:dyDescent="0.2">
      <c r="A197" s="66">
        <v>2</v>
      </c>
      <c r="B197" s="66">
        <v>3</v>
      </c>
      <c r="C197" s="67" t="s">
        <v>305</v>
      </c>
      <c r="D197" s="17" t="s">
        <v>306</v>
      </c>
      <c r="E197" s="2" t="s">
        <v>77</v>
      </c>
      <c r="F197" s="18">
        <v>4</v>
      </c>
      <c r="G197" s="18" t="s">
        <v>23</v>
      </c>
      <c r="H197" s="17" t="s">
        <v>307</v>
      </c>
      <c r="I197" s="38">
        <v>45901</v>
      </c>
      <c r="J197" s="29">
        <v>45905</v>
      </c>
      <c r="K197" s="29">
        <v>45903</v>
      </c>
      <c r="L197" s="29">
        <v>45905</v>
      </c>
      <c r="M197" s="18">
        <v>3</v>
      </c>
    </row>
    <row r="198" spans="1:13" x14ac:dyDescent="0.2">
      <c r="A198" s="65"/>
      <c r="B198" s="65"/>
      <c r="C198" s="65"/>
      <c r="D198" s="17" t="s">
        <v>308</v>
      </c>
      <c r="E198" s="2" t="s">
        <v>77</v>
      </c>
      <c r="F198" s="18">
        <v>2</v>
      </c>
      <c r="G198" s="18" t="s">
        <v>23</v>
      </c>
      <c r="H198" s="17" t="s">
        <v>309</v>
      </c>
      <c r="I198" s="42">
        <v>45901</v>
      </c>
      <c r="J198" s="29">
        <v>45905</v>
      </c>
      <c r="K198" s="29">
        <v>45903</v>
      </c>
      <c r="L198" s="29">
        <v>45905</v>
      </c>
      <c r="M198" s="18">
        <v>2</v>
      </c>
    </row>
    <row r="199" spans="1:13" x14ac:dyDescent="0.2">
      <c r="A199" s="66">
        <v>2</v>
      </c>
      <c r="B199" s="66">
        <v>3</v>
      </c>
      <c r="C199" s="67" t="s">
        <v>310</v>
      </c>
      <c r="D199" s="17" t="s">
        <v>311</v>
      </c>
      <c r="E199" s="2" t="s">
        <v>77</v>
      </c>
      <c r="F199" s="18">
        <v>1</v>
      </c>
      <c r="G199" s="18" t="s">
        <v>23</v>
      </c>
      <c r="H199" s="17" t="s">
        <v>312</v>
      </c>
      <c r="I199" s="29">
        <v>45906</v>
      </c>
      <c r="J199" s="29">
        <v>45909</v>
      </c>
      <c r="K199" s="29">
        <v>45906</v>
      </c>
      <c r="L199" s="29">
        <v>45907</v>
      </c>
      <c r="M199" s="18">
        <v>1</v>
      </c>
    </row>
    <row r="200" spans="1:13" x14ac:dyDescent="0.2">
      <c r="A200" s="64"/>
      <c r="B200" s="64"/>
      <c r="C200" s="64"/>
      <c r="D200" s="17" t="s">
        <v>313</v>
      </c>
      <c r="E200" s="2" t="s">
        <v>77</v>
      </c>
      <c r="F200" s="18">
        <v>2</v>
      </c>
      <c r="G200" s="18" t="s">
        <v>23</v>
      </c>
      <c r="H200" s="17" t="s">
        <v>314</v>
      </c>
      <c r="I200" s="29">
        <v>45906</v>
      </c>
      <c r="J200" s="29">
        <v>45909</v>
      </c>
      <c r="K200" s="29">
        <v>45906</v>
      </c>
      <c r="L200" s="29">
        <v>45907</v>
      </c>
      <c r="M200" s="18">
        <v>1</v>
      </c>
    </row>
    <row r="201" spans="1:13" x14ac:dyDescent="0.2">
      <c r="A201" s="65"/>
      <c r="B201" s="65"/>
      <c r="C201" s="65"/>
      <c r="D201" s="17" t="s">
        <v>315</v>
      </c>
      <c r="E201" s="2" t="s">
        <v>77</v>
      </c>
      <c r="F201" s="18">
        <v>1</v>
      </c>
      <c r="G201" s="18" t="s">
        <v>23</v>
      </c>
      <c r="H201" s="17" t="s">
        <v>316</v>
      </c>
      <c r="I201" s="29">
        <v>45906</v>
      </c>
      <c r="J201" s="29">
        <v>45909</v>
      </c>
      <c r="K201" s="29">
        <v>45906</v>
      </c>
      <c r="L201" s="29">
        <v>45907</v>
      </c>
      <c r="M201" s="18">
        <v>1</v>
      </c>
    </row>
    <row r="202" spans="1:13" x14ac:dyDescent="0.2">
      <c r="A202" s="66">
        <v>2</v>
      </c>
      <c r="B202" s="66">
        <v>3</v>
      </c>
      <c r="C202" s="67" t="s">
        <v>317</v>
      </c>
      <c r="D202" s="17" t="s">
        <v>318</v>
      </c>
      <c r="E202" s="2" t="s">
        <v>77</v>
      </c>
      <c r="F202" s="18">
        <v>1</v>
      </c>
      <c r="G202" s="18" t="s">
        <v>23</v>
      </c>
      <c r="H202" s="17" t="s">
        <v>319</v>
      </c>
      <c r="I202" s="29">
        <v>45910</v>
      </c>
      <c r="J202" s="29">
        <v>45912</v>
      </c>
      <c r="K202" s="29">
        <v>45908</v>
      </c>
      <c r="L202" s="29">
        <v>45911</v>
      </c>
      <c r="M202" s="18">
        <v>1</v>
      </c>
    </row>
    <row r="203" spans="1:13" x14ac:dyDescent="0.2">
      <c r="A203" s="64"/>
      <c r="B203" s="64"/>
      <c r="C203" s="64"/>
      <c r="D203" s="17" t="s">
        <v>320</v>
      </c>
      <c r="E203" s="2" t="s">
        <v>77</v>
      </c>
      <c r="F203" s="18">
        <v>2</v>
      </c>
      <c r="G203" s="18" t="s">
        <v>23</v>
      </c>
      <c r="H203" s="17" t="s">
        <v>321</v>
      </c>
      <c r="I203" s="29">
        <v>45910</v>
      </c>
      <c r="J203" s="29">
        <v>45912</v>
      </c>
      <c r="K203" s="29">
        <v>45908</v>
      </c>
      <c r="L203" s="29">
        <v>45911</v>
      </c>
      <c r="M203" s="18">
        <v>1</v>
      </c>
    </row>
    <row r="204" spans="1:13" x14ac:dyDescent="0.2">
      <c r="A204" s="65"/>
      <c r="B204" s="65"/>
      <c r="C204" s="65"/>
      <c r="D204" s="17" t="s">
        <v>322</v>
      </c>
      <c r="E204" s="2" t="s">
        <v>77</v>
      </c>
      <c r="F204" s="18">
        <v>1</v>
      </c>
      <c r="G204" s="18" t="s">
        <v>23</v>
      </c>
      <c r="H204" s="17" t="s">
        <v>323</v>
      </c>
      <c r="I204" s="29">
        <v>45910</v>
      </c>
      <c r="J204" s="29">
        <v>45912</v>
      </c>
      <c r="K204" s="29">
        <v>45908</v>
      </c>
      <c r="L204" s="29">
        <v>45911</v>
      </c>
      <c r="M204" s="18">
        <v>1</v>
      </c>
    </row>
    <row r="205" spans="1:13" x14ac:dyDescent="0.2">
      <c r="A205" s="66">
        <v>2</v>
      </c>
      <c r="B205" s="66">
        <v>3</v>
      </c>
      <c r="C205" s="67" t="s">
        <v>324</v>
      </c>
      <c r="D205" s="17" t="s">
        <v>76</v>
      </c>
      <c r="E205" s="2" t="s">
        <v>77</v>
      </c>
      <c r="F205" s="18">
        <v>1</v>
      </c>
      <c r="G205" s="18" t="s">
        <v>23</v>
      </c>
      <c r="H205" s="17" t="s">
        <v>78</v>
      </c>
      <c r="I205" s="29">
        <v>45913</v>
      </c>
      <c r="J205" s="29">
        <v>45916</v>
      </c>
      <c r="K205" s="29">
        <v>45912</v>
      </c>
      <c r="L205" s="29">
        <v>45913</v>
      </c>
      <c r="M205" s="18">
        <v>1</v>
      </c>
    </row>
    <row r="206" spans="1:13" x14ac:dyDescent="0.2">
      <c r="A206" s="64"/>
      <c r="B206" s="64"/>
      <c r="C206" s="64"/>
      <c r="D206" s="17" t="s">
        <v>79</v>
      </c>
      <c r="E206" s="2" t="s">
        <v>77</v>
      </c>
      <c r="F206" s="18">
        <v>1</v>
      </c>
      <c r="G206" s="18" t="s">
        <v>23</v>
      </c>
      <c r="H206" s="17" t="s">
        <v>80</v>
      </c>
      <c r="I206" s="29">
        <v>45913</v>
      </c>
      <c r="J206" s="29">
        <v>45916</v>
      </c>
      <c r="K206" s="29">
        <v>45912</v>
      </c>
      <c r="L206" s="29">
        <v>45913</v>
      </c>
      <c r="M206" s="18">
        <v>1</v>
      </c>
    </row>
    <row r="207" spans="1:13" x14ac:dyDescent="0.2">
      <c r="A207" s="64"/>
      <c r="B207" s="64"/>
      <c r="C207" s="64"/>
      <c r="D207" s="17" t="s">
        <v>81</v>
      </c>
      <c r="E207" s="2" t="s">
        <v>77</v>
      </c>
      <c r="F207" s="18">
        <v>1</v>
      </c>
      <c r="G207" s="18" t="s">
        <v>23</v>
      </c>
      <c r="H207" s="17" t="s">
        <v>82</v>
      </c>
      <c r="I207" s="29">
        <v>45913</v>
      </c>
      <c r="J207" s="29">
        <v>45916</v>
      </c>
      <c r="K207" s="29">
        <v>45912</v>
      </c>
      <c r="L207" s="29">
        <v>45913</v>
      </c>
      <c r="M207" s="18">
        <v>1</v>
      </c>
    </row>
    <row r="208" spans="1:13" x14ac:dyDescent="0.2">
      <c r="A208" s="64"/>
      <c r="B208" s="64"/>
      <c r="C208" s="64"/>
      <c r="D208" s="17" t="s">
        <v>83</v>
      </c>
      <c r="E208" s="2" t="s">
        <v>77</v>
      </c>
      <c r="F208" s="18">
        <v>1</v>
      </c>
      <c r="G208" s="18" t="s">
        <v>23</v>
      </c>
      <c r="H208" s="17" t="s">
        <v>84</v>
      </c>
      <c r="I208" s="29">
        <v>45913</v>
      </c>
      <c r="J208" s="29">
        <v>45916</v>
      </c>
      <c r="K208" s="29">
        <v>45912</v>
      </c>
      <c r="L208" s="29">
        <v>45913</v>
      </c>
      <c r="M208" s="18">
        <v>1</v>
      </c>
    </row>
    <row r="209" spans="1:13" x14ac:dyDescent="0.2">
      <c r="A209" s="65"/>
      <c r="B209" s="65"/>
      <c r="C209" s="65"/>
      <c r="D209" s="17" t="s">
        <v>325</v>
      </c>
      <c r="E209" s="2" t="s">
        <v>77</v>
      </c>
      <c r="F209" s="18">
        <v>1</v>
      </c>
      <c r="G209" s="18" t="s">
        <v>23</v>
      </c>
      <c r="H209" s="17" t="s">
        <v>326</v>
      </c>
      <c r="I209" s="29">
        <v>45913</v>
      </c>
      <c r="J209" s="29">
        <v>45916</v>
      </c>
      <c r="K209" s="29">
        <v>45912</v>
      </c>
      <c r="L209" s="29">
        <v>45913</v>
      </c>
      <c r="M209" s="18">
        <v>1</v>
      </c>
    </row>
    <row r="210" spans="1:13" x14ac:dyDescent="0.2">
      <c r="A210" s="66">
        <v>2</v>
      </c>
      <c r="B210" s="66">
        <v>3</v>
      </c>
      <c r="C210" s="67" t="s">
        <v>327</v>
      </c>
      <c r="D210" s="17" t="s">
        <v>328</v>
      </c>
      <c r="E210" s="2" t="s">
        <v>91</v>
      </c>
      <c r="F210" s="18">
        <v>1</v>
      </c>
      <c r="G210" s="18" t="s">
        <v>23</v>
      </c>
      <c r="H210" s="17" t="s">
        <v>329</v>
      </c>
      <c r="I210" s="29">
        <v>45901</v>
      </c>
      <c r="J210" s="29">
        <v>45904</v>
      </c>
      <c r="K210" s="29">
        <v>45901</v>
      </c>
      <c r="L210" s="29">
        <v>45902</v>
      </c>
      <c r="M210" s="18">
        <v>0.5</v>
      </c>
    </row>
    <row r="211" spans="1:13" x14ac:dyDescent="0.2">
      <c r="A211" s="64"/>
      <c r="B211" s="64"/>
      <c r="C211" s="64"/>
      <c r="D211" s="17" t="s">
        <v>330</v>
      </c>
      <c r="E211" s="2" t="s">
        <v>91</v>
      </c>
      <c r="F211" s="18">
        <v>1</v>
      </c>
      <c r="G211" s="18" t="s">
        <v>23</v>
      </c>
      <c r="H211" s="17" t="s">
        <v>331</v>
      </c>
      <c r="I211" s="29">
        <v>45901</v>
      </c>
      <c r="J211" s="29">
        <v>45904</v>
      </c>
      <c r="K211" s="29">
        <v>45901</v>
      </c>
      <c r="L211" s="29">
        <v>45902</v>
      </c>
      <c r="M211" s="18">
        <v>0.5</v>
      </c>
    </row>
    <row r="212" spans="1:13" x14ac:dyDescent="0.2">
      <c r="A212" s="65"/>
      <c r="B212" s="65"/>
      <c r="C212" s="65"/>
      <c r="D212" s="17" t="s">
        <v>332</v>
      </c>
      <c r="E212" s="2" t="s">
        <v>91</v>
      </c>
      <c r="F212" s="18">
        <v>1</v>
      </c>
      <c r="G212" s="18" t="s">
        <v>23</v>
      </c>
      <c r="H212" s="17" t="s">
        <v>333</v>
      </c>
      <c r="I212" s="29">
        <v>45901</v>
      </c>
      <c r="J212" s="29">
        <v>45904</v>
      </c>
      <c r="K212" s="29">
        <v>45901</v>
      </c>
      <c r="L212" s="29">
        <v>45902</v>
      </c>
      <c r="M212" s="18">
        <v>0.5</v>
      </c>
    </row>
    <row r="213" spans="1:13" x14ac:dyDescent="0.2">
      <c r="A213" s="66">
        <v>2</v>
      </c>
      <c r="B213" s="66">
        <v>3</v>
      </c>
      <c r="C213" s="67" t="s">
        <v>334</v>
      </c>
      <c r="D213" s="17" t="s">
        <v>254</v>
      </c>
      <c r="E213" s="2" t="s">
        <v>91</v>
      </c>
      <c r="F213" s="18">
        <v>1</v>
      </c>
      <c r="G213" s="18" t="s">
        <v>23</v>
      </c>
      <c r="H213" s="17" t="s">
        <v>218</v>
      </c>
      <c r="I213" s="29">
        <v>45905</v>
      </c>
      <c r="J213" s="29">
        <v>45908</v>
      </c>
      <c r="K213" s="29">
        <v>45903</v>
      </c>
      <c r="L213" s="29">
        <v>45904</v>
      </c>
      <c r="M213" s="18">
        <v>0.5</v>
      </c>
    </row>
    <row r="214" spans="1:13" x14ac:dyDescent="0.2">
      <c r="A214" s="64"/>
      <c r="B214" s="64"/>
      <c r="C214" s="64"/>
      <c r="D214" s="17" t="s">
        <v>212</v>
      </c>
      <c r="E214" s="2" t="s">
        <v>91</v>
      </c>
      <c r="F214" s="18">
        <v>1</v>
      </c>
      <c r="G214" s="18" t="s">
        <v>23</v>
      </c>
      <c r="H214" s="17" t="s">
        <v>213</v>
      </c>
      <c r="I214" s="29">
        <v>45905</v>
      </c>
      <c r="J214" s="29">
        <v>45908</v>
      </c>
      <c r="K214" s="29">
        <v>45903</v>
      </c>
      <c r="L214" s="29">
        <v>45904</v>
      </c>
      <c r="M214" s="18">
        <v>0.5</v>
      </c>
    </row>
    <row r="215" spans="1:13" x14ac:dyDescent="0.2">
      <c r="A215" s="64"/>
      <c r="B215" s="64"/>
      <c r="C215" s="64"/>
      <c r="D215" s="17" t="s">
        <v>335</v>
      </c>
      <c r="E215" s="2" t="s">
        <v>77</v>
      </c>
      <c r="F215" s="18">
        <v>2</v>
      </c>
      <c r="G215" s="18" t="s">
        <v>23</v>
      </c>
      <c r="H215" s="17" t="s">
        <v>336</v>
      </c>
      <c r="I215" s="29">
        <v>45905</v>
      </c>
      <c r="J215" s="29">
        <v>45908</v>
      </c>
      <c r="K215" s="29">
        <v>45903</v>
      </c>
      <c r="L215" s="29">
        <v>45904</v>
      </c>
      <c r="M215" s="18">
        <v>2</v>
      </c>
    </row>
    <row r="216" spans="1:13" x14ac:dyDescent="0.2">
      <c r="A216" s="65"/>
      <c r="B216" s="65"/>
      <c r="C216" s="65"/>
      <c r="D216" s="17" t="s">
        <v>214</v>
      </c>
      <c r="E216" s="2" t="s">
        <v>91</v>
      </c>
      <c r="F216" s="18">
        <v>1</v>
      </c>
      <c r="G216" s="18" t="s">
        <v>23</v>
      </c>
      <c r="H216" s="17" t="s">
        <v>215</v>
      </c>
      <c r="I216" s="29">
        <v>45905</v>
      </c>
      <c r="J216" s="29">
        <v>45908</v>
      </c>
      <c r="K216" s="29">
        <v>45903</v>
      </c>
      <c r="L216" s="29">
        <v>45904</v>
      </c>
      <c r="M216" s="18">
        <v>0.5</v>
      </c>
    </row>
    <row r="217" spans="1:13" x14ac:dyDescent="0.2">
      <c r="A217" s="66">
        <v>2</v>
      </c>
      <c r="B217" s="66">
        <v>3</v>
      </c>
      <c r="C217" s="67" t="s">
        <v>337</v>
      </c>
      <c r="D217" s="17" t="s">
        <v>258</v>
      </c>
      <c r="E217" s="2" t="s">
        <v>91</v>
      </c>
      <c r="F217" s="18">
        <v>1</v>
      </c>
      <c r="G217" s="18" t="s">
        <v>23</v>
      </c>
      <c r="H217" s="17" t="s">
        <v>259</v>
      </c>
      <c r="I217" s="29">
        <v>45909</v>
      </c>
      <c r="J217" s="29">
        <v>45911</v>
      </c>
      <c r="K217" s="29">
        <v>45906</v>
      </c>
      <c r="L217" s="29">
        <v>45908</v>
      </c>
      <c r="M217" s="18">
        <v>0.5</v>
      </c>
    </row>
    <row r="218" spans="1:13" x14ac:dyDescent="0.2">
      <c r="A218" s="64"/>
      <c r="B218" s="64"/>
      <c r="C218" s="64"/>
      <c r="D218" s="17" t="s">
        <v>260</v>
      </c>
      <c r="E218" s="2" t="s">
        <v>91</v>
      </c>
      <c r="F218" s="18">
        <v>1</v>
      </c>
      <c r="G218" s="18" t="s">
        <v>23</v>
      </c>
      <c r="H218" s="17" t="s">
        <v>261</v>
      </c>
      <c r="I218" s="29">
        <v>45909</v>
      </c>
      <c r="J218" s="29">
        <v>45911</v>
      </c>
      <c r="K218" s="29">
        <v>45906</v>
      </c>
      <c r="L218" s="29">
        <v>45908</v>
      </c>
      <c r="M218" s="18">
        <v>0.5</v>
      </c>
    </row>
    <row r="219" spans="1:13" x14ac:dyDescent="0.2">
      <c r="A219" s="65"/>
      <c r="B219" s="65"/>
      <c r="C219" s="65"/>
      <c r="D219" s="17" t="s">
        <v>338</v>
      </c>
      <c r="E219" s="2" t="s">
        <v>91</v>
      </c>
      <c r="F219" s="18">
        <v>2</v>
      </c>
      <c r="G219" s="18" t="s">
        <v>23</v>
      </c>
      <c r="H219" s="17" t="s">
        <v>339</v>
      </c>
      <c r="I219" s="19">
        <v>45909</v>
      </c>
      <c r="J219" s="29">
        <v>45911</v>
      </c>
      <c r="K219" s="29">
        <v>45906</v>
      </c>
      <c r="L219" s="29">
        <v>45908</v>
      </c>
      <c r="M219" s="18">
        <v>0.5</v>
      </c>
    </row>
    <row r="220" spans="1:13" x14ac:dyDescent="0.2">
      <c r="A220" s="66">
        <v>2</v>
      </c>
      <c r="B220" s="66">
        <v>3</v>
      </c>
      <c r="C220" s="67" t="s">
        <v>340</v>
      </c>
      <c r="D220" s="17" t="s">
        <v>341</v>
      </c>
      <c r="E220" s="2" t="s">
        <v>97</v>
      </c>
      <c r="F220" s="18">
        <v>1</v>
      </c>
      <c r="G220" s="18" t="s">
        <v>23</v>
      </c>
      <c r="H220" s="17" t="s">
        <v>342</v>
      </c>
      <c r="I220" s="38">
        <v>45901</v>
      </c>
      <c r="J220" s="29">
        <v>45906</v>
      </c>
      <c r="K220" s="33">
        <v>45902</v>
      </c>
      <c r="L220" s="33">
        <v>45904</v>
      </c>
      <c r="M220" s="18">
        <v>1</v>
      </c>
    </row>
    <row r="221" spans="1:13" x14ac:dyDescent="0.2">
      <c r="A221" s="64"/>
      <c r="B221" s="64"/>
      <c r="C221" s="64"/>
      <c r="D221" s="17" t="s">
        <v>343</v>
      </c>
      <c r="E221" s="2" t="s">
        <v>97</v>
      </c>
      <c r="F221" s="18">
        <v>1</v>
      </c>
      <c r="G221" s="18" t="s">
        <v>23</v>
      </c>
      <c r="H221" s="17" t="s">
        <v>344</v>
      </c>
      <c r="I221" s="38">
        <v>45901</v>
      </c>
      <c r="J221" s="29">
        <v>45906</v>
      </c>
      <c r="K221" s="33">
        <v>45902</v>
      </c>
      <c r="L221" s="33">
        <v>45904</v>
      </c>
      <c r="M221" s="18">
        <v>1</v>
      </c>
    </row>
    <row r="222" spans="1:13" x14ac:dyDescent="0.2">
      <c r="A222" s="64"/>
      <c r="B222" s="64"/>
      <c r="C222" s="64"/>
      <c r="D222" s="17" t="s">
        <v>345</v>
      </c>
      <c r="E222" s="2" t="s">
        <v>97</v>
      </c>
      <c r="F222" s="18">
        <v>1</v>
      </c>
      <c r="G222" s="18" t="s">
        <v>23</v>
      </c>
      <c r="H222" s="17" t="s">
        <v>346</v>
      </c>
      <c r="I222" s="38">
        <v>45901</v>
      </c>
      <c r="J222" s="29">
        <v>45906</v>
      </c>
      <c r="K222" s="33">
        <v>45902</v>
      </c>
      <c r="L222" s="33">
        <v>45904</v>
      </c>
      <c r="M222" s="18">
        <v>1</v>
      </c>
    </row>
    <row r="223" spans="1:13" x14ac:dyDescent="0.2">
      <c r="A223" s="65"/>
      <c r="B223" s="65"/>
      <c r="C223" s="65"/>
      <c r="D223" s="17" t="s">
        <v>347</v>
      </c>
      <c r="E223" s="2" t="s">
        <v>97</v>
      </c>
      <c r="F223" s="18">
        <v>1</v>
      </c>
      <c r="G223" s="18" t="s">
        <v>23</v>
      </c>
      <c r="H223" s="17" t="s">
        <v>348</v>
      </c>
      <c r="I223" s="38">
        <v>45901</v>
      </c>
      <c r="J223" s="29">
        <v>45906</v>
      </c>
      <c r="K223" s="33">
        <v>45902</v>
      </c>
      <c r="L223" s="33">
        <v>45904</v>
      </c>
      <c r="M223" s="18">
        <v>1</v>
      </c>
    </row>
    <row r="224" spans="1:13" x14ac:dyDescent="0.2">
      <c r="A224" s="66">
        <v>2</v>
      </c>
      <c r="B224" s="66">
        <v>3</v>
      </c>
      <c r="C224" s="67" t="s">
        <v>349</v>
      </c>
      <c r="D224" s="17" t="s">
        <v>350</v>
      </c>
      <c r="E224" s="2" t="s">
        <v>97</v>
      </c>
      <c r="F224" s="18">
        <v>2</v>
      </c>
      <c r="G224" s="18" t="s">
        <v>23</v>
      </c>
      <c r="H224" s="17" t="s">
        <v>351</v>
      </c>
      <c r="I224" s="29">
        <v>45907</v>
      </c>
      <c r="J224" s="29">
        <v>45910</v>
      </c>
      <c r="K224" s="33">
        <v>45905</v>
      </c>
      <c r="L224" s="33">
        <v>45908</v>
      </c>
      <c r="M224" s="18">
        <v>2</v>
      </c>
    </row>
    <row r="225" spans="1:28" x14ac:dyDescent="0.2">
      <c r="A225" s="64"/>
      <c r="B225" s="64"/>
      <c r="C225" s="64"/>
      <c r="D225" s="17" t="s">
        <v>352</v>
      </c>
      <c r="E225" s="2" t="s">
        <v>97</v>
      </c>
      <c r="F225" s="18">
        <v>1</v>
      </c>
      <c r="G225" s="18" t="s">
        <v>23</v>
      </c>
      <c r="H225" s="17" t="s">
        <v>353</v>
      </c>
      <c r="I225" s="29">
        <v>45907</v>
      </c>
      <c r="J225" s="29">
        <v>45910</v>
      </c>
      <c r="K225" s="33">
        <v>45905</v>
      </c>
      <c r="L225" s="33">
        <v>45908</v>
      </c>
      <c r="M225" s="18">
        <v>0.5</v>
      </c>
    </row>
    <row r="226" spans="1:28" x14ac:dyDescent="0.2">
      <c r="A226" s="65"/>
      <c r="B226" s="65"/>
      <c r="C226" s="65"/>
      <c r="D226" s="17" t="s">
        <v>354</v>
      </c>
      <c r="E226" s="2" t="s">
        <v>97</v>
      </c>
      <c r="F226" s="18">
        <v>1</v>
      </c>
      <c r="G226" s="18" t="s">
        <v>23</v>
      </c>
      <c r="H226" s="17" t="s">
        <v>355</v>
      </c>
      <c r="I226" s="29">
        <v>45907</v>
      </c>
      <c r="J226" s="29">
        <v>45910</v>
      </c>
      <c r="K226" s="33">
        <v>45905</v>
      </c>
      <c r="L226" s="33">
        <v>45908</v>
      </c>
      <c r="M226" s="18">
        <v>1</v>
      </c>
    </row>
    <row r="227" spans="1:28" x14ac:dyDescent="0.2">
      <c r="A227" s="66">
        <v>2</v>
      </c>
      <c r="B227" s="66">
        <v>3</v>
      </c>
      <c r="C227" s="67" t="s">
        <v>356</v>
      </c>
      <c r="D227" s="17" t="s">
        <v>79</v>
      </c>
      <c r="E227" s="2" t="s">
        <v>97</v>
      </c>
      <c r="F227" s="18">
        <v>1</v>
      </c>
      <c r="G227" s="18" t="s">
        <v>23</v>
      </c>
      <c r="H227" s="17" t="s">
        <v>80</v>
      </c>
      <c r="I227" s="29">
        <v>45911</v>
      </c>
      <c r="J227" s="29">
        <v>45916</v>
      </c>
      <c r="K227" s="33">
        <v>45910</v>
      </c>
      <c r="L227" s="33">
        <v>45913</v>
      </c>
      <c r="M227" s="18">
        <v>1</v>
      </c>
    </row>
    <row r="228" spans="1:28" x14ac:dyDescent="0.2">
      <c r="A228" s="64"/>
      <c r="B228" s="64"/>
      <c r="C228" s="64"/>
      <c r="D228" s="17" t="s">
        <v>81</v>
      </c>
      <c r="E228" s="2" t="s">
        <v>97</v>
      </c>
      <c r="F228" s="18">
        <v>1</v>
      </c>
      <c r="G228" s="18" t="s">
        <v>23</v>
      </c>
      <c r="H228" s="17" t="s">
        <v>82</v>
      </c>
      <c r="I228" s="29">
        <v>45911</v>
      </c>
      <c r="J228" s="29">
        <v>45916</v>
      </c>
      <c r="K228" s="33">
        <v>45910</v>
      </c>
      <c r="L228" s="33">
        <v>45913</v>
      </c>
      <c r="M228" s="18">
        <v>1</v>
      </c>
    </row>
    <row r="229" spans="1:28" x14ac:dyDescent="0.2">
      <c r="A229" s="64"/>
      <c r="B229" s="64"/>
      <c r="C229" s="64"/>
      <c r="D229" s="17" t="s">
        <v>357</v>
      </c>
      <c r="E229" s="2" t="s">
        <v>97</v>
      </c>
      <c r="F229" s="18">
        <v>1</v>
      </c>
      <c r="G229" s="18" t="s">
        <v>23</v>
      </c>
      <c r="H229" s="17" t="s">
        <v>358</v>
      </c>
      <c r="I229" s="19">
        <v>45911</v>
      </c>
      <c r="J229" s="29">
        <v>45916</v>
      </c>
      <c r="K229" s="33">
        <v>45910</v>
      </c>
      <c r="L229" s="33">
        <v>45913</v>
      </c>
      <c r="M229" s="18">
        <v>0.5</v>
      </c>
    </row>
    <row r="230" spans="1:28" x14ac:dyDescent="0.2">
      <c r="A230" s="65"/>
      <c r="B230" s="65"/>
      <c r="C230" s="65"/>
      <c r="D230" s="17" t="s">
        <v>359</v>
      </c>
      <c r="E230" s="2" t="s">
        <v>97</v>
      </c>
      <c r="F230" s="18">
        <v>1</v>
      </c>
      <c r="G230" s="18" t="s">
        <v>23</v>
      </c>
      <c r="H230" s="17" t="s">
        <v>360</v>
      </c>
      <c r="I230" s="19">
        <v>45911</v>
      </c>
      <c r="J230" s="29">
        <v>45916</v>
      </c>
      <c r="K230" s="33">
        <v>45910</v>
      </c>
      <c r="L230" s="33">
        <v>45913</v>
      </c>
      <c r="M230" s="18">
        <v>1</v>
      </c>
    </row>
    <row r="231" spans="1:28" x14ac:dyDescent="0.2">
      <c r="A231" s="66">
        <v>2</v>
      </c>
      <c r="B231" s="66">
        <v>3</v>
      </c>
      <c r="C231" s="67" t="s">
        <v>361</v>
      </c>
      <c r="D231" s="17" t="s">
        <v>362</v>
      </c>
      <c r="E231" s="2" t="s">
        <v>53</v>
      </c>
      <c r="F231" s="18">
        <v>1</v>
      </c>
      <c r="G231" s="18" t="s">
        <v>23</v>
      </c>
      <c r="H231" s="17" t="s">
        <v>363</v>
      </c>
      <c r="I231" s="38">
        <v>45901</v>
      </c>
      <c r="J231" s="29">
        <v>45908</v>
      </c>
      <c r="K231" s="29">
        <v>45911</v>
      </c>
      <c r="L231" s="29">
        <v>45913</v>
      </c>
      <c r="M231" s="18">
        <v>2</v>
      </c>
    </row>
    <row r="232" spans="1:28" x14ac:dyDescent="0.2">
      <c r="A232" s="64"/>
      <c r="B232" s="64"/>
      <c r="C232" s="64"/>
      <c r="D232" s="17" t="s">
        <v>364</v>
      </c>
      <c r="E232" s="2" t="s">
        <v>53</v>
      </c>
      <c r="F232" s="18">
        <v>1</v>
      </c>
      <c r="G232" s="18" t="s">
        <v>23</v>
      </c>
      <c r="H232" s="17" t="s">
        <v>365</v>
      </c>
      <c r="I232" s="38">
        <v>45901</v>
      </c>
      <c r="J232" s="29">
        <v>45908</v>
      </c>
      <c r="K232" s="29">
        <v>45911</v>
      </c>
      <c r="L232" s="29">
        <v>45913</v>
      </c>
      <c r="M232" s="18">
        <v>2</v>
      </c>
    </row>
    <row r="233" spans="1:28" x14ac:dyDescent="0.2">
      <c r="A233" s="64"/>
      <c r="B233" s="64"/>
      <c r="C233" s="64"/>
      <c r="D233" s="17" t="s">
        <v>366</v>
      </c>
      <c r="E233" s="2" t="s">
        <v>53</v>
      </c>
      <c r="F233" s="18">
        <v>1</v>
      </c>
      <c r="G233" s="18" t="s">
        <v>23</v>
      </c>
      <c r="H233" s="17" t="s">
        <v>367</v>
      </c>
      <c r="I233" s="38">
        <v>45901</v>
      </c>
      <c r="J233" s="29">
        <v>45908</v>
      </c>
      <c r="K233" s="29">
        <v>45911</v>
      </c>
      <c r="L233" s="29">
        <v>45913</v>
      </c>
      <c r="M233" s="18">
        <v>1</v>
      </c>
    </row>
    <row r="234" spans="1:28" x14ac:dyDescent="0.2">
      <c r="A234" s="65"/>
      <c r="B234" s="65"/>
      <c r="C234" s="65"/>
      <c r="D234" s="17" t="s">
        <v>368</v>
      </c>
      <c r="E234" s="2" t="s">
        <v>53</v>
      </c>
      <c r="F234" s="18">
        <v>1</v>
      </c>
      <c r="G234" s="18" t="s">
        <v>23</v>
      </c>
      <c r="H234" s="17" t="s">
        <v>369</v>
      </c>
      <c r="I234" s="38">
        <v>45901</v>
      </c>
      <c r="J234" s="29">
        <v>45908</v>
      </c>
      <c r="K234" s="29">
        <v>45911</v>
      </c>
      <c r="L234" s="29">
        <v>45913</v>
      </c>
      <c r="M234" s="18">
        <v>1</v>
      </c>
    </row>
    <row r="235" spans="1:28" x14ac:dyDescent="0.2">
      <c r="A235" s="66">
        <v>2</v>
      </c>
      <c r="B235" s="66">
        <v>3</v>
      </c>
      <c r="C235" s="67" t="s">
        <v>370</v>
      </c>
      <c r="D235" s="17" t="s">
        <v>371</v>
      </c>
      <c r="E235" s="2" t="s">
        <v>53</v>
      </c>
      <c r="F235" s="18">
        <v>1</v>
      </c>
      <c r="G235" s="18" t="s">
        <v>23</v>
      </c>
      <c r="H235" s="17" t="s">
        <v>372</v>
      </c>
      <c r="I235" s="29">
        <v>45909</v>
      </c>
      <c r="J235" s="29">
        <v>45916</v>
      </c>
      <c r="K235" s="29">
        <v>45913</v>
      </c>
      <c r="L235" s="29">
        <v>45915</v>
      </c>
      <c r="M235" s="18">
        <v>2</v>
      </c>
    </row>
    <row r="236" spans="1:28" x14ac:dyDescent="0.2">
      <c r="A236" s="64"/>
      <c r="B236" s="64"/>
      <c r="C236" s="64"/>
      <c r="D236" s="17" t="s">
        <v>373</v>
      </c>
      <c r="E236" s="2" t="s">
        <v>53</v>
      </c>
      <c r="F236" s="18">
        <v>1</v>
      </c>
      <c r="G236" s="18" t="s">
        <v>23</v>
      </c>
      <c r="H236" s="17" t="s">
        <v>365</v>
      </c>
      <c r="I236" s="29">
        <v>45909</v>
      </c>
      <c r="J236" s="29">
        <v>45916</v>
      </c>
      <c r="K236" s="29">
        <v>45913</v>
      </c>
      <c r="L236" s="29">
        <v>45915</v>
      </c>
      <c r="M236" s="18">
        <v>1</v>
      </c>
    </row>
    <row r="237" spans="1:28" x14ac:dyDescent="0.2">
      <c r="A237" s="64"/>
      <c r="B237" s="64"/>
      <c r="C237" s="64"/>
      <c r="D237" s="17" t="s">
        <v>374</v>
      </c>
      <c r="E237" s="2" t="s">
        <v>53</v>
      </c>
      <c r="F237" s="18">
        <v>1</v>
      </c>
      <c r="G237" s="18" t="s">
        <v>23</v>
      </c>
      <c r="H237" s="17" t="s">
        <v>367</v>
      </c>
      <c r="I237" s="29">
        <v>45909</v>
      </c>
      <c r="J237" s="29">
        <v>45916</v>
      </c>
      <c r="K237" s="29">
        <v>45913</v>
      </c>
      <c r="L237" s="29">
        <v>45915</v>
      </c>
      <c r="M237" s="18">
        <v>1</v>
      </c>
    </row>
    <row r="238" spans="1:28" x14ac:dyDescent="0.2">
      <c r="A238" s="65"/>
      <c r="B238" s="65"/>
      <c r="C238" s="65"/>
      <c r="D238" s="17" t="s">
        <v>375</v>
      </c>
      <c r="E238" s="2" t="s">
        <v>53</v>
      </c>
      <c r="F238" s="18">
        <v>1</v>
      </c>
      <c r="G238" s="18" t="s">
        <v>23</v>
      </c>
      <c r="H238" s="17" t="s">
        <v>376</v>
      </c>
      <c r="I238" s="29">
        <v>45909</v>
      </c>
      <c r="J238" s="29">
        <v>45916</v>
      </c>
      <c r="K238" s="29">
        <v>45913</v>
      </c>
      <c r="L238" s="29">
        <v>45915</v>
      </c>
      <c r="M238" s="18">
        <v>1</v>
      </c>
    </row>
    <row r="239" spans="1:28" x14ac:dyDescent="0.2">
      <c r="A239" s="37"/>
      <c r="B239" s="37"/>
      <c r="C239" s="43"/>
      <c r="D239" s="44"/>
      <c r="E239" s="45"/>
      <c r="F239" s="37"/>
      <c r="G239" s="37"/>
      <c r="H239" s="44"/>
      <c r="I239" s="37"/>
      <c r="J239" s="37"/>
      <c r="K239" s="37"/>
      <c r="L239" s="37"/>
      <c r="M239" s="37"/>
      <c r="N239" s="37"/>
      <c r="O239" s="37"/>
      <c r="P239" s="37"/>
      <c r="Q239" s="37"/>
      <c r="R239" s="37"/>
      <c r="S239" s="37"/>
      <c r="T239" s="37"/>
      <c r="U239" s="37"/>
      <c r="V239" s="37"/>
      <c r="W239" s="37"/>
      <c r="X239" s="37"/>
      <c r="Y239" s="37"/>
      <c r="Z239" s="37"/>
      <c r="AA239" s="37"/>
      <c r="AB239" s="37"/>
    </row>
    <row r="240" spans="1:28" x14ac:dyDescent="0.2">
      <c r="A240" s="66">
        <v>3</v>
      </c>
      <c r="B240" s="66">
        <v>4</v>
      </c>
      <c r="C240" s="67" t="s">
        <v>377</v>
      </c>
      <c r="D240" s="17" t="s">
        <v>378</v>
      </c>
      <c r="E240" s="2" t="s">
        <v>182</v>
      </c>
      <c r="F240" s="18">
        <v>0.5</v>
      </c>
      <c r="G240" s="18" t="s">
        <v>23</v>
      </c>
      <c r="H240" s="17" t="s">
        <v>379</v>
      </c>
      <c r="I240" s="19">
        <v>45941</v>
      </c>
      <c r="J240" s="19">
        <v>45942</v>
      </c>
      <c r="K240" s="19">
        <v>45941</v>
      </c>
      <c r="L240" s="19">
        <v>45942</v>
      </c>
      <c r="M240" s="18">
        <v>0.5</v>
      </c>
    </row>
    <row r="241" spans="1:15" x14ac:dyDescent="0.2">
      <c r="A241" s="64"/>
      <c r="B241" s="64"/>
      <c r="C241" s="64"/>
      <c r="D241" s="17" t="s">
        <v>380</v>
      </c>
      <c r="E241" s="2" t="s">
        <v>182</v>
      </c>
      <c r="F241" s="18">
        <v>1</v>
      </c>
      <c r="G241" s="18" t="s">
        <v>23</v>
      </c>
      <c r="H241" s="17" t="s">
        <v>381</v>
      </c>
      <c r="I241" s="19">
        <v>45941</v>
      </c>
      <c r="J241" s="19">
        <v>45942</v>
      </c>
      <c r="K241" s="19">
        <v>45941</v>
      </c>
      <c r="L241" s="19">
        <v>45942</v>
      </c>
      <c r="M241" s="18">
        <v>1</v>
      </c>
    </row>
    <row r="242" spans="1:15" x14ac:dyDescent="0.2">
      <c r="A242" s="64"/>
      <c r="B242" s="64"/>
      <c r="C242" s="64"/>
      <c r="D242" s="17" t="s">
        <v>382</v>
      </c>
      <c r="E242" s="2" t="s">
        <v>182</v>
      </c>
      <c r="F242" s="18">
        <v>1</v>
      </c>
      <c r="G242" s="18" t="s">
        <v>23</v>
      </c>
      <c r="H242" s="17" t="s">
        <v>383</v>
      </c>
      <c r="I242" s="19">
        <v>45942</v>
      </c>
      <c r="J242" s="19">
        <v>45943</v>
      </c>
      <c r="K242" s="19">
        <v>45942</v>
      </c>
      <c r="L242" s="19">
        <v>45942</v>
      </c>
      <c r="M242" s="18">
        <v>1</v>
      </c>
    </row>
    <row r="243" spans="1:15" x14ac:dyDescent="0.2">
      <c r="A243" s="65"/>
      <c r="B243" s="65"/>
      <c r="C243" s="65"/>
      <c r="D243" s="17" t="s">
        <v>384</v>
      </c>
      <c r="E243" s="2" t="s">
        <v>182</v>
      </c>
      <c r="F243" s="18">
        <v>0.5</v>
      </c>
      <c r="G243" s="18" t="s">
        <v>23</v>
      </c>
      <c r="H243" s="17" t="s">
        <v>385</v>
      </c>
      <c r="I243" s="19">
        <v>45943</v>
      </c>
      <c r="J243" s="19">
        <v>45944</v>
      </c>
      <c r="K243" s="19">
        <v>45942</v>
      </c>
      <c r="L243" s="19">
        <v>45944</v>
      </c>
      <c r="M243" s="18">
        <v>1</v>
      </c>
    </row>
    <row r="244" spans="1:15" x14ac:dyDescent="0.2">
      <c r="A244" s="66">
        <v>3</v>
      </c>
      <c r="B244" s="66">
        <v>4</v>
      </c>
      <c r="C244" s="67" t="s">
        <v>386</v>
      </c>
      <c r="D244" s="17" t="s">
        <v>387</v>
      </c>
      <c r="E244" s="2" t="s">
        <v>97</v>
      </c>
      <c r="F244" s="18">
        <v>1</v>
      </c>
      <c r="G244" s="18" t="s">
        <v>23</v>
      </c>
      <c r="H244" s="17" t="s">
        <v>388</v>
      </c>
      <c r="I244" s="19">
        <v>45941</v>
      </c>
      <c r="J244" s="19">
        <v>45942</v>
      </c>
      <c r="K244" s="19">
        <v>45942</v>
      </c>
      <c r="L244" s="19">
        <v>45942</v>
      </c>
      <c r="M244" s="18">
        <v>0.5</v>
      </c>
    </row>
    <row r="245" spans="1:15" x14ac:dyDescent="0.2">
      <c r="A245" s="65"/>
      <c r="B245" s="65"/>
      <c r="C245" s="65"/>
      <c r="D245" s="17" t="s">
        <v>389</v>
      </c>
      <c r="E245" s="2" t="s">
        <v>97</v>
      </c>
      <c r="F245" s="18">
        <v>0.5</v>
      </c>
      <c r="G245" s="18" t="s">
        <v>23</v>
      </c>
      <c r="H245" s="17" t="s">
        <v>390</v>
      </c>
      <c r="I245" s="19">
        <v>45941</v>
      </c>
      <c r="J245" s="19">
        <v>45942</v>
      </c>
      <c r="K245" s="19">
        <v>45942</v>
      </c>
      <c r="L245" s="19">
        <v>45942</v>
      </c>
      <c r="M245" s="18">
        <v>0.5</v>
      </c>
    </row>
    <row r="246" spans="1:15" x14ac:dyDescent="0.2">
      <c r="A246" s="66">
        <v>3</v>
      </c>
      <c r="B246" s="66">
        <v>4</v>
      </c>
      <c r="C246" s="67" t="s">
        <v>391</v>
      </c>
      <c r="D246" s="17" t="s">
        <v>392</v>
      </c>
      <c r="E246" s="2" t="s">
        <v>182</v>
      </c>
      <c r="F246" s="18">
        <v>0.5</v>
      </c>
      <c r="G246" s="18" t="s">
        <v>23</v>
      </c>
      <c r="H246" s="17" t="s">
        <v>379</v>
      </c>
      <c r="I246" s="19">
        <v>45943</v>
      </c>
      <c r="J246" s="19">
        <v>45944</v>
      </c>
      <c r="K246" s="19">
        <v>45942</v>
      </c>
      <c r="L246" s="19">
        <v>45943</v>
      </c>
      <c r="M246" s="18">
        <v>1</v>
      </c>
    </row>
    <row r="247" spans="1:15" x14ac:dyDescent="0.2">
      <c r="A247" s="64"/>
      <c r="B247" s="64"/>
      <c r="C247" s="64"/>
      <c r="D247" s="17" t="s">
        <v>393</v>
      </c>
      <c r="E247" s="2" t="s">
        <v>182</v>
      </c>
      <c r="F247" s="18">
        <v>1</v>
      </c>
      <c r="G247" s="18" t="s">
        <v>23</v>
      </c>
      <c r="H247" s="17" t="s">
        <v>381</v>
      </c>
      <c r="I247" s="19">
        <v>45945</v>
      </c>
      <c r="J247" s="19">
        <v>45946</v>
      </c>
      <c r="K247" s="19">
        <v>45942</v>
      </c>
      <c r="L247" s="19">
        <v>45943</v>
      </c>
      <c r="M247" s="18">
        <v>1</v>
      </c>
    </row>
    <row r="248" spans="1:15" x14ac:dyDescent="0.2">
      <c r="A248" s="64"/>
      <c r="B248" s="64"/>
      <c r="C248" s="64"/>
      <c r="D248" s="17" t="s">
        <v>382</v>
      </c>
      <c r="E248" s="2" t="s">
        <v>182</v>
      </c>
      <c r="F248" s="18">
        <v>1</v>
      </c>
      <c r="G248" s="18" t="s">
        <v>23</v>
      </c>
      <c r="H248" s="17" t="s">
        <v>383</v>
      </c>
      <c r="I248" s="19">
        <v>45946</v>
      </c>
      <c r="J248" s="19">
        <v>45947</v>
      </c>
      <c r="K248" s="19">
        <v>45943</v>
      </c>
      <c r="L248" s="19">
        <v>45943</v>
      </c>
      <c r="M248" s="18">
        <v>0.5</v>
      </c>
    </row>
    <row r="249" spans="1:15" x14ac:dyDescent="0.2">
      <c r="A249" s="65"/>
      <c r="B249" s="65"/>
      <c r="C249" s="65"/>
      <c r="D249" s="17" t="s">
        <v>384</v>
      </c>
      <c r="E249" s="2" t="s">
        <v>182</v>
      </c>
      <c r="F249" s="18">
        <v>0.5</v>
      </c>
      <c r="G249" s="18" t="s">
        <v>23</v>
      </c>
      <c r="H249" s="17" t="s">
        <v>394</v>
      </c>
      <c r="I249" s="19">
        <v>45947</v>
      </c>
      <c r="J249" s="19">
        <v>45948</v>
      </c>
      <c r="K249" s="19">
        <v>45943</v>
      </c>
      <c r="L249" s="19">
        <v>45944</v>
      </c>
      <c r="M249" s="18">
        <v>0.5</v>
      </c>
    </row>
    <row r="250" spans="1:15" x14ac:dyDescent="0.2">
      <c r="A250" s="66">
        <v>3</v>
      </c>
      <c r="B250" s="66">
        <v>4</v>
      </c>
      <c r="C250" s="67" t="s">
        <v>395</v>
      </c>
      <c r="D250" s="17" t="s">
        <v>396</v>
      </c>
      <c r="E250" s="2" t="s">
        <v>97</v>
      </c>
      <c r="F250" s="18">
        <v>1</v>
      </c>
      <c r="G250" s="18" t="s">
        <v>23</v>
      </c>
      <c r="H250" s="17" t="s">
        <v>397</v>
      </c>
      <c r="I250" s="46">
        <v>45942</v>
      </c>
      <c r="J250" s="46">
        <v>45943</v>
      </c>
      <c r="K250" s="19">
        <v>45942</v>
      </c>
      <c r="L250" s="19">
        <v>45943</v>
      </c>
      <c r="M250" s="18">
        <v>1</v>
      </c>
    </row>
    <row r="251" spans="1:15" x14ac:dyDescent="0.2">
      <c r="A251" s="65"/>
      <c r="B251" s="65"/>
      <c r="C251" s="65"/>
      <c r="D251" s="17" t="s">
        <v>398</v>
      </c>
      <c r="E251" s="2" t="s">
        <v>97</v>
      </c>
      <c r="F251" s="18">
        <v>0.5</v>
      </c>
      <c r="G251" s="18" t="s">
        <v>23</v>
      </c>
      <c r="H251" s="17" t="s">
        <v>399</v>
      </c>
      <c r="I251" s="46">
        <v>45942</v>
      </c>
      <c r="J251" s="46">
        <v>45943</v>
      </c>
      <c r="K251" s="19">
        <v>45942</v>
      </c>
      <c r="L251" s="19">
        <v>45943</v>
      </c>
      <c r="M251" s="18">
        <v>1</v>
      </c>
      <c r="O251" s="47"/>
    </row>
    <row r="252" spans="1:15" x14ac:dyDescent="0.2">
      <c r="A252" s="66">
        <v>3</v>
      </c>
      <c r="B252" s="66">
        <v>4</v>
      </c>
      <c r="C252" s="67" t="s">
        <v>400</v>
      </c>
      <c r="D252" s="17" t="s">
        <v>401</v>
      </c>
      <c r="E252" s="2" t="s">
        <v>97</v>
      </c>
      <c r="F252" s="18">
        <v>0.5</v>
      </c>
      <c r="G252" s="18" t="s">
        <v>23</v>
      </c>
      <c r="H252" s="17" t="s">
        <v>402</v>
      </c>
      <c r="I252" s="46">
        <v>45944</v>
      </c>
      <c r="J252" s="46">
        <v>45945</v>
      </c>
      <c r="K252" s="19">
        <v>45943</v>
      </c>
      <c r="L252" s="19">
        <v>45944</v>
      </c>
      <c r="M252" s="18">
        <v>0.5</v>
      </c>
      <c r="O252" s="47"/>
    </row>
    <row r="253" spans="1:15" x14ac:dyDescent="0.2">
      <c r="A253" s="64"/>
      <c r="B253" s="64"/>
      <c r="C253" s="64"/>
      <c r="D253" s="17" t="s">
        <v>403</v>
      </c>
      <c r="E253" s="2" t="s">
        <v>97</v>
      </c>
      <c r="F253" s="18">
        <v>1</v>
      </c>
      <c r="G253" s="18" t="s">
        <v>23</v>
      </c>
      <c r="H253" s="17" t="s">
        <v>404</v>
      </c>
      <c r="I253" s="46">
        <v>45944</v>
      </c>
      <c r="J253" s="46">
        <v>45945</v>
      </c>
      <c r="K253" s="19">
        <v>45944</v>
      </c>
      <c r="L253" s="19">
        <v>45945</v>
      </c>
      <c r="M253" s="18">
        <v>1</v>
      </c>
    </row>
    <row r="254" spans="1:15" x14ac:dyDescent="0.2">
      <c r="A254" s="65"/>
      <c r="B254" s="65"/>
      <c r="C254" s="65"/>
      <c r="D254" s="17" t="s">
        <v>405</v>
      </c>
      <c r="E254" s="2" t="s">
        <v>97</v>
      </c>
      <c r="F254" s="18">
        <v>0.5</v>
      </c>
      <c r="G254" s="18" t="s">
        <v>23</v>
      </c>
      <c r="H254" s="17" t="s">
        <v>406</v>
      </c>
      <c r="I254" s="46">
        <v>45945</v>
      </c>
      <c r="J254" s="46">
        <v>45946</v>
      </c>
      <c r="K254" s="19">
        <v>45944</v>
      </c>
      <c r="L254" s="19">
        <v>45945</v>
      </c>
      <c r="M254" s="18">
        <v>0.5</v>
      </c>
    </row>
    <row r="255" spans="1:15" x14ac:dyDescent="0.2">
      <c r="A255" s="66">
        <v>3</v>
      </c>
      <c r="B255" s="66">
        <v>4</v>
      </c>
      <c r="C255" s="67" t="s">
        <v>407</v>
      </c>
      <c r="D255" s="17" t="s">
        <v>408</v>
      </c>
      <c r="E255" s="2" t="s">
        <v>97</v>
      </c>
      <c r="F255" s="18">
        <v>1</v>
      </c>
      <c r="G255" s="18" t="s">
        <v>23</v>
      </c>
      <c r="H255" s="17" t="s">
        <v>409</v>
      </c>
      <c r="I255" s="46">
        <v>45945</v>
      </c>
      <c r="J255" s="46">
        <v>45947</v>
      </c>
      <c r="K255" s="19">
        <v>45944</v>
      </c>
      <c r="L255" s="19">
        <v>45945</v>
      </c>
      <c r="M255" s="18">
        <v>0.5</v>
      </c>
    </row>
    <row r="256" spans="1:15" x14ac:dyDescent="0.2">
      <c r="A256" s="64"/>
      <c r="B256" s="64"/>
      <c r="C256" s="64"/>
      <c r="D256" s="17" t="s">
        <v>410</v>
      </c>
      <c r="E256" s="2" t="s">
        <v>97</v>
      </c>
      <c r="F256" s="18">
        <v>1</v>
      </c>
      <c r="G256" s="18" t="s">
        <v>23</v>
      </c>
      <c r="H256" s="17" t="s">
        <v>411</v>
      </c>
      <c r="I256" s="46">
        <v>45946</v>
      </c>
      <c r="J256" s="46">
        <v>45947</v>
      </c>
      <c r="K256" s="19">
        <v>45945</v>
      </c>
      <c r="L256" s="19">
        <v>45945</v>
      </c>
      <c r="M256" s="18">
        <v>0.5</v>
      </c>
    </row>
    <row r="257" spans="1:13" x14ac:dyDescent="0.2">
      <c r="A257" s="65"/>
      <c r="B257" s="65"/>
      <c r="C257" s="65"/>
      <c r="D257" s="17" t="s">
        <v>382</v>
      </c>
      <c r="E257" s="2" t="s">
        <v>97</v>
      </c>
      <c r="F257" s="18">
        <v>1</v>
      </c>
      <c r="G257" s="18" t="s">
        <v>23</v>
      </c>
      <c r="H257" s="17" t="s">
        <v>412</v>
      </c>
      <c r="I257" s="46">
        <v>45947</v>
      </c>
      <c r="J257" s="46">
        <v>45948</v>
      </c>
      <c r="K257" s="46">
        <v>45945</v>
      </c>
      <c r="L257" s="46">
        <v>45945</v>
      </c>
      <c r="M257" s="18">
        <v>0.5</v>
      </c>
    </row>
    <row r="258" spans="1:13" x14ac:dyDescent="0.2">
      <c r="A258" s="66">
        <v>3</v>
      </c>
      <c r="B258" s="66">
        <v>4</v>
      </c>
      <c r="C258" s="67" t="s">
        <v>413</v>
      </c>
      <c r="D258" s="17" t="s">
        <v>414</v>
      </c>
      <c r="E258" s="2" t="s">
        <v>53</v>
      </c>
      <c r="F258" s="18">
        <v>1</v>
      </c>
      <c r="G258" s="18" t="s">
        <v>23</v>
      </c>
      <c r="H258" s="17" t="s">
        <v>415</v>
      </c>
      <c r="I258" s="19">
        <v>45941</v>
      </c>
      <c r="J258" s="19">
        <v>45941</v>
      </c>
      <c r="K258" s="19">
        <v>45941</v>
      </c>
      <c r="L258" s="19">
        <v>45942</v>
      </c>
      <c r="M258" s="18">
        <v>1</v>
      </c>
    </row>
    <row r="259" spans="1:13" x14ac:dyDescent="0.2">
      <c r="A259" s="64"/>
      <c r="B259" s="64"/>
      <c r="C259" s="64"/>
      <c r="D259" s="17" t="s">
        <v>416</v>
      </c>
      <c r="E259" s="2" t="s">
        <v>53</v>
      </c>
      <c r="F259" s="18">
        <v>1</v>
      </c>
      <c r="G259" s="18" t="s">
        <v>23</v>
      </c>
      <c r="H259" s="17" t="s">
        <v>417</v>
      </c>
      <c r="I259" s="19">
        <v>45941</v>
      </c>
      <c r="J259" s="19">
        <v>45942</v>
      </c>
      <c r="K259" s="19">
        <v>45941</v>
      </c>
      <c r="L259" s="19">
        <v>45942</v>
      </c>
      <c r="M259" s="18">
        <v>1</v>
      </c>
    </row>
    <row r="260" spans="1:13" x14ac:dyDescent="0.2">
      <c r="A260" s="64"/>
      <c r="B260" s="64"/>
      <c r="C260" s="64"/>
      <c r="D260" s="17" t="s">
        <v>382</v>
      </c>
      <c r="E260" s="2" t="s">
        <v>53</v>
      </c>
      <c r="F260" s="18">
        <v>1</v>
      </c>
      <c r="G260" s="18" t="s">
        <v>23</v>
      </c>
      <c r="H260" s="17" t="s">
        <v>418</v>
      </c>
      <c r="I260" s="19">
        <v>45942</v>
      </c>
      <c r="J260" s="19">
        <v>45943</v>
      </c>
      <c r="K260" s="19">
        <v>45941</v>
      </c>
      <c r="L260" s="19">
        <v>45943</v>
      </c>
      <c r="M260" s="18">
        <v>1</v>
      </c>
    </row>
    <row r="261" spans="1:13" x14ac:dyDescent="0.2">
      <c r="A261" s="65"/>
      <c r="B261" s="65"/>
      <c r="C261" s="65"/>
      <c r="D261" s="17" t="s">
        <v>384</v>
      </c>
      <c r="E261" s="2" t="s">
        <v>53</v>
      </c>
      <c r="F261" s="18">
        <v>0.5</v>
      </c>
      <c r="G261" s="18" t="s">
        <v>23</v>
      </c>
      <c r="H261" s="17" t="s">
        <v>419</v>
      </c>
      <c r="I261" s="19">
        <v>45942</v>
      </c>
      <c r="J261" s="19">
        <v>45943</v>
      </c>
      <c r="K261" s="19">
        <v>45941</v>
      </c>
      <c r="L261" s="19">
        <v>45943</v>
      </c>
      <c r="M261" s="18">
        <v>0.5</v>
      </c>
    </row>
    <row r="262" spans="1:13" x14ac:dyDescent="0.2">
      <c r="A262" s="66">
        <v>3</v>
      </c>
      <c r="B262" s="66">
        <v>4</v>
      </c>
      <c r="C262" s="67" t="s">
        <v>420</v>
      </c>
      <c r="D262" s="17" t="s">
        <v>421</v>
      </c>
      <c r="E262" s="2" t="s">
        <v>53</v>
      </c>
      <c r="F262" s="18">
        <v>1</v>
      </c>
      <c r="G262" s="18" t="s">
        <v>23</v>
      </c>
      <c r="H262" s="17" t="s">
        <v>422</v>
      </c>
      <c r="I262" s="19">
        <v>45943</v>
      </c>
      <c r="J262" s="19">
        <v>45944</v>
      </c>
      <c r="K262" s="19">
        <v>45942</v>
      </c>
      <c r="L262" s="19">
        <v>45944</v>
      </c>
      <c r="M262" s="18">
        <v>1</v>
      </c>
    </row>
    <row r="263" spans="1:13" x14ac:dyDescent="0.2">
      <c r="A263" s="64"/>
      <c r="B263" s="64"/>
      <c r="C263" s="64"/>
      <c r="D263" s="17" t="s">
        <v>416</v>
      </c>
      <c r="E263" s="2" t="s">
        <v>53</v>
      </c>
      <c r="F263" s="18">
        <v>1</v>
      </c>
      <c r="G263" s="18" t="s">
        <v>23</v>
      </c>
      <c r="H263" s="17" t="s">
        <v>417</v>
      </c>
      <c r="I263" s="19">
        <v>45943</v>
      </c>
      <c r="J263" s="19">
        <v>45944</v>
      </c>
      <c r="K263" s="19">
        <v>45943</v>
      </c>
      <c r="L263" s="19">
        <v>45944</v>
      </c>
      <c r="M263" s="18">
        <v>1</v>
      </c>
    </row>
    <row r="264" spans="1:13" x14ac:dyDescent="0.2">
      <c r="A264" s="64"/>
      <c r="B264" s="64"/>
      <c r="C264" s="64"/>
      <c r="D264" s="17" t="s">
        <v>382</v>
      </c>
      <c r="E264" s="2" t="s">
        <v>53</v>
      </c>
      <c r="F264" s="18">
        <v>1</v>
      </c>
      <c r="G264" s="18" t="s">
        <v>23</v>
      </c>
      <c r="H264" s="17" t="s">
        <v>418</v>
      </c>
      <c r="I264" s="19">
        <v>45944</v>
      </c>
      <c r="J264" s="19">
        <v>45945</v>
      </c>
      <c r="K264" s="19">
        <v>45943</v>
      </c>
      <c r="L264" s="19">
        <v>45944</v>
      </c>
      <c r="M264" s="18">
        <v>1</v>
      </c>
    </row>
    <row r="265" spans="1:13" x14ac:dyDescent="0.2">
      <c r="A265" s="65"/>
      <c r="B265" s="65"/>
      <c r="C265" s="65"/>
      <c r="D265" s="17" t="s">
        <v>384</v>
      </c>
      <c r="E265" s="2" t="s">
        <v>53</v>
      </c>
      <c r="F265" s="18">
        <v>0.5</v>
      </c>
      <c r="G265" s="18" t="s">
        <v>23</v>
      </c>
      <c r="H265" s="17" t="s">
        <v>423</v>
      </c>
      <c r="I265" s="19">
        <v>45944</v>
      </c>
      <c r="J265" s="19">
        <v>45945</v>
      </c>
      <c r="K265" s="19">
        <v>45944</v>
      </c>
      <c r="L265" s="19">
        <v>45945</v>
      </c>
      <c r="M265" s="18">
        <v>1</v>
      </c>
    </row>
    <row r="266" spans="1:13" x14ac:dyDescent="0.2">
      <c r="A266" s="66">
        <v>3</v>
      </c>
      <c r="B266" s="66">
        <v>4</v>
      </c>
      <c r="C266" s="67" t="s">
        <v>424</v>
      </c>
      <c r="D266" s="17" t="s">
        <v>425</v>
      </c>
      <c r="E266" s="2" t="s">
        <v>53</v>
      </c>
      <c r="F266" s="18">
        <v>0.5</v>
      </c>
      <c r="G266" s="18" t="s">
        <v>23</v>
      </c>
      <c r="H266" s="17" t="s">
        <v>426</v>
      </c>
      <c r="I266" s="19">
        <v>45943</v>
      </c>
      <c r="J266" s="19">
        <v>45944</v>
      </c>
      <c r="K266" s="19">
        <v>45944</v>
      </c>
      <c r="L266" s="19">
        <v>45945</v>
      </c>
      <c r="M266" s="18">
        <v>1</v>
      </c>
    </row>
    <row r="267" spans="1:13" x14ac:dyDescent="0.2">
      <c r="A267" s="64"/>
      <c r="B267" s="64"/>
      <c r="C267" s="64"/>
      <c r="D267" s="17" t="s">
        <v>427</v>
      </c>
      <c r="E267" s="2" t="s">
        <v>53</v>
      </c>
      <c r="F267" s="18">
        <v>1</v>
      </c>
      <c r="G267" s="18" t="s">
        <v>23</v>
      </c>
      <c r="H267" s="17" t="s">
        <v>428</v>
      </c>
      <c r="I267" s="19">
        <v>45943</v>
      </c>
      <c r="J267" s="19">
        <v>45944</v>
      </c>
      <c r="K267" s="19">
        <v>45944</v>
      </c>
      <c r="L267" s="19">
        <v>45945</v>
      </c>
      <c r="M267" s="18">
        <v>1</v>
      </c>
    </row>
    <row r="268" spans="1:13" x14ac:dyDescent="0.2">
      <c r="A268" s="64"/>
      <c r="B268" s="64"/>
      <c r="C268" s="64"/>
      <c r="D268" s="17" t="s">
        <v>382</v>
      </c>
      <c r="E268" s="2" t="s">
        <v>53</v>
      </c>
      <c r="F268" s="18">
        <v>1</v>
      </c>
      <c r="G268" s="18" t="s">
        <v>23</v>
      </c>
      <c r="H268" s="17" t="s">
        <v>418</v>
      </c>
      <c r="I268" s="19">
        <v>45944</v>
      </c>
      <c r="J268" s="19">
        <v>45945</v>
      </c>
      <c r="K268" s="19">
        <v>45946</v>
      </c>
      <c r="L268" s="19">
        <v>45946</v>
      </c>
      <c r="M268" s="18">
        <v>1</v>
      </c>
    </row>
    <row r="269" spans="1:13" x14ac:dyDescent="0.2">
      <c r="A269" s="65"/>
      <c r="B269" s="65"/>
      <c r="C269" s="65"/>
      <c r="D269" s="17" t="s">
        <v>429</v>
      </c>
      <c r="E269" s="2" t="s">
        <v>53</v>
      </c>
      <c r="F269" s="18">
        <v>0.5</v>
      </c>
      <c r="G269" s="18" t="s">
        <v>23</v>
      </c>
      <c r="H269" s="17" t="s">
        <v>430</v>
      </c>
      <c r="I269" s="19">
        <v>45945</v>
      </c>
      <c r="J269" s="19">
        <v>45946</v>
      </c>
      <c r="K269" s="19">
        <v>45946</v>
      </c>
      <c r="L269" s="19">
        <v>45947</v>
      </c>
      <c r="M269" s="18">
        <v>1</v>
      </c>
    </row>
    <row r="270" spans="1:13" x14ac:dyDescent="0.2">
      <c r="A270" s="66">
        <v>3</v>
      </c>
      <c r="B270" s="66">
        <v>4</v>
      </c>
      <c r="C270" s="67" t="s">
        <v>431</v>
      </c>
      <c r="D270" s="17" t="s">
        <v>432</v>
      </c>
      <c r="E270" s="2" t="s">
        <v>53</v>
      </c>
      <c r="F270" s="18">
        <v>1</v>
      </c>
      <c r="G270" s="18" t="s">
        <v>23</v>
      </c>
      <c r="H270" s="17" t="s">
        <v>433</v>
      </c>
      <c r="I270" s="19">
        <v>45945</v>
      </c>
      <c r="J270" s="19">
        <v>45946</v>
      </c>
      <c r="K270" s="19">
        <v>45946</v>
      </c>
      <c r="L270" s="19">
        <v>45947</v>
      </c>
      <c r="M270" s="18">
        <v>0.5</v>
      </c>
    </row>
    <row r="271" spans="1:13" x14ac:dyDescent="0.2">
      <c r="A271" s="64"/>
      <c r="B271" s="64"/>
      <c r="C271" s="64"/>
      <c r="D271" s="17" t="s">
        <v>434</v>
      </c>
      <c r="E271" s="2" t="s">
        <v>53</v>
      </c>
      <c r="F271" s="18">
        <v>1</v>
      </c>
      <c r="G271" s="18" t="s">
        <v>23</v>
      </c>
      <c r="H271" s="17" t="s">
        <v>435</v>
      </c>
      <c r="I271" s="19">
        <v>45946</v>
      </c>
      <c r="J271" s="19">
        <v>45947</v>
      </c>
      <c r="K271" s="19">
        <v>45946</v>
      </c>
      <c r="L271" s="19">
        <v>45948</v>
      </c>
      <c r="M271" s="18">
        <v>1</v>
      </c>
    </row>
    <row r="272" spans="1:13" x14ac:dyDescent="0.2">
      <c r="A272" s="64"/>
      <c r="B272" s="64"/>
      <c r="C272" s="64"/>
      <c r="D272" s="17" t="s">
        <v>382</v>
      </c>
      <c r="E272" s="2" t="s">
        <v>53</v>
      </c>
      <c r="F272" s="18">
        <v>1</v>
      </c>
      <c r="G272" s="18" t="s">
        <v>23</v>
      </c>
      <c r="H272" s="17" t="s">
        <v>418</v>
      </c>
      <c r="I272" s="19">
        <v>45947</v>
      </c>
      <c r="J272" s="19">
        <v>45948</v>
      </c>
      <c r="K272" s="19">
        <v>45946</v>
      </c>
      <c r="L272" s="19">
        <v>45948</v>
      </c>
      <c r="M272" s="18">
        <v>1</v>
      </c>
    </row>
    <row r="273" spans="1:28" x14ac:dyDescent="0.2">
      <c r="A273" s="65"/>
      <c r="B273" s="65"/>
      <c r="C273" s="65"/>
      <c r="D273" s="17" t="s">
        <v>429</v>
      </c>
      <c r="E273" s="2" t="s">
        <v>53</v>
      </c>
      <c r="F273" s="18">
        <v>0.5</v>
      </c>
      <c r="G273" s="18" t="s">
        <v>23</v>
      </c>
      <c r="H273" s="17" t="s">
        <v>430</v>
      </c>
      <c r="I273" s="19">
        <v>45947</v>
      </c>
      <c r="J273" s="19">
        <v>45948</v>
      </c>
      <c r="K273" s="19">
        <v>45947</v>
      </c>
      <c r="L273" s="19">
        <v>45948</v>
      </c>
      <c r="M273" s="18">
        <v>1</v>
      </c>
    </row>
    <row r="274" spans="1:28" x14ac:dyDescent="0.2">
      <c r="A274" s="66">
        <v>3</v>
      </c>
      <c r="B274" s="66">
        <v>4</v>
      </c>
      <c r="C274" s="67" t="s">
        <v>436</v>
      </c>
      <c r="D274" s="17" t="s">
        <v>437</v>
      </c>
      <c r="E274" s="2" t="s">
        <v>91</v>
      </c>
      <c r="F274" s="18">
        <v>5</v>
      </c>
      <c r="G274" s="18" t="s">
        <v>23</v>
      </c>
      <c r="H274" s="17" t="s">
        <v>438</v>
      </c>
      <c r="I274" s="19">
        <v>45941</v>
      </c>
      <c r="J274" s="19">
        <v>45943</v>
      </c>
      <c r="K274" s="19">
        <v>45945</v>
      </c>
      <c r="L274" s="19">
        <v>45947</v>
      </c>
      <c r="M274" s="18">
        <v>4</v>
      </c>
    </row>
    <row r="275" spans="1:28" x14ac:dyDescent="0.2">
      <c r="A275" s="64"/>
      <c r="B275" s="64"/>
      <c r="C275" s="64"/>
      <c r="D275" s="17" t="s">
        <v>439</v>
      </c>
      <c r="E275" s="2" t="s">
        <v>91</v>
      </c>
      <c r="F275" s="18">
        <v>4</v>
      </c>
      <c r="G275" s="18" t="s">
        <v>23</v>
      </c>
      <c r="H275" s="17" t="s">
        <v>440</v>
      </c>
      <c r="I275" s="19">
        <v>45943</v>
      </c>
      <c r="J275" s="19">
        <v>45945</v>
      </c>
      <c r="K275" s="19">
        <v>45946</v>
      </c>
      <c r="L275" s="19">
        <v>45948</v>
      </c>
      <c r="M275" s="18">
        <v>4</v>
      </c>
    </row>
    <row r="276" spans="1:28" x14ac:dyDescent="0.2">
      <c r="A276" s="65"/>
      <c r="B276" s="65"/>
      <c r="C276" s="65"/>
      <c r="D276" s="17" t="s">
        <v>441</v>
      </c>
      <c r="E276" s="2" t="s">
        <v>91</v>
      </c>
      <c r="F276" s="18">
        <v>4</v>
      </c>
      <c r="G276" s="18" t="s">
        <v>23</v>
      </c>
      <c r="H276" s="17" t="s">
        <v>442</v>
      </c>
      <c r="I276" s="19">
        <v>45946</v>
      </c>
      <c r="J276" s="19">
        <v>45948</v>
      </c>
      <c r="K276" s="19">
        <v>45947</v>
      </c>
      <c r="L276" s="19">
        <v>45948</v>
      </c>
      <c r="M276" s="18">
        <v>3</v>
      </c>
    </row>
    <row r="277" spans="1:28" x14ac:dyDescent="0.2">
      <c r="A277" s="66">
        <v>3</v>
      </c>
      <c r="B277" s="66">
        <v>4</v>
      </c>
      <c r="C277" s="67" t="s">
        <v>443</v>
      </c>
      <c r="D277" s="17" t="s">
        <v>444</v>
      </c>
      <c r="E277" s="2" t="s">
        <v>22</v>
      </c>
      <c r="F277" s="18">
        <v>2</v>
      </c>
      <c r="G277" s="18" t="s">
        <v>23</v>
      </c>
      <c r="H277" s="17" t="s">
        <v>445</v>
      </c>
      <c r="I277" s="19">
        <v>45941</v>
      </c>
      <c r="J277" s="19">
        <v>45942</v>
      </c>
      <c r="K277" s="19">
        <v>45944</v>
      </c>
      <c r="L277" s="19">
        <v>45945</v>
      </c>
      <c r="M277" s="18">
        <v>2</v>
      </c>
    </row>
    <row r="278" spans="1:28" x14ac:dyDescent="0.2">
      <c r="A278" s="64"/>
      <c r="B278" s="64"/>
      <c r="C278" s="64"/>
      <c r="D278" s="17" t="s">
        <v>446</v>
      </c>
      <c r="E278" s="2" t="s">
        <v>22</v>
      </c>
      <c r="F278" s="18">
        <v>1</v>
      </c>
      <c r="G278" s="18" t="s">
        <v>23</v>
      </c>
      <c r="H278" s="17" t="s">
        <v>447</v>
      </c>
      <c r="I278" s="19">
        <v>45943</v>
      </c>
      <c r="J278" s="19">
        <v>45944</v>
      </c>
      <c r="K278" s="19">
        <v>45945</v>
      </c>
      <c r="L278" s="19">
        <v>45947</v>
      </c>
      <c r="M278" s="18">
        <v>2</v>
      </c>
    </row>
    <row r="279" spans="1:28" x14ac:dyDescent="0.2">
      <c r="A279" s="64"/>
      <c r="B279" s="64"/>
      <c r="C279" s="64"/>
      <c r="D279" s="17" t="s">
        <v>448</v>
      </c>
      <c r="E279" s="2" t="s">
        <v>22</v>
      </c>
      <c r="F279" s="18">
        <v>3</v>
      </c>
      <c r="G279" s="18" t="s">
        <v>23</v>
      </c>
      <c r="H279" s="17" t="s">
        <v>449</v>
      </c>
      <c r="I279" s="19">
        <v>45945</v>
      </c>
      <c r="J279" s="19">
        <v>45946</v>
      </c>
      <c r="K279" s="19">
        <v>45946</v>
      </c>
      <c r="L279" s="19">
        <v>45947</v>
      </c>
      <c r="M279" s="18">
        <v>2</v>
      </c>
    </row>
    <row r="280" spans="1:28" x14ac:dyDescent="0.2">
      <c r="A280" s="65"/>
      <c r="B280" s="65"/>
      <c r="C280" s="65"/>
      <c r="D280" s="17" t="s">
        <v>450</v>
      </c>
      <c r="E280" s="2" t="s">
        <v>22</v>
      </c>
      <c r="F280" s="18">
        <v>1</v>
      </c>
      <c r="G280" s="18" t="s">
        <v>23</v>
      </c>
      <c r="H280" s="17" t="s">
        <v>451</v>
      </c>
      <c r="I280" s="19">
        <v>45947</v>
      </c>
      <c r="J280" s="19">
        <v>45948</v>
      </c>
      <c r="K280" s="19">
        <v>45947</v>
      </c>
      <c r="L280" s="19">
        <v>45948</v>
      </c>
      <c r="M280" s="18">
        <v>1</v>
      </c>
    </row>
    <row r="281" spans="1:28" x14ac:dyDescent="0.2">
      <c r="A281" s="37"/>
      <c r="B281" s="37"/>
      <c r="C281" s="43"/>
      <c r="D281" s="44"/>
      <c r="E281" s="45"/>
      <c r="F281" s="37"/>
      <c r="G281" s="37"/>
      <c r="H281" s="44"/>
      <c r="I281" s="37"/>
      <c r="J281" s="37"/>
      <c r="K281" s="37"/>
      <c r="L281" s="37"/>
      <c r="M281" s="37"/>
      <c r="N281" s="37"/>
      <c r="O281" s="37"/>
      <c r="P281" s="37"/>
      <c r="Q281" s="37"/>
      <c r="R281" s="37"/>
      <c r="S281" s="37"/>
      <c r="T281" s="37"/>
      <c r="U281" s="37"/>
      <c r="V281" s="37"/>
      <c r="W281" s="37"/>
      <c r="X281" s="37"/>
      <c r="Y281" s="37"/>
      <c r="Z281" s="37"/>
      <c r="AA281" s="37"/>
      <c r="AB281" s="37"/>
    </row>
    <row r="282" spans="1:28" x14ac:dyDescent="0.2">
      <c r="A282" s="66">
        <v>4</v>
      </c>
      <c r="B282" s="66">
        <v>5</v>
      </c>
      <c r="C282" s="67" t="s">
        <v>452</v>
      </c>
      <c r="D282" s="17" t="s">
        <v>453</v>
      </c>
      <c r="E282" s="2" t="s">
        <v>77</v>
      </c>
      <c r="F282" s="18">
        <v>0.5</v>
      </c>
      <c r="G282" s="18" t="s">
        <v>23</v>
      </c>
      <c r="H282" s="17" t="s">
        <v>454</v>
      </c>
      <c r="I282" s="19">
        <v>45961</v>
      </c>
      <c r="J282" s="19">
        <v>45962</v>
      </c>
      <c r="K282" s="19">
        <v>45962</v>
      </c>
      <c r="L282" s="19">
        <v>45963</v>
      </c>
      <c r="M282" s="18">
        <v>0.5</v>
      </c>
    </row>
    <row r="283" spans="1:28" x14ac:dyDescent="0.2">
      <c r="A283" s="64"/>
      <c r="B283" s="64"/>
      <c r="C283" s="64"/>
      <c r="D283" s="17" t="s">
        <v>455</v>
      </c>
      <c r="E283" s="2" t="s">
        <v>77</v>
      </c>
      <c r="F283" s="18">
        <v>1</v>
      </c>
      <c r="G283" s="18" t="s">
        <v>23</v>
      </c>
      <c r="H283" s="17" t="s">
        <v>456</v>
      </c>
      <c r="I283" s="19">
        <v>45962</v>
      </c>
      <c r="J283" s="19">
        <v>45964</v>
      </c>
      <c r="K283" s="19">
        <v>45962</v>
      </c>
      <c r="L283" s="19">
        <v>45963</v>
      </c>
      <c r="M283" s="18">
        <v>0.5</v>
      </c>
    </row>
    <row r="284" spans="1:28" x14ac:dyDescent="0.2">
      <c r="A284" s="64"/>
      <c r="B284" s="64"/>
      <c r="C284" s="64"/>
      <c r="D284" s="17" t="s">
        <v>382</v>
      </c>
      <c r="E284" s="2" t="s">
        <v>77</v>
      </c>
      <c r="F284" s="18">
        <v>1</v>
      </c>
      <c r="G284" s="18" t="s">
        <v>23</v>
      </c>
      <c r="H284" s="17" t="s">
        <v>418</v>
      </c>
      <c r="I284" s="19">
        <v>45963</v>
      </c>
      <c r="J284" s="19">
        <v>45964</v>
      </c>
      <c r="K284" s="19">
        <v>45963</v>
      </c>
      <c r="L284" s="19">
        <v>45964</v>
      </c>
      <c r="M284" s="18">
        <v>1</v>
      </c>
    </row>
    <row r="285" spans="1:28" x14ac:dyDescent="0.2">
      <c r="A285" s="65"/>
      <c r="B285" s="65"/>
      <c r="C285" s="65"/>
      <c r="D285" s="17" t="s">
        <v>429</v>
      </c>
      <c r="E285" s="2" t="s">
        <v>77</v>
      </c>
      <c r="F285" s="18">
        <v>0.5</v>
      </c>
      <c r="G285" s="18" t="s">
        <v>23</v>
      </c>
      <c r="H285" s="17" t="s">
        <v>457</v>
      </c>
      <c r="I285" s="19">
        <v>45964</v>
      </c>
      <c r="J285" s="19">
        <v>45964</v>
      </c>
      <c r="K285" s="19">
        <v>45964</v>
      </c>
      <c r="L285" s="19">
        <v>45965</v>
      </c>
      <c r="M285" s="18">
        <v>0.5</v>
      </c>
    </row>
    <row r="286" spans="1:28" x14ac:dyDescent="0.2">
      <c r="A286" s="66">
        <v>4</v>
      </c>
      <c r="B286" s="66">
        <v>5</v>
      </c>
      <c r="C286" s="67" t="s">
        <v>458</v>
      </c>
      <c r="D286" s="17" t="s">
        <v>453</v>
      </c>
      <c r="E286" s="2" t="s">
        <v>77</v>
      </c>
      <c r="F286" s="18">
        <v>0.5</v>
      </c>
      <c r="G286" s="18" t="s">
        <v>23</v>
      </c>
      <c r="H286" s="17" t="s">
        <v>459</v>
      </c>
      <c r="I286" s="19">
        <v>45964</v>
      </c>
      <c r="J286" s="19">
        <v>45964</v>
      </c>
      <c r="K286" s="19">
        <v>45964</v>
      </c>
      <c r="L286" s="19">
        <v>45965</v>
      </c>
      <c r="M286" s="18">
        <v>0.5</v>
      </c>
    </row>
    <row r="287" spans="1:28" x14ac:dyDescent="0.2">
      <c r="A287" s="64"/>
      <c r="B287" s="64"/>
      <c r="C287" s="64"/>
      <c r="D287" s="17" t="s">
        <v>455</v>
      </c>
      <c r="E287" s="2" t="s">
        <v>77</v>
      </c>
      <c r="F287" s="18">
        <v>0.5</v>
      </c>
      <c r="G287" s="18" t="s">
        <v>23</v>
      </c>
      <c r="H287" s="17" t="s">
        <v>456</v>
      </c>
      <c r="I287" s="19">
        <v>45965</v>
      </c>
      <c r="J287" s="19">
        <v>45966</v>
      </c>
      <c r="K287" s="19">
        <v>45965</v>
      </c>
      <c r="L287" s="19">
        <v>45966</v>
      </c>
      <c r="M287" s="18">
        <v>0.5</v>
      </c>
    </row>
    <row r="288" spans="1:28" x14ac:dyDescent="0.2">
      <c r="A288" s="64"/>
      <c r="B288" s="64"/>
      <c r="C288" s="64"/>
      <c r="D288" s="17" t="s">
        <v>382</v>
      </c>
      <c r="E288" s="2" t="s">
        <v>77</v>
      </c>
      <c r="F288" s="18">
        <v>1</v>
      </c>
      <c r="G288" s="18" t="s">
        <v>23</v>
      </c>
      <c r="H288" s="17" t="s">
        <v>418</v>
      </c>
      <c r="I288" s="19">
        <v>45966</v>
      </c>
      <c r="J288" s="19">
        <v>45968</v>
      </c>
      <c r="K288" s="19">
        <v>45965</v>
      </c>
      <c r="L288" s="19">
        <v>45966</v>
      </c>
      <c r="M288" s="18">
        <v>0.5</v>
      </c>
    </row>
    <row r="289" spans="1:13" x14ac:dyDescent="0.2">
      <c r="A289" s="65"/>
      <c r="B289" s="65"/>
      <c r="C289" s="65"/>
      <c r="D289" s="17" t="s">
        <v>429</v>
      </c>
      <c r="E289" s="2" t="s">
        <v>77</v>
      </c>
      <c r="F289" s="18">
        <v>0.5</v>
      </c>
      <c r="G289" s="18" t="s">
        <v>23</v>
      </c>
      <c r="H289" s="17" t="s">
        <v>460</v>
      </c>
      <c r="I289" s="19">
        <v>45967</v>
      </c>
      <c r="J289" s="19">
        <v>45968</v>
      </c>
      <c r="K289" s="19">
        <v>45966</v>
      </c>
      <c r="L289" s="19">
        <v>45967</v>
      </c>
      <c r="M289" s="18">
        <v>0.5</v>
      </c>
    </row>
    <row r="290" spans="1:13" x14ac:dyDescent="0.2">
      <c r="C290" s="30"/>
      <c r="D290" s="31"/>
      <c r="E290" s="32"/>
      <c r="H290" s="31"/>
    </row>
    <row r="291" spans="1:13" x14ac:dyDescent="0.2">
      <c r="C291" s="30"/>
      <c r="D291" s="31"/>
      <c r="E291" s="32"/>
      <c r="H291" s="31"/>
    </row>
    <row r="292" spans="1:13" x14ac:dyDescent="0.2">
      <c r="C292" s="30"/>
      <c r="D292" s="31"/>
      <c r="E292" s="32"/>
      <c r="H292" s="31"/>
    </row>
    <row r="293" spans="1:13" x14ac:dyDescent="0.2">
      <c r="C293" s="30"/>
      <c r="D293" s="31"/>
      <c r="E293" s="32"/>
      <c r="H293" s="31"/>
    </row>
    <row r="294" spans="1:13" x14ac:dyDescent="0.2">
      <c r="C294" s="30"/>
      <c r="D294" s="31"/>
      <c r="E294" s="32"/>
      <c r="H294" s="31"/>
    </row>
    <row r="295" spans="1:13" x14ac:dyDescent="0.2">
      <c r="C295" s="30"/>
      <c r="D295" s="31"/>
      <c r="E295" s="32"/>
      <c r="H295" s="31"/>
    </row>
    <row r="296" spans="1:13" x14ac:dyDescent="0.2">
      <c r="C296" s="30"/>
      <c r="D296" s="31"/>
      <c r="E296" s="32"/>
      <c r="H296" s="31"/>
    </row>
    <row r="297" spans="1:13" x14ac:dyDescent="0.2">
      <c r="C297" s="30"/>
      <c r="D297" s="31"/>
      <c r="E297" s="32"/>
      <c r="H297" s="31"/>
    </row>
    <row r="298" spans="1:13" x14ac:dyDescent="0.2">
      <c r="C298" s="30"/>
      <c r="D298" s="31"/>
      <c r="E298" s="32"/>
      <c r="H298" s="31"/>
    </row>
    <row r="299" spans="1:13" x14ac:dyDescent="0.2">
      <c r="C299" s="30"/>
      <c r="D299" s="31"/>
      <c r="E299" s="32"/>
      <c r="H299" s="31"/>
    </row>
    <row r="300" spans="1:13" x14ac:dyDescent="0.2">
      <c r="C300" s="30"/>
      <c r="D300" s="31"/>
      <c r="E300" s="32"/>
      <c r="H300" s="31"/>
    </row>
    <row r="301" spans="1:13" x14ac:dyDescent="0.2">
      <c r="C301" s="30"/>
      <c r="D301" s="31"/>
      <c r="E301" s="32"/>
      <c r="H301" s="31"/>
    </row>
    <row r="302" spans="1:13" x14ac:dyDescent="0.2">
      <c r="C302" s="30"/>
      <c r="D302" s="31"/>
      <c r="E302" s="32"/>
      <c r="H302" s="31"/>
    </row>
    <row r="303" spans="1:13" x14ac:dyDescent="0.2">
      <c r="C303" s="30"/>
      <c r="D303" s="31"/>
      <c r="E303" s="32"/>
      <c r="H303" s="31"/>
    </row>
    <row r="304" spans="1:13" x14ac:dyDescent="0.2">
      <c r="C304" s="30"/>
      <c r="D304" s="31"/>
      <c r="E304" s="32"/>
      <c r="H304" s="31"/>
    </row>
    <row r="305" spans="3:8" x14ac:dyDescent="0.2">
      <c r="C305" s="30"/>
      <c r="D305" s="31"/>
      <c r="E305" s="32"/>
      <c r="H305" s="31"/>
    </row>
    <row r="306" spans="3:8" x14ac:dyDescent="0.2">
      <c r="C306" s="30"/>
      <c r="D306" s="31"/>
      <c r="E306" s="32"/>
      <c r="H306" s="31"/>
    </row>
    <row r="307" spans="3:8" x14ac:dyDescent="0.2">
      <c r="C307" s="30"/>
      <c r="D307" s="31"/>
      <c r="E307" s="32"/>
      <c r="H307" s="31"/>
    </row>
    <row r="308" spans="3:8" x14ac:dyDescent="0.2">
      <c r="C308" s="30"/>
      <c r="D308" s="31"/>
      <c r="E308" s="32"/>
      <c r="H308" s="31"/>
    </row>
    <row r="309" spans="3:8" x14ac:dyDescent="0.2">
      <c r="C309" s="30"/>
      <c r="D309" s="31"/>
      <c r="E309" s="32"/>
      <c r="H309" s="31"/>
    </row>
    <row r="310" spans="3:8" x14ac:dyDescent="0.2">
      <c r="C310" s="30"/>
      <c r="D310" s="31"/>
      <c r="E310" s="32"/>
      <c r="H310" s="31"/>
    </row>
    <row r="311" spans="3:8" x14ac:dyDescent="0.2">
      <c r="C311" s="30"/>
      <c r="D311" s="31"/>
      <c r="E311" s="32"/>
      <c r="H311" s="31"/>
    </row>
    <row r="312" spans="3:8" x14ac:dyDescent="0.2">
      <c r="C312" s="30"/>
      <c r="D312" s="31"/>
      <c r="E312" s="32"/>
      <c r="H312" s="31"/>
    </row>
    <row r="313" spans="3:8" x14ac:dyDescent="0.2">
      <c r="C313" s="30"/>
      <c r="D313" s="31"/>
      <c r="E313" s="32"/>
      <c r="H313" s="31"/>
    </row>
    <row r="314" spans="3:8" x14ac:dyDescent="0.2">
      <c r="C314" s="30"/>
      <c r="D314" s="31"/>
      <c r="E314" s="32"/>
      <c r="H314" s="31"/>
    </row>
    <row r="315" spans="3:8" x14ac:dyDescent="0.2">
      <c r="C315" s="30"/>
      <c r="D315" s="31"/>
      <c r="E315" s="32"/>
      <c r="H315" s="31"/>
    </row>
    <row r="316" spans="3:8" x14ac:dyDescent="0.2">
      <c r="C316" s="30"/>
      <c r="D316" s="31"/>
      <c r="E316" s="32"/>
      <c r="H316" s="31"/>
    </row>
    <row r="317" spans="3:8" x14ac:dyDescent="0.2">
      <c r="C317" s="30"/>
      <c r="D317" s="31"/>
      <c r="E317" s="32"/>
      <c r="H317" s="31"/>
    </row>
    <row r="318" spans="3:8" x14ac:dyDescent="0.2">
      <c r="C318" s="30"/>
      <c r="D318" s="31"/>
      <c r="E318" s="32"/>
      <c r="H318" s="31"/>
    </row>
    <row r="319" spans="3:8" x14ac:dyDescent="0.2">
      <c r="C319" s="30"/>
      <c r="D319" s="31"/>
      <c r="E319" s="32"/>
      <c r="H319" s="31"/>
    </row>
    <row r="320" spans="3:8" x14ac:dyDescent="0.2">
      <c r="C320" s="30"/>
      <c r="D320" s="31"/>
      <c r="E320" s="32"/>
      <c r="H320" s="31"/>
    </row>
    <row r="321" spans="3:8" x14ac:dyDescent="0.2">
      <c r="C321" s="30"/>
      <c r="D321" s="31"/>
      <c r="E321" s="32"/>
      <c r="H321" s="31"/>
    </row>
    <row r="322" spans="3:8" x14ac:dyDescent="0.2">
      <c r="C322" s="30"/>
      <c r="D322" s="31"/>
      <c r="E322" s="32"/>
      <c r="H322" s="31"/>
    </row>
    <row r="323" spans="3:8" x14ac:dyDescent="0.2">
      <c r="C323" s="30"/>
      <c r="D323" s="31"/>
      <c r="E323" s="32"/>
      <c r="G323" s="4"/>
      <c r="H323" s="31"/>
    </row>
    <row r="324" spans="3:8" x14ac:dyDescent="0.2">
      <c r="C324" s="30"/>
      <c r="D324" s="31"/>
      <c r="E324" s="32"/>
      <c r="G324" s="4"/>
      <c r="H324" s="31"/>
    </row>
    <row r="325" spans="3:8" x14ac:dyDescent="0.2">
      <c r="C325" s="30"/>
      <c r="D325" s="31"/>
      <c r="E325" s="32"/>
      <c r="G325" s="4"/>
      <c r="H325" s="31"/>
    </row>
    <row r="326" spans="3:8" x14ac:dyDescent="0.2">
      <c r="C326" s="30"/>
      <c r="D326" s="31"/>
      <c r="E326" s="32"/>
      <c r="G326" s="4"/>
      <c r="H326" s="31"/>
    </row>
    <row r="327" spans="3:8" x14ac:dyDescent="0.2">
      <c r="C327" s="30"/>
      <c r="D327" s="31"/>
      <c r="E327" s="32"/>
      <c r="G327" s="4"/>
      <c r="H327" s="31"/>
    </row>
    <row r="328" spans="3:8" x14ac:dyDescent="0.2">
      <c r="C328" s="30"/>
      <c r="D328" s="31"/>
      <c r="E328" s="32"/>
      <c r="G328" s="4"/>
      <c r="H328" s="31"/>
    </row>
    <row r="329" spans="3:8" x14ac:dyDescent="0.2">
      <c r="C329" s="30"/>
      <c r="D329" s="31"/>
      <c r="E329" s="32"/>
      <c r="G329" s="4"/>
      <c r="H329" s="31"/>
    </row>
    <row r="330" spans="3:8" x14ac:dyDescent="0.2">
      <c r="C330" s="30"/>
      <c r="D330" s="31"/>
      <c r="E330" s="32"/>
      <c r="G330" s="4"/>
      <c r="H330" s="31"/>
    </row>
    <row r="331" spans="3:8" x14ac:dyDescent="0.2">
      <c r="C331" s="30"/>
      <c r="D331" s="31"/>
      <c r="E331" s="32"/>
      <c r="G331" s="4"/>
      <c r="H331" s="31"/>
    </row>
    <row r="332" spans="3:8" x14ac:dyDescent="0.2">
      <c r="C332" s="30"/>
      <c r="D332" s="31"/>
      <c r="E332" s="32"/>
      <c r="G332" s="4"/>
      <c r="H332" s="31"/>
    </row>
    <row r="333" spans="3:8" x14ac:dyDescent="0.2">
      <c r="C333" s="30"/>
      <c r="D333" s="31"/>
      <c r="E333" s="32"/>
      <c r="G333" s="4"/>
      <c r="H333" s="31"/>
    </row>
    <row r="334" spans="3:8" x14ac:dyDescent="0.2">
      <c r="C334" s="30"/>
      <c r="D334" s="31"/>
      <c r="E334" s="32"/>
      <c r="G334" s="4"/>
      <c r="H334" s="31"/>
    </row>
    <row r="335" spans="3:8" x14ac:dyDescent="0.2">
      <c r="C335" s="30"/>
      <c r="D335" s="31"/>
      <c r="E335" s="32"/>
      <c r="G335" s="4"/>
      <c r="H335" s="31"/>
    </row>
    <row r="336" spans="3:8" x14ac:dyDescent="0.2">
      <c r="C336" s="30"/>
      <c r="D336" s="31"/>
      <c r="E336" s="32"/>
      <c r="G336" s="4"/>
      <c r="H336" s="31"/>
    </row>
    <row r="337" spans="3:8" x14ac:dyDescent="0.2">
      <c r="C337" s="30"/>
      <c r="D337" s="31"/>
      <c r="E337" s="32"/>
      <c r="G337" s="4"/>
      <c r="H337" s="31"/>
    </row>
    <row r="338" spans="3:8" x14ac:dyDescent="0.2">
      <c r="C338" s="30"/>
      <c r="D338" s="31"/>
      <c r="E338" s="32"/>
      <c r="G338" s="4"/>
      <c r="H338" s="31"/>
    </row>
    <row r="339" spans="3:8" x14ac:dyDescent="0.2">
      <c r="C339" s="30"/>
      <c r="D339" s="31"/>
      <c r="E339" s="32"/>
      <c r="G339" s="4"/>
      <c r="H339" s="31"/>
    </row>
    <row r="340" spans="3:8" x14ac:dyDescent="0.2">
      <c r="C340" s="30"/>
      <c r="D340" s="31"/>
      <c r="E340" s="32"/>
      <c r="G340" s="4"/>
      <c r="H340" s="31"/>
    </row>
    <row r="341" spans="3:8" x14ac:dyDescent="0.2">
      <c r="C341" s="30"/>
      <c r="D341" s="31"/>
      <c r="E341" s="32"/>
      <c r="G341" s="4"/>
      <c r="H341" s="31"/>
    </row>
    <row r="342" spans="3:8" x14ac:dyDescent="0.2">
      <c r="C342" s="30"/>
      <c r="D342" s="31"/>
      <c r="E342" s="32"/>
      <c r="G342" s="4"/>
      <c r="H342" s="31"/>
    </row>
    <row r="343" spans="3:8" x14ac:dyDescent="0.2">
      <c r="C343" s="30"/>
      <c r="D343" s="31"/>
      <c r="E343" s="32"/>
      <c r="G343" s="4"/>
      <c r="H343" s="31"/>
    </row>
    <row r="344" spans="3:8" x14ac:dyDescent="0.2">
      <c r="C344" s="30"/>
      <c r="D344" s="31"/>
      <c r="E344" s="32"/>
      <c r="G344" s="4"/>
      <c r="H344" s="31"/>
    </row>
    <row r="345" spans="3:8" x14ac:dyDescent="0.2">
      <c r="C345" s="30"/>
      <c r="D345" s="31"/>
      <c r="E345" s="32"/>
      <c r="G345" s="4"/>
      <c r="H345" s="31"/>
    </row>
    <row r="346" spans="3:8" x14ac:dyDescent="0.2">
      <c r="C346" s="30"/>
      <c r="D346" s="31"/>
      <c r="E346" s="32"/>
      <c r="G346" s="4"/>
      <c r="H346" s="31"/>
    </row>
    <row r="347" spans="3:8" x14ac:dyDescent="0.2">
      <c r="C347" s="30"/>
      <c r="D347" s="31"/>
      <c r="E347" s="32"/>
      <c r="G347" s="4"/>
      <c r="H347" s="31"/>
    </row>
    <row r="348" spans="3:8" x14ac:dyDescent="0.2">
      <c r="C348" s="30"/>
      <c r="D348" s="31"/>
      <c r="E348" s="32"/>
      <c r="G348" s="4"/>
      <c r="H348" s="31"/>
    </row>
    <row r="349" spans="3:8" x14ac:dyDescent="0.2">
      <c r="C349" s="30"/>
      <c r="D349" s="31"/>
      <c r="E349" s="32"/>
      <c r="G349" s="4"/>
      <c r="H349" s="31"/>
    </row>
    <row r="350" spans="3:8" x14ac:dyDescent="0.2">
      <c r="C350" s="30"/>
      <c r="D350" s="31"/>
      <c r="E350" s="32"/>
      <c r="G350" s="4"/>
      <c r="H350" s="31"/>
    </row>
    <row r="351" spans="3:8" x14ac:dyDescent="0.2">
      <c r="C351" s="30"/>
      <c r="D351" s="31"/>
      <c r="E351" s="32"/>
      <c r="G351" s="4"/>
      <c r="H351" s="31"/>
    </row>
    <row r="352" spans="3:8" x14ac:dyDescent="0.2">
      <c r="C352" s="30"/>
      <c r="D352" s="31"/>
      <c r="E352" s="32"/>
      <c r="G352" s="4"/>
      <c r="H352" s="31"/>
    </row>
    <row r="353" spans="3:8" x14ac:dyDescent="0.2">
      <c r="C353" s="30"/>
      <c r="D353" s="31"/>
      <c r="E353" s="32"/>
      <c r="G353" s="4"/>
      <c r="H353" s="31"/>
    </row>
    <row r="354" spans="3:8" x14ac:dyDescent="0.2">
      <c r="C354" s="30"/>
      <c r="D354" s="31"/>
      <c r="E354" s="32"/>
      <c r="G354" s="4"/>
      <c r="H354" s="31"/>
    </row>
    <row r="355" spans="3:8" x14ac:dyDescent="0.2">
      <c r="C355" s="30"/>
      <c r="D355" s="31"/>
      <c r="E355" s="32"/>
      <c r="G355" s="4"/>
      <c r="H355" s="31"/>
    </row>
    <row r="356" spans="3:8" x14ac:dyDescent="0.2">
      <c r="C356" s="30"/>
      <c r="D356" s="31"/>
      <c r="E356" s="32"/>
      <c r="G356" s="4"/>
      <c r="H356" s="31"/>
    </row>
    <row r="357" spans="3:8" x14ac:dyDescent="0.2">
      <c r="C357" s="30"/>
      <c r="D357" s="31"/>
      <c r="E357" s="32"/>
      <c r="G357" s="4"/>
      <c r="H357" s="31"/>
    </row>
    <row r="358" spans="3:8" x14ac:dyDescent="0.2">
      <c r="C358" s="30"/>
      <c r="D358" s="31"/>
      <c r="E358" s="32"/>
      <c r="G358" s="4"/>
      <c r="H358" s="31"/>
    </row>
    <row r="359" spans="3:8" x14ac:dyDescent="0.2">
      <c r="C359" s="30"/>
      <c r="D359" s="31"/>
      <c r="E359" s="32"/>
      <c r="G359" s="4"/>
      <c r="H359" s="31"/>
    </row>
    <row r="360" spans="3:8" x14ac:dyDescent="0.2">
      <c r="C360" s="30"/>
      <c r="D360" s="31"/>
      <c r="E360" s="32"/>
      <c r="G360" s="4"/>
      <c r="H360" s="31"/>
    </row>
    <row r="361" spans="3:8" x14ac:dyDescent="0.2">
      <c r="C361" s="30"/>
      <c r="D361" s="31"/>
      <c r="E361" s="32"/>
      <c r="G361" s="4"/>
      <c r="H361" s="31"/>
    </row>
    <row r="362" spans="3:8" x14ac:dyDescent="0.2">
      <c r="C362" s="30"/>
      <c r="D362" s="31"/>
      <c r="E362" s="32"/>
      <c r="G362" s="4"/>
      <c r="H362" s="31"/>
    </row>
    <row r="363" spans="3:8" x14ac:dyDescent="0.2">
      <c r="C363" s="30"/>
      <c r="D363" s="31"/>
      <c r="E363" s="32"/>
      <c r="G363" s="4"/>
      <c r="H363" s="31"/>
    </row>
    <row r="364" spans="3:8" x14ac:dyDescent="0.2">
      <c r="C364" s="30"/>
      <c r="D364" s="31"/>
      <c r="E364" s="32"/>
      <c r="G364" s="4"/>
      <c r="H364" s="31"/>
    </row>
    <row r="365" spans="3:8" x14ac:dyDescent="0.2">
      <c r="C365" s="30"/>
      <c r="D365" s="31"/>
      <c r="E365" s="32"/>
      <c r="G365" s="4"/>
      <c r="H365" s="31"/>
    </row>
    <row r="366" spans="3:8" x14ac:dyDescent="0.2">
      <c r="C366" s="30"/>
      <c r="D366" s="31"/>
      <c r="E366" s="32"/>
      <c r="G366" s="4"/>
      <c r="H366" s="31"/>
    </row>
    <row r="367" spans="3:8" x14ac:dyDescent="0.2">
      <c r="C367" s="30"/>
      <c r="D367" s="31"/>
      <c r="E367" s="32"/>
      <c r="G367" s="4"/>
      <c r="H367" s="31"/>
    </row>
    <row r="368" spans="3:8" x14ac:dyDescent="0.2">
      <c r="C368" s="30"/>
      <c r="D368" s="31"/>
      <c r="E368" s="32"/>
      <c r="G368" s="4"/>
      <c r="H368" s="31"/>
    </row>
    <row r="369" spans="3:8" x14ac:dyDescent="0.2">
      <c r="C369" s="30"/>
      <c r="D369" s="31"/>
      <c r="E369" s="32"/>
      <c r="G369" s="4"/>
      <c r="H369" s="31"/>
    </row>
    <row r="370" spans="3:8" x14ac:dyDescent="0.2">
      <c r="C370" s="30"/>
      <c r="D370" s="31"/>
      <c r="E370" s="32"/>
      <c r="G370" s="4"/>
      <c r="H370" s="31"/>
    </row>
    <row r="371" spans="3:8" x14ac:dyDescent="0.2">
      <c r="C371" s="30"/>
      <c r="D371" s="31"/>
      <c r="E371" s="32"/>
      <c r="G371" s="4"/>
      <c r="H371" s="31"/>
    </row>
    <row r="372" spans="3:8" x14ac:dyDescent="0.2">
      <c r="C372" s="30"/>
      <c r="D372" s="31"/>
      <c r="E372" s="32"/>
      <c r="G372" s="4"/>
      <c r="H372" s="31"/>
    </row>
    <row r="373" spans="3:8" x14ac:dyDescent="0.2">
      <c r="C373" s="30"/>
      <c r="D373" s="31"/>
      <c r="E373" s="32"/>
      <c r="G373" s="4"/>
      <c r="H373" s="31"/>
    </row>
    <row r="374" spans="3:8" x14ac:dyDescent="0.2">
      <c r="C374" s="30"/>
      <c r="D374" s="31"/>
      <c r="E374" s="32"/>
      <c r="G374" s="4"/>
      <c r="H374" s="31"/>
    </row>
    <row r="375" spans="3:8" x14ac:dyDescent="0.2">
      <c r="C375" s="30"/>
      <c r="D375" s="31"/>
      <c r="E375" s="32"/>
      <c r="G375" s="4"/>
      <c r="H375" s="31"/>
    </row>
    <row r="376" spans="3:8" x14ac:dyDescent="0.2">
      <c r="C376" s="30"/>
      <c r="D376" s="31"/>
      <c r="E376" s="32"/>
      <c r="G376" s="4"/>
      <c r="H376" s="31"/>
    </row>
    <row r="377" spans="3:8" x14ac:dyDescent="0.2">
      <c r="C377" s="30"/>
      <c r="D377" s="31"/>
      <c r="E377" s="32"/>
      <c r="G377" s="4"/>
      <c r="H377" s="31"/>
    </row>
    <row r="378" spans="3:8" x14ac:dyDescent="0.2">
      <c r="C378" s="30"/>
      <c r="D378" s="31"/>
      <c r="E378" s="32"/>
      <c r="G378" s="4"/>
      <c r="H378" s="31"/>
    </row>
    <row r="379" spans="3:8" x14ac:dyDescent="0.2">
      <c r="C379" s="30"/>
      <c r="D379" s="31"/>
      <c r="E379" s="32"/>
      <c r="G379" s="4"/>
      <c r="H379" s="31"/>
    </row>
    <row r="380" spans="3:8" x14ac:dyDescent="0.2">
      <c r="C380" s="30"/>
      <c r="D380" s="31"/>
      <c r="E380" s="32"/>
      <c r="G380" s="4"/>
      <c r="H380" s="31"/>
    </row>
    <row r="381" spans="3:8" x14ac:dyDescent="0.2">
      <c r="C381" s="30"/>
      <c r="D381" s="31"/>
      <c r="E381" s="32"/>
      <c r="G381" s="4"/>
      <c r="H381" s="31"/>
    </row>
    <row r="382" spans="3:8" x14ac:dyDescent="0.2">
      <c r="C382" s="30"/>
      <c r="D382" s="31"/>
      <c r="E382" s="32"/>
      <c r="G382" s="4"/>
      <c r="H382" s="31"/>
    </row>
    <row r="383" spans="3:8" x14ac:dyDescent="0.2">
      <c r="C383" s="30"/>
      <c r="D383" s="31"/>
      <c r="E383" s="32"/>
      <c r="G383" s="4"/>
      <c r="H383" s="31"/>
    </row>
    <row r="384" spans="3:8" x14ac:dyDescent="0.2">
      <c r="C384" s="30"/>
      <c r="D384" s="31"/>
      <c r="E384" s="32"/>
      <c r="G384" s="4"/>
      <c r="H384" s="31"/>
    </row>
    <row r="385" spans="3:8" x14ac:dyDescent="0.2">
      <c r="C385" s="30"/>
      <c r="D385" s="31"/>
      <c r="E385" s="32"/>
      <c r="G385" s="4"/>
      <c r="H385" s="31"/>
    </row>
    <row r="386" spans="3:8" x14ac:dyDescent="0.2">
      <c r="C386" s="30"/>
      <c r="D386" s="31"/>
      <c r="E386" s="32"/>
      <c r="G386" s="4"/>
      <c r="H386" s="31"/>
    </row>
    <row r="387" spans="3:8" x14ac:dyDescent="0.2">
      <c r="C387" s="30"/>
      <c r="D387" s="31"/>
      <c r="E387" s="32"/>
      <c r="G387" s="4"/>
      <c r="H387" s="31"/>
    </row>
    <row r="388" spans="3:8" x14ac:dyDescent="0.2">
      <c r="C388" s="30"/>
      <c r="D388" s="31"/>
      <c r="E388" s="32"/>
      <c r="G388" s="4"/>
      <c r="H388" s="31"/>
    </row>
    <row r="389" spans="3:8" x14ac:dyDescent="0.2">
      <c r="C389" s="30"/>
      <c r="D389" s="31"/>
      <c r="E389" s="32"/>
      <c r="G389" s="4"/>
      <c r="H389" s="31"/>
    </row>
    <row r="390" spans="3:8" x14ac:dyDescent="0.2">
      <c r="C390" s="30"/>
      <c r="D390" s="31"/>
      <c r="E390" s="32"/>
      <c r="G390" s="4"/>
      <c r="H390" s="31"/>
    </row>
    <row r="391" spans="3:8" x14ac:dyDescent="0.2">
      <c r="C391" s="30"/>
      <c r="D391" s="31"/>
      <c r="E391" s="32"/>
      <c r="G391" s="4"/>
      <c r="H391" s="31"/>
    </row>
    <row r="392" spans="3:8" x14ac:dyDescent="0.2">
      <c r="C392" s="30"/>
      <c r="D392" s="31"/>
      <c r="E392" s="32"/>
      <c r="G392" s="4"/>
      <c r="H392" s="31"/>
    </row>
    <row r="393" spans="3:8" x14ac:dyDescent="0.2">
      <c r="C393" s="30"/>
      <c r="D393" s="31"/>
      <c r="E393" s="32"/>
      <c r="G393" s="4"/>
      <c r="H393" s="31"/>
    </row>
    <row r="394" spans="3:8" x14ac:dyDescent="0.2">
      <c r="C394" s="30"/>
      <c r="D394" s="31"/>
      <c r="E394" s="32"/>
      <c r="G394" s="4"/>
      <c r="H394" s="31"/>
    </row>
    <row r="395" spans="3:8" x14ac:dyDescent="0.2">
      <c r="C395" s="30"/>
      <c r="D395" s="31"/>
      <c r="E395" s="32"/>
      <c r="G395" s="4"/>
      <c r="H395" s="31"/>
    </row>
    <row r="396" spans="3:8" x14ac:dyDescent="0.2">
      <c r="C396" s="30"/>
      <c r="D396" s="31"/>
      <c r="E396" s="32"/>
      <c r="G396" s="4"/>
      <c r="H396" s="31"/>
    </row>
    <row r="397" spans="3:8" x14ac:dyDescent="0.2">
      <c r="C397" s="30"/>
      <c r="D397" s="31"/>
      <c r="E397" s="32"/>
      <c r="G397" s="4"/>
      <c r="H397" s="31"/>
    </row>
    <row r="398" spans="3:8" x14ac:dyDescent="0.2">
      <c r="C398" s="30"/>
      <c r="D398" s="31"/>
      <c r="E398" s="32"/>
      <c r="G398" s="4"/>
      <c r="H398" s="31"/>
    </row>
    <row r="399" spans="3:8" x14ac:dyDescent="0.2">
      <c r="C399" s="30"/>
      <c r="D399" s="31"/>
      <c r="E399" s="32"/>
      <c r="G399" s="4"/>
      <c r="H399" s="31"/>
    </row>
    <row r="400" spans="3:8" x14ac:dyDescent="0.2">
      <c r="C400" s="30"/>
      <c r="D400" s="31"/>
      <c r="E400" s="32"/>
      <c r="G400" s="4"/>
      <c r="H400" s="31"/>
    </row>
    <row r="401" spans="3:8" x14ac:dyDescent="0.2">
      <c r="C401" s="30"/>
      <c r="D401" s="31"/>
      <c r="E401" s="32"/>
      <c r="G401" s="4"/>
      <c r="H401" s="31"/>
    </row>
    <row r="402" spans="3:8" x14ac:dyDescent="0.2">
      <c r="C402" s="30"/>
      <c r="D402" s="31"/>
      <c r="E402" s="32"/>
      <c r="G402" s="4"/>
      <c r="H402" s="31"/>
    </row>
    <row r="403" spans="3:8" x14ac:dyDescent="0.2">
      <c r="C403" s="30"/>
      <c r="D403" s="31"/>
      <c r="E403" s="32"/>
      <c r="G403" s="4"/>
      <c r="H403" s="31"/>
    </row>
    <row r="404" spans="3:8" x14ac:dyDescent="0.2">
      <c r="C404" s="30"/>
      <c r="D404" s="31"/>
      <c r="E404" s="32"/>
      <c r="G404" s="4"/>
      <c r="H404" s="31"/>
    </row>
    <row r="405" spans="3:8" x14ac:dyDescent="0.2">
      <c r="C405" s="30"/>
      <c r="D405" s="31"/>
      <c r="E405" s="32"/>
      <c r="G405" s="4"/>
      <c r="H405" s="31"/>
    </row>
    <row r="406" spans="3:8" x14ac:dyDescent="0.2">
      <c r="C406" s="30"/>
      <c r="D406" s="31"/>
      <c r="E406" s="32"/>
      <c r="G406" s="4"/>
      <c r="H406" s="31"/>
    </row>
    <row r="407" spans="3:8" x14ac:dyDescent="0.2">
      <c r="C407" s="30"/>
      <c r="D407" s="31"/>
      <c r="E407" s="32"/>
      <c r="G407" s="4"/>
      <c r="H407" s="31"/>
    </row>
    <row r="408" spans="3:8" x14ac:dyDescent="0.2">
      <c r="C408" s="30"/>
      <c r="D408" s="31"/>
      <c r="E408" s="32"/>
      <c r="G408" s="4"/>
      <c r="H408" s="31"/>
    </row>
    <row r="409" spans="3:8" x14ac:dyDescent="0.2">
      <c r="C409" s="30"/>
      <c r="D409" s="31"/>
      <c r="E409" s="32"/>
      <c r="G409" s="4"/>
      <c r="H409" s="31"/>
    </row>
    <row r="410" spans="3:8" x14ac:dyDescent="0.2">
      <c r="C410" s="30"/>
      <c r="D410" s="31"/>
      <c r="E410" s="32"/>
      <c r="G410" s="4"/>
      <c r="H410" s="31"/>
    </row>
    <row r="411" spans="3:8" x14ac:dyDescent="0.2">
      <c r="C411" s="30"/>
      <c r="D411" s="31"/>
      <c r="E411" s="32"/>
      <c r="G411" s="4"/>
      <c r="H411" s="31"/>
    </row>
    <row r="412" spans="3:8" x14ac:dyDescent="0.2">
      <c r="C412" s="30"/>
      <c r="D412" s="31"/>
      <c r="E412" s="32"/>
      <c r="G412" s="4"/>
      <c r="H412" s="31"/>
    </row>
    <row r="413" spans="3:8" x14ac:dyDescent="0.2">
      <c r="C413" s="30"/>
      <c r="D413" s="31"/>
      <c r="E413" s="32"/>
      <c r="G413" s="4"/>
      <c r="H413" s="31"/>
    </row>
    <row r="414" spans="3:8" x14ac:dyDescent="0.2">
      <c r="C414" s="30"/>
      <c r="D414" s="31"/>
      <c r="E414" s="32"/>
      <c r="G414" s="4"/>
      <c r="H414" s="31"/>
    </row>
    <row r="415" spans="3:8" x14ac:dyDescent="0.2">
      <c r="C415" s="30"/>
      <c r="D415" s="31"/>
      <c r="E415" s="32"/>
      <c r="G415" s="4"/>
      <c r="H415" s="31"/>
    </row>
    <row r="416" spans="3:8" x14ac:dyDescent="0.2">
      <c r="C416" s="30"/>
      <c r="D416" s="31"/>
      <c r="E416" s="32"/>
      <c r="G416" s="4"/>
      <c r="H416" s="31"/>
    </row>
    <row r="417" spans="3:8" x14ac:dyDescent="0.2">
      <c r="C417" s="30"/>
      <c r="D417" s="31"/>
      <c r="E417" s="32"/>
      <c r="G417" s="4"/>
      <c r="H417" s="31"/>
    </row>
    <row r="418" spans="3:8" x14ac:dyDescent="0.2">
      <c r="C418" s="30"/>
      <c r="D418" s="31"/>
      <c r="E418" s="32"/>
      <c r="G418" s="4"/>
      <c r="H418" s="31"/>
    </row>
    <row r="419" spans="3:8" x14ac:dyDescent="0.2">
      <c r="C419" s="30"/>
      <c r="D419" s="31"/>
      <c r="E419" s="32"/>
      <c r="G419" s="4"/>
      <c r="H419" s="31"/>
    </row>
    <row r="420" spans="3:8" x14ac:dyDescent="0.2">
      <c r="C420" s="30"/>
      <c r="D420" s="31"/>
      <c r="E420" s="32"/>
      <c r="G420" s="4"/>
      <c r="H420" s="31"/>
    </row>
    <row r="421" spans="3:8" x14ac:dyDescent="0.2">
      <c r="C421" s="30"/>
      <c r="D421" s="31"/>
      <c r="E421" s="32"/>
      <c r="G421" s="4"/>
      <c r="H421" s="31"/>
    </row>
    <row r="422" spans="3:8" x14ac:dyDescent="0.2">
      <c r="C422" s="30"/>
      <c r="D422" s="31"/>
      <c r="E422" s="32"/>
      <c r="G422" s="4"/>
      <c r="H422" s="31"/>
    </row>
    <row r="423" spans="3:8" x14ac:dyDescent="0.2">
      <c r="C423" s="30"/>
      <c r="D423" s="31"/>
      <c r="E423" s="32"/>
      <c r="G423" s="4"/>
      <c r="H423" s="31"/>
    </row>
    <row r="424" spans="3:8" x14ac:dyDescent="0.2">
      <c r="C424" s="30"/>
      <c r="D424" s="31"/>
      <c r="E424" s="32"/>
      <c r="G424" s="4"/>
      <c r="H424" s="31"/>
    </row>
    <row r="425" spans="3:8" x14ac:dyDescent="0.2">
      <c r="C425" s="30"/>
      <c r="D425" s="31"/>
      <c r="E425" s="32"/>
      <c r="G425" s="4"/>
      <c r="H425" s="31"/>
    </row>
    <row r="426" spans="3:8" x14ac:dyDescent="0.2">
      <c r="C426" s="30"/>
      <c r="D426" s="31"/>
      <c r="E426" s="32"/>
      <c r="G426" s="4"/>
      <c r="H426" s="31"/>
    </row>
    <row r="427" spans="3:8" x14ac:dyDescent="0.2">
      <c r="C427" s="30"/>
      <c r="D427" s="31"/>
      <c r="E427" s="32"/>
      <c r="G427" s="4"/>
      <c r="H427" s="31"/>
    </row>
    <row r="428" spans="3:8" x14ac:dyDescent="0.2">
      <c r="C428" s="30"/>
      <c r="D428" s="31"/>
      <c r="E428" s="32"/>
      <c r="G428" s="4"/>
      <c r="H428" s="31"/>
    </row>
    <row r="429" spans="3:8" x14ac:dyDescent="0.2">
      <c r="C429" s="30"/>
      <c r="D429" s="31"/>
      <c r="E429" s="32"/>
      <c r="G429" s="4"/>
      <c r="H429" s="31"/>
    </row>
    <row r="430" spans="3:8" x14ac:dyDescent="0.2">
      <c r="C430" s="30"/>
      <c r="D430" s="31"/>
      <c r="E430" s="32"/>
      <c r="G430" s="4"/>
      <c r="H430" s="31"/>
    </row>
    <row r="431" spans="3:8" x14ac:dyDescent="0.2">
      <c r="C431" s="30"/>
      <c r="D431" s="31"/>
      <c r="E431" s="32"/>
      <c r="G431" s="4"/>
      <c r="H431" s="31"/>
    </row>
    <row r="432" spans="3:8" x14ac:dyDescent="0.2">
      <c r="C432" s="30"/>
      <c r="D432" s="31"/>
      <c r="E432" s="32"/>
      <c r="G432" s="4"/>
      <c r="H432" s="31"/>
    </row>
    <row r="433" spans="3:8" x14ac:dyDescent="0.2">
      <c r="C433" s="30"/>
      <c r="D433" s="31"/>
      <c r="E433" s="32"/>
      <c r="G433" s="4"/>
      <c r="H433" s="31"/>
    </row>
    <row r="434" spans="3:8" x14ac:dyDescent="0.2">
      <c r="C434" s="30"/>
      <c r="D434" s="31"/>
      <c r="E434" s="32"/>
      <c r="G434" s="4"/>
      <c r="H434" s="31"/>
    </row>
    <row r="435" spans="3:8" x14ac:dyDescent="0.2">
      <c r="C435" s="30"/>
      <c r="D435" s="31"/>
      <c r="E435" s="32"/>
      <c r="G435" s="4"/>
      <c r="H435" s="31"/>
    </row>
    <row r="436" spans="3:8" x14ac:dyDescent="0.2">
      <c r="C436" s="30"/>
      <c r="D436" s="31"/>
      <c r="E436" s="32"/>
      <c r="G436" s="4"/>
      <c r="H436" s="31"/>
    </row>
    <row r="437" spans="3:8" x14ac:dyDescent="0.2">
      <c r="C437" s="30"/>
      <c r="D437" s="31"/>
      <c r="E437" s="32"/>
      <c r="G437" s="4"/>
      <c r="H437" s="31"/>
    </row>
    <row r="438" spans="3:8" x14ac:dyDescent="0.2">
      <c r="C438" s="30"/>
      <c r="D438" s="31"/>
      <c r="E438" s="32"/>
      <c r="G438" s="4"/>
      <c r="H438" s="31"/>
    </row>
    <row r="439" spans="3:8" x14ac:dyDescent="0.2">
      <c r="C439" s="30"/>
      <c r="D439" s="31"/>
      <c r="E439" s="32"/>
      <c r="G439" s="4"/>
      <c r="H439" s="31"/>
    </row>
    <row r="440" spans="3:8" x14ac:dyDescent="0.2">
      <c r="C440" s="30"/>
      <c r="D440" s="31"/>
      <c r="E440" s="32"/>
      <c r="G440" s="4"/>
      <c r="H440" s="31"/>
    </row>
    <row r="441" spans="3:8" x14ac:dyDescent="0.2">
      <c r="C441" s="30"/>
      <c r="D441" s="31"/>
      <c r="E441" s="32"/>
      <c r="G441" s="4"/>
      <c r="H441" s="31"/>
    </row>
    <row r="442" spans="3:8" x14ac:dyDescent="0.2">
      <c r="C442" s="30"/>
      <c r="D442" s="31"/>
      <c r="E442" s="32"/>
      <c r="G442" s="4"/>
      <c r="H442" s="31"/>
    </row>
    <row r="443" spans="3:8" x14ac:dyDescent="0.2">
      <c r="C443" s="30"/>
      <c r="D443" s="31"/>
      <c r="E443" s="32"/>
      <c r="G443" s="4"/>
      <c r="H443" s="31"/>
    </row>
    <row r="444" spans="3:8" x14ac:dyDescent="0.2">
      <c r="C444" s="30"/>
      <c r="D444" s="31"/>
      <c r="E444" s="32"/>
      <c r="G444" s="4"/>
      <c r="H444" s="31"/>
    </row>
    <row r="445" spans="3:8" x14ac:dyDescent="0.2">
      <c r="C445" s="30"/>
      <c r="D445" s="31"/>
      <c r="E445" s="32"/>
      <c r="G445" s="4"/>
      <c r="H445" s="31"/>
    </row>
    <row r="446" spans="3:8" x14ac:dyDescent="0.2">
      <c r="C446" s="30"/>
      <c r="D446" s="31"/>
      <c r="E446" s="32"/>
      <c r="G446" s="4"/>
      <c r="H446" s="31"/>
    </row>
    <row r="447" spans="3:8" x14ac:dyDescent="0.2">
      <c r="C447" s="30"/>
      <c r="D447" s="31"/>
      <c r="E447" s="32"/>
      <c r="G447" s="4"/>
      <c r="H447" s="31"/>
    </row>
    <row r="448" spans="3:8" x14ac:dyDescent="0.2">
      <c r="C448" s="30"/>
      <c r="D448" s="31"/>
      <c r="E448" s="32"/>
      <c r="G448" s="4"/>
      <c r="H448" s="31"/>
    </row>
    <row r="449" spans="3:8" x14ac:dyDescent="0.2">
      <c r="C449" s="30"/>
      <c r="D449" s="31"/>
      <c r="E449" s="32"/>
      <c r="G449" s="4"/>
      <c r="H449" s="31"/>
    </row>
    <row r="450" spans="3:8" x14ac:dyDescent="0.2">
      <c r="C450" s="30"/>
      <c r="D450" s="31"/>
      <c r="E450" s="32"/>
      <c r="G450" s="4"/>
      <c r="H450" s="31"/>
    </row>
    <row r="451" spans="3:8" x14ac:dyDescent="0.2">
      <c r="C451" s="30"/>
      <c r="D451" s="31"/>
      <c r="E451" s="32"/>
      <c r="G451" s="4"/>
      <c r="H451" s="31"/>
    </row>
    <row r="452" spans="3:8" x14ac:dyDescent="0.2">
      <c r="C452" s="30"/>
      <c r="D452" s="31"/>
      <c r="E452" s="32"/>
      <c r="G452" s="4"/>
      <c r="H452" s="31"/>
    </row>
    <row r="453" spans="3:8" x14ac:dyDescent="0.2">
      <c r="C453" s="30"/>
      <c r="D453" s="31"/>
      <c r="E453" s="32"/>
      <c r="G453" s="4"/>
      <c r="H453" s="31"/>
    </row>
    <row r="454" spans="3:8" x14ac:dyDescent="0.2">
      <c r="C454" s="30"/>
      <c r="D454" s="31"/>
      <c r="E454" s="32"/>
      <c r="G454" s="4"/>
      <c r="H454" s="31"/>
    </row>
    <row r="455" spans="3:8" x14ac:dyDescent="0.2">
      <c r="C455" s="30"/>
      <c r="D455" s="31"/>
      <c r="E455" s="32"/>
      <c r="G455" s="4"/>
      <c r="H455" s="31"/>
    </row>
    <row r="456" spans="3:8" x14ac:dyDescent="0.2">
      <c r="C456" s="30"/>
      <c r="D456" s="31"/>
      <c r="E456" s="32"/>
      <c r="G456" s="4"/>
      <c r="H456" s="31"/>
    </row>
    <row r="457" spans="3:8" x14ac:dyDescent="0.2">
      <c r="C457" s="30"/>
      <c r="D457" s="31"/>
      <c r="E457" s="32"/>
      <c r="G457" s="4"/>
      <c r="H457" s="31"/>
    </row>
    <row r="458" spans="3:8" x14ac:dyDescent="0.2">
      <c r="C458" s="30"/>
      <c r="D458" s="31"/>
      <c r="E458" s="32"/>
      <c r="G458" s="4"/>
      <c r="H458" s="31"/>
    </row>
    <row r="459" spans="3:8" x14ac:dyDescent="0.2">
      <c r="C459" s="30"/>
      <c r="D459" s="31"/>
      <c r="E459" s="32"/>
      <c r="G459" s="4"/>
      <c r="H459" s="31"/>
    </row>
    <row r="460" spans="3:8" x14ac:dyDescent="0.2">
      <c r="C460" s="30"/>
      <c r="D460" s="31"/>
      <c r="E460" s="32"/>
      <c r="G460" s="4"/>
      <c r="H460" s="31"/>
    </row>
    <row r="461" spans="3:8" x14ac:dyDescent="0.2">
      <c r="C461" s="30"/>
      <c r="D461" s="31"/>
      <c r="E461" s="32"/>
      <c r="G461" s="4"/>
      <c r="H461" s="31"/>
    </row>
    <row r="462" spans="3:8" x14ac:dyDescent="0.2">
      <c r="C462" s="30"/>
      <c r="D462" s="31"/>
      <c r="E462" s="32"/>
      <c r="G462" s="4"/>
      <c r="H462" s="31"/>
    </row>
    <row r="463" spans="3:8" x14ac:dyDescent="0.2">
      <c r="C463" s="30"/>
      <c r="D463" s="31"/>
      <c r="E463" s="32"/>
      <c r="G463" s="4"/>
      <c r="H463" s="31"/>
    </row>
    <row r="464" spans="3:8" x14ac:dyDescent="0.2">
      <c r="C464" s="30"/>
      <c r="D464" s="31"/>
      <c r="E464" s="32"/>
      <c r="G464" s="4"/>
      <c r="H464" s="31"/>
    </row>
    <row r="465" spans="3:8" x14ac:dyDescent="0.2">
      <c r="C465" s="30"/>
      <c r="D465" s="31"/>
      <c r="E465" s="32"/>
      <c r="G465" s="4"/>
      <c r="H465" s="31"/>
    </row>
    <row r="466" spans="3:8" x14ac:dyDescent="0.2">
      <c r="C466" s="30"/>
      <c r="D466" s="31"/>
      <c r="E466" s="32"/>
      <c r="G466" s="4"/>
      <c r="H466" s="31"/>
    </row>
    <row r="467" spans="3:8" x14ac:dyDescent="0.2">
      <c r="C467" s="30"/>
      <c r="D467" s="31"/>
      <c r="E467" s="32"/>
      <c r="G467" s="4"/>
      <c r="H467" s="31"/>
    </row>
    <row r="468" spans="3:8" x14ac:dyDescent="0.2">
      <c r="C468" s="30"/>
      <c r="D468" s="31"/>
      <c r="E468" s="32"/>
      <c r="G468" s="4"/>
      <c r="H468" s="31"/>
    </row>
    <row r="469" spans="3:8" x14ac:dyDescent="0.2">
      <c r="C469" s="30"/>
      <c r="D469" s="31"/>
      <c r="E469" s="32"/>
      <c r="G469" s="4"/>
      <c r="H469" s="31"/>
    </row>
    <row r="470" spans="3:8" x14ac:dyDescent="0.2">
      <c r="C470" s="30"/>
      <c r="D470" s="31"/>
      <c r="E470" s="32"/>
      <c r="G470" s="4"/>
      <c r="H470" s="31"/>
    </row>
    <row r="471" spans="3:8" x14ac:dyDescent="0.2">
      <c r="C471" s="30"/>
      <c r="D471" s="31"/>
      <c r="E471" s="32"/>
      <c r="G471" s="4"/>
      <c r="H471" s="31"/>
    </row>
    <row r="472" spans="3:8" x14ac:dyDescent="0.2">
      <c r="C472" s="30"/>
      <c r="D472" s="31"/>
      <c r="E472" s="32"/>
      <c r="G472" s="4"/>
      <c r="H472" s="31"/>
    </row>
    <row r="473" spans="3:8" x14ac:dyDescent="0.2">
      <c r="C473" s="30"/>
      <c r="D473" s="31"/>
      <c r="E473" s="32"/>
      <c r="G473" s="4"/>
      <c r="H473" s="31"/>
    </row>
    <row r="474" spans="3:8" x14ac:dyDescent="0.2">
      <c r="C474" s="30"/>
      <c r="D474" s="31"/>
      <c r="E474" s="32"/>
      <c r="G474" s="4"/>
      <c r="H474" s="31"/>
    </row>
    <row r="475" spans="3:8" x14ac:dyDescent="0.2">
      <c r="C475" s="30"/>
      <c r="D475" s="31"/>
      <c r="E475" s="32"/>
      <c r="G475" s="4"/>
      <c r="H475" s="31"/>
    </row>
    <row r="476" spans="3:8" x14ac:dyDescent="0.2">
      <c r="C476" s="30"/>
      <c r="D476" s="31"/>
      <c r="E476" s="32"/>
      <c r="G476" s="4"/>
      <c r="H476" s="31"/>
    </row>
    <row r="477" spans="3:8" x14ac:dyDescent="0.2">
      <c r="C477" s="30"/>
      <c r="D477" s="31"/>
      <c r="E477" s="32"/>
      <c r="G477" s="4"/>
      <c r="H477" s="31"/>
    </row>
    <row r="478" spans="3:8" x14ac:dyDescent="0.2">
      <c r="C478" s="30"/>
      <c r="D478" s="31"/>
      <c r="E478" s="32"/>
      <c r="G478" s="4"/>
      <c r="H478" s="31"/>
    </row>
    <row r="479" spans="3:8" x14ac:dyDescent="0.2">
      <c r="C479" s="30"/>
      <c r="D479" s="31"/>
      <c r="E479" s="32"/>
      <c r="G479" s="4"/>
      <c r="H479" s="31"/>
    </row>
    <row r="480" spans="3:8" x14ac:dyDescent="0.2">
      <c r="C480" s="30"/>
      <c r="D480" s="31"/>
      <c r="E480" s="32"/>
      <c r="G480" s="4"/>
      <c r="H480" s="31"/>
    </row>
    <row r="481" spans="3:8" x14ac:dyDescent="0.2">
      <c r="C481" s="30"/>
      <c r="D481" s="31"/>
      <c r="E481" s="32"/>
      <c r="G481" s="4"/>
      <c r="H481" s="31"/>
    </row>
    <row r="482" spans="3:8" x14ac:dyDescent="0.2">
      <c r="C482" s="30"/>
      <c r="D482" s="31"/>
      <c r="E482" s="32"/>
      <c r="G482" s="4"/>
      <c r="H482" s="31"/>
    </row>
    <row r="483" spans="3:8" x14ac:dyDescent="0.2">
      <c r="C483" s="30"/>
      <c r="D483" s="31"/>
      <c r="E483" s="32"/>
      <c r="G483" s="4"/>
      <c r="H483" s="31"/>
    </row>
    <row r="484" spans="3:8" x14ac:dyDescent="0.2">
      <c r="C484" s="30"/>
      <c r="D484" s="31"/>
      <c r="E484" s="32"/>
      <c r="G484" s="4"/>
      <c r="H484" s="31"/>
    </row>
    <row r="485" spans="3:8" x14ac:dyDescent="0.2">
      <c r="C485" s="30"/>
      <c r="D485" s="31"/>
      <c r="E485" s="32"/>
      <c r="G485" s="4"/>
      <c r="H485" s="31"/>
    </row>
    <row r="486" spans="3:8" x14ac:dyDescent="0.2">
      <c r="C486" s="30"/>
      <c r="D486" s="31"/>
      <c r="E486" s="32"/>
      <c r="G486" s="4"/>
      <c r="H486" s="31"/>
    </row>
    <row r="487" spans="3:8" x14ac:dyDescent="0.2">
      <c r="C487" s="30"/>
      <c r="D487" s="31"/>
      <c r="E487" s="32"/>
      <c r="G487" s="4"/>
      <c r="H487" s="31"/>
    </row>
    <row r="488" spans="3:8" x14ac:dyDescent="0.2">
      <c r="C488" s="30"/>
      <c r="D488" s="31"/>
      <c r="E488" s="32"/>
      <c r="G488" s="4"/>
      <c r="H488" s="31"/>
    </row>
    <row r="489" spans="3:8" x14ac:dyDescent="0.2">
      <c r="C489" s="30"/>
      <c r="D489" s="31"/>
      <c r="E489" s="32"/>
      <c r="G489" s="4"/>
      <c r="H489" s="31"/>
    </row>
    <row r="490" spans="3:8" x14ac:dyDescent="0.2">
      <c r="C490" s="30"/>
      <c r="D490" s="31"/>
      <c r="E490" s="32"/>
      <c r="G490" s="4"/>
      <c r="H490" s="31"/>
    </row>
    <row r="491" spans="3:8" x14ac:dyDescent="0.2">
      <c r="C491" s="30"/>
      <c r="D491" s="31"/>
      <c r="E491" s="32"/>
      <c r="G491" s="4"/>
      <c r="H491" s="31"/>
    </row>
    <row r="492" spans="3:8" x14ac:dyDescent="0.2">
      <c r="C492" s="30"/>
      <c r="D492" s="31"/>
      <c r="E492" s="32"/>
      <c r="G492" s="4"/>
      <c r="H492" s="31"/>
    </row>
    <row r="493" spans="3:8" x14ac:dyDescent="0.2">
      <c r="C493" s="30"/>
      <c r="D493" s="31"/>
      <c r="E493" s="32"/>
      <c r="G493" s="4"/>
      <c r="H493" s="31"/>
    </row>
    <row r="494" spans="3:8" x14ac:dyDescent="0.2">
      <c r="C494" s="30"/>
      <c r="D494" s="31"/>
      <c r="E494" s="32"/>
      <c r="G494" s="4"/>
      <c r="H494" s="31"/>
    </row>
    <row r="495" spans="3:8" x14ac:dyDescent="0.2">
      <c r="C495" s="30"/>
      <c r="D495" s="31"/>
      <c r="E495" s="32"/>
      <c r="G495" s="4"/>
      <c r="H495" s="31"/>
    </row>
    <row r="496" spans="3:8" x14ac:dyDescent="0.2">
      <c r="C496" s="30"/>
      <c r="D496" s="31"/>
      <c r="E496" s="32"/>
      <c r="G496" s="4"/>
      <c r="H496" s="31"/>
    </row>
    <row r="497" spans="3:8" x14ac:dyDescent="0.2">
      <c r="C497" s="30"/>
      <c r="D497" s="31"/>
      <c r="E497" s="32"/>
      <c r="G497" s="4"/>
      <c r="H497" s="31"/>
    </row>
    <row r="498" spans="3:8" x14ac:dyDescent="0.2">
      <c r="C498" s="30"/>
      <c r="D498" s="31"/>
      <c r="E498" s="32"/>
      <c r="G498" s="4"/>
      <c r="H498" s="31"/>
    </row>
    <row r="499" spans="3:8" x14ac:dyDescent="0.2">
      <c r="C499" s="30"/>
      <c r="D499" s="31"/>
      <c r="E499" s="32"/>
      <c r="G499" s="4"/>
      <c r="H499" s="31"/>
    </row>
    <row r="500" spans="3:8" x14ac:dyDescent="0.2">
      <c r="C500" s="30"/>
      <c r="D500" s="31"/>
      <c r="E500" s="32"/>
      <c r="G500" s="4"/>
      <c r="H500" s="31"/>
    </row>
    <row r="501" spans="3:8" x14ac:dyDescent="0.2">
      <c r="C501" s="30"/>
      <c r="D501" s="31"/>
      <c r="E501" s="32"/>
      <c r="G501" s="4"/>
      <c r="H501" s="31"/>
    </row>
    <row r="502" spans="3:8" x14ac:dyDescent="0.2">
      <c r="C502" s="30"/>
      <c r="D502" s="31"/>
      <c r="E502" s="32"/>
      <c r="G502" s="4"/>
      <c r="H502" s="31"/>
    </row>
    <row r="503" spans="3:8" x14ac:dyDescent="0.2">
      <c r="C503" s="30"/>
      <c r="D503" s="31"/>
      <c r="E503" s="32"/>
      <c r="G503" s="4"/>
      <c r="H503" s="31"/>
    </row>
    <row r="504" spans="3:8" x14ac:dyDescent="0.2">
      <c r="C504" s="30"/>
      <c r="D504" s="31"/>
      <c r="E504" s="32"/>
      <c r="G504" s="4"/>
      <c r="H504" s="31"/>
    </row>
    <row r="505" spans="3:8" x14ac:dyDescent="0.2">
      <c r="C505" s="30"/>
      <c r="D505" s="31"/>
      <c r="E505" s="32"/>
      <c r="G505" s="4"/>
      <c r="H505" s="31"/>
    </row>
    <row r="506" spans="3:8" x14ac:dyDescent="0.2">
      <c r="C506" s="30"/>
      <c r="D506" s="31"/>
      <c r="E506" s="32"/>
      <c r="G506" s="4"/>
      <c r="H506" s="31"/>
    </row>
    <row r="507" spans="3:8" x14ac:dyDescent="0.2">
      <c r="C507" s="30"/>
      <c r="D507" s="31"/>
      <c r="E507" s="32"/>
      <c r="G507" s="4"/>
      <c r="H507" s="31"/>
    </row>
    <row r="508" spans="3:8" x14ac:dyDescent="0.2">
      <c r="C508" s="30"/>
      <c r="D508" s="31"/>
      <c r="E508" s="32"/>
      <c r="G508" s="4"/>
      <c r="H508" s="31"/>
    </row>
    <row r="509" spans="3:8" x14ac:dyDescent="0.2">
      <c r="C509" s="30"/>
      <c r="D509" s="31"/>
      <c r="E509" s="32"/>
      <c r="G509" s="4"/>
      <c r="H509" s="31"/>
    </row>
    <row r="510" spans="3:8" x14ac:dyDescent="0.2">
      <c r="C510" s="30"/>
      <c r="D510" s="31"/>
      <c r="E510" s="32"/>
      <c r="G510" s="4"/>
      <c r="H510" s="31"/>
    </row>
    <row r="511" spans="3:8" x14ac:dyDescent="0.2">
      <c r="C511" s="30"/>
      <c r="D511" s="31"/>
      <c r="E511" s="32"/>
      <c r="G511" s="4"/>
      <c r="H511" s="31"/>
    </row>
    <row r="512" spans="3:8" x14ac:dyDescent="0.2">
      <c r="C512" s="30"/>
      <c r="D512" s="31"/>
      <c r="E512" s="32"/>
      <c r="G512" s="4"/>
      <c r="H512" s="31"/>
    </row>
    <row r="513" spans="3:8" x14ac:dyDescent="0.2">
      <c r="C513" s="30"/>
      <c r="D513" s="31"/>
      <c r="E513" s="32"/>
      <c r="G513" s="4"/>
      <c r="H513" s="31"/>
    </row>
    <row r="514" spans="3:8" x14ac:dyDescent="0.2">
      <c r="C514" s="30"/>
      <c r="D514" s="31"/>
      <c r="E514" s="32"/>
      <c r="G514" s="4"/>
      <c r="H514" s="31"/>
    </row>
    <row r="515" spans="3:8" x14ac:dyDescent="0.2">
      <c r="C515" s="30"/>
      <c r="D515" s="31"/>
      <c r="E515" s="32"/>
      <c r="G515" s="4"/>
      <c r="H515" s="31"/>
    </row>
    <row r="516" spans="3:8" x14ac:dyDescent="0.2">
      <c r="C516" s="30"/>
      <c r="D516" s="31"/>
      <c r="E516" s="32"/>
      <c r="G516" s="4"/>
      <c r="H516" s="31"/>
    </row>
    <row r="517" spans="3:8" x14ac:dyDescent="0.2">
      <c r="C517" s="30"/>
      <c r="D517" s="31"/>
      <c r="E517" s="32"/>
      <c r="G517" s="4"/>
      <c r="H517" s="31"/>
    </row>
    <row r="518" spans="3:8" x14ac:dyDescent="0.2">
      <c r="C518" s="30"/>
      <c r="D518" s="31"/>
      <c r="E518" s="32"/>
      <c r="G518" s="4"/>
      <c r="H518" s="31"/>
    </row>
    <row r="519" spans="3:8" x14ac:dyDescent="0.2">
      <c r="C519" s="30"/>
      <c r="D519" s="31"/>
      <c r="E519" s="32"/>
      <c r="G519" s="4"/>
      <c r="H519" s="31"/>
    </row>
    <row r="520" spans="3:8" x14ac:dyDescent="0.2">
      <c r="C520" s="30"/>
      <c r="D520" s="31"/>
      <c r="E520" s="32"/>
      <c r="G520" s="4"/>
      <c r="H520" s="31"/>
    </row>
    <row r="521" spans="3:8" x14ac:dyDescent="0.2">
      <c r="C521" s="30"/>
      <c r="D521" s="31"/>
      <c r="E521" s="32"/>
      <c r="G521" s="4"/>
      <c r="H521" s="31"/>
    </row>
    <row r="522" spans="3:8" x14ac:dyDescent="0.2">
      <c r="C522" s="30"/>
      <c r="D522" s="31"/>
      <c r="E522" s="32"/>
      <c r="G522" s="4"/>
      <c r="H522" s="31"/>
    </row>
    <row r="523" spans="3:8" x14ac:dyDescent="0.2">
      <c r="C523" s="30"/>
      <c r="D523" s="31"/>
      <c r="E523" s="32"/>
      <c r="G523" s="4"/>
      <c r="H523" s="31"/>
    </row>
    <row r="524" spans="3:8" x14ac:dyDescent="0.2">
      <c r="C524" s="30"/>
      <c r="D524" s="31"/>
      <c r="E524" s="32"/>
      <c r="G524" s="4"/>
      <c r="H524" s="31"/>
    </row>
    <row r="525" spans="3:8" x14ac:dyDescent="0.2">
      <c r="C525" s="30"/>
      <c r="D525" s="31"/>
      <c r="E525" s="32"/>
      <c r="G525" s="4"/>
      <c r="H525" s="31"/>
    </row>
    <row r="526" spans="3:8" x14ac:dyDescent="0.2">
      <c r="C526" s="30"/>
      <c r="D526" s="31"/>
      <c r="E526" s="32"/>
      <c r="G526" s="4"/>
      <c r="H526" s="31"/>
    </row>
    <row r="527" spans="3:8" x14ac:dyDescent="0.2">
      <c r="C527" s="30"/>
      <c r="D527" s="31"/>
      <c r="E527" s="32"/>
      <c r="G527" s="4"/>
      <c r="H527" s="31"/>
    </row>
    <row r="528" spans="3:8" x14ac:dyDescent="0.2">
      <c r="C528" s="30"/>
      <c r="D528" s="31"/>
      <c r="E528" s="32"/>
      <c r="G528" s="4"/>
      <c r="H528" s="31"/>
    </row>
    <row r="529" spans="3:8" x14ac:dyDescent="0.2">
      <c r="C529" s="30"/>
      <c r="D529" s="31"/>
      <c r="E529" s="32"/>
      <c r="G529" s="4"/>
      <c r="H529" s="31"/>
    </row>
    <row r="530" spans="3:8" x14ac:dyDescent="0.2">
      <c r="C530" s="30"/>
      <c r="D530" s="31"/>
      <c r="E530" s="32"/>
      <c r="G530" s="4"/>
      <c r="H530" s="31"/>
    </row>
    <row r="531" spans="3:8" x14ac:dyDescent="0.2">
      <c r="C531" s="30"/>
      <c r="D531" s="31"/>
      <c r="E531" s="32"/>
      <c r="G531" s="4"/>
      <c r="H531" s="31"/>
    </row>
    <row r="532" spans="3:8" x14ac:dyDescent="0.2">
      <c r="C532" s="30"/>
      <c r="D532" s="31"/>
      <c r="E532" s="32"/>
      <c r="G532" s="4"/>
      <c r="H532" s="31"/>
    </row>
    <row r="533" spans="3:8" x14ac:dyDescent="0.2">
      <c r="C533" s="30"/>
      <c r="D533" s="31"/>
      <c r="E533" s="32"/>
      <c r="G533" s="4"/>
      <c r="H533" s="31"/>
    </row>
    <row r="534" spans="3:8" x14ac:dyDescent="0.2">
      <c r="C534" s="30"/>
      <c r="D534" s="31"/>
      <c r="E534" s="32"/>
      <c r="G534" s="4"/>
      <c r="H534" s="31"/>
    </row>
    <row r="535" spans="3:8" x14ac:dyDescent="0.2">
      <c r="C535" s="30"/>
      <c r="D535" s="31"/>
      <c r="E535" s="32"/>
      <c r="G535" s="4"/>
      <c r="H535" s="31"/>
    </row>
    <row r="536" spans="3:8" x14ac:dyDescent="0.2">
      <c r="C536" s="30"/>
      <c r="D536" s="31"/>
      <c r="E536" s="32"/>
      <c r="G536" s="4"/>
      <c r="H536" s="31"/>
    </row>
    <row r="537" spans="3:8" x14ac:dyDescent="0.2">
      <c r="C537" s="30"/>
      <c r="D537" s="31"/>
      <c r="E537" s="32"/>
      <c r="G537" s="4"/>
      <c r="H537" s="31"/>
    </row>
    <row r="538" spans="3:8" x14ac:dyDescent="0.2">
      <c r="C538" s="30"/>
      <c r="D538" s="31"/>
      <c r="E538" s="32"/>
      <c r="G538" s="4"/>
      <c r="H538" s="31"/>
    </row>
    <row r="539" spans="3:8" x14ac:dyDescent="0.2">
      <c r="C539" s="30"/>
      <c r="D539" s="31"/>
      <c r="E539" s="32"/>
      <c r="G539" s="4"/>
      <c r="H539" s="31"/>
    </row>
    <row r="540" spans="3:8" x14ac:dyDescent="0.2">
      <c r="C540" s="30"/>
      <c r="D540" s="31"/>
      <c r="E540" s="32"/>
      <c r="G540" s="4"/>
      <c r="H540" s="31"/>
    </row>
    <row r="541" spans="3:8" x14ac:dyDescent="0.2">
      <c r="C541" s="30"/>
      <c r="D541" s="31"/>
      <c r="E541" s="32"/>
      <c r="G541" s="4"/>
      <c r="H541" s="31"/>
    </row>
    <row r="542" spans="3:8" x14ac:dyDescent="0.2">
      <c r="C542" s="30"/>
      <c r="D542" s="31"/>
      <c r="E542" s="32"/>
      <c r="G542" s="4"/>
      <c r="H542" s="31"/>
    </row>
    <row r="543" spans="3:8" x14ac:dyDescent="0.2">
      <c r="C543" s="30"/>
      <c r="D543" s="31"/>
      <c r="E543" s="32"/>
      <c r="G543" s="4"/>
      <c r="H543" s="31"/>
    </row>
    <row r="544" spans="3:8" x14ac:dyDescent="0.2">
      <c r="C544" s="30"/>
      <c r="D544" s="31"/>
      <c r="E544" s="32"/>
      <c r="G544" s="4"/>
      <c r="H544" s="31"/>
    </row>
    <row r="545" spans="3:8" x14ac:dyDescent="0.2">
      <c r="C545" s="30"/>
      <c r="D545" s="31"/>
      <c r="E545" s="32"/>
      <c r="G545" s="4"/>
      <c r="H545" s="31"/>
    </row>
    <row r="546" spans="3:8" x14ac:dyDescent="0.2">
      <c r="C546" s="30"/>
      <c r="D546" s="31"/>
      <c r="E546" s="32"/>
      <c r="G546" s="4"/>
      <c r="H546" s="31"/>
    </row>
    <row r="547" spans="3:8" x14ac:dyDescent="0.2">
      <c r="C547" s="30"/>
      <c r="D547" s="31"/>
      <c r="E547" s="32"/>
      <c r="G547" s="4"/>
      <c r="H547" s="31"/>
    </row>
    <row r="548" spans="3:8" x14ac:dyDescent="0.2">
      <c r="C548" s="30"/>
      <c r="D548" s="31"/>
      <c r="E548" s="32"/>
      <c r="G548" s="4"/>
      <c r="H548" s="31"/>
    </row>
    <row r="549" spans="3:8" x14ac:dyDescent="0.2">
      <c r="C549" s="30"/>
      <c r="D549" s="31"/>
      <c r="E549" s="32"/>
      <c r="G549" s="4"/>
      <c r="H549" s="31"/>
    </row>
    <row r="550" spans="3:8" x14ac:dyDescent="0.2">
      <c r="C550" s="30"/>
      <c r="D550" s="31"/>
      <c r="E550" s="32"/>
      <c r="G550" s="4"/>
      <c r="H550" s="31"/>
    </row>
    <row r="551" spans="3:8" x14ac:dyDescent="0.2">
      <c r="C551" s="30"/>
      <c r="D551" s="31"/>
      <c r="E551" s="32"/>
      <c r="G551" s="4"/>
      <c r="H551" s="31"/>
    </row>
    <row r="552" spans="3:8" x14ac:dyDescent="0.2">
      <c r="C552" s="30"/>
      <c r="D552" s="31"/>
      <c r="E552" s="32"/>
      <c r="G552" s="4"/>
      <c r="H552" s="31"/>
    </row>
    <row r="553" spans="3:8" x14ac:dyDescent="0.2">
      <c r="C553" s="30"/>
      <c r="D553" s="31"/>
      <c r="E553" s="32"/>
      <c r="G553" s="4"/>
      <c r="H553" s="31"/>
    </row>
    <row r="554" spans="3:8" x14ac:dyDescent="0.2">
      <c r="C554" s="30"/>
      <c r="D554" s="31"/>
      <c r="E554" s="32"/>
      <c r="G554" s="4"/>
      <c r="H554" s="31"/>
    </row>
    <row r="555" spans="3:8" x14ac:dyDescent="0.2">
      <c r="C555" s="30"/>
      <c r="D555" s="31"/>
      <c r="E555" s="32"/>
      <c r="G555" s="4"/>
      <c r="H555" s="31"/>
    </row>
    <row r="556" spans="3:8" x14ac:dyDescent="0.2">
      <c r="C556" s="30"/>
      <c r="D556" s="31"/>
      <c r="E556" s="32"/>
      <c r="G556" s="4"/>
      <c r="H556" s="31"/>
    </row>
    <row r="557" spans="3:8" x14ac:dyDescent="0.2">
      <c r="C557" s="30"/>
      <c r="D557" s="31"/>
      <c r="E557" s="32"/>
      <c r="G557" s="4"/>
      <c r="H557" s="31"/>
    </row>
    <row r="558" spans="3:8" x14ac:dyDescent="0.2">
      <c r="C558" s="30"/>
      <c r="D558" s="31"/>
      <c r="E558" s="32"/>
      <c r="G558" s="4"/>
      <c r="H558" s="31"/>
    </row>
    <row r="559" spans="3:8" x14ac:dyDescent="0.2">
      <c r="C559" s="30"/>
      <c r="D559" s="31"/>
      <c r="E559" s="32"/>
      <c r="G559" s="4"/>
      <c r="H559" s="31"/>
    </row>
    <row r="560" spans="3:8" x14ac:dyDescent="0.2">
      <c r="C560" s="30"/>
      <c r="D560" s="31"/>
      <c r="E560" s="32"/>
      <c r="G560" s="4"/>
      <c r="H560" s="31"/>
    </row>
    <row r="561" spans="3:8" x14ac:dyDescent="0.2">
      <c r="C561" s="30"/>
      <c r="D561" s="31"/>
      <c r="E561" s="32"/>
      <c r="G561" s="4"/>
      <c r="H561" s="31"/>
    </row>
    <row r="562" spans="3:8" x14ac:dyDescent="0.2">
      <c r="C562" s="30"/>
      <c r="D562" s="31"/>
      <c r="E562" s="32"/>
      <c r="G562" s="4"/>
      <c r="H562" s="31"/>
    </row>
    <row r="563" spans="3:8" x14ac:dyDescent="0.2">
      <c r="C563" s="30"/>
      <c r="D563" s="31"/>
      <c r="E563" s="32"/>
      <c r="G563" s="4"/>
      <c r="H563" s="31"/>
    </row>
    <row r="564" spans="3:8" x14ac:dyDescent="0.2">
      <c r="C564" s="30"/>
      <c r="D564" s="31"/>
      <c r="E564" s="32"/>
      <c r="G564" s="4"/>
      <c r="H564" s="31"/>
    </row>
    <row r="565" spans="3:8" x14ac:dyDescent="0.2">
      <c r="C565" s="30"/>
      <c r="D565" s="31"/>
      <c r="E565" s="32"/>
      <c r="G565" s="4"/>
      <c r="H565" s="31"/>
    </row>
    <row r="566" spans="3:8" x14ac:dyDescent="0.2">
      <c r="C566" s="30"/>
      <c r="D566" s="31"/>
      <c r="E566" s="32"/>
      <c r="G566" s="4"/>
      <c r="H566" s="31"/>
    </row>
    <row r="567" spans="3:8" x14ac:dyDescent="0.2">
      <c r="C567" s="30"/>
      <c r="D567" s="31"/>
      <c r="E567" s="32"/>
      <c r="G567" s="4"/>
      <c r="H567" s="31"/>
    </row>
    <row r="568" spans="3:8" x14ac:dyDescent="0.2">
      <c r="C568" s="30"/>
      <c r="D568" s="31"/>
      <c r="E568" s="32"/>
      <c r="G568" s="4"/>
      <c r="H568" s="31"/>
    </row>
    <row r="569" spans="3:8" x14ac:dyDescent="0.2">
      <c r="C569" s="30"/>
      <c r="D569" s="31"/>
      <c r="E569" s="32"/>
      <c r="G569" s="4"/>
      <c r="H569" s="31"/>
    </row>
    <row r="570" spans="3:8" x14ac:dyDescent="0.2">
      <c r="C570" s="30"/>
      <c r="D570" s="31"/>
      <c r="E570" s="32"/>
      <c r="G570" s="4"/>
      <c r="H570" s="31"/>
    </row>
    <row r="571" spans="3:8" x14ac:dyDescent="0.2">
      <c r="C571" s="30"/>
      <c r="D571" s="31"/>
      <c r="E571" s="32"/>
      <c r="G571" s="4"/>
      <c r="H571" s="31"/>
    </row>
    <row r="572" spans="3:8" x14ac:dyDescent="0.2">
      <c r="C572" s="30"/>
      <c r="D572" s="31"/>
      <c r="E572" s="32"/>
      <c r="G572" s="4"/>
      <c r="H572" s="31"/>
    </row>
    <row r="573" spans="3:8" x14ac:dyDescent="0.2">
      <c r="C573" s="30"/>
      <c r="D573" s="31"/>
      <c r="E573" s="32"/>
      <c r="G573" s="4"/>
      <c r="H573" s="31"/>
    </row>
    <row r="574" spans="3:8" x14ac:dyDescent="0.2">
      <c r="C574" s="30"/>
      <c r="D574" s="31"/>
      <c r="E574" s="32"/>
      <c r="G574" s="4"/>
      <c r="H574" s="31"/>
    </row>
    <row r="575" spans="3:8" x14ac:dyDescent="0.2">
      <c r="C575" s="30"/>
      <c r="D575" s="31"/>
      <c r="E575" s="32"/>
      <c r="G575" s="4"/>
      <c r="H575" s="31"/>
    </row>
    <row r="576" spans="3:8" x14ac:dyDescent="0.2">
      <c r="C576" s="30"/>
      <c r="D576" s="31"/>
      <c r="E576" s="32"/>
      <c r="G576" s="4"/>
      <c r="H576" s="31"/>
    </row>
    <row r="577" spans="3:8" x14ac:dyDescent="0.2">
      <c r="C577" s="30"/>
      <c r="D577" s="31"/>
      <c r="E577" s="32"/>
      <c r="G577" s="4"/>
      <c r="H577" s="31"/>
    </row>
    <row r="578" spans="3:8" x14ac:dyDescent="0.2">
      <c r="C578" s="30"/>
      <c r="D578" s="31"/>
      <c r="E578" s="32"/>
      <c r="G578" s="4"/>
      <c r="H578" s="31"/>
    </row>
    <row r="579" spans="3:8" x14ac:dyDescent="0.2">
      <c r="C579" s="30"/>
      <c r="D579" s="31"/>
      <c r="E579" s="32"/>
      <c r="G579" s="4"/>
      <c r="H579" s="31"/>
    </row>
    <row r="580" spans="3:8" x14ac:dyDescent="0.2">
      <c r="C580" s="30"/>
      <c r="D580" s="31"/>
      <c r="E580" s="32"/>
      <c r="G580" s="4"/>
      <c r="H580" s="31"/>
    </row>
    <row r="581" spans="3:8" x14ac:dyDescent="0.2">
      <c r="C581" s="30"/>
      <c r="D581" s="31"/>
      <c r="E581" s="32"/>
      <c r="G581" s="4"/>
      <c r="H581" s="31"/>
    </row>
    <row r="582" spans="3:8" x14ac:dyDescent="0.2">
      <c r="C582" s="30"/>
      <c r="D582" s="31"/>
      <c r="E582" s="32"/>
      <c r="G582" s="4"/>
      <c r="H582" s="31"/>
    </row>
    <row r="583" spans="3:8" x14ac:dyDescent="0.2">
      <c r="C583" s="30"/>
      <c r="D583" s="31"/>
      <c r="E583" s="32"/>
      <c r="G583" s="4"/>
      <c r="H583" s="31"/>
    </row>
    <row r="584" spans="3:8" x14ac:dyDescent="0.2">
      <c r="C584" s="30"/>
      <c r="D584" s="31"/>
      <c r="E584" s="32"/>
      <c r="G584" s="4"/>
      <c r="H584" s="31"/>
    </row>
    <row r="585" spans="3:8" x14ac:dyDescent="0.2">
      <c r="C585" s="30"/>
      <c r="D585" s="31"/>
      <c r="E585" s="32"/>
      <c r="G585" s="4"/>
      <c r="H585" s="31"/>
    </row>
    <row r="586" spans="3:8" x14ac:dyDescent="0.2">
      <c r="C586" s="30"/>
      <c r="D586" s="31"/>
      <c r="E586" s="32"/>
      <c r="G586" s="4"/>
      <c r="H586" s="31"/>
    </row>
    <row r="587" spans="3:8" x14ac:dyDescent="0.2">
      <c r="C587" s="30"/>
      <c r="D587" s="31"/>
      <c r="E587" s="32"/>
      <c r="G587" s="4"/>
      <c r="H587" s="31"/>
    </row>
    <row r="588" spans="3:8" x14ac:dyDescent="0.2">
      <c r="C588" s="30"/>
      <c r="D588" s="31"/>
      <c r="E588" s="32"/>
      <c r="G588" s="4"/>
      <c r="H588" s="31"/>
    </row>
    <row r="589" spans="3:8" x14ac:dyDescent="0.2">
      <c r="C589" s="30"/>
      <c r="D589" s="31"/>
      <c r="E589" s="32"/>
      <c r="G589" s="4"/>
      <c r="H589" s="31"/>
    </row>
    <row r="590" spans="3:8" x14ac:dyDescent="0.2">
      <c r="C590" s="30"/>
      <c r="D590" s="31"/>
      <c r="E590" s="32"/>
      <c r="G590" s="4"/>
      <c r="H590" s="31"/>
    </row>
    <row r="591" spans="3:8" x14ac:dyDescent="0.2">
      <c r="C591" s="30"/>
      <c r="D591" s="31"/>
      <c r="E591" s="32"/>
      <c r="G591" s="4"/>
      <c r="H591" s="31"/>
    </row>
    <row r="592" spans="3:8" x14ac:dyDescent="0.2">
      <c r="C592" s="30"/>
      <c r="D592" s="31"/>
      <c r="E592" s="32"/>
      <c r="G592" s="4"/>
      <c r="H592" s="31"/>
    </row>
    <row r="593" spans="3:8" x14ac:dyDescent="0.2">
      <c r="C593" s="30"/>
      <c r="D593" s="31"/>
      <c r="E593" s="32"/>
      <c r="G593" s="4"/>
      <c r="H593" s="31"/>
    </row>
    <row r="594" spans="3:8" x14ac:dyDescent="0.2">
      <c r="C594" s="30"/>
      <c r="D594" s="31"/>
      <c r="E594" s="32"/>
      <c r="G594" s="4"/>
      <c r="H594" s="31"/>
    </row>
    <row r="595" spans="3:8" x14ac:dyDescent="0.2">
      <c r="C595" s="30"/>
      <c r="D595" s="31"/>
      <c r="E595" s="32"/>
      <c r="G595" s="4"/>
      <c r="H595" s="31"/>
    </row>
    <row r="596" spans="3:8" x14ac:dyDescent="0.2">
      <c r="C596" s="30"/>
      <c r="D596" s="31"/>
      <c r="E596" s="32"/>
      <c r="G596" s="4"/>
      <c r="H596" s="31"/>
    </row>
    <row r="597" spans="3:8" x14ac:dyDescent="0.2">
      <c r="C597" s="30"/>
      <c r="D597" s="31"/>
      <c r="E597" s="32"/>
      <c r="G597" s="4"/>
      <c r="H597" s="31"/>
    </row>
    <row r="598" spans="3:8" x14ac:dyDescent="0.2">
      <c r="C598" s="30"/>
      <c r="D598" s="31"/>
      <c r="E598" s="32"/>
      <c r="G598" s="4"/>
      <c r="H598" s="31"/>
    </row>
    <row r="599" spans="3:8" x14ac:dyDescent="0.2">
      <c r="C599" s="30"/>
      <c r="D599" s="31"/>
      <c r="E599" s="32"/>
      <c r="G599" s="4"/>
      <c r="H599" s="31"/>
    </row>
    <row r="600" spans="3:8" x14ac:dyDescent="0.2">
      <c r="C600" s="30"/>
      <c r="D600" s="31"/>
      <c r="E600" s="32"/>
      <c r="G600" s="4"/>
      <c r="H600" s="31"/>
    </row>
    <row r="601" spans="3:8" x14ac:dyDescent="0.2">
      <c r="C601" s="30"/>
      <c r="D601" s="31"/>
      <c r="E601" s="32"/>
      <c r="G601" s="4"/>
      <c r="H601" s="31"/>
    </row>
    <row r="602" spans="3:8" x14ac:dyDescent="0.2">
      <c r="C602" s="30"/>
      <c r="D602" s="31"/>
      <c r="E602" s="32"/>
      <c r="G602" s="4"/>
      <c r="H602" s="31"/>
    </row>
    <row r="603" spans="3:8" x14ac:dyDescent="0.2">
      <c r="C603" s="30"/>
      <c r="D603" s="31"/>
      <c r="E603" s="32"/>
      <c r="G603" s="4"/>
      <c r="H603" s="31"/>
    </row>
    <row r="604" spans="3:8" x14ac:dyDescent="0.2">
      <c r="C604" s="30"/>
      <c r="D604" s="31"/>
      <c r="E604" s="32"/>
      <c r="G604" s="4"/>
      <c r="H604" s="31"/>
    </row>
    <row r="605" spans="3:8" x14ac:dyDescent="0.2">
      <c r="C605" s="30"/>
      <c r="D605" s="31"/>
      <c r="E605" s="32"/>
      <c r="G605" s="4"/>
      <c r="H605" s="31"/>
    </row>
    <row r="606" spans="3:8" x14ac:dyDescent="0.2">
      <c r="C606" s="30"/>
      <c r="D606" s="31"/>
      <c r="E606" s="32"/>
      <c r="G606" s="4"/>
      <c r="H606" s="31"/>
    </row>
    <row r="607" spans="3:8" x14ac:dyDescent="0.2">
      <c r="C607" s="30"/>
      <c r="D607" s="31"/>
      <c r="E607" s="32"/>
      <c r="G607" s="4"/>
      <c r="H607" s="31"/>
    </row>
    <row r="608" spans="3:8" x14ac:dyDescent="0.2">
      <c r="C608" s="30"/>
      <c r="D608" s="31"/>
      <c r="E608" s="32"/>
      <c r="G608" s="4"/>
      <c r="H608" s="31"/>
    </row>
    <row r="609" spans="3:8" x14ac:dyDescent="0.2">
      <c r="C609" s="30"/>
      <c r="D609" s="31"/>
      <c r="E609" s="32"/>
      <c r="G609" s="4"/>
      <c r="H609" s="31"/>
    </row>
    <row r="610" spans="3:8" x14ac:dyDescent="0.2">
      <c r="C610" s="30"/>
      <c r="D610" s="31"/>
      <c r="E610" s="32"/>
      <c r="G610" s="4"/>
      <c r="H610" s="31"/>
    </row>
    <row r="611" spans="3:8" x14ac:dyDescent="0.2">
      <c r="C611" s="30"/>
      <c r="D611" s="31"/>
      <c r="E611" s="32"/>
      <c r="G611" s="4"/>
      <c r="H611" s="31"/>
    </row>
    <row r="612" spans="3:8" x14ac:dyDescent="0.2">
      <c r="C612" s="30"/>
      <c r="D612" s="31"/>
      <c r="E612" s="32"/>
      <c r="G612" s="4"/>
      <c r="H612" s="31"/>
    </row>
    <row r="613" spans="3:8" x14ac:dyDescent="0.2">
      <c r="C613" s="30"/>
      <c r="D613" s="31"/>
      <c r="E613" s="32"/>
      <c r="G613" s="4"/>
      <c r="H613" s="31"/>
    </row>
    <row r="614" spans="3:8" x14ac:dyDescent="0.2">
      <c r="C614" s="30"/>
      <c r="D614" s="31"/>
      <c r="E614" s="32"/>
      <c r="G614" s="4"/>
      <c r="H614" s="31"/>
    </row>
    <row r="615" spans="3:8" x14ac:dyDescent="0.2">
      <c r="C615" s="30"/>
      <c r="D615" s="31"/>
      <c r="E615" s="32"/>
      <c r="G615" s="4"/>
      <c r="H615" s="31"/>
    </row>
    <row r="616" spans="3:8" x14ac:dyDescent="0.2">
      <c r="C616" s="30"/>
      <c r="D616" s="31"/>
      <c r="E616" s="32"/>
      <c r="G616" s="4"/>
      <c r="H616" s="31"/>
    </row>
    <row r="617" spans="3:8" x14ac:dyDescent="0.2">
      <c r="C617" s="30"/>
      <c r="D617" s="31"/>
      <c r="E617" s="32"/>
      <c r="G617" s="4"/>
      <c r="H617" s="31"/>
    </row>
    <row r="618" spans="3:8" x14ac:dyDescent="0.2">
      <c r="C618" s="30"/>
      <c r="D618" s="31"/>
      <c r="E618" s="32"/>
      <c r="G618" s="4"/>
      <c r="H618" s="31"/>
    </row>
    <row r="619" spans="3:8" x14ac:dyDescent="0.2">
      <c r="C619" s="30"/>
      <c r="D619" s="31"/>
      <c r="E619" s="32"/>
      <c r="G619" s="4"/>
      <c r="H619" s="31"/>
    </row>
    <row r="620" spans="3:8" x14ac:dyDescent="0.2">
      <c r="C620" s="30"/>
      <c r="D620" s="31"/>
      <c r="E620" s="32"/>
      <c r="G620" s="4"/>
      <c r="H620" s="31"/>
    </row>
    <row r="621" spans="3:8" x14ac:dyDescent="0.2">
      <c r="C621" s="30"/>
      <c r="D621" s="31"/>
      <c r="E621" s="32"/>
      <c r="G621" s="4"/>
      <c r="H621" s="31"/>
    </row>
    <row r="622" spans="3:8" x14ac:dyDescent="0.2">
      <c r="C622" s="30"/>
      <c r="D622" s="31"/>
      <c r="E622" s="32"/>
      <c r="G622" s="4"/>
      <c r="H622" s="31"/>
    </row>
    <row r="623" spans="3:8" x14ac:dyDescent="0.2">
      <c r="C623" s="30"/>
      <c r="D623" s="31"/>
      <c r="E623" s="32"/>
      <c r="G623" s="4"/>
      <c r="H623" s="31"/>
    </row>
    <row r="624" spans="3:8" x14ac:dyDescent="0.2">
      <c r="C624" s="30"/>
      <c r="D624" s="31"/>
      <c r="E624" s="32"/>
      <c r="G624" s="4"/>
      <c r="H624" s="31"/>
    </row>
    <row r="625" spans="3:8" x14ac:dyDescent="0.2">
      <c r="C625" s="30"/>
      <c r="D625" s="31"/>
      <c r="E625" s="32"/>
      <c r="G625" s="4"/>
      <c r="H625" s="31"/>
    </row>
    <row r="626" spans="3:8" x14ac:dyDescent="0.2">
      <c r="C626" s="30"/>
      <c r="D626" s="31"/>
      <c r="E626" s="32"/>
      <c r="G626" s="4"/>
      <c r="H626" s="31"/>
    </row>
    <row r="627" spans="3:8" x14ac:dyDescent="0.2">
      <c r="C627" s="30"/>
      <c r="D627" s="31"/>
      <c r="E627" s="32"/>
      <c r="G627" s="4"/>
      <c r="H627" s="31"/>
    </row>
    <row r="628" spans="3:8" x14ac:dyDescent="0.2">
      <c r="C628" s="30"/>
      <c r="D628" s="31"/>
      <c r="E628" s="32"/>
      <c r="G628" s="4"/>
      <c r="H628" s="31"/>
    </row>
    <row r="629" spans="3:8" x14ac:dyDescent="0.2">
      <c r="C629" s="30"/>
      <c r="D629" s="31"/>
      <c r="E629" s="32"/>
      <c r="G629" s="4"/>
      <c r="H629" s="31"/>
    </row>
    <row r="630" spans="3:8" x14ac:dyDescent="0.2">
      <c r="C630" s="30"/>
      <c r="D630" s="31"/>
      <c r="E630" s="32"/>
      <c r="G630" s="4"/>
      <c r="H630" s="31"/>
    </row>
    <row r="631" spans="3:8" x14ac:dyDescent="0.2">
      <c r="C631" s="30"/>
      <c r="D631" s="31"/>
      <c r="E631" s="32"/>
      <c r="G631" s="4"/>
      <c r="H631" s="31"/>
    </row>
    <row r="632" spans="3:8" x14ac:dyDescent="0.2">
      <c r="C632" s="30"/>
      <c r="D632" s="31"/>
      <c r="E632" s="32"/>
      <c r="G632" s="4"/>
      <c r="H632" s="31"/>
    </row>
    <row r="633" spans="3:8" x14ac:dyDescent="0.2">
      <c r="C633" s="30"/>
      <c r="D633" s="31"/>
      <c r="E633" s="32"/>
      <c r="G633" s="4"/>
      <c r="H633" s="31"/>
    </row>
    <row r="634" spans="3:8" x14ac:dyDescent="0.2">
      <c r="C634" s="30"/>
      <c r="D634" s="31"/>
      <c r="E634" s="32"/>
      <c r="G634" s="4"/>
      <c r="H634" s="31"/>
    </row>
    <row r="635" spans="3:8" x14ac:dyDescent="0.2">
      <c r="C635" s="30"/>
      <c r="D635" s="31"/>
      <c r="E635" s="32"/>
      <c r="G635" s="4"/>
      <c r="H635" s="31"/>
    </row>
    <row r="636" spans="3:8" x14ac:dyDescent="0.2">
      <c r="C636" s="30"/>
      <c r="D636" s="31"/>
      <c r="E636" s="32"/>
      <c r="G636" s="4"/>
      <c r="H636" s="31"/>
    </row>
    <row r="637" spans="3:8" x14ac:dyDescent="0.2">
      <c r="C637" s="30"/>
      <c r="D637" s="31"/>
      <c r="E637" s="32"/>
      <c r="G637" s="4"/>
      <c r="H637" s="31"/>
    </row>
    <row r="638" spans="3:8" x14ac:dyDescent="0.2">
      <c r="C638" s="30"/>
      <c r="D638" s="31"/>
      <c r="E638" s="32"/>
      <c r="G638" s="4"/>
      <c r="H638" s="31"/>
    </row>
    <row r="639" spans="3:8" x14ac:dyDescent="0.2">
      <c r="C639" s="30"/>
      <c r="D639" s="31"/>
      <c r="E639" s="32"/>
      <c r="G639" s="4"/>
      <c r="H639" s="31"/>
    </row>
    <row r="640" spans="3:8" x14ac:dyDescent="0.2">
      <c r="C640" s="30"/>
      <c r="D640" s="31"/>
      <c r="E640" s="32"/>
      <c r="G640" s="4"/>
      <c r="H640" s="31"/>
    </row>
    <row r="641" spans="3:8" x14ac:dyDescent="0.2">
      <c r="C641" s="30"/>
      <c r="D641" s="31"/>
      <c r="E641" s="32"/>
      <c r="G641" s="4"/>
      <c r="H641" s="31"/>
    </row>
    <row r="642" spans="3:8" x14ac:dyDescent="0.2">
      <c r="C642" s="30"/>
      <c r="D642" s="31"/>
      <c r="E642" s="32"/>
      <c r="G642" s="4"/>
      <c r="H642" s="31"/>
    </row>
    <row r="643" spans="3:8" x14ac:dyDescent="0.2">
      <c r="C643" s="30"/>
      <c r="D643" s="31"/>
      <c r="E643" s="32"/>
      <c r="G643" s="4"/>
      <c r="H643" s="31"/>
    </row>
    <row r="644" spans="3:8" x14ac:dyDescent="0.2">
      <c r="C644" s="30"/>
      <c r="D644" s="31"/>
      <c r="E644" s="32"/>
      <c r="G644" s="4"/>
      <c r="H644" s="31"/>
    </row>
    <row r="645" spans="3:8" x14ac:dyDescent="0.2">
      <c r="C645" s="30"/>
      <c r="D645" s="31"/>
      <c r="E645" s="32"/>
      <c r="G645" s="4"/>
      <c r="H645" s="31"/>
    </row>
    <row r="646" spans="3:8" x14ac:dyDescent="0.2">
      <c r="C646" s="30"/>
      <c r="D646" s="31"/>
      <c r="E646" s="32"/>
      <c r="G646" s="4"/>
      <c r="H646" s="31"/>
    </row>
    <row r="647" spans="3:8" x14ac:dyDescent="0.2">
      <c r="C647" s="30"/>
      <c r="D647" s="31"/>
      <c r="E647" s="32"/>
      <c r="G647" s="4"/>
      <c r="H647" s="31"/>
    </row>
    <row r="648" spans="3:8" x14ac:dyDescent="0.2">
      <c r="C648" s="30"/>
      <c r="D648" s="31"/>
      <c r="E648" s="32"/>
      <c r="G648" s="4"/>
      <c r="H648" s="31"/>
    </row>
    <row r="649" spans="3:8" x14ac:dyDescent="0.2">
      <c r="C649" s="30"/>
      <c r="D649" s="31"/>
      <c r="E649" s="32"/>
      <c r="G649" s="4"/>
      <c r="H649" s="31"/>
    </row>
    <row r="650" spans="3:8" x14ac:dyDescent="0.2">
      <c r="C650" s="30"/>
      <c r="D650" s="31"/>
      <c r="E650" s="32"/>
      <c r="G650" s="4"/>
      <c r="H650" s="31"/>
    </row>
    <row r="651" spans="3:8" x14ac:dyDescent="0.2">
      <c r="C651" s="30"/>
      <c r="D651" s="31"/>
      <c r="E651" s="32"/>
      <c r="G651" s="4"/>
      <c r="H651" s="31"/>
    </row>
    <row r="652" spans="3:8" x14ac:dyDescent="0.2">
      <c r="C652" s="30"/>
      <c r="D652" s="31"/>
      <c r="E652" s="32"/>
      <c r="G652" s="4"/>
      <c r="H652" s="31"/>
    </row>
    <row r="653" spans="3:8" x14ac:dyDescent="0.2">
      <c r="C653" s="30"/>
      <c r="D653" s="31"/>
      <c r="E653" s="32"/>
      <c r="G653" s="4"/>
      <c r="H653" s="31"/>
    </row>
    <row r="654" spans="3:8" x14ac:dyDescent="0.2">
      <c r="C654" s="30"/>
      <c r="D654" s="31"/>
      <c r="E654" s="32"/>
      <c r="G654" s="4"/>
      <c r="H654" s="31"/>
    </row>
    <row r="655" spans="3:8" x14ac:dyDescent="0.2">
      <c r="C655" s="30"/>
      <c r="D655" s="31"/>
      <c r="E655" s="32"/>
      <c r="G655" s="4"/>
      <c r="H655" s="31"/>
    </row>
    <row r="656" spans="3:8" x14ac:dyDescent="0.2">
      <c r="C656" s="30"/>
      <c r="D656" s="31"/>
      <c r="E656" s="32"/>
      <c r="G656" s="4"/>
      <c r="H656" s="31"/>
    </row>
    <row r="657" spans="3:8" x14ac:dyDescent="0.2">
      <c r="C657" s="30"/>
      <c r="D657" s="31"/>
      <c r="E657" s="32"/>
      <c r="G657" s="4"/>
      <c r="H657" s="31"/>
    </row>
    <row r="658" spans="3:8" x14ac:dyDescent="0.2">
      <c r="C658" s="30"/>
      <c r="D658" s="31"/>
      <c r="E658" s="32"/>
      <c r="G658" s="4"/>
      <c r="H658" s="31"/>
    </row>
    <row r="659" spans="3:8" x14ac:dyDescent="0.2">
      <c r="C659" s="30"/>
      <c r="D659" s="31"/>
      <c r="E659" s="32"/>
      <c r="G659" s="4"/>
      <c r="H659" s="31"/>
    </row>
    <row r="660" spans="3:8" x14ac:dyDescent="0.2">
      <c r="C660" s="30"/>
      <c r="D660" s="31"/>
      <c r="E660" s="32"/>
      <c r="G660" s="4"/>
      <c r="H660" s="31"/>
    </row>
    <row r="661" spans="3:8" x14ac:dyDescent="0.2">
      <c r="C661" s="30"/>
      <c r="D661" s="31"/>
      <c r="E661" s="32"/>
      <c r="G661" s="4"/>
      <c r="H661" s="31"/>
    </row>
    <row r="662" spans="3:8" x14ac:dyDescent="0.2">
      <c r="C662" s="30"/>
      <c r="D662" s="31"/>
      <c r="E662" s="32"/>
      <c r="G662" s="4"/>
      <c r="H662" s="31"/>
    </row>
    <row r="663" spans="3:8" x14ac:dyDescent="0.2">
      <c r="C663" s="30"/>
      <c r="D663" s="31"/>
      <c r="E663" s="32"/>
      <c r="G663" s="4"/>
      <c r="H663" s="31"/>
    </row>
    <row r="664" spans="3:8" x14ac:dyDescent="0.2">
      <c r="C664" s="30"/>
      <c r="D664" s="31"/>
      <c r="E664" s="32"/>
      <c r="G664" s="4"/>
      <c r="H664" s="31"/>
    </row>
    <row r="665" spans="3:8" x14ac:dyDescent="0.2">
      <c r="C665" s="30"/>
      <c r="D665" s="31"/>
      <c r="E665" s="32"/>
      <c r="G665" s="4"/>
      <c r="H665" s="31"/>
    </row>
    <row r="666" spans="3:8" x14ac:dyDescent="0.2">
      <c r="C666" s="30"/>
      <c r="D666" s="31"/>
      <c r="E666" s="32"/>
      <c r="G666" s="4"/>
      <c r="H666" s="31"/>
    </row>
    <row r="667" spans="3:8" x14ac:dyDescent="0.2">
      <c r="C667" s="30"/>
      <c r="D667" s="31"/>
      <c r="E667" s="32"/>
      <c r="G667" s="4"/>
      <c r="H667" s="31"/>
    </row>
    <row r="668" spans="3:8" x14ac:dyDescent="0.2">
      <c r="C668" s="30"/>
      <c r="D668" s="31"/>
      <c r="E668" s="32"/>
      <c r="G668" s="4"/>
      <c r="H668" s="31"/>
    </row>
    <row r="669" spans="3:8" x14ac:dyDescent="0.2">
      <c r="C669" s="30"/>
      <c r="D669" s="31"/>
      <c r="E669" s="32"/>
      <c r="G669" s="4"/>
      <c r="H669" s="31"/>
    </row>
    <row r="670" spans="3:8" x14ac:dyDescent="0.2">
      <c r="C670" s="30"/>
      <c r="D670" s="31"/>
      <c r="E670" s="32"/>
      <c r="G670" s="4"/>
      <c r="H670" s="31"/>
    </row>
    <row r="671" spans="3:8" x14ac:dyDescent="0.2">
      <c r="C671" s="30"/>
      <c r="D671" s="31"/>
      <c r="E671" s="32"/>
      <c r="G671" s="4"/>
      <c r="H671" s="31"/>
    </row>
    <row r="672" spans="3:8" x14ac:dyDescent="0.2">
      <c r="C672" s="30"/>
      <c r="D672" s="31"/>
      <c r="E672" s="32"/>
      <c r="G672" s="4"/>
      <c r="H672" s="31"/>
    </row>
    <row r="673" spans="3:8" x14ac:dyDescent="0.2">
      <c r="C673" s="30"/>
      <c r="D673" s="31"/>
      <c r="E673" s="32"/>
      <c r="G673" s="4"/>
      <c r="H673" s="31"/>
    </row>
    <row r="674" spans="3:8" x14ac:dyDescent="0.2">
      <c r="C674" s="30"/>
      <c r="D674" s="31"/>
      <c r="E674" s="32"/>
      <c r="G674" s="4"/>
      <c r="H674" s="31"/>
    </row>
    <row r="675" spans="3:8" x14ac:dyDescent="0.2">
      <c r="C675" s="30"/>
      <c r="D675" s="31"/>
      <c r="E675" s="32"/>
      <c r="G675" s="4"/>
      <c r="H675" s="31"/>
    </row>
    <row r="676" spans="3:8" x14ac:dyDescent="0.2">
      <c r="C676" s="30"/>
      <c r="D676" s="31"/>
      <c r="E676" s="32"/>
      <c r="G676" s="4"/>
      <c r="H676" s="31"/>
    </row>
    <row r="677" spans="3:8" x14ac:dyDescent="0.2">
      <c r="C677" s="30"/>
      <c r="D677" s="31"/>
      <c r="E677" s="32"/>
      <c r="G677" s="4"/>
      <c r="H677" s="31"/>
    </row>
    <row r="678" spans="3:8" x14ac:dyDescent="0.2">
      <c r="C678" s="30"/>
      <c r="D678" s="31"/>
      <c r="E678" s="32"/>
      <c r="G678" s="4"/>
      <c r="H678" s="31"/>
    </row>
    <row r="679" spans="3:8" x14ac:dyDescent="0.2">
      <c r="C679" s="30"/>
      <c r="D679" s="31"/>
      <c r="E679" s="32"/>
      <c r="G679" s="4"/>
      <c r="H679" s="31"/>
    </row>
    <row r="680" spans="3:8" x14ac:dyDescent="0.2">
      <c r="C680" s="30"/>
      <c r="D680" s="31"/>
      <c r="E680" s="32"/>
      <c r="G680" s="4"/>
      <c r="H680" s="31"/>
    </row>
    <row r="681" spans="3:8" x14ac:dyDescent="0.2">
      <c r="C681" s="30"/>
      <c r="D681" s="31"/>
      <c r="E681" s="32"/>
      <c r="G681" s="4"/>
      <c r="H681" s="31"/>
    </row>
    <row r="682" spans="3:8" x14ac:dyDescent="0.2">
      <c r="C682" s="30"/>
      <c r="D682" s="31"/>
      <c r="E682" s="32"/>
      <c r="G682" s="4"/>
      <c r="H682" s="31"/>
    </row>
    <row r="683" spans="3:8" x14ac:dyDescent="0.2">
      <c r="C683" s="30"/>
      <c r="D683" s="31"/>
      <c r="E683" s="32"/>
      <c r="G683" s="4"/>
      <c r="H683" s="31"/>
    </row>
    <row r="684" spans="3:8" x14ac:dyDescent="0.2">
      <c r="C684" s="30"/>
      <c r="D684" s="31"/>
      <c r="E684" s="32"/>
      <c r="G684" s="4"/>
      <c r="H684" s="31"/>
    </row>
    <row r="685" spans="3:8" x14ac:dyDescent="0.2">
      <c r="C685" s="30"/>
      <c r="D685" s="31"/>
      <c r="E685" s="32"/>
      <c r="G685" s="4"/>
      <c r="H685" s="31"/>
    </row>
    <row r="686" spans="3:8" x14ac:dyDescent="0.2">
      <c r="C686" s="30"/>
      <c r="D686" s="31"/>
      <c r="E686" s="32"/>
      <c r="G686" s="4"/>
      <c r="H686" s="31"/>
    </row>
    <row r="687" spans="3:8" x14ac:dyDescent="0.2">
      <c r="C687" s="30"/>
      <c r="D687" s="31"/>
      <c r="E687" s="32"/>
      <c r="G687" s="4"/>
      <c r="H687" s="31"/>
    </row>
    <row r="688" spans="3:8" x14ac:dyDescent="0.2">
      <c r="C688" s="30"/>
      <c r="D688" s="31"/>
      <c r="E688" s="32"/>
      <c r="G688" s="4"/>
      <c r="H688" s="31"/>
    </row>
    <row r="689" spans="3:8" x14ac:dyDescent="0.2">
      <c r="C689" s="30"/>
      <c r="D689" s="31"/>
      <c r="E689" s="32"/>
      <c r="G689" s="4"/>
      <c r="H689" s="31"/>
    </row>
    <row r="690" spans="3:8" x14ac:dyDescent="0.2">
      <c r="C690" s="30"/>
      <c r="D690" s="31"/>
      <c r="E690" s="32"/>
      <c r="G690" s="4"/>
      <c r="H690" s="31"/>
    </row>
    <row r="691" spans="3:8" x14ac:dyDescent="0.2">
      <c r="C691" s="30"/>
      <c r="D691" s="31"/>
      <c r="E691" s="32"/>
      <c r="G691" s="4"/>
      <c r="H691" s="31"/>
    </row>
    <row r="692" spans="3:8" x14ac:dyDescent="0.2">
      <c r="C692" s="30"/>
      <c r="D692" s="31"/>
      <c r="E692" s="32"/>
      <c r="G692" s="4"/>
      <c r="H692" s="31"/>
    </row>
    <row r="693" spans="3:8" x14ac:dyDescent="0.2">
      <c r="C693" s="30"/>
      <c r="D693" s="31"/>
      <c r="E693" s="32"/>
      <c r="G693" s="4"/>
      <c r="H693" s="31"/>
    </row>
    <row r="694" spans="3:8" x14ac:dyDescent="0.2">
      <c r="C694" s="30"/>
      <c r="D694" s="31"/>
      <c r="E694" s="32"/>
      <c r="G694" s="4"/>
      <c r="H694" s="31"/>
    </row>
    <row r="695" spans="3:8" x14ac:dyDescent="0.2">
      <c r="C695" s="30"/>
      <c r="D695" s="31"/>
      <c r="E695" s="32"/>
      <c r="G695" s="4"/>
      <c r="H695" s="31"/>
    </row>
    <row r="696" spans="3:8" x14ac:dyDescent="0.2">
      <c r="C696" s="30"/>
      <c r="D696" s="31"/>
      <c r="E696" s="32"/>
      <c r="G696" s="4"/>
      <c r="H696" s="31"/>
    </row>
    <row r="697" spans="3:8" x14ac:dyDescent="0.2">
      <c r="C697" s="30"/>
      <c r="D697" s="31"/>
      <c r="E697" s="32"/>
      <c r="G697" s="4"/>
      <c r="H697" s="31"/>
    </row>
    <row r="698" spans="3:8" x14ac:dyDescent="0.2">
      <c r="C698" s="30"/>
      <c r="D698" s="31"/>
      <c r="E698" s="32"/>
      <c r="G698" s="4"/>
      <c r="H698" s="31"/>
    </row>
    <row r="699" spans="3:8" x14ac:dyDescent="0.2">
      <c r="C699" s="30"/>
      <c r="D699" s="31"/>
      <c r="E699" s="32"/>
      <c r="G699" s="4"/>
      <c r="H699" s="31"/>
    </row>
    <row r="700" spans="3:8" x14ac:dyDescent="0.2">
      <c r="C700" s="30"/>
      <c r="D700" s="31"/>
      <c r="E700" s="32"/>
      <c r="G700" s="4"/>
      <c r="H700" s="31"/>
    </row>
    <row r="701" spans="3:8" x14ac:dyDescent="0.2">
      <c r="C701" s="30"/>
      <c r="D701" s="31"/>
      <c r="E701" s="32"/>
      <c r="G701" s="4"/>
      <c r="H701" s="31"/>
    </row>
    <row r="702" spans="3:8" x14ac:dyDescent="0.2">
      <c r="C702" s="30"/>
      <c r="D702" s="31"/>
      <c r="E702" s="32"/>
      <c r="G702" s="4"/>
      <c r="H702" s="31"/>
    </row>
    <row r="703" spans="3:8" x14ac:dyDescent="0.2">
      <c r="C703" s="30"/>
      <c r="D703" s="31"/>
      <c r="E703" s="32"/>
      <c r="G703" s="4"/>
      <c r="H703" s="31"/>
    </row>
    <row r="704" spans="3:8" x14ac:dyDescent="0.2">
      <c r="C704" s="30"/>
      <c r="D704" s="31"/>
      <c r="E704" s="32"/>
      <c r="G704" s="4"/>
      <c r="H704" s="31"/>
    </row>
    <row r="705" spans="3:8" x14ac:dyDescent="0.2">
      <c r="C705" s="30"/>
      <c r="D705" s="31"/>
      <c r="E705" s="32"/>
      <c r="G705" s="4"/>
      <c r="H705" s="31"/>
    </row>
    <row r="706" spans="3:8" x14ac:dyDescent="0.2">
      <c r="C706" s="30"/>
      <c r="D706" s="31"/>
      <c r="E706" s="32"/>
      <c r="G706" s="4"/>
      <c r="H706" s="31"/>
    </row>
    <row r="707" spans="3:8" x14ac:dyDescent="0.2">
      <c r="C707" s="30"/>
      <c r="D707" s="31"/>
      <c r="E707" s="32"/>
      <c r="G707" s="4"/>
      <c r="H707" s="31"/>
    </row>
    <row r="708" spans="3:8" x14ac:dyDescent="0.2">
      <c r="C708" s="30"/>
      <c r="D708" s="31"/>
      <c r="E708" s="32"/>
      <c r="G708" s="4"/>
      <c r="H708" s="31"/>
    </row>
    <row r="709" spans="3:8" x14ac:dyDescent="0.2">
      <c r="C709" s="30"/>
      <c r="D709" s="31"/>
      <c r="E709" s="32"/>
      <c r="G709" s="4"/>
      <c r="H709" s="31"/>
    </row>
    <row r="710" spans="3:8" x14ac:dyDescent="0.2">
      <c r="C710" s="30"/>
      <c r="D710" s="31"/>
      <c r="E710" s="32"/>
      <c r="G710" s="4"/>
      <c r="H710" s="31"/>
    </row>
    <row r="711" spans="3:8" x14ac:dyDescent="0.2">
      <c r="C711" s="30"/>
      <c r="D711" s="31"/>
      <c r="E711" s="32"/>
      <c r="G711" s="4"/>
      <c r="H711" s="31"/>
    </row>
    <row r="712" spans="3:8" x14ac:dyDescent="0.2">
      <c r="C712" s="30"/>
      <c r="D712" s="31"/>
      <c r="E712" s="32"/>
      <c r="G712" s="4"/>
      <c r="H712" s="31"/>
    </row>
    <row r="713" spans="3:8" x14ac:dyDescent="0.2">
      <c r="C713" s="30"/>
      <c r="D713" s="31"/>
      <c r="E713" s="32"/>
      <c r="G713" s="4"/>
      <c r="H713" s="31"/>
    </row>
    <row r="714" spans="3:8" x14ac:dyDescent="0.2">
      <c r="C714" s="30"/>
      <c r="D714" s="31"/>
      <c r="E714" s="32"/>
      <c r="G714" s="4"/>
      <c r="H714" s="31"/>
    </row>
    <row r="715" spans="3:8" x14ac:dyDescent="0.2">
      <c r="C715" s="30"/>
      <c r="D715" s="31"/>
      <c r="E715" s="32"/>
      <c r="G715" s="4"/>
      <c r="H715" s="31"/>
    </row>
    <row r="716" spans="3:8" x14ac:dyDescent="0.2">
      <c r="C716" s="30"/>
      <c r="D716" s="31"/>
      <c r="E716" s="32"/>
      <c r="G716" s="4"/>
      <c r="H716" s="31"/>
    </row>
    <row r="717" spans="3:8" x14ac:dyDescent="0.2">
      <c r="C717" s="30"/>
      <c r="D717" s="31"/>
      <c r="E717" s="32"/>
      <c r="G717" s="4"/>
      <c r="H717" s="31"/>
    </row>
    <row r="718" spans="3:8" x14ac:dyDescent="0.2">
      <c r="C718" s="30"/>
      <c r="D718" s="31"/>
      <c r="E718" s="32"/>
      <c r="G718" s="4"/>
      <c r="H718" s="31"/>
    </row>
    <row r="719" spans="3:8" x14ac:dyDescent="0.2">
      <c r="C719" s="30"/>
      <c r="D719" s="31"/>
      <c r="E719" s="32"/>
      <c r="G719" s="4"/>
      <c r="H719" s="31"/>
    </row>
    <row r="720" spans="3:8" x14ac:dyDescent="0.2">
      <c r="C720" s="30"/>
      <c r="D720" s="31"/>
      <c r="E720" s="32"/>
      <c r="G720" s="4"/>
      <c r="H720" s="31"/>
    </row>
    <row r="721" spans="3:8" x14ac:dyDescent="0.2">
      <c r="C721" s="30"/>
      <c r="D721" s="31"/>
      <c r="E721" s="32"/>
      <c r="G721" s="4"/>
      <c r="H721" s="31"/>
    </row>
    <row r="722" spans="3:8" x14ac:dyDescent="0.2">
      <c r="C722" s="30"/>
      <c r="D722" s="31"/>
      <c r="E722" s="32"/>
      <c r="G722" s="4"/>
      <c r="H722" s="31"/>
    </row>
    <row r="723" spans="3:8" x14ac:dyDescent="0.2">
      <c r="C723" s="30"/>
      <c r="D723" s="31"/>
      <c r="E723" s="32"/>
      <c r="G723" s="4"/>
      <c r="H723" s="31"/>
    </row>
    <row r="724" spans="3:8" x14ac:dyDescent="0.2">
      <c r="C724" s="30"/>
      <c r="D724" s="31"/>
      <c r="E724" s="32"/>
      <c r="G724" s="4"/>
      <c r="H724" s="31"/>
    </row>
    <row r="725" spans="3:8" x14ac:dyDescent="0.2">
      <c r="C725" s="30"/>
      <c r="D725" s="31"/>
      <c r="E725" s="32"/>
      <c r="G725" s="4"/>
      <c r="H725" s="31"/>
    </row>
    <row r="726" spans="3:8" x14ac:dyDescent="0.2">
      <c r="C726" s="30"/>
      <c r="D726" s="31"/>
      <c r="E726" s="32"/>
      <c r="G726" s="4"/>
      <c r="H726" s="31"/>
    </row>
    <row r="727" spans="3:8" x14ac:dyDescent="0.2">
      <c r="C727" s="30"/>
      <c r="D727" s="31"/>
      <c r="E727" s="32"/>
      <c r="G727" s="4"/>
      <c r="H727" s="31"/>
    </row>
    <row r="728" spans="3:8" x14ac:dyDescent="0.2">
      <c r="C728" s="30"/>
      <c r="D728" s="31"/>
      <c r="E728" s="32"/>
      <c r="G728" s="4"/>
      <c r="H728" s="31"/>
    </row>
    <row r="729" spans="3:8" x14ac:dyDescent="0.2">
      <c r="C729" s="30"/>
      <c r="D729" s="31"/>
      <c r="E729" s="32"/>
      <c r="G729" s="4"/>
      <c r="H729" s="31"/>
    </row>
    <row r="730" spans="3:8" x14ac:dyDescent="0.2">
      <c r="C730" s="30"/>
      <c r="D730" s="31"/>
      <c r="E730" s="32"/>
      <c r="G730" s="4"/>
      <c r="H730" s="31"/>
    </row>
    <row r="731" spans="3:8" x14ac:dyDescent="0.2">
      <c r="C731" s="30"/>
      <c r="D731" s="31"/>
      <c r="E731" s="32"/>
      <c r="G731" s="4"/>
      <c r="H731" s="31"/>
    </row>
    <row r="732" spans="3:8" x14ac:dyDescent="0.2">
      <c r="C732" s="30"/>
      <c r="D732" s="31"/>
      <c r="E732" s="32"/>
      <c r="G732" s="4"/>
      <c r="H732" s="31"/>
    </row>
    <row r="733" spans="3:8" x14ac:dyDescent="0.2">
      <c r="C733" s="30"/>
      <c r="D733" s="31"/>
      <c r="E733" s="32"/>
      <c r="G733" s="4"/>
      <c r="H733" s="31"/>
    </row>
    <row r="734" spans="3:8" x14ac:dyDescent="0.2">
      <c r="C734" s="30"/>
      <c r="D734" s="31"/>
      <c r="E734" s="32"/>
      <c r="G734" s="4"/>
      <c r="H734" s="31"/>
    </row>
    <row r="735" spans="3:8" x14ac:dyDescent="0.2">
      <c r="C735" s="30"/>
      <c r="D735" s="31"/>
      <c r="E735" s="32"/>
      <c r="G735" s="4"/>
      <c r="H735" s="31"/>
    </row>
    <row r="736" spans="3:8" x14ac:dyDescent="0.2">
      <c r="C736" s="30"/>
      <c r="D736" s="31"/>
      <c r="E736" s="32"/>
      <c r="G736" s="4"/>
      <c r="H736" s="31"/>
    </row>
    <row r="737" spans="3:8" x14ac:dyDescent="0.2">
      <c r="C737" s="30"/>
      <c r="D737" s="31"/>
      <c r="E737" s="32"/>
      <c r="G737" s="4"/>
      <c r="H737" s="31"/>
    </row>
    <row r="738" spans="3:8" x14ac:dyDescent="0.2">
      <c r="C738" s="30"/>
      <c r="D738" s="31"/>
      <c r="E738" s="32"/>
      <c r="G738" s="4"/>
      <c r="H738" s="31"/>
    </row>
    <row r="739" spans="3:8" x14ac:dyDescent="0.2">
      <c r="C739" s="30"/>
      <c r="D739" s="31"/>
      <c r="E739" s="32"/>
      <c r="G739" s="4"/>
      <c r="H739" s="31"/>
    </row>
    <row r="740" spans="3:8" x14ac:dyDescent="0.2">
      <c r="C740" s="30"/>
      <c r="D740" s="31"/>
      <c r="E740" s="32"/>
      <c r="G740" s="4"/>
      <c r="H740" s="31"/>
    </row>
    <row r="741" spans="3:8" x14ac:dyDescent="0.2">
      <c r="C741" s="30"/>
      <c r="D741" s="31"/>
      <c r="E741" s="32"/>
      <c r="G741" s="4"/>
      <c r="H741" s="31"/>
    </row>
    <row r="742" spans="3:8" x14ac:dyDescent="0.2">
      <c r="C742" s="30"/>
      <c r="D742" s="31"/>
      <c r="E742" s="32"/>
      <c r="G742" s="4"/>
      <c r="H742" s="31"/>
    </row>
    <row r="743" spans="3:8" x14ac:dyDescent="0.2">
      <c r="C743" s="30"/>
      <c r="D743" s="31"/>
      <c r="E743" s="32"/>
      <c r="G743" s="4"/>
      <c r="H743" s="31"/>
    </row>
    <row r="744" spans="3:8" x14ac:dyDescent="0.2">
      <c r="C744" s="30"/>
      <c r="D744" s="31"/>
      <c r="E744" s="32"/>
      <c r="G744" s="4"/>
      <c r="H744" s="31"/>
    </row>
    <row r="745" spans="3:8" x14ac:dyDescent="0.2">
      <c r="C745" s="30"/>
      <c r="D745" s="31"/>
      <c r="E745" s="32"/>
      <c r="G745" s="4"/>
      <c r="H745" s="31"/>
    </row>
    <row r="746" spans="3:8" x14ac:dyDescent="0.2">
      <c r="C746" s="30"/>
      <c r="D746" s="31"/>
      <c r="E746" s="32"/>
      <c r="G746" s="4"/>
      <c r="H746" s="31"/>
    </row>
    <row r="747" spans="3:8" x14ac:dyDescent="0.2">
      <c r="C747" s="30"/>
      <c r="D747" s="31"/>
      <c r="E747" s="32"/>
      <c r="G747" s="4"/>
      <c r="H747" s="31"/>
    </row>
    <row r="748" spans="3:8" x14ac:dyDescent="0.2">
      <c r="C748" s="30"/>
      <c r="D748" s="31"/>
      <c r="E748" s="32"/>
      <c r="G748" s="4"/>
      <c r="H748" s="31"/>
    </row>
    <row r="749" spans="3:8" x14ac:dyDescent="0.2">
      <c r="C749" s="30"/>
      <c r="D749" s="31"/>
      <c r="E749" s="32"/>
      <c r="G749" s="4"/>
      <c r="H749" s="31"/>
    </row>
    <row r="750" spans="3:8" x14ac:dyDescent="0.2">
      <c r="C750" s="30"/>
      <c r="D750" s="31"/>
      <c r="E750" s="32"/>
      <c r="G750" s="4"/>
      <c r="H750" s="31"/>
    </row>
    <row r="751" spans="3:8" x14ac:dyDescent="0.2">
      <c r="C751" s="30"/>
      <c r="D751" s="31"/>
      <c r="E751" s="32"/>
      <c r="G751" s="4"/>
      <c r="H751" s="31"/>
    </row>
    <row r="752" spans="3:8" x14ac:dyDescent="0.2">
      <c r="C752" s="30"/>
      <c r="D752" s="31"/>
      <c r="E752" s="32"/>
      <c r="G752" s="4"/>
      <c r="H752" s="31"/>
    </row>
    <row r="753" spans="3:8" x14ac:dyDescent="0.2">
      <c r="C753" s="30"/>
      <c r="D753" s="31"/>
      <c r="E753" s="32"/>
      <c r="G753" s="4"/>
      <c r="H753" s="31"/>
    </row>
    <row r="754" spans="3:8" x14ac:dyDescent="0.2">
      <c r="C754" s="30"/>
      <c r="D754" s="31"/>
      <c r="E754" s="32"/>
      <c r="G754" s="4"/>
      <c r="H754" s="31"/>
    </row>
    <row r="755" spans="3:8" x14ac:dyDescent="0.2">
      <c r="C755" s="30"/>
      <c r="D755" s="31"/>
      <c r="E755" s="32"/>
      <c r="G755" s="4"/>
      <c r="H755" s="31"/>
    </row>
    <row r="756" spans="3:8" x14ac:dyDescent="0.2">
      <c r="C756" s="30"/>
      <c r="D756" s="31"/>
      <c r="E756" s="32"/>
      <c r="G756" s="4"/>
      <c r="H756" s="31"/>
    </row>
    <row r="757" spans="3:8" x14ac:dyDescent="0.2">
      <c r="C757" s="30"/>
      <c r="D757" s="31"/>
      <c r="E757" s="32"/>
      <c r="G757" s="4"/>
      <c r="H757" s="31"/>
    </row>
    <row r="758" spans="3:8" x14ac:dyDescent="0.2">
      <c r="C758" s="30"/>
      <c r="D758" s="31"/>
      <c r="E758" s="32"/>
      <c r="G758" s="4"/>
      <c r="H758" s="31"/>
    </row>
    <row r="759" spans="3:8" x14ac:dyDescent="0.2">
      <c r="C759" s="30"/>
      <c r="D759" s="31"/>
      <c r="E759" s="32"/>
      <c r="G759" s="4"/>
      <c r="H759" s="31"/>
    </row>
    <row r="760" spans="3:8" x14ac:dyDescent="0.2">
      <c r="C760" s="30"/>
      <c r="D760" s="31"/>
      <c r="E760" s="32"/>
      <c r="G760" s="4"/>
      <c r="H760" s="31"/>
    </row>
    <row r="761" spans="3:8" x14ac:dyDescent="0.2">
      <c r="C761" s="30"/>
      <c r="D761" s="31"/>
      <c r="E761" s="32"/>
      <c r="G761" s="4"/>
      <c r="H761" s="31"/>
    </row>
    <row r="762" spans="3:8" x14ac:dyDescent="0.2">
      <c r="C762" s="30"/>
      <c r="D762" s="31"/>
      <c r="E762" s="32"/>
      <c r="G762" s="4"/>
      <c r="H762" s="31"/>
    </row>
    <row r="763" spans="3:8" x14ac:dyDescent="0.2">
      <c r="C763" s="30"/>
      <c r="D763" s="31"/>
      <c r="E763" s="32"/>
      <c r="G763" s="4"/>
      <c r="H763" s="31"/>
    </row>
    <row r="764" spans="3:8" x14ac:dyDescent="0.2">
      <c r="C764" s="30"/>
      <c r="D764" s="31"/>
      <c r="E764" s="32"/>
      <c r="G764" s="4"/>
      <c r="H764" s="31"/>
    </row>
    <row r="765" spans="3:8" x14ac:dyDescent="0.2">
      <c r="C765" s="30"/>
      <c r="D765" s="31"/>
      <c r="E765" s="32"/>
      <c r="G765" s="4"/>
      <c r="H765" s="31"/>
    </row>
    <row r="766" spans="3:8" x14ac:dyDescent="0.2">
      <c r="C766" s="30"/>
      <c r="D766" s="31"/>
      <c r="E766" s="32"/>
      <c r="G766" s="4"/>
      <c r="H766" s="31"/>
    </row>
    <row r="767" spans="3:8" x14ac:dyDescent="0.2">
      <c r="C767" s="30"/>
      <c r="D767" s="31"/>
      <c r="E767" s="32"/>
      <c r="G767" s="4"/>
      <c r="H767" s="31"/>
    </row>
    <row r="768" spans="3:8" x14ac:dyDescent="0.2">
      <c r="C768" s="30"/>
      <c r="D768" s="31"/>
      <c r="E768" s="32"/>
      <c r="G768" s="4"/>
      <c r="H768" s="31"/>
    </row>
    <row r="769" spans="3:8" x14ac:dyDescent="0.2">
      <c r="C769" s="30"/>
      <c r="D769" s="31"/>
      <c r="E769" s="32"/>
      <c r="G769" s="4"/>
      <c r="H769" s="31"/>
    </row>
    <row r="770" spans="3:8" x14ac:dyDescent="0.2">
      <c r="C770" s="30"/>
      <c r="D770" s="31"/>
      <c r="E770" s="32"/>
      <c r="G770" s="4"/>
      <c r="H770" s="31"/>
    </row>
    <row r="771" spans="3:8" x14ac:dyDescent="0.2">
      <c r="C771" s="30"/>
      <c r="D771" s="31"/>
      <c r="E771" s="32"/>
      <c r="G771" s="4"/>
      <c r="H771" s="31"/>
    </row>
    <row r="772" spans="3:8" x14ac:dyDescent="0.2">
      <c r="C772" s="30"/>
      <c r="D772" s="31"/>
      <c r="E772" s="32"/>
      <c r="G772" s="4"/>
      <c r="H772" s="31"/>
    </row>
    <row r="773" spans="3:8" x14ac:dyDescent="0.2">
      <c r="C773" s="30"/>
      <c r="D773" s="31"/>
      <c r="E773" s="32"/>
      <c r="G773" s="4"/>
      <c r="H773" s="31"/>
    </row>
    <row r="774" spans="3:8" x14ac:dyDescent="0.2">
      <c r="C774" s="30"/>
      <c r="D774" s="31"/>
      <c r="E774" s="32"/>
      <c r="G774" s="4"/>
      <c r="H774" s="31"/>
    </row>
    <row r="775" spans="3:8" x14ac:dyDescent="0.2">
      <c r="C775" s="30"/>
      <c r="D775" s="31"/>
      <c r="E775" s="32"/>
      <c r="G775" s="4"/>
      <c r="H775" s="31"/>
    </row>
    <row r="776" spans="3:8" x14ac:dyDescent="0.2">
      <c r="C776" s="30"/>
      <c r="D776" s="31"/>
      <c r="E776" s="32"/>
      <c r="G776" s="4"/>
      <c r="H776" s="31"/>
    </row>
    <row r="777" spans="3:8" x14ac:dyDescent="0.2">
      <c r="C777" s="30"/>
      <c r="D777" s="31"/>
      <c r="E777" s="32"/>
      <c r="G777" s="4"/>
      <c r="H777" s="31"/>
    </row>
    <row r="778" spans="3:8" x14ac:dyDescent="0.2">
      <c r="C778" s="30"/>
      <c r="D778" s="31"/>
      <c r="E778" s="32"/>
      <c r="G778" s="4"/>
      <c r="H778" s="31"/>
    </row>
    <row r="779" spans="3:8" x14ac:dyDescent="0.2">
      <c r="C779" s="30"/>
      <c r="D779" s="31"/>
      <c r="E779" s="32"/>
      <c r="G779" s="4"/>
      <c r="H779" s="31"/>
    </row>
    <row r="780" spans="3:8" x14ac:dyDescent="0.2">
      <c r="C780" s="30"/>
      <c r="D780" s="31"/>
      <c r="E780" s="32"/>
      <c r="G780" s="4"/>
      <c r="H780" s="31"/>
    </row>
    <row r="781" spans="3:8" x14ac:dyDescent="0.2">
      <c r="C781" s="30"/>
      <c r="D781" s="31"/>
      <c r="E781" s="32"/>
      <c r="G781" s="4"/>
      <c r="H781" s="31"/>
    </row>
    <row r="782" spans="3:8" x14ac:dyDescent="0.2">
      <c r="C782" s="30"/>
      <c r="D782" s="31"/>
      <c r="E782" s="32"/>
      <c r="G782" s="4"/>
      <c r="H782" s="31"/>
    </row>
    <row r="783" spans="3:8" x14ac:dyDescent="0.2">
      <c r="C783" s="30"/>
      <c r="D783" s="31"/>
      <c r="E783" s="32"/>
      <c r="G783" s="4"/>
      <c r="H783" s="31"/>
    </row>
    <row r="784" spans="3:8" x14ac:dyDescent="0.2">
      <c r="C784" s="30"/>
      <c r="D784" s="31"/>
      <c r="E784" s="32"/>
      <c r="G784" s="4"/>
      <c r="H784" s="31"/>
    </row>
    <row r="785" spans="3:8" x14ac:dyDescent="0.2">
      <c r="C785" s="30"/>
      <c r="D785" s="31"/>
      <c r="E785" s="32"/>
      <c r="G785" s="4"/>
      <c r="H785" s="31"/>
    </row>
    <row r="786" spans="3:8" x14ac:dyDescent="0.2">
      <c r="C786" s="30"/>
      <c r="D786" s="31"/>
      <c r="E786" s="32"/>
      <c r="G786" s="4"/>
      <c r="H786" s="31"/>
    </row>
    <row r="787" spans="3:8" x14ac:dyDescent="0.2">
      <c r="C787" s="30"/>
      <c r="D787" s="31"/>
      <c r="E787" s="32"/>
      <c r="G787" s="4"/>
      <c r="H787" s="31"/>
    </row>
    <row r="788" spans="3:8" x14ac:dyDescent="0.2">
      <c r="C788" s="30"/>
      <c r="D788" s="31"/>
      <c r="E788" s="32"/>
      <c r="G788" s="4"/>
      <c r="H788" s="31"/>
    </row>
    <row r="789" spans="3:8" x14ac:dyDescent="0.2">
      <c r="C789" s="30"/>
      <c r="D789" s="31"/>
      <c r="E789" s="32"/>
      <c r="G789" s="4"/>
      <c r="H789" s="31"/>
    </row>
    <row r="790" spans="3:8" x14ac:dyDescent="0.2">
      <c r="C790" s="30"/>
      <c r="D790" s="31"/>
      <c r="E790" s="32"/>
      <c r="G790" s="4"/>
      <c r="H790" s="31"/>
    </row>
    <row r="791" spans="3:8" x14ac:dyDescent="0.2">
      <c r="C791" s="30"/>
      <c r="D791" s="31"/>
      <c r="E791" s="32"/>
      <c r="G791" s="4"/>
      <c r="H791" s="31"/>
    </row>
    <row r="792" spans="3:8" x14ac:dyDescent="0.2">
      <c r="C792" s="30"/>
      <c r="D792" s="31"/>
      <c r="E792" s="32"/>
      <c r="G792" s="4"/>
      <c r="H792" s="31"/>
    </row>
    <row r="793" spans="3:8" x14ac:dyDescent="0.2">
      <c r="C793" s="30"/>
      <c r="D793" s="31"/>
      <c r="E793" s="32"/>
      <c r="G793" s="4"/>
      <c r="H793" s="31"/>
    </row>
    <row r="794" spans="3:8" x14ac:dyDescent="0.2">
      <c r="C794" s="30"/>
      <c r="D794" s="31"/>
      <c r="E794" s="32"/>
      <c r="G794" s="4"/>
      <c r="H794" s="31"/>
    </row>
    <row r="795" spans="3:8" x14ac:dyDescent="0.2">
      <c r="C795" s="30"/>
      <c r="D795" s="31"/>
      <c r="E795" s="32"/>
      <c r="G795" s="4"/>
      <c r="H795" s="31"/>
    </row>
    <row r="796" spans="3:8" x14ac:dyDescent="0.2">
      <c r="C796" s="30"/>
      <c r="D796" s="31"/>
      <c r="E796" s="32"/>
      <c r="G796" s="4"/>
      <c r="H796" s="31"/>
    </row>
    <row r="797" spans="3:8" x14ac:dyDescent="0.2">
      <c r="C797" s="30"/>
      <c r="D797" s="31"/>
      <c r="E797" s="32"/>
      <c r="G797" s="4"/>
      <c r="H797" s="31"/>
    </row>
    <row r="798" spans="3:8" x14ac:dyDescent="0.2">
      <c r="C798" s="30"/>
      <c r="D798" s="31"/>
      <c r="E798" s="32"/>
      <c r="G798" s="4"/>
      <c r="H798" s="31"/>
    </row>
    <row r="799" spans="3:8" x14ac:dyDescent="0.2">
      <c r="C799" s="30"/>
      <c r="D799" s="31"/>
      <c r="E799" s="32"/>
      <c r="G799" s="4"/>
      <c r="H799" s="31"/>
    </row>
    <row r="800" spans="3:8" x14ac:dyDescent="0.2">
      <c r="C800" s="30"/>
      <c r="D800" s="31"/>
      <c r="E800" s="32"/>
      <c r="G800" s="4"/>
      <c r="H800" s="31"/>
    </row>
    <row r="801" spans="3:8" x14ac:dyDescent="0.2">
      <c r="C801" s="30"/>
      <c r="D801" s="31"/>
      <c r="E801" s="32"/>
      <c r="G801" s="4"/>
      <c r="H801" s="31"/>
    </row>
    <row r="802" spans="3:8" x14ac:dyDescent="0.2">
      <c r="C802" s="30"/>
      <c r="D802" s="31"/>
      <c r="E802" s="32"/>
      <c r="G802" s="4"/>
      <c r="H802" s="31"/>
    </row>
    <row r="803" spans="3:8" x14ac:dyDescent="0.2">
      <c r="C803" s="30"/>
      <c r="D803" s="31"/>
      <c r="E803" s="32"/>
      <c r="G803" s="4"/>
      <c r="H803" s="31"/>
    </row>
    <row r="804" spans="3:8" x14ac:dyDescent="0.2">
      <c r="C804" s="30"/>
      <c r="D804" s="31"/>
      <c r="E804" s="32"/>
      <c r="G804" s="4"/>
      <c r="H804" s="31"/>
    </row>
    <row r="805" spans="3:8" x14ac:dyDescent="0.2">
      <c r="C805" s="30"/>
      <c r="D805" s="31"/>
      <c r="E805" s="32"/>
      <c r="G805" s="4"/>
      <c r="H805" s="31"/>
    </row>
    <row r="806" spans="3:8" x14ac:dyDescent="0.2">
      <c r="C806" s="30"/>
      <c r="D806" s="31"/>
      <c r="E806" s="32"/>
      <c r="G806" s="4"/>
      <c r="H806" s="31"/>
    </row>
    <row r="807" spans="3:8" x14ac:dyDescent="0.2">
      <c r="C807" s="30"/>
      <c r="D807" s="31"/>
      <c r="E807" s="32"/>
      <c r="G807" s="4"/>
      <c r="H807" s="31"/>
    </row>
    <row r="808" spans="3:8" x14ac:dyDescent="0.2">
      <c r="C808" s="30"/>
      <c r="D808" s="31"/>
      <c r="E808" s="32"/>
      <c r="G808" s="4"/>
      <c r="H808" s="31"/>
    </row>
    <row r="809" spans="3:8" x14ac:dyDescent="0.2">
      <c r="C809" s="30"/>
      <c r="D809" s="31"/>
      <c r="E809" s="32"/>
      <c r="G809" s="4"/>
      <c r="H809" s="31"/>
    </row>
    <row r="810" spans="3:8" x14ac:dyDescent="0.2">
      <c r="C810" s="30"/>
      <c r="D810" s="31"/>
      <c r="E810" s="32"/>
      <c r="G810" s="4"/>
      <c r="H810" s="31"/>
    </row>
    <row r="811" spans="3:8" x14ac:dyDescent="0.2">
      <c r="C811" s="30"/>
      <c r="D811" s="31"/>
      <c r="E811" s="32"/>
      <c r="G811" s="4"/>
      <c r="H811" s="31"/>
    </row>
    <row r="812" spans="3:8" x14ac:dyDescent="0.2">
      <c r="C812" s="30"/>
      <c r="D812" s="31"/>
      <c r="E812" s="32"/>
      <c r="G812" s="4"/>
      <c r="H812" s="31"/>
    </row>
    <row r="813" spans="3:8" x14ac:dyDescent="0.2">
      <c r="C813" s="30"/>
      <c r="D813" s="31"/>
      <c r="E813" s="32"/>
      <c r="G813" s="4"/>
      <c r="H813" s="31"/>
    </row>
    <row r="814" spans="3:8" x14ac:dyDescent="0.2">
      <c r="C814" s="30"/>
      <c r="D814" s="31"/>
      <c r="E814" s="32"/>
      <c r="G814" s="4"/>
      <c r="H814" s="31"/>
    </row>
    <row r="815" spans="3:8" x14ac:dyDescent="0.2">
      <c r="C815" s="30"/>
      <c r="D815" s="31"/>
      <c r="E815" s="32"/>
      <c r="G815" s="4"/>
      <c r="H815" s="31"/>
    </row>
    <row r="816" spans="3:8" x14ac:dyDescent="0.2">
      <c r="C816" s="30"/>
      <c r="D816" s="31"/>
      <c r="E816" s="32"/>
      <c r="G816" s="4"/>
      <c r="H816" s="31"/>
    </row>
    <row r="817" spans="3:8" x14ac:dyDescent="0.2">
      <c r="C817" s="30"/>
      <c r="D817" s="31"/>
      <c r="E817" s="32"/>
      <c r="G817" s="4"/>
      <c r="H817" s="31"/>
    </row>
    <row r="818" spans="3:8" x14ac:dyDescent="0.2">
      <c r="C818" s="30"/>
      <c r="D818" s="31"/>
      <c r="E818" s="32"/>
      <c r="G818" s="4"/>
      <c r="H818" s="31"/>
    </row>
    <row r="819" spans="3:8" x14ac:dyDescent="0.2">
      <c r="C819" s="30"/>
      <c r="D819" s="31"/>
      <c r="E819" s="32"/>
      <c r="G819" s="4"/>
      <c r="H819" s="31"/>
    </row>
    <row r="820" spans="3:8" x14ac:dyDescent="0.2">
      <c r="C820" s="30"/>
      <c r="D820" s="31"/>
      <c r="E820" s="32"/>
      <c r="G820" s="4"/>
      <c r="H820" s="31"/>
    </row>
    <row r="821" spans="3:8" x14ac:dyDescent="0.2">
      <c r="C821" s="30"/>
      <c r="D821" s="31"/>
      <c r="E821" s="32"/>
      <c r="G821" s="4"/>
      <c r="H821" s="31"/>
    </row>
    <row r="822" spans="3:8" x14ac:dyDescent="0.2">
      <c r="C822" s="30"/>
      <c r="D822" s="31"/>
      <c r="E822" s="32"/>
      <c r="G822" s="4"/>
      <c r="H822" s="31"/>
    </row>
    <row r="823" spans="3:8" x14ac:dyDescent="0.2">
      <c r="C823" s="30"/>
      <c r="D823" s="31"/>
      <c r="E823" s="32"/>
      <c r="G823" s="4"/>
      <c r="H823" s="31"/>
    </row>
    <row r="824" spans="3:8" x14ac:dyDescent="0.2">
      <c r="C824" s="30"/>
      <c r="D824" s="31"/>
      <c r="E824" s="32"/>
      <c r="G824" s="4"/>
      <c r="H824" s="31"/>
    </row>
    <row r="825" spans="3:8" x14ac:dyDescent="0.2">
      <c r="C825" s="30"/>
      <c r="D825" s="31"/>
      <c r="E825" s="32"/>
      <c r="G825" s="4"/>
      <c r="H825" s="31"/>
    </row>
    <row r="826" spans="3:8" x14ac:dyDescent="0.2">
      <c r="C826" s="30"/>
      <c r="D826" s="31"/>
      <c r="E826" s="32"/>
      <c r="G826" s="4"/>
      <c r="H826" s="31"/>
    </row>
    <row r="827" spans="3:8" x14ac:dyDescent="0.2">
      <c r="C827" s="30"/>
      <c r="D827" s="31"/>
      <c r="E827" s="32"/>
      <c r="G827" s="4"/>
      <c r="H827" s="31"/>
    </row>
    <row r="828" spans="3:8" x14ac:dyDescent="0.2">
      <c r="C828" s="30"/>
      <c r="D828" s="31"/>
      <c r="E828" s="32"/>
      <c r="G828" s="4"/>
      <c r="H828" s="31"/>
    </row>
    <row r="829" spans="3:8" x14ac:dyDescent="0.2">
      <c r="C829" s="30"/>
      <c r="D829" s="31"/>
      <c r="E829" s="32"/>
      <c r="G829" s="4"/>
      <c r="H829" s="31"/>
    </row>
    <row r="830" spans="3:8" x14ac:dyDescent="0.2">
      <c r="C830" s="30"/>
      <c r="D830" s="31"/>
      <c r="E830" s="32"/>
      <c r="G830" s="4"/>
      <c r="H830" s="31"/>
    </row>
    <row r="831" spans="3:8" x14ac:dyDescent="0.2">
      <c r="C831" s="30"/>
      <c r="D831" s="31"/>
      <c r="E831" s="32"/>
      <c r="G831" s="4"/>
      <c r="H831" s="31"/>
    </row>
    <row r="832" spans="3:8" x14ac:dyDescent="0.2">
      <c r="C832" s="30"/>
      <c r="D832" s="31"/>
      <c r="E832" s="32"/>
      <c r="G832" s="4"/>
      <c r="H832" s="31"/>
    </row>
    <row r="833" spans="3:8" x14ac:dyDescent="0.2">
      <c r="C833" s="30"/>
      <c r="D833" s="31"/>
      <c r="E833" s="32"/>
      <c r="G833" s="4"/>
      <c r="H833" s="31"/>
    </row>
    <row r="834" spans="3:8" x14ac:dyDescent="0.2">
      <c r="C834" s="30"/>
      <c r="D834" s="31"/>
      <c r="E834" s="32"/>
      <c r="G834" s="4"/>
      <c r="H834" s="31"/>
    </row>
    <row r="835" spans="3:8" x14ac:dyDescent="0.2">
      <c r="C835" s="30"/>
      <c r="D835" s="31"/>
      <c r="E835" s="32"/>
      <c r="G835" s="4"/>
      <c r="H835" s="31"/>
    </row>
    <row r="836" spans="3:8" x14ac:dyDescent="0.2">
      <c r="C836" s="30"/>
      <c r="D836" s="31"/>
      <c r="E836" s="32"/>
      <c r="G836" s="4"/>
      <c r="H836" s="31"/>
    </row>
    <row r="837" spans="3:8" x14ac:dyDescent="0.2">
      <c r="C837" s="30"/>
      <c r="D837" s="31"/>
      <c r="E837" s="32"/>
      <c r="G837" s="4"/>
      <c r="H837" s="31"/>
    </row>
    <row r="838" spans="3:8" x14ac:dyDescent="0.2">
      <c r="C838" s="30"/>
      <c r="D838" s="31"/>
      <c r="E838" s="32"/>
      <c r="G838" s="4"/>
      <c r="H838" s="31"/>
    </row>
    <row r="839" spans="3:8" x14ac:dyDescent="0.2">
      <c r="C839" s="30"/>
      <c r="D839" s="31"/>
      <c r="E839" s="32"/>
      <c r="G839" s="4"/>
      <c r="H839" s="31"/>
    </row>
    <row r="840" spans="3:8" x14ac:dyDescent="0.2">
      <c r="C840" s="30"/>
      <c r="D840" s="31"/>
      <c r="E840" s="32"/>
      <c r="G840" s="4"/>
      <c r="H840" s="31"/>
    </row>
    <row r="841" spans="3:8" x14ac:dyDescent="0.2">
      <c r="C841" s="30"/>
      <c r="D841" s="31"/>
      <c r="E841" s="32"/>
      <c r="G841" s="4"/>
      <c r="H841" s="31"/>
    </row>
    <row r="842" spans="3:8" x14ac:dyDescent="0.2">
      <c r="C842" s="30"/>
      <c r="D842" s="31"/>
      <c r="E842" s="32"/>
      <c r="G842" s="4"/>
      <c r="H842" s="31"/>
    </row>
    <row r="843" spans="3:8" x14ac:dyDescent="0.2">
      <c r="C843" s="30"/>
      <c r="D843" s="31"/>
      <c r="E843" s="32"/>
      <c r="G843" s="4"/>
      <c r="H843" s="31"/>
    </row>
    <row r="844" spans="3:8" x14ac:dyDescent="0.2">
      <c r="C844" s="30"/>
      <c r="D844" s="31"/>
      <c r="E844" s="32"/>
      <c r="G844" s="4"/>
      <c r="H844" s="31"/>
    </row>
    <row r="845" spans="3:8" x14ac:dyDescent="0.2">
      <c r="C845" s="30"/>
      <c r="D845" s="31"/>
      <c r="E845" s="32"/>
      <c r="G845" s="4"/>
      <c r="H845" s="31"/>
    </row>
    <row r="846" spans="3:8" x14ac:dyDescent="0.2">
      <c r="C846" s="30"/>
      <c r="D846" s="31"/>
      <c r="E846" s="32"/>
      <c r="G846" s="4"/>
      <c r="H846" s="31"/>
    </row>
    <row r="847" spans="3:8" x14ac:dyDescent="0.2">
      <c r="C847" s="30"/>
      <c r="D847" s="31"/>
      <c r="E847" s="32"/>
      <c r="G847" s="4"/>
      <c r="H847" s="31"/>
    </row>
    <row r="848" spans="3:8" x14ac:dyDescent="0.2">
      <c r="C848" s="30"/>
      <c r="D848" s="31"/>
      <c r="E848" s="32"/>
      <c r="G848" s="4"/>
      <c r="H848" s="31"/>
    </row>
    <row r="849" spans="3:8" x14ac:dyDescent="0.2">
      <c r="C849" s="30"/>
      <c r="D849" s="31"/>
      <c r="E849" s="32"/>
      <c r="G849" s="4"/>
      <c r="H849" s="31"/>
    </row>
    <row r="850" spans="3:8" x14ac:dyDescent="0.2">
      <c r="C850" s="30"/>
      <c r="D850" s="31"/>
      <c r="E850" s="32"/>
      <c r="G850" s="4"/>
      <c r="H850" s="31"/>
    </row>
    <row r="851" spans="3:8" x14ac:dyDescent="0.2">
      <c r="C851" s="30"/>
      <c r="D851" s="31"/>
      <c r="E851" s="32"/>
      <c r="G851" s="4"/>
      <c r="H851" s="31"/>
    </row>
    <row r="852" spans="3:8" x14ac:dyDescent="0.2">
      <c r="C852" s="30"/>
      <c r="D852" s="31"/>
      <c r="E852" s="32"/>
      <c r="G852" s="4"/>
      <c r="H852" s="31"/>
    </row>
    <row r="853" spans="3:8" x14ac:dyDescent="0.2">
      <c r="C853" s="30"/>
      <c r="D853" s="31"/>
      <c r="E853" s="32"/>
      <c r="G853" s="4"/>
      <c r="H853" s="31"/>
    </row>
    <row r="854" spans="3:8" x14ac:dyDescent="0.2">
      <c r="C854" s="30"/>
      <c r="D854" s="31"/>
      <c r="E854" s="32"/>
      <c r="G854" s="4"/>
      <c r="H854" s="31"/>
    </row>
    <row r="855" spans="3:8" x14ac:dyDescent="0.2">
      <c r="C855" s="30"/>
      <c r="D855" s="31"/>
      <c r="E855" s="32"/>
      <c r="G855" s="4"/>
      <c r="H855" s="31"/>
    </row>
    <row r="856" spans="3:8" x14ac:dyDescent="0.2">
      <c r="C856" s="30"/>
      <c r="D856" s="31"/>
      <c r="E856" s="32"/>
      <c r="G856" s="4"/>
      <c r="H856" s="31"/>
    </row>
    <row r="857" spans="3:8" x14ac:dyDescent="0.2">
      <c r="C857" s="30"/>
      <c r="D857" s="31"/>
      <c r="E857" s="32"/>
      <c r="G857" s="4"/>
      <c r="H857" s="31"/>
    </row>
    <row r="858" spans="3:8" x14ac:dyDescent="0.2">
      <c r="C858" s="30"/>
      <c r="D858" s="31"/>
      <c r="E858" s="32"/>
      <c r="G858" s="4"/>
      <c r="H858" s="31"/>
    </row>
    <row r="859" spans="3:8" x14ac:dyDescent="0.2">
      <c r="C859" s="30"/>
      <c r="D859" s="31"/>
      <c r="E859" s="32"/>
      <c r="G859" s="4"/>
      <c r="H859" s="31"/>
    </row>
    <row r="860" spans="3:8" x14ac:dyDescent="0.2">
      <c r="C860" s="30"/>
      <c r="D860" s="31"/>
      <c r="E860" s="32"/>
      <c r="G860" s="4"/>
      <c r="H860" s="31"/>
    </row>
    <row r="861" spans="3:8" x14ac:dyDescent="0.2">
      <c r="C861" s="30"/>
      <c r="D861" s="31"/>
      <c r="E861" s="32"/>
      <c r="G861" s="4"/>
      <c r="H861" s="31"/>
    </row>
    <row r="862" spans="3:8" x14ac:dyDescent="0.2">
      <c r="C862" s="30"/>
      <c r="D862" s="31"/>
      <c r="E862" s="32"/>
      <c r="G862" s="4"/>
      <c r="H862" s="31"/>
    </row>
    <row r="863" spans="3:8" x14ac:dyDescent="0.2">
      <c r="C863" s="30"/>
      <c r="D863" s="31"/>
      <c r="E863" s="32"/>
      <c r="G863" s="4"/>
      <c r="H863" s="31"/>
    </row>
    <row r="864" spans="3:8" x14ac:dyDescent="0.2">
      <c r="C864" s="30"/>
      <c r="D864" s="31"/>
      <c r="E864" s="32"/>
      <c r="G864" s="4"/>
      <c r="H864" s="31"/>
    </row>
    <row r="865" spans="3:8" x14ac:dyDescent="0.2">
      <c r="C865" s="30"/>
      <c r="D865" s="31"/>
      <c r="E865" s="32"/>
      <c r="G865" s="4"/>
      <c r="H865" s="31"/>
    </row>
    <row r="866" spans="3:8" x14ac:dyDescent="0.2">
      <c r="C866" s="30"/>
      <c r="D866" s="31"/>
      <c r="E866" s="32"/>
      <c r="G866" s="4"/>
      <c r="H866" s="31"/>
    </row>
    <row r="867" spans="3:8" x14ac:dyDescent="0.2">
      <c r="C867" s="30"/>
      <c r="D867" s="31"/>
      <c r="E867" s="32"/>
      <c r="G867" s="4"/>
      <c r="H867" s="31"/>
    </row>
    <row r="868" spans="3:8" x14ac:dyDescent="0.2">
      <c r="C868" s="30"/>
      <c r="D868" s="31"/>
      <c r="E868" s="32"/>
      <c r="G868" s="4"/>
      <c r="H868" s="31"/>
    </row>
    <row r="869" spans="3:8" x14ac:dyDescent="0.2">
      <c r="C869" s="30"/>
      <c r="D869" s="31"/>
      <c r="E869" s="32"/>
      <c r="G869" s="4"/>
      <c r="H869" s="31"/>
    </row>
    <row r="870" spans="3:8" x14ac:dyDescent="0.2">
      <c r="C870" s="30"/>
      <c r="D870" s="31"/>
      <c r="E870" s="32"/>
      <c r="G870" s="4"/>
      <c r="H870" s="31"/>
    </row>
    <row r="871" spans="3:8" x14ac:dyDescent="0.2">
      <c r="C871" s="30"/>
      <c r="D871" s="31"/>
      <c r="E871" s="32"/>
      <c r="G871" s="4"/>
      <c r="H871" s="31"/>
    </row>
    <row r="872" spans="3:8" x14ac:dyDescent="0.2">
      <c r="C872" s="30"/>
      <c r="D872" s="31"/>
      <c r="E872" s="32"/>
      <c r="G872" s="4"/>
      <c r="H872" s="31"/>
    </row>
    <row r="873" spans="3:8" x14ac:dyDescent="0.2">
      <c r="C873" s="30"/>
      <c r="D873" s="31"/>
      <c r="E873" s="32"/>
      <c r="G873" s="4"/>
      <c r="H873" s="31"/>
    </row>
    <row r="874" spans="3:8" x14ac:dyDescent="0.2">
      <c r="C874" s="30"/>
      <c r="D874" s="31"/>
      <c r="E874" s="32"/>
      <c r="G874" s="4"/>
      <c r="H874" s="31"/>
    </row>
    <row r="875" spans="3:8" x14ac:dyDescent="0.2">
      <c r="C875" s="30"/>
      <c r="D875" s="31"/>
      <c r="E875" s="32"/>
      <c r="G875" s="4"/>
      <c r="H875" s="31"/>
    </row>
    <row r="876" spans="3:8" x14ac:dyDescent="0.2">
      <c r="C876" s="30"/>
      <c r="D876" s="31"/>
      <c r="E876" s="32"/>
      <c r="G876" s="4"/>
      <c r="H876" s="31"/>
    </row>
    <row r="877" spans="3:8" x14ac:dyDescent="0.2">
      <c r="C877" s="30"/>
      <c r="D877" s="31"/>
      <c r="E877" s="32"/>
      <c r="G877" s="4"/>
      <c r="H877" s="31"/>
    </row>
    <row r="878" spans="3:8" x14ac:dyDescent="0.2">
      <c r="C878" s="30"/>
      <c r="D878" s="31"/>
      <c r="E878" s="32"/>
      <c r="G878" s="4"/>
      <c r="H878" s="31"/>
    </row>
    <row r="879" spans="3:8" x14ac:dyDescent="0.2">
      <c r="C879" s="30"/>
      <c r="D879" s="31"/>
      <c r="E879" s="32"/>
      <c r="G879" s="4"/>
      <c r="H879" s="31"/>
    </row>
    <row r="880" spans="3:8" x14ac:dyDescent="0.2">
      <c r="C880" s="30"/>
      <c r="D880" s="31"/>
      <c r="E880" s="32"/>
      <c r="G880" s="4"/>
      <c r="H880" s="31"/>
    </row>
    <row r="881" spans="3:8" x14ac:dyDescent="0.2">
      <c r="C881" s="30"/>
      <c r="D881" s="31"/>
      <c r="E881" s="32"/>
      <c r="G881" s="4"/>
      <c r="H881" s="31"/>
    </row>
    <row r="882" spans="3:8" x14ac:dyDescent="0.2">
      <c r="C882" s="30"/>
      <c r="D882" s="31"/>
      <c r="E882" s="32"/>
      <c r="G882" s="4"/>
      <c r="H882" s="31"/>
    </row>
    <row r="883" spans="3:8" x14ac:dyDescent="0.2">
      <c r="C883" s="30"/>
      <c r="D883" s="31"/>
      <c r="E883" s="32"/>
      <c r="G883" s="4"/>
      <c r="H883" s="31"/>
    </row>
    <row r="884" spans="3:8" x14ac:dyDescent="0.2">
      <c r="C884" s="30"/>
      <c r="D884" s="31"/>
      <c r="E884" s="32"/>
      <c r="G884" s="4"/>
      <c r="H884" s="31"/>
    </row>
    <row r="885" spans="3:8" x14ac:dyDescent="0.2">
      <c r="C885" s="30"/>
      <c r="D885" s="31"/>
      <c r="E885" s="32"/>
      <c r="G885" s="4"/>
      <c r="H885" s="31"/>
    </row>
    <row r="886" spans="3:8" x14ac:dyDescent="0.2">
      <c r="C886" s="30"/>
      <c r="D886" s="31"/>
      <c r="E886" s="32"/>
      <c r="G886" s="4"/>
      <c r="H886" s="31"/>
    </row>
    <row r="887" spans="3:8" x14ac:dyDescent="0.2">
      <c r="C887" s="30"/>
      <c r="D887" s="31"/>
      <c r="E887" s="32"/>
      <c r="G887" s="4"/>
      <c r="H887" s="31"/>
    </row>
    <row r="888" spans="3:8" x14ac:dyDescent="0.2">
      <c r="C888" s="30"/>
      <c r="D888" s="31"/>
      <c r="E888" s="32"/>
      <c r="G888" s="4"/>
      <c r="H888" s="31"/>
    </row>
    <row r="889" spans="3:8" x14ac:dyDescent="0.2">
      <c r="C889" s="30"/>
      <c r="D889" s="31"/>
      <c r="E889" s="32"/>
      <c r="G889" s="4"/>
      <c r="H889" s="31"/>
    </row>
    <row r="890" spans="3:8" x14ac:dyDescent="0.2">
      <c r="C890" s="30"/>
      <c r="D890" s="31"/>
      <c r="E890" s="32"/>
      <c r="G890" s="4"/>
      <c r="H890" s="31"/>
    </row>
    <row r="891" spans="3:8" x14ac:dyDescent="0.2">
      <c r="C891" s="30"/>
      <c r="D891" s="31"/>
      <c r="E891" s="32"/>
      <c r="G891" s="4"/>
      <c r="H891" s="31"/>
    </row>
    <row r="892" spans="3:8" x14ac:dyDescent="0.2">
      <c r="C892" s="30"/>
      <c r="D892" s="31"/>
      <c r="E892" s="32"/>
      <c r="G892" s="4"/>
      <c r="H892" s="31"/>
    </row>
    <row r="893" spans="3:8" x14ac:dyDescent="0.2">
      <c r="C893" s="30"/>
      <c r="D893" s="31"/>
      <c r="E893" s="32"/>
      <c r="G893" s="4"/>
      <c r="H893" s="31"/>
    </row>
    <row r="894" spans="3:8" x14ac:dyDescent="0.2">
      <c r="C894" s="30"/>
      <c r="D894" s="31"/>
      <c r="E894" s="32"/>
      <c r="G894" s="4"/>
      <c r="H894" s="31"/>
    </row>
    <row r="895" spans="3:8" x14ac:dyDescent="0.2">
      <c r="C895" s="30"/>
      <c r="D895" s="31"/>
      <c r="E895" s="32"/>
      <c r="G895" s="4"/>
      <c r="H895" s="31"/>
    </row>
    <row r="896" spans="3:8" x14ac:dyDescent="0.2">
      <c r="C896" s="30"/>
      <c r="D896" s="31"/>
      <c r="E896" s="32"/>
      <c r="G896" s="4"/>
      <c r="H896" s="31"/>
    </row>
    <row r="897" spans="3:8" x14ac:dyDescent="0.2">
      <c r="C897" s="30"/>
      <c r="D897" s="31"/>
      <c r="E897" s="32"/>
      <c r="G897" s="4"/>
      <c r="H897" s="31"/>
    </row>
    <row r="898" spans="3:8" x14ac:dyDescent="0.2">
      <c r="C898" s="30"/>
      <c r="D898" s="31"/>
      <c r="E898" s="32"/>
      <c r="G898" s="4"/>
      <c r="H898" s="31"/>
    </row>
    <row r="899" spans="3:8" x14ac:dyDescent="0.2">
      <c r="C899" s="30"/>
      <c r="D899" s="31"/>
      <c r="E899" s="32"/>
      <c r="G899" s="4"/>
      <c r="H899" s="31"/>
    </row>
    <row r="900" spans="3:8" x14ac:dyDescent="0.2">
      <c r="C900" s="30"/>
      <c r="D900" s="31"/>
      <c r="E900" s="32"/>
      <c r="G900" s="4"/>
      <c r="H900" s="31"/>
    </row>
    <row r="901" spans="3:8" x14ac:dyDescent="0.2">
      <c r="C901" s="30"/>
      <c r="D901" s="31"/>
      <c r="E901" s="32"/>
      <c r="G901" s="4"/>
      <c r="H901" s="31"/>
    </row>
    <row r="902" spans="3:8" x14ac:dyDescent="0.2">
      <c r="C902" s="30"/>
      <c r="D902" s="31"/>
      <c r="E902" s="32"/>
      <c r="G902" s="4"/>
      <c r="H902" s="31"/>
    </row>
    <row r="903" spans="3:8" x14ac:dyDescent="0.2">
      <c r="C903" s="30"/>
      <c r="D903" s="31"/>
      <c r="E903" s="32"/>
      <c r="G903" s="4"/>
      <c r="H903" s="31"/>
    </row>
    <row r="904" spans="3:8" x14ac:dyDescent="0.2">
      <c r="C904" s="30"/>
      <c r="D904" s="31"/>
      <c r="E904" s="32"/>
      <c r="G904" s="4"/>
      <c r="H904" s="31"/>
    </row>
    <row r="905" spans="3:8" x14ac:dyDescent="0.2">
      <c r="C905" s="30"/>
      <c r="D905" s="31"/>
      <c r="E905" s="32"/>
      <c r="G905" s="4"/>
      <c r="H905" s="31"/>
    </row>
    <row r="906" spans="3:8" x14ac:dyDescent="0.2">
      <c r="C906" s="30"/>
      <c r="D906" s="31"/>
      <c r="E906" s="32"/>
      <c r="G906" s="4"/>
      <c r="H906" s="31"/>
    </row>
    <row r="907" spans="3:8" x14ac:dyDescent="0.2">
      <c r="C907" s="30"/>
      <c r="D907" s="31"/>
      <c r="E907" s="32"/>
      <c r="G907" s="4"/>
      <c r="H907" s="31"/>
    </row>
    <row r="908" spans="3:8" x14ac:dyDescent="0.2">
      <c r="C908" s="30"/>
      <c r="D908" s="31"/>
      <c r="E908" s="32"/>
      <c r="G908" s="4"/>
      <c r="H908" s="31"/>
    </row>
    <row r="909" spans="3:8" x14ac:dyDescent="0.2">
      <c r="C909" s="30"/>
      <c r="D909" s="31"/>
      <c r="E909" s="32"/>
      <c r="G909" s="4"/>
      <c r="H909" s="31"/>
    </row>
    <row r="910" spans="3:8" x14ac:dyDescent="0.2">
      <c r="C910" s="30"/>
      <c r="D910" s="31"/>
      <c r="E910" s="32"/>
      <c r="G910" s="4"/>
      <c r="H910" s="31"/>
    </row>
    <row r="911" spans="3:8" x14ac:dyDescent="0.2">
      <c r="C911" s="30"/>
      <c r="D911" s="31"/>
      <c r="E911" s="32"/>
      <c r="G911" s="4"/>
      <c r="H911" s="31"/>
    </row>
    <row r="912" spans="3:8" x14ac:dyDescent="0.2">
      <c r="C912" s="30"/>
      <c r="D912" s="31"/>
      <c r="E912" s="32"/>
      <c r="G912" s="4"/>
      <c r="H912" s="31"/>
    </row>
    <row r="913" spans="3:8" x14ac:dyDescent="0.2">
      <c r="C913" s="30"/>
      <c r="D913" s="31"/>
      <c r="E913" s="32"/>
      <c r="G913" s="4"/>
      <c r="H913" s="31"/>
    </row>
    <row r="914" spans="3:8" x14ac:dyDescent="0.2">
      <c r="C914" s="30"/>
      <c r="D914" s="31"/>
      <c r="E914" s="32"/>
      <c r="G914" s="4"/>
      <c r="H914" s="31"/>
    </row>
    <row r="915" spans="3:8" x14ac:dyDescent="0.2">
      <c r="C915" s="30"/>
      <c r="D915" s="31"/>
      <c r="E915" s="32"/>
      <c r="G915" s="4"/>
      <c r="H915" s="31"/>
    </row>
    <row r="916" spans="3:8" x14ac:dyDescent="0.2">
      <c r="C916" s="30"/>
      <c r="D916" s="31"/>
      <c r="E916" s="32"/>
      <c r="G916" s="4"/>
      <c r="H916" s="31"/>
    </row>
    <row r="917" spans="3:8" x14ac:dyDescent="0.2">
      <c r="C917" s="30"/>
      <c r="D917" s="31"/>
      <c r="E917" s="32"/>
      <c r="G917" s="4"/>
      <c r="H917" s="31"/>
    </row>
    <row r="918" spans="3:8" x14ac:dyDescent="0.2">
      <c r="C918" s="30"/>
      <c r="D918" s="31"/>
      <c r="E918" s="32"/>
      <c r="G918" s="4"/>
      <c r="H918" s="31"/>
    </row>
    <row r="919" spans="3:8" x14ac:dyDescent="0.2">
      <c r="C919" s="30"/>
      <c r="D919" s="31"/>
      <c r="E919" s="32"/>
      <c r="G919" s="4"/>
      <c r="H919" s="31"/>
    </row>
    <row r="920" spans="3:8" x14ac:dyDescent="0.2">
      <c r="C920" s="30"/>
      <c r="D920" s="31"/>
      <c r="E920" s="32"/>
      <c r="G920" s="4"/>
      <c r="H920" s="31"/>
    </row>
    <row r="921" spans="3:8" x14ac:dyDescent="0.2">
      <c r="C921" s="30"/>
      <c r="D921" s="31"/>
      <c r="E921" s="32"/>
      <c r="G921" s="4"/>
      <c r="H921" s="31"/>
    </row>
    <row r="922" spans="3:8" x14ac:dyDescent="0.2">
      <c r="C922" s="30"/>
      <c r="D922" s="31"/>
      <c r="E922" s="32"/>
      <c r="G922" s="4"/>
      <c r="H922" s="31"/>
    </row>
    <row r="923" spans="3:8" x14ac:dyDescent="0.2">
      <c r="C923" s="30"/>
      <c r="D923" s="31"/>
      <c r="E923" s="32"/>
      <c r="G923" s="4"/>
      <c r="H923" s="31"/>
    </row>
    <row r="924" spans="3:8" x14ac:dyDescent="0.2">
      <c r="C924" s="30"/>
      <c r="D924" s="31"/>
      <c r="E924" s="32"/>
      <c r="G924" s="4"/>
      <c r="H924" s="31"/>
    </row>
    <row r="925" spans="3:8" x14ac:dyDescent="0.2">
      <c r="C925" s="30"/>
      <c r="D925" s="31"/>
      <c r="E925" s="32"/>
      <c r="G925" s="4"/>
      <c r="H925" s="31"/>
    </row>
    <row r="926" spans="3:8" x14ac:dyDescent="0.2">
      <c r="C926" s="30"/>
      <c r="D926" s="31"/>
      <c r="E926" s="32"/>
      <c r="G926" s="4"/>
      <c r="H926" s="31"/>
    </row>
    <row r="927" spans="3:8" x14ac:dyDescent="0.2">
      <c r="C927" s="30"/>
      <c r="D927" s="31"/>
      <c r="E927" s="32"/>
      <c r="G927" s="4"/>
      <c r="H927" s="31"/>
    </row>
    <row r="928" spans="3:8" x14ac:dyDescent="0.2">
      <c r="C928" s="30"/>
      <c r="D928" s="31"/>
      <c r="E928" s="32"/>
      <c r="G928" s="4"/>
      <c r="H928" s="31"/>
    </row>
    <row r="929" spans="3:8" x14ac:dyDescent="0.2">
      <c r="C929" s="30"/>
      <c r="D929" s="31"/>
      <c r="E929" s="32"/>
      <c r="G929" s="4"/>
      <c r="H929" s="31"/>
    </row>
    <row r="930" spans="3:8" x14ac:dyDescent="0.2">
      <c r="C930" s="30"/>
      <c r="D930" s="31"/>
      <c r="E930" s="32"/>
      <c r="G930" s="4"/>
      <c r="H930" s="31"/>
    </row>
    <row r="931" spans="3:8" x14ac:dyDescent="0.2">
      <c r="C931" s="30"/>
      <c r="D931" s="31"/>
      <c r="E931" s="32"/>
      <c r="G931" s="4"/>
      <c r="H931" s="31"/>
    </row>
    <row r="932" spans="3:8" x14ac:dyDescent="0.2">
      <c r="C932" s="30"/>
      <c r="D932" s="31"/>
      <c r="E932" s="32"/>
      <c r="G932" s="4"/>
      <c r="H932" s="31"/>
    </row>
    <row r="933" spans="3:8" x14ac:dyDescent="0.2">
      <c r="C933" s="30"/>
      <c r="D933" s="31"/>
      <c r="E933" s="32"/>
      <c r="G933" s="4"/>
      <c r="H933" s="31"/>
    </row>
    <row r="934" spans="3:8" x14ac:dyDescent="0.2">
      <c r="C934" s="30"/>
      <c r="D934" s="31"/>
      <c r="E934" s="32"/>
      <c r="G934" s="4"/>
      <c r="H934" s="31"/>
    </row>
    <row r="935" spans="3:8" x14ac:dyDescent="0.2">
      <c r="C935" s="30"/>
      <c r="D935" s="31"/>
      <c r="E935" s="32"/>
      <c r="G935" s="4"/>
      <c r="H935" s="31"/>
    </row>
    <row r="936" spans="3:8" x14ac:dyDescent="0.2">
      <c r="C936" s="30"/>
      <c r="D936" s="31"/>
      <c r="E936" s="32"/>
      <c r="G936" s="4"/>
      <c r="H936" s="31"/>
    </row>
    <row r="937" spans="3:8" x14ac:dyDescent="0.2">
      <c r="C937" s="30"/>
      <c r="D937" s="31"/>
      <c r="E937" s="32"/>
      <c r="G937" s="4"/>
      <c r="H937" s="31"/>
    </row>
    <row r="938" spans="3:8" x14ac:dyDescent="0.2">
      <c r="C938" s="30"/>
      <c r="D938" s="31"/>
      <c r="E938" s="32"/>
      <c r="G938" s="4"/>
      <c r="H938" s="31"/>
    </row>
    <row r="939" spans="3:8" x14ac:dyDescent="0.2">
      <c r="C939" s="30"/>
      <c r="D939" s="31"/>
      <c r="E939" s="32"/>
      <c r="G939" s="4"/>
      <c r="H939" s="31"/>
    </row>
    <row r="940" spans="3:8" x14ac:dyDescent="0.2">
      <c r="C940" s="30"/>
      <c r="D940" s="31"/>
      <c r="E940" s="32"/>
      <c r="G940" s="4"/>
      <c r="H940" s="31"/>
    </row>
    <row r="941" spans="3:8" x14ac:dyDescent="0.2">
      <c r="C941" s="30"/>
      <c r="D941" s="31"/>
      <c r="E941" s="32"/>
      <c r="G941" s="4"/>
      <c r="H941" s="31"/>
    </row>
    <row r="942" spans="3:8" x14ac:dyDescent="0.2">
      <c r="C942" s="30"/>
      <c r="D942" s="31"/>
      <c r="E942" s="32"/>
      <c r="G942" s="4"/>
      <c r="H942" s="31"/>
    </row>
    <row r="943" spans="3:8" x14ac:dyDescent="0.2">
      <c r="C943" s="30"/>
      <c r="D943" s="31"/>
      <c r="E943" s="32"/>
      <c r="G943" s="4"/>
      <c r="H943" s="31"/>
    </row>
    <row r="944" spans="3:8" x14ac:dyDescent="0.2">
      <c r="C944" s="30"/>
      <c r="D944" s="31"/>
      <c r="E944" s="32"/>
      <c r="G944" s="4"/>
      <c r="H944" s="31"/>
    </row>
    <row r="945" spans="3:8" x14ac:dyDescent="0.2">
      <c r="C945" s="30"/>
      <c r="D945" s="31"/>
      <c r="E945" s="32"/>
      <c r="G945" s="4"/>
      <c r="H945" s="31"/>
    </row>
    <row r="946" spans="3:8" x14ac:dyDescent="0.2">
      <c r="C946" s="30"/>
      <c r="D946" s="31"/>
      <c r="E946" s="32"/>
      <c r="G946" s="4"/>
      <c r="H946" s="31"/>
    </row>
    <row r="947" spans="3:8" x14ac:dyDescent="0.2">
      <c r="C947" s="30"/>
      <c r="D947" s="31"/>
      <c r="E947" s="32"/>
      <c r="G947" s="4"/>
      <c r="H947" s="31"/>
    </row>
    <row r="948" spans="3:8" x14ac:dyDescent="0.2">
      <c r="C948" s="30"/>
      <c r="D948" s="31"/>
      <c r="E948" s="32"/>
      <c r="G948" s="4"/>
      <c r="H948" s="31"/>
    </row>
    <row r="949" spans="3:8" x14ac:dyDescent="0.2">
      <c r="C949" s="30"/>
      <c r="D949" s="31"/>
      <c r="E949" s="32"/>
      <c r="G949" s="4"/>
      <c r="H949" s="31"/>
    </row>
    <row r="950" spans="3:8" x14ac:dyDescent="0.2">
      <c r="C950" s="30"/>
      <c r="D950" s="31"/>
      <c r="E950" s="32"/>
      <c r="G950" s="4"/>
      <c r="H950" s="31"/>
    </row>
    <row r="951" spans="3:8" x14ac:dyDescent="0.2">
      <c r="C951" s="30"/>
      <c r="D951" s="31"/>
      <c r="E951" s="32"/>
      <c r="G951" s="4"/>
      <c r="H951" s="31"/>
    </row>
    <row r="952" spans="3:8" x14ac:dyDescent="0.2">
      <c r="C952" s="30"/>
      <c r="D952" s="31"/>
      <c r="E952" s="32"/>
      <c r="G952" s="4"/>
      <c r="H952" s="31"/>
    </row>
    <row r="953" spans="3:8" x14ac:dyDescent="0.2">
      <c r="C953" s="30"/>
      <c r="D953" s="31"/>
      <c r="E953" s="32"/>
      <c r="G953" s="4"/>
      <c r="H953" s="31"/>
    </row>
    <row r="954" spans="3:8" x14ac:dyDescent="0.2">
      <c r="C954" s="30"/>
      <c r="D954" s="31"/>
      <c r="E954" s="32"/>
      <c r="G954" s="4"/>
      <c r="H954" s="31"/>
    </row>
    <row r="955" spans="3:8" x14ac:dyDescent="0.2">
      <c r="C955" s="30"/>
      <c r="D955" s="31"/>
      <c r="E955" s="32"/>
      <c r="G955" s="4"/>
      <c r="H955" s="31"/>
    </row>
    <row r="956" spans="3:8" x14ac:dyDescent="0.2">
      <c r="C956" s="30"/>
      <c r="D956" s="31"/>
      <c r="E956" s="32"/>
      <c r="G956" s="4"/>
      <c r="H956" s="31"/>
    </row>
    <row r="957" spans="3:8" x14ac:dyDescent="0.2">
      <c r="C957" s="30"/>
      <c r="D957" s="31"/>
      <c r="E957" s="32"/>
      <c r="G957" s="4"/>
      <c r="H957" s="31"/>
    </row>
    <row r="958" spans="3:8" x14ac:dyDescent="0.2">
      <c r="C958" s="30"/>
      <c r="D958" s="31"/>
      <c r="E958" s="32"/>
      <c r="G958" s="4"/>
      <c r="H958" s="31"/>
    </row>
    <row r="959" spans="3:8" x14ac:dyDescent="0.2">
      <c r="C959" s="30"/>
      <c r="D959" s="31"/>
      <c r="E959" s="32"/>
      <c r="G959" s="4"/>
      <c r="H959" s="31"/>
    </row>
    <row r="960" spans="3:8" x14ac:dyDescent="0.2">
      <c r="C960" s="30"/>
      <c r="D960" s="31"/>
      <c r="E960" s="32"/>
      <c r="G960" s="4"/>
      <c r="H960" s="31"/>
    </row>
    <row r="961" spans="3:8" x14ac:dyDescent="0.2">
      <c r="C961" s="30"/>
      <c r="D961" s="31"/>
      <c r="E961" s="32"/>
      <c r="G961" s="4"/>
      <c r="H961" s="31"/>
    </row>
    <row r="962" spans="3:8" x14ac:dyDescent="0.2">
      <c r="C962" s="30"/>
      <c r="D962" s="31"/>
      <c r="E962" s="32"/>
      <c r="G962" s="4"/>
      <c r="H962" s="31"/>
    </row>
    <row r="963" spans="3:8" x14ac:dyDescent="0.2">
      <c r="C963" s="30"/>
      <c r="D963" s="31"/>
      <c r="E963" s="32"/>
      <c r="G963" s="4"/>
      <c r="H963" s="31"/>
    </row>
    <row r="964" spans="3:8" x14ac:dyDescent="0.2">
      <c r="C964" s="30"/>
      <c r="D964" s="31"/>
      <c r="E964" s="32"/>
      <c r="G964" s="4"/>
      <c r="H964" s="31"/>
    </row>
    <row r="965" spans="3:8" x14ac:dyDescent="0.2">
      <c r="C965" s="30"/>
      <c r="D965" s="31"/>
      <c r="E965" s="32"/>
      <c r="G965" s="4"/>
      <c r="H965" s="31"/>
    </row>
    <row r="966" spans="3:8" x14ac:dyDescent="0.2">
      <c r="C966" s="30"/>
      <c r="D966" s="31"/>
      <c r="E966" s="32"/>
      <c r="G966" s="4"/>
      <c r="H966" s="31"/>
    </row>
    <row r="967" spans="3:8" x14ac:dyDescent="0.2">
      <c r="C967" s="30"/>
      <c r="D967" s="31"/>
      <c r="E967" s="32"/>
      <c r="G967" s="4"/>
      <c r="H967" s="31"/>
    </row>
    <row r="968" spans="3:8" x14ac:dyDescent="0.2">
      <c r="C968" s="30"/>
      <c r="D968" s="31"/>
      <c r="E968" s="32"/>
      <c r="G968" s="4"/>
      <c r="H968" s="31"/>
    </row>
    <row r="969" spans="3:8" x14ac:dyDescent="0.2">
      <c r="C969" s="30"/>
      <c r="D969" s="31"/>
      <c r="E969" s="32"/>
      <c r="G969" s="4"/>
      <c r="H969" s="31"/>
    </row>
    <row r="970" spans="3:8" x14ac:dyDescent="0.2">
      <c r="C970" s="30"/>
      <c r="D970" s="31"/>
      <c r="E970" s="32"/>
      <c r="G970" s="4"/>
      <c r="H970" s="31"/>
    </row>
    <row r="971" spans="3:8" x14ac:dyDescent="0.2">
      <c r="C971" s="30"/>
      <c r="D971" s="31"/>
      <c r="E971" s="32"/>
      <c r="G971" s="4"/>
      <c r="H971" s="31"/>
    </row>
    <row r="972" spans="3:8" x14ac:dyDescent="0.2">
      <c r="C972" s="30"/>
      <c r="D972" s="31"/>
      <c r="E972" s="32"/>
      <c r="G972" s="4"/>
      <c r="H972" s="31"/>
    </row>
    <row r="973" spans="3:8" x14ac:dyDescent="0.2">
      <c r="C973" s="30"/>
      <c r="D973" s="31"/>
      <c r="E973" s="32"/>
      <c r="G973" s="4"/>
      <c r="H973" s="31"/>
    </row>
    <row r="974" spans="3:8" x14ac:dyDescent="0.2">
      <c r="C974" s="30"/>
      <c r="D974" s="31"/>
      <c r="E974" s="32"/>
      <c r="G974" s="4"/>
      <c r="H974" s="31"/>
    </row>
    <row r="975" spans="3:8" x14ac:dyDescent="0.2">
      <c r="C975" s="30"/>
      <c r="D975" s="31"/>
      <c r="E975" s="32"/>
      <c r="G975" s="4"/>
      <c r="H975" s="31"/>
    </row>
    <row r="976" spans="3:8" x14ac:dyDescent="0.2">
      <c r="C976" s="30"/>
      <c r="D976" s="31"/>
      <c r="E976" s="32"/>
      <c r="G976" s="4"/>
      <c r="H976" s="31"/>
    </row>
    <row r="977" spans="3:8" x14ac:dyDescent="0.2">
      <c r="C977" s="30"/>
      <c r="D977" s="31"/>
      <c r="E977" s="32"/>
      <c r="G977" s="4"/>
      <c r="H977" s="31"/>
    </row>
    <row r="978" spans="3:8" x14ac:dyDescent="0.2">
      <c r="C978" s="30"/>
      <c r="D978" s="31"/>
      <c r="E978" s="32"/>
      <c r="G978" s="4"/>
      <c r="H978" s="31"/>
    </row>
    <row r="979" spans="3:8" x14ac:dyDescent="0.2">
      <c r="C979" s="30"/>
      <c r="D979" s="31"/>
      <c r="E979" s="32"/>
      <c r="G979" s="4"/>
      <c r="H979" s="31"/>
    </row>
    <row r="980" spans="3:8" x14ac:dyDescent="0.2">
      <c r="C980" s="30"/>
      <c r="D980" s="31"/>
      <c r="E980" s="32"/>
      <c r="G980" s="4"/>
      <c r="H980" s="31"/>
    </row>
    <row r="981" spans="3:8" x14ac:dyDescent="0.2">
      <c r="C981" s="30"/>
      <c r="D981" s="31"/>
      <c r="E981" s="32"/>
      <c r="G981" s="4"/>
      <c r="H981" s="31"/>
    </row>
    <row r="982" spans="3:8" x14ac:dyDescent="0.2">
      <c r="C982" s="30"/>
      <c r="D982" s="31"/>
      <c r="E982" s="32"/>
      <c r="G982" s="4"/>
      <c r="H982" s="31"/>
    </row>
    <row r="983" spans="3:8" x14ac:dyDescent="0.2">
      <c r="C983" s="30"/>
      <c r="D983" s="31"/>
      <c r="E983" s="32"/>
      <c r="G983" s="4"/>
      <c r="H983" s="31"/>
    </row>
    <row r="984" spans="3:8" x14ac:dyDescent="0.2">
      <c r="C984" s="30"/>
      <c r="D984" s="31"/>
      <c r="E984" s="32"/>
      <c r="G984" s="4"/>
      <c r="H984" s="31"/>
    </row>
    <row r="985" spans="3:8" x14ac:dyDescent="0.2">
      <c r="C985" s="30"/>
      <c r="D985" s="31"/>
      <c r="E985" s="32"/>
      <c r="G985" s="4"/>
      <c r="H985" s="31"/>
    </row>
    <row r="986" spans="3:8" x14ac:dyDescent="0.2">
      <c r="C986" s="30"/>
      <c r="D986" s="31"/>
      <c r="E986" s="32"/>
      <c r="G986" s="4"/>
      <c r="H986" s="31"/>
    </row>
    <row r="987" spans="3:8" x14ac:dyDescent="0.2">
      <c r="C987" s="30"/>
      <c r="D987" s="31"/>
      <c r="E987" s="32"/>
      <c r="G987" s="4"/>
      <c r="H987" s="31"/>
    </row>
    <row r="988" spans="3:8" x14ac:dyDescent="0.2">
      <c r="C988" s="30"/>
      <c r="D988" s="31"/>
      <c r="E988" s="32"/>
      <c r="G988" s="4"/>
      <c r="H988" s="31"/>
    </row>
    <row r="989" spans="3:8" x14ac:dyDescent="0.2">
      <c r="C989" s="30"/>
      <c r="D989" s="31"/>
      <c r="E989" s="32"/>
      <c r="G989" s="4"/>
      <c r="H989" s="31"/>
    </row>
    <row r="990" spans="3:8" x14ac:dyDescent="0.2">
      <c r="C990" s="30"/>
      <c r="D990" s="31"/>
      <c r="E990" s="32"/>
      <c r="G990" s="4"/>
      <c r="H990" s="31"/>
    </row>
    <row r="991" spans="3:8" x14ac:dyDescent="0.2">
      <c r="C991" s="30"/>
      <c r="D991" s="31"/>
      <c r="E991" s="32"/>
      <c r="G991" s="4"/>
      <c r="H991" s="31"/>
    </row>
    <row r="992" spans="3:8" x14ac:dyDescent="0.2">
      <c r="C992" s="30"/>
      <c r="D992" s="31"/>
      <c r="E992" s="32"/>
      <c r="G992" s="4"/>
      <c r="H992" s="31"/>
    </row>
    <row r="993" spans="3:8" x14ac:dyDescent="0.2">
      <c r="C993" s="30"/>
      <c r="D993" s="31"/>
      <c r="E993" s="32"/>
      <c r="G993" s="4"/>
      <c r="H993" s="31"/>
    </row>
    <row r="994" spans="3:8" x14ac:dyDescent="0.2">
      <c r="C994" s="30"/>
      <c r="D994" s="31"/>
      <c r="E994" s="32"/>
      <c r="G994" s="4"/>
      <c r="H994" s="31"/>
    </row>
    <row r="995" spans="3:8" x14ac:dyDescent="0.2">
      <c r="C995" s="30"/>
      <c r="D995" s="31"/>
      <c r="E995" s="32"/>
      <c r="G995" s="4"/>
      <c r="H995" s="31"/>
    </row>
    <row r="996" spans="3:8" x14ac:dyDescent="0.2">
      <c r="C996" s="30"/>
      <c r="D996" s="31"/>
      <c r="E996" s="32"/>
      <c r="G996" s="4"/>
      <c r="H996" s="31"/>
    </row>
    <row r="997" spans="3:8" x14ac:dyDescent="0.2">
      <c r="C997" s="30"/>
      <c r="D997" s="31"/>
      <c r="E997" s="32"/>
      <c r="G997" s="4"/>
      <c r="H997" s="31"/>
    </row>
    <row r="998" spans="3:8" x14ac:dyDescent="0.2">
      <c r="C998" s="30"/>
      <c r="D998" s="31"/>
      <c r="E998" s="32"/>
      <c r="G998" s="4"/>
      <c r="H998" s="31"/>
    </row>
    <row r="999" spans="3:8" x14ac:dyDescent="0.2">
      <c r="C999" s="30"/>
      <c r="D999" s="31"/>
      <c r="E999" s="32"/>
      <c r="G999" s="4"/>
      <c r="H999" s="31"/>
    </row>
    <row r="1000" spans="3:8" x14ac:dyDescent="0.2">
      <c r="C1000" s="30"/>
      <c r="D1000" s="31"/>
      <c r="E1000" s="32"/>
      <c r="G1000" s="4"/>
      <c r="H1000" s="31"/>
    </row>
    <row r="1001" spans="3:8" x14ac:dyDescent="0.2">
      <c r="C1001" s="30"/>
      <c r="D1001" s="31"/>
      <c r="E1001" s="32"/>
      <c r="G1001" s="4"/>
      <c r="H1001" s="31"/>
    </row>
    <row r="1002" spans="3:8" x14ac:dyDescent="0.2">
      <c r="C1002" s="30"/>
      <c r="D1002" s="31"/>
      <c r="E1002" s="32"/>
      <c r="G1002" s="4"/>
      <c r="H1002" s="31"/>
    </row>
    <row r="1003" spans="3:8" x14ac:dyDescent="0.2">
      <c r="C1003" s="30"/>
      <c r="D1003" s="31"/>
      <c r="E1003" s="32"/>
      <c r="G1003" s="4"/>
      <c r="H1003" s="31"/>
    </row>
    <row r="1004" spans="3:8" x14ac:dyDescent="0.2">
      <c r="C1004" s="30"/>
      <c r="D1004" s="31"/>
      <c r="E1004" s="32"/>
      <c r="G1004" s="4"/>
      <c r="H1004" s="31"/>
    </row>
    <row r="1005" spans="3:8" x14ac:dyDescent="0.2">
      <c r="C1005" s="30"/>
      <c r="D1005" s="31"/>
      <c r="E1005" s="32"/>
      <c r="G1005" s="4"/>
      <c r="H1005" s="31"/>
    </row>
    <row r="1006" spans="3:8" x14ac:dyDescent="0.2">
      <c r="C1006" s="30"/>
      <c r="D1006" s="31"/>
      <c r="E1006" s="32"/>
      <c r="G1006" s="4"/>
      <c r="H1006" s="31"/>
    </row>
    <row r="1007" spans="3:8" x14ac:dyDescent="0.2">
      <c r="C1007" s="30"/>
      <c r="D1007" s="31"/>
      <c r="E1007" s="32"/>
      <c r="G1007" s="4"/>
      <c r="H1007" s="31"/>
    </row>
    <row r="1008" spans="3:8" x14ac:dyDescent="0.2">
      <c r="C1008" s="30"/>
      <c r="D1008" s="31"/>
      <c r="E1008" s="32"/>
      <c r="G1008" s="4"/>
      <c r="H1008" s="31"/>
    </row>
    <row r="1009" spans="3:8" x14ac:dyDescent="0.2">
      <c r="C1009" s="30"/>
      <c r="D1009" s="31"/>
      <c r="E1009" s="32"/>
      <c r="G1009" s="4"/>
      <c r="H1009" s="31"/>
    </row>
    <row r="1010" spans="3:8" x14ac:dyDescent="0.2">
      <c r="C1010" s="30"/>
      <c r="D1010" s="31"/>
      <c r="E1010" s="32"/>
      <c r="G1010" s="4"/>
      <c r="H1010" s="31"/>
    </row>
    <row r="1011" spans="3:8" x14ac:dyDescent="0.2">
      <c r="C1011" s="30"/>
      <c r="D1011" s="31"/>
      <c r="E1011" s="32"/>
      <c r="G1011" s="4"/>
      <c r="H1011" s="31"/>
    </row>
    <row r="1012" spans="3:8" x14ac:dyDescent="0.2">
      <c r="C1012" s="30"/>
      <c r="D1012" s="31"/>
      <c r="E1012" s="32"/>
      <c r="G1012" s="4"/>
      <c r="H1012" s="31"/>
    </row>
    <row r="1013" spans="3:8" x14ac:dyDescent="0.2">
      <c r="C1013" s="30"/>
      <c r="D1013" s="31"/>
      <c r="E1013" s="32"/>
      <c r="G1013" s="4"/>
      <c r="H1013" s="31"/>
    </row>
    <row r="1014" spans="3:8" x14ac:dyDescent="0.2">
      <c r="C1014" s="30"/>
      <c r="D1014" s="31"/>
      <c r="E1014" s="32"/>
      <c r="G1014" s="4"/>
      <c r="H1014" s="31"/>
    </row>
    <row r="1015" spans="3:8" x14ac:dyDescent="0.2">
      <c r="C1015" s="30"/>
      <c r="D1015" s="31"/>
      <c r="E1015" s="32"/>
      <c r="G1015" s="4"/>
      <c r="H1015" s="31"/>
    </row>
    <row r="1016" spans="3:8" x14ac:dyDescent="0.2">
      <c r="C1016" s="30"/>
      <c r="D1016" s="31"/>
      <c r="E1016" s="32"/>
      <c r="G1016" s="4"/>
      <c r="H1016" s="31"/>
    </row>
    <row r="1017" spans="3:8" x14ac:dyDescent="0.2">
      <c r="C1017" s="30"/>
      <c r="D1017" s="31"/>
      <c r="E1017" s="32"/>
      <c r="G1017" s="4"/>
      <c r="H1017" s="31"/>
    </row>
    <row r="1018" spans="3:8" x14ac:dyDescent="0.2">
      <c r="C1018" s="30"/>
      <c r="D1018" s="31"/>
      <c r="E1018" s="32"/>
      <c r="G1018" s="4"/>
      <c r="H1018" s="31"/>
    </row>
    <row r="1019" spans="3:8" x14ac:dyDescent="0.2">
      <c r="C1019" s="30"/>
      <c r="D1019" s="31"/>
      <c r="E1019" s="32"/>
      <c r="G1019" s="4"/>
      <c r="H1019" s="31"/>
    </row>
    <row r="1020" spans="3:8" x14ac:dyDescent="0.2">
      <c r="C1020" s="30"/>
      <c r="D1020" s="31"/>
      <c r="E1020" s="32"/>
      <c r="G1020" s="4"/>
      <c r="H1020" s="31"/>
    </row>
    <row r="1021" spans="3:8" x14ac:dyDescent="0.2">
      <c r="C1021" s="30"/>
      <c r="D1021" s="31"/>
      <c r="E1021" s="32"/>
      <c r="G1021" s="4"/>
      <c r="H1021" s="31"/>
    </row>
    <row r="1022" spans="3:8" x14ac:dyDescent="0.2">
      <c r="C1022" s="30"/>
      <c r="D1022" s="31"/>
      <c r="E1022" s="32"/>
      <c r="G1022" s="4"/>
      <c r="H1022" s="31"/>
    </row>
    <row r="1023" spans="3:8" x14ac:dyDescent="0.2">
      <c r="C1023" s="30"/>
      <c r="D1023" s="31"/>
      <c r="E1023" s="32"/>
      <c r="G1023" s="4"/>
      <c r="H1023" s="31"/>
    </row>
    <row r="1024" spans="3:8" x14ac:dyDescent="0.2">
      <c r="C1024" s="30"/>
      <c r="D1024" s="31"/>
      <c r="E1024" s="32"/>
      <c r="G1024" s="4"/>
      <c r="H1024" s="31"/>
    </row>
    <row r="1025" spans="3:8" x14ac:dyDescent="0.2">
      <c r="C1025" s="30"/>
      <c r="D1025" s="31"/>
      <c r="E1025" s="32"/>
      <c r="G1025" s="4"/>
      <c r="H1025" s="31"/>
    </row>
    <row r="1026" spans="3:8" x14ac:dyDescent="0.2">
      <c r="C1026" s="30"/>
      <c r="D1026" s="31"/>
      <c r="E1026" s="32"/>
      <c r="G1026" s="4"/>
      <c r="H1026" s="31"/>
    </row>
    <row r="1027" spans="3:8" x14ac:dyDescent="0.2">
      <c r="C1027" s="30"/>
      <c r="D1027" s="31"/>
      <c r="E1027" s="32"/>
      <c r="G1027" s="4"/>
      <c r="H1027" s="31"/>
    </row>
    <row r="1028" spans="3:8" x14ac:dyDescent="0.2">
      <c r="C1028" s="30"/>
      <c r="D1028" s="31"/>
      <c r="E1028" s="32"/>
      <c r="G1028" s="4"/>
      <c r="H1028" s="31"/>
    </row>
    <row r="1029" spans="3:8" x14ac:dyDescent="0.2">
      <c r="C1029" s="30"/>
      <c r="D1029" s="31"/>
      <c r="E1029" s="32"/>
      <c r="G1029" s="4"/>
      <c r="H1029" s="31"/>
    </row>
    <row r="1030" spans="3:8" x14ac:dyDescent="0.2">
      <c r="C1030" s="30"/>
      <c r="D1030" s="31"/>
      <c r="E1030" s="32"/>
      <c r="G1030" s="4"/>
      <c r="H1030" s="31"/>
    </row>
    <row r="1031" spans="3:8" x14ac:dyDescent="0.2">
      <c r="C1031" s="30"/>
      <c r="D1031" s="31"/>
      <c r="E1031" s="32"/>
      <c r="G1031" s="4"/>
      <c r="H1031" s="31"/>
    </row>
    <row r="1032" spans="3:8" x14ac:dyDescent="0.2">
      <c r="C1032" s="30"/>
      <c r="D1032" s="31"/>
      <c r="E1032" s="32"/>
      <c r="G1032" s="4"/>
      <c r="H1032" s="31"/>
    </row>
    <row r="1033" spans="3:8" x14ac:dyDescent="0.2">
      <c r="C1033" s="30"/>
      <c r="D1033" s="31"/>
      <c r="E1033" s="32"/>
      <c r="G1033" s="4"/>
      <c r="H1033" s="31"/>
    </row>
    <row r="1034" spans="3:8" x14ac:dyDescent="0.2">
      <c r="C1034" s="30"/>
      <c r="D1034" s="31"/>
      <c r="E1034" s="32"/>
      <c r="G1034" s="4"/>
      <c r="H1034" s="31"/>
    </row>
    <row r="1035" spans="3:8" x14ac:dyDescent="0.2">
      <c r="C1035" s="30"/>
      <c r="D1035" s="31"/>
      <c r="E1035" s="32"/>
      <c r="G1035" s="4"/>
      <c r="H1035" s="31"/>
    </row>
    <row r="1036" spans="3:8" x14ac:dyDescent="0.2">
      <c r="C1036" s="30"/>
      <c r="D1036" s="31"/>
      <c r="E1036" s="32"/>
      <c r="G1036" s="4"/>
      <c r="H1036" s="31"/>
    </row>
    <row r="1037" spans="3:8" x14ac:dyDescent="0.2">
      <c r="C1037" s="30"/>
      <c r="D1037" s="31"/>
      <c r="E1037" s="32"/>
      <c r="G1037" s="4"/>
      <c r="H1037" s="31"/>
    </row>
    <row r="1038" spans="3:8" x14ac:dyDescent="0.2">
      <c r="C1038" s="30"/>
      <c r="D1038" s="31"/>
      <c r="E1038" s="32"/>
      <c r="G1038" s="4"/>
      <c r="H1038" s="31"/>
    </row>
    <row r="1039" spans="3:8" x14ac:dyDescent="0.2">
      <c r="C1039" s="30"/>
      <c r="D1039" s="31"/>
      <c r="E1039" s="32"/>
      <c r="G1039" s="4"/>
      <c r="H1039" s="31"/>
    </row>
    <row r="1040" spans="3:8" x14ac:dyDescent="0.2">
      <c r="C1040" s="30"/>
      <c r="D1040" s="31"/>
      <c r="E1040" s="32"/>
      <c r="G1040" s="4"/>
      <c r="H1040" s="31"/>
    </row>
    <row r="1041" spans="3:8" x14ac:dyDescent="0.2">
      <c r="C1041" s="30"/>
      <c r="D1041" s="31"/>
      <c r="E1041" s="32"/>
      <c r="G1041" s="4"/>
      <c r="H1041" s="31"/>
    </row>
    <row r="1042" spans="3:8" x14ac:dyDescent="0.2">
      <c r="C1042" s="30"/>
      <c r="D1042" s="31"/>
      <c r="E1042" s="32"/>
      <c r="G1042" s="4"/>
      <c r="H1042" s="31"/>
    </row>
    <row r="1043" spans="3:8" x14ac:dyDescent="0.2">
      <c r="C1043" s="30"/>
      <c r="D1043" s="31"/>
      <c r="E1043" s="32"/>
      <c r="G1043" s="4"/>
      <c r="H1043" s="31"/>
    </row>
    <row r="1044" spans="3:8" x14ac:dyDescent="0.2">
      <c r="C1044" s="30"/>
      <c r="D1044" s="31"/>
      <c r="E1044" s="32"/>
      <c r="G1044" s="4"/>
      <c r="H1044" s="31"/>
    </row>
    <row r="1045" spans="3:8" x14ac:dyDescent="0.2">
      <c r="C1045" s="30"/>
      <c r="D1045" s="31"/>
      <c r="E1045" s="32"/>
      <c r="G1045" s="4"/>
      <c r="H1045" s="31"/>
    </row>
    <row r="1046" spans="3:8" x14ac:dyDescent="0.2">
      <c r="C1046" s="30"/>
      <c r="D1046" s="31"/>
      <c r="E1046" s="32"/>
      <c r="G1046" s="4"/>
      <c r="H1046" s="31"/>
    </row>
    <row r="1047" spans="3:8" x14ac:dyDescent="0.2">
      <c r="C1047" s="30"/>
      <c r="D1047" s="31"/>
      <c r="E1047" s="32"/>
      <c r="G1047" s="4"/>
      <c r="H1047" s="31"/>
    </row>
    <row r="1048" spans="3:8" x14ac:dyDescent="0.2">
      <c r="C1048" s="30"/>
      <c r="D1048" s="31"/>
      <c r="E1048" s="32"/>
      <c r="G1048" s="4"/>
      <c r="H1048" s="31"/>
    </row>
    <row r="1049" spans="3:8" x14ac:dyDescent="0.2">
      <c r="C1049" s="30"/>
      <c r="D1049" s="31"/>
      <c r="E1049" s="32"/>
      <c r="G1049" s="4"/>
      <c r="H1049" s="31"/>
    </row>
    <row r="1050" spans="3:8" x14ac:dyDescent="0.2">
      <c r="C1050" s="30"/>
      <c r="D1050" s="31"/>
      <c r="E1050" s="32"/>
      <c r="G1050" s="4"/>
      <c r="H1050" s="31"/>
    </row>
    <row r="1051" spans="3:8" x14ac:dyDescent="0.2">
      <c r="C1051" s="30"/>
      <c r="D1051" s="31"/>
      <c r="E1051" s="32"/>
      <c r="G1051" s="4"/>
      <c r="H1051" s="31"/>
    </row>
    <row r="1052" spans="3:8" x14ac:dyDescent="0.2">
      <c r="C1052" s="30"/>
      <c r="D1052" s="31"/>
      <c r="E1052" s="32"/>
      <c r="G1052" s="4"/>
      <c r="H1052" s="31"/>
    </row>
    <row r="1053" spans="3:8" x14ac:dyDescent="0.2">
      <c r="C1053" s="30"/>
      <c r="D1053" s="31"/>
      <c r="E1053" s="32"/>
      <c r="G1053" s="4"/>
      <c r="H1053" s="31"/>
    </row>
    <row r="1054" spans="3:8" x14ac:dyDescent="0.2">
      <c r="C1054" s="30"/>
      <c r="D1054" s="31"/>
      <c r="E1054" s="32"/>
      <c r="G1054" s="4"/>
      <c r="H1054" s="31"/>
    </row>
    <row r="1055" spans="3:8" x14ac:dyDescent="0.2">
      <c r="C1055" s="30"/>
      <c r="D1055" s="31"/>
      <c r="E1055" s="32"/>
      <c r="G1055" s="4"/>
      <c r="H1055" s="31"/>
    </row>
    <row r="1056" spans="3:8" x14ac:dyDescent="0.2">
      <c r="C1056" s="30"/>
      <c r="D1056" s="31"/>
      <c r="E1056" s="32"/>
      <c r="G1056" s="4"/>
      <c r="H1056" s="31"/>
    </row>
    <row r="1057" spans="3:8" x14ac:dyDescent="0.2">
      <c r="C1057" s="30"/>
      <c r="D1057" s="31"/>
      <c r="E1057" s="32"/>
      <c r="G1057" s="4"/>
      <c r="H1057" s="31"/>
    </row>
    <row r="1058" spans="3:8" x14ac:dyDescent="0.2">
      <c r="C1058" s="30"/>
      <c r="D1058" s="31"/>
      <c r="E1058" s="32"/>
      <c r="G1058" s="4"/>
      <c r="H1058" s="31"/>
    </row>
    <row r="1059" spans="3:8" x14ac:dyDescent="0.2">
      <c r="C1059" s="30"/>
      <c r="D1059" s="31"/>
      <c r="E1059" s="32"/>
      <c r="G1059" s="4"/>
      <c r="H1059" s="31"/>
    </row>
    <row r="1060" spans="3:8" x14ac:dyDescent="0.2">
      <c r="C1060" s="30"/>
      <c r="D1060" s="31"/>
      <c r="E1060" s="32"/>
      <c r="G1060" s="4"/>
      <c r="H1060" s="31"/>
    </row>
    <row r="1061" spans="3:8" x14ac:dyDescent="0.2">
      <c r="C1061" s="30"/>
      <c r="D1061" s="31"/>
      <c r="E1061" s="32"/>
      <c r="G1061" s="4"/>
      <c r="H1061" s="31"/>
    </row>
    <row r="1062" spans="3:8" x14ac:dyDescent="0.2">
      <c r="C1062" s="30"/>
      <c r="D1062" s="31"/>
      <c r="E1062" s="32"/>
      <c r="G1062" s="4"/>
      <c r="H1062" s="31"/>
    </row>
    <row r="1063" spans="3:8" x14ac:dyDescent="0.2">
      <c r="C1063" s="30"/>
      <c r="D1063" s="31"/>
      <c r="E1063" s="32"/>
      <c r="G1063" s="4"/>
      <c r="H1063" s="31"/>
    </row>
    <row r="1064" spans="3:8" x14ac:dyDescent="0.2">
      <c r="C1064" s="30"/>
      <c r="D1064" s="31"/>
      <c r="E1064" s="32"/>
      <c r="G1064" s="4"/>
      <c r="H1064" s="31"/>
    </row>
    <row r="1065" spans="3:8" x14ac:dyDescent="0.2">
      <c r="C1065" s="30"/>
      <c r="D1065" s="31"/>
      <c r="E1065" s="32"/>
      <c r="G1065" s="4"/>
      <c r="H1065" s="31"/>
    </row>
    <row r="1066" spans="3:8" x14ac:dyDescent="0.2">
      <c r="C1066" s="30"/>
      <c r="D1066" s="31"/>
      <c r="E1066" s="32"/>
      <c r="G1066" s="4"/>
      <c r="H1066" s="31"/>
    </row>
    <row r="1067" spans="3:8" x14ac:dyDescent="0.2">
      <c r="C1067" s="30"/>
      <c r="D1067" s="31"/>
      <c r="E1067" s="32"/>
      <c r="G1067" s="4"/>
      <c r="H1067" s="31"/>
    </row>
    <row r="1068" spans="3:8" x14ac:dyDescent="0.2">
      <c r="C1068" s="30"/>
      <c r="D1068" s="31"/>
      <c r="E1068" s="32"/>
      <c r="G1068" s="4"/>
      <c r="H1068" s="31"/>
    </row>
    <row r="1069" spans="3:8" x14ac:dyDescent="0.2">
      <c r="C1069" s="30"/>
      <c r="D1069" s="31"/>
      <c r="E1069" s="32"/>
      <c r="G1069" s="4"/>
      <c r="H1069" s="31"/>
    </row>
    <row r="1070" spans="3:8" x14ac:dyDescent="0.2">
      <c r="C1070" s="30"/>
      <c r="D1070" s="31"/>
      <c r="E1070" s="32"/>
      <c r="G1070" s="4"/>
      <c r="H1070" s="31"/>
    </row>
    <row r="1071" spans="3:8" x14ac:dyDescent="0.2">
      <c r="C1071" s="30"/>
      <c r="D1071" s="31"/>
      <c r="E1071" s="32"/>
      <c r="G1071" s="4"/>
      <c r="H1071" s="31"/>
    </row>
    <row r="1072" spans="3:8" x14ac:dyDescent="0.2">
      <c r="C1072" s="30"/>
      <c r="D1072" s="31"/>
      <c r="E1072" s="32"/>
      <c r="G1072" s="4"/>
      <c r="H1072" s="31"/>
    </row>
    <row r="1073" spans="3:8" x14ac:dyDescent="0.2">
      <c r="C1073" s="30"/>
      <c r="D1073" s="31"/>
      <c r="E1073" s="32"/>
      <c r="G1073" s="4"/>
      <c r="H1073" s="31"/>
    </row>
    <row r="1074" spans="3:8" x14ac:dyDescent="0.2">
      <c r="C1074" s="30"/>
      <c r="D1074" s="31"/>
      <c r="E1074" s="32"/>
      <c r="G1074" s="4"/>
      <c r="H1074" s="31"/>
    </row>
    <row r="1075" spans="3:8" x14ac:dyDescent="0.2">
      <c r="C1075" s="30"/>
      <c r="D1075" s="31"/>
      <c r="E1075" s="32"/>
      <c r="G1075" s="4"/>
      <c r="H1075" s="31"/>
    </row>
    <row r="1076" spans="3:8" x14ac:dyDescent="0.2">
      <c r="C1076" s="30"/>
      <c r="D1076" s="31"/>
      <c r="E1076" s="32"/>
      <c r="G1076" s="4"/>
      <c r="H1076" s="31"/>
    </row>
    <row r="1077" spans="3:8" x14ac:dyDescent="0.2">
      <c r="C1077" s="30"/>
      <c r="D1077" s="31"/>
      <c r="E1077" s="32"/>
      <c r="G1077" s="4"/>
      <c r="H1077" s="31"/>
    </row>
    <row r="1078" spans="3:8" x14ac:dyDescent="0.2">
      <c r="C1078" s="30"/>
      <c r="D1078" s="31"/>
      <c r="E1078" s="32"/>
      <c r="G1078" s="4"/>
      <c r="H1078" s="31"/>
    </row>
    <row r="1079" spans="3:8" x14ac:dyDescent="0.2">
      <c r="C1079" s="30"/>
      <c r="D1079" s="31"/>
      <c r="E1079" s="32"/>
      <c r="G1079" s="4"/>
      <c r="H1079" s="31"/>
    </row>
    <row r="1080" spans="3:8" x14ac:dyDescent="0.2">
      <c r="C1080" s="30"/>
      <c r="D1080" s="31"/>
      <c r="E1080" s="32"/>
      <c r="G1080" s="4"/>
      <c r="H1080" s="31"/>
    </row>
    <row r="1081" spans="3:8" x14ac:dyDescent="0.2">
      <c r="C1081" s="30"/>
      <c r="D1081" s="31"/>
      <c r="E1081" s="32"/>
      <c r="G1081" s="4"/>
      <c r="H1081" s="31"/>
    </row>
    <row r="1082" spans="3:8" x14ac:dyDescent="0.2">
      <c r="C1082" s="30"/>
      <c r="D1082" s="31"/>
      <c r="E1082" s="32"/>
      <c r="G1082" s="4"/>
      <c r="H1082" s="31"/>
    </row>
    <row r="1083" spans="3:8" x14ac:dyDescent="0.2">
      <c r="C1083" s="30"/>
      <c r="D1083" s="31"/>
      <c r="E1083" s="32"/>
      <c r="G1083" s="4"/>
      <c r="H1083" s="31"/>
    </row>
    <row r="1084" spans="3:8" x14ac:dyDescent="0.2">
      <c r="C1084" s="30"/>
      <c r="D1084" s="31"/>
      <c r="E1084" s="32"/>
      <c r="G1084" s="4"/>
      <c r="H1084" s="31"/>
    </row>
    <row r="1085" spans="3:8" x14ac:dyDescent="0.2">
      <c r="C1085" s="30"/>
      <c r="D1085" s="31"/>
      <c r="E1085" s="32"/>
      <c r="G1085" s="4"/>
      <c r="H1085" s="31"/>
    </row>
    <row r="1086" spans="3:8" x14ac:dyDescent="0.2">
      <c r="C1086" s="30"/>
      <c r="D1086" s="31"/>
      <c r="E1086" s="32"/>
      <c r="G1086" s="4"/>
      <c r="H1086" s="31"/>
    </row>
    <row r="1087" spans="3:8" x14ac:dyDescent="0.2">
      <c r="C1087" s="30"/>
      <c r="D1087" s="31"/>
      <c r="E1087" s="32"/>
      <c r="G1087" s="4"/>
      <c r="H1087" s="31"/>
    </row>
    <row r="1088" spans="3:8" x14ac:dyDescent="0.2">
      <c r="C1088" s="30"/>
      <c r="D1088" s="31"/>
      <c r="E1088" s="32"/>
      <c r="G1088" s="4"/>
      <c r="H1088" s="31"/>
    </row>
    <row r="1089" spans="3:8" x14ac:dyDescent="0.2">
      <c r="C1089" s="30"/>
      <c r="D1089" s="31"/>
      <c r="E1089" s="32"/>
      <c r="G1089" s="4"/>
      <c r="H1089" s="31"/>
    </row>
    <row r="1090" spans="3:8" x14ac:dyDescent="0.2">
      <c r="C1090" s="30"/>
      <c r="D1090" s="31"/>
      <c r="E1090" s="32"/>
      <c r="G1090" s="4"/>
      <c r="H1090" s="31"/>
    </row>
    <row r="1091" spans="3:8" x14ac:dyDescent="0.2">
      <c r="C1091" s="30"/>
      <c r="D1091" s="31"/>
      <c r="E1091" s="32"/>
      <c r="G1091" s="4"/>
      <c r="H1091" s="31"/>
    </row>
    <row r="1092" spans="3:8" x14ac:dyDescent="0.2">
      <c r="C1092" s="30"/>
      <c r="D1092" s="31"/>
      <c r="E1092" s="32"/>
      <c r="G1092" s="4"/>
      <c r="H1092" s="31"/>
    </row>
    <row r="1093" spans="3:8" x14ac:dyDescent="0.2">
      <c r="C1093" s="30"/>
      <c r="D1093" s="31"/>
      <c r="E1093" s="32"/>
      <c r="G1093" s="4"/>
      <c r="H1093" s="31"/>
    </row>
    <row r="1094" spans="3:8" x14ac:dyDescent="0.2">
      <c r="C1094" s="30"/>
      <c r="D1094" s="31"/>
      <c r="E1094" s="32"/>
      <c r="G1094" s="4"/>
      <c r="H1094" s="31"/>
    </row>
    <row r="1095" spans="3:8" x14ac:dyDescent="0.2">
      <c r="C1095" s="30"/>
      <c r="D1095" s="31"/>
      <c r="E1095" s="32"/>
      <c r="G1095" s="4"/>
      <c r="H1095" s="31"/>
    </row>
    <row r="1096" spans="3:8" x14ac:dyDescent="0.2">
      <c r="C1096" s="30"/>
      <c r="D1096" s="31"/>
      <c r="E1096" s="32"/>
      <c r="G1096" s="4"/>
      <c r="H1096" s="31"/>
    </row>
    <row r="1097" spans="3:8" x14ac:dyDescent="0.2">
      <c r="C1097" s="30"/>
      <c r="D1097" s="31"/>
      <c r="E1097" s="32"/>
      <c r="G1097" s="4"/>
      <c r="H1097" s="31"/>
    </row>
    <row r="1098" spans="3:8" x14ac:dyDescent="0.2">
      <c r="C1098" s="30"/>
      <c r="D1098" s="31"/>
      <c r="E1098" s="32"/>
      <c r="G1098" s="4"/>
      <c r="H1098" s="31"/>
    </row>
    <row r="1099" spans="3:8" x14ac:dyDescent="0.2">
      <c r="C1099" s="30"/>
      <c r="D1099" s="31"/>
      <c r="E1099" s="32"/>
      <c r="G1099" s="4"/>
      <c r="H1099" s="31"/>
    </row>
    <row r="1100" spans="3:8" x14ac:dyDescent="0.2">
      <c r="C1100" s="30"/>
      <c r="D1100" s="31"/>
      <c r="E1100" s="32"/>
      <c r="G1100" s="4"/>
      <c r="H1100" s="31"/>
    </row>
    <row r="1101" spans="3:8" x14ac:dyDescent="0.2">
      <c r="C1101" s="30"/>
      <c r="D1101" s="31"/>
      <c r="E1101" s="32"/>
      <c r="G1101" s="4"/>
      <c r="H1101" s="31"/>
    </row>
    <row r="1102" spans="3:8" x14ac:dyDescent="0.2">
      <c r="C1102" s="30"/>
      <c r="D1102" s="31"/>
      <c r="E1102" s="32"/>
      <c r="G1102" s="4"/>
      <c r="H1102" s="31"/>
    </row>
    <row r="1103" spans="3:8" x14ac:dyDescent="0.2">
      <c r="C1103" s="30"/>
      <c r="D1103" s="31"/>
      <c r="E1103" s="32"/>
      <c r="G1103" s="4"/>
      <c r="H1103" s="31"/>
    </row>
    <row r="1104" spans="3:8" x14ac:dyDescent="0.2">
      <c r="C1104" s="30"/>
      <c r="D1104" s="31"/>
      <c r="E1104" s="32"/>
      <c r="G1104" s="4"/>
      <c r="H1104" s="31"/>
    </row>
    <row r="1105" spans="3:8" x14ac:dyDescent="0.2">
      <c r="C1105" s="30"/>
      <c r="D1105" s="31"/>
      <c r="E1105" s="32"/>
      <c r="G1105" s="4"/>
      <c r="H1105" s="31"/>
    </row>
    <row r="1106" spans="3:8" x14ac:dyDescent="0.2">
      <c r="C1106" s="30"/>
      <c r="D1106" s="31"/>
      <c r="E1106" s="32"/>
      <c r="G1106" s="4"/>
      <c r="H1106" s="31"/>
    </row>
    <row r="1107" spans="3:8" x14ac:dyDescent="0.2">
      <c r="C1107" s="30"/>
      <c r="D1107" s="31"/>
      <c r="E1107" s="32"/>
      <c r="G1107" s="4"/>
      <c r="H1107" s="31"/>
    </row>
    <row r="1108" spans="3:8" x14ac:dyDescent="0.2">
      <c r="C1108" s="30"/>
      <c r="D1108" s="31"/>
      <c r="E1108" s="32"/>
      <c r="G1108" s="4"/>
      <c r="H1108" s="31"/>
    </row>
    <row r="1109" spans="3:8" x14ac:dyDescent="0.2">
      <c r="C1109" s="30"/>
      <c r="D1109" s="31"/>
      <c r="E1109" s="32"/>
      <c r="G1109" s="4"/>
      <c r="H1109" s="31"/>
    </row>
    <row r="1110" spans="3:8" x14ac:dyDescent="0.2">
      <c r="C1110" s="30"/>
      <c r="D1110" s="31"/>
      <c r="E1110" s="32"/>
      <c r="G1110" s="4"/>
      <c r="H1110" s="31"/>
    </row>
    <row r="1111" spans="3:8" x14ac:dyDescent="0.2">
      <c r="C1111" s="30"/>
      <c r="D1111" s="31"/>
      <c r="E1111" s="32"/>
      <c r="G1111" s="4"/>
      <c r="H1111" s="31"/>
    </row>
    <row r="1112" spans="3:8" x14ac:dyDescent="0.2">
      <c r="C1112" s="30"/>
      <c r="D1112" s="31"/>
      <c r="E1112" s="32"/>
      <c r="G1112" s="4"/>
      <c r="H1112" s="31"/>
    </row>
    <row r="1113" spans="3:8" x14ac:dyDescent="0.2">
      <c r="C1113" s="30"/>
      <c r="D1113" s="31"/>
      <c r="E1113" s="32"/>
      <c r="G1113" s="4"/>
      <c r="H1113" s="31"/>
    </row>
    <row r="1114" spans="3:8" x14ac:dyDescent="0.2">
      <c r="C1114" s="30"/>
      <c r="D1114" s="31"/>
      <c r="E1114" s="32"/>
      <c r="G1114" s="4"/>
      <c r="H1114" s="31"/>
    </row>
    <row r="1115" spans="3:8" x14ac:dyDescent="0.2">
      <c r="C1115" s="30"/>
      <c r="D1115" s="31"/>
      <c r="E1115" s="32"/>
      <c r="G1115" s="4"/>
      <c r="H1115" s="31"/>
    </row>
    <row r="1116" spans="3:8" x14ac:dyDescent="0.2">
      <c r="C1116" s="30"/>
      <c r="D1116" s="31"/>
      <c r="E1116" s="32"/>
      <c r="G1116" s="4"/>
      <c r="H1116" s="31"/>
    </row>
    <row r="1117" spans="3:8" x14ac:dyDescent="0.2">
      <c r="C1117" s="30"/>
      <c r="D1117" s="31"/>
      <c r="E1117" s="32"/>
      <c r="G1117" s="4"/>
      <c r="H1117" s="31"/>
    </row>
    <row r="1118" spans="3:8" x14ac:dyDescent="0.2">
      <c r="C1118" s="30"/>
      <c r="D1118" s="31"/>
      <c r="E1118" s="32"/>
      <c r="G1118" s="4"/>
      <c r="H1118" s="31"/>
    </row>
    <row r="1119" spans="3:8" x14ac:dyDescent="0.2">
      <c r="C1119" s="30"/>
      <c r="D1119" s="31"/>
      <c r="E1119" s="32"/>
      <c r="G1119" s="4"/>
      <c r="H1119" s="31"/>
    </row>
    <row r="1120" spans="3:8" x14ac:dyDescent="0.2">
      <c r="C1120" s="30"/>
      <c r="D1120" s="31"/>
      <c r="E1120" s="32"/>
      <c r="G1120" s="4"/>
      <c r="H1120" s="31"/>
    </row>
    <row r="1121" spans="3:8" x14ac:dyDescent="0.2">
      <c r="C1121" s="30"/>
      <c r="D1121" s="31"/>
      <c r="E1121" s="32"/>
      <c r="G1121" s="4"/>
      <c r="H1121" s="31"/>
    </row>
    <row r="1122" spans="3:8" x14ac:dyDescent="0.2">
      <c r="C1122" s="30"/>
      <c r="D1122" s="31"/>
      <c r="E1122" s="32"/>
      <c r="G1122" s="4"/>
      <c r="H1122" s="31"/>
    </row>
    <row r="1123" spans="3:8" x14ac:dyDescent="0.2">
      <c r="C1123" s="30"/>
      <c r="D1123" s="31"/>
      <c r="E1123" s="32"/>
      <c r="G1123" s="4"/>
      <c r="H1123" s="31"/>
    </row>
    <row r="1124" spans="3:8" x14ac:dyDescent="0.2">
      <c r="C1124" s="30"/>
      <c r="D1124" s="31"/>
      <c r="E1124" s="32"/>
      <c r="G1124" s="4"/>
      <c r="H1124" s="31"/>
    </row>
    <row r="1125" spans="3:8" x14ac:dyDescent="0.2">
      <c r="C1125" s="30"/>
      <c r="D1125" s="31"/>
      <c r="E1125" s="32"/>
      <c r="G1125" s="4"/>
      <c r="H1125" s="31"/>
    </row>
    <row r="1126" spans="3:8" x14ac:dyDescent="0.2">
      <c r="C1126" s="30"/>
      <c r="D1126" s="31"/>
      <c r="E1126" s="32"/>
      <c r="G1126" s="4"/>
      <c r="H1126" s="31"/>
    </row>
    <row r="1127" spans="3:8" x14ac:dyDescent="0.2">
      <c r="C1127" s="30"/>
      <c r="D1127" s="31"/>
      <c r="E1127" s="32"/>
      <c r="G1127" s="4"/>
      <c r="H1127" s="31"/>
    </row>
    <row r="1128" spans="3:8" x14ac:dyDescent="0.2">
      <c r="C1128" s="30"/>
      <c r="D1128" s="31"/>
      <c r="E1128" s="32"/>
      <c r="G1128" s="4"/>
      <c r="H1128" s="31"/>
    </row>
    <row r="1129" spans="3:8" x14ac:dyDescent="0.2">
      <c r="C1129" s="30"/>
      <c r="D1129" s="31"/>
      <c r="E1129" s="32"/>
      <c r="G1129" s="4"/>
      <c r="H1129" s="31"/>
    </row>
    <row r="1130" spans="3:8" x14ac:dyDescent="0.2">
      <c r="C1130" s="30"/>
      <c r="D1130" s="31"/>
      <c r="E1130" s="32"/>
      <c r="G1130" s="4"/>
      <c r="H1130" s="31"/>
    </row>
    <row r="1131" spans="3:8" x14ac:dyDescent="0.2">
      <c r="C1131" s="30"/>
      <c r="D1131" s="31"/>
      <c r="E1131" s="32"/>
      <c r="G1131" s="4"/>
      <c r="H1131" s="31"/>
    </row>
    <row r="1132" spans="3:8" x14ac:dyDescent="0.2">
      <c r="C1132" s="30"/>
      <c r="D1132" s="31"/>
      <c r="E1132" s="32"/>
      <c r="G1132" s="4"/>
      <c r="H1132" s="31"/>
    </row>
    <row r="1133" spans="3:8" x14ac:dyDescent="0.2">
      <c r="C1133" s="30"/>
      <c r="D1133" s="31"/>
      <c r="E1133" s="32"/>
      <c r="G1133" s="4"/>
      <c r="H1133" s="31"/>
    </row>
    <row r="1134" spans="3:8" x14ac:dyDescent="0.2">
      <c r="C1134" s="30"/>
      <c r="D1134" s="31"/>
      <c r="E1134" s="32"/>
      <c r="G1134" s="4"/>
      <c r="H1134" s="31"/>
    </row>
    <row r="1135" spans="3:8" x14ac:dyDescent="0.2">
      <c r="C1135" s="30"/>
      <c r="D1135" s="31"/>
      <c r="E1135" s="32"/>
      <c r="G1135" s="4"/>
      <c r="H1135" s="31"/>
    </row>
    <row r="1136" spans="3:8" x14ac:dyDescent="0.2">
      <c r="C1136" s="30"/>
      <c r="D1136" s="31"/>
      <c r="E1136" s="32"/>
      <c r="G1136" s="4"/>
      <c r="H1136" s="31"/>
    </row>
    <row r="1137" spans="3:8" x14ac:dyDescent="0.2">
      <c r="C1137" s="30"/>
      <c r="D1137" s="31"/>
      <c r="E1137" s="32"/>
      <c r="G1137" s="4"/>
      <c r="H1137" s="31"/>
    </row>
    <row r="1138" spans="3:8" x14ac:dyDescent="0.2">
      <c r="C1138" s="30"/>
      <c r="D1138" s="31"/>
      <c r="E1138" s="32"/>
      <c r="G1138" s="4"/>
      <c r="H1138" s="31"/>
    </row>
    <row r="1139" spans="3:8" x14ac:dyDescent="0.2">
      <c r="C1139" s="30"/>
      <c r="D1139" s="31"/>
      <c r="E1139" s="32"/>
      <c r="G1139" s="4"/>
      <c r="H1139" s="31"/>
    </row>
    <row r="1140" spans="3:8" x14ac:dyDescent="0.2">
      <c r="C1140" s="30"/>
      <c r="D1140" s="31"/>
      <c r="E1140" s="32"/>
      <c r="G1140" s="4"/>
      <c r="H1140" s="31"/>
    </row>
    <row r="1141" spans="3:8" x14ac:dyDescent="0.2">
      <c r="C1141" s="30"/>
      <c r="D1141" s="31"/>
      <c r="E1141" s="32"/>
      <c r="G1141" s="4"/>
      <c r="H1141" s="31"/>
    </row>
    <row r="1142" spans="3:8" x14ac:dyDescent="0.2">
      <c r="C1142" s="30"/>
      <c r="D1142" s="31"/>
      <c r="E1142" s="32"/>
      <c r="G1142" s="4"/>
      <c r="H1142" s="31"/>
    </row>
    <row r="1143" spans="3:8" x14ac:dyDescent="0.2">
      <c r="C1143" s="30"/>
      <c r="D1143" s="31"/>
      <c r="E1143" s="32"/>
      <c r="G1143" s="4"/>
      <c r="H1143" s="31"/>
    </row>
    <row r="1144" spans="3:8" x14ac:dyDescent="0.2">
      <c r="C1144" s="30"/>
      <c r="D1144" s="31"/>
      <c r="E1144" s="32"/>
      <c r="G1144" s="4"/>
      <c r="H1144" s="31"/>
    </row>
    <row r="1145" spans="3:8" x14ac:dyDescent="0.2">
      <c r="C1145" s="30"/>
      <c r="D1145" s="31"/>
      <c r="E1145" s="32"/>
      <c r="G1145" s="4"/>
      <c r="H1145" s="31"/>
    </row>
    <row r="1146" spans="3:8" x14ac:dyDescent="0.2">
      <c r="C1146" s="30"/>
      <c r="D1146" s="31"/>
      <c r="E1146" s="32"/>
      <c r="G1146" s="4"/>
      <c r="H1146" s="31"/>
    </row>
    <row r="1147" spans="3:8" x14ac:dyDescent="0.2">
      <c r="C1147" s="30"/>
      <c r="D1147" s="31"/>
      <c r="E1147" s="32"/>
      <c r="G1147" s="4"/>
      <c r="H1147" s="31"/>
    </row>
    <row r="1148" spans="3:8" x14ac:dyDescent="0.2">
      <c r="C1148" s="30"/>
      <c r="D1148" s="31"/>
      <c r="E1148" s="32"/>
      <c r="G1148" s="4"/>
      <c r="H1148" s="31"/>
    </row>
  </sheetData>
  <mergeCells count="222">
    <mergeCell ref="B250:B251"/>
    <mergeCell ref="C250:C251"/>
    <mergeCell ref="A244:A245"/>
    <mergeCell ref="B244:B245"/>
    <mergeCell ref="C244:C245"/>
    <mergeCell ref="A246:A249"/>
    <mergeCell ref="B246:B249"/>
    <mergeCell ref="C246:C249"/>
    <mergeCell ref="A250:A251"/>
    <mergeCell ref="B227:B230"/>
    <mergeCell ref="C227:C230"/>
    <mergeCell ref="A220:A223"/>
    <mergeCell ref="B220:B223"/>
    <mergeCell ref="C220:C223"/>
    <mergeCell ref="A224:A226"/>
    <mergeCell ref="B224:B226"/>
    <mergeCell ref="C224:C226"/>
    <mergeCell ref="A227:A230"/>
    <mergeCell ref="B217:B219"/>
    <mergeCell ref="C217:C219"/>
    <mergeCell ref="A210:A212"/>
    <mergeCell ref="B210:B212"/>
    <mergeCell ref="C210:C212"/>
    <mergeCell ref="A213:A216"/>
    <mergeCell ref="B213:B216"/>
    <mergeCell ref="C213:C216"/>
    <mergeCell ref="A217:A219"/>
    <mergeCell ref="B190:B192"/>
    <mergeCell ref="C190:C192"/>
    <mergeCell ref="A193:A196"/>
    <mergeCell ref="B193:B196"/>
    <mergeCell ref="C193:C196"/>
    <mergeCell ref="A197:A198"/>
    <mergeCell ref="B205:B209"/>
    <mergeCell ref="C205:C209"/>
    <mergeCell ref="A199:A201"/>
    <mergeCell ref="B199:B201"/>
    <mergeCell ref="C199:C201"/>
    <mergeCell ref="A202:A204"/>
    <mergeCell ref="B202:B204"/>
    <mergeCell ref="C202:C204"/>
    <mergeCell ref="A205:A209"/>
    <mergeCell ref="A286:A289"/>
    <mergeCell ref="B286:B289"/>
    <mergeCell ref="C286:C289"/>
    <mergeCell ref="B164:B166"/>
    <mergeCell ref="C164:C166"/>
    <mergeCell ref="A156:A158"/>
    <mergeCell ref="B156:B158"/>
    <mergeCell ref="C156:C158"/>
    <mergeCell ref="A160:A163"/>
    <mergeCell ref="B160:B163"/>
    <mergeCell ref="C160:C163"/>
    <mergeCell ref="A164:A166"/>
    <mergeCell ref="B186:B189"/>
    <mergeCell ref="C186:C189"/>
    <mergeCell ref="A177:A180"/>
    <mergeCell ref="B177:B180"/>
    <mergeCell ref="C177:C180"/>
    <mergeCell ref="A181:A185"/>
    <mergeCell ref="B181:B185"/>
    <mergeCell ref="C181:C185"/>
    <mergeCell ref="A186:A189"/>
    <mergeCell ref="B197:B198"/>
    <mergeCell ref="C197:C198"/>
    <mergeCell ref="A190:A192"/>
    <mergeCell ref="B102:B106"/>
    <mergeCell ref="C102:C106"/>
    <mergeCell ref="A91:A95"/>
    <mergeCell ref="B91:B95"/>
    <mergeCell ref="C91:C95"/>
    <mergeCell ref="A97:A101"/>
    <mergeCell ref="B97:B101"/>
    <mergeCell ref="C97:C101"/>
    <mergeCell ref="A102:A106"/>
    <mergeCell ref="B86:B90"/>
    <mergeCell ref="C86:C90"/>
    <mergeCell ref="A74:A78"/>
    <mergeCell ref="B74:B78"/>
    <mergeCell ref="C74:C78"/>
    <mergeCell ref="A80:A84"/>
    <mergeCell ref="B80:B84"/>
    <mergeCell ref="C80:C84"/>
    <mergeCell ref="A86:A90"/>
    <mergeCell ref="B67:B72"/>
    <mergeCell ref="C67:C72"/>
    <mergeCell ref="A54:A58"/>
    <mergeCell ref="B54:B58"/>
    <mergeCell ref="C54:C58"/>
    <mergeCell ref="A60:A65"/>
    <mergeCell ref="B60:B65"/>
    <mergeCell ref="C60:C65"/>
    <mergeCell ref="A67:A72"/>
    <mergeCell ref="B282:B285"/>
    <mergeCell ref="C282:C285"/>
    <mergeCell ref="A274:A276"/>
    <mergeCell ref="B274:B276"/>
    <mergeCell ref="C274:C276"/>
    <mergeCell ref="A277:A280"/>
    <mergeCell ref="B277:B280"/>
    <mergeCell ref="C277:C280"/>
    <mergeCell ref="A282:A285"/>
    <mergeCell ref="B270:B273"/>
    <mergeCell ref="C270:C273"/>
    <mergeCell ref="A262:A265"/>
    <mergeCell ref="B262:B265"/>
    <mergeCell ref="C262:C265"/>
    <mergeCell ref="A266:A269"/>
    <mergeCell ref="B266:B269"/>
    <mergeCell ref="C266:C269"/>
    <mergeCell ref="A270:A273"/>
    <mergeCell ref="B258:B261"/>
    <mergeCell ref="C258:C261"/>
    <mergeCell ref="A252:A254"/>
    <mergeCell ref="B252:B254"/>
    <mergeCell ref="C252:C254"/>
    <mergeCell ref="A255:A257"/>
    <mergeCell ref="B255:B257"/>
    <mergeCell ref="C255:C257"/>
    <mergeCell ref="A258:A261"/>
    <mergeCell ref="B240:B243"/>
    <mergeCell ref="C240:C243"/>
    <mergeCell ref="A231:A234"/>
    <mergeCell ref="B231:B234"/>
    <mergeCell ref="C231:C234"/>
    <mergeCell ref="A235:A238"/>
    <mergeCell ref="B235:B238"/>
    <mergeCell ref="C235:C238"/>
    <mergeCell ref="A240:A243"/>
    <mergeCell ref="B175:B176"/>
    <mergeCell ref="C175:C176"/>
    <mergeCell ref="A168:A170"/>
    <mergeCell ref="B168:B170"/>
    <mergeCell ref="C168:C170"/>
    <mergeCell ref="A171:A174"/>
    <mergeCell ref="B171:B174"/>
    <mergeCell ref="C171:C174"/>
    <mergeCell ref="A175:A176"/>
    <mergeCell ref="B153:B155"/>
    <mergeCell ref="C153:C155"/>
    <mergeCell ref="A147:A149"/>
    <mergeCell ref="B147:B149"/>
    <mergeCell ref="C147:C149"/>
    <mergeCell ref="A150:A152"/>
    <mergeCell ref="B150:B152"/>
    <mergeCell ref="C150:C152"/>
    <mergeCell ref="A153:A155"/>
    <mergeCell ref="B144:B146"/>
    <mergeCell ref="C144:C146"/>
    <mergeCell ref="A138:A140"/>
    <mergeCell ref="B138:B140"/>
    <mergeCell ref="C138:C140"/>
    <mergeCell ref="A141:A143"/>
    <mergeCell ref="B141:B143"/>
    <mergeCell ref="C141:C143"/>
    <mergeCell ref="A144:A146"/>
    <mergeCell ref="B135:B137"/>
    <mergeCell ref="C135:C137"/>
    <mergeCell ref="A129:A131"/>
    <mergeCell ref="B129:B131"/>
    <mergeCell ref="C129:C131"/>
    <mergeCell ref="A132:A134"/>
    <mergeCell ref="B132:B134"/>
    <mergeCell ref="C132:C134"/>
    <mergeCell ref="A135:A137"/>
    <mergeCell ref="B125:B127"/>
    <mergeCell ref="C125:C127"/>
    <mergeCell ref="A118:A120"/>
    <mergeCell ref="B118:B120"/>
    <mergeCell ref="C118:C120"/>
    <mergeCell ref="A121:A123"/>
    <mergeCell ref="B121:B123"/>
    <mergeCell ref="C121:C123"/>
    <mergeCell ref="A125:A127"/>
    <mergeCell ref="B114:B116"/>
    <mergeCell ref="C114:C116"/>
    <mergeCell ref="A108:A110"/>
    <mergeCell ref="B108:B110"/>
    <mergeCell ref="C108:C110"/>
    <mergeCell ref="A111:A113"/>
    <mergeCell ref="B111:B113"/>
    <mergeCell ref="C111:C113"/>
    <mergeCell ref="A114:A116"/>
    <mergeCell ref="B51:B52"/>
    <mergeCell ref="C51:C52"/>
    <mergeCell ref="A45:A46"/>
    <mergeCell ref="B45:B46"/>
    <mergeCell ref="C45:C46"/>
    <mergeCell ref="A48:A49"/>
    <mergeCell ref="B48:B49"/>
    <mergeCell ref="C48:C49"/>
    <mergeCell ref="A51:A52"/>
    <mergeCell ref="A28:A30"/>
    <mergeCell ref="B28:B30"/>
    <mergeCell ref="C28:C30"/>
    <mergeCell ref="B42:B43"/>
    <mergeCell ref="C42:C43"/>
    <mergeCell ref="A32:A35"/>
    <mergeCell ref="B32:B35"/>
    <mergeCell ref="C32:C35"/>
    <mergeCell ref="A37:A40"/>
    <mergeCell ref="B37:B40"/>
    <mergeCell ref="C37:C40"/>
    <mergeCell ref="A42:A43"/>
    <mergeCell ref="A14:A17"/>
    <mergeCell ref="B14:B17"/>
    <mergeCell ref="C14:C17"/>
    <mergeCell ref="B19:B22"/>
    <mergeCell ref="C19:C22"/>
    <mergeCell ref="A19:A22"/>
    <mergeCell ref="A24:A26"/>
    <mergeCell ref="B24:B26"/>
    <mergeCell ref="C24:C26"/>
    <mergeCell ref="B1:G1"/>
    <mergeCell ref="I1:J1"/>
    <mergeCell ref="K1:L1"/>
    <mergeCell ref="A3:A6"/>
    <mergeCell ref="B3:B6"/>
    <mergeCell ref="C3:C6"/>
    <mergeCell ref="A8:A12"/>
    <mergeCell ref="B8:B12"/>
    <mergeCell ref="C8:C12"/>
  </mergeCells>
  <dataValidations count="2">
    <dataValidation type="list" allowBlank="1" showErrorMessage="1" sqref="G3:G6 G8:G17 G19:G22 G24:G26 G28:G30 G32:G35 G37:G40 G42:G43 G45:G46 G48:G49 G51:G52 G54:G58 G60:G65 G67:G72 G74:G78 G80:G84 G86:G95 G97:G106 G108:G116 G118:G123 G125:G127 G129:G158 G160:G166 G168:G238 G240:G280 G282:G289 G323:G1148" xr:uid="{00000000-0002-0000-0100-000000000000}">
      <formula1>"En Proceso,Terminado,Pendiente"</formula1>
    </dataValidation>
    <dataValidation type="list" allowBlank="1" showErrorMessage="1" sqref="E3:E6 E8:E12 E14:E17 E19:E22 E24:E26 E28:E30 E32:E35 E37:E40 E42:E43 E45:E46 E48:E49 E51:E52 E54:E58 E60:E65 E67:E72 E74:E78 E80:E84 E86:E95 E97:E106 E108:E116 E118:E123 E125:E127 E129:E158 E160:E166 E168:E238 E240:E280 E282:E289 E335:E1148" xr:uid="{00000000-0002-0000-0100-000001000000}">
      <formula1>"Francisco Torres,Bastian Benitez,Eliam Rivas,Manuel Vidal,Samir Saud,Geronimo Lopez,N/A"</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T30"/>
  <sheetViews>
    <sheetView topLeftCell="A7" workbookViewId="0">
      <selection activeCell="J7" sqref="J7"/>
    </sheetView>
  </sheetViews>
  <sheetFormatPr baseColWidth="10" defaultColWidth="12.5703125" defaultRowHeight="15.75" customHeight="1" x14ac:dyDescent="0.2"/>
  <cols>
    <col min="1" max="1" width="27.28515625" customWidth="1"/>
  </cols>
  <sheetData>
    <row r="1" spans="1:20" x14ac:dyDescent="0.2">
      <c r="A1" s="4" t="s">
        <v>461</v>
      </c>
      <c r="D1" s="47">
        <v>45961</v>
      </c>
      <c r="E1" s="42">
        <v>45968</v>
      </c>
      <c r="F1" s="4">
        <f>E1-D1</f>
        <v>7</v>
      </c>
    </row>
    <row r="3" spans="1:20" x14ac:dyDescent="0.2">
      <c r="A3" s="4" t="s">
        <v>462</v>
      </c>
    </row>
    <row r="4" spans="1:20" x14ac:dyDescent="0.2">
      <c r="B4" s="47">
        <v>45961</v>
      </c>
      <c r="C4" s="47">
        <v>45962</v>
      </c>
      <c r="D4" s="47">
        <v>45963</v>
      </c>
      <c r="E4" s="47">
        <v>45964</v>
      </c>
      <c r="F4" s="47">
        <v>45965</v>
      </c>
      <c r="G4" s="47">
        <v>45966</v>
      </c>
      <c r="H4" s="47">
        <v>45967</v>
      </c>
      <c r="I4" s="47">
        <v>45968</v>
      </c>
      <c r="J4" s="47">
        <v>45969</v>
      </c>
      <c r="K4" s="47"/>
      <c r="L4" s="47"/>
      <c r="M4" s="47"/>
      <c r="N4" s="47"/>
      <c r="O4" s="47"/>
      <c r="P4" s="47"/>
      <c r="Q4" s="47"/>
      <c r="R4" s="47"/>
      <c r="S4" s="47"/>
    </row>
    <row r="5" spans="1:20" x14ac:dyDescent="0.2">
      <c r="B5" s="4" t="s">
        <v>463</v>
      </c>
      <c r="C5" s="4" t="s">
        <v>464</v>
      </c>
      <c r="D5" s="4" t="s">
        <v>465</v>
      </c>
      <c r="E5" s="4" t="s">
        <v>466</v>
      </c>
      <c r="F5" s="4" t="s">
        <v>467</v>
      </c>
      <c r="G5" s="4" t="s">
        <v>468</v>
      </c>
      <c r="H5" s="4" t="s">
        <v>469</v>
      </c>
      <c r="I5" s="4" t="s">
        <v>470</v>
      </c>
      <c r="J5" s="4" t="s">
        <v>471</v>
      </c>
    </row>
    <row r="6" spans="1:20" x14ac:dyDescent="0.2">
      <c r="A6" s="4" t="s">
        <v>472</v>
      </c>
      <c r="B6" s="48">
        <v>0</v>
      </c>
      <c r="C6" s="48">
        <f>'Registro de HH INC4'!C11</f>
        <v>0</v>
      </c>
      <c r="D6" s="48">
        <f>'Registro de HH INC4'!D11</f>
        <v>1</v>
      </c>
      <c r="E6" s="48">
        <f>'Registro de HH INC4'!E11</f>
        <v>1.5</v>
      </c>
      <c r="F6" s="48">
        <f>'Registro de HH INC4'!F11</f>
        <v>2.5</v>
      </c>
      <c r="G6" s="48">
        <f>'Registro de HH INC4'!G11</f>
        <v>4</v>
      </c>
      <c r="H6" s="48">
        <f>'Registro de HH INC4'!H11</f>
        <v>4.5</v>
      </c>
      <c r="I6" s="48">
        <f>'Registro de HH INC4'!I11</f>
        <v>4.5</v>
      </c>
      <c r="J6" s="48">
        <f>'Registro de HH INC4'!J11</f>
        <v>4.5</v>
      </c>
      <c r="K6" s="48"/>
      <c r="L6" s="48"/>
      <c r="M6" s="48"/>
      <c r="N6" s="48"/>
      <c r="O6" s="48"/>
      <c r="P6" s="48"/>
      <c r="Q6" s="48"/>
      <c r="R6" s="48"/>
      <c r="S6" s="48"/>
    </row>
    <row r="7" spans="1:20" x14ac:dyDescent="0.2">
      <c r="A7" s="4" t="s">
        <v>473</v>
      </c>
      <c r="B7" s="48">
        <v>0</v>
      </c>
      <c r="C7" s="48">
        <f>SUM('Aux Esfuerzo Estimado INC4 SPT5'!B3:B1000)</f>
        <v>0.5</v>
      </c>
      <c r="D7" s="48">
        <f>SUM('Aux Esfuerzo Estimado INC4 SPT5'!C3:C1000)+C7</f>
        <v>1</v>
      </c>
      <c r="E7" s="48">
        <f>SUM('Aux Esfuerzo Estimado INC4 SPT5'!D3:D1000)+D7</f>
        <v>2.5</v>
      </c>
      <c r="F7" s="48">
        <f>SUM('Aux Esfuerzo Estimado INC4 SPT5'!E3:E1000)+E7</f>
        <v>3.5</v>
      </c>
      <c r="G7" s="48">
        <f>SUM('Aux Esfuerzo Estimado INC4 SPT5'!F3:F1000)+F7</f>
        <v>4</v>
      </c>
      <c r="H7" s="48">
        <f>SUM('Aux Esfuerzo Estimado INC4 SPT5'!G3:G1000)+G7</f>
        <v>4.5</v>
      </c>
      <c r="I7" s="48">
        <f>SUM('Aux Esfuerzo Estimado INC4 SPT5'!H3:H1000)+H7</f>
        <v>5.5</v>
      </c>
      <c r="J7" s="48">
        <f>SUM('Aux Esfuerzo Estimado INC4 SPT5'!I3:I1000)+I7</f>
        <v>5.5</v>
      </c>
      <c r="K7" s="48"/>
      <c r="L7" s="48"/>
      <c r="M7" s="48"/>
      <c r="N7" s="48"/>
      <c r="O7" s="48"/>
      <c r="P7" s="48"/>
      <c r="Q7" s="48"/>
      <c r="R7" s="48"/>
      <c r="S7" s="48"/>
      <c r="T7" s="48"/>
    </row>
    <row r="9" spans="1:20" x14ac:dyDescent="0.2">
      <c r="A9" s="4" t="s">
        <v>474</v>
      </c>
    </row>
    <row r="10" spans="1:20" x14ac:dyDescent="0.2">
      <c r="B10" s="47">
        <v>45961</v>
      </c>
      <c r="C10" s="47">
        <v>45962</v>
      </c>
      <c r="D10" s="47">
        <v>45963</v>
      </c>
      <c r="E10" s="47">
        <v>45964</v>
      </c>
      <c r="F10" s="47">
        <v>45965</v>
      </c>
      <c r="G10" s="47">
        <v>45966</v>
      </c>
      <c r="H10" s="47">
        <v>45967</v>
      </c>
      <c r="I10" s="47">
        <v>45968</v>
      </c>
      <c r="J10" s="47">
        <v>45969</v>
      </c>
      <c r="K10" s="47"/>
      <c r="L10" s="47"/>
      <c r="M10" s="47"/>
      <c r="N10" s="47"/>
      <c r="O10" s="47"/>
      <c r="P10" s="47"/>
      <c r="Q10" s="47"/>
      <c r="R10" s="47"/>
      <c r="S10" s="47"/>
    </row>
    <row r="11" spans="1:20" x14ac:dyDescent="0.2">
      <c r="B11" s="4" t="s">
        <v>463</v>
      </c>
      <c r="C11" s="4" t="s">
        <v>464</v>
      </c>
      <c r="D11" s="4" t="s">
        <v>465</v>
      </c>
      <c r="E11" s="4" t="s">
        <v>466</v>
      </c>
      <c r="F11" s="4" t="s">
        <v>467</v>
      </c>
      <c r="G11" s="4" t="s">
        <v>468</v>
      </c>
      <c r="H11" s="4" t="s">
        <v>469</v>
      </c>
      <c r="I11" s="4" t="s">
        <v>470</v>
      </c>
      <c r="J11" s="4" t="s">
        <v>471</v>
      </c>
    </row>
    <row r="12" spans="1:20" x14ac:dyDescent="0.2">
      <c r="A12" s="4" t="s">
        <v>475</v>
      </c>
      <c r="B12" s="48">
        <f>SUM('ProductSprint Backlog'!M282:M289)</f>
        <v>4.5</v>
      </c>
      <c r="C12" s="48">
        <f>B12-'Registro de HH INC4'!C10</f>
        <v>4.5</v>
      </c>
      <c r="D12" s="48">
        <f>C12-'Registro de HH INC4'!D10</f>
        <v>3.5</v>
      </c>
      <c r="E12" s="48">
        <f>D12-'Registro de HH INC4'!E10</f>
        <v>3</v>
      </c>
      <c r="F12" s="48">
        <f>E12-'Registro de HH INC4'!F10</f>
        <v>2</v>
      </c>
      <c r="G12" s="48">
        <f>F12-'Registro de HH INC4'!G10</f>
        <v>0.5</v>
      </c>
      <c r="H12" s="48">
        <f>G12-'Registro de HH INC4'!H10</f>
        <v>0</v>
      </c>
      <c r="I12" s="48">
        <f>H12-'Registro de HH INC4'!I10</f>
        <v>0</v>
      </c>
      <c r="J12" s="48">
        <f>I12-'Registro de HH INC4'!J10</f>
        <v>0</v>
      </c>
      <c r="K12" s="48"/>
      <c r="L12" s="48"/>
      <c r="M12" s="48"/>
      <c r="N12" s="48"/>
      <c r="O12" s="48"/>
      <c r="P12" s="48"/>
      <c r="Q12" s="48"/>
      <c r="R12" s="48"/>
      <c r="S12" s="48"/>
    </row>
    <row r="13" spans="1:20" x14ac:dyDescent="0.2">
      <c r="A13" s="4" t="s">
        <v>476</v>
      </c>
      <c r="B13" s="48">
        <f>SUM('ProductSprint Backlog'!F282:F289)</f>
        <v>5.5</v>
      </c>
      <c r="C13" s="48">
        <f>B13-SUM('Aux Esfuerzo Estimado INC4 SPT5'!B3:B1000)</f>
        <v>5</v>
      </c>
      <c r="D13" s="48">
        <f>C13-SUM('Aux Esfuerzo Estimado INC4 SPT5'!C3:C1000)</f>
        <v>4.5</v>
      </c>
      <c r="E13" s="48">
        <f>D13-SUM('Aux Esfuerzo Estimado INC4 SPT5'!D3:D1000)</f>
        <v>3</v>
      </c>
      <c r="F13" s="48">
        <f>E13-SUM('Aux Esfuerzo Estimado INC4 SPT5'!E3:E1000)</f>
        <v>2</v>
      </c>
      <c r="G13" s="48">
        <f>F13-SUM('Aux Esfuerzo Estimado INC4 SPT5'!F3:F1000)</f>
        <v>1.5</v>
      </c>
      <c r="H13" s="48">
        <f>G13-SUM('Aux Esfuerzo Estimado INC4 SPT5'!G3:G1000)</f>
        <v>1</v>
      </c>
      <c r="I13" s="48">
        <f>H13-SUM('Aux Esfuerzo Estimado INC4 SPT5'!H3:H1000)</f>
        <v>0</v>
      </c>
      <c r="J13" s="48">
        <f>I13-SUM('Aux Esfuerzo Estimado INC4 SPT5'!I3:I1000)</f>
        <v>0</v>
      </c>
      <c r="K13" s="48"/>
      <c r="L13" s="48"/>
      <c r="M13" s="48"/>
      <c r="N13" s="48"/>
      <c r="O13" s="48"/>
      <c r="P13" s="48"/>
      <c r="Q13" s="48"/>
      <c r="R13" s="48"/>
      <c r="S13" s="48"/>
    </row>
    <row r="17" spans="2:19" x14ac:dyDescent="0.2">
      <c r="D17" s="47"/>
      <c r="E17" s="42"/>
    </row>
    <row r="21" spans="2:19" x14ac:dyDescent="0.2">
      <c r="B21" s="47"/>
      <c r="C21" s="47"/>
      <c r="D21" s="47"/>
      <c r="E21" s="47"/>
      <c r="F21" s="47"/>
      <c r="G21" s="47"/>
      <c r="H21" s="47"/>
      <c r="I21" s="47"/>
      <c r="J21" s="47"/>
      <c r="K21" s="47"/>
      <c r="L21" s="47"/>
      <c r="M21" s="47"/>
      <c r="N21" s="47"/>
      <c r="O21" s="47"/>
      <c r="P21" s="47"/>
      <c r="Q21" s="47"/>
      <c r="R21" s="47"/>
    </row>
    <row r="23" spans="2:19" x14ac:dyDescent="0.2">
      <c r="B23" s="48"/>
      <c r="C23" s="48"/>
      <c r="D23" s="48"/>
      <c r="E23" s="48"/>
      <c r="F23" s="48"/>
      <c r="G23" s="48"/>
      <c r="H23" s="48"/>
      <c r="I23" s="48"/>
      <c r="J23" s="48"/>
      <c r="K23" s="48"/>
      <c r="L23" s="48"/>
      <c r="M23" s="48"/>
      <c r="N23" s="48"/>
      <c r="O23" s="48"/>
      <c r="P23" s="48"/>
      <c r="Q23" s="48"/>
      <c r="R23" s="48"/>
    </row>
    <row r="24" spans="2:19" x14ac:dyDescent="0.2">
      <c r="B24" s="48"/>
      <c r="C24" s="48"/>
      <c r="D24" s="48"/>
      <c r="E24" s="48"/>
      <c r="F24" s="48"/>
      <c r="G24" s="48"/>
      <c r="H24" s="48"/>
      <c r="I24" s="48"/>
      <c r="J24" s="48"/>
      <c r="K24" s="48"/>
      <c r="L24" s="48"/>
      <c r="M24" s="48"/>
      <c r="N24" s="48"/>
      <c r="O24" s="48"/>
      <c r="P24" s="48"/>
      <c r="Q24" s="48"/>
      <c r="R24" s="48"/>
      <c r="S24" s="48"/>
    </row>
    <row r="27" spans="2:19" x14ac:dyDescent="0.2">
      <c r="B27" s="47"/>
      <c r="C27" s="47"/>
      <c r="D27" s="47"/>
      <c r="E27" s="47"/>
      <c r="F27" s="47"/>
      <c r="G27" s="47"/>
      <c r="H27" s="47"/>
      <c r="I27" s="47"/>
      <c r="J27" s="47"/>
      <c r="K27" s="47"/>
      <c r="L27" s="47"/>
      <c r="M27" s="47"/>
      <c r="N27" s="47"/>
      <c r="O27" s="47"/>
      <c r="P27" s="47"/>
      <c r="Q27" s="47"/>
      <c r="R27" s="47"/>
    </row>
    <row r="29" spans="2:19" x14ac:dyDescent="0.2">
      <c r="B29" s="48"/>
      <c r="C29" s="48"/>
      <c r="D29" s="48"/>
      <c r="E29" s="48"/>
      <c r="F29" s="48"/>
      <c r="G29" s="48"/>
      <c r="H29" s="48"/>
      <c r="I29" s="48"/>
      <c r="J29" s="48"/>
      <c r="K29" s="48"/>
      <c r="L29" s="48"/>
      <c r="M29" s="48"/>
      <c r="N29" s="48"/>
      <c r="O29" s="48"/>
      <c r="P29" s="48"/>
      <c r="Q29" s="48"/>
      <c r="R29" s="48"/>
      <c r="S29" s="48"/>
    </row>
    <row r="30" spans="2:19" x14ac:dyDescent="0.2">
      <c r="B30" s="48"/>
      <c r="C30" s="48"/>
      <c r="D30" s="48"/>
      <c r="E30" s="48"/>
      <c r="F30" s="48"/>
      <c r="G30" s="48"/>
      <c r="H30" s="48"/>
      <c r="I30" s="48"/>
      <c r="J30" s="48"/>
      <c r="K30" s="48"/>
      <c r="L30" s="48"/>
      <c r="M30" s="48"/>
      <c r="N30" s="48"/>
      <c r="O30" s="48"/>
      <c r="P30" s="48"/>
      <c r="Q30" s="48"/>
      <c r="R30" s="48"/>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T11"/>
  <sheetViews>
    <sheetView workbookViewId="0"/>
  </sheetViews>
  <sheetFormatPr baseColWidth="10" defaultColWidth="12.5703125" defaultRowHeight="15.75" customHeight="1" x14ac:dyDescent="0.2"/>
  <cols>
    <col min="2" max="17" width="9.28515625" customWidth="1"/>
    <col min="18" max="20" width="8.5703125" customWidth="1"/>
    <col min="21" max="24" width="8.42578125" customWidth="1"/>
  </cols>
  <sheetData>
    <row r="1" spans="1:20" x14ac:dyDescent="0.2">
      <c r="A1" s="4" t="s">
        <v>477</v>
      </c>
    </row>
    <row r="2" spans="1:20" x14ac:dyDescent="0.2">
      <c r="B2" s="4" t="s">
        <v>478</v>
      </c>
      <c r="C2" s="4" t="s">
        <v>479</v>
      </c>
      <c r="D2" s="4" t="s">
        <v>480</v>
      </c>
      <c r="E2" s="4" t="s">
        <v>481</v>
      </c>
      <c r="F2" s="4" t="s">
        <v>482</v>
      </c>
      <c r="G2" s="4" t="s">
        <v>483</v>
      </c>
      <c r="H2" s="4" t="s">
        <v>484</v>
      </c>
      <c r="I2" s="4" t="s">
        <v>485</v>
      </c>
      <c r="J2" s="4" t="s">
        <v>486</v>
      </c>
      <c r="K2" s="4" t="s">
        <v>487</v>
      </c>
    </row>
    <row r="3" spans="1:20" x14ac:dyDescent="0.2">
      <c r="A3" s="4" t="s">
        <v>488</v>
      </c>
      <c r="B3" s="42"/>
      <c r="C3" s="42">
        <v>45961</v>
      </c>
      <c r="D3" s="42">
        <v>45962</v>
      </c>
      <c r="E3" s="42">
        <v>45963</v>
      </c>
      <c r="F3" s="42">
        <v>45964</v>
      </c>
      <c r="G3" s="42">
        <v>45965</v>
      </c>
      <c r="H3" s="42">
        <v>45966</v>
      </c>
      <c r="I3" s="42">
        <v>45967</v>
      </c>
      <c r="J3" s="42">
        <v>45968</v>
      </c>
      <c r="K3" s="42">
        <v>45969</v>
      </c>
      <c r="L3" s="42"/>
      <c r="M3" s="42"/>
      <c r="N3" s="42"/>
      <c r="O3" s="42"/>
      <c r="P3" s="42"/>
      <c r="Q3" s="42"/>
      <c r="R3" s="42"/>
      <c r="S3" s="42"/>
      <c r="T3" s="42"/>
    </row>
    <row r="4" spans="1:20" x14ac:dyDescent="0.2">
      <c r="A4" s="4" t="s">
        <v>489</v>
      </c>
      <c r="D4" s="4">
        <v>1</v>
      </c>
      <c r="E4" s="4">
        <v>0.5</v>
      </c>
      <c r="F4" s="4">
        <v>1</v>
      </c>
      <c r="G4" s="4">
        <v>1.5</v>
      </c>
      <c r="H4" s="4">
        <v>0.5</v>
      </c>
    </row>
    <row r="5" spans="1:20" x14ac:dyDescent="0.2">
      <c r="A5" s="4" t="s">
        <v>490</v>
      </c>
      <c r="B5" s="4"/>
    </row>
    <row r="6" spans="1:20" x14ac:dyDescent="0.2">
      <c r="A6" s="4" t="s">
        <v>491</v>
      </c>
      <c r="B6" s="4"/>
    </row>
    <row r="7" spans="1:20" x14ac:dyDescent="0.2">
      <c r="A7" s="4" t="s">
        <v>492</v>
      </c>
    </row>
    <row r="8" spans="1:20" x14ac:dyDescent="0.2">
      <c r="A8" s="4" t="s">
        <v>493</v>
      </c>
    </row>
    <row r="9" spans="1:20" x14ac:dyDescent="0.2">
      <c r="A9" s="4" t="s">
        <v>494</v>
      </c>
      <c r="B9" s="4"/>
    </row>
    <row r="10" spans="1:20" x14ac:dyDescent="0.2">
      <c r="A10" s="4" t="s">
        <v>495</v>
      </c>
      <c r="C10" s="4">
        <f t="shared" ref="C10:K10" si="0">SUM(C4:C9)</f>
        <v>0</v>
      </c>
      <c r="D10" s="4">
        <f t="shared" si="0"/>
        <v>1</v>
      </c>
      <c r="E10" s="4">
        <f t="shared" si="0"/>
        <v>0.5</v>
      </c>
      <c r="F10" s="4">
        <f t="shared" si="0"/>
        <v>1</v>
      </c>
      <c r="G10" s="4">
        <f t="shared" si="0"/>
        <v>1.5</v>
      </c>
      <c r="H10" s="4">
        <f t="shared" si="0"/>
        <v>0.5</v>
      </c>
      <c r="I10" s="4">
        <f t="shared" si="0"/>
        <v>0</v>
      </c>
      <c r="J10" s="4">
        <f t="shared" si="0"/>
        <v>0</v>
      </c>
      <c r="K10" s="4">
        <f t="shared" si="0"/>
        <v>0</v>
      </c>
    </row>
    <row r="11" spans="1:20" x14ac:dyDescent="0.2">
      <c r="A11" s="4" t="s">
        <v>496</v>
      </c>
      <c r="C11" s="4">
        <f>SUM(C4:C9)</f>
        <v>0</v>
      </c>
      <c r="D11" s="4">
        <f t="shared" ref="D11:K11" si="1">SUM(D4:D9)+C11</f>
        <v>1</v>
      </c>
      <c r="E11" s="4">
        <f t="shared" si="1"/>
        <v>1.5</v>
      </c>
      <c r="F11" s="4">
        <f t="shared" si="1"/>
        <v>2.5</v>
      </c>
      <c r="G11" s="4">
        <f t="shared" si="1"/>
        <v>4</v>
      </c>
      <c r="H11" s="4">
        <f t="shared" si="1"/>
        <v>4.5</v>
      </c>
      <c r="I11" s="4">
        <f t="shared" si="1"/>
        <v>4.5</v>
      </c>
      <c r="J11" s="4">
        <f t="shared" si="1"/>
        <v>4.5</v>
      </c>
      <c r="K11" s="4">
        <f t="shared" si="1"/>
        <v>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109"/>
  <sheetViews>
    <sheetView workbookViewId="0"/>
  </sheetViews>
  <sheetFormatPr baseColWidth="10" defaultColWidth="12.5703125" defaultRowHeight="15.75" customHeight="1" x14ac:dyDescent="0.2"/>
  <cols>
    <col min="1" max="1" width="43.7109375" customWidth="1"/>
    <col min="2" max="9" width="8.42578125" customWidth="1"/>
  </cols>
  <sheetData>
    <row r="1" spans="1:9" ht="4.5" customHeight="1" x14ac:dyDescent="0.2">
      <c r="B1" s="31"/>
      <c r="C1" s="31"/>
      <c r="D1" s="31"/>
      <c r="E1" s="31"/>
      <c r="F1" s="31"/>
      <c r="G1" s="31"/>
      <c r="H1" s="31"/>
      <c r="I1" s="31"/>
    </row>
    <row r="2" spans="1:9" ht="36" customHeight="1" x14ac:dyDescent="0.2">
      <c r="B2" s="49">
        <v>45961</v>
      </c>
      <c r="C2" s="49">
        <v>45962</v>
      </c>
      <c r="D2" s="49">
        <v>45963</v>
      </c>
      <c r="E2" s="49">
        <v>45964</v>
      </c>
      <c r="F2" s="49">
        <v>45965</v>
      </c>
      <c r="G2" s="49">
        <v>45966</v>
      </c>
      <c r="H2" s="49">
        <v>45967</v>
      </c>
      <c r="I2" s="49">
        <v>45968</v>
      </c>
    </row>
    <row r="3" spans="1:9" ht="12.75" x14ac:dyDescent="0.2">
      <c r="A3" s="50" t="s">
        <v>497</v>
      </c>
      <c r="B3" s="51">
        <f>COUNTIFS('ProductSprint Backlog'!$D$282:$D$289,"&lt;&gt;",'ProductSprint Backlog'!$L$282:$L$289,"&gt;"&amp;DATEVALUE(B2))</f>
        <v>0</v>
      </c>
      <c r="C3" s="51">
        <f>COUNTIFS('ProductSprint Backlog'!$D$282:$D$289,"&lt;&gt;",'ProductSprint Backlog'!$L$282:$L$289,"&gt;"&amp;DATEVALUE(C2))</f>
        <v>0</v>
      </c>
      <c r="D3" s="51">
        <f>COUNTIFS('ProductSprint Backlog'!$D$282:$D$289,"&lt;&gt;",'ProductSprint Backlog'!$L$282:$L$289,"&gt;"&amp;DATEVALUE(D2))</f>
        <v>0</v>
      </c>
      <c r="E3" s="51">
        <f>COUNTIFS('ProductSprint Backlog'!$D$282:$D$289,"&lt;&gt;",'ProductSprint Backlog'!$L$282:$L$289,"&gt;"&amp;DATEVALUE(E2))</f>
        <v>0</v>
      </c>
      <c r="F3" s="51">
        <f>COUNTIFS('ProductSprint Backlog'!$D$282:$D$289,"&lt;&gt;",'ProductSprint Backlog'!$L$282:$L$289,"&gt;"&amp;DATEVALUE(F2))</f>
        <v>0</v>
      </c>
      <c r="G3" s="51">
        <f>COUNTIFS('ProductSprint Backlog'!$D$282:$D$289,"&lt;&gt;",'ProductSprint Backlog'!$L$282:$L$289,"&gt;"&amp;DATEVALUE(G2))</f>
        <v>0</v>
      </c>
      <c r="H3" s="51">
        <f>COUNTIFS('ProductSprint Backlog'!$D$282:$D$289,"&lt;&gt;",'ProductSprint Backlog'!$L$282:$L$289,"&gt;"&amp;DATEVALUE(H2))</f>
        <v>0</v>
      </c>
      <c r="I3" s="51">
        <f>COUNTIFS('ProductSprint Backlog'!$D$282:$D$289,"&lt;&gt;",'ProductSprint Backlog'!$L$282:$L$289,"&gt;"&amp;DATEVALUE(I2))</f>
        <v>0</v>
      </c>
    </row>
    <row r="4" spans="1:9" ht="15.75" customHeight="1" x14ac:dyDescent="0.2">
      <c r="A4" s="61"/>
      <c r="B4" s="61"/>
      <c r="C4" s="61"/>
      <c r="D4" s="61"/>
      <c r="E4" s="61"/>
      <c r="F4" s="61"/>
      <c r="G4" s="61"/>
      <c r="H4" s="61"/>
      <c r="I4" s="61"/>
    </row>
    <row r="5" spans="1:9" ht="15.75" customHeight="1" x14ac:dyDescent="0.2">
      <c r="A5" s="61"/>
      <c r="B5" s="61"/>
      <c r="C5" s="61"/>
      <c r="D5" s="61"/>
      <c r="E5" s="61"/>
      <c r="F5" s="61"/>
      <c r="G5" s="61"/>
      <c r="H5" s="61"/>
      <c r="I5" s="61"/>
    </row>
    <row r="6" spans="1:9" ht="12.75" x14ac:dyDescent="0.2">
      <c r="A6" s="50" t="s">
        <v>498</v>
      </c>
      <c r="B6" s="70" t="s">
        <v>499</v>
      </c>
      <c r="C6" s="71"/>
      <c r="D6" s="71"/>
      <c r="E6" s="71"/>
      <c r="F6" s="71"/>
      <c r="G6" s="71"/>
      <c r="H6" s="71"/>
      <c r="I6" s="72"/>
    </row>
    <row r="7" spans="1:9" ht="25.5" x14ac:dyDescent="0.2">
      <c r="A7" s="17" t="s">
        <v>453</v>
      </c>
      <c r="B7" s="51">
        <f>IF('ProductSprint Backlog'!$L282&gt;B$2,'ProductSprint Backlog'!$M282,0)</f>
        <v>0.5</v>
      </c>
      <c r="C7" s="51">
        <f>IF('ProductSprint Backlog'!$L282&gt;C$2,'ProductSprint Backlog'!$M282,0)</f>
        <v>0.5</v>
      </c>
      <c r="D7" s="51">
        <f>IF('ProductSprint Backlog'!$L282&gt;D$2,'ProductSprint Backlog'!$M282,0)</f>
        <v>0</v>
      </c>
      <c r="E7" s="51">
        <f>IF('ProductSprint Backlog'!$L282&gt;E$2,'ProductSprint Backlog'!$M282,0)</f>
        <v>0</v>
      </c>
      <c r="F7" s="51">
        <f>IF('ProductSprint Backlog'!$L282&gt;F$2,'ProductSprint Backlog'!$M282,0)</f>
        <v>0</v>
      </c>
      <c r="G7" s="51">
        <f>IF('ProductSprint Backlog'!$L282&gt;G$2,'ProductSprint Backlog'!$M282,0)</f>
        <v>0</v>
      </c>
      <c r="H7" s="51">
        <f>IF('ProductSprint Backlog'!$L282&gt;H$2,'ProductSprint Backlog'!$M282,0)</f>
        <v>0</v>
      </c>
      <c r="I7" s="51">
        <f>IF('ProductSprint Backlog'!$L282&gt;I$2,'ProductSprint Backlog'!$M282,0)</f>
        <v>0</v>
      </c>
    </row>
    <row r="8" spans="1:9" ht="25.5" x14ac:dyDescent="0.2">
      <c r="A8" s="17" t="s">
        <v>455</v>
      </c>
      <c r="B8" s="51">
        <f>IF('ProductSprint Backlog'!$L283&gt;B$2,'ProductSprint Backlog'!$M283,0)</f>
        <v>0.5</v>
      </c>
      <c r="C8" s="51">
        <f>IF('ProductSprint Backlog'!$L283&gt;C$2,'ProductSprint Backlog'!$M283,0)</f>
        <v>0.5</v>
      </c>
      <c r="D8" s="51">
        <f>IF('ProductSprint Backlog'!$L283&gt;D$2,'ProductSprint Backlog'!$M283,0)</f>
        <v>0</v>
      </c>
      <c r="E8" s="51">
        <f>IF('ProductSprint Backlog'!$L283&gt;E$2,'ProductSprint Backlog'!$M283,0)</f>
        <v>0</v>
      </c>
      <c r="F8" s="51">
        <f>IF('ProductSprint Backlog'!$L283&gt;F$2,'ProductSprint Backlog'!$M283,0)</f>
        <v>0</v>
      </c>
      <c r="G8" s="51">
        <f>IF('ProductSprint Backlog'!$L283&gt;G$2,'ProductSprint Backlog'!$M283,0)</f>
        <v>0</v>
      </c>
      <c r="H8" s="51">
        <f>IF('ProductSprint Backlog'!$L283&gt;H$2,'ProductSprint Backlog'!$M283,0)</f>
        <v>0</v>
      </c>
      <c r="I8" s="51">
        <f>IF('ProductSprint Backlog'!$L283&gt;I$2,'ProductSprint Backlog'!$M283,0)</f>
        <v>0</v>
      </c>
    </row>
    <row r="9" spans="1:9" ht="25.5" x14ac:dyDescent="0.2">
      <c r="A9" s="17" t="s">
        <v>382</v>
      </c>
      <c r="B9" s="51">
        <f>IF('ProductSprint Backlog'!$L284&gt;B$2,'ProductSprint Backlog'!$M284,0)</f>
        <v>1</v>
      </c>
      <c r="C9" s="51">
        <f>IF('ProductSprint Backlog'!$L284&gt;C$2,'ProductSprint Backlog'!$M284,0)</f>
        <v>1</v>
      </c>
      <c r="D9" s="51">
        <f>IF('ProductSprint Backlog'!$L284&gt;D$2,'ProductSprint Backlog'!$M284,0)</f>
        <v>1</v>
      </c>
      <c r="E9" s="51">
        <f>IF('ProductSprint Backlog'!$L284&gt;E$2,'ProductSprint Backlog'!$M284,0)</f>
        <v>0</v>
      </c>
      <c r="F9" s="51">
        <f>IF('ProductSprint Backlog'!$L284&gt;F$2,'ProductSprint Backlog'!$M284,0)</f>
        <v>0</v>
      </c>
      <c r="G9" s="51">
        <f>IF('ProductSprint Backlog'!$L284&gt;G$2,'ProductSprint Backlog'!$M284,0)</f>
        <v>0</v>
      </c>
      <c r="H9" s="51">
        <f>IF('ProductSprint Backlog'!$L284&gt;H$2,'ProductSprint Backlog'!$M284,0)</f>
        <v>0</v>
      </c>
      <c r="I9" s="51">
        <f>IF('ProductSprint Backlog'!$L284&gt;I$2,'ProductSprint Backlog'!$M284,0)</f>
        <v>0</v>
      </c>
    </row>
    <row r="10" spans="1:9" ht="25.5" x14ac:dyDescent="0.2">
      <c r="A10" s="17" t="s">
        <v>429</v>
      </c>
      <c r="B10" s="51">
        <f>IF('ProductSprint Backlog'!$L285&gt;B$2,'ProductSprint Backlog'!$M285,0)</f>
        <v>0.5</v>
      </c>
      <c r="C10" s="51">
        <f>IF('ProductSprint Backlog'!$L285&gt;C$2,'ProductSprint Backlog'!$M285,0)</f>
        <v>0.5</v>
      </c>
      <c r="D10" s="51">
        <f>IF('ProductSprint Backlog'!$L285&gt;D$2,'ProductSprint Backlog'!$M285,0)</f>
        <v>0.5</v>
      </c>
      <c r="E10" s="51">
        <f>IF('ProductSprint Backlog'!$L285&gt;E$2,'ProductSprint Backlog'!$M285,0)</f>
        <v>0.5</v>
      </c>
      <c r="F10" s="51">
        <f>IF('ProductSprint Backlog'!$L285&gt;F$2,'ProductSprint Backlog'!$M285,0)</f>
        <v>0</v>
      </c>
      <c r="G10" s="51">
        <f>IF('ProductSprint Backlog'!$L285&gt;G$2,'ProductSprint Backlog'!$M285,0)</f>
        <v>0</v>
      </c>
      <c r="H10" s="51">
        <f>IF('ProductSprint Backlog'!$L285&gt;H$2,'ProductSprint Backlog'!$M285,0)</f>
        <v>0</v>
      </c>
      <c r="I10" s="51">
        <f>IF('ProductSprint Backlog'!$L285&gt;I$2,'ProductSprint Backlog'!$M285,0)</f>
        <v>0</v>
      </c>
    </row>
    <row r="11" spans="1:9" ht="25.5" x14ac:dyDescent="0.2">
      <c r="A11" s="17" t="s">
        <v>453</v>
      </c>
      <c r="B11" s="51">
        <f>IF('ProductSprint Backlog'!$L286&gt;B$2,'ProductSprint Backlog'!$M286,0)</f>
        <v>0.5</v>
      </c>
      <c r="C11" s="51">
        <f>IF('ProductSprint Backlog'!$L286&gt;C$2,'ProductSprint Backlog'!$M286,0)</f>
        <v>0.5</v>
      </c>
      <c r="D11" s="51">
        <f>IF('ProductSprint Backlog'!$L286&gt;D$2,'ProductSprint Backlog'!$M286,0)</f>
        <v>0.5</v>
      </c>
      <c r="E11" s="51">
        <f>IF('ProductSprint Backlog'!$L286&gt;E$2,'ProductSprint Backlog'!$M286,0)</f>
        <v>0.5</v>
      </c>
      <c r="F11" s="51">
        <f>IF('ProductSprint Backlog'!$L286&gt;F$2,'ProductSprint Backlog'!$M286,0)</f>
        <v>0</v>
      </c>
      <c r="G11" s="51">
        <f>IF('ProductSprint Backlog'!$L286&gt;G$2,'ProductSprint Backlog'!$M286,0)</f>
        <v>0</v>
      </c>
      <c r="H11" s="51">
        <f>IF('ProductSprint Backlog'!$L286&gt;H$2,'ProductSprint Backlog'!$M286,0)</f>
        <v>0</v>
      </c>
      <c r="I11" s="51">
        <f>IF('ProductSprint Backlog'!$L286&gt;I$2,'ProductSprint Backlog'!$M286,0)</f>
        <v>0</v>
      </c>
    </row>
    <row r="12" spans="1:9" ht="25.5" x14ac:dyDescent="0.2">
      <c r="A12" s="17" t="s">
        <v>455</v>
      </c>
      <c r="B12" s="51">
        <f>IF('ProductSprint Backlog'!$L287&gt;B$2,'ProductSprint Backlog'!$M287,0)</f>
        <v>0.5</v>
      </c>
      <c r="C12" s="51">
        <f>IF('ProductSprint Backlog'!$L287&gt;C$2,'ProductSprint Backlog'!$M287,0)</f>
        <v>0.5</v>
      </c>
      <c r="D12" s="51">
        <f>IF('ProductSprint Backlog'!$L287&gt;D$2,'ProductSprint Backlog'!$M287,0)</f>
        <v>0.5</v>
      </c>
      <c r="E12" s="51">
        <f>IF('ProductSprint Backlog'!$L287&gt;E$2,'ProductSprint Backlog'!$M287,0)</f>
        <v>0.5</v>
      </c>
      <c r="F12" s="51">
        <f>IF('ProductSprint Backlog'!$L287&gt;F$2,'ProductSprint Backlog'!$M287,0)</f>
        <v>0.5</v>
      </c>
      <c r="G12" s="51">
        <f>IF('ProductSprint Backlog'!$L287&gt;G$2,'ProductSprint Backlog'!$M287,0)</f>
        <v>0</v>
      </c>
      <c r="H12" s="51">
        <f>IF('ProductSprint Backlog'!$L287&gt;H$2,'ProductSprint Backlog'!$M287,0)</f>
        <v>0</v>
      </c>
      <c r="I12" s="51">
        <f>IF('ProductSprint Backlog'!$L287&gt;I$2,'ProductSprint Backlog'!$M287,0)</f>
        <v>0</v>
      </c>
    </row>
    <row r="13" spans="1:9" ht="25.5" x14ac:dyDescent="0.2">
      <c r="A13" s="17" t="s">
        <v>382</v>
      </c>
      <c r="B13" s="51">
        <f>IF('ProductSprint Backlog'!$L288&gt;B$2,'ProductSprint Backlog'!$M288,0)</f>
        <v>0.5</v>
      </c>
      <c r="C13" s="51">
        <f>IF('ProductSprint Backlog'!$L288&gt;C$2,'ProductSprint Backlog'!$M288,0)</f>
        <v>0.5</v>
      </c>
      <c r="D13" s="51">
        <f>IF('ProductSprint Backlog'!$L288&gt;D$2,'ProductSprint Backlog'!$M288,0)</f>
        <v>0.5</v>
      </c>
      <c r="E13" s="51">
        <f>IF('ProductSprint Backlog'!$L288&gt;E$2,'ProductSprint Backlog'!$M288,0)</f>
        <v>0.5</v>
      </c>
      <c r="F13" s="51">
        <f>IF('ProductSprint Backlog'!$L288&gt;F$2,'ProductSprint Backlog'!$M288,0)</f>
        <v>0.5</v>
      </c>
      <c r="G13" s="51">
        <f>IF('ProductSprint Backlog'!$L288&gt;G$2,'ProductSprint Backlog'!$M288,0)</f>
        <v>0</v>
      </c>
      <c r="H13" s="51">
        <f>IF('ProductSprint Backlog'!$L288&gt;H$2,'ProductSprint Backlog'!$M288,0)</f>
        <v>0</v>
      </c>
      <c r="I13" s="51">
        <f>IF('ProductSprint Backlog'!$L288&gt;I$2,'ProductSprint Backlog'!$M288,0)</f>
        <v>0</v>
      </c>
    </row>
    <row r="14" spans="1:9" ht="25.5" x14ac:dyDescent="0.2">
      <c r="A14" s="17" t="s">
        <v>429</v>
      </c>
      <c r="B14" s="51">
        <f>IF('ProductSprint Backlog'!$L289&gt;B$2,'ProductSprint Backlog'!$M289,0)</f>
        <v>0.5</v>
      </c>
      <c r="C14" s="51">
        <f>IF('ProductSprint Backlog'!$L289&gt;C$2,'ProductSprint Backlog'!$M289,0)</f>
        <v>0.5</v>
      </c>
      <c r="D14" s="51">
        <f>IF('ProductSprint Backlog'!$L289&gt;D$2,'ProductSprint Backlog'!$M289,0)</f>
        <v>0.5</v>
      </c>
      <c r="E14" s="51">
        <f>IF('ProductSprint Backlog'!$L289&gt;E$2,'ProductSprint Backlog'!$M289,0)</f>
        <v>0.5</v>
      </c>
      <c r="F14" s="51">
        <f>IF('ProductSprint Backlog'!$L289&gt;F$2,'ProductSprint Backlog'!$M289,0)</f>
        <v>0.5</v>
      </c>
      <c r="G14" s="51">
        <f>IF('ProductSprint Backlog'!$L289&gt;G$2,'ProductSprint Backlog'!$M289,0)</f>
        <v>0.5</v>
      </c>
      <c r="H14" s="51">
        <f>IF('ProductSprint Backlog'!$L289&gt;H$2,'ProductSprint Backlog'!$M289,0)</f>
        <v>0</v>
      </c>
      <c r="I14" s="51">
        <f>IF('ProductSprint Backlog'!$L289&gt;I$2,'ProductSprint Backlog'!$M289,0)</f>
        <v>0</v>
      </c>
    </row>
    <row r="15" spans="1:9" ht="12.75" x14ac:dyDescent="0.2">
      <c r="A15" s="17"/>
      <c r="B15" s="51"/>
      <c r="C15" s="51"/>
      <c r="D15" s="51"/>
      <c r="E15" s="51"/>
      <c r="F15" s="51"/>
      <c r="G15" s="51"/>
      <c r="H15" s="51"/>
      <c r="I15" s="51"/>
    </row>
    <row r="16" spans="1:9" ht="12.75" x14ac:dyDescent="0.2">
      <c r="A16" s="17"/>
      <c r="B16" s="51"/>
      <c r="C16" s="51"/>
      <c r="D16" s="51"/>
      <c r="E16" s="51"/>
      <c r="F16" s="51"/>
      <c r="G16" s="51"/>
      <c r="H16" s="51"/>
      <c r="I16" s="51"/>
    </row>
    <row r="17" spans="1:9" ht="12.75" x14ac:dyDescent="0.2">
      <c r="A17" s="17"/>
      <c r="B17" s="51"/>
      <c r="C17" s="51"/>
      <c r="D17" s="51"/>
      <c r="E17" s="51"/>
      <c r="F17" s="51"/>
      <c r="G17" s="51"/>
      <c r="H17" s="51"/>
      <c r="I17" s="51"/>
    </row>
    <row r="18" spans="1:9" ht="12.75" x14ac:dyDescent="0.2">
      <c r="A18" s="17"/>
      <c r="B18" s="51"/>
      <c r="C18" s="51"/>
      <c r="D18" s="51"/>
      <c r="E18" s="51"/>
      <c r="F18" s="51"/>
      <c r="G18" s="51"/>
      <c r="H18" s="51"/>
      <c r="I18" s="51"/>
    </row>
    <row r="19" spans="1:9" ht="12.75" x14ac:dyDescent="0.2">
      <c r="A19" s="17"/>
      <c r="B19" s="51"/>
      <c r="C19" s="51"/>
      <c r="D19" s="51"/>
      <c r="E19" s="51"/>
      <c r="F19" s="51"/>
      <c r="G19" s="51"/>
      <c r="H19" s="51"/>
      <c r="I19" s="51"/>
    </row>
    <row r="20" spans="1:9" ht="12.75" x14ac:dyDescent="0.2">
      <c r="A20" s="17"/>
      <c r="B20" s="51"/>
      <c r="C20" s="51"/>
      <c r="D20" s="51"/>
      <c r="E20" s="51"/>
      <c r="F20" s="51"/>
      <c r="G20" s="51"/>
      <c r="H20" s="51"/>
      <c r="I20" s="51"/>
    </row>
    <row r="21" spans="1:9" ht="12.75" x14ac:dyDescent="0.2">
      <c r="A21" s="17"/>
      <c r="B21" s="51"/>
      <c r="C21" s="51"/>
      <c r="D21" s="51"/>
      <c r="E21" s="51"/>
      <c r="F21" s="51"/>
      <c r="G21" s="51"/>
      <c r="H21" s="51"/>
      <c r="I21" s="51"/>
    </row>
    <row r="22" spans="1:9" ht="12.75" x14ac:dyDescent="0.2">
      <c r="A22" s="17"/>
      <c r="B22" s="51"/>
      <c r="C22" s="51"/>
      <c r="D22" s="51"/>
      <c r="E22" s="51"/>
      <c r="F22" s="51"/>
      <c r="G22" s="51"/>
      <c r="H22" s="51"/>
      <c r="I22" s="51"/>
    </row>
    <row r="23" spans="1:9" ht="12.75" x14ac:dyDescent="0.2">
      <c r="A23" s="17"/>
      <c r="B23" s="51"/>
      <c r="C23" s="51"/>
      <c r="D23" s="51"/>
      <c r="E23" s="51"/>
      <c r="F23" s="51"/>
      <c r="G23" s="51"/>
      <c r="H23" s="51"/>
      <c r="I23" s="51"/>
    </row>
    <row r="24" spans="1:9" ht="12.75" x14ac:dyDescent="0.2">
      <c r="A24" s="17"/>
      <c r="B24" s="51"/>
      <c r="C24" s="51"/>
      <c r="D24" s="51"/>
      <c r="E24" s="51"/>
      <c r="F24" s="51"/>
      <c r="G24" s="51"/>
      <c r="H24" s="51"/>
      <c r="I24" s="51"/>
    </row>
    <row r="25" spans="1:9" ht="12.75" x14ac:dyDescent="0.2">
      <c r="A25" s="17"/>
      <c r="B25" s="51"/>
      <c r="C25" s="51"/>
      <c r="D25" s="51"/>
      <c r="E25" s="51"/>
      <c r="F25" s="51"/>
      <c r="G25" s="51"/>
      <c r="H25" s="51"/>
      <c r="I25" s="51"/>
    </row>
    <row r="26" spans="1:9" ht="12.75" x14ac:dyDescent="0.2">
      <c r="A26" s="17"/>
      <c r="B26" s="51"/>
      <c r="C26" s="51"/>
      <c r="D26" s="51"/>
      <c r="E26" s="51"/>
      <c r="F26" s="51"/>
      <c r="G26" s="51"/>
      <c r="H26" s="51"/>
      <c r="I26" s="51"/>
    </row>
    <row r="27" spans="1:9" ht="12.75" x14ac:dyDescent="0.2">
      <c r="A27" s="17"/>
      <c r="B27" s="51"/>
      <c r="C27" s="51"/>
      <c r="D27" s="51"/>
      <c r="E27" s="51"/>
      <c r="F27" s="51"/>
      <c r="G27" s="51"/>
      <c r="H27" s="51"/>
      <c r="I27" s="51"/>
    </row>
    <row r="28" spans="1:9" ht="12.75" x14ac:dyDescent="0.2">
      <c r="A28" s="17"/>
      <c r="B28" s="51"/>
      <c r="C28" s="51"/>
      <c r="D28" s="51"/>
      <c r="E28" s="51"/>
      <c r="F28" s="51"/>
      <c r="G28" s="51"/>
      <c r="H28" s="51"/>
      <c r="I28" s="51"/>
    </row>
    <row r="29" spans="1:9" ht="12.75" x14ac:dyDescent="0.2">
      <c r="A29" s="17"/>
      <c r="B29" s="51"/>
      <c r="C29" s="51"/>
      <c r="D29" s="51"/>
      <c r="E29" s="51"/>
      <c r="F29" s="51"/>
      <c r="G29" s="51"/>
      <c r="H29" s="51"/>
      <c r="I29" s="51"/>
    </row>
    <row r="30" spans="1:9" ht="12.75" x14ac:dyDescent="0.2">
      <c r="A30" s="17"/>
      <c r="B30" s="51"/>
      <c r="C30" s="51"/>
      <c r="D30" s="51"/>
      <c r="E30" s="51"/>
      <c r="F30" s="51"/>
      <c r="G30" s="51"/>
      <c r="H30" s="51"/>
      <c r="I30" s="51"/>
    </row>
    <row r="31" spans="1:9" ht="12.75" x14ac:dyDescent="0.2">
      <c r="A31" s="17"/>
      <c r="B31" s="51"/>
      <c r="C31" s="51"/>
      <c r="D31" s="51"/>
      <c r="E31" s="51"/>
      <c r="F31" s="51"/>
      <c r="G31" s="51"/>
      <c r="H31" s="51"/>
      <c r="I31" s="51"/>
    </row>
    <row r="32" spans="1:9" ht="12.75" x14ac:dyDescent="0.2">
      <c r="A32" s="17"/>
      <c r="B32" s="51"/>
      <c r="C32" s="51"/>
      <c r="D32" s="51"/>
      <c r="E32" s="51"/>
      <c r="F32" s="51"/>
      <c r="G32" s="51"/>
      <c r="H32" s="51"/>
      <c r="I32" s="51"/>
    </row>
    <row r="33" spans="1:9" ht="12.75" x14ac:dyDescent="0.2">
      <c r="A33" s="17"/>
      <c r="B33" s="51"/>
      <c r="C33" s="51"/>
      <c r="D33" s="51"/>
      <c r="E33" s="51"/>
      <c r="F33" s="51"/>
      <c r="G33" s="51"/>
      <c r="H33" s="51"/>
      <c r="I33" s="51"/>
    </row>
    <row r="34" spans="1:9" ht="12.75" x14ac:dyDescent="0.2">
      <c r="A34" s="17"/>
      <c r="B34" s="51"/>
      <c r="C34" s="51"/>
      <c r="D34" s="51"/>
      <c r="E34" s="51"/>
      <c r="F34" s="51"/>
      <c r="G34" s="51"/>
      <c r="H34" s="51"/>
      <c r="I34" s="51"/>
    </row>
    <row r="35" spans="1:9" ht="12.75" x14ac:dyDescent="0.2">
      <c r="A35" s="17"/>
      <c r="B35" s="51"/>
      <c r="C35" s="51"/>
      <c r="D35" s="51"/>
      <c r="E35" s="51"/>
      <c r="F35" s="51"/>
      <c r="G35" s="51"/>
      <c r="H35" s="51"/>
      <c r="I35" s="51"/>
    </row>
    <row r="36" spans="1:9" ht="12.75" x14ac:dyDescent="0.2">
      <c r="A36" s="17"/>
      <c r="B36" s="51"/>
      <c r="C36" s="51"/>
      <c r="D36" s="51"/>
      <c r="E36" s="51"/>
      <c r="F36" s="51"/>
      <c r="G36" s="51"/>
      <c r="H36" s="51"/>
      <c r="I36" s="51"/>
    </row>
    <row r="37" spans="1:9" ht="12.75" x14ac:dyDescent="0.2">
      <c r="A37" s="17"/>
      <c r="B37" s="51"/>
      <c r="C37" s="51"/>
      <c r="D37" s="51"/>
      <c r="E37" s="51"/>
      <c r="F37" s="51"/>
      <c r="G37" s="51"/>
      <c r="H37" s="51"/>
      <c r="I37" s="51"/>
    </row>
    <row r="38" spans="1:9" ht="12.75" x14ac:dyDescent="0.2">
      <c r="A38" s="17"/>
      <c r="B38" s="51"/>
      <c r="C38" s="51"/>
      <c r="D38" s="51"/>
      <c r="E38" s="51"/>
      <c r="F38" s="51"/>
      <c r="G38" s="51"/>
      <c r="H38" s="51"/>
      <c r="I38" s="51"/>
    </row>
    <row r="39" spans="1:9" ht="12.75" x14ac:dyDescent="0.2">
      <c r="A39" s="17"/>
      <c r="B39" s="51"/>
      <c r="C39" s="51"/>
      <c r="D39" s="51"/>
      <c r="E39" s="51"/>
      <c r="F39" s="51"/>
      <c r="G39" s="51"/>
      <c r="H39" s="51"/>
      <c r="I39" s="51"/>
    </row>
    <row r="40" spans="1:9" ht="12.75" x14ac:dyDescent="0.2">
      <c r="A40" s="17"/>
      <c r="B40" s="51"/>
      <c r="C40" s="51"/>
      <c r="D40" s="51"/>
      <c r="E40" s="51"/>
      <c r="F40" s="51"/>
      <c r="G40" s="51"/>
      <c r="H40" s="51"/>
      <c r="I40" s="51"/>
    </row>
    <row r="41" spans="1:9" ht="12.75" x14ac:dyDescent="0.2">
      <c r="A41" s="17"/>
      <c r="B41" s="51"/>
      <c r="C41" s="51"/>
      <c r="D41" s="51"/>
      <c r="E41" s="51"/>
      <c r="F41" s="51"/>
      <c r="G41" s="51"/>
      <c r="H41" s="51"/>
      <c r="I41" s="51"/>
    </row>
    <row r="42" spans="1:9" ht="12.75" x14ac:dyDescent="0.2">
      <c r="A42" s="17"/>
      <c r="B42" s="51"/>
      <c r="C42" s="51"/>
      <c r="D42" s="51"/>
      <c r="E42" s="51"/>
      <c r="F42" s="51"/>
      <c r="G42" s="51"/>
      <c r="H42" s="51"/>
      <c r="I42" s="51"/>
    </row>
    <row r="43" spans="1:9" ht="12.75" x14ac:dyDescent="0.2">
      <c r="A43" s="17"/>
      <c r="B43" s="51"/>
      <c r="C43" s="51"/>
      <c r="D43" s="51"/>
      <c r="E43" s="51"/>
      <c r="F43" s="51"/>
      <c r="G43" s="51"/>
      <c r="H43" s="51"/>
      <c r="I43" s="51"/>
    </row>
    <row r="44" spans="1:9" ht="12.75" x14ac:dyDescent="0.2">
      <c r="A44" s="17"/>
      <c r="B44" s="51"/>
      <c r="C44" s="51"/>
      <c r="D44" s="51"/>
      <c r="E44" s="51"/>
      <c r="F44" s="51"/>
      <c r="G44" s="51"/>
      <c r="H44" s="51"/>
      <c r="I44" s="51"/>
    </row>
    <row r="45" spans="1:9" ht="12.75" x14ac:dyDescent="0.2">
      <c r="A45" s="17"/>
      <c r="B45" s="51"/>
      <c r="C45" s="51"/>
      <c r="D45" s="51"/>
      <c r="E45" s="51"/>
      <c r="F45" s="51"/>
      <c r="G45" s="51"/>
      <c r="H45" s="51"/>
      <c r="I45" s="51"/>
    </row>
    <row r="46" spans="1:9" ht="12.75" x14ac:dyDescent="0.2">
      <c r="A46" s="17"/>
      <c r="B46" s="51"/>
      <c r="C46" s="51"/>
      <c r="D46" s="51"/>
      <c r="E46" s="51"/>
      <c r="F46" s="51"/>
      <c r="G46" s="51"/>
      <c r="H46" s="51"/>
      <c r="I46" s="51"/>
    </row>
    <row r="47" spans="1:9" ht="12.75" x14ac:dyDescent="0.2">
      <c r="A47" s="17"/>
      <c r="B47" s="51"/>
      <c r="C47" s="51"/>
      <c r="D47" s="51"/>
      <c r="E47" s="51"/>
      <c r="F47" s="51"/>
      <c r="G47" s="51"/>
      <c r="H47" s="51"/>
      <c r="I47" s="51"/>
    </row>
    <row r="48" spans="1:9" ht="12.75" x14ac:dyDescent="0.2">
      <c r="A48" s="17"/>
      <c r="B48" s="51"/>
      <c r="C48" s="51"/>
      <c r="D48" s="51"/>
      <c r="E48" s="51"/>
      <c r="F48" s="51"/>
      <c r="G48" s="51"/>
      <c r="H48" s="51"/>
      <c r="I48" s="51"/>
    </row>
    <row r="49" spans="1:9" ht="12.75" x14ac:dyDescent="0.2">
      <c r="A49" s="17"/>
      <c r="B49" s="51"/>
      <c r="C49" s="51"/>
      <c r="D49" s="51"/>
      <c r="E49" s="51"/>
      <c r="F49" s="51"/>
      <c r="G49" s="51"/>
      <c r="H49" s="51"/>
      <c r="I49" s="51"/>
    </row>
    <row r="50" spans="1:9" ht="12.75" x14ac:dyDescent="0.2">
      <c r="A50" s="17"/>
      <c r="B50" s="51"/>
      <c r="C50" s="51"/>
      <c r="D50" s="51"/>
      <c r="E50" s="51"/>
      <c r="F50" s="51"/>
      <c r="G50" s="51"/>
      <c r="H50" s="51"/>
      <c r="I50" s="51"/>
    </row>
    <row r="51" spans="1:9" ht="12.75" x14ac:dyDescent="0.2">
      <c r="A51" s="17"/>
      <c r="B51" s="51"/>
      <c r="C51" s="51"/>
      <c r="D51" s="51"/>
      <c r="E51" s="51"/>
      <c r="F51" s="51"/>
      <c r="G51" s="51"/>
      <c r="H51" s="51"/>
      <c r="I51" s="51"/>
    </row>
    <row r="52" spans="1:9" ht="12.75" x14ac:dyDescent="0.2">
      <c r="A52" s="17"/>
      <c r="B52" s="51"/>
      <c r="C52" s="51"/>
      <c r="D52" s="51"/>
      <c r="E52" s="51"/>
      <c r="F52" s="51"/>
      <c r="G52" s="51"/>
      <c r="H52" s="51"/>
      <c r="I52" s="51"/>
    </row>
    <row r="53" spans="1:9" ht="12.75" x14ac:dyDescent="0.2">
      <c r="A53" s="17"/>
      <c r="B53" s="51"/>
      <c r="C53" s="51"/>
      <c r="D53" s="51"/>
      <c r="E53" s="51"/>
      <c r="F53" s="51"/>
      <c r="G53" s="51"/>
      <c r="H53" s="51"/>
      <c r="I53" s="51"/>
    </row>
    <row r="54" spans="1:9" ht="12.75" x14ac:dyDescent="0.2">
      <c r="A54" s="17"/>
      <c r="B54" s="51"/>
      <c r="C54" s="51"/>
      <c r="D54" s="51"/>
      <c r="E54" s="51"/>
      <c r="F54" s="51"/>
      <c r="G54" s="51"/>
      <c r="H54" s="51"/>
      <c r="I54" s="51"/>
    </row>
    <row r="55" spans="1:9" ht="12.75" x14ac:dyDescent="0.2">
      <c r="A55" s="17"/>
      <c r="B55" s="51"/>
      <c r="C55" s="51"/>
      <c r="D55" s="51"/>
      <c r="E55" s="51"/>
      <c r="F55" s="51"/>
      <c r="G55" s="51"/>
      <c r="H55" s="51"/>
      <c r="I55" s="51"/>
    </row>
    <row r="56" spans="1:9" ht="12.75" x14ac:dyDescent="0.2">
      <c r="A56" s="17"/>
      <c r="B56" s="51"/>
      <c r="C56" s="51"/>
      <c r="D56" s="51"/>
      <c r="E56" s="51"/>
      <c r="F56" s="51"/>
      <c r="G56" s="51"/>
      <c r="H56" s="51"/>
      <c r="I56" s="51"/>
    </row>
    <row r="57" spans="1:9" ht="12.75" x14ac:dyDescent="0.2">
      <c r="A57" s="17"/>
      <c r="B57" s="51"/>
      <c r="C57" s="51"/>
      <c r="D57" s="51"/>
      <c r="E57" s="51"/>
      <c r="F57" s="51"/>
      <c r="G57" s="51"/>
      <c r="H57" s="51"/>
      <c r="I57" s="51"/>
    </row>
    <row r="58" spans="1:9" ht="12.75" x14ac:dyDescent="0.2">
      <c r="A58" s="17"/>
      <c r="B58" s="51"/>
      <c r="C58" s="51"/>
      <c r="D58" s="51"/>
      <c r="E58" s="51"/>
      <c r="F58" s="51"/>
      <c r="G58" s="51"/>
      <c r="H58" s="51"/>
      <c r="I58" s="51"/>
    </row>
    <row r="59" spans="1:9" ht="12.75" x14ac:dyDescent="0.2">
      <c r="A59" s="17"/>
      <c r="B59" s="51"/>
      <c r="C59" s="51"/>
      <c r="D59" s="51"/>
      <c r="E59" s="51"/>
      <c r="F59" s="51"/>
      <c r="G59" s="51"/>
      <c r="H59" s="51"/>
      <c r="I59" s="51"/>
    </row>
    <row r="60" spans="1:9" ht="12.75" x14ac:dyDescent="0.2">
      <c r="A60" s="17"/>
      <c r="B60" s="51"/>
      <c r="C60" s="51"/>
      <c r="D60" s="51"/>
      <c r="E60" s="51"/>
      <c r="F60" s="51"/>
      <c r="G60" s="51"/>
      <c r="H60" s="51"/>
      <c r="I60" s="51"/>
    </row>
    <row r="61" spans="1:9" ht="12.75" x14ac:dyDescent="0.2">
      <c r="A61" s="17"/>
      <c r="B61" s="51"/>
      <c r="C61" s="51"/>
      <c r="D61" s="51"/>
      <c r="E61" s="51"/>
      <c r="F61" s="51"/>
      <c r="G61" s="51"/>
      <c r="H61" s="51"/>
      <c r="I61" s="51"/>
    </row>
    <row r="62" spans="1:9" ht="12.75" x14ac:dyDescent="0.2">
      <c r="A62" s="17"/>
      <c r="B62" s="51"/>
      <c r="C62" s="51"/>
      <c r="D62" s="51"/>
      <c r="E62" s="51"/>
      <c r="F62" s="51"/>
      <c r="G62" s="51"/>
      <c r="H62" s="51"/>
      <c r="I62" s="51"/>
    </row>
    <row r="63" spans="1:9" ht="12.75" x14ac:dyDescent="0.2">
      <c r="A63" s="17"/>
      <c r="B63" s="51"/>
      <c r="C63" s="51"/>
      <c r="D63" s="51"/>
      <c r="E63" s="51"/>
      <c r="F63" s="51"/>
      <c r="G63" s="51"/>
      <c r="H63" s="51"/>
      <c r="I63" s="51"/>
    </row>
    <row r="64" spans="1:9" ht="12.75" x14ac:dyDescent="0.2">
      <c r="A64" s="17"/>
      <c r="B64" s="51"/>
      <c r="C64" s="51"/>
      <c r="D64" s="51"/>
      <c r="E64" s="51"/>
      <c r="F64" s="51"/>
      <c r="G64" s="51"/>
      <c r="H64" s="51"/>
      <c r="I64" s="51"/>
    </row>
    <row r="65" spans="1:9" ht="12.75" x14ac:dyDescent="0.2">
      <c r="A65" s="17"/>
      <c r="B65" s="51"/>
      <c r="C65" s="51"/>
      <c r="D65" s="51"/>
      <c r="E65" s="51"/>
      <c r="F65" s="51"/>
      <c r="G65" s="51"/>
      <c r="H65" s="51"/>
      <c r="I65" s="51"/>
    </row>
    <row r="66" spans="1:9" ht="12.75" x14ac:dyDescent="0.2">
      <c r="A66" s="17"/>
      <c r="B66" s="51"/>
      <c r="C66" s="51"/>
      <c r="D66" s="51"/>
      <c r="E66" s="51"/>
      <c r="F66" s="51"/>
      <c r="G66" s="51"/>
      <c r="H66" s="51"/>
      <c r="I66" s="51"/>
    </row>
    <row r="67" spans="1:9" ht="12.75" x14ac:dyDescent="0.2">
      <c r="A67" s="17"/>
      <c r="B67" s="51"/>
      <c r="C67" s="51"/>
      <c r="D67" s="51"/>
      <c r="E67" s="51"/>
      <c r="F67" s="51"/>
      <c r="G67" s="51"/>
      <c r="H67" s="51"/>
      <c r="I67" s="51"/>
    </row>
    <row r="68" spans="1:9" ht="12.75" x14ac:dyDescent="0.2">
      <c r="A68" s="17"/>
      <c r="B68" s="51"/>
      <c r="C68" s="51"/>
      <c r="D68" s="51"/>
      <c r="E68" s="51"/>
      <c r="F68" s="51"/>
      <c r="G68" s="51"/>
      <c r="H68" s="51"/>
      <c r="I68" s="51"/>
    </row>
    <row r="69" spans="1:9" ht="12.75" x14ac:dyDescent="0.2">
      <c r="A69" s="17"/>
      <c r="B69" s="51"/>
      <c r="C69" s="51"/>
      <c r="D69" s="51"/>
      <c r="E69" s="51"/>
      <c r="F69" s="51"/>
      <c r="G69" s="51"/>
      <c r="H69" s="51"/>
      <c r="I69" s="51"/>
    </row>
    <row r="70" spans="1:9" ht="12.75" x14ac:dyDescent="0.2">
      <c r="A70" s="17"/>
      <c r="B70" s="51"/>
      <c r="C70" s="51"/>
      <c r="D70" s="51"/>
      <c r="E70" s="51"/>
      <c r="F70" s="51"/>
      <c r="G70" s="51"/>
      <c r="H70" s="51"/>
      <c r="I70" s="51"/>
    </row>
    <row r="71" spans="1:9" ht="12.75" x14ac:dyDescent="0.2">
      <c r="A71" s="17"/>
      <c r="B71" s="51"/>
      <c r="C71" s="51"/>
      <c r="D71" s="51"/>
      <c r="E71" s="51"/>
      <c r="F71" s="51"/>
      <c r="G71" s="51"/>
      <c r="H71" s="51"/>
      <c r="I71" s="51"/>
    </row>
    <row r="72" spans="1:9" ht="12.75" x14ac:dyDescent="0.2">
      <c r="A72" s="17"/>
      <c r="B72" s="51"/>
      <c r="C72" s="51"/>
      <c r="D72" s="51"/>
      <c r="E72" s="51"/>
      <c r="F72" s="51"/>
      <c r="G72" s="51"/>
      <c r="H72" s="51"/>
      <c r="I72" s="51"/>
    </row>
    <row r="73" spans="1:9" ht="12.75" x14ac:dyDescent="0.2">
      <c r="A73" s="17"/>
      <c r="B73" s="51"/>
      <c r="C73" s="51"/>
      <c r="D73" s="51"/>
      <c r="E73" s="51"/>
      <c r="F73" s="51"/>
      <c r="G73" s="51"/>
      <c r="H73" s="51"/>
      <c r="I73" s="51"/>
    </row>
    <row r="74" spans="1:9" ht="12.75" x14ac:dyDescent="0.2">
      <c r="A74" s="17"/>
      <c r="B74" s="51"/>
      <c r="C74" s="51"/>
      <c r="D74" s="51"/>
      <c r="E74" s="51"/>
      <c r="F74" s="51"/>
      <c r="G74" s="51"/>
      <c r="H74" s="51"/>
      <c r="I74" s="51"/>
    </row>
    <row r="75" spans="1:9" ht="12.75" x14ac:dyDescent="0.2">
      <c r="A75" s="17"/>
      <c r="B75" s="51"/>
      <c r="C75" s="51"/>
      <c r="D75" s="51"/>
      <c r="E75" s="51"/>
      <c r="F75" s="51"/>
      <c r="G75" s="51"/>
      <c r="H75" s="51"/>
      <c r="I75" s="51"/>
    </row>
    <row r="76" spans="1:9" ht="12.75" x14ac:dyDescent="0.2">
      <c r="A76" s="17"/>
      <c r="B76" s="51"/>
      <c r="C76" s="51"/>
      <c r="D76" s="51"/>
      <c r="E76" s="51"/>
      <c r="F76" s="51"/>
      <c r="G76" s="51"/>
      <c r="H76" s="51"/>
      <c r="I76" s="51"/>
    </row>
    <row r="77" spans="1:9" ht="12.75" x14ac:dyDescent="0.2">
      <c r="A77" s="17"/>
      <c r="B77" s="51"/>
      <c r="C77" s="51"/>
      <c r="D77" s="51"/>
      <c r="E77" s="51"/>
      <c r="F77" s="51"/>
      <c r="G77" s="51"/>
      <c r="H77" s="51"/>
      <c r="I77" s="51"/>
    </row>
    <row r="78" spans="1:9" ht="12.75" x14ac:dyDescent="0.2">
      <c r="A78" s="17"/>
      <c r="B78" s="51"/>
      <c r="C78" s="51"/>
      <c r="D78" s="51"/>
      <c r="E78" s="51"/>
      <c r="F78" s="51"/>
      <c r="G78" s="51"/>
      <c r="H78" s="51"/>
      <c r="I78" s="51"/>
    </row>
    <row r="79" spans="1:9" ht="12.75" x14ac:dyDescent="0.2">
      <c r="A79" s="17"/>
      <c r="B79" s="51"/>
      <c r="C79" s="51"/>
      <c r="D79" s="51"/>
      <c r="E79" s="51"/>
      <c r="F79" s="51"/>
      <c r="G79" s="51"/>
      <c r="H79" s="51"/>
      <c r="I79" s="51"/>
    </row>
    <row r="80" spans="1:9" ht="12.75" x14ac:dyDescent="0.2">
      <c r="A80" s="21"/>
      <c r="B80" s="51"/>
      <c r="C80" s="51"/>
      <c r="D80" s="51"/>
      <c r="E80" s="51"/>
      <c r="F80" s="51"/>
      <c r="G80" s="51"/>
      <c r="H80" s="51"/>
      <c r="I80" s="51"/>
    </row>
    <row r="81" spans="1:9" ht="12.75" x14ac:dyDescent="0.2">
      <c r="A81" s="17"/>
      <c r="B81" s="51"/>
      <c r="C81" s="51"/>
      <c r="D81" s="51"/>
      <c r="E81" s="51"/>
      <c r="F81" s="51"/>
      <c r="G81" s="51"/>
      <c r="H81" s="51"/>
      <c r="I81" s="51"/>
    </row>
    <row r="82" spans="1:9" ht="12.75" x14ac:dyDescent="0.2">
      <c r="A82" s="17"/>
      <c r="B82" s="51"/>
      <c r="C82" s="51"/>
      <c r="D82" s="51"/>
      <c r="E82" s="51"/>
      <c r="F82" s="51"/>
      <c r="G82" s="51"/>
      <c r="H82" s="51"/>
      <c r="I82" s="51"/>
    </row>
    <row r="83" spans="1:9" ht="12.75" x14ac:dyDescent="0.2">
      <c r="A83" s="17"/>
      <c r="B83" s="51"/>
      <c r="C83" s="51"/>
      <c r="D83" s="51"/>
      <c r="E83" s="51"/>
      <c r="F83" s="51"/>
      <c r="G83" s="51"/>
      <c r="H83" s="51"/>
      <c r="I83" s="51"/>
    </row>
    <row r="84" spans="1:9" ht="12.75" x14ac:dyDescent="0.2">
      <c r="A84" s="17"/>
      <c r="B84" s="51"/>
      <c r="C84" s="51"/>
      <c r="D84" s="51"/>
      <c r="E84" s="51"/>
      <c r="F84" s="51"/>
      <c r="G84" s="51"/>
      <c r="H84" s="51"/>
      <c r="I84" s="51"/>
    </row>
    <row r="85" spans="1:9" ht="12.75" x14ac:dyDescent="0.2">
      <c r="A85" s="17"/>
      <c r="B85" s="51"/>
      <c r="C85" s="51"/>
      <c r="D85" s="51"/>
      <c r="E85" s="51"/>
      <c r="F85" s="51"/>
      <c r="G85" s="51"/>
      <c r="H85" s="51"/>
      <c r="I85" s="51"/>
    </row>
    <row r="86" spans="1:9" ht="12.75" x14ac:dyDescent="0.2">
      <c r="A86" s="18"/>
      <c r="B86" s="51"/>
      <c r="C86" s="51"/>
      <c r="D86" s="51"/>
      <c r="E86" s="51"/>
      <c r="F86" s="51"/>
      <c r="G86" s="51"/>
      <c r="H86" s="51"/>
      <c r="I86" s="51"/>
    </row>
    <row r="87" spans="1:9" ht="12.75" x14ac:dyDescent="0.2">
      <c r="A87" s="52"/>
      <c r="B87" s="51"/>
      <c r="C87" s="51"/>
      <c r="D87" s="51"/>
      <c r="E87" s="51"/>
      <c r="F87" s="51"/>
      <c r="G87" s="51"/>
      <c r="H87" s="51"/>
      <c r="I87" s="51"/>
    </row>
    <row r="88" spans="1:9" ht="12.75" x14ac:dyDescent="0.2">
      <c r="A88" s="31"/>
      <c r="B88" s="51"/>
      <c r="C88" s="51"/>
      <c r="D88" s="51"/>
      <c r="E88" s="51"/>
      <c r="F88" s="51"/>
      <c r="G88" s="51"/>
      <c r="H88" s="51"/>
      <c r="I88" s="51"/>
    </row>
    <row r="89" spans="1:9" ht="12.75" x14ac:dyDescent="0.2">
      <c r="B89" s="51"/>
      <c r="C89" s="51"/>
      <c r="D89" s="51"/>
      <c r="E89" s="51"/>
      <c r="F89" s="51"/>
      <c r="G89" s="51"/>
      <c r="H89" s="51"/>
      <c r="I89" s="51"/>
    </row>
    <row r="90" spans="1:9" ht="12.75" x14ac:dyDescent="0.2">
      <c r="B90" s="51"/>
      <c r="C90" s="51"/>
      <c r="D90" s="51"/>
      <c r="E90" s="51"/>
      <c r="F90" s="51"/>
      <c r="G90" s="51"/>
      <c r="H90" s="51"/>
      <c r="I90" s="51"/>
    </row>
    <row r="91" spans="1:9" ht="12.75" x14ac:dyDescent="0.2">
      <c r="B91" s="51"/>
      <c r="C91" s="51"/>
      <c r="D91" s="51"/>
      <c r="E91" s="51"/>
      <c r="F91" s="51"/>
      <c r="G91" s="51"/>
      <c r="H91" s="51"/>
      <c r="I91" s="51"/>
    </row>
    <row r="92" spans="1:9" ht="12.75" x14ac:dyDescent="0.2">
      <c r="B92" s="51"/>
      <c r="C92" s="51"/>
      <c r="D92" s="51"/>
      <c r="E92" s="51"/>
      <c r="F92" s="51"/>
      <c r="G92" s="51"/>
      <c r="H92" s="51"/>
      <c r="I92" s="51"/>
    </row>
    <row r="93" spans="1:9" ht="12.75" x14ac:dyDescent="0.2">
      <c r="B93" s="51"/>
      <c r="C93" s="51"/>
      <c r="D93" s="51"/>
      <c r="E93" s="51"/>
      <c r="F93" s="51"/>
      <c r="G93" s="51"/>
      <c r="H93" s="51"/>
      <c r="I93" s="51"/>
    </row>
    <row r="94" spans="1:9" ht="12.75" x14ac:dyDescent="0.2">
      <c r="B94" s="51"/>
      <c r="C94" s="51"/>
      <c r="D94" s="51"/>
      <c r="E94" s="51"/>
      <c r="F94" s="51"/>
      <c r="G94" s="51"/>
      <c r="H94" s="51"/>
      <c r="I94" s="51"/>
    </row>
    <row r="95" spans="1:9" ht="12.75" x14ac:dyDescent="0.2">
      <c r="B95" s="53"/>
      <c r="C95" s="53"/>
      <c r="D95" s="53"/>
      <c r="E95" s="53"/>
      <c r="F95" s="53"/>
      <c r="G95" s="53"/>
      <c r="H95" s="53"/>
      <c r="I95" s="53"/>
    </row>
    <row r="96" spans="1:9" ht="12.75" x14ac:dyDescent="0.2">
      <c r="B96" s="53"/>
      <c r="C96" s="53"/>
      <c r="D96" s="53"/>
      <c r="E96" s="53"/>
      <c r="F96" s="53"/>
      <c r="G96" s="53"/>
      <c r="H96" s="53"/>
      <c r="I96" s="53"/>
    </row>
    <row r="97" spans="2:9" ht="12.75" x14ac:dyDescent="0.2">
      <c r="B97" s="53"/>
      <c r="C97" s="53"/>
      <c r="D97" s="53"/>
      <c r="E97" s="53"/>
      <c r="F97" s="53"/>
      <c r="G97" s="53"/>
      <c r="H97" s="53"/>
      <c r="I97" s="53"/>
    </row>
    <row r="98" spans="2:9" ht="12.75" x14ac:dyDescent="0.2">
      <c r="B98" s="53"/>
      <c r="C98" s="53"/>
      <c r="D98" s="53"/>
      <c r="E98" s="53"/>
      <c r="F98" s="53"/>
      <c r="G98" s="53"/>
      <c r="H98" s="53"/>
      <c r="I98" s="53"/>
    </row>
    <row r="99" spans="2:9" ht="12.75" x14ac:dyDescent="0.2">
      <c r="B99" s="53"/>
      <c r="C99" s="53"/>
      <c r="D99" s="53"/>
      <c r="E99" s="53"/>
      <c r="F99" s="53"/>
      <c r="G99" s="53"/>
      <c r="H99" s="53"/>
      <c r="I99" s="53"/>
    </row>
    <row r="100" spans="2:9" ht="12.75" x14ac:dyDescent="0.2">
      <c r="B100" s="53"/>
      <c r="C100" s="53"/>
      <c r="D100" s="53"/>
      <c r="E100" s="53"/>
      <c r="F100" s="53"/>
      <c r="G100" s="53"/>
      <c r="H100" s="53"/>
      <c r="I100" s="53"/>
    </row>
    <row r="101" spans="2:9" ht="12.75" x14ac:dyDescent="0.2">
      <c r="B101" s="53"/>
      <c r="C101" s="53"/>
      <c r="D101" s="53"/>
      <c r="E101" s="53"/>
      <c r="F101" s="53"/>
      <c r="G101" s="53"/>
      <c r="H101" s="53"/>
      <c r="I101" s="53"/>
    </row>
    <row r="102" spans="2:9" ht="12.75" x14ac:dyDescent="0.2">
      <c r="B102" s="53"/>
      <c r="C102" s="53"/>
      <c r="D102" s="53"/>
      <c r="E102" s="53"/>
      <c r="F102" s="53"/>
      <c r="G102" s="53"/>
      <c r="H102" s="53"/>
      <c r="I102" s="53"/>
    </row>
    <row r="103" spans="2:9" ht="12.75" x14ac:dyDescent="0.2">
      <c r="B103" s="53"/>
      <c r="C103" s="53"/>
      <c r="D103" s="53"/>
      <c r="E103" s="53"/>
      <c r="F103" s="53"/>
      <c r="G103" s="53"/>
      <c r="H103" s="53"/>
      <c r="I103" s="53"/>
    </row>
    <row r="104" spans="2:9" ht="12.75" x14ac:dyDescent="0.2">
      <c r="B104" s="53"/>
      <c r="C104" s="53"/>
      <c r="D104" s="53"/>
      <c r="E104" s="53"/>
      <c r="F104" s="53"/>
      <c r="G104" s="53"/>
      <c r="H104" s="53"/>
      <c r="I104" s="53"/>
    </row>
    <row r="105" spans="2:9" ht="12.75" x14ac:dyDescent="0.2">
      <c r="B105" s="53"/>
      <c r="C105" s="53"/>
      <c r="D105" s="53"/>
      <c r="E105" s="53"/>
      <c r="F105" s="53"/>
      <c r="G105" s="53"/>
      <c r="H105" s="53"/>
      <c r="I105" s="53"/>
    </row>
    <row r="106" spans="2:9" ht="12.75" x14ac:dyDescent="0.2">
      <c r="B106" s="53"/>
      <c r="C106" s="53"/>
      <c r="D106" s="53"/>
      <c r="E106" s="53"/>
      <c r="F106" s="53"/>
      <c r="G106" s="53"/>
      <c r="H106" s="53"/>
      <c r="I106" s="53"/>
    </row>
    <row r="107" spans="2:9" ht="12.75" x14ac:dyDescent="0.2">
      <c r="B107" s="53"/>
      <c r="C107" s="53"/>
      <c r="D107" s="53"/>
      <c r="E107" s="53"/>
      <c r="F107" s="53"/>
      <c r="G107" s="53"/>
      <c r="H107" s="53"/>
      <c r="I107" s="53"/>
    </row>
    <row r="108" spans="2:9" ht="12.75" x14ac:dyDescent="0.2">
      <c r="B108" s="53"/>
      <c r="C108" s="53"/>
      <c r="D108" s="53"/>
      <c r="E108" s="53"/>
      <c r="F108" s="53"/>
      <c r="G108" s="53"/>
      <c r="H108" s="53"/>
      <c r="I108" s="53"/>
    </row>
    <row r="109" spans="2:9" ht="12.75" x14ac:dyDescent="0.2">
      <c r="B109" s="53"/>
      <c r="C109" s="53"/>
      <c r="D109" s="53"/>
      <c r="E109" s="53"/>
      <c r="F109" s="53"/>
      <c r="G109" s="53"/>
      <c r="H109" s="53"/>
      <c r="I109" s="53"/>
    </row>
  </sheetData>
  <mergeCells count="2">
    <mergeCell ref="A4:I5"/>
    <mergeCell ref="B6:I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1:S453"/>
  <sheetViews>
    <sheetView topLeftCell="A281" workbookViewId="0">
      <selection activeCell="C304" sqref="C304"/>
    </sheetView>
  </sheetViews>
  <sheetFormatPr baseColWidth="10" defaultColWidth="12.5703125" defaultRowHeight="15.75" customHeight="1" x14ac:dyDescent="0.2"/>
  <sheetData>
    <row r="1" spans="2:19" x14ac:dyDescent="0.2">
      <c r="B1" s="4" t="s">
        <v>479</v>
      </c>
      <c r="C1" s="4" t="s">
        <v>480</v>
      </c>
      <c r="D1" s="4" t="s">
        <v>481</v>
      </c>
      <c r="E1" s="4" t="s">
        <v>482</v>
      </c>
      <c r="F1" s="4" t="s">
        <v>483</v>
      </c>
      <c r="G1" s="4" t="s">
        <v>484</v>
      </c>
      <c r="H1" s="4" t="s">
        <v>485</v>
      </c>
      <c r="I1" s="4" t="s">
        <v>486</v>
      </c>
      <c r="J1" s="4" t="s">
        <v>487</v>
      </c>
    </row>
    <row r="2" spans="2:19" x14ac:dyDescent="0.2">
      <c r="B2" s="47">
        <v>45961</v>
      </c>
      <c r="C2" s="47">
        <v>45962</v>
      </c>
      <c r="D2" s="47">
        <v>45963</v>
      </c>
      <c r="E2" s="47">
        <v>45964</v>
      </c>
      <c r="F2" s="47">
        <v>45965</v>
      </c>
      <c r="G2" s="47">
        <v>45966</v>
      </c>
      <c r="H2" s="47">
        <v>45967</v>
      </c>
      <c r="I2" s="47">
        <v>45968</v>
      </c>
      <c r="J2" s="47">
        <v>45969</v>
      </c>
      <c r="K2" s="47"/>
      <c r="L2" s="47"/>
      <c r="M2" s="47"/>
      <c r="N2" s="47"/>
      <c r="O2" s="47"/>
      <c r="P2" s="47"/>
      <c r="Q2" s="47"/>
      <c r="R2" s="4" t="s">
        <v>500</v>
      </c>
      <c r="S2" s="4" t="s">
        <v>501</v>
      </c>
    </row>
    <row r="3" spans="2:19" x14ac:dyDescent="0.2">
      <c r="B3" s="4" cm="1">
        <f t="array" ref="B3">_xlfn.IFS('ProductSprint Backlog'!$F3="", "", AND('ProductSprint Backlog'!$J3&gt;B$2,'ProductSprint Backlog'!$I3&lt;=B$2), 'ProductSprint Backlog'!$F3 / MAX(1, 'ProductSprint Backlog'!$J3-'ProductSprint Backlog'!$I3), AND('ProductSprint Backlog'!$J3=B$2,'ProductSprint Backlog'!$I3=B$2), 'ProductSprint Backlog'!$F3, TRUE, 0)</f>
        <v>0</v>
      </c>
      <c r="C3" s="4" cm="1">
        <f t="array" ref="C3">_xlfn.IFS('ProductSprint Backlog'!$F3="", "", AND('ProductSprint Backlog'!$J3&gt;C$2,'ProductSprint Backlog'!$I3&lt;=C$2), 'ProductSprint Backlog'!$F3 / MAX(1, 'ProductSprint Backlog'!$J3-'ProductSprint Backlog'!$I3), AND('ProductSprint Backlog'!$J3=C$2,'ProductSprint Backlog'!$I3=C$2), 'ProductSprint Backlog'!$F3, TRUE, 0)</f>
        <v>0</v>
      </c>
      <c r="D3" s="4" cm="1">
        <f t="array" ref="D3">_xlfn.IFS('ProductSprint Backlog'!$F3="", "", AND('ProductSprint Backlog'!$J3&gt;D$2,'ProductSprint Backlog'!$I3&lt;=D$2), 'ProductSprint Backlog'!$F3 / MAX(1, 'ProductSprint Backlog'!$J3-'ProductSprint Backlog'!$I3), AND('ProductSprint Backlog'!$J3=D$2,'ProductSprint Backlog'!$I3=D$2), 'ProductSprint Backlog'!$F3, TRUE, 0)</f>
        <v>0</v>
      </c>
      <c r="E3" s="4" cm="1">
        <f t="array" ref="E3">_xlfn.IFS('ProductSprint Backlog'!$F3="", "", AND('ProductSprint Backlog'!$J3&gt;E$2,'ProductSprint Backlog'!$I3&lt;=E$2), 'ProductSprint Backlog'!$F3 / MAX(1, 'ProductSprint Backlog'!$J3-'ProductSprint Backlog'!$I3), AND('ProductSprint Backlog'!$J3=E$2,'ProductSprint Backlog'!$I3=E$2), 'ProductSprint Backlog'!$F3, TRUE, 0)</f>
        <v>0</v>
      </c>
      <c r="F3" s="4" cm="1">
        <f t="array" ref="F3">_xlfn.IFS('ProductSprint Backlog'!$F3="", "", AND('ProductSprint Backlog'!$J3&gt;F$2,'ProductSprint Backlog'!$I3&lt;=F$2), 'ProductSprint Backlog'!$F3 / MAX(1, 'ProductSprint Backlog'!$J3-'ProductSprint Backlog'!$I3), AND('ProductSprint Backlog'!$J3=F$2,'ProductSprint Backlog'!$I3=F$2), 'ProductSprint Backlog'!$F3, TRUE, 0)</f>
        <v>0</v>
      </c>
      <c r="G3" s="4" cm="1">
        <f t="array" ref="G3">_xlfn.IFS('ProductSprint Backlog'!$F3="", "", AND('ProductSprint Backlog'!$J3&gt;G$2,'ProductSprint Backlog'!$I3&lt;=G$2), 'ProductSprint Backlog'!$F3 / MAX(1, 'ProductSprint Backlog'!$J3-'ProductSprint Backlog'!$I3), AND('ProductSprint Backlog'!$J3=G$2,'ProductSprint Backlog'!$I3=G$2), 'ProductSprint Backlog'!$F3, TRUE, 0)</f>
        <v>0</v>
      </c>
      <c r="H3" s="4" cm="1">
        <f t="array" ref="H3">_xlfn.IFS('ProductSprint Backlog'!$F3="", "", AND('ProductSprint Backlog'!$J3&gt;H$2,'ProductSprint Backlog'!$I3&lt;=H$2), 'ProductSprint Backlog'!$F3 / MAX(1, 'ProductSprint Backlog'!$J3-'ProductSprint Backlog'!$I3), AND('ProductSprint Backlog'!$J3=H$2,'ProductSprint Backlog'!$I3=H$2), 'ProductSprint Backlog'!$F3, TRUE, 0)</f>
        <v>0</v>
      </c>
      <c r="I3" s="4" cm="1">
        <f t="array" ref="I3">_xlfn.IFS('ProductSprint Backlog'!$F3="", "", AND('ProductSprint Backlog'!$J3&gt;I$2,'ProductSprint Backlog'!$I3&lt;=I$2), 'ProductSprint Backlog'!$F3 / MAX(1, 'ProductSprint Backlog'!$J3-'ProductSprint Backlog'!$I3), AND('ProductSprint Backlog'!$J3=I$2,'ProductSprint Backlog'!$I3=I$2), 'ProductSprint Backlog'!$F3, TRUE, 0)</f>
        <v>0</v>
      </c>
      <c r="J3" s="4" cm="1">
        <f t="array" ref="J3">_xlfn.IFS('ProductSprint Backlog'!$F3="", "", AND('ProductSprint Backlog'!$J3&gt;J$2,'ProductSprint Backlog'!$I3&lt;=J$2), 'ProductSprint Backlog'!$F3 / MAX(1, 'ProductSprint Backlog'!$J3-'ProductSprint Backlog'!$I3), AND('ProductSprint Backlog'!$J3=J$2,'ProductSprint Backlog'!$I3=J$2), 'ProductSprint Backlog'!$F3, TRUE, 0)</f>
        <v>0</v>
      </c>
    </row>
    <row r="4" spans="2:19" x14ac:dyDescent="0.2">
      <c r="B4" s="4" cm="1">
        <f t="array" ref="B4">_xlfn.IFS('ProductSprint Backlog'!$F4="", "", AND('ProductSprint Backlog'!$J4&gt;B$2,'ProductSprint Backlog'!$I4&lt;=B$2), 'ProductSprint Backlog'!$F4 / MAX(1, 'ProductSprint Backlog'!$J4-'ProductSprint Backlog'!$I4), AND('ProductSprint Backlog'!$J4=B$2,'ProductSprint Backlog'!$I4=B$2), 'ProductSprint Backlog'!$F4, TRUE, 0)</f>
        <v>0</v>
      </c>
      <c r="C4" s="4" cm="1">
        <f t="array" ref="C4">_xlfn.IFS('ProductSprint Backlog'!$F4="", "", AND('ProductSprint Backlog'!$J4&gt;C$2,'ProductSprint Backlog'!$I4&lt;=C$2), 'ProductSprint Backlog'!$F4 / MAX(1, 'ProductSprint Backlog'!$J4-'ProductSprint Backlog'!$I4), AND('ProductSprint Backlog'!$J4=C$2,'ProductSprint Backlog'!$I4=C$2), 'ProductSprint Backlog'!$F4, TRUE, 0)</f>
        <v>0</v>
      </c>
      <c r="D4" s="4" cm="1">
        <f t="array" ref="D4">_xlfn.IFS('ProductSprint Backlog'!$F4="", "", AND('ProductSprint Backlog'!$J4&gt;D$2,'ProductSprint Backlog'!$I4&lt;=D$2), 'ProductSprint Backlog'!$F4 / MAX(1, 'ProductSprint Backlog'!$J4-'ProductSprint Backlog'!$I4), AND('ProductSprint Backlog'!$J4=D$2,'ProductSprint Backlog'!$I4=D$2), 'ProductSprint Backlog'!$F4, TRUE, 0)</f>
        <v>0</v>
      </c>
      <c r="E4" s="4" cm="1">
        <f t="array" ref="E4">_xlfn.IFS('ProductSprint Backlog'!$F4="", "", AND('ProductSprint Backlog'!$J4&gt;E$2,'ProductSprint Backlog'!$I4&lt;=E$2), 'ProductSprint Backlog'!$F4 / MAX(1, 'ProductSprint Backlog'!$J4-'ProductSprint Backlog'!$I4), AND('ProductSprint Backlog'!$J4=E$2,'ProductSprint Backlog'!$I4=E$2), 'ProductSprint Backlog'!$F4, TRUE, 0)</f>
        <v>0</v>
      </c>
      <c r="F4" s="4" cm="1">
        <f t="array" ref="F4">_xlfn.IFS('ProductSprint Backlog'!$F4="", "", AND('ProductSprint Backlog'!$J4&gt;F$2,'ProductSprint Backlog'!$I4&lt;=F$2), 'ProductSprint Backlog'!$F4 / MAX(1, 'ProductSprint Backlog'!$J4-'ProductSprint Backlog'!$I4), AND('ProductSprint Backlog'!$J4=F$2,'ProductSprint Backlog'!$I4=F$2), 'ProductSprint Backlog'!$F4, TRUE, 0)</f>
        <v>0</v>
      </c>
      <c r="G4" s="4" cm="1">
        <f t="array" ref="G4">_xlfn.IFS('ProductSprint Backlog'!$F4="", "", AND('ProductSprint Backlog'!$J4&gt;G$2,'ProductSprint Backlog'!$I4&lt;=G$2), 'ProductSprint Backlog'!$F4 / MAX(1, 'ProductSprint Backlog'!$J4-'ProductSprint Backlog'!$I4), AND('ProductSprint Backlog'!$J4=G$2,'ProductSprint Backlog'!$I4=G$2), 'ProductSprint Backlog'!$F4, TRUE, 0)</f>
        <v>0</v>
      </c>
      <c r="H4" s="4" cm="1">
        <f t="array" ref="H4">_xlfn.IFS('ProductSprint Backlog'!$F4="", "", AND('ProductSprint Backlog'!$J4&gt;H$2,'ProductSprint Backlog'!$I4&lt;=H$2), 'ProductSprint Backlog'!$F4 / MAX(1, 'ProductSprint Backlog'!$J4-'ProductSprint Backlog'!$I4), AND('ProductSprint Backlog'!$J4=H$2,'ProductSprint Backlog'!$I4=H$2), 'ProductSprint Backlog'!$F4, TRUE, 0)</f>
        <v>0</v>
      </c>
      <c r="I4" s="4" cm="1">
        <f t="array" ref="I4">_xlfn.IFS('ProductSprint Backlog'!$F4="", "", AND('ProductSprint Backlog'!$J4&gt;I$2,'ProductSprint Backlog'!$I4&lt;=I$2), 'ProductSprint Backlog'!$F4 / MAX(1, 'ProductSprint Backlog'!$J4-'ProductSprint Backlog'!$I4), AND('ProductSprint Backlog'!$J4=I$2,'ProductSprint Backlog'!$I4=I$2), 'ProductSprint Backlog'!$F4, TRUE, 0)</f>
        <v>0</v>
      </c>
      <c r="J4" s="4" cm="1">
        <f t="array" ref="J4">_xlfn.IFS('ProductSprint Backlog'!$F4="", "", AND('ProductSprint Backlog'!$J4&gt;J$2,'ProductSprint Backlog'!$I4&lt;=J$2), 'ProductSprint Backlog'!$F4 / MAX(1, 'ProductSprint Backlog'!$J4-'ProductSprint Backlog'!$I4), AND('ProductSprint Backlog'!$J4=J$2,'ProductSprint Backlog'!$I4=J$2), 'ProductSprint Backlog'!$F4, TRUE, 0)</f>
        <v>0</v>
      </c>
    </row>
    <row r="5" spans="2:19" x14ac:dyDescent="0.2">
      <c r="B5" s="4" cm="1">
        <f t="array" ref="B5">_xlfn.IFS('ProductSprint Backlog'!$F5="", "", AND('ProductSprint Backlog'!$J5&gt;B$2,'ProductSprint Backlog'!$I5&lt;=B$2), 'ProductSprint Backlog'!$F5 / MAX(1, 'ProductSprint Backlog'!$J5-'ProductSprint Backlog'!$I5), AND('ProductSprint Backlog'!$J5=B$2,'ProductSprint Backlog'!$I5=B$2), 'ProductSprint Backlog'!$F5, TRUE, 0)</f>
        <v>0</v>
      </c>
      <c r="C5" s="4" cm="1">
        <f t="array" ref="C5">_xlfn.IFS('ProductSprint Backlog'!$F5="", "", AND('ProductSprint Backlog'!$J5&gt;C$2,'ProductSprint Backlog'!$I5&lt;=C$2), 'ProductSprint Backlog'!$F5 / MAX(1, 'ProductSprint Backlog'!$J5-'ProductSprint Backlog'!$I5), AND('ProductSprint Backlog'!$J5=C$2,'ProductSprint Backlog'!$I5=C$2), 'ProductSprint Backlog'!$F5, TRUE, 0)</f>
        <v>0</v>
      </c>
      <c r="D5" s="4" cm="1">
        <f t="array" ref="D5">_xlfn.IFS('ProductSprint Backlog'!$F5="", "", AND('ProductSprint Backlog'!$J5&gt;D$2,'ProductSprint Backlog'!$I5&lt;=D$2), 'ProductSprint Backlog'!$F5 / MAX(1, 'ProductSprint Backlog'!$J5-'ProductSprint Backlog'!$I5), AND('ProductSprint Backlog'!$J5=D$2,'ProductSprint Backlog'!$I5=D$2), 'ProductSprint Backlog'!$F5, TRUE, 0)</f>
        <v>0</v>
      </c>
      <c r="E5" s="4" cm="1">
        <f t="array" ref="E5">_xlfn.IFS('ProductSprint Backlog'!$F5="", "", AND('ProductSprint Backlog'!$J5&gt;E$2,'ProductSprint Backlog'!$I5&lt;=E$2), 'ProductSprint Backlog'!$F5 / MAX(1, 'ProductSprint Backlog'!$J5-'ProductSprint Backlog'!$I5), AND('ProductSprint Backlog'!$J5=E$2,'ProductSprint Backlog'!$I5=E$2), 'ProductSprint Backlog'!$F5, TRUE, 0)</f>
        <v>0</v>
      </c>
      <c r="F5" s="4" cm="1">
        <f t="array" ref="F5">_xlfn.IFS('ProductSprint Backlog'!$F5="", "", AND('ProductSprint Backlog'!$J5&gt;F$2,'ProductSprint Backlog'!$I5&lt;=F$2), 'ProductSprint Backlog'!$F5 / MAX(1, 'ProductSprint Backlog'!$J5-'ProductSprint Backlog'!$I5), AND('ProductSprint Backlog'!$J5=F$2,'ProductSprint Backlog'!$I5=F$2), 'ProductSprint Backlog'!$F5, TRUE, 0)</f>
        <v>0</v>
      </c>
      <c r="G5" s="4" cm="1">
        <f t="array" ref="G5">_xlfn.IFS('ProductSprint Backlog'!$F5="", "", AND('ProductSprint Backlog'!$J5&gt;G$2,'ProductSprint Backlog'!$I5&lt;=G$2), 'ProductSprint Backlog'!$F5 / MAX(1, 'ProductSprint Backlog'!$J5-'ProductSprint Backlog'!$I5), AND('ProductSprint Backlog'!$J5=G$2,'ProductSprint Backlog'!$I5=G$2), 'ProductSprint Backlog'!$F5, TRUE, 0)</f>
        <v>0</v>
      </c>
      <c r="H5" s="4" cm="1">
        <f t="array" ref="H5">_xlfn.IFS('ProductSprint Backlog'!$F5="", "", AND('ProductSprint Backlog'!$J5&gt;H$2,'ProductSprint Backlog'!$I5&lt;=H$2), 'ProductSprint Backlog'!$F5 / MAX(1, 'ProductSprint Backlog'!$J5-'ProductSprint Backlog'!$I5), AND('ProductSprint Backlog'!$J5=H$2,'ProductSprint Backlog'!$I5=H$2), 'ProductSprint Backlog'!$F5, TRUE, 0)</f>
        <v>0</v>
      </c>
      <c r="I5" s="4" cm="1">
        <f t="array" ref="I5">_xlfn.IFS('ProductSprint Backlog'!$F5="", "", AND('ProductSprint Backlog'!$J5&gt;I$2,'ProductSprint Backlog'!$I5&lt;=I$2), 'ProductSprint Backlog'!$F5 / MAX(1, 'ProductSprint Backlog'!$J5-'ProductSprint Backlog'!$I5), AND('ProductSprint Backlog'!$J5=I$2,'ProductSprint Backlog'!$I5=I$2), 'ProductSprint Backlog'!$F5, TRUE, 0)</f>
        <v>0</v>
      </c>
      <c r="J5" s="4" cm="1">
        <f t="array" ref="J5">_xlfn.IFS('ProductSprint Backlog'!$F5="", "", AND('ProductSprint Backlog'!$J5&gt;J$2,'ProductSprint Backlog'!$I5&lt;=J$2), 'ProductSprint Backlog'!$F5 / MAX(1, 'ProductSprint Backlog'!$J5-'ProductSprint Backlog'!$I5), AND('ProductSprint Backlog'!$J5=J$2,'ProductSprint Backlog'!$I5=J$2), 'ProductSprint Backlog'!$F5, TRUE, 0)</f>
        <v>0</v>
      </c>
    </row>
    <row r="6" spans="2:19" x14ac:dyDescent="0.2">
      <c r="B6" s="4" cm="1">
        <f t="array" ref="B6">_xlfn.IFS('ProductSprint Backlog'!$F6="", "", AND('ProductSprint Backlog'!$J6&gt;B$2,'ProductSprint Backlog'!$I6&lt;=B$2), 'ProductSprint Backlog'!$F6 / MAX(1, 'ProductSprint Backlog'!$J6-'ProductSprint Backlog'!$I6), AND('ProductSprint Backlog'!$J6=B$2,'ProductSprint Backlog'!$I6=B$2), 'ProductSprint Backlog'!$F6, TRUE, 0)</f>
        <v>0</v>
      </c>
      <c r="C6" s="4" cm="1">
        <f t="array" ref="C6">_xlfn.IFS('ProductSprint Backlog'!$F6="", "", AND('ProductSprint Backlog'!$J6&gt;C$2,'ProductSprint Backlog'!$I6&lt;=C$2), 'ProductSprint Backlog'!$F6 / MAX(1, 'ProductSprint Backlog'!$J6-'ProductSprint Backlog'!$I6), AND('ProductSprint Backlog'!$J6=C$2,'ProductSprint Backlog'!$I6=C$2), 'ProductSprint Backlog'!$F6, TRUE, 0)</f>
        <v>0</v>
      </c>
      <c r="D6" s="4" cm="1">
        <f t="array" ref="D6">_xlfn.IFS('ProductSprint Backlog'!$F6="", "", AND('ProductSprint Backlog'!$J6&gt;D$2,'ProductSprint Backlog'!$I6&lt;=D$2), 'ProductSprint Backlog'!$F6 / MAX(1, 'ProductSprint Backlog'!$J6-'ProductSprint Backlog'!$I6), AND('ProductSprint Backlog'!$J6=D$2,'ProductSprint Backlog'!$I6=D$2), 'ProductSprint Backlog'!$F6, TRUE, 0)</f>
        <v>0</v>
      </c>
      <c r="E6" s="4" cm="1">
        <f t="array" ref="E6">_xlfn.IFS('ProductSprint Backlog'!$F6="", "", AND('ProductSprint Backlog'!$J6&gt;E$2,'ProductSprint Backlog'!$I6&lt;=E$2), 'ProductSprint Backlog'!$F6 / MAX(1, 'ProductSprint Backlog'!$J6-'ProductSprint Backlog'!$I6), AND('ProductSprint Backlog'!$J6=E$2,'ProductSprint Backlog'!$I6=E$2), 'ProductSprint Backlog'!$F6, TRUE, 0)</f>
        <v>0</v>
      </c>
      <c r="F6" s="4" cm="1">
        <f t="array" ref="F6">_xlfn.IFS('ProductSprint Backlog'!$F6="", "", AND('ProductSprint Backlog'!$J6&gt;F$2,'ProductSprint Backlog'!$I6&lt;=F$2), 'ProductSprint Backlog'!$F6 / MAX(1, 'ProductSprint Backlog'!$J6-'ProductSprint Backlog'!$I6), AND('ProductSprint Backlog'!$J6=F$2,'ProductSprint Backlog'!$I6=F$2), 'ProductSprint Backlog'!$F6, TRUE, 0)</f>
        <v>0</v>
      </c>
      <c r="G6" s="4" cm="1">
        <f t="array" ref="G6">_xlfn.IFS('ProductSprint Backlog'!$F6="", "", AND('ProductSprint Backlog'!$J6&gt;G$2,'ProductSprint Backlog'!$I6&lt;=G$2), 'ProductSprint Backlog'!$F6 / MAX(1, 'ProductSprint Backlog'!$J6-'ProductSprint Backlog'!$I6), AND('ProductSprint Backlog'!$J6=G$2,'ProductSprint Backlog'!$I6=G$2), 'ProductSprint Backlog'!$F6, TRUE, 0)</f>
        <v>0</v>
      </c>
      <c r="H6" s="4" cm="1">
        <f t="array" ref="H6">_xlfn.IFS('ProductSprint Backlog'!$F6="", "", AND('ProductSprint Backlog'!$J6&gt;H$2,'ProductSprint Backlog'!$I6&lt;=H$2), 'ProductSprint Backlog'!$F6 / MAX(1, 'ProductSprint Backlog'!$J6-'ProductSprint Backlog'!$I6), AND('ProductSprint Backlog'!$J6=H$2,'ProductSprint Backlog'!$I6=H$2), 'ProductSprint Backlog'!$F6, TRUE, 0)</f>
        <v>0</v>
      </c>
      <c r="I6" s="4" cm="1">
        <f t="array" ref="I6">_xlfn.IFS('ProductSprint Backlog'!$F6="", "", AND('ProductSprint Backlog'!$J6&gt;I$2,'ProductSprint Backlog'!$I6&lt;=I$2), 'ProductSprint Backlog'!$F6 / MAX(1, 'ProductSprint Backlog'!$J6-'ProductSprint Backlog'!$I6), AND('ProductSprint Backlog'!$J6=I$2,'ProductSprint Backlog'!$I6=I$2), 'ProductSprint Backlog'!$F6, TRUE, 0)</f>
        <v>0</v>
      </c>
      <c r="J6" s="4" cm="1">
        <f t="array" ref="J6">_xlfn.IFS('ProductSprint Backlog'!$F6="", "", AND('ProductSprint Backlog'!$J6&gt;J$2,'ProductSprint Backlog'!$I6&lt;=J$2), 'ProductSprint Backlog'!$F6 / MAX(1, 'ProductSprint Backlog'!$J6-'ProductSprint Backlog'!$I6), AND('ProductSprint Backlog'!$J6=J$2,'ProductSprint Backlog'!$I6=J$2), 'ProductSprint Backlog'!$F6, TRUE, 0)</f>
        <v>0</v>
      </c>
    </row>
    <row r="7" spans="2:19" x14ac:dyDescent="0.2">
      <c r="B7" s="4" t="str" cm="1">
        <f t="array" ref="B7">_xlfn.IFS('ProductSprint Backlog'!$F7="", "", AND('ProductSprint Backlog'!$J7&gt;B$2,'ProductSprint Backlog'!$I7&lt;=B$2), 'ProductSprint Backlog'!$F7 / MAX(1, 'ProductSprint Backlog'!$J7-'ProductSprint Backlog'!$I7), AND('ProductSprint Backlog'!$J7=B$2,'ProductSprint Backlog'!$I7=B$2), 'ProductSprint Backlog'!$F7, TRUE, 0)</f>
        <v/>
      </c>
      <c r="C7" s="4" t="str" cm="1">
        <f t="array" ref="C7">_xlfn.IFS('ProductSprint Backlog'!$F7="", "", AND('ProductSprint Backlog'!$J7&gt;C$2,'ProductSprint Backlog'!$I7&lt;=C$2), 'ProductSprint Backlog'!$F7 / MAX(1, 'ProductSprint Backlog'!$J7-'ProductSprint Backlog'!$I7), AND('ProductSprint Backlog'!$J7=C$2,'ProductSprint Backlog'!$I7=C$2), 'ProductSprint Backlog'!$F7, TRUE, 0)</f>
        <v/>
      </c>
      <c r="D7" s="4" t="str" cm="1">
        <f t="array" ref="D7">_xlfn.IFS('ProductSprint Backlog'!$F7="", "", AND('ProductSprint Backlog'!$J7&gt;D$2,'ProductSprint Backlog'!$I7&lt;=D$2), 'ProductSprint Backlog'!$F7 / MAX(1, 'ProductSprint Backlog'!$J7-'ProductSprint Backlog'!$I7), AND('ProductSprint Backlog'!$J7=D$2,'ProductSprint Backlog'!$I7=D$2), 'ProductSprint Backlog'!$F7, TRUE, 0)</f>
        <v/>
      </c>
      <c r="E7" s="4" t="str" cm="1">
        <f t="array" ref="E7">_xlfn.IFS('ProductSprint Backlog'!$F7="", "", AND('ProductSprint Backlog'!$J7&gt;E$2,'ProductSprint Backlog'!$I7&lt;=E$2), 'ProductSprint Backlog'!$F7 / MAX(1, 'ProductSprint Backlog'!$J7-'ProductSprint Backlog'!$I7), AND('ProductSprint Backlog'!$J7=E$2,'ProductSprint Backlog'!$I7=E$2), 'ProductSprint Backlog'!$F7, TRUE, 0)</f>
        <v/>
      </c>
      <c r="F7" s="4" t="str" cm="1">
        <f t="array" ref="F7">_xlfn.IFS('ProductSprint Backlog'!$F7="", "", AND('ProductSprint Backlog'!$J7&gt;F$2,'ProductSprint Backlog'!$I7&lt;=F$2), 'ProductSprint Backlog'!$F7 / MAX(1, 'ProductSprint Backlog'!$J7-'ProductSprint Backlog'!$I7), AND('ProductSprint Backlog'!$J7=F$2,'ProductSprint Backlog'!$I7=F$2), 'ProductSprint Backlog'!$F7, TRUE, 0)</f>
        <v/>
      </c>
      <c r="G7" s="4" t="str" cm="1">
        <f t="array" ref="G7">_xlfn.IFS('ProductSprint Backlog'!$F7="", "", AND('ProductSprint Backlog'!$J7&gt;G$2,'ProductSprint Backlog'!$I7&lt;=G$2), 'ProductSprint Backlog'!$F7 / MAX(1, 'ProductSprint Backlog'!$J7-'ProductSprint Backlog'!$I7), AND('ProductSprint Backlog'!$J7=G$2,'ProductSprint Backlog'!$I7=G$2), 'ProductSprint Backlog'!$F7, TRUE, 0)</f>
        <v/>
      </c>
      <c r="H7" s="4" t="str" cm="1">
        <f t="array" ref="H7">_xlfn.IFS('ProductSprint Backlog'!$F7="", "", AND('ProductSprint Backlog'!$J7&gt;H$2,'ProductSprint Backlog'!$I7&lt;=H$2), 'ProductSprint Backlog'!$F7 / MAX(1, 'ProductSprint Backlog'!$J7-'ProductSprint Backlog'!$I7), AND('ProductSprint Backlog'!$J7=H$2,'ProductSprint Backlog'!$I7=H$2), 'ProductSprint Backlog'!$F7, TRUE, 0)</f>
        <v/>
      </c>
      <c r="I7" s="4" t="str" cm="1">
        <f t="array" ref="I7">_xlfn.IFS('ProductSprint Backlog'!$F7="", "", AND('ProductSprint Backlog'!$J7&gt;I$2,'ProductSprint Backlog'!$I7&lt;=I$2), 'ProductSprint Backlog'!$F7 / MAX(1, 'ProductSprint Backlog'!$J7-'ProductSprint Backlog'!$I7), AND('ProductSprint Backlog'!$J7=I$2,'ProductSprint Backlog'!$I7=I$2), 'ProductSprint Backlog'!$F7, TRUE, 0)</f>
        <v/>
      </c>
      <c r="J7" s="4" t="str" cm="1">
        <f t="array" ref="J7">_xlfn.IFS('ProductSprint Backlog'!$F7="", "", AND('ProductSprint Backlog'!$J7&gt;J$2,'ProductSprint Backlog'!$I7&lt;=J$2), 'ProductSprint Backlog'!$F7 / MAX(1, 'ProductSprint Backlog'!$J7-'ProductSprint Backlog'!$I7), AND('ProductSprint Backlog'!$J7=J$2,'ProductSprint Backlog'!$I7=J$2), 'ProductSprint Backlog'!$F7, TRUE, 0)</f>
        <v/>
      </c>
    </row>
    <row r="8" spans="2:19" x14ac:dyDescent="0.2">
      <c r="B8" s="4" cm="1">
        <f t="array" ref="B8">_xlfn.IFS('ProductSprint Backlog'!$F8="", "", AND('ProductSprint Backlog'!$J8&gt;B$2,'ProductSprint Backlog'!$I8&lt;=B$2), 'ProductSprint Backlog'!$F8 / MAX(1, 'ProductSprint Backlog'!$J8-'ProductSprint Backlog'!$I8), AND('ProductSprint Backlog'!$J8=B$2,'ProductSprint Backlog'!$I8=B$2), 'ProductSprint Backlog'!$F8, TRUE, 0)</f>
        <v>0</v>
      </c>
      <c r="C8" s="4" cm="1">
        <f t="array" ref="C8">_xlfn.IFS('ProductSprint Backlog'!$F8="", "", AND('ProductSprint Backlog'!$J8&gt;C$2,'ProductSprint Backlog'!$I8&lt;=C$2), 'ProductSprint Backlog'!$F8 / MAX(1, 'ProductSprint Backlog'!$J8-'ProductSprint Backlog'!$I8), AND('ProductSprint Backlog'!$J8=C$2,'ProductSprint Backlog'!$I8=C$2), 'ProductSprint Backlog'!$F8, TRUE, 0)</f>
        <v>0</v>
      </c>
      <c r="D8" s="4" cm="1">
        <f t="array" ref="D8">_xlfn.IFS('ProductSprint Backlog'!$F8="", "", AND('ProductSprint Backlog'!$J8&gt;D$2,'ProductSprint Backlog'!$I8&lt;=D$2), 'ProductSprint Backlog'!$F8 / MAX(1, 'ProductSprint Backlog'!$J8-'ProductSprint Backlog'!$I8), AND('ProductSprint Backlog'!$J8=D$2,'ProductSprint Backlog'!$I8=D$2), 'ProductSprint Backlog'!$F8, TRUE, 0)</f>
        <v>0</v>
      </c>
      <c r="E8" s="4" cm="1">
        <f t="array" ref="E8">_xlfn.IFS('ProductSprint Backlog'!$F8="", "", AND('ProductSprint Backlog'!$J8&gt;E$2,'ProductSprint Backlog'!$I8&lt;=E$2), 'ProductSprint Backlog'!$F8 / MAX(1, 'ProductSprint Backlog'!$J8-'ProductSprint Backlog'!$I8), AND('ProductSprint Backlog'!$J8=E$2,'ProductSprint Backlog'!$I8=E$2), 'ProductSprint Backlog'!$F8, TRUE, 0)</f>
        <v>0</v>
      </c>
      <c r="F8" s="4" cm="1">
        <f t="array" ref="F8">_xlfn.IFS('ProductSprint Backlog'!$F8="", "", AND('ProductSprint Backlog'!$J8&gt;F$2,'ProductSprint Backlog'!$I8&lt;=F$2), 'ProductSprint Backlog'!$F8 / MAX(1, 'ProductSprint Backlog'!$J8-'ProductSprint Backlog'!$I8), AND('ProductSprint Backlog'!$J8=F$2,'ProductSprint Backlog'!$I8=F$2), 'ProductSprint Backlog'!$F8, TRUE, 0)</f>
        <v>0</v>
      </c>
      <c r="G8" s="4" cm="1">
        <f t="array" ref="G8">_xlfn.IFS('ProductSprint Backlog'!$F8="", "", AND('ProductSprint Backlog'!$J8&gt;G$2,'ProductSprint Backlog'!$I8&lt;=G$2), 'ProductSprint Backlog'!$F8 / MAX(1, 'ProductSprint Backlog'!$J8-'ProductSprint Backlog'!$I8), AND('ProductSprint Backlog'!$J8=G$2,'ProductSprint Backlog'!$I8=G$2), 'ProductSprint Backlog'!$F8, TRUE, 0)</f>
        <v>0</v>
      </c>
      <c r="H8" s="4" cm="1">
        <f t="array" ref="H8">_xlfn.IFS('ProductSprint Backlog'!$F8="", "", AND('ProductSprint Backlog'!$J8&gt;H$2,'ProductSprint Backlog'!$I8&lt;=H$2), 'ProductSprint Backlog'!$F8 / MAX(1, 'ProductSprint Backlog'!$J8-'ProductSprint Backlog'!$I8), AND('ProductSprint Backlog'!$J8=H$2,'ProductSprint Backlog'!$I8=H$2), 'ProductSprint Backlog'!$F8, TRUE, 0)</f>
        <v>0</v>
      </c>
      <c r="I8" s="4" cm="1">
        <f t="array" ref="I8">_xlfn.IFS('ProductSprint Backlog'!$F8="", "", AND('ProductSprint Backlog'!$J8&gt;I$2,'ProductSprint Backlog'!$I8&lt;=I$2), 'ProductSprint Backlog'!$F8 / MAX(1, 'ProductSprint Backlog'!$J8-'ProductSprint Backlog'!$I8), AND('ProductSprint Backlog'!$J8=I$2,'ProductSprint Backlog'!$I8=I$2), 'ProductSprint Backlog'!$F8, TRUE, 0)</f>
        <v>0</v>
      </c>
      <c r="J8" s="4" cm="1">
        <f t="array" ref="J8">_xlfn.IFS('ProductSprint Backlog'!$F8="", "", AND('ProductSprint Backlog'!$J8&gt;J$2,'ProductSprint Backlog'!$I8&lt;=J$2), 'ProductSprint Backlog'!$F8 / MAX(1, 'ProductSprint Backlog'!$J8-'ProductSprint Backlog'!$I8), AND('ProductSprint Backlog'!$J8=J$2,'ProductSprint Backlog'!$I8=J$2), 'ProductSprint Backlog'!$F8, TRUE, 0)</f>
        <v>0</v>
      </c>
    </row>
    <row r="9" spans="2:19" x14ac:dyDescent="0.2">
      <c r="B9" s="4" cm="1">
        <f t="array" ref="B9">_xlfn.IFS('ProductSprint Backlog'!$F9="", "", AND('ProductSprint Backlog'!$J9&gt;B$2,'ProductSprint Backlog'!$I9&lt;=B$2), 'ProductSprint Backlog'!$F9 / MAX(1, 'ProductSprint Backlog'!$J9-'ProductSprint Backlog'!$I9), AND('ProductSprint Backlog'!$J9=B$2,'ProductSprint Backlog'!$I9=B$2), 'ProductSprint Backlog'!$F9, TRUE, 0)</f>
        <v>0</v>
      </c>
      <c r="C9" s="4" cm="1">
        <f t="array" ref="C9">_xlfn.IFS('ProductSprint Backlog'!$F9="", "", AND('ProductSprint Backlog'!$J9&gt;C$2,'ProductSprint Backlog'!$I9&lt;=C$2), 'ProductSprint Backlog'!$F9 / MAX(1, 'ProductSprint Backlog'!$J9-'ProductSprint Backlog'!$I9), AND('ProductSprint Backlog'!$J9=C$2,'ProductSprint Backlog'!$I9=C$2), 'ProductSprint Backlog'!$F9, TRUE, 0)</f>
        <v>0</v>
      </c>
      <c r="D9" s="4" cm="1">
        <f t="array" ref="D9">_xlfn.IFS('ProductSprint Backlog'!$F9="", "", AND('ProductSprint Backlog'!$J9&gt;D$2,'ProductSprint Backlog'!$I9&lt;=D$2), 'ProductSprint Backlog'!$F9 / MAX(1, 'ProductSprint Backlog'!$J9-'ProductSprint Backlog'!$I9), AND('ProductSprint Backlog'!$J9=D$2,'ProductSprint Backlog'!$I9=D$2), 'ProductSprint Backlog'!$F9, TRUE, 0)</f>
        <v>0</v>
      </c>
      <c r="E9" s="4" cm="1">
        <f t="array" ref="E9">_xlfn.IFS('ProductSprint Backlog'!$F9="", "", AND('ProductSprint Backlog'!$J9&gt;E$2,'ProductSprint Backlog'!$I9&lt;=E$2), 'ProductSprint Backlog'!$F9 / MAX(1, 'ProductSprint Backlog'!$J9-'ProductSprint Backlog'!$I9), AND('ProductSprint Backlog'!$J9=E$2,'ProductSprint Backlog'!$I9=E$2), 'ProductSprint Backlog'!$F9, TRUE, 0)</f>
        <v>0</v>
      </c>
      <c r="F9" s="4" cm="1">
        <f t="array" ref="F9">_xlfn.IFS('ProductSprint Backlog'!$F9="", "", AND('ProductSprint Backlog'!$J9&gt;F$2,'ProductSprint Backlog'!$I9&lt;=F$2), 'ProductSprint Backlog'!$F9 / MAX(1, 'ProductSprint Backlog'!$J9-'ProductSprint Backlog'!$I9), AND('ProductSprint Backlog'!$J9=F$2,'ProductSprint Backlog'!$I9=F$2), 'ProductSprint Backlog'!$F9, TRUE, 0)</f>
        <v>0</v>
      </c>
      <c r="G9" s="4" cm="1">
        <f t="array" ref="G9">_xlfn.IFS('ProductSprint Backlog'!$F9="", "", AND('ProductSprint Backlog'!$J9&gt;G$2,'ProductSprint Backlog'!$I9&lt;=G$2), 'ProductSprint Backlog'!$F9 / MAX(1, 'ProductSprint Backlog'!$J9-'ProductSprint Backlog'!$I9), AND('ProductSprint Backlog'!$J9=G$2,'ProductSprint Backlog'!$I9=G$2), 'ProductSprint Backlog'!$F9, TRUE, 0)</f>
        <v>0</v>
      </c>
      <c r="H9" s="4" cm="1">
        <f t="array" ref="H9">_xlfn.IFS('ProductSprint Backlog'!$F9="", "", AND('ProductSprint Backlog'!$J9&gt;H$2,'ProductSprint Backlog'!$I9&lt;=H$2), 'ProductSprint Backlog'!$F9 / MAX(1, 'ProductSprint Backlog'!$J9-'ProductSprint Backlog'!$I9), AND('ProductSprint Backlog'!$J9=H$2,'ProductSprint Backlog'!$I9=H$2), 'ProductSprint Backlog'!$F9, TRUE, 0)</f>
        <v>0</v>
      </c>
      <c r="I9" s="4" cm="1">
        <f t="array" ref="I9">_xlfn.IFS('ProductSprint Backlog'!$F9="", "", AND('ProductSprint Backlog'!$J9&gt;I$2,'ProductSprint Backlog'!$I9&lt;=I$2), 'ProductSprint Backlog'!$F9 / MAX(1, 'ProductSprint Backlog'!$J9-'ProductSprint Backlog'!$I9), AND('ProductSprint Backlog'!$J9=I$2,'ProductSprint Backlog'!$I9=I$2), 'ProductSprint Backlog'!$F9, TRUE, 0)</f>
        <v>0</v>
      </c>
      <c r="J9" s="4" cm="1">
        <f t="array" ref="J9">_xlfn.IFS('ProductSprint Backlog'!$F9="", "", AND('ProductSprint Backlog'!$J9&gt;J$2,'ProductSprint Backlog'!$I9&lt;=J$2), 'ProductSprint Backlog'!$F9 / MAX(1, 'ProductSprint Backlog'!$J9-'ProductSprint Backlog'!$I9), AND('ProductSprint Backlog'!$J9=J$2,'ProductSprint Backlog'!$I9=J$2), 'ProductSprint Backlog'!$F9, TRUE, 0)</f>
        <v>0</v>
      </c>
    </row>
    <row r="10" spans="2:19" x14ac:dyDescent="0.2">
      <c r="B10" s="4" cm="1">
        <f t="array" ref="B10">_xlfn.IFS('ProductSprint Backlog'!$F10="", "", AND('ProductSprint Backlog'!$J10&gt;B$2,'ProductSprint Backlog'!$I10&lt;=B$2), 'ProductSprint Backlog'!$F10 / MAX(1, 'ProductSprint Backlog'!$J10-'ProductSprint Backlog'!$I10), AND('ProductSprint Backlog'!$J10=B$2,'ProductSprint Backlog'!$I10=B$2), 'ProductSprint Backlog'!$F10, TRUE, 0)</f>
        <v>0</v>
      </c>
      <c r="C10" s="4" cm="1">
        <f t="array" ref="C10">_xlfn.IFS('ProductSprint Backlog'!$F10="", "", AND('ProductSprint Backlog'!$J10&gt;C$2,'ProductSprint Backlog'!$I10&lt;=C$2), 'ProductSprint Backlog'!$F10 / MAX(1, 'ProductSprint Backlog'!$J10-'ProductSprint Backlog'!$I10), AND('ProductSprint Backlog'!$J10=C$2,'ProductSprint Backlog'!$I10=C$2), 'ProductSprint Backlog'!$F10, TRUE, 0)</f>
        <v>0</v>
      </c>
      <c r="D10" s="4" cm="1">
        <f t="array" ref="D10">_xlfn.IFS('ProductSprint Backlog'!$F10="", "", AND('ProductSprint Backlog'!$J10&gt;D$2,'ProductSprint Backlog'!$I10&lt;=D$2), 'ProductSprint Backlog'!$F10 / MAX(1, 'ProductSprint Backlog'!$J10-'ProductSprint Backlog'!$I10), AND('ProductSprint Backlog'!$J10=D$2,'ProductSprint Backlog'!$I10=D$2), 'ProductSprint Backlog'!$F10, TRUE, 0)</f>
        <v>0</v>
      </c>
      <c r="E10" s="4" cm="1">
        <f t="array" ref="E10">_xlfn.IFS('ProductSprint Backlog'!$F10="", "", AND('ProductSprint Backlog'!$J10&gt;E$2,'ProductSprint Backlog'!$I10&lt;=E$2), 'ProductSprint Backlog'!$F10 / MAX(1, 'ProductSprint Backlog'!$J10-'ProductSprint Backlog'!$I10), AND('ProductSprint Backlog'!$J10=E$2,'ProductSprint Backlog'!$I10=E$2), 'ProductSprint Backlog'!$F10, TRUE, 0)</f>
        <v>0</v>
      </c>
      <c r="F10" s="4" cm="1">
        <f t="array" ref="F10">_xlfn.IFS('ProductSprint Backlog'!$F10="", "", AND('ProductSprint Backlog'!$J10&gt;F$2,'ProductSprint Backlog'!$I10&lt;=F$2), 'ProductSprint Backlog'!$F10 / MAX(1, 'ProductSprint Backlog'!$J10-'ProductSprint Backlog'!$I10), AND('ProductSprint Backlog'!$J10=F$2,'ProductSprint Backlog'!$I10=F$2), 'ProductSprint Backlog'!$F10, TRUE, 0)</f>
        <v>0</v>
      </c>
      <c r="G10" s="4" cm="1">
        <f t="array" ref="G10">_xlfn.IFS('ProductSprint Backlog'!$F10="", "", AND('ProductSprint Backlog'!$J10&gt;G$2,'ProductSprint Backlog'!$I10&lt;=G$2), 'ProductSprint Backlog'!$F10 / MAX(1, 'ProductSprint Backlog'!$J10-'ProductSprint Backlog'!$I10), AND('ProductSprint Backlog'!$J10=G$2,'ProductSprint Backlog'!$I10=G$2), 'ProductSprint Backlog'!$F10, TRUE, 0)</f>
        <v>0</v>
      </c>
      <c r="H10" s="4" cm="1">
        <f t="array" ref="H10">_xlfn.IFS('ProductSprint Backlog'!$F10="", "", AND('ProductSprint Backlog'!$J10&gt;H$2,'ProductSprint Backlog'!$I10&lt;=H$2), 'ProductSprint Backlog'!$F10 / MAX(1, 'ProductSprint Backlog'!$J10-'ProductSprint Backlog'!$I10), AND('ProductSprint Backlog'!$J10=H$2,'ProductSprint Backlog'!$I10=H$2), 'ProductSprint Backlog'!$F10, TRUE, 0)</f>
        <v>0</v>
      </c>
      <c r="I10" s="4" cm="1">
        <f t="array" ref="I10">_xlfn.IFS('ProductSprint Backlog'!$F10="", "", AND('ProductSprint Backlog'!$J10&gt;I$2,'ProductSprint Backlog'!$I10&lt;=I$2), 'ProductSprint Backlog'!$F10 / MAX(1, 'ProductSprint Backlog'!$J10-'ProductSprint Backlog'!$I10), AND('ProductSprint Backlog'!$J10=I$2,'ProductSprint Backlog'!$I10=I$2), 'ProductSprint Backlog'!$F10, TRUE, 0)</f>
        <v>0</v>
      </c>
      <c r="J10" s="4" cm="1">
        <f t="array" ref="J10">_xlfn.IFS('ProductSprint Backlog'!$F10="", "", AND('ProductSprint Backlog'!$J10&gt;J$2,'ProductSprint Backlog'!$I10&lt;=J$2), 'ProductSprint Backlog'!$F10 / MAX(1, 'ProductSprint Backlog'!$J10-'ProductSprint Backlog'!$I10), AND('ProductSprint Backlog'!$J10=J$2,'ProductSprint Backlog'!$I10=J$2), 'ProductSprint Backlog'!$F10, TRUE, 0)</f>
        <v>0</v>
      </c>
    </row>
    <row r="11" spans="2:19" x14ac:dyDescent="0.2">
      <c r="B11" s="4" cm="1">
        <f t="array" ref="B11">_xlfn.IFS('ProductSprint Backlog'!$F11="", "", AND('ProductSprint Backlog'!$J11&gt;B$2,'ProductSprint Backlog'!$I11&lt;=B$2), 'ProductSprint Backlog'!$F11 / MAX(1, 'ProductSprint Backlog'!$J11-'ProductSprint Backlog'!$I11), AND('ProductSprint Backlog'!$J11=B$2,'ProductSprint Backlog'!$I11=B$2), 'ProductSprint Backlog'!$F11, TRUE, 0)</f>
        <v>0</v>
      </c>
      <c r="C11" s="4" cm="1">
        <f t="array" ref="C11">_xlfn.IFS('ProductSprint Backlog'!$F11="", "", AND('ProductSprint Backlog'!$J11&gt;C$2,'ProductSprint Backlog'!$I11&lt;=C$2), 'ProductSprint Backlog'!$F11 / MAX(1, 'ProductSprint Backlog'!$J11-'ProductSprint Backlog'!$I11), AND('ProductSprint Backlog'!$J11=C$2,'ProductSprint Backlog'!$I11=C$2), 'ProductSprint Backlog'!$F11, TRUE, 0)</f>
        <v>0</v>
      </c>
      <c r="D11" s="4" cm="1">
        <f t="array" ref="D11">_xlfn.IFS('ProductSprint Backlog'!$F11="", "", AND('ProductSprint Backlog'!$J11&gt;D$2,'ProductSprint Backlog'!$I11&lt;=D$2), 'ProductSprint Backlog'!$F11 / MAX(1, 'ProductSprint Backlog'!$J11-'ProductSprint Backlog'!$I11), AND('ProductSprint Backlog'!$J11=D$2,'ProductSprint Backlog'!$I11=D$2), 'ProductSprint Backlog'!$F11, TRUE, 0)</f>
        <v>0</v>
      </c>
      <c r="E11" s="4" cm="1">
        <f t="array" ref="E11">_xlfn.IFS('ProductSprint Backlog'!$F11="", "", AND('ProductSprint Backlog'!$J11&gt;E$2,'ProductSprint Backlog'!$I11&lt;=E$2), 'ProductSprint Backlog'!$F11 / MAX(1, 'ProductSprint Backlog'!$J11-'ProductSprint Backlog'!$I11), AND('ProductSprint Backlog'!$J11=E$2,'ProductSprint Backlog'!$I11=E$2), 'ProductSprint Backlog'!$F11, TRUE, 0)</f>
        <v>0</v>
      </c>
      <c r="F11" s="4" cm="1">
        <f t="array" ref="F11">_xlfn.IFS('ProductSprint Backlog'!$F11="", "", AND('ProductSprint Backlog'!$J11&gt;F$2,'ProductSprint Backlog'!$I11&lt;=F$2), 'ProductSprint Backlog'!$F11 / MAX(1, 'ProductSprint Backlog'!$J11-'ProductSprint Backlog'!$I11), AND('ProductSprint Backlog'!$J11=F$2,'ProductSprint Backlog'!$I11=F$2), 'ProductSprint Backlog'!$F11, TRUE, 0)</f>
        <v>0</v>
      </c>
      <c r="G11" s="4" cm="1">
        <f t="array" ref="G11">_xlfn.IFS('ProductSprint Backlog'!$F11="", "", AND('ProductSprint Backlog'!$J11&gt;G$2,'ProductSprint Backlog'!$I11&lt;=G$2), 'ProductSprint Backlog'!$F11 / MAX(1, 'ProductSprint Backlog'!$J11-'ProductSprint Backlog'!$I11), AND('ProductSprint Backlog'!$J11=G$2,'ProductSprint Backlog'!$I11=G$2), 'ProductSprint Backlog'!$F11, TRUE, 0)</f>
        <v>0</v>
      </c>
      <c r="H11" s="4" cm="1">
        <f t="array" ref="H11">_xlfn.IFS('ProductSprint Backlog'!$F11="", "", AND('ProductSprint Backlog'!$J11&gt;H$2,'ProductSprint Backlog'!$I11&lt;=H$2), 'ProductSprint Backlog'!$F11 / MAX(1, 'ProductSprint Backlog'!$J11-'ProductSprint Backlog'!$I11), AND('ProductSprint Backlog'!$J11=H$2,'ProductSprint Backlog'!$I11=H$2), 'ProductSprint Backlog'!$F11, TRUE, 0)</f>
        <v>0</v>
      </c>
      <c r="I11" s="4" cm="1">
        <f t="array" ref="I11">_xlfn.IFS('ProductSprint Backlog'!$F11="", "", AND('ProductSprint Backlog'!$J11&gt;I$2,'ProductSprint Backlog'!$I11&lt;=I$2), 'ProductSprint Backlog'!$F11 / MAX(1, 'ProductSprint Backlog'!$J11-'ProductSprint Backlog'!$I11), AND('ProductSprint Backlog'!$J11=I$2,'ProductSprint Backlog'!$I11=I$2), 'ProductSprint Backlog'!$F11, TRUE, 0)</f>
        <v>0</v>
      </c>
      <c r="J11" s="4" cm="1">
        <f t="array" ref="J11">_xlfn.IFS('ProductSprint Backlog'!$F11="", "", AND('ProductSprint Backlog'!$J11&gt;J$2,'ProductSprint Backlog'!$I11&lt;=J$2), 'ProductSprint Backlog'!$F11 / MAX(1, 'ProductSprint Backlog'!$J11-'ProductSprint Backlog'!$I11), AND('ProductSprint Backlog'!$J11=J$2,'ProductSprint Backlog'!$I11=J$2), 'ProductSprint Backlog'!$F11, TRUE, 0)</f>
        <v>0</v>
      </c>
    </row>
    <row r="12" spans="2:19" x14ac:dyDescent="0.2">
      <c r="B12" s="4" cm="1">
        <f t="array" ref="B12">_xlfn.IFS('ProductSprint Backlog'!$F12="", "", AND('ProductSprint Backlog'!$J12&gt;B$2,'ProductSprint Backlog'!$I12&lt;=B$2), 'ProductSprint Backlog'!$F12 / MAX(1, 'ProductSprint Backlog'!$J12-'ProductSprint Backlog'!$I12), AND('ProductSprint Backlog'!$J12=B$2,'ProductSprint Backlog'!$I12=B$2), 'ProductSprint Backlog'!$F12, TRUE, 0)</f>
        <v>0</v>
      </c>
      <c r="C12" s="4" cm="1">
        <f t="array" ref="C12">_xlfn.IFS('ProductSprint Backlog'!$F12="", "", AND('ProductSprint Backlog'!$J12&gt;C$2,'ProductSprint Backlog'!$I12&lt;=C$2), 'ProductSprint Backlog'!$F12 / MAX(1, 'ProductSprint Backlog'!$J12-'ProductSprint Backlog'!$I12), AND('ProductSprint Backlog'!$J12=C$2,'ProductSprint Backlog'!$I12=C$2), 'ProductSprint Backlog'!$F12, TRUE, 0)</f>
        <v>0</v>
      </c>
      <c r="D12" s="4" cm="1">
        <f t="array" ref="D12">_xlfn.IFS('ProductSprint Backlog'!$F12="", "", AND('ProductSprint Backlog'!$J12&gt;D$2,'ProductSprint Backlog'!$I12&lt;=D$2), 'ProductSprint Backlog'!$F12 / MAX(1, 'ProductSprint Backlog'!$J12-'ProductSprint Backlog'!$I12), AND('ProductSprint Backlog'!$J12=D$2,'ProductSprint Backlog'!$I12=D$2), 'ProductSprint Backlog'!$F12, TRUE, 0)</f>
        <v>0</v>
      </c>
      <c r="E12" s="4" cm="1">
        <f t="array" ref="E12">_xlfn.IFS('ProductSprint Backlog'!$F12="", "", AND('ProductSprint Backlog'!$J12&gt;E$2,'ProductSprint Backlog'!$I12&lt;=E$2), 'ProductSprint Backlog'!$F12 / MAX(1, 'ProductSprint Backlog'!$J12-'ProductSprint Backlog'!$I12), AND('ProductSprint Backlog'!$J12=E$2,'ProductSprint Backlog'!$I12=E$2), 'ProductSprint Backlog'!$F12, TRUE, 0)</f>
        <v>0</v>
      </c>
      <c r="F12" s="4" cm="1">
        <f t="array" ref="F12">_xlfn.IFS('ProductSprint Backlog'!$F12="", "", AND('ProductSprint Backlog'!$J12&gt;F$2,'ProductSprint Backlog'!$I12&lt;=F$2), 'ProductSprint Backlog'!$F12 / MAX(1, 'ProductSprint Backlog'!$J12-'ProductSprint Backlog'!$I12), AND('ProductSprint Backlog'!$J12=F$2,'ProductSprint Backlog'!$I12=F$2), 'ProductSprint Backlog'!$F12, TRUE, 0)</f>
        <v>0</v>
      </c>
      <c r="G12" s="4" cm="1">
        <f t="array" ref="G12">_xlfn.IFS('ProductSprint Backlog'!$F12="", "", AND('ProductSprint Backlog'!$J12&gt;G$2,'ProductSprint Backlog'!$I12&lt;=G$2), 'ProductSprint Backlog'!$F12 / MAX(1, 'ProductSprint Backlog'!$J12-'ProductSprint Backlog'!$I12), AND('ProductSprint Backlog'!$J12=G$2,'ProductSprint Backlog'!$I12=G$2), 'ProductSprint Backlog'!$F12, TRUE, 0)</f>
        <v>0</v>
      </c>
      <c r="H12" s="4" cm="1">
        <f t="array" ref="H12">_xlfn.IFS('ProductSprint Backlog'!$F12="", "", AND('ProductSprint Backlog'!$J12&gt;H$2,'ProductSprint Backlog'!$I12&lt;=H$2), 'ProductSprint Backlog'!$F12 / MAX(1, 'ProductSprint Backlog'!$J12-'ProductSprint Backlog'!$I12), AND('ProductSprint Backlog'!$J12=H$2,'ProductSprint Backlog'!$I12=H$2), 'ProductSprint Backlog'!$F12, TRUE, 0)</f>
        <v>0</v>
      </c>
      <c r="I12" s="4" cm="1">
        <f t="array" ref="I12">_xlfn.IFS('ProductSprint Backlog'!$F12="", "", AND('ProductSprint Backlog'!$J12&gt;I$2,'ProductSprint Backlog'!$I12&lt;=I$2), 'ProductSprint Backlog'!$F12 / MAX(1, 'ProductSprint Backlog'!$J12-'ProductSprint Backlog'!$I12), AND('ProductSprint Backlog'!$J12=I$2,'ProductSprint Backlog'!$I12=I$2), 'ProductSprint Backlog'!$F12, TRUE, 0)</f>
        <v>0</v>
      </c>
      <c r="J12" s="4" cm="1">
        <f t="array" ref="J12">_xlfn.IFS('ProductSprint Backlog'!$F12="", "", AND('ProductSprint Backlog'!$J12&gt;J$2,'ProductSprint Backlog'!$I12&lt;=J$2), 'ProductSprint Backlog'!$F12 / MAX(1, 'ProductSprint Backlog'!$J12-'ProductSprint Backlog'!$I12), AND('ProductSprint Backlog'!$J12=J$2,'ProductSprint Backlog'!$I12=J$2), 'ProductSprint Backlog'!$F12, TRUE, 0)</f>
        <v>0</v>
      </c>
    </row>
    <row r="13" spans="2:19" x14ac:dyDescent="0.2">
      <c r="B13" s="4" t="str" cm="1">
        <f t="array" ref="B13">_xlfn.IFS('ProductSprint Backlog'!$F13="", "", AND('ProductSprint Backlog'!$J13&gt;B$2,'ProductSprint Backlog'!$I13&lt;=B$2), 'ProductSprint Backlog'!$F13 / MAX(1, 'ProductSprint Backlog'!$J13-'ProductSprint Backlog'!$I13), AND('ProductSprint Backlog'!$J13=B$2,'ProductSprint Backlog'!$I13=B$2), 'ProductSprint Backlog'!$F13, TRUE, 0)</f>
        <v/>
      </c>
      <c r="C13" s="4" t="str" cm="1">
        <f t="array" ref="C13">_xlfn.IFS('ProductSprint Backlog'!$F13="", "", AND('ProductSprint Backlog'!$J13&gt;C$2,'ProductSprint Backlog'!$I13&lt;=C$2), 'ProductSprint Backlog'!$F13 / MAX(1, 'ProductSprint Backlog'!$J13-'ProductSprint Backlog'!$I13), AND('ProductSprint Backlog'!$J13=C$2,'ProductSprint Backlog'!$I13=C$2), 'ProductSprint Backlog'!$F13, TRUE, 0)</f>
        <v/>
      </c>
      <c r="D13" s="4" t="str" cm="1">
        <f t="array" ref="D13">_xlfn.IFS('ProductSprint Backlog'!$F13="", "", AND('ProductSprint Backlog'!$J13&gt;D$2,'ProductSprint Backlog'!$I13&lt;=D$2), 'ProductSprint Backlog'!$F13 / MAX(1, 'ProductSprint Backlog'!$J13-'ProductSprint Backlog'!$I13), AND('ProductSprint Backlog'!$J13=D$2,'ProductSprint Backlog'!$I13=D$2), 'ProductSprint Backlog'!$F13, TRUE, 0)</f>
        <v/>
      </c>
      <c r="E13" s="4" t="str" cm="1">
        <f t="array" ref="E13">_xlfn.IFS('ProductSprint Backlog'!$F13="", "", AND('ProductSprint Backlog'!$J13&gt;E$2,'ProductSprint Backlog'!$I13&lt;=E$2), 'ProductSprint Backlog'!$F13 / MAX(1, 'ProductSprint Backlog'!$J13-'ProductSprint Backlog'!$I13), AND('ProductSprint Backlog'!$J13=E$2,'ProductSprint Backlog'!$I13=E$2), 'ProductSprint Backlog'!$F13, TRUE, 0)</f>
        <v/>
      </c>
      <c r="F13" s="4" t="str" cm="1">
        <f t="array" ref="F13">_xlfn.IFS('ProductSprint Backlog'!$F13="", "", AND('ProductSprint Backlog'!$J13&gt;F$2,'ProductSprint Backlog'!$I13&lt;=F$2), 'ProductSprint Backlog'!$F13 / MAX(1, 'ProductSprint Backlog'!$J13-'ProductSprint Backlog'!$I13), AND('ProductSprint Backlog'!$J13=F$2,'ProductSprint Backlog'!$I13=F$2), 'ProductSprint Backlog'!$F13, TRUE, 0)</f>
        <v/>
      </c>
      <c r="G13" s="4" t="str" cm="1">
        <f t="array" ref="G13">_xlfn.IFS('ProductSprint Backlog'!$F13="", "", AND('ProductSprint Backlog'!$J13&gt;G$2,'ProductSprint Backlog'!$I13&lt;=G$2), 'ProductSprint Backlog'!$F13 / MAX(1, 'ProductSprint Backlog'!$J13-'ProductSprint Backlog'!$I13), AND('ProductSprint Backlog'!$J13=G$2,'ProductSprint Backlog'!$I13=G$2), 'ProductSprint Backlog'!$F13, TRUE, 0)</f>
        <v/>
      </c>
      <c r="H13" s="4" t="str" cm="1">
        <f t="array" ref="H13">_xlfn.IFS('ProductSprint Backlog'!$F13="", "", AND('ProductSprint Backlog'!$J13&gt;H$2,'ProductSprint Backlog'!$I13&lt;=H$2), 'ProductSprint Backlog'!$F13 / MAX(1, 'ProductSprint Backlog'!$J13-'ProductSprint Backlog'!$I13), AND('ProductSprint Backlog'!$J13=H$2,'ProductSprint Backlog'!$I13=H$2), 'ProductSprint Backlog'!$F13, TRUE, 0)</f>
        <v/>
      </c>
      <c r="I13" s="4" t="str" cm="1">
        <f t="array" ref="I13">_xlfn.IFS('ProductSprint Backlog'!$F13="", "", AND('ProductSprint Backlog'!$J13&gt;I$2,'ProductSprint Backlog'!$I13&lt;=I$2), 'ProductSprint Backlog'!$F13 / MAX(1, 'ProductSprint Backlog'!$J13-'ProductSprint Backlog'!$I13), AND('ProductSprint Backlog'!$J13=I$2,'ProductSprint Backlog'!$I13=I$2), 'ProductSprint Backlog'!$F13, TRUE, 0)</f>
        <v/>
      </c>
      <c r="J13" s="4" t="str" cm="1">
        <f t="array" ref="J13">_xlfn.IFS('ProductSprint Backlog'!$F13="", "", AND('ProductSprint Backlog'!$J13&gt;J$2,'ProductSprint Backlog'!$I13&lt;=J$2), 'ProductSprint Backlog'!$F13 / MAX(1, 'ProductSprint Backlog'!$J13-'ProductSprint Backlog'!$I13), AND('ProductSprint Backlog'!$J13=J$2,'ProductSprint Backlog'!$I13=J$2), 'ProductSprint Backlog'!$F13, TRUE, 0)</f>
        <v/>
      </c>
    </row>
    <row r="14" spans="2:19" x14ac:dyDescent="0.2">
      <c r="B14" s="4" cm="1">
        <f t="array" ref="B14">_xlfn.IFS('ProductSprint Backlog'!$F14="", "", AND('ProductSprint Backlog'!$J14&gt;B$2,'ProductSprint Backlog'!$I14&lt;=B$2), 'ProductSprint Backlog'!$F14 / MAX(1, 'ProductSprint Backlog'!$J14-'ProductSprint Backlog'!$I14), AND('ProductSprint Backlog'!$J14=B$2,'ProductSprint Backlog'!$I14=B$2), 'ProductSprint Backlog'!$F14, TRUE, 0)</f>
        <v>0</v>
      </c>
      <c r="C14" s="4" cm="1">
        <f t="array" ref="C14">_xlfn.IFS('ProductSprint Backlog'!$F14="", "", AND('ProductSprint Backlog'!$J14&gt;C$2,'ProductSprint Backlog'!$I14&lt;=C$2), 'ProductSprint Backlog'!$F14 / MAX(1, 'ProductSprint Backlog'!$J14-'ProductSprint Backlog'!$I14), AND('ProductSprint Backlog'!$J14=C$2,'ProductSprint Backlog'!$I14=C$2), 'ProductSprint Backlog'!$F14, TRUE, 0)</f>
        <v>0</v>
      </c>
      <c r="D14" s="4" cm="1">
        <f t="array" ref="D14">_xlfn.IFS('ProductSprint Backlog'!$F14="", "", AND('ProductSprint Backlog'!$J14&gt;D$2,'ProductSprint Backlog'!$I14&lt;=D$2), 'ProductSprint Backlog'!$F14 / MAX(1, 'ProductSprint Backlog'!$J14-'ProductSprint Backlog'!$I14), AND('ProductSprint Backlog'!$J14=D$2,'ProductSprint Backlog'!$I14=D$2), 'ProductSprint Backlog'!$F14, TRUE, 0)</f>
        <v>0</v>
      </c>
      <c r="E14" s="4" cm="1">
        <f t="array" ref="E14">_xlfn.IFS('ProductSprint Backlog'!$F14="", "", AND('ProductSprint Backlog'!$J14&gt;E$2,'ProductSprint Backlog'!$I14&lt;=E$2), 'ProductSprint Backlog'!$F14 / MAX(1, 'ProductSprint Backlog'!$J14-'ProductSprint Backlog'!$I14), AND('ProductSprint Backlog'!$J14=E$2,'ProductSprint Backlog'!$I14=E$2), 'ProductSprint Backlog'!$F14, TRUE, 0)</f>
        <v>0</v>
      </c>
      <c r="F14" s="4" cm="1">
        <f t="array" ref="F14">_xlfn.IFS('ProductSprint Backlog'!$F14="", "", AND('ProductSprint Backlog'!$J14&gt;F$2,'ProductSprint Backlog'!$I14&lt;=F$2), 'ProductSprint Backlog'!$F14 / MAX(1, 'ProductSprint Backlog'!$J14-'ProductSprint Backlog'!$I14), AND('ProductSprint Backlog'!$J14=F$2,'ProductSprint Backlog'!$I14=F$2), 'ProductSprint Backlog'!$F14, TRUE, 0)</f>
        <v>0</v>
      </c>
      <c r="G14" s="4" cm="1">
        <f t="array" ref="G14">_xlfn.IFS('ProductSprint Backlog'!$F14="", "", AND('ProductSprint Backlog'!$J14&gt;G$2,'ProductSprint Backlog'!$I14&lt;=G$2), 'ProductSprint Backlog'!$F14 / MAX(1, 'ProductSprint Backlog'!$J14-'ProductSprint Backlog'!$I14), AND('ProductSprint Backlog'!$J14=G$2,'ProductSprint Backlog'!$I14=G$2), 'ProductSprint Backlog'!$F14, TRUE, 0)</f>
        <v>0</v>
      </c>
      <c r="H14" s="4" cm="1">
        <f t="array" ref="H14">_xlfn.IFS('ProductSprint Backlog'!$F14="", "", AND('ProductSprint Backlog'!$J14&gt;H$2,'ProductSprint Backlog'!$I14&lt;=H$2), 'ProductSprint Backlog'!$F14 / MAX(1, 'ProductSprint Backlog'!$J14-'ProductSprint Backlog'!$I14), AND('ProductSprint Backlog'!$J14=H$2,'ProductSprint Backlog'!$I14=H$2), 'ProductSprint Backlog'!$F14, TRUE, 0)</f>
        <v>0</v>
      </c>
      <c r="I14" s="4" cm="1">
        <f t="array" ref="I14">_xlfn.IFS('ProductSprint Backlog'!$F14="", "", AND('ProductSprint Backlog'!$J14&gt;I$2,'ProductSprint Backlog'!$I14&lt;=I$2), 'ProductSprint Backlog'!$F14 / MAX(1, 'ProductSprint Backlog'!$J14-'ProductSprint Backlog'!$I14), AND('ProductSprint Backlog'!$J14=I$2,'ProductSprint Backlog'!$I14=I$2), 'ProductSprint Backlog'!$F14, TRUE, 0)</f>
        <v>0</v>
      </c>
      <c r="J14" s="4" cm="1">
        <f t="array" ref="J14">_xlfn.IFS('ProductSprint Backlog'!$F14="", "", AND('ProductSprint Backlog'!$J14&gt;J$2,'ProductSprint Backlog'!$I14&lt;=J$2), 'ProductSprint Backlog'!$F14 / MAX(1, 'ProductSprint Backlog'!$J14-'ProductSprint Backlog'!$I14), AND('ProductSprint Backlog'!$J14=J$2,'ProductSprint Backlog'!$I14=J$2), 'ProductSprint Backlog'!$F14, TRUE, 0)</f>
        <v>0</v>
      </c>
    </row>
    <row r="15" spans="2:19" x14ac:dyDescent="0.2">
      <c r="B15" s="4" cm="1">
        <f t="array" ref="B15">_xlfn.IFS('ProductSprint Backlog'!$F15="", "", AND('ProductSprint Backlog'!$J15&gt;B$2,'ProductSprint Backlog'!$I15&lt;=B$2), 'ProductSprint Backlog'!$F15 / MAX(1, 'ProductSprint Backlog'!$J15-'ProductSprint Backlog'!$I15), AND('ProductSprint Backlog'!$J15=B$2,'ProductSprint Backlog'!$I15=B$2), 'ProductSprint Backlog'!$F15, TRUE, 0)</f>
        <v>0</v>
      </c>
      <c r="C15" s="4" cm="1">
        <f t="array" ref="C15">_xlfn.IFS('ProductSprint Backlog'!$F15="", "", AND('ProductSprint Backlog'!$J15&gt;C$2,'ProductSprint Backlog'!$I15&lt;=C$2), 'ProductSprint Backlog'!$F15 / MAX(1, 'ProductSprint Backlog'!$J15-'ProductSprint Backlog'!$I15), AND('ProductSprint Backlog'!$J15=C$2,'ProductSprint Backlog'!$I15=C$2), 'ProductSprint Backlog'!$F15, TRUE, 0)</f>
        <v>0</v>
      </c>
      <c r="D15" s="4" cm="1">
        <f t="array" ref="D15">_xlfn.IFS('ProductSprint Backlog'!$F15="", "", AND('ProductSprint Backlog'!$J15&gt;D$2,'ProductSprint Backlog'!$I15&lt;=D$2), 'ProductSprint Backlog'!$F15 / MAX(1, 'ProductSprint Backlog'!$J15-'ProductSprint Backlog'!$I15), AND('ProductSprint Backlog'!$J15=D$2,'ProductSprint Backlog'!$I15=D$2), 'ProductSprint Backlog'!$F15, TRUE, 0)</f>
        <v>0</v>
      </c>
      <c r="E15" s="4" cm="1">
        <f t="array" ref="E15">_xlfn.IFS('ProductSprint Backlog'!$F15="", "", AND('ProductSprint Backlog'!$J15&gt;E$2,'ProductSprint Backlog'!$I15&lt;=E$2), 'ProductSprint Backlog'!$F15 / MAX(1, 'ProductSprint Backlog'!$J15-'ProductSprint Backlog'!$I15), AND('ProductSprint Backlog'!$J15=E$2,'ProductSprint Backlog'!$I15=E$2), 'ProductSprint Backlog'!$F15, TRUE, 0)</f>
        <v>0</v>
      </c>
      <c r="F15" s="4" cm="1">
        <f t="array" ref="F15">_xlfn.IFS('ProductSprint Backlog'!$F15="", "", AND('ProductSprint Backlog'!$J15&gt;F$2,'ProductSprint Backlog'!$I15&lt;=F$2), 'ProductSprint Backlog'!$F15 / MAX(1, 'ProductSprint Backlog'!$J15-'ProductSprint Backlog'!$I15), AND('ProductSprint Backlog'!$J15=F$2,'ProductSprint Backlog'!$I15=F$2), 'ProductSprint Backlog'!$F15, TRUE, 0)</f>
        <v>0</v>
      </c>
      <c r="G15" s="4" cm="1">
        <f t="array" ref="G15">_xlfn.IFS('ProductSprint Backlog'!$F15="", "", AND('ProductSprint Backlog'!$J15&gt;G$2,'ProductSprint Backlog'!$I15&lt;=G$2), 'ProductSprint Backlog'!$F15 / MAX(1, 'ProductSprint Backlog'!$J15-'ProductSprint Backlog'!$I15), AND('ProductSprint Backlog'!$J15=G$2,'ProductSprint Backlog'!$I15=G$2), 'ProductSprint Backlog'!$F15, TRUE, 0)</f>
        <v>0</v>
      </c>
      <c r="H15" s="4" cm="1">
        <f t="array" ref="H15">_xlfn.IFS('ProductSprint Backlog'!$F15="", "", AND('ProductSprint Backlog'!$J15&gt;H$2,'ProductSprint Backlog'!$I15&lt;=H$2), 'ProductSprint Backlog'!$F15 / MAX(1, 'ProductSprint Backlog'!$J15-'ProductSprint Backlog'!$I15), AND('ProductSprint Backlog'!$J15=H$2,'ProductSprint Backlog'!$I15=H$2), 'ProductSprint Backlog'!$F15, TRUE, 0)</f>
        <v>0</v>
      </c>
      <c r="I15" s="4" cm="1">
        <f t="array" ref="I15">_xlfn.IFS('ProductSprint Backlog'!$F15="", "", AND('ProductSprint Backlog'!$J15&gt;I$2,'ProductSprint Backlog'!$I15&lt;=I$2), 'ProductSprint Backlog'!$F15 / MAX(1, 'ProductSprint Backlog'!$J15-'ProductSprint Backlog'!$I15), AND('ProductSprint Backlog'!$J15=I$2,'ProductSprint Backlog'!$I15=I$2), 'ProductSprint Backlog'!$F15, TRUE, 0)</f>
        <v>0</v>
      </c>
      <c r="J15" s="4" cm="1">
        <f t="array" ref="J15">_xlfn.IFS('ProductSprint Backlog'!$F15="", "", AND('ProductSprint Backlog'!$J15&gt;J$2,'ProductSprint Backlog'!$I15&lt;=J$2), 'ProductSprint Backlog'!$F15 / MAX(1, 'ProductSprint Backlog'!$J15-'ProductSprint Backlog'!$I15), AND('ProductSprint Backlog'!$J15=J$2,'ProductSprint Backlog'!$I15=J$2), 'ProductSprint Backlog'!$F15, TRUE, 0)</f>
        <v>0</v>
      </c>
    </row>
    <row r="16" spans="2:19" x14ac:dyDescent="0.2">
      <c r="B16" s="4" cm="1">
        <f t="array" ref="B16">_xlfn.IFS('ProductSprint Backlog'!$F16="", "", AND('ProductSprint Backlog'!$J16&gt;B$2,'ProductSprint Backlog'!$I16&lt;=B$2), 'ProductSprint Backlog'!$F16 / MAX(1, 'ProductSprint Backlog'!$J16-'ProductSprint Backlog'!$I16), AND('ProductSprint Backlog'!$J16=B$2,'ProductSprint Backlog'!$I16=B$2), 'ProductSprint Backlog'!$F16, TRUE, 0)</f>
        <v>0</v>
      </c>
      <c r="C16" s="4" cm="1">
        <f t="array" ref="C16">_xlfn.IFS('ProductSprint Backlog'!$F16="", "", AND('ProductSprint Backlog'!$J16&gt;C$2,'ProductSprint Backlog'!$I16&lt;=C$2), 'ProductSprint Backlog'!$F16 / MAX(1, 'ProductSprint Backlog'!$J16-'ProductSprint Backlog'!$I16), AND('ProductSprint Backlog'!$J16=C$2,'ProductSprint Backlog'!$I16=C$2), 'ProductSprint Backlog'!$F16, TRUE, 0)</f>
        <v>0</v>
      </c>
      <c r="D16" s="4" cm="1">
        <f t="array" ref="D16">_xlfn.IFS('ProductSprint Backlog'!$F16="", "", AND('ProductSprint Backlog'!$J16&gt;D$2,'ProductSprint Backlog'!$I16&lt;=D$2), 'ProductSprint Backlog'!$F16 / MAX(1, 'ProductSprint Backlog'!$J16-'ProductSprint Backlog'!$I16), AND('ProductSprint Backlog'!$J16=D$2,'ProductSprint Backlog'!$I16=D$2), 'ProductSprint Backlog'!$F16, TRUE, 0)</f>
        <v>0</v>
      </c>
      <c r="E16" s="4" cm="1">
        <f t="array" ref="E16">_xlfn.IFS('ProductSprint Backlog'!$F16="", "", AND('ProductSprint Backlog'!$J16&gt;E$2,'ProductSprint Backlog'!$I16&lt;=E$2), 'ProductSprint Backlog'!$F16 / MAX(1, 'ProductSprint Backlog'!$J16-'ProductSprint Backlog'!$I16), AND('ProductSprint Backlog'!$J16=E$2,'ProductSprint Backlog'!$I16=E$2), 'ProductSprint Backlog'!$F16, TRUE, 0)</f>
        <v>0</v>
      </c>
      <c r="F16" s="4" cm="1">
        <f t="array" ref="F16">_xlfn.IFS('ProductSprint Backlog'!$F16="", "", AND('ProductSprint Backlog'!$J16&gt;F$2,'ProductSprint Backlog'!$I16&lt;=F$2), 'ProductSprint Backlog'!$F16 / MAX(1, 'ProductSprint Backlog'!$J16-'ProductSprint Backlog'!$I16), AND('ProductSprint Backlog'!$J16=F$2,'ProductSprint Backlog'!$I16=F$2), 'ProductSprint Backlog'!$F16, TRUE, 0)</f>
        <v>0</v>
      </c>
      <c r="G16" s="4" cm="1">
        <f t="array" ref="G16">_xlfn.IFS('ProductSprint Backlog'!$F16="", "", AND('ProductSprint Backlog'!$J16&gt;G$2,'ProductSprint Backlog'!$I16&lt;=G$2), 'ProductSprint Backlog'!$F16 / MAX(1, 'ProductSprint Backlog'!$J16-'ProductSprint Backlog'!$I16), AND('ProductSprint Backlog'!$J16=G$2,'ProductSprint Backlog'!$I16=G$2), 'ProductSprint Backlog'!$F16, TRUE, 0)</f>
        <v>0</v>
      </c>
      <c r="H16" s="4" cm="1">
        <f t="array" ref="H16">_xlfn.IFS('ProductSprint Backlog'!$F16="", "", AND('ProductSprint Backlog'!$J16&gt;H$2,'ProductSprint Backlog'!$I16&lt;=H$2), 'ProductSprint Backlog'!$F16 / MAX(1, 'ProductSprint Backlog'!$J16-'ProductSprint Backlog'!$I16), AND('ProductSprint Backlog'!$J16=H$2,'ProductSprint Backlog'!$I16=H$2), 'ProductSprint Backlog'!$F16, TRUE, 0)</f>
        <v>0</v>
      </c>
      <c r="I16" s="4" cm="1">
        <f t="array" ref="I16">_xlfn.IFS('ProductSprint Backlog'!$F16="", "", AND('ProductSprint Backlog'!$J16&gt;I$2,'ProductSprint Backlog'!$I16&lt;=I$2), 'ProductSprint Backlog'!$F16 / MAX(1, 'ProductSprint Backlog'!$J16-'ProductSprint Backlog'!$I16), AND('ProductSprint Backlog'!$J16=I$2,'ProductSprint Backlog'!$I16=I$2), 'ProductSprint Backlog'!$F16, TRUE, 0)</f>
        <v>0</v>
      </c>
      <c r="J16" s="4" cm="1">
        <f t="array" ref="J16">_xlfn.IFS('ProductSprint Backlog'!$F16="", "", AND('ProductSprint Backlog'!$J16&gt;J$2,'ProductSprint Backlog'!$I16&lt;=J$2), 'ProductSprint Backlog'!$F16 / MAX(1, 'ProductSprint Backlog'!$J16-'ProductSprint Backlog'!$I16), AND('ProductSprint Backlog'!$J16=J$2,'ProductSprint Backlog'!$I16=J$2), 'ProductSprint Backlog'!$F16, TRUE, 0)</f>
        <v>0</v>
      </c>
    </row>
    <row r="17" spans="2:10" x14ac:dyDescent="0.2">
      <c r="B17" s="4" cm="1">
        <f t="array" ref="B17">_xlfn.IFS('ProductSprint Backlog'!$F17="", "", AND('ProductSprint Backlog'!$J17&gt;B$2,'ProductSprint Backlog'!$I17&lt;=B$2), 'ProductSprint Backlog'!$F17 / MAX(1, 'ProductSprint Backlog'!$J17-'ProductSprint Backlog'!$I17), AND('ProductSprint Backlog'!$J17=B$2,'ProductSprint Backlog'!$I17=B$2), 'ProductSprint Backlog'!$F17, TRUE, 0)</f>
        <v>0</v>
      </c>
      <c r="C17" s="4" cm="1">
        <f t="array" ref="C17">_xlfn.IFS('ProductSprint Backlog'!$F17="", "", AND('ProductSprint Backlog'!$J17&gt;C$2,'ProductSprint Backlog'!$I17&lt;=C$2), 'ProductSprint Backlog'!$F17 / MAX(1, 'ProductSprint Backlog'!$J17-'ProductSprint Backlog'!$I17), AND('ProductSprint Backlog'!$J17=C$2,'ProductSprint Backlog'!$I17=C$2), 'ProductSprint Backlog'!$F17, TRUE, 0)</f>
        <v>0</v>
      </c>
      <c r="D17" s="4" cm="1">
        <f t="array" ref="D17">_xlfn.IFS('ProductSprint Backlog'!$F17="", "", AND('ProductSprint Backlog'!$J17&gt;D$2,'ProductSprint Backlog'!$I17&lt;=D$2), 'ProductSprint Backlog'!$F17 / MAX(1, 'ProductSprint Backlog'!$J17-'ProductSprint Backlog'!$I17), AND('ProductSprint Backlog'!$J17=D$2,'ProductSprint Backlog'!$I17=D$2), 'ProductSprint Backlog'!$F17, TRUE, 0)</f>
        <v>0</v>
      </c>
      <c r="E17" s="4" cm="1">
        <f t="array" ref="E17">_xlfn.IFS('ProductSprint Backlog'!$F17="", "", AND('ProductSprint Backlog'!$J17&gt;E$2,'ProductSprint Backlog'!$I17&lt;=E$2), 'ProductSprint Backlog'!$F17 / MAX(1, 'ProductSprint Backlog'!$J17-'ProductSprint Backlog'!$I17), AND('ProductSprint Backlog'!$J17=E$2,'ProductSprint Backlog'!$I17=E$2), 'ProductSprint Backlog'!$F17, TRUE, 0)</f>
        <v>0</v>
      </c>
      <c r="F17" s="4" cm="1">
        <f t="array" ref="F17">_xlfn.IFS('ProductSprint Backlog'!$F17="", "", AND('ProductSprint Backlog'!$J17&gt;F$2,'ProductSprint Backlog'!$I17&lt;=F$2), 'ProductSprint Backlog'!$F17 / MAX(1, 'ProductSprint Backlog'!$J17-'ProductSprint Backlog'!$I17), AND('ProductSprint Backlog'!$J17=F$2,'ProductSprint Backlog'!$I17=F$2), 'ProductSprint Backlog'!$F17, TRUE, 0)</f>
        <v>0</v>
      </c>
      <c r="G17" s="4" cm="1">
        <f t="array" ref="G17">_xlfn.IFS('ProductSprint Backlog'!$F17="", "", AND('ProductSprint Backlog'!$J17&gt;G$2,'ProductSprint Backlog'!$I17&lt;=G$2), 'ProductSprint Backlog'!$F17 / MAX(1, 'ProductSprint Backlog'!$J17-'ProductSprint Backlog'!$I17), AND('ProductSprint Backlog'!$J17=G$2,'ProductSprint Backlog'!$I17=G$2), 'ProductSprint Backlog'!$F17, TRUE, 0)</f>
        <v>0</v>
      </c>
      <c r="H17" s="4" cm="1">
        <f t="array" ref="H17">_xlfn.IFS('ProductSprint Backlog'!$F17="", "", AND('ProductSprint Backlog'!$J17&gt;H$2,'ProductSprint Backlog'!$I17&lt;=H$2), 'ProductSprint Backlog'!$F17 / MAX(1, 'ProductSprint Backlog'!$J17-'ProductSprint Backlog'!$I17), AND('ProductSprint Backlog'!$J17=H$2,'ProductSprint Backlog'!$I17=H$2), 'ProductSprint Backlog'!$F17, TRUE, 0)</f>
        <v>0</v>
      </c>
      <c r="I17" s="4" cm="1">
        <f t="array" ref="I17">_xlfn.IFS('ProductSprint Backlog'!$F17="", "", AND('ProductSprint Backlog'!$J17&gt;I$2,'ProductSprint Backlog'!$I17&lt;=I$2), 'ProductSprint Backlog'!$F17 / MAX(1, 'ProductSprint Backlog'!$J17-'ProductSprint Backlog'!$I17), AND('ProductSprint Backlog'!$J17=I$2,'ProductSprint Backlog'!$I17=I$2), 'ProductSprint Backlog'!$F17, TRUE, 0)</f>
        <v>0</v>
      </c>
      <c r="J17" s="4" cm="1">
        <f t="array" ref="J17">_xlfn.IFS('ProductSprint Backlog'!$F17="", "", AND('ProductSprint Backlog'!$J17&gt;J$2,'ProductSprint Backlog'!$I17&lt;=J$2), 'ProductSprint Backlog'!$F17 / MAX(1, 'ProductSprint Backlog'!$J17-'ProductSprint Backlog'!$I17), AND('ProductSprint Backlog'!$J17=J$2,'ProductSprint Backlog'!$I17=J$2), 'ProductSprint Backlog'!$F17, TRUE, 0)</f>
        <v>0</v>
      </c>
    </row>
    <row r="18" spans="2:10" x14ac:dyDescent="0.2">
      <c r="B18" s="4" t="str" cm="1">
        <f t="array" ref="B18">_xlfn.IFS('ProductSprint Backlog'!$F18="", "", AND('ProductSprint Backlog'!$J18&gt;B$2,'ProductSprint Backlog'!$I18&lt;=B$2), 'ProductSprint Backlog'!$F18 / MAX(1, 'ProductSprint Backlog'!$J18-'ProductSprint Backlog'!$I18), AND('ProductSprint Backlog'!$J18=B$2,'ProductSprint Backlog'!$I18=B$2), 'ProductSprint Backlog'!$F18, TRUE, 0)</f>
        <v/>
      </c>
      <c r="C18" s="4" t="str" cm="1">
        <f t="array" ref="C18">_xlfn.IFS('ProductSprint Backlog'!$F18="", "", AND('ProductSprint Backlog'!$J18&gt;C$2,'ProductSprint Backlog'!$I18&lt;=C$2), 'ProductSprint Backlog'!$F18 / MAX(1, 'ProductSprint Backlog'!$J18-'ProductSprint Backlog'!$I18), AND('ProductSprint Backlog'!$J18=C$2,'ProductSprint Backlog'!$I18=C$2), 'ProductSprint Backlog'!$F18, TRUE, 0)</f>
        <v/>
      </c>
      <c r="D18" s="4" t="str" cm="1">
        <f t="array" ref="D18">_xlfn.IFS('ProductSprint Backlog'!$F18="", "", AND('ProductSprint Backlog'!$J18&gt;D$2,'ProductSprint Backlog'!$I18&lt;=D$2), 'ProductSprint Backlog'!$F18 / MAX(1, 'ProductSprint Backlog'!$J18-'ProductSprint Backlog'!$I18), AND('ProductSprint Backlog'!$J18=D$2,'ProductSprint Backlog'!$I18=D$2), 'ProductSprint Backlog'!$F18, TRUE, 0)</f>
        <v/>
      </c>
      <c r="E18" s="4" t="str" cm="1">
        <f t="array" ref="E18">_xlfn.IFS('ProductSprint Backlog'!$F18="", "", AND('ProductSprint Backlog'!$J18&gt;E$2,'ProductSprint Backlog'!$I18&lt;=E$2), 'ProductSprint Backlog'!$F18 / MAX(1, 'ProductSprint Backlog'!$J18-'ProductSprint Backlog'!$I18), AND('ProductSprint Backlog'!$J18=E$2,'ProductSprint Backlog'!$I18=E$2), 'ProductSprint Backlog'!$F18, TRUE, 0)</f>
        <v/>
      </c>
      <c r="F18" s="4" t="str" cm="1">
        <f t="array" ref="F18">_xlfn.IFS('ProductSprint Backlog'!$F18="", "", AND('ProductSprint Backlog'!$J18&gt;F$2,'ProductSprint Backlog'!$I18&lt;=F$2), 'ProductSprint Backlog'!$F18 / MAX(1, 'ProductSprint Backlog'!$J18-'ProductSprint Backlog'!$I18), AND('ProductSprint Backlog'!$J18=F$2,'ProductSprint Backlog'!$I18=F$2), 'ProductSprint Backlog'!$F18, TRUE, 0)</f>
        <v/>
      </c>
      <c r="G18" s="4" t="str" cm="1">
        <f t="array" ref="G18">_xlfn.IFS('ProductSprint Backlog'!$F18="", "", AND('ProductSprint Backlog'!$J18&gt;G$2,'ProductSprint Backlog'!$I18&lt;=G$2), 'ProductSprint Backlog'!$F18 / MAX(1, 'ProductSprint Backlog'!$J18-'ProductSprint Backlog'!$I18), AND('ProductSprint Backlog'!$J18=G$2,'ProductSprint Backlog'!$I18=G$2), 'ProductSprint Backlog'!$F18, TRUE, 0)</f>
        <v/>
      </c>
      <c r="H18" s="4" t="str" cm="1">
        <f t="array" ref="H18">_xlfn.IFS('ProductSprint Backlog'!$F18="", "", AND('ProductSprint Backlog'!$J18&gt;H$2,'ProductSprint Backlog'!$I18&lt;=H$2), 'ProductSprint Backlog'!$F18 / MAX(1, 'ProductSprint Backlog'!$J18-'ProductSprint Backlog'!$I18), AND('ProductSprint Backlog'!$J18=H$2,'ProductSprint Backlog'!$I18=H$2), 'ProductSprint Backlog'!$F18, TRUE, 0)</f>
        <v/>
      </c>
      <c r="I18" s="4" t="str" cm="1">
        <f t="array" ref="I18">_xlfn.IFS('ProductSprint Backlog'!$F18="", "", AND('ProductSprint Backlog'!$J18&gt;I$2,'ProductSprint Backlog'!$I18&lt;=I$2), 'ProductSprint Backlog'!$F18 / MAX(1, 'ProductSprint Backlog'!$J18-'ProductSprint Backlog'!$I18), AND('ProductSprint Backlog'!$J18=I$2,'ProductSprint Backlog'!$I18=I$2), 'ProductSprint Backlog'!$F18, TRUE, 0)</f>
        <v/>
      </c>
      <c r="J18" s="4" t="str" cm="1">
        <f t="array" ref="J18">_xlfn.IFS('ProductSprint Backlog'!$F18="", "", AND('ProductSprint Backlog'!$J18&gt;J$2,'ProductSprint Backlog'!$I18&lt;=J$2), 'ProductSprint Backlog'!$F18 / MAX(1, 'ProductSprint Backlog'!$J18-'ProductSprint Backlog'!$I18), AND('ProductSprint Backlog'!$J18=J$2,'ProductSprint Backlog'!$I18=J$2), 'ProductSprint Backlog'!$F18, TRUE, 0)</f>
        <v/>
      </c>
    </row>
    <row r="19" spans="2:10" x14ac:dyDescent="0.2">
      <c r="B19" s="4" cm="1">
        <f t="array" ref="B19">_xlfn.IFS('ProductSprint Backlog'!$F19="", "", AND('ProductSprint Backlog'!$J19&gt;B$2,'ProductSprint Backlog'!$I19&lt;=B$2), 'ProductSprint Backlog'!$F19 / MAX(1, 'ProductSprint Backlog'!$J19-'ProductSprint Backlog'!$I19), AND('ProductSprint Backlog'!$J19=B$2,'ProductSprint Backlog'!$I19=B$2), 'ProductSprint Backlog'!$F19, TRUE, 0)</f>
        <v>0</v>
      </c>
      <c r="C19" s="4" cm="1">
        <f t="array" ref="C19">_xlfn.IFS('ProductSprint Backlog'!$F19="", "", AND('ProductSprint Backlog'!$J19&gt;C$2,'ProductSprint Backlog'!$I19&lt;=C$2), 'ProductSprint Backlog'!$F19 / MAX(1, 'ProductSprint Backlog'!$J19-'ProductSprint Backlog'!$I19), AND('ProductSprint Backlog'!$J19=C$2,'ProductSprint Backlog'!$I19=C$2), 'ProductSprint Backlog'!$F19, TRUE, 0)</f>
        <v>0</v>
      </c>
      <c r="D19" s="4" cm="1">
        <f t="array" ref="D19">_xlfn.IFS('ProductSprint Backlog'!$F19="", "", AND('ProductSprint Backlog'!$J19&gt;D$2,'ProductSprint Backlog'!$I19&lt;=D$2), 'ProductSprint Backlog'!$F19 / MAX(1, 'ProductSprint Backlog'!$J19-'ProductSprint Backlog'!$I19), AND('ProductSprint Backlog'!$J19=D$2,'ProductSprint Backlog'!$I19=D$2), 'ProductSprint Backlog'!$F19, TRUE, 0)</f>
        <v>0</v>
      </c>
      <c r="E19" s="4" cm="1">
        <f t="array" ref="E19">_xlfn.IFS('ProductSprint Backlog'!$F19="", "", AND('ProductSprint Backlog'!$J19&gt;E$2,'ProductSprint Backlog'!$I19&lt;=E$2), 'ProductSprint Backlog'!$F19 / MAX(1, 'ProductSprint Backlog'!$J19-'ProductSprint Backlog'!$I19), AND('ProductSprint Backlog'!$J19=E$2,'ProductSprint Backlog'!$I19=E$2), 'ProductSprint Backlog'!$F19, TRUE, 0)</f>
        <v>0</v>
      </c>
      <c r="F19" s="4" cm="1">
        <f t="array" ref="F19">_xlfn.IFS('ProductSprint Backlog'!$F19="", "", AND('ProductSprint Backlog'!$J19&gt;F$2,'ProductSprint Backlog'!$I19&lt;=F$2), 'ProductSprint Backlog'!$F19 / MAX(1, 'ProductSprint Backlog'!$J19-'ProductSprint Backlog'!$I19), AND('ProductSprint Backlog'!$J19=F$2,'ProductSprint Backlog'!$I19=F$2), 'ProductSprint Backlog'!$F19, TRUE, 0)</f>
        <v>0</v>
      </c>
      <c r="G19" s="4" cm="1">
        <f t="array" ref="G19">_xlfn.IFS('ProductSprint Backlog'!$F19="", "", AND('ProductSprint Backlog'!$J19&gt;G$2,'ProductSprint Backlog'!$I19&lt;=G$2), 'ProductSprint Backlog'!$F19 / MAX(1, 'ProductSprint Backlog'!$J19-'ProductSprint Backlog'!$I19), AND('ProductSprint Backlog'!$J19=G$2,'ProductSprint Backlog'!$I19=G$2), 'ProductSprint Backlog'!$F19, TRUE, 0)</f>
        <v>0</v>
      </c>
      <c r="H19" s="4" cm="1">
        <f t="array" ref="H19">_xlfn.IFS('ProductSprint Backlog'!$F19="", "", AND('ProductSprint Backlog'!$J19&gt;H$2,'ProductSprint Backlog'!$I19&lt;=H$2), 'ProductSprint Backlog'!$F19 / MAX(1, 'ProductSprint Backlog'!$J19-'ProductSprint Backlog'!$I19), AND('ProductSprint Backlog'!$J19=H$2,'ProductSprint Backlog'!$I19=H$2), 'ProductSprint Backlog'!$F19, TRUE, 0)</f>
        <v>0</v>
      </c>
      <c r="I19" s="4" cm="1">
        <f t="array" ref="I19">_xlfn.IFS('ProductSprint Backlog'!$F19="", "", AND('ProductSprint Backlog'!$J19&gt;I$2,'ProductSprint Backlog'!$I19&lt;=I$2), 'ProductSprint Backlog'!$F19 / MAX(1, 'ProductSprint Backlog'!$J19-'ProductSprint Backlog'!$I19), AND('ProductSprint Backlog'!$J19=I$2,'ProductSprint Backlog'!$I19=I$2), 'ProductSprint Backlog'!$F19, TRUE, 0)</f>
        <v>0</v>
      </c>
      <c r="J19" s="4" cm="1">
        <f t="array" ref="J19">_xlfn.IFS('ProductSprint Backlog'!$F19="", "", AND('ProductSprint Backlog'!$J19&gt;J$2,'ProductSprint Backlog'!$I19&lt;=J$2), 'ProductSprint Backlog'!$F19 / MAX(1, 'ProductSprint Backlog'!$J19-'ProductSprint Backlog'!$I19), AND('ProductSprint Backlog'!$J19=J$2,'ProductSprint Backlog'!$I19=J$2), 'ProductSprint Backlog'!$F19, TRUE, 0)</f>
        <v>0</v>
      </c>
    </row>
    <row r="20" spans="2:10" x14ac:dyDescent="0.2">
      <c r="B20" s="4" cm="1">
        <f t="array" ref="B20">_xlfn.IFS('ProductSprint Backlog'!$F20="", "", AND('ProductSprint Backlog'!$J20&gt;B$2,'ProductSprint Backlog'!$I20&lt;=B$2), 'ProductSprint Backlog'!$F20 / MAX(1, 'ProductSprint Backlog'!$J20-'ProductSprint Backlog'!$I20), AND('ProductSprint Backlog'!$J20=B$2,'ProductSprint Backlog'!$I20=B$2), 'ProductSprint Backlog'!$F20, TRUE, 0)</f>
        <v>0</v>
      </c>
      <c r="C20" s="4" cm="1">
        <f t="array" ref="C20">_xlfn.IFS('ProductSprint Backlog'!$F20="", "", AND('ProductSprint Backlog'!$J20&gt;C$2,'ProductSprint Backlog'!$I20&lt;=C$2), 'ProductSprint Backlog'!$F20 / MAX(1, 'ProductSprint Backlog'!$J20-'ProductSprint Backlog'!$I20), AND('ProductSprint Backlog'!$J20=C$2,'ProductSprint Backlog'!$I20=C$2), 'ProductSprint Backlog'!$F20, TRUE, 0)</f>
        <v>0</v>
      </c>
      <c r="D20" s="4" cm="1">
        <f t="array" ref="D20">_xlfn.IFS('ProductSprint Backlog'!$F20="", "", AND('ProductSprint Backlog'!$J20&gt;D$2,'ProductSprint Backlog'!$I20&lt;=D$2), 'ProductSprint Backlog'!$F20 / MAX(1, 'ProductSprint Backlog'!$J20-'ProductSprint Backlog'!$I20), AND('ProductSprint Backlog'!$J20=D$2,'ProductSprint Backlog'!$I20=D$2), 'ProductSprint Backlog'!$F20, TRUE, 0)</f>
        <v>0</v>
      </c>
      <c r="E20" s="4" cm="1">
        <f t="array" ref="E20">_xlfn.IFS('ProductSprint Backlog'!$F20="", "", AND('ProductSprint Backlog'!$J20&gt;E$2,'ProductSprint Backlog'!$I20&lt;=E$2), 'ProductSprint Backlog'!$F20 / MAX(1, 'ProductSprint Backlog'!$J20-'ProductSprint Backlog'!$I20), AND('ProductSprint Backlog'!$J20=E$2,'ProductSprint Backlog'!$I20=E$2), 'ProductSprint Backlog'!$F20, TRUE, 0)</f>
        <v>0</v>
      </c>
      <c r="F20" s="4" cm="1">
        <f t="array" ref="F20">_xlfn.IFS('ProductSprint Backlog'!$F20="", "", AND('ProductSprint Backlog'!$J20&gt;F$2,'ProductSprint Backlog'!$I20&lt;=F$2), 'ProductSprint Backlog'!$F20 / MAX(1, 'ProductSprint Backlog'!$J20-'ProductSprint Backlog'!$I20), AND('ProductSprint Backlog'!$J20=F$2,'ProductSprint Backlog'!$I20=F$2), 'ProductSprint Backlog'!$F20, TRUE, 0)</f>
        <v>0</v>
      </c>
      <c r="G20" s="4" cm="1">
        <f t="array" ref="G20">_xlfn.IFS('ProductSprint Backlog'!$F20="", "", AND('ProductSprint Backlog'!$J20&gt;G$2,'ProductSprint Backlog'!$I20&lt;=G$2), 'ProductSprint Backlog'!$F20 / MAX(1, 'ProductSprint Backlog'!$J20-'ProductSprint Backlog'!$I20), AND('ProductSprint Backlog'!$J20=G$2,'ProductSprint Backlog'!$I20=G$2), 'ProductSprint Backlog'!$F20, TRUE, 0)</f>
        <v>0</v>
      </c>
      <c r="H20" s="4" cm="1">
        <f t="array" ref="H20">_xlfn.IFS('ProductSprint Backlog'!$F20="", "", AND('ProductSprint Backlog'!$J20&gt;H$2,'ProductSprint Backlog'!$I20&lt;=H$2), 'ProductSprint Backlog'!$F20 / MAX(1, 'ProductSprint Backlog'!$J20-'ProductSprint Backlog'!$I20), AND('ProductSprint Backlog'!$J20=H$2,'ProductSprint Backlog'!$I20=H$2), 'ProductSprint Backlog'!$F20, TRUE, 0)</f>
        <v>0</v>
      </c>
      <c r="I20" s="4" cm="1">
        <f t="array" ref="I20">_xlfn.IFS('ProductSprint Backlog'!$F20="", "", AND('ProductSprint Backlog'!$J20&gt;I$2,'ProductSprint Backlog'!$I20&lt;=I$2), 'ProductSprint Backlog'!$F20 / MAX(1, 'ProductSprint Backlog'!$J20-'ProductSprint Backlog'!$I20), AND('ProductSprint Backlog'!$J20=I$2,'ProductSprint Backlog'!$I20=I$2), 'ProductSprint Backlog'!$F20, TRUE, 0)</f>
        <v>0</v>
      </c>
      <c r="J20" s="4" cm="1">
        <f t="array" ref="J20">_xlfn.IFS('ProductSprint Backlog'!$F20="", "", AND('ProductSprint Backlog'!$J20&gt;J$2,'ProductSprint Backlog'!$I20&lt;=J$2), 'ProductSprint Backlog'!$F20 / MAX(1, 'ProductSprint Backlog'!$J20-'ProductSprint Backlog'!$I20), AND('ProductSprint Backlog'!$J20=J$2,'ProductSprint Backlog'!$I20=J$2), 'ProductSprint Backlog'!$F20, TRUE, 0)</f>
        <v>0</v>
      </c>
    </row>
    <row r="21" spans="2:10" x14ac:dyDescent="0.2">
      <c r="B21" s="4" cm="1">
        <f t="array" ref="B21">_xlfn.IFS('ProductSprint Backlog'!$F21="", "", AND('ProductSprint Backlog'!$J21&gt;B$2,'ProductSprint Backlog'!$I21&lt;=B$2), 'ProductSprint Backlog'!$F21 / MAX(1, 'ProductSprint Backlog'!$J21-'ProductSprint Backlog'!$I21), AND('ProductSprint Backlog'!$J21=B$2,'ProductSprint Backlog'!$I21=B$2), 'ProductSprint Backlog'!$F21, TRUE, 0)</f>
        <v>0</v>
      </c>
      <c r="C21" s="4" cm="1">
        <f t="array" ref="C21">_xlfn.IFS('ProductSprint Backlog'!$F21="", "", AND('ProductSprint Backlog'!$J21&gt;C$2,'ProductSprint Backlog'!$I21&lt;=C$2), 'ProductSprint Backlog'!$F21 / MAX(1, 'ProductSprint Backlog'!$J21-'ProductSprint Backlog'!$I21), AND('ProductSprint Backlog'!$J21=C$2,'ProductSprint Backlog'!$I21=C$2), 'ProductSprint Backlog'!$F21, TRUE, 0)</f>
        <v>0</v>
      </c>
      <c r="D21" s="4" cm="1">
        <f t="array" ref="D21">_xlfn.IFS('ProductSprint Backlog'!$F21="", "", AND('ProductSprint Backlog'!$J21&gt;D$2,'ProductSprint Backlog'!$I21&lt;=D$2), 'ProductSprint Backlog'!$F21 / MAX(1, 'ProductSprint Backlog'!$J21-'ProductSprint Backlog'!$I21), AND('ProductSprint Backlog'!$J21=D$2,'ProductSprint Backlog'!$I21=D$2), 'ProductSprint Backlog'!$F21, TRUE, 0)</f>
        <v>0</v>
      </c>
      <c r="E21" s="4" cm="1">
        <f t="array" ref="E21">_xlfn.IFS('ProductSprint Backlog'!$F21="", "", AND('ProductSprint Backlog'!$J21&gt;E$2,'ProductSprint Backlog'!$I21&lt;=E$2), 'ProductSprint Backlog'!$F21 / MAX(1, 'ProductSprint Backlog'!$J21-'ProductSprint Backlog'!$I21), AND('ProductSprint Backlog'!$J21=E$2,'ProductSprint Backlog'!$I21=E$2), 'ProductSprint Backlog'!$F21, TRUE, 0)</f>
        <v>0</v>
      </c>
      <c r="F21" s="4" cm="1">
        <f t="array" ref="F21">_xlfn.IFS('ProductSprint Backlog'!$F21="", "", AND('ProductSprint Backlog'!$J21&gt;F$2,'ProductSprint Backlog'!$I21&lt;=F$2), 'ProductSprint Backlog'!$F21 / MAX(1, 'ProductSprint Backlog'!$J21-'ProductSprint Backlog'!$I21), AND('ProductSprint Backlog'!$J21=F$2,'ProductSprint Backlog'!$I21=F$2), 'ProductSprint Backlog'!$F21, TRUE, 0)</f>
        <v>0</v>
      </c>
      <c r="G21" s="4" cm="1">
        <f t="array" ref="G21">_xlfn.IFS('ProductSprint Backlog'!$F21="", "", AND('ProductSprint Backlog'!$J21&gt;G$2,'ProductSprint Backlog'!$I21&lt;=G$2), 'ProductSprint Backlog'!$F21 / MAX(1, 'ProductSprint Backlog'!$J21-'ProductSprint Backlog'!$I21), AND('ProductSprint Backlog'!$J21=G$2,'ProductSprint Backlog'!$I21=G$2), 'ProductSprint Backlog'!$F21, TRUE, 0)</f>
        <v>0</v>
      </c>
      <c r="H21" s="4" cm="1">
        <f t="array" ref="H21">_xlfn.IFS('ProductSprint Backlog'!$F21="", "", AND('ProductSprint Backlog'!$J21&gt;H$2,'ProductSprint Backlog'!$I21&lt;=H$2), 'ProductSprint Backlog'!$F21 / MAX(1, 'ProductSprint Backlog'!$J21-'ProductSprint Backlog'!$I21), AND('ProductSprint Backlog'!$J21=H$2,'ProductSprint Backlog'!$I21=H$2), 'ProductSprint Backlog'!$F21, TRUE, 0)</f>
        <v>0</v>
      </c>
      <c r="I21" s="4" cm="1">
        <f t="array" ref="I21">_xlfn.IFS('ProductSprint Backlog'!$F21="", "", AND('ProductSprint Backlog'!$J21&gt;I$2,'ProductSprint Backlog'!$I21&lt;=I$2), 'ProductSprint Backlog'!$F21 / MAX(1, 'ProductSprint Backlog'!$J21-'ProductSprint Backlog'!$I21), AND('ProductSprint Backlog'!$J21=I$2,'ProductSprint Backlog'!$I21=I$2), 'ProductSprint Backlog'!$F21, TRUE, 0)</f>
        <v>0</v>
      </c>
      <c r="J21" s="4" cm="1">
        <f t="array" ref="J21">_xlfn.IFS('ProductSprint Backlog'!$F21="", "", AND('ProductSprint Backlog'!$J21&gt;J$2,'ProductSprint Backlog'!$I21&lt;=J$2), 'ProductSprint Backlog'!$F21 / MAX(1, 'ProductSprint Backlog'!$J21-'ProductSprint Backlog'!$I21), AND('ProductSprint Backlog'!$J21=J$2,'ProductSprint Backlog'!$I21=J$2), 'ProductSprint Backlog'!$F21, TRUE, 0)</f>
        <v>0</v>
      </c>
    </row>
    <row r="22" spans="2:10" x14ac:dyDescent="0.2">
      <c r="B22" s="4" cm="1">
        <f t="array" ref="B22">_xlfn.IFS('ProductSprint Backlog'!$F22="", "", AND('ProductSprint Backlog'!$J22&gt;B$2,'ProductSprint Backlog'!$I22&lt;=B$2), 'ProductSprint Backlog'!$F22 / MAX(1, 'ProductSprint Backlog'!$J22-'ProductSprint Backlog'!$I22), AND('ProductSprint Backlog'!$J22=B$2,'ProductSprint Backlog'!$I22=B$2), 'ProductSprint Backlog'!$F22, TRUE, 0)</f>
        <v>0</v>
      </c>
      <c r="C22" s="4" cm="1">
        <f t="array" ref="C22">_xlfn.IFS('ProductSprint Backlog'!$F22="", "", AND('ProductSprint Backlog'!$J22&gt;C$2,'ProductSprint Backlog'!$I22&lt;=C$2), 'ProductSprint Backlog'!$F22 / MAX(1, 'ProductSprint Backlog'!$J22-'ProductSprint Backlog'!$I22), AND('ProductSprint Backlog'!$J22=C$2,'ProductSprint Backlog'!$I22=C$2), 'ProductSprint Backlog'!$F22, TRUE, 0)</f>
        <v>0</v>
      </c>
      <c r="D22" s="4" cm="1">
        <f t="array" ref="D22">_xlfn.IFS('ProductSprint Backlog'!$F22="", "", AND('ProductSprint Backlog'!$J22&gt;D$2,'ProductSprint Backlog'!$I22&lt;=D$2), 'ProductSprint Backlog'!$F22 / MAX(1, 'ProductSprint Backlog'!$J22-'ProductSprint Backlog'!$I22), AND('ProductSprint Backlog'!$J22=D$2,'ProductSprint Backlog'!$I22=D$2), 'ProductSprint Backlog'!$F22, TRUE, 0)</f>
        <v>0</v>
      </c>
      <c r="E22" s="4" cm="1">
        <f t="array" ref="E22">_xlfn.IFS('ProductSprint Backlog'!$F22="", "", AND('ProductSprint Backlog'!$J22&gt;E$2,'ProductSprint Backlog'!$I22&lt;=E$2), 'ProductSprint Backlog'!$F22 / MAX(1, 'ProductSprint Backlog'!$J22-'ProductSprint Backlog'!$I22), AND('ProductSprint Backlog'!$J22=E$2,'ProductSprint Backlog'!$I22=E$2), 'ProductSprint Backlog'!$F22, TRUE, 0)</f>
        <v>0</v>
      </c>
      <c r="F22" s="4" cm="1">
        <f t="array" ref="F22">_xlfn.IFS('ProductSprint Backlog'!$F22="", "", AND('ProductSprint Backlog'!$J22&gt;F$2,'ProductSprint Backlog'!$I22&lt;=F$2), 'ProductSprint Backlog'!$F22 / MAX(1, 'ProductSprint Backlog'!$J22-'ProductSprint Backlog'!$I22), AND('ProductSprint Backlog'!$J22=F$2,'ProductSprint Backlog'!$I22=F$2), 'ProductSprint Backlog'!$F22, TRUE, 0)</f>
        <v>0</v>
      </c>
      <c r="G22" s="4" cm="1">
        <f t="array" ref="G22">_xlfn.IFS('ProductSprint Backlog'!$F22="", "", AND('ProductSprint Backlog'!$J22&gt;G$2,'ProductSprint Backlog'!$I22&lt;=G$2), 'ProductSprint Backlog'!$F22 / MAX(1, 'ProductSprint Backlog'!$J22-'ProductSprint Backlog'!$I22), AND('ProductSprint Backlog'!$J22=G$2,'ProductSprint Backlog'!$I22=G$2), 'ProductSprint Backlog'!$F22, TRUE, 0)</f>
        <v>0</v>
      </c>
      <c r="H22" s="4" cm="1">
        <f t="array" ref="H22">_xlfn.IFS('ProductSprint Backlog'!$F22="", "", AND('ProductSprint Backlog'!$J22&gt;H$2,'ProductSprint Backlog'!$I22&lt;=H$2), 'ProductSprint Backlog'!$F22 / MAX(1, 'ProductSprint Backlog'!$J22-'ProductSprint Backlog'!$I22), AND('ProductSprint Backlog'!$J22=H$2,'ProductSprint Backlog'!$I22=H$2), 'ProductSprint Backlog'!$F22, TRUE, 0)</f>
        <v>0</v>
      </c>
      <c r="I22" s="4" cm="1">
        <f t="array" ref="I22">_xlfn.IFS('ProductSprint Backlog'!$F22="", "", AND('ProductSprint Backlog'!$J22&gt;I$2,'ProductSprint Backlog'!$I22&lt;=I$2), 'ProductSprint Backlog'!$F22 / MAX(1, 'ProductSprint Backlog'!$J22-'ProductSprint Backlog'!$I22), AND('ProductSprint Backlog'!$J22=I$2,'ProductSprint Backlog'!$I22=I$2), 'ProductSprint Backlog'!$F22, TRUE, 0)</f>
        <v>0</v>
      </c>
      <c r="J22" s="4" cm="1">
        <f t="array" ref="J22">_xlfn.IFS('ProductSprint Backlog'!$F22="", "", AND('ProductSprint Backlog'!$J22&gt;J$2,'ProductSprint Backlog'!$I22&lt;=J$2), 'ProductSprint Backlog'!$F22 / MAX(1, 'ProductSprint Backlog'!$J22-'ProductSprint Backlog'!$I22), AND('ProductSprint Backlog'!$J22=J$2,'ProductSprint Backlog'!$I22=J$2), 'ProductSprint Backlog'!$F22, TRUE, 0)</f>
        <v>0</v>
      </c>
    </row>
    <row r="23" spans="2:10" x14ac:dyDescent="0.2">
      <c r="B23" s="4" t="str" cm="1">
        <f t="array" ref="B23">_xlfn.IFS('ProductSprint Backlog'!$F23="", "", AND('ProductSprint Backlog'!$J23&gt;B$2,'ProductSprint Backlog'!$I23&lt;=B$2), 'ProductSprint Backlog'!$F23 / MAX(1, 'ProductSprint Backlog'!$J23-'ProductSprint Backlog'!$I23), AND('ProductSprint Backlog'!$J23=B$2,'ProductSprint Backlog'!$I23=B$2), 'ProductSprint Backlog'!$F23, TRUE, 0)</f>
        <v/>
      </c>
      <c r="C23" s="4" t="str" cm="1">
        <f t="array" ref="C23">_xlfn.IFS('ProductSprint Backlog'!$F23="", "", AND('ProductSprint Backlog'!$J23&gt;C$2,'ProductSprint Backlog'!$I23&lt;=C$2), 'ProductSprint Backlog'!$F23 / MAX(1, 'ProductSprint Backlog'!$J23-'ProductSprint Backlog'!$I23), AND('ProductSprint Backlog'!$J23=C$2,'ProductSprint Backlog'!$I23=C$2), 'ProductSprint Backlog'!$F23, TRUE, 0)</f>
        <v/>
      </c>
      <c r="D23" s="4" t="str" cm="1">
        <f t="array" ref="D23">_xlfn.IFS('ProductSprint Backlog'!$F23="", "", AND('ProductSprint Backlog'!$J23&gt;D$2,'ProductSprint Backlog'!$I23&lt;=D$2), 'ProductSprint Backlog'!$F23 / MAX(1, 'ProductSprint Backlog'!$J23-'ProductSprint Backlog'!$I23), AND('ProductSprint Backlog'!$J23=D$2,'ProductSprint Backlog'!$I23=D$2), 'ProductSprint Backlog'!$F23, TRUE, 0)</f>
        <v/>
      </c>
      <c r="E23" s="4" t="str" cm="1">
        <f t="array" ref="E23">_xlfn.IFS('ProductSprint Backlog'!$F23="", "", AND('ProductSprint Backlog'!$J23&gt;E$2,'ProductSprint Backlog'!$I23&lt;=E$2), 'ProductSprint Backlog'!$F23 / MAX(1, 'ProductSprint Backlog'!$J23-'ProductSprint Backlog'!$I23), AND('ProductSprint Backlog'!$J23=E$2,'ProductSprint Backlog'!$I23=E$2), 'ProductSprint Backlog'!$F23, TRUE, 0)</f>
        <v/>
      </c>
      <c r="F23" s="4" t="str" cm="1">
        <f t="array" ref="F23">_xlfn.IFS('ProductSprint Backlog'!$F23="", "", AND('ProductSprint Backlog'!$J23&gt;F$2,'ProductSprint Backlog'!$I23&lt;=F$2), 'ProductSprint Backlog'!$F23 / MAX(1, 'ProductSprint Backlog'!$J23-'ProductSprint Backlog'!$I23), AND('ProductSprint Backlog'!$J23=F$2,'ProductSprint Backlog'!$I23=F$2), 'ProductSprint Backlog'!$F23, TRUE, 0)</f>
        <v/>
      </c>
      <c r="G23" s="4" t="str" cm="1">
        <f t="array" ref="G23">_xlfn.IFS('ProductSprint Backlog'!$F23="", "", AND('ProductSprint Backlog'!$J23&gt;G$2,'ProductSprint Backlog'!$I23&lt;=G$2), 'ProductSprint Backlog'!$F23 / MAX(1, 'ProductSprint Backlog'!$J23-'ProductSprint Backlog'!$I23), AND('ProductSprint Backlog'!$J23=G$2,'ProductSprint Backlog'!$I23=G$2), 'ProductSprint Backlog'!$F23, TRUE, 0)</f>
        <v/>
      </c>
      <c r="H23" s="4" t="str" cm="1">
        <f t="array" ref="H23">_xlfn.IFS('ProductSprint Backlog'!$F23="", "", AND('ProductSprint Backlog'!$J23&gt;H$2,'ProductSprint Backlog'!$I23&lt;=H$2), 'ProductSprint Backlog'!$F23 / MAX(1, 'ProductSprint Backlog'!$J23-'ProductSprint Backlog'!$I23), AND('ProductSprint Backlog'!$J23=H$2,'ProductSprint Backlog'!$I23=H$2), 'ProductSprint Backlog'!$F23, TRUE, 0)</f>
        <v/>
      </c>
      <c r="I23" s="4" t="str" cm="1">
        <f t="array" ref="I23">_xlfn.IFS('ProductSprint Backlog'!$F23="", "", AND('ProductSprint Backlog'!$J23&gt;I$2,'ProductSprint Backlog'!$I23&lt;=I$2), 'ProductSprint Backlog'!$F23 / MAX(1, 'ProductSprint Backlog'!$J23-'ProductSprint Backlog'!$I23), AND('ProductSprint Backlog'!$J23=I$2,'ProductSprint Backlog'!$I23=I$2), 'ProductSprint Backlog'!$F23, TRUE, 0)</f>
        <v/>
      </c>
      <c r="J23" s="4" t="str" cm="1">
        <f t="array" ref="J23">_xlfn.IFS('ProductSprint Backlog'!$F23="", "", AND('ProductSprint Backlog'!$J23&gt;J$2,'ProductSprint Backlog'!$I23&lt;=J$2), 'ProductSprint Backlog'!$F23 / MAX(1, 'ProductSprint Backlog'!$J23-'ProductSprint Backlog'!$I23), AND('ProductSprint Backlog'!$J23=J$2,'ProductSprint Backlog'!$I23=J$2), 'ProductSprint Backlog'!$F23, TRUE, 0)</f>
        <v/>
      </c>
    </row>
    <row r="24" spans="2:10" x14ac:dyDescent="0.2">
      <c r="B24" s="4" cm="1">
        <f t="array" ref="B24">_xlfn.IFS('ProductSprint Backlog'!$F24="", "", AND('ProductSprint Backlog'!$J24&gt;B$2,'ProductSprint Backlog'!$I24&lt;=B$2), 'ProductSprint Backlog'!$F24 / MAX(1, 'ProductSprint Backlog'!$J24-'ProductSprint Backlog'!$I24), AND('ProductSprint Backlog'!$J24=B$2,'ProductSprint Backlog'!$I24=B$2), 'ProductSprint Backlog'!$F24, TRUE, 0)</f>
        <v>0</v>
      </c>
      <c r="C24" s="4" cm="1">
        <f t="array" ref="C24">_xlfn.IFS('ProductSprint Backlog'!$F24="", "", AND('ProductSprint Backlog'!$J24&gt;C$2,'ProductSprint Backlog'!$I24&lt;=C$2), 'ProductSprint Backlog'!$F24 / MAX(1, 'ProductSprint Backlog'!$J24-'ProductSprint Backlog'!$I24), AND('ProductSprint Backlog'!$J24=C$2,'ProductSprint Backlog'!$I24=C$2), 'ProductSprint Backlog'!$F24, TRUE, 0)</f>
        <v>0</v>
      </c>
      <c r="D24" s="4" cm="1">
        <f t="array" ref="D24">_xlfn.IFS('ProductSprint Backlog'!$F24="", "", AND('ProductSprint Backlog'!$J24&gt;D$2,'ProductSprint Backlog'!$I24&lt;=D$2), 'ProductSprint Backlog'!$F24 / MAX(1, 'ProductSprint Backlog'!$J24-'ProductSprint Backlog'!$I24), AND('ProductSprint Backlog'!$J24=D$2,'ProductSprint Backlog'!$I24=D$2), 'ProductSprint Backlog'!$F24, TRUE, 0)</f>
        <v>0</v>
      </c>
      <c r="E24" s="4" cm="1">
        <f t="array" ref="E24">_xlfn.IFS('ProductSprint Backlog'!$F24="", "", AND('ProductSprint Backlog'!$J24&gt;E$2,'ProductSprint Backlog'!$I24&lt;=E$2), 'ProductSprint Backlog'!$F24 / MAX(1, 'ProductSprint Backlog'!$J24-'ProductSprint Backlog'!$I24), AND('ProductSprint Backlog'!$J24=E$2,'ProductSprint Backlog'!$I24=E$2), 'ProductSprint Backlog'!$F24, TRUE, 0)</f>
        <v>0</v>
      </c>
      <c r="F24" s="4" cm="1">
        <f t="array" ref="F24">_xlfn.IFS('ProductSprint Backlog'!$F24="", "", AND('ProductSprint Backlog'!$J24&gt;F$2,'ProductSprint Backlog'!$I24&lt;=F$2), 'ProductSprint Backlog'!$F24 / MAX(1, 'ProductSprint Backlog'!$J24-'ProductSprint Backlog'!$I24), AND('ProductSprint Backlog'!$J24=F$2,'ProductSprint Backlog'!$I24=F$2), 'ProductSprint Backlog'!$F24, TRUE, 0)</f>
        <v>0</v>
      </c>
      <c r="G24" s="4" cm="1">
        <f t="array" ref="G24">_xlfn.IFS('ProductSprint Backlog'!$F24="", "", AND('ProductSprint Backlog'!$J24&gt;G$2,'ProductSprint Backlog'!$I24&lt;=G$2), 'ProductSprint Backlog'!$F24 / MAX(1, 'ProductSprint Backlog'!$J24-'ProductSprint Backlog'!$I24), AND('ProductSprint Backlog'!$J24=G$2,'ProductSprint Backlog'!$I24=G$2), 'ProductSprint Backlog'!$F24, TRUE, 0)</f>
        <v>0</v>
      </c>
      <c r="H24" s="4" cm="1">
        <f t="array" ref="H24">_xlfn.IFS('ProductSprint Backlog'!$F24="", "", AND('ProductSprint Backlog'!$J24&gt;H$2,'ProductSprint Backlog'!$I24&lt;=H$2), 'ProductSprint Backlog'!$F24 / MAX(1, 'ProductSprint Backlog'!$J24-'ProductSprint Backlog'!$I24), AND('ProductSprint Backlog'!$J24=H$2,'ProductSprint Backlog'!$I24=H$2), 'ProductSprint Backlog'!$F24, TRUE, 0)</f>
        <v>0</v>
      </c>
      <c r="I24" s="4" cm="1">
        <f t="array" ref="I24">_xlfn.IFS('ProductSprint Backlog'!$F24="", "", AND('ProductSprint Backlog'!$J24&gt;I$2,'ProductSprint Backlog'!$I24&lt;=I$2), 'ProductSprint Backlog'!$F24 / MAX(1, 'ProductSprint Backlog'!$J24-'ProductSprint Backlog'!$I24), AND('ProductSprint Backlog'!$J24=I$2,'ProductSprint Backlog'!$I24=I$2), 'ProductSprint Backlog'!$F24, TRUE, 0)</f>
        <v>0</v>
      </c>
      <c r="J24" s="4" cm="1">
        <f t="array" ref="J24">_xlfn.IFS('ProductSprint Backlog'!$F24="", "", AND('ProductSprint Backlog'!$J24&gt;J$2,'ProductSprint Backlog'!$I24&lt;=J$2), 'ProductSprint Backlog'!$F24 / MAX(1, 'ProductSprint Backlog'!$J24-'ProductSprint Backlog'!$I24), AND('ProductSprint Backlog'!$J24=J$2,'ProductSprint Backlog'!$I24=J$2), 'ProductSprint Backlog'!$F24, TRUE, 0)</f>
        <v>0</v>
      </c>
    </row>
    <row r="25" spans="2:10" x14ac:dyDescent="0.2">
      <c r="B25" s="4" cm="1">
        <f t="array" ref="B25">_xlfn.IFS('ProductSprint Backlog'!$F25="", "", AND('ProductSprint Backlog'!$J25&gt;B$2,'ProductSprint Backlog'!$I25&lt;=B$2), 'ProductSprint Backlog'!$F25 / MAX(1, 'ProductSprint Backlog'!$J25-'ProductSprint Backlog'!$I25), AND('ProductSprint Backlog'!$J25=B$2,'ProductSprint Backlog'!$I25=B$2), 'ProductSprint Backlog'!$F25, TRUE, 0)</f>
        <v>0</v>
      </c>
      <c r="C25" s="4" cm="1">
        <f t="array" ref="C25">_xlfn.IFS('ProductSprint Backlog'!$F25="", "", AND('ProductSprint Backlog'!$J25&gt;C$2,'ProductSprint Backlog'!$I25&lt;=C$2), 'ProductSprint Backlog'!$F25 / MAX(1, 'ProductSprint Backlog'!$J25-'ProductSprint Backlog'!$I25), AND('ProductSprint Backlog'!$J25=C$2,'ProductSprint Backlog'!$I25=C$2), 'ProductSprint Backlog'!$F25, TRUE, 0)</f>
        <v>0</v>
      </c>
      <c r="D25" s="4" cm="1">
        <f t="array" ref="D25">_xlfn.IFS('ProductSprint Backlog'!$F25="", "", AND('ProductSprint Backlog'!$J25&gt;D$2,'ProductSprint Backlog'!$I25&lt;=D$2), 'ProductSprint Backlog'!$F25 / MAX(1, 'ProductSprint Backlog'!$J25-'ProductSprint Backlog'!$I25), AND('ProductSprint Backlog'!$J25=D$2,'ProductSprint Backlog'!$I25=D$2), 'ProductSprint Backlog'!$F25, TRUE, 0)</f>
        <v>0</v>
      </c>
      <c r="E25" s="4" cm="1">
        <f t="array" ref="E25">_xlfn.IFS('ProductSprint Backlog'!$F25="", "", AND('ProductSprint Backlog'!$J25&gt;E$2,'ProductSprint Backlog'!$I25&lt;=E$2), 'ProductSprint Backlog'!$F25 / MAX(1, 'ProductSprint Backlog'!$J25-'ProductSprint Backlog'!$I25), AND('ProductSprint Backlog'!$J25=E$2,'ProductSprint Backlog'!$I25=E$2), 'ProductSprint Backlog'!$F25, TRUE, 0)</f>
        <v>0</v>
      </c>
      <c r="F25" s="4" cm="1">
        <f t="array" ref="F25">_xlfn.IFS('ProductSprint Backlog'!$F25="", "", AND('ProductSprint Backlog'!$J25&gt;F$2,'ProductSprint Backlog'!$I25&lt;=F$2), 'ProductSprint Backlog'!$F25 / MAX(1, 'ProductSprint Backlog'!$J25-'ProductSprint Backlog'!$I25), AND('ProductSprint Backlog'!$J25=F$2,'ProductSprint Backlog'!$I25=F$2), 'ProductSprint Backlog'!$F25, TRUE, 0)</f>
        <v>0</v>
      </c>
      <c r="G25" s="4" cm="1">
        <f t="array" ref="G25">_xlfn.IFS('ProductSprint Backlog'!$F25="", "", AND('ProductSprint Backlog'!$J25&gt;G$2,'ProductSprint Backlog'!$I25&lt;=G$2), 'ProductSprint Backlog'!$F25 / MAX(1, 'ProductSprint Backlog'!$J25-'ProductSprint Backlog'!$I25), AND('ProductSprint Backlog'!$J25=G$2,'ProductSprint Backlog'!$I25=G$2), 'ProductSprint Backlog'!$F25, TRUE, 0)</f>
        <v>0</v>
      </c>
      <c r="H25" s="4" cm="1">
        <f t="array" ref="H25">_xlfn.IFS('ProductSprint Backlog'!$F25="", "", AND('ProductSprint Backlog'!$J25&gt;H$2,'ProductSprint Backlog'!$I25&lt;=H$2), 'ProductSprint Backlog'!$F25 / MAX(1, 'ProductSprint Backlog'!$J25-'ProductSprint Backlog'!$I25), AND('ProductSprint Backlog'!$J25=H$2,'ProductSprint Backlog'!$I25=H$2), 'ProductSprint Backlog'!$F25, TRUE, 0)</f>
        <v>0</v>
      </c>
      <c r="I25" s="4" cm="1">
        <f t="array" ref="I25">_xlfn.IFS('ProductSprint Backlog'!$F25="", "", AND('ProductSprint Backlog'!$J25&gt;I$2,'ProductSprint Backlog'!$I25&lt;=I$2), 'ProductSprint Backlog'!$F25 / MAX(1, 'ProductSprint Backlog'!$J25-'ProductSprint Backlog'!$I25), AND('ProductSprint Backlog'!$J25=I$2,'ProductSprint Backlog'!$I25=I$2), 'ProductSprint Backlog'!$F25, TRUE, 0)</f>
        <v>0</v>
      </c>
      <c r="J25" s="4" cm="1">
        <f t="array" ref="J25">_xlfn.IFS('ProductSprint Backlog'!$F25="", "", AND('ProductSprint Backlog'!$J25&gt;J$2,'ProductSprint Backlog'!$I25&lt;=J$2), 'ProductSprint Backlog'!$F25 / MAX(1, 'ProductSprint Backlog'!$J25-'ProductSprint Backlog'!$I25), AND('ProductSprint Backlog'!$J25=J$2,'ProductSprint Backlog'!$I25=J$2), 'ProductSprint Backlog'!$F25, TRUE, 0)</f>
        <v>0</v>
      </c>
    </row>
    <row r="26" spans="2:10" x14ac:dyDescent="0.2">
      <c r="B26" s="4" cm="1">
        <f t="array" ref="B26">_xlfn.IFS('ProductSprint Backlog'!$F26="", "", AND('ProductSprint Backlog'!$J26&gt;B$2,'ProductSprint Backlog'!$I26&lt;=B$2), 'ProductSprint Backlog'!$F26 / MAX(1, 'ProductSprint Backlog'!$J26-'ProductSprint Backlog'!$I26), AND('ProductSprint Backlog'!$J26=B$2,'ProductSprint Backlog'!$I26=B$2), 'ProductSprint Backlog'!$F26, TRUE, 0)</f>
        <v>0</v>
      </c>
      <c r="C26" s="4" cm="1">
        <f t="array" ref="C26">_xlfn.IFS('ProductSprint Backlog'!$F26="", "", AND('ProductSprint Backlog'!$J26&gt;C$2,'ProductSprint Backlog'!$I26&lt;=C$2), 'ProductSprint Backlog'!$F26 / MAX(1, 'ProductSprint Backlog'!$J26-'ProductSprint Backlog'!$I26), AND('ProductSprint Backlog'!$J26=C$2,'ProductSprint Backlog'!$I26=C$2), 'ProductSprint Backlog'!$F26, TRUE, 0)</f>
        <v>0</v>
      </c>
      <c r="D26" s="4" cm="1">
        <f t="array" ref="D26">_xlfn.IFS('ProductSprint Backlog'!$F26="", "", AND('ProductSprint Backlog'!$J26&gt;D$2,'ProductSprint Backlog'!$I26&lt;=D$2), 'ProductSprint Backlog'!$F26 / MAX(1, 'ProductSprint Backlog'!$J26-'ProductSprint Backlog'!$I26), AND('ProductSprint Backlog'!$J26=D$2,'ProductSprint Backlog'!$I26=D$2), 'ProductSprint Backlog'!$F26, TRUE, 0)</f>
        <v>0</v>
      </c>
      <c r="E26" s="4" cm="1">
        <f t="array" ref="E26">_xlfn.IFS('ProductSprint Backlog'!$F26="", "", AND('ProductSprint Backlog'!$J26&gt;E$2,'ProductSprint Backlog'!$I26&lt;=E$2), 'ProductSprint Backlog'!$F26 / MAX(1, 'ProductSprint Backlog'!$J26-'ProductSprint Backlog'!$I26), AND('ProductSprint Backlog'!$J26=E$2,'ProductSprint Backlog'!$I26=E$2), 'ProductSprint Backlog'!$F26, TRUE, 0)</f>
        <v>0</v>
      </c>
      <c r="F26" s="4" cm="1">
        <f t="array" ref="F26">_xlfn.IFS('ProductSprint Backlog'!$F26="", "", AND('ProductSprint Backlog'!$J26&gt;F$2,'ProductSprint Backlog'!$I26&lt;=F$2), 'ProductSprint Backlog'!$F26 / MAX(1, 'ProductSprint Backlog'!$J26-'ProductSprint Backlog'!$I26), AND('ProductSprint Backlog'!$J26=F$2,'ProductSprint Backlog'!$I26=F$2), 'ProductSprint Backlog'!$F26, TRUE, 0)</f>
        <v>0</v>
      </c>
      <c r="G26" s="4" cm="1">
        <f t="array" ref="G26">_xlfn.IFS('ProductSprint Backlog'!$F26="", "", AND('ProductSprint Backlog'!$J26&gt;G$2,'ProductSprint Backlog'!$I26&lt;=G$2), 'ProductSprint Backlog'!$F26 / MAX(1, 'ProductSprint Backlog'!$J26-'ProductSprint Backlog'!$I26), AND('ProductSprint Backlog'!$J26=G$2,'ProductSprint Backlog'!$I26=G$2), 'ProductSprint Backlog'!$F26, TRUE, 0)</f>
        <v>0</v>
      </c>
      <c r="H26" s="4" cm="1">
        <f t="array" ref="H26">_xlfn.IFS('ProductSprint Backlog'!$F26="", "", AND('ProductSprint Backlog'!$J26&gt;H$2,'ProductSprint Backlog'!$I26&lt;=H$2), 'ProductSprint Backlog'!$F26 / MAX(1, 'ProductSprint Backlog'!$J26-'ProductSprint Backlog'!$I26), AND('ProductSprint Backlog'!$J26=H$2,'ProductSprint Backlog'!$I26=H$2), 'ProductSprint Backlog'!$F26, TRUE, 0)</f>
        <v>0</v>
      </c>
      <c r="I26" s="4" cm="1">
        <f t="array" ref="I26">_xlfn.IFS('ProductSprint Backlog'!$F26="", "", AND('ProductSprint Backlog'!$J26&gt;I$2,'ProductSprint Backlog'!$I26&lt;=I$2), 'ProductSprint Backlog'!$F26 / MAX(1, 'ProductSprint Backlog'!$J26-'ProductSprint Backlog'!$I26), AND('ProductSprint Backlog'!$J26=I$2,'ProductSprint Backlog'!$I26=I$2), 'ProductSprint Backlog'!$F26, TRUE, 0)</f>
        <v>0</v>
      </c>
      <c r="J26" s="4" cm="1">
        <f t="array" ref="J26">_xlfn.IFS('ProductSprint Backlog'!$F26="", "", AND('ProductSprint Backlog'!$J26&gt;J$2,'ProductSprint Backlog'!$I26&lt;=J$2), 'ProductSprint Backlog'!$F26 / MAX(1, 'ProductSprint Backlog'!$J26-'ProductSprint Backlog'!$I26), AND('ProductSprint Backlog'!$J26=J$2,'ProductSprint Backlog'!$I26=J$2), 'ProductSprint Backlog'!$F26, TRUE, 0)</f>
        <v>0</v>
      </c>
    </row>
    <row r="27" spans="2:10" x14ac:dyDescent="0.2">
      <c r="B27" s="4" t="str" cm="1">
        <f t="array" ref="B27">_xlfn.IFS('ProductSprint Backlog'!$F27="", "", AND('ProductSprint Backlog'!$J27&gt;B$2,'ProductSprint Backlog'!$I27&lt;=B$2), 'ProductSprint Backlog'!$F27 / MAX(1, 'ProductSprint Backlog'!$J27-'ProductSprint Backlog'!$I27), AND('ProductSprint Backlog'!$J27=B$2,'ProductSprint Backlog'!$I27=B$2), 'ProductSprint Backlog'!$F27, TRUE, 0)</f>
        <v/>
      </c>
      <c r="C27" s="4" t="str" cm="1">
        <f t="array" ref="C27">_xlfn.IFS('ProductSprint Backlog'!$F27="", "", AND('ProductSprint Backlog'!$J27&gt;C$2,'ProductSprint Backlog'!$I27&lt;=C$2), 'ProductSprint Backlog'!$F27 / MAX(1, 'ProductSprint Backlog'!$J27-'ProductSprint Backlog'!$I27), AND('ProductSprint Backlog'!$J27=C$2,'ProductSprint Backlog'!$I27=C$2), 'ProductSprint Backlog'!$F27, TRUE, 0)</f>
        <v/>
      </c>
      <c r="D27" s="4" t="str" cm="1">
        <f t="array" ref="D27">_xlfn.IFS('ProductSprint Backlog'!$F27="", "", AND('ProductSprint Backlog'!$J27&gt;D$2,'ProductSprint Backlog'!$I27&lt;=D$2), 'ProductSprint Backlog'!$F27 / MAX(1, 'ProductSprint Backlog'!$J27-'ProductSprint Backlog'!$I27), AND('ProductSprint Backlog'!$J27=D$2,'ProductSprint Backlog'!$I27=D$2), 'ProductSprint Backlog'!$F27, TRUE, 0)</f>
        <v/>
      </c>
      <c r="E27" s="4" t="str" cm="1">
        <f t="array" ref="E27">_xlfn.IFS('ProductSprint Backlog'!$F27="", "", AND('ProductSprint Backlog'!$J27&gt;E$2,'ProductSprint Backlog'!$I27&lt;=E$2), 'ProductSprint Backlog'!$F27 / MAX(1, 'ProductSprint Backlog'!$J27-'ProductSprint Backlog'!$I27), AND('ProductSprint Backlog'!$J27=E$2,'ProductSprint Backlog'!$I27=E$2), 'ProductSprint Backlog'!$F27, TRUE, 0)</f>
        <v/>
      </c>
      <c r="F27" s="4" t="str" cm="1">
        <f t="array" ref="F27">_xlfn.IFS('ProductSprint Backlog'!$F27="", "", AND('ProductSprint Backlog'!$J27&gt;F$2,'ProductSprint Backlog'!$I27&lt;=F$2), 'ProductSprint Backlog'!$F27 / MAX(1, 'ProductSprint Backlog'!$J27-'ProductSprint Backlog'!$I27), AND('ProductSprint Backlog'!$J27=F$2,'ProductSprint Backlog'!$I27=F$2), 'ProductSprint Backlog'!$F27, TRUE, 0)</f>
        <v/>
      </c>
      <c r="G27" s="4" t="str" cm="1">
        <f t="array" ref="G27">_xlfn.IFS('ProductSprint Backlog'!$F27="", "", AND('ProductSprint Backlog'!$J27&gt;G$2,'ProductSprint Backlog'!$I27&lt;=G$2), 'ProductSprint Backlog'!$F27 / MAX(1, 'ProductSprint Backlog'!$J27-'ProductSprint Backlog'!$I27), AND('ProductSprint Backlog'!$J27=G$2,'ProductSprint Backlog'!$I27=G$2), 'ProductSprint Backlog'!$F27, TRUE, 0)</f>
        <v/>
      </c>
      <c r="H27" s="4" t="str" cm="1">
        <f t="array" ref="H27">_xlfn.IFS('ProductSprint Backlog'!$F27="", "", AND('ProductSprint Backlog'!$J27&gt;H$2,'ProductSprint Backlog'!$I27&lt;=H$2), 'ProductSprint Backlog'!$F27 / MAX(1, 'ProductSprint Backlog'!$J27-'ProductSprint Backlog'!$I27), AND('ProductSprint Backlog'!$J27=H$2,'ProductSprint Backlog'!$I27=H$2), 'ProductSprint Backlog'!$F27, TRUE, 0)</f>
        <v/>
      </c>
      <c r="I27" s="4" t="str" cm="1">
        <f t="array" ref="I27">_xlfn.IFS('ProductSprint Backlog'!$F27="", "", AND('ProductSprint Backlog'!$J27&gt;I$2,'ProductSprint Backlog'!$I27&lt;=I$2), 'ProductSprint Backlog'!$F27 / MAX(1, 'ProductSprint Backlog'!$J27-'ProductSprint Backlog'!$I27), AND('ProductSprint Backlog'!$J27=I$2,'ProductSprint Backlog'!$I27=I$2), 'ProductSprint Backlog'!$F27, TRUE, 0)</f>
        <v/>
      </c>
      <c r="J27" s="4" t="str" cm="1">
        <f t="array" ref="J27">_xlfn.IFS('ProductSprint Backlog'!$F27="", "", AND('ProductSprint Backlog'!$J27&gt;J$2,'ProductSprint Backlog'!$I27&lt;=J$2), 'ProductSprint Backlog'!$F27 / MAX(1, 'ProductSprint Backlog'!$J27-'ProductSprint Backlog'!$I27), AND('ProductSprint Backlog'!$J27=J$2,'ProductSprint Backlog'!$I27=J$2), 'ProductSprint Backlog'!$F27, TRUE, 0)</f>
        <v/>
      </c>
    </row>
    <row r="28" spans="2:10" x14ac:dyDescent="0.2">
      <c r="B28" s="4" cm="1">
        <f t="array" ref="B28">_xlfn.IFS('ProductSprint Backlog'!$F28="", "", AND('ProductSprint Backlog'!$J28&gt;B$2,'ProductSprint Backlog'!$I28&lt;=B$2), 'ProductSprint Backlog'!$F28 / MAX(1, 'ProductSprint Backlog'!$J28-'ProductSprint Backlog'!$I28), AND('ProductSprint Backlog'!$J28=B$2,'ProductSprint Backlog'!$I28=B$2), 'ProductSprint Backlog'!$F28, TRUE, 0)</f>
        <v>0</v>
      </c>
      <c r="C28" s="4" cm="1">
        <f t="array" ref="C28">_xlfn.IFS('ProductSprint Backlog'!$F28="", "", AND('ProductSprint Backlog'!$J28&gt;C$2,'ProductSprint Backlog'!$I28&lt;=C$2), 'ProductSprint Backlog'!$F28 / MAX(1, 'ProductSprint Backlog'!$J28-'ProductSprint Backlog'!$I28), AND('ProductSprint Backlog'!$J28=C$2,'ProductSprint Backlog'!$I28=C$2), 'ProductSprint Backlog'!$F28, TRUE, 0)</f>
        <v>0</v>
      </c>
      <c r="D28" s="4" cm="1">
        <f t="array" ref="D28">_xlfn.IFS('ProductSprint Backlog'!$F28="", "", AND('ProductSprint Backlog'!$J28&gt;D$2,'ProductSprint Backlog'!$I28&lt;=D$2), 'ProductSprint Backlog'!$F28 / MAX(1, 'ProductSprint Backlog'!$J28-'ProductSprint Backlog'!$I28), AND('ProductSprint Backlog'!$J28=D$2,'ProductSprint Backlog'!$I28=D$2), 'ProductSprint Backlog'!$F28, TRUE, 0)</f>
        <v>0</v>
      </c>
      <c r="E28" s="4" cm="1">
        <f t="array" ref="E28">_xlfn.IFS('ProductSprint Backlog'!$F28="", "", AND('ProductSprint Backlog'!$J28&gt;E$2,'ProductSprint Backlog'!$I28&lt;=E$2), 'ProductSprint Backlog'!$F28 / MAX(1, 'ProductSprint Backlog'!$J28-'ProductSprint Backlog'!$I28), AND('ProductSprint Backlog'!$J28=E$2,'ProductSprint Backlog'!$I28=E$2), 'ProductSprint Backlog'!$F28, TRUE, 0)</f>
        <v>0</v>
      </c>
      <c r="F28" s="4" cm="1">
        <f t="array" ref="F28">_xlfn.IFS('ProductSprint Backlog'!$F28="", "", AND('ProductSprint Backlog'!$J28&gt;F$2,'ProductSprint Backlog'!$I28&lt;=F$2), 'ProductSprint Backlog'!$F28 / MAX(1, 'ProductSprint Backlog'!$J28-'ProductSprint Backlog'!$I28), AND('ProductSprint Backlog'!$J28=F$2,'ProductSprint Backlog'!$I28=F$2), 'ProductSprint Backlog'!$F28, TRUE, 0)</f>
        <v>0</v>
      </c>
      <c r="G28" s="4" cm="1">
        <f t="array" ref="G28">_xlfn.IFS('ProductSprint Backlog'!$F28="", "", AND('ProductSprint Backlog'!$J28&gt;G$2,'ProductSprint Backlog'!$I28&lt;=G$2), 'ProductSprint Backlog'!$F28 / MAX(1, 'ProductSprint Backlog'!$J28-'ProductSprint Backlog'!$I28), AND('ProductSprint Backlog'!$J28=G$2,'ProductSprint Backlog'!$I28=G$2), 'ProductSprint Backlog'!$F28, TRUE, 0)</f>
        <v>0</v>
      </c>
      <c r="H28" s="4" cm="1">
        <f t="array" ref="H28">_xlfn.IFS('ProductSprint Backlog'!$F28="", "", AND('ProductSprint Backlog'!$J28&gt;H$2,'ProductSprint Backlog'!$I28&lt;=H$2), 'ProductSprint Backlog'!$F28 / MAX(1, 'ProductSprint Backlog'!$J28-'ProductSprint Backlog'!$I28), AND('ProductSprint Backlog'!$J28=H$2,'ProductSprint Backlog'!$I28=H$2), 'ProductSprint Backlog'!$F28, TRUE, 0)</f>
        <v>0</v>
      </c>
      <c r="I28" s="4" cm="1">
        <f t="array" ref="I28">_xlfn.IFS('ProductSprint Backlog'!$F28="", "", AND('ProductSprint Backlog'!$J28&gt;I$2,'ProductSprint Backlog'!$I28&lt;=I$2), 'ProductSprint Backlog'!$F28 / MAX(1, 'ProductSprint Backlog'!$J28-'ProductSprint Backlog'!$I28), AND('ProductSprint Backlog'!$J28=I$2,'ProductSprint Backlog'!$I28=I$2), 'ProductSprint Backlog'!$F28, TRUE, 0)</f>
        <v>0</v>
      </c>
      <c r="J28" s="4" cm="1">
        <f t="array" ref="J28">_xlfn.IFS('ProductSprint Backlog'!$F28="", "", AND('ProductSprint Backlog'!$J28&gt;J$2,'ProductSprint Backlog'!$I28&lt;=J$2), 'ProductSprint Backlog'!$F28 / MAX(1, 'ProductSprint Backlog'!$J28-'ProductSprint Backlog'!$I28), AND('ProductSprint Backlog'!$J28=J$2,'ProductSprint Backlog'!$I28=J$2), 'ProductSprint Backlog'!$F28, TRUE, 0)</f>
        <v>0</v>
      </c>
    </row>
    <row r="29" spans="2:10" x14ac:dyDescent="0.2">
      <c r="B29" s="4" cm="1">
        <f t="array" ref="B29">_xlfn.IFS('ProductSprint Backlog'!$F29="", "", AND('ProductSprint Backlog'!$J29&gt;B$2,'ProductSprint Backlog'!$I29&lt;=B$2), 'ProductSprint Backlog'!$F29 / MAX(1, 'ProductSprint Backlog'!$J29-'ProductSprint Backlog'!$I29), AND('ProductSprint Backlog'!$J29=B$2,'ProductSprint Backlog'!$I29=B$2), 'ProductSprint Backlog'!$F29, TRUE, 0)</f>
        <v>0</v>
      </c>
      <c r="C29" s="4" cm="1">
        <f t="array" ref="C29">_xlfn.IFS('ProductSprint Backlog'!$F29="", "", AND('ProductSprint Backlog'!$J29&gt;C$2,'ProductSprint Backlog'!$I29&lt;=C$2), 'ProductSprint Backlog'!$F29 / MAX(1, 'ProductSprint Backlog'!$J29-'ProductSprint Backlog'!$I29), AND('ProductSprint Backlog'!$J29=C$2,'ProductSprint Backlog'!$I29=C$2), 'ProductSprint Backlog'!$F29, TRUE, 0)</f>
        <v>0</v>
      </c>
      <c r="D29" s="4" cm="1">
        <f t="array" ref="D29">_xlfn.IFS('ProductSprint Backlog'!$F29="", "", AND('ProductSprint Backlog'!$J29&gt;D$2,'ProductSprint Backlog'!$I29&lt;=D$2), 'ProductSprint Backlog'!$F29 / MAX(1, 'ProductSprint Backlog'!$J29-'ProductSprint Backlog'!$I29), AND('ProductSprint Backlog'!$J29=D$2,'ProductSprint Backlog'!$I29=D$2), 'ProductSprint Backlog'!$F29, TRUE, 0)</f>
        <v>0</v>
      </c>
      <c r="E29" s="4" cm="1">
        <f t="array" ref="E29">_xlfn.IFS('ProductSprint Backlog'!$F29="", "", AND('ProductSprint Backlog'!$J29&gt;E$2,'ProductSprint Backlog'!$I29&lt;=E$2), 'ProductSprint Backlog'!$F29 / MAX(1, 'ProductSprint Backlog'!$J29-'ProductSprint Backlog'!$I29), AND('ProductSprint Backlog'!$J29=E$2,'ProductSprint Backlog'!$I29=E$2), 'ProductSprint Backlog'!$F29, TRUE, 0)</f>
        <v>0</v>
      </c>
      <c r="F29" s="4" cm="1">
        <f t="array" ref="F29">_xlfn.IFS('ProductSprint Backlog'!$F29="", "", AND('ProductSprint Backlog'!$J29&gt;F$2,'ProductSprint Backlog'!$I29&lt;=F$2), 'ProductSprint Backlog'!$F29 / MAX(1, 'ProductSprint Backlog'!$J29-'ProductSprint Backlog'!$I29), AND('ProductSprint Backlog'!$J29=F$2,'ProductSprint Backlog'!$I29=F$2), 'ProductSprint Backlog'!$F29, TRUE, 0)</f>
        <v>0</v>
      </c>
      <c r="G29" s="4" cm="1">
        <f t="array" ref="G29">_xlfn.IFS('ProductSprint Backlog'!$F29="", "", AND('ProductSprint Backlog'!$J29&gt;G$2,'ProductSprint Backlog'!$I29&lt;=G$2), 'ProductSprint Backlog'!$F29 / MAX(1, 'ProductSprint Backlog'!$J29-'ProductSprint Backlog'!$I29), AND('ProductSprint Backlog'!$J29=G$2,'ProductSprint Backlog'!$I29=G$2), 'ProductSprint Backlog'!$F29, TRUE, 0)</f>
        <v>0</v>
      </c>
      <c r="H29" s="4" cm="1">
        <f t="array" ref="H29">_xlfn.IFS('ProductSprint Backlog'!$F29="", "", AND('ProductSprint Backlog'!$J29&gt;H$2,'ProductSprint Backlog'!$I29&lt;=H$2), 'ProductSprint Backlog'!$F29 / MAX(1, 'ProductSprint Backlog'!$J29-'ProductSprint Backlog'!$I29), AND('ProductSprint Backlog'!$J29=H$2,'ProductSprint Backlog'!$I29=H$2), 'ProductSprint Backlog'!$F29, TRUE, 0)</f>
        <v>0</v>
      </c>
      <c r="I29" s="4" cm="1">
        <f t="array" ref="I29">_xlfn.IFS('ProductSprint Backlog'!$F29="", "", AND('ProductSprint Backlog'!$J29&gt;I$2,'ProductSprint Backlog'!$I29&lt;=I$2), 'ProductSprint Backlog'!$F29 / MAX(1, 'ProductSprint Backlog'!$J29-'ProductSprint Backlog'!$I29), AND('ProductSprint Backlog'!$J29=I$2,'ProductSprint Backlog'!$I29=I$2), 'ProductSprint Backlog'!$F29, TRUE, 0)</f>
        <v>0</v>
      </c>
      <c r="J29" s="4" cm="1">
        <f t="array" ref="J29">_xlfn.IFS('ProductSprint Backlog'!$F29="", "", AND('ProductSprint Backlog'!$J29&gt;J$2,'ProductSprint Backlog'!$I29&lt;=J$2), 'ProductSprint Backlog'!$F29 / MAX(1, 'ProductSprint Backlog'!$J29-'ProductSprint Backlog'!$I29), AND('ProductSprint Backlog'!$J29=J$2,'ProductSprint Backlog'!$I29=J$2), 'ProductSprint Backlog'!$F29, TRUE, 0)</f>
        <v>0</v>
      </c>
    </row>
    <row r="30" spans="2:10" x14ac:dyDescent="0.2">
      <c r="B30" s="4" cm="1">
        <f t="array" ref="B30">_xlfn.IFS('ProductSprint Backlog'!$F30="", "", AND('ProductSprint Backlog'!$J30&gt;B$2,'ProductSprint Backlog'!$I30&lt;=B$2), 'ProductSprint Backlog'!$F30 / MAX(1, 'ProductSprint Backlog'!$J30-'ProductSprint Backlog'!$I30), AND('ProductSprint Backlog'!$J30=B$2,'ProductSprint Backlog'!$I30=B$2), 'ProductSprint Backlog'!$F30, TRUE, 0)</f>
        <v>0</v>
      </c>
      <c r="C30" s="4" cm="1">
        <f t="array" ref="C30">_xlfn.IFS('ProductSprint Backlog'!$F30="", "", AND('ProductSprint Backlog'!$J30&gt;C$2,'ProductSprint Backlog'!$I30&lt;=C$2), 'ProductSprint Backlog'!$F30 / MAX(1, 'ProductSprint Backlog'!$J30-'ProductSprint Backlog'!$I30), AND('ProductSprint Backlog'!$J30=C$2,'ProductSprint Backlog'!$I30=C$2), 'ProductSprint Backlog'!$F30, TRUE, 0)</f>
        <v>0</v>
      </c>
      <c r="D30" s="4" cm="1">
        <f t="array" ref="D30">_xlfn.IFS('ProductSprint Backlog'!$F30="", "", AND('ProductSprint Backlog'!$J30&gt;D$2,'ProductSprint Backlog'!$I30&lt;=D$2), 'ProductSprint Backlog'!$F30 / MAX(1, 'ProductSprint Backlog'!$J30-'ProductSprint Backlog'!$I30), AND('ProductSprint Backlog'!$J30=D$2,'ProductSprint Backlog'!$I30=D$2), 'ProductSprint Backlog'!$F30, TRUE, 0)</f>
        <v>0</v>
      </c>
      <c r="E30" s="4" cm="1">
        <f t="array" ref="E30">_xlfn.IFS('ProductSprint Backlog'!$F30="", "", AND('ProductSprint Backlog'!$J30&gt;E$2,'ProductSprint Backlog'!$I30&lt;=E$2), 'ProductSprint Backlog'!$F30 / MAX(1, 'ProductSprint Backlog'!$J30-'ProductSprint Backlog'!$I30), AND('ProductSprint Backlog'!$J30=E$2,'ProductSprint Backlog'!$I30=E$2), 'ProductSprint Backlog'!$F30, TRUE, 0)</f>
        <v>0</v>
      </c>
      <c r="F30" s="4" cm="1">
        <f t="array" ref="F30">_xlfn.IFS('ProductSprint Backlog'!$F30="", "", AND('ProductSprint Backlog'!$J30&gt;F$2,'ProductSprint Backlog'!$I30&lt;=F$2), 'ProductSprint Backlog'!$F30 / MAX(1, 'ProductSprint Backlog'!$J30-'ProductSprint Backlog'!$I30), AND('ProductSprint Backlog'!$J30=F$2,'ProductSprint Backlog'!$I30=F$2), 'ProductSprint Backlog'!$F30, TRUE, 0)</f>
        <v>0</v>
      </c>
      <c r="G30" s="4" cm="1">
        <f t="array" ref="G30">_xlfn.IFS('ProductSprint Backlog'!$F30="", "", AND('ProductSprint Backlog'!$J30&gt;G$2,'ProductSprint Backlog'!$I30&lt;=G$2), 'ProductSprint Backlog'!$F30 / MAX(1, 'ProductSprint Backlog'!$J30-'ProductSprint Backlog'!$I30), AND('ProductSprint Backlog'!$J30=G$2,'ProductSprint Backlog'!$I30=G$2), 'ProductSprint Backlog'!$F30, TRUE, 0)</f>
        <v>0</v>
      </c>
      <c r="H30" s="4" cm="1">
        <f t="array" ref="H30">_xlfn.IFS('ProductSprint Backlog'!$F30="", "", AND('ProductSprint Backlog'!$J30&gt;H$2,'ProductSprint Backlog'!$I30&lt;=H$2), 'ProductSprint Backlog'!$F30 / MAX(1, 'ProductSprint Backlog'!$J30-'ProductSprint Backlog'!$I30), AND('ProductSprint Backlog'!$J30=H$2,'ProductSprint Backlog'!$I30=H$2), 'ProductSprint Backlog'!$F30, TRUE, 0)</f>
        <v>0</v>
      </c>
      <c r="I30" s="4" cm="1">
        <f t="array" ref="I30">_xlfn.IFS('ProductSprint Backlog'!$F30="", "", AND('ProductSprint Backlog'!$J30&gt;I$2,'ProductSprint Backlog'!$I30&lt;=I$2), 'ProductSprint Backlog'!$F30 / MAX(1, 'ProductSprint Backlog'!$J30-'ProductSprint Backlog'!$I30), AND('ProductSprint Backlog'!$J30=I$2,'ProductSprint Backlog'!$I30=I$2), 'ProductSprint Backlog'!$F30, TRUE, 0)</f>
        <v>0</v>
      </c>
      <c r="J30" s="4" cm="1">
        <f t="array" ref="J30">_xlfn.IFS('ProductSprint Backlog'!$F30="", "", AND('ProductSprint Backlog'!$J30&gt;J$2,'ProductSprint Backlog'!$I30&lt;=J$2), 'ProductSprint Backlog'!$F30 / MAX(1, 'ProductSprint Backlog'!$J30-'ProductSprint Backlog'!$I30), AND('ProductSprint Backlog'!$J30=J$2,'ProductSprint Backlog'!$I30=J$2), 'ProductSprint Backlog'!$F30, TRUE, 0)</f>
        <v>0</v>
      </c>
    </row>
    <row r="31" spans="2:10" x14ac:dyDescent="0.2">
      <c r="B31" s="4" t="str" cm="1">
        <f t="array" ref="B31">_xlfn.IFS('ProductSprint Backlog'!$F31="", "", AND('ProductSprint Backlog'!$J31&gt;B$2,'ProductSprint Backlog'!$I31&lt;=B$2), 'ProductSprint Backlog'!$F31 / MAX(1, 'ProductSprint Backlog'!$J31-'ProductSprint Backlog'!$I31), AND('ProductSprint Backlog'!$J31=B$2,'ProductSprint Backlog'!$I31=B$2), 'ProductSprint Backlog'!$F31, TRUE, 0)</f>
        <v/>
      </c>
      <c r="C31" s="4" t="str" cm="1">
        <f t="array" ref="C31">_xlfn.IFS('ProductSprint Backlog'!$F31="", "", AND('ProductSprint Backlog'!$J31&gt;C$2,'ProductSprint Backlog'!$I31&lt;=C$2), 'ProductSprint Backlog'!$F31 / MAX(1, 'ProductSprint Backlog'!$J31-'ProductSprint Backlog'!$I31), AND('ProductSprint Backlog'!$J31=C$2,'ProductSprint Backlog'!$I31=C$2), 'ProductSprint Backlog'!$F31, TRUE, 0)</f>
        <v/>
      </c>
      <c r="D31" s="4" t="str" cm="1">
        <f t="array" ref="D31">_xlfn.IFS('ProductSprint Backlog'!$F31="", "", AND('ProductSprint Backlog'!$J31&gt;D$2,'ProductSprint Backlog'!$I31&lt;=D$2), 'ProductSprint Backlog'!$F31 / MAX(1, 'ProductSprint Backlog'!$J31-'ProductSprint Backlog'!$I31), AND('ProductSprint Backlog'!$J31=D$2,'ProductSprint Backlog'!$I31=D$2), 'ProductSprint Backlog'!$F31, TRUE, 0)</f>
        <v/>
      </c>
      <c r="E31" s="4" t="str" cm="1">
        <f t="array" ref="E31">_xlfn.IFS('ProductSprint Backlog'!$F31="", "", AND('ProductSprint Backlog'!$J31&gt;E$2,'ProductSprint Backlog'!$I31&lt;=E$2), 'ProductSprint Backlog'!$F31 / MAX(1, 'ProductSprint Backlog'!$J31-'ProductSprint Backlog'!$I31), AND('ProductSprint Backlog'!$J31=E$2,'ProductSprint Backlog'!$I31=E$2), 'ProductSprint Backlog'!$F31, TRUE, 0)</f>
        <v/>
      </c>
      <c r="F31" s="4" t="str" cm="1">
        <f t="array" ref="F31">_xlfn.IFS('ProductSprint Backlog'!$F31="", "", AND('ProductSprint Backlog'!$J31&gt;F$2,'ProductSprint Backlog'!$I31&lt;=F$2), 'ProductSprint Backlog'!$F31 / MAX(1, 'ProductSprint Backlog'!$J31-'ProductSprint Backlog'!$I31), AND('ProductSprint Backlog'!$J31=F$2,'ProductSprint Backlog'!$I31=F$2), 'ProductSprint Backlog'!$F31, TRUE, 0)</f>
        <v/>
      </c>
      <c r="G31" s="4" t="str" cm="1">
        <f t="array" ref="G31">_xlfn.IFS('ProductSprint Backlog'!$F31="", "", AND('ProductSprint Backlog'!$J31&gt;G$2,'ProductSprint Backlog'!$I31&lt;=G$2), 'ProductSprint Backlog'!$F31 / MAX(1, 'ProductSprint Backlog'!$J31-'ProductSprint Backlog'!$I31), AND('ProductSprint Backlog'!$J31=G$2,'ProductSprint Backlog'!$I31=G$2), 'ProductSprint Backlog'!$F31, TRUE, 0)</f>
        <v/>
      </c>
      <c r="H31" s="4" t="str" cm="1">
        <f t="array" ref="H31">_xlfn.IFS('ProductSprint Backlog'!$F31="", "", AND('ProductSprint Backlog'!$J31&gt;H$2,'ProductSprint Backlog'!$I31&lt;=H$2), 'ProductSprint Backlog'!$F31 / MAX(1, 'ProductSprint Backlog'!$J31-'ProductSprint Backlog'!$I31), AND('ProductSprint Backlog'!$J31=H$2,'ProductSprint Backlog'!$I31=H$2), 'ProductSprint Backlog'!$F31, TRUE, 0)</f>
        <v/>
      </c>
      <c r="I31" s="4" t="str" cm="1">
        <f t="array" ref="I31">_xlfn.IFS('ProductSprint Backlog'!$F31="", "", AND('ProductSprint Backlog'!$J31&gt;I$2,'ProductSprint Backlog'!$I31&lt;=I$2), 'ProductSprint Backlog'!$F31 / MAX(1, 'ProductSprint Backlog'!$J31-'ProductSprint Backlog'!$I31), AND('ProductSprint Backlog'!$J31=I$2,'ProductSprint Backlog'!$I31=I$2), 'ProductSprint Backlog'!$F31, TRUE, 0)</f>
        <v/>
      </c>
      <c r="J31" s="4" t="str" cm="1">
        <f t="array" ref="J31">_xlfn.IFS('ProductSprint Backlog'!$F31="", "", AND('ProductSprint Backlog'!$J31&gt;J$2,'ProductSprint Backlog'!$I31&lt;=J$2), 'ProductSprint Backlog'!$F31 / MAX(1, 'ProductSprint Backlog'!$J31-'ProductSprint Backlog'!$I31), AND('ProductSprint Backlog'!$J31=J$2,'ProductSprint Backlog'!$I31=J$2), 'ProductSprint Backlog'!$F31, TRUE, 0)</f>
        <v/>
      </c>
    </row>
    <row r="32" spans="2:10" x14ac:dyDescent="0.2">
      <c r="B32" s="4" cm="1">
        <f t="array" ref="B32">_xlfn.IFS('ProductSprint Backlog'!$F32="", "", AND('ProductSprint Backlog'!$J32&gt;B$2,'ProductSprint Backlog'!$I32&lt;=B$2), 'ProductSprint Backlog'!$F32 / MAX(1, 'ProductSprint Backlog'!$J32-'ProductSprint Backlog'!$I32), AND('ProductSprint Backlog'!$J32=B$2,'ProductSprint Backlog'!$I32=B$2), 'ProductSprint Backlog'!$F32, TRUE, 0)</f>
        <v>0</v>
      </c>
      <c r="C32" s="4" cm="1">
        <f t="array" ref="C32">_xlfn.IFS('ProductSprint Backlog'!$F32="", "", AND('ProductSprint Backlog'!$J32&gt;C$2,'ProductSprint Backlog'!$I32&lt;=C$2), 'ProductSprint Backlog'!$F32 / MAX(1, 'ProductSprint Backlog'!$J32-'ProductSprint Backlog'!$I32), AND('ProductSprint Backlog'!$J32=C$2,'ProductSprint Backlog'!$I32=C$2), 'ProductSprint Backlog'!$F32, TRUE, 0)</f>
        <v>0</v>
      </c>
      <c r="D32" s="4" cm="1">
        <f t="array" ref="D32">_xlfn.IFS('ProductSprint Backlog'!$F32="", "", AND('ProductSprint Backlog'!$J32&gt;D$2,'ProductSprint Backlog'!$I32&lt;=D$2), 'ProductSprint Backlog'!$F32 / MAX(1, 'ProductSprint Backlog'!$J32-'ProductSprint Backlog'!$I32), AND('ProductSprint Backlog'!$J32=D$2,'ProductSprint Backlog'!$I32=D$2), 'ProductSprint Backlog'!$F32, TRUE, 0)</f>
        <v>0</v>
      </c>
      <c r="E32" s="4" cm="1">
        <f t="array" ref="E32">_xlfn.IFS('ProductSprint Backlog'!$F32="", "", AND('ProductSprint Backlog'!$J32&gt;E$2,'ProductSprint Backlog'!$I32&lt;=E$2), 'ProductSprint Backlog'!$F32 / MAX(1, 'ProductSprint Backlog'!$J32-'ProductSprint Backlog'!$I32), AND('ProductSprint Backlog'!$J32=E$2,'ProductSprint Backlog'!$I32=E$2), 'ProductSprint Backlog'!$F32, TRUE, 0)</f>
        <v>0</v>
      </c>
      <c r="F32" s="4" cm="1">
        <f t="array" ref="F32">_xlfn.IFS('ProductSprint Backlog'!$F32="", "", AND('ProductSprint Backlog'!$J32&gt;F$2,'ProductSprint Backlog'!$I32&lt;=F$2), 'ProductSprint Backlog'!$F32 / MAX(1, 'ProductSprint Backlog'!$J32-'ProductSprint Backlog'!$I32), AND('ProductSprint Backlog'!$J32=F$2,'ProductSprint Backlog'!$I32=F$2), 'ProductSprint Backlog'!$F32, TRUE, 0)</f>
        <v>0</v>
      </c>
      <c r="G32" s="4" cm="1">
        <f t="array" ref="G32">_xlfn.IFS('ProductSprint Backlog'!$F32="", "", AND('ProductSprint Backlog'!$J32&gt;G$2,'ProductSprint Backlog'!$I32&lt;=G$2), 'ProductSprint Backlog'!$F32 / MAX(1, 'ProductSprint Backlog'!$J32-'ProductSprint Backlog'!$I32), AND('ProductSprint Backlog'!$J32=G$2,'ProductSprint Backlog'!$I32=G$2), 'ProductSprint Backlog'!$F32, TRUE, 0)</f>
        <v>0</v>
      </c>
      <c r="H32" s="4" cm="1">
        <f t="array" ref="H32">_xlfn.IFS('ProductSprint Backlog'!$F32="", "", AND('ProductSprint Backlog'!$J32&gt;H$2,'ProductSprint Backlog'!$I32&lt;=H$2), 'ProductSprint Backlog'!$F32 / MAX(1, 'ProductSprint Backlog'!$J32-'ProductSprint Backlog'!$I32), AND('ProductSprint Backlog'!$J32=H$2,'ProductSprint Backlog'!$I32=H$2), 'ProductSprint Backlog'!$F32, TRUE, 0)</f>
        <v>0</v>
      </c>
      <c r="I32" s="4" cm="1">
        <f t="array" ref="I32">_xlfn.IFS('ProductSprint Backlog'!$F32="", "", AND('ProductSprint Backlog'!$J32&gt;I$2,'ProductSprint Backlog'!$I32&lt;=I$2), 'ProductSprint Backlog'!$F32 / MAX(1, 'ProductSprint Backlog'!$J32-'ProductSprint Backlog'!$I32), AND('ProductSprint Backlog'!$J32=I$2,'ProductSprint Backlog'!$I32=I$2), 'ProductSprint Backlog'!$F32, TRUE, 0)</f>
        <v>0</v>
      </c>
      <c r="J32" s="4" cm="1">
        <f t="array" ref="J32">_xlfn.IFS('ProductSprint Backlog'!$F32="", "", AND('ProductSprint Backlog'!$J32&gt;J$2,'ProductSprint Backlog'!$I32&lt;=J$2), 'ProductSprint Backlog'!$F32 / MAX(1, 'ProductSprint Backlog'!$J32-'ProductSprint Backlog'!$I32), AND('ProductSprint Backlog'!$J32=J$2,'ProductSprint Backlog'!$I32=J$2), 'ProductSprint Backlog'!$F32, TRUE, 0)</f>
        <v>0</v>
      </c>
    </row>
    <row r="33" spans="2:10" x14ac:dyDescent="0.2">
      <c r="B33" s="4" cm="1">
        <f t="array" ref="B33">_xlfn.IFS('ProductSprint Backlog'!$F33="", "", AND('ProductSprint Backlog'!$J33&gt;B$2,'ProductSprint Backlog'!$I33&lt;=B$2), 'ProductSprint Backlog'!$F33 / MAX(1, 'ProductSprint Backlog'!$J33-'ProductSprint Backlog'!$I33), AND('ProductSprint Backlog'!$J33=B$2,'ProductSprint Backlog'!$I33=B$2), 'ProductSprint Backlog'!$F33, TRUE, 0)</f>
        <v>0</v>
      </c>
      <c r="C33" s="4" cm="1">
        <f t="array" ref="C33">_xlfn.IFS('ProductSprint Backlog'!$F33="", "", AND('ProductSprint Backlog'!$J33&gt;C$2,'ProductSprint Backlog'!$I33&lt;=C$2), 'ProductSprint Backlog'!$F33 / MAX(1, 'ProductSprint Backlog'!$J33-'ProductSprint Backlog'!$I33), AND('ProductSprint Backlog'!$J33=C$2,'ProductSprint Backlog'!$I33=C$2), 'ProductSprint Backlog'!$F33, TRUE, 0)</f>
        <v>0</v>
      </c>
      <c r="D33" s="4" cm="1">
        <f t="array" ref="D33">_xlfn.IFS('ProductSprint Backlog'!$F33="", "", AND('ProductSprint Backlog'!$J33&gt;D$2,'ProductSprint Backlog'!$I33&lt;=D$2), 'ProductSprint Backlog'!$F33 / MAX(1, 'ProductSprint Backlog'!$J33-'ProductSprint Backlog'!$I33), AND('ProductSprint Backlog'!$J33=D$2,'ProductSprint Backlog'!$I33=D$2), 'ProductSprint Backlog'!$F33, TRUE, 0)</f>
        <v>0</v>
      </c>
      <c r="E33" s="4" cm="1">
        <f t="array" ref="E33">_xlfn.IFS('ProductSprint Backlog'!$F33="", "", AND('ProductSprint Backlog'!$J33&gt;E$2,'ProductSprint Backlog'!$I33&lt;=E$2), 'ProductSprint Backlog'!$F33 / MAX(1, 'ProductSprint Backlog'!$J33-'ProductSprint Backlog'!$I33), AND('ProductSprint Backlog'!$J33=E$2,'ProductSprint Backlog'!$I33=E$2), 'ProductSprint Backlog'!$F33, TRUE, 0)</f>
        <v>0</v>
      </c>
      <c r="F33" s="4" cm="1">
        <f t="array" ref="F33">_xlfn.IFS('ProductSprint Backlog'!$F33="", "", AND('ProductSprint Backlog'!$J33&gt;F$2,'ProductSprint Backlog'!$I33&lt;=F$2), 'ProductSprint Backlog'!$F33 / MAX(1, 'ProductSprint Backlog'!$J33-'ProductSprint Backlog'!$I33), AND('ProductSprint Backlog'!$J33=F$2,'ProductSprint Backlog'!$I33=F$2), 'ProductSprint Backlog'!$F33, TRUE, 0)</f>
        <v>0</v>
      </c>
      <c r="G33" s="4" cm="1">
        <f t="array" ref="G33">_xlfn.IFS('ProductSprint Backlog'!$F33="", "", AND('ProductSprint Backlog'!$J33&gt;G$2,'ProductSprint Backlog'!$I33&lt;=G$2), 'ProductSprint Backlog'!$F33 / MAX(1, 'ProductSprint Backlog'!$J33-'ProductSprint Backlog'!$I33), AND('ProductSprint Backlog'!$J33=G$2,'ProductSprint Backlog'!$I33=G$2), 'ProductSprint Backlog'!$F33, TRUE, 0)</f>
        <v>0</v>
      </c>
      <c r="H33" s="4" cm="1">
        <f t="array" ref="H33">_xlfn.IFS('ProductSprint Backlog'!$F33="", "", AND('ProductSprint Backlog'!$J33&gt;H$2,'ProductSprint Backlog'!$I33&lt;=H$2), 'ProductSprint Backlog'!$F33 / MAX(1, 'ProductSprint Backlog'!$J33-'ProductSprint Backlog'!$I33), AND('ProductSprint Backlog'!$J33=H$2,'ProductSprint Backlog'!$I33=H$2), 'ProductSprint Backlog'!$F33, TRUE, 0)</f>
        <v>0</v>
      </c>
      <c r="I33" s="4" cm="1">
        <f t="array" ref="I33">_xlfn.IFS('ProductSprint Backlog'!$F33="", "", AND('ProductSprint Backlog'!$J33&gt;I$2,'ProductSprint Backlog'!$I33&lt;=I$2), 'ProductSprint Backlog'!$F33 / MAX(1, 'ProductSprint Backlog'!$J33-'ProductSprint Backlog'!$I33), AND('ProductSprint Backlog'!$J33=I$2,'ProductSprint Backlog'!$I33=I$2), 'ProductSprint Backlog'!$F33, TRUE, 0)</f>
        <v>0</v>
      </c>
      <c r="J33" s="4" cm="1">
        <f t="array" ref="J33">_xlfn.IFS('ProductSprint Backlog'!$F33="", "", AND('ProductSprint Backlog'!$J33&gt;J$2,'ProductSprint Backlog'!$I33&lt;=J$2), 'ProductSprint Backlog'!$F33 / MAX(1, 'ProductSprint Backlog'!$J33-'ProductSprint Backlog'!$I33), AND('ProductSprint Backlog'!$J33=J$2,'ProductSprint Backlog'!$I33=J$2), 'ProductSprint Backlog'!$F33, TRUE, 0)</f>
        <v>0</v>
      </c>
    </row>
    <row r="34" spans="2:10" x14ac:dyDescent="0.2">
      <c r="B34" s="4" cm="1">
        <f t="array" ref="B34">_xlfn.IFS('ProductSprint Backlog'!$F34="", "", AND('ProductSprint Backlog'!$J34&gt;B$2,'ProductSprint Backlog'!$I34&lt;=B$2), 'ProductSprint Backlog'!$F34 / MAX(1, 'ProductSprint Backlog'!$J34-'ProductSprint Backlog'!$I34), AND('ProductSprint Backlog'!$J34=B$2,'ProductSprint Backlog'!$I34=B$2), 'ProductSprint Backlog'!$F34, TRUE, 0)</f>
        <v>0</v>
      </c>
      <c r="C34" s="4" cm="1">
        <f t="array" ref="C34">_xlfn.IFS('ProductSprint Backlog'!$F34="", "", AND('ProductSprint Backlog'!$J34&gt;C$2,'ProductSprint Backlog'!$I34&lt;=C$2), 'ProductSprint Backlog'!$F34 / MAX(1, 'ProductSprint Backlog'!$J34-'ProductSprint Backlog'!$I34), AND('ProductSprint Backlog'!$J34=C$2,'ProductSprint Backlog'!$I34=C$2), 'ProductSprint Backlog'!$F34, TRUE, 0)</f>
        <v>0</v>
      </c>
      <c r="D34" s="4" cm="1">
        <f t="array" ref="D34">_xlfn.IFS('ProductSprint Backlog'!$F34="", "", AND('ProductSprint Backlog'!$J34&gt;D$2,'ProductSprint Backlog'!$I34&lt;=D$2), 'ProductSprint Backlog'!$F34 / MAX(1, 'ProductSprint Backlog'!$J34-'ProductSprint Backlog'!$I34), AND('ProductSprint Backlog'!$J34=D$2,'ProductSprint Backlog'!$I34=D$2), 'ProductSprint Backlog'!$F34, TRUE, 0)</f>
        <v>0</v>
      </c>
      <c r="E34" s="4" cm="1">
        <f t="array" ref="E34">_xlfn.IFS('ProductSprint Backlog'!$F34="", "", AND('ProductSprint Backlog'!$J34&gt;E$2,'ProductSprint Backlog'!$I34&lt;=E$2), 'ProductSprint Backlog'!$F34 / MAX(1, 'ProductSprint Backlog'!$J34-'ProductSprint Backlog'!$I34), AND('ProductSprint Backlog'!$J34=E$2,'ProductSprint Backlog'!$I34=E$2), 'ProductSprint Backlog'!$F34, TRUE, 0)</f>
        <v>0</v>
      </c>
      <c r="F34" s="4" cm="1">
        <f t="array" ref="F34">_xlfn.IFS('ProductSprint Backlog'!$F34="", "", AND('ProductSprint Backlog'!$J34&gt;F$2,'ProductSprint Backlog'!$I34&lt;=F$2), 'ProductSprint Backlog'!$F34 / MAX(1, 'ProductSprint Backlog'!$J34-'ProductSprint Backlog'!$I34), AND('ProductSprint Backlog'!$J34=F$2,'ProductSprint Backlog'!$I34=F$2), 'ProductSprint Backlog'!$F34, TRUE, 0)</f>
        <v>0</v>
      </c>
      <c r="G34" s="4" cm="1">
        <f t="array" ref="G34">_xlfn.IFS('ProductSprint Backlog'!$F34="", "", AND('ProductSprint Backlog'!$J34&gt;G$2,'ProductSprint Backlog'!$I34&lt;=G$2), 'ProductSprint Backlog'!$F34 / MAX(1, 'ProductSprint Backlog'!$J34-'ProductSprint Backlog'!$I34), AND('ProductSprint Backlog'!$J34=G$2,'ProductSprint Backlog'!$I34=G$2), 'ProductSprint Backlog'!$F34, TRUE, 0)</f>
        <v>0</v>
      </c>
      <c r="H34" s="4" cm="1">
        <f t="array" ref="H34">_xlfn.IFS('ProductSprint Backlog'!$F34="", "", AND('ProductSprint Backlog'!$J34&gt;H$2,'ProductSprint Backlog'!$I34&lt;=H$2), 'ProductSprint Backlog'!$F34 / MAX(1, 'ProductSprint Backlog'!$J34-'ProductSprint Backlog'!$I34), AND('ProductSprint Backlog'!$J34=H$2,'ProductSprint Backlog'!$I34=H$2), 'ProductSprint Backlog'!$F34, TRUE, 0)</f>
        <v>0</v>
      </c>
      <c r="I34" s="4" cm="1">
        <f t="array" ref="I34">_xlfn.IFS('ProductSprint Backlog'!$F34="", "", AND('ProductSprint Backlog'!$J34&gt;I$2,'ProductSprint Backlog'!$I34&lt;=I$2), 'ProductSprint Backlog'!$F34 / MAX(1, 'ProductSprint Backlog'!$J34-'ProductSprint Backlog'!$I34), AND('ProductSprint Backlog'!$J34=I$2,'ProductSprint Backlog'!$I34=I$2), 'ProductSprint Backlog'!$F34, TRUE, 0)</f>
        <v>0</v>
      </c>
      <c r="J34" s="4" cm="1">
        <f t="array" ref="J34">_xlfn.IFS('ProductSprint Backlog'!$F34="", "", AND('ProductSprint Backlog'!$J34&gt;J$2,'ProductSprint Backlog'!$I34&lt;=J$2), 'ProductSprint Backlog'!$F34 / MAX(1, 'ProductSprint Backlog'!$J34-'ProductSprint Backlog'!$I34), AND('ProductSprint Backlog'!$J34=J$2,'ProductSprint Backlog'!$I34=J$2), 'ProductSprint Backlog'!$F34, TRUE, 0)</f>
        <v>0</v>
      </c>
    </row>
    <row r="35" spans="2:10" x14ac:dyDescent="0.2">
      <c r="B35" s="4" cm="1">
        <f t="array" ref="B35">_xlfn.IFS('ProductSprint Backlog'!$F35="", "", AND('ProductSprint Backlog'!$J35&gt;B$2,'ProductSprint Backlog'!$I35&lt;=B$2), 'ProductSprint Backlog'!$F35 / MAX(1, 'ProductSprint Backlog'!$J35-'ProductSprint Backlog'!$I35), AND('ProductSprint Backlog'!$J35=B$2,'ProductSprint Backlog'!$I35=B$2), 'ProductSprint Backlog'!$F35, TRUE, 0)</f>
        <v>0</v>
      </c>
      <c r="C35" s="4" cm="1">
        <f t="array" ref="C35">_xlfn.IFS('ProductSprint Backlog'!$F35="", "", AND('ProductSprint Backlog'!$J35&gt;C$2,'ProductSprint Backlog'!$I35&lt;=C$2), 'ProductSprint Backlog'!$F35 / MAX(1, 'ProductSprint Backlog'!$J35-'ProductSprint Backlog'!$I35), AND('ProductSprint Backlog'!$J35=C$2,'ProductSprint Backlog'!$I35=C$2), 'ProductSprint Backlog'!$F35, TRUE, 0)</f>
        <v>0</v>
      </c>
      <c r="D35" s="4" cm="1">
        <f t="array" ref="D35">_xlfn.IFS('ProductSprint Backlog'!$F35="", "", AND('ProductSprint Backlog'!$J35&gt;D$2,'ProductSprint Backlog'!$I35&lt;=D$2), 'ProductSprint Backlog'!$F35 / MAX(1, 'ProductSprint Backlog'!$J35-'ProductSprint Backlog'!$I35), AND('ProductSprint Backlog'!$J35=D$2,'ProductSprint Backlog'!$I35=D$2), 'ProductSprint Backlog'!$F35, TRUE, 0)</f>
        <v>0</v>
      </c>
      <c r="E35" s="4" cm="1">
        <f t="array" ref="E35">_xlfn.IFS('ProductSprint Backlog'!$F35="", "", AND('ProductSprint Backlog'!$J35&gt;E$2,'ProductSprint Backlog'!$I35&lt;=E$2), 'ProductSprint Backlog'!$F35 / MAX(1, 'ProductSprint Backlog'!$J35-'ProductSprint Backlog'!$I35), AND('ProductSprint Backlog'!$J35=E$2,'ProductSprint Backlog'!$I35=E$2), 'ProductSprint Backlog'!$F35, TRUE, 0)</f>
        <v>0</v>
      </c>
      <c r="F35" s="4" cm="1">
        <f t="array" ref="F35">_xlfn.IFS('ProductSprint Backlog'!$F35="", "", AND('ProductSprint Backlog'!$J35&gt;F$2,'ProductSprint Backlog'!$I35&lt;=F$2), 'ProductSprint Backlog'!$F35 / MAX(1, 'ProductSprint Backlog'!$J35-'ProductSprint Backlog'!$I35), AND('ProductSprint Backlog'!$J35=F$2,'ProductSprint Backlog'!$I35=F$2), 'ProductSprint Backlog'!$F35, TRUE, 0)</f>
        <v>0</v>
      </c>
      <c r="G35" s="4" cm="1">
        <f t="array" ref="G35">_xlfn.IFS('ProductSprint Backlog'!$F35="", "", AND('ProductSprint Backlog'!$J35&gt;G$2,'ProductSprint Backlog'!$I35&lt;=G$2), 'ProductSprint Backlog'!$F35 / MAX(1, 'ProductSprint Backlog'!$J35-'ProductSprint Backlog'!$I35), AND('ProductSprint Backlog'!$J35=G$2,'ProductSprint Backlog'!$I35=G$2), 'ProductSprint Backlog'!$F35, TRUE, 0)</f>
        <v>0</v>
      </c>
      <c r="H35" s="4" cm="1">
        <f t="array" ref="H35">_xlfn.IFS('ProductSprint Backlog'!$F35="", "", AND('ProductSprint Backlog'!$J35&gt;H$2,'ProductSprint Backlog'!$I35&lt;=H$2), 'ProductSprint Backlog'!$F35 / MAX(1, 'ProductSprint Backlog'!$J35-'ProductSprint Backlog'!$I35), AND('ProductSprint Backlog'!$J35=H$2,'ProductSprint Backlog'!$I35=H$2), 'ProductSprint Backlog'!$F35, TRUE, 0)</f>
        <v>0</v>
      </c>
      <c r="I35" s="4" cm="1">
        <f t="array" ref="I35">_xlfn.IFS('ProductSprint Backlog'!$F35="", "", AND('ProductSprint Backlog'!$J35&gt;I$2,'ProductSprint Backlog'!$I35&lt;=I$2), 'ProductSprint Backlog'!$F35 / MAX(1, 'ProductSprint Backlog'!$J35-'ProductSprint Backlog'!$I35), AND('ProductSprint Backlog'!$J35=I$2,'ProductSprint Backlog'!$I35=I$2), 'ProductSprint Backlog'!$F35, TRUE, 0)</f>
        <v>0</v>
      </c>
      <c r="J35" s="4" cm="1">
        <f t="array" ref="J35">_xlfn.IFS('ProductSprint Backlog'!$F35="", "", AND('ProductSprint Backlog'!$J35&gt;J$2,'ProductSprint Backlog'!$I35&lt;=J$2), 'ProductSprint Backlog'!$F35 / MAX(1, 'ProductSprint Backlog'!$J35-'ProductSprint Backlog'!$I35), AND('ProductSprint Backlog'!$J35=J$2,'ProductSprint Backlog'!$I35=J$2), 'ProductSprint Backlog'!$F35, TRUE, 0)</f>
        <v>0</v>
      </c>
    </row>
    <row r="36" spans="2:10" x14ac:dyDescent="0.2">
      <c r="B36" s="4" t="str" cm="1">
        <f t="array" ref="B36">_xlfn.IFS('ProductSprint Backlog'!$F36="", "", AND('ProductSprint Backlog'!$J36&gt;B$2,'ProductSprint Backlog'!$I36&lt;=B$2), 'ProductSprint Backlog'!$F36 / MAX(1, 'ProductSprint Backlog'!$J36-'ProductSprint Backlog'!$I36), AND('ProductSprint Backlog'!$J36=B$2,'ProductSprint Backlog'!$I36=B$2), 'ProductSprint Backlog'!$F36, TRUE, 0)</f>
        <v/>
      </c>
      <c r="C36" s="4" t="str" cm="1">
        <f t="array" ref="C36">_xlfn.IFS('ProductSprint Backlog'!$F36="", "", AND('ProductSprint Backlog'!$J36&gt;C$2,'ProductSprint Backlog'!$I36&lt;=C$2), 'ProductSprint Backlog'!$F36 / MAX(1, 'ProductSprint Backlog'!$J36-'ProductSprint Backlog'!$I36), AND('ProductSprint Backlog'!$J36=C$2,'ProductSprint Backlog'!$I36=C$2), 'ProductSprint Backlog'!$F36, TRUE, 0)</f>
        <v/>
      </c>
      <c r="D36" s="4" t="str" cm="1">
        <f t="array" ref="D36">_xlfn.IFS('ProductSprint Backlog'!$F36="", "", AND('ProductSprint Backlog'!$J36&gt;D$2,'ProductSprint Backlog'!$I36&lt;=D$2), 'ProductSprint Backlog'!$F36 / MAX(1, 'ProductSprint Backlog'!$J36-'ProductSprint Backlog'!$I36), AND('ProductSprint Backlog'!$J36=D$2,'ProductSprint Backlog'!$I36=D$2), 'ProductSprint Backlog'!$F36, TRUE, 0)</f>
        <v/>
      </c>
      <c r="E36" s="4" t="str" cm="1">
        <f t="array" ref="E36">_xlfn.IFS('ProductSprint Backlog'!$F36="", "", AND('ProductSprint Backlog'!$J36&gt;E$2,'ProductSprint Backlog'!$I36&lt;=E$2), 'ProductSprint Backlog'!$F36 / MAX(1, 'ProductSprint Backlog'!$J36-'ProductSprint Backlog'!$I36), AND('ProductSprint Backlog'!$J36=E$2,'ProductSprint Backlog'!$I36=E$2), 'ProductSprint Backlog'!$F36, TRUE, 0)</f>
        <v/>
      </c>
      <c r="F36" s="4" t="str" cm="1">
        <f t="array" ref="F36">_xlfn.IFS('ProductSprint Backlog'!$F36="", "", AND('ProductSprint Backlog'!$J36&gt;F$2,'ProductSprint Backlog'!$I36&lt;=F$2), 'ProductSprint Backlog'!$F36 / MAX(1, 'ProductSprint Backlog'!$J36-'ProductSprint Backlog'!$I36), AND('ProductSprint Backlog'!$J36=F$2,'ProductSprint Backlog'!$I36=F$2), 'ProductSprint Backlog'!$F36, TRUE, 0)</f>
        <v/>
      </c>
      <c r="G36" s="4" t="str" cm="1">
        <f t="array" ref="G36">_xlfn.IFS('ProductSprint Backlog'!$F36="", "", AND('ProductSprint Backlog'!$J36&gt;G$2,'ProductSprint Backlog'!$I36&lt;=G$2), 'ProductSprint Backlog'!$F36 / MAX(1, 'ProductSprint Backlog'!$J36-'ProductSprint Backlog'!$I36), AND('ProductSprint Backlog'!$J36=G$2,'ProductSprint Backlog'!$I36=G$2), 'ProductSprint Backlog'!$F36, TRUE, 0)</f>
        <v/>
      </c>
      <c r="H36" s="4" t="str" cm="1">
        <f t="array" ref="H36">_xlfn.IFS('ProductSprint Backlog'!$F36="", "", AND('ProductSprint Backlog'!$J36&gt;H$2,'ProductSprint Backlog'!$I36&lt;=H$2), 'ProductSprint Backlog'!$F36 / MAX(1, 'ProductSprint Backlog'!$J36-'ProductSprint Backlog'!$I36), AND('ProductSprint Backlog'!$J36=H$2,'ProductSprint Backlog'!$I36=H$2), 'ProductSprint Backlog'!$F36, TRUE, 0)</f>
        <v/>
      </c>
      <c r="I36" s="4" t="str" cm="1">
        <f t="array" ref="I36">_xlfn.IFS('ProductSprint Backlog'!$F36="", "", AND('ProductSprint Backlog'!$J36&gt;I$2,'ProductSprint Backlog'!$I36&lt;=I$2), 'ProductSprint Backlog'!$F36 / MAX(1, 'ProductSprint Backlog'!$J36-'ProductSprint Backlog'!$I36), AND('ProductSprint Backlog'!$J36=I$2,'ProductSprint Backlog'!$I36=I$2), 'ProductSprint Backlog'!$F36, TRUE, 0)</f>
        <v/>
      </c>
      <c r="J36" s="4" t="str" cm="1">
        <f t="array" ref="J36">_xlfn.IFS('ProductSprint Backlog'!$F36="", "", AND('ProductSprint Backlog'!$J36&gt;J$2,'ProductSprint Backlog'!$I36&lt;=J$2), 'ProductSprint Backlog'!$F36 / MAX(1, 'ProductSprint Backlog'!$J36-'ProductSprint Backlog'!$I36), AND('ProductSprint Backlog'!$J36=J$2,'ProductSprint Backlog'!$I36=J$2), 'ProductSprint Backlog'!$F36, TRUE, 0)</f>
        <v/>
      </c>
    </row>
    <row r="37" spans="2:10" x14ac:dyDescent="0.2">
      <c r="B37" s="4" cm="1">
        <f t="array" ref="B37">_xlfn.IFS('ProductSprint Backlog'!$F37="", "", AND('ProductSprint Backlog'!$J37&gt;B$2,'ProductSprint Backlog'!$I37&lt;=B$2), 'ProductSprint Backlog'!$F37 / MAX(1, 'ProductSprint Backlog'!$J37-'ProductSprint Backlog'!$I37), AND('ProductSprint Backlog'!$J37=B$2,'ProductSprint Backlog'!$I37=B$2), 'ProductSprint Backlog'!$F37, TRUE, 0)</f>
        <v>0</v>
      </c>
      <c r="C37" s="4" cm="1">
        <f t="array" ref="C37">_xlfn.IFS('ProductSprint Backlog'!$F37="", "", AND('ProductSprint Backlog'!$J37&gt;C$2,'ProductSprint Backlog'!$I37&lt;=C$2), 'ProductSprint Backlog'!$F37 / MAX(1, 'ProductSprint Backlog'!$J37-'ProductSprint Backlog'!$I37), AND('ProductSprint Backlog'!$J37=C$2,'ProductSprint Backlog'!$I37=C$2), 'ProductSprint Backlog'!$F37, TRUE, 0)</f>
        <v>0</v>
      </c>
      <c r="D37" s="4" cm="1">
        <f t="array" ref="D37">_xlfn.IFS('ProductSprint Backlog'!$F37="", "", AND('ProductSprint Backlog'!$J37&gt;D$2,'ProductSprint Backlog'!$I37&lt;=D$2), 'ProductSprint Backlog'!$F37 / MAX(1, 'ProductSprint Backlog'!$J37-'ProductSprint Backlog'!$I37), AND('ProductSprint Backlog'!$J37=D$2,'ProductSprint Backlog'!$I37=D$2), 'ProductSprint Backlog'!$F37, TRUE, 0)</f>
        <v>0</v>
      </c>
      <c r="E37" s="4" cm="1">
        <f t="array" ref="E37">_xlfn.IFS('ProductSprint Backlog'!$F37="", "", AND('ProductSprint Backlog'!$J37&gt;E$2,'ProductSprint Backlog'!$I37&lt;=E$2), 'ProductSprint Backlog'!$F37 / MAX(1, 'ProductSprint Backlog'!$J37-'ProductSprint Backlog'!$I37), AND('ProductSprint Backlog'!$J37=E$2,'ProductSprint Backlog'!$I37=E$2), 'ProductSprint Backlog'!$F37, TRUE, 0)</f>
        <v>0</v>
      </c>
      <c r="F37" s="4" cm="1">
        <f t="array" ref="F37">_xlfn.IFS('ProductSprint Backlog'!$F37="", "", AND('ProductSprint Backlog'!$J37&gt;F$2,'ProductSprint Backlog'!$I37&lt;=F$2), 'ProductSprint Backlog'!$F37 / MAX(1, 'ProductSprint Backlog'!$J37-'ProductSprint Backlog'!$I37), AND('ProductSprint Backlog'!$J37=F$2,'ProductSprint Backlog'!$I37=F$2), 'ProductSprint Backlog'!$F37, TRUE, 0)</f>
        <v>0</v>
      </c>
      <c r="G37" s="4" cm="1">
        <f t="array" ref="G37">_xlfn.IFS('ProductSprint Backlog'!$F37="", "", AND('ProductSprint Backlog'!$J37&gt;G$2,'ProductSprint Backlog'!$I37&lt;=G$2), 'ProductSprint Backlog'!$F37 / MAX(1, 'ProductSprint Backlog'!$J37-'ProductSprint Backlog'!$I37), AND('ProductSprint Backlog'!$J37=G$2,'ProductSprint Backlog'!$I37=G$2), 'ProductSprint Backlog'!$F37, TRUE, 0)</f>
        <v>0</v>
      </c>
      <c r="H37" s="4" cm="1">
        <f t="array" ref="H37">_xlfn.IFS('ProductSprint Backlog'!$F37="", "", AND('ProductSprint Backlog'!$J37&gt;H$2,'ProductSprint Backlog'!$I37&lt;=H$2), 'ProductSprint Backlog'!$F37 / MAX(1, 'ProductSprint Backlog'!$J37-'ProductSprint Backlog'!$I37), AND('ProductSprint Backlog'!$J37=H$2,'ProductSprint Backlog'!$I37=H$2), 'ProductSprint Backlog'!$F37, TRUE, 0)</f>
        <v>0</v>
      </c>
      <c r="I37" s="4" cm="1">
        <f t="array" ref="I37">_xlfn.IFS('ProductSprint Backlog'!$F37="", "", AND('ProductSprint Backlog'!$J37&gt;I$2,'ProductSprint Backlog'!$I37&lt;=I$2), 'ProductSprint Backlog'!$F37 / MAX(1, 'ProductSprint Backlog'!$J37-'ProductSprint Backlog'!$I37), AND('ProductSprint Backlog'!$J37=I$2,'ProductSprint Backlog'!$I37=I$2), 'ProductSprint Backlog'!$F37, TRUE, 0)</f>
        <v>0</v>
      </c>
      <c r="J37" s="4" cm="1">
        <f t="array" ref="J37">_xlfn.IFS('ProductSprint Backlog'!$F37="", "", AND('ProductSprint Backlog'!$J37&gt;J$2,'ProductSprint Backlog'!$I37&lt;=J$2), 'ProductSprint Backlog'!$F37 / MAX(1, 'ProductSprint Backlog'!$J37-'ProductSprint Backlog'!$I37), AND('ProductSprint Backlog'!$J37=J$2,'ProductSprint Backlog'!$I37=J$2), 'ProductSprint Backlog'!$F37, TRUE, 0)</f>
        <v>0</v>
      </c>
    </row>
    <row r="38" spans="2:10" x14ac:dyDescent="0.2">
      <c r="B38" s="4" cm="1">
        <f t="array" ref="B38">_xlfn.IFS('ProductSprint Backlog'!$F38="", "", AND('ProductSprint Backlog'!$J38&gt;B$2,'ProductSprint Backlog'!$I38&lt;=B$2), 'ProductSprint Backlog'!$F38 / MAX(1, 'ProductSprint Backlog'!$J38-'ProductSprint Backlog'!$I38), AND('ProductSprint Backlog'!$J38=B$2,'ProductSprint Backlog'!$I38=B$2), 'ProductSprint Backlog'!$F38, TRUE, 0)</f>
        <v>0</v>
      </c>
      <c r="C38" s="4" cm="1">
        <f t="array" ref="C38">_xlfn.IFS('ProductSprint Backlog'!$F38="", "", AND('ProductSprint Backlog'!$J38&gt;C$2,'ProductSprint Backlog'!$I38&lt;=C$2), 'ProductSprint Backlog'!$F38 / MAX(1, 'ProductSprint Backlog'!$J38-'ProductSprint Backlog'!$I38), AND('ProductSprint Backlog'!$J38=C$2,'ProductSprint Backlog'!$I38=C$2), 'ProductSprint Backlog'!$F38, TRUE, 0)</f>
        <v>0</v>
      </c>
      <c r="D38" s="4" cm="1">
        <f t="array" ref="D38">_xlfn.IFS('ProductSprint Backlog'!$F38="", "", AND('ProductSprint Backlog'!$J38&gt;D$2,'ProductSprint Backlog'!$I38&lt;=D$2), 'ProductSprint Backlog'!$F38 / MAX(1, 'ProductSprint Backlog'!$J38-'ProductSprint Backlog'!$I38), AND('ProductSprint Backlog'!$J38=D$2,'ProductSprint Backlog'!$I38=D$2), 'ProductSprint Backlog'!$F38, TRUE, 0)</f>
        <v>0</v>
      </c>
      <c r="E38" s="4" cm="1">
        <f t="array" ref="E38">_xlfn.IFS('ProductSprint Backlog'!$F38="", "", AND('ProductSprint Backlog'!$J38&gt;E$2,'ProductSprint Backlog'!$I38&lt;=E$2), 'ProductSprint Backlog'!$F38 / MAX(1, 'ProductSprint Backlog'!$J38-'ProductSprint Backlog'!$I38), AND('ProductSprint Backlog'!$J38=E$2,'ProductSprint Backlog'!$I38=E$2), 'ProductSprint Backlog'!$F38, TRUE, 0)</f>
        <v>0</v>
      </c>
      <c r="F38" s="4" cm="1">
        <f t="array" ref="F38">_xlfn.IFS('ProductSprint Backlog'!$F38="", "", AND('ProductSprint Backlog'!$J38&gt;F$2,'ProductSprint Backlog'!$I38&lt;=F$2), 'ProductSprint Backlog'!$F38 / MAX(1, 'ProductSprint Backlog'!$J38-'ProductSprint Backlog'!$I38), AND('ProductSprint Backlog'!$J38=F$2,'ProductSprint Backlog'!$I38=F$2), 'ProductSprint Backlog'!$F38, TRUE, 0)</f>
        <v>0</v>
      </c>
      <c r="G38" s="4" cm="1">
        <f t="array" ref="G38">_xlfn.IFS('ProductSprint Backlog'!$F38="", "", AND('ProductSprint Backlog'!$J38&gt;G$2,'ProductSprint Backlog'!$I38&lt;=G$2), 'ProductSprint Backlog'!$F38 / MAX(1, 'ProductSprint Backlog'!$J38-'ProductSprint Backlog'!$I38), AND('ProductSprint Backlog'!$J38=G$2,'ProductSprint Backlog'!$I38=G$2), 'ProductSprint Backlog'!$F38, TRUE, 0)</f>
        <v>0</v>
      </c>
      <c r="H38" s="4" cm="1">
        <f t="array" ref="H38">_xlfn.IFS('ProductSprint Backlog'!$F38="", "", AND('ProductSprint Backlog'!$J38&gt;H$2,'ProductSprint Backlog'!$I38&lt;=H$2), 'ProductSprint Backlog'!$F38 / MAX(1, 'ProductSprint Backlog'!$J38-'ProductSprint Backlog'!$I38), AND('ProductSprint Backlog'!$J38=H$2,'ProductSprint Backlog'!$I38=H$2), 'ProductSprint Backlog'!$F38, TRUE, 0)</f>
        <v>0</v>
      </c>
      <c r="I38" s="4" cm="1">
        <f t="array" ref="I38">_xlfn.IFS('ProductSprint Backlog'!$F38="", "", AND('ProductSprint Backlog'!$J38&gt;I$2,'ProductSprint Backlog'!$I38&lt;=I$2), 'ProductSprint Backlog'!$F38 / MAX(1, 'ProductSprint Backlog'!$J38-'ProductSprint Backlog'!$I38), AND('ProductSprint Backlog'!$J38=I$2,'ProductSprint Backlog'!$I38=I$2), 'ProductSprint Backlog'!$F38, TRUE, 0)</f>
        <v>0</v>
      </c>
      <c r="J38" s="4" cm="1">
        <f t="array" ref="J38">_xlfn.IFS('ProductSprint Backlog'!$F38="", "", AND('ProductSprint Backlog'!$J38&gt;J$2,'ProductSprint Backlog'!$I38&lt;=J$2), 'ProductSprint Backlog'!$F38 / MAX(1, 'ProductSprint Backlog'!$J38-'ProductSprint Backlog'!$I38), AND('ProductSprint Backlog'!$J38=J$2,'ProductSprint Backlog'!$I38=J$2), 'ProductSprint Backlog'!$F38, TRUE, 0)</f>
        <v>0</v>
      </c>
    </row>
    <row r="39" spans="2:10" x14ac:dyDescent="0.2">
      <c r="B39" s="4" cm="1">
        <f t="array" ref="B39">_xlfn.IFS('ProductSprint Backlog'!$F39="", "", AND('ProductSprint Backlog'!$J39&gt;B$2,'ProductSprint Backlog'!$I39&lt;=B$2), 'ProductSprint Backlog'!$F39 / MAX(1, 'ProductSprint Backlog'!$J39-'ProductSprint Backlog'!$I39), AND('ProductSprint Backlog'!$J39=B$2,'ProductSprint Backlog'!$I39=B$2), 'ProductSprint Backlog'!$F39, TRUE, 0)</f>
        <v>0</v>
      </c>
      <c r="C39" s="4" cm="1">
        <f t="array" ref="C39">_xlfn.IFS('ProductSprint Backlog'!$F39="", "", AND('ProductSprint Backlog'!$J39&gt;C$2,'ProductSprint Backlog'!$I39&lt;=C$2), 'ProductSprint Backlog'!$F39 / MAX(1, 'ProductSprint Backlog'!$J39-'ProductSprint Backlog'!$I39), AND('ProductSprint Backlog'!$J39=C$2,'ProductSprint Backlog'!$I39=C$2), 'ProductSprint Backlog'!$F39, TRUE, 0)</f>
        <v>0</v>
      </c>
      <c r="D39" s="4" cm="1">
        <f t="array" ref="D39">_xlfn.IFS('ProductSprint Backlog'!$F39="", "", AND('ProductSprint Backlog'!$J39&gt;D$2,'ProductSprint Backlog'!$I39&lt;=D$2), 'ProductSprint Backlog'!$F39 / MAX(1, 'ProductSprint Backlog'!$J39-'ProductSprint Backlog'!$I39), AND('ProductSprint Backlog'!$J39=D$2,'ProductSprint Backlog'!$I39=D$2), 'ProductSprint Backlog'!$F39, TRUE, 0)</f>
        <v>0</v>
      </c>
      <c r="E39" s="4" cm="1">
        <f t="array" ref="E39">_xlfn.IFS('ProductSprint Backlog'!$F39="", "", AND('ProductSprint Backlog'!$J39&gt;E$2,'ProductSprint Backlog'!$I39&lt;=E$2), 'ProductSprint Backlog'!$F39 / MAX(1, 'ProductSprint Backlog'!$J39-'ProductSprint Backlog'!$I39), AND('ProductSprint Backlog'!$J39=E$2,'ProductSprint Backlog'!$I39=E$2), 'ProductSprint Backlog'!$F39, TRUE, 0)</f>
        <v>0</v>
      </c>
      <c r="F39" s="4" cm="1">
        <f t="array" ref="F39">_xlfn.IFS('ProductSprint Backlog'!$F39="", "", AND('ProductSprint Backlog'!$J39&gt;F$2,'ProductSprint Backlog'!$I39&lt;=F$2), 'ProductSprint Backlog'!$F39 / MAX(1, 'ProductSprint Backlog'!$J39-'ProductSprint Backlog'!$I39), AND('ProductSprint Backlog'!$J39=F$2,'ProductSprint Backlog'!$I39=F$2), 'ProductSprint Backlog'!$F39, TRUE, 0)</f>
        <v>0</v>
      </c>
      <c r="G39" s="4" cm="1">
        <f t="array" ref="G39">_xlfn.IFS('ProductSprint Backlog'!$F39="", "", AND('ProductSprint Backlog'!$J39&gt;G$2,'ProductSprint Backlog'!$I39&lt;=G$2), 'ProductSprint Backlog'!$F39 / MAX(1, 'ProductSprint Backlog'!$J39-'ProductSprint Backlog'!$I39), AND('ProductSprint Backlog'!$J39=G$2,'ProductSprint Backlog'!$I39=G$2), 'ProductSprint Backlog'!$F39, TRUE, 0)</f>
        <v>0</v>
      </c>
      <c r="H39" s="4" cm="1">
        <f t="array" ref="H39">_xlfn.IFS('ProductSprint Backlog'!$F39="", "", AND('ProductSprint Backlog'!$J39&gt;H$2,'ProductSprint Backlog'!$I39&lt;=H$2), 'ProductSprint Backlog'!$F39 / MAX(1, 'ProductSprint Backlog'!$J39-'ProductSprint Backlog'!$I39), AND('ProductSprint Backlog'!$J39=H$2,'ProductSprint Backlog'!$I39=H$2), 'ProductSprint Backlog'!$F39, TRUE, 0)</f>
        <v>0</v>
      </c>
      <c r="I39" s="4" cm="1">
        <f t="array" ref="I39">_xlfn.IFS('ProductSprint Backlog'!$F39="", "", AND('ProductSprint Backlog'!$J39&gt;I$2,'ProductSprint Backlog'!$I39&lt;=I$2), 'ProductSprint Backlog'!$F39 / MAX(1, 'ProductSprint Backlog'!$J39-'ProductSprint Backlog'!$I39), AND('ProductSprint Backlog'!$J39=I$2,'ProductSprint Backlog'!$I39=I$2), 'ProductSprint Backlog'!$F39, TRUE, 0)</f>
        <v>0</v>
      </c>
      <c r="J39" s="4" cm="1">
        <f t="array" ref="J39">_xlfn.IFS('ProductSprint Backlog'!$F39="", "", AND('ProductSprint Backlog'!$J39&gt;J$2,'ProductSprint Backlog'!$I39&lt;=J$2), 'ProductSprint Backlog'!$F39 / MAX(1, 'ProductSprint Backlog'!$J39-'ProductSprint Backlog'!$I39), AND('ProductSprint Backlog'!$J39=J$2,'ProductSprint Backlog'!$I39=J$2), 'ProductSprint Backlog'!$F39, TRUE, 0)</f>
        <v>0</v>
      </c>
    </row>
    <row r="40" spans="2:10" x14ac:dyDescent="0.2">
      <c r="B40" s="4" cm="1">
        <f t="array" ref="B40">_xlfn.IFS('ProductSprint Backlog'!$F40="", "", AND('ProductSprint Backlog'!$J40&gt;B$2,'ProductSprint Backlog'!$I40&lt;=B$2), 'ProductSprint Backlog'!$F40 / MAX(1, 'ProductSprint Backlog'!$J40-'ProductSprint Backlog'!$I40), AND('ProductSprint Backlog'!$J40=B$2,'ProductSprint Backlog'!$I40=B$2), 'ProductSprint Backlog'!$F40, TRUE, 0)</f>
        <v>0</v>
      </c>
      <c r="C40" s="4" cm="1">
        <f t="array" ref="C40">_xlfn.IFS('ProductSprint Backlog'!$F40="", "", AND('ProductSprint Backlog'!$J40&gt;C$2,'ProductSprint Backlog'!$I40&lt;=C$2), 'ProductSprint Backlog'!$F40 / MAX(1, 'ProductSprint Backlog'!$J40-'ProductSprint Backlog'!$I40), AND('ProductSprint Backlog'!$J40=C$2,'ProductSprint Backlog'!$I40=C$2), 'ProductSprint Backlog'!$F40, TRUE, 0)</f>
        <v>0</v>
      </c>
      <c r="D40" s="4" cm="1">
        <f t="array" ref="D40">_xlfn.IFS('ProductSprint Backlog'!$F40="", "", AND('ProductSprint Backlog'!$J40&gt;D$2,'ProductSprint Backlog'!$I40&lt;=D$2), 'ProductSprint Backlog'!$F40 / MAX(1, 'ProductSprint Backlog'!$J40-'ProductSprint Backlog'!$I40), AND('ProductSprint Backlog'!$J40=D$2,'ProductSprint Backlog'!$I40=D$2), 'ProductSprint Backlog'!$F40, TRUE, 0)</f>
        <v>0</v>
      </c>
      <c r="E40" s="4" cm="1">
        <f t="array" ref="E40">_xlfn.IFS('ProductSprint Backlog'!$F40="", "", AND('ProductSprint Backlog'!$J40&gt;E$2,'ProductSprint Backlog'!$I40&lt;=E$2), 'ProductSprint Backlog'!$F40 / MAX(1, 'ProductSprint Backlog'!$J40-'ProductSprint Backlog'!$I40), AND('ProductSprint Backlog'!$J40=E$2,'ProductSprint Backlog'!$I40=E$2), 'ProductSprint Backlog'!$F40, TRUE, 0)</f>
        <v>0</v>
      </c>
      <c r="F40" s="4" cm="1">
        <f t="array" ref="F40">_xlfn.IFS('ProductSprint Backlog'!$F40="", "", AND('ProductSprint Backlog'!$J40&gt;F$2,'ProductSprint Backlog'!$I40&lt;=F$2), 'ProductSprint Backlog'!$F40 / MAX(1, 'ProductSprint Backlog'!$J40-'ProductSprint Backlog'!$I40), AND('ProductSprint Backlog'!$J40=F$2,'ProductSprint Backlog'!$I40=F$2), 'ProductSprint Backlog'!$F40, TRUE, 0)</f>
        <v>0</v>
      </c>
      <c r="G40" s="4" cm="1">
        <f t="array" ref="G40">_xlfn.IFS('ProductSprint Backlog'!$F40="", "", AND('ProductSprint Backlog'!$J40&gt;G$2,'ProductSprint Backlog'!$I40&lt;=G$2), 'ProductSprint Backlog'!$F40 / MAX(1, 'ProductSprint Backlog'!$J40-'ProductSprint Backlog'!$I40), AND('ProductSprint Backlog'!$J40=G$2,'ProductSprint Backlog'!$I40=G$2), 'ProductSprint Backlog'!$F40, TRUE, 0)</f>
        <v>0</v>
      </c>
      <c r="H40" s="4" cm="1">
        <f t="array" ref="H40">_xlfn.IFS('ProductSprint Backlog'!$F40="", "", AND('ProductSprint Backlog'!$J40&gt;H$2,'ProductSprint Backlog'!$I40&lt;=H$2), 'ProductSprint Backlog'!$F40 / MAX(1, 'ProductSprint Backlog'!$J40-'ProductSprint Backlog'!$I40), AND('ProductSprint Backlog'!$J40=H$2,'ProductSprint Backlog'!$I40=H$2), 'ProductSprint Backlog'!$F40, TRUE, 0)</f>
        <v>0</v>
      </c>
      <c r="I40" s="4" cm="1">
        <f t="array" ref="I40">_xlfn.IFS('ProductSprint Backlog'!$F40="", "", AND('ProductSprint Backlog'!$J40&gt;I$2,'ProductSprint Backlog'!$I40&lt;=I$2), 'ProductSprint Backlog'!$F40 / MAX(1, 'ProductSprint Backlog'!$J40-'ProductSprint Backlog'!$I40), AND('ProductSprint Backlog'!$J40=I$2,'ProductSprint Backlog'!$I40=I$2), 'ProductSprint Backlog'!$F40, TRUE, 0)</f>
        <v>0</v>
      </c>
      <c r="J40" s="4" cm="1">
        <f t="array" ref="J40">_xlfn.IFS('ProductSprint Backlog'!$F40="", "", AND('ProductSprint Backlog'!$J40&gt;J$2,'ProductSprint Backlog'!$I40&lt;=J$2), 'ProductSprint Backlog'!$F40 / MAX(1, 'ProductSprint Backlog'!$J40-'ProductSprint Backlog'!$I40), AND('ProductSprint Backlog'!$J40=J$2,'ProductSprint Backlog'!$I40=J$2), 'ProductSprint Backlog'!$F40, TRUE, 0)</f>
        <v>0</v>
      </c>
    </row>
    <row r="41" spans="2:10" x14ac:dyDescent="0.2">
      <c r="B41" s="4" t="str" cm="1">
        <f t="array" ref="B41">_xlfn.IFS('ProductSprint Backlog'!$F41="", "", AND('ProductSprint Backlog'!$J41&gt;B$2,'ProductSprint Backlog'!$I41&lt;=B$2), 'ProductSprint Backlog'!$F41 / MAX(1, 'ProductSprint Backlog'!$J41-'ProductSprint Backlog'!$I41), AND('ProductSprint Backlog'!$J41=B$2,'ProductSprint Backlog'!$I41=B$2), 'ProductSprint Backlog'!$F41, TRUE, 0)</f>
        <v/>
      </c>
      <c r="C41" s="4" t="str" cm="1">
        <f t="array" ref="C41">_xlfn.IFS('ProductSprint Backlog'!$F41="", "", AND('ProductSprint Backlog'!$J41&gt;C$2,'ProductSprint Backlog'!$I41&lt;=C$2), 'ProductSprint Backlog'!$F41 / MAX(1, 'ProductSprint Backlog'!$J41-'ProductSprint Backlog'!$I41), AND('ProductSprint Backlog'!$J41=C$2,'ProductSprint Backlog'!$I41=C$2), 'ProductSprint Backlog'!$F41, TRUE, 0)</f>
        <v/>
      </c>
      <c r="D41" s="4" t="str" cm="1">
        <f t="array" ref="D41">_xlfn.IFS('ProductSprint Backlog'!$F41="", "", AND('ProductSprint Backlog'!$J41&gt;D$2,'ProductSprint Backlog'!$I41&lt;=D$2), 'ProductSprint Backlog'!$F41 / MAX(1, 'ProductSprint Backlog'!$J41-'ProductSprint Backlog'!$I41), AND('ProductSprint Backlog'!$J41=D$2,'ProductSprint Backlog'!$I41=D$2), 'ProductSprint Backlog'!$F41, TRUE, 0)</f>
        <v/>
      </c>
      <c r="E41" s="4" t="str" cm="1">
        <f t="array" ref="E41">_xlfn.IFS('ProductSprint Backlog'!$F41="", "", AND('ProductSprint Backlog'!$J41&gt;E$2,'ProductSprint Backlog'!$I41&lt;=E$2), 'ProductSprint Backlog'!$F41 / MAX(1, 'ProductSprint Backlog'!$J41-'ProductSprint Backlog'!$I41), AND('ProductSprint Backlog'!$J41=E$2,'ProductSprint Backlog'!$I41=E$2), 'ProductSprint Backlog'!$F41, TRUE, 0)</f>
        <v/>
      </c>
      <c r="F41" s="4" t="str" cm="1">
        <f t="array" ref="F41">_xlfn.IFS('ProductSprint Backlog'!$F41="", "", AND('ProductSprint Backlog'!$J41&gt;F$2,'ProductSprint Backlog'!$I41&lt;=F$2), 'ProductSprint Backlog'!$F41 / MAX(1, 'ProductSprint Backlog'!$J41-'ProductSprint Backlog'!$I41), AND('ProductSprint Backlog'!$J41=F$2,'ProductSprint Backlog'!$I41=F$2), 'ProductSprint Backlog'!$F41, TRUE, 0)</f>
        <v/>
      </c>
      <c r="G41" s="4" t="str" cm="1">
        <f t="array" ref="G41">_xlfn.IFS('ProductSprint Backlog'!$F41="", "", AND('ProductSprint Backlog'!$J41&gt;G$2,'ProductSprint Backlog'!$I41&lt;=G$2), 'ProductSprint Backlog'!$F41 / MAX(1, 'ProductSprint Backlog'!$J41-'ProductSprint Backlog'!$I41), AND('ProductSprint Backlog'!$J41=G$2,'ProductSprint Backlog'!$I41=G$2), 'ProductSprint Backlog'!$F41, TRUE, 0)</f>
        <v/>
      </c>
      <c r="H41" s="4" t="str" cm="1">
        <f t="array" ref="H41">_xlfn.IFS('ProductSprint Backlog'!$F41="", "", AND('ProductSprint Backlog'!$J41&gt;H$2,'ProductSprint Backlog'!$I41&lt;=H$2), 'ProductSprint Backlog'!$F41 / MAX(1, 'ProductSprint Backlog'!$J41-'ProductSprint Backlog'!$I41), AND('ProductSprint Backlog'!$J41=H$2,'ProductSprint Backlog'!$I41=H$2), 'ProductSprint Backlog'!$F41, TRUE, 0)</f>
        <v/>
      </c>
      <c r="I41" s="4" t="str" cm="1">
        <f t="array" ref="I41">_xlfn.IFS('ProductSprint Backlog'!$F41="", "", AND('ProductSprint Backlog'!$J41&gt;I$2,'ProductSprint Backlog'!$I41&lt;=I$2), 'ProductSprint Backlog'!$F41 / MAX(1, 'ProductSprint Backlog'!$J41-'ProductSprint Backlog'!$I41), AND('ProductSprint Backlog'!$J41=I$2,'ProductSprint Backlog'!$I41=I$2), 'ProductSprint Backlog'!$F41, TRUE, 0)</f>
        <v/>
      </c>
      <c r="J41" s="4" t="str" cm="1">
        <f t="array" ref="J41">_xlfn.IFS('ProductSprint Backlog'!$F41="", "", AND('ProductSprint Backlog'!$J41&gt;J$2,'ProductSprint Backlog'!$I41&lt;=J$2), 'ProductSprint Backlog'!$F41 / MAX(1, 'ProductSprint Backlog'!$J41-'ProductSprint Backlog'!$I41), AND('ProductSprint Backlog'!$J41=J$2,'ProductSprint Backlog'!$I41=J$2), 'ProductSprint Backlog'!$F41, TRUE, 0)</f>
        <v/>
      </c>
    </row>
    <row r="42" spans="2:10" x14ac:dyDescent="0.2">
      <c r="B42" s="4" cm="1">
        <f t="array" ref="B42">_xlfn.IFS('ProductSprint Backlog'!$F42="", "", AND('ProductSprint Backlog'!$J42&gt;B$2,'ProductSprint Backlog'!$I42&lt;=B$2), 'ProductSprint Backlog'!$F42 / MAX(1, 'ProductSprint Backlog'!$J42-'ProductSprint Backlog'!$I42), AND('ProductSprint Backlog'!$J42=B$2,'ProductSprint Backlog'!$I42=B$2), 'ProductSprint Backlog'!$F42, TRUE, 0)</f>
        <v>0</v>
      </c>
      <c r="C42" s="4" cm="1">
        <f t="array" ref="C42">_xlfn.IFS('ProductSprint Backlog'!$F42="", "", AND('ProductSprint Backlog'!$J42&gt;C$2,'ProductSprint Backlog'!$I42&lt;=C$2), 'ProductSprint Backlog'!$F42 / MAX(1, 'ProductSprint Backlog'!$J42-'ProductSprint Backlog'!$I42), AND('ProductSprint Backlog'!$J42=C$2,'ProductSprint Backlog'!$I42=C$2), 'ProductSprint Backlog'!$F42, TRUE, 0)</f>
        <v>0</v>
      </c>
      <c r="D42" s="4" cm="1">
        <f t="array" ref="D42">_xlfn.IFS('ProductSprint Backlog'!$F42="", "", AND('ProductSprint Backlog'!$J42&gt;D$2,'ProductSprint Backlog'!$I42&lt;=D$2), 'ProductSprint Backlog'!$F42 / MAX(1, 'ProductSprint Backlog'!$J42-'ProductSprint Backlog'!$I42), AND('ProductSprint Backlog'!$J42=D$2,'ProductSprint Backlog'!$I42=D$2), 'ProductSprint Backlog'!$F42, TRUE, 0)</f>
        <v>0</v>
      </c>
      <c r="E42" s="4" cm="1">
        <f t="array" ref="E42">_xlfn.IFS('ProductSprint Backlog'!$F42="", "", AND('ProductSprint Backlog'!$J42&gt;E$2,'ProductSprint Backlog'!$I42&lt;=E$2), 'ProductSprint Backlog'!$F42 / MAX(1, 'ProductSprint Backlog'!$J42-'ProductSprint Backlog'!$I42), AND('ProductSprint Backlog'!$J42=E$2,'ProductSprint Backlog'!$I42=E$2), 'ProductSprint Backlog'!$F42, TRUE, 0)</f>
        <v>0</v>
      </c>
      <c r="F42" s="4" cm="1">
        <f t="array" ref="F42">_xlfn.IFS('ProductSprint Backlog'!$F42="", "", AND('ProductSprint Backlog'!$J42&gt;F$2,'ProductSprint Backlog'!$I42&lt;=F$2), 'ProductSprint Backlog'!$F42 / MAX(1, 'ProductSprint Backlog'!$J42-'ProductSprint Backlog'!$I42), AND('ProductSprint Backlog'!$J42=F$2,'ProductSprint Backlog'!$I42=F$2), 'ProductSprint Backlog'!$F42, TRUE, 0)</f>
        <v>0</v>
      </c>
      <c r="G42" s="4" cm="1">
        <f t="array" ref="G42">_xlfn.IFS('ProductSprint Backlog'!$F42="", "", AND('ProductSprint Backlog'!$J42&gt;G$2,'ProductSprint Backlog'!$I42&lt;=G$2), 'ProductSprint Backlog'!$F42 / MAX(1, 'ProductSprint Backlog'!$J42-'ProductSprint Backlog'!$I42), AND('ProductSprint Backlog'!$J42=G$2,'ProductSprint Backlog'!$I42=G$2), 'ProductSprint Backlog'!$F42, TRUE, 0)</f>
        <v>0</v>
      </c>
      <c r="H42" s="4" cm="1">
        <f t="array" ref="H42">_xlfn.IFS('ProductSprint Backlog'!$F42="", "", AND('ProductSprint Backlog'!$J42&gt;H$2,'ProductSprint Backlog'!$I42&lt;=H$2), 'ProductSprint Backlog'!$F42 / MAX(1, 'ProductSprint Backlog'!$J42-'ProductSprint Backlog'!$I42), AND('ProductSprint Backlog'!$J42=H$2,'ProductSprint Backlog'!$I42=H$2), 'ProductSprint Backlog'!$F42, TRUE, 0)</f>
        <v>0</v>
      </c>
      <c r="I42" s="4" cm="1">
        <f t="array" ref="I42">_xlfn.IFS('ProductSprint Backlog'!$F42="", "", AND('ProductSprint Backlog'!$J42&gt;I$2,'ProductSprint Backlog'!$I42&lt;=I$2), 'ProductSprint Backlog'!$F42 / MAX(1, 'ProductSprint Backlog'!$J42-'ProductSprint Backlog'!$I42), AND('ProductSprint Backlog'!$J42=I$2,'ProductSprint Backlog'!$I42=I$2), 'ProductSprint Backlog'!$F42, TRUE, 0)</f>
        <v>0</v>
      </c>
      <c r="J42" s="4" cm="1">
        <f t="array" ref="J42">_xlfn.IFS('ProductSprint Backlog'!$F42="", "", AND('ProductSprint Backlog'!$J42&gt;J$2,'ProductSprint Backlog'!$I42&lt;=J$2), 'ProductSprint Backlog'!$F42 / MAX(1, 'ProductSprint Backlog'!$J42-'ProductSprint Backlog'!$I42), AND('ProductSprint Backlog'!$J42=J$2,'ProductSprint Backlog'!$I42=J$2), 'ProductSprint Backlog'!$F42, TRUE, 0)</f>
        <v>0</v>
      </c>
    </row>
    <row r="43" spans="2:10" x14ac:dyDescent="0.2">
      <c r="B43" s="4" cm="1">
        <f t="array" ref="B43">_xlfn.IFS('ProductSprint Backlog'!$F43="", "", AND('ProductSprint Backlog'!$J43&gt;B$2,'ProductSprint Backlog'!$I43&lt;=B$2), 'ProductSprint Backlog'!$F43 / MAX(1, 'ProductSprint Backlog'!$J43-'ProductSprint Backlog'!$I43), AND('ProductSprint Backlog'!$J43=B$2,'ProductSprint Backlog'!$I43=B$2), 'ProductSprint Backlog'!$F43, TRUE, 0)</f>
        <v>0</v>
      </c>
      <c r="C43" s="4" cm="1">
        <f t="array" ref="C43">_xlfn.IFS('ProductSprint Backlog'!$F43="", "", AND('ProductSprint Backlog'!$J43&gt;C$2,'ProductSprint Backlog'!$I43&lt;=C$2), 'ProductSprint Backlog'!$F43 / MAX(1, 'ProductSprint Backlog'!$J43-'ProductSprint Backlog'!$I43), AND('ProductSprint Backlog'!$J43=C$2,'ProductSprint Backlog'!$I43=C$2), 'ProductSprint Backlog'!$F43, TRUE, 0)</f>
        <v>0</v>
      </c>
      <c r="D43" s="4" cm="1">
        <f t="array" ref="D43">_xlfn.IFS('ProductSprint Backlog'!$F43="", "", AND('ProductSprint Backlog'!$J43&gt;D$2,'ProductSprint Backlog'!$I43&lt;=D$2), 'ProductSprint Backlog'!$F43 / MAX(1, 'ProductSprint Backlog'!$J43-'ProductSprint Backlog'!$I43), AND('ProductSprint Backlog'!$J43=D$2,'ProductSprint Backlog'!$I43=D$2), 'ProductSprint Backlog'!$F43, TRUE, 0)</f>
        <v>0</v>
      </c>
      <c r="E43" s="4" cm="1">
        <f t="array" ref="E43">_xlfn.IFS('ProductSprint Backlog'!$F43="", "", AND('ProductSprint Backlog'!$J43&gt;E$2,'ProductSprint Backlog'!$I43&lt;=E$2), 'ProductSprint Backlog'!$F43 / MAX(1, 'ProductSprint Backlog'!$J43-'ProductSprint Backlog'!$I43), AND('ProductSprint Backlog'!$J43=E$2,'ProductSprint Backlog'!$I43=E$2), 'ProductSprint Backlog'!$F43, TRUE, 0)</f>
        <v>0</v>
      </c>
      <c r="F43" s="4" cm="1">
        <f t="array" ref="F43">_xlfn.IFS('ProductSprint Backlog'!$F43="", "", AND('ProductSprint Backlog'!$J43&gt;F$2,'ProductSprint Backlog'!$I43&lt;=F$2), 'ProductSprint Backlog'!$F43 / MAX(1, 'ProductSprint Backlog'!$J43-'ProductSprint Backlog'!$I43), AND('ProductSprint Backlog'!$J43=F$2,'ProductSprint Backlog'!$I43=F$2), 'ProductSprint Backlog'!$F43, TRUE, 0)</f>
        <v>0</v>
      </c>
      <c r="G43" s="4" cm="1">
        <f t="array" ref="G43">_xlfn.IFS('ProductSprint Backlog'!$F43="", "", AND('ProductSprint Backlog'!$J43&gt;G$2,'ProductSprint Backlog'!$I43&lt;=G$2), 'ProductSprint Backlog'!$F43 / MAX(1, 'ProductSprint Backlog'!$J43-'ProductSprint Backlog'!$I43), AND('ProductSprint Backlog'!$J43=G$2,'ProductSprint Backlog'!$I43=G$2), 'ProductSprint Backlog'!$F43, TRUE, 0)</f>
        <v>0</v>
      </c>
      <c r="H43" s="4" cm="1">
        <f t="array" ref="H43">_xlfn.IFS('ProductSprint Backlog'!$F43="", "", AND('ProductSprint Backlog'!$J43&gt;H$2,'ProductSprint Backlog'!$I43&lt;=H$2), 'ProductSprint Backlog'!$F43 / MAX(1, 'ProductSprint Backlog'!$J43-'ProductSprint Backlog'!$I43), AND('ProductSprint Backlog'!$J43=H$2,'ProductSprint Backlog'!$I43=H$2), 'ProductSprint Backlog'!$F43, TRUE, 0)</f>
        <v>0</v>
      </c>
      <c r="I43" s="4" cm="1">
        <f t="array" ref="I43">_xlfn.IFS('ProductSprint Backlog'!$F43="", "", AND('ProductSprint Backlog'!$J43&gt;I$2,'ProductSprint Backlog'!$I43&lt;=I$2), 'ProductSprint Backlog'!$F43 / MAX(1, 'ProductSprint Backlog'!$J43-'ProductSprint Backlog'!$I43), AND('ProductSprint Backlog'!$J43=I$2,'ProductSprint Backlog'!$I43=I$2), 'ProductSprint Backlog'!$F43, TRUE, 0)</f>
        <v>0</v>
      </c>
      <c r="J43" s="4" cm="1">
        <f t="array" ref="J43">_xlfn.IFS('ProductSprint Backlog'!$F43="", "", AND('ProductSprint Backlog'!$J43&gt;J$2,'ProductSprint Backlog'!$I43&lt;=J$2), 'ProductSprint Backlog'!$F43 / MAX(1, 'ProductSprint Backlog'!$J43-'ProductSprint Backlog'!$I43), AND('ProductSprint Backlog'!$J43=J$2,'ProductSprint Backlog'!$I43=J$2), 'ProductSprint Backlog'!$F43, TRUE, 0)</f>
        <v>0</v>
      </c>
    </row>
    <row r="44" spans="2:10" x14ac:dyDescent="0.2">
      <c r="B44" s="4" t="str" cm="1">
        <f t="array" ref="B44">_xlfn.IFS('ProductSprint Backlog'!$F44="", "", AND('ProductSprint Backlog'!$J44&gt;B$2,'ProductSprint Backlog'!$I44&lt;=B$2), 'ProductSprint Backlog'!$F44 / MAX(1, 'ProductSprint Backlog'!$J44-'ProductSprint Backlog'!$I44), AND('ProductSprint Backlog'!$J44=B$2,'ProductSprint Backlog'!$I44=B$2), 'ProductSprint Backlog'!$F44, TRUE, 0)</f>
        <v/>
      </c>
      <c r="C44" s="4" t="str" cm="1">
        <f t="array" ref="C44">_xlfn.IFS('ProductSprint Backlog'!$F44="", "", AND('ProductSprint Backlog'!$J44&gt;C$2,'ProductSprint Backlog'!$I44&lt;=C$2), 'ProductSprint Backlog'!$F44 / MAX(1, 'ProductSprint Backlog'!$J44-'ProductSprint Backlog'!$I44), AND('ProductSprint Backlog'!$J44=C$2,'ProductSprint Backlog'!$I44=C$2), 'ProductSprint Backlog'!$F44, TRUE, 0)</f>
        <v/>
      </c>
      <c r="D44" s="4" t="str" cm="1">
        <f t="array" ref="D44">_xlfn.IFS('ProductSprint Backlog'!$F44="", "", AND('ProductSprint Backlog'!$J44&gt;D$2,'ProductSprint Backlog'!$I44&lt;=D$2), 'ProductSprint Backlog'!$F44 / MAX(1, 'ProductSprint Backlog'!$J44-'ProductSprint Backlog'!$I44), AND('ProductSprint Backlog'!$J44=D$2,'ProductSprint Backlog'!$I44=D$2), 'ProductSprint Backlog'!$F44, TRUE, 0)</f>
        <v/>
      </c>
      <c r="E44" s="4" t="str" cm="1">
        <f t="array" ref="E44">_xlfn.IFS('ProductSprint Backlog'!$F44="", "", AND('ProductSprint Backlog'!$J44&gt;E$2,'ProductSprint Backlog'!$I44&lt;=E$2), 'ProductSprint Backlog'!$F44 / MAX(1, 'ProductSprint Backlog'!$J44-'ProductSprint Backlog'!$I44), AND('ProductSprint Backlog'!$J44=E$2,'ProductSprint Backlog'!$I44=E$2), 'ProductSprint Backlog'!$F44, TRUE, 0)</f>
        <v/>
      </c>
      <c r="F44" s="4" t="str" cm="1">
        <f t="array" ref="F44">_xlfn.IFS('ProductSprint Backlog'!$F44="", "", AND('ProductSprint Backlog'!$J44&gt;F$2,'ProductSprint Backlog'!$I44&lt;=F$2), 'ProductSprint Backlog'!$F44 / MAX(1, 'ProductSprint Backlog'!$J44-'ProductSprint Backlog'!$I44), AND('ProductSprint Backlog'!$J44=F$2,'ProductSprint Backlog'!$I44=F$2), 'ProductSprint Backlog'!$F44, TRUE, 0)</f>
        <v/>
      </c>
      <c r="G44" s="4" t="str" cm="1">
        <f t="array" ref="G44">_xlfn.IFS('ProductSprint Backlog'!$F44="", "", AND('ProductSprint Backlog'!$J44&gt;G$2,'ProductSprint Backlog'!$I44&lt;=G$2), 'ProductSprint Backlog'!$F44 / MAX(1, 'ProductSprint Backlog'!$J44-'ProductSprint Backlog'!$I44), AND('ProductSprint Backlog'!$J44=G$2,'ProductSprint Backlog'!$I44=G$2), 'ProductSprint Backlog'!$F44, TRUE, 0)</f>
        <v/>
      </c>
      <c r="H44" s="4" t="str" cm="1">
        <f t="array" ref="H44">_xlfn.IFS('ProductSprint Backlog'!$F44="", "", AND('ProductSprint Backlog'!$J44&gt;H$2,'ProductSprint Backlog'!$I44&lt;=H$2), 'ProductSprint Backlog'!$F44 / MAX(1, 'ProductSprint Backlog'!$J44-'ProductSprint Backlog'!$I44), AND('ProductSprint Backlog'!$J44=H$2,'ProductSprint Backlog'!$I44=H$2), 'ProductSprint Backlog'!$F44, TRUE, 0)</f>
        <v/>
      </c>
      <c r="I44" s="4" t="str" cm="1">
        <f t="array" ref="I44">_xlfn.IFS('ProductSprint Backlog'!$F44="", "", AND('ProductSprint Backlog'!$J44&gt;I$2,'ProductSprint Backlog'!$I44&lt;=I$2), 'ProductSprint Backlog'!$F44 / MAX(1, 'ProductSprint Backlog'!$J44-'ProductSprint Backlog'!$I44), AND('ProductSprint Backlog'!$J44=I$2,'ProductSprint Backlog'!$I44=I$2), 'ProductSprint Backlog'!$F44, TRUE, 0)</f>
        <v/>
      </c>
      <c r="J44" s="4" t="str" cm="1">
        <f t="array" ref="J44">_xlfn.IFS('ProductSprint Backlog'!$F44="", "", AND('ProductSprint Backlog'!$J44&gt;J$2,'ProductSprint Backlog'!$I44&lt;=J$2), 'ProductSprint Backlog'!$F44 / MAX(1, 'ProductSprint Backlog'!$J44-'ProductSprint Backlog'!$I44), AND('ProductSprint Backlog'!$J44=J$2,'ProductSprint Backlog'!$I44=J$2), 'ProductSprint Backlog'!$F44, TRUE, 0)</f>
        <v/>
      </c>
    </row>
    <row r="45" spans="2:10" x14ac:dyDescent="0.2">
      <c r="B45" s="4" cm="1">
        <f t="array" ref="B45">_xlfn.IFS('ProductSprint Backlog'!$F45="", "", AND('ProductSprint Backlog'!$J45&gt;B$2,'ProductSprint Backlog'!$I45&lt;=B$2), 'ProductSprint Backlog'!$F45 / MAX(1, 'ProductSprint Backlog'!$J45-'ProductSprint Backlog'!$I45), AND('ProductSprint Backlog'!$J45=B$2,'ProductSprint Backlog'!$I45=B$2), 'ProductSprint Backlog'!$F45, TRUE, 0)</f>
        <v>0</v>
      </c>
      <c r="C45" s="4" cm="1">
        <f t="array" ref="C45">_xlfn.IFS('ProductSprint Backlog'!$F45="", "", AND('ProductSprint Backlog'!$J45&gt;C$2,'ProductSprint Backlog'!$I45&lt;=C$2), 'ProductSprint Backlog'!$F45 / MAX(1, 'ProductSprint Backlog'!$J45-'ProductSprint Backlog'!$I45), AND('ProductSprint Backlog'!$J45=C$2,'ProductSprint Backlog'!$I45=C$2), 'ProductSprint Backlog'!$F45, TRUE, 0)</f>
        <v>0</v>
      </c>
      <c r="D45" s="4" cm="1">
        <f t="array" ref="D45">_xlfn.IFS('ProductSprint Backlog'!$F45="", "", AND('ProductSprint Backlog'!$J45&gt;D$2,'ProductSprint Backlog'!$I45&lt;=D$2), 'ProductSprint Backlog'!$F45 / MAX(1, 'ProductSprint Backlog'!$J45-'ProductSprint Backlog'!$I45), AND('ProductSprint Backlog'!$J45=D$2,'ProductSprint Backlog'!$I45=D$2), 'ProductSprint Backlog'!$F45, TRUE, 0)</f>
        <v>0</v>
      </c>
      <c r="E45" s="4" cm="1">
        <f t="array" ref="E45">_xlfn.IFS('ProductSprint Backlog'!$F45="", "", AND('ProductSprint Backlog'!$J45&gt;E$2,'ProductSprint Backlog'!$I45&lt;=E$2), 'ProductSprint Backlog'!$F45 / MAX(1, 'ProductSprint Backlog'!$J45-'ProductSprint Backlog'!$I45), AND('ProductSprint Backlog'!$J45=E$2,'ProductSprint Backlog'!$I45=E$2), 'ProductSprint Backlog'!$F45, TRUE, 0)</f>
        <v>0</v>
      </c>
      <c r="F45" s="4" cm="1">
        <f t="array" ref="F45">_xlfn.IFS('ProductSprint Backlog'!$F45="", "", AND('ProductSprint Backlog'!$J45&gt;F$2,'ProductSprint Backlog'!$I45&lt;=F$2), 'ProductSprint Backlog'!$F45 / MAX(1, 'ProductSprint Backlog'!$J45-'ProductSprint Backlog'!$I45), AND('ProductSprint Backlog'!$J45=F$2,'ProductSprint Backlog'!$I45=F$2), 'ProductSprint Backlog'!$F45, TRUE, 0)</f>
        <v>0</v>
      </c>
      <c r="G45" s="4" cm="1">
        <f t="array" ref="G45">_xlfn.IFS('ProductSprint Backlog'!$F45="", "", AND('ProductSprint Backlog'!$J45&gt;G$2,'ProductSprint Backlog'!$I45&lt;=G$2), 'ProductSprint Backlog'!$F45 / MAX(1, 'ProductSprint Backlog'!$J45-'ProductSprint Backlog'!$I45), AND('ProductSprint Backlog'!$J45=G$2,'ProductSprint Backlog'!$I45=G$2), 'ProductSprint Backlog'!$F45, TRUE, 0)</f>
        <v>0</v>
      </c>
      <c r="H45" s="4" cm="1">
        <f t="array" ref="H45">_xlfn.IFS('ProductSprint Backlog'!$F45="", "", AND('ProductSprint Backlog'!$J45&gt;H$2,'ProductSprint Backlog'!$I45&lt;=H$2), 'ProductSprint Backlog'!$F45 / MAX(1, 'ProductSprint Backlog'!$J45-'ProductSprint Backlog'!$I45), AND('ProductSprint Backlog'!$J45=H$2,'ProductSprint Backlog'!$I45=H$2), 'ProductSprint Backlog'!$F45, TRUE, 0)</f>
        <v>0</v>
      </c>
      <c r="I45" s="4" cm="1">
        <f t="array" ref="I45">_xlfn.IFS('ProductSprint Backlog'!$F45="", "", AND('ProductSprint Backlog'!$J45&gt;I$2,'ProductSprint Backlog'!$I45&lt;=I$2), 'ProductSprint Backlog'!$F45 / MAX(1, 'ProductSprint Backlog'!$J45-'ProductSprint Backlog'!$I45), AND('ProductSprint Backlog'!$J45=I$2,'ProductSprint Backlog'!$I45=I$2), 'ProductSprint Backlog'!$F45, TRUE, 0)</f>
        <v>0</v>
      </c>
      <c r="J45" s="4" cm="1">
        <f t="array" ref="J45">_xlfn.IFS('ProductSprint Backlog'!$F45="", "", AND('ProductSprint Backlog'!$J45&gt;J$2,'ProductSprint Backlog'!$I45&lt;=J$2), 'ProductSprint Backlog'!$F45 / MAX(1, 'ProductSprint Backlog'!$J45-'ProductSprint Backlog'!$I45), AND('ProductSprint Backlog'!$J45=J$2,'ProductSprint Backlog'!$I45=J$2), 'ProductSprint Backlog'!$F45, TRUE, 0)</f>
        <v>0</v>
      </c>
    </row>
    <row r="46" spans="2:10" x14ac:dyDescent="0.2">
      <c r="B46" s="4" cm="1">
        <f t="array" ref="B46">_xlfn.IFS('ProductSprint Backlog'!$F46="", "", AND('ProductSprint Backlog'!$J46&gt;B$2,'ProductSprint Backlog'!$I46&lt;=B$2), 'ProductSprint Backlog'!$F46 / MAX(1, 'ProductSprint Backlog'!$J46-'ProductSprint Backlog'!$I46), AND('ProductSprint Backlog'!$J46=B$2,'ProductSprint Backlog'!$I46=B$2), 'ProductSprint Backlog'!$F46, TRUE, 0)</f>
        <v>0</v>
      </c>
      <c r="C46" s="4" cm="1">
        <f t="array" ref="C46">_xlfn.IFS('ProductSprint Backlog'!$F46="", "", AND('ProductSprint Backlog'!$J46&gt;C$2,'ProductSprint Backlog'!$I46&lt;=C$2), 'ProductSprint Backlog'!$F46 / MAX(1, 'ProductSprint Backlog'!$J46-'ProductSprint Backlog'!$I46), AND('ProductSprint Backlog'!$J46=C$2,'ProductSprint Backlog'!$I46=C$2), 'ProductSprint Backlog'!$F46, TRUE, 0)</f>
        <v>0</v>
      </c>
      <c r="D46" s="4" cm="1">
        <f t="array" ref="D46">_xlfn.IFS('ProductSprint Backlog'!$F46="", "", AND('ProductSprint Backlog'!$J46&gt;D$2,'ProductSprint Backlog'!$I46&lt;=D$2), 'ProductSprint Backlog'!$F46 / MAX(1, 'ProductSprint Backlog'!$J46-'ProductSprint Backlog'!$I46), AND('ProductSprint Backlog'!$J46=D$2,'ProductSprint Backlog'!$I46=D$2), 'ProductSprint Backlog'!$F46, TRUE, 0)</f>
        <v>0</v>
      </c>
      <c r="E46" s="4" cm="1">
        <f t="array" ref="E46">_xlfn.IFS('ProductSprint Backlog'!$F46="", "", AND('ProductSprint Backlog'!$J46&gt;E$2,'ProductSprint Backlog'!$I46&lt;=E$2), 'ProductSprint Backlog'!$F46 / MAX(1, 'ProductSprint Backlog'!$J46-'ProductSprint Backlog'!$I46), AND('ProductSprint Backlog'!$J46=E$2,'ProductSprint Backlog'!$I46=E$2), 'ProductSprint Backlog'!$F46, TRUE, 0)</f>
        <v>0</v>
      </c>
      <c r="F46" s="4" cm="1">
        <f t="array" ref="F46">_xlfn.IFS('ProductSprint Backlog'!$F46="", "", AND('ProductSprint Backlog'!$J46&gt;F$2,'ProductSprint Backlog'!$I46&lt;=F$2), 'ProductSprint Backlog'!$F46 / MAX(1, 'ProductSprint Backlog'!$J46-'ProductSprint Backlog'!$I46), AND('ProductSprint Backlog'!$J46=F$2,'ProductSprint Backlog'!$I46=F$2), 'ProductSprint Backlog'!$F46, TRUE, 0)</f>
        <v>0</v>
      </c>
      <c r="G46" s="4" cm="1">
        <f t="array" ref="G46">_xlfn.IFS('ProductSprint Backlog'!$F46="", "", AND('ProductSprint Backlog'!$J46&gt;G$2,'ProductSprint Backlog'!$I46&lt;=G$2), 'ProductSprint Backlog'!$F46 / MAX(1, 'ProductSprint Backlog'!$J46-'ProductSprint Backlog'!$I46), AND('ProductSprint Backlog'!$J46=G$2,'ProductSprint Backlog'!$I46=G$2), 'ProductSprint Backlog'!$F46, TRUE, 0)</f>
        <v>0</v>
      </c>
      <c r="H46" s="4" cm="1">
        <f t="array" ref="H46">_xlfn.IFS('ProductSprint Backlog'!$F46="", "", AND('ProductSprint Backlog'!$J46&gt;H$2,'ProductSprint Backlog'!$I46&lt;=H$2), 'ProductSprint Backlog'!$F46 / MAX(1, 'ProductSprint Backlog'!$J46-'ProductSprint Backlog'!$I46), AND('ProductSprint Backlog'!$J46=H$2,'ProductSprint Backlog'!$I46=H$2), 'ProductSprint Backlog'!$F46, TRUE, 0)</f>
        <v>0</v>
      </c>
      <c r="I46" s="4" cm="1">
        <f t="array" ref="I46">_xlfn.IFS('ProductSprint Backlog'!$F46="", "", AND('ProductSprint Backlog'!$J46&gt;I$2,'ProductSprint Backlog'!$I46&lt;=I$2), 'ProductSprint Backlog'!$F46 / MAX(1, 'ProductSprint Backlog'!$J46-'ProductSprint Backlog'!$I46), AND('ProductSprint Backlog'!$J46=I$2,'ProductSprint Backlog'!$I46=I$2), 'ProductSprint Backlog'!$F46, TRUE, 0)</f>
        <v>0</v>
      </c>
      <c r="J46" s="4" cm="1">
        <f t="array" ref="J46">_xlfn.IFS('ProductSprint Backlog'!$F46="", "", AND('ProductSprint Backlog'!$J46&gt;J$2,'ProductSprint Backlog'!$I46&lt;=J$2), 'ProductSprint Backlog'!$F46 / MAX(1, 'ProductSprint Backlog'!$J46-'ProductSprint Backlog'!$I46), AND('ProductSprint Backlog'!$J46=J$2,'ProductSprint Backlog'!$I46=J$2), 'ProductSprint Backlog'!$F46, TRUE, 0)</f>
        <v>0</v>
      </c>
    </row>
    <row r="47" spans="2:10" x14ac:dyDescent="0.2">
      <c r="B47" s="4" t="str" cm="1">
        <f t="array" ref="B47">_xlfn.IFS('ProductSprint Backlog'!$F47="", "", AND('ProductSprint Backlog'!$J47&gt;B$2,'ProductSprint Backlog'!$I47&lt;=B$2), 'ProductSprint Backlog'!$F47 / MAX(1, 'ProductSprint Backlog'!$J47-'ProductSprint Backlog'!$I47), AND('ProductSprint Backlog'!$J47=B$2,'ProductSprint Backlog'!$I47=B$2), 'ProductSprint Backlog'!$F47, TRUE, 0)</f>
        <v/>
      </c>
      <c r="C47" s="4" t="str" cm="1">
        <f t="array" ref="C47">_xlfn.IFS('ProductSprint Backlog'!$F47="", "", AND('ProductSprint Backlog'!$J47&gt;C$2,'ProductSprint Backlog'!$I47&lt;=C$2), 'ProductSprint Backlog'!$F47 / MAX(1, 'ProductSprint Backlog'!$J47-'ProductSprint Backlog'!$I47), AND('ProductSprint Backlog'!$J47=C$2,'ProductSprint Backlog'!$I47=C$2), 'ProductSprint Backlog'!$F47, TRUE, 0)</f>
        <v/>
      </c>
      <c r="D47" s="4" t="str" cm="1">
        <f t="array" ref="D47">_xlfn.IFS('ProductSprint Backlog'!$F47="", "", AND('ProductSprint Backlog'!$J47&gt;D$2,'ProductSprint Backlog'!$I47&lt;=D$2), 'ProductSprint Backlog'!$F47 / MAX(1, 'ProductSprint Backlog'!$J47-'ProductSprint Backlog'!$I47), AND('ProductSprint Backlog'!$J47=D$2,'ProductSprint Backlog'!$I47=D$2), 'ProductSprint Backlog'!$F47, TRUE, 0)</f>
        <v/>
      </c>
      <c r="E47" s="4" t="str" cm="1">
        <f t="array" ref="E47">_xlfn.IFS('ProductSprint Backlog'!$F47="", "", AND('ProductSprint Backlog'!$J47&gt;E$2,'ProductSprint Backlog'!$I47&lt;=E$2), 'ProductSprint Backlog'!$F47 / MAX(1, 'ProductSprint Backlog'!$J47-'ProductSprint Backlog'!$I47), AND('ProductSprint Backlog'!$J47=E$2,'ProductSprint Backlog'!$I47=E$2), 'ProductSprint Backlog'!$F47, TRUE, 0)</f>
        <v/>
      </c>
      <c r="F47" s="4" t="str" cm="1">
        <f t="array" ref="F47">_xlfn.IFS('ProductSprint Backlog'!$F47="", "", AND('ProductSprint Backlog'!$J47&gt;F$2,'ProductSprint Backlog'!$I47&lt;=F$2), 'ProductSprint Backlog'!$F47 / MAX(1, 'ProductSprint Backlog'!$J47-'ProductSprint Backlog'!$I47), AND('ProductSprint Backlog'!$J47=F$2,'ProductSprint Backlog'!$I47=F$2), 'ProductSprint Backlog'!$F47, TRUE, 0)</f>
        <v/>
      </c>
      <c r="G47" s="4" t="str" cm="1">
        <f t="array" ref="G47">_xlfn.IFS('ProductSprint Backlog'!$F47="", "", AND('ProductSprint Backlog'!$J47&gt;G$2,'ProductSprint Backlog'!$I47&lt;=G$2), 'ProductSprint Backlog'!$F47 / MAX(1, 'ProductSprint Backlog'!$J47-'ProductSprint Backlog'!$I47), AND('ProductSprint Backlog'!$J47=G$2,'ProductSprint Backlog'!$I47=G$2), 'ProductSprint Backlog'!$F47, TRUE, 0)</f>
        <v/>
      </c>
      <c r="H47" s="4" t="str" cm="1">
        <f t="array" ref="H47">_xlfn.IFS('ProductSprint Backlog'!$F47="", "", AND('ProductSprint Backlog'!$J47&gt;H$2,'ProductSprint Backlog'!$I47&lt;=H$2), 'ProductSprint Backlog'!$F47 / MAX(1, 'ProductSprint Backlog'!$J47-'ProductSprint Backlog'!$I47), AND('ProductSprint Backlog'!$J47=H$2,'ProductSprint Backlog'!$I47=H$2), 'ProductSprint Backlog'!$F47, TRUE, 0)</f>
        <v/>
      </c>
      <c r="I47" s="4" t="str" cm="1">
        <f t="array" ref="I47">_xlfn.IFS('ProductSprint Backlog'!$F47="", "", AND('ProductSprint Backlog'!$J47&gt;I$2,'ProductSprint Backlog'!$I47&lt;=I$2), 'ProductSprint Backlog'!$F47 / MAX(1, 'ProductSprint Backlog'!$J47-'ProductSprint Backlog'!$I47), AND('ProductSprint Backlog'!$J47=I$2,'ProductSprint Backlog'!$I47=I$2), 'ProductSprint Backlog'!$F47, TRUE, 0)</f>
        <v/>
      </c>
      <c r="J47" s="4" t="str" cm="1">
        <f t="array" ref="J47">_xlfn.IFS('ProductSprint Backlog'!$F47="", "", AND('ProductSprint Backlog'!$J47&gt;J$2,'ProductSprint Backlog'!$I47&lt;=J$2), 'ProductSprint Backlog'!$F47 / MAX(1, 'ProductSprint Backlog'!$J47-'ProductSprint Backlog'!$I47), AND('ProductSprint Backlog'!$J47=J$2,'ProductSprint Backlog'!$I47=J$2), 'ProductSprint Backlog'!$F47, TRUE, 0)</f>
        <v/>
      </c>
    </row>
    <row r="48" spans="2:10" x14ac:dyDescent="0.2">
      <c r="B48" s="4" cm="1">
        <f t="array" ref="B48">_xlfn.IFS('ProductSprint Backlog'!$F48="", "", AND('ProductSprint Backlog'!$J48&gt;B$2,'ProductSprint Backlog'!$I48&lt;=B$2), 'ProductSprint Backlog'!$F48 / MAX(1, 'ProductSprint Backlog'!$J48-'ProductSprint Backlog'!$I48), AND('ProductSprint Backlog'!$J48=B$2,'ProductSprint Backlog'!$I48=B$2), 'ProductSprint Backlog'!$F48, TRUE, 0)</f>
        <v>0</v>
      </c>
      <c r="C48" s="4" cm="1">
        <f t="array" ref="C48">_xlfn.IFS('ProductSprint Backlog'!$F48="", "", AND('ProductSprint Backlog'!$J48&gt;C$2,'ProductSprint Backlog'!$I48&lt;=C$2), 'ProductSprint Backlog'!$F48 / MAX(1, 'ProductSprint Backlog'!$J48-'ProductSprint Backlog'!$I48), AND('ProductSprint Backlog'!$J48=C$2,'ProductSprint Backlog'!$I48=C$2), 'ProductSprint Backlog'!$F48, TRUE, 0)</f>
        <v>0</v>
      </c>
      <c r="D48" s="4" cm="1">
        <f t="array" ref="D48">_xlfn.IFS('ProductSprint Backlog'!$F48="", "", AND('ProductSprint Backlog'!$J48&gt;D$2,'ProductSprint Backlog'!$I48&lt;=D$2), 'ProductSprint Backlog'!$F48 / MAX(1, 'ProductSprint Backlog'!$J48-'ProductSprint Backlog'!$I48), AND('ProductSprint Backlog'!$J48=D$2,'ProductSprint Backlog'!$I48=D$2), 'ProductSprint Backlog'!$F48, TRUE, 0)</f>
        <v>0</v>
      </c>
      <c r="E48" s="4" cm="1">
        <f t="array" ref="E48">_xlfn.IFS('ProductSprint Backlog'!$F48="", "", AND('ProductSprint Backlog'!$J48&gt;E$2,'ProductSprint Backlog'!$I48&lt;=E$2), 'ProductSprint Backlog'!$F48 / MAX(1, 'ProductSprint Backlog'!$J48-'ProductSprint Backlog'!$I48), AND('ProductSprint Backlog'!$J48=E$2,'ProductSprint Backlog'!$I48=E$2), 'ProductSprint Backlog'!$F48, TRUE, 0)</f>
        <v>0</v>
      </c>
      <c r="F48" s="4" cm="1">
        <f t="array" ref="F48">_xlfn.IFS('ProductSprint Backlog'!$F48="", "", AND('ProductSprint Backlog'!$J48&gt;F$2,'ProductSprint Backlog'!$I48&lt;=F$2), 'ProductSprint Backlog'!$F48 / MAX(1, 'ProductSprint Backlog'!$J48-'ProductSprint Backlog'!$I48), AND('ProductSprint Backlog'!$J48=F$2,'ProductSprint Backlog'!$I48=F$2), 'ProductSprint Backlog'!$F48, TRUE, 0)</f>
        <v>0</v>
      </c>
      <c r="G48" s="4" cm="1">
        <f t="array" ref="G48">_xlfn.IFS('ProductSprint Backlog'!$F48="", "", AND('ProductSprint Backlog'!$J48&gt;G$2,'ProductSprint Backlog'!$I48&lt;=G$2), 'ProductSprint Backlog'!$F48 / MAX(1, 'ProductSprint Backlog'!$J48-'ProductSprint Backlog'!$I48), AND('ProductSprint Backlog'!$J48=G$2,'ProductSprint Backlog'!$I48=G$2), 'ProductSprint Backlog'!$F48, TRUE, 0)</f>
        <v>0</v>
      </c>
      <c r="H48" s="4" cm="1">
        <f t="array" ref="H48">_xlfn.IFS('ProductSprint Backlog'!$F48="", "", AND('ProductSprint Backlog'!$J48&gt;H$2,'ProductSprint Backlog'!$I48&lt;=H$2), 'ProductSprint Backlog'!$F48 / MAX(1, 'ProductSprint Backlog'!$J48-'ProductSprint Backlog'!$I48), AND('ProductSprint Backlog'!$J48=H$2,'ProductSprint Backlog'!$I48=H$2), 'ProductSprint Backlog'!$F48, TRUE, 0)</f>
        <v>0</v>
      </c>
      <c r="I48" s="4" cm="1">
        <f t="array" ref="I48">_xlfn.IFS('ProductSprint Backlog'!$F48="", "", AND('ProductSprint Backlog'!$J48&gt;I$2,'ProductSprint Backlog'!$I48&lt;=I$2), 'ProductSprint Backlog'!$F48 / MAX(1, 'ProductSprint Backlog'!$J48-'ProductSprint Backlog'!$I48), AND('ProductSprint Backlog'!$J48=I$2,'ProductSprint Backlog'!$I48=I$2), 'ProductSprint Backlog'!$F48, TRUE, 0)</f>
        <v>0</v>
      </c>
      <c r="J48" s="4" cm="1">
        <f t="array" ref="J48">_xlfn.IFS('ProductSprint Backlog'!$F48="", "", AND('ProductSprint Backlog'!$J48&gt;J$2,'ProductSprint Backlog'!$I48&lt;=J$2), 'ProductSprint Backlog'!$F48 / MAX(1, 'ProductSprint Backlog'!$J48-'ProductSprint Backlog'!$I48), AND('ProductSprint Backlog'!$J48=J$2,'ProductSprint Backlog'!$I48=J$2), 'ProductSprint Backlog'!$F48, TRUE, 0)</f>
        <v>0</v>
      </c>
    </row>
    <row r="49" spans="2:10" x14ac:dyDescent="0.2">
      <c r="B49" s="4" cm="1">
        <f t="array" ref="B49">_xlfn.IFS('ProductSprint Backlog'!$F49="", "", AND('ProductSprint Backlog'!$J49&gt;B$2,'ProductSprint Backlog'!$I49&lt;=B$2), 'ProductSprint Backlog'!$F49 / MAX(1, 'ProductSprint Backlog'!$J49-'ProductSprint Backlog'!$I49), AND('ProductSprint Backlog'!$J49=B$2,'ProductSprint Backlog'!$I49=B$2), 'ProductSprint Backlog'!$F49, TRUE, 0)</f>
        <v>0</v>
      </c>
      <c r="C49" s="4" cm="1">
        <f t="array" ref="C49">_xlfn.IFS('ProductSprint Backlog'!$F49="", "", AND('ProductSprint Backlog'!$J49&gt;C$2,'ProductSprint Backlog'!$I49&lt;=C$2), 'ProductSprint Backlog'!$F49 / MAX(1, 'ProductSprint Backlog'!$J49-'ProductSprint Backlog'!$I49), AND('ProductSprint Backlog'!$J49=C$2,'ProductSprint Backlog'!$I49=C$2), 'ProductSprint Backlog'!$F49, TRUE, 0)</f>
        <v>0</v>
      </c>
      <c r="D49" s="4" cm="1">
        <f t="array" ref="D49">_xlfn.IFS('ProductSprint Backlog'!$F49="", "", AND('ProductSprint Backlog'!$J49&gt;D$2,'ProductSprint Backlog'!$I49&lt;=D$2), 'ProductSprint Backlog'!$F49 / MAX(1, 'ProductSprint Backlog'!$J49-'ProductSprint Backlog'!$I49), AND('ProductSprint Backlog'!$J49=D$2,'ProductSprint Backlog'!$I49=D$2), 'ProductSprint Backlog'!$F49, TRUE, 0)</f>
        <v>0</v>
      </c>
      <c r="E49" s="4" cm="1">
        <f t="array" ref="E49">_xlfn.IFS('ProductSprint Backlog'!$F49="", "", AND('ProductSprint Backlog'!$J49&gt;E$2,'ProductSprint Backlog'!$I49&lt;=E$2), 'ProductSprint Backlog'!$F49 / MAX(1, 'ProductSprint Backlog'!$J49-'ProductSprint Backlog'!$I49), AND('ProductSprint Backlog'!$J49=E$2,'ProductSprint Backlog'!$I49=E$2), 'ProductSprint Backlog'!$F49, TRUE, 0)</f>
        <v>0</v>
      </c>
      <c r="F49" s="4" cm="1">
        <f t="array" ref="F49">_xlfn.IFS('ProductSprint Backlog'!$F49="", "", AND('ProductSprint Backlog'!$J49&gt;F$2,'ProductSprint Backlog'!$I49&lt;=F$2), 'ProductSprint Backlog'!$F49 / MAX(1, 'ProductSprint Backlog'!$J49-'ProductSprint Backlog'!$I49), AND('ProductSprint Backlog'!$J49=F$2,'ProductSprint Backlog'!$I49=F$2), 'ProductSprint Backlog'!$F49, TRUE, 0)</f>
        <v>0</v>
      </c>
      <c r="G49" s="4" cm="1">
        <f t="array" ref="G49">_xlfn.IFS('ProductSprint Backlog'!$F49="", "", AND('ProductSprint Backlog'!$J49&gt;G$2,'ProductSprint Backlog'!$I49&lt;=G$2), 'ProductSprint Backlog'!$F49 / MAX(1, 'ProductSprint Backlog'!$J49-'ProductSprint Backlog'!$I49), AND('ProductSprint Backlog'!$J49=G$2,'ProductSprint Backlog'!$I49=G$2), 'ProductSprint Backlog'!$F49, TRUE, 0)</f>
        <v>0</v>
      </c>
      <c r="H49" s="4" cm="1">
        <f t="array" ref="H49">_xlfn.IFS('ProductSprint Backlog'!$F49="", "", AND('ProductSprint Backlog'!$J49&gt;H$2,'ProductSprint Backlog'!$I49&lt;=H$2), 'ProductSprint Backlog'!$F49 / MAX(1, 'ProductSprint Backlog'!$J49-'ProductSprint Backlog'!$I49), AND('ProductSprint Backlog'!$J49=H$2,'ProductSprint Backlog'!$I49=H$2), 'ProductSprint Backlog'!$F49, TRUE, 0)</f>
        <v>0</v>
      </c>
      <c r="I49" s="4" cm="1">
        <f t="array" ref="I49">_xlfn.IFS('ProductSprint Backlog'!$F49="", "", AND('ProductSprint Backlog'!$J49&gt;I$2,'ProductSprint Backlog'!$I49&lt;=I$2), 'ProductSprint Backlog'!$F49 / MAX(1, 'ProductSprint Backlog'!$J49-'ProductSprint Backlog'!$I49), AND('ProductSprint Backlog'!$J49=I$2,'ProductSprint Backlog'!$I49=I$2), 'ProductSprint Backlog'!$F49, TRUE, 0)</f>
        <v>0</v>
      </c>
      <c r="J49" s="4" cm="1">
        <f t="array" ref="J49">_xlfn.IFS('ProductSprint Backlog'!$F49="", "", AND('ProductSprint Backlog'!$J49&gt;J$2,'ProductSprint Backlog'!$I49&lt;=J$2), 'ProductSprint Backlog'!$F49 / MAX(1, 'ProductSprint Backlog'!$J49-'ProductSprint Backlog'!$I49), AND('ProductSprint Backlog'!$J49=J$2,'ProductSprint Backlog'!$I49=J$2), 'ProductSprint Backlog'!$F49, TRUE, 0)</f>
        <v>0</v>
      </c>
    </row>
    <row r="50" spans="2:10" x14ac:dyDescent="0.2">
      <c r="B50" s="4" t="str" cm="1">
        <f t="array" ref="B50">_xlfn.IFS('ProductSprint Backlog'!$F50="", "", AND('ProductSprint Backlog'!$J50&gt;B$2,'ProductSprint Backlog'!$I50&lt;=B$2), 'ProductSprint Backlog'!$F50 / MAX(1, 'ProductSprint Backlog'!$J50-'ProductSprint Backlog'!$I50), AND('ProductSprint Backlog'!$J50=B$2,'ProductSprint Backlog'!$I50=B$2), 'ProductSprint Backlog'!$F50, TRUE, 0)</f>
        <v/>
      </c>
      <c r="C50" s="4" t="str" cm="1">
        <f t="array" ref="C50">_xlfn.IFS('ProductSprint Backlog'!$F50="", "", AND('ProductSprint Backlog'!$J50&gt;C$2,'ProductSprint Backlog'!$I50&lt;=C$2), 'ProductSprint Backlog'!$F50 / MAX(1, 'ProductSprint Backlog'!$J50-'ProductSprint Backlog'!$I50), AND('ProductSprint Backlog'!$J50=C$2,'ProductSprint Backlog'!$I50=C$2), 'ProductSprint Backlog'!$F50, TRUE, 0)</f>
        <v/>
      </c>
      <c r="D50" s="4" t="str" cm="1">
        <f t="array" ref="D50">_xlfn.IFS('ProductSprint Backlog'!$F50="", "", AND('ProductSprint Backlog'!$J50&gt;D$2,'ProductSprint Backlog'!$I50&lt;=D$2), 'ProductSprint Backlog'!$F50 / MAX(1, 'ProductSprint Backlog'!$J50-'ProductSprint Backlog'!$I50), AND('ProductSprint Backlog'!$J50=D$2,'ProductSprint Backlog'!$I50=D$2), 'ProductSprint Backlog'!$F50, TRUE, 0)</f>
        <v/>
      </c>
      <c r="E50" s="4" t="str" cm="1">
        <f t="array" ref="E50">_xlfn.IFS('ProductSprint Backlog'!$F50="", "", AND('ProductSprint Backlog'!$J50&gt;E$2,'ProductSprint Backlog'!$I50&lt;=E$2), 'ProductSprint Backlog'!$F50 / MAX(1, 'ProductSprint Backlog'!$J50-'ProductSprint Backlog'!$I50), AND('ProductSprint Backlog'!$J50=E$2,'ProductSprint Backlog'!$I50=E$2), 'ProductSprint Backlog'!$F50, TRUE, 0)</f>
        <v/>
      </c>
      <c r="F50" s="4" t="str" cm="1">
        <f t="array" ref="F50">_xlfn.IFS('ProductSprint Backlog'!$F50="", "", AND('ProductSprint Backlog'!$J50&gt;F$2,'ProductSprint Backlog'!$I50&lt;=F$2), 'ProductSprint Backlog'!$F50 / MAX(1, 'ProductSprint Backlog'!$J50-'ProductSprint Backlog'!$I50), AND('ProductSprint Backlog'!$J50=F$2,'ProductSprint Backlog'!$I50=F$2), 'ProductSprint Backlog'!$F50, TRUE, 0)</f>
        <v/>
      </c>
      <c r="G50" s="4" t="str" cm="1">
        <f t="array" ref="G50">_xlfn.IFS('ProductSprint Backlog'!$F50="", "", AND('ProductSprint Backlog'!$J50&gt;G$2,'ProductSprint Backlog'!$I50&lt;=G$2), 'ProductSprint Backlog'!$F50 / MAX(1, 'ProductSprint Backlog'!$J50-'ProductSprint Backlog'!$I50), AND('ProductSprint Backlog'!$J50=G$2,'ProductSprint Backlog'!$I50=G$2), 'ProductSprint Backlog'!$F50, TRUE, 0)</f>
        <v/>
      </c>
      <c r="H50" s="4" t="str" cm="1">
        <f t="array" ref="H50">_xlfn.IFS('ProductSprint Backlog'!$F50="", "", AND('ProductSprint Backlog'!$J50&gt;H$2,'ProductSprint Backlog'!$I50&lt;=H$2), 'ProductSprint Backlog'!$F50 / MAX(1, 'ProductSprint Backlog'!$J50-'ProductSprint Backlog'!$I50), AND('ProductSprint Backlog'!$J50=H$2,'ProductSprint Backlog'!$I50=H$2), 'ProductSprint Backlog'!$F50, TRUE, 0)</f>
        <v/>
      </c>
      <c r="I50" s="4" t="str" cm="1">
        <f t="array" ref="I50">_xlfn.IFS('ProductSprint Backlog'!$F50="", "", AND('ProductSprint Backlog'!$J50&gt;I$2,'ProductSprint Backlog'!$I50&lt;=I$2), 'ProductSprint Backlog'!$F50 / MAX(1, 'ProductSprint Backlog'!$J50-'ProductSprint Backlog'!$I50), AND('ProductSprint Backlog'!$J50=I$2,'ProductSprint Backlog'!$I50=I$2), 'ProductSprint Backlog'!$F50, TRUE, 0)</f>
        <v/>
      </c>
      <c r="J50" s="4" t="str" cm="1">
        <f t="array" ref="J50">_xlfn.IFS('ProductSprint Backlog'!$F50="", "", AND('ProductSprint Backlog'!$J50&gt;J$2,'ProductSprint Backlog'!$I50&lt;=J$2), 'ProductSprint Backlog'!$F50 / MAX(1, 'ProductSprint Backlog'!$J50-'ProductSprint Backlog'!$I50), AND('ProductSprint Backlog'!$J50=J$2,'ProductSprint Backlog'!$I50=J$2), 'ProductSprint Backlog'!$F50, TRUE, 0)</f>
        <v/>
      </c>
    </row>
    <row r="51" spans="2:10" x14ac:dyDescent="0.2">
      <c r="B51" s="4" cm="1">
        <f t="array" ref="B51">_xlfn.IFS('ProductSprint Backlog'!$F51="", "", AND('ProductSprint Backlog'!$J51&gt;B$2,'ProductSprint Backlog'!$I51&lt;=B$2), 'ProductSprint Backlog'!$F51 / MAX(1, 'ProductSprint Backlog'!$J51-'ProductSprint Backlog'!$I51), AND('ProductSprint Backlog'!$J51=B$2,'ProductSprint Backlog'!$I51=B$2), 'ProductSprint Backlog'!$F51, TRUE, 0)</f>
        <v>0</v>
      </c>
      <c r="C51" s="4" cm="1">
        <f t="array" ref="C51">_xlfn.IFS('ProductSprint Backlog'!$F51="", "", AND('ProductSprint Backlog'!$J51&gt;C$2,'ProductSprint Backlog'!$I51&lt;=C$2), 'ProductSprint Backlog'!$F51 / MAX(1, 'ProductSprint Backlog'!$J51-'ProductSprint Backlog'!$I51), AND('ProductSprint Backlog'!$J51=C$2,'ProductSprint Backlog'!$I51=C$2), 'ProductSprint Backlog'!$F51, TRUE, 0)</f>
        <v>0</v>
      </c>
      <c r="D51" s="4" cm="1">
        <f t="array" ref="D51">_xlfn.IFS('ProductSprint Backlog'!$F51="", "", AND('ProductSprint Backlog'!$J51&gt;D$2,'ProductSprint Backlog'!$I51&lt;=D$2), 'ProductSprint Backlog'!$F51 / MAX(1, 'ProductSprint Backlog'!$J51-'ProductSprint Backlog'!$I51), AND('ProductSprint Backlog'!$J51=D$2,'ProductSprint Backlog'!$I51=D$2), 'ProductSprint Backlog'!$F51, TRUE, 0)</f>
        <v>0</v>
      </c>
      <c r="E51" s="4" cm="1">
        <f t="array" ref="E51">_xlfn.IFS('ProductSprint Backlog'!$F51="", "", AND('ProductSprint Backlog'!$J51&gt;E$2,'ProductSprint Backlog'!$I51&lt;=E$2), 'ProductSprint Backlog'!$F51 / MAX(1, 'ProductSprint Backlog'!$J51-'ProductSprint Backlog'!$I51), AND('ProductSprint Backlog'!$J51=E$2,'ProductSprint Backlog'!$I51=E$2), 'ProductSprint Backlog'!$F51, TRUE, 0)</f>
        <v>0</v>
      </c>
      <c r="F51" s="4" cm="1">
        <f t="array" ref="F51">_xlfn.IFS('ProductSprint Backlog'!$F51="", "", AND('ProductSprint Backlog'!$J51&gt;F$2,'ProductSprint Backlog'!$I51&lt;=F$2), 'ProductSprint Backlog'!$F51 / MAX(1, 'ProductSprint Backlog'!$J51-'ProductSprint Backlog'!$I51), AND('ProductSprint Backlog'!$J51=F$2,'ProductSprint Backlog'!$I51=F$2), 'ProductSprint Backlog'!$F51, TRUE, 0)</f>
        <v>0</v>
      </c>
      <c r="G51" s="4" cm="1">
        <f t="array" ref="G51">_xlfn.IFS('ProductSprint Backlog'!$F51="", "", AND('ProductSprint Backlog'!$J51&gt;G$2,'ProductSprint Backlog'!$I51&lt;=G$2), 'ProductSprint Backlog'!$F51 / MAX(1, 'ProductSprint Backlog'!$J51-'ProductSprint Backlog'!$I51), AND('ProductSprint Backlog'!$J51=G$2,'ProductSprint Backlog'!$I51=G$2), 'ProductSprint Backlog'!$F51, TRUE, 0)</f>
        <v>0</v>
      </c>
      <c r="H51" s="4" cm="1">
        <f t="array" ref="H51">_xlfn.IFS('ProductSprint Backlog'!$F51="", "", AND('ProductSprint Backlog'!$J51&gt;H$2,'ProductSprint Backlog'!$I51&lt;=H$2), 'ProductSprint Backlog'!$F51 / MAX(1, 'ProductSprint Backlog'!$J51-'ProductSprint Backlog'!$I51), AND('ProductSprint Backlog'!$J51=H$2,'ProductSprint Backlog'!$I51=H$2), 'ProductSprint Backlog'!$F51, TRUE, 0)</f>
        <v>0</v>
      </c>
      <c r="I51" s="4" cm="1">
        <f t="array" ref="I51">_xlfn.IFS('ProductSprint Backlog'!$F51="", "", AND('ProductSprint Backlog'!$J51&gt;I$2,'ProductSprint Backlog'!$I51&lt;=I$2), 'ProductSprint Backlog'!$F51 / MAX(1, 'ProductSprint Backlog'!$J51-'ProductSprint Backlog'!$I51), AND('ProductSprint Backlog'!$J51=I$2,'ProductSprint Backlog'!$I51=I$2), 'ProductSprint Backlog'!$F51, TRUE, 0)</f>
        <v>0</v>
      </c>
      <c r="J51" s="4" cm="1">
        <f t="array" ref="J51">_xlfn.IFS('ProductSprint Backlog'!$F51="", "", AND('ProductSprint Backlog'!$J51&gt;J$2,'ProductSprint Backlog'!$I51&lt;=J$2), 'ProductSprint Backlog'!$F51 / MAX(1, 'ProductSprint Backlog'!$J51-'ProductSprint Backlog'!$I51), AND('ProductSprint Backlog'!$J51=J$2,'ProductSprint Backlog'!$I51=J$2), 'ProductSprint Backlog'!$F51, TRUE, 0)</f>
        <v>0</v>
      </c>
    </row>
    <row r="52" spans="2:10" x14ac:dyDescent="0.2">
      <c r="B52" s="4" cm="1">
        <f t="array" ref="B52">_xlfn.IFS('ProductSprint Backlog'!$F52="", "", AND('ProductSprint Backlog'!$J52&gt;B$2,'ProductSprint Backlog'!$I52&lt;=B$2), 'ProductSprint Backlog'!$F52 / MAX(1, 'ProductSprint Backlog'!$J52-'ProductSprint Backlog'!$I52), AND('ProductSprint Backlog'!$J52=B$2,'ProductSprint Backlog'!$I52=B$2), 'ProductSprint Backlog'!$F52, TRUE, 0)</f>
        <v>0</v>
      </c>
      <c r="C52" s="4" cm="1">
        <f t="array" ref="C52">_xlfn.IFS('ProductSprint Backlog'!$F52="", "", AND('ProductSprint Backlog'!$J52&gt;C$2,'ProductSprint Backlog'!$I52&lt;=C$2), 'ProductSprint Backlog'!$F52 / MAX(1, 'ProductSprint Backlog'!$J52-'ProductSprint Backlog'!$I52), AND('ProductSprint Backlog'!$J52=C$2,'ProductSprint Backlog'!$I52=C$2), 'ProductSprint Backlog'!$F52, TRUE, 0)</f>
        <v>0</v>
      </c>
      <c r="D52" s="4" cm="1">
        <f t="array" ref="D52">_xlfn.IFS('ProductSprint Backlog'!$F52="", "", AND('ProductSprint Backlog'!$J52&gt;D$2,'ProductSprint Backlog'!$I52&lt;=D$2), 'ProductSprint Backlog'!$F52 / MAX(1, 'ProductSprint Backlog'!$J52-'ProductSprint Backlog'!$I52), AND('ProductSprint Backlog'!$J52=D$2,'ProductSprint Backlog'!$I52=D$2), 'ProductSprint Backlog'!$F52, TRUE, 0)</f>
        <v>0</v>
      </c>
      <c r="E52" s="4" cm="1">
        <f t="array" ref="E52">_xlfn.IFS('ProductSprint Backlog'!$F52="", "", AND('ProductSprint Backlog'!$J52&gt;E$2,'ProductSprint Backlog'!$I52&lt;=E$2), 'ProductSprint Backlog'!$F52 / MAX(1, 'ProductSprint Backlog'!$J52-'ProductSprint Backlog'!$I52), AND('ProductSprint Backlog'!$J52=E$2,'ProductSprint Backlog'!$I52=E$2), 'ProductSprint Backlog'!$F52, TRUE, 0)</f>
        <v>0</v>
      </c>
      <c r="F52" s="4" cm="1">
        <f t="array" ref="F52">_xlfn.IFS('ProductSprint Backlog'!$F52="", "", AND('ProductSprint Backlog'!$J52&gt;F$2,'ProductSprint Backlog'!$I52&lt;=F$2), 'ProductSprint Backlog'!$F52 / MAX(1, 'ProductSprint Backlog'!$J52-'ProductSprint Backlog'!$I52), AND('ProductSprint Backlog'!$J52=F$2,'ProductSprint Backlog'!$I52=F$2), 'ProductSprint Backlog'!$F52, TRUE, 0)</f>
        <v>0</v>
      </c>
      <c r="G52" s="4" cm="1">
        <f t="array" ref="G52">_xlfn.IFS('ProductSprint Backlog'!$F52="", "", AND('ProductSprint Backlog'!$J52&gt;G$2,'ProductSprint Backlog'!$I52&lt;=G$2), 'ProductSprint Backlog'!$F52 / MAX(1, 'ProductSprint Backlog'!$J52-'ProductSprint Backlog'!$I52), AND('ProductSprint Backlog'!$J52=G$2,'ProductSprint Backlog'!$I52=G$2), 'ProductSprint Backlog'!$F52, TRUE, 0)</f>
        <v>0</v>
      </c>
      <c r="H52" s="4" cm="1">
        <f t="array" ref="H52">_xlfn.IFS('ProductSprint Backlog'!$F52="", "", AND('ProductSprint Backlog'!$J52&gt;H$2,'ProductSprint Backlog'!$I52&lt;=H$2), 'ProductSprint Backlog'!$F52 / MAX(1, 'ProductSprint Backlog'!$J52-'ProductSprint Backlog'!$I52), AND('ProductSprint Backlog'!$J52=H$2,'ProductSprint Backlog'!$I52=H$2), 'ProductSprint Backlog'!$F52, TRUE, 0)</f>
        <v>0</v>
      </c>
      <c r="I52" s="4" cm="1">
        <f t="array" ref="I52">_xlfn.IFS('ProductSprint Backlog'!$F52="", "", AND('ProductSprint Backlog'!$J52&gt;I$2,'ProductSprint Backlog'!$I52&lt;=I$2), 'ProductSprint Backlog'!$F52 / MAX(1, 'ProductSprint Backlog'!$J52-'ProductSprint Backlog'!$I52), AND('ProductSprint Backlog'!$J52=I$2,'ProductSprint Backlog'!$I52=I$2), 'ProductSprint Backlog'!$F52, TRUE, 0)</f>
        <v>0</v>
      </c>
      <c r="J52" s="4" cm="1">
        <f t="array" ref="J52">_xlfn.IFS('ProductSprint Backlog'!$F52="", "", AND('ProductSprint Backlog'!$J52&gt;J$2,'ProductSprint Backlog'!$I52&lt;=J$2), 'ProductSprint Backlog'!$F52 / MAX(1, 'ProductSprint Backlog'!$J52-'ProductSprint Backlog'!$I52), AND('ProductSprint Backlog'!$J52=J$2,'ProductSprint Backlog'!$I52=J$2), 'ProductSprint Backlog'!$F52, TRUE, 0)</f>
        <v>0</v>
      </c>
    </row>
    <row r="53" spans="2:10" x14ac:dyDescent="0.2">
      <c r="B53" s="4" t="str" cm="1">
        <f t="array" ref="B53">_xlfn.IFS('ProductSprint Backlog'!$F53="", "", AND('ProductSprint Backlog'!$J53&gt;B$2,'ProductSprint Backlog'!$I53&lt;=B$2), 'ProductSprint Backlog'!$F53 / MAX(1, 'ProductSprint Backlog'!$J53-'ProductSprint Backlog'!$I53), AND('ProductSprint Backlog'!$J53=B$2,'ProductSprint Backlog'!$I53=B$2), 'ProductSprint Backlog'!$F53, TRUE, 0)</f>
        <v/>
      </c>
      <c r="C53" s="4" t="str" cm="1">
        <f t="array" ref="C53">_xlfn.IFS('ProductSprint Backlog'!$F53="", "", AND('ProductSprint Backlog'!$J53&gt;C$2,'ProductSprint Backlog'!$I53&lt;=C$2), 'ProductSprint Backlog'!$F53 / MAX(1, 'ProductSprint Backlog'!$J53-'ProductSprint Backlog'!$I53), AND('ProductSprint Backlog'!$J53=C$2,'ProductSprint Backlog'!$I53=C$2), 'ProductSprint Backlog'!$F53, TRUE, 0)</f>
        <v/>
      </c>
      <c r="D53" s="4" t="str" cm="1">
        <f t="array" ref="D53">_xlfn.IFS('ProductSprint Backlog'!$F53="", "", AND('ProductSprint Backlog'!$J53&gt;D$2,'ProductSprint Backlog'!$I53&lt;=D$2), 'ProductSprint Backlog'!$F53 / MAX(1, 'ProductSprint Backlog'!$J53-'ProductSprint Backlog'!$I53), AND('ProductSprint Backlog'!$J53=D$2,'ProductSprint Backlog'!$I53=D$2), 'ProductSprint Backlog'!$F53, TRUE, 0)</f>
        <v/>
      </c>
      <c r="E53" s="4" t="str" cm="1">
        <f t="array" ref="E53">_xlfn.IFS('ProductSprint Backlog'!$F53="", "", AND('ProductSprint Backlog'!$J53&gt;E$2,'ProductSprint Backlog'!$I53&lt;=E$2), 'ProductSprint Backlog'!$F53 / MAX(1, 'ProductSprint Backlog'!$J53-'ProductSprint Backlog'!$I53), AND('ProductSprint Backlog'!$J53=E$2,'ProductSprint Backlog'!$I53=E$2), 'ProductSprint Backlog'!$F53, TRUE, 0)</f>
        <v/>
      </c>
      <c r="F53" s="4" t="str" cm="1">
        <f t="array" ref="F53">_xlfn.IFS('ProductSprint Backlog'!$F53="", "", AND('ProductSprint Backlog'!$J53&gt;F$2,'ProductSprint Backlog'!$I53&lt;=F$2), 'ProductSprint Backlog'!$F53 / MAX(1, 'ProductSprint Backlog'!$J53-'ProductSprint Backlog'!$I53), AND('ProductSprint Backlog'!$J53=F$2,'ProductSprint Backlog'!$I53=F$2), 'ProductSprint Backlog'!$F53, TRUE, 0)</f>
        <v/>
      </c>
      <c r="G53" s="4" t="str" cm="1">
        <f t="array" ref="G53">_xlfn.IFS('ProductSprint Backlog'!$F53="", "", AND('ProductSprint Backlog'!$J53&gt;G$2,'ProductSprint Backlog'!$I53&lt;=G$2), 'ProductSprint Backlog'!$F53 / MAX(1, 'ProductSprint Backlog'!$J53-'ProductSprint Backlog'!$I53), AND('ProductSprint Backlog'!$J53=G$2,'ProductSprint Backlog'!$I53=G$2), 'ProductSprint Backlog'!$F53, TRUE, 0)</f>
        <v/>
      </c>
      <c r="H53" s="4" t="str" cm="1">
        <f t="array" ref="H53">_xlfn.IFS('ProductSprint Backlog'!$F53="", "", AND('ProductSprint Backlog'!$J53&gt;H$2,'ProductSprint Backlog'!$I53&lt;=H$2), 'ProductSprint Backlog'!$F53 / MAX(1, 'ProductSprint Backlog'!$J53-'ProductSprint Backlog'!$I53), AND('ProductSprint Backlog'!$J53=H$2,'ProductSprint Backlog'!$I53=H$2), 'ProductSprint Backlog'!$F53, TRUE, 0)</f>
        <v/>
      </c>
      <c r="I53" s="4" t="str" cm="1">
        <f t="array" ref="I53">_xlfn.IFS('ProductSprint Backlog'!$F53="", "", AND('ProductSprint Backlog'!$J53&gt;I$2,'ProductSprint Backlog'!$I53&lt;=I$2), 'ProductSprint Backlog'!$F53 / MAX(1, 'ProductSprint Backlog'!$J53-'ProductSprint Backlog'!$I53), AND('ProductSprint Backlog'!$J53=I$2,'ProductSprint Backlog'!$I53=I$2), 'ProductSprint Backlog'!$F53, TRUE, 0)</f>
        <v/>
      </c>
      <c r="J53" s="4" t="str" cm="1">
        <f t="array" ref="J53">_xlfn.IFS('ProductSprint Backlog'!$F53="", "", AND('ProductSprint Backlog'!$J53&gt;J$2,'ProductSprint Backlog'!$I53&lt;=J$2), 'ProductSprint Backlog'!$F53 / MAX(1, 'ProductSprint Backlog'!$J53-'ProductSprint Backlog'!$I53), AND('ProductSprint Backlog'!$J53=J$2,'ProductSprint Backlog'!$I53=J$2), 'ProductSprint Backlog'!$F53, TRUE, 0)</f>
        <v/>
      </c>
    </row>
    <row r="54" spans="2:10" x14ac:dyDescent="0.2">
      <c r="B54" s="4" cm="1">
        <f t="array" ref="B54">_xlfn.IFS('ProductSprint Backlog'!$F54="", "", AND('ProductSprint Backlog'!$J54&gt;B$2,'ProductSprint Backlog'!$I54&lt;=B$2), 'ProductSprint Backlog'!$F54 / MAX(1, 'ProductSprint Backlog'!$J54-'ProductSprint Backlog'!$I54), AND('ProductSprint Backlog'!$J54=B$2,'ProductSprint Backlog'!$I54=B$2), 'ProductSprint Backlog'!$F54, TRUE, 0)</f>
        <v>0</v>
      </c>
      <c r="C54" s="4" cm="1">
        <f t="array" ref="C54">_xlfn.IFS('ProductSprint Backlog'!$F54="", "", AND('ProductSprint Backlog'!$J54&gt;C$2,'ProductSprint Backlog'!$I54&lt;=C$2), 'ProductSprint Backlog'!$F54 / MAX(1, 'ProductSprint Backlog'!$J54-'ProductSprint Backlog'!$I54), AND('ProductSprint Backlog'!$J54=C$2,'ProductSprint Backlog'!$I54=C$2), 'ProductSprint Backlog'!$F54, TRUE, 0)</f>
        <v>0</v>
      </c>
      <c r="D54" s="4" cm="1">
        <f t="array" ref="D54">_xlfn.IFS('ProductSprint Backlog'!$F54="", "", AND('ProductSprint Backlog'!$J54&gt;D$2,'ProductSprint Backlog'!$I54&lt;=D$2), 'ProductSprint Backlog'!$F54 / MAX(1, 'ProductSprint Backlog'!$J54-'ProductSprint Backlog'!$I54), AND('ProductSprint Backlog'!$J54=D$2,'ProductSprint Backlog'!$I54=D$2), 'ProductSprint Backlog'!$F54, TRUE, 0)</f>
        <v>0</v>
      </c>
      <c r="E54" s="4" cm="1">
        <f t="array" ref="E54">_xlfn.IFS('ProductSprint Backlog'!$F54="", "", AND('ProductSprint Backlog'!$J54&gt;E$2,'ProductSprint Backlog'!$I54&lt;=E$2), 'ProductSprint Backlog'!$F54 / MAX(1, 'ProductSprint Backlog'!$J54-'ProductSprint Backlog'!$I54), AND('ProductSprint Backlog'!$J54=E$2,'ProductSprint Backlog'!$I54=E$2), 'ProductSprint Backlog'!$F54, TRUE, 0)</f>
        <v>0</v>
      </c>
      <c r="F54" s="4" cm="1">
        <f t="array" ref="F54">_xlfn.IFS('ProductSprint Backlog'!$F54="", "", AND('ProductSprint Backlog'!$J54&gt;F$2,'ProductSprint Backlog'!$I54&lt;=F$2), 'ProductSprint Backlog'!$F54 / MAX(1, 'ProductSprint Backlog'!$J54-'ProductSprint Backlog'!$I54), AND('ProductSprint Backlog'!$J54=F$2,'ProductSprint Backlog'!$I54=F$2), 'ProductSprint Backlog'!$F54, TRUE, 0)</f>
        <v>0</v>
      </c>
      <c r="G54" s="4" cm="1">
        <f t="array" ref="G54">_xlfn.IFS('ProductSprint Backlog'!$F54="", "", AND('ProductSprint Backlog'!$J54&gt;G$2,'ProductSprint Backlog'!$I54&lt;=G$2), 'ProductSprint Backlog'!$F54 / MAX(1, 'ProductSprint Backlog'!$J54-'ProductSprint Backlog'!$I54), AND('ProductSprint Backlog'!$J54=G$2,'ProductSprint Backlog'!$I54=G$2), 'ProductSprint Backlog'!$F54, TRUE, 0)</f>
        <v>0</v>
      </c>
      <c r="H54" s="4" cm="1">
        <f t="array" ref="H54">_xlfn.IFS('ProductSprint Backlog'!$F54="", "", AND('ProductSprint Backlog'!$J54&gt;H$2,'ProductSprint Backlog'!$I54&lt;=H$2), 'ProductSprint Backlog'!$F54 / MAX(1, 'ProductSprint Backlog'!$J54-'ProductSprint Backlog'!$I54), AND('ProductSprint Backlog'!$J54=H$2,'ProductSprint Backlog'!$I54=H$2), 'ProductSprint Backlog'!$F54, TRUE, 0)</f>
        <v>0</v>
      </c>
      <c r="I54" s="4" cm="1">
        <f t="array" ref="I54">_xlfn.IFS('ProductSprint Backlog'!$F54="", "", AND('ProductSprint Backlog'!$J54&gt;I$2,'ProductSprint Backlog'!$I54&lt;=I$2), 'ProductSprint Backlog'!$F54 / MAX(1, 'ProductSprint Backlog'!$J54-'ProductSprint Backlog'!$I54), AND('ProductSprint Backlog'!$J54=I$2,'ProductSprint Backlog'!$I54=I$2), 'ProductSprint Backlog'!$F54, TRUE, 0)</f>
        <v>0</v>
      </c>
      <c r="J54" s="4" cm="1">
        <f t="array" ref="J54">_xlfn.IFS('ProductSprint Backlog'!$F54="", "", AND('ProductSprint Backlog'!$J54&gt;J$2,'ProductSprint Backlog'!$I54&lt;=J$2), 'ProductSprint Backlog'!$F54 / MAX(1, 'ProductSprint Backlog'!$J54-'ProductSprint Backlog'!$I54), AND('ProductSprint Backlog'!$J54=J$2,'ProductSprint Backlog'!$I54=J$2), 'ProductSprint Backlog'!$F54, TRUE, 0)</f>
        <v>0</v>
      </c>
    </row>
    <row r="55" spans="2:10" x14ac:dyDescent="0.2">
      <c r="B55" s="4" cm="1">
        <f t="array" ref="B55">_xlfn.IFS('ProductSprint Backlog'!$F55="", "", AND('ProductSprint Backlog'!$J55&gt;B$2,'ProductSprint Backlog'!$I55&lt;=B$2), 'ProductSprint Backlog'!$F55 / MAX(1, 'ProductSprint Backlog'!$J55-'ProductSprint Backlog'!$I55), AND('ProductSprint Backlog'!$J55=B$2,'ProductSprint Backlog'!$I55=B$2), 'ProductSprint Backlog'!$F55, TRUE, 0)</f>
        <v>0</v>
      </c>
      <c r="C55" s="4" cm="1">
        <f t="array" ref="C55">_xlfn.IFS('ProductSprint Backlog'!$F55="", "", AND('ProductSprint Backlog'!$J55&gt;C$2,'ProductSprint Backlog'!$I55&lt;=C$2), 'ProductSprint Backlog'!$F55 / MAX(1, 'ProductSprint Backlog'!$J55-'ProductSprint Backlog'!$I55), AND('ProductSprint Backlog'!$J55=C$2,'ProductSprint Backlog'!$I55=C$2), 'ProductSprint Backlog'!$F55, TRUE, 0)</f>
        <v>0</v>
      </c>
      <c r="D55" s="4" cm="1">
        <f t="array" ref="D55">_xlfn.IFS('ProductSprint Backlog'!$F55="", "", AND('ProductSprint Backlog'!$J55&gt;D$2,'ProductSprint Backlog'!$I55&lt;=D$2), 'ProductSprint Backlog'!$F55 / MAX(1, 'ProductSprint Backlog'!$J55-'ProductSprint Backlog'!$I55), AND('ProductSprint Backlog'!$J55=D$2,'ProductSprint Backlog'!$I55=D$2), 'ProductSprint Backlog'!$F55, TRUE, 0)</f>
        <v>0</v>
      </c>
      <c r="E55" s="4" cm="1">
        <f t="array" ref="E55">_xlfn.IFS('ProductSprint Backlog'!$F55="", "", AND('ProductSprint Backlog'!$J55&gt;E$2,'ProductSprint Backlog'!$I55&lt;=E$2), 'ProductSprint Backlog'!$F55 / MAX(1, 'ProductSprint Backlog'!$J55-'ProductSprint Backlog'!$I55), AND('ProductSprint Backlog'!$J55=E$2,'ProductSprint Backlog'!$I55=E$2), 'ProductSprint Backlog'!$F55, TRUE, 0)</f>
        <v>0</v>
      </c>
      <c r="F55" s="4" cm="1">
        <f t="array" ref="F55">_xlfn.IFS('ProductSprint Backlog'!$F55="", "", AND('ProductSprint Backlog'!$J55&gt;F$2,'ProductSprint Backlog'!$I55&lt;=F$2), 'ProductSprint Backlog'!$F55 / MAX(1, 'ProductSprint Backlog'!$J55-'ProductSprint Backlog'!$I55), AND('ProductSprint Backlog'!$J55=F$2,'ProductSprint Backlog'!$I55=F$2), 'ProductSprint Backlog'!$F55, TRUE, 0)</f>
        <v>0</v>
      </c>
      <c r="G55" s="4" cm="1">
        <f t="array" ref="G55">_xlfn.IFS('ProductSprint Backlog'!$F55="", "", AND('ProductSprint Backlog'!$J55&gt;G$2,'ProductSprint Backlog'!$I55&lt;=G$2), 'ProductSprint Backlog'!$F55 / MAX(1, 'ProductSprint Backlog'!$J55-'ProductSprint Backlog'!$I55), AND('ProductSprint Backlog'!$J55=G$2,'ProductSprint Backlog'!$I55=G$2), 'ProductSprint Backlog'!$F55, TRUE, 0)</f>
        <v>0</v>
      </c>
      <c r="H55" s="4" cm="1">
        <f t="array" ref="H55">_xlfn.IFS('ProductSprint Backlog'!$F55="", "", AND('ProductSprint Backlog'!$J55&gt;H$2,'ProductSprint Backlog'!$I55&lt;=H$2), 'ProductSprint Backlog'!$F55 / MAX(1, 'ProductSprint Backlog'!$J55-'ProductSprint Backlog'!$I55), AND('ProductSprint Backlog'!$J55=H$2,'ProductSprint Backlog'!$I55=H$2), 'ProductSprint Backlog'!$F55, TRUE, 0)</f>
        <v>0</v>
      </c>
      <c r="I55" s="4" cm="1">
        <f t="array" ref="I55">_xlfn.IFS('ProductSprint Backlog'!$F55="", "", AND('ProductSprint Backlog'!$J55&gt;I$2,'ProductSprint Backlog'!$I55&lt;=I$2), 'ProductSprint Backlog'!$F55 / MAX(1, 'ProductSprint Backlog'!$J55-'ProductSprint Backlog'!$I55), AND('ProductSprint Backlog'!$J55=I$2,'ProductSprint Backlog'!$I55=I$2), 'ProductSprint Backlog'!$F55, TRUE, 0)</f>
        <v>0</v>
      </c>
      <c r="J55" s="4" cm="1">
        <f t="array" ref="J55">_xlfn.IFS('ProductSprint Backlog'!$F55="", "", AND('ProductSprint Backlog'!$J55&gt;J$2,'ProductSprint Backlog'!$I55&lt;=J$2), 'ProductSprint Backlog'!$F55 / MAX(1, 'ProductSprint Backlog'!$J55-'ProductSprint Backlog'!$I55), AND('ProductSprint Backlog'!$J55=J$2,'ProductSprint Backlog'!$I55=J$2), 'ProductSprint Backlog'!$F55, TRUE, 0)</f>
        <v>0</v>
      </c>
    </row>
    <row r="56" spans="2:10" x14ac:dyDescent="0.2">
      <c r="B56" s="4" cm="1">
        <f t="array" ref="B56">_xlfn.IFS('ProductSprint Backlog'!$F56="", "", AND('ProductSprint Backlog'!$J56&gt;B$2,'ProductSprint Backlog'!$I56&lt;=B$2), 'ProductSprint Backlog'!$F56 / MAX(1, 'ProductSprint Backlog'!$J56-'ProductSprint Backlog'!$I56), AND('ProductSprint Backlog'!$J56=B$2,'ProductSprint Backlog'!$I56=B$2), 'ProductSprint Backlog'!$F56, TRUE, 0)</f>
        <v>0</v>
      </c>
      <c r="C56" s="4" cm="1">
        <f t="array" ref="C56">_xlfn.IFS('ProductSprint Backlog'!$F56="", "", AND('ProductSprint Backlog'!$J56&gt;C$2,'ProductSprint Backlog'!$I56&lt;=C$2), 'ProductSprint Backlog'!$F56 / MAX(1, 'ProductSprint Backlog'!$J56-'ProductSprint Backlog'!$I56), AND('ProductSprint Backlog'!$J56=C$2,'ProductSprint Backlog'!$I56=C$2), 'ProductSprint Backlog'!$F56, TRUE, 0)</f>
        <v>0</v>
      </c>
      <c r="D56" s="4" cm="1">
        <f t="array" ref="D56">_xlfn.IFS('ProductSprint Backlog'!$F56="", "", AND('ProductSprint Backlog'!$J56&gt;D$2,'ProductSprint Backlog'!$I56&lt;=D$2), 'ProductSprint Backlog'!$F56 / MAX(1, 'ProductSprint Backlog'!$J56-'ProductSprint Backlog'!$I56), AND('ProductSprint Backlog'!$J56=D$2,'ProductSprint Backlog'!$I56=D$2), 'ProductSprint Backlog'!$F56, TRUE, 0)</f>
        <v>0</v>
      </c>
      <c r="E56" s="4" cm="1">
        <f t="array" ref="E56">_xlfn.IFS('ProductSprint Backlog'!$F56="", "", AND('ProductSprint Backlog'!$J56&gt;E$2,'ProductSprint Backlog'!$I56&lt;=E$2), 'ProductSprint Backlog'!$F56 / MAX(1, 'ProductSprint Backlog'!$J56-'ProductSprint Backlog'!$I56), AND('ProductSprint Backlog'!$J56=E$2,'ProductSprint Backlog'!$I56=E$2), 'ProductSprint Backlog'!$F56, TRUE, 0)</f>
        <v>0</v>
      </c>
      <c r="F56" s="4" cm="1">
        <f t="array" ref="F56">_xlfn.IFS('ProductSprint Backlog'!$F56="", "", AND('ProductSprint Backlog'!$J56&gt;F$2,'ProductSprint Backlog'!$I56&lt;=F$2), 'ProductSprint Backlog'!$F56 / MAX(1, 'ProductSprint Backlog'!$J56-'ProductSprint Backlog'!$I56), AND('ProductSprint Backlog'!$J56=F$2,'ProductSprint Backlog'!$I56=F$2), 'ProductSprint Backlog'!$F56, TRUE, 0)</f>
        <v>0</v>
      </c>
      <c r="G56" s="4" cm="1">
        <f t="array" ref="G56">_xlfn.IFS('ProductSprint Backlog'!$F56="", "", AND('ProductSprint Backlog'!$J56&gt;G$2,'ProductSprint Backlog'!$I56&lt;=G$2), 'ProductSprint Backlog'!$F56 / MAX(1, 'ProductSprint Backlog'!$J56-'ProductSprint Backlog'!$I56), AND('ProductSprint Backlog'!$J56=G$2,'ProductSprint Backlog'!$I56=G$2), 'ProductSprint Backlog'!$F56, TRUE, 0)</f>
        <v>0</v>
      </c>
      <c r="H56" s="4" cm="1">
        <f t="array" ref="H56">_xlfn.IFS('ProductSprint Backlog'!$F56="", "", AND('ProductSprint Backlog'!$J56&gt;H$2,'ProductSprint Backlog'!$I56&lt;=H$2), 'ProductSprint Backlog'!$F56 / MAX(1, 'ProductSprint Backlog'!$J56-'ProductSprint Backlog'!$I56), AND('ProductSprint Backlog'!$J56=H$2,'ProductSprint Backlog'!$I56=H$2), 'ProductSprint Backlog'!$F56, TRUE, 0)</f>
        <v>0</v>
      </c>
      <c r="I56" s="4" cm="1">
        <f t="array" ref="I56">_xlfn.IFS('ProductSprint Backlog'!$F56="", "", AND('ProductSprint Backlog'!$J56&gt;I$2,'ProductSprint Backlog'!$I56&lt;=I$2), 'ProductSprint Backlog'!$F56 / MAX(1, 'ProductSprint Backlog'!$J56-'ProductSprint Backlog'!$I56), AND('ProductSprint Backlog'!$J56=I$2,'ProductSprint Backlog'!$I56=I$2), 'ProductSprint Backlog'!$F56, TRUE, 0)</f>
        <v>0</v>
      </c>
      <c r="J56" s="4" cm="1">
        <f t="array" ref="J56">_xlfn.IFS('ProductSprint Backlog'!$F56="", "", AND('ProductSprint Backlog'!$J56&gt;J$2,'ProductSprint Backlog'!$I56&lt;=J$2), 'ProductSprint Backlog'!$F56 / MAX(1, 'ProductSprint Backlog'!$J56-'ProductSprint Backlog'!$I56), AND('ProductSprint Backlog'!$J56=J$2,'ProductSprint Backlog'!$I56=J$2), 'ProductSprint Backlog'!$F56, TRUE, 0)</f>
        <v>0</v>
      </c>
    </row>
    <row r="57" spans="2:10" x14ac:dyDescent="0.2">
      <c r="B57" s="4" cm="1">
        <f t="array" ref="B57">_xlfn.IFS('ProductSprint Backlog'!$F57="", "", AND('ProductSprint Backlog'!$J57&gt;B$2,'ProductSprint Backlog'!$I57&lt;=B$2), 'ProductSprint Backlog'!$F57 / MAX(1, 'ProductSprint Backlog'!$J57-'ProductSprint Backlog'!$I57), AND('ProductSprint Backlog'!$J57=B$2,'ProductSprint Backlog'!$I57=B$2), 'ProductSprint Backlog'!$F57, TRUE, 0)</f>
        <v>0</v>
      </c>
      <c r="C57" s="4" cm="1">
        <f t="array" ref="C57">_xlfn.IFS('ProductSprint Backlog'!$F57="", "", AND('ProductSprint Backlog'!$J57&gt;C$2,'ProductSprint Backlog'!$I57&lt;=C$2), 'ProductSprint Backlog'!$F57 / MAX(1, 'ProductSprint Backlog'!$J57-'ProductSprint Backlog'!$I57), AND('ProductSprint Backlog'!$J57=C$2,'ProductSprint Backlog'!$I57=C$2), 'ProductSprint Backlog'!$F57, TRUE, 0)</f>
        <v>0</v>
      </c>
      <c r="D57" s="4" cm="1">
        <f t="array" ref="D57">_xlfn.IFS('ProductSprint Backlog'!$F57="", "", AND('ProductSprint Backlog'!$J57&gt;D$2,'ProductSprint Backlog'!$I57&lt;=D$2), 'ProductSprint Backlog'!$F57 / MAX(1, 'ProductSprint Backlog'!$J57-'ProductSprint Backlog'!$I57), AND('ProductSprint Backlog'!$J57=D$2,'ProductSprint Backlog'!$I57=D$2), 'ProductSprint Backlog'!$F57, TRUE, 0)</f>
        <v>0</v>
      </c>
      <c r="E57" s="4" cm="1">
        <f t="array" ref="E57">_xlfn.IFS('ProductSprint Backlog'!$F57="", "", AND('ProductSprint Backlog'!$J57&gt;E$2,'ProductSprint Backlog'!$I57&lt;=E$2), 'ProductSprint Backlog'!$F57 / MAX(1, 'ProductSprint Backlog'!$J57-'ProductSprint Backlog'!$I57), AND('ProductSprint Backlog'!$J57=E$2,'ProductSprint Backlog'!$I57=E$2), 'ProductSprint Backlog'!$F57, TRUE, 0)</f>
        <v>0</v>
      </c>
      <c r="F57" s="4" cm="1">
        <f t="array" ref="F57">_xlfn.IFS('ProductSprint Backlog'!$F57="", "", AND('ProductSprint Backlog'!$J57&gt;F$2,'ProductSprint Backlog'!$I57&lt;=F$2), 'ProductSprint Backlog'!$F57 / MAX(1, 'ProductSprint Backlog'!$J57-'ProductSprint Backlog'!$I57), AND('ProductSprint Backlog'!$J57=F$2,'ProductSprint Backlog'!$I57=F$2), 'ProductSprint Backlog'!$F57, TRUE, 0)</f>
        <v>0</v>
      </c>
      <c r="G57" s="4" cm="1">
        <f t="array" ref="G57">_xlfn.IFS('ProductSprint Backlog'!$F57="", "", AND('ProductSprint Backlog'!$J57&gt;G$2,'ProductSprint Backlog'!$I57&lt;=G$2), 'ProductSprint Backlog'!$F57 / MAX(1, 'ProductSprint Backlog'!$J57-'ProductSprint Backlog'!$I57), AND('ProductSprint Backlog'!$J57=G$2,'ProductSprint Backlog'!$I57=G$2), 'ProductSprint Backlog'!$F57, TRUE, 0)</f>
        <v>0</v>
      </c>
      <c r="H57" s="4" cm="1">
        <f t="array" ref="H57">_xlfn.IFS('ProductSprint Backlog'!$F57="", "", AND('ProductSprint Backlog'!$J57&gt;H$2,'ProductSprint Backlog'!$I57&lt;=H$2), 'ProductSprint Backlog'!$F57 / MAX(1, 'ProductSprint Backlog'!$J57-'ProductSprint Backlog'!$I57), AND('ProductSprint Backlog'!$J57=H$2,'ProductSprint Backlog'!$I57=H$2), 'ProductSprint Backlog'!$F57, TRUE, 0)</f>
        <v>0</v>
      </c>
      <c r="I57" s="4" cm="1">
        <f t="array" ref="I57">_xlfn.IFS('ProductSprint Backlog'!$F57="", "", AND('ProductSprint Backlog'!$J57&gt;I$2,'ProductSprint Backlog'!$I57&lt;=I$2), 'ProductSprint Backlog'!$F57 / MAX(1, 'ProductSprint Backlog'!$J57-'ProductSprint Backlog'!$I57), AND('ProductSprint Backlog'!$J57=I$2,'ProductSprint Backlog'!$I57=I$2), 'ProductSprint Backlog'!$F57, TRUE, 0)</f>
        <v>0</v>
      </c>
      <c r="J57" s="4" cm="1">
        <f t="array" ref="J57">_xlfn.IFS('ProductSprint Backlog'!$F57="", "", AND('ProductSprint Backlog'!$J57&gt;J$2,'ProductSprint Backlog'!$I57&lt;=J$2), 'ProductSprint Backlog'!$F57 / MAX(1, 'ProductSprint Backlog'!$J57-'ProductSprint Backlog'!$I57), AND('ProductSprint Backlog'!$J57=J$2,'ProductSprint Backlog'!$I57=J$2), 'ProductSprint Backlog'!$F57, TRUE, 0)</f>
        <v>0</v>
      </c>
    </row>
    <row r="58" spans="2:10" x14ac:dyDescent="0.2">
      <c r="B58" s="4" cm="1">
        <f t="array" ref="B58">_xlfn.IFS('ProductSprint Backlog'!$F58="", "", AND('ProductSprint Backlog'!$J58&gt;B$2,'ProductSprint Backlog'!$I58&lt;=B$2), 'ProductSprint Backlog'!$F58 / MAX(1, 'ProductSprint Backlog'!$J58-'ProductSprint Backlog'!$I58), AND('ProductSprint Backlog'!$J58=B$2,'ProductSprint Backlog'!$I58=B$2), 'ProductSprint Backlog'!$F58, TRUE, 0)</f>
        <v>0</v>
      </c>
      <c r="C58" s="4" cm="1">
        <f t="array" ref="C58">_xlfn.IFS('ProductSprint Backlog'!$F58="", "", AND('ProductSprint Backlog'!$J58&gt;C$2,'ProductSprint Backlog'!$I58&lt;=C$2), 'ProductSprint Backlog'!$F58 / MAX(1, 'ProductSprint Backlog'!$J58-'ProductSprint Backlog'!$I58), AND('ProductSprint Backlog'!$J58=C$2,'ProductSprint Backlog'!$I58=C$2), 'ProductSprint Backlog'!$F58, TRUE, 0)</f>
        <v>0</v>
      </c>
      <c r="D58" s="4" cm="1">
        <f t="array" ref="D58">_xlfn.IFS('ProductSprint Backlog'!$F58="", "", AND('ProductSprint Backlog'!$J58&gt;D$2,'ProductSprint Backlog'!$I58&lt;=D$2), 'ProductSprint Backlog'!$F58 / MAX(1, 'ProductSprint Backlog'!$J58-'ProductSprint Backlog'!$I58), AND('ProductSprint Backlog'!$J58=D$2,'ProductSprint Backlog'!$I58=D$2), 'ProductSprint Backlog'!$F58, TRUE, 0)</f>
        <v>0</v>
      </c>
      <c r="E58" s="4" cm="1">
        <f t="array" ref="E58">_xlfn.IFS('ProductSprint Backlog'!$F58="", "", AND('ProductSprint Backlog'!$J58&gt;E$2,'ProductSprint Backlog'!$I58&lt;=E$2), 'ProductSprint Backlog'!$F58 / MAX(1, 'ProductSprint Backlog'!$J58-'ProductSprint Backlog'!$I58), AND('ProductSprint Backlog'!$J58=E$2,'ProductSprint Backlog'!$I58=E$2), 'ProductSprint Backlog'!$F58, TRUE, 0)</f>
        <v>0</v>
      </c>
      <c r="F58" s="4" cm="1">
        <f t="array" ref="F58">_xlfn.IFS('ProductSprint Backlog'!$F58="", "", AND('ProductSprint Backlog'!$J58&gt;F$2,'ProductSprint Backlog'!$I58&lt;=F$2), 'ProductSprint Backlog'!$F58 / MAX(1, 'ProductSprint Backlog'!$J58-'ProductSprint Backlog'!$I58), AND('ProductSprint Backlog'!$J58=F$2,'ProductSprint Backlog'!$I58=F$2), 'ProductSprint Backlog'!$F58, TRUE, 0)</f>
        <v>0</v>
      </c>
      <c r="G58" s="4" cm="1">
        <f t="array" ref="G58">_xlfn.IFS('ProductSprint Backlog'!$F58="", "", AND('ProductSprint Backlog'!$J58&gt;G$2,'ProductSprint Backlog'!$I58&lt;=G$2), 'ProductSprint Backlog'!$F58 / MAX(1, 'ProductSprint Backlog'!$J58-'ProductSprint Backlog'!$I58), AND('ProductSprint Backlog'!$J58=G$2,'ProductSprint Backlog'!$I58=G$2), 'ProductSprint Backlog'!$F58, TRUE, 0)</f>
        <v>0</v>
      </c>
      <c r="H58" s="4" cm="1">
        <f t="array" ref="H58">_xlfn.IFS('ProductSprint Backlog'!$F58="", "", AND('ProductSprint Backlog'!$J58&gt;H$2,'ProductSprint Backlog'!$I58&lt;=H$2), 'ProductSprint Backlog'!$F58 / MAX(1, 'ProductSprint Backlog'!$J58-'ProductSprint Backlog'!$I58), AND('ProductSprint Backlog'!$J58=H$2,'ProductSprint Backlog'!$I58=H$2), 'ProductSprint Backlog'!$F58, TRUE, 0)</f>
        <v>0</v>
      </c>
      <c r="I58" s="4" cm="1">
        <f t="array" ref="I58">_xlfn.IFS('ProductSprint Backlog'!$F58="", "", AND('ProductSprint Backlog'!$J58&gt;I$2,'ProductSprint Backlog'!$I58&lt;=I$2), 'ProductSprint Backlog'!$F58 / MAX(1, 'ProductSprint Backlog'!$J58-'ProductSprint Backlog'!$I58), AND('ProductSprint Backlog'!$J58=I$2,'ProductSprint Backlog'!$I58=I$2), 'ProductSprint Backlog'!$F58, TRUE, 0)</f>
        <v>0</v>
      </c>
      <c r="J58" s="4" cm="1">
        <f t="array" ref="J58">_xlfn.IFS('ProductSprint Backlog'!$F58="", "", AND('ProductSprint Backlog'!$J58&gt;J$2,'ProductSprint Backlog'!$I58&lt;=J$2), 'ProductSprint Backlog'!$F58 / MAX(1, 'ProductSprint Backlog'!$J58-'ProductSprint Backlog'!$I58), AND('ProductSprint Backlog'!$J58=J$2,'ProductSprint Backlog'!$I58=J$2), 'ProductSprint Backlog'!$F58, TRUE, 0)</f>
        <v>0</v>
      </c>
    </row>
    <row r="59" spans="2:10" x14ac:dyDescent="0.2">
      <c r="B59" s="4" t="str" cm="1">
        <f t="array" ref="B59">_xlfn.IFS('ProductSprint Backlog'!$F59="", "", AND('ProductSprint Backlog'!$J59&gt;B$2,'ProductSprint Backlog'!$I59&lt;=B$2), 'ProductSprint Backlog'!$F59 / MAX(1, 'ProductSprint Backlog'!$J59-'ProductSprint Backlog'!$I59), AND('ProductSprint Backlog'!$J59=B$2,'ProductSprint Backlog'!$I59=B$2), 'ProductSprint Backlog'!$F59, TRUE, 0)</f>
        <v/>
      </c>
      <c r="C59" s="4" t="str" cm="1">
        <f t="array" ref="C59">_xlfn.IFS('ProductSprint Backlog'!$F59="", "", AND('ProductSprint Backlog'!$J59&gt;C$2,'ProductSprint Backlog'!$I59&lt;=C$2), 'ProductSprint Backlog'!$F59 / MAX(1, 'ProductSprint Backlog'!$J59-'ProductSprint Backlog'!$I59), AND('ProductSprint Backlog'!$J59=C$2,'ProductSprint Backlog'!$I59=C$2), 'ProductSprint Backlog'!$F59, TRUE, 0)</f>
        <v/>
      </c>
      <c r="D59" s="4" t="str" cm="1">
        <f t="array" ref="D59">_xlfn.IFS('ProductSprint Backlog'!$F59="", "", AND('ProductSprint Backlog'!$J59&gt;D$2,'ProductSprint Backlog'!$I59&lt;=D$2), 'ProductSprint Backlog'!$F59 / MAX(1, 'ProductSprint Backlog'!$J59-'ProductSprint Backlog'!$I59), AND('ProductSprint Backlog'!$J59=D$2,'ProductSprint Backlog'!$I59=D$2), 'ProductSprint Backlog'!$F59, TRUE, 0)</f>
        <v/>
      </c>
      <c r="E59" s="4" t="str" cm="1">
        <f t="array" ref="E59">_xlfn.IFS('ProductSprint Backlog'!$F59="", "", AND('ProductSprint Backlog'!$J59&gt;E$2,'ProductSprint Backlog'!$I59&lt;=E$2), 'ProductSprint Backlog'!$F59 / MAX(1, 'ProductSprint Backlog'!$J59-'ProductSprint Backlog'!$I59), AND('ProductSprint Backlog'!$J59=E$2,'ProductSprint Backlog'!$I59=E$2), 'ProductSprint Backlog'!$F59, TRUE, 0)</f>
        <v/>
      </c>
      <c r="F59" s="4" t="str" cm="1">
        <f t="array" ref="F59">_xlfn.IFS('ProductSprint Backlog'!$F59="", "", AND('ProductSprint Backlog'!$J59&gt;F$2,'ProductSprint Backlog'!$I59&lt;=F$2), 'ProductSprint Backlog'!$F59 / MAX(1, 'ProductSprint Backlog'!$J59-'ProductSprint Backlog'!$I59), AND('ProductSprint Backlog'!$J59=F$2,'ProductSprint Backlog'!$I59=F$2), 'ProductSprint Backlog'!$F59, TRUE, 0)</f>
        <v/>
      </c>
      <c r="G59" s="4" t="str" cm="1">
        <f t="array" ref="G59">_xlfn.IFS('ProductSprint Backlog'!$F59="", "", AND('ProductSprint Backlog'!$J59&gt;G$2,'ProductSprint Backlog'!$I59&lt;=G$2), 'ProductSprint Backlog'!$F59 / MAX(1, 'ProductSprint Backlog'!$J59-'ProductSprint Backlog'!$I59), AND('ProductSprint Backlog'!$J59=G$2,'ProductSprint Backlog'!$I59=G$2), 'ProductSprint Backlog'!$F59, TRUE, 0)</f>
        <v/>
      </c>
      <c r="H59" s="4" t="str" cm="1">
        <f t="array" ref="H59">_xlfn.IFS('ProductSprint Backlog'!$F59="", "", AND('ProductSprint Backlog'!$J59&gt;H$2,'ProductSprint Backlog'!$I59&lt;=H$2), 'ProductSprint Backlog'!$F59 / MAX(1, 'ProductSprint Backlog'!$J59-'ProductSprint Backlog'!$I59), AND('ProductSprint Backlog'!$J59=H$2,'ProductSprint Backlog'!$I59=H$2), 'ProductSprint Backlog'!$F59, TRUE, 0)</f>
        <v/>
      </c>
      <c r="I59" s="4" t="str" cm="1">
        <f t="array" ref="I59">_xlfn.IFS('ProductSprint Backlog'!$F59="", "", AND('ProductSprint Backlog'!$J59&gt;I$2,'ProductSprint Backlog'!$I59&lt;=I$2), 'ProductSprint Backlog'!$F59 / MAX(1, 'ProductSprint Backlog'!$J59-'ProductSprint Backlog'!$I59), AND('ProductSprint Backlog'!$J59=I$2,'ProductSprint Backlog'!$I59=I$2), 'ProductSprint Backlog'!$F59, TRUE, 0)</f>
        <v/>
      </c>
      <c r="J59" s="4" t="str" cm="1">
        <f t="array" ref="J59">_xlfn.IFS('ProductSprint Backlog'!$F59="", "", AND('ProductSprint Backlog'!$J59&gt;J$2,'ProductSprint Backlog'!$I59&lt;=J$2), 'ProductSprint Backlog'!$F59 / MAX(1, 'ProductSprint Backlog'!$J59-'ProductSprint Backlog'!$I59), AND('ProductSprint Backlog'!$J59=J$2,'ProductSprint Backlog'!$I59=J$2), 'ProductSprint Backlog'!$F59, TRUE, 0)</f>
        <v/>
      </c>
    </row>
    <row r="60" spans="2:10" x14ac:dyDescent="0.2">
      <c r="B60" s="4" cm="1">
        <f t="array" ref="B60">_xlfn.IFS('ProductSprint Backlog'!$F60="", "", AND('ProductSprint Backlog'!$J60&gt;B$2,'ProductSprint Backlog'!$I60&lt;=B$2), 'ProductSprint Backlog'!$F60 / MAX(1, 'ProductSprint Backlog'!$J60-'ProductSprint Backlog'!$I60), AND('ProductSprint Backlog'!$J60=B$2,'ProductSprint Backlog'!$I60=B$2), 'ProductSprint Backlog'!$F60, TRUE, 0)</f>
        <v>0</v>
      </c>
      <c r="C60" s="4" cm="1">
        <f t="array" ref="C60">_xlfn.IFS('ProductSprint Backlog'!$F60="", "", AND('ProductSprint Backlog'!$J60&gt;C$2,'ProductSprint Backlog'!$I60&lt;=C$2), 'ProductSprint Backlog'!$F60 / MAX(1, 'ProductSprint Backlog'!$J60-'ProductSprint Backlog'!$I60), AND('ProductSprint Backlog'!$J60=C$2,'ProductSprint Backlog'!$I60=C$2), 'ProductSprint Backlog'!$F60, TRUE, 0)</f>
        <v>0</v>
      </c>
      <c r="D60" s="4" cm="1">
        <f t="array" ref="D60">_xlfn.IFS('ProductSprint Backlog'!$F60="", "", AND('ProductSprint Backlog'!$J60&gt;D$2,'ProductSprint Backlog'!$I60&lt;=D$2), 'ProductSprint Backlog'!$F60 / MAX(1, 'ProductSprint Backlog'!$J60-'ProductSprint Backlog'!$I60), AND('ProductSprint Backlog'!$J60=D$2,'ProductSprint Backlog'!$I60=D$2), 'ProductSprint Backlog'!$F60, TRUE, 0)</f>
        <v>0</v>
      </c>
      <c r="E60" s="4" cm="1">
        <f t="array" ref="E60">_xlfn.IFS('ProductSprint Backlog'!$F60="", "", AND('ProductSprint Backlog'!$J60&gt;E$2,'ProductSprint Backlog'!$I60&lt;=E$2), 'ProductSprint Backlog'!$F60 / MAX(1, 'ProductSprint Backlog'!$J60-'ProductSprint Backlog'!$I60), AND('ProductSprint Backlog'!$J60=E$2,'ProductSprint Backlog'!$I60=E$2), 'ProductSprint Backlog'!$F60, TRUE, 0)</f>
        <v>0</v>
      </c>
      <c r="F60" s="4" cm="1">
        <f t="array" ref="F60">_xlfn.IFS('ProductSprint Backlog'!$F60="", "", AND('ProductSprint Backlog'!$J60&gt;F$2,'ProductSprint Backlog'!$I60&lt;=F$2), 'ProductSprint Backlog'!$F60 / MAX(1, 'ProductSprint Backlog'!$J60-'ProductSprint Backlog'!$I60), AND('ProductSprint Backlog'!$J60=F$2,'ProductSprint Backlog'!$I60=F$2), 'ProductSprint Backlog'!$F60, TRUE, 0)</f>
        <v>0</v>
      </c>
      <c r="G60" s="4" cm="1">
        <f t="array" ref="G60">_xlfn.IFS('ProductSprint Backlog'!$F60="", "", AND('ProductSprint Backlog'!$J60&gt;G$2,'ProductSprint Backlog'!$I60&lt;=G$2), 'ProductSprint Backlog'!$F60 / MAX(1, 'ProductSprint Backlog'!$J60-'ProductSprint Backlog'!$I60), AND('ProductSprint Backlog'!$J60=G$2,'ProductSprint Backlog'!$I60=G$2), 'ProductSprint Backlog'!$F60, TRUE, 0)</f>
        <v>0</v>
      </c>
      <c r="H60" s="4" cm="1">
        <f t="array" ref="H60">_xlfn.IFS('ProductSprint Backlog'!$F60="", "", AND('ProductSprint Backlog'!$J60&gt;H$2,'ProductSprint Backlog'!$I60&lt;=H$2), 'ProductSprint Backlog'!$F60 / MAX(1, 'ProductSprint Backlog'!$J60-'ProductSprint Backlog'!$I60), AND('ProductSprint Backlog'!$J60=H$2,'ProductSprint Backlog'!$I60=H$2), 'ProductSprint Backlog'!$F60, TRUE, 0)</f>
        <v>0</v>
      </c>
      <c r="I60" s="4" cm="1">
        <f t="array" ref="I60">_xlfn.IFS('ProductSprint Backlog'!$F60="", "", AND('ProductSprint Backlog'!$J60&gt;I$2,'ProductSprint Backlog'!$I60&lt;=I$2), 'ProductSprint Backlog'!$F60 / MAX(1, 'ProductSprint Backlog'!$J60-'ProductSprint Backlog'!$I60), AND('ProductSprint Backlog'!$J60=I$2,'ProductSprint Backlog'!$I60=I$2), 'ProductSprint Backlog'!$F60, TRUE, 0)</f>
        <v>0</v>
      </c>
      <c r="J60" s="4" cm="1">
        <f t="array" ref="J60">_xlfn.IFS('ProductSprint Backlog'!$F60="", "", AND('ProductSprint Backlog'!$J60&gt;J$2,'ProductSprint Backlog'!$I60&lt;=J$2), 'ProductSprint Backlog'!$F60 / MAX(1, 'ProductSprint Backlog'!$J60-'ProductSprint Backlog'!$I60), AND('ProductSprint Backlog'!$J60=J$2,'ProductSprint Backlog'!$I60=J$2), 'ProductSprint Backlog'!$F60, TRUE, 0)</f>
        <v>0</v>
      </c>
    </row>
    <row r="61" spans="2:10" x14ac:dyDescent="0.2">
      <c r="B61" s="4" cm="1">
        <f t="array" ref="B61">_xlfn.IFS('ProductSprint Backlog'!$F61="", "", AND('ProductSprint Backlog'!$J61&gt;B$2,'ProductSprint Backlog'!$I61&lt;=B$2), 'ProductSprint Backlog'!$F61 / MAX(1, 'ProductSprint Backlog'!$J61-'ProductSprint Backlog'!$I61), AND('ProductSprint Backlog'!$J61=B$2,'ProductSprint Backlog'!$I61=B$2), 'ProductSprint Backlog'!$F61, TRUE, 0)</f>
        <v>0</v>
      </c>
      <c r="C61" s="4" cm="1">
        <f t="array" ref="C61">_xlfn.IFS('ProductSprint Backlog'!$F61="", "", AND('ProductSprint Backlog'!$J61&gt;C$2,'ProductSprint Backlog'!$I61&lt;=C$2), 'ProductSprint Backlog'!$F61 / MAX(1, 'ProductSprint Backlog'!$J61-'ProductSprint Backlog'!$I61), AND('ProductSprint Backlog'!$J61=C$2,'ProductSprint Backlog'!$I61=C$2), 'ProductSprint Backlog'!$F61, TRUE, 0)</f>
        <v>0</v>
      </c>
      <c r="D61" s="4" cm="1">
        <f t="array" ref="D61">_xlfn.IFS('ProductSprint Backlog'!$F61="", "", AND('ProductSprint Backlog'!$J61&gt;D$2,'ProductSprint Backlog'!$I61&lt;=D$2), 'ProductSprint Backlog'!$F61 / MAX(1, 'ProductSprint Backlog'!$J61-'ProductSprint Backlog'!$I61), AND('ProductSprint Backlog'!$J61=D$2,'ProductSprint Backlog'!$I61=D$2), 'ProductSprint Backlog'!$F61, TRUE, 0)</f>
        <v>0</v>
      </c>
      <c r="E61" s="4" cm="1">
        <f t="array" ref="E61">_xlfn.IFS('ProductSprint Backlog'!$F61="", "", AND('ProductSprint Backlog'!$J61&gt;E$2,'ProductSprint Backlog'!$I61&lt;=E$2), 'ProductSprint Backlog'!$F61 / MAX(1, 'ProductSprint Backlog'!$J61-'ProductSprint Backlog'!$I61), AND('ProductSprint Backlog'!$J61=E$2,'ProductSprint Backlog'!$I61=E$2), 'ProductSprint Backlog'!$F61, TRUE, 0)</f>
        <v>0</v>
      </c>
      <c r="F61" s="4" cm="1">
        <f t="array" ref="F61">_xlfn.IFS('ProductSprint Backlog'!$F61="", "", AND('ProductSprint Backlog'!$J61&gt;F$2,'ProductSprint Backlog'!$I61&lt;=F$2), 'ProductSprint Backlog'!$F61 / MAX(1, 'ProductSprint Backlog'!$J61-'ProductSprint Backlog'!$I61), AND('ProductSprint Backlog'!$J61=F$2,'ProductSprint Backlog'!$I61=F$2), 'ProductSprint Backlog'!$F61, TRUE, 0)</f>
        <v>0</v>
      </c>
      <c r="G61" s="4" cm="1">
        <f t="array" ref="G61">_xlfn.IFS('ProductSprint Backlog'!$F61="", "", AND('ProductSprint Backlog'!$J61&gt;G$2,'ProductSprint Backlog'!$I61&lt;=G$2), 'ProductSprint Backlog'!$F61 / MAX(1, 'ProductSprint Backlog'!$J61-'ProductSprint Backlog'!$I61), AND('ProductSprint Backlog'!$J61=G$2,'ProductSprint Backlog'!$I61=G$2), 'ProductSprint Backlog'!$F61, TRUE, 0)</f>
        <v>0</v>
      </c>
      <c r="H61" s="4" cm="1">
        <f t="array" ref="H61">_xlfn.IFS('ProductSprint Backlog'!$F61="", "", AND('ProductSprint Backlog'!$J61&gt;H$2,'ProductSprint Backlog'!$I61&lt;=H$2), 'ProductSprint Backlog'!$F61 / MAX(1, 'ProductSprint Backlog'!$J61-'ProductSprint Backlog'!$I61), AND('ProductSprint Backlog'!$J61=H$2,'ProductSprint Backlog'!$I61=H$2), 'ProductSprint Backlog'!$F61, TRUE, 0)</f>
        <v>0</v>
      </c>
      <c r="I61" s="4" cm="1">
        <f t="array" ref="I61">_xlfn.IFS('ProductSprint Backlog'!$F61="", "", AND('ProductSprint Backlog'!$J61&gt;I$2,'ProductSprint Backlog'!$I61&lt;=I$2), 'ProductSprint Backlog'!$F61 / MAX(1, 'ProductSprint Backlog'!$J61-'ProductSprint Backlog'!$I61), AND('ProductSprint Backlog'!$J61=I$2,'ProductSprint Backlog'!$I61=I$2), 'ProductSprint Backlog'!$F61, TRUE, 0)</f>
        <v>0</v>
      </c>
      <c r="J61" s="4" cm="1">
        <f t="array" ref="J61">_xlfn.IFS('ProductSprint Backlog'!$F61="", "", AND('ProductSprint Backlog'!$J61&gt;J$2,'ProductSprint Backlog'!$I61&lt;=J$2), 'ProductSprint Backlog'!$F61 / MAX(1, 'ProductSprint Backlog'!$J61-'ProductSprint Backlog'!$I61), AND('ProductSprint Backlog'!$J61=J$2,'ProductSprint Backlog'!$I61=J$2), 'ProductSprint Backlog'!$F61, TRUE, 0)</f>
        <v>0</v>
      </c>
    </row>
    <row r="62" spans="2:10" x14ac:dyDescent="0.2">
      <c r="B62" s="4" cm="1">
        <f t="array" ref="B62">_xlfn.IFS('ProductSprint Backlog'!$F62="", "", AND('ProductSprint Backlog'!$J62&gt;B$2,'ProductSprint Backlog'!$I62&lt;=B$2), 'ProductSprint Backlog'!$F62 / MAX(1, 'ProductSprint Backlog'!$J62-'ProductSprint Backlog'!$I62), AND('ProductSprint Backlog'!$J62=B$2,'ProductSprint Backlog'!$I62=B$2), 'ProductSprint Backlog'!$F62, TRUE, 0)</f>
        <v>0</v>
      </c>
      <c r="C62" s="4" cm="1">
        <f t="array" ref="C62">_xlfn.IFS('ProductSprint Backlog'!$F62="", "", AND('ProductSprint Backlog'!$J62&gt;C$2,'ProductSprint Backlog'!$I62&lt;=C$2), 'ProductSprint Backlog'!$F62 / MAX(1, 'ProductSprint Backlog'!$J62-'ProductSprint Backlog'!$I62), AND('ProductSprint Backlog'!$J62=C$2,'ProductSprint Backlog'!$I62=C$2), 'ProductSprint Backlog'!$F62, TRUE, 0)</f>
        <v>0</v>
      </c>
      <c r="D62" s="4" cm="1">
        <f t="array" ref="D62">_xlfn.IFS('ProductSprint Backlog'!$F62="", "", AND('ProductSprint Backlog'!$J62&gt;D$2,'ProductSprint Backlog'!$I62&lt;=D$2), 'ProductSprint Backlog'!$F62 / MAX(1, 'ProductSprint Backlog'!$J62-'ProductSprint Backlog'!$I62), AND('ProductSprint Backlog'!$J62=D$2,'ProductSprint Backlog'!$I62=D$2), 'ProductSprint Backlog'!$F62, TRUE, 0)</f>
        <v>0</v>
      </c>
      <c r="E62" s="4" cm="1">
        <f t="array" ref="E62">_xlfn.IFS('ProductSprint Backlog'!$F62="", "", AND('ProductSprint Backlog'!$J62&gt;E$2,'ProductSprint Backlog'!$I62&lt;=E$2), 'ProductSprint Backlog'!$F62 / MAX(1, 'ProductSprint Backlog'!$J62-'ProductSprint Backlog'!$I62), AND('ProductSprint Backlog'!$J62=E$2,'ProductSprint Backlog'!$I62=E$2), 'ProductSprint Backlog'!$F62, TRUE, 0)</f>
        <v>0</v>
      </c>
      <c r="F62" s="4" cm="1">
        <f t="array" ref="F62">_xlfn.IFS('ProductSprint Backlog'!$F62="", "", AND('ProductSprint Backlog'!$J62&gt;F$2,'ProductSprint Backlog'!$I62&lt;=F$2), 'ProductSprint Backlog'!$F62 / MAX(1, 'ProductSprint Backlog'!$J62-'ProductSprint Backlog'!$I62), AND('ProductSprint Backlog'!$J62=F$2,'ProductSprint Backlog'!$I62=F$2), 'ProductSprint Backlog'!$F62, TRUE, 0)</f>
        <v>0</v>
      </c>
      <c r="G62" s="4" cm="1">
        <f t="array" ref="G62">_xlfn.IFS('ProductSprint Backlog'!$F62="", "", AND('ProductSprint Backlog'!$J62&gt;G$2,'ProductSprint Backlog'!$I62&lt;=G$2), 'ProductSprint Backlog'!$F62 / MAX(1, 'ProductSprint Backlog'!$J62-'ProductSprint Backlog'!$I62), AND('ProductSprint Backlog'!$J62=G$2,'ProductSprint Backlog'!$I62=G$2), 'ProductSprint Backlog'!$F62, TRUE, 0)</f>
        <v>0</v>
      </c>
      <c r="H62" s="4" cm="1">
        <f t="array" ref="H62">_xlfn.IFS('ProductSprint Backlog'!$F62="", "", AND('ProductSprint Backlog'!$J62&gt;H$2,'ProductSprint Backlog'!$I62&lt;=H$2), 'ProductSprint Backlog'!$F62 / MAX(1, 'ProductSprint Backlog'!$J62-'ProductSprint Backlog'!$I62), AND('ProductSprint Backlog'!$J62=H$2,'ProductSprint Backlog'!$I62=H$2), 'ProductSprint Backlog'!$F62, TRUE, 0)</f>
        <v>0</v>
      </c>
      <c r="I62" s="4" cm="1">
        <f t="array" ref="I62">_xlfn.IFS('ProductSprint Backlog'!$F62="", "", AND('ProductSprint Backlog'!$J62&gt;I$2,'ProductSprint Backlog'!$I62&lt;=I$2), 'ProductSprint Backlog'!$F62 / MAX(1, 'ProductSprint Backlog'!$J62-'ProductSprint Backlog'!$I62), AND('ProductSprint Backlog'!$J62=I$2,'ProductSprint Backlog'!$I62=I$2), 'ProductSprint Backlog'!$F62, TRUE, 0)</f>
        <v>0</v>
      </c>
      <c r="J62" s="4" cm="1">
        <f t="array" ref="J62">_xlfn.IFS('ProductSprint Backlog'!$F62="", "", AND('ProductSprint Backlog'!$J62&gt;J$2,'ProductSprint Backlog'!$I62&lt;=J$2), 'ProductSprint Backlog'!$F62 / MAX(1, 'ProductSprint Backlog'!$J62-'ProductSprint Backlog'!$I62), AND('ProductSprint Backlog'!$J62=J$2,'ProductSprint Backlog'!$I62=J$2), 'ProductSprint Backlog'!$F62, TRUE, 0)</f>
        <v>0</v>
      </c>
    </row>
    <row r="63" spans="2:10" x14ac:dyDescent="0.2">
      <c r="B63" s="4" cm="1">
        <f t="array" ref="B63">_xlfn.IFS('ProductSprint Backlog'!$F63="", "", AND('ProductSprint Backlog'!$J63&gt;B$2,'ProductSprint Backlog'!$I63&lt;=B$2), 'ProductSprint Backlog'!$F63 / MAX(1, 'ProductSprint Backlog'!$J63-'ProductSprint Backlog'!$I63), AND('ProductSprint Backlog'!$J63=B$2,'ProductSprint Backlog'!$I63=B$2), 'ProductSprint Backlog'!$F63, TRUE, 0)</f>
        <v>0</v>
      </c>
      <c r="C63" s="4" cm="1">
        <f t="array" ref="C63">_xlfn.IFS('ProductSprint Backlog'!$F63="", "", AND('ProductSprint Backlog'!$J63&gt;C$2,'ProductSprint Backlog'!$I63&lt;=C$2), 'ProductSprint Backlog'!$F63 / MAX(1, 'ProductSprint Backlog'!$J63-'ProductSprint Backlog'!$I63), AND('ProductSprint Backlog'!$J63=C$2,'ProductSprint Backlog'!$I63=C$2), 'ProductSprint Backlog'!$F63, TRUE, 0)</f>
        <v>0</v>
      </c>
      <c r="D63" s="4" cm="1">
        <f t="array" ref="D63">_xlfn.IFS('ProductSprint Backlog'!$F63="", "", AND('ProductSprint Backlog'!$J63&gt;D$2,'ProductSprint Backlog'!$I63&lt;=D$2), 'ProductSprint Backlog'!$F63 / MAX(1, 'ProductSprint Backlog'!$J63-'ProductSprint Backlog'!$I63), AND('ProductSprint Backlog'!$J63=D$2,'ProductSprint Backlog'!$I63=D$2), 'ProductSprint Backlog'!$F63, TRUE, 0)</f>
        <v>0</v>
      </c>
      <c r="E63" s="4" cm="1">
        <f t="array" ref="E63">_xlfn.IFS('ProductSprint Backlog'!$F63="", "", AND('ProductSprint Backlog'!$J63&gt;E$2,'ProductSprint Backlog'!$I63&lt;=E$2), 'ProductSprint Backlog'!$F63 / MAX(1, 'ProductSprint Backlog'!$J63-'ProductSprint Backlog'!$I63), AND('ProductSprint Backlog'!$J63=E$2,'ProductSprint Backlog'!$I63=E$2), 'ProductSprint Backlog'!$F63, TRUE, 0)</f>
        <v>0</v>
      </c>
      <c r="F63" s="4" cm="1">
        <f t="array" ref="F63">_xlfn.IFS('ProductSprint Backlog'!$F63="", "", AND('ProductSprint Backlog'!$J63&gt;F$2,'ProductSprint Backlog'!$I63&lt;=F$2), 'ProductSprint Backlog'!$F63 / MAX(1, 'ProductSprint Backlog'!$J63-'ProductSprint Backlog'!$I63), AND('ProductSprint Backlog'!$J63=F$2,'ProductSprint Backlog'!$I63=F$2), 'ProductSprint Backlog'!$F63, TRUE, 0)</f>
        <v>0</v>
      </c>
      <c r="G63" s="4" cm="1">
        <f t="array" ref="G63">_xlfn.IFS('ProductSprint Backlog'!$F63="", "", AND('ProductSprint Backlog'!$J63&gt;G$2,'ProductSprint Backlog'!$I63&lt;=G$2), 'ProductSprint Backlog'!$F63 / MAX(1, 'ProductSprint Backlog'!$J63-'ProductSprint Backlog'!$I63), AND('ProductSprint Backlog'!$J63=G$2,'ProductSprint Backlog'!$I63=G$2), 'ProductSprint Backlog'!$F63, TRUE, 0)</f>
        <v>0</v>
      </c>
      <c r="H63" s="4" cm="1">
        <f t="array" ref="H63">_xlfn.IFS('ProductSprint Backlog'!$F63="", "", AND('ProductSprint Backlog'!$J63&gt;H$2,'ProductSprint Backlog'!$I63&lt;=H$2), 'ProductSprint Backlog'!$F63 / MAX(1, 'ProductSprint Backlog'!$J63-'ProductSprint Backlog'!$I63), AND('ProductSprint Backlog'!$J63=H$2,'ProductSprint Backlog'!$I63=H$2), 'ProductSprint Backlog'!$F63, TRUE, 0)</f>
        <v>0</v>
      </c>
      <c r="I63" s="4" cm="1">
        <f t="array" ref="I63">_xlfn.IFS('ProductSprint Backlog'!$F63="", "", AND('ProductSprint Backlog'!$J63&gt;I$2,'ProductSprint Backlog'!$I63&lt;=I$2), 'ProductSprint Backlog'!$F63 / MAX(1, 'ProductSprint Backlog'!$J63-'ProductSprint Backlog'!$I63), AND('ProductSprint Backlog'!$J63=I$2,'ProductSprint Backlog'!$I63=I$2), 'ProductSprint Backlog'!$F63, TRUE, 0)</f>
        <v>0</v>
      </c>
      <c r="J63" s="4" cm="1">
        <f t="array" ref="J63">_xlfn.IFS('ProductSprint Backlog'!$F63="", "", AND('ProductSprint Backlog'!$J63&gt;J$2,'ProductSprint Backlog'!$I63&lt;=J$2), 'ProductSprint Backlog'!$F63 / MAX(1, 'ProductSprint Backlog'!$J63-'ProductSprint Backlog'!$I63), AND('ProductSprint Backlog'!$J63=J$2,'ProductSprint Backlog'!$I63=J$2), 'ProductSprint Backlog'!$F63, TRUE, 0)</f>
        <v>0</v>
      </c>
    </row>
    <row r="64" spans="2:10" x14ac:dyDescent="0.2">
      <c r="B64" s="4" cm="1">
        <f t="array" ref="B64">_xlfn.IFS('ProductSprint Backlog'!$F64="", "", AND('ProductSprint Backlog'!$J64&gt;B$2,'ProductSprint Backlog'!$I64&lt;=B$2), 'ProductSprint Backlog'!$F64 / MAX(1, 'ProductSprint Backlog'!$J64-'ProductSprint Backlog'!$I64), AND('ProductSprint Backlog'!$J64=B$2,'ProductSprint Backlog'!$I64=B$2), 'ProductSprint Backlog'!$F64, TRUE, 0)</f>
        <v>0</v>
      </c>
      <c r="C64" s="4" cm="1">
        <f t="array" ref="C64">_xlfn.IFS('ProductSprint Backlog'!$F64="", "", AND('ProductSprint Backlog'!$J64&gt;C$2,'ProductSprint Backlog'!$I64&lt;=C$2), 'ProductSprint Backlog'!$F64 / MAX(1, 'ProductSprint Backlog'!$J64-'ProductSprint Backlog'!$I64), AND('ProductSprint Backlog'!$J64=C$2,'ProductSprint Backlog'!$I64=C$2), 'ProductSprint Backlog'!$F64, TRUE, 0)</f>
        <v>0</v>
      </c>
      <c r="D64" s="4" cm="1">
        <f t="array" ref="D64">_xlfn.IFS('ProductSprint Backlog'!$F64="", "", AND('ProductSprint Backlog'!$J64&gt;D$2,'ProductSprint Backlog'!$I64&lt;=D$2), 'ProductSprint Backlog'!$F64 / MAX(1, 'ProductSprint Backlog'!$J64-'ProductSprint Backlog'!$I64), AND('ProductSprint Backlog'!$J64=D$2,'ProductSprint Backlog'!$I64=D$2), 'ProductSprint Backlog'!$F64, TRUE, 0)</f>
        <v>0</v>
      </c>
      <c r="E64" s="4" cm="1">
        <f t="array" ref="E64">_xlfn.IFS('ProductSprint Backlog'!$F64="", "", AND('ProductSprint Backlog'!$J64&gt;E$2,'ProductSprint Backlog'!$I64&lt;=E$2), 'ProductSprint Backlog'!$F64 / MAX(1, 'ProductSprint Backlog'!$J64-'ProductSprint Backlog'!$I64), AND('ProductSprint Backlog'!$J64=E$2,'ProductSprint Backlog'!$I64=E$2), 'ProductSprint Backlog'!$F64, TRUE, 0)</f>
        <v>0</v>
      </c>
      <c r="F64" s="4" cm="1">
        <f t="array" ref="F64">_xlfn.IFS('ProductSprint Backlog'!$F64="", "", AND('ProductSprint Backlog'!$J64&gt;F$2,'ProductSprint Backlog'!$I64&lt;=F$2), 'ProductSprint Backlog'!$F64 / MAX(1, 'ProductSprint Backlog'!$J64-'ProductSprint Backlog'!$I64), AND('ProductSprint Backlog'!$J64=F$2,'ProductSprint Backlog'!$I64=F$2), 'ProductSprint Backlog'!$F64, TRUE, 0)</f>
        <v>0</v>
      </c>
      <c r="G64" s="4" cm="1">
        <f t="array" ref="G64">_xlfn.IFS('ProductSprint Backlog'!$F64="", "", AND('ProductSprint Backlog'!$J64&gt;G$2,'ProductSprint Backlog'!$I64&lt;=G$2), 'ProductSprint Backlog'!$F64 / MAX(1, 'ProductSprint Backlog'!$J64-'ProductSprint Backlog'!$I64), AND('ProductSprint Backlog'!$J64=G$2,'ProductSprint Backlog'!$I64=G$2), 'ProductSprint Backlog'!$F64, TRUE, 0)</f>
        <v>0</v>
      </c>
      <c r="H64" s="4" cm="1">
        <f t="array" ref="H64">_xlfn.IFS('ProductSprint Backlog'!$F64="", "", AND('ProductSprint Backlog'!$J64&gt;H$2,'ProductSprint Backlog'!$I64&lt;=H$2), 'ProductSprint Backlog'!$F64 / MAX(1, 'ProductSprint Backlog'!$J64-'ProductSprint Backlog'!$I64), AND('ProductSprint Backlog'!$J64=H$2,'ProductSprint Backlog'!$I64=H$2), 'ProductSprint Backlog'!$F64, TRUE, 0)</f>
        <v>0</v>
      </c>
      <c r="I64" s="4" cm="1">
        <f t="array" ref="I64">_xlfn.IFS('ProductSprint Backlog'!$F64="", "", AND('ProductSprint Backlog'!$J64&gt;I$2,'ProductSprint Backlog'!$I64&lt;=I$2), 'ProductSprint Backlog'!$F64 / MAX(1, 'ProductSprint Backlog'!$J64-'ProductSprint Backlog'!$I64), AND('ProductSprint Backlog'!$J64=I$2,'ProductSprint Backlog'!$I64=I$2), 'ProductSprint Backlog'!$F64, TRUE, 0)</f>
        <v>0</v>
      </c>
      <c r="J64" s="4" cm="1">
        <f t="array" ref="J64">_xlfn.IFS('ProductSprint Backlog'!$F64="", "", AND('ProductSprint Backlog'!$J64&gt;J$2,'ProductSprint Backlog'!$I64&lt;=J$2), 'ProductSprint Backlog'!$F64 / MAX(1, 'ProductSprint Backlog'!$J64-'ProductSprint Backlog'!$I64), AND('ProductSprint Backlog'!$J64=J$2,'ProductSprint Backlog'!$I64=J$2), 'ProductSprint Backlog'!$F64, TRUE, 0)</f>
        <v>0</v>
      </c>
    </row>
    <row r="65" spans="2:10" x14ac:dyDescent="0.2">
      <c r="B65" s="4" cm="1">
        <f t="array" ref="B65">_xlfn.IFS('ProductSprint Backlog'!$F65="", "", AND('ProductSprint Backlog'!$J65&gt;B$2,'ProductSprint Backlog'!$I65&lt;=B$2), 'ProductSprint Backlog'!$F65 / MAX(1, 'ProductSprint Backlog'!$J65-'ProductSprint Backlog'!$I65), AND('ProductSprint Backlog'!$J65=B$2,'ProductSprint Backlog'!$I65=B$2), 'ProductSprint Backlog'!$F65, TRUE, 0)</f>
        <v>0</v>
      </c>
      <c r="C65" s="4" cm="1">
        <f t="array" ref="C65">_xlfn.IFS('ProductSprint Backlog'!$F65="", "", AND('ProductSprint Backlog'!$J65&gt;C$2,'ProductSprint Backlog'!$I65&lt;=C$2), 'ProductSprint Backlog'!$F65 / MAX(1, 'ProductSprint Backlog'!$J65-'ProductSprint Backlog'!$I65), AND('ProductSprint Backlog'!$J65=C$2,'ProductSprint Backlog'!$I65=C$2), 'ProductSprint Backlog'!$F65, TRUE, 0)</f>
        <v>0</v>
      </c>
      <c r="D65" s="4" cm="1">
        <f t="array" ref="D65">_xlfn.IFS('ProductSprint Backlog'!$F65="", "", AND('ProductSprint Backlog'!$J65&gt;D$2,'ProductSprint Backlog'!$I65&lt;=D$2), 'ProductSprint Backlog'!$F65 / MAX(1, 'ProductSprint Backlog'!$J65-'ProductSprint Backlog'!$I65), AND('ProductSprint Backlog'!$J65=D$2,'ProductSprint Backlog'!$I65=D$2), 'ProductSprint Backlog'!$F65, TRUE, 0)</f>
        <v>0</v>
      </c>
      <c r="E65" s="4" cm="1">
        <f t="array" ref="E65">_xlfn.IFS('ProductSprint Backlog'!$F65="", "", AND('ProductSprint Backlog'!$J65&gt;E$2,'ProductSprint Backlog'!$I65&lt;=E$2), 'ProductSprint Backlog'!$F65 / MAX(1, 'ProductSprint Backlog'!$J65-'ProductSprint Backlog'!$I65), AND('ProductSprint Backlog'!$J65=E$2,'ProductSprint Backlog'!$I65=E$2), 'ProductSprint Backlog'!$F65, TRUE, 0)</f>
        <v>0</v>
      </c>
      <c r="F65" s="4" cm="1">
        <f t="array" ref="F65">_xlfn.IFS('ProductSprint Backlog'!$F65="", "", AND('ProductSprint Backlog'!$J65&gt;F$2,'ProductSprint Backlog'!$I65&lt;=F$2), 'ProductSprint Backlog'!$F65 / MAX(1, 'ProductSprint Backlog'!$J65-'ProductSprint Backlog'!$I65), AND('ProductSprint Backlog'!$J65=F$2,'ProductSprint Backlog'!$I65=F$2), 'ProductSprint Backlog'!$F65, TRUE, 0)</f>
        <v>0</v>
      </c>
      <c r="G65" s="4" cm="1">
        <f t="array" ref="G65">_xlfn.IFS('ProductSprint Backlog'!$F65="", "", AND('ProductSprint Backlog'!$J65&gt;G$2,'ProductSprint Backlog'!$I65&lt;=G$2), 'ProductSprint Backlog'!$F65 / MAX(1, 'ProductSprint Backlog'!$J65-'ProductSprint Backlog'!$I65), AND('ProductSprint Backlog'!$J65=G$2,'ProductSprint Backlog'!$I65=G$2), 'ProductSprint Backlog'!$F65, TRUE, 0)</f>
        <v>0</v>
      </c>
      <c r="H65" s="4" cm="1">
        <f t="array" ref="H65">_xlfn.IFS('ProductSprint Backlog'!$F65="", "", AND('ProductSprint Backlog'!$J65&gt;H$2,'ProductSprint Backlog'!$I65&lt;=H$2), 'ProductSprint Backlog'!$F65 / MAX(1, 'ProductSprint Backlog'!$J65-'ProductSprint Backlog'!$I65), AND('ProductSprint Backlog'!$J65=H$2,'ProductSprint Backlog'!$I65=H$2), 'ProductSprint Backlog'!$F65, TRUE, 0)</f>
        <v>0</v>
      </c>
      <c r="I65" s="4" cm="1">
        <f t="array" ref="I65">_xlfn.IFS('ProductSprint Backlog'!$F65="", "", AND('ProductSprint Backlog'!$J65&gt;I$2,'ProductSprint Backlog'!$I65&lt;=I$2), 'ProductSprint Backlog'!$F65 / MAX(1, 'ProductSprint Backlog'!$J65-'ProductSprint Backlog'!$I65), AND('ProductSprint Backlog'!$J65=I$2,'ProductSprint Backlog'!$I65=I$2), 'ProductSprint Backlog'!$F65, TRUE, 0)</f>
        <v>0</v>
      </c>
      <c r="J65" s="4" cm="1">
        <f t="array" ref="J65">_xlfn.IFS('ProductSprint Backlog'!$F65="", "", AND('ProductSprint Backlog'!$J65&gt;J$2,'ProductSprint Backlog'!$I65&lt;=J$2), 'ProductSprint Backlog'!$F65 / MAX(1, 'ProductSprint Backlog'!$J65-'ProductSprint Backlog'!$I65), AND('ProductSprint Backlog'!$J65=J$2,'ProductSprint Backlog'!$I65=J$2), 'ProductSprint Backlog'!$F65, TRUE, 0)</f>
        <v>0</v>
      </c>
    </row>
    <row r="66" spans="2:10" x14ac:dyDescent="0.2">
      <c r="B66" s="4" t="str" cm="1">
        <f t="array" ref="B66">_xlfn.IFS('ProductSprint Backlog'!$F66="", "", AND('ProductSprint Backlog'!$J66&gt;B$2,'ProductSprint Backlog'!$I66&lt;=B$2), 'ProductSprint Backlog'!$F66 / MAX(1, 'ProductSprint Backlog'!$J66-'ProductSprint Backlog'!$I66), AND('ProductSprint Backlog'!$J66=B$2,'ProductSprint Backlog'!$I66=B$2), 'ProductSprint Backlog'!$F66, TRUE, 0)</f>
        <v/>
      </c>
      <c r="C66" s="4" t="str" cm="1">
        <f t="array" ref="C66">_xlfn.IFS('ProductSprint Backlog'!$F66="", "", AND('ProductSprint Backlog'!$J66&gt;C$2,'ProductSprint Backlog'!$I66&lt;=C$2), 'ProductSprint Backlog'!$F66 / MAX(1, 'ProductSprint Backlog'!$J66-'ProductSprint Backlog'!$I66), AND('ProductSprint Backlog'!$J66=C$2,'ProductSprint Backlog'!$I66=C$2), 'ProductSprint Backlog'!$F66, TRUE, 0)</f>
        <v/>
      </c>
      <c r="D66" s="4" t="str" cm="1">
        <f t="array" ref="D66">_xlfn.IFS('ProductSprint Backlog'!$F66="", "", AND('ProductSprint Backlog'!$J66&gt;D$2,'ProductSprint Backlog'!$I66&lt;=D$2), 'ProductSprint Backlog'!$F66 / MAX(1, 'ProductSprint Backlog'!$J66-'ProductSprint Backlog'!$I66), AND('ProductSprint Backlog'!$J66=D$2,'ProductSprint Backlog'!$I66=D$2), 'ProductSprint Backlog'!$F66, TRUE, 0)</f>
        <v/>
      </c>
      <c r="E66" s="4" t="str" cm="1">
        <f t="array" ref="E66">_xlfn.IFS('ProductSprint Backlog'!$F66="", "", AND('ProductSprint Backlog'!$J66&gt;E$2,'ProductSprint Backlog'!$I66&lt;=E$2), 'ProductSprint Backlog'!$F66 / MAX(1, 'ProductSprint Backlog'!$J66-'ProductSprint Backlog'!$I66), AND('ProductSprint Backlog'!$J66=E$2,'ProductSprint Backlog'!$I66=E$2), 'ProductSprint Backlog'!$F66, TRUE, 0)</f>
        <v/>
      </c>
      <c r="F66" s="4" t="str" cm="1">
        <f t="array" ref="F66">_xlfn.IFS('ProductSprint Backlog'!$F66="", "", AND('ProductSprint Backlog'!$J66&gt;F$2,'ProductSprint Backlog'!$I66&lt;=F$2), 'ProductSprint Backlog'!$F66 / MAX(1, 'ProductSprint Backlog'!$J66-'ProductSprint Backlog'!$I66), AND('ProductSprint Backlog'!$J66=F$2,'ProductSprint Backlog'!$I66=F$2), 'ProductSprint Backlog'!$F66, TRUE, 0)</f>
        <v/>
      </c>
      <c r="G66" s="4" t="str" cm="1">
        <f t="array" ref="G66">_xlfn.IFS('ProductSprint Backlog'!$F66="", "", AND('ProductSprint Backlog'!$J66&gt;G$2,'ProductSprint Backlog'!$I66&lt;=G$2), 'ProductSprint Backlog'!$F66 / MAX(1, 'ProductSprint Backlog'!$J66-'ProductSprint Backlog'!$I66), AND('ProductSprint Backlog'!$J66=G$2,'ProductSprint Backlog'!$I66=G$2), 'ProductSprint Backlog'!$F66, TRUE, 0)</f>
        <v/>
      </c>
      <c r="H66" s="4" t="str" cm="1">
        <f t="array" ref="H66">_xlfn.IFS('ProductSprint Backlog'!$F66="", "", AND('ProductSprint Backlog'!$J66&gt;H$2,'ProductSprint Backlog'!$I66&lt;=H$2), 'ProductSprint Backlog'!$F66 / MAX(1, 'ProductSprint Backlog'!$J66-'ProductSprint Backlog'!$I66), AND('ProductSprint Backlog'!$J66=H$2,'ProductSprint Backlog'!$I66=H$2), 'ProductSprint Backlog'!$F66, TRUE, 0)</f>
        <v/>
      </c>
      <c r="I66" s="4" t="str" cm="1">
        <f t="array" ref="I66">_xlfn.IFS('ProductSprint Backlog'!$F66="", "", AND('ProductSprint Backlog'!$J66&gt;I$2,'ProductSprint Backlog'!$I66&lt;=I$2), 'ProductSprint Backlog'!$F66 / MAX(1, 'ProductSprint Backlog'!$J66-'ProductSprint Backlog'!$I66), AND('ProductSprint Backlog'!$J66=I$2,'ProductSprint Backlog'!$I66=I$2), 'ProductSprint Backlog'!$F66, TRUE, 0)</f>
        <v/>
      </c>
      <c r="J66" s="4" t="str" cm="1">
        <f t="array" ref="J66">_xlfn.IFS('ProductSprint Backlog'!$F66="", "", AND('ProductSprint Backlog'!$J66&gt;J$2,'ProductSprint Backlog'!$I66&lt;=J$2), 'ProductSprint Backlog'!$F66 / MAX(1, 'ProductSprint Backlog'!$J66-'ProductSprint Backlog'!$I66), AND('ProductSprint Backlog'!$J66=J$2,'ProductSprint Backlog'!$I66=J$2), 'ProductSprint Backlog'!$F66, TRUE, 0)</f>
        <v/>
      </c>
    </row>
    <row r="67" spans="2:10" x14ac:dyDescent="0.2">
      <c r="B67" s="4" cm="1">
        <f t="array" ref="B67">_xlfn.IFS('ProductSprint Backlog'!$F67="", "", AND('ProductSprint Backlog'!$J67&gt;B$2,'ProductSprint Backlog'!$I67&lt;=B$2), 'ProductSprint Backlog'!$F67 / MAX(1, 'ProductSprint Backlog'!$J67-'ProductSprint Backlog'!$I67), AND('ProductSprint Backlog'!$J67=B$2,'ProductSprint Backlog'!$I67=B$2), 'ProductSprint Backlog'!$F67, TRUE, 0)</f>
        <v>0</v>
      </c>
      <c r="C67" s="4" cm="1">
        <f t="array" ref="C67">_xlfn.IFS('ProductSprint Backlog'!$F67="", "", AND('ProductSprint Backlog'!$J67&gt;C$2,'ProductSprint Backlog'!$I67&lt;=C$2), 'ProductSprint Backlog'!$F67 / MAX(1, 'ProductSprint Backlog'!$J67-'ProductSprint Backlog'!$I67), AND('ProductSprint Backlog'!$J67=C$2,'ProductSprint Backlog'!$I67=C$2), 'ProductSprint Backlog'!$F67, TRUE, 0)</f>
        <v>0</v>
      </c>
      <c r="D67" s="4" cm="1">
        <f t="array" ref="D67">_xlfn.IFS('ProductSprint Backlog'!$F67="", "", AND('ProductSprint Backlog'!$J67&gt;D$2,'ProductSprint Backlog'!$I67&lt;=D$2), 'ProductSprint Backlog'!$F67 / MAX(1, 'ProductSprint Backlog'!$J67-'ProductSprint Backlog'!$I67), AND('ProductSprint Backlog'!$J67=D$2,'ProductSprint Backlog'!$I67=D$2), 'ProductSprint Backlog'!$F67, TRUE, 0)</f>
        <v>0</v>
      </c>
      <c r="E67" s="4" cm="1">
        <f t="array" ref="E67">_xlfn.IFS('ProductSprint Backlog'!$F67="", "", AND('ProductSprint Backlog'!$J67&gt;E$2,'ProductSprint Backlog'!$I67&lt;=E$2), 'ProductSprint Backlog'!$F67 / MAX(1, 'ProductSprint Backlog'!$J67-'ProductSprint Backlog'!$I67), AND('ProductSprint Backlog'!$J67=E$2,'ProductSprint Backlog'!$I67=E$2), 'ProductSprint Backlog'!$F67, TRUE, 0)</f>
        <v>0</v>
      </c>
      <c r="F67" s="4" cm="1">
        <f t="array" ref="F67">_xlfn.IFS('ProductSprint Backlog'!$F67="", "", AND('ProductSprint Backlog'!$J67&gt;F$2,'ProductSprint Backlog'!$I67&lt;=F$2), 'ProductSprint Backlog'!$F67 / MAX(1, 'ProductSprint Backlog'!$J67-'ProductSprint Backlog'!$I67), AND('ProductSprint Backlog'!$J67=F$2,'ProductSprint Backlog'!$I67=F$2), 'ProductSprint Backlog'!$F67, TRUE, 0)</f>
        <v>0</v>
      </c>
      <c r="G67" s="4" cm="1">
        <f t="array" ref="G67">_xlfn.IFS('ProductSprint Backlog'!$F67="", "", AND('ProductSprint Backlog'!$J67&gt;G$2,'ProductSprint Backlog'!$I67&lt;=G$2), 'ProductSprint Backlog'!$F67 / MAX(1, 'ProductSprint Backlog'!$J67-'ProductSprint Backlog'!$I67), AND('ProductSprint Backlog'!$J67=G$2,'ProductSprint Backlog'!$I67=G$2), 'ProductSprint Backlog'!$F67, TRUE, 0)</f>
        <v>0</v>
      </c>
      <c r="H67" s="4" cm="1">
        <f t="array" ref="H67">_xlfn.IFS('ProductSprint Backlog'!$F67="", "", AND('ProductSprint Backlog'!$J67&gt;H$2,'ProductSprint Backlog'!$I67&lt;=H$2), 'ProductSprint Backlog'!$F67 / MAX(1, 'ProductSprint Backlog'!$J67-'ProductSprint Backlog'!$I67), AND('ProductSprint Backlog'!$J67=H$2,'ProductSprint Backlog'!$I67=H$2), 'ProductSprint Backlog'!$F67, TRUE, 0)</f>
        <v>0</v>
      </c>
      <c r="I67" s="4" cm="1">
        <f t="array" ref="I67">_xlfn.IFS('ProductSprint Backlog'!$F67="", "", AND('ProductSprint Backlog'!$J67&gt;I$2,'ProductSprint Backlog'!$I67&lt;=I$2), 'ProductSprint Backlog'!$F67 / MAX(1, 'ProductSprint Backlog'!$J67-'ProductSprint Backlog'!$I67), AND('ProductSprint Backlog'!$J67=I$2,'ProductSprint Backlog'!$I67=I$2), 'ProductSprint Backlog'!$F67, TRUE, 0)</f>
        <v>0</v>
      </c>
      <c r="J67" s="4" cm="1">
        <f t="array" ref="J67">_xlfn.IFS('ProductSprint Backlog'!$F67="", "", AND('ProductSprint Backlog'!$J67&gt;J$2,'ProductSprint Backlog'!$I67&lt;=J$2), 'ProductSprint Backlog'!$F67 / MAX(1, 'ProductSprint Backlog'!$J67-'ProductSprint Backlog'!$I67), AND('ProductSprint Backlog'!$J67=J$2,'ProductSprint Backlog'!$I67=J$2), 'ProductSprint Backlog'!$F67, TRUE, 0)</f>
        <v>0</v>
      </c>
    </row>
    <row r="68" spans="2:10" x14ac:dyDescent="0.2">
      <c r="B68" s="4" cm="1">
        <f t="array" ref="B68">_xlfn.IFS('ProductSprint Backlog'!$F68="", "", AND('ProductSprint Backlog'!$J68&gt;B$2,'ProductSprint Backlog'!$I68&lt;=B$2), 'ProductSprint Backlog'!$F68 / MAX(1, 'ProductSprint Backlog'!$J68-'ProductSprint Backlog'!$I68), AND('ProductSprint Backlog'!$J68=B$2,'ProductSprint Backlog'!$I68=B$2), 'ProductSprint Backlog'!$F68, TRUE, 0)</f>
        <v>0</v>
      </c>
      <c r="C68" s="4" cm="1">
        <f t="array" ref="C68">_xlfn.IFS('ProductSprint Backlog'!$F68="", "", AND('ProductSprint Backlog'!$J68&gt;C$2,'ProductSprint Backlog'!$I68&lt;=C$2), 'ProductSprint Backlog'!$F68 / MAX(1, 'ProductSprint Backlog'!$J68-'ProductSprint Backlog'!$I68), AND('ProductSprint Backlog'!$J68=C$2,'ProductSprint Backlog'!$I68=C$2), 'ProductSprint Backlog'!$F68, TRUE, 0)</f>
        <v>0</v>
      </c>
      <c r="D68" s="4" cm="1">
        <f t="array" ref="D68">_xlfn.IFS('ProductSprint Backlog'!$F68="", "", AND('ProductSprint Backlog'!$J68&gt;D$2,'ProductSprint Backlog'!$I68&lt;=D$2), 'ProductSprint Backlog'!$F68 / MAX(1, 'ProductSprint Backlog'!$J68-'ProductSprint Backlog'!$I68), AND('ProductSprint Backlog'!$J68=D$2,'ProductSprint Backlog'!$I68=D$2), 'ProductSprint Backlog'!$F68, TRUE, 0)</f>
        <v>0</v>
      </c>
      <c r="E68" s="4" cm="1">
        <f t="array" ref="E68">_xlfn.IFS('ProductSprint Backlog'!$F68="", "", AND('ProductSprint Backlog'!$J68&gt;E$2,'ProductSprint Backlog'!$I68&lt;=E$2), 'ProductSprint Backlog'!$F68 / MAX(1, 'ProductSprint Backlog'!$J68-'ProductSprint Backlog'!$I68), AND('ProductSprint Backlog'!$J68=E$2,'ProductSprint Backlog'!$I68=E$2), 'ProductSprint Backlog'!$F68, TRUE, 0)</f>
        <v>0</v>
      </c>
      <c r="F68" s="4" cm="1">
        <f t="array" ref="F68">_xlfn.IFS('ProductSprint Backlog'!$F68="", "", AND('ProductSprint Backlog'!$J68&gt;F$2,'ProductSprint Backlog'!$I68&lt;=F$2), 'ProductSprint Backlog'!$F68 / MAX(1, 'ProductSprint Backlog'!$J68-'ProductSprint Backlog'!$I68), AND('ProductSprint Backlog'!$J68=F$2,'ProductSprint Backlog'!$I68=F$2), 'ProductSprint Backlog'!$F68, TRUE, 0)</f>
        <v>0</v>
      </c>
      <c r="G68" s="4" cm="1">
        <f t="array" ref="G68">_xlfn.IFS('ProductSprint Backlog'!$F68="", "", AND('ProductSprint Backlog'!$J68&gt;G$2,'ProductSprint Backlog'!$I68&lt;=G$2), 'ProductSprint Backlog'!$F68 / MAX(1, 'ProductSprint Backlog'!$J68-'ProductSprint Backlog'!$I68), AND('ProductSprint Backlog'!$J68=G$2,'ProductSprint Backlog'!$I68=G$2), 'ProductSprint Backlog'!$F68, TRUE, 0)</f>
        <v>0</v>
      </c>
      <c r="H68" s="4" cm="1">
        <f t="array" ref="H68">_xlfn.IFS('ProductSprint Backlog'!$F68="", "", AND('ProductSprint Backlog'!$J68&gt;H$2,'ProductSprint Backlog'!$I68&lt;=H$2), 'ProductSprint Backlog'!$F68 / MAX(1, 'ProductSprint Backlog'!$J68-'ProductSprint Backlog'!$I68), AND('ProductSprint Backlog'!$J68=H$2,'ProductSprint Backlog'!$I68=H$2), 'ProductSprint Backlog'!$F68, TRUE, 0)</f>
        <v>0</v>
      </c>
      <c r="I68" s="4" cm="1">
        <f t="array" ref="I68">_xlfn.IFS('ProductSprint Backlog'!$F68="", "", AND('ProductSprint Backlog'!$J68&gt;I$2,'ProductSprint Backlog'!$I68&lt;=I$2), 'ProductSprint Backlog'!$F68 / MAX(1, 'ProductSprint Backlog'!$J68-'ProductSprint Backlog'!$I68), AND('ProductSprint Backlog'!$J68=I$2,'ProductSprint Backlog'!$I68=I$2), 'ProductSprint Backlog'!$F68, TRUE, 0)</f>
        <v>0</v>
      </c>
      <c r="J68" s="4" cm="1">
        <f t="array" ref="J68">_xlfn.IFS('ProductSprint Backlog'!$F68="", "", AND('ProductSprint Backlog'!$J68&gt;J$2,'ProductSprint Backlog'!$I68&lt;=J$2), 'ProductSprint Backlog'!$F68 / MAX(1, 'ProductSprint Backlog'!$J68-'ProductSprint Backlog'!$I68), AND('ProductSprint Backlog'!$J68=J$2,'ProductSprint Backlog'!$I68=J$2), 'ProductSprint Backlog'!$F68, TRUE, 0)</f>
        <v>0</v>
      </c>
    </row>
    <row r="69" spans="2:10" x14ac:dyDescent="0.2">
      <c r="B69" s="4" cm="1">
        <f t="array" ref="B69">_xlfn.IFS('ProductSprint Backlog'!$F69="", "", AND('ProductSprint Backlog'!$J69&gt;B$2,'ProductSprint Backlog'!$I69&lt;=B$2), 'ProductSprint Backlog'!$F69 / MAX(1, 'ProductSprint Backlog'!$J69-'ProductSprint Backlog'!$I69), AND('ProductSprint Backlog'!$J69=B$2,'ProductSprint Backlog'!$I69=B$2), 'ProductSprint Backlog'!$F69, TRUE, 0)</f>
        <v>0</v>
      </c>
      <c r="C69" s="4" cm="1">
        <f t="array" ref="C69">_xlfn.IFS('ProductSprint Backlog'!$F69="", "", AND('ProductSprint Backlog'!$J69&gt;C$2,'ProductSprint Backlog'!$I69&lt;=C$2), 'ProductSprint Backlog'!$F69 / MAX(1, 'ProductSprint Backlog'!$J69-'ProductSprint Backlog'!$I69), AND('ProductSprint Backlog'!$J69=C$2,'ProductSprint Backlog'!$I69=C$2), 'ProductSprint Backlog'!$F69, TRUE, 0)</f>
        <v>0</v>
      </c>
      <c r="D69" s="4" cm="1">
        <f t="array" ref="D69">_xlfn.IFS('ProductSprint Backlog'!$F69="", "", AND('ProductSprint Backlog'!$J69&gt;D$2,'ProductSprint Backlog'!$I69&lt;=D$2), 'ProductSprint Backlog'!$F69 / MAX(1, 'ProductSprint Backlog'!$J69-'ProductSprint Backlog'!$I69), AND('ProductSprint Backlog'!$J69=D$2,'ProductSprint Backlog'!$I69=D$2), 'ProductSprint Backlog'!$F69, TRUE, 0)</f>
        <v>0</v>
      </c>
      <c r="E69" s="4" cm="1">
        <f t="array" ref="E69">_xlfn.IFS('ProductSprint Backlog'!$F69="", "", AND('ProductSprint Backlog'!$J69&gt;E$2,'ProductSprint Backlog'!$I69&lt;=E$2), 'ProductSprint Backlog'!$F69 / MAX(1, 'ProductSprint Backlog'!$J69-'ProductSprint Backlog'!$I69), AND('ProductSprint Backlog'!$J69=E$2,'ProductSprint Backlog'!$I69=E$2), 'ProductSprint Backlog'!$F69, TRUE, 0)</f>
        <v>0</v>
      </c>
      <c r="F69" s="4" cm="1">
        <f t="array" ref="F69">_xlfn.IFS('ProductSprint Backlog'!$F69="", "", AND('ProductSprint Backlog'!$J69&gt;F$2,'ProductSprint Backlog'!$I69&lt;=F$2), 'ProductSprint Backlog'!$F69 / MAX(1, 'ProductSprint Backlog'!$J69-'ProductSprint Backlog'!$I69), AND('ProductSprint Backlog'!$J69=F$2,'ProductSprint Backlog'!$I69=F$2), 'ProductSprint Backlog'!$F69, TRUE, 0)</f>
        <v>0</v>
      </c>
      <c r="G69" s="4" cm="1">
        <f t="array" ref="G69">_xlfn.IFS('ProductSprint Backlog'!$F69="", "", AND('ProductSprint Backlog'!$J69&gt;G$2,'ProductSprint Backlog'!$I69&lt;=G$2), 'ProductSprint Backlog'!$F69 / MAX(1, 'ProductSprint Backlog'!$J69-'ProductSprint Backlog'!$I69), AND('ProductSprint Backlog'!$J69=G$2,'ProductSprint Backlog'!$I69=G$2), 'ProductSprint Backlog'!$F69, TRUE, 0)</f>
        <v>0</v>
      </c>
      <c r="H69" s="4" cm="1">
        <f t="array" ref="H69">_xlfn.IFS('ProductSprint Backlog'!$F69="", "", AND('ProductSprint Backlog'!$J69&gt;H$2,'ProductSprint Backlog'!$I69&lt;=H$2), 'ProductSprint Backlog'!$F69 / MAX(1, 'ProductSprint Backlog'!$J69-'ProductSprint Backlog'!$I69), AND('ProductSprint Backlog'!$J69=H$2,'ProductSprint Backlog'!$I69=H$2), 'ProductSprint Backlog'!$F69, TRUE, 0)</f>
        <v>0</v>
      </c>
      <c r="I69" s="4" cm="1">
        <f t="array" ref="I69">_xlfn.IFS('ProductSprint Backlog'!$F69="", "", AND('ProductSprint Backlog'!$J69&gt;I$2,'ProductSprint Backlog'!$I69&lt;=I$2), 'ProductSprint Backlog'!$F69 / MAX(1, 'ProductSprint Backlog'!$J69-'ProductSprint Backlog'!$I69), AND('ProductSprint Backlog'!$J69=I$2,'ProductSprint Backlog'!$I69=I$2), 'ProductSprint Backlog'!$F69, TRUE, 0)</f>
        <v>0</v>
      </c>
      <c r="J69" s="4" cm="1">
        <f t="array" ref="J69">_xlfn.IFS('ProductSprint Backlog'!$F69="", "", AND('ProductSprint Backlog'!$J69&gt;J$2,'ProductSprint Backlog'!$I69&lt;=J$2), 'ProductSprint Backlog'!$F69 / MAX(1, 'ProductSprint Backlog'!$J69-'ProductSprint Backlog'!$I69), AND('ProductSprint Backlog'!$J69=J$2,'ProductSprint Backlog'!$I69=J$2), 'ProductSprint Backlog'!$F69, TRUE, 0)</f>
        <v>0</v>
      </c>
    </row>
    <row r="70" spans="2:10" x14ac:dyDescent="0.2">
      <c r="B70" s="4" cm="1">
        <f t="array" ref="B70">_xlfn.IFS('ProductSprint Backlog'!$F70="", "", AND('ProductSprint Backlog'!$J70&gt;B$2,'ProductSprint Backlog'!$I70&lt;=B$2), 'ProductSprint Backlog'!$F70 / MAX(1, 'ProductSprint Backlog'!$J70-'ProductSprint Backlog'!$I70), AND('ProductSprint Backlog'!$J70=B$2,'ProductSprint Backlog'!$I70=B$2), 'ProductSprint Backlog'!$F70, TRUE, 0)</f>
        <v>0</v>
      </c>
      <c r="C70" s="4" cm="1">
        <f t="array" ref="C70">_xlfn.IFS('ProductSprint Backlog'!$F70="", "", AND('ProductSprint Backlog'!$J70&gt;C$2,'ProductSprint Backlog'!$I70&lt;=C$2), 'ProductSprint Backlog'!$F70 / MAX(1, 'ProductSprint Backlog'!$J70-'ProductSprint Backlog'!$I70), AND('ProductSprint Backlog'!$J70=C$2,'ProductSprint Backlog'!$I70=C$2), 'ProductSprint Backlog'!$F70, TRUE, 0)</f>
        <v>0</v>
      </c>
      <c r="D70" s="4" cm="1">
        <f t="array" ref="D70">_xlfn.IFS('ProductSprint Backlog'!$F70="", "", AND('ProductSprint Backlog'!$J70&gt;D$2,'ProductSprint Backlog'!$I70&lt;=D$2), 'ProductSprint Backlog'!$F70 / MAX(1, 'ProductSprint Backlog'!$J70-'ProductSprint Backlog'!$I70), AND('ProductSprint Backlog'!$J70=D$2,'ProductSprint Backlog'!$I70=D$2), 'ProductSprint Backlog'!$F70, TRUE, 0)</f>
        <v>0</v>
      </c>
      <c r="E70" s="4" cm="1">
        <f t="array" ref="E70">_xlfn.IFS('ProductSprint Backlog'!$F70="", "", AND('ProductSprint Backlog'!$J70&gt;E$2,'ProductSprint Backlog'!$I70&lt;=E$2), 'ProductSprint Backlog'!$F70 / MAX(1, 'ProductSprint Backlog'!$J70-'ProductSprint Backlog'!$I70), AND('ProductSprint Backlog'!$J70=E$2,'ProductSprint Backlog'!$I70=E$2), 'ProductSprint Backlog'!$F70, TRUE, 0)</f>
        <v>0</v>
      </c>
      <c r="F70" s="4" cm="1">
        <f t="array" ref="F70">_xlfn.IFS('ProductSprint Backlog'!$F70="", "", AND('ProductSprint Backlog'!$J70&gt;F$2,'ProductSprint Backlog'!$I70&lt;=F$2), 'ProductSprint Backlog'!$F70 / MAX(1, 'ProductSprint Backlog'!$J70-'ProductSprint Backlog'!$I70), AND('ProductSprint Backlog'!$J70=F$2,'ProductSprint Backlog'!$I70=F$2), 'ProductSprint Backlog'!$F70, TRUE, 0)</f>
        <v>0</v>
      </c>
      <c r="G70" s="4" cm="1">
        <f t="array" ref="G70">_xlfn.IFS('ProductSprint Backlog'!$F70="", "", AND('ProductSprint Backlog'!$J70&gt;G$2,'ProductSprint Backlog'!$I70&lt;=G$2), 'ProductSprint Backlog'!$F70 / MAX(1, 'ProductSprint Backlog'!$J70-'ProductSprint Backlog'!$I70), AND('ProductSprint Backlog'!$J70=G$2,'ProductSprint Backlog'!$I70=G$2), 'ProductSprint Backlog'!$F70, TRUE, 0)</f>
        <v>0</v>
      </c>
      <c r="H70" s="4" cm="1">
        <f t="array" ref="H70">_xlfn.IFS('ProductSprint Backlog'!$F70="", "", AND('ProductSprint Backlog'!$J70&gt;H$2,'ProductSprint Backlog'!$I70&lt;=H$2), 'ProductSprint Backlog'!$F70 / MAX(1, 'ProductSprint Backlog'!$J70-'ProductSprint Backlog'!$I70), AND('ProductSprint Backlog'!$J70=H$2,'ProductSprint Backlog'!$I70=H$2), 'ProductSprint Backlog'!$F70, TRUE, 0)</f>
        <v>0</v>
      </c>
      <c r="I70" s="4" cm="1">
        <f t="array" ref="I70">_xlfn.IFS('ProductSprint Backlog'!$F70="", "", AND('ProductSprint Backlog'!$J70&gt;I$2,'ProductSprint Backlog'!$I70&lt;=I$2), 'ProductSprint Backlog'!$F70 / MAX(1, 'ProductSprint Backlog'!$J70-'ProductSprint Backlog'!$I70), AND('ProductSprint Backlog'!$J70=I$2,'ProductSprint Backlog'!$I70=I$2), 'ProductSprint Backlog'!$F70, TRUE, 0)</f>
        <v>0</v>
      </c>
      <c r="J70" s="4" cm="1">
        <f t="array" ref="J70">_xlfn.IFS('ProductSprint Backlog'!$F70="", "", AND('ProductSprint Backlog'!$J70&gt;J$2,'ProductSprint Backlog'!$I70&lt;=J$2), 'ProductSprint Backlog'!$F70 / MAX(1, 'ProductSprint Backlog'!$J70-'ProductSprint Backlog'!$I70), AND('ProductSprint Backlog'!$J70=J$2,'ProductSprint Backlog'!$I70=J$2), 'ProductSprint Backlog'!$F70, TRUE, 0)</f>
        <v>0</v>
      </c>
    </row>
    <row r="71" spans="2:10" x14ac:dyDescent="0.2">
      <c r="B71" s="4" cm="1">
        <f t="array" ref="B71">_xlfn.IFS('ProductSprint Backlog'!$F71="", "", AND('ProductSprint Backlog'!$J71&gt;B$2,'ProductSprint Backlog'!$I71&lt;=B$2), 'ProductSprint Backlog'!$F71 / MAX(1, 'ProductSprint Backlog'!$J71-'ProductSprint Backlog'!$I71), AND('ProductSprint Backlog'!$J71=B$2,'ProductSprint Backlog'!$I71=B$2), 'ProductSprint Backlog'!$F71, TRUE, 0)</f>
        <v>0</v>
      </c>
      <c r="C71" s="4" cm="1">
        <f t="array" ref="C71">_xlfn.IFS('ProductSprint Backlog'!$F71="", "", AND('ProductSprint Backlog'!$J71&gt;C$2,'ProductSprint Backlog'!$I71&lt;=C$2), 'ProductSprint Backlog'!$F71 / MAX(1, 'ProductSprint Backlog'!$J71-'ProductSprint Backlog'!$I71), AND('ProductSprint Backlog'!$J71=C$2,'ProductSprint Backlog'!$I71=C$2), 'ProductSprint Backlog'!$F71, TRUE, 0)</f>
        <v>0</v>
      </c>
      <c r="D71" s="4" cm="1">
        <f t="array" ref="D71">_xlfn.IFS('ProductSprint Backlog'!$F71="", "", AND('ProductSprint Backlog'!$J71&gt;D$2,'ProductSprint Backlog'!$I71&lt;=D$2), 'ProductSprint Backlog'!$F71 / MAX(1, 'ProductSprint Backlog'!$J71-'ProductSprint Backlog'!$I71), AND('ProductSprint Backlog'!$J71=D$2,'ProductSprint Backlog'!$I71=D$2), 'ProductSprint Backlog'!$F71, TRUE, 0)</f>
        <v>0</v>
      </c>
      <c r="E71" s="4" cm="1">
        <f t="array" ref="E71">_xlfn.IFS('ProductSprint Backlog'!$F71="", "", AND('ProductSprint Backlog'!$J71&gt;E$2,'ProductSprint Backlog'!$I71&lt;=E$2), 'ProductSprint Backlog'!$F71 / MAX(1, 'ProductSprint Backlog'!$J71-'ProductSprint Backlog'!$I71), AND('ProductSprint Backlog'!$J71=E$2,'ProductSprint Backlog'!$I71=E$2), 'ProductSprint Backlog'!$F71, TRUE, 0)</f>
        <v>0</v>
      </c>
      <c r="F71" s="4" cm="1">
        <f t="array" ref="F71">_xlfn.IFS('ProductSprint Backlog'!$F71="", "", AND('ProductSprint Backlog'!$J71&gt;F$2,'ProductSprint Backlog'!$I71&lt;=F$2), 'ProductSprint Backlog'!$F71 / MAX(1, 'ProductSprint Backlog'!$J71-'ProductSprint Backlog'!$I71), AND('ProductSprint Backlog'!$J71=F$2,'ProductSprint Backlog'!$I71=F$2), 'ProductSprint Backlog'!$F71, TRUE, 0)</f>
        <v>0</v>
      </c>
      <c r="G71" s="4" cm="1">
        <f t="array" ref="G71">_xlfn.IFS('ProductSprint Backlog'!$F71="", "", AND('ProductSprint Backlog'!$J71&gt;G$2,'ProductSprint Backlog'!$I71&lt;=G$2), 'ProductSprint Backlog'!$F71 / MAX(1, 'ProductSprint Backlog'!$J71-'ProductSprint Backlog'!$I71), AND('ProductSprint Backlog'!$J71=G$2,'ProductSprint Backlog'!$I71=G$2), 'ProductSprint Backlog'!$F71, TRUE, 0)</f>
        <v>0</v>
      </c>
      <c r="H71" s="4" cm="1">
        <f t="array" ref="H71">_xlfn.IFS('ProductSprint Backlog'!$F71="", "", AND('ProductSprint Backlog'!$J71&gt;H$2,'ProductSprint Backlog'!$I71&lt;=H$2), 'ProductSprint Backlog'!$F71 / MAX(1, 'ProductSprint Backlog'!$J71-'ProductSprint Backlog'!$I71), AND('ProductSprint Backlog'!$J71=H$2,'ProductSprint Backlog'!$I71=H$2), 'ProductSprint Backlog'!$F71, TRUE, 0)</f>
        <v>0</v>
      </c>
      <c r="I71" s="4" cm="1">
        <f t="array" ref="I71">_xlfn.IFS('ProductSprint Backlog'!$F71="", "", AND('ProductSprint Backlog'!$J71&gt;I$2,'ProductSprint Backlog'!$I71&lt;=I$2), 'ProductSprint Backlog'!$F71 / MAX(1, 'ProductSprint Backlog'!$J71-'ProductSprint Backlog'!$I71), AND('ProductSprint Backlog'!$J71=I$2,'ProductSprint Backlog'!$I71=I$2), 'ProductSprint Backlog'!$F71, TRUE, 0)</f>
        <v>0</v>
      </c>
      <c r="J71" s="4" cm="1">
        <f t="array" ref="J71">_xlfn.IFS('ProductSprint Backlog'!$F71="", "", AND('ProductSprint Backlog'!$J71&gt;J$2,'ProductSprint Backlog'!$I71&lt;=J$2), 'ProductSprint Backlog'!$F71 / MAX(1, 'ProductSprint Backlog'!$J71-'ProductSprint Backlog'!$I71), AND('ProductSprint Backlog'!$J71=J$2,'ProductSprint Backlog'!$I71=J$2), 'ProductSprint Backlog'!$F71, TRUE, 0)</f>
        <v>0</v>
      </c>
    </row>
    <row r="72" spans="2:10" x14ac:dyDescent="0.2">
      <c r="B72" s="4" cm="1">
        <f t="array" ref="B72">_xlfn.IFS('ProductSprint Backlog'!$F72="", "", AND('ProductSprint Backlog'!$J72&gt;B$2,'ProductSprint Backlog'!$I72&lt;=B$2), 'ProductSprint Backlog'!$F72 / MAX(1, 'ProductSprint Backlog'!$J72-'ProductSprint Backlog'!$I72), AND('ProductSprint Backlog'!$J72=B$2,'ProductSprint Backlog'!$I72=B$2), 'ProductSprint Backlog'!$F72, TRUE, 0)</f>
        <v>0</v>
      </c>
      <c r="C72" s="4" cm="1">
        <f t="array" ref="C72">_xlfn.IFS('ProductSprint Backlog'!$F72="", "", AND('ProductSprint Backlog'!$J72&gt;C$2,'ProductSprint Backlog'!$I72&lt;=C$2), 'ProductSprint Backlog'!$F72 / MAX(1, 'ProductSprint Backlog'!$J72-'ProductSprint Backlog'!$I72), AND('ProductSprint Backlog'!$J72=C$2,'ProductSprint Backlog'!$I72=C$2), 'ProductSprint Backlog'!$F72, TRUE, 0)</f>
        <v>0</v>
      </c>
      <c r="D72" s="4" cm="1">
        <f t="array" ref="D72">_xlfn.IFS('ProductSprint Backlog'!$F72="", "", AND('ProductSprint Backlog'!$J72&gt;D$2,'ProductSprint Backlog'!$I72&lt;=D$2), 'ProductSprint Backlog'!$F72 / MAX(1, 'ProductSprint Backlog'!$J72-'ProductSprint Backlog'!$I72), AND('ProductSprint Backlog'!$J72=D$2,'ProductSprint Backlog'!$I72=D$2), 'ProductSprint Backlog'!$F72, TRUE, 0)</f>
        <v>0</v>
      </c>
      <c r="E72" s="4" cm="1">
        <f t="array" ref="E72">_xlfn.IFS('ProductSprint Backlog'!$F72="", "", AND('ProductSprint Backlog'!$J72&gt;E$2,'ProductSprint Backlog'!$I72&lt;=E$2), 'ProductSprint Backlog'!$F72 / MAX(1, 'ProductSprint Backlog'!$J72-'ProductSprint Backlog'!$I72), AND('ProductSprint Backlog'!$J72=E$2,'ProductSprint Backlog'!$I72=E$2), 'ProductSprint Backlog'!$F72, TRUE, 0)</f>
        <v>0</v>
      </c>
      <c r="F72" s="4" cm="1">
        <f t="array" ref="F72">_xlfn.IFS('ProductSprint Backlog'!$F72="", "", AND('ProductSprint Backlog'!$J72&gt;F$2,'ProductSprint Backlog'!$I72&lt;=F$2), 'ProductSprint Backlog'!$F72 / MAX(1, 'ProductSprint Backlog'!$J72-'ProductSprint Backlog'!$I72), AND('ProductSprint Backlog'!$J72=F$2,'ProductSprint Backlog'!$I72=F$2), 'ProductSprint Backlog'!$F72, TRUE, 0)</f>
        <v>0</v>
      </c>
      <c r="G72" s="4" cm="1">
        <f t="array" ref="G72">_xlfn.IFS('ProductSprint Backlog'!$F72="", "", AND('ProductSprint Backlog'!$J72&gt;G$2,'ProductSprint Backlog'!$I72&lt;=G$2), 'ProductSprint Backlog'!$F72 / MAX(1, 'ProductSprint Backlog'!$J72-'ProductSprint Backlog'!$I72), AND('ProductSprint Backlog'!$J72=G$2,'ProductSprint Backlog'!$I72=G$2), 'ProductSprint Backlog'!$F72, TRUE, 0)</f>
        <v>0</v>
      </c>
      <c r="H72" s="4" cm="1">
        <f t="array" ref="H72">_xlfn.IFS('ProductSprint Backlog'!$F72="", "", AND('ProductSprint Backlog'!$J72&gt;H$2,'ProductSprint Backlog'!$I72&lt;=H$2), 'ProductSprint Backlog'!$F72 / MAX(1, 'ProductSprint Backlog'!$J72-'ProductSprint Backlog'!$I72), AND('ProductSprint Backlog'!$J72=H$2,'ProductSprint Backlog'!$I72=H$2), 'ProductSprint Backlog'!$F72, TRUE, 0)</f>
        <v>0</v>
      </c>
      <c r="I72" s="4" cm="1">
        <f t="array" ref="I72">_xlfn.IFS('ProductSprint Backlog'!$F72="", "", AND('ProductSprint Backlog'!$J72&gt;I$2,'ProductSprint Backlog'!$I72&lt;=I$2), 'ProductSprint Backlog'!$F72 / MAX(1, 'ProductSprint Backlog'!$J72-'ProductSprint Backlog'!$I72), AND('ProductSprint Backlog'!$J72=I$2,'ProductSprint Backlog'!$I72=I$2), 'ProductSprint Backlog'!$F72, TRUE, 0)</f>
        <v>0</v>
      </c>
      <c r="J72" s="4" cm="1">
        <f t="array" ref="J72">_xlfn.IFS('ProductSprint Backlog'!$F72="", "", AND('ProductSprint Backlog'!$J72&gt;J$2,'ProductSprint Backlog'!$I72&lt;=J$2), 'ProductSprint Backlog'!$F72 / MAX(1, 'ProductSprint Backlog'!$J72-'ProductSprint Backlog'!$I72), AND('ProductSprint Backlog'!$J72=J$2,'ProductSprint Backlog'!$I72=J$2), 'ProductSprint Backlog'!$F72, TRUE, 0)</f>
        <v>0</v>
      </c>
    </row>
    <row r="73" spans="2:10" x14ac:dyDescent="0.2">
      <c r="B73" s="4" t="str" cm="1">
        <f t="array" ref="B73">_xlfn.IFS('ProductSprint Backlog'!$F73="", "", AND('ProductSprint Backlog'!$J73&gt;B$2,'ProductSprint Backlog'!$I73&lt;=B$2), 'ProductSprint Backlog'!$F73 / MAX(1, 'ProductSprint Backlog'!$J73-'ProductSprint Backlog'!$I73), AND('ProductSprint Backlog'!$J73=B$2,'ProductSprint Backlog'!$I73=B$2), 'ProductSprint Backlog'!$F73, TRUE, 0)</f>
        <v/>
      </c>
      <c r="C73" s="4" t="str" cm="1">
        <f t="array" ref="C73">_xlfn.IFS('ProductSprint Backlog'!$F73="", "", AND('ProductSprint Backlog'!$J73&gt;C$2,'ProductSprint Backlog'!$I73&lt;=C$2), 'ProductSprint Backlog'!$F73 / MAX(1, 'ProductSprint Backlog'!$J73-'ProductSprint Backlog'!$I73), AND('ProductSprint Backlog'!$J73=C$2,'ProductSprint Backlog'!$I73=C$2), 'ProductSprint Backlog'!$F73, TRUE, 0)</f>
        <v/>
      </c>
      <c r="D73" s="4" t="str" cm="1">
        <f t="array" ref="D73">_xlfn.IFS('ProductSprint Backlog'!$F73="", "", AND('ProductSprint Backlog'!$J73&gt;D$2,'ProductSprint Backlog'!$I73&lt;=D$2), 'ProductSprint Backlog'!$F73 / MAX(1, 'ProductSprint Backlog'!$J73-'ProductSprint Backlog'!$I73), AND('ProductSprint Backlog'!$J73=D$2,'ProductSprint Backlog'!$I73=D$2), 'ProductSprint Backlog'!$F73, TRUE, 0)</f>
        <v/>
      </c>
      <c r="E73" s="4" t="str" cm="1">
        <f t="array" ref="E73">_xlfn.IFS('ProductSprint Backlog'!$F73="", "", AND('ProductSprint Backlog'!$J73&gt;E$2,'ProductSprint Backlog'!$I73&lt;=E$2), 'ProductSprint Backlog'!$F73 / MAX(1, 'ProductSprint Backlog'!$J73-'ProductSprint Backlog'!$I73), AND('ProductSprint Backlog'!$J73=E$2,'ProductSprint Backlog'!$I73=E$2), 'ProductSprint Backlog'!$F73, TRUE, 0)</f>
        <v/>
      </c>
      <c r="F73" s="4" t="str" cm="1">
        <f t="array" ref="F73">_xlfn.IFS('ProductSprint Backlog'!$F73="", "", AND('ProductSprint Backlog'!$J73&gt;F$2,'ProductSprint Backlog'!$I73&lt;=F$2), 'ProductSprint Backlog'!$F73 / MAX(1, 'ProductSprint Backlog'!$J73-'ProductSprint Backlog'!$I73), AND('ProductSprint Backlog'!$J73=F$2,'ProductSprint Backlog'!$I73=F$2), 'ProductSprint Backlog'!$F73, TRUE, 0)</f>
        <v/>
      </c>
      <c r="G73" s="4" t="str" cm="1">
        <f t="array" ref="G73">_xlfn.IFS('ProductSprint Backlog'!$F73="", "", AND('ProductSprint Backlog'!$J73&gt;G$2,'ProductSprint Backlog'!$I73&lt;=G$2), 'ProductSprint Backlog'!$F73 / MAX(1, 'ProductSprint Backlog'!$J73-'ProductSprint Backlog'!$I73), AND('ProductSprint Backlog'!$J73=G$2,'ProductSprint Backlog'!$I73=G$2), 'ProductSprint Backlog'!$F73, TRUE, 0)</f>
        <v/>
      </c>
      <c r="H73" s="4" t="str" cm="1">
        <f t="array" ref="H73">_xlfn.IFS('ProductSprint Backlog'!$F73="", "", AND('ProductSprint Backlog'!$J73&gt;H$2,'ProductSprint Backlog'!$I73&lt;=H$2), 'ProductSprint Backlog'!$F73 / MAX(1, 'ProductSprint Backlog'!$J73-'ProductSprint Backlog'!$I73), AND('ProductSprint Backlog'!$J73=H$2,'ProductSprint Backlog'!$I73=H$2), 'ProductSprint Backlog'!$F73, TRUE, 0)</f>
        <v/>
      </c>
      <c r="I73" s="4" t="str" cm="1">
        <f t="array" ref="I73">_xlfn.IFS('ProductSprint Backlog'!$F73="", "", AND('ProductSprint Backlog'!$J73&gt;I$2,'ProductSprint Backlog'!$I73&lt;=I$2), 'ProductSprint Backlog'!$F73 / MAX(1, 'ProductSprint Backlog'!$J73-'ProductSprint Backlog'!$I73), AND('ProductSprint Backlog'!$J73=I$2,'ProductSprint Backlog'!$I73=I$2), 'ProductSprint Backlog'!$F73, TRUE, 0)</f>
        <v/>
      </c>
      <c r="J73" s="4" t="str" cm="1">
        <f t="array" ref="J73">_xlfn.IFS('ProductSprint Backlog'!$F73="", "", AND('ProductSprint Backlog'!$J73&gt;J$2,'ProductSprint Backlog'!$I73&lt;=J$2), 'ProductSprint Backlog'!$F73 / MAX(1, 'ProductSprint Backlog'!$J73-'ProductSprint Backlog'!$I73), AND('ProductSprint Backlog'!$J73=J$2,'ProductSprint Backlog'!$I73=J$2), 'ProductSprint Backlog'!$F73, TRUE, 0)</f>
        <v/>
      </c>
    </row>
    <row r="74" spans="2:10" x14ac:dyDescent="0.2">
      <c r="B74" s="4" cm="1">
        <f t="array" ref="B74">_xlfn.IFS('ProductSprint Backlog'!$F74="", "", AND('ProductSprint Backlog'!$J74&gt;B$2,'ProductSprint Backlog'!$I74&lt;=B$2), 'ProductSprint Backlog'!$F74 / MAX(1, 'ProductSprint Backlog'!$J74-'ProductSprint Backlog'!$I74), AND('ProductSprint Backlog'!$J74=B$2,'ProductSprint Backlog'!$I74=B$2), 'ProductSprint Backlog'!$F74, TRUE, 0)</f>
        <v>0</v>
      </c>
      <c r="C74" s="4" cm="1">
        <f t="array" ref="C74">_xlfn.IFS('ProductSprint Backlog'!$F74="", "", AND('ProductSprint Backlog'!$J74&gt;C$2,'ProductSprint Backlog'!$I74&lt;=C$2), 'ProductSprint Backlog'!$F74 / MAX(1, 'ProductSprint Backlog'!$J74-'ProductSprint Backlog'!$I74), AND('ProductSprint Backlog'!$J74=C$2,'ProductSprint Backlog'!$I74=C$2), 'ProductSprint Backlog'!$F74, TRUE, 0)</f>
        <v>0</v>
      </c>
      <c r="D74" s="4" cm="1">
        <f t="array" ref="D74">_xlfn.IFS('ProductSprint Backlog'!$F74="", "", AND('ProductSprint Backlog'!$J74&gt;D$2,'ProductSprint Backlog'!$I74&lt;=D$2), 'ProductSprint Backlog'!$F74 / MAX(1, 'ProductSprint Backlog'!$J74-'ProductSprint Backlog'!$I74), AND('ProductSprint Backlog'!$J74=D$2,'ProductSprint Backlog'!$I74=D$2), 'ProductSprint Backlog'!$F74, TRUE, 0)</f>
        <v>0</v>
      </c>
      <c r="E74" s="4" cm="1">
        <f t="array" ref="E74">_xlfn.IFS('ProductSprint Backlog'!$F74="", "", AND('ProductSprint Backlog'!$J74&gt;E$2,'ProductSprint Backlog'!$I74&lt;=E$2), 'ProductSprint Backlog'!$F74 / MAX(1, 'ProductSprint Backlog'!$J74-'ProductSprint Backlog'!$I74), AND('ProductSprint Backlog'!$J74=E$2,'ProductSprint Backlog'!$I74=E$2), 'ProductSprint Backlog'!$F74, TRUE, 0)</f>
        <v>0</v>
      </c>
      <c r="F74" s="4" cm="1">
        <f t="array" ref="F74">_xlfn.IFS('ProductSprint Backlog'!$F74="", "", AND('ProductSprint Backlog'!$J74&gt;F$2,'ProductSprint Backlog'!$I74&lt;=F$2), 'ProductSprint Backlog'!$F74 / MAX(1, 'ProductSprint Backlog'!$J74-'ProductSprint Backlog'!$I74), AND('ProductSprint Backlog'!$J74=F$2,'ProductSprint Backlog'!$I74=F$2), 'ProductSprint Backlog'!$F74, TRUE, 0)</f>
        <v>0</v>
      </c>
      <c r="G74" s="4" cm="1">
        <f t="array" ref="G74">_xlfn.IFS('ProductSprint Backlog'!$F74="", "", AND('ProductSprint Backlog'!$J74&gt;G$2,'ProductSprint Backlog'!$I74&lt;=G$2), 'ProductSprint Backlog'!$F74 / MAX(1, 'ProductSprint Backlog'!$J74-'ProductSprint Backlog'!$I74), AND('ProductSprint Backlog'!$J74=G$2,'ProductSprint Backlog'!$I74=G$2), 'ProductSprint Backlog'!$F74, TRUE, 0)</f>
        <v>0</v>
      </c>
      <c r="H74" s="4" cm="1">
        <f t="array" ref="H74">_xlfn.IFS('ProductSprint Backlog'!$F74="", "", AND('ProductSprint Backlog'!$J74&gt;H$2,'ProductSprint Backlog'!$I74&lt;=H$2), 'ProductSprint Backlog'!$F74 / MAX(1, 'ProductSprint Backlog'!$J74-'ProductSprint Backlog'!$I74), AND('ProductSprint Backlog'!$J74=H$2,'ProductSprint Backlog'!$I74=H$2), 'ProductSprint Backlog'!$F74, TRUE, 0)</f>
        <v>0</v>
      </c>
      <c r="I74" s="4" cm="1">
        <f t="array" ref="I74">_xlfn.IFS('ProductSprint Backlog'!$F74="", "", AND('ProductSprint Backlog'!$J74&gt;I$2,'ProductSprint Backlog'!$I74&lt;=I$2), 'ProductSprint Backlog'!$F74 / MAX(1, 'ProductSprint Backlog'!$J74-'ProductSprint Backlog'!$I74), AND('ProductSprint Backlog'!$J74=I$2,'ProductSprint Backlog'!$I74=I$2), 'ProductSprint Backlog'!$F74, TRUE, 0)</f>
        <v>0</v>
      </c>
      <c r="J74" s="4" cm="1">
        <f t="array" ref="J74">_xlfn.IFS('ProductSprint Backlog'!$F74="", "", AND('ProductSprint Backlog'!$J74&gt;J$2,'ProductSprint Backlog'!$I74&lt;=J$2), 'ProductSprint Backlog'!$F74 / MAX(1, 'ProductSprint Backlog'!$J74-'ProductSprint Backlog'!$I74), AND('ProductSprint Backlog'!$J74=J$2,'ProductSprint Backlog'!$I74=J$2), 'ProductSprint Backlog'!$F74, TRUE, 0)</f>
        <v>0</v>
      </c>
    </row>
    <row r="75" spans="2:10" x14ac:dyDescent="0.2">
      <c r="B75" s="4" cm="1">
        <f t="array" ref="B75">_xlfn.IFS('ProductSprint Backlog'!$F75="", "", AND('ProductSprint Backlog'!$J75&gt;B$2,'ProductSprint Backlog'!$I75&lt;=B$2), 'ProductSprint Backlog'!$F75 / MAX(1, 'ProductSprint Backlog'!$J75-'ProductSprint Backlog'!$I75), AND('ProductSprint Backlog'!$J75=B$2,'ProductSprint Backlog'!$I75=B$2), 'ProductSprint Backlog'!$F75, TRUE, 0)</f>
        <v>0</v>
      </c>
      <c r="C75" s="4" cm="1">
        <f t="array" ref="C75">_xlfn.IFS('ProductSprint Backlog'!$F75="", "", AND('ProductSprint Backlog'!$J75&gt;C$2,'ProductSprint Backlog'!$I75&lt;=C$2), 'ProductSprint Backlog'!$F75 / MAX(1, 'ProductSprint Backlog'!$J75-'ProductSprint Backlog'!$I75), AND('ProductSprint Backlog'!$J75=C$2,'ProductSprint Backlog'!$I75=C$2), 'ProductSprint Backlog'!$F75, TRUE, 0)</f>
        <v>0</v>
      </c>
      <c r="D75" s="4" cm="1">
        <f t="array" ref="D75">_xlfn.IFS('ProductSprint Backlog'!$F75="", "", AND('ProductSprint Backlog'!$J75&gt;D$2,'ProductSprint Backlog'!$I75&lt;=D$2), 'ProductSprint Backlog'!$F75 / MAX(1, 'ProductSprint Backlog'!$J75-'ProductSprint Backlog'!$I75), AND('ProductSprint Backlog'!$J75=D$2,'ProductSprint Backlog'!$I75=D$2), 'ProductSprint Backlog'!$F75, TRUE, 0)</f>
        <v>0</v>
      </c>
      <c r="E75" s="4" cm="1">
        <f t="array" ref="E75">_xlfn.IFS('ProductSprint Backlog'!$F75="", "", AND('ProductSprint Backlog'!$J75&gt;E$2,'ProductSprint Backlog'!$I75&lt;=E$2), 'ProductSprint Backlog'!$F75 / MAX(1, 'ProductSprint Backlog'!$J75-'ProductSprint Backlog'!$I75), AND('ProductSprint Backlog'!$J75=E$2,'ProductSprint Backlog'!$I75=E$2), 'ProductSprint Backlog'!$F75, TRUE, 0)</f>
        <v>0</v>
      </c>
      <c r="F75" s="4" cm="1">
        <f t="array" ref="F75">_xlfn.IFS('ProductSprint Backlog'!$F75="", "", AND('ProductSprint Backlog'!$J75&gt;F$2,'ProductSprint Backlog'!$I75&lt;=F$2), 'ProductSprint Backlog'!$F75 / MAX(1, 'ProductSprint Backlog'!$J75-'ProductSprint Backlog'!$I75), AND('ProductSprint Backlog'!$J75=F$2,'ProductSprint Backlog'!$I75=F$2), 'ProductSprint Backlog'!$F75, TRUE, 0)</f>
        <v>0</v>
      </c>
      <c r="G75" s="4" cm="1">
        <f t="array" ref="G75">_xlfn.IFS('ProductSprint Backlog'!$F75="", "", AND('ProductSprint Backlog'!$J75&gt;G$2,'ProductSprint Backlog'!$I75&lt;=G$2), 'ProductSprint Backlog'!$F75 / MAX(1, 'ProductSprint Backlog'!$J75-'ProductSprint Backlog'!$I75), AND('ProductSprint Backlog'!$J75=G$2,'ProductSprint Backlog'!$I75=G$2), 'ProductSprint Backlog'!$F75, TRUE, 0)</f>
        <v>0</v>
      </c>
      <c r="H75" s="4" cm="1">
        <f t="array" ref="H75">_xlfn.IFS('ProductSprint Backlog'!$F75="", "", AND('ProductSprint Backlog'!$J75&gt;H$2,'ProductSprint Backlog'!$I75&lt;=H$2), 'ProductSprint Backlog'!$F75 / MAX(1, 'ProductSprint Backlog'!$J75-'ProductSprint Backlog'!$I75), AND('ProductSprint Backlog'!$J75=H$2,'ProductSprint Backlog'!$I75=H$2), 'ProductSprint Backlog'!$F75, TRUE, 0)</f>
        <v>0</v>
      </c>
      <c r="I75" s="4" cm="1">
        <f t="array" ref="I75">_xlfn.IFS('ProductSprint Backlog'!$F75="", "", AND('ProductSprint Backlog'!$J75&gt;I$2,'ProductSprint Backlog'!$I75&lt;=I$2), 'ProductSprint Backlog'!$F75 / MAX(1, 'ProductSprint Backlog'!$J75-'ProductSprint Backlog'!$I75), AND('ProductSprint Backlog'!$J75=I$2,'ProductSprint Backlog'!$I75=I$2), 'ProductSprint Backlog'!$F75, TRUE, 0)</f>
        <v>0</v>
      </c>
      <c r="J75" s="4" cm="1">
        <f t="array" ref="J75">_xlfn.IFS('ProductSprint Backlog'!$F75="", "", AND('ProductSprint Backlog'!$J75&gt;J$2,'ProductSprint Backlog'!$I75&lt;=J$2), 'ProductSprint Backlog'!$F75 / MAX(1, 'ProductSprint Backlog'!$J75-'ProductSprint Backlog'!$I75), AND('ProductSprint Backlog'!$J75=J$2,'ProductSprint Backlog'!$I75=J$2), 'ProductSprint Backlog'!$F75, TRUE, 0)</f>
        <v>0</v>
      </c>
    </row>
    <row r="76" spans="2:10" x14ac:dyDescent="0.2">
      <c r="B76" s="4" cm="1">
        <f t="array" ref="B76">_xlfn.IFS('ProductSprint Backlog'!$F76="", "", AND('ProductSprint Backlog'!$J76&gt;B$2,'ProductSprint Backlog'!$I76&lt;=B$2), 'ProductSprint Backlog'!$F76 / MAX(1, 'ProductSprint Backlog'!$J76-'ProductSprint Backlog'!$I76), AND('ProductSprint Backlog'!$J76=B$2,'ProductSprint Backlog'!$I76=B$2), 'ProductSprint Backlog'!$F76, TRUE, 0)</f>
        <v>0</v>
      </c>
      <c r="C76" s="4" cm="1">
        <f t="array" ref="C76">_xlfn.IFS('ProductSprint Backlog'!$F76="", "", AND('ProductSprint Backlog'!$J76&gt;C$2,'ProductSprint Backlog'!$I76&lt;=C$2), 'ProductSprint Backlog'!$F76 / MAX(1, 'ProductSprint Backlog'!$J76-'ProductSprint Backlog'!$I76), AND('ProductSprint Backlog'!$J76=C$2,'ProductSprint Backlog'!$I76=C$2), 'ProductSprint Backlog'!$F76, TRUE, 0)</f>
        <v>0</v>
      </c>
      <c r="D76" s="4" cm="1">
        <f t="array" ref="D76">_xlfn.IFS('ProductSprint Backlog'!$F76="", "", AND('ProductSprint Backlog'!$J76&gt;D$2,'ProductSprint Backlog'!$I76&lt;=D$2), 'ProductSprint Backlog'!$F76 / MAX(1, 'ProductSprint Backlog'!$J76-'ProductSprint Backlog'!$I76), AND('ProductSprint Backlog'!$J76=D$2,'ProductSprint Backlog'!$I76=D$2), 'ProductSprint Backlog'!$F76, TRUE, 0)</f>
        <v>0</v>
      </c>
      <c r="E76" s="4" cm="1">
        <f t="array" ref="E76">_xlfn.IFS('ProductSprint Backlog'!$F76="", "", AND('ProductSprint Backlog'!$J76&gt;E$2,'ProductSprint Backlog'!$I76&lt;=E$2), 'ProductSprint Backlog'!$F76 / MAX(1, 'ProductSprint Backlog'!$J76-'ProductSprint Backlog'!$I76), AND('ProductSprint Backlog'!$J76=E$2,'ProductSprint Backlog'!$I76=E$2), 'ProductSprint Backlog'!$F76, TRUE, 0)</f>
        <v>0</v>
      </c>
      <c r="F76" s="4" cm="1">
        <f t="array" ref="F76">_xlfn.IFS('ProductSprint Backlog'!$F76="", "", AND('ProductSprint Backlog'!$J76&gt;F$2,'ProductSprint Backlog'!$I76&lt;=F$2), 'ProductSprint Backlog'!$F76 / MAX(1, 'ProductSprint Backlog'!$J76-'ProductSprint Backlog'!$I76), AND('ProductSprint Backlog'!$J76=F$2,'ProductSprint Backlog'!$I76=F$2), 'ProductSprint Backlog'!$F76, TRUE, 0)</f>
        <v>0</v>
      </c>
      <c r="G76" s="4" cm="1">
        <f t="array" ref="G76">_xlfn.IFS('ProductSprint Backlog'!$F76="", "", AND('ProductSprint Backlog'!$J76&gt;G$2,'ProductSprint Backlog'!$I76&lt;=G$2), 'ProductSprint Backlog'!$F76 / MAX(1, 'ProductSprint Backlog'!$J76-'ProductSprint Backlog'!$I76), AND('ProductSprint Backlog'!$J76=G$2,'ProductSprint Backlog'!$I76=G$2), 'ProductSprint Backlog'!$F76, TRUE, 0)</f>
        <v>0</v>
      </c>
      <c r="H76" s="4" cm="1">
        <f t="array" ref="H76">_xlfn.IFS('ProductSprint Backlog'!$F76="", "", AND('ProductSprint Backlog'!$J76&gt;H$2,'ProductSprint Backlog'!$I76&lt;=H$2), 'ProductSprint Backlog'!$F76 / MAX(1, 'ProductSprint Backlog'!$J76-'ProductSprint Backlog'!$I76), AND('ProductSprint Backlog'!$J76=H$2,'ProductSprint Backlog'!$I76=H$2), 'ProductSprint Backlog'!$F76, TRUE, 0)</f>
        <v>0</v>
      </c>
      <c r="I76" s="4" cm="1">
        <f t="array" ref="I76">_xlfn.IFS('ProductSprint Backlog'!$F76="", "", AND('ProductSprint Backlog'!$J76&gt;I$2,'ProductSprint Backlog'!$I76&lt;=I$2), 'ProductSprint Backlog'!$F76 / MAX(1, 'ProductSprint Backlog'!$J76-'ProductSprint Backlog'!$I76), AND('ProductSprint Backlog'!$J76=I$2,'ProductSprint Backlog'!$I76=I$2), 'ProductSprint Backlog'!$F76, TRUE, 0)</f>
        <v>0</v>
      </c>
      <c r="J76" s="4" cm="1">
        <f t="array" ref="J76">_xlfn.IFS('ProductSprint Backlog'!$F76="", "", AND('ProductSprint Backlog'!$J76&gt;J$2,'ProductSprint Backlog'!$I76&lt;=J$2), 'ProductSprint Backlog'!$F76 / MAX(1, 'ProductSprint Backlog'!$J76-'ProductSprint Backlog'!$I76), AND('ProductSprint Backlog'!$J76=J$2,'ProductSprint Backlog'!$I76=J$2), 'ProductSprint Backlog'!$F76, TRUE, 0)</f>
        <v>0</v>
      </c>
    </row>
    <row r="77" spans="2:10" x14ac:dyDescent="0.2">
      <c r="B77" s="4" cm="1">
        <f t="array" ref="B77">_xlfn.IFS('ProductSprint Backlog'!$F77="", "", AND('ProductSprint Backlog'!$J77&gt;B$2,'ProductSprint Backlog'!$I77&lt;=B$2), 'ProductSprint Backlog'!$F77 / MAX(1, 'ProductSprint Backlog'!$J77-'ProductSprint Backlog'!$I77), AND('ProductSprint Backlog'!$J77=B$2,'ProductSprint Backlog'!$I77=B$2), 'ProductSprint Backlog'!$F77, TRUE, 0)</f>
        <v>0</v>
      </c>
      <c r="C77" s="4" cm="1">
        <f t="array" ref="C77">_xlfn.IFS('ProductSprint Backlog'!$F77="", "", AND('ProductSprint Backlog'!$J77&gt;C$2,'ProductSprint Backlog'!$I77&lt;=C$2), 'ProductSprint Backlog'!$F77 / MAX(1, 'ProductSprint Backlog'!$J77-'ProductSprint Backlog'!$I77), AND('ProductSprint Backlog'!$J77=C$2,'ProductSprint Backlog'!$I77=C$2), 'ProductSprint Backlog'!$F77, TRUE, 0)</f>
        <v>0</v>
      </c>
      <c r="D77" s="4" cm="1">
        <f t="array" ref="D77">_xlfn.IFS('ProductSprint Backlog'!$F77="", "", AND('ProductSprint Backlog'!$J77&gt;D$2,'ProductSprint Backlog'!$I77&lt;=D$2), 'ProductSprint Backlog'!$F77 / MAX(1, 'ProductSprint Backlog'!$J77-'ProductSprint Backlog'!$I77), AND('ProductSprint Backlog'!$J77=D$2,'ProductSprint Backlog'!$I77=D$2), 'ProductSprint Backlog'!$F77, TRUE, 0)</f>
        <v>0</v>
      </c>
      <c r="E77" s="4" cm="1">
        <f t="array" ref="E77">_xlfn.IFS('ProductSprint Backlog'!$F77="", "", AND('ProductSprint Backlog'!$J77&gt;E$2,'ProductSprint Backlog'!$I77&lt;=E$2), 'ProductSprint Backlog'!$F77 / MAX(1, 'ProductSprint Backlog'!$J77-'ProductSprint Backlog'!$I77), AND('ProductSprint Backlog'!$J77=E$2,'ProductSprint Backlog'!$I77=E$2), 'ProductSprint Backlog'!$F77, TRUE, 0)</f>
        <v>0</v>
      </c>
      <c r="F77" s="4" cm="1">
        <f t="array" ref="F77">_xlfn.IFS('ProductSprint Backlog'!$F77="", "", AND('ProductSprint Backlog'!$J77&gt;F$2,'ProductSprint Backlog'!$I77&lt;=F$2), 'ProductSprint Backlog'!$F77 / MAX(1, 'ProductSprint Backlog'!$J77-'ProductSprint Backlog'!$I77), AND('ProductSprint Backlog'!$J77=F$2,'ProductSprint Backlog'!$I77=F$2), 'ProductSprint Backlog'!$F77, TRUE, 0)</f>
        <v>0</v>
      </c>
      <c r="G77" s="4" cm="1">
        <f t="array" ref="G77">_xlfn.IFS('ProductSprint Backlog'!$F77="", "", AND('ProductSprint Backlog'!$J77&gt;G$2,'ProductSprint Backlog'!$I77&lt;=G$2), 'ProductSprint Backlog'!$F77 / MAX(1, 'ProductSprint Backlog'!$J77-'ProductSprint Backlog'!$I77), AND('ProductSprint Backlog'!$J77=G$2,'ProductSprint Backlog'!$I77=G$2), 'ProductSprint Backlog'!$F77, TRUE, 0)</f>
        <v>0</v>
      </c>
      <c r="H77" s="4" cm="1">
        <f t="array" ref="H77">_xlfn.IFS('ProductSprint Backlog'!$F77="", "", AND('ProductSprint Backlog'!$J77&gt;H$2,'ProductSprint Backlog'!$I77&lt;=H$2), 'ProductSprint Backlog'!$F77 / MAX(1, 'ProductSprint Backlog'!$J77-'ProductSprint Backlog'!$I77), AND('ProductSprint Backlog'!$J77=H$2,'ProductSprint Backlog'!$I77=H$2), 'ProductSprint Backlog'!$F77, TRUE, 0)</f>
        <v>0</v>
      </c>
      <c r="I77" s="4" cm="1">
        <f t="array" ref="I77">_xlfn.IFS('ProductSprint Backlog'!$F77="", "", AND('ProductSprint Backlog'!$J77&gt;I$2,'ProductSprint Backlog'!$I77&lt;=I$2), 'ProductSprint Backlog'!$F77 / MAX(1, 'ProductSprint Backlog'!$J77-'ProductSprint Backlog'!$I77), AND('ProductSprint Backlog'!$J77=I$2,'ProductSprint Backlog'!$I77=I$2), 'ProductSprint Backlog'!$F77, TRUE, 0)</f>
        <v>0</v>
      </c>
      <c r="J77" s="4" cm="1">
        <f t="array" ref="J77">_xlfn.IFS('ProductSprint Backlog'!$F77="", "", AND('ProductSprint Backlog'!$J77&gt;J$2,'ProductSprint Backlog'!$I77&lt;=J$2), 'ProductSprint Backlog'!$F77 / MAX(1, 'ProductSprint Backlog'!$J77-'ProductSprint Backlog'!$I77), AND('ProductSprint Backlog'!$J77=J$2,'ProductSprint Backlog'!$I77=J$2), 'ProductSprint Backlog'!$F77, TRUE, 0)</f>
        <v>0</v>
      </c>
    </row>
    <row r="78" spans="2:10" x14ac:dyDescent="0.2">
      <c r="B78" s="4" cm="1">
        <f t="array" ref="B78">_xlfn.IFS('ProductSprint Backlog'!$F78="", "", AND('ProductSprint Backlog'!$J78&gt;B$2,'ProductSprint Backlog'!$I78&lt;=B$2), 'ProductSprint Backlog'!$F78 / MAX(1, 'ProductSprint Backlog'!$J78-'ProductSprint Backlog'!$I78), AND('ProductSprint Backlog'!$J78=B$2,'ProductSprint Backlog'!$I78=B$2), 'ProductSprint Backlog'!$F78, TRUE, 0)</f>
        <v>0</v>
      </c>
      <c r="C78" s="4" cm="1">
        <f t="array" ref="C78">_xlfn.IFS('ProductSprint Backlog'!$F78="", "", AND('ProductSprint Backlog'!$J78&gt;C$2,'ProductSprint Backlog'!$I78&lt;=C$2), 'ProductSprint Backlog'!$F78 / MAX(1, 'ProductSprint Backlog'!$J78-'ProductSprint Backlog'!$I78), AND('ProductSprint Backlog'!$J78=C$2,'ProductSprint Backlog'!$I78=C$2), 'ProductSprint Backlog'!$F78, TRUE, 0)</f>
        <v>0</v>
      </c>
      <c r="D78" s="4" cm="1">
        <f t="array" ref="D78">_xlfn.IFS('ProductSprint Backlog'!$F78="", "", AND('ProductSprint Backlog'!$J78&gt;D$2,'ProductSprint Backlog'!$I78&lt;=D$2), 'ProductSprint Backlog'!$F78 / MAX(1, 'ProductSprint Backlog'!$J78-'ProductSprint Backlog'!$I78), AND('ProductSprint Backlog'!$J78=D$2,'ProductSprint Backlog'!$I78=D$2), 'ProductSprint Backlog'!$F78, TRUE, 0)</f>
        <v>0</v>
      </c>
      <c r="E78" s="4" cm="1">
        <f t="array" ref="E78">_xlfn.IFS('ProductSprint Backlog'!$F78="", "", AND('ProductSprint Backlog'!$J78&gt;E$2,'ProductSprint Backlog'!$I78&lt;=E$2), 'ProductSprint Backlog'!$F78 / MAX(1, 'ProductSprint Backlog'!$J78-'ProductSprint Backlog'!$I78), AND('ProductSprint Backlog'!$J78=E$2,'ProductSprint Backlog'!$I78=E$2), 'ProductSprint Backlog'!$F78, TRUE, 0)</f>
        <v>0</v>
      </c>
      <c r="F78" s="4" cm="1">
        <f t="array" ref="F78">_xlfn.IFS('ProductSprint Backlog'!$F78="", "", AND('ProductSprint Backlog'!$J78&gt;F$2,'ProductSprint Backlog'!$I78&lt;=F$2), 'ProductSprint Backlog'!$F78 / MAX(1, 'ProductSprint Backlog'!$J78-'ProductSprint Backlog'!$I78), AND('ProductSprint Backlog'!$J78=F$2,'ProductSprint Backlog'!$I78=F$2), 'ProductSprint Backlog'!$F78, TRUE, 0)</f>
        <v>0</v>
      </c>
      <c r="G78" s="4" cm="1">
        <f t="array" ref="G78">_xlfn.IFS('ProductSprint Backlog'!$F78="", "", AND('ProductSprint Backlog'!$J78&gt;G$2,'ProductSprint Backlog'!$I78&lt;=G$2), 'ProductSprint Backlog'!$F78 / MAX(1, 'ProductSprint Backlog'!$J78-'ProductSprint Backlog'!$I78), AND('ProductSprint Backlog'!$J78=G$2,'ProductSprint Backlog'!$I78=G$2), 'ProductSprint Backlog'!$F78, TRUE, 0)</f>
        <v>0</v>
      </c>
      <c r="H78" s="4" cm="1">
        <f t="array" ref="H78">_xlfn.IFS('ProductSprint Backlog'!$F78="", "", AND('ProductSprint Backlog'!$J78&gt;H$2,'ProductSprint Backlog'!$I78&lt;=H$2), 'ProductSprint Backlog'!$F78 / MAX(1, 'ProductSprint Backlog'!$J78-'ProductSprint Backlog'!$I78), AND('ProductSprint Backlog'!$J78=H$2,'ProductSprint Backlog'!$I78=H$2), 'ProductSprint Backlog'!$F78, TRUE, 0)</f>
        <v>0</v>
      </c>
      <c r="I78" s="4" cm="1">
        <f t="array" ref="I78">_xlfn.IFS('ProductSprint Backlog'!$F78="", "", AND('ProductSprint Backlog'!$J78&gt;I$2,'ProductSprint Backlog'!$I78&lt;=I$2), 'ProductSprint Backlog'!$F78 / MAX(1, 'ProductSprint Backlog'!$J78-'ProductSprint Backlog'!$I78), AND('ProductSprint Backlog'!$J78=I$2,'ProductSprint Backlog'!$I78=I$2), 'ProductSprint Backlog'!$F78, TRUE, 0)</f>
        <v>0</v>
      </c>
      <c r="J78" s="4" cm="1">
        <f t="array" ref="J78">_xlfn.IFS('ProductSprint Backlog'!$F78="", "", AND('ProductSprint Backlog'!$J78&gt;J$2,'ProductSprint Backlog'!$I78&lt;=J$2), 'ProductSprint Backlog'!$F78 / MAX(1, 'ProductSprint Backlog'!$J78-'ProductSprint Backlog'!$I78), AND('ProductSprint Backlog'!$J78=J$2,'ProductSprint Backlog'!$I78=J$2), 'ProductSprint Backlog'!$F78, TRUE, 0)</f>
        <v>0</v>
      </c>
    </row>
    <row r="79" spans="2:10" x14ac:dyDescent="0.2">
      <c r="B79" s="4" t="str" cm="1">
        <f t="array" ref="B79">_xlfn.IFS('ProductSprint Backlog'!$F79="", "", AND('ProductSprint Backlog'!$J79&gt;B$2,'ProductSprint Backlog'!$I79&lt;=B$2), 'ProductSprint Backlog'!$F79 / MAX(1, 'ProductSprint Backlog'!$J79-'ProductSprint Backlog'!$I79), AND('ProductSprint Backlog'!$J79=B$2,'ProductSprint Backlog'!$I79=B$2), 'ProductSprint Backlog'!$F79, TRUE, 0)</f>
        <v/>
      </c>
      <c r="C79" s="4" t="str" cm="1">
        <f t="array" ref="C79">_xlfn.IFS('ProductSprint Backlog'!$F79="", "", AND('ProductSprint Backlog'!$J79&gt;C$2,'ProductSprint Backlog'!$I79&lt;=C$2), 'ProductSprint Backlog'!$F79 / MAX(1, 'ProductSprint Backlog'!$J79-'ProductSprint Backlog'!$I79), AND('ProductSprint Backlog'!$J79=C$2,'ProductSprint Backlog'!$I79=C$2), 'ProductSprint Backlog'!$F79, TRUE, 0)</f>
        <v/>
      </c>
      <c r="D79" s="4" t="str" cm="1">
        <f t="array" ref="D79">_xlfn.IFS('ProductSprint Backlog'!$F79="", "", AND('ProductSprint Backlog'!$J79&gt;D$2,'ProductSprint Backlog'!$I79&lt;=D$2), 'ProductSprint Backlog'!$F79 / MAX(1, 'ProductSprint Backlog'!$J79-'ProductSprint Backlog'!$I79), AND('ProductSprint Backlog'!$J79=D$2,'ProductSprint Backlog'!$I79=D$2), 'ProductSprint Backlog'!$F79, TRUE, 0)</f>
        <v/>
      </c>
      <c r="E79" s="4" t="str" cm="1">
        <f t="array" ref="E79">_xlfn.IFS('ProductSprint Backlog'!$F79="", "", AND('ProductSprint Backlog'!$J79&gt;E$2,'ProductSprint Backlog'!$I79&lt;=E$2), 'ProductSprint Backlog'!$F79 / MAX(1, 'ProductSprint Backlog'!$J79-'ProductSprint Backlog'!$I79), AND('ProductSprint Backlog'!$J79=E$2,'ProductSprint Backlog'!$I79=E$2), 'ProductSprint Backlog'!$F79, TRUE, 0)</f>
        <v/>
      </c>
      <c r="F79" s="4" t="str" cm="1">
        <f t="array" ref="F79">_xlfn.IFS('ProductSprint Backlog'!$F79="", "", AND('ProductSprint Backlog'!$J79&gt;F$2,'ProductSprint Backlog'!$I79&lt;=F$2), 'ProductSprint Backlog'!$F79 / MAX(1, 'ProductSprint Backlog'!$J79-'ProductSprint Backlog'!$I79), AND('ProductSprint Backlog'!$J79=F$2,'ProductSprint Backlog'!$I79=F$2), 'ProductSprint Backlog'!$F79, TRUE, 0)</f>
        <v/>
      </c>
      <c r="G79" s="4" t="str" cm="1">
        <f t="array" ref="G79">_xlfn.IFS('ProductSprint Backlog'!$F79="", "", AND('ProductSprint Backlog'!$J79&gt;G$2,'ProductSprint Backlog'!$I79&lt;=G$2), 'ProductSprint Backlog'!$F79 / MAX(1, 'ProductSprint Backlog'!$J79-'ProductSprint Backlog'!$I79), AND('ProductSprint Backlog'!$J79=G$2,'ProductSprint Backlog'!$I79=G$2), 'ProductSprint Backlog'!$F79, TRUE, 0)</f>
        <v/>
      </c>
      <c r="H79" s="4" t="str" cm="1">
        <f t="array" ref="H79">_xlfn.IFS('ProductSprint Backlog'!$F79="", "", AND('ProductSprint Backlog'!$J79&gt;H$2,'ProductSprint Backlog'!$I79&lt;=H$2), 'ProductSprint Backlog'!$F79 / MAX(1, 'ProductSprint Backlog'!$J79-'ProductSprint Backlog'!$I79), AND('ProductSprint Backlog'!$J79=H$2,'ProductSprint Backlog'!$I79=H$2), 'ProductSprint Backlog'!$F79, TRUE, 0)</f>
        <v/>
      </c>
      <c r="I79" s="4" t="str" cm="1">
        <f t="array" ref="I79">_xlfn.IFS('ProductSprint Backlog'!$F79="", "", AND('ProductSprint Backlog'!$J79&gt;I$2,'ProductSprint Backlog'!$I79&lt;=I$2), 'ProductSprint Backlog'!$F79 / MAX(1, 'ProductSprint Backlog'!$J79-'ProductSprint Backlog'!$I79), AND('ProductSprint Backlog'!$J79=I$2,'ProductSprint Backlog'!$I79=I$2), 'ProductSprint Backlog'!$F79, TRUE, 0)</f>
        <v/>
      </c>
      <c r="J79" s="4" t="str" cm="1">
        <f t="array" ref="J79">_xlfn.IFS('ProductSprint Backlog'!$F79="", "", AND('ProductSprint Backlog'!$J79&gt;J$2,'ProductSprint Backlog'!$I79&lt;=J$2), 'ProductSprint Backlog'!$F79 / MAX(1, 'ProductSprint Backlog'!$J79-'ProductSprint Backlog'!$I79), AND('ProductSprint Backlog'!$J79=J$2,'ProductSprint Backlog'!$I79=J$2), 'ProductSprint Backlog'!$F79, TRUE, 0)</f>
        <v/>
      </c>
    </row>
    <row r="80" spans="2:10" x14ac:dyDescent="0.2">
      <c r="B80" s="4" cm="1">
        <f t="array" ref="B80">_xlfn.IFS('ProductSprint Backlog'!$F80="", "", AND('ProductSprint Backlog'!$J80&gt;B$2,'ProductSprint Backlog'!$I80&lt;=B$2), 'ProductSprint Backlog'!$F80 / MAX(1, 'ProductSprint Backlog'!$J80-'ProductSprint Backlog'!$I80), AND('ProductSprint Backlog'!$J80=B$2,'ProductSprint Backlog'!$I80=B$2), 'ProductSprint Backlog'!$F80, TRUE, 0)</f>
        <v>0</v>
      </c>
      <c r="C80" s="4" cm="1">
        <f t="array" ref="C80">_xlfn.IFS('ProductSprint Backlog'!$F80="", "", AND('ProductSprint Backlog'!$J80&gt;C$2,'ProductSprint Backlog'!$I80&lt;=C$2), 'ProductSprint Backlog'!$F80 / MAX(1, 'ProductSprint Backlog'!$J80-'ProductSprint Backlog'!$I80), AND('ProductSprint Backlog'!$J80=C$2,'ProductSprint Backlog'!$I80=C$2), 'ProductSprint Backlog'!$F80, TRUE, 0)</f>
        <v>0</v>
      </c>
      <c r="D80" s="4" cm="1">
        <f t="array" ref="D80">_xlfn.IFS('ProductSprint Backlog'!$F80="", "", AND('ProductSprint Backlog'!$J80&gt;D$2,'ProductSprint Backlog'!$I80&lt;=D$2), 'ProductSprint Backlog'!$F80 / MAX(1, 'ProductSprint Backlog'!$J80-'ProductSprint Backlog'!$I80), AND('ProductSprint Backlog'!$J80=D$2,'ProductSprint Backlog'!$I80=D$2), 'ProductSprint Backlog'!$F80, TRUE, 0)</f>
        <v>0</v>
      </c>
      <c r="E80" s="4" cm="1">
        <f t="array" ref="E80">_xlfn.IFS('ProductSprint Backlog'!$F80="", "", AND('ProductSprint Backlog'!$J80&gt;E$2,'ProductSprint Backlog'!$I80&lt;=E$2), 'ProductSprint Backlog'!$F80 / MAX(1, 'ProductSprint Backlog'!$J80-'ProductSprint Backlog'!$I80), AND('ProductSprint Backlog'!$J80=E$2,'ProductSprint Backlog'!$I80=E$2), 'ProductSprint Backlog'!$F80, TRUE, 0)</f>
        <v>0</v>
      </c>
      <c r="F80" s="4" cm="1">
        <f t="array" ref="F80">_xlfn.IFS('ProductSprint Backlog'!$F80="", "", AND('ProductSprint Backlog'!$J80&gt;F$2,'ProductSprint Backlog'!$I80&lt;=F$2), 'ProductSprint Backlog'!$F80 / MAX(1, 'ProductSprint Backlog'!$J80-'ProductSprint Backlog'!$I80), AND('ProductSprint Backlog'!$J80=F$2,'ProductSprint Backlog'!$I80=F$2), 'ProductSprint Backlog'!$F80, TRUE, 0)</f>
        <v>0</v>
      </c>
      <c r="G80" s="4" cm="1">
        <f t="array" ref="G80">_xlfn.IFS('ProductSprint Backlog'!$F80="", "", AND('ProductSprint Backlog'!$J80&gt;G$2,'ProductSprint Backlog'!$I80&lt;=G$2), 'ProductSprint Backlog'!$F80 / MAX(1, 'ProductSprint Backlog'!$J80-'ProductSprint Backlog'!$I80), AND('ProductSprint Backlog'!$J80=G$2,'ProductSprint Backlog'!$I80=G$2), 'ProductSprint Backlog'!$F80, TRUE, 0)</f>
        <v>0</v>
      </c>
      <c r="H80" s="4" cm="1">
        <f t="array" ref="H80">_xlfn.IFS('ProductSprint Backlog'!$F80="", "", AND('ProductSprint Backlog'!$J80&gt;H$2,'ProductSprint Backlog'!$I80&lt;=H$2), 'ProductSprint Backlog'!$F80 / MAX(1, 'ProductSprint Backlog'!$J80-'ProductSprint Backlog'!$I80), AND('ProductSprint Backlog'!$J80=H$2,'ProductSprint Backlog'!$I80=H$2), 'ProductSprint Backlog'!$F80, TRUE, 0)</f>
        <v>0</v>
      </c>
      <c r="I80" s="4" cm="1">
        <f t="array" ref="I80">_xlfn.IFS('ProductSprint Backlog'!$F80="", "", AND('ProductSprint Backlog'!$J80&gt;I$2,'ProductSprint Backlog'!$I80&lt;=I$2), 'ProductSprint Backlog'!$F80 / MAX(1, 'ProductSprint Backlog'!$J80-'ProductSprint Backlog'!$I80), AND('ProductSprint Backlog'!$J80=I$2,'ProductSprint Backlog'!$I80=I$2), 'ProductSprint Backlog'!$F80, TRUE, 0)</f>
        <v>0</v>
      </c>
      <c r="J80" s="4" cm="1">
        <f t="array" ref="J80">_xlfn.IFS('ProductSprint Backlog'!$F80="", "", AND('ProductSprint Backlog'!$J80&gt;J$2,'ProductSprint Backlog'!$I80&lt;=J$2), 'ProductSprint Backlog'!$F80 / MAX(1, 'ProductSprint Backlog'!$J80-'ProductSprint Backlog'!$I80), AND('ProductSprint Backlog'!$J80=J$2,'ProductSprint Backlog'!$I80=J$2), 'ProductSprint Backlog'!$F80, TRUE, 0)</f>
        <v>0</v>
      </c>
    </row>
    <row r="81" spans="2:10" x14ac:dyDescent="0.2">
      <c r="B81" s="4" cm="1">
        <f t="array" ref="B81">_xlfn.IFS('ProductSprint Backlog'!$F81="", "", AND('ProductSprint Backlog'!$J81&gt;B$2,'ProductSprint Backlog'!$I81&lt;=B$2), 'ProductSprint Backlog'!$F81 / MAX(1, 'ProductSprint Backlog'!$J81-'ProductSprint Backlog'!$I81), AND('ProductSprint Backlog'!$J81=B$2,'ProductSprint Backlog'!$I81=B$2), 'ProductSprint Backlog'!$F81, TRUE, 0)</f>
        <v>0</v>
      </c>
      <c r="C81" s="4" cm="1">
        <f t="array" ref="C81">_xlfn.IFS('ProductSprint Backlog'!$F81="", "", AND('ProductSprint Backlog'!$J81&gt;C$2,'ProductSprint Backlog'!$I81&lt;=C$2), 'ProductSprint Backlog'!$F81 / MAX(1, 'ProductSprint Backlog'!$J81-'ProductSprint Backlog'!$I81), AND('ProductSprint Backlog'!$J81=C$2,'ProductSprint Backlog'!$I81=C$2), 'ProductSprint Backlog'!$F81, TRUE, 0)</f>
        <v>0</v>
      </c>
      <c r="D81" s="4" cm="1">
        <f t="array" ref="D81">_xlfn.IFS('ProductSprint Backlog'!$F81="", "", AND('ProductSprint Backlog'!$J81&gt;D$2,'ProductSprint Backlog'!$I81&lt;=D$2), 'ProductSprint Backlog'!$F81 / MAX(1, 'ProductSprint Backlog'!$J81-'ProductSprint Backlog'!$I81), AND('ProductSprint Backlog'!$J81=D$2,'ProductSprint Backlog'!$I81=D$2), 'ProductSprint Backlog'!$F81, TRUE, 0)</f>
        <v>0</v>
      </c>
      <c r="E81" s="4" cm="1">
        <f t="array" ref="E81">_xlfn.IFS('ProductSprint Backlog'!$F81="", "", AND('ProductSprint Backlog'!$J81&gt;E$2,'ProductSprint Backlog'!$I81&lt;=E$2), 'ProductSprint Backlog'!$F81 / MAX(1, 'ProductSprint Backlog'!$J81-'ProductSprint Backlog'!$I81), AND('ProductSprint Backlog'!$J81=E$2,'ProductSprint Backlog'!$I81=E$2), 'ProductSprint Backlog'!$F81, TRUE, 0)</f>
        <v>0</v>
      </c>
      <c r="F81" s="4" cm="1">
        <f t="array" ref="F81">_xlfn.IFS('ProductSprint Backlog'!$F81="", "", AND('ProductSprint Backlog'!$J81&gt;F$2,'ProductSprint Backlog'!$I81&lt;=F$2), 'ProductSprint Backlog'!$F81 / MAX(1, 'ProductSprint Backlog'!$J81-'ProductSprint Backlog'!$I81), AND('ProductSprint Backlog'!$J81=F$2,'ProductSprint Backlog'!$I81=F$2), 'ProductSprint Backlog'!$F81, TRUE, 0)</f>
        <v>0</v>
      </c>
      <c r="G81" s="4" cm="1">
        <f t="array" ref="G81">_xlfn.IFS('ProductSprint Backlog'!$F81="", "", AND('ProductSprint Backlog'!$J81&gt;G$2,'ProductSprint Backlog'!$I81&lt;=G$2), 'ProductSprint Backlog'!$F81 / MAX(1, 'ProductSprint Backlog'!$J81-'ProductSprint Backlog'!$I81), AND('ProductSprint Backlog'!$J81=G$2,'ProductSprint Backlog'!$I81=G$2), 'ProductSprint Backlog'!$F81, TRUE, 0)</f>
        <v>0</v>
      </c>
      <c r="H81" s="4" cm="1">
        <f t="array" ref="H81">_xlfn.IFS('ProductSprint Backlog'!$F81="", "", AND('ProductSprint Backlog'!$J81&gt;H$2,'ProductSprint Backlog'!$I81&lt;=H$2), 'ProductSprint Backlog'!$F81 / MAX(1, 'ProductSprint Backlog'!$J81-'ProductSprint Backlog'!$I81), AND('ProductSprint Backlog'!$J81=H$2,'ProductSprint Backlog'!$I81=H$2), 'ProductSprint Backlog'!$F81, TRUE, 0)</f>
        <v>0</v>
      </c>
      <c r="I81" s="4" cm="1">
        <f t="array" ref="I81">_xlfn.IFS('ProductSprint Backlog'!$F81="", "", AND('ProductSprint Backlog'!$J81&gt;I$2,'ProductSprint Backlog'!$I81&lt;=I$2), 'ProductSprint Backlog'!$F81 / MAX(1, 'ProductSprint Backlog'!$J81-'ProductSprint Backlog'!$I81), AND('ProductSprint Backlog'!$J81=I$2,'ProductSprint Backlog'!$I81=I$2), 'ProductSprint Backlog'!$F81, TRUE, 0)</f>
        <v>0</v>
      </c>
      <c r="J81" s="4" cm="1">
        <f t="array" ref="J81">_xlfn.IFS('ProductSprint Backlog'!$F81="", "", AND('ProductSprint Backlog'!$J81&gt;J$2,'ProductSprint Backlog'!$I81&lt;=J$2), 'ProductSprint Backlog'!$F81 / MAX(1, 'ProductSprint Backlog'!$J81-'ProductSprint Backlog'!$I81), AND('ProductSprint Backlog'!$J81=J$2,'ProductSprint Backlog'!$I81=J$2), 'ProductSprint Backlog'!$F81, TRUE, 0)</f>
        <v>0</v>
      </c>
    </row>
    <row r="82" spans="2:10" x14ac:dyDescent="0.2">
      <c r="B82" s="4" cm="1">
        <f t="array" ref="B82">_xlfn.IFS('ProductSprint Backlog'!$F82="", "", AND('ProductSprint Backlog'!$J82&gt;B$2,'ProductSprint Backlog'!$I82&lt;=B$2), 'ProductSprint Backlog'!$F82 / MAX(1, 'ProductSprint Backlog'!$J82-'ProductSprint Backlog'!$I82), AND('ProductSprint Backlog'!$J82=B$2,'ProductSprint Backlog'!$I82=B$2), 'ProductSprint Backlog'!$F82, TRUE, 0)</f>
        <v>0</v>
      </c>
      <c r="C82" s="4" cm="1">
        <f t="array" ref="C82">_xlfn.IFS('ProductSprint Backlog'!$F82="", "", AND('ProductSprint Backlog'!$J82&gt;C$2,'ProductSprint Backlog'!$I82&lt;=C$2), 'ProductSprint Backlog'!$F82 / MAX(1, 'ProductSprint Backlog'!$J82-'ProductSprint Backlog'!$I82), AND('ProductSprint Backlog'!$J82=C$2,'ProductSprint Backlog'!$I82=C$2), 'ProductSprint Backlog'!$F82, TRUE, 0)</f>
        <v>0</v>
      </c>
      <c r="D82" s="4" cm="1">
        <f t="array" ref="D82">_xlfn.IFS('ProductSprint Backlog'!$F82="", "", AND('ProductSprint Backlog'!$J82&gt;D$2,'ProductSprint Backlog'!$I82&lt;=D$2), 'ProductSprint Backlog'!$F82 / MAX(1, 'ProductSprint Backlog'!$J82-'ProductSprint Backlog'!$I82), AND('ProductSprint Backlog'!$J82=D$2,'ProductSprint Backlog'!$I82=D$2), 'ProductSprint Backlog'!$F82, TRUE, 0)</f>
        <v>0</v>
      </c>
      <c r="E82" s="4" cm="1">
        <f t="array" ref="E82">_xlfn.IFS('ProductSprint Backlog'!$F82="", "", AND('ProductSprint Backlog'!$J82&gt;E$2,'ProductSprint Backlog'!$I82&lt;=E$2), 'ProductSprint Backlog'!$F82 / MAX(1, 'ProductSprint Backlog'!$J82-'ProductSprint Backlog'!$I82), AND('ProductSprint Backlog'!$J82=E$2,'ProductSprint Backlog'!$I82=E$2), 'ProductSprint Backlog'!$F82, TRUE, 0)</f>
        <v>0</v>
      </c>
      <c r="F82" s="4" cm="1">
        <f t="array" ref="F82">_xlfn.IFS('ProductSprint Backlog'!$F82="", "", AND('ProductSprint Backlog'!$J82&gt;F$2,'ProductSprint Backlog'!$I82&lt;=F$2), 'ProductSprint Backlog'!$F82 / MAX(1, 'ProductSprint Backlog'!$J82-'ProductSprint Backlog'!$I82), AND('ProductSprint Backlog'!$J82=F$2,'ProductSprint Backlog'!$I82=F$2), 'ProductSprint Backlog'!$F82, TRUE, 0)</f>
        <v>0</v>
      </c>
      <c r="G82" s="4" cm="1">
        <f t="array" ref="G82">_xlfn.IFS('ProductSprint Backlog'!$F82="", "", AND('ProductSprint Backlog'!$J82&gt;G$2,'ProductSprint Backlog'!$I82&lt;=G$2), 'ProductSprint Backlog'!$F82 / MAX(1, 'ProductSprint Backlog'!$J82-'ProductSprint Backlog'!$I82), AND('ProductSprint Backlog'!$J82=G$2,'ProductSprint Backlog'!$I82=G$2), 'ProductSprint Backlog'!$F82, TRUE, 0)</f>
        <v>0</v>
      </c>
      <c r="H82" s="4" cm="1">
        <f t="array" ref="H82">_xlfn.IFS('ProductSprint Backlog'!$F82="", "", AND('ProductSprint Backlog'!$J82&gt;H$2,'ProductSprint Backlog'!$I82&lt;=H$2), 'ProductSprint Backlog'!$F82 / MAX(1, 'ProductSprint Backlog'!$J82-'ProductSprint Backlog'!$I82), AND('ProductSprint Backlog'!$J82=H$2,'ProductSprint Backlog'!$I82=H$2), 'ProductSprint Backlog'!$F82, TRUE, 0)</f>
        <v>0</v>
      </c>
      <c r="I82" s="4" cm="1">
        <f t="array" ref="I82">_xlfn.IFS('ProductSprint Backlog'!$F82="", "", AND('ProductSprint Backlog'!$J82&gt;I$2,'ProductSprint Backlog'!$I82&lt;=I$2), 'ProductSprint Backlog'!$F82 / MAX(1, 'ProductSprint Backlog'!$J82-'ProductSprint Backlog'!$I82), AND('ProductSprint Backlog'!$J82=I$2,'ProductSprint Backlog'!$I82=I$2), 'ProductSprint Backlog'!$F82, TRUE, 0)</f>
        <v>0</v>
      </c>
      <c r="J82" s="4" cm="1">
        <f t="array" ref="J82">_xlfn.IFS('ProductSprint Backlog'!$F82="", "", AND('ProductSprint Backlog'!$J82&gt;J$2,'ProductSprint Backlog'!$I82&lt;=J$2), 'ProductSprint Backlog'!$F82 / MAX(1, 'ProductSprint Backlog'!$J82-'ProductSprint Backlog'!$I82), AND('ProductSprint Backlog'!$J82=J$2,'ProductSprint Backlog'!$I82=J$2), 'ProductSprint Backlog'!$F82, TRUE, 0)</f>
        <v>0</v>
      </c>
    </row>
    <row r="83" spans="2:10" x14ac:dyDescent="0.2">
      <c r="B83" s="4" cm="1">
        <f t="array" ref="B83">_xlfn.IFS('ProductSprint Backlog'!$F83="", "", AND('ProductSprint Backlog'!$J83&gt;B$2,'ProductSprint Backlog'!$I83&lt;=B$2), 'ProductSprint Backlog'!$F83 / MAX(1, 'ProductSprint Backlog'!$J83-'ProductSprint Backlog'!$I83), AND('ProductSprint Backlog'!$J83=B$2,'ProductSprint Backlog'!$I83=B$2), 'ProductSprint Backlog'!$F83, TRUE, 0)</f>
        <v>0</v>
      </c>
      <c r="C83" s="4" cm="1">
        <f t="array" ref="C83">_xlfn.IFS('ProductSprint Backlog'!$F83="", "", AND('ProductSprint Backlog'!$J83&gt;C$2,'ProductSprint Backlog'!$I83&lt;=C$2), 'ProductSprint Backlog'!$F83 / MAX(1, 'ProductSprint Backlog'!$J83-'ProductSprint Backlog'!$I83), AND('ProductSprint Backlog'!$J83=C$2,'ProductSprint Backlog'!$I83=C$2), 'ProductSprint Backlog'!$F83, TRUE, 0)</f>
        <v>0</v>
      </c>
      <c r="D83" s="4" cm="1">
        <f t="array" ref="D83">_xlfn.IFS('ProductSprint Backlog'!$F83="", "", AND('ProductSprint Backlog'!$J83&gt;D$2,'ProductSprint Backlog'!$I83&lt;=D$2), 'ProductSprint Backlog'!$F83 / MAX(1, 'ProductSprint Backlog'!$J83-'ProductSprint Backlog'!$I83), AND('ProductSprint Backlog'!$J83=D$2,'ProductSprint Backlog'!$I83=D$2), 'ProductSprint Backlog'!$F83, TRUE, 0)</f>
        <v>0</v>
      </c>
      <c r="E83" s="4" cm="1">
        <f t="array" ref="E83">_xlfn.IFS('ProductSprint Backlog'!$F83="", "", AND('ProductSprint Backlog'!$J83&gt;E$2,'ProductSprint Backlog'!$I83&lt;=E$2), 'ProductSprint Backlog'!$F83 / MAX(1, 'ProductSprint Backlog'!$J83-'ProductSprint Backlog'!$I83), AND('ProductSprint Backlog'!$J83=E$2,'ProductSprint Backlog'!$I83=E$2), 'ProductSprint Backlog'!$F83, TRUE, 0)</f>
        <v>0</v>
      </c>
      <c r="F83" s="4" cm="1">
        <f t="array" ref="F83">_xlfn.IFS('ProductSprint Backlog'!$F83="", "", AND('ProductSprint Backlog'!$J83&gt;F$2,'ProductSprint Backlog'!$I83&lt;=F$2), 'ProductSprint Backlog'!$F83 / MAX(1, 'ProductSprint Backlog'!$J83-'ProductSprint Backlog'!$I83), AND('ProductSprint Backlog'!$J83=F$2,'ProductSprint Backlog'!$I83=F$2), 'ProductSprint Backlog'!$F83, TRUE, 0)</f>
        <v>0</v>
      </c>
      <c r="G83" s="4" cm="1">
        <f t="array" ref="G83">_xlfn.IFS('ProductSprint Backlog'!$F83="", "", AND('ProductSprint Backlog'!$J83&gt;G$2,'ProductSprint Backlog'!$I83&lt;=G$2), 'ProductSprint Backlog'!$F83 / MAX(1, 'ProductSprint Backlog'!$J83-'ProductSprint Backlog'!$I83), AND('ProductSprint Backlog'!$J83=G$2,'ProductSprint Backlog'!$I83=G$2), 'ProductSprint Backlog'!$F83, TRUE, 0)</f>
        <v>0</v>
      </c>
      <c r="H83" s="4" cm="1">
        <f t="array" ref="H83">_xlfn.IFS('ProductSprint Backlog'!$F83="", "", AND('ProductSprint Backlog'!$J83&gt;H$2,'ProductSprint Backlog'!$I83&lt;=H$2), 'ProductSprint Backlog'!$F83 / MAX(1, 'ProductSprint Backlog'!$J83-'ProductSprint Backlog'!$I83), AND('ProductSprint Backlog'!$J83=H$2,'ProductSprint Backlog'!$I83=H$2), 'ProductSprint Backlog'!$F83, TRUE, 0)</f>
        <v>0</v>
      </c>
      <c r="I83" s="4" cm="1">
        <f t="array" ref="I83">_xlfn.IFS('ProductSprint Backlog'!$F83="", "", AND('ProductSprint Backlog'!$J83&gt;I$2,'ProductSprint Backlog'!$I83&lt;=I$2), 'ProductSprint Backlog'!$F83 / MAX(1, 'ProductSprint Backlog'!$J83-'ProductSprint Backlog'!$I83), AND('ProductSprint Backlog'!$J83=I$2,'ProductSprint Backlog'!$I83=I$2), 'ProductSprint Backlog'!$F83, TRUE, 0)</f>
        <v>0</v>
      </c>
      <c r="J83" s="4" cm="1">
        <f t="array" ref="J83">_xlfn.IFS('ProductSprint Backlog'!$F83="", "", AND('ProductSprint Backlog'!$J83&gt;J$2,'ProductSprint Backlog'!$I83&lt;=J$2), 'ProductSprint Backlog'!$F83 / MAX(1, 'ProductSprint Backlog'!$J83-'ProductSprint Backlog'!$I83), AND('ProductSprint Backlog'!$J83=J$2,'ProductSprint Backlog'!$I83=J$2), 'ProductSprint Backlog'!$F83, TRUE, 0)</f>
        <v>0</v>
      </c>
    </row>
    <row r="84" spans="2:10" x14ac:dyDescent="0.2">
      <c r="B84" s="4" cm="1">
        <f t="array" ref="B84">_xlfn.IFS('ProductSprint Backlog'!$F84="", "", AND('ProductSprint Backlog'!$J84&gt;B$2,'ProductSprint Backlog'!$I84&lt;=B$2), 'ProductSprint Backlog'!$F84 / MAX(1, 'ProductSprint Backlog'!$J84-'ProductSprint Backlog'!$I84), AND('ProductSprint Backlog'!$J84=B$2,'ProductSprint Backlog'!$I84=B$2), 'ProductSprint Backlog'!$F84, TRUE, 0)</f>
        <v>0</v>
      </c>
      <c r="C84" s="4" cm="1">
        <f t="array" ref="C84">_xlfn.IFS('ProductSprint Backlog'!$F84="", "", AND('ProductSprint Backlog'!$J84&gt;C$2,'ProductSprint Backlog'!$I84&lt;=C$2), 'ProductSprint Backlog'!$F84 / MAX(1, 'ProductSprint Backlog'!$J84-'ProductSprint Backlog'!$I84), AND('ProductSprint Backlog'!$J84=C$2,'ProductSprint Backlog'!$I84=C$2), 'ProductSprint Backlog'!$F84, TRUE, 0)</f>
        <v>0</v>
      </c>
      <c r="D84" s="4" cm="1">
        <f t="array" ref="D84">_xlfn.IFS('ProductSprint Backlog'!$F84="", "", AND('ProductSprint Backlog'!$J84&gt;D$2,'ProductSprint Backlog'!$I84&lt;=D$2), 'ProductSprint Backlog'!$F84 / MAX(1, 'ProductSprint Backlog'!$J84-'ProductSprint Backlog'!$I84), AND('ProductSprint Backlog'!$J84=D$2,'ProductSprint Backlog'!$I84=D$2), 'ProductSprint Backlog'!$F84, TRUE, 0)</f>
        <v>0</v>
      </c>
      <c r="E84" s="4" cm="1">
        <f t="array" ref="E84">_xlfn.IFS('ProductSprint Backlog'!$F84="", "", AND('ProductSprint Backlog'!$J84&gt;E$2,'ProductSprint Backlog'!$I84&lt;=E$2), 'ProductSprint Backlog'!$F84 / MAX(1, 'ProductSprint Backlog'!$J84-'ProductSprint Backlog'!$I84), AND('ProductSprint Backlog'!$J84=E$2,'ProductSprint Backlog'!$I84=E$2), 'ProductSprint Backlog'!$F84, TRUE, 0)</f>
        <v>0</v>
      </c>
      <c r="F84" s="4" cm="1">
        <f t="array" ref="F84">_xlfn.IFS('ProductSprint Backlog'!$F84="", "", AND('ProductSprint Backlog'!$J84&gt;F$2,'ProductSprint Backlog'!$I84&lt;=F$2), 'ProductSprint Backlog'!$F84 / MAX(1, 'ProductSprint Backlog'!$J84-'ProductSprint Backlog'!$I84), AND('ProductSprint Backlog'!$J84=F$2,'ProductSprint Backlog'!$I84=F$2), 'ProductSprint Backlog'!$F84, TRUE, 0)</f>
        <v>0</v>
      </c>
      <c r="G84" s="4" cm="1">
        <f t="array" ref="G84">_xlfn.IFS('ProductSprint Backlog'!$F84="", "", AND('ProductSprint Backlog'!$J84&gt;G$2,'ProductSprint Backlog'!$I84&lt;=G$2), 'ProductSprint Backlog'!$F84 / MAX(1, 'ProductSprint Backlog'!$J84-'ProductSprint Backlog'!$I84), AND('ProductSprint Backlog'!$J84=G$2,'ProductSprint Backlog'!$I84=G$2), 'ProductSprint Backlog'!$F84, TRUE, 0)</f>
        <v>0</v>
      </c>
      <c r="H84" s="4" cm="1">
        <f t="array" ref="H84">_xlfn.IFS('ProductSprint Backlog'!$F84="", "", AND('ProductSprint Backlog'!$J84&gt;H$2,'ProductSprint Backlog'!$I84&lt;=H$2), 'ProductSprint Backlog'!$F84 / MAX(1, 'ProductSprint Backlog'!$J84-'ProductSprint Backlog'!$I84), AND('ProductSprint Backlog'!$J84=H$2,'ProductSprint Backlog'!$I84=H$2), 'ProductSprint Backlog'!$F84, TRUE, 0)</f>
        <v>0</v>
      </c>
      <c r="I84" s="4" cm="1">
        <f t="array" ref="I84">_xlfn.IFS('ProductSprint Backlog'!$F84="", "", AND('ProductSprint Backlog'!$J84&gt;I$2,'ProductSprint Backlog'!$I84&lt;=I$2), 'ProductSprint Backlog'!$F84 / MAX(1, 'ProductSprint Backlog'!$J84-'ProductSprint Backlog'!$I84), AND('ProductSprint Backlog'!$J84=I$2,'ProductSprint Backlog'!$I84=I$2), 'ProductSprint Backlog'!$F84, TRUE, 0)</f>
        <v>0</v>
      </c>
      <c r="J84" s="4" cm="1">
        <f t="array" ref="J84">_xlfn.IFS('ProductSprint Backlog'!$F84="", "", AND('ProductSprint Backlog'!$J84&gt;J$2,'ProductSprint Backlog'!$I84&lt;=J$2), 'ProductSprint Backlog'!$F84 / MAX(1, 'ProductSprint Backlog'!$J84-'ProductSprint Backlog'!$I84), AND('ProductSprint Backlog'!$J84=J$2,'ProductSprint Backlog'!$I84=J$2), 'ProductSprint Backlog'!$F84, TRUE, 0)</f>
        <v>0</v>
      </c>
    </row>
    <row r="85" spans="2:10" x14ac:dyDescent="0.2">
      <c r="B85" s="4" t="str" cm="1">
        <f t="array" ref="B85">_xlfn.IFS('ProductSprint Backlog'!$F85="", "", AND('ProductSprint Backlog'!$J85&gt;B$2,'ProductSprint Backlog'!$I85&lt;=B$2), 'ProductSprint Backlog'!$F85 / MAX(1, 'ProductSprint Backlog'!$J85-'ProductSprint Backlog'!$I85), AND('ProductSprint Backlog'!$J85=B$2,'ProductSprint Backlog'!$I85=B$2), 'ProductSprint Backlog'!$F85, TRUE, 0)</f>
        <v/>
      </c>
      <c r="C85" s="4" t="str" cm="1">
        <f t="array" ref="C85">_xlfn.IFS('ProductSprint Backlog'!$F85="", "", AND('ProductSprint Backlog'!$J85&gt;C$2,'ProductSprint Backlog'!$I85&lt;=C$2), 'ProductSprint Backlog'!$F85 / MAX(1, 'ProductSprint Backlog'!$J85-'ProductSprint Backlog'!$I85), AND('ProductSprint Backlog'!$J85=C$2,'ProductSprint Backlog'!$I85=C$2), 'ProductSprint Backlog'!$F85, TRUE, 0)</f>
        <v/>
      </c>
      <c r="D85" s="4" t="str" cm="1">
        <f t="array" ref="D85">_xlfn.IFS('ProductSprint Backlog'!$F85="", "", AND('ProductSprint Backlog'!$J85&gt;D$2,'ProductSprint Backlog'!$I85&lt;=D$2), 'ProductSprint Backlog'!$F85 / MAX(1, 'ProductSprint Backlog'!$J85-'ProductSprint Backlog'!$I85), AND('ProductSprint Backlog'!$J85=D$2,'ProductSprint Backlog'!$I85=D$2), 'ProductSprint Backlog'!$F85, TRUE, 0)</f>
        <v/>
      </c>
      <c r="E85" s="4" t="str" cm="1">
        <f t="array" ref="E85">_xlfn.IFS('ProductSprint Backlog'!$F85="", "", AND('ProductSprint Backlog'!$J85&gt;E$2,'ProductSprint Backlog'!$I85&lt;=E$2), 'ProductSprint Backlog'!$F85 / MAX(1, 'ProductSprint Backlog'!$J85-'ProductSprint Backlog'!$I85), AND('ProductSprint Backlog'!$J85=E$2,'ProductSprint Backlog'!$I85=E$2), 'ProductSprint Backlog'!$F85, TRUE, 0)</f>
        <v/>
      </c>
      <c r="F85" s="4" t="str" cm="1">
        <f t="array" ref="F85">_xlfn.IFS('ProductSprint Backlog'!$F85="", "", AND('ProductSprint Backlog'!$J85&gt;F$2,'ProductSprint Backlog'!$I85&lt;=F$2), 'ProductSprint Backlog'!$F85 / MAX(1, 'ProductSprint Backlog'!$J85-'ProductSprint Backlog'!$I85), AND('ProductSprint Backlog'!$J85=F$2,'ProductSprint Backlog'!$I85=F$2), 'ProductSprint Backlog'!$F85, TRUE, 0)</f>
        <v/>
      </c>
      <c r="G85" s="4" t="str" cm="1">
        <f t="array" ref="G85">_xlfn.IFS('ProductSprint Backlog'!$F85="", "", AND('ProductSprint Backlog'!$J85&gt;G$2,'ProductSprint Backlog'!$I85&lt;=G$2), 'ProductSprint Backlog'!$F85 / MAX(1, 'ProductSprint Backlog'!$J85-'ProductSprint Backlog'!$I85), AND('ProductSprint Backlog'!$J85=G$2,'ProductSprint Backlog'!$I85=G$2), 'ProductSprint Backlog'!$F85, TRUE, 0)</f>
        <v/>
      </c>
      <c r="H85" s="4" t="str" cm="1">
        <f t="array" ref="H85">_xlfn.IFS('ProductSprint Backlog'!$F85="", "", AND('ProductSprint Backlog'!$J85&gt;H$2,'ProductSprint Backlog'!$I85&lt;=H$2), 'ProductSprint Backlog'!$F85 / MAX(1, 'ProductSprint Backlog'!$J85-'ProductSprint Backlog'!$I85), AND('ProductSprint Backlog'!$J85=H$2,'ProductSprint Backlog'!$I85=H$2), 'ProductSprint Backlog'!$F85, TRUE, 0)</f>
        <v/>
      </c>
      <c r="I85" s="4" t="str" cm="1">
        <f t="array" ref="I85">_xlfn.IFS('ProductSprint Backlog'!$F85="", "", AND('ProductSprint Backlog'!$J85&gt;I$2,'ProductSprint Backlog'!$I85&lt;=I$2), 'ProductSprint Backlog'!$F85 / MAX(1, 'ProductSprint Backlog'!$J85-'ProductSprint Backlog'!$I85), AND('ProductSprint Backlog'!$J85=I$2,'ProductSprint Backlog'!$I85=I$2), 'ProductSprint Backlog'!$F85, TRUE, 0)</f>
        <v/>
      </c>
      <c r="J85" s="4" t="str" cm="1">
        <f t="array" ref="J85">_xlfn.IFS('ProductSprint Backlog'!$F85="", "", AND('ProductSprint Backlog'!$J85&gt;J$2,'ProductSprint Backlog'!$I85&lt;=J$2), 'ProductSprint Backlog'!$F85 / MAX(1, 'ProductSprint Backlog'!$J85-'ProductSprint Backlog'!$I85), AND('ProductSprint Backlog'!$J85=J$2,'ProductSprint Backlog'!$I85=J$2), 'ProductSprint Backlog'!$F85, TRUE, 0)</f>
        <v/>
      </c>
    </row>
    <row r="86" spans="2:10" x14ac:dyDescent="0.2">
      <c r="B86" s="4" cm="1">
        <f t="array" ref="B86">_xlfn.IFS('ProductSprint Backlog'!$F86="", "", AND('ProductSprint Backlog'!$J86&gt;B$2,'ProductSprint Backlog'!$I86&lt;=B$2), 'ProductSprint Backlog'!$F86 / MAX(1, 'ProductSprint Backlog'!$J86-'ProductSprint Backlog'!$I86), AND('ProductSprint Backlog'!$J86=B$2,'ProductSprint Backlog'!$I86=B$2), 'ProductSprint Backlog'!$F86, TRUE, 0)</f>
        <v>0</v>
      </c>
      <c r="C86" s="4" cm="1">
        <f t="array" ref="C86">_xlfn.IFS('ProductSprint Backlog'!$F86="", "", AND('ProductSprint Backlog'!$J86&gt;C$2,'ProductSprint Backlog'!$I86&lt;=C$2), 'ProductSprint Backlog'!$F86 / MAX(1, 'ProductSprint Backlog'!$J86-'ProductSprint Backlog'!$I86), AND('ProductSprint Backlog'!$J86=C$2,'ProductSprint Backlog'!$I86=C$2), 'ProductSprint Backlog'!$F86, TRUE, 0)</f>
        <v>0</v>
      </c>
      <c r="D86" s="4" cm="1">
        <f t="array" ref="D86">_xlfn.IFS('ProductSprint Backlog'!$F86="", "", AND('ProductSprint Backlog'!$J86&gt;D$2,'ProductSprint Backlog'!$I86&lt;=D$2), 'ProductSprint Backlog'!$F86 / MAX(1, 'ProductSprint Backlog'!$J86-'ProductSprint Backlog'!$I86), AND('ProductSprint Backlog'!$J86=D$2,'ProductSprint Backlog'!$I86=D$2), 'ProductSprint Backlog'!$F86, TRUE, 0)</f>
        <v>0</v>
      </c>
      <c r="E86" s="4" cm="1">
        <f t="array" ref="E86">_xlfn.IFS('ProductSprint Backlog'!$F86="", "", AND('ProductSprint Backlog'!$J86&gt;E$2,'ProductSprint Backlog'!$I86&lt;=E$2), 'ProductSprint Backlog'!$F86 / MAX(1, 'ProductSprint Backlog'!$J86-'ProductSprint Backlog'!$I86), AND('ProductSprint Backlog'!$J86=E$2,'ProductSprint Backlog'!$I86=E$2), 'ProductSprint Backlog'!$F86, TRUE, 0)</f>
        <v>0</v>
      </c>
      <c r="F86" s="4" cm="1">
        <f t="array" ref="F86">_xlfn.IFS('ProductSprint Backlog'!$F86="", "", AND('ProductSprint Backlog'!$J86&gt;F$2,'ProductSprint Backlog'!$I86&lt;=F$2), 'ProductSprint Backlog'!$F86 / MAX(1, 'ProductSprint Backlog'!$J86-'ProductSprint Backlog'!$I86), AND('ProductSprint Backlog'!$J86=F$2,'ProductSprint Backlog'!$I86=F$2), 'ProductSprint Backlog'!$F86, TRUE, 0)</f>
        <v>0</v>
      </c>
      <c r="G86" s="4" cm="1">
        <f t="array" ref="G86">_xlfn.IFS('ProductSprint Backlog'!$F86="", "", AND('ProductSprint Backlog'!$J86&gt;G$2,'ProductSprint Backlog'!$I86&lt;=G$2), 'ProductSprint Backlog'!$F86 / MAX(1, 'ProductSprint Backlog'!$J86-'ProductSprint Backlog'!$I86), AND('ProductSprint Backlog'!$J86=G$2,'ProductSprint Backlog'!$I86=G$2), 'ProductSprint Backlog'!$F86, TRUE, 0)</f>
        <v>0</v>
      </c>
      <c r="H86" s="4" cm="1">
        <f t="array" ref="H86">_xlfn.IFS('ProductSprint Backlog'!$F86="", "", AND('ProductSprint Backlog'!$J86&gt;H$2,'ProductSprint Backlog'!$I86&lt;=H$2), 'ProductSprint Backlog'!$F86 / MAX(1, 'ProductSprint Backlog'!$J86-'ProductSprint Backlog'!$I86), AND('ProductSprint Backlog'!$J86=H$2,'ProductSprint Backlog'!$I86=H$2), 'ProductSprint Backlog'!$F86, TRUE, 0)</f>
        <v>0</v>
      </c>
      <c r="I86" s="4" cm="1">
        <f t="array" ref="I86">_xlfn.IFS('ProductSprint Backlog'!$F86="", "", AND('ProductSprint Backlog'!$J86&gt;I$2,'ProductSprint Backlog'!$I86&lt;=I$2), 'ProductSprint Backlog'!$F86 / MAX(1, 'ProductSprint Backlog'!$J86-'ProductSprint Backlog'!$I86), AND('ProductSprint Backlog'!$J86=I$2,'ProductSprint Backlog'!$I86=I$2), 'ProductSprint Backlog'!$F86, TRUE, 0)</f>
        <v>0</v>
      </c>
      <c r="J86" s="4" cm="1">
        <f t="array" ref="J86">_xlfn.IFS('ProductSprint Backlog'!$F86="", "", AND('ProductSprint Backlog'!$J86&gt;J$2,'ProductSprint Backlog'!$I86&lt;=J$2), 'ProductSprint Backlog'!$F86 / MAX(1, 'ProductSprint Backlog'!$J86-'ProductSprint Backlog'!$I86), AND('ProductSprint Backlog'!$J86=J$2,'ProductSprint Backlog'!$I86=J$2), 'ProductSprint Backlog'!$F86, TRUE, 0)</f>
        <v>0</v>
      </c>
    </row>
    <row r="87" spans="2:10" x14ac:dyDescent="0.2">
      <c r="B87" s="4" cm="1">
        <f t="array" ref="B87">_xlfn.IFS('ProductSprint Backlog'!$F87="", "", AND('ProductSprint Backlog'!$J87&gt;B$2,'ProductSprint Backlog'!$I87&lt;=B$2), 'ProductSprint Backlog'!$F87 / MAX(1, 'ProductSprint Backlog'!$J87-'ProductSprint Backlog'!$I87), AND('ProductSprint Backlog'!$J87=B$2,'ProductSprint Backlog'!$I87=B$2), 'ProductSprint Backlog'!$F87, TRUE, 0)</f>
        <v>0</v>
      </c>
      <c r="C87" s="4" cm="1">
        <f t="array" ref="C87">_xlfn.IFS('ProductSprint Backlog'!$F87="", "", AND('ProductSprint Backlog'!$J87&gt;C$2,'ProductSprint Backlog'!$I87&lt;=C$2), 'ProductSprint Backlog'!$F87 / MAX(1, 'ProductSprint Backlog'!$J87-'ProductSprint Backlog'!$I87), AND('ProductSprint Backlog'!$J87=C$2,'ProductSprint Backlog'!$I87=C$2), 'ProductSprint Backlog'!$F87, TRUE, 0)</f>
        <v>0</v>
      </c>
      <c r="D87" s="4" cm="1">
        <f t="array" ref="D87">_xlfn.IFS('ProductSprint Backlog'!$F87="", "", AND('ProductSprint Backlog'!$J87&gt;D$2,'ProductSprint Backlog'!$I87&lt;=D$2), 'ProductSprint Backlog'!$F87 / MAX(1, 'ProductSprint Backlog'!$J87-'ProductSprint Backlog'!$I87), AND('ProductSprint Backlog'!$J87=D$2,'ProductSprint Backlog'!$I87=D$2), 'ProductSprint Backlog'!$F87, TRUE, 0)</f>
        <v>0</v>
      </c>
      <c r="E87" s="4" cm="1">
        <f t="array" ref="E87">_xlfn.IFS('ProductSprint Backlog'!$F87="", "", AND('ProductSprint Backlog'!$J87&gt;E$2,'ProductSprint Backlog'!$I87&lt;=E$2), 'ProductSprint Backlog'!$F87 / MAX(1, 'ProductSprint Backlog'!$J87-'ProductSprint Backlog'!$I87), AND('ProductSprint Backlog'!$J87=E$2,'ProductSprint Backlog'!$I87=E$2), 'ProductSprint Backlog'!$F87, TRUE, 0)</f>
        <v>0</v>
      </c>
      <c r="F87" s="4" cm="1">
        <f t="array" ref="F87">_xlfn.IFS('ProductSprint Backlog'!$F87="", "", AND('ProductSprint Backlog'!$J87&gt;F$2,'ProductSprint Backlog'!$I87&lt;=F$2), 'ProductSprint Backlog'!$F87 / MAX(1, 'ProductSprint Backlog'!$J87-'ProductSprint Backlog'!$I87), AND('ProductSprint Backlog'!$J87=F$2,'ProductSprint Backlog'!$I87=F$2), 'ProductSprint Backlog'!$F87, TRUE, 0)</f>
        <v>0</v>
      </c>
      <c r="G87" s="4" cm="1">
        <f t="array" ref="G87">_xlfn.IFS('ProductSprint Backlog'!$F87="", "", AND('ProductSprint Backlog'!$J87&gt;G$2,'ProductSprint Backlog'!$I87&lt;=G$2), 'ProductSprint Backlog'!$F87 / MAX(1, 'ProductSprint Backlog'!$J87-'ProductSprint Backlog'!$I87), AND('ProductSprint Backlog'!$J87=G$2,'ProductSprint Backlog'!$I87=G$2), 'ProductSprint Backlog'!$F87, TRUE, 0)</f>
        <v>0</v>
      </c>
      <c r="H87" s="4" cm="1">
        <f t="array" ref="H87">_xlfn.IFS('ProductSprint Backlog'!$F87="", "", AND('ProductSprint Backlog'!$J87&gt;H$2,'ProductSprint Backlog'!$I87&lt;=H$2), 'ProductSprint Backlog'!$F87 / MAX(1, 'ProductSprint Backlog'!$J87-'ProductSprint Backlog'!$I87), AND('ProductSprint Backlog'!$J87=H$2,'ProductSprint Backlog'!$I87=H$2), 'ProductSprint Backlog'!$F87, TRUE, 0)</f>
        <v>0</v>
      </c>
      <c r="I87" s="4" cm="1">
        <f t="array" ref="I87">_xlfn.IFS('ProductSprint Backlog'!$F87="", "", AND('ProductSprint Backlog'!$J87&gt;I$2,'ProductSprint Backlog'!$I87&lt;=I$2), 'ProductSprint Backlog'!$F87 / MAX(1, 'ProductSprint Backlog'!$J87-'ProductSprint Backlog'!$I87), AND('ProductSprint Backlog'!$J87=I$2,'ProductSprint Backlog'!$I87=I$2), 'ProductSprint Backlog'!$F87, TRUE, 0)</f>
        <v>0</v>
      </c>
      <c r="J87" s="4" cm="1">
        <f t="array" ref="J87">_xlfn.IFS('ProductSprint Backlog'!$F87="", "", AND('ProductSprint Backlog'!$J87&gt;J$2,'ProductSprint Backlog'!$I87&lt;=J$2), 'ProductSprint Backlog'!$F87 / MAX(1, 'ProductSprint Backlog'!$J87-'ProductSprint Backlog'!$I87), AND('ProductSprint Backlog'!$J87=J$2,'ProductSprint Backlog'!$I87=J$2), 'ProductSprint Backlog'!$F87, TRUE, 0)</f>
        <v>0</v>
      </c>
    </row>
    <row r="88" spans="2:10" x14ac:dyDescent="0.2">
      <c r="B88" s="4" cm="1">
        <f t="array" ref="B88">_xlfn.IFS('ProductSprint Backlog'!$F88="", "", AND('ProductSprint Backlog'!$J88&gt;B$2,'ProductSprint Backlog'!$I88&lt;=B$2), 'ProductSprint Backlog'!$F88 / MAX(1, 'ProductSprint Backlog'!$J88-'ProductSprint Backlog'!$I88), AND('ProductSprint Backlog'!$J88=B$2,'ProductSprint Backlog'!$I88=B$2), 'ProductSprint Backlog'!$F88, TRUE, 0)</f>
        <v>0</v>
      </c>
      <c r="C88" s="4" cm="1">
        <f t="array" ref="C88">_xlfn.IFS('ProductSprint Backlog'!$F88="", "", AND('ProductSprint Backlog'!$J88&gt;C$2,'ProductSprint Backlog'!$I88&lt;=C$2), 'ProductSprint Backlog'!$F88 / MAX(1, 'ProductSprint Backlog'!$J88-'ProductSprint Backlog'!$I88), AND('ProductSprint Backlog'!$J88=C$2,'ProductSprint Backlog'!$I88=C$2), 'ProductSprint Backlog'!$F88, TRUE, 0)</f>
        <v>0</v>
      </c>
      <c r="D88" s="4" cm="1">
        <f t="array" ref="D88">_xlfn.IFS('ProductSprint Backlog'!$F88="", "", AND('ProductSprint Backlog'!$J88&gt;D$2,'ProductSprint Backlog'!$I88&lt;=D$2), 'ProductSprint Backlog'!$F88 / MAX(1, 'ProductSprint Backlog'!$J88-'ProductSprint Backlog'!$I88), AND('ProductSprint Backlog'!$J88=D$2,'ProductSprint Backlog'!$I88=D$2), 'ProductSprint Backlog'!$F88, TRUE, 0)</f>
        <v>0</v>
      </c>
      <c r="E88" s="4" cm="1">
        <f t="array" ref="E88">_xlfn.IFS('ProductSprint Backlog'!$F88="", "", AND('ProductSprint Backlog'!$J88&gt;E$2,'ProductSprint Backlog'!$I88&lt;=E$2), 'ProductSprint Backlog'!$F88 / MAX(1, 'ProductSprint Backlog'!$J88-'ProductSprint Backlog'!$I88), AND('ProductSprint Backlog'!$J88=E$2,'ProductSprint Backlog'!$I88=E$2), 'ProductSprint Backlog'!$F88, TRUE, 0)</f>
        <v>0</v>
      </c>
      <c r="F88" s="4" cm="1">
        <f t="array" ref="F88">_xlfn.IFS('ProductSprint Backlog'!$F88="", "", AND('ProductSprint Backlog'!$J88&gt;F$2,'ProductSprint Backlog'!$I88&lt;=F$2), 'ProductSprint Backlog'!$F88 / MAX(1, 'ProductSprint Backlog'!$J88-'ProductSprint Backlog'!$I88), AND('ProductSprint Backlog'!$J88=F$2,'ProductSprint Backlog'!$I88=F$2), 'ProductSprint Backlog'!$F88, TRUE, 0)</f>
        <v>0</v>
      </c>
      <c r="G88" s="4" cm="1">
        <f t="array" ref="G88">_xlfn.IFS('ProductSprint Backlog'!$F88="", "", AND('ProductSprint Backlog'!$J88&gt;G$2,'ProductSprint Backlog'!$I88&lt;=G$2), 'ProductSprint Backlog'!$F88 / MAX(1, 'ProductSprint Backlog'!$J88-'ProductSprint Backlog'!$I88), AND('ProductSprint Backlog'!$J88=G$2,'ProductSprint Backlog'!$I88=G$2), 'ProductSprint Backlog'!$F88, TRUE, 0)</f>
        <v>0</v>
      </c>
      <c r="H88" s="4" cm="1">
        <f t="array" ref="H88">_xlfn.IFS('ProductSprint Backlog'!$F88="", "", AND('ProductSprint Backlog'!$J88&gt;H$2,'ProductSprint Backlog'!$I88&lt;=H$2), 'ProductSprint Backlog'!$F88 / MAX(1, 'ProductSprint Backlog'!$J88-'ProductSprint Backlog'!$I88), AND('ProductSprint Backlog'!$J88=H$2,'ProductSprint Backlog'!$I88=H$2), 'ProductSprint Backlog'!$F88, TRUE, 0)</f>
        <v>0</v>
      </c>
      <c r="I88" s="4" cm="1">
        <f t="array" ref="I88">_xlfn.IFS('ProductSprint Backlog'!$F88="", "", AND('ProductSprint Backlog'!$J88&gt;I$2,'ProductSprint Backlog'!$I88&lt;=I$2), 'ProductSprint Backlog'!$F88 / MAX(1, 'ProductSprint Backlog'!$J88-'ProductSprint Backlog'!$I88), AND('ProductSprint Backlog'!$J88=I$2,'ProductSprint Backlog'!$I88=I$2), 'ProductSprint Backlog'!$F88, TRUE, 0)</f>
        <v>0</v>
      </c>
      <c r="J88" s="4" cm="1">
        <f t="array" ref="J88">_xlfn.IFS('ProductSprint Backlog'!$F88="", "", AND('ProductSprint Backlog'!$J88&gt;J$2,'ProductSprint Backlog'!$I88&lt;=J$2), 'ProductSprint Backlog'!$F88 / MAX(1, 'ProductSprint Backlog'!$J88-'ProductSprint Backlog'!$I88), AND('ProductSprint Backlog'!$J88=J$2,'ProductSprint Backlog'!$I88=J$2), 'ProductSprint Backlog'!$F88, TRUE, 0)</f>
        <v>0</v>
      </c>
    </row>
    <row r="89" spans="2:10" x14ac:dyDescent="0.2">
      <c r="B89" s="4" cm="1">
        <f t="array" ref="B89">_xlfn.IFS('ProductSprint Backlog'!$F89="", "", AND('ProductSprint Backlog'!$J89&gt;B$2,'ProductSprint Backlog'!$I89&lt;=B$2), 'ProductSprint Backlog'!$F89 / MAX(1, 'ProductSprint Backlog'!$J89-'ProductSprint Backlog'!$I89), AND('ProductSprint Backlog'!$J89=B$2,'ProductSprint Backlog'!$I89=B$2), 'ProductSprint Backlog'!$F89, TRUE, 0)</f>
        <v>0</v>
      </c>
      <c r="C89" s="4" cm="1">
        <f t="array" ref="C89">_xlfn.IFS('ProductSprint Backlog'!$F89="", "", AND('ProductSprint Backlog'!$J89&gt;C$2,'ProductSprint Backlog'!$I89&lt;=C$2), 'ProductSprint Backlog'!$F89 / MAX(1, 'ProductSprint Backlog'!$J89-'ProductSprint Backlog'!$I89), AND('ProductSprint Backlog'!$J89=C$2,'ProductSprint Backlog'!$I89=C$2), 'ProductSprint Backlog'!$F89, TRUE, 0)</f>
        <v>0</v>
      </c>
      <c r="D89" s="4" cm="1">
        <f t="array" ref="D89">_xlfn.IFS('ProductSprint Backlog'!$F89="", "", AND('ProductSprint Backlog'!$J89&gt;D$2,'ProductSprint Backlog'!$I89&lt;=D$2), 'ProductSprint Backlog'!$F89 / MAX(1, 'ProductSprint Backlog'!$J89-'ProductSprint Backlog'!$I89), AND('ProductSprint Backlog'!$J89=D$2,'ProductSprint Backlog'!$I89=D$2), 'ProductSprint Backlog'!$F89, TRUE, 0)</f>
        <v>0</v>
      </c>
      <c r="E89" s="4" cm="1">
        <f t="array" ref="E89">_xlfn.IFS('ProductSprint Backlog'!$F89="", "", AND('ProductSprint Backlog'!$J89&gt;E$2,'ProductSprint Backlog'!$I89&lt;=E$2), 'ProductSprint Backlog'!$F89 / MAX(1, 'ProductSprint Backlog'!$J89-'ProductSprint Backlog'!$I89), AND('ProductSprint Backlog'!$J89=E$2,'ProductSprint Backlog'!$I89=E$2), 'ProductSprint Backlog'!$F89, TRUE, 0)</f>
        <v>0</v>
      </c>
      <c r="F89" s="4" cm="1">
        <f t="array" ref="F89">_xlfn.IFS('ProductSprint Backlog'!$F89="", "", AND('ProductSprint Backlog'!$J89&gt;F$2,'ProductSprint Backlog'!$I89&lt;=F$2), 'ProductSprint Backlog'!$F89 / MAX(1, 'ProductSprint Backlog'!$J89-'ProductSprint Backlog'!$I89), AND('ProductSprint Backlog'!$J89=F$2,'ProductSprint Backlog'!$I89=F$2), 'ProductSprint Backlog'!$F89, TRUE, 0)</f>
        <v>0</v>
      </c>
      <c r="G89" s="4" cm="1">
        <f t="array" ref="G89">_xlfn.IFS('ProductSprint Backlog'!$F89="", "", AND('ProductSprint Backlog'!$J89&gt;G$2,'ProductSprint Backlog'!$I89&lt;=G$2), 'ProductSprint Backlog'!$F89 / MAX(1, 'ProductSprint Backlog'!$J89-'ProductSprint Backlog'!$I89), AND('ProductSprint Backlog'!$J89=G$2,'ProductSprint Backlog'!$I89=G$2), 'ProductSprint Backlog'!$F89, TRUE, 0)</f>
        <v>0</v>
      </c>
      <c r="H89" s="4" cm="1">
        <f t="array" ref="H89">_xlfn.IFS('ProductSprint Backlog'!$F89="", "", AND('ProductSprint Backlog'!$J89&gt;H$2,'ProductSprint Backlog'!$I89&lt;=H$2), 'ProductSprint Backlog'!$F89 / MAX(1, 'ProductSprint Backlog'!$J89-'ProductSprint Backlog'!$I89), AND('ProductSprint Backlog'!$J89=H$2,'ProductSprint Backlog'!$I89=H$2), 'ProductSprint Backlog'!$F89, TRUE, 0)</f>
        <v>0</v>
      </c>
      <c r="I89" s="4" cm="1">
        <f t="array" ref="I89">_xlfn.IFS('ProductSprint Backlog'!$F89="", "", AND('ProductSprint Backlog'!$J89&gt;I$2,'ProductSprint Backlog'!$I89&lt;=I$2), 'ProductSprint Backlog'!$F89 / MAX(1, 'ProductSprint Backlog'!$J89-'ProductSprint Backlog'!$I89), AND('ProductSprint Backlog'!$J89=I$2,'ProductSprint Backlog'!$I89=I$2), 'ProductSprint Backlog'!$F89, TRUE, 0)</f>
        <v>0</v>
      </c>
      <c r="J89" s="4" cm="1">
        <f t="array" ref="J89">_xlfn.IFS('ProductSprint Backlog'!$F89="", "", AND('ProductSprint Backlog'!$J89&gt;J$2,'ProductSprint Backlog'!$I89&lt;=J$2), 'ProductSprint Backlog'!$F89 / MAX(1, 'ProductSprint Backlog'!$J89-'ProductSprint Backlog'!$I89), AND('ProductSprint Backlog'!$J89=J$2,'ProductSprint Backlog'!$I89=J$2), 'ProductSprint Backlog'!$F89, TRUE, 0)</f>
        <v>0</v>
      </c>
    </row>
    <row r="90" spans="2:10" x14ac:dyDescent="0.2">
      <c r="B90" s="4" cm="1">
        <f t="array" ref="B90">_xlfn.IFS('ProductSprint Backlog'!$F90="", "", AND('ProductSprint Backlog'!$J90&gt;B$2,'ProductSprint Backlog'!$I90&lt;=B$2), 'ProductSprint Backlog'!$F90 / MAX(1, 'ProductSprint Backlog'!$J90-'ProductSprint Backlog'!$I90), AND('ProductSprint Backlog'!$J90=B$2,'ProductSprint Backlog'!$I90=B$2), 'ProductSprint Backlog'!$F90, TRUE, 0)</f>
        <v>0</v>
      </c>
      <c r="C90" s="4" cm="1">
        <f t="array" ref="C90">_xlfn.IFS('ProductSprint Backlog'!$F90="", "", AND('ProductSprint Backlog'!$J90&gt;C$2,'ProductSprint Backlog'!$I90&lt;=C$2), 'ProductSprint Backlog'!$F90 / MAX(1, 'ProductSprint Backlog'!$J90-'ProductSprint Backlog'!$I90), AND('ProductSprint Backlog'!$J90=C$2,'ProductSprint Backlog'!$I90=C$2), 'ProductSprint Backlog'!$F90, TRUE, 0)</f>
        <v>0</v>
      </c>
      <c r="D90" s="4" cm="1">
        <f t="array" ref="D90">_xlfn.IFS('ProductSprint Backlog'!$F90="", "", AND('ProductSprint Backlog'!$J90&gt;D$2,'ProductSprint Backlog'!$I90&lt;=D$2), 'ProductSprint Backlog'!$F90 / MAX(1, 'ProductSprint Backlog'!$J90-'ProductSprint Backlog'!$I90), AND('ProductSprint Backlog'!$J90=D$2,'ProductSprint Backlog'!$I90=D$2), 'ProductSprint Backlog'!$F90, TRUE, 0)</f>
        <v>0</v>
      </c>
      <c r="E90" s="4" cm="1">
        <f t="array" ref="E90">_xlfn.IFS('ProductSprint Backlog'!$F90="", "", AND('ProductSprint Backlog'!$J90&gt;E$2,'ProductSprint Backlog'!$I90&lt;=E$2), 'ProductSprint Backlog'!$F90 / MAX(1, 'ProductSprint Backlog'!$J90-'ProductSprint Backlog'!$I90), AND('ProductSprint Backlog'!$J90=E$2,'ProductSprint Backlog'!$I90=E$2), 'ProductSprint Backlog'!$F90, TRUE, 0)</f>
        <v>0</v>
      </c>
      <c r="F90" s="4" cm="1">
        <f t="array" ref="F90">_xlfn.IFS('ProductSprint Backlog'!$F90="", "", AND('ProductSprint Backlog'!$J90&gt;F$2,'ProductSprint Backlog'!$I90&lt;=F$2), 'ProductSprint Backlog'!$F90 / MAX(1, 'ProductSprint Backlog'!$J90-'ProductSprint Backlog'!$I90), AND('ProductSprint Backlog'!$J90=F$2,'ProductSprint Backlog'!$I90=F$2), 'ProductSprint Backlog'!$F90, TRUE, 0)</f>
        <v>0</v>
      </c>
      <c r="G90" s="4" cm="1">
        <f t="array" ref="G90">_xlfn.IFS('ProductSprint Backlog'!$F90="", "", AND('ProductSprint Backlog'!$J90&gt;G$2,'ProductSprint Backlog'!$I90&lt;=G$2), 'ProductSprint Backlog'!$F90 / MAX(1, 'ProductSprint Backlog'!$J90-'ProductSprint Backlog'!$I90), AND('ProductSprint Backlog'!$J90=G$2,'ProductSprint Backlog'!$I90=G$2), 'ProductSprint Backlog'!$F90, TRUE, 0)</f>
        <v>0</v>
      </c>
      <c r="H90" s="4" cm="1">
        <f t="array" ref="H90">_xlfn.IFS('ProductSprint Backlog'!$F90="", "", AND('ProductSprint Backlog'!$J90&gt;H$2,'ProductSprint Backlog'!$I90&lt;=H$2), 'ProductSprint Backlog'!$F90 / MAX(1, 'ProductSprint Backlog'!$J90-'ProductSprint Backlog'!$I90), AND('ProductSprint Backlog'!$J90=H$2,'ProductSprint Backlog'!$I90=H$2), 'ProductSprint Backlog'!$F90, TRUE, 0)</f>
        <v>0</v>
      </c>
      <c r="I90" s="4" cm="1">
        <f t="array" ref="I90">_xlfn.IFS('ProductSprint Backlog'!$F90="", "", AND('ProductSprint Backlog'!$J90&gt;I$2,'ProductSprint Backlog'!$I90&lt;=I$2), 'ProductSprint Backlog'!$F90 / MAX(1, 'ProductSprint Backlog'!$J90-'ProductSprint Backlog'!$I90), AND('ProductSprint Backlog'!$J90=I$2,'ProductSprint Backlog'!$I90=I$2), 'ProductSprint Backlog'!$F90, TRUE, 0)</f>
        <v>0</v>
      </c>
      <c r="J90" s="4" cm="1">
        <f t="array" ref="J90">_xlfn.IFS('ProductSprint Backlog'!$F90="", "", AND('ProductSprint Backlog'!$J90&gt;J$2,'ProductSprint Backlog'!$I90&lt;=J$2), 'ProductSprint Backlog'!$F90 / MAX(1, 'ProductSprint Backlog'!$J90-'ProductSprint Backlog'!$I90), AND('ProductSprint Backlog'!$J90=J$2,'ProductSprint Backlog'!$I90=J$2), 'ProductSprint Backlog'!$F90, TRUE, 0)</f>
        <v>0</v>
      </c>
    </row>
    <row r="91" spans="2:10" x14ac:dyDescent="0.2">
      <c r="B91" s="4" cm="1">
        <f t="array" ref="B91">_xlfn.IFS('ProductSprint Backlog'!$F91="", "", AND('ProductSprint Backlog'!$J91&gt;B$2,'ProductSprint Backlog'!$I91&lt;=B$2), 'ProductSprint Backlog'!$F91 / MAX(1, 'ProductSprint Backlog'!$J91-'ProductSprint Backlog'!$I91), AND('ProductSprint Backlog'!$J91=B$2,'ProductSprint Backlog'!$I91=B$2), 'ProductSprint Backlog'!$F91, TRUE, 0)</f>
        <v>0</v>
      </c>
      <c r="C91" s="4" cm="1">
        <f t="array" ref="C91">_xlfn.IFS('ProductSprint Backlog'!$F91="", "", AND('ProductSprint Backlog'!$J91&gt;C$2,'ProductSprint Backlog'!$I91&lt;=C$2), 'ProductSprint Backlog'!$F91 / MAX(1, 'ProductSprint Backlog'!$J91-'ProductSprint Backlog'!$I91), AND('ProductSprint Backlog'!$J91=C$2,'ProductSprint Backlog'!$I91=C$2), 'ProductSprint Backlog'!$F91, TRUE, 0)</f>
        <v>0</v>
      </c>
      <c r="D91" s="4" cm="1">
        <f t="array" ref="D91">_xlfn.IFS('ProductSprint Backlog'!$F91="", "", AND('ProductSprint Backlog'!$J91&gt;D$2,'ProductSprint Backlog'!$I91&lt;=D$2), 'ProductSprint Backlog'!$F91 / MAX(1, 'ProductSprint Backlog'!$J91-'ProductSprint Backlog'!$I91), AND('ProductSprint Backlog'!$J91=D$2,'ProductSprint Backlog'!$I91=D$2), 'ProductSprint Backlog'!$F91, TRUE, 0)</f>
        <v>0</v>
      </c>
      <c r="E91" s="4" cm="1">
        <f t="array" ref="E91">_xlfn.IFS('ProductSprint Backlog'!$F91="", "", AND('ProductSprint Backlog'!$J91&gt;E$2,'ProductSprint Backlog'!$I91&lt;=E$2), 'ProductSprint Backlog'!$F91 / MAX(1, 'ProductSprint Backlog'!$J91-'ProductSprint Backlog'!$I91), AND('ProductSprint Backlog'!$J91=E$2,'ProductSprint Backlog'!$I91=E$2), 'ProductSprint Backlog'!$F91, TRUE, 0)</f>
        <v>0</v>
      </c>
      <c r="F91" s="4" cm="1">
        <f t="array" ref="F91">_xlfn.IFS('ProductSprint Backlog'!$F91="", "", AND('ProductSprint Backlog'!$J91&gt;F$2,'ProductSprint Backlog'!$I91&lt;=F$2), 'ProductSprint Backlog'!$F91 / MAX(1, 'ProductSprint Backlog'!$J91-'ProductSprint Backlog'!$I91), AND('ProductSprint Backlog'!$J91=F$2,'ProductSprint Backlog'!$I91=F$2), 'ProductSprint Backlog'!$F91, TRUE, 0)</f>
        <v>0</v>
      </c>
      <c r="G91" s="4" cm="1">
        <f t="array" ref="G91">_xlfn.IFS('ProductSprint Backlog'!$F91="", "", AND('ProductSprint Backlog'!$J91&gt;G$2,'ProductSprint Backlog'!$I91&lt;=G$2), 'ProductSprint Backlog'!$F91 / MAX(1, 'ProductSprint Backlog'!$J91-'ProductSprint Backlog'!$I91), AND('ProductSprint Backlog'!$J91=G$2,'ProductSprint Backlog'!$I91=G$2), 'ProductSprint Backlog'!$F91, TRUE, 0)</f>
        <v>0</v>
      </c>
      <c r="H91" s="4" cm="1">
        <f t="array" ref="H91">_xlfn.IFS('ProductSprint Backlog'!$F91="", "", AND('ProductSprint Backlog'!$J91&gt;H$2,'ProductSprint Backlog'!$I91&lt;=H$2), 'ProductSprint Backlog'!$F91 / MAX(1, 'ProductSprint Backlog'!$J91-'ProductSprint Backlog'!$I91), AND('ProductSprint Backlog'!$J91=H$2,'ProductSprint Backlog'!$I91=H$2), 'ProductSprint Backlog'!$F91, TRUE, 0)</f>
        <v>0</v>
      </c>
      <c r="I91" s="4" cm="1">
        <f t="array" ref="I91">_xlfn.IFS('ProductSprint Backlog'!$F91="", "", AND('ProductSprint Backlog'!$J91&gt;I$2,'ProductSprint Backlog'!$I91&lt;=I$2), 'ProductSprint Backlog'!$F91 / MAX(1, 'ProductSprint Backlog'!$J91-'ProductSprint Backlog'!$I91), AND('ProductSprint Backlog'!$J91=I$2,'ProductSprint Backlog'!$I91=I$2), 'ProductSprint Backlog'!$F91, TRUE, 0)</f>
        <v>0</v>
      </c>
      <c r="J91" s="4" cm="1">
        <f t="array" ref="J91">_xlfn.IFS('ProductSprint Backlog'!$F91="", "", AND('ProductSprint Backlog'!$J91&gt;J$2,'ProductSprint Backlog'!$I91&lt;=J$2), 'ProductSprint Backlog'!$F91 / MAX(1, 'ProductSprint Backlog'!$J91-'ProductSprint Backlog'!$I91), AND('ProductSprint Backlog'!$J91=J$2,'ProductSprint Backlog'!$I91=J$2), 'ProductSprint Backlog'!$F91, TRUE, 0)</f>
        <v>0</v>
      </c>
    </row>
    <row r="92" spans="2:10" x14ac:dyDescent="0.2">
      <c r="B92" s="4" cm="1">
        <f t="array" ref="B92">_xlfn.IFS('ProductSprint Backlog'!$F92="", "", AND('ProductSprint Backlog'!$J92&gt;B$2,'ProductSprint Backlog'!$I92&lt;=B$2), 'ProductSprint Backlog'!$F92 / MAX(1, 'ProductSprint Backlog'!$J92-'ProductSprint Backlog'!$I92), AND('ProductSprint Backlog'!$J92=B$2,'ProductSprint Backlog'!$I92=B$2), 'ProductSprint Backlog'!$F92, TRUE, 0)</f>
        <v>0</v>
      </c>
      <c r="C92" s="4" cm="1">
        <f t="array" ref="C92">_xlfn.IFS('ProductSprint Backlog'!$F92="", "", AND('ProductSprint Backlog'!$J92&gt;C$2,'ProductSprint Backlog'!$I92&lt;=C$2), 'ProductSprint Backlog'!$F92 / MAX(1, 'ProductSprint Backlog'!$J92-'ProductSprint Backlog'!$I92), AND('ProductSprint Backlog'!$J92=C$2,'ProductSprint Backlog'!$I92=C$2), 'ProductSprint Backlog'!$F92, TRUE, 0)</f>
        <v>0</v>
      </c>
      <c r="D92" s="4" cm="1">
        <f t="array" ref="D92">_xlfn.IFS('ProductSprint Backlog'!$F92="", "", AND('ProductSprint Backlog'!$J92&gt;D$2,'ProductSprint Backlog'!$I92&lt;=D$2), 'ProductSprint Backlog'!$F92 / MAX(1, 'ProductSprint Backlog'!$J92-'ProductSprint Backlog'!$I92), AND('ProductSprint Backlog'!$J92=D$2,'ProductSprint Backlog'!$I92=D$2), 'ProductSprint Backlog'!$F92, TRUE, 0)</f>
        <v>0</v>
      </c>
      <c r="E92" s="4" cm="1">
        <f t="array" ref="E92">_xlfn.IFS('ProductSprint Backlog'!$F92="", "", AND('ProductSprint Backlog'!$J92&gt;E$2,'ProductSprint Backlog'!$I92&lt;=E$2), 'ProductSprint Backlog'!$F92 / MAX(1, 'ProductSprint Backlog'!$J92-'ProductSprint Backlog'!$I92), AND('ProductSprint Backlog'!$J92=E$2,'ProductSprint Backlog'!$I92=E$2), 'ProductSprint Backlog'!$F92, TRUE, 0)</f>
        <v>0</v>
      </c>
      <c r="F92" s="4" cm="1">
        <f t="array" ref="F92">_xlfn.IFS('ProductSprint Backlog'!$F92="", "", AND('ProductSprint Backlog'!$J92&gt;F$2,'ProductSprint Backlog'!$I92&lt;=F$2), 'ProductSprint Backlog'!$F92 / MAX(1, 'ProductSprint Backlog'!$J92-'ProductSprint Backlog'!$I92), AND('ProductSprint Backlog'!$J92=F$2,'ProductSprint Backlog'!$I92=F$2), 'ProductSprint Backlog'!$F92, TRUE, 0)</f>
        <v>0</v>
      </c>
      <c r="G92" s="4" cm="1">
        <f t="array" ref="G92">_xlfn.IFS('ProductSprint Backlog'!$F92="", "", AND('ProductSprint Backlog'!$J92&gt;G$2,'ProductSprint Backlog'!$I92&lt;=G$2), 'ProductSprint Backlog'!$F92 / MAX(1, 'ProductSprint Backlog'!$J92-'ProductSprint Backlog'!$I92), AND('ProductSprint Backlog'!$J92=G$2,'ProductSprint Backlog'!$I92=G$2), 'ProductSprint Backlog'!$F92, TRUE, 0)</f>
        <v>0</v>
      </c>
      <c r="H92" s="4" cm="1">
        <f t="array" ref="H92">_xlfn.IFS('ProductSprint Backlog'!$F92="", "", AND('ProductSprint Backlog'!$J92&gt;H$2,'ProductSprint Backlog'!$I92&lt;=H$2), 'ProductSprint Backlog'!$F92 / MAX(1, 'ProductSprint Backlog'!$J92-'ProductSprint Backlog'!$I92), AND('ProductSprint Backlog'!$J92=H$2,'ProductSprint Backlog'!$I92=H$2), 'ProductSprint Backlog'!$F92, TRUE, 0)</f>
        <v>0</v>
      </c>
      <c r="I92" s="4" cm="1">
        <f t="array" ref="I92">_xlfn.IFS('ProductSprint Backlog'!$F92="", "", AND('ProductSprint Backlog'!$J92&gt;I$2,'ProductSprint Backlog'!$I92&lt;=I$2), 'ProductSprint Backlog'!$F92 / MAX(1, 'ProductSprint Backlog'!$J92-'ProductSprint Backlog'!$I92), AND('ProductSprint Backlog'!$J92=I$2,'ProductSprint Backlog'!$I92=I$2), 'ProductSprint Backlog'!$F92, TRUE, 0)</f>
        <v>0</v>
      </c>
      <c r="J92" s="4" cm="1">
        <f t="array" ref="J92">_xlfn.IFS('ProductSprint Backlog'!$F92="", "", AND('ProductSprint Backlog'!$J92&gt;J$2,'ProductSprint Backlog'!$I92&lt;=J$2), 'ProductSprint Backlog'!$F92 / MAX(1, 'ProductSprint Backlog'!$J92-'ProductSprint Backlog'!$I92), AND('ProductSprint Backlog'!$J92=J$2,'ProductSprint Backlog'!$I92=J$2), 'ProductSprint Backlog'!$F92, TRUE, 0)</f>
        <v>0</v>
      </c>
    </row>
    <row r="93" spans="2:10" x14ac:dyDescent="0.2">
      <c r="B93" s="4" cm="1">
        <f t="array" ref="B93">_xlfn.IFS('ProductSprint Backlog'!$F93="", "", AND('ProductSprint Backlog'!$J93&gt;B$2,'ProductSprint Backlog'!$I93&lt;=B$2), 'ProductSprint Backlog'!$F93 / MAX(1, 'ProductSprint Backlog'!$J93-'ProductSprint Backlog'!$I93), AND('ProductSprint Backlog'!$J93=B$2,'ProductSprint Backlog'!$I93=B$2), 'ProductSprint Backlog'!$F93, TRUE, 0)</f>
        <v>0</v>
      </c>
      <c r="C93" s="4" cm="1">
        <f t="array" ref="C93">_xlfn.IFS('ProductSprint Backlog'!$F93="", "", AND('ProductSprint Backlog'!$J93&gt;C$2,'ProductSprint Backlog'!$I93&lt;=C$2), 'ProductSprint Backlog'!$F93 / MAX(1, 'ProductSprint Backlog'!$J93-'ProductSprint Backlog'!$I93), AND('ProductSprint Backlog'!$J93=C$2,'ProductSprint Backlog'!$I93=C$2), 'ProductSprint Backlog'!$F93, TRUE, 0)</f>
        <v>0</v>
      </c>
      <c r="D93" s="4" cm="1">
        <f t="array" ref="D93">_xlfn.IFS('ProductSprint Backlog'!$F93="", "", AND('ProductSprint Backlog'!$J93&gt;D$2,'ProductSprint Backlog'!$I93&lt;=D$2), 'ProductSprint Backlog'!$F93 / MAX(1, 'ProductSprint Backlog'!$J93-'ProductSprint Backlog'!$I93), AND('ProductSprint Backlog'!$J93=D$2,'ProductSprint Backlog'!$I93=D$2), 'ProductSprint Backlog'!$F93, TRUE, 0)</f>
        <v>0</v>
      </c>
      <c r="E93" s="4" cm="1">
        <f t="array" ref="E93">_xlfn.IFS('ProductSprint Backlog'!$F93="", "", AND('ProductSprint Backlog'!$J93&gt;E$2,'ProductSprint Backlog'!$I93&lt;=E$2), 'ProductSprint Backlog'!$F93 / MAX(1, 'ProductSprint Backlog'!$J93-'ProductSprint Backlog'!$I93), AND('ProductSprint Backlog'!$J93=E$2,'ProductSprint Backlog'!$I93=E$2), 'ProductSprint Backlog'!$F93, TRUE, 0)</f>
        <v>0</v>
      </c>
      <c r="F93" s="4" cm="1">
        <f t="array" ref="F93">_xlfn.IFS('ProductSprint Backlog'!$F93="", "", AND('ProductSprint Backlog'!$J93&gt;F$2,'ProductSprint Backlog'!$I93&lt;=F$2), 'ProductSprint Backlog'!$F93 / MAX(1, 'ProductSprint Backlog'!$J93-'ProductSprint Backlog'!$I93), AND('ProductSprint Backlog'!$J93=F$2,'ProductSprint Backlog'!$I93=F$2), 'ProductSprint Backlog'!$F93, TRUE, 0)</f>
        <v>0</v>
      </c>
      <c r="G93" s="4" cm="1">
        <f t="array" ref="G93">_xlfn.IFS('ProductSprint Backlog'!$F93="", "", AND('ProductSprint Backlog'!$J93&gt;G$2,'ProductSprint Backlog'!$I93&lt;=G$2), 'ProductSprint Backlog'!$F93 / MAX(1, 'ProductSprint Backlog'!$J93-'ProductSprint Backlog'!$I93), AND('ProductSprint Backlog'!$J93=G$2,'ProductSprint Backlog'!$I93=G$2), 'ProductSprint Backlog'!$F93, TRUE, 0)</f>
        <v>0</v>
      </c>
      <c r="H93" s="4" cm="1">
        <f t="array" ref="H93">_xlfn.IFS('ProductSprint Backlog'!$F93="", "", AND('ProductSprint Backlog'!$J93&gt;H$2,'ProductSprint Backlog'!$I93&lt;=H$2), 'ProductSprint Backlog'!$F93 / MAX(1, 'ProductSprint Backlog'!$J93-'ProductSprint Backlog'!$I93), AND('ProductSprint Backlog'!$J93=H$2,'ProductSprint Backlog'!$I93=H$2), 'ProductSprint Backlog'!$F93, TRUE, 0)</f>
        <v>0</v>
      </c>
      <c r="I93" s="4" cm="1">
        <f t="array" ref="I93">_xlfn.IFS('ProductSprint Backlog'!$F93="", "", AND('ProductSprint Backlog'!$J93&gt;I$2,'ProductSprint Backlog'!$I93&lt;=I$2), 'ProductSprint Backlog'!$F93 / MAX(1, 'ProductSprint Backlog'!$J93-'ProductSprint Backlog'!$I93), AND('ProductSprint Backlog'!$J93=I$2,'ProductSprint Backlog'!$I93=I$2), 'ProductSprint Backlog'!$F93, TRUE, 0)</f>
        <v>0</v>
      </c>
      <c r="J93" s="4" cm="1">
        <f t="array" ref="J93">_xlfn.IFS('ProductSprint Backlog'!$F93="", "", AND('ProductSprint Backlog'!$J93&gt;J$2,'ProductSprint Backlog'!$I93&lt;=J$2), 'ProductSprint Backlog'!$F93 / MAX(1, 'ProductSprint Backlog'!$J93-'ProductSprint Backlog'!$I93), AND('ProductSprint Backlog'!$J93=J$2,'ProductSprint Backlog'!$I93=J$2), 'ProductSprint Backlog'!$F93, TRUE, 0)</f>
        <v>0</v>
      </c>
    </row>
    <row r="94" spans="2:10" x14ac:dyDescent="0.2">
      <c r="B94" s="4" cm="1">
        <f t="array" ref="B94">_xlfn.IFS('ProductSprint Backlog'!$F94="", "", AND('ProductSprint Backlog'!$J94&gt;B$2,'ProductSprint Backlog'!$I94&lt;=B$2), 'ProductSprint Backlog'!$F94 / MAX(1, 'ProductSprint Backlog'!$J94-'ProductSprint Backlog'!$I94), AND('ProductSprint Backlog'!$J94=B$2,'ProductSprint Backlog'!$I94=B$2), 'ProductSprint Backlog'!$F94, TRUE, 0)</f>
        <v>0</v>
      </c>
      <c r="C94" s="4" cm="1">
        <f t="array" ref="C94">_xlfn.IFS('ProductSprint Backlog'!$F94="", "", AND('ProductSprint Backlog'!$J94&gt;C$2,'ProductSprint Backlog'!$I94&lt;=C$2), 'ProductSprint Backlog'!$F94 / MAX(1, 'ProductSprint Backlog'!$J94-'ProductSprint Backlog'!$I94), AND('ProductSprint Backlog'!$J94=C$2,'ProductSprint Backlog'!$I94=C$2), 'ProductSprint Backlog'!$F94, TRUE, 0)</f>
        <v>0</v>
      </c>
      <c r="D94" s="4" cm="1">
        <f t="array" ref="D94">_xlfn.IFS('ProductSprint Backlog'!$F94="", "", AND('ProductSprint Backlog'!$J94&gt;D$2,'ProductSprint Backlog'!$I94&lt;=D$2), 'ProductSprint Backlog'!$F94 / MAX(1, 'ProductSprint Backlog'!$J94-'ProductSprint Backlog'!$I94), AND('ProductSprint Backlog'!$J94=D$2,'ProductSprint Backlog'!$I94=D$2), 'ProductSprint Backlog'!$F94, TRUE, 0)</f>
        <v>0</v>
      </c>
      <c r="E94" s="4" cm="1">
        <f t="array" ref="E94">_xlfn.IFS('ProductSprint Backlog'!$F94="", "", AND('ProductSprint Backlog'!$J94&gt;E$2,'ProductSprint Backlog'!$I94&lt;=E$2), 'ProductSprint Backlog'!$F94 / MAX(1, 'ProductSprint Backlog'!$J94-'ProductSprint Backlog'!$I94), AND('ProductSprint Backlog'!$J94=E$2,'ProductSprint Backlog'!$I94=E$2), 'ProductSprint Backlog'!$F94, TRUE, 0)</f>
        <v>0</v>
      </c>
      <c r="F94" s="4" cm="1">
        <f t="array" ref="F94">_xlfn.IFS('ProductSprint Backlog'!$F94="", "", AND('ProductSprint Backlog'!$J94&gt;F$2,'ProductSprint Backlog'!$I94&lt;=F$2), 'ProductSprint Backlog'!$F94 / MAX(1, 'ProductSprint Backlog'!$J94-'ProductSprint Backlog'!$I94), AND('ProductSprint Backlog'!$J94=F$2,'ProductSprint Backlog'!$I94=F$2), 'ProductSprint Backlog'!$F94, TRUE, 0)</f>
        <v>0</v>
      </c>
      <c r="G94" s="4" cm="1">
        <f t="array" ref="G94">_xlfn.IFS('ProductSprint Backlog'!$F94="", "", AND('ProductSprint Backlog'!$J94&gt;G$2,'ProductSprint Backlog'!$I94&lt;=G$2), 'ProductSprint Backlog'!$F94 / MAX(1, 'ProductSprint Backlog'!$J94-'ProductSprint Backlog'!$I94), AND('ProductSprint Backlog'!$J94=G$2,'ProductSprint Backlog'!$I94=G$2), 'ProductSprint Backlog'!$F94, TRUE, 0)</f>
        <v>0</v>
      </c>
      <c r="H94" s="4" cm="1">
        <f t="array" ref="H94">_xlfn.IFS('ProductSprint Backlog'!$F94="", "", AND('ProductSprint Backlog'!$J94&gt;H$2,'ProductSprint Backlog'!$I94&lt;=H$2), 'ProductSprint Backlog'!$F94 / MAX(1, 'ProductSprint Backlog'!$J94-'ProductSprint Backlog'!$I94), AND('ProductSprint Backlog'!$J94=H$2,'ProductSprint Backlog'!$I94=H$2), 'ProductSprint Backlog'!$F94, TRUE, 0)</f>
        <v>0</v>
      </c>
      <c r="I94" s="4" cm="1">
        <f t="array" ref="I94">_xlfn.IFS('ProductSprint Backlog'!$F94="", "", AND('ProductSprint Backlog'!$J94&gt;I$2,'ProductSprint Backlog'!$I94&lt;=I$2), 'ProductSprint Backlog'!$F94 / MAX(1, 'ProductSprint Backlog'!$J94-'ProductSprint Backlog'!$I94), AND('ProductSprint Backlog'!$J94=I$2,'ProductSprint Backlog'!$I94=I$2), 'ProductSprint Backlog'!$F94, TRUE, 0)</f>
        <v>0</v>
      </c>
      <c r="J94" s="4" cm="1">
        <f t="array" ref="J94">_xlfn.IFS('ProductSprint Backlog'!$F94="", "", AND('ProductSprint Backlog'!$J94&gt;J$2,'ProductSprint Backlog'!$I94&lt;=J$2), 'ProductSprint Backlog'!$F94 / MAX(1, 'ProductSprint Backlog'!$J94-'ProductSprint Backlog'!$I94), AND('ProductSprint Backlog'!$J94=J$2,'ProductSprint Backlog'!$I94=J$2), 'ProductSprint Backlog'!$F94, TRUE, 0)</f>
        <v>0</v>
      </c>
    </row>
    <row r="95" spans="2:10" x14ac:dyDescent="0.2">
      <c r="B95" s="4" cm="1">
        <f t="array" ref="B95">_xlfn.IFS('ProductSprint Backlog'!$F95="", "", AND('ProductSprint Backlog'!$J95&gt;B$2,'ProductSprint Backlog'!$I95&lt;=B$2), 'ProductSprint Backlog'!$F95 / MAX(1, 'ProductSprint Backlog'!$J95-'ProductSprint Backlog'!$I95), AND('ProductSprint Backlog'!$J95=B$2,'ProductSprint Backlog'!$I95=B$2), 'ProductSprint Backlog'!$F95, TRUE, 0)</f>
        <v>0</v>
      </c>
      <c r="C95" s="4" cm="1">
        <f t="array" ref="C95">_xlfn.IFS('ProductSprint Backlog'!$F95="", "", AND('ProductSprint Backlog'!$J95&gt;C$2,'ProductSprint Backlog'!$I95&lt;=C$2), 'ProductSprint Backlog'!$F95 / MAX(1, 'ProductSprint Backlog'!$J95-'ProductSprint Backlog'!$I95), AND('ProductSprint Backlog'!$J95=C$2,'ProductSprint Backlog'!$I95=C$2), 'ProductSprint Backlog'!$F95, TRUE, 0)</f>
        <v>0</v>
      </c>
      <c r="D95" s="4" cm="1">
        <f t="array" ref="D95">_xlfn.IFS('ProductSprint Backlog'!$F95="", "", AND('ProductSprint Backlog'!$J95&gt;D$2,'ProductSprint Backlog'!$I95&lt;=D$2), 'ProductSprint Backlog'!$F95 / MAX(1, 'ProductSprint Backlog'!$J95-'ProductSprint Backlog'!$I95), AND('ProductSprint Backlog'!$J95=D$2,'ProductSprint Backlog'!$I95=D$2), 'ProductSprint Backlog'!$F95, TRUE, 0)</f>
        <v>0</v>
      </c>
      <c r="E95" s="4" cm="1">
        <f t="array" ref="E95">_xlfn.IFS('ProductSprint Backlog'!$F95="", "", AND('ProductSprint Backlog'!$J95&gt;E$2,'ProductSprint Backlog'!$I95&lt;=E$2), 'ProductSprint Backlog'!$F95 / MAX(1, 'ProductSprint Backlog'!$J95-'ProductSprint Backlog'!$I95), AND('ProductSprint Backlog'!$J95=E$2,'ProductSprint Backlog'!$I95=E$2), 'ProductSprint Backlog'!$F95, TRUE, 0)</f>
        <v>0</v>
      </c>
      <c r="F95" s="4" cm="1">
        <f t="array" ref="F95">_xlfn.IFS('ProductSprint Backlog'!$F95="", "", AND('ProductSprint Backlog'!$J95&gt;F$2,'ProductSprint Backlog'!$I95&lt;=F$2), 'ProductSprint Backlog'!$F95 / MAX(1, 'ProductSprint Backlog'!$J95-'ProductSprint Backlog'!$I95), AND('ProductSprint Backlog'!$J95=F$2,'ProductSprint Backlog'!$I95=F$2), 'ProductSprint Backlog'!$F95, TRUE, 0)</f>
        <v>0</v>
      </c>
      <c r="G95" s="4" cm="1">
        <f t="array" ref="G95">_xlfn.IFS('ProductSprint Backlog'!$F95="", "", AND('ProductSprint Backlog'!$J95&gt;G$2,'ProductSprint Backlog'!$I95&lt;=G$2), 'ProductSprint Backlog'!$F95 / MAX(1, 'ProductSprint Backlog'!$J95-'ProductSprint Backlog'!$I95), AND('ProductSprint Backlog'!$J95=G$2,'ProductSprint Backlog'!$I95=G$2), 'ProductSprint Backlog'!$F95, TRUE, 0)</f>
        <v>0</v>
      </c>
      <c r="H95" s="4" cm="1">
        <f t="array" ref="H95">_xlfn.IFS('ProductSprint Backlog'!$F95="", "", AND('ProductSprint Backlog'!$J95&gt;H$2,'ProductSprint Backlog'!$I95&lt;=H$2), 'ProductSprint Backlog'!$F95 / MAX(1, 'ProductSprint Backlog'!$J95-'ProductSprint Backlog'!$I95), AND('ProductSprint Backlog'!$J95=H$2,'ProductSprint Backlog'!$I95=H$2), 'ProductSprint Backlog'!$F95, TRUE, 0)</f>
        <v>0</v>
      </c>
      <c r="I95" s="4" cm="1">
        <f t="array" ref="I95">_xlfn.IFS('ProductSprint Backlog'!$F95="", "", AND('ProductSprint Backlog'!$J95&gt;I$2,'ProductSprint Backlog'!$I95&lt;=I$2), 'ProductSprint Backlog'!$F95 / MAX(1, 'ProductSprint Backlog'!$J95-'ProductSprint Backlog'!$I95), AND('ProductSprint Backlog'!$J95=I$2,'ProductSprint Backlog'!$I95=I$2), 'ProductSprint Backlog'!$F95, TRUE, 0)</f>
        <v>0</v>
      </c>
      <c r="J95" s="4" cm="1">
        <f t="array" ref="J95">_xlfn.IFS('ProductSprint Backlog'!$F95="", "", AND('ProductSprint Backlog'!$J95&gt;J$2,'ProductSprint Backlog'!$I95&lt;=J$2), 'ProductSprint Backlog'!$F95 / MAX(1, 'ProductSprint Backlog'!$J95-'ProductSprint Backlog'!$I95), AND('ProductSprint Backlog'!$J95=J$2,'ProductSprint Backlog'!$I95=J$2), 'ProductSprint Backlog'!$F95, TRUE, 0)</f>
        <v>0</v>
      </c>
    </row>
    <row r="96" spans="2:10" x14ac:dyDescent="0.2">
      <c r="B96" s="4" t="str" cm="1">
        <f t="array" ref="B96">_xlfn.IFS('ProductSprint Backlog'!$F96="", "", AND('ProductSprint Backlog'!$J96&gt;B$2,'ProductSprint Backlog'!$I96&lt;=B$2), 'ProductSprint Backlog'!$F96 / MAX(1, 'ProductSprint Backlog'!$J96-'ProductSprint Backlog'!$I96), AND('ProductSprint Backlog'!$J96=B$2,'ProductSprint Backlog'!$I96=B$2), 'ProductSprint Backlog'!$F96, TRUE, 0)</f>
        <v/>
      </c>
      <c r="C96" s="4" t="str" cm="1">
        <f t="array" ref="C96">_xlfn.IFS('ProductSprint Backlog'!$F96="", "", AND('ProductSprint Backlog'!$J96&gt;C$2,'ProductSprint Backlog'!$I96&lt;=C$2), 'ProductSprint Backlog'!$F96 / MAX(1, 'ProductSprint Backlog'!$J96-'ProductSprint Backlog'!$I96), AND('ProductSprint Backlog'!$J96=C$2,'ProductSprint Backlog'!$I96=C$2), 'ProductSprint Backlog'!$F96, TRUE, 0)</f>
        <v/>
      </c>
      <c r="D96" s="4" t="str" cm="1">
        <f t="array" ref="D96">_xlfn.IFS('ProductSprint Backlog'!$F96="", "", AND('ProductSprint Backlog'!$J96&gt;D$2,'ProductSprint Backlog'!$I96&lt;=D$2), 'ProductSprint Backlog'!$F96 / MAX(1, 'ProductSprint Backlog'!$J96-'ProductSprint Backlog'!$I96), AND('ProductSprint Backlog'!$J96=D$2,'ProductSprint Backlog'!$I96=D$2), 'ProductSprint Backlog'!$F96, TRUE, 0)</f>
        <v/>
      </c>
      <c r="E96" s="4" t="str" cm="1">
        <f t="array" ref="E96">_xlfn.IFS('ProductSprint Backlog'!$F96="", "", AND('ProductSprint Backlog'!$J96&gt;E$2,'ProductSprint Backlog'!$I96&lt;=E$2), 'ProductSprint Backlog'!$F96 / MAX(1, 'ProductSprint Backlog'!$J96-'ProductSprint Backlog'!$I96), AND('ProductSprint Backlog'!$J96=E$2,'ProductSprint Backlog'!$I96=E$2), 'ProductSprint Backlog'!$F96, TRUE, 0)</f>
        <v/>
      </c>
      <c r="F96" s="4" t="str" cm="1">
        <f t="array" ref="F96">_xlfn.IFS('ProductSprint Backlog'!$F96="", "", AND('ProductSprint Backlog'!$J96&gt;F$2,'ProductSprint Backlog'!$I96&lt;=F$2), 'ProductSprint Backlog'!$F96 / MAX(1, 'ProductSprint Backlog'!$J96-'ProductSprint Backlog'!$I96), AND('ProductSprint Backlog'!$J96=F$2,'ProductSprint Backlog'!$I96=F$2), 'ProductSprint Backlog'!$F96, TRUE, 0)</f>
        <v/>
      </c>
      <c r="G96" s="4" t="str" cm="1">
        <f t="array" ref="G96">_xlfn.IFS('ProductSprint Backlog'!$F96="", "", AND('ProductSprint Backlog'!$J96&gt;G$2,'ProductSprint Backlog'!$I96&lt;=G$2), 'ProductSprint Backlog'!$F96 / MAX(1, 'ProductSprint Backlog'!$J96-'ProductSprint Backlog'!$I96), AND('ProductSprint Backlog'!$J96=G$2,'ProductSprint Backlog'!$I96=G$2), 'ProductSprint Backlog'!$F96, TRUE, 0)</f>
        <v/>
      </c>
      <c r="H96" s="4" t="str" cm="1">
        <f t="array" ref="H96">_xlfn.IFS('ProductSprint Backlog'!$F96="", "", AND('ProductSprint Backlog'!$J96&gt;H$2,'ProductSprint Backlog'!$I96&lt;=H$2), 'ProductSprint Backlog'!$F96 / MAX(1, 'ProductSprint Backlog'!$J96-'ProductSprint Backlog'!$I96), AND('ProductSprint Backlog'!$J96=H$2,'ProductSprint Backlog'!$I96=H$2), 'ProductSprint Backlog'!$F96, TRUE, 0)</f>
        <v/>
      </c>
      <c r="I96" s="4" t="str" cm="1">
        <f t="array" ref="I96">_xlfn.IFS('ProductSprint Backlog'!$F96="", "", AND('ProductSprint Backlog'!$J96&gt;I$2,'ProductSprint Backlog'!$I96&lt;=I$2), 'ProductSprint Backlog'!$F96 / MAX(1, 'ProductSprint Backlog'!$J96-'ProductSprint Backlog'!$I96), AND('ProductSprint Backlog'!$J96=I$2,'ProductSprint Backlog'!$I96=I$2), 'ProductSprint Backlog'!$F96, TRUE, 0)</f>
        <v/>
      </c>
      <c r="J96" s="4" t="str" cm="1">
        <f t="array" ref="J96">_xlfn.IFS('ProductSprint Backlog'!$F96="", "", AND('ProductSprint Backlog'!$J96&gt;J$2,'ProductSprint Backlog'!$I96&lt;=J$2), 'ProductSprint Backlog'!$F96 / MAX(1, 'ProductSprint Backlog'!$J96-'ProductSprint Backlog'!$I96), AND('ProductSprint Backlog'!$J96=J$2,'ProductSprint Backlog'!$I96=J$2), 'ProductSprint Backlog'!$F96, TRUE, 0)</f>
        <v/>
      </c>
    </row>
    <row r="97" spans="2:10" x14ac:dyDescent="0.2">
      <c r="B97" s="4" cm="1">
        <f t="array" ref="B97">_xlfn.IFS('ProductSprint Backlog'!$F97="", "", AND('ProductSprint Backlog'!$J97&gt;B$2,'ProductSprint Backlog'!$I97&lt;=B$2), 'ProductSprint Backlog'!$F97 / MAX(1, 'ProductSprint Backlog'!$J97-'ProductSprint Backlog'!$I97), AND('ProductSprint Backlog'!$J97=B$2,'ProductSprint Backlog'!$I97=B$2), 'ProductSprint Backlog'!$F97, TRUE, 0)</f>
        <v>0</v>
      </c>
      <c r="C97" s="4" cm="1">
        <f t="array" ref="C97">_xlfn.IFS('ProductSprint Backlog'!$F97="", "", AND('ProductSprint Backlog'!$J97&gt;C$2,'ProductSprint Backlog'!$I97&lt;=C$2), 'ProductSprint Backlog'!$F97 / MAX(1, 'ProductSprint Backlog'!$J97-'ProductSprint Backlog'!$I97), AND('ProductSprint Backlog'!$J97=C$2,'ProductSprint Backlog'!$I97=C$2), 'ProductSprint Backlog'!$F97, TRUE, 0)</f>
        <v>0</v>
      </c>
      <c r="D97" s="4" cm="1">
        <f t="array" ref="D97">_xlfn.IFS('ProductSprint Backlog'!$F97="", "", AND('ProductSprint Backlog'!$J97&gt;D$2,'ProductSprint Backlog'!$I97&lt;=D$2), 'ProductSprint Backlog'!$F97 / MAX(1, 'ProductSprint Backlog'!$J97-'ProductSprint Backlog'!$I97), AND('ProductSprint Backlog'!$J97=D$2,'ProductSprint Backlog'!$I97=D$2), 'ProductSprint Backlog'!$F97, TRUE, 0)</f>
        <v>0</v>
      </c>
      <c r="E97" s="4" cm="1">
        <f t="array" ref="E97">_xlfn.IFS('ProductSprint Backlog'!$F97="", "", AND('ProductSprint Backlog'!$J97&gt;E$2,'ProductSprint Backlog'!$I97&lt;=E$2), 'ProductSprint Backlog'!$F97 / MAX(1, 'ProductSprint Backlog'!$J97-'ProductSprint Backlog'!$I97), AND('ProductSprint Backlog'!$J97=E$2,'ProductSprint Backlog'!$I97=E$2), 'ProductSprint Backlog'!$F97, TRUE, 0)</f>
        <v>0</v>
      </c>
      <c r="F97" s="4" cm="1">
        <f t="array" ref="F97">_xlfn.IFS('ProductSprint Backlog'!$F97="", "", AND('ProductSprint Backlog'!$J97&gt;F$2,'ProductSprint Backlog'!$I97&lt;=F$2), 'ProductSprint Backlog'!$F97 / MAX(1, 'ProductSprint Backlog'!$J97-'ProductSprint Backlog'!$I97), AND('ProductSprint Backlog'!$J97=F$2,'ProductSprint Backlog'!$I97=F$2), 'ProductSprint Backlog'!$F97, TRUE, 0)</f>
        <v>0</v>
      </c>
      <c r="G97" s="4" cm="1">
        <f t="array" ref="G97">_xlfn.IFS('ProductSprint Backlog'!$F97="", "", AND('ProductSprint Backlog'!$J97&gt;G$2,'ProductSprint Backlog'!$I97&lt;=G$2), 'ProductSprint Backlog'!$F97 / MAX(1, 'ProductSprint Backlog'!$J97-'ProductSprint Backlog'!$I97), AND('ProductSprint Backlog'!$J97=G$2,'ProductSprint Backlog'!$I97=G$2), 'ProductSprint Backlog'!$F97, TRUE, 0)</f>
        <v>0</v>
      </c>
      <c r="H97" s="4" cm="1">
        <f t="array" ref="H97">_xlfn.IFS('ProductSprint Backlog'!$F97="", "", AND('ProductSprint Backlog'!$J97&gt;H$2,'ProductSprint Backlog'!$I97&lt;=H$2), 'ProductSprint Backlog'!$F97 / MAX(1, 'ProductSprint Backlog'!$J97-'ProductSprint Backlog'!$I97), AND('ProductSprint Backlog'!$J97=H$2,'ProductSprint Backlog'!$I97=H$2), 'ProductSprint Backlog'!$F97, TRUE, 0)</f>
        <v>0</v>
      </c>
      <c r="I97" s="4" cm="1">
        <f t="array" ref="I97">_xlfn.IFS('ProductSprint Backlog'!$F97="", "", AND('ProductSprint Backlog'!$J97&gt;I$2,'ProductSprint Backlog'!$I97&lt;=I$2), 'ProductSprint Backlog'!$F97 / MAX(1, 'ProductSprint Backlog'!$J97-'ProductSprint Backlog'!$I97), AND('ProductSprint Backlog'!$J97=I$2,'ProductSprint Backlog'!$I97=I$2), 'ProductSprint Backlog'!$F97, TRUE, 0)</f>
        <v>0</v>
      </c>
      <c r="J97" s="4" cm="1">
        <f t="array" ref="J97">_xlfn.IFS('ProductSprint Backlog'!$F97="", "", AND('ProductSprint Backlog'!$J97&gt;J$2,'ProductSprint Backlog'!$I97&lt;=J$2), 'ProductSprint Backlog'!$F97 / MAX(1, 'ProductSprint Backlog'!$J97-'ProductSprint Backlog'!$I97), AND('ProductSprint Backlog'!$J97=J$2,'ProductSprint Backlog'!$I97=J$2), 'ProductSprint Backlog'!$F97, TRUE, 0)</f>
        <v>0</v>
      </c>
    </row>
    <row r="98" spans="2:10" x14ac:dyDescent="0.2">
      <c r="B98" s="4" cm="1">
        <f t="array" ref="B98">_xlfn.IFS('ProductSprint Backlog'!$F98="", "", AND('ProductSprint Backlog'!$J98&gt;B$2,'ProductSprint Backlog'!$I98&lt;=B$2), 'ProductSprint Backlog'!$F98 / MAX(1, 'ProductSprint Backlog'!$J98-'ProductSprint Backlog'!$I98), AND('ProductSprint Backlog'!$J98=B$2,'ProductSprint Backlog'!$I98=B$2), 'ProductSprint Backlog'!$F98, TRUE, 0)</f>
        <v>0</v>
      </c>
      <c r="C98" s="4" cm="1">
        <f t="array" ref="C98">_xlfn.IFS('ProductSprint Backlog'!$F98="", "", AND('ProductSprint Backlog'!$J98&gt;C$2,'ProductSprint Backlog'!$I98&lt;=C$2), 'ProductSprint Backlog'!$F98 / MAX(1, 'ProductSprint Backlog'!$J98-'ProductSprint Backlog'!$I98), AND('ProductSprint Backlog'!$J98=C$2,'ProductSprint Backlog'!$I98=C$2), 'ProductSprint Backlog'!$F98, TRUE, 0)</f>
        <v>0</v>
      </c>
      <c r="D98" s="4" cm="1">
        <f t="array" ref="D98">_xlfn.IFS('ProductSprint Backlog'!$F98="", "", AND('ProductSprint Backlog'!$J98&gt;D$2,'ProductSprint Backlog'!$I98&lt;=D$2), 'ProductSprint Backlog'!$F98 / MAX(1, 'ProductSprint Backlog'!$J98-'ProductSprint Backlog'!$I98), AND('ProductSprint Backlog'!$J98=D$2,'ProductSprint Backlog'!$I98=D$2), 'ProductSprint Backlog'!$F98, TRUE, 0)</f>
        <v>0</v>
      </c>
      <c r="E98" s="4" cm="1">
        <f t="array" ref="E98">_xlfn.IFS('ProductSprint Backlog'!$F98="", "", AND('ProductSprint Backlog'!$J98&gt;E$2,'ProductSprint Backlog'!$I98&lt;=E$2), 'ProductSprint Backlog'!$F98 / MAX(1, 'ProductSprint Backlog'!$J98-'ProductSprint Backlog'!$I98), AND('ProductSprint Backlog'!$J98=E$2,'ProductSprint Backlog'!$I98=E$2), 'ProductSprint Backlog'!$F98, TRUE, 0)</f>
        <v>0</v>
      </c>
      <c r="F98" s="4" cm="1">
        <f t="array" ref="F98">_xlfn.IFS('ProductSprint Backlog'!$F98="", "", AND('ProductSprint Backlog'!$J98&gt;F$2,'ProductSprint Backlog'!$I98&lt;=F$2), 'ProductSprint Backlog'!$F98 / MAX(1, 'ProductSprint Backlog'!$J98-'ProductSprint Backlog'!$I98), AND('ProductSprint Backlog'!$J98=F$2,'ProductSprint Backlog'!$I98=F$2), 'ProductSprint Backlog'!$F98, TRUE, 0)</f>
        <v>0</v>
      </c>
      <c r="G98" s="4" cm="1">
        <f t="array" ref="G98">_xlfn.IFS('ProductSprint Backlog'!$F98="", "", AND('ProductSprint Backlog'!$J98&gt;G$2,'ProductSprint Backlog'!$I98&lt;=G$2), 'ProductSprint Backlog'!$F98 / MAX(1, 'ProductSprint Backlog'!$J98-'ProductSprint Backlog'!$I98), AND('ProductSprint Backlog'!$J98=G$2,'ProductSprint Backlog'!$I98=G$2), 'ProductSprint Backlog'!$F98, TRUE, 0)</f>
        <v>0</v>
      </c>
      <c r="H98" s="4" cm="1">
        <f t="array" ref="H98">_xlfn.IFS('ProductSprint Backlog'!$F98="", "", AND('ProductSprint Backlog'!$J98&gt;H$2,'ProductSprint Backlog'!$I98&lt;=H$2), 'ProductSprint Backlog'!$F98 / MAX(1, 'ProductSprint Backlog'!$J98-'ProductSprint Backlog'!$I98), AND('ProductSprint Backlog'!$J98=H$2,'ProductSprint Backlog'!$I98=H$2), 'ProductSprint Backlog'!$F98, TRUE, 0)</f>
        <v>0</v>
      </c>
      <c r="I98" s="4" cm="1">
        <f t="array" ref="I98">_xlfn.IFS('ProductSprint Backlog'!$F98="", "", AND('ProductSprint Backlog'!$J98&gt;I$2,'ProductSprint Backlog'!$I98&lt;=I$2), 'ProductSprint Backlog'!$F98 / MAX(1, 'ProductSprint Backlog'!$J98-'ProductSprint Backlog'!$I98), AND('ProductSprint Backlog'!$J98=I$2,'ProductSprint Backlog'!$I98=I$2), 'ProductSprint Backlog'!$F98, TRUE, 0)</f>
        <v>0</v>
      </c>
      <c r="J98" s="4" cm="1">
        <f t="array" ref="J98">_xlfn.IFS('ProductSprint Backlog'!$F98="", "", AND('ProductSprint Backlog'!$J98&gt;J$2,'ProductSprint Backlog'!$I98&lt;=J$2), 'ProductSprint Backlog'!$F98 / MAX(1, 'ProductSprint Backlog'!$J98-'ProductSprint Backlog'!$I98), AND('ProductSprint Backlog'!$J98=J$2,'ProductSprint Backlog'!$I98=J$2), 'ProductSprint Backlog'!$F98, TRUE, 0)</f>
        <v>0</v>
      </c>
    </row>
    <row r="99" spans="2:10" x14ac:dyDescent="0.2">
      <c r="B99" s="4" cm="1">
        <f t="array" ref="B99">_xlfn.IFS('ProductSprint Backlog'!$F99="", "", AND('ProductSprint Backlog'!$J99&gt;B$2,'ProductSprint Backlog'!$I99&lt;=B$2), 'ProductSprint Backlog'!$F99 / MAX(1, 'ProductSprint Backlog'!$J99-'ProductSprint Backlog'!$I99), AND('ProductSprint Backlog'!$J99=B$2,'ProductSprint Backlog'!$I99=B$2), 'ProductSprint Backlog'!$F99, TRUE, 0)</f>
        <v>0</v>
      </c>
      <c r="C99" s="4" cm="1">
        <f t="array" ref="C99">_xlfn.IFS('ProductSprint Backlog'!$F99="", "", AND('ProductSprint Backlog'!$J99&gt;C$2,'ProductSprint Backlog'!$I99&lt;=C$2), 'ProductSprint Backlog'!$F99 / MAX(1, 'ProductSprint Backlog'!$J99-'ProductSprint Backlog'!$I99), AND('ProductSprint Backlog'!$J99=C$2,'ProductSprint Backlog'!$I99=C$2), 'ProductSprint Backlog'!$F99, TRUE, 0)</f>
        <v>0</v>
      </c>
      <c r="D99" s="4" cm="1">
        <f t="array" ref="D99">_xlfn.IFS('ProductSprint Backlog'!$F99="", "", AND('ProductSprint Backlog'!$J99&gt;D$2,'ProductSprint Backlog'!$I99&lt;=D$2), 'ProductSprint Backlog'!$F99 / MAX(1, 'ProductSprint Backlog'!$J99-'ProductSprint Backlog'!$I99), AND('ProductSprint Backlog'!$J99=D$2,'ProductSprint Backlog'!$I99=D$2), 'ProductSprint Backlog'!$F99, TRUE, 0)</f>
        <v>0</v>
      </c>
      <c r="E99" s="4" cm="1">
        <f t="array" ref="E99">_xlfn.IFS('ProductSprint Backlog'!$F99="", "", AND('ProductSprint Backlog'!$J99&gt;E$2,'ProductSprint Backlog'!$I99&lt;=E$2), 'ProductSprint Backlog'!$F99 / MAX(1, 'ProductSprint Backlog'!$J99-'ProductSprint Backlog'!$I99), AND('ProductSprint Backlog'!$J99=E$2,'ProductSprint Backlog'!$I99=E$2), 'ProductSprint Backlog'!$F99, TRUE, 0)</f>
        <v>0</v>
      </c>
      <c r="F99" s="4" cm="1">
        <f t="array" ref="F99">_xlfn.IFS('ProductSprint Backlog'!$F99="", "", AND('ProductSprint Backlog'!$J99&gt;F$2,'ProductSprint Backlog'!$I99&lt;=F$2), 'ProductSprint Backlog'!$F99 / MAX(1, 'ProductSprint Backlog'!$J99-'ProductSprint Backlog'!$I99), AND('ProductSprint Backlog'!$J99=F$2,'ProductSprint Backlog'!$I99=F$2), 'ProductSprint Backlog'!$F99, TRUE, 0)</f>
        <v>0</v>
      </c>
      <c r="G99" s="4" cm="1">
        <f t="array" ref="G99">_xlfn.IFS('ProductSprint Backlog'!$F99="", "", AND('ProductSprint Backlog'!$J99&gt;G$2,'ProductSprint Backlog'!$I99&lt;=G$2), 'ProductSprint Backlog'!$F99 / MAX(1, 'ProductSprint Backlog'!$J99-'ProductSprint Backlog'!$I99), AND('ProductSprint Backlog'!$J99=G$2,'ProductSprint Backlog'!$I99=G$2), 'ProductSprint Backlog'!$F99, TRUE, 0)</f>
        <v>0</v>
      </c>
      <c r="H99" s="4" cm="1">
        <f t="array" ref="H99">_xlfn.IFS('ProductSprint Backlog'!$F99="", "", AND('ProductSprint Backlog'!$J99&gt;H$2,'ProductSprint Backlog'!$I99&lt;=H$2), 'ProductSprint Backlog'!$F99 / MAX(1, 'ProductSprint Backlog'!$J99-'ProductSprint Backlog'!$I99), AND('ProductSprint Backlog'!$J99=H$2,'ProductSprint Backlog'!$I99=H$2), 'ProductSprint Backlog'!$F99, TRUE, 0)</f>
        <v>0</v>
      </c>
      <c r="I99" s="4" cm="1">
        <f t="array" ref="I99">_xlfn.IFS('ProductSprint Backlog'!$F99="", "", AND('ProductSprint Backlog'!$J99&gt;I$2,'ProductSprint Backlog'!$I99&lt;=I$2), 'ProductSprint Backlog'!$F99 / MAX(1, 'ProductSprint Backlog'!$J99-'ProductSprint Backlog'!$I99), AND('ProductSprint Backlog'!$J99=I$2,'ProductSprint Backlog'!$I99=I$2), 'ProductSprint Backlog'!$F99, TRUE, 0)</f>
        <v>0</v>
      </c>
      <c r="J99" s="4" cm="1">
        <f t="array" ref="J99">_xlfn.IFS('ProductSprint Backlog'!$F99="", "", AND('ProductSprint Backlog'!$J99&gt;J$2,'ProductSprint Backlog'!$I99&lt;=J$2), 'ProductSprint Backlog'!$F99 / MAX(1, 'ProductSprint Backlog'!$J99-'ProductSprint Backlog'!$I99), AND('ProductSprint Backlog'!$J99=J$2,'ProductSprint Backlog'!$I99=J$2), 'ProductSprint Backlog'!$F99, TRUE, 0)</f>
        <v>0</v>
      </c>
    </row>
    <row r="100" spans="2:10" x14ac:dyDescent="0.2">
      <c r="B100" s="4" cm="1">
        <f t="array" ref="B100">_xlfn.IFS('ProductSprint Backlog'!$F100="", "", AND('ProductSprint Backlog'!$J100&gt;B$2,'ProductSprint Backlog'!$I100&lt;=B$2), 'ProductSprint Backlog'!$F100 / MAX(1, 'ProductSprint Backlog'!$J100-'ProductSprint Backlog'!$I100), AND('ProductSprint Backlog'!$J100=B$2,'ProductSprint Backlog'!$I100=B$2), 'ProductSprint Backlog'!$F100, TRUE, 0)</f>
        <v>0</v>
      </c>
      <c r="C100" s="4" cm="1">
        <f t="array" ref="C100">_xlfn.IFS('ProductSprint Backlog'!$F100="", "", AND('ProductSprint Backlog'!$J100&gt;C$2,'ProductSprint Backlog'!$I100&lt;=C$2), 'ProductSprint Backlog'!$F100 / MAX(1, 'ProductSprint Backlog'!$J100-'ProductSprint Backlog'!$I100), AND('ProductSprint Backlog'!$J100=C$2,'ProductSprint Backlog'!$I100=C$2), 'ProductSprint Backlog'!$F100, TRUE, 0)</f>
        <v>0</v>
      </c>
      <c r="D100" s="4" cm="1">
        <f t="array" ref="D100">_xlfn.IFS('ProductSprint Backlog'!$F100="", "", AND('ProductSprint Backlog'!$J100&gt;D$2,'ProductSprint Backlog'!$I100&lt;=D$2), 'ProductSprint Backlog'!$F100 / MAX(1, 'ProductSprint Backlog'!$J100-'ProductSprint Backlog'!$I100), AND('ProductSprint Backlog'!$J100=D$2,'ProductSprint Backlog'!$I100=D$2), 'ProductSprint Backlog'!$F100, TRUE, 0)</f>
        <v>0</v>
      </c>
      <c r="E100" s="4" cm="1">
        <f t="array" ref="E100">_xlfn.IFS('ProductSprint Backlog'!$F100="", "", AND('ProductSprint Backlog'!$J100&gt;E$2,'ProductSprint Backlog'!$I100&lt;=E$2), 'ProductSprint Backlog'!$F100 / MAX(1, 'ProductSprint Backlog'!$J100-'ProductSprint Backlog'!$I100), AND('ProductSprint Backlog'!$J100=E$2,'ProductSprint Backlog'!$I100=E$2), 'ProductSprint Backlog'!$F100, TRUE, 0)</f>
        <v>0</v>
      </c>
      <c r="F100" s="4" cm="1">
        <f t="array" ref="F100">_xlfn.IFS('ProductSprint Backlog'!$F100="", "", AND('ProductSprint Backlog'!$J100&gt;F$2,'ProductSprint Backlog'!$I100&lt;=F$2), 'ProductSprint Backlog'!$F100 / MAX(1, 'ProductSprint Backlog'!$J100-'ProductSprint Backlog'!$I100), AND('ProductSprint Backlog'!$J100=F$2,'ProductSprint Backlog'!$I100=F$2), 'ProductSprint Backlog'!$F100, TRUE, 0)</f>
        <v>0</v>
      </c>
      <c r="G100" s="4" cm="1">
        <f t="array" ref="G100">_xlfn.IFS('ProductSprint Backlog'!$F100="", "", AND('ProductSprint Backlog'!$J100&gt;G$2,'ProductSprint Backlog'!$I100&lt;=G$2), 'ProductSprint Backlog'!$F100 / MAX(1, 'ProductSprint Backlog'!$J100-'ProductSprint Backlog'!$I100), AND('ProductSprint Backlog'!$J100=G$2,'ProductSprint Backlog'!$I100=G$2), 'ProductSprint Backlog'!$F100, TRUE, 0)</f>
        <v>0</v>
      </c>
      <c r="H100" s="4" cm="1">
        <f t="array" ref="H100">_xlfn.IFS('ProductSprint Backlog'!$F100="", "", AND('ProductSprint Backlog'!$J100&gt;H$2,'ProductSprint Backlog'!$I100&lt;=H$2), 'ProductSprint Backlog'!$F100 / MAX(1, 'ProductSprint Backlog'!$J100-'ProductSprint Backlog'!$I100), AND('ProductSprint Backlog'!$J100=H$2,'ProductSprint Backlog'!$I100=H$2), 'ProductSprint Backlog'!$F100, TRUE, 0)</f>
        <v>0</v>
      </c>
      <c r="I100" s="4" cm="1">
        <f t="array" ref="I100">_xlfn.IFS('ProductSprint Backlog'!$F100="", "", AND('ProductSprint Backlog'!$J100&gt;I$2,'ProductSprint Backlog'!$I100&lt;=I$2), 'ProductSprint Backlog'!$F100 / MAX(1, 'ProductSprint Backlog'!$J100-'ProductSprint Backlog'!$I100), AND('ProductSprint Backlog'!$J100=I$2,'ProductSprint Backlog'!$I100=I$2), 'ProductSprint Backlog'!$F100, TRUE, 0)</f>
        <v>0</v>
      </c>
      <c r="J100" s="4" cm="1">
        <f t="array" ref="J100">_xlfn.IFS('ProductSprint Backlog'!$F100="", "", AND('ProductSprint Backlog'!$J100&gt;J$2,'ProductSprint Backlog'!$I100&lt;=J$2), 'ProductSprint Backlog'!$F100 / MAX(1, 'ProductSprint Backlog'!$J100-'ProductSprint Backlog'!$I100), AND('ProductSprint Backlog'!$J100=J$2,'ProductSprint Backlog'!$I100=J$2), 'ProductSprint Backlog'!$F100, TRUE, 0)</f>
        <v>0</v>
      </c>
    </row>
    <row r="101" spans="2:10" x14ac:dyDescent="0.2">
      <c r="B101" s="4" cm="1">
        <f t="array" ref="B101">_xlfn.IFS('ProductSprint Backlog'!$F101="", "", AND('ProductSprint Backlog'!$J101&gt;B$2,'ProductSprint Backlog'!$I101&lt;=B$2), 'ProductSprint Backlog'!$F101 / MAX(1, 'ProductSprint Backlog'!$J101-'ProductSprint Backlog'!$I101), AND('ProductSprint Backlog'!$J101=B$2,'ProductSprint Backlog'!$I101=B$2), 'ProductSprint Backlog'!$F101, TRUE, 0)</f>
        <v>0</v>
      </c>
      <c r="C101" s="4" cm="1">
        <f t="array" ref="C101">_xlfn.IFS('ProductSprint Backlog'!$F101="", "", AND('ProductSprint Backlog'!$J101&gt;C$2,'ProductSprint Backlog'!$I101&lt;=C$2), 'ProductSprint Backlog'!$F101 / MAX(1, 'ProductSprint Backlog'!$J101-'ProductSprint Backlog'!$I101), AND('ProductSprint Backlog'!$J101=C$2,'ProductSprint Backlog'!$I101=C$2), 'ProductSprint Backlog'!$F101, TRUE, 0)</f>
        <v>0</v>
      </c>
      <c r="D101" s="4" cm="1">
        <f t="array" ref="D101">_xlfn.IFS('ProductSprint Backlog'!$F101="", "", AND('ProductSprint Backlog'!$J101&gt;D$2,'ProductSprint Backlog'!$I101&lt;=D$2), 'ProductSprint Backlog'!$F101 / MAX(1, 'ProductSprint Backlog'!$J101-'ProductSprint Backlog'!$I101), AND('ProductSprint Backlog'!$J101=D$2,'ProductSprint Backlog'!$I101=D$2), 'ProductSprint Backlog'!$F101, TRUE, 0)</f>
        <v>0</v>
      </c>
      <c r="E101" s="4" cm="1">
        <f t="array" ref="E101">_xlfn.IFS('ProductSprint Backlog'!$F101="", "", AND('ProductSprint Backlog'!$J101&gt;E$2,'ProductSprint Backlog'!$I101&lt;=E$2), 'ProductSprint Backlog'!$F101 / MAX(1, 'ProductSprint Backlog'!$J101-'ProductSprint Backlog'!$I101), AND('ProductSprint Backlog'!$J101=E$2,'ProductSprint Backlog'!$I101=E$2), 'ProductSprint Backlog'!$F101, TRUE, 0)</f>
        <v>0</v>
      </c>
      <c r="F101" s="4" cm="1">
        <f t="array" ref="F101">_xlfn.IFS('ProductSprint Backlog'!$F101="", "", AND('ProductSprint Backlog'!$J101&gt;F$2,'ProductSprint Backlog'!$I101&lt;=F$2), 'ProductSprint Backlog'!$F101 / MAX(1, 'ProductSprint Backlog'!$J101-'ProductSprint Backlog'!$I101), AND('ProductSprint Backlog'!$J101=F$2,'ProductSprint Backlog'!$I101=F$2), 'ProductSprint Backlog'!$F101, TRUE, 0)</f>
        <v>0</v>
      </c>
      <c r="G101" s="4" cm="1">
        <f t="array" ref="G101">_xlfn.IFS('ProductSprint Backlog'!$F101="", "", AND('ProductSprint Backlog'!$J101&gt;G$2,'ProductSprint Backlog'!$I101&lt;=G$2), 'ProductSprint Backlog'!$F101 / MAX(1, 'ProductSprint Backlog'!$J101-'ProductSprint Backlog'!$I101), AND('ProductSprint Backlog'!$J101=G$2,'ProductSprint Backlog'!$I101=G$2), 'ProductSprint Backlog'!$F101, TRUE, 0)</f>
        <v>0</v>
      </c>
      <c r="H101" s="4" cm="1">
        <f t="array" ref="H101">_xlfn.IFS('ProductSprint Backlog'!$F101="", "", AND('ProductSprint Backlog'!$J101&gt;H$2,'ProductSprint Backlog'!$I101&lt;=H$2), 'ProductSprint Backlog'!$F101 / MAX(1, 'ProductSprint Backlog'!$J101-'ProductSprint Backlog'!$I101), AND('ProductSprint Backlog'!$J101=H$2,'ProductSprint Backlog'!$I101=H$2), 'ProductSprint Backlog'!$F101, TRUE, 0)</f>
        <v>0</v>
      </c>
      <c r="I101" s="4" cm="1">
        <f t="array" ref="I101">_xlfn.IFS('ProductSprint Backlog'!$F101="", "", AND('ProductSprint Backlog'!$J101&gt;I$2,'ProductSprint Backlog'!$I101&lt;=I$2), 'ProductSprint Backlog'!$F101 / MAX(1, 'ProductSprint Backlog'!$J101-'ProductSprint Backlog'!$I101), AND('ProductSprint Backlog'!$J101=I$2,'ProductSprint Backlog'!$I101=I$2), 'ProductSprint Backlog'!$F101, TRUE, 0)</f>
        <v>0</v>
      </c>
      <c r="J101" s="4" cm="1">
        <f t="array" ref="J101">_xlfn.IFS('ProductSprint Backlog'!$F101="", "", AND('ProductSprint Backlog'!$J101&gt;J$2,'ProductSprint Backlog'!$I101&lt;=J$2), 'ProductSprint Backlog'!$F101 / MAX(1, 'ProductSprint Backlog'!$J101-'ProductSprint Backlog'!$I101), AND('ProductSprint Backlog'!$J101=J$2,'ProductSprint Backlog'!$I101=J$2), 'ProductSprint Backlog'!$F101, TRUE, 0)</f>
        <v>0</v>
      </c>
    </row>
    <row r="102" spans="2:10" x14ac:dyDescent="0.2">
      <c r="B102" s="4" cm="1">
        <f t="array" ref="B102">_xlfn.IFS('ProductSprint Backlog'!$F102="", "", AND('ProductSprint Backlog'!$J102&gt;B$2,'ProductSprint Backlog'!$I102&lt;=B$2), 'ProductSprint Backlog'!$F102 / MAX(1, 'ProductSprint Backlog'!$J102-'ProductSprint Backlog'!$I102), AND('ProductSprint Backlog'!$J102=B$2,'ProductSprint Backlog'!$I102=B$2), 'ProductSprint Backlog'!$F102, TRUE, 0)</f>
        <v>0</v>
      </c>
      <c r="C102" s="4" cm="1">
        <f t="array" ref="C102">_xlfn.IFS('ProductSprint Backlog'!$F102="", "", AND('ProductSprint Backlog'!$J102&gt;C$2,'ProductSprint Backlog'!$I102&lt;=C$2), 'ProductSprint Backlog'!$F102 / MAX(1, 'ProductSprint Backlog'!$J102-'ProductSprint Backlog'!$I102), AND('ProductSprint Backlog'!$J102=C$2,'ProductSprint Backlog'!$I102=C$2), 'ProductSprint Backlog'!$F102, TRUE, 0)</f>
        <v>0</v>
      </c>
      <c r="D102" s="4" cm="1">
        <f t="array" ref="D102">_xlfn.IFS('ProductSprint Backlog'!$F102="", "", AND('ProductSprint Backlog'!$J102&gt;D$2,'ProductSprint Backlog'!$I102&lt;=D$2), 'ProductSprint Backlog'!$F102 / MAX(1, 'ProductSprint Backlog'!$J102-'ProductSprint Backlog'!$I102), AND('ProductSprint Backlog'!$J102=D$2,'ProductSprint Backlog'!$I102=D$2), 'ProductSprint Backlog'!$F102, TRUE, 0)</f>
        <v>0</v>
      </c>
      <c r="E102" s="4" cm="1">
        <f t="array" ref="E102">_xlfn.IFS('ProductSprint Backlog'!$F102="", "", AND('ProductSprint Backlog'!$J102&gt;E$2,'ProductSprint Backlog'!$I102&lt;=E$2), 'ProductSprint Backlog'!$F102 / MAX(1, 'ProductSprint Backlog'!$J102-'ProductSprint Backlog'!$I102), AND('ProductSprint Backlog'!$J102=E$2,'ProductSprint Backlog'!$I102=E$2), 'ProductSprint Backlog'!$F102, TRUE, 0)</f>
        <v>0</v>
      </c>
      <c r="F102" s="4" cm="1">
        <f t="array" ref="F102">_xlfn.IFS('ProductSprint Backlog'!$F102="", "", AND('ProductSprint Backlog'!$J102&gt;F$2,'ProductSprint Backlog'!$I102&lt;=F$2), 'ProductSprint Backlog'!$F102 / MAX(1, 'ProductSprint Backlog'!$J102-'ProductSprint Backlog'!$I102), AND('ProductSprint Backlog'!$J102=F$2,'ProductSprint Backlog'!$I102=F$2), 'ProductSprint Backlog'!$F102, TRUE, 0)</f>
        <v>0</v>
      </c>
      <c r="G102" s="4" cm="1">
        <f t="array" ref="G102">_xlfn.IFS('ProductSprint Backlog'!$F102="", "", AND('ProductSprint Backlog'!$J102&gt;G$2,'ProductSprint Backlog'!$I102&lt;=G$2), 'ProductSprint Backlog'!$F102 / MAX(1, 'ProductSprint Backlog'!$J102-'ProductSprint Backlog'!$I102), AND('ProductSprint Backlog'!$J102=G$2,'ProductSprint Backlog'!$I102=G$2), 'ProductSprint Backlog'!$F102, TRUE, 0)</f>
        <v>0</v>
      </c>
      <c r="H102" s="4" cm="1">
        <f t="array" ref="H102">_xlfn.IFS('ProductSprint Backlog'!$F102="", "", AND('ProductSprint Backlog'!$J102&gt;H$2,'ProductSprint Backlog'!$I102&lt;=H$2), 'ProductSprint Backlog'!$F102 / MAX(1, 'ProductSprint Backlog'!$J102-'ProductSprint Backlog'!$I102), AND('ProductSprint Backlog'!$J102=H$2,'ProductSprint Backlog'!$I102=H$2), 'ProductSprint Backlog'!$F102, TRUE, 0)</f>
        <v>0</v>
      </c>
      <c r="I102" s="4" cm="1">
        <f t="array" ref="I102">_xlfn.IFS('ProductSprint Backlog'!$F102="", "", AND('ProductSprint Backlog'!$J102&gt;I$2,'ProductSprint Backlog'!$I102&lt;=I$2), 'ProductSprint Backlog'!$F102 / MAX(1, 'ProductSprint Backlog'!$J102-'ProductSprint Backlog'!$I102), AND('ProductSprint Backlog'!$J102=I$2,'ProductSprint Backlog'!$I102=I$2), 'ProductSprint Backlog'!$F102, TRUE, 0)</f>
        <v>0</v>
      </c>
      <c r="J102" s="4" cm="1">
        <f t="array" ref="J102">_xlfn.IFS('ProductSprint Backlog'!$F102="", "", AND('ProductSprint Backlog'!$J102&gt;J$2,'ProductSprint Backlog'!$I102&lt;=J$2), 'ProductSprint Backlog'!$F102 / MAX(1, 'ProductSprint Backlog'!$J102-'ProductSprint Backlog'!$I102), AND('ProductSprint Backlog'!$J102=J$2,'ProductSprint Backlog'!$I102=J$2), 'ProductSprint Backlog'!$F102, TRUE, 0)</f>
        <v>0</v>
      </c>
    </row>
    <row r="103" spans="2:10" x14ac:dyDescent="0.2">
      <c r="B103" s="4" cm="1">
        <f t="array" ref="B103">_xlfn.IFS('ProductSprint Backlog'!$F103="", "", AND('ProductSprint Backlog'!$J103&gt;B$2,'ProductSprint Backlog'!$I103&lt;=B$2), 'ProductSprint Backlog'!$F103 / MAX(1, 'ProductSprint Backlog'!$J103-'ProductSprint Backlog'!$I103), AND('ProductSprint Backlog'!$J103=B$2,'ProductSprint Backlog'!$I103=B$2), 'ProductSprint Backlog'!$F103, TRUE, 0)</f>
        <v>0</v>
      </c>
      <c r="C103" s="4" cm="1">
        <f t="array" ref="C103">_xlfn.IFS('ProductSprint Backlog'!$F103="", "", AND('ProductSprint Backlog'!$J103&gt;C$2,'ProductSprint Backlog'!$I103&lt;=C$2), 'ProductSprint Backlog'!$F103 / MAX(1, 'ProductSprint Backlog'!$J103-'ProductSprint Backlog'!$I103), AND('ProductSprint Backlog'!$J103=C$2,'ProductSprint Backlog'!$I103=C$2), 'ProductSprint Backlog'!$F103, TRUE, 0)</f>
        <v>0</v>
      </c>
      <c r="D103" s="4" cm="1">
        <f t="array" ref="D103">_xlfn.IFS('ProductSprint Backlog'!$F103="", "", AND('ProductSprint Backlog'!$J103&gt;D$2,'ProductSprint Backlog'!$I103&lt;=D$2), 'ProductSprint Backlog'!$F103 / MAX(1, 'ProductSprint Backlog'!$J103-'ProductSprint Backlog'!$I103), AND('ProductSprint Backlog'!$J103=D$2,'ProductSprint Backlog'!$I103=D$2), 'ProductSprint Backlog'!$F103, TRUE, 0)</f>
        <v>0</v>
      </c>
      <c r="E103" s="4" cm="1">
        <f t="array" ref="E103">_xlfn.IFS('ProductSprint Backlog'!$F103="", "", AND('ProductSprint Backlog'!$J103&gt;E$2,'ProductSprint Backlog'!$I103&lt;=E$2), 'ProductSprint Backlog'!$F103 / MAX(1, 'ProductSprint Backlog'!$J103-'ProductSprint Backlog'!$I103), AND('ProductSprint Backlog'!$J103=E$2,'ProductSprint Backlog'!$I103=E$2), 'ProductSprint Backlog'!$F103, TRUE, 0)</f>
        <v>0</v>
      </c>
      <c r="F103" s="4" cm="1">
        <f t="array" ref="F103">_xlfn.IFS('ProductSprint Backlog'!$F103="", "", AND('ProductSprint Backlog'!$J103&gt;F$2,'ProductSprint Backlog'!$I103&lt;=F$2), 'ProductSprint Backlog'!$F103 / MAX(1, 'ProductSprint Backlog'!$J103-'ProductSprint Backlog'!$I103), AND('ProductSprint Backlog'!$J103=F$2,'ProductSprint Backlog'!$I103=F$2), 'ProductSprint Backlog'!$F103, TRUE, 0)</f>
        <v>0</v>
      </c>
      <c r="G103" s="4" cm="1">
        <f t="array" ref="G103">_xlfn.IFS('ProductSprint Backlog'!$F103="", "", AND('ProductSprint Backlog'!$J103&gt;G$2,'ProductSprint Backlog'!$I103&lt;=G$2), 'ProductSprint Backlog'!$F103 / MAX(1, 'ProductSprint Backlog'!$J103-'ProductSprint Backlog'!$I103), AND('ProductSprint Backlog'!$J103=G$2,'ProductSprint Backlog'!$I103=G$2), 'ProductSprint Backlog'!$F103, TRUE, 0)</f>
        <v>0</v>
      </c>
      <c r="H103" s="4" cm="1">
        <f t="array" ref="H103">_xlfn.IFS('ProductSprint Backlog'!$F103="", "", AND('ProductSprint Backlog'!$J103&gt;H$2,'ProductSprint Backlog'!$I103&lt;=H$2), 'ProductSprint Backlog'!$F103 / MAX(1, 'ProductSprint Backlog'!$J103-'ProductSprint Backlog'!$I103), AND('ProductSprint Backlog'!$J103=H$2,'ProductSprint Backlog'!$I103=H$2), 'ProductSprint Backlog'!$F103, TRUE, 0)</f>
        <v>0</v>
      </c>
      <c r="I103" s="4" cm="1">
        <f t="array" ref="I103">_xlfn.IFS('ProductSprint Backlog'!$F103="", "", AND('ProductSprint Backlog'!$J103&gt;I$2,'ProductSprint Backlog'!$I103&lt;=I$2), 'ProductSprint Backlog'!$F103 / MAX(1, 'ProductSprint Backlog'!$J103-'ProductSprint Backlog'!$I103), AND('ProductSprint Backlog'!$J103=I$2,'ProductSprint Backlog'!$I103=I$2), 'ProductSprint Backlog'!$F103, TRUE, 0)</f>
        <v>0</v>
      </c>
      <c r="J103" s="4" cm="1">
        <f t="array" ref="J103">_xlfn.IFS('ProductSprint Backlog'!$F103="", "", AND('ProductSprint Backlog'!$J103&gt;J$2,'ProductSprint Backlog'!$I103&lt;=J$2), 'ProductSprint Backlog'!$F103 / MAX(1, 'ProductSprint Backlog'!$J103-'ProductSprint Backlog'!$I103), AND('ProductSprint Backlog'!$J103=J$2,'ProductSprint Backlog'!$I103=J$2), 'ProductSprint Backlog'!$F103, TRUE, 0)</f>
        <v>0</v>
      </c>
    </row>
    <row r="104" spans="2:10" x14ac:dyDescent="0.2">
      <c r="B104" s="4" cm="1">
        <f t="array" ref="B104">_xlfn.IFS('ProductSprint Backlog'!$F104="", "", AND('ProductSprint Backlog'!$J104&gt;B$2,'ProductSprint Backlog'!$I104&lt;=B$2), 'ProductSprint Backlog'!$F104 / MAX(1, 'ProductSprint Backlog'!$J104-'ProductSprint Backlog'!$I104), AND('ProductSprint Backlog'!$J104=B$2,'ProductSprint Backlog'!$I104=B$2), 'ProductSprint Backlog'!$F104, TRUE, 0)</f>
        <v>0</v>
      </c>
      <c r="C104" s="4" cm="1">
        <f t="array" ref="C104">_xlfn.IFS('ProductSprint Backlog'!$F104="", "", AND('ProductSprint Backlog'!$J104&gt;C$2,'ProductSprint Backlog'!$I104&lt;=C$2), 'ProductSprint Backlog'!$F104 / MAX(1, 'ProductSprint Backlog'!$J104-'ProductSprint Backlog'!$I104), AND('ProductSprint Backlog'!$J104=C$2,'ProductSprint Backlog'!$I104=C$2), 'ProductSprint Backlog'!$F104, TRUE, 0)</f>
        <v>0</v>
      </c>
      <c r="D104" s="4" cm="1">
        <f t="array" ref="D104">_xlfn.IFS('ProductSprint Backlog'!$F104="", "", AND('ProductSprint Backlog'!$J104&gt;D$2,'ProductSprint Backlog'!$I104&lt;=D$2), 'ProductSprint Backlog'!$F104 / MAX(1, 'ProductSprint Backlog'!$J104-'ProductSprint Backlog'!$I104), AND('ProductSprint Backlog'!$J104=D$2,'ProductSprint Backlog'!$I104=D$2), 'ProductSprint Backlog'!$F104, TRUE, 0)</f>
        <v>0</v>
      </c>
      <c r="E104" s="4" cm="1">
        <f t="array" ref="E104">_xlfn.IFS('ProductSprint Backlog'!$F104="", "", AND('ProductSprint Backlog'!$J104&gt;E$2,'ProductSprint Backlog'!$I104&lt;=E$2), 'ProductSprint Backlog'!$F104 / MAX(1, 'ProductSprint Backlog'!$J104-'ProductSprint Backlog'!$I104), AND('ProductSprint Backlog'!$J104=E$2,'ProductSprint Backlog'!$I104=E$2), 'ProductSprint Backlog'!$F104, TRUE, 0)</f>
        <v>0</v>
      </c>
      <c r="F104" s="4" cm="1">
        <f t="array" ref="F104">_xlfn.IFS('ProductSprint Backlog'!$F104="", "", AND('ProductSprint Backlog'!$J104&gt;F$2,'ProductSprint Backlog'!$I104&lt;=F$2), 'ProductSprint Backlog'!$F104 / MAX(1, 'ProductSprint Backlog'!$J104-'ProductSprint Backlog'!$I104), AND('ProductSprint Backlog'!$J104=F$2,'ProductSprint Backlog'!$I104=F$2), 'ProductSprint Backlog'!$F104, TRUE, 0)</f>
        <v>0</v>
      </c>
      <c r="G104" s="4" cm="1">
        <f t="array" ref="G104">_xlfn.IFS('ProductSprint Backlog'!$F104="", "", AND('ProductSprint Backlog'!$J104&gt;G$2,'ProductSprint Backlog'!$I104&lt;=G$2), 'ProductSprint Backlog'!$F104 / MAX(1, 'ProductSprint Backlog'!$J104-'ProductSprint Backlog'!$I104), AND('ProductSprint Backlog'!$J104=G$2,'ProductSprint Backlog'!$I104=G$2), 'ProductSprint Backlog'!$F104, TRUE, 0)</f>
        <v>0</v>
      </c>
      <c r="H104" s="4" cm="1">
        <f t="array" ref="H104">_xlfn.IFS('ProductSprint Backlog'!$F104="", "", AND('ProductSprint Backlog'!$J104&gt;H$2,'ProductSprint Backlog'!$I104&lt;=H$2), 'ProductSprint Backlog'!$F104 / MAX(1, 'ProductSprint Backlog'!$J104-'ProductSprint Backlog'!$I104), AND('ProductSprint Backlog'!$J104=H$2,'ProductSprint Backlog'!$I104=H$2), 'ProductSprint Backlog'!$F104, TRUE, 0)</f>
        <v>0</v>
      </c>
      <c r="I104" s="4" cm="1">
        <f t="array" ref="I104">_xlfn.IFS('ProductSprint Backlog'!$F104="", "", AND('ProductSprint Backlog'!$J104&gt;I$2,'ProductSprint Backlog'!$I104&lt;=I$2), 'ProductSprint Backlog'!$F104 / MAX(1, 'ProductSprint Backlog'!$J104-'ProductSprint Backlog'!$I104), AND('ProductSprint Backlog'!$J104=I$2,'ProductSprint Backlog'!$I104=I$2), 'ProductSprint Backlog'!$F104, TRUE, 0)</f>
        <v>0</v>
      </c>
      <c r="J104" s="4" cm="1">
        <f t="array" ref="J104">_xlfn.IFS('ProductSprint Backlog'!$F104="", "", AND('ProductSprint Backlog'!$J104&gt;J$2,'ProductSprint Backlog'!$I104&lt;=J$2), 'ProductSprint Backlog'!$F104 / MAX(1, 'ProductSprint Backlog'!$J104-'ProductSprint Backlog'!$I104), AND('ProductSprint Backlog'!$J104=J$2,'ProductSprint Backlog'!$I104=J$2), 'ProductSprint Backlog'!$F104, TRUE, 0)</f>
        <v>0</v>
      </c>
    </row>
    <row r="105" spans="2:10" x14ac:dyDescent="0.2">
      <c r="B105" s="4" cm="1">
        <f t="array" ref="B105">_xlfn.IFS('ProductSprint Backlog'!$F105="", "", AND('ProductSprint Backlog'!$J105&gt;B$2,'ProductSprint Backlog'!$I105&lt;=B$2), 'ProductSprint Backlog'!$F105 / MAX(1, 'ProductSprint Backlog'!$J105-'ProductSprint Backlog'!$I105), AND('ProductSprint Backlog'!$J105=B$2,'ProductSprint Backlog'!$I105=B$2), 'ProductSprint Backlog'!$F105, TRUE, 0)</f>
        <v>0</v>
      </c>
      <c r="C105" s="4" cm="1">
        <f t="array" ref="C105">_xlfn.IFS('ProductSprint Backlog'!$F105="", "", AND('ProductSprint Backlog'!$J105&gt;C$2,'ProductSprint Backlog'!$I105&lt;=C$2), 'ProductSprint Backlog'!$F105 / MAX(1, 'ProductSprint Backlog'!$J105-'ProductSprint Backlog'!$I105), AND('ProductSprint Backlog'!$J105=C$2,'ProductSprint Backlog'!$I105=C$2), 'ProductSprint Backlog'!$F105, TRUE, 0)</f>
        <v>0</v>
      </c>
      <c r="D105" s="4" cm="1">
        <f t="array" ref="D105">_xlfn.IFS('ProductSprint Backlog'!$F105="", "", AND('ProductSprint Backlog'!$J105&gt;D$2,'ProductSprint Backlog'!$I105&lt;=D$2), 'ProductSprint Backlog'!$F105 / MAX(1, 'ProductSprint Backlog'!$J105-'ProductSprint Backlog'!$I105), AND('ProductSprint Backlog'!$J105=D$2,'ProductSprint Backlog'!$I105=D$2), 'ProductSprint Backlog'!$F105, TRUE, 0)</f>
        <v>0</v>
      </c>
      <c r="E105" s="4" cm="1">
        <f t="array" ref="E105">_xlfn.IFS('ProductSprint Backlog'!$F105="", "", AND('ProductSprint Backlog'!$J105&gt;E$2,'ProductSprint Backlog'!$I105&lt;=E$2), 'ProductSprint Backlog'!$F105 / MAX(1, 'ProductSprint Backlog'!$J105-'ProductSprint Backlog'!$I105), AND('ProductSprint Backlog'!$J105=E$2,'ProductSprint Backlog'!$I105=E$2), 'ProductSprint Backlog'!$F105, TRUE, 0)</f>
        <v>0</v>
      </c>
      <c r="F105" s="4" cm="1">
        <f t="array" ref="F105">_xlfn.IFS('ProductSprint Backlog'!$F105="", "", AND('ProductSprint Backlog'!$J105&gt;F$2,'ProductSprint Backlog'!$I105&lt;=F$2), 'ProductSprint Backlog'!$F105 / MAX(1, 'ProductSprint Backlog'!$J105-'ProductSprint Backlog'!$I105), AND('ProductSprint Backlog'!$J105=F$2,'ProductSprint Backlog'!$I105=F$2), 'ProductSprint Backlog'!$F105, TRUE, 0)</f>
        <v>0</v>
      </c>
      <c r="G105" s="4" cm="1">
        <f t="array" ref="G105">_xlfn.IFS('ProductSprint Backlog'!$F105="", "", AND('ProductSprint Backlog'!$J105&gt;G$2,'ProductSprint Backlog'!$I105&lt;=G$2), 'ProductSprint Backlog'!$F105 / MAX(1, 'ProductSprint Backlog'!$J105-'ProductSprint Backlog'!$I105), AND('ProductSprint Backlog'!$J105=G$2,'ProductSprint Backlog'!$I105=G$2), 'ProductSprint Backlog'!$F105, TRUE, 0)</f>
        <v>0</v>
      </c>
      <c r="H105" s="4" cm="1">
        <f t="array" ref="H105">_xlfn.IFS('ProductSprint Backlog'!$F105="", "", AND('ProductSprint Backlog'!$J105&gt;H$2,'ProductSprint Backlog'!$I105&lt;=H$2), 'ProductSprint Backlog'!$F105 / MAX(1, 'ProductSprint Backlog'!$J105-'ProductSprint Backlog'!$I105), AND('ProductSprint Backlog'!$J105=H$2,'ProductSprint Backlog'!$I105=H$2), 'ProductSprint Backlog'!$F105, TRUE, 0)</f>
        <v>0</v>
      </c>
      <c r="I105" s="4" cm="1">
        <f t="array" ref="I105">_xlfn.IFS('ProductSprint Backlog'!$F105="", "", AND('ProductSprint Backlog'!$J105&gt;I$2,'ProductSprint Backlog'!$I105&lt;=I$2), 'ProductSprint Backlog'!$F105 / MAX(1, 'ProductSprint Backlog'!$J105-'ProductSprint Backlog'!$I105), AND('ProductSprint Backlog'!$J105=I$2,'ProductSprint Backlog'!$I105=I$2), 'ProductSprint Backlog'!$F105, TRUE, 0)</f>
        <v>0</v>
      </c>
      <c r="J105" s="4" cm="1">
        <f t="array" ref="J105">_xlfn.IFS('ProductSprint Backlog'!$F105="", "", AND('ProductSprint Backlog'!$J105&gt;J$2,'ProductSprint Backlog'!$I105&lt;=J$2), 'ProductSprint Backlog'!$F105 / MAX(1, 'ProductSprint Backlog'!$J105-'ProductSprint Backlog'!$I105), AND('ProductSprint Backlog'!$J105=J$2,'ProductSprint Backlog'!$I105=J$2), 'ProductSprint Backlog'!$F105, TRUE, 0)</f>
        <v>0</v>
      </c>
    </row>
    <row r="106" spans="2:10" x14ac:dyDescent="0.2">
      <c r="B106" s="4" cm="1">
        <f t="array" ref="B106">_xlfn.IFS('ProductSprint Backlog'!$F106="", "", AND('ProductSprint Backlog'!$J106&gt;B$2,'ProductSprint Backlog'!$I106&lt;=B$2), 'ProductSprint Backlog'!$F106 / MAX(1, 'ProductSprint Backlog'!$J106-'ProductSprint Backlog'!$I106), AND('ProductSprint Backlog'!$J106=B$2,'ProductSprint Backlog'!$I106=B$2), 'ProductSprint Backlog'!$F106, TRUE, 0)</f>
        <v>0</v>
      </c>
      <c r="C106" s="4" cm="1">
        <f t="array" ref="C106">_xlfn.IFS('ProductSprint Backlog'!$F106="", "", AND('ProductSprint Backlog'!$J106&gt;C$2,'ProductSprint Backlog'!$I106&lt;=C$2), 'ProductSprint Backlog'!$F106 / MAX(1, 'ProductSprint Backlog'!$J106-'ProductSprint Backlog'!$I106), AND('ProductSprint Backlog'!$J106=C$2,'ProductSprint Backlog'!$I106=C$2), 'ProductSprint Backlog'!$F106, TRUE, 0)</f>
        <v>0</v>
      </c>
      <c r="D106" s="4" cm="1">
        <f t="array" ref="D106">_xlfn.IFS('ProductSprint Backlog'!$F106="", "", AND('ProductSprint Backlog'!$J106&gt;D$2,'ProductSprint Backlog'!$I106&lt;=D$2), 'ProductSprint Backlog'!$F106 / MAX(1, 'ProductSprint Backlog'!$J106-'ProductSprint Backlog'!$I106), AND('ProductSprint Backlog'!$J106=D$2,'ProductSprint Backlog'!$I106=D$2), 'ProductSprint Backlog'!$F106, TRUE, 0)</f>
        <v>0</v>
      </c>
      <c r="E106" s="4" cm="1">
        <f t="array" ref="E106">_xlfn.IFS('ProductSprint Backlog'!$F106="", "", AND('ProductSprint Backlog'!$J106&gt;E$2,'ProductSprint Backlog'!$I106&lt;=E$2), 'ProductSprint Backlog'!$F106 / MAX(1, 'ProductSprint Backlog'!$J106-'ProductSprint Backlog'!$I106), AND('ProductSprint Backlog'!$J106=E$2,'ProductSprint Backlog'!$I106=E$2), 'ProductSprint Backlog'!$F106, TRUE, 0)</f>
        <v>0</v>
      </c>
      <c r="F106" s="4" cm="1">
        <f t="array" ref="F106">_xlfn.IFS('ProductSprint Backlog'!$F106="", "", AND('ProductSprint Backlog'!$J106&gt;F$2,'ProductSprint Backlog'!$I106&lt;=F$2), 'ProductSprint Backlog'!$F106 / MAX(1, 'ProductSprint Backlog'!$J106-'ProductSprint Backlog'!$I106), AND('ProductSprint Backlog'!$J106=F$2,'ProductSprint Backlog'!$I106=F$2), 'ProductSprint Backlog'!$F106, TRUE, 0)</f>
        <v>0</v>
      </c>
      <c r="G106" s="4" cm="1">
        <f t="array" ref="G106">_xlfn.IFS('ProductSprint Backlog'!$F106="", "", AND('ProductSprint Backlog'!$J106&gt;G$2,'ProductSprint Backlog'!$I106&lt;=G$2), 'ProductSprint Backlog'!$F106 / MAX(1, 'ProductSprint Backlog'!$J106-'ProductSprint Backlog'!$I106), AND('ProductSprint Backlog'!$J106=G$2,'ProductSprint Backlog'!$I106=G$2), 'ProductSprint Backlog'!$F106, TRUE, 0)</f>
        <v>0</v>
      </c>
      <c r="H106" s="4" cm="1">
        <f t="array" ref="H106">_xlfn.IFS('ProductSprint Backlog'!$F106="", "", AND('ProductSprint Backlog'!$J106&gt;H$2,'ProductSprint Backlog'!$I106&lt;=H$2), 'ProductSprint Backlog'!$F106 / MAX(1, 'ProductSprint Backlog'!$J106-'ProductSprint Backlog'!$I106), AND('ProductSprint Backlog'!$J106=H$2,'ProductSprint Backlog'!$I106=H$2), 'ProductSprint Backlog'!$F106, TRUE, 0)</f>
        <v>0</v>
      </c>
      <c r="I106" s="4" cm="1">
        <f t="array" ref="I106">_xlfn.IFS('ProductSprint Backlog'!$F106="", "", AND('ProductSprint Backlog'!$J106&gt;I$2,'ProductSprint Backlog'!$I106&lt;=I$2), 'ProductSprint Backlog'!$F106 / MAX(1, 'ProductSprint Backlog'!$J106-'ProductSprint Backlog'!$I106), AND('ProductSprint Backlog'!$J106=I$2,'ProductSprint Backlog'!$I106=I$2), 'ProductSprint Backlog'!$F106, TRUE, 0)</f>
        <v>0</v>
      </c>
      <c r="J106" s="4" cm="1">
        <f t="array" ref="J106">_xlfn.IFS('ProductSprint Backlog'!$F106="", "", AND('ProductSprint Backlog'!$J106&gt;J$2,'ProductSprint Backlog'!$I106&lt;=J$2), 'ProductSprint Backlog'!$F106 / MAX(1, 'ProductSprint Backlog'!$J106-'ProductSprint Backlog'!$I106), AND('ProductSprint Backlog'!$J106=J$2,'ProductSprint Backlog'!$I106=J$2), 'ProductSprint Backlog'!$F106, TRUE, 0)</f>
        <v>0</v>
      </c>
    </row>
    <row r="107" spans="2:10" x14ac:dyDescent="0.2">
      <c r="B107" s="4" t="str" cm="1">
        <f t="array" ref="B107">_xlfn.IFS('ProductSprint Backlog'!$F107="", "", AND('ProductSprint Backlog'!$J107&gt;B$2,'ProductSprint Backlog'!$I107&lt;=B$2), 'ProductSprint Backlog'!$F107 / MAX(1, 'ProductSprint Backlog'!$J107-'ProductSprint Backlog'!$I107), AND('ProductSprint Backlog'!$J107=B$2,'ProductSprint Backlog'!$I107=B$2), 'ProductSprint Backlog'!$F107, TRUE, 0)</f>
        <v/>
      </c>
      <c r="C107" s="4" t="str" cm="1">
        <f t="array" ref="C107">_xlfn.IFS('ProductSprint Backlog'!$F107="", "", AND('ProductSprint Backlog'!$J107&gt;C$2,'ProductSprint Backlog'!$I107&lt;=C$2), 'ProductSprint Backlog'!$F107 / MAX(1, 'ProductSprint Backlog'!$J107-'ProductSprint Backlog'!$I107), AND('ProductSprint Backlog'!$J107=C$2,'ProductSprint Backlog'!$I107=C$2), 'ProductSprint Backlog'!$F107, TRUE, 0)</f>
        <v/>
      </c>
      <c r="D107" s="4" t="str" cm="1">
        <f t="array" ref="D107">_xlfn.IFS('ProductSprint Backlog'!$F107="", "", AND('ProductSprint Backlog'!$J107&gt;D$2,'ProductSprint Backlog'!$I107&lt;=D$2), 'ProductSprint Backlog'!$F107 / MAX(1, 'ProductSprint Backlog'!$J107-'ProductSprint Backlog'!$I107), AND('ProductSprint Backlog'!$J107=D$2,'ProductSprint Backlog'!$I107=D$2), 'ProductSprint Backlog'!$F107, TRUE, 0)</f>
        <v/>
      </c>
      <c r="E107" s="4" t="str" cm="1">
        <f t="array" ref="E107">_xlfn.IFS('ProductSprint Backlog'!$F107="", "", AND('ProductSprint Backlog'!$J107&gt;E$2,'ProductSprint Backlog'!$I107&lt;=E$2), 'ProductSprint Backlog'!$F107 / MAX(1, 'ProductSprint Backlog'!$J107-'ProductSprint Backlog'!$I107), AND('ProductSprint Backlog'!$J107=E$2,'ProductSprint Backlog'!$I107=E$2), 'ProductSprint Backlog'!$F107, TRUE, 0)</f>
        <v/>
      </c>
      <c r="F107" s="4" t="str" cm="1">
        <f t="array" ref="F107">_xlfn.IFS('ProductSprint Backlog'!$F107="", "", AND('ProductSprint Backlog'!$J107&gt;F$2,'ProductSprint Backlog'!$I107&lt;=F$2), 'ProductSprint Backlog'!$F107 / MAX(1, 'ProductSprint Backlog'!$J107-'ProductSprint Backlog'!$I107), AND('ProductSprint Backlog'!$J107=F$2,'ProductSprint Backlog'!$I107=F$2), 'ProductSprint Backlog'!$F107, TRUE, 0)</f>
        <v/>
      </c>
      <c r="G107" s="4" t="str" cm="1">
        <f t="array" ref="G107">_xlfn.IFS('ProductSprint Backlog'!$F107="", "", AND('ProductSprint Backlog'!$J107&gt;G$2,'ProductSprint Backlog'!$I107&lt;=G$2), 'ProductSprint Backlog'!$F107 / MAX(1, 'ProductSprint Backlog'!$J107-'ProductSprint Backlog'!$I107), AND('ProductSprint Backlog'!$J107=G$2,'ProductSprint Backlog'!$I107=G$2), 'ProductSprint Backlog'!$F107, TRUE, 0)</f>
        <v/>
      </c>
      <c r="H107" s="4" t="str" cm="1">
        <f t="array" ref="H107">_xlfn.IFS('ProductSprint Backlog'!$F107="", "", AND('ProductSprint Backlog'!$J107&gt;H$2,'ProductSprint Backlog'!$I107&lt;=H$2), 'ProductSprint Backlog'!$F107 / MAX(1, 'ProductSprint Backlog'!$J107-'ProductSprint Backlog'!$I107), AND('ProductSprint Backlog'!$J107=H$2,'ProductSprint Backlog'!$I107=H$2), 'ProductSprint Backlog'!$F107, TRUE, 0)</f>
        <v/>
      </c>
      <c r="I107" s="4" t="str" cm="1">
        <f t="array" ref="I107">_xlfn.IFS('ProductSprint Backlog'!$F107="", "", AND('ProductSprint Backlog'!$J107&gt;I$2,'ProductSprint Backlog'!$I107&lt;=I$2), 'ProductSprint Backlog'!$F107 / MAX(1, 'ProductSprint Backlog'!$J107-'ProductSprint Backlog'!$I107), AND('ProductSprint Backlog'!$J107=I$2,'ProductSprint Backlog'!$I107=I$2), 'ProductSprint Backlog'!$F107, TRUE, 0)</f>
        <v/>
      </c>
      <c r="J107" s="4" t="str" cm="1">
        <f t="array" ref="J107">_xlfn.IFS('ProductSprint Backlog'!$F107="", "", AND('ProductSprint Backlog'!$J107&gt;J$2,'ProductSprint Backlog'!$I107&lt;=J$2), 'ProductSprint Backlog'!$F107 / MAX(1, 'ProductSprint Backlog'!$J107-'ProductSprint Backlog'!$I107), AND('ProductSprint Backlog'!$J107=J$2,'ProductSprint Backlog'!$I107=J$2), 'ProductSprint Backlog'!$F107, TRUE, 0)</f>
        <v/>
      </c>
    </row>
    <row r="108" spans="2:10" x14ac:dyDescent="0.2">
      <c r="B108" s="4" cm="1">
        <f t="array" ref="B108">_xlfn.IFS('ProductSprint Backlog'!$F108="", "", AND('ProductSprint Backlog'!$J108&gt;B$2,'ProductSprint Backlog'!$I108&lt;=B$2), 'ProductSprint Backlog'!$F108 / MAX(1, 'ProductSprint Backlog'!$J108-'ProductSprint Backlog'!$I108), AND('ProductSprint Backlog'!$J108=B$2,'ProductSprint Backlog'!$I108=B$2), 'ProductSprint Backlog'!$F108, TRUE, 0)</f>
        <v>0</v>
      </c>
      <c r="C108" s="4" cm="1">
        <f t="array" ref="C108">_xlfn.IFS('ProductSprint Backlog'!$F108="", "", AND('ProductSprint Backlog'!$J108&gt;C$2,'ProductSprint Backlog'!$I108&lt;=C$2), 'ProductSprint Backlog'!$F108 / MAX(1, 'ProductSprint Backlog'!$J108-'ProductSprint Backlog'!$I108), AND('ProductSprint Backlog'!$J108=C$2,'ProductSprint Backlog'!$I108=C$2), 'ProductSprint Backlog'!$F108, TRUE, 0)</f>
        <v>0</v>
      </c>
      <c r="D108" s="4" cm="1">
        <f t="array" ref="D108">_xlfn.IFS('ProductSprint Backlog'!$F108="", "", AND('ProductSprint Backlog'!$J108&gt;D$2,'ProductSprint Backlog'!$I108&lt;=D$2), 'ProductSprint Backlog'!$F108 / MAX(1, 'ProductSprint Backlog'!$J108-'ProductSprint Backlog'!$I108), AND('ProductSprint Backlog'!$J108=D$2,'ProductSprint Backlog'!$I108=D$2), 'ProductSprint Backlog'!$F108, TRUE, 0)</f>
        <v>0</v>
      </c>
      <c r="E108" s="4" cm="1">
        <f t="array" ref="E108">_xlfn.IFS('ProductSprint Backlog'!$F108="", "", AND('ProductSprint Backlog'!$J108&gt;E$2,'ProductSprint Backlog'!$I108&lt;=E$2), 'ProductSprint Backlog'!$F108 / MAX(1, 'ProductSprint Backlog'!$J108-'ProductSprint Backlog'!$I108), AND('ProductSprint Backlog'!$J108=E$2,'ProductSprint Backlog'!$I108=E$2), 'ProductSprint Backlog'!$F108, TRUE, 0)</f>
        <v>0</v>
      </c>
      <c r="F108" s="4" cm="1">
        <f t="array" ref="F108">_xlfn.IFS('ProductSprint Backlog'!$F108="", "", AND('ProductSprint Backlog'!$J108&gt;F$2,'ProductSprint Backlog'!$I108&lt;=F$2), 'ProductSprint Backlog'!$F108 / MAX(1, 'ProductSprint Backlog'!$J108-'ProductSprint Backlog'!$I108), AND('ProductSprint Backlog'!$J108=F$2,'ProductSprint Backlog'!$I108=F$2), 'ProductSprint Backlog'!$F108, TRUE, 0)</f>
        <v>0</v>
      </c>
      <c r="G108" s="4" cm="1">
        <f t="array" ref="G108">_xlfn.IFS('ProductSprint Backlog'!$F108="", "", AND('ProductSprint Backlog'!$J108&gt;G$2,'ProductSprint Backlog'!$I108&lt;=G$2), 'ProductSprint Backlog'!$F108 / MAX(1, 'ProductSprint Backlog'!$J108-'ProductSprint Backlog'!$I108), AND('ProductSprint Backlog'!$J108=G$2,'ProductSprint Backlog'!$I108=G$2), 'ProductSprint Backlog'!$F108, TRUE, 0)</f>
        <v>0</v>
      </c>
      <c r="H108" s="4" cm="1">
        <f t="array" ref="H108">_xlfn.IFS('ProductSprint Backlog'!$F108="", "", AND('ProductSprint Backlog'!$J108&gt;H$2,'ProductSprint Backlog'!$I108&lt;=H$2), 'ProductSprint Backlog'!$F108 / MAX(1, 'ProductSprint Backlog'!$J108-'ProductSprint Backlog'!$I108), AND('ProductSprint Backlog'!$J108=H$2,'ProductSprint Backlog'!$I108=H$2), 'ProductSprint Backlog'!$F108, TRUE, 0)</f>
        <v>0</v>
      </c>
      <c r="I108" s="4" cm="1">
        <f t="array" ref="I108">_xlfn.IFS('ProductSprint Backlog'!$F108="", "", AND('ProductSprint Backlog'!$J108&gt;I$2,'ProductSprint Backlog'!$I108&lt;=I$2), 'ProductSprint Backlog'!$F108 / MAX(1, 'ProductSprint Backlog'!$J108-'ProductSprint Backlog'!$I108), AND('ProductSprint Backlog'!$J108=I$2,'ProductSprint Backlog'!$I108=I$2), 'ProductSprint Backlog'!$F108, TRUE, 0)</f>
        <v>0</v>
      </c>
      <c r="J108" s="4" cm="1">
        <f t="array" ref="J108">_xlfn.IFS('ProductSprint Backlog'!$F108="", "", AND('ProductSprint Backlog'!$J108&gt;J$2,'ProductSprint Backlog'!$I108&lt;=J$2), 'ProductSprint Backlog'!$F108 / MAX(1, 'ProductSprint Backlog'!$J108-'ProductSprint Backlog'!$I108), AND('ProductSprint Backlog'!$J108=J$2,'ProductSprint Backlog'!$I108=J$2), 'ProductSprint Backlog'!$F108, TRUE, 0)</f>
        <v>0</v>
      </c>
    </row>
    <row r="109" spans="2:10" x14ac:dyDescent="0.2">
      <c r="B109" s="4" cm="1">
        <f t="array" ref="B109">_xlfn.IFS('ProductSprint Backlog'!$F109="", "", AND('ProductSprint Backlog'!$J109&gt;B$2,'ProductSprint Backlog'!$I109&lt;=B$2), 'ProductSprint Backlog'!$F109 / MAX(1, 'ProductSprint Backlog'!$J109-'ProductSprint Backlog'!$I109), AND('ProductSprint Backlog'!$J109=B$2,'ProductSprint Backlog'!$I109=B$2), 'ProductSprint Backlog'!$F109, TRUE, 0)</f>
        <v>0</v>
      </c>
      <c r="C109" s="4" cm="1">
        <f t="array" ref="C109">_xlfn.IFS('ProductSprint Backlog'!$F109="", "", AND('ProductSprint Backlog'!$J109&gt;C$2,'ProductSprint Backlog'!$I109&lt;=C$2), 'ProductSprint Backlog'!$F109 / MAX(1, 'ProductSprint Backlog'!$J109-'ProductSprint Backlog'!$I109), AND('ProductSprint Backlog'!$J109=C$2,'ProductSprint Backlog'!$I109=C$2), 'ProductSprint Backlog'!$F109, TRUE, 0)</f>
        <v>0</v>
      </c>
      <c r="D109" s="4" cm="1">
        <f t="array" ref="D109">_xlfn.IFS('ProductSprint Backlog'!$F109="", "", AND('ProductSprint Backlog'!$J109&gt;D$2,'ProductSprint Backlog'!$I109&lt;=D$2), 'ProductSprint Backlog'!$F109 / MAX(1, 'ProductSprint Backlog'!$J109-'ProductSprint Backlog'!$I109), AND('ProductSprint Backlog'!$J109=D$2,'ProductSprint Backlog'!$I109=D$2), 'ProductSprint Backlog'!$F109, TRUE, 0)</f>
        <v>0</v>
      </c>
      <c r="E109" s="4" cm="1">
        <f t="array" ref="E109">_xlfn.IFS('ProductSprint Backlog'!$F109="", "", AND('ProductSprint Backlog'!$J109&gt;E$2,'ProductSprint Backlog'!$I109&lt;=E$2), 'ProductSprint Backlog'!$F109 / MAX(1, 'ProductSprint Backlog'!$J109-'ProductSprint Backlog'!$I109), AND('ProductSprint Backlog'!$J109=E$2,'ProductSprint Backlog'!$I109=E$2), 'ProductSprint Backlog'!$F109, TRUE, 0)</f>
        <v>0</v>
      </c>
      <c r="F109" s="4" cm="1">
        <f t="array" ref="F109">_xlfn.IFS('ProductSprint Backlog'!$F109="", "", AND('ProductSprint Backlog'!$J109&gt;F$2,'ProductSprint Backlog'!$I109&lt;=F$2), 'ProductSprint Backlog'!$F109 / MAX(1, 'ProductSprint Backlog'!$J109-'ProductSprint Backlog'!$I109), AND('ProductSprint Backlog'!$J109=F$2,'ProductSprint Backlog'!$I109=F$2), 'ProductSprint Backlog'!$F109, TRUE, 0)</f>
        <v>0</v>
      </c>
      <c r="G109" s="4" cm="1">
        <f t="array" ref="G109">_xlfn.IFS('ProductSprint Backlog'!$F109="", "", AND('ProductSprint Backlog'!$J109&gt;G$2,'ProductSprint Backlog'!$I109&lt;=G$2), 'ProductSprint Backlog'!$F109 / MAX(1, 'ProductSprint Backlog'!$J109-'ProductSprint Backlog'!$I109), AND('ProductSprint Backlog'!$J109=G$2,'ProductSprint Backlog'!$I109=G$2), 'ProductSprint Backlog'!$F109, TRUE, 0)</f>
        <v>0</v>
      </c>
      <c r="H109" s="4" cm="1">
        <f t="array" ref="H109">_xlfn.IFS('ProductSprint Backlog'!$F109="", "", AND('ProductSprint Backlog'!$J109&gt;H$2,'ProductSprint Backlog'!$I109&lt;=H$2), 'ProductSprint Backlog'!$F109 / MAX(1, 'ProductSprint Backlog'!$J109-'ProductSprint Backlog'!$I109), AND('ProductSprint Backlog'!$J109=H$2,'ProductSprint Backlog'!$I109=H$2), 'ProductSprint Backlog'!$F109, TRUE, 0)</f>
        <v>0</v>
      </c>
      <c r="I109" s="4" cm="1">
        <f t="array" ref="I109">_xlfn.IFS('ProductSprint Backlog'!$F109="", "", AND('ProductSprint Backlog'!$J109&gt;I$2,'ProductSprint Backlog'!$I109&lt;=I$2), 'ProductSprint Backlog'!$F109 / MAX(1, 'ProductSprint Backlog'!$J109-'ProductSprint Backlog'!$I109), AND('ProductSprint Backlog'!$J109=I$2,'ProductSprint Backlog'!$I109=I$2), 'ProductSprint Backlog'!$F109, TRUE, 0)</f>
        <v>0</v>
      </c>
      <c r="J109" s="4" cm="1">
        <f t="array" ref="J109">_xlfn.IFS('ProductSprint Backlog'!$F109="", "", AND('ProductSprint Backlog'!$J109&gt;J$2,'ProductSprint Backlog'!$I109&lt;=J$2), 'ProductSprint Backlog'!$F109 / MAX(1, 'ProductSprint Backlog'!$J109-'ProductSprint Backlog'!$I109), AND('ProductSprint Backlog'!$J109=J$2,'ProductSprint Backlog'!$I109=J$2), 'ProductSprint Backlog'!$F109, TRUE, 0)</f>
        <v>0</v>
      </c>
    </row>
    <row r="110" spans="2:10" x14ac:dyDescent="0.2">
      <c r="B110" s="4" cm="1">
        <f t="array" ref="B110">_xlfn.IFS('ProductSprint Backlog'!$F110="", "", AND('ProductSprint Backlog'!$J110&gt;B$2,'ProductSprint Backlog'!$I110&lt;=B$2), 'ProductSprint Backlog'!$F110 / MAX(1, 'ProductSprint Backlog'!$J110-'ProductSprint Backlog'!$I110), AND('ProductSprint Backlog'!$J110=B$2,'ProductSprint Backlog'!$I110=B$2), 'ProductSprint Backlog'!$F110, TRUE, 0)</f>
        <v>0</v>
      </c>
      <c r="C110" s="4" cm="1">
        <f t="array" ref="C110">_xlfn.IFS('ProductSprint Backlog'!$F110="", "", AND('ProductSprint Backlog'!$J110&gt;C$2,'ProductSprint Backlog'!$I110&lt;=C$2), 'ProductSprint Backlog'!$F110 / MAX(1, 'ProductSprint Backlog'!$J110-'ProductSprint Backlog'!$I110), AND('ProductSprint Backlog'!$J110=C$2,'ProductSprint Backlog'!$I110=C$2), 'ProductSprint Backlog'!$F110, TRUE, 0)</f>
        <v>0</v>
      </c>
      <c r="D110" s="4" cm="1">
        <f t="array" ref="D110">_xlfn.IFS('ProductSprint Backlog'!$F110="", "", AND('ProductSprint Backlog'!$J110&gt;D$2,'ProductSprint Backlog'!$I110&lt;=D$2), 'ProductSprint Backlog'!$F110 / MAX(1, 'ProductSprint Backlog'!$J110-'ProductSprint Backlog'!$I110), AND('ProductSprint Backlog'!$J110=D$2,'ProductSprint Backlog'!$I110=D$2), 'ProductSprint Backlog'!$F110, TRUE, 0)</f>
        <v>0</v>
      </c>
      <c r="E110" s="4" cm="1">
        <f t="array" ref="E110">_xlfn.IFS('ProductSprint Backlog'!$F110="", "", AND('ProductSprint Backlog'!$J110&gt;E$2,'ProductSprint Backlog'!$I110&lt;=E$2), 'ProductSprint Backlog'!$F110 / MAX(1, 'ProductSprint Backlog'!$J110-'ProductSprint Backlog'!$I110), AND('ProductSprint Backlog'!$J110=E$2,'ProductSprint Backlog'!$I110=E$2), 'ProductSprint Backlog'!$F110, TRUE, 0)</f>
        <v>0</v>
      </c>
      <c r="F110" s="4" cm="1">
        <f t="array" ref="F110">_xlfn.IFS('ProductSprint Backlog'!$F110="", "", AND('ProductSprint Backlog'!$J110&gt;F$2,'ProductSprint Backlog'!$I110&lt;=F$2), 'ProductSprint Backlog'!$F110 / MAX(1, 'ProductSprint Backlog'!$J110-'ProductSprint Backlog'!$I110), AND('ProductSprint Backlog'!$J110=F$2,'ProductSprint Backlog'!$I110=F$2), 'ProductSprint Backlog'!$F110, TRUE, 0)</f>
        <v>0</v>
      </c>
      <c r="G110" s="4" cm="1">
        <f t="array" ref="G110">_xlfn.IFS('ProductSprint Backlog'!$F110="", "", AND('ProductSprint Backlog'!$J110&gt;G$2,'ProductSprint Backlog'!$I110&lt;=G$2), 'ProductSprint Backlog'!$F110 / MAX(1, 'ProductSprint Backlog'!$J110-'ProductSprint Backlog'!$I110), AND('ProductSprint Backlog'!$J110=G$2,'ProductSprint Backlog'!$I110=G$2), 'ProductSprint Backlog'!$F110, TRUE, 0)</f>
        <v>0</v>
      </c>
      <c r="H110" s="4" cm="1">
        <f t="array" ref="H110">_xlfn.IFS('ProductSprint Backlog'!$F110="", "", AND('ProductSprint Backlog'!$J110&gt;H$2,'ProductSprint Backlog'!$I110&lt;=H$2), 'ProductSprint Backlog'!$F110 / MAX(1, 'ProductSprint Backlog'!$J110-'ProductSprint Backlog'!$I110), AND('ProductSprint Backlog'!$J110=H$2,'ProductSprint Backlog'!$I110=H$2), 'ProductSprint Backlog'!$F110, TRUE, 0)</f>
        <v>0</v>
      </c>
      <c r="I110" s="4" cm="1">
        <f t="array" ref="I110">_xlfn.IFS('ProductSprint Backlog'!$F110="", "", AND('ProductSprint Backlog'!$J110&gt;I$2,'ProductSprint Backlog'!$I110&lt;=I$2), 'ProductSprint Backlog'!$F110 / MAX(1, 'ProductSprint Backlog'!$J110-'ProductSprint Backlog'!$I110), AND('ProductSprint Backlog'!$J110=I$2,'ProductSprint Backlog'!$I110=I$2), 'ProductSprint Backlog'!$F110, TRUE, 0)</f>
        <v>0</v>
      </c>
      <c r="J110" s="4" cm="1">
        <f t="array" ref="J110">_xlfn.IFS('ProductSprint Backlog'!$F110="", "", AND('ProductSprint Backlog'!$J110&gt;J$2,'ProductSprint Backlog'!$I110&lt;=J$2), 'ProductSprint Backlog'!$F110 / MAX(1, 'ProductSprint Backlog'!$J110-'ProductSprint Backlog'!$I110), AND('ProductSprint Backlog'!$J110=J$2,'ProductSprint Backlog'!$I110=J$2), 'ProductSprint Backlog'!$F110, TRUE, 0)</f>
        <v>0</v>
      </c>
    </row>
    <row r="111" spans="2:10" x14ac:dyDescent="0.2">
      <c r="B111" s="4" cm="1">
        <f t="array" ref="B111">_xlfn.IFS('ProductSprint Backlog'!$F111="", "", AND('ProductSprint Backlog'!$J111&gt;B$2,'ProductSprint Backlog'!$I111&lt;=B$2), 'ProductSprint Backlog'!$F111 / MAX(1, 'ProductSprint Backlog'!$J111-'ProductSprint Backlog'!$I111), AND('ProductSprint Backlog'!$J111=B$2,'ProductSprint Backlog'!$I111=B$2), 'ProductSprint Backlog'!$F111, TRUE, 0)</f>
        <v>0</v>
      </c>
      <c r="C111" s="4" cm="1">
        <f t="array" ref="C111">_xlfn.IFS('ProductSprint Backlog'!$F111="", "", AND('ProductSprint Backlog'!$J111&gt;C$2,'ProductSprint Backlog'!$I111&lt;=C$2), 'ProductSprint Backlog'!$F111 / MAX(1, 'ProductSprint Backlog'!$J111-'ProductSprint Backlog'!$I111), AND('ProductSprint Backlog'!$J111=C$2,'ProductSprint Backlog'!$I111=C$2), 'ProductSprint Backlog'!$F111, TRUE, 0)</f>
        <v>0</v>
      </c>
      <c r="D111" s="4" cm="1">
        <f t="array" ref="D111">_xlfn.IFS('ProductSprint Backlog'!$F111="", "", AND('ProductSprint Backlog'!$J111&gt;D$2,'ProductSprint Backlog'!$I111&lt;=D$2), 'ProductSprint Backlog'!$F111 / MAX(1, 'ProductSprint Backlog'!$J111-'ProductSprint Backlog'!$I111), AND('ProductSprint Backlog'!$J111=D$2,'ProductSprint Backlog'!$I111=D$2), 'ProductSprint Backlog'!$F111, TRUE, 0)</f>
        <v>0</v>
      </c>
      <c r="E111" s="4" cm="1">
        <f t="array" ref="E111">_xlfn.IFS('ProductSprint Backlog'!$F111="", "", AND('ProductSprint Backlog'!$J111&gt;E$2,'ProductSprint Backlog'!$I111&lt;=E$2), 'ProductSprint Backlog'!$F111 / MAX(1, 'ProductSprint Backlog'!$J111-'ProductSprint Backlog'!$I111), AND('ProductSprint Backlog'!$J111=E$2,'ProductSprint Backlog'!$I111=E$2), 'ProductSprint Backlog'!$F111, TRUE, 0)</f>
        <v>0</v>
      </c>
      <c r="F111" s="4" cm="1">
        <f t="array" ref="F111">_xlfn.IFS('ProductSprint Backlog'!$F111="", "", AND('ProductSprint Backlog'!$J111&gt;F$2,'ProductSprint Backlog'!$I111&lt;=F$2), 'ProductSprint Backlog'!$F111 / MAX(1, 'ProductSprint Backlog'!$J111-'ProductSprint Backlog'!$I111), AND('ProductSprint Backlog'!$J111=F$2,'ProductSprint Backlog'!$I111=F$2), 'ProductSprint Backlog'!$F111, TRUE, 0)</f>
        <v>0</v>
      </c>
      <c r="G111" s="4" cm="1">
        <f t="array" ref="G111">_xlfn.IFS('ProductSprint Backlog'!$F111="", "", AND('ProductSprint Backlog'!$J111&gt;G$2,'ProductSprint Backlog'!$I111&lt;=G$2), 'ProductSprint Backlog'!$F111 / MAX(1, 'ProductSprint Backlog'!$J111-'ProductSprint Backlog'!$I111), AND('ProductSprint Backlog'!$J111=G$2,'ProductSprint Backlog'!$I111=G$2), 'ProductSprint Backlog'!$F111, TRUE, 0)</f>
        <v>0</v>
      </c>
      <c r="H111" s="4" cm="1">
        <f t="array" ref="H111">_xlfn.IFS('ProductSprint Backlog'!$F111="", "", AND('ProductSprint Backlog'!$J111&gt;H$2,'ProductSprint Backlog'!$I111&lt;=H$2), 'ProductSprint Backlog'!$F111 / MAX(1, 'ProductSprint Backlog'!$J111-'ProductSprint Backlog'!$I111), AND('ProductSprint Backlog'!$J111=H$2,'ProductSprint Backlog'!$I111=H$2), 'ProductSprint Backlog'!$F111, TRUE, 0)</f>
        <v>0</v>
      </c>
      <c r="I111" s="4" cm="1">
        <f t="array" ref="I111">_xlfn.IFS('ProductSprint Backlog'!$F111="", "", AND('ProductSprint Backlog'!$J111&gt;I$2,'ProductSprint Backlog'!$I111&lt;=I$2), 'ProductSprint Backlog'!$F111 / MAX(1, 'ProductSprint Backlog'!$J111-'ProductSprint Backlog'!$I111), AND('ProductSprint Backlog'!$J111=I$2,'ProductSprint Backlog'!$I111=I$2), 'ProductSprint Backlog'!$F111, TRUE, 0)</f>
        <v>0</v>
      </c>
      <c r="J111" s="4" cm="1">
        <f t="array" ref="J111">_xlfn.IFS('ProductSprint Backlog'!$F111="", "", AND('ProductSprint Backlog'!$J111&gt;J$2,'ProductSprint Backlog'!$I111&lt;=J$2), 'ProductSprint Backlog'!$F111 / MAX(1, 'ProductSprint Backlog'!$J111-'ProductSprint Backlog'!$I111), AND('ProductSprint Backlog'!$J111=J$2,'ProductSprint Backlog'!$I111=J$2), 'ProductSprint Backlog'!$F111, TRUE, 0)</f>
        <v>0</v>
      </c>
    </row>
    <row r="112" spans="2:10" x14ac:dyDescent="0.2">
      <c r="B112" s="4" cm="1">
        <f t="array" ref="B112">_xlfn.IFS('ProductSprint Backlog'!$F112="", "", AND('ProductSprint Backlog'!$J112&gt;B$2,'ProductSprint Backlog'!$I112&lt;=B$2), 'ProductSprint Backlog'!$F112 / MAX(1, 'ProductSprint Backlog'!$J112-'ProductSprint Backlog'!$I112), AND('ProductSprint Backlog'!$J112=B$2,'ProductSprint Backlog'!$I112=B$2), 'ProductSprint Backlog'!$F112, TRUE, 0)</f>
        <v>0</v>
      </c>
      <c r="C112" s="4" cm="1">
        <f t="array" ref="C112">_xlfn.IFS('ProductSprint Backlog'!$F112="", "", AND('ProductSprint Backlog'!$J112&gt;C$2,'ProductSprint Backlog'!$I112&lt;=C$2), 'ProductSprint Backlog'!$F112 / MAX(1, 'ProductSprint Backlog'!$J112-'ProductSprint Backlog'!$I112), AND('ProductSprint Backlog'!$J112=C$2,'ProductSprint Backlog'!$I112=C$2), 'ProductSprint Backlog'!$F112, TRUE, 0)</f>
        <v>0</v>
      </c>
      <c r="D112" s="4" cm="1">
        <f t="array" ref="D112">_xlfn.IFS('ProductSprint Backlog'!$F112="", "", AND('ProductSprint Backlog'!$J112&gt;D$2,'ProductSprint Backlog'!$I112&lt;=D$2), 'ProductSprint Backlog'!$F112 / MAX(1, 'ProductSprint Backlog'!$J112-'ProductSprint Backlog'!$I112), AND('ProductSprint Backlog'!$J112=D$2,'ProductSprint Backlog'!$I112=D$2), 'ProductSprint Backlog'!$F112, TRUE, 0)</f>
        <v>0</v>
      </c>
      <c r="E112" s="4" cm="1">
        <f t="array" ref="E112">_xlfn.IFS('ProductSprint Backlog'!$F112="", "", AND('ProductSprint Backlog'!$J112&gt;E$2,'ProductSprint Backlog'!$I112&lt;=E$2), 'ProductSprint Backlog'!$F112 / MAX(1, 'ProductSprint Backlog'!$J112-'ProductSprint Backlog'!$I112), AND('ProductSprint Backlog'!$J112=E$2,'ProductSprint Backlog'!$I112=E$2), 'ProductSprint Backlog'!$F112, TRUE, 0)</f>
        <v>0</v>
      </c>
      <c r="F112" s="4" cm="1">
        <f t="array" ref="F112">_xlfn.IFS('ProductSprint Backlog'!$F112="", "", AND('ProductSprint Backlog'!$J112&gt;F$2,'ProductSprint Backlog'!$I112&lt;=F$2), 'ProductSprint Backlog'!$F112 / MAX(1, 'ProductSprint Backlog'!$J112-'ProductSprint Backlog'!$I112), AND('ProductSprint Backlog'!$J112=F$2,'ProductSprint Backlog'!$I112=F$2), 'ProductSprint Backlog'!$F112, TRUE, 0)</f>
        <v>0</v>
      </c>
      <c r="G112" s="4" cm="1">
        <f t="array" ref="G112">_xlfn.IFS('ProductSprint Backlog'!$F112="", "", AND('ProductSprint Backlog'!$J112&gt;G$2,'ProductSprint Backlog'!$I112&lt;=G$2), 'ProductSprint Backlog'!$F112 / MAX(1, 'ProductSprint Backlog'!$J112-'ProductSprint Backlog'!$I112), AND('ProductSprint Backlog'!$J112=G$2,'ProductSprint Backlog'!$I112=G$2), 'ProductSprint Backlog'!$F112, TRUE, 0)</f>
        <v>0</v>
      </c>
      <c r="H112" s="4" cm="1">
        <f t="array" ref="H112">_xlfn.IFS('ProductSprint Backlog'!$F112="", "", AND('ProductSprint Backlog'!$J112&gt;H$2,'ProductSprint Backlog'!$I112&lt;=H$2), 'ProductSprint Backlog'!$F112 / MAX(1, 'ProductSprint Backlog'!$J112-'ProductSprint Backlog'!$I112), AND('ProductSprint Backlog'!$J112=H$2,'ProductSprint Backlog'!$I112=H$2), 'ProductSprint Backlog'!$F112, TRUE, 0)</f>
        <v>0</v>
      </c>
      <c r="I112" s="4" cm="1">
        <f t="array" ref="I112">_xlfn.IFS('ProductSprint Backlog'!$F112="", "", AND('ProductSprint Backlog'!$J112&gt;I$2,'ProductSprint Backlog'!$I112&lt;=I$2), 'ProductSprint Backlog'!$F112 / MAX(1, 'ProductSprint Backlog'!$J112-'ProductSprint Backlog'!$I112), AND('ProductSprint Backlog'!$J112=I$2,'ProductSprint Backlog'!$I112=I$2), 'ProductSprint Backlog'!$F112, TRUE, 0)</f>
        <v>0</v>
      </c>
      <c r="J112" s="4" cm="1">
        <f t="array" ref="J112">_xlfn.IFS('ProductSprint Backlog'!$F112="", "", AND('ProductSprint Backlog'!$J112&gt;J$2,'ProductSprint Backlog'!$I112&lt;=J$2), 'ProductSprint Backlog'!$F112 / MAX(1, 'ProductSprint Backlog'!$J112-'ProductSprint Backlog'!$I112), AND('ProductSprint Backlog'!$J112=J$2,'ProductSprint Backlog'!$I112=J$2), 'ProductSprint Backlog'!$F112, TRUE, 0)</f>
        <v>0</v>
      </c>
    </row>
    <row r="113" spans="2:10" x14ac:dyDescent="0.2">
      <c r="B113" s="4" cm="1">
        <f t="array" ref="B113">_xlfn.IFS('ProductSprint Backlog'!$F113="", "", AND('ProductSprint Backlog'!$J113&gt;B$2,'ProductSprint Backlog'!$I113&lt;=B$2), 'ProductSprint Backlog'!$F113 / MAX(1, 'ProductSprint Backlog'!$J113-'ProductSprint Backlog'!$I113), AND('ProductSprint Backlog'!$J113=B$2,'ProductSprint Backlog'!$I113=B$2), 'ProductSprint Backlog'!$F113, TRUE, 0)</f>
        <v>0</v>
      </c>
      <c r="C113" s="4" cm="1">
        <f t="array" ref="C113">_xlfn.IFS('ProductSprint Backlog'!$F113="", "", AND('ProductSprint Backlog'!$J113&gt;C$2,'ProductSprint Backlog'!$I113&lt;=C$2), 'ProductSprint Backlog'!$F113 / MAX(1, 'ProductSprint Backlog'!$J113-'ProductSprint Backlog'!$I113), AND('ProductSprint Backlog'!$J113=C$2,'ProductSprint Backlog'!$I113=C$2), 'ProductSprint Backlog'!$F113, TRUE, 0)</f>
        <v>0</v>
      </c>
      <c r="D113" s="4" cm="1">
        <f t="array" ref="D113">_xlfn.IFS('ProductSprint Backlog'!$F113="", "", AND('ProductSprint Backlog'!$J113&gt;D$2,'ProductSprint Backlog'!$I113&lt;=D$2), 'ProductSprint Backlog'!$F113 / MAX(1, 'ProductSprint Backlog'!$J113-'ProductSprint Backlog'!$I113), AND('ProductSprint Backlog'!$J113=D$2,'ProductSprint Backlog'!$I113=D$2), 'ProductSprint Backlog'!$F113, TRUE, 0)</f>
        <v>0</v>
      </c>
      <c r="E113" s="4" cm="1">
        <f t="array" ref="E113">_xlfn.IFS('ProductSprint Backlog'!$F113="", "", AND('ProductSprint Backlog'!$J113&gt;E$2,'ProductSprint Backlog'!$I113&lt;=E$2), 'ProductSprint Backlog'!$F113 / MAX(1, 'ProductSprint Backlog'!$J113-'ProductSprint Backlog'!$I113), AND('ProductSprint Backlog'!$J113=E$2,'ProductSprint Backlog'!$I113=E$2), 'ProductSprint Backlog'!$F113, TRUE, 0)</f>
        <v>0</v>
      </c>
      <c r="F113" s="4" cm="1">
        <f t="array" ref="F113">_xlfn.IFS('ProductSprint Backlog'!$F113="", "", AND('ProductSprint Backlog'!$J113&gt;F$2,'ProductSprint Backlog'!$I113&lt;=F$2), 'ProductSprint Backlog'!$F113 / MAX(1, 'ProductSprint Backlog'!$J113-'ProductSprint Backlog'!$I113), AND('ProductSprint Backlog'!$J113=F$2,'ProductSprint Backlog'!$I113=F$2), 'ProductSprint Backlog'!$F113, TRUE, 0)</f>
        <v>0</v>
      </c>
      <c r="G113" s="4" cm="1">
        <f t="array" ref="G113">_xlfn.IFS('ProductSprint Backlog'!$F113="", "", AND('ProductSprint Backlog'!$J113&gt;G$2,'ProductSprint Backlog'!$I113&lt;=G$2), 'ProductSprint Backlog'!$F113 / MAX(1, 'ProductSprint Backlog'!$J113-'ProductSprint Backlog'!$I113), AND('ProductSprint Backlog'!$J113=G$2,'ProductSprint Backlog'!$I113=G$2), 'ProductSprint Backlog'!$F113, TRUE, 0)</f>
        <v>0</v>
      </c>
      <c r="H113" s="4" cm="1">
        <f t="array" ref="H113">_xlfn.IFS('ProductSprint Backlog'!$F113="", "", AND('ProductSprint Backlog'!$J113&gt;H$2,'ProductSprint Backlog'!$I113&lt;=H$2), 'ProductSprint Backlog'!$F113 / MAX(1, 'ProductSprint Backlog'!$J113-'ProductSprint Backlog'!$I113), AND('ProductSprint Backlog'!$J113=H$2,'ProductSprint Backlog'!$I113=H$2), 'ProductSprint Backlog'!$F113, TRUE, 0)</f>
        <v>0</v>
      </c>
      <c r="I113" s="4" cm="1">
        <f t="array" ref="I113">_xlfn.IFS('ProductSprint Backlog'!$F113="", "", AND('ProductSprint Backlog'!$J113&gt;I$2,'ProductSprint Backlog'!$I113&lt;=I$2), 'ProductSprint Backlog'!$F113 / MAX(1, 'ProductSprint Backlog'!$J113-'ProductSprint Backlog'!$I113), AND('ProductSprint Backlog'!$J113=I$2,'ProductSprint Backlog'!$I113=I$2), 'ProductSprint Backlog'!$F113, TRUE, 0)</f>
        <v>0</v>
      </c>
      <c r="J113" s="4" cm="1">
        <f t="array" ref="J113">_xlfn.IFS('ProductSprint Backlog'!$F113="", "", AND('ProductSprint Backlog'!$J113&gt;J$2,'ProductSprint Backlog'!$I113&lt;=J$2), 'ProductSprint Backlog'!$F113 / MAX(1, 'ProductSprint Backlog'!$J113-'ProductSprint Backlog'!$I113), AND('ProductSprint Backlog'!$J113=J$2,'ProductSprint Backlog'!$I113=J$2), 'ProductSprint Backlog'!$F113, TRUE, 0)</f>
        <v>0</v>
      </c>
    </row>
    <row r="114" spans="2:10" x14ac:dyDescent="0.2">
      <c r="B114" s="4" cm="1">
        <f t="array" ref="B114">_xlfn.IFS('ProductSprint Backlog'!$F114="", "", AND('ProductSprint Backlog'!$J114&gt;B$2,'ProductSprint Backlog'!$I114&lt;=B$2), 'ProductSprint Backlog'!$F114 / MAX(1, 'ProductSprint Backlog'!$J114-'ProductSprint Backlog'!$I114), AND('ProductSprint Backlog'!$J114=B$2,'ProductSprint Backlog'!$I114=B$2), 'ProductSprint Backlog'!$F114, TRUE, 0)</f>
        <v>0</v>
      </c>
      <c r="C114" s="4" cm="1">
        <f t="array" ref="C114">_xlfn.IFS('ProductSprint Backlog'!$F114="", "", AND('ProductSprint Backlog'!$J114&gt;C$2,'ProductSprint Backlog'!$I114&lt;=C$2), 'ProductSprint Backlog'!$F114 / MAX(1, 'ProductSprint Backlog'!$J114-'ProductSprint Backlog'!$I114), AND('ProductSprint Backlog'!$J114=C$2,'ProductSprint Backlog'!$I114=C$2), 'ProductSprint Backlog'!$F114, TRUE, 0)</f>
        <v>0</v>
      </c>
      <c r="D114" s="4" cm="1">
        <f t="array" ref="D114">_xlfn.IFS('ProductSprint Backlog'!$F114="", "", AND('ProductSprint Backlog'!$J114&gt;D$2,'ProductSprint Backlog'!$I114&lt;=D$2), 'ProductSprint Backlog'!$F114 / MAX(1, 'ProductSprint Backlog'!$J114-'ProductSprint Backlog'!$I114), AND('ProductSprint Backlog'!$J114=D$2,'ProductSprint Backlog'!$I114=D$2), 'ProductSprint Backlog'!$F114, TRUE, 0)</f>
        <v>0</v>
      </c>
      <c r="E114" s="4" cm="1">
        <f t="array" ref="E114">_xlfn.IFS('ProductSprint Backlog'!$F114="", "", AND('ProductSprint Backlog'!$J114&gt;E$2,'ProductSprint Backlog'!$I114&lt;=E$2), 'ProductSprint Backlog'!$F114 / MAX(1, 'ProductSprint Backlog'!$J114-'ProductSprint Backlog'!$I114), AND('ProductSprint Backlog'!$J114=E$2,'ProductSprint Backlog'!$I114=E$2), 'ProductSprint Backlog'!$F114, TRUE, 0)</f>
        <v>0</v>
      </c>
      <c r="F114" s="4" cm="1">
        <f t="array" ref="F114">_xlfn.IFS('ProductSprint Backlog'!$F114="", "", AND('ProductSprint Backlog'!$J114&gt;F$2,'ProductSprint Backlog'!$I114&lt;=F$2), 'ProductSprint Backlog'!$F114 / MAX(1, 'ProductSprint Backlog'!$J114-'ProductSprint Backlog'!$I114), AND('ProductSprint Backlog'!$J114=F$2,'ProductSprint Backlog'!$I114=F$2), 'ProductSprint Backlog'!$F114, TRUE, 0)</f>
        <v>0</v>
      </c>
      <c r="G114" s="4" cm="1">
        <f t="array" ref="G114">_xlfn.IFS('ProductSprint Backlog'!$F114="", "", AND('ProductSprint Backlog'!$J114&gt;G$2,'ProductSprint Backlog'!$I114&lt;=G$2), 'ProductSprint Backlog'!$F114 / MAX(1, 'ProductSprint Backlog'!$J114-'ProductSprint Backlog'!$I114), AND('ProductSprint Backlog'!$J114=G$2,'ProductSprint Backlog'!$I114=G$2), 'ProductSprint Backlog'!$F114, TRUE, 0)</f>
        <v>0</v>
      </c>
      <c r="H114" s="4" cm="1">
        <f t="array" ref="H114">_xlfn.IFS('ProductSprint Backlog'!$F114="", "", AND('ProductSprint Backlog'!$J114&gt;H$2,'ProductSprint Backlog'!$I114&lt;=H$2), 'ProductSprint Backlog'!$F114 / MAX(1, 'ProductSprint Backlog'!$J114-'ProductSprint Backlog'!$I114), AND('ProductSprint Backlog'!$J114=H$2,'ProductSprint Backlog'!$I114=H$2), 'ProductSprint Backlog'!$F114, TRUE, 0)</f>
        <v>0</v>
      </c>
      <c r="I114" s="4" cm="1">
        <f t="array" ref="I114">_xlfn.IFS('ProductSprint Backlog'!$F114="", "", AND('ProductSprint Backlog'!$J114&gt;I$2,'ProductSprint Backlog'!$I114&lt;=I$2), 'ProductSprint Backlog'!$F114 / MAX(1, 'ProductSprint Backlog'!$J114-'ProductSprint Backlog'!$I114), AND('ProductSprint Backlog'!$J114=I$2,'ProductSprint Backlog'!$I114=I$2), 'ProductSprint Backlog'!$F114, TRUE, 0)</f>
        <v>0</v>
      </c>
      <c r="J114" s="4" cm="1">
        <f t="array" ref="J114">_xlfn.IFS('ProductSprint Backlog'!$F114="", "", AND('ProductSprint Backlog'!$J114&gt;J$2,'ProductSprint Backlog'!$I114&lt;=J$2), 'ProductSprint Backlog'!$F114 / MAX(1, 'ProductSprint Backlog'!$J114-'ProductSprint Backlog'!$I114), AND('ProductSprint Backlog'!$J114=J$2,'ProductSprint Backlog'!$I114=J$2), 'ProductSprint Backlog'!$F114, TRUE, 0)</f>
        <v>0</v>
      </c>
    </row>
    <row r="115" spans="2:10" x14ac:dyDescent="0.2">
      <c r="B115" s="4" cm="1">
        <f t="array" ref="B115">_xlfn.IFS('ProductSprint Backlog'!$F115="", "", AND('ProductSprint Backlog'!$J115&gt;B$2,'ProductSprint Backlog'!$I115&lt;=B$2), 'ProductSprint Backlog'!$F115 / MAX(1, 'ProductSprint Backlog'!$J115-'ProductSprint Backlog'!$I115), AND('ProductSprint Backlog'!$J115=B$2,'ProductSprint Backlog'!$I115=B$2), 'ProductSprint Backlog'!$F115, TRUE, 0)</f>
        <v>0</v>
      </c>
      <c r="C115" s="4" cm="1">
        <f t="array" ref="C115">_xlfn.IFS('ProductSprint Backlog'!$F115="", "", AND('ProductSprint Backlog'!$J115&gt;C$2,'ProductSprint Backlog'!$I115&lt;=C$2), 'ProductSprint Backlog'!$F115 / MAX(1, 'ProductSprint Backlog'!$J115-'ProductSprint Backlog'!$I115), AND('ProductSprint Backlog'!$J115=C$2,'ProductSprint Backlog'!$I115=C$2), 'ProductSprint Backlog'!$F115, TRUE, 0)</f>
        <v>0</v>
      </c>
      <c r="D115" s="4" cm="1">
        <f t="array" ref="D115">_xlfn.IFS('ProductSprint Backlog'!$F115="", "", AND('ProductSprint Backlog'!$J115&gt;D$2,'ProductSprint Backlog'!$I115&lt;=D$2), 'ProductSprint Backlog'!$F115 / MAX(1, 'ProductSprint Backlog'!$J115-'ProductSprint Backlog'!$I115), AND('ProductSprint Backlog'!$J115=D$2,'ProductSprint Backlog'!$I115=D$2), 'ProductSprint Backlog'!$F115, TRUE, 0)</f>
        <v>0</v>
      </c>
      <c r="E115" s="4" cm="1">
        <f t="array" ref="E115">_xlfn.IFS('ProductSprint Backlog'!$F115="", "", AND('ProductSprint Backlog'!$J115&gt;E$2,'ProductSprint Backlog'!$I115&lt;=E$2), 'ProductSprint Backlog'!$F115 / MAX(1, 'ProductSprint Backlog'!$J115-'ProductSprint Backlog'!$I115), AND('ProductSprint Backlog'!$J115=E$2,'ProductSprint Backlog'!$I115=E$2), 'ProductSprint Backlog'!$F115, TRUE, 0)</f>
        <v>0</v>
      </c>
      <c r="F115" s="4" cm="1">
        <f t="array" ref="F115">_xlfn.IFS('ProductSprint Backlog'!$F115="", "", AND('ProductSprint Backlog'!$J115&gt;F$2,'ProductSprint Backlog'!$I115&lt;=F$2), 'ProductSprint Backlog'!$F115 / MAX(1, 'ProductSprint Backlog'!$J115-'ProductSprint Backlog'!$I115), AND('ProductSprint Backlog'!$J115=F$2,'ProductSprint Backlog'!$I115=F$2), 'ProductSprint Backlog'!$F115, TRUE, 0)</f>
        <v>0</v>
      </c>
      <c r="G115" s="4" cm="1">
        <f t="array" ref="G115">_xlfn.IFS('ProductSprint Backlog'!$F115="", "", AND('ProductSprint Backlog'!$J115&gt;G$2,'ProductSprint Backlog'!$I115&lt;=G$2), 'ProductSprint Backlog'!$F115 / MAX(1, 'ProductSprint Backlog'!$J115-'ProductSprint Backlog'!$I115), AND('ProductSprint Backlog'!$J115=G$2,'ProductSprint Backlog'!$I115=G$2), 'ProductSprint Backlog'!$F115, TRUE, 0)</f>
        <v>0</v>
      </c>
      <c r="H115" s="4" cm="1">
        <f t="array" ref="H115">_xlfn.IFS('ProductSprint Backlog'!$F115="", "", AND('ProductSprint Backlog'!$J115&gt;H$2,'ProductSprint Backlog'!$I115&lt;=H$2), 'ProductSprint Backlog'!$F115 / MAX(1, 'ProductSprint Backlog'!$J115-'ProductSprint Backlog'!$I115), AND('ProductSprint Backlog'!$J115=H$2,'ProductSprint Backlog'!$I115=H$2), 'ProductSprint Backlog'!$F115, TRUE, 0)</f>
        <v>0</v>
      </c>
      <c r="I115" s="4" cm="1">
        <f t="array" ref="I115">_xlfn.IFS('ProductSprint Backlog'!$F115="", "", AND('ProductSprint Backlog'!$J115&gt;I$2,'ProductSprint Backlog'!$I115&lt;=I$2), 'ProductSprint Backlog'!$F115 / MAX(1, 'ProductSprint Backlog'!$J115-'ProductSprint Backlog'!$I115), AND('ProductSprint Backlog'!$J115=I$2,'ProductSprint Backlog'!$I115=I$2), 'ProductSprint Backlog'!$F115, TRUE, 0)</f>
        <v>0</v>
      </c>
      <c r="J115" s="4" cm="1">
        <f t="array" ref="J115">_xlfn.IFS('ProductSprint Backlog'!$F115="", "", AND('ProductSprint Backlog'!$J115&gt;J$2,'ProductSprint Backlog'!$I115&lt;=J$2), 'ProductSprint Backlog'!$F115 / MAX(1, 'ProductSprint Backlog'!$J115-'ProductSprint Backlog'!$I115), AND('ProductSprint Backlog'!$J115=J$2,'ProductSprint Backlog'!$I115=J$2), 'ProductSprint Backlog'!$F115, TRUE, 0)</f>
        <v>0</v>
      </c>
    </row>
    <row r="116" spans="2:10" x14ac:dyDescent="0.2">
      <c r="B116" s="4" cm="1">
        <f t="array" ref="B116">_xlfn.IFS('ProductSprint Backlog'!$F116="", "", AND('ProductSprint Backlog'!$J116&gt;B$2,'ProductSprint Backlog'!$I116&lt;=B$2), 'ProductSprint Backlog'!$F116 / MAX(1, 'ProductSprint Backlog'!$J116-'ProductSprint Backlog'!$I116), AND('ProductSprint Backlog'!$J116=B$2,'ProductSprint Backlog'!$I116=B$2), 'ProductSprint Backlog'!$F116, TRUE, 0)</f>
        <v>0</v>
      </c>
      <c r="C116" s="4" cm="1">
        <f t="array" ref="C116">_xlfn.IFS('ProductSprint Backlog'!$F116="", "", AND('ProductSprint Backlog'!$J116&gt;C$2,'ProductSprint Backlog'!$I116&lt;=C$2), 'ProductSprint Backlog'!$F116 / MAX(1, 'ProductSprint Backlog'!$J116-'ProductSprint Backlog'!$I116), AND('ProductSprint Backlog'!$J116=C$2,'ProductSprint Backlog'!$I116=C$2), 'ProductSprint Backlog'!$F116, TRUE, 0)</f>
        <v>0</v>
      </c>
      <c r="D116" s="4" cm="1">
        <f t="array" ref="D116">_xlfn.IFS('ProductSprint Backlog'!$F116="", "", AND('ProductSprint Backlog'!$J116&gt;D$2,'ProductSprint Backlog'!$I116&lt;=D$2), 'ProductSprint Backlog'!$F116 / MAX(1, 'ProductSprint Backlog'!$J116-'ProductSprint Backlog'!$I116), AND('ProductSprint Backlog'!$J116=D$2,'ProductSprint Backlog'!$I116=D$2), 'ProductSprint Backlog'!$F116, TRUE, 0)</f>
        <v>0</v>
      </c>
      <c r="E116" s="4" cm="1">
        <f t="array" ref="E116">_xlfn.IFS('ProductSprint Backlog'!$F116="", "", AND('ProductSprint Backlog'!$J116&gt;E$2,'ProductSprint Backlog'!$I116&lt;=E$2), 'ProductSprint Backlog'!$F116 / MAX(1, 'ProductSprint Backlog'!$J116-'ProductSprint Backlog'!$I116), AND('ProductSprint Backlog'!$J116=E$2,'ProductSprint Backlog'!$I116=E$2), 'ProductSprint Backlog'!$F116, TRUE, 0)</f>
        <v>0</v>
      </c>
      <c r="F116" s="4" cm="1">
        <f t="array" ref="F116">_xlfn.IFS('ProductSprint Backlog'!$F116="", "", AND('ProductSprint Backlog'!$J116&gt;F$2,'ProductSprint Backlog'!$I116&lt;=F$2), 'ProductSprint Backlog'!$F116 / MAX(1, 'ProductSprint Backlog'!$J116-'ProductSprint Backlog'!$I116), AND('ProductSprint Backlog'!$J116=F$2,'ProductSprint Backlog'!$I116=F$2), 'ProductSprint Backlog'!$F116, TRUE, 0)</f>
        <v>0</v>
      </c>
      <c r="G116" s="4" cm="1">
        <f t="array" ref="G116">_xlfn.IFS('ProductSprint Backlog'!$F116="", "", AND('ProductSprint Backlog'!$J116&gt;G$2,'ProductSprint Backlog'!$I116&lt;=G$2), 'ProductSprint Backlog'!$F116 / MAX(1, 'ProductSprint Backlog'!$J116-'ProductSprint Backlog'!$I116), AND('ProductSprint Backlog'!$J116=G$2,'ProductSprint Backlog'!$I116=G$2), 'ProductSprint Backlog'!$F116, TRUE, 0)</f>
        <v>0</v>
      </c>
      <c r="H116" s="4" cm="1">
        <f t="array" ref="H116">_xlfn.IFS('ProductSprint Backlog'!$F116="", "", AND('ProductSprint Backlog'!$J116&gt;H$2,'ProductSprint Backlog'!$I116&lt;=H$2), 'ProductSprint Backlog'!$F116 / MAX(1, 'ProductSprint Backlog'!$J116-'ProductSprint Backlog'!$I116), AND('ProductSprint Backlog'!$J116=H$2,'ProductSprint Backlog'!$I116=H$2), 'ProductSprint Backlog'!$F116, TRUE, 0)</f>
        <v>0</v>
      </c>
      <c r="I116" s="4" cm="1">
        <f t="array" ref="I116">_xlfn.IFS('ProductSprint Backlog'!$F116="", "", AND('ProductSprint Backlog'!$J116&gt;I$2,'ProductSprint Backlog'!$I116&lt;=I$2), 'ProductSprint Backlog'!$F116 / MAX(1, 'ProductSprint Backlog'!$J116-'ProductSprint Backlog'!$I116), AND('ProductSprint Backlog'!$J116=I$2,'ProductSprint Backlog'!$I116=I$2), 'ProductSprint Backlog'!$F116, TRUE, 0)</f>
        <v>0</v>
      </c>
      <c r="J116" s="4" cm="1">
        <f t="array" ref="J116">_xlfn.IFS('ProductSprint Backlog'!$F116="", "", AND('ProductSprint Backlog'!$J116&gt;J$2,'ProductSprint Backlog'!$I116&lt;=J$2), 'ProductSprint Backlog'!$F116 / MAX(1, 'ProductSprint Backlog'!$J116-'ProductSprint Backlog'!$I116), AND('ProductSprint Backlog'!$J116=J$2,'ProductSprint Backlog'!$I116=J$2), 'ProductSprint Backlog'!$F116, TRUE, 0)</f>
        <v>0</v>
      </c>
    </row>
    <row r="117" spans="2:10" x14ac:dyDescent="0.2">
      <c r="B117" s="4" t="str" cm="1">
        <f t="array" ref="B117">_xlfn.IFS('ProductSprint Backlog'!$F117="", "", AND('ProductSprint Backlog'!$J117&gt;B$2,'ProductSprint Backlog'!$I117&lt;=B$2), 'ProductSprint Backlog'!$F117 / MAX(1, 'ProductSprint Backlog'!$J117-'ProductSprint Backlog'!$I117), AND('ProductSprint Backlog'!$J117=B$2,'ProductSprint Backlog'!$I117=B$2), 'ProductSprint Backlog'!$F117, TRUE, 0)</f>
        <v/>
      </c>
      <c r="C117" s="4" t="str" cm="1">
        <f t="array" ref="C117">_xlfn.IFS('ProductSprint Backlog'!$F117="", "", AND('ProductSprint Backlog'!$J117&gt;C$2,'ProductSprint Backlog'!$I117&lt;=C$2), 'ProductSprint Backlog'!$F117 / MAX(1, 'ProductSprint Backlog'!$J117-'ProductSprint Backlog'!$I117), AND('ProductSprint Backlog'!$J117=C$2,'ProductSprint Backlog'!$I117=C$2), 'ProductSprint Backlog'!$F117, TRUE, 0)</f>
        <v/>
      </c>
      <c r="D117" s="4" t="str" cm="1">
        <f t="array" ref="D117">_xlfn.IFS('ProductSprint Backlog'!$F117="", "", AND('ProductSprint Backlog'!$J117&gt;D$2,'ProductSprint Backlog'!$I117&lt;=D$2), 'ProductSprint Backlog'!$F117 / MAX(1, 'ProductSprint Backlog'!$J117-'ProductSprint Backlog'!$I117), AND('ProductSprint Backlog'!$J117=D$2,'ProductSprint Backlog'!$I117=D$2), 'ProductSprint Backlog'!$F117, TRUE, 0)</f>
        <v/>
      </c>
      <c r="E117" s="4" t="str" cm="1">
        <f t="array" ref="E117">_xlfn.IFS('ProductSprint Backlog'!$F117="", "", AND('ProductSprint Backlog'!$J117&gt;E$2,'ProductSprint Backlog'!$I117&lt;=E$2), 'ProductSprint Backlog'!$F117 / MAX(1, 'ProductSprint Backlog'!$J117-'ProductSprint Backlog'!$I117), AND('ProductSprint Backlog'!$J117=E$2,'ProductSprint Backlog'!$I117=E$2), 'ProductSprint Backlog'!$F117, TRUE, 0)</f>
        <v/>
      </c>
      <c r="F117" s="4" t="str" cm="1">
        <f t="array" ref="F117">_xlfn.IFS('ProductSprint Backlog'!$F117="", "", AND('ProductSprint Backlog'!$J117&gt;F$2,'ProductSprint Backlog'!$I117&lt;=F$2), 'ProductSprint Backlog'!$F117 / MAX(1, 'ProductSprint Backlog'!$J117-'ProductSprint Backlog'!$I117), AND('ProductSprint Backlog'!$J117=F$2,'ProductSprint Backlog'!$I117=F$2), 'ProductSprint Backlog'!$F117, TRUE, 0)</f>
        <v/>
      </c>
      <c r="G117" s="4" t="str" cm="1">
        <f t="array" ref="G117">_xlfn.IFS('ProductSprint Backlog'!$F117="", "", AND('ProductSprint Backlog'!$J117&gt;G$2,'ProductSprint Backlog'!$I117&lt;=G$2), 'ProductSprint Backlog'!$F117 / MAX(1, 'ProductSprint Backlog'!$J117-'ProductSprint Backlog'!$I117), AND('ProductSprint Backlog'!$J117=G$2,'ProductSprint Backlog'!$I117=G$2), 'ProductSprint Backlog'!$F117, TRUE, 0)</f>
        <v/>
      </c>
      <c r="H117" s="4" t="str" cm="1">
        <f t="array" ref="H117">_xlfn.IFS('ProductSprint Backlog'!$F117="", "", AND('ProductSprint Backlog'!$J117&gt;H$2,'ProductSprint Backlog'!$I117&lt;=H$2), 'ProductSprint Backlog'!$F117 / MAX(1, 'ProductSprint Backlog'!$J117-'ProductSprint Backlog'!$I117), AND('ProductSprint Backlog'!$J117=H$2,'ProductSprint Backlog'!$I117=H$2), 'ProductSprint Backlog'!$F117, TRUE, 0)</f>
        <v/>
      </c>
      <c r="I117" s="4" t="str" cm="1">
        <f t="array" ref="I117">_xlfn.IFS('ProductSprint Backlog'!$F117="", "", AND('ProductSprint Backlog'!$J117&gt;I$2,'ProductSprint Backlog'!$I117&lt;=I$2), 'ProductSprint Backlog'!$F117 / MAX(1, 'ProductSprint Backlog'!$J117-'ProductSprint Backlog'!$I117), AND('ProductSprint Backlog'!$J117=I$2,'ProductSprint Backlog'!$I117=I$2), 'ProductSprint Backlog'!$F117, TRUE, 0)</f>
        <v/>
      </c>
      <c r="J117" s="4" t="str" cm="1">
        <f t="array" ref="J117">_xlfn.IFS('ProductSprint Backlog'!$F117="", "", AND('ProductSprint Backlog'!$J117&gt;J$2,'ProductSprint Backlog'!$I117&lt;=J$2), 'ProductSprint Backlog'!$F117 / MAX(1, 'ProductSprint Backlog'!$J117-'ProductSprint Backlog'!$I117), AND('ProductSprint Backlog'!$J117=J$2,'ProductSprint Backlog'!$I117=J$2), 'ProductSprint Backlog'!$F117, TRUE, 0)</f>
        <v/>
      </c>
    </row>
    <row r="118" spans="2:10" x14ac:dyDescent="0.2">
      <c r="B118" s="4" cm="1">
        <f t="array" ref="B118">_xlfn.IFS('ProductSprint Backlog'!$F118="", "", AND('ProductSprint Backlog'!$J118&gt;B$2,'ProductSprint Backlog'!$I118&lt;=B$2), 'ProductSprint Backlog'!$F118 / MAX(1, 'ProductSprint Backlog'!$J118-'ProductSprint Backlog'!$I118), AND('ProductSprint Backlog'!$J118=B$2,'ProductSprint Backlog'!$I118=B$2), 'ProductSprint Backlog'!$F118, TRUE, 0)</f>
        <v>0</v>
      </c>
      <c r="C118" s="4" cm="1">
        <f t="array" ref="C118">_xlfn.IFS('ProductSprint Backlog'!$F118="", "", AND('ProductSprint Backlog'!$J118&gt;C$2,'ProductSprint Backlog'!$I118&lt;=C$2), 'ProductSprint Backlog'!$F118 / MAX(1, 'ProductSprint Backlog'!$J118-'ProductSprint Backlog'!$I118), AND('ProductSprint Backlog'!$J118=C$2,'ProductSprint Backlog'!$I118=C$2), 'ProductSprint Backlog'!$F118, TRUE, 0)</f>
        <v>0</v>
      </c>
      <c r="D118" s="4" cm="1">
        <f t="array" ref="D118">_xlfn.IFS('ProductSprint Backlog'!$F118="", "", AND('ProductSprint Backlog'!$J118&gt;D$2,'ProductSprint Backlog'!$I118&lt;=D$2), 'ProductSprint Backlog'!$F118 / MAX(1, 'ProductSprint Backlog'!$J118-'ProductSprint Backlog'!$I118), AND('ProductSprint Backlog'!$J118=D$2,'ProductSprint Backlog'!$I118=D$2), 'ProductSprint Backlog'!$F118, TRUE, 0)</f>
        <v>0</v>
      </c>
      <c r="E118" s="4" cm="1">
        <f t="array" ref="E118">_xlfn.IFS('ProductSprint Backlog'!$F118="", "", AND('ProductSprint Backlog'!$J118&gt;E$2,'ProductSprint Backlog'!$I118&lt;=E$2), 'ProductSprint Backlog'!$F118 / MAX(1, 'ProductSprint Backlog'!$J118-'ProductSprint Backlog'!$I118), AND('ProductSprint Backlog'!$J118=E$2,'ProductSprint Backlog'!$I118=E$2), 'ProductSprint Backlog'!$F118, TRUE, 0)</f>
        <v>0</v>
      </c>
      <c r="F118" s="4" cm="1">
        <f t="array" ref="F118">_xlfn.IFS('ProductSprint Backlog'!$F118="", "", AND('ProductSprint Backlog'!$J118&gt;F$2,'ProductSprint Backlog'!$I118&lt;=F$2), 'ProductSprint Backlog'!$F118 / MAX(1, 'ProductSprint Backlog'!$J118-'ProductSprint Backlog'!$I118), AND('ProductSprint Backlog'!$J118=F$2,'ProductSprint Backlog'!$I118=F$2), 'ProductSprint Backlog'!$F118, TRUE, 0)</f>
        <v>0</v>
      </c>
      <c r="G118" s="4" cm="1">
        <f t="array" ref="G118">_xlfn.IFS('ProductSprint Backlog'!$F118="", "", AND('ProductSprint Backlog'!$J118&gt;G$2,'ProductSprint Backlog'!$I118&lt;=G$2), 'ProductSprint Backlog'!$F118 / MAX(1, 'ProductSprint Backlog'!$J118-'ProductSprint Backlog'!$I118), AND('ProductSprint Backlog'!$J118=G$2,'ProductSprint Backlog'!$I118=G$2), 'ProductSprint Backlog'!$F118, TRUE, 0)</f>
        <v>0</v>
      </c>
      <c r="H118" s="4" cm="1">
        <f t="array" ref="H118">_xlfn.IFS('ProductSprint Backlog'!$F118="", "", AND('ProductSprint Backlog'!$J118&gt;H$2,'ProductSprint Backlog'!$I118&lt;=H$2), 'ProductSprint Backlog'!$F118 / MAX(1, 'ProductSprint Backlog'!$J118-'ProductSprint Backlog'!$I118), AND('ProductSprint Backlog'!$J118=H$2,'ProductSprint Backlog'!$I118=H$2), 'ProductSprint Backlog'!$F118, TRUE, 0)</f>
        <v>0</v>
      </c>
      <c r="I118" s="4" cm="1">
        <f t="array" ref="I118">_xlfn.IFS('ProductSprint Backlog'!$F118="", "", AND('ProductSprint Backlog'!$J118&gt;I$2,'ProductSprint Backlog'!$I118&lt;=I$2), 'ProductSprint Backlog'!$F118 / MAX(1, 'ProductSprint Backlog'!$J118-'ProductSprint Backlog'!$I118), AND('ProductSprint Backlog'!$J118=I$2,'ProductSprint Backlog'!$I118=I$2), 'ProductSprint Backlog'!$F118, TRUE, 0)</f>
        <v>0</v>
      </c>
      <c r="J118" s="4" cm="1">
        <f t="array" ref="J118">_xlfn.IFS('ProductSprint Backlog'!$F118="", "", AND('ProductSprint Backlog'!$J118&gt;J$2,'ProductSprint Backlog'!$I118&lt;=J$2), 'ProductSprint Backlog'!$F118 / MAX(1, 'ProductSprint Backlog'!$J118-'ProductSprint Backlog'!$I118), AND('ProductSprint Backlog'!$J118=J$2,'ProductSprint Backlog'!$I118=J$2), 'ProductSprint Backlog'!$F118, TRUE, 0)</f>
        <v>0</v>
      </c>
    </row>
    <row r="119" spans="2:10" x14ac:dyDescent="0.2">
      <c r="B119" s="4" cm="1">
        <f t="array" ref="B119">_xlfn.IFS('ProductSprint Backlog'!$F119="", "", AND('ProductSprint Backlog'!$J119&gt;B$2,'ProductSprint Backlog'!$I119&lt;=B$2), 'ProductSprint Backlog'!$F119 / MAX(1, 'ProductSprint Backlog'!$J119-'ProductSprint Backlog'!$I119), AND('ProductSprint Backlog'!$J119=B$2,'ProductSprint Backlog'!$I119=B$2), 'ProductSprint Backlog'!$F119, TRUE, 0)</f>
        <v>0</v>
      </c>
      <c r="C119" s="4" cm="1">
        <f t="array" ref="C119">_xlfn.IFS('ProductSprint Backlog'!$F119="", "", AND('ProductSprint Backlog'!$J119&gt;C$2,'ProductSprint Backlog'!$I119&lt;=C$2), 'ProductSprint Backlog'!$F119 / MAX(1, 'ProductSprint Backlog'!$J119-'ProductSprint Backlog'!$I119), AND('ProductSprint Backlog'!$J119=C$2,'ProductSprint Backlog'!$I119=C$2), 'ProductSprint Backlog'!$F119, TRUE, 0)</f>
        <v>0</v>
      </c>
      <c r="D119" s="4" cm="1">
        <f t="array" ref="D119">_xlfn.IFS('ProductSprint Backlog'!$F119="", "", AND('ProductSprint Backlog'!$J119&gt;D$2,'ProductSprint Backlog'!$I119&lt;=D$2), 'ProductSprint Backlog'!$F119 / MAX(1, 'ProductSprint Backlog'!$J119-'ProductSprint Backlog'!$I119), AND('ProductSprint Backlog'!$J119=D$2,'ProductSprint Backlog'!$I119=D$2), 'ProductSprint Backlog'!$F119, TRUE, 0)</f>
        <v>0</v>
      </c>
      <c r="E119" s="4" cm="1">
        <f t="array" ref="E119">_xlfn.IFS('ProductSprint Backlog'!$F119="", "", AND('ProductSprint Backlog'!$J119&gt;E$2,'ProductSprint Backlog'!$I119&lt;=E$2), 'ProductSprint Backlog'!$F119 / MAX(1, 'ProductSprint Backlog'!$J119-'ProductSprint Backlog'!$I119), AND('ProductSprint Backlog'!$J119=E$2,'ProductSprint Backlog'!$I119=E$2), 'ProductSprint Backlog'!$F119, TRUE, 0)</f>
        <v>0</v>
      </c>
      <c r="F119" s="4" cm="1">
        <f t="array" ref="F119">_xlfn.IFS('ProductSprint Backlog'!$F119="", "", AND('ProductSprint Backlog'!$J119&gt;F$2,'ProductSprint Backlog'!$I119&lt;=F$2), 'ProductSprint Backlog'!$F119 / MAX(1, 'ProductSprint Backlog'!$J119-'ProductSprint Backlog'!$I119), AND('ProductSprint Backlog'!$J119=F$2,'ProductSprint Backlog'!$I119=F$2), 'ProductSprint Backlog'!$F119, TRUE, 0)</f>
        <v>0</v>
      </c>
      <c r="G119" s="4" cm="1">
        <f t="array" ref="G119">_xlfn.IFS('ProductSprint Backlog'!$F119="", "", AND('ProductSprint Backlog'!$J119&gt;G$2,'ProductSprint Backlog'!$I119&lt;=G$2), 'ProductSprint Backlog'!$F119 / MAX(1, 'ProductSprint Backlog'!$J119-'ProductSprint Backlog'!$I119), AND('ProductSprint Backlog'!$J119=G$2,'ProductSprint Backlog'!$I119=G$2), 'ProductSprint Backlog'!$F119, TRUE, 0)</f>
        <v>0</v>
      </c>
      <c r="H119" s="4" cm="1">
        <f t="array" ref="H119">_xlfn.IFS('ProductSprint Backlog'!$F119="", "", AND('ProductSprint Backlog'!$J119&gt;H$2,'ProductSprint Backlog'!$I119&lt;=H$2), 'ProductSprint Backlog'!$F119 / MAX(1, 'ProductSprint Backlog'!$J119-'ProductSprint Backlog'!$I119), AND('ProductSprint Backlog'!$J119=H$2,'ProductSprint Backlog'!$I119=H$2), 'ProductSprint Backlog'!$F119, TRUE, 0)</f>
        <v>0</v>
      </c>
      <c r="I119" s="4" cm="1">
        <f t="array" ref="I119">_xlfn.IFS('ProductSprint Backlog'!$F119="", "", AND('ProductSprint Backlog'!$J119&gt;I$2,'ProductSprint Backlog'!$I119&lt;=I$2), 'ProductSprint Backlog'!$F119 / MAX(1, 'ProductSprint Backlog'!$J119-'ProductSprint Backlog'!$I119), AND('ProductSprint Backlog'!$J119=I$2,'ProductSprint Backlog'!$I119=I$2), 'ProductSprint Backlog'!$F119, TRUE, 0)</f>
        <v>0</v>
      </c>
      <c r="J119" s="4" cm="1">
        <f t="array" ref="J119">_xlfn.IFS('ProductSprint Backlog'!$F119="", "", AND('ProductSprint Backlog'!$J119&gt;J$2,'ProductSprint Backlog'!$I119&lt;=J$2), 'ProductSprint Backlog'!$F119 / MAX(1, 'ProductSprint Backlog'!$J119-'ProductSprint Backlog'!$I119), AND('ProductSprint Backlog'!$J119=J$2,'ProductSprint Backlog'!$I119=J$2), 'ProductSprint Backlog'!$F119, TRUE, 0)</f>
        <v>0</v>
      </c>
    </row>
    <row r="120" spans="2:10" x14ac:dyDescent="0.2">
      <c r="B120" s="4" cm="1">
        <f t="array" ref="B120">_xlfn.IFS('ProductSprint Backlog'!$F120="", "", AND('ProductSprint Backlog'!$J120&gt;B$2,'ProductSprint Backlog'!$I120&lt;=B$2), 'ProductSprint Backlog'!$F120 / MAX(1, 'ProductSprint Backlog'!$J120-'ProductSprint Backlog'!$I120), AND('ProductSprint Backlog'!$J120=B$2,'ProductSprint Backlog'!$I120=B$2), 'ProductSprint Backlog'!$F120, TRUE, 0)</f>
        <v>0</v>
      </c>
      <c r="C120" s="4" cm="1">
        <f t="array" ref="C120">_xlfn.IFS('ProductSprint Backlog'!$F120="", "", AND('ProductSprint Backlog'!$J120&gt;C$2,'ProductSprint Backlog'!$I120&lt;=C$2), 'ProductSprint Backlog'!$F120 / MAX(1, 'ProductSprint Backlog'!$J120-'ProductSprint Backlog'!$I120), AND('ProductSprint Backlog'!$J120=C$2,'ProductSprint Backlog'!$I120=C$2), 'ProductSprint Backlog'!$F120, TRUE, 0)</f>
        <v>0</v>
      </c>
      <c r="D120" s="4" cm="1">
        <f t="array" ref="D120">_xlfn.IFS('ProductSprint Backlog'!$F120="", "", AND('ProductSprint Backlog'!$J120&gt;D$2,'ProductSprint Backlog'!$I120&lt;=D$2), 'ProductSprint Backlog'!$F120 / MAX(1, 'ProductSprint Backlog'!$J120-'ProductSprint Backlog'!$I120), AND('ProductSprint Backlog'!$J120=D$2,'ProductSprint Backlog'!$I120=D$2), 'ProductSprint Backlog'!$F120, TRUE, 0)</f>
        <v>0</v>
      </c>
      <c r="E120" s="4" cm="1">
        <f t="array" ref="E120">_xlfn.IFS('ProductSprint Backlog'!$F120="", "", AND('ProductSprint Backlog'!$J120&gt;E$2,'ProductSprint Backlog'!$I120&lt;=E$2), 'ProductSprint Backlog'!$F120 / MAX(1, 'ProductSprint Backlog'!$J120-'ProductSprint Backlog'!$I120), AND('ProductSprint Backlog'!$J120=E$2,'ProductSprint Backlog'!$I120=E$2), 'ProductSprint Backlog'!$F120, TRUE, 0)</f>
        <v>0</v>
      </c>
      <c r="F120" s="4" cm="1">
        <f t="array" ref="F120">_xlfn.IFS('ProductSprint Backlog'!$F120="", "", AND('ProductSprint Backlog'!$J120&gt;F$2,'ProductSprint Backlog'!$I120&lt;=F$2), 'ProductSprint Backlog'!$F120 / MAX(1, 'ProductSprint Backlog'!$J120-'ProductSprint Backlog'!$I120), AND('ProductSprint Backlog'!$J120=F$2,'ProductSprint Backlog'!$I120=F$2), 'ProductSprint Backlog'!$F120, TRUE, 0)</f>
        <v>0</v>
      </c>
      <c r="G120" s="4" cm="1">
        <f t="array" ref="G120">_xlfn.IFS('ProductSprint Backlog'!$F120="", "", AND('ProductSprint Backlog'!$J120&gt;G$2,'ProductSprint Backlog'!$I120&lt;=G$2), 'ProductSprint Backlog'!$F120 / MAX(1, 'ProductSprint Backlog'!$J120-'ProductSprint Backlog'!$I120), AND('ProductSprint Backlog'!$J120=G$2,'ProductSprint Backlog'!$I120=G$2), 'ProductSprint Backlog'!$F120, TRUE, 0)</f>
        <v>0</v>
      </c>
      <c r="H120" s="4" cm="1">
        <f t="array" ref="H120">_xlfn.IFS('ProductSprint Backlog'!$F120="", "", AND('ProductSprint Backlog'!$J120&gt;H$2,'ProductSprint Backlog'!$I120&lt;=H$2), 'ProductSprint Backlog'!$F120 / MAX(1, 'ProductSprint Backlog'!$J120-'ProductSprint Backlog'!$I120), AND('ProductSprint Backlog'!$J120=H$2,'ProductSprint Backlog'!$I120=H$2), 'ProductSprint Backlog'!$F120, TRUE, 0)</f>
        <v>0</v>
      </c>
      <c r="I120" s="4" cm="1">
        <f t="array" ref="I120">_xlfn.IFS('ProductSprint Backlog'!$F120="", "", AND('ProductSprint Backlog'!$J120&gt;I$2,'ProductSprint Backlog'!$I120&lt;=I$2), 'ProductSprint Backlog'!$F120 / MAX(1, 'ProductSprint Backlog'!$J120-'ProductSprint Backlog'!$I120), AND('ProductSprint Backlog'!$J120=I$2,'ProductSprint Backlog'!$I120=I$2), 'ProductSprint Backlog'!$F120, TRUE, 0)</f>
        <v>0</v>
      </c>
      <c r="J120" s="4" cm="1">
        <f t="array" ref="J120">_xlfn.IFS('ProductSprint Backlog'!$F120="", "", AND('ProductSprint Backlog'!$J120&gt;J$2,'ProductSprint Backlog'!$I120&lt;=J$2), 'ProductSprint Backlog'!$F120 / MAX(1, 'ProductSprint Backlog'!$J120-'ProductSprint Backlog'!$I120), AND('ProductSprint Backlog'!$J120=J$2,'ProductSprint Backlog'!$I120=J$2), 'ProductSprint Backlog'!$F120, TRUE, 0)</f>
        <v>0</v>
      </c>
    </row>
    <row r="121" spans="2:10" x14ac:dyDescent="0.2">
      <c r="B121" s="4" cm="1">
        <f t="array" ref="B121">_xlfn.IFS('ProductSprint Backlog'!$F121="", "", AND('ProductSprint Backlog'!$J121&gt;B$2,'ProductSprint Backlog'!$I121&lt;=B$2), 'ProductSprint Backlog'!$F121 / MAX(1, 'ProductSprint Backlog'!$J121-'ProductSprint Backlog'!$I121), AND('ProductSprint Backlog'!$J121=B$2,'ProductSprint Backlog'!$I121=B$2), 'ProductSprint Backlog'!$F121, TRUE, 0)</f>
        <v>0</v>
      </c>
      <c r="C121" s="4" cm="1">
        <f t="array" ref="C121">_xlfn.IFS('ProductSprint Backlog'!$F121="", "", AND('ProductSprint Backlog'!$J121&gt;C$2,'ProductSprint Backlog'!$I121&lt;=C$2), 'ProductSprint Backlog'!$F121 / MAX(1, 'ProductSprint Backlog'!$J121-'ProductSprint Backlog'!$I121), AND('ProductSprint Backlog'!$J121=C$2,'ProductSprint Backlog'!$I121=C$2), 'ProductSprint Backlog'!$F121, TRUE, 0)</f>
        <v>0</v>
      </c>
      <c r="D121" s="4" cm="1">
        <f t="array" ref="D121">_xlfn.IFS('ProductSprint Backlog'!$F121="", "", AND('ProductSprint Backlog'!$J121&gt;D$2,'ProductSprint Backlog'!$I121&lt;=D$2), 'ProductSprint Backlog'!$F121 / MAX(1, 'ProductSprint Backlog'!$J121-'ProductSprint Backlog'!$I121), AND('ProductSprint Backlog'!$J121=D$2,'ProductSprint Backlog'!$I121=D$2), 'ProductSprint Backlog'!$F121, TRUE, 0)</f>
        <v>0</v>
      </c>
      <c r="E121" s="4" cm="1">
        <f t="array" ref="E121">_xlfn.IFS('ProductSprint Backlog'!$F121="", "", AND('ProductSprint Backlog'!$J121&gt;E$2,'ProductSprint Backlog'!$I121&lt;=E$2), 'ProductSprint Backlog'!$F121 / MAX(1, 'ProductSprint Backlog'!$J121-'ProductSprint Backlog'!$I121), AND('ProductSprint Backlog'!$J121=E$2,'ProductSprint Backlog'!$I121=E$2), 'ProductSprint Backlog'!$F121, TRUE, 0)</f>
        <v>0</v>
      </c>
      <c r="F121" s="4" cm="1">
        <f t="array" ref="F121">_xlfn.IFS('ProductSprint Backlog'!$F121="", "", AND('ProductSprint Backlog'!$J121&gt;F$2,'ProductSprint Backlog'!$I121&lt;=F$2), 'ProductSprint Backlog'!$F121 / MAX(1, 'ProductSprint Backlog'!$J121-'ProductSprint Backlog'!$I121), AND('ProductSprint Backlog'!$J121=F$2,'ProductSprint Backlog'!$I121=F$2), 'ProductSprint Backlog'!$F121, TRUE, 0)</f>
        <v>0</v>
      </c>
      <c r="G121" s="4" cm="1">
        <f t="array" ref="G121">_xlfn.IFS('ProductSprint Backlog'!$F121="", "", AND('ProductSprint Backlog'!$J121&gt;G$2,'ProductSprint Backlog'!$I121&lt;=G$2), 'ProductSprint Backlog'!$F121 / MAX(1, 'ProductSprint Backlog'!$J121-'ProductSprint Backlog'!$I121), AND('ProductSprint Backlog'!$J121=G$2,'ProductSprint Backlog'!$I121=G$2), 'ProductSprint Backlog'!$F121, TRUE, 0)</f>
        <v>0</v>
      </c>
      <c r="H121" s="4" cm="1">
        <f t="array" ref="H121">_xlfn.IFS('ProductSprint Backlog'!$F121="", "", AND('ProductSprint Backlog'!$J121&gt;H$2,'ProductSprint Backlog'!$I121&lt;=H$2), 'ProductSprint Backlog'!$F121 / MAX(1, 'ProductSprint Backlog'!$J121-'ProductSprint Backlog'!$I121), AND('ProductSprint Backlog'!$J121=H$2,'ProductSprint Backlog'!$I121=H$2), 'ProductSprint Backlog'!$F121, TRUE, 0)</f>
        <v>0</v>
      </c>
      <c r="I121" s="4" cm="1">
        <f t="array" ref="I121">_xlfn.IFS('ProductSprint Backlog'!$F121="", "", AND('ProductSprint Backlog'!$J121&gt;I$2,'ProductSprint Backlog'!$I121&lt;=I$2), 'ProductSprint Backlog'!$F121 / MAX(1, 'ProductSprint Backlog'!$J121-'ProductSprint Backlog'!$I121), AND('ProductSprint Backlog'!$J121=I$2,'ProductSprint Backlog'!$I121=I$2), 'ProductSprint Backlog'!$F121, TRUE, 0)</f>
        <v>0</v>
      </c>
      <c r="J121" s="4" cm="1">
        <f t="array" ref="J121">_xlfn.IFS('ProductSprint Backlog'!$F121="", "", AND('ProductSprint Backlog'!$J121&gt;J$2,'ProductSprint Backlog'!$I121&lt;=J$2), 'ProductSprint Backlog'!$F121 / MAX(1, 'ProductSprint Backlog'!$J121-'ProductSprint Backlog'!$I121), AND('ProductSprint Backlog'!$J121=J$2,'ProductSprint Backlog'!$I121=J$2), 'ProductSprint Backlog'!$F121, TRUE, 0)</f>
        <v>0</v>
      </c>
    </row>
    <row r="122" spans="2:10" x14ac:dyDescent="0.2">
      <c r="B122" s="4" cm="1">
        <f t="array" ref="B122">_xlfn.IFS('ProductSprint Backlog'!$F122="", "", AND('ProductSprint Backlog'!$J122&gt;B$2,'ProductSprint Backlog'!$I122&lt;=B$2), 'ProductSprint Backlog'!$F122 / MAX(1, 'ProductSprint Backlog'!$J122-'ProductSprint Backlog'!$I122), AND('ProductSprint Backlog'!$J122=B$2,'ProductSprint Backlog'!$I122=B$2), 'ProductSprint Backlog'!$F122, TRUE, 0)</f>
        <v>0</v>
      </c>
      <c r="C122" s="4" cm="1">
        <f t="array" ref="C122">_xlfn.IFS('ProductSprint Backlog'!$F122="", "", AND('ProductSprint Backlog'!$J122&gt;C$2,'ProductSprint Backlog'!$I122&lt;=C$2), 'ProductSprint Backlog'!$F122 / MAX(1, 'ProductSprint Backlog'!$J122-'ProductSprint Backlog'!$I122), AND('ProductSprint Backlog'!$J122=C$2,'ProductSprint Backlog'!$I122=C$2), 'ProductSprint Backlog'!$F122, TRUE, 0)</f>
        <v>0</v>
      </c>
      <c r="D122" s="4" cm="1">
        <f t="array" ref="D122">_xlfn.IFS('ProductSprint Backlog'!$F122="", "", AND('ProductSprint Backlog'!$J122&gt;D$2,'ProductSprint Backlog'!$I122&lt;=D$2), 'ProductSprint Backlog'!$F122 / MAX(1, 'ProductSprint Backlog'!$J122-'ProductSprint Backlog'!$I122), AND('ProductSprint Backlog'!$J122=D$2,'ProductSprint Backlog'!$I122=D$2), 'ProductSprint Backlog'!$F122, TRUE, 0)</f>
        <v>0</v>
      </c>
      <c r="E122" s="4" cm="1">
        <f t="array" ref="E122">_xlfn.IFS('ProductSprint Backlog'!$F122="", "", AND('ProductSprint Backlog'!$J122&gt;E$2,'ProductSprint Backlog'!$I122&lt;=E$2), 'ProductSprint Backlog'!$F122 / MAX(1, 'ProductSprint Backlog'!$J122-'ProductSprint Backlog'!$I122), AND('ProductSprint Backlog'!$J122=E$2,'ProductSprint Backlog'!$I122=E$2), 'ProductSprint Backlog'!$F122, TRUE, 0)</f>
        <v>0</v>
      </c>
      <c r="F122" s="4" cm="1">
        <f t="array" ref="F122">_xlfn.IFS('ProductSprint Backlog'!$F122="", "", AND('ProductSprint Backlog'!$J122&gt;F$2,'ProductSprint Backlog'!$I122&lt;=F$2), 'ProductSprint Backlog'!$F122 / MAX(1, 'ProductSprint Backlog'!$J122-'ProductSprint Backlog'!$I122), AND('ProductSprint Backlog'!$J122=F$2,'ProductSprint Backlog'!$I122=F$2), 'ProductSprint Backlog'!$F122, TRUE, 0)</f>
        <v>0</v>
      </c>
      <c r="G122" s="4" cm="1">
        <f t="array" ref="G122">_xlfn.IFS('ProductSprint Backlog'!$F122="", "", AND('ProductSprint Backlog'!$J122&gt;G$2,'ProductSprint Backlog'!$I122&lt;=G$2), 'ProductSprint Backlog'!$F122 / MAX(1, 'ProductSprint Backlog'!$J122-'ProductSprint Backlog'!$I122), AND('ProductSprint Backlog'!$J122=G$2,'ProductSprint Backlog'!$I122=G$2), 'ProductSprint Backlog'!$F122, TRUE, 0)</f>
        <v>0</v>
      </c>
      <c r="H122" s="4" cm="1">
        <f t="array" ref="H122">_xlfn.IFS('ProductSprint Backlog'!$F122="", "", AND('ProductSprint Backlog'!$J122&gt;H$2,'ProductSprint Backlog'!$I122&lt;=H$2), 'ProductSprint Backlog'!$F122 / MAX(1, 'ProductSprint Backlog'!$J122-'ProductSprint Backlog'!$I122), AND('ProductSprint Backlog'!$J122=H$2,'ProductSprint Backlog'!$I122=H$2), 'ProductSprint Backlog'!$F122, TRUE, 0)</f>
        <v>0</v>
      </c>
      <c r="I122" s="4" cm="1">
        <f t="array" ref="I122">_xlfn.IFS('ProductSprint Backlog'!$F122="", "", AND('ProductSprint Backlog'!$J122&gt;I$2,'ProductSprint Backlog'!$I122&lt;=I$2), 'ProductSprint Backlog'!$F122 / MAX(1, 'ProductSprint Backlog'!$J122-'ProductSprint Backlog'!$I122), AND('ProductSprint Backlog'!$J122=I$2,'ProductSprint Backlog'!$I122=I$2), 'ProductSprint Backlog'!$F122, TRUE, 0)</f>
        <v>0</v>
      </c>
      <c r="J122" s="4" cm="1">
        <f t="array" ref="J122">_xlfn.IFS('ProductSprint Backlog'!$F122="", "", AND('ProductSprint Backlog'!$J122&gt;J$2,'ProductSprint Backlog'!$I122&lt;=J$2), 'ProductSprint Backlog'!$F122 / MAX(1, 'ProductSprint Backlog'!$J122-'ProductSprint Backlog'!$I122), AND('ProductSprint Backlog'!$J122=J$2,'ProductSprint Backlog'!$I122=J$2), 'ProductSprint Backlog'!$F122, TRUE, 0)</f>
        <v>0</v>
      </c>
    </row>
    <row r="123" spans="2:10" x14ac:dyDescent="0.2">
      <c r="B123" s="4" cm="1">
        <f t="array" ref="B123">_xlfn.IFS('ProductSprint Backlog'!$F123="", "", AND('ProductSprint Backlog'!$J123&gt;B$2,'ProductSprint Backlog'!$I123&lt;=B$2), 'ProductSprint Backlog'!$F123 / MAX(1, 'ProductSprint Backlog'!$J123-'ProductSprint Backlog'!$I123), AND('ProductSprint Backlog'!$J123=B$2,'ProductSprint Backlog'!$I123=B$2), 'ProductSprint Backlog'!$F123, TRUE, 0)</f>
        <v>0</v>
      </c>
      <c r="C123" s="4" cm="1">
        <f t="array" ref="C123">_xlfn.IFS('ProductSprint Backlog'!$F123="", "", AND('ProductSprint Backlog'!$J123&gt;C$2,'ProductSprint Backlog'!$I123&lt;=C$2), 'ProductSprint Backlog'!$F123 / MAX(1, 'ProductSprint Backlog'!$J123-'ProductSprint Backlog'!$I123), AND('ProductSprint Backlog'!$J123=C$2,'ProductSprint Backlog'!$I123=C$2), 'ProductSprint Backlog'!$F123, TRUE, 0)</f>
        <v>0</v>
      </c>
      <c r="D123" s="4" cm="1">
        <f t="array" ref="D123">_xlfn.IFS('ProductSprint Backlog'!$F123="", "", AND('ProductSprint Backlog'!$J123&gt;D$2,'ProductSprint Backlog'!$I123&lt;=D$2), 'ProductSprint Backlog'!$F123 / MAX(1, 'ProductSprint Backlog'!$J123-'ProductSprint Backlog'!$I123), AND('ProductSprint Backlog'!$J123=D$2,'ProductSprint Backlog'!$I123=D$2), 'ProductSprint Backlog'!$F123, TRUE, 0)</f>
        <v>0</v>
      </c>
      <c r="E123" s="4" cm="1">
        <f t="array" ref="E123">_xlfn.IFS('ProductSprint Backlog'!$F123="", "", AND('ProductSprint Backlog'!$J123&gt;E$2,'ProductSprint Backlog'!$I123&lt;=E$2), 'ProductSprint Backlog'!$F123 / MAX(1, 'ProductSprint Backlog'!$J123-'ProductSprint Backlog'!$I123), AND('ProductSprint Backlog'!$J123=E$2,'ProductSprint Backlog'!$I123=E$2), 'ProductSprint Backlog'!$F123, TRUE, 0)</f>
        <v>0</v>
      </c>
      <c r="F123" s="4" cm="1">
        <f t="array" ref="F123">_xlfn.IFS('ProductSprint Backlog'!$F123="", "", AND('ProductSprint Backlog'!$J123&gt;F$2,'ProductSprint Backlog'!$I123&lt;=F$2), 'ProductSprint Backlog'!$F123 / MAX(1, 'ProductSprint Backlog'!$J123-'ProductSprint Backlog'!$I123), AND('ProductSprint Backlog'!$J123=F$2,'ProductSprint Backlog'!$I123=F$2), 'ProductSprint Backlog'!$F123, TRUE, 0)</f>
        <v>0</v>
      </c>
      <c r="G123" s="4" cm="1">
        <f t="array" ref="G123">_xlfn.IFS('ProductSprint Backlog'!$F123="", "", AND('ProductSprint Backlog'!$J123&gt;G$2,'ProductSprint Backlog'!$I123&lt;=G$2), 'ProductSprint Backlog'!$F123 / MAX(1, 'ProductSprint Backlog'!$J123-'ProductSprint Backlog'!$I123), AND('ProductSprint Backlog'!$J123=G$2,'ProductSprint Backlog'!$I123=G$2), 'ProductSprint Backlog'!$F123, TRUE, 0)</f>
        <v>0</v>
      </c>
      <c r="H123" s="4" cm="1">
        <f t="array" ref="H123">_xlfn.IFS('ProductSprint Backlog'!$F123="", "", AND('ProductSprint Backlog'!$J123&gt;H$2,'ProductSprint Backlog'!$I123&lt;=H$2), 'ProductSprint Backlog'!$F123 / MAX(1, 'ProductSprint Backlog'!$J123-'ProductSprint Backlog'!$I123), AND('ProductSprint Backlog'!$J123=H$2,'ProductSprint Backlog'!$I123=H$2), 'ProductSprint Backlog'!$F123, TRUE, 0)</f>
        <v>0</v>
      </c>
      <c r="I123" s="4" cm="1">
        <f t="array" ref="I123">_xlfn.IFS('ProductSprint Backlog'!$F123="", "", AND('ProductSprint Backlog'!$J123&gt;I$2,'ProductSprint Backlog'!$I123&lt;=I$2), 'ProductSprint Backlog'!$F123 / MAX(1, 'ProductSprint Backlog'!$J123-'ProductSprint Backlog'!$I123), AND('ProductSprint Backlog'!$J123=I$2,'ProductSprint Backlog'!$I123=I$2), 'ProductSprint Backlog'!$F123, TRUE, 0)</f>
        <v>0</v>
      </c>
      <c r="J123" s="4" cm="1">
        <f t="array" ref="J123">_xlfn.IFS('ProductSprint Backlog'!$F123="", "", AND('ProductSprint Backlog'!$J123&gt;J$2,'ProductSprint Backlog'!$I123&lt;=J$2), 'ProductSprint Backlog'!$F123 / MAX(1, 'ProductSprint Backlog'!$J123-'ProductSprint Backlog'!$I123), AND('ProductSprint Backlog'!$J123=J$2,'ProductSprint Backlog'!$I123=J$2), 'ProductSprint Backlog'!$F123, TRUE, 0)</f>
        <v>0</v>
      </c>
    </row>
    <row r="124" spans="2:10" x14ac:dyDescent="0.2">
      <c r="B124" s="4" t="str" cm="1">
        <f t="array" ref="B124">_xlfn.IFS('ProductSprint Backlog'!$F124="", "", AND('ProductSprint Backlog'!$J124&gt;B$2,'ProductSprint Backlog'!$I124&lt;=B$2), 'ProductSprint Backlog'!$F124 / MAX(1, 'ProductSprint Backlog'!$J124-'ProductSprint Backlog'!$I124), AND('ProductSprint Backlog'!$J124=B$2,'ProductSprint Backlog'!$I124=B$2), 'ProductSprint Backlog'!$F124, TRUE, 0)</f>
        <v/>
      </c>
      <c r="C124" s="4" t="str" cm="1">
        <f t="array" ref="C124">_xlfn.IFS('ProductSprint Backlog'!$F124="", "", AND('ProductSprint Backlog'!$J124&gt;C$2,'ProductSprint Backlog'!$I124&lt;=C$2), 'ProductSprint Backlog'!$F124 / MAX(1, 'ProductSprint Backlog'!$J124-'ProductSprint Backlog'!$I124), AND('ProductSprint Backlog'!$J124=C$2,'ProductSprint Backlog'!$I124=C$2), 'ProductSprint Backlog'!$F124, TRUE, 0)</f>
        <v/>
      </c>
      <c r="D124" s="4" t="str" cm="1">
        <f t="array" ref="D124">_xlfn.IFS('ProductSprint Backlog'!$F124="", "", AND('ProductSprint Backlog'!$J124&gt;D$2,'ProductSprint Backlog'!$I124&lt;=D$2), 'ProductSprint Backlog'!$F124 / MAX(1, 'ProductSprint Backlog'!$J124-'ProductSprint Backlog'!$I124), AND('ProductSprint Backlog'!$J124=D$2,'ProductSprint Backlog'!$I124=D$2), 'ProductSprint Backlog'!$F124, TRUE, 0)</f>
        <v/>
      </c>
      <c r="E124" s="4" t="str" cm="1">
        <f t="array" ref="E124">_xlfn.IFS('ProductSprint Backlog'!$F124="", "", AND('ProductSprint Backlog'!$J124&gt;E$2,'ProductSprint Backlog'!$I124&lt;=E$2), 'ProductSprint Backlog'!$F124 / MAX(1, 'ProductSprint Backlog'!$J124-'ProductSprint Backlog'!$I124), AND('ProductSprint Backlog'!$J124=E$2,'ProductSprint Backlog'!$I124=E$2), 'ProductSprint Backlog'!$F124, TRUE, 0)</f>
        <v/>
      </c>
      <c r="F124" s="4" t="str" cm="1">
        <f t="array" ref="F124">_xlfn.IFS('ProductSprint Backlog'!$F124="", "", AND('ProductSprint Backlog'!$J124&gt;F$2,'ProductSprint Backlog'!$I124&lt;=F$2), 'ProductSprint Backlog'!$F124 / MAX(1, 'ProductSprint Backlog'!$J124-'ProductSprint Backlog'!$I124), AND('ProductSprint Backlog'!$J124=F$2,'ProductSprint Backlog'!$I124=F$2), 'ProductSprint Backlog'!$F124, TRUE, 0)</f>
        <v/>
      </c>
      <c r="G124" s="4" t="str" cm="1">
        <f t="array" ref="G124">_xlfn.IFS('ProductSprint Backlog'!$F124="", "", AND('ProductSprint Backlog'!$J124&gt;G$2,'ProductSprint Backlog'!$I124&lt;=G$2), 'ProductSprint Backlog'!$F124 / MAX(1, 'ProductSprint Backlog'!$J124-'ProductSprint Backlog'!$I124), AND('ProductSprint Backlog'!$J124=G$2,'ProductSprint Backlog'!$I124=G$2), 'ProductSprint Backlog'!$F124, TRUE, 0)</f>
        <v/>
      </c>
      <c r="H124" s="4" t="str" cm="1">
        <f t="array" ref="H124">_xlfn.IFS('ProductSprint Backlog'!$F124="", "", AND('ProductSprint Backlog'!$J124&gt;H$2,'ProductSprint Backlog'!$I124&lt;=H$2), 'ProductSprint Backlog'!$F124 / MAX(1, 'ProductSprint Backlog'!$J124-'ProductSprint Backlog'!$I124), AND('ProductSprint Backlog'!$J124=H$2,'ProductSprint Backlog'!$I124=H$2), 'ProductSprint Backlog'!$F124, TRUE, 0)</f>
        <v/>
      </c>
      <c r="I124" s="4" t="str" cm="1">
        <f t="array" ref="I124">_xlfn.IFS('ProductSprint Backlog'!$F124="", "", AND('ProductSprint Backlog'!$J124&gt;I$2,'ProductSprint Backlog'!$I124&lt;=I$2), 'ProductSprint Backlog'!$F124 / MAX(1, 'ProductSprint Backlog'!$J124-'ProductSprint Backlog'!$I124), AND('ProductSprint Backlog'!$J124=I$2,'ProductSprint Backlog'!$I124=I$2), 'ProductSprint Backlog'!$F124, TRUE, 0)</f>
        <v/>
      </c>
      <c r="J124" s="4" t="str" cm="1">
        <f t="array" ref="J124">_xlfn.IFS('ProductSprint Backlog'!$F124="", "", AND('ProductSprint Backlog'!$J124&gt;J$2,'ProductSprint Backlog'!$I124&lt;=J$2), 'ProductSprint Backlog'!$F124 / MAX(1, 'ProductSprint Backlog'!$J124-'ProductSprint Backlog'!$I124), AND('ProductSprint Backlog'!$J124=J$2,'ProductSprint Backlog'!$I124=J$2), 'ProductSprint Backlog'!$F124, TRUE, 0)</f>
        <v/>
      </c>
    </row>
    <row r="125" spans="2:10" x14ac:dyDescent="0.2">
      <c r="B125" s="4" cm="1">
        <f t="array" ref="B125">_xlfn.IFS('ProductSprint Backlog'!$F125="", "", AND('ProductSprint Backlog'!$J125&gt;B$2,'ProductSprint Backlog'!$I125&lt;=B$2), 'ProductSprint Backlog'!$F125 / MAX(1, 'ProductSprint Backlog'!$J125-'ProductSprint Backlog'!$I125), AND('ProductSprint Backlog'!$J125=B$2,'ProductSprint Backlog'!$I125=B$2), 'ProductSprint Backlog'!$F125, TRUE, 0)</f>
        <v>0</v>
      </c>
      <c r="C125" s="4" cm="1">
        <f t="array" ref="C125">_xlfn.IFS('ProductSprint Backlog'!$F125="", "", AND('ProductSprint Backlog'!$J125&gt;C$2,'ProductSprint Backlog'!$I125&lt;=C$2), 'ProductSprint Backlog'!$F125 / MAX(1, 'ProductSprint Backlog'!$J125-'ProductSprint Backlog'!$I125), AND('ProductSprint Backlog'!$J125=C$2,'ProductSprint Backlog'!$I125=C$2), 'ProductSprint Backlog'!$F125, TRUE, 0)</f>
        <v>0</v>
      </c>
      <c r="D125" s="4" cm="1">
        <f t="array" ref="D125">_xlfn.IFS('ProductSprint Backlog'!$F125="", "", AND('ProductSprint Backlog'!$J125&gt;D$2,'ProductSprint Backlog'!$I125&lt;=D$2), 'ProductSprint Backlog'!$F125 / MAX(1, 'ProductSprint Backlog'!$J125-'ProductSprint Backlog'!$I125), AND('ProductSprint Backlog'!$J125=D$2,'ProductSprint Backlog'!$I125=D$2), 'ProductSprint Backlog'!$F125, TRUE, 0)</f>
        <v>0</v>
      </c>
      <c r="E125" s="4" cm="1">
        <f t="array" ref="E125">_xlfn.IFS('ProductSprint Backlog'!$F125="", "", AND('ProductSprint Backlog'!$J125&gt;E$2,'ProductSprint Backlog'!$I125&lt;=E$2), 'ProductSprint Backlog'!$F125 / MAX(1, 'ProductSprint Backlog'!$J125-'ProductSprint Backlog'!$I125), AND('ProductSprint Backlog'!$J125=E$2,'ProductSprint Backlog'!$I125=E$2), 'ProductSprint Backlog'!$F125, TRUE, 0)</f>
        <v>0</v>
      </c>
      <c r="F125" s="4" cm="1">
        <f t="array" ref="F125">_xlfn.IFS('ProductSprint Backlog'!$F125="", "", AND('ProductSprint Backlog'!$J125&gt;F$2,'ProductSprint Backlog'!$I125&lt;=F$2), 'ProductSprint Backlog'!$F125 / MAX(1, 'ProductSprint Backlog'!$J125-'ProductSprint Backlog'!$I125), AND('ProductSprint Backlog'!$J125=F$2,'ProductSprint Backlog'!$I125=F$2), 'ProductSprint Backlog'!$F125, TRUE, 0)</f>
        <v>0</v>
      </c>
      <c r="G125" s="4" cm="1">
        <f t="array" ref="G125">_xlfn.IFS('ProductSprint Backlog'!$F125="", "", AND('ProductSprint Backlog'!$J125&gt;G$2,'ProductSprint Backlog'!$I125&lt;=G$2), 'ProductSprint Backlog'!$F125 / MAX(1, 'ProductSprint Backlog'!$J125-'ProductSprint Backlog'!$I125), AND('ProductSprint Backlog'!$J125=G$2,'ProductSprint Backlog'!$I125=G$2), 'ProductSprint Backlog'!$F125, TRUE, 0)</f>
        <v>0</v>
      </c>
      <c r="H125" s="4" cm="1">
        <f t="array" ref="H125">_xlfn.IFS('ProductSprint Backlog'!$F125="", "", AND('ProductSprint Backlog'!$J125&gt;H$2,'ProductSprint Backlog'!$I125&lt;=H$2), 'ProductSprint Backlog'!$F125 / MAX(1, 'ProductSprint Backlog'!$J125-'ProductSprint Backlog'!$I125), AND('ProductSprint Backlog'!$J125=H$2,'ProductSprint Backlog'!$I125=H$2), 'ProductSprint Backlog'!$F125, TRUE, 0)</f>
        <v>0</v>
      </c>
      <c r="I125" s="4" cm="1">
        <f t="array" ref="I125">_xlfn.IFS('ProductSprint Backlog'!$F125="", "", AND('ProductSprint Backlog'!$J125&gt;I$2,'ProductSprint Backlog'!$I125&lt;=I$2), 'ProductSprint Backlog'!$F125 / MAX(1, 'ProductSprint Backlog'!$J125-'ProductSprint Backlog'!$I125), AND('ProductSprint Backlog'!$J125=I$2,'ProductSprint Backlog'!$I125=I$2), 'ProductSprint Backlog'!$F125, TRUE, 0)</f>
        <v>0</v>
      </c>
      <c r="J125" s="4" cm="1">
        <f t="array" ref="J125">_xlfn.IFS('ProductSprint Backlog'!$F125="", "", AND('ProductSprint Backlog'!$J125&gt;J$2,'ProductSprint Backlog'!$I125&lt;=J$2), 'ProductSprint Backlog'!$F125 / MAX(1, 'ProductSprint Backlog'!$J125-'ProductSprint Backlog'!$I125), AND('ProductSprint Backlog'!$J125=J$2,'ProductSprint Backlog'!$I125=J$2), 'ProductSprint Backlog'!$F125, TRUE, 0)</f>
        <v>0</v>
      </c>
    </row>
    <row r="126" spans="2:10" x14ac:dyDescent="0.2">
      <c r="B126" s="4" cm="1">
        <f t="array" ref="B126">_xlfn.IFS('ProductSprint Backlog'!$F126="", "", AND('ProductSprint Backlog'!$J126&gt;B$2,'ProductSprint Backlog'!$I126&lt;=B$2), 'ProductSprint Backlog'!$F126 / MAX(1, 'ProductSprint Backlog'!$J126-'ProductSprint Backlog'!$I126), AND('ProductSprint Backlog'!$J126=B$2,'ProductSprint Backlog'!$I126=B$2), 'ProductSprint Backlog'!$F126, TRUE, 0)</f>
        <v>0</v>
      </c>
      <c r="C126" s="4" cm="1">
        <f t="array" ref="C126">_xlfn.IFS('ProductSprint Backlog'!$F126="", "", AND('ProductSprint Backlog'!$J126&gt;C$2,'ProductSprint Backlog'!$I126&lt;=C$2), 'ProductSprint Backlog'!$F126 / MAX(1, 'ProductSprint Backlog'!$J126-'ProductSprint Backlog'!$I126), AND('ProductSprint Backlog'!$J126=C$2,'ProductSprint Backlog'!$I126=C$2), 'ProductSprint Backlog'!$F126, TRUE, 0)</f>
        <v>0</v>
      </c>
      <c r="D126" s="4" cm="1">
        <f t="array" ref="D126">_xlfn.IFS('ProductSprint Backlog'!$F126="", "", AND('ProductSprint Backlog'!$J126&gt;D$2,'ProductSprint Backlog'!$I126&lt;=D$2), 'ProductSprint Backlog'!$F126 / MAX(1, 'ProductSprint Backlog'!$J126-'ProductSprint Backlog'!$I126), AND('ProductSprint Backlog'!$J126=D$2,'ProductSprint Backlog'!$I126=D$2), 'ProductSprint Backlog'!$F126, TRUE, 0)</f>
        <v>0</v>
      </c>
      <c r="E126" s="4" cm="1">
        <f t="array" ref="E126">_xlfn.IFS('ProductSprint Backlog'!$F126="", "", AND('ProductSprint Backlog'!$J126&gt;E$2,'ProductSprint Backlog'!$I126&lt;=E$2), 'ProductSprint Backlog'!$F126 / MAX(1, 'ProductSprint Backlog'!$J126-'ProductSprint Backlog'!$I126), AND('ProductSprint Backlog'!$J126=E$2,'ProductSprint Backlog'!$I126=E$2), 'ProductSprint Backlog'!$F126, TRUE, 0)</f>
        <v>0</v>
      </c>
      <c r="F126" s="4" cm="1">
        <f t="array" ref="F126">_xlfn.IFS('ProductSprint Backlog'!$F126="", "", AND('ProductSprint Backlog'!$J126&gt;F$2,'ProductSprint Backlog'!$I126&lt;=F$2), 'ProductSprint Backlog'!$F126 / MAX(1, 'ProductSprint Backlog'!$J126-'ProductSprint Backlog'!$I126), AND('ProductSprint Backlog'!$J126=F$2,'ProductSprint Backlog'!$I126=F$2), 'ProductSprint Backlog'!$F126, TRUE, 0)</f>
        <v>0</v>
      </c>
      <c r="G126" s="4" cm="1">
        <f t="array" ref="G126">_xlfn.IFS('ProductSprint Backlog'!$F126="", "", AND('ProductSprint Backlog'!$J126&gt;G$2,'ProductSprint Backlog'!$I126&lt;=G$2), 'ProductSprint Backlog'!$F126 / MAX(1, 'ProductSprint Backlog'!$J126-'ProductSprint Backlog'!$I126), AND('ProductSprint Backlog'!$J126=G$2,'ProductSprint Backlog'!$I126=G$2), 'ProductSprint Backlog'!$F126, TRUE, 0)</f>
        <v>0</v>
      </c>
      <c r="H126" s="4" cm="1">
        <f t="array" ref="H126">_xlfn.IFS('ProductSprint Backlog'!$F126="", "", AND('ProductSprint Backlog'!$J126&gt;H$2,'ProductSprint Backlog'!$I126&lt;=H$2), 'ProductSprint Backlog'!$F126 / MAX(1, 'ProductSprint Backlog'!$J126-'ProductSprint Backlog'!$I126), AND('ProductSprint Backlog'!$J126=H$2,'ProductSprint Backlog'!$I126=H$2), 'ProductSprint Backlog'!$F126, TRUE, 0)</f>
        <v>0</v>
      </c>
      <c r="I126" s="4" cm="1">
        <f t="array" ref="I126">_xlfn.IFS('ProductSprint Backlog'!$F126="", "", AND('ProductSprint Backlog'!$J126&gt;I$2,'ProductSprint Backlog'!$I126&lt;=I$2), 'ProductSprint Backlog'!$F126 / MAX(1, 'ProductSprint Backlog'!$J126-'ProductSprint Backlog'!$I126), AND('ProductSprint Backlog'!$J126=I$2,'ProductSprint Backlog'!$I126=I$2), 'ProductSprint Backlog'!$F126, TRUE, 0)</f>
        <v>0</v>
      </c>
      <c r="J126" s="4" cm="1">
        <f t="array" ref="J126">_xlfn.IFS('ProductSprint Backlog'!$F126="", "", AND('ProductSprint Backlog'!$J126&gt;J$2,'ProductSprint Backlog'!$I126&lt;=J$2), 'ProductSprint Backlog'!$F126 / MAX(1, 'ProductSprint Backlog'!$J126-'ProductSprint Backlog'!$I126), AND('ProductSprint Backlog'!$J126=J$2,'ProductSprint Backlog'!$I126=J$2), 'ProductSprint Backlog'!$F126, TRUE, 0)</f>
        <v>0</v>
      </c>
    </row>
    <row r="127" spans="2:10" x14ac:dyDescent="0.2">
      <c r="B127" s="4" cm="1">
        <f t="array" ref="B127">_xlfn.IFS('ProductSprint Backlog'!$F127="", "", AND('ProductSprint Backlog'!$J127&gt;B$2,'ProductSprint Backlog'!$I127&lt;=B$2), 'ProductSprint Backlog'!$F127 / MAX(1, 'ProductSprint Backlog'!$J127-'ProductSprint Backlog'!$I127), AND('ProductSprint Backlog'!$J127=B$2,'ProductSprint Backlog'!$I127=B$2), 'ProductSprint Backlog'!$F127, TRUE, 0)</f>
        <v>0</v>
      </c>
      <c r="C127" s="4" cm="1">
        <f t="array" ref="C127">_xlfn.IFS('ProductSprint Backlog'!$F127="", "", AND('ProductSprint Backlog'!$J127&gt;C$2,'ProductSprint Backlog'!$I127&lt;=C$2), 'ProductSprint Backlog'!$F127 / MAX(1, 'ProductSprint Backlog'!$J127-'ProductSprint Backlog'!$I127), AND('ProductSprint Backlog'!$J127=C$2,'ProductSprint Backlog'!$I127=C$2), 'ProductSprint Backlog'!$F127, TRUE, 0)</f>
        <v>0</v>
      </c>
      <c r="D127" s="4" cm="1">
        <f t="array" ref="D127">_xlfn.IFS('ProductSprint Backlog'!$F127="", "", AND('ProductSprint Backlog'!$J127&gt;D$2,'ProductSprint Backlog'!$I127&lt;=D$2), 'ProductSprint Backlog'!$F127 / MAX(1, 'ProductSprint Backlog'!$J127-'ProductSprint Backlog'!$I127), AND('ProductSprint Backlog'!$J127=D$2,'ProductSprint Backlog'!$I127=D$2), 'ProductSprint Backlog'!$F127, TRUE, 0)</f>
        <v>0</v>
      </c>
      <c r="E127" s="4" cm="1">
        <f t="array" ref="E127">_xlfn.IFS('ProductSprint Backlog'!$F127="", "", AND('ProductSprint Backlog'!$J127&gt;E$2,'ProductSprint Backlog'!$I127&lt;=E$2), 'ProductSprint Backlog'!$F127 / MAX(1, 'ProductSprint Backlog'!$J127-'ProductSprint Backlog'!$I127), AND('ProductSprint Backlog'!$J127=E$2,'ProductSprint Backlog'!$I127=E$2), 'ProductSprint Backlog'!$F127, TRUE, 0)</f>
        <v>0</v>
      </c>
      <c r="F127" s="4" cm="1">
        <f t="array" ref="F127">_xlfn.IFS('ProductSprint Backlog'!$F127="", "", AND('ProductSprint Backlog'!$J127&gt;F$2,'ProductSprint Backlog'!$I127&lt;=F$2), 'ProductSprint Backlog'!$F127 / MAX(1, 'ProductSprint Backlog'!$J127-'ProductSprint Backlog'!$I127), AND('ProductSprint Backlog'!$J127=F$2,'ProductSprint Backlog'!$I127=F$2), 'ProductSprint Backlog'!$F127, TRUE, 0)</f>
        <v>0</v>
      </c>
      <c r="G127" s="4" cm="1">
        <f t="array" ref="G127">_xlfn.IFS('ProductSprint Backlog'!$F127="", "", AND('ProductSprint Backlog'!$J127&gt;G$2,'ProductSprint Backlog'!$I127&lt;=G$2), 'ProductSprint Backlog'!$F127 / MAX(1, 'ProductSprint Backlog'!$J127-'ProductSprint Backlog'!$I127), AND('ProductSprint Backlog'!$J127=G$2,'ProductSprint Backlog'!$I127=G$2), 'ProductSprint Backlog'!$F127, TRUE, 0)</f>
        <v>0</v>
      </c>
      <c r="H127" s="4" cm="1">
        <f t="array" ref="H127">_xlfn.IFS('ProductSprint Backlog'!$F127="", "", AND('ProductSprint Backlog'!$J127&gt;H$2,'ProductSprint Backlog'!$I127&lt;=H$2), 'ProductSprint Backlog'!$F127 / MAX(1, 'ProductSprint Backlog'!$J127-'ProductSprint Backlog'!$I127), AND('ProductSprint Backlog'!$J127=H$2,'ProductSprint Backlog'!$I127=H$2), 'ProductSprint Backlog'!$F127, TRUE, 0)</f>
        <v>0</v>
      </c>
      <c r="I127" s="4" cm="1">
        <f t="array" ref="I127">_xlfn.IFS('ProductSprint Backlog'!$F127="", "", AND('ProductSprint Backlog'!$J127&gt;I$2,'ProductSprint Backlog'!$I127&lt;=I$2), 'ProductSprint Backlog'!$F127 / MAX(1, 'ProductSprint Backlog'!$J127-'ProductSprint Backlog'!$I127), AND('ProductSprint Backlog'!$J127=I$2,'ProductSprint Backlog'!$I127=I$2), 'ProductSprint Backlog'!$F127, TRUE, 0)</f>
        <v>0</v>
      </c>
      <c r="J127" s="4" cm="1">
        <f t="array" ref="J127">_xlfn.IFS('ProductSprint Backlog'!$F127="", "", AND('ProductSprint Backlog'!$J127&gt;J$2,'ProductSprint Backlog'!$I127&lt;=J$2), 'ProductSprint Backlog'!$F127 / MAX(1, 'ProductSprint Backlog'!$J127-'ProductSprint Backlog'!$I127), AND('ProductSprint Backlog'!$J127=J$2,'ProductSprint Backlog'!$I127=J$2), 'ProductSprint Backlog'!$F127, TRUE, 0)</f>
        <v>0</v>
      </c>
    </row>
    <row r="128" spans="2:10" x14ac:dyDescent="0.2">
      <c r="B128" s="4" t="str" cm="1">
        <f t="array" ref="B128">_xlfn.IFS('ProductSprint Backlog'!$F128="", "", AND('ProductSprint Backlog'!$J128&gt;B$2,'ProductSprint Backlog'!$I128&lt;=B$2), 'ProductSprint Backlog'!$F128 / MAX(1, 'ProductSprint Backlog'!$J128-'ProductSprint Backlog'!$I128), AND('ProductSprint Backlog'!$J128=B$2,'ProductSprint Backlog'!$I128=B$2), 'ProductSprint Backlog'!$F128, TRUE, 0)</f>
        <v/>
      </c>
      <c r="C128" s="4" t="str" cm="1">
        <f t="array" ref="C128">_xlfn.IFS('ProductSprint Backlog'!$F128="", "", AND('ProductSprint Backlog'!$J128&gt;C$2,'ProductSprint Backlog'!$I128&lt;=C$2), 'ProductSprint Backlog'!$F128 / MAX(1, 'ProductSprint Backlog'!$J128-'ProductSprint Backlog'!$I128), AND('ProductSprint Backlog'!$J128=C$2,'ProductSprint Backlog'!$I128=C$2), 'ProductSprint Backlog'!$F128, TRUE, 0)</f>
        <v/>
      </c>
      <c r="D128" s="4" t="str" cm="1">
        <f t="array" ref="D128">_xlfn.IFS('ProductSprint Backlog'!$F128="", "", AND('ProductSprint Backlog'!$J128&gt;D$2,'ProductSprint Backlog'!$I128&lt;=D$2), 'ProductSprint Backlog'!$F128 / MAX(1, 'ProductSprint Backlog'!$J128-'ProductSprint Backlog'!$I128), AND('ProductSprint Backlog'!$J128=D$2,'ProductSprint Backlog'!$I128=D$2), 'ProductSprint Backlog'!$F128, TRUE, 0)</f>
        <v/>
      </c>
      <c r="E128" s="4" t="str" cm="1">
        <f t="array" ref="E128">_xlfn.IFS('ProductSprint Backlog'!$F128="", "", AND('ProductSprint Backlog'!$J128&gt;E$2,'ProductSprint Backlog'!$I128&lt;=E$2), 'ProductSprint Backlog'!$F128 / MAX(1, 'ProductSprint Backlog'!$J128-'ProductSprint Backlog'!$I128), AND('ProductSprint Backlog'!$J128=E$2,'ProductSprint Backlog'!$I128=E$2), 'ProductSprint Backlog'!$F128, TRUE, 0)</f>
        <v/>
      </c>
      <c r="F128" s="4" t="str" cm="1">
        <f t="array" ref="F128">_xlfn.IFS('ProductSprint Backlog'!$F128="", "", AND('ProductSprint Backlog'!$J128&gt;F$2,'ProductSprint Backlog'!$I128&lt;=F$2), 'ProductSprint Backlog'!$F128 / MAX(1, 'ProductSprint Backlog'!$J128-'ProductSprint Backlog'!$I128), AND('ProductSprint Backlog'!$J128=F$2,'ProductSprint Backlog'!$I128=F$2), 'ProductSprint Backlog'!$F128, TRUE, 0)</f>
        <v/>
      </c>
      <c r="G128" s="4" t="str" cm="1">
        <f t="array" ref="G128">_xlfn.IFS('ProductSprint Backlog'!$F128="", "", AND('ProductSprint Backlog'!$J128&gt;G$2,'ProductSprint Backlog'!$I128&lt;=G$2), 'ProductSprint Backlog'!$F128 / MAX(1, 'ProductSprint Backlog'!$J128-'ProductSprint Backlog'!$I128), AND('ProductSprint Backlog'!$J128=G$2,'ProductSprint Backlog'!$I128=G$2), 'ProductSprint Backlog'!$F128, TRUE, 0)</f>
        <v/>
      </c>
      <c r="H128" s="4" t="str" cm="1">
        <f t="array" ref="H128">_xlfn.IFS('ProductSprint Backlog'!$F128="", "", AND('ProductSprint Backlog'!$J128&gt;H$2,'ProductSprint Backlog'!$I128&lt;=H$2), 'ProductSprint Backlog'!$F128 / MAX(1, 'ProductSprint Backlog'!$J128-'ProductSprint Backlog'!$I128), AND('ProductSprint Backlog'!$J128=H$2,'ProductSprint Backlog'!$I128=H$2), 'ProductSprint Backlog'!$F128, TRUE, 0)</f>
        <v/>
      </c>
      <c r="I128" s="4" t="str" cm="1">
        <f t="array" ref="I128">_xlfn.IFS('ProductSprint Backlog'!$F128="", "", AND('ProductSprint Backlog'!$J128&gt;I$2,'ProductSprint Backlog'!$I128&lt;=I$2), 'ProductSprint Backlog'!$F128 / MAX(1, 'ProductSprint Backlog'!$J128-'ProductSprint Backlog'!$I128), AND('ProductSprint Backlog'!$J128=I$2,'ProductSprint Backlog'!$I128=I$2), 'ProductSprint Backlog'!$F128, TRUE, 0)</f>
        <v/>
      </c>
      <c r="J128" s="4" t="str" cm="1">
        <f t="array" ref="J128">_xlfn.IFS('ProductSprint Backlog'!$F128="", "", AND('ProductSprint Backlog'!$J128&gt;J$2,'ProductSprint Backlog'!$I128&lt;=J$2), 'ProductSprint Backlog'!$F128 / MAX(1, 'ProductSprint Backlog'!$J128-'ProductSprint Backlog'!$I128), AND('ProductSprint Backlog'!$J128=J$2,'ProductSprint Backlog'!$I128=J$2), 'ProductSprint Backlog'!$F128, TRUE, 0)</f>
        <v/>
      </c>
    </row>
    <row r="129" spans="2:10" x14ac:dyDescent="0.2">
      <c r="B129" s="4" cm="1">
        <f t="array" ref="B129">_xlfn.IFS('ProductSprint Backlog'!$F129="", "", AND('ProductSprint Backlog'!$J129&gt;B$2,'ProductSprint Backlog'!$I129&lt;=B$2), 'ProductSprint Backlog'!$F129 / MAX(1, 'ProductSprint Backlog'!$J129-'ProductSprint Backlog'!$I129), AND('ProductSprint Backlog'!$J129=B$2,'ProductSprint Backlog'!$I129=B$2), 'ProductSprint Backlog'!$F129, TRUE, 0)</f>
        <v>0</v>
      </c>
      <c r="C129" s="4" cm="1">
        <f t="array" ref="C129">_xlfn.IFS('ProductSprint Backlog'!$F129="", "", AND('ProductSprint Backlog'!$J129&gt;C$2,'ProductSprint Backlog'!$I129&lt;=C$2), 'ProductSprint Backlog'!$F129 / MAX(1, 'ProductSprint Backlog'!$J129-'ProductSprint Backlog'!$I129), AND('ProductSprint Backlog'!$J129=C$2,'ProductSprint Backlog'!$I129=C$2), 'ProductSprint Backlog'!$F129, TRUE, 0)</f>
        <v>0</v>
      </c>
      <c r="D129" s="4" cm="1">
        <f t="array" ref="D129">_xlfn.IFS('ProductSprint Backlog'!$F129="", "", AND('ProductSprint Backlog'!$J129&gt;D$2,'ProductSprint Backlog'!$I129&lt;=D$2), 'ProductSprint Backlog'!$F129 / MAX(1, 'ProductSprint Backlog'!$J129-'ProductSprint Backlog'!$I129), AND('ProductSprint Backlog'!$J129=D$2,'ProductSprint Backlog'!$I129=D$2), 'ProductSprint Backlog'!$F129, TRUE, 0)</f>
        <v>0</v>
      </c>
      <c r="E129" s="4" cm="1">
        <f t="array" ref="E129">_xlfn.IFS('ProductSprint Backlog'!$F129="", "", AND('ProductSprint Backlog'!$J129&gt;E$2,'ProductSprint Backlog'!$I129&lt;=E$2), 'ProductSprint Backlog'!$F129 / MAX(1, 'ProductSprint Backlog'!$J129-'ProductSprint Backlog'!$I129), AND('ProductSprint Backlog'!$J129=E$2,'ProductSprint Backlog'!$I129=E$2), 'ProductSprint Backlog'!$F129, TRUE, 0)</f>
        <v>0</v>
      </c>
      <c r="F129" s="4" cm="1">
        <f t="array" ref="F129">_xlfn.IFS('ProductSprint Backlog'!$F129="", "", AND('ProductSprint Backlog'!$J129&gt;F$2,'ProductSprint Backlog'!$I129&lt;=F$2), 'ProductSprint Backlog'!$F129 / MAX(1, 'ProductSprint Backlog'!$J129-'ProductSprint Backlog'!$I129), AND('ProductSprint Backlog'!$J129=F$2,'ProductSprint Backlog'!$I129=F$2), 'ProductSprint Backlog'!$F129, TRUE, 0)</f>
        <v>0</v>
      </c>
      <c r="G129" s="4" cm="1">
        <f t="array" ref="G129">_xlfn.IFS('ProductSprint Backlog'!$F129="", "", AND('ProductSprint Backlog'!$J129&gt;G$2,'ProductSprint Backlog'!$I129&lt;=G$2), 'ProductSprint Backlog'!$F129 / MAX(1, 'ProductSprint Backlog'!$J129-'ProductSprint Backlog'!$I129), AND('ProductSprint Backlog'!$J129=G$2,'ProductSprint Backlog'!$I129=G$2), 'ProductSprint Backlog'!$F129, TRUE, 0)</f>
        <v>0</v>
      </c>
      <c r="H129" s="4" cm="1">
        <f t="array" ref="H129">_xlfn.IFS('ProductSprint Backlog'!$F129="", "", AND('ProductSprint Backlog'!$J129&gt;H$2,'ProductSprint Backlog'!$I129&lt;=H$2), 'ProductSprint Backlog'!$F129 / MAX(1, 'ProductSprint Backlog'!$J129-'ProductSprint Backlog'!$I129), AND('ProductSprint Backlog'!$J129=H$2,'ProductSprint Backlog'!$I129=H$2), 'ProductSprint Backlog'!$F129, TRUE, 0)</f>
        <v>0</v>
      </c>
      <c r="I129" s="4" cm="1">
        <f t="array" ref="I129">_xlfn.IFS('ProductSprint Backlog'!$F129="", "", AND('ProductSprint Backlog'!$J129&gt;I$2,'ProductSprint Backlog'!$I129&lt;=I$2), 'ProductSprint Backlog'!$F129 / MAX(1, 'ProductSprint Backlog'!$J129-'ProductSprint Backlog'!$I129), AND('ProductSprint Backlog'!$J129=I$2,'ProductSprint Backlog'!$I129=I$2), 'ProductSprint Backlog'!$F129, TRUE, 0)</f>
        <v>0</v>
      </c>
      <c r="J129" s="4" cm="1">
        <f t="array" ref="J129">_xlfn.IFS('ProductSprint Backlog'!$F129="", "", AND('ProductSprint Backlog'!$J129&gt;J$2,'ProductSprint Backlog'!$I129&lt;=J$2), 'ProductSprint Backlog'!$F129 / MAX(1, 'ProductSprint Backlog'!$J129-'ProductSprint Backlog'!$I129), AND('ProductSprint Backlog'!$J129=J$2,'ProductSprint Backlog'!$I129=J$2), 'ProductSprint Backlog'!$F129, TRUE, 0)</f>
        <v>0</v>
      </c>
    </row>
    <row r="130" spans="2:10" x14ac:dyDescent="0.2">
      <c r="B130" s="4" cm="1">
        <f t="array" ref="B130">_xlfn.IFS('ProductSprint Backlog'!$F130="", "", AND('ProductSprint Backlog'!$J130&gt;B$2,'ProductSprint Backlog'!$I130&lt;=B$2), 'ProductSprint Backlog'!$F130 / MAX(1, 'ProductSprint Backlog'!$J130-'ProductSprint Backlog'!$I130), AND('ProductSprint Backlog'!$J130=B$2,'ProductSprint Backlog'!$I130=B$2), 'ProductSprint Backlog'!$F130, TRUE, 0)</f>
        <v>0</v>
      </c>
      <c r="C130" s="4" cm="1">
        <f t="array" ref="C130">_xlfn.IFS('ProductSprint Backlog'!$F130="", "", AND('ProductSprint Backlog'!$J130&gt;C$2,'ProductSprint Backlog'!$I130&lt;=C$2), 'ProductSprint Backlog'!$F130 / MAX(1, 'ProductSprint Backlog'!$J130-'ProductSprint Backlog'!$I130), AND('ProductSprint Backlog'!$J130=C$2,'ProductSprint Backlog'!$I130=C$2), 'ProductSprint Backlog'!$F130, TRUE, 0)</f>
        <v>0</v>
      </c>
      <c r="D130" s="4" cm="1">
        <f t="array" ref="D130">_xlfn.IFS('ProductSprint Backlog'!$F130="", "", AND('ProductSprint Backlog'!$J130&gt;D$2,'ProductSprint Backlog'!$I130&lt;=D$2), 'ProductSprint Backlog'!$F130 / MAX(1, 'ProductSprint Backlog'!$J130-'ProductSprint Backlog'!$I130), AND('ProductSprint Backlog'!$J130=D$2,'ProductSprint Backlog'!$I130=D$2), 'ProductSprint Backlog'!$F130, TRUE, 0)</f>
        <v>0</v>
      </c>
      <c r="E130" s="4" cm="1">
        <f t="array" ref="E130">_xlfn.IFS('ProductSprint Backlog'!$F130="", "", AND('ProductSprint Backlog'!$J130&gt;E$2,'ProductSprint Backlog'!$I130&lt;=E$2), 'ProductSprint Backlog'!$F130 / MAX(1, 'ProductSprint Backlog'!$J130-'ProductSprint Backlog'!$I130), AND('ProductSprint Backlog'!$J130=E$2,'ProductSprint Backlog'!$I130=E$2), 'ProductSprint Backlog'!$F130, TRUE, 0)</f>
        <v>0</v>
      </c>
      <c r="F130" s="4" cm="1">
        <f t="array" ref="F130">_xlfn.IFS('ProductSprint Backlog'!$F130="", "", AND('ProductSprint Backlog'!$J130&gt;F$2,'ProductSprint Backlog'!$I130&lt;=F$2), 'ProductSprint Backlog'!$F130 / MAX(1, 'ProductSprint Backlog'!$J130-'ProductSprint Backlog'!$I130), AND('ProductSprint Backlog'!$J130=F$2,'ProductSprint Backlog'!$I130=F$2), 'ProductSprint Backlog'!$F130, TRUE, 0)</f>
        <v>0</v>
      </c>
      <c r="G130" s="4" cm="1">
        <f t="array" ref="G130">_xlfn.IFS('ProductSprint Backlog'!$F130="", "", AND('ProductSprint Backlog'!$J130&gt;G$2,'ProductSprint Backlog'!$I130&lt;=G$2), 'ProductSprint Backlog'!$F130 / MAX(1, 'ProductSprint Backlog'!$J130-'ProductSprint Backlog'!$I130), AND('ProductSprint Backlog'!$J130=G$2,'ProductSprint Backlog'!$I130=G$2), 'ProductSprint Backlog'!$F130, TRUE, 0)</f>
        <v>0</v>
      </c>
      <c r="H130" s="4" cm="1">
        <f t="array" ref="H130">_xlfn.IFS('ProductSprint Backlog'!$F130="", "", AND('ProductSprint Backlog'!$J130&gt;H$2,'ProductSprint Backlog'!$I130&lt;=H$2), 'ProductSprint Backlog'!$F130 / MAX(1, 'ProductSprint Backlog'!$J130-'ProductSprint Backlog'!$I130), AND('ProductSprint Backlog'!$J130=H$2,'ProductSprint Backlog'!$I130=H$2), 'ProductSprint Backlog'!$F130, TRUE, 0)</f>
        <v>0</v>
      </c>
      <c r="I130" s="4" cm="1">
        <f t="array" ref="I130">_xlfn.IFS('ProductSprint Backlog'!$F130="", "", AND('ProductSprint Backlog'!$J130&gt;I$2,'ProductSprint Backlog'!$I130&lt;=I$2), 'ProductSprint Backlog'!$F130 / MAX(1, 'ProductSprint Backlog'!$J130-'ProductSprint Backlog'!$I130), AND('ProductSprint Backlog'!$J130=I$2,'ProductSprint Backlog'!$I130=I$2), 'ProductSprint Backlog'!$F130, TRUE, 0)</f>
        <v>0</v>
      </c>
      <c r="J130" s="4" cm="1">
        <f t="array" ref="J130">_xlfn.IFS('ProductSprint Backlog'!$F130="", "", AND('ProductSprint Backlog'!$J130&gt;J$2,'ProductSprint Backlog'!$I130&lt;=J$2), 'ProductSprint Backlog'!$F130 / MAX(1, 'ProductSprint Backlog'!$J130-'ProductSprint Backlog'!$I130), AND('ProductSprint Backlog'!$J130=J$2,'ProductSprint Backlog'!$I130=J$2), 'ProductSprint Backlog'!$F130, TRUE, 0)</f>
        <v>0</v>
      </c>
    </row>
    <row r="131" spans="2:10" x14ac:dyDescent="0.2">
      <c r="B131" s="4" cm="1">
        <f t="array" ref="B131">_xlfn.IFS('ProductSprint Backlog'!$F131="", "", AND('ProductSprint Backlog'!$J131&gt;B$2,'ProductSprint Backlog'!$I131&lt;=B$2), 'ProductSprint Backlog'!$F131 / MAX(1, 'ProductSprint Backlog'!$J131-'ProductSprint Backlog'!$I131), AND('ProductSprint Backlog'!$J131=B$2,'ProductSprint Backlog'!$I131=B$2), 'ProductSprint Backlog'!$F131, TRUE, 0)</f>
        <v>0</v>
      </c>
      <c r="C131" s="4" cm="1">
        <f t="array" ref="C131">_xlfn.IFS('ProductSprint Backlog'!$F131="", "", AND('ProductSprint Backlog'!$J131&gt;C$2,'ProductSprint Backlog'!$I131&lt;=C$2), 'ProductSprint Backlog'!$F131 / MAX(1, 'ProductSprint Backlog'!$J131-'ProductSprint Backlog'!$I131), AND('ProductSprint Backlog'!$J131=C$2,'ProductSprint Backlog'!$I131=C$2), 'ProductSprint Backlog'!$F131, TRUE, 0)</f>
        <v>0</v>
      </c>
      <c r="D131" s="4" cm="1">
        <f t="array" ref="D131">_xlfn.IFS('ProductSprint Backlog'!$F131="", "", AND('ProductSprint Backlog'!$J131&gt;D$2,'ProductSprint Backlog'!$I131&lt;=D$2), 'ProductSprint Backlog'!$F131 / MAX(1, 'ProductSprint Backlog'!$J131-'ProductSprint Backlog'!$I131), AND('ProductSprint Backlog'!$J131=D$2,'ProductSprint Backlog'!$I131=D$2), 'ProductSprint Backlog'!$F131, TRUE, 0)</f>
        <v>0</v>
      </c>
      <c r="E131" s="4" cm="1">
        <f t="array" ref="E131">_xlfn.IFS('ProductSprint Backlog'!$F131="", "", AND('ProductSprint Backlog'!$J131&gt;E$2,'ProductSprint Backlog'!$I131&lt;=E$2), 'ProductSprint Backlog'!$F131 / MAX(1, 'ProductSprint Backlog'!$J131-'ProductSprint Backlog'!$I131), AND('ProductSprint Backlog'!$J131=E$2,'ProductSprint Backlog'!$I131=E$2), 'ProductSprint Backlog'!$F131, TRUE, 0)</f>
        <v>0</v>
      </c>
      <c r="F131" s="4" cm="1">
        <f t="array" ref="F131">_xlfn.IFS('ProductSprint Backlog'!$F131="", "", AND('ProductSprint Backlog'!$J131&gt;F$2,'ProductSprint Backlog'!$I131&lt;=F$2), 'ProductSprint Backlog'!$F131 / MAX(1, 'ProductSprint Backlog'!$J131-'ProductSprint Backlog'!$I131), AND('ProductSprint Backlog'!$J131=F$2,'ProductSprint Backlog'!$I131=F$2), 'ProductSprint Backlog'!$F131, TRUE, 0)</f>
        <v>0</v>
      </c>
      <c r="G131" s="4" cm="1">
        <f t="array" ref="G131">_xlfn.IFS('ProductSprint Backlog'!$F131="", "", AND('ProductSprint Backlog'!$J131&gt;G$2,'ProductSprint Backlog'!$I131&lt;=G$2), 'ProductSprint Backlog'!$F131 / MAX(1, 'ProductSprint Backlog'!$J131-'ProductSprint Backlog'!$I131), AND('ProductSprint Backlog'!$J131=G$2,'ProductSprint Backlog'!$I131=G$2), 'ProductSprint Backlog'!$F131, TRUE, 0)</f>
        <v>0</v>
      </c>
      <c r="H131" s="4" cm="1">
        <f t="array" ref="H131">_xlfn.IFS('ProductSprint Backlog'!$F131="", "", AND('ProductSprint Backlog'!$J131&gt;H$2,'ProductSprint Backlog'!$I131&lt;=H$2), 'ProductSprint Backlog'!$F131 / MAX(1, 'ProductSprint Backlog'!$J131-'ProductSprint Backlog'!$I131), AND('ProductSprint Backlog'!$J131=H$2,'ProductSprint Backlog'!$I131=H$2), 'ProductSprint Backlog'!$F131, TRUE, 0)</f>
        <v>0</v>
      </c>
      <c r="I131" s="4" cm="1">
        <f t="array" ref="I131">_xlfn.IFS('ProductSprint Backlog'!$F131="", "", AND('ProductSprint Backlog'!$J131&gt;I$2,'ProductSprint Backlog'!$I131&lt;=I$2), 'ProductSprint Backlog'!$F131 / MAX(1, 'ProductSprint Backlog'!$J131-'ProductSprint Backlog'!$I131), AND('ProductSprint Backlog'!$J131=I$2,'ProductSprint Backlog'!$I131=I$2), 'ProductSprint Backlog'!$F131, TRUE, 0)</f>
        <v>0</v>
      </c>
      <c r="J131" s="4" cm="1">
        <f t="array" ref="J131">_xlfn.IFS('ProductSprint Backlog'!$F131="", "", AND('ProductSprint Backlog'!$J131&gt;J$2,'ProductSprint Backlog'!$I131&lt;=J$2), 'ProductSprint Backlog'!$F131 / MAX(1, 'ProductSprint Backlog'!$J131-'ProductSprint Backlog'!$I131), AND('ProductSprint Backlog'!$J131=J$2,'ProductSprint Backlog'!$I131=J$2), 'ProductSprint Backlog'!$F131, TRUE, 0)</f>
        <v>0</v>
      </c>
    </row>
    <row r="132" spans="2:10" x14ac:dyDescent="0.2">
      <c r="B132" s="4" cm="1">
        <f t="array" ref="B132">_xlfn.IFS('ProductSprint Backlog'!$F132="", "", AND('ProductSprint Backlog'!$J132&gt;B$2,'ProductSprint Backlog'!$I132&lt;=B$2), 'ProductSprint Backlog'!$F132 / MAX(1, 'ProductSprint Backlog'!$J132-'ProductSprint Backlog'!$I132), AND('ProductSprint Backlog'!$J132=B$2,'ProductSprint Backlog'!$I132=B$2), 'ProductSprint Backlog'!$F132, TRUE, 0)</f>
        <v>0</v>
      </c>
      <c r="C132" s="4" cm="1">
        <f t="array" ref="C132">_xlfn.IFS('ProductSprint Backlog'!$F132="", "", AND('ProductSprint Backlog'!$J132&gt;C$2,'ProductSprint Backlog'!$I132&lt;=C$2), 'ProductSprint Backlog'!$F132 / MAX(1, 'ProductSprint Backlog'!$J132-'ProductSprint Backlog'!$I132), AND('ProductSprint Backlog'!$J132=C$2,'ProductSprint Backlog'!$I132=C$2), 'ProductSprint Backlog'!$F132, TRUE, 0)</f>
        <v>0</v>
      </c>
      <c r="D132" s="4" cm="1">
        <f t="array" ref="D132">_xlfn.IFS('ProductSprint Backlog'!$F132="", "", AND('ProductSprint Backlog'!$J132&gt;D$2,'ProductSprint Backlog'!$I132&lt;=D$2), 'ProductSprint Backlog'!$F132 / MAX(1, 'ProductSprint Backlog'!$J132-'ProductSprint Backlog'!$I132), AND('ProductSprint Backlog'!$J132=D$2,'ProductSprint Backlog'!$I132=D$2), 'ProductSprint Backlog'!$F132, TRUE, 0)</f>
        <v>0</v>
      </c>
      <c r="E132" s="4" cm="1">
        <f t="array" ref="E132">_xlfn.IFS('ProductSprint Backlog'!$F132="", "", AND('ProductSprint Backlog'!$J132&gt;E$2,'ProductSprint Backlog'!$I132&lt;=E$2), 'ProductSprint Backlog'!$F132 / MAX(1, 'ProductSprint Backlog'!$J132-'ProductSprint Backlog'!$I132), AND('ProductSprint Backlog'!$J132=E$2,'ProductSprint Backlog'!$I132=E$2), 'ProductSprint Backlog'!$F132, TRUE, 0)</f>
        <v>0</v>
      </c>
      <c r="F132" s="4" cm="1">
        <f t="array" ref="F132">_xlfn.IFS('ProductSprint Backlog'!$F132="", "", AND('ProductSprint Backlog'!$J132&gt;F$2,'ProductSprint Backlog'!$I132&lt;=F$2), 'ProductSprint Backlog'!$F132 / MAX(1, 'ProductSprint Backlog'!$J132-'ProductSprint Backlog'!$I132), AND('ProductSprint Backlog'!$J132=F$2,'ProductSprint Backlog'!$I132=F$2), 'ProductSprint Backlog'!$F132, TRUE, 0)</f>
        <v>0</v>
      </c>
      <c r="G132" s="4" cm="1">
        <f t="array" ref="G132">_xlfn.IFS('ProductSprint Backlog'!$F132="", "", AND('ProductSprint Backlog'!$J132&gt;G$2,'ProductSprint Backlog'!$I132&lt;=G$2), 'ProductSprint Backlog'!$F132 / MAX(1, 'ProductSprint Backlog'!$J132-'ProductSprint Backlog'!$I132), AND('ProductSprint Backlog'!$J132=G$2,'ProductSprint Backlog'!$I132=G$2), 'ProductSprint Backlog'!$F132, TRUE, 0)</f>
        <v>0</v>
      </c>
      <c r="H132" s="4" cm="1">
        <f t="array" ref="H132">_xlfn.IFS('ProductSprint Backlog'!$F132="", "", AND('ProductSprint Backlog'!$J132&gt;H$2,'ProductSprint Backlog'!$I132&lt;=H$2), 'ProductSprint Backlog'!$F132 / MAX(1, 'ProductSprint Backlog'!$J132-'ProductSprint Backlog'!$I132), AND('ProductSprint Backlog'!$J132=H$2,'ProductSprint Backlog'!$I132=H$2), 'ProductSprint Backlog'!$F132, TRUE, 0)</f>
        <v>0</v>
      </c>
      <c r="I132" s="4" cm="1">
        <f t="array" ref="I132">_xlfn.IFS('ProductSprint Backlog'!$F132="", "", AND('ProductSprint Backlog'!$J132&gt;I$2,'ProductSprint Backlog'!$I132&lt;=I$2), 'ProductSprint Backlog'!$F132 / MAX(1, 'ProductSprint Backlog'!$J132-'ProductSprint Backlog'!$I132), AND('ProductSprint Backlog'!$J132=I$2,'ProductSprint Backlog'!$I132=I$2), 'ProductSprint Backlog'!$F132, TRUE, 0)</f>
        <v>0</v>
      </c>
      <c r="J132" s="4" cm="1">
        <f t="array" ref="J132">_xlfn.IFS('ProductSprint Backlog'!$F132="", "", AND('ProductSprint Backlog'!$J132&gt;J$2,'ProductSprint Backlog'!$I132&lt;=J$2), 'ProductSprint Backlog'!$F132 / MAX(1, 'ProductSprint Backlog'!$J132-'ProductSprint Backlog'!$I132), AND('ProductSprint Backlog'!$J132=J$2,'ProductSprint Backlog'!$I132=J$2), 'ProductSprint Backlog'!$F132, TRUE, 0)</f>
        <v>0</v>
      </c>
    </row>
    <row r="133" spans="2:10" x14ac:dyDescent="0.2">
      <c r="B133" s="4" cm="1">
        <f t="array" ref="B133">_xlfn.IFS('ProductSprint Backlog'!$F133="", "", AND('ProductSprint Backlog'!$J133&gt;B$2,'ProductSprint Backlog'!$I133&lt;=B$2), 'ProductSprint Backlog'!$F133 / MAX(1, 'ProductSprint Backlog'!$J133-'ProductSprint Backlog'!$I133), AND('ProductSprint Backlog'!$J133=B$2,'ProductSprint Backlog'!$I133=B$2), 'ProductSprint Backlog'!$F133, TRUE, 0)</f>
        <v>0</v>
      </c>
      <c r="C133" s="4" cm="1">
        <f t="array" ref="C133">_xlfn.IFS('ProductSprint Backlog'!$F133="", "", AND('ProductSprint Backlog'!$J133&gt;C$2,'ProductSprint Backlog'!$I133&lt;=C$2), 'ProductSprint Backlog'!$F133 / MAX(1, 'ProductSprint Backlog'!$J133-'ProductSprint Backlog'!$I133), AND('ProductSprint Backlog'!$J133=C$2,'ProductSprint Backlog'!$I133=C$2), 'ProductSprint Backlog'!$F133, TRUE, 0)</f>
        <v>0</v>
      </c>
      <c r="D133" s="4" cm="1">
        <f t="array" ref="D133">_xlfn.IFS('ProductSprint Backlog'!$F133="", "", AND('ProductSprint Backlog'!$J133&gt;D$2,'ProductSprint Backlog'!$I133&lt;=D$2), 'ProductSprint Backlog'!$F133 / MAX(1, 'ProductSprint Backlog'!$J133-'ProductSprint Backlog'!$I133), AND('ProductSprint Backlog'!$J133=D$2,'ProductSprint Backlog'!$I133=D$2), 'ProductSprint Backlog'!$F133, TRUE, 0)</f>
        <v>0</v>
      </c>
      <c r="E133" s="4" cm="1">
        <f t="array" ref="E133">_xlfn.IFS('ProductSprint Backlog'!$F133="", "", AND('ProductSprint Backlog'!$J133&gt;E$2,'ProductSprint Backlog'!$I133&lt;=E$2), 'ProductSprint Backlog'!$F133 / MAX(1, 'ProductSprint Backlog'!$J133-'ProductSprint Backlog'!$I133), AND('ProductSprint Backlog'!$J133=E$2,'ProductSprint Backlog'!$I133=E$2), 'ProductSprint Backlog'!$F133, TRUE, 0)</f>
        <v>0</v>
      </c>
      <c r="F133" s="4" cm="1">
        <f t="array" ref="F133">_xlfn.IFS('ProductSprint Backlog'!$F133="", "", AND('ProductSprint Backlog'!$J133&gt;F$2,'ProductSprint Backlog'!$I133&lt;=F$2), 'ProductSprint Backlog'!$F133 / MAX(1, 'ProductSprint Backlog'!$J133-'ProductSprint Backlog'!$I133), AND('ProductSprint Backlog'!$J133=F$2,'ProductSprint Backlog'!$I133=F$2), 'ProductSprint Backlog'!$F133, TRUE, 0)</f>
        <v>0</v>
      </c>
      <c r="G133" s="4" cm="1">
        <f t="array" ref="G133">_xlfn.IFS('ProductSprint Backlog'!$F133="", "", AND('ProductSprint Backlog'!$J133&gt;G$2,'ProductSprint Backlog'!$I133&lt;=G$2), 'ProductSprint Backlog'!$F133 / MAX(1, 'ProductSprint Backlog'!$J133-'ProductSprint Backlog'!$I133), AND('ProductSprint Backlog'!$J133=G$2,'ProductSprint Backlog'!$I133=G$2), 'ProductSprint Backlog'!$F133, TRUE, 0)</f>
        <v>0</v>
      </c>
      <c r="H133" s="4" cm="1">
        <f t="array" ref="H133">_xlfn.IFS('ProductSprint Backlog'!$F133="", "", AND('ProductSprint Backlog'!$J133&gt;H$2,'ProductSprint Backlog'!$I133&lt;=H$2), 'ProductSprint Backlog'!$F133 / MAX(1, 'ProductSprint Backlog'!$J133-'ProductSprint Backlog'!$I133), AND('ProductSprint Backlog'!$J133=H$2,'ProductSprint Backlog'!$I133=H$2), 'ProductSprint Backlog'!$F133, TRUE, 0)</f>
        <v>0</v>
      </c>
      <c r="I133" s="4" cm="1">
        <f t="array" ref="I133">_xlfn.IFS('ProductSprint Backlog'!$F133="", "", AND('ProductSprint Backlog'!$J133&gt;I$2,'ProductSprint Backlog'!$I133&lt;=I$2), 'ProductSprint Backlog'!$F133 / MAX(1, 'ProductSprint Backlog'!$J133-'ProductSprint Backlog'!$I133), AND('ProductSprint Backlog'!$J133=I$2,'ProductSprint Backlog'!$I133=I$2), 'ProductSprint Backlog'!$F133, TRUE, 0)</f>
        <v>0</v>
      </c>
      <c r="J133" s="4" cm="1">
        <f t="array" ref="J133">_xlfn.IFS('ProductSprint Backlog'!$F133="", "", AND('ProductSprint Backlog'!$J133&gt;J$2,'ProductSprint Backlog'!$I133&lt;=J$2), 'ProductSprint Backlog'!$F133 / MAX(1, 'ProductSprint Backlog'!$J133-'ProductSprint Backlog'!$I133), AND('ProductSprint Backlog'!$J133=J$2,'ProductSprint Backlog'!$I133=J$2), 'ProductSprint Backlog'!$F133, TRUE, 0)</f>
        <v>0</v>
      </c>
    </row>
    <row r="134" spans="2:10" x14ac:dyDescent="0.2">
      <c r="B134" s="4" cm="1">
        <f t="array" ref="B134">_xlfn.IFS('ProductSprint Backlog'!$F134="", "", AND('ProductSprint Backlog'!$J134&gt;B$2,'ProductSprint Backlog'!$I134&lt;=B$2), 'ProductSprint Backlog'!$F134 / MAX(1, 'ProductSprint Backlog'!$J134-'ProductSprint Backlog'!$I134), AND('ProductSprint Backlog'!$J134=B$2,'ProductSprint Backlog'!$I134=B$2), 'ProductSprint Backlog'!$F134, TRUE, 0)</f>
        <v>0</v>
      </c>
      <c r="C134" s="4" cm="1">
        <f t="array" ref="C134">_xlfn.IFS('ProductSprint Backlog'!$F134="", "", AND('ProductSprint Backlog'!$J134&gt;C$2,'ProductSprint Backlog'!$I134&lt;=C$2), 'ProductSprint Backlog'!$F134 / MAX(1, 'ProductSprint Backlog'!$J134-'ProductSprint Backlog'!$I134), AND('ProductSprint Backlog'!$J134=C$2,'ProductSprint Backlog'!$I134=C$2), 'ProductSprint Backlog'!$F134, TRUE, 0)</f>
        <v>0</v>
      </c>
      <c r="D134" s="4" cm="1">
        <f t="array" ref="D134">_xlfn.IFS('ProductSprint Backlog'!$F134="", "", AND('ProductSprint Backlog'!$J134&gt;D$2,'ProductSprint Backlog'!$I134&lt;=D$2), 'ProductSprint Backlog'!$F134 / MAX(1, 'ProductSprint Backlog'!$J134-'ProductSprint Backlog'!$I134), AND('ProductSprint Backlog'!$J134=D$2,'ProductSprint Backlog'!$I134=D$2), 'ProductSprint Backlog'!$F134, TRUE, 0)</f>
        <v>0</v>
      </c>
      <c r="E134" s="4" cm="1">
        <f t="array" ref="E134">_xlfn.IFS('ProductSprint Backlog'!$F134="", "", AND('ProductSprint Backlog'!$J134&gt;E$2,'ProductSprint Backlog'!$I134&lt;=E$2), 'ProductSprint Backlog'!$F134 / MAX(1, 'ProductSprint Backlog'!$J134-'ProductSprint Backlog'!$I134), AND('ProductSprint Backlog'!$J134=E$2,'ProductSprint Backlog'!$I134=E$2), 'ProductSprint Backlog'!$F134, TRUE, 0)</f>
        <v>0</v>
      </c>
      <c r="F134" s="4" cm="1">
        <f t="array" ref="F134">_xlfn.IFS('ProductSprint Backlog'!$F134="", "", AND('ProductSprint Backlog'!$J134&gt;F$2,'ProductSprint Backlog'!$I134&lt;=F$2), 'ProductSprint Backlog'!$F134 / MAX(1, 'ProductSprint Backlog'!$J134-'ProductSprint Backlog'!$I134), AND('ProductSprint Backlog'!$J134=F$2,'ProductSprint Backlog'!$I134=F$2), 'ProductSprint Backlog'!$F134, TRUE, 0)</f>
        <v>0</v>
      </c>
      <c r="G134" s="4" cm="1">
        <f t="array" ref="G134">_xlfn.IFS('ProductSprint Backlog'!$F134="", "", AND('ProductSprint Backlog'!$J134&gt;G$2,'ProductSprint Backlog'!$I134&lt;=G$2), 'ProductSprint Backlog'!$F134 / MAX(1, 'ProductSprint Backlog'!$J134-'ProductSprint Backlog'!$I134), AND('ProductSprint Backlog'!$J134=G$2,'ProductSprint Backlog'!$I134=G$2), 'ProductSprint Backlog'!$F134, TRUE, 0)</f>
        <v>0</v>
      </c>
      <c r="H134" s="4" cm="1">
        <f t="array" ref="H134">_xlfn.IFS('ProductSprint Backlog'!$F134="", "", AND('ProductSprint Backlog'!$J134&gt;H$2,'ProductSprint Backlog'!$I134&lt;=H$2), 'ProductSprint Backlog'!$F134 / MAX(1, 'ProductSprint Backlog'!$J134-'ProductSprint Backlog'!$I134), AND('ProductSprint Backlog'!$J134=H$2,'ProductSprint Backlog'!$I134=H$2), 'ProductSprint Backlog'!$F134, TRUE, 0)</f>
        <v>0</v>
      </c>
      <c r="I134" s="4" cm="1">
        <f t="array" ref="I134">_xlfn.IFS('ProductSprint Backlog'!$F134="", "", AND('ProductSprint Backlog'!$J134&gt;I$2,'ProductSprint Backlog'!$I134&lt;=I$2), 'ProductSprint Backlog'!$F134 / MAX(1, 'ProductSprint Backlog'!$J134-'ProductSprint Backlog'!$I134), AND('ProductSprint Backlog'!$J134=I$2,'ProductSprint Backlog'!$I134=I$2), 'ProductSprint Backlog'!$F134, TRUE, 0)</f>
        <v>0</v>
      </c>
      <c r="J134" s="4" cm="1">
        <f t="array" ref="J134">_xlfn.IFS('ProductSprint Backlog'!$F134="", "", AND('ProductSprint Backlog'!$J134&gt;J$2,'ProductSprint Backlog'!$I134&lt;=J$2), 'ProductSprint Backlog'!$F134 / MAX(1, 'ProductSprint Backlog'!$J134-'ProductSprint Backlog'!$I134), AND('ProductSprint Backlog'!$J134=J$2,'ProductSprint Backlog'!$I134=J$2), 'ProductSprint Backlog'!$F134, TRUE, 0)</f>
        <v>0</v>
      </c>
    </row>
    <row r="135" spans="2:10" x14ac:dyDescent="0.2">
      <c r="B135" s="4" cm="1">
        <f t="array" ref="B135">_xlfn.IFS('ProductSprint Backlog'!$F135="", "", AND('ProductSprint Backlog'!$J135&gt;B$2,'ProductSprint Backlog'!$I135&lt;=B$2), 'ProductSprint Backlog'!$F135 / MAX(1, 'ProductSprint Backlog'!$J135-'ProductSprint Backlog'!$I135), AND('ProductSprint Backlog'!$J135=B$2,'ProductSprint Backlog'!$I135=B$2), 'ProductSprint Backlog'!$F135, TRUE, 0)</f>
        <v>0</v>
      </c>
      <c r="C135" s="4" cm="1">
        <f t="array" ref="C135">_xlfn.IFS('ProductSprint Backlog'!$F135="", "", AND('ProductSprint Backlog'!$J135&gt;C$2,'ProductSprint Backlog'!$I135&lt;=C$2), 'ProductSprint Backlog'!$F135 / MAX(1, 'ProductSprint Backlog'!$J135-'ProductSprint Backlog'!$I135), AND('ProductSprint Backlog'!$J135=C$2,'ProductSprint Backlog'!$I135=C$2), 'ProductSprint Backlog'!$F135, TRUE, 0)</f>
        <v>0</v>
      </c>
      <c r="D135" s="4" cm="1">
        <f t="array" ref="D135">_xlfn.IFS('ProductSprint Backlog'!$F135="", "", AND('ProductSprint Backlog'!$J135&gt;D$2,'ProductSprint Backlog'!$I135&lt;=D$2), 'ProductSprint Backlog'!$F135 / MAX(1, 'ProductSprint Backlog'!$J135-'ProductSprint Backlog'!$I135), AND('ProductSprint Backlog'!$J135=D$2,'ProductSprint Backlog'!$I135=D$2), 'ProductSprint Backlog'!$F135, TRUE, 0)</f>
        <v>0</v>
      </c>
      <c r="E135" s="4" cm="1">
        <f t="array" ref="E135">_xlfn.IFS('ProductSprint Backlog'!$F135="", "", AND('ProductSprint Backlog'!$J135&gt;E$2,'ProductSprint Backlog'!$I135&lt;=E$2), 'ProductSprint Backlog'!$F135 / MAX(1, 'ProductSprint Backlog'!$J135-'ProductSprint Backlog'!$I135), AND('ProductSprint Backlog'!$J135=E$2,'ProductSprint Backlog'!$I135=E$2), 'ProductSprint Backlog'!$F135, TRUE, 0)</f>
        <v>0</v>
      </c>
      <c r="F135" s="4" cm="1">
        <f t="array" ref="F135">_xlfn.IFS('ProductSprint Backlog'!$F135="", "", AND('ProductSprint Backlog'!$J135&gt;F$2,'ProductSprint Backlog'!$I135&lt;=F$2), 'ProductSprint Backlog'!$F135 / MAX(1, 'ProductSprint Backlog'!$J135-'ProductSprint Backlog'!$I135), AND('ProductSprint Backlog'!$J135=F$2,'ProductSprint Backlog'!$I135=F$2), 'ProductSprint Backlog'!$F135, TRUE, 0)</f>
        <v>0</v>
      </c>
      <c r="G135" s="4" cm="1">
        <f t="array" ref="G135">_xlfn.IFS('ProductSprint Backlog'!$F135="", "", AND('ProductSprint Backlog'!$J135&gt;G$2,'ProductSprint Backlog'!$I135&lt;=G$2), 'ProductSprint Backlog'!$F135 / MAX(1, 'ProductSprint Backlog'!$J135-'ProductSprint Backlog'!$I135), AND('ProductSprint Backlog'!$J135=G$2,'ProductSprint Backlog'!$I135=G$2), 'ProductSprint Backlog'!$F135, TRUE, 0)</f>
        <v>0</v>
      </c>
      <c r="H135" s="4" cm="1">
        <f t="array" ref="H135">_xlfn.IFS('ProductSprint Backlog'!$F135="", "", AND('ProductSprint Backlog'!$J135&gt;H$2,'ProductSprint Backlog'!$I135&lt;=H$2), 'ProductSprint Backlog'!$F135 / MAX(1, 'ProductSprint Backlog'!$J135-'ProductSprint Backlog'!$I135), AND('ProductSprint Backlog'!$J135=H$2,'ProductSprint Backlog'!$I135=H$2), 'ProductSprint Backlog'!$F135, TRUE, 0)</f>
        <v>0</v>
      </c>
      <c r="I135" s="4" cm="1">
        <f t="array" ref="I135">_xlfn.IFS('ProductSprint Backlog'!$F135="", "", AND('ProductSprint Backlog'!$J135&gt;I$2,'ProductSprint Backlog'!$I135&lt;=I$2), 'ProductSprint Backlog'!$F135 / MAX(1, 'ProductSprint Backlog'!$J135-'ProductSprint Backlog'!$I135), AND('ProductSprint Backlog'!$J135=I$2,'ProductSprint Backlog'!$I135=I$2), 'ProductSprint Backlog'!$F135, TRUE, 0)</f>
        <v>0</v>
      </c>
      <c r="J135" s="4" cm="1">
        <f t="array" ref="J135">_xlfn.IFS('ProductSprint Backlog'!$F135="", "", AND('ProductSprint Backlog'!$J135&gt;J$2,'ProductSprint Backlog'!$I135&lt;=J$2), 'ProductSprint Backlog'!$F135 / MAX(1, 'ProductSprint Backlog'!$J135-'ProductSprint Backlog'!$I135), AND('ProductSprint Backlog'!$J135=J$2,'ProductSprint Backlog'!$I135=J$2), 'ProductSprint Backlog'!$F135, TRUE, 0)</f>
        <v>0</v>
      </c>
    </row>
    <row r="136" spans="2:10" x14ac:dyDescent="0.2">
      <c r="B136" s="4" cm="1">
        <f t="array" ref="B136">_xlfn.IFS('ProductSprint Backlog'!$F136="", "", AND('ProductSprint Backlog'!$J136&gt;B$2,'ProductSprint Backlog'!$I136&lt;=B$2), 'ProductSprint Backlog'!$F136 / MAX(1, 'ProductSprint Backlog'!$J136-'ProductSprint Backlog'!$I136), AND('ProductSprint Backlog'!$J136=B$2,'ProductSprint Backlog'!$I136=B$2), 'ProductSprint Backlog'!$F136, TRUE, 0)</f>
        <v>0</v>
      </c>
      <c r="C136" s="4" cm="1">
        <f t="array" ref="C136">_xlfn.IFS('ProductSprint Backlog'!$F136="", "", AND('ProductSprint Backlog'!$J136&gt;C$2,'ProductSprint Backlog'!$I136&lt;=C$2), 'ProductSprint Backlog'!$F136 / MAX(1, 'ProductSprint Backlog'!$J136-'ProductSprint Backlog'!$I136), AND('ProductSprint Backlog'!$J136=C$2,'ProductSprint Backlog'!$I136=C$2), 'ProductSprint Backlog'!$F136, TRUE, 0)</f>
        <v>0</v>
      </c>
      <c r="D136" s="4" cm="1">
        <f t="array" ref="D136">_xlfn.IFS('ProductSprint Backlog'!$F136="", "", AND('ProductSprint Backlog'!$J136&gt;D$2,'ProductSprint Backlog'!$I136&lt;=D$2), 'ProductSprint Backlog'!$F136 / MAX(1, 'ProductSprint Backlog'!$J136-'ProductSprint Backlog'!$I136), AND('ProductSprint Backlog'!$J136=D$2,'ProductSprint Backlog'!$I136=D$2), 'ProductSprint Backlog'!$F136, TRUE, 0)</f>
        <v>0</v>
      </c>
      <c r="E136" s="4" cm="1">
        <f t="array" ref="E136">_xlfn.IFS('ProductSprint Backlog'!$F136="", "", AND('ProductSprint Backlog'!$J136&gt;E$2,'ProductSprint Backlog'!$I136&lt;=E$2), 'ProductSprint Backlog'!$F136 / MAX(1, 'ProductSprint Backlog'!$J136-'ProductSprint Backlog'!$I136), AND('ProductSprint Backlog'!$J136=E$2,'ProductSprint Backlog'!$I136=E$2), 'ProductSprint Backlog'!$F136, TRUE, 0)</f>
        <v>0</v>
      </c>
      <c r="F136" s="4" cm="1">
        <f t="array" ref="F136">_xlfn.IFS('ProductSprint Backlog'!$F136="", "", AND('ProductSprint Backlog'!$J136&gt;F$2,'ProductSprint Backlog'!$I136&lt;=F$2), 'ProductSprint Backlog'!$F136 / MAX(1, 'ProductSprint Backlog'!$J136-'ProductSprint Backlog'!$I136), AND('ProductSprint Backlog'!$J136=F$2,'ProductSprint Backlog'!$I136=F$2), 'ProductSprint Backlog'!$F136, TRUE, 0)</f>
        <v>0</v>
      </c>
      <c r="G136" s="4" cm="1">
        <f t="array" ref="G136">_xlfn.IFS('ProductSprint Backlog'!$F136="", "", AND('ProductSprint Backlog'!$J136&gt;G$2,'ProductSprint Backlog'!$I136&lt;=G$2), 'ProductSprint Backlog'!$F136 / MAX(1, 'ProductSprint Backlog'!$J136-'ProductSprint Backlog'!$I136), AND('ProductSprint Backlog'!$J136=G$2,'ProductSprint Backlog'!$I136=G$2), 'ProductSprint Backlog'!$F136, TRUE, 0)</f>
        <v>0</v>
      </c>
      <c r="H136" s="4" cm="1">
        <f t="array" ref="H136">_xlfn.IFS('ProductSprint Backlog'!$F136="", "", AND('ProductSprint Backlog'!$J136&gt;H$2,'ProductSprint Backlog'!$I136&lt;=H$2), 'ProductSprint Backlog'!$F136 / MAX(1, 'ProductSprint Backlog'!$J136-'ProductSprint Backlog'!$I136), AND('ProductSprint Backlog'!$J136=H$2,'ProductSprint Backlog'!$I136=H$2), 'ProductSprint Backlog'!$F136, TRUE, 0)</f>
        <v>0</v>
      </c>
      <c r="I136" s="4" cm="1">
        <f t="array" ref="I136">_xlfn.IFS('ProductSprint Backlog'!$F136="", "", AND('ProductSprint Backlog'!$J136&gt;I$2,'ProductSprint Backlog'!$I136&lt;=I$2), 'ProductSprint Backlog'!$F136 / MAX(1, 'ProductSprint Backlog'!$J136-'ProductSprint Backlog'!$I136), AND('ProductSprint Backlog'!$J136=I$2,'ProductSprint Backlog'!$I136=I$2), 'ProductSprint Backlog'!$F136, TRUE, 0)</f>
        <v>0</v>
      </c>
      <c r="J136" s="4" cm="1">
        <f t="array" ref="J136">_xlfn.IFS('ProductSprint Backlog'!$F136="", "", AND('ProductSprint Backlog'!$J136&gt;J$2,'ProductSprint Backlog'!$I136&lt;=J$2), 'ProductSprint Backlog'!$F136 / MAX(1, 'ProductSprint Backlog'!$J136-'ProductSprint Backlog'!$I136), AND('ProductSprint Backlog'!$J136=J$2,'ProductSprint Backlog'!$I136=J$2), 'ProductSprint Backlog'!$F136, TRUE, 0)</f>
        <v>0</v>
      </c>
    </row>
    <row r="137" spans="2:10" x14ac:dyDescent="0.2">
      <c r="B137" s="4" cm="1">
        <f t="array" ref="B137">_xlfn.IFS('ProductSprint Backlog'!$F137="", "", AND('ProductSprint Backlog'!$J137&gt;B$2,'ProductSprint Backlog'!$I137&lt;=B$2), 'ProductSprint Backlog'!$F137 / MAX(1, 'ProductSprint Backlog'!$J137-'ProductSprint Backlog'!$I137), AND('ProductSprint Backlog'!$J137=B$2,'ProductSprint Backlog'!$I137=B$2), 'ProductSprint Backlog'!$F137, TRUE, 0)</f>
        <v>0</v>
      </c>
      <c r="C137" s="4" cm="1">
        <f t="array" ref="C137">_xlfn.IFS('ProductSprint Backlog'!$F137="", "", AND('ProductSprint Backlog'!$J137&gt;C$2,'ProductSprint Backlog'!$I137&lt;=C$2), 'ProductSprint Backlog'!$F137 / MAX(1, 'ProductSprint Backlog'!$J137-'ProductSprint Backlog'!$I137), AND('ProductSprint Backlog'!$J137=C$2,'ProductSprint Backlog'!$I137=C$2), 'ProductSprint Backlog'!$F137, TRUE, 0)</f>
        <v>0</v>
      </c>
      <c r="D137" s="4" cm="1">
        <f t="array" ref="D137">_xlfn.IFS('ProductSprint Backlog'!$F137="", "", AND('ProductSprint Backlog'!$J137&gt;D$2,'ProductSprint Backlog'!$I137&lt;=D$2), 'ProductSprint Backlog'!$F137 / MAX(1, 'ProductSprint Backlog'!$J137-'ProductSprint Backlog'!$I137), AND('ProductSprint Backlog'!$J137=D$2,'ProductSprint Backlog'!$I137=D$2), 'ProductSprint Backlog'!$F137, TRUE, 0)</f>
        <v>0</v>
      </c>
      <c r="E137" s="4" cm="1">
        <f t="array" ref="E137">_xlfn.IFS('ProductSprint Backlog'!$F137="", "", AND('ProductSprint Backlog'!$J137&gt;E$2,'ProductSprint Backlog'!$I137&lt;=E$2), 'ProductSprint Backlog'!$F137 / MAX(1, 'ProductSprint Backlog'!$J137-'ProductSprint Backlog'!$I137), AND('ProductSprint Backlog'!$J137=E$2,'ProductSprint Backlog'!$I137=E$2), 'ProductSprint Backlog'!$F137, TRUE, 0)</f>
        <v>0</v>
      </c>
      <c r="F137" s="4" cm="1">
        <f t="array" ref="F137">_xlfn.IFS('ProductSprint Backlog'!$F137="", "", AND('ProductSprint Backlog'!$J137&gt;F$2,'ProductSprint Backlog'!$I137&lt;=F$2), 'ProductSprint Backlog'!$F137 / MAX(1, 'ProductSprint Backlog'!$J137-'ProductSprint Backlog'!$I137), AND('ProductSprint Backlog'!$J137=F$2,'ProductSprint Backlog'!$I137=F$2), 'ProductSprint Backlog'!$F137, TRUE, 0)</f>
        <v>0</v>
      </c>
      <c r="G137" s="4" cm="1">
        <f t="array" ref="G137">_xlfn.IFS('ProductSprint Backlog'!$F137="", "", AND('ProductSprint Backlog'!$J137&gt;G$2,'ProductSprint Backlog'!$I137&lt;=G$2), 'ProductSprint Backlog'!$F137 / MAX(1, 'ProductSprint Backlog'!$J137-'ProductSprint Backlog'!$I137), AND('ProductSprint Backlog'!$J137=G$2,'ProductSprint Backlog'!$I137=G$2), 'ProductSprint Backlog'!$F137, TRUE, 0)</f>
        <v>0</v>
      </c>
      <c r="H137" s="4" cm="1">
        <f t="array" ref="H137">_xlfn.IFS('ProductSprint Backlog'!$F137="", "", AND('ProductSprint Backlog'!$J137&gt;H$2,'ProductSprint Backlog'!$I137&lt;=H$2), 'ProductSprint Backlog'!$F137 / MAX(1, 'ProductSprint Backlog'!$J137-'ProductSprint Backlog'!$I137), AND('ProductSprint Backlog'!$J137=H$2,'ProductSprint Backlog'!$I137=H$2), 'ProductSprint Backlog'!$F137, TRUE, 0)</f>
        <v>0</v>
      </c>
      <c r="I137" s="4" cm="1">
        <f t="array" ref="I137">_xlfn.IFS('ProductSprint Backlog'!$F137="", "", AND('ProductSprint Backlog'!$J137&gt;I$2,'ProductSprint Backlog'!$I137&lt;=I$2), 'ProductSprint Backlog'!$F137 / MAX(1, 'ProductSprint Backlog'!$J137-'ProductSprint Backlog'!$I137), AND('ProductSprint Backlog'!$J137=I$2,'ProductSprint Backlog'!$I137=I$2), 'ProductSprint Backlog'!$F137, TRUE, 0)</f>
        <v>0</v>
      </c>
      <c r="J137" s="4" cm="1">
        <f t="array" ref="J137">_xlfn.IFS('ProductSprint Backlog'!$F137="", "", AND('ProductSprint Backlog'!$J137&gt;J$2,'ProductSprint Backlog'!$I137&lt;=J$2), 'ProductSprint Backlog'!$F137 / MAX(1, 'ProductSprint Backlog'!$J137-'ProductSprint Backlog'!$I137), AND('ProductSprint Backlog'!$J137=J$2,'ProductSprint Backlog'!$I137=J$2), 'ProductSprint Backlog'!$F137, TRUE, 0)</f>
        <v>0</v>
      </c>
    </row>
    <row r="138" spans="2:10" x14ac:dyDescent="0.2">
      <c r="B138" s="4" cm="1">
        <f t="array" ref="B138">_xlfn.IFS('ProductSprint Backlog'!$F138="", "", AND('ProductSprint Backlog'!$J138&gt;B$2,'ProductSprint Backlog'!$I138&lt;=B$2), 'ProductSprint Backlog'!$F138 / MAX(1, 'ProductSprint Backlog'!$J138-'ProductSprint Backlog'!$I138), AND('ProductSprint Backlog'!$J138=B$2,'ProductSprint Backlog'!$I138=B$2), 'ProductSprint Backlog'!$F138, TRUE, 0)</f>
        <v>0</v>
      </c>
      <c r="C138" s="4" cm="1">
        <f t="array" ref="C138">_xlfn.IFS('ProductSprint Backlog'!$F138="", "", AND('ProductSprint Backlog'!$J138&gt;C$2,'ProductSprint Backlog'!$I138&lt;=C$2), 'ProductSprint Backlog'!$F138 / MAX(1, 'ProductSprint Backlog'!$J138-'ProductSprint Backlog'!$I138), AND('ProductSprint Backlog'!$J138=C$2,'ProductSprint Backlog'!$I138=C$2), 'ProductSprint Backlog'!$F138, TRUE, 0)</f>
        <v>0</v>
      </c>
      <c r="D138" s="4" cm="1">
        <f t="array" ref="D138">_xlfn.IFS('ProductSprint Backlog'!$F138="", "", AND('ProductSprint Backlog'!$J138&gt;D$2,'ProductSprint Backlog'!$I138&lt;=D$2), 'ProductSprint Backlog'!$F138 / MAX(1, 'ProductSprint Backlog'!$J138-'ProductSprint Backlog'!$I138), AND('ProductSprint Backlog'!$J138=D$2,'ProductSprint Backlog'!$I138=D$2), 'ProductSprint Backlog'!$F138, TRUE, 0)</f>
        <v>0</v>
      </c>
      <c r="E138" s="4" cm="1">
        <f t="array" ref="E138">_xlfn.IFS('ProductSprint Backlog'!$F138="", "", AND('ProductSprint Backlog'!$J138&gt;E$2,'ProductSprint Backlog'!$I138&lt;=E$2), 'ProductSprint Backlog'!$F138 / MAX(1, 'ProductSprint Backlog'!$J138-'ProductSprint Backlog'!$I138), AND('ProductSprint Backlog'!$J138=E$2,'ProductSprint Backlog'!$I138=E$2), 'ProductSprint Backlog'!$F138, TRUE, 0)</f>
        <v>0</v>
      </c>
      <c r="F138" s="4" cm="1">
        <f t="array" ref="F138">_xlfn.IFS('ProductSprint Backlog'!$F138="", "", AND('ProductSprint Backlog'!$J138&gt;F$2,'ProductSprint Backlog'!$I138&lt;=F$2), 'ProductSprint Backlog'!$F138 / MAX(1, 'ProductSprint Backlog'!$J138-'ProductSprint Backlog'!$I138), AND('ProductSprint Backlog'!$J138=F$2,'ProductSprint Backlog'!$I138=F$2), 'ProductSprint Backlog'!$F138, TRUE, 0)</f>
        <v>0</v>
      </c>
      <c r="G138" s="4" cm="1">
        <f t="array" ref="G138">_xlfn.IFS('ProductSprint Backlog'!$F138="", "", AND('ProductSprint Backlog'!$J138&gt;G$2,'ProductSprint Backlog'!$I138&lt;=G$2), 'ProductSprint Backlog'!$F138 / MAX(1, 'ProductSprint Backlog'!$J138-'ProductSprint Backlog'!$I138), AND('ProductSprint Backlog'!$J138=G$2,'ProductSprint Backlog'!$I138=G$2), 'ProductSprint Backlog'!$F138, TRUE, 0)</f>
        <v>0</v>
      </c>
      <c r="H138" s="4" cm="1">
        <f t="array" ref="H138">_xlfn.IFS('ProductSprint Backlog'!$F138="", "", AND('ProductSprint Backlog'!$J138&gt;H$2,'ProductSprint Backlog'!$I138&lt;=H$2), 'ProductSprint Backlog'!$F138 / MAX(1, 'ProductSprint Backlog'!$J138-'ProductSprint Backlog'!$I138), AND('ProductSprint Backlog'!$J138=H$2,'ProductSprint Backlog'!$I138=H$2), 'ProductSprint Backlog'!$F138, TRUE, 0)</f>
        <v>0</v>
      </c>
      <c r="I138" s="4" cm="1">
        <f t="array" ref="I138">_xlfn.IFS('ProductSprint Backlog'!$F138="", "", AND('ProductSprint Backlog'!$J138&gt;I$2,'ProductSprint Backlog'!$I138&lt;=I$2), 'ProductSprint Backlog'!$F138 / MAX(1, 'ProductSprint Backlog'!$J138-'ProductSprint Backlog'!$I138), AND('ProductSprint Backlog'!$J138=I$2,'ProductSprint Backlog'!$I138=I$2), 'ProductSprint Backlog'!$F138, TRUE, 0)</f>
        <v>0</v>
      </c>
      <c r="J138" s="4" cm="1">
        <f t="array" ref="J138">_xlfn.IFS('ProductSprint Backlog'!$F138="", "", AND('ProductSprint Backlog'!$J138&gt;J$2,'ProductSprint Backlog'!$I138&lt;=J$2), 'ProductSprint Backlog'!$F138 / MAX(1, 'ProductSprint Backlog'!$J138-'ProductSprint Backlog'!$I138), AND('ProductSprint Backlog'!$J138=J$2,'ProductSprint Backlog'!$I138=J$2), 'ProductSprint Backlog'!$F138, TRUE, 0)</f>
        <v>0</v>
      </c>
    </row>
    <row r="139" spans="2:10" x14ac:dyDescent="0.2">
      <c r="B139" s="4" cm="1">
        <f t="array" ref="B139">_xlfn.IFS('ProductSprint Backlog'!$F139="", "", AND('ProductSprint Backlog'!$J139&gt;B$2,'ProductSprint Backlog'!$I139&lt;=B$2), 'ProductSprint Backlog'!$F139 / MAX(1, 'ProductSprint Backlog'!$J139-'ProductSprint Backlog'!$I139), AND('ProductSprint Backlog'!$J139=B$2,'ProductSprint Backlog'!$I139=B$2), 'ProductSprint Backlog'!$F139, TRUE, 0)</f>
        <v>0</v>
      </c>
      <c r="C139" s="4" cm="1">
        <f t="array" ref="C139">_xlfn.IFS('ProductSprint Backlog'!$F139="", "", AND('ProductSprint Backlog'!$J139&gt;C$2,'ProductSprint Backlog'!$I139&lt;=C$2), 'ProductSprint Backlog'!$F139 / MAX(1, 'ProductSprint Backlog'!$J139-'ProductSprint Backlog'!$I139), AND('ProductSprint Backlog'!$J139=C$2,'ProductSprint Backlog'!$I139=C$2), 'ProductSprint Backlog'!$F139, TRUE, 0)</f>
        <v>0</v>
      </c>
      <c r="D139" s="4" cm="1">
        <f t="array" ref="D139">_xlfn.IFS('ProductSprint Backlog'!$F139="", "", AND('ProductSprint Backlog'!$J139&gt;D$2,'ProductSprint Backlog'!$I139&lt;=D$2), 'ProductSprint Backlog'!$F139 / MAX(1, 'ProductSprint Backlog'!$J139-'ProductSprint Backlog'!$I139), AND('ProductSprint Backlog'!$J139=D$2,'ProductSprint Backlog'!$I139=D$2), 'ProductSprint Backlog'!$F139, TRUE, 0)</f>
        <v>0</v>
      </c>
      <c r="E139" s="4" cm="1">
        <f t="array" ref="E139">_xlfn.IFS('ProductSprint Backlog'!$F139="", "", AND('ProductSprint Backlog'!$J139&gt;E$2,'ProductSprint Backlog'!$I139&lt;=E$2), 'ProductSprint Backlog'!$F139 / MAX(1, 'ProductSprint Backlog'!$J139-'ProductSprint Backlog'!$I139), AND('ProductSprint Backlog'!$J139=E$2,'ProductSprint Backlog'!$I139=E$2), 'ProductSprint Backlog'!$F139, TRUE, 0)</f>
        <v>0</v>
      </c>
      <c r="F139" s="4" cm="1">
        <f t="array" ref="F139">_xlfn.IFS('ProductSprint Backlog'!$F139="", "", AND('ProductSprint Backlog'!$J139&gt;F$2,'ProductSprint Backlog'!$I139&lt;=F$2), 'ProductSprint Backlog'!$F139 / MAX(1, 'ProductSprint Backlog'!$J139-'ProductSprint Backlog'!$I139), AND('ProductSprint Backlog'!$J139=F$2,'ProductSprint Backlog'!$I139=F$2), 'ProductSprint Backlog'!$F139, TRUE, 0)</f>
        <v>0</v>
      </c>
      <c r="G139" s="4" cm="1">
        <f t="array" ref="G139">_xlfn.IFS('ProductSprint Backlog'!$F139="", "", AND('ProductSprint Backlog'!$J139&gt;G$2,'ProductSprint Backlog'!$I139&lt;=G$2), 'ProductSprint Backlog'!$F139 / MAX(1, 'ProductSprint Backlog'!$J139-'ProductSprint Backlog'!$I139), AND('ProductSprint Backlog'!$J139=G$2,'ProductSprint Backlog'!$I139=G$2), 'ProductSprint Backlog'!$F139, TRUE, 0)</f>
        <v>0</v>
      </c>
      <c r="H139" s="4" cm="1">
        <f t="array" ref="H139">_xlfn.IFS('ProductSprint Backlog'!$F139="", "", AND('ProductSprint Backlog'!$J139&gt;H$2,'ProductSprint Backlog'!$I139&lt;=H$2), 'ProductSprint Backlog'!$F139 / MAX(1, 'ProductSprint Backlog'!$J139-'ProductSprint Backlog'!$I139), AND('ProductSprint Backlog'!$J139=H$2,'ProductSprint Backlog'!$I139=H$2), 'ProductSprint Backlog'!$F139, TRUE, 0)</f>
        <v>0</v>
      </c>
      <c r="I139" s="4" cm="1">
        <f t="array" ref="I139">_xlfn.IFS('ProductSprint Backlog'!$F139="", "", AND('ProductSprint Backlog'!$J139&gt;I$2,'ProductSprint Backlog'!$I139&lt;=I$2), 'ProductSprint Backlog'!$F139 / MAX(1, 'ProductSprint Backlog'!$J139-'ProductSprint Backlog'!$I139), AND('ProductSprint Backlog'!$J139=I$2,'ProductSprint Backlog'!$I139=I$2), 'ProductSprint Backlog'!$F139, TRUE, 0)</f>
        <v>0</v>
      </c>
      <c r="J139" s="4" cm="1">
        <f t="array" ref="J139">_xlfn.IFS('ProductSprint Backlog'!$F139="", "", AND('ProductSprint Backlog'!$J139&gt;J$2,'ProductSprint Backlog'!$I139&lt;=J$2), 'ProductSprint Backlog'!$F139 / MAX(1, 'ProductSprint Backlog'!$J139-'ProductSprint Backlog'!$I139), AND('ProductSprint Backlog'!$J139=J$2,'ProductSprint Backlog'!$I139=J$2), 'ProductSprint Backlog'!$F139, TRUE, 0)</f>
        <v>0</v>
      </c>
    </row>
    <row r="140" spans="2:10" x14ac:dyDescent="0.2">
      <c r="B140" s="4" cm="1">
        <f t="array" ref="B140">_xlfn.IFS('ProductSprint Backlog'!$F140="", "", AND('ProductSprint Backlog'!$J140&gt;B$2,'ProductSprint Backlog'!$I140&lt;=B$2), 'ProductSprint Backlog'!$F140 / MAX(1, 'ProductSprint Backlog'!$J140-'ProductSprint Backlog'!$I140), AND('ProductSprint Backlog'!$J140=B$2,'ProductSprint Backlog'!$I140=B$2), 'ProductSprint Backlog'!$F140, TRUE, 0)</f>
        <v>0</v>
      </c>
      <c r="C140" s="4" cm="1">
        <f t="array" ref="C140">_xlfn.IFS('ProductSprint Backlog'!$F140="", "", AND('ProductSprint Backlog'!$J140&gt;C$2,'ProductSprint Backlog'!$I140&lt;=C$2), 'ProductSprint Backlog'!$F140 / MAX(1, 'ProductSprint Backlog'!$J140-'ProductSprint Backlog'!$I140), AND('ProductSprint Backlog'!$J140=C$2,'ProductSprint Backlog'!$I140=C$2), 'ProductSprint Backlog'!$F140, TRUE, 0)</f>
        <v>0</v>
      </c>
      <c r="D140" s="4" cm="1">
        <f t="array" ref="D140">_xlfn.IFS('ProductSprint Backlog'!$F140="", "", AND('ProductSprint Backlog'!$J140&gt;D$2,'ProductSprint Backlog'!$I140&lt;=D$2), 'ProductSprint Backlog'!$F140 / MAX(1, 'ProductSprint Backlog'!$J140-'ProductSprint Backlog'!$I140), AND('ProductSprint Backlog'!$J140=D$2,'ProductSprint Backlog'!$I140=D$2), 'ProductSprint Backlog'!$F140, TRUE, 0)</f>
        <v>0</v>
      </c>
      <c r="E140" s="4" cm="1">
        <f t="array" ref="E140">_xlfn.IFS('ProductSprint Backlog'!$F140="", "", AND('ProductSprint Backlog'!$J140&gt;E$2,'ProductSprint Backlog'!$I140&lt;=E$2), 'ProductSprint Backlog'!$F140 / MAX(1, 'ProductSprint Backlog'!$J140-'ProductSprint Backlog'!$I140), AND('ProductSprint Backlog'!$J140=E$2,'ProductSprint Backlog'!$I140=E$2), 'ProductSprint Backlog'!$F140, TRUE, 0)</f>
        <v>0</v>
      </c>
      <c r="F140" s="4" cm="1">
        <f t="array" ref="F140">_xlfn.IFS('ProductSprint Backlog'!$F140="", "", AND('ProductSprint Backlog'!$J140&gt;F$2,'ProductSprint Backlog'!$I140&lt;=F$2), 'ProductSprint Backlog'!$F140 / MAX(1, 'ProductSprint Backlog'!$J140-'ProductSprint Backlog'!$I140), AND('ProductSprint Backlog'!$J140=F$2,'ProductSprint Backlog'!$I140=F$2), 'ProductSprint Backlog'!$F140, TRUE, 0)</f>
        <v>0</v>
      </c>
      <c r="G140" s="4" cm="1">
        <f t="array" ref="G140">_xlfn.IFS('ProductSprint Backlog'!$F140="", "", AND('ProductSprint Backlog'!$J140&gt;G$2,'ProductSprint Backlog'!$I140&lt;=G$2), 'ProductSprint Backlog'!$F140 / MAX(1, 'ProductSprint Backlog'!$J140-'ProductSprint Backlog'!$I140), AND('ProductSprint Backlog'!$J140=G$2,'ProductSprint Backlog'!$I140=G$2), 'ProductSprint Backlog'!$F140, TRUE, 0)</f>
        <v>0</v>
      </c>
      <c r="H140" s="4" cm="1">
        <f t="array" ref="H140">_xlfn.IFS('ProductSprint Backlog'!$F140="", "", AND('ProductSprint Backlog'!$J140&gt;H$2,'ProductSprint Backlog'!$I140&lt;=H$2), 'ProductSprint Backlog'!$F140 / MAX(1, 'ProductSprint Backlog'!$J140-'ProductSprint Backlog'!$I140), AND('ProductSprint Backlog'!$J140=H$2,'ProductSprint Backlog'!$I140=H$2), 'ProductSprint Backlog'!$F140, TRUE, 0)</f>
        <v>0</v>
      </c>
      <c r="I140" s="4" cm="1">
        <f t="array" ref="I140">_xlfn.IFS('ProductSprint Backlog'!$F140="", "", AND('ProductSprint Backlog'!$J140&gt;I$2,'ProductSprint Backlog'!$I140&lt;=I$2), 'ProductSprint Backlog'!$F140 / MAX(1, 'ProductSprint Backlog'!$J140-'ProductSprint Backlog'!$I140), AND('ProductSprint Backlog'!$J140=I$2,'ProductSprint Backlog'!$I140=I$2), 'ProductSprint Backlog'!$F140, TRUE, 0)</f>
        <v>0</v>
      </c>
      <c r="J140" s="4" cm="1">
        <f t="array" ref="J140">_xlfn.IFS('ProductSprint Backlog'!$F140="", "", AND('ProductSprint Backlog'!$J140&gt;J$2,'ProductSprint Backlog'!$I140&lt;=J$2), 'ProductSprint Backlog'!$F140 / MAX(1, 'ProductSprint Backlog'!$J140-'ProductSprint Backlog'!$I140), AND('ProductSprint Backlog'!$J140=J$2,'ProductSprint Backlog'!$I140=J$2), 'ProductSprint Backlog'!$F140, TRUE, 0)</f>
        <v>0</v>
      </c>
    </row>
    <row r="141" spans="2:10" x14ac:dyDescent="0.2">
      <c r="B141" s="4" cm="1">
        <f t="array" ref="B141">_xlfn.IFS('ProductSprint Backlog'!$F141="", "", AND('ProductSprint Backlog'!$J141&gt;B$2,'ProductSprint Backlog'!$I141&lt;=B$2), 'ProductSprint Backlog'!$F141 / MAX(1, 'ProductSprint Backlog'!$J141-'ProductSprint Backlog'!$I141), AND('ProductSprint Backlog'!$J141=B$2,'ProductSprint Backlog'!$I141=B$2), 'ProductSprint Backlog'!$F141, TRUE, 0)</f>
        <v>0</v>
      </c>
      <c r="C141" s="4" cm="1">
        <f t="array" ref="C141">_xlfn.IFS('ProductSprint Backlog'!$F141="", "", AND('ProductSprint Backlog'!$J141&gt;C$2,'ProductSprint Backlog'!$I141&lt;=C$2), 'ProductSprint Backlog'!$F141 / MAX(1, 'ProductSprint Backlog'!$J141-'ProductSprint Backlog'!$I141), AND('ProductSprint Backlog'!$J141=C$2,'ProductSprint Backlog'!$I141=C$2), 'ProductSprint Backlog'!$F141, TRUE, 0)</f>
        <v>0</v>
      </c>
      <c r="D141" s="4" cm="1">
        <f t="array" ref="D141">_xlfn.IFS('ProductSprint Backlog'!$F141="", "", AND('ProductSprint Backlog'!$J141&gt;D$2,'ProductSprint Backlog'!$I141&lt;=D$2), 'ProductSprint Backlog'!$F141 / MAX(1, 'ProductSprint Backlog'!$J141-'ProductSprint Backlog'!$I141), AND('ProductSprint Backlog'!$J141=D$2,'ProductSprint Backlog'!$I141=D$2), 'ProductSprint Backlog'!$F141, TRUE, 0)</f>
        <v>0</v>
      </c>
      <c r="E141" s="4" cm="1">
        <f t="array" ref="E141">_xlfn.IFS('ProductSprint Backlog'!$F141="", "", AND('ProductSprint Backlog'!$J141&gt;E$2,'ProductSprint Backlog'!$I141&lt;=E$2), 'ProductSprint Backlog'!$F141 / MAX(1, 'ProductSprint Backlog'!$J141-'ProductSprint Backlog'!$I141), AND('ProductSprint Backlog'!$J141=E$2,'ProductSprint Backlog'!$I141=E$2), 'ProductSprint Backlog'!$F141, TRUE, 0)</f>
        <v>0</v>
      </c>
      <c r="F141" s="4" cm="1">
        <f t="array" ref="F141">_xlfn.IFS('ProductSprint Backlog'!$F141="", "", AND('ProductSprint Backlog'!$J141&gt;F$2,'ProductSprint Backlog'!$I141&lt;=F$2), 'ProductSprint Backlog'!$F141 / MAX(1, 'ProductSprint Backlog'!$J141-'ProductSprint Backlog'!$I141), AND('ProductSprint Backlog'!$J141=F$2,'ProductSprint Backlog'!$I141=F$2), 'ProductSprint Backlog'!$F141, TRUE, 0)</f>
        <v>0</v>
      </c>
      <c r="G141" s="4" cm="1">
        <f t="array" ref="G141">_xlfn.IFS('ProductSprint Backlog'!$F141="", "", AND('ProductSprint Backlog'!$J141&gt;G$2,'ProductSprint Backlog'!$I141&lt;=G$2), 'ProductSprint Backlog'!$F141 / MAX(1, 'ProductSprint Backlog'!$J141-'ProductSprint Backlog'!$I141), AND('ProductSprint Backlog'!$J141=G$2,'ProductSprint Backlog'!$I141=G$2), 'ProductSprint Backlog'!$F141, TRUE, 0)</f>
        <v>0</v>
      </c>
      <c r="H141" s="4" cm="1">
        <f t="array" ref="H141">_xlfn.IFS('ProductSprint Backlog'!$F141="", "", AND('ProductSprint Backlog'!$J141&gt;H$2,'ProductSprint Backlog'!$I141&lt;=H$2), 'ProductSprint Backlog'!$F141 / MAX(1, 'ProductSprint Backlog'!$J141-'ProductSprint Backlog'!$I141), AND('ProductSprint Backlog'!$J141=H$2,'ProductSprint Backlog'!$I141=H$2), 'ProductSprint Backlog'!$F141, TRUE, 0)</f>
        <v>0</v>
      </c>
      <c r="I141" s="4" cm="1">
        <f t="array" ref="I141">_xlfn.IFS('ProductSprint Backlog'!$F141="", "", AND('ProductSprint Backlog'!$J141&gt;I$2,'ProductSprint Backlog'!$I141&lt;=I$2), 'ProductSprint Backlog'!$F141 / MAX(1, 'ProductSprint Backlog'!$J141-'ProductSprint Backlog'!$I141), AND('ProductSprint Backlog'!$J141=I$2,'ProductSprint Backlog'!$I141=I$2), 'ProductSprint Backlog'!$F141, TRUE, 0)</f>
        <v>0</v>
      </c>
      <c r="J141" s="4" cm="1">
        <f t="array" ref="J141">_xlfn.IFS('ProductSprint Backlog'!$F141="", "", AND('ProductSprint Backlog'!$J141&gt;J$2,'ProductSprint Backlog'!$I141&lt;=J$2), 'ProductSprint Backlog'!$F141 / MAX(1, 'ProductSprint Backlog'!$J141-'ProductSprint Backlog'!$I141), AND('ProductSprint Backlog'!$J141=J$2,'ProductSprint Backlog'!$I141=J$2), 'ProductSprint Backlog'!$F141, TRUE, 0)</f>
        <v>0</v>
      </c>
    </row>
    <row r="142" spans="2:10" x14ac:dyDescent="0.2">
      <c r="B142" s="4" cm="1">
        <f t="array" ref="B142">_xlfn.IFS('ProductSprint Backlog'!$F142="", "", AND('ProductSprint Backlog'!$J142&gt;B$2,'ProductSprint Backlog'!$I142&lt;=B$2), 'ProductSprint Backlog'!$F142 / MAX(1, 'ProductSprint Backlog'!$J142-'ProductSprint Backlog'!$I142), AND('ProductSprint Backlog'!$J142=B$2,'ProductSprint Backlog'!$I142=B$2), 'ProductSprint Backlog'!$F142, TRUE, 0)</f>
        <v>0</v>
      </c>
      <c r="C142" s="4" cm="1">
        <f t="array" ref="C142">_xlfn.IFS('ProductSprint Backlog'!$F142="", "", AND('ProductSprint Backlog'!$J142&gt;C$2,'ProductSprint Backlog'!$I142&lt;=C$2), 'ProductSprint Backlog'!$F142 / MAX(1, 'ProductSprint Backlog'!$J142-'ProductSprint Backlog'!$I142), AND('ProductSprint Backlog'!$J142=C$2,'ProductSprint Backlog'!$I142=C$2), 'ProductSprint Backlog'!$F142, TRUE, 0)</f>
        <v>0</v>
      </c>
      <c r="D142" s="4" cm="1">
        <f t="array" ref="D142">_xlfn.IFS('ProductSprint Backlog'!$F142="", "", AND('ProductSprint Backlog'!$J142&gt;D$2,'ProductSprint Backlog'!$I142&lt;=D$2), 'ProductSprint Backlog'!$F142 / MAX(1, 'ProductSprint Backlog'!$J142-'ProductSprint Backlog'!$I142), AND('ProductSprint Backlog'!$J142=D$2,'ProductSprint Backlog'!$I142=D$2), 'ProductSprint Backlog'!$F142, TRUE, 0)</f>
        <v>0</v>
      </c>
      <c r="E142" s="4" cm="1">
        <f t="array" ref="E142">_xlfn.IFS('ProductSprint Backlog'!$F142="", "", AND('ProductSprint Backlog'!$J142&gt;E$2,'ProductSprint Backlog'!$I142&lt;=E$2), 'ProductSprint Backlog'!$F142 / MAX(1, 'ProductSprint Backlog'!$J142-'ProductSprint Backlog'!$I142), AND('ProductSprint Backlog'!$J142=E$2,'ProductSprint Backlog'!$I142=E$2), 'ProductSprint Backlog'!$F142, TRUE, 0)</f>
        <v>0</v>
      </c>
      <c r="F142" s="4" cm="1">
        <f t="array" ref="F142">_xlfn.IFS('ProductSprint Backlog'!$F142="", "", AND('ProductSprint Backlog'!$J142&gt;F$2,'ProductSprint Backlog'!$I142&lt;=F$2), 'ProductSprint Backlog'!$F142 / MAX(1, 'ProductSprint Backlog'!$J142-'ProductSprint Backlog'!$I142), AND('ProductSprint Backlog'!$J142=F$2,'ProductSprint Backlog'!$I142=F$2), 'ProductSprint Backlog'!$F142, TRUE, 0)</f>
        <v>0</v>
      </c>
      <c r="G142" s="4" cm="1">
        <f t="array" ref="G142">_xlfn.IFS('ProductSprint Backlog'!$F142="", "", AND('ProductSprint Backlog'!$J142&gt;G$2,'ProductSprint Backlog'!$I142&lt;=G$2), 'ProductSprint Backlog'!$F142 / MAX(1, 'ProductSprint Backlog'!$J142-'ProductSprint Backlog'!$I142), AND('ProductSprint Backlog'!$J142=G$2,'ProductSprint Backlog'!$I142=G$2), 'ProductSprint Backlog'!$F142, TRUE, 0)</f>
        <v>0</v>
      </c>
      <c r="H142" s="4" cm="1">
        <f t="array" ref="H142">_xlfn.IFS('ProductSprint Backlog'!$F142="", "", AND('ProductSprint Backlog'!$J142&gt;H$2,'ProductSprint Backlog'!$I142&lt;=H$2), 'ProductSprint Backlog'!$F142 / MAX(1, 'ProductSprint Backlog'!$J142-'ProductSprint Backlog'!$I142), AND('ProductSprint Backlog'!$J142=H$2,'ProductSprint Backlog'!$I142=H$2), 'ProductSprint Backlog'!$F142, TRUE, 0)</f>
        <v>0</v>
      </c>
      <c r="I142" s="4" cm="1">
        <f t="array" ref="I142">_xlfn.IFS('ProductSprint Backlog'!$F142="", "", AND('ProductSprint Backlog'!$J142&gt;I$2,'ProductSprint Backlog'!$I142&lt;=I$2), 'ProductSprint Backlog'!$F142 / MAX(1, 'ProductSprint Backlog'!$J142-'ProductSprint Backlog'!$I142), AND('ProductSprint Backlog'!$J142=I$2,'ProductSprint Backlog'!$I142=I$2), 'ProductSprint Backlog'!$F142, TRUE, 0)</f>
        <v>0</v>
      </c>
      <c r="J142" s="4" cm="1">
        <f t="array" ref="J142">_xlfn.IFS('ProductSprint Backlog'!$F142="", "", AND('ProductSprint Backlog'!$J142&gt;J$2,'ProductSprint Backlog'!$I142&lt;=J$2), 'ProductSprint Backlog'!$F142 / MAX(1, 'ProductSprint Backlog'!$J142-'ProductSprint Backlog'!$I142), AND('ProductSprint Backlog'!$J142=J$2,'ProductSprint Backlog'!$I142=J$2), 'ProductSprint Backlog'!$F142, TRUE, 0)</f>
        <v>0</v>
      </c>
    </row>
    <row r="143" spans="2:10" x14ac:dyDescent="0.2">
      <c r="B143" s="4" cm="1">
        <f t="array" ref="B143">_xlfn.IFS('ProductSprint Backlog'!$F143="", "", AND('ProductSprint Backlog'!$J143&gt;B$2,'ProductSprint Backlog'!$I143&lt;=B$2), 'ProductSprint Backlog'!$F143 / MAX(1, 'ProductSprint Backlog'!$J143-'ProductSprint Backlog'!$I143), AND('ProductSprint Backlog'!$J143=B$2,'ProductSprint Backlog'!$I143=B$2), 'ProductSprint Backlog'!$F143, TRUE, 0)</f>
        <v>0</v>
      </c>
      <c r="C143" s="4" cm="1">
        <f t="array" ref="C143">_xlfn.IFS('ProductSprint Backlog'!$F143="", "", AND('ProductSprint Backlog'!$J143&gt;C$2,'ProductSprint Backlog'!$I143&lt;=C$2), 'ProductSprint Backlog'!$F143 / MAX(1, 'ProductSprint Backlog'!$J143-'ProductSprint Backlog'!$I143), AND('ProductSprint Backlog'!$J143=C$2,'ProductSprint Backlog'!$I143=C$2), 'ProductSprint Backlog'!$F143, TRUE, 0)</f>
        <v>0</v>
      </c>
      <c r="D143" s="4" cm="1">
        <f t="array" ref="D143">_xlfn.IFS('ProductSprint Backlog'!$F143="", "", AND('ProductSprint Backlog'!$J143&gt;D$2,'ProductSprint Backlog'!$I143&lt;=D$2), 'ProductSprint Backlog'!$F143 / MAX(1, 'ProductSprint Backlog'!$J143-'ProductSprint Backlog'!$I143), AND('ProductSprint Backlog'!$J143=D$2,'ProductSprint Backlog'!$I143=D$2), 'ProductSprint Backlog'!$F143, TRUE, 0)</f>
        <v>0</v>
      </c>
      <c r="E143" s="4" cm="1">
        <f t="array" ref="E143">_xlfn.IFS('ProductSprint Backlog'!$F143="", "", AND('ProductSprint Backlog'!$J143&gt;E$2,'ProductSprint Backlog'!$I143&lt;=E$2), 'ProductSprint Backlog'!$F143 / MAX(1, 'ProductSprint Backlog'!$J143-'ProductSprint Backlog'!$I143), AND('ProductSprint Backlog'!$J143=E$2,'ProductSprint Backlog'!$I143=E$2), 'ProductSprint Backlog'!$F143, TRUE, 0)</f>
        <v>0</v>
      </c>
      <c r="F143" s="4" cm="1">
        <f t="array" ref="F143">_xlfn.IFS('ProductSprint Backlog'!$F143="", "", AND('ProductSprint Backlog'!$J143&gt;F$2,'ProductSprint Backlog'!$I143&lt;=F$2), 'ProductSprint Backlog'!$F143 / MAX(1, 'ProductSprint Backlog'!$J143-'ProductSprint Backlog'!$I143), AND('ProductSprint Backlog'!$J143=F$2,'ProductSprint Backlog'!$I143=F$2), 'ProductSprint Backlog'!$F143, TRUE, 0)</f>
        <v>0</v>
      </c>
      <c r="G143" s="4" cm="1">
        <f t="array" ref="G143">_xlfn.IFS('ProductSprint Backlog'!$F143="", "", AND('ProductSprint Backlog'!$J143&gt;G$2,'ProductSprint Backlog'!$I143&lt;=G$2), 'ProductSprint Backlog'!$F143 / MAX(1, 'ProductSprint Backlog'!$J143-'ProductSprint Backlog'!$I143), AND('ProductSprint Backlog'!$J143=G$2,'ProductSprint Backlog'!$I143=G$2), 'ProductSprint Backlog'!$F143, TRUE, 0)</f>
        <v>0</v>
      </c>
      <c r="H143" s="4" cm="1">
        <f t="array" ref="H143">_xlfn.IFS('ProductSprint Backlog'!$F143="", "", AND('ProductSprint Backlog'!$J143&gt;H$2,'ProductSprint Backlog'!$I143&lt;=H$2), 'ProductSprint Backlog'!$F143 / MAX(1, 'ProductSprint Backlog'!$J143-'ProductSprint Backlog'!$I143), AND('ProductSprint Backlog'!$J143=H$2,'ProductSprint Backlog'!$I143=H$2), 'ProductSprint Backlog'!$F143, TRUE, 0)</f>
        <v>0</v>
      </c>
      <c r="I143" s="4" cm="1">
        <f t="array" ref="I143">_xlfn.IFS('ProductSprint Backlog'!$F143="", "", AND('ProductSprint Backlog'!$J143&gt;I$2,'ProductSprint Backlog'!$I143&lt;=I$2), 'ProductSprint Backlog'!$F143 / MAX(1, 'ProductSprint Backlog'!$J143-'ProductSprint Backlog'!$I143), AND('ProductSprint Backlog'!$J143=I$2,'ProductSprint Backlog'!$I143=I$2), 'ProductSprint Backlog'!$F143, TRUE, 0)</f>
        <v>0</v>
      </c>
      <c r="J143" s="4" cm="1">
        <f t="array" ref="J143">_xlfn.IFS('ProductSprint Backlog'!$F143="", "", AND('ProductSprint Backlog'!$J143&gt;J$2,'ProductSprint Backlog'!$I143&lt;=J$2), 'ProductSprint Backlog'!$F143 / MAX(1, 'ProductSprint Backlog'!$J143-'ProductSprint Backlog'!$I143), AND('ProductSprint Backlog'!$J143=J$2,'ProductSprint Backlog'!$I143=J$2), 'ProductSprint Backlog'!$F143, TRUE, 0)</f>
        <v>0</v>
      </c>
    </row>
    <row r="144" spans="2:10" x14ac:dyDescent="0.2">
      <c r="B144" s="4" cm="1">
        <f t="array" ref="B144">_xlfn.IFS('ProductSprint Backlog'!$F144="", "", AND('ProductSprint Backlog'!$J144&gt;B$2,'ProductSprint Backlog'!$I144&lt;=B$2), 'ProductSprint Backlog'!$F144 / MAX(1, 'ProductSprint Backlog'!$J144-'ProductSprint Backlog'!$I144), AND('ProductSprint Backlog'!$J144=B$2,'ProductSprint Backlog'!$I144=B$2), 'ProductSprint Backlog'!$F144, TRUE, 0)</f>
        <v>0</v>
      </c>
      <c r="C144" s="4" cm="1">
        <f t="array" ref="C144">_xlfn.IFS('ProductSprint Backlog'!$F144="", "", AND('ProductSprint Backlog'!$J144&gt;C$2,'ProductSprint Backlog'!$I144&lt;=C$2), 'ProductSprint Backlog'!$F144 / MAX(1, 'ProductSprint Backlog'!$J144-'ProductSprint Backlog'!$I144), AND('ProductSprint Backlog'!$J144=C$2,'ProductSprint Backlog'!$I144=C$2), 'ProductSprint Backlog'!$F144, TRUE, 0)</f>
        <v>0</v>
      </c>
      <c r="D144" s="4" cm="1">
        <f t="array" ref="D144">_xlfn.IFS('ProductSprint Backlog'!$F144="", "", AND('ProductSprint Backlog'!$J144&gt;D$2,'ProductSprint Backlog'!$I144&lt;=D$2), 'ProductSprint Backlog'!$F144 / MAX(1, 'ProductSprint Backlog'!$J144-'ProductSprint Backlog'!$I144), AND('ProductSprint Backlog'!$J144=D$2,'ProductSprint Backlog'!$I144=D$2), 'ProductSprint Backlog'!$F144, TRUE, 0)</f>
        <v>0</v>
      </c>
      <c r="E144" s="4" cm="1">
        <f t="array" ref="E144">_xlfn.IFS('ProductSprint Backlog'!$F144="", "", AND('ProductSprint Backlog'!$J144&gt;E$2,'ProductSprint Backlog'!$I144&lt;=E$2), 'ProductSprint Backlog'!$F144 / MAX(1, 'ProductSprint Backlog'!$J144-'ProductSprint Backlog'!$I144), AND('ProductSprint Backlog'!$J144=E$2,'ProductSprint Backlog'!$I144=E$2), 'ProductSprint Backlog'!$F144, TRUE, 0)</f>
        <v>0</v>
      </c>
      <c r="F144" s="4" cm="1">
        <f t="array" ref="F144">_xlfn.IFS('ProductSprint Backlog'!$F144="", "", AND('ProductSprint Backlog'!$J144&gt;F$2,'ProductSprint Backlog'!$I144&lt;=F$2), 'ProductSprint Backlog'!$F144 / MAX(1, 'ProductSprint Backlog'!$J144-'ProductSprint Backlog'!$I144), AND('ProductSprint Backlog'!$J144=F$2,'ProductSprint Backlog'!$I144=F$2), 'ProductSprint Backlog'!$F144, TRUE, 0)</f>
        <v>0</v>
      </c>
      <c r="G144" s="4" cm="1">
        <f t="array" ref="G144">_xlfn.IFS('ProductSprint Backlog'!$F144="", "", AND('ProductSprint Backlog'!$J144&gt;G$2,'ProductSprint Backlog'!$I144&lt;=G$2), 'ProductSprint Backlog'!$F144 / MAX(1, 'ProductSprint Backlog'!$J144-'ProductSprint Backlog'!$I144), AND('ProductSprint Backlog'!$J144=G$2,'ProductSprint Backlog'!$I144=G$2), 'ProductSprint Backlog'!$F144, TRUE, 0)</f>
        <v>0</v>
      </c>
      <c r="H144" s="4" cm="1">
        <f t="array" ref="H144">_xlfn.IFS('ProductSprint Backlog'!$F144="", "", AND('ProductSprint Backlog'!$J144&gt;H$2,'ProductSprint Backlog'!$I144&lt;=H$2), 'ProductSprint Backlog'!$F144 / MAX(1, 'ProductSprint Backlog'!$J144-'ProductSprint Backlog'!$I144), AND('ProductSprint Backlog'!$J144=H$2,'ProductSprint Backlog'!$I144=H$2), 'ProductSprint Backlog'!$F144, TRUE, 0)</f>
        <v>0</v>
      </c>
      <c r="I144" s="4" cm="1">
        <f t="array" ref="I144">_xlfn.IFS('ProductSprint Backlog'!$F144="", "", AND('ProductSprint Backlog'!$J144&gt;I$2,'ProductSprint Backlog'!$I144&lt;=I$2), 'ProductSprint Backlog'!$F144 / MAX(1, 'ProductSprint Backlog'!$J144-'ProductSprint Backlog'!$I144), AND('ProductSprint Backlog'!$J144=I$2,'ProductSprint Backlog'!$I144=I$2), 'ProductSprint Backlog'!$F144, TRUE, 0)</f>
        <v>0</v>
      </c>
      <c r="J144" s="4" cm="1">
        <f t="array" ref="J144">_xlfn.IFS('ProductSprint Backlog'!$F144="", "", AND('ProductSprint Backlog'!$J144&gt;J$2,'ProductSprint Backlog'!$I144&lt;=J$2), 'ProductSprint Backlog'!$F144 / MAX(1, 'ProductSprint Backlog'!$J144-'ProductSprint Backlog'!$I144), AND('ProductSprint Backlog'!$J144=J$2,'ProductSprint Backlog'!$I144=J$2), 'ProductSprint Backlog'!$F144, TRUE, 0)</f>
        <v>0</v>
      </c>
    </row>
    <row r="145" spans="2:10" x14ac:dyDescent="0.2">
      <c r="B145" s="4" cm="1">
        <f t="array" ref="B145">_xlfn.IFS('ProductSprint Backlog'!$F145="", "", AND('ProductSprint Backlog'!$J145&gt;B$2,'ProductSprint Backlog'!$I145&lt;=B$2), 'ProductSprint Backlog'!$F145 / MAX(1, 'ProductSprint Backlog'!$J145-'ProductSprint Backlog'!$I145), AND('ProductSprint Backlog'!$J145=B$2,'ProductSprint Backlog'!$I145=B$2), 'ProductSprint Backlog'!$F145, TRUE, 0)</f>
        <v>0</v>
      </c>
      <c r="C145" s="4" cm="1">
        <f t="array" ref="C145">_xlfn.IFS('ProductSprint Backlog'!$F145="", "", AND('ProductSprint Backlog'!$J145&gt;C$2,'ProductSprint Backlog'!$I145&lt;=C$2), 'ProductSprint Backlog'!$F145 / MAX(1, 'ProductSprint Backlog'!$J145-'ProductSprint Backlog'!$I145), AND('ProductSprint Backlog'!$J145=C$2,'ProductSprint Backlog'!$I145=C$2), 'ProductSprint Backlog'!$F145, TRUE, 0)</f>
        <v>0</v>
      </c>
      <c r="D145" s="4" cm="1">
        <f t="array" ref="D145">_xlfn.IFS('ProductSprint Backlog'!$F145="", "", AND('ProductSprint Backlog'!$J145&gt;D$2,'ProductSprint Backlog'!$I145&lt;=D$2), 'ProductSprint Backlog'!$F145 / MAX(1, 'ProductSprint Backlog'!$J145-'ProductSprint Backlog'!$I145), AND('ProductSprint Backlog'!$J145=D$2,'ProductSprint Backlog'!$I145=D$2), 'ProductSprint Backlog'!$F145, TRUE, 0)</f>
        <v>0</v>
      </c>
      <c r="E145" s="4" cm="1">
        <f t="array" ref="E145">_xlfn.IFS('ProductSprint Backlog'!$F145="", "", AND('ProductSprint Backlog'!$J145&gt;E$2,'ProductSprint Backlog'!$I145&lt;=E$2), 'ProductSprint Backlog'!$F145 / MAX(1, 'ProductSprint Backlog'!$J145-'ProductSprint Backlog'!$I145), AND('ProductSprint Backlog'!$J145=E$2,'ProductSprint Backlog'!$I145=E$2), 'ProductSprint Backlog'!$F145, TRUE, 0)</f>
        <v>0</v>
      </c>
      <c r="F145" s="4" cm="1">
        <f t="array" ref="F145">_xlfn.IFS('ProductSprint Backlog'!$F145="", "", AND('ProductSprint Backlog'!$J145&gt;F$2,'ProductSprint Backlog'!$I145&lt;=F$2), 'ProductSprint Backlog'!$F145 / MAX(1, 'ProductSprint Backlog'!$J145-'ProductSprint Backlog'!$I145), AND('ProductSprint Backlog'!$J145=F$2,'ProductSprint Backlog'!$I145=F$2), 'ProductSprint Backlog'!$F145, TRUE, 0)</f>
        <v>0</v>
      </c>
      <c r="G145" s="4" cm="1">
        <f t="array" ref="G145">_xlfn.IFS('ProductSprint Backlog'!$F145="", "", AND('ProductSprint Backlog'!$J145&gt;G$2,'ProductSprint Backlog'!$I145&lt;=G$2), 'ProductSprint Backlog'!$F145 / MAX(1, 'ProductSprint Backlog'!$J145-'ProductSprint Backlog'!$I145), AND('ProductSprint Backlog'!$J145=G$2,'ProductSprint Backlog'!$I145=G$2), 'ProductSprint Backlog'!$F145, TRUE, 0)</f>
        <v>0</v>
      </c>
      <c r="H145" s="4" cm="1">
        <f t="array" ref="H145">_xlfn.IFS('ProductSprint Backlog'!$F145="", "", AND('ProductSprint Backlog'!$J145&gt;H$2,'ProductSprint Backlog'!$I145&lt;=H$2), 'ProductSprint Backlog'!$F145 / MAX(1, 'ProductSprint Backlog'!$J145-'ProductSprint Backlog'!$I145), AND('ProductSprint Backlog'!$J145=H$2,'ProductSprint Backlog'!$I145=H$2), 'ProductSprint Backlog'!$F145, TRUE, 0)</f>
        <v>0</v>
      </c>
      <c r="I145" s="4" cm="1">
        <f t="array" ref="I145">_xlfn.IFS('ProductSprint Backlog'!$F145="", "", AND('ProductSprint Backlog'!$J145&gt;I$2,'ProductSprint Backlog'!$I145&lt;=I$2), 'ProductSprint Backlog'!$F145 / MAX(1, 'ProductSprint Backlog'!$J145-'ProductSprint Backlog'!$I145), AND('ProductSprint Backlog'!$J145=I$2,'ProductSprint Backlog'!$I145=I$2), 'ProductSprint Backlog'!$F145, TRUE, 0)</f>
        <v>0</v>
      </c>
      <c r="J145" s="4" cm="1">
        <f t="array" ref="J145">_xlfn.IFS('ProductSprint Backlog'!$F145="", "", AND('ProductSprint Backlog'!$J145&gt;J$2,'ProductSprint Backlog'!$I145&lt;=J$2), 'ProductSprint Backlog'!$F145 / MAX(1, 'ProductSprint Backlog'!$J145-'ProductSprint Backlog'!$I145), AND('ProductSprint Backlog'!$J145=J$2,'ProductSprint Backlog'!$I145=J$2), 'ProductSprint Backlog'!$F145, TRUE, 0)</f>
        <v>0</v>
      </c>
    </row>
    <row r="146" spans="2:10" x14ac:dyDescent="0.2">
      <c r="B146" s="4" cm="1">
        <f t="array" ref="B146">_xlfn.IFS('ProductSprint Backlog'!$F146="", "", AND('ProductSprint Backlog'!$J146&gt;B$2,'ProductSprint Backlog'!$I146&lt;=B$2), 'ProductSprint Backlog'!$F146 / MAX(1, 'ProductSprint Backlog'!$J146-'ProductSprint Backlog'!$I146), AND('ProductSprint Backlog'!$J146=B$2,'ProductSprint Backlog'!$I146=B$2), 'ProductSprint Backlog'!$F146, TRUE, 0)</f>
        <v>0</v>
      </c>
      <c r="C146" s="4" cm="1">
        <f t="array" ref="C146">_xlfn.IFS('ProductSprint Backlog'!$F146="", "", AND('ProductSprint Backlog'!$J146&gt;C$2,'ProductSprint Backlog'!$I146&lt;=C$2), 'ProductSprint Backlog'!$F146 / MAX(1, 'ProductSprint Backlog'!$J146-'ProductSprint Backlog'!$I146), AND('ProductSprint Backlog'!$J146=C$2,'ProductSprint Backlog'!$I146=C$2), 'ProductSprint Backlog'!$F146, TRUE, 0)</f>
        <v>0</v>
      </c>
      <c r="D146" s="4" cm="1">
        <f t="array" ref="D146">_xlfn.IFS('ProductSprint Backlog'!$F146="", "", AND('ProductSprint Backlog'!$J146&gt;D$2,'ProductSprint Backlog'!$I146&lt;=D$2), 'ProductSprint Backlog'!$F146 / MAX(1, 'ProductSprint Backlog'!$J146-'ProductSprint Backlog'!$I146), AND('ProductSprint Backlog'!$J146=D$2,'ProductSprint Backlog'!$I146=D$2), 'ProductSprint Backlog'!$F146, TRUE, 0)</f>
        <v>0</v>
      </c>
      <c r="E146" s="4" cm="1">
        <f t="array" ref="E146">_xlfn.IFS('ProductSprint Backlog'!$F146="", "", AND('ProductSprint Backlog'!$J146&gt;E$2,'ProductSprint Backlog'!$I146&lt;=E$2), 'ProductSprint Backlog'!$F146 / MAX(1, 'ProductSprint Backlog'!$J146-'ProductSprint Backlog'!$I146), AND('ProductSprint Backlog'!$J146=E$2,'ProductSprint Backlog'!$I146=E$2), 'ProductSprint Backlog'!$F146, TRUE, 0)</f>
        <v>0</v>
      </c>
      <c r="F146" s="4" cm="1">
        <f t="array" ref="F146">_xlfn.IFS('ProductSprint Backlog'!$F146="", "", AND('ProductSprint Backlog'!$J146&gt;F$2,'ProductSprint Backlog'!$I146&lt;=F$2), 'ProductSprint Backlog'!$F146 / MAX(1, 'ProductSprint Backlog'!$J146-'ProductSprint Backlog'!$I146), AND('ProductSprint Backlog'!$J146=F$2,'ProductSprint Backlog'!$I146=F$2), 'ProductSprint Backlog'!$F146, TRUE, 0)</f>
        <v>0</v>
      </c>
      <c r="G146" s="4" cm="1">
        <f t="array" ref="G146">_xlfn.IFS('ProductSprint Backlog'!$F146="", "", AND('ProductSprint Backlog'!$J146&gt;G$2,'ProductSprint Backlog'!$I146&lt;=G$2), 'ProductSprint Backlog'!$F146 / MAX(1, 'ProductSprint Backlog'!$J146-'ProductSprint Backlog'!$I146), AND('ProductSprint Backlog'!$J146=G$2,'ProductSprint Backlog'!$I146=G$2), 'ProductSprint Backlog'!$F146, TRUE, 0)</f>
        <v>0</v>
      </c>
      <c r="H146" s="4" cm="1">
        <f t="array" ref="H146">_xlfn.IFS('ProductSprint Backlog'!$F146="", "", AND('ProductSprint Backlog'!$J146&gt;H$2,'ProductSprint Backlog'!$I146&lt;=H$2), 'ProductSprint Backlog'!$F146 / MAX(1, 'ProductSprint Backlog'!$J146-'ProductSprint Backlog'!$I146), AND('ProductSprint Backlog'!$J146=H$2,'ProductSprint Backlog'!$I146=H$2), 'ProductSprint Backlog'!$F146, TRUE, 0)</f>
        <v>0</v>
      </c>
      <c r="I146" s="4" cm="1">
        <f t="array" ref="I146">_xlfn.IFS('ProductSprint Backlog'!$F146="", "", AND('ProductSprint Backlog'!$J146&gt;I$2,'ProductSprint Backlog'!$I146&lt;=I$2), 'ProductSprint Backlog'!$F146 / MAX(1, 'ProductSprint Backlog'!$J146-'ProductSprint Backlog'!$I146), AND('ProductSprint Backlog'!$J146=I$2,'ProductSprint Backlog'!$I146=I$2), 'ProductSprint Backlog'!$F146, TRUE, 0)</f>
        <v>0</v>
      </c>
      <c r="J146" s="4" cm="1">
        <f t="array" ref="J146">_xlfn.IFS('ProductSprint Backlog'!$F146="", "", AND('ProductSprint Backlog'!$J146&gt;J$2,'ProductSprint Backlog'!$I146&lt;=J$2), 'ProductSprint Backlog'!$F146 / MAX(1, 'ProductSprint Backlog'!$J146-'ProductSprint Backlog'!$I146), AND('ProductSprint Backlog'!$J146=J$2,'ProductSprint Backlog'!$I146=J$2), 'ProductSprint Backlog'!$F146, TRUE, 0)</f>
        <v>0</v>
      </c>
    </row>
    <row r="147" spans="2:10" x14ac:dyDescent="0.2">
      <c r="B147" s="4" cm="1">
        <f t="array" ref="B147">_xlfn.IFS('ProductSprint Backlog'!$F147="", "", AND('ProductSprint Backlog'!$J147&gt;B$2,'ProductSprint Backlog'!$I147&lt;=B$2), 'ProductSprint Backlog'!$F147 / MAX(1, 'ProductSprint Backlog'!$J147-'ProductSprint Backlog'!$I147), AND('ProductSprint Backlog'!$J147=B$2,'ProductSprint Backlog'!$I147=B$2), 'ProductSprint Backlog'!$F147, TRUE, 0)</f>
        <v>0</v>
      </c>
      <c r="C147" s="4" cm="1">
        <f t="array" ref="C147">_xlfn.IFS('ProductSprint Backlog'!$F147="", "", AND('ProductSprint Backlog'!$J147&gt;C$2,'ProductSprint Backlog'!$I147&lt;=C$2), 'ProductSprint Backlog'!$F147 / MAX(1, 'ProductSprint Backlog'!$J147-'ProductSprint Backlog'!$I147), AND('ProductSprint Backlog'!$J147=C$2,'ProductSprint Backlog'!$I147=C$2), 'ProductSprint Backlog'!$F147, TRUE, 0)</f>
        <v>0</v>
      </c>
      <c r="D147" s="4" cm="1">
        <f t="array" ref="D147">_xlfn.IFS('ProductSprint Backlog'!$F147="", "", AND('ProductSprint Backlog'!$J147&gt;D$2,'ProductSprint Backlog'!$I147&lt;=D$2), 'ProductSprint Backlog'!$F147 / MAX(1, 'ProductSprint Backlog'!$J147-'ProductSprint Backlog'!$I147), AND('ProductSprint Backlog'!$J147=D$2,'ProductSprint Backlog'!$I147=D$2), 'ProductSprint Backlog'!$F147, TRUE, 0)</f>
        <v>0</v>
      </c>
      <c r="E147" s="4" cm="1">
        <f t="array" ref="E147">_xlfn.IFS('ProductSprint Backlog'!$F147="", "", AND('ProductSprint Backlog'!$J147&gt;E$2,'ProductSprint Backlog'!$I147&lt;=E$2), 'ProductSprint Backlog'!$F147 / MAX(1, 'ProductSprint Backlog'!$J147-'ProductSprint Backlog'!$I147), AND('ProductSprint Backlog'!$J147=E$2,'ProductSprint Backlog'!$I147=E$2), 'ProductSprint Backlog'!$F147, TRUE, 0)</f>
        <v>0</v>
      </c>
      <c r="F147" s="4" cm="1">
        <f t="array" ref="F147">_xlfn.IFS('ProductSprint Backlog'!$F147="", "", AND('ProductSprint Backlog'!$J147&gt;F$2,'ProductSprint Backlog'!$I147&lt;=F$2), 'ProductSprint Backlog'!$F147 / MAX(1, 'ProductSprint Backlog'!$J147-'ProductSprint Backlog'!$I147), AND('ProductSprint Backlog'!$J147=F$2,'ProductSprint Backlog'!$I147=F$2), 'ProductSprint Backlog'!$F147, TRUE, 0)</f>
        <v>0</v>
      </c>
      <c r="G147" s="4" cm="1">
        <f t="array" ref="G147">_xlfn.IFS('ProductSprint Backlog'!$F147="", "", AND('ProductSprint Backlog'!$J147&gt;G$2,'ProductSprint Backlog'!$I147&lt;=G$2), 'ProductSprint Backlog'!$F147 / MAX(1, 'ProductSprint Backlog'!$J147-'ProductSprint Backlog'!$I147), AND('ProductSprint Backlog'!$J147=G$2,'ProductSprint Backlog'!$I147=G$2), 'ProductSprint Backlog'!$F147, TRUE, 0)</f>
        <v>0</v>
      </c>
      <c r="H147" s="4" cm="1">
        <f t="array" ref="H147">_xlfn.IFS('ProductSprint Backlog'!$F147="", "", AND('ProductSprint Backlog'!$J147&gt;H$2,'ProductSprint Backlog'!$I147&lt;=H$2), 'ProductSprint Backlog'!$F147 / MAX(1, 'ProductSprint Backlog'!$J147-'ProductSprint Backlog'!$I147), AND('ProductSprint Backlog'!$J147=H$2,'ProductSprint Backlog'!$I147=H$2), 'ProductSprint Backlog'!$F147, TRUE, 0)</f>
        <v>0</v>
      </c>
      <c r="I147" s="4" cm="1">
        <f t="array" ref="I147">_xlfn.IFS('ProductSprint Backlog'!$F147="", "", AND('ProductSprint Backlog'!$J147&gt;I$2,'ProductSprint Backlog'!$I147&lt;=I$2), 'ProductSprint Backlog'!$F147 / MAX(1, 'ProductSprint Backlog'!$J147-'ProductSprint Backlog'!$I147), AND('ProductSprint Backlog'!$J147=I$2,'ProductSprint Backlog'!$I147=I$2), 'ProductSprint Backlog'!$F147, TRUE, 0)</f>
        <v>0</v>
      </c>
      <c r="J147" s="4" cm="1">
        <f t="array" ref="J147">_xlfn.IFS('ProductSprint Backlog'!$F147="", "", AND('ProductSprint Backlog'!$J147&gt;J$2,'ProductSprint Backlog'!$I147&lt;=J$2), 'ProductSprint Backlog'!$F147 / MAX(1, 'ProductSprint Backlog'!$J147-'ProductSprint Backlog'!$I147), AND('ProductSprint Backlog'!$J147=J$2,'ProductSprint Backlog'!$I147=J$2), 'ProductSprint Backlog'!$F147, TRUE, 0)</f>
        <v>0</v>
      </c>
    </row>
    <row r="148" spans="2:10" x14ac:dyDescent="0.2">
      <c r="B148" s="4" cm="1">
        <f t="array" ref="B148">_xlfn.IFS('ProductSprint Backlog'!$F148="", "", AND('ProductSprint Backlog'!$J148&gt;B$2,'ProductSprint Backlog'!$I148&lt;=B$2), 'ProductSprint Backlog'!$F148 / MAX(1, 'ProductSprint Backlog'!$J148-'ProductSprint Backlog'!$I148), AND('ProductSprint Backlog'!$J148=B$2,'ProductSprint Backlog'!$I148=B$2), 'ProductSprint Backlog'!$F148, TRUE, 0)</f>
        <v>0</v>
      </c>
      <c r="C148" s="4" cm="1">
        <f t="array" ref="C148">_xlfn.IFS('ProductSprint Backlog'!$F148="", "", AND('ProductSprint Backlog'!$J148&gt;C$2,'ProductSprint Backlog'!$I148&lt;=C$2), 'ProductSprint Backlog'!$F148 / MAX(1, 'ProductSprint Backlog'!$J148-'ProductSprint Backlog'!$I148), AND('ProductSprint Backlog'!$J148=C$2,'ProductSprint Backlog'!$I148=C$2), 'ProductSprint Backlog'!$F148, TRUE, 0)</f>
        <v>0</v>
      </c>
      <c r="D148" s="4" cm="1">
        <f t="array" ref="D148">_xlfn.IFS('ProductSprint Backlog'!$F148="", "", AND('ProductSprint Backlog'!$J148&gt;D$2,'ProductSprint Backlog'!$I148&lt;=D$2), 'ProductSprint Backlog'!$F148 / MAX(1, 'ProductSprint Backlog'!$J148-'ProductSprint Backlog'!$I148), AND('ProductSprint Backlog'!$J148=D$2,'ProductSprint Backlog'!$I148=D$2), 'ProductSprint Backlog'!$F148, TRUE, 0)</f>
        <v>0</v>
      </c>
      <c r="E148" s="4" cm="1">
        <f t="array" ref="E148">_xlfn.IFS('ProductSprint Backlog'!$F148="", "", AND('ProductSprint Backlog'!$J148&gt;E$2,'ProductSprint Backlog'!$I148&lt;=E$2), 'ProductSprint Backlog'!$F148 / MAX(1, 'ProductSprint Backlog'!$J148-'ProductSprint Backlog'!$I148), AND('ProductSprint Backlog'!$J148=E$2,'ProductSprint Backlog'!$I148=E$2), 'ProductSprint Backlog'!$F148, TRUE, 0)</f>
        <v>0</v>
      </c>
      <c r="F148" s="4" cm="1">
        <f t="array" ref="F148">_xlfn.IFS('ProductSprint Backlog'!$F148="", "", AND('ProductSprint Backlog'!$J148&gt;F$2,'ProductSprint Backlog'!$I148&lt;=F$2), 'ProductSprint Backlog'!$F148 / MAX(1, 'ProductSprint Backlog'!$J148-'ProductSprint Backlog'!$I148), AND('ProductSprint Backlog'!$J148=F$2,'ProductSprint Backlog'!$I148=F$2), 'ProductSprint Backlog'!$F148, TRUE, 0)</f>
        <v>0</v>
      </c>
      <c r="G148" s="4" cm="1">
        <f t="array" ref="G148">_xlfn.IFS('ProductSprint Backlog'!$F148="", "", AND('ProductSprint Backlog'!$J148&gt;G$2,'ProductSprint Backlog'!$I148&lt;=G$2), 'ProductSprint Backlog'!$F148 / MAX(1, 'ProductSprint Backlog'!$J148-'ProductSprint Backlog'!$I148), AND('ProductSprint Backlog'!$J148=G$2,'ProductSprint Backlog'!$I148=G$2), 'ProductSprint Backlog'!$F148, TRUE, 0)</f>
        <v>0</v>
      </c>
      <c r="H148" s="4" cm="1">
        <f t="array" ref="H148">_xlfn.IFS('ProductSprint Backlog'!$F148="", "", AND('ProductSprint Backlog'!$J148&gt;H$2,'ProductSprint Backlog'!$I148&lt;=H$2), 'ProductSprint Backlog'!$F148 / MAX(1, 'ProductSprint Backlog'!$J148-'ProductSprint Backlog'!$I148), AND('ProductSprint Backlog'!$J148=H$2,'ProductSprint Backlog'!$I148=H$2), 'ProductSprint Backlog'!$F148, TRUE, 0)</f>
        <v>0</v>
      </c>
      <c r="I148" s="4" cm="1">
        <f t="array" ref="I148">_xlfn.IFS('ProductSprint Backlog'!$F148="", "", AND('ProductSprint Backlog'!$J148&gt;I$2,'ProductSprint Backlog'!$I148&lt;=I$2), 'ProductSprint Backlog'!$F148 / MAX(1, 'ProductSprint Backlog'!$J148-'ProductSprint Backlog'!$I148), AND('ProductSprint Backlog'!$J148=I$2,'ProductSprint Backlog'!$I148=I$2), 'ProductSprint Backlog'!$F148, TRUE, 0)</f>
        <v>0</v>
      </c>
      <c r="J148" s="4" cm="1">
        <f t="array" ref="J148">_xlfn.IFS('ProductSprint Backlog'!$F148="", "", AND('ProductSprint Backlog'!$J148&gt;J$2,'ProductSprint Backlog'!$I148&lt;=J$2), 'ProductSprint Backlog'!$F148 / MAX(1, 'ProductSprint Backlog'!$J148-'ProductSprint Backlog'!$I148), AND('ProductSprint Backlog'!$J148=J$2,'ProductSprint Backlog'!$I148=J$2), 'ProductSprint Backlog'!$F148, TRUE, 0)</f>
        <v>0</v>
      </c>
    </row>
    <row r="149" spans="2:10" x14ac:dyDescent="0.2">
      <c r="B149" s="4" cm="1">
        <f t="array" ref="B149">_xlfn.IFS('ProductSprint Backlog'!$F149="", "", AND('ProductSprint Backlog'!$J149&gt;B$2,'ProductSprint Backlog'!$I149&lt;=B$2), 'ProductSprint Backlog'!$F149 / MAX(1, 'ProductSprint Backlog'!$J149-'ProductSprint Backlog'!$I149), AND('ProductSprint Backlog'!$J149=B$2,'ProductSprint Backlog'!$I149=B$2), 'ProductSprint Backlog'!$F149, TRUE, 0)</f>
        <v>0</v>
      </c>
      <c r="C149" s="4" cm="1">
        <f t="array" ref="C149">_xlfn.IFS('ProductSprint Backlog'!$F149="", "", AND('ProductSprint Backlog'!$J149&gt;C$2,'ProductSprint Backlog'!$I149&lt;=C$2), 'ProductSprint Backlog'!$F149 / MAX(1, 'ProductSprint Backlog'!$J149-'ProductSprint Backlog'!$I149), AND('ProductSprint Backlog'!$J149=C$2,'ProductSprint Backlog'!$I149=C$2), 'ProductSprint Backlog'!$F149, TRUE, 0)</f>
        <v>0</v>
      </c>
      <c r="D149" s="4" cm="1">
        <f t="array" ref="D149">_xlfn.IFS('ProductSprint Backlog'!$F149="", "", AND('ProductSprint Backlog'!$J149&gt;D$2,'ProductSprint Backlog'!$I149&lt;=D$2), 'ProductSprint Backlog'!$F149 / MAX(1, 'ProductSprint Backlog'!$J149-'ProductSprint Backlog'!$I149), AND('ProductSprint Backlog'!$J149=D$2,'ProductSprint Backlog'!$I149=D$2), 'ProductSprint Backlog'!$F149, TRUE, 0)</f>
        <v>0</v>
      </c>
      <c r="E149" s="4" cm="1">
        <f t="array" ref="E149">_xlfn.IFS('ProductSprint Backlog'!$F149="", "", AND('ProductSprint Backlog'!$J149&gt;E$2,'ProductSprint Backlog'!$I149&lt;=E$2), 'ProductSprint Backlog'!$F149 / MAX(1, 'ProductSprint Backlog'!$J149-'ProductSprint Backlog'!$I149), AND('ProductSprint Backlog'!$J149=E$2,'ProductSprint Backlog'!$I149=E$2), 'ProductSprint Backlog'!$F149, TRUE, 0)</f>
        <v>0</v>
      </c>
      <c r="F149" s="4" cm="1">
        <f t="array" ref="F149">_xlfn.IFS('ProductSprint Backlog'!$F149="", "", AND('ProductSprint Backlog'!$J149&gt;F$2,'ProductSprint Backlog'!$I149&lt;=F$2), 'ProductSprint Backlog'!$F149 / MAX(1, 'ProductSprint Backlog'!$J149-'ProductSprint Backlog'!$I149), AND('ProductSprint Backlog'!$J149=F$2,'ProductSprint Backlog'!$I149=F$2), 'ProductSprint Backlog'!$F149, TRUE, 0)</f>
        <v>0</v>
      </c>
      <c r="G149" s="4" cm="1">
        <f t="array" ref="G149">_xlfn.IFS('ProductSprint Backlog'!$F149="", "", AND('ProductSprint Backlog'!$J149&gt;G$2,'ProductSprint Backlog'!$I149&lt;=G$2), 'ProductSprint Backlog'!$F149 / MAX(1, 'ProductSprint Backlog'!$J149-'ProductSprint Backlog'!$I149), AND('ProductSprint Backlog'!$J149=G$2,'ProductSprint Backlog'!$I149=G$2), 'ProductSprint Backlog'!$F149, TRUE, 0)</f>
        <v>0</v>
      </c>
      <c r="H149" s="4" cm="1">
        <f t="array" ref="H149">_xlfn.IFS('ProductSprint Backlog'!$F149="", "", AND('ProductSprint Backlog'!$J149&gt;H$2,'ProductSprint Backlog'!$I149&lt;=H$2), 'ProductSprint Backlog'!$F149 / MAX(1, 'ProductSprint Backlog'!$J149-'ProductSprint Backlog'!$I149), AND('ProductSprint Backlog'!$J149=H$2,'ProductSprint Backlog'!$I149=H$2), 'ProductSprint Backlog'!$F149, TRUE, 0)</f>
        <v>0</v>
      </c>
      <c r="I149" s="4" cm="1">
        <f t="array" ref="I149">_xlfn.IFS('ProductSprint Backlog'!$F149="", "", AND('ProductSprint Backlog'!$J149&gt;I$2,'ProductSprint Backlog'!$I149&lt;=I$2), 'ProductSprint Backlog'!$F149 / MAX(1, 'ProductSprint Backlog'!$J149-'ProductSprint Backlog'!$I149), AND('ProductSprint Backlog'!$J149=I$2,'ProductSprint Backlog'!$I149=I$2), 'ProductSprint Backlog'!$F149, TRUE, 0)</f>
        <v>0</v>
      </c>
      <c r="J149" s="4" cm="1">
        <f t="array" ref="J149">_xlfn.IFS('ProductSprint Backlog'!$F149="", "", AND('ProductSprint Backlog'!$J149&gt;J$2,'ProductSprint Backlog'!$I149&lt;=J$2), 'ProductSprint Backlog'!$F149 / MAX(1, 'ProductSprint Backlog'!$J149-'ProductSprint Backlog'!$I149), AND('ProductSprint Backlog'!$J149=J$2,'ProductSprint Backlog'!$I149=J$2), 'ProductSprint Backlog'!$F149, TRUE, 0)</f>
        <v>0</v>
      </c>
    </row>
    <row r="150" spans="2:10" x14ac:dyDescent="0.2">
      <c r="B150" s="4" cm="1">
        <f t="array" ref="B150">_xlfn.IFS('ProductSprint Backlog'!$F150="", "", AND('ProductSprint Backlog'!$J150&gt;B$2,'ProductSprint Backlog'!$I150&lt;=B$2), 'ProductSprint Backlog'!$F150 / MAX(1, 'ProductSprint Backlog'!$J150-'ProductSprint Backlog'!$I150), AND('ProductSprint Backlog'!$J150=B$2,'ProductSprint Backlog'!$I150=B$2), 'ProductSprint Backlog'!$F150, TRUE, 0)</f>
        <v>0</v>
      </c>
      <c r="C150" s="4" cm="1">
        <f t="array" ref="C150">_xlfn.IFS('ProductSprint Backlog'!$F150="", "", AND('ProductSprint Backlog'!$J150&gt;C$2,'ProductSprint Backlog'!$I150&lt;=C$2), 'ProductSprint Backlog'!$F150 / MAX(1, 'ProductSprint Backlog'!$J150-'ProductSprint Backlog'!$I150), AND('ProductSprint Backlog'!$J150=C$2,'ProductSprint Backlog'!$I150=C$2), 'ProductSprint Backlog'!$F150, TRUE, 0)</f>
        <v>0</v>
      </c>
      <c r="D150" s="4" cm="1">
        <f t="array" ref="D150">_xlfn.IFS('ProductSprint Backlog'!$F150="", "", AND('ProductSprint Backlog'!$J150&gt;D$2,'ProductSprint Backlog'!$I150&lt;=D$2), 'ProductSprint Backlog'!$F150 / MAX(1, 'ProductSprint Backlog'!$J150-'ProductSprint Backlog'!$I150), AND('ProductSprint Backlog'!$J150=D$2,'ProductSprint Backlog'!$I150=D$2), 'ProductSprint Backlog'!$F150, TRUE, 0)</f>
        <v>0</v>
      </c>
      <c r="E150" s="4" cm="1">
        <f t="array" ref="E150">_xlfn.IFS('ProductSprint Backlog'!$F150="", "", AND('ProductSprint Backlog'!$J150&gt;E$2,'ProductSprint Backlog'!$I150&lt;=E$2), 'ProductSprint Backlog'!$F150 / MAX(1, 'ProductSprint Backlog'!$J150-'ProductSprint Backlog'!$I150), AND('ProductSprint Backlog'!$J150=E$2,'ProductSprint Backlog'!$I150=E$2), 'ProductSprint Backlog'!$F150, TRUE, 0)</f>
        <v>0</v>
      </c>
      <c r="F150" s="4" cm="1">
        <f t="array" ref="F150">_xlfn.IFS('ProductSprint Backlog'!$F150="", "", AND('ProductSprint Backlog'!$J150&gt;F$2,'ProductSprint Backlog'!$I150&lt;=F$2), 'ProductSprint Backlog'!$F150 / MAX(1, 'ProductSprint Backlog'!$J150-'ProductSprint Backlog'!$I150), AND('ProductSprint Backlog'!$J150=F$2,'ProductSprint Backlog'!$I150=F$2), 'ProductSprint Backlog'!$F150, TRUE, 0)</f>
        <v>0</v>
      </c>
      <c r="G150" s="4" cm="1">
        <f t="array" ref="G150">_xlfn.IFS('ProductSprint Backlog'!$F150="", "", AND('ProductSprint Backlog'!$J150&gt;G$2,'ProductSprint Backlog'!$I150&lt;=G$2), 'ProductSprint Backlog'!$F150 / MAX(1, 'ProductSprint Backlog'!$J150-'ProductSprint Backlog'!$I150), AND('ProductSprint Backlog'!$J150=G$2,'ProductSprint Backlog'!$I150=G$2), 'ProductSprint Backlog'!$F150, TRUE, 0)</f>
        <v>0</v>
      </c>
      <c r="H150" s="4" cm="1">
        <f t="array" ref="H150">_xlfn.IFS('ProductSprint Backlog'!$F150="", "", AND('ProductSprint Backlog'!$J150&gt;H$2,'ProductSprint Backlog'!$I150&lt;=H$2), 'ProductSprint Backlog'!$F150 / MAX(1, 'ProductSprint Backlog'!$J150-'ProductSprint Backlog'!$I150), AND('ProductSprint Backlog'!$J150=H$2,'ProductSprint Backlog'!$I150=H$2), 'ProductSprint Backlog'!$F150, TRUE, 0)</f>
        <v>0</v>
      </c>
      <c r="I150" s="4" cm="1">
        <f t="array" ref="I150">_xlfn.IFS('ProductSprint Backlog'!$F150="", "", AND('ProductSprint Backlog'!$J150&gt;I$2,'ProductSprint Backlog'!$I150&lt;=I$2), 'ProductSprint Backlog'!$F150 / MAX(1, 'ProductSprint Backlog'!$J150-'ProductSprint Backlog'!$I150), AND('ProductSprint Backlog'!$J150=I$2,'ProductSprint Backlog'!$I150=I$2), 'ProductSprint Backlog'!$F150, TRUE, 0)</f>
        <v>0</v>
      </c>
      <c r="J150" s="4" cm="1">
        <f t="array" ref="J150">_xlfn.IFS('ProductSprint Backlog'!$F150="", "", AND('ProductSprint Backlog'!$J150&gt;J$2,'ProductSprint Backlog'!$I150&lt;=J$2), 'ProductSprint Backlog'!$F150 / MAX(1, 'ProductSprint Backlog'!$J150-'ProductSprint Backlog'!$I150), AND('ProductSprint Backlog'!$J150=J$2,'ProductSprint Backlog'!$I150=J$2), 'ProductSprint Backlog'!$F150, TRUE, 0)</f>
        <v>0</v>
      </c>
    </row>
    <row r="151" spans="2:10" x14ac:dyDescent="0.2">
      <c r="B151" s="4" cm="1">
        <f t="array" ref="B151">_xlfn.IFS('ProductSprint Backlog'!$F151="", "", AND('ProductSprint Backlog'!$J151&gt;B$2,'ProductSprint Backlog'!$I151&lt;=B$2), 'ProductSprint Backlog'!$F151 / MAX(1, 'ProductSprint Backlog'!$J151-'ProductSprint Backlog'!$I151), AND('ProductSprint Backlog'!$J151=B$2,'ProductSprint Backlog'!$I151=B$2), 'ProductSprint Backlog'!$F151, TRUE, 0)</f>
        <v>0</v>
      </c>
      <c r="C151" s="4" cm="1">
        <f t="array" ref="C151">_xlfn.IFS('ProductSprint Backlog'!$F151="", "", AND('ProductSprint Backlog'!$J151&gt;C$2,'ProductSprint Backlog'!$I151&lt;=C$2), 'ProductSprint Backlog'!$F151 / MAX(1, 'ProductSprint Backlog'!$J151-'ProductSprint Backlog'!$I151), AND('ProductSprint Backlog'!$J151=C$2,'ProductSprint Backlog'!$I151=C$2), 'ProductSprint Backlog'!$F151, TRUE, 0)</f>
        <v>0</v>
      </c>
      <c r="D151" s="4" cm="1">
        <f t="array" ref="D151">_xlfn.IFS('ProductSprint Backlog'!$F151="", "", AND('ProductSprint Backlog'!$J151&gt;D$2,'ProductSprint Backlog'!$I151&lt;=D$2), 'ProductSprint Backlog'!$F151 / MAX(1, 'ProductSprint Backlog'!$J151-'ProductSprint Backlog'!$I151), AND('ProductSprint Backlog'!$J151=D$2,'ProductSprint Backlog'!$I151=D$2), 'ProductSprint Backlog'!$F151, TRUE, 0)</f>
        <v>0</v>
      </c>
      <c r="E151" s="4" cm="1">
        <f t="array" ref="E151">_xlfn.IFS('ProductSprint Backlog'!$F151="", "", AND('ProductSprint Backlog'!$J151&gt;E$2,'ProductSprint Backlog'!$I151&lt;=E$2), 'ProductSprint Backlog'!$F151 / MAX(1, 'ProductSprint Backlog'!$J151-'ProductSprint Backlog'!$I151), AND('ProductSprint Backlog'!$J151=E$2,'ProductSprint Backlog'!$I151=E$2), 'ProductSprint Backlog'!$F151, TRUE, 0)</f>
        <v>0</v>
      </c>
      <c r="F151" s="4" cm="1">
        <f t="array" ref="F151">_xlfn.IFS('ProductSprint Backlog'!$F151="", "", AND('ProductSprint Backlog'!$J151&gt;F$2,'ProductSprint Backlog'!$I151&lt;=F$2), 'ProductSprint Backlog'!$F151 / MAX(1, 'ProductSprint Backlog'!$J151-'ProductSprint Backlog'!$I151), AND('ProductSprint Backlog'!$J151=F$2,'ProductSprint Backlog'!$I151=F$2), 'ProductSprint Backlog'!$F151, TRUE, 0)</f>
        <v>0</v>
      </c>
      <c r="G151" s="4" cm="1">
        <f t="array" ref="G151">_xlfn.IFS('ProductSprint Backlog'!$F151="", "", AND('ProductSprint Backlog'!$J151&gt;G$2,'ProductSprint Backlog'!$I151&lt;=G$2), 'ProductSprint Backlog'!$F151 / MAX(1, 'ProductSprint Backlog'!$J151-'ProductSprint Backlog'!$I151), AND('ProductSprint Backlog'!$J151=G$2,'ProductSprint Backlog'!$I151=G$2), 'ProductSprint Backlog'!$F151, TRUE, 0)</f>
        <v>0</v>
      </c>
      <c r="H151" s="4" cm="1">
        <f t="array" ref="H151">_xlfn.IFS('ProductSprint Backlog'!$F151="", "", AND('ProductSprint Backlog'!$J151&gt;H$2,'ProductSprint Backlog'!$I151&lt;=H$2), 'ProductSprint Backlog'!$F151 / MAX(1, 'ProductSprint Backlog'!$J151-'ProductSprint Backlog'!$I151), AND('ProductSprint Backlog'!$J151=H$2,'ProductSprint Backlog'!$I151=H$2), 'ProductSprint Backlog'!$F151, TRUE, 0)</f>
        <v>0</v>
      </c>
      <c r="I151" s="4" cm="1">
        <f t="array" ref="I151">_xlfn.IFS('ProductSprint Backlog'!$F151="", "", AND('ProductSprint Backlog'!$J151&gt;I$2,'ProductSprint Backlog'!$I151&lt;=I$2), 'ProductSprint Backlog'!$F151 / MAX(1, 'ProductSprint Backlog'!$J151-'ProductSprint Backlog'!$I151), AND('ProductSprint Backlog'!$J151=I$2,'ProductSprint Backlog'!$I151=I$2), 'ProductSprint Backlog'!$F151, TRUE, 0)</f>
        <v>0</v>
      </c>
      <c r="J151" s="4" cm="1">
        <f t="array" ref="J151">_xlfn.IFS('ProductSprint Backlog'!$F151="", "", AND('ProductSprint Backlog'!$J151&gt;J$2,'ProductSprint Backlog'!$I151&lt;=J$2), 'ProductSprint Backlog'!$F151 / MAX(1, 'ProductSprint Backlog'!$J151-'ProductSprint Backlog'!$I151), AND('ProductSprint Backlog'!$J151=J$2,'ProductSprint Backlog'!$I151=J$2), 'ProductSprint Backlog'!$F151, TRUE, 0)</f>
        <v>0</v>
      </c>
    </row>
    <row r="152" spans="2:10" x14ac:dyDescent="0.2">
      <c r="B152" s="4" cm="1">
        <f t="array" ref="B152">_xlfn.IFS('ProductSprint Backlog'!$F152="", "", AND('ProductSprint Backlog'!$J152&gt;B$2,'ProductSprint Backlog'!$I152&lt;=B$2), 'ProductSprint Backlog'!$F152 / MAX(1, 'ProductSprint Backlog'!$J152-'ProductSprint Backlog'!$I152), AND('ProductSprint Backlog'!$J152=B$2,'ProductSprint Backlog'!$I152=B$2), 'ProductSprint Backlog'!$F152, TRUE, 0)</f>
        <v>0</v>
      </c>
      <c r="C152" s="4" cm="1">
        <f t="array" ref="C152">_xlfn.IFS('ProductSprint Backlog'!$F152="", "", AND('ProductSprint Backlog'!$J152&gt;C$2,'ProductSprint Backlog'!$I152&lt;=C$2), 'ProductSprint Backlog'!$F152 / MAX(1, 'ProductSprint Backlog'!$J152-'ProductSprint Backlog'!$I152), AND('ProductSprint Backlog'!$J152=C$2,'ProductSprint Backlog'!$I152=C$2), 'ProductSprint Backlog'!$F152, TRUE, 0)</f>
        <v>0</v>
      </c>
      <c r="D152" s="4" cm="1">
        <f t="array" ref="D152">_xlfn.IFS('ProductSprint Backlog'!$F152="", "", AND('ProductSprint Backlog'!$J152&gt;D$2,'ProductSprint Backlog'!$I152&lt;=D$2), 'ProductSprint Backlog'!$F152 / MAX(1, 'ProductSprint Backlog'!$J152-'ProductSprint Backlog'!$I152), AND('ProductSprint Backlog'!$J152=D$2,'ProductSprint Backlog'!$I152=D$2), 'ProductSprint Backlog'!$F152, TRUE, 0)</f>
        <v>0</v>
      </c>
      <c r="E152" s="4" cm="1">
        <f t="array" ref="E152">_xlfn.IFS('ProductSprint Backlog'!$F152="", "", AND('ProductSprint Backlog'!$J152&gt;E$2,'ProductSprint Backlog'!$I152&lt;=E$2), 'ProductSprint Backlog'!$F152 / MAX(1, 'ProductSprint Backlog'!$J152-'ProductSprint Backlog'!$I152), AND('ProductSprint Backlog'!$J152=E$2,'ProductSprint Backlog'!$I152=E$2), 'ProductSprint Backlog'!$F152, TRUE, 0)</f>
        <v>0</v>
      </c>
      <c r="F152" s="4" cm="1">
        <f t="array" ref="F152">_xlfn.IFS('ProductSprint Backlog'!$F152="", "", AND('ProductSprint Backlog'!$J152&gt;F$2,'ProductSprint Backlog'!$I152&lt;=F$2), 'ProductSprint Backlog'!$F152 / MAX(1, 'ProductSprint Backlog'!$J152-'ProductSprint Backlog'!$I152), AND('ProductSprint Backlog'!$J152=F$2,'ProductSprint Backlog'!$I152=F$2), 'ProductSprint Backlog'!$F152, TRUE, 0)</f>
        <v>0</v>
      </c>
      <c r="G152" s="4" cm="1">
        <f t="array" ref="G152">_xlfn.IFS('ProductSprint Backlog'!$F152="", "", AND('ProductSprint Backlog'!$J152&gt;G$2,'ProductSprint Backlog'!$I152&lt;=G$2), 'ProductSprint Backlog'!$F152 / MAX(1, 'ProductSprint Backlog'!$J152-'ProductSprint Backlog'!$I152), AND('ProductSprint Backlog'!$J152=G$2,'ProductSprint Backlog'!$I152=G$2), 'ProductSprint Backlog'!$F152, TRUE, 0)</f>
        <v>0</v>
      </c>
      <c r="H152" s="4" cm="1">
        <f t="array" ref="H152">_xlfn.IFS('ProductSprint Backlog'!$F152="", "", AND('ProductSprint Backlog'!$J152&gt;H$2,'ProductSprint Backlog'!$I152&lt;=H$2), 'ProductSprint Backlog'!$F152 / MAX(1, 'ProductSprint Backlog'!$J152-'ProductSprint Backlog'!$I152), AND('ProductSprint Backlog'!$J152=H$2,'ProductSprint Backlog'!$I152=H$2), 'ProductSprint Backlog'!$F152, TRUE, 0)</f>
        <v>0</v>
      </c>
      <c r="I152" s="4" cm="1">
        <f t="array" ref="I152">_xlfn.IFS('ProductSprint Backlog'!$F152="", "", AND('ProductSprint Backlog'!$J152&gt;I$2,'ProductSprint Backlog'!$I152&lt;=I$2), 'ProductSprint Backlog'!$F152 / MAX(1, 'ProductSprint Backlog'!$J152-'ProductSprint Backlog'!$I152), AND('ProductSprint Backlog'!$J152=I$2,'ProductSprint Backlog'!$I152=I$2), 'ProductSprint Backlog'!$F152, TRUE, 0)</f>
        <v>0</v>
      </c>
      <c r="J152" s="4" cm="1">
        <f t="array" ref="J152">_xlfn.IFS('ProductSprint Backlog'!$F152="", "", AND('ProductSprint Backlog'!$J152&gt;J$2,'ProductSprint Backlog'!$I152&lt;=J$2), 'ProductSprint Backlog'!$F152 / MAX(1, 'ProductSprint Backlog'!$J152-'ProductSprint Backlog'!$I152), AND('ProductSprint Backlog'!$J152=J$2,'ProductSprint Backlog'!$I152=J$2), 'ProductSprint Backlog'!$F152, TRUE, 0)</f>
        <v>0</v>
      </c>
    </row>
    <row r="153" spans="2:10" x14ac:dyDescent="0.2">
      <c r="B153" s="4" cm="1">
        <f t="array" ref="B153">_xlfn.IFS('ProductSprint Backlog'!$F153="", "", AND('ProductSprint Backlog'!$J153&gt;B$2,'ProductSprint Backlog'!$I153&lt;=B$2), 'ProductSprint Backlog'!$F153 / MAX(1, 'ProductSprint Backlog'!$J153-'ProductSprint Backlog'!$I153), AND('ProductSprint Backlog'!$J153=B$2,'ProductSprint Backlog'!$I153=B$2), 'ProductSprint Backlog'!$F153, TRUE, 0)</f>
        <v>0</v>
      </c>
      <c r="C153" s="4" cm="1">
        <f t="array" ref="C153">_xlfn.IFS('ProductSprint Backlog'!$F153="", "", AND('ProductSprint Backlog'!$J153&gt;C$2,'ProductSprint Backlog'!$I153&lt;=C$2), 'ProductSprint Backlog'!$F153 / MAX(1, 'ProductSprint Backlog'!$J153-'ProductSprint Backlog'!$I153), AND('ProductSprint Backlog'!$J153=C$2,'ProductSprint Backlog'!$I153=C$2), 'ProductSprint Backlog'!$F153, TRUE, 0)</f>
        <v>0</v>
      </c>
      <c r="D153" s="4" cm="1">
        <f t="array" ref="D153">_xlfn.IFS('ProductSprint Backlog'!$F153="", "", AND('ProductSprint Backlog'!$J153&gt;D$2,'ProductSprint Backlog'!$I153&lt;=D$2), 'ProductSprint Backlog'!$F153 / MAX(1, 'ProductSprint Backlog'!$J153-'ProductSprint Backlog'!$I153), AND('ProductSprint Backlog'!$J153=D$2,'ProductSprint Backlog'!$I153=D$2), 'ProductSprint Backlog'!$F153, TRUE, 0)</f>
        <v>0</v>
      </c>
      <c r="E153" s="4" cm="1">
        <f t="array" ref="E153">_xlfn.IFS('ProductSprint Backlog'!$F153="", "", AND('ProductSprint Backlog'!$J153&gt;E$2,'ProductSprint Backlog'!$I153&lt;=E$2), 'ProductSprint Backlog'!$F153 / MAX(1, 'ProductSprint Backlog'!$J153-'ProductSprint Backlog'!$I153), AND('ProductSprint Backlog'!$J153=E$2,'ProductSprint Backlog'!$I153=E$2), 'ProductSprint Backlog'!$F153, TRUE, 0)</f>
        <v>0</v>
      </c>
      <c r="F153" s="4" cm="1">
        <f t="array" ref="F153">_xlfn.IFS('ProductSprint Backlog'!$F153="", "", AND('ProductSprint Backlog'!$J153&gt;F$2,'ProductSprint Backlog'!$I153&lt;=F$2), 'ProductSprint Backlog'!$F153 / MAX(1, 'ProductSprint Backlog'!$J153-'ProductSprint Backlog'!$I153), AND('ProductSprint Backlog'!$J153=F$2,'ProductSprint Backlog'!$I153=F$2), 'ProductSprint Backlog'!$F153, TRUE, 0)</f>
        <v>0</v>
      </c>
      <c r="G153" s="4" cm="1">
        <f t="array" ref="G153">_xlfn.IFS('ProductSprint Backlog'!$F153="", "", AND('ProductSprint Backlog'!$J153&gt;G$2,'ProductSprint Backlog'!$I153&lt;=G$2), 'ProductSprint Backlog'!$F153 / MAX(1, 'ProductSprint Backlog'!$J153-'ProductSprint Backlog'!$I153), AND('ProductSprint Backlog'!$J153=G$2,'ProductSprint Backlog'!$I153=G$2), 'ProductSprint Backlog'!$F153, TRUE, 0)</f>
        <v>0</v>
      </c>
      <c r="H153" s="4" cm="1">
        <f t="array" ref="H153">_xlfn.IFS('ProductSprint Backlog'!$F153="", "", AND('ProductSprint Backlog'!$J153&gt;H$2,'ProductSprint Backlog'!$I153&lt;=H$2), 'ProductSprint Backlog'!$F153 / MAX(1, 'ProductSprint Backlog'!$J153-'ProductSprint Backlog'!$I153), AND('ProductSprint Backlog'!$J153=H$2,'ProductSprint Backlog'!$I153=H$2), 'ProductSprint Backlog'!$F153, TRUE, 0)</f>
        <v>0</v>
      </c>
      <c r="I153" s="4" cm="1">
        <f t="array" ref="I153">_xlfn.IFS('ProductSprint Backlog'!$F153="", "", AND('ProductSprint Backlog'!$J153&gt;I$2,'ProductSprint Backlog'!$I153&lt;=I$2), 'ProductSprint Backlog'!$F153 / MAX(1, 'ProductSprint Backlog'!$J153-'ProductSprint Backlog'!$I153), AND('ProductSprint Backlog'!$J153=I$2,'ProductSprint Backlog'!$I153=I$2), 'ProductSprint Backlog'!$F153, TRUE, 0)</f>
        <v>0</v>
      </c>
      <c r="J153" s="4" cm="1">
        <f t="array" ref="J153">_xlfn.IFS('ProductSprint Backlog'!$F153="", "", AND('ProductSprint Backlog'!$J153&gt;J$2,'ProductSprint Backlog'!$I153&lt;=J$2), 'ProductSprint Backlog'!$F153 / MAX(1, 'ProductSprint Backlog'!$J153-'ProductSprint Backlog'!$I153), AND('ProductSprint Backlog'!$J153=J$2,'ProductSprint Backlog'!$I153=J$2), 'ProductSprint Backlog'!$F153, TRUE, 0)</f>
        <v>0</v>
      </c>
    </row>
    <row r="154" spans="2:10" x14ac:dyDescent="0.2">
      <c r="B154" s="4" cm="1">
        <f t="array" ref="B154">_xlfn.IFS('ProductSprint Backlog'!$F154="", "", AND('ProductSprint Backlog'!$J154&gt;B$2,'ProductSprint Backlog'!$I154&lt;=B$2), 'ProductSprint Backlog'!$F154 / MAX(1, 'ProductSprint Backlog'!$J154-'ProductSprint Backlog'!$I154), AND('ProductSprint Backlog'!$J154=B$2,'ProductSprint Backlog'!$I154=B$2), 'ProductSprint Backlog'!$F154, TRUE, 0)</f>
        <v>0</v>
      </c>
      <c r="C154" s="4" cm="1">
        <f t="array" ref="C154">_xlfn.IFS('ProductSprint Backlog'!$F154="", "", AND('ProductSprint Backlog'!$J154&gt;C$2,'ProductSprint Backlog'!$I154&lt;=C$2), 'ProductSprint Backlog'!$F154 / MAX(1, 'ProductSprint Backlog'!$J154-'ProductSprint Backlog'!$I154), AND('ProductSprint Backlog'!$J154=C$2,'ProductSprint Backlog'!$I154=C$2), 'ProductSprint Backlog'!$F154, TRUE, 0)</f>
        <v>0</v>
      </c>
      <c r="D154" s="4" cm="1">
        <f t="array" ref="D154">_xlfn.IFS('ProductSprint Backlog'!$F154="", "", AND('ProductSprint Backlog'!$J154&gt;D$2,'ProductSprint Backlog'!$I154&lt;=D$2), 'ProductSprint Backlog'!$F154 / MAX(1, 'ProductSprint Backlog'!$J154-'ProductSprint Backlog'!$I154), AND('ProductSprint Backlog'!$J154=D$2,'ProductSprint Backlog'!$I154=D$2), 'ProductSprint Backlog'!$F154, TRUE, 0)</f>
        <v>0</v>
      </c>
      <c r="E154" s="4" cm="1">
        <f t="array" ref="E154">_xlfn.IFS('ProductSprint Backlog'!$F154="", "", AND('ProductSprint Backlog'!$J154&gt;E$2,'ProductSprint Backlog'!$I154&lt;=E$2), 'ProductSprint Backlog'!$F154 / MAX(1, 'ProductSprint Backlog'!$J154-'ProductSprint Backlog'!$I154), AND('ProductSprint Backlog'!$J154=E$2,'ProductSprint Backlog'!$I154=E$2), 'ProductSprint Backlog'!$F154, TRUE, 0)</f>
        <v>0</v>
      </c>
      <c r="F154" s="4" cm="1">
        <f t="array" ref="F154">_xlfn.IFS('ProductSprint Backlog'!$F154="", "", AND('ProductSprint Backlog'!$J154&gt;F$2,'ProductSprint Backlog'!$I154&lt;=F$2), 'ProductSprint Backlog'!$F154 / MAX(1, 'ProductSprint Backlog'!$J154-'ProductSprint Backlog'!$I154), AND('ProductSprint Backlog'!$J154=F$2,'ProductSprint Backlog'!$I154=F$2), 'ProductSprint Backlog'!$F154, TRUE, 0)</f>
        <v>0</v>
      </c>
      <c r="G154" s="4" cm="1">
        <f t="array" ref="G154">_xlfn.IFS('ProductSprint Backlog'!$F154="", "", AND('ProductSprint Backlog'!$J154&gt;G$2,'ProductSprint Backlog'!$I154&lt;=G$2), 'ProductSprint Backlog'!$F154 / MAX(1, 'ProductSprint Backlog'!$J154-'ProductSprint Backlog'!$I154), AND('ProductSprint Backlog'!$J154=G$2,'ProductSprint Backlog'!$I154=G$2), 'ProductSprint Backlog'!$F154, TRUE, 0)</f>
        <v>0</v>
      </c>
      <c r="H154" s="4" cm="1">
        <f t="array" ref="H154">_xlfn.IFS('ProductSprint Backlog'!$F154="", "", AND('ProductSprint Backlog'!$J154&gt;H$2,'ProductSprint Backlog'!$I154&lt;=H$2), 'ProductSprint Backlog'!$F154 / MAX(1, 'ProductSprint Backlog'!$J154-'ProductSprint Backlog'!$I154), AND('ProductSprint Backlog'!$J154=H$2,'ProductSprint Backlog'!$I154=H$2), 'ProductSprint Backlog'!$F154, TRUE, 0)</f>
        <v>0</v>
      </c>
      <c r="I154" s="4" cm="1">
        <f t="array" ref="I154">_xlfn.IFS('ProductSprint Backlog'!$F154="", "", AND('ProductSprint Backlog'!$J154&gt;I$2,'ProductSprint Backlog'!$I154&lt;=I$2), 'ProductSprint Backlog'!$F154 / MAX(1, 'ProductSprint Backlog'!$J154-'ProductSprint Backlog'!$I154), AND('ProductSprint Backlog'!$J154=I$2,'ProductSprint Backlog'!$I154=I$2), 'ProductSprint Backlog'!$F154, TRUE, 0)</f>
        <v>0</v>
      </c>
      <c r="J154" s="4" cm="1">
        <f t="array" ref="J154">_xlfn.IFS('ProductSprint Backlog'!$F154="", "", AND('ProductSprint Backlog'!$J154&gt;J$2,'ProductSprint Backlog'!$I154&lt;=J$2), 'ProductSprint Backlog'!$F154 / MAX(1, 'ProductSprint Backlog'!$J154-'ProductSprint Backlog'!$I154), AND('ProductSprint Backlog'!$J154=J$2,'ProductSprint Backlog'!$I154=J$2), 'ProductSprint Backlog'!$F154, TRUE, 0)</f>
        <v>0</v>
      </c>
    </row>
    <row r="155" spans="2:10" x14ac:dyDescent="0.2">
      <c r="B155" s="4" cm="1">
        <f t="array" ref="B155">_xlfn.IFS('ProductSprint Backlog'!$F155="", "", AND('ProductSprint Backlog'!$J155&gt;B$2,'ProductSprint Backlog'!$I155&lt;=B$2), 'ProductSprint Backlog'!$F155 / MAX(1, 'ProductSprint Backlog'!$J155-'ProductSprint Backlog'!$I155), AND('ProductSprint Backlog'!$J155=B$2,'ProductSprint Backlog'!$I155=B$2), 'ProductSprint Backlog'!$F155, TRUE, 0)</f>
        <v>0</v>
      </c>
      <c r="C155" s="4" cm="1">
        <f t="array" ref="C155">_xlfn.IFS('ProductSprint Backlog'!$F155="", "", AND('ProductSprint Backlog'!$J155&gt;C$2,'ProductSprint Backlog'!$I155&lt;=C$2), 'ProductSprint Backlog'!$F155 / MAX(1, 'ProductSprint Backlog'!$J155-'ProductSprint Backlog'!$I155), AND('ProductSprint Backlog'!$J155=C$2,'ProductSprint Backlog'!$I155=C$2), 'ProductSprint Backlog'!$F155, TRUE, 0)</f>
        <v>0</v>
      </c>
      <c r="D155" s="4" cm="1">
        <f t="array" ref="D155">_xlfn.IFS('ProductSprint Backlog'!$F155="", "", AND('ProductSprint Backlog'!$J155&gt;D$2,'ProductSprint Backlog'!$I155&lt;=D$2), 'ProductSprint Backlog'!$F155 / MAX(1, 'ProductSprint Backlog'!$J155-'ProductSprint Backlog'!$I155), AND('ProductSprint Backlog'!$J155=D$2,'ProductSprint Backlog'!$I155=D$2), 'ProductSprint Backlog'!$F155, TRUE, 0)</f>
        <v>0</v>
      </c>
      <c r="E155" s="4" cm="1">
        <f t="array" ref="E155">_xlfn.IFS('ProductSprint Backlog'!$F155="", "", AND('ProductSprint Backlog'!$J155&gt;E$2,'ProductSprint Backlog'!$I155&lt;=E$2), 'ProductSprint Backlog'!$F155 / MAX(1, 'ProductSprint Backlog'!$J155-'ProductSprint Backlog'!$I155), AND('ProductSprint Backlog'!$J155=E$2,'ProductSprint Backlog'!$I155=E$2), 'ProductSprint Backlog'!$F155, TRUE, 0)</f>
        <v>0</v>
      </c>
      <c r="F155" s="4" cm="1">
        <f t="array" ref="F155">_xlfn.IFS('ProductSprint Backlog'!$F155="", "", AND('ProductSprint Backlog'!$J155&gt;F$2,'ProductSprint Backlog'!$I155&lt;=F$2), 'ProductSprint Backlog'!$F155 / MAX(1, 'ProductSprint Backlog'!$J155-'ProductSprint Backlog'!$I155), AND('ProductSprint Backlog'!$J155=F$2,'ProductSprint Backlog'!$I155=F$2), 'ProductSprint Backlog'!$F155, TRUE, 0)</f>
        <v>0</v>
      </c>
      <c r="G155" s="4" cm="1">
        <f t="array" ref="G155">_xlfn.IFS('ProductSprint Backlog'!$F155="", "", AND('ProductSprint Backlog'!$J155&gt;G$2,'ProductSprint Backlog'!$I155&lt;=G$2), 'ProductSprint Backlog'!$F155 / MAX(1, 'ProductSprint Backlog'!$J155-'ProductSprint Backlog'!$I155), AND('ProductSprint Backlog'!$J155=G$2,'ProductSprint Backlog'!$I155=G$2), 'ProductSprint Backlog'!$F155, TRUE, 0)</f>
        <v>0</v>
      </c>
      <c r="H155" s="4" cm="1">
        <f t="array" ref="H155">_xlfn.IFS('ProductSprint Backlog'!$F155="", "", AND('ProductSprint Backlog'!$J155&gt;H$2,'ProductSprint Backlog'!$I155&lt;=H$2), 'ProductSprint Backlog'!$F155 / MAX(1, 'ProductSprint Backlog'!$J155-'ProductSprint Backlog'!$I155), AND('ProductSprint Backlog'!$J155=H$2,'ProductSprint Backlog'!$I155=H$2), 'ProductSprint Backlog'!$F155, TRUE, 0)</f>
        <v>0</v>
      </c>
      <c r="I155" s="4" cm="1">
        <f t="array" ref="I155">_xlfn.IFS('ProductSprint Backlog'!$F155="", "", AND('ProductSprint Backlog'!$J155&gt;I$2,'ProductSprint Backlog'!$I155&lt;=I$2), 'ProductSprint Backlog'!$F155 / MAX(1, 'ProductSprint Backlog'!$J155-'ProductSprint Backlog'!$I155), AND('ProductSprint Backlog'!$J155=I$2,'ProductSprint Backlog'!$I155=I$2), 'ProductSprint Backlog'!$F155, TRUE, 0)</f>
        <v>0</v>
      </c>
      <c r="J155" s="4" cm="1">
        <f t="array" ref="J155">_xlfn.IFS('ProductSprint Backlog'!$F155="", "", AND('ProductSprint Backlog'!$J155&gt;J$2,'ProductSprint Backlog'!$I155&lt;=J$2), 'ProductSprint Backlog'!$F155 / MAX(1, 'ProductSprint Backlog'!$J155-'ProductSprint Backlog'!$I155), AND('ProductSprint Backlog'!$J155=J$2,'ProductSprint Backlog'!$I155=J$2), 'ProductSprint Backlog'!$F155, TRUE, 0)</f>
        <v>0</v>
      </c>
    </row>
    <row r="156" spans="2:10" x14ac:dyDescent="0.2">
      <c r="B156" s="4" cm="1">
        <f t="array" ref="B156">_xlfn.IFS('ProductSprint Backlog'!$F156="", "", AND('ProductSprint Backlog'!$J156&gt;B$2,'ProductSprint Backlog'!$I156&lt;=B$2), 'ProductSprint Backlog'!$F156 / MAX(1, 'ProductSprint Backlog'!$J156-'ProductSprint Backlog'!$I156), AND('ProductSprint Backlog'!$J156=B$2,'ProductSprint Backlog'!$I156=B$2), 'ProductSprint Backlog'!$F156, TRUE, 0)</f>
        <v>0</v>
      </c>
      <c r="C156" s="4" cm="1">
        <f t="array" ref="C156">_xlfn.IFS('ProductSprint Backlog'!$F156="", "", AND('ProductSprint Backlog'!$J156&gt;C$2,'ProductSprint Backlog'!$I156&lt;=C$2), 'ProductSprint Backlog'!$F156 / MAX(1, 'ProductSprint Backlog'!$J156-'ProductSprint Backlog'!$I156), AND('ProductSprint Backlog'!$J156=C$2,'ProductSprint Backlog'!$I156=C$2), 'ProductSprint Backlog'!$F156, TRUE, 0)</f>
        <v>0</v>
      </c>
      <c r="D156" s="4" cm="1">
        <f t="array" ref="D156">_xlfn.IFS('ProductSprint Backlog'!$F156="", "", AND('ProductSprint Backlog'!$J156&gt;D$2,'ProductSprint Backlog'!$I156&lt;=D$2), 'ProductSprint Backlog'!$F156 / MAX(1, 'ProductSprint Backlog'!$J156-'ProductSprint Backlog'!$I156), AND('ProductSprint Backlog'!$J156=D$2,'ProductSprint Backlog'!$I156=D$2), 'ProductSprint Backlog'!$F156, TRUE, 0)</f>
        <v>0</v>
      </c>
      <c r="E156" s="4" cm="1">
        <f t="array" ref="E156">_xlfn.IFS('ProductSprint Backlog'!$F156="", "", AND('ProductSprint Backlog'!$J156&gt;E$2,'ProductSprint Backlog'!$I156&lt;=E$2), 'ProductSprint Backlog'!$F156 / MAX(1, 'ProductSprint Backlog'!$J156-'ProductSprint Backlog'!$I156), AND('ProductSprint Backlog'!$J156=E$2,'ProductSprint Backlog'!$I156=E$2), 'ProductSprint Backlog'!$F156, TRUE, 0)</f>
        <v>0</v>
      </c>
      <c r="F156" s="4" cm="1">
        <f t="array" ref="F156">_xlfn.IFS('ProductSprint Backlog'!$F156="", "", AND('ProductSprint Backlog'!$J156&gt;F$2,'ProductSprint Backlog'!$I156&lt;=F$2), 'ProductSprint Backlog'!$F156 / MAX(1, 'ProductSprint Backlog'!$J156-'ProductSprint Backlog'!$I156), AND('ProductSprint Backlog'!$J156=F$2,'ProductSprint Backlog'!$I156=F$2), 'ProductSprint Backlog'!$F156, TRUE, 0)</f>
        <v>0</v>
      </c>
      <c r="G156" s="4" cm="1">
        <f t="array" ref="G156">_xlfn.IFS('ProductSprint Backlog'!$F156="", "", AND('ProductSprint Backlog'!$J156&gt;G$2,'ProductSprint Backlog'!$I156&lt;=G$2), 'ProductSprint Backlog'!$F156 / MAX(1, 'ProductSprint Backlog'!$J156-'ProductSprint Backlog'!$I156), AND('ProductSprint Backlog'!$J156=G$2,'ProductSprint Backlog'!$I156=G$2), 'ProductSprint Backlog'!$F156, TRUE, 0)</f>
        <v>0</v>
      </c>
      <c r="H156" s="4" cm="1">
        <f t="array" ref="H156">_xlfn.IFS('ProductSprint Backlog'!$F156="", "", AND('ProductSprint Backlog'!$J156&gt;H$2,'ProductSprint Backlog'!$I156&lt;=H$2), 'ProductSprint Backlog'!$F156 / MAX(1, 'ProductSprint Backlog'!$J156-'ProductSprint Backlog'!$I156), AND('ProductSprint Backlog'!$J156=H$2,'ProductSprint Backlog'!$I156=H$2), 'ProductSprint Backlog'!$F156, TRUE, 0)</f>
        <v>0</v>
      </c>
      <c r="I156" s="4" cm="1">
        <f t="array" ref="I156">_xlfn.IFS('ProductSprint Backlog'!$F156="", "", AND('ProductSprint Backlog'!$J156&gt;I$2,'ProductSprint Backlog'!$I156&lt;=I$2), 'ProductSprint Backlog'!$F156 / MAX(1, 'ProductSprint Backlog'!$J156-'ProductSprint Backlog'!$I156), AND('ProductSprint Backlog'!$J156=I$2,'ProductSprint Backlog'!$I156=I$2), 'ProductSprint Backlog'!$F156, TRUE, 0)</f>
        <v>0</v>
      </c>
      <c r="J156" s="4" cm="1">
        <f t="array" ref="J156">_xlfn.IFS('ProductSprint Backlog'!$F156="", "", AND('ProductSprint Backlog'!$J156&gt;J$2,'ProductSprint Backlog'!$I156&lt;=J$2), 'ProductSprint Backlog'!$F156 / MAX(1, 'ProductSprint Backlog'!$J156-'ProductSprint Backlog'!$I156), AND('ProductSprint Backlog'!$J156=J$2,'ProductSprint Backlog'!$I156=J$2), 'ProductSprint Backlog'!$F156, TRUE, 0)</f>
        <v>0</v>
      </c>
    </row>
    <row r="157" spans="2:10" x14ac:dyDescent="0.2">
      <c r="B157" s="4" cm="1">
        <f t="array" ref="B157">_xlfn.IFS('ProductSprint Backlog'!$F157="", "", AND('ProductSprint Backlog'!$J157&gt;B$2,'ProductSprint Backlog'!$I157&lt;=B$2), 'ProductSprint Backlog'!$F157 / MAX(1, 'ProductSprint Backlog'!$J157-'ProductSprint Backlog'!$I157), AND('ProductSprint Backlog'!$J157=B$2,'ProductSprint Backlog'!$I157=B$2), 'ProductSprint Backlog'!$F157, TRUE, 0)</f>
        <v>0</v>
      </c>
      <c r="C157" s="4" cm="1">
        <f t="array" ref="C157">_xlfn.IFS('ProductSprint Backlog'!$F157="", "", AND('ProductSprint Backlog'!$J157&gt;C$2,'ProductSprint Backlog'!$I157&lt;=C$2), 'ProductSprint Backlog'!$F157 / MAX(1, 'ProductSprint Backlog'!$J157-'ProductSprint Backlog'!$I157), AND('ProductSprint Backlog'!$J157=C$2,'ProductSprint Backlog'!$I157=C$2), 'ProductSprint Backlog'!$F157, TRUE, 0)</f>
        <v>0</v>
      </c>
      <c r="D157" s="4" cm="1">
        <f t="array" ref="D157">_xlfn.IFS('ProductSprint Backlog'!$F157="", "", AND('ProductSprint Backlog'!$J157&gt;D$2,'ProductSprint Backlog'!$I157&lt;=D$2), 'ProductSprint Backlog'!$F157 / MAX(1, 'ProductSprint Backlog'!$J157-'ProductSprint Backlog'!$I157), AND('ProductSprint Backlog'!$J157=D$2,'ProductSprint Backlog'!$I157=D$2), 'ProductSprint Backlog'!$F157, TRUE, 0)</f>
        <v>0</v>
      </c>
      <c r="E157" s="4" cm="1">
        <f t="array" ref="E157">_xlfn.IFS('ProductSprint Backlog'!$F157="", "", AND('ProductSprint Backlog'!$J157&gt;E$2,'ProductSprint Backlog'!$I157&lt;=E$2), 'ProductSprint Backlog'!$F157 / MAX(1, 'ProductSprint Backlog'!$J157-'ProductSprint Backlog'!$I157), AND('ProductSprint Backlog'!$J157=E$2,'ProductSprint Backlog'!$I157=E$2), 'ProductSprint Backlog'!$F157, TRUE, 0)</f>
        <v>0</v>
      </c>
      <c r="F157" s="4" cm="1">
        <f t="array" ref="F157">_xlfn.IFS('ProductSprint Backlog'!$F157="", "", AND('ProductSprint Backlog'!$J157&gt;F$2,'ProductSprint Backlog'!$I157&lt;=F$2), 'ProductSprint Backlog'!$F157 / MAX(1, 'ProductSprint Backlog'!$J157-'ProductSprint Backlog'!$I157), AND('ProductSprint Backlog'!$J157=F$2,'ProductSprint Backlog'!$I157=F$2), 'ProductSprint Backlog'!$F157, TRUE, 0)</f>
        <v>0</v>
      </c>
      <c r="G157" s="4" cm="1">
        <f t="array" ref="G157">_xlfn.IFS('ProductSprint Backlog'!$F157="", "", AND('ProductSprint Backlog'!$J157&gt;G$2,'ProductSprint Backlog'!$I157&lt;=G$2), 'ProductSprint Backlog'!$F157 / MAX(1, 'ProductSprint Backlog'!$J157-'ProductSprint Backlog'!$I157), AND('ProductSprint Backlog'!$J157=G$2,'ProductSprint Backlog'!$I157=G$2), 'ProductSprint Backlog'!$F157, TRUE, 0)</f>
        <v>0</v>
      </c>
      <c r="H157" s="4" cm="1">
        <f t="array" ref="H157">_xlfn.IFS('ProductSprint Backlog'!$F157="", "", AND('ProductSprint Backlog'!$J157&gt;H$2,'ProductSprint Backlog'!$I157&lt;=H$2), 'ProductSprint Backlog'!$F157 / MAX(1, 'ProductSprint Backlog'!$J157-'ProductSprint Backlog'!$I157), AND('ProductSprint Backlog'!$J157=H$2,'ProductSprint Backlog'!$I157=H$2), 'ProductSprint Backlog'!$F157, TRUE, 0)</f>
        <v>0</v>
      </c>
      <c r="I157" s="4" cm="1">
        <f t="array" ref="I157">_xlfn.IFS('ProductSprint Backlog'!$F157="", "", AND('ProductSprint Backlog'!$J157&gt;I$2,'ProductSprint Backlog'!$I157&lt;=I$2), 'ProductSprint Backlog'!$F157 / MAX(1, 'ProductSprint Backlog'!$J157-'ProductSprint Backlog'!$I157), AND('ProductSprint Backlog'!$J157=I$2,'ProductSprint Backlog'!$I157=I$2), 'ProductSprint Backlog'!$F157, TRUE, 0)</f>
        <v>0</v>
      </c>
      <c r="J157" s="4" cm="1">
        <f t="array" ref="J157">_xlfn.IFS('ProductSprint Backlog'!$F157="", "", AND('ProductSprint Backlog'!$J157&gt;J$2,'ProductSprint Backlog'!$I157&lt;=J$2), 'ProductSprint Backlog'!$F157 / MAX(1, 'ProductSprint Backlog'!$J157-'ProductSprint Backlog'!$I157), AND('ProductSprint Backlog'!$J157=J$2,'ProductSprint Backlog'!$I157=J$2), 'ProductSprint Backlog'!$F157, TRUE, 0)</f>
        <v>0</v>
      </c>
    </row>
    <row r="158" spans="2:10" x14ac:dyDescent="0.2">
      <c r="B158" s="4" cm="1">
        <f t="array" ref="B158">_xlfn.IFS('ProductSprint Backlog'!$F158="", "", AND('ProductSprint Backlog'!$J158&gt;B$2,'ProductSprint Backlog'!$I158&lt;=B$2), 'ProductSprint Backlog'!$F158 / MAX(1, 'ProductSprint Backlog'!$J158-'ProductSprint Backlog'!$I158), AND('ProductSprint Backlog'!$J158=B$2,'ProductSprint Backlog'!$I158=B$2), 'ProductSprint Backlog'!$F158, TRUE, 0)</f>
        <v>0</v>
      </c>
      <c r="C158" s="4" cm="1">
        <f t="array" ref="C158">_xlfn.IFS('ProductSprint Backlog'!$F158="", "", AND('ProductSprint Backlog'!$J158&gt;C$2,'ProductSprint Backlog'!$I158&lt;=C$2), 'ProductSprint Backlog'!$F158 / MAX(1, 'ProductSprint Backlog'!$J158-'ProductSprint Backlog'!$I158), AND('ProductSprint Backlog'!$J158=C$2,'ProductSprint Backlog'!$I158=C$2), 'ProductSprint Backlog'!$F158, TRUE, 0)</f>
        <v>0</v>
      </c>
      <c r="D158" s="4" cm="1">
        <f t="array" ref="D158">_xlfn.IFS('ProductSprint Backlog'!$F158="", "", AND('ProductSprint Backlog'!$J158&gt;D$2,'ProductSprint Backlog'!$I158&lt;=D$2), 'ProductSprint Backlog'!$F158 / MAX(1, 'ProductSprint Backlog'!$J158-'ProductSprint Backlog'!$I158), AND('ProductSprint Backlog'!$J158=D$2,'ProductSprint Backlog'!$I158=D$2), 'ProductSprint Backlog'!$F158, TRUE, 0)</f>
        <v>0</v>
      </c>
      <c r="E158" s="4" cm="1">
        <f t="array" ref="E158">_xlfn.IFS('ProductSprint Backlog'!$F158="", "", AND('ProductSprint Backlog'!$J158&gt;E$2,'ProductSprint Backlog'!$I158&lt;=E$2), 'ProductSprint Backlog'!$F158 / MAX(1, 'ProductSprint Backlog'!$J158-'ProductSprint Backlog'!$I158), AND('ProductSprint Backlog'!$J158=E$2,'ProductSprint Backlog'!$I158=E$2), 'ProductSprint Backlog'!$F158, TRUE, 0)</f>
        <v>0</v>
      </c>
      <c r="F158" s="4" cm="1">
        <f t="array" ref="F158">_xlfn.IFS('ProductSprint Backlog'!$F158="", "", AND('ProductSprint Backlog'!$J158&gt;F$2,'ProductSprint Backlog'!$I158&lt;=F$2), 'ProductSprint Backlog'!$F158 / MAX(1, 'ProductSprint Backlog'!$J158-'ProductSprint Backlog'!$I158), AND('ProductSprint Backlog'!$J158=F$2,'ProductSprint Backlog'!$I158=F$2), 'ProductSprint Backlog'!$F158, TRUE, 0)</f>
        <v>0</v>
      </c>
      <c r="G158" s="4" cm="1">
        <f t="array" ref="G158">_xlfn.IFS('ProductSprint Backlog'!$F158="", "", AND('ProductSprint Backlog'!$J158&gt;G$2,'ProductSprint Backlog'!$I158&lt;=G$2), 'ProductSprint Backlog'!$F158 / MAX(1, 'ProductSprint Backlog'!$J158-'ProductSprint Backlog'!$I158), AND('ProductSprint Backlog'!$J158=G$2,'ProductSprint Backlog'!$I158=G$2), 'ProductSprint Backlog'!$F158, TRUE, 0)</f>
        <v>0</v>
      </c>
      <c r="H158" s="4" cm="1">
        <f t="array" ref="H158">_xlfn.IFS('ProductSprint Backlog'!$F158="", "", AND('ProductSprint Backlog'!$J158&gt;H$2,'ProductSprint Backlog'!$I158&lt;=H$2), 'ProductSprint Backlog'!$F158 / MAX(1, 'ProductSprint Backlog'!$J158-'ProductSprint Backlog'!$I158), AND('ProductSprint Backlog'!$J158=H$2,'ProductSprint Backlog'!$I158=H$2), 'ProductSprint Backlog'!$F158, TRUE, 0)</f>
        <v>0</v>
      </c>
      <c r="I158" s="4" cm="1">
        <f t="array" ref="I158">_xlfn.IFS('ProductSprint Backlog'!$F158="", "", AND('ProductSprint Backlog'!$J158&gt;I$2,'ProductSprint Backlog'!$I158&lt;=I$2), 'ProductSprint Backlog'!$F158 / MAX(1, 'ProductSprint Backlog'!$J158-'ProductSprint Backlog'!$I158), AND('ProductSprint Backlog'!$J158=I$2,'ProductSprint Backlog'!$I158=I$2), 'ProductSprint Backlog'!$F158, TRUE, 0)</f>
        <v>0</v>
      </c>
      <c r="J158" s="4" cm="1">
        <f t="array" ref="J158">_xlfn.IFS('ProductSprint Backlog'!$F158="", "", AND('ProductSprint Backlog'!$J158&gt;J$2,'ProductSprint Backlog'!$I158&lt;=J$2), 'ProductSprint Backlog'!$F158 / MAX(1, 'ProductSprint Backlog'!$J158-'ProductSprint Backlog'!$I158), AND('ProductSprint Backlog'!$J158=J$2,'ProductSprint Backlog'!$I158=J$2), 'ProductSprint Backlog'!$F158, TRUE, 0)</f>
        <v>0</v>
      </c>
    </row>
    <row r="159" spans="2:10" x14ac:dyDescent="0.2">
      <c r="B159" s="4" t="str" cm="1">
        <f t="array" ref="B159">_xlfn.IFS('ProductSprint Backlog'!$F159="", "", AND('ProductSprint Backlog'!$J159&gt;B$2,'ProductSprint Backlog'!$I159&lt;=B$2), 'ProductSprint Backlog'!$F159 / MAX(1, 'ProductSprint Backlog'!$J159-'ProductSprint Backlog'!$I159), AND('ProductSprint Backlog'!$J159=B$2,'ProductSprint Backlog'!$I159=B$2), 'ProductSprint Backlog'!$F159, TRUE, 0)</f>
        <v/>
      </c>
      <c r="C159" s="4" t="str" cm="1">
        <f t="array" ref="C159">_xlfn.IFS('ProductSprint Backlog'!$F159="", "", AND('ProductSprint Backlog'!$J159&gt;C$2,'ProductSprint Backlog'!$I159&lt;=C$2), 'ProductSprint Backlog'!$F159 / MAX(1, 'ProductSprint Backlog'!$J159-'ProductSprint Backlog'!$I159), AND('ProductSprint Backlog'!$J159=C$2,'ProductSprint Backlog'!$I159=C$2), 'ProductSprint Backlog'!$F159, TRUE, 0)</f>
        <v/>
      </c>
      <c r="D159" s="4" t="str" cm="1">
        <f t="array" ref="D159">_xlfn.IFS('ProductSprint Backlog'!$F159="", "", AND('ProductSprint Backlog'!$J159&gt;D$2,'ProductSprint Backlog'!$I159&lt;=D$2), 'ProductSprint Backlog'!$F159 / MAX(1, 'ProductSprint Backlog'!$J159-'ProductSprint Backlog'!$I159), AND('ProductSprint Backlog'!$J159=D$2,'ProductSprint Backlog'!$I159=D$2), 'ProductSprint Backlog'!$F159, TRUE, 0)</f>
        <v/>
      </c>
      <c r="E159" s="4" t="str" cm="1">
        <f t="array" ref="E159">_xlfn.IFS('ProductSprint Backlog'!$F159="", "", AND('ProductSprint Backlog'!$J159&gt;E$2,'ProductSprint Backlog'!$I159&lt;=E$2), 'ProductSprint Backlog'!$F159 / MAX(1, 'ProductSprint Backlog'!$J159-'ProductSprint Backlog'!$I159), AND('ProductSprint Backlog'!$J159=E$2,'ProductSprint Backlog'!$I159=E$2), 'ProductSprint Backlog'!$F159, TRUE, 0)</f>
        <v/>
      </c>
      <c r="F159" s="4" t="str" cm="1">
        <f t="array" ref="F159">_xlfn.IFS('ProductSprint Backlog'!$F159="", "", AND('ProductSprint Backlog'!$J159&gt;F$2,'ProductSprint Backlog'!$I159&lt;=F$2), 'ProductSprint Backlog'!$F159 / MAX(1, 'ProductSprint Backlog'!$J159-'ProductSprint Backlog'!$I159), AND('ProductSprint Backlog'!$J159=F$2,'ProductSprint Backlog'!$I159=F$2), 'ProductSprint Backlog'!$F159, TRUE, 0)</f>
        <v/>
      </c>
      <c r="G159" s="4" t="str" cm="1">
        <f t="array" ref="G159">_xlfn.IFS('ProductSprint Backlog'!$F159="", "", AND('ProductSprint Backlog'!$J159&gt;G$2,'ProductSprint Backlog'!$I159&lt;=G$2), 'ProductSprint Backlog'!$F159 / MAX(1, 'ProductSprint Backlog'!$J159-'ProductSprint Backlog'!$I159), AND('ProductSprint Backlog'!$J159=G$2,'ProductSprint Backlog'!$I159=G$2), 'ProductSprint Backlog'!$F159, TRUE, 0)</f>
        <v/>
      </c>
      <c r="H159" s="4" t="str" cm="1">
        <f t="array" ref="H159">_xlfn.IFS('ProductSprint Backlog'!$F159="", "", AND('ProductSprint Backlog'!$J159&gt;H$2,'ProductSprint Backlog'!$I159&lt;=H$2), 'ProductSprint Backlog'!$F159 / MAX(1, 'ProductSprint Backlog'!$J159-'ProductSprint Backlog'!$I159), AND('ProductSprint Backlog'!$J159=H$2,'ProductSprint Backlog'!$I159=H$2), 'ProductSprint Backlog'!$F159, TRUE, 0)</f>
        <v/>
      </c>
      <c r="I159" s="4" t="str" cm="1">
        <f t="array" ref="I159">_xlfn.IFS('ProductSprint Backlog'!$F159="", "", AND('ProductSprint Backlog'!$J159&gt;I$2,'ProductSprint Backlog'!$I159&lt;=I$2), 'ProductSprint Backlog'!$F159 / MAX(1, 'ProductSprint Backlog'!$J159-'ProductSprint Backlog'!$I159), AND('ProductSprint Backlog'!$J159=I$2,'ProductSprint Backlog'!$I159=I$2), 'ProductSprint Backlog'!$F159, TRUE, 0)</f>
        <v/>
      </c>
      <c r="J159" s="4" t="str" cm="1">
        <f t="array" ref="J159">_xlfn.IFS('ProductSprint Backlog'!$F159="", "", AND('ProductSprint Backlog'!$J159&gt;J$2,'ProductSprint Backlog'!$I159&lt;=J$2), 'ProductSprint Backlog'!$F159 / MAX(1, 'ProductSprint Backlog'!$J159-'ProductSprint Backlog'!$I159), AND('ProductSprint Backlog'!$J159=J$2,'ProductSprint Backlog'!$I159=J$2), 'ProductSprint Backlog'!$F159, TRUE, 0)</f>
        <v/>
      </c>
    </row>
    <row r="160" spans="2:10" x14ac:dyDescent="0.2">
      <c r="B160" s="4" cm="1">
        <f t="array" ref="B160">_xlfn.IFS('ProductSprint Backlog'!$F160="", "", AND('ProductSprint Backlog'!$J160&gt;B$2,'ProductSprint Backlog'!$I160&lt;=B$2), 'ProductSprint Backlog'!$F160 / MAX(1, 'ProductSprint Backlog'!$J160-'ProductSprint Backlog'!$I160), AND('ProductSprint Backlog'!$J160=B$2,'ProductSprint Backlog'!$I160=B$2), 'ProductSprint Backlog'!$F160, TRUE, 0)</f>
        <v>0</v>
      </c>
      <c r="C160" s="4" cm="1">
        <f t="array" ref="C160">_xlfn.IFS('ProductSprint Backlog'!$F160="", "", AND('ProductSprint Backlog'!$J160&gt;C$2,'ProductSprint Backlog'!$I160&lt;=C$2), 'ProductSprint Backlog'!$F160 / MAX(1, 'ProductSprint Backlog'!$J160-'ProductSprint Backlog'!$I160), AND('ProductSprint Backlog'!$J160=C$2,'ProductSprint Backlog'!$I160=C$2), 'ProductSprint Backlog'!$F160, TRUE, 0)</f>
        <v>0</v>
      </c>
      <c r="D160" s="4" cm="1">
        <f t="array" ref="D160">_xlfn.IFS('ProductSprint Backlog'!$F160="", "", AND('ProductSprint Backlog'!$J160&gt;D$2,'ProductSprint Backlog'!$I160&lt;=D$2), 'ProductSprint Backlog'!$F160 / MAX(1, 'ProductSprint Backlog'!$J160-'ProductSprint Backlog'!$I160), AND('ProductSprint Backlog'!$J160=D$2,'ProductSprint Backlog'!$I160=D$2), 'ProductSprint Backlog'!$F160, TRUE, 0)</f>
        <v>0</v>
      </c>
      <c r="E160" s="4" cm="1">
        <f t="array" ref="E160">_xlfn.IFS('ProductSprint Backlog'!$F160="", "", AND('ProductSprint Backlog'!$J160&gt;E$2,'ProductSprint Backlog'!$I160&lt;=E$2), 'ProductSprint Backlog'!$F160 / MAX(1, 'ProductSprint Backlog'!$J160-'ProductSprint Backlog'!$I160), AND('ProductSprint Backlog'!$J160=E$2,'ProductSprint Backlog'!$I160=E$2), 'ProductSprint Backlog'!$F160, TRUE, 0)</f>
        <v>0</v>
      </c>
      <c r="F160" s="4" cm="1">
        <f t="array" ref="F160">_xlfn.IFS('ProductSprint Backlog'!$F160="", "", AND('ProductSprint Backlog'!$J160&gt;F$2,'ProductSprint Backlog'!$I160&lt;=F$2), 'ProductSprint Backlog'!$F160 / MAX(1, 'ProductSprint Backlog'!$J160-'ProductSprint Backlog'!$I160), AND('ProductSprint Backlog'!$J160=F$2,'ProductSprint Backlog'!$I160=F$2), 'ProductSprint Backlog'!$F160, TRUE, 0)</f>
        <v>0</v>
      </c>
      <c r="G160" s="4" cm="1">
        <f t="array" ref="G160">_xlfn.IFS('ProductSprint Backlog'!$F160="", "", AND('ProductSprint Backlog'!$J160&gt;G$2,'ProductSprint Backlog'!$I160&lt;=G$2), 'ProductSprint Backlog'!$F160 / MAX(1, 'ProductSprint Backlog'!$J160-'ProductSprint Backlog'!$I160), AND('ProductSprint Backlog'!$J160=G$2,'ProductSprint Backlog'!$I160=G$2), 'ProductSprint Backlog'!$F160, TRUE, 0)</f>
        <v>0</v>
      </c>
      <c r="H160" s="4" cm="1">
        <f t="array" ref="H160">_xlfn.IFS('ProductSprint Backlog'!$F160="", "", AND('ProductSprint Backlog'!$J160&gt;H$2,'ProductSprint Backlog'!$I160&lt;=H$2), 'ProductSprint Backlog'!$F160 / MAX(1, 'ProductSprint Backlog'!$J160-'ProductSprint Backlog'!$I160), AND('ProductSprint Backlog'!$J160=H$2,'ProductSprint Backlog'!$I160=H$2), 'ProductSprint Backlog'!$F160, TRUE, 0)</f>
        <v>0</v>
      </c>
      <c r="I160" s="4" cm="1">
        <f t="array" ref="I160">_xlfn.IFS('ProductSprint Backlog'!$F160="", "", AND('ProductSprint Backlog'!$J160&gt;I$2,'ProductSprint Backlog'!$I160&lt;=I$2), 'ProductSprint Backlog'!$F160 / MAX(1, 'ProductSprint Backlog'!$J160-'ProductSprint Backlog'!$I160), AND('ProductSprint Backlog'!$J160=I$2,'ProductSprint Backlog'!$I160=I$2), 'ProductSprint Backlog'!$F160, TRUE, 0)</f>
        <v>0</v>
      </c>
      <c r="J160" s="4" cm="1">
        <f t="array" ref="J160">_xlfn.IFS('ProductSprint Backlog'!$F160="", "", AND('ProductSprint Backlog'!$J160&gt;J$2,'ProductSprint Backlog'!$I160&lt;=J$2), 'ProductSprint Backlog'!$F160 / MAX(1, 'ProductSprint Backlog'!$J160-'ProductSprint Backlog'!$I160), AND('ProductSprint Backlog'!$J160=J$2,'ProductSprint Backlog'!$I160=J$2), 'ProductSprint Backlog'!$F160, TRUE, 0)</f>
        <v>0</v>
      </c>
    </row>
    <row r="161" spans="2:10" x14ac:dyDescent="0.2">
      <c r="B161" s="4" cm="1">
        <f t="array" ref="B161">_xlfn.IFS('ProductSprint Backlog'!$F161="", "", AND('ProductSprint Backlog'!$J161&gt;B$2,'ProductSprint Backlog'!$I161&lt;=B$2), 'ProductSprint Backlog'!$F161 / MAX(1, 'ProductSprint Backlog'!$J161-'ProductSprint Backlog'!$I161), AND('ProductSprint Backlog'!$J161=B$2,'ProductSprint Backlog'!$I161=B$2), 'ProductSprint Backlog'!$F161, TRUE, 0)</f>
        <v>0</v>
      </c>
      <c r="C161" s="4" cm="1">
        <f t="array" ref="C161">_xlfn.IFS('ProductSprint Backlog'!$F161="", "", AND('ProductSprint Backlog'!$J161&gt;C$2,'ProductSprint Backlog'!$I161&lt;=C$2), 'ProductSprint Backlog'!$F161 / MAX(1, 'ProductSprint Backlog'!$J161-'ProductSprint Backlog'!$I161), AND('ProductSprint Backlog'!$J161=C$2,'ProductSprint Backlog'!$I161=C$2), 'ProductSprint Backlog'!$F161, TRUE, 0)</f>
        <v>0</v>
      </c>
      <c r="D161" s="4" cm="1">
        <f t="array" ref="D161">_xlfn.IFS('ProductSprint Backlog'!$F161="", "", AND('ProductSprint Backlog'!$J161&gt;D$2,'ProductSprint Backlog'!$I161&lt;=D$2), 'ProductSprint Backlog'!$F161 / MAX(1, 'ProductSprint Backlog'!$J161-'ProductSprint Backlog'!$I161), AND('ProductSprint Backlog'!$J161=D$2,'ProductSprint Backlog'!$I161=D$2), 'ProductSprint Backlog'!$F161, TRUE, 0)</f>
        <v>0</v>
      </c>
      <c r="E161" s="4" cm="1">
        <f t="array" ref="E161">_xlfn.IFS('ProductSprint Backlog'!$F161="", "", AND('ProductSprint Backlog'!$J161&gt;E$2,'ProductSprint Backlog'!$I161&lt;=E$2), 'ProductSprint Backlog'!$F161 / MAX(1, 'ProductSprint Backlog'!$J161-'ProductSprint Backlog'!$I161), AND('ProductSprint Backlog'!$J161=E$2,'ProductSprint Backlog'!$I161=E$2), 'ProductSprint Backlog'!$F161, TRUE, 0)</f>
        <v>0</v>
      </c>
      <c r="F161" s="4" cm="1">
        <f t="array" ref="F161">_xlfn.IFS('ProductSprint Backlog'!$F161="", "", AND('ProductSprint Backlog'!$J161&gt;F$2,'ProductSprint Backlog'!$I161&lt;=F$2), 'ProductSprint Backlog'!$F161 / MAX(1, 'ProductSprint Backlog'!$J161-'ProductSprint Backlog'!$I161), AND('ProductSprint Backlog'!$J161=F$2,'ProductSprint Backlog'!$I161=F$2), 'ProductSprint Backlog'!$F161, TRUE, 0)</f>
        <v>0</v>
      </c>
      <c r="G161" s="4" cm="1">
        <f t="array" ref="G161">_xlfn.IFS('ProductSprint Backlog'!$F161="", "", AND('ProductSprint Backlog'!$J161&gt;G$2,'ProductSprint Backlog'!$I161&lt;=G$2), 'ProductSprint Backlog'!$F161 / MAX(1, 'ProductSprint Backlog'!$J161-'ProductSprint Backlog'!$I161), AND('ProductSprint Backlog'!$J161=G$2,'ProductSprint Backlog'!$I161=G$2), 'ProductSprint Backlog'!$F161, TRUE, 0)</f>
        <v>0</v>
      </c>
      <c r="H161" s="4" cm="1">
        <f t="array" ref="H161">_xlfn.IFS('ProductSprint Backlog'!$F161="", "", AND('ProductSprint Backlog'!$J161&gt;H$2,'ProductSprint Backlog'!$I161&lt;=H$2), 'ProductSprint Backlog'!$F161 / MAX(1, 'ProductSprint Backlog'!$J161-'ProductSprint Backlog'!$I161), AND('ProductSprint Backlog'!$J161=H$2,'ProductSprint Backlog'!$I161=H$2), 'ProductSprint Backlog'!$F161, TRUE, 0)</f>
        <v>0</v>
      </c>
      <c r="I161" s="4" cm="1">
        <f t="array" ref="I161">_xlfn.IFS('ProductSprint Backlog'!$F161="", "", AND('ProductSprint Backlog'!$J161&gt;I$2,'ProductSprint Backlog'!$I161&lt;=I$2), 'ProductSprint Backlog'!$F161 / MAX(1, 'ProductSprint Backlog'!$J161-'ProductSprint Backlog'!$I161), AND('ProductSprint Backlog'!$J161=I$2,'ProductSprint Backlog'!$I161=I$2), 'ProductSprint Backlog'!$F161, TRUE, 0)</f>
        <v>0</v>
      </c>
      <c r="J161" s="4" cm="1">
        <f t="array" ref="J161">_xlfn.IFS('ProductSprint Backlog'!$F161="", "", AND('ProductSprint Backlog'!$J161&gt;J$2,'ProductSprint Backlog'!$I161&lt;=J$2), 'ProductSprint Backlog'!$F161 / MAX(1, 'ProductSprint Backlog'!$J161-'ProductSprint Backlog'!$I161), AND('ProductSprint Backlog'!$J161=J$2,'ProductSprint Backlog'!$I161=J$2), 'ProductSprint Backlog'!$F161, TRUE, 0)</f>
        <v>0</v>
      </c>
    </row>
    <row r="162" spans="2:10" x14ac:dyDescent="0.2">
      <c r="B162" s="4" cm="1">
        <f t="array" ref="B162">_xlfn.IFS('ProductSprint Backlog'!$F162="", "", AND('ProductSprint Backlog'!$J162&gt;B$2,'ProductSprint Backlog'!$I162&lt;=B$2), 'ProductSprint Backlog'!$F162 / MAX(1, 'ProductSprint Backlog'!$J162-'ProductSprint Backlog'!$I162), AND('ProductSprint Backlog'!$J162=B$2,'ProductSprint Backlog'!$I162=B$2), 'ProductSprint Backlog'!$F162, TRUE, 0)</f>
        <v>0</v>
      </c>
      <c r="C162" s="4" cm="1">
        <f t="array" ref="C162">_xlfn.IFS('ProductSprint Backlog'!$F162="", "", AND('ProductSprint Backlog'!$J162&gt;C$2,'ProductSprint Backlog'!$I162&lt;=C$2), 'ProductSprint Backlog'!$F162 / MAX(1, 'ProductSprint Backlog'!$J162-'ProductSprint Backlog'!$I162), AND('ProductSprint Backlog'!$J162=C$2,'ProductSprint Backlog'!$I162=C$2), 'ProductSprint Backlog'!$F162, TRUE, 0)</f>
        <v>0</v>
      </c>
      <c r="D162" s="4" cm="1">
        <f t="array" ref="D162">_xlfn.IFS('ProductSprint Backlog'!$F162="", "", AND('ProductSprint Backlog'!$J162&gt;D$2,'ProductSprint Backlog'!$I162&lt;=D$2), 'ProductSprint Backlog'!$F162 / MAX(1, 'ProductSprint Backlog'!$J162-'ProductSprint Backlog'!$I162), AND('ProductSprint Backlog'!$J162=D$2,'ProductSprint Backlog'!$I162=D$2), 'ProductSprint Backlog'!$F162, TRUE, 0)</f>
        <v>0</v>
      </c>
      <c r="E162" s="4" cm="1">
        <f t="array" ref="E162">_xlfn.IFS('ProductSprint Backlog'!$F162="", "", AND('ProductSprint Backlog'!$J162&gt;E$2,'ProductSprint Backlog'!$I162&lt;=E$2), 'ProductSprint Backlog'!$F162 / MAX(1, 'ProductSprint Backlog'!$J162-'ProductSprint Backlog'!$I162), AND('ProductSprint Backlog'!$J162=E$2,'ProductSprint Backlog'!$I162=E$2), 'ProductSprint Backlog'!$F162, TRUE, 0)</f>
        <v>0</v>
      </c>
      <c r="F162" s="4" cm="1">
        <f t="array" ref="F162">_xlfn.IFS('ProductSprint Backlog'!$F162="", "", AND('ProductSprint Backlog'!$J162&gt;F$2,'ProductSprint Backlog'!$I162&lt;=F$2), 'ProductSprint Backlog'!$F162 / MAX(1, 'ProductSprint Backlog'!$J162-'ProductSprint Backlog'!$I162), AND('ProductSprint Backlog'!$J162=F$2,'ProductSprint Backlog'!$I162=F$2), 'ProductSprint Backlog'!$F162, TRUE, 0)</f>
        <v>0</v>
      </c>
      <c r="G162" s="4" cm="1">
        <f t="array" ref="G162">_xlfn.IFS('ProductSprint Backlog'!$F162="", "", AND('ProductSprint Backlog'!$J162&gt;G$2,'ProductSprint Backlog'!$I162&lt;=G$2), 'ProductSprint Backlog'!$F162 / MAX(1, 'ProductSprint Backlog'!$J162-'ProductSprint Backlog'!$I162), AND('ProductSprint Backlog'!$J162=G$2,'ProductSprint Backlog'!$I162=G$2), 'ProductSprint Backlog'!$F162, TRUE, 0)</f>
        <v>0</v>
      </c>
      <c r="H162" s="4" cm="1">
        <f t="array" ref="H162">_xlfn.IFS('ProductSprint Backlog'!$F162="", "", AND('ProductSprint Backlog'!$J162&gt;H$2,'ProductSprint Backlog'!$I162&lt;=H$2), 'ProductSprint Backlog'!$F162 / MAX(1, 'ProductSprint Backlog'!$J162-'ProductSprint Backlog'!$I162), AND('ProductSprint Backlog'!$J162=H$2,'ProductSprint Backlog'!$I162=H$2), 'ProductSprint Backlog'!$F162, TRUE, 0)</f>
        <v>0</v>
      </c>
      <c r="I162" s="4" cm="1">
        <f t="array" ref="I162">_xlfn.IFS('ProductSprint Backlog'!$F162="", "", AND('ProductSprint Backlog'!$J162&gt;I$2,'ProductSprint Backlog'!$I162&lt;=I$2), 'ProductSprint Backlog'!$F162 / MAX(1, 'ProductSprint Backlog'!$J162-'ProductSprint Backlog'!$I162), AND('ProductSprint Backlog'!$J162=I$2,'ProductSprint Backlog'!$I162=I$2), 'ProductSprint Backlog'!$F162, TRUE, 0)</f>
        <v>0</v>
      </c>
      <c r="J162" s="4" cm="1">
        <f t="array" ref="J162">_xlfn.IFS('ProductSprint Backlog'!$F162="", "", AND('ProductSprint Backlog'!$J162&gt;J$2,'ProductSprint Backlog'!$I162&lt;=J$2), 'ProductSprint Backlog'!$F162 / MAX(1, 'ProductSprint Backlog'!$J162-'ProductSprint Backlog'!$I162), AND('ProductSprint Backlog'!$J162=J$2,'ProductSprint Backlog'!$I162=J$2), 'ProductSprint Backlog'!$F162, TRUE, 0)</f>
        <v>0</v>
      </c>
    </row>
    <row r="163" spans="2:10" x14ac:dyDescent="0.2">
      <c r="B163" s="4" cm="1">
        <f t="array" ref="B163">_xlfn.IFS('ProductSprint Backlog'!$F163="", "", AND('ProductSprint Backlog'!$J163&gt;B$2,'ProductSprint Backlog'!$I163&lt;=B$2), 'ProductSprint Backlog'!$F163 / MAX(1, 'ProductSprint Backlog'!$J163-'ProductSprint Backlog'!$I163), AND('ProductSprint Backlog'!$J163=B$2,'ProductSprint Backlog'!$I163=B$2), 'ProductSprint Backlog'!$F163, TRUE, 0)</f>
        <v>0</v>
      </c>
      <c r="C163" s="4" cm="1">
        <f t="array" ref="C163">_xlfn.IFS('ProductSprint Backlog'!$F163="", "", AND('ProductSprint Backlog'!$J163&gt;C$2,'ProductSprint Backlog'!$I163&lt;=C$2), 'ProductSprint Backlog'!$F163 / MAX(1, 'ProductSprint Backlog'!$J163-'ProductSprint Backlog'!$I163), AND('ProductSprint Backlog'!$J163=C$2,'ProductSprint Backlog'!$I163=C$2), 'ProductSprint Backlog'!$F163, TRUE, 0)</f>
        <v>0</v>
      </c>
      <c r="D163" s="4" cm="1">
        <f t="array" ref="D163">_xlfn.IFS('ProductSprint Backlog'!$F163="", "", AND('ProductSprint Backlog'!$J163&gt;D$2,'ProductSprint Backlog'!$I163&lt;=D$2), 'ProductSprint Backlog'!$F163 / MAX(1, 'ProductSprint Backlog'!$J163-'ProductSprint Backlog'!$I163), AND('ProductSprint Backlog'!$J163=D$2,'ProductSprint Backlog'!$I163=D$2), 'ProductSprint Backlog'!$F163, TRUE, 0)</f>
        <v>0</v>
      </c>
      <c r="E163" s="4" cm="1">
        <f t="array" ref="E163">_xlfn.IFS('ProductSprint Backlog'!$F163="", "", AND('ProductSprint Backlog'!$J163&gt;E$2,'ProductSprint Backlog'!$I163&lt;=E$2), 'ProductSprint Backlog'!$F163 / MAX(1, 'ProductSprint Backlog'!$J163-'ProductSprint Backlog'!$I163), AND('ProductSprint Backlog'!$J163=E$2,'ProductSprint Backlog'!$I163=E$2), 'ProductSprint Backlog'!$F163, TRUE, 0)</f>
        <v>0</v>
      </c>
      <c r="F163" s="4" cm="1">
        <f t="array" ref="F163">_xlfn.IFS('ProductSprint Backlog'!$F163="", "", AND('ProductSprint Backlog'!$J163&gt;F$2,'ProductSprint Backlog'!$I163&lt;=F$2), 'ProductSprint Backlog'!$F163 / MAX(1, 'ProductSprint Backlog'!$J163-'ProductSprint Backlog'!$I163), AND('ProductSprint Backlog'!$J163=F$2,'ProductSprint Backlog'!$I163=F$2), 'ProductSprint Backlog'!$F163, TRUE, 0)</f>
        <v>0</v>
      </c>
      <c r="G163" s="4" cm="1">
        <f t="array" ref="G163">_xlfn.IFS('ProductSprint Backlog'!$F163="", "", AND('ProductSprint Backlog'!$J163&gt;G$2,'ProductSprint Backlog'!$I163&lt;=G$2), 'ProductSprint Backlog'!$F163 / MAX(1, 'ProductSprint Backlog'!$J163-'ProductSprint Backlog'!$I163), AND('ProductSprint Backlog'!$J163=G$2,'ProductSprint Backlog'!$I163=G$2), 'ProductSprint Backlog'!$F163, TRUE, 0)</f>
        <v>0</v>
      </c>
      <c r="H163" s="4" cm="1">
        <f t="array" ref="H163">_xlfn.IFS('ProductSprint Backlog'!$F163="", "", AND('ProductSprint Backlog'!$J163&gt;H$2,'ProductSprint Backlog'!$I163&lt;=H$2), 'ProductSprint Backlog'!$F163 / MAX(1, 'ProductSprint Backlog'!$J163-'ProductSprint Backlog'!$I163), AND('ProductSprint Backlog'!$J163=H$2,'ProductSprint Backlog'!$I163=H$2), 'ProductSprint Backlog'!$F163, TRUE, 0)</f>
        <v>0</v>
      </c>
      <c r="I163" s="4" cm="1">
        <f t="array" ref="I163">_xlfn.IFS('ProductSprint Backlog'!$F163="", "", AND('ProductSprint Backlog'!$J163&gt;I$2,'ProductSprint Backlog'!$I163&lt;=I$2), 'ProductSprint Backlog'!$F163 / MAX(1, 'ProductSprint Backlog'!$J163-'ProductSprint Backlog'!$I163), AND('ProductSprint Backlog'!$J163=I$2,'ProductSprint Backlog'!$I163=I$2), 'ProductSprint Backlog'!$F163, TRUE, 0)</f>
        <v>0</v>
      </c>
      <c r="J163" s="4" cm="1">
        <f t="array" ref="J163">_xlfn.IFS('ProductSprint Backlog'!$F163="", "", AND('ProductSprint Backlog'!$J163&gt;J$2,'ProductSprint Backlog'!$I163&lt;=J$2), 'ProductSprint Backlog'!$F163 / MAX(1, 'ProductSprint Backlog'!$J163-'ProductSprint Backlog'!$I163), AND('ProductSprint Backlog'!$J163=J$2,'ProductSprint Backlog'!$I163=J$2), 'ProductSprint Backlog'!$F163, TRUE, 0)</f>
        <v>0</v>
      </c>
    </row>
    <row r="164" spans="2:10" x14ac:dyDescent="0.2">
      <c r="B164" s="4" cm="1">
        <f t="array" ref="B164">_xlfn.IFS('ProductSprint Backlog'!$F164="", "", AND('ProductSprint Backlog'!$J164&gt;B$2,'ProductSprint Backlog'!$I164&lt;=B$2), 'ProductSprint Backlog'!$F164 / MAX(1, 'ProductSprint Backlog'!$J164-'ProductSprint Backlog'!$I164), AND('ProductSprint Backlog'!$J164=B$2,'ProductSprint Backlog'!$I164=B$2), 'ProductSprint Backlog'!$F164, TRUE, 0)</f>
        <v>0</v>
      </c>
      <c r="C164" s="4" cm="1">
        <f t="array" ref="C164">_xlfn.IFS('ProductSprint Backlog'!$F164="", "", AND('ProductSprint Backlog'!$J164&gt;C$2,'ProductSprint Backlog'!$I164&lt;=C$2), 'ProductSprint Backlog'!$F164 / MAX(1, 'ProductSprint Backlog'!$J164-'ProductSprint Backlog'!$I164), AND('ProductSprint Backlog'!$J164=C$2,'ProductSprint Backlog'!$I164=C$2), 'ProductSprint Backlog'!$F164, TRUE, 0)</f>
        <v>0</v>
      </c>
      <c r="D164" s="4" cm="1">
        <f t="array" ref="D164">_xlfn.IFS('ProductSprint Backlog'!$F164="", "", AND('ProductSprint Backlog'!$J164&gt;D$2,'ProductSprint Backlog'!$I164&lt;=D$2), 'ProductSprint Backlog'!$F164 / MAX(1, 'ProductSprint Backlog'!$J164-'ProductSprint Backlog'!$I164), AND('ProductSprint Backlog'!$J164=D$2,'ProductSprint Backlog'!$I164=D$2), 'ProductSprint Backlog'!$F164, TRUE, 0)</f>
        <v>0</v>
      </c>
      <c r="E164" s="4" cm="1">
        <f t="array" ref="E164">_xlfn.IFS('ProductSprint Backlog'!$F164="", "", AND('ProductSprint Backlog'!$J164&gt;E$2,'ProductSprint Backlog'!$I164&lt;=E$2), 'ProductSprint Backlog'!$F164 / MAX(1, 'ProductSprint Backlog'!$J164-'ProductSprint Backlog'!$I164), AND('ProductSprint Backlog'!$J164=E$2,'ProductSprint Backlog'!$I164=E$2), 'ProductSprint Backlog'!$F164, TRUE, 0)</f>
        <v>0</v>
      </c>
      <c r="F164" s="4" cm="1">
        <f t="array" ref="F164">_xlfn.IFS('ProductSprint Backlog'!$F164="", "", AND('ProductSprint Backlog'!$J164&gt;F$2,'ProductSprint Backlog'!$I164&lt;=F$2), 'ProductSprint Backlog'!$F164 / MAX(1, 'ProductSprint Backlog'!$J164-'ProductSprint Backlog'!$I164), AND('ProductSprint Backlog'!$J164=F$2,'ProductSprint Backlog'!$I164=F$2), 'ProductSprint Backlog'!$F164, TRUE, 0)</f>
        <v>0</v>
      </c>
      <c r="G164" s="4" cm="1">
        <f t="array" ref="G164">_xlfn.IFS('ProductSprint Backlog'!$F164="", "", AND('ProductSprint Backlog'!$J164&gt;G$2,'ProductSprint Backlog'!$I164&lt;=G$2), 'ProductSprint Backlog'!$F164 / MAX(1, 'ProductSprint Backlog'!$J164-'ProductSprint Backlog'!$I164), AND('ProductSprint Backlog'!$J164=G$2,'ProductSprint Backlog'!$I164=G$2), 'ProductSprint Backlog'!$F164, TRUE, 0)</f>
        <v>0</v>
      </c>
      <c r="H164" s="4" cm="1">
        <f t="array" ref="H164">_xlfn.IFS('ProductSprint Backlog'!$F164="", "", AND('ProductSprint Backlog'!$J164&gt;H$2,'ProductSprint Backlog'!$I164&lt;=H$2), 'ProductSprint Backlog'!$F164 / MAX(1, 'ProductSprint Backlog'!$J164-'ProductSprint Backlog'!$I164), AND('ProductSprint Backlog'!$J164=H$2,'ProductSprint Backlog'!$I164=H$2), 'ProductSprint Backlog'!$F164, TRUE, 0)</f>
        <v>0</v>
      </c>
      <c r="I164" s="4" cm="1">
        <f t="array" ref="I164">_xlfn.IFS('ProductSprint Backlog'!$F164="", "", AND('ProductSprint Backlog'!$J164&gt;I$2,'ProductSprint Backlog'!$I164&lt;=I$2), 'ProductSprint Backlog'!$F164 / MAX(1, 'ProductSprint Backlog'!$J164-'ProductSprint Backlog'!$I164), AND('ProductSprint Backlog'!$J164=I$2,'ProductSprint Backlog'!$I164=I$2), 'ProductSprint Backlog'!$F164, TRUE, 0)</f>
        <v>0</v>
      </c>
      <c r="J164" s="4" cm="1">
        <f t="array" ref="J164">_xlfn.IFS('ProductSprint Backlog'!$F164="", "", AND('ProductSprint Backlog'!$J164&gt;J$2,'ProductSprint Backlog'!$I164&lt;=J$2), 'ProductSprint Backlog'!$F164 / MAX(1, 'ProductSprint Backlog'!$J164-'ProductSprint Backlog'!$I164), AND('ProductSprint Backlog'!$J164=J$2,'ProductSprint Backlog'!$I164=J$2), 'ProductSprint Backlog'!$F164, TRUE, 0)</f>
        <v>0</v>
      </c>
    </row>
    <row r="165" spans="2:10" x14ac:dyDescent="0.2">
      <c r="B165" s="4" cm="1">
        <f t="array" ref="B165">_xlfn.IFS('ProductSprint Backlog'!$F165="", "", AND('ProductSprint Backlog'!$J165&gt;B$2,'ProductSprint Backlog'!$I165&lt;=B$2), 'ProductSprint Backlog'!$F165 / MAX(1, 'ProductSprint Backlog'!$J165-'ProductSprint Backlog'!$I165), AND('ProductSprint Backlog'!$J165=B$2,'ProductSprint Backlog'!$I165=B$2), 'ProductSprint Backlog'!$F165, TRUE, 0)</f>
        <v>0</v>
      </c>
      <c r="C165" s="4" cm="1">
        <f t="array" ref="C165">_xlfn.IFS('ProductSprint Backlog'!$F165="", "", AND('ProductSprint Backlog'!$J165&gt;C$2,'ProductSprint Backlog'!$I165&lt;=C$2), 'ProductSprint Backlog'!$F165 / MAX(1, 'ProductSprint Backlog'!$J165-'ProductSprint Backlog'!$I165), AND('ProductSprint Backlog'!$J165=C$2,'ProductSprint Backlog'!$I165=C$2), 'ProductSprint Backlog'!$F165, TRUE, 0)</f>
        <v>0</v>
      </c>
      <c r="D165" s="4" cm="1">
        <f t="array" ref="D165">_xlfn.IFS('ProductSprint Backlog'!$F165="", "", AND('ProductSprint Backlog'!$J165&gt;D$2,'ProductSprint Backlog'!$I165&lt;=D$2), 'ProductSprint Backlog'!$F165 / MAX(1, 'ProductSprint Backlog'!$J165-'ProductSprint Backlog'!$I165), AND('ProductSprint Backlog'!$J165=D$2,'ProductSprint Backlog'!$I165=D$2), 'ProductSprint Backlog'!$F165, TRUE, 0)</f>
        <v>0</v>
      </c>
      <c r="E165" s="4" cm="1">
        <f t="array" ref="E165">_xlfn.IFS('ProductSprint Backlog'!$F165="", "", AND('ProductSprint Backlog'!$J165&gt;E$2,'ProductSprint Backlog'!$I165&lt;=E$2), 'ProductSprint Backlog'!$F165 / MAX(1, 'ProductSprint Backlog'!$J165-'ProductSprint Backlog'!$I165), AND('ProductSprint Backlog'!$J165=E$2,'ProductSprint Backlog'!$I165=E$2), 'ProductSprint Backlog'!$F165, TRUE, 0)</f>
        <v>0</v>
      </c>
      <c r="F165" s="4" cm="1">
        <f t="array" ref="F165">_xlfn.IFS('ProductSprint Backlog'!$F165="", "", AND('ProductSprint Backlog'!$J165&gt;F$2,'ProductSprint Backlog'!$I165&lt;=F$2), 'ProductSprint Backlog'!$F165 / MAX(1, 'ProductSprint Backlog'!$J165-'ProductSprint Backlog'!$I165), AND('ProductSprint Backlog'!$J165=F$2,'ProductSprint Backlog'!$I165=F$2), 'ProductSprint Backlog'!$F165, TRUE, 0)</f>
        <v>0</v>
      </c>
      <c r="G165" s="4" cm="1">
        <f t="array" ref="G165">_xlfn.IFS('ProductSprint Backlog'!$F165="", "", AND('ProductSprint Backlog'!$J165&gt;G$2,'ProductSprint Backlog'!$I165&lt;=G$2), 'ProductSprint Backlog'!$F165 / MAX(1, 'ProductSprint Backlog'!$J165-'ProductSprint Backlog'!$I165), AND('ProductSprint Backlog'!$J165=G$2,'ProductSprint Backlog'!$I165=G$2), 'ProductSprint Backlog'!$F165, TRUE, 0)</f>
        <v>0</v>
      </c>
      <c r="H165" s="4" cm="1">
        <f t="array" ref="H165">_xlfn.IFS('ProductSprint Backlog'!$F165="", "", AND('ProductSprint Backlog'!$J165&gt;H$2,'ProductSprint Backlog'!$I165&lt;=H$2), 'ProductSprint Backlog'!$F165 / MAX(1, 'ProductSprint Backlog'!$J165-'ProductSprint Backlog'!$I165), AND('ProductSprint Backlog'!$J165=H$2,'ProductSprint Backlog'!$I165=H$2), 'ProductSprint Backlog'!$F165, TRUE, 0)</f>
        <v>0</v>
      </c>
      <c r="I165" s="4" cm="1">
        <f t="array" ref="I165">_xlfn.IFS('ProductSprint Backlog'!$F165="", "", AND('ProductSprint Backlog'!$J165&gt;I$2,'ProductSprint Backlog'!$I165&lt;=I$2), 'ProductSprint Backlog'!$F165 / MAX(1, 'ProductSprint Backlog'!$J165-'ProductSprint Backlog'!$I165), AND('ProductSprint Backlog'!$J165=I$2,'ProductSprint Backlog'!$I165=I$2), 'ProductSprint Backlog'!$F165, TRUE, 0)</f>
        <v>0</v>
      </c>
      <c r="J165" s="4" cm="1">
        <f t="array" ref="J165">_xlfn.IFS('ProductSprint Backlog'!$F165="", "", AND('ProductSprint Backlog'!$J165&gt;J$2,'ProductSprint Backlog'!$I165&lt;=J$2), 'ProductSprint Backlog'!$F165 / MAX(1, 'ProductSprint Backlog'!$J165-'ProductSprint Backlog'!$I165), AND('ProductSprint Backlog'!$J165=J$2,'ProductSprint Backlog'!$I165=J$2), 'ProductSprint Backlog'!$F165, TRUE, 0)</f>
        <v>0</v>
      </c>
    </row>
    <row r="166" spans="2:10" x14ac:dyDescent="0.2">
      <c r="B166" s="4" cm="1">
        <f t="array" ref="B166">_xlfn.IFS('ProductSprint Backlog'!$F166="", "", AND('ProductSprint Backlog'!$J166&gt;B$2,'ProductSprint Backlog'!$I166&lt;=B$2), 'ProductSprint Backlog'!$F166 / MAX(1, 'ProductSprint Backlog'!$J166-'ProductSprint Backlog'!$I166), AND('ProductSprint Backlog'!$J166=B$2,'ProductSprint Backlog'!$I166=B$2), 'ProductSprint Backlog'!$F166, TRUE, 0)</f>
        <v>0</v>
      </c>
      <c r="C166" s="4" cm="1">
        <f t="array" ref="C166">_xlfn.IFS('ProductSprint Backlog'!$F166="", "", AND('ProductSprint Backlog'!$J166&gt;C$2,'ProductSprint Backlog'!$I166&lt;=C$2), 'ProductSprint Backlog'!$F166 / MAX(1, 'ProductSprint Backlog'!$J166-'ProductSprint Backlog'!$I166), AND('ProductSprint Backlog'!$J166=C$2,'ProductSprint Backlog'!$I166=C$2), 'ProductSprint Backlog'!$F166, TRUE, 0)</f>
        <v>0</v>
      </c>
      <c r="D166" s="4" cm="1">
        <f t="array" ref="D166">_xlfn.IFS('ProductSprint Backlog'!$F166="", "", AND('ProductSprint Backlog'!$J166&gt;D$2,'ProductSprint Backlog'!$I166&lt;=D$2), 'ProductSprint Backlog'!$F166 / MAX(1, 'ProductSprint Backlog'!$J166-'ProductSprint Backlog'!$I166), AND('ProductSprint Backlog'!$J166=D$2,'ProductSprint Backlog'!$I166=D$2), 'ProductSprint Backlog'!$F166, TRUE, 0)</f>
        <v>0</v>
      </c>
      <c r="E166" s="4" cm="1">
        <f t="array" ref="E166">_xlfn.IFS('ProductSprint Backlog'!$F166="", "", AND('ProductSprint Backlog'!$J166&gt;E$2,'ProductSprint Backlog'!$I166&lt;=E$2), 'ProductSprint Backlog'!$F166 / MAX(1, 'ProductSprint Backlog'!$J166-'ProductSprint Backlog'!$I166), AND('ProductSprint Backlog'!$J166=E$2,'ProductSprint Backlog'!$I166=E$2), 'ProductSprint Backlog'!$F166, TRUE, 0)</f>
        <v>0</v>
      </c>
      <c r="F166" s="4" cm="1">
        <f t="array" ref="F166">_xlfn.IFS('ProductSprint Backlog'!$F166="", "", AND('ProductSprint Backlog'!$J166&gt;F$2,'ProductSprint Backlog'!$I166&lt;=F$2), 'ProductSprint Backlog'!$F166 / MAX(1, 'ProductSprint Backlog'!$J166-'ProductSprint Backlog'!$I166), AND('ProductSprint Backlog'!$J166=F$2,'ProductSprint Backlog'!$I166=F$2), 'ProductSprint Backlog'!$F166, TRUE, 0)</f>
        <v>0</v>
      </c>
      <c r="G166" s="4" cm="1">
        <f t="array" ref="G166">_xlfn.IFS('ProductSprint Backlog'!$F166="", "", AND('ProductSprint Backlog'!$J166&gt;G$2,'ProductSprint Backlog'!$I166&lt;=G$2), 'ProductSprint Backlog'!$F166 / MAX(1, 'ProductSprint Backlog'!$J166-'ProductSprint Backlog'!$I166), AND('ProductSprint Backlog'!$J166=G$2,'ProductSprint Backlog'!$I166=G$2), 'ProductSprint Backlog'!$F166, TRUE, 0)</f>
        <v>0</v>
      </c>
      <c r="H166" s="4" cm="1">
        <f t="array" ref="H166">_xlfn.IFS('ProductSprint Backlog'!$F166="", "", AND('ProductSprint Backlog'!$J166&gt;H$2,'ProductSprint Backlog'!$I166&lt;=H$2), 'ProductSprint Backlog'!$F166 / MAX(1, 'ProductSprint Backlog'!$J166-'ProductSprint Backlog'!$I166), AND('ProductSprint Backlog'!$J166=H$2,'ProductSprint Backlog'!$I166=H$2), 'ProductSprint Backlog'!$F166, TRUE, 0)</f>
        <v>0</v>
      </c>
      <c r="I166" s="4" cm="1">
        <f t="array" ref="I166">_xlfn.IFS('ProductSprint Backlog'!$F166="", "", AND('ProductSprint Backlog'!$J166&gt;I$2,'ProductSprint Backlog'!$I166&lt;=I$2), 'ProductSprint Backlog'!$F166 / MAX(1, 'ProductSprint Backlog'!$J166-'ProductSprint Backlog'!$I166), AND('ProductSprint Backlog'!$J166=I$2,'ProductSprint Backlog'!$I166=I$2), 'ProductSprint Backlog'!$F166, TRUE, 0)</f>
        <v>0</v>
      </c>
      <c r="J166" s="4" cm="1">
        <f t="array" ref="J166">_xlfn.IFS('ProductSprint Backlog'!$F166="", "", AND('ProductSprint Backlog'!$J166&gt;J$2,'ProductSprint Backlog'!$I166&lt;=J$2), 'ProductSprint Backlog'!$F166 / MAX(1, 'ProductSprint Backlog'!$J166-'ProductSprint Backlog'!$I166), AND('ProductSprint Backlog'!$J166=J$2,'ProductSprint Backlog'!$I166=J$2), 'ProductSprint Backlog'!$F166, TRUE, 0)</f>
        <v>0</v>
      </c>
    </row>
    <row r="167" spans="2:10" x14ac:dyDescent="0.2">
      <c r="B167" s="4" t="str" cm="1">
        <f t="array" ref="B167">_xlfn.IFS('ProductSprint Backlog'!$F167="", "", AND('ProductSprint Backlog'!$J167&gt;B$2,'ProductSprint Backlog'!$I167&lt;=B$2), 'ProductSprint Backlog'!$F167 / MAX(1, 'ProductSprint Backlog'!$J167-'ProductSprint Backlog'!$I167), AND('ProductSprint Backlog'!$J167=B$2,'ProductSprint Backlog'!$I167=B$2), 'ProductSprint Backlog'!$F167, TRUE, 0)</f>
        <v/>
      </c>
      <c r="C167" s="4" t="str" cm="1">
        <f t="array" ref="C167">_xlfn.IFS('ProductSprint Backlog'!$F167="", "", AND('ProductSprint Backlog'!$J167&gt;C$2,'ProductSprint Backlog'!$I167&lt;=C$2), 'ProductSprint Backlog'!$F167 / MAX(1, 'ProductSprint Backlog'!$J167-'ProductSprint Backlog'!$I167), AND('ProductSprint Backlog'!$J167=C$2,'ProductSprint Backlog'!$I167=C$2), 'ProductSprint Backlog'!$F167, TRUE, 0)</f>
        <v/>
      </c>
      <c r="D167" s="4" t="str" cm="1">
        <f t="array" ref="D167">_xlfn.IFS('ProductSprint Backlog'!$F167="", "", AND('ProductSprint Backlog'!$J167&gt;D$2,'ProductSprint Backlog'!$I167&lt;=D$2), 'ProductSprint Backlog'!$F167 / MAX(1, 'ProductSprint Backlog'!$J167-'ProductSprint Backlog'!$I167), AND('ProductSprint Backlog'!$J167=D$2,'ProductSprint Backlog'!$I167=D$2), 'ProductSprint Backlog'!$F167, TRUE, 0)</f>
        <v/>
      </c>
      <c r="E167" s="4" t="str" cm="1">
        <f t="array" ref="E167">_xlfn.IFS('ProductSprint Backlog'!$F167="", "", AND('ProductSprint Backlog'!$J167&gt;E$2,'ProductSprint Backlog'!$I167&lt;=E$2), 'ProductSprint Backlog'!$F167 / MAX(1, 'ProductSprint Backlog'!$J167-'ProductSprint Backlog'!$I167), AND('ProductSprint Backlog'!$J167=E$2,'ProductSprint Backlog'!$I167=E$2), 'ProductSprint Backlog'!$F167, TRUE, 0)</f>
        <v/>
      </c>
      <c r="F167" s="4" t="str" cm="1">
        <f t="array" ref="F167">_xlfn.IFS('ProductSprint Backlog'!$F167="", "", AND('ProductSprint Backlog'!$J167&gt;F$2,'ProductSprint Backlog'!$I167&lt;=F$2), 'ProductSprint Backlog'!$F167 / MAX(1, 'ProductSprint Backlog'!$J167-'ProductSprint Backlog'!$I167), AND('ProductSprint Backlog'!$J167=F$2,'ProductSprint Backlog'!$I167=F$2), 'ProductSprint Backlog'!$F167, TRUE, 0)</f>
        <v/>
      </c>
      <c r="G167" s="4" t="str" cm="1">
        <f t="array" ref="G167">_xlfn.IFS('ProductSprint Backlog'!$F167="", "", AND('ProductSprint Backlog'!$J167&gt;G$2,'ProductSprint Backlog'!$I167&lt;=G$2), 'ProductSprint Backlog'!$F167 / MAX(1, 'ProductSprint Backlog'!$J167-'ProductSprint Backlog'!$I167), AND('ProductSprint Backlog'!$J167=G$2,'ProductSprint Backlog'!$I167=G$2), 'ProductSprint Backlog'!$F167, TRUE, 0)</f>
        <v/>
      </c>
      <c r="H167" s="4" t="str" cm="1">
        <f t="array" ref="H167">_xlfn.IFS('ProductSprint Backlog'!$F167="", "", AND('ProductSprint Backlog'!$J167&gt;H$2,'ProductSprint Backlog'!$I167&lt;=H$2), 'ProductSprint Backlog'!$F167 / MAX(1, 'ProductSprint Backlog'!$J167-'ProductSprint Backlog'!$I167), AND('ProductSprint Backlog'!$J167=H$2,'ProductSprint Backlog'!$I167=H$2), 'ProductSprint Backlog'!$F167, TRUE, 0)</f>
        <v/>
      </c>
      <c r="I167" s="4" t="str" cm="1">
        <f t="array" ref="I167">_xlfn.IFS('ProductSprint Backlog'!$F167="", "", AND('ProductSprint Backlog'!$J167&gt;I$2,'ProductSprint Backlog'!$I167&lt;=I$2), 'ProductSprint Backlog'!$F167 / MAX(1, 'ProductSprint Backlog'!$J167-'ProductSprint Backlog'!$I167), AND('ProductSprint Backlog'!$J167=I$2,'ProductSprint Backlog'!$I167=I$2), 'ProductSprint Backlog'!$F167, TRUE, 0)</f>
        <v/>
      </c>
      <c r="J167" s="4" t="str" cm="1">
        <f t="array" ref="J167">_xlfn.IFS('ProductSprint Backlog'!$F167="", "", AND('ProductSprint Backlog'!$J167&gt;J$2,'ProductSprint Backlog'!$I167&lt;=J$2), 'ProductSprint Backlog'!$F167 / MAX(1, 'ProductSprint Backlog'!$J167-'ProductSprint Backlog'!$I167), AND('ProductSprint Backlog'!$J167=J$2,'ProductSprint Backlog'!$I167=J$2), 'ProductSprint Backlog'!$F167, TRUE, 0)</f>
        <v/>
      </c>
    </row>
    <row r="168" spans="2:10" x14ac:dyDescent="0.2">
      <c r="B168" s="4" cm="1">
        <f t="array" ref="B168">_xlfn.IFS('ProductSprint Backlog'!$F168="", "", AND('ProductSprint Backlog'!$J168&gt;B$2,'ProductSprint Backlog'!$I168&lt;=B$2), 'ProductSprint Backlog'!$F168 / MAX(1, 'ProductSprint Backlog'!$J168-'ProductSprint Backlog'!$I168), AND('ProductSprint Backlog'!$J168=B$2,'ProductSprint Backlog'!$I168=B$2), 'ProductSprint Backlog'!$F168, TRUE, 0)</f>
        <v>0</v>
      </c>
      <c r="C168" s="4" cm="1">
        <f t="array" ref="C168">_xlfn.IFS('ProductSprint Backlog'!$F168="", "", AND('ProductSprint Backlog'!$J168&gt;C$2,'ProductSprint Backlog'!$I168&lt;=C$2), 'ProductSprint Backlog'!$F168 / MAX(1, 'ProductSprint Backlog'!$J168-'ProductSprint Backlog'!$I168), AND('ProductSprint Backlog'!$J168=C$2,'ProductSprint Backlog'!$I168=C$2), 'ProductSprint Backlog'!$F168, TRUE, 0)</f>
        <v>0</v>
      </c>
      <c r="D168" s="4" cm="1">
        <f t="array" ref="D168">_xlfn.IFS('ProductSprint Backlog'!$F168="", "", AND('ProductSprint Backlog'!$J168&gt;D$2,'ProductSprint Backlog'!$I168&lt;=D$2), 'ProductSprint Backlog'!$F168 / MAX(1, 'ProductSprint Backlog'!$J168-'ProductSprint Backlog'!$I168), AND('ProductSprint Backlog'!$J168=D$2,'ProductSprint Backlog'!$I168=D$2), 'ProductSprint Backlog'!$F168, TRUE, 0)</f>
        <v>0</v>
      </c>
      <c r="E168" s="4" cm="1">
        <f t="array" ref="E168">_xlfn.IFS('ProductSprint Backlog'!$F168="", "", AND('ProductSprint Backlog'!$J168&gt;E$2,'ProductSprint Backlog'!$I168&lt;=E$2), 'ProductSprint Backlog'!$F168 / MAX(1, 'ProductSprint Backlog'!$J168-'ProductSprint Backlog'!$I168), AND('ProductSprint Backlog'!$J168=E$2,'ProductSprint Backlog'!$I168=E$2), 'ProductSprint Backlog'!$F168, TRUE, 0)</f>
        <v>0</v>
      </c>
      <c r="F168" s="4" cm="1">
        <f t="array" ref="F168">_xlfn.IFS('ProductSprint Backlog'!$F168="", "", AND('ProductSprint Backlog'!$J168&gt;F$2,'ProductSprint Backlog'!$I168&lt;=F$2), 'ProductSprint Backlog'!$F168 / MAX(1, 'ProductSprint Backlog'!$J168-'ProductSprint Backlog'!$I168), AND('ProductSprint Backlog'!$J168=F$2,'ProductSprint Backlog'!$I168=F$2), 'ProductSprint Backlog'!$F168, TRUE, 0)</f>
        <v>0</v>
      </c>
      <c r="G168" s="4" cm="1">
        <f t="array" ref="G168">_xlfn.IFS('ProductSprint Backlog'!$F168="", "", AND('ProductSprint Backlog'!$J168&gt;G$2,'ProductSprint Backlog'!$I168&lt;=G$2), 'ProductSprint Backlog'!$F168 / MAX(1, 'ProductSprint Backlog'!$J168-'ProductSprint Backlog'!$I168), AND('ProductSprint Backlog'!$J168=G$2,'ProductSprint Backlog'!$I168=G$2), 'ProductSprint Backlog'!$F168, TRUE, 0)</f>
        <v>0</v>
      </c>
      <c r="H168" s="4" cm="1">
        <f t="array" ref="H168">_xlfn.IFS('ProductSprint Backlog'!$F168="", "", AND('ProductSprint Backlog'!$J168&gt;H$2,'ProductSprint Backlog'!$I168&lt;=H$2), 'ProductSprint Backlog'!$F168 / MAX(1, 'ProductSprint Backlog'!$J168-'ProductSprint Backlog'!$I168), AND('ProductSprint Backlog'!$J168=H$2,'ProductSprint Backlog'!$I168=H$2), 'ProductSprint Backlog'!$F168, TRUE, 0)</f>
        <v>0</v>
      </c>
      <c r="I168" s="4" cm="1">
        <f t="array" ref="I168">_xlfn.IFS('ProductSprint Backlog'!$F168="", "", AND('ProductSprint Backlog'!$J168&gt;I$2,'ProductSprint Backlog'!$I168&lt;=I$2), 'ProductSprint Backlog'!$F168 / MAX(1, 'ProductSprint Backlog'!$J168-'ProductSprint Backlog'!$I168), AND('ProductSprint Backlog'!$J168=I$2,'ProductSprint Backlog'!$I168=I$2), 'ProductSprint Backlog'!$F168, TRUE, 0)</f>
        <v>0</v>
      </c>
      <c r="J168" s="4" cm="1">
        <f t="array" ref="J168">_xlfn.IFS('ProductSprint Backlog'!$F168="", "", AND('ProductSprint Backlog'!$J168&gt;J$2,'ProductSprint Backlog'!$I168&lt;=J$2), 'ProductSprint Backlog'!$F168 / MAX(1, 'ProductSprint Backlog'!$J168-'ProductSprint Backlog'!$I168), AND('ProductSprint Backlog'!$J168=J$2,'ProductSprint Backlog'!$I168=J$2), 'ProductSprint Backlog'!$F168, TRUE, 0)</f>
        <v>0</v>
      </c>
    </row>
    <row r="169" spans="2:10" x14ac:dyDescent="0.2">
      <c r="B169" s="4" cm="1">
        <f t="array" ref="B169">_xlfn.IFS('ProductSprint Backlog'!$F169="", "", AND('ProductSprint Backlog'!$J169&gt;B$2,'ProductSprint Backlog'!$I169&lt;=B$2), 'ProductSprint Backlog'!$F169 / MAX(1, 'ProductSprint Backlog'!$J169-'ProductSprint Backlog'!$I169), AND('ProductSprint Backlog'!$J169=B$2,'ProductSprint Backlog'!$I169=B$2), 'ProductSprint Backlog'!$F169, TRUE, 0)</f>
        <v>0</v>
      </c>
      <c r="C169" s="4" cm="1">
        <f t="array" ref="C169">_xlfn.IFS('ProductSprint Backlog'!$F169="", "", AND('ProductSprint Backlog'!$J169&gt;C$2,'ProductSprint Backlog'!$I169&lt;=C$2), 'ProductSprint Backlog'!$F169 / MAX(1, 'ProductSprint Backlog'!$J169-'ProductSprint Backlog'!$I169), AND('ProductSprint Backlog'!$J169=C$2,'ProductSprint Backlog'!$I169=C$2), 'ProductSprint Backlog'!$F169, TRUE, 0)</f>
        <v>0</v>
      </c>
      <c r="D169" s="4" cm="1">
        <f t="array" ref="D169">_xlfn.IFS('ProductSprint Backlog'!$F169="", "", AND('ProductSprint Backlog'!$J169&gt;D$2,'ProductSprint Backlog'!$I169&lt;=D$2), 'ProductSprint Backlog'!$F169 / MAX(1, 'ProductSprint Backlog'!$J169-'ProductSprint Backlog'!$I169), AND('ProductSprint Backlog'!$J169=D$2,'ProductSprint Backlog'!$I169=D$2), 'ProductSprint Backlog'!$F169, TRUE, 0)</f>
        <v>0</v>
      </c>
      <c r="E169" s="4" cm="1">
        <f t="array" ref="E169">_xlfn.IFS('ProductSprint Backlog'!$F169="", "", AND('ProductSprint Backlog'!$J169&gt;E$2,'ProductSprint Backlog'!$I169&lt;=E$2), 'ProductSprint Backlog'!$F169 / MAX(1, 'ProductSprint Backlog'!$J169-'ProductSprint Backlog'!$I169), AND('ProductSprint Backlog'!$J169=E$2,'ProductSprint Backlog'!$I169=E$2), 'ProductSprint Backlog'!$F169, TRUE, 0)</f>
        <v>0</v>
      </c>
      <c r="F169" s="4" cm="1">
        <f t="array" ref="F169">_xlfn.IFS('ProductSprint Backlog'!$F169="", "", AND('ProductSprint Backlog'!$J169&gt;F$2,'ProductSprint Backlog'!$I169&lt;=F$2), 'ProductSprint Backlog'!$F169 / MAX(1, 'ProductSprint Backlog'!$J169-'ProductSprint Backlog'!$I169), AND('ProductSprint Backlog'!$J169=F$2,'ProductSprint Backlog'!$I169=F$2), 'ProductSprint Backlog'!$F169, TRUE, 0)</f>
        <v>0</v>
      </c>
      <c r="G169" s="4" cm="1">
        <f t="array" ref="G169">_xlfn.IFS('ProductSprint Backlog'!$F169="", "", AND('ProductSprint Backlog'!$J169&gt;G$2,'ProductSprint Backlog'!$I169&lt;=G$2), 'ProductSprint Backlog'!$F169 / MAX(1, 'ProductSprint Backlog'!$J169-'ProductSprint Backlog'!$I169), AND('ProductSprint Backlog'!$J169=G$2,'ProductSprint Backlog'!$I169=G$2), 'ProductSprint Backlog'!$F169, TRUE, 0)</f>
        <v>0</v>
      </c>
      <c r="H169" s="4" cm="1">
        <f t="array" ref="H169">_xlfn.IFS('ProductSprint Backlog'!$F169="", "", AND('ProductSprint Backlog'!$J169&gt;H$2,'ProductSprint Backlog'!$I169&lt;=H$2), 'ProductSprint Backlog'!$F169 / MAX(1, 'ProductSprint Backlog'!$J169-'ProductSprint Backlog'!$I169), AND('ProductSprint Backlog'!$J169=H$2,'ProductSprint Backlog'!$I169=H$2), 'ProductSprint Backlog'!$F169, TRUE, 0)</f>
        <v>0</v>
      </c>
      <c r="I169" s="4" cm="1">
        <f t="array" ref="I169">_xlfn.IFS('ProductSprint Backlog'!$F169="", "", AND('ProductSprint Backlog'!$J169&gt;I$2,'ProductSprint Backlog'!$I169&lt;=I$2), 'ProductSprint Backlog'!$F169 / MAX(1, 'ProductSprint Backlog'!$J169-'ProductSprint Backlog'!$I169), AND('ProductSprint Backlog'!$J169=I$2,'ProductSprint Backlog'!$I169=I$2), 'ProductSprint Backlog'!$F169, TRUE, 0)</f>
        <v>0</v>
      </c>
      <c r="J169" s="4" cm="1">
        <f t="array" ref="J169">_xlfn.IFS('ProductSprint Backlog'!$F169="", "", AND('ProductSprint Backlog'!$J169&gt;J$2,'ProductSprint Backlog'!$I169&lt;=J$2), 'ProductSprint Backlog'!$F169 / MAX(1, 'ProductSprint Backlog'!$J169-'ProductSprint Backlog'!$I169), AND('ProductSprint Backlog'!$J169=J$2,'ProductSprint Backlog'!$I169=J$2), 'ProductSprint Backlog'!$F169, TRUE, 0)</f>
        <v>0</v>
      </c>
    </row>
    <row r="170" spans="2:10" x14ac:dyDescent="0.2">
      <c r="B170" s="4" cm="1">
        <f t="array" ref="B170">_xlfn.IFS('ProductSprint Backlog'!$F170="", "", AND('ProductSprint Backlog'!$J170&gt;B$2,'ProductSprint Backlog'!$I170&lt;=B$2), 'ProductSprint Backlog'!$F170 / MAX(1, 'ProductSprint Backlog'!$J170-'ProductSprint Backlog'!$I170), AND('ProductSprint Backlog'!$J170=B$2,'ProductSprint Backlog'!$I170=B$2), 'ProductSprint Backlog'!$F170, TRUE, 0)</f>
        <v>0</v>
      </c>
      <c r="C170" s="4" cm="1">
        <f t="array" ref="C170">_xlfn.IFS('ProductSprint Backlog'!$F170="", "", AND('ProductSprint Backlog'!$J170&gt;C$2,'ProductSprint Backlog'!$I170&lt;=C$2), 'ProductSprint Backlog'!$F170 / MAX(1, 'ProductSprint Backlog'!$J170-'ProductSprint Backlog'!$I170), AND('ProductSprint Backlog'!$J170=C$2,'ProductSprint Backlog'!$I170=C$2), 'ProductSprint Backlog'!$F170, TRUE, 0)</f>
        <v>0</v>
      </c>
      <c r="D170" s="4" cm="1">
        <f t="array" ref="D170">_xlfn.IFS('ProductSprint Backlog'!$F170="", "", AND('ProductSprint Backlog'!$J170&gt;D$2,'ProductSprint Backlog'!$I170&lt;=D$2), 'ProductSprint Backlog'!$F170 / MAX(1, 'ProductSprint Backlog'!$J170-'ProductSprint Backlog'!$I170), AND('ProductSprint Backlog'!$J170=D$2,'ProductSprint Backlog'!$I170=D$2), 'ProductSprint Backlog'!$F170, TRUE, 0)</f>
        <v>0</v>
      </c>
      <c r="E170" s="4" cm="1">
        <f t="array" ref="E170">_xlfn.IFS('ProductSprint Backlog'!$F170="", "", AND('ProductSprint Backlog'!$J170&gt;E$2,'ProductSprint Backlog'!$I170&lt;=E$2), 'ProductSprint Backlog'!$F170 / MAX(1, 'ProductSprint Backlog'!$J170-'ProductSprint Backlog'!$I170), AND('ProductSprint Backlog'!$J170=E$2,'ProductSprint Backlog'!$I170=E$2), 'ProductSprint Backlog'!$F170, TRUE, 0)</f>
        <v>0</v>
      </c>
      <c r="F170" s="4" cm="1">
        <f t="array" ref="F170">_xlfn.IFS('ProductSprint Backlog'!$F170="", "", AND('ProductSprint Backlog'!$J170&gt;F$2,'ProductSprint Backlog'!$I170&lt;=F$2), 'ProductSprint Backlog'!$F170 / MAX(1, 'ProductSprint Backlog'!$J170-'ProductSprint Backlog'!$I170), AND('ProductSprint Backlog'!$J170=F$2,'ProductSprint Backlog'!$I170=F$2), 'ProductSprint Backlog'!$F170, TRUE, 0)</f>
        <v>0</v>
      </c>
      <c r="G170" s="4" cm="1">
        <f t="array" ref="G170">_xlfn.IFS('ProductSprint Backlog'!$F170="", "", AND('ProductSprint Backlog'!$J170&gt;G$2,'ProductSprint Backlog'!$I170&lt;=G$2), 'ProductSprint Backlog'!$F170 / MAX(1, 'ProductSprint Backlog'!$J170-'ProductSprint Backlog'!$I170), AND('ProductSprint Backlog'!$J170=G$2,'ProductSprint Backlog'!$I170=G$2), 'ProductSprint Backlog'!$F170, TRUE, 0)</f>
        <v>0</v>
      </c>
      <c r="H170" s="4" cm="1">
        <f t="array" ref="H170">_xlfn.IFS('ProductSprint Backlog'!$F170="", "", AND('ProductSprint Backlog'!$J170&gt;H$2,'ProductSprint Backlog'!$I170&lt;=H$2), 'ProductSprint Backlog'!$F170 / MAX(1, 'ProductSprint Backlog'!$J170-'ProductSprint Backlog'!$I170), AND('ProductSprint Backlog'!$J170=H$2,'ProductSprint Backlog'!$I170=H$2), 'ProductSprint Backlog'!$F170, TRUE, 0)</f>
        <v>0</v>
      </c>
      <c r="I170" s="4" cm="1">
        <f t="array" ref="I170">_xlfn.IFS('ProductSprint Backlog'!$F170="", "", AND('ProductSprint Backlog'!$J170&gt;I$2,'ProductSprint Backlog'!$I170&lt;=I$2), 'ProductSprint Backlog'!$F170 / MAX(1, 'ProductSprint Backlog'!$J170-'ProductSprint Backlog'!$I170), AND('ProductSprint Backlog'!$J170=I$2,'ProductSprint Backlog'!$I170=I$2), 'ProductSprint Backlog'!$F170, TRUE, 0)</f>
        <v>0</v>
      </c>
      <c r="J170" s="4" cm="1">
        <f t="array" ref="J170">_xlfn.IFS('ProductSprint Backlog'!$F170="", "", AND('ProductSprint Backlog'!$J170&gt;J$2,'ProductSprint Backlog'!$I170&lt;=J$2), 'ProductSprint Backlog'!$F170 / MAX(1, 'ProductSprint Backlog'!$J170-'ProductSprint Backlog'!$I170), AND('ProductSprint Backlog'!$J170=J$2,'ProductSprint Backlog'!$I170=J$2), 'ProductSprint Backlog'!$F170, TRUE, 0)</f>
        <v>0</v>
      </c>
    </row>
    <row r="171" spans="2:10" x14ac:dyDescent="0.2">
      <c r="B171" s="4" cm="1">
        <f t="array" ref="B171">_xlfn.IFS('ProductSprint Backlog'!$F171="", "", AND('ProductSprint Backlog'!$J171&gt;B$2,'ProductSprint Backlog'!$I171&lt;=B$2), 'ProductSprint Backlog'!$F171 / MAX(1, 'ProductSprint Backlog'!$J171-'ProductSprint Backlog'!$I171), AND('ProductSprint Backlog'!$J171=B$2,'ProductSprint Backlog'!$I171=B$2), 'ProductSprint Backlog'!$F171, TRUE, 0)</f>
        <v>0</v>
      </c>
      <c r="C171" s="4" cm="1">
        <f t="array" ref="C171">_xlfn.IFS('ProductSprint Backlog'!$F171="", "", AND('ProductSprint Backlog'!$J171&gt;C$2,'ProductSprint Backlog'!$I171&lt;=C$2), 'ProductSprint Backlog'!$F171 / MAX(1, 'ProductSprint Backlog'!$J171-'ProductSprint Backlog'!$I171), AND('ProductSprint Backlog'!$J171=C$2,'ProductSprint Backlog'!$I171=C$2), 'ProductSprint Backlog'!$F171, TRUE, 0)</f>
        <v>0</v>
      </c>
      <c r="D171" s="4" cm="1">
        <f t="array" ref="D171">_xlfn.IFS('ProductSprint Backlog'!$F171="", "", AND('ProductSprint Backlog'!$J171&gt;D$2,'ProductSprint Backlog'!$I171&lt;=D$2), 'ProductSprint Backlog'!$F171 / MAX(1, 'ProductSprint Backlog'!$J171-'ProductSprint Backlog'!$I171), AND('ProductSprint Backlog'!$J171=D$2,'ProductSprint Backlog'!$I171=D$2), 'ProductSprint Backlog'!$F171, TRUE, 0)</f>
        <v>0</v>
      </c>
      <c r="E171" s="4" cm="1">
        <f t="array" ref="E171">_xlfn.IFS('ProductSprint Backlog'!$F171="", "", AND('ProductSprint Backlog'!$J171&gt;E$2,'ProductSprint Backlog'!$I171&lt;=E$2), 'ProductSprint Backlog'!$F171 / MAX(1, 'ProductSprint Backlog'!$J171-'ProductSprint Backlog'!$I171), AND('ProductSprint Backlog'!$J171=E$2,'ProductSprint Backlog'!$I171=E$2), 'ProductSprint Backlog'!$F171, TRUE, 0)</f>
        <v>0</v>
      </c>
      <c r="F171" s="4" cm="1">
        <f t="array" ref="F171">_xlfn.IFS('ProductSprint Backlog'!$F171="", "", AND('ProductSprint Backlog'!$J171&gt;F$2,'ProductSprint Backlog'!$I171&lt;=F$2), 'ProductSprint Backlog'!$F171 / MAX(1, 'ProductSprint Backlog'!$J171-'ProductSprint Backlog'!$I171), AND('ProductSprint Backlog'!$J171=F$2,'ProductSprint Backlog'!$I171=F$2), 'ProductSprint Backlog'!$F171, TRUE, 0)</f>
        <v>0</v>
      </c>
      <c r="G171" s="4" cm="1">
        <f t="array" ref="G171">_xlfn.IFS('ProductSprint Backlog'!$F171="", "", AND('ProductSprint Backlog'!$J171&gt;G$2,'ProductSprint Backlog'!$I171&lt;=G$2), 'ProductSprint Backlog'!$F171 / MAX(1, 'ProductSprint Backlog'!$J171-'ProductSprint Backlog'!$I171), AND('ProductSprint Backlog'!$J171=G$2,'ProductSprint Backlog'!$I171=G$2), 'ProductSprint Backlog'!$F171, TRUE, 0)</f>
        <v>0</v>
      </c>
      <c r="H171" s="4" cm="1">
        <f t="array" ref="H171">_xlfn.IFS('ProductSprint Backlog'!$F171="", "", AND('ProductSprint Backlog'!$J171&gt;H$2,'ProductSprint Backlog'!$I171&lt;=H$2), 'ProductSprint Backlog'!$F171 / MAX(1, 'ProductSprint Backlog'!$J171-'ProductSprint Backlog'!$I171), AND('ProductSprint Backlog'!$J171=H$2,'ProductSprint Backlog'!$I171=H$2), 'ProductSprint Backlog'!$F171, TRUE, 0)</f>
        <v>0</v>
      </c>
      <c r="I171" s="4" cm="1">
        <f t="array" ref="I171">_xlfn.IFS('ProductSprint Backlog'!$F171="", "", AND('ProductSprint Backlog'!$J171&gt;I$2,'ProductSprint Backlog'!$I171&lt;=I$2), 'ProductSprint Backlog'!$F171 / MAX(1, 'ProductSprint Backlog'!$J171-'ProductSprint Backlog'!$I171), AND('ProductSprint Backlog'!$J171=I$2,'ProductSprint Backlog'!$I171=I$2), 'ProductSprint Backlog'!$F171, TRUE, 0)</f>
        <v>0</v>
      </c>
      <c r="J171" s="4" cm="1">
        <f t="array" ref="J171">_xlfn.IFS('ProductSprint Backlog'!$F171="", "", AND('ProductSprint Backlog'!$J171&gt;J$2,'ProductSprint Backlog'!$I171&lt;=J$2), 'ProductSprint Backlog'!$F171 / MAX(1, 'ProductSprint Backlog'!$J171-'ProductSprint Backlog'!$I171), AND('ProductSprint Backlog'!$J171=J$2,'ProductSprint Backlog'!$I171=J$2), 'ProductSprint Backlog'!$F171, TRUE, 0)</f>
        <v>0</v>
      </c>
    </row>
    <row r="172" spans="2:10" x14ac:dyDescent="0.2">
      <c r="B172" s="4" cm="1">
        <f t="array" ref="B172">_xlfn.IFS('ProductSprint Backlog'!$F172="", "", AND('ProductSprint Backlog'!$J172&gt;B$2,'ProductSprint Backlog'!$I172&lt;=B$2), 'ProductSprint Backlog'!$F172 / MAX(1, 'ProductSprint Backlog'!$J172-'ProductSprint Backlog'!$I172), AND('ProductSprint Backlog'!$J172=B$2,'ProductSprint Backlog'!$I172=B$2), 'ProductSprint Backlog'!$F172, TRUE, 0)</f>
        <v>0</v>
      </c>
      <c r="C172" s="4" cm="1">
        <f t="array" ref="C172">_xlfn.IFS('ProductSprint Backlog'!$F172="", "", AND('ProductSprint Backlog'!$J172&gt;C$2,'ProductSprint Backlog'!$I172&lt;=C$2), 'ProductSprint Backlog'!$F172 / MAX(1, 'ProductSprint Backlog'!$J172-'ProductSprint Backlog'!$I172), AND('ProductSprint Backlog'!$J172=C$2,'ProductSprint Backlog'!$I172=C$2), 'ProductSprint Backlog'!$F172, TRUE, 0)</f>
        <v>0</v>
      </c>
      <c r="D172" s="4" cm="1">
        <f t="array" ref="D172">_xlfn.IFS('ProductSprint Backlog'!$F172="", "", AND('ProductSprint Backlog'!$J172&gt;D$2,'ProductSprint Backlog'!$I172&lt;=D$2), 'ProductSprint Backlog'!$F172 / MAX(1, 'ProductSprint Backlog'!$J172-'ProductSprint Backlog'!$I172), AND('ProductSprint Backlog'!$J172=D$2,'ProductSprint Backlog'!$I172=D$2), 'ProductSprint Backlog'!$F172, TRUE, 0)</f>
        <v>0</v>
      </c>
      <c r="E172" s="4" cm="1">
        <f t="array" ref="E172">_xlfn.IFS('ProductSprint Backlog'!$F172="", "", AND('ProductSprint Backlog'!$J172&gt;E$2,'ProductSprint Backlog'!$I172&lt;=E$2), 'ProductSprint Backlog'!$F172 / MAX(1, 'ProductSprint Backlog'!$J172-'ProductSprint Backlog'!$I172), AND('ProductSprint Backlog'!$J172=E$2,'ProductSprint Backlog'!$I172=E$2), 'ProductSprint Backlog'!$F172, TRUE, 0)</f>
        <v>0</v>
      </c>
      <c r="F172" s="4" cm="1">
        <f t="array" ref="F172">_xlfn.IFS('ProductSprint Backlog'!$F172="", "", AND('ProductSprint Backlog'!$J172&gt;F$2,'ProductSprint Backlog'!$I172&lt;=F$2), 'ProductSprint Backlog'!$F172 / MAX(1, 'ProductSprint Backlog'!$J172-'ProductSprint Backlog'!$I172), AND('ProductSprint Backlog'!$J172=F$2,'ProductSprint Backlog'!$I172=F$2), 'ProductSprint Backlog'!$F172, TRUE, 0)</f>
        <v>0</v>
      </c>
      <c r="G172" s="4" cm="1">
        <f t="array" ref="G172">_xlfn.IFS('ProductSprint Backlog'!$F172="", "", AND('ProductSprint Backlog'!$J172&gt;G$2,'ProductSprint Backlog'!$I172&lt;=G$2), 'ProductSprint Backlog'!$F172 / MAX(1, 'ProductSprint Backlog'!$J172-'ProductSprint Backlog'!$I172), AND('ProductSprint Backlog'!$J172=G$2,'ProductSprint Backlog'!$I172=G$2), 'ProductSprint Backlog'!$F172, TRUE, 0)</f>
        <v>0</v>
      </c>
      <c r="H172" s="4" cm="1">
        <f t="array" ref="H172">_xlfn.IFS('ProductSprint Backlog'!$F172="", "", AND('ProductSprint Backlog'!$J172&gt;H$2,'ProductSprint Backlog'!$I172&lt;=H$2), 'ProductSprint Backlog'!$F172 / MAX(1, 'ProductSprint Backlog'!$J172-'ProductSprint Backlog'!$I172), AND('ProductSprint Backlog'!$J172=H$2,'ProductSprint Backlog'!$I172=H$2), 'ProductSprint Backlog'!$F172, TRUE, 0)</f>
        <v>0</v>
      </c>
      <c r="I172" s="4" cm="1">
        <f t="array" ref="I172">_xlfn.IFS('ProductSprint Backlog'!$F172="", "", AND('ProductSprint Backlog'!$J172&gt;I$2,'ProductSprint Backlog'!$I172&lt;=I$2), 'ProductSprint Backlog'!$F172 / MAX(1, 'ProductSprint Backlog'!$J172-'ProductSprint Backlog'!$I172), AND('ProductSprint Backlog'!$J172=I$2,'ProductSprint Backlog'!$I172=I$2), 'ProductSprint Backlog'!$F172, TRUE, 0)</f>
        <v>0</v>
      </c>
      <c r="J172" s="4" cm="1">
        <f t="array" ref="J172">_xlfn.IFS('ProductSprint Backlog'!$F172="", "", AND('ProductSprint Backlog'!$J172&gt;J$2,'ProductSprint Backlog'!$I172&lt;=J$2), 'ProductSprint Backlog'!$F172 / MAX(1, 'ProductSprint Backlog'!$J172-'ProductSprint Backlog'!$I172), AND('ProductSprint Backlog'!$J172=J$2,'ProductSprint Backlog'!$I172=J$2), 'ProductSprint Backlog'!$F172, TRUE, 0)</f>
        <v>0</v>
      </c>
    </row>
    <row r="173" spans="2:10" x14ac:dyDescent="0.2">
      <c r="B173" s="4" cm="1">
        <f t="array" ref="B173">_xlfn.IFS('ProductSprint Backlog'!$F173="", "", AND('ProductSprint Backlog'!$J173&gt;B$2,'ProductSprint Backlog'!$I173&lt;=B$2), 'ProductSprint Backlog'!$F173 / MAX(1, 'ProductSprint Backlog'!$J173-'ProductSprint Backlog'!$I173), AND('ProductSprint Backlog'!$J173=B$2,'ProductSprint Backlog'!$I173=B$2), 'ProductSprint Backlog'!$F173, TRUE, 0)</f>
        <v>0</v>
      </c>
      <c r="C173" s="4" cm="1">
        <f t="array" ref="C173">_xlfn.IFS('ProductSprint Backlog'!$F173="", "", AND('ProductSprint Backlog'!$J173&gt;C$2,'ProductSprint Backlog'!$I173&lt;=C$2), 'ProductSprint Backlog'!$F173 / MAX(1, 'ProductSprint Backlog'!$J173-'ProductSprint Backlog'!$I173), AND('ProductSprint Backlog'!$J173=C$2,'ProductSprint Backlog'!$I173=C$2), 'ProductSprint Backlog'!$F173, TRUE, 0)</f>
        <v>0</v>
      </c>
      <c r="D173" s="4" cm="1">
        <f t="array" ref="D173">_xlfn.IFS('ProductSprint Backlog'!$F173="", "", AND('ProductSprint Backlog'!$J173&gt;D$2,'ProductSprint Backlog'!$I173&lt;=D$2), 'ProductSprint Backlog'!$F173 / MAX(1, 'ProductSprint Backlog'!$J173-'ProductSprint Backlog'!$I173), AND('ProductSprint Backlog'!$J173=D$2,'ProductSprint Backlog'!$I173=D$2), 'ProductSprint Backlog'!$F173, TRUE, 0)</f>
        <v>0</v>
      </c>
      <c r="E173" s="4" cm="1">
        <f t="array" ref="E173">_xlfn.IFS('ProductSprint Backlog'!$F173="", "", AND('ProductSprint Backlog'!$J173&gt;E$2,'ProductSprint Backlog'!$I173&lt;=E$2), 'ProductSprint Backlog'!$F173 / MAX(1, 'ProductSprint Backlog'!$J173-'ProductSprint Backlog'!$I173), AND('ProductSprint Backlog'!$J173=E$2,'ProductSprint Backlog'!$I173=E$2), 'ProductSprint Backlog'!$F173, TRUE, 0)</f>
        <v>0</v>
      </c>
      <c r="F173" s="4" cm="1">
        <f t="array" ref="F173">_xlfn.IFS('ProductSprint Backlog'!$F173="", "", AND('ProductSprint Backlog'!$J173&gt;F$2,'ProductSprint Backlog'!$I173&lt;=F$2), 'ProductSprint Backlog'!$F173 / MAX(1, 'ProductSprint Backlog'!$J173-'ProductSprint Backlog'!$I173), AND('ProductSprint Backlog'!$J173=F$2,'ProductSprint Backlog'!$I173=F$2), 'ProductSprint Backlog'!$F173, TRUE, 0)</f>
        <v>0</v>
      </c>
      <c r="G173" s="4" cm="1">
        <f t="array" ref="G173">_xlfn.IFS('ProductSprint Backlog'!$F173="", "", AND('ProductSprint Backlog'!$J173&gt;G$2,'ProductSprint Backlog'!$I173&lt;=G$2), 'ProductSprint Backlog'!$F173 / MAX(1, 'ProductSprint Backlog'!$J173-'ProductSprint Backlog'!$I173), AND('ProductSprint Backlog'!$J173=G$2,'ProductSprint Backlog'!$I173=G$2), 'ProductSprint Backlog'!$F173, TRUE, 0)</f>
        <v>0</v>
      </c>
      <c r="H173" s="4" cm="1">
        <f t="array" ref="H173">_xlfn.IFS('ProductSprint Backlog'!$F173="", "", AND('ProductSprint Backlog'!$J173&gt;H$2,'ProductSprint Backlog'!$I173&lt;=H$2), 'ProductSprint Backlog'!$F173 / MAX(1, 'ProductSprint Backlog'!$J173-'ProductSprint Backlog'!$I173), AND('ProductSprint Backlog'!$J173=H$2,'ProductSprint Backlog'!$I173=H$2), 'ProductSprint Backlog'!$F173, TRUE, 0)</f>
        <v>0</v>
      </c>
      <c r="I173" s="4" cm="1">
        <f t="array" ref="I173">_xlfn.IFS('ProductSprint Backlog'!$F173="", "", AND('ProductSprint Backlog'!$J173&gt;I$2,'ProductSprint Backlog'!$I173&lt;=I$2), 'ProductSprint Backlog'!$F173 / MAX(1, 'ProductSprint Backlog'!$J173-'ProductSprint Backlog'!$I173), AND('ProductSprint Backlog'!$J173=I$2,'ProductSprint Backlog'!$I173=I$2), 'ProductSprint Backlog'!$F173, TRUE, 0)</f>
        <v>0</v>
      </c>
      <c r="J173" s="4" cm="1">
        <f t="array" ref="J173">_xlfn.IFS('ProductSprint Backlog'!$F173="", "", AND('ProductSprint Backlog'!$J173&gt;J$2,'ProductSprint Backlog'!$I173&lt;=J$2), 'ProductSprint Backlog'!$F173 / MAX(1, 'ProductSprint Backlog'!$J173-'ProductSprint Backlog'!$I173), AND('ProductSprint Backlog'!$J173=J$2,'ProductSprint Backlog'!$I173=J$2), 'ProductSprint Backlog'!$F173, TRUE, 0)</f>
        <v>0</v>
      </c>
    </row>
    <row r="174" spans="2:10" x14ac:dyDescent="0.2">
      <c r="B174" s="4" cm="1">
        <f t="array" ref="B174">_xlfn.IFS('ProductSprint Backlog'!$F174="", "", AND('ProductSprint Backlog'!$J174&gt;B$2,'ProductSprint Backlog'!$I174&lt;=B$2), 'ProductSprint Backlog'!$F174 / MAX(1, 'ProductSprint Backlog'!$J174-'ProductSprint Backlog'!$I174), AND('ProductSprint Backlog'!$J174=B$2,'ProductSprint Backlog'!$I174=B$2), 'ProductSprint Backlog'!$F174, TRUE, 0)</f>
        <v>0</v>
      </c>
      <c r="C174" s="4" cm="1">
        <f t="array" ref="C174">_xlfn.IFS('ProductSprint Backlog'!$F174="", "", AND('ProductSprint Backlog'!$J174&gt;C$2,'ProductSprint Backlog'!$I174&lt;=C$2), 'ProductSprint Backlog'!$F174 / MAX(1, 'ProductSprint Backlog'!$J174-'ProductSprint Backlog'!$I174), AND('ProductSprint Backlog'!$J174=C$2,'ProductSprint Backlog'!$I174=C$2), 'ProductSprint Backlog'!$F174, TRUE, 0)</f>
        <v>0</v>
      </c>
      <c r="D174" s="4" cm="1">
        <f t="array" ref="D174">_xlfn.IFS('ProductSprint Backlog'!$F174="", "", AND('ProductSprint Backlog'!$J174&gt;D$2,'ProductSprint Backlog'!$I174&lt;=D$2), 'ProductSprint Backlog'!$F174 / MAX(1, 'ProductSprint Backlog'!$J174-'ProductSprint Backlog'!$I174), AND('ProductSprint Backlog'!$J174=D$2,'ProductSprint Backlog'!$I174=D$2), 'ProductSprint Backlog'!$F174, TRUE, 0)</f>
        <v>0</v>
      </c>
      <c r="E174" s="4" cm="1">
        <f t="array" ref="E174">_xlfn.IFS('ProductSprint Backlog'!$F174="", "", AND('ProductSprint Backlog'!$J174&gt;E$2,'ProductSprint Backlog'!$I174&lt;=E$2), 'ProductSprint Backlog'!$F174 / MAX(1, 'ProductSprint Backlog'!$J174-'ProductSprint Backlog'!$I174), AND('ProductSprint Backlog'!$J174=E$2,'ProductSprint Backlog'!$I174=E$2), 'ProductSprint Backlog'!$F174, TRUE, 0)</f>
        <v>0</v>
      </c>
      <c r="F174" s="4" cm="1">
        <f t="array" ref="F174">_xlfn.IFS('ProductSprint Backlog'!$F174="", "", AND('ProductSprint Backlog'!$J174&gt;F$2,'ProductSprint Backlog'!$I174&lt;=F$2), 'ProductSprint Backlog'!$F174 / MAX(1, 'ProductSprint Backlog'!$J174-'ProductSprint Backlog'!$I174), AND('ProductSprint Backlog'!$J174=F$2,'ProductSprint Backlog'!$I174=F$2), 'ProductSprint Backlog'!$F174, TRUE, 0)</f>
        <v>0</v>
      </c>
      <c r="G174" s="4" cm="1">
        <f t="array" ref="G174">_xlfn.IFS('ProductSprint Backlog'!$F174="", "", AND('ProductSprint Backlog'!$J174&gt;G$2,'ProductSprint Backlog'!$I174&lt;=G$2), 'ProductSprint Backlog'!$F174 / MAX(1, 'ProductSprint Backlog'!$J174-'ProductSprint Backlog'!$I174), AND('ProductSprint Backlog'!$J174=G$2,'ProductSprint Backlog'!$I174=G$2), 'ProductSprint Backlog'!$F174, TRUE, 0)</f>
        <v>0</v>
      </c>
      <c r="H174" s="4" cm="1">
        <f t="array" ref="H174">_xlfn.IFS('ProductSprint Backlog'!$F174="", "", AND('ProductSprint Backlog'!$J174&gt;H$2,'ProductSprint Backlog'!$I174&lt;=H$2), 'ProductSprint Backlog'!$F174 / MAX(1, 'ProductSprint Backlog'!$J174-'ProductSprint Backlog'!$I174), AND('ProductSprint Backlog'!$J174=H$2,'ProductSprint Backlog'!$I174=H$2), 'ProductSprint Backlog'!$F174, TRUE, 0)</f>
        <v>0</v>
      </c>
      <c r="I174" s="4" cm="1">
        <f t="array" ref="I174">_xlfn.IFS('ProductSprint Backlog'!$F174="", "", AND('ProductSprint Backlog'!$J174&gt;I$2,'ProductSprint Backlog'!$I174&lt;=I$2), 'ProductSprint Backlog'!$F174 / MAX(1, 'ProductSprint Backlog'!$J174-'ProductSprint Backlog'!$I174), AND('ProductSprint Backlog'!$J174=I$2,'ProductSprint Backlog'!$I174=I$2), 'ProductSprint Backlog'!$F174, TRUE, 0)</f>
        <v>0</v>
      </c>
      <c r="J174" s="4" cm="1">
        <f t="array" ref="J174">_xlfn.IFS('ProductSprint Backlog'!$F174="", "", AND('ProductSprint Backlog'!$J174&gt;J$2,'ProductSprint Backlog'!$I174&lt;=J$2), 'ProductSprint Backlog'!$F174 / MAX(1, 'ProductSprint Backlog'!$J174-'ProductSprint Backlog'!$I174), AND('ProductSprint Backlog'!$J174=J$2,'ProductSprint Backlog'!$I174=J$2), 'ProductSprint Backlog'!$F174, TRUE, 0)</f>
        <v>0</v>
      </c>
    </row>
    <row r="175" spans="2:10" x14ac:dyDescent="0.2">
      <c r="B175" s="4" cm="1">
        <f t="array" ref="B175">_xlfn.IFS('ProductSprint Backlog'!$F175="", "", AND('ProductSprint Backlog'!$J175&gt;B$2,'ProductSprint Backlog'!$I175&lt;=B$2), 'ProductSprint Backlog'!$F175 / MAX(1, 'ProductSprint Backlog'!$J175-'ProductSprint Backlog'!$I175), AND('ProductSprint Backlog'!$J175=B$2,'ProductSprint Backlog'!$I175=B$2), 'ProductSprint Backlog'!$F175, TRUE, 0)</f>
        <v>0</v>
      </c>
      <c r="C175" s="4" cm="1">
        <f t="array" ref="C175">_xlfn.IFS('ProductSprint Backlog'!$F175="", "", AND('ProductSprint Backlog'!$J175&gt;C$2,'ProductSprint Backlog'!$I175&lt;=C$2), 'ProductSprint Backlog'!$F175 / MAX(1, 'ProductSprint Backlog'!$J175-'ProductSprint Backlog'!$I175), AND('ProductSprint Backlog'!$J175=C$2,'ProductSprint Backlog'!$I175=C$2), 'ProductSprint Backlog'!$F175, TRUE, 0)</f>
        <v>0</v>
      </c>
      <c r="D175" s="4" cm="1">
        <f t="array" ref="D175">_xlfn.IFS('ProductSprint Backlog'!$F175="", "", AND('ProductSprint Backlog'!$J175&gt;D$2,'ProductSprint Backlog'!$I175&lt;=D$2), 'ProductSprint Backlog'!$F175 / MAX(1, 'ProductSprint Backlog'!$J175-'ProductSprint Backlog'!$I175), AND('ProductSprint Backlog'!$J175=D$2,'ProductSprint Backlog'!$I175=D$2), 'ProductSprint Backlog'!$F175, TRUE, 0)</f>
        <v>0</v>
      </c>
      <c r="E175" s="4" cm="1">
        <f t="array" ref="E175">_xlfn.IFS('ProductSprint Backlog'!$F175="", "", AND('ProductSprint Backlog'!$J175&gt;E$2,'ProductSprint Backlog'!$I175&lt;=E$2), 'ProductSprint Backlog'!$F175 / MAX(1, 'ProductSprint Backlog'!$J175-'ProductSprint Backlog'!$I175), AND('ProductSprint Backlog'!$J175=E$2,'ProductSprint Backlog'!$I175=E$2), 'ProductSprint Backlog'!$F175, TRUE, 0)</f>
        <v>0</v>
      </c>
      <c r="F175" s="4" cm="1">
        <f t="array" ref="F175">_xlfn.IFS('ProductSprint Backlog'!$F175="", "", AND('ProductSprint Backlog'!$J175&gt;F$2,'ProductSprint Backlog'!$I175&lt;=F$2), 'ProductSprint Backlog'!$F175 / MAX(1, 'ProductSprint Backlog'!$J175-'ProductSprint Backlog'!$I175), AND('ProductSprint Backlog'!$J175=F$2,'ProductSprint Backlog'!$I175=F$2), 'ProductSprint Backlog'!$F175, TRUE, 0)</f>
        <v>0</v>
      </c>
      <c r="G175" s="4" cm="1">
        <f t="array" ref="G175">_xlfn.IFS('ProductSprint Backlog'!$F175="", "", AND('ProductSprint Backlog'!$J175&gt;G$2,'ProductSprint Backlog'!$I175&lt;=G$2), 'ProductSprint Backlog'!$F175 / MAX(1, 'ProductSprint Backlog'!$J175-'ProductSprint Backlog'!$I175), AND('ProductSprint Backlog'!$J175=G$2,'ProductSprint Backlog'!$I175=G$2), 'ProductSprint Backlog'!$F175, TRUE, 0)</f>
        <v>0</v>
      </c>
      <c r="H175" s="4" cm="1">
        <f t="array" ref="H175">_xlfn.IFS('ProductSprint Backlog'!$F175="", "", AND('ProductSprint Backlog'!$J175&gt;H$2,'ProductSprint Backlog'!$I175&lt;=H$2), 'ProductSprint Backlog'!$F175 / MAX(1, 'ProductSprint Backlog'!$J175-'ProductSprint Backlog'!$I175), AND('ProductSprint Backlog'!$J175=H$2,'ProductSprint Backlog'!$I175=H$2), 'ProductSprint Backlog'!$F175, TRUE, 0)</f>
        <v>0</v>
      </c>
      <c r="I175" s="4" cm="1">
        <f t="array" ref="I175">_xlfn.IFS('ProductSprint Backlog'!$F175="", "", AND('ProductSprint Backlog'!$J175&gt;I$2,'ProductSprint Backlog'!$I175&lt;=I$2), 'ProductSprint Backlog'!$F175 / MAX(1, 'ProductSprint Backlog'!$J175-'ProductSprint Backlog'!$I175), AND('ProductSprint Backlog'!$J175=I$2,'ProductSprint Backlog'!$I175=I$2), 'ProductSprint Backlog'!$F175, TRUE, 0)</f>
        <v>0</v>
      </c>
      <c r="J175" s="4" cm="1">
        <f t="array" ref="J175">_xlfn.IFS('ProductSprint Backlog'!$F175="", "", AND('ProductSprint Backlog'!$J175&gt;J$2,'ProductSprint Backlog'!$I175&lt;=J$2), 'ProductSprint Backlog'!$F175 / MAX(1, 'ProductSprint Backlog'!$J175-'ProductSprint Backlog'!$I175), AND('ProductSprint Backlog'!$J175=J$2,'ProductSprint Backlog'!$I175=J$2), 'ProductSprint Backlog'!$F175, TRUE, 0)</f>
        <v>0</v>
      </c>
    </row>
    <row r="176" spans="2:10" x14ac:dyDescent="0.2">
      <c r="B176" s="4" cm="1">
        <f t="array" ref="B176">_xlfn.IFS('ProductSprint Backlog'!$F176="", "", AND('ProductSprint Backlog'!$J176&gt;B$2,'ProductSprint Backlog'!$I176&lt;=B$2), 'ProductSprint Backlog'!$F176 / MAX(1, 'ProductSprint Backlog'!$J176-'ProductSprint Backlog'!$I176), AND('ProductSprint Backlog'!$J176=B$2,'ProductSprint Backlog'!$I176=B$2), 'ProductSprint Backlog'!$F176, TRUE, 0)</f>
        <v>0</v>
      </c>
      <c r="C176" s="4" cm="1">
        <f t="array" ref="C176">_xlfn.IFS('ProductSprint Backlog'!$F176="", "", AND('ProductSprint Backlog'!$J176&gt;C$2,'ProductSprint Backlog'!$I176&lt;=C$2), 'ProductSprint Backlog'!$F176 / MAX(1, 'ProductSprint Backlog'!$J176-'ProductSprint Backlog'!$I176), AND('ProductSprint Backlog'!$J176=C$2,'ProductSprint Backlog'!$I176=C$2), 'ProductSprint Backlog'!$F176, TRUE, 0)</f>
        <v>0</v>
      </c>
      <c r="D176" s="4" cm="1">
        <f t="array" ref="D176">_xlfn.IFS('ProductSprint Backlog'!$F176="", "", AND('ProductSprint Backlog'!$J176&gt;D$2,'ProductSprint Backlog'!$I176&lt;=D$2), 'ProductSprint Backlog'!$F176 / MAX(1, 'ProductSprint Backlog'!$J176-'ProductSprint Backlog'!$I176), AND('ProductSprint Backlog'!$J176=D$2,'ProductSprint Backlog'!$I176=D$2), 'ProductSprint Backlog'!$F176, TRUE, 0)</f>
        <v>0</v>
      </c>
      <c r="E176" s="4" cm="1">
        <f t="array" ref="E176">_xlfn.IFS('ProductSprint Backlog'!$F176="", "", AND('ProductSprint Backlog'!$J176&gt;E$2,'ProductSprint Backlog'!$I176&lt;=E$2), 'ProductSprint Backlog'!$F176 / MAX(1, 'ProductSprint Backlog'!$J176-'ProductSprint Backlog'!$I176), AND('ProductSprint Backlog'!$J176=E$2,'ProductSprint Backlog'!$I176=E$2), 'ProductSprint Backlog'!$F176, TRUE, 0)</f>
        <v>0</v>
      </c>
      <c r="F176" s="4" cm="1">
        <f t="array" ref="F176">_xlfn.IFS('ProductSprint Backlog'!$F176="", "", AND('ProductSprint Backlog'!$J176&gt;F$2,'ProductSprint Backlog'!$I176&lt;=F$2), 'ProductSprint Backlog'!$F176 / MAX(1, 'ProductSprint Backlog'!$J176-'ProductSprint Backlog'!$I176), AND('ProductSprint Backlog'!$J176=F$2,'ProductSprint Backlog'!$I176=F$2), 'ProductSprint Backlog'!$F176, TRUE, 0)</f>
        <v>0</v>
      </c>
      <c r="G176" s="4" cm="1">
        <f t="array" ref="G176">_xlfn.IFS('ProductSprint Backlog'!$F176="", "", AND('ProductSprint Backlog'!$J176&gt;G$2,'ProductSprint Backlog'!$I176&lt;=G$2), 'ProductSprint Backlog'!$F176 / MAX(1, 'ProductSprint Backlog'!$J176-'ProductSprint Backlog'!$I176), AND('ProductSprint Backlog'!$J176=G$2,'ProductSprint Backlog'!$I176=G$2), 'ProductSprint Backlog'!$F176, TRUE, 0)</f>
        <v>0</v>
      </c>
      <c r="H176" s="4" cm="1">
        <f t="array" ref="H176">_xlfn.IFS('ProductSprint Backlog'!$F176="", "", AND('ProductSprint Backlog'!$J176&gt;H$2,'ProductSprint Backlog'!$I176&lt;=H$2), 'ProductSprint Backlog'!$F176 / MAX(1, 'ProductSprint Backlog'!$J176-'ProductSprint Backlog'!$I176), AND('ProductSprint Backlog'!$J176=H$2,'ProductSprint Backlog'!$I176=H$2), 'ProductSprint Backlog'!$F176, TRUE, 0)</f>
        <v>0</v>
      </c>
      <c r="I176" s="4" cm="1">
        <f t="array" ref="I176">_xlfn.IFS('ProductSprint Backlog'!$F176="", "", AND('ProductSprint Backlog'!$J176&gt;I$2,'ProductSprint Backlog'!$I176&lt;=I$2), 'ProductSprint Backlog'!$F176 / MAX(1, 'ProductSprint Backlog'!$J176-'ProductSprint Backlog'!$I176), AND('ProductSprint Backlog'!$J176=I$2,'ProductSprint Backlog'!$I176=I$2), 'ProductSprint Backlog'!$F176, TRUE, 0)</f>
        <v>0</v>
      </c>
      <c r="J176" s="4" cm="1">
        <f t="array" ref="J176">_xlfn.IFS('ProductSprint Backlog'!$F176="", "", AND('ProductSprint Backlog'!$J176&gt;J$2,'ProductSprint Backlog'!$I176&lt;=J$2), 'ProductSprint Backlog'!$F176 / MAX(1, 'ProductSprint Backlog'!$J176-'ProductSprint Backlog'!$I176), AND('ProductSprint Backlog'!$J176=J$2,'ProductSprint Backlog'!$I176=J$2), 'ProductSprint Backlog'!$F176, TRUE, 0)</f>
        <v>0</v>
      </c>
    </row>
    <row r="177" spans="2:10" x14ac:dyDescent="0.2">
      <c r="B177" s="4" cm="1">
        <f t="array" ref="B177">_xlfn.IFS('ProductSprint Backlog'!$F177="", "", AND('ProductSprint Backlog'!$J177&gt;B$2,'ProductSprint Backlog'!$I177&lt;=B$2), 'ProductSprint Backlog'!$F177 / MAX(1, 'ProductSprint Backlog'!$J177-'ProductSprint Backlog'!$I177), AND('ProductSprint Backlog'!$J177=B$2,'ProductSprint Backlog'!$I177=B$2), 'ProductSprint Backlog'!$F177, TRUE, 0)</f>
        <v>0</v>
      </c>
      <c r="C177" s="4" cm="1">
        <f t="array" ref="C177">_xlfn.IFS('ProductSprint Backlog'!$F177="", "", AND('ProductSprint Backlog'!$J177&gt;C$2,'ProductSprint Backlog'!$I177&lt;=C$2), 'ProductSprint Backlog'!$F177 / MAX(1, 'ProductSprint Backlog'!$J177-'ProductSprint Backlog'!$I177), AND('ProductSprint Backlog'!$J177=C$2,'ProductSprint Backlog'!$I177=C$2), 'ProductSprint Backlog'!$F177, TRUE, 0)</f>
        <v>0</v>
      </c>
      <c r="D177" s="4" cm="1">
        <f t="array" ref="D177">_xlfn.IFS('ProductSprint Backlog'!$F177="", "", AND('ProductSprint Backlog'!$J177&gt;D$2,'ProductSprint Backlog'!$I177&lt;=D$2), 'ProductSprint Backlog'!$F177 / MAX(1, 'ProductSprint Backlog'!$J177-'ProductSprint Backlog'!$I177), AND('ProductSprint Backlog'!$J177=D$2,'ProductSprint Backlog'!$I177=D$2), 'ProductSprint Backlog'!$F177, TRUE, 0)</f>
        <v>0</v>
      </c>
      <c r="E177" s="4" cm="1">
        <f t="array" ref="E177">_xlfn.IFS('ProductSprint Backlog'!$F177="", "", AND('ProductSprint Backlog'!$J177&gt;E$2,'ProductSprint Backlog'!$I177&lt;=E$2), 'ProductSprint Backlog'!$F177 / MAX(1, 'ProductSprint Backlog'!$J177-'ProductSprint Backlog'!$I177), AND('ProductSprint Backlog'!$J177=E$2,'ProductSprint Backlog'!$I177=E$2), 'ProductSprint Backlog'!$F177, TRUE, 0)</f>
        <v>0</v>
      </c>
      <c r="F177" s="4" cm="1">
        <f t="array" ref="F177">_xlfn.IFS('ProductSprint Backlog'!$F177="", "", AND('ProductSprint Backlog'!$J177&gt;F$2,'ProductSprint Backlog'!$I177&lt;=F$2), 'ProductSprint Backlog'!$F177 / MAX(1, 'ProductSprint Backlog'!$J177-'ProductSprint Backlog'!$I177), AND('ProductSprint Backlog'!$J177=F$2,'ProductSprint Backlog'!$I177=F$2), 'ProductSprint Backlog'!$F177, TRUE, 0)</f>
        <v>0</v>
      </c>
      <c r="G177" s="4" cm="1">
        <f t="array" ref="G177">_xlfn.IFS('ProductSprint Backlog'!$F177="", "", AND('ProductSprint Backlog'!$J177&gt;G$2,'ProductSprint Backlog'!$I177&lt;=G$2), 'ProductSprint Backlog'!$F177 / MAX(1, 'ProductSprint Backlog'!$J177-'ProductSprint Backlog'!$I177), AND('ProductSprint Backlog'!$J177=G$2,'ProductSprint Backlog'!$I177=G$2), 'ProductSprint Backlog'!$F177, TRUE, 0)</f>
        <v>0</v>
      </c>
      <c r="H177" s="4" cm="1">
        <f t="array" ref="H177">_xlfn.IFS('ProductSprint Backlog'!$F177="", "", AND('ProductSprint Backlog'!$J177&gt;H$2,'ProductSprint Backlog'!$I177&lt;=H$2), 'ProductSprint Backlog'!$F177 / MAX(1, 'ProductSprint Backlog'!$J177-'ProductSprint Backlog'!$I177), AND('ProductSprint Backlog'!$J177=H$2,'ProductSprint Backlog'!$I177=H$2), 'ProductSprint Backlog'!$F177, TRUE, 0)</f>
        <v>0</v>
      </c>
      <c r="I177" s="4" cm="1">
        <f t="array" ref="I177">_xlfn.IFS('ProductSprint Backlog'!$F177="", "", AND('ProductSprint Backlog'!$J177&gt;I$2,'ProductSprint Backlog'!$I177&lt;=I$2), 'ProductSprint Backlog'!$F177 / MAX(1, 'ProductSprint Backlog'!$J177-'ProductSprint Backlog'!$I177), AND('ProductSprint Backlog'!$J177=I$2,'ProductSprint Backlog'!$I177=I$2), 'ProductSprint Backlog'!$F177, TRUE, 0)</f>
        <v>0</v>
      </c>
      <c r="J177" s="4" cm="1">
        <f t="array" ref="J177">_xlfn.IFS('ProductSprint Backlog'!$F177="", "", AND('ProductSprint Backlog'!$J177&gt;J$2,'ProductSprint Backlog'!$I177&lt;=J$2), 'ProductSprint Backlog'!$F177 / MAX(1, 'ProductSprint Backlog'!$J177-'ProductSprint Backlog'!$I177), AND('ProductSprint Backlog'!$J177=J$2,'ProductSprint Backlog'!$I177=J$2), 'ProductSprint Backlog'!$F177, TRUE, 0)</f>
        <v>0</v>
      </c>
    </row>
    <row r="178" spans="2:10" x14ac:dyDescent="0.2">
      <c r="B178" s="4" cm="1">
        <f t="array" ref="B178">_xlfn.IFS('ProductSprint Backlog'!$F178="", "", AND('ProductSprint Backlog'!$J178&gt;B$2,'ProductSprint Backlog'!$I178&lt;=B$2), 'ProductSprint Backlog'!$F178 / MAX(1, 'ProductSprint Backlog'!$J178-'ProductSprint Backlog'!$I178), AND('ProductSprint Backlog'!$J178=B$2,'ProductSprint Backlog'!$I178=B$2), 'ProductSprint Backlog'!$F178, TRUE, 0)</f>
        <v>0</v>
      </c>
      <c r="C178" s="4" cm="1">
        <f t="array" ref="C178">_xlfn.IFS('ProductSprint Backlog'!$F178="", "", AND('ProductSprint Backlog'!$J178&gt;C$2,'ProductSprint Backlog'!$I178&lt;=C$2), 'ProductSprint Backlog'!$F178 / MAX(1, 'ProductSprint Backlog'!$J178-'ProductSprint Backlog'!$I178), AND('ProductSprint Backlog'!$J178=C$2,'ProductSprint Backlog'!$I178=C$2), 'ProductSprint Backlog'!$F178, TRUE, 0)</f>
        <v>0</v>
      </c>
      <c r="D178" s="4" cm="1">
        <f t="array" ref="D178">_xlfn.IFS('ProductSprint Backlog'!$F178="", "", AND('ProductSprint Backlog'!$J178&gt;D$2,'ProductSprint Backlog'!$I178&lt;=D$2), 'ProductSprint Backlog'!$F178 / MAX(1, 'ProductSprint Backlog'!$J178-'ProductSprint Backlog'!$I178), AND('ProductSprint Backlog'!$J178=D$2,'ProductSprint Backlog'!$I178=D$2), 'ProductSprint Backlog'!$F178, TRUE, 0)</f>
        <v>0</v>
      </c>
      <c r="E178" s="4" cm="1">
        <f t="array" ref="E178">_xlfn.IFS('ProductSprint Backlog'!$F178="", "", AND('ProductSprint Backlog'!$J178&gt;E$2,'ProductSprint Backlog'!$I178&lt;=E$2), 'ProductSprint Backlog'!$F178 / MAX(1, 'ProductSprint Backlog'!$J178-'ProductSprint Backlog'!$I178), AND('ProductSprint Backlog'!$J178=E$2,'ProductSprint Backlog'!$I178=E$2), 'ProductSprint Backlog'!$F178, TRUE, 0)</f>
        <v>0</v>
      </c>
      <c r="F178" s="4" cm="1">
        <f t="array" ref="F178">_xlfn.IFS('ProductSprint Backlog'!$F178="", "", AND('ProductSprint Backlog'!$J178&gt;F$2,'ProductSprint Backlog'!$I178&lt;=F$2), 'ProductSprint Backlog'!$F178 / MAX(1, 'ProductSprint Backlog'!$J178-'ProductSprint Backlog'!$I178), AND('ProductSprint Backlog'!$J178=F$2,'ProductSprint Backlog'!$I178=F$2), 'ProductSprint Backlog'!$F178, TRUE, 0)</f>
        <v>0</v>
      </c>
      <c r="G178" s="4" cm="1">
        <f t="array" ref="G178">_xlfn.IFS('ProductSprint Backlog'!$F178="", "", AND('ProductSprint Backlog'!$J178&gt;G$2,'ProductSprint Backlog'!$I178&lt;=G$2), 'ProductSprint Backlog'!$F178 / MAX(1, 'ProductSprint Backlog'!$J178-'ProductSprint Backlog'!$I178), AND('ProductSprint Backlog'!$J178=G$2,'ProductSprint Backlog'!$I178=G$2), 'ProductSprint Backlog'!$F178, TRUE, 0)</f>
        <v>0</v>
      </c>
      <c r="H178" s="4" cm="1">
        <f t="array" ref="H178">_xlfn.IFS('ProductSprint Backlog'!$F178="", "", AND('ProductSprint Backlog'!$J178&gt;H$2,'ProductSprint Backlog'!$I178&lt;=H$2), 'ProductSprint Backlog'!$F178 / MAX(1, 'ProductSprint Backlog'!$J178-'ProductSprint Backlog'!$I178), AND('ProductSprint Backlog'!$J178=H$2,'ProductSprint Backlog'!$I178=H$2), 'ProductSprint Backlog'!$F178, TRUE, 0)</f>
        <v>0</v>
      </c>
      <c r="I178" s="4" cm="1">
        <f t="array" ref="I178">_xlfn.IFS('ProductSprint Backlog'!$F178="", "", AND('ProductSprint Backlog'!$J178&gt;I$2,'ProductSprint Backlog'!$I178&lt;=I$2), 'ProductSprint Backlog'!$F178 / MAX(1, 'ProductSprint Backlog'!$J178-'ProductSprint Backlog'!$I178), AND('ProductSprint Backlog'!$J178=I$2,'ProductSprint Backlog'!$I178=I$2), 'ProductSprint Backlog'!$F178, TRUE, 0)</f>
        <v>0</v>
      </c>
      <c r="J178" s="4" cm="1">
        <f t="array" ref="J178">_xlfn.IFS('ProductSprint Backlog'!$F178="", "", AND('ProductSprint Backlog'!$J178&gt;J$2,'ProductSprint Backlog'!$I178&lt;=J$2), 'ProductSprint Backlog'!$F178 / MAX(1, 'ProductSprint Backlog'!$J178-'ProductSprint Backlog'!$I178), AND('ProductSprint Backlog'!$J178=J$2,'ProductSprint Backlog'!$I178=J$2), 'ProductSprint Backlog'!$F178, TRUE, 0)</f>
        <v>0</v>
      </c>
    </row>
    <row r="179" spans="2:10" x14ac:dyDescent="0.2">
      <c r="B179" s="4" cm="1">
        <f t="array" ref="B179">_xlfn.IFS('ProductSprint Backlog'!$F179="", "", AND('ProductSprint Backlog'!$J179&gt;B$2,'ProductSprint Backlog'!$I179&lt;=B$2), 'ProductSprint Backlog'!$F179 / MAX(1, 'ProductSprint Backlog'!$J179-'ProductSprint Backlog'!$I179), AND('ProductSprint Backlog'!$J179=B$2,'ProductSprint Backlog'!$I179=B$2), 'ProductSprint Backlog'!$F179, TRUE, 0)</f>
        <v>0</v>
      </c>
      <c r="C179" s="4" cm="1">
        <f t="array" ref="C179">_xlfn.IFS('ProductSprint Backlog'!$F179="", "", AND('ProductSprint Backlog'!$J179&gt;C$2,'ProductSprint Backlog'!$I179&lt;=C$2), 'ProductSprint Backlog'!$F179 / MAX(1, 'ProductSprint Backlog'!$J179-'ProductSprint Backlog'!$I179), AND('ProductSprint Backlog'!$J179=C$2,'ProductSprint Backlog'!$I179=C$2), 'ProductSprint Backlog'!$F179, TRUE, 0)</f>
        <v>0</v>
      </c>
      <c r="D179" s="4" cm="1">
        <f t="array" ref="D179">_xlfn.IFS('ProductSprint Backlog'!$F179="", "", AND('ProductSprint Backlog'!$J179&gt;D$2,'ProductSprint Backlog'!$I179&lt;=D$2), 'ProductSprint Backlog'!$F179 / MAX(1, 'ProductSprint Backlog'!$J179-'ProductSprint Backlog'!$I179), AND('ProductSprint Backlog'!$J179=D$2,'ProductSprint Backlog'!$I179=D$2), 'ProductSprint Backlog'!$F179, TRUE, 0)</f>
        <v>0</v>
      </c>
      <c r="E179" s="4" cm="1">
        <f t="array" ref="E179">_xlfn.IFS('ProductSprint Backlog'!$F179="", "", AND('ProductSprint Backlog'!$J179&gt;E$2,'ProductSprint Backlog'!$I179&lt;=E$2), 'ProductSprint Backlog'!$F179 / MAX(1, 'ProductSprint Backlog'!$J179-'ProductSprint Backlog'!$I179), AND('ProductSprint Backlog'!$J179=E$2,'ProductSprint Backlog'!$I179=E$2), 'ProductSprint Backlog'!$F179, TRUE, 0)</f>
        <v>0</v>
      </c>
      <c r="F179" s="4" cm="1">
        <f t="array" ref="F179">_xlfn.IFS('ProductSprint Backlog'!$F179="", "", AND('ProductSprint Backlog'!$J179&gt;F$2,'ProductSprint Backlog'!$I179&lt;=F$2), 'ProductSprint Backlog'!$F179 / MAX(1, 'ProductSprint Backlog'!$J179-'ProductSprint Backlog'!$I179), AND('ProductSprint Backlog'!$J179=F$2,'ProductSprint Backlog'!$I179=F$2), 'ProductSprint Backlog'!$F179, TRUE, 0)</f>
        <v>0</v>
      </c>
      <c r="G179" s="4" cm="1">
        <f t="array" ref="G179">_xlfn.IFS('ProductSprint Backlog'!$F179="", "", AND('ProductSprint Backlog'!$J179&gt;G$2,'ProductSprint Backlog'!$I179&lt;=G$2), 'ProductSprint Backlog'!$F179 / MAX(1, 'ProductSprint Backlog'!$J179-'ProductSprint Backlog'!$I179), AND('ProductSprint Backlog'!$J179=G$2,'ProductSprint Backlog'!$I179=G$2), 'ProductSprint Backlog'!$F179, TRUE, 0)</f>
        <v>0</v>
      </c>
      <c r="H179" s="4" cm="1">
        <f t="array" ref="H179">_xlfn.IFS('ProductSprint Backlog'!$F179="", "", AND('ProductSprint Backlog'!$J179&gt;H$2,'ProductSprint Backlog'!$I179&lt;=H$2), 'ProductSprint Backlog'!$F179 / MAX(1, 'ProductSprint Backlog'!$J179-'ProductSprint Backlog'!$I179), AND('ProductSprint Backlog'!$J179=H$2,'ProductSprint Backlog'!$I179=H$2), 'ProductSprint Backlog'!$F179, TRUE, 0)</f>
        <v>0</v>
      </c>
      <c r="I179" s="4" cm="1">
        <f t="array" ref="I179">_xlfn.IFS('ProductSprint Backlog'!$F179="", "", AND('ProductSprint Backlog'!$J179&gt;I$2,'ProductSprint Backlog'!$I179&lt;=I$2), 'ProductSprint Backlog'!$F179 / MAX(1, 'ProductSprint Backlog'!$J179-'ProductSprint Backlog'!$I179), AND('ProductSprint Backlog'!$J179=I$2,'ProductSprint Backlog'!$I179=I$2), 'ProductSprint Backlog'!$F179, TRUE, 0)</f>
        <v>0</v>
      </c>
      <c r="J179" s="4" cm="1">
        <f t="array" ref="J179">_xlfn.IFS('ProductSprint Backlog'!$F179="", "", AND('ProductSprint Backlog'!$J179&gt;J$2,'ProductSprint Backlog'!$I179&lt;=J$2), 'ProductSprint Backlog'!$F179 / MAX(1, 'ProductSprint Backlog'!$J179-'ProductSprint Backlog'!$I179), AND('ProductSprint Backlog'!$J179=J$2,'ProductSprint Backlog'!$I179=J$2), 'ProductSprint Backlog'!$F179, TRUE, 0)</f>
        <v>0</v>
      </c>
    </row>
    <row r="180" spans="2:10" x14ac:dyDescent="0.2">
      <c r="B180" s="4" cm="1">
        <f t="array" ref="B180">_xlfn.IFS('ProductSprint Backlog'!$F180="", "", AND('ProductSprint Backlog'!$J180&gt;B$2,'ProductSprint Backlog'!$I180&lt;=B$2), 'ProductSprint Backlog'!$F180 / MAX(1, 'ProductSprint Backlog'!$J180-'ProductSprint Backlog'!$I180), AND('ProductSprint Backlog'!$J180=B$2,'ProductSprint Backlog'!$I180=B$2), 'ProductSprint Backlog'!$F180, TRUE, 0)</f>
        <v>0</v>
      </c>
      <c r="C180" s="4" cm="1">
        <f t="array" ref="C180">_xlfn.IFS('ProductSprint Backlog'!$F180="", "", AND('ProductSprint Backlog'!$J180&gt;C$2,'ProductSprint Backlog'!$I180&lt;=C$2), 'ProductSprint Backlog'!$F180 / MAX(1, 'ProductSprint Backlog'!$J180-'ProductSprint Backlog'!$I180), AND('ProductSprint Backlog'!$J180=C$2,'ProductSprint Backlog'!$I180=C$2), 'ProductSprint Backlog'!$F180, TRUE, 0)</f>
        <v>0</v>
      </c>
      <c r="D180" s="4" cm="1">
        <f t="array" ref="D180">_xlfn.IFS('ProductSprint Backlog'!$F180="", "", AND('ProductSprint Backlog'!$J180&gt;D$2,'ProductSprint Backlog'!$I180&lt;=D$2), 'ProductSprint Backlog'!$F180 / MAX(1, 'ProductSprint Backlog'!$J180-'ProductSprint Backlog'!$I180), AND('ProductSprint Backlog'!$J180=D$2,'ProductSprint Backlog'!$I180=D$2), 'ProductSprint Backlog'!$F180, TRUE, 0)</f>
        <v>0</v>
      </c>
      <c r="E180" s="4" cm="1">
        <f t="array" ref="E180">_xlfn.IFS('ProductSprint Backlog'!$F180="", "", AND('ProductSprint Backlog'!$J180&gt;E$2,'ProductSprint Backlog'!$I180&lt;=E$2), 'ProductSprint Backlog'!$F180 / MAX(1, 'ProductSprint Backlog'!$J180-'ProductSprint Backlog'!$I180), AND('ProductSprint Backlog'!$J180=E$2,'ProductSprint Backlog'!$I180=E$2), 'ProductSprint Backlog'!$F180, TRUE, 0)</f>
        <v>0</v>
      </c>
      <c r="F180" s="4" cm="1">
        <f t="array" ref="F180">_xlfn.IFS('ProductSprint Backlog'!$F180="", "", AND('ProductSprint Backlog'!$J180&gt;F$2,'ProductSprint Backlog'!$I180&lt;=F$2), 'ProductSprint Backlog'!$F180 / MAX(1, 'ProductSprint Backlog'!$J180-'ProductSprint Backlog'!$I180), AND('ProductSprint Backlog'!$J180=F$2,'ProductSprint Backlog'!$I180=F$2), 'ProductSprint Backlog'!$F180, TRUE, 0)</f>
        <v>0</v>
      </c>
      <c r="G180" s="4" cm="1">
        <f t="array" ref="G180">_xlfn.IFS('ProductSprint Backlog'!$F180="", "", AND('ProductSprint Backlog'!$J180&gt;G$2,'ProductSprint Backlog'!$I180&lt;=G$2), 'ProductSprint Backlog'!$F180 / MAX(1, 'ProductSprint Backlog'!$J180-'ProductSprint Backlog'!$I180), AND('ProductSprint Backlog'!$J180=G$2,'ProductSprint Backlog'!$I180=G$2), 'ProductSprint Backlog'!$F180, TRUE, 0)</f>
        <v>0</v>
      </c>
      <c r="H180" s="4" cm="1">
        <f t="array" ref="H180">_xlfn.IFS('ProductSprint Backlog'!$F180="", "", AND('ProductSprint Backlog'!$J180&gt;H$2,'ProductSprint Backlog'!$I180&lt;=H$2), 'ProductSprint Backlog'!$F180 / MAX(1, 'ProductSprint Backlog'!$J180-'ProductSprint Backlog'!$I180), AND('ProductSprint Backlog'!$J180=H$2,'ProductSprint Backlog'!$I180=H$2), 'ProductSprint Backlog'!$F180, TRUE, 0)</f>
        <v>0</v>
      </c>
      <c r="I180" s="4" cm="1">
        <f t="array" ref="I180">_xlfn.IFS('ProductSprint Backlog'!$F180="", "", AND('ProductSprint Backlog'!$J180&gt;I$2,'ProductSprint Backlog'!$I180&lt;=I$2), 'ProductSprint Backlog'!$F180 / MAX(1, 'ProductSprint Backlog'!$J180-'ProductSprint Backlog'!$I180), AND('ProductSprint Backlog'!$J180=I$2,'ProductSprint Backlog'!$I180=I$2), 'ProductSprint Backlog'!$F180, TRUE, 0)</f>
        <v>0</v>
      </c>
      <c r="J180" s="4" cm="1">
        <f t="array" ref="J180">_xlfn.IFS('ProductSprint Backlog'!$F180="", "", AND('ProductSprint Backlog'!$J180&gt;J$2,'ProductSprint Backlog'!$I180&lt;=J$2), 'ProductSprint Backlog'!$F180 / MAX(1, 'ProductSprint Backlog'!$J180-'ProductSprint Backlog'!$I180), AND('ProductSprint Backlog'!$J180=J$2,'ProductSprint Backlog'!$I180=J$2), 'ProductSprint Backlog'!$F180, TRUE, 0)</f>
        <v>0</v>
      </c>
    </row>
    <row r="181" spans="2:10" x14ac:dyDescent="0.2">
      <c r="B181" s="4" cm="1">
        <f t="array" ref="B181">_xlfn.IFS('ProductSprint Backlog'!$F181="", "", AND('ProductSprint Backlog'!$J181&gt;B$2,'ProductSprint Backlog'!$I181&lt;=B$2), 'ProductSprint Backlog'!$F181 / MAX(1, 'ProductSprint Backlog'!$J181-'ProductSprint Backlog'!$I181), AND('ProductSprint Backlog'!$J181=B$2,'ProductSprint Backlog'!$I181=B$2), 'ProductSprint Backlog'!$F181, TRUE, 0)</f>
        <v>0</v>
      </c>
      <c r="C181" s="4" cm="1">
        <f t="array" ref="C181">_xlfn.IFS('ProductSprint Backlog'!$F181="", "", AND('ProductSprint Backlog'!$J181&gt;C$2,'ProductSprint Backlog'!$I181&lt;=C$2), 'ProductSprint Backlog'!$F181 / MAX(1, 'ProductSprint Backlog'!$J181-'ProductSprint Backlog'!$I181), AND('ProductSprint Backlog'!$J181=C$2,'ProductSprint Backlog'!$I181=C$2), 'ProductSprint Backlog'!$F181, TRUE, 0)</f>
        <v>0</v>
      </c>
      <c r="D181" s="4" cm="1">
        <f t="array" ref="D181">_xlfn.IFS('ProductSprint Backlog'!$F181="", "", AND('ProductSprint Backlog'!$J181&gt;D$2,'ProductSprint Backlog'!$I181&lt;=D$2), 'ProductSprint Backlog'!$F181 / MAX(1, 'ProductSprint Backlog'!$J181-'ProductSprint Backlog'!$I181), AND('ProductSprint Backlog'!$J181=D$2,'ProductSprint Backlog'!$I181=D$2), 'ProductSprint Backlog'!$F181, TRUE, 0)</f>
        <v>0</v>
      </c>
      <c r="E181" s="4" cm="1">
        <f t="array" ref="E181">_xlfn.IFS('ProductSprint Backlog'!$F181="", "", AND('ProductSprint Backlog'!$J181&gt;E$2,'ProductSprint Backlog'!$I181&lt;=E$2), 'ProductSprint Backlog'!$F181 / MAX(1, 'ProductSprint Backlog'!$J181-'ProductSprint Backlog'!$I181), AND('ProductSprint Backlog'!$J181=E$2,'ProductSprint Backlog'!$I181=E$2), 'ProductSprint Backlog'!$F181, TRUE, 0)</f>
        <v>0</v>
      </c>
      <c r="F181" s="4" cm="1">
        <f t="array" ref="F181">_xlfn.IFS('ProductSprint Backlog'!$F181="", "", AND('ProductSprint Backlog'!$J181&gt;F$2,'ProductSprint Backlog'!$I181&lt;=F$2), 'ProductSprint Backlog'!$F181 / MAX(1, 'ProductSprint Backlog'!$J181-'ProductSprint Backlog'!$I181), AND('ProductSprint Backlog'!$J181=F$2,'ProductSprint Backlog'!$I181=F$2), 'ProductSprint Backlog'!$F181, TRUE, 0)</f>
        <v>0</v>
      </c>
      <c r="G181" s="4" cm="1">
        <f t="array" ref="G181">_xlfn.IFS('ProductSprint Backlog'!$F181="", "", AND('ProductSprint Backlog'!$J181&gt;G$2,'ProductSprint Backlog'!$I181&lt;=G$2), 'ProductSprint Backlog'!$F181 / MAX(1, 'ProductSprint Backlog'!$J181-'ProductSprint Backlog'!$I181), AND('ProductSprint Backlog'!$J181=G$2,'ProductSprint Backlog'!$I181=G$2), 'ProductSprint Backlog'!$F181, TRUE, 0)</f>
        <v>0</v>
      </c>
      <c r="H181" s="4" cm="1">
        <f t="array" ref="H181">_xlfn.IFS('ProductSprint Backlog'!$F181="", "", AND('ProductSprint Backlog'!$J181&gt;H$2,'ProductSprint Backlog'!$I181&lt;=H$2), 'ProductSprint Backlog'!$F181 / MAX(1, 'ProductSprint Backlog'!$J181-'ProductSprint Backlog'!$I181), AND('ProductSprint Backlog'!$J181=H$2,'ProductSprint Backlog'!$I181=H$2), 'ProductSprint Backlog'!$F181, TRUE, 0)</f>
        <v>0</v>
      </c>
      <c r="I181" s="4" cm="1">
        <f t="array" ref="I181">_xlfn.IFS('ProductSprint Backlog'!$F181="", "", AND('ProductSprint Backlog'!$J181&gt;I$2,'ProductSprint Backlog'!$I181&lt;=I$2), 'ProductSprint Backlog'!$F181 / MAX(1, 'ProductSprint Backlog'!$J181-'ProductSprint Backlog'!$I181), AND('ProductSprint Backlog'!$J181=I$2,'ProductSprint Backlog'!$I181=I$2), 'ProductSprint Backlog'!$F181, TRUE, 0)</f>
        <v>0</v>
      </c>
      <c r="J181" s="4" cm="1">
        <f t="array" ref="J181">_xlfn.IFS('ProductSprint Backlog'!$F181="", "", AND('ProductSprint Backlog'!$J181&gt;J$2,'ProductSprint Backlog'!$I181&lt;=J$2), 'ProductSprint Backlog'!$F181 / MAX(1, 'ProductSprint Backlog'!$J181-'ProductSprint Backlog'!$I181), AND('ProductSprint Backlog'!$J181=J$2,'ProductSprint Backlog'!$I181=J$2), 'ProductSprint Backlog'!$F181, TRUE, 0)</f>
        <v>0</v>
      </c>
    </row>
    <row r="182" spans="2:10" x14ac:dyDescent="0.2">
      <c r="B182" s="4" cm="1">
        <f t="array" ref="B182">_xlfn.IFS('ProductSprint Backlog'!$F182="", "", AND('ProductSprint Backlog'!$J182&gt;B$2,'ProductSprint Backlog'!$I182&lt;=B$2), 'ProductSprint Backlog'!$F182 / MAX(1, 'ProductSprint Backlog'!$J182-'ProductSprint Backlog'!$I182), AND('ProductSprint Backlog'!$J182=B$2,'ProductSprint Backlog'!$I182=B$2), 'ProductSprint Backlog'!$F182, TRUE, 0)</f>
        <v>0</v>
      </c>
      <c r="C182" s="4" cm="1">
        <f t="array" ref="C182">_xlfn.IFS('ProductSprint Backlog'!$F182="", "", AND('ProductSprint Backlog'!$J182&gt;C$2,'ProductSprint Backlog'!$I182&lt;=C$2), 'ProductSprint Backlog'!$F182 / MAX(1, 'ProductSprint Backlog'!$J182-'ProductSprint Backlog'!$I182), AND('ProductSprint Backlog'!$J182=C$2,'ProductSprint Backlog'!$I182=C$2), 'ProductSprint Backlog'!$F182, TRUE, 0)</f>
        <v>0</v>
      </c>
      <c r="D182" s="4" cm="1">
        <f t="array" ref="D182">_xlfn.IFS('ProductSprint Backlog'!$F182="", "", AND('ProductSprint Backlog'!$J182&gt;D$2,'ProductSprint Backlog'!$I182&lt;=D$2), 'ProductSprint Backlog'!$F182 / MAX(1, 'ProductSprint Backlog'!$J182-'ProductSprint Backlog'!$I182), AND('ProductSprint Backlog'!$J182=D$2,'ProductSprint Backlog'!$I182=D$2), 'ProductSprint Backlog'!$F182, TRUE, 0)</f>
        <v>0</v>
      </c>
      <c r="E182" s="4" cm="1">
        <f t="array" ref="E182">_xlfn.IFS('ProductSprint Backlog'!$F182="", "", AND('ProductSprint Backlog'!$J182&gt;E$2,'ProductSprint Backlog'!$I182&lt;=E$2), 'ProductSprint Backlog'!$F182 / MAX(1, 'ProductSprint Backlog'!$J182-'ProductSprint Backlog'!$I182), AND('ProductSprint Backlog'!$J182=E$2,'ProductSprint Backlog'!$I182=E$2), 'ProductSprint Backlog'!$F182, TRUE, 0)</f>
        <v>0</v>
      </c>
      <c r="F182" s="4" cm="1">
        <f t="array" ref="F182">_xlfn.IFS('ProductSprint Backlog'!$F182="", "", AND('ProductSprint Backlog'!$J182&gt;F$2,'ProductSprint Backlog'!$I182&lt;=F$2), 'ProductSprint Backlog'!$F182 / MAX(1, 'ProductSprint Backlog'!$J182-'ProductSprint Backlog'!$I182), AND('ProductSprint Backlog'!$J182=F$2,'ProductSprint Backlog'!$I182=F$2), 'ProductSprint Backlog'!$F182, TRUE, 0)</f>
        <v>0</v>
      </c>
      <c r="G182" s="4" cm="1">
        <f t="array" ref="G182">_xlfn.IFS('ProductSprint Backlog'!$F182="", "", AND('ProductSprint Backlog'!$J182&gt;G$2,'ProductSprint Backlog'!$I182&lt;=G$2), 'ProductSprint Backlog'!$F182 / MAX(1, 'ProductSprint Backlog'!$J182-'ProductSprint Backlog'!$I182), AND('ProductSprint Backlog'!$J182=G$2,'ProductSprint Backlog'!$I182=G$2), 'ProductSprint Backlog'!$F182, TRUE, 0)</f>
        <v>0</v>
      </c>
      <c r="H182" s="4" cm="1">
        <f t="array" ref="H182">_xlfn.IFS('ProductSprint Backlog'!$F182="", "", AND('ProductSprint Backlog'!$J182&gt;H$2,'ProductSprint Backlog'!$I182&lt;=H$2), 'ProductSprint Backlog'!$F182 / MAX(1, 'ProductSprint Backlog'!$J182-'ProductSprint Backlog'!$I182), AND('ProductSprint Backlog'!$J182=H$2,'ProductSprint Backlog'!$I182=H$2), 'ProductSprint Backlog'!$F182, TRUE, 0)</f>
        <v>0</v>
      </c>
      <c r="I182" s="4" cm="1">
        <f t="array" ref="I182">_xlfn.IFS('ProductSprint Backlog'!$F182="", "", AND('ProductSprint Backlog'!$J182&gt;I$2,'ProductSprint Backlog'!$I182&lt;=I$2), 'ProductSprint Backlog'!$F182 / MAX(1, 'ProductSprint Backlog'!$J182-'ProductSprint Backlog'!$I182), AND('ProductSprint Backlog'!$J182=I$2,'ProductSprint Backlog'!$I182=I$2), 'ProductSprint Backlog'!$F182, TRUE, 0)</f>
        <v>0</v>
      </c>
      <c r="J182" s="4" cm="1">
        <f t="array" ref="J182">_xlfn.IFS('ProductSprint Backlog'!$F182="", "", AND('ProductSprint Backlog'!$J182&gt;J$2,'ProductSprint Backlog'!$I182&lt;=J$2), 'ProductSprint Backlog'!$F182 / MAX(1, 'ProductSprint Backlog'!$J182-'ProductSprint Backlog'!$I182), AND('ProductSprint Backlog'!$J182=J$2,'ProductSprint Backlog'!$I182=J$2), 'ProductSprint Backlog'!$F182, TRUE, 0)</f>
        <v>0</v>
      </c>
    </row>
    <row r="183" spans="2:10" x14ac:dyDescent="0.2">
      <c r="B183" s="4" cm="1">
        <f t="array" ref="B183">_xlfn.IFS('ProductSprint Backlog'!$F183="", "", AND('ProductSprint Backlog'!$J183&gt;B$2,'ProductSprint Backlog'!$I183&lt;=B$2), 'ProductSprint Backlog'!$F183 / MAX(1, 'ProductSprint Backlog'!$J183-'ProductSprint Backlog'!$I183), AND('ProductSprint Backlog'!$J183=B$2,'ProductSprint Backlog'!$I183=B$2), 'ProductSprint Backlog'!$F183, TRUE, 0)</f>
        <v>0</v>
      </c>
      <c r="C183" s="4" cm="1">
        <f t="array" ref="C183">_xlfn.IFS('ProductSprint Backlog'!$F183="", "", AND('ProductSprint Backlog'!$J183&gt;C$2,'ProductSprint Backlog'!$I183&lt;=C$2), 'ProductSprint Backlog'!$F183 / MAX(1, 'ProductSprint Backlog'!$J183-'ProductSprint Backlog'!$I183), AND('ProductSprint Backlog'!$J183=C$2,'ProductSprint Backlog'!$I183=C$2), 'ProductSprint Backlog'!$F183, TRUE, 0)</f>
        <v>0</v>
      </c>
      <c r="D183" s="4" cm="1">
        <f t="array" ref="D183">_xlfn.IFS('ProductSprint Backlog'!$F183="", "", AND('ProductSprint Backlog'!$J183&gt;D$2,'ProductSprint Backlog'!$I183&lt;=D$2), 'ProductSprint Backlog'!$F183 / MAX(1, 'ProductSprint Backlog'!$J183-'ProductSprint Backlog'!$I183), AND('ProductSprint Backlog'!$J183=D$2,'ProductSprint Backlog'!$I183=D$2), 'ProductSprint Backlog'!$F183, TRUE, 0)</f>
        <v>0</v>
      </c>
      <c r="E183" s="4" cm="1">
        <f t="array" ref="E183">_xlfn.IFS('ProductSprint Backlog'!$F183="", "", AND('ProductSprint Backlog'!$J183&gt;E$2,'ProductSprint Backlog'!$I183&lt;=E$2), 'ProductSprint Backlog'!$F183 / MAX(1, 'ProductSprint Backlog'!$J183-'ProductSprint Backlog'!$I183), AND('ProductSprint Backlog'!$J183=E$2,'ProductSprint Backlog'!$I183=E$2), 'ProductSprint Backlog'!$F183, TRUE, 0)</f>
        <v>0</v>
      </c>
      <c r="F183" s="4" cm="1">
        <f t="array" ref="F183">_xlfn.IFS('ProductSprint Backlog'!$F183="", "", AND('ProductSprint Backlog'!$J183&gt;F$2,'ProductSprint Backlog'!$I183&lt;=F$2), 'ProductSprint Backlog'!$F183 / MAX(1, 'ProductSprint Backlog'!$J183-'ProductSprint Backlog'!$I183), AND('ProductSprint Backlog'!$J183=F$2,'ProductSprint Backlog'!$I183=F$2), 'ProductSprint Backlog'!$F183, TRUE, 0)</f>
        <v>0</v>
      </c>
      <c r="G183" s="4" cm="1">
        <f t="array" ref="G183">_xlfn.IFS('ProductSprint Backlog'!$F183="", "", AND('ProductSprint Backlog'!$J183&gt;G$2,'ProductSprint Backlog'!$I183&lt;=G$2), 'ProductSprint Backlog'!$F183 / MAX(1, 'ProductSprint Backlog'!$J183-'ProductSprint Backlog'!$I183), AND('ProductSprint Backlog'!$J183=G$2,'ProductSprint Backlog'!$I183=G$2), 'ProductSprint Backlog'!$F183, TRUE, 0)</f>
        <v>0</v>
      </c>
      <c r="H183" s="4" cm="1">
        <f t="array" ref="H183">_xlfn.IFS('ProductSprint Backlog'!$F183="", "", AND('ProductSprint Backlog'!$J183&gt;H$2,'ProductSprint Backlog'!$I183&lt;=H$2), 'ProductSprint Backlog'!$F183 / MAX(1, 'ProductSprint Backlog'!$J183-'ProductSprint Backlog'!$I183), AND('ProductSprint Backlog'!$J183=H$2,'ProductSprint Backlog'!$I183=H$2), 'ProductSprint Backlog'!$F183, TRUE, 0)</f>
        <v>0</v>
      </c>
      <c r="I183" s="4" cm="1">
        <f t="array" ref="I183">_xlfn.IFS('ProductSprint Backlog'!$F183="", "", AND('ProductSprint Backlog'!$J183&gt;I$2,'ProductSprint Backlog'!$I183&lt;=I$2), 'ProductSprint Backlog'!$F183 / MAX(1, 'ProductSprint Backlog'!$J183-'ProductSprint Backlog'!$I183), AND('ProductSprint Backlog'!$J183=I$2,'ProductSprint Backlog'!$I183=I$2), 'ProductSprint Backlog'!$F183, TRUE, 0)</f>
        <v>0</v>
      </c>
      <c r="J183" s="4" cm="1">
        <f t="array" ref="J183">_xlfn.IFS('ProductSprint Backlog'!$F183="", "", AND('ProductSprint Backlog'!$J183&gt;J$2,'ProductSprint Backlog'!$I183&lt;=J$2), 'ProductSprint Backlog'!$F183 / MAX(1, 'ProductSprint Backlog'!$J183-'ProductSprint Backlog'!$I183), AND('ProductSprint Backlog'!$J183=J$2,'ProductSprint Backlog'!$I183=J$2), 'ProductSprint Backlog'!$F183, TRUE, 0)</f>
        <v>0</v>
      </c>
    </row>
    <row r="184" spans="2:10" x14ac:dyDescent="0.2">
      <c r="B184" s="4" cm="1">
        <f t="array" ref="B184">_xlfn.IFS('ProductSprint Backlog'!$F184="", "", AND('ProductSprint Backlog'!$J184&gt;B$2,'ProductSprint Backlog'!$I184&lt;=B$2), 'ProductSprint Backlog'!$F184 / MAX(1, 'ProductSprint Backlog'!$J184-'ProductSprint Backlog'!$I184), AND('ProductSprint Backlog'!$J184=B$2,'ProductSprint Backlog'!$I184=B$2), 'ProductSprint Backlog'!$F184, TRUE, 0)</f>
        <v>0</v>
      </c>
      <c r="C184" s="4" cm="1">
        <f t="array" ref="C184">_xlfn.IFS('ProductSprint Backlog'!$F184="", "", AND('ProductSprint Backlog'!$J184&gt;C$2,'ProductSprint Backlog'!$I184&lt;=C$2), 'ProductSprint Backlog'!$F184 / MAX(1, 'ProductSprint Backlog'!$J184-'ProductSprint Backlog'!$I184), AND('ProductSprint Backlog'!$J184=C$2,'ProductSprint Backlog'!$I184=C$2), 'ProductSprint Backlog'!$F184, TRUE, 0)</f>
        <v>0</v>
      </c>
      <c r="D184" s="4" cm="1">
        <f t="array" ref="D184">_xlfn.IFS('ProductSprint Backlog'!$F184="", "", AND('ProductSprint Backlog'!$J184&gt;D$2,'ProductSprint Backlog'!$I184&lt;=D$2), 'ProductSprint Backlog'!$F184 / MAX(1, 'ProductSprint Backlog'!$J184-'ProductSprint Backlog'!$I184), AND('ProductSprint Backlog'!$J184=D$2,'ProductSprint Backlog'!$I184=D$2), 'ProductSprint Backlog'!$F184, TRUE, 0)</f>
        <v>0</v>
      </c>
      <c r="E184" s="4" cm="1">
        <f t="array" ref="E184">_xlfn.IFS('ProductSprint Backlog'!$F184="", "", AND('ProductSprint Backlog'!$J184&gt;E$2,'ProductSprint Backlog'!$I184&lt;=E$2), 'ProductSprint Backlog'!$F184 / MAX(1, 'ProductSprint Backlog'!$J184-'ProductSprint Backlog'!$I184), AND('ProductSprint Backlog'!$J184=E$2,'ProductSprint Backlog'!$I184=E$2), 'ProductSprint Backlog'!$F184, TRUE, 0)</f>
        <v>0</v>
      </c>
      <c r="F184" s="4" cm="1">
        <f t="array" ref="F184">_xlfn.IFS('ProductSprint Backlog'!$F184="", "", AND('ProductSprint Backlog'!$J184&gt;F$2,'ProductSprint Backlog'!$I184&lt;=F$2), 'ProductSprint Backlog'!$F184 / MAX(1, 'ProductSprint Backlog'!$J184-'ProductSprint Backlog'!$I184), AND('ProductSprint Backlog'!$J184=F$2,'ProductSprint Backlog'!$I184=F$2), 'ProductSprint Backlog'!$F184, TRUE, 0)</f>
        <v>0</v>
      </c>
      <c r="G184" s="4" cm="1">
        <f t="array" ref="G184">_xlfn.IFS('ProductSprint Backlog'!$F184="", "", AND('ProductSprint Backlog'!$J184&gt;G$2,'ProductSprint Backlog'!$I184&lt;=G$2), 'ProductSprint Backlog'!$F184 / MAX(1, 'ProductSprint Backlog'!$J184-'ProductSprint Backlog'!$I184), AND('ProductSprint Backlog'!$J184=G$2,'ProductSprint Backlog'!$I184=G$2), 'ProductSprint Backlog'!$F184, TRUE, 0)</f>
        <v>0</v>
      </c>
      <c r="H184" s="4" cm="1">
        <f t="array" ref="H184">_xlfn.IFS('ProductSprint Backlog'!$F184="", "", AND('ProductSprint Backlog'!$J184&gt;H$2,'ProductSprint Backlog'!$I184&lt;=H$2), 'ProductSprint Backlog'!$F184 / MAX(1, 'ProductSprint Backlog'!$J184-'ProductSprint Backlog'!$I184), AND('ProductSprint Backlog'!$J184=H$2,'ProductSprint Backlog'!$I184=H$2), 'ProductSprint Backlog'!$F184, TRUE, 0)</f>
        <v>0</v>
      </c>
      <c r="I184" s="4" cm="1">
        <f t="array" ref="I184">_xlfn.IFS('ProductSprint Backlog'!$F184="", "", AND('ProductSprint Backlog'!$J184&gt;I$2,'ProductSprint Backlog'!$I184&lt;=I$2), 'ProductSprint Backlog'!$F184 / MAX(1, 'ProductSprint Backlog'!$J184-'ProductSprint Backlog'!$I184), AND('ProductSprint Backlog'!$J184=I$2,'ProductSprint Backlog'!$I184=I$2), 'ProductSprint Backlog'!$F184, TRUE, 0)</f>
        <v>0</v>
      </c>
      <c r="J184" s="4" cm="1">
        <f t="array" ref="J184">_xlfn.IFS('ProductSprint Backlog'!$F184="", "", AND('ProductSprint Backlog'!$J184&gt;J$2,'ProductSprint Backlog'!$I184&lt;=J$2), 'ProductSprint Backlog'!$F184 / MAX(1, 'ProductSprint Backlog'!$J184-'ProductSprint Backlog'!$I184), AND('ProductSprint Backlog'!$J184=J$2,'ProductSprint Backlog'!$I184=J$2), 'ProductSprint Backlog'!$F184, TRUE, 0)</f>
        <v>0</v>
      </c>
    </row>
    <row r="185" spans="2:10" x14ac:dyDescent="0.2">
      <c r="B185" s="4" cm="1">
        <f t="array" ref="B185">_xlfn.IFS('ProductSprint Backlog'!$F185="", "", AND('ProductSprint Backlog'!$J185&gt;B$2,'ProductSprint Backlog'!$I185&lt;=B$2), 'ProductSprint Backlog'!$F185 / MAX(1, 'ProductSprint Backlog'!$J185-'ProductSprint Backlog'!$I185), AND('ProductSprint Backlog'!$J185=B$2,'ProductSprint Backlog'!$I185=B$2), 'ProductSprint Backlog'!$F185, TRUE, 0)</f>
        <v>0</v>
      </c>
      <c r="C185" s="4" cm="1">
        <f t="array" ref="C185">_xlfn.IFS('ProductSprint Backlog'!$F185="", "", AND('ProductSprint Backlog'!$J185&gt;C$2,'ProductSprint Backlog'!$I185&lt;=C$2), 'ProductSprint Backlog'!$F185 / MAX(1, 'ProductSprint Backlog'!$J185-'ProductSprint Backlog'!$I185), AND('ProductSprint Backlog'!$J185=C$2,'ProductSprint Backlog'!$I185=C$2), 'ProductSprint Backlog'!$F185, TRUE, 0)</f>
        <v>0</v>
      </c>
      <c r="D185" s="4" cm="1">
        <f t="array" ref="D185">_xlfn.IFS('ProductSprint Backlog'!$F185="", "", AND('ProductSprint Backlog'!$J185&gt;D$2,'ProductSprint Backlog'!$I185&lt;=D$2), 'ProductSprint Backlog'!$F185 / MAX(1, 'ProductSprint Backlog'!$J185-'ProductSprint Backlog'!$I185), AND('ProductSprint Backlog'!$J185=D$2,'ProductSprint Backlog'!$I185=D$2), 'ProductSprint Backlog'!$F185, TRUE, 0)</f>
        <v>0</v>
      </c>
      <c r="E185" s="4" cm="1">
        <f t="array" ref="E185">_xlfn.IFS('ProductSprint Backlog'!$F185="", "", AND('ProductSprint Backlog'!$J185&gt;E$2,'ProductSprint Backlog'!$I185&lt;=E$2), 'ProductSprint Backlog'!$F185 / MAX(1, 'ProductSprint Backlog'!$J185-'ProductSprint Backlog'!$I185), AND('ProductSprint Backlog'!$J185=E$2,'ProductSprint Backlog'!$I185=E$2), 'ProductSprint Backlog'!$F185, TRUE, 0)</f>
        <v>0</v>
      </c>
      <c r="F185" s="4" cm="1">
        <f t="array" ref="F185">_xlfn.IFS('ProductSprint Backlog'!$F185="", "", AND('ProductSprint Backlog'!$J185&gt;F$2,'ProductSprint Backlog'!$I185&lt;=F$2), 'ProductSprint Backlog'!$F185 / MAX(1, 'ProductSprint Backlog'!$J185-'ProductSprint Backlog'!$I185), AND('ProductSprint Backlog'!$J185=F$2,'ProductSprint Backlog'!$I185=F$2), 'ProductSprint Backlog'!$F185, TRUE, 0)</f>
        <v>0</v>
      </c>
      <c r="G185" s="4" cm="1">
        <f t="array" ref="G185">_xlfn.IFS('ProductSprint Backlog'!$F185="", "", AND('ProductSprint Backlog'!$J185&gt;G$2,'ProductSprint Backlog'!$I185&lt;=G$2), 'ProductSprint Backlog'!$F185 / MAX(1, 'ProductSprint Backlog'!$J185-'ProductSprint Backlog'!$I185), AND('ProductSprint Backlog'!$J185=G$2,'ProductSprint Backlog'!$I185=G$2), 'ProductSprint Backlog'!$F185, TRUE, 0)</f>
        <v>0</v>
      </c>
      <c r="H185" s="4" cm="1">
        <f t="array" ref="H185">_xlfn.IFS('ProductSprint Backlog'!$F185="", "", AND('ProductSprint Backlog'!$J185&gt;H$2,'ProductSprint Backlog'!$I185&lt;=H$2), 'ProductSprint Backlog'!$F185 / MAX(1, 'ProductSprint Backlog'!$J185-'ProductSprint Backlog'!$I185), AND('ProductSprint Backlog'!$J185=H$2,'ProductSprint Backlog'!$I185=H$2), 'ProductSprint Backlog'!$F185, TRUE, 0)</f>
        <v>0</v>
      </c>
      <c r="I185" s="4" cm="1">
        <f t="array" ref="I185">_xlfn.IFS('ProductSprint Backlog'!$F185="", "", AND('ProductSprint Backlog'!$J185&gt;I$2,'ProductSprint Backlog'!$I185&lt;=I$2), 'ProductSprint Backlog'!$F185 / MAX(1, 'ProductSprint Backlog'!$J185-'ProductSprint Backlog'!$I185), AND('ProductSprint Backlog'!$J185=I$2,'ProductSprint Backlog'!$I185=I$2), 'ProductSprint Backlog'!$F185, TRUE, 0)</f>
        <v>0</v>
      </c>
      <c r="J185" s="4" cm="1">
        <f t="array" ref="J185">_xlfn.IFS('ProductSprint Backlog'!$F185="", "", AND('ProductSprint Backlog'!$J185&gt;J$2,'ProductSprint Backlog'!$I185&lt;=J$2), 'ProductSprint Backlog'!$F185 / MAX(1, 'ProductSprint Backlog'!$J185-'ProductSprint Backlog'!$I185), AND('ProductSprint Backlog'!$J185=J$2,'ProductSprint Backlog'!$I185=J$2), 'ProductSprint Backlog'!$F185, TRUE, 0)</f>
        <v>0</v>
      </c>
    </row>
    <row r="186" spans="2:10" x14ac:dyDescent="0.2">
      <c r="B186" s="4" cm="1">
        <f t="array" ref="B186">_xlfn.IFS('ProductSprint Backlog'!$F186="", "", AND('ProductSprint Backlog'!$J186&gt;B$2,'ProductSprint Backlog'!$I186&lt;=B$2), 'ProductSprint Backlog'!$F186 / MAX(1, 'ProductSprint Backlog'!$J186-'ProductSprint Backlog'!$I186), AND('ProductSprint Backlog'!$J186=B$2,'ProductSprint Backlog'!$I186=B$2), 'ProductSprint Backlog'!$F186, TRUE, 0)</f>
        <v>0</v>
      </c>
      <c r="C186" s="4" cm="1">
        <f t="array" ref="C186">_xlfn.IFS('ProductSprint Backlog'!$F186="", "", AND('ProductSprint Backlog'!$J186&gt;C$2,'ProductSprint Backlog'!$I186&lt;=C$2), 'ProductSprint Backlog'!$F186 / MAX(1, 'ProductSprint Backlog'!$J186-'ProductSprint Backlog'!$I186), AND('ProductSprint Backlog'!$J186=C$2,'ProductSprint Backlog'!$I186=C$2), 'ProductSprint Backlog'!$F186, TRUE, 0)</f>
        <v>0</v>
      </c>
      <c r="D186" s="4" cm="1">
        <f t="array" ref="D186">_xlfn.IFS('ProductSprint Backlog'!$F186="", "", AND('ProductSprint Backlog'!$J186&gt;D$2,'ProductSprint Backlog'!$I186&lt;=D$2), 'ProductSprint Backlog'!$F186 / MAX(1, 'ProductSprint Backlog'!$J186-'ProductSprint Backlog'!$I186), AND('ProductSprint Backlog'!$J186=D$2,'ProductSprint Backlog'!$I186=D$2), 'ProductSprint Backlog'!$F186, TRUE, 0)</f>
        <v>0</v>
      </c>
      <c r="E186" s="4" cm="1">
        <f t="array" ref="E186">_xlfn.IFS('ProductSprint Backlog'!$F186="", "", AND('ProductSprint Backlog'!$J186&gt;E$2,'ProductSprint Backlog'!$I186&lt;=E$2), 'ProductSprint Backlog'!$F186 / MAX(1, 'ProductSprint Backlog'!$J186-'ProductSprint Backlog'!$I186), AND('ProductSprint Backlog'!$J186=E$2,'ProductSprint Backlog'!$I186=E$2), 'ProductSprint Backlog'!$F186, TRUE, 0)</f>
        <v>0</v>
      </c>
      <c r="F186" s="4" cm="1">
        <f t="array" ref="F186">_xlfn.IFS('ProductSprint Backlog'!$F186="", "", AND('ProductSprint Backlog'!$J186&gt;F$2,'ProductSprint Backlog'!$I186&lt;=F$2), 'ProductSprint Backlog'!$F186 / MAX(1, 'ProductSprint Backlog'!$J186-'ProductSprint Backlog'!$I186), AND('ProductSprint Backlog'!$J186=F$2,'ProductSprint Backlog'!$I186=F$2), 'ProductSprint Backlog'!$F186, TRUE, 0)</f>
        <v>0</v>
      </c>
      <c r="G186" s="4" cm="1">
        <f t="array" ref="G186">_xlfn.IFS('ProductSprint Backlog'!$F186="", "", AND('ProductSprint Backlog'!$J186&gt;G$2,'ProductSprint Backlog'!$I186&lt;=G$2), 'ProductSprint Backlog'!$F186 / MAX(1, 'ProductSprint Backlog'!$J186-'ProductSprint Backlog'!$I186), AND('ProductSprint Backlog'!$J186=G$2,'ProductSprint Backlog'!$I186=G$2), 'ProductSprint Backlog'!$F186, TRUE, 0)</f>
        <v>0</v>
      </c>
      <c r="H186" s="4" cm="1">
        <f t="array" ref="H186">_xlfn.IFS('ProductSprint Backlog'!$F186="", "", AND('ProductSprint Backlog'!$J186&gt;H$2,'ProductSprint Backlog'!$I186&lt;=H$2), 'ProductSprint Backlog'!$F186 / MAX(1, 'ProductSprint Backlog'!$J186-'ProductSprint Backlog'!$I186), AND('ProductSprint Backlog'!$J186=H$2,'ProductSprint Backlog'!$I186=H$2), 'ProductSprint Backlog'!$F186, TRUE, 0)</f>
        <v>0</v>
      </c>
      <c r="I186" s="4" cm="1">
        <f t="array" ref="I186">_xlfn.IFS('ProductSprint Backlog'!$F186="", "", AND('ProductSprint Backlog'!$J186&gt;I$2,'ProductSprint Backlog'!$I186&lt;=I$2), 'ProductSprint Backlog'!$F186 / MAX(1, 'ProductSprint Backlog'!$J186-'ProductSprint Backlog'!$I186), AND('ProductSprint Backlog'!$J186=I$2,'ProductSprint Backlog'!$I186=I$2), 'ProductSprint Backlog'!$F186, TRUE, 0)</f>
        <v>0</v>
      </c>
      <c r="J186" s="4" cm="1">
        <f t="array" ref="J186">_xlfn.IFS('ProductSprint Backlog'!$F186="", "", AND('ProductSprint Backlog'!$J186&gt;J$2,'ProductSprint Backlog'!$I186&lt;=J$2), 'ProductSprint Backlog'!$F186 / MAX(1, 'ProductSprint Backlog'!$J186-'ProductSprint Backlog'!$I186), AND('ProductSprint Backlog'!$J186=J$2,'ProductSprint Backlog'!$I186=J$2), 'ProductSprint Backlog'!$F186, TRUE, 0)</f>
        <v>0</v>
      </c>
    </row>
    <row r="187" spans="2:10" x14ac:dyDescent="0.2">
      <c r="B187" s="4" cm="1">
        <f t="array" ref="B187">_xlfn.IFS('ProductSprint Backlog'!$F187="", "", AND('ProductSprint Backlog'!$J187&gt;B$2,'ProductSprint Backlog'!$I187&lt;=B$2), 'ProductSprint Backlog'!$F187 / MAX(1, 'ProductSprint Backlog'!$J187-'ProductSprint Backlog'!$I187), AND('ProductSprint Backlog'!$J187=B$2,'ProductSprint Backlog'!$I187=B$2), 'ProductSprint Backlog'!$F187, TRUE, 0)</f>
        <v>0</v>
      </c>
      <c r="C187" s="4" cm="1">
        <f t="array" ref="C187">_xlfn.IFS('ProductSprint Backlog'!$F187="", "", AND('ProductSprint Backlog'!$J187&gt;C$2,'ProductSprint Backlog'!$I187&lt;=C$2), 'ProductSprint Backlog'!$F187 / MAX(1, 'ProductSprint Backlog'!$J187-'ProductSprint Backlog'!$I187), AND('ProductSprint Backlog'!$J187=C$2,'ProductSprint Backlog'!$I187=C$2), 'ProductSprint Backlog'!$F187, TRUE, 0)</f>
        <v>0</v>
      </c>
      <c r="D187" s="4" cm="1">
        <f t="array" ref="D187">_xlfn.IFS('ProductSprint Backlog'!$F187="", "", AND('ProductSprint Backlog'!$J187&gt;D$2,'ProductSprint Backlog'!$I187&lt;=D$2), 'ProductSprint Backlog'!$F187 / MAX(1, 'ProductSprint Backlog'!$J187-'ProductSprint Backlog'!$I187), AND('ProductSprint Backlog'!$J187=D$2,'ProductSprint Backlog'!$I187=D$2), 'ProductSprint Backlog'!$F187, TRUE, 0)</f>
        <v>0</v>
      </c>
      <c r="E187" s="4" cm="1">
        <f t="array" ref="E187">_xlfn.IFS('ProductSprint Backlog'!$F187="", "", AND('ProductSprint Backlog'!$J187&gt;E$2,'ProductSprint Backlog'!$I187&lt;=E$2), 'ProductSprint Backlog'!$F187 / MAX(1, 'ProductSprint Backlog'!$J187-'ProductSprint Backlog'!$I187), AND('ProductSprint Backlog'!$J187=E$2,'ProductSprint Backlog'!$I187=E$2), 'ProductSprint Backlog'!$F187, TRUE, 0)</f>
        <v>0</v>
      </c>
      <c r="F187" s="4" cm="1">
        <f t="array" ref="F187">_xlfn.IFS('ProductSprint Backlog'!$F187="", "", AND('ProductSprint Backlog'!$J187&gt;F$2,'ProductSprint Backlog'!$I187&lt;=F$2), 'ProductSprint Backlog'!$F187 / MAX(1, 'ProductSprint Backlog'!$J187-'ProductSprint Backlog'!$I187), AND('ProductSprint Backlog'!$J187=F$2,'ProductSprint Backlog'!$I187=F$2), 'ProductSprint Backlog'!$F187, TRUE, 0)</f>
        <v>0</v>
      </c>
      <c r="G187" s="4" cm="1">
        <f t="array" ref="G187">_xlfn.IFS('ProductSprint Backlog'!$F187="", "", AND('ProductSprint Backlog'!$J187&gt;G$2,'ProductSprint Backlog'!$I187&lt;=G$2), 'ProductSprint Backlog'!$F187 / MAX(1, 'ProductSprint Backlog'!$J187-'ProductSprint Backlog'!$I187), AND('ProductSprint Backlog'!$J187=G$2,'ProductSprint Backlog'!$I187=G$2), 'ProductSprint Backlog'!$F187, TRUE, 0)</f>
        <v>0</v>
      </c>
      <c r="H187" s="4" cm="1">
        <f t="array" ref="H187">_xlfn.IFS('ProductSprint Backlog'!$F187="", "", AND('ProductSprint Backlog'!$J187&gt;H$2,'ProductSprint Backlog'!$I187&lt;=H$2), 'ProductSprint Backlog'!$F187 / MAX(1, 'ProductSprint Backlog'!$J187-'ProductSprint Backlog'!$I187), AND('ProductSprint Backlog'!$J187=H$2,'ProductSprint Backlog'!$I187=H$2), 'ProductSprint Backlog'!$F187, TRUE, 0)</f>
        <v>0</v>
      </c>
      <c r="I187" s="4" cm="1">
        <f t="array" ref="I187">_xlfn.IFS('ProductSprint Backlog'!$F187="", "", AND('ProductSprint Backlog'!$J187&gt;I$2,'ProductSprint Backlog'!$I187&lt;=I$2), 'ProductSprint Backlog'!$F187 / MAX(1, 'ProductSprint Backlog'!$J187-'ProductSprint Backlog'!$I187), AND('ProductSprint Backlog'!$J187=I$2,'ProductSprint Backlog'!$I187=I$2), 'ProductSprint Backlog'!$F187, TRUE, 0)</f>
        <v>0</v>
      </c>
      <c r="J187" s="4" cm="1">
        <f t="array" ref="J187">_xlfn.IFS('ProductSprint Backlog'!$F187="", "", AND('ProductSprint Backlog'!$J187&gt;J$2,'ProductSprint Backlog'!$I187&lt;=J$2), 'ProductSprint Backlog'!$F187 / MAX(1, 'ProductSprint Backlog'!$J187-'ProductSprint Backlog'!$I187), AND('ProductSprint Backlog'!$J187=J$2,'ProductSprint Backlog'!$I187=J$2), 'ProductSprint Backlog'!$F187, TRUE, 0)</f>
        <v>0</v>
      </c>
    </row>
    <row r="188" spans="2:10" x14ac:dyDescent="0.2">
      <c r="B188" s="4" cm="1">
        <f t="array" ref="B188">_xlfn.IFS('ProductSprint Backlog'!$F188="", "", AND('ProductSprint Backlog'!$J188&gt;B$2,'ProductSprint Backlog'!$I188&lt;=B$2), 'ProductSprint Backlog'!$F188 / MAX(1, 'ProductSprint Backlog'!$J188-'ProductSprint Backlog'!$I188), AND('ProductSprint Backlog'!$J188=B$2,'ProductSprint Backlog'!$I188=B$2), 'ProductSprint Backlog'!$F188, TRUE, 0)</f>
        <v>0</v>
      </c>
      <c r="C188" s="4" cm="1">
        <f t="array" ref="C188">_xlfn.IFS('ProductSprint Backlog'!$F188="", "", AND('ProductSprint Backlog'!$J188&gt;C$2,'ProductSprint Backlog'!$I188&lt;=C$2), 'ProductSprint Backlog'!$F188 / MAX(1, 'ProductSprint Backlog'!$J188-'ProductSprint Backlog'!$I188), AND('ProductSprint Backlog'!$J188=C$2,'ProductSprint Backlog'!$I188=C$2), 'ProductSprint Backlog'!$F188, TRUE, 0)</f>
        <v>0</v>
      </c>
      <c r="D188" s="4" cm="1">
        <f t="array" ref="D188">_xlfn.IFS('ProductSprint Backlog'!$F188="", "", AND('ProductSprint Backlog'!$J188&gt;D$2,'ProductSprint Backlog'!$I188&lt;=D$2), 'ProductSprint Backlog'!$F188 / MAX(1, 'ProductSprint Backlog'!$J188-'ProductSprint Backlog'!$I188), AND('ProductSprint Backlog'!$J188=D$2,'ProductSprint Backlog'!$I188=D$2), 'ProductSprint Backlog'!$F188, TRUE, 0)</f>
        <v>0</v>
      </c>
      <c r="E188" s="4" cm="1">
        <f t="array" ref="E188">_xlfn.IFS('ProductSprint Backlog'!$F188="", "", AND('ProductSprint Backlog'!$J188&gt;E$2,'ProductSprint Backlog'!$I188&lt;=E$2), 'ProductSprint Backlog'!$F188 / MAX(1, 'ProductSprint Backlog'!$J188-'ProductSprint Backlog'!$I188), AND('ProductSprint Backlog'!$J188=E$2,'ProductSprint Backlog'!$I188=E$2), 'ProductSprint Backlog'!$F188, TRUE, 0)</f>
        <v>0</v>
      </c>
      <c r="F188" s="4" cm="1">
        <f t="array" ref="F188">_xlfn.IFS('ProductSprint Backlog'!$F188="", "", AND('ProductSprint Backlog'!$J188&gt;F$2,'ProductSprint Backlog'!$I188&lt;=F$2), 'ProductSprint Backlog'!$F188 / MAX(1, 'ProductSprint Backlog'!$J188-'ProductSprint Backlog'!$I188), AND('ProductSprint Backlog'!$J188=F$2,'ProductSprint Backlog'!$I188=F$2), 'ProductSprint Backlog'!$F188, TRUE, 0)</f>
        <v>0</v>
      </c>
      <c r="G188" s="4" cm="1">
        <f t="array" ref="G188">_xlfn.IFS('ProductSprint Backlog'!$F188="", "", AND('ProductSprint Backlog'!$J188&gt;G$2,'ProductSprint Backlog'!$I188&lt;=G$2), 'ProductSprint Backlog'!$F188 / MAX(1, 'ProductSprint Backlog'!$J188-'ProductSprint Backlog'!$I188), AND('ProductSprint Backlog'!$J188=G$2,'ProductSprint Backlog'!$I188=G$2), 'ProductSprint Backlog'!$F188, TRUE, 0)</f>
        <v>0</v>
      </c>
      <c r="H188" s="4" cm="1">
        <f t="array" ref="H188">_xlfn.IFS('ProductSprint Backlog'!$F188="", "", AND('ProductSprint Backlog'!$J188&gt;H$2,'ProductSprint Backlog'!$I188&lt;=H$2), 'ProductSprint Backlog'!$F188 / MAX(1, 'ProductSprint Backlog'!$J188-'ProductSprint Backlog'!$I188), AND('ProductSprint Backlog'!$J188=H$2,'ProductSprint Backlog'!$I188=H$2), 'ProductSprint Backlog'!$F188, TRUE, 0)</f>
        <v>0</v>
      </c>
      <c r="I188" s="4" cm="1">
        <f t="array" ref="I188">_xlfn.IFS('ProductSprint Backlog'!$F188="", "", AND('ProductSprint Backlog'!$J188&gt;I$2,'ProductSprint Backlog'!$I188&lt;=I$2), 'ProductSprint Backlog'!$F188 / MAX(1, 'ProductSprint Backlog'!$J188-'ProductSprint Backlog'!$I188), AND('ProductSprint Backlog'!$J188=I$2,'ProductSprint Backlog'!$I188=I$2), 'ProductSprint Backlog'!$F188, TRUE, 0)</f>
        <v>0</v>
      </c>
      <c r="J188" s="4" cm="1">
        <f t="array" ref="J188">_xlfn.IFS('ProductSprint Backlog'!$F188="", "", AND('ProductSprint Backlog'!$J188&gt;J$2,'ProductSprint Backlog'!$I188&lt;=J$2), 'ProductSprint Backlog'!$F188 / MAX(1, 'ProductSprint Backlog'!$J188-'ProductSprint Backlog'!$I188), AND('ProductSprint Backlog'!$J188=J$2,'ProductSprint Backlog'!$I188=J$2), 'ProductSprint Backlog'!$F188, TRUE, 0)</f>
        <v>0</v>
      </c>
    </row>
    <row r="189" spans="2:10" x14ac:dyDescent="0.2">
      <c r="B189" s="4" cm="1">
        <f t="array" ref="B189">_xlfn.IFS('ProductSprint Backlog'!$F189="", "", AND('ProductSprint Backlog'!$J189&gt;B$2,'ProductSprint Backlog'!$I189&lt;=B$2), 'ProductSprint Backlog'!$F189 / MAX(1, 'ProductSprint Backlog'!$J189-'ProductSprint Backlog'!$I189), AND('ProductSprint Backlog'!$J189=B$2,'ProductSprint Backlog'!$I189=B$2), 'ProductSprint Backlog'!$F189, TRUE, 0)</f>
        <v>0</v>
      </c>
      <c r="C189" s="4" cm="1">
        <f t="array" ref="C189">_xlfn.IFS('ProductSprint Backlog'!$F189="", "", AND('ProductSprint Backlog'!$J189&gt;C$2,'ProductSprint Backlog'!$I189&lt;=C$2), 'ProductSprint Backlog'!$F189 / MAX(1, 'ProductSprint Backlog'!$J189-'ProductSprint Backlog'!$I189), AND('ProductSprint Backlog'!$J189=C$2,'ProductSprint Backlog'!$I189=C$2), 'ProductSprint Backlog'!$F189, TRUE, 0)</f>
        <v>0</v>
      </c>
      <c r="D189" s="4" cm="1">
        <f t="array" ref="D189">_xlfn.IFS('ProductSprint Backlog'!$F189="", "", AND('ProductSprint Backlog'!$J189&gt;D$2,'ProductSprint Backlog'!$I189&lt;=D$2), 'ProductSprint Backlog'!$F189 / MAX(1, 'ProductSprint Backlog'!$J189-'ProductSprint Backlog'!$I189), AND('ProductSprint Backlog'!$J189=D$2,'ProductSprint Backlog'!$I189=D$2), 'ProductSprint Backlog'!$F189, TRUE, 0)</f>
        <v>0</v>
      </c>
      <c r="E189" s="4" cm="1">
        <f t="array" ref="E189">_xlfn.IFS('ProductSprint Backlog'!$F189="", "", AND('ProductSprint Backlog'!$J189&gt;E$2,'ProductSprint Backlog'!$I189&lt;=E$2), 'ProductSprint Backlog'!$F189 / MAX(1, 'ProductSprint Backlog'!$J189-'ProductSprint Backlog'!$I189), AND('ProductSprint Backlog'!$J189=E$2,'ProductSprint Backlog'!$I189=E$2), 'ProductSprint Backlog'!$F189, TRUE, 0)</f>
        <v>0</v>
      </c>
      <c r="F189" s="4" cm="1">
        <f t="array" ref="F189">_xlfn.IFS('ProductSprint Backlog'!$F189="", "", AND('ProductSprint Backlog'!$J189&gt;F$2,'ProductSprint Backlog'!$I189&lt;=F$2), 'ProductSprint Backlog'!$F189 / MAX(1, 'ProductSprint Backlog'!$J189-'ProductSprint Backlog'!$I189), AND('ProductSprint Backlog'!$J189=F$2,'ProductSprint Backlog'!$I189=F$2), 'ProductSprint Backlog'!$F189, TRUE, 0)</f>
        <v>0</v>
      </c>
      <c r="G189" s="4" cm="1">
        <f t="array" ref="G189">_xlfn.IFS('ProductSprint Backlog'!$F189="", "", AND('ProductSprint Backlog'!$J189&gt;G$2,'ProductSprint Backlog'!$I189&lt;=G$2), 'ProductSprint Backlog'!$F189 / MAX(1, 'ProductSprint Backlog'!$J189-'ProductSprint Backlog'!$I189), AND('ProductSprint Backlog'!$J189=G$2,'ProductSprint Backlog'!$I189=G$2), 'ProductSprint Backlog'!$F189, TRUE, 0)</f>
        <v>0</v>
      </c>
      <c r="H189" s="4" cm="1">
        <f t="array" ref="H189">_xlfn.IFS('ProductSprint Backlog'!$F189="", "", AND('ProductSprint Backlog'!$J189&gt;H$2,'ProductSprint Backlog'!$I189&lt;=H$2), 'ProductSprint Backlog'!$F189 / MAX(1, 'ProductSprint Backlog'!$J189-'ProductSprint Backlog'!$I189), AND('ProductSprint Backlog'!$J189=H$2,'ProductSprint Backlog'!$I189=H$2), 'ProductSprint Backlog'!$F189, TRUE, 0)</f>
        <v>0</v>
      </c>
      <c r="I189" s="4" cm="1">
        <f t="array" ref="I189">_xlfn.IFS('ProductSprint Backlog'!$F189="", "", AND('ProductSprint Backlog'!$J189&gt;I$2,'ProductSprint Backlog'!$I189&lt;=I$2), 'ProductSprint Backlog'!$F189 / MAX(1, 'ProductSprint Backlog'!$J189-'ProductSprint Backlog'!$I189), AND('ProductSprint Backlog'!$J189=I$2,'ProductSprint Backlog'!$I189=I$2), 'ProductSprint Backlog'!$F189, TRUE, 0)</f>
        <v>0</v>
      </c>
      <c r="J189" s="4" cm="1">
        <f t="array" ref="J189">_xlfn.IFS('ProductSprint Backlog'!$F189="", "", AND('ProductSprint Backlog'!$J189&gt;J$2,'ProductSprint Backlog'!$I189&lt;=J$2), 'ProductSprint Backlog'!$F189 / MAX(1, 'ProductSprint Backlog'!$J189-'ProductSprint Backlog'!$I189), AND('ProductSprint Backlog'!$J189=J$2,'ProductSprint Backlog'!$I189=J$2), 'ProductSprint Backlog'!$F189, TRUE, 0)</f>
        <v>0</v>
      </c>
    </row>
    <row r="190" spans="2:10" x14ac:dyDescent="0.2">
      <c r="B190" s="4" cm="1">
        <f t="array" ref="B190">_xlfn.IFS('ProductSprint Backlog'!$F190="", "", AND('ProductSprint Backlog'!$J190&gt;B$2,'ProductSprint Backlog'!$I190&lt;=B$2), 'ProductSprint Backlog'!$F190 / MAX(1, 'ProductSprint Backlog'!$J190-'ProductSprint Backlog'!$I190), AND('ProductSprint Backlog'!$J190=B$2,'ProductSprint Backlog'!$I190=B$2), 'ProductSprint Backlog'!$F190, TRUE, 0)</f>
        <v>0</v>
      </c>
      <c r="C190" s="4" cm="1">
        <f t="array" ref="C190">_xlfn.IFS('ProductSprint Backlog'!$F190="", "", AND('ProductSprint Backlog'!$J190&gt;C$2,'ProductSprint Backlog'!$I190&lt;=C$2), 'ProductSprint Backlog'!$F190 / MAX(1, 'ProductSprint Backlog'!$J190-'ProductSprint Backlog'!$I190), AND('ProductSprint Backlog'!$J190=C$2,'ProductSprint Backlog'!$I190=C$2), 'ProductSprint Backlog'!$F190, TRUE, 0)</f>
        <v>0</v>
      </c>
      <c r="D190" s="4" cm="1">
        <f t="array" ref="D190">_xlfn.IFS('ProductSprint Backlog'!$F190="", "", AND('ProductSprint Backlog'!$J190&gt;D$2,'ProductSprint Backlog'!$I190&lt;=D$2), 'ProductSprint Backlog'!$F190 / MAX(1, 'ProductSprint Backlog'!$J190-'ProductSprint Backlog'!$I190), AND('ProductSprint Backlog'!$J190=D$2,'ProductSprint Backlog'!$I190=D$2), 'ProductSprint Backlog'!$F190, TRUE, 0)</f>
        <v>0</v>
      </c>
      <c r="E190" s="4" cm="1">
        <f t="array" ref="E190">_xlfn.IFS('ProductSprint Backlog'!$F190="", "", AND('ProductSprint Backlog'!$J190&gt;E$2,'ProductSprint Backlog'!$I190&lt;=E$2), 'ProductSprint Backlog'!$F190 / MAX(1, 'ProductSprint Backlog'!$J190-'ProductSprint Backlog'!$I190), AND('ProductSprint Backlog'!$J190=E$2,'ProductSprint Backlog'!$I190=E$2), 'ProductSprint Backlog'!$F190, TRUE, 0)</f>
        <v>0</v>
      </c>
      <c r="F190" s="4" cm="1">
        <f t="array" ref="F190">_xlfn.IFS('ProductSprint Backlog'!$F190="", "", AND('ProductSprint Backlog'!$J190&gt;F$2,'ProductSprint Backlog'!$I190&lt;=F$2), 'ProductSprint Backlog'!$F190 / MAX(1, 'ProductSprint Backlog'!$J190-'ProductSprint Backlog'!$I190), AND('ProductSprint Backlog'!$J190=F$2,'ProductSprint Backlog'!$I190=F$2), 'ProductSprint Backlog'!$F190, TRUE, 0)</f>
        <v>0</v>
      </c>
      <c r="G190" s="4" cm="1">
        <f t="array" ref="G190">_xlfn.IFS('ProductSprint Backlog'!$F190="", "", AND('ProductSprint Backlog'!$J190&gt;G$2,'ProductSprint Backlog'!$I190&lt;=G$2), 'ProductSprint Backlog'!$F190 / MAX(1, 'ProductSprint Backlog'!$J190-'ProductSprint Backlog'!$I190), AND('ProductSprint Backlog'!$J190=G$2,'ProductSprint Backlog'!$I190=G$2), 'ProductSprint Backlog'!$F190, TRUE, 0)</f>
        <v>0</v>
      </c>
      <c r="H190" s="4" cm="1">
        <f t="array" ref="H190">_xlfn.IFS('ProductSprint Backlog'!$F190="", "", AND('ProductSprint Backlog'!$J190&gt;H$2,'ProductSprint Backlog'!$I190&lt;=H$2), 'ProductSprint Backlog'!$F190 / MAX(1, 'ProductSprint Backlog'!$J190-'ProductSprint Backlog'!$I190), AND('ProductSprint Backlog'!$J190=H$2,'ProductSprint Backlog'!$I190=H$2), 'ProductSprint Backlog'!$F190, TRUE, 0)</f>
        <v>0</v>
      </c>
      <c r="I190" s="4" cm="1">
        <f t="array" ref="I190">_xlfn.IFS('ProductSprint Backlog'!$F190="", "", AND('ProductSprint Backlog'!$J190&gt;I$2,'ProductSprint Backlog'!$I190&lt;=I$2), 'ProductSprint Backlog'!$F190 / MAX(1, 'ProductSprint Backlog'!$J190-'ProductSprint Backlog'!$I190), AND('ProductSprint Backlog'!$J190=I$2,'ProductSprint Backlog'!$I190=I$2), 'ProductSprint Backlog'!$F190, TRUE, 0)</f>
        <v>0</v>
      </c>
      <c r="J190" s="4" cm="1">
        <f t="array" ref="J190">_xlfn.IFS('ProductSprint Backlog'!$F190="", "", AND('ProductSprint Backlog'!$J190&gt;J$2,'ProductSprint Backlog'!$I190&lt;=J$2), 'ProductSprint Backlog'!$F190 / MAX(1, 'ProductSprint Backlog'!$J190-'ProductSprint Backlog'!$I190), AND('ProductSprint Backlog'!$J190=J$2,'ProductSprint Backlog'!$I190=J$2), 'ProductSprint Backlog'!$F190, TRUE, 0)</f>
        <v>0</v>
      </c>
    </row>
    <row r="191" spans="2:10" x14ac:dyDescent="0.2">
      <c r="B191" s="4" cm="1">
        <f t="array" ref="B191">_xlfn.IFS('ProductSprint Backlog'!$F191="", "", AND('ProductSprint Backlog'!$J191&gt;B$2,'ProductSprint Backlog'!$I191&lt;=B$2), 'ProductSprint Backlog'!$F191 / MAX(1, 'ProductSprint Backlog'!$J191-'ProductSprint Backlog'!$I191), AND('ProductSprint Backlog'!$J191=B$2,'ProductSprint Backlog'!$I191=B$2), 'ProductSprint Backlog'!$F191, TRUE, 0)</f>
        <v>0</v>
      </c>
      <c r="C191" s="4" cm="1">
        <f t="array" ref="C191">_xlfn.IFS('ProductSprint Backlog'!$F191="", "", AND('ProductSprint Backlog'!$J191&gt;C$2,'ProductSprint Backlog'!$I191&lt;=C$2), 'ProductSprint Backlog'!$F191 / MAX(1, 'ProductSprint Backlog'!$J191-'ProductSprint Backlog'!$I191), AND('ProductSprint Backlog'!$J191=C$2,'ProductSprint Backlog'!$I191=C$2), 'ProductSprint Backlog'!$F191, TRUE, 0)</f>
        <v>0</v>
      </c>
      <c r="D191" s="4" cm="1">
        <f t="array" ref="D191">_xlfn.IFS('ProductSprint Backlog'!$F191="", "", AND('ProductSprint Backlog'!$J191&gt;D$2,'ProductSprint Backlog'!$I191&lt;=D$2), 'ProductSprint Backlog'!$F191 / MAX(1, 'ProductSprint Backlog'!$J191-'ProductSprint Backlog'!$I191), AND('ProductSprint Backlog'!$J191=D$2,'ProductSprint Backlog'!$I191=D$2), 'ProductSprint Backlog'!$F191, TRUE, 0)</f>
        <v>0</v>
      </c>
      <c r="E191" s="4" cm="1">
        <f t="array" ref="E191">_xlfn.IFS('ProductSprint Backlog'!$F191="", "", AND('ProductSprint Backlog'!$J191&gt;E$2,'ProductSprint Backlog'!$I191&lt;=E$2), 'ProductSprint Backlog'!$F191 / MAX(1, 'ProductSprint Backlog'!$J191-'ProductSprint Backlog'!$I191), AND('ProductSprint Backlog'!$J191=E$2,'ProductSprint Backlog'!$I191=E$2), 'ProductSprint Backlog'!$F191, TRUE, 0)</f>
        <v>0</v>
      </c>
      <c r="F191" s="4" cm="1">
        <f t="array" ref="F191">_xlfn.IFS('ProductSprint Backlog'!$F191="", "", AND('ProductSprint Backlog'!$J191&gt;F$2,'ProductSprint Backlog'!$I191&lt;=F$2), 'ProductSprint Backlog'!$F191 / MAX(1, 'ProductSprint Backlog'!$J191-'ProductSprint Backlog'!$I191), AND('ProductSprint Backlog'!$J191=F$2,'ProductSprint Backlog'!$I191=F$2), 'ProductSprint Backlog'!$F191, TRUE, 0)</f>
        <v>0</v>
      </c>
      <c r="G191" s="4" cm="1">
        <f t="array" ref="G191">_xlfn.IFS('ProductSprint Backlog'!$F191="", "", AND('ProductSprint Backlog'!$J191&gt;G$2,'ProductSprint Backlog'!$I191&lt;=G$2), 'ProductSprint Backlog'!$F191 / MAX(1, 'ProductSprint Backlog'!$J191-'ProductSprint Backlog'!$I191), AND('ProductSprint Backlog'!$J191=G$2,'ProductSprint Backlog'!$I191=G$2), 'ProductSprint Backlog'!$F191, TRUE, 0)</f>
        <v>0</v>
      </c>
      <c r="H191" s="4" cm="1">
        <f t="array" ref="H191">_xlfn.IFS('ProductSprint Backlog'!$F191="", "", AND('ProductSprint Backlog'!$J191&gt;H$2,'ProductSprint Backlog'!$I191&lt;=H$2), 'ProductSprint Backlog'!$F191 / MAX(1, 'ProductSprint Backlog'!$J191-'ProductSprint Backlog'!$I191), AND('ProductSprint Backlog'!$J191=H$2,'ProductSprint Backlog'!$I191=H$2), 'ProductSprint Backlog'!$F191, TRUE, 0)</f>
        <v>0</v>
      </c>
      <c r="I191" s="4" cm="1">
        <f t="array" ref="I191">_xlfn.IFS('ProductSprint Backlog'!$F191="", "", AND('ProductSprint Backlog'!$J191&gt;I$2,'ProductSprint Backlog'!$I191&lt;=I$2), 'ProductSprint Backlog'!$F191 / MAX(1, 'ProductSprint Backlog'!$J191-'ProductSprint Backlog'!$I191), AND('ProductSprint Backlog'!$J191=I$2,'ProductSprint Backlog'!$I191=I$2), 'ProductSprint Backlog'!$F191, TRUE, 0)</f>
        <v>0</v>
      </c>
      <c r="J191" s="4" cm="1">
        <f t="array" ref="J191">_xlfn.IFS('ProductSprint Backlog'!$F191="", "", AND('ProductSprint Backlog'!$J191&gt;J$2,'ProductSprint Backlog'!$I191&lt;=J$2), 'ProductSprint Backlog'!$F191 / MAX(1, 'ProductSprint Backlog'!$J191-'ProductSprint Backlog'!$I191), AND('ProductSprint Backlog'!$J191=J$2,'ProductSprint Backlog'!$I191=J$2), 'ProductSprint Backlog'!$F191, TRUE, 0)</f>
        <v>0</v>
      </c>
    </row>
    <row r="192" spans="2:10" x14ac:dyDescent="0.2">
      <c r="B192" s="4" cm="1">
        <f t="array" ref="B192">_xlfn.IFS('ProductSprint Backlog'!$F192="", "", AND('ProductSprint Backlog'!$J192&gt;B$2,'ProductSprint Backlog'!$I192&lt;=B$2), 'ProductSprint Backlog'!$F192 / MAX(1, 'ProductSprint Backlog'!$J192-'ProductSprint Backlog'!$I192), AND('ProductSprint Backlog'!$J192=B$2,'ProductSprint Backlog'!$I192=B$2), 'ProductSprint Backlog'!$F192, TRUE, 0)</f>
        <v>0</v>
      </c>
      <c r="C192" s="4" cm="1">
        <f t="array" ref="C192">_xlfn.IFS('ProductSprint Backlog'!$F192="", "", AND('ProductSprint Backlog'!$J192&gt;C$2,'ProductSprint Backlog'!$I192&lt;=C$2), 'ProductSprint Backlog'!$F192 / MAX(1, 'ProductSprint Backlog'!$J192-'ProductSprint Backlog'!$I192), AND('ProductSprint Backlog'!$J192=C$2,'ProductSprint Backlog'!$I192=C$2), 'ProductSprint Backlog'!$F192, TRUE, 0)</f>
        <v>0</v>
      </c>
      <c r="D192" s="4" cm="1">
        <f t="array" ref="D192">_xlfn.IFS('ProductSprint Backlog'!$F192="", "", AND('ProductSprint Backlog'!$J192&gt;D$2,'ProductSprint Backlog'!$I192&lt;=D$2), 'ProductSprint Backlog'!$F192 / MAX(1, 'ProductSprint Backlog'!$J192-'ProductSprint Backlog'!$I192), AND('ProductSprint Backlog'!$J192=D$2,'ProductSprint Backlog'!$I192=D$2), 'ProductSprint Backlog'!$F192, TRUE, 0)</f>
        <v>0</v>
      </c>
      <c r="E192" s="4" cm="1">
        <f t="array" ref="E192">_xlfn.IFS('ProductSprint Backlog'!$F192="", "", AND('ProductSprint Backlog'!$J192&gt;E$2,'ProductSprint Backlog'!$I192&lt;=E$2), 'ProductSprint Backlog'!$F192 / MAX(1, 'ProductSprint Backlog'!$J192-'ProductSprint Backlog'!$I192), AND('ProductSprint Backlog'!$J192=E$2,'ProductSprint Backlog'!$I192=E$2), 'ProductSprint Backlog'!$F192, TRUE, 0)</f>
        <v>0</v>
      </c>
      <c r="F192" s="4" cm="1">
        <f t="array" ref="F192">_xlfn.IFS('ProductSprint Backlog'!$F192="", "", AND('ProductSprint Backlog'!$J192&gt;F$2,'ProductSprint Backlog'!$I192&lt;=F$2), 'ProductSprint Backlog'!$F192 / MAX(1, 'ProductSprint Backlog'!$J192-'ProductSprint Backlog'!$I192), AND('ProductSprint Backlog'!$J192=F$2,'ProductSprint Backlog'!$I192=F$2), 'ProductSprint Backlog'!$F192, TRUE, 0)</f>
        <v>0</v>
      </c>
      <c r="G192" s="4" cm="1">
        <f t="array" ref="G192">_xlfn.IFS('ProductSprint Backlog'!$F192="", "", AND('ProductSprint Backlog'!$J192&gt;G$2,'ProductSprint Backlog'!$I192&lt;=G$2), 'ProductSprint Backlog'!$F192 / MAX(1, 'ProductSprint Backlog'!$J192-'ProductSprint Backlog'!$I192), AND('ProductSprint Backlog'!$J192=G$2,'ProductSprint Backlog'!$I192=G$2), 'ProductSprint Backlog'!$F192, TRUE, 0)</f>
        <v>0</v>
      </c>
      <c r="H192" s="4" cm="1">
        <f t="array" ref="H192">_xlfn.IFS('ProductSprint Backlog'!$F192="", "", AND('ProductSprint Backlog'!$J192&gt;H$2,'ProductSprint Backlog'!$I192&lt;=H$2), 'ProductSprint Backlog'!$F192 / MAX(1, 'ProductSprint Backlog'!$J192-'ProductSprint Backlog'!$I192), AND('ProductSprint Backlog'!$J192=H$2,'ProductSprint Backlog'!$I192=H$2), 'ProductSprint Backlog'!$F192, TRUE, 0)</f>
        <v>0</v>
      </c>
      <c r="I192" s="4" cm="1">
        <f t="array" ref="I192">_xlfn.IFS('ProductSprint Backlog'!$F192="", "", AND('ProductSprint Backlog'!$J192&gt;I$2,'ProductSprint Backlog'!$I192&lt;=I$2), 'ProductSprint Backlog'!$F192 / MAX(1, 'ProductSprint Backlog'!$J192-'ProductSprint Backlog'!$I192), AND('ProductSprint Backlog'!$J192=I$2,'ProductSprint Backlog'!$I192=I$2), 'ProductSprint Backlog'!$F192, TRUE, 0)</f>
        <v>0</v>
      </c>
      <c r="J192" s="4" cm="1">
        <f t="array" ref="J192">_xlfn.IFS('ProductSprint Backlog'!$F192="", "", AND('ProductSprint Backlog'!$J192&gt;J$2,'ProductSprint Backlog'!$I192&lt;=J$2), 'ProductSprint Backlog'!$F192 / MAX(1, 'ProductSprint Backlog'!$J192-'ProductSprint Backlog'!$I192), AND('ProductSprint Backlog'!$J192=J$2,'ProductSprint Backlog'!$I192=J$2), 'ProductSprint Backlog'!$F192, TRUE, 0)</f>
        <v>0</v>
      </c>
    </row>
    <row r="193" spans="2:10" x14ac:dyDescent="0.2">
      <c r="B193" s="4" cm="1">
        <f t="array" ref="B193">_xlfn.IFS('ProductSprint Backlog'!$F193="", "", AND('ProductSprint Backlog'!$J193&gt;B$2,'ProductSprint Backlog'!$I193&lt;=B$2), 'ProductSprint Backlog'!$F193 / MAX(1, 'ProductSprint Backlog'!$J193-'ProductSprint Backlog'!$I193), AND('ProductSprint Backlog'!$J193=B$2,'ProductSprint Backlog'!$I193=B$2), 'ProductSprint Backlog'!$F193, TRUE, 0)</f>
        <v>0</v>
      </c>
      <c r="C193" s="4" cm="1">
        <f t="array" ref="C193">_xlfn.IFS('ProductSprint Backlog'!$F193="", "", AND('ProductSprint Backlog'!$J193&gt;C$2,'ProductSprint Backlog'!$I193&lt;=C$2), 'ProductSprint Backlog'!$F193 / MAX(1, 'ProductSprint Backlog'!$J193-'ProductSprint Backlog'!$I193), AND('ProductSprint Backlog'!$J193=C$2,'ProductSprint Backlog'!$I193=C$2), 'ProductSprint Backlog'!$F193, TRUE, 0)</f>
        <v>0</v>
      </c>
      <c r="D193" s="4" cm="1">
        <f t="array" ref="D193">_xlfn.IFS('ProductSprint Backlog'!$F193="", "", AND('ProductSprint Backlog'!$J193&gt;D$2,'ProductSprint Backlog'!$I193&lt;=D$2), 'ProductSprint Backlog'!$F193 / MAX(1, 'ProductSprint Backlog'!$J193-'ProductSprint Backlog'!$I193), AND('ProductSprint Backlog'!$J193=D$2,'ProductSprint Backlog'!$I193=D$2), 'ProductSprint Backlog'!$F193, TRUE, 0)</f>
        <v>0</v>
      </c>
      <c r="E193" s="4" cm="1">
        <f t="array" ref="E193">_xlfn.IFS('ProductSprint Backlog'!$F193="", "", AND('ProductSprint Backlog'!$J193&gt;E$2,'ProductSprint Backlog'!$I193&lt;=E$2), 'ProductSprint Backlog'!$F193 / MAX(1, 'ProductSprint Backlog'!$J193-'ProductSprint Backlog'!$I193), AND('ProductSprint Backlog'!$J193=E$2,'ProductSprint Backlog'!$I193=E$2), 'ProductSprint Backlog'!$F193, TRUE, 0)</f>
        <v>0</v>
      </c>
      <c r="F193" s="4" cm="1">
        <f t="array" ref="F193">_xlfn.IFS('ProductSprint Backlog'!$F193="", "", AND('ProductSprint Backlog'!$J193&gt;F$2,'ProductSprint Backlog'!$I193&lt;=F$2), 'ProductSprint Backlog'!$F193 / MAX(1, 'ProductSprint Backlog'!$J193-'ProductSprint Backlog'!$I193), AND('ProductSprint Backlog'!$J193=F$2,'ProductSprint Backlog'!$I193=F$2), 'ProductSprint Backlog'!$F193, TRUE, 0)</f>
        <v>0</v>
      </c>
      <c r="G193" s="4" cm="1">
        <f t="array" ref="G193">_xlfn.IFS('ProductSprint Backlog'!$F193="", "", AND('ProductSprint Backlog'!$J193&gt;G$2,'ProductSprint Backlog'!$I193&lt;=G$2), 'ProductSprint Backlog'!$F193 / MAX(1, 'ProductSprint Backlog'!$J193-'ProductSprint Backlog'!$I193), AND('ProductSprint Backlog'!$J193=G$2,'ProductSprint Backlog'!$I193=G$2), 'ProductSprint Backlog'!$F193, TRUE, 0)</f>
        <v>0</v>
      </c>
      <c r="H193" s="4" cm="1">
        <f t="array" ref="H193">_xlfn.IFS('ProductSprint Backlog'!$F193="", "", AND('ProductSprint Backlog'!$J193&gt;H$2,'ProductSprint Backlog'!$I193&lt;=H$2), 'ProductSprint Backlog'!$F193 / MAX(1, 'ProductSprint Backlog'!$J193-'ProductSprint Backlog'!$I193), AND('ProductSprint Backlog'!$J193=H$2,'ProductSprint Backlog'!$I193=H$2), 'ProductSprint Backlog'!$F193, TRUE, 0)</f>
        <v>0</v>
      </c>
      <c r="I193" s="4" cm="1">
        <f t="array" ref="I193">_xlfn.IFS('ProductSprint Backlog'!$F193="", "", AND('ProductSprint Backlog'!$J193&gt;I$2,'ProductSprint Backlog'!$I193&lt;=I$2), 'ProductSprint Backlog'!$F193 / MAX(1, 'ProductSprint Backlog'!$J193-'ProductSprint Backlog'!$I193), AND('ProductSprint Backlog'!$J193=I$2,'ProductSprint Backlog'!$I193=I$2), 'ProductSprint Backlog'!$F193, TRUE, 0)</f>
        <v>0</v>
      </c>
      <c r="J193" s="4" cm="1">
        <f t="array" ref="J193">_xlfn.IFS('ProductSprint Backlog'!$F193="", "", AND('ProductSprint Backlog'!$J193&gt;J$2,'ProductSprint Backlog'!$I193&lt;=J$2), 'ProductSprint Backlog'!$F193 / MAX(1, 'ProductSprint Backlog'!$J193-'ProductSprint Backlog'!$I193), AND('ProductSprint Backlog'!$J193=J$2,'ProductSprint Backlog'!$I193=J$2), 'ProductSprint Backlog'!$F193, TRUE, 0)</f>
        <v>0</v>
      </c>
    </row>
    <row r="194" spans="2:10" x14ac:dyDescent="0.2">
      <c r="B194" s="4" cm="1">
        <f t="array" ref="B194">_xlfn.IFS('ProductSprint Backlog'!$F194="", "", AND('ProductSprint Backlog'!$J194&gt;B$2,'ProductSprint Backlog'!$I194&lt;=B$2), 'ProductSprint Backlog'!$F194 / MAX(1, 'ProductSprint Backlog'!$J194-'ProductSprint Backlog'!$I194), AND('ProductSprint Backlog'!$J194=B$2,'ProductSprint Backlog'!$I194=B$2), 'ProductSprint Backlog'!$F194, TRUE, 0)</f>
        <v>0</v>
      </c>
      <c r="C194" s="4" cm="1">
        <f t="array" ref="C194">_xlfn.IFS('ProductSprint Backlog'!$F194="", "", AND('ProductSprint Backlog'!$J194&gt;C$2,'ProductSprint Backlog'!$I194&lt;=C$2), 'ProductSprint Backlog'!$F194 / MAX(1, 'ProductSprint Backlog'!$J194-'ProductSprint Backlog'!$I194), AND('ProductSprint Backlog'!$J194=C$2,'ProductSprint Backlog'!$I194=C$2), 'ProductSprint Backlog'!$F194, TRUE, 0)</f>
        <v>0</v>
      </c>
      <c r="D194" s="4" cm="1">
        <f t="array" ref="D194">_xlfn.IFS('ProductSprint Backlog'!$F194="", "", AND('ProductSprint Backlog'!$J194&gt;D$2,'ProductSprint Backlog'!$I194&lt;=D$2), 'ProductSprint Backlog'!$F194 / MAX(1, 'ProductSprint Backlog'!$J194-'ProductSprint Backlog'!$I194), AND('ProductSprint Backlog'!$J194=D$2,'ProductSprint Backlog'!$I194=D$2), 'ProductSprint Backlog'!$F194, TRUE, 0)</f>
        <v>0</v>
      </c>
      <c r="E194" s="4" cm="1">
        <f t="array" ref="E194">_xlfn.IFS('ProductSprint Backlog'!$F194="", "", AND('ProductSprint Backlog'!$J194&gt;E$2,'ProductSprint Backlog'!$I194&lt;=E$2), 'ProductSprint Backlog'!$F194 / MAX(1, 'ProductSprint Backlog'!$J194-'ProductSprint Backlog'!$I194), AND('ProductSprint Backlog'!$J194=E$2,'ProductSprint Backlog'!$I194=E$2), 'ProductSprint Backlog'!$F194, TRUE, 0)</f>
        <v>0</v>
      </c>
      <c r="F194" s="4" cm="1">
        <f t="array" ref="F194">_xlfn.IFS('ProductSprint Backlog'!$F194="", "", AND('ProductSprint Backlog'!$J194&gt;F$2,'ProductSprint Backlog'!$I194&lt;=F$2), 'ProductSprint Backlog'!$F194 / MAX(1, 'ProductSprint Backlog'!$J194-'ProductSprint Backlog'!$I194), AND('ProductSprint Backlog'!$J194=F$2,'ProductSprint Backlog'!$I194=F$2), 'ProductSprint Backlog'!$F194, TRUE, 0)</f>
        <v>0</v>
      </c>
      <c r="G194" s="4" cm="1">
        <f t="array" ref="G194">_xlfn.IFS('ProductSprint Backlog'!$F194="", "", AND('ProductSprint Backlog'!$J194&gt;G$2,'ProductSprint Backlog'!$I194&lt;=G$2), 'ProductSprint Backlog'!$F194 / MAX(1, 'ProductSprint Backlog'!$J194-'ProductSprint Backlog'!$I194), AND('ProductSprint Backlog'!$J194=G$2,'ProductSprint Backlog'!$I194=G$2), 'ProductSprint Backlog'!$F194, TRUE, 0)</f>
        <v>0</v>
      </c>
      <c r="H194" s="4" cm="1">
        <f t="array" ref="H194">_xlfn.IFS('ProductSprint Backlog'!$F194="", "", AND('ProductSprint Backlog'!$J194&gt;H$2,'ProductSprint Backlog'!$I194&lt;=H$2), 'ProductSprint Backlog'!$F194 / MAX(1, 'ProductSprint Backlog'!$J194-'ProductSprint Backlog'!$I194), AND('ProductSprint Backlog'!$J194=H$2,'ProductSprint Backlog'!$I194=H$2), 'ProductSprint Backlog'!$F194, TRUE, 0)</f>
        <v>0</v>
      </c>
      <c r="I194" s="4" cm="1">
        <f t="array" ref="I194">_xlfn.IFS('ProductSprint Backlog'!$F194="", "", AND('ProductSprint Backlog'!$J194&gt;I$2,'ProductSprint Backlog'!$I194&lt;=I$2), 'ProductSprint Backlog'!$F194 / MAX(1, 'ProductSprint Backlog'!$J194-'ProductSprint Backlog'!$I194), AND('ProductSprint Backlog'!$J194=I$2,'ProductSprint Backlog'!$I194=I$2), 'ProductSprint Backlog'!$F194, TRUE, 0)</f>
        <v>0</v>
      </c>
      <c r="J194" s="4" cm="1">
        <f t="array" ref="J194">_xlfn.IFS('ProductSprint Backlog'!$F194="", "", AND('ProductSprint Backlog'!$J194&gt;J$2,'ProductSprint Backlog'!$I194&lt;=J$2), 'ProductSprint Backlog'!$F194 / MAX(1, 'ProductSprint Backlog'!$J194-'ProductSprint Backlog'!$I194), AND('ProductSprint Backlog'!$J194=J$2,'ProductSprint Backlog'!$I194=J$2), 'ProductSprint Backlog'!$F194, TRUE, 0)</f>
        <v>0</v>
      </c>
    </row>
    <row r="195" spans="2:10" x14ac:dyDescent="0.2">
      <c r="B195" s="4" cm="1">
        <f t="array" ref="B195">_xlfn.IFS('ProductSprint Backlog'!$F195="", "", AND('ProductSprint Backlog'!$J195&gt;B$2,'ProductSprint Backlog'!$I195&lt;=B$2), 'ProductSprint Backlog'!$F195 / MAX(1, 'ProductSprint Backlog'!$J195-'ProductSprint Backlog'!$I195), AND('ProductSprint Backlog'!$J195=B$2,'ProductSprint Backlog'!$I195=B$2), 'ProductSprint Backlog'!$F195, TRUE, 0)</f>
        <v>0</v>
      </c>
      <c r="C195" s="4" cm="1">
        <f t="array" ref="C195">_xlfn.IFS('ProductSprint Backlog'!$F195="", "", AND('ProductSprint Backlog'!$J195&gt;C$2,'ProductSprint Backlog'!$I195&lt;=C$2), 'ProductSprint Backlog'!$F195 / MAX(1, 'ProductSprint Backlog'!$J195-'ProductSprint Backlog'!$I195), AND('ProductSprint Backlog'!$J195=C$2,'ProductSprint Backlog'!$I195=C$2), 'ProductSprint Backlog'!$F195, TRUE, 0)</f>
        <v>0</v>
      </c>
      <c r="D195" s="4" cm="1">
        <f t="array" ref="D195">_xlfn.IFS('ProductSprint Backlog'!$F195="", "", AND('ProductSprint Backlog'!$J195&gt;D$2,'ProductSprint Backlog'!$I195&lt;=D$2), 'ProductSprint Backlog'!$F195 / MAX(1, 'ProductSprint Backlog'!$J195-'ProductSprint Backlog'!$I195), AND('ProductSprint Backlog'!$J195=D$2,'ProductSprint Backlog'!$I195=D$2), 'ProductSprint Backlog'!$F195, TRUE, 0)</f>
        <v>0</v>
      </c>
      <c r="E195" s="4" cm="1">
        <f t="array" ref="E195">_xlfn.IFS('ProductSprint Backlog'!$F195="", "", AND('ProductSprint Backlog'!$J195&gt;E$2,'ProductSprint Backlog'!$I195&lt;=E$2), 'ProductSprint Backlog'!$F195 / MAX(1, 'ProductSprint Backlog'!$J195-'ProductSprint Backlog'!$I195), AND('ProductSprint Backlog'!$J195=E$2,'ProductSprint Backlog'!$I195=E$2), 'ProductSprint Backlog'!$F195, TRUE, 0)</f>
        <v>0</v>
      </c>
      <c r="F195" s="4" cm="1">
        <f t="array" ref="F195">_xlfn.IFS('ProductSprint Backlog'!$F195="", "", AND('ProductSprint Backlog'!$J195&gt;F$2,'ProductSprint Backlog'!$I195&lt;=F$2), 'ProductSprint Backlog'!$F195 / MAX(1, 'ProductSprint Backlog'!$J195-'ProductSprint Backlog'!$I195), AND('ProductSprint Backlog'!$J195=F$2,'ProductSprint Backlog'!$I195=F$2), 'ProductSprint Backlog'!$F195, TRUE, 0)</f>
        <v>0</v>
      </c>
      <c r="G195" s="4" cm="1">
        <f t="array" ref="G195">_xlfn.IFS('ProductSprint Backlog'!$F195="", "", AND('ProductSprint Backlog'!$J195&gt;G$2,'ProductSprint Backlog'!$I195&lt;=G$2), 'ProductSprint Backlog'!$F195 / MAX(1, 'ProductSprint Backlog'!$J195-'ProductSprint Backlog'!$I195), AND('ProductSprint Backlog'!$J195=G$2,'ProductSprint Backlog'!$I195=G$2), 'ProductSprint Backlog'!$F195, TRUE, 0)</f>
        <v>0</v>
      </c>
      <c r="H195" s="4" cm="1">
        <f t="array" ref="H195">_xlfn.IFS('ProductSprint Backlog'!$F195="", "", AND('ProductSprint Backlog'!$J195&gt;H$2,'ProductSprint Backlog'!$I195&lt;=H$2), 'ProductSprint Backlog'!$F195 / MAX(1, 'ProductSprint Backlog'!$J195-'ProductSprint Backlog'!$I195), AND('ProductSprint Backlog'!$J195=H$2,'ProductSprint Backlog'!$I195=H$2), 'ProductSprint Backlog'!$F195, TRUE, 0)</f>
        <v>0</v>
      </c>
      <c r="I195" s="4" cm="1">
        <f t="array" ref="I195">_xlfn.IFS('ProductSprint Backlog'!$F195="", "", AND('ProductSprint Backlog'!$J195&gt;I$2,'ProductSprint Backlog'!$I195&lt;=I$2), 'ProductSprint Backlog'!$F195 / MAX(1, 'ProductSprint Backlog'!$J195-'ProductSprint Backlog'!$I195), AND('ProductSprint Backlog'!$J195=I$2,'ProductSprint Backlog'!$I195=I$2), 'ProductSprint Backlog'!$F195, TRUE, 0)</f>
        <v>0</v>
      </c>
      <c r="J195" s="4" cm="1">
        <f t="array" ref="J195">_xlfn.IFS('ProductSprint Backlog'!$F195="", "", AND('ProductSprint Backlog'!$J195&gt;J$2,'ProductSprint Backlog'!$I195&lt;=J$2), 'ProductSprint Backlog'!$F195 / MAX(1, 'ProductSprint Backlog'!$J195-'ProductSprint Backlog'!$I195), AND('ProductSprint Backlog'!$J195=J$2,'ProductSprint Backlog'!$I195=J$2), 'ProductSprint Backlog'!$F195, TRUE, 0)</f>
        <v>0</v>
      </c>
    </row>
    <row r="196" spans="2:10" x14ac:dyDescent="0.2">
      <c r="B196" s="4" cm="1">
        <f t="array" ref="B196">_xlfn.IFS('ProductSprint Backlog'!$F196="", "", AND('ProductSprint Backlog'!$J196&gt;B$2,'ProductSprint Backlog'!$I196&lt;=B$2), 'ProductSprint Backlog'!$F196 / MAX(1, 'ProductSprint Backlog'!$J196-'ProductSprint Backlog'!$I196), AND('ProductSprint Backlog'!$J196=B$2,'ProductSprint Backlog'!$I196=B$2), 'ProductSprint Backlog'!$F196, TRUE, 0)</f>
        <v>0</v>
      </c>
      <c r="C196" s="4" cm="1">
        <f t="array" ref="C196">_xlfn.IFS('ProductSprint Backlog'!$F196="", "", AND('ProductSprint Backlog'!$J196&gt;C$2,'ProductSprint Backlog'!$I196&lt;=C$2), 'ProductSprint Backlog'!$F196 / MAX(1, 'ProductSprint Backlog'!$J196-'ProductSprint Backlog'!$I196), AND('ProductSprint Backlog'!$J196=C$2,'ProductSprint Backlog'!$I196=C$2), 'ProductSprint Backlog'!$F196, TRUE, 0)</f>
        <v>0</v>
      </c>
      <c r="D196" s="4" cm="1">
        <f t="array" ref="D196">_xlfn.IFS('ProductSprint Backlog'!$F196="", "", AND('ProductSprint Backlog'!$J196&gt;D$2,'ProductSprint Backlog'!$I196&lt;=D$2), 'ProductSprint Backlog'!$F196 / MAX(1, 'ProductSprint Backlog'!$J196-'ProductSprint Backlog'!$I196), AND('ProductSprint Backlog'!$J196=D$2,'ProductSprint Backlog'!$I196=D$2), 'ProductSprint Backlog'!$F196, TRUE, 0)</f>
        <v>0</v>
      </c>
      <c r="E196" s="4" cm="1">
        <f t="array" ref="E196">_xlfn.IFS('ProductSprint Backlog'!$F196="", "", AND('ProductSprint Backlog'!$J196&gt;E$2,'ProductSprint Backlog'!$I196&lt;=E$2), 'ProductSprint Backlog'!$F196 / MAX(1, 'ProductSprint Backlog'!$J196-'ProductSprint Backlog'!$I196), AND('ProductSprint Backlog'!$J196=E$2,'ProductSprint Backlog'!$I196=E$2), 'ProductSprint Backlog'!$F196, TRUE, 0)</f>
        <v>0</v>
      </c>
      <c r="F196" s="4" cm="1">
        <f t="array" ref="F196">_xlfn.IFS('ProductSprint Backlog'!$F196="", "", AND('ProductSprint Backlog'!$J196&gt;F$2,'ProductSprint Backlog'!$I196&lt;=F$2), 'ProductSprint Backlog'!$F196 / MAX(1, 'ProductSprint Backlog'!$J196-'ProductSprint Backlog'!$I196), AND('ProductSprint Backlog'!$J196=F$2,'ProductSprint Backlog'!$I196=F$2), 'ProductSprint Backlog'!$F196, TRUE, 0)</f>
        <v>0</v>
      </c>
      <c r="G196" s="4" cm="1">
        <f t="array" ref="G196">_xlfn.IFS('ProductSprint Backlog'!$F196="", "", AND('ProductSprint Backlog'!$J196&gt;G$2,'ProductSprint Backlog'!$I196&lt;=G$2), 'ProductSprint Backlog'!$F196 / MAX(1, 'ProductSprint Backlog'!$J196-'ProductSprint Backlog'!$I196), AND('ProductSprint Backlog'!$J196=G$2,'ProductSprint Backlog'!$I196=G$2), 'ProductSprint Backlog'!$F196, TRUE, 0)</f>
        <v>0</v>
      </c>
      <c r="H196" s="4" cm="1">
        <f t="array" ref="H196">_xlfn.IFS('ProductSprint Backlog'!$F196="", "", AND('ProductSprint Backlog'!$J196&gt;H$2,'ProductSprint Backlog'!$I196&lt;=H$2), 'ProductSprint Backlog'!$F196 / MAX(1, 'ProductSprint Backlog'!$J196-'ProductSprint Backlog'!$I196), AND('ProductSprint Backlog'!$J196=H$2,'ProductSprint Backlog'!$I196=H$2), 'ProductSprint Backlog'!$F196, TRUE, 0)</f>
        <v>0</v>
      </c>
      <c r="I196" s="4" cm="1">
        <f t="array" ref="I196">_xlfn.IFS('ProductSprint Backlog'!$F196="", "", AND('ProductSprint Backlog'!$J196&gt;I$2,'ProductSprint Backlog'!$I196&lt;=I$2), 'ProductSprint Backlog'!$F196 / MAX(1, 'ProductSprint Backlog'!$J196-'ProductSprint Backlog'!$I196), AND('ProductSprint Backlog'!$J196=I$2,'ProductSprint Backlog'!$I196=I$2), 'ProductSprint Backlog'!$F196, TRUE, 0)</f>
        <v>0</v>
      </c>
      <c r="J196" s="4" cm="1">
        <f t="array" ref="J196">_xlfn.IFS('ProductSprint Backlog'!$F196="", "", AND('ProductSprint Backlog'!$J196&gt;J$2,'ProductSprint Backlog'!$I196&lt;=J$2), 'ProductSprint Backlog'!$F196 / MAX(1, 'ProductSprint Backlog'!$J196-'ProductSprint Backlog'!$I196), AND('ProductSprint Backlog'!$J196=J$2,'ProductSprint Backlog'!$I196=J$2), 'ProductSprint Backlog'!$F196, TRUE, 0)</f>
        <v>0</v>
      </c>
    </row>
    <row r="197" spans="2:10" x14ac:dyDescent="0.2">
      <c r="B197" s="4" cm="1">
        <f t="array" ref="B197">_xlfn.IFS('ProductSprint Backlog'!$F197="", "", AND('ProductSprint Backlog'!$J197&gt;B$2,'ProductSprint Backlog'!$I197&lt;=B$2), 'ProductSprint Backlog'!$F197 / MAX(1, 'ProductSprint Backlog'!$J197-'ProductSprint Backlog'!$I197), AND('ProductSprint Backlog'!$J197=B$2,'ProductSprint Backlog'!$I197=B$2), 'ProductSprint Backlog'!$F197, TRUE, 0)</f>
        <v>0</v>
      </c>
      <c r="C197" s="4" cm="1">
        <f t="array" ref="C197">_xlfn.IFS('ProductSprint Backlog'!$F197="", "", AND('ProductSprint Backlog'!$J197&gt;C$2,'ProductSprint Backlog'!$I197&lt;=C$2), 'ProductSprint Backlog'!$F197 / MAX(1, 'ProductSprint Backlog'!$J197-'ProductSprint Backlog'!$I197), AND('ProductSprint Backlog'!$J197=C$2,'ProductSprint Backlog'!$I197=C$2), 'ProductSprint Backlog'!$F197, TRUE, 0)</f>
        <v>0</v>
      </c>
      <c r="D197" s="4" cm="1">
        <f t="array" ref="D197">_xlfn.IFS('ProductSprint Backlog'!$F197="", "", AND('ProductSprint Backlog'!$J197&gt;D$2,'ProductSprint Backlog'!$I197&lt;=D$2), 'ProductSprint Backlog'!$F197 / MAX(1, 'ProductSprint Backlog'!$J197-'ProductSprint Backlog'!$I197), AND('ProductSprint Backlog'!$J197=D$2,'ProductSprint Backlog'!$I197=D$2), 'ProductSprint Backlog'!$F197, TRUE, 0)</f>
        <v>0</v>
      </c>
      <c r="E197" s="4" cm="1">
        <f t="array" ref="E197">_xlfn.IFS('ProductSprint Backlog'!$F197="", "", AND('ProductSprint Backlog'!$J197&gt;E$2,'ProductSprint Backlog'!$I197&lt;=E$2), 'ProductSprint Backlog'!$F197 / MAX(1, 'ProductSprint Backlog'!$J197-'ProductSprint Backlog'!$I197), AND('ProductSprint Backlog'!$J197=E$2,'ProductSprint Backlog'!$I197=E$2), 'ProductSprint Backlog'!$F197, TRUE, 0)</f>
        <v>0</v>
      </c>
      <c r="F197" s="4" cm="1">
        <f t="array" ref="F197">_xlfn.IFS('ProductSprint Backlog'!$F197="", "", AND('ProductSprint Backlog'!$J197&gt;F$2,'ProductSprint Backlog'!$I197&lt;=F$2), 'ProductSprint Backlog'!$F197 / MAX(1, 'ProductSprint Backlog'!$J197-'ProductSprint Backlog'!$I197), AND('ProductSprint Backlog'!$J197=F$2,'ProductSprint Backlog'!$I197=F$2), 'ProductSprint Backlog'!$F197, TRUE, 0)</f>
        <v>0</v>
      </c>
      <c r="G197" s="4" cm="1">
        <f t="array" ref="G197">_xlfn.IFS('ProductSprint Backlog'!$F197="", "", AND('ProductSprint Backlog'!$J197&gt;G$2,'ProductSprint Backlog'!$I197&lt;=G$2), 'ProductSprint Backlog'!$F197 / MAX(1, 'ProductSprint Backlog'!$J197-'ProductSprint Backlog'!$I197), AND('ProductSprint Backlog'!$J197=G$2,'ProductSprint Backlog'!$I197=G$2), 'ProductSprint Backlog'!$F197, TRUE, 0)</f>
        <v>0</v>
      </c>
      <c r="H197" s="4" cm="1">
        <f t="array" ref="H197">_xlfn.IFS('ProductSprint Backlog'!$F197="", "", AND('ProductSprint Backlog'!$J197&gt;H$2,'ProductSprint Backlog'!$I197&lt;=H$2), 'ProductSprint Backlog'!$F197 / MAX(1, 'ProductSprint Backlog'!$J197-'ProductSprint Backlog'!$I197), AND('ProductSprint Backlog'!$J197=H$2,'ProductSprint Backlog'!$I197=H$2), 'ProductSprint Backlog'!$F197, TRUE, 0)</f>
        <v>0</v>
      </c>
      <c r="I197" s="4" cm="1">
        <f t="array" ref="I197">_xlfn.IFS('ProductSprint Backlog'!$F197="", "", AND('ProductSprint Backlog'!$J197&gt;I$2,'ProductSprint Backlog'!$I197&lt;=I$2), 'ProductSprint Backlog'!$F197 / MAX(1, 'ProductSprint Backlog'!$J197-'ProductSprint Backlog'!$I197), AND('ProductSprint Backlog'!$J197=I$2,'ProductSprint Backlog'!$I197=I$2), 'ProductSprint Backlog'!$F197, TRUE, 0)</f>
        <v>0</v>
      </c>
      <c r="J197" s="4" cm="1">
        <f t="array" ref="J197">_xlfn.IFS('ProductSprint Backlog'!$F197="", "", AND('ProductSprint Backlog'!$J197&gt;J$2,'ProductSprint Backlog'!$I197&lt;=J$2), 'ProductSprint Backlog'!$F197 / MAX(1, 'ProductSprint Backlog'!$J197-'ProductSprint Backlog'!$I197), AND('ProductSprint Backlog'!$J197=J$2,'ProductSprint Backlog'!$I197=J$2), 'ProductSprint Backlog'!$F197, TRUE, 0)</f>
        <v>0</v>
      </c>
    </row>
    <row r="198" spans="2:10" x14ac:dyDescent="0.2">
      <c r="B198" s="4" cm="1">
        <f t="array" ref="B198">_xlfn.IFS('ProductSprint Backlog'!$F198="", "", AND('ProductSprint Backlog'!$J198&gt;B$2,'ProductSprint Backlog'!$I198&lt;=B$2), 'ProductSprint Backlog'!$F198 / MAX(1, 'ProductSprint Backlog'!$J198-'ProductSprint Backlog'!$I198), AND('ProductSprint Backlog'!$J198=B$2,'ProductSprint Backlog'!$I198=B$2), 'ProductSprint Backlog'!$F198, TRUE, 0)</f>
        <v>0</v>
      </c>
      <c r="C198" s="4" cm="1">
        <f t="array" ref="C198">_xlfn.IFS('ProductSprint Backlog'!$F198="", "", AND('ProductSprint Backlog'!$J198&gt;C$2,'ProductSprint Backlog'!$I198&lt;=C$2), 'ProductSprint Backlog'!$F198 / MAX(1, 'ProductSprint Backlog'!$J198-'ProductSprint Backlog'!$I198), AND('ProductSprint Backlog'!$J198=C$2,'ProductSprint Backlog'!$I198=C$2), 'ProductSprint Backlog'!$F198, TRUE, 0)</f>
        <v>0</v>
      </c>
      <c r="D198" s="4" cm="1">
        <f t="array" ref="D198">_xlfn.IFS('ProductSprint Backlog'!$F198="", "", AND('ProductSprint Backlog'!$J198&gt;D$2,'ProductSprint Backlog'!$I198&lt;=D$2), 'ProductSprint Backlog'!$F198 / MAX(1, 'ProductSprint Backlog'!$J198-'ProductSprint Backlog'!$I198), AND('ProductSprint Backlog'!$J198=D$2,'ProductSprint Backlog'!$I198=D$2), 'ProductSprint Backlog'!$F198, TRUE, 0)</f>
        <v>0</v>
      </c>
      <c r="E198" s="4" cm="1">
        <f t="array" ref="E198">_xlfn.IFS('ProductSprint Backlog'!$F198="", "", AND('ProductSprint Backlog'!$J198&gt;E$2,'ProductSprint Backlog'!$I198&lt;=E$2), 'ProductSprint Backlog'!$F198 / MAX(1, 'ProductSprint Backlog'!$J198-'ProductSprint Backlog'!$I198), AND('ProductSprint Backlog'!$J198=E$2,'ProductSprint Backlog'!$I198=E$2), 'ProductSprint Backlog'!$F198, TRUE, 0)</f>
        <v>0</v>
      </c>
      <c r="F198" s="4" cm="1">
        <f t="array" ref="F198">_xlfn.IFS('ProductSprint Backlog'!$F198="", "", AND('ProductSprint Backlog'!$J198&gt;F$2,'ProductSprint Backlog'!$I198&lt;=F$2), 'ProductSprint Backlog'!$F198 / MAX(1, 'ProductSprint Backlog'!$J198-'ProductSprint Backlog'!$I198), AND('ProductSprint Backlog'!$J198=F$2,'ProductSprint Backlog'!$I198=F$2), 'ProductSprint Backlog'!$F198, TRUE, 0)</f>
        <v>0</v>
      </c>
      <c r="G198" s="4" cm="1">
        <f t="array" ref="G198">_xlfn.IFS('ProductSprint Backlog'!$F198="", "", AND('ProductSprint Backlog'!$J198&gt;G$2,'ProductSprint Backlog'!$I198&lt;=G$2), 'ProductSprint Backlog'!$F198 / MAX(1, 'ProductSprint Backlog'!$J198-'ProductSprint Backlog'!$I198), AND('ProductSprint Backlog'!$J198=G$2,'ProductSprint Backlog'!$I198=G$2), 'ProductSprint Backlog'!$F198, TRUE, 0)</f>
        <v>0</v>
      </c>
      <c r="H198" s="4" cm="1">
        <f t="array" ref="H198">_xlfn.IFS('ProductSprint Backlog'!$F198="", "", AND('ProductSprint Backlog'!$J198&gt;H$2,'ProductSprint Backlog'!$I198&lt;=H$2), 'ProductSprint Backlog'!$F198 / MAX(1, 'ProductSprint Backlog'!$J198-'ProductSprint Backlog'!$I198), AND('ProductSprint Backlog'!$J198=H$2,'ProductSprint Backlog'!$I198=H$2), 'ProductSprint Backlog'!$F198, TRUE, 0)</f>
        <v>0</v>
      </c>
      <c r="I198" s="4" cm="1">
        <f t="array" ref="I198">_xlfn.IFS('ProductSprint Backlog'!$F198="", "", AND('ProductSprint Backlog'!$J198&gt;I$2,'ProductSprint Backlog'!$I198&lt;=I$2), 'ProductSprint Backlog'!$F198 / MAX(1, 'ProductSprint Backlog'!$J198-'ProductSprint Backlog'!$I198), AND('ProductSprint Backlog'!$J198=I$2,'ProductSprint Backlog'!$I198=I$2), 'ProductSprint Backlog'!$F198, TRUE, 0)</f>
        <v>0</v>
      </c>
      <c r="J198" s="4" cm="1">
        <f t="array" ref="J198">_xlfn.IFS('ProductSprint Backlog'!$F198="", "", AND('ProductSprint Backlog'!$J198&gt;J$2,'ProductSprint Backlog'!$I198&lt;=J$2), 'ProductSprint Backlog'!$F198 / MAX(1, 'ProductSprint Backlog'!$J198-'ProductSprint Backlog'!$I198), AND('ProductSprint Backlog'!$J198=J$2,'ProductSprint Backlog'!$I198=J$2), 'ProductSprint Backlog'!$F198, TRUE, 0)</f>
        <v>0</v>
      </c>
    </row>
    <row r="199" spans="2:10" x14ac:dyDescent="0.2">
      <c r="B199" s="4" cm="1">
        <f t="array" ref="B199">_xlfn.IFS('ProductSprint Backlog'!$F199="", "", AND('ProductSprint Backlog'!$J199&gt;B$2,'ProductSprint Backlog'!$I199&lt;=B$2), 'ProductSprint Backlog'!$F199 / MAX(1, 'ProductSprint Backlog'!$J199-'ProductSprint Backlog'!$I199), AND('ProductSprint Backlog'!$J199=B$2,'ProductSprint Backlog'!$I199=B$2), 'ProductSprint Backlog'!$F199, TRUE, 0)</f>
        <v>0</v>
      </c>
      <c r="C199" s="4" cm="1">
        <f t="array" ref="C199">_xlfn.IFS('ProductSprint Backlog'!$F199="", "", AND('ProductSprint Backlog'!$J199&gt;C$2,'ProductSprint Backlog'!$I199&lt;=C$2), 'ProductSprint Backlog'!$F199 / MAX(1, 'ProductSprint Backlog'!$J199-'ProductSprint Backlog'!$I199), AND('ProductSprint Backlog'!$J199=C$2,'ProductSprint Backlog'!$I199=C$2), 'ProductSprint Backlog'!$F199, TRUE, 0)</f>
        <v>0</v>
      </c>
      <c r="D199" s="4" cm="1">
        <f t="array" ref="D199">_xlfn.IFS('ProductSprint Backlog'!$F199="", "", AND('ProductSprint Backlog'!$J199&gt;D$2,'ProductSprint Backlog'!$I199&lt;=D$2), 'ProductSprint Backlog'!$F199 / MAX(1, 'ProductSprint Backlog'!$J199-'ProductSprint Backlog'!$I199), AND('ProductSprint Backlog'!$J199=D$2,'ProductSprint Backlog'!$I199=D$2), 'ProductSprint Backlog'!$F199, TRUE, 0)</f>
        <v>0</v>
      </c>
      <c r="E199" s="4" cm="1">
        <f t="array" ref="E199">_xlfn.IFS('ProductSprint Backlog'!$F199="", "", AND('ProductSprint Backlog'!$J199&gt;E$2,'ProductSprint Backlog'!$I199&lt;=E$2), 'ProductSprint Backlog'!$F199 / MAX(1, 'ProductSprint Backlog'!$J199-'ProductSprint Backlog'!$I199), AND('ProductSprint Backlog'!$J199=E$2,'ProductSprint Backlog'!$I199=E$2), 'ProductSprint Backlog'!$F199, TRUE, 0)</f>
        <v>0</v>
      </c>
      <c r="F199" s="4" cm="1">
        <f t="array" ref="F199">_xlfn.IFS('ProductSprint Backlog'!$F199="", "", AND('ProductSprint Backlog'!$J199&gt;F$2,'ProductSprint Backlog'!$I199&lt;=F$2), 'ProductSprint Backlog'!$F199 / MAX(1, 'ProductSprint Backlog'!$J199-'ProductSprint Backlog'!$I199), AND('ProductSprint Backlog'!$J199=F$2,'ProductSprint Backlog'!$I199=F$2), 'ProductSprint Backlog'!$F199, TRUE, 0)</f>
        <v>0</v>
      </c>
      <c r="G199" s="4" cm="1">
        <f t="array" ref="G199">_xlfn.IFS('ProductSprint Backlog'!$F199="", "", AND('ProductSprint Backlog'!$J199&gt;G$2,'ProductSprint Backlog'!$I199&lt;=G$2), 'ProductSprint Backlog'!$F199 / MAX(1, 'ProductSprint Backlog'!$J199-'ProductSprint Backlog'!$I199), AND('ProductSprint Backlog'!$J199=G$2,'ProductSprint Backlog'!$I199=G$2), 'ProductSprint Backlog'!$F199, TRUE, 0)</f>
        <v>0</v>
      </c>
      <c r="H199" s="4" cm="1">
        <f t="array" ref="H199">_xlfn.IFS('ProductSprint Backlog'!$F199="", "", AND('ProductSprint Backlog'!$J199&gt;H$2,'ProductSprint Backlog'!$I199&lt;=H$2), 'ProductSprint Backlog'!$F199 / MAX(1, 'ProductSprint Backlog'!$J199-'ProductSprint Backlog'!$I199), AND('ProductSprint Backlog'!$J199=H$2,'ProductSprint Backlog'!$I199=H$2), 'ProductSprint Backlog'!$F199, TRUE, 0)</f>
        <v>0</v>
      </c>
      <c r="I199" s="4" cm="1">
        <f t="array" ref="I199">_xlfn.IFS('ProductSprint Backlog'!$F199="", "", AND('ProductSprint Backlog'!$J199&gt;I$2,'ProductSprint Backlog'!$I199&lt;=I$2), 'ProductSprint Backlog'!$F199 / MAX(1, 'ProductSprint Backlog'!$J199-'ProductSprint Backlog'!$I199), AND('ProductSprint Backlog'!$J199=I$2,'ProductSprint Backlog'!$I199=I$2), 'ProductSprint Backlog'!$F199, TRUE, 0)</f>
        <v>0</v>
      </c>
      <c r="J199" s="4" cm="1">
        <f t="array" ref="J199">_xlfn.IFS('ProductSprint Backlog'!$F199="", "", AND('ProductSprint Backlog'!$J199&gt;J$2,'ProductSprint Backlog'!$I199&lt;=J$2), 'ProductSprint Backlog'!$F199 / MAX(1, 'ProductSprint Backlog'!$J199-'ProductSprint Backlog'!$I199), AND('ProductSprint Backlog'!$J199=J$2,'ProductSprint Backlog'!$I199=J$2), 'ProductSprint Backlog'!$F199, TRUE, 0)</f>
        <v>0</v>
      </c>
    </row>
    <row r="200" spans="2:10" x14ac:dyDescent="0.2">
      <c r="B200" s="4" cm="1">
        <f t="array" ref="B200">_xlfn.IFS('ProductSprint Backlog'!$F200="", "", AND('ProductSprint Backlog'!$J200&gt;B$2,'ProductSprint Backlog'!$I200&lt;=B$2), 'ProductSprint Backlog'!$F200 / MAX(1, 'ProductSprint Backlog'!$J200-'ProductSprint Backlog'!$I200), AND('ProductSprint Backlog'!$J200=B$2,'ProductSprint Backlog'!$I200=B$2), 'ProductSprint Backlog'!$F200, TRUE, 0)</f>
        <v>0</v>
      </c>
      <c r="C200" s="4" cm="1">
        <f t="array" ref="C200">_xlfn.IFS('ProductSprint Backlog'!$F200="", "", AND('ProductSprint Backlog'!$J200&gt;C$2,'ProductSprint Backlog'!$I200&lt;=C$2), 'ProductSprint Backlog'!$F200 / MAX(1, 'ProductSprint Backlog'!$J200-'ProductSprint Backlog'!$I200), AND('ProductSprint Backlog'!$J200=C$2,'ProductSprint Backlog'!$I200=C$2), 'ProductSprint Backlog'!$F200, TRUE, 0)</f>
        <v>0</v>
      </c>
      <c r="D200" s="4" cm="1">
        <f t="array" ref="D200">_xlfn.IFS('ProductSprint Backlog'!$F200="", "", AND('ProductSprint Backlog'!$J200&gt;D$2,'ProductSprint Backlog'!$I200&lt;=D$2), 'ProductSprint Backlog'!$F200 / MAX(1, 'ProductSprint Backlog'!$J200-'ProductSprint Backlog'!$I200), AND('ProductSprint Backlog'!$J200=D$2,'ProductSprint Backlog'!$I200=D$2), 'ProductSprint Backlog'!$F200, TRUE, 0)</f>
        <v>0</v>
      </c>
      <c r="E200" s="4" cm="1">
        <f t="array" ref="E200">_xlfn.IFS('ProductSprint Backlog'!$F200="", "", AND('ProductSprint Backlog'!$J200&gt;E$2,'ProductSprint Backlog'!$I200&lt;=E$2), 'ProductSprint Backlog'!$F200 / MAX(1, 'ProductSprint Backlog'!$J200-'ProductSprint Backlog'!$I200), AND('ProductSprint Backlog'!$J200=E$2,'ProductSprint Backlog'!$I200=E$2), 'ProductSprint Backlog'!$F200, TRUE, 0)</f>
        <v>0</v>
      </c>
      <c r="F200" s="4" cm="1">
        <f t="array" ref="F200">_xlfn.IFS('ProductSprint Backlog'!$F200="", "", AND('ProductSprint Backlog'!$J200&gt;F$2,'ProductSprint Backlog'!$I200&lt;=F$2), 'ProductSprint Backlog'!$F200 / MAX(1, 'ProductSprint Backlog'!$J200-'ProductSprint Backlog'!$I200), AND('ProductSprint Backlog'!$J200=F$2,'ProductSprint Backlog'!$I200=F$2), 'ProductSprint Backlog'!$F200, TRUE, 0)</f>
        <v>0</v>
      </c>
      <c r="G200" s="4" cm="1">
        <f t="array" ref="G200">_xlfn.IFS('ProductSprint Backlog'!$F200="", "", AND('ProductSprint Backlog'!$J200&gt;G$2,'ProductSprint Backlog'!$I200&lt;=G$2), 'ProductSprint Backlog'!$F200 / MAX(1, 'ProductSprint Backlog'!$J200-'ProductSprint Backlog'!$I200), AND('ProductSprint Backlog'!$J200=G$2,'ProductSprint Backlog'!$I200=G$2), 'ProductSprint Backlog'!$F200, TRUE, 0)</f>
        <v>0</v>
      </c>
      <c r="H200" s="4" cm="1">
        <f t="array" ref="H200">_xlfn.IFS('ProductSprint Backlog'!$F200="", "", AND('ProductSprint Backlog'!$J200&gt;H$2,'ProductSprint Backlog'!$I200&lt;=H$2), 'ProductSprint Backlog'!$F200 / MAX(1, 'ProductSprint Backlog'!$J200-'ProductSprint Backlog'!$I200), AND('ProductSprint Backlog'!$J200=H$2,'ProductSprint Backlog'!$I200=H$2), 'ProductSprint Backlog'!$F200, TRUE, 0)</f>
        <v>0</v>
      </c>
      <c r="I200" s="4" cm="1">
        <f t="array" ref="I200">_xlfn.IFS('ProductSprint Backlog'!$F200="", "", AND('ProductSprint Backlog'!$J200&gt;I$2,'ProductSprint Backlog'!$I200&lt;=I$2), 'ProductSprint Backlog'!$F200 / MAX(1, 'ProductSprint Backlog'!$J200-'ProductSprint Backlog'!$I200), AND('ProductSprint Backlog'!$J200=I$2,'ProductSprint Backlog'!$I200=I$2), 'ProductSprint Backlog'!$F200, TRUE, 0)</f>
        <v>0</v>
      </c>
      <c r="J200" s="4" cm="1">
        <f t="array" ref="J200">_xlfn.IFS('ProductSprint Backlog'!$F200="", "", AND('ProductSprint Backlog'!$J200&gt;J$2,'ProductSprint Backlog'!$I200&lt;=J$2), 'ProductSprint Backlog'!$F200 / MAX(1, 'ProductSprint Backlog'!$J200-'ProductSprint Backlog'!$I200), AND('ProductSprint Backlog'!$J200=J$2,'ProductSprint Backlog'!$I200=J$2), 'ProductSprint Backlog'!$F200, TRUE, 0)</f>
        <v>0</v>
      </c>
    </row>
    <row r="201" spans="2:10" x14ac:dyDescent="0.2">
      <c r="B201" s="4" cm="1">
        <f t="array" ref="B201">_xlfn.IFS('ProductSprint Backlog'!$F201="", "", AND('ProductSprint Backlog'!$J201&gt;B$2,'ProductSprint Backlog'!$I201&lt;=B$2), 'ProductSprint Backlog'!$F201 / MAX(1, 'ProductSprint Backlog'!$J201-'ProductSprint Backlog'!$I201), AND('ProductSprint Backlog'!$J201=B$2,'ProductSprint Backlog'!$I201=B$2), 'ProductSprint Backlog'!$F201, TRUE, 0)</f>
        <v>0</v>
      </c>
      <c r="C201" s="4" cm="1">
        <f t="array" ref="C201">_xlfn.IFS('ProductSprint Backlog'!$F201="", "", AND('ProductSprint Backlog'!$J201&gt;C$2,'ProductSprint Backlog'!$I201&lt;=C$2), 'ProductSprint Backlog'!$F201 / MAX(1, 'ProductSprint Backlog'!$J201-'ProductSprint Backlog'!$I201), AND('ProductSprint Backlog'!$J201=C$2,'ProductSprint Backlog'!$I201=C$2), 'ProductSprint Backlog'!$F201, TRUE, 0)</f>
        <v>0</v>
      </c>
      <c r="D201" s="4" cm="1">
        <f t="array" ref="D201">_xlfn.IFS('ProductSprint Backlog'!$F201="", "", AND('ProductSprint Backlog'!$J201&gt;D$2,'ProductSprint Backlog'!$I201&lt;=D$2), 'ProductSprint Backlog'!$F201 / MAX(1, 'ProductSprint Backlog'!$J201-'ProductSprint Backlog'!$I201), AND('ProductSprint Backlog'!$J201=D$2,'ProductSprint Backlog'!$I201=D$2), 'ProductSprint Backlog'!$F201, TRUE, 0)</f>
        <v>0</v>
      </c>
      <c r="E201" s="4" cm="1">
        <f t="array" ref="E201">_xlfn.IFS('ProductSprint Backlog'!$F201="", "", AND('ProductSprint Backlog'!$J201&gt;E$2,'ProductSprint Backlog'!$I201&lt;=E$2), 'ProductSprint Backlog'!$F201 / MAX(1, 'ProductSprint Backlog'!$J201-'ProductSprint Backlog'!$I201), AND('ProductSprint Backlog'!$J201=E$2,'ProductSprint Backlog'!$I201=E$2), 'ProductSprint Backlog'!$F201, TRUE, 0)</f>
        <v>0</v>
      </c>
      <c r="F201" s="4" cm="1">
        <f t="array" ref="F201">_xlfn.IFS('ProductSprint Backlog'!$F201="", "", AND('ProductSprint Backlog'!$J201&gt;F$2,'ProductSprint Backlog'!$I201&lt;=F$2), 'ProductSprint Backlog'!$F201 / MAX(1, 'ProductSprint Backlog'!$J201-'ProductSprint Backlog'!$I201), AND('ProductSprint Backlog'!$J201=F$2,'ProductSprint Backlog'!$I201=F$2), 'ProductSprint Backlog'!$F201, TRUE, 0)</f>
        <v>0</v>
      </c>
      <c r="G201" s="4" cm="1">
        <f t="array" ref="G201">_xlfn.IFS('ProductSprint Backlog'!$F201="", "", AND('ProductSprint Backlog'!$J201&gt;G$2,'ProductSprint Backlog'!$I201&lt;=G$2), 'ProductSprint Backlog'!$F201 / MAX(1, 'ProductSprint Backlog'!$J201-'ProductSprint Backlog'!$I201), AND('ProductSprint Backlog'!$J201=G$2,'ProductSprint Backlog'!$I201=G$2), 'ProductSprint Backlog'!$F201, TRUE, 0)</f>
        <v>0</v>
      </c>
      <c r="H201" s="4" cm="1">
        <f t="array" ref="H201">_xlfn.IFS('ProductSprint Backlog'!$F201="", "", AND('ProductSprint Backlog'!$J201&gt;H$2,'ProductSprint Backlog'!$I201&lt;=H$2), 'ProductSprint Backlog'!$F201 / MAX(1, 'ProductSprint Backlog'!$J201-'ProductSprint Backlog'!$I201), AND('ProductSprint Backlog'!$J201=H$2,'ProductSprint Backlog'!$I201=H$2), 'ProductSprint Backlog'!$F201, TRUE, 0)</f>
        <v>0</v>
      </c>
      <c r="I201" s="4" cm="1">
        <f t="array" ref="I201">_xlfn.IFS('ProductSprint Backlog'!$F201="", "", AND('ProductSprint Backlog'!$J201&gt;I$2,'ProductSprint Backlog'!$I201&lt;=I$2), 'ProductSprint Backlog'!$F201 / MAX(1, 'ProductSprint Backlog'!$J201-'ProductSprint Backlog'!$I201), AND('ProductSprint Backlog'!$J201=I$2,'ProductSprint Backlog'!$I201=I$2), 'ProductSprint Backlog'!$F201, TRUE, 0)</f>
        <v>0</v>
      </c>
      <c r="J201" s="4" cm="1">
        <f t="array" ref="J201">_xlfn.IFS('ProductSprint Backlog'!$F201="", "", AND('ProductSprint Backlog'!$J201&gt;J$2,'ProductSprint Backlog'!$I201&lt;=J$2), 'ProductSprint Backlog'!$F201 / MAX(1, 'ProductSprint Backlog'!$J201-'ProductSprint Backlog'!$I201), AND('ProductSprint Backlog'!$J201=J$2,'ProductSprint Backlog'!$I201=J$2), 'ProductSprint Backlog'!$F201, TRUE, 0)</f>
        <v>0</v>
      </c>
    </row>
    <row r="202" spans="2:10" x14ac:dyDescent="0.2">
      <c r="B202" s="4" cm="1">
        <f t="array" ref="B202">_xlfn.IFS('ProductSprint Backlog'!$F202="", "", AND('ProductSprint Backlog'!$J202&gt;B$2,'ProductSprint Backlog'!$I202&lt;=B$2), 'ProductSprint Backlog'!$F202 / MAX(1, 'ProductSprint Backlog'!$J202-'ProductSprint Backlog'!$I202), AND('ProductSprint Backlog'!$J202=B$2,'ProductSprint Backlog'!$I202=B$2), 'ProductSprint Backlog'!$F202, TRUE, 0)</f>
        <v>0</v>
      </c>
      <c r="C202" s="4" cm="1">
        <f t="array" ref="C202">_xlfn.IFS('ProductSprint Backlog'!$F202="", "", AND('ProductSprint Backlog'!$J202&gt;C$2,'ProductSprint Backlog'!$I202&lt;=C$2), 'ProductSprint Backlog'!$F202 / MAX(1, 'ProductSprint Backlog'!$J202-'ProductSprint Backlog'!$I202), AND('ProductSprint Backlog'!$J202=C$2,'ProductSprint Backlog'!$I202=C$2), 'ProductSprint Backlog'!$F202, TRUE, 0)</f>
        <v>0</v>
      </c>
      <c r="D202" s="4" cm="1">
        <f t="array" ref="D202">_xlfn.IFS('ProductSprint Backlog'!$F202="", "", AND('ProductSprint Backlog'!$J202&gt;D$2,'ProductSprint Backlog'!$I202&lt;=D$2), 'ProductSprint Backlog'!$F202 / MAX(1, 'ProductSprint Backlog'!$J202-'ProductSprint Backlog'!$I202), AND('ProductSprint Backlog'!$J202=D$2,'ProductSprint Backlog'!$I202=D$2), 'ProductSprint Backlog'!$F202, TRUE, 0)</f>
        <v>0</v>
      </c>
      <c r="E202" s="4" cm="1">
        <f t="array" ref="E202">_xlfn.IFS('ProductSprint Backlog'!$F202="", "", AND('ProductSprint Backlog'!$J202&gt;E$2,'ProductSprint Backlog'!$I202&lt;=E$2), 'ProductSprint Backlog'!$F202 / MAX(1, 'ProductSprint Backlog'!$J202-'ProductSprint Backlog'!$I202), AND('ProductSprint Backlog'!$J202=E$2,'ProductSprint Backlog'!$I202=E$2), 'ProductSprint Backlog'!$F202, TRUE, 0)</f>
        <v>0</v>
      </c>
      <c r="F202" s="4" cm="1">
        <f t="array" ref="F202">_xlfn.IFS('ProductSprint Backlog'!$F202="", "", AND('ProductSprint Backlog'!$J202&gt;F$2,'ProductSprint Backlog'!$I202&lt;=F$2), 'ProductSprint Backlog'!$F202 / MAX(1, 'ProductSprint Backlog'!$J202-'ProductSprint Backlog'!$I202), AND('ProductSprint Backlog'!$J202=F$2,'ProductSprint Backlog'!$I202=F$2), 'ProductSprint Backlog'!$F202, TRUE, 0)</f>
        <v>0</v>
      </c>
      <c r="G202" s="4" cm="1">
        <f t="array" ref="G202">_xlfn.IFS('ProductSprint Backlog'!$F202="", "", AND('ProductSprint Backlog'!$J202&gt;G$2,'ProductSprint Backlog'!$I202&lt;=G$2), 'ProductSprint Backlog'!$F202 / MAX(1, 'ProductSprint Backlog'!$J202-'ProductSprint Backlog'!$I202), AND('ProductSprint Backlog'!$J202=G$2,'ProductSprint Backlog'!$I202=G$2), 'ProductSprint Backlog'!$F202, TRUE, 0)</f>
        <v>0</v>
      </c>
      <c r="H202" s="4" cm="1">
        <f t="array" ref="H202">_xlfn.IFS('ProductSprint Backlog'!$F202="", "", AND('ProductSprint Backlog'!$J202&gt;H$2,'ProductSprint Backlog'!$I202&lt;=H$2), 'ProductSprint Backlog'!$F202 / MAX(1, 'ProductSprint Backlog'!$J202-'ProductSprint Backlog'!$I202), AND('ProductSprint Backlog'!$J202=H$2,'ProductSprint Backlog'!$I202=H$2), 'ProductSprint Backlog'!$F202, TRUE, 0)</f>
        <v>0</v>
      </c>
      <c r="I202" s="4" cm="1">
        <f t="array" ref="I202">_xlfn.IFS('ProductSprint Backlog'!$F202="", "", AND('ProductSprint Backlog'!$J202&gt;I$2,'ProductSprint Backlog'!$I202&lt;=I$2), 'ProductSprint Backlog'!$F202 / MAX(1, 'ProductSprint Backlog'!$J202-'ProductSprint Backlog'!$I202), AND('ProductSprint Backlog'!$J202=I$2,'ProductSprint Backlog'!$I202=I$2), 'ProductSprint Backlog'!$F202, TRUE, 0)</f>
        <v>0</v>
      </c>
      <c r="J202" s="4" cm="1">
        <f t="array" ref="J202">_xlfn.IFS('ProductSprint Backlog'!$F202="", "", AND('ProductSprint Backlog'!$J202&gt;J$2,'ProductSprint Backlog'!$I202&lt;=J$2), 'ProductSprint Backlog'!$F202 / MAX(1, 'ProductSprint Backlog'!$J202-'ProductSprint Backlog'!$I202), AND('ProductSprint Backlog'!$J202=J$2,'ProductSprint Backlog'!$I202=J$2), 'ProductSprint Backlog'!$F202, TRUE, 0)</f>
        <v>0</v>
      </c>
    </row>
    <row r="203" spans="2:10" x14ac:dyDescent="0.2">
      <c r="B203" s="4" cm="1">
        <f t="array" ref="B203">_xlfn.IFS('ProductSprint Backlog'!$F203="", "", AND('ProductSprint Backlog'!$J203&gt;B$2,'ProductSprint Backlog'!$I203&lt;=B$2), 'ProductSprint Backlog'!$F203 / MAX(1, 'ProductSprint Backlog'!$J203-'ProductSprint Backlog'!$I203), AND('ProductSprint Backlog'!$J203=B$2,'ProductSprint Backlog'!$I203=B$2), 'ProductSprint Backlog'!$F203, TRUE, 0)</f>
        <v>0</v>
      </c>
      <c r="C203" s="4" cm="1">
        <f t="array" ref="C203">_xlfn.IFS('ProductSprint Backlog'!$F203="", "", AND('ProductSprint Backlog'!$J203&gt;C$2,'ProductSprint Backlog'!$I203&lt;=C$2), 'ProductSprint Backlog'!$F203 / MAX(1, 'ProductSprint Backlog'!$J203-'ProductSprint Backlog'!$I203), AND('ProductSprint Backlog'!$J203=C$2,'ProductSprint Backlog'!$I203=C$2), 'ProductSprint Backlog'!$F203, TRUE, 0)</f>
        <v>0</v>
      </c>
      <c r="D203" s="4" cm="1">
        <f t="array" ref="D203">_xlfn.IFS('ProductSprint Backlog'!$F203="", "", AND('ProductSprint Backlog'!$J203&gt;D$2,'ProductSprint Backlog'!$I203&lt;=D$2), 'ProductSprint Backlog'!$F203 / MAX(1, 'ProductSprint Backlog'!$J203-'ProductSprint Backlog'!$I203), AND('ProductSprint Backlog'!$J203=D$2,'ProductSprint Backlog'!$I203=D$2), 'ProductSprint Backlog'!$F203, TRUE, 0)</f>
        <v>0</v>
      </c>
      <c r="E203" s="4" cm="1">
        <f t="array" ref="E203">_xlfn.IFS('ProductSprint Backlog'!$F203="", "", AND('ProductSprint Backlog'!$J203&gt;E$2,'ProductSprint Backlog'!$I203&lt;=E$2), 'ProductSprint Backlog'!$F203 / MAX(1, 'ProductSprint Backlog'!$J203-'ProductSprint Backlog'!$I203), AND('ProductSprint Backlog'!$J203=E$2,'ProductSprint Backlog'!$I203=E$2), 'ProductSprint Backlog'!$F203, TRUE, 0)</f>
        <v>0</v>
      </c>
      <c r="F203" s="4" cm="1">
        <f t="array" ref="F203">_xlfn.IFS('ProductSprint Backlog'!$F203="", "", AND('ProductSprint Backlog'!$J203&gt;F$2,'ProductSprint Backlog'!$I203&lt;=F$2), 'ProductSprint Backlog'!$F203 / MAX(1, 'ProductSprint Backlog'!$J203-'ProductSprint Backlog'!$I203), AND('ProductSprint Backlog'!$J203=F$2,'ProductSprint Backlog'!$I203=F$2), 'ProductSprint Backlog'!$F203, TRUE, 0)</f>
        <v>0</v>
      </c>
      <c r="G203" s="4" cm="1">
        <f t="array" ref="G203">_xlfn.IFS('ProductSprint Backlog'!$F203="", "", AND('ProductSprint Backlog'!$J203&gt;G$2,'ProductSprint Backlog'!$I203&lt;=G$2), 'ProductSprint Backlog'!$F203 / MAX(1, 'ProductSprint Backlog'!$J203-'ProductSprint Backlog'!$I203), AND('ProductSprint Backlog'!$J203=G$2,'ProductSprint Backlog'!$I203=G$2), 'ProductSprint Backlog'!$F203, TRUE, 0)</f>
        <v>0</v>
      </c>
      <c r="H203" s="4" cm="1">
        <f t="array" ref="H203">_xlfn.IFS('ProductSprint Backlog'!$F203="", "", AND('ProductSprint Backlog'!$J203&gt;H$2,'ProductSprint Backlog'!$I203&lt;=H$2), 'ProductSprint Backlog'!$F203 / MAX(1, 'ProductSprint Backlog'!$J203-'ProductSprint Backlog'!$I203), AND('ProductSprint Backlog'!$J203=H$2,'ProductSprint Backlog'!$I203=H$2), 'ProductSprint Backlog'!$F203, TRUE, 0)</f>
        <v>0</v>
      </c>
      <c r="I203" s="4" cm="1">
        <f t="array" ref="I203">_xlfn.IFS('ProductSprint Backlog'!$F203="", "", AND('ProductSprint Backlog'!$J203&gt;I$2,'ProductSprint Backlog'!$I203&lt;=I$2), 'ProductSprint Backlog'!$F203 / MAX(1, 'ProductSprint Backlog'!$J203-'ProductSprint Backlog'!$I203), AND('ProductSprint Backlog'!$J203=I$2,'ProductSprint Backlog'!$I203=I$2), 'ProductSprint Backlog'!$F203, TRUE, 0)</f>
        <v>0</v>
      </c>
      <c r="J203" s="4" cm="1">
        <f t="array" ref="J203">_xlfn.IFS('ProductSprint Backlog'!$F203="", "", AND('ProductSprint Backlog'!$J203&gt;J$2,'ProductSprint Backlog'!$I203&lt;=J$2), 'ProductSprint Backlog'!$F203 / MAX(1, 'ProductSprint Backlog'!$J203-'ProductSprint Backlog'!$I203), AND('ProductSprint Backlog'!$J203=J$2,'ProductSprint Backlog'!$I203=J$2), 'ProductSprint Backlog'!$F203, TRUE, 0)</f>
        <v>0</v>
      </c>
    </row>
    <row r="204" spans="2:10" x14ac:dyDescent="0.2">
      <c r="B204" s="4" cm="1">
        <f t="array" ref="B204">_xlfn.IFS('ProductSprint Backlog'!$F204="", "", AND('ProductSprint Backlog'!$J204&gt;B$2,'ProductSprint Backlog'!$I204&lt;=B$2), 'ProductSprint Backlog'!$F204 / MAX(1, 'ProductSprint Backlog'!$J204-'ProductSprint Backlog'!$I204), AND('ProductSprint Backlog'!$J204=B$2,'ProductSprint Backlog'!$I204=B$2), 'ProductSprint Backlog'!$F204, TRUE, 0)</f>
        <v>0</v>
      </c>
      <c r="C204" s="4" cm="1">
        <f t="array" ref="C204">_xlfn.IFS('ProductSprint Backlog'!$F204="", "", AND('ProductSprint Backlog'!$J204&gt;C$2,'ProductSprint Backlog'!$I204&lt;=C$2), 'ProductSprint Backlog'!$F204 / MAX(1, 'ProductSprint Backlog'!$J204-'ProductSprint Backlog'!$I204), AND('ProductSprint Backlog'!$J204=C$2,'ProductSprint Backlog'!$I204=C$2), 'ProductSprint Backlog'!$F204, TRUE, 0)</f>
        <v>0</v>
      </c>
      <c r="D204" s="4" cm="1">
        <f t="array" ref="D204">_xlfn.IFS('ProductSprint Backlog'!$F204="", "", AND('ProductSprint Backlog'!$J204&gt;D$2,'ProductSprint Backlog'!$I204&lt;=D$2), 'ProductSprint Backlog'!$F204 / MAX(1, 'ProductSprint Backlog'!$J204-'ProductSprint Backlog'!$I204), AND('ProductSprint Backlog'!$J204=D$2,'ProductSprint Backlog'!$I204=D$2), 'ProductSprint Backlog'!$F204, TRUE, 0)</f>
        <v>0</v>
      </c>
      <c r="E204" s="4" cm="1">
        <f t="array" ref="E204">_xlfn.IFS('ProductSprint Backlog'!$F204="", "", AND('ProductSprint Backlog'!$J204&gt;E$2,'ProductSprint Backlog'!$I204&lt;=E$2), 'ProductSprint Backlog'!$F204 / MAX(1, 'ProductSprint Backlog'!$J204-'ProductSprint Backlog'!$I204), AND('ProductSprint Backlog'!$J204=E$2,'ProductSprint Backlog'!$I204=E$2), 'ProductSprint Backlog'!$F204, TRUE, 0)</f>
        <v>0</v>
      </c>
      <c r="F204" s="4" cm="1">
        <f t="array" ref="F204">_xlfn.IFS('ProductSprint Backlog'!$F204="", "", AND('ProductSprint Backlog'!$J204&gt;F$2,'ProductSprint Backlog'!$I204&lt;=F$2), 'ProductSprint Backlog'!$F204 / MAX(1, 'ProductSprint Backlog'!$J204-'ProductSprint Backlog'!$I204), AND('ProductSprint Backlog'!$J204=F$2,'ProductSprint Backlog'!$I204=F$2), 'ProductSprint Backlog'!$F204, TRUE, 0)</f>
        <v>0</v>
      </c>
      <c r="G204" s="4" cm="1">
        <f t="array" ref="G204">_xlfn.IFS('ProductSprint Backlog'!$F204="", "", AND('ProductSprint Backlog'!$J204&gt;G$2,'ProductSprint Backlog'!$I204&lt;=G$2), 'ProductSprint Backlog'!$F204 / MAX(1, 'ProductSprint Backlog'!$J204-'ProductSprint Backlog'!$I204), AND('ProductSprint Backlog'!$J204=G$2,'ProductSprint Backlog'!$I204=G$2), 'ProductSprint Backlog'!$F204, TRUE, 0)</f>
        <v>0</v>
      </c>
      <c r="H204" s="4" cm="1">
        <f t="array" ref="H204">_xlfn.IFS('ProductSprint Backlog'!$F204="", "", AND('ProductSprint Backlog'!$J204&gt;H$2,'ProductSprint Backlog'!$I204&lt;=H$2), 'ProductSprint Backlog'!$F204 / MAX(1, 'ProductSprint Backlog'!$J204-'ProductSprint Backlog'!$I204), AND('ProductSprint Backlog'!$J204=H$2,'ProductSprint Backlog'!$I204=H$2), 'ProductSprint Backlog'!$F204, TRUE, 0)</f>
        <v>0</v>
      </c>
      <c r="I204" s="4" cm="1">
        <f t="array" ref="I204">_xlfn.IFS('ProductSprint Backlog'!$F204="", "", AND('ProductSprint Backlog'!$J204&gt;I$2,'ProductSprint Backlog'!$I204&lt;=I$2), 'ProductSprint Backlog'!$F204 / MAX(1, 'ProductSprint Backlog'!$J204-'ProductSprint Backlog'!$I204), AND('ProductSprint Backlog'!$J204=I$2,'ProductSprint Backlog'!$I204=I$2), 'ProductSprint Backlog'!$F204, TRUE, 0)</f>
        <v>0</v>
      </c>
      <c r="J204" s="4" cm="1">
        <f t="array" ref="J204">_xlfn.IFS('ProductSprint Backlog'!$F204="", "", AND('ProductSprint Backlog'!$J204&gt;J$2,'ProductSprint Backlog'!$I204&lt;=J$2), 'ProductSprint Backlog'!$F204 / MAX(1, 'ProductSprint Backlog'!$J204-'ProductSprint Backlog'!$I204), AND('ProductSprint Backlog'!$J204=J$2,'ProductSprint Backlog'!$I204=J$2), 'ProductSprint Backlog'!$F204, TRUE, 0)</f>
        <v>0</v>
      </c>
    </row>
    <row r="205" spans="2:10" x14ac:dyDescent="0.2">
      <c r="B205" s="4" cm="1">
        <f t="array" ref="B205">_xlfn.IFS('ProductSprint Backlog'!$F205="", "", AND('ProductSprint Backlog'!$J205&gt;B$2,'ProductSprint Backlog'!$I205&lt;=B$2), 'ProductSprint Backlog'!$F205 / MAX(1, 'ProductSprint Backlog'!$J205-'ProductSprint Backlog'!$I205), AND('ProductSprint Backlog'!$J205=B$2,'ProductSprint Backlog'!$I205=B$2), 'ProductSprint Backlog'!$F205, TRUE, 0)</f>
        <v>0</v>
      </c>
      <c r="C205" s="4" cm="1">
        <f t="array" ref="C205">_xlfn.IFS('ProductSprint Backlog'!$F205="", "", AND('ProductSprint Backlog'!$J205&gt;C$2,'ProductSprint Backlog'!$I205&lt;=C$2), 'ProductSprint Backlog'!$F205 / MAX(1, 'ProductSprint Backlog'!$J205-'ProductSprint Backlog'!$I205), AND('ProductSprint Backlog'!$J205=C$2,'ProductSprint Backlog'!$I205=C$2), 'ProductSprint Backlog'!$F205, TRUE, 0)</f>
        <v>0</v>
      </c>
      <c r="D205" s="4" cm="1">
        <f t="array" ref="D205">_xlfn.IFS('ProductSprint Backlog'!$F205="", "", AND('ProductSprint Backlog'!$J205&gt;D$2,'ProductSprint Backlog'!$I205&lt;=D$2), 'ProductSprint Backlog'!$F205 / MAX(1, 'ProductSprint Backlog'!$J205-'ProductSprint Backlog'!$I205), AND('ProductSprint Backlog'!$J205=D$2,'ProductSprint Backlog'!$I205=D$2), 'ProductSprint Backlog'!$F205, TRUE, 0)</f>
        <v>0</v>
      </c>
      <c r="E205" s="4" cm="1">
        <f t="array" ref="E205">_xlfn.IFS('ProductSprint Backlog'!$F205="", "", AND('ProductSprint Backlog'!$J205&gt;E$2,'ProductSprint Backlog'!$I205&lt;=E$2), 'ProductSprint Backlog'!$F205 / MAX(1, 'ProductSprint Backlog'!$J205-'ProductSprint Backlog'!$I205), AND('ProductSprint Backlog'!$J205=E$2,'ProductSprint Backlog'!$I205=E$2), 'ProductSprint Backlog'!$F205, TRUE, 0)</f>
        <v>0</v>
      </c>
      <c r="F205" s="4" cm="1">
        <f t="array" ref="F205">_xlfn.IFS('ProductSprint Backlog'!$F205="", "", AND('ProductSprint Backlog'!$J205&gt;F$2,'ProductSprint Backlog'!$I205&lt;=F$2), 'ProductSprint Backlog'!$F205 / MAX(1, 'ProductSprint Backlog'!$J205-'ProductSprint Backlog'!$I205), AND('ProductSprint Backlog'!$J205=F$2,'ProductSprint Backlog'!$I205=F$2), 'ProductSprint Backlog'!$F205, TRUE, 0)</f>
        <v>0</v>
      </c>
      <c r="G205" s="4" cm="1">
        <f t="array" ref="G205">_xlfn.IFS('ProductSprint Backlog'!$F205="", "", AND('ProductSprint Backlog'!$J205&gt;G$2,'ProductSprint Backlog'!$I205&lt;=G$2), 'ProductSprint Backlog'!$F205 / MAX(1, 'ProductSprint Backlog'!$J205-'ProductSprint Backlog'!$I205), AND('ProductSprint Backlog'!$J205=G$2,'ProductSprint Backlog'!$I205=G$2), 'ProductSprint Backlog'!$F205, TRUE, 0)</f>
        <v>0</v>
      </c>
      <c r="H205" s="4" cm="1">
        <f t="array" ref="H205">_xlfn.IFS('ProductSprint Backlog'!$F205="", "", AND('ProductSprint Backlog'!$J205&gt;H$2,'ProductSprint Backlog'!$I205&lt;=H$2), 'ProductSprint Backlog'!$F205 / MAX(1, 'ProductSprint Backlog'!$J205-'ProductSprint Backlog'!$I205), AND('ProductSprint Backlog'!$J205=H$2,'ProductSprint Backlog'!$I205=H$2), 'ProductSprint Backlog'!$F205, TRUE, 0)</f>
        <v>0</v>
      </c>
      <c r="I205" s="4" cm="1">
        <f t="array" ref="I205">_xlfn.IFS('ProductSprint Backlog'!$F205="", "", AND('ProductSprint Backlog'!$J205&gt;I$2,'ProductSprint Backlog'!$I205&lt;=I$2), 'ProductSprint Backlog'!$F205 / MAX(1, 'ProductSprint Backlog'!$J205-'ProductSprint Backlog'!$I205), AND('ProductSprint Backlog'!$J205=I$2,'ProductSprint Backlog'!$I205=I$2), 'ProductSprint Backlog'!$F205, TRUE, 0)</f>
        <v>0</v>
      </c>
      <c r="J205" s="4" cm="1">
        <f t="array" ref="J205">_xlfn.IFS('ProductSprint Backlog'!$F205="", "", AND('ProductSprint Backlog'!$J205&gt;J$2,'ProductSprint Backlog'!$I205&lt;=J$2), 'ProductSprint Backlog'!$F205 / MAX(1, 'ProductSprint Backlog'!$J205-'ProductSprint Backlog'!$I205), AND('ProductSprint Backlog'!$J205=J$2,'ProductSprint Backlog'!$I205=J$2), 'ProductSprint Backlog'!$F205, TRUE, 0)</f>
        <v>0</v>
      </c>
    </row>
    <row r="206" spans="2:10" x14ac:dyDescent="0.2">
      <c r="B206" s="4" cm="1">
        <f t="array" ref="B206">_xlfn.IFS('ProductSprint Backlog'!$F206="", "", AND('ProductSprint Backlog'!$J206&gt;B$2,'ProductSprint Backlog'!$I206&lt;=B$2), 'ProductSprint Backlog'!$F206 / MAX(1, 'ProductSprint Backlog'!$J206-'ProductSprint Backlog'!$I206), AND('ProductSprint Backlog'!$J206=B$2,'ProductSprint Backlog'!$I206=B$2), 'ProductSprint Backlog'!$F206, TRUE, 0)</f>
        <v>0</v>
      </c>
      <c r="C206" s="4" cm="1">
        <f t="array" ref="C206">_xlfn.IFS('ProductSprint Backlog'!$F206="", "", AND('ProductSprint Backlog'!$J206&gt;C$2,'ProductSprint Backlog'!$I206&lt;=C$2), 'ProductSprint Backlog'!$F206 / MAX(1, 'ProductSprint Backlog'!$J206-'ProductSprint Backlog'!$I206), AND('ProductSprint Backlog'!$J206=C$2,'ProductSprint Backlog'!$I206=C$2), 'ProductSprint Backlog'!$F206, TRUE, 0)</f>
        <v>0</v>
      </c>
      <c r="D206" s="4" cm="1">
        <f t="array" ref="D206">_xlfn.IFS('ProductSprint Backlog'!$F206="", "", AND('ProductSprint Backlog'!$J206&gt;D$2,'ProductSprint Backlog'!$I206&lt;=D$2), 'ProductSprint Backlog'!$F206 / MAX(1, 'ProductSprint Backlog'!$J206-'ProductSprint Backlog'!$I206), AND('ProductSprint Backlog'!$J206=D$2,'ProductSprint Backlog'!$I206=D$2), 'ProductSprint Backlog'!$F206, TRUE, 0)</f>
        <v>0</v>
      </c>
      <c r="E206" s="4" cm="1">
        <f t="array" ref="E206">_xlfn.IFS('ProductSprint Backlog'!$F206="", "", AND('ProductSprint Backlog'!$J206&gt;E$2,'ProductSprint Backlog'!$I206&lt;=E$2), 'ProductSprint Backlog'!$F206 / MAX(1, 'ProductSprint Backlog'!$J206-'ProductSprint Backlog'!$I206), AND('ProductSprint Backlog'!$J206=E$2,'ProductSprint Backlog'!$I206=E$2), 'ProductSprint Backlog'!$F206, TRUE, 0)</f>
        <v>0</v>
      </c>
      <c r="F206" s="4" cm="1">
        <f t="array" ref="F206">_xlfn.IFS('ProductSprint Backlog'!$F206="", "", AND('ProductSprint Backlog'!$J206&gt;F$2,'ProductSprint Backlog'!$I206&lt;=F$2), 'ProductSprint Backlog'!$F206 / MAX(1, 'ProductSprint Backlog'!$J206-'ProductSprint Backlog'!$I206), AND('ProductSprint Backlog'!$J206=F$2,'ProductSprint Backlog'!$I206=F$2), 'ProductSprint Backlog'!$F206, TRUE, 0)</f>
        <v>0</v>
      </c>
      <c r="G206" s="4" cm="1">
        <f t="array" ref="G206">_xlfn.IFS('ProductSprint Backlog'!$F206="", "", AND('ProductSprint Backlog'!$J206&gt;G$2,'ProductSprint Backlog'!$I206&lt;=G$2), 'ProductSprint Backlog'!$F206 / MAX(1, 'ProductSprint Backlog'!$J206-'ProductSprint Backlog'!$I206), AND('ProductSprint Backlog'!$J206=G$2,'ProductSprint Backlog'!$I206=G$2), 'ProductSprint Backlog'!$F206, TRUE, 0)</f>
        <v>0</v>
      </c>
      <c r="H206" s="4" cm="1">
        <f t="array" ref="H206">_xlfn.IFS('ProductSprint Backlog'!$F206="", "", AND('ProductSprint Backlog'!$J206&gt;H$2,'ProductSprint Backlog'!$I206&lt;=H$2), 'ProductSprint Backlog'!$F206 / MAX(1, 'ProductSprint Backlog'!$J206-'ProductSprint Backlog'!$I206), AND('ProductSprint Backlog'!$J206=H$2,'ProductSprint Backlog'!$I206=H$2), 'ProductSprint Backlog'!$F206, TRUE, 0)</f>
        <v>0</v>
      </c>
      <c r="I206" s="4" cm="1">
        <f t="array" ref="I206">_xlfn.IFS('ProductSprint Backlog'!$F206="", "", AND('ProductSprint Backlog'!$J206&gt;I$2,'ProductSprint Backlog'!$I206&lt;=I$2), 'ProductSprint Backlog'!$F206 / MAX(1, 'ProductSprint Backlog'!$J206-'ProductSprint Backlog'!$I206), AND('ProductSprint Backlog'!$J206=I$2,'ProductSprint Backlog'!$I206=I$2), 'ProductSprint Backlog'!$F206, TRUE, 0)</f>
        <v>0</v>
      </c>
      <c r="J206" s="4" cm="1">
        <f t="array" ref="J206">_xlfn.IFS('ProductSprint Backlog'!$F206="", "", AND('ProductSprint Backlog'!$J206&gt;J$2,'ProductSprint Backlog'!$I206&lt;=J$2), 'ProductSprint Backlog'!$F206 / MAX(1, 'ProductSprint Backlog'!$J206-'ProductSprint Backlog'!$I206), AND('ProductSprint Backlog'!$J206=J$2,'ProductSprint Backlog'!$I206=J$2), 'ProductSprint Backlog'!$F206, TRUE, 0)</f>
        <v>0</v>
      </c>
    </row>
    <row r="207" spans="2:10" x14ac:dyDescent="0.2">
      <c r="B207" s="4" cm="1">
        <f t="array" ref="B207">_xlfn.IFS('ProductSprint Backlog'!$F207="", "", AND('ProductSprint Backlog'!$J207&gt;B$2,'ProductSprint Backlog'!$I207&lt;=B$2), 'ProductSprint Backlog'!$F207 / MAX(1, 'ProductSprint Backlog'!$J207-'ProductSprint Backlog'!$I207), AND('ProductSprint Backlog'!$J207=B$2,'ProductSprint Backlog'!$I207=B$2), 'ProductSprint Backlog'!$F207, TRUE, 0)</f>
        <v>0</v>
      </c>
      <c r="C207" s="4" cm="1">
        <f t="array" ref="C207">_xlfn.IFS('ProductSprint Backlog'!$F207="", "", AND('ProductSprint Backlog'!$J207&gt;C$2,'ProductSprint Backlog'!$I207&lt;=C$2), 'ProductSprint Backlog'!$F207 / MAX(1, 'ProductSprint Backlog'!$J207-'ProductSprint Backlog'!$I207), AND('ProductSprint Backlog'!$J207=C$2,'ProductSprint Backlog'!$I207=C$2), 'ProductSprint Backlog'!$F207, TRUE, 0)</f>
        <v>0</v>
      </c>
      <c r="D207" s="4" cm="1">
        <f t="array" ref="D207">_xlfn.IFS('ProductSprint Backlog'!$F207="", "", AND('ProductSprint Backlog'!$J207&gt;D$2,'ProductSprint Backlog'!$I207&lt;=D$2), 'ProductSprint Backlog'!$F207 / MAX(1, 'ProductSprint Backlog'!$J207-'ProductSprint Backlog'!$I207), AND('ProductSprint Backlog'!$J207=D$2,'ProductSprint Backlog'!$I207=D$2), 'ProductSprint Backlog'!$F207, TRUE, 0)</f>
        <v>0</v>
      </c>
      <c r="E207" s="4" cm="1">
        <f t="array" ref="E207">_xlfn.IFS('ProductSprint Backlog'!$F207="", "", AND('ProductSprint Backlog'!$J207&gt;E$2,'ProductSprint Backlog'!$I207&lt;=E$2), 'ProductSprint Backlog'!$F207 / MAX(1, 'ProductSprint Backlog'!$J207-'ProductSprint Backlog'!$I207), AND('ProductSprint Backlog'!$J207=E$2,'ProductSprint Backlog'!$I207=E$2), 'ProductSprint Backlog'!$F207, TRUE, 0)</f>
        <v>0</v>
      </c>
      <c r="F207" s="4" cm="1">
        <f t="array" ref="F207">_xlfn.IFS('ProductSprint Backlog'!$F207="", "", AND('ProductSprint Backlog'!$J207&gt;F$2,'ProductSprint Backlog'!$I207&lt;=F$2), 'ProductSprint Backlog'!$F207 / MAX(1, 'ProductSprint Backlog'!$J207-'ProductSprint Backlog'!$I207), AND('ProductSprint Backlog'!$J207=F$2,'ProductSprint Backlog'!$I207=F$2), 'ProductSprint Backlog'!$F207, TRUE, 0)</f>
        <v>0</v>
      </c>
      <c r="G207" s="4" cm="1">
        <f t="array" ref="G207">_xlfn.IFS('ProductSprint Backlog'!$F207="", "", AND('ProductSprint Backlog'!$J207&gt;G$2,'ProductSprint Backlog'!$I207&lt;=G$2), 'ProductSprint Backlog'!$F207 / MAX(1, 'ProductSprint Backlog'!$J207-'ProductSprint Backlog'!$I207), AND('ProductSprint Backlog'!$J207=G$2,'ProductSprint Backlog'!$I207=G$2), 'ProductSprint Backlog'!$F207, TRUE, 0)</f>
        <v>0</v>
      </c>
      <c r="H207" s="4" cm="1">
        <f t="array" ref="H207">_xlfn.IFS('ProductSprint Backlog'!$F207="", "", AND('ProductSprint Backlog'!$J207&gt;H$2,'ProductSprint Backlog'!$I207&lt;=H$2), 'ProductSprint Backlog'!$F207 / MAX(1, 'ProductSprint Backlog'!$J207-'ProductSprint Backlog'!$I207), AND('ProductSprint Backlog'!$J207=H$2,'ProductSprint Backlog'!$I207=H$2), 'ProductSprint Backlog'!$F207, TRUE, 0)</f>
        <v>0</v>
      </c>
      <c r="I207" s="4" cm="1">
        <f t="array" ref="I207">_xlfn.IFS('ProductSprint Backlog'!$F207="", "", AND('ProductSprint Backlog'!$J207&gt;I$2,'ProductSprint Backlog'!$I207&lt;=I$2), 'ProductSprint Backlog'!$F207 / MAX(1, 'ProductSprint Backlog'!$J207-'ProductSprint Backlog'!$I207), AND('ProductSprint Backlog'!$J207=I$2,'ProductSprint Backlog'!$I207=I$2), 'ProductSprint Backlog'!$F207, TRUE, 0)</f>
        <v>0</v>
      </c>
      <c r="J207" s="4" cm="1">
        <f t="array" ref="J207">_xlfn.IFS('ProductSprint Backlog'!$F207="", "", AND('ProductSprint Backlog'!$J207&gt;J$2,'ProductSprint Backlog'!$I207&lt;=J$2), 'ProductSprint Backlog'!$F207 / MAX(1, 'ProductSprint Backlog'!$J207-'ProductSprint Backlog'!$I207), AND('ProductSprint Backlog'!$J207=J$2,'ProductSprint Backlog'!$I207=J$2), 'ProductSprint Backlog'!$F207, TRUE, 0)</f>
        <v>0</v>
      </c>
    </row>
    <row r="208" spans="2:10" x14ac:dyDescent="0.2">
      <c r="B208" s="4" cm="1">
        <f t="array" ref="B208">_xlfn.IFS('ProductSprint Backlog'!$F208="", "", AND('ProductSprint Backlog'!$J208&gt;B$2,'ProductSprint Backlog'!$I208&lt;=B$2), 'ProductSprint Backlog'!$F208 / MAX(1, 'ProductSprint Backlog'!$J208-'ProductSprint Backlog'!$I208), AND('ProductSprint Backlog'!$J208=B$2,'ProductSprint Backlog'!$I208=B$2), 'ProductSprint Backlog'!$F208, TRUE, 0)</f>
        <v>0</v>
      </c>
      <c r="C208" s="4" cm="1">
        <f t="array" ref="C208">_xlfn.IFS('ProductSprint Backlog'!$F208="", "", AND('ProductSprint Backlog'!$J208&gt;C$2,'ProductSprint Backlog'!$I208&lt;=C$2), 'ProductSprint Backlog'!$F208 / MAX(1, 'ProductSprint Backlog'!$J208-'ProductSprint Backlog'!$I208), AND('ProductSprint Backlog'!$J208=C$2,'ProductSprint Backlog'!$I208=C$2), 'ProductSprint Backlog'!$F208, TRUE, 0)</f>
        <v>0</v>
      </c>
      <c r="D208" s="4" cm="1">
        <f t="array" ref="D208">_xlfn.IFS('ProductSprint Backlog'!$F208="", "", AND('ProductSprint Backlog'!$J208&gt;D$2,'ProductSprint Backlog'!$I208&lt;=D$2), 'ProductSprint Backlog'!$F208 / MAX(1, 'ProductSprint Backlog'!$J208-'ProductSprint Backlog'!$I208), AND('ProductSprint Backlog'!$J208=D$2,'ProductSprint Backlog'!$I208=D$2), 'ProductSprint Backlog'!$F208, TRUE, 0)</f>
        <v>0</v>
      </c>
      <c r="E208" s="4" cm="1">
        <f t="array" ref="E208">_xlfn.IFS('ProductSprint Backlog'!$F208="", "", AND('ProductSprint Backlog'!$J208&gt;E$2,'ProductSprint Backlog'!$I208&lt;=E$2), 'ProductSprint Backlog'!$F208 / MAX(1, 'ProductSprint Backlog'!$J208-'ProductSprint Backlog'!$I208), AND('ProductSprint Backlog'!$J208=E$2,'ProductSprint Backlog'!$I208=E$2), 'ProductSprint Backlog'!$F208, TRUE, 0)</f>
        <v>0</v>
      </c>
      <c r="F208" s="4" cm="1">
        <f t="array" ref="F208">_xlfn.IFS('ProductSprint Backlog'!$F208="", "", AND('ProductSprint Backlog'!$J208&gt;F$2,'ProductSprint Backlog'!$I208&lt;=F$2), 'ProductSprint Backlog'!$F208 / MAX(1, 'ProductSprint Backlog'!$J208-'ProductSprint Backlog'!$I208), AND('ProductSprint Backlog'!$J208=F$2,'ProductSprint Backlog'!$I208=F$2), 'ProductSprint Backlog'!$F208, TRUE, 0)</f>
        <v>0</v>
      </c>
      <c r="G208" s="4" cm="1">
        <f t="array" ref="G208">_xlfn.IFS('ProductSprint Backlog'!$F208="", "", AND('ProductSprint Backlog'!$J208&gt;G$2,'ProductSprint Backlog'!$I208&lt;=G$2), 'ProductSprint Backlog'!$F208 / MAX(1, 'ProductSprint Backlog'!$J208-'ProductSprint Backlog'!$I208), AND('ProductSprint Backlog'!$J208=G$2,'ProductSprint Backlog'!$I208=G$2), 'ProductSprint Backlog'!$F208, TRUE, 0)</f>
        <v>0</v>
      </c>
      <c r="H208" s="4" cm="1">
        <f t="array" ref="H208">_xlfn.IFS('ProductSprint Backlog'!$F208="", "", AND('ProductSprint Backlog'!$J208&gt;H$2,'ProductSprint Backlog'!$I208&lt;=H$2), 'ProductSprint Backlog'!$F208 / MAX(1, 'ProductSprint Backlog'!$J208-'ProductSprint Backlog'!$I208), AND('ProductSprint Backlog'!$J208=H$2,'ProductSprint Backlog'!$I208=H$2), 'ProductSprint Backlog'!$F208, TRUE, 0)</f>
        <v>0</v>
      </c>
      <c r="I208" s="4" cm="1">
        <f t="array" ref="I208">_xlfn.IFS('ProductSprint Backlog'!$F208="", "", AND('ProductSprint Backlog'!$J208&gt;I$2,'ProductSprint Backlog'!$I208&lt;=I$2), 'ProductSprint Backlog'!$F208 / MAX(1, 'ProductSprint Backlog'!$J208-'ProductSprint Backlog'!$I208), AND('ProductSprint Backlog'!$J208=I$2,'ProductSprint Backlog'!$I208=I$2), 'ProductSprint Backlog'!$F208, TRUE, 0)</f>
        <v>0</v>
      </c>
      <c r="J208" s="4" cm="1">
        <f t="array" ref="J208">_xlfn.IFS('ProductSprint Backlog'!$F208="", "", AND('ProductSprint Backlog'!$J208&gt;J$2,'ProductSprint Backlog'!$I208&lt;=J$2), 'ProductSprint Backlog'!$F208 / MAX(1, 'ProductSprint Backlog'!$J208-'ProductSprint Backlog'!$I208), AND('ProductSprint Backlog'!$J208=J$2,'ProductSprint Backlog'!$I208=J$2), 'ProductSprint Backlog'!$F208, TRUE, 0)</f>
        <v>0</v>
      </c>
    </row>
    <row r="209" spans="2:10" x14ac:dyDescent="0.2">
      <c r="B209" s="4" cm="1">
        <f t="array" ref="B209">_xlfn.IFS('ProductSprint Backlog'!$F209="", "", AND('ProductSprint Backlog'!$J209&gt;B$2,'ProductSprint Backlog'!$I209&lt;=B$2), 'ProductSprint Backlog'!$F209 / MAX(1, 'ProductSprint Backlog'!$J209-'ProductSprint Backlog'!$I209), AND('ProductSprint Backlog'!$J209=B$2,'ProductSprint Backlog'!$I209=B$2), 'ProductSprint Backlog'!$F209, TRUE, 0)</f>
        <v>0</v>
      </c>
      <c r="C209" s="4" cm="1">
        <f t="array" ref="C209">_xlfn.IFS('ProductSprint Backlog'!$F209="", "", AND('ProductSprint Backlog'!$J209&gt;C$2,'ProductSprint Backlog'!$I209&lt;=C$2), 'ProductSprint Backlog'!$F209 / MAX(1, 'ProductSprint Backlog'!$J209-'ProductSprint Backlog'!$I209), AND('ProductSprint Backlog'!$J209=C$2,'ProductSprint Backlog'!$I209=C$2), 'ProductSprint Backlog'!$F209, TRUE, 0)</f>
        <v>0</v>
      </c>
      <c r="D209" s="4" cm="1">
        <f t="array" ref="D209">_xlfn.IFS('ProductSprint Backlog'!$F209="", "", AND('ProductSprint Backlog'!$J209&gt;D$2,'ProductSprint Backlog'!$I209&lt;=D$2), 'ProductSprint Backlog'!$F209 / MAX(1, 'ProductSprint Backlog'!$J209-'ProductSprint Backlog'!$I209), AND('ProductSprint Backlog'!$J209=D$2,'ProductSprint Backlog'!$I209=D$2), 'ProductSprint Backlog'!$F209, TRUE, 0)</f>
        <v>0</v>
      </c>
      <c r="E209" s="4" cm="1">
        <f t="array" ref="E209">_xlfn.IFS('ProductSprint Backlog'!$F209="", "", AND('ProductSprint Backlog'!$J209&gt;E$2,'ProductSprint Backlog'!$I209&lt;=E$2), 'ProductSprint Backlog'!$F209 / MAX(1, 'ProductSprint Backlog'!$J209-'ProductSprint Backlog'!$I209), AND('ProductSprint Backlog'!$J209=E$2,'ProductSprint Backlog'!$I209=E$2), 'ProductSprint Backlog'!$F209, TRUE, 0)</f>
        <v>0</v>
      </c>
      <c r="F209" s="4" cm="1">
        <f t="array" ref="F209">_xlfn.IFS('ProductSprint Backlog'!$F209="", "", AND('ProductSprint Backlog'!$J209&gt;F$2,'ProductSprint Backlog'!$I209&lt;=F$2), 'ProductSprint Backlog'!$F209 / MAX(1, 'ProductSprint Backlog'!$J209-'ProductSprint Backlog'!$I209), AND('ProductSprint Backlog'!$J209=F$2,'ProductSprint Backlog'!$I209=F$2), 'ProductSprint Backlog'!$F209, TRUE, 0)</f>
        <v>0</v>
      </c>
      <c r="G209" s="4" cm="1">
        <f t="array" ref="G209">_xlfn.IFS('ProductSprint Backlog'!$F209="", "", AND('ProductSprint Backlog'!$J209&gt;G$2,'ProductSprint Backlog'!$I209&lt;=G$2), 'ProductSprint Backlog'!$F209 / MAX(1, 'ProductSprint Backlog'!$J209-'ProductSprint Backlog'!$I209), AND('ProductSprint Backlog'!$J209=G$2,'ProductSprint Backlog'!$I209=G$2), 'ProductSprint Backlog'!$F209, TRUE, 0)</f>
        <v>0</v>
      </c>
      <c r="H209" s="4" cm="1">
        <f t="array" ref="H209">_xlfn.IFS('ProductSprint Backlog'!$F209="", "", AND('ProductSprint Backlog'!$J209&gt;H$2,'ProductSprint Backlog'!$I209&lt;=H$2), 'ProductSprint Backlog'!$F209 / MAX(1, 'ProductSprint Backlog'!$J209-'ProductSprint Backlog'!$I209), AND('ProductSprint Backlog'!$J209=H$2,'ProductSprint Backlog'!$I209=H$2), 'ProductSprint Backlog'!$F209, TRUE, 0)</f>
        <v>0</v>
      </c>
      <c r="I209" s="4" cm="1">
        <f t="array" ref="I209">_xlfn.IFS('ProductSprint Backlog'!$F209="", "", AND('ProductSprint Backlog'!$J209&gt;I$2,'ProductSprint Backlog'!$I209&lt;=I$2), 'ProductSprint Backlog'!$F209 / MAX(1, 'ProductSprint Backlog'!$J209-'ProductSprint Backlog'!$I209), AND('ProductSprint Backlog'!$J209=I$2,'ProductSprint Backlog'!$I209=I$2), 'ProductSprint Backlog'!$F209, TRUE, 0)</f>
        <v>0</v>
      </c>
      <c r="J209" s="4" cm="1">
        <f t="array" ref="J209">_xlfn.IFS('ProductSprint Backlog'!$F209="", "", AND('ProductSprint Backlog'!$J209&gt;J$2,'ProductSprint Backlog'!$I209&lt;=J$2), 'ProductSprint Backlog'!$F209 / MAX(1, 'ProductSprint Backlog'!$J209-'ProductSprint Backlog'!$I209), AND('ProductSprint Backlog'!$J209=J$2,'ProductSprint Backlog'!$I209=J$2), 'ProductSprint Backlog'!$F209, TRUE, 0)</f>
        <v>0</v>
      </c>
    </row>
    <row r="210" spans="2:10" x14ac:dyDescent="0.2">
      <c r="B210" s="4" cm="1">
        <f t="array" ref="B210">_xlfn.IFS('ProductSprint Backlog'!$F210="", "", AND('ProductSprint Backlog'!$J210&gt;B$2,'ProductSprint Backlog'!$I210&lt;=B$2), 'ProductSprint Backlog'!$F210 / MAX(1, 'ProductSprint Backlog'!$J210-'ProductSprint Backlog'!$I210), AND('ProductSprint Backlog'!$J210=B$2,'ProductSprint Backlog'!$I210=B$2), 'ProductSprint Backlog'!$F210, TRUE, 0)</f>
        <v>0</v>
      </c>
      <c r="C210" s="4" cm="1">
        <f t="array" ref="C210">_xlfn.IFS('ProductSprint Backlog'!$F210="", "", AND('ProductSprint Backlog'!$J210&gt;C$2,'ProductSprint Backlog'!$I210&lt;=C$2), 'ProductSprint Backlog'!$F210 / MAX(1, 'ProductSprint Backlog'!$J210-'ProductSprint Backlog'!$I210), AND('ProductSprint Backlog'!$J210=C$2,'ProductSprint Backlog'!$I210=C$2), 'ProductSprint Backlog'!$F210, TRUE, 0)</f>
        <v>0</v>
      </c>
      <c r="D210" s="4" cm="1">
        <f t="array" ref="D210">_xlfn.IFS('ProductSprint Backlog'!$F210="", "", AND('ProductSprint Backlog'!$J210&gt;D$2,'ProductSprint Backlog'!$I210&lt;=D$2), 'ProductSprint Backlog'!$F210 / MAX(1, 'ProductSprint Backlog'!$J210-'ProductSprint Backlog'!$I210), AND('ProductSprint Backlog'!$J210=D$2,'ProductSprint Backlog'!$I210=D$2), 'ProductSprint Backlog'!$F210, TRUE, 0)</f>
        <v>0</v>
      </c>
      <c r="E210" s="4" cm="1">
        <f t="array" ref="E210">_xlfn.IFS('ProductSprint Backlog'!$F210="", "", AND('ProductSprint Backlog'!$J210&gt;E$2,'ProductSprint Backlog'!$I210&lt;=E$2), 'ProductSprint Backlog'!$F210 / MAX(1, 'ProductSprint Backlog'!$J210-'ProductSprint Backlog'!$I210), AND('ProductSprint Backlog'!$J210=E$2,'ProductSprint Backlog'!$I210=E$2), 'ProductSprint Backlog'!$F210, TRUE, 0)</f>
        <v>0</v>
      </c>
      <c r="F210" s="4" cm="1">
        <f t="array" ref="F210">_xlfn.IFS('ProductSprint Backlog'!$F210="", "", AND('ProductSprint Backlog'!$J210&gt;F$2,'ProductSprint Backlog'!$I210&lt;=F$2), 'ProductSprint Backlog'!$F210 / MAX(1, 'ProductSprint Backlog'!$J210-'ProductSprint Backlog'!$I210), AND('ProductSprint Backlog'!$J210=F$2,'ProductSprint Backlog'!$I210=F$2), 'ProductSprint Backlog'!$F210, TRUE, 0)</f>
        <v>0</v>
      </c>
      <c r="G210" s="4" cm="1">
        <f t="array" ref="G210">_xlfn.IFS('ProductSprint Backlog'!$F210="", "", AND('ProductSprint Backlog'!$J210&gt;G$2,'ProductSprint Backlog'!$I210&lt;=G$2), 'ProductSprint Backlog'!$F210 / MAX(1, 'ProductSprint Backlog'!$J210-'ProductSprint Backlog'!$I210), AND('ProductSprint Backlog'!$J210=G$2,'ProductSprint Backlog'!$I210=G$2), 'ProductSprint Backlog'!$F210, TRUE, 0)</f>
        <v>0</v>
      </c>
      <c r="H210" s="4" cm="1">
        <f t="array" ref="H210">_xlfn.IFS('ProductSprint Backlog'!$F210="", "", AND('ProductSprint Backlog'!$J210&gt;H$2,'ProductSprint Backlog'!$I210&lt;=H$2), 'ProductSprint Backlog'!$F210 / MAX(1, 'ProductSprint Backlog'!$J210-'ProductSprint Backlog'!$I210), AND('ProductSprint Backlog'!$J210=H$2,'ProductSprint Backlog'!$I210=H$2), 'ProductSprint Backlog'!$F210, TRUE, 0)</f>
        <v>0</v>
      </c>
      <c r="I210" s="4" cm="1">
        <f t="array" ref="I210">_xlfn.IFS('ProductSprint Backlog'!$F210="", "", AND('ProductSprint Backlog'!$J210&gt;I$2,'ProductSprint Backlog'!$I210&lt;=I$2), 'ProductSprint Backlog'!$F210 / MAX(1, 'ProductSprint Backlog'!$J210-'ProductSprint Backlog'!$I210), AND('ProductSprint Backlog'!$J210=I$2,'ProductSprint Backlog'!$I210=I$2), 'ProductSprint Backlog'!$F210, TRUE, 0)</f>
        <v>0</v>
      </c>
      <c r="J210" s="4" cm="1">
        <f t="array" ref="J210">_xlfn.IFS('ProductSprint Backlog'!$F210="", "", AND('ProductSprint Backlog'!$J210&gt;J$2,'ProductSprint Backlog'!$I210&lt;=J$2), 'ProductSprint Backlog'!$F210 / MAX(1, 'ProductSprint Backlog'!$J210-'ProductSprint Backlog'!$I210), AND('ProductSprint Backlog'!$J210=J$2,'ProductSprint Backlog'!$I210=J$2), 'ProductSprint Backlog'!$F210, TRUE, 0)</f>
        <v>0</v>
      </c>
    </row>
    <row r="211" spans="2:10" x14ac:dyDescent="0.2">
      <c r="B211" s="4" cm="1">
        <f t="array" ref="B211">_xlfn.IFS('ProductSprint Backlog'!$F211="", "", AND('ProductSprint Backlog'!$J211&gt;B$2,'ProductSprint Backlog'!$I211&lt;=B$2), 'ProductSprint Backlog'!$F211 / MAX(1, 'ProductSprint Backlog'!$J211-'ProductSprint Backlog'!$I211), AND('ProductSprint Backlog'!$J211=B$2,'ProductSprint Backlog'!$I211=B$2), 'ProductSprint Backlog'!$F211, TRUE, 0)</f>
        <v>0</v>
      </c>
      <c r="C211" s="4" cm="1">
        <f t="array" ref="C211">_xlfn.IFS('ProductSprint Backlog'!$F211="", "", AND('ProductSprint Backlog'!$J211&gt;C$2,'ProductSprint Backlog'!$I211&lt;=C$2), 'ProductSprint Backlog'!$F211 / MAX(1, 'ProductSprint Backlog'!$J211-'ProductSprint Backlog'!$I211), AND('ProductSprint Backlog'!$J211=C$2,'ProductSprint Backlog'!$I211=C$2), 'ProductSprint Backlog'!$F211, TRUE, 0)</f>
        <v>0</v>
      </c>
      <c r="D211" s="4" cm="1">
        <f t="array" ref="D211">_xlfn.IFS('ProductSprint Backlog'!$F211="", "", AND('ProductSprint Backlog'!$J211&gt;D$2,'ProductSprint Backlog'!$I211&lt;=D$2), 'ProductSprint Backlog'!$F211 / MAX(1, 'ProductSprint Backlog'!$J211-'ProductSprint Backlog'!$I211), AND('ProductSprint Backlog'!$J211=D$2,'ProductSprint Backlog'!$I211=D$2), 'ProductSprint Backlog'!$F211, TRUE, 0)</f>
        <v>0</v>
      </c>
      <c r="E211" s="4" cm="1">
        <f t="array" ref="E211">_xlfn.IFS('ProductSprint Backlog'!$F211="", "", AND('ProductSprint Backlog'!$J211&gt;E$2,'ProductSprint Backlog'!$I211&lt;=E$2), 'ProductSprint Backlog'!$F211 / MAX(1, 'ProductSprint Backlog'!$J211-'ProductSprint Backlog'!$I211), AND('ProductSprint Backlog'!$J211=E$2,'ProductSprint Backlog'!$I211=E$2), 'ProductSprint Backlog'!$F211, TRUE, 0)</f>
        <v>0</v>
      </c>
      <c r="F211" s="4" cm="1">
        <f t="array" ref="F211">_xlfn.IFS('ProductSprint Backlog'!$F211="", "", AND('ProductSprint Backlog'!$J211&gt;F$2,'ProductSprint Backlog'!$I211&lt;=F$2), 'ProductSprint Backlog'!$F211 / MAX(1, 'ProductSprint Backlog'!$J211-'ProductSprint Backlog'!$I211), AND('ProductSprint Backlog'!$J211=F$2,'ProductSprint Backlog'!$I211=F$2), 'ProductSprint Backlog'!$F211, TRUE, 0)</f>
        <v>0</v>
      </c>
      <c r="G211" s="4" cm="1">
        <f t="array" ref="G211">_xlfn.IFS('ProductSprint Backlog'!$F211="", "", AND('ProductSprint Backlog'!$J211&gt;G$2,'ProductSprint Backlog'!$I211&lt;=G$2), 'ProductSprint Backlog'!$F211 / MAX(1, 'ProductSprint Backlog'!$J211-'ProductSprint Backlog'!$I211), AND('ProductSprint Backlog'!$J211=G$2,'ProductSprint Backlog'!$I211=G$2), 'ProductSprint Backlog'!$F211, TRUE, 0)</f>
        <v>0</v>
      </c>
      <c r="H211" s="4" cm="1">
        <f t="array" ref="H211">_xlfn.IFS('ProductSprint Backlog'!$F211="", "", AND('ProductSprint Backlog'!$J211&gt;H$2,'ProductSprint Backlog'!$I211&lt;=H$2), 'ProductSprint Backlog'!$F211 / MAX(1, 'ProductSprint Backlog'!$J211-'ProductSprint Backlog'!$I211), AND('ProductSprint Backlog'!$J211=H$2,'ProductSprint Backlog'!$I211=H$2), 'ProductSprint Backlog'!$F211, TRUE, 0)</f>
        <v>0</v>
      </c>
      <c r="I211" s="4" cm="1">
        <f t="array" ref="I211">_xlfn.IFS('ProductSprint Backlog'!$F211="", "", AND('ProductSprint Backlog'!$J211&gt;I$2,'ProductSprint Backlog'!$I211&lt;=I$2), 'ProductSprint Backlog'!$F211 / MAX(1, 'ProductSprint Backlog'!$J211-'ProductSprint Backlog'!$I211), AND('ProductSprint Backlog'!$J211=I$2,'ProductSprint Backlog'!$I211=I$2), 'ProductSprint Backlog'!$F211, TRUE, 0)</f>
        <v>0</v>
      </c>
      <c r="J211" s="4" cm="1">
        <f t="array" ref="J211">_xlfn.IFS('ProductSprint Backlog'!$F211="", "", AND('ProductSprint Backlog'!$J211&gt;J$2,'ProductSprint Backlog'!$I211&lt;=J$2), 'ProductSprint Backlog'!$F211 / MAX(1, 'ProductSprint Backlog'!$J211-'ProductSprint Backlog'!$I211), AND('ProductSprint Backlog'!$J211=J$2,'ProductSprint Backlog'!$I211=J$2), 'ProductSprint Backlog'!$F211, TRUE, 0)</f>
        <v>0</v>
      </c>
    </row>
    <row r="212" spans="2:10" x14ac:dyDescent="0.2">
      <c r="B212" s="4" cm="1">
        <f t="array" ref="B212">_xlfn.IFS('ProductSprint Backlog'!$F212="", "", AND('ProductSprint Backlog'!$J212&gt;B$2,'ProductSprint Backlog'!$I212&lt;=B$2), 'ProductSprint Backlog'!$F212 / MAX(1, 'ProductSprint Backlog'!$J212-'ProductSprint Backlog'!$I212), AND('ProductSprint Backlog'!$J212=B$2,'ProductSprint Backlog'!$I212=B$2), 'ProductSprint Backlog'!$F212, TRUE, 0)</f>
        <v>0</v>
      </c>
      <c r="C212" s="4" cm="1">
        <f t="array" ref="C212">_xlfn.IFS('ProductSprint Backlog'!$F212="", "", AND('ProductSprint Backlog'!$J212&gt;C$2,'ProductSprint Backlog'!$I212&lt;=C$2), 'ProductSprint Backlog'!$F212 / MAX(1, 'ProductSprint Backlog'!$J212-'ProductSprint Backlog'!$I212), AND('ProductSprint Backlog'!$J212=C$2,'ProductSprint Backlog'!$I212=C$2), 'ProductSprint Backlog'!$F212, TRUE, 0)</f>
        <v>0</v>
      </c>
      <c r="D212" s="4" cm="1">
        <f t="array" ref="D212">_xlfn.IFS('ProductSprint Backlog'!$F212="", "", AND('ProductSprint Backlog'!$J212&gt;D$2,'ProductSprint Backlog'!$I212&lt;=D$2), 'ProductSprint Backlog'!$F212 / MAX(1, 'ProductSprint Backlog'!$J212-'ProductSprint Backlog'!$I212), AND('ProductSprint Backlog'!$J212=D$2,'ProductSprint Backlog'!$I212=D$2), 'ProductSprint Backlog'!$F212, TRUE, 0)</f>
        <v>0</v>
      </c>
      <c r="E212" s="4" cm="1">
        <f t="array" ref="E212">_xlfn.IFS('ProductSprint Backlog'!$F212="", "", AND('ProductSprint Backlog'!$J212&gt;E$2,'ProductSprint Backlog'!$I212&lt;=E$2), 'ProductSprint Backlog'!$F212 / MAX(1, 'ProductSprint Backlog'!$J212-'ProductSprint Backlog'!$I212), AND('ProductSprint Backlog'!$J212=E$2,'ProductSprint Backlog'!$I212=E$2), 'ProductSprint Backlog'!$F212, TRUE, 0)</f>
        <v>0</v>
      </c>
      <c r="F212" s="4" cm="1">
        <f t="array" ref="F212">_xlfn.IFS('ProductSprint Backlog'!$F212="", "", AND('ProductSprint Backlog'!$J212&gt;F$2,'ProductSprint Backlog'!$I212&lt;=F$2), 'ProductSprint Backlog'!$F212 / MAX(1, 'ProductSprint Backlog'!$J212-'ProductSprint Backlog'!$I212), AND('ProductSprint Backlog'!$J212=F$2,'ProductSprint Backlog'!$I212=F$2), 'ProductSprint Backlog'!$F212, TRUE, 0)</f>
        <v>0</v>
      </c>
      <c r="G212" s="4" cm="1">
        <f t="array" ref="G212">_xlfn.IFS('ProductSprint Backlog'!$F212="", "", AND('ProductSprint Backlog'!$J212&gt;G$2,'ProductSprint Backlog'!$I212&lt;=G$2), 'ProductSprint Backlog'!$F212 / MAX(1, 'ProductSprint Backlog'!$J212-'ProductSprint Backlog'!$I212), AND('ProductSprint Backlog'!$J212=G$2,'ProductSprint Backlog'!$I212=G$2), 'ProductSprint Backlog'!$F212, TRUE, 0)</f>
        <v>0</v>
      </c>
      <c r="H212" s="4" cm="1">
        <f t="array" ref="H212">_xlfn.IFS('ProductSprint Backlog'!$F212="", "", AND('ProductSprint Backlog'!$J212&gt;H$2,'ProductSprint Backlog'!$I212&lt;=H$2), 'ProductSprint Backlog'!$F212 / MAX(1, 'ProductSprint Backlog'!$J212-'ProductSprint Backlog'!$I212), AND('ProductSprint Backlog'!$J212=H$2,'ProductSprint Backlog'!$I212=H$2), 'ProductSprint Backlog'!$F212, TRUE, 0)</f>
        <v>0</v>
      </c>
      <c r="I212" s="4" cm="1">
        <f t="array" ref="I212">_xlfn.IFS('ProductSprint Backlog'!$F212="", "", AND('ProductSprint Backlog'!$J212&gt;I$2,'ProductSprint Backlog'!$I212&lt;=I$2), 'ProductSprint Backlog'!$F212 / MAX(1, 'ProductSprint Backlog'!$J212-'ProductSprint Backlog'!$I212), AND('ProductSprint Backlog'!$J212=I$2,'ProductSprint Backlog'!$I212=I$2), 'ProductSprint Backlog'!$F212, TRUE, 0)</f>
        <v>0</v>
      </c>
      <c r="J212" s="4" cm="1">
        <f t="array" ref="J212">_xlfn.IFS('ProductSprint Backlog'!$F212="", "", AND('ProductSprint Backlog'!$J212&gt;J$2,'ProductSprint Backlog'!$I212&lt;=J$2), 'ProductSprint Backlog'!$F212 / MAX(1, 'ProductSprint Backlog'!$J212-'ProductSprint Backlog'!$I212), AND('ProductSprint Backlog'!$J212=J$2,'ProductSprint Backlog'!$I212=J$2), 'ProductSprint Backlog'!$F212, TRUE, 0)</f>
        <v>0</v>
      </c>
    </row>
    <row r="213" spans="2:10" x14ac:dyDescent="0.2">
      <c r="B213" s="4" cm="1">
        <f t="array" ref="B213">_xlfn.IFS('ProductSprint Backlog'!$F213="", "", AND('ProductSprint Backlog'!$J213&gt;B$2,'ProductSprint Backlog'!$I213&lt;=B$2), 'ProductSprint Backlog'!$F213 / MAX(1, 'ProductSprint Backlog'!$J213-'ProductSprint Backlog'!$I213), AND('ProductSprint Backlog'!$J213=B$2,'ProductSprint Backlog'!$I213=B$2), 'ProductSprint Backlog'!$F213, TRUE, 0)</f>
        <v>0</v>
      </c>
      <c r="C213" s="4" cm="1">
        <f t="array" ref="C213">_xlfn.IFS('ProductSprint Backlog'!$F213="", "", AND('ProductSprint Backlog'!$J213&gt;C$2,'ProductSprint Backlog'!$I213&lt;=C$2), 'ProductSprint Backlog'!$F213 / MAX(1, 'ProductSprint Backlog'!$J213-'ProductSprint Backlog'!$I213), AND('ProductSprint Backlog'!$J213=C$2,'ProductSprint Backlog'!$I213=C$2), 'ProductSprint Backlog'!$F213, TRUE, 0)</f>
        <v>0</v>
      </c>
      <c r="D213" s="4" cm="1">
        <f t="array" ref="D213">_xlfn.IFS('ProductSprint Backlog'!$F213="", "", AND('ProductSprint Backlog'!$J213&gt;D$2,'ProductSprint Backlog'!$I213&lt;=D$2), 'ProductSprint Backlog'!$F213 / MAX(1, 'ProductSprint Backlog'!$J213-'ProductSprint Backlog'!$I213), AND('ProductSprint Backlog'!$J213=D$2,'ProductSprint Backlog'!$I213=D$2), 'ProductSprint Backlog'!$F213, TRUE, 0)</f>
        <v>0</v>
      </c>
      <c r="E213" s="4" cm="1">
        <f t="array" ref="E213">_xlfn.IFS('ProductSprint Backlog'!$F213="", "", AND('ProductSprint Backlog'!$J213&gt;E$2,'ProductSprint Backlog'!$I213&lt;=E$2), 'ProductSprint Backlog'!$F213 / MAX(1, 'ProductSprint Backlog'!$J213-'ProductSprint Backlog'!$I213), AND('ProductSprint Backlog'!$J213=E$2,'ProductSprint Backlog'!$I213=E$2), 'ProductSprint Backlog'!$F213, TRUE, 0)</f>
        <v>0</v>
      </c>
      <c r="F213" s="4" cm="1">
        <f t="array" ref="F213">_xlfn.IFS('ProductSprint Backlog'!$F213="", "", AND('ProductSprint Backlog'!$J213&gt;F$2,'ProductSprint Backlog'!$I213&lt;=F$2), 'ProductSprint Backlog'!$F213 / MAX(1, 'ProductSprint Backlog'!$J213-'ProductSprint Backlog'!$I213), AND('ProductSprint Backlog'!$J213=F$2,'ProductSprint Backlog'!$I213=F$2), 'ProductSprint Backlog'!$F213, TRUE, 0)</f>
        <v>0</v>
      </c>
      <c r="G213" s="4" cm="1">
        <f t="array" ref="G213">_xlfn.IFS('ProductSprint Backlog'!$F213="", "", AND('ProductSprint Backlog'!$J213&gt;G$2,'ProductSprint Backlog'!$I213&lt;=G$2), 'ProductSprint Backlog'!$F213 / MAX(1, 'ProductSprint Backlog'!$J213-'ProductSprint Backlog'!$I213), AND('ProductSprint Backlog'!$J213=G$2,'ProductSprint Backlog'!$I213=G$2), 'ProductSprint Backlog'!$F213, TRUE, 0)</f>
        <v>0</v>
      </c>
      <c r="H213" s="4" cm="1">
        <f t="array" ref="H213">_xlfn.IFS('ProductSprint Backlog'!$F213="", "", AND('ProductSprint Backlog'!$J213&gt;H$2,'ProductSprint Backlog'!$I213&lt;=H$2), 'ProductSprint Backlog'!$F213 / MAX(1, 'ProductSprint Backlog'!$J213-'ProductSprint Backlog'!$I213), AND('ProductSprint Backlog'!$J213=H$2,'ProductSprint Backlog'!$I213=H$2), 'ProductSprint Backlog'!$F213, TRUE, 0)</f>
        <v>0</v>
      </c>
      <c r="I213" s="4" cm="1">
        <f t="array" ref="I213">_xlfn.IFS('ProductSprint Backlog'!$F213="", "", AND('ProductSprint Backlog'!$J213&gt;I$2,'ProductSprint Backlog'!$I213&lt;=I$2), 'ProductSprint Backlog'!$F213 / MAX(1, 'ProductSprint Backlog'!$J213-'ProductSprint Backlog'!$I213), AND('ProductSprint Backlog'!$J213=I$2,'ProductSprint Backlog'!$I213=I$2), 'ProductSprint Backlog'!$F213, TRUE, 0)</f>
        <v>0</v>
      </c>
      <c r="J213" s="4" cm="1">
        <f t="array" ref="J213">_xlfn.IFS('ProductSprint Backlog'!$F213="", "", AND('ProductSprint Backlog'!$J213&gt;J$2,'ProductSprint Backlog'!$I213&lt;=J$2), 'ProductSprint Backlog'!$F213 / MAX(1, 'ProductSprint Backlog'!$J213-'ProductSprint Backlog'!$I213), AND('ProductSprint Backlog'!$J213=J$2,'ProductSprint Backlog'!$I213=J$2), 'ProductSprint Backlog'!$F213, TRUE, 0)</f>
        <v>0</v>
      </c>
    </row>
    <row r="214" spans="2:10" x14ac:dyDescent="0.2">
      <c r="B214" s="4" cm="1">
        <f t="array" ref="B214">_xlfn.IFS('ProductSprint Backlog'!$F214="", "", AND('ProductSprint Backlog'!$J214&gt;B$2,'ProductSprint Backlog'!$I214&lt;=B$2), 'ProductSprint Backlog'!$F214 / MAX(1, 'ProductSprint Backlog'!$J214-'ProductSprint Backlog'!$I214), AND('ProductSprint Backlog'!$J214=B$2,'ProductSprint Backlog'!$I214=B$2), 'ProductSprint Backlog'!$F214, TRUE, 0)</f>
        <v>0</v>
      </c>
      <c r="C214" s="4" cm="1">
        <f t="array" ref="C214">_xlfn.IFS('ProductSprint Backlog'!$F214="", "", AND('ProductSprint Backlog'!$J214&gt;C$2,'ProductSprint Backlog'!$I214&lt;=C$2), 'ProductSprint Backlog'!$F214 / MAX(1, 'ProductSprint Backlog'!$J214-'ProductSprint Backlog'!$I214), AND('ProductSprint Backlog'!$J214=C$2,'ProductSprint Backlog'!$I214=C$2), 'ProductSprint Backlog'!$F214, TRUE, 0)</f>
        <v>0</v>
      </c>
      <c r="D214" s="4" cm="1">
        <f t="array" ref="D214">_xlfn.IFS('ProductSprint Backlog'!$F214="", "", AND('ProductSprint Backlog'!$J214&gt;D$2,'ProductSprint Backlog'!$I214&lt;=D$2), 'ProductSprint Backlog'!$F214 / MAX(1, 'ProductSprint Backlog'!$J214-'ProductSprint Backlog'!$I214), AND('ProductSprint Backlog'!$J214=D$2,'ProductSprint Backlog'!$I214=D$2), 'ProductSprint Backlog'!$F214, TRUE, 0)</f>
        <v>0</v>
      </c>
      <c r="E214" s="4" cm="1">
        <f t="array" ref="E214">_xlfn.IFS('ProductSprint Backlog'!$F214="", "", AND('ProductSprint Backlog'!$J214&gt;E$2,'ProductSprint Backlog'!$I214&lt;=E$2), 'ProductSprint Backlog'!$F214 / MAX(1, 'ProductSprint Backlog'!$J214-'ProductSprint Backlog'!$I214), AND('ProductSprint Backlog'!$J214=E$2,'ProductSprint Backlog'!$I214=E$2), 'ProductSprint Backlog'!$F214, TRUE, 0)</f>
        <v>0</v>
      </c>
      <c r="F214" s="4" cm="1">
        <f t="array" ref="F214">_xlfn.IFS('ProductSprint Backlog'!$F214="", "", AND('ProductSprint Backlog'!$J214&gt;F$2,'ProductSprint Backlog'!$I214&lt;=F$2), 'ProductSprint Backlog'!$F214 / MAX(1, 'ProductSprint Backlog'!$J214-'ProductSprint Backlog'!$I214), AND('ProductSprint Backlog'!$J214=F$2,'ProductSprint Backlog'!$I214=F$2), 'ProductSprint Backlog'!$F214, TRUE, 0)</f>
        <v>0</v>
      </c>
      <c r="G214" s="4" cm="1">
        <f t="array" ref="G214">_xlfn.IFS('ProductSprint Backlog'!$F214="", "", AND('ProductSprint Backlog'!$J214&gt;G$2,'ProductSprint Backlog'!$I214&lt;=G$2), 'ProductSprint Backlog'!$F214 / MAX(1, 'ProductSprint Backlog'!$J214-'ProductSprint Backlog'!$I214), AND('ProductSprint Backlog'!$J214=G$2,'ProductSprint Backlog'!$I214=G$2), 'ProductSprint Backlog'!$F214, TRUE, 0)</f>
        <v>0</v>
      </c>
      <c r="H214" s="4" cm="1">
        <f t="array" ref="H214">_xlfn.IFS('ProductSprint Backlog'!$F214="", "", AND('ProductSprint Backlog'!$J214&gt;H$2,'ProductSprint Backlog'!$I214&lt;=H$2), 'ProductSprint Backlog'!$F214 / MAX(1, 'ProductSprint Backlog'!$J214-'ProductSprint Backlog'!$I214), AND('ProductSprint Backlog'!$J214=H$2,'ProductSprint Backlog'!$I214=H$2), 'ProductSprint Backlog'!$F214, TRUE, 0)</f>
        <v>0</v>
      </c>
      <c r="I214" s="4" cm="1">
        <f t="array" ref="I214">_xlfn.IFS('ProductSprint Backlog'!$F214="", "", AND('ProductSprint Backlog'!$J214&gt;I$2,'ProductSprint Backlog'!$I214&lt;=I$2), 'ProductSprint Backlog'!$F214 / MAX(1, 'ProductSprint Backlog'!$J214-'ProductSprint Backlog'!$I214), AND('ProductSprint Backlog'!$J214=I$2,'ProductSprint Backlog'!$I214=I$2), 'ProductSprint Backlog'!$F214, TRUE, 0)</f>
        <v>0</v>
      </c>
      <c r="J214" s="4" cm="1">
        <f t="array" ref="J214">_xlfn.IFS('ProductSprint Backlog'!$F214="", "", AND('ProductSprint Backlog'!$J214&gt;J$2,'ProductSprint Backlog'!$I214&lt;=J$2), 'ProductSprint Backlog'!$F214 / MAX(1, 'ProductSprint Backlog'!$J214-'ProductSprint Backlog'!$I214), AND('ProductSprint Backlog'!$J214=J$2,'ProductSprint Backlog'!$I214=J$2), 'ProductSprint Backlog'!$F214, TRUE, 0)</f>
        <v>0</v>
      </c>
    </row>
    <row r="215" spans="2:10" x14ac:dyDescent="0.2">
      <c r="B215" s="4" cm="1">
        <f t="array" ref="B215">_xlfn.IFS('ProductSprint Backlog'!$F215="", "", AND('ProductSprint Backlog'!$J215&gt;B$2,'ProductSprint Backlog'!$I215&lt;=B$2), 'ProductSprint Backlog'!$F215 / MAX(1, 'ProductSprint Backlog'!$J215-'ProductSprint Backlog'!$I215), AND('ProductSprint Backlog'!$J215=B$2,'ProductSprint Backlog'!$I215=B$2), 'ProductSprint Backlog'!$F215, TRUE, 0)</f>
        <v>0</v>
      </c>
      <c r="C215" s="4" cm="1">
        <f t="array" ref="C215">_xlfn.IFS('ProductSprint Backlog'!$F215="", "", AND('ProductSprint Backlog'!$J215&gt;C$2,'ProductSprint Backlog'!$I215&lt;=C$2), 'ProductSprint Backlog'!$F215 / MAX(1, 'ProductSprint Backlog'!$J215-'ProductSprint Backlog'!$I215), AND('ProductSprint Backlog'!$J215=C$2,'ProductSprint Backlog'!$I215=C$2), 'ProductSprint Backlog'!$F215, TRUE, 0)</f>
        <v>0</v>
      </c>
      <c r="D215" s="4" cm="1">
        <f t="array" ref="D215">_xlfn.IFS('ProductSprint Backlog'!$F215="", "", AND('ProductSprint Backlog'!$J215&gt;D$2,'ProductSprint Backlog'!$I215&lt;=D$2), 'ProductSprint Backlog'!$F215 / MAX(1, 'ProductSprint Backlog'!$J215-'ProductSprint Backlog'!$I215), AND('ProductSprint Backlog'!$J215=D$2,'ProductSprint Backlog'!$I215=D$2), 'ProductSprint Backlog'!$F215, TRUE, 0)</f>
        <v>0</v>
      </c>
      <c r="E215" s="4" cm="1">
        <f t="array" ref="E215">_xlfn.IFS('ProductSprint Backlog'!$F215="", "", AND('ProductSprint Backlog'!$J215&gt;E$2,'ProductSprint Backlog'!$I215&lt;=E$2), 'ProductSprint Backlog'!$F215 / MAX(1, 'ProductSprint Backlog'!$J215-'ProductSprint Backlog'!$I215), AND('ProductSprint Backlog'!$J215=E$2,'ProductSprint Backlog'!$I215=E$2), 'ProductSprint Backlog'!$F215, TRUE, 0)</f>
        <v>0</v>
      </c>
      <c r="F215" s="4" cm="1">
        <f t="array" ref="F215">_xlfn.IFS('ProductSprint Backlog'!$F215="", "", AND('ProductSprint Backlog'!$J215&gt;F$2,'ProductSprint Backlog'!$I215&lt;=F$2), 'ProductSprint Backlog'!$F215 / MAX(1, 'ProductSprint Backlog'!$J215-'ProductSprint Backlog'!$I215), AND('ProductSprint Backlog'!$J215=F$2,'ProductSprint Backlog'!$I215=F$2), 'ProductSprint Backlog'!$F215, TRUE, 0)</f>
        <v>0</v>
      </c>
      <c r="G215" s="4" cm="1">
        <f t="array" ref="G215">_xlfn.IFS('ProductSprint Backlog'!$F215="", "", AND('ProductSprint Backlog'!$J215&gt;G$2,'ProductSprint Backlog'!$I215&lt;=G$2), 'ProductSprint Backlog'!$F215 / MAX(1, 'ProductSprint Backlog'!$J215-'ProductSprint Backlog'!$I215), AND('ProductSprint Backlog'!$J215=G$2,'ProductSprint Backlog'!$I215=G$2), 'ProductSprint Backlog'!$F215, TRUE, 0)</f>
        <v>0</v>
      </c>
      <c r="H215" s="4" cm="1">
        <f t="array" ref="H215">_xlfn.IFS('ProductSprint Backlog'!$F215="", "", AND('ProductSprint Backlog'!$J215&gt;H$2,'ProductSprint Backlog'!$I215&lt;=H$2), 'ProductSprint Backlog'!$F215 / MAX(1, 'ProductSprint Backlog'!$J215-'ProductSprint Backlog'!$I215), AND('ProductSprint Backlog'!$J215=H$2,'ProductSprint Backlog'!$I215=H$2), 'ProductSprint Backlog'!$F215, TRUE, 0)</f>
        <v>0</v>
      </c>
      <c r="I215" s="4" cm="1">
        <f t="array" ref="I215">_xlfn.IFS('ProductSprint Backlog'!$F215="", "", AND('ProductSprint Backlog'!$J215&gt;I$2,'ProductSprint Backlog'!$I215&lt;=I$2), 'ProductSprint Backlog'!$F215 / MAX(1, 'ProductSprint Backlog'!$J215-'ProductSprint Backlog'!$I215), AND('ProductSprint Backlog'!$J215=I$2,'ProductSprint Backlog'!$I215=I$2), 'ProductSprint Backlog'!$F215, TRUE, 0)</f>
        <v>0</v>
      </c>
      <c r="J215" s="4" cm="1">
        <f t="array" ref="J215">_xlfn.IFS('ProductSprint Backlog'!$F215="", "", AND('ProductSprint Backlog'!$J215&gt;J$2,'ProductSprint Backlog'!$I215&lt;=J$2), 'ProductSprint Backlog'!$F215 / MAX(1, 'ProductSprint Backlog'!$J215-'ProductSprint Backlog'!$I215), AND('ProductSprint Backlog'!$J215=J$2,'ProductSprint Backlog'!$I215=J$2), 'ProductSprint Backlog'!$F215, TRUE, 0)</f>
        <v>0</v>
      </c>
    </row>
    <row r="216" spans="2:10" x14ac:dyDescent="0.2">
      <c r="B216" s="4" cm="1">
        <f t="array" ref="B216">_xlfn.IFS('ProductSprint Backlog'!$F216="", "", AND('ProductSprint Backlog'!$J216&gt;B$2,'ProductSprint Backlog'!$I216&lt;=B$2), 'ProductSprint Backlog'!$F216 / MAX(1, 'ProductSprint Backlog'!$J216-'ProductSprint Backlog'!$I216), AND('ProductSprint Backlog'!$J216=B$2,'ProductSprint Backlog'!$I216=B$2), 'ProductSprint Backlog'!$F216, TRUE, 0)</f>
        <v>0</v>
      </c>
      <c r="C216" s="4" cm="1">
        <f t="array" ref="C216">_xlfn.IFS('ProductSprint Backlog'!$F216="", "", AND('ProductSprint Backlog'!$J216&gt;C$2,'ProductSprint Backlog'!$I216&lt;=C$2), 'ProductSprint Backlog'!$F216 / MAX(1, 'ProductSprint Backlog'!$J216-'ProductSprint Backlog'!$I216), AND('ProductSprint Backlog'!$J216=C$2,'ProductSprint Backlog'!$I216=C$2), 'ProductSprint Backlog'!$F216, TRUE, 0)</f>
        <v>0</v>
      </c>
      <c r="D216" s="4" cm="1">
        <f t="array" ref="D216">_xlfn.IFS('ProductSprint Backlog'!$F216="", "", AND('ProductSprint Backlog'!$J216&gt;D$2,'ProductSprint Backlog'!$I216&lt;=D$2), 'ProductSprint Backlog'!$F216 / MAX(1, 'ProductSprint Backlog'!$J216-'ProductSprint Backlog'!$I216), AND('ProductSprint Backlog'!$J216=D$2,'ProductSprint Backlog'!$I216=D$2), 'ProductSprint Backlog'!$F216, TRUE, 0)</f>
        <v>0</v>
      </c>
      <c r="E216" s="4" cm="1">
        <f t="array" ref="E216">_xlfn.IFS('ProductSprint Backlog'!$F216="", "", AND('ProductSprint Backlog'!$J216&gt;E$2,'ProductSprint Backlog'!$I216&lt;=E$2), 'ProductSprint Backlog'!$F216 / MAX(1, 'ProductSprint Backlog'!$J216-'ProductSprint Backlog'!$I216), AND('ProductSprint Backlog'!$J216=E$2,'ProductSprint Backlog'!$I216=E$2), 'ProductSprint Backlog'!$F216, TRUE, 0)</f>
        <v>0</v>
      </c>
      <c r="F216" s="4" cm="1">
        <f t="array" ref="F216">_xlfn.IFS('ProductSprint Backlog'!$F216="", "", AND('ProductSprint Backlog'!$J216&gt;F$2,'ProductSprint Backlog'!$I216&lt;=F$2), 'ProductSprint Backlog'!$F216 / MAX(1, 'ProductSprint Backlog'!$J216-'ProductSprint Backlog'!$I216), AND('ProductSprint Backlog'!$J216=F$2,'ProductSprint Backlog'!$I216=F$2), 'ProductSprint Backlog'!$F216, TRUE, 0)</f>
        <v>0</v>
      </c>
      <c r="G216" s="4" cm="1">
        <f t="array" ref="G216">_xlfn.IFS('ProductSprint Backlog'!$F216="", "", AND('ProductSprint Backlog'!$J216&gt;G$2,'ProductSprint Backlog'!$I216&lt;=G$2), 'ProductSprint Backlog'!$F216 / MAX(1, 'ProductSprint Backlog'!$J216-'ProductSprint Backlog'!$I216), AND('ProductSprint Backlog'!$J216=G$2,'ProductSprint Backlog'!$I216=G$2), 'ProductSprint Backlog'!$F216, TRUE, 0)</f>
        <v>0</v>
      </c>
      <c r="H216" s="4" cm="1">
        <f t="array" ref="H216">_xlfn.IFS('ProductSprint Backlog'!$F216="", "", AND('ProductSprint Backlog'!$J216&gt;H$2,'ProductSprint Backlog'!$I216&lt;=H$2), 'ProductSprint Backlog'!$F216 / MAX(1, 'ProductSprint Backlog'!$J216-'ProductSprint Backlog'!$I216), AND('ProductSprint Backlog'!$J216=H$2,'ProductSprint Backlog'!$I216=H$2), 'ProductSprint Backlog'!$F216, TRUE, 0)</f>
        <v>0</v>
      </c>
      <c r="I216" s="4" cm="1">
        <f t="array" ref="I216">_xlfn.IFS('ProductSprint Backlog'!$F216="", "", AND('ProductSprint Backlog'!$J216&gt;I$2,'ProductSprint Backlog'!$I216&lt;=I$2), 'ProductSprint Backlog'!$F216 / MAX(1, 'ProductSprint Backlog'!$J216-'ProductSprint Backlog'!$I216), AND('ProductSprint Backlog'!$J216=I$2,'ProductSprint Backlog'!$I216=I$2), 'ProductSprint Backlog'!$F216, TRUE, 0)</f>
        <v>0</v>
      </c>
      <c r="J216" s="4" cm="1">
        <f t="array" ref="J216">_xlfn.IFS('ProductSprint Backlog'!$F216="", "", AND('ProductSprint Backlog'!$J216&gt;J$2,'ProductSprint Backlog'!$I216&lt;=J$2), 'ProductSprint Backlog'!$F216 / MAX(1, 'ProductSprint Backlog'!$J216-'ProductSprint Backlog'!$I216), AND('ProductSprint Backlog'!$J216=J$2,'ProductSprint Backlog'!$I216=J$2), 'ProductSprint Backlog'!$F216, TRUE, 0)</f>
        <v>0</v>
      </c>
    </row>
    <row r="217" spans="2:10" x14ac:dyDescent="0.2">
      <c r="B217" s="4" cm="1">
        <f t="array" ref="B217">_xlfn.IFS('ProductSprint Backlog'!$F217="", "", AND('ProductSprint Backlog'!$J217&gt;B$2,'ProductSprint Backlog'!$I217&lt;=B$2), 'ProductSprint Backlog'!$F217 / MAX(1, 'ProductSprint Backlog'!$J217-'ProductSprint Backlog'!$I217), AND('ProductSprint Backlog'!$J217=B$2,'ProductSprint Backlog'!$I217=B$2), 'ProductSprint Backlog'!$F217, TRUE, 0)</f>
        <v>0</v>
      </c>
      <c r="C217" s="4" cm="1">
        <f t="array" ref="C217">_xlfn.IFS('ProductSprint Backlog'!$F217="", "", AND('ProductSprint Backlog'!$J217&gt;C$2,'ProductSprint Backlog'!$I217&lt;=C$2), 'ProductSprint Backlog'!$F217 / MAX(1, 'ProductSprint Backlog'!$J217-'ProductSprint Backlog'!$I217), AND('ProductSprint Backlog'!$J217=C$2,'ProductSprint Backlog'!$I217=C$2), 'ProductSprint Backlog'!$F217, TRUE, 0)</f>
        <v>0</v>
      </c>
      <c r="D217" s="4" cm="1">
        <f t="array" ref="D217">_xlfn.IFS('ProductSprint Backlog'!$F217="", "", AND('ProductSprint Backlog'!$J217&gt;D$2,'ProductSprint Backlog'!$I217&lt;=D$2), 'ProductSprint Backlog'!$F217 / MAX(1, 'ProductSprint Backlog'!$J217-'ProductSprint Backlog'!$I217), AND('ProductSprint Backlog'!$J217=D$2,'ProductSprint Backlog'!$I217=D$2), 'ProductSprint Backlog'!$F217, TRUE, 0)</f>
        <v>0</v>
      </c>
      <c r="E217" s="4" cm="1">
        <f t="array" ref="E217">_xlfn.IFS('ProductSprint Backlog'!$F217="", "", AND('ProductSprint Backlog'!$J217&gt;E$2,'ProductSprint Backlog'!$I217&lt;=E$2), 'ProductSprint Backlog'!$F217 / MAX(1, 'ProductSprint Backlog'!$J217-'ProductSprint Backlog'!$I217), AND('ProductSprint Backlog'!$J217=E$2,'ProductSprint Backlog'!$I217=E$2), 'ProductSprint Backlog'!$F217, TRUE, 0)</f>
        <v>0</v>
      </c>
      <c r="F217" s="4" cm="1">
        <f t="array" ref="F217">_xlfn.IFS('ProductSprint Backlog'!$F217="", "", AND('ProductSprint Backlog'!$J217&gt;F$2,'ProductSprint Backlog'!$I217&lt;=F$2), 'ProductSprint Backlog'!$F217 / MAX(1, 'ProductSprint Backlog'!$J217-'ProductSprint Backlog'!$I217), AND('ProductSprint Backlog'!$J217=F$2,'ProductSprint Backlog'!$I217=F$2), 'ProductSprint Backlog'!$F217, TRUE, 0)</f>
        <v>0</v>
      </c>
      <c r="G217" s="4" cm="1">
        <f t="array" ref="G217">_xlfn.IFS('ProductSprint Backlog'!$F217="", "", AND('ProductSprint Backlog'!$J217&gt;G$2,'ProductSprint Backlog'!$I217&lt;=G$2), 'ProductSprint Backlog'!$F217 / MAX(1, 'ProductSprint Backlog'!$J217-'ProductSprint Backlog'!$I217), AND('ProductSprint Backlog'!$J217=G$2,'ProductSprint Backlog'!$I217=G$2), 'ProductSprint Backlog'!$F217, TRUE, 0)</f>
        <v>0</v>
      </c>
      <c r="H217" s="4" cm="1">
        <f t="array" ref="H217">_xlfn.IFS('ProductSprint Backlog'!$F217="", "", AND('ProductSprint Backlog'!$J217&gt;H$2,'ProductSprint Backlog'!$I217&lt;=H$2), 'ProductSprint Backlog'!$F217 / MAX(1, 'ProductSprint Backlog'!$J217-'ProductSprint Backlog'!$I217), AND('ProductSprint Backlog'!$J217=H$2,'ProductSprint Backlog'!$I217=H$2), 'ProductSprint Backlog'!$F217, TRUE, 0)</f>
        <v>0</v>
      </c>
      <c r="I217" s="4" cm="1">
        <f t="array" ref="I217">_xlfn.IFS('ProductSprint Backlog'!$F217="", "", AND('ProductSprint Backlog'!$J217&gt;I$2,'ProductSprint Backlog'!$I217&lt;=I$2), 'ProductSprint Backlog'!$F217 / MAX(1, 'ProductSprint Backlog'!$J217-'ProductSprint Backlog'!$I217), AND('ProductSprint Backlog'!$J217=I$2,'ProductSprint Backlog'!$I217=I$2), 'ProductSprint Backlog'!$F217, TRUE, 0)</f>
        <v>0</v>
      </c>
      <c r="J217" s="4" cm="1">
        <f t="array" ref="J217">_xlfn.IFS('ProductSprint Backlog'!$F217="", "", AND('ProductSprint Backlog'!$J217&gt;J$2,'ProductSprint Backlog'!$I217&lt;=J$2), 'ProductSprint Backlog'!$F217 / MAX(1, 'ProductSprint Backlog'!$J217-'ProductSprint Backlog'!$I217), AND('ProductSprint Backlog'!$J217=J$2,'ProductSprint Backlog'!$I217=J$2), 'ProductSprint Backlog'!$F217, TRUE, 0)</f>
        <v>0</v>
      </c>
    </row>
    <row r="218" spans="2:10" x14ac:dyDescent="0.2">
      <c r="B218" s="4" cm="1">
        <f t="array" ref="B218">_xlfn.IFS('ProductSprint Backlog'!$F218="", "", AND('ProductSprint Backlog'!$J218&gt;B$2,'ProductSprint Backlog'!$I218&lt;=B$2), 'ProductSprint Backlog'!$F218 / MAX(1, 'ProductSprint Backlog'!$J218-'ProductSprint Backlog'!$I218), AND('ProductSprint Backlog'!$J218=B$2,'ProductSprint Backlog'!$I218=B$2), 'ProductSprint Backlog'!$F218, TRUE, 0)</f>
        <v>0</v>
      </c>
      <c r="C218" s="4" cm="1">
        <f t="array" ref="C218">_xlfn.IFS('ProductSprint Backlog'!$F218="", "", AND('ProductSprint Backlog'!$J218&gt;C$2,'ProductSprint Backlog'!$I218&lt;=C$2), 'ProductSprint Backlog'!$F218 / MAX(1, 'ProductSprint Backlog'!$J218-'ProductSprint Backlog'!$I218), AND('ProductSprint Backlog'!$J218=C$2,'ProductSprint Backlog'!$I218=C$2), 'ProductSprint Backlog'!$F218, TRUE, 0)</f>
        <v>0</v>
      </c>
      <c r="D218" s="4" cm="1">
        <f t="array" ref="D218">_xlfn.IFS('ProductSprint Backlog'!$F218="", "", AND('ProductSprint Backlog'!$J218&gt;D$2,'ProductSprint Backlog'!$I218&lt;=D$2), 'ProductSprint Backlog'!$F218 / MAX(1, 'ProductSprint Backlog'!$J218-'ProductSprint Backlog'!$I218), AND('ProductSprint Backlog'!$J218=D$2,'ProductSprint Backlog'!$I218=D$2), 'ProductSprint Backlog'!$F218, TRUE, 0)</f>
        <v>0</v>
      </c>
      <c r="E218" s="4" cm="1">
        <f t="array" ref="E218">_xlfn.IFS('ProductSprint Backlog'!$F218="", "", AND('ProductSprint Backlog'!$J218&gt;E$2,'ProductSprint Backlog'!$I218&lt;=E$2), 'ProductSprint Backlog'!$F218 / MAX(1, 'ProductSprint Backlog'!$J218-'ProductSprint Backlog'!$I218), AND('ProductSprint Backlog'!$J218=E$2,'ProductSprint Backlog'!$I218=E$2), 'ProductSprint Backlog'!$F218, TRUE, 0)</f>
        <v>0</v>
      </c>
      <c r="F218" s="4" cm="1">
        <f t="array" ref="F218">_xlfn.IFS('ProductSprint Backlog'!$F218="", "", AND('ProductSprint Backlog'!$J218&gt;F$2,'ProductSprint Backlog'!$I218&lt;=F$2), 'ProductSprint Backlog'!$F218 / MAX(1, 'ProductSprint Backlog'!$J218-'ProductSprint Backlog'!$I218), AND('ProductSprint Backlog'!$J218=F$2,'ProductSprint Backlog'!$I218=F$2), 'ProductSprint Backlog'!$F218, TRUE, 0)</f>
        <v>0</v>
      </c>
      <c r="G218" s="4" cm="1">
        <f t="array" ref="G218">_xlfn.IFS('ProductSprint Backlog'!$F218="", "", AND('ProductSprint Backlog'!$J218&gt;G$2,'ProductSprint Backlog'!$I218&lt;=G$2), 'ProductSprint Backlog'!$F218 / MAX(1, 'ProductSprint Backlog'!$J218-'ProductSprint Backlog'!$I218), AND('ProductSprint Backlog'!$J218=G$2,'ProductSprint Backlog'!$I218=G$2), 'ProductSprint Backlog'!$F218, TRUE, 0)</f>
        <v>0</v>
      </c>
      <c r="H218" s="4" cm="1">
        <f t="array" ref="H218">_xlfn.IFS('ProductSprint Backlog'!$F218="", "", AND('ProductSprint Backlog'!$J218&gt;H$2,'ProductSprint Backlog'!$I218&lt;=H$2), 'ProductSprint Backlog'!$F218 / MAX(1, 'ProductSprint Backlog'!$J218-'ProductSprint Backlog'!$I218), AND('ProductSprint Backlog'!$J218=H$2,'ProductSprint Backlog'!$I218=H$2), 'ProductSprint Backlog'!$F218, TRUE, 0)</f>
        <v>0</v>
      </c>
      <c r="I218" s="4" cm="1">
        <f t="array" ref="I218">_xlfn.IFS('ProductSprint Backlog'!$F218="", "", AND('ProductSprint Backlog'!$J218&gt;I$2,'ProductSprint Backlog'!$I218&lt;=I$2), 'ProductSprint Backlog'!$F218 / MAX(1, 'ProductSprint Backlog'!$J218-'ProductSprint Backlog'!$I218), AND('ProductSprint Backlog'!$J218=I$2,'ProductSprint Backlog'!$I218=I$2), 'ProductSprint Backlog'!$F218, TRUE, 0)</f>
        <v>0</v>
      </c>
      <c r="J218" s="4" cm="1">
        <f t="array" ref="J218">_xlfn.IFS('ProductSprint Backlog'!$F218="", "", AND('ProductSprint Backlog'!$J218&gt;J$2,'ProductSprint Backlog'!$I218&lt;=J$2), 'ProductSprint Backlog'!$F218 / MAX(1, 'ProductSprint Backlog'!$J218-'ProductSprint Backlog'!$I218), AND('ProductSprint Backlog'!$J218=J$2,'ProductSprint Backlog'!$I218=J$2), 'ProductSprint Backlog'!$F218, TRUE, 0)</f>
        <v>0</v>
      </c>
    </row>
    <row r="219" spans="2:10" x14ac:dyDescent="0.2">
      <c r="B219" s="4" cm="1">
        <f t="array" ref="B219">_xlfn.IFS('ProductSprint Backlog'!$F219="", "", AND('ProductSprint Backlog'!$J219&gt;B$2,'ProductSprint Backlog'!$I219&lt;=B$2), 'ProductSprint Backlog'!$F219 / MAX(1, 'ProductSprint Backlog'!$J219-'ProductSprint Backlog'!$I219), AND('ProductSprint Backlog'!$J219=B$2,'ProductSprint Backlog'!$I219=B$2), 'ProductSprint Backlog'!$F219, TRUE, 0)</f>
        <v>0</v>
      </c>
      <c r="C219" s="4" cm="1">
        <f t="array" ref="C219">_xlfn.IFS('ProductSprint Backlog'!$F219="", "", AND('ProductSprint Backlog'!$J219&gt;C$2,'ProductSprint Backlog'!$I219&lt;=C$2), 'ProductSprint Backlog'!$F219 / MAX(1, 'ProductSprint Backlog'!$J219-'ProductSprint Backlog'!$I219), AND('ProductSprint Backlog'!$J219=C$2,'ProductSprint Backlog'!$I219=C$2), 'ProductSprint Backlog'!$F219, TRUE, 0)</f>
        <v>0</v>
      </c>
      <c r="D219" s="4" cm="1">
        <f t="array" ref="D219">_xlfn.IFS('ProductSprint Backlog'!$F219="", "", AND('ProductSprint Backlog'!$J219&gt;D$2,'ProductSprint Backlog'!$I219&lt;=D$2), 'ProductSprint Backlog'!$F219 / MAX(1, 'ProductSprint Backlog'!$J219-'ProductSprint Backlog'!$I219), AND('ProductSprint Backlog'!$J219=D$2,'ProductSprint Backlog'!$I219=D$2), 'ProductSprint Backlog'!$F219, TRUE, 0)</f>
        <v>0</v>
      </c>
      <c r="E219" s="4" cm="1">
        <f t="array" ref="E219">_xlfn.IFS('ProductSprint Backlog'!$F219="", "", AND('ProductSprint Backlog'!$J219&gt;E$2,'ProductSprint Backlog'!$I219&lt;=E$2), 'ProductSprint Backlog'!$F219 / MAX(1, 'ProductSprint Backlog'!$J219-'ProductSprint Backlog'!$I219), AND('ProductSprint Backlog'!$J219=E$2,'ProductSprint Backlog'!$I219=E$2), 'ProductSprint Backlog'!$F219, TRUE, 0)</f>
        <v>0</v>
      </c>
      <c r="F219" s="4" cm="1">
        <f t="array" ref="F219">_xlfn.IFS('ProductSprint Backlog'!$F219="", "", AND('ProductSprint Backlog'!$J219&gt;F$2,'ProductSprint Backlog'!$I219&lt;=F$2), 'ProductSprint Backlog'!$F219 / MAX(1, 'ProductSprint Backlog'!$J219-'ProductSprint Backlog'!$I219), AND('ProductSprint Backlog'!$J219=F$2,'ProductSprint Backlog'!$I219=F$2), 'ProductSprint Backlog'!$F219, TRUE, 0)</f>
        <v>0</v>
      </c>
      <c r="G219" s="4" cm="1">
        <f t="array" ref="G219">_xlfn.IFS('ProductSprint Backlog'!$F219="", "", AND('ProductSprint Backlog'!$J219&gt;G$2,'ProductSprint Backlog'!$I219&lt;=G$2), 'ProductSprint Backlog'!$F219 / MAX(1, 'ProductSprint Backlog'!$J219-'ProductSprint Backlog'!$I219), AND('ProductSprint Backlog'!$J219=G$2,'ProductSprint Backlog'!$I219=G$2), 'ProductSprint Backlog'!$F219, TRUE, 0)</f>
        <v>0</v>
      </c>
      <c r="H219" s="4" cm="1">
        <f t="array" ref="H219">_xlfn.IFS('ProductSprint Backlog'!$F219="", "", AND('ProductSprint Backlog'!$J219&gt;H$2,'ProductSprint Backlog'!$I219&lt;=H$2), 'ProductSprint Backlog'!$F219 / MAX(1, 'ProductSprint Backlog'!$J219-'ProductSprint Backlog'!$I219), AND('ProductSprint Backlog'!$J219=H$2,'ProductSprint Backlog'!$I219=H$2), 'ProductSprint Backlog'!$F219, TRUE, 0)</f>
        <v>0</v>
      </c>
      <c r="I219" s="4" cm="1">
        <f t="array" ref="I219">_xlfn.IFS('ProductSprint Backlog'!$F219="", "", AND('ProductSprint Backlog'!$J219&gt;I$2,'ProductSprint Backlog'!$I219&lt;=I$2), 'ProductSprint Backlog'!$F219 / MAX(1, 'ProductSprint Backlog'!$J219-'ProductSprint Backlog'!$I219), AND('ProductSprint Backlog'!$J219=I$2,'ProductSprint Backlog'!$I219=I$2), 'ProductSprint Backlog'!$F219, TRUE, 0)</f>
        <v>0</v>
      </c>
      <c r="J219" s="4" cm="1">
        <f t="array" ref="J219">_xlfn.IFS('ProductSprint Backlog'!$F219="", "", AND('ProductSprint Backlog'!$J219&gt;J$2,'ProductSprint Backlog'!$I219&lt;=J$2), 'ProductSprint Backlog'!$F219 / MAX(1, 'ProductSprint Backlog'!$J219-'ProductSprint Backlog'!$I219), AND('ProductSprint Backlog'!$J219=J$2,'ProductSprint Backlog'!$I219=J$2), 'ProductSprint Backlog'!$F219, TRUE, 0)</f>
        <v>0</v>
      </c>
    </row>
    <row r="220" spans="2:10" x14ac:dyDescent="0.2">
      <c r="B220" s="4" cm="1">
        <f t="array" ref="B220">_xlfn.IFS('ProductSprint Backlog'!$F220="", "", AND('ProductSprint Backlog'!$J220&gt;B$2,'ProductSprint Backlog'!$I220&lt;=B$2), 'ProductSprint Backlog'!$F220 / MAX(1, 'ProductSprint Backlog'!$J220-'ProductSprint Backlog'!$I220), AND('ProductSprint Backlog'!$J220=B$2,'ProductSprint Backlog'!$I220=B$2), 'ProductSprint Backlog'!$F220, TRUE, 0)</f>
        <v>0</v>
      </c>
      <c r="C220" s="4" cm="1">
        <f t="array" ref="C220">_xlfn.IFS('ProductSprint Backlog'!$F220="", "", AND('ProductSprint Backlog'!$J220&gt;C$2,'ProductSprint Backlog'!$I220&lt;=C$2), 'ProductSprint Backlog'!$F220 / MAX(1, 'ProductSprint Backlog'!$J220-'ProductSprint Backlog'!$I220), AND('ProductSprint Backlog'!$J220=C$2,'ProductSprint Backlog'!$I220=C$2), 'ProductSprint Backlog'!$F220, TRUE, 0)</f>
        <v>0</v>
      </c>
      <c r="D220" s="4" cm="1">
        <f t="array" ref="D220">_xlfn.IFS('ProductSprint Backlog'!$F220="", "", AND('ProductSprint Backlog'!$J220&gt;D$2,'ProductSprint Backlog'!$I220&lt;=D$2), 'ProductSprint Backlog'!$F220 / MAX(1, 'ProductSprint Backlog'!$J220-'ProductSprint Backlog'!$I220), AND('ProductSprint Backlog'!$J220=D$2,'ProductSprint Backlog'!$I220=D$2), 'ProductSprint Backlog'!$F220, TRUE, 0)</f>
        <v>0</v>
      </c>
      <c r="E220" s="4" cm="1">
        <f t="array" ref="E220">_xlfn.IFS('ProductSprint Backlog'!$F220="", "", AND('ProductSprint Backlog'!$J220&gt;E$2,'ProductSprint Backlog'!$I220&lt;=E$2), 'ProductSprint Backlog'!$F220 / MAX(1, 'ProductSprint Backlog'!$J220-'ProductSprint Backlog'!$I220), AND('ProductSprint Backlog'!$J220=E$2,'ProductSprint Backlog'!$I220=E$2), 'ProductSprint Backlog'!$F220, TRUE, 0)</f>
        <v>0</v>
      </c>
      <c r="F220" s="4" cm="1">
        <f t="array" ref="F220">_xlfn.IFS('ProductSprint Backlog'!$F220="", "", AND('ProductSprint Backlog'!$J220&gt;F$2,'ProductSprint Backlog'!$I220&lt;=F$2), 'ProductSprint Backlog'!$F220 / MAX(1, 'ProductSprint Backlog'!$J220-'ProductSprint Backlog'!$I220), AND('ProductSprint Backlog'!$J220=F$2,'ProductSprint Backlog'!$I220=F$2), 'ProductSprint Backlog'!$F220, TRUE, 0)</f>
        <v>0</v>
      </c>
      <c r="G220" s="4" cm="1">
        <f t="array" ref="G220">_xlfn.IFS('ProductSprint Backlog'!$F220="", "", AND('ProductSprint Backlog'!$J220&gt;G$2,'ProductSprint Backlog'!$I220&lt;=G$2), 'ProductSprint Backlog'!$F220 / MAX(1, 'ProductSprint Backlog'!$J220-'ProductSprint Backlog'!$I220), AND('ProductSprint Backlog'!$J220=G$2,'ProductSprint Backlog'!$I220=G$2), 'ProductSprint Backlog'!$F220, TRUE, 0)</f>
        <v>0</v>
      </c>
      <c r="H220" s="4" cm="1">
        <f t="array" ref="H220">_xlfn.IFS('ProductSprint Backlog'!$F220="", "", AND('ProductSprint Backlog'!$J220&gt;H$2,'ProductSprint Backlog'!$I220&lt;=H$2), 'ProductSprint Backlog'!$F220 / MAX(1, 'ProductSprint Backlog'!$J220-'ProductSprint Backlog'!$I220), AND('ProductSprint Backlog'!$J220=H$2,'ProductSprint Backlog'!$I220=H$2), 'ProductSprint Backlog'!$F220, TRUE, 0)</f>
        <v>0</v>
      </c>
      <c r="I220" s="4" cm="1">
        <f t="array" ref="I220">_xlfn.IFS('ProductSprint Backlog'!$F220="", "", AND('ProductSprint Backlog'!$J220&gt;I$2,'ProductSprint Backlog'!$I220&lt;=I$2), 'ProductSprint Backlog'!$F220 / MAX(1, 'ProductSprint Backlog'!$J220-'ProductSprint Backlog'!$I220), AND('ProductSprint Backlog'!$J220=I$2,'ProductSprint Backlog'!$I220=I$2), 'ProductSprint Backlog'!$F220, TRUE, 0)</f>
        <v>0</v>
      </c>
      <c r="J220" s="4" cm="1">
        <f t="array" ref="J220">_xlfn.IFS('ProductSprint Backlog'!$F220="", "", AND('ProductSprint Backlog'!$J220&gt;J$2,'ProductSprint Backlog'!$I220&lt;=J$2), 'ProductSprint Backlog'!$F220 / MAX(1, 'ProductSprint Backlog'!$J220-'ProductSprint Backlog'!$I220), AND('ProductSprint Backlog'!$J220=J$2,'ProductSprint Backlog'!$I220=J$2), 'ProductSprint Backlog'!$F220, TRUE, 0)</f>
        <v>0</v>
      </c>
    </row>
    <row r="221" spans="2:10" x14ac:dyDescent="0.2">
      <c r="B221" s="4" cm="1">
        <f t="array" ref="B221">_xlfn.IFS('ProductSprint Backlog'!$F221="", "", AND('ProductSprint Backlog'!$J221&gt;B$2,'ProductSprint Backlog'!$I221&lt;=B$2), 'ProductSprint Backlog'!$F221 / MAX(1, 'ProductSprint Backlog'!$J221-'ProductSprint Backlog'!$I221), AND('ProductSprint Backlog'!$J221=B$2,'ProductSprint Backlog'!$I221=B$2), 'ProductSprint Backlog'!$F221, TRUE, 0)</f>
        <v>0</v>
      </c>
      <c r="C221" s="4" cm="1">
        <f t="array" ref="C221">_xlfn.IFS('ProductSprint Backlog'!$F221="", "", AND('ProductSprint Backlog'!$J221&gt;C$2,'ProductSprint Backlog'!$I221&lt;=C$2), 'ProductSprint Backlog'!$F221 / MAX(1, 'ProductSprint Backlog'!$J221-'ProductSprint Backlog'!$I221), AND('ProductSprint Backlog'!$J221=C$2,'ProductSprint Backlog'!$I221=C$2), 'ProductSprint Backlog'!$F221, TRUE, 0)</f>
        <v>0</v>
      </c>
      <c r="D221" s="4" cm="1">
        <f t="array" ref="D221">_xlfn.IFS('ProductSprint Backlog'!$F221="", "", AND('ProductSprint Backlog'!$J221&gt;D$2,'ProductSprint Backlog'!$I221&lt;=D$2), 'ProductSprint Backlog'!$F221 / MAX(1, 'ProductSprint Backlog'!$J221-'ProductSprint Backlog'!$I221), AND('ProductSprint Backlog'!$J221=D$2,'ProductSprint Backlog'!$I221=D$2), 'ProductSprint Backlog'!$F221, TRUE, 0)</f>
        <v>0</v>
      </c>
      <c r="E221" s="4" cm="1">
        <f t="array" ref="E221">_xlfn.IFS('ProductSprint Backlog'!$F221="", "", AND('ProductSprint Backlog'!$J221&gt;E$2,'ProductSprint Backlog'!$I221&lt;=E$2), 'ProductSprint Backlog'!$F221 / MAX(1, 'ProductSprint Backlog'!$J221-'ProductSprint Backlog'!$I221), AND('ProductSprint Backlog'!$J221=E$2,'ProductSprint Backlog'!$I221=E$2), 'ProductSprint Backlog'!$F221, TRUE, 0)</f>
        <v>0</v>
      </c>
      <c r="F221" s="4" cm="1">
        <f t="array" ref="F221">_xlfn.IFS('ProductSprint Backlog'!$F221="", "", AND('ProductSprint Backlog'!$J221&gt;F$2,'ProductSprint Backlog'!$I221&lt;=F$2), 'ProductSprint Backlog'!$F221 / MAX(1, 'ProductSprint Backlog'!$J221-'ProductSprint Backlog'!$I221), AND('ProductSprint Backlog'!$J221=F$2,'ProductSprint Backlog'!$I221=F$2), 'ProductSprint Backlog'!$F221, TRUE, 0)</f>
        <v>0</v>
      </c>
      <c r="G221" s="4" cm="1">
        <f t="array" ref="G221">_xlfn.IFS('ProductSprint Backlog'!$F221="", "", AND('ProductSprint Backlog'!$J221&gt;G$2,'ProductSprint Backlog'!$I221&lt;=G$2), 'ProductSprint Backlog'!$F221 / MAX(1, 'ProductSprint Backlog'!$J221-'ProductSprint Backlog'!$I221), AND('ProductSprint Backlog'!$J221=G$2,'ProductSprint Backlog'!$I221=G$2), 'ProductSprint Backlog'!$F221, TRUE, 0)</f>
        <v>0</v>
      </c>
      <c r="H221" s="4" cm="1">
        <f t="array" ref="H221">_xlfn.IFS('ProductSprint Backlog'!$F221="", "", AND('ProductSprint Backlog'!$J221&gt;H$2,'ProductSprint Backlog'!$I221&lt;=H$2), 'ProductSprint Backlog'!$F221 / MAX(1, 'ProductSprint Backlog'!$J221-'ProductSprint Backlog'!$I221), AND('ProductSprint Backlog'!$J221=H$2,'ProductSprint Backlog'!$I221=H$2), 'ProductSprint Backlog'!$F221, TRUE, 0)</f>
        <v>0</v>
      </c>
      <c r="I221" s="4" cm="1">
        <f t="array" ref="I221">_xlfn.IFS('ProductSprint Backlog'!$F221="", "", AND('ProductSprint Backlog'!$J221&gt;I$2,'ProductSprint Backlog'!$I221&lt;=I$2), 'ProductSprint Backlog'!$F221 / MAX(1, 'ProductSprint Backlog'!$J221-'ProductSprint Backlog'!$I221), AND('ProductSprint Backlog'!$J221=I$2,'ProductSprint Backlog'!$I221=I$2), 'ProductSprint Backlog'!$F221, TRUE, 0)</f>
        <v>0</v>
      </c>
      <c r="J221" s="4" cm="1">
        <f t="array" ref="J221">_xlfn.IFS('ProductSprint Backlog'!$F221="", "", AND('ProductSprint Backlog'!$J221&gt;J$2,'ProductSprint Backlog'!$I221&lt;=J$2), 'ProductSprint Backlog'!$F221 / MAX(1, 'ProductSprint Backlog'!$J221-'ProductSprint Backlog'!$I221), AND('ProductSprint Backlog'!$J221=J$2,'ProductSprint Backlog'!$I221=J$2), 'ProductSprint Backlog'!$F221, TRUE, 0)</f>
        <v>0</v>
      </c>
    </row>
    <row r="222" spans="2:10" x14ac:dyDescent="0.2">
      <c r="B222" s="4" cm="1">
        <f t="array" ref="B222">_xlfn.IFS('ProductSprint Backlog'!$F222="", "", AND('ProductSprint Backlog'!$J222&gt;B$2,'ProductSprint Backlog'!$I222&lt;=B$2), 'ProductSprint Backlog'!$F222 / MAX(1, 'ProductSprint Backlog'!$J222-'ProductSprint Backlog'!$I222), AND('ProductSprint Backlog'!$J222=B$2,'ProductSprint Backlog'!$I222=B$2), 'ProductSprint Backlog'!$F222, TRUE, 0)</f>
        <v>0</v>
      </c>
      <c r="C222" s="4" cm="1">
        <f t="array" ref="C222">_xlfn.IFS('ProductSprint Backlog'!$F222="", "", AND('ProductSprint Backlog'!$J222&gt;C$2,'ProductSprint Backlog'!$I222&lt;=C$2), 'ProductSprint Backlog'!$F222 / MAX(1, 'ProductSprint Backlog'!$J222-'ProductSprint Backlog'!$I222), AND('ProductSprint Backlog'!$J222=C$2,'ProductSprint Backlog'!$I222=C$2), 'ProductSprint Backlog'!$F222, TRUE, 0)</f>
        <v>0</v>
      </c>
      <c r="D222" s="4" cm="1">
        <f t="array" ref="D222">_xlfn.IFS('ProductSprint Backlog'!$F222="", "", AND('ProductSprint Backlog'!$J222&gt;D$2,'ProductSprint Backlog'!$I222&lt;=D$2), 'ProductSprint Backlog'!$F222 / MAX(1, 'ProductSprint Backlog'!$J222-'ProductSprint Backlog'!$I222), AND('ProductSprint Backlog'!$J222=D$2,'ProductSprint Backlog'!$I222=D$2), 'ProductSprint Backlog'!$F222, TRUE, 0)</f>
        <v>0</v>
      </c>
      <c r="E222" s="4" cm="1">
        <f t="array" ref="E222">_xlfn.IFS('ProductSprint Backlog'!$F222="", "", AND('ProductSprint Backlog'!$J222&gt;E$2,'ProductSprint Backlog'!$I222&lt;=E$2), 'ProductSprint Backlog'!$F222 / MAX(1, 'ProductSprint Backlog'!$J222-'ProductSprint Backlog'!$I222), AND('ProductSprint Backlog'!$J222=E$2,'ProductSprint Backlog'!$I222=E$2), 'ProductSprint Backlog'!$F222, TRUE, 0)</f>
        <v>0</v>
      </c>
      <c r="F222" s="4" cm="1">
        <f t="array" ref="F222">_xlfn.IFS('ProductSprint Backlog'!$F222="", "", AND('ProductSprint Backlog'!$J222&gt;F$2,'ProductSprint Backlog'!$I222&lt;=F$2), 'ProductSprint Backlog'!$F222 / MAX(1, 'ProductSprint Backlog'!$J222-'ProductSprint Backlog'!$I222), AND('ProductSprint Backlog'!$J222=F$2,'ProductSprint Backlog'!$I222=F$2), 'ProductSprint Backlog'!$F222, TRUE, 0)</f>
        <v>0</v>
      </c>
      <c r="G222" s="4" cm="1">
        <f t="array" ref="G222">_xlfn.IFS('ProductSprint Backlog'!$F222="", "", AND('ProductSprint Backlog'!$J222&gt;G$2,'ProductSprint Backlog'!$I222&lt;=G$2), 'ProductSprint Backlog'!$F222 / MAX(1, 'ProductSprint Backlog'!$J222-'ProductSprint Backlog'!$I222), AND('ProductSprint Backlog'!$J222=G$2,'ProductSprint Backlog'!$I222=G$2), 'ProductSprint Backlog'!$F222, TRUE, 0)</f>
        <v>0</v>
      </c>
      <c r="H222" s="4" cm="1">
        <f t="array" ref="H222">_xlfn.IFS('ProductSprint Backlog'!$F222="", "", AND('ProductSprint Backlog'!$J222&gt;H$2,'ProductSprint Backlog'!$I222&lt;=H$2), 'ProductSprint Backlog'!$F222 / MAX(1, 'ProductSprint Backlog'!$J222-'ProductSprint Backlog'!$I222), AND('ProductSprint Backlog'!$J222=H$2,'ProductSprint Backlog'!$I222=H$2), 'ProductSprint Backlog'!$F222, TRUE, 0)</f>
        <v>0</v>
      </c>
      <c r="I222" s="4" cm="1">
        <f t="array" ref="I222">_xlfn.IFS('ProductSprint Backlog'!$F222="", "", AND('ProductSprint Backlog'!$J222&gt;I$2,'ProductSprint Backlog'!$I222&lt;=I$2), 'ProductSprint Backlog'!$F222 / MAX(1, 'ProductSprint Backlog'!$J222-'ProductSprint Backlog'!$I222), AND('ProductSprint Backlog'!$J222=I$2,'ProductSprint Backlog'!$I222=I$2), 'ProductSprint Backlog'!$F222, TRUE, 0)</f>
        <v>0</v>
      </c>
      <c r="J222" s="4" cm="1">
        <f t="array" ref="J222">_xlfn.IFS('ProductSprint Backlog'!$F222="", "", AND('ProductSprint Backlog'!$J222&gt;J$2,'ProductSprint Backlog'!$I222&lt;=J$2), 'ProductSprint Backlog'!$F222 / MAX(1, 'ProductSprint Backlog'!$J222-'ProductSprint Backlog'!$I222), AND('ProductSprint Backlog'!$J222=J$2,'ProductSprint Backlog'!$I222=J$2), 'ProductSprint Backlog'!$F222, TRUE, 0)</f>
        <v>0</v>
      </c>
    </row>
    <row r="223" spans="2:10" x14ac:dyDescent="0.2">
      <c r="B223" s="4" cm="1">
        <f t="array" ref="B223">_xlfn.IFS('ProductSprint Backlog'!$F223="", "", AND('ProductSprint Backlog'!$J223&gt;B$2,'ProductSprint Backlog'!$I223&lt;=B$2), 'ProductSprint Backlog'!$F223 / MAX(1, 'ProductSprint Backlog'!$J223-'ProductSprint Backlog'!$I223), AND('ProductSprint Backlog'!$J223=B$2,'ProductSprint Backlog'!$I223=B$2), 'ProductSprint Backlog'!$F223, TRUE, 0)</f>
        <v>0</v>
      </c>
      <c r="C223" s="4" cm="1">
        <f t="array" ref="C223">_xlfn.IFS('ProductSprint Backlog'!$F223="", "", AND('ProductSprint Backlog'!$J223&gt;C$2,'ProductSprint Backlog'!$I223&lt;=C$2), 'ProductSprint Backlog'!$F223 / MAX(1, 'ProductSprint Backlog'!$J223-'ProductSprint Backlog'!$I223), AND('ProductSprint Backlog'!$J223=C$2,'ProductSprint Backlog'!$I223=C$2), 'ProductSprint Backlog'!$F223, TRUE, 0)</f>
        <v>0</v>
      </c>
      <c r="D223" s="4" cm="1">
        <f t="array" ref="D223">_xlfn.IFS('ProductSprint Backlog'!$F223="", "", AND('ProductSprint Backlog'!$J223&gt;D$2,'ProductSprint Backlog'!$I223&lt;=D$2), 'ProductSprint Backlog'!$F223 / MAX(1, 'ProductSprint Backlog'!$J223-'ProductSprint Backlog'!$I223), AND('ProductSprint Backlog'!$J223=D$2,'ProductSprint Backlog'!$I223=D$2), 'ProductSprint Backlog'!$F223, TRUE, 0)</f>
        <v>0</v>
      </c>
      <c r="E223" s="4" cm="1">
        <f t="array" ref="E223">_xlfn.IFS('ProductSprint Backlog'!$F223="", "", AND('ProductSprint Backlog'!$J223&gt;E$2,'ProductSprint Backlog'!$I223&lt;=E$2), 'ProductSprint Backlog'!$F223 / MAX(1, 'ProductSprint Backlog'!$J223-'ProductSprint Backlog'!$I223), AND('ProductSprint Backlog'!$J223=E$2,'ProductSprint Backlog'!$I223=E$2), 'ProductSprint Backlog'!$F223, TRUE, 0)</f>
        <v>0</v>
      </c>
      <c r="F223" s="4" cm="1">
        <f t="array" ref="F223">_xlfn.IFS('ProductSprint Backlog'!$F223="", "", AND('ProductSprint Backlog'!$J223&gt;F$2,'ProductSprint Backlog'!$I223&lt;=F$2), 'ProductSprint Backlog'!$F223 / MAX(1, 'ProductSprint Backlog'!$J223-'ProductSprint Backlog'!$I223), AND('ProductSprint Backlog'!$J223=F$2,'ProductSprint Backlog'!$I223=F$2), 'ProductSprint Backlog'!$F223, TRUE, 0)</f>
        <v>0</v>
      </c>
      <c r="G223" s="4" cm="1">
        <f t="array" ref="G223">_xlfn.IFS('ProductSprint Backlog'!$F223="", "", AND('ProductSprint Backlog'!$J223&gt;G$2,'ProductSprint Backlog'!$I223&lt;=G$2), 'ProductSprint Backlog'!$F223 / MAX(1, 'ProductSprint Backlog'!$J223-'ProductSprint Backlog'!$I223), AND('ProductSprint Backlog'!$J223=G$2,'ProductSprint Backlog'!$I223=G$2), 'ProductSprint Backlog'!$F223, TRUE, 0)</f>
        <v>0</v>
      </c>
      <c r="H223" s="4" cm="1">
        <f t="array" ref="H223">_xlfn.IFS('ProductSprint Backlog'!$F223="", "", AND('ProductSprint Backlog'!$J223&gt;H$2,'ProductSprint Backlog'!$I223&lt;=H$2), 'ProductSprint Backlog'!$F223 / MAX(1, 'ProductSprint Backlog'!$J223-'ProductSprint Backlog'!$I223), AND('ProductSprint Backlog'!$J223=H$2,'ProductSprint Backlog'!$I223=H$2), 'ProductSprint Backlog'!$F223, TRUE, 0)</f>
        <v>0</v>
      </c>
      <c r="I223" s="4" cm="1">
        <f t="array" ref="I223">_xlfn.IFS('ProductSprint Backlog'!$F223="", "", AND('ProductSprint Backlog'!$J223&gt;I$2,'ProductSprint Backlog'!$I223&lt;=I$2), 'ProductSprint Backlog'!$F223 / MAX(1, 'ProductSprint Backlog'!$J223-'ProductSprint Backlog'!$I223), AND('ProductSprint Backlog'!$J223=I$2,'ProductSprint Backlog'!$I223=I$2), 'ProductSprint Backlog'!$F223, TRUE, 0)</f>
        <v>0</v>
      </c>
      <c r="J223" s="4" cm="1">
        <f t="array" ref="J223">_xlfn.IFS('ProductSprint Backlog'!$F223="", "", AND('ProductSprint Backlog'!$J223&gt;J$2,'ProductSprint Backlog'!$I223&lt;=J$2), 'ProductSprint Backlog'!$F223 / MAX(1, 'ProductSprint Backlog'!$J223-'ProductSprint Backlog'!$I223), AND('ProductSprint Backlog'!$J223=J$2,'ProductSprint Backlog'!$I223=J$2), 'ProductSprint Backlog'!$F223, TRUE, 0)</f>
        <v>0</v>
      </c>
    </row>
    <row r="224" spans="2:10" x14ac:dyDescent="0.2">
      <c r="B224" s="4" cm="1">
        <f t="array" ref="B224">_xlfn.IFS('ProductSprint Backlog'!$F224="", "", AND('ProductSprint Backlog'!$J224&gt;B$2,'ProductSprint Backlog'!$I224&lt;=B$2), 'ProductSprint Backlog'!$F224 / MAX(1, 'ProductSprint Backlog'!$J224-'ProductSprint Backlog'!$I224), AND('ProductSprint Backlog'!$J224=B$2,'ProductSprint Backlog'!$I224=B$2), 'ProductSprint Backlog'!$F224, TRUE, 0)</f>
        <v>0</v>
      </c>
      <c r="C224" s="4" cm="1">
        <f t="array" ref="C224">_xlfn.IFS('ProductSprint Backlog'!$F224="", "", AND('ProductSprint Backlog'!$J224&gt;C$2,'ProductSprint Backlog'!$I224&lt;=C$2), 'ProductSprint Backlog'!$F224 / MAX(1, 'ProductSprint Backlog'!$J224-'ProductSprint Backlog'!$I224), AND('ProductSprint Backlog'!$J224=C$2,'ProductSprint Backlog'!$I224=C$2), 'ProductSprint Backlog'!$F224, TRUE, 0)</f>
        <v>0</v>
      </c>
      <c r="D224" s="4" cm="1">
        <f t="array" ref="D224">_xlfn.IFS('ProductSprint Backlog'!$F224="", "", AND('ProductSprint Backlog'!$J224&gt;D$2,'ProductSprint Backlog'!$I224&lt;=D$2), 'ProductSprint Backlog'!$F224 / MAX(1, 'ProductSprint Backlog'!$J224-'ProductSprint Backlog'!$I224), AND('ProductSprint Backlog'!$J224=D$2,'ProductSprint Backlog'!$I224=D$2), 'ProductSprint Backlog'!$F224, TRUE, 0)</f>
        <v>0</v>
      </c>
      <c r="E224" s="4" cm="1">
        <f t="array" ref="E224">_xlfn.IFS('ProductSprint Backlog'!$F224="", "", AND('ProductSprint Backlog'!$J224&gt;E$2,'ProductSprint Backlog'!$I224&lt;=E$2), 'ProductSprint Backlog'!$F224 / MAX(1, 'ProductSprint Backlog'!$J224-'ProductSprint Backlog'!$I224), AND('ProductSprint Backlog'!$J224=E$2,'ProductSprint Backlog'!$I224=E$2), 'ProductSprint Backlog'!$F224, TRUE, 0)</f>
        <v>0</v>
      </c>
      <c r="F224" s="4" cm="1">
        <f t="array" ref="F224">_xlfn.IFS('ProductSprint Backlog'!$F224="", "", AND('ProductSprint Backlog'!$J224&gt;F$2,'ProductSprint Backlog'!$I224&lt;=F$2), 'ProductSprint Backlog'!$F224 / MAX(1, 'ProductSprint Backlog'!$J224-'ProductSprint Backlog'!$I224), AND('ProductSprint Backlog'!$J224=F$2,'ProductSprint Backlog'!$I224=F$2), 'ProductSprint Backlog'!$F224, TRUE, 0)</f>
        <v>0</v>
      </c>
      <c r="G224" s="4" cm="1">
        <f t="array" ref="G224">_xlfn.IFS('ProductSprint Backlog'!$F224="", "", AND('ProductSprint Backlog'!$J224&gt;G$2,'ProductSprint Backlog'!$I224&lt;=G$2), 'ProductSprint Backlog'!$F224 / MAX(1, 'ProductSprint Backlog'!$J224-'ProductSprint Backlog'!$I224), AND('ProductSprint Backlog'!$J224=G$2,'ProductSprint Backlog'!$I224=G$2), 'ProductSprint Backlog'!$F224, TRUE, 0)</f>
        <v>0</v>
      </c>
      <c r="H224" s="4" cm="1">
        <f t="array" ref="H224">_xlfn.IFS('ProductSprint Backlog'!$F224="", "", AND('ProductSprint Backlog'!$J224&gt;H$2,'ProductSprint Backlog'!$I224&lt;=H$2), 'ProductSprint Backlog'!$F224 / MAX(1, 'ProductSprint Backlog'!$J224-'ProductSprint Backlog'!$I224), AND('ProductSprint Backlog'!$J224=H$2,'ProductSprint Backlog'!$I224=H$2), 'ProductSprint Backlog'!$F224, TRUE, 0)</f>
        <v>0</v>
      </c>
      <c r="I224" s="4" cm="1">
        <f t="array" ref="I224">_xlfn.IFS('ProductSprint Backlog'!$F224="", "", AND('ProductSprint Backlog'!$J224&gt;I$2,'ProductSprint Backlog'!$I224&lt;=I$2), 'ProductSprint Backlog'!$F224 / MAX(1, 'ProductSprint Backlog'!$J224-'ProductSprint Backlog'!$I224), AND('ProductSprint Backlog'!$J224=I$2,'ProductSprint Backlog'!$I224=I$2), 'ProductSprint Backlog'!$F224, TRUE, 0)</f>
        <v>0</v>
      </c>
      <c r="J224" s="4" cm="1">
        <f t="array" ref="J224">_xlfn.IFS('ProductSprint Backlog'!$F224="", "", AND('ProductSprint Backlog'!$J224&gt;J$2,'ProductSprint Backlog'!$I224&lt;=J$2), 'ProductSprint Backlog'!$F224 / MAX(1, 'ProductSprint Backlog'!$J224-'ProductSprint Backlog'!$I224), AND('ProductSprint Backlog'!$J224=J$2,'ProductSprint Backlog'!$I224=J$2), 'ProductSprint Backlog'!$F224, TRUE, 0)</f>
        <v>0</v>
      </c>
    </row>
    <row r="225" spans="2:10" x14ac:dyDescent="0.2">
      <c r="B225" s="4" cm="1">
        <f t="array" ref="B225">_xlfn.IFS('ProductSprint Backlog'!$F225="", "", AND('ProductSprint Backlog'!$J225&gt;B$2,'ProductSprint Backlog'!$I225&lt;=B$2), 'ProductSprint Backlog'!$F225 / MAX(1, 'ProductSprint Backlog'!$J225-'ProductSprint Backlog'!$I225), AND('ProductSprint Backlog'!$J225=B$2,'ProductSprint Backlog'!$I225=B$2), 'ProductSprint Backlog'!$F225, TRUE, 0)</f>
        <v>0</v>
      </c>
      <c r="C225" s="4" cm="1">
        <f t="array" ref="C225">_xlfn.IFS('ProductSprint Backlog'!$F225="", "", AND('ProductSprint Backlog'!$J225&gt;C$2,'ProductSprint Backlog'!$I225&lt;=C$2), 'ProductSprint Backlog'!$F225 / MAX(1, 'ProductSprint Backlog'!$J225-'ProductSprint Backlog'!$I225), AND('ProductSprint Backlog'!$J225=C$2,'ProductSprint Backlog'!$I225=C$2), 'ProductSprint Backlog'!$F225, TRUE, 0)</f>
        <v>0</v>
      </c>
      <c r="D225" s="4" cm="1">
        <f t="array" ref="D225">_xlfn.IFS('ProductSprint Backlog'!$F225="", "", AND('ProductSprint Backlog'!$J225&gt;D$2,'ProductSprint Backlog'!$I225&lt;=D$2), 'ProductSprint Backlog'!$F225 / MAX(1, 'ProductSprint Backlog'!$J225-'ProductSprint Backlog'!$I225), AND('ProductSprint Backlog'!$J225=D$2,'ProductSprint Backlog'!$I225=D$2), 'ProductSprint Backlog'!$F225, TRUE, 0)</f>
        <v>0</v>
      </c>
      <c r="E225" s="4" cm="1">
        <f t="array" ref="E225">_xlfn.IFS('ProductSprint Backlog'!$F225="", "", AND('ProductSprint Backlog'!$J225&gt;E$2,'ProductSprint Backlog'!$I225&lt;=E$2), 'ProductSprint Backlog'!$F225 / MAX(1, 'ProductSprint Backlog'!$J225-'ProductSprint Backlog'!$I225), AND('ProductSprint Backlog'!$J225=E$2,'ProductSprint Backlog'!$I225=E$2), 'ProductSprint Backlog'!$F225, TRUE, 0)</f>
        <v>0</v>
      </c>
      <c r="F225" s="4" cm="1">
        <f t="array" ref="F225">_xlfn.IFS('ProductSprint Backlog'!$F225="", "", AND('ProductSprint Backlog'!$J225&gt;F$2,'ProductSprint Backlog'!$I225&lt;=F$2), 'ProductSprint Backlog'!$F225 / MAX(1, 'ProductSprint Backlog'!$J225-'ProductSprint Backlog'!$I225), AND('ProductSprint Backlog'!$J225=F$2,'ProductSprint Backlog'!$I225=F$2), 'ProductSprint Backlog'!$F225, TRUE, 0)</f>
        <v>0</v>
      </c>
      <c r="G225" s="4" cm="1">
        <f t="array" ref="G225">_xlfn.IFS('ProductSprint Backlog'!$F225="", "", AND('ProductSprint Backlog'!$J225&gt;G$2,'ProductSprint Backlog'!$I225&lt;=G$2), 'ProductSprint Backlog'!$F225 / MAX(1, 'ProductSprint Backlog'!$J225-'ProductSprint Backlog'!$I225), AND('ProductSprint Backlog'!$J225=G$2,'ProductSprint Backlog'!$I225=G$2), 'ProductSprint Backlog'!$F225, TRUE, 0)</f>
        <v>0</v>
      </c>
      <c r="H225" s="4" cm="1">
        <f t="array" ref="H225">_xlfn.IFS('ProductSprint Backlog'!$F225="", "", AND('ProductSprint Backlog'!$J225&gt;H$2,'ProductSprint Backlog'!$I225&lt;=H$2), 'ProductSprint Backlog'!$F225 / MAX(1, 'ProductSprint Backlog'!$J225-'ProductSprint Backlog'!$I225), AND('ProductSprint Backlog'!$J225=H$2,'ProductSprint Backlog'!$I225=H$2), 'ProductSprint Backlog'!$F225, TRUE, 0)</f>
        <v>0</v>
      </c>
      <c r="I225" s="4" cm="1">
        <f t="array" ref="I225">_xlfn.IFS('ProductSprint Backlog'!$F225="", "", AND('ProductSprint Backlog'!$J225&gt;I$2,'ProductSprint Backlog'!$I225&lt;=I$2), 'ProductSprint Backlog'!$F225 / MAX(1, 'ProductSprint Backlog'!$J225-'ProductSprint Backlog'!$I225), AND('ProductSprint Backlog'!$J225=I$2,'ProductSprint Backlog'!$I225=I$2), 'ProductSprint Backlog'!$F225, TRUE, 0)</f>
        <v>0</v>
      </c>
      <c r="J225" s="4" cm="1">
        <f t="array" ref="J225">_xlfn.IFS('ProductSprint Backlog'!$F225="", "", AND('ProductSprint Backlog'!$J225&gt;J$2,'ProductSprint Backlog'!$I225&lt;=J$2), 'ProductSprint Backlog'!$F225 / MAX(1, 'ProductSprint Backlog'!$J225-'ProductSprint Backlog'!$I225), AND('ProductSprint Backlog'!$J225=J$2,'ProductSprint Backlog'!$I225=J$2), 'ProductSprint Backlog'!$F225, TRUE, 0)</f>
        <v>0</v>
      </c>
    </row>
    <row r="226" spans="2:10" x14ac:dyDescent="0.2">
      <c r="B226" s="4" cm="1">
        <f t="array" ref="B226">_xlfn.IFS('ProductSprint Backlog'!$F226="", "", AND('ProductSprint Backlog'!$J226&gt;B$2,'ProductSprint Backlog'!$I226&lt;=B$2), 'ProductSprint Backlog'!$F226 / MAX(1, 'ProductSprint Backlog'!$J226-'ProductSprint Backlog'!$I226), AND('ProductSprint Backlog'!$J226=B$2,'ProductSprint Backlog'!$I226=B$2), 'ProductSprint Backlog'!$F226, TRUE, 0)</f>
        <v>0</v>
      </c>
      <c r="C226" s="4" cm="1">
        <f t="array" ref="C226">_xlfn.IFS('ProductSprint Backlog'!$F226="", "", AND('ProductSprint Backlog'!$J226&gt;C$2,'ProductSprint Backlog'!$I226&lt;=C$2), 'ProductSprint Backlog'!$F226 / MAX(1, 'ProductSprint Backlog'!$J226-'ProductSprint Backlog'!$I226), AND('ProductSprint Backlog'!$J226=C$2,'ProductSprint Backlog'!$I226=C$2), 'ProductSprint Backlog'!$F226, TRUE, 0)</f>
        <v>0</v>
      </c>
      <c r="D226" s="4" cm="1">
        <f t="array" ref="D226">_xlfn.IFS('ProductSprint Backlog'!$F226="", "", AND('ProductSprint Backlog'!$J226&gt;D$2,'ProductSprint Backlog'!$I226&lt;=D$2), 'ProductSprint Backlog'!$F226 / MAX(1, 'ProductSprint Backlog'!$J226-'ProductSprint Backlog'!$I226), AND('ProductSprint Backlog'!$J226=D$2,'ProductSprint Backlog'!$I226=D$2), 'ProductSprint Backlog'!$F226, TRUE, 0)</f>
        <v>0</v>
      </c>
      <c r="E226" s="4" cm="1">
        <f t="array" ref="E226">_xlfn.IFS('ProductSprint Backlog'!$F226="", "", AND('ProductSprint Backlog'!$J226&gt;E$2,'ProductSprint Backlog'!$I226&lt;=E$2), 'ProductSprint Backlog'!$F226 / MAX(1, 'ProductSprint Backlog'!$J226-'ProductSprint Backlog'!$I226), AND('ProductSprint Backlog'!$J226=E$2,'ProductSprint Backlog'!$I226=E$2), 'ProductSprint Backlog'!$F226, TRUE, 0)</f>
        <v>0</v>
      </c>
      <c r="F226" s="4" cm="1">
        <f t="array" ref="F226">_xlfn.IFS('ProductSprint Backlog'!$F226="", "", AND('ProductSprint Backlog'!$J226&gt;F$2,'ProductSprint Backlog'!$I226&lt;=F$2), 'ProductSprint Backlog'!$F226 / MAX(1, 'ProductSprint Backlog'!$J226-'ProductSprint Backlog'!$I226), AND('ProductSprint Backlog'!$J226=F$2,'ProductSprint Backlog'!$I226=F$2), 'ProductSprint Backlog'!$F226, TRUE, 0)</f>
        <v>0</v>
      </c>
      <c r="G226" s="4" cm="1">
        <f t="array" ref="G226">_xlfn.IFS('ProductSprint Backlog'!$F226="", "", AND('ProductSprint Backlog'!$J226&gt;G$2,'ProductSprint Backlog'!$I226&lt;=G$2), 'ProductSprint Backlog'!$F226 / MAX(1, 'ProductSprint Backlog'!$J226-'ProductSprint Backlog'!$I226), AND('ProductSprint Backlog'!$J226=G$2,'ProductSprint Backlog'!$I226=G$2), 'ProductSprint Backlog'!$F226, TRUE, 0)</f>
        <v>0</v>
      </c>
      <c r="H226" s="4" cm="1">
        <f t="array" ref="H226">_xlfn.IFS('ProductSprint Backlog'!$F226="", "", AND('ProductSprint Backlog'!$J226&gt;H$2,'ProductSprint Backlog'!$I226&lt;=H$2), 'ProductSprint Backlog'!$F226 / MAX(1, 'ProductSprint Backlog'!$J226-'ProductSprint Backlog'!$I226), AND('ProductSprint Backlog'!$J226=H$2,'ProductSprint Backlog'!$I226=H$2), 'ProductSprint Backlog'!$F226, TRUE, 0)</f>
        <v>0</v>
      </c>
      <c r="I226" s="4" cm="1">
        <f t="array" ref="I226">_xlfn.IFS('ProductSprint Backlog'!$F226="", "", AND('ProductSprint Backlog'!$J226&gt;I$2,'ProductSprint Backlog'!$I226&lt;=I$2), 'ProductSprint Backlog'!$F226 / MAX(1, 'ProductSprint Backlog'!$J226-'ProductSprint Backlog'!$I226), AND('ProductSprint Backlog'!$J226=I$2,'ProductSprint Backlog'!$I226=I$2), 'ProductSprint Backlog'!$F226, TRUE, 0)</f>
        <v>0</v>
      </c>
      <c r="J226" s="4" cm="1">
        <f t="array" ref="J226">_xlfn.IFS('ProductSprint Backlog'!$F226="", "", AND('ProductSprint Backlog'!$J226&gt;J$2,'ProductSprint Backlog'!$I226&lt;=J$2), 'ProductSprint Backlog'!$F226 / MAX(1, 'ProductSprint Backlog'!$J226-'ProductSprint Backlog'!$I226), AND('ProductSprint Backlog'!$J226=J$2,'ProductSprint Backlog'!$I226=J$2), 'ProductSprint Backlog'!$F226, TRUE, 0)</f>
        <v>0</v>
      </c>
    </row>
    <row r="227" spans="2:10" x14ac:dyDescent="0.2">
      <c r="B227" s="4" cm="1">
        <f t="array" ref="B227">_xlfn.IFS('ProductSprint Backlog'!$F227="", "", AND('ProductSprint Backlog'!$J227&gt;B$2,'ProductSprint Backlog'!$I227&lt;=B$2), 'ProductSprint Backlog'!$F227 / MAX(1, 'ProductSprint Backlog'!$J227-'ProductSprint Backlog'!$I227), AND('ProductSprint Backlog'!$J227=B$2,'ProductSprint Backlog'!$I227=B$2), 'ProductSprint Backlog'!$F227, TRUE, 0)</f>
        <v>0</v>
      </c>
      <c r="C227" s="4" cm="1">
        <f t="array" ref="C227">_xlfn.IFS('ProductSprint Backlog'!$F227="", "", AND('ProductSprint Backlog'!$J227&gt;C$2,'ProductSprint Backlog'!$I227&lt;=C$2), 'ProductSprint Backlog'!$F227 / MAX(1, 'ProductSprint Backlog'!$J227-'ProductSprint Backlog'!$I227), AND('ProductSprint Backlog'!$J227=C$2,'ProductSprint Backlog'!$I227=C$2), 'ProductSprint Backlog'!$F227, TRUE, 0)</f>
        <v>0</v>
      </c>
      <c r="D227" s="4" cm="1">
        <f t="array" ref="D227">_xlfn.IFS('ProductSprint Backlog'!$F227="", "", AND('ProductSprint Backlog'!$J227&gt;D$2,'ProductSprint Backlog'!$I227&lt;=D$2), 'ProductSprint Backlog'!$F227 / MAX(1, 'ProductSprint Backlog'!$J227-'ProductSprint Backlog'!$I227), AND('ProductSprint Backlog'!$J227=D$2,'ProductSprint Backlog'!$I227=D$2), 'ProductSprint Backlog'!$F227, TRUE, 0)</f>
        <v>0</v>
      </c>
      <c r="E227" s="4" cm="1">
        <f t="array" ref="E227">_xlfn.IFS('ProductSprint Backlog'!$F227="", "", AND('ProductSprint Backlog'!$J227&gt;E$2,'ProductSprint Backlog'!$I227&lt;=E$2), 'ProductSprint Backlog'!$F227 / MAX(1, 'ProductSprint Backlog'!$J227-'ProductSprint Backlog'!$I227), AND('ProductSprint Backlog'!$J227=E$2,'ProductSprint Backlog'!$I227=E$2), 'ProductSprint Backlog'!$F227, TRUE, 0)</f>
        <v>0</v>
      </c>
      <c r="F227" s="4" cm="1">
        <f t="array" ref="F227">_xlfn.IFS('ProductSprint Backlog'!$F227="", "", AND('ProductSprint Backlog'!$J227&gt;F$2,'ProductSprint Backlog'!$I227&lt;=F$2), 'ProductSprint Backlog'!$F227 / MAX(1, 'ProductSprint Backlog'!$J227-'ProductSprint Backlog'!$I227), AND('ProductSprint Backlog'!$J227=F$2,'ProductSprint Backlog'!$I227=F$2), 'ProductSprint Backlog'!$F227, TRUE, 0)</f>
        <v>0</v>
      </c>
      <c r="G227" s="4" cm="1">
        <f t="array" ref="G227">_xlfn.IFS('ProductSprint Backlog'!$F227="", "", AND('ProductSprint Backlog'!$J227&gt;G$2,'ProductSprint Backlog'!$I227&lt;=G$2), 'ProductSprint Backlog'!$F227 / MAX(1, 'ProductSprint Backlog'!$J227-'ProductSprint Backlog'!$I227), AND('ProductSprint Backlog'!$J227=G$2,'ProductSprint Backlog'!$I227=G$2), 'ProductSprint Backlog'!$F227, TRUE, 0)</f>
        <v>0</v>
      </c>
      <c r="H227" s="4" cm="1">
        <f t="array" ref="H227">_xlfn.IFS('ProductSprint Backlog'!$F227="", "", AND('ProductSprint Backlog'!$J227&gt;H$2,'ProductSprint Backlog'!$I227&lt;=H$2), 'ProductSprint Backlog'!$F227 / MAX(1, 'ProductSprint Backlog'!$J227-'ProductSprint Backlog'!$I227), AND('ProductSprint Backlog'!$J227=H$2,'ProductSprint Backlog'!$I227=H$2), 'ProductSprint Backlog'!$F227, TRUE, 0)</f>
        <v>0</v>
      </c>
      <c r="I227" s="4" cm="1">
        <f t="array" ref="I227">_xlfn.IFS('ProductSprint Backlog'!$F227="", "", AND('ProductSprint Backlog'!$J227&gt;I$2,'ProductSprint Backlog'!$I227&lt;=I$2), 'ProductSprint Backlog'!$F227 / MAX(1, 'ProductSprint Backlog'!$J227-'ProductSprint Backlog'!$I227), AND('ProductSprint Backlog'!$J227=I$2,'ProductSprint Backlog'!$I227=I$2), 'ProductSprint Backlog'!$F227, TRUE, 0)</f>
        <v>0</v>
      </c>
      <c r="J227" s="4" cm="1">
        <f t="array" ref="J227">_xlfn.IFS('ProductSprint Backlog'!$F227="", "", AND('ProductSprint Backlog'!$J227&gt;J$2,'ProductSprint Backlog'!$I227&lt;=J$2), 'ProductSprint Backlog'!$F227 / MAX(1, 'ProductSprint Backlog'!$J227-'ProductSprint Backlog'!$I227), AND('ProductSprint Backlog'!$J227=J$2,'ProductSprint Backlog'!$I227=J$2), 'ProductSprint Backlog'!$F227, TRUE, 0)</f>
        <v>0</v>
      </c>
    </row>
    <row r="228" spans="2:10" x14ac:dyDescent="0.2">
      <c r="B228" s="4" cm="1">
        <f t="array" ref="B228">_xlfn.IFS('ProductSprint Backlog'!$F228="", "", AND('ProductSprint Backlog'!$J228&gt;B$2,'ProductSprint Backlog'!$I228&lt;=B$2), 'ProductSprint Backlog'!$F228 / MAX(1, 'ProductSprint Backlog'!$J228-'ProductSprint Backlog'!$I228), AND('ProductSprint Backlog'!$J228=B$2,'ProductSprint Backlog'!$I228=B$2), 'ProductSprint Backlog'!$F228, TRUE, 0)</f>
        <v>0</v>
      </c>
      <c r="C228" s="4" cm="1">
        <f t="array" ref="C228">_xlfn.IFS('ProductSprint Backlog'!$F228="", "", AND('ProductSprint Backlog'!$J228&gt;C$2,'ProductSprint Backlog'!$I228&lt;=C$2), 'ProductSprint Backlog'!$F228 / MAX(1, 'ProductSprint Backlog'!$J228-'ProductSprint Backlog'!$I228), AND('ProductSprint Backlog'!$J228=C$2,'ProductSprint Backlog'!$I228=C$2), 'ProductSprint Backlog'!$F228, TRUE, 0)</f>
        <v>0</v>
      </c>
      <c r="D228" s="4" cm="1">
        <f t="array" ref="D228">_xlfn.IFS('ProductSprint Backlog'!$F228="", "", AND('ProductSprint Backlog'!$J228&gt;D$2,'ProductSprint Backlog'!$I228&lt;=D$2), 'ProductSprint Backlog'!$F228 / MAX(1, 'ProductSprint Backlog'!$J228-'ProductSprint Backlog'!$I228), AND('ProductSprint Backlog'!$J228=D$2,'ProductSprint Backlog'!$I228=D$2), 'ProductSprint Backlog'!$F228, TRUE, 0)</f>
        <v>0</v>
      </c>
      <c r="E228" s="4" cm="1">
        <f t="array" ref="E228">_xlfn.IFS('ProductSprint Backlog'!$F228="", "", AND('ProductSprint Backlog'!$J228&gt;E$2,'ProductSprint Backlog'!$I228&lt;=E$2), 'ProductSprint Backlog'!$F228 / MAX(1, 'ProductSprint Backlog'!$J228-'ProductSprint Backlog'!$I228), AND('ProductSprint Backlog'!$J228=E$2,'ProductSprint Backlog'!$I228=E$2), 'ProductSprint Backlog'!$F228, TRUE, 0)</f>
        <v>0</v>
      </c>
      <c r="F228" s="4" cm="1">
        <f t="array" ref="F228">_xlfn.IFS('ProductSprint Backlog'!$F228="", "", AND('ProductSprint Backlog'!$J228&gt;F$2,'ProductSprint Backlog'!$I228&lt;=F$2), 'ProductSprint Backlog'!$F228 / MAX(1, 'ProductSprint Backlog'!$J228-'ProductSprint Backlog'!$I228), AND('ProductSprint Backlog'!$J228=F$2,'ProductSprint Backlog'!$I228=F$2), 'ProductSprint Backlog'!$F228, TRUE, 0)</f>
        <v>0</v>
      </c>
      <c r="G228" s="4" cm="1">
        <f t="array" ref="G228">_xlfn.IFS('ProductSprint Backlog'!$F228="", "", AND('ProductSprint Backlog'!$J228&gt;G$2,'ProductSprint Backlog'!$I228&lt;=G$2), 'ProductSprint Backlog'!$F228 / MAX(1, 'ProductSprint Backlog'!$J228-'ProductSprint Backlog'!$I228), AND('ProductSprint Backlog'!$J228=G$2,'ProductSprint Backlog'!$I228=G$2), 'ProductSprint Backlog'!$F228, TRUE, 0)</f>
        <v>0</v>
      </c>
      <c r="H228" s="4" cm="1">
        <f t="array" ref="H228">_xlfn.IFS('ProductSprint Backlog'!$F228="", "", AND('ProductSprint Backlog'!$J228&gt;H$2,'ProductSprint Backlog'!$I228&lt;=H$2), 'ProductSprint Backlog'!$F228 / MAX(1, 'ProductSprint Backlog'!$J228-'ProductSprint Backlog'!$I228), AND('ProductSprint Backlog'!$J228=H$2,'ProductSprint Backlog'!$I228=H$2), 'ProductSprint Backlog'!$F228, TRUE, 0)</f>
        <v>0</v>
      </c>
      <c r="I228" s="4" cm="1">
        <f t="array" ref="I228">_xlfn.IFS('ProductSprint Backlog'!$F228="", "", AND('ProductSprint Backlog'!$J228&gt;I$2,'ProductSprint Backlog'!$I228&lt;=I$2), 'ProductSprint Backlog'!$F228 / MAX(1, 'ProductSprint Backlog'!$J228-'ProductSprint Backlog'!$I228), AND('ProductSprint Backlog'!$J228=I$2,'ProductSprint Backlog'!$I228=I$2), 'ProductSprint Backlog'!$F228, TRUE, 0)</f>
        <v>0</v>
      </c>
      <c r="J228" s="4" cm="1">
        <f t="array" ref="J228">_xlfn.IFS('ProductSprint Backlog'!$F228="", "", AND('ProductSprint Backlog'!$J228&gt;J$2,'ProductSprint Backlog'!$I228&lt;=J$2), 'ProductSprint Backlog'!$F228 / MAX(1, 'ProductSprint Backlog'!$J228-'ProductSprint Backlog'!$I228), AND('ProductSprint Backlog'!$J228=J$2,'ProductSprint Backlog'!$I228=J$2), 'ProductSprint Backlog'!$F228, TRUE, 0)</f>
        <v>0</v>
      </c>
    </row>
    <row r="229" spans="2:10" x14ac:dyDescent="0.2">
      <c r="B229" s="4" cm="1">
        <f t="array" ref="B229">_xlfn.IFS('ProductSprint Backlog'!$F229="", "", AND('ProductSprint Backlog'!$J229&gt;B$2,'ProductSprint Backlog'!$I229&lt;=B$2), 'ProductSprint Backlog'!$F229 / MAX(1, 'ProductSprint Backlog'!$J229-'ProductSprint Backlog'!$I229), AND('ProductSprint Backlog'!$J229=B$2,'ProductSprint Backlog'!$I229=B$2), 'ProductSprint Backlog'!$F229, TRUE, 0)</f>
        <v>0</v>
      </c>
      <c r="C229" s="4" cm="1">
        <f t="array" ref="C229">_xlfn.IFS('ProductSprint Backlog'!$F229="", "", AND('ProductSprint Backlog'!$J229&gt;C$2,'ProductSprint Backlog'!$I229&lt;=C$2), 'ProductSprint Backlog'!$F229 / MAX(1, 'ProductSprint Backlog'!$J229-'ProductSprint Backlog'!$I229), AND('ProductSprint Backlog'!$J229=C$2,'ProductSprint Backlog'!$I229=C$2), 'ProductSprint Backlog'!$F229, TRUE, 0)</f>
        <v>0</v>
      </c>
      <c r="D229" s="4" cm="1">
        <f t="array" ref="D229">_xlfn.IFS('ProductSprint Backlog'!$F229="", "", AND('ProductSprint Backlog'!$J229&gt;D$2,'ProductSprint Backlog'!$I229&lt;=D$2), 'ProductSprint Backlog'!$F229 / MAX(1, 'ProductSprint Backlog'!$J229-'ProductSprint Backlog'!$I229), AND('ProductSprint Backlog'!$J229=D$2,'ProductSprint Backlog'!$I229=D$2), 'ProductSprint Backlog'!$F229, TRUE, 0)</f>
        <v>0</v>
      </c>
      <c r="E229" s="4" cm="1">
        <f t="array" ref="E229">_xlfn.IFS('ProductSprint Backlog'!$F229="", "", AND('ProductSprint Backlog'!$J229&gt;E$2,'ProductSprint Backlog'!$I229&lt;=E$2), 'ProductSprint Backlog'!$F229 / MAX(1, 'ProductSprint Backlog'!$J229-'ProductSprint Backlog'!$I229), AND('ProductSprint Backlog'!$J229=E$2,'ProductSprint Backlog'!$I229=E$2), 'ProductSprint Backlog'!$F229, TRUE, 0)</f>
        <v>0</v>
      </c>
      <c r="F229" s="4" cm="1">
        <f t="array" ref="F229">_xlfn.IFS('ProductSprint Backlog'!$F229="", "", AND('ProductSprint Backlog'!$J229&gt;F$2,'ProductSprint Backlog'!$I229&lt;=F$2), 'ProductSprint Backlog'!$F229 / MAX(1, 'ProductSprint Backlog'!$J229-'ProductSprint Backlog'!$I229), AND('ProductSprint Backlog'!$J229=F$2,'ProductSprint Backlog'!$I229=F$2), 'ProductSprint Backlog'!$F229, TRUE, 0)</f>
        <v>0</v>
      </c>
      <c r="G229" s="4" cm="1">
        <f t="array" ref="G229">_xlfn.IFS('ProductSprint Backlog'!$F229="", "", AND('ProductSprint Backlog'!$J229&gt;G$2,'ProductSprint Backlog'!$I229&lt;=G$2), 'ProductSprint Backlog'!$F229 / MAX(1, 'ProductSprint Backlog'!$J229-'ProductSprint Backlog'!$I229), AND('ProductSprint Backlog'!$J229=G$2,'ProductSprint Backlog'!$I229=G$2), 'ProductSprint Backlog'!$F229, TRUE, 0)</f>
        <v>0</v>
      </c>
      <c r="H229" s="4" cm="1">
        <f t="array" ref="H229">_xlfn.IFS('ProductSprint Backlog'!$F229="", "", AND('ProductSprint Backlog'!$J229&gt;H$2,'ProductSprint Backlog'!$I229&lt;=H$2), 'ProductSprint Backlog'!$F229 / MAX(1, 'ProductSprint Backlog'!$J229-'ProductSprint Backlog'!$I229), AND('ProductSprint Backlog'!$J229=H$2,'ProductSprint Backlog'!$I229=H$2), 'ProductSprint Backlog'!$F229, TRUE, 0)</f>
        <v>0</v>
      </c>
      <c r="I229" s="4" cm="1">
        <f t="array" ref="I229">_xlfn.IFS('ProductSprint Backlog'!$F229="", "", AND('ProductSprint Backlog'!$J229&gt;I$2,'ProductSprint Backlog'!$I229&lt;=I$2), 'ProductSprint Backlog'!$F229 / MAX(1, 'ProductSprint Backlog'!$J229-'ProductSprint Backlog'!$I229), AND('ProductSprint Backlog'!$J229=I$2,'ProductSprint Backlog'!$I229=I$2), 'ProductSprint Backlog'!$F229, TRUE, 0)</f>
        <v>0</v>
      </c>
      <c r="J229" s="4" cm="1">
        <f t="array" ref="J229">_xlfn.IFS('ProductSprint Backlog'!$F229="", "", AND('ProductSprint Backlog'!$J229&gt;J$2,'ProductSprint Backlog'!$I229&lt;=J$2), 'ProductSprint Backlog'!$F229 / MAX(1, 'ProductSprint Backlog'!$J229-'ProductSprint Backlog'!$I229), AND('ProductSprint Backlog'!$J229=J$2,'ProductSprint Backlog'!$I229=J$2), 'ProductSprint Backlog'!$F229, TRUE, 0)</f>
        <v>0</v>
      </c>
    </row>
    <row r="230" spans="2:10" x14ac:dyDescent="0.2">
      <c r="B230" s="4" cm="1">
        <f t="array" ref="B230">_xlfn.IFS('ProductSprint Backlog'!$F230="", "", AND('ProductSprint Backlog'!$J230&gt;B$2,'ProductSprint Backlog'!$I230&lt;=B$2), 'ProductSprint Backlog'!$F230 / MAX(1, 'ProductSprint Backlog'!$J230-'ProductSprint Backlog'!$I230), AND('ProductSprint Backlog'!$J230=B$2,'ProductSprint Backlog'!$I230=B$2), 'ProductSprint Backlog'!$F230, TRUE, 0)</f>
        <v>0</v>
      </c>
      <c r="C230" s="4" cm="1">
        <f t="array" ref="C230">_xlfn.IFS('ProductSprint Backlog'!$F230="", "", AND('ProductSprint Backlog'!$J230&gt;C$2,'ProductSprint Backlog'!$I230&lt;=C$2), 'ProductSprint Backlog'!$F230 / MAX(1, 'ProductSprint Backlog'!$J230-'ProductSprint Backlog'!$I230), AND('ProductSprint Backlog'!$J230=C$2,'ProductSprint Backlog'!$I230=C$2), 'ProductSprint Backlog'!$F230, TRUE, 0)</f>
        <v>0</v>
      </c>
      <c r="D230" s="4" cm="1">
        <f t="array" ref="D230">_xlfn.IFS('ProductSprint Backlog'!$F230="", "", AND('ProductSprint Backlog'!$J230&gt;D$2,'ProductSprint Backlog'!$I230&lt;=D$2), 'ProductSprint Backlog'!$F230 / MAX(1, 'ProductSprint Backlog'!$J230-'ProductSprint Backlog'!$I230), AND('ProductSprint Backlog'!$J230=D$2,'ProductSprint Backlog'!$I230=D$2), 'ProductSprint Backlog'!$F230, TRUE, 0)</f>
        <v>0</v>
      </c>
      <c r="E230" s="4" cm="1">
        <f t="array" ref="E230">_xlfn.IFS('ProductSprint Backlog'!$F230="", "", AND('ProductSprint Backlog'!$J230&gt;E$2,'ProductSprint Backlog'!$I230&lt;=E$2), 'ProductSprint Backlog'!$F230 / MAX(1, 'ProductSprint Backlog'!$J230-'ProductSprint Backlog'!$I230), AND('ProductSprint Backlog'!$J230=E$2,'ProductSprint Backlog'!$I230=E$2), 'ProductSprint Backlog'!$F230, TRUE, 0)</f>
        <v>0</v>
      </c>
      <c r="F230" s="4" cm="1">
        <f t="array" ref="F230">_xlfn.IFS('ProductSprint Backlog'!$F230="", "", AND('ProductSprint Backlog'!$J230&gt;F$2,'ProductSprint Backlog'!$I230&lt;=F$2), 'ProductSprint Backlog'!$F230 / MAX(1, 'ProductSprint Backlog'!$J230-'ProductSprint Backlog'!$I230), AND('ProductSprint Backlog'!$J230=F$2,'ProductSprint Backlog'!$I230=F$2), 'ProductSprint Backlog'!$F230, TRUE, 0)</f>
        <v>0</v>
      </c>
      <c r="G230" s="4" cm="1">
        <f t="array" ref="G230">_xlfn.IFS('ProductSprint Backlog'!$F230="", "", AND('ProductSprint Backlog'!$J230&gt;G$2,'ProductSprint Backlog'!$I230&lt;=G$2), 'ProductSprint Backlog'!$F230 / MAX(1, 'ProductSprint Backlog'!$J230-'ProductSprint Backlog'!$I230), AND('ProductSprint Backlog'!$J230=G$2,'ProductSprint Backlog'!$I230=G$2), 'ProductSprint Backlog'!$F230, TRUE, 0)</f>
        <v>0</v>
      </c>
      <c r="H230" s="4" cm="1">
        <f t="array" ref="H230">_xlfn.IFS('ProductSprint Backlog'!$F230="", "", AND('ProductSprint Backlog'!$J230&gt;H$2,'ProductSprint Backlog'!$I230&lt;=H$2), 'ProductSprint Backlog'!$F230 / MAX(1, 'ProductSprint Backlog'!$J230-'ProductSprint Backlog'!$I230), AND('ProductSprint Backlog'!$J230=H$2,'ProductSprint Backlog'!$I230=H$2), 'ProductSprint Backlog'!$F230, TRUE, 0)</f>
        <v>0</v>
      </c>
      <c r="I230" s="4" cm="1">
        <f t="array" ref="I230">_xlfn.IFS('ProductSprint Backlog'!$F230="", "", AND('ProductSprint Backlog'!$J230&gt;I$2,'ProductSprint Backlog'!$I230&lt;=I$2), 'ProductSprint Backlog'!$F230 / MAX(1, 'ProductSprint Backlog'!$J230-'ProductSprint Backlog'!$I230), AND('ProductSprint Backlog'!$J230=I$2,'ProductSprint Backlog'!$I230=I$2), 'ProductSprint Backlog'!$F230, TRUE, 0)</f>
        <v>0</v>
      </c>
      <c r="J230" s="4" cm="1">
        <f t="array" ref="J230">_xlfn.IFS('ProductSprint Backlog'!$F230="", "", AND('ProductSprint Backlog'!$J230&gt;J$2,'ProductSprint Backlog'!$I230&lt;=J$2), 'ProductSprint Backlog'!$F230 / MAX(1, 'ProductSprint Backlog'!$J230-'ProductSprint Backlog'!$I230), AND('ProductSprint Backlog'!$J230=J$2,'ProductSprint Backlog'!$I230=J$2), 'ProductSprint Backlog'!$F230, TRUE, 0)</f>
        <v>0</v>
      </c>
    </row>
    <row r="231" spans="2:10" x14ac:dyDescent="0.2">
      <c r="B231" s="4" cm="1">
        <f t="array" ref="B231">_xlfn.IFS('ProductSprint Backlog'!$F231="", "", AND('ProductSprint Backlog'!$J231&gt;B$2,'ProductSprint Backlog'!$I231&lt;=B$2), 'ProductSprint Backlog'!$F231 / MAX(1, 'ProductSprint Backlog'!$J231-'ProductSprint Backlog'!$I231), AND('ProductSprint Backlog'!$J231=B$2,'ProductSprint Backlog'!$I231=B$2), 'ProductSprint Backlog'!$F231, TRUE, 0)</f>
        <v>0</v>
      </c>
      <c r="C231" s="4" cm="1">
        <f t="array" ref="C231">_xlfn.IFS('ProductSprint Backlog'!$F231="", "", AND('ProductSprint Backlog'!$J231&gt;C$2,'ProductSprint Backlog'!$I231&lt;=C$2), 'ProductSprint Backlog'!$F231 / MAX(1, 'ProductSprint Backlog'!$J231-'ProductSprint Backlog'!$I231), AND('ProductSprint Backlog'!$J231=C$2,'ProductSprint Backlog'!$I231=C$2), 'ProductSprint Backlog'!$F231, TRUE, 0)</f>
        <v>0</v>
      </c>
      <c r="D231" s="4" cm="1">
        <f t="array" ref="D231">_xlfn.IFS('ProductSprint Backlog'!$F231="", "", AND('ProductSprint Backlog'!$J231&gt;D$2,'ProductSprint Backlog'!$I231&lt;=D$2), 'ProductSprint Backlog'!$F231 / MAX(1, 'ProductSprint Backlog'!$J231-'ProductSprint Backlog'!$I231), AND('ProductSprint Backlog'!$J231=D$2,'ProductSprint Backlog'!$I231=D$2), 'ProductSprint Backlog'!$F231, TRUE, 0)</f>
        <v>0</v>
      </c>
      <c r="E231" s="4" cm="1">
        <f t="array" ref="E231">_xlfn.IFS('ProductSprint Backlog'!$F231="", "", AND('ProductSprint Backlog'!$J231&gt;E$2,'ProductSprint Backlog'!$I231&lt;=E$2), 'ProductSprint Backlog'!$F231 / MAX(1, 'ProductSprint Backlog'!$J231-'ProductSprint Backlog'!$I231), AND('ProductSprint Backlog'!$J231=E$2,'ProductSprint Backlog'!$I231=E$2), 'ProductSprint Backlog'!$F231, TRUE, 0)</f>
        <v>0</v>
      </c>
      <c r="F231" s="4" cm="1">
        <f t="array" ref="F231">_xlfn.IFS('ProductSprint Backlog'!$F231="", "", AND('ProductSprint Backlog'!$J231&gt;F$2,'ProductSprint Backlog'!$I231&lt;=F$2), 'ProductSprint Backlog'!$F231 / MAX(1, 'ProductSprint Backlog'!$J231-'ProductSprint Backlog'!$I231), AND('ProductSprint Backlog'!$J231=F$2,'ProductSprint Backlog'!$I231=F$2), 'ProductSprint Backlog'!$F231, TRUE, 0)</f>
        <v>0</v>
      </c>
      <c r="G231" s="4" cm="1">
        <f t="array" ref="G231">_xlfn.IFS('ProductSprint Backlog'!$F231="", "", AND('ProductSprint Backlog'!$J231&gt;G$2,'ProductSprint Backlog'!$I231&lt;=G$2), 'ProductSprint Backlog'!$F231 / MAX(1, 'ProductSprint Backlog'!$J231-'ProductSprint Backlog'!$I231), AND('ProductSprint Backlog'!$J231=G$2,'ProductSprint Backlog'!$I231=G$2), 'ProductSprint Backlog'!$F231, TRUE, 0)</f>
        <v>0</v>
      </c>
      <c r="H231" s="4" cm="1">
        <f t="array" ref="H231">_xlfn.IFS('ProductSprint Backlog'!$F231="", "", AND('ProductSprint Backlog'!$J231&gt;H$2,'ProductSprint Backlog'!$I231&lt;=H$2), 'ProductSprint Backlog'!$F231 / MAX(1, 'ProductSprint Backlog'!$J231-'ProductSprint Backlog'!$I231), AND('ProductSprint Backlog'!$J231=H$2,'ProductSprint Backlog'!$I231=H$2), 'ProductSprint Backlog'!$F231, TRUE, 0)</f>
        <v>0</v>
      </c>
      <c r="I231" s="4" cm="1">
        <f t="array" ref="I231">_xlfn.IFS('ProductSprint Backlog'!$F231="", "", AND('ProductSprint Backlog'!$J231&gt;I$2,'ProductSprint Backlog'!$I231&lt;=I$2), 'ProductSprint Backlog'!$F231 / MAX(1, 'ProductSprint Backlog'!$J231-'ProductSprint Backlog'!$I231), AND('ProductSprint Backlog'!$J231=I$2,'ProductSprint Backlog'!$I231=I$2), 'ProductSprint Backlog'!$F231, TRUE, 0)</f>
        <v>0</v>
      </c>
      <c r="J231" s="4" cm="1">
        <f t="array" ref="J231">_xlfn.IFS('ProductSprint Backlog'!$F231="", "", AND('ProductSprint Backlog'!$J231&gt;J$2,'ProductSprint Backlog'!$I231&lt;=J$2), 'ProductSprint Backlog'!$F231 / MAX(1, 'ProductSprint Backlog'!$J231-'ProductSprint Backlog'!$I231), AND('ProductSprint Backlog'!$J231=J$2,'ProductSprint Backlog'!$I231=J$2), 'ProductSprint Backlog'!$F231, TRUE, 0)</f>
        <v>0</v>
      </c>
    </row>
    <row r="232" spans="2:10" x14ac:dyDescent="0.2">
      <c r="B232" s="4" cm="1">
        <f t="array" ref="B232">_xlfn.IFS('ProductSprint Backlog'!$F232="", "", AND('ProductSprint Backlog'!$J232&gt;B$2,'ProductSprint Backlog'!$I232&lt;=B$2), 'ProductSprint Backlog'!$F232 / MAX(1, 'ProductSprint Backlog'!$J232-'ProductSprint Backlog'!$I232), AND('ProductSprint Backlog'!$J232=B$2,'ProductSprint Backlog'!$I232=B$2), 'ProductSprint Backlog'!$F232, TRUE, 0)</f>
        <v>0</v>
      </c>
      <c r="C232" s="4" cm="1">
        <f t="array" ref="C232">_xlfn.IFS('ProductSprint Backlog'!$F232="", "", AND('ProductSprint Backlog'!$J232&gt;C$2,'ProductSprint Backlog'!$I232&lt;=C$2), 'ProductSprint Backlog'!$F232 / MAX(1, 'ProductSprint Backlog'!$J232-'ProductSprint Backlog'!$I232), AND('ProductSprint Backlog'!$J232=C$2,'ProductSprint Backlog'!$I232=C$2), 'ProductSprint Backlog'!$F232, TRUE, 0)</f>
        <v>0</v>
      </c>
      <c r="D232" s="4" cm="1">
        <f t="array" ref="D232">_xlfn.IFS('ProductSprint Backlog'!$F232="", "", AND('ProductSprint Backlog'!$J232&gt;D$2,'ProductSprint Backlog'!$I232&lt;=D$2), 'ProductSprint Backlog'!$F232 / MAX(1, 'ProductSprint Backlog'!$J232-'ProductSprint Backlog'!$I232), AND('ProductSprint Backlog'!$J232=D$2,'ProductSprint Backlog'!$I232=D$2), 'ProductSprint Backlog'!$F232, TRUE, 0)</f>
        <v>0</v>
      </c>
      <c r="E232" s="4" cm="1">
        <f t="array" ref="E232">_xlfn.IFS('ProductSprint Backlog'!$F232="", "", AND('ProductSprint Backlog'!$J232&gt;E$2,'ProductSprint Backlog'!$I232&lt;=E$2), 'ProductSprint Backlog'!$F232 / MAX(1, 'ProductSprint Backlog'!$J232-'ProductSprint Backlog'!$I232), AND('ProductSprint Backlog'!$J232=E$2,'ProductSprint Backlog'!$I232=E$2), 'ProductSprint Backlog'!$F232, TRUE, 0)</f>
        <v>0</v>
      </c>
      <c r="F232" s="4" cm="1">
        <f t="array" ref="F232">_xlfn.IFS('ProductSprint Backlog'!$F232="", "", AND('ProductSprint Backlog'!$J232&gt;F$2,'ProductSprint Backlog'!$I232&lt;=F$2), 'ProductSprint Backlog'!$F232 / MAX(1, 'ProductSprint Backlog'!$J232-'ProductSprint Backlog'!$I232), AND('ProductSprint Backlog'!$J232=F$2,'ProductSprint Backlog'!$I232=F$2), 'ProductSprint Backlog'!$F232, TRUE, 0)</f>
        <v>0</v>
      </c>
      <c r="G232" s="4" cm="1">
        <f t="array" ref="G232">_xlfn.IFS('ProductSprint Backlog'!$F232="", "", AND('ProductSprint Backlog'!$J232&gt;G$2,'ProductSprint Backlog'!$I232&lt;=G$2), 'ProductSprint Backlog'!$F232 / MAX(1, 'ProductSprint Backlog'!$J232-'ProductSprint Backlog'!$I232), AND('ProductSprint Backlog'!$J232=G$2,'ProductSprint Backlog'!$I232=G$2), 'ProductSprint Backlog'!$F232, TRUE, 0)</f>
        <v>0</v>
      </c>
      <c r="H232" s="4" cm="1">
        <f t="array" ref="H232">_xlfn.IFS('ProductSprint Backlog'!$F232="", "", AND('ProductSprint Backlog'!$J232&gt;H$2,'ProductSprint Backlog'!$I232&lt;=H$2), 'ProductSprint Backlog'!$F232 / MAX(1, 'ProductSprint Backlog'!$J232-'ProductSprint Backlog'!$I232), AND('ProductSprint Backlog'!$J232=H$2,'ProductSprint Backlog'!$I232=H$2), 'ProductSprint Backlog'!$F232, TRUE, 0)</f>
        <v>0</v>
      </c>
      <c r="I232" s="4" cm="1">
        <f t="array" ref="I232">_xlfn.IFS('ProductSprint Backlog'!$F232="", "", AND('ProductSprint Backlog'!$J232&gt;I$2,'ProductSprint Backlog'!$I232&lt;=I$2), 'ProductSprint Backlog'!$F232 / MAX(1, 'ProductSprint Backlog'!$J232-'ProductSprint Backlog'!$I232), AND('ProductSprint Backlog'!$J232=I$2,'ProductSprint Backlog'!$I232=I$2), 'ProductSprint Backlog'!$F232, TRUE, 0)</f>
        <v>0</v>
      </c>
      <c r="J232" s="4" cm="1">
        <f t="array" ref="J232">_xlfn.IFS('ProductSprint Backlog'!$F232="", "", AND('ProductSprint Backlog'!$J232&gt;J$2,'ProductSprint Backlog'!$I232&lt;=J$2), 'ProductSprint Backlog'!$F232 / MAX(1, 'ProductSprint Backlog'!$J232-'ProductSprint Backlog'!$I232), AND('ProductSprint Backlog'!$J232=J$2,'ProductSprint Backlog'!$I232=J$2), 'ProductSprint Backlog'!$F232, TRUE, 0)</f>
        <v>0</v>
      </c>
    </row>
    <row r="233" spans="2:10" x14ac:dyDescent="0.2">
      <c r="B233" s="4" cm="1">
        <f t="array" ref="B233">_xlfn.IFS('ProductSprint Backlog'!$F233="", "", AND('ProductSprint Backlog'!$J233&gt;B$2,'ProductSprint Backlog'!$I233&lt;=B$2), 'ProductSprint Backlog'!$F233 / MAX(1, 'ProductSprint Backlog'!$J233-'ProductSprint Backlog'!$I233), AND('ProductSprint Backlog'!$J233=B$2,'ProductSprint Backlog'!$I233=B$2), 'ProductSprint Backlog'!$F233, TRUE, 0)</f>
        <v>0</v>
      </c>
      <c r="C233" s="4" cm="1">
        <f t="array" ref="C233">_xlfn.IFS('ProductSprint Backlog'!$F233="", "", AND('ProductSprint Backlog'!$J233&gt;C$2,'ProductSprint Backlog'!$I233&lt;=C$2), 'ProductSprint Backlog'!$F233 / MAX(1, 'ProductSprint Backlog'!$J233-'ProductSprint Backlog'!$I233), AND('ProductSprint Backlog'!$J233=C$2,'ProductSprint Backlog'!$I233=C$2), 'ProductSprint Backlog'!$F233, TRUE, 0)</f>
        <v>0</v>
      </c>
      <c r="D233" s="4" cm="1">
        <f t="array" ref="D233">_xlfn.IFS('ProductSprint Backlog'!$F233="", "", AND('ProductSprint Backlog'!$J233&gt;D$2,'ProductSprint Backlog'!$I233&lt;=D$2), 'ProductSprint Backlog'!$F233 / MAX(1, 'ProductSprint Backlog'!$J233-'ProductSprint Backlog'!$I233), AND('ProductSprint Backlog'!$J233=D$2,'ProductSprint Backlog'!$I233=D$2), 'ProductSprint Backlog'!$F233, TRUE, 0)</f>
        <v>0</v>
      </c>
      <c r="E233" s="4" cm="1">
        <f t="array" ref="E233">_xlfn.IFS('ProductSprint Backlog'!$F233="", "", AND('ProductSprint Backlog'!$J233&gt;E$2,'ProductSprint Backlog'!$I233&lt;=E$2), 'ProductSprint Backlog'!$F233 / MAX(1, 'ProductSprint Backlog'!$J233-'ProductSprint Backlog'!$I233), AND('ProductSprint Backlog'!$J233=E$2,'ProductSprint Backlog'!$I233=E$2), 'ProductSprint Backlog'!$F233, TRUE, 0)</f>
        <v>0</v>
      </c>
      <c r="F233" s="4" cm="1">
        <f t="array" ref="F233">_xlfn.IFS('ProductSprint Backlog'!$F233="", "", AND('ProductSprint Backlog'!$J233&gt;F$2,'ProductSprint Backlog'!$I233&lt;=F$2), 'ProductSprint Backlog'!$F233 / MAX(1, 'ProductSprint Backlog'!$J233-'ProductSprint Backlog'!$I233), AND('ProductSprint Backlog'!$J233=F$2,'ProductSprint Backlog'!$I233=F$2), 'ProductSprint Backlog'!$F233, TRUE, 0)</f>
        <v>0</v>
      </c>
      <c r="G233" s="4" cm="1">
        <f t="array" ref="G233">_xlfn.IFS('ProductSprint Backlog'!$F233="", "", AND('ProductSprint Backlog'!$J233&gt;G$2,'ProductSprint Backlog'!$I233&lt;=G$2), 'ProductSprint Backlog'!$F233 / MAX(1, 'ProductSprint Backlog'!$J233-'ProductSprint Backlog'!$I233), AND('ProductSprint Backlog'!$J233=G$2,'ProductSprint Backlog'!$I233=G$2), 'ProductSprint Backlog'!$F233, TRUE, 0)</f>
        <v>0</v>
      </c>
      <c r="H233" s="4" cm="1">
        <f t="array" ref="H233">_xlfn.IFS('ProductSprint Backlog'!$F233="", "", AND('ProductSprint Backlog'!$J233&gt;H$2,'ProductSprint Backlog'!$I233&lt;=H$2), 'ProductSprint Backlog'!$F233 / MAX(1, 'ProductSprint Backlog'!$J233-'ProductSprint Backlog'!$I233), AND('ProductSprint Backlog'!$J233=H$2,'ProductSprint Backlog'!$I233=H$2), 'ProductSprint Backlog'!$F233, TRUE, 0)</f>
        <v>0</v>
      </c>
      <c r="I233" s="4" cm="1">
        <f t="array" ref="I233">_xlfn.IFS('ProductSprint Backlog'!$F233="", "", AND('ProductSprint Backlog'!$J233&gt;I$2,'ProductSprint Backlog'!$I233&lt;=I$2), 'ProductSprint Backlog'!$F233 / MAX(1, 'ProductSprint Backlog'!$J233-'ProductSprint Backlog'!$I233), AND('ProductSprint Backlog'!$J233=I$2,'ProductSprint Backlog'!$I233=I$2), 'ProductSprint Backlog'!$F233, TRUE, 0)</f>
        <v>0</v>
      </c>
      <c r="J233" s="4" cm="1">
        <f t="array" ref="J233">_xlfn.IFS('ProductSprint Backlog'!$F233="", "", AND('ProductSprint Backlog'!$J233&gt;J$2,'ProductSprint Backlog'!$I233&lt;=J$2), 'ProductSprint Backlog'!$F233 / MAX(1, 'ProductSprint Backlog'!$J233-'ProductSprint Backlog'!$I233), AND('ProductSprint Backlog'!$J233=J$2,'ProductSprint Backlog'!$I233=J$2), 'ProductSprint Backlog'!$F233, TRUE, 0)</f>
        <v>0</v>
      </c>
    </row>
    <row r="234" spans="2:10" x14ac:dyDescent="0.2">
      <c r="B234" s="4" cm="1">
        <f t="array" ref="B234">_xlfn.IFS('ProductSprint Backlog'!$F234="", "", AND('ProductSprint Backlog'!$J234&gt;B$2,'ProductSprint Backlog'!$I234&lt;=B$2), 'ProductSprint Backlog'!$F234 / MAX(1, 'ProductSprint Backlog'!$J234-'ProductSprint Backlog'!$I234), AND('ProductSprint Backlog'!$J234=B$2,'ProductSprint Backlog'!$I234=B$2), 'ProductSprint Backlog'!$F234, TRUE, 0)</f>
        <v>0</v>
      </c>
      <c r="C234" s="4" cm="1">
        <f t="array" ref="C234">_xlfn.IFS('ProductSprint Backlog'!$F234="", "", AND('ProductSprint Backlog'!$J234&gt;C$2,'ProductSprint Backlog'!$I234&lt;=C$2), 'ProductSprint Backlog'!$F234 / MAX(1, 'ProductSprint Backlog'!$J234-'ProductSprint Backlog'!$I234), AND('ProductSprint Backlog'!$J234=C$2,'ProductSprint Backlog'!$I234=C$2), 'ProductSprint Backlog'!$F234, TRUE, 0)</f>
        <v>0</v>
      </c>
      <c r="D234" s="4" cm="1">
        <f t="array" ref="D234">_xlfn.IFS('ProductSprint Backlog'!$F234="", "", AND('ProductSprint Backlog'!$J234&gt;D$2,'ProductSprint Backlog'!$I234&lt;=D$2), 'ProductSprint Backlog'!$F234 / MAX(1, 'ProductSprint Backlog'!$J234-'ProductSprint Backlog'!$I234), AND('ProductSprint Backlog'!$J234=D$2,'ProductSprint Backlog'!$I234=D$2), 'ProductSprint Backlog'!$F234, TRUE, 0)</f>
        <v>0</v>
      </c>
      <c r="E234" s="4" cm="1">
        <f t="array" ref="E234">_xlfn.IFS('ProductSprint Backlog'!$F234="", "", AND('ProductSprint Backlog'!$J234&gt;E$2,'ProductSprint Backlog'!$I234&lt;=E$2), 'ProductSprint Backlog'!$F234 / MAX(1, 'ProductSprint Backlog'!$J234-'ProductSprint Backlog'!$I234), AND('ProductSprint Backlog'!$J234=E$2,'ProductSprint Backlog'!$I234=E$2), 'ProductSprint Backlog'!$F234, TRUE, 0)</f>
        <v>0</v>
      </c>
      <c r="F234" s="4" cm="1">
        <f t="array" ref="F234">_xlfn.IFS('ProductSprint Backlog'!$F234="", "", AND('ProductSprint Backlog'!$J234&gt;F$2,'ProductSprint Backlog'!$I234&lt;=F$2), 'ProductSprint Backlog'!$F234 / MAX(1, 'ProductSprint Backlog'!$J234-'ProductSprint Backlog'!$I234), AND('ProductSprint Backlog'!$J234=F$2,'ProductSprint Backlog'!$I234=F$2), 'ProductSprint Backlog'!$F234, TRUE, 0)</f>
        <v>0</v>
      </c>
      <c r="G234" s="4" cm="1">
        <f t="array" ref="G234">_xlfn.IFS('ProductSprint Backlog'!$F234="", "", AND('ProductSprint Backlog'!$J234&gt;G$2,'ProductSprint Backlog'!$I234&lt;=G$2), 'ProductSprint Backlog'!$F234 / MAX(1, 'ProductSprint Backlog'!$J234-'ProductSprint Backlog'!$I234), AND('ProductSprint Backlog'!$J234=G$2,'ProductSprint Backlog'!$I234=G$2), 'ProductSprint Backlog'!$F234, TRUE, 0)</f>
        <v>0</v>
      </c>
      <c r="H234" s="4" cm="1">
        <f t="array" ref="H234">_xlfn.IFS('ProductSprint Backlog'!$F234="", "", AND('ProductSprint Backlog'!$J234&gt;H$2,'ProductSprint Backlog'!$I234&lt;=H$2), 'ProductSprint Backlog'!$F234 / MAX(1, 'ProductSprint Backlog'!$J234-'ProductSprint Backlog'!$I234), AND('ProductSprint Backlog'!$J234=H$2,'ProductSprint Backlog'!$I234=H$2), 'ProductSprint Backlog'!$F234, TRUE, 0)</f>
        <v>0</v>
      </c>
      <c r="I234" s="4" cm="1">
        <f t="array" ref="I234">_xlfn.IFS('ProductSprint Backlog'!$F234="", "", AND('ProductSprint Backlog'!$J234&gt;I$2,'ProductSprint Backlog'!$I234&lt;=I$2), 'ProductSprint Backlog'!$F234 / MAX(1, 'ProductSprint Backlog'!$J234-'ProductSprint Backlog'!$I234), AND('ProductSprint Backlog'!$J234=I$2,'ProductSprint Backlog'!$I234=I$2), 'ProductSprint Backlog'!$F234, TRUE, 0)</f>
        <v>0</v>
      </c>
      <c r="J234" s="4" cm="1">
        <f t="array" ref="J234">_xlfn.IFS('ProductSprint Backlog'!$F234="", "", AND('ProductSprint Backlog'!$J234&gt;J$2,'ProductSprint Backlog'!$I234&lt;=J$2), 'ProductSprint Backlog'!$F234 / MAX(1, 'ProductSprint Backlog'!$J234-'ProductSprint Backlog'!$I234), AND('ProductSprint Backlog'!$J234=J$2,'ProductSprint Backlog'!$I234=J$2), 'ProductSprint Backlog'!$F234, TRUE, 0)</f>
        <v>0</v>
      </c>
    </row>
    <row r="235" spans="2:10" x14ac:dyDescent="0.2">
      <c r="B235" s="4" cm="1">
        <f t="array" ref="B235">_xlfn.IFS('ProductSprint Backlog'!$F235="", "", AND('ProductSprint Backlog'!$J235&gt;B$2,'ProductSprint Backlog'!$I235&lt;=B$2), 'ProductSprint Backlog'!$F235 / MAX(1, 'ProductSprint Backlog'!$J235-'ProductSprint Backlog'!$I235), AND('ProductSprint Backlog'!$J235=B$2,'ProductSprint Backlog'!$I235=B$2), 'ProductSprint Backlog'!$F235, TRUE, 0)</f>
        <v>0</v>
      </c>
      <c r="C235" s="4" cm="1">
        <f t="array" ref="C235">_xlfn.IFS('ProductSprint Backlog'!$F235="", "", AND('ProductSprint Backlog'!$J235&gt;C$2,'ProductSprint Backlog'!$I235&lt;=C$2), 'ProductSprint Backlog'!$F235 / MAX(1, 'ProductSprint Backlog'!$J235-'ProductSprint Backlog'!$I235), AND('ProductSprint Backlog'!$J235=C$2,'ProductSprint Backlog'!$I235=C$2), 'ProductSprint Backlog'!$F235, TRUE, 0)</f>
        <v>0</v>
      </c>
      <c r="D235" s="4" cm="1">
        <f t="array" ref="D235">_xlfn.IFS('ProductSprint Backlog'!$F235="", "", AND('ProductSprint Backlog'!$J235&gt;D$2,'ProductSprint Backlog'!$I235&lt;=D$2), 'ProductSprint Backlog'!$F235 / MAX(1, 'ProductSprint Backlog'!$J235-'ProductSprint Backlog'!$I235), AND('ProductSprint Backlog'!$J235=D$2,'ProductSprint Backlog'!$I235=D$2), 'ProductSprint Backlog'!$F235, TRUE, 0)</f>
        <v>0</v>
      </c>
      <c r="E235" s="4" cm="1">
        <f t="array" ref="E235">_xlfn.IFS('ProductSprint Backlog'!$F235="", "", AND('ProductSprint Backlog'!$J235&gt;E$2,'ProductSprint Backlog'!$I235&lt;=E$2), 'ProductSprint Backlog'!$F235 / MAX(1, 'ProductSprint Backlog'!$J235-'ProductSprint Backlog'!$I235), AND('ProductSprint Backlog'!$J235=E$2,'ProductSprint Backlog'!$I235=E$2), 'ProductSprint Backlog'!$F235, TRUE, 0)</f>
        <v>0</v>
      </c>
      <c r="F235" s="4" cm="1">
        <f t="array" ref="F235">_xlfn.IFS('ProductSprint Backlog'!$F235="", "", AND('ProductSprint Backlog'!$J235&gt;F$2,'ProductSprint Backlog'!$I235&lt;=F$2), 'ProductSprint Backlog'!$F235 / MAX(1, 'ProductSprint Backlog'!$J235-'ProductSprint Backlog'!$I235), AND('ProductSprint Backlog'!$J235=F$2,'ProductSprint Backlog'!$I235=F$2), 'ProductSprint Backlog'!$F235, TRUE, 0)</f>
        <v>0</v>
      </c>
      <c r="G235" s="4" cm="1">
        <f t="array" ref="G235">_xlfn.IFS('ProductSprint Backlog'!$F235="", "", AND('ProductSprint Backlog'!$J235&gt;G$2,'ProductSprint Backlog'!$I235&lt;=G$2), 'ProductSprint Backlog'!$F235 / MAX(1, 'ProductSprint Backlog'!$J235-'ProductSprint Backlog'!$I235), AND('ProductSprint Backlog'!$J235=G$2,'ProductSprint Backlog'!$I235=G$2), 'ProductSprint Backlog'!$F235, TRUE, 0)</f>
        <v>0</v>
      </c>
      <c r="H235" s="4" cm="1">
        <f t="array" ref="H235">_xlfn.IFS('ProductSprint Backlog'!$F235="", "", AND('ProductSprint Backlog'!$J235&gt;H$2,'ProductSprint Backlog'!$I235&lt;=H$2), 'ProductSprint Backlog'!$F235 / MAX(1, 'ProductSprint Backlog'!$J235-'ProductSprint Backlog'!$I235), AND('ProductSprint Backlog'!$J235=H$2,'ProductSprint Backlog'!$I235=H$2), 'ProductSprint Backlog'!$F235, TRUE, 0)</f>
        <v>0</v>
      </c>
      <c r="I235" s="4" cm="1">
        <f t="array" ref="I235">_xlfn.IFS('ProductSprint Backlog'!$F235="", "", AND('ProductSprint Backlog'!$J235&gt;I$2,'ProductSprint Backlog'!$I235&lt;=I$2), 'ProductSprint Backlog'!$F235 / MAX(1, 'ProductSprint Backlog'!$J235-'ProductSprint Backlog'!$I235), AND('ProductSprint Backlog'!$J235=I$2,'ProductSprint Backlog'!$I235=I$2), 'ProductSprint Backlog'!$F235, TRUE, 0)</f>
        <v>0</v>
      </c>
      <c r="J235" s="4" cm="1">
        <f t="array" ref="J235">_xlfn.IFS('ProductSprint Backlog'!$F235="", "", AND('ProductSprint Backlog'!$J235&gt;J$2,'ProductSprint Backlog'!$I235&lt;=J$2), 'ProductSprint Backlog'!$F235 / MAX(1, 'ProductSprint Backlog'!$J235-'ProductSprint Backlog'!$I235), AND('ProductSprint Backlog'!$J235=J$2,'ProductSprint Backlog'!$I235=J$2), 'ProductSprint Backlog'!$F235, TRUE, 0)</f>
        <v>0</v>
      </c>
    </row>
    <row r="236" spans="2:10" x14ac:dyDescent="0.2">
      <c r="B236" s="4" cm="1">
        <f t="array" ref="B236">_xlfn.IFS('ProductSprint Backlog'!$F236="", "", AND('ProductSprint Backlog'!$J236&gt;B$2,'ProductSprint Backlog'!$I236&lt;=B$2), 'ProductSprint Backlog'!$F236 / MAX(1, 'ProductSprint Backlog'!$J236-'ProductSprint Backlog'!$I236), AND('ProductSprint Backlog'!$J236=B$2,'ProductSprint Backlog'!$I236=B$2), 'ProductSprint Backlog'!$F236, TRUE, 0)</f>
        <v>0</v>
      </c>
      <c r="C236" s="4" cm="1">
        <f t="array" ref="C236">_xlfn.IFS('ProductSprint Backlog'!$F236="", "", AND('ProductSprint Backlog'!$J236&gt;C$2,'ProductSprint Backlog'!$I236&lt;=C$2), 'ProductSprint Backlog'!$F236 / MAX(1, 'ProductSprint Backlog'!$J236-'ProductSprint Backlog'!$I236), AND('ProductSprint Backlog'!$J236=C$2,'ProductSprint Backlog'!$I236=C$2), 'ProductSprint Backlog'!$F236, TRUE, 0)</f>
        <v>0</v>
      </c>
      <c r="D236" s="4" cm="1">
        <f t="array" ref="D236">_xlfn.IFS('ProductSprint Backlog'!$F236="", "", AND('ProductSprint Backlog'!$J236&gt;D$2,'ProductSprint Backlog'!$I236&lt;=D$2), 'ProductSprint Backlog'!$F236 / MAX(1, 'ProductSprint Backlog'!$J236-'ProductSprint Backlog'!$I236), AND('ProductSprint Backlog'!$J236=D$2,'ProductSprint Backlog'!$I236=D$2), 'ProductSprint Backlog'!$F236, TRUE, 0)</f>
        <v>0</v>
      </c>
      <c r="E236" s="4" cm="1">
        <f t="array" ref="E236">_xlfn.IFS('ProductSprint Backlog'!$F236="", "", AND('ProductSprint Backlog'!$J236&gt;E$2,'ProductSprint Backlog'!$I236&lt;=E$2), 'ProductSprint Backlog'!$F236 / MAX(1, 'ProductSprint Backlog'!$J236-'ProductSprint Backlog'!$I236), AND('ProductSprint Backlog'!$J236=E$2,'ProductSprint Backlog'!$I236=E$2), 'ProductSprint Backlog'!$F236, TRUE, 0)</f>
        <v>0</v>
      </c>
      <c r="F236" s="4" cm="1">
        <f t="array" ref="F236">_xlfn.IFS('ProductSprint Backlog'!$F236="", "", AND('ProductSprint Backlog'!$J236&gt;F$2,'ProductSprint Backlog'!$I236&lt;=F$2), 'ProductSprint Backlog'!$F236 / MAX(1, 'ProductSprint Backlog'!$J236-'ProductSprint Backlog'!$I236), AND('ProductSprint Backlog'!$J236=F$2,'ProductSprint Backlog'!$I236=F$2), 'ProductSprint Backlog'!$F236, TRUE, 0)</f>
        <v>0</v>
      </c>
      <c r="G236" s="4" cm="1">
        <f t="array" ref="G236">_xlfn.IFS('ProductSprint Backlog'!$F236="", "", AND('ProductSprint Backlog'!$J236&gt;G$2,'ProductSprint Backlog'!$I236&lt;=G$2), 'ProductSprint Backlog'!$F236 / MAX(1, 'ProductSprint Backlog'!$J236-'ProductSprint Backlog'!$I236), AND('ProductSprint Backlog'!$J236=G$2,'ProductSprint Backlog'!$I236=G$2), 'ProductSprint Backlog'!$F236, TRUE, 0)</f>
        <v>0</v>
      </c>
      <c r="H236" s="4" cm="1">
        <f t="array" ref="H236">_xlfn.IFS('ProductSprint Backlog'!$F236="", "", AND('ProductSprint Backlog'!$J236&gt;H$2,'ProductSprint Backlog'!$I236&lt;=H$2), 'ProductSprint Backlog'!$F236 / MAX(1, 'ProductSprint Backlog'!$J236-'ProductSprint Backlog'!$I236), AND('ProductSprint Backlog'!$J236=H$2,'ProductSprint Backlog'!$I236=H$2), 'ProductSprint Backlog'!$F236, TRUE, 0)</f>
        <v>0</v>
      </c>
      <c r="I236" s="4" cm="1">
        <f t="array" ref="I236">_xlfn.IFS('ProductSprint Backlog'!$F236="", "", AND('ProductSprint Backlog'!$J236&gt;I$2,'ProductSprint Backlog'!$I236&lt;=I$2), 'ProductSprint Backlog'!$F236 / MAX(1, 'ProductSprint Backlog'!$J236-'ProductSprint Backlog'!$I236), AND('ProductSprint Backlog'!$J236=I$2,'ProductSprint Backlog'!$I236=I$2), 'ProductSprint Backlog'!$F236, TRUE, 0)</f>
        <v>0</v>
      </c>
      <c r="J236" s="4" cm="1">
        <f t="array" ref="J236">_xlfn.IFS('ProductSprint Backlog'!$F236="", "", AND('ProductSprint Backlog'!$J236&gt;J$2,'ProductSprint Backlog'!$I236&lt;=J$2), 'ProductSprint Backlog'!$F236 / MAX(1, 'ProductSprint Backlog'!$J236-'ProductSprint Backlog'!$I236), AND('ProductSprint Backlog'!$J236=J$2,'ProductSprint Backlog'!$I236=J$2), 'ProductSprint Backlog'!$F236, TRUE, 0)</f>
        <v>0</v>
      </c>
    </row>
    <row r="237" spans="2:10" x14ac:dyDescent="0.2">
      <c r="B237" s="4" cm="1">
        <f t="array" ref="B237">_xlfn.IFS('ProductSprint Backlog'!$F237="", "", AND('ProductSprint Backlog'!$J237&gt;B$2,'ProductSprint Backlog'!$I237&lt;=B$2), 'ProductSprint Backlog'!$F237 / MAX(1, 'ProductSprint Backlog'!$J237-'ProductSprint Backlog'!$I237), AND('ProductSprint Backlog'!$J237=B$2,'ProductSprint Backlog'!$I237=B$2), 'ProductSprint Backlog'!$F237, TRUE, 0)</f>
        <v>0</v>
      </c>
      <c r="C237" s="4" cm="1">
        <f t="array" ref="C237">_xlfn.IFS('ProductSprint Backlog'!$F237="", "", AND('ProductSprint Backlog'!$J237&gt;C$2,'ProductSprint Backlog'!$I237&lt;=C$2), 'ProductSprint Backlog'!$F237 / MAX(1, 'ProductSprint Backlog'!$J237-'ProductSprint Backlog'!$I237), AND('ProductSprint Backlog'!$J237=C$2,'ProductSprint Backlog'!$I237=C$2), 'ProductSprint Backlog'!$F237, TRUE, 0)</f>
        <v>0</v>
      </c>
      <c r="D237" s="4" cm="1">
        <f t="array" ref="D237">_xlfn.IFS('ProductSprint Backlog'!$F237="", "", AND('ProductSprint Backlog'!$J237&gt;D$2,'ProductSprint Backlog'!$I237&lt;=D$2), 'ProductSprint Backlog'!$F237 / MAX(1, 'ProductSprint Backlog'!$J237-'ProductSprint Backlog'!$I237), AND('ProductSprint Backlog'!$J237=D$2,'ProductSprint Backlog'!$I237=D$2), 'ProductSprint Backlog'!$F237, TRUE, 0)</f>
        <v>0</v>
      </c>
      <c r="E237" s="4" cm="1">
        <f t="array" ref="E237">_xlfn.IFS('ProductSprint Backlog'!$F237="", "", AND('ProductSprint Backlog'!$J237&gt;E$2,'ProductSprint Backlog'!$I237&lt;=E$2), 'ProductSprint Backlog'!$F237 / MAX(1, 'ProductSprint Backlog'!$J237-'ProductSprint Backlog'!$I237), AND('ProductSprint Backlog'!$J237=E$2,'ProductSprint Backlog'!$I237=E$2), 'ProductSprint Backlog'!$F237, TRUE, 0)</f>
        <v>0</v>
      </c>
      <c r="F237" s="4" cm="1">
        <f t="array" ref="F237">_xlfn.IFS('ProductSprint Backlog'!$F237="", "", AND('ProductSprint Backlog'!$J237&gt;F$2,'ProductSprint Backlog'!$I237&lt;=F$2), 'ProductSprint Backlog'!$F237 / MAX(1, 'ProductSprint Backlog'!$J237-'ProductSprint Backlog'!$I237), AND('ProductSprint Backlog'!$J237=F$2,'ProductSprint Backlog'!$I237=F$2), 'ProductSprint Backlog'!$F237, TRUE, 0)</f>
        <v>0</v>
      </c>
      <c r="G237" s="4" cm="1">
        <f t="array" ref="G237">_xlfn.IFS('ProductSprint Backlog'!$F237="", "", AND('ProductSprint Backlog'!$J237&gt;G$2,'ProductSprint Backlog'!$I237&lt;=G$2), 'ProductSprint Backlog'!$F237 / MAX(1, 'ProductSprint Backlog'!$J237-'ProductSprint Backlog'!$I237), AND('ProductSprint Backlog'!$J237=G$2,'ProductSprint Backlog'!$I237=G$2), 'ProductSprint Backlog'!$F237, TRUE, 0)</f>
        <v>0</v>
      </c>
      <c r="H237" s="4" cm="1">
        <f t="array" ref="H237">_xlfn.IFS('ProductSprint Backlog'!$F237="", "", AND('ProductSprint Backlog'!$J237&gt;H$2,'ProductSprint Backlog'!$I237&lt;=H$2), 'ProductSprint Backlog'!$F237 / MAX(1, 'ProductSprint Backlog'!$J237-'ProductSprint Backlog'!$I237), AND('ProductSprint Backlog'!$J237=H$2,'ProductSprint Backlog'!$I237=H$2), 'ProductSprint Backlog'!$F237, TRUE, 0)</f>
        <v>0</v>
      </c>
      <c r="I237" s="4" cm="1">
        <f t="array" ref="I237">_xlfn.IFS('ProductSprint Backlog'!$F237="", "", AND('ProductSprint Backlog'!$J237&gt;I$2,'ProductSprint Backlog'!$I237&lt;=I$2), 'ProductSprint Backlog'!$F237 / MAX(1, 'ProductSprint Backlog'!$J237-'ProductSprint Backlog'!$I237), AND('ProductSprint Backlog'!$J237=I$2,'ProductSprint Backlog'!$I237=I$2), 'ProductSprint Backlog'!$F237, TRUE, 0)</f>
        <v>0</v>
      </c>
      <c r="J237" s="4" cm="1">
        <f t="array" ref="J237">_xlfn.IFS('ProductSprint Backlog'!$F237="", "", AND('ProductSprint Backlog'!$J237&gt;J$2,'ProductSprint Backlog'!$I237&lt;=J$2), 'ProductSprint Backlog'!$F237 / MAX(1, 'ProductSprint Backlog'!$J237-'ProductSprint Backlog'!$I237), AND('ProductSprint Backlog'!$J237=J$2,'ProductSprint Backlog'!$I237=J$2), 'ProductSprint Backlog'!$F237, TRUE, 0)</f>
        <v>0</v>
      </c>
    </row>
    <row r="238" spans="2:10" x14ac:dyDescent="0.2">
      <c r="B238" s="4" cm="1">
        <f t="array" ref="B238">_xlfn.IFS('ProductSprint Backlog'!$F238="", "", AND('ProductSprint Backlog'!$J238&gt;B$2,'ProductSprint Backlog'!$I238&lt;=B$2), 'ProductSprint Backlog'!$F238 / MAX(1, 'ProductSprint Backlog'!$J238-'ProductSprint Backlog'!$I238), AND('ProductSprint Backlog'!$J238=B$2,'ProductSprint Backlog'!$I238=B$2), 'ProductSprint Backlog'!$F238, TRUE, 0)</f>
        <v>0</v>
      </c>
      <c r="C238" s="4" cm="1">
        <f t="array" ref="C238">_xlfn.IFS('ProductSprint Backlog'!$F238="", "", AND('ProductSprint Backlog'!$J238&gt;C$2,'ProductSprint Backlog'!$I238&lt;=C$2), 'ProductSprint Backlog'!$F238 / MAX(1, 'ProductSprint Backlog'!$J238-'ProductSprint Backlog'!$I238), AND('ProductSprint Backlog'!$J238=C$2,'ProductSprint Backlog'!$I238=C$2), 'ProductSprint Backlog'!$F238, TRUE, 0)</f>
        <v>0</v>
      </c>
      <c r="D238" s="4" cm="1">
        <f t="array" ref="D238">_xlfn.IFS('ProductSprint Backlog'!$F238="", "", AND('ProductSprint Backlog'!$J238&gt;D$2,'ProductSprint Backlog'!$I238&lt;=D$2), 'ProductSprint Backlog'!$F238 / MAX(1, 'ProductSprint Backlog'!$J238-'ProductSprint Backlog'!$I238), AND('ProductSprint Backlog'!$J238=D$2,'ProductSprint Backlog'!$I238=D$2), 'ProductSprint Backlog'!$F238, TRUE, 0)</f>
        <v>0</v>
      </c>
      <c r="E238" s="4" cm="1">
        <f t="array" ref="E238">_xlfn.IFS('ProductSprint Backlog'!$F238="", "", AND('ProductSprint Backlog'!$J238&gt;E$2,'ProductSprint Backlog'!$I238&lt;=E$2), 'ProductSprint Backlog'!$F238 / MAX(1, 'ProductSprint Backlog'!$J238-'ProductSprint Backlog'!$I238), AND('ProductSprint Backlog'!$J238=E$2,'ProductSprint Backlog'!$I238=E$2), 'ProductSprint Backlog'!$F238, TRUE, 0)</f>
        <v>0</v>
      </c>
      <c r="F238" s="4" cm="1">
        <f t="array" ref="F238">_xlfn.IFS('ProductSprint Backlog'!$F238="", "", AND('ProductSprint Backlog'!$J238&gt;F$2,'ProductSprint Backlog'!$I238&lt;=F$2), 'ProductSprint Backlog'!$F238 / MAX(1, 'ProductSprint Backlog'!$J238-'ProductSprint Backlog'!$I238), AND('ProductSprint Backlog'!$J238=F$2,'ProductSprint Backlog'!$I238=F$2), 'ProductSprint Backlog'!$F238, TRUE, 0)</f>
        <v>0</v>
      </c>
      <c r="G238" s="4" cm="1">
        <f t="array" ref="G238">_xlfn.IFS('ProductSprint Backlog'!$F238="", "", AND('ProductSprint Backlog'!$J238&gt;G$2,'ProductSprint Backlog'!$I238&lt;=G$2), 'ProductSprint Backlog'!$F238 / MAX(1, 'ProductSprint Backlog'!$J238-'ProductSprint Backlog'!$I238), AND('ProductSprint Backlog'!$J238=G$2,'ProductSprint Backlog'!$I238=G$2), 'ProductSprint Backlog'!$F238, TRUE, 0)</f>
        <v>0</v>
      </c>
      <c r="H238" s="4" cm="1">
        <f t="array" ref="H238">_xlfn.IFS('ProductSprint Backlog'!$F238="", "", AND('ProductSprint Backlog'!$J238&gt;H$2,'ProductSprint Backlog'!$I238&lt;=H$2), 'ProductSprint Backlog'!$F238 / MAX(1, 'ProductSprint Backlog'!$J238-'ProductSprint Backlog'!$I238), AND('ProductSprint Backlog'!$J238=H$2,'ProductSprint Backlog'!$I238=H$2), 'ProductSprint Backlog'!$F238, TRUE, 0)</f>
        <v>0</v>
      </c>
      <c r="I238" s="4" cm="1">
        <f t="array" ref="I238">_xlfn.IFS('ProductSprint Backlog'!$F238="", "", AND('ProductSprint Backlog'!$J238&gt;I$2,'ProductSprint Backlog'!$I238&lt;=I$2), 'ProductSprint Backlog'!$F238 / MAX(1, 'ProductSprint Backlog'!$J238-'ProductSprint Backlog'!$I238), AND('ProductSprint Backlog'!$J238=I$2,'ProductSprint Backlog'!$I238=I$2), 'ProductSprint Backlog'!$F238, TRUE, 0)</f>
        <v>0</v>
      </c>
      <c r="J238" s="4" cm="1">
        <f t="array" ref="J238">_xlfn.IFS('ProductSprint Backlog'!$F238="", "", AND('ProductSprint Backlog'!$J238&gt;J$2,'ProductSprint Backlog'!$I238&lt;=J$2), 'ProductSprint Backlog'!$F238 / MAX(1, 'ProductSprint Backlog'!$J238-'ProductSprint Backlog'!$I238), AND('ProductSprint Backlog'!$J238=J$2,'ProductSprint Backlog'!$I238=J$2), 'ProductSprint Backlog'!$F238, TRUE, 0)</f>
        <v>0</v>
      </c>
    </row>
    <row r="239" spans="2:10" x14ac:dyDescent="0.2">
      <c r="B239" s="4" t="str" cm="1">
        <f t="array" ref="B239">_xlfn.IFS('ProductSprint Backlog'!$F239="", "", AND('ProductSprint Backlog'!$J239&gt;B$2,'ProductSprint Backlog'!$I239&lt;=B$2), 'ProductSprint Backlog'!$F239 / MAX(1, 'ProductSprint Backlog'!$J239-'ProductSprint Backlog'!$I239), AND('ProductSprint Backlog'!$J239=B$2,'ProductSprint Backlog'!$I239=B$2), 'ProductSprint Backlog'!$F239, TRUE, 0)</f>
        <v/>
      </c>
      <c r="C239" s="4" t="str" cm="1">
        <f t="array" ref="C239">_xlfn.IFS('ProductSprint Backlog'!$F239="", "", AND('ProductSprint Backlog'!$J239&gt;C$2,'ProductSprint Backlog'!$I239&lt;=C$2), 'ProductSprint Backlog'!$F239 / MAX(1, 'ProductSprint Backlog'!$J239-'ProductSprint Backlog'!$I239), AND('ProductSprint Backlog'!$J239=C$2,'ProductSprint Backlog'!$I239=C$2), 'ProductSprint Backlog'!$F239, TRUE, 0)</f>
        <v/>
      </c>
      <c r="D239" s="4" t="str" cm="1">
        <f t="array" ref="D239">_xlfn.IFS('ProductSprint Backlog'!$F239="", "", AND('ProductSprint Backlog'!$J239&gt;D$2,'ProductSprint Backlog'!$I239&lt;=D$2), 'ProductSprint Backlog'!$F239 / MAX(1, 'ProductSprint Backlog'!$J239-'ProductSprint Backlog'!$I239), AND('ProductSprint Backlog'!$J239=D$2,'ProductSprint Backlog'!$I239=D$2), 'ProductSprint Backlog'!$F239, TRUE, 0)</f>
        <v/>
      </c>
      <c r="E239" s="4" t="str" cm="1">
        <f t="array" ref="E239">_xlfn.IFS('ProductSprint Backlog'!$F239="", "", AND('ProductSprint Backlog'!$J239&gt;E$2,'ProductSprint Backlog'!$I239&lt;=E$2), 'ProductSprint Backlog'!$F239 / MAX(1, 'ProductSprint Backlog'!$J239-'ProductSprint Backlog'!$I239), AND('ProductSprint Backlog'!$J239=E$2,'ProductSprint Backlog'!$I239=E$2), 'ProductSprint Backlog'!$F239, TRUE, 0)</f>
        <v/>
      </c>
      <c r="F239" s="4" t="str" cm="1">
        <f t="array" ref="F239">_xlfn.IFS('ProductSprint Backlog'!$F239="", "", AND('ProductSprint Backlog'!$J239&gt;F$2,'ProductSprint Backlog'!$I239&lt;=F$2), 'ProductSprint Backlog'!$F239 / MAX(1, 'ProductSprint Backlog'!$J239-'ProductSprint Backlog'!$I239), AND('ProductSprint Backlog'!$J239=F$2,'ProductSprint Backlog'!$I239=F$2), 'ProductSprint Backlog'!$F239, TRUE, 0)</f>
        <v/>
      </c>
      <c r="G239" s="4" t="str" cm="1">
        <f t="array" ref="G239">_xlfn.IFS('ProductSprint Backlog'!$F239="", "", AND('ProductSprint Backlog'!$J239&gt;G$2,'ProductSprint Backlog'!$I239&lt;=G$2), 'ProductSprint Backlog'!$F239 / MAX(1, 'ProductSprint Backlog'!$J239-'ProductSprint Backlog'!$I239), AND('ProductSprint Backlog'!$J239=G$2,'ProductSprint Backlog'!$I239=G$2), 'ProductSprint Backlog'!$F239, TRUE, 0)</f>
        <v/>
      </c>
      <c r="H239" s="4" t="str" cm="1">
        <f t="array" ref="H239">_xlfn.IFS('ProductSprint Backlog'!$F239="", "", AND('ProductSprint Backlog'!$J239&gt;H$2,'ProductSprint Backlog'!$I239&lt;=H$2), 'ProductSprint Backlog'!$F239 / MAX(1, 'ProductSprint Backlog'!$J239-'ProductSprint Backlog'!$I239), AND('ProductSprint Backlog'!$J239=H$2,'ProductSprint Backlog'!$I239=H$2), 'ProductSprint Backlog'!$F239, TRUE, 0)</f>
        <v/>
      </c>
      <c r="I239" s="4" t="str" cm="1">
        <f t="array" ref="I239">_xlfn.IFS('ProductSprint Backlog'!$F239="", "", AND('ProductSprint Backlog'!$J239&gt;I$2,'ProductSprint Backlog'!$I239&lt;=I$2), 'ProductSprint Backlog'!$F239 / MAX(1, 'ProductSprint Backlog'!$J239-'ProductSprint Backlog'!$I239), AND('ProductSprint Backlog'!$J239=I$2,'ProductSprint Backlog'!$I239=I$2), 'ProductSprint Backlog'!$F239, TRUE, 0)</f>
        <v/>
      </c>
      <c r="J239" s="4" t="str" cm="1">
        <f t="array" ref="J239">_xlfn.IFS('ProductSprint Backlog'!$F239="", "", AND('ProductSprint Backlog'!$J239&gt;J$2,'ProductSprint Backlog'!$I239&lt;=J$2), 'ProductSprint Backlog'!$F239 / MAX(1, 'ProductSprint Backlog'!$J239-'ProductSprint Backlog'!$I239), AND('ProductSprint Backlog'!$J239=J$2,'ProductSprint Backlog'!$I239=J$2), 'ProductSprint Backlog'!$F239, TRUE, 0)</f>
        <v/>
      </c>
    </row>
    <row r="240" spans="2:10" x14ac:dyDescent="0.2">
      <c r="B240" s="4" cm="1">
        <f t="array" ref="B240">_xlfn.IFS('ProductSprint Backlog'!$F240="", "", AND('ProductSprint Backlog'!$J240&gt;B$2,'ProductSprint Backlog'!$I240&lt;=B$2), 'ProductSprint Backlog'!$F240 / MAX(1, 'ProductSprint Backlog'!$J240-'ProductSprint Backlog'!$I240), AND('ProductSprint Backlog'!$J240=B$2,'ProductSprint Backlog'!$I240=B$2), 'ProductSprint Backlog'!$F240, TRUE, 0)</f>
        <v>0</v>
      </c>
      <c r="C240" s="4" cm="1">
        <f t="array" ref="C240">_xlfn.IFS('ProductSprint Backlog'!$F240="", "", AND('ProductSprint Backlog'!$J240&gt;C$2,'ProductSprint Backlog'!$I240&lt;=C$2), 'ProductSprint Backlog'!$F240 / MAX(1, 'ProductSprint Backlog'!$J240-'ProductSprint Backlog'!$I240), AND('ProductSprint Backlog'!$J240=C$2,'ProductSprint Backlog'!$I240=C$2), 'ProductSprint Backlog'!$F240, TRUE, 0)</f>
        <v>0</v>
      </c>
      <c r="D240" s="4" cm="1">
        <f t="array" ref="D240">_xlfn.IFS('ProductSprint Backlog'!$F240="", "", AND('ProductSprint Backlog'!$J240&gt;D$2,'ProductSprint Backlog'!$I240&lt;=D$2), 'ProductSprint Backlog'!$F240 / MAX(1, 'ProductSprint Backlog'!$J240-'ProductSprint Backlog'!$I240), AND('ProductSprint Backlog'!$J240=D$2,'ProductSprint Backlog'!$I240=D$2), 'ProductSprint Backlog'!$F240, TRUE, 0)</f>
        <v>0</v>
      </c>
      <c r="E240" s="4" cm="1">
        <f t="array" ref="E240">_xlfn.IFS('ProductSprint Backlog'!$F240="", "", AND('ProductSprint Backlog'!$J240&gt;E$2,'ProductSprint Backlog'!$I240&lt;=E$2), 'ProductSprint Backlog'!$F240 / MAX(1, 'ProductSprint Backlog'!$J240-'ProductSprint Backlog'!$I240), AND('ProductSprint Backlog'!$J240=E$2,'ProductSprint Backlog'!$I240=E$2), 'ProductSprint Backlog'!$F240, TRUE, 0)</f>
        <v>0</v>
      </c>
      <c r="F240" s="4" cm="1">
        <f t="array" ref="F240">_xlfn.IFS('ProductSprint Backlog'!$F240="", "", AND('ProductSprint Backlog'!$J240&gt;F$2,'ProductSprint Backlog'!$I240&lt;=F$2), 'ProductSprint Backlog'!$F240 / MAX(1, 'ProductSprint Backlog'!$J240-'ProductSprint Backlog'!$I240), AND('ProductSprint Backlog'!$J240=F$2,'ProductSprint Backlog'!$I240=F$2), 'ProductSprint Backlog'!$F240, TRUE, 0)</f>
        <v>0</v>
      </c>
      <c r="G240" s="4" cm="1">
        <f t="array" ref="G240">_xlfn.IFS('ProductSprint Backlog'!$F240="", "", AND('ProductSprint Backlog'!$J240&gt;G$2,'ProductSprint Backlog'!$I240&lt;=G$2), 'ProductSprint Backlog'!$F240 / MAX(1, 'ProductSprint Backlog'!$J240-'ProductSprint Backlog'!$I240), AND('ProductSprint Backlog'!$J240=G$2,'ProductSprint Backlog'!$I240=G$2), 'ProductSprint Backlog'!$F240, TRUE, 0)</f>
        <v>0</v>
      </c>
      <c r="H240" s="4" cm="1">
        <f t="array" ref="H240">_xlfn.IFS('ProductSprint Backlog'!$F240="", "", AND('ProductSprint Backlog'!$J240&gt;H$2,'ProductSprint Backlog'!$I240&lt;=H$2), 'ProductSprint Backlog'!$F240 / MAX(1, 'ProductSprint Backlog'!$J240-'ProductSprint Backlog'!$I240), AND('ProductSprint Backlog'!$J240=H$2,'ProductSprint Backlog'!$I240=H$2), 'ProductSprint Backlog'!$F240, TRUE, 0)</f>
        <v>0</v>
      </c>
      <c r="I240" s="4" cm="1">
        <f t="array" ref="I240">_xlfn.IFS('ProductSprint Backlog'!$F240="", "", AND('ProductSprint Backlog'!$J240&gt;I$2,'ProductSprint Backlog'!$I240&lt;=I$2), 'ProductSprint Backlog'!$F240 / MAX(1, 'ProductSprint Backlog'!$J240-'ProductSprint Backlog'!$I240), AND('ProductSprint Backlog'!$J240=I$2,'ProductSprint Backlog'!$I240=I$2), 'ProductSprint Backlog'!$F240, TRUE, 0)</f>
        <v>0</v>
      </c>
      <c r="J240" s="4" cm="1">
        <f t="array" ref="J240">_xlfn.IFS('ProductSprint Backlog'!$F240="", "", AND('ProductSprint Backlog'!$J240&gt;J$2,'ProductSprint Backlog'!$I240&lt;=J$2), 'ProductSprint Backlog'!$F240 / MAX(1, 'ProductSprint Backlog'!$J240-'ProductSprint Backlog'!$I240), AND('ProductSprint Backlog'!$J240=J$2,'ProductSprint Backlog'!$I240=J$2), 'ProductSprint Backlog'!$F240, TRUE, 0)</f>
        <v>0</v>
      </c>
    </row>
    <row r="241" spans="2:10" x14ac:dyDescent="0.2">
      <c r="B241" s="4" cm="1">
        <f t="array" ref="B241">_xlfn.IFS('ProductSprint Backlog'!$F241="", "", AND('ProductSprint Backlog'!$J241&gt;B$2,'ProductSprint Backlog'!$I241&lt;=B$2), 'ProductSprint Backlog'!$F241 / MAX(1, 'ProductSprint Backlog'!$J241-'ProductSprint Backlog'!$I241), AND('ProductSprint Backlog'!$J241=B$2,'ProductSprint Backlog'!$I241=B$2), 'ProductSprint Backlog'!$F241, TRUE, 0)</f>
        <v>0</v>
      </c>
      <c r="C241" s="4" cm="1">
        <f t="array" ref="C241">_xlfn.IFS('ProductSprint Backlog'!$F241="", "", AND('ProductSprint Backlog'!$J241&gt;C$2,'ProductSprint Backlog'!$I241&lt;=C$2), 'ProductSprint Backlog'!$F241 / MAX(1, 'ProductSprint Backlog'!$J241-'ProductSprint Backlog'!$I241), AND('ProductSprint Backlog'!$J241=C$2,'ProductSprint Backlog'!$I241=C$2), 'ProductSprint Backlog'!$F241, TRUE, 0)</f>
        <v>0</v>
      </c>
      <c r="D241" s="4" cm="1">
        <f t="array" ref="D241">_xlfn.IFS('ProductSprint Backlog'!$F241="", "", AND('ProductSprint Backlog'!$J241&gt;D$2,'ProductSprint Backlog'!$I241&lt;=D$2), 'ProductSprint Backlog'!$F241 / MAX(1, 'ProductSprint Backlog'!$J241-'ProductSprint Backlog'!$I241), AND('ProductSprint Backlog'!$J241=D$2,'ProductSprint Backlog'!$I241=D$2), 'ProductSprint Backlog'!$F241, TRUE, 0)</f>
        <v>0</v>
      </c>
      <c r="E241" s="4" cm="1">
        <f t="array" ref="E241">_xlfn.IFS('ProductSprint Backlog'!$F241="", "", AND('ProductSprint Backlog'!$J241&gt;E$2,'ProductSprint Backlog'!$I241&lt;=E$2), 'ProductSprint Backlog'!$F241 / MAX(1, 'ProductSprint Backlog'!$J241-'ProductSprint Backlog'!$I241), AND('ProductSprint Backlog'!$J241=E$2,'ProductSprint Backlog'!$I241=E$2), 'ProductSprint Backlog'!$F241, TRUE, 0)</f>
        <v>0</v>
      </c>
      <c r="F241" s="4" cm="1">
        <f t="array" ref="F241">_xlfn.IFS('ProductSprint Backlog'!$F241="", "", AND('ProductSprint Backlog'!$J241&gt;F$2,'ProductSprint Backlog'!$I241&lt;=F$2), 'ProductSprint Backlog'!$F241 / MAX(1, 'ProductSprint Backlog'!$J241-'ProductSprint Backlog'!$I241), AND('ProductSprint Backlog'!$J241=F$2,'ProductSprint Backlog'!$I241=F$2), 'ProductSprint Backlog'!$F241, TRUE, 0)</f>
        <v>0</v>
      </c>
      <c r="G241" s="4" cm="1">
        <f t="array" ref="G241">_xlfn.IFS('ProductSprint Backlog'!$F241="", "", AND('ProductSprint Backlog'!$J241&gt;G$2,'ProductSprint Backlog'!$I241&lt;=G$2), 'ProductSprint Backlog'!$F241 / MAX(1, 'ProductSprint Backlog'!$J241-'ProductSprint Backlog'!$I241), AND('ProductSprint Backlog'!$J241=G$2,'ProductSprint Backlog'!$I241=G$2), 'ProductSprint Backlog'!$F241, TRUE, 0)</f>
        <v>0</v>
      </c>
      <c r="H241" s="4" cm="1">
        <f t="array" ref="H241">_xlfn.IFS('ProductSprint Backlog'!$F241="", "", AND('ProductSprint Backlog'!$J241&gt;H$2,'ProductSprint Backlog'!$I241&lt;=H$2), 'ProductSprint Backlog'!$F241 / MAX(1, 'ProductSprint Backlog'!$J241-'ProductSprint Backlog'!$I241), AND('ProductSprint Backlog'!$J241=H$2,'ProductSprint Backlog'!$I241=H$2), 'ProductSprint Backlog'!$F241, TRUE, 0)</f>
        <v>0</v>
      </c>
      <c r="I241" s="4" cm="1">
        <f t="array" ref="I241">_xlfn.IFS('ProductSprint Backlog'!$F241="", "", AND('ProductSprint Backlog'!$J241&gt;I$2,'ProductSprint Backlog'!$I241&lt;=I$2), 'ProductSprint Backlog'!$F241 / MAX(1, 'ProductSprint Backlog'!$J241-'ProductSprint Backlog'!$I241), AND('ProductSprint Backlog'!$J241=I$2,'ProductSprint Backlog'!$I241=I$2), 'ProductSprint Backlog'!$F241, TRUE, 0)</f>
        <v>0</v>
      </c>
      <c r="J241" s="4" cm="1">
        <f t="array" ref="J241">_xlfn.IFS('ProductSprint Backlog'!$F241="", "", AND('ProductSprint Backlog'!$J241&gt;J$2,'ProductSprint Backlog'!$I241&lt;=J$2), 'ProductSprint Backlog'!$F241 / MAX(1, 'ProductSprint Backlog'!$J241-'ProductSprint Backlog'!$I241), AND('ProductSprint Backlog'!$J241=J$2,'ProductSprint Backlog'!$I241=J$2), 'ProductSprint Backlog'!$F241, TRUE, 0)</f>
        <v>0</v>
      </c>
    </row>
    <row r="242" spans="2:10" x14ac:dyDescent="0.2">
      <c r="B242" s="4" cm="1">
        <f t="array" ref="B242">_xlfn.IFS('ProductSprint Backlog'!$F242="", "", AND('ProductSprint Backlog'!$J242&gt;B$2,'ProductSprint Backlog'!$I242&lt;=B$2), 'ProductSprint Backlog'!$F242 / MAX(1, 'ProductSprint Backlog'!$J242-'ProductSprint Backlog'!$I242), AND('ProductSprint Backlog'!$J242=B$2,'ProductSprint Backlog'!$I242=B$2), 'ProductSprint Backlog'!$F242, TRUE, 0)</f>
        <v>0</v>
      </c>
      <c r="C242" s="4" cm="1">
        <f t="array" ref="C242">_xlfn.IFS('ProductSprint Backlog'!$F242="", "", AND('ProductSprint Backlog'!$J242&gt;C$2,'ProductSprint Backlog'!$I242&lt;=C$2), 'ProductSprint Backlog'!$F242 / MAX(1, 'ProductSprint Backlog'!$J242-'ProductSprint Backlog'!$I242), AND('ProductSprint Backlog'!$J242=C$2,'ProductSprint Backlog'!$I242=C$2), 'ProductSprint Backlog'!$F242, TRUE, 0)</f>
        <v>0</v>
      </c>
      <c r="D242" s="4" cm="1">
        <f t="array" ref="D242">_xlfn.IFS('ProductSprint Backlog'!$F242="", "", AND('ProductSprint Backlog'!$J242&gt;D$2,'ProductSprint Backlog'!$I242&lt;=D$2), 'ProductSprint Backlog'!$F242 / MAX(1, 'ProductSprint Backlog'!$J242-'ProductSprint Backlog'!$I242), AND('ProductSprint Backlog'!$J242=D$2,'ProductSprint Backlog'!$I242=D$2), 'ProductSprint Backlog'!$F242, TRUE, 0)</f>
        <v>0</v>
      </c>
      <c r="E242" s="4" cm="1">
        <f t="array" ref="E242">_xlfn.IFS('ProductSprint Backlog'!$F242="", "", AND('ProductSprint Backlog'!$J242&gt;E$2,'ProductSprint Backlog'!$I242&lt;=E$2), 'ProductSprint Backlog'!$F242 / MAX(1, 'ProductSprint Backlog'!$J242-'ProductSprint Backlog'!$I242), AND('ProductSprint Backlog'!$J242=E$2,'ProductSprint Backlog'!$I242=E$2), 'ProductSprint Backlog'!$F242, TRUE, 0)</f>
        <v>0</v>
      </c>
      <c r="F242" s="4" cm="1">
        <f t="array" ref="F242">_xlfn.IFS('ProductSprint Backlog'!$F242="", "", AND('ProductSprint Backlog'!$J242&gt;F$2,'ProductSprint Backlog'!$I242&lt;=F$2), 'ProductSprint Backlog'!$F242 / MAX(1, 'ProductSprint Backlog'!$J242-'ProductSprint Backlog'!$I242), AND('ProductSprint Backlog'!$J242=F$2,'ProductSprint Backlog'!$I242=F$2), 'ProductSprint Backlog'!$F242, TRUE, 0)</f>
        <v>0</v>
      </c>
      <c r="G242" s="4" cm="1">
        <f t="array" ref="G242">_xlfn.IFS('ProductSprint Backlog'!$F242="", "", AND('ProductSprint Backlog'!$J242&gt;G$2,'ProductSprint Backlog'!$I242&lt;=G$2), 'ProductSprint Backlog'!$F242 / MAX(1, 'ProductSprint Backlog'!$J242-'ProductSprint Backlog'!$I242), AND('ProductSprint Backlog'!$J242=G$2,'ProductSprint Backlog'!$I242=G$2), 'ProductSprint Backlog'!$F242, TRUE, 0)</f>
        <v>0</v>
      </c>
      <c r="H242" s="4" cm="1">
        <f t="array" ref="H242">_xlfn.IFS('ProductSprint Backlog'!$F242="", "", AND('ProductSprint Backlog'!$J242&gt;H$2,'ProductSprint Backlog'!$I242&lt;=H$2), 'ProductSprint Backlog'!$F242 / MAX(1, 'ProductSprint Backlog'!$J242-'ProductSprint Backlog'!$I242), AND('ProductSprint Backlog'!$J242=H$2,'ProductSprint Backlog'!$I242=H$2), 'ProductSprint Backlog'!$F242, TRUE, 0)</f>
        <v>0</v>
      </c>
      <c r="I242" s="4" cm="1">
        <f t="array" ref="I242">_xlfn.IFS('ProductSprint Backlog'!$F242="", "", AND('ProductSprint Backlog'!$J242&gt;I$2,'ProductSprint Backlog'!$I242&lt;=I$2), 'ProductSprint Backlog'!$F242 / MAX(1, 'ProductSprint Backlog'!$J242-'ProductSprint Backlog'!$I242), AND('ProductSprint Backlog'!$J242=I$2,'ProductSprint Backlog'!$I242=I$2), 'ProductSprint Backlog'!$F242, TRUE, 0)</f>
        <v>0</v>
      </c>
      <c r="J242" s="4" cm="1">
        <f t="array" ref="J242">_xlfn.IFS('ProductSprint Backlog'!$F242="", "", AND('ProductSprint Backlog'!$J242&gt;J$2,'ProductSprint Backlog'!$I242&lt;=J$2), 'ProductSprint Backlog'!$F242 / MAX(1, 'ProductSprint Backlog'!$J242-'ProductSprint Backlog'!$I242), AND('ProductSprint Backlog'!$J242=J$2,'ProductSprint Backlog'!$I242=J$2), 'ProductSprint Backlog'!$F242, TRUE, 0)</f>
        <v>0</v>
      </c>
    </row>
    <row r="243" spans="2:10" x14ac:dyDescent="0.2">
      <c r="B243" s="4" cm="1">
        <f t="array" ref="B243">_xlfn.IFS('ProductSprint Backlog'!$F243="", "", AND('ProductSprint Backlog'!$J243&gt;B$2,'ProductSprint Backlog'!$I243&lt;=B$2), 'ProductSprint Backlog'!$F243 / MAX(1, 'ProductSprint Backlog'!$J243-'ProductSprint Backlog'!$I243), AND('ProductSprint Backlog'!$J243=B$2,'ProductSprint Backlog'!$I243=B$2), 'ProductSprint Backlog'!$F243, TRUE, 0)</f>
        <v>0</v>
      </c>
      <c r="C243" s="4" cm="1">
        <f t="array" ref="C243">_xlfn.IFS('ProductSprint Backlog'!$F243="", "", AND('ProductSprint Backlog'!$J243&gt;C$2,'ProductSprint Backlog'!$I243&lt;=C$2), 'ProductSprint Backlog'!$F243 / MAX(1, 'ProductSprint Backlog'!$J243-'ProductSprint Backlog'!$I243), AND('ProductSprint Backlog'!$J243=C$2,'ProductSprint Backlog'!$I243=C$2), 'ProductSprint Backlog'!$F243, TRUE, 0)</f>
        <v>0</v>
      </c>
      <c r="D243" s="4" cm="1">
        <f t="array" ref="D243">_xlfn.IFS('ProductSprint Backlog'!$F243="", "", AND('ProductSprint Backlog'!$J243&gt;D$2,'ProductSprint Backlog'!$I243&lt;=D$2), 'ProductSprint Backlog'!$F243 / MAX(1, 'ProductSprint Backlog'!$J243-'ProductSprint Backlog'!$I243), AND('ProductSprint Backlog'!$J243=D$2,'ProductSprint Backlog'!$I243=D$2), 'ProductSprint Backlog'!$F243, TRUE, 0)</f>
        <v>0</v>
      </c>
      <c r="E243" s="4" cm="1">
        <f t="array" ref="E243">_xlfn.IFS('ProductSprint Backlog'!$F243="", "", AND('ProductSprint Backlog'!$J243&gt;E$2,'ProductSprint Backlog'!$I243&lt;=E$2), 'ProductSprint Backlog'!$F243 / MAX(1, 'ProductSprint Backlog'!$J243-'ProductSprint Backlog'!$I243), AND('ProductSprint Backlog'!$J243=E$2,'ProductSprint Backlog'!$I243=E$2), 'ProductSprint Backlog'!$F243, TRUE, 0)</f>
        <v>0</v>
      </c>
      <c r="F243" s="4" cm="1">
        <f t="array" ref="F243">_xlfn.IFS('ProductSprint Backlog'!$F243="", "", AND('ProductSprint Backlog'!$J243&gt;F$2,'ProductSprint Backlog'!$I243&lt;=F$2), 'ProductSprint Backlog'!$F243 / MAX(1, 'ProductSprint Backlog'!$J243-'ProductSprint Backlog'!$I243), AND('ProductSprint Backlog'!$J243=F$2,'ProductSprint Backlog'!$I243=F$2), 'ProductSprint Backlog'!$F243, TRUE, 0)</f>
        <v>0</v>
      </c>
      <c r="G243" s="4" cm="1">
        <f t="array" ref="G243">_xlfn.IFS('ProductSprint Backlog'!$F243="", "", AND('ProductSprint Backlog'!$J243&gt;G$2,'ProductSprint Backlog'!$I243&lt;=G$2), 'ProductSprint Backlog'!$F243 / MAX(1, 'ProductSprint Backlog'!$J243-'ProductSprint Backlog'!$I243), AND('ProductSprint Backlog'!$J243=G$2,'ProductSprint Backlog'!$I243=G$2), 'ProductSprint Backlog'!$F243, TRUE, 0)</f>
        <v>0</v>
      </c>
      <c r="H243" s="4" cm="1">
        <f t="array" ref="H243">_xlfn.IFS('ProductSprint Backlog'!$F243="", "", AND('ProductSprint Backlog'!$J243&gt;H$2,'ProductSprint Backlog'!$I243&lt;=H$2), 'ProductSprint Backlog'!$F243 / MAX(1, 'ProductSprint Backlog'!$J243-'ProductSprint Backlog'!$I243), AND('ProductSprint Backlog'!$J243=H$2,'ProductSprint Backlog'!$I243=H$2), 'ProductSprint Backlog'!$F243, TRUE, 0)</f>
        <v>0</v>
      </c>
      <c r="I243" s="4" cm="1">
        <f t="array" ref="I243">_xlfn.IFS('ProductSprint Backlog'!$F243="", "", AND('ProductSprint Backlog'!$J243&gt;I$2,'ProductSprint Backlog'!$I243&lt;=I$2), 'ProductSprint Backlog'!$F243 / MAX(1, 'ProductSprint Backlog'!$J243-'ProductSprint Backlog'!$I243), AND('ProductSprint Backlog'!$J243=I$2,'ProductSprint Backlog'!$I243=I$2), 'ProductSprint Backlog'!$F243, TRUE, 0)</f>
        <v>0</v>
      </c>
      <c r="J243" s="4" cm="1">
        <f t="array" ref="J243">_xlfn.IFS('ProductSprint Backlog'!$F243="", "", AND('ProductSprint Backlog'!$J243&gt;J$2,'ProductSprint Backlog'!$I243&lt;=J$2), 'ProductSprint Backlog'!$F243 / MAX(1, 'ProductSprint Backlog'!$J243-'ProductSprint Backlog'!$I243), AND('ProductSprint Backlog'!$J243=J$2,'ProductSprint Backlog'!$I243=J$2), 'ProductSprint Backlog'!$F243, TRUE, 0)</f>
        <v>0</v>
      </c>
    </row>
    <row r="244" spans="2:10" x14ac:dyDescent="0.2">
      <c r="B244" s="4" cm="1">
        <f t="array" ref="B244">_xlfn.IFS('ProductSprint Backlog'!$F244="", "", AND('ProductSprint Backlog'!$J244&gt;B$2,'ProductSprint Backlog'!$I244&lt;=B$2), 'ProductSprint Backlog'!$F244 / MAX(1, 'ProductSprint Backlog'!$J244-'ProductSprint Backlog'!$I244), AND('ProductSprint Backlog'!$J244=B$2,'ProductSprint Backlog'!$I244=B$2), 'ProductSprint Backlog'!$F244, TRUE, 0)</f>
        <v>0</v>
      </c>
      <c r="C244" s="4" cm="1">
        <f t="array" ref="C244">_xlfn.IFS('ProductSprint Backlog'!$F244="", "", AND('ProductSprint Backlog'!$J244&gt;C$2,'ProductSprint Backlog'!$I244&lt;=C$2), 'ProductSprint Backlog'!$F244 / MAX(1, 'ProductSprint Backlog'!$J244-'ProductSprint Backlog'!$I244), AND('ProductSprint Backlog'!$J244=C$2,'ProductSprint Backlog'!$I244=C$2), 'ProductSprint Backlog'!$F244, TRUE, 0)</f>
        <v>0</v>
      </c>
      <c r="D244" s="4" cm="1">
        <f t="array" ref="D244">_xlfn.IFS('ProductSprint Backlog'!$F244="", "", AND('ProductSprint Backlog'!$J244&gt;D$2,'ProductSprint Backlog'!$I244&lt;=D$2), 'ProductSprint Backlog'!$F244 / MAX(1, 'ProductSprint Backlog'!$J244-'ProductSprint Backlog'!$I244), AND('ProductSprint Backlog'!$J244=D$2,'ProductSprint Backlog'!$I244=D$2), 'ProductSprint Backlog'!$F244, TRUE, 0)</f>
        <v>0</v>
      </c>
      <c r="E244" s="4" cm="1">
        <f t="array" ref="E244">_xlfn.IFS('ProductSprint Backlog'!$F244="", "", AND('ProductSprint Backlog'!$J244&gt;E$2,'ProductSprint Backlog'!$I244&lt;=E$2), 'ProductSprint Backlog'!$F244 / MAX(1, 'ProductSprint Backlog'!$J244-'ProductSprint Backlog'!$I244), AND('ProductSprint Backlog'!$J244=E$2,'ProductSprint Backlog'!$I244=E$2), 'ProductSprint Backlog'!$F244, TRUE, 0)</f>
        <v>0</v>
      </c>
      <c r="F244" s="4" cm="1">
        <f t="array" ref="F244">_xlfn.IFS('ProductSprint Backlog'!$F244="", "", AND('ProductSprint Backlog'!$J244&gt;F$2,'ProductSprint Backlog'!$I244&lt;=F$2), 'ProductSprint Backlog'!$F244 / MAX(1, 'ProductSprint Backlog'!$J244-'ProductSprint Backlog'!$I244), AND('ProductSprint Backlog'!$J244=F$2,'ProductSprint Backlog'!$I244=F$2), 'ProductSprint Backlog'!$F244, TRUE, 0)</f>
        <v>0</v>
      </c>
      <c r="G244" s="4" cm="1">
        <f t="array" ref="G244">_xlfn.IFS('ProductSprint Backlog'!$F244="", "", AND('ProductSprint Backlog'!$J244&gt;G$2,'ProductSprint Backlog'!$I244&lt;=G$2), 'ProductSprint Backlog'!$F244 / MAX(1, 'ProductSprint Backlog'!$J244-'ProductSprint Backlog'!$I244), AND('ProductSprint Backlog'!$J244=G$2,'ProductSprint Backlog'!$I244=G$2), 'ProductSprint Backlog'!$F244, TRUE, 0)</f>
        <v>0</v>
      </c>
      <c r="H244" s="4" cm="1">
        <f t="array" ref="H244">_xlfn.IFS('ProductSprint Backlog'!$F244="", "", AND('ProductSprint Backlog'!$J244&gt;H$2,'ProductSprint Backlog'!$I244&lt;=H$2), 'ProductSprint Backlog'!$F244 / MAX(1, 'ProductSprint Backlog'!$J244-'ProductSprint Backlog'!$I244), AND('ProductSprint Backlog'!$J244=H$2,'ProductSprint Backlog'!$I244=H$2), 'ProductSprint Backlog'!$F244, TRUE, 0)</f>
        <v>0</v>
      </c>
      <c r="I244" s="4" cm="1">
        <f t="array" ref="I244">_xlfn.IFS('ProductSprint Backlog'!$F244="", "", AND('ProductSprint Backlog'!$J244&gt;I$2,'ProductSprint Backlog'!$I244&lt;=I$2), 'ProductSprint Backlog'!$F244 / MAX(1, 'ProductSprint Backlog'!$J244-'ProductSprint Backlog'!$I244), AND('ProductSprint Backlog'!$J244=I$2,'ProductSprint Backlog'!$I244=I$2), 'ProductSprint Backlog'!$F244, TRUE, 0)</f>
        <v>0</v>
      </c>
      <c r="J244" s="4" cm="1">
        <f t="array" ref="J244">_xlfn.IFS('ProductSprint Backlog'!$F244="", "", AND('ProductSprint Backlog'!$J244&gt;J$2,'ProductSprint Backlog'!$I244&lt;=J$2), 'ProductSprint Backlog'!$F244 / MAX(1, 'ProductSprint Backlog'!$J244-'ProductSprint Backlog'!$I244), AND('ProductSprint Backlog'!$J244=J$2,'ProductSprint Backlog'!$I244=J$2), 'ProductSprint Backlog'!$F244, TRUE, 0)</f>
        <v>0</v>
      </c>
    </row>
    <row r="245" spans="2:10" x14ac:dyDescent="0.2">
      <c r="B245" s="4" cm="1">
        <f t="array" ref="B245">_xlfn.IFS('ProductSprint Backlog'!$F245="", "", AND('ProductSprint Backlog'!$J245&gt;B$2,'ProductSprint Backlog'!$I245&lt;=B$2), 'ProductSprint Backlog'!$F245 / MAX(1, 'ProductSprint Backlog'!$J245-'ProductSprint Backlog'!$I245), AND('ProductSprint Backlog'!$J245=B$2,'ProductSprint Backlog'!$I245=B$2), 'ProductSprint Backlog'!$F245, TRUE, 0)</f>
        <v>0</v>
      </c>
      <c r="C245" s="4" cm="1">
        <f t="array" ref="C245">_xlfn.IFS('ProductSprint Backlog'!$F245="", "", AND('ProductSprint Backlog'!$J245&gt;C$2,'ProductSprint Backlog'!$I245&lt;=C$2), 'ProductSprint Backlog'!$F245 / MAX(1, 'ProductSprint Backlog'!$J245-'ProductSprint Backlog'!$I245), AND('ProductSprint Backlog'!$J245=C$2,'ProductSprint Backlog'!$I245=C$2), 'ProductSprint Backlog'!$F245, TRUE, 0)</f>
        <v>0</v>
      </c>
      <c r="D245" s="4" cm="1">
        <f t="array" ref="D245">_xlfn.IFS('ProductSprint Backlog'!$F245="", "", AND('ProductSprint Backlog'!$J245&gt;D$2,'ProductSprint Backlog'!$I245&lt;=D$2), 'ProductSprint Backlog'!$F245 / MAX(1, 'ProductSprint Backlog'!$J245-'ProductSprint Backlog'!$I245), AND('ProductSprint Backlog'!$J245=D$2,'ProductSprint Backlog'!$I245=D$2), 'ProductSprint Backlog'!$F245, TRUE, 0)</f>
        <v>0</v>
      </c>
      <c r="E245" s="4" cm="1">
        <f t="array" ref="E245">_xlfn.IFS('ProductSprint Backlog'!$F245="", "", AND('ProductSprint Backlog'!$J245&gt;E$2,'ProductSprint Backlog'!$I245&lt;=E$2), 'ProductSprint Backlog'!$F245 / MAX(1, 'ProductSprint Backlog'!$J245-'ProductSprint Backlog'!$I245), AND('ProductSprint Backlog'!$J245=E$2,'ProductSprint Backlog'!$I245=E$2), 'ProductSprint Backlog'!$F245, TRUE, 0)</f>
        <v>0</v>
      </c>
      <c r="F245" s="4" cm="1">
        <f t="array" ref="F245">_xlfn.IFS('ProductSprint Backlog'!$F245="", "", AND('ProductSprint Backlog'!$J245&gt;F$2,'ProductSprint Backlog'!$I245&lt;=F$2), 'ProductSprint Backlog'!$F245 / MAX(1, 'ProductSprint Backlog'!$J245-'ProductSprint Backlog'!$I245), AND('ProductSprint Backlog'!$J245=F$2,'ProductSprint Backlog'!$I245=F$2), 'ProductSprint Backlog'!$F245, TRUE, 0)</f>
        <v>0</v>
      </c>
      <c r="G245" s="4" cm="1">
        <f t="array" ref="G245">_xlfn.IFS('ProductSprint Backlog'!$F245="", "", AND('ProductSprint Backlog'!$J245&gt;G$2,'ProductSprint Backlog'!$I245&lt;=G$2), 'ProductSprint Backlog'!$F245 / MAX(1, 'ProductSprint Backlog'!$J245-'ProductSprint Backlog'!$I245), AND('ProductSprint Backlog'!$J245=G$2,'ProductSprint Backlog'!$I245=G$2), 'ProductSprint Backlog'!$F245, TRUE, 0)</f>
        <v>0</v>
      </c>
      <c r="H245" s="4" cm="1">
        <f t="array" ref="H245">_xlfn.IFS('ProductSprint Backlog'!$F245="", "", AND('ProductSprint Backlog'!$J245&gt;H$2,'ProductSprint Backlog'!$I245&lt;=H$2), 'ProductSprint Backlog'!$F245 / MAX(1, 'ProductSprint Backlog'!$J245-'ProductSprint Backlog'!$I245), AND('ProductSprint Backlog'!$J245=H$2,'ProductSprint Backlog'!$I245=H$2), 'ProductSprint Backlog'!$F245, TRUE, 0)</f>
        <v>0</v>
      </c>
      <c r="I245" s="4" cm="1">
        <f t="array" ref="I245">_xlfn.IFS('ProductSprint Backlog'!$F245="", "", AND('ProductSprint Backlog'!$J245&gt;I$2,'ProductSprint Backlog'!$I245&lt;=I$2), 'ProductSprint Backlog'!$F245 / MAX(1, 'ProductSprint Backlog'!$J245-'ProductSprint Backlog'!$I245), AND('ProductSprint Backlog'!$J245=I$2,'ProductSprint Backlog'!$I245=I$2), 'ProductSprint Backlog'!$F245, TRUE, 0)</f>
        <v>0</v>
      </c>
      <c r="J245" s="4" cm="1">
        <f t="array" ref="J245">_xlfn.IFS('ProductSprint Backlog'!$F245="", "", AND('ProductSprint Backlog'!$J245&gt;J$2,'ProductSprint Backlog'!$I245&lt;=J$2), 'ProductSprint Backlog'!$F245 / MAX(1, 'ProductSprint Backlog'!$J245-'ProductSprint Backlog'!$I245), AND('ProductSprint Backlog'!$J245=J$2,'ProductSprint Backlog'!$I245=J$2), 'ProductSprint Backlog'!$F245, TRUE, 0)</f>
        <v>0</v>
      </c>
    </row>
    <row r="246" spans="2:10" x14ac:dyDescent="0.2">
      <c r="B246" s="4" cm="1">
        <f t="array" ref="B246">_xlfn.IFS('ProductSprint Backlog'!$F246="", "", AND('ProductSprint Backlog'!$J246&gt;B$2,'ProductSprint Backlog'!$I246&lt;=B$2), 'ProductSprint Backlog'!$F246 / MAX(1, 'ProductSprint Backlog'!$J246-'ProductSprint Backlog'!$I246), AND('ProductSprint Backlog'!$J246=B$2,'ProductSprint Backlog'!$I246=B$2), 'ProductSprint Backlog'!$F246, TRUE, 0)</f>
        <v>0</v>
      </c>
      <c r="C246" s="4" cm="1">
        <f t="array" ref="C246">_xlfn.IFS('ProductSprint Backlog'!$F246="", "", AND('ProductSprint Backlog'!$J246&gt;C$2,'ProductSprint Backlog'!$I246&lt;=C$2), 'ProductSprint Backlog'!$F246 / MAX(1, 'ProductSprint Backlog'!$J246-'ProductSprint Backlog'!$I246), AND('ProductSprint Backlog'!$J246=C$2,'ProductSprint Backlog'!$I246=C$2), 'ProductSprint Backlog'!$F246, TRUE, 0)</f>
        <v>0</v>
      </c>
      <c r="D246" s="4" cm="1">
        <f t="array" ref="D246">_xlfn.IFS('ProductSprint Backlog'!$F246="", "", AND('ProductSprint Backlog'!$J246&gt;D$2,'ProductSprint Backlog'!$I246&lt;=D$2), 'ProductSprint Backlog'!$F246 / MAX(1, 'ProductSprint Backlog'!$J246-'ProductSprint Backlog'!$I246), AND('ProductSprint Backlog'!$J246=D$2,'ProductSprint Backlog'!$I246=D$2), 'ProductSprint Backlog'!$F246, TRUE, 0)</f>
        <v>0</v>
      </c>
      <c r="E246" s="4" cm="1">
        <f t="array" ref="E246">_xlfn.IFS('ProductSprint Backlog'!$F246="", "", AND('ProductSprint Backlog'!$J246&gt;E$2,'ProductSprint Backlog'!$I246&lt;=E$2), 'ProductSprint Backlog'!$F246 / MAX(1, 'ProductSprint Backlog'!$J246-'ProductSprint Backlog'!$I246), AND('ProductSprint Backlog'!$J246=E$2,'ProductSprint Backlog'!$I246=E$2), 'ProductSprint Backlog'!$F246, TRUE, 0)</f>
        <v>0</v>
      </c>
      <c r="F246" s="4" cm="1">
        <f t="array" ref="F246">_xlfn.IFS('ProductSprint Backlog'!$F246="", "", AND('ProductSprint Backlog'!$J246&gt;F$2,'ProductSprint Backlog'!$I246&lt;=F$2), 'ProductSprint Backlog'!$F246 / MAX(1, 'ProductSprint Backlog'!$J246-'ProductSprint Backlog'!$I246), AND('ProductSprint Backlog'!$J246=F$2,'ProductSprint Backlog'!$I246=F$2), 'ProductSprint Backlog'!$F246, TRUE, 0)</f>
        <v>0</v>
      </c>
      <c r="G246" s="4" cm="1">
        <f t="array" ref="G246">_xlfn.IFS('ProductSprint Backlog'!$F246="", "", AND('ProductSprint Backlog'!$J246&gt;G$2,'ProductSprint Backlog'!$I246&lt;=G$2), 'ProductSprint Backlog'!$F246 / MAX(1, 'ProductSprint Backlog'!$J246-'ProductSprint Backlog'!$I246), AND('ProductSprint Backlog'!$J246=G$2,'ProductSprint Backlog'!$I246=G$2), 'ProductSprint Backlog'!$F246, TRUE, 0)</f>
        <v>0</v>
      </c>
      <c r="H246" s="4" cm="1">
        <f t="array" ref="H246">_xlfn.IFS('ProductSprint Backlog'!$F246="", "", AND('ProductSprint Backlog'!$J246&gt;H$2,'ProductSprint Backlog'!$I246&lt;=H$2), 'ProductSprint Backlog'!$F246 / MAX(1, 'ProductSprint Backlog'!$J246-'ProductSprint Backlog'!$I246), AND('ProductSprint Backlog'!$J246=H$2,'ProductSprint Backlog'!$I246=H$2), 'ProductSprint Backlog'!$F246, TRUE, 0)</f>
        <v>0</v>
      </c>
      <c r="I246" s="4" cm="1">
        <f t="array" ref="I246">_xlfn.IFS('ProductSprint Backlog'!$F246="", "", AND('ProductSprint Backlog'!$J246&gt;I$2,'ProductSprint Backlog'!$I246&lt;=I$2), 'ProductSprint Backlog'!$F246 / MAX(1, 'ProductSprint Backlog'!$J246-'ProductSprint Backlog'!$I246), AND('ProductSprint Backlog'!$J246=I$2,'ProductSprint Backlog'!$I246=I$2), 'ProductSprint Backlog'!$F246, TRUE, 0)</f>
        <v>0</v>
      </c>
      <c r="J246" s="4" cm="1">
        <f t="array" ref="J246">_xlfn.IFS('ProductSprint Backlog'!$F246="", "", AND('ProductSprint Backlog'!$J246&gt;J$2,'ProductSprint Backlog'!$I246&lt;=J$2), 'ProductSprint Backlog'!$F246 / MAX(1, 'ProductSprint Backlog'!$J246-'ProductSprint Backlog'!$I246), AND('ProductSprint Backlog'!$J246=J$2,'ProductSprint Backlog'!$I246=J$2), 'ProductSprint Backlog'!$F246, TRUE, 0)</f>
        <v>0</v>
      </c>
    </row>
    <row r="247" spans="2:10" x14ac:dyDescent="0.2">
      <c r="B247" s="4" cm="1">
        <f t="array" ref="B247">_xlfn.IFS('ProductSprint Backlog'!$F247="", "", AND('ProductSprint Backlog'!$J247&gt;B$2,'ProductSprint Backlog'!$I247&lt;=B$2), 'ProductSprint Backlog'!$F247 / MAX(1, 'ProductSprint Backlog'!$J247-'ProductSprint Backlog'!$I247), AND('ProductSprint Backlog'!$J247=B$2,'ProductSprint Backlog'!$I247=B$2), 'ProductSprint Backlog'!$F247, TRUE, 0)</f>
        <v>0</v>
      </c>
      <c r="C247" s="4" cm="1">
        <f t="array" ref="C247">_xlfn.IFS('ProductSprint Backlog'!$F247="", "", AND('ProductSprint Backlog'!$J247&gt;C$2,'ProductSprint Backlog'!$I247&lt;=C$2), 'ProductSprint Backlog'!$F247 / MAX(1, 'ProductSprint Backlog'!$J247-'ProductSprint Backlog'!$I247), AND('ProductSprint Backlog'!$J247=C$2,'ProductSprint Backlog'!$I247=C$2), 'ProductSprint Backlog'!$F247, TRUE, 0)</f>
        <v>0</v>
      </c>
      <c r="D247" s="4" cm="1">
        <f t="array" ref="D247">_xlfn.IFS('ProductSprint Backlog'!$F247="", "", AND('ProductSprint Backlog'!$J247&gt;D$2,'ProductSprint Backlog'!$I247&lt;=D$2), 'ProductSprint Backlog'!$F247 / MAX(1, 'ProductSprint Backlog'!$J247-'ProductSprint Backlog'!$I247), AND('ProductSprint Backlog'!$J247=D$2,'ProductSprint Backlog'!$I247=D$2), 'ProductSprint Backlog'!$F247, TRUE, 0)</f>
        <v>0</v>
      </c>
      <c r="E247" s="4" cm="1">
        <f t="array" ref="E247">_xlfn.IFS('ProductSprint Backlog'!$F247="", "", AND('ProductSprint Backlog'!$J247&gt;E$2,'ProductSprint Backlog'!$I247&lt;=E$2), 'ProductSprint Backlog'!$F247 / MAX(1, 'ProductSprint Backlog'!$J247-'ProductSprint Backlog'!$I247), AND('ProductSprint Backlog'!$J247=E$2,'ProductSprint Backlog'!$I247=E$2), 'ProductSprint Backlog'!$F247, TRUE, 0)</f>
        <v>0</v>
      </c>
      <c r="F247" s="4" cm="1">
        <f t="array" ref="F247">_xlfn.IFS('ProductSprint Backlog'!$F247="", "", AND('ProductSprint Backlog'!$J247&gt;F$2,'ProductSprint Backlog'!$I247&lt;=F$2), 'ProductSprint Backlog'!$F247 / MAX(1, 'ProductSprint Backlog'!$J247-'ProductSprint Backlog'!$I247), AND('ProductSprint Backlog'!$J247=F$2,'ProductSprint Backlog'!$I247=F$2), 'ProductSprint Backlog'!$F247, TRUE, 0)</f>
        <v>0</v>
      </c>
      <c r="G247" s="4" cm="1">
        <f t="array" ref="G247">_xlfn.IFS('ProductSprint Backlog'!$F247="", "", AND('ProductSprint Backlog'!$J247&gt;G$2,'ProductSprint Backlog'!$I247&lt;=G$2), 'ProductSprint Backlog'!$F247 / MAX(1, 'ProductSprint Backlog'!$J247-'ProductSprint Backlog'!$I247), AND('ProductSprint Backlog'!$J247=G$2,'ProductSprint Backlog'!$I247=G$2), 'ProductSprint Backlog'!$F247, TRUE, 0)</f>
        <v>0</v>
      </c>
      <c r="H247" s="4" cm="1">
        <f t="array" ref="H247">_xlfn.IFS('ProductSprint Backlog'!$F247="", "", AND('ProductSprint Backlog'!$J247&gt;H$2,'ProductSprint Backlog'!$I247&lt;=H$2), 'ProductSprint Backlog'!$F247 / MAX(1, 'ProductSprint Backlog'!$J247-'ProductSprint Backlog'!$I247), AND('ProductSprint Backlog'!$J247=H$2,'ProductSprint Backlog'!$I247=H$2), 'ProductSprint Backlog'!$F247, TRUE, 0)</f>
        <v>0</v>
      </c>
      <c r="I247" s="4" cm="1">
        <f t="array" ref="I247">_xlfn.IFS('ProductSprint Backlog'!$F247="", "", AND('ProductSprint Backlog'!$J247&gt;I$2,'ProductSprint Backlog'!$I247&lt;=I$2), 'ProductSprint Backlog'!$F247 / MAX(1, 'ProductSprint Backlog'!$J247-'ProductSprint Backlog'!$I247), AND('ProductSprint Backlog'!$J247=I$2,'ProductSprint Backlog'!$I247=I$2), 'ProductSprint Backlog'!$F247, TRUE, 0)</f>
        <v>0</v>
      </c>
      <c r="J247" s="4" cm="1">
        <f t="array" ref="J247">_xlfn.IFS('ProductSprint Backlog'!$F247="", "", AND('ProductSprint Backlog'!$J247&gt;J$2,'ProductSprint Backlog'!$I247&lt;=J$2), 'ProductSprint Backlog'!$F247 / MAX(1, 'ProductSprint Backlog'!$J247-'ProductSprint Backlog'!$I247), AND('ProductSprint Backlog'!$J247=J$2,'ProductSprint Backlog'!$I247=J$2), 'ProductSprint Backlog'!$F247, TRUE, 0)</f>
        <v>0</v>
      </c>
    </row>
    <row r="248" spans="2:10" x14ac:dyDescent="0.2">
      <c r="B248" s="4" cm="1">
        <f t="array" ref="B248">_xlfn.IFS('ProductSprint Backlog'!$F248="", "", AND('ProductSprint Backlog'!$J248&gt;B$2,'ProductSprint Backlog'!$I248&lt;=B$2), 'ProductSprint Backlog'!$F248 / MAX(1, 'ProductSprint Backlog'!$J248-'ProductSprint Backlog'!$I248), AND('ProductSprint Backlog'!$J248=B$2,'ProductSprint Backlog'!$I248=B$2), 'ProductSprint Backlog'!$F248, TRUE, 0)</f>
        <v>0</v>
      </c>
      <c r="C248" s="4" cm="1">
        <f t="array" ref="C248">_xlfn.IFS('ProductSprint Backlog'!$F248="", "", AND('ProductSprint Backlog'!$J248&gt;C$2,'ProductSprint Backlog'!$I248&lt;=C$2), 'ProductSprint Backlog'!$F248 / MAX(1, 'ProductSprint Backlog'!$J248-'ProductSprint Backlog'!$I248), AND('ProductSprint Backlog'!$J248=C$2,'ProductSprint Backlog'!$I248=C$2), 'ProductSprint Backlog'!$F248, TRUE, 0)</f>
        <v>0</v>
      </c>
      <c r="D248" s="4" cm="1">
        <f t="array" ref="D248">_xlfn.IFS('ProductSprint Backlog'!$F248="", "", AND('ProductSprint Backlog'!$J248&gt;D$2,'ProductSprint Backlog'!$I248&lt;=D$2), 'ProductSprint Backlog'!$F248 / MAX(1, 'ProductSprint Backlog'!$J248-'ProductSprint Backlog'!$I248), AND('ProductSprint Backlog'!$J248=D$2,'ProductSprint Backlog'!$I248=D$2), 'ProductSprint Backlog'!$F248, TRUE, 0)</f>
        <v>0</v>
      </c>
      <c r="E248" s="4" cm="1">
        <f t="array" ref="E248">_xlfn.IFS('ProductSprint Backlog'!$F248="", "", AND('ProductSprint Backlog'!$J248&gt;E$2,'ProductSprint Backlog'!$I248&lt;=E$2), 'ProductSprint Backlog'!$F248 / MAX(1, 'ProductSprint Backlog'!$J248-'ProductSprint Backlog'!$I248), AND('ProductSprint Backlog'!$J248=E$2,'ProductSprint Backlog'!$I248=E$2), 'ProductSprint Backlog'!$F248, TRUE, 0)</f>
        <v>0</v>
      </c>
      <c r="F248" s="4" cm="1">
        <f t="array" ref="F248">_xlfn.IFS('ProductSprint Backlog'!$F248="", "", AND('ProductSprint Backlog'!$J248&gt;F$2,'ProductSprint Backlog'!$I248&lt;=F$2), 'ProductSprint Backlog'!$F248 / MAX(1, 'ProductSprint Backlog'!$J248-'ProductSprint Backlog'!$I248), AND('ProductSprint Backlog'!$J248=F$2,'ProductSprint Backlog'!$I248=F$2), 'ProductSprint Backlog'!$F248, TRUE, 0)</f>
        <v>0</v>
      </c>
      <c r="G248" s="4" cm="1">
        <f t="array" ref="G248">_xlfn.IFS('ProductSprint Backlog'!$F248="", "", AND('ProductSprint Backlog'!$J248&gt;G$2,'ProductSprint Backlog'!$I248&lt;=G$2), 'ProductSprint Backlog'!$F248 / MAX(1, 'ProductSprint Backlog'!$J248-'ProductSprint Backlog'!$I248), AND('ProductSprint Backlog'!$J248=G$2,'ProductSprint Backlog'!$I248=G$2), 'ProductSprint Backlog'!$F248, TRUE, 0)</f>
        <v>0</v>
      </c>
      <c r="H248" s="4" cm="1">
        <f t="array" ref="H248">_xlfn.IFS('ProductSprint Backlog'!$F248="", "", AND('ProductSprint Backlog'!$J248&gt;H$2,'ProductSprint Backlog'!$I248&lt;=H$2), 'ProductSprint Backlog'!$F248 / MAX(1, 'ProductSprint Backlog'!$J248-'ProductSprint Backlog'!$I248), AND('ProductSprint Backlog'!$J248=H$2,'ProductSprint Backlog'!$I248=H$2), 'ProductSprint Backlog'!$F248, TRUE, 0)</f>
        <v>0</v>
      </c>
      <c r="I248" s="4" cm="1">
        <f t="array" ref="I248">_xlfn.IFS('ProductSprint Backlog'!$F248="", "", AND('ProductSprint Backlog'!$J248&gt;I$2,'ProductSprint Backlog'!$I248&lt;=I$2), 'ProductSprint Backlog'!$F248 / MAX(1, 'ProductSprint Backlog'!$J248-'ProductSprint Backlog'!$I248), AND('ProductSprint Backlog'!$J248=I$2,'ProductSprint Backlog'!$I248=I$2), 'ProductSprint Backlog'!$F248, TRUE, 0)</f>
        <v>0</v>
      </c>
      <c r="J248" s="4" cm="1">
        <f t="array" ref="J248">_xlfn.IFS('ProductSprint Backlog'!$F248="", "", AND('ProductSprint Backlog'!$J248&gt;J$2,'ProductSprint Backlog'!$I248&lt;=J$2), 'ProductSprint Backlog'!$F248 / MAX(1, 'ProductSprint Backlog'!$J248-'ProductSprint Backlog'!$I248), AND('ProductSprint Backlog'!$J248=J$2,'ProductSprint Backlog'!$I248=J$2), 'ProductSprint Backlog'!$F248, TRUE, 0)</f>
        <v>0</v>
      </c>
    </row>
    <row r="249" spans="2:10" x14ac:dyDescent="0.2">
      <c r="B249" s="4" cm="1">
        <f t="array" ref="B249">_xlfn.IFS('ProductSprint Backlog'!$F249="", "", AND('ProductSprint Backlog'!$J249&gt;B$2,'ProductSprint Backlog'!$I249&lt;=B$2), 'ProductSprint Backlog'!$F249 / MAX(1, 'ProductSprint Backlog'!$J249-'ProductSprint Backlog'!$I249), AND('ProductSprint Backlog'!$J249=B$2,'ProductSprint Backlog'!$I249=B$2), 'ProductSprint Backlog'!$F249, TRUE, 0)</f>
        <v>0</v>
      </c>
      <c r="C249" s="4" cm="1">
        <f t="array" ref="C249">_xlfn.IFS('ProductSprint Backlog'!$F249="", "", AND('ProductSprint Backlog'!$J249&gt;C$2,'ProductSprint Backlog'!$I249&lt;=C$2), 'ProductSprint Backlog'!$F249 / MAX(1, 'ProductSprint Backlog'!$J249-'ProductSprint Backlog'!$I249), AND('ProductSprint Backlog'!$J249=C$2,'ProductSprint Backlog'!$I249=C$2), 'ProductSprint Backlog'!$F249, TRUE, 0)</f>
        <v>0</v>
      </c>
      <c r="D249" s="4" cm="1">
        <f t="array" ref="D249">_xlfn.IFS('ProductSprint Backlog'!$F249="", "", AND('ProductSprint Backlog'!$J249&gt;D$2,'ProductSprint Backlog'!$I249&lt;=D$2), 'ProductSprint Backlog'!$F249 / MAX(1, 'ProductSprint Backlog'!$J249-'ProductSprint Backlog'!$I249), AND('ProductSprint Backlog'!$J249=D$2,'ProductSprint Backlog'!$I249=D$2), 'ProductSprint Backlog'!$F249, TRUE, 0)</f>
        <v>0</v>
      </c>
      <c r="E249" s="4" cm="1">
        <f t="array" ref="E249">_xlfn.IFS('ProductSprint Backlog'!$F249="", "", AND('ProductSprint Backlog'!$J249&gt;E$2,'ProductSprint Backlog'!$I249&lt;=E$2), 'ProductSprint Backlog'!$F249 / MAX(1, 'ProductSprint Backlog'!$J249-'ProductSprint Backlog'!$I249), AND('ProductSprint Backlog'!$J249=E$2,'ProductSprint Backlog'!$I249=E$2), 'ProductSprint Backlog'!$F249, TRUE, 0)</f>
        <v>0</v>
      </c>
      <c r="F249" s="4" cm="1">
        <f t="array" ref="F249">_xlfn.IFS('ProductSprint Backlog'!$F249="", "", AND('ProductSprint Backlog'!$J249&gt;F$2,'ProductSprint Backlog'!$I249&lt;=F$2), 'ProductSprint Backlog'!$F249 / MAX(1, 'ProductSprint Backlog'!$J249-'ProductSprint Backlog'!$I249), AND('ProductSprint Backlog'!$J249=F$2,'ProductSprint Backlog'!$I249=F$2), 'ProductSprint Backlog'!$F249, TRUE, 0)</f>
        <v>0</v>
      </c>
      <c r="G249" s="4" cm="1">
        <f t="array" ref="G249">_xlfn.IFS('ProductSprint Backlog'!$F249="", "", AND('ProductSprint Backlog'!$J249&gt;G$2,'ProductSprint Backlog'!$I249&lt;=G$2), 'ProductSprint Backlog'!$F249 / MAX(1, 'ProductSprint Backlog'!$J249-'ProductSprint Backlog'!$I249), AND('ProductSprint Backlog'!$J249=G$2,'ProductSprint Backlog'!$I249=G$2), 'ProductSprint Backlog'!$F249, TRUE, 0)</f>
        <v>0</v>
      </c>
      <c r="H249" s="4" cm="1">
        <f t="array" ref="H249">_xlfn.IFS('ProductSprint Backlog'!$F249="", "", AND('ProductSprint Backlog'!$J249&gt;H$2,'ProductSprint Backlog'!$I249&lt;=H$2), 'ProductSprint Backlog'!$F249 / MAX(1, 'ProductSprint Backlog'!$J249-'ProductSprint Backlog'!$I249), AND('ProductSprint Backlog'!$J249=H$2,'ProductSprint Backlog'!$I249=H$2), 'ProductSprint Backlog'!$F249, TRUE, 0)</f>
        <v>0</v>
      </c>
      <c r="I249" s="4" cm="1">
        <f t="array" ref="I249">_xlfn.IFS('ProductSprint Backlog'!$F249="", "", AND('ProductSprint Backlog'!$J249&gt;I$2,'ProductSprint Backlog'!$I249&lt;=I$2), 'ProductSprint Backlog'!$F249 / MAX(1, 'ProductSprint Backlog'!$J249-'ProductSprint Backlog'!$I249), AND('ProductSprint Backlog'!$J249=I$2,'ProductSprint Backlog'!$I249=I$2), 'ProductSprint Backlog'!$F249, TRUE, 0)</f>
        <v>0</v>
      </c>
      <c r="J249" s="4" cm="1">
        <f t="array" ref="J249">_xlfn.IFS('ProductSprint Backlog'!$F249="", "", AND('ProductSprint Backlog'!$J249&gt;J$2,'ProductSprint Backlog'!$I249&lt;=J$2), 'ProductSprint Backlog'!$F249 / MAX(1, 'ProductSprint Backlog'!$J249-'ProductSprint Backlog'!$I249), AND('ProductSprint Backlog'!$J249=J$2,'ProductSprint Backlog'!$I249=J$2), 'ProductSprint Backlog'!$F249, TRUE, 0)</f>
        <v>0</v>
      </c>
    </row>
    <row r="250" spans="2:10" x14ac:dyDescent="0.2">
      <c r="B250" s="4" cm="1">
        <f t="array" ref="B250">_xlfn.IFS('ProductSprint Backlog'!$F250="", "", AND('ProductSprint Backlog'!$J250&gt;B$2,'ProductSprint Backlog'!$I250&lt;=B$2), 'ProductSprint Backlog'!$F250 / MAX(1, 'ProductSprint Backlog'!$J250-'ProductSprint Backlog'!$I250), AND('ProductSprint Backlog'!$J250=B$2,'ProductSprint Backlog'!$I250=B$2), 'ProductSprint Backlog'!$F250, TRUE, 0)</f>
        <v>0</v>
      </c>
      <c r="C250" s="4" cm="1">
        <f t="array" ref="C250">_xlfn.IFS('ProductSprint Backlog'!$F250="", "", AND('ProductSprint Backlog'!$J250&gt;C$2,'ProductSprint Backlog'!$I250&lt;=C$2), 'ProductSprint Backlog'!$F250 / MAX(1, 'ProductSprint Backlog'!$J250-'ProductSprint Backlog'!$I250), AND('ProductSprint Backlog'!$J250=C$2,'ProductSprint Backlog'!$I250=C$2), 'ProductSprint Backlog'!$F250, TRUE, 0)</f>
        <v>0</v>
      </c>
      <c r="D250" s="4" cm="1">
        <f t="array" ref="D250">_xlfn.IFS('ProductSprint Backlog'!$F250="", "", AND('ProductSprint Backlog'!$J250&gt;D$2,'ProductSprint Backlog'!$I250&lt;=D$2), 'ProductSprint Backlog'!$F250 / MAX(1, 'ProductSprint Backlog'!$J250-'ProductSprint Backlog'!$I250), AND('ProductSprint Backlog'!$J250=D$2,'ProductSprint Backlog'!$I250=D$2), 'ProductSprint Backlog'!$F250, TRUE, 0)</f>
        <v>0</v>
      </c>
      <c r="E250" s="4" cm="1">
        <f t="array" ref="E250">_xlfn.IFS('ProductSprint Backlog'!$F250="", "", AND('ProductSprint Backlog'!$J250&gt;E$2,'ProductSprint Backlog'!$I250&lt;=E$2), 'ProductSprint Backlog'!$F250 / MAX(1, 'ProductSprint Backlog'!$J250-'ProductSprint Backlog'!$I250), AND('ProductSprint Backlog'!$J250=E$2,'ProductSprint Backlog'!$I250=E$2), 'ProductSprint Backlog'!$F250, TRUE, 0)</f>
        <v>0</v>
      </c>
      <c r="F250" s="4" cm="1">
        <f t="array" ref="F250">_xlfn.IFS('ProductSprint Backlog'!$F250="", "", AND('ProductSprint Backlog'!$J250&gt;F$2,'ProductSprint Backlog'!$I250&lt;=F$2), 'ProductSprint Backlog'!$F250 / MAX(1, 'ProductSprint Backlog'!$J250-'ProductSprint Backlog'!$I250), AND('ProductSprint Backlog'!$J250=F$2,'ProductSprint Backlog'!$I250=F$2), 'ProductSprint Backlog'!$F250, TRUE, 0)</f>
        <v>0</v>
      </c>
      <c r="G250" s="4" cm="1">
        <f t="array" ref="G250">_xlfn.IFS('ProductSprint Backlog'!$F250="", "", AND('ProductSprint Backlog'!$J250&gt;G$2,'ProductSprint Backlog'!$I250&lt;=G$2), 'ProductSprint Backlog'!$F250 / MAX(1, 'ProductSprint Backlog'!$J250-'ProductSprint Backlog'!$I250), AND('ProductSprint Backlog'!$J250=G$2,'ProductSprint Backlog'!$I250=G$2), 'ProductSprint Backlog'!$F250, TRUE, 0)</f>
        <v>0</v>
      </c>
      <c r="H250" s="4" cm="1">
        <f t="array" ref="H250">_xlfn.IFS('ProductSprint Backlog'!$F250="", "", AND('ProductSprint Backlog'!$J250&gt;H$2,'ProductSprint Backlog'!$I250&lt;=H$2), 'ProductSprint Backlog'!$F250 / MAX(1, 'ProductSprint Backlog'!$J250-'ProductSprint Backlog'!$I250), AND('ProductSprint Backlog'!$J250=H$2,'ProductSprint Backlog'!$I250=H$2), 'ProductSprint Backlog'!$F250, TRUE, 0)</f>
        <v>0</v>
      </c>
      <c r="I250" s="4" cm="1">
        <f t="array" ref="I250">_xlfn.IFS('ProductSprint Backlog'!$F250="", "", AND('ProductSprint Backlog'!$J250&gt;I$2,'ProductSprint Backlog'!$I250&lt;=I$2), 'ProductSprint Backlog'!$F250 / MAX(1, 'ProductSprint Backlog'!$J250-'ProductSprint Backlog'!$I250), AND('ProductSprint Backlog'!$J250=I$2,'ProductSprint Backlog'!$I250=I$2), 'ProductSprint Backlog'!$F250, TRUE, 0)</f>
        <v>0</v>
      </c>
      <c r="J250" s="4" cm="1">
        <f t="array" ref="J250">_xlfn.IFS('ProductSprint Backlog'!$F250="", "", AND('ProductSprint Backlog'!$J250&gt;J$2,'ProductSprint Backlog'!$I250&lt;=J$2), 'ProductSprint Backlog'!$F250 / MAX(1, 'ProductSprint Backlog'!$J250-'ProductSprint Backlog'!$I250), AND('ProductSprint Backlog'!$J250=J$2,'ProductSprint Backlog'!$I250=J$2), 'ProductSprint Backlog'!$F250, TRUE, 0)</f>
        <v>0</v>
      </c>
    </row>
    <row r="251" spans="2:10" x14ac:dyDescent="0.2">
      <c r="B251" s="4" cm="1">
        <f t="array" ref="B251">_xlfn.IFS('ProductSprint Backlog'!$F251="", "", AND('ProductSprint Backlog'!$J251&gt;B$2,'ProductSprint Backlog'!$I251&lt;=B$2), 'ProductSprint Backlog'!$F251 / MAX(1, 'ProductSprint Backlog'!$J251-'ProductSprint Backlog'!$I251), AND('ProductSprint Backlog'!$J251=B$2,'ProductSprint Backlog'!$I251=B$2), 'ProductSprint Backlog'!$F251, TRUE, 0)</f>
        <v>0</v>
      </c>
      <c r="C251" s="4" cm="1">
        <f t="array" ref="C251">_xlfn.IFS('ProductSprint Backlog'!$F251="", "", AND('ProductSprint Backlog'!$J251&gt;C$2,'ProductSprint Backlog'!$I251&lt;=C$2), 'ProductSprint Backlog'!$F251 / MAX(1, 'ProductSprint Backlog'!$J251-'ProductSprint Backlog'!$I251), AND('ProductSprint Backlog'!$J251=C$2,'ProductSprint Backlog'!$I251=C$2), 'ProductSprint Backlog'!$F251, TRUE, 0)</f>
        <v>0</v>
      </c>
      <c r="D251" s="4" cm="1">
        <f t="array" ref="D251">_xlfn.IFS('ProductSprint Backlog'!$F251="", "", AND('ProductSprint Backlog'!$J251&gt;D$2,'ProductSprint Backlog'!$I251&lt;=D$2), 'ProductSprint Backlog'!$F251 / MAX(1, 'ProductSprint Backlog'!$J251-'ProductSprint Backlog'!$I251), AND('ProductSprint Backlog'!$J251=D$2,'ProductSprint Backlog'!$I251=D$2), 'ProductSprint Backlog'!$F251, TRUE, 0)</f>
        <v>0</v>
      </c>
      <c r="E251" s="4" cm="1">
        <f t="array" ref="E251">_xlfn.IFS('ProductSprint Backlog'!$F251="", "", AND('ProductSprint Backlog'!$J251&gt;E$2,'ProductSprint Backlog'!$I251&lt;=E$2), 'ProductSprint Backlog'!$F251 / MAX(1, 'ProductSprint Backlog'!$J251-'ProductSprint Backlog'!$I251), AND('ProductSprint Backlog'!$J251=E$2,'ProductSprint Backlog'!$I251=E$2), 'ProductSprint Backlog'!$F251, TRUE, 0)</f>
        <v>0</v>
      </c>
      <c r="F251" s="4" cm="1">
        <f t="array" ref="F251">_xlfn.IFS('ProductSprint Backlog'!$F251="", "", AND('ProductSprint Backlog'!$J251&gt;F$2,'ProductSprint Backlog'!$I251&lt;=F$2), 'ProductSprint Backlog'!$F251 / MAX(1, 'ProductSprint Backlog'!$J251-'ProductSprint Backlog'!$I251), AND('ProductSprint Backlog'!$J251=F$2,'ProductSprint Backlog'!$I251=F$2), 'ProductSprint Backlog'!$F251, TRUE, 0)</f>
        <v>0</v>
      </c>
      <c r="G251" s="4" cm="1">
        <f t="array" ref="G251">_xlfn.IFS('ProductSprint Backlog'!$F251="", "", AND('ProductSprint Backlog'!$J251&gt;G$2,'ProductSprint Backlog'!$I251&lt;=G$2), 'ProductSprint Backlog'!$F251 / MAX(1, 'ProductSprint Backlog'!$J251-'ProductSprint Backlog'!$I251), AND('ProductSprint Backlog'!$J251=G$2,'ProductSprint Backlog'!$I251=G$2), 'ProductSprint Backlog'!$F251, TRUE, 0)</f>
        <v>0</v>
      </c>
      <c r="H251" s="4" cm="1">
        <f t="array" ref="H251">_xlfn.IFS('ProductSprint Backlog'!$F251="", "", AND('ProductSprint Backlog'!$J251&gt;H$2,'ProductSprint Backlog'!$I251&lt;=H$2), 'ProductSprint Backlog'!$F251 / MAX(1, 'ProductSprint Backlog'!$J251-'ProductSprint Backlog'!$I251), AND('ProductSprint Backlog'!$J251=H$2,'ProductSprint Backlog'!$I251=H$2), 'ProductSprint Backlog'!$F251, TRUE, 0)</f>
        <v>0</v>
      </c>
      <c r="I251" s="4" cm="1">
        <f t="array" ref="I251">_xlfn.IFS('ProductSprint Backlog'!$F251="", "", AND('ProductSprint Backlog'!$J251&gt;I$2,'ProductSprint Backlog'!$I251&lt;=I$2), 'ProductSprint Backlog'!$F251 / MAX(1, 'ProductSprint Backlog'!$J251-'ProductSprint Backlog'!$I251), AND('ProductSprint Backlog'!$J251=I$2,'ProductSprint Backlog'!$I251=I$2), 'ProductSprint Backlog'!$F251, TRUE, 0)</f>
        <v>0</v>
      </c>
      <c r="J251" s="4" cm="1">
        <f t="array" ref="J251">_xlfn.IFS('ProductSprint Backlog'!$F251="", "", AND('ProductSprint Backlog'!$J251&gt;J$2,'ProductSprint Backlog'!$I251&lt;=J$2), 'ProductSprint Backlog'!$F251 / MAX(1, 'ProductSprint Backlog'!$J251-'ProductSprint Backlog'!$I251), AND('ProductSprint Backlog'!$J251=J$2,'ProductSprint Backlog'!$I251=J$2), 'ProductSprint Backlog'!$F251, TRUE, 0)</f>
        <v>0</v>
      </c>
    </row>
    <row r="252" spans="2:10" x14ac:dyDescent="0.2">
      <c r="B252" s="4" cm="1">
        <f t="array" ref="B252">_xlfn.IFS('ProductSprint Backlog'!$F252="", "", AND('ProductSprint Backlog'!$J252&gt;B$2,'ProductSprint Backlog'!$I252&lt;=B$2), 'ProductSprint Backlog'!$F252 / MAX(1, 'ProductSprint Backlog'!$J252-'ProductSprint Backlog'!$I252), AND('ProductSprint Backlog'!$J252=B$2,'ProductSprint Backlog'!$I252=B$2), 'ProductSprint Backlog'!$F252, TRUE, 0)</f>
        <v>0</v>
      </c>
      <c r="C252" s="4" cm="1">
        <f t="array" ref="C252">_xlfn.IFS('ProductSprint Backlog'!$F252="", "", AND('ProductSprint Backlog'!$J252&gt;C$2,'ProductSprint Backlog'!$I252&lt;=C$2), 'ProductSprint Backlog'!$F252 / MAX(1, 'ProductSprint Backlog'!$J252-'ProductSprint Backlog'!$I252), AND('ProductSprint Backlog'!$J252=C$2,'ProductSprint Backlog'!$I252=C$2), 'ProductSprint Backlog'!$F252, TRUE, 0)</f>
        <v>0</v>
      </c>
      <c r="D252" s="4" cm="1">
        <f t="array" ref="D252">_xlfn.IFS('ProductSprint Backlog'!$F252="", "", AND('ProductSprint Backlog'!$J252&gt;D$2,'ProductSprint Backlog'!$I252&lt;=D$2), 'ProductSprint Backlog'!$F252 / MAX(1, 'ProductSprint Backlog'!$J252-'ProductSprint Backlog'!$I252), AND('ProductSprint Backlog'!$J252=D$2,'ProductSprint Backlog'!$I252=D$2), 'ProductSprint Backlog'!$F252, TRUE, 0)</f>
        <v>0</v>
      </c>
      <c r="E252" s="4" cm="1">
        <f t="array" ref="E252">_xlfn.IFS('ProductSprint Backlog'!$F252="", "", AND('ProductSprint Backlog'!$J252&gt;E$2,'ProductSprint Backlog'!$I252&lt;=E$2), 'ProductSprint Backlog'!$F252 / MAX(1, 'ProductSprint Backlog'!$J252-'ProductSprint Backlog'!$I252), AND('ProductSprint Backlog'!$J252=E$2,'ProductSprint Backlog'!$I252=E$2), 'ProductSprint Backlog'!$F252, TRUE, 0)</f>
        <v>0</v>
      </c>
      <c r="F252" s="4" cm="1">
        <f t="array" ref="F252">_xlfn.IFS('ProductSprint Backlog'!$F252="", "", AND('ProductSprint Backlog'!$J252&gt;F$2,'ProductSprint Backlog'!$I252&lt;=F$2), 'ProductSprint Backlog'!$F252 / MAX(1, 'ProductSprint Backlog'!$J252-'ProductSprint Backlog'!$I252), AND('ProductSprint Backlog'!$J252=F$2,'ProductSprint Backlog'!$I252=F$2), 'ProductSprint Backlog'!$F252, TRUE, 0)</f>
        <v>0</v>
      </c>
      <c r="G252" s="4" cm="1">
        <f t="array" ref="G252">_xlfn.IFS('ProductSprint Backlog'!$F252="", "", AND('ProductSprint Backlog'!$J252&gt;G$2,'ProductSprint Backlog'!$I252&lt;=G$2), 'ProductSprint Backlog'!$F252 / MAX(1, 'ProductSprint Backlog'!$J252-'ProductSprint Backlog'!$I252), AND('ProductSprint Backlog'!$J252=G$2,'ProductSprint Backlog'!$I252=G$2), 'ProductSprint Backlog'!$F252, TRUE, 0)</f>
        <v>0</v>
      </c>
      <c r="H252" s="4" cm="1">
        <f t="array" ref="H252">_xlfn.IFS('ProductSprint Backlog'!$F252="", "", AND('ProductSprint Backlog'!$J252&gt;H$2,'ProductSprint Backlog'!$I252&lt;=H$2), 'ProductSprint Backlog'!$F252 / MAX(1, 'ProductSprint Backlog'!$J252-'ProductSprint Backlog'!$I252), AND('ProductSprint Backlog'!$J252=H$2,'ProductSprint Backlog'!$I252=H$2), 'ProductSprint Backlog'!$F252, TRUE, 0)</f>
        <v>0</v>
      </c>
      <c r="I252" s="4" cm="1">
        <f t="array" ref="I252">_xlfn.IFS('ProductSprint Backlog'!$F252="", "", AND('ProductSprint Backlog'!$J252&gt;I$2,'ProductSprint Backlog'!$I252&lt;=I$2), 'ProductSprint Backlog'!$F252 / MAX(1, 'ProductSprint Backlog'!$J252-'ProductSprint Backlog'!$I252), AND('ProductSprint Backlog'!$J252=I$2,'ProductSprint Backlog'!$I252=I$2), 'ProductSprint Backlog'!$F252, TRUE, 0)</f>
        <v>0</v>
      </c>
      <c r="J252" s="4" cm="1">
        <f t="array" ref="J252">_xlfn.IFS('ProductSprint Backlog'!$F252="", "", AND('ProductSprint Backlog'!$J252&gt;J$2,'ProductSprint Backlog'!$I252&lt;=J$2), 'ProductSprint Backlog'!$F252 / MAX(1, 'ProductSprint Backlog'!$J252-'ProductSprint Backlog'!$I252), AND('ProductSprint Backlog'!$J252=J$2,'ProductSprint Backlog'!$I252=J$2), 'ProductSprint Backlog'!$F252, TRUE, 0)</f>
        <v>0</v>
      </c>
    </row>
    <row r="253" spans="2:10" x14ac:dyDescent="0.2">
      <c r="B253" s="4" cm="1">
        <f t="array" ref="B253">_xlfn.IFS('ProductSprint Backlog'!$F253="", "", AND('ProductSprint Backlog'!$J253&gt;B$2,'ProductSprint Backlog'!$I253&lt;=B$2), 'ProductSprint Backlog'!$F253 / MAX(1, 'ProductSprint Backlog'!$J253-'ProductSprint Backlog'!$I253), AND('ProductSprint Backlog'!$J253=B$2,'ProductSprint Backlog'!$I253=B$2), 'ProductSprint Backlog'!$F253, TRUE, 0)</f>
        <v>0</v>
      </c>
      <c r="C253" s="4" cm="1">
        <f t="array" ref="C253">_xlfn.IFS('ProductSprint Backlog'!$F253="", "", AND('ProductSprint Backlog'!$J253&gt;C$2,'ProductSprint Backlog'!$I253&lt;=C$2), 'ProductSprint Backlog'!$F253 / MAX(1, 'ProductSprint Backlog'!$J253-'ProductSprint Backlog'!$I253), AND('ProductSprint Backlog'!$J253=C$2,'ProductSprint Backlog'!$I253=C$2), 'ProductSprint Backlog'!$F253, TRUE, 0)</f>
        <v>0</v>
      </c>
      <c r="D253" s="4" cm="1">
        <f t="array" ref="D253">_xlfn.IFS('ProductSprint Backlog'!$F253="", "", AND('ProductSprint Backlog'!$J253&gt;D$2,'ProductSprint Backlog'!$I253&lt;=D$2), 'ProductSprint Backlog'!$F253 / MAX(1, 'ProductSprint Backlog'!$J253-'ProductSprint Backlog'!$I253), AND('ProductSprint Backlog'!$J253=D$2,'ProductSprint Backlog'!$I253=D$2), 'ProductSprint Backlog'!$F253, TRUE, 0)</f>
        <v>0</v>
      </c>
      <c r="E253" s="4" cm="1">
        <f t="array" ref="E253">_xlfn.IFS('ProductSprint Backlog'!$F253="", "", AND('ProductSprint Backlog'!$J253&gt;E$2,'ProductSprint Backlog'!$I253&lt;=E$2), 'ProductSprint Backlog'!$F253 / MAX(1, 'ProductSprint Backlog'!$J253-'ProductSprint Backlog'!$I253), AND('ProductSprint Backlog'!$J253=E$2,'ProductSprint Backlog'!$I253=E$2), 'ProductSprint Backlog'!$F253, TRUE, 0)</f>
        <v>0</v>
      </c>
      <c r="F253" s="4" cm="1">
        <f t="array" ref="F253">_xlfn.IFS('ProductSprint Backlog'!$F253="", "", AND('ProductSprint Backlog'!$J253&gt;F$2,'ProductSprint Backlog'!$I253&lt;=F$2), 'ProductSprint Backlog'!$F253 / MAX(1, 'ProductSprint Backlog'!$J253-'ProductSprint Backlog'!$I253), AND('ProductSprint Backlog'!$J253=F$2,'ProductSprint Backlog'!$I253=F$2), 'ProductSprint Backlog'!$F253, TRUE, 0)</f>
        <v>0</v>
      </c>
      <c r="G253" s="4" cm="1">
        <f t="array" ref="G253">_xlfn.IFS('ProductSprint Backlog'!$F253="", "", AND('ProductSprint Backlog'!$J253&gt;G$2,'ProductSprint Backlog'!$I253&lt;=G$2), 'ProductSprint Backlog'!$F253 / MAX(1, 'ProductSprint Backlog'!$J253-'ProductSprint Backlog'!$I253), AND('ProductSprint Backlog'!$J253=G$2,'ProductSprint Backlog'!$I253=G$2), 'ProductSprint Backlog'!$F253, TRUE, 0)</f>
        <v>0</v>
      </c>
      <c r="H253" s="4" cm="1">
        <f t="array" ref="H253">_xlfn.IFS('ProductSprint Backlog'!$F253="", "", AND('ProductSprint Backlog'!$J253&gt;H$2,'ProductSprint Backlog'!$I253&lt;=H$2), 'ProductSprint Backlog'!$F253 / MAX(1, 'ProductSprint Backlog'!$J253-'ProductSprint Backlog'!$I253), AND('ProductSprint Backlog'!$J253=H$2,'ProductSprint Backlog'!$I253=H$2), 'ProductSprint Backlog'!$F253, TRUE, 0)</f>
        <v>0</v>
      </c>
      <c r="I253" s="4" cm="1">
        <f t="array" ref="I253">_xlfn.IFS('ProductSprint Backlog'!$F253="", "", AND('ProductSprint Backlog'!$J253&gt;I$2,'ProductSprint Backlog'!$I253&lt;=I$2), 'ProductSprint Backlog'!$F253 / MAX(1, 'ProductSprint Backlog'!$J253-'ProductSprint Backlog'!$I253), AND('ProductSprint Backlog'!$J253=I$2,'ProductSprint Backlog'!$I253=I$2), 'ProductSprint Backlog'!$F253, TRUE, 0)</f>
        <v>0</v>
      </c>
      <c r="J253" s="4" cm="1">
        <f t="array" ref="J253">_xlfn.IFS('ProductSprint Backlog'!$F253="", "", AND('ProductSprint Backlog'!$J253&gt;J$2,'ProductSprint Backlog'!$I253&lt;=J$2), 'ProductSprint Backlog'!$F253 / MAX(1, 'ProductSprint Backlog'!$J253-'ProductSprint Backlog'!$I253), AND('ProductSprint Backlog'!$J253=J$2,'ProductSprint Backlog'!$I253=J$2), 'ProductSprint Backlog'!$F253, TRUE, 0)</f>
        <v>0</v>
      </c>
    </row>
    <row r="254" spans="2:10" x14ac:dyDescent="0.2">
      <c r="B254" s="4" cm="1">
        <f t="array" ref="B254">_xlfn.IFS('ProductSprint Backlog'!$F254="", "", AND('ProductSprint Backlog'!$J254&gt;B$2,'ProductSprint Backlog'!$I254&lt;=B$2), 'ProductSprint Backlog'!$F254 / MAX(1, 'ProductSprint Backlog'!$J254-'ProductSprint Backlog'!$I254), AND('ProductSprint Backlog'!$J254=B$2,'ProductSprint Backlog'!$I254=B$2), 'ProductSprint Backlog'!$F254, TRUE, 0)</f>
        <v>0</v>
      </c>
      <c r="C254" s="4" cm="1">
        <f t="array" ref="C254">_xlfn.IFS('ProductSprint Backlog'!$F254="", "", AND('ProductSprint Backlog'!$J254&gt;C$2,'ProductSprint Backlog'!$I254&lt;=C$2), 'ProductSprint Backlog'!$F254 / MAX(1, 'ProductSprint Backlog'!$J254-'ProductSprint Backlog'!$I254), AND('ProductSprint Backlog'!$J254=C$2,'ProductSprint Backlog'!$I254=C$2), 'ProductSprint Backlog'!$F254, TRUE, 0)</f>
        <v>0</v>
      </c>
      <c r="D254" s="4" cm="1">
        <f t="array" ref="D254">_xlfn.IFS('ProductSprint Backlog'!$F254="", "", AND('ProductSprint Backlog'!$J254&gt;D$2,'ProductSprint Backlog'!$I254&lt;=D$2), 'ProductSprint Backlog'!$F254 / MAX(1, 'ProductSprint Backlog'!$J254-'ProductSprint Backlog'!$I254), AND('ProductSprint Backlog'!$J254=D$2,'ProductSprint Backlog'!$I254=D$2), 'ProductSprint Backlog'!$F254, TRUE, 0)</f>
        <v>0</v>
      </c>
      <c r="E254" s="4" cm="1">
        <f t="array" ref="E254">_xlfn.IFS('ProductSprint Backlog'!$F254="", "", AND('ProductSprint Backlog'!$J254&gt;E$2,'ProductSprint Backlog'!$I254&lt;=E$2), 'ProductSprint Backlog'!$F254 / MAX(1, 'ProductSprint Backlog'!$J254-'ProductSprint Backlog'!$I254), AND('ProductSprint Backlog'!$J254=E$2,'ProductSprint Backlog'!$I254=E$2), 'ProductSprint Backlog'!$F254, TRUE, 0)</f>
        <v>0</v>
      </c>
      <c r="F254" s="4" cm="1">
        <f t="array" ref="F254">_xlfn.IFS('ProductSprint Backlog'!$F254="", "", AND('ProductSprint Backlog'!$J254&gt;F$2,'ProductSprint Backlog'!$I254&lt;=F$2), 'ProductSprint Backlog'!$F254 / MAX(1, 'ProductSprint Backlog'!$J254-'ProductSprint Backlog'!$I254), AND('ProductSprint Backlog'!$J254=F$2,'ProductSprint Backlog'!$I254=F$2), 'ProductSprint Backlog'!$F254, TRUE, 0)</f>
        <v>0</v>
      </c>
      <c r="G254" s="4" cm="1">
        <f t="array" ref="G254">_xlfn.IFS('ProductSprint Backlog'!$F254="", "", AND('ProductSprint Backlog'!$J254&gt;G$2,'ProductSprint Backlog'!$I254&lt;=G$2), 'ProductSprint Backlog'!$F254 / MAX(1, 'ProductSprint Backlog'!$J254-'ProductSprint Backlog'!$I254), AND('ProductSprint Backlog'!$J254=G$2,'ProductSprint Backlog'!$I254=G$2), 'ProductSprint Backlog'!$F254, TRUE, 0)</f>
        <v>0</v>
      </c>
      <c r="H254" s="4" cm="1">
        <f t="array" ref="H254">_xlfn.IFS('ProductSprint Backlog'!$F254="", "", AND('ProductSprint Backlog'!$J254&gt;H$2,'ProductSprint Backlog'!$I254&lt;=H$2), 'ProductSprint Backlog'!$F254 / MAX(1, 'ProductSprint Backlog'!$J254-'ProductSprint Backlog'!$I254), AND('ProductSprint Backlog'!$J254=H$2,'ProductSprint Backlog'!$I254=H$2), 'ProductSprint Backlog'!$F254, TRUE, 0)</f>
        <v>0</v>
      </c>
      <c r="I254" s="4" cm="1">
        <f t="array" ref="I254">_xlfn.IFS('ProductSprint Backlog'!$F254="", "", AND('ProductSprint Backlog'!$J254&gt;I$2,'ProductSprint Backlog'!$I254&lt;=I$2), 'ProductSprint Backlog'!$F254 / MAX(1, 'ProductSprint Backlog'!$J254-'ProductSprint Backlog'!$I254), AND('ProductSprint Backlog'!$J254=I$2,'ProductSprint Backlog'!$I254=I$2), 'ProductSprint Backlog'!$F254, TRUE, 0)</f>
        <v>0</v>
      </c>
      <c r="J254" s="4" cm="1">
        <f t="array" ref="J254">_xlfn.IFS('ProductSprint Backlog'!$F254="", "", AND('ProductSprint Backlog'!$J254&gt;J$2,'ProductSprint Backlog'!$I254&lt;=J$2), 'ProductSprint Backlog'!$F254 / MAX(1, 'ProductSprint Backlog'!$J254-'ProductSprint Backlog'!$I254), AND('ProductSprint Backlog'!$J254=J$2,'ProductSprint Backlog'!$I254=J$2), 'ProductSprint Backlog'!$F254, TRUE, 0)</f>
        <v>0</v>
      </c>
    </row>
    <row r="255" spans="2:10" x14ac:dyDescent="0.2">
      <c r="B255" s="4" cm="1">
        <f t="array" ref="B255">_xlfn.IFS('ProductSprint Backlog'!$F255="", "", AND('ProductSprint Backlog'!$J255&gt;B$2,'ProductSprint Backlog'!$I255&lt;=B$2), 'ProductSprint Backlog'!$F255 / MAX(1, 'ProductSprint Backlog'!$J255-'ProductSprint Backlog'!$I255), AND('ProductSprint Backlog'!$J255=B$2,'ProductSprint Backlog'!$I255=B$2), 'ProductSprint Backlog'!$F255, TRUE, 0)</f>
        <v>0</v>
      </c>
      <c r="C255" s="4" cm="1">
        <f t="array" ref="C255">_xlfn.IFS('ProductSprint Backlog'!$F255="", "", AND('ProductSprint Backlog'!$J255&gt;C$2,'ProductSprint Backlog'!$I255&lt;=C$2), 'ProductSprint Backlog'!$F255 / MAX(1, 'ProductSprint Backlog'!$J255-'ProductSprint Backlog'!$I255), AND('ProductSprint Backlog'!$J255=C$2,'ProductSprint Backlog'!$I255=C$2), 'ProductSprint Backlog'!$F255, TRUE, 0)</f>
        <v>0</v>
      </c>
      <c r="D255" s="4" cm="1">
        <f t="array" ref="D255">_xlfn.IFS('ProductSprint Backlog'!$F255="", "", AND('ProductSprint Backlog'!$J255&gt;D$2,'ProductSprint Backlog'!$I255&lt;=D$2), 'ProductSprint Backlog'!$F255 / MAX(1, 'ProductSprint Backlog'!$J255-'ProductSprint Backlog'!$I255), AND('ProductSprint Backlog'!$J255=D$2,'ProductSprint Backlog'!$I255=D$2), 'ProductSprint Backlog'!$F255, TRUE, 0)</f>
        <v>0</v>
      </c>
      <c r="E255" s="4" cm="1">
        <f t="array" ref="E255">_xlfn.IFS('ProductSprint Backlog'!$F255="", "", AND('ProductSprint Backlog'!$J255&gt;E$2,'ProductSprint Backlog'!$I255&lt;=E$2), 'ProductSprint Backlog'!$F255 / MAX(1, 'ProductSprint Backlog'!$J255-'ProductSprint Backlog'!$I255), AND('ProductSprint Backlog'!$J255=E$2,'ProductSprint Backlog'!$I255=E$2), 'ProductSprint Backlog'!$F255, TRUE, 0)</f>
        <v>0</v>
      </c>
      <c r="F255" s="4" cm="1">
        <f t="array" ref="F255">_xlfn.IFS('ProductSprint Backlog'!$F255="", "", AND('ProductSprint Backlog'!$J255&gt;F$2,'ProductSprint Backlog'!$I255&lt;=F$2), 'ProductSprint Backlog'!$F255 / MAX(1, 'ProductSprint Backlog'!$J255-'ProductSprint Backlog'!$I255), AND('ProductSprint Backlog'!$J255=F$2,'ProductSprint Backlog'!$I255=F$2), 'ProductSprint Backlog'!$F255, TRUE, 0)</f>
        <v>0</v>
      </c>
      <c r="G255" s="4" cm="1">
        <f t="array" ref="G255">_xlfn.IFS('ProductSprint Backlog'!$F255="", "", AND('ProductSprint Backlog'!$J255&gt;G$2,'ProductSprint Backlog'!$I255&lt;=G$2), 'ProductSprint Backlog'!$F255 / MAX(1, 'ProductSprint Backlog'!$J255-'ProductSprint Backlog'!$I255), AND('ProductSprint Backlog'!$J255=G$2,'ProductSprint Backlog'!$I255=G$2), 'ProductSprint Backlog'!$F255, TRUE, 0)</f>
        <v>0</v>
      </c>
      <c r="H255" s="4" cm="1">
        <f t="array" ref="H255">_xlfn.IFS('ProductSprint Backlog'!$F255="", "", AND('ProductSprint Backlog'!$J255&gt;H$2,'ProductSprint Backlog'!$I255&lt;=H$2), 'ProductSprint Backlog'!$F255 / MAX(1, 'ProductSprint Backlog'!$J255-'ProductSprint Backlog'!$I255), AND('ProductSprint Backlog'!$J255=H$2,'ProductSprint Backlog'!$I255=H$2), 'ProductSprint Backlog'!$F255, TRUE, 0)</f>
        <v>0</v>
      </c>
      <c r="I255" s="4" cm="1">
        <f t="array" ref="I255">_xlfn.IFS('ProductSprint Backlog'!$F255="", "", AND('ProductSprint Backlog'!$J255&gt;I$2,'ProductSprint Backlog'!$I255&lt;=I$2), 'ProductSprint Backlog'!$F255 / MAX(1, 'ProductSprint Backlog'!$J255-'ProductSprint Backlog'!$I255), AND('ProductSprint Backlog'!$J255=I$2,'ProductSprint Backlog'!$I255=I$2), 'ProductSprint Backlog'!$F255, TRUE, 0)</f>
        <v>0</v>
      </c>
      <c r="J255" s="4" cm="1">
        <f t="array" ref="J255">_xlfn.IFS('ProductSprint Backlog'!$F255="", "", AND('ProductSprint Backlog'!$J255&gt;J$2,'ProductSprint Backlog'!$I255&lt;=J$2), 'ProductSprint Backlog'!$F255 / MAX(1, 'ProductSprint Backlog'!$J255-'ProductSprint Backlog'!$I255), AND('ProductSprint Backlog'!$J255=J$2,'ProductSprint Backlog'!$I255=J$2), 'ProductSprint Backlog'!$F255, TRUE, 0)</f>
        <v>0</v>
      </c>
    </row>
    <row r="256" spans="2:10" x14ac:dyDescent="0.2">
      <c r="B256" s="4" cm="1">
        <f t="array" ref="B256">_xlfn.IFS('ProductSprint Backlog'!$F256="", "", AND('ProductSprint Backlog'!$J256&gt;B$2,'ProductSprint Backlog'!$I256&lt;=B$2), 'ProductSprint Backlog'!$F256 / MAX(1, 'ProductSprint Backlog'!$J256-'ProductSprint Backlog'!$I256), AND('ProductSprint Backlog'!$J256=B$2,'ProductSprint Backlog'!$I256=B$2), 'ProductSprint Backlog'!$F256, TRUE, 0)</f>
        <v>0</v>
      </c>
      <c r="C256" s="4" cm="1">
        <f t="array" ref="C256">_xlfn.IFS('ProductSprint Backlog'!$F256="", "", AND('ProductSprint Backlog'!$J256&gt;C$2,'ProductSprint Backlog'!$I256&lt;=C$2), 'ProductSprint Backlog'!$F256 / MAX(1, 'ProductSprint Backlog'!$J256-'ProductSprint Backlog'!$I256), AND('ProductSprint Backlog'!$J256=C$2,'ProductSprint Backlog'!$I256=C$2), 'ProductSprint Backlog'!$F256, TRUE, 0)</f>
        <v>0</v>
      </c>
      <c r="D256" s="4" cm="1">
        <f t="array" ref="D256">_xlfn.IFS('ProductSprint Backlog'!$F256="", "", AND('ProductSprint Backlog'!$J256&gt;D$2,'ProductSprint Backlog'!$I256&lt;=D$2), 'ProductSprint Backlog'!$F256 / MAX(1, 'ProductSprint Backlog'!$J256-'ProductSprint Backlog'!$I256), AND('ProductSprint Backlog'!$J256=D$2,'ProductSprint Backlog'!$I256=D$2), 'ProductSprint Backlog'!$F256, TRUE, 0)</f>
        <v>0</v>
      </c>
      <c r="E256" s="4" cm="1">
        <f t="array" ref="E256">_xlfn.IFS('ProductSprint Backlog'!$F256="", "", AND('ProductSprint Backlog'!$J256&gt;E$2,'ProductSprint Backlog'!$I256&lt;=E$2), 'ProductSprint Backlog'!$F256 / MAX(1, 'ProductSprint Backlog'!$J256-'ProductSprint Backlog'!$I256), AND('ProductSprint Backlog'!$J256=E$2,'ProductSprint Backlog'!$I256=E$2), 'ProductSprint Backlog'!$F256, TRUE, 0)</f>
        <v>0</v>
      </c>
      <c r="F256" s="4" cm="1">
        <f t="array" ref="F256">_xlfn.IFS('ProductSprint Backlog'!$F256="", "", AND('ProductSprint Backlog'!$J256&gt;F$2,'ProductSprint Backlog'!$I256&lt;=F$2), 'ProductSprint Backlog'!$F256 / MAX(1, 'ProductSprint Backlog'!$J256-'ProductSprint Backlog'!$I256), AND('ProductSprint Backlog'!$J256=F$2,'ProductSprint Backlog'!$I256=F$2), 'ProductSprint Backlog'!$F256, TRUE, 0)</f>
        <v>0</v>
      </c>
      <c r="G256" s="4" cm="1">
        <f t="array" ref="G256">_xlfn.IFS('ProductSprint Backlog'!$F256="", "", AND('ProductSprint Backlog'!$J256&gt;G$2,'ProductSprint Backlog'!$I256&lt;=G$2), 'ProductSprint Backlog'!$F256 / MAX(1, 'ProductSprint Backlog'!$J256-'ProductSprint Backlog'!$I256), AND('ProductSprint Backlog'!$J256=G$2,'ProductSprint Backlog'!$I256=G$2), 'ProductSprint Backlog'!$F256, TRUE, 0)</f>
        <v>0</v>
      </c>
      <c r="H256" s="4" cm="1">
        <f t="array" ref="H256">_xlfn.IFS('ProductSprint Backlog'!$F256="", "", AND('ProductSprint Backlog'!$J256&gt;H$2,'ProductSprint Backlog'!$I256&lt;=H$2), 'ProductSprint Backlog'!$F256 / MAX(1, 'ProductSprint Backlog'!$J256-'ProductSprint Backlog'!$I256), AND('ProductSprint Backlog'!$J256=H$2,'ProductSprint Backlog'!$I256=H$2), 'ProductSprint Backlog'!$F256, TRUE, 0)</f>
        <v>0</v>
      </c>
      <c r="I256" s="4" cm="1">
        <f t="array" ref="I256">_xlfn.IFS('ProductSprint Backlog'!$F256="", "", AND('ProductSprint Backlog'!$J256&gt;I$2,'ProductSprint Backlog'!$I256&lt;=I$2), 'ProductSprint Backlog'!$F256 / MAX(1, 'ProductSprint Backlog'!$J256-'ProductSprint Backlog'!$I256), AND('ProductSprint Backlog'!$J256=I$2,'ProductSprint Backlog'!$I256=I$2), 'ProductSprint Backlog'!$F256, TRUE, 0)</f>
        <v>0</v>
      </c>
      <c r="J256" s="4" cm="1">
        <f t="array" ref="J256">_xlfn.IFS('ProductSprint Backlog'!$F256="", "", AND('ProductSprint Backlog'!$J256&gt;J$2,'ProductSprint Backlog'!$I256&lt;=J$2), 'ProductSprint Backlog'!$F256 / MAX(1, 'ProductSprint Backlog'!$J256-'ProductSprint Backlog'!$I256), AND('ProductSprint Backlog'!$J256=J$2,'ProductSprint Backlog'!$I256=J$2), 'ProductSprint Backlog'!$F256, TRUE, 0)</f>
        <v>0</v>
      </c>
    </row>
    <row r="257" spans="2:10" x14ac:dyDescent="0.2">
      <c r="B257" s="4" cm="1">
        <f t="array" ref="B257">_xlfn.IFS('ProductSprint Backlog'!$F257="", "", AND('ProductSprint Backlog'!$J257&gt;B$2,'ProductSprint Backlog'!$I257&lt;=B$2), 'ProductSprint Backlog'!$F257 / MAX(1, 'ProductSprint Backlog'!$J257-'ProductSprint Backlog'!$I257), AND('ProductSprint Backlog'!$J257=B$2,'ProductSprint Backlog'!$I257=B$2), 'ProductSprint Backlog'!$F257, TRUE, 0)</f>
        <v>0</v>
      </c>
      <c r="C257" s="4" cm="1">
        <f t="array" ref="C257">_xlfn.IFS('ProductSprint Backlog'!$F257="", "", AND('ProductSprint Backlog'!$J257&gt;C$2,'ProductSprint Backlog'!$I257&lt;=C$2), 'ProductSprint Backlog'!$F257 / MAX(1, 'ProductSprint Backlog'!$J257-'ProductSprint Backlog'!$I257), AND('ProductSprint Backlog'!$J257=C$2,'ProductSprint Backlog'!$I257=C$2), 'ProductSprint Backlog'!$F257, TRUE, 0)</f>
        <v>0</v>
      </c>
      <c r="D257" s="4" cm="1">
        <f t="array" ref="D257">_xlfn.IFS('ProductSprint Backlog'!$F257="", "", AND('ProductSprint Backlog'!$J257&gt;D$2,'ProductSprint Backlog'!$I257&lt;=D$2), 'ProductSprint Backlog'!$F257 / MAX(1, 'ProductSprint Backlog'!$J257-'ProductSprint Backlog'!$I257), AND('ProductSprint Backlog'!$J257=D$2,'ProductSprint Backlog'!$I257=D$2), 'ProductSprint Backlog'!$F257, TRUE, 0)</f>
        <v>0</v>
      </c>
      <c r="E257" s="4" cm="1">
        <f t="array" ref="E257">_xlfn.IFS('ProductSprint Backlog'!$F257="", "", AND('ProductSprint Backlog'!$J257&gt;E$2,'ProductSprint Backlog'!$I257&lt;=E$2), 'ProductSprint Backlog'!$F257 / MAX(1, 'ProductSprint Backlog'!$J257-'ProductSprint Backlog'!$I257), AND('ProductSprint Backlog'!$J257=E$2,'ProductSprint Backlog'!$I257=E$2), 'ProductSprint Backlog'!$F257, TRUE, 0)</f>
        <v>0</v>
      </c>
      <c r="F257" s="4" cm="1">
        <f t="array" ref="F257">_xlfn.IFS('ProductSprint Backlog'!$F257="", "", AND('ProductSprint Backlog'!$J257&gt;F$2,'ProductSprint Backlog'!$I257&lt;=F$2), 'ProductSprint Backlog'!$F257 / MAX(1, 'ProductSprint Backlog'!$J257-'ProductSprint Backlog'!$I257), AND('ProductSprint Backlog'!$J257=F$2,'ProductSprint Backlog'!$I257=F$2), 'ProductSprint Backlog'!$F257, TRUE, 0)</f>
        <v>0</v>
      </c>
      <c r="G257" s="4" cm="1">
        <f t="array" ref="G257">_xlfn.IFS('ProductSprint Backlog'!$F257="", "", AND('ProductSprint Backlog'!$J257&gt;G$2,'ProductSprint Backlog'!$I257&lt;=G$2), 'ProductSprint Backlog'!$F257 / MAX(1, 'ProductSprint Backlog'!$J257-'ProductSprint Backlog'!$I257), AND('ProductSprint Backlog'!$J257=G$2,'ProductSprint Backlog'!$I257=G$2), 'ProductSprint Backlog'!$F257, TRUE, 0)</f>
        <v>0</v>
      </c>
      <c r="H257" s="4" cm="1">
        <f t="array" ref="H257">_xlfn.IFS('ProductSprint Backlog'!$F257="", "", AND('ProductSprint Backlog'!$J257&gt;H$2,'ProductSprint Backlog'!$I257&lt;=H$2), 'ProductSprint Backlog'!$F257 / MAX(1, 'ProductSprint Backlog'!$J257-'ProductSprint Backlog'!$I257), AND('ProductSprint Backlog'!$J257=H$2,'ProductSprint Backlog'!$I257=H$2), 'ProductSprint Backlog'!$F257, TRUE, 0)</f>
        <v>0</v>
      </c>
      <c r="I257" s="4" cm="1">
        <f t="array" ref="I257">_xlfn.IFS('ProductSprint Backlog'!$F257="", "", AND('ProductSprint Backlog'!$J257&gt;I$2,'ProductSprint Backlog'!$I257&lt;=I$2), 'ProductSprint Backlog'!$F257 / MAX(1, 'ProductSprint Backlog'!$J257-'ProductSprint Backlog'!$I257), AND('ProductSprint Backlog'!$J257=I$2,'ProductSprint Backlog'!$I257=I$2), 'ProductSprint Backlog'!$F257, TRUE, 0)</f>
        <v>0</v>
      </c>
      <c r="J257" s="4" cm="1">
        <f t="array" ref="J257">_xlfn.IFS('ProductSprint Backlog'!$F257="", "", AND('ProductSprint Backlog'!$J257&gt;J$2,'ProductSprint Backlog'!$I257&lt;=J$2), 'ProductSprint Backlog'!$F257 / MAX(1, 'ProductSprint Backlog'!$J257-'ProductSprint Backlog'!$I257), AND('ProductSprint Backlog'!$J257=J$2,'ProductSprint Backlog'!$I257=J$2), 'ProductSprint Backlog'!$F257, TRUE, 0)</f>
        <v>0</v>
      </c>
    </row>
    <row r="258" spans="2:10" x14ac:dyDescent="0.2">
      <c r="B258" s="4" cm="1">
        <f t="array" ref="B258">_xlfn.IFS('ProductSprint Backlog'!$F258="", "", AND('ProductSprint Backlog'!$J258&gt;B$2,'ProductSprint Backlog'!$I258&lt;=B$2), 'ProductSprint Backlog'!$F258 / MAX(1, 'ProductSprint Backlog'!$J258-'ProductSprint Backlog'!$I258), AND('ProductSprint Backlog'!$J258=B$2,'ProductSprint Backlog'!$I258=B$2), 'ProductSprint Backlog'!$F258, TRUE, 0)</f>
        <v>0</v>
      </c>
      <c r="C258" s="4" cm="1">
        <f t="array" ref="C258">_xlfn.IFS('ProductSprint Backlog'!$F258="", "", AND('ProductSprint Backlog'!$J258&gt;C$2,'ProductSprint Backlog'!$I258&lt;=C$2), 'ProductSprint Backlog'!$F258 / MAX(1, 'ProductSprint Backlog'!$J258-'ProductSprint Backlog'!$I258), AND('ProductSprint Backlog'!$J258=C$2,'ProductSprint Backlog'!$I258=C$2), 'ProductSprint Backlog'!$F258, TRUE, 0)</f>
        <v>0</v>
      </c>
      <c r="D258" s="4" cm="1">
        <f t="array" ref="D258">_xlfn.IFS('ProductSprint Backlog'!$F258="", "", AND('ProductSprint Backlog'!$J258&gt;D$2,'ProductSprint Backlog'!$I258&lt;=D$2), 'ProductSprint Backlog'!$F258 / MAX(1, 'ProductSprint Backlog'!$J258-'ProductSprint Backlog'!$I258), AND('ProductSprint Backlog'!$J258=D$2,'ProductSprint Backlog'!$I258=D$2), 'ProductSprint Backlog'!$F258, TRUE, 0)</f>
        <v>0</v>
      </c>
      <c r="E258" s="4" cm="1">
        <f t="array" ref="E258">_xlfn.IFS('ProductSprint Backlog'!$F258="", "", AND('ProductSprint Backlog'!$J258&gt;E$2,'ProductSprint Backlog'!$I258&lt;=E$2), 'ProductSprint Backlog'!$F258 / MAX(1, 'ProductSprint Backlog'!$J258-'ProductSprint Backlog'!$I258), AND('ProductSprint Backlog'!$J258=E$2,'ProductSprint Backlog'!$I258=E$2), 'ProductSprint Backlog'!$F258, TRUE, 0)</f>
        <v>0</v>
      </c>
      <c r="F258" s="4" cm="1">
        <f t="array" ref="F258">_xlfn.IFS('ProductSprint Backlog'!$F258="", "", AND('ProductSprint Backlog'!$J258&gt;F$2,'ProductSprint Backlog'!$I258&lt;=F$2), 'ProductSprint Backlog'!$F258 / MAX(1, 'ProductSprint Backlog'!$J258-'ProductSprint Backlog'!$I258), AND('ProductSprint Backlog'!$J258=F$2,'ProductSprint Backlog'!$I258=F$2), 'ProductSprint Backlog'!$F258, TRUE, 0)</f>
        <v>0</v>
      </c>
      <c r="G258" s="4" cm="1">
        <f t="array" ref="G258">_xlfn.IFS('ProductSprint Backlog'!$F258="", "", AND('ProductSprint Backlog'!$J258&gt;G$2,'ProductSprint Backlog'!$I258&lt;=G$2), 'ProductSprint Backlog'!$F258 / MAX(1, 'ProductSprint Backlog'!$J258-'ProductSprint Backlog'!$I258), AND('ProductSprint Backlog'!$J258=G$2,'ProductSprint Backlog'!$I258=G$2), 'ProductSprint Backlog'!$F258, TRUE, 0)</f>
        <v>0</v>
      </c>
      <c r="H258" s="4" cm="1">
        <f t="array" ref="H258">_xlfn.IFS('ProductSprint Backlog'!$F258="", "", AND('ProductSprint Backlog'!$J258&gt;H$2,'ProductSprint Backlog'!$I258&lt;=H$2), 'ProductSprint Backlog'!$F258 / MAX(1, 'ProductSprint Backlog'!$J258-'ProductSprint Backlog'!$I258), AND('ProductSprint Backlog'!$J258=H$2,'ProductSprint Backlog'!$I258=H$2), 'ProductSprint Backlog'!$F258, TRUE, 0)</f>
        <v>0</v>
      </c>
      <c r="I258" s="4" cm="1">
        <f t="array" ref="I258">_xlfn.IFS('ProductSprint Backlog'!$F258="", "", AND('ProductSprint Backlog'!$J258&gt;I$2,'ProductSprint Backlog'!$I258&lt;=I$2), 'ProductSprint Backlog'!$F258 / MAX(1, 'ProductSprint Backlog'!$J258-'ProductSprint Backlog'!$I258), AND('ProductSprint Backlog'!$J258=I$2,'ProductSprint Backlog'!$I258=I$2), 'ProductSprint Backlog'!$F258, TRUE, 0)</f>
        <v>0</v>
      </c>
      <c r="J258" s="4" cm="1">
        <f t="array" ref="J258">_xlfn.IFS('ProductSprint Backlog'!$F258="", "", AND('ProductSprint Backlog'!$J258&gt;J$2,'ProductSprint Backlog'!$I258&lt;=J$2), 'ProductSprint Backlog'!$F258 / MAX(1, 'ProductSprint Backlog'!$J258-'ProductSprint Backlog'!$I258), AND('ProductSprint Backlog'!$J258=J$2,'ProductSprint Backlog'!$I258=J$2), 'ProductSprint Backlog'!$F258, TRUE, 0)</f>
        <v>0</v>
      </c>
    </row>
    <row r="259" spans="2:10" x14ac:dyDescent="0.2">
      <c r="B259" s="4" cm="1">
        <f t="array" ref="B259">_xlfn.IFS('ProductSprint Backlog'!$F259="", "", AND('ProductSprint Backlog'!$J259&gt;B$2,'ProductSprint Backlog'!$I259&lt;=B$2), 'ProductSprint Backlog'!$F259 / MAX(1, 'ProductSprint Backlog'!$J259-'ProductSprint Backlog'!$I259), AND('ProductSprint Backlog'!$J259=B$2,'ProductSprint Backlog'!$I259=B$2), 'ProductSprint Backlog'!$F259, TRUE, 0)</f>
        <v>0</v>
      </c>
      <c r="C259" s="4" cm="1">
        <f t="array" ref="C259">_xlfn.IFS('ProductSprint Backlog'!$F259="", "", AND('ProductSprint Backlog'!$J259&gt;C$2,'ProductSprint Backlog'!$I259&lt;=C$2), 'ProductSprint Backlog'!$F259 / MAX(1, 'ProductSprint Backlog'!$J259-'ProductSprint Backlog'!$I259), AND('ProductSprint Backlog'!$J259=C$2,'ProductSprint Backlog'!$I259=C$2), 'ProductSprint Backlog'!$F259, TRUE, 0)</f>
        <v>0</v>
      </c>
      <c r="D259" s="4" cm="1">
        <f t="array" ref="D259">_xlfn.IFS('ProductSprint Backlog'!$F259="", "", AND('ProductSprint Backlog'!$J259&gt;D$2,'ProductSprint Backlog'!$I259&lt;=D$2), 'ProductSprint Backlog'!$F259 / MAX(1, 'ProductSprint Backlog'!$J259-'ProductSprint Backlog'!$I259), AND('ProductSprint Backlog'!$J259=D$2,'ProductSprint Backlog'!$I259=D$2), 'ProductSprint Backlog'!$F259, TRUE, 0)</f>
        <v>0</v>
      </c>
      <c r="E259" s="4" cm="1">
        <f t="array" ref="E259">_xlfn.IFS('ProductSprint Backlog'!$F259="", "", AND('ProductSprint Backlog'!$J259&gt;E$2,'ProductSprint Backlog'!$I259&lt;=E$2), 'ProductSprint Backlog'!$F259 / MAX(1, 'ProductSprint Backlog'!$J259-'ProductSprint Backlog'!$I259), AND('ProductSprint Backlog'!$J259=E$2,'ProductSprint Backlog'!$I259=E$2), 'ProductSprint Backlog'!$F259, TRUE, 0)</f>
        <v>0</v>
      </c>
      <c r="F259" s="4" cm="1">
        <f t="array" ref="F259">_xlfn.IFS('ProductSprint Backlog'!$F259="", "", AND('ProductSprint Backlog'!$J259&gt;F$2,'ProductSprint Backlog'!$I259&lt;=F$2), 'ProductSprint Backlog'!$F259 / MAX(1, 'ProductSprint Backlog'!$J259-'ProductSprint Backlog'!$I259), AND('ProductSprint Backlog'!$J259=F$2,'ProductSprint Backlog'!$I259=F$2), 'ProductSprint Backlog'!$F259, TRUE, 0)</f>
        <v>0</v>
      </c>
      <c r="G259" s="4" cm="1">
        <f t="array" ref="G259">_xlfn.IFS('ProductSprint Backlog'!$F259="", "", AND('ProductSprint Backlog'!$J259&gt;G$2,'ProductSprint Backlog'!$I259&lt;=G$2), 'ProductSprint Backlog'!$F259 / MAX(1, 'ProductSprint Backlog'!$J259-'ProductSprint Backlog'!$I259), AND('ProductSprint Backlog'!$J259=G$2,'ProductSprint Backlog'!$I259=G$2), 'ProductSprint Backlog'!$F259, TRUE, 0)</f>
        <v>0</v>
      </c>
      <c r="H259" s="4" cm="1">
        <f t="array" ref="H259">_xlfn.IFS('ProductSprint Backlog'!$F259="", "", AND('ProductSprint Backlog'!$J259&gt;H$2,'ProductSprint Backlog'!$I259&lt;=H$2), 'ProductSprint Backlog'!$F259 / MAX(1, 'ProductSprint Backlog'!$J259-'ProductSprint Backlog'!$I259), AND('ProductSprint Backlog'!$J259=H$2,'ProductSprint Backlog'!$I259=H$2), 'ProductSprint Backlog'!$F259, TRUE, 0)</f>
        <v>0</v>
      </c>
      <c r="I259" s="4" cm="1">
        <f t="array" ref="I259">_xlfn.IFS('ProductSprint Backlog'!$F259="", "", AND('ProductSprint Backlog'!$J259&gt;I$2,'ProductSprint Backlog'!$I259&lt;=I$2), 'ProductSprint Backlog'!$F259 / MAX(1, 'ProductSprint Backlog'!$J259-'ProductSprint Backlog'!$I259), AND('ProductSprint Backlog'!$J259=I$2,'ProductSprint Backlog'!$I259=I$2), 'ProductSprint Backlog'!$F259, TRUE, 0)</f>
        <v>0</v>
      </c>
      <c r="J259" s="4" cm="1">
        <f t="array" ref="J259">_xlfn.IFS('ProductSprint Backlog'!$F259="", "", AND('ProductSprint Backlog'!$J259&gt;J$2,'ProductSprint Backlog'!$I259&lt;=J$2), 'ProductSprint Backlog'!$F259 / MAX(1, 'ProductSprint Backlog'!$J259-'ProductSprint Backlog'!$I259), AND('ProductSprint Backlog'!$J259=J$2,'ProductSprint Backlog'!$I259=J$2), 'ProductSprint Backlog'!$F259, TRUE, 0)</f>
        <v>0</v>
      </c>
    </row>
    <row r="260" spans="2:10" x14ac:dyDescent="0.2">
      <c r="B260" s="4" cm="1">
        <f t="array" ref="B260">_xlfn.IFS('ProductSprint Backlog'!$F260="", "", AND('ProductSprint Backlog'!$J260&gt;B$2,'ProductSprint Backlog'!$I260&lt;=B$2), 'ProductSprint Backlog'!$F260 / MAX(1, 'ProductSprint Backlog'!$J260-'ProductSprint Backlog'!$I260), AND('ProductSprint Backlog'!$J260=B$2,'ProductSprint Backlog'!$I260=B$2), 'ProductSprint Backlog'!$F260, TRUE, 0)</f>
        <v>0</v>
      </c>
      <c r="C260" s="4" cm="1">
        <f t="array" ref="C260">_xlfn.IFS('ProductSprint Backlog'!$F260="", "", AND('ProductSprint Backlog'!$J260&gt;C$2,'ProductSprint Backlog'!$I260&lt;=C$2), 'ProductSprint Backlog'!$F260 / MAX(1, 'ProductSprint Backlog'!$J260-'ProductSprint Backlog'!$I260), AND('ProductSprint Backlog'!$J260=C$2,'ProductSprint Backlog'!$I260=C$2), 'ProductSprint Backlog'!$F260, TRUE, 0)</f>
        <v>0</v>
      </c>
      <c r="D260" s="4" cm="1">
        <f t="array" ref="D260">_xlfn.IFS('ProductSprint Backlog'!$F260="", "", AND('ProductSprint Backlog'!$J260&gt;D$2,'ProductSprint Backlog'!$I260&lt;=D$2), 'ProductSprint Backlog'!$F260 / MAX(1, 'ProductSprint Backlog'!$J260-'ProductSprint Backlog'!$I260), AND('ProductSprint Backlog'!$J260=D$2,'ProductSprint Backlog'!$I260=D$2), 'ProductSprint Backlog'!$F260, TRUE, 0)</f>
        <v>0</v>
      </c>
      <c r="E260" s="4" cm="1">
        <f t="array" ref="E260">_xlfn.IFS('ProductSprint Backlog'!$F260="", "", AND('ProductSprint Backlog'!$J260&gt;E$2,'ProductSprint Backlog'!$I260&lt;=E$2), 'ProductSprint Backlog'!$F260 / MAX(1, 'ProductSprint Backlog'!$J260-'ProductSprint Backlog'!$I260), AND('ProductSprint Backlog'!$J260=E$2,'ProductSprint Backlog'!$I260=E$2), 'ProductSprint Backlog'!$F260, TRUE, 0)</f>
        <v>0</v>
      </c>
      <c r="F260" s="4" cm="1">
        <f t="array" ref="F260">_xlfn.IFS('ProductSprint Backlog'!$F260="", "", AND('ProductSprint Backlog'!$J260&gt;F$2,'ProductSprint Backlog'!$I260&lt;=F$2), 'ProductSprint Backlog'!$F260 / MAX(1, 'ProductSprint Backlog'!$J260-'ProductSprint Backlog'!$I260), AND('ProductSprint Backlog'!$J260=F$2,'ProductSprint Backlog'!$I260=F$2), 'ProductSprint Backlog'!$F260, TRUE, 0)</f>
        <v>0</v>
      </c>
      <c r="G260" s="4" cm="1">
        <f t="array" ref="G260">_xlfn.IFS('ProductSprint Backlog'!$F260="", "", AND('ProductSprint Backlog'!$J260&gt;G$2,'ProductSprint Backlog'!$I260&lt;=G$2), 'ProductSprint Backlog'!$F260 / MAX(1, 'ProductSprint Backlog'!$J260-'ProductSprint Backlog'!$I260), AND('ProductSprint Backlog'!$J260=G$2,'ProductSprint Backlog'!$I260=G$2), 'ProductSprint Backlog'!$F260, TRUE, 0)</f>
        <v>0</v>
      </c>
      <c r="H260" s="4" cm="1">
        <f t="array" ref="H260">_xlfn.IFS('ProductSprint Backlog'!$F260="", "", AND('ProductSprint Backlog'!$J260&gt;H$2,'ProductSprint Backlog'!$I260&lt;=H$2), 'ProductSprint Backlog'!$F260 / MAX(1, 'ProductSprint Backlog'!$J260-'ProductSprint Backlog'!$I260), AND('ProductSprint Backlog'!$J260=H$2,'ProductSprint Backlog'!$I260=H$2), 'ProductSprint Backlog'!$F260, TRUE, 0)</f>
        <v>0</v>
      </c>
      <c r="I260" s="4" cm="1">
        <f t="array" ref="I260">_xlfn.IFS('ProductSprint Backlog'!$F260="", "", AND('ProductSprint Backlog'!$J260&gt;I$2,'ProductSprint Backlog'!$I260&lt;=I$2), 'ProductSprint Backlog'!$F260 / MAX(1, 'ProductSprint Backlog'!$J260-'ProductSprint Backlog'!$I260), AND('ProductSprint Backlog'!$J260=I$2,'ProductSprint Backlog'!$I260=I$2), 'ProductSprint Backlog'!$F260, TRUE, 0)</f>
        <v>0</v>
      </c>
      <c r="J260" s="4" cm="1">
        <f t="array" ref="J260">_xlfn.IFS('ProductSprint Backlog'!$F260="", "", AND('ProductSprint Backlog'!$J260&gt;J$2,'ProductSprint Backlog'!$I260&lt;=J$2), 'ProductSprint Backlog'!$F260 / MAX(1, 'ProductSprint Backlog'!$J260-'ProductSprint Backlog'!$I260), AND('ProductSprint Backlog'!$J260=J$2,'ProductSprint Backlog'!$I260=J$2), 'ProductSprint Backlog'!$F260, TRUE, 0)</f>
        <v>0</v>
      </c>
    </row>
    <row r="261" spans="2:10" x14ac:dyDescent="0.2">
      <c r="B261" s="4" cm="1">
        <f t="array" ref="B261">_xlfn.IFS('ProductSprint Backlog'!$F261="", "", AND('ProductSprint Backlog'!$J261&gt;B$2,'ProductSprint Backlog'!$I261&lt;=B$2), 'ProductSprint Backlog'!$F261 / MAX(1, 'ProductSprint Backlog'!$J261-'ProductSprint Backlog'!$I261), AND('ProductSprint Backlog'!$J261=B$2,'ProductSprint Backlog'!$I261=B$2), 'ProductSprint Backlog'!$F261, TRUE, 0)</f>
        <v>0</v>
      </c>
      <c r="C261" s="4" cm="1">
        <f t="array" ref="C261">_xlfn.IFS('ProductSprint Backlog'!$F261="", "", AND('ProductSprint Backlog'!$J261&gt;C$2,'ProductSprint Backlog'!$I261&lt;=C$2), 'ProductSprint Backlog'!$F261 / MAX(1, 'ProductSprint Backlog'!$J261-'ProductSprint Backlog'!$I261), AND('ProductSprint Backlog'!$J261=C$2,'ProductSprint Backlog'!$I261=C$2), 'ProductSprint Backlog'!$F261, TRUE, 0)</f>
        <v>0</v>
      </c>
      <c r="D261" s="4" cm="1">
        <f t="array" ref="D261">_xlfn.IFS('ProductSprint Backlog'!$F261="", "", AND('ProductSprint Backlog'!$J261&gt;D$2,'ProductSprint Backlog'!$I261&lt;=D$2), 'ProductSprint Backlog'!$F261 / MAX(1, 'ProductSprint Backlog'!$J261-'ProductSprint Backlog'!$I261), AND('ProductSprint Backlog'!$J261=D$2,'ProductSprint Backlog'!$I261=D$2), 'ProductSprint Backlog'!$F261, TRUE, 0)</f>
        <v>0</v>
      </c>
      <c r="E261" s="4" cm="1">
        <f t="array" ref="E261">_xlfn.IFS('ProductSprint Backlog'!$F261="", "", AND('ProductSprint Backlog'!$J261&gt;E$2,'ProductSprint Backlog'!$I261&lt;=E$2), 'ProductSprint Backlog'!$F261 / MAX(1, 'ProductSprint Backlog'!$J261-'ProductSprint Backlog'!$I261), AND('ProductSprint Backlog'!$J261=E$2,'ProductSprint Backlog'!$I261=E$2), 'ProductSprint Backlog'!$F261, TRUE, 0)</f>
        <v>0</v>
      </c>
      <c r="F261" s="4" cm="1">
        <f t="array" ref="F261">_xlfn.IFS('ProductSprint Backlog'!$F261="", "", AND('ProductSprint Backlog'!$J261&gt;F$2,'ProductSprint Backlog'!$I261&lt;=F$2), 'ProductSprint Backlog'!$F261 / MAX(1, 'ProductSprint Backlog'!$J261-'ProductSprint Backlog'!$I261), AND('ProductSprint Backlog'!$J261=F$2,'ProductSprint Backlog'!$I261=F$2), 'ProductSprint Backlog'!$F261, TRUE, 0)</f>
        <v>0</v>
      </c>
      <c r="G261" s="4" cm="1">
        <f t="array" ref="G261">_xlfn.IFS('ProductSprint Backlog'!$F261="", "", AND('ProductSprint Backlog'!$J261&gt;G$2,'ProductSprint Backlog'!$I261&lt;=G$2), 'ProductSprint Backlog'!$F261 / MAX(1, 'ProductSprint Backlog'!$J261-'ProductSprint Backlog'!$I261), AND('ProductSprint Backlog'!$J261=G$2,'ProductSprint Backlog'!$I261=G$2), 'ProductSprint Backlog'!$F261, TRUE, 0)</f>
        <v>0</v>
      </c>
      <c r="H261" s="4" cm="1">
        <f t="array" ref="H261">_xlfn.IFS('ProductSprint Backlog'!$F261="", "", AND('ProductSprint Backlog'!$J261&gt;H$2,'ProductSprint Backlog'!$I261&lt;=H$2), 'ProductSprint Backlog'!$F261 / MAX(1, 'ProductSprint Backlog'!$J261-'ProductSprint Backlog'!$I261), AND('ProductSprint Backlog'!$J261=H$2,'ProductSprint Backlog'!$I261=H$2), 'ProductSprint Backlog'!$F261, TRUE, 0)</f>
        <v>0</v>
      </c>
      <c r="I261" s="4" cm="1">
        <f t="array" ref="I261">_xlfn.IFS('ProductSprint Backlog'!$F261="", "", AND('ProductSprint Backlog'!$J261&gt;I$2,'ProductSprint Backlog'!$I261&lt;=I$2), 'ProductSprint Backlog'!$F261 / MAX(1, 'ProductSprint Backlog'!$J261-'ProductSprint Backlog'!$I261), AND('ProductSprint Backlog'!$J261=I$2,'ProductSprint Backlog'!$I261=I$2), 'ProductSprint Backlog'!$F261, TRUE, 0)</f>
        <v>0</v>
      </c>
      <c r="J261" s="4" cm="1">
        <f t="array" ref="J261">_xlfn.IFS('ProductSprint Backlog'!$F261="", "", AND('ProductSprint Backlog'!$J261&gt;J$2,'ProductSprint Backlog'!$I261&lt;=J$2), 'ProductSprint Backlog'!$F261 / MAX(1, 'ProductSprint Backlog'!$J261-'ProductSprint Backlog'!$I261), AND('ProductSprint Backlog'!$J261=J$2,'ProductSprint Backlog'!$I261=J$2), 'ProductSprint Backlog'!$F261, TRUE, 0)</f>
        <v>0</v>
      </c>
    </row>
    <row r="262" spans="2:10" x14ac:dyDescent="0.2">
      <c r="B262" s="4" cm="1">
        <f t="array" ref="B262">_xlfn.IFS('ProductSprint Backlog'!$F262="", "", AND('ProductSprint Backlog'!$J262&gt;B$2,'ProductSprint Backlog'!$I262&lt;=B$2), 'ProductSprint Backlog'!$F262 / MAX(1, 'ProductSprint Backlog'!$J262-'ProductSprint Backlog'!$I262), AND('ProductSprint Backlog'!$J262=B$2,'ProductSprint Backlog'!$I262=B$2), 'ProductSprint Backlog'!$F262, TRUE, 0)</f>
        <v>0</v>
      </c>
      <c r="C262" s="4" cm="1">
        <f t="array" ref="C262">_xlfn.IFS('ProductSprint Backlog'!$F262="", "", AND('ProductSprint Backlog'!$J262&gt;C$2,'ProductSprint Backlog'!$I262&lt;=C$2), 'ProductSprint Backlog'!$F262 / MAX(1, 'ProductSprint Backlog'!$J262-'ProductSprint Backlog'!$I262), AND('ProductSprint Backlog'!$J262=C$2,'ProductSprint Backlog'!$I262=C$2), 'ProductSprint Backlog'!$F262, TRUE, 0)</f>
        <v>0</v>
      </c>
      <c r="D262" s="4" cm="1">
        <f t="array" ref="D262">_xlfn.IFS('ProductSprint Backlog'!$F262="", "", AND('ProductSprint Backlog'!$J262&gt;D$2,'ProductSprint Backlog'!$I262&lt;=D$2), 'ProductSprint Backlog'!$F262 / MAX(1, 'ProductSprint Backlog'!$J262-'ProductSprint Backlog'!$I262), AND('ProductSprint Backlog'!$J262=D$2,'ProductSprint Backlog'!$I262=D$2), 'ProductSprint Backlog'!$F262, TRUE, 0)</f>
        <v>0</v>
      </c>
      <c r="E262" s="4" cm="1">
        <f t="array" ref="E262">_xlfn.IFS('ProductSprint Backlog'!$F262="", "", AND('ProductSprint Backlog'!$J262&gt;E$2,'ProductSprint Backlog'!$I262&lt;=E$2), 'ProductSprint Backlog'!$F262 / MAX(1, 'ProductSprint Backlog'!$J262-'ProductSprint Backlog'!$I262), AND('ProductSprint Backlog'!$J262=E$2,'ProductSprint Backlog'!$I262=E$2), 'ProductSprint Backlog'!$F262, TRUE, 0)</f>
        <v>0</v>
      </c>
      <c r="F262" s="4" cm="1">
        <f t="array" ref="F262">_xlfn.IFS('ProductSprint Backlog'!$F262="", "", AND('ProductSprint Backlog'!$J262&gt;F$2,'ProductSprint Backlog'!$I262&lt;=F$2), 'ProductSprint Backlog'!$F262 / MAX(1, 'ProductSprint Backlog'!$J262-'ProductSprint Backlog'!$I262), AND('ProductSprint Backlog'!$J262=F$2,'ProductSprint Backlog'!$I262=F$2), 'ProductSprint Backlog'!$F262, TRUE, 0)</f>
        <v>0</v>
      </c>
      <c r="G262" s="4" cm="1">
        <f t="array" ref="G262">_xlfn.IFS('ProductSprint Backlog'!$F262="", "", AND('ProductSprint Backlog'!$J262&gt;G$2,'ProductSprint Backlog'!$I262&lt;=G$2), 'ProductSprint Backlog'!$F262 / MAX(1, 'ProductSprint Backlog'!$J262-'ProductSprint Backlog'!$I262), AND('ProductSprint Backlog'!$J262=G$2,'ProductSprint Backlog'!$I262=G$2), 'ProductSprint Backlog'!$F262, TRUE, 0)</f>
        <v>0</v>
      </c>
      <c r="H262" s="4" cm="1">
        <f t="array" ref="H262">_xlfn.IFS('ProductSprint Backlog'!$F262="", "", AND('ProductSprint Backlog'!$J262&gt;H$2,'ProductSprint Backlog'!$I262&lt;=H$2), 'ProductSprint Backlog'!$F262 / MAX(1, 'ProductSprint Backlog'!$J262-'ProductSprint Backlog'!$I262), AND('ProductSprint Backlog'!$J262=H$2,'ProductSprint Backlog'!$I262=H$2), 'ProductSprint Backlog'!$F262, TRUE, 0)</f>
        <v>0</v>
      </c>
      <c r="I262" s="4" cm="1">
        <f t="array" ref="I262">_xlfn.IFS('ProductSprint Backlog'!$F262="", "", AND('ProductSprint Backlog'!$J262&gt;I$2,'ProductSprint Backlog'!$I262&lt;=I$2), 'ProductSprint Backlog'!$F262 / MAX(1, 'ProductSprint Backlog'!$J262-'ProductSprint Backlog'!$I262), AND('ProductSprint Backlog'!$J262=I$2,'ProductSprint Backlog'!$I262=I$2), 'ProductSprint Backlog'!$F262, TRUE, 0)</f>
        <v>0</v>
      </c>
      <c r="J262" s="4" cm="1">
        <f t="array" ref="J262">_xlfn.IFS('ProductSprint Backlog'!$F262="", "", AND('ProductSprint Backlog'!$J262&gt;J$2,'ProductSprint Backlog'!$I262&lt;=J$2), 'ProductSprint Backlog'!$F262 / MAX(1, 'ProductSprint Backlog'!$J262-'ProductSprint Backlog'!$I262), AND('ProductSprint Backlog'!$J262=J$2,'ProductSprint Backlog'!$I262=J$2), 'ProductSprint Backlog'!$F262, TRUE, 0)</f>
        <v>0</v>
      </c>
    </row>
    <row r="263" spans="2:10" x14ac:dyDescent="0.2">
      <c r="B263" s="4" cm="1">
        <f t="array" ref="B263">_xlfn.IFS('ProductSprint Backlog'!$F263="", "", AND('ProductSprint Backlog'!$J263&gt;B$2,'ProductSprint Backlog'!$I263&lt;=B$2), 'ProductSprint Backlog'!$F263 / MAX(1, 'ProductSprint Backlog'!$J263-'ProductSprint Backlog'!$I263), AND('ProductSprint Backlog'!$J263=B$2,'ProductSprint Backlog'!$I263=B$2), 'ProductSprint Backlog'!$F263, TRUE, 0)</f>
        <v>0</v>
      </c>
      <c r="C263" s="4" cm="1">
        <f t="array" ref="C263">_xlfn.IFS('ProductSprint Backlog'!$F263="", "", AND('ProductSprint Backlog'!$J263&gt;C$2,'ProductSprint Backlog'!$I263&lt;=C$2), 'ProductSprint Backlog'!$F263 / MAX(1, 'ProductSprint Backlog'!$J263-'ProductSprint Backlog'!$I263), AND('ProductSprint Backlog'!$J263=C$2,'ProductSprint Backlog'!$I263=C$2), 'ProductSprint Backlog'!$F263, TRUE, 0)</f>
        <v>0</v>
      </c>
      <c r="D263" s="4" cm="1">
        <f t="array" ref="D263">_xlfn.IFS('ProductSprint Backlog'!$F263="", "", AND('ProductSprint Backlog'!$J263&gt;D$2,'ProductSprint Backlog'!$I263&lt;=D$2), 'ProductSprint Backlog'!$F263 / MAX(1, 'ProductSprint Backlog'!$J263-'ProductSprint Backlog'!$I263), AND('ProductSprint Backlog'!$J263=D$2,'ProductSprint Backlog'!$I263=D$2), 'ProductSprint Backlog'!$F263, TRUE, 0)</f>
        <v>0</v>
      </c>
      <c r="E263" s="4" cm="1">
        <f t="array" ref="E263">_xlfn.IFS('ProductSprint Backlog'!$F263="", "", AND('ProductSprint Backlog'!$J263&gt;E$2,'ProductSprint Backlog'!$I263&lt;=E$2), 'ProductSprint Backlog'!$F263 / MAX(1, 'ProductSprint Backlog'!$J263-'ProductSprint Backlog'!$I263), AND('ProductSprint Backlog'!$J263=E$2,'ProductSprint Backlog'!$I263=E$2), 'ProductSprint Backlog'!$F263, TRUE, 0)</f>
        <v>0</v>
      </c>
      <c r="F263" s="4" cm="1">
        <f t="array" ref="F263">_xlfn.IFS('ProductSprint Backlog'!$F263="", "", AND('ProductSprint Backlog'!$J263&gt;F$2,'ProductSprint Backlog'!$I263&lt;=F$2), 'ProductSprint Backlog'!$F263 / MAX(1, 'ProductSprint Backlog'!$J263-'ProductSprint Backlog'!$I263), AND('ProductSprint Backlog'!$J263=F$2,'ProductSprint Backlog'!$I263=F$2), 'ProductSprint Backlog'!$F263, TRUE, 0)</f>
        <v>0</v>
      </c>
      <c r="G263" s="4" cm="1">
        <f t="array" ref="G263">_xlfn.IFS('ProductSprint Backlog'!$F263="", "", AND('ProductSprint Backlog'!$J263&gt;G$2,'ProductSprint Backlog'!$I263&lt;=G$2), 'ProductSprint Backlog'!$F263 / MAX(1, 'ProductSprint Backlog'!$J263-'ProductSprint Backlog'!$I263), AND('ProductSprint Backlog'!$J263=G$2,'ProductSprint Backlog'!$I263=G$2), 'ProductSprint Backlog'!$F263, TRUE, 0)</f>
        <v>0</v>
      </c>
      <c r="H263" s="4" cm="1">
        <f t="array" ref="H263">_xlfn.IFS('ProductSprint Backlog'!$F263="", "", AND('ProductSprint Backlog'!$J263&gt;H$2,'ProductSprint Backlog'!$I263&lt;=H$2), 'ProductSprint Backlog'!$F263 / MAX(1, 'ProductSprint Backlog'!$J263-'ProductSprint Backlog'!$I263), AND('ProductSprint Backlog'!$J263=H$2,'ProductSprint Backlog'!$I263=H$2), 'ProductSprint Backlog'!$F263, TRUE, 0)</f>
        <v>0</v>
      </c>
      <c r="I263" s="4" cm="1">
        <f t="array" ref="I263">_xlfn.IFS('ProductSprint Backlog'!$F263="", "", AND('ProductSprint Backlog'!$J263&gt;I$2,'ProductSprint Backlog'!$I263&lt;=I$2), 'ProductSprint Backlog'!$F263 / MAX(1, 'ProductSprint Backlog'!$J263-'ProductSprint Backlog'!$I263), AND('ProductSprint Backlog'!$J263=I$2,'ProductSprint Backlog'!$I263=I$2), 'ProductSprint Backlog'!$F263, TRUE, 0)</f>
        <v>0</v>
      </c>
      <c r="J263" s="4" cm="1">
        <f t="array" ref="J263">_xlfn.IFS('ProductSprint Backlog'!$F263="", "", AND('ProductSprint Backlog'!$J263&gt;J$2,'ProductSprint Backlog'!$I263&lt;=J$2), 'ProductSprint Backlog'!$F263 / MAX(1, 'ProductSprint Backlog'!$J263-'ProductSprint Backlog'!$I263), AND('ProductSprint Backlog'!$J263=J$2,'ProductSprint Backlog'!$I263=J$2), 'ProductSprint Backlog'!$F263, TRUE, 0)</f>
        <v>0</v>
      </c>
    </row>
    <row r="264" spans="2:10" x14ac:dyDescent="0.2">
      <c r="B264" s="4" cm="1">
        <f t="array" ref="B264">_xlfn.IFS('ProductSprint Backlog'!$F264="", "", AND('ProductSprint Backlog'!$J264&gt;B$2,'ProductSprint Backlog'!$I264&lt;=B$2), 'ProductSprint Backlog'!$F264 / MAX(1, 'ProductSprint Backlog'!$J264-'ProductSprint Backlog'!$I264), AND('ProductSprint Backlog'!$J264=B$2,'ProductSprint Backlog'!$I264=B$2), 'ProductSprint Backlog'!$F264, TRUE, 0)</f>
        <v>0</v>
      </c>
      <c r="C264" s="4" cm="1">
        <f t="array" ref="C264">_xlfn.IFS('ProductSprint Backlog'!$F264="", "", AND('ProductSprint Backlog'!$J264&gt;C$2,'ProductSprint Backlog'!$I264&lt;=C$2), 'ProductSprint Backlog'!$F264 / MAX(1, 'ProductSprint Backlog'!$J264-'ProductSprint Backlog'!$I264), AND('ProductSprint Backlog'!$J264=C$2,'ProductSprint Backlog'!$I264=C$2), 'ProductSprint Backlog'!$F264, TRUE, 0)</f>
        <v>0</v>
      </c>
      <c r="D264" s="4" cm="1">
        <f t="array" ref="D264">_xlfn.IFS('ProductSprint Backlog'!$F264="", "", AND('ProductSprint Backlog'!$J264&gt;D$2,'ProductSprint Backlog'!$I264&lt;=D$2), 'ProductSprint Backlog'!$F264 / MAX(1, 'ProductSprint Backlog'!$J264-'ProductSprint Backlog'!$I264), AND('ProductSprint Backlog'!$J264=D$2,'ProductSprint Backlog'!$I264=D$2), 'ProductSprint Backlog'!$F264, TRUE, 0)</f>
        <v>0</v>
      </c>
      <c r="E264" s="4" cm="1">
        <f t="array" ref="E264">_xlfn.IFS('ProductSprint Backlog'!$F264="", "", AND('ProductSprint Backlog'!$J264&gt;E$2,'ProductSprint Backlog'!$I264&lt;=E$2), 'ProductSprint Backlog'!$F264 / MAX(1, 'ProductSprint Backlog'!$J264-'ProductSprint Backlog'!$I264), AND('ProductSprint Backlog'!$J264=E$2,'ProductSprint Backlog'!$I264=E$2), 'ProductSprint Backlog'!$F264, TRUE, 0)</f>
        <v>0</v>
      </c>
      <c r="F264" s="4" cm="1">
        <f t="array" ref="F264">_xlfn.IFS('ProductSprint Backlog'!$F264="", "", AND('ProductSprint Backlog'!$J264&gt;F$2,'ProductSprint Backlog'!$I264&lt;=F$2), 'ProductSprint Backlog'!$F264 / MAX(1, 'ProductSprint Backlog'!$J264-'ProductSprint Backlog'!$I264), AND('ProductSprint Backlog'!$J264=F$2,'ProductSprint Backlog'!$I264=F$2), 'ProductSprint Backlog'!$F264, TRUE, 0)</f>
        <v>0</v>
      </c>
      <c r="G264" s="4" cm="1">
        <f t="array" ref="G264">_xlfn.IFS('ProductSprint Backlog'!$F264="", "", AND('ProductSprint Backlog'!$J264&gt;G$2,'ProductSprint Backlog'!$I264&lt;=G$2), 'ProductSprint Backlog'!$F264 / MAX(1, 'ProductSprint Backlog'!$J264-'ProductSprint Backlog'!$I264), AND('ProductSprint Backlog'!$J264=G$2,'ProductSprint Backlog'!$I264=G$2), 'ProductSprint Backlog'!$F264, TRUE, 0)</f>
        <v>0</v>
      </c>
      <c r="H264" s="4" cm="1">
        <f t="array" ref="H264">_xlfn.IFS('ProductSprint Backlog'!$F264="", "", AND('ProductSprint Backlog'!$J264&gt;H$2,'ProductSprint Backlog'!$I264&lt;=H$2), 'ProductSprint Backlog'!$F264 / MAX(1, 'ProductSprint Backlog'!$J264-'ProductSprint Backlog'!$I264), AND('ProductSprint Backlog'!$J264=H$2,'ProductSprint Backlog'!$I264=H$2), 'ProductSprint Backlog'!$F264, TRUE, 0)</f>
        <v>0</v>
      </c>
      <c r="I264" s="4" cm="1">
        <f t="array" ref="I264">_xlfn.IFS('ProductSprint Backlog'!$F264="", "", AND('ProductSprint Backlog'!$J264&gt;I$2,'ProductSprint Backlog'!$I264&lt;=I$2), 'ProductSprint Backlog'!$F264 / MAX(1, 'ProductSprint Backlog'!$J264-'ProductSprint Backlog'!$I264), AND('ProductSprint Backlog'!$J264=I$2,'ProductSprint Backlog'!$I264=I$2), 'ProductSprint Backlog'!$F264, TRUE, 0)</f>
        <v>0</v>
      </c>
      <c r="J264" s="4" cm="1">
        <f t="array" ref="J264">_xlfn.IFS('ProductSprint Backlog'!$F264="", "", AND('ProductSprint Backlog'!$J264&gt;J$2,'ProductSprint Backlog'!$I264&lt;=J$2), 'ProductSprint Backlog'!$F264 / MAX(1, 'ProductSprint Backlog'!$J264-'ProductSprint Backlog'!$I264), AND('ProductSprint Backlog'!$J264=J$2,'ProductSprint Backlog'!$I264=J$2), 'ProductSprint Backlog'!$F264, TRUE, 0)</f>
        <v>0</v>
      </c>
    </row>
    <row r="265" spans="2:10" x14ac:dyDescent="0.2">
      <c r="B265" s="4" cm="1">
        <f t="array" ref="B265">_xlfn.IFS('ProductSprint Backlog'!$F265="", "", AND('ProductSprint Backlog'!$J265&gt;B$2,'ProductSprint Backlog'!$I265&lt;=B$2), 'ProductSprint Backlog'!$F265 / MAX(1, 'ProductSprint Backlog'!$J265-'ProductSprint Backlog'!$I265), AND('ProductSprint Backlog'!$J265=B$2,'ProductSprint Backlog'!$I265=B$2), 'ProductSprint Backlog'!$F265, TRUE, 0)</f>
        <v>0</v>
      </c>
      <c r="C265" s="4" cm="1">
        <f t="array" ref="C265">_xlfn.IFS('ProductSprint Backlog'!$F265="", "", AND('ProductSprint Backlog'!$J265&gt;C$2,'ProductSprint Backlog'!$I265&lt;=C$2), 'ProductSprint Backlog'!$F265 / MAX(1, 'ProductSprint Backlog'!$J265-'ProductSprint Backlog'!$I265), AND('ProductSprint Backlog'!$J265=C$2,'ProductSprint Backlog'!$I265=C$2), 'ProductSprint Backlog'!$F265, TRUE, 0)</f>
        <v>0</v>
      </c>
      <c r="D265" s="4" cm="1">
        <f t="array" ref="D265">_xlfn.IFS('ProductSprint Backlog'!$F265="", "", AND('ProductSprint Backlog'!$J265&gt;D$2,'ProductSprint Backlog'!$I265&lt;=D$2), 'ProductSprint Backlog'!$F265 / MAX(1, 'ProductSprint Backlog'!$J265-'ProductSprint Backlog'!$I265), AND('ProductSprint Backlog'!$J265=D$2,'ProductSprint Backlog'!$I265=D$2), 'ProductSprint Backlog'!$F265, TRUE, 0)</f>
        <v>0</v>
      </c>
      <c r="E265" s="4" cm="1">
        <f t="array" ref="E265">_xlfn.IFS('ProductSprint Backlog'!$F265="", "", AND('ProductSprint Backlog'!$J265&gt;E$2,'ProductSprint Backlog'!$I265&lt;=E$2), 'ProductSprint Backlog'!$F265 / MAX(1, 'ProductSprint Backlog'!$J265-'ProductSprint Backlog'!$I265), AND('ProductSprint Backlog'!$J265=E$2,'ProductSprint Backlog'!$I265=E$2), 'ProductSprint Backlog'!$F265, TRUE, 0)</f>
        <v>0</v>
      </c>
      <c r="F265" s="4" cm="1">
        <f t="array" ref="F265">_xlfn.IFS('ProductSprint Backlog'!$F265="", "", AND('ProductSprint Backlog'!$J265&gt;F$2,'ProductSprint Backlog'!$I265&lt;=F$2), 'ProductSprint Backlog'!$F265 / MAX(1, 'ProductSprint Backlog'!$J265-'ProductSprint Backlog'!$I265), AND('ProductSprint Backlog'!$J265=F$2,'ProductSprint Backlog'!$I265=F$2), 'ProductSprint Backlog'!$F265, TRUE, 0)</f>
        <v>0</v>
      </c>
      <c r="G265" s="4" cm="1">
        <f t="array" ref="G265">_xlfn.IFS('ProductSprint Backlog'!$F265="", "", AND('ProductSprint Backlog'!$J265&gt;G$2,'ProductSprint Backlog'!$I265&lt;=G$2), 'ProductSprint Backlog'!$F265 / MAX(1, 'ProductSprint Backlog'!$J265-'ProductSprint Backlog'!$I265), AND('ProductSprint Backlog'!$J265=G$2,'ProductSprint Backlog'!$I265=G$2), 'ProductSprint Backlog'!$F265, TRUE, 0)</f>
        <v>0</v>
      </c>
      <c r="H265" s="4" cm="1">
        <f t="array" ref="H265">_xlfn.IFS('ProductSprint Backlog'!$F265="", "", AND('ProductSprint Backlog'!$J265&gt;H$2,'ProductSprint Backlog'!$I265&lt;=H$2), 'ProductSprint Backlog'!$F265 / MAX(1, 'ProductSprint Backlog'!$J265-'ProductSprint Backlog'!$I265), AND('ProductSprint Backlog'!$J265=H$2,'ProductSprint Backlog'!$I265=H$2), 'ProductSprint Backlog'!$F265, TRUE, 0)</f>
        <v>0</v>
      </c>
      <c r="I265" s="4" cm="1">
        <f t="array" ref="I265">_xlfn.IFS('ProductSprint Backlog'!$F265="", "", AND('ProductSprint Backlog'!$J265&gt;I$2,'ProductSprint Backlog'!$I265&lt;=I$2), 'ProductSprint Backlog'!$F265 / MAX(1, 'ProductSprint Backlog'!$J265-'ProductSprint Backlog'!$I265), AND('ProductSprint Backlog'!$J265=I$2,'ProductSprint Backlog'!$I265=I$2), 'ProductSprint Backlog'!$F265, TRUE, 0)</f>
        <v>0</v>
      </c>
      <c r="J265" s="4" cm="1">
        <f t="array" ref="J265">_xlfn.IFS('ProductSprint Backlog'!$F265="", "", AND('ProductSprint Backlog'!$J265&gt;J$2,'ProductSprint Backlog'!$I265&lt;=J$2), 'ProductSprint Backlog'!$F265 / MAX(1, 'ProductSprint Backlog'!$J265-'ProductSprint Backlog'!$I265), AND('ProductSprint Backlog'!$J265=J$2,'ProductSprint Backlog'!$I265=J$2), 'ProductSprint Backlog'!$F265, TRUE, 0)</f>
        <v>0</v>
      </c>
    </row>
    <row r="266" spans="2:10" x14ac:dyDescent="0.2">
      <c r="B266" s="4" cm="1">
        <f t="array" ref="B266">_xlfn.IFS('ProductSprint Backlog'!$F266="", "", AND('ProductSprint Backlog'!$J266&gt;B$2,'ProductSprint Backlog'!$I266&lt;=B$2), 'ProductSprint Backlog'!$F266 / MAX(1, 'ProductSprint Backlog'!$J266-'ProductSprint Backlog'!$I266), AND('ProductSprint Backlog'!$J266=B$2,'ProductSprint Backlog'!$I266=B$2), 'ProductSprint Backlog'!$F266, TRUE, 0)</f>
        <v>0</v>
      </c>
      <c r="C266" s="4" cm="1">
        <f t="array" ref="C266">_xlfn.IFS('ProductSprint Backlog'!$F266="", "", AND('ProductSprint Backlog'!$J266&gt;C$2,'ProductSprint Backlog'!$I266&lt;=C$2), 'ProductSprint Backlog'!$F266 / MAX(1, 'ProductSprint Backlog'!$J266-'ProductSprint Backlog'!$I266), AND('ProductSprint Backlog'!$J266=C$2,'ProductSprint Backlog'!$I266=C$2), 'ProductSprint Backlog'!$F266, TRUE, 0)</f>
        <v>0</v>
      </c>
      <c r="D266" s="4" cm="1">
        <f t="array" ref="D266">_xlfn.IFS('ProductSprint Backlog'!$F266="", "", AND('ProductSprint Backlog'!$J266&gt;D$2,'ProductSprint Backlog'!$I266&lt;=D$2), 'ProductSprint Backlog'!$F266 / MAX(1, 'ProductSprint Backlog'!$J266-'ProductSprint Backlog'!$I266), AND('ProductSprint Backlog'!$J266=D$2,'ProductSprint Backlog'!$I266=D$2), 'ProductSprint Backlog'!$F266, TRUE, 0)</f>
        <v>0</v>
      </c>
      <c r="E266" s="4" cm="1">
        <f t="array" ref="E266">_xlfn.IFS('ProductSprint Backlog'!$F266="", "", AND('ProductSprint Backlog'!$J266&gt;E$2,'ProductSprint Backlog'!$I266&lt;=E$2), 'ProductSprint Backlog'!$F266 / MAX(1, 'ProductSprint Backlog'!$J266-'ProductSprint Backlog'!$I266), AND('ProductSprint Backlog'!$J266=E$2,'ProductSprint Backlog'!$I266=E$2), 'ProductSprint Backlog'!$F266, TRUE, 0)</f>
        <v>0</v>
      </c>
      <c r="F266" s="4" cm="1">
        <f t="array" ref="F266">_xlfn.IFS('ProductSprint Backlog'!$F266="", "", AND('ProductSprint Backlog'!$J266&gt;F$2,'ProductSprint Backlog'!$I266&lt;=F$2), 'ProductSprint Backlog'!$F266 / MAX(1, 'ProductSprint Backlog'!$J266-'ProductSprint Backlog'!$I266), AND('ProductSprint Backlog'!$J266=F$2,'ProductSprint Backlog'!$I266=F$2), 'ProductSprint Backlog'!$F266, TRUE, 0)</f>
        <v>0</v>
      </c>
      <c r="G266" s="4" cm="1">
        <f t="array" ref="G266">_xlfn.IFS('ProductSprint Backlog'!$F266="", "", AND('ProductSprint Backlog'!$J266&gt;G$2,'ProductSprint Backlog'!$I266&lt;=G$2), 'ProductSprint Backlog'!$F266 / MAX(1, 'ProductSprint Backlog'!$J266-'ProductSprint Backlog'!$I266), AND('ProductSprint Backlog'!$J266=G$2,'ProductSprint Backlog'!$I266=G$2), 'ProductSprint Backlog'!$F266, TRUE, 0)</f>
        <v>0</v>
      </c>
      <c r="H266" s="4" cm="1">
        <f t="array" ref="H266">_xlfn.IFS('ProductSprint Backlog'!$F266="", "", AND('ProductSprint Backlog'!$J266&gt;H$2,'ProductSprint Backlog'!$I266&lt;=H$2), 'ProductSprint Backlog'!$F266 / MAX(1, 'ProductSprint Backlog'!$J266-'ProductSprint Backlog'!$I266), AND('ProductSprint Backlog'!$J266=H$2,'ProductSprint Backlog'!$I266=H$2), 'ProductSprint Backlog'!$F266, TRUE, 0)</f>
        <v>0</v>
      </c>
      <c r="I266" s="4" cm="1">
        <f t="array" ref="I266">_xlfn.IFS('ProductSprint Backlog'!$F266="", "", AND('ProductSprint Backlog'!$J266&gt;I$2,'ProductSprint Backlog'!$I266&lt;=I$2), 'ProductSprint Backlog'!$F266 / MAX(1, 'ProductSprint Backlog'!$J266-'ProductSprint Backlog'!$I266), AND('ProductSprint Backlog'!$J266=I$2,'ProductSprint Backlog'!$I266=I$2), 'ProductSprint Backlog'!$F266, TRUE, 0)</f>
        <v>0</v>
      </c>
      <c r="J266" s="4" cm="1">
        <f t="array" ref="J266">_xlfn.IFS('ProductSprint Backlog'!$F266="", "", AND('ProductSprint Backlog'!$J266&gt;J$2,'ProductSprint Backlog'!$I266&lt;=J$2), 'ProductSprint Backlog'!$F266 / MAX(1, 'ProductSprint Backlog'!$J266-'ProductSprint Backlog'!$I266), AND('ProductSprint Backlog'!$J266=J$2,'ProductSprint Backlog'!$I266=J$2), 'ProductSprint Backlog'!$F266, TRUE, 0)</f>
        <v>0</v>
      </c>
    </row>
    <row r="267" spans="2:10" x14ac:dyDescent="0.2">
      <c r="B267" s="4" cm="1">
        <f t="array" ref="B267">_xlfn.IFS('ProductSprint Backlog'!$F267="", "", AND('ProductSprint Backlog'!$J267&gt;B$2,'ProductSprint Backlog'!$I267&lt;=B$2), 'ProductSprint Backlog'!$F267 / MAX(1, 'ProductSprint Backlog'!$J267-'ProductSprint Backlog'!$I267), AND('ProductSprint Backlog'!$J267=B$2,'ProductSprint Backlog'!$I267=B$2), 'ProductSprint Backlog'!$F267, TRUE, 0)</f>
        <v>0</v>
      </c>
      <c r="C267" s="4" cm="1">
        <f t="array" ref="C267">_xlfn.IFS('ProductSprint Backlog'!$F267="", "", AND('ProductSprint Backlog'!$J267&gt;C$2,'ProductSprint Backlog'!$I267&lt;=C$2), 'ProductSprint Backlog'!$F267 / MAX(1, 'ProductSprint Backlog'!$J267-'ProductSprint Backlog'!$I267), AND('ProductSprint Backlog'!$J267=C$2,'ProductSprint Backlog'!$I267=C$2), 'ProductSprint Backlog'!$F267, TRUE, 0)</f>
        <v>0</v>
      </c>
      <c r="D267" s="4" cm="1">
        <f t="array" ref="D267">_xlfn.IFS('ProductSprint Backlog'!$F267="", "", AND('ProductSprint Backlog'!$J267&gt;D$2,'ProductSprint Backlog'!$I267&lt;=D$2), 'ProductSprint Backlog'!$F267 / MAX(1, 'ProductSprint Backlog'!$J267-'ProductSprint Backlog'!$I267), AND('ProductSprint Backlog'!$J267=D$2,'ProductSprint Backlog'!$I267=D$2), 'ProductSprint Backlog'!$F267, TRUE, 0)</f>
        <v>0</v>
      </c>
      <c r="E267" s="4" cm="1">
        <f t="array" ref="E267">_xlfn.IFS('ProductSprint Backlog'!$F267="", "", AND('ProductSprint Backlog'!$J267&gt;E$2,'ProductSprint Backlog'!$I267&lt;=E$2), 'ProductSprint Backlog'!$F267 / MAX(1, 'ProductSprint Backlog'!$J267-'ProductSprint Backlog'!$I267), AND('ProductSprint Backlog'!$J267=E$2,'ProductSprint Backlog'!$I267=E$2), 'ProductSprint Backlog'!$F267, TRUE, 0)</f>
        <v>0</v>
      </c>
      <c r="F267" s="4" cm="1">
        <f t="array" ref="F267">_xlfn.IFS('ProductSprint Backlog'!$F267="", "", AND('ProductSprint Backlog'!$J267&gt;F$2,'ProductSprint Backlog'!$I267&lt;=F$2), 'ProductSprint Backlog'!$F267 / MAX(1, 'ProductSprint Backlog'!$J267-'ProductSprint Backlog'!$I267), AND('ProductSprint Backlog'!$J267=F$2,'ProductSprint Backlog'!$I267=F$2), 'ProductSprint Backlog'!$F267, TRUE, 0)</f>
        <v>0</v>
      </c>
      <c r="G267" s="4" cm="1">
        <f t="array" ref="G267">_xlfn.IFS('ProductSprint Backlog'!$F267="", "", AND('ProductSprint Backlog'!$J267&gt;G$2,'ProductSprint Backlog'!$I267&lt;=G$2), 'ProductSprint Backlog'!$F267 / MAX(1, 'ProductSprint Backlog'!$J267-'ProductSprint Backlog'!$I267), AND('ProductSprint Backlog'!$J267=G$2,'ProductSprint Backlog'!$I267=G$2), 'ProductSprint Backlog'!$F267, TRUE, 0)</f>
        <v>0</v>
      </c>
      <c r="H267" s="4" cm="1">
        <f t="array" ref="H267">_xlfn.IFS('ProductSprint Backlog'!$F267="", "", AND('ProductSprint Backlog'!$J267&gt;H$2,'ProductSprint Backlog'!$I267&lt;=H$2), 'ProductSprint Backlog'!$F267 / MAX(1, 'ProductSprint Backlog'!$J267-'ProductSprint Backlog'!$I267), AND('ProductSprint Backlog'!$J267=H$2,'ProductSprint Backlog'!$I267=H$2), 'ProductSprint Backlog'!$F267, TRUE, 0)</f>
        <v>0</v>
      </c>
      <c r="I267" s="4" cm="1">
        <f t="array" ref="I267">_xlfn.IFS('ProductSprint Backlog'!$F267="", "", AND('ProductSprint Backlog'!$J267&gt;I$2,'ProductSprint Backlog'!$I267&lt;=I$2), 'ProductSprint Backlog'!$F267 / MAX(1, 'ProductSprint Backlog'!$J267-'ProductSprint Backlog'!$I267), AND('ProductSprint Backlog'!$J267=I$2,'ProductSprint Backlog'!$I267=I$2), 'ProductSprint Backlog'!$F267, TRUE, 0)</f>
        <v>0</v>
      </c>
      <c r="J267" s="4" cm="1">
        <f t="array" ref="J267">_xlfn.IFS('ProductSprint Backlog'!$F267="", "", AND('ProductSprint Backlog'!$J267&gt;J$2,'ProductSprint Backlog'!$I267&lt;=J$2), 'ProductSprint Backlog'!$F267 / MAX(1, 'ProductSprint Backlog'!$J267-'ProductSprint Backlog'!$I267), AND('ProductSprint Backlog'!$J267=J$2,'ProductSprint Backlog'!$I267=J$2), 'ProductSprint Backlog'!$F267, TRUE, 0)</f>
        <v>0</v>
      </c>
    </row>
    <row r="268" spans="2:10" x14ac:dyDescent="0.2">
      <c r="B268" s="4" cm="1">
        <f t="array" ref="B268">_xlfn.IFS('ProductSprint Backlog'!$F268="", "", AND('ProductSprint Backlog'!$J268&gt;B$2,'ProductSprint Backlog'!$I268&lt;=B$2), 'ProductSprint Backlog'!$F268 / MAX(1, 'ProductSprint Backlog'!$J268-'ProductSprint Backlog'!$I268), AND('ProductSprint Backlog'!$J268=B$2,'ProductSprint Backlog'!$I268=B$2), 'ProductSprint Backlog'!$F268, TRUE, 0)</f>
        <v>0</v>
      </c>
      <c r="C268" s="4" cm="1">
        <f t="array" ref="C268">_xlfn.IFS('ProductSprint Backlog'!$F268="", "", AND('ProductSprint Backlog'!$J268&gt;C$2,'ProductSprint Backlog'!$I268&lt;=C$2), 'ProductSprint Backlog'!$F268 / MAX(1, 'ProductSprint Backlog'!$J268-'ProductSprint Backlog'!$I268), AND('ProductSprint Backlog'!$J268=C$2,'ProductSprint Backlog'!$I268=C$2), 'ProductSprint Backlog'!$F268, TRUE, 0)</f>
        <v>0</v>
      </c>
      <c r="D268" s="4" cm="1">
        <f t="array" ref="D268">_xlfn.IFS('ProductSprint Backlog'!$F268="", "", AND('ProductSprint Backlog'!$J268&gt;D$2,'ProductSprint Backlog'!$I268&lt;=D$2), 'ProductSprint Backlog'!$F268 / MAX(1, 'ProductSprint Backlog'!$J268-'ProductSprint Backlog'!$I268), AND('ProductSprint Backlog'!$J268=D$2,'ProductSprint Backlog'!$I268=D$2), 'ProductSprint Backlog'!$F268, TRUE, 0)</f>
        <v>0</v>
      </c>
      <c r="E268" s="4" cm="1">
        <f t="array" ref="E268">_xlfn.IFS('ProductSprint Backlog'!$F268="", "", AND('ProductSprint Backlog'!$J268&gt;E$2,'ProductSprint Backlog'!$I268&lt;=E$2), 'ProductSprint Backlog'!$F268 / MAX(1, 'ProductSprint Backlog'!$J268-'ProductSprint Backlog'!$I268), AND('ProductSprint Backlog'!$J268=E$2,'ProductSprint Backlog'!$I268=E$2), 'ProductSprint Backlog'!$F268, TRUE, 0)</f>
        <v>0</v>
      </c>
      <c r="F268" s="4" cm="1">
        <f t="array" ref="F268">_xlfn.IFS('ProductSprint Backlog'!$F268="", "", AND('ProductSprint Backlog'!$J268&gt;F$2,'ProductSprint Backlog'!$I268&lt;=F$2), 'ProductSprint Backlog'!$F268 / MAX(1, 'ProductSprint Backlog'!$J268-'ProductSprint Backlog'!$I268), AND('ProductSprint Backlog'!$J268=F$2,'ProductSprint Backlog'!$I268=F$2), 'ProductSprint Backlog'!$F268, TRUE, 0)</f>
        <v>0</v>
      </c>
      <c r="G268" s="4" cm="1">
        <f t="array" ref="G268">_xlfn.IFS('ProductSprint Backlog'!$F268="", "", AND('ProductSprint Backlog'!$J268&gt;G$2,'ProductSprint Backlog'!$I268&lt;=G$2), 'ProductSprint Backlog'!$F268 / MAX(1, 'ProductSprint Backlog'!$J268-'ProductSprint Backlog'!$I268), AND('ProductSprint Backlog'!$J268=G$2,'ProductSprint Backlog'!$I268=G$2), 'ProductSprint Backlog'!$F268, TRUE, 0)</f>
        <v>0</v>
      </c>
      <c r="H268" s="4" cm="1">
        <f t="array" ref="H268">_xlfn.IFS('ProductSprint Backlog'!$F268="", "", AND('ProductSprint Backlog'!$J268&gt;H$2,'ProductSprint Backlog'!$I268&lt;=H$2), 'ProductSprint Backlog'!$F268 / MAX(1, 'ProductSprint Backlog'!$J268-'ProductSprint Backlog'!$I268), AND('ProductSprint Backlog'!$J268=H$2,'ProductSprint Backlog'!$I268=H$2), 'ProductSprint Backlog'!$F268, TRUE, 0)</f>
        <v>0</v>
      </c>
      <c r="I268" s="4" cm="1">
        <f t="array" ref="I268">_xlfn.IFS('ProductSprint Backlog'!$F268="", "", AND('ProductSprint Backlog'!$J268&gt;I$2,'ProductSprint Backlog'!$I268&lt;=I$2), 'ProductSprint Backlog'!$F268 / MAX(1, 'ProductSprint Backlog'!$J268-'ProductSprint Backlog'!$I268), AND('ProductSprint Backlog'!$J268=I$2,'ProductSprint Backlog'!$I268=I$2), 'ProductSprint Backlog'!$F268, TRUE, 0)</f>
        <v>0</v>
      </c>
      <c r="J268" s="4" cm="1">
        <f t="array" ref="J268">_xlfn.IFS('ProductSprint Backlog'!$F268="", "", AND('ProductSprint Backlog'!$J268&gt;J$2,'ProductSprint Backlog'!$I268&lt;=J$2), 'ProductSprint Backlog'!$F268 / MAX(1, 'ProductSprint Backlog'!$J268-'ProductSprint Backlog'!$I268), AND('ProductSprint Backlog'!$J268=J$2,'ProductSprint Backlog'!$I268=J$2), 'ProductSprint Backlog'!$F268, TRUE, 0)</f>
        <v>0</v>
      </c>
    </row>
    <row r="269" spans="2:10" x14ac:dyDescent="0.2">
      <c r="B269" s="4" cm="1">
        <f t="array" ref="B269">_xlfn.IFS('ProductSprint Backlog'!$F269="", "", AND('ProductSprint Backlog'!$J269&gt;B$2,'ProductSprint Backlog'!$I269&lt;=B$2), 'ProductSprint Backlog'!$F269 / MAX(1, 'ProductSprint Backlog'!$J269-'ProductSprint Backlog'!$I269), AND('ProductSprint Backlog'!$J269=B$2,'ProductSprint Backlog'!$I269=B$2), 'ProductSprint Backlog'!$F269, TRUE, 0)</f>
        <v>0</v>
      </c>
      <c r="C269" s="4" cm="1">
        <f t="array" ref="C269">_xlfn.IFS('ProductSprint Backlog'!$F269="", "", AND('ProductSprint Backlog'!$J269&gt;C$2,'ProductSprint Backlog'!$I269&lt;=C$2), 'ProductSprint Backlog'!$F269 / MAX(1, 'ProductSprint Backlog'!$J269-'ProductSprint Backlog'!$I269), AND('ProductSprint Backlog'!$J269=C$2,'ProductSprint Backlog'!$I269=C$2), 'ProductSprint Backlog'!$F269, TRUE, 0)</f>
        <v>0</v>
      </c>
      <c r="D269" s="4" cm="1">
        <f t="array" ref="D269">_xlfn.IFS('ProductSprint Backlog'!$F269="", "", AND('ProductSprint Backlog'!$J269&gt;D$2,'ProductSprint Backlog'!$I269&lt;=D$2), 'ProductSprint Backlog'!$F269 / MAX(1, 'ProductSprint Backlog'!$J269-'ProductSprint Backlog'!$I269), AND('ProductSprint Backlog'!$J269=D$2,'ProductSprint Backlog'!$I269=D$2), 'ProductSprint Backlog'!$F269, TRUE, 0)</f>
        <v>0</v>
      </c>
      <c r="E269" s="4" cm="1">
        <f t="array" ref="E269">_xlfn.IFS('ProductSprint Backlog'!$F269="", "", AND('ProductSprint Backlog'!$J269&gt;E$2,'ProductSprint Backlog'!$I269&lt;=E$2), 'ProductSprint Backlog'!$F269 / MAX(1, 'ProductSprint Backlog'!$J269-'ProductSprint Backlog'!$I269), AND('ProductSprint Backlog'!$J269=E$2,'ProductSprint Backlog'!$I269=E$2), 'ProductSprint Backlog'!$F269, TRUE, 0)</f>
        <v>0</v>
      </c>
      <c r="F269" s="4" cm="1">
        <f t="array" ref="F269">_xlfn.IFS('ProductSprint Backlog'!$F269="", "", AND('ProductSprint Backlog'!$J269&gt;F$2,'ProductSprint Backlog'!$I269&lt;=F$2), 'ProductSprint Backlog'!$F269 / MAX(1, 'ProductSprint Backlog'!$J269-'ProductSprint Backlog'!$I269), AND('ProductSprint Backlog'!$J269=F$2,'ProductSprint Backlog'!$I269=F$2), 'ProductSprint Backlog'!$F269, TRUE, 0)</f>
        <v>0</v>
      </c>
      <c r="G269" s="4" cm="1">
        <f t="array" ref="G269">_xlfn.IFS('ProductSprint Backlog'!$F269="", "", AND('ProductSprint Backlog'!$J269&gt;G$2,'ProductSprint Backlog'!$I269&lt;=G$2), 'ProductSprint Backlog'!$F269 / MAX(1, 'ProductSprint Backlog'!$J269-'ProductSprint Backlog'!$I269), AND('ProductSprint Backlog'!$J269=G$2,'ProductSprint Backlog'!$I269=G$2), 'ProductSprint Backlog'!$F269, TRUE, 0)</f>
        <v>0</v>
      </c>
      <c r="H269" s="4" cm="1">
        <f t="array" ref="H269">_xlfn.IFS('ProductSprint Backlog'!$F269="", "", AND('ProductSprint Backlog'!$J269&gt;H$2,'ProductSprint Backlog'!$I269&lt;=H$2), 'ProductSprint Backlog'!$F269 / MAX(1, 'ProductSprint Backlog'!$J269-'ProductSprint Backlog'!$I269), AND('ProductSprint Backlog'!$J269=H$2,'ProductSprint Backlog'!$I269=H$2), 'ProductSprint Backlog'!$F269, TRUE, 0)</f>
        <v>0</v>
      </c>
      <c r="I269" s="4" cm="1">
        <f t="array" ref="I269">_xlfn.IFS('ProductSprint Backlog'!$F269="", "", AND('ProductSprint Backlog'!$J269&gt;I$2,'ProductSprint Backlog'!$I269&lt;=I$2), 'ProductSprint Backlog'!$F269 / MAX(1, 'ProductSprint Backlog'!$J269-'ProductSprint Backlog'!$I269), AND('ProductSprint Backlog'!$J269=I$2,'ProductSprint Backlog'!$I269=I$2), 'ProductSprint Backlog'!$F269, TRUE, 0)</f>
        <v>0</v>
      </c>
      <c r="J269" s="4" cm="1">
        <f t="array" ref="J269">_xlfn.IFS('ProductSprint Backlog'!$F269="", "", AND('ProductSprint Backlog'!$J269&gt;J$2,'ProductSprint Backlog'!$I269&lt;=J$2), 'ProductSprint Backlog'!$F269 / MAX(1, 'ProductSprint Backlog'!$J269-'ProductSprint Backlog'!$I269), AND('ProductSprint Backlog'!$J269=J$2,'ProductSprint Backlog'!$I269=J$2), 'ProductSprint Backlog'!$F269, TRUE, 0)</f>
        <v>0</v>
      </c>
    </row>
    <row r="270" spans="2:10" x14ac:dyDescent="0.2">
      <c r="B270" s="4" cm="1">
        <f t="array" ref="B270">_xlfn.IFS('ProductSprint Backlog'!$F270="", "", AND('ProductSprint Backlog'!$J270&gt;B$2,'ProductSprint Backlog'!$I270&lt;=B$2), 'ProductSprint Backlog'!$F270 / MAX(1, 'ProductSprint Backlog'!$J270-'ProductSprint Backlog'!$I270), AND('ProductSprint Backlog'!$J270=B$2,'ProductSprint Backlog'!$I270=B$2), 'ProductSprint Backlog'!$F270, TRUE, 0)</f>
        <v>0</v>
      </c>
      <c r="C270" s="4" cm="1">
        <f t="array" ref="C270">_xlfn.IFS('ProductSprint Backlog'!$F270="", "", AND('ProductSprint Backlog'!$J270&gt;C$2,'ProductSprint Backlog'!$I270&lt;=C$2), 'ProductSprint Backlog'!$F270 / MAX(1, 'ProductSprint Backlog'!$J270-'ProductSprint Backlog'!$I270), AND('ProductSprint Backlog'!$J270=C$2,'ProductSprint Backlog'!$I270=C$2), 'ProductSprint Backlog'!$F270, TRUE, 0)</f>
        <v>0</v>
      </c>
      <c r="D270" s="4" cm="1">
        <f t="array" ref="D270">_xlfn.IFS('ProductSprint Backlog'!$F270="", "", AND('ProductSprint Backlog'!$J270&gt;D$2,'ProductSprint Backlog'!$I270&lt;=D$2), 'ProductSprint Backlog'!$F270 / MAX(1, 'ProductSprint Backlog'!$J270-'ProductSprint Backlog'!$I270), AND('ProductSprint Backlog'!$J270=D$2,'ProductSprint Backlog'!$I270=D$2), 'ProductSprint Backlog'!$F270, TRUE, 0)</f>
        <v>0</v>
      </c>
      <c r="E270" s="4" cm="1">
        <f t="array" ref="E270">_xlfn.IFS('ProductSprint Backlog'!$F270="", "", AND('ProductSprint Backlog'!$J270&gt;E$2,'ProductSprint Backlog'!$I270&lt;=E$2), 'ProductSprint Backlog'!$F270 / MAX(1, 'ProductSprint Backlog'!$J270-'ProductSprint Backlog'!$I270), AND('ProductSprint Backlog'!$J270=E$2,'ProductSprint Backlog'!$I270=E$2), 'ProductSprint Backlog'!$F270, TRUE, 0)</f>
        <v>0</v>
      </c>
      <c r="F270" s="4" cm="1">
        <f t="array" ref="F270">_xlfn.IFS('ProductSprint Backlog'!$F270="", "", AND('ProductSprint Backlog'!$J270&gt;F$2,'ProductSprint Backlog'!$I270&lt;=F$2), 'ProductSprint Backlog'!$F270 / MAX(1, 'ProductSprint Backlog'!$J270-'ProductSprint Backlog'!$I270), AND('ProductSprint Backlog'!$J270=F$2,'ProductSprint Backlog'!$I270=F$2), 'ProductSprint Backlog'!$F270, TRUE, 0)</f>
        <v>0</v>
      </c>
      <c r="G270" s="4" cm="1">
        <f t="array" ref="G270">_xlfn.IFS('ProductSprint Backlog'!$F270="", "", AND('ProductSprint Backlog'!$J270&gt;G$2,'ProductSprint Backlog'!$I270&lt;=G$2), 'ProductSprint Backlog'!$F270 / MAX(1, 'ProductSprint Backlog'!$J270-'ProductSprint Backlog'!$I270), AND('ProductSprint Backlog'!$J270=G$2,'ProductSprint Backlog'!$I270=G$2), 'ProductSprint Backlog'!$F270, TRUE, 0)</f>
        <v>0</v>
      </c>
      <c r="H270" s="4" cm="1">
        <f t="array" ref="H270">_xlfn.IFS('ProductSprint Backlog'!$F270="", "", AND('ProductSprint Backlog'!$J270&gt;H$2,'ProductSprint Backlog'!$I270&lt;=H$2), 'ProductSprint Backlog'!$F270 / MAX(1, 'ProductSprint Backlog'!$J270-'ProductSprint Backlog'!$I270), AND('ProductSprint Backlog'!$J270=H$2,'ProductSprint Backlog'!$I270=H$2), 'ProductSprint Backlog'!$F270, TRUE, 0)</f>
        <v>0</v>
      </c>
      <c r="I270" s="4" cm="1">
        <f t="array" ref="I270">_xlfn.IFS('ProductSprint Backlog'!$F270="", "", AND('ProductSprint Backlog'!$J270&gt;I$2,'ProductSprint Backlog'!$I270&lt;=I$2), 'ProductSprint Backlog'!$F270 / MAX(1, 'ProductSprint Backlog'!$J270-'ProductSprint Backlog'!$I270), AND('ProductSprint Backlog'!$J270=I$2,'ProductSprint Backlog'!$I270=I$2), 'ProductSprint Backlog'!$F270, TRUE, 0)</f>
        <v>0</v>
      </c>
      <c r="J270" s="4" cm="1">
        <f t="array" ref="J270">_xlfn.IFS('ProductSprint Backlog'!$F270="", "", AND('ProductSprint Backlog'!$J270&gt;J$2,'ProductSprint Backlog'!$I270&lt;=J$2), 'ProductSprint Backlog'!$F270 / MAX(1, 'ProductSprint Backlog'!$J270-'ProductSprint Backlog'!$I270), AND('ProductSprint Backlog'!$J270=J$2,'ProductSprint Backlog'!$I270=J$2), 'ProductSprint Backlog'!$F270, TRUE, 0)</f>
        <v>0</v>
      </c>
    </row>
    <row r="271" spans="2:10" x14ac:dyDescent="0.2">
      <c r="B271" s="4" cm="1">
        <f t="array" ref="B271">_xlfn.IFS('ProductSprint Backlog'!$F271="", "", AND('ProductSprint Backlog'!$J271&gt;B$2,'ProductSprint Backlog'!$I271&lt;=B$2), 'ProductSprint Backlog'!$F271 / MAX(1, 'ProductSprint Backlog'!$J271-'ProductSprint Backlog'!$I271), AND('ProductSprint Backlog'!$J271=B$2,'ProductSprint Backlog'!$I271=B$2), 'ProductSprint Backlog'!$F271, TRUE, 0)</f>
        <v>0</v>
      </c>
      <c r="C271" s="4" cm="1">
        <f t="array" ref="C271">_xlfn.IFS('ProductSprint Backlog'!$F271="", "", AND('ProductSprint Backlog'!$J271&gt;C$2,'ProductSprint Backlog'!$I271&lt;=C$2), 'ProductSprint Backlog'!$F271 / MAX(1, 'ProductSprint Backlog'!$J271-'ProductSprint Backlog'!$I271), AND('ProductSprint Backlog'!$J271=C$2,'ProductSprint Backlog'!$I271=C$2), 'ProductSprint Backlog'!$F271, TRUE, 0)</f>
        <v>0</v>
      </c>
      <c r="D271" s="4" cm="1">
        <f t="array" ref="D271">_xlfn.IFS('ProductSprint Backlog'!$F271="", "", AND('ProductSprint Backlog'!$J271&gt;D$2,'ProductSprint Backlog'!$I271&lt;=D$2), 'ProductSprint Backlog'!$F271 / MAX(1, 'ProductSprint Backlog'!$J271-'ProductSprint Backlog'!$I271), AND('ProductSprint Backlog'!$J271=D$2,'ProductSprint Backlog'!$I271=D$2), 'ProductSprint Backlog'!$F271, TRUE, 0)</f>
        <v>0</v>
      </c>
      <c r="E271" s="4" cm="1">
        <f t="array" ref="E271">_xlfn.IFS('ProductSprint Backlog'!$F271="", "", AND('ProductSprint Backlog'!$J271&gt;E$2,'ProductSprint Backlog'!$I271&lt;=E$2), 'ProductSprint Backlog'!$F271 / MAX(1, 'ProductSprint Backlog'!$J271-'ProductSprint Backlog'!$I271), AND('ProductSprint Backlog'!$J271=E$2,'ProductSprint Backlog'!$I271=E$2), 'ProductSprint Backlog'!$F271, TRUE, 0)</f>
        <v>0</v>
      </c>
      <c r="F271" s="4" cm="1">
        <f t="array" ref="F271">_xlfn.IFS('ProductSprint Backlog'!$F271="", "", AND('ProductSprint Backlog'!$J271&gt;F$2,'ProductSprint Backlog'!$I271&lt;=F$2), 'ProductSprint Backlog'!$F271 / MAX(1, 'ProductSprint Backlog'!$J271-'ProductSprint Backlog'!$I271), AND('ProductSprint Backlog'!$J271=F$2,'ProductSprint Backlog'!$I271=F$2), 'ProductSprint Backlog'!$F271, TRUE, 0)</f>
        <v>0</v>
      </c>
      <c r="G271" s="4" cm="1">
        <f t="array" ref="G271">_xlfn.IFS('ProductSprint Backlog'!$F271="", "", AND('ProductSprint Backlog'!$J271&gt;G$2,'ProductSprint Backlog'!$I271&lt;=G$2), 'ProductSprint Backlog'!$F271 / MAX(1, 'ProductSprint Backlog'!$J271-'ProductSprint Backlog'!$I271), AND('ProductSprint Backlog'!$J271=G$2,'ProductSprint Backlog'!$I271=G$2), 'ProductSprint Backlog'!$F271, TRUE, 0)</f>
        <v>0</v>
      </c>
      <c r="H271" s="4" cm="1">
        <f t="array" ref="H271">_xlfn.IFS('ProductSprint Backlog'!$F271="", "", AND('ProductSprint Backlog'!$J271&gt;H$2,'ProductSprint Backlog'!$I271&lt;=H$2), 'ProductSprint Backlog'!$F271 / MAX(1, 'ProductSprint Backlog'!$J271-'ProductSprint Backlog'!$I271), AND('ProductSprint Backlog'!$J271=H$2,'ProductSprint Backlog'!$I271=H$2), 'ProductSprint Backlog'!$F271, TRUE, 0)</f>
        <v>0</v>
      </c>
      <c r="I271" s="4" cm="1">
        <f t="array" ref="I271">_xlfn.IFS('ProductSprint Backlog'!$F271="", "", AND('ProductSprint Backlog'!$J271&gt;I$2,'ProductSprint Backlog'!$I271&lt;=I$2), 'ProductSprint Backlog'!$F271 / MAX(1, 'ProductSprint Backlog'!$J271-'ProductSprint Backlog'!$I271), AND('ProductSprint Backlog'!$J271=I$2,'ProductSprint Backlog'!$I271=I$2), 'ProductSprint Backlog'!$F271, TRUE, 0)</f>
        <v>0</v>
      </c>
      <c r="J271" s="4" cm="1">
        <f t="array" ref="J271">_xlfn.IFS('ProductSprint Backlog'!$F271="", "", AND('ProductSprint Backlog'!$J271&gt;J$2,'ProductSprint Backlog'!$I271&lt;=J$2), 'ProductSprint Backlog'!$F271 / MAX(1, 'ProductSprint Backlog'!$J271-'ProductSprint Backlog'!$I271), AND('ProductSprint Backlog'!$J271=J$2,'ProductSprint Backlog'!$I271=J$2), 'ProductSprint Backlog'!$F271, TRUE, 0)</f>
        <v>0</v>
      </c>
    </row>
    <row r="272" spans="2:10" x14ac:dyDescent="0.2">
      <c r="B272" s="4" cm="1">
        <f t="array" ref="B272">_xlfn.IFS('ProductSprint Backlog'!$F272="", "", AND('ProductSprint Backlog'!$J272&gt;B$2,'ProductSprint Backlog'!$I272&lt;=B$2), 'ProductSprint Backlog'!$F272 / MAX(1, 'ProductSprint Backlog'!$J272-'ProductSprint Backlog'!$I272), AND('ProductSprint Backlog'!$J272=B$2,'ProductSprint Backlog'!$I272=B$2), 'ProductSprint Backlog'!$F272, TRUE, 0)</f>
        <v>0</v>
      </c>
      <c r="C272" s="4" cm="1">
        <f t="array" ref="C272">_xlfn.IFS('ProductSprint Backlog'!$F272="", "", AND('ProductSprint Backlog'!$J272&gt;C$2,'ProductSprint Backlog'!$I272&lt;=C$2), 'ProductSprint Backlog'!$F272 / MAX(1, 'ProductSprint Backlog'!$J272-'ProductSprint Backlog'!$I272), AND('ProductSprint Backlog'!$J272=C$2,'ProductSprint Backlog'!$I272=C$2), 'ProductSprint Backlog'!$F272, TRUE, 0)</f>
        <v>0</v>
      </c>
      <c r="D272" s="4" cm="1">
        <f t="array" ref="D272">_xlfn.IFS('ProductSprint Backlog'!$F272="", "", AND('ProductSprint Backlog'!$J272&gt;D$2,'ProductSprint Backlog'!$I272&lt;=D$2), 'ProductSprint Backlog'!$F272 / MAX(1, 'ProductSprint Backlog'!$J272-'ProductSprint Backlog'!$I272), AND('ProductSprint Backlog'!$J272=D$2,'ProductSprint Backlog'!$I272=D$2), 'ProductSprint Backlog'!$F272, TRUE, 0)</f>
        <v>0</v>
      </c>
      <c r="E272" s="4" cm="1">
        <f t="array" ref="E272">_xlfn.IFS('ProductSprint Backlog'!$F272="", "", AND('ProductSprint Backlog'!$J272&gt;E$2,'ProductSprint Backlog'!$I272&lt;=E$2), 'ProductSprint Backlog'!$F272 / MAX(1, 'ProductSprint Backlog'!$J272-'ProductSprint Backlog'!$I272), AND('ProductSprint Backlog'!$J272=E$2,'ProductSprint Backlog'!$I272=E$2), 'ProductSprint Backlog'!$F272, TRUE, 0)</f>
        <v>0</v>
      </c>
      <c r="F272" s="4" cm="1">
        <f t="array" ref="F272">_xlfn.IFS('ProductSprint Backlog'!$F272="", "", AND('ProductSprint Backlog'!$J272&gt;F$2,'ProductSprint Backlog'!$I272&lt;=F$2), 'ProductSprint Backlog'!$F272 / MAX(1, 'ProductSprint Backlog'!$J272-'ProductSprint Backlog'!$I272), AND('ProductSprint Backlog'!$J272=F$2,'ProductSprint Backlog'!$I272=F$2), 'ProductSprint Backlog'!$F272, TRUE, 0)</f>
        <v>0</v>
      </c>
      <c r="G272" s="4" cm="1">
        <f t="array" ref="G272">_xlfn.IFS('ProductSprint Backlog'!$F272="", "", AND('ProductSprint Backlog'!$J272&gt;G$2,'ProductSprint Backlog'!$I272&lt;=G$2), 'ProductSprint Backlog'!$F272 / MAX(1, 'ProductSprint Backlog'!$J272-'ProductSprint Backlog'!$I272), AND('ProductSprint Backlog'!$J272=G$2,'ProductSprint Backlog'!$I272=G$2), 'ProductSprint Backlog'!$F272, TRUE, 0)</f>
        <v>0</v>
      </c>
      <c r="H272" s="4" cm="1">
        <f t="array" ref="H272">_xlfn.IFS('ProductSprint Backlog'!$F272="", "", AND('ProductSprint Backlog'!$J272&gt;H$2,'ProductSprint Backlog'!$I272&lt;=H$2), 'ProductSprint Backlog'!$F272 / MAX(1, 'ProductSprint Backlog'!$J272-'ProductSprint Backlog'!$I272), AND('ProductSprint Backlog'!$J272=H$2,'ProductSprint Backlog'!$I272=H$2), 'ProductSprint Backlog'!$F272, TRUE, 0)</f>
        <v>0</v>
      </c>
      <c r="I272" s="4" cm="1">
        <f t="array" ref="I272">_xlfn.IFS('ProductSprint Backlog'!$F272="", "", AND('ProductSprint Backlog'!$J272&gt;I$2,'ProductSprint Backlog'!$I272&lt;=I$2), 'ProductSprint Backlog'!$F272 / MAX(1, 'ProductSprint Backlog'!$J272-'ProductSprint Backlog'!$I272), AND('ProductSprint Backlog'!$J272=I$2,'ProductSprint Backlog'!$I272=I$2), 'ProductSprint Backlog'!$F272, TRUE, 0)</f>
        <v>0</v>
      </c>
      <c r="J272" s="4" cm="1">
        <f t="array" ref="J272">_xlfn.IFS('ProductSprint Backlog'!$F272="", "", AND('ProductSprint Backlog'!$J272&gt;J$2,'ProductSprint Backlog'!$I272&lt;=J$2), 'ProductSprint Backlog'!$F272 / MAX(1, 'ProductSprint Backlog'!$J272-'ProductSprint Backlog'!$I272), AND('ProductSprint Backlog'!$J272=J$2,'ProductSprint Backlog'!$I272=J$2), 'ProductSprint Backlog'!$F272, TRUE, 0)</f>
        <v>0</v>
      </c>
    </row>
    <row r="273" spans="2:10" x14ac:dyDescent="0.2">
      <c r="B273" s="4" cm="1">
        <f t="array" ref="B273">_xlfn.IFS('ProductSprint Backlog'!$F273="", "", AND('ProductSprint Backlog'!$J273&gt;B$2,'ProductSprint Backlog'!$I273&lt;=B$2), 'ProductSprint Backlog'!$F273 / MAX(1, 'ProductSprint Backlog'!$J273-'ProductSprint Backlog'!$I273), AND('ProductSprint Backlog'!$J273=B$2,'ProductSprint Backlog'!$I273=B$2), 'ProductSprint Backlog'!$F273, TRUE, 0)</f>
        <v>0</v>
      </c>
      <c r="C273" s="4" cm="1">
        <f t="array" ref="C273">_xlfn.IFS('ProductSprint Backlog'!$F273="", "", AND('ProductSprint Backlog'!$J273&gt;C$2,'ProductSprint Backlog'!$I273&lt;=C$2), 'ProductSprint Backlog'!$F273 / MAX(1, 'ProductSprint Backlog'!$J273-'ProductSprint Backlog'!$I273), AND('ProductSprint Backlog'!$J273=C$2,'ProductSprint Backlog'!$I273=C$2), 'ProductSprint Backlog'!$F273, TRUE, 0)</f>
        <v>0</v>
      </c>
      <c r="D273" s="4" cm="1">
        <f t="array" ref="D273">_xlfn.IFS('ProductSprint Backlog'!$F273="", "", AND('ProductSprint Backlog'!$J273&gt;D$2,'ProductSprint Backlog'!$I273&lt;=D$2), 'ProductSprint Backlog'!$F273 / MAX(1, 'ProductSprint Backlog'!$J273-'ProductSprint Backlog'!$I273), AND('ProductSprint Backlog'!$J273=D$2,'ProductSprint Backlog'!$I273=D$2), 'ProductSprint Backlog'!$F273, TRUE, 0)</f>
        <v>0</v>
      </c>
      <c r="E273" s="4" cm="1">
        <f t="array" ref="E273">_xlfn.IFS('ProductSprint Backlog'!$F273="", "", AND('ProductSprint Backlog'!$J273&gt;E$2,'ProductSprint Backlog'!$I273&lt;=E$2), 'ProductSprint Backlog'!$F273 / MAX(1, 'ProductSprint Backlog'!$J273-'ProductSprint Backlog'!$I273), AND('ProductSprint Backlog'!$J273=E$2,'ProductSprint Backlog'!$I273=E$2), 'ProductSprint Backlog'!$F273, TRUE, 0)</f>
        <v>0</v>
      </c>
      <c r="F273" s="4" cm="1">
        <f t="array" ref="F273">_xlfn.IFS('ProductSprint Backlog'!$F273="", "", AND('ProductSprint Backlog'!$J273&gt;F$2,'ProductSprint Backlog'!$I273&lt;=F$2), 'ProductSprint Backlog'!$F273 / MAX(1, 'ProductSprint Backlog'!$J273-'ProductSprint Backlog'!$I273), AND('ProductSprint Backlog'!$J273=F$2,'ProductSprint Backlog'!$I273=F$2), 'ProductSprint Backlog'!$F273, TRUE, 0)</f>
        <v>0</v>
      </c>
      <c r="G273" s="4" cm="1">
        <f t="array" ref="G273">_xlfn.IFS('ProductSprint Backlog'!$F273="", "", AND('ProductSprint Backlog'!$J273&gt;G$2,'ProductSprint Backlog'!$I273&lt;=G$2), 'ProductSprint Backlog'!$F273 / MAX(1, 'ProductSprint Backlog'!$J273-'ProductSprint Backlog'!$I273), AND('ProductSprint Backlog'!$J273=G$2,'ProductSprint Backlog'!$I273=G$2), 'ProductSprint Backlog'!$F273, TRUE, 0)</f>
        <v>0</v>
      </c>
      <c r="H273" s="4" cm="1">
        <f t="array" ref="H273">_xlfn.IFS('ProductSprint Backlog'!$F273="", "", AND('ProductSprint Backlog'!$J273&gt;H$2,'ProductSprint Backlog'!$I273&lt;=H$2), 'ProductSprint Backlog'!$F273 / MAX(1, 'ProductSprint Backlog'!$J273-'ProductSprint Backlog'!$I273), AND('ProductSprint Backlog'!$J273=H$2,'ProductSprint Backlog'!$I273=H$2), 'ProductSprint Backlog'!$F273, TRUE, 0)</f>
        <v>0</v>
      </c>
      <c r="I273" s="4" cm="1">
        <f t="array" ref="I273">_xlfn.IFS('ProductSprint Backlog'!$F273="", "", AND('ProductSprint Backlog'!$J273&gt;I$2,'ProductSprint Backlog'!$I273&lt;=I$2), 'ProductSprint Backlog'!$F273 / MAX(1, 'ProductSprint Backlog'!$J273-'ProductSprint Backlog'!$I273), AND('ProductSprint Backlog'!$J273=I$2,'ProductSprint Backlog'!$I273=I$2), 'ProductSprint Backlog'!$F273, TRUE, 0)</f>
        <v>0</v>
      </c>
      <c r="J273" s="4" cm="1">
        <f t="array" ref="J273">_xlfn.IFS('ProductSprint Backlog'!$F273="", "", AND('ProductSprint Backlog'!$J273&gt;J$2,'ProductSprint Backlog'!$I273&lt;=J$2), 'ProductSprint Backlog'!$F273 / MAX(1, 'ProductSprint Backlog'!$J273-'ProductSprint Backlog'!$I273), AND('ProductSprint Backlog'!$J273=J$2,'ProductSprint Backlog'!$I273=J$2), 'ProductSprint Backlog'!$F273, TRUE, 0)</f>
        <v>0</v>
      </c>
    </row>
    <row r="274" spans="2:10" x14ac:dyDescent="0.2">
      <c r="B274" s="4" cm="1">
        <f t="array" ref="B274">_xlfn.IFS('ProductSprint Backlog'!$F274="", "", AND('ProductSprint Backlog'!$J274&gt;B$2,'ProductSprint Backlog'!$I274&lt;=B$2), 'ProductSprint Backlog'!$F274 / MAX(1, 'ProductSprint Backlog'!$J274-'ProductSprint Backlog'!$I274), AND('ProductSprint Backlog'!$J274=B$2,'ProductSprint Backlog'!$I274=B$2), 'ProductSprint Backlog'!$F274, TRUE, 0)</f>
        <v>0</v>
      </c>
      <c r="C274" s="4" cm="1">
        <f t="array" ref="C274">_xlfn.IFS('ProductSprint Backlog'!$F274="", "", AND('ProductSprint Backlog'!$J274&gt;C$2,'ProductSprint Backlog'!$I274&lt;=C$2), 'ProductSprint Backlog'!$F274 / MAX(1, 'ProductSprint Backlog'!$J274-'ProductSprint Backlog'!$I274), AND('ProductSprint Backlog'!$J274=C$2,'ProductSprint Backlog'!$I274=C$2), 'ProductSprint Backlog'!$F274, TRUE, 0)</f>
        <v>0</v>
      </c>
      <c r="D274" s="4" cm="1">
        <f t="array" ref="D274">_xlfn.IFS('ProductSprint Backlog'!$F274="", "", AND('ProductSprint Backlog'!$J274&gt;D$2,'ProductSprint Backlog'!$I274&lt;=D$2), 'ProductSprint Backlog'!$F274 / MAX(1, 'ProductSprint Backlog'!$J274-'ProductSprint Backlog'!$I274), AND('ProductSprint Backlog'!$J274=D$2,'ProductSprint Backlog'!$I274=D$2), 'ProductSprint Backlog'!$F274, TRUE, 0)</f>
        <v>0</v>
      </c>
      <c r="E274" s="4" cm="1">
        <f t="array" ref="E274">_xlfn.IFS('ProductSprint Backlog'!$F274="", "", AND('ProductSprint Backlog'!$J274&gt;E$2,'ProductSprint Backlog'!$I274&lt;=E$2), 'ProductSprint Backlog'!$F274 / MAX(1, 'ProductSprint Backlog'!$J274-'ProductSprint Backlog'!$I274), AND('ProductSprint Backlog'!$J274=E$2,'ProductSprint Backlog'!$I274=E$2), 'ProductSprint Backlog'!$F274, TRUE, 0)</f>
        <v>0</v>
      </c>
      <c r="F274" s="4" cm="1">
        <f t="array" ref="F274">_xlfn.IFS('ProductSprint Backlog'!$F274="", "", AND('ProductSprint Backlog'!$J274&gt;F$2,'ProductSprint Backlog'!$I274&lt;=F$2), 'ProductSprint Backlog'!$F274 / MAX(1, 'ProductSprint Backlog'!$J274-'ProductSprint Backlog'!$I274), AND('ProductSprint Backlog'!$J274=F$2,'ProductSprint Backlog'!$I274=F$2), 'ProductSprint Backlog'!$F274, TRUE, 0)</f>
        <v>0</v>
      </c>
      <c r="G274" s="4" cm="1">
        <f t="array" ref="G274">_xlfn.IFS('ProductSprint Backlog'!$F274="", "", AND('ProductSprint Backlog'!$J274&gt;G$2,'ProductSprint Backlog'!$I274&lt;=G$2), 'ProductSprint Backlog'!$F274 / MAX(1, 'ProductSprint Backlog'!$J274-'ProductSprint Backlog'!$I274), AND('ProductSprint Backlog'!$J274=G$2,'ProductSprint Backlog'!$I274=G$2), 'ProductSprint Backlog'!$F274, TRUE, 0)</f>
        <v>0</v>
      </c>
      <c r="H274" s="4" cm="1">
        <f t="array" ref="H274">_xlfn.IFS('ProductSprint Backlog'!$F274="", "", AND('ProductSprint Backlog'!$J274&gt;H$2,'ProductSprint Backlog'!$I274&lt;=H$2), 'ProductSprint Backlog'!$F274 / MAX(1, 'ProductSprint Backlog'!$J274-'ProductSprint Backlog'!$I274), AND('ProductSprint Backlog'!$J274=H$2,'ProductSprint Backlog'!$I274=H$2), 'ProductSprint Backlog'!$F274, TRUE, 0)</f>
        <v>0</v>
      </c>
      <c r="I274" s="4" cm="1">
        <f t="array" ref="I274">_xlfn.IFS('ProductSprint Backlog'!$F274="", "", AND('ProductSprint Backlog'!$J274&gt;I$2,'ProductSprint Backlog'!$I274&lt;=I$2), 'ProductSprint Backlog'!$F274 / MAX(1, 'ProductSprint Backlog'!$J274-'ProductSprint Backlog'!$I274), AND('ProductSprint Backlog'!$J274=I$2,'ProductSprint Backlog'!$I274=I$2), 'ProductSprint Backlog'!$F274, TRUE, 0)</f>
        <v>0</v>
      </c>
      <c r="J274" s="4" cm="1">
        <f t="array" ref="J274">_xlfn.IFS('ProductSprint Backlog'!$F274="", "", AND('ProductSprint Backlog'!$J274&gt;J$2,'ProductSprint Backlog'!$I274&lt;=J$2), 'ProductSprint Backlog'!$F274 / MAX(1, 'ProductSprint Backlog'!$J274-'ProductSprint Backlog'!$I274), AND('ProductSprint Backlog'!$J274=J$2,'ProductSprint Backlog'!$I274=J$2), 'ProductSprint Backlog'!$F274, TRUE, 0)</f>
        <v>0</v>
      </c>
    </row>
    <row r="275" spans="2:10" x14ac:dyDescent="0.2">
      <c r="B275" s="4" cm="1">
        <f t="array" ref="B275">_xlfn.IFS('ProductSprint Backlog'!$F275="", "", AND('ProductSprint Backlog'!$J275&gt;B$2,'ProductSprint Backlog'!$I275&lt;=B$2), 'ProductSprint Backlog'!$F275 / MAX(1, 'ProductSprint Backlog'!$J275-'ProductSprint Backlog'!$I275), AND('ProductSprint Backlog'!$J275=B$2,'ProductSprint Backlog'!$I275=B$2), 'ProductSprint Backlog'!$F275, TRUE, 0)</f>
        <v>0</v>
      </c>
      <c r="C275" s="4" cm="1">
        <f t="array" ref="C275">_xlfn.IFS('ProductSprint Backlog'!$F275="", "", AND('ProductSprint Backlog'!$J275&gt;C$2,'ProductSprint Backlog'!$I275&lt;=C$2), 'ProductSprint Backlog'!$F275 / MAX(1, 'ProductSprint Backlog'!$J275-'ProductSprint Backlog'!$I275), AND('ProductSprint Backlog'!$J275=C$2,'ProductSprint Backlog'!$I275=C$2), 'ProductSprint Backlog'!$F275, TRUE, 0)</f>
        <v>0</v>
      </c>
      <c r="D275" s="4" cm="1">
        <f t="array" ref="D275">_xlfn.IFS('ProductSprint Backlog'!$F275="", "", AND('ProductSprint Backlog'!$J275&gt;D$2,'ProductSprint Backlog'!$I275&lt;=D$2), 'ProductSprint Backlog'!$F275 / MAX(1, 'ProductSprint Backlog'!$J275-'ProductSprint Backlog'!$I275), AND('ProductSprint Backlog'!$J275=D$2,'ProductSprint Backlog'!$I275=D$2), 'ProductSprint Backlog'!$F275, TRUE, 0)</f>
        <v>0</v>
      </c>
      <c r="E275" s="4" cm="1">
        <f t="array" ref="E275">_xlfn.IFS('ProductSprint Backlog'!$F275="", "", AND('ProductSprint Backlog'!$J275&gt;E$2,'ProductSprint Backlog'!$I275&lt;=E$2), 'ProductSprint Backlog'!$F275 / MAX(1, 'ProductSprint Backlog'!$J275-'ProductSprint Backlog'!$I275), AND('ProductSprint Backlog'!$J275=E$2,'ProductSprint Backlog'!$I275=E$2), 'ProductSprint Backlog'!$F275, TRUE, 0)</f>
        <v>0</v>
      </c>
      <c r="F275" s="4" cm="1">
        <f t="array" ref="F275">_xlfn.IFS('ProductSprint Backlog'!$F275="", "", AND('ProductSprint Backlog'!$J275&gt;F$2,'ProductSprint Backlog'!$I275&lt;=F$2), 'ProductSprint Backlog'!$F275 / MAX(1, 'ProductSprint Backlog'!$J275-'ProductSprint Backlog'!$I275), AND('ProductSprint Backlog'!$J275=F$2,'ProductSprint Backlog'!$I275=F$2), 'ProductSprint Backlog'!$F275, TRUE, 0)</f>
        <v>0</v>
      </c>
      <c r="G275" s="4" cm="1">
        <f t="array" ref="G275">_xlfn.IFS('ProductSprint Backlog'!$F275="", "", AND('ProductSprint Backlog'!$J275&gt;G$2,'ProductSprint Backlog'!$I275&lt;=G$2), 'ProductSprint Backlog'!$F275 / MAX(1, 'ProductSprint Backlog'!$J275-'ProductSprint Backlog'!$I275), AND('ProductSprint Backlog'!$J275=G$2,'ProductSprint Backlog'!$I275=G$2), 'ProductSprint Backlog'!$F275, TRUE, 0)</f>
        <v>0</v>
      </c>
      <c r="H275" s="4" cm="1">
        <f t="array" ref="H275">_xlfn.IFS('ProductSprint Backlog'!$F275="", "", AND('ProductSprint Backlog'!$J275&gt;H$2,'ProductSprint Backlog'!$I275&lt;=H$2), 'ProductSprint Backlog'!$F275 / MAX(1, 'ProductSprint Backlog'!$J275-'ProductSprint Backlog'!$I275), AND('ProductSprint Backlog'!$J275=H$2,'ProductSprint Backlog'!$I275=H$2), 'ProductSprint Backlog'!$F275, TRUE, 0)</f>
        <v>0</v>
      </c>
      <c r="I275" s="4" cm="1">
        <f t="array" ref="I275">_xlfn.IFS('ProductSprint Backlog'!$F275="", "", AND('ProductSprint Backlog'!$J275&gt;I$2,'ProductSprint Backlog'!$I275&lt;=I$2), 'ProductSprint Backlog'!$F275 / MAX(1, 'ProductSprint Backlog'!$J275-'ProductSprint Backlog'!$I275), AND('ProductSprint Backlog'!$J275=I$2,'ProductSprint Backlog'!$I275=I$2), 'ProductSprint Backlog'!$F275, TRUE, 0)</f>
        <v>0</v>
      </c>
      <c r="J275" s="4" cm="1">
        <f t="array" ref="J275">_xlfn.IFS('ProductSprint Backlog'!$F275="", "", AND('ProductSprint Backlog'!$J275&gt;J$2,'ProductSprint Backlog'!$I275&lt;=J$2), 'ProductSprint Backlog'!$F275 / MAX(1, 'ProductSprint Backlog'!$J275-'ProductSprint Backlog'!$I275), AND('ProductSprint Backlog'!$J275=J$2,'ProductSprint Backlog'!$I275=J$2), 'ProductSprint Backlog'!$F275, TRUE, 0)</f>
        <v>0</v>
      </c>
    </row>
    <row r="276" spans="2:10" x14ac:dyDescent="0.2">
      <c r="B276" s="4" cm="1">
        <f t="array" ref="B276">_xlfn.IFS('ProductSprint Backlog'!$F276="", "", AND('ProductSprint Backlog'!$J276&gt;B$2,'ProductSprint Backlog'!$I276&lt;=B$2), 'ProductSprint Backlog'!$F276 / MAX(1, 'ProductSprint Backlog'!$J276-'ProductSprint Backlog'!$I276), AND('ProductSprint Backlog'!$J276=B$2,'ProductSprint Backlog'!$I276=B$2), 'ProductSprint Backlog'!$F276, TRUE, 0)</f>
        <v>0</v>
      </c>
      <c r="C276" s="4" cm="1">
        <f t="array" ref="C276">_xlfn.IFS('ProductSprint Backlog'!$F276="", "", AND('ProductSprint Backlog'!$J276&gt;C$2,'ProductSprint Backlog'!$I276&lt;=C$2), 'ProductSprint Backlog'!$F276 / MAX(1, 'ProductSprint Backlog'!$J276-'ProductSprint Backlog'!$I276), AND('ProductSprint Backlog'!$J276=C$2,'ProductSprint Backlog'!$I276=C$2), 'ProductSprint Backlog'!$F276, TRUE, 0)</f>
        <v>0</v>
      </c>
      <c r="D276" s="4" cm="1">
        <f t="array" ref="D276">_xlfn.IFS('ProductSprint Backlog'!$F276="", "", AND('ProductSprint Backlog'!$J276&gt;D$2,'ProductSprint Backlog'!$I276&lt;=D$2), 'ProductSprint Backlog'!$F276 / MAX(1, 'ProductSprint Backlog'!$J276-'ProductSprint Backlog'!$I276), AND('ProductSprint Backlog'!$J276=D$2,'ProductSprint Backlog'!$I276=D$2), 'ProductSprint Backlog'!$F276, TRUE, 0)</f>
        <v>0</v>
      </c>
      <c r="E276" s="4" cm="1">
        <f t="array" ref="E276">_xlfn.IFS('ProductSprint Backlog'!$F276="", "", AND('ProductSprint Backlog'!$J276&gt;E$2,'ProductSprint Backlog'!$I276&lt;=E$2), 'ProductSprint Backlog'!$F276 / MAX(1, 'ProductSprint Backlog'!$J276-'ProductSprint Backlog'!$I276), AND('ProductSprint Backlog'!$J276=E$2,'ProductSprint Backlog'!$I276=E$2), 'ProductSprint Backlog'!$F276, TRUE, 0)</f>
        <v>0</v>
      </c>
      <c r="F276" s="4" cm="1">
        <f t="array" ref="F276">_xlfn.IFS('ProductSprint Backlog'!$F276="", "", AND('ProductSprint Backlog'!$J276&gt;F$2,'ProductSprint Backlog'!$I276&lt;=F$2), 'ProductSprint Backlog'!$F276 / MAX(1, 'ProductSprint Backlog'!$J276-'ProductSprint Backlog'!$I276), AND('ProductSprint Backlog'!$J276=F$2,'ProductSprint Backlog'!$I276=F$2), 'ProductSprint Backlog'!$F276, TRUE, 0)</f>
        <v>0</v>
      </c>
      <c r="G276" s="4" cm="1">
        <f t="array" ref="G276">_xlfn.IFS('ProductSprint Backlog'!$F276="", "", AND('ProductSprint Backlog'!$J276&gt;G$2,'ProductSprint Backlog'!$I276&lt;=G$2), 'ProductSprint Backlog'!$F276 / MAX(1, 'ProductSprint Backlog'!$J276-'ProductSprint Backlog'!$I276), AND('ProductSprint Backlog'!$J276=G$2,'ProductSprint Backlog'!$I276=G$2), 'ProductSprint Backlog'!$F276, TRUE, 0)</f>
        <v>0</v>
      </c>
      <c r="H276" s="4" cm="1">
        <f t="array" ref="H276">_xlfn.IFS('ProductSprint Backlog'!$F276="", "", AND('ProductSprint Backlog'!$J276&gt;H$2,'ProductSprint Backlog'!$I276&lt;=H$2), 'ProductSprint Backlog'!$F276 / MAX(1, 'ProductSprint Backlog'!$J276-'ProductSprint Backlog'!$I276), AND('ProductSprint Backlog'!$J276=H$2,'ProductSprint Backlog'!$I276=H$2), 'ProductSprint Backlog'!$F276, TRUE, 0)</f>
        <v>0</v>
      </c>
      <c r="I276" s="4" cm="1">
        <f t="array" ref="I276">_xlfn.IFS('ProductSprint Backlog'!$F276="", "", AND('ProductSprint Backlog'!$J276&gt;I$2,'ProductSprint Backlog'!$I276&lt;=I$2), 'ProductSprint Backlog'!$F276 / MAX(1, 'ProductSprint Backlog'!$J276-'ProductSprint Backlog'!$I276), AND('ProductSprint Backlog'!$J276=I$2,'ProductSprint Backlog'!$I276=I$2), 'ProductSprint Backlog'!$F276, TRUE, 0)</f>
        <v>0</v>
      </c>
      <c r="J276" s="4" cm="1">
        <f t="array" ref="J276">_xlfn.IFS('ProductSprint Backlog'!$F276="", "", AND('ProductSprint Backlog'!$J276&gt;J$2,'ProductSprint Backlog'!$I276&lt;=J$2), 'ProductSprint Backlog'!$F276 / MAX(1, 'ProductSprint Backlog'!$J276-'ProductSprint Backlog'!$I276), AND('ProductSprint Backlog'!$J276=J$2,'ProductSprint Backlog'!$I276=J$2), 'ProductSprint Backlog'!$F276, TRUE, 0)</f>
        <v>0</v>
      </c>
    </row>
    <row r="277" spans="2:10" x14ac:dyDescent="0.2">
      <c r="B277" s="4" cm="1">
        <f t="array" ref="B277">_xlfn.IFS('ProductSprint Backlog'!$F277="", "", AND('ProductSprint Backlog'!$J277&gt;B$2,'ProductSprint Backlog'!$I277&lt;=B$2), 'ProductSprint Backlog'!$F277 / MAX(1, 'ProductSprint Backlog'!$J277-'ProductSprint Backlog'!$I277), AND('ProductSprint Backlog'!$J277=B$2,'ProductSprint Backlog'!$I277=B$2), 'ProductSprint Backlog'!$F277, TRUE, 0)</f>
        <v>0</v>
      </c>
      <c r="C277" s="4" cm="1">
        <f t="array" ref="C277">_xlfn.IFS('ProductSprint Backlog'!$F277="", "", AND('ProductSprint Backlog'!$J277&gt;C$2,'ProductSprint Backlog'!$I277&lt;=C$2), 'ProductSprint Backlog'!$F277 / MAX(1, 'ProductSprint Backlog'!$J277-'ProductSprint Backlog'!$I277), AND('ProductSprint Backlog'!$J277=C$2,'ProductSprint Backlog'!$I277=C$2), 'ProductSprint Backlog'!$F277, TRUE, 0)</f>
        <v>0</v>
      </c>
      <c r="D277" s="4" cm="1">
        <f t="array" ref="D277">_xlfn.IFS('ProductSprint Backlog'!$F277="", "", AND('ProductSprint Backlog'!$J277&gt;D$2,'ProductSprint Backlog'!$I277&lt;=D$2), 'ProductSprint Backlog'!$F277 / MAX(1, 'ProductSprint Backlog'!$J277-'ProductSprint Backlog'!$I277), AND('ProductSprint Backlog'!$J277=D$2,'ProductSprint Backlog'!$I277=D$2), 'ProductSprint Backlog'!$F277, TRUE, 0)</f>
        <v>0</v>
      </c>
      <c r="E277" s="4" cm="1">
        <f t="array" ref="E277">_xlfn.IFS('ProductSprint Backlog'!$F277="", "", AND('ProductSprint Backlog'!$J277&gt;E$2,'ProductSprint Backlog'!$I277&lt;=E$2), 'ProductSprint Backlog'!$F277 / MAX(1, 'ProductSprint Backlog'!$J277-'ProductSprint Backlog'!$I277), AND('ProductSprint Backlog'!$J277=E$2,'ProductSprint Backlog'!$I277=E$2), 'ProductSprint Backlog'!$F277, TRUE, 0)</f>
        <v>0</v>
      </c>
      <c r="F277" s="4" cm="1">
        <f t="array" ref="F277">_xlfn.IFS('ProductSprint Backlog'!$F277="", "", AND('ProductSprint Backlog'!$J277&gt;F$2,'ProductSprint Backlog'!$I277&lt;=F$2), 'ProductSprint Backlog'!$F277 / MAX(1, 'ProductSprint Backlog'!$J277-'ProductSprint Backlog'!$I277), AND('ProductSprint Backlog'!$J277=F$2,'ProductSprint Backlog'!$I277=F$2), 'ProductSprint Backlog'!$F277, TRUE, 0)</f>
        <v>0</v>
      </c>
      <c r="G277" s="4" cm="1">
        <f t="array" ref="G277">_xlfn.IFS('ProductSprint Backlog'!$F277="", "", AND('ProductSprint Backlog'!$J277&gt;G$2,'ProductSprint Backlog'!$I277&lt;=G$2), 'ProductSprint Backlog'!$F277 / MAX(1, 'ProductSprint Backlog'!$J277-'ProductSprint Backlog'!$I277), AND('ProductSprint Backlog'!$J277=G$2,'ProductSprint Backlog'!$I277=G$2), 'ProductSprint Backlog'!$F277, TRUE, 0)</f>
        <v>0</v>
      </c>
      <c r="H277" s="4" cm="1">
        <f t="array" ref="H277">_xlfn.IFS('ProductSprint Backlog'!$F277="", "", AND('ProductSprint Backlog'!$J277&gt;H$2,'ProductSprint Backlog'!$I277&lt;=H$2), 'ProductSprint Backlog'!$F277 / MAX(1, 'ProductSprint Backlog'!$J277-'ProductSprint Backlog'!$I277), AND('ProductSprint Backlog'!$J277=H$2,'ProductSprint Backlog'!$I277=H$2), 'ProductSprint Backlog'!$F277, TRUE, 0)</f>
        <v>0</v>
      </c>
      <c r="I277" s="4" cm="1">
        <f t="array" ref="I277">_xlfn.IFS('ProductSprint Backlog'!$F277="", "", AND('ProductSprint Backlog'!$J277&gt;I$2,'ProductSprint Backlog'!$I277&lt;=I$2), 'ProductSprint Backlog'!$F277 / MAX(1, 'ProductSprint Backlog'!$J277-'ProductSprint Backlog'!$I277), AND('ProductSprint Backlog'!$J277=I$2,'ProductSprint Backlog'!$I277=I$2), 'ProductSprint Backlog'!$F277, TRUE, 0)</f>
        <v>0</v>
      </c>
      <c r="J277" s="4" cm="1">
        <f t="array" ref="J277">_xlfn.IFS('ProductSprint Backlog'!$F277="", "", AND('ProductSprint Backlog'!$J277&gt;J$2,'ProductSprint Backlog'!$I277&lt;=J$2), 'ProductSprint Backlog'!$F277 / MAX(1, 'ProductSprint Backlog'!$J277-'ProductSprint Backlog'!$I277), AND('ProductSprint Backlog'!$J277=J$2,'ProductSprint Backlog'!$I277=J$2), 'ProductSprint Backlog'!$F277, TRUE, 0)</f>
        <v>0</v>
      </c>
    </row>
    <row r="278" spans="2:10" x14ac:dyDescent="0.2">
      <c r="B278" s="4" cm="1">
        <f t="array" ref="B278">_xlfn.IFS('ProductSprint Backlog'!$F278="", "", AND('ProductSprint Backlog'!$J278&gt;B$2,'ProductSprint Backlog'!$I278&lt;=B$2), 'ProductSprint Backlog'!$F278 / MAX(1, 'ProductSprint Backlog'!$J278-'ProductSprint Backlog'!$I278), AND('ProductSprint Backlog'!$J278=B$2,'ProductSprint Backlog'!$I278=B$2), 'ProductSprint Backlog'!$F278, TRUE, 0)</f>
        <v>0</v>
      </c>
      <c r="C278" s="4" cm="1">
        <f t="array" ref="C278">_xlfn.IFS('ProductSprint Backlog'!$F278="", "", AND('ProductSprint Backlog'!$J278&gt;C$2,'ProductSprint Backlog'!$I278&lt;=C$2), 'ProductSprint Backlog'!$F278 / MAX(1, 'ProductSprint Backlog'!$J278-'ProductSprint Backlog'!$I278), AND('ProductSprint Backlog'!$J278=C$2,'ProductSprint Backlog'!$I278=C$2), 'ProductSprint Backlog'!$F278, TRUE, 0)</f>
        <v>0</v>
      </c>
      <c r="D278" s="4" cm="1">
        <f t="array" ref="D278">_xlfn.IFS('ProductSprint Backlog'!$F278="", "", AND('ProductSprint Backlog'!$J278&gt;D$2,'ProductSprint Backlog'!$I278&lt;=D$2), 'ProductSprint Backlog'!$F278 / MAX(1, 'ProductSprint Backlog'!$J278-'ProductSprint Backlog'!$I278), AND('ProductSprint Backlog'!$J278=D$2,'ProductSprint Backlog'!$I278=D$2), 'ProductSprint Backlog'!$F278, TRUE, 0)</f>
        <v>0</v>
      </c>
      <c r="E278" s="4" cm="1">
        <f t="array" ref="E278">_xlfn.IFS('ProductSprint Backlog'!$F278="", "", AND('ProductSprint Backlog'!$J278&gt;E$2,'ProductSprint Backlog'!$I278&lt;=E$2), 'ProductSprint Backlog'!$F278 / MAX(1, 'ProductSprint Backlog'!$J278-'ProductSprint Backlog'!$I278), AND('ProductSprint Backlog'!$J278=E$2,'ProductSprint Backlog'!$I278=E$2), 'ProductSprint Backlog'!$F278, TRUE, 0)</f>
        <v>0</v>
      </c>
      <c r="F278" s="4" cm="1">
        <f t="array" ref="F278">_xlfn.IFS('ProductSprint Backlog'!$F278="", "", AND('ProductSprint Backlog'!$J278&gt;F$2,'ProductSprint Backlog'!$I278&lt;=F$2), 'ProductSprint Backlog'!$F278 / MAX(1, 'ProductSprint Backlog'!$J278-'ProductSprint Backlog'!$I278), AND('ProductSprint Backlog'!$J278=F$2,'ProductSprint Backlog'!$I278=F$2), 'ProductSprint Backlog'!$F278, TRUE, 0)</f>
        <v>0</v>
      </c>
      <c r="G278" s="4" cm="1">
        <f t="array" ref="G278">_xlfn.IFS('ProductSprint Backlog'!$F278="", "", AND('ProductSprint Backlog'!$J278&gt;G$2,'ProductSprint Backlog'!$I278&lt;=G$2), 'ProductSprint Backlog'!$F278 / MAX(1, 'ProductSprint Backlog'!$J278-'ProductSprint Backlog'!$I278), AND('ProductSprint Backlog'!$J278=G$2,'ProductSprint Backlog'!$I278=G$2), 'ProductSprint Backlog'!$F278, TRUE, 0)</f>
        <v>0</v>
      </c>
      <c r="H278" s="4" cm="1">
        <f t="array" ref="H278">_xlfn.IFS('ProductSprint Backlog'!$F278="", "", AND('ProductSprint Backlog'!$J278&gt;H$2,'ProductSprint Backlog'!$I278&lt;=H$2), 'ProductSprint Backlog'!$F278 / MAX(1, 'ProductSprint Backlog'!$J278-'ProductSprint Backlog'!$I278), AND('ProductSprint Backlog'!$J278=H$2,'ProductSprint Backlog'!$I278=H$2), 'ProductSprint Backlog'!$F278, TRUE, 0)</f>
        <v>0</v>
      </c>
      <c r="I278" s="4" cm="1">
        <f t="array" ref="I278">_xlfn.IFS('ProductSprint Backlog'!$F278="", "", AND('ProductSprint Backlog'!$J278&gt;I$2,'ProductSprint Backlog'!$I278&lt;=I$2), 'ProductSprint Backlog'!$F278 / MAX(1, 'ProductSprint Backlog'!$J278-'ProductSprint Backlog'!$I278), AND('ProductSprint Backlog'!$J278=I$2,'ProductSprint Backlog'!$I278=I$2), 'ProductSprint Backlog'!$F278, TRUE, 0)</f>
        <v>0</v>
      </c>
      <c r="J278" s="4" cm="1">
        <f t="array" ref="J278">_xlfn.IFS('ProductSprint Backlog'!$F278="", "", AND('ProductSprint Backlog'!$J278&gt;J$2,'ProductSprint Backlog'!$I278&lt;=J$2), 'ProductSprint Backlog'!$F278 / MAX(1, 'ProductSprint Backlog'!$J278-'ProductSprint Backlog'!$I278), AND('ProductSprint Backlog'!$J278=J$2,'ProductSprint Backlog'!$I278=J$2), 'ProductSprint Backlog'!$F278, TRUE, 0)</f>
        <v>0</v>
      </c>
    </row>
    <row r="279" spans="2:10" x14ac:dyDescent="0.2">
      <c r="B279" s="4" cm="1">
        <f t="array" ref="B279">_xlfn.IFS('ProductSprint Backlog'!$F279="", "", AND('ProductSprint Backlog'!$J279&gt;B$2,'ProductSprint Backlog'!$I279&lt;=B$2), 'ProductSprint Backlog'!$F279 / MAX(1, 'ProductSprint Backlog'!$J279-'ProductSprint Backlog'!$I279), AND('ProductSprint Backlog'!$J279=B$2,'ProductSprint Backlog'!$I279=B$2), 'ProductSprint Backlog'!$F279, TRUE, 0)</f>
        <v>0</v>
      </c>
      <c r="C279" s="4" cm="1">
        <f t="array" ref="C279">_xlfn.IFS('ProductSprint Backlog'!$F279="", "", AND('ProductSprint Backlog'!$J279&gt;C$2,'ProductSprint Backlog'!$I279&lt;=C$2), 'ProductSprint Backlog'!$F279 / MAX(1, 'ProductSprint Backlog'!$J279-'ProductSprint Backlog'!$I279), AND('ProductSprint Backlog'!$J279=C$2,'ProductSprint Backlog'!$I279=C$2), 'ProductSprint Backlog'!$F279, TRUE, 0)</f>
        <v>0</v>
      </c>
      <c r="D279" s="4" cm="1">
        <f t="array" ref="D279">_xlfn.IFS('ProductSprint Backlog'!$F279="", "", AND('ProductSprint Backlog'!$J279&gt;D$2,'ProductSprint Backlog'!$I279&lt;=D$2), 'ProductSprint Backlog'!$F279 / MAX(1, 'ProductSprint Backlog'!$J279-'ProductSprint Backlog'!$I279), AND('ProductSprint Backlog'!$J279=D$2,'ProductSprint Backlog'!$I279=D$2), 'ProductSprint Backlog'!$F279, TRUE, 0)</f>
        <v>0</v>
      </c>
      <c r="E279" s="4" cm="1">
        <f t="array" ref="E279">_xlfn.IFS('ProductSprint Backlog'!$F279="", "", AND('ProductSprint Backlog'!$J279&gt;E$2,'ProductSprint Backlog'!$I279&lt;=E$2), 'ProductSprint Backlog'!$F279 / MAX(1, 'ProductSprint Backlog'!$J279-'ProductSprint Backlog'!$I279), AND('ProductSprint Backlog'!$J279=E$2,'ProductSprint Backlog'!$I279=E$2), 'ProductSprint Backlog'!$F279, TRUE, 0)</f>
        <v>0</v>
      </c>
      <c r="F279" s="4" cm="1">
        <f t="array" ref="F279">_xlfn.IFS('ProductSprint Backlog'!$F279="", "", AND('ProductSprint Backlog'!$J279&gt;F$2,'ProductSprint Backlog'!$I279&lt;=F$2), 'ProductSprint Backlog'!$F279 / MAX(1, 'ProductSprint Backlog'!$J279-'ProductSprint Backlog'!$I279), AND('ProductSprint Backlog'!$J279=F$2,'ProductSprint Backlog'!$I279=F$2), 'ProductSprint Backlog'!$F279, TRUE, 0)</f>
        <v>0</v>
      </c>
      <c r="G279" s="4" cm="1">
        <f t="array" ref="G279">_xlfn.IFS('ProductSprint Backlog'!$F279="", "", AND('ProductSprint Backlog'!$J279&gt;G$2,'ProductSprint Backlog'!$I279&lt;=G$2), 'ProductSprint Backlog'!$F279 / MAX(1, 'ProductSprint Backlog'!$J279-'ProductSprint Backlog'!$I279), AND('ProductSprint Backlog'!$J279=G$2,'ProductSprint Backlog'!$I279=G$2), 'ProductSprint Backlog'!$F279, TRUE, 0)</f>
        <v>0</v>
      </c>
      <c r="H279" s="4" cm="1">
        <f t="array" ref="H279">_xlfn.IFS('ProductSprint Backlog'!$F279="", "", AND('ProductSprint Backlog'!$J279&gt;H$2,'ProductSprint Backlog'!$I279&lt;=H$2), 'ProductSprint Backlog'!$F279 / MAX(1, 'ProductSprint Backlog'!$J279-'ProductSprint Backlog'!$I279), AND('ProductSprint Backlog'!$J279=H$2,'ProductSprint Backlog'!$I279=H$2), 'ProductSprint Backlog'!$F279, TRUE, 0)</f>
        <v>0</v>
      </c>
      <c r="I279" s="4" cm="1">
        <f t="array" ref="I279">_xlfn.IFS('ProductSprint Backlog'!$F279="", "", AND('ProductSprint Backlog'!$J279&gt;I$2,'ProductSprint Backlog'!$I279&lt;=I$2), 'ProductSprint Backlog'!$F279 / MAX(1, 'ProductSprint Backlog'!$J279-'ProductSprint Backlog'!$I279), AND('ProductSprint Backlog'!$J279=I$2,'ProductSprint Backlog'!$I279=I$2), 'ProductSprint Backlog'!$F279, TRUE, 0)</f>
        <v>0</v>
      </c>
      <c r="J279" s="4" cm="1">
        <f t="array" ref="J279">_xlfn.IFS('ProductSprint Backlog'!$F279="", "", AND('ProductSprint Backlog'!$J279&gt;J$2,'ProductSprint Backlog'!$I279&lt;=J$2), 'ProductSprint Backlog'!$F279 / MAX(1, 'ProductSprint Backlog'!$J279-'ProductSprint Backlog'!$I279), AND('ProductSprint Backlog'!$J279=J$2,'ProductSprint Backlog'!$I279=J$2), 'ProductSprint Backlog'!$F279, TRUE, 0)</f>
        <v>0</v>
      </c>
    </row>
    <row r="280" spans="2:10" x14ac:dyDescent="0.2">
      <c r="B280" s="4" cm="1">
        <f t="array" ref="B280">_xlfn.IFS('ProductSprint Backlog'!$F280="", "", AND('ProductSprint Backlog'!$J280&gt;B$2,'ProductSprint Backlog'!$I280&lt;=B$2), 'ProductSprint Backlog'!$F280 / MAX(1, 'ProductSprint Backlog'!$J280-'ProductSprint Backlog'!$I280), AND('ProductSprint Backlog'!$J280=B$2,'ProductSprint Backlog'!$I280=B$2), 'ProductSprint Backlog'!$F280, TRUE, 0)</f>
        <v>0</v>
      </c>
      <c r="C280" s="4" cm="1">
        <f t="array" ref="C280">_xlfn.IFS('ProductSprint Backlog'!$F280="", "", AND('ProductSprint Backlog'!$J280&gt;C$2,'ProductSprint Backlog'!$I280&lt;=C$2), 'ProductSprint Backlog'!$F280 / MAX(1, 'ProductSprint Backlog'!$J280-'ProductSprint Backlog'!$I280), AND('ProductSprint Backlog'!$J280=C$2,'ProductSprint Backlog'!$I280=C$2), 'ProductSprint Backlog'!$F280, TRUE, 0)</f>
        <v>0</v>
      </c>
      <c r="D280" s="4" cm="1">
        <f t="array" ref="D280">_xlfn.IFS('ProductSprint Backlog'!$F280="", "", AND('ProductSprint Backlog'!$J280&gt;D$2,'ProductSprint Backlog'!$I280&lt;=D$2), 'ProductSprint Backlog'!$F280 / MAX(1, 'ProductSprint Backlog'!$J280-'ProductSprint Backlog'!$I280), AND('ProductSprint Backlog'!$J280=D$2,'ProductSprint Backlog'!$I280=D$2), 'ProductSprint Backlog'!$F280, TRUE, 0)</f>
        <v>0</v>
      </c>
      <c r="E280" s="4" cm="1">
        <f t="array" ref="E280">_xlfn.IFS('ProductSprint Backlog'!$F280="", "", AND('ProductSprint Backlog'!$J280&gt;E$2,'ProductSprint Backlog'!$I280&lt;=E$2), 'ProductSprint Backlog'!$F280 / MAX(1, 'ProductSprint Backlog'!$J280-'ProductSprint Backlog'!$I280), AND('ProductSprint Backlog'!$J280=E$2,'ProductSprint Backlog'!$I280=E$2), 'ProductSprint Backlog'!$F280, TRUE, 0)</f>
        <v>0</v>
      </c>
      <c r="F280" s="4" cm="1">
        <f t="array" ref="F280">_xlfn.IFS('ProductSprint Backlog'!$F280="", "", AND('ProductSprint Backlog'!$J280&gt;F$2,'ProductSprint Backlog'!$I280&lt;=F$2), 'ProductSprint Backlog'!$F280 / MAX(1, 'ProductSprint Backlog'!$J280-'ProductSprint Backlog'!$I280), AND('ProductSprint Backlog'!$J280=F$2,'ProductSprint Backlog'!$I280=F$2), 'ProductSprint Backlog'!$F280, TRUE, 0)</f>
        <v>0</v>
      </c>
      <c r="G280" s="4" cm="1">
        <f t="array" ref="G280">_xlfn.IFS('ProductSprint Backlog'!$F280="", "", AND('ProductSprint Backlog'!$J280&gt;G$2,'ProductSprint Backlog'!$I280&lt;=G$2), 'ProductSprint Backlog'!$F280 / MAX(1, 'ProductSprint Backlog'!$J280-'ProductSprint Backlog'!$I280), AND('ProductSprint Backlog'!$J280=G$2,'ProductSprint Backlog'!$I280=G$2), 'ProductSprint Backlog'!$F280, TRUE, 0)</f>
        <v>0</v>
      </c>
      <c r="H280" s="4" cm="1">
        <f t="array" ref="H280">_xlfn.IFS('ProductSprint Backlog'!$F280="", "", AND('ProductSprint Backlog'!$J280&gt;H$2,'ProductSprint Backlog'!$I280&lt;=H$2), 'ProductSprint Backlog'!$F280 / MAX(1, 'ProductSprint Backlog'!$J280-'ProductSprint Backlog'!$I280), AND('ProductSprint Backlog'!$J280=H$2,'ProductSprint Backlog'!$I280=H$2), 'ProductSprint Backlog'!$F280, TRUE, 0)</f>
        <v>0</v>
      </c>
      <c r="I280" s="4" cm="1">
        <f t="array" ref="I280">_xlfn.IFS('ProductSprint Backlog'!$F280="", "", AND('ProductSprint Backlog'!$J280&gt;I$2,'ProductSprint Backlog'!$I280&lt;=I$2), 'ProductSprint Backlog'!$F280 / MAX(1, 'ProductSprint Backlog'!$J280-'ProductSprint Backlog'!$I280), AND('ProductSprint Backlog'!$J280=I$2,'ProductSprint Backlog'!$I280=I$2), 'ProductSprint Backlog'!$F280, TRUE, 0)</f>
        <v>0</v>
      </c>
      <c r="J280" s="4" cm="1">
        <f t="array" ref="J280">_xlfn.IFS('ProductSprint Backlog'!$F280="", "", AND('ProductSprint Backlog'!$J280&gt;J$2,'ProductSprint Backlog'!$I280&lt;=J$2), 'ProductSprint Backlog'!$F280 / MAX(1, 'ProductSprint Backlog'!$J280-'ProductSprint Backlog'!$I280), AND('ProductSprint Backlog'!$J280=J$2,'ProductSprint Backlog'!$I280=J$2), 'ProductSprint Backlog'!$F280, TRUE, 0)</f>
        <v>0</v>
      </c>
    </row>
    <row r="281" spans="2:10" x14ac:dyDescent="0.2">
      <c r="B281" s="4" t="str" cm="1">
        <f t="array" ref="B281">_xlfn.IFS('ProductSprint Backlog'!$F281="", "", AND('ProductSprint Backlog'!$J281&gt;B$2,'ProductSprint Backlog'!$I281&lt;=B$2), 'ProductSprint Backlog'!$F281 / MAX(1, 'ProductSprint Backlog'!$J281-'ProductSprint Backlog'!$I281), AND('ProductSprint Backlog'!$J281=B$2,'ProductSprint Backlog'!$I281=B$2), 'ProductSprint Backlog'!$F281, TRUE, 0)</f>
        <v/>
      </c>
      <c r="C281" s="4" t="str" cm="1">
        <f t="array" ref="C281">_xlfn.IFS('ProductSprint Backlog'!$F281="", "", AND('ProductSprint Backlog'!$J281&gt;C$2,'ProductSprint Backlog'!$I281&lt;=C$2), 'ProductSprint Backlog'!$F281 / MAX(1, 'ProductSprint Backlog'!$J281-'ProductSprint Backlog'!$I281), AND('ProductSprint Backlog'!$J281=C$2,'ProductSprint Backlog'!$I281=C$2), 'ProductSprint Backlog'!$F281, TRUE, 0)</f>
        <v/>
      </c>
      <c r="D281" s="4" t="str" cm="1">
        <f t="array" ref="D281">_xlfn.IFS('ProductSprint Backlog'!$F281="", "", AND('ProductSprint Backlog'!$J281&gt;D$2,'ProductSprint Backlog'!$I281&lt;=D$2), 'ProductSprint Backlog'!$F281 / MAX(1, 'ProductSprint Backlog'!$J281-'ProductSprint Backlog'!$I281), AND('ProductSprint Backlog'!$J281=D$2,'ProductSprint Backlog'!$I281=D$2), 'ProductSprint Backlog'!$F281, TRUE, 0)</f>
        <v/>
      </c>
      <c r="E281" s="4" t="str" cm="1">
        <f t="array" ref="E281">_xlfn.IFS('ProductSprint Backlog'!$F281="", "", AND('ProductSprint Backlog'!$J281&gt;E$2,'ProductSprint Backlog'!$I281&lt;=E$2), 'ProductSprint Backlog'!$F281 / MAX(1, 'ProductSprint Backlog'!$J281-'ProductSprint Backlog'!$I281), AND('ProductSprint Backlog'!$J281=E$2,'ProductSprint Backlog'!$I281=E$2), 'ProductSprint Backlog'!$F281, TRUE, 0)</f>
        <v/>
      </c>
      <c r="F281" s="4" t="str" cm="1">
        <f t="array" ref="F281">_xlfn.IFS('ProductSprint Backlog'!$F281="", "", AND('ProductSprint Backlog'!$J281&gt;F$2,'ProductSprint Backlog'!$I281&lt;=F$2), 'ProductSprint Backlog'!$F281 / MAX(1, 'ProductSprint Backlog'!$J281-'ProductSprint Backlog'!$I281), AND('ProductSprint Backlog'!$J281=F$2,'ProductSprint Backlog'!$I281=F$2), 'ProductSprint Backlog'!$F281, TRUE, 0)</f>
        <v/>
      </c>
      <c r="G281" s="4" t="str" cm="1">
        <f t="array" ref="G281">_xlfn.IFS('ProductSprint Backlog'!$F281="", "", AND('ProductSprint Backlog'!$J281&gt;G$2,'ProductSprint Backlog'!$I281&lt;=G$2), 'ProductSprint Backlog'!$F281 / MAX(1, 'ProductSprint Backlog'!$J281-'ProductSprint Backlog'!$I281), AND('ProductSprint Backlog'!$J281=G$2,'ProductSprint Backlog'!$I281=G$2), 'ProductSprint Backlog'!$F281, TRUE, 0)</f>
        <v/>
      </c>
      <c r="H281" s="4" t="str" cm="1">
        <f t="array" ref="H281">_xlfn.IFS('ProductSprint Backlog'!$F281="", "", AND('ProductSprint Backlog'!$J281&gt;H$2,'ProductSprint Backlog'!$I281&lt;=H$2), 'ProductSprint Backlog'!$F281 / MAX(1, 'ProductSprint Backlog'!$J281-'ProductSprint Backlog'!$I281), AND('ProductSprint Backlog'!$J281=H$2,'ProductSprint Backlog'!$I281=H$2), 'ProductSprint Backlog'!$F281, TRUE, 0)</f>
        <v/>
      </c>
      <c r="I281" s="4" t="str" cm="1">
        <f t="array" ref="I281">_xlfn.IFS('ProductSprint Backlog'!$F281="", "", AND('ProductSprint Backlog'!$J281&gt;I$2,'ProductSprint Backlog'!$I281&lt;=I$2), 'ProductSprint Backlog'!$F281 / MAX(1, 'ProductSprint Backlog'!$J281-'ProductSprint Backlog'!$I281), AND('ProductSprint Backlog'!$J281=I$2,'ProductSprint Backlog'!$I281=I$2), 'ProductSprint Backlog'!$F281, TRUE, 0)</f>
        <v/>
      </c>
      <c r="J281" s="4" t="str" cm="1">
        <f t="array" ref="J281">_xlfn.IFS('ProductSprint Backlog'!$F281="", "", AND('ProductSprint Backlog'!$J281&gt;J$2,'ProductSprint Backlog'!$I281&lt;=J$2), 'ProductSprint Backlog'!$F281 / MAX(1, 'ProductSprint Backlog'!$J281-'ProductSprint Backlog'!$I281), AND('ProductSprint Backlog'!$J281=J$2,'ProductSprint Backlog'!$I281=J$2), 'ProductSprint Backlog'!$F281, TRUE, 0)</f>
        <v/>
      </c>
    </row>
    <row r="282" spans="2:10" x14ac:dyDescent="0.2">
      <c r="B282" s="4" cm="1">
        <f t="array" ref="B282">_xlfn.IFS('ProductSprint Backlog'!$F282="", "", AND('ProductSprint Backlog'!$J282&gt;B$2,'ProductSprint Backlog'!$I282&lt;=B$2), 'ProductSprint Backlog'!$F282 / MAX(1, 'ProductSprint Backlog'!$J282-'ProductSprint Backlog'!$I282), AND('ProductSprint Backlog'!$J282=B$2,'ProductSprint Backlog'!$I282=B$2), 'ProductSprint Backlog'!$F282, TRUE, 0)</f>
        <v>0.5</v>
      </c>
      <c r="C282" s="4" cm="1">
        <f t="array" ref="C282">_xlfn.IFS('ProductSprint Backlog'!$F282="", "", AND('ProductSprint Backlog'!$J282&gt;C$2,'ProductSprint Backlog'!$I282&lt;=C$2), 'ProductSprint Backlog'!$F282 / MAX(1, 'ProductSprint Backlog'!$J282-'ProductSprint Backlog'!$I282), AND('ProductSprint Backlog'!$J282=C$2,'ProductSprint Backlog'!$I282=C$2), 'ProductSprint Backlog'!$F282, TRUE, 0)</f>
        <v>0</v>
      </c>
      <c r="D282" s="4" cm="1">
        <f t="array" ref="D282">_xlfn.IFS('ProductSprint Backlog'!$F282="", "", AND('ProductSprint Backlog'!$J282&gt;D$2,'ProductSprint Backlog'!$I282&lt;=D$2), 'ProductSprint Backlog'!$F282 / MAX(1, 'ProductSprint Backlog'!$J282-'ProductSprint Backlog'!$I282), AND('ProductSprint Backlog'!$J282=D$2,'ProductSprint Backlog'!$I282=D$2), 'ProductSprint Backlog'!$F282, TRUE, 0)</f>
        <v>0</v>
      </c>
      <c r="E282" s="4" cm="1">
        <f t="array" ref="E282">_xlfn.IFS('ProductSprint Backlog'!$F282="", "", AND('ProductSprint Backlog'!$J282&gt;E$2,'ProductSprint Backlog'!$I282&lt;=E$2), 'ProductSprint Backlog'!$F282 / MAX(1, 'ProductSprint Backlog'!$J282-'ProductSprint Backlog'!$I282), AND('ProductSprint Backlog'!$J282=E$2,'ProductSprint Backlog'!$I282=E$2), 'ProductSprint Backlog'!$F282, TRUE, 0)</f>
        <v>0</v>
      </c>
      <c r="F282" s="4" cm="1">
        <f t="array" ref="F282">_xlfn.IFS('ProductSprint Backlog'!$F282="", "", AND('ProductSprint Backlog'!$J282&gt;F$2,'ProductSprint Backlog'!$I282&lt;=F$2), 'ProductSprint Backlog'!$F282 / MAX(1, 'ProductSprint Backlog'!$J282-'ProductSprint Backlog'!$I282), AND('ProductSprint Backlog'!$J282=F$2,'ProductSprint Backlog'!$I282=F$2), 'ProductSprint Backlog'!$F282, TRUE, 0)</f>
        <v>0</v>
      </c>
      <c r="G282" s="4" cm="1">
        <f t="array" ref="G282">_xlfn.IFS('ProductSprint Backlog'!$F282="", "", AND('ProductSprint Backlog'!$J282&gt;G$2,'ProductSprint Backlog'!$I282&lt;=G$2), 'ProductSprint Backlog'!$F282 / MAX(1, 'ProductSprint Backlog'!$J282-'ProductSprint Backlog'!$I282), AND('ProductSprint Backlog'!$J282=G$2,'ProductSprint Backlog'!$I282=G$2), 'ProductSprint Backlog'!$F282, TRUE, 0)</f>
        <v>0</v>
      </c>
      <c r="H282" s="4" cm="1">
        <f t="array" ref="H282">_xlfn.IFS('ProductSprint Backlog'!$F282="", "", AND('ProductSprint Backlog'!$J282&gt;H$2,'ProductSprint Backlog'!$I282&lt;=H$2), 'ProductSprint Backlog'!$F282 / MAX(1, 'ProductSprint Backlog'!$J282-'ProductSprint Backlog'!$I282), AND('ProductSprint Backlog'!$J282=H$2,'ProductSprint Backlog'!$I282=H$2), 'ProductSprint Backlog'!$F282, TRUE, 0)</f>
        <v>0</v>
      </c>
      <c r="I282" s="4" cm="1">
        <f t="array" ref="I282">_xlfn.IFS('ProductSprint Backlog'!$F282="", "", AND('ProductSprint Backlog'!$J282&gt;I$2,'ProductSprint Backlog'!$I282&lt;=I$2), 'ProductSprint Backlog'!$F282 / MAX(1, 'ProductSprint Backlog'!$J282-'ProductSprint Backlog'!$I282), AND('ProductSprint Backlog'!$J282=I$2,'ProductSprint Backlog'!$I282=I$2), 'ProductSprint Backlog'!$F282, TRUE, 0)</f>
        <v>0</v>
      </c>
      <c r="J282" s="4" cm="1">
        <f t="array" ref="J282">_xlfn.IFS('ProductSprint Backlog'!$F282="", "", AND('ProductSprint Backlog'!$J282&gt;J$2,'ProductSprint Backlog'!$I282&lt;=J$2), 'ProductSprint Backlog'!$F282 / MAX(1, 'ProductSprint Backlog'!$J282-'ProductSprint Backlog'!$I282), AND('ProductSprint Backlog'!$J282=J$2,'ProductSprint Backlog'!$I282=J$2), 'ProductSprint Backlog'!$F282, TRUE, 0)</f>
        <v>0</v>
      </c>
    </row>
    <row r="283" spans="2:10" x14ac:dyDescent="0.2">
      <c r="B283" s="4" cm="1">
        <f t="array" ref="B283">_xlfn.IFS('ProductSprint Backlog'!$F283="", "", AND('ProductSprint Backlog'!$J283&gt;B$2,'ProductSprint Backlog'!$I283&lt;=B$2), 'ProductSprint Backlog'!$F283 / MAX(1, 'ProductSprint Backlog'!$J283-'ProductSprint Backlog'!$I283), AND('ProductSprint Backlog'!$J283=B$2,'ProductSprint Backlog'!$I283=B$2), 'ProductSprint Backlog'!$F283, TRUE, 0)</f>
        <v>0</v>
      </c>
      <c r="C283" s="4" cm="1">
        <f t="array" ref="C283">_xlfn.IFS('ProductSprint Backlog'!$F283="", "", AND('ProductSprint Backlog'!$J283&gt;C$2,'ProductSprint Backlog'!$I283&lt;=C$2), 'ProductSprint Backlog'!$F283 / MAX(1, 'ProductSprint Backlog'!$J283-'ProductSprint Backlog'!$I283), AND('ProductSprint Backlog'!$J283=C$2,'ProductSprint Backlog'!$I283=C$2), 'ProductSprint Backlog'!$F283, TRUE, 0)</f>
        <v>0.5</v>
      </c>
      <c r="D283" s="4" cm="1">
        <f t="array" ref="D283">_xlfn.IFS('ProductSprint Backlog'!$F283="", "", AND('ProductSprint Backlog'!$J283&gt;D$2,'ProductSprint Backlog'!$I283&lt;=D$2), 'ProductSprint Backlog'!$F283 / MAX(1, 'ProductSprint Backlog'!$J283-'ProductSprint Backlog'!$I283), AND('ProductSprint Backlog'!$J283=D$2,'ProductSprint Backlog'!$I283=D$2), 'ProductSprint Backlog'!$F283, TRUE, 0)</f>
        <v>0.5</v>
      </c>
      <c r="E283" s="4" cm="1">
        <f t="array" ref="E283">_xlfn.IFS('ProductSprint Backlog'!$F283="", "", AND('ProductSprint Backlog'!$J283&gt;E$2,'ProductSprint Backlog'!$I283&lt;=E$2), 'ProductSprint Backlog'!$F283 / MAX(1, 'ProductSprint Backlog'!$J283-'ProductSprint Backlog'!$I283), AND('ProductSprint Backlog'!$J283=E$2,'ProductSprint Backlog'!$I283=E$2), 'ProductSprint Backlog'!$F283, TRUE, 0)</f>
        <v>0</v>
      </c>
      <c r="F283" s="4" cm="1">
        <f t="array" ref="F283">_xlfn.IFS('ProductSprint Backlog'!$F283="", "", AND('ProductSprint Backlog'!$J283&gt;F$2,'ProductSprint Backlog'!$I283&lt;=F$2), 'ProductSprint Backlog'!$F283 / MAX(1, 'ProductSprint Backlog'!$J283-'ProductSprint Backlog'!$I283), AND('ProductSprint Backlog'!$J283=F$2,'ProductSprint Backlog'!$I283=F$2), 'ProductSprint Backlog'!$F283, TRUE, 0)</f>
        <v>0</v>
      </c>
      <c r="G283" s="4" cm="1">
        <f t="array" ref="G283">_xlfn.IFS('ProductSprint Backlog'!$F283="", "", AND('ProductSprint Backlog'!$J283&gt;G$2,'ProductSprint Backlog'!$I283&lt;=G$2), 'ProductSprint Backlog'!$F283 / MAX(1, 'ProductSprint Backlog'!$J283-'ProductSprint Backlog'!$I283), AND('ProductSprint Backlog'!$J283=G$2,'ProductSprint Backlog'!$I283=G$2), 'ProductSprint Backlog'!$F283, TRUE, 0)</f>
        <v>0</v>
      </c>
      <c r="H283" s="4" cm="1">
        <f t="array" ref="H283">_xlfn.IFS('ProductSprint Backlog'!$F283="", "", AND('ProductSprint Backlog'!$J283&gt;H$2,'ProductSprint Backlog'!$I283&lt;=H$2), 'ProductSprint Backlog'!$F283 / MAX(1, 'ProductSprint Backlog'!$J283-'ProductSprint Backlog'!$I283), AND('ProductSprint Backlog'!$J283=H$2,'ProductSprint Backlog'!$I283=H$2), 'ProductSprint Backlog'!$F283, TRUE, 0)</f>
        <v>0</v>
      </c>
      <c r="I283" s="4" cm="1">
        <f t="array" ref="I283">_xlfn.IFS('ProductSprint Backlog'!$F283="", "", AND('ProductSprint Backlog'!$J283&gt;I$2,'ProductSprint Backlog'!$I283&lt;=I$2), 'ProductSprint Backlog'!$F283 / MAX(1, 'ProductSprint Backlog'!$J283-'ProductSprint Backlog'!$I283), AND('ProductSprint Backlog'!$J283=I$2,'ProductSprint Backlog'!$I283=I$2), 'ProductSprint Backlog'!$F283, TRUE, 0)</f>
        <v>0</v>
      </c>
      <c r="J283" s="4" cm="1">
        <f t="array" ref="J283">_xlfn.IFS('ProductSprint Backlog'!$F283="", "", AND('ProductSprint Backlog'!$J283&gt;J$2,'ProductSprint Backlog'!$I283&lt;=J$2), 'ProductSprint Backlog'!$F283 / MAX(1, 'ProductSprint Backlog'!$J283-'ProductSprint Backlog'!$I283), AND('ProductSprint Backlog'!$J283=J$2,'ProductSprint Backlog'!$I283=J$2), 'ProductSprint Backlog'!$F283, TRUE, 0)</f>
        <v>0</v>
      </c>
    </row>
    <row r="284" spans="2:10" x14ac:dyDescent="0.2">
      <c r="B284" s="4" cm="1">
        <f t="array" ref="B284">_xlfn.IFS('ProductSprint Backlog'!$F284="", "", AND('ProductSprint Backlog'!$J284&gt;B$2,'ProductSprint Backlog'!$I284&lt;=B$2), 'ProductSprint Backlog'!$F284 / MAX(1, 'ProductSprint Backlog'!$J284-'ProductSprint Backlog'!$I284), AND('ProductSprint Backlog'!$J284=B$2,'ProductSprint Backlog'!$I284=B$2), 'ProductSprint Backlog'!$F284, TRUE, 0)</f>
        <v>0</v>
      </c>
      <c r="C284" s="4" cm="1">
        <f t="array" ref="C284">_xlfn.IFS('ProductSprint Backlog'!$F284="", "", AND('ProductSprint Backlog'!$J284&gt;C$2,'ProductSprint Backlog'!$I284&lt;=C$2), 'ProductSprint Backlog'!$F284 / MAX(1, 'ProductSprint Backlog'!$J284-'ProductSprint Backlog'!$I284), AND('ProductSprint Backlog'!$J284=C$2,'ProductSprint Backlog'!$I284=C$2), 'ProductSprint Backlog'!$F284, TRUE, 0)</f>
        <v>0</v>
      </c>
      <c r="D284" s="4" cm="1">
        <f t="array" ref="D284">_xlfn.IFS('ProductSprint Backlog'!$F284="", "", AND('ProductSprint Backlog'!$J284&gt;D$2,'ProductSprint Backlog'!$I284&lt;=D$2), 'ProductSprint Backlog'!$F284 / MAX(1, 'ProductSprint Backlog'!$J284-'ProductSprint Backlog'!$I284), AND('ProductSprint Backlog'!$J284=D$2,'ProductSprint Backlog'!$I284=D$2), 'ProductSprint Backlog'!$F284, TRUE, 0)</f>
        <v>1</v>
      </c>
      <c r="E284" s="4" cm="1">
        <f t="array" ref="E284">_xlfn.IFS('ProductSprint Backlog'!$F284="", "", AND('ProductSprint Backlog'!$J284&gt;E$2,'ProductSprint Backlog'!$I284&lt;=E$2), 'ProductSprint Backlog'!$F284 / MAX(1, 'ProductSprint Backlog'!$J284-'ProductSprint Backlog'!$I284), AND('ProductSprint Backlog'!$J284=E$2,'ProductSprint Backlog'!$I284=E$2), 'ProductSprint Backlog'!$F284, TRUE, 0)</f>
        <v>0</v>
      </c>
      <c r="F284" s="4" cm="1">
        <f t="array" ref="F284">_xlfn.IFS('ProductSprint Backlog'!$F284="", "", AND('ProductSprint Backlog'!$J284&gt;F$2,'ProductSprint Backlog'!$I284&lt;=F$2), 'ProductSprint Backlog'!$F284 / MAX(1, 'ProductSprint Backlog'!$J284-'ProductSprint Backlog'!$I284), AND('ProductSprint Backlog'!$J284=F$2,'ProductSprint Backlog'!$I284=F$2), 'ProductSprint Backlog'!$F284, TRUE, 0)</f>
        <v>0</v>
      </c>
      <c r="G284" s="4" cm="1">
        <f t="array" ref="G284">_xlfn.IFS('ProductSprint Backlog'!$F284="", "", AND('ProductSprint Backlog'!$J284&gt;G$2,'ProductSprint Backlog'!$I284&lt;=G$2), 'ProductSprint Backlog'!$F284 / MAX(1, 'ProductSprint Backlog'!$J284-'ProductSprint Backlog'!$I284), AND('ProductSprint Backlog'!$J284=G$2,'ProductSprint Backlog'!$I284=G$2), 'ProductSprint Backlog'!$F284, TRUE, 0)</f>
        <v>0</v>
      </c>
      <c r="H284" s="4" cm="1">
        <f t="array" ref="H284">_xlfn.IFS('ProductSprint Backlog'!$F284="", "", AND('ProductSprint Backlog'!$J284&gt;H$2,'ProductSprint Backlog'!$I284&lt;=H$2), 'ProductSprint Backlog'!$F284 / MAX(1, 'ProductSprint Backlog'!$J284-'ProductSprint Backlog'!$I284), AND('ProductSprint Backlog'!$J284=H$2,'ProductSprint Backlog'!$I284=H$2), 'ProductSprint Backlog'!$F284, TRUE, 0)</f>
        <v>0</v>
      </c>
      <c r="I284" s="4" cm="1">
        <f t="array" ref="I284">_xlfn.IFS('ProductSprint Backlog'!$F284="", "", AND('ProductSprint Backlog'!$J284&gt;I$2,'ProductSprint Backlog'!$I284&lt;=I$2), 'ProductSprint Backlog'!$F284 / MAX(1, 'ProductSprint Backlog'!$J284-'ProductSprint Backlog'!$I284), AND('ProductSprint Backlog'!$J284=I$2,'ProductSprint Backlog'!$I284=I$2), 'ProductSprint Backlog'!$F284, TRUE, 0)</f>
        <v>0</v>
      </c>
      <c r="J284" s="4" cm="1">
        <f t="array" ref="J284">_xlfn.IFS('ProductSprint Backlog'!$F284="", "", AND('ProductSprint Backlog'!$J284&gt;J$2,'ProductSprint Backlog'!$I284&lt;=J$2), 'ProductSprint Backlog'!$F284 / MAX(1, 'ProductSprint Backlog'!$J284-'ProductSprint Backlog'!$I284), AND('ProductSprint Backlog'!$J284=J$2,'ProductSprint Backlog'!$I284=J$2), 'ProductSprint Backlog'!$F284, TRUE, 0)</f>
        <v>0</v>
      </c>
    </row>
    <row r="285" spans="2:10" x14ac:dyDescent="0.2">
      <c r="B285" s="4" cm="1">
        <f t="array" ref="B285">_xlfn.IFS('ProductSprint Backlog'!$F285="", "", AND('ProductSprint Backlog'!$J285&gt;B$2,'ProductSprint Backlog'!$I285&lt;=B$2), 'ProductSprint Backlog'!$F285 / MAX(1, 'ProductSprint Backlog'!$J285-'ProductSprint Backlog'!$I285), AND('ProductSprint Backlog'!$J285=B$2,'ProductSprint Backlog'!$I285=B$2), 'ProductSprint Backlog'!$F285, TRUE, 0)</f>
        <v>0</v>
      </c>
      <c r="C285" s="4" cm="1">
        <f t="array" ref="C285">_xlfn.IFS('ProductSprint Backlog'!$F285="", "", AND('ProductSprint Backlog'!$J285&gt;C$2,'ProductSprint Backlog'!$I285&lt;=C$2), 'ProductSprint Backlog'!$F285 / MAX(1, 'ProductSprint Backlog'!$J285-'ProductSprint Backlog'!$I285), AND('ProductSprint Backlog'!$J285=C$2,'ProductSprint Backlog'!$I285=C$2), 'ProductSprint Backlog'!$F285, TRUE, 0)</f>
        <v>0</v>
      </c>
      <c r="D285" s="4" cm="1">
        <f t="array" ref="D285">_xlfn.IFS('ProductSprint Backlog'!$F285="", "", AND('ProductSprint Backlog'!$J285&gt;D$2,'ProductSprint Backlog'!$I285&lt;=D$2), 'ProductSprint Backlog'!$F285 / MAX(1, 'ProductSprint Backlog'!$J285-'ProductSprint Backlog'!$I285), AND('ProductSprint Backlog'!$J285=D$2,'ProductSprint Backlog'!$I285=D$2), 'ProductSprint Backlog'!$F285, TRUE, 0)</f>
        <v>0</v>
      </c>
      <c r="E285" s="4" cm="1">
        <f t="array" ref="E285">_xlfn.IFS('ProductSprint Backlog'!$F285="", "", AND('ProductSprint Backlog'!$J285&gt;E$2,'ProductSprint Backlog'!$I285&lt;=E$2), 'ProductSprint Backlog'!$F285 / MAX(1, 'ProductSprint Backlog'!$J285-'ProductSprint Backlog'!$I285), AND('ProductSprint Backlog'!$J285=E$2,'ProductSprint Backlog'!$I285=E$2), 'ProductSprint Backlog'!$F285, TRUE, 0)</f>
        <v>0.5</v>
      </c>
      <c r="F285" s="4" cm="1">
        <f t="array" ref="F285">_xlfn.IFS('ProductSprint Backlog'!$F285="", "", AND('ProductSprint Backlog'!$J285&gt;F$2,'ProductSprint Backlog'!$I285&lt;=F$2), 'ProductSprint Backlog'!$F285 / MAX(1, 'ProductSprint Backlog'!$J285-'ProductSprint Backlog'!$I285), AND('ProductSprint Backlog'!$J285=F$2,'ProductSprint Backlog'!$I285=F$2), 'ProductSprint Backlog'!$F285, TRUE, 0)</f>
        <v>0</v>
      </c>
      <c r="G285" s="4" cm="1">
        <f t="array" ref="G285">_xlfn.IFS('ProductSprint Backlog'!$F285="", "", AND('ProductSprint Backlog'!$J285&gt;G$2,'ProductSprint Backlog'!$I285&lt;=G$2), 'ProductSprint Backlog'!$F285 / MAX(1, 'ProductSprint Backlog'!$J285-'ProductSprint Backlog'!$I285), AND('ProductSprint Backlog'!$J285=G$2,'ProductSprint Backlog'!$I285=G$2), 'ProductSprint Backlog'!$F285, TRUE, 0)</f>
        <v>0</v>
      </c>
      <c r="H285" s="4" cm="1">
        <f t="array" ref="H285">_xlfn.IFS('ProductSprint Backlog'!$F285="", "", AND('ProductSprint Backlog'!$J285&gt;H$2,'ProductSprint Backlog'!$I285&lt;=H$2), 'ProductSprint Backlog'!$F285 / MAX(1, 'ProductSprint Backlog'!$J285-'ProductSprint Backlog'!$I285), AND('ProductSprint Backlog'!$J285=H$2,'ProductSprint Backlog'!$I285=H$2), 'ProductSprint Backlog'!$F285, TRUE, 0)</f>
        <v>0</v>
      </c>
      <c r="I285" s="4" cm="1">
        <f t="array" ref="I285">_xlfn.IFS('ProductSprint Backlog'!$F285="", "", AND('ProductSprint Backlog'!$J285&gt;I$2,'ProductSprint Backlog'!$I285&lt;=I$2), 'ProductSprint Backlog'!$F285 / MAX(1, 'ProductSprint Backlog'!$J285-'ProductSprint Backlog'!$I285), AND('ProductSprint Backlog'!$J285=I$2,'ProductSprint Backlog'!$I285=I$2), 'ProductSprint Backlog'!$F285, TRUE, 0)</f>
        <v>0</v>
      </c>
      <c r="J285" s="4" cm="1">
        <f t="array" ref="J285">_xlfn.IFS('ProductSprint Backlog'!$F285="", "", AND('ProductSprint Backlog'!$J285&gt;J$2,'ProductSprint Backlog'!$I285&lt;=J$2), 'ProductSprint Backlog'!$F285 / MAX(1, 'ProductSprint Backlog'!$J285-'ProductSprint Backlog'!$I285), AND('ProductSprint Backlog'!$J285=J$2,'ProductSprint Backlog'!$I285=J$2), 'ProductSprint Backlog'!$F285, TRUE, 0)</f>
        <v>0</v>
      </c>
    </row>
    <row r="286" spans="2:10" x14ac:dyDescent="0.2">
      <c r="B286" s="4" cm="1">
        <f t="array" ref="B286">_xlfn.IFS('ProductSprint Backlog'!$F286="", "", AND('ProductSprint Backlog'!$J286&gt;B$2,'ProductSprint Backlog'!$I286&lt;=B$2), 'ProductSprint Backlog'!$F286 / MAX(1, 'ProductSprint Backlog'!$J286-'ProductSprint Backlog'!$I286), AND('ProductSprint Backlog'!$J286=B$2,'ProductSprint Backlog'!$I286=B$2), 'ProductSprint Backlog'!$F286, TRUE, 0)</f>
        <v>0</v>
      </c>
      <c r="C286" s="4" cm="1">
        <f t="array" ref="C286">_xlfn.IFS('ProductSprint Backlog'!$F286="", "", AND('ProductSprint Backlog'!$J286&gt;C$2,'ProductSprint Backlog'!$I286&lt;=C$2), 'ProductSprint Backlog'!$F286 / MAX(1, 'ProductSprint Backlog'!$J286-'ProductSprint Backlog'!$I286), AND('ProductSprint Backlog'!$J286=C$2,'ProductSprint Backlog'!$I286=C$2), 'ProductSprint Backlog'!$F286, TRUE, 0)</f>
        <v>0</v>
      </c>
      <c r="D286" s="4" cm="1">
        <f t="array" ref="D286">_xlfn.IFS('ProductSprint Backlog'!$F286="", "", AND('ProductSprint Backlog'!$J286&gt;D$2,'ProductSprint Backlog'!$I286&lt;=D$2), 'ProductSprint Backlog'!$F286 / MAX(1, 'ProductSprint Backlog'!$J286-'ProductSprint Backlog'!$I286), AND('ProductSprint Backlog'!$J286=D$2,'ProductSprint Backlog'!$I286=D$2), 'ProductSprint Backlog'!$F286, TRUE, 0)</f>
        <v>0</v>
      </c>
      <c r="E286" s="4" cm="1">
        <f t="array" ref="E286">_xlfn.IFS('ProductSprint Backlog'!$F286="", "", AND('ProductSprint Backlog'!$J286&gt;E$2,'ProductSprint Backlog'!$I286&lt;=E$2), 'ProductSprint Backlog'!$F286 / MAX(1, 'ProductSprint Backlog'!$J286-'ProductSprint Backlog'!$I286), AND('ProductSprint Backlog'!$J286=E$2,'ProductSprint Backlog'!$I286=E$2), 'ProductSprint Backlog'!$F286, TRUE, 0)</f>
        <v>0.5</v>
      </c>
      <c r="F286" s="4" cm="1">
        <f t="array" ref="F286">_xlfn.IFS('ProductSprint Backlog'!$F286="", "", AND('ProductSprint Backlog'!$J286&gt;F$2,'ProductSprint Backlog'!$I286&lt;=F$2), 'ProductSprint Backlog'!$F286 / MAX(1, 'ProductSprint Backlog'!$J286-'ProductSprint Backlog'!$I286), AND('ProductSprint Backlog'!$J286=F$2,'ProductSprint Backlog'!$I286=F$2), 'ProductSprint Backlog'!$F286, TRUE, 0)</f>
        <v>0</v>
      </c>
      <c r="G286" s="4" cm="1">
        <f t="array" ref="G286">_xlfn.IFS('ProductSprint Backlog'!$F286="", "", AND('ProductSprint Backlog'!$J286&gt;G$2,'ProductSprint Backlog'!$I286&lt;=G$2), 'ProductSprint Backlog'!$F286 / MAX(1, 'ProductSprint Backlog'!$J286-'ProductSprint Backlog'!$I286), AND('ProductSprint Backlog'!$J286=G$2,'ProductSprint Backlog'!$I286=G$2), 'ProductSprint Backlog'!$F286, TRUE, 0)</f>
        <v>0</v>
      </c>
      <c r="H286" s="4" cm="1">
        <f t="array" ref="H286">_xlfn.IFS('ProductSprint Backlog'!$F286="", "", AND('ProductSprint Backlog'!$J286&gt;H$2,'ProductSprint Backlog'!$I286&lt;=H$2), 'ProductSprint Backlog'!$F286 / MAX(1, 'ProductSprint Backlog'!$J286-'ProductSprint Backlog'!$I286), AND('ProductSprint Backlog'!$J286=H$2,'ProductSprint Backlog'!$I286=H$2), 'ProductSprint Backlog'!$F286, TRUE, 0)</f>
        <v>0</v>
      </c>
      <c r="I286" s="4" cm="1">
        <f t="array" ref="I286">_xlfn.IFS('ProductSprint Backlog'!$F286="", "", AND('ProductSprint Backlog'!$J286&gt;I$2,'ProductSprint Backlog'!$I286&lt;=I$2), 'ProductSprint Backlog'!$F286 / MAX(1, 'ProductSprint Backlog'!$J286-'ProductSprint Backlog'!$I286), AND('ProductSprint Backlog'!$J286=I$2,'ProductSprint Backlog'!$I286=I$2), 'ProductSprint Backlog'!$F286, TRUE, 0)</f>
        <v>0</v>
      </c>
      <c r="J286" s="4" cm="1">
        <f t="array" ref="J286">_xlfn.IFS('ProductSprint Backlog'!$F286="", "", AND('ProductSprint Backlog'!$J286&gt;J$2,'ProductSprint Backlog'!$I286&lt;=J$2), 'ProductSprint Backlog'!$F286 / MAX(1, 'ProductSprint Backlog'!$J286-'ProductSprint Backlog'!$I286), AND('ProductSprint Backlog'!$J286=J$2,'ProductSprint Backlog'!$I286=J$2), 'ProductSprint Backlog'!$F286, TRUE, 0)</f>
        <v>0</v>
      </c>
    </row>
    <row r="287" spans="2:10" x14ac:dyDescent="0.2">
      <c r="B287" s="4" cm="1">
        <f t="array" ref="B287">_xlfn.IFS('ProductSprint Backlog'!$F287="", "", AND('ProductSprint Backlog'!$J287&gt;B$2,'ProductSprint Backlog'!$I287&lt;=B$2), 'ProductSprint Backlog'!$F287 / MAX(1, 'ProductSprint Backlog'!$J287-'ProductSprint Backlog'!$I287), AND('ProductSprint Backlog'!$J287=B$2,'ProductSprint Backlog'!$I287=B$2), 'ProductSprint Backlog'!$F287, TRUE, 0)</f>
        <v>0</v>
      </c>
      <c r="C287" s="4" cm="1">
        <f t="array" ref="C287">_xlfn.IFS('ProductSprint Backlog'!$F287="", "", AND('ProductSprint Backlog'!$J287&gt;C$2,'ProductSprint Backlog'!$I287&lt;=C$2), 'ProductSprint Backlog'!$F287 / MAX(1, 'ProductSprint Backlog'!$J287-'ProductSprint Backlog'!$I287), AND('ProductSprint Backlog'!$J287=C$2,'ProductSprint Backlog'!$I287=C$2), 'ProductSprint Backlog'!$F287, TRUE, 0)</f>
        <v>0</v>
      </c>
      <c r="D287" s="4" cm="1">
        <f t="array" ref="D287">_xlfn.IFS('ProductSprint Backlog'!$F287="", "", AND('ProductSprint Backlog'!$J287&gt;D$2,'ProductSprint Backlog'!$I287&lt;=D$2), 'ProductSprint Backlog'!$F287 / MAX(1, 'ProductSprint Backlog'!$J287-'ProductSprint Backlog'!$I287), AND('ProductSprint Backlog'!$J287=D$2,'ProductSprint Backlog'!$I287=D$2), 'ProductSprint Backlog'!$F287, TRUE, 0)</f>
        <v>0</v>
      </c>
      <c r="E287" s="4" cm="1">
        <f t="array" ref="E287">_xlfn.IFS('ProductSprint Backlog'!$F287="", "", AND('ProductSprint Backlog'!$J287&gt;E$2,'ProductSprint Backlog'!$I287&lt;=E$2), 'ProductSprint Backlog'!$F287 / MAX(1, 'ProductSprint Backlog'!$J287-'ProductSprint Backlog'!$I287), AND('ProductSprint Backlog'!$J287=E$2,'ProductSprint Backlog'!$I287=E$2), 'ProductSprint Backlog'!$F287, TRUE, 0)</f>
        <v>0</v>
      </c>
      <c r="F287" s="4" cm="1">
        <f t="array" ref="F287">_xlfn.IFS('ProductSprint Backlog'!$F287="", "", AND('ProductSprint Backlog'!$J287&gt;F$2,'ProductSprint Backlog'!$I287&lt;=F$2), 'ProductSprint Backlog'!$F287 / MAX(1, 'ProductSprint Backlog'!$J287-'ProductSprint Backlog'!$I287), AND('ProductSprint Backlog'!$J287=F$2,'ProductSprint Backlog'!$I287=F$2), 'ProductSprint Backlog'!$F287, TRUE, 0)</f>
        <v>0.5</v>
      </c>
      <c r="G287" s="4" cm="1">
        <f t="array" ref="G287">_xlfn.IFS('ProductSprint Backlog'!$F287="", "", AND('ProductSprint Backlog'!$J287&gt;G$2,'ProductSprint Backlog'!$I287&lt;=G$2), 'ProductSprint Backlog'!$F287 / MAX(1, 'ProductSprint Backlog'!$J287-'ProductSprint Backlog'!$I287), AND('ProductSprint Backlog'!$J287=G$2,'ProductSprint Backlog'!$I287=G$2), 'ProductSprint Backlog'!$F287, TRUE, 0)</f>
        <v>0</v>
      </c>
      <c r="H287" s="4" cm="1">
        <f t="array" ref="H287">_xlfn.IFS('ProductSprint Backlog'!$F287="", "", AND('ProductSprint Backlog'!$J287&gt;H$2,'ProductSprint Backlog'!$I287&lt;=H$2), 'ProductSprint Backlog'!$F287 / MAX(1, 'ProductSprint Backlog'!$J287-'ProductSprint Backlog'!$I287), AND('ProductSprint Backlog'!$J287=H$2,'ProductSprint Backlog'!$I287=H$2), 'ProductSprint Backlog'!$F287, TRUE, 0)</f>
        <v>0</v>
      </c>
      <c r="I287" s="4" cm="1">
        <f t="array" ref="I287">_xlfn.IFS('ProductSprint Backlog'!$F287="", "", AND('ProductSprint Backlog'!$J287&gt;I$2,'ProductSprint Backlog'!$I287&lt;=I$2), 'ProductSprint Backlog'!$F287 / MAX(1, 'ProductSprint Backlog'!$J287-'ProductSprint Backlog'!$I287), AND('ProductSprint Backlog'!$J287=I$2,'ProductSprint Backlog'!$I287=I$2), 'ProductSprint Backlog'!$F287, TRUE, 0)</f>
        <v>0</v>
      </c>
      <c r="J287" s="4" cm="1">
        <f t="array" ref="J287">_xlfn.IFS('ProductSprint Backlog'!$F287="", "", AND('ProductSprint Backlog'!$J287&gt;J$2,'ProductSprint Backlog'!$I287&lt;=J$2), 'ProductSprint Backlog'!$F287 / MAX(1, 'ProductSprint Backlog'!$J287-'ProductSprint Backlog'!$I287), AND('ProductSprint Backlog'!$J287=J$2,'ProductSprint Backlog'!$I287=J$2), 'ProductSprint Backlog'!$F287, TRUE, 0)</f>
        <v>0</v>
      </c>
    </row>
    <row r="288" spans="2:10" x14ac:dyDescent="0.2">
      <c r="B288" s="4" cm="1">
        <f t="array" ref="B288">_xlfn.IFS('ProductSprint Backlog'!$F288="", "", AND('ProductSprint Backlog'!$J288&gt;B$2,'ProductSprint Backlog'!$I288&lt;=B$2), 'ProductSprint Backlog'!$F288 / MAX(1, 'ProductSprint Backlog'!$J288-'ProductSprint Backlog'!$I288), AND('ProductSprint Backlog'!$J288=B$2,'ProductSprint Backlog'!$I288=B$2), 'ProductSprint Backlog'!$F288, TRUE, 0)</f>
        <v>0</v>
      </c>
      <c r="C288" s="4" cm="1">
        <f t="array" ref="C288">_xlfn.IFS('ProductSprint Backlog'!$F288="", "", AND('ProductSprint Backlog'!$J288&gt;C$2,'ProductSprint Backlog'!$I288&lt;=C$2), 'ProductSprint Backlog'!$F288 / MAX(1, 'ProductSprint Backlog'!$J288-'ProductSprint Backlog'!$I288), AND('ProductSprint Backlog'!$J288=C$2,'ProductSprint Backlog'!$I288=C$2), 'ProductSprint Backlog'!$F288, TRUE, 0)</f>
        <v>0</v>
      </c>
      <c r="D288" s="4" cm="1">
        <f t="array" ref="D288">_xlfn.IFS('ProductSprint Backlog'!$F288="", "", AND('ProductSprint Backlog'!$J288&gt;D$2,'ProductSprint Backlog'!$I288&lt;=D$2), 'ProductSprint Backlog'!$F288 / MAX(1, 'ProductSprint Backlog'!$J288-'ProductSprint Backlog'!$I288), AND('ProductSprint Backlog'!$J288=D$2,'ProductSprint Backlog'!$I288=D$2), 'ProductSprint Backlog'!$F288, TRUE, 0)</f>
        <v>0</v>
      </c>
      <c r="E288" s="4" cm="1">
        <f t="array" ref="E288">_xlfn.IFS('ProductSprint Backlog'!$F288="", "", AND('ProductSprint Backlog'!$J288&gt;E$2,'ProductSprint Backlog'!$I288&lt;=E$2), 'ProductSprint Backlog'!$F288 / MAX(1, 'ProductSprint Backlog'!$J288-'ProductSprint Backlog'!$I288), AND('ProductSprint Backlog'!$J288=E$2,'ProductSprint Backlog'!$I288=E$2), 'ProductSprint Backlog'!$F288, TRUE, 0)</f>
        <v>0</v>
      </c>
      <c r="F288" s="4" cm="1">
        <f t="array" ref="F288">_xlfn.IFS('ProductSprint Backlog'!$F288="", "", AND('ProductSprint Backlog'!$J288&gt;F$2,'ProductSprint Backlog'!$I288&lt;=F$2), 'ProductSprint Backlog'!$F288 / MAX(1, 'ProductSprint Backlog'!$J288-'ProductSprint Backlog'!$I288), AND('ProductSprint Backlog'!$J288=F$2,'ProductSprint Backlog'!$I288=F$2), 'ProductSprint Backlog'!$F288, TRUE, 0)</f>
        <v>0</v>
      </c>
      <c r="G288" s="4" cm="1">
        <f t="array" ref="G288">_xlfn.IFS('ProductSprint Backlog'!$F288="", "", AND('ProductSprint Backlog'!$J288&gt;G$2,'ProductSprint Backlog'!$I288&lt;=G$2), 'ProductSprint Backlog'!$F288 / MAX(1, 'ProductSprint Backlog'!$J288-'ProductSprint Backlog'!$I288), AND('ProductSprint Backlog'!$J288=G$2,'ProductSprint Backlog'!$I288=G$2), 'ProductSprint Backlog'!$F288, TRUE, 0)</f>
        <v>0.5</v>
      </c>
      <c r="H288" s="4" cm="1">
        <f t="array" ref="H288">_xlfn.IFS('ProductSprint Backlog'!$F288="", "", AND('ProductSprint Backlog'!$J288&gt;H$2,'ProductSprint Backlog'!$I288&lt;=H$2), 'ProductSprint Backlog'!$F288 / MAX(1, 'ProductSprint Backlog'!$J288-'ProductSprint Backlog'!$I288), AND('ProductSprint Backlog'!$J288=H$2,'ProductSprint Backlog'!$I288=H$2), 'ProductSprint Backlog'!$F288, TRUE, 0)</f>
        <v>0.5</v>
      </c>
      <c r="I288" s="4" cm="1">
        <f t="array" ref="I288">_xlfn.IFS('ProductSprint Backlog'!$F288="", "", AND('ProductSprint Backlog'!$J288&gt;I$2,'ProductSprint Backlog'!$I288&lt;=I$2), 'ProductSprint Backlog'!$F288 / MAX(1, 'ProductSprint Backlog'!$J288-'ProductSprint Backlog'!$I288), AND('ProductSprint Backlog'!$J288=I$2,'ProductSprint Backlog'!$I288=I$2), 'ProductSprint Backlog'!$F288, TRUE, 0)</f>
        <v>0</v>
      </c>
      <c r="J288" s="4" cm="1">
        <f t="array" ref="J288">_xlfn.IFS('ProductSprint Backlog'!$F288="", "", AND('ProductSprint Backlog'!$J288&gt;J$2,'ProductSprint Backlog'!$I288&lt;=J$2), 'ProductSprint Backlog'!$F288 / MAX(1, 'ProductSprint Backlog'!$J288-'ProductSprint Backlog'!$I288), AND('ProductSprint Backlog'!$J288=J$2,'ProductSprint Backlog'!$I288=J$2), 'ProductSprint Backlog'!$F288, TRUE, 0)</f>
        <v>0</v>
      </c>
    </row>
    <row r="289" spans="2:10" x14ac:dyDescent="0.2">
      <c r="B289" s="4" cm="1">
        <f t="array" ref="B289">_xlfn.IFS('ProductSprint Backlog'!$F289="", "", AND('ProductSprint Backlog'!$J289&gt;B$2,'ProductSprint Backlog'!$I289&lt;=B$2), 'ProductSprint Backlog'!$F289 / MAX(1, 'ProductSprint Backlog'!$J289-'ProductSprint Backlog'!$I289), AND('ProductSprint Backlog'!$J289=B$2,'ProductSprint Backlog'!$I289=B$2), 'ProductSprint Backlog'!$F289, TRUE, 0)</f>
        <v>0</v>
      </c>
      <c r="C289" s="4" cm="1">
        <f t="array" ref="C289">_xlfn.IFS('ProductSprint Backlog'!$F289="", "", AND('ProductSprint Backlog'!$J289&gt;C$2,'ProductSprint Backlog'!$I289&lt;=C$2), 'ProductSprint Backlog'!$F289 / MAX(1, 'ProductSprint Backlog'!$J289-'ProductSprint Backlog'!$I289), AND('ProductSprint Backlog'!$J289=C$2,'ProductSprint Backlog'!$I289=C$2), 'ProductSprint Backlog'!$F289, TRUE, 0)</f>
        <v>0</v>
      </c>
      <c r="D289" s="4" cm="1">
        <f t="array" ref="D289">_xlfn.IFS('ProductSprint Backlog'!$F289="", "", AND('ProductSprint Backlog'!$J289&gt;D$2,'ProductSprint Backlog'!$I289&lt;=D$2), 'ProductSprint Backlog'!$F289 / MAX(1, 'ProductSprint Backlog'!$J289-'ProductSprint Backlog'!$I289), AND('ProductSprint Backlog'!$J289=D$2,'ProductSprint Backlog'!$I289=D$2), 'ProductSprint Backlog'!$F289, TRUE, 0)</f>
        <v>0</v>
      </c>
      <c r="E289" s="4" cm="1">
        <f t="array" ref="E289">_xlfn.IFS('ProductSprint Backlog'!$F289="", "", AND('ProductSprint Backlog'!$J289&gt;E$2,'ProductSprint Backlog'!$I289&lt;=E$2), 'ProductSprint Backlog'!$F289 / MAX(1, 'ProductSprint Backlog'!$J289-'ProductSprint Backlog'!$I289), AND('ProductSprint Backlog'!$J289=E$2,'ProductSprint Backlog'!$I289=E$2), 'ProductSprint Backlog'!$F289, TRUE, 0)</f>
        <v>0</v>
      </c>
      <c r="F289" s="4" cm="1">
        <f t="array" ref="F289">_xlfn.IFS('ProductSprint Backlog'!$F289="", "", AND('ProductSprint Backlog'!$J289&gt;F$2,'ProductSprint Backlog'!$I289&lt;=F$2), 'ProductSprint Backlog'!$F289 / MAX(1, 'ProductSprint Backlog'!$J289-'ProductSprint Backlog'!$I289), AND('ProductSprint Backlog'!$J289=F$2,'ProductSprint Backlog'!$I289=F$2), 'ProductSprint Backlog'!$F289, TRUE, 0)</f>
        <v>0</v>
      </c>
      <c r="G289" s="4" cm="1">
        <f t="array" ref="G289">_xlfn.IFS('ProductSprint Backlog'!$F289="", "", AND('ProductSprint Backlog'!$J289&gt;G$2,'ProductSprint Backlog'!$I289&lt;=G$2), 'ProductSprint Backlog'!$F289 / MAX(1, 'ProductSprint Backlog'!$J289-'ProductSprint Backlog'!$I289), AND('ProductSprint Backlog'!$J289=G$2,'ProductSprint Backlog'!$I289=G$2), 'ProductSprint Backlog'!$F289, TRUE, 0)</f>
        <v>0</v>
      </c>
      <c r="H289" s="4" cm="1">
        <f t="array" ref="H289">_xlfn.IFS('ProductSprint Backlog'!$F289="", "", AND('ProductSprint Backlog'!$J289&gt;H$2,'ProductSprint Backlog'!$I289&lt;=H$2), 'ProductSprint Backlog'!$F289 / MAX(1, 'ProductSprint Backlog'!$J289-'ProductSprint Backlog'!$I289), AND('ProductSprint Backlog'!$J289=H$2,'ProductSprint Backlog'!$I289=H$2), 'ProductSprint Backlog'!$F289, TRUE, 0)</f>
        <v>0.5</v>
      </c>
      <c r="I289" s="4" cm="1">
        <f t="array" ref="I289">_xlfn.IFS('ProductSprint Backlog'!$F289="", "", AND('ProductSprint Backlog'!$J289&gt;I$2,'ProductSprint Backlog'!$I289&lt;=I$2), 'ProductSprint Backlog'!$F289 / MAX(1, 'ProductSprint Backlog'!$J289-'ProductSprint Backlog'!$I289), AND('ProductSprint Backlog'!$J289=I$2,'ProductSprint Backlog'!$I289=I$2), 'ProductSprint Backlog'!$F289, TRUE, 0)</f>
        <v>0</v>
      </c>
      <c r="J289" s="4" cm="1">
        <f t="array" ref="J289">_xlfn.IFS('ProductSprint Backlog'!$F289="", "", AND('ProductSprint Backlog'!$J289&gt;J$2,'ProductSprint Backlog'!$I289&lt;=J$2), 'ProductSprint Backlog'!$F289 / MAX(1, 'ProductSprint Backlog'!$J289-'ProductSprint Backlog'!$I289), AND('ProductSprint Backlog'!$J289=J$2,'ProductSprint Backlog'!$I289=J$2), 'ProductSprint Backlog'!$F289, TRUE, 0)</f>
        <v>0</v>
      </c>
    </row>
    <row r="290" spans="2:10" x14ac:dyDescent="0.2">
      <c r="B290" s="4" t="str" cm="1">
        <f t="array" ref="B290">_xlfn.IFS('ProductSprint Backlog'!$F290="", "", AND('ProductSprint Backlog'!$J290&gt;B$2,'ProductSprint Backlog'!$I290&lt;=B$2), 'ProductSprint Backlog'!$F290 / MAX(1, 'ProductSprint Backlog'!$J290-'ProductSprint Backlog'!$I290), AND('ProductSprint Backlog'!$J290=B$2,'ProductSprint Backlog'!$I290=B$2), 'ProductSprint Backlog'!$F290, TRUE, 0)</f>
        <v/>
      </c>
      <c r="C290" s="4" t="str" cm="1">
        <f t="array" ref="C290">_xlfn.IFS('ProductSprint Backlog'!$F290="", "", AND('ProductSprint Backlog'!$J290&gt;C$2,'ProductSprint Backlog'!$I290&lt;=C$2), 'ProductSprint Backlog'!$F290 / MAX(1, 'ProductSprint Backlog'!$J290-'ProductSprint Backlog'!$I290), AND('ProductSprint Backlog'!$J290=C$2,'ProductSprint Backlog'!$I290=C$2), 'ProductSprint Backlog'!$F290, TRUE, 0)</f>
        <v/>
      </c>
      <c r="D290" s="4" t="str" cm="1">
        <f t="array" ref="D290">_xlfn.IFS('ProductSprint Backlog'!$F290="", "", AND('ProductSprint Backlog'!$J290&gt;D$2,'ProductSprint Backlog'!$I290&lt;=D$2), 'ProductSprint Backlog'!$F290 / MAX(1, 'ProductSprint Backlog'!$J290-'ProductSprint Backlog'!$I290), AND('ProductSprint Backlog'!$J290=D$2,'ProductSprint Backlog'!$I290=D$2), 'ProductSprint Backlog'!$F290, TRUE, 0)</f>
        <v/>
      </c>
      <c r="E290" s="4" t="str" cm="1">
        <f t="array" ref="E290">_xlfn.IFS('ProductSprint Backlog'!$F290="", "", AND('ProductSprint Backlog'!$J290&gt;E$2,'ProductSprint Backlog'!$I290&lt;=E$2), 'ProductSprint Backlog'!$F290 / MAX(1, 'ProductSprint Backlog'!$J290-'ProductSprint Backlog'!$I290), AND('ProductSprint Backlog'!$J290=E$2,'ProductSprint Backlog'!$I290=E$2), 'ProductSprint Backlog'!$F290, TRUE, 0)</f>
        <v/>
      </c>
      <c r="F290" s="4" t="str" cm="1">
        <f t="array" ref="F290">_xlfn.IFS('ProductSprint Backlog'!$F290="", "", AND('ProductSprint Backlog'!$J290&gt;F$2,'ProductSprint Backlog'!$I290&lt;=F$2), 'ProductSprint Backlog'!$F290 / MAX(1, 'ProductSprint Backlog'!$J290-'ProductSprint Backlog'!$I290), AND('ProductSprint Backlog'!$J290=F$2,'ProductSprint Backlog'!$I290=F$2), 'ProductSprint Backlog'!$F290, TRUE, 0)</f>
        <v/>
      </c>
      <c r="G290" s="4" t="str" cm="1">
        <f t="array" ref="G290">_xlfn.IFS('ProductSprint Backlog'!$F290="", "", AND('ProductSprint Backlog'!$J290&gt;G$2,'ProductSprint Backlog'!$I290&lt;=G$2), 'ProductSprint Backlog'!$F290 / MAX(1, 'ProductSprint Backlog'!$J290-'ProductSprint Backlog'!$I290), AND('ProductSprint Backlog'!$J290=G$2,'ProductSprint Backlog'!$I290=G$2), 'ProductSprint Backlog'!$F290, TRUE, 0)</f>
        <v/>
      </c>
      <c r="H290" s="4" t="str" cm="1">
        <f t="array" ref="H290">_xlfn.IFS('ProductSprint Backlog'!$F290="", "", AND('ProductSprint Backlog'!$J290&gt;H$2,'ProductSprint Backlog'!$I290&lt;=H$2), 'ProductSprint Backlog'!$F290 / MAX(1, 'ProductSprint Backlog'!$J290-'ProductSprint Backlog'!$I290), AND('ProductSprint Backlog'!$J290=H$2,'ProductSprint Backlog'!$I290=H$2), 'ProductSprint Backlog'!$F290, TRUE, 0)</f>
        <v/>
      </c>
      <c r="I290" s="4" t="str" cm="1">
        <f t="array" ref="I290">_xlfn.IFS('ProductSprint Backlog'!$F290="", "", AND('ProductSprint Backlog'!$J290&gt;I$2,'ProductSprint Backlog'!$I290&lt;=I$2), 'ProductSprint Backlog'!$F290 / MAX(1, 'ProductSprint Backlog'!$J290-'ProductSprint Backlog'!$I290), AND('ProductSprint Backlog'!$J290=I$2,'ProductSprint Backlog'!$I290=I$2), 'ProductSprint Backlog'!$F290, TRUE, 0)</f>
        <v/>
      </c>
      <c r="J290" s="4" t="str" cm="1">
        <f t="array" ref="J290">_xlfn.IFS('ProductSprint Backlog'!$F290="", "", AND('ProductSprint Backlog'!$J290&gt;J$2,'ProductSprint Backlog'!$I290&lt;=J$2), 'ProductSprint Backlog'!$F290 / MAX(1, 'ProductSprint Backlog'!$J290-'ProductSprint Backlog'!$I290), AND('ProductSprint Backlog'!$J290=J$2,'ProductSprint Backlog'!$I290=J$2), 'ProductSprint Backlog'!$F290, TRUE, 0)</f>
        <v/>
      </c>
    </row>
    <row r="291" spans="2:10" x14ac:dyDescent="0.2">
      <c r="B291" s="4" t="str" cm="1">
        <f t="array" ref="B291">_xlfn.IFS('ProductSprint Backlog'!$F291="", "", AND('ProductSprint Backlog'!$J291&gt;B$2,'ProductSprint Backlog'!$I291&lt;=B$2), 'ProductSprint Backlog'!$F291 / MAX(1, 'ProductSprint Backlog'!$J291-'ProductSprint Backlog'!$I291), AND('ProductSprint Backlog'!$J291=B$2,'ProductSprint Backlog'!$I291=B$2), 'ProductSprint Backlog'!$F291, TRUE, 0)</f>
        <v/>
      </c>
      <c r="C291" s="4" t="str" cm="1">
        <f t="array" ref="C291">_xlfn.IFS('ProductSprint Backlog'!$F291="", "", AND('ProductSprint Backlog'!$J291&gt;C$2,'ProductSprint Backlog'!$I291&lt;=C$2), 'ProductSprint Backlog'!$F291 / MAX(1, 'ProductSprint Backlog'!$J291-'ProductSprint Backlog'!$I291), AND('ProductSprint Backlog'!$J291=C$2,'ProductSprint Backlog'!$I291=C$2), 'ProductSprint Backlog'!$F291, TRUE, 0)</f>
        <v/>
      </c>
      <c r="D291" s="4" t="str" cm="1">
        <f t="array" ref="D291">_xlfn.IFS('ProductSprint Backlog'!$F291="", "", AND('ProductSprint Backlog'!$J291&gt;D$2,'ProductSprint Backlog'!$I291&lt;=D$2), 'ProductSprint Backlog'!$F291 / MAX(1, 'ProductSprint Backlog'!$J291-'ProductSprint Backlog'!$I291), AND('ProductSprint Backlog'!$J291=D$2,'ProductSprint Backlog'!$I291=D$2), 'ProductSprint Backlog'!$F291, TRUE, 0)</f>
        <v/>
      </c>
      <c r="E291" s="4" t="str" cm="1">
        <f t="array" ref="E291">_xlfn.IFS('ProductSprint Backlog'!$F291="", "", AND('ProductSprint Backlog'!$J291&gt;E$2,'ProductSprint Backlog'!$I291&lt;=E$2), 'ProductSprint Backlog'!$F291 / MAX(1, 'ProductSprint Backlog'!$J291-'ProductSprint Backlog'!$I291), AND('ProductSprint Backlog'!$J291=E$2,'ProductSprint Backlog'!$I291=E$2), 'ProductSprint Backlog'!$F291, TRUE, 0)</f>
        <v/>
      </c>
      <c r="F291" s="4" t="str" cm="1">
        <f t="array" ref="F291">_xlfn.IFS('ProductSprint Backlog'!$F291="", "", AND('ProductSprint Backlog'!$J291&gt;F$2,'ProductSprint Backlog'!$I291&lt;=F$2), 'ProductSprint Backlog'!$F291 / MAX(1, 'ProductSprint Backlog'!$J291-'ProductSprint Backlog'!$I291), AND('ProductSprint Backlog'!$J291=F$2,'ProductSprint Backlog'!$I291=F$2), 'ProductSprint Backlog'!$F291, TRUE, 0)</f>
        <v/>
      </c>
      <c r="G291" s="4" t="str" cm="1">
        <f t="array" ref="G291">_xlfn.IFS('ProductSprint Backlog'!$F291="", "", AND('ProductSprint Backlog'!$J291&gt;G$2,'ProductSprint Backlog'!$I291&lt;=G$2), 'ProductSprint Backlog'!$F291 / MAX(1, 'ProductSprint Backlog'!$J291-'ProductSprint Backlog'!$I291), AND('ProductSprint Backlog'!$J291=G$2,'ProductSprint Backlog'!$I291=G$2), 'ProductSprint Backlog'!$F291, TRUE, 0)</f>
        <v/>
      </c>
      <c r="H291" s="4" t="str" cm="1">
        <f t="array" ref="H291">_xlfn.IFS('ProductSprint Backlog'!$F291="", "", AND('ProductSprint Backlog'!$J291&gt;H$2,'ProductSprint Backlog'!$I291&lt;=H$2), 'ProductSprint Backlog'!$F291 / MAX(1, 'ProductSprint Backlog'!$J291-'ProductSprint Backlog'!$I291), AND('ProductSprint Backlog'!$J291=H$2,'ProductSprint Backlog'!$I291=H$2), 'ProductSprint Backlog'!$F291, TRUE, 0)</f>
        <v/>
      </c>
      <c r="I291" s="4" t="str" cm="1">
        <f t="array" ref="I291">_xlfn.IFS('ProductSprint Backlog'!$F291="", "", AND('ProductSprint Backlog'!$J291&gt;I$2,'ProductSprint Backlog'!$I291&lt;=I$2), 'ProductSprint Backlog'!$F291 / MAX(1, 'ProductSprint Backlog'!$J291-'ProductSprint Backlog'!$I291), AND('ProductSprint Backlog'!$J291=I$2,'ProductSprint Backlog'!$I291=I$2), 'ProductSprint Backlog'!$F291, TRUE, 0)</f>
        <v/>
      </c>
      <c r="J291" s="4" t="str" cm="1">
        <f t="array" ref="J291">_xlfn.IFS('ProductSprint Backlog'!$F291="", "", AND('ProductSprint Backlog'!$J291&gt;J$2,'ProductSprint Backlog'!$I291&lt;=J$2), 'ProductSprint Backlog'!$F291 / MAX(1, 'ProductSprint Backlog'!$J291-'ProductSprint Backlog'!$I291), AND('ProductSprint Backlog'!$J291=J$2,'ProductSprint Backlog'!$I291=J$2), 'ProductSprint Backlog'!$F291, TRUE, 0)</f>
        <v/>
      </c>
    </row>
    <row r="292" spans="2:10" x14ac:dyDescent="0.2">
      <c r="B292" s="4" t="str" cm="1">
        <f t="array" ref="B292">_xlfn.IFS('ProductSprint Backlog'!$F292="", "", AND('ProductSprint Backlog'!$J292&gt;B$2,'ProductSprint Backlog'!$I292&lt;=B$2), 'ProductSprint Backlog'!$F292 / MAX(1, 'ProductSprint Backlog'!$J292-'ProductSprint Backlog'!$I292), AND('ProductSprint Backlog'!$J292=B$2,'ProductSprint Backlog'!$I292=B$2), 'ProductSprint Backlog'!$F292, TRUE, 0)</f>
        <v/>
      </c>
      <c r="C292" s="4" t="str" cm="1">
        <f t="array" ref="C292">_xlfn.IFS('ProductSprint Backlog'!$F292="", "", AND('ProductSprint Backlog'!$J292&gt;C$2,'ProductSprint Backlog'!$I292&lt;=C$2), 'ProductSprint Backlog'!$F292 / MAX(1, 'ProductSprint Backlog'!$J292-'ProductSprint Backlog'!$I292), AND('ProductSprint Backlog'!$J292=C$2,'ProductSprint Backlog'!$I292=C$2), 'ProductSprint Backlog'!$F292, TRUE, 0)</f>
        <v/>
      </c>
      <c r="D292" s="4" t="str" cm="1">
        <f t="array" ref="D292">_xlfn.IFS('ProductSprint Backlog'!$F292="", "", AND('ProductSprint Backlog'!$J292&gt;D$2,'ProductSprint Backlog'!$I292&lt;=D$2), 'ProductSprint Backlog'!$F292 / MAX(1, 'ProductSprint Backlog'!$J292-'ProductSprint Backlog'!$I292), AND('ProductSprint Backlog'!$J292=D$2,'ProductSprint Backlog'!$I292=D$2), 'ProductSprint Backlog'!$F292, TRUE, 0)</f>
        <v/>
      </c>
      <c r="E292" s="4" t="str" cm="1">
        <f t="array" ref="E292">_xlfn.IFS('ProductSprint Backlog'!$F292="", "", AND('ProductSprint Backlog'!$J292&gt;E$2,'ProductSprint Backlog'!$I292&lt;=E$2), 'ProductSprint Backlog'!$F292 / MAX(1, 'ProductSprint Backlog'!$J292-'ProductSprint Backlog'!$I292), AND('ProductSprint Backlog'!$J292=E$2,'ProductSprint Backlog'!$I292=E$2), 'ProductSprint Backlog'!$F292, TRUE, 0)</f>
        <v/>
      </c>
      <c r="F292" s="4" t="str" cm="1">
        <f t="array" ref="F292">_xlfn.IFS('ProductSprint Backlog'!$F292="", "", AND('ProductSprint Backlog'!$J292&gt;F$2,'ProductSprint Backlog'!$I292&lt;=F$2), 'ProductSprint Backlog'!$F292 / MAX(1, 'ProductSprint Backlog'!$J292-'ProductSprint Backlog'!$I292), AND('ProductSprint Backlog'!$J292=F$2,'ProductSprint Backlog'!$I292=F$2), 'ProductSprint Backlog'!$F292, TRUE, 0)</f>
        <v/>
      </c>
      <c r="G292" s="4" t="str" cm="1">
        <f t="array" ref="G292">_xlfn.IFS('ProductSprint Backlog'!$F292="", "", AND('ProductSprint Backlog'!$J292&gt;G$2,'ProductSprint Backlog'!$I292&lt;=G$2), 'ProductSprint Backlog'!$F292 / MAX(1, 'ProductSprint Backlog'!$J292-'ProductSprint Backlog'!$I292), AND('ProductSprint Backlog'!$J292=G$2,'ProductSprint Backlog'!$I292=G$2), 'ProductSprint Backlog'!$F292, TRUE, 0)</f>
        <v/>
      </c>
      <c r="H292" s="4" t="str" cm="1">
        <f t="array" ref="H292">_xlfn.IFS('ProductSprint Backlog'!$F292="", "", AND('ProductSprint Backlog'!$J292&gt;H$2,'ProductSprint Backlog'!$I292&lt;=H$2), 'ProductSprint Backlog'!$F292 / MAX(1, 'ProductSprint Backlog'!$J292-'ProductSprint Backlog'!$I292), AND('ProductSprint Backlog'!$J292=H$2,'ProductSprint Backlog'!$I292=H$2), 'ProductSprint Backlog'!$F292, TRUE, 0)</f>
        <v/>
      </c>
      <c r="I292" s="4" t="str" cm="1">
        <f t="array" ref="I292">_xlfn.IFS('ProductSprint Backlog'!$F292="", "", AND('ProductSprint Backlog'!$J292&gt;I$2,'ProductSprint Backlog'!$I292&lt;=I$2), 'ProductSprint Backlog'!$F292 / MAX(1, 'ProductSprint Backlog'!$J292-'ProductSprint Backlog'!$I292), AND('ProductSprint Backlog'!$J292=I$2,'ProductSprint Backlog'!$I292=I$2), 'ProductSprint Backlog'!$F292, TRUE, 0)</f>
        <v/>
      </c>
      <c r="J292" s="4" t="str" cm="1">
        <f t="array" ref="J292">_xlfn.IFS('ProductSprint Backlog'!$F292="", "", AND('ProductSprint Backlog'!$J292&gt;J$2,'ProductSprint Backlog'!$I292&lt;=J$2), 'ProductSprint Backlog'!$F292 / MAX(1, 'ProductSprint Backlog'!$J292-'ProductSprint Backlog'!$I292), AND('ProductSprint Backlog'!$J292=J$2,'ProductSprint Backlog'!$I292=J$2), 'ProductSprint Backlog'!$F292, TRUE, 0)</f>
        <v/>
      </c>
    </row>
    <row r="293" spans="2:10" x14ac:dyDescent="0.2">
      <c r="B293" s="4" t="str" cm="1">
        <f t="array" ref="B293">_xlfn.IFS('ProductSprint Backlog'!$F293="", "", AND('ProductSprint Backlog'!$J293&gt;B$2,'ProductSprint Backlog'!$I293&lt;=B$2), 'ProductSprint Backlog'!$F293 / MAX(1, 'ProductSprint Backlog'!$J293-'ProductSprint Backlog'!$I293), AND('ProductSprint Backlog'!$J293=B$2,'ProductSprint Backlog'!$I293=B$2), 'ProductSprint Backlog'!$F293, TRUE, 0)</f>
        <v/>
      </c>
      <c r="C293" s="4" t="str" cm="1">
        <f t="array" ref="C293">_xlfn.IFS('ProductSprint Backlog'!$F293="", "", AND('ProductSprint Backlog'!$J293&gt;C$2,'ProductSprint Backlog'!$I293&lt;=C$2), 'ProductSprint Backlog'!$F293 / MAX(1, 'ProductSprint Backlog'!$J293-'ProductSprint Backlog'!$I293), AND('ProductSprint Backlog'!$J293=C$2,'ProductSprint Backlog'!$I293=C$2), 'ProductSprint Backlog'!$F293, TRUE, 0)</f>
        <v/>
      </c>
      <c r="D293" s="4" t="str" cm="1">
        <f t="array" ref="D293">_xlfn.IFS('ProductSprint Backlog'!$F293="", "", AND('ProductSprint Backlog'!$J293&gt;D$2,'ProductSprint Backlog'!$I293&lt;=D$2), 'ProductSprint Backlog'!$F293 / MAX(1, 'ProductSprint Backlog'!$J293-'ProductSprint Backlog'!$I293), AND('ProductSprint Backlog'!$J293=D$2,'ProductSprint Backlog'!$I293=D$2), 'ProductSprint Backlog'!$F293, TRUE, 0)</f>
        <v/>
      </c>
      <c r="E293" s="4" t="str" cm="1">
        <f t="array" ref="E293">_xlfn.IFS('ProductSprint Backlog'!$F293="", "", AND('ProductSprint Backlog'!$J293&gt;E$2,'ProductSprint Backlog'!$I293&lt;=E$2), 'ProductSprint Backlog'!$F293 / MAX(1, 'ProductSprint Backlog'!$J293-'ProductSprint Backlog'!$I293), AND('ProductSprint Backlog'!$J293=E$2,'ProductSprint Backlog'!$I293=E$2), 'ProductSprint Backlog'!$F293, TRUE, 0)</f>
        <v/>
      </c>
      <c r="F293" s="4" t="str" cm="1">
        <f t="array" ref="F293">_xlfn.IFS('ProductSprint Backlog'!$F293="", "", AND('ProductSprint Backlog'!$J293&gt;F$2,'ProductSprint Backlog'!$I293&lt;=F$2), 'ProductSprint Backlog'!$F293 / MAX(1, 'ProductSprint Backlog'!$J293-'ProductSprint Backlog'!$I293), AND('ProductSprint Backlog'!$J293=F$2,'ProductSprint Backlog'!$I293=F$2), 'ProductSprint Backlog'!$F293, TRUE, 0)</f>
        <v/>
      </c>
      <c r="G293" s="4" t="str" cm="1">
        <f t="array" ref="G293">_xlfn.IFS('ProductSprint Backlog'!$F293="", "", AND('ProductSprint Backlog'!$J293&gt;G$2,'ProductSprint Backlog'!$I293&lt;=G$2), 'ProductSprint Backlog'!$F293 / MAX(1, 'ProductSprint Backlog'!$J293-'ProductSprint Backlog'!$I293), AND('ProductSprint Backlog'!$J293=G$2,'ProductSprint Backlog'!$I293=G$2), 'ProductSprint Backlog'!$F293, TRUE, 0)</f>
        <v/>
      </c>
      <c r="H293" s="4" t="str" cm="1">
        <f t="array" ref="H293">_xlfn.IFS('ProductSprint Backlog'!$F293="", "", AND('ProductSprint Backlog'!$J293&gt;H$2,'ProductSprint Backlog'!$I293&lt;=H$2), 'ProductSprint Backlog'!$F293 / MAX(1, 'ProductSprint Backlog'!$J293-'ProductSprint Backlog'!$I293), AND('ProductSprint Backlog'!$J293=H$2,'ProductSprint Backlog'!$I293=H$2), 'ProductSprint Backlog'!$F293, TRUE, 0)</f>
        <v/>
      </c>
      <c r="I293" s="4" t="str" cm="1">
        <f t="array" ref="I293">_xlfn.IFS('ProductSprint Backlog'!$F293="", "", AND('ProductSprint Backlog'!$J293&gt;I$2,'ProductSprint Backlog'!$I293&lt;=I$2), 'ProductSprint Backlog'!$F293 / MAX(1, 'ProductSprint Backlog'!$J293-'ProductSprint Backlog'!$I293), AND('ProductSprint Backlog'!$J293=I$2,'ProductSprint Backlog'!$I293=I$2), 'ProductSprint Backlog'!$F293, TRUE, 0)</f>
        <v/>
      </c>
      <c r="J293" s="4" t="str" cm="1">
        <f t="array" ref="J293">_xlfn.IFS('ProductSprint Backlog'!$F293="", "", AND('ProductSprint Backlog'!$J293&gt;J$2,'ProductSprint Backlog'!$I293&lt;=J$2), 'ProductSprint Backlog'!$F293 / MAX(1, 'ProductSprint Backlog'!$J293-'ProductSprint Backlog'!$I293), AND('ProductSprint Backlog'!$J293=J$2,'ProductSprint Backlog'!$I293=J$2), 'ProductSprint Backlog'!$F293, TRUE, 0)</f>
        <v/>
      </c>
    </row>
    <row r="299" spans="2:10" x14ac:dyDescent="0.2">
      <c r="B299" s="4"/>
      <c r="C299" s="4"/>
      <c r="D299" s="4"/>
      <c r="E299" s="4"/>
      <c r="F299" s="4"/>
      <c r="G299" s="4"/>
      <c r="H299" s="4"/>
      <c r="I299" s="4"/>
      <c r="J299" s="4"/>
    </row>
    <row r="300" spans="2:10" x14ac:dyDescent="0.2">
      <c r="B300" s="4"/>
      <c r="C300" s="4"/>
      <c r="D300" s="4"/>
      <c r="E300" s="4"/>
      <c r="F300" s="4"/>
      <c r="G300" s="4"/>
      <c r="H300" s="4"/>
      <c r="I300" s="4"/>
      <c r="J300" s="4"/>
    </row>
    <row r="301" spans="2:10" x14ac:dyDescent="0.2">
      <c r="B301" s="4"/>
      <c r="C301" s="4"/>
      <c r="D301" s="4"/>
      <c r="E301" s="4"/>
      <c r="F301" s="4"/>
      <c r="G301" s="4"/>
      <c r="H301" s="4"/>
      <c r="I301" s="4"/>
      <c r="J301" s="4"/>
    </row>
    <row r="302" spans="2:10" x14ac:dyDescent="0.2">
      <c r="B302" s="4"/>
      <c r="C302" s="4"/>
      <c r="D302" s="4"/>
      <c r="E302" s="4"/>
      <c r="F302" s="4"/>
      <c r="G302" s="4"/>
      <c r="H302" s="4"/>
      <c r="I302" s="4"/>
      <c r="J302" s="4"/>
    </row>
    <row r="303" spans="2:10" x14ac:dyDescent="0.2">
      <c r="B303" s="4"/>
      <c r="C303" s="4"/>
      <c r="D303" s="4"/>
      <c r="E303" s="4"/>
      <c r="F303" s="4"/>
      <c r="G303" s="4"/>
      <c r="H303" s="4"/>
      <c r="I303" s="4"/>
      <c r="J303" s="4"/>
    </row>
    <row r="304" spans="2:10" x14ac:dyDescent="0.2">
      <c r="B304" s="4"/>
      <c r="C304" s="4"/>
      <c r="D304" s="4"/>
      <c r="E304" s="4"/>
      <c r="F304" s="4"/>
      <c r="G304" s="4"/>
      <c r="H304" s="4"/>
      <c r="I304" s="4"/>
      <c r="J304" s="4"/>
    </row>
    <row r="305" spans="2:17" x14ac:dyDescent="0.2">
      <c r="B305" s="4"/>
      <c r="C305" s="4"/>
      <c r="D305" s="4"/>
      <c r="E305" s="4"/>
      <c r="F305" s="4"/>
      <c r="G305" s="4"/>
      <c r="H305" s="4"/>
      <c r="I305" s="4"/>
      <c r="J305" s="4"/>
    </row>
    <row r="306" spans="2:17" x14ac:dyDescent="0.2">
      <c r="B306" s="4"/>
      <c r="C306" s="4"/>
      <c r="D306" s="4"/>
      <c r="E306" s="4"/>
      <c r="F306" s="4"/>
      <c r="G306" s="4"/>
      <c r="H306" s="4"/>
      <c r="I306" s="4"/>
      <c r="J306" s="4"/>
    </row>
    <row r="307" spans="2:17" x14ac:dyDescent="0.2">
      <c r="B307" s="4"/>
      <c r="C307" s="4"/>
      <c r="D307" s="4"/>
      <c r="E307" s="4"/>
      <c r="F307" s="4"/>
      <c r="G307" s="4"/>
      <c r="H307" s="4"/>
      <c r="I307" s="4"/>
      <c r="J307" s="4"/>
    </row>
    <row r="308" spans="2:17" x14ac:dyDescent="0.2">
      <c r="B308" s="4"/>
      <c r="C308" s="4"/>
      <c r="D308" s="4"/>
      <c r="E308" s="4"/>
      <c r="F308" s="4"/>
      <c r="G308" s="4"/>
      <c r="H308" s="4"/>
      <c r="I308" s="4"/>
      <c r="J308" s="4"/>
    </row>
    <row r="309" spans="2:17" x14ac:dyDescent="0.2">
      <c r="B309" s="4"/>
      <c r="C309" s="4"/>
      <c r="D309" s="4"/>
      <c r="E309" s="4"/>
      <c r="F309" s="4"/>
      <c r="G309" s="4"/>
      <c r="H309" s="4"/>
      <c r="I309" s="4"/>
      <c r="J309" s="4"/>
      <c r="K309" s="4"/>
      <c r="L309" s="4"/>
      <c r="M309" s="4"/>
      <c r="N309" s="4"/>
      <c r="O309" s="4"/>
      <c r="P309" s="4"/>
      <c r="Q309" s="4"/>
    </row>
    <row r="310" spans="2:17" x14ac:dyDescent="0.2">
      <c r="B310" s="4"/>
      <c r="C310" s="4"/>
      <c r="D310" s="4"/>
      <c r="E310" s="4"/>
      <c r="F310" s="4"/>
      <c r="G310" s="4"/>
      <c r="H310" s="4"/>
      <c r="I310" s="4"/>
      <c r="J310" s="4"/>
      <c r="K310" s="4"/>
      <c r="L310" s="4"/>
      <c r="M310" s="4"/>
      <c r="N310" s="4"/>
      <c r="O310" s="4"/>
      <c r="P310" s="4"/>
      <c r="Q310" s="4"/>
    </row>
    <row r="311" spans="2:17" x14ac:dyDescent="0.2">
      <c r="B311" s="4"/>
      <c r="C311" s="4"/>
      <c r="D311" s="4"/>
      <c r="E311" s="4"/>
      <c r="F311" s="4"/>
      <c r="G311" s="4"/>
      <c r="H311" s="4"/>
      <c r="I311" s="4"/>
      <c r="J311" s="4"/>
      <c r="K311" s="4"/>
      <c r="L311" s="4"/>
      <c r="M311" s="4"/>
      <c r="N311" s="4"/>
      <c r="O311" s="4"/>
      <c r="P311" s="4"/>
      <c r="Q311" s="4"/>
    </row>
    <row r="312" spans="2:17" x14ac:dyDescent="0.2">
      <c r="B312" s="4"/>
      <c r="C312" s="4"/>
      <c r="D312" s="4"/>
      <c r="E312" s="4"/>
      <c r="F312" s="4"/>
      <c r="G312" s="4"/>
      <c r="H312" s="4"/>
      <c r="I312" s="4"/>
      <c r="J312" s="4"/>
      <c r="K312" s="4"/>
      <c r="L312" s="4"/>
      <c r="M312" s="4"/>
      <c r="N312" s="4"/>
      <c r="O312" s="4"/>
      <c r="P312" s="4"/>
      <c r="Q312" s="4"/>
    </row>
    <row r="313" spans="2:17" x14ac:dyDescent="0.2">
      <c r="B313" s="4"/>
      <c r="C313" s="4"/>
      <c r="D313" s="4"/>
      <c r="E313" s="4"/>
      <c r="F313" s="4"/>
      <c r="G313" s="4"/>
      <c r="H313" s="4"/>
      <c r="I313" s="4"/>
      <c r="J313" s="4"/>
      <c r="K313" s="4"/>
      <c r="L313" s="4"/>
      <c r="M313" s="4"/>
      <c r="N313" s="4"/>
      <c r="O313" s="4"/>
      <c r="P313" s="4"/>
      <c r="Q313" s="4"/>
    </row>
    <row r="314" spans="2:17" x14ac:dyDescent="0.2">
      <c r="B314" s="4"/>
      <c r="C314" s="4"/>
      <c r="D314" s="4"/>
      <c r="E314" s="4"/>
      <c r="F314" s="4"/>
      <c r="G314" s="4"/>
      <c r="H314" s="4"/>
      <c r="I314" s="4"/>
      <c r="J314" s="4"/>
      <c r="K314" s="4"/>
      <c r="L314" s="4"/>
      <c r="M314" s="4"/>
      <c r="N314" s="4"/>
      <c r="O314" s="4"/>
      <c r="P314" s="4"/>
      <c r="Q314" s="4"/>
    </row>
    <row r="315" spans="2:17" x14ac:dyDescent="0.2">
      <c r="B315" s="4"/>
      <c r="C315" s="4"/>
      <c r="D315" s="4"/>
      <c r="E315" s="4"/>
      <c r="F315" s="4"/>
      <c r="G315" s="4"/>
      <c r="H315" s="4"/>
      <c r="I315" s="4"/>
      <c r="J315" s="4"/>
      <c r="K315" s="4"/>
      <c r="L315" s="4"/>
      <c r="M315" s="4"/>
      <c r="N315" s="4"/>
      <c r="O315" s="4"/>
      <c r="P315" s="4"/>
      <c r="Q315" s="4"/>
    </row>
    <row r="316" spans="2:17" x14ac:dyDescent="0.2">
      <c r="B316" s="4"/>
      <c r="C316" s="4"/>
      <c r="D316" s="4"/>
      <c r="E316" s="4"/>
      <c r="F316" s="4"/>
      <c r="G316" s="4"/>
      <c r="H316" s="4"/>
      <c r="I316" s="4"/>
      <c r="J316" s="4"/>
      <c r="K316" s="4"/>
      <c r="L316" s="4"/>
      <c r="M316" s="4"/>
      <c r="N316" s="4"/>
      <c r="O316" s="4"/>
      <c r="P316" s="4"/>
      <c r="Q316" s="4"/>
    </row>
    <row r="317" spans="2:17" x14ac:dyDescent="0.2">
      <c r="B317" s="4"/>
      <c r="C317" s="4"/>
      <c r="D317" s="4"/>
      <c r="E317" s="4"/>
      <c r="F317" s="4"/>
      <c r="G317" s="4"/>
      <c r="H317" s="4"/>
      <c r="I317" s="4"/>
      <c r="J317" s="4"/>
      <c r="K317" s="4"/>
      <c r="L317" s="4"/>
      <c r="M317" s="4"/>
      <c r="N317" s="4"/>
      <c r="O317" s="4"/>
      <c r="P317" s="4"/>
      <c r="Q317" s="4"/>
    </row>
    <row r="318" spans="2:17" x14ac:dyDescent="0.2">
      <c r="B318" s="4"/>
      <c r="C318" s="4"/>
      <c r="D318" s="4"/>
      <c r="E318" s="4"/>
      <c r="F318" s="4"/>
      <c r="G318" s="4"/>
      <c r="H318" s="4"/>
      <c r="I318" s="4"/>
      <c r="J318" s="4"/>
      <c r="K318" s="4"/>
      <c r="L318" s="4"/>
      <c r="M318" s="4"/>
      <c r="N318" s="4"/>
      <c r="O318" s="4"/>
      <c r="P318" s="4"/>
      <c r="Q318" s="4"/>
    </row>
    <row r="319" spans="2:17" x14ac:dyDescent="0.2">
      <c r="B319" s="4"/>
      <c r="C319" s="4"/>
      <c r="D319" s="4"/>
      <c r="E319" s="4"/>
      <c r="F319" s="4"/>
      <c r="G319" s="4"/>
      <c r="H319" s="4"/>
      <c r="I319" s="4"/>
      <c r="J319" s="4"/>
      <c r="K319" s="4"/>
      <c r="L319" s="4"/>
      <c r="M319" s="4"/>
      <c r="N319" s="4"/>
      <c r="O319" s="4"/>
      <c r="P319" s="4"/>
      <c r="Q319" s="4"/>
    </row>
    <row r="320" spans="2:17" x14ac:dyDescent="0.2">
      <c r="B320" s="4"/>
      <c r="C320" s="4"/>
      <c r="D320" s="4"/>
      <c r="E320" s="4"/>
      <c r="F320" s="4"/>
      <c r="G320" s="4"/>
      <c r="H320" s="4"/>
      <c r="I320" s="4"/>
      <c r="J320" s="4"/>
      <c r="K320" s="4"/>
      <c r="L320" s="4"/>
      <c r="M320" s="4"/>
      <c r="N320" s="4"/>
      <c r="O320" s="4"/>
      <c r="P320" s="4"/>
      <c r="Q320" s="4"/>
    </row>
    <row r="321" spans="2:17" x14ac:dyDescent="0.2">
      <c r="B321" s="4"/>
      <c r="C321" s="4"/>
      <c r="D321" s="4"/>
      <c r="E321" s="4"/>
      <c r="F321" s="4"/>
      <c r="G321" s="4"/>
      <c r="H321" s="4"/>
      <c r="I321" s="4"/>
      <c r="J321" s="4"/>
      <c r="K321" s="4"/>
      <c r="L321" s="4"/>
      <c r="M321" s="4"/>
      <c r="N321" s="4"/>
      <c r="O321" s="4"/>
      <c r="P321" s="4"/>
      <c r="Q321" s="4"/>
    </row>
    <row r="322" spans="2:17" x14ac:dyDescent="0.2">
      <c r="B322" s="4"/>
      <c r="C322" s="4"/>
      <c r="D322" s="4"/>
      <c r="E322" s="4"/>
      <c r="F322" s="4"/>
      <c r="G322" s="4"/>
      <c r="H322" s="4"/>
      <c r="I322" s="4"/>
      <c r="J322" s="4"/>
      <c r="K322" s="4"/>
      <c r="L322" s="4"/>
      <c r="M322" s="4"/>
      <c r="N322" s="4"/>
      <c r="O322" s="4"/>
      <c r="P322" s="4"/>
      <c r="Q322" s="4"/>
    </row>
    <row r="323" spans="2:17" x14ac:dyDescent="0.2">
      <c r="B323" s="4"/>
      <c r="C323" s="4"/>
      <c r="D323" s="4"/>
      <c r="E323" s="4"/>
      <c r="F323" s="4"/>
      <c r="G323" s="4"/>
      <c r="H323" s="4"/>
      <c r="I323" s="4"/>
      <c r="J323" s="4"/>
      <c r="K323" s="4"/>
      <c r="L323" s="4"/>
      <c r="M323" s="4"/>
      <c r="N323" s="4"/>
      <c r="O323" s="4"/>
      <c r="P323" s="4"/>
      <c r="Q323" s="4"/>
    </row>
    <row r="324" spans="2:17" x14ac:dyDescent="0.2">
      <c r="B324" s="4"/>
      <c r="C324" s="4"/>
      <c r="D324" s="4"/>
      <c r="E324" s="4"/>
      <c r="F324" s="4"/>
      <c r="G324" s="4"/>
      <c r="H324" s="4"/>
      <c r="I324" s="4"/>
      <c r="J324" s="4"/>
      <c r="K324" s="4"/>
      <c r="L324" s="4"/>
      <c r="M324" s="4"/>
      <c r="N324" s="4"/>
      <c r="O324" s="4"/>
      <c r="P324" s="4"/>
      <c r="Q324" s="4"/>
    </row>
    <row r="325" spans="2:17" x14ac:dyDescent="0.2">
      <c r="B325" s="4"/>
      <c r="C325" s="4"/>
      <c r="D325" s="4"/>
      <c r="E325" s="4"/>
      <c r="F325" s="4"/>
      <c r="G325" s="4"/>
      <c r="H325" s="4"/>
      <c r="I325" s="4"/>
      <c r="J325" s="4"/>
      <c r="K325" s="4"/>
      <c r="L325" s="4"/>
      <c r="M325" s="4"/>
      <c r="N325" s="4"/>
      <c r="O325" s="4"/>
      <c r="P325" s="4"/>
      <c r="Q325" s="4"/>
    </row>
    <row r="326" spans="2:17" x14ac:dyDescent="0.2">
      <c r="B326" s="4"/>
      <c r="C326" s="4"/>
      <c r="D326" s="4"/>
      <c r="E326" s="4"/>
      <c r="F326" s="4"/>
      <c r="G326" s="4"/>
      <c r="H326" s="4"/>
      <c r="I326" s="4"/>
      <c r="J326" s="4"/>
      <c r="K326" s="4"/>
      <c r="L326" s="4"/>
      <c r="M326" s="4"/>
      <c r="N326" s="4"/>
      <c r="O326" s="4"/>
      <c r="P326" s="4"/>
      <c r="Q326" s="4"/>
    </row>
    <row r="327" spans="2:17" x14ac:dyDescent="0.2">
      <c r="B327" s="4"/>
      <c r="C327" s="4"/>
      <c r="D327" s="4"/>
      <c r="E327" s="4"/>
      <c r="F327" s="4"/>
      <c r="G327" s="4"/>
      <c r="H327" s="4"/>
      <c r="I327" s="4"/>
      <c r="J327" s="4"/>
      <c r="K327" s="4"/>
      <c r="L327" s="4"/>
      <c r="M327" s="4"/>
      <c r="N327" s="4"/>
      <c r="O327" s="4"/>
      <c r="P327" s="4"/>
      <c r="Q327" s="4"/>
    </row>
    <row r="328" spans="2:17" x14ac:dyDescent="0.2">
      <c r="B328" s="4"/>
      <c r="C328" s="4"/>
      <c r="D328" s="4"/>
      <c r="E328" s="4"/>
      <c r="F328" s="4"/>
      <c r="G328" s="4"/>
      <c r="H328" s="4"/>
      <c r="I328" s="4"/>
      <c r="J328" s="4"/>
      <c r="K328" s="4"/>
      <c r="L328" s="4"/>
      <c r="M328" s="4"/>
      <c r="N328" s="4"/>
      <c r="O328" s="4"/>
      <c r="P328" s="4"/>
      <c r="Q328" s="4"/>
    </row>
    <row r="329" spans="2:17" x14ac:dyDescent="0.2">
      <c r="B329" s="4"/>
      <c r="C329" s="4"/>
      <c r="D329" s="4"/>
      <c r="E329" s="4"/>
      <c r="F329" s="4"/>
      <c r="G329" s="4"/>
      <c r="H329" s="4"/>
      <c r="I329" s="4"/>
      <c r="J329" s="4"/>
      <c r="K329" s="4"/>
      <c r="L329" s="4"/>
      <c r="M329" s="4"/>
      <c r="N329" s="4"/>
      <c r="O329" s="4"/>
      <c r="P329" s="4"/>
      <c r="Q329" s="4"/>
    </row>
    <row r="330" spans="2:17" x14ac:dyDescent="0.2">
      <c r="B330" s="4"/>
      <c r="C330" s="4"/>
      <c r="D330" s="4"/>
      <c r="E330" s="4"/>
      <c r="F330" s="4"/>
      <c r="G330" s="4"/>
      <c r="H330" s="4"/>
      <c r="I330" s="4"/>
      <c r="J330" s="4"/>
      <c r="K330" s="4"/>
      <c r="L330" s="4"/>
      <c r="M330" s="4"/>
      <c r="N330" s="4"/>
      <c r="O330" s="4"/>
      <c r="P330" s="4"/>
      <c r="Q330" s="4"/>
    </row>
    <row r="331" spans="2:17" x14ac:dyDescent="0.2">
      <c r="B331" s="4"/>
      <c r="C331" s="4"/>
      <c r="D331" s="4"/>
      <c r="E331" s="4"/>
      <c r="F331" s="4"/>
      <c r="G331" s="4"/>
      <c r="H331" s="4"/>
      <c r="I331" s="4"/>
      <c r="J331" s="4"/>
      <c r="K331" s="4"/>
      <c r="L331" s="4"/>
      <c r="M331" s="4"/>
      <c r="N331" s="4"/>
      <c r="O331" s="4"/>
      <c r="P331" s="4"/>
      <c r="Q331" s="4"/>
    </row>
    <row r="332" spans="2:17" x14ac:dyDescent="0.2">
      <c r="B332" s="4"/>
      <c r="C332" s="4"/>
      <c r="D332" s="4"/>
      <c r="E332" s="4"/>
      <c r="F332" s="4"/>
      <c r="G332" s="4"/>
      <c r="H332" s="4"/>
      <c r="I332" s="4"/>
      <c r="J332" s="4"/>
      <c r="K332" s="4"/>
      <c r="L332" s="4"/>
      <c r="M332" s="4"/>
      <c r="N332" s="4"/>
      <c r="O332" s="4"/>
      <c r="P332" s="4"/>
      <c r="Q332" s="4"/>
    </row>
    <row r="333" spans="2:17" x14ac:dyDescent="0.2">
      <c r="B333" s="4"/>
      <c r="C333" s="4"/>
      <c r="D333" s="4"/>
      <c r="E333" s="4"/>
      <c r="F333" s="4"/>
      <c r="G333" s="4"/>
      <c r="H333" s="4"/>
      <c r="I333" s="4"/>
      <c r="J333" s="4"/>
      <c r="K333" s="4"/>
      <c r="L333" s="4"/>
      <c r="M333" s="4"/>
      <c r="N333" s="4"/>
      <c r="O333" s="4"/>
      <c r="P333" s="4"/>
      <c r="Q333" s="4"/>
    </row>
    <row r="334" spans="2:17" x14ac:dyDescent="0.2">
      <c r="B334" s="4"/>
      <c r="C334" s="4"/>
      <c r="D334" s="4"/>
      <c r="E334" s="4"/>
      <c r="F334" s="4"/>
      <c r="G334" s="4"/>
      <c r="H334" s="4"/>
      <c r="I334" s="4"/>
      <c r="J334" s="4"/>
      <c r="K334" s="4"/>
      <c r="L334" s="4"/>
      <c r="M334" s="4"/>
      <c r="N334" s="4"/>
      <c r="O334" s="4"/>
      <c r="P334" s="4"/>
      <c r="Q334" s="4"/>
    </row>
    <row r="335" spans="2:17" x14ac:dyDescent="0.2">
      <c r="B335" s="4"/>
      <c r="C335" s="4"/>
      <c r="D335" s="4"/>
      <c r="E335" s="4"/>
      <c r="F335" s="4"/>
      <c r="G335" s="4"/>
      <c r="H335" s="4"/>
      <c r="I335" s="4"/>
      <c r="J335" s="4"/>
      <c r="K335" s="4"/>
      <c r="L335" s="4"/>
      <c r="M335" s="4"/>
      <c r="N335" s="4"/>
      <c r="O335" s="4"/>
      <c r="P335" s="4"/>
      <c r="Q335" s="4"/>
    </row>
    <row r="336" spans="2:17" x14ac:dyDescent="0.2">
      <c r="B336" s="4"/>
      <c r="C336" s="4"/>
      <c r="D336" s="4"/>
      <c r="E336" s="4"/>
      <c r="F336" s="4"/>
      <c r="G336" s="4"/>
      <c r="H336" s="4"/>
      <c r="I336" s="4"/>
      <c r="J336" s="4"/>
      <c r="K336" s="4"/>
      <c r="L336" s="4"/>
      <c r="M336" s="4"/>
      <c r="N336" s="4"/>
      <c r="O336" s="4"/>
      <c r="P336" s="4"/>
      <c r="Q336" s="4"/>
    </row>
    <row r="337" spans="2:17" x14ac:dyDescent="0.2">
      <c r="B337" s="4"/>
      <c r="C337" s="4"/>
      <c r="D337" s="4"/>
      <c r="E337" s="4"/>
      <c r="F337" s="4"/>
      <c r="G337" s="4"/>
      <c r="H337" s="4"/>
      <c r="I337" s="4"/>
      <c r="J337" s="4"/>
      <c r="K337" s="4"/>
      <c r="L337" s="4"/>
      <c r="M337" s="4"/>
      <c r="N337" s="4"/>
      <c r="O337" s="4"/>
      <c r="P337" s="4"/>
      <c r="Q337" s="4"/>
    </row>
    <row r="338" spans="2:17" x14ac:dyDescent="0.2">
      <c r="B338" s="4"/>
      <c r="C338" s="4"/>
      <c r="D338" s="4"/>
      <c r="E338" s="4"/>
      <c r="F338" s="4"/>
      <c r="G338" s="4"/>
      <c r="H338" s="4"/>
      <c r="I338" s="4"/>
      <c r="J338" s="4"/>
      <c r="K338" s="4"/>
      <c r="L338" s="4"/>
      <c r="M338" s="4"/>
      <c r="N338" s="4"/>
      <c r="O338" s="4"/>
      <c r="P338" s="4"/>
      <c r="Q338" s="4"/>
    </row>
    <row r="339" spans="2:17" x14ac:dyDescent="0.2">
      <c r="B339" s="4"/>
      <c r="C339" s="4"/>
      <c r="D339" s="4"/>
      <c r="E339" s="4"/>
      <c r="F339" s="4"/>
      <c r="G339" s="4"/>
      <c r="H339" s="4"/>
      <c r="I339" s="4"/>
      <c r="J339" s="4"/>
      <c r="K339" s="4"/>
      <c r="L339" s="4"/>
      <c r="M339" s="4"/>
      <c r="N339" s="4"/>
      <c r="O339" s="4"/>
      <c r="P339" s="4"/>
      <c r="Q339" s="4"/>
    </row>
    <row r="340" spans="2:17" x14ac:dyDescent="0.2">
      <c r="B340" s="4"/>
      <c r="C340" s="4"/>
      <c r="D340" s="4"/>
      <c r="E340" s="4"/>
      <c r="F340" s="4"/>
      <c r="G340" s="4"/>
      <c r="H340" s="4"/>
      <c r="I340" s="4"/>
      <c r="J340" s="4"/>
      <c r="K340" s="4"/>
      <c r="L340" s="4"/>
      <c r="M340" s="4"/>
      <c r="N340" s="4"/>
      <c r="O340" s="4"/>
      <c r="P340" s="4"/>
      <c r="Q340" s="4"/>
    </row>
    <row r="341" spans="2:17" x14ac:dyDescent="0.2">
      <c r="B341" s="4"/>
      <c r="C341" s="4"/>
      <c r="D341" s="4"/>
      <c r="E341" s="4"/>
      <c r="F341" s="4"/>
      <c r="G341" s="4"/>
      <c r="H341" s="4"/>
      <c r="I341" s="4"/>
      <c r="J341" s="4"/>
      <c r="K341" s="4"/>
      <c r="L341" s="4"/>
      <c r="M341" s="4"/>
      <c r="N341" s="4"/>
      <c r="O341" s="4"/>
      <c r="P341" s="4"/>
      <c r="Q341" s="4"/>
    </row>
    <row r="342" spans="2:17" x14ac:dyDescent="0.2">
      <c r="B342" s="4"/>
      <c r="C342" s="4"/>
      <c r="D342" s="4"/>
      <c r="E342" s="4"/>
      <c r="F342" s="4"/>
      <c r="G342" s="4"/>
      <c r="H342" s="4"/>
      <c r="I342" s="4"/>
      <c r="J342" s="4"/>
      <c r="K342" s="4"/>
      <c r="L342" s="4"/>
      <c r="M342" s="4"/>
      <c r="N342" s="4"/>
      <c r="O342" s="4"/>
      <c r="P342" s="4"/>
      <c r="Q342" s="4"/>
    </row>
    <row r="343" spans="2:17" x14ac:dyDescent="0.2">
      <c r="B343" s="4"/>
      <c r="C343" s="4"/>
      <c r="D343" s="4"/>
      <c r="E343" s="4"/>
      <c r="F343" s="4"/>
      <c r="G343" s="4"/>
      <c r="H343" s="4"/>
      <c r="I343" s="4"/>
      <c r="J343" s="4"/>
      <c r="K343" s="4"/>
      <c r="L343" s="4"/>
      <c r="M343" s="4"/>
      <c r="N343" s="4"/>
      <c r="O343" s="4"/>
      <c r="P343" s="4"/>
      <c r="Q343" s="4"/>
    </row>
    <row r="344" spans="2:17" x14ac:dyDescent="0.2">
      <c r="B344" s="4"/>
      <c r="C344" s="4"/>
      <c r="D344" s="4"/>
      <c r="E344" s="4"/>
      <c r="F344" s="4"/>
      <c r="G344" s="4"/>
      <c r="H344" s="4"/>
      <c r="I344" s="4"/>
      <c r="J344" s="4"/>
      <c r="K344" s="4"/>
      <c r="L344" s="4"/>
      <c r="M344" s="4"/>
      <c r="N344" s="4"/>
      <c r="O344" s="4"/>
      <c r="P344" s="4"/>
      <c r="Q344" s="4"/>
    </row>
    <row r="345" spans="2:17" x14ac:dyDescent="0.2">
      <c r="B345" s="4"/>
      <c r="C345" s="4"/>
      <c r="D345" s="4"/>
      <c r="E345" s="4"/>
      <c r="F345" s="4"/>
      <c r="G345" s="4"/>
      <c r="H345" s="4"/>
      <c r="I345" s="4"/>
      <c r="J345" s="4"/>
      <c r="K345" s="4"/>
      <c r="L345" s="4"/>
      <c r="M345" s="4"/>
      <c r="N345" s="4"/>
      <c r="O345" s="4"/>
      <c r="P345" s="4"/>
      <c r="Q345" s="4"/>
    </row>
    <row r="346" spans="2:17" x14ac:dyDescent="0.2">
      <c r="B346" s="4"/>
      <c r="C346" s="4"/>
      <c r="D346" s="4"/>
      <c r="E346" s="4"/>
      <c r="F346" s="4"/>
      <c r="G346" s="4"/>
      <c r="H346" s="4"/>
      <c r="I346" s="4"/>
      <c r="J346" s="4"/>
      <c r="K346" s="4"/>
      <c r="L346" s="4"/>
      <c r="M346" s="4"/>
      <c r="N346" s="4"/>
      <c r="O346" s="4"/>
      <c r="P346" s="4"/>
      <c r="Q346" s="4"/>
    </row>
    <row r="347" spans="2:17" x14ac:dyDescent="0.2">
      <c r="B347" s="4"/>
      <c r="C347" s="4"/>
      <c r="D347" s="4"/>
      <c r="E347" s="4"/>
      <c r="F347" s="4"/>
      <c r="G347" s="4"/>
      <c r="H347" s="4"/>
      <c r="I347" s="4"/>
      <c r="J347" s="4"/>
      <c r="K347" s="4"/>
      <c r="L347" s="4"/>
      <c r="M347" s="4"/>
      <c r="N347" s="4"/>
      <c r="O347" s="4"/>
      <c r="P347" s="4"/>
      <c r="Q347" s="4"/>
    </row>
    <row r="348" spans="2:17" x14ac:dyDescent="0.2">
      <c r="B348" s="4"/>
      <c r="C348" s="4"/>
      <c r="D348" s="4"/>
      <c r="E348" s="4"/>
      <c r="F348" s="4"/>
      <c r="G348" s="4"/>
      <c r="H348" s="4"/>
      <c r="I348" s="4"/>
      <c r="J348" s="4"/>
      <c r="K348" s="4"/>
      <c r="L348" s="4"/>
      <c r="M348" s="4"/>
      <c r="N348" s="4"/>
      <c r="O348" s="4"/>
      <c r="P348" s="4"/>
      <c r="Q348" s="4"/>
    </row>
    <row r="349" spans="2:17" x14ac:dyDescent="0.2">
      <c r="B349" s="4"/>
      <c r="C349" s="4"/>
      <c r="D349" s="4"/>
      <c r="E349" s="4"/>
      <c r="F349" s="4"/>
      <c r="G349" s="4"/>
      <c r="H349" s="4"/>
      <c r="I349" s="4"/>
      <c r="J349" s="4"/>
      <c r="K349" s="4"/>
      <c r="L349" s="4"/>
      <c r="M349" s="4"/>
      <c r="N349" s="4"/>
      <c r="O349" s="4"/>
      <c r="P349" s="4"/>
      <c r="Q349" s="4"/>
    </row>
    <row r="350" spans="2:17" x14ac:dyDescent="0.2">
      <c r="B350" s="4"/>
      <c r="C350" s="4"/>
      <c r="D350" s="4"/>
      <c r="E350" s="4"/>
      <c r="F350" s="4"/>
      <c r="G350" s="4"/>
      <c r="H350" s="4"/>
      <c r="I350" s="4"/>
      <c r="J350" s="4"/>
      <c r="K350" s="4"/>
      <c r="L350" s="4"/>
      <c r="M350" s="4"/>
      <c r="N350" s="4"/>
      <c r="O350" s="4"/>
      <c r="P350" s="4"/>
      <c r="Q350" s="4"/>
    </row>
    <row r="351" spans="2:17" x14ac:dyDescent="0.2">
      <c r="B351" s="4"/>
      <c r="C351" s="4"/>
      <c r="D351" s="4"/>
      <c r="E351" s="4"/>
      <c r="F351" s="4"/>
      <c r="G351" s="4"/>
      <c r="H351" s="4"/>
      <c r="I351" s="4"/>
      <c r="J351" s="4"/>
      <c r="K351" s="4"/>
      <c r="L351" s="4"/>
      <c r="M351" s="4"/>
      <c r="N351" s="4"/>
      <c r="O351" s="4"/>
      <c r="P351" s="4"/>
      <c r="Q351" s="4"/>
    </row>
    <row r="352" spans="2:17" x14ac:dyDescent="0.2">
      <c r="B352" s="4"/>
      <c r="C352" s="4"/>
      <c r="D352" s="4"/>
      <c r="E352" s="4"/>
      <c r="F352" s="4"/>
      <c r="G352" s="4"/>
      <c r="H352" s="4"/>
      <c r="I352" s="4"/>
      <c r="J352" s="4"/>
      <c r="K352" s="4"/>
      <c r="L352" s="4"/>
      <c r="M352" s="4"/>
      <c r="N352" s="4"/>
      <c r="O352" s="4"/>
      <c r="P352" s="4"/>
      <c r="Q352" s="4"/>
    </row>
    <row r="353" spans="2:17" x14ac:dyDescent="0.2">
      <c r="B353" s="4"/>
      <c r="C353" s="4"/>
      <c r="D353" s="4"/>
      <c r="E353" s="4"/>
      <c r="F353" s="4"/>
      <c r="G353" s="4"/>
      <c r="H353" s="4"/>
      <c r="I353" s="4"/>
      <c r="J353" s="4"/>
      <c r="K353" s="4"/>
      <c r="L353" s="4"/>
      <c r="M353" s="4"/>
      <c r="N353" s="4"/>
      <c r="O353" s="4"/>
      <c r="P353" s="4"/>
      <c r="Q353" s="4"/>
    </row>
    <row r="354" spans="2:17" x14ac:dyDescent="0.2">
      <c r="B354" s="4"/>
      <c r="C354" s="4"/>
      <c r="D354" s="4"/>
      <c r="E354" s="4"/>
      <c r="F354" s="4"/>
      <c r="G354" s="4"/>
      <c r="H354" s="4"/>
      <c r="I354" s="4"/>
      <c r="J354" s="4"/>
      <c r="K354" s="4"/>
      <c r="L354" s="4"/>
      <c r="M354" s="4"/>
      <c r="N354" s="4"/>
      <c r="O354" s="4"/>
      <c r="P354" s="4"/>
      <c r="Q354" s="4"/>
    </row>
    <row r="355" spans="2:17" x14ac:dyDescent="0.2">
      <c r="B355" s="4"/>
      <c r="C355" s="4"/>
      <c r="D355" s="4"/>
      <c r="E355" s="4"/>
      <c r="F355" s="4"/>
      <c r="G355" s="4"/>
      <c r="H355" s="4"/>
      <c r="I355" s="4"/>
      <c r="J355" s="4"/>
      <c r="K355" s="4"/>
      <c r="L355" s="4"/>
      <c r="M355" s="4"/>
      <c r="N355" s="4"/>
      <c r="O355" s="4"/>
      <c r="P355" s="4"/>
      <c r="Q355" s="4"/>
    </row>
    <row r="356" spans="2:17" x14ac:dyDescent="0.2">
      <c r="B356" s="4"/>
      <c r="C356" s="4"/>
      <c r="D356" s="4"/>
      <c r="E356" s="4"/>
      <c r="F356" s="4"/>
      <c r="G356" s="4"/>
      <c r="H356" s="4"/>
      <c r="I356" s="4"/>
      <c r="J356" s="4"/>
      <c r="K356" s="4"/>
      <c r="L356" s="4"/>
      <c r="M356" s="4"/>
      <c r="N356" s="4"/>
      <c r="O356" s="4"/>
      <c r="P356" s="4"/>
      <c r="Q356" s="4"/>
    </row>
    <row r="357" spans="2:17" x14ac:dyDescent="0.2">
      <c r="B357" s="4"/>
      <c r="C357" s="4"/>
      <c r="D357" s="4"/>
      <c r="E357" s="4"/>
      <c r="F357" s="4"/>
      <c r="G357" s="4"/>
      <c r="H357" s="4"/>
      <c r="I357" s="4"/>
      <c r="J357" s="4"/>
      <c r="K357" s="4"/>
      <c r="L357" s="4"/>
      <c r="M357" s="4"/>
      <c r="N357" s="4"/>
      <c r="O357" s="4"/>
      <c r="P357" s="4"/>
      <c r="Q357" s="4"/>
    </row>
    <row r="358" spans="2:17" x14ac:dyDescent="0.2">
      <c r="B358" s="4"/>
      <c r="C358" s="4"/>
      <c r="D358" s="4"/>
      <c r="E358" s="4"/>
      <c r="F358" s="4"/>
      <c r="G358" s="4"/>
      <c r="H358" s="4"/>
      <c r="I358" s="4"/>
      <c r="J358" s="4"/>
      <c r="K358" s="4"/>
      <c r="L358" s="4"/>
      <c r="M358" s="4"/>
      <c r="N358" s="4"/>
      <c r="O358" s="4"/>
      <c r="P358" s="4"/>
      <c r="Q358" s="4"/>
    </row>
    <row r="359" spans="2:17" x14ac:dyDescent="0.2">
      <c r="B359" s="4"/>
      <c r="C359" s="4"/>
      <c r="D359" s="4"/>
      <c r="E359" s="4"/>
      <c r="F359" s="4"/>
      <c r="G359" s="4"/>
      <c r="H359" s="4"/>
      <c r="I359" s="4"/>
      <c r="J359" s="4"/>
      <c r="K359" s="4"/>
      <c r="L359" s="4"/>
      <c r="M359" s="4"/>
      <c r="N359" s="4"/>
      <c r="O359" s="4"/>
      <c r="P359" s="4"/>
      <c r="Q359" s="4"/>
    </row>
    <row r="360" spans="2:17" x14ac:dyDescent="0.2">
      <c r="B360" s="4"/>
      <c r="C360" s="4"/>
      <c r="D360" s="4"/>
      <c r="E360" s="4"/>
      <c r="F360" s="4"/>
      <c r="G360" s="4"/>
      <c r="H360" s="4"/>
      <c r="I360" s="4"/>
      <c r="J360" s="4"/>
      <c r="K360" s="4"/>
      <c r="L360" s="4"/>
      <c r="M360" s="4"/>
      <c r="N360" s="4"/>
      <c r="O360" s="4"/>
      <c r="P360" s="4"/>
      <c r="Q360" s="4"/>
    </row>
    <row r="361" spans="2:17" x14ac:dyDescent="0.2">
      <c r="B361" s="4"/>
      <c r="C361" s="4"/>
      <c r="D361" s="4"/>
      <c r="E361" s="4"/>
      <c r="F361" s="4"/>
      <c r="G361" s="4"/>
      <c r="H361" s="4"/>
      <c r="I361" s="4"/>
      <c r="J361" s="4"/>
      <c r="K361" s="4"/>
      <c r="L361" s="4"/>
      <c r="M361" s="4"/>
      <c r="N361" s="4"/>
      <c r="O361" s="4"/>
      <c r="P361" s="4"/>
      <c r="Q361" s="4"/>
    </row>
    <row r="362" spans="2:17" x14ac:dyDescent="0.2">
      <c r="B362" s="4"/>
      <c r="C362" s="4"/>
      <c r="D362" s="4"/>
      <c r="E362" s="4"/>
      <c r="F362" s="4"/>
      <c r="G362" s="4"/>
      <c r="H362" s="4"/>
      <c r="I362" s="4"/>
      <c r="J362" s="4"/>
      <c r="K362" s="4"/>
      <c r="L362" s="4"/>
      <c r="M362" s="4"/>
      <c r="N362" s="4"/>
      <c r="O362" s="4"/>
      <c r="P362" s="4"/>
      <c r="Q362" s="4"/>
    </row>
    <row r="363" spans="2:17" x14ac:dyDescent="0.2">
      <c r="B363" s="4"/>
      <c r="C363" s="4"/>
      <c r="D363" s="4"/>
      <c r="E363" s="4"/>
      <c r="F363" s="4"/>
      <c r="G363" s="4"/>
      <c r="H363" s="4"/>
      <c r="I363" s="4"/>
      <c r="J363" s="4"/>
      <c r="K363" s="4"/>
      <c r="L363" s="4"/>
      <c r="M363" s="4"/>
      <c r="N363" s="4"/>
      <c r="O363" s="4"/>
      <c r="P363" s="4"/>
      <c r="Q363" s="4"/>
    </row>
    <row r="364" spans="2:17" x14ac:dyDescent="0.2">
      <c r="B364" s="4"/>
      <c r="C364" s="4"/>
      <c r="D364" s="4"/>
      <c r="E364" s="4"/>
      <c r="F364" s="4"/>
      <c r="G364" s="4"/>
      <c r="H364" s="4"/>
      <c r="I364" s="4"/>
      <c r="J364" s="4"/>
      <c r="K364" s="4"/>
      <c r="L364" s="4"/>
      <c r="M364" s="4"/>
      <c r="N364" s="4"/>
      <c r="O364" s="4"/>
      <c r="P364" s="4"/>
      <c r="Q364" s="4"/>
    </row>
    <row r="365" spans="2:17" x14ac:dyDescent="0.2">
      <c r="B365" s="4"/>
      <c r="C365" s="4"/>
      <c r="D365" s="4"/>
      <c r="E365" s="4"/>
      <c r="F365" s="4"/>
      <c r="G365" s="4"/>
      <c r="H365" s="4"/>
      <c r="I365" s="4"/>
      <c r="J365" s="4"/>
      <c r="K365" s="4"/>
      <c r="L365" s="4"/>
      <c r="M365" s="4"/>
      <c r="N365" s="4"/>
      <c r="O365" s="4"/>
      <c r="P365" s="4"/>
      <c r="Q365" s="4"/>
    </row>
    <row r="366" spans="2:17" x14ac:dyDescent="0.2">
      <c r="B366" s="4"/>
      <c r="C366" s="4"/>
      <c r="D366" s="4"/>
      <c r="E366" s="4"/>
      <c r="F366" s="4"/>
      <c r="G366" s="4"/>
      <c r="H366" s="4"/>
      <c r="I366" s="4"/>
      <c r="J366" s="4"/>
      <c r="K366" s="4"/>
      <c r="L366" s="4"/>
      <c r="M366" s="4"/>
      <c r="N366" s="4"/>
      <c r="O366" s="4"/>
      <c r="P366" s="4"/>
      <c r="Q366" s="4"/>
    </row>
    <row r="367" spans="2:17" x14ac:dyDescent="0.2">
      <c r="B367" s="4"/>
      <c r="C367" s="4"/>
      <c r="D367" s="4"/>
      <c r="E367" s="4"/>
      <c r="F367" s="4"/>
      <c r="G367" s="4"/>
      <c r="H367" s="4"/>
      <c r="I367" s="4"/>
      <c r="J367" s="4"/>
      <c r="K367" s="4"/>
      <c r="L367" s="4"/>
      <c r="M367" s="4"/>
      <c r="N367" s="4"/>
      <c r="O367" s="4"/>
      <c r="P367" s="4"/>
      <c r="Q367" s="4"/>
    </row>
    <row r="368" spans="2:17" x14ac:dyDescent="0.2">
      <c r="B368" s="4"/>
      <c r="C368" s="4"/>
      <c r="D368" s="4"/>
      <c r="E368" s="4"/>
      <c r="F368" s="4"/>
      <c r="G368" s="4"/>
      <c r="H368" s="4"/>
      <c r="I368" s="4"/>
      <c r="J368" s="4"/>
      <c r="K368" s="4"/>
      <c r="L368" s="4"/>
      <c r="M368" s="4"/>
      <c r="N368" s="4"/>
      <c r="O368" s="4"/>
      <c r="P368" s="4"/>
      <c r="Q368" s="4"/>
    </row>
    <row r="369" spans="2:17" x14ac:dyDescent="0.2">
      <c r="B369" s="4"/>
      <c r="C369" s="4"/>
      <c r="D369" s="4"/>
      <c r="E369" s="4"/>
      <c r="F369" s="4"/>
      <c r="G369" s="4"/>
      <c r="H369" s="4"/>
      <c r="I369" s="4"/>
      <c r="J369" s="4"/>
      <c r="K369" s="4"/>
      <c r="L369" s="4"/>
      <c r="M369" s="4"/>
      <c r="N369" s="4"/>
      <c r="O369" s="4"/>
      <c r="P369" s="4"/>
      <c r="Q369" s="4"/>
    </row>
    <row r="370" spans="2:17" x14ac:dyDescent="0.2">
      <c r="B370" s="4"/>
      <c r="C370" s="4"/>
      <c r="D370" s="4"/>
      <c r="E370" s="4"/>
      <c r="F370" s="4"/>
      <c r="G370" s="4"/>
      <c r="H370" s="4"/>
      <c r="I370" s="4"/>
      <c r="J370" s="4"/>
      <c r="K370" s="4"/>
      <c r="L370" s="4"/>
      <c r="M370" s="4"/>
      <c r="N370" s="4"/>
      <c r="O370" s="4"/>
      <c r="P370" s="4"/>
      <c r="Q370" s="4"/>
    </row>
    <row r="371" spans="2:17" x14ac:dyDescent="0.2">
      <c r="B371" s="4"/>
      <c r="C371" s="4"/>
      <c r="D371" s="4"/>
      <c r="E371" s="4"/>
      <c r="F371" s="4"/>
      <c r="G371" s="4"/>
      <c r="H371" s="4"/>
      <c r="I371" s="4"/>
      <c r="J371" s="4"/>
      <c r="K371" s="4"/>
      <c r="L371" s="4"/>
      <c r="M371" s="4"/>
      <c r="N371" s="4"/>
      <c r="O371" s="4"/>
      <c r="P371" s="4"/>
      <c r="Q371" s="4"/>
    </row>
    <row r="372" spans="2:17" x14ac:dyDescent="0.2">
      <c r="B372" s="4"/>
      <c r="C372" s="4"/>
      <c r="D372" s="4"/>
      <c r="E372" s="4"/>
      <c r="F372" s="4"/>
      <c r="G372" s="4"/>
      <c r="H372" s="4"/>
      <c r="I372" s="4"/>
      <c r="J372" s="4"/>
      <c r="K372" s="4"/>
      <c r="L372" s="4"/>
      <c r="M372" s="4"/>
      <c r="N372" s="4"/>
      <c r="O372" s="4"/>
      <c r="P372" s="4"/>
      <c r="Q372" s="4"/>
    </row>
    <row r="373" spans="2:17" x14ac:dyDescent="0.2">
      <c r="B373" s="4"/>
      <c r="C373" s="4"/>
      <c r="D373" s="4"/>
      <c r="E373" s="4"/>
      <c r="F373" s="4"/>
      <c r="G373" s="4"/>
      <c r="H373" s="4"/>
      <c r="I373" s="4"/>
      <c r="J373" s="4"/>
      <c r="K373" s="4"/>
      <c r="L373" s="4"/>
      <c r="M373" s="4"/>
      <c r="N373" s="4"/>
      <c r="O373" s="4"/>
      <c r="P373" s="4"/>
      <c r="Q373" s="4"/>
    </row>
    <row r="374" spans="2:17" x14ac:dyDescent="0.2">
      <c r="B374" s="4"/>
      <c r="C374" s="4"/>
      <c r="D374" s="4"/>
      <c r="E374" s="4"/>
      <c r="F374" s="4"/>
      <c r="G374" s="4"/>
      <c r="H374" s="4"/>
      <c r="I374" s="4"/>
      <c r="J374" s="4"/>
      <c r="K374" s="4"/>
      <c r="L374" s="4"/>
      <c r="M374" s="4"/>
      <c r="N374" s="4"/>
      <c r="O374" s="4"/>
      <c r="P374" s="4"/>
      <c r="Q374" s="4"/>
    </row>
    <row r="375" spans="2:17" x14ac:dyDescent="0.2">
      <c r="B375" s="4"/>
      <c r="C375" s="4"/>
      <c r="D375" s="4"/>
      <c r="E375" s="4"/>
      <c r="F375" s="4"/>
      <c r="G375" s="4"/>
      <c r="H375" s="4"/>
      <c r="I375" s="4"/>
      <c r="J375" s="4"/>
      <c r="K375" s="4"/>
      <c r="L375" s="4"/>
      <c r="M375" s="4"/>
      <c r="N375" s="4"/>
      <c r="O375" s="4"/>
      <c r="P375" s="4"/>
      <c r="Q375" s="4"/>
    </row>
    <row r="376" spans="2:17" x14ac:dyDescent="0.2">
      <c r="B376" s="4"/>
      <c r="C376" s="4"/>
      <c r="D376" s="4"/>
      <c r="E376" s="4"/>
      <c r="F376" s="4"/>
      <c r="G376" s="4"/>
      <c r="H376" s="4"/>
      <c r="I376" s="4"/>
      <c r="J376" s="4"/>
      <c r="K376" s="4"/>
      <c r="L376" s="4"/>
      <c r="M376" s="4"/>
      <c r="N376" s="4"/>
      <c r="O376" s="4"/>
      <c r="P376" s="4"/>
      <c r="Q376" s="4"/>
    </row>
    <row r="377" spans="2:17" x14ac:dyDescent="0.2">
      <c r="B377" s="4"/>
      <c r="C377" s="4"/>
      <c r="D377" s="4"/>
      <c r="E377" s="4"/>
      <c r="F377" s="4"/>
      <c r="G377" s="4"/>
      <c r="H377" s="4"/>
      <c r="I377" s="4"/>
      <c r="J377" s="4"/>
      <c r="K377" s="4"/>
      <c r="L377" s="4"/>
      <c r="M377" s="4"/>
      <c r="N377" s="4"/>
      <c r="O377" s="4"/>
      <c r="P377" s="4"/>
      <c r="Q377" s="4"/>
    </row>
    <row r="378" spans="2:17" x14ac:dyDescent="0.2">
      <c r="B378" s="4"/>
      <c r="C378" s="4"/>
      <c r="D378" s="4"/>
      <c r="E378" s="4"/>
      <c r="F378" s="4"/>
      <c r="G378" s="4"/>
      <c r="H378" s="4"/>
      <c r="I378" s="4"/>
      <c r="J378" s="4"/>
      <c r="K378" s="4"/>
      <c r="L378" s="4"/>
      <c r="M378" s="4"/>
      <c r="N378" s="4"/>
      <c r="O378" s="4"/>
      <c r="P378" s="4"/>
      <c r="Q378" s="4"/>
    </row>
    <row r="379" spans="2:17" x14ac:dyDescent="0.2">
      <c r="B379" s="4"/>
      <c r="C379" s="4"/>
      <c r="D379" s="4"/>
      <c r="E379" s="4"/>
      <c r="F379" s="4"/>
      <c r="G379" s="4"/>
      <c r="H379" s="4"/>
      <c r="I379" s="4"/>
      <c r="J379" s="4"/>
      <c r="K379" s="4"/>
      <c r="L379" s="4"/>
      <c r="M379" s="4"/>
      <c r="N379" s="4"/>
      <c r="O379" s="4"/>
      <c r="P379" s="4"/>
      <c r="Q379" s="4"/>
    </row>
    <row r="380" spans="2:17" x14ac:dyDescent="0.2">
      <c r="B380" s="4"/>
      <c r="C380" s="4"/>
      <c r="D380" s="4"/>
      <c r="E380" s="4"/>
      <c r="F380" s="4"/>
      <c r="G380" s="4"/>
      <c r="H380" s="4"/>
      <c r="I380" s="4"/>
      <c r="J380" s="4"/>
      <c r="K380" s="4"/>
      <c r="L380" s="4"/>
      <c r="M380" s="4"/>
      <c r="N380" s="4"/>
      <c r="O380" s="4"/>
      <c r="P380" s="4"/>
      <c r="Q380" s="4"/>
    </row>
    <row r="381" spans="2:17" x14ac:dyDescent="0.2">
      <c r="B381" s="4"/>
      <c r="C381" s="4"/>
      <c r="D381" s="4"/>
      <c r="E381" s="4"/>
      <c r="F381" s="4"/>
      <c r="G381" s="4"/>
      <c r="H381" s="4"/>
      <c r="I381" s="4"/>
      <c r="J381" s="4"/>
      <c r="K381" s="4"/>
      <c r="L381" s="4"/>
      <c r="M381" s="4"/>
      <c r="N381" s="4"/>
      <c r="O381" s="4"/>
      <c r="P381" s="4"/>
      <c r="Q381" s="4"/>
    </row>
    <row r="382" spans="2:17" x14ac:dyDescent="0.2">
      <c r="B382" s="4"/>
      <c r="C382" s="4"/>
      <c r="D382" s="4"/>
      <c r="E382" s="4"/>
      <c r="F382" s="4"/>
      <c r="G382" s="4"/>
      <c r="H382" s="4"/>
      <c r="I382" s="4"/>
      <c r="J382" s="4"/>
      <c r="K382" s="4"/>
      <c r="L382" s="4"/>
      <c r="M382" s="4"/>
      <c r="N382" s="4"/>
      <c r="O382" s="4"/>
      <c r="P382" s="4"/>
      <c r="Q382" s="4"/>
    </row>
    <row r="383" spans="2:17" x14ac:dyDescent="0.2">
      <c r="B383" s="4"/>
      <c r="C383" s="4"/>
      <c r="D383" s="4"/>
      <c r="E383" s="4"/>
      <c r="F383" s="4"/>
      <c r="G383" s="4"/>
      <c r="H383" s="4"/>
      <c r="I383" s="4"/>
      <c r="J383" s="4"/>
      <c r="K383" s="4"/>
      <c r="L383" s="4"/>
      <c r="M383" s="4"/>
      <c r="N383" s="4"/>
      <c r="O383" s="4"/>
      <c r="P383" s="4"/>
      <c r="Q383" s="4"/>
    </row>
    <row r="384" spans="2:17" x14ac:dyDescent="0.2">
      <c r="B384" s="4"/>
      <c r="C384" s="4"/>
      <c r="D384" s="4"/>
      <c r="E384" s="4"/>
      <c r="F384" s="4"/>
      <c r="G384" s="4"/>
      <c r="H384" s="4"/>
      <c r="I384" s="4"/>
      <c r="J384" s="4"/>
      <c r="K384" s="4"/>
      <c r="L384" s="4"/>
      <c r="M384" s="4"/>
      <c r="N384" s="4"/>
      <c r="O384" s="4"/>
      <c r="P384" s="4"/>
      <c r="Q384" s="4"/>
    </row>
    <row r="385" spans="2:17" x14ac:dyDescent="0.2">
      <c r="B385" s="4"/>
      <c r="C385" s="4"/>
      <c r="D385" s="4"/>
      <c r="E385" s="4"/>
      <c r="F385" s="4"/>
      <c r="G385" s="4"/>
      <c r="H385" s="4"/>
      <c r="I385" s="4"/>
      <c r="J385" s="4"/>
      <c r="K385" s="4"/>
      <c r="L385" s="4"/>
      <c r="M385" s="4"/>
      <c r="N385" s="4"/>
      <c r="O385" s="4"/>
      <c r="P385" s="4"/>
      <c r="Q385" s="4"/>
    </row>
    <row r="386" spans="2:17" x14ac:dyDescent="0.2">
      <c r="B386" s="4"/>
      <c r="C386" s="4"/>
      <c r="D386" s="4"/>
      <c r="E386" s="4"/>
      <c r="F386" s="4"/>
      <c r="G386" s="4"/>
      <c r="H386" s="4"/>
      <c r="I386" s="4"/>
      <c r="J386" s="4"/>
      <c r="K386" s="4"/>
      <c r="L386" s="4"/>
      <c r="M386" s="4"/>
      <c r="N386" s="4"/>
      <c r="O386" s="4"/>
      <c r="P386" s="4"/>
      <c r="Q386" s="4"/>
    </row>
    <row r="387" spans="2:17" x14ac:dyDescent="0.2">
      <c r="B387" s="4"/>
      <c r="C387" s="4"/>
      <c r="D387" s="4"/>
      <c r="E387" s="4"/>
      <c r="F387" s="4"/>
      <c r="G387" s="4"/>
      <c r="H387" s="4"/>
      <c r="I387" s="4"/>
      <c r="J387" s="4"/>
      <c r="K387" s="4"/>
      <c r="L387" s="4"/>
      <c r="M387" s="4"/>
      <c r="N387" s="4"/>
      <c r="O387" s="4"/>
      <c r="P387" s="4"/>
      <c r="Q387" s="4"/>
    </row>
    <row r="388" spans="2:17" x14ac:dyDescent="0.2">
      <c r="B388" s="4"/>
      <c r="C388" s="4"/>
      <c r="D388" s="4"/>
      <c r="E388" s="4"/>
      <c r="F388" s="4"/>
      <c r="G388" s="4"/>
      <c r="H388" s="4"/>
      <c r="I388" s="4"/>
      <c r="J388" s="4"/>
      <c r="K388" s="4"/>
      <c r="L388" s="4"/>
      <c r="M388" s="4"/>
      <c r="N388" s="4"/>
      <c r="O388" s="4"/>
      <c r="P388" s="4"/>
      <c r="Q388" s="4"/>
    </row>
    <row r="389" spans="2:17" x14ac:dyDescent="0.2">
      <c r="B389" s="4"/>
      <c r="C389" s="4"/>
      <c r="D389" s="4"/>
      <c r="E389" s="4"/>
      <c r="F389" s="4"/>
      <c r="G389" s="4"/>
      <c r="H389" s="4"/>
      <c r="I389" s="4"/>
      <c r="J389" s="4"/>
      <c r="K389" s="4"/>
      <c r="L389" s="4"/>
      <c r="M389" s="4"/>
      <c r="N389" s="4"/>
      <c r="O389" s="4"/>
      <c r="P389" s="4"/>
      <c r="Q389" s="4"/>
    </row>
    <row r="390" spans="2:17" x14ac:dyDescent="0.2">
      <c r="B390" s="4"/>
      <c r="C390" s="4"/>
      <c r="D390" s="4"/>
      <c r="E390" s="4"/>
      <c r="F390" s="4"/>
      <c r="G390" s="4"/>
      <c r="H390" s="4"/>
      <c r="I390" s="4"/>
      <c r="J390" s="4"/>
      <c r="K390" s="4"/>
      <c r="L390" s="4"/>
      <c r="M390" s="4"/>
      <c r="N390" s="4"/>
      <c r="O390" s="4"/>
      <c r="P390" s="4"/>
      <c r="Q390" s="4"/>
    </row>
    <row r="391" spans="2:17" x14ac:dyDescent="0.2">
      <c r="B391" s="4"/>
      <c r="C391" s="4"/>
      <c r="D391" s="4"/>
      <c r="E391" s="4"/>
      <c r="F391" s="4"/>
      <c r="G391" s="4"/>
      <c r="H391" s="4"/>
      <c r="I391" s="4"/>
      <c r="J391" s="4"/>
      <c r="K391" s="4"/>
      <c r="L391" s="4"/>
      <c r="M391" s="4"/>
      <c r="N391" s="4"/>
      <c r="O391" s="4"/>
      <c r="P391" s="4"/>
      <c r="Q391" s="4"/>
    </row>
    <row r="392" spans="2:17" x14ac:dyDescent="0.2">
      <c r="B392" s="4"/>
      <c r="C392" s="4"/>
      <c r="D392" s="4"/>
      <c r="E392" s="4"/>
      <c r="F392" s="4"/>
      <c r="G392" s="4"/>
      <c r="H392" s="4"/>
      <c r="I392" s="4"/>
      <c r="J392" s="4"/>
      <c r="K392" s="4"/>
      <c r="L392" s="4"/>
      <c r="M392" s="4"/>
      <c r="N392" s="4"/>
      <c r="O392" s="4"/>
      <c r="P392" s="4"/>
      <c r="Q392" s="4"/>
    </row>
    <row r="393" spans="2:17" x14ac:dyDescent="0.2">
      <c r="B393" s="4"/>
      <c r="C393" s="4"/>
      <c r="D393" s="4"/>
      <c r="E393" s="4"/>
      <c r="F393" s="4"/>
      <c r="G393" s="4"/>
      <c r="H393" s="4"/>
      <c r="I393" s="4"/>
      <c r="J393" s="4"/>
      <c r="K393" s="4"/>
      <c r="L393" s="4"/>
      <c r="M393" s="4"/>
      <c r="N393" s="4"/>
      <c r="O393" s="4"/>
      <c r="P393" s="4"/>
      <c r="Q393" s="4"/>
    </row>
    <row r="394" spans="2:17" x14ac:dyDescent="0.2">
      <c r="B394" s="4"/>
      <c r="C394" s="4"/>
      <c r="D394" s="4"/>
      <c r="E394" s="4"/>
      <c r="F394" s="4"/>
      <c r="G394" s="4"/>
      <c r="H394" s="4"/>
      <c r="I394" s="4"/>
      <c r="J394" s="4"/>
      <c r="K394" s="4"/>
      <c r="L394" s="4"/>
      <c r="M394" s="4"/>
      <c r="N394" s="4"/>
      <c r="O394" s="4"/>
      <c r="P394" s="4"/>
      <c r="Q394" s="4"/>
    </row>
    <row r="395" spans="2:17" x14ac:dyDescent="0.2">
      <c r="B395" s="4"/>
      <c r="C395" s="4"/>
      <c r="D395" s="4"/>
      <c r="E395" s="4"/>
      <c r="F395" s="4"/>
      <c r="G395" s="4"/>
      <c r="H395" s="4"/>
      <c r="I395" s="4"/>
      <c r="J395" s="4"/>
      <c r="K395" s="4"/>
      <c r="L395" s="4"/>
      <c r="M395" s="4"/>
      <c r="N395" s="4"/>
      <c r="O395" s="4"/>
      <c r="P395" s="4"/>
      <c r="Q395" s="4"/>
    </row>
    <row r="396" spans="2:17" x14ac:dyDescent="0.2">
      <c r="B396" s="4"/>
      <c r="C396" s="4"/>
      <c r="D396" s="4"/>
      <c r="E396" s="4"/>
      <c r="F396" s="4"/>
      <c r="G396" s="4"/>
      <c r="H396" s="4"/>
      <c r="I396" s="4"/>
      <c r="J396" s="4"/>
      <c r="K396" s="4"/>
      <c r="L396" s="4"/>
      <c r="M396" s="4"/>
      <c r="N396" s="4"/>
      <c r="O396" s="4"/>
      <c r="P396" s="4"/>
      <c r="Q396" s="4"/>
    </row>
    <row r="397" spans="2:17" x14ac:dyDescent="0.2">
      <c r="B397" s="4"/>
      <c r="C397" s="4"/>
      <c r="D397" s="4"/>
      <c r="E397" s="4"/>
      <c r="F397" s="4"/>
      <c r="G397" s="4"/>
      <c r="H397" s="4"/>
      <c r="I397" s="4"/>
      <c r="J397" s="4"/>
      <c r="K397" s="4"/>
      <c r="L397" s="4"/>
      <c r="M397" s="4"/>
      <c r="N397" s="4"/>
      <c r="O397" s="4"/>
      <c r="P397" s="4"/>
      <c r="Q397" s="4"/>
    </row>
    <row r="398" spans="2:17" x14ac:dyDescent="0.2">
      <c r="B398" s="4"/>
      <c r="C398" s="4"/>
      <c r="D398" s="4"/>
      <c r="E398" s="4"/>
      <c r="F398" s="4"/>
      <c r="G398" s="4"/>
      <c r="H398" s="4"/>
      <c r="I398" s="4"/>
      <c r="J398" s="4"/>
      <c r="K398" s="4"/>
      <c r="L398" s="4"/>
      <c r="M398" s="4"/>
      <c r="N398" s="4"/>
      <c r="O398" s="4"/>
      <c r="P398" s="4"/>
      <c r="Q398" s="4"/>
    </row>
    <row r="399" spans="2:17" x14ac:dyDescent="0.2">
      <c r="B399" s="4"/>
      <c r="C399" s="4"/>
      <c r="D399" s="4"/>
      <c r="E399" s="4"/>
      <c r="F399" s="4"/>
      <c r="G399" s="4"/>
      <c r="H399" s="4"/>
      <c r="I399" s="4"/>
      <c r="J399" s="4"/>
      <c r="K399" s="4"/>
      <c r="L399" s="4"/>
      <c r="M399" s="4"/>
      <c r="N399" s="4"/>
      <c r="O399" s="4"/>
      <c r="P399" s="4"/>
      <c r="Q399" s="4"/>
    </row>
    <row r="400" spans="2:17" x14ac:dyDescent="0.2">
      <c r="B400" s="4"/>
      <c r="C400" s="4"/>
      <c r="D400" s="4"/>
      <c r="E400" s="4"/>
      <c r="F400" s="4"/>
      <c r="G400" s="4"/>
      <c r="H400" s="4"/>
      <c r="I400" s="4"/>
      <c r="J400" s="4"/>
      <c r="K400" s="4"/>
      <c r="L400" s="4"/>
      <c r="M400" s="4"/>
      <c r="N400" s="4"/>
      <c r="O400" s="4"/>
      <c r="P400" s="4"/>
      <c r="Q400" s="4"/>
    </row>
    <row r="401" spans="2:17" x14ac:dyDescent="0.2">
      <c r="B401" s="4"/>
      <c r="C401" s="4"/>
      <c r="D401" s="4"/>
      <c r="E401" s="4"/>
      <c r="F401" s="4"/>
      <c r="G401" s="4"/>
      <c r="H401" s="4"/>
      <c r="I401" s="4"/>
      <c r="J401" s="4"/>
      <c r="K401" s="4"/>
      <c r="L401" s="4"/>
      <c r="M401" s="4"/>
      <c r="N401" s="4"/>
      <c r="O401" s="4"/>
      <c r="P401" s="4"/>
      <c r="Q401" s="4"/>
    </row>
    <row r="402" spans="2:17" x14ac:dyDescent="0.2">
      <c r="B402" s="4"/>
      <c r="C402" s="4"/>
      <c r="D402" s="4"/>
      <c r="E402" s="4"/>
      <c r="F402" s="4"/>
      <c r="G402" s="4"/>
      <c r="H402" s="4"/>
      <c r="I402" s="4"/>
      <c r="J402" s="4"/>
      <c r="K402" s="4"/>
      <c r="L402" s="4"/>
      <c r="M402" s="4"/>
      <c r="N402" s="4"/>
      <c r="O402" s="4"/>
      <c r="P402" s="4"/>
      <c r="Q402" s="4"/>
    </row>
    <row r="403" spans="2:17" x14ac:dyDescent="0.2">
      <c r="B403" s="4"/>
      <c r="C403" s="4"/>
      <c r="D403" s="4"/>
      <c r="E403" s="4"/>
      <c r="F403" s="4"/>
      <c r="G403" s="4"/>
      <c r="H403" s="4"/>
      <c r="I403" s="4"/>
      <c r="J403" s="4"/>
      <c r="K403" s="4"/>
      <c r="L403" s="4"/>
      <c r="M403" s="4"/>
      <c r="N403" s="4"/>
      <c r="O403" s="4"/>
      <c r="P403" s="4"/>
      <c r="Q403" s="4"/>
    </row>
    <row r="404" spans="2:17" x14ac:dyDescent="0.2">
      <c r="B404" s="4"/>
      <c r="C404" s="4"/>
      <c r="D404" s="4"/>
      <c r="E404" s="4"/>
      <c r="F404" s="4"/>
      <c r="G404" s="4"/>
      <c r="H404" s="4"/>
      <c r="I404" s="4"/>
      <c r="J404" s="4"/>
      <c r="K404" s="4"/>
      <c r="L404" s="4"/>
      <c r="M404" s="4"/>
      <c r="N404" s="4"/>
      <c r="O404" s="4"/>
      <c r="P404" s="4"/>
      <c r="Q404" s="4"/>
    </row>
    <row r="405" spans="2:17" x14ac:dyDescent="0.2">
      <c r="B405" s="4"/>
      <c r="C405" s="4"/>
      <c r="D405" s="4"/>
      <c r="E405" s="4"/>
      <c r="F405" s="4"/>
      <c r="G405" s="4"/>
      <c r="H405" s="4"/>
      <c r="I405" s="4"/>
      <c r="J405" s="4"/>
      <c r="K405" s="4"/>
      <c r="L405" s="4"/>
      <c r="M405" s="4"/>
      <c r="N405" s="4"/>
      <c r="O405" s="4"/>
      <c r="P405" s="4"/>
      <c r="Q405" s="4"/>
    </row>
    <row r="406" spans="2:17" x14ac:dyDescent="0.2">
      <c r="B406" s="4"/>
      <c r="C406" s="4"/>
      <c r="D406" s="4"/>
      <c r="E406" s="4"/>
      <c r="F406" s="4"/>
      <c r="G406" s="4"/>
      <c r="H406" s="4"/>
      <c r="I406" s="4"/>
      <c r="J406" s="4"/>
      <c r="K406" s="4"/>
      <c r="L406" s="4"/>
      <c r="M406" s="4"/>
      <c r="N406" s="4"/>
      <c r="O406" s="4"/>
      <c r="P406" s="4"/>
      <c r="Q406" s="4"/>
    </row>
    <row r="407" spans="2:17" x14ac:dyDescent="0.2">
      <c r="B407" s="4"/>
      <c r="C407" s="4"/>
      <c r="D407" s="4"/>
      <c r="E407" s="4"/>
      <c r="F407" s="4"/>
      <c r="G407" s="4"/>
      <c r="H407" s="4"/>
      <c r="I407" s="4"/>
      <c r="J407" s="4"/>
      <c r="K407" s="4"/>
      <c r="L407" s="4"/>
      <c r="M407" s="4"/>
      <c r="N407" s="4"/>
      <c r="O407" s="4"/>
      <c r="P407" s="4"/>
      <c r="Q407" s="4"/>
    </row>
    <row r="408" spans="2:17" x14ac:dyDescent="0.2">
      <c r="B408" s="4"/>
      <c r="C408" s="4"/>
      <c r="D408" s="4"/>
      <c r="E408" s="4"/>
      <c r="F408" s="4"/>
      <c r="G408" s="4"/>
      <c r="H408" s="4"/>
      <c r="I408" s="4"/>
      <c r="J408" s="4"/>
      <c r="K408" s="4"/>
      <c r="L408" s="4"/>
      <c r="M408" s="4"/>
      <c r="N408" s="4"/>
      <c r="O408" s="4"/>
      <c r="P408" s="4"/>
      <c r="Q408" s="4"/>
    </row>
    <row r="409" spans="2:17" x14ac:dyDescent="0.2">
      <c r="B409" s="4"/>
      <c r="C409" s="4"/>
      <c r="D409" s="4"/>
      <c r="E409" s="4"/>
      <c r="F409" s="4"/>
      <c r="G409" s="4"/>
      <c r="H409" s="4"/>
      <c r="I409" s="4"/>
      <c r="J409" s="4"/>
      <c r="K409" s="4"/>
      <c r="L409" s="4"/>
      <c r="M409" s="4"/>
      <c r="N409" s="4"/>
      <c r="O409" s="4"/>
      <c r="P409" s="4"/>
      <c r="Q409" s="4"/>
    </row>
    <row r="410" spans="2:17" x14ac:dyDescent="0.2">
      <c r="B410" s="4"/>
      <c r="C410" s="4"/>
      <c r="D410" s="4"/>
      <c r="E410" s="4"/>
      <c r="F410" s="4"/>
      <c r="G410" s="4"/>
      <c r="H410" s="4"/>
      <c r="I410" s="4"/>
      <c r="J410" s="4"/>
      <c r="K410" s="4"/>
      <c r="L410" s="4"/>
      <c r="M410" s="4"/>
      <c r="N410" s="4"/>
      <c r="O410" s="4"/>
      <c r="P410" s="4"/>
      <c r="Q410" s="4"/>
    </row>
    <row r="411" spans="2:17" x14ac:dyDescent="0.2">
      <c r="B411" s="4"/>
      <c r="C411" s="4"/>
      <c r="D411" s="4"/>
      <c r="E411" s="4"/>
      <c r="F411" s="4"/>
      <c r="G411" s="4"/>
      <c r="H411" s="4"/>
      <c r="I411" s="4"/>
      <c r="J411" s="4"/>
      <c r="K411" s="4"/>
      <c r="L411" s="4"/>
      <c r="M411" s="4"/>
      <c r="N411" s="4"/>
      <c r="O411" s="4"/>
      <c r="P411" s="4"/>
      <c r="Q411" s="4"/>
    </row>
    <row r="412" spans="2:17" x14ac:dyDescent="0.2">
      <c r="B412" s="4"/>
      <c r="C412" s="4"/>
      <c r="D412" s="4"/>
      <c r="E412" s="4"/>
      <c r="F412" s="4"/>
      <c r="G412" s="4"/>
      <c r="H412" s="4"/>
      <c r="I412" s="4"/>
      <c r="J412" s="4"/>
      <c r="K412" s="4"/>
      <c r="L412" s="4"/>
      <c r="M412" s="4"/>
      <c r="N412" s="4"/>
      <c r="O412" s="4"/>
      <c r="P412" s="4"/>
      <c r="Q412" s="4"/>
    </row>
    <row r="413" spans="2:17" x14ac:dyDescent="0.2">
      <c r="B413" s="4"/>
      <c r="C413" s="4"/>
      <c r="D413" s="4"/>
      <c r="E413" s="4"/>
      <c r="F413" s="4"/>
      <c r="G413" s="4"/>
      <c r="H413" s="4"/>
      <c r="I413" s="4"/>
      <c r="J413" s="4"/>
      <c r="K413" s="4"/>
      <c r="L413" s="4"/>
      <c r="M413" s="4"/>
      <c r="N413" s="4"/>
      <c r="O413" s="4"/>
      <c r="P413" s="4"/>
      <c r="Q413" s="4"/>
    </row>
    <row r="414" spans="2:17" x14ac:dyDescent="0.2">
      <c r="B414" s="4"/>
      <c r="C414" s="4"/>
      <c r="D414" s="4"/>
      <c r="E414" s="4"/>
      <c r="F414" s="4"/>
      <c r="G414" s="4"/>
      <c r="H414" s="4"/>
      <c r="I414" s="4"/>
      <c r="J414" s="4"/>
      <c r="K414" s="4"/>
      <c r="L414" s="4"/>
      <c r="M414" s="4"/>
      <c r="N414" s="4"/>
      <c r="O414" s="4"/>
      <c r="P414" s="4"/>
      <c r="Q414" s="4"/>
    </row>
    <row r="415" spans="2:17" x14ac:dyDescent="0.2">
      <c r="B415" s="4"/>
      <c r="C415" s="4"/>
      <c r="D415" s="4"/>
      <c r="E415" s="4"/>
      <c r="F415" s="4"/>
      <c r="G415" s="4"/>
      <c r="H415" s="4"/>
      <c r="I415" s="4"/>
      <c r="J415" s="4"/>
      <c r="K415" s="4"/>
      <c r="L415" s="4"/>
      <c r="M415" s="4"/>
      <c r="N415" s="4"/>
      <c r="O415" s="4"/>
      <c r="P415" s="4"/>
      <c r="Q415" s="4"/>
    </row>
    <row r="416" spans="2:17" x14ac:dyDescent="0.2">
      <c r="B416" s="4"/>
      <c r="C416" s="4"/>
      <c r="D416" s="4"/>
      <c r="E416" s="4"/>
      <c r="F416" s="4"/>
      <c r="G416" s="4"/>
      <c r="H416" s="4"/>
      <c r="I416" s="4"/>
      <c r="J416" s="4"/>
      <c r="K416" s="4"/>
      <c r="L416" s="4"/>
      <c r="M416" s="4"/>
      <c r="N416" s="4"/>
      <c r="O416" s="4"/>
      <c r="P416" s="4"/>
      <c r="Q416" s="4"/>
    </row>
    <row r="417" spans="2:17" x14ac:dyDescent="0.2">
      <c r="B417" s="4"/>
      <c r="C417" s="4"/>
      <c r="D417" s="4"/>
      <c r="E417" s="4"/>
      <c r="F417" s="4"/>
      <c r="G417" s="4"/>
      <c r="H417" s="4"/>
      <c r="I417" s="4"/>
      <c r="J417" s="4"/>
      <c r="K417" s="4"/>
      <c r="L417" s="4"/>
      <c r="M417" s="4"/>
      <c r="N417" s="4"/>
      <c r="O417" s="4"/>
      <c r="P417" s="4"/>
      <c r="Q417" s="4"/>
    </row>
    <row r="418" spans="2:17" x14ac:dyDescent="0.2">
      <c r="B418" s="4"/>
      <c r="C418" s="4"/>
      <c r="D418" s="4"/>
      <c r="E418" s="4"/>
      <c r="F418" s="4"/>
      <c r="G418" s="4"/>
      <c r="H418" s="4"/>
      <c r="I418" s="4"/>
      <c r="J418" s="4"/>
      <c r="K418" s="4"/>
      <c r="L418" s="4"/>
      <c r="M418" s="4"/>
      <c r="N418" s="4"/>
      <c r="O418" s="4"/>
      <c r="P418" s="4"/>
      <c r="Q418" s="4"/>
    </row>
    <row r="419" spans="2:17" x14ac:dyDescent="0.2">
      <c r="B419" s="4"/>
      <c r="C419" s="4"/>
      <c r="D419" s="4"/>
      <c r="E419" s="4"/>
      <c r="F419" s="4"/>
      <c r="G419" s="4"/>
      <c r="H419" s="4"/>
      <c r="I419" s="4"/>
      <c r="J419" s="4"/>
      <c r="K419" s="4"/>
      <c r="L419" s="4"/>
      <c r="M419" s="4"/>
      <c r="N419" s="4"/>
      <c r="O419" s="4"/>
      <c r="P419" s="4"/>
      <c r="Q419" s="4"/>
    </row>
    <row r="420" spans="2:17" x14ac:dyDescent="0.2">
      <c r="B420" s="4"/>
      <c r="C420" s="4"/>
      <c r="D420" s="4"/>
      <c r="E420" s="4"/>
      <c r="F420" s="4"/>
      <c r="G420" s="4"/>
      <c r="H420" s="4"/>
      <c r="I420" s="4"/>
      <c r="J420" s="4"/>
      <c r="K420" s="4"/>
      <c r="L420" s="4"/>
      <c r="M420" s="4"/>
      <c r="N420" s="4"/>
      <c r="O420" s="4"/>
      <c r="P420" s="4"/>
      <c r="Q420" s="4"/>
    </row>
    <row r="421" spans="2:17" x14ac:dyDescent="0.2">
      <c r="B421" s="4"/>
      <c r="C421" s="4"/>
      <c r="D421" s="4"/>
      <c r="E421" s="4"/>
      <c r="F421" s="4"/>
      <c r="G421" s="4"/>
      <c r="H421" s="4"/>
      <c r="I421" s="4"/>
      <c r="J421" s="4"/>
      <c r="K421" s="4"/>
      <c r="L421" s="4"/>
      <c r="M421" s="4"/>
      <c r="N421" s="4"/>
      <c r="O421" s="4"/>
      <c r="P421" s="4"/>
      <c r="Q421" s="4"/>
    </row>
    <row r="422" spans="2:17" x14ac:dyDescent="0.2">
      <c r="B422" s="4"/>
      <c r="C422" s="4"/>
      <c r="D422" s="4"/>
      <c r="E422" s="4"/>
      <c r="F422" s="4"/>
      <c r="G422" s="4"/>
      <c r="H422" s="4"/>
      <c r="I422" s="4"/>
      <c r="J422" s="4"/>
      <c r="K422" s="4"/>
      <c r="L422" s="4"/>
      <c r="M422" s="4"/>
      <c r="N422" s="4"/>
      <c r="O422" s="4"/>
      <c r="P422" s="4"/>
      <c r="Q422" s="4"/>
    </row>
    <row r="423" spans="2:17" x14ac:dyDescent="0.2">
      <c r="B423" s="4"/>
      <c r="C423" s="4"/>
      <c r="D423" s="4"/>
      <c r="E423" s="4"/>
      <c r="F423" s="4"/>
      <c r="G423" s="4"/>
      <c r="H423" s="4"/>
      <c r="I423" s="4"/>
      <c r="J423" s="4"/>
      <c r="K423" s="4"/>
      <c r="L423" s="4"/>
      <c r="M423" s="4"/>
      <c r="N423" s="4"/>
      <c r="O423" s="4"/>
      <c r="P423" s="4"/>
      <c r="Q423" s="4"/>
    </row>
    <row r="424" spans="2:17" x14ac:dyDescent="0.2">
      <c r="B424" s="4"/>
      <c r="C424" s="4"/>
      <c r="D424" s="4"/>
      <c r="E424" s="4"/>
      <c r="F424" s="4"/>
      <c r="G424" s="4"/>
      <c r="H424" s="4"/>
      <c r="I424" s="4"/>
      <c r="J424" s="4"/>
      <c r="K424" s="4"/>
      <c r="L424" s="4"/>
      <c r="M424" s="4"/>
      <c r="N424" s="4"/>
      <c r="O424" s="4"/>
      <c r="P424" s="4"/>
      <c r="Q424" s="4"/>
    </row>
    <row r="425" spans="2:17" x14ac:dyDescent="0.2">
      <c r="B425" s="4"/>
      <c r="C425" s="4"/>
      <c r="D425" s="4"/>
      <c r="E425" s="4"/>
      <c r="F425" s="4"/>
      <c r="G425" s="4"/>
      <c r="H425" s="4"/>
      <c r="I425" s="4"/>
      <c r="J425" s="4"/>
      <c r="K425" s="4"/>
      <c r="L425" s="4"/>
      <c r="M425" s="4"/>
      <c r="N425" s="4"/>
      <c r="O425" s="4"/>
      <c r="P425" s="4"/>
      <c r="Q425" s="4"/>
    </row>
    <row r="426" spans="2:17" x14ac:dyDescent="0.2">
      <c r="B426" s="4"/>
      <c r="C426" s="4"/>
      <c r="D426" s="4"/>
      <c r="E426" s="4"/>
      <c r="F426" s="4"/>
      <c r="G426" s="4"/>
      <c r="H426" s="4"/>
      <c r="I426" s="4"/>
      <c r="J426" s="4"/>
      <c r="K426" s="4"/>
      <c r="L426" s="4"/>
      <c r="M426" s="4"/>
      <c r="N426" s="4"/>
      <c r="O426" s="4"/>
      <c r="P426" s="4"/>
      <c r="Q426" s="4"/>
    </row>
    <row r="427" spans="2:17" x14ac:dyDescent="0.2">
      <c r="B427" s="4"/>
      <c r="C427" s="4"/>
      <c r="D427" s="4"/>
      <c r="E427" s="4"/>
      <c r="F427" s="4"/>
      <c r="G427" s="4"/>
      <c r="H427" s="4"/>
      <c r="I427" s="4"/>
      <c r="J427" s="4"/>
      <c r="K427" s="4"/>
      <c r="L427" s="4"/>
      <c r="M427" s="4"/>
      <c r="N427" s="4"/>
      <c r="O427" s="4"/>
      <c r="P427" s="4"/>
      <c r="Q427" s="4"/>
    </row>
    <row r="428" spans="2:17" x14ac:dyDescent="0.2">
      <c r="B428" s="4"/>
      <c r="C428" s="4"/>
      <c r="D428" s="4"/>
      <c r="E428" s="4"/>
      <c r="F428" s="4"/>
      <c r="G428" s="4"/>
      <c r="H428" s="4"/>
      <c r="I428" s="4"/>
      <c r="J428" s="4"/>
      <c r="K428" s="4"/>
      <c r="L428" s="4"/>
      <c r="M428" s="4"/>
      <c r="N428" s="4"/>
      <c r="O428" s="4"/>
      <c r="P428" s="4"/>
      <c r="Q428" s="4"/>
    </row>
    <row r="429" spans="2:17" x14ac:dyDescent="0.2">
      <c r="B429" s="4"/>
      <c r="C429" s="4"/>
      <c r="D429" s="4"/>
      <c r="E429" s="4"/>
      <c r="F429" s="4"/>
      <c r="G429" s="4"/>
      <c r="H429" s="4"/>
      <c r="I429" s="4"/>
      <c r="J429" s="4"/>
      <c r="K429" s="4"/>
      <c r="L429" s="4"/>
      <c r="M429" s="4"/>
      <c r="N429" s="4"/>
      <c r="O429" s="4"/>
      <c r="P429" s="4"/>
      <c r="Q429" s="4"/>
    </row>
    <row r="430" spans="2:17" x14ac:dyDescent="0.2">
      <c r="B430" s="4"/>
      <c r="C430" s="4"/>
      <c r="D430" s="4"/>
      <c r="E430" s="4"/>
      <c r="F430" s="4"/>
      <c r="G430" s="4"/>
      <c r="H430" s="4"/>
      <c r="I430" s="4"/>
      <c r="J430" s="4"/>
      <c r="K430" s="4"/>
      <c r="L430" s="4"/>
      <c r="M430" s="4"/>
      <c r="N430" s="4"/>
      <c r="O430" s="4"/>
      <c r="P430" s="4"/>
      <c r="Q430" s="4"/>
    </row>
    <row r="431" spans="2:17" x14ac:dyDescent="0.2">
      <c r="B431" s="4"/>
      <c r="C431" s="4"/>
      <c r="D431" s="4"/>
      <c r="E431" s="4"/>
      <c r="F431" s="4"/>
      <c r="G431" s="4"/>
      <c r="H431" s="4"/>
      <c r="I431" s="4"/>
      <c r="J431" s="4"/>
      <c r="K431" s="4"/>
      <c r="L431" s="4"/>
      <c r="M431" s="4"/>
      <c r="N431" s="4"/>
      <c r="O431" s="4"/>
      <c r="P431" s="4"/>
      <c r="Q431" s="4"/>
    </row>
    <row r="432" spans="2:17" x14ac:dyDescent="0.2">
      <c r="B432" s="4"/>
      <c r="C432" s="4"/>
      <c r="D432" s="4"/>
      <c r="E432" s="4"/>
      <c r="F432" s="4"/>
      <c r="G432" s="4"/>
      <c r="H432" s="4"/>
      <c r="I432" s="4"/>
      <c r="J432" s="4"/>
      <c r="K432" s="4"/>
      <c r="L432" s="4"/>
      <c r="M432" s="4"/>
      <c r="N432" s="4"/>
      <c r="O432" s="4"/>
      <c r="P432" s="4"/>
      <c r="Q432" s="4"/>
    </row>
    <row r="433" spans="2:17" x14ac:dyDescent="0.2">
      <c r="B433" s="4"/>
      <c r="C433" s="4"/>
      <c r="D433" s="4"/>
      <c r="E433" s="4"/>
      <c r="F433" s="4"/>
      <c r="G433" s="4"/>
      <c r="H433" s="4"/>
      <c r="I433" s="4"/>
      <c r="J433" s="4"/>
      <c r="K433" s="4"/>
      <c r="L433" s="4"/>
      <c r="M433" s="4"/>
      <c r="N433" s="4"/>
      <c r="O433" s="4"/>
      <c r="P433" s="4"/>
      <c r="Q433" s="4"/>
    </row>
    <row r="434" spans="2:17" x14ac:dyDescent="0.2">
      <c r="B434" s="4"/>
      <c r="C434" s="4"/>
      <c r="D434" s="4"/>
      <c r="E434" s="4"/>
      <c r="F434" s="4"/>
      <c r="G434" s="4"/>
      <c r="H434" s="4"/>
      <c r="I434" s="4"/>
      <c r="J434" s="4"/>
      <c r="K434" s="4"/>
      <c r="L434" s="4"/>
      <c r="M434" s="4"/>
      <c r="N434" s="4"/>
      <c r="O434" s="4"/>
      <c r="P434" s="4"/>
      <c r="Q434" s="4"/>
    </row>
    <row r="435" spans="2:17" x14ac:dyDescent="0.2">
      <c r="B435" s="4"/>
      <c r="C435" s="4"/>
      <c r="D435" s="4"/>
      <c r="E435" s="4"/>
      <c r="F435" s="4"/>
      <c r="G435" s="4"/>
      <c r="H435" s="4"/>
      <c r="I435" s="4"/>
      <c r="J435" s="4"/>
      <c r="K435" s="4"/>
      <c r="L435" s="4"/>
      <c r="M435" s="4"/>
      <c r="N435" s="4"/>
      <c r="O435" s="4"/>
      <c r="P435" s="4"/>
      <c r="Q435" s="4"/>
    </row>
    <row r="436" spans="2:17" x14ac:dyDescent="0.2">
      <c r="B436" s="4"/>
      <c r="C436" s="4"/>
      <c r="D436" s="4"/>
      <c r="E436" s="4"/>
      <c r="F436" s="4"/>
      <c r="G436" s="4"/>
      <c r="H436" s="4"/>
      <c r="I436" s="4"/>
      <c r="J436" s="4"/>
      <c r="K436" s="4"/>
      <c r="L436" s="4"/>
      <c r="M436" s="4"/>
      <c r="N436" s="4"/>
      <c r="O436" s="4"/>
      <c r="P436" s="4"/>
      <c r="Q436" s="4"/>
    </row>
    <row r="437" spans="2:17" x14ac:dyDescent="0.2">
      <c r="B437" s="4"/>
      <c r="C437" s="4"/>
      <c r="D437" s="4"/>
      <c r="E437" s="4"/>
      <c r="F437" s="4"/>
      <c r="G437" s="4"/>
      <c r="H437" s="4"/>
      <c r="I437" s="4"/>
      <c r="J437" s="4"/>
      <c r="K437" s="4"/>
      <c r="L437" s="4"/>
      <c r="M437" s="4"/>
      <c r="N437" s="4"/>
      <c r="O437" s="4"/>
      <c r="P437" s="4"/>
      <c r="Q437" s="4"/>
    </row>
    <row r="438" spans="2:17" x14ac:dyDescent="0.2">
      <c r="B438" s="4"/>
      <c r="C438" s="4"/>
      <c r="D438" s="4"/>
      <c r="E438" s="4"/>
      <c r="F438" s="4"/>
      <c r="G438" s="4"/>
      <c r="H438" s="4"/>
      <c r="I438" s="4"/>
      <c r="J438" s="4"/>
      <c r="K438" s="4"/>
      <c r="L438" s="4"/>
      <c r="M438" s="4"/>
      <c r="N438" s="4"/>
      <c r="O438" s="4"/>
      <c r="P438" s="4"/>
      <c r="Q438" s="4"/>
    </row>
    <row r="439" spans="2:17" x14ac:dyDescent="0.2">
      <c r="B439" s="4"/>
      <c r="C439" s="4"/>
      <c r="D439" s="4"/>
      <c r="E439" s="4"/>
      <c r="F439" s="4"/>
      <c r="G439" s="4"/>
      <c r="H439" s="4"/>
      <c r="I439" s="4"/>
      <c r="J439" s="4"/>
      <c r="K439" s="4"/>
      <c r="L439" s="4"/>
      <c r="M439" s="4"/>
      <c r="N439" s="4"/>
      <c r="O439" s="4"/>
      <c r="P439" s="4"/>
      <c r="Q439" s="4"/>
    </row>
    <row r="440" spans="2:17" x14ac:dyDescent="0.2">
      <c r="B440" s="4"/>
      <c r="C440" s="4"/>
      <c r="D440" s="4"/>
      <c r="E440" s="4"/>
      <c r="F440" s="4"/>
      <c r="G440" s="4"/>
      <c r="H440" s="4"/>
      <c r="I440" s="4"/>
      <c r="J440" s="4"/>
      <c r="K440" s="4"/>
      <c r="L440" s="4"/>
      <c r="M440" s="4"/>
      <c r="N440" s="4"/>
      <c r="O440" s="4"/>
      <c r="P440" s="4"/>
      <c r="Q440" s="4"/>
    </row>
    <row r="441" spans="2:17" x14ac:dyDescent="0.2">
      <c r="B441" s="4"/>
      <c r="C441" s="4"/>
      <c r="D441" s="4"/>
      <c r="E441" s="4"/>
      <c r="F441" s="4"/>
      <c r="G441" s="4"/>
      <c r="H441" s="4"/>
      <c r="I441" s="4"/>
      <c r="J441" s="4"/>
      <c r="K441" s="4"/>
      <c r="L441" s="4"/>
      <c r="M441" s="4"/>
      <c r="N441" s="4"/>
      <c r="O441" s="4"/>
      <c r="P441" s="4"/>
      <c r="Q441" s="4"/>
    </row>
    <row r="442" spans="2:17" x14ac:dyDescent="0.2">
      <c r="B442" s="4"/>
      <c r="C442" s="4"/>
      <c r="D442" s="4"/>
      <c r="E442" s="4"/>
      <c r="F442" s="4"/>
      <c r="G442" s="4"/>
      <c r="H442" s="4"/>
      <c r="I442" s="4"/>
      <c r="J442" s="4"/>
      <c r="K442" s="4"/>
      <c r="L442" s="4"/>
      <c r="M442" s="4"/>
      <c r="N442" s="4"/>
      <c r="O442" s="4"/>
      <c r="P442" s="4"/>
      <c r="Q442" s="4"/>
    </row>
    <row r="443" spans="2:17" x14ac:dyDescent="0.2">
      <c r="B443" s="4"/>
      <c r="C443" s="4"/>
      <c r="D443" s="4"/>
      <c r="E443" s="4"/>
      <c r="F443" s="4"/>
      <c r="G443" s="4"/>
      <c r="H443" s="4"/>
      <c r="I443" s="4"/>
      <c r="J443" s="4"/>
      <c r="K443" s="4"/>
      <c r="L443" s="4"/>
      <c r="M443" s="4"/>
      <c r="N443" s="4"/>
      <c r="O443" s="4"/>
      <c r="P443" s="4"/>
      <c r="Q443" s="4"/>
    </row>
    <row r="444" spans="2:17" x14ac:dyDescent="0.2">
      <c r="B444" s="4"/>
      <c r="C444" s="4"/>
      <c r="D444" s="4"/>
      <c r="E444" s="4"/>
      <c r="F444" s="4"/>
      <c r="G444" s="4"/>
      <c r="H444" s="4"/>
      <c r="I444" s="4"/>
      <c r="J444" s="4"/>
      <c r="K444" s="4"/>
      <c r="L444" s="4"/>
      <c r="M444" s="4"/>
      <c r="N444" s="4"/>
      <c r="O444" s="4"/>
      <c r="P444" s="4"/>
      <c r="Q444" s="4"/>
    </row>
    <row r="445" spans="2:17" x14ac:dyDescent="0.2">
      <c r="B445" s="4"/>
      <c r="C445" s="4"/>
      <c r="D445" s="4"/>
      <c r="E445" s="4"/>
      <c r="F445" s="4"/>
      <c r="G445" s="4"/>
      <c r="H445" s="4"/>
      <c r="I445" s="4"/>
      <c r="J445" s="4"/>
      <c r="K445" s="4"/>
      <c r="L445" s="4"/>
      <c r="M445" s="4"/>
      <c r="N445" s="4"/>
      <c r="O445" s="4"/>
      <c r="P445" s="4"/>
      <c r="Q445" s="4"/>
    </row>
    <row r="446" spans="2:17" x14ac:dyDescent="0.2">
      <c r="B446" s="4"/>
      <c r="C446" s="4"/>
      <c r="D446" s="4"/>
      <c r="E446" s="4"/>
      <c r="F446" s="4"/>
      <c r="G446" s="4"/>
      <c r="H446" s="4"/>
      <c r="I446" s="4"/>
      <c r="J446" s="4"/>
      <c r="K446" s="4"/>
      <c r="L446" s="4"/>
      <c r="M446" s="4"/>
      <c r="N446" s="4"/>
      <c r="O446" s="4"/>
      <c r="P446" s="4"/>
      <c r="Q446" s="4"/>
    </row>
    <row r="447" spans="2:17" x14ac:dyDescent="0.2">
      <c r="B447" s="4"/>
      <c r="C447" s="4"/>
      <c r="D447" s="4"/>
      <c r="E447" s="4"/>
      <c r="F447" s="4"/>
      <c r="G447" s="4"/>
      <c r="H447" s="4"/>
      <c r="I447" s="4"/>
      <c r="J447" s="4"/>
      <c r="K447" s="4"/>
      <c r="L447" s="4"/>
      <c r="M447" s="4"/>
      <c r="N447" s="4"/>
      <c r="O447" s="4"/>
      <c r="P447" s="4"/>
      <c r="Q447" s="4"/>
    </row>
    <row r="448" spans="2:17" x14ac:dyDescent="0.2">
      <c r="B448" s="4"/>
      <c r="C448" s="4"/>
      <c r="D448" s="4"/>
      <c r="E448" s="4"/>
      <c r="F448" s="4"/>
      <c r="G448" s="4"/>
      <c r="H448" s="4"/>
      <c r="I448" s="4"/>
      <c r="J448" s="4"/>
      <c r="K448" s="4"/>
      <c r="L448" s="4"/>
      <c r="M448" s="4"/>
      <c r="N448" s="4"/>
      <c r="O448" s="4"/>
      <c r="P448" s="4"/>
      <c r="Q448" s="4"/>
    </row>
    <row r="449" spans="2:17" x14ac:dyDescent="0.2">
      <c r="B449" s="4"/>
      <c r="C449" s="4"/>
      <c r="D449" s="4"/>
      <c r="E449" s="4"/>
      <c r="F449" s="4"/>
      <c r="G449" s="4"/>
      <c r="H449" s="4"/>
      <c r="I449" s="4"/>
      <c r="J449" s="4"/>
      <c r="K449" s="4"/>
      <c r="L449" s="4"/>
      <c r="M449" s="4"/>
      <c r="N449" s="4"/>
      <c r="O449" s="4"/>
      <c r="P449" s="4"/>
      <c r="Q449" s="4"/>
    </row>
    <row r="450" spans="2:17" x14ac:dyDescent="0.2">
      <c r="B450" s="4"/>
      <c r="C450" s="4"/>
      <c r="D450" s="4"/>
      <c r="E450" s="4"/>
      <c r="F450" s="4"/>
      <c r="G450" s="4"/>
      <c r="H450" s="4"/>
      <c r="I450" s="4"/>
      <c r="J450" s="4"/>
      <c r="K450" s="4"/>
      <c r="L450" s="4"/>
      <c r="M450" s="4"/>
      <c r="N450" s="4"/>
      <c r="O450" s="4"/>
      <c r="P450" s="4"/>
      <c r="Q450" s="4"/>
    </row>
    <row r="451" spans="2:17" x14ac:dyDescent="0.2">
      <c r="B451" s="4"/>
      <c r="C451" s="4"/>
      <c r="D451" s="4"/>
      <c r="E451" s="4"/>
      <c r="F451" s="4"/>
      <c r="G451" s="4"/>
      <c r="H451" s="4"/>
      <c r="I451" s="4"/>
      <c r="J451" s="4"/>
      <c r="K451" s="4"/>
      <c r="L451" s="4"/>
      <c r="M451" s="4"/>
      <c r="N451" s="4"/>
      <c r="O451" s="4"/>
      <c r="P451" s="4"/>
      <c r="Q451" s="4"/>
    </row>
    <row r="452" spans="2:17" x14ac:dyDescent="0.2">
      <c r="B452" s="4"/>
      <c r="C452" s="4"/>
      <c r="D452" s="4"/>
      <c r="E452" s="4"/>
      <c r="F452" s="4"/>
      <c r="G452" s="4"/>
      <c r="H452" s="4"/>
      <c r="I452" s="4"/>
      <c r="J452" s="4"/>
      <c r="K452" s="4"/>
      <c r="L452" s="4"/>
      <c r="M452" s="4"/>
      <c r="N452" s="4"/>
      <c r="O452" s="4"/>
      <c r="P452" s="4"/>
      <c r="Q452" s="4"/>
    </row>
    <row r="453" spans="2:17" x14ac:dyDescent="0.2">
      <c r="B453" s="4"/>
      <c r="C453" s="4"/>
      <c r="D453" s="4"/>
      <c r="E453" s="4"/>
      <c r="F453" s="4"/>
      <c r="G453" s="4"/>
      <c r="H453" s="4"/>
      <c r="I453" s="4"/>
      <c r="J453" s="4"/>
      <c r="K453" s="4"/>
      <c r="L453" s="4"/>
      <c r="M453" s="4"/>
      <c r="N453" s="4"/>
      <c r="O453" s="4"/>
      <c r="P453" s="4"/>
      <c r="Q453"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T30"/>
  <sheetViews>
    <sheetView workbookViewId="0">
      <selection activeCell="J31" sqref="J31"/>
    </sheetView>
  </sheetViews>
  <sheetFormatPr baseColWidth="10" defaultColWidth="12.5703125" defaultRowHeight="15.75" customHeight="1" x14ac:dyDescent="0.2"/>
  <cols>
    <col min="1" max="1" width="27.28515625" customWidth="1"/>
  </cols>
  <sheetData>
    <row r="1" spans="1:20" x14ac:dyDescent="0.2">
      <c r="A1" s="4" t="s">
        <v>461</v>
      </c>
      <c r="D1" s="47">
        <v>45879</v>
      </c>
      <c r="E1" s="42">
        <v>45887</v>
      </c>
      <c r="F1" s="4">
        <f>E1-D1</f>
        <v>8</v>
      </c>
    </row>
    <row r="3" spans="1:20" x14ac:dyDescent="0.2">
      <c r="A3" s="4" t="s">
        <v>462</v>
      </c>
    </row>
    <row r="4" spans="1:20" x14ac:dyDescent="0.2">
      <c r="B4" s="47">
        <v>45940</v>
      </c>
      <c r="C4" s="47">
        <v>45941</v>
      </c>
      <c r="D4" s="47">
        <v>45942</v>
      </c>
      <c r="E4" s="47">
        <v>45943</v>
      </c>
      <c r="F4" s="47">
        <v>45944</v>
      </c>
      <c r="G4" s="47">
        <v>45945</v>
      </c>
      <c r="H4" s="47">
        <v>45946</v>
      </c>
      <c r="I4" s="47">
        <v>45947</v>
      </c>
      <c r="J4" s="47">
        <v>45948</v>
      </c>
      <c r="K4" s="47"/>
      <c r="L4" s="47"/>
      <c r="M4" s="47"/>
      <c r="N4" s="47"/>
      <c r="O4" s="47"/>
      <c r="P4" s="47"/>
      <c r="Q4" s="47"/>
      <c r="R4" s="47"/>
      <c r="S4" s="47"/>
    </row>
    <row r="5" spans="1:20" x14ac:dyDescent="0.2">
      <c r="B5" s="4" t="s">
        <v>463</v>
      </c>
      <c r="C5" s="4" t="s">
        <v>464</v>
      </c>
      <c r="D5" s="4" t="s">
        <v>465</v>
      </c>
      <c r="E5" s="4" t="s">
        <v>466</v>
      </c>
      <c r="F5" s="4" t="s">
        <v>467</v>
      </c>
      <c r="G5" s="4" t="s">
        <v>468</v>
      </c>
      <c r="H5" s="4" t="s">
        <v>469</v>
      </c>
      <c r="I5" s="4" t="s">
        <v>470</v>
      </c>
      <c r="J5" s="4" t="s">
        <v>471</v>
      </c>
    </row>
    <row r="6" spans="1:20" x14ac:dyDescent="0.2">
      <c r="A6" s="4" t="s">
        <v>472</v>
      </c>
      <c r="B6" s="48">
        <v>0</v>
      </c>
      <c r="C6" s="48">
        <f>'Registro de HH INC3'!C11</f>
        <v>1</v>
      </c>
      <c r="D6" s="48">
        <f>'Registro de HH INC3'!D11</f>
        <v>5</v>
      </c>
      <c r="E6" s="48">
        <f>'Registro de HH INC3'!E11</f>
        <v>12.5</v>
      </c>
      <c r="F6" s="48">
        <f>'Registro de HH INC3'!F11</f>
        <v>18.5</v>
      </c>
      <c r="G6" s="48">
        <f>'Registro de HH INC3'!G11</f>
        <v>29</v>
      </c>
      <c r="H6" s="48">
        <f>'Registro de HH INC3'!H11</f>
        <v>35</v>
      </c>
      <c r="I6" s="48">
        <f>'Registro de HH INC3'!I11</f>
        <v>42</v>
      </c>
      <c r="J6" s="48">
        <f>'Registro de HH INC3'!J11</f>
        <v>46</v>
      </c>
      <c r="K6" s="48"/>
      <c r="L6" s="48"/>
      <c r="M6" s="48"/>
      <c r="N6" s="48"/>
      <c r="O6" s="48"/>
      <c r="P6" s="48"/>
      <c r="Q6" s="48"/>
      <c r="R6" s="48"/>
      <c r="S6" s="48"/>
    </row>
    <row r="7" spans="1:20" x14ac:dyDescent="0.2">
      <c r="A7" s="4" t="s">
        <v>473</v>
      </c>
      <c r="B7" s="48">
        <v>0</v>
      </c>
      <c r="C7" s="48">
        <f>SUM('Aux Esfuerzo Estimado INC3 SPT4'!B3:B1000)</f>
        <v>9.5</v>
      </c>
      <c r="D7" s="48">
        <f>SUM('Aux Esfuerzo Estimado INC3 SPT4'!C3:C1000)+C7</f>
        <v>16</v>
      </c>
      <c r="E7" s="48">
        <f>SUM('Aux Esfuerzo Estimado INC3 SPT4'!D3:D1000)+D7</f>
        <v>23.5</v>
      </c>
      <c r="F7" s="48">
        <f>SUM('Aux Esfuerzo Estimado INC3 SPT4'!E3:E1000)+E7</f>
        <v>29.5</v>
      </c>
      <c r="G7" s="48">
        <f>SUM('Aux Esfuerzo Estimado INC3 SPT4'!F3:F1000)+F7</f>
        <v>36</v>
      </c>
      <c r="H7" s="48">
        <f>SUM('Aux Esfuerzo Estimado INC3 SPT4'!G3:G1000)+G7</f>
        <v>41.5</v>
      </c>
      <c r="I7" s="48">
        <f>SUM('Aux Esfuerzo Estimado INC3 SPT4'!H3:H1000)+H7</f>
        <v>47.5</v>
      </c>
      <c r="J7" s="48">
        <f>SUM('Aux Esfuerzo Estimado INC3 SPT4'!I3:I1000)+I7</f>
        <v>47.5</v>
      </c>
      <c r="K7" s="48"/>
      <c r="L7" s="48"/>
      <c r="M7" s="48"/>
      <c r="N7" s="48"/>
      <c r="O7" s="48"/>
      <c r="P7" s="48"/>
      <c r="Q7" s="48"/>
      <c r="R7" s="48"/>
      <c r="S7" s="48"/>
      <c r="T7" s="48"/>
    </row>
    <row r="9" spans="1:20" x14ac:dyDescent="0.2">
      <c r="A9" s="4" t="s">
        <v>474</v>
      </c>
    </row>
    <row r="10" spans="1:20" x14ac:dyDescent="0.2">
      <c r="B10" s="47">
        <v>45940</v>
      </c>
      <c r="C10" s="47">
        <v>45941</v>
      </c>
      <c r="D10" s="47">
        <v>45942</v>
      </c>
      <c r="E10" s="47">
        <v>45943</v>
      </c>
      <c r="F10" s="47">
        <v>45944</v>
      </c>
      <c r="G10" s="47">
        <v>45945</v>
      </c>
      <c r="H10" s="47">
        <v>45946</v>
      </c>
      <c r="I10" s="47">
        <v>45947</v>
      </c>
      <c r="J10" s="47">
        <v>45948</v>
      </c>
      <c r="K10" s="47"/>
      <c r="L10" s="47"/>
      <c r="M10" s="47"/>
      <c r="N10" s="47"/>
      <c r="O10" s="47"/>
      <c r="P10" s="47"/>
      <c r="Q10" s="47"/>
      <c r="R10" s="47"/>
      <c r="S10" s="47"/>
    </row>
    <row r="11" spans="1:20" x14ac:dyDescent="0.2">
      <c r="B11" s="4" t="s">
        <v>463</v>
      </c>
      <c r="C11" s="4" t="s">
        <v>464</v>
      </c>
      <c r="D11" s="4" t="s">
        <v>465</v>
      </c>
      <c r="E11" s="4" t="s">
        <v>466</v>
      </c>
      <c r="F11" s="4" t="s">
        <v>467</v>
      </c>
      <c r="G11" s="4" t="s">
        <v>468</v>
      </c>
      <c r="H11" s="4" t="s">
        <v>469</v>
      </c>
      <c r="I11" s="4" t="s">
        <v>470</v>
      </c>
      <c r="J11" s="4" t="s">
        <v>471</v>
      </c>
    </row>
    <row r="12" spans="1:20" x14ac:dyDescent="0.2">
      <c r="A12" s="4" t="s">
        <v>475</v>
      </c>
      <c r="B12" s="48">
        <f>SUM('ProductSprint Backlog'!M240:M280)</f>
        <v>46</v>
      </c>
      <c r="C12" s="48">
        <f>B12-'Registro de HH INC3'!C10</f>
        <v>45</v>
      </c>
      <c r="D12" s="48">
        <f>C12-'Registro de HH INC3'!D10</f>
        <v>41</v>
      </c>
      <c r="E12" s="48">
        <f>D12-'Registro de HH INC3'!E10</f>
        <v>33.5</v>
      </c>
      <c r="F12" s="48">
        <f>E12-'Registro de HH INC3'!F10</f>
        <v>27.5</v>
      </c>
      <c r="G12" s="48">
        <f>F12-'Registro de HH INC3'!G10</f>
        <v>17</v>
      </c>
      <c r="H12" s="48">
        <f>G12-'Registro de HH INC3'!H10</f>
        <v>11</v>
      </c>
      <c r="I12" s="48">
        <f>H12-'Registro de HH INC3'!I10</f>
        <v>4</v>
      </c>
      <c r="J12" s="48">
        <f>I12-'Registro de HH INC3'!J10</f>
        <v>0</v>
      </c>
      <c r="K12" s="48"/>
      <c r="L12" s="48"/>
      <c r="M12" s="48"/>
      <c r="N12" s="48"/>
      <c r="O12" s="48"/>
      <c r="P12" s="48"/>
      <c r="Q12" s="48"/>
      <c r="R12" s="48"/>
      <c r="S12" s="48"/>
    </row>
    <row r="13" spans="1:20" x14ac:dyDescent="0.2">
      <c r="A13" s="4" t="s">
        <v>476</v>
      </c>
      <c r="B13" s="48">
        <f>SUM('ProductSprint Backlog'!F240:F280)</f>
        <v>47.5</v>
      </c>
      <c r="C13" s="48">
        <f>B13-SUM('Aux Esfuerzo Estimado INC3 SPT4'!B3:B1000)</f>
        <v>38</v>
      </c>
      <c r="D13" s="48">
        <f>C13-SUM('Aux Esfuerzo Estimado INC3 SPT4'!C3:C1000)</f>
        <v>31.5</v>
      </c>
      <c r="E13" s="48">
        <f>D13-SUM('Aux Esfuerzo Estimado INC3 SPT4'!D3:D1000)</f>
        <v>24</v>
      </c>
      <c r="F13" s="48">
        <f>E13-SUM('Aux Esfuerzo Estimado INC3 SPT4'!E3:E1000)</f>
        <v>18</v>
      </c>
      <c r="G13" s="48">
        <f>F13-SUM('Aux Esfuerzo Estimado INC3 SPT4'!F3:F1000)</f>
        <v>11.5</v>
      </c>
      <c r="H13" s="48">
        <f>G13-SUM('Aux Esfuerzo Estimado INC3 SPT4'!G3:G1000)</f>
        <v>6</v>
      </c>
      <c r="I13" s="48">
        <f>H13-SUM('Aux Esfuerzo Estimado INC3 SPT4'!H3:H1000)</f>
        <v>0</v>
      </c>
      <c r="J13" s="48">
        <f>I13-SUM('Aux Esfuerzo Estimado INC3 SPT4'!I3:I1000)</f>
        <v>0</v>
      </c>
      <c r="K13" s="48"/>
      <c r="L13" s="48"/>
      <c r="M13" s="48"/>
      <c r="N13" s="48"/>
      <c r="O13" s="48"/>
      <c r="P13" s="48"/>
      <c r="Q13" s="48"/>
      <c r="R13" s="48"/>
      <c r="S13" s="48"/>
    </row>
    <row r="17" spans="2:19" x14ac:dyDescent="0.2">
      <c r="D17" s="47"/>
      <c r="E17" s="42"/>
    </row>
    <row r="21" spans="2:19" x14ac:dyDescent="0.2">
      <c r="B21" s="47"/>
      <c r="C21" s="47"/>
      <c r="D21" s="47"/>
      <c r="E21" s="47"/>
      <c r="F21" s="47"/>
      <c r="G21" s="47"/>
      <c r="H21" s="47"/>
      <c r="I21" s="47"/>
      <c r="J21" s="47"/>
      <c r="K21" s="47"/>
      <c r="L21" s="47"/>
      <c r="M21" s="47"/>
      <c r="N21" s="47"/>
      <c r="O21" s="47"/>
      <c r="P21" s="47"/>
      <c r="Q21" s="47"/>
      <c r="R21" s="47"/>
    </row>
    <row r="23" spans="2:19" x14ac:dyDescent="0.2">
      <c r="B23" s="48"/>
      <c r="C23" s="48"/>
      <c r="D23" s="48"/>
      <c r="E23" s="48"/>
      <c r="F23" s="48"/>
      <c r="G23" s="48"/>
      <c r="H23" s="48"/>
      <c r="I23" s="48"/>
      <c r="J23" s="48"/>
      <c r="K23" s="48"/>
      <c r="L23" s="48"/>
      <c r="M23" s="48"/>
      <c r="N23" s="48"/>
      <c r="O23" s="48"/>
      <c r="P23" s="48"/>
      <c r="Q23" s="48"/>
      <c r="R23" s="48"/>
    </row>
    <row r="24" spans="2:19" x14ac:dyDescent="0.2">
      <c r="B24" s="48"/>
      <c r="C24" s="48"/>
      <c r="D24" s="48"/>
      <c r="E24" s="48"/>
      <c r="F24" s="48"/>
      <c r="G24" s="48"/>
      <c r="H24" s="48"/>
      <c r="I24" s="48"/>
      <c r="J24" s="48"/>
      <c r="K24" s="48"/>
      <c r="L24" s="48"/>
      <c r="M24" s="48"/>
      <c r="N24" s="48"/>
      <c r="O24" s="48"/>
      <c r="P24" s="48"/>
      <c r="Q24" s="48"/>
      <c r="R24" s="48"/>
      <c r="S24" s="48"/>
    </row>
    <row r="27" spans="2:19" x14ac:dyDescent="0.2">
      <c r="B27" s="47"/>
      <c r="C27" s="47"/>
      <c r="D27" s="47"/>
      <c r="E27" s="47"/>
      <c r="F27" s="47"/>
      <c r="G27" s="47"/>
      <c r="H27" s="47"/>
      <c r="I27" s="47"/>
      <c r="J27" s="47"/>
      <c r="K27" s="47"/>
      <c r="L27" s="47"/>
      <c r="M27" s="47"/>
      <c r="N27" s="47"/>
      <c r="O27" s="47"/>
      <c r="P27" s="47"/>
      <c r="Q27" s="47"/>
      <c r="R27" s="47"/>
    </row>
    <row r="29" spans="2:19" x14ac:dyDescent="0.2">
      <c r="B29" s="48"/>
      <c r="C29" s="48"/>
      <c r="D29" s="48"/>
      <c r="E29" s="48"/>
      <c r="F29" s="48"/>
      <c r="G29" s="48"/>
      <c r="H29" s="48"/>
      <c r="I29" s="48"/>
      <c r="J29" s="48"/>
      <c r="K29" s="48"/>
      <c r="L29" s="48"/>
      <c r="M29" s="48"/>
      <c r="N29" s="48"/>
      <c r="O29" s="48"/>
      <c r="P29" s="48"/>
      <c r="Q29" s="48"/>
      <c r="R29" s="48"/>
      <c r="S29" s="48"/>
    </row>
    <row r="30" spans="2:19" x14ac:dyDescent="0.2">
      <c r="B30" s="48"/>
      <c r="C30" s="48"/>
      <c r="D30" s="48"/>
      <c r="E30" s="48"/>
      <c r="F30" s="48"/>
      <c r="G30" s="48"/>
      <c r="H30" s="48"/>
      <c r="I30" s="48"/>
      <c r="J30" s="48"/>
      <c r="K30" s="48"/>
      <c r="L30" s="48"/>
      <c r="M30" s="48"/>
      <c r="N30" s="48"/>
      <c r="O30" s="48"/>
      <c r="P30" s="48"/>
      <c r="Q30" s="48"/>
      <c r="R30" s="4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T11"/>
  <sheetViews>
    <sheetView workbookViewId="0"/>
  </sheetViews>
  <sheetFormatPr baseColWidth="10" defaultColWidth="12.5703125" defaultRowHeight="15.75" customHeight="1" x14ac:dyDescent="0.2"/>
  <cols>
    <col min="2" max="17" width="9.28515625" customWidth="1"/>
    <col min="18" max="20" width="8.5703125" customWidth="1"/>
    <col min="21" max="24" width="8.42578125" customWidth="1"/>
  </cols>
  <sheetData>
    <row r="1" spans="1:20" x14ac:dyDescent="0.2">
      <c r="A1" s="4" t="s">
        <v>477</v>
      </c>
    </row>
    <row r="2" spans="1:20" x14ac:dyDescent="0.2">
      <c r="B2" s="4" t="s">
        <v>478</v>
      </c>
      <c r="C2" s="4" t="s">
        <v>479</v>
      </c>
      <c r="D2" s="4" t="s">
        <v>480</v>
      </c>
      <c r="E2" s="4" t="s">
        <v>481</v>
      </c>
      <c r="F2" s="4" t="s">
        <v>482</v>
      </c>
      <c r="G2" s="4" t="s">
        <v>483</v>
      </c>
      <c r="H2" s="4" t="s">
        <v>484</v>
      </c>
      <c r="I2" s="4" t="s">
        <v>485</v>
      </c>
      <c r="J2" s="4" t="s">
        <v>486</v>
      </c>
      <c r="K2" s="4" t="s">
        <v>487</v>
      </c>
    </row>
    <row r="3" spans="1:20" x14ac:dyDescent="0.2">
      <c r="A3" s="4" t="s">
        <v>488</v>
      </c>
      <c r="B3" s="42"/>
      <c r="C3" s="42">
        <v>45941</v>
      </c>
      <c r="D3" s="42">
        <v>45942</v>
      </c>
      <c r="E3" s="42">
        <v>45943</v>
      </c>
      <c r="F3" s="42">
        <v>45944</v>
      </c>
      <c r="G3" s="42">
        <v>45945</v>
      </c>
      <c r="H3" s="42">
        <v>45946</v>
      </c>
      <c r="I3" s="42">
        <v>45947</v>
      </c>
      <c r="J3" s="42">
        <v>45948</v>
      </c>
      <c r="K3" s="42">
        <v>45949</v>
      </c>
      <c r="L3" s="42"/>
      <c r="M3" s="42"/>
      <c r="N3" s="42"/>
      <c r="O3" s="42"/>
      <c r="P3" s="42"/>
      <c r="Q3" s="42"/>
      <c r="R3" s="42"/>
      <c r="S3" s="42"/>
      <c r="T3" s="42"/>
    </row>
    <row r="4" spans="1:20" x14ac:dyDescent="0.2">
      <c r="A4" s="4" t="s">
        <v>489</v>
      </c>
    </row>
    <row r="5" spans="1:20" x14ac:dyDescent="0.2">
      <c r="A5" s="4" t="s">
        <v>490</v>
      </c>
      <c r="B5" s="4"/>
      <c r="C5" s="4"/>
      <c r="E5" s="4">
        <v>2.5</v>
      </c>
      <c r="F5" s="4">
        <v>2</v>
      </c>
      <c r="G5" s="4">
        <v>1.5</v>
      </c>
      <c r="H5" s="4">
        <v>1</v>
      </c>
    </row>
    <row r="6" spans="1:20" x14ac:dyDescent="0.2">
      <c r="A6" s="4" t="s">
        <v>491</v>
      </c>
      <c r="B6" s="4"/>
      <c r="C6" s="4"/>
      <c r="F6" s="4">
        <v>1</v>
      </c>
      <c r="G6" s="4">
        <v>3</v>
      </c>
      <c r="H6" s="4">
        <v>1</v>
      </c>
      <c r="I6" s="4">
        <v>1</v>
      </c>
      <c r="J6" s="4">
        <v>1</v>
      </c>
    </row>
    <row r="7" spans="1:20" x14ac:dyDescent="0.2">
      <c r="A7" s="4" t="s">
        <v>492</v>
      </c>
      <c r="G7" s="4">
        <v>3</v>
      </c>
      <c r="H7" s="4">
        <v>3</v>
      </c>
      <c r="I7" s="4">
        <v>3</v>
      </c>
      <c r="J7" s="4">
        <v>2</v>
      </c>
    </row>
    <row r="8" spans="1:20" x14ac:dyDescent="0.2">
      <c r="A8" s="4" t="s">
        <v>493</v>
      </c>
      <c r="D8" s="4">
        <v>2</v>
      </c>
      <c r="E8" s="4">
        <v>3</v>
      </c>
      <c r="F8" s="4">
        <v>2</v>
      </c>
      <c r="G8" s="4">
        <v>3</v>
      </c>
      <c r="H8" s="4">
        <v>1</v>
      </c>
      <c r="I8" s="4">
        <v>3</v>
      </c>
      <c r="J8" s="4">
        <v>1</v>
      </c>
      <c r="L8" s="4">
        <f>SUM(C8:J8)</f>
        <v>15</v>
      </c>
    </row>
    <row r="9" spans="1:20" x14ac:dyDescent="0.2">
      <c r="A9" s="4" t="s">
        <v>494</v>
      </c>
      <c r="B9" s="4"/>
      <c r="C9" s="4">
        <v>1</v>
      </c>
      <c r="D9" s="4">
        <v>2</v>
      </c>
      <c r="E9" s="4">
        <v>2</v>
      </c>
      <c r="F9" s="4">
        <v>1</v>
      </c>
    </row>
    <row r="10" spans="1:20" x14ac:dyDescent="0.2">
      <c r="A10" s="4" t="s">
        <v>495</v>
      </c>
      <c r="C10" s="4">
        <f t="shared" ref="C10:K10" si="0">SUM(C4:C9)</f>
        <v>1</v>
      </c>
      <c r="D10" s="4">
        <f t="shared" si="0"/>
        <v>4</v>
      </c>
      <c r="E10" s="4">
        <f t="shared" si="0"/>
        <v>7.5</v>
      </c>
      <c r="F10" s="4">
        <f t="shared" si="0"/>
        <v>6</v>
      </c>
      <c r="G10" s="4">
        <f t="shared" si="0"/>
        <v>10.5</v>
      </c>
      <c r="H10" s="4">
        <f t="shared" si="0"/>
        <v>6</v>
      </c>
      <c r="I10" s="4">
        <f t="shared" si="0"/>
        <v>7</v>
      </c>
      <c r="J10" s="4">
        <f t="shared" si="0"/>
        <v>4</v>
      </c>
      <c r="K10" s="4">
        <f t="shared" si="0"/>
        <v>0</v>
      </c>
    </row>
    <row r="11" spans="1:20" x14ac:dyDescent="0.2">
      <c r="A11" s="4" t="s">
        <v>496</v>
      </c>
      <c r="C11" s="4">
        <f>SUM(C4:C9)</f>
        <v>1</v>
      </c>
      <c r="D11" s="4">
        <f t="shared" ref="D11:K11" si="1">SUM(D4:D9)+C11</f>
        <v>5</v>
      </c>
      <c r="E11" s="4">
        <f t="shared" si="1"/>
        <v>12.5</v>
      </c>
      <c r="F11" s="4">
        <f t="shared" si="1"/>
        <v>18.5</v>
      </c>
      <c r="G11" s="4">
        <f t="shared" si="1"/>
        <v>29</v>
      </c>
      <c r="H11" s="4">
        <f t="shared" si="1"/>
        <v>35</v>
      </c>
      <c r="I11" s="4">
        <f t="shared" si="1"/>
        <v>42</v>
      </c>
      <c r="J11" s="4">
        <f t="shared" si="1"/>
        <v>46</v>
      </c>
      <c r="K11" s="4">
        <f t="shared" si="1"/>
        <v>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P109"/>
  <sheetViews>
    <sheetView workbookViewId="0"/>
  </sheetViews>
  <sheetFormatPr baseColWidth="10" defaultColWidth="12.5703125" defaultRowHeight="15.75" customHeight="1" x14ac:dyDescent="0.2"/>
  <cols>
    <col min="1" max="1" width="43.7109375" customWidth="1"/>
    <col min="2" max="15" width="8.42578125" customWidth="1"/>
  </cols>
  <sheetData>
    <row r="1" spans="1:16" ht="4.5" customHeight="1" x14ac:dyDescent="0.2">
      <c r="B1" s="31"/>
      <c r="C1" s="31"/>
      <c r="D1" s="31"/>
      <c r="E1" s="31"/>
      <c r="F1" s="31"/>
      <c r="G1" s="31"/>
      <c r="H1" s="31"/>
      <c r="I1" s="31"/>
      <c r="J1" s="31"/>
      <c r="K1" s="31"/>
      <c r="L1" s="31"/>
      <c r="M1" s="31"/>
      <c r="N1" s="31"/>
      <c r="O1" s="31"/>
    </row>
    <row r="2" spans="1:16" ht="36" customHeight="1" x14ac:dyDescent="0.2">
      <c r="B2" s="49">
        <v>45941</v>
      </c>
      <c r="C2" s="49">
        <v>45942</v>
      </c>
      <c r="D2" s="49">
        <v>45943</v>
      </c>
      <c r="E2" s="49">
        <v>45944</v>
      </c>
      <c r="F2" s="49">
        <v>45945</v>
      </c>
      <c r="G2" s="49">
        <v>45946</v>
      </c>
      <c r="H2" s="49">
        <v>45947</v>
      </c>
      <c r="I2" s="49">
        <v>45948</v>
      </c>
      <c r="J2" s="49">
        <v>45949</v>
      </c>
      <c r="K2" s="49">
        <v>45950</v>
      </c>
      <c r="L2" s="49">
        <v>45951</v>
      </c>
      <c r="M2" s="49">
        <v>45952</v>
      </c>
      <c r="N2" s="49">
        <v>45953</v>
      </c>
      <c r="O2" s="49">
        <v>45954</v>
      </c>
      <c r="P2" s="49">
        <v>45955</v>
      </c>
    </row>
    <row r="3" spans="1:16" ht="12.75" x14ac:dyDescent="0.2">
      <c r="A3" s="50" t="s">
        <v>497</v>
      </c>
      <c r="B3" s="51">
        <f>COUNTIFS('ProductSprint Backlog'!$D$240:$D$280,"&lt;&gt;",'ProductSprint Backlog'!$L$240:$L$280,"&gt;"&amp;DATEVALUE(B2))</f>
        <v>0</v>
      </c>
      <c r="C3" s="51">
        <f>COUNTIFS('ProductSprint Backlog'!$D$240:$D$280,"&lt;&gt;",'ProductSprint Backlog'!$L$240:$L$280,"&gt;"&amp;DATEVALUE(C2))</f>
        <v>0</v>
      </c>
      <c r="D3" s="51">
        <f>COUNTIFS('ProductSprint Backlog'!$D$240:$D$280,"&lt;&gt;",'ProductSprint Backlog'!$L$240:$L$280,"&gt;"&amp;DATEVALUE(D2))</f>
        <v>0</v>
      </c>
      <c r="E3" s="51">
        <f>COUNTIFS('ProductSprint Backlog'!$D$240:$D$280,"&lt;&gt;",'ProductSprint Backlog'!$L$240:$L$280,"&gt;"&amp;DATEVALUE(E2))</f>
        <v>0</v>
      </c>
      <c r="F3" s="51">
        <f>COUNTIFS('ProductSprint Backlog'!$D$240:$D$280,"&lt;&gt;",'ProductSprint Backlog'!$L$240:$L$280,"&gt;"&amp;DATEVALUE(F2))</f>
        <v>0</v>
      </c>
      <c r="G3" s="51">
        <f>COUNTIFS('ProductSprint Backlog'!$D$240:$D$280,"&lt;&gt;",'ProductSprint Backlog'!$L$240:$L$280,"&gt;"&amp;DATEVALUE(G2))</f>
        <v>0</v>
      </c>
      <c r="H3" s="51">
        <f>COUNTIFS('ProductSprint Backlog'!$D$240:$D$280,"&lt;&gt;",'ProductSprint Backlog'!$L$240:$L$280,"&gt;"&amp;DATEVALUE(H2))</f>
        <v>0</v>
      </c>
      <c r="I3" s="51">
        <f>COUNTIFS('ProductSprint Backlog'!$D$240:$D$280,"&lt;&gt;",'ProductSprint Backlog'!$L$240:$L$280,"&gt;"&amp;DATEVALUE(I2))</f>
        <v>0</v>
      </c>
      <c r="J3" s="51">
        <f>COUNTIFS('ProductSprint Backlog'!$D$240:$D$280,"&lt;&gt;",'ProductSprint Backlog'!$L$240:$L$280,"&gt;"&amp;DATEVALUE(J2))</f>
        <v>0</v>
      </c>
      <c r="K3" s="51">
        <f>COUNTIFS('ProductSprint Backlog'!$D$240:$D$280,"&lt;&gt;",'ProductSprint Backlog'!$L$240:$L$280,"&gt;"&amp;DATEVALUE(K2))</f>
        <v>0</v>
      </c>
      <c r="L3" s="51">
        <f>COUNTIFS('ProductSprint Backlog'!$D$240:$D$280,"&lt;&gt;",'ProductSprint Backlog'!$L$240:$L$280,"&gt;"&amp;DATEVALUE(L2))</f>
        <v>0</v>
      </c>
      <c r="M3" s="51">
        <f>COUNTIFS('ProductSprint Backlog'!$D$240:$D$280,"&lt;&gt;",'ProductSprint Backlog'!$L$240:$L$280,"&gt;"&amp;DATEVALUE(M2))</f>
        <v>0</v>
      </c>
      <c r="N3" s="51">
        <f>COUNTIFS('ProductSprint Backlog'!$D$240:$D$280,"&lt;&gt;",'ProductSprint Backlog'!$L$240:$L$280,"&gt;"&amp;DATEVALUE(N2))</f>
        <v>0</v>
      </c>
      <c r="O3" s="51">
        <f>COUNTIFS('ProductSprint Backlog'!$D$240:$D$280,"&lt;&gt;",'ProductSprint Backlog'!$L$240:$L$280,"&gt;"&amp;DATEVALUE(O2))</f>
        <v>0</v>
      </c>
      <c r="P3" s="51">
        <f>COUNTIFS('ProductSprint Backlog'!$D$240:$D$280,"&lt;&gt;",'ProductSprint Backlog'!$L$240:$L$280,"&gt;"&amp;DATEVALUE(P2))</f>
        <v>0</v>
      </c>
    </row>
    <row r="4" spans="1:16" ht="15.75" customHeight="1" x14ac:dyDescent="0.2">
      <c r="A4" s="61"/>
      <c r="B4" s="61"/>
      <c r="C4" s="61"/>
      <c r="D4" s="61"/>
      <c r="E4" s="61"/>
      <c r="F4" s="61"/>
      <c r="G4" s="61"/>
      <c r="H4" s="61"/>
      <c r="I4" s="61"/>
      <c r="J4" s="61"/>
      <c r="K4" s="61"/>
      <c r="L4" s="61"/>
      <c r="M4" s="61"/>
      <c r="N4" s="61"/>
      <c r="O4" s="61"/>
    </row>
    <row r="5" spans="1:16" ht="15.75" customHeight="1" x14ac:dyDescent="0.2">
      <c r="A5" s="61"/>
      <c r="B5" s="61"/>
      <c r="C5" s="61"/>
      <c r="D5" s="61"/>
      <c r="E5" s="61"/>
      <c r="F5" s="61"/>
      <c r="G5" s="61"/>
      <c r="H5" s="61"/>
      <c r="I5" s="61"/>
      <c r="J5" s="61"/>
      <c r="K5" s="61"/>
      <c r="L5" s="61"/>
      <c r="M5" s="61"/>
      <c r="N5" s="61"/>
      <c r="O5" s="61"/>
    </row>
    <row r="6" spans="1:16" ht="12.75" x14ac:dyDescent="0.2">
      <c r="A6" s="50" t="s">
        <v>498</v>
      </c>
      <c r="B6" s="70" t="s">
        <v>499</v>
      </c>
      <c r="C6" s="71"/>
      <c r="D6" s="71"/>
      <c r="E6" s="71"/>
      <c r="F6" s="71"/>
      <c r="G6" s="71"/>
      <c r="H6" s="71"/>
      <c r="I6" s="71"/>
      <c r="J6" s="71"/>
      <c r="K6" s="71"/>
      <c r="L6" s="71"/>
      <c r="M6" s="71"/>
      <c r="N6" s="71"/>
      <c r="O6" s="71"/>
      <c r="P6" s="72"/>
    </row>
    <row r="7" spans="1:16" ht="25.5" x14ac:dyDescent="0.2">
      <c r="A7" s="17" t="s">
        <v>378</v>
      </c>
      <c r="B7" s="51">
        <f>IF('ProductSprint Backlog'!$L240&gt;B$2,'ProductSprint Backlog'!$M240,0)</f>
        <v>0.5</v>
      </c>
      <c r="C7" s="51">
        <f>IF('ProductSprint Backlog'!$L240&gt;C$2,'ProductSprint Backlog'!$M240,0)</f>
        <v>0</v>
      </c>
      <c r="D7" s="51">
        <f>IF('ProductSprint Backlog'!$L240&gt;D$2,'ProductSprint Backlog'!$M240,0)</f>
        <v>0</v>
      </c>
      <c r="E7" s="51">
        <f>IF('ProductSprint Backlog'!$L240&gt;E$2,'ProductSprint Backlog'!$M240,0)</f>
        <v>0</v>
      </c>
      <c r="F7" s="51">
        <f>IF('ProductSprint Backlog'!$L240&gt;F$2,'ProductSprint Backlog'!$M240,0)</f>
        <v>0</v>
      </c>
      <c r="G7" s="51">
        <f>IF('ProductSprint Backlog'!$L240&gt;G$2,'ProductSprint Backlog'!$M240,0)</f>
        <v>0</v>
      </c>
      <c r="H7" s="51">
        <f>IF('ProductSprint Backlog'!$L240&gt;H$2,'ProductSprint Backlog'!$M240,0)</f>
        <v>0</v>
      </c>
      <c r="I7" s="51">
        <f>IF('ProductSprint Backlog'!$L240&gt;I$2,'ProductSprint Backlog'!$M240,0)</f>
        <v>0</v>
      </c>
      <c r="J7" s="51">
        <f>IF('ProductSprint Backlog'!$L240&gt;J$2,'ProductSprint Backlog'!$M240,0)</f>
        <v>0</v>
      </c>
      <c r="K7" s="51">
        <f>IF('ProductSprint Backlog'!$L240&gt;K$2,'ProductSprint Backlog'!$M240,0)</f>
        <v>0</v>
      </c>
      <c r="L7" s="51">
        <f>IF('ProductSprint Backlog'!$L240&gt;L$2,'ProductSprint Backlog'!$M240,0)</f>
        <v>0</v>
      </c>
      <c r="M7" s="51">
        <f>IF('ProductSprint Backlog'!$L240&gt;M$2,'ProductSprint Backlog'!$M240,0)</f>
        <v>0</v>
      </c>
      <c r="N7" s="51">
        <f>IF('ProductSprint Backlog'!$L240&gt;N$2,'ProductSprint Backlog'!$M240,0)</f>
        <v>0</v>
      </c>
      <c r="O7" s="51">
        <f>IF('ProductSprint Backlog'!$L240&gt;O$2,'ProductSprint Backlog'!$M240,0)</f>
        <v>0</v>
      </c>
      <c r="P7" s="51">
        <f>IF('ProductSprint Backlog'!$L240&gt;P$2,'ProductSprint Backlog'!$M240,0)</f>
        <v>0</v>
      </c>
    </row>
    <row r="8" spans="1:16" ht="25.5" x14ac:dyDescent="0.2">
      <c r="A8" s="17" t="s">
        <v>380</v>
      </c>
      <c r="B8" s="51">
        <f>IF('ProductSprint Backlog'!$L241&gt;B$2,'ProductSprint Backlog'!$M241,0)</f>
        <v>1</v>
      </c>
      <c r="C8" s="51">
        <f>IF('ProductSprint Backlog'!$L241&gt;C$2,'ProductSprint Backlog'!$M241,0)</f>
        <v>0</v>
      </c>
      <c r="D8" s="51">
        <f>IF('ProductSprint Backlog'!$L241&gt;D$2,'ProductSprint Backlog'!$M241,0)</f>
        <v>0</v>
      </c>
      <c r="E8" s="51">
        <f>IF('ProductSprint Backlog'!$L241&gt;E$2,'ProductSprint Backlog'!$M241,0)</f>
        <v>0</v>
      </c>
      <c r="F8" s="51">
        <f>IF('ProductSprint Backlog'!$L241&gt;F$2,'ProductSprint Backlog'!$M241,0)</f>
        <v>0</v>
      </c>
      <c r="G8" s="51">
        <f>IF('ProductSprint Backlog'!$L241&gt;G$2,'ProductSprint Backlog'!$M241,0)</f>
        <v>0</v>
      </c>
      <c r="H8" s="51">
        <f>IF('ProductSprint Backlog'!$L241&gt;H$2,'ProductSprint Backlog'!$M241,0)</f>
        <v>0</v>
      </c>
      <c r="I8" s="51">
        <f>IF('ProductSprint Backlog'!$L241&gt;I$2,'ProductSprint Backlog'!$M241,0)</f>
        <v>0</v>
      </c>
      <c r="J8" s="51">
        <f>IF('ProductSprint Backlog'!$L241&gt;J$2,'ProductSprint Backlog'!$M241,0)</f>
        <v>0</v>
      </c>
      <c r="K8" s="51">
        <f>IF('ProductSprint Backlog'!$L241&gt;K$2,'ProductSprint Backlog'!$M241,0)</f>
        <v>0</v>
      </c>
      <c r="L8" s="51">
        <f>IF('ProductSprint Backlog'!$L241&gt;L$2,'ProductSprint Backlog'!$M241,0)</f>
        <v>0</v>
      </c>
      <c r="M8" s="51">
        <f>IF('ProductSprint Backlog'!$L241&gt;M$2,'ProductSprint Backlog'!$M241,0)</f>
        <v>0</v>
      </c>
      <c r="N8" s="51">
        <f>IF('ProductSprint Backlog'!$L241&gt;N$2,'ProductSprint Backlog'!$M241,0)</f>
        <v>0</v>
      </c>
      <c r="O8" s="51">
        <f>IF('ProductSprint Backlog'!$L241&gt;O$2,'ProductSprint Backlog'!$M241,0)</f>
        <v>0</v>
      </c>
      <c r="P8" s="51">
        <f>IF('ProductSprint Backlog'!$L241&gt;P$2,'ProductSprint Backlog'!$M241,0)</f>
        <v>0</v>
      </c>
    </row>
    <row r="9" spans="1:16" ht="25.5" x14ac:dyDescent="0.2">
      <c r="A9" s="17" t="s">
        <v>382</v>
      </c>
      <c r="B9" s="51">
        <f>IF('ProductSprint Backlog'!$L242&gt;B$2,'ProductSprint Backlog'!$M242,0)</f>
        <v>1</v>
      </c>
      <c r="C9" s="51">
        <f>IF('ProductSprint Backlog'!$L242&gt;C$2,'ProductSprint Backlog'!$M242,0)</f>
        <v>0</v>
      </c>
      <c r="D9" s="51">
        <f>IF('ProductSprint Backlog'!$L242&gt;D$2,'ProductSprint Backlog'!$M242,0)</f>
        <v>0</v>
      </c>
      <c r="E9" s="51">
        <f>IF('ProductSprint Backlog'!$L242&gt;E$2,'ProductSprint Backlog'!$M242,0)</f>
        <v>0</v>
      </c>
      <c r="F9" s="51">
        <f>IF('ProductSprint Backlog'!$L242&gt;F$2,'ProductSprint Backlog'!$M242,0)</f>
        <v>0</v>
      </c>
      <c r="G9" s="51">
        <f>IF('ProductSprint Backlog'!$L242&gt;G$2,'ProductSprint Backlog'!$M242,0)</f>
        <v>0</v>
      </c>
      <c r="H9" s="51">
        <f>IF('ProductSprint Backlog'!$L242&gt;H$2,'ProductSprint Backlog'!$M242,0)</f>
        <v>0</v>
      </c>
      <c r="I9" s="51">
        <f>IF('ProductSprint Backlog'!$L242&gt;I$2,'ProductSprint Backlog'!$M242,0)</f>
        <v>0</v>
      </c>
      <c r="J9" s="51">
        <f>IF('ProductSprint Backlog'!$L242&gt;J$2,'ProductSprint Backlog'!$M242,0)</f>
        <v>0</v>
      </c>
      <c r="K9" s="51">
        <f>IF('ProductSprint Backlog'!$L242&gt;K$2,'ProductSprint Backlog'!$M242,0)</f>
        <v>0</v>
      </c>
      <c r="L9" s="51">
        <f>IF('ProductSprint Backlog'!$L242&gt;L$2,'ProductSprint Backlog'!$M242,0)</f>
        <v>0</v>
      </c>
      <c r="M9" s="51">
        <f>IF('ProductSprint Backlog'!$L242&gt;M$2,'ProductSprint Backlog'!$M242,0)</f>
        <v>0</v>
      </c>
      <c r="N9" s="51">
        <f>IF('ProductSprint Backlog'!$L242&gt;N$2,'ProductSprint Backlog'!$M242,0)</f>
        <v>0</v>
      </c>
      <c r="O9" s="51">
        <f>IF('ProductSprint Backlog'!$L242&gt;O$2,'ProductSprint Backlog'!$M242,0)</f>
        <v>0</v>
      </c>
      <c r="P9" s="51">
        <f>IF('ProductSprint Backlog'!$L242&gt;P$2,'ProductSprint Backlog'!$M242,0)</f>
        <v>0</v>
      </c>
    </row>
    <row r="10" spans="1:16" ht="38.25" x14ac:dyDescent="0.2">
      <c r="A10" s="17" t="s">
        <v>384</v>
      </c>
      <c r="B10" s="51">
        <f>IF('ProductSprint Backlog'!$L243&gt;B$2,'ProductSprint Backlog'!$M243,0)</f>
        <v>1</v>
      </c>
      <c r="C10" s="51">
        <f>IF('ProductSprint Backlog'!$L243&gt;C$2,'ProductSprint Backlog'!$M243,0)</f>
        <v>1</v>
      </c>
      <c r="D10" s="51">
        <f>IF('ProductSprint Backlog'!$L243&gt;D$2,'ProductSprint Backlog'!$M243,0)</f>
        <v>1</v>
      </c>
      <c r="E10" s="51">
        <f>IF('ProductSprint Backlog'!$L243&gt;E$2,'ProductSprint Backlog'!$M243,0)</f>
        <v>0</v>
      </c>
      <c r="F10" s="51">
        <f>IF('ProductSprint Backlog'!$L243&gt;F$2,'ProductSprint Backlog'!$M243,0)</f>
        <v>0</v>
      </c>
      <c r="G10" s="51">
        <f>IF('ProductSprint Backlog'!$L243&gt;G$2,'ProductSprint Backlog'!$M243,0)</f>
        <v>0</v>
      </c>
      <c r="H10" s="51">
        <f>IF('ProductSprint Backlog'!$L243&gt;H$2,'ProductSprint Backlog'!$M243,0)</f>
        <v>0</v>
      </c>
      <c r="I10" s="51">
        <f>IF('ProductSprint Backlog'!$L243&gt;I$2,'ProductSprint Backlog'!$M243,0)</f>
        <v>0</v>
      </c>
      <c r="J10" s="51">
        <f>IF('ProductSprint Backlog'!$L243&gt;J$2,'ProductSprint Backlog'!$M243,0)</f>
        <v>0</v>
      </c>
      <c r="K10" s="51">
        <f>IF('ProductSprint Backlog'!$L243&gt;K$2,'ProductSprint Backlog'!$M243,0)</f>
        <v>0</v>
      </c>
      <c r="L10" s="51">
        <f>IF('ProductSprint Backlog'!$L243&gt;L$2,'ProductSprint Backlog'!$M243,0)</f>
        <v>0</v>
      </c>
      <c r="M10" s="51">
        <f>IF('ProductSprint Backlog'!$L243&gt;M$2,'ProductSprint Backlog'!$M243,0)</f>
        <v>0</v>
      </c>
      <c r="N10" s="51">
        <f>IF('ProductSprint Backlog'!$L243&gt;N$2,'ProductSprint Backlog'!$M243,0)</f>
        <v>0</v>
      </c>
      <c r="O10" s="51">
        <f>IF('ProductSprint Backlog'!$L243&gt;O$2,'ProductSprint Backlog'!$M243,0)</f>
        <v>0</v>
      </c>
      <c r="P10" s="51">
        <f>IF('ProductSprint Backlog'!$L243&gt;P$2,'ProductSprint Backlog'!$M243,0)</f>
        <v>0</v>
      </c>
    </row>
    <row r="11" spans="1:16" ht="38.25" x14ac:dyDescent="0.2">
      <c r="A11" s="17" t="s">
        <v>387</v>
      </c>
      <c r="B11" s="51">
        <f>IF('ProductSprint Backlog'!$L244&gt;B$2,'ProductSprint Backlog'!$M244,0)</f>
        <v>0.5</v>
      </c>
      <c r="C11" s="51">
        <f>IF('ProductSprint Backlog'!$L244&gt;C$2,'ProductSprint Backlog'!$M244,0)</f>
        <v>0</v>
      </c>
      <c r="D11" s="51">
        <f>IF('ProductSprint Backlog'!$L244&gt;D$2,'ProductSprint Backlog'!$M244,0)</f>
        <v>0</v>
      </c>
      <c r="E11" s="51">
        <f>IF('ProductSprint Backlog'!$L244&gt;E$2,'ProductSprint Backlog'!$M244,0)</f>
        <v>0</v>
      </c>
      <c r="F11" s="51">
        <f>IF('ProductSprint Backlog'!$L244&gt;F$2,'ProductSprint Backlog'!$M244,0)</f>
        <v>0</v>
      </c>
      <c r="G11" s="51">
        <f>IF('ProductSprint Backlog'!$L244&gt;G$2,'ProductSprint Backlog'!$M244,0)</f>
        <v>0</v>
      </c>
      <c r="H11" s="51">
        <f>IF('ProductSprint Backlog'!$L244&gt;H$2,'ProductSprint Backlog'!$M244,0)</f>
        <v>0</v>
      </c>
      <c r="I11" s="51">
        <f>IF('ProductSprint Backlog'!$L244&gt;I$2,'ProductSprint Backlog'!$M244,0)</f>
        <v>0</v>
      </c>
      <c r="J11" s="51">
        <f>IF('ProductSprint Backlog'!$L244&gt;J$2,'ProductSprint Backlog'!$M244,0)</f>
        <v>0</v>
      </c>
      <c r="K11" s="51">
        <f>IF('ProductSprint Backlog'!$L244&gt;K$2,'ProductSprint Backlog'!$M244,0)</f>
        <v>0</v>
      </c>
      <c r="L11" s="51">
        <f>IF('ProductSprint Backlog'!$L244&gt;L$2,'ProductSprint Backlog'!$M244,0)</f>
        <v>0</v>
      </c>
      <c r="M11" s="51">
        <f>IF('ProductSprint Backlog'!$L244&gt;M$2,'ProductSprint Backlog'!$M244,0)</f>
        <v>0</v>
      </c>
      <c r="N11" s="51">
        <f>IF('ProductSprint Backlog'!$L244&gt;N$2,'ProductSprint Backlog'!$M244,0)</f>
        <v>0</v>
      </c>
      <c r="O11" s="51">
        <f>IF('ProductSprint Backlog'!$L244&gt;O$2,'ProductSprint Backlog'!$M244,0)</f>
        <v>0</v>
      </c>
      <c r="P11" s="51">
        <f>IF('ProductSprint Backlog'!$L244&gt;P$2,'ProductSprint Backlog'!$M244,0)</f>
        <v>0</v>
      </c>
    </row>
    <row r="12" spans="1:16" ht="25.5" x14ac:dyDescent="0.2">
      <c r="A12" s="17" t="s">
        <v>389</v>
      </c>
      <c r="B12" s="51">
        <f>IF('ProductSprint Backlog'!$L245&gt;B$2,'ProductSprint Backlog'!$M245,0)</f>
        <v>0.5</v>
      </c>
      <c r="C12" s="51">
        <f>IF('ProductSprint Backlog'!$L245&gt;C$2,'ProductSprint Backlog'!$M245,0)</f>
        <v>0</v>
      </c>
      <c r="D12" s="51">
        <f>IF('ProductSprint Backlog'!$L245&gt;D$2,'ProductSprint Backlog'!$M245,0)</f>
        <v>0</v>
      </c>
      <c r="E12" s="51">
        <f>IF('ProductSprint Backlog'!$L245&gt;E$2,'ProductSprint Backlog'!$M245,0)</f>
        <v>0</v>
      </c>
      <c r="F12" s="51">
        <f>IF('ProductSprint Backlog'!$L245&gt;F$2,'ProductSprint Backlog'!$M245,0)</f>
        <v>0</v>
      </c>
      <c r="G12" s="51">
        <f>IF('ProductSprint Backlog'!$L245&gt;G$2,'ProductSprint Backlog'!$M245,0)</f>
        <v>0</v>
      </c>
      <c r="H12" s="51">
        <f>IF('ProductSprint Backlog'!$L245&gt;H$2,'ProductSprint Backlog'!$M245,0)</f>
        <v>0</v>
      </c>
      <c r="I12" s="51">
        <f>IF('ProductSprint Backlog'!$L245&gt;I$2,'ProductSprint Backlog'!$M245,0)</f>
        <v>0</v>
      </c>
      <c r="J12" s="51">
        <f>IF('ProductSprint Backlog'!$L245&gt;J$2,'ProductSprint Backlog'!$M245,0)</f>
        <v>0</v>
      </c>
      <c r="K12" s="51">
        <f>IF('ProductSprint Backlog'!$L245&gt;K$2,'ProductSprint Backlog'!$M245,0)</f>
        <v>0</v>
      </c>
      <c r="L12" s="51">
        <f>IF('ProductSprint Backlog'!$L245&gt;L$2,'ProductSprint Backlog'!$M245,0)</f>
        <v>0</v>
      </c>
      <c r="M12" s="51">
        <f>IF('ProductSprint Backlog'!$L245&gt;M$2,'ProductSprint Backlog'!$M245,0)</f>
        <v>0</v>
      </c>
      <c r="N12" s="51">
        <f>IF('ProductSprint Backlog'!$L245&gt;N$2,'ProductSprint Backlog'!$M245,0)</f>
        <v>0</v>
      </c>
      <c r="O12" s="51">
        <f>IF('ProductSprint Backlog'!$L245&gt;O$2,'ProductSprint Backlog'!$M245,0)</f>
        <v>0</v>
      </c>
      <c r="P12" s="51">
        <f>IF('ProductSprint Backlog'!$L245&gt;P$2,'ProductSprint Backlog'!$M245,0)</f>
        <v>0</v>
      </c>
    </row>
    <row r="13" spans="1:16" ht="25.5" x14ac:dyDescent="0.2">
      <c r="A13" s="17" t="s">
        <v>392</v>
      </c>
      <c r="B13" s="51">
        <f>IF('ProductSprint Backlog'!$L246&gt;B$2,'ProductSprint Backlog'!$M246,0)</f>
        <v>1</v>
      </c>
      <c r="C13" s="51">
        <f>IF('ProductSprint Backlog'!$L246&gt;C$2,'ProductSprint Backlog'!$M246,0)</f>
        <v>1</v>
      </c>
      <c r="D13" s="51">
        <f>IF('ProductSprint Backlog'!$L246&gt;D$2,'ProductSprint Backlog'!$M246,0)</f>
        <v>0</v>
      </c>
      <c r="E13" s="51">
        <f>IF('ProductSprint Backlog'!$L246&gt;E$2,'ProductSprint Backlog'!$M246,0)</f>
        <v>0</v>
      </c>
      <c r="F13" s="51">
        <f>IF('ProductSprint Backlog'!$L246&gt;F$2,'ProductSprint Backlog'!$M246,0)</f>
        <v>0</v>
      </c>
      <c r="G13" s="51">
        <f>IF('ProductSprint Backlog'!$L246&gt;G$2,'ProductSprint Backlog'!$M246,0)</f>
        <v>0</v>
      </c>
      <c r="H13" s="51">
        <f>IF('ProductSprint Backlog'!$L246&gt;H$2,'ProductSprint Backlog'!$M246,0)</f>
        <v>0</v>
      </c>
      <c r="I13" s="51">
        <f>IF('ProductSprint Backlog'!$L246&gt;I$2,'ProductSprint Backlog'!$M246,0)</f>
        <v>0</v>
      </c>
      <c r="J13" s="51">
        <f>IF('ProductSprint Backlog'!$L246&gt;J$2,'ProductSprint Backlog'!$M246,0)</f>
        <v>0</v>
      </c>
      <c r="K13" s="51">
        <f>IF('ProductSprint Backlog'!$L246&gt;K$2,'ProductSprint Backlog'!$M246,0)</f>
        <v>0</v>
      </c>
      <c r="L13" s="51">
        <f>IF('ProductSprint Backlog'!$L246&gt;L$2,'ProductSprint Backlog'!$M246,0)</f>
        <v>0</v>
      </c>
      <c r="M13" s="51">
        <f>IF('ProductSprint Backlog'!$L246&gt;M$2,'ProductSprint Backlog'!$M246,0)</f>
        <v>0</v>
      </c>
      <c r="N13" s="51">
        <f>IF('ProductSprint Backlog'!$L246&gt;N$2,'ProductSprint Backlog'!$M246,0)</f>
        <v>0</v>
      </c>
      <c r="O13" s="51">
        <f>IF('ProductSprint Backlog'!$L246&gt;O$2,'ProductSprint Backlog'!$M246,0)</f>
        <v>0</v>
      </c>
      <c r="P13" s="51">
        <f>IF('ProductSprint Backlog'!$L246&gt;P$2,'ProductSprint Backlog'!$M246,0)</f>
        <v>0</v>
      </c>
    </row>
    <row r="14" spans="1:16" ht="25.5" x14ac:dyDescent="0.2">
      <c r="A14" s="17" t="s">
        <v>393</v>
      </c>
      <c r="B14" s="51">
        <f>IF('ProductSprint Backlog'!$L247&gt;B$2,'ProductSprint Backlog'!$M247,0)</f>
        <v>1</v>
      </c>
      <c r="C14" s="51">
        <f>IF('ProductSprint Backlog'!$L247&gt;C$2,'ProductSprint Backlog'!$M247,0)</f>
        <v>1</v>
      </c>
      <c r="D14" s="51">
        <f>IF('ProductSprint Backlog'!$L247&gt;D$2,'ProductSprint Backlog'!$M247,0)</f>
        <v>0</v>
      </c>
      <c r="E14" s="51">
        <f>IF('ProductSprint Backlog'!$L247&gt;E$2,'ProductSprint Backlog'!$M247,0)</f>
        <v>0</v>
      </c>
      <c r="F14" s="51">
        <f>IF('ProductSprint Backlog'!$L247&gt;F$2,'ProductSprint Backlog'!$M247,0)</f>
        <v>0</v>
      </c>
      <c r="G14" s="51">
        <f>IF('ProductSprint Backlog'!$L247&gt;G$2,'ProductSprint Backlog'!$M247,0)</f>
        <v>0</v>
      </c>
      <c r="H14" s="51">
        <f>IF('ProductSprint Backlog'!$L247&gt;H$2,'ProductSprint Backlog'!$M247,0)</f>
        <v>0</v>
      </c>
      <c r="I14" s="51">
        <f>IF('ProductSprint Backlog'!$L247&gt;I$2,'ProductSprint Backlog'!$M247,0)</f>
        <v>0</v>
      </c>
      <c r="J14" s="51">
        <f>IF('ProductSprint Backlog'!$L247&gt;J$2,'ProductSprint Backlog'!$M247,0)</f>
        <v>0</v>
      </c>
      <c r="K14" s="51">
        <f>IF('ProductSprint Backlog'!$L247&gt;K$2,'ProductSprint Backlog'!$M247,0)</f>
        <v>0</v>
      </c>
      <c r="L14" s="51">
        <f>IF('ProductSprint Backlog'!$L247&gt;L$2,'ProductSprint Backlog'!$M247,0)</f>
        <v>0</v>
      </c>
      <c r="M14" s="51">
        <f>IF('ProductSprint Backlog'!$L247&gt;M$2,'ProductSprint Backlog'!$M247,0)</f>
        <v>0</v>
      </c>
      <c r="N14" s="51">
        <f>IF('ProductSprint Backlog'!$L247&gt;N$2,'ProductSprint Backlog'!$M247,0)</f>
        <v>0</v>
      </c>
      <c r="O14" s="51">
        <f>IF('ProductSprint Backlog'!$L247&gt;O$2,'ProductSprint Backlog'!$M247,0)</f>
        <v>0</v>
      </c>
      <c r="P14" s="51">
        <f>IF('ProductSprint Backlog'!$L247&gt;P$2,'ProductSprint Backlog'!$M247,0)</f>
        <v>0</v>
      </c>
    </row>
    <row r="15" spans="1:16" ht="25.5" x14ac:dyDescent="0.2">
      <c r="A15" s="17" t="s">
        <v>382</v>
      </c>
      <c r="B15" s="51">
        <f>IF('ProductSprint Backlog'!$L248&gt;B$2,'ProductSprint Backlog'!$M248,0)</f>
        <v>0.5</v>
      </c>
      <c r="C15" s="51">
        <f>IF('ProductSprint Backlog'!$L248&gt;C$2,'ProductSprint Backlog'!$M248,0)</f>
        <v>0.5</v>
      </c>
      <c r="D15" s="51">
        <f>IF('ProductSprint Backlog'!$L248&gt;D$2,'ProductSprint Backlog'!$M248,0)</f>
        <v>0</v>
      </c>
      <c r="E15" s="51">
        <f>IF('ProductSprint Backlog'!$L248&gt;E$2,'ProductSprint Backlog'!$M248,0)</f>
        <v>0</v>
      </c>
      <c r="F15" s="51">
        <f>IF('ProductSprint Backlog'!$L248&gt;F$2,'ProductSprint Backlog'!$M248,0)</f>
        <v>0</v>
      </c>
      <c r="G15" s="51">
        <f>IF('ProductSprint Backlog'!$L248&gt;G$2,'ProductSprint Backlog'!$M248,0)</f>
        <v>0</v>
      </c>
      <c r="H15" s="51">
        <f>IF('ProductSprint Backlog'!$L248&gt;H$2,'ProductSprint Backlog'!$M248,0)</f>
        <v>0</v>
      </c>
      <c r="I15" s="51">
        <f>IF('ProductSprint Backlog'!$L248&gt;I$2,'ProductSprint Backlog'!$M248,0)</f>
        <v>0</v>
      </c>
      <c r="J15" s="51">
        <f>IF('ProductSprint Backlog'!$L248&gt;J$2,'ProductSprint Backlog'!$M248,0)</f>
        <v>0</v>
      </c>
      <c r="K15" s="51">
        <f>IF('ProductSprint Backlog'!$L248&gt;K$2,'ProductSprint Backlog'!$M248,0)</f>
        <v>0</v>
      </c>
      <c r="L15" s="51">
        <f>IF('ProductSprint Backlog'!$L248&gt;L$2,'ProductSprint Backlog'!$M248,0)</f>
        <v>0</v>
      </c>
      <c r="M15" s="51">
        <f>IF('ProductSprint Backlog'!$L248&gt;M$2,'ProductSprint Backlog'!$M248,0)</f>
        <v>0</v>
      </c>
      <c r="N15" s="51">
        <f>IF('ProductSprint Backlog'!$L248&gt;N$2,'ProductSprint Backlog'!$M248,0)</f>
        <v>0</v>
      </c>
      <c r="O15" s="51">
        <f>IF('ProductSprint Backlog'!$L248&gt;O$2,'ProductSprint Backlog'!$M248,0)</f>
        <v>0</v>
      </c>
      <c r="P15" s="51">
        <f>IF('ProductSprint Backlog'!$L248&gt;P$2,'ProductSprint Backlog'!$M248,0)</f>
        <v>0</v>
      </c>
    </row>
    <row r="16" spans="1:16" ht="38.25" x14ac:dyDescent="0.2">
      <c r="A16" s="17" t="s">
        <v>384</v>
      </c>
      <c r="B16" s="51">
        <f>IF('ProductSprint Backlog'!$L249&gt;B$2,'ProductSprint Backlog'!$M249,0)</f>
        <v>0.5</v>
      </c>
      <c r="C16" s="51">
        <f>IF('ProductSprint Backlog'!$L249&gt;C$2,'ProductSprint Backlog'!$M249,0)</f>
        <v>0.5</v>
      </c>
      <c r="D16" s="51">
        <f>IF('ProductSprint Backlog'!$L249&gt;D$2,'ProductSprint Backlog'!$M249,0)</f>
        <v>0.5</v>
      </c>
      <c r="E16" s="51">
        <f>IF('ProductSprint Backlog'!$L249&gt;E$2,'ProductSprint Backlog'!$M249,0)</f>
        <v>0</v>
      </c>
      <c r="F16" s="51">
        <f>IF('ProductSprint Backlog'!$L249&gt;F$2,'ProductSprint Backlog'!$M249,0)</f>
        <v>0</v>
      </c>
      <c r="G16" s="51">
        <f>IF('ProductSprint Backlog'!$L249&gt;G$2,'ProductSprint Backlog'!$M249,0)</f>
        <v>0</v>
      </c>
      <c r="H16" s="51">
        <f>IF('ProductSprint Backlog'!$L249&gt;H$2,'ProductSprint Backlog'!$M249,0)</f>
        <v>0</v>
      </c>
      <c r="I16" s="51">
        <f>IF('ProductSprint Backlog'!$L249&gt;I$2,'ProductSprint Backlog'!$M249,0)</f>
        <v>0</v>
      </c>
      <c r="J16" s="51">
        <f>IF('ProductSprint Backlog'!$L249&gt;J$2,'ProductSprint Backlog'!$M249,0)</f>
        <v>0</v>
      </c>
      <c r="K16" s="51">
        <f>IF('ProductSprint Backlog'!$L249&gt;K$2,'ProductSprint Backlog'!$M249,0)</f>
        <v>0</v>
      </c>
      <c r="L16" s="51">
        <f>IF('ProductSprint Backlog'!$L249&gt;L$2,'ProductSprint Backlog'!$M249,0)</f>
        <v>0</v>
      </c>
      <c r="M16" s="51">
        <f>IF('ProductSprint Backlog'!$L249&gt;M$2,'ProductSprint Backlog'!$M249,0)</f>
        <v>0</v>
      </c>
      <c r="N16" s="51">
        <f>IF('ProductSprint Backlog'!$L249&gt;N$2,'ProductSprint Backlog'!$M249,0)</f>
        <v>0</v>
      </c>
      <c r="O16" s="51">
        <f>IF('ProductSprint Backlog'!$L249&gt;O$2,'ProductSprint Backlog'!$M249,0)</f>
        <v>0</v>
      </c>
      <c r="P16" s="51">
        <f>IF('ProductSprint Backlog'!$L249&gt;P$2,'ProductSprint Backlog'!$M249,0)</f>
        <v>0</v>
      </c>
    </row>
    <row r="17" spans="1:16" ht="38.25" x14ac:dyDescent="0.2">
      <c r="A17" s="17" t="s">
        <v>396</v>
      </c>
      <c r="B17" s="51">
        <f>IF('ProductSprint Backlog'!$L250&gt;B$2,'ProductSprint Backlog'!$M250,0)</f>
        <v>1</v>
      </c>
      <c r="C17" s="51">
        <f>IF('ProductSprint Backlog'!$L250&gt;C$2,'ProductSprint Backlog'!$M250,0)</f>
        <v>1</v>
      </c>
      <c r="D17" s="51">
        <f>IF('ProductSprint Backlog'!$L250&gt;D$2,'ProductSprint Backlog'!$M250,0)</f>
        <v>0</v>
      </c>
      <c r="E17" s="51">
        <f>IF('ProductSprint Backlog'!$L250&gt;E$2,'ProductSprint Backlog'!$M250,0)</f>
        <v>0</v>
      </c>
      <c r="F17" s="51">
        <f>IF('ProductSprint Backlog'!$L250&gt;F$2,'ProductSprint Backlog'!$M250,0)</f>
        <v>0</v>
      </c>
      <c r="G17" s="51">
        <f>IF('ProductSprint Backlog'!$L250&gt;G$2,'ProductSprint Backlog'!$M250,0)</f>
        <v>0</v>
      </c>
      <c r="H17" s="51">
        <f>IF('ProductSprint Backlog'!$L250&gt;H$2,'ProductSprint Backlog'!$M250,0)</f>
        <v>0</v>
      </c>
      <c r="I17" s="51">
        <f>IF('ProductSprint Backlog'!$L250&gt;I$2,'ProductSprint Backlog'!$M250,0)</f>
        <v>0</v>
      </c>
      <c r="J17" s="51">
        <f>IF('ProductSprint Backlog'!$L250&gt;J$2,'ProductSprint Backlog'!$M250,0)</f>
        <v>0</v>
      </c>
      <c r="K17" s="51">
        <f>IF('ProductSprint Backlog'!$L250&gt;K$2,'ProductSprint Backlog'!$M250,0)</f>
        <v>0</v>
      </c>
      <c r="L17" s="51">
        <f>IF('ProductSprint Backlog'!$L250&gt;L$2,'ProductSprint Backlog'!$M250,0)</f>
        <v>0</v>
      </c>
      <c r="M17" s="51">
        <f>IF('ProductSprint Backlog'!$L250&gt;M$2,'ProductSprint Backlog'!$M250,0)</f>
        <v>0</v>
      </c>
      <c r="N17" s="51">
        <f>IF('ProductSprint Backlog'!$L250&gt;N$2,'ProductSprint Backlog'!$M250,0)</f>
        <v>0</v>
      </c>
      <c r="O17" s="51">
        <f>IF('ProductSprint Backlog'!$L250&gt;O$2,'ProductSprint Backlog'!$M250,0)</f>
        <v>0</v>
      </c>
      <c r="P17" s="51">
        <f>IF('ProductSprint Backlog'!$L250&gt;P$2,'ProductSprint Backlog'!$M250,0)</f>
        <v>0</v>
      </c>
    </row>
    <row r="18" spans="1:16" ht="25.5" x14ac:dyDescent="0.2">
      <c r="A18" s="17" t="s">
        <v>398</v>
      </c>
      <c r="B18" s="51">
        <f>IF('ProductSprint Backlog'!$L251&gt;B$2,'ProductSprint Backlog'!$M251,0)</f>
        <v>1</v>
      </c>
      <c r="C18" s="51">
        <f>IF('ProductSprint Backlog'!$L251&gt;C$2,'ProductSprint Backlog'!$M251,0)</f>
        <v>1</v>
      </c>
      <c r="D18" s="51">
        <f>IF('ProductSprint Backlog'!$L251&gt;D$2,'ProductSprint Backlog'!$M251,0)</f>
        <v>0</v>
      </c>
      <c r="E18" s="51">
        <f>IF('ProductSprint Backlog'!$L251&gt;E$2,'ProductSprint Backlog'!$M251,0)</f>
        <v>0</v>
      </c>
      <c r="F18" s="51">
        <f>IF('ProductSprint Backlog'!$L251&gt;F$2,'ProductSprint Backlog'!$M251,0)</f>
        <v>0</v>
      </c>
      <c r="G18" s="51">
        <f>IF('ProductSprint Backlog'!$L251&gt;G$2,'ProductSprint Backlog'!$M251,0)</f>
        <v>0</v>
      </c>
      <c r="H18" s="51">
        <f>IF('ProductSprint Backlog'!$L251&gt;H$2,'ProductSprint Backlog'!$M251,0)</f>
        <v>0</v>
      </c>
      <c r="I18" s="51">
        <f>IF('ProductSprint Backlog'!$L251&gt;I$2,'ProductSprint Backlog'!$M251,0)</f>
        <v>0</v>
      </c>
      <c r="J18" s="51">
        <f>IF('ProductSprint Backlog'!$L251&gt;J$2,'ProductSprint Backlog'!$M251,0)</f>
        <v>0</v>
      </c>
      <c r="K18" s="51">
        <f>IF('ProductSprint Backlog'!$L251&gt;K$2,'ProductSprint Backlog'!$M251,0)</f>
        <v>0</v>
      </c>
      <c r="L18" s="51">
        <f>IF('ProductSprint Backlog'!$L251&gt;L$2,'ProductSprint Backlog'!$M251,0)</f>
        <v>0</v>
      </c>
      <c r="M18" s="51">
        <f>IF('ProductSprint Backlog'!$L251&gt;M$2,'ProductSprint Backlog'!$M251,0)</f>
        <v>0</v>
      </c>
      <c r="N18" s="51">
        <f>IF('ProductSprint Backlog'!$L251&gt;N$2,'ProductSprint Backlog'!$M251,0)</f>
        <v>0</v>
      </c>
      <c r="O18" s="51">
        <f>IF('ProductSprint Backlog'!$L251&gt;O$2,'ProductSprint Backlog'!$M251,0)</f>
        <v>0</v>
      </c>
      <c r="P18" s="51">
        <f>IF('ProductSprint Backlog'!$L251&gt;P$2,'ProductSprint Backlog'!$M251,0)</f>
        <v>0</v>
      </c>
    </row>
    <row r="19" spans="1:16" ht="12.75" x14ac:dyDescent="0.2">
      <c r="A19" s="17" t="s">
        <v>401</v>
      </c>
      <c r="B19" s="51">
        <f>IF('ProductSprint Backlog'!$L252&gt;B$2,'ProductSprint Backlog'!$M252,0)</f>
        <v>0.5</v>
      </c>
      <c r="C19" s="51">
        <f>IF('ProductSprint Backlog'!$L252&gt;C$2,'ProductSprint Backlog'!$M252,0)</f>
        <v>0.5</v>
      </c>
      <c r="D19" s="51">
        <f>IF('ProductSprint Backlog'!$L252&gt;D$2,'ProductSprint Backlog'!$M252,0)</f>
        <v>0.5</v>
      </c>
      <c r="E19" s="51">
        <f>IF('ProductSprint Backlog'!$L252&gt;E$2,'ProductSprint Backlog'!$M252,0)</f>
        <v>0</v>
      </c>
      <c r="F19" s="51">
        <f>IF('ProductSprint Backlog'!$L252&gt;F$2,'ProductSprint Backlog'!$M252,0)</f>
        <v>0</v>
      </c>
      <c r="G19" s="51">
        <f>IF('ProductSprint Backlog'!$L252&gt;G$2,'ProductSprint Backlog'!$M252,0)</f>
        <v>0</v>
      </c>
      <c r="H19" s="51">
        <f>IF('ProductSprint Backlog'!$L252&gt;H$2,'ProductSprint Backlog'!$M252,0)</f>
        <v>0</v>
      </c>
      <c r="I19" s="51">
        <f>IF('ProductSprint Backlog'!$L252&gt;I$2,'ProductSprint Backlog'!$M252,0)</f>
        <v>0</v>
      </c>
      <c r="J19" s="51">
        <f>IF('ProductSprint Backlog'!$L252&gt;J$2,'ProductSprint Backlog'!$M252,0)</f>
        <v>0</v>
      </c>
      <c r="K19" s="51">
        <f>IF('ProductSprint Backlog'!$L252&gt;K$2,'ProductSprint Backlog'!$M252,0)</f>
        <v>0</v>
      </c>
      <c r="L19" s="51">
        <f>IF('ProductSprint Backlog'!$L252&gt;L$2,'ProductSprint Backlog'!$M252,0)</f>
        <v>0</v>
      </c>
      <c r="M19" s="51">
        <f>IF('ProductSprint Backlog'!$L252&gt;M$2,'ProductSprint Backlog'!$M252,0)</f>
        <v>0</v>
      </c>
      <c r="N19" s="51">
        <f>IF('ProductSprint Backlog'!$L252&gt;N$2,'ProductSprint Backlog'!$M252,0)</f>
        <v>0</v>
      </c>
      <c r="O19" s="51">
        <f>IF('ProductSprint Backlog'!$L252&gt;O$2,'ProductSprint Backlog'!$M252,0)</f>
        <v>0</v>
      </c>
      <c r="P19" s="51">
        <f>IF('ProductSprint Backlog'!$L252&gt;P$2,'ProductSprint Backlog'!$M252,0)</f>
        <v>0</v>
      </c>
    </row>
    <row r="20" spans="1:16" ht="25.5" x14ac:dyDescent="0.2">
      <c r="A20" s="17" t="s">
        <v>403</v>
      </c>
      <c r="B20" s="51">
        <f>IF('ProductSprint Backlog'!$L253&gt;B$2,'ProductSprint Backlog'!$M253,0)</f>
        <v>1</v>
      </c>
      <c r="C20" s="51">
        <f>IF('ProductSprint Backlog'!$L253&gt;C$2,'ProductSprint Backlog'!$M253,0)</f>
        <v>1</v>
      </c>
      <c r="D20" s="51">
        <f>IF('ProductSprint Backlog'!$L253&gt;D$2,'ProductSprint Backlog'!$M253,0)</f>
        <v>1</v>
      </c>
      <c r="E20" s="51">
        <f>IF('ProductSprint Backlog'!$L253&gt;E$2,'ProductSprint Backlog'!$M253,0)</f>
        <v>1</v>
      </c>
      <c r="F20" s="51">
        <f>IF('ProductSprint Backlog'!$L253&gt;F$2,'ProductSprint Backlog'!$M253,0)</f>
        <v>0</v>
      </c>
      <c r="G20" s="51">
        <f>IF('ProductSprint Backlog'!$L253&gt;G$2,'ProductSprint Backlog'!$M253,0)</f>
        <v>0</v>
      </c>
      <c r="H20" s="51">
        <f>IF('ProductSprint Backlog'!$L253&gt;H$2,'ProductSprint Backlog'!$M253,0)</f>
        <v>0</v>
      </c>
      <c r="I20" s="51">
        <f>IF('ProductSprint Backlog'!$L253&gt;I$2,'ProductSprint Backlog'!$M253,0)</f>
        <v>0</v>
      </c>
      <c r="J20" s="51">
        <f>IF('ProductSprint Backlog'!$L253&gt;J$2,'ProductSprint Backlog'!$M253,0)</f>
        <v>0</v>
      </c>
      <c r="K20" s="51">
        <f>IF('ProductSprint Backlog'!$L253&gt;K$2,'ProductSprint Backlog'!$M253,0)</f>
        <v>0</v>
      </c>
      <c r="L20" s="51">
        <f>IF('ProductSprint Backlog'!$L253&gt;L$2,'ProductSprint Backlog'!$M253,0)</f>
        <v>0</v>
      </c>
      <c r="M20" s="51">
        <f>IF('ProductSprint Backlog'!$L253&gt;M$2,'ProductSprint Backlog'!$M253,0)</f>
        <v>0</v>
      </c>
      <c r="N20" s="51">
        <f>IF('ProductSprint Backlog'!$L253&gt;N$2,'ProductSprint Backlog'!$M253,0)</f>
        <v>0</v>
      </c>
      <c r="O20" s="51">
        <f>IF('ProductSprint Backlog'!$L253&gt;O$2,'ProductSprint Backlog'!$M253,0)</f>
        <v>0</v>
      </c>
      <c r="P20" s="51">
        <f>IF('ProductSprint Backlog'!$L253&gt;P$2,'ProductSprint Backlog'!$M253,0)</f>
        <v>0</v>
      </c>
    </row>
    <row r="21" spans="1:16" ht="25.5" x14ac:dyDescent="0.2">
      <c r="A21" s="17" t="s">
        <v>405</v>
      </c>
      <c r="B21" s="51">
        <f>IF('ProductSprint Backlog'!$L254&gt;B$2,'ProductSprint Backlog'!$M254,0)</f>
        <v>0.5</v>
      </c>
      <c r="C21" s="51">
        <f>IF('ProductSprint Backlog'!$L254&gt;C$2,'ProductSprint Backlog'!$M254,0)</f>
        <v>0.5</v>
      </c>
      <c r="D21" s="51">
        <f>IF('ProductSprint Backlog'!$L254&gt;D$2,'ProductSprint Backlog'!$M254,0)</f>
        <v>0.5</v>
      </c>
      <c r="E21" s="51">
        <f>IF('ProductSprint Backlog'!$L254&gt;E$2,'ProductSprint Backlog'!$M254,0)</f>
        <v>0.5</v>
      </c>
      <c r="F21" s="51">
        <f>IF('ProductSprint Backlog'!$L254&gt;F$2,'ProductSprint Backlog'!$M254,0)</f>
        <v>0</v>
      </c>
      <c r="G21" s="51">
        <f>IF('ProductSprint Backlog'!$L254&gt;G$2,'ProductSprint Backlog'!$M254,0)</f>
        <v>0</v>
      </c>
      <c r="H21" s="51">
        <f>IF('ProductSprint Backlog'!$L254&gt;H$2,'ProductSprint Backlog'!$M254,0)</f>
        <v>0</v>
      </c>
      <c r="I21" s="51">
        <f>IF('ProductSprint Backlog'!$L254&gt;I$2,'ProductSprint Backlog'!$M254,0)</f>
        <v>0</v>
      </c>
      <c r="J21" s="51">
        <f>IF('ProductSprint Backlog'!$L254&gt;J$2,'ProductSprint Backlog'!$M254,0)</f>
        <v>0</v>
      </c>
      <c r="K21" s="51">
        <f>IF('ProductSprint Backlog'!$L254&gt;K$2,'ProductSprint Backlog'!$M254,0)</f>
        <v>0</v>
      </c>
      <c r="L21" s="51">
        <f>IF('ProductSprint Backlog'!$L254&gt;L$2,'ProductSprint Backlog'!$M254,0)</f>
        <v>0</v>
      </c>
      <c r="M21" s="51">
        <f>IF('ProductSprint Backlog'!$L254&gt;M$2,'ProductSprint Backlog'!$M254,0)</f>
        <v>0</v>
      </c>
      <c r="N21" s="51">
        <f>IF('ProductSprint Backlog'!$L254&gt;N$2,'ProductSprint Backlog'!$M254,0)</f>
        <v>0</v>
      </c>
      <c r="O21" s="51">
        <f>IF('ProductSprint Backlog'!$L254&gt;O$2,'ProductSprint Backlog'!$M254,0)</f>
        <v>0</v>
      </c>
      <c r="P21" s="51">
        <f>IF('ProductSprint Backlog'!$L254&gt;P$2,'ProductSprint Backlog'!$M254,0)</f>
        <v>0</v>
      </c>
    </row>
    <row r="22" spans="1:16" ht="25.5" x14ac:dyDescent="0.2">
      <c r="A22" s="17" t="s">
        <v>408</v>
      </c>
      <c r="B22" s="51">
        <f>IF('ProductSprint Backlog'!$L255&gt;B$2,'ProductSprint Backlog'!$M255,0)</f>
        <v>0.5</v>
      </c>
      <c r="C22" s="51">
        <f>IF('ProductSprint Backlog'!$L255&gt;C$2,'ProductSprint Backlog'!$M255,0)</f>
        <v>0.5</v>
      </c>
      <c r="D22" s="51">
        <f>IF('ProductSprint Backlog'!$L255&gt;D$2,'ProductSprint Backlog'!$M255,0)</f>
        <v>0.5</v>
      </c>
      <c r="E22" s="51">
        <f>IF('ProductSprint Backlog'!$L255&gt;E$2,'ProductSprint Backlog'!$M255,0)</f>
        <v>0.5</v>
      </c>
      <c r="F22" s="51">
        <f>IF('ProductSprint Backlog'!$L255&gt;F$2,'ProductSprint Backlog'!$M255,0)</f>
        <v>0</v>
      </c>
      <c r="G22" s="51">
        <f>IF('ProductSprint Backlog'!$L255&gt;G$2,'ProductSprint Backlog'!$M255,0)</f>
        <v>0</v>
      </c>
      <c r="H22" s="51">
        <f>IF('ProductSprint Backlog'!$L255&gt;H$2,'ProductSprint Backlog'!$M255,0)</f>
        <v>0</v>
      </c>
      <c r="I22" s="51">
        <f>IF('ProductSprint Backlog'!$L255&gt;I$2,'ProductSprint Backlog'!$M255,0)</f>
        <v>0</v>
      </c>
      <c r="J22" s="51">
        <f>IF('ProductSprint Backlog'!$L255&gt;J$2,'ProductSprint Backlog'!$M255,0)</f>
        <v>0</v>
      </c>
      <c r="K22" s="51">
        <f>IF('ProductSprint Backlog'!$L255&gt;K$2,'ProductSprint Backlog'!$M255,0)</f>
        <v>0</v>
      </c>
      <c r="L22" s="51">
        <f>IF('ProductSprint Backlog'!$L255&gt;L$2,'ProductSprint Backlog'!$M255,0)</f>
        <v>0</v>
      </c>
      <c r="M22" s="51">
        <f>IF('ProductSprint Backlog'!$L255&gt;M$2,'ProductSprint Backlog'!$M255,0)</f>
        <v>0</v>
      </c>
      <c r="N22" s="51">
        <f>IF('ProductSprint Backlog'!$L255&gt;N$2,'ProductSprint Backlog'!$M255,0)</f>
        <v>0</v>
      </c>
      <c r="O22" s="51">
        <f>IF('ProductSprint Backlog'!$L255&gt;O$2,'ProductSprint Backlog'!$M255,0)</f>
        <v>0</v>
      </c>
      <c r="P22" s="51">
        <f>IF('ProductSprint Backlog'!$L255&gt;P$2,'ProductSprint Backlog'!$M255,0)</f>
        <v>0</v>
      </c>
    </row>
    <row r="23" spans="1:16" ht="25.5" x14ac:dyDescent="0.2">
      <c r="A23" s="17" t="s">
        <v>410</v>
      </c>
      <c r="B23" s="51">
        <f>IF('ProductSprint Backlog'!$L256&gt;B$2,'ProductSprint Backlog'!$M256,0)</f>
        <v>0.5</v>
      </c>
      <c r="C23" s="51">
        <f>IF('ProductSprint Backlog'!$L256&gt;C$2,'ProductSprint Backlog'!$M256,0)</f>
        <v>0.5</v>
      </c>
      <c r="D23" s="51">
        <f>IF('ProductSprint Backlog'!$L256&gt;D$2,'ProductSprint Backlog'!$M256,0)</f>
        <v>0.5</v>
      </c>
      <c r="E23" s="51">
        <f>IF('ProductSprint Backlog'!$L256&gt;E$2,'ProductSprint Backlog'!$M256,0)</f>
        <v>0.5</v>
      </c>
      <c r="F23" s="51">
        <f>IF('ProductSprint Backlog'!$L256&gt;F$2,'ProductSprint Backlog'!$M256,0)</f>
        <v>0</v>
      </c>
      <c r="G23" s="51">
        <f>IF('ProductSprint Backlog'!$L256&gt;G$2,'ProductSprint Backlog'!$M256,0)</f>
        <v>0</v>
      </c>
      <c r="H23" s="51">
        <f>IF('ProductSprint Backlog'!$L256&gt;H$2,'ProductSprint Backlog'!$M256,0)</f>
        <v>0</v>
      </c>
      <c r="I23" s="51">
        <f>IF('ProductSprint Backlog'!$L256&gt;I$2,'ProductSprint Backlog'!$M256,0)</f>
        <v>0</v>
      </c>
      <c r="J23" s="51">
        <f>IF('ProductSprint Backlog'!$L256&gt;J$2,'ProductSprint Backlog'!$M256,0)</f>
        <v>0</v>
      </c>
      <c r="K23" s="51">
        <f>IF('ProductSprint Backlog'!$L256&gt;K$2,'ProductSprint Backlog'!$M256,0)</f>
        <v>0</v>
      </c>
      <c r="L23" s="51">
        <f>IF('ProductSprint Backlog'!$L256&gt;L$2,'ProductSprint Backlog'!$M256,0)</f>
        <v>0</v>
      </c>
      <c r="M23" s="51">
        <f>IF('ProductSprint Backlog'!$L256&gt;M$2,'ProductSprint Backlog'!$M256,0)</f>
        <v>0</v>
      </c>
      <c r="N23" s="51">
        <f>IF('ProductSprint Backlog'!$L256&gt;N$2,'ProductSprint Backlog'!$M256,0)</f>
        <v>0</v>
      </c>
      <c r="O23" s="51">
        <f>IF('ProductSprint Backlog'!$L256&gt;O$2,'ProductSprint Backlog'!$M256,0)</f>
        <v>0</v>
      </c>
      <c r="P23" s="51">
        <f>IF('ProductSprint Backlog'!$L256&gt;P$2,'ProductSprint Backlog'!$M256,0)</f>
        <v>0</v>
      </c>
    </row>
    <row r="24" spans="1:16" ht="25.5" x14ac:dyDescent="0.2">
      <c r="A24" s="17" t="s">
        <v>382</v>
      </c>
      <c r="B24" s="51">
        <f>IF('ProductSprint Backlog'!$L257&gt;B$2,'ProductSprint Backlog'!$M257,0)</f>
        <v>0.5</v>
      </c>
      <c r="C24" s="51">
        <f>IF('ProductSprint Backlog'!$L257&gt;C$2,'ProductSprint Backlog'!$M257,0)</f>
        <v>0.5</v>
      </c>
      <c r="D24" s="51">
        <f>IF('ProductSprint Backlog'!$L257&gt;D$2,'ProductSprint Backlog'!$M257,0)</f>
        <v>0.5</v>
      </c>
      <c r="E24" s="51">
        <f>IF('ProductSprint Backlog'!$L257&gt;E$2,'ProductSprint Backlog'!$M257,0)</f>
        <v>0.5</v>
      </c>
      <c r="F24" s="51">
        <f>IF('ProductSprint Backlog'!$L257&gt;F$2,'ProductSprint Backlog'!$M257,0)</f>
        <v>0</v>
      </c>
      <c r="G24" s="51">
        <f>IF('ProductSprint Backlog'!$L257&gt;G$2,'ProductSprint Backlog'!$M257,0)</f>
        <v>0</v>
      </c>
      <c r="H24" s="51">
        <f>IF('ProductSprint Backlog'!$L257&gt;H$2,'ProductSprint Backlog'!$M257,0)</f>
        <v>0</v>
      </c>
      <c r="I24" s="51">
        <f>IF('ProductSprint Backlog'!$L257&gt;I$2,'ProductSprint Backlog'!$M257,0)</f>
        <v>0</v>
      </c>
      <c r="J24" s="51">
        <f>IF('ProductSprint Backlog'!$L257&gt;J$2,'ProductSprint Backlog'!$M257,0)</f>
        <v>0</v>
      </c>
      <c r="K24" s="51">
        <f>IF('ProductSprint Backlog'!$L257&gt;K$2,'ProductSprint Backlog'!$M257,0)</f>
        <v>0</v>
      </c>
      <c r="L24" s="51">
        <f>IF('ProductSprint Backlog'!$L257&gt;L$2,'ProductSprint Backlog'!$M257,0)</f>
        <v>0</v>
      </c>
      <c r="M24" s="51">
        <f>IF('ProductSprint Backlog'!$L257&gt;M$2,'ProductSprint Backlog'!$M257,0)</f>
        <v>0</v>
      </c>
      <c r="N24" s="51">
        <f>IF('ProductSprint Backlog'!$L257&gt;N$2,'ProductSprint Backlog'!$M257,0)</f>
        <v>0</v>
      </c>
      <c r="O24" s="51">
        <f>IF('ProductSprint Backlog'!$L257&gt;O$2,'ProductSprint Backlog'!$M257,0)</f>
        <v>0</v>
      </c>
      <c r="P24" s="51">
        <f>IF('ProductSprint Backlog'!$L257&gt;P$2,'ProductSprint Backlog'!$M257,0)</f>
        <v>0</v>
      </c>
    </row>
    <row r="25" spans="1:16" ht="25.5" x14ac:dyDescent="0.2">
      <c r="A25" s="17" t="s">
        <v>414</v>
      </c>
      <c r="B25" s="51">
        <f>IF('ProductSprint Backlog'!$L258&gt;B$2,'ProductSprint Backlog'!$M258,0)</f>
        <v>1</v>
      </c>
      <c r="C25" s="51">
        <f>IF('ProductSprint Backlog'!$L258&gt;C$2,'ProductSprint Backlog'!$M258,0)</f>
        <v>0</v>
      </c>
      <c r="D25" s="51">
        <f>IF('ProductSprint Backlog'!$L258&gt;D$2,'ProductSprint Backlog'!$M258,0)</f>
        <v>0</v>
      </c>
      <c r="E25" s="51">
        <f>IF('ProductSprint Backlog'!$L258&gt;E$2,'ProductSprint Backlog'!$M258,0)</f>
        <v>0</v>
      </c>
      <c r="F25" s="51">
        <f>IF('ProductSprint Backlog'!$L258&gt;F$2,'ProductSprint Backlog'!$M258,0)</f>
        <v>0</v>
      </c>
      <c r="G25" s="51">
        <f>IF('ProductSprint Backlog'!$L258&gt;G$2,'ProductSprint Backlog'!$M258,0)</f>
        <v>0</v>
      </c>
      <c r="H25" s="51">
        <f>IF('ProductSprint Backlog'!$L258&gt;H$2,'ProductSprint Backlog'!$M258,0)</f>
        <v>0</v>
      </c>
      <c r="I25" s="51">
        <f>IF('ProductSprint Backlog'!$L258&gt;I$2,'ProductSprint Backlog'!$M258,0)</f>
        <v>0</v>
      </c>
      <c r="J25" s="51">
        <f>IF('ProductSprint Backlog'!$L258&gt;J$2,'ProductSprint Backlog'!$M258,0)</f>
        <v>0</v>
      </c>
      <c r="K25" s="51">
        <f>IF('ProductSprint Backlog'!$L258&gt;K$2,'ProductSprint Backlog'!$M258,0)</f>
        <v>0</v>
      </c>
      <c r="L25" s="51">
        <f>IF('ProductSprint Backlog'!$L258&gt;L$2,'ProductSprint Backlog'!$M258,0)</f>
        <v>0</v>
      </c>
      <c r="M25" s="51">
        <f>IF('ProductSprint Backlog'!$L258&gt;M$2,'ProductSprint Backlog'!$M258,0)</f>
        <v>0</v>
      </c>
      <c r="N25" s="51">
        <f>IF('ProductSprint Backlog'!$L258&gt;N$2,'ProductSprint Backlog'!$M258,0)</f>
        <v>0</v>
      </c>
      <c r="O25" s="51">
        <f>IF('ProductSprint Backlog'!$L258&gt;O$2,'ProductSprint Backlog'!$M258,0)</f>
        <v>0</v>
      </c>
      <c r="P25" s="51">
        <f>IF('ProductSprint Backlog'!$L258&gt;P$2,'ProductSprint Backlog'!$M258,0)</f>
        <v>0</v>
      </c>
    </row>
    <row r="26" spans="1:16" ht="25.5" x14ac:dyDescent="0.2">
      <c r="A26" s="17" t="s">
        <v>416</v>
      </c>
      <c r="B26" s="51">
        <f>IF('ProductSprint Backlog'!$L259&gt;B$2,'ProductSprint Backlog'!$M259,0)</f>
        <v>1</v>
      </c>
      <c r="C26" s="51">
        <f>IF('ProductSprint Backlog'!$L259&gt;C$2,'ProductSprint Backlog'!$M259,0)</f>
        <v>0</v>
      </c>
      <c r="D26" s="51">
        <f>IF('ProductSprint Backlog'!$L259&gt;D$2,'ProductSprint Backlog'!$M259,0)</f>
        <v>0</v>
      </c>
      <c r="E26" s="51">
        <f>IF('ProductSprint Backlog'!$L259&gt;E$2,'ProductSprint Backlog'!$M259,0)</f>
        <v>0</v>
      </c>
      <c r="F26" s="51">
        <f>IF('ProductSprint Backlog'!$L259&gt;F$2,'ProductSprint Backlog'!$M259,0)</f>
        <v>0</v>
      </c>
      <c r="G26" s="51">
        <f>IF('ProductSprint Backlog'!$L259&gt;G$2,'ProductSprint Backlog'!$M259,0)</f>
        <v>0</v>
      </c>
      <c r="H26" s="51">
        <f>IF('ProductSprint Backlog'!$L259&gt;H$2,'ProductSprint Backlog'!$M259,0)</f>
        <v>0</v>
      </c>
      <c r="I26" s="51">
        <f>IF('ProductSprint Backlog'!$L259&gt;I$2,'ProductSprint Backlog'!$M259,0)</f>
        <v>0</v>
      </c>
      <c r="J26" s="51">
        <f>IF('ProductSprint Backlog'!$L259&gt;J$2,'ProductSprint Backlog'!$M259,0)</f>
        <v>0</v>
      </c>
      <c r="K26" s="51">
        <f>IF('ProductSprint Backlog'!$L259&gt;K$2,'ProductSprint Backlog'!$M259,0)</f>
        <v>0</v>
      </c>
      <c r="L26" s="51">
        <f>IF('ProductSprint Backlog'!$L259&gt;L$2,'ProductSprint Backlog'!$M259,0)</f>
        <v>0</v>
      </c>
      <c r="M26" s="51">
        <f>IF('ProductSprint Backlog'!$L259&gt;M$2,'ProductSprint Backlog'!$M259,0)</f>
        <v>0</v>
      </c>
      <c r="N26" s="51">
        <f>IF('ProductSprint Backlog'!$L259&gt;N$2,'ProductSprint Backlog'!$M259,0)</f>
        <v>0</v>
      </c>
      <c r="O26" s="51">
        <f>IF('ProductSprint Backlog'!$L259&gt;O$2,'ProductSprint Backlog'!$M259,0)</f>
        <v>0</v>
      </c>
      <c r="P26" s="51">
        <f>IF('ProductSprint Backlog'!$L259&gt;P$2,'ProductSprint Backlog'!$M259,0)</f>
        <v>0</v>
      </c>
    </row>
    <row r="27" spans="1:16" ht="25.5" x14ac:dyDescent="0.2">
      <c r="A27" s="17" t="s">
        <v>382</v>
      </c>
      <c r="B27" s="51">
        <f>IF('ProductSprint Backlog'!$L260&gt;B$2,'ProductSprint Backlog'!$M260,0)</f>
        <v>1</v>
      </c>
      <c r="C27" s="51">
        <f>IF('ProductSprint Backlog'!$L260&gt;C$2,'ProductSprint Backlog'!$M260,0)</f>
        <v>1</v>
      </c>
      <c r="D27" s="51">
        <f>IF('ProductSprint Backlog'!$L260&gt;D$2,'ProductSprint Backlog'!$M260,0)</f>
        <v>0</v>
      </c>
      <c r="E27" s="51">
        <f>IF('ProductSprint Backlog'!$L260&gt;E$2,'ProductSprint Backlog'!$M260,0)</f>
        <v>0</v>
      </c>
      <c r="F27" s="51">
        <f>IF('ProductSprint Backlog'!$L260&gt;F$2,'ProductSprint Backlog'!$M260,0)</f>
        <v>0</v>
      </c>
      <c r="G27" s="51">
        <f>IF('ProductSprint Backlog'!$L260&gt;G$2,'ProductSprint Backlog'!$M260,0)</f>
        <v>0</v>
      </c>
      <c r="H27" s="51">
        <f>IF('ProductSprint Backlog'!$L260&gt;H$2,'ProductSprint Backlog'!$M260,0)</f>
        <v>0</v>
      </c>
      <c r="I27" s="51">
        <f>IF('ProductSprint Backlog'!$L260&gt;I$2,'ProductSprint Backlog'!$M260,0)</f>
        <v>0</v>
      </c>
      <c r="J27" s="51">
        <f>IF('ProductSprint Backlog'!$L260&gt;J$2,'ProductSprint Backlog'!$M260,0)</f>
        <v>0</v>
      </c>
      <c r="K27" s="51">
        <f>IF('ProductSprint Backlog'!$L260&gt;K$2,'ProductSprint Backlog'!$M260,0)</f>
        <v>0</v>
      </c>
      <c r="L27" s="51">
        <f>IF('ProductSprint Backlog'!$L260&gt;L$2,'ProductSprint Backlog'!$M260,0)</f>
        <v>0</v>
      </c>
      <c r="M27" s="51">
        <f>IF('ProductSprint Backlog'!$L260&gt;M$2,'ProductSprint Backlog'!$M260,0)</f>
        <v>0</v>
      </c>
      <c r="N27" s="51">
        <f>IF('ProductSprint Backlog'!$L260&gt;N$2,'ProductSprint Backlog'!$M260,0)</f>
        <v>0</v>
      </c>
      <c r="O27" s="51">
        <f>IF('ProductSprint Backlog'!$L260&gt;O$2,'ProductSprint Backlog'!$M260,0)</f>
        <v>0</v>
      </c>
      <c r="P27" s="51">
        <f>IF('ProductSprint Backlog'!$L260&gt;P$2,'ProductSprint Backlog'!$M260,0)</f>
        <v>0</v>
      </c>
    </row>
    <row r="28" spans="1:16" ht="38.25" x14ac:dyDescent="0.2">
      <c r="A28" s="17" t="s">
        <v>384</v>
      </c>
      <c r="B28" s="51">
        <f>IF('ProductSprint Backlog'!$L261&gt;B$2,'ProductSprint Backlog'!$M261,0)</f>
        <v>0.5</v>
      </c>
      <c r="C28" s="51">
        <f>IF('ProductSprint Backlog'!$L261&gt;C$2,'ProductSprint Backlog'!$M261,0)</f>
        <v>0.5</v>
      </c>
      <c r="D28" s="51">
        <f>IF('ProductSprint Backlog'!$L261&gt;D$2,'ProductSprint Backlog'!$M261,0)</f>
        <v>0</v>
      </c>
      <c r="E28" s="51">
        <f>IF('ProductSprint Backlog'!$L261&gt;E$2,'ProductSprint Backlog'!$M261,0)</f>
        <v>0</v>
      </c>
      <c r="F28" s="51">
        <f>IF('ProductSprint Backlog'!$L261&gt;F$2,'ProductSprint Backlog'!$M261,0)</f>
        <v>0</v>
      </c>
      <c r="G28" s="51">
        <f>IF('ProductSprint Backlog'!$L261&gt;G$2,'ProductSprint Backlog'!$M261,0)</f>
        <v>0</v>
      </c>
      <c r="H28" s="51">
        <f>IF('ProductSprint Backlog'!$L261&gt;H$2,'ProductSprint Backlog'!$M261,0)</f>
        <v>0</v>
      </c>
      <c r="I28" s="51">
        <f>IF('ProductSprint Backlog'!$L261&gt;I$2,'ProductSprint Backlog'!$M261,0)</f>
        <v>0</v>
      </c>
      <c r="J28" s="51">
        <f>IF('ProductSprint Backlog'!$L261&gt;J$2,'ProductSprint Backlog'!$M261,0)</f>
        <v>0</v>
      </c>
      <c r="K28" s="51">
        <f>IF('ProductSprint Backlog'!$L261&gt;K$2,'ProductSprint Backlog'!$M261,0)</f>
        <v>0</v>
      </c>
      <c r="L28" s="51">
        <f>IF('ProductSprint Backlog'!$L261&gt;L$2,'ProductSprint Backlog'!$M261,0)</f>
        <v>0</v>
      </c>
      <c r="M28" s="51">
        <f>IF('ProductSprint Backlog'!$L261&gt;M$2,'ProductSprint Backlog'!$M261,0)</f>
        <v>0</v>
      </c>
      <c r="N28" s="51">
        <f>IF('ProductSprint Backlog'!$L261&gt;N$2,'ProductSprint Backlog'!$M261,0)</f>
        <v>0</v>
      </c>
      <c r="O28" s="51">
        <f>IF('ProductSprint Backlog'!$L261&gt;O$2,'ProductSprint Backlog'!$M261,0)</f>
        <v>0</v>
      </c>
      <c r="P28" s="51">
        <f>IF('ProductSprint Backlog'!$L261&gt;P$2,'ProductSprint Backlog'!$M261,0)</f>
        <v>0</v>
      </c>
    </row>
    <row r="29" spans="1:16" ht="25.5" x14ac:dyDescent="0.2">
      <c r="A29" s="17" t="s">
        <v>421</v>
      </c>
      <c r="B29" s="51">
        <f>IF('ProductSprint Backlog'!$L262&gt;B$2,'ProductSprint Backlog'!$M262,0)</f>
        <v>1</v>
      </c>
      <c r="C29" s="51">
        <f>IF('ProductSprint Backlog'!$L262&gt;C$2,'ProductSprint Backlog'!$M262,0)</f>
        <v>1</v>
      </c>
      <c r="D29" s="51">
        <f>IF('ProductSprint Backlog'!$L262&gt;D$2,'ProductSprint Backlog'!$M262,0)</f>
        <v>1</v>
      </c>
      <c r="E29" s="51">
        <f>IF('ProductSprint Backlog'!$L262&gt;E$2,'ProductSprint Backlog'!$M262,0)</f>
        <v>0</v>
      </c>
      <c r="F29" s="51">
        <f>IF('ProductSprint Backlog'!$L262&gt;F$2,'ProductSprint Backlog'!$M262,0)</f>
        <v>0</v>
      </c>
      <c r="G29" s="51">
        <f>IF('ProductSprint Backlog'!$L262&gt;G$2,'ProductSprint Backlog'!$M262,0)</f>
        <v>0</v>
      </c>
      <c r="H29" s="51">
        <f>IF('ProductSprint Backlog'!$L262&gt;H$2,'ProductSprint Backlog'!$M262,0)</f>
        <v>0</v>
      </c>
      <c r="I29" s="51">
        <f>IF('ProductSprint Backlog'!$L262&gt;I$2,'ProductSprint Backlog'!$M262,0)</f>
        <v>0</v>
      </c>
      <c r="J29" s="51">
        <f>IF('ProductSprint Backlog'!$L262&gt;J$2,'ProductSprint Backlog'!$M262,0)</f>
        <v>0</v>
      </c>
      <c r="K29" s="51">
        <f>IF('ProductSprint Backlog'!$L262&gt;K$2,'ProductSprint Backlog'!$M262,0)</f>
        <v>0</v>
      </c>
      <c r="L29" s="51">
        <f>IF('ProductSprint Backlog'!$L262&gt;L$2,'ProductSprint Backlog'!$M262,0)</f>
        <v>0</v>
      </c>
      <c r="M29" s="51">
        <f>IF('ProductSprint Backlog'!$L262&gt;M$2,'ProductSprint Backlog'!$M262,0)</f>
        <v>0</v>
      </c>
      <c r="N29" s="51">
        <f>IF('ProductSprint Backlog'!$L262&gt;N$2,'ProductSprint Backlog'!$M262,0)</f>
        <v>0</v>
      </c>
      <c r="O29" s="51">
        <f>IF('ProductSprint Backlog'!$L262&gt;O$2,'ProductSprint Backlog'!$M262,0)</f>
        <v>0</v>
      </c>
      <c r="P29" s="51">
        <f>IF('ProductSprint Backlog'!$L262&gt;P$2,'ProductSprint Backlog'!$M262,0)</f>
        <v>0</v>
      </c>
    </row>
    <row r="30" spans="1:16" ht="25.5" x14ac:dyDescent="0.2">
      <c r="A30" s="17" t="s">
        <v>416</v>
      </c>
      <c r="B30" s="51">
        <f>IF('ProductSprint Backlog'!$L263&gt;B$2,'ProductSprint Backlog'!$M263,0)</f>
        <v>1</v>
      </c>
      <c r="C30" s="51">
        <f>IF('ProductSprint Backlog'!$L263&gt;C$2,'ProductSprint Backlog'!$M263,0)</f>
        <v>1</v>
      </c>
      <c r="D30" s="51">
        <f>IF('ProductSprint Backlog'!$L263&gt;D$2,'ProductSprint Backlog'!$M263,0)</f>
        <v>1</v>
      </c>
      <c r="E30" s="51">
        <f>IF('ProductSprint Backlog'!$L263&gt;E$2,'ProductSprint Backlog'!$M263,0)</f>
        <v>0</v>
      </c>
      <c r="F30" s="51">
        <f>IF('ProductSprint Backlog'!$L263&gt;F$2,'ProductSprint Backlog'!$M263,0)</f>
        <v>0</v>
      </c>
      <c r="G30" s="51">
        <f>IF('ProductSprint Backlog'!$L263&gt;G$2,'ProductSprint Backlog'!$M263,0)</f>
        <v>0</v>
      </c>
      <c r="H30" s="51">
        <f>IF('ProductSprint Backlog'!$L263&gt;H$2,'ProductSprint Backlog'!$M263,0)</f>
        <v>0</v>
      </c>
      <c r="I30" s="51">
        <f>IF('ProductSprint Backlog'!$L263&gt;I$2,'ProductSprint Backlog'!$M263,0)</f>
        <v>0</v>
      </c>
      <c r="J30" s="51">
        <f>IF('ProductSprint Backlog'!$L263&gt;J$2,'ProductSprint Backlog'!$M263,0)</f>
        <v>0</v>
      </c>
      <c r="K30" s="51">
        <f>IF('ProductSprint Backlog'!$L263&gt;K$2,'ProductSprint Backlog'!$M263,0)</f>
        <v>0</v>
      </c>
      <c r="L30" s="51">
        <f>IF('ProductSprint Backlog'!$L263&gt;L$2,'ProductSprint Backlog'!$M263,0)</f>
        <v>0</v>
      </c>
      <c r="M30" s="51">
        <f>IF('ProductSprint Backlog'!$L263&gt;M$2,'ProductSprint Backlog'!$M263,0)</f>
        <v>0</v>
      </c>
      <c r="N30" s="51">
        <f>IF('ProductSprint Backlog'!$L263&gt;N$2,'ProductSprint Backlog'!$M263,0)</f>
        <v>0</v>
      </c>
      <c r="O30" s="51">
        <f>IF('ProductSprint Backlog'!$L263&gt;O$2,'ProductSprint Backlog'!$M263,0)</f>
        <v>0</v>
      </c>
      <c r="P30" s="51">
        <f>IF('ProductSprint Backlog'!$L263&gt;P$2,'ProductSprint Backlog'!$M263,0)</f>
        <v>0</v>
      </c>
    </row>
    <row r="31" spans="1:16" ht="25.5" x14ac:dyDescent="0.2">
      <c r="A31" s="17" t="s">
        <v>382</v>
      </c>
      <c r="B31" s="51">
        <f>IF('ProductSprint Backlog'!$L264&gt;B$2,'ProductSprint Backlog'!$M264,0)</f>
        <v>1</v>
      </c>
      <c r="C31" s="51">
        <f>IF('ProductSprint Backlog'!$L264&gt;C$2,'ProductSprint Backlog'!$M264,0)</f>
        <v>1</v>
      </c>
      <c r="D31" s="51">
        <f>IF('ProductSprint Backlog'!$L264&gt;D$2,'ProductSprint Backlog'!$M264,0)</f>
        <v>1</v>
      </c>
      <c r="E31" s="51">
        <f>IF('ProductSprint Backlog'!$L264&gt;E$2,'ProductSprint Backlog'!$M264,0)</f>
        <v>0</v>
      </c>
      <c r="F31" s="51">
        <f>IF('ProductSprint Backlog'!$L264&gt;F$2,'ProductSprint Backlog'!$M264,0)</f>
        <v>0</v>
      </c>
      <c r="G31" s="51">
        <f>IF('ProductSprint Backlog'!$L264&gt;G$2,'ProductSprint Backlog'!$M264,0)</f>
        <v>0</v>
      </c>
      <c r="H31" s="51">
        <f>IF('ProductSprint Backlog'!$L264&gt;H$2,'ProductSprint Backlog'!$M264,0)</f>
        <v>0</v>
      </c>
      <c r="I31" s="51">
        <f>IF('ProductSprint Backlog'!$L264&gt;I$2,'ProductSprint Backlog'!$M264,0)</f>
        <v>0</v>
      </c>
      <c r="J31" s="51">
        <f>IF('ProductSprint Backlog'!$L264&gt;J$2,'ProductSprint Backlog'!$M264,0)</f>
        <v>0</v>
      </c>
      <c r="K31" s="51">
        <f>IF('ProductSprint Backlog'!$L264&gt;K$2,'ProductSprint Backlog'!$M264,0)</f>
        <v>0</v>
      </c>
      <c r="L31" s="51">
        <f>IF('ProductSprint Backlog'!$L264&gt;L$2,'ProductSprint Backlog'!$M264,0)</f>
        <v>0</v>
      </c>
      <c r="M31" s="51">
        <f>IF('ProductSprint Backlog'!$L264&gt;M$2,'ProductSprint Backlog'!$M264,0)</f>
        <v>0</v>
      </c>
      <c r="N31" s="51">
        <f>IF('ProductSprint Backlog'!$L264&gt;N$2,'ProductSprint Backlog'!$M264,0)</f>
        <v>0</v>
      </c>
      <c r="O31" s="51">
        <f>IF('ProductSprint Backlog'!$L264&gt;O$2,'ProductSprint Backlog'!$M264,0)</f>
        <v>0</v>
      </c>
      <c r="P31" s="51">
        <f>IF('ProductSprint Backlog'!$L264&gt;P$2,'ProductSprint Backlog'!$M264,0)</f>
        <v>0</v>
      </c>
    </row>
    <row r="32" spans="1:16" ht="38.25" x14ac:dyDescent="0.2">
      <c r="A32" s="17" t="s">
        <v>384</v>
      </c>
      <c r="B32" s="51">
        <f>IF('ProductSprint Backlog'!$L265&gt;B$2,'ProductSprint Backlog'!$M265,0)</f>
        <v>1</v>
      </c>
      <c r="C32" s="51">
        <f>IF('ProductSprint Backlog'!$L265&gt;C$2,'ProductSprint Backlog'!$M265,0)</f>
        <v>1</v>
      </c>
      <c r="D32" s="51">
        <f>IF('ProductSprint Backlog'!$L265&gt;D$2,'ProductSprint Backlog'!$M265,0)</f>
        <v>1</v>
      </c>
      <c r="E32" s="51">
        <f>IF('ProductSprint Backlog'!$L265&gt;E$2,'ProductSprint Backlog'!$M265,0)</f>
        <v>1</v>
      </c>
      <c r="F32" s="51">
        <f>IF('ProductSprint Backlog'!$L265&gt;F$2,'ProductSprint Backlog'!$M265,0)</f>
        <v>0</v>
      </c>
      <c r="G32" s="51">
        <f>IF('ProductSprint Backlog'!$L265&gt;G$2,'ProductSprint Backlog'!$M265,0)</f>
        <v>0</v>
      </c>
      <c r="H32" s="51">
        <f>IF('ProductSprint Backlog'!$L265&gt;H$2,'ProductSprint Backlog'!$M265,0)</f>
        <v>0</v>
      </c>
      <c r="I32" s="51">
        <f>IF('ProductSprint Backlog'!$L265&gt;I$2,'ProductSprint Backlog'!$M265,0)</f>
        <v>0</v>
      </c>
      <c r="J32" s="51">
        <f>IF('ProductSprint Backlog'!$L265&gt;J$2,'ProductSprint Backlog'!$M265,0)</f>
        <v>0</v>
      </c>
      <c r="K32" s="51">
        <f>IF('ProductSprint Backlog'!$L265&gt;K$2,'ProductSprint Backlog'!$M265,0)</f>
        <v>0</v>
      </c>
      <c r="L32" s="51">
        <f>IF('ProductSprint Backlog'!$L265&gt;L$2,'ProductSprint Backlog'!$M265,0)</f>
        <v>0</v>
      </c>
      <c r="M32" s="51">
        <f>IF('ProductSprint Backlog'!$L265&gt;M$2,'ProductSprint Backlog'!$M265,0)</f>
        <v>0</v>
      </c>
      <c r="N32" s="51">
        <f>IF('ProductSprint Backlog'!$L265&gt;N$2,'ProductSprint Backlog'!$M265,0)</f>
        <v>0</v>
      </c>
      <c r="O32" s="51">
        <f>IF('ProductSprint Backlog'!$L265&gt;O$2,'ProductSprint Backlog'!$M265,0)</f>
        <v>0</v>
      </c>
      <c r="P32" s="51">
        <f>IF('ProductSprint Backlog'!$L265&gt;P$2,'ProductSprint Backlog'!$M265,0)</f>
        <v>0</v>
      </c>
    </row>
    <row r="33" spans="1:16" ht="25.5" x14ac:dyDescent="0.2">
      <c r="A33" s="17" t="s">
        <v>425</v>
      </c>
      <c r="B33" s="51">
        <f>IF('ProductSprint Backlog'!$L266&gt;B$2,'ProductSprint Backlog'!$M266,0)</f>
        <v>1</v>
      </c>
      <c r="C33" s="51">
        <f>IF('ProductSprint Backlog'!$L266&gt;C$2,'ProductSprint Backlog'!$M266,0)</f>
        <v>1</v>
      </c>
      <c r="D33" s="51">
        <f>IF('ProductSprint Backlog'!$L266&gt;D$2,'ProductSprint Backlog'!$M266,0)</f>
        <v>1</v>
      </c>
      <c r="E33" s="51">
        <f>IF('ProductSprint Backlog'!$L266&gt;E$2,'ProductSprint Backlog'!$M266,0)</f>
        <v>1</v>
      </c>
      <c r="F33" s="51">
        <f>IF('ProductSprint Backlog'!$L266&gt;F$2,'ProductSprint Backlog'!$M266,0)</f>
        <v>0</v>
      </c>
      <c r="G33" s="51">
        <f>IF('ProductSprint Backlog'!$L266&gt;G$2,'ProductSprint Backlog'!$M266,0)</f>
        <v>0</v>
      </c>
      <c r="H33" s="51">
        <f>IF('ProductSprint Backlog'!$L266&gt;H$2,'ProductSprint Backlog'!$M266,0)</f>
        <v>0</v>
      </c>
      <c r="I33" s="51">
        <f>IF('ProductSprint Backlog'!$L266&gt;I$2,'ProductSprint Backlog'!$M266,0)</f>
        <v>0</v>
      </c>
      <c r="J33" s="51">
        <f>IF('ProductSprint Backlog'!$L266&gt;J$2,'ProductSprint Backlog'!$M266,0)</f>
        <v>0</v>
      </c>
      <c r="K33" s="51">
        <f>IF('ProductSprint Backlog'!$L266&gt;K$2,'ProductSprint Backlog'!$M266,0)</f>
        <v>0</v>
      </c>
      <c r="L33" s="51">
        <f>IF('ProductSprint Backlog'!$L266&gt;L$2,'ProductSprint Backlog'!$M266,0)</f>
        <v>0</v>
      </c>
      <c r="M33" s="51">
        <f>IF('ProductSprint Backlog'!$L266&gt;M$2,'ProductSprint Backlog'!$M266,0)</f>
        <v>0</v>
      </c>
      <c r="N33" s="51">
        <f>IF('ProductSprint Backlog'!$L266&gt;N$2,'ProductSprint Backlog'!$M266,0)</f>
        <v>0</v>
      </c>
      <c r="O33" s="51">
        <f>IF('ProductSprint Backlog'!$L266&gt;O$2,'ProductSprint Backlog'!$M266,0)</f>
        <v>0</v>
      </c>
      <c r="P33" s="51">
        <f>IF('ProductSprint Backlog'!$L266&gt;P$2,'ProductSprint Backlog'!$M266,0)</f>
        <v>0</v>
      </c>
    </row>
    <row r="34" spans="1:16" ht="25.5" x14ac:dyDescent="0.2">
      <c r="A34" s="17" t="s">
        <v>427</v>
      </c>
      <c r="B34" s="51">
        <f>IF('ProductSprint Backlog'!$L267&gt;B$2,'ProductSprint Backlog'!$M267,0)</f>
        <v>1</v>
      </c>
      <c r="C34" s="51">
        <f>IF('ProductSprint Backlog'!$L267&gt;C$2,'ProductSprint Backlog'!$M267,0)</f>
        <v>1</v>
      </c>
      <c r="D34" s="51">
        <f>IF('ProductSprint Backlog'!$L267&gt;D$2,'ProductSprint Backlog'!$M267,0)</f>
        <v>1</v>
      </c>
      <c r="E34" s="51">
        <f>IF('ProductSprint Backlog'!$L267&gt;E$2,'ProductSprint Backlog'!$M267,0)</f>
        <v>1</v>
      </c>
      <c r="F34" s="51">
        <f>IF('ProductSprint Backlog'!$L267&gt;F$2,'ProductSprint Backlog'!$M267,0)</f>
        <v>0</v>
      </c>
      <c r="G34" s="51">
        <f>IF('ProductSprint Backlog'!$L267&gt;G$2,'ProductSprint Backlog'!$M267,0)</f>
        <v>0</v>
      </c>
      <c r="H34" s="51">
        <f>IF('ProductSprint Backlog'!$L267&gt;H$2,'ProductSprint Backlog'!$M267,0)</f>
        <v>0</v>
      </c>
      <c r="I34" s="51">
        <f>IF('ProductSprint Backlog'!$L267&gt;I$2,'ProductSprint Backlog'!$M267,0)</f>
        <v>0</v>
      </c>
      <c r="J34" s="51">
        <f>IF('ProductSprint Backlog'!$L267&gt;J$2,'ProductSprint Backlog'!$M267,0)</f>
        <v>0</v>
      </c>
      <c r="K34" s="51">
        <f>IF('ProductSprint Backlog'!$L267&gt;K$2,'ProductSprint Backlog'!$M267,0)</f>
        <v>0</v>
      </c>
      <c r="L34" s="51">
        <f>IF('ProductSprint Backlog'!$L267&gt;L$2,'ProductSprint Backlog'!$M267,0)</f>
        <v>0</v>
      </c>
      <c r="M34" s="51">
        <f>IF('ProductSprint Backlog'!$L267&gt;M$2,'ProductSprint Backlog'!$M267,0)</f>
        <v>0</v>
      </c>
      <c r="N34" s="51">
        <f>IF('ProductSprint Backlog'!$L267&gt;N$2,'ProductSprint Backlog'!$M267,0)</f>
        <v>0</v>
      </c>
      <c r="O34" s="51">
        <f>IF('ProductSprint Backlog'!$L267&gt;O$2,'ProductSprint Backlog'!$M267,0)</f>
        <v>0</v>
      </c>
      <c r="P34" s="51">
        <f>IF('ProductSprint Backlog'!$L267&gt;P$2,'ProductSprint Backlog'!$M267,0)</f>
        <v>0</v>
      </c>
    </row>
    <row r="35" spans="1:16" ht="25.5" x14ac:dyDescent="0.2">
      <c r="A35" s="17" t="s">
        <v>382</v>
      </c>
      <c r="B35" s="51">
        <f>IF('ProductSprint Backlog'!$L268&gt;B$2,'ProductSprint Backlog'!$M268,0)</f>
        <v>1</v>
      </c>
      <c r="C35" s="51">
        <f>IF('ProductSprint Backlog'!$L268&gt;C$2,'ProductSprint Backlog'!$M268,0)</f>
        <v>1</v>
      </c>
      <c r="D35" s="51">
        <f>IF('ProductSprint Backlog'!$L268&gt;D$2,'ProductSprint Backlog'!$M268,0)</f>
        <v>1</v>
      </c>
      <c r="E35" s="51">
        <f>IF('ProductSprint Backlog'!$L268&gt;E$2,'ProductSprint Backlog'!$M268,0)</f>
        <v>1</v>
      </c>
      <c r="F35" s="51">
        <f>IF('ProductSprint Backlog'!$L268&gt;F$2,'ProductSprint Backlog'!$M268,0)</f>
        <v>1</v>
      </c>
      <c r="G35" s="51">
        <f>IF('ProductSprint Backlog'!$L268&gt;G$2,'ProductSprint Backlog'!$M268,0)</f>
        <v>0</v>
      </c>
      <c r="H35" s="51">
        <f>IF('ProductSprint Backlog'!$L268&gt;H$2,'ProductSprint Backlog'!$M268,0)</f>
        <v>0</v>
      </c>
      <c r="I35" s="51">
        <f>IF('ProductSprint Backlog'!$L268&gt;I$2,'ProductSprint Backlog'!$M268,0)</f>
        <v>0</v>
      </c>
      <c r="J35" s="51">
        <f>IF('ProductSprint Backlog'!$L268&gt;J$2,'ProductSprint Backlog'!$M268,0)</f>
        <v>0</v>
      </c>
      <c r="K35" s="51">
        <f>IF('ProductSprint Backlog'!$L268&gt;K$2,'ProductSprint Backlog'!$M268,0)</f>
        <v>0</v>
      </c>
      <c r="L35" s="51">
        <f>IF('ProductSprint Backlog'!$L268&gt;L$2,'ProductSprint Backlog'!$M268,0)</f>
        <v>0</v>
      </c>
      <c r="M35" s="51">
        <f>IF('ProductSprint Backlog'!$L268&gt;M$2,'ProductSprint Backlog'!$M268,0)</f>
        <v>0</v>
      </c>
      <c r="N35" s="51">
        <f>IF('ProductSprint Backlog'!$L268&gt;N$2,'ProductSprint Backlog'!$M268,0)</f>
        <v>0</v>
      </c>
      <c r="O35" s="51">
        <f>IF('ProductSprint Backlog'!$L268&gt;O$2,'ProductSprint Backlog'!$M268,0)</f>
        <v>0</v>
      </c>
      <c r="P35" s="51">
        <f>IF('ProductSprint Backlog'!$L268&gt;P$2,'ProductSprint Backlog'!$M268,0)</f>
        <v>0</v>
      </c>
    </row>
    <row r="36" spans="1:16" ht="25.5" x14ac:dyDescent="0.2">
      <c r="A36" s="17" t="s">
        <v>429</v>
      </c>
      <c r="B36" s="51">
        <f>IF('ProductSprint Backlog'!$L269&gt;B$2,'ProductSprint Backlog'!$M269,0)</f>
        <v>1</v>
      </c>
      <c r="C36" s="51">
        <f>IF('ProductSprint Backlog'!$L269&gt;C$2,'ProductSprint Backlog'!$M269,0)</f>
        <v>1</v>
      </c>
      <c r="D36" s="51">
        <f>IF('ProductSprint Backlog'!$L269&gt;D$2,'ProductSprint Backlog'!$M269,0)</f>
        <v>1</v>
      </c>
      <c r="E36" s="51">
        <f>IF('ProductSprint Backlog'!$L269&gt;E$2,'ProductSprint Backlog'!$M269,0)</f>
        <v>1</v>
      </c>
      <c r="F36" s="51">
        <f>IF('ProductSprint Backlog'!$L269&gt;F$2,'ProductSprint Backlog'!$M269,0)</f>
        <v>1</v>
      </c>
      <c r="G36" s="51">
        <f>IF('ProductSprint Backlog'!$L269&gt;G$2,'ProductSprint Backlog'!$M269,0)</f>
        <v>1</v>
      </c>
      <c r="H36" s="51">
        <f>IF('ProductSprint Backlog'!$L269&gt;H$2,'ProductSprint Backlog'!$M269,0)</f>
        <v>0</v>
      </c>
      <c r="I36" s="51">
        <f>IF('ProductSprint Backlog'!$L269&gt;I$2,'ProductSprint Backlog'!$M269,0)</f>
        <v>0</v>
      </c>
      <c r="J36" s="51">
        <f>IF('ProductSprint Backlog'!$L269&gt;J$2,'ProductSprint Backlog'!$M269,0)</f>
        <v>0</v>
      </c>
      <c r="K36" s="51">
        <f>IF('ProductSprint Backlog'!$L269&gt;K$2,'ProductSprint Backlog'!$M269,0)</f>
        <v>0</v>
      </c>
      <c r="L36" s="51">
        <f>IF('ProductSprint Backlog'!$L269&gt;L$2,'ProductSprint Backlog'!$M269,0)</f>
        <v>0</v>
      </c>
      <c r="M36" s="51">
        <f>IF('ProductSprint Backlog'!$L269&gt;M$2,'ProductSprint Backlog'!$M269,0)</f>
        <v>0</v>
      </c>
      <c r="N36" s="51">
        <f>IF('ProductSprint Backlog'!$L269&gt;N$2,'ProductSprint Backlog'!$M269,0)</f>
        <v>0</v>
      </c>
      <c r="O36" s="51">
        <f>IF('ProductSprint Backlog'!$L269&gt;O$2,'ProductSprint Backlog'!$M269,0)</f>
        <v>0</v>
      </c>
      <c r="P36" s="51">
        <f>IF('ProductSprint Backlog'!$L269&gt;P$2,'ProductSprint Backlog'!$M269,0)</f>
        <v>0</v>
      </c>
    </row>
    <row r="37" spans="1:16" ht="25.5" x14ac:dyDescent="0.2">
      <c r="A37" s="17" t="s">
        <v>432</v>
      </c>
      <c r="B37" s="51">
        <f>IF('ProductSprint Backlog'!$L270&gt;B$2,'ProductSprint Backlog'!$M270,0)</f>
        <v>0.5</v>
      </c>
      <c r="C37" s="51">
        <f>IF('ProductSprint Backlog'!$L270&gt;C$2,'ProductSprint Backlog'!$M270,0)</f>
        <v>0.5</v>
      </c>
      <c r="D37" s="51">
        <f>IF('ProductSprint Backlog'!$L270&gt;D$2,'ProductSprint Backlog'!$M270,0)</f>
        <v>0.5</v>
      </c>
      <c r="E37" s="51">
        <f>IF('ProductSprint Backlog'!$L270&gt;E$2,'ProductSprint Backlog'!$M270,0)</f>
        <v>0.5</v>
      </c>
      <c r="F37" s="51">
        <f>IF('ProductSprint Backlog'!$L270&gt;F$2,'ProductSprint Backlog'!$M270,0)</f>
        <v>0.5</v>
      </c>
      <c r="G37" s="51">
        <f>IF('ProductSprint Backlog'!$L270&gt;G$2,'ProductSprint Backlog'!$M270,0)</f>
        <v>0.5</v>
      </c>
      <c r="H37" s="51">
        <f>IF('ProductSprint Backlog'!$L270&gt;H$2,'ProductSprint Backlog'!$M270,0)</f>
        <v>0</v>
      </c>
      <c r="I37" s="51">
        <f>IF('ProductSprint Backlog'!$L270&gt;I$2,'ProductSprint Backlog'!$M270,0)</f>
        <v>0</v>
      </c>
      <c r="J37" s="51">
        <f>IF('ProductSprint Backlog'!$L270&gt;J$2,'ProductSprint Backlog'!$M270,0)</f>
        <v>0</v>
      </c>
      <c r="K37" s="51">
        <f>IF('ProductSprint Backlog'!$L270&gt;K$2,'ProductSprint Backlog'!$M270,0)</f>
        <v>0</v>
      </c>
      <c r="L37" s="51">
        <f>IF('ProductSprint Backlog'!$L270&gt;L$2,'ProductSprint Backlog'!$M270,0)</f>
        <v>0</v>
      </c>
      <c r="M37" s="51">
        <f>IF('ProductSprint Backlog'!$L270&gt;M$2,'ProductSprint Backlog'!$M270,0)</f>
        <v>0</v>
      </c>
      <c r="N37" s="51">
        <f>IF('ProductSprint Backlog'!$L270&gt;N$2,'ProductSprint Backlog'!$M270,0)</f>
        <v>0</v>
      </c>
      <c r="O37" s="51">
        <f>IF('ProductSprint Backlog'!$L270&gt;O$2,'ProductSprint Backlog'!$M270,0)</f>
        <v>0</v>
      </c>
      <c r="P37" s="51">
        <f>IF('ProductSprint Backlog'!$L270&gt;P$2,'ProductSprint Backlog'!$M270,0)</f>
        <v>0</v>
      </c>
    </row>
    <row r="38" spans="1:16" ht="12.75" x14ac:dyDescent="0.2">
      <c r="A38" s="17" t="s">
        <v>434</v>
      </c>
      <c r="B38" s="51">
        <f>IF('ProductSprint Backlog'!$L271&gt;B$2,'ProductSprint Backlog'!$M271,0)</f>
        <v>1</v>
      </c>
      <c r="C38" s="51">
        <f>IF('ProductSprint Backlog'!$L271&gt;C$2,'ProductSprint Backlog'!$M271,0)</f>
        <v>1</v>
      </c>
      <c r="D38" s="51">
        <f>IF('ProductSprint Backlog'!$L271&gt;D$2,'ProductSprint Backlog'!$M271,0)</f>
        <v>1</v>
      </c>
      <c r="E38" s="51">
        <f>IF('ProductSprint Backlog'!$L271&gt;E$2,'ProductSprint Backlog'!$M271,0)</f>
        <v>1</v>
      </c>
      <c r="F38" s="51">
        <f>IF('ProductSprint Backlog'!$L271&gt;F$2,'ProductSprint Backlog'!$M271,0)</f>
        <v>1</v>
      </c>
      <c r="G38" s="51">
        <f>IF('ProductSprint Backlog'!$L271&gt;G$2,'ProductSprint Backlog'!$M271,0)</f>
        <v>1</v>
      </c>
      <c r="H38" s="51">
        <f>IF('ProductSprint Backlog'!$L271&gt;H$2,'ProductSprint Backlog'!$M271,0)</f>
        <v>1</v>
      </c>
      <c r="I38" s="51">
        <f>IF('ProductSprint Backlog'!$L271&gt;I$2,'ProductSprint Backlog'!$M271,0)</f>
        <v>0</v>
      </c>
      <c r="J38" s="51">
        <f>IF('ProductSprint Backlog'!$L271&gt;J$2,'ProductSprint Backlog'!$M271,0)</f>
        <v>0</v>
      </c>
      <c r="K38" s="51">
        <f>IF('ProductSprint Backlog'!$L271&gt;K$2,'ProductSprint Backlog'!$M271,0)</f>
        <v>0</v>
      </c>
      <c r="L38" s="51">
        <f>IF('ProductSprint Backlog'!$L271&gt;L$2,'ProductSprint Backlog'!$M271,0)</f>
        <v>0</v>
      </c>
      <c r="M38" s="51">
        <f>IF('ProductSprint Backlog'!$L271&gt;M$2,'ProductSprint Backlog'!$M271,0)</f>
        <v>0</v>
      </c>
      <c r="N38" s="51">
        <f>IF('ProductSprint Backlog'!$L271&gt;N$2,'ProductSprint Backlog'!$M271,0)</f>
        <v>0</v>
      </c>
      <c r="O38" s="51">
        <f>IF('ProductSprint Backlog'!$L271&gt;O$2,'ProductSprint Backlog'!$M271,0)</f>
        <v>0</v>
      </c>
      <c r="P38" s="51">
        <f>IF('ProductSprint Backlog'!$L271&gt;P$2,'ProductSprint Backlog'!$M271,0)</f>
        <v>0</v>
      </c>
    </row>
    <row r="39" spans="1:16" ht="25.5" x14ac:dyDescent="0.2">
      <c r="A39" s="17" t="s">
        <v>382</v>
      </c>
      <c r="B39" s="51">
        <f>IF('ProductSprint Backlog'!$L272&gt;B$2,'ProductSprint Backlog'!$M272,0)</f>
        <v>1</v>
      </c>
      <c r="C39" s="51">
        <f>IF('ProductSprint Backlog'!$L272&gt;C$2,'ProductSprint Backlog'!$M272,0)</f>
        <v>1</v>
      </c>
      <c r="D39" s="51">
        <f>IF('ProductSprint Backlog'!$L272&gt;D$2,'ProductSprint Backlog'!$M272,0)</f>
        <v>1</v>
      </c>
      <c r="E39" s="51">
        <f>IF('ProductSprint Backlog'!$L272&gt;E$2,'ProductSprint Backlog'!$M272,0)</f>
        <v>1</v>
      </c>
      <c r="F39" s="51">
        <f>IF('ProductSprint Backlog'!$L272&gt;F$2,'ProductSprint Backlog'!$M272,0)</f>
        <v>1</v>
      </c>
      <c r="G39" s="51">
        <f>IF('ProductSprint Backlog'!$L272&gt;G$2,'ProductSprint Backlog'!$M272,0)</f>
        <v>1</v>
      </c>
      <c r="H39" s="51">
        <f>IF('ProductSprint Backlog'!$L272&gt;H$2,'ProductSprint Backlog'!$M272,0)</f>
        <v>1</v>
      </c>
      <c r="I39" s="51">
        <f>IF('ProductSprint Backlog'!$L272&gt;I$2,'ProductSprint Backlog'!$M272,0)</f>
        <v>0</v>
      </c>
      <c r="J39" s="51">
        <f>IF('ProductSprint Backlog'!$L272&gt;J$2,'ProductSprint Backlog'!$M272,0)</f>
        <v>0</v>
      </c>
      <c r="K39" s="51">
        <f>IF('ProductSprint Backlog'!$L272&gt;K$2,'ProductSprint Backlog'!$M272,0)</f>
        <v>0</v>
      </c>
      <c r="L39" s="51">
        <f>IF('ProductSprint Backlog'!$L272&gt;L$2,'ProductSprint Backlog'!$M272,0)</f>
        <v>0</v>
      </c>
      <c r="M39" s="51">
        <f>IF('ProductSprint Backlog'!$L272&gt;M$2,'ProductSprint Backlog'!$M272,0)</f>
        <v>0</v>
      </c>
      <c r="N39" s="51">
        <f>IF('ProductSprint Backlog'!$L272&gt;N$2,'ProductSprint Backlog'!$M272,0)</f>
        <v>0</v>
      </c>
      <c r="O39" s="51">
        <f>IF('ProductSprint Backlog'!$L272&gt;O$2,'ProductSprint Backlog'!$M272,0)</f>
        <v>0</v>
      </c>
      <c r="P39" s="51">
        <f>IF('ProductSprint Backlog'!$L272&gt;P$2,'ProductSprint Backlog'!$M272,0)</f>
        <v>0</v>
      </c>
    </row>
    <row r="40" spans="1:16" ht="25.5" x14ac:dyDescent="0.2">
      <c r="A40" s="17" t="s">
        <v>429</v>
      </c>
      <c r="B40" s="51">
        <f>IF('ProductSprint Backlog'!$L273&gt;B$2,'ProductSprint Backlog'!$M273,0)</f>
        <v>1</v>
      </c>
      <c r="C40" s="51">
        <f>IF('ProductSprint Backlog'!$L273&gt;C$2,'ProductSprint Backlog'!$M273,0)</f>
        <v>1</v>
      </c>
      <c r="D40" s="51">
        <f>IF('ProductSprint Backlog'!$L273&gt;D$2,'ProductSprint Backlog'!$M273,0)</f>
        <v>1</v>
      </c>
      <c r="E40" s="51">
        <f>IF('ProductSprint Backlog'!$L273&gt;E$2,'ProductSprint Backlog'!$M273,0)</f>
        <v>1</v>
      </c>
      <c r="F40" s="51">
        <f>IF('ProductSprint Backlog'!$L273&gt;F$2,'ProductSprint Backlog'!$M273,0)</f>
        <v>1</v>
      </c>
      <c r="G40" s="51">
        <f>IF('ProductSprint Backlog'!$L273&gt;G$2,'ProductSprint Backlog'!$M273,0)</f>
        <v>1</v>
      </c>
      <c r="H40" s="51">
        <f>IF('ProductSprint Backlog'!$L273&gt;H$2,'ProductSprint Backlog'!$M273,0)</f>
        <v>1</v>
      </c>
      <c r="I40" s="51">
        <f>IF('ProductSprint Backlog'!$L273&gt;I$2,'ProductSprint Backlog'!$M273,0)</f>
        <v>0</v>
      </c>
      <c r="J40" s="51">
        <f>IF('ProductSprint Backlog'!$L273&gt;J$2,'ProductSprint Backlog'!$M273,0)</f>
        <v>0</v>
      </c>
      <c r="K40" s="51">
        <f>IF('ProductSprint Backlog'!$L273&gt;K$2,'ProductSprint Backlog'!$M273,0)</f>
        <v>0</v>
      </c>
      <c r="L40" s="51">
        <f>IF('ProductSprint Backlog'!$L273&gt;L$2,'ProductSprint Backlog'!$M273,0)</f>
        <v>0</v>
      </c>
      <c r="M40" s="51">
        <f>IF('ProductSprint Backlog'!$L273&gt;M$2,'ProductSprint Backlog'!$M273,0)</f>
        <v>0</v>
      </c>
      <c r="N40" s="51">
        <f>IF('ProductSprint Backlog'!$L273&gt;N$2,'ProductSprint Backlog'!$M273,0)</f>
        <v>0</v>
      </c>
      <c r="O40" s="51">
        <f>IF('ProductSprint Backlog'!$L273&gt;O$2,'ProductSprint Backlog'!$M273,0)</f>
        <v>0</v>
      </c>
      <c r="P40" s="51">
        <f>IF('ProductSprint Backlog'!$L273&gt;P$2,'ProductSprint Backlog'!$M273,0)</f>
        <v>0</v>
      </c>
    </row>
    <row r="41" spans="1:16" ht="51" x14ac:dyDescent="0.2">
      <c r="A41" s="17" t="s">
        <v>437</v>
      </c>
      <c r="B41" s="51">
        <f>IF('ProductSprint Backlog'!$L274&gt;B$2,'ProductSprint Backlog'!$M274,0)</f>
        <v>4</v>
      </c>
      <c r="C41" s="51">
        <f>IF('ProductSprint Backlog'!$L274&gt;C$2,'ProductSprint Backlog'!$M274,0)</f>
        <v>4</v>
      </c>
      <c r="D41" s="51">
        <f>IF('ProductSprint Backlog'!$L274&gt;D$2,'ProductSprint Backlog'!$M274,0)</f>
        <v>4</v>
      </c>
      <c r="E41" s="51">
        <f>IF('ProductSprint Backlog'!$L274&gt;E$2,'ProductSprint Backlog'!$M274,0)</f>
        <v>4</v>
      </c>
      <c r="F41" s="51">
        <f>IF('ProductSprint Backlog'!$L274&gt;F$2,'ProductSprint Backlog'!$M274,0)</f>
        <v>4</v>
      </c>
      <c r="G41" s="51">
        <f>IF('ProductSprint Backlog'!$L274&gt;G$2,'ProductSprint Backlog'!$M274,0)</f>
        <v>4</v>
      </c>
      <c r="H41" s="51">
        <f>IF('ProductSprint Backlog'!$L274&gt;H$2,'ProductSprint Backlog'!$M274,0)</f>
        <v>0</v>
      </c>
      <c r="I41" s="51">
        <f>IF('ProductSprint Backlog'!$L274&gt;I$2,'ProductSprint Backlog'!$M274,0)</f>
        <v>0</v>
      </c>
      <c r="J41" s="51">
        <f>IF('ProductSprint Backlog'!$L274&gt;J$2,'ProductSprint Backlog'!$M274,0)</f>
        <v>0</v>
      </c>
      <c r="K41" s="51">
        <f>IF('ProductSprint Backlog'!$L274&gt;K$2,'ProductSprint Backlog'!$M274,0)</f>
        <v>0</v>
      </c>
      <c r="L41" s="51">
        <f>IF('ProductSprint Backlog'!$L274&gt;L$2,'ProductSprint Backlog'!$M274,0)</f>
        <v>0</v>
      </c>
      <c r="M41" s="51">
        <f>IF('ProductSprint Backlog'!$L274&gt;M$2,'ProductSprint Backlog'!$M274,0)</f>
        <v>0</v>
      </c>
      <c r="N41" s="51">
        <f>IF('ProductSprint Backlog'!$L274&gt;N$2,'ProductSprint Backlog'!$M274,0)</f>
        <v>0</v>
      </c>
      <c r="O41" s="51">
        <f>IF('ProductSprint Backlog'!$L274&gt;O$2,'ProductSprint Backlog'!$M274,0)</f>
        <v>0</v>
      </c>
      <c r="P41" s="51">
        <f>IF('ProductSprint Backlog'!$L274&gt;P$2,'ProductSprint Backlog'!$M274,0)</f>
        <v>0</v>
      </c>
    </row>
    <row r="42" spans="1:16" ht="51" x14ac:dyDescent="0.2">
      <c r="A42" s="17" t="s">
        <v>439</v>
      </c>
      <c r="B42" s="51">
        <f>IF('ProductSprint Backlog'!$L275&gt;B$2,'ProductSprint Backlog'!$M275,0)</f>
        <v>4</v>
      </c>
      <c r="C42" s="51">
        <f>IF('ProductSprint Backlog'!$L275&gt;C$2,'ProductSprint Backlog'!$M275,0)</f>
        <v>4</v>
      </c>
      <c r="D42" s="51">
        <f>IF('ProductSprint Backlog'!$L275&gt;D$2,'ProductSprint Backlog'!$M275,0)</f>
        <v>4</v>
      </c>
      <c r="E42" s="51">
        <f>IF('ProductSprint Backlog'!$L275&gt;E$2,'ProductSprint Backlog'!$M275,0)</f>
        <v>4</v>
      </c>
      <c r="F42" s="51">
        <f>IF('ProductSprint Backlog'!$L275&gt;F$2,'ProductSprint Backlog'!$M275,0)</f>
        <v>4</v>
      </c>
      <c r="G42" s="51">
        <f>IF('ProductSprint Backlog'!$L275&gt;G$2,'ProductSprint Backlog'!$M275,0)</f>
        <v>4</v>
      </c>
      <c r="H42" s="51">
        <f>IF('ProductSprint Backlog'!$L275&gt;H$2,'ProductSprint Backlog'!$M275,0)</f>
        <v>4</v>
      </c>
      <c r="I42" s="51">
        <f>IF('ProductSprint Backlog'!$L275&gt;I$2,'ProductSprint Backlog'!$M275,0)</f>
        <v>0</v>
      </c>
      <c r="J42" s="51">
        <f>IF('ProductSprint Backlog'!$L275&gt;J$2,'ProductSprint Backlog'!$M275,0)</f>
        <v>0</v>
      </c>
      <c r="K42" s="51">
        <f>IF('ProductSprint Backlog'!$L275&gt;K$2,'ProductSprint Backlog'!$M275,0)</f>
        <v>0</v>
      </c>
      <c r="L42" s="51">
        <f>IF('ProductSprint Backlog'!$L275&gt;L$2,'ProductSprint Backlog'!$M275,0)</f>
        <v>0</v>
      </c>
      <c r="M42" s="51">
        <f>IF('ProductSprint Backlog'!$L275&gt;M$2,'ProductSprint Backlog'!$M275,0)</f>
        <v>0</v>
      </c>
      <c r="N42" s="51">
        <f>IF('ProductSprint Backlog'!$L275&gt;N$2,'ProductSprint Backlog'!$M275,0)</f>
        <v>0</v>
      </c>
      <c r="O42" s="51">
        <f>IF('ProductSprint Backlog'!$L275&gt;O$2,'ProductSprint Backlog'!$M275,0)</f>
        <v>0</v>
      </c>
      <c r="P42" s="51">
        <f>IF('ProductSprint Backlog'!$L275&gt;P$2,'ProductSprint Backlog'!$M275,0)</f>
        <v>0</v>
      </c>
    </row>
    <row r="43" spans="1:16" ht="51" x14ac:dyDescent="0.2">
      <c r="A43" s="17" t="s">
        <v>441</v>
      </c>
      <c r="B43" s="51">
        <f>IF('ProductSprint Backlog'!$L276&gt;B$2,'ProductSprint Backlog'!$M276,0)</f>
        <v>3</v>
      </c>
      <c r="C43" s="51">
        <f>IF('ProductSprint Backlog'!$L276&gt;C$2,'ProductSprint Backlog'!$M276,0)</f>
        <v>3</v>
      </c>
      <c r="D43" s="51">
        <f>IF('ProductSprint Backlog'!$L276&gt;D$2,'ProductSprint Backlog'!$M276,0)</f>
        <v>3</v>
      </c>
      <c r="E43" s="51">
        <f>IF('ProductSprint Backlog'!$L276&gt;E$2,'ProductSprint Backlog'!$M276,0)</f>
        <v>3</v>
      </c>
      <c r="F43" s="51">
        <f>IF('ProductSprint Backlog'!$L276&gt;F$2,'ProductSprint Backlog'!$M276,0)</f>
        <v>3</v>
      </c>
      <c r="G43" s="51">
        <f>IF('ProductSprint Backlog'!$L276&gt;G$2,'ProductSprint Backlog'!$M276,0)</f>
        <v>3</v>
      </c>
      <c r="H43" s="51">
        <f>IF('ProductSprint Backlog'!$L276&gt;H$2,'ProductSprint Backlog'!$M276,0)</f>
        <v>3</v>
      </c>
      <c r="I43" s="51">
        <f>IF('ProductSprint Backlog'!$L276&gt;I$2,'ProductSprint Backlog'!$M276,0)</f>
        <v>0</v>
      </c>
      <c r="J43" s="51">
        <f>IF('ProductSprint Backlog'!$L276&gt;J$2,'ProductSprint Backlog'!$M276,0)</f>
        <v>0</v>
      </c>
      <c r="K43" s="51">
        <f>IF('ProductSprint Backlog'!$L276&gt;K$2,'ProductSprint Backlog'!$M276,0)</f>
        <v>0</v>
      </c>
      <c r="L43" s="51">
        <f>IF('ProductSprint Backlog'!$L276&gt;L$2,'ProductSprint Backlog'!$M276,0)</f>
        <v>0</v>
      </c>
      <c r="M43" s="51">
        <f>IF('ProductSprint Backlog'!$L276&gt;M$2,'ProductSprint Backlog'!$M276,0)</f>
        <v>0</v>
      </c>
      <c r="N43" s="51">
        <f>IF('ProductSprint Backlog'!$L276&gt;N$2,'ProductSprint Backlog'!$M276,0)</f>
        <v>0</v>
      </c>
      <c r="O43" s="51">
        <f>IF('ProductSprint Backlog'!$L276&gt;O$2,'ProductSprint Backlog'!$M276,0)</f>
        <v>0</v>
      </c>
      <c r="P43" s="51">
        <f>IF('ProductSprint Backlog'!$L276&gt;P$2,'ProductSprint Backlog'!$M276,0)</f>
        <v>0</v>
      </c>
    </row>
    <row r="44" spans="1:16" ht="25.5" x14ac:dyDescent="0.2">
      <c r="A44" s="17" t="s">
        <v>444</v>
      </c>
      <c r="B44" s="51">
        <f>IF('ProductSprint Backlog'!$L277&gt;B$2,'ProductSprint Backlog'!$M277,0)</f>
        <v>2</v>
      </c>
      <c r="C44" s="51">
        <f>IF('ProductSprint Backlog'!$L277&gt;C$2,'ProductSprint Backlog'!$M277,0)</f>
        <v>2</v>
      </c>
      <c r="D44" s="51">
        <f>IF('ProductSprint Backlog'!$L277&gt;D$2,'ProductSprint Backlog'!$M277,0)</f>
        <v>2</v>
      </c>
      <c r="E44" s="51">
        <f>IF('ProductSprint Backlog'!$L277&gt;E$2,'ProductSprint Backlog'!$M277,0)</f>
        <v>2</v>
      </c>
      <c r="F44" s="51">
        <f>IF('ProductSprint Backlog'!$L277&gt;F$2,'ProductSprint Backlog'!$M277,0)</f>
        <v>0</v>
      </c>
      <c r="G44" s="51">
        <f>IF('ProductSprint Backlog'!$L277&gt;G$2,'ProductSprint Backlog'!$M277,0)</f>
        <v>0</v>
      </c>
      <c r="H44" s="51">
        <f>IF('ProductSprint Backlog'!$L277&gt;H$2,'ProductSprint Backlog'!$M277,0)</f>
        <v>0</v>
      </c>
      <c r="I44" s="51">
        <f>IF('ProductSprint Backlog'!$L277&gt;I$2,'ProductSprint Backlog'!$M277,0)</f>
        <v>0</v>
      </c>
      <c r="J44" s="51">
        <f>IF('ProductSprint Backlog'!$L277&gt;J$2,'ProductSprint Backlog'!$M277,0)</f>
        <v>0</v>
      </c>
      <c r="K44" s="51">
        <f>IF('ProductSprint Backlog'!$L277&gt;K$2,'ProductSprint Backlog'!$M277,0)</f>
        <v>0</v>
      </c>
      <c r="L44" s="51">
        <f>IF('ProductSprint Backlog'!$L277&gt;L$2,'ProductSprint Backlog'!$M277,0)</f>
        <v>0</v>
      </c>
      <c r="M44" s="51">
        <f>IF('ProductSprint Backlog'!$L277&gt;M$2,'ProductSprint Backlog'!$M277,0)</f>
        <v>0</v>
      </c>
      <c r="N44" s="51">
        <f>IF('ProductSprint Backlog'!$L277&gt;N$2,'ProductSprint Backlog'!$M277,0)</f>
        <v>0</v>
      </c>
      <c r="O44" s="51">
        <f>IF('ProductSprint Backlog'!$L277&gt;O$2,'ProductSprint Backlog'!$M277,0)</f>
        <v>0</v>
      </c>
      <c r="P44" s="51">
        <f>IF('ProductSprint Backlog'!$L277&gt;P$2,'ProductSprint Backlog'!$M277,0)</f>
        <v>0</v>
      </c>
    </row>
    <row r="45" spans="1:16" ht="25.5" x14ac:dyDescent="0.2">
      <c r="A45" s="17" t="s">
        <v>446</v>
      </c>
      <c r="B45" s="51">
        <f>IF('ProductSprint Backlog'!$L278&gt;B$2,'ProductSprint Backlog'!$M278,0)</f>
        <v>2</v>
      </c>
      <c r="C45" s="51">
        <f>IF('ProductSprint Backlog'!$L278&gt;C$2,'ProductSprint Backlog'!$M278,0)</f>
        <v>2</v>
      </c>
      <c r="D45" s="51">
        <f>IF('ProductSprint Backlog'!$L278&gt;D$2,'ProductSprint Backlog'!$M278,0)</f>
        <v>2</v>
      </c>
      <c r="E45" s="51">
        <f>IF('ProductSprint Backlog'!$L278&gt;E$2,'ProductSprint Backlog'!$M278,0)</f>
        <v>2</v>
      </c>
      <c r="F45" s="51">
        <f>IF('ProductSprint Backlog'!$L278&gt;F$2,'ProductSprint Backlog'!$M278,0)</f>
        <v>2</v>
      </c>
      <c r="G45" s="51">
        <f>IF('ProductSprint Backlog'!$L278&gt;G$2,'ProductSprint Backlog'!$M278,0)</f>
        <v>2</v>
      </c>
      <c r="H45" s="51">
        <f>IF('ProductSprint Backlog'!$L278&gt;H$2,'ProductSprint Backlog'!$M278,0)</f>
        <v>0</v>
      </c>
      <c r="I45" s="51">
        <f>IF('ProductSprint Backlog'!$L278&gt;I$2,'ProductSprint Backlog'!$M278,0)</f>
        <v>0</v>
      </c>
      <c r="J45" s="51">
        <f>IF('ProductSprint Backlog'!$L278&gt;J$2,'ProductSprint Backlog'!$M278,0)</f>
        <v>0</v>
      </c>
      <c r="K45" s="51">
        <f>IF('ProductSprint Backlog'!$L278&gt;K$2,'ProductSprint Backlog'!$M278,0)</f>
        <v>0</v>
      </c>
      <c r="L45" s="51">
        <f>IF('ProductSprint Backlog'!$L278&gt;L$2,'ProductSprint Backlog'!$M278,0)</f>
        <v>0</v>
      </c>
      <c r="M45" s="51">
        <f>IF('ProductSprint Backlog'!$L278&gt;M$2,'ProductSprint Backlog'!$M278,0)</f>
        <v>0</v>
      </c>
      <c r="N45" s="51">
        <f>IF('ProductSprint Backlog'!$L278&gt;N$2,'ProductSprint Backlog'!$M278,0)</f>
        <v>0</v>
      </c>
      <c r="O45" s="51">
        <f>IF('ProductSprint Backlog'!$L278&gt;O$2,'ProductSprint Backlog'!$M278,0)</f>
        <v>0</v>
      </c>
      <c r="P45" s="51">
        <f>IF('ProductSprint Backlog'!$L278&gt;P$2,'ProductSprint Backlog'!$M278,0)</f>
        <v>0</v>
      </c>
    </row>
    <row r="46" spans="1:16" ht="12.75" x14ac:dyDescent="0.2">
      <c r="A46" s="17" t="s">
        <v>448</v>
      </c>
      <c r="B46" s="51">
        <f>IF('ProductSprint Backlog'!$L279&gt;B$2,'ProductSprint Backlog'!$M279,0)</f>
        <v>2</v>
      </c>
      <c r="C46" s="51">
        <f>IF('ProductSprint Backlog'!$L279&gt;C$2,'ProductSprint Backlog'!$M279,0)</f>
        <v>2</v>
      </c>
      <c r="D46" s="51">
        <f>IF('ProductSprint Backlog'!$L279&gt;D$2,'ProductSprint Backlog'!$M279,0)</f>
        <v>2</v>
      </c>
      <c r="E46" s="51">
        <f>IF('ProductSprint Backlog'!$L279&gt;E$2,'ProductSprint Backlog'!$M279,0)</f>
        <v>2</v>
      </c>
      <c r="F46" s="51">
        <f>IF('ProductSprint Backlog'!$L279&gt;F$2,'ProductSprint Backlog'!$M279,0)</f>
        <v>2</v>
      </c>
      <c r="G46" s="51">
        <f>IF('ProductSprint Backlog'!$L279&gt;G$2,'ProductSprint Backlog'!$M279,0)</f>
        <v>2</v>
      </c>
      <c r="H46" s="51">
        <f>IF('ProductSprint Backlog'!$L279&gt;H$2,'ProductSprint Backlog'!$M279,0)</f>
        <v>0</v>
      </c>
      <c r="I46" s="51">
        <f>IF('ProductSprint Backlog'!$L279&gt;I$2,'ProductSprint Backlog'!$M279,0)</f>
        <v>0</v>
      </c>
      <c r="J46" s="51">
        <f>IF('ProductSprint Backlog'!$L279&gt;J$2,'ProductSprint Backlog'!$M279,0)</f>
        <v>0</v>
      </c>
      <c r="K46" s="51">
        <f>IF('ProductSprint Backlog'!$L279&gt;K$2,'ProductSprint Backlog'!$M279,0)</f>
        <v>0</v>
      </c>
      <c r="L46" s="51">
        <f>IF('ProductSprint Backlog'!$L279&gt;L$2,'ProductSprint Backlog'!$M279,0)</f>
        <v>0</v>
      </c>
      <c r="M46" s="51">
        <f>IF('ProductSprint Backlog'!$L279&gt;M$2,'ProductSprint Backlog'!$M279,0)</f>
        <v>0</v>
      </c>
      <c r="N46" s="51">
        <f>IF('ProductSprint Backlog'!$L279&gt;N$2,'ProductSprint Backlog'!$M279,0)</f>
        <v>0</v>
      </c>
      <c r="O46" s="51">
        <f>IF('ProductSprint Backlog'!$L279&gt;O$2,'ProductSprint Backlog'!$M279,0)</f>
        <v>0</v>
      </c>
      <c r="P46" s="51">
        <f>IF('ProductSprint Backlog'!$L279&gt;P$2,'ProductSprint Backlog'!$M279,0)</f>
        <v>0</v>
      </c>
    </row>
    <row r="47" spans="1:16" ht="25.5" x14ac:dyDescent="0.2">
      <c r="A47" s="17" t="s">
        <v>450</v>
      </c>
      <c r="B47" s="51">
        <f>IF('ProductSprint Backlog'!$L280&gt;B$2,'ProductSprint Backlog'!$M280,0)</f>
        <v>1</v>
      </c>
      <c r="C47" s="51">
        <f>IF('ProductSprint Backlog'!$L280&gt;C$2,'ProductSprint Backlog'!$M280,0)</f>
        <v>1</v>
      </c>
      <c r="D47" s="51">
        <f>IF('ProductSprint Backlog'!$L280&gt;D$2,'ProductSprint Backlog'!$M280,0)</f>
        <v>1</v>
      </c>
      <c r="E47" s="51">
        <f>IF('ProductSprint Backlog'!$L280&gt;E$2,'ProductSprint Backlog'!$M280,0)</f>
        <v>1</v>
      </c>
      <c r="F47" s="51">
        <f>IF('ProductSprint Backlog'!$L280&gt;F$2,'ProductSprint Backlog'!$M280,0)</f>
        <v>1</v>
      </c>
      <c r="G47" s="51">
        <f>IF('ProductSprint Backlog'!$L280&gt;G$2,'ProductSprint Backlog'!$M280,0)</f>
        <v>1</v>
      </c>
      <c r="H47" s="51">
        <f>IF('ProductSprint Backlog'!$L280&gt;H$2,'ProductSprint Backlog'!$M280,0)</f>
        <v>1</v>
      </c>
      <c r="I47" s="51">
        <f>IF('ProductSprint Backlog'!$L280&gt;I$2,'ProductSprint Backlog'!$M280,0)</f>
        <v>0</v>
      </c>
      <c r="J47" s="51">
        <f>IF('ProductSprint Backlog'!$L280&gt;J$2,'ProductSprint Backlog'!$M280,0)</f>
        <v>0</v>
      </c>
      <c r="K47" s="51">
        <f>IF('ProductSprint Backlog'!$L280&gt;K$2,'ProductSprint Backlog'!$M280,0)</f>
        <v>0</v>
      </c>
      <c r="L47" s="51">
        <f>IF('ProductSprint Backlog'!$L280&gt;L$2,'ProductSprint Backlog'!$M280,0)</f>
        <v>0</v>
      </c>
      <c r="M47" s="51">
        <f>IF('ProductSprint Backlog'!$L280&gt;M$2,'ProductSprint Backlog'!$M280,0)</f>
        <v>0</v>
      </c>
      <c r="N47" s="51">
        <f>IF('ProductSprint Backlog'!$L280&gt;N$2,'ProductSprint Backlog'!$M280,0)</f>
        <v>0</v>
      </c>
      <c r="O47" s="51">
        <f>IF('ProductSprint Backlog'!$L280&gt;O$2,'ProductSprint Backlog'!$M280,0)</f>
        <v>0</v>
      </c>
      <c r="P47" s="51">
        <f>IF('ProductSprint Backlog'!$L280&gt;P$2,'ProductSprint Backlog'!$M280,0)</f>
        <v>0</v>
      </c>
    </row>
    <row r="48" spans="1:16" ht="12.75" x14ac:dyDescent="0.2">
      <c r="A48" s="17"/>
      <c r="B48" s="51"/>
      <c r="C48" s="51"/>
      <c r="D48" s="51"/>
      <c r="E48" s="51"/>
      <c r="F48" s="51"/>
      <c r="G48" s="51"/>
      <c r="H48" s="51"/>
      <c r="I48" s="51"/>
      <c r="J48" s="51"/>
      <c r="K48" s="51"/>
      <c r="L48" s="51"/>
      <c r="M48" s="51"/>
      <c r="N48" s="51"/>
      <c r="O48" s="51"/>
      <c r="P48" s="51"/>
    </row>
    <row r="49" spans="1:16" ht="12.75" x14ac:dyDescent="0.2">
      <c r="A49" s="17"/>
      <c r="B49" s="51"/>
      <c r="C49" s="51"/>
      <c r="D49" s="51"/>
      <c r="E49" s="51"/>
      <c r="F49" s="51"/>
      <c r="G49" s="51"/>
      <c r="H49" s="51"/>
      <c r="I49" s="51"/>
      <c r="J49" s="51"/>
      <c r="K49" s="51"/>
      <c r="L49" s="51"/>
      <c r="M49" s="51"/>
      <c r="N49" s="51"/>
      <c r="O49" s="51"/>
      <c r="P49" s="51"/>
    </row>
    <row r="50" spans="1:16" ht="12.75" x14ac:dyDescent="0.2">
      <c r="A50" s="17"/>
      <c r="B50" s="51"/>
      <c r="C50" s="51"/>
      <c r="D50" s="51"/>
      <c r="E50" s="51"/>
      <c r="F50" s="51"/>
      <c r="G50" s="51"/>
      <c r="H50" s="51"/>
      <c r="I50" s="51"/>
      <c r="J50" s="51"/>
      <c r="K50" s="51"/>
      <c r="L50" s="51"/>
      <c r="M50" s="51"/>
      <c r="N50" s="51"/>
      <c r="O50" s="51"/>
      <c r="P50" s="51"/>
    </row>
    <row r="51" spans="1:16" ht="12.75" x14ac:dyDescent="0.2">
      <c r="A51" s="17"/>
      <c r="B51" s="51"/>
      <c r="C51" s="51"/>
      <c r="D51" s="51"/>
      <c r="E51" s="51"/>
      <c r="F51" s="51"/>
      <c r="G51" s="51"/>
      <c r="H51" s="51"/>
      <c r="I51" s="51"/>
      <c r="J51" s="51"/>
      <c r="K51" s="51"/>
      <c r="L51" s="51"/>
      <c r="M51" s="51"/>
      <c r="N51" s="51"/>
      <c r="O51" s="51"/>
      <c r="P51" s="51"/>
    </row>
    <row r="52" spans="1:16" ht="12.75" x14ac:dyDescent="0.2">
      <c r="A52" s="17"/>
      <c r="B52" s="51"/>
      <c r="C52" s="51"/>
      <c r="D52" s="51"/>
      <c r="E52" s="51"/>
      <c r="F52" s="51"/>
      <c r="G52" s="51"/>
      <c r="H52" s="51"/>
      <c r="I52" s="51"/>
      <c r="J52" s="51"/>
      <c r="K52" s="51"/>
      <c r="L52" s="51"/>
      <c r="M52" s="51"/>
      <c r="N52" s="51"/>
      <c r="O52" s="51"/>
      <c r="P52" s="51"/>
    </row>
    <row r="53" spans="1:16" ht="12.75" x14ac:dyDescent="0.2">
      <c r="A53" s="17"/>
      <c r="B53" s="51"/>
      <c r="C53" s="51"/>
      <c r="D53" s="51"/>
      <c r="E53" s="51"/>
      <c r="F53" s="51"/>
      <c r="G53" s="51"/>
      <c r="H53" s="51"/>
      <c r="I53" s="51"/>
      <c r="J53" s="51"/>
      <c r="K53" s="51"/>
      <c r="L53" s="51"/>
      <c r="M53" s="51"/>
      <c r="N53" s="51"/>
      <c r="O53" s="51"/>
      <c r="P53" s="51"/>
    </row>
    <row r="54" spans="1:16" ht="12.75" x14ac:dyDescent="0.2">
      <c r="A54" s="17"/>
      <c r="B54" s="51"/>
      <c r="C54" s="51"/>
      <c r="D54" s="51"/>
      <c r="E54" s="51"/>
      <c r="F54" s="51"/>
      <c r="G54" s="51"/>
      <c r="H54" s="51"/>
      <c r="I54" s="51"/>
      <c r="J54" s="51"/>
      <c r="K54" s="51"/>
      <c r="L54" s="51"/>
      <c r="M54" s="51"/>
      <c r="N54" s="51"/>
      <c r="O54" s="51"/>
      <c r="P54" s="51"/>
    </row>
    <row r="55" spans="1:16" ht="12.75" x14ac:dyDescent="0.2">
      <c r="A55" s="17"/>
      <c r="B55" s="51"/>
      <c r="C55" s="51"/>
      <c r="D55" s="51"/>
      <c r="E55" s="51"/>
      <c r="F55" s="51"/>
      <c r="G55" s="51"/>
      <c r="H55" s="51"/>
      <c r="I55" s="51"/>
      <c r="J55" s="51"/>
      <c r="K55" s="51"/>
      <c r="L55" s="51"/>
      <c r="M55" s="51"/>
      <c r="N55" s="51"/>
      <c r="O55" s="51"/>
      <c r="P55" s="51"/>
    </row>
    <row r="56" spans="1:16" ht="12.75" x14ac:dyDescent="0.2">
      <c r="A56" s="17"/>
      <c r="B56" s="51"/>
      <c r="C56" s="51"/>
      <c r="D56" s="51"/>
      <c r="E56" s="51"/>
      <c r="F56" s="51"/>
      <c r="G56" s="51"/>
      <c r="H56" s="51"/>
      <c r="I56" s="51"/>
      <c r="J56" s="51"/>
      <c r="K56" s="51"/>
      <c r="L56" s="51"/>
      <c r="M56" s="51"/>
      <c r="N56" s="51"/>
      <c r="O56" s="51"/>
      <c r="P56" s="51"/>
    </row>
    <row r="57" spans="1:16" ht="12.75" x14ac:dyDescent="0.2">
      <c r="A57" s="17"/>
      <c r="B57" s="51"/>
      <c r="C57" s="51"/>
      <c r="D57" s="51"/>
      <c r="E57" s="51"/>
      <c r="F57" s="51"/>
      <c r="G57" s="51"/>
      <c r="H57" s="51"/>
      <c r="I57" s="51"/>
      <c r="J57" s="51"/>
      <c r="K57" s="51"/>
      <c r="L57" s="51"/>
      <c r="M57" s="51"/>
      <c r="N57" s="51"/>
      <c r="O57" s="51"/>
      <c r="P57" s="51"/>
    </row>
    <row r="58" spans="1:16" ht="12.75" x14ac:dyDescent="0.2">
      <c r="A58" s="17"/>
      <c r="B58" s="51"/>
      <c r="C58" s="51"/>
      <c r="D58" s="51"/>
      <c r="E58" s="51"/>
      <c r="F58" s="51"/>
      <c r="G58" s="51"/>
      <c r="H58" s="51"/>
      <c r="I58" s="51"/>
      <c r="J58" s="51"/>
      <c r="K58" s="51"/>
      <c r="L58" s="51"/>
      <c r="M58" s="51"/>
      <c r="N58" s="51"/>
      <c r="O58" s="51"/>
      <c r="P58" s="51"/>
    </row>
    <row r="59" spans="1:16" ht="12.75" x14ac:dyDescent="0.2">
      <c r="A59" s="17"/>
      <c r="B59" s="51"/>
      <c r="C59" s="51"/>
      <c r="D59" s="51"/>
      <c r="E59" s="51"/>
      <c r="F59" s="51"/>
      <c r="G59" s="51"/>
      <c r="H59" s="51"/>
      <c r="I59" s="51"/>
      <c r="J59" s="51"/>
      <c r="K59" s="51"/>
      <c r="L59" s="51"/>
      <c r="M59" s="51"/>
      <c r="N59" s="51"/>
      <c r="O59" s="51"/>
      <c r="P59" s="51"/>
    </row>
    <row r="60" spans="1:16" ht="12.75" x14ac:dyDescent="0.2">
      <c r="A60" s="17"/>
      <c r="B60" s="51"/>
      <c r="C60" s="51"/>
      <c r="D60" s="51"/>
      <c r="E60" s="51"/>
      <c r="F60" s="51"/>
      <c r="G60" s="51"/>
      <c r="H60" s="51"/>
      <c r="I60" s="51"/>
      <c r="J60" s="51"/>
      <c r="K60" s="51"/>
      <c r="L60" s="51"/>
      <c r="M60" s="51"/>
      <c r="N60" s="51"/>
      <c r="O60" s="51"/>
      <c r="P60" s="51"/>
    </row>
    <row r="61" spans="1:16" ht="12.75" x14ac:dyDescent="0.2">
      <c r="A61" s="17"/>
      <c r="B61" s="51"/>
      <c r="C61" s="51"/>
      <c r="D61" s="51"/>
      <c r="E61" s="51"/>
      <c r="F61" s="51"/>
      <c r="G61" s="51"/>
      <c r="H61" s="51"/>
      <c r="I61" s="51"/>
      <c r="J61" s="51"/>
      <c r="K61" s="51"/>
      <c r="L61" s="51"/>
      <c r="M61" s="51"/>
      <c r="N61" s="51"/>
      <c r="O61" s="51"/>
      <c r="P61" s="51"/>
    </row>
    <row r="62" spans="1:16" ht="12.75" x14ac:dyDescent="0.2">
      <c r="A62" s="17"/>
      <c r="B62" s="51"/>
      <c r="C62" s="51"/>
      <c r="D62" s="51"/>
      <c r="E62" s="51"/>
      <c r="F62" s="51"/>
      <c r="G62" s="51"/>
      <c r="H62" s="51"/>
      <c r="I62" s="51"/>
      <c r="J62" s="51"/>
      <c r="K62" s="51"/>
      <c r="L62" s="51"/>
      <c r="M62" s="51"/>
      <c r="N62" s="51"/>
      <c r="O62" s="51"/>
      <c r="P62" s="51"/>
    </row>
    <row r="63" spans="1:16" ht="12.75" x14ac:dyDescent="0.2">
      <c r="A63" s="17"/>
      <c r="B63" s="51"/>
      <c r="C63" s="51"/>
      <c r="D63" s="51"/>
      <c r="E63" s="51"/>
      <c r="F63" s="51"/>
      <c r="G63" s="51"/>
      <c r="H63" s="51"/>
      <c r="I63" s="51"/>
      <c r="J63" s="51"/>
      <c r="K63" s="51"/>
      <c r="L63" s="51"/>
      <c r="M63" s="51"/>
      <c r="N63" s="51"/>
      <c r="O63" s="51"/>
      <c r="P63" s="51"/>
    </row>
    <row r="64" spans="1:16" ht="12.75" x14ac:dyDescent="0.2">
      <c r="A64" s="17"/>
      <c r="B64" s="51"/>
      <c r="C64" s="51"/>
      <c r="D64" s="51"/>
      <c r="E64" s="51"/>
      <c r="F64" s="51"/>
      <c r="G64" s="51"/>
      <c r="H64" s="51"/>
      <c r="I64" s="51"/>
      <c r="J64" s="51"/>
      <c r="K64" s="51"/>
      <c r="L64" s="51"/>
      <c r="M64" s="51"/>
      <c r="N64" s="51"/>
      <c r="O64" s="51"/>
      <c r="P64" s="51"/>
    </row>
    <row r="65" spans="1:16" ht="12.75" x14ac:dyDescent="0.2">
      <c r="A65" s="17"/>
      <c r="B65" s="51"/>
      <c r="C65" s="51"/>
      <c r="D65" s="51"/>
      <c r="E65" s="51"/>
      <c r="F65" s="51"/>
      <c r="G65" s="51"/>
      <c r="H65" s="51"/>
      <c r="I65" s="51"/>
      <c r="J65" s="51"/>
      <c r="K65" s="51"/>
      <c r="L65" s="51"/>
      <c r="M65" s="51"/>
      <c r="N65" s="51"/>
      <c r="O65" s="51"/>
      <c r="P65" s="51"/>
    </row>
    <row r="66" spans="1:16" ht="12.75" x14ac:dyDescent="0.2">
      <c r="A66" s="17"/>
      <c r="B66" s="51"/>
      <c r="C66" s="51"/>
      <c r="D66" s="51"/>
      <c r="E66" s="51"/>
      <c r="F66" s="51"/>
      <c r="G66" s="51"/>
      <c r="H66" s="51"/>
      <c r="I66" s="51"/>
      <c r="J66" s="51"/>
      <c r="K66" s="51"/>
      <c r="L66" s="51"/>
      <c r="M66" s="51"/>
      <c r="N66" s="51"/>
      <c r="O66" s="51"/>
      <c r="P66" s="51"/>
    </row>
    <row r="67" spans="1:16" ht="12.75" x14ac:dyDescent="0.2">
      <c r="A67" s="17"/>
      <c r="B67" s="51"/>
      <c r="C67" s="51"/>
      <c r="D67" s="51"/>
      <c r="E67" s="51"/>
      <c r="F67" s="51"/>
      <c r="G67" s="51"/>
      <c r="H67" s="51"/>
      <c r="I67" s="51"/>
      <c r="J67" s="51"/>
      <c r="K67" s="51"/>
      <c r="L67" s="51"/>
      <c r="M67" s="51"/>
      <c r="N67" s="51"/>
      <c r="O67" s="51"/>
      <c r="P67" s="51"/>
    </row>
    <row r="68" spans="1:16" ht="12.75" x14ac:dyDescent="0.2">
      <c r="A68" s="17"/>
      <c r="B68" s="51"/>
      <c r="C68" s="51"/>
      <c r="D68" s="51"/>
      <c r="E68" s="51"/>
      <c r="F68" s="51"/>
      <c r="G68" s="51"/>
      <c r="H68" s="51"/>
      <c r="I68" s="51"/>
      <c r="J68" s="51"/>
      <c r="K68" s="51"/>
      <c r="L68" s="51"/>
      <c r="M68" s="51"/>
      <c r="N68" s="51"/>
      <c r="O68" s="51"/>
      <c r="P68" s="51"/>
    </row>
    <row r="69" spans="1:16" ht="12.75" x14ac:dyDescent="0.2">
      <c r="A69" s="17"/>
      <c r="B69" s="51"/>
      <c r="C69" s="51"/>
      <c r="D69" s="51"/>
      <c r="E69" s="51"/>
      <c r="F69" s="51"/>
      <c r="G69" s="51"/>
      <c r="H69" s="51"/>
      <c r="I69" s="51"/>
      <c r="J69" s="51"/>
      <c r="K69" s="51"/>
      <c r="L69" s="51"/>
      <c r="M69" s="51"/>
      <c r="N69" s="51"/>
      <c r="O69" s="51"/>
      <c r="P69" s="51"/>
    </row>
    <row r="70" spans="1:16" ht="12.75" x14ac:dyDescent="0.2">
      <c r="A70" s="17"/>
      <c r="B70" s="51"/>
      <c r="C70" s="51"/>
      <c r="D70" s="51"/>
      <c r="E70" s="51"/>
      <c r="F70" s="51"/>
      <c r="G70" s="51"/>
      <c r="H70" s="51"/>
      <c r="I70" s="51"/>
      <c r="J70" s="51"/>
      <c r="K70" s="51"/>
      <c r="L70" s="51"/>
      <c r="M70" s="51"/>
      <c r="N70" s="51"/>
      <c r="O70" s="51"/>
      <c r="P70" s="51"/>
    </row>
    <row r="71" spans="1:16" ht="12.75" x14ac:dyDescent="0.2">
      <c r="A71" s="17"/>
      <c r="B71" s="51"/>
      <c r="C71" s="51"/>
      <c r="D71" s="51"/>
      <c r="E71" s="51"/>
      <c r="F71" s="51"/>
      <c r="G71" s="51"/>
      <c r="H71" s="51"/>
      <c r="I71" s="51"/>
      <c r="J71" s="51"/>
      <c r="K71" s="51"/>
      <c r="L71" s="51"/>
      <c r="M71" s="51"/>
      <c r="N71" s="51"/>
      <c r="O71" s="51"/>
      <c r="P71" s="51"/>
    </row>
    <row r="72" spans="1:16" ht="12.75" x14ac:dyDescent="0.2">
      <c r="A72" s="17"/>
      <c r="B72" s="51"/>
      <c r="C72" s="51"/>
      <c r="D72" s="51"/>
      <c r="E72" s="51"/>
      <c r="F72" s="51"/>
      <c r="G72" s="51"/>
      <c r="H72" s="51"/>
      <c r="I72" s="51"/>
      <c r="J72" s="51"/>
      <c r="K72" s="51"/>
      <c r="L72" s="51"/>
      <c r="M72" s="51"/>
      <c r="N72" s="51"/>
      <c r="O72" s="51"/>
      <c r="P72" s="51"/>
    </row>
    <row r="73" spans="1:16" ht="12.75" x14ac:dyDescent="0.2">
      <c r="A73" s="17"/>
      <c r="B73" s="51"/>
      <c r="C73" s="51"/>
      <c r="D73" s="51"/>
      <c r="E73" s="51"/>
      <c r="F73" s="51"/>
      <c r="G73" s="51"/>
      <c r="H73" s="51"/>
      <c r="I73" s="51"/>
      <c r="J73" s="51"/>
      <c r="K73" s="51"/>
      <c r="L73" s="51"/>
      <c r="M73" s="51"/>
      <c r="N73" s="51"/>
      <c r="O73" s="51"/>
      <c r="P73" s="51"/>
    </row>
    <row r="74" spans="1:16" ht="12.75" x14ac:dyDescent="0.2">
      <c r="A74" s="17"/>
      <c r="B74" s="51"/>
      <c r="C74" s="51"/>
      <c r="D74" s="51"/>
      <c r="E74" s="51"/>
      <c r="F74" s="51"/>
      <c r="G74" s="51"/>
      <c r="H74" s="51"/>
      <c r="I74" s="51"/>
      <c r="J74" s="51"/>
      <c r="K74" s="51"/>
      <c r="L74" s="51"/>
      <c r="M74" s="51"/>
      <c r="N74" s="51"/>
      <c r="O74" s="51"/>
      <c r="P74" s="51"/>
    </row>
    <row r="75" spans="1:16" ht="12.75" x14ac:dyDescent="0.2">
      <c r="A75" s="17"/>
      <c r="B75" s="51"/>
      <c r="C75" s="51"/>
      <c r="D75" s="51"/>
      <c r="E75" s="51"/>
      <c r="F75" s="51"/>
      <c r="G75" s="51"/>
      <c r="H75" s="51"/>
      <c r="I75" s="51"/>
      <c r="J75" s="51"/>
      <c r="K75" s="51"/>
      <c r="L75" s="51"/>
      <c r="M75" s="51"/>
      <c r="N75" s="51"/>
      <c r="O75" s="51"/>
      <c r="P75" s="51"/>
    </row>
    <row r="76" spans="1:16" ht="12.75" x14ac:dyDescent="0.2">
      <c r="A76" s="17"/>
      <c r="B76" s="51"/>
      <c r="C76" s="51"/>
      <c r="D76" s="51"/>
      <c r="E76" s="51"/>
      <c r="F76" s="51"/>
      <c r="G76" s="51"/>
      <c r="H76" s="51"/>
      <c r="I76" s="51"/>
      <c r="J76" s="51"/>
      <c r="K76" s="51"/>
      <c r="L76" s="51"/>
      <c r="M76" s="51"/>
      <c r="N76" s="51"/>
      <c r="O76" s="51"/>
      <c r="P76" s="51"/>
    </row>
    <row r="77" spans="1:16" ht="12.75" x14ac:dyDescent="0.2">
      <c r="A77" s="17"/>
      <c r="B77" s="51"/>
      <c r="C77" s="51"/>
      <c r="D77" s="51"/>
      <c r="E77" s="51"/>
      <c r="F77" s="51"/>
      <c r="G77" s="51"/>
      <c r="H77" s="51"/>
      <c r="I77" s="51"/>
      <c r="J77" s="51"/>
      <c r="K77" s="51"/>
      <c r="L77" s="51"/>
      <c r="M77" s="51"/>
      <c r="N77" s="51"/>
      <c r="O77" s="51"/>
      <c r="P77" s="51"/>
    </row>
    <row r="78" spans="1:16" ht="12.75" x14ac:dyDescent="0.2">
      <c r="A78" s="17"/>
      <c r="B78" s="51"/>
      <c r="C78" s="51"/>
      <c r="D78" s="51"/>
      <c r="E78" s="51"/>
      <c r="F78" s="51"/>
      <c r="G78" s="51"/>
      <c r="H78" s="51"/>
      <c r="I78" s="51"/>
      <c r="J78" s="51"/>
      <c r="K78" s="51"/>
      <c r="L78" s="51"/>
      <c r="M78" s="51"/>
      <c r="N78" s="51"/>
      <c r="O78" s="51"/>
      <c r="P78" s="51"/>
    </row>
    <row r="79" spans="1:16" ht="12.75" x14ac:dyDescent="0.2">
      <c r="A79" s="17"/>
      <c r="B79" s="51"/>
      <c r="C79" s="51"/>
      <c r="D79" s="51"/>
      <c r="E79" s="51"/>
      <c r="F79" s="51"/>
      <c r="G79" s="51"/>
      <c r="H79" s="51"/>
      <c r="I79" s="51"/>
      <c r="J79" s="51"/>
      <c r="K79" s="51"/>
      <c r="L79" s="51"/>
      <c r="M79" s="51"/>
      <c r="N79" s="51"/>
      <c r="O79" s="51"/>
      <c r="P79" s="51"/>
    </row>
    <row r="80" spans="1:16" ht="12.75" x14ac:dyDescent="0.2">
      <c r="A80" s="21"/>
      <c r="B80" s="51"/>
      <c r="C80" s="51"/>
      <c r="D80" s="51"/>
      <c r="E80" s="51"/>
      <c r="F80" s="51"/>
      <c r="G80" s="51"/>
      <c r="H80" s="51"/>
      <c r="I80" s="51"/>
      <c r="J80" s="51"/>
      <c r="K80" s="51"/>
      <c r="L80" s="51"/>
      <c r="M80" s="51"/>
      <c r="N80" s="51"/>
      <c r="O80" s="51"/>
      <c r="P80" s="51"/>
    </row>
    <row r="81" spans="1:16" ht="12.75" x14ac:dyDescent="0.2">
      <c r="A81" s="17"/>
      <c r="B81" s="51"/>
      <c r="C81" s="51"/>
      <c r="D81" s="51"/>
      <c r="E81" s="51"/>
      <c r="F81" s="51"/>
      <c r="G81" s="51"/>
      <c r="H81" s="51"/>
      <c r="I81" s="51"/>
      <c r="J81" s="51"/>
      <c r="K81" s="51"/>
      <c r="L81" s="51"/>
      <c r="M81" s="51"/>
      <c r="N81" s="51"/>
      <c r="O81" s="51"/>
      <c r="P81" s="51"/>
    </row>
    <row r="82" spans="1:16" ht="12.75" x14ac:dyDescent="0.2">
      <c r="A82" s="17"/>
      <c r="B82" s="51"/>
      <c r="C82" s="51"/>
      <c r="D82" s="51"/>
      <c r="E82" s="51"/>
      <c r="F82" s="51"/>
      <c r="G82" s="51"/>
      <c r="H82" s="51"/>
      <c r="I82" s="51"/>
      <c r="J82" s="51"/>
      <c r="K82" s="51"/>
      <c r="L82" s="51"/>
      <c r="M82" s="51"/>
      <c r="N82" s="51"/>
      <c r="O82" s="51"/>
      <c r="P82" s="51"/>
    </row>
    <row r="83" spans="1:16" ht="12.75" x14ac:dyDescent="0.2">
      <c r="A83" s="17"/>
      <c r="B83" s="51"/>
      <c r="C83" s="51"/>
      <c r="D83" s="51"/>
      <c r="E83" s="51"/>
      <c r="F83" s="51"/>
      <c r="G83" s="51"/>
      <c r="H83" s="51"/>
      <c r="I83" s="51"/>
      <c r="J83" s="51"/>
      <c r="K83" s="51"/>
      <c r="L83" s="51"/>
      <c r="M83" s="51"/>
      <c r="N83" s="51"/>
      <c r="O83" s="51"/>
      <c r="P83" s="51"/>
    </row>
    <row r="84" spans="1:16" ht="12.75" x14ac:dyDescent="0.2">
      <c r="A84" s="17"/>
      <c r="B84" s="51"/>
      <c r="C84" s="51"/>
      <c r="D84" s="51"/>
      <c r="E84" s="51"/>
      <c r="F84" s="51"/>
      <c r="G84" s="51"/>
      <c r="H84" s="51"/>
      <c r="I84" s="51"/>
      <c r="J84" s="51"/>
      <c r="K84" s="51"/>
      <c r="L84" s="51"/>
      <c r="M84" s="51"/>
      <c r="N84" s="51"/>
      <c r="O84" s="51"/>
      <c r="P84" s="51"/>
    </row>
    <row r="85" spans="1:16" ht="12.75" x14ac:dyDescent="0.2">
      <c r="A85" s="17"/>
      <c r="B85" s="51"/>
      <c r="C85" s="51"/>
      <c r="D85" s="51"/>
      <c r="E85" s="51"/>
      <c r="F85" s="51"/>
      <c r="G85" s="51"/>
      <c r="H85" s="51"/>
      <c r="I85" s="51"/>
      <c r="J85" s="51"/>
      <c r="K85" s="51"/>
      <c r="L85" s="51"/>
      <c r="M85" s="51"/>
      <c r="N85" s="51"/>
      <c r="O85" s="51"/>
      <c r="P85" s="51"/>
    </row>
    <row r="86" spans="1:16" ht="12.75" x14ac:dyDescent="0.2">
      <c r="A86" s="18"/>
      <c r="B86" s="51"/>
      <c r="C86" s="51"/>
      <c r="D86" s="51"/>
      <c r="E86" s="51"/>
      <c r="F86" s="51"/>
      <c r="G86" s="51"/>
      <c r="H86" s="51"/>
      <c r="I86" s="51"/>
      <c r="J86" s="51"/>
      <c r="K86" s="51"/>
      <c r="L86" s="51"/>
      <c r="M86" s="51"/>
      <c r="N86" s="51"/>
      <c r="O86" s="51"/>
      <c r="P86" s="51"/>
    </row>
    <row r="87" spans="1:16" ht="12.75" x14ac:dyDescent="0.2">
      <c r="A87" s="52"/>
      <c r="B87" s="51"/>
      <c r="C87" s="51"/>
      <c r="D87" s="51"/>
      <c r="E87" s="51"/>
      <c r="F87" s="51"/>
      <c r="G87" s="51"/>
      <c r="H87" s="51"/>
      <c r="I87" s="51"/>
      <c r="J87" s="51"/>
      <c r="K87" s="51"/>
      <c r="L87" s="51"/>
      <c r="M87" s="51"/>
      <c r="N87" s="51"/>
      <c r="O87" s="51"/>
      <c r="P87" s="51"/>
    </row>
    <row r="88" spans="1:16" ht="12.75" x14ac:dyDescent="0.2">
      <c r="A88" s="31"/>
      <c r="B88" s="51"/>
      <c r="C88" s="51"/>
      <c r="D88" s="51"/>
      <c r="E88" s="51"/>
      <c r="F88" s="51"/>
      <c r="G88" s="51"/>
      <c r="H88" s="51"/>
      <c r="I88" s="51"/>
      <c r="J88" s="51"/>
      <c r="K88" s="51"/>
      <c r="L88" s="51"/>
      <c r="M88" s="51"/>
      <c r="N88" s="51"/>
      <c r="O88" s="51"/>
      <c r="P88" s="51"/>
    </row>
    <row r="89" spans="1:16" ht="12.75" x14ac:dyDescent="0.2">
      <c r="B89" s="51"/>
      <c r="C89" s="51"/>
      <c r="D89" s="51"/>
      <c r="E89" s="51"/>
      <c r="F89" s="51"/>
      <c r="G89" s="51"/>
      <c r="H89" s="51"/>
      <c r="I89" s="51"/>
      <c r="J89" s="51"/>
      <c r="K89" s="51"/>
      <c r="L89" s="51"/>
      <c r="M89" s="51"/>
      <c r="N89" s="51"/>
      <c r="O89" s="51"/>
      <c r="P89" s="51"/>
    </row>
    <row r="90" spans="1:16" ht="12.75" x14ac:dyDescent="0.2">
      <c r="B90" s="51"/>
      <c r="C90" s="51"/>
      <c r="D90" s="51"/>
      <c r="E90" s="51"/>
      <c r="F90" s="51"/>
      <c r="G90" s="51"/>
      <c r="H90" s="51"/>
      <c r="I90" s="51"/>
      <c r="J90" s="51"/>
      <c r="K90" s="51"/>
      <c r="L90" s="51"/>
      <c r="M90" s="51"/>
      <c r="N90" s="51"/>
      <c r="O90" s="51"/>
      <c r="P90" s="51"/>
    </row>
    <row r="91" spans="1:16" ht="12.75" x14ac:dyDescent="0.2">
      <c r="B91" s="51"/>
      <c r="C91" s="51"/>
      <c r="D91" s="51"/>
      <c r="E91" s="51"/>
      <c r="F91" s="51"/>
      <c r="G91" s="51"/>
      <c r="H91" s="51"/>
      <c r="I91" s="51"/>
      <c r="J91" s="51"/>
      <c r="K91" s="51"/>
      <c r="L91" s="51"/>
      <c r="M91" s="51"/>
      <c r="N91" s="51"/>
      <c r="O91" s="51"/>
      <c r="P91" s="51"/>
    </row>
    <row r="92" spans="1:16" ht="12.75" x14ac:dyDescent="0.2">
      <c r="B92" s="51"/>
      <c r="C92" s="51"/>
      <c r="D92" s="51"/>
      <c r="E92" s="51"/>
      <c r="F92" s="51"/>
      <c r="G92" s="51"/>
      <c r="H92" s="51"/>
      <c r="I92" s="51"/>
      <c r="J92" s="51"/>
      <c r="K92" s="51"/>
      <c r="L92" s="51"/>
      <c r="M92" s="51"/>
      <c r="N92" s="51"/>
      <c r="O92" s="51"/>
      <c r="P92" s="51"/>
    </row>
    <row r="93" spans="1:16" ht="12.75" x14ac:dyDescent="0.2">
      <c r="B93" s="51"/>
      <c r="C93" s="51"/>
      <c r="D93" s="51"/>
      <c r="E93" s="51"/>
      <c r="F93" s="51"/>
      <c r="G93" s="51"/>
      <c r="H93" s="51"/>
      <c r="I93" s="51"/>
      <c r="J93" s="51"/>
      <c r="K93" s="51"/>
      <c r="L93" s="51"/>
      <c r="M93" s="51"/>
      <c r="N93" s="51"/>
      <c r="O93" s="51"/>
      <c r="P93" s="51"/>
    </row>
    <row r="94" spans="1:16" ht="12.75" x14ac:dyDescent="0.2">
      <c r="B94" s="51"/>
      <c r="C94" s="51"/>
      <c r="D94" s="51"/>
      <c r="E94" s="51"/>
      <c r="F94" s="51"/>
      <c r="G94" s="51"/>
      <c r="H94" s="51"/>
      <c r="I94" s="51"/>
      <c r="J94" s="51"/>
      <c r="K94" s="51"/>
      <c r="L94" s="51"/>
      <c r="M94" s="51"/>
      <c r="N94" s="51"/>
      <c r="O94" s="51"/>
      <c r="P94" s="51"/>
    </row>
    <row r="95" spans="1:16" ht="12.75" x14ac:dyDescent="0.2">
      <c r="B95" s="53"/>
      <c r="C95" s="53"/>
      <c r="D95" s="53"/>
      <c r="E95" s="53"/>
      <c r="F95" s="53"/>
      <c r="G95" s="53"/>
      <c r="H95" s="53"/>
      <c r="I95" s="53"/>
      <c r="J95" s="53"/>
      <c r="K95" s="53"/>
      <c r="L95" s="53"/>
      <c r="M95" s="53"/>
      <c r="N95" s="53"/>
      <c r="O95" s="53"/>
      <c r="P95" s="53"/>
    </row>
    <row r="96" spans="1:16" ht="12.75" x14ac:dyDescent="0.2">
      <c r="B96" s="53"/>
      <c r="C96" s="53"/>
      <c r="D96" s="53"/>
      <c r="E96" s="53"/>
      <c r="F96" s="53"/>
      <c r="G96" s="53"/>
      <c r="H96" s="53"/>
      <c r="I96" s="53"/>
      <c r="J96" s="53"/>
      <c r="K96" s="53"/>
      <c r="L96" s="53"/>
      <c r="M96" s="53"/>
      <c r="N96" s="53"/>
      <c r="O96" s="53"/>
      <c r="P96" s="53"/>
    </row>
    <row r="97" spans="2:16" ht="12.75" x14ac:dyDescent="0.2">
      <c r="B97" s="53"/>
      <c r="C97" s="53"/>
      <c r="D97" s="53"/>
      <c r="E97" s="53"/>
      <c r="F97" s="53"/>
      <c r="G97" s="53"/>
      <c r="H97" s="53"/>
      <c r="I97" s="53"/>
      <c r="J97" s="53"/>
      <c r="K97" s="53"/>
      <c r="L97" s="53"/>
      <c r="M97" s="53"/>
      <c r="N97" s="53"/>
      <c r="O97" s="53"/>
      <c r="P97" s="53"/>
    </row>
    <row r="98" spans="2:16" ht="12.75" x14ac:dyDescent="0.2">
      <c r="B98" s="53"/>
      <c r="C98" s="53"/>
      <c r="D98" s="53"/>
      <c r="E98" s="53"/>
      <c r="F98" s="53"/>
      <c r="G98" s="53"/>
      <c r="H98" s="53"/>
      <c r="I98" s="53"/>
      <c r="J98" s="53"/>
      <c r="K98" s="53"/>
      <c r="L98" s="53"/>
      <c r="M98" s="53"/>
      <c r="N98" s="53"/>
      <c r="O98" s="53"/>
      <c r="P98" s="53"/>
    </row>
    <row r="99" spans="2:16" ht="12.75" x14ac:dyDescent="0.2">
      <c r="B99" s="53"/>
      <c r="C99" s="53"/>
      <c r="D99" s="53"/>
      <c r="E99" s="53"/>
      <c r="F99" s="53"/>
      <c r="G99" s="53"/>
      <c r="H99" s="53"/>
      <c r="I99" s="53"/>
      <c r="J99" s="53"/>
      <c r="K99" s="53"/>
      <c r="L99" s="53"/>
      <c r="M99" s="53"/>
      <c r="N99" s="53"/>
      <c r="O99" s="53"/>
      <c r="P99" s="53"/>
    </row>
    <row r="100" spans="2:16" ht="12.75" x14ac:dyDescent="0.2">
      <c r="B100" s="53"/>
      <c r="C100" s="53"/>
      <c r="D100" s="53"/>
      <c r="E100" s="53"/>
      <c r="F100" s="53"/>
      <c r="G100" s="53"/>
      <c r="H100" s="53"/>
      <c r="I100" s="53"/>
      <c r="J100" s="53"/>
      <c r="K100" s="53"/>
      <c r="L100" s="53"/>
      <c r="M100" s="53"/>
      <c r="N100" s="53"/>
      <c r="O100" s="53"/>
      <c r="P100" s="53"/>
    </row>
    <row r="101" spans="2:16" ht="12.75" x14ac:dyDescent="0.2">
      <c r="B101" s="53"/>
      <c r="C101" s="53"/>
      <c r="D101" s="53"/>
      <c r="E101" s="53"/>
      <c r="F101" s="53"/>
      <c r="G101" s="53"/>
      <c r="H101" s="53"/>
      <c r="I101" s="53"/>
      <c r="J101" s="53"/>
      <c r="K101" s="53"/>
      <c r="L101" s="53"/>
      <c r="M101" s="53"/>
      <c r="N101" s="53"/>
      <c r="O101" s="53"/>
      <c r="P101" s="53"/>
    </row>
    <row r="102" spans="2:16" ht="12.75" x14ac:dyDescent="0.2">
      <c r="B102" s="53"/>
      <c r="C102" s="53"/>
      <c r="D102" s="53"/>
      <c r="E102" s="53"/>
      <c r="F102" s="53"/>
      <c r="G102" s="53"/>
      <c r="H102" s="53"/>
      <c r="I102" s="53"/>
      <c r="J102" s="53"/>
      <c r="K102" s="53"/>
      <c r="L102" s="53"/>
      <c r="M102" s="53"/>
      <c r="N102" s="53"/>
      <c r="O102" s="53"/>
      <c r="P102" s="53"/>
    </row>
    <row r="103" spans="2:16" ht="12.75" x14ac:dyDescent="0.2">
      <c r="B103" s="53"/>
      <c r="C103" s="53"/>
      <c r="D103" s="53"/>
      <c r="E103" s="53"/>
      <c r="F103" s="53"/>
      <c r="G103" s="53"/>
      <c r="H103" s="53"/>
      <c r="I103" s="53"/>
      <c r="J103" s="53"/>
      <c r="K103" s="53"/>
      <c r="L103" s="53"/>
      <c r="M103" s="53"/>
      <c r="N103" s="53"/>
      <c r="O103" s="53"/>
      <c r="P103" s="53"/>
    </row>
    <row r="104" spans="2:16" ht="12.75" x14ac:dyDescent="0.2">
      <c r="B104" s="53"/>
      <c r="C104" s="53"/>
      <c r="D104" s="53"/>
      <c r="E104" s="53"/>
      <c r="F104" s="53"/>
      <c r="G104" s="53"/>
      <c r="H104" s="53"/>
      <c r="I104" s="53"/>
      <c r="J104" s="53"/>
      <c r="K104" s="53"/>
      <c r="L104" s="53"/>
      <c r="M104" s="53"/>
      <c r="N104" s="53"/>
      <c r="O104" s="53"/>
      <c r="P104" s="53"/>
    </row>
    <row r="105" spans="2:16" ht="12.75" x14ac:dyDescent="0.2">
      <c r="B105" s="53"/>
      <c r="C105" s="53"/>
      <c r="D105" s="53"/>
      <c r="E105" s="53"/>
      <c r="F105" s="53"/>
      <c r="G105" s="53"/>
      <c r="H105" s="53"/>
      <c r="I105" s="53"/>
      <c r="J105" s="53"/>
      <c r="K105" s="53"/>
      <c r="L105" s="53"/>
      <c r="M105" s="53"/>
      <c r="N105" s="53"/>
      <c r="O105" s="53"/>
      <c r="P105" s="53"/>
    </row>
    <row r="106" spans="2:16" ht="12.75" x14ac:dyDescent="0.2">
      <c r="B106" s="53"/>
      <c r="C106" s="53"/>
      <c r="D106" s="53"/>
      <c r="E106" s="53"/>
      <c r="F106" s="53"/>
      <c r="G106" s="53"/>
      <c r="H106" s="53"/>
      <c r="I106" s="53"/>
      <c r="J106" s="53"/>
      <c r="K106" s="53"/>
      <c r="L106" s="53"/>
      <c r="M106" s="53"/>
      <c r="N106" s="53"/>
      <c r="O106" s="53"/>
      <c r="P106" s="53"/>
    </row>
    <row r="107" spans="2:16" ht="12.75" x14ac:dyDescent="0.2">
      <c r="B107" s="53"/>
      <c r="C107" s="53"/>
      <c r="D107" s="53"/>
      <c r="E107" s="53"/>
      <c r="F107" s="53"/>
      <c r="G107" s="53"/>
      <c r="H107" s="53"/>
      <c r="I107" s="53"/>
      <c r="J107" s="53"/>
      <c r="K107" s="53"/>
      <c r="L107" s="53"/>
      <c r="M107" s="53"/>
      <c r="N107" s="53"/>
      <c r="O107" s="53"/>
      <c r="P107" s="53"/>
    </row>
    <row r="108" spans="2:16" ht="12.75" x14ac:dyDescent="0.2">
      <c r="B108" s="53"/>
      <c r="C108" s="53"/>
      <c r="D108" s="53"/>
      <c r="E108" s="53"/>
      <c r="F108" s="53"/>
      <c r="G108" s="53"/>
      <c r="H108" s="53"/>
      <c r="I108" s="53"/>
      <c r="J108" s="53"/>
      <c r="K108" s="53"/>
      <c r="L108" s="53"/>
      <c r="M108" s="53"/>
      <c r="N108" s="53"/>
      <c r="O108" s="53"/>
      <c r="P108" s="53"/>
    </row>
    <row r="109" spans="2:16" ht="12.75" x14ac:dyDescent="0.2">
      <c r="B109" s="53"/>
      <c r="C109" s="53"/>
      <c r="D109" s="53"/>
      <c r="E109" s="53"/>
      <c r="F109" s="53"/>
      <c r="G109" s="53"/>
      <c r="H109" s="53"/>
      <c r="I109" s="53"/>
      <c r="J109" s="53"/>
      <c r="K109" s="53"/>
      <c r="L109" s="53"/>
      <c r="M109" s="53"/>
      <c r="N109" s="53"/>
      <c r="O109" s="53"/>
      <c r="P109" s="53"/>
    </row>
  </sheetData>
  <mergeCells count="2">
    <mergeCell ref="A4:O5"/>
    <mergeCell ref="B6:P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B1:S453"/>
  <sheetViews>
    <sheetView topLeftCell="A409" workbookViewId="0">
      <selection activeCell="B3" sqref="B3:Q453"/>
    </sheetView>
  </sheetViews>
  <sheetFormatPr baseColWidth="10" defaultColWidth="12.5703125" defaultRowHeight="15.75" customHeight="1" x14ac:dyDescent="0.2"/>
  <sheetData>
    <row r="1" spans="2:19" x14ac:dyDescent="0.2">
      <c r="B1" s="4" t="s">
        <v>479</v>
      </c>
      <c r="C1" s="4" t="s">
        <v>480</v>
      </c>
      <c r="D1" s="4" t="s">
        <v>481</v>
      </c>
      <c r="E1" s="4" t="s">
        <v>482</v>
      </c>
      <c r="F1" s="4" t="s">
        <v>483</v>
      </c>
      <c r="G1" s="4" t="s">
        <v>484</v>
      </c>
      <c r="H1" s="4" t="s">
        <v>485</v>
      </c>
      <c r="I1" s="4" t="s">
        <v>486</v>
      </c>
      <c r="J1" s="4" t="s">
        <v>487</v>
      </c>
      <c r="K1" s="4" t="s">
        <v>502</v>
      </c>
      <c r="L1" s="4" t="s">
        <v>503</v>
      </c>
      <c r="M1" s="4" t="s">
        <v>504</v>
      </c>
      <c r="N1" s="4" t="s">
        <v>505</v>
      </c>
      <c r="O1" s="4" t="s">
        <v>506</v>
      </c>
      <c r="P1" s="4" t="s">
        <v>507</v>
      </c>
      <c r="Q1" s="4" t="s">
        <v>508</v>
      </c>
    </row>
    <row r="2" spans="2:19" x14ac:dyDescent="0.2">
      <c r="B2" s="47">
        <v>45941</v>
      </c>
      <c r="C2" s="47">
        <v>45942</v>
      </c>
      <c r="D2" s="47">
        <v>45943</v>
      </c>
      <c r="E2" s="47">
        <v>45944</v>
      </c>
      <c r="F2" s="47">
        <v>45945</v>
      </c>
      <c r="G2" s="47">
        <v>45946</v>
      </c>
      <c r="H2" s="47">
        <v>45947</v>
      </c>
      <c r="I2" s="47">
        <v>45948</v>
      </c>
      <c r="J2" s="47">
        <v>45949</v>
      </c>
      <c r="K2" s="47">
        <v>45950</v>
      </c>
      <c r="L2" s="47">
        <v>45951</v>
      </c>
      <c r="M2" s="47">
        <v>45952</v>
      </c>
      <c r="N2" s="47">
        <v>45953</v>
      </c>
      <c r="O2" s="47">
        <v>45954</v>
      </c>
      <c r="P2" s="47">
        <v>45955</v>
      </c>
      <c r="Q2" s="47">
        <v>45956</v>
      </c>
      <c r="R2" s="4" t="s">
        <v>500</v>
      </c>
      <c r="S2" s="4" t="s">
        <v>501</v>
      </c>
    </row>
    <row r="3" spans="2:19" x14ac:dyDescent="0.2">
      <c r="B3" s="4" cm="1">
        <f t="array" ref="B3">_xlfn.IFS('ProductSprint Backlog'!$F3="", "", AND('ProductSprint Backlog'!$J3&gt;B$2,'ProductSprint Backlog'!$I3&lt;=B$2), 'ProductSprint Backlog'!$F3 / MAX(1, 'ProductSprint Backlog'!$J3-'ProductSprint Backlog'!$I3), AND('ProductSprint Backlog'!$J3=B$2,'ProductSprint Backlog'!$I3=B$2), 'ProductSprint Backlog'!$F3, TRUE, 0)</f>
        <v>0</v>
      </c>
      <c r="C3" s="4" cm="1">
        <f t="array" ref="C3">_xlfn.IFS('ProductSprint Backlog'!$F3="", "", AND('ProductSprint Backlog'!$J3&gt;C$2,'ProductSprint Backlog'!$I3&lt;=C$2), 'ProductSprint Backlog'!$F3 / MAX(1, 'ProductSprint Backlog'!$J3-'ProductSprint Backlog'!$I3), AND('ProductSprint Backlog'!$J3=C$2,'ProductSprint Backlog'!$I3=C$2), 'ProductSprint Backlog'!$F3, TRUE, 0)</f>
        <v>0</v>
      </c>
      <c r="D3" s="4" cm="1">
        <f t="array" ref="D3">_xlfn.IFS('ProductSprint Backlog'!$F3="", "", AND('ProductSprint Backlog'!$J3&gt;D$2,'ProductSprint Backlog'!$I3&lt;=D$2), 'ProductSprint Backlog'!$F3 / MAX(1, 'ProductSprint Backlog'!$J3-'ProductSprint Backlog'!$I3), AND('ProductSprint Backlog'!$J3=D$2,'ProductSprint Backlog'!$I3=D$2), 'ProductSprint Backlog'!$F3, TRUE, 0)</f>
        <v>0</v>
      </c>
      <c r="E3" s="4" cm="1">
        <f t="array" ref="E3">_xlfn.IFS('ProductSprint Backlog'!$F3="", "", AND('ProductSprint Backlog'!$J3&gt;E$2,'ProductSprint Backlog'!$I3&lt;=E$2), 'ProductSprint Backlog'!$F3 / MAX(1, 'ProductSprint Backlog'!$J3-'ProductSprint Backlog'!$I3), AND('ProductSprint Backlog'!$J3=E$2,'ProductSprint Backlog'!$I3=E$2), 'ProductSprint Backlog'!$F3, TRUE, 0)</f>
        <v>0</v>
      </c>
      <c r="F3" s="4" cm="1">
        <f t="array" ref="F3">_xlfn.IFS('ProductSprint Backlog'!$F3="", "", AND('ProductSprint Backlog'!$J3&gt;F$2,'ProductSprint Backlog'!$I3&lt;=F$2), 'ProductSprint Backlog'!$F3 / MAX(1, 'ProductSprint Backlog'!$J3-'ProductSprint Backlog'!$I3), AND('ProductSprint Backlog'!$J3=F$2,'ProductSprint Backlog'!$I3=F$2), 'ProductSprint Backlog'!$F3, TRUE, 0)</f>
        <v>0</v>
      </c>
      <c r="G3" s="4" cm="1">
        <f t="array" ref="G3">_xlfn.IFS('ProductSprint Backlog'!$F3="", "", AND('ProductSprint Backlog'!$J3&gt;G$2,'ProductSprint Backlog'!$I3&lt;=G$2), 'ProductSprint Backlog'!$F3 / MAX(1, 'ProductSprint Backlog'!$J3-'ProductSprint Backlog'!$I3), AND('ProductSprint Backlog'!$J3=G$2,'ProductSprint Backlog'!$I3=G$2), 'ProductSprint Backlog'!$F3, TRUE, 0)</f>
        <v>0</v>
      </c>
      <c r="H3" s="4" cm="1">
        <f t="array" ref="H3">_xlfn.IFS('ProductSprint Backlog'!$F3="", "", AND('ProductSprint Backlog'!$J3&gt;H$2,'ProductSprint Backlog'!$I3&lt;=H$2), 'ProductSprint Backlog'!$F3 / MAX(1, 'ProductSprint Backlog'!$J3-'ProductSprint Backlog'!$I3), AND('ProductSprint Backlog'!$J3=H$2,'ProductSprint Backlog'!$I3=H$2), 'ProductSprint Backlog'!$F3, TRUE, 0)</f>
        <v>0</v>
      </c>
      <c r="I3" s="4" cm="1">
        <f t="array" ref="I3">_xlfn.IFS('ProductSprint Backlog'!$F3="", "", AND('ProductSprint Backlog'!$J3&gt;I$2,'ProductSprint Backlog'!$I3&lt;=I$2), 'ProductSprint Backlog'!$F3 / MAX(1, 'ProductSprint Backlog'!$J3-'ProductSprint Backlog'!$I3), AND('ProductSprint Backlog'!$J3=I$2,'ProductSprint Backlog'!$I3=I$2), 'ProductSprint Backlog'!$F3, TRUE, 0)</f>
        <v>0</v>
      </c>
      <c r="J3" s="4" cm="1">
        <f t="array" ref="J3">_xlfn.IFS('ProductSprint Backlog'!$F3="", "", AND('ProductSprint Backlog'!$J3&gt;J$2,'ProductSprint Backlog'!$I3&lt;=J$2), 'ProductSprint Backlog'!$F3 / MAX(1, 'ProductSprint Backlog'!$J3-'ProductSprint Backlog'!$I3), AND('ProductSprint Backlog'!$J3=J$2,'ProductSprint Backlog'!$I3=J$2), 'ProductSprint Backlog'!$F3, TRUE, 0)</f>
        <v>0</v>
      </c>
      <c r="K3" s="4" cm="1">
        <f t="array" ref="K3">_xlfn.IFS('ProductSprint Backlog'!$F3="", "", AND('ProductSprint Backlog'!$J3&gt;K$2,'ProductSprint Backlog'!$I3&lt;=K$2), 'ProductSprint Backlog'!$F3 / MAX(1, 'ProductSprint Backlog'!$J3-'ProductSprint Backlog'!$I3), AND('ProductSprint Backlog'!$J3=K$2,'ProductSprint Backlog'!$I3=K$2), 'ProductSprint Backlog'!$F3, TRUE, 0)</f>
        <v>0</v>
      </c>
      <c r="L3" s="4" cm="1">
        <f t="array" ref="L3">_xlfn.IFS('ProductSprint Backlog'!$F3="", "", AND('ProductSprint Backlog'!$J3&gt;L$2,'ProductSprint Backlog'!$I3&lt;=L$2), 'ProductSprint Backlog'!$F3 / MAX(1, 'ProductSprint Backlog'!$J3-'ProductSprint Backlog'!$I3), AND('ProductSprint Backlog'!$J3=L$2,'ProductSprint Backlog'!$I3=L$2), 'ProductSprint Backlog'!$F3, TRUE, 0)</f>
        <v>0</v>
      </c>
      <c r="M3" s="4" cm="1">
        <f t="array" ref="M3">_xlfn.IFS('ProductSprint Backlog'!$F3="", "", AND('ProductSprint Backlog'!$J3&gt;M$2,'ProductSprint Backlog'!$I3&lt;=M$2), 'ProductSprint Backlog'!$F3 / MAX(1, 'ProductSprint Backlog'!$J3-'ProductSprint Backlog'!$I3), AND('ProductSprint Backlog'!$J3=M$2,'ProductSprint Backlog'!$I3=M$2), 'ProductSprint Backlog'!$F3, TRUE, 0)</f>
        <v>0</v>
      </c>
      <c r="N3" s="4" cm="1">
        <f t="array" ref="N3">_xlfn.IFS('ProductSprint Backlog'!$F3="", "", AND('ProductSprint Backlog'!$J3&gt;N$2,'ProductSprint Backlog'!$I3&lt;=N$2), 'ProductSprint Backlog'!$F3 / MAX(1, 'ProductSprint Backlog'!$J3-'ProductSprint Backlog'!$I3), AND('ProductSprint Backlog'!$J3=N$2,'ProductSprint Backlog'!$I3=N$2), 'ProductSprint Backlog'!$F3, TRUE, 0)</f>
        <v>0</v>
      </c>
      <c r="O3" s="4" cm="1">
        <f t="array" ref="O3">_xlfn.IFS('ProductSprint Backlog'!$F3="", "", AND('ProductSprint Backlog'!$J3&gt;O$2,'ProductSprint Backlog'!$I3&lt;=O$2), 'ProductSprint Backlog'!$F3 / MAX(1, 'ProductSprint Backlog'!$J3-'ProductSprint Backlog'!$I3), AND('ProductSprint Backlog'!$J3=O$2,'ProductSprint Backlog'!$I3=O$2), 'ProductSprint Backlog'!$F3, TRUE, 0)</f>
        <v>0</v>
      </c>
      <c r="P3" s="4" cm="1">
        <f t="array" ref="P3">_xlfn.IFS('ProductSprint Backlog'!$F3="", "", AND('ProductSprint Backlog'!$J3&gt;P$2,'ProductSprint Backlog'!$I3&lt;=P$2), 'ProductSprint Backlog'!$F3 / MAX(1, 'ProductSprint Backlog'!$J3-'ProductSprint Backlog'!$I3), AND('ProductSprint Backlog'!$J3=P$2,'ProductSprint Backlog'!$I3=P$2), 'ProductSprint Backlog'!$F3, TRUE, 0)</f>
        <v>0</v>
      </c>
      <c r="Q3" s="4" cm="1">
        <f t="array" ref="Q3">_xlfn.IFS('ProductSprint Backlog'!$F3="", "", AND('ProductSprint Backlog'!$J3&gt;Q$2,'ProductSprint Backlog'!$I3&lt;=Q$2), 'ProductSprint Backlog'!$F3 / MAX(1, 'ProductSprint Backlog'!$J3-'ProductSprint Backlog'!$I3), AND('ProductSprint Backlog'!$J3=Q$2,'ProductSprint Backlog'!$I3=Q$2), 'ProductSprint Backlog'!$F3, TRUE, 0)</f>
        <v>0</v>
      </c>
    </row>
    <row r="4" spans="2:19" x14ac:dyDescent="0.2">
      <c r="B4" s="4" cm="1">
        <f t="array" ref="B4">_xlfn.IFS('ProductSprint Backlog'!$F4="", "", AND('ProductSprint Backlog'!$J4&gt;B$2,'ProductSprint Backlog'!$I4&lt;=B$2), 'ProductSprint Backlog'!$F4 / MAX(1, 'ProductSprint Backlog'!$J4-'ProductSprint Backlog'!$I4), AND('ProductSprint Backlog'!$J4=B$2,'ProductSprint Backlog'!$I4=B$2), 'ProductSprint Backlog'!$F4, TRUE, 0)</f>
        <v>0</v>
      </c>
      <c r="C4" s="4" cm="1">
        <f t="array" ref="C4">_xlfn.IFS('ProductSprint Backlog'!$F4="", "", AND('ProductSprint Backlog'!$J4&gt;C$2,'ProductSprint Backlog'!$I4&lt;=C$2), 'ProductSprint Backlog'!$F4 / MAX(1, 'ProductSprint Backlog'!$J4-'ProductSprint Backlog'!$I4), AND('ProductSprint Backlog'!$J4=C$2,'ProductSprint Backlog'!$I4=C$2), 'ProductSprint Backlog'!$F4, TRUE, 0)</f>
        <v>0</v>
      </c>
      <c r="D4" s="4" cm="1">
        <f t="array" ref="D4">_xlfn.IFS('ProductSprint Backlog'!$F4="", "", AND('ProductSprint Backlog'!$J4&gt;D$2,'ProductSprint Backlog'!$I4&lt;=D$2), 'ProductSprint Backlog'!$F4 / MAX(1, 'ProductSprint Backlog'!$J4-'ProductSprint Backlog'!$I4), AND('ProductSprint Backlog'!$J4=D$2,'ProductSprint Backlog'!$I4=D$2), 'ProductSprint Backlog'!$F4, TRUE, 0)</f>
        <v>0</v>
      </c>
      <c r="E4" s="4" cm="1">
        <f t="array" ref="E4">_xlfn.IFS('ProductSprint Backlog'!$F4="", "", AND('ProductSprint Backlog'!$J4&gt;E$2,'ProductSprint Backlog'!$I4&lt;=E$2), 'ProductSprint Backlog'!$F4 / MAX(1, 'ProductSprint Backlog'!$J4-'ProductSprint Backlog'!$I4), AND('ProductSprint Backlog'!$J4=E$2,'ProductSprint Backlog'!$I4=E$2), 'ProductSprint Backlog'!$F4, TRUE, 0)</f>
        <v>0</v>
      </c>
      <c r="F4" s="4" cm="1">
        <f t="array" ref="F4">_xlfn.IFS('ProductSprint Backlog'!$F4="", "", AND('ProductSprint Backlog'!$J4&gt;F$2,'ProductSprint Backlog'!$I4&lt;=F$2), 'ProductSprint Backlog'!$F4 / MAX(1, 'ProductSprint Backlog'!$J4-'ProductSprint Backlog'!$I4), AND('ProductSprint Backlog'!$J4=F$2,'ProductSprint Backlog'!$I4=F$2), 'ProductSprint Backlog'!$F4, TRUE, 0)</f>
        <v>0</v>
      </c>
      <c r="G4" s="4" cm="1">
        <f t="array" ref="G4">_xlfn.IFS('ProductSprint Backlog'!$F4="", "", AND('ProductSprint Backlog'!$J4&gt;G$2,'ProductSprint Backlog'!$I4&lt;=G$2), 'ProductSprint Backlog'!$F4 / MAX(1, 'ProductSprint Backlog'!$J4-'ProductSprint Backlog'!$I4), AND('ProductSprint Backlog'!$J4=G$2,'ProductSprint Backlog'!$I4=G$2), 'ProductSprint Backlog'!$F4, TRUE, 0)</f>
        <v>0</v>
      </c>
      <c r="H4" s="4" cm="1">
        <f t="array" ref="H4">_xlfn.IFS('ProductSprint Backlog'!$F4="", "", AND('ProductSprint Backlog'!$J4&gt;H$2,'ProductSprint Backlog'!$I4&lt;=H$2), 'ProductSprint Backlog'!$F4 / MAX(1, 'ProductSprint Backlog'!$J4-'ProductSprint Backlog'!$I4), AND('ProductSprint Backlog'!$J4=H$2,'ProductSprint Backlog'!$I4=H$2), 'ProductSprint Backlog'!$F4, TRUE, 0)</f>
        <v>0</v>
      </c>
      <c r="I4" s="4" cm="1">
        <f t="array" ref="I4">_xlfn.IFS('ProductSprint Backlog'!$F4="", "", AND('ProductSprint Backlog'!$J4&gt;I$2,'ProductSprint Backlog'!$I4&lt;=I$2), 'ProductSprint Backlog'!$F4 / MAX(1, 'ProductSprint Backlog'!$J4-'ProductSprint Backlog'!$I4), AND('ProductSprint Backlog'!$J4=I$2,'ProductSprint Backlog'!$I4=I$2), 'ProductSprint Backlog'!$F4, TRUE, 0)</f>
        <v>0</v>
      </c>
      <c r="J4" s="4" cm="1">
        <f t="array" ref="J4">_xlfn.IFS('ProductSprint Backlog'!$F4="", "", AND('ProductSprint Backlog'!$J4&gt;J$2,'ProductSprint Backlog'!$I4&lt;=J$2), 'ProductSprint Backlog'!$F4 / MAX(1, 'ProductSprint Backlog'!$J4-'ProductSprint Backlog'!$I4), AND('ProductSprint Backlog'!$J4=J$2,'ProductSprint Backlog'!$I4=J$2), 'ProductSprint Backlog'!$F4, TRUE, 0)</f>
        <v>0</v>
      </c>
      <c r="K4" s="4" cm="1">
        <f t="array" ref="K4">_xlfn.IFS('ProductSprint Backlog'!$F4="", "", AND('ProductSprint Backlog'!$J4&gt;K$2,'ProductSprint Backlog'!$I4&lt;=K$2), 'ProductSprint Backlog'!$F4 / MAX(1, 'ProductSprint Backlog'!$J4-'ProductSprint Backlog'!$I4), AND('ProductSprint Backlog'!$J4=K$2,'ProductSprint Backlog'!$I4=K$2), 'ProductSprint Backlog'!$F4, TRUE, 0)</f>
        <v>0</v>
      </c>
      <c r="L4" s="4" cm="1">
        <f t="array" ref="L4">_xlfn.IFS('ProductSprint Backlog'!$F4="", "", AND('ProductSprint Backlog'!$J4&gt;L$2,'ProductSprint Backlog'!$I4&lt;=L$2), 'ProductSprint Backlog'!$F4 / MAX(1, 'ProductSprint Backlog'!$J4-'ProductSprint Backlog'!$I4), AND('ProductSprint Backlog'!$J4=L$2,'ProductSprint Backlog'!$I4=L$2), 'ProductSprint Backlog'!$F4, TRUE, 0)</f>
        <v>0</v>
      </c>
      <c r="M4" s="4" cm="1">
        <f t="array" ref="M4">_xlfn.IFS('ProductSprint Backlog'!$F4="", "", AND('ProductSprint Backlog'!$J4&gt;M$2,'ProductSprint Backlog'!$I4&lt;=M$2), 'ProductSprint Backlog'!$F4 / MAX(1, 'ProductSprint Backlog'!$J4-'ProductSprint Backlog'!$I4), AND('ProductSprint Backlog'!$J4=M$2,'ProductSprint Backlog'!$I4=M$2), 'ProductSprint Backlog'!$F4, TRUE, 0)</f>
        <v>0</v>
      </c>
      <c r="N4" s="4" cm="1">
        <f t="array" ref="N4">_xlfn.IFS('ProductSprint Backlog'!$F4="", "", AND('ProductSprint Backlog'!$J4&gt;N$2,'ProductSprint Backlog'!$I4&lt;=N$2), 'ProductSprint Backlog'!$F4 / MAX(1, 'ProductSprint Backlog'!$J4-'ProductSprint Backlog'!$I4), AND('ProductSprint Backlog'!$J4=N$2,'ProductSprint Backlog'!$I4=N$2), 'ProductSprint Backlog'!$F4, TRUE, 0)</f>
        <v>0</v>
      </c>
      <c r="O4" s="4" cm="1">
        <f t="array" ref="O4">_xlfn.IFS('ProductSprint Backlog'!$F4="", "", AND('ProductSprint Backlog'!$J4&gt;O$2,'ProductSprint Backlog'!$I4&lt;=O$2), 'ProductSprint Backlog'!$F4 / MAX(1, 'ProductSprint Backlog'!$J4-'ProductSprint Backlog'!$I4), AND('ProductSprint Backlog'!$J4=O$2,'ProductSprint Backlog'!$I4=O$2), 'ProductSprint Backlog'!$F4, TRUE, 0)</f>
        <v>0</v>
      </c>
      <c r="P4" s="4" cm="1">
        <f t="array" ref="P4">_xlfn.IFS('ProductSprint Backlog'!$F4="", "", AND('ProductSprint Backlog'!$J4&gt;P$2,'ProductSprint Backlog'!$I4&lt;=P$2), 'ProductSprint Backlog'!$F4 / MAX(1, 'ProductSprint Backlog'!$J4-'ProductSprint Backlog'!$I4), AND('ProductSprint Backlog'!$J4=P$2,'ProductSprint Backlog'!$I4=P$2), 'ProductSprint Backlog'!$F4, TRUE, 0)</f>
        <v>0</v>
      </c>
      <c r="Q4" s="4" cm="1">
        <f t="array" ref="Q4">_xlfn.IFS('ProductSprint Backlog'!$F4="", "", AND('ProductSprint Backlog'!$J4&gt;Q$2,'ProductSprint Backlog'!$I4&lt;=Q$2), 'ProductSprint Backlog'!$F4 / MAX(1, 'ProductSprint Backlog'!$J4-'ProductSprint Backlog'!$I4), AND('ProductSprint Backlog'!$J4=Q$2,'ProductSprint Backlog'!$I4=Q$2), 'ProductSprint Backlog'!$F4, TRUE, 0)</f>
        <v>0</v>
      </c>
    </row>
    <row r="5" spans="2:19" x14ac:dyDescent="0.2">
      <c r="B5" s="4" cm="1">
        <f t="array" ref="B5">_xlfn.IFS('ProductSprint Backlog'!$F5="", "", AND('ProductSprint Backlog'!$J5&gt;B$2,'ProductSprint Backlog'!$I5&lt;=B$2), 'ProductSprint Backlog'!$F5 / MAX(1, 'ProductSprint Backlog'!$J5-'ProductSprint Backlog'!$I5), AND('ProductSprint Backlog'!$J5=B$2,'ProductSprint Backlog'!$I5=B$2), 'ProductSprint Backlog'!$F5, TRUE, 0)</f>
        <v>0</v>
      </c>
      <c r="C5" s="4" cm="1">
        <f t="array" ref="C5">_xlfn.IFS('ProductSprint Backlog'!$F5="", "", AND('ProductSprint Backlog'!$J5&gt;C$2,'ProductSprint Backlog'!$I5&lt;=C$2), 'ProductSprint Backlog'!$F5 / MAX(1, 'ProductSprint Backlog'!$J5-'ProductSprint Backlog'!$I5), AND('ProductSprint Backlog'!$J5=C$2,'ProductSprint Backlog'!$I5=C$2), 'ProductSprint Backlog'!$F5, TRUE, 0)</f>
        <v>0</v>
      </c>
      <c r="D5" s="4" cm="1">
        <f t="array" ref="D5">_xlfn.IFS('ProductSprint Backlog'!$F5="", "", AND('ProductSprint Backlog'!$J5&gt;D$2,'ProductSprint Backlog'!$I5&lt;=D$2), 'ProductSprint Backlog'!$F5 / MAX(1, 'ProductSprint Backlog'!$J5-'ProductSprint Backlog'!$I5), AND('ProductSprint Backlog'!$J5=D$2,'ProductSprint Backlog'!$I5=D$2), 'ProductSprint Backlog'!$F5, TRUE, 0)</f>
        <v>0</v>
      </c>
      <c r="E5" s="4" cm="1">
        <f t="array" ref="E5">_xlfn.IFS('ProductSprint Backlog'!$F5="", "", AND('ProductSprint Backlog'!$J5&gt;E$2,'ProductSprint Backlog'!$I5&lt;=E$2), 'ProductSprint Backlog'!$F5 / MAX(1, 'ProductSprint Backlog'!$J5-'ProductSprint Backlog'!$I5), AND('ProductSprint Backlog'!$J5=E$2,'ProductSprint Backlog'!$I5=E$2), 'ProductSprint Backlog'!$F5, TRUE, 0)</f>
        <v>0</v>
      </c>
      <c r="F5" s="4" cm="1">
        <f t="array" ref="F5">_xlfn.IFS('ProductSprint Backlog'!$F5="", "", AND('ProductSprint Backlog'!$J5&gt;F$2,'ProductSprint Backlog'!$I5&lt;=F$2), 'ProductSprint Backlog'!$F5 / MAX(1, 'ProductSprint Backlog'!$J5-'ProductSprint Backlog'!$I5), AND('ProductSprint Backlog'!$J5=F$2,'ProductSprint Backlog'!$I5=F$2), 'ProductSprint Backlog'!$F5, TRUE, 0)</f>
        <v>0</v>
      </c>
      <c r="G5" s="4" cm="1">
        <f t="array" ref="G5">_xlfn.IFS('ProductSprint Backlog'!$F5="", "", AND('ProductSprint Backlog'!$J5&gt;G$2,'ProductSprint Backlog'!$I5&lt;=G$2), 'ProductSprint Backlog'!$F5 / MAX(1, 'ProductSprint Backlog'!$J5-'ProductSprint Backlog'!$I5), AND('ProductSprint Backlog'!$J5=G$2,'ProductSprint Backlog'!$I5=G$2), 'ProductSprint Backlog'!$F5, TRUE, 0)</f>
        <v>0</v>
      </c>
      <c r="H5" s="4" cm="1">
        <f t="array" ref="H5">_xlfn.IFS('ProductSprint Backlog'!$F5="", "", AND('ProductSprint Backlog'!$J5&gt;H$2,'ProductSprint Backlog'!$I5&lt;=H$2), 'ProductSprint Backlog'!$F5 / MAX(1, 'ProductSprint Backlog'!$J5-'ProductSprint Backlog'!$I5), AND('ProductSprint Backlog'!$J5=H$2,'ProductSprint Backlog'!$I5=H$2), 'ProductSprint Backlog'!$F5, TRUE, 0)</f>
        <v>0</v>
      </c>
      <c r="I5" s="4" cm="1">
        <f t="array" ref="I5">_xlfn.IFS('ProductSprint Backlog'!$F5="", "", AND('ProductSprint Backlog'!$J5&gt;I$2,'ProductSprint Backlog'!$I5&lt;=I$2), 'ProductSprint Backlog'!$F5 / MAX(1, 'ProductSprint Backlog'!$J5-'ProductSprint Backlog'!$I5), AND('ProductSprint Backlog'!$J5=I$2,'ProductSprint Backlog'!$I5=I$2), 'ProductSprint Backlog'!$F5, TRUE, 0)</f>
        <v>0</v>
      </c>
      <c r="J5" s="4" cm="1">
        <f t="array" ref="J5">_xlfn.IFS('ProductSprint Backlog'!$F5="", "", AND('ProductSprint Backlog'!$J5&gt;J$2,'ProductSprint Backlog'!$I5&lt;=J$2), 'ProductSprint Backlog'!$F5 / MAX(1, 'ProductSprint Backlog'!$J5-'ProductSprint Backlog'!$I5), AND('ProductSprint Backlog'!$J5=J$2,'ProductSprint Backlog'!$I5=J$2), 'ProductSprint Backlog'!$F5, TRUE, 0)</f>
        <v>0</v>
      </c>
      <c r="K5" s="4" cm="1">
        <f t="array" ref="K5">_xlfn.IFS('ProductSprint Backlog'!$F5="", "", AND('ProductSprint Backlog'!$J5&gt;K$2,'ProductSprint Backlog'!$I5&lt;=K$2), 'ProductSprint Backlog'!$F5 / MAX(1, 'ProductSprint Backlog'!$J5-'ProductSprint Backlog'!$I5), AND('ProductSprint Backlog'!$J5=K$2,'ProductSprint Backlog'!$I5=K$2), 'ProductSprint Backlog'!$F5, TRUE, 0)</f>
        <v>0</v>
      </c>
      <c r="L5" s="4" cm="1">
        <f t="array" ref="L5">_xlfn.IFS('ProductSprint Backlog'!$F5="", "", AND('ProductSprint Backlog'!$J5&gt;L$2,'ProductSprint Backlog'!$I5&lt;=L$2), 'ProductSprint Backlog'!$F5 / MAX(1, 'ProductSprint Backlog'!$J5-'ProductSprint Backlog'!$I5), AND('ProductSprint Backlog'!$J5=L$2,'ProductSprint Backlog'!$I5=L$2), 'ProductSprint Backlog'!$F5, TRUE, 0)</f>
        <v>0</v>
      </c>
      <c r="M5" s="4" cm="1">
        <f t="array" ref="M5">_xlfn.IFS('ProductSprint Backlog'!$F5="", "", AND('ProductSprint Backlog'!$J5&gt;M$2,'ProductSprint Backlog'!$I5&lt;=M$2), 'ProductSprint Backlog'!$F5 / MAX(1, 'ProductSprint Backlog'!$J5-'ProductSprint Backlog'!$I5), AND('ProductSprint Backlog'!$J5=M$2,'ProductSprint Backlog'!$I5=M$2), 'ProductSprint Backlog'!$F5, TRUE, 0)</f>
        <v>0</v>
      </c>
      <c r="N5" s="4" cm="1">
        <f t="array" ref="N5">_xlfn.IFS('ProductSprint Backlog'!$F5="", "", AND('ProductSprint Backlog'!$J5&gt;N$2,'ProductSprint Backlog'!$I5&lt;=N$2), 'ProductSprint Backlog'!$F5 / MAX(1, 'ProductSprint Backlog'!$J5-'ProductSprint Backlog'!$I5), AND('ProductSprint Backlog'!$J5=N$2,'ProductSprint Backlog'!$I5=N$2), 'ProductSprint Backlog'!$F5, TRUE, 0)</f>
        <v>0</v>
      </c>
      <c r="O5" s="4" cm="1">
        <f t="array" ref="O5">_xlfn.IFS('ProductSprint Backlog'!$F5="", "", AND('ProductSprint Backlog'!$J5&gt;O$2,'ProductSprint Backlog'!$I5&lt;=O$2), 'ProductSprint Backlog'!$F5 / MAX(1, 'ProductSprint Backlog'!$J5-'ProductSprint Backlog'!$I5), AND('ProductSprint Backlog'!$J5=O$2,'ProductSprint Backlog'!$I5=O$2), 'ProductSprint Backlog'!$F5, TRUE, 0)</f>
        <v>0</v>
      </c>
      <c r="P5" s="4" cm="1">
        <f t="array" ref="P5">_xlfn.IFS('ProductSprint Backlog'!$F5="", "", AND('ProductSprint Backlog'!$J5&gt;P$2,'ProductSprint Backlog'!$I5&lt;=P$2), 'ProductSprint Backlog'!$F5 / MAX(1, 'ProductSprint Backlog'!$J5-'ProductSprint Backlog'!$I5), AND('ProductSprint Backlog'!$J5=P$2,'ProductSprint Backlog'!$I5=P$2), 'ProductSprint Backlog'!$F5, TRUE, 0)</f>
        <v>0</v>
      </c>
      <c r="Q5" s="4" cm="1">
        <f t="array" ref="Q5">_xlfn.IFS('ProductSprint Backlog'!$F5="", "", AND('ProductSprint Backlog'!$J5&gt;Q$2,'ProductSprint Backlog'!$I5&lt;=Q$2), 'ProductSprint Backlog'!$F5 / MAX(1, 'ProductSprint Backlog'!$J5-'ProductSprint Backlog'!$I5), AND('ProductSprint Backlog'!$J5=Q$2,'ProductSprint Backlog'!$I5=Q$2), 'ProductSprint Backlog'!$F5, TRUE, 0)</f>
        <v>0</v>
      </c>
    </row>
    <row r="6" spans="2:19" x14ac:dyDescent="0.2">
      <c r="B6" s="4" cm="1">
        <f t="array" ref="B6">_xlfn.IFS('ProductSprint Backlog'!$F6="", "", AND('ProductSprint Backlog'!$J6&gt;B$2,'ProductSprint Backlog'!$I6&lt;=B$2), 'ProductSprint Backlog'!$F6 / MAX(1, 'ProductSprint Backlog'!$J6-'ProductSprint Backlog'!$I6), AND('ProductSprint Backlog'!$J6=B$2,'ProductSprint Backlog'!$I6=B$2), 'ProductSprint Backlog'!$F6, TRUE, 0)</f>
        <v>0</v>
      </c>
      <c r="C6" s="4" cm="1">
        <f t="array" ref="C6">_xlfn.IFS('ProductSprint Backlog'!$F6="", "", AND('ProductSprint Backlog'!$J6&gt;C$2,'ProductSprint Backlog'!$I6&lt;=C$2), 'ProductSprint Backlog'!$F6 / MAX(1, 'ProductSprint Backlog'!$J6-'ProductSprint Backlog'!$I6), AND('ProductSprint Backlog'!$J6=C$2,'ProductSprint Backlog'!$I6=C$2), 'ProductSprint Backlog'!$F6, TRUE, 0)</f>
        <v>0</v>
      </c>
      <c r="D6" s="4" cm="1">
        <f t="array" ref="D6">_xlfn.IFS('ProductSprint Backlog'!$F6="", "", AND('ProductSprint Backlog'!$J6&gt;D$2,'ProductSprint Backlog'!$I6&lt;=D$2), 'ProductSprint Backlog'!$F6 / MAX(1, 'ProductSprint Backlog'!$J6-'ProductSprint Backlog'!$I6), AND('ProductSprint Backlog'!$J6=D$2,'ProductSprint Backlog'!$I6=D$2), 'ProductSprint Backlog'!$F6, TRUE, 0)</f>
        <v>0</v>
      </c>
      <c r="E6" s="4" cm="1">
        <f t="array" ref="E6">_xlfn.IFS('ProductSprint Backlog'!$F6="", "", AND('ProductSprint Backlog'!$J6&gt;E$2,'ProductSprint Backlog'!$I6&lt;=E$2), 'ProductSprint Backlog'!$F6 / MAX(1, 'ProductSprint Backlog'!$J6-'ProductSprint Backlog'!$I6), AND('ProductSprint Backlog'!$J6=E$2,'ProductSprint Backlog'!$I6=E$2), 'ProductSprint Backlog'!$F6, TRUE, 0)</f>
        <v>0</v>
      </c>
      <c r="F6" s="4" cm="1">
        <f t="array" ref="F6">_xlfn.IFS('ProductSprint Backlog'!$F6="", "", AND('ProductSprint Backlog'!$J6&gt;F$2,'ProductSprint Backlog'!$I6&lt;=F$2), 'ProductSprint Backlog'!$F6 / MAX(1, 'ProductSprint Backlog'!$J6-'ProductSprint Backlog'!$I6), AND('ProductSprint Backlog'!$J6=F$2,'ProductSprint Backlog'!$I6=F$2), 'ProductSprint Backlog'!$F6, TRUE, 0)</f>
        <v>0</v>
      </c>
      <c r="G6" s="4" cm="1">
        <f t="array" ref="G6">_xlfn.IFS('ProductSprint Backlog'!$F6="", "", AND('ProductSprint Backlog'!$J6&gt;G$2,'ProductSprint Backlog'!$I6&lt;=G$2), 'ProductSprint Backlog'!$F6 / MAX(1, 'ProductSprint Backlog'!$J6-'ProductSprint Backlog'!$I6), AND('ProductSprint Backlog'!$J6=G$2,'ProductSprint Backlog'!$I6=G$2), 'ProductSprint Backlog'!$F6, TRUE, 0)</f>
        <v>0</v>
      </c>
      <c r="H6" s="4" cm="1">
        <f t="array" ref="H6">_xlfn.IFS('ProductSprint Backlog'!$F6="", "", AND('ProductSprint Backlog'!$J6&gt;H$2,'ProductSprint Backlog'!$I6&lt;=H$2), 'ProductSprint Backlog'!$F6 / MAX(1, 'ProductSprint Backlog'!$J6-'ProductSprint Backlog'!$I6), AND('ProductSprint Backlog'!$J6=H$2,'ProductSprint Backlog'!$I6=H$2), 'ProductSprint Backlog'!$F6, TRUE, 0)</f>
        <v>0</v>
      </c>
      <c r="I6" s="4" cm="1">
        <f t="array" ref="I6">_xlfn.IFS('ProductSprint Backlog'!$F6="", "", AND('ProductSprint Backlog'!$J6&gt;I$2,'ProductSprint Backlog'!$I6&lt;=I$2), 'ProductSprint Backlog'!$F6 / MAX(1, 'ProductSprint Backlog'!$J6-'ProductSprint Backlog'!$I6), AND('ProductSprint Backlog'!$J6=I$2,'ProductSprint Backlog'!$I6=I$2), 'ProductSprint Backlog'!$F6, TRUE, 0)</f>
        <v>0</v>
      </c>
      <c r="J6" s="4" cm="1">
        <f t="array" ref="J6">_xlfn.IFS('ProductSprint Backlog'!$F6="", "", AND('ProductSprint Backlog'!$J6&gt;J$2,'ProductSprint Backlog'!$I6&lt;=J$2), 'ProductSprint Backlog'!$F6 / MAX(1, 'ProductSprint Backlog'!$J6-'ProductSprint Backlog'!$I6), AND('ProductSprint Backlog'!$J6=J$2,'ProductSprint Backlog'!$I6=J$2), 'ProductSprint Backlog'!$F6, TRUE, 0)</f>
        <v>0</v>
      </c>
      <c r="K6" s="4" cm="1">
        <f t="array" ref="K6">_xlfn.IFS('ProductSprint Backlog'!$F6="", "", AND('ProductSprint Backlog'!$J6&gt;K$2,'ProductSprint Backlog'!$I6&lt;=K$2), 'ProductSprint Backlog'!$F6 / MAX(1, 'ProductSprint Backlog'!$J6-'ProductSprint Backlog'!$I6), AND('ProductSprint Backlog'!$J6=K$2,'ProductSprint Backlog'!$I6=K$2), 'ProductSprint Backlog'!$F6, TRUE, 0)</f>
        <v>0</v>
      </c>
      <c r="L6" s="4" cm="1">
        <f t="array" ref="L6">_xlfn.IFS('ProductSprint Backlog'!$F6="", "", AND('ProductSprint Backlog'!$J6&gt;L$2,'ProductSprint Backlog'!$I6&lt;=L$2), 'ProductSprint Backlog'!$F6 / MAX(1, 'ProductSprint Backlog'!$J6-'ProductSprint Backlog'!$I6), AND('ProductSprint Backlog'!$J6=L$2,'ProductSprint Backlog'!$I6=L$2), 'ProductSprint Backlog'!$F6, TRUE, 0)</f>
        <v>0</v>
      </c>
      <c r="M6" s="4" cm="1">
        <f t="array" ref="M6">_xlfn.IFS('ProductSprint Backlog'!$F6="", "", AND('ProductSprint Backlog'!$J6&gt;M$2,'ProductSprint Backlog'!$I6&lt;=M$2), 'ProductSprint Backlog'!$F6 / MAX(1, 'ProductSprint Backlog'!$J6-'ProductSprint Backlog'!$I6), AND('ProductSprint Backlog'!$J6=M$2,'ProductSprint Backlog'!$I6=M$2), 'ProductSprint Backlog'!$F6, TRUE, 0)</f>
        <v>0</v>
      </c>
      <c r="N6" s="4" cm="1">
        <f t="array" ref="N6">_xlfn.IFS('ProductSprint Backlog'!$F6="", "", AND('ProductSprint Backlog'!$J6&gt;N$2,'ProductSprint Backlog'!$I6&lt;=N$2), 'ProductSprint Backlog'!$F6 / MAX(1, 'ProductSprint Backlog'!$J6-'ProductSprint Backlog'!$I6), AND('ProductSprint Backlog'!$J6=N$2,'ProductSprint Backlog'!$I6=N$2), 'ProductSprint Backlog'!$F6, TRUE, 0)</f>
        <v>0</v>
      </c>
      <c r="O6" s="4" cm="1">
        <f t="array" ref="O6">_xlfn.IFS('ProductSprint Backlog'!$F6="", "", AND('ProductSprint Backlog'!$J6&gt;O$2,'ProductSprint Backlog'!$I6&lt;=O$2), 'ProductSprint Backlog'!$F6 / MAX(1, 'ProductSprint Backlog'!$J6-'ProductSprint Backlog'!$I6), AND('ProductSprint Backlog'!$J6=O$2,'ProductSprint Backlog'!$I6=O$2), 'ProductSprint Backlog'!$F6, TRUE, 0)</f>
        <v>0</v>
      </c>
      <c r="P6" s="4" cm="1">
        <f t="array" ref="P6">_xlfn.IFS('ProductSprint Backlog'!$F6="", "", AND('ProductSprint Backlog'!$J6&gt;P$2,'ProductSprint Backlog'!$I6&lt;=P$2), 'ProductSprint Backlog'!$F6 / MAX(1, 'ProductSprint Backlog'!$J6-'ProductSprint Backlog'!$I6), AND('ProductSprint Backlog'!$J6=P$2,'ProductSprint Backlog'!$I6=P$2), 'ProductSprint Backlog'!$F6, TRUE, 0)</f>
        <v>0</v>
      </c>
      <c r="Q6" s="4" cm="1">
        <f t="array" ref="Q6">_xlfn.IFS('ProductSprint Backlog'!$F6="", "", AND('ProductSprint Backlog'!$J6&gt;Q$2,'ProductSprint Backlog'!$I6&lt;=Q$2), 'ProductSprint Backlog'!$F6 / MAX(1, 'ProductSprint Backlog'!$J6-'ProductSprint Backlog'!$I6), AND('ProductSprint Backlog'!$J6=Q$2,'ProductSprint Backlog'!$I6=Q$2), 'ProductSprint Backlog'!$F6, TRUE, 0)</f>
        <v>0</v>
      </c>
    </row>
    <row r="7" spans="2:19" x14ac:dyDescent="0.2">
      <c r="B7" s="4" t="str" cm="1">
        <f t="array" ref="B7">_xlfn.IFS('ProductSprint Backlog'!$F7="", "", AND('ProductSprint Backlog'!$J7&gt;B$2,'ProductSprint Backlog'!$I7&lt;=B$2), 'ProductSprint Backlog'!$F7 / MAX(1, 'ProductSprint Backlog'!$J7-'ProductSprint Backlog'!$I7), AND('ProductSprint Backlog'!$J7=B$2,'ProductSprint Backlog'!$I7=B$2), 'ProductSprint Backlog'!$F7, TRUE, 0)</f>
        <v/>
      </c>
      <c r="C7" s="4" t="str" cm="1">
        <f t="array" ref="C7">_xlfn.IFS('ProductSprint Backlog'!$F7="", "", AND('ProductSprint Backlog'!$J7&gt;C$2,'ProductSprint Backlog'!$I7&lt;=C$2), 'ProductSprint Backlog'!$F7 / MAX(1, 'ProductSprint Backlog'!$J7-'ProductSprint Backlog'!$I7), AND('ProductSprint Backlog'!$J7=C$2,'ProductSprint Backlog'!$I7=C$2), 'ProductSprint Backlog'!$F7, TRUE, 0)</f>
        <v/>
      </c>
      <c r="D7" s="4" t="str" cm="1">
        <f t="array" ref="D7">_xlfn.IFS('ProductSprint Backlog'!$F7="", "", AND('ProductSprint Backlog'!$J7&gt;D$2,'ProductSprint Backlog'!$I7&lt;=D$2), 'ProductSprint Backlog'!$F7 / MAX(1, 'ProductSprint Backlog'!$J7-'ProductSprint Backlog'!$I7), AND('ProductSprint Backlog'!$J7=D$2,'ProductSprint Backlog'!$I7=D$2), 'ProductSprint Backlog'!$F7, TRUE, 0)</f>
        <v/>
      </c>
      <c r="E7" s="4" t="str" cm="1">
        <f t="array" ref="E7">_xlfn.IFS('ProductSprint Backlog'!$F7="", "", AND('ProductSprint Backlog'!$J7&gt;E$2,'ProductSprint Backlog'!$I7&lt;=E$2), 'ProductSprint Backlog'!$F7 / MAX(1, 'ProductSprint Backlog'!$J7-'ProductSprint Backlog'!$I7), AND('ProductSprint Backlog'!$J7=E$2,'ProductSprint Backlog'!$I7=E$2), 'ProductSprint Backlog'!$F7, TRUE, 0)</f>
        <v/>
      </c>
      <c r="F7" s="4" t="str" cm="1">
        <f t="array" ref="F7">_xlfn.IFS('ProductSprint Backlog'!$F7="", "", AND('ProductSprint Backlog'!$J7&gt;F$2,'ProductSprint Backlog'!$I7&lt;=F$2), 'ProductSprint Backlog'!$F7 / MAX(1, 'ProductSprint Backlog'!$J7-'ProductSprint Backlog'!$I7), AND('ProductSprint Backlog'!$J7=F$2,'ProductSprint Backlog'!$I7=F$2), 'ProductSprint Backlog'!$F7, TRUE, 0)</f>
        <v/>
      </c>
      <c r="G7" s="4" t="str" cm="1">
        <f t="array" ref="G7">_xlfn.IFS('ProductSprint Backlog'!$F7="", "", AND('ProductSprint Backlog'!$J7&gt;G$2,'ProductSprint Backlog'!$I7&lt;=G$2), 'ProductSprint Backlog'!$F7 / MAX(1, 'ProductSprint Backlog'!$J7-'ProductSprint Backlog'!$I7), AND('ProductSprint Backlog'!$J7=G$2,'ProductSprint Backlog'!$I7=G$2), 'ProductSprint Backlog'!$F7, TRUE, 0)</f>
        <v/>
      </c>
      <c r="H7" s="4" t="str" cm="1">
        <f t="array" ref="H7">_xlfn.IFS('ProductSprint Backlog'!$F7="", "", AND('ProductSprint Backlog'!$J7&gt;H$2,'ProductSprint Backlog'!$I7&lt;=H$2), 'ProductSprint Backlog'!$F7 / MAX(1, 'ProductSprint Backlog'!$J7-'ProductSprint Backlog'!$I7), AND('ProductSprint Backlog'!$J7=H$2,'ProductSprint Backlog'!$I7=H$2), 'ProductSprint Backlog'!$F7, TRUE, 0)</f>
        <v/>
      </c>
      <c r="I7" s="4" t="str" cm="1">
        <f t="array" ref="I7">_xlfn.IFS('ProductSprint Backlog'!$F7="", "", AND('ProductSprint Backlog'!$J7&gt;I$2,'ProductSprint Backlog'!$I7&lt;=I$2), 'ProductSprint Backlog'!$F7 / MAX(1, 'ProductSprint Backlog'!$J7-'ProductSprint Backlog'!$I7), AND('ProductSprint Backlog'!$J7=I$2,'ProductSprint Backlog'!$I7=I$2), 'ProductSprint Backlog'!$F7, TRUE, 0)</f>
        <v/>
      </c>
      <c r="J7" s="4" t="str" cm="1">
        <f t="array" ref="J7">_xlfn.IFS('ProductSprint Backlog'!$F7="", "", AND('ProductSprint Backlog'!$J7&gt;J$2,'ProductSprint Backlog'!$I7&lt;=J$2), 'ProductSprint Backlog'!$F7 / MAX(1, 'ProductSprint Backlog'!$J7-'ProductSprint Backlog'!$I7), AND('ProductSprint Backlog'!$J7=J$2,'ProductSprint Backlog'!$I7=J$2), 'ProductSprint Backlog'!$F7, TRUE, 0)</f>
        <v/>
      </c>
      <c r="K7" s="4" t="str" cm="1">
        <f t="array" ref="K7">_xlfn.IFS('ProductSprint Backlog'!$F7="", "", AND('ProductSprint Backlog'!$J7&gt;K$2,'ProductSprint Backlog'!$I7&lt;=K$2), 'ProductSprint Backlog'!$F7 / MAX(1, 'ProductSprint Backlog'!$J7-'ProductSprint Backlog'!$I7), AND('ProductSprint Backlog'!$J7=K$2,'ProductSprint Backlog'!$I7=K$2), 'ProductSprint Backlog'!$F7, TRUE, 0)</f>
        <v/>
      </c>
      <c r="L7" s="4" t="str" cm="1">
        <f t="array" ref="L7">_xlfn.IFS('ProductSprint Backlog'!$F7="", "", AND('ProductSprint Backlog'!$J7&gt;L$2,'ProductSprint Backlog'!$I7&lt;=L$2), 'ProductSprint Backlog'!$F7 / MAX(1, 'ProductSprint Backlog'!$J7-'ProductSprint Backlog'!$I7), AND('ProductSprint Backlog'!$J7=L$2,'ProductSprint Backlog'!$I7=L$2), 'ProductSprint Backlog'!$F7, TRUE, 0)</f>
        <v/>
      </c>
      <c r="M7" s="4" t="str" cm="1">
        <f t="array" ref="M7">_xlfn.IFS('ProductSprint Backlog'!$F7="", "", AND('ProductSprint Backlog'!$J7&gt;M$2,'ProductSprint Backlog'!$I7&lt;=M$2), 'ProductSprint Backlog'!$F7 / MAX(1, 'ProductSprint Backlog'!$J7-'ProductSprint Backlog'!$I7), AND('ProductSprint Backlog'!$J7=M$2,'ProductSprint Backlog'!$I7=M$2), 'ProductSprint Backlog'!$F7, TRUE, 0)</f>
        <v/>
      </c>
      <c r="N7" s="4" t="str" cm="1">
        <f t="array" ref="N7">_xlfn.IFS('ProductSprint Backlog'!$F7="", "", AND('ProductSprint Backlog'!$J7&gt;N$2,'ProductSprint Backlog'!$I7&lt;=N$2), 'ProductSprint Backlog'!$F7 / MAX(1, 'ProductSprint Backlog'!$J7-'ProductSprint Backlog'!$I7), AND('ProductSprint Backlog'!$J7=N$2,'ProductSprint Backlog'!$I7=N$2), 'ProductSprint Backlog'!$F7, TRUE, 0)</f>
        <v/>
      </c>
      <c r="O7" s="4" t="str" cm="1">
        <f t="array" ref="O7">_xlfn.IFS('ProductSprint Backlog'!$F7="", "", AND('ProductSprint Backlog'!$J7&gt;O$2,'ProductSprint Backlog'!$I7&lt;=O$2), 'ProductSprint Backlog'!$F7 / MAX(1, 'ProductSprint Backlog'!$J7-'ProductSprint Backlog'!$I7), AND('ProductSprint Backlog'!$J7=O$2,'ProductSprint Backlog'!$I7=O$2), 'ProductSprint Backlog'!$F7, TRUE, 0)</f>
        <v/>
      </c>
      <c r="P7" s="4" t="str" cm="1">
        <f t="array" ref="P7">_xlfn.IFS('ProductSprint Backlog'!$F7="", "", AND('ProductSprint Backlog'!$J7&gt;P$2,'ProductSprint Backlog'!$I7&lt;=P$2), 'ProductSprint Backlog'!$F7 / MAX(1, 'ProductSprint Backlog'!$J7-'ProductSprint Backlog'!$I7), AND('ProductSprint Backlog'!$J7=P$2,'ProductSprint Backlog'!$I7=P$2), 'ProductSprint Backlog'!$F7, TRUE, 0)</f>
        <v/>
      </c>
      <c r="Q7" s="4" t="str" cm="1">
        <f t="array" ref="Q7">_xlfn.IFS('ProductSprint Backlog'!$F7="", "", AND('ProductSprint Backlog'!$J7&gt;Q$2,'ProductSprint Backlog'!$I7&lt;=Q$2), 'ProductSprint Backlog'!$F7 / MAX(1, 'ProductSprint Backlog'!$J7-'ProductSprint Backlog'!$I7), AND('ProductSprint Backlog'!$J7=Q$2,'ProductSprint Backlog'!$I7=Q$2), 'ProductSprint Backlog'!$F7, TRUE, 0)</f>
        <v/>
      </c>
    </row>
    <row r="8" spans="2:19" x14ac:dyDescent="0.2">
      <c r="B8" s="4" cm="1">
        <f t="array" ref="B8">_xlfn.IFS('ProductSprint Backlog'!$F8="", "", AND('ProductSprint Backlog'!$J8&gt;B$2,'ProductSprint Backlog'!$I8&lt;=B$2), 'ProductSprint Backlog'!$F8 / MAX(1, 'ProductSprint Backlog'!$J8-'ProductSprint Backlog'!$I8), AND('ProductSprint Backlog'!$J8=B$2,'ProductSprint Backlog'!$I8=B$2), 'ProductSprint Backlog'!$F8, TRUE, 0)</f>
        <v>0</v>
      </c>
      <c r="C8" s="4" cm="1">
        <f t="array" ref="C8">_xlfn.IFS('ProductSprint Backlog'!$F8="", "", AND('ProductSprint Backlog'!$J8&gt;C$2,'ProductSprint Backlog'!$I8&lt;=C$2), 'ProductSprint Backlog'!$F8 / MAX(1, 'ProductSprint Backlog'!$J8-'ProductSprint Backlog'!$I8), AND('ProductSprint Backlog'!$J8=C$2,'ProductSprint Backlog'!$I8=C$2), 'ProductSprint Backlog'!$F8, TRUE, 0)</f>
        <v>0</v>
      </c>
      <c r="D8" s="4" cm="1">
        <f t="array" ref="D8">_xlfn.IFS('ProductSprint Backlog'!$F8="", "", AND('ProductSprint Backlog'!$J8&gt;D$2,'ProductSprint Backlog'!$I8&lt;=D$2), 'ProductSprint Backlog'!$F8 / MAX(1, 'ProductSprint Backlog'!$J8-'ProductSprint Backlog'!$I8), AND('ProductSprint Backlog'!$J8=D$2,'ProductSprint Backlog'!$I8=D$2), 'ProductSprint Backlog'!$F8, TRUE, 0)</f>
        <v>0</v>
      </c>
      <c r="E8" s="4" cm="1">
        <f t="array" ref="E8">_xlfn.IFS('ProductSprint Backlog'!$F8="", "", AND('ProductSprint Backlog'!$J8&gt;E$2,'ProductSprint Backlog'!$I8&lt;=E$2), 'ProductSprint Backlog'!$F8 / MAX(1, 'ProductSprint Backlog'!$J8-'ProductSprint Backlog'!$I8), AND('ProductSprint Backlog'!$J8=E$2,'ProductSprint Backlog'!$I8=E$2), 'ProductSprint Backlog'!$F8, TRUE, 0)</f>
        <v>0</v>
      </c>
      <c r="F8" s="4" cm="1">
        <f t="array" ref="F8">_xlfn.IFS('ProductSprint Backlog'!$F8="", "", AND('ProductSprint Backlog'!$J8&gt;F$2,'ProductSprint Backlog'!$I8&lt;=F$2), 'ProductSprint Backlog'!$F8 / MAX(1, 'ProductSprint Backlog'!$J8-'ProductSprint Backlog'!$I8), AND('ProductSprint Backlog'!$J8=F$2,'ProductSprint Backlog'!$I8=F$2), 'ProductSprint Backlog'!$F8, TRUE, 0)</f>
        <v>0</v>
      </c>
      <c r="G8" s="4" cm="1">
        <f t="array" ref="G8">_xlfn.IFS('ProductSprint Backlog'!$F8="", "", AND('ProductSprint Backlog'!$J8&gt;G$2,'ProductSprint Backlog'!$I8&lt;=G$2), 'ProductSprint Backlog'!$F8 / MAX(1, 'ProductSprint Backlog'!$J8-'ProductSprint Backlog'!$I8), AND('ProductSprint Backlog'!$J8=G$2,'ProductSprint Backlog'!$I8=G$2), 'ProductSprint Backlog'!$F8, TRUE, 0)</f>
        <v>0</v>
      </c>
      <c r="H8" s="4" cm="1">
        <f t="array" ref="H8">_xlfn.IFS('ProductSprint Backlog'!$F8="", "", AND('ProductSprint Backlog'!$J8&gt;H$2,'ProductSprint Backlog'!$I8&lt;=H$2), 'ProductSprint Backlog'!$F8 / MAX(1, 'ProductSprint Backlog'!$J8-'ProductSprint Backlog'!$I8), AND('ProductSprint Backlog'!$J8=H$2,'ProductSprint Backlog'!$I8=H$2), 'ProductSprint Backlog'!$F8, TRUE, 0)</f>
        <v>0</v>
      </c>
      <c r="I8" s="4" cm="1">
        <f t="array" ref="I8">_xlfn.IFS('ProductSprint Backlog'!$F8="", "", AND('ProductSprint Backlog'!$J8&gt;I$2,'ProductSprint Backlog'!$I8&lt;=I$2), 'ProductSprint Backlog'!$F8 / MAX(1, 'ProductSprint Backlog'!$J8-'ProductSprint Backlog'!$I8), AND('ProductSprint Backlog'!$J8=I$2,'ProductSprint Backlog'!$I8=I$2), 'ProductSprint Backlog'!$F8, TRUE, 0)</f>
        <v>0</v>
      </c>
      <c r="J8" s="4" cm="1">
        <f t="array" ref="J8">_xlfn.IFS('ProductSprint Backlog'!$F8="", "", AND('ProductSprint Backlog'!$J8&gt;J$2,'ProductSprint Backlog'!$I8&lt;=J$2), 'ProductSprint Backlog'!$F8 / MAX(1, 'ProductSprint Backlog'!$J8-'ProductSprint Backlog'!$I8), AND('ProductSprint Backlog'!$J8=J$2,'ProductSprint Backlog'!$I8=J$2), 'ProductSprint Backlog'!$F8, TRUE, 0)</f>
        <v>0</v>
      </c>
      <c r="K8" s="4" cm="1">
        <f t="array" ref="K8">_xlfn.IFS('ProductSprint Backlog'!$F8="", "", AND('ProductSprint Backlog'!$J8&gt;K$2,'ProductSprint Backlog'!$I8&lt;=K$2), 'ProductSprint Backlog'!$F8 / MAX(1, 'ProductSprint Backlog'!$J8-'ProductSprint Backlog'!$I8), AND('ProductSprint Backlog'!$J8=K$2,'ProductSprint Backlog'!$I8=K$2), 'ProductSprint Backlog'!$F8, TRUE, 0)</f>
        <v>0</v>
      </c>
      <c r="L8" s="4" cm="1">
        <f t="array" ref="L8">_xlfn.IFS('ProductSprint Backlog'!$F8="", "", AND('ProductSprint Backlog'!$J8&gt;L$2,'ProductSprint Backlog'!$I8&lt;=L$2), 'ProductSprint Backlog'!$F8 / MAX(1, 'ProductSprint Backlog'!$J8-'ProductSprint Backlog'!$I8), AND('ProductSprint Backlog'!$J8=L$2,'ProductSprint Backlog'!$I8=L$2), 'ProductSprint Backlog'!$F8, TRUE, 0)</f>
        <v>0</v>
      </c>
      <c r="M8" s="4" cm="1">
        <f t="array" ref="M8">_xlfn.IFS('ProductSprint Backlog'!$F8="", "", AND('ProductSprint Backlog'!$J8&gt;M$2,'ProductSprint Backlog'!$I8&lt;=M$2), 'ProductSprint Backlog'!$F8 / MAX(1, 'ProductSprint Backlog'!$J8-'ProductSprint Backlog'!$I8), AND('ProductSprint Backlog'!$J8=M$2,'ProductSprint Backlog'!$I8=M$2), 'ProductSprint Backlog'!$F8, TRUE, 0)</f>
        <v>0</v>
      </c>
      <c r="N8" s="4" cm="1">
        <f t="array" ref="N8">_xlfn.IFS('ProductSprint Backlog'!$F8="", "", AND('ProductSprint Backlog'!$J8&gt;N$2,'ProductSprint Backlog'!$I8&lt;=N$2), 'ProductSprint Backlog'!$F8 / MAX(1, 'ProductSprint Backlog'!$J8-'ProductSprint Backlog'!$I8), AND('ProductSprint Backlog'!$J8=N$2,'ProductSprint Backlog'!$I8=N$2), 'ProductSprint Backlog'!$F8, TRUE, 0)</f>
        <v>0</v>
      </c>
      <c r="O8" s="4" cm="1">
        <f t="array" ref="O8">_xlfn.IFS('ProductSprint Backlog'!$F8="", "", AND('ProductSprint Backlog'!$J8&gt;O$2,'ProductSprint Backlog'!$I8&lt;=O$2), 'ProductSprint Backlog'!$F8 / MAX(1, 'ProductSprint Backlog'!$J8-'ProductSprint Backlog'!$I8), AND('ProductSprint Backlog'!$J8=O$2,'ProductSprint Backlog'!$I8=O$2), 'ProductSprint Backlog'!$F8, TRUE, 0)</f>
        <v>0</v>
      </c>
      <c r="P8" s="4" cm="1">
        <f t="array" ref="P8">_xlfn.IFS('ProductSprint Backlog'!$F8="", "", AND('ProductSprint Backlog'!$J8&gt;P$2,'ProductSprint Backlog'!$I8&lt;=P$2), 'ProductSprint Backlog'!$F8 / MAX(1, 'ProductSprint Backlog'!$J8-'ProductSprint Backlog'!$I8), AND('ProductSprint Backlog'!$J8=P$2,'ProductSprint Backlog'!$I8=P$2), 'ProductSprint Backlog'!$F8, TRUE, 0)</f>
        <v>0</v>
      </c>
      <c r="Q8" s="4" cm="1">
        <f t="array" ref="Q8">_xlfn.IFS('ProductSprint Backlog'!$F8="", "", AND('ProductSprint Backlog'!$J8&gt;Q$2,'ProductSprint Backlog'!$I8&lt;=Q$2), 'ProductSprint Backlog'!$F8 / MAX(1, 'ProductSprint Backlog'!$J8-'ProductSprint Backlog'!$I8), AND('ProductSprint Backlog'!$J8=Q$2,'ProductSprint Backlog'!$I8=Q$2), 'ProductSprint Backlog'!$F8, TRUE, 0)</f>
        <v>0</v>
      </c>
    </row>
    <row r="9" spans="2:19" x14ac:dyDescent="0.2">
      <c r="B9" s="4" cm="1">
        <f t="array" ref="B9">_xlfn.IFS('ProductSprint Backlog'!$F9="", "", AND('ProductSprint Backlog'!$J9&gt;B$2,'ProductSprint Backlog'!$I9&lt;=B$2), 'ProductSprint Backlog'!$F9 / MAX(1, 'ProductSprint Backlog'!$J9-'ProductSprint Backlog'!$I9), AND('ProductSprint Backlog'!$J9=B$2,'ProductSprint Backlog'!$I9=B$2), 'ProductSprint Backlog'!$F9, TRUE, 0)</f>
        <v>0</v>
      </c>
      <c r="C9" s="4" cm="1">
        <f t="array" ref="C9">_xlfn.IFS('ProductSprint Backlog'!$F9="", "", AND('ProductSprint Backlog'!$J9&gt;C$2,'ProductSprint Backlog'!$I9&lt;=C$2), 'ProductSprint Backlog'!$F9 / MAX(1, 'ProductSprint Backlog'!$J9-'ProductSprint Backlog'!$I9), AND('ProductSprint Backlog'!$J9=C$2,'ProductSprint Backlog'!$I9=C$2), 'ProductSprint Backlog'!$F9, TRUE, 0)</f>
        <v>0</v>
      </c>
      <c r="D9" s="4" cm="1">
        <f t="array" ref="D9">_xlfn.IFS('ProductSprint Backlog'!$F9="", "", AND('ProductSprint Backlog'!$J9&gt;D$2,'ProductSprint Backlog'!$I9&lt;=D$2), 'ProductSprint Backlog'!$F9 / MAX(1, 'ProductSprint Backlog'!$J9-'ProductSprint Backlog'!$I9), AND('ProductSprint Backlog'!$J9=D$2,'ProductSprint Backlog'!$I9=D$2), 'ProductSprint Backlog'!$F9, TRUE, 0)</f>
        <v>0</v>
      </c>
      <c r="E9" s="4" cm="1">
        <f t="array" ref="E9">_xlfn.IFS('ProductSprint Backlog'!$F9="", "", AND('ProductSprint Backlog'!$J9&gt;E$2,'ProductSprint Backlog'!$I9&lt;=E$2), 'ProductSprint Backlog'!$F9 / MAX(1, 'ProductSprint Backlog'!$J9-'ProductSprint Backlog'!$I9), AND('ProductSprint Backlog'!$J9=E$2,'ProductSprint Backlog'!$I9=E$2), 'ProductSprint Backlog'!$F9, TRUE, 0)</f>
        <v>0</v>
      </c>
      <c r="F9" s="4" cm="1">
        <f t="array" ref="F9">_xlfn.IFS('ProductSprint Backlog'!$F9="", "", AND('ProductSprint Backlog'!$J9&gt;F$2,'ProductSprint Backlog'!$I9&lt;=F$2), 'ProductSprint Backlog'!$F9 / MAX(1, 'ProductSprint Backlog'!$J9-'ProductSprint Backlog'!$I9), AND('ProductSprint Backlog'!$J9=F$2,'ProductSprint Backlog'!$I9=F$2), 'ProductSprint Backlog'!$F9, TRUE, 0)</f>
        <v>0</v>
      </c>
      <c r="G9" s="4" cm="1">
        <f t="array" ref="G9">_xlfn.IFS('ProductSprint Backlog'!$F9="", "", AND('ProductSprint Backlog'!$J9&gt;G$2,'ProductSprint Backlog'!$I9&lt;=G$2), 'ProductSprint Backlog'!$F9 / MAX(1, 'ProductSprint Backlog'!$J9-'ProductSprint Backlog'!$I9), AND('ProductSprint Backlog'!$J9=G$2,'ProductSprint Backlog'!$I9=G$2), 'ProductSprint Backlog'!$F9, TRUE, 0)</f>
        <v>0</v>
      </c>
      <c r="H9" s="4" cm="1">
        <f t="array" ref="H9">_xlfn.IFS('ProductSprint Backlog'!$F9="", "", AND('ProductSprint Backlog'!$J9&gt;H$2,'ProductSprint Backlog'!$I9&lt;=H$2), 'ProductSprint Backlog'!$F9 / MAX(1, 'ProductSprint Backlog'!$J9-'ProductSprint Backlog'!$I9), AND('ProductSprint Backlog'!$J9=H$2,'ProductSprint Backlog'!$I9=H$2), 'ProductSprint Backlog'!$F9, TRUE, 0)</f>
        <v>0</v>
      </c>
      <c r="I9" s="4" cm="1">
        <f t="array" ref="I9">_xlfn.IFS('ProductSprint Backlog'!$F9="", "", AND('ProductSprint Backlog'!$J9&gt;I$2,'ProductSprint Backlog'!$I9&lt;=I$2), 'ProductSprint Backlog'!$F9 / MAX(1, 'ProductSprint Backlog'!$J9-'ProductSprint Backlog'!$I9), AND('ProductSprint Backlog'!$J9=I$2,'ProductSprint Backlog'!$I9=I$2), 'ProductSprint Backlog'!$F9, TRUE, 0)</f>
        <v>0</v>
      </c>
      <c r="J9" s="4" cm="1">
        <f t="array" ref="J9">_xlfn.IFS('ProductSprint Backlog'!$F9="", "", AND('ProductSprint Backlog'!$J9&gt;J$2,'ProductSprint Backlog'!$I9&lt;=J$2), 'ProductSprint Backlog'!$F9 / MAX(1, 'ProductSprint Backlog'!$J9-'ProductSprint Backlog'!$I9), AND('ProductSprint Backlog'!$J9=J$2,'ProductSprint Backlog'!$I9=J$2), 'ProductSprint Backlog'!$F9, TRUE, 0)</f>
        <v>0</v>
      </c>
      <c r="K9" s="4" cm="1">
        <f t="array" ref="K9">_xlfn.IFS('ProductSprint Backlog'!$F9="", "", AND('ProductSprint Backlog'!$J9&gt;K$2,'ProductSprint Backlog'!$I9&lt;=K$2), 'ProductSprint Backlog'!$F9 / MAX(1, 'ProductSprint Backlog'!$J9-'ProductSprint Backlog'!$I9), AND('ProductSprint Backlog'!$J9=K$2,'ProductSprint Backlog'!$I9=K$2), 'ProductSprint Backlog'!$F9, TRUE, 0)</f>
        <v>0</v>
      </c>
      <c r="L9" s="4" cm="1">
        <f t="array" ref="L9">_xlfn.IFS('ProductSprint Backlog'!$F9="", "", AND('ProductSprint Backlog'!$J9&gt;L$2,'ProductSprint Backlog'!$I9&lt;=L$2), 'ProductSprint Backlog'!$F9 / MAX(1, 'ProductSprint Backlog'!$J9-'ProductSprint Backlog'!$I9), AND('ProductSprint Backlog'!$J9=L$2,'ProductSprint Backlog'!$I9=L$2), 'ProductSprint Backlog'!$F9, TRUE, 0)</f>
        <v>0</v>
      </c>
      <c r="M9" s="4" cm="1">
        <f t="array" ref="M9">_xlfn.IFS('ProductSprint Backlog'!$F9="", "", AND('ProductSprint Backlog'!$J9&gt;M$2,'ProductSprint Backlog'!$I9&lt;=M$2), 'ProductSprint Backlog'!$F9 / MAX(1, 'ProductSprint Backlog'!$J9-'ProductSprint Backlog'!$I9), AND('ProductSprint Backlog'!$J9=M$2,'ProductSprint Backlog'!$I9=M$2), 'ProductSprint Backlog'!$F9, TRUE, 0)</f>
        <v>0</v>
      </c>
      <c r="N9" s="4" cm="1">
        <f t="array" ref="N9">_xlfn.IFS('ProductSprint Backlog'!$F9="", "", AND('ProductSprint Backlog'!$J9&gt;N$2,'ProductSprint Backlog'!$I9&lt;=N$2), 'ProductSprint Backlog'!$F9 / MAX(1, 'ProductSprint Backlog'!$J9-'ProductSprint Backlog'!$I9), AND('ProductSprint Backlog'!$J9=N$2,'ProductSprint Backlog'!$I9=N$2), 'ProductSprint Backlog'!$F9, TRUE, 0)</f>
        <v>0</v>
      </c>
      <c r="O9" s="4" cm="1">
        <f t="array" ref="O9">_xlfn.IFS('ProductSprint Backlog'!$F9="", "", AND('ProductSprint Backlog'!$J9&gt;O$2,'ProductSprint Backlog'!$I9&lt;=O$2), 'ProductSprint Backlog'!$F9 / MAX(1, 'ProductSprint Backlog'!$J9-'ProductSprint Backlog'!$I9), AND('ProductSprint Backlog'!$J9=O$2,'ProductSprint Backlog'!$I9=O$2), 'ProductSprint Backlog'!$F9, TRUE, 0)</f>
        <v>0</v>
      </c>
      <c r="P9" s="4" cm="1">
        <f t="array" ref="P9">_xlfn.IFS('ProductSprint Backlog'!$F9="", "", AND('ProductSprint Backlog'!$J9&gt;P$2,'ProductSprint Backlog'!$I9&lt;=P$2), 'ProductSprint Backlog'!$F9 / MAX(1, 'ProductSprint Backlog'!$J9-'ProductSprint Backlog'!$I9), AND('ProductSprint Backlog'!$J9=P$2,'ProductSprint Backlog'!$I9=P$2), 'ProductSprint Backlog'!$F9, TRUE, 0)</f>
        <v>0</v>
      </c>
      <c r="Q9" s="4" cm="1">
        <f t="array" ref="Q9">_xlfn.IFS('ProductSprint Backlog'!$F9="", "", AND('ProductSprint Backlog'!$J9&gt;Q$2,'ProductSprint Backlog'!$I9&lt;=Q$2), 'ProductSprint Backlog'!$F9 / MAX(1, 'ProductSprint Backlog'!$J9-'ProductSprint Backlog'!$I9), AND('ProductSprint Backlog'!$J9=Q$2,'ProductSprint Backlog'!$I9=Q$2), 'ProductSprint Backlog'!$F9, TRUE, 0)</f>
        <v>0</v>
      </c>
    </row>
    <row r="10" spans="2:19" x14ac:dyDescent="0.2">
      <c r="B10" s="4" cm="1">
        <f t="array" ref="B10">_xlfn.IFS('ProductSprint Backlog'!$F10="", "", AND('ProductSprint Backlog'!$J10&gt;B$2,'ProductSprint Backlog'!$I10&lt;=B$2), 'ProductSprint Backlog'!$F10 / MAX(1, 'ProductSprint Backlog'!$J10-'ProductSprint Backlog'!$I10), AND('ProductSprint Backlog'!$J10=B$2,'ProductSprint Backlog'!$I10=B$2), 'ProductSprint Backlog'!$F10, TRUE, 0)</f>
        <v>0</v>
      </c>
      <c r="C10" s="4" cm="1">
        <f t="array" ref="C10">_xlfn.IFS('ProductSprint Backlog'!$F10="", "", AND('ProductSprint Backlog'!$J10&gt;C$2,'ProductSprint Backlog'!$I10&lt;=C$2), 'ProductSprint Backlog'!$F10 / MAX(1, 'ProductSprint Backlog'!$J10-'ProductSprint Backlog'!$I10), AND('ProductSprint Backlog'!$J10=C$2,'ProductSprint Backlog'!$I10=C$2), 'ProductSprint Backlog'!$F10, TRUE, 0)</f>
        <v>0</v>
      </c>
      <c r="D10" s="4" cm="1">
        <f t="array" ref="D10">_xlfn.IFS('ProductSprint Backlog'!$F10="", "", AND('ProductSprint Backlog'!$J10&gt;D$2,'ProductSprint Backlog'!$I10&lt;=D$2), 'ProductSprint Backlog'!$F10 / MAX(1, 'ProductSprint Backlog'!$J10-'ProductSprint Backlog'!$I10), AND('ProductSprint Backlog'!$J10=D$2,'ProductSprint Backlog'!$I10=D$2), 'ProductSprint Backlog'!$F10, TRUE, 0)</f>
        <v>0</v>
      </c>
      <c r="E10" s="4" cm="1">
        <f t="array" ref="E10">_xlfn.IFS('ProductSprint Backlog'!$F10="", "", AND('ProductSprint Backlog'!$J10&gt;E$2,'ProductSprint Backlog'!$I10&lt;=E$2), 'ProductSprint Backlog'!$F10 / MAX(1, 'ProductSprint Backlog'!$J10-'ProductSprint Backlog'!$I10), AND('ProductSprint Backlog'!$J10=E$2,'ProductSprint Backlog'!$I10=E$2), 'ProductSprint Backlog'!$F10, TRUE, 0)</f>
        <v>0</v>
      </c>
      <c r="F10" s="4" cm="1">
        <f t="array" ref="F10">_xlfn.IFS('ProductSprint Backlog'!$F10="", "", AND('ProductSprint Backlog'!$J10&gt;F$2,'ProductSprint Backlog'!$I10&lt;=F$2), 'ProductSprint Backlog'!$F10 / MAX(1, 'ProductSprint Backlog'!$J10-'ProductSprint Backlog'!$I10), AND('ProductSprint Backlog'!$J10=F$2,'ProductSprint Backlog'!$I10=F$2), 'ProductSprint Backlog'!$F10, TRUE, 0)</f>
        <v>0</v>
      </c>
      <c r="G10" s="4" cm="1">
        <f t="array" ref="G10">_xlfn.IFS('ProductSprint Backlog'!$F10="", "", AND('ProductSprint Backlog'!$J10&gt;G$2,'ProductSprint Backlog'!$I10&lt;=G$2), 'ProductSprint Backlog'!$F10 / MAX(1, 'ProductSprint Backlog'!$J10-'ProductSprint Backlog'!$I10), AND('ProductSprint Backlog'!$J10=G$2,'ProductSprint Backlog'!$I10=G$2), 'ProductSprint Backlog'!$F10, TRUE, 0)</f>
        <v>0</v>
      </c>
      <c r="H10" s="4" cm="1">
        <f t="array" ref="H10">_xlfn.IFS('ProductSprint Backlog'!$F10="", "", AND('ProductSprint Backlog'!$J10&gt;H$2,'ProductSprint Backlog'!$I10&lt;=H$2), 'ProductSprint Backlog'!$F10 / MAX(1, 'ProductSprint Backlog'!$J10-'ProductSprint Backlog'!$I10), AND('ProductSprint Backlog'!$J10=H$2,'ProductSprint Backlog'!$I10=H$2), 'ProductSprint Backlog'!$F10, TRUE, 0)</f>
        <v>0</v>
      </c>
      <c r="I10" s="4" cm="1">
        <f t="array" ref="I10">_xlfn.IFS('ProductSprint Backlog'!$F10="", "", AND('ProductSprint Backlog'!$J10&gt;I$2,'ProductSprint Backlog'!$I10&lt;=I$2), 'ProductSprint Backlog'!$F10 / MAX(1, 'ProductSprint Backlog'!$J10-'ProductSprint Backlog'!$I10), AND('ProductSprint Backlog'!$J10=I$2,'ProductSprint Backlog'!$I10=I$2), 'ProductSprint Backlog'!$F10, TRUE, 0)</f>
        <v>0</v>
      </c>
      <c r="J10" s="4" cm="1">
        <f t="array" ref="J10">_xlfn.IFS('ProductSprint Backlog'!$F10="", "", AND('ProductSprint Backlog'!$J10&gt;J$2,'ProductSprint Backlog'!$I10&lt;=J$2), 'ProductSprint Backlog'!$F10 / MAX(1, 'ProductSprint Backlog'!$J10-'ProductSprint Backlog'!$I10), AND('ProductSprint Backlog'!$J10=J$2,'ProductSprint Backlog'!$I10=J$2), 'ProductSprint Backlog'!$F10, TRUE, 0)</f>
        <v>0</v>
      </c>
      <c r="K10" s="4" cm="1">
        <f t="array" ref="K10">_xlfn.IFS('ProductSprint Backlog'!$F10="", "", AND('ProductSprint Backlog'!$J10&gt;K$2,'ProductSprint Backlog'!$I10&lt;=K$2), 'ProductSprint Backlog'!$F10 / MAX(1, 'ProductSprint Backlog'!$J10-'ProductSprint Backlog'!$I10), AND('ProductSprint Backlog'!$J10=K$2,'ProductSprint Backlog'!$I10=K$2), 'ProductSprint Backlog'!$F10, TRUE, 0)</f>
        <v>0</v>
      </c>
      <c r="L10" s="4" cm="1">
        <f t="array" ref="L10">_xlfn.IFS('ProductSprint Backlog'!$F10="", "", AND('ProductSprint Backlog'!$J10&gt;L$2,'ProductSprint Backlog'!$I10&lt;=L$2), 'ProductSprint Backlog'!$F10 / MAX(1, 'ProductSprint Backlog'!$J10-'ProductSprint Backlog'!$I10), AND('ProductSprint Backlog'!$J10=L$2,'ProductSprint Backlog'!$I10=L$2), 'ProductSprint Backlog'!$F10, TRUE, 0)</f>
        <v>0</v>
      </c>
      <c r="M10" s="4" cm="1">
        <f t="array" ref="M10">_xlfn.IFS('ProductSprint Backlog'!$F10="", "", AND('ProductSprint Backlog'!$J10&gt;M$2,'ProductSprint Backlog'!$I10&lt;=M$2), 'ProductSprint Backlog'!$F10 / MAX(1, 'ProductSprint Backlog'!$J10-'ProductSprint Backlog'!$I10), AND('ProductSprint Backlog'!$J10=M$2,'ProductSprint Backlog'!$I10=M$2), 'ProductSprint Backlog'!$F10, TRUE, 0)</f>
        <v>0</v>
      </c>
      <c r="N10" s="4" cm="1">
        <f t="array" ref="N10">_xlfn.IFS('ProductSprint Backlog'!$F10="", "", AND('ProductSprint Backlog'!$J10&gt;N$2,'ProductSprint Backlog'!$I10&lt;=N$2), 'ProductSprint Backlog'!$F10 / MAX(1, 'ProductSprint Backlog'!$J10-'ProductSprint Backlog'!$I10), AND('ProductSprint Backlog'!$J10=N$2,'ProductSprint Backlog'!$I10=N$2), 'ProductSprint Backlog'!$F10, TRUE, 0)</f>
        <v>0</v>
      </c>
      <c r="O10" s="4" cm="1">
        <f t="array" ref="O10">_xlfn.IFS('ProductSprint Backlog'!$F10="", "", AND('ProductSprint Backlog'!$J10&gt;O$2,'ProductSprint Backlog'!$I10&lt;=O$2), 'ProductSprint Backlog'!$F10 / MAX(1, 'ProductSprint Backlog'!$J10-'ProductSprint Backlog'!$I10), AND('ProductSprint Backlog'!$J10=O$2,'ProductSprint Backlog'!$I10=O$2), 'ProductSprint Backlog'!$F10, TRUE, 0)</f>
        <v>0</v>
      </c>
      <c r="P10" s="4" cm="1">
        <f t="array" ref="P10">_xlfn.IFS('ProductSprint Backlog'!$F10="", "", AND('ProductSprint Backlog'!$J10&gt;P$2,'ProductSprint Backlog'!$I10&lt;=P$2), 'ProductSprint Backlog'!$F10 / MAX(1, 'ProductSprint Backlog'!$J10-'ProductSprint Backlog'!$I10), AND('ProductSprint Backlog'!$J10=P$2,'ProductSprint Backlog'!$I10=P$2), 'ProductSprint Backlog'!$F10, TRUE, 0)</f>
        <v>0</v>
      </c>
      <c r="Q10" s="4" cm="1">
        <f t="array" ref="Q10">_xlfn.IFS('ProductSprint Backlog'!$F10="", "", AND('ProductSprint Backlog'!$J10&gt;Q$2,'ProductSprint Backlog'!$I10&lt;=Q$2), 'ProductSprint Backlog'!$F10 / MAX(1, 'ProductSprint Backlog'!$J10-'ProductSprint Backlog'!$I10), AND('ProductSprint Backlog'!$J10=Q$2,'ProductSprint Backlog'!$I10=Q$2), 'ProductSprint Backlog'!$F10, TRUE, 0)</f>
        <v>0</v>
      </c>
    </row>
    <row r="11" spans="2:19" x14ac:dyDescent="0.2">
      <c r="B11" s="4" cm="1">
        <f t="array" ref="B11">_xlfn.IFS('ProductSprint Backlog'!$F11="", "", AND('ProductSprint Backlog'!$J11&gt;B$2,'ProductSprint Backlog'!$I11&lt;=B$2), 'ProductSprint Backlog'!$F11 / MAX(1, 'ProductSprint Backlog'!$J11-'ProductSprint Backlog'!$I11), AND('ProductSprint Backlog'!$J11=B$2,'ProductSprint Backlog'!$I11=B$2), 'ProductSprint Backlog'!$F11, TRUE, 0)</f>
        <v>0</v>
      </c>
      <c r="C11" s="4" cm="1">
        <f t="array" ref="C11">_xlfn.IFS('ProductSprint Backlog'!$F11="", "", AND('ProductSprint Backlog'!$J11&gt;C$2,'ProductSprint Backlog'!$I11&lt;=C$2), 'ProductSprint Backlog'!$F11 / MAX(1, 'ProductSprint Backlog'!$J11-'ProductSprint Backlog'!$I11), AND('ProductSprint Backlog'!$J11=C$2,'ProductSprint Backlog'!$I11=C$2), 'ProductSprint Backlog'!$F11, TRUE, 0)</f>
        <v>0</v>
      </c>
      <c r="D11" s="4" cm="1">
        <f t="array" ref="D11">_xlfn.IFS('ProductSprint Backlog'!$F11="", "", AND('ProductSprint Backlog'!$J11&gt;D$2,'ProductSprint Backlog'!$I11&lt;=D$2), 'ProductSprint Backlog'!$F11 / MAX(1, 'ProductSprint Backlog'!$J11-'ProductSprint Backlog'!$I11), AND('ProductSprint Backlog'!$J11=D$2,'ProductSprint Backlog'!$I11=D$2), 'ProductSprint Backlog'!$F11, TRUE, 0)</f>
        <v>0</v>
      </c>
      <c r="E11" s="4" cm="1">
        <f t="array" ref="E11">_xlfn.IFS('ProductSprint Backlog'!$F11="", "", AND('ProductSprint Backlog'!$J11&gt;E$2,'ProductSprint Backlog'!$I11&lt;=E$2), 'ProductSprint Backlog'!$F11 / MAX(1, 'ProductSprint Backlog'!$J11-'ProductSprint Backlog'!$I11), AND('ProductSprint Backlog'!$J11=E$2,'ProductSprint Backlog'!$I11=E$2), 'ProductSprint Backlog'!$F11, TRUE, 0)</f>
        <v>0</v>
      </c>
      <c r="F11" s="4" cm="1">
        <f t="array" ref="F11">_xlfn.IFS('ProductSprint Backlog'!$F11="", "", AND('ProductSprint Backlog'!$J11&gt;F$2,'ProductSprint Backlog'!$I11&lt;=F$2), 'ProductSprint Backlog'!$F11 / MAX(1, 'ProductSprint Backlog'!$J11-'ProductSprint Backlog'!$I11), AND('ProductSprint Backlog'!$J11=F$2,'ProductSprint Backlog'!$I11=F$2), 'ProductSprint Backlog'!$F11, TRUE, 0)</f>
        <v>0</v>
      </c>
      <c r="G11" s="4" cm="1">
        <f t="array" ref="G11">_xlfn.IFS('ProductSprint Backlog'!$F11="", "", AND('ProductSprint Backlog'!$J11&gt;G$2,'ProductSprint Backlog'!$I11&lt;=G$2), 'ProductSprint Backlog'!$F11 / MAX(1, 'ProductSprint Backlog'!$J11-'ProductSprint Backlog'!$I11), AND('ProductSprint Backlog'!$J11=G$2,'ProductSprint Backlog'!$I11=G$2), 'ProductSprint Backlog'!$F11, TRUE, 0)</f>
        <v>0</v>
      </c>
      <c r="H11" s="4" cm="1">
        <f t="array" ref="H11">_xlfn.IFS('ProductSprint Backlog'!$F11="", "", AND('ProductSprint Backlog'!$J11&gt;H$2,'ProductSprint Backlog'!$I11&lt;=H$2), 'ProductSprint Backlog'!$F11 / MAX(1, 'ProductSprint Backlog'!$J11-'ProductSprint Backlog'!$I11), AND('ProductSprint Backlog'!$J11=H$2,'ProductSprint Backlog'!$I11=H$2), 'ProductSprint Backlog'!$F11, TRUE, 0)</f>
        <v>0</v>
      </c>
      <c r="I11" s="4" cm="1">
        <f t="array" ref="I11">_xlfn.IFS('ProductSprint Backlog'!$F11="", "", AND('ProductSprint Backlog'!$J11&gt;I$2,'ProductSprint Backlog'!$I11&lt;=I$2), 'ProductSprint Backlog'!$F11 / MAX(1, 'ProductSprint Backlog'!$J11-'ProductSprint Backlog'!$I11), AND('ProductSprint Backlog'!$J11=I$2,'ProductSprint Backlog'!$I11=I$2), 'ProductSprint Backlog'!$F11, TRUE, 0)</f>
        <v>0</v>
      </c>
      <c r="J11" s="4" cm="1">
        <f t="array" ref="J11">_xlfn.IFS('ProductSprint Backlog'!$F11="", "", AND('ProductSprint Backlog'!$J11&gt;J$2,'ProductSprint Backlog'!$I11&lt;=J$2), 'ProductSprint Backlog'!$F11 / MAX(1, 'ProductSprint Backlog'!$J11-'ProductSprint Backlog'!$I11), AND('ProductSprint Backlog'!$J11=J$2,'ProductSprint Backlog'!$I11=J$2), 'ProductSprint Backlog'!$F11, TRUE, 0)</f>
        <v>0</v>
      </c>
      <c r="K11" s="4" cm="1">
        <f t="array" ref="K11">_xlfn.IFS('ProductSprint Backlog'!$F11="", "", AND('ProductSprint Backlog'!$J11&gt;K$2,'ProductSprint Backlog'!$I11&lt;=K$2), 'ProductSprint Backlog'!$F11 / MAX(1, 'ProductSprint Backlog'!$J11-'ProductSprint Backlog'!$I11), AND('ProductSprint Backlog'!$J11=K$2,'ProductSprint Backlog'!$I11=K$2), 'ProductSprint Backlog'!$F11, TRUE, 0)</f>
        <v>0</v>
      </c>
      <c r="L11" s="4" cm="1">
        <f t="array" ref="L11">_xlfn.IFS('ProductSprint Backlog'!$F11="", "", AND('ProductSprint Backlog'!$J11&gt;L$2,'ProductSprint Backlog'!$I11&lt;=L$2), 'ProductSprint Backlog'!$F11 / MAX(1, 'ProductSprint Backlog'!$J11-'ProductSprint Backlog'!$I11), AND('ProductSprint Backlog'!$J11=L$2,'ProductSprint Backlog'!$I11=L$2), 'ProductSprint Backlog'!$F11, TRUE, 0)</f>
        <v>0</v>
      </c>
      <c r="M11" s="4" cm="1">
        <f t="array" ref="M11">_xlfn.IFS('ProductSprint Backlog'!$F11="", "", AND('ProductSprint Backlog'!$J11&gt;M$2,'ProductSprint Backlog'!$I11&lt;=M$2), 'ProductSprint Backlog'!$F11 / MAX(1, 'ProductSprint Backlog'!$J11-'ProductSprint Backlog'!$I11), AND('ProductSprint Backlog'!$J11=M$2,'ProductSprint Backlog'!$I11=M$2), 'ProductSprint Backlog'!$F11, TRUE, 0)</f>
        <v>0</v>
      </c>
      <c r="N11" s="4" cm="1">
        <f t="array" ref="N11">_xlfn.IFS('ProductSprint Backlog'!$F11="", "", AND('ProductSprint Backlog'!$J11&gt;N$2,'ProductSprint Backlog'!$I11&lt;=N$2), 'ProductSprint Backlog'!$F11 / MAX(1, 'ProductSprint Backlog'!$J11-'ProductSprint Backlog'!$I11), AND('ProductSprint Backlog'!$J11=N$2,'ProductSprint Backlog'!$I11=N$2), 'ProductSprint Backlog'!$F11, TRUE, 0)</f>
        <v>0</v>
      </c>
      <c r="O11" s="4" cm="1">
        <f t="array" ref="O11">_xlfn.IFS('ProductSprint Backlog'!$F11="", "", AND('ProductSprint Backlog'!$J11&gt;O$2,'ProductSprint Backlog'!$I11&lt;=O$2), 'ProductSprint Backlog'!$F11 / MAX(1, 'ProductSprint Backlog'!$J11-'ProductSprint Backlog'!$I11), AND('ProductSprint Backlog'!$J11=O$2,'ProductSprint Backlog'!$I11=O$2), 'ProductSprint Backlog'!$F11, TRUE, 0)</f>
        <v>0</v>
      </c>
      <c r="P11" s="4" cm="1">
        <f t="array" ref="P11">_xlfn.IFS('ProductSprint Backlog'!$F11="", "", AND('ProductSprint Backlog'!$J11&gt;P$2,'ProductSprint Backlog'!$I11&lt;=P$2), 'ProductSprint Backlog'!$F11 / MAX(1, 'ProductSprint Backlog'!$J11-'ProductSprint Backlog'!$I11), AND('ProductSprint Backlog'!$J11=P$2,'ProductSprint Backlog'!$I11=P$2), 'ProductSprint Backlog'!$F11, TRUE, 0)</f>
        <v>0</v>
      </c>
      <c r="Q11" s="4" cm="1">
        <f t="array" ref="Q11">_xlfn.IFS('ProductSprint Backlog'!$F11="", "", AND('ProductSprint Backlog'!$J11&gt;Q$2,'ProductSprint Backlog'!$I11&lt;=Q$2), 'ProductSprint Backlog'!$F11 / MAX(1, 'ProductSprint Backlog'!$J11-'ProductSprint Backlog'!$I11), AND('ProductSprint Backlog'!$J11=Q$2,'ProductSprint Backlog'!$I11=Q$2), 'ProductSprint Backlog'!$F11, TRUE, 0)</f>
        <v>0</v>
      </c>
    </row>
    <row r="12" spans="2:19" x14ac:dyDescent="0.2">
      <c r="B12" s="4" cm="1">
        <f t="array" ref="B12">_xlfn.IFS('ProductSprint Backlog'!$F12="", "", AND('ProductSprint Backlog'!$J12&gt;B$2,'ProductSprint Backlog'!$I12&lt;=B$2), 'ProductSprint Backlog'!$F12 / MAX(1, 'ProductSprint Backlog'!$J12-'ProductSprint Backlog'!$I12), AND('ProductSprint Backlog'!$J12=B$2,'ProductSprint Backlog'!$I12=B$2), 'ProductSprint Backlog'!$F12, TRUE, 0)</f>
        <v>0</v>
      </c>
      <c r="C12" s="4" cm="1">
        <f t="array" ref="C12">_xlfn.IFS('ProductSprint Backlog'!$F12="", "", AND('ProductSprint Backlog'!$J12&gt;C$2,'ProductSprint Backlog'!$I12&lt;=C$2), 'ProductSprint Backlog'!$F12 / MAX(1, 'ProductSprint Backlog'!$J12-'ProductSprint Backlog'!$I12), AND('ProductSprint Backlog'!$J12=C$2,'ProductSprint Backlog'!$I12=C$2), 'ProductSprint Backlog'!$F12, TRUE, 0)</f>
        <v>0</v>
      </c>
      <c r="D12" s="4" cm="1">
        <f t="array" ref="D12">_xlfn.IFS('ProductSprint Backlog'!$F12="", "", AND('ProductSprint Backlog'!$J12&gt;D$2,'ProductSprint Backlog'!$I12&lt;=D$2), 'ProductSprint Backlog'!$F12 / MAX(1, 'ProductSprint Backlog'!$J12-'ProductSprint Backlog'!$I12), AND('ProductSprint Backlog'!$J12=D$2,'ProductSprint Backlog'!$I12=D$2), 'ProductSprint Backlog'!$F12, TRUE, 0)</f>
        <v>0</v>
      </c>
      <c r="E12" s="4" cm="1">
        <f t="array" ref="E12">_xlfn.IFS('ProductSprint Backlog'!$F12="", "", AND('ProductSprint Backlog'!$J12&gt;E$2,'ProductSprint Backlog'!$I12&lt;=E$2), 'ProductSprint Backlog'!$F12 / MAX(1, 'ProductSprint Backlog'!$J12-'ProductSprint Backlog'!$I12), AND('ProductSprint Backlog'!$J12=E$2,'ProductSprint Backlog'!$I12=E$2), 'ProductSprint Backlog'!$F12, TRUE, 0)</f>
        <v>0</v>
      </c>
      <c r="F12" s="4" cm="1">
        <f t="array" ref="F12">_xlfn.IFS('ProductSprint Backlog'!$F12="", "", AND('ProductSprint Backlog'!$J12&gt;F$2,'ProductSprint Backlog'!$I12&lt;=F$2), 'ProductSprint Backlog'!$F12 / MAX(1, 'ProductSprint Backlog'!$J12-'ProductSprint Backlog'!$I12), AND('ProductSprint Backlog'!$J12=F$2,'ProductSprint Backlog'!$I12=F$2), 'ProductSprint Backlog'!$F12, TRUE, 0)</f>
        <v>0</v>
      </c>
      <c r="G12" s="4" cm="1">
        <f t="array" ref="G12">_xlfn.IFS('ProductSprint Backlog'!$F12="", "", AND('ProductSprint Backlog'!$J12&gt;G$2,'ProductSprint Backlog'!$I12&lt;=G$2), 'ProductSprint Backlog'!$F12 / MAX(1, 'ProductSprint Backlog'!$J12-'ProductSprint Backlog'!$I12), AND('ProductSprint Backlog'!$J12=G$2,'ProductSprint Backlog'!$I12=G$2), 'ProductSprint Backlog'!$F12, TRUE, 0)</f>
        <v>0</v>
      </c>
      <c r="H12" s="4" cm="1">
        <f t="array" ref="H12">_xlfn.IFS('ProductSprint Backlog'!$F12="", "", AND('ProductSprint Backlog'!$J12&gt;H$2,'ProductSprint Backlog'!$I12&lt;=H$2), 'ProductSprint Backlog'!$F12 / MAX(1, 'ProductSprint Backlog'!$J12-'ProductSprint Backlog'!$I12), AND('ProductSprint Backlog'!$J12=H$2,'ProductSprint Backlog'!$I12=H$2), 'ProductSprint Backlog'!$F12, TRUE, 0)</f>
        <v>0</v>
      </c>
      <c r="I12" s="4" cm="1">
        <f t="array" ref="I12">_xlfn.IFS('ProductSprint Backlog'!$F12="", "", AND('ProductSprint Backlog'!$J12&gt;I$2,'ProductSprint Backlog'!$I12&lt;=I$2), 'ProductSprint Backlog'!$F12 / MAX(1, 'ProductSprint Backlog'!$J12-'ProductSprint Backlog'!$I12), AND('ProductSprint Backlog'!$J12=I$2,'ProductSprint Backlog'!$I12=I$2), 'ProductSprint Backlog'!$F12, TRUE, 0)</f>
        <v>0</v>
      </c>
      <c r="J12" s="4" cm="1">
        <f t="array" ref="J12">_xlfn.IFS('ProductSprint Backlog'!$F12="", "", AND('ProductSprint Backlog'!$J12&gt;J$2,'ProductSprint Backlog'!$I12&lt;=J$2), 'ProductSprint Backlog'!$F12 / MAX(1, 'ProductSprint Backlog'!$J12-'ProductSprint Backlog'!$I12), AND('ProductSprint Backlog'!$J12=J$2,'ProductSprint Backlog'!$I12=J$2), 'ProductSprint Backlog'!$F12, TRUE, 0)</f>
        <v>0</v>
      </c>
      <c r="K12" s="4" cm="1">
        <f t="array" ref="K12">_xlfn.IFS('ProductSprint Backlog'!$F12="", "", AND('ProductSprint Backlog'!$J12&gt;K$2,'ProductSprint Backlog'!$I12&lt;=K$2), 'ProductSprint Backlog'!$F12 / MAX(1, 'ProductSprint Backlog'!$J12-'ProductSprint Backlog'!$I12), AND('ProductSprint Backlog'!$J12=K$2,'ProductSprint Backlog'!$I12=K$2), 'ProductSprint Backlog'!$F12, TRUE, 0)</f>
        <v>0</v>
      </c>
      <c r="L12" s="4" cm="1">
        <f t="array" ref="L12">_xlfn.IFS('ProductSprint Backlog'!$F12="", "", AND('ProductSprint Backlog'!$J12&gt;L$2,'ProductSprint Backlog'!$I12&lt;=L$2), 'ProductSprint Backlog'!$F12 / MAX(1, 'ProductSprint Backlog'!$J12-'ProductSprint Backlog'!$I12), AND('ProductSprint Backlog'!$J12=L$2,'ProductSprint Backlog'!$I12=L$2), 'ProductSprint Backlog'!$F12, TRUE, 0)</f>
        <v>0</v>
      </c>
      <c r="M12" s="4" cm="1">
        <f t="array" ref="M12">_xlfn.IFS('ProductSprint Backlog'!$F12="", "", AND('ProductSprint Backlog'!$J12&gt;M$2,'ProductSprint Backlog'!$I12&lt;=M$2), 'ProductSprint Backlog'!$F12 / MAX(1, 'ProductSprint Backlog'!$J12-'ProductSprint Backlog'!$I12), AND('ProductSprint Backlog'!$J12=M$2,'ProductSprint Backlog'!$I12=M$2), 'ProductSprint Backlog'!$F12, TRUE, 0)</f>
        <v>0</v>
      </c>
      <c r="N12" s="4" cm="1">
        <f t="array" ref="N12">_xlfn.IFS('ProductSprint Backlog'!$F12="", "", AND('ProductSprint Backlog'!$J12&gt;N$2,'ProductSprint Backlog'!$I12&lt;=N$2), 'ProductSprint Backlog'!$F12 / MAX(1, 'ProductSprint Backlog'!$J12-'ProductSprint Backlog'!$I12), AND('ProductSprint Backlog'!$J12=N$2,'ProductSprint Backlog'!$I12=N$2), 'ProductSprint Backlog'!$F12, TRUE, 0)</f>
        <v>0</v>
      </c>
      <c r="O12" s="4" cm="1">
        <f t="array" ref="O12">_xlfn.IFS('ProductSprint Backlog'!$F12="", "", AND('ProductSprint Backlog'!$J12&gt;O$2,'ProductSprint Backlog'!$I12&lt;=O$2), 'ProductSprint Backlog'!$F12 / MAX(1, 'ProductSprint Backlog'!$J12-'ProductSprint Backlog'!$I12), AND('ProductSprint Backlog'!$J12=O$2,'ProductSprint Backlog'!$I12=O$2), 'ProductSprint Backlog'!$F12, TRUE, 0)</f>
        <v>0</v>
      </c>
      <c r="P12" s="4" cm="1">
        <f t="array" ref="P12">_xlfn.IFS('ProductSprint Backlog'!$F12="", "", AND('ProductSprint Backlog'!$J12&gt;P$2,'ProductSprint Backlog'!$I12&lt;=P$2), 'ProductSprint Backlog'!$F12 / MAX(1, 'ProductSprint Backlog'!$J12-'ProductSprint Backlog'!$I12), AND('ProductSprint Backlog'!$J12=P$2,'ProductSprint Backlog'!$I12=P$2), 'ProductSprint Backlog'!$F12, TRUE, 0)</f>
        <v>0</v>
      </c>
      <c r="Q12" s="4" cm="1">
        <f t="array" ref="Q12">_xlfn.IFS('ProductSprint Backlog'!$F12="", "", AND('ProductSprint Backlog'!$J12&gt;Q$2,'ProductSprint Backlog'!$I12&lt;=Q$2), 'ProductSprint Backlog'!$F12 / MAX(1, 'ProductSprint Backlog'!$J12-'ProductSprint Backlog'!$I12), AND('ProductSprint Backlog'!$J12=Q$2,'ProductSprint Backlog'!$I12=Q$2), 'ProductSprint Backlog'!$F12, TRUE, 0)</f>
        <v>0</v>
      </c>
    </row>
    <row r="13" spans="2:19" x14ac:dyDescent="0.2">
      <c r="B13" s="4" t="str" cm="1">
        <f t="array" ref="B13">_xlfn.IFS('ProductSprint Backlog'!$F13="", "", AND('ProductSprint Backlog'!$J13&gt;B$2,'ProductSprint Backlog'!$I13&lt;=B$2), 'ProductSprint Backlog'!$F13 / MAX(1, 'ProductSprint Backlog'!$J13-'ProductSprint Backlog'!$I13), AND('ProductSprint Backlog'!$J13=B$2,'ProductSprint Backlog'!$I13=B$2), 'ProductSprint Backlog'!$F13, TRUE, 0)</f>
        <v/>
      </c>
      <c r="C13" s="4" t="str" cm="1">
        <f t="array" ref="C13">_xlfn.IFS('ProductSprint Backlog'!$F13="", "", AND('ProductSprint Backlog'!$J13&gt;C$2,'ProductSprint Backlog'!$I13&lt;=C$2), 'ProductSprint Backlog'!$F13 / MAX(1, 'ProductSprint Backlog'!$J13-'ProductSprint Backlog'!$I13), AND('ProductSprint Backlog'!$J13=C$2,'ProductSprint Backlog'!$I13=C$2), 'ProductSprint Backlog'!$F13, TRUE, 0)</f>
        <v/>
      </c>
      <c r="D13" s="4" t="str" cm="1">
        <f t="array" ref="D13">_xlfn.IFS('ProductSprint Backlog'!$F13="", "", AND('ProductSprint Backlog'!$J13&gt;D$2,'ProductSprint Backlog'!$I13&lt;=D$2), 'ProductSprint Backlog'!$F13 / MAX(1, 'ProductSprint Backlog'!$J13-'ProductSprint Backlog'!$I13), AND('ProductSprint Backlog'!$J13=D$2,'ProductSprint Backlog'!$I13=D$2), 'ProductSprint Backlog'!$F13, TRUE, 0)</f>
        <v/>
      </c>
      <c r="E13" s="4" t="str" cm="1">
        <f t="array" ref="E13">_xlfn.IFS('ProductSprint Backlog'!$F13="", "", AND('ProductSprint Backlog'!$J13&gt;E$2,'ProductSprint Backlog'!$I13&lt;=E$2), 'ProductSprint Backlog'!$F13 / MAX(1, 'ProductSprint Backlog'!$J13-'ProductSprint Backlog'!$I13), AND('ProductSprint Backlog'!$J13=E$2,'ProductSprint Backlog'!$I13=E$2), 'ProductSprint Backlog'!$F13, TRUE, 0)</f>
        <v/>
      </c>
      <c r="F13" s="4" t="str" cm="1">
        <f t="array" ref="F13">_xlfn.IFS('ProductSprint Backlog'!$F13="", "", AND('ProductSprint Backlog'!$J13&gt;F$2,'ProductSprint Backlog'!$I13&lt;=F$2), 'ProductSprint Backlog'!$F13 / MAX(1, 'ProductSprint Backlog'!$J13-'ProductSprint Backlog'!$I13), AND('ProductSprint Backlog'!$J13=F$2,'ProductSprint Backlog'!$I13=F$2), 'ProductSprint Backlog'!$F13, TRUE, 0)</f>
        <v/>
      </c>
      <c r="G13" s="4" t="str" cm="1">
        <f t="array" ref="G13">_xlfn.IFS('ProductSprint Backlog'!$F13="", "", AND('ProductSprint Backlog'!$J13&gt;G$2,'ProductSprint Backlog'!$I13&lt;=G$2), 'ProductSprint Backlog'!$F13 / MAX(1, 'ProductSprint Backlog'!$J13-'ProductSprint Backlog'!$I13), AND('ProductSprint Backlog'!$J13=G$2,'ProductSprint Backlog'!$I13=G$2), 'ProductSprint Backlog'!$F13, TRUE, 0)</f>
        <v/>
      </c>
      <c r="H13" s="4" t="str" cm="1">
        <f t="array" ref="H13">_xlfn.IFS('ProductSprint Backlog'!$F13="", "", AND('ProductSprint Backlog'!$J13&gt;H$2,'ProductSprint Backlog'!$I13&lt;=H$2), 'ProductSprint Backlog'!$F13 / MAX(1, 'ProductSprint Backlog'!$J13-'ProductSprint Backlog'!$I13), AND('ProductSprint Backlog'!$J13=H$2,'ProductSprint Backlog'!$I13=H$2), 'ProductSprint Backlog'!$F13, TRUE, 0)</f>
        <v/>
      </c>
      <c r="I13" s="4" t="str" cm="1">
        <f t="array" ref="I13">_xlfn.IFS('ProductSprint Backlog'!$F13="", "", AND('ProductSprint Backlog'!$J13&gt;I$2,'ProductSprint Backlog'!$I13&lt;=I$2), 'ProductSprint Backlog'!$F13 / MAX(1, 'ProductSprint Backlog'!$J13-'ProductSprint Backlog'!$I13), AND('ProductSprint Backlog'!$J13=I$2,'ProductSprint Backlog'!$I13=I$2), 'ProductSprint Backlog'!$F13, TRUE, 0)</f>
        <v/>
      </c>
      <c r="J13" s="4" t="str" cm="1">
        <f t="array" ref="J13">_xlfn.IFS('ProductSprint Backlog'!$F13="", "", AND('ProductSprint Backlog'!$J13&gt;J$2,'ProductSprint Backlog'!$I13&lt;=J$2), 'ProductSprint Backlog'!$F13 / MAX(1, 'ProductSprint Backlog'!$J13-'ProductSprint Backlog'!$I13), AND('ProductSprint Backlog'!$J13=J$2,'ProductSprint Backlog'!$I13=J$2), 'ProductSprint Backlog'!$F13, TRUE, 0)</f>
        <v/>
      </c>
      <c r="K13" s="4" t="str" cm="1">
        <f t="array" ref="K13">_xlfn.IFS('ProductSprint Backlog'!$F13="", "", AND('ProductSprint Backlog'!$J13&gt;K$2,'ProductSprint Backlog'!$I13&lt;=K$2), 'ProductSprint Backlog'!$F13 / MAX(1, 'ProductSprint Backlog'!$J13-'ProductSprint Backlog'!$I13), AND('ProductSprint Backlog'!$J13=K$2,'ProductSprint Backlog'!$I13=K$2), 'ProductSprint Backlog'!$F13, TRUE, 0)</f>
        <v/>
      </c>
      <c r="L13" s="4" t="str" cm="1">
        <f t="array" ref="L13">_xlfn.IFS('ProductSprint Backlog'!$F13="", "", AND('ProductSprint Backlog'!$J13&gt;L$2,'ProductSprint Backlog'!$I13&lt;=L$2), 'ProductSprint Backlog'!$F13 / MAX(1, 'ProductSprint Backlog'!$J13-'ProductSprint Backlog'!$I13), AND('ProductSprint Backlog'!$J13=L$2,'ProductSprint Backlog'!$I13=L$2), 'ProductSprint Backlog'!$F13, TRUE, 0)</f>
        <v/>
      </c>
      <c r="M13" s="4" t="str" cm="1">
        <f t="array" ref="M13">_xlfn.IFS('ProductSprint Backlog'!$F13="", "", AND('ProductSprint Backlog'!$J13&gt;M$2,'ProductSprint Backlog'!$I13&lt;=M$2), 'ProductSprint Backlog'!$F13 / MAX(1, 'ProductSprint Backlog'!$J13-'ProductSprint Backlog'!$I13), AND('ProductSprint Backlog'!$J13=M$2,'ProductSprint Backlog'!$I13=M$2), 'ProductSprint Backlog'!$F13, TRUE, 0)</f>
        <v/>
      </c>
      <c r="N13" s="4" t="str" cm="1">
        <f t="array" ref="N13">_xlfn.IFS('ProductSprint Backlog'!$F13="", "", AND('ProductSprint Backlog'!$J13&gt;N$2,'ProductSprint Backlog'!$I13&lt;=N$2), 'ProductSprint Backlog'!$F13 / MAX(1, 'ProductSprint Backlog'!$J13-'ProductSprint Backlog'!$I13), AND('ProductSprint Backlog'!$J13=N$2,'ProductSprint Backlog'!$I13=N$2), 'ProductSprint Backlog'!$F13, TRUE, 0)</f>
        <v/>
      </c>
      <c r="O13" s="4" t="str" cm="1">
        <f t="array" ref="O13">_xlfn.IFS('ProductSprint Backlog'!$F13="", "", AND('ProductSprint Backlog'!$J13&gt;O$2,'ProductSprint Backlog'!$I13&lt;=O$2), 'ProductSprint Backlog'!$F13 / MAX(1, 'ProductSprint Backlog'!$J13-'ProductSprint Backlog'!$I13), AND('ProductSprint Backlog'!$J13=O$2,'ProductSprint Backlog'!$I13=O$2), 'ProductSprint Backlog'!$F13, TRUE, 0)</f>
        <v/>
      </c>
      <c r="P13" s="4" t="str" cm="1">
        <f t="array" ref="P13">_xlfn.IFS('ProductSprint Backlog'!$F13="", "", AND('ProductSprint Backlog'!$J13&gt;P$2,'ProductSprint Backlog'!$I13&lt;=P$2), 'ProductSprint Backlog'!$F13 / MAX(1, 'ProductSprint Backlog'!$J13-'ProductSprint Backlog'!$I13), AND('ProductSprint Backlog'!$J13=P$2,'ProductSprint Backlog'!$I13=P$2), 'ProductSprint Backlog'!$F13, TRUE, 0)</f>
        <v/>
      </c>
      <c r="Q13" s="4" t="str" cm="1">
        <f t="array" ref="Q13">_xlfn.IFS('ProductSprint Backlog'!$F13="", "", AND('ProductSprint Backlog'!$J13&gt;Q$2,'ProductSprint Backlog'!$I13&lt;=Q$2), 'ProductSprint Backlog'!$F13 / MAX(1, 'ProductSprint Backlog'!$J13-'ProductSprint Backlog'!$I13), AND('ProductSprint Backlog'!$J13=Q$2,'ProductSprint Backlog'!$I13=Q$2), 'ProductSprint Backlog'!$F13, TRUE, 0)</f>
        <v/>
      </c>
    </row>
    <row r="14" spans="2:19" x14ac:dyDescent="0.2">
      <c r="B14" s="4" cm="1">
        <f t="array" ref="B14">_xlfn.IFS('ProductSprint Backlog'!$F14="", "", AND('ProductSprint Backlog'!$J14&gt;B$2,'ProductSprint Backlog'!$I14&lt;=B$2), 'ProductSprint Backlog'!$F14 / MAX(1, 'ProductSprint Backlog'!$J14-'ProductSprint Backlog'!$I14), AND('ProductSprint Backlog'!$J14=B$2,'ProductSprint Backlog'!$I14=B$2), 'ProductSprint Backlog'!$F14, TRUE, 0)</f>
        <v>0</v>
      </c>
      <c r="C14" s="4" cm="1">
        <f t="array" ref="C14">_xlfn.IFS('ProductSprint Backlog'!$F14="", "", AND('ProductSprint Backlog'!$J14&gt;C$2,'ProductSprint Backlog'!$I14&lt;=C$2), 'ProductSprint Backlog'!$F14 / MAX(1, 'ProductSprint Backlog'!$J14-'ProductSprint Backlog'!$I14), AND('ProductSprint Backlog'!$J14=C$2,'ProductSprint Backlog'!$I14=C$2), 'ProductSprint Backlog'!$F14, TRUE, 0)</f>
        <v>0</v>
      </c>
      <c r="D14" s="4" cm="1">
        <f t="array" ref="D14">_xlfn.IFS('ProductSprint Backlog'!$F14="", "", AND('ProductSprint Backlog'!$J14&gt;D$2,'ProductSprint Backlog'!$I14&lt;=D$2), 'ProductSprint Backlog'!$F14 / MAX(1, 'ProductSprint Backlog'!$J14-'ProductSprint Backlog'!$I14), AND('ProductSprint Backlog'!$J14=D$2,'ProductSprint Backlog'!$I14=D$2), 'ProductSprint Backlog'!$F14, TRUE, 0)</f>
        <v>0</v>
      </c>
      <c r="E14" s="4" cm="1">
        <f t="array" ref="E14">_xlfn.IFS('ProductSprint Backlog'!$F14="", "", AND('ProductSprint Backlog'!$J14&gt;E$2,'ProductSprint Backlog'!$I14&lt;=E$2), 'ProductSprint Backlog'!$F14 / MAX(1, 'ProductSprint Backlog'!$J14-'ProductSprint Backlog'!$I14), AND('ProductSprint Backlog'!$J14=E$2,'ProductSprint Backlog'!$I14=E$2), 'ProductSprint Backlog'!$F14, TRUE, 0)</f>
        <v>0</v>
      </c>
      <c r="F14" s="4" cm="1">
        <f t="array" ref="F14">_xlfn.IFS('ProductSprint Backlog'!$F14="", "", AND('ProductSprint Backlog'!$J14&gt;F$2,'ProductSprint Backlog'!$I14&lt;=F$2), 'ProductSprint Backlog'!$F14 / MAX(1, 'ProductSprint Backlog'!$J14-'ProductSprint Backlog'!$I14), AND('ProductSprint Backlog'!$J14=F$2,'ProductSprint Backlog'!$I14=F$2), 'ProductSprint Backlog'!$F14, TRUE, 0)</f>
        <v>0</v>
      </c>
      <c r="G14" s="4" cm="1">
        <f t="array" ref="G14">_xlfn.IFS('ProductSprint Backlog'!$F14="", "", AND('ProductSprint Backlog'!$J14&gt;G$2,'ProductSprint Backlog'!$I14&lt;=G$2), 'ProductSprint Backlog'!$F14 / MAX(1, 'ProductSprint Backlog'!$J14-'ProductSprint Backlog'!$I14), AND('ProductSprint Backlog'!$J14=G$2,'ProductSprint Backlog'!$I14=G$2), 'ProductSprint Backlog'!$F14, TRUE, 0)</f>
        <v>0</v>
      </c>
      <c r="H14" s="4" cm="1">
        <f t="array" ref="H14">_xlfn.IFS('ProductSprint Backlog'!$F14="", "", AND('ProductSprint Backlog'!$J14&gt;H$2,'ProductSprint Backlog'!$I14&lt;=H$2), 'ProductSprint Backlog'!$F14 / MAX(1, 'ProductSprint Backlog'!$J14-'ProductSprint Backlog'!$I14), AND('ProductSprint Backlog'!$J14=H$2,'ProductSprint Backlog'!$I14=H$2), 'ProductSprint Backlog'!$F14, TRUE, 0)</f>
        <v>0</v>
      </c>
      <c r="I14" s="4" cm="1">
        <f t="array" ref="I14">_xlfn.IFS('ProductSprint Backlog'!$F14="", "", AND('ProductSprint Backlog'!$J14&gt;I$2,'ProductSprint Backlog'!$I14&lt;=I$2), 'ProductSprint Backlog'!$F14 / MAX(1, 'ProductSprint Backlog'!$J14-'ProductSprint Backlog'!$I14), AND('ProductSprint Backlog'!$J14=I$2,'ProductSprint Backlog'!$I14=I$2), 'ProductSprint Backlog'!$F14, TRUE, 0)</f>
        <v>0</v>
      </c>
      <c r="J14" s="4" cm="1">
        <f t="array" ref="J14">_xlfn.IFS('ProductSprint Backlog'!$F14="", "", AND('ProductSprint Backlog'!$J14&gt;J$2,'ProductSprint Backlog'!$I14&lt;=J$2), 'ProductSprint Backlog'!$F14 / MAX(1, 'ProductSprint Backlog'!$J14-'ProductSprint Backlog'!$I14), AND('ProductSprint Backlog'!$J14=J$2,'ProductSprint Backlog'!$I14=J$2), 'ProductSprint Backlog'!$F14, TRUE, 0)</f>
        <v>0</v>
      </c>
      <c r="K14" s="4" cm="1">
        <f t="array" ref="K14">_xlfn.IFS('ProductSprint Backlog'!$F14="", "", AND('ProductSprint Backlog'!$J14&gt;K$2,'ProductSprint Backlog'!$I14&lt;=K$2), 'ProductSprint Backlog'!$F14 / MAX(1, 'ProductSprint Backlog'!$J14-'ProductSprint Backlog'!$I14), AND('ProductSprint Backlog'!$J14=K$2,'ProductSprint Backlog'!$I14=K$2), 'ProductSprint Backlog'!$F14, TRUE, 0)</f>
        <v>0</v>
      </c>
      <c r="L14" s="4" cm="1">
        <f t="array" ref="L14">_xlfn.IFS('ProductSprint Backlog'!$F14="", "", AND('ProductSprint Backlog'!$J14&gt;L$2,'ProductSprint Backlog'!$I14&lt;=L$2), 'ProductSprint Backlog'!$F14 / MAX(1, 'ProductSprint Backlog'!$J14-'ProductSprint Backlog'!$I14), AND('ProductSprint Backlog'!$J14=L$2,'ProductSprint Backlog'!$I14=L$2), 'ProductSprint Backlog'!$F14, TRUE, 0)</f>
        <v>0</v>
      </c>
      <c r="M14" s="4" cm="1">
        <f t="array" ref="M14">_xlfn.IFS('ProductSprint Backlog'!$F14="", "", AND('ProductSprint Backlog'!$J14&gt;M$2,'ProductSprint Backlog'!$I14&lt;=M$2), 'ProductSprint Backlog'!$F14 / MAX(1, 'ProductSprint Backlog'!$J14-'ProductSprint Backlog'!$I14), AND('ProductSprint Backlog'!$J14=M$2,'ProductSprint Backlog'!$I14=M$2), 'ProductSprint Backlog'!$F14, TRUE, 0)</f>
        <v>0</v>
      </c>
      <c r="N14" s="4" cm="1">
        <f t="array" ref="N14">_xlfn.IFS('ProductSprint Backlog'!$F14="", "", AND('ProductSprint Backlog'!$J14&gt;N$2,'ProductSprint Backlog'!$I14&lt;=N$2), 'ProductSprint Backlog'!$F14 / MAX(1, 'ProductSprint Backlog'!$J14-'ProductSprint Backlog'!$I14), AND('ProductSprint Backlog'!$J14=N$2,'ProductSprint Backlog'!$I14=N$2), 'ProductSprint Backlog'!$F14, TRUE, 0)</f>
        <v>0</v>
      </c>
      <c r="O14" s="4" cm="1">
        <f t="array" ref="O14">_xlfn.IFS('ProductSprint Backlog'!$F14="", "", AND('ProductSprint Backlog'!$J14&gt;O$2,'ProductSprint Backlog'!$I14&lt;=O$2), 'ProductSprint Backlog'!$F14 / MAX(1, 'ProductSprint Backlog'!$J14-'ProductSprint Backlog'!$I14), AND('ProductSprint Backlog'!$J14=O$2,'ProductSprint Backlog'!$I14=O$2), 'ProductSprint Backlog'!$F14, TRUE, 0)</f>
        <v>0</v>
      </c>
      <c r="P14" s="4" cm="1">
        <f t="array" ref="P14">_xlfn.IFS('ProductSprint Backlog'!$F14="", "", AND('ProductSprint Backlog'!$J14&gt;P$2,'ProductSprint Backlog'!$I14&lt;=P$2), 'ProductSprint Backlog'!$F14 / MAX(1, 'ProductSprint Backlog'!$J14-'ProductSprint Backlog'!$I14), AND('ProductSprint Backlog'!$J14=P$2,'ProductSprint Backlog'!$I14=P$2), 'ProductSprint Backlog'!$F14, TRUE, 0)</f>
        <v>0</v>
      </c>
      <c r="Q14" s="4" cm="1">
        <f t="array" ref="Q14">_xlfn.IFS('ProductSprint Backlog'!$F14="", "", AND('ProductSprint Backlog'!$J14&gt;Q$2,'ProductSprint Backlog'!$I14&lt;=Q$2), 'ProductSprint Backlog'!$F14 / MAX(1, 'ProductSprint Backlog'!$J14-'ProductSprint Backlog'!$I14), AND('ProductSprint Backlog'!$J14=Q$2,'ProductSprint Backlog'!$I14=Q$2), 'ProductSprint Backlog'!$F14, TRUE, 0)</f>
        <v>0</v>
      </c>
    </row>
    <row r="15" spans="2:19" x14ac:dyDescent="0.2">
      <c r="B15" s="4" cm="1">
        <f t="array" ref="B15">_xlfn.IFS('ProductSprint Backlog'!$F15="", "", AND('ProductSprint Backlog'!$J15&gt;B$2,'ProductSprint Backlog'!$I15&lt;=B$2), 'ProductSprint Backlog'!$F15 / MAX(1, 'ProductSprint Backlog'!$J15-'ProductSprint Backlog'!$I15), AND('ProductSprint Backlog'!$J15=B$2,'ProductSprint Backlog'!$I15=B$2), 'ProductSprint Backlog'!$F15, TRUE, 0)</f>
        <v>0</v>
      </c>
      <c r="C15" s="4" cm="1">
        <f t="array" ref="C15">_xlfn.IFS('ProductSprint Backlog'!$F15="", "", AND('ProductSprint Backlog'!$J15&gt;C$2,'ProductSprint Backlog'!$I15&lt;=C$2), 'ProductSprint Backlog'!$F15 / MAX(1, 'ProductSprint Backlog'!$J15-'ProductSprint Backlog'!$I15), AND('ProductSprint Backlog'!$J15=C$2,'ProductSprint Backlog'!$I15=C$2), 'ProductSprint Backlog'!$F15, TRUE, 0)</f>
        <v>0</v>
      </c>
      <c r="D15" s="4" cm="1">
        <f t="array" ref="D15">_xlfn.IFS('ProductSprint Backlog'!$F15="", "", AND('ProductSprint Backlog'!$J15&gt;D$2,'ProductSprint Backlog'!$I15&lt;=D$2), 'ProductSprint Backlog'!$F15 / MAX(1, 'ProductSprint Backlog'!$J15-'ProductSprint Backlog'!$I15), AND('ProductSprint Backlog'!$J15=D$2,'ProductSprint Backlog'!$I15=D$2), 'ProductSprint Backlog'!$F15, TRUE, 0)</f>
        <v>0</v>
      </c>
      <c r="E15" s="4" cm="1">
        <f t="array" ref="E15">_xlfn.IFS('ProductSprint Backlog'!$F15="", "", AND('ProductSprint Backlog'!$J15&gt;E$2,'ProductSprint Backlog'!$I15&lt;=E$2), 'ProductSprint Backlog'!$F15 / MAX(1, 'ProductSprint Backlog'!$J15-'ProductSprint Backlog'!$I15), AND('ProductSprint Backlog'!$J15=E$2,'ProductSprint Backlog'!$I15=E$2), 'ProductSprint Backlog'!$F15, TRUE, 0)</f>
        <v>0</v>
      </c>
      <c r="F15" s="4" cm="1">
        <f t="array" ref="F15">_xlfn.IFS('ProductSprint Backlog'!$F15="", "", AND('ProductSprint Backlog'!$J15&gt;F$2,'ProductSprint Backlog'!$I15&lt;=F$2), 'ProductSprint Backlog'!$F15 / MAX(1, 'ProductSprint Backlog'!$J15-'ProductSprint Backlog'!$I15), AND('ProductSprint Backlog'!$J15=F$2,'ProductSprint Backlog'!$I15=F$2), 'ProductSprint Backlog'!$F15, TRUE, 0)</f>
        <v>0</v>
      </c>
      <c r="G15" s="4" cm="1">
        <f t="array" ref="G15">_xlfn.IFS('ProductSprint Backlog'!$F15="", "", AND('ProductSprint Backlog'!$J15&gt;G$2,'ProductSprint Backlog'!$I15&lt;=G$2), 'ProductSprint Backlog'!$F15 / MAX(1, 'ProductSprint Backlog'!$J15-'ProductSprint Backlog'!$I15), AND('ProductSprint Backlog'!$J15=G$2,'ProductSprint Backlog'!$I15=G$2), 'ProductSprint Backlog'!$F15, TRUE, 0)</f>
        <v>0</v>
      </c>
      <c r="H15" s="4" cm="1">
        <f t="array" ref="H15">_xlfn.IFS('ProductSprint Backlog'!$F15="", "", AND('ProductSprint Backlog'!$J15&gt;H$2,'ProductSprint Backlog'!$I15&lt;=H$2), 'ProductSprint Backlog'!$F15 / MAX(1, 'ProductSprint Backlog'!$J15-'ProductSprint Backlog'!$I15), AND('ProductSprint Backlog'!$J15=H$2,'ProductSprint Backlog'!$I15=H$2), 'ProductSprint Backlog'!$F15, TRUE, 0)</f>
        <v>0</v>
      </c>
      <c r="I15" s="4" cm="1">
        <f t="array" ref="I15">_xlfn.IFS('ProductSprint Backlog'!$F15="", "", AND('ProductSprint Backlog'!$J15&gt;I$2,'ProductSprint Backlog'!$I15&lt;=I$2), 'ProductSprint Backlog'!$F15 / MAX(1, 'ProductSprint Backlog'!$J15-'ProductSprint Backlog'!$I15), AND('ProductSprint Backlog'!$J15=I$2,'ProductSprint Backlog'!$I15=I$2), 'ProductSprint Backlog'!$F15, TRUE, 0)</f>
        <v>0</v>
      </c>
      <c r="J15" s="4" cm="1">
        <f t="array" ref="J15">_xlfn.IFS('ProductSprint Backlog'!$F15="", "", AND('ProductSprint Backlog'!$J15&gt;J$2,'ProductSprint Backlog'!$I15&lt;=J$2), 'ProductSprint Backlog'!$F15 / MAX(1, 'ProductSprint Backlog'!$J15-'ProductSprint Backlog'!$I15), AND('ProductSprint Backlog'!$J15=J$2,'ProductSprint Backlog'!$I15=J$2), 'ProductSprint Backlog'!$F15, TRUE, 0)</f>
        <v>0</v>
      </c>
      <c r="K15" s="4" cm="1">
        <f t="array" ref="K15">_xlfn.IFS('ProductSprint Backlog'!$F15="", "", AND('ProductSprint Backlog'!$J15&gt;K$2,'ProductSprint Backlog'!$I15&lt;=K$2), 'ProductSprint Backlog'!$F15 / MAX(1, 'ProductSprint Backlog'!$J15-'ProductSprint Backlog'!$I15), AND('ProductSprint Backlog'!$J15=K$2,'ProductSprint Backlog'!$I15=K$2), 'ProductSprint Backlog'!$F15, TRUE, 0)</f>
        <v>0</v>
      </c>
      <c r="L15" s="4" cm="1">
        <f t="array" ref="L15">_xlfn.IFS('ProductSprint Backlog'!$F15="", "", AND('ProductSprint Backlog'!$J15&gt;L$2,'ProductSprint Backlog'!$I15&lt;=L$2), 'ProductSprint Backlog'!$F15 / MAX(1, 'ProductSprint Backlog'!$J15-'ProductSprint Backlog'!$I15), AND('ProductSprint Backlog'!$J15=L$2,'ProductSprint Backlog'!$I15=L$2), 'ProductSprint Backlog'!$F15, TRUE, 0)</f>
        <v>0</v>
      </c>
      <c r="M15" s="4" cm="1">
        <f t="array" ref="M15">_xlfn.IFS('ProductSprint Backlog'!$F15="", "", AND('ProductSprint Backlog'!$J15&gt;M$2,'ProductSprint Backlog'!$I15&lt;=M$2), 'ProductSprint Backlog'!$F15 / MAX(1, 'ProductSprint Backlog'!$J15-'ProductSprint Backlog'!$I15), AND('ProductSprint Backlog'!$J15=M$2,'ProductSprint Backlog'!$I15=M$2), 'ProductSprint Backlog'!$F15, TRUE, 0)</f>
        <v>0</v>
      </c>
      <c r="N15" s="4" cm="1">
        <f t="array" ref="N15">_xlfn.IFS('ProductSprint Backlog'!$F15="", "", AND('ProductSprint Backlog'!$J15&gt;N$2,'ProductSprint Backlog'!$I15&lt;=N$2), 'ProductSprint Backlog'!$F15 / MAX(1, 'ProductSprint Backlog'!$J15-'ProductSprint Backlog'!$I15), AND('ProductSprint Backlog'!$J15=N$2,'ProductSprint Backlog'!$I15=N$2), 'ProductSprint Backlog'!$F15, TRUE, 0)</f>
        <v>0</v>
      </c>
      <c r="O15" s="4" cm="1">
        <f t="array" ref="O15">_xlfn.IFS('ProductSprint Backlog'!$F15="", "", AND('ProductSprint Backlog'!$J15&gt;O$2,'ProductSprint Backlog'!$I15&lt;=O$2), 'ProductSprint Backlog'!$F15 / MAX(1, 'ProductSprint Backlog'!$J15-'ProductSprint Backlog'!$I15), AND('ProductSprint Backlog'!$J15=O$2,'ProductSprint Backlog'!$I15=O$2), 'ProductSprint Backlog'!$F15, TRUE, 0)</f>
        <v>0</v>
      </c>
      <c r="P15" s="4" cm="1">
        <f t="array" ref="P15">_xlfn.IFS('ProductSprint Backlog'!$F15="", "", AND('ProductSprint Backlog'!$J15&gt;P$2,'ProductSprint Backlog'!$I15&lt;=P$2), 'ProductSprint Backlog'!$F15 / MAX(1, 'ProductSprint Backlog'!$J15-'ProductSprint Backlog'!$I15), AND('ProductSprint Backlog'!$J15=P$2,'ProductSprint Backlog'!$I15=P$2), 'ProductSprint Backlog'!$F15, TRUE, 0)</f>
        <v>0</v>
      </c>
      <c r="Q15" s="4" cm="1">
        <f t="array" ref="Q15">_xlfn.IFS('ProductSprint Backlog'!$F15="", "", AND('ProductSprint Backlog'!$J15&gt;Q$2,'ProductSprint Backlog'!$I15&lt;=Q$2), 'ProductSprint Backlog'!$F15 / MAX(1, 'ProductSprint Backlog'!$J15-'ProductSprint Backlog'!$I15), AND('ProductSprint Backlog'!$J15=Q$2,'ProductSprint Backlog'!$I15=Q$2), 'ProductSprint Backlog'!$F15, TRUE, 0)</f>
        <v>0</v>
      </c>
    </row>
    <row r="16" spans="2:19" x14ac:dyDescent="0.2">
      <c r="B16" s="4" cm="1">
        <f t="array" ref="B16">_xlfn.IFS('ProductSprint Backlog'!$F16="", "", AND('ProductSprint Backlog'!$J16&gt;B$2,'ProductSprint Backlog'!$I16&lt;=B$2), 'ProductSprint Backlog'!$F16 / MAX(1, 'ProductSprint Backlog'!$J16-'ProductSprint Backlog'!$I16), AND('ProductSprint Backlog'!$J16=B$2,'ProductSprint Backlog'!$I16=B$2), 'ProductSprint Backlog'!$F16, TRUE, 0)</f>
        <v>0</v>
      </c>
      <c r="C16" s="4" cm="1">
        <f t="array" ref="C16">_xlfn.IFS('ProductSprint Backlog'!$F16="", "", AND('ProductSprint Backlog'!$J16&gt;C$2,'ProductSprint Backlog'!$I16&lt;=C$2), 'ProductSprint Backlog'!$F16 / MAX(1, 'ProductSprint Backlog'!$J16-'ProductSprint Backlog'!$I16), AND('ProductSprint Backlog'!$J16=C$2,'ProductSprint Backlog'!$I16=C$2), 'ProductSprint Backlog'!$F16, TRUE, 0)</f>
        <v>0</v>
      </c>
      <c r="D16" s="4" cm="1">
        <f t="array" ref="D16">_xlfn.IFS('ProductSprint Backlog'!$F16="", "", AND('ProductSprint Backlog'!$J16&gt;D$2,'ProductSprint Backlog'!$I16&lt;=D$2), 'ProductSprint Backlog'!$F16 / MAX(1, 'ProductSprint Backlog'!$J16-'ProductSprint Backlog'!$I16), AND('ProductSprint Backlog'!$J16=D$2,'ProductSprint Backlog'!$I16=D$2), 'ProductSprint Backlog'!$F16, TRUE, 0)</f>
        <v>0</v>
      </c>
      <c r="E16" s="4" cm="1">
        <f t="array" ref="E16">_xlfn.IFS('ProductSprint Backlog'!$F16="", "", AND('ProductSprint Backlog'!$J16&gt;E$2,'ProductSprint Backlog'!$I16&lt;=E$2), 'ProductSprint Backlog'!$F16 / MAX(1, 'ProductSprint Backlog'!$J16-'ProductSprint Backlog'!$I16), AND('ProductSprint Backlog'!$J16=E$2,'ProductSprint Backlog'!$I16=E$2), 'ProductSprint Backlog'!$F16, TRUE, 0)</f>
        <v>0</v>
      </c>
      <c r="F16" s="4" cm="1">
        <f t="array" ref="F16">_xlfn.IFS('ProductSprint Backlog'!$F16="", "", AND('ProductSprint Backlog'!$J16&gt;F$2,'ProductSprint Backlog'!$I16&lt;=F$2), 'ProductSprint Backlog'!$F16 / MAX(1, 'ProductSprint Backlog'!$J16-'ProductSprint Backlog'!$I16), AND('ProductSprint Backlog'!$J16=F$2,'ProductSprint Backlog'!$I16=F$2), 'ProductSprint Backlog'!$F16, TRUE, 0)</f>
        <v>0</v>
      </c>
      <c r="G16" s="4" cm="1">
        <f t="array" ref="G16">_xlfn.IFS('ProductSprint Backlog'!$F16="", "", AND('ProductSprint Backlog'!$J16&gt;G$2,'ProductSprint Backlog'!$I16&lt;=G$2), 'ProductSprint Backlog'!$F16 / MAX(1, 'ProductSprint Backlog'!$J16-'ProductSprint Backlog'!$I16), AND('ProductSprint Backlog'!$J16=G$2,'ProductSprint Backlog'!$I16=G$2), 'ProductSprint Backlog'!$F16, TRUE, 0)</f>
        <v>0</v>
      </c>
      <c r="H16" s="4" cm="1">
        <f t="array" ref="H16">_xlfn.IFS('ProductSprint Backlog'!$F16="", "", AND('ProductSprint Backlog'!$J16&gt;H$2,'ProductSprint Backlog'!$I16&lt;=H$2), 'ProductSprint Backlog'!$F16 / MAX(1, 'ProductSprint Backlog'!$J16-'ProductSprint Backlog'!$I16), AND('ProductSprint Backlog'!$J16=H$2,'ProductSprint Backlog'!$I16=H$2), 'ProductSprint Backlog'!$F16, TRUE, 0)</f>
        <v>0</v>
      </c>
      <c r="I16" s="4" cm="1">
        <f t="array" ref="I16">_xlfn.IFS('ProductSprint Backlog'!$F16="", "", AND('ProductSprint Backlog'!$J16&gt;I$2,'ProductSprint Backlog'!$I16&lt;=I$2), 'ProductSprint Backlog'!$F16 / MAX(1, 'ProductSprint Backlog'!$J16-'ProductSprint Backlog'!$I16), AND('ProductSprint Backlog'!$J16=I$2,'ProductSprint Backlog'!$I16=I$2), 'ProductSprint Backlog'!$F16, TRUE, 0)</f>
        <v>0</v>
      </c>
      <c r="J16" s="4" cm="1">
        <f t="array" ref="J16">_xlfn.IFS('ProductSprint Backlog'!$F16="", "", AND('ProductSprint Backlog'!$J16&gt;J$2,'ProductSprint Backlog'!$I16&lt;=J$2), 'ProductSprint Backlog'!$F16 / MAX(1, 'ProductSprint Backlog'!$J16-'ProductSprint Backlog'!$I16), AND('ProductSprint Backlog'!$J16=J$2,'ProductSprint Backlog'!$I16=J$2), 'ProductSprint Backlog'!$F16, TRUE, 0)</f>
        <v>0</v>
      </c>
      <c r="K16" s="4" cm="1">
        <f t="array" ref="K16">_xlfn.IFS('ProductSprint Backlog'!$F16="", "", AND('ProductSprint Backlog'!$J16&gt;K$2,'ProductSprint Backlog'!$I16&lt;=K$2), 'ProductSprint Backlog'!$F16 / MAX(1, 'ProductSprint Backlog'!$J16-'ProductSprint Backlog'!$I16), AND('ProductSprint Backlog'!$J16=K$2,'ProductSprint Backlog'!$I16=K$2), 'ProductSprint Backlog'!$F16, TRUE, 0)</f>
        <v>0</v>
      </c>
      <c r="L16" s="4" cm="1">
        <f t="array" ref="L16">_xlfn.IFS('ProductSprint Backlog'!$F16="", "", AND('ProductSprint Backlog'!$J16&gt;L$2,'ProductSprint Backlog'!$I16&lt;=L$2), 'ProductSprint Backlog'!$F16 / MAX(1, 'ProductSprint Backlog'!$J16-'ProductSprint Backlog'!$I16), AND('ProductSprint Backlog'!$J16=L$2,'ProductSprint Backlog'!$I16=L$2), 'ProductSprint Backlog'!$F16, TRUE, 0)</f>
        <v>0</v>
      </c>
      <c r="M16" s="4" cm="1">
        <f t="array" ref="M16">_xlfn.IFS('ProductSprint Backlog'!$F16="", "", AND('ProductSprint Backlog'!$J16&gt;M$2,'ProductSprint Backlog'!$I16&lt;=M$2), 'ProductSprint Backlog'!$F16 / MAX(1, 'ProductSprint Backlog'!$J16-'ProductSprint Backlog'!$I16), AND('ProductSprint Backlog'!$J16=M$2,'ProductSprint Backlog'!$I16=M$2), 'ProductSprint Backlog'!$F16, TRUE, 0)</f>
        <v>0</v>
      </c>
      <c r="N16" s="4" cm="1">
        <f t="array" ref="N16">_xlfn.IFS('ProductSprint Backlog'!$F16="", "", AND('ProductSprint Backlog'!$J16&gt;N$2,'ProductSprint Backlog'!$I16&lt;=N$2), 'ProductSprint Backlog'!$F16 / MAX(1, 'ProductSprint Backlog'!$J16-'ProductSprint Backlog'!$I16), AND('ProductSprint Backlog'!$J16=N$2,'ProductSprint Backlog'!$I16=N$2), 'ProductSprint Backlog'!$F16, TRUE, 0)</f>
        <v>0</v>
      </c>
      <c r="O16" s="4" cm="1">
        <f t="array" ref="O16">_xlfn.IFS('ProductSprint Backlog'!$F16="", "", AND('ProductSprint Backlog'!$J16&gt;O$2,'ProductSprint Backlog'!$I16&lt;=O$2), 'ProductSprint Backlog'!$F16 / MAX(1, 'ProductSprint Backlog'!$J16-'ProductSprint Backlog'!$I16), AND('ProductSprint Backlog'!$J16=O$2,'ProductSprint Backlog'!$I16=O$2), 'ProductSprint Backlog'!$F16, TRUE, 0)</f>
        <v>0</v>
      </c>
      <c r="P16" s="4" cm="1">
        <f t="array" ref="P16">_xlfn.IFS('ProductSprint Backlog'!$F16="", "", AND('ProductSprint Backlog'!$J16&gt;P$2,'ProductSprint Backlog'!$I16&lt;=P$2), 'ProductSprint Backlog'!$F16 / MAX(1, 'ProductSprint Backlog'!$J16-'ProductSprint Backlog'!$I16), AND('ProductSprint Backlog'!$J16=P$2,'ProductSprint Backlog'!$I16=P$2), 'ProductSprint Backlog'!$F16, TRUE, 0)</f>
        <v>0</v>
      </c>
      <c r="Q16" s="4" cm="1">
        <f t="array" ref="Q16">_xlfn.IFS('ProductSprint Backlog'!$F16="", "", AND('ProductSprint Backlog'!$J16&gt;Q$2,'ProductSprint Backlog'!$I16&lt;=Q$2), 'ProductSprint Backlog'!$F16 / MAX(1, 'ProductSprint Backlog'!$J16-'ProductSprint Backlog'!$I16), AND('ProductSprint Backlog'!$J16=Q$2,'ProductSprint Backlog'!$I16=Q$2), 'ProductSprint Backlog'!$F16, TRUE, 0)</f>
        <v>0</v>
      </c>
    </row>
    <row r="17" spans="2:17" x14ac:dyDescent="0.2">
      <c r="B17" s="4" cm="1">
        <f t="array" ref="B17">_xlfn.IFS('ProductSprint Backlog'!$F17="", "", AND('ProductSprint Backlog'!$J17&gt;B$2,'ProductSprint Backlog'!$I17&lt;=B$2), 'ProductSprint Backlog'!$F17 / MAX(1, 'ProductSprint Backlog'!$J17-'ProductSprint Backlog'!$I17), AND('ProductSprint Backlog'!$J17=B$2,'ProductSprint Backlog'!$I17=B$2), 'ProductSprint Backlog'!$F17, TRUE, 0)</f>
        <v>0</v>
      </c>
      <c r="C17" s="4" cm="1">
        <f t="array" ref="C17">_xlfn.IFS('ProductSprint Backlog'!$F17="", "", AND('ProductSprint Backlog'!$J17&gt;C$2,'ProductSprint Backlog'!$I17&lt;=C$2), 'ProductSprint Backlog'!$F17 / MAX(1, 'ProductSprint Backlog'!$J17-'ProductSprint Backlog'!$I17), AND('ProductSprint Backlog'!$J17=C$2,'ProductSprint Backlog'!$I17=C$2), 'ProductSprint Backlog'!$F17, TRUE, 0)</f>
        <v>0</v>
      </c>
      <c r="D17" s="4" cm="1">
        <f t="array" ref="D17">_xlfn.IFS('ProductSprint Backlog'!$F17="", "", AND('ProductSprint Backlog'!$J17&gt;D$2,'ProductSprint Backlog'!$I17&lt;=D$2), 'ProductSprint Backlog'!$F17 / MAX(1, 'ProductSprint Backlog'!$J17-'ProductSprint Backlog'!$I17), AND('ProductSprint Backlog'!$J17=D$2,'ProductSprint Backlog'!$I17=D$2), 'ProductSprint Backlog'!$F17, TRUE, 0)</f>
        <v>0</v>
      </c>
      <c r="E17" s="4" cm="1">
        <f t="array" ref="E17">_xlfn.IFS('ProductSprint Backlog'!$F17="", "", AND('ProductSprint Backlog'!$J17&gt;E$2,'ProductSprint Backlog'!$I17&lt;=E$2), 'ProductSprint Backlog'!$F17 / MAX(1, 'ProductSprint Backlog'!$J17-'ProductSprint Backlog'!$I17), AND('ProductSprint Backlog'!$J17=E$2,'ProductSprint Backlog'!$I17=E$2), 'ProductSprint Backlog'!$F17, TRUE, 0)</f>
        <v>0</v>
      </c>
      <c r="F17" s="4" cm="1">
        <f t="array" ref="F17">_xlfn.IFS('ProductSprint Backlog'!$F17="", "", AND('ProductSprint Backlog'!$J17&gt;F$2,'ProductSprint Backlog'!$I17&lt;=F$2), 'ProductSprint Backlog'!$F17 / MAX(1, 'ProductSprint Backlog'!$J17-'ProductSprint Backlog'!$I17), AND('ProductSprint Backlog'!$J17=F$2,'ProductSprint Backlog'!$I17=F$2), 'ProductSprint Backlog'!$F17, TRUE, 0)</f>
        <v>0</v>
      </c>
      <c r="G17" s="4" cm="1">
        <f t="array" ref="G17">_xlfn.IFS('ProductSprint Backlog'!$F17="", "", AND('ProductSprint Backlog'!$J17&gt;G$2,'ProductSprint Backlog'!$I17&lt;=G$2), 'ProductSprint Backlog'!$F17 / MAX(1, 'ProductSprint Backlog'!$J17-'ProductSprint Backlog'!$I17), AND('ProductSprint Backlog'!$J17=G$2,'ProductSprint Backlog'!$I17=G$2), 'ProductSprint Backlog'!$F17, TRUE, 0)</f>
        <v>0</v>
      </c>
      <c r="H17" s="4" cm="1">
        <f t="array" ref="H17">_xlfn.IFS('ProductSprint Backlog'!$F17="", "", AND('ProductSprint Backlog'!$J17&gt;H$2,'ProductSprint Backlog'!$I17&lt;=H$2), 'ProductSprint Backlog'!$F17 / MAX(1, 'ProductSprint Backlog'!$J17-'ProductSprint Backlog'!$I17), AND('ProductSprint Backlog'!$J17=H$2,'ProductSprint Backlog'!$I17=H$2), 'ProductSprint Backlog'!$F17, TRUE, 0)</f>
        <v>0</v>
      </c>
      <c r="I17" s="4" cm="1">
        <f t="array" ref="I17">_xlfn.IFS('ProductSprint Backlog'!$F17="", "", AND('ProductSprint Backlog'!$J17&gt;I$2,'ProductSprint Backlog'!$I17&lt;=I$2), 'ProductSprint Backlog'!$F17 / MAX(1, 'ProductSprint Backlog'!$J17-'ProductSprint Backlog'!$I17), AND('ProductSprint Backlog'!$J17=I$2,'ProductSprint Backlog'!$I17=I$2), 'ProductSprint Backlog'!$F17, TRUE, 0)</f>
        <v>0</v>
      </c>
      <c r="J17" s="4" cm="1">
        <f t="array" ref="J17">_xlfn.IFS('ProductSprint Backlog'!$F17="", "", AND('ProductSprint Backlog'!$J17&gt;J$2,'ProductSprint Backlog'!$I17&lt;=J$2), 'ProductSprint Backlog'!$F17 / MAX(1, 'ProductSprint Backlog'!$J17-'ProductSprint Backlog'!$I17), AND('ProductSprint Backlog'!$J17=J$2,'ProductSprint Backlog'!$I17=J$2), 'ProductSprint Backlog'!$F17, TRUE, 0)</f>
        <v>0</v>
      </c>
      <c r="K17" s="4" cm="1">
        <f t="array" ref="K17">_xlfn.IFS('ProductSprint Backlog'!$F17="", "", AND('ProductSprint Backlog'!$J17&gt;K$2,'ProductSprint Backlog'!$I17&lt;=K$2), 'ProductSprint Backlog'!$F17 / MAX(1, 'ProductSprint Backlog'!$J17-'ProductSprint Backlog'!$I17), AND('ProductSprint Backlog'!$J17=K$2,'ProductSprint Backlog'!$I17=K$2), 'ProductSprint Backlog'!$F17, TRUE, 0)</f>
        <v>0</v>
      </c>
      <c r="L17" s="4" cm="1">
        <f t="array" ref="L17">_xlfn.IFS('ProductSprint Backlog'!$F17="", "", AND('ProductSprint Backlog'!$J17&gt;L$2,'ProductSprint Backlog'!$I17&lt;=L$2), 'ProductSprint Backlog'!$F17 / MAX(1, 'ProductSprint Backlog'!$J17-'ProductSprint Backlog'!$I17), AND('ProductSprint Backlog'!$J17=L$2,'ProductSprint Backlog'!$I17=L$2), 'ProductSprint Backlog'!$F17, TRUE, 0)</f>
        <v>0</v>
      </c>
      <c r="M17" s="4" cm="1">
        <f t="array" ref="M17">_xlfn.IFS('ProductSprint Backlog'!$F17="", "", AND('ProductSprint Backlog'!$J17&gt;M$2,'ProductSprint Backlog'!$I17&lt;=M$2), 'ProductSprint Backlog'!$F17 / MAX(1, 'ProductSprint Backlog'!$J17-'ProductSprint Backlog'!$I17), AND('ProductSprint Backlog'!$J17=M$2,'ProductSprint Backlog'!$I17=M$2), 'ProductSprint Backlog'!$F17, TRUE, 0)</f>
        <v>0</v>
      </c>
      <c r="N17" s="4" cm="1">
        <f t="array" ref="N17">_xlfn.IFS('ProductSprint Backlog'!$F17="", "", AND('ProductSprint Backlog'!$J17&gt;N$2,'ProductSprint Backlog'!$I17&lt;=N$2), 'ProductSprint Backlog'!$F17 / MAX(1, 'ProductSprint Backlog'!$J17-'ProductSprint Backlog'!$I17), AND('ProductSprint Backlog'!$J17=N$2,'ProductSprint Backlog'!$I17=N$2), 'ProductSprint Backlog'!$F17, TRUE, 0)</f>
        <v>0</v>
      </c>
      <c r="O17" s="4" cm="1">
        <f t="array" ref="O17">_xlfn.IFS('ProductSprint Backlog'!$F17="", "", AND('ProductSprint Backlog'!$J17&gt;O$2,'ProductSprint Backlog'!$I17&lt;=O$2), 'ProductSprint Backlog'!$F17 / MAX(1, 'ProductSprint Backlog'!$J17-'ProductSprint Backlog'!$I17), AND('ProductSprint Backlog'!$J17=O$2,'ProductSprint Backlog'!$I17=O$2), 'ProductSprint Backlog'!$F17, TRUE, 0)</f>
        <v>0</v>
      </c>
      <c r="P17" s="4" cm="1">
        <f t="array" ref="P17">_xlfn.IFS('ProductSprint Backlog'!$F17="", "", AND('ProductSprint Backlog'!$J17&gt;P$2,'ProductSprint Backlog'!$I17&lt;=P$2), 'ProductSprint Backlog'!$F17 / MAX(1, 'ProductSprint Backlog'!$J17-'ProductSprint Backlog'!$I17), AND('ProductSprint Backlog'!$J17=P$2,'ProductSprint Backlog'!$I17=P$2), 'ProductSprint Backlog'!$F17, TRUE, 0)</f>
        <v>0</v>
      </c>
      <c r="Q17" s="4" cm="1">
        <f t="array" ref="Q17">_xlfn.IFS('ProductSprint Backlog'!$F17="", "", AND('ProductSprint Backlog'!$J17&gt;Q$2,'ProductSprint Backlog'!$I17&lt;=Q$2), 'ProductSprint Backlog'!$F17 / MAX(1, 'ProductSprint Backlog'!$J17-'ProductSprint Backlog'!$I17), AND('ProductSprint Backlog'!$J17=Q$2,'ProductSprint Backlog'!$I17=Q$2), 'ProductSprint Backlog'!$F17, TRUE, 0)</f>
        <v>0</v>
      </c>
    </row>
    <row r="18" spans="2:17" x14ac:dyDescent="0.2">
      <c r="B18" s="4" t="str" cm="1">
        <f t="array" ref="B18">_xlfn.IFS('ProductSprint Backlog'!$F18="", "", AND('ProductSprint Backlog'!$J18&gt;B$2,'ProductSprint Backlog'!$I18&lt;=B$2), 'ProductSprint Backlog'!$F18 / MAX(1, 'ProductSprint Backlog'!$J18-'ProductSprint Backlog'!$I18), AND('ProductSprint Backlog'!$J18=B$2,'ProductSprint Backlog'!$I18=B$2), 'ProductSprint Backlog'!$F18, TRUE, 0)</f>
        <v/>
      </c>
      <c r="C18" s="4" t="str" cm="1">
        <f t="array" ref="C18">_xlfn.IFS('ProductSprint Backlog'!$F18="", "", AND('ProductSprint Backlog'!$J18&gt;C$2,'ProductSprint Backlog'!$I18&lt;=C$2), 'ProductSprint Backlog'!$F18 / MAX(1, 'ProductSprint Backlog'!$J18-'ProductSprint Backlog'!$I18), AND('ProductSprint Backlog'!$J18=C$2,'ProductSprint Backlog'!$I18=C$2), 'ProductSprint Backlog'!$F18, TRUE, 0)</f>
        <v/>
      </c>
      <c r="D18" s="4" t="str" cm="1">
        <f t="array" ref="D18">_xlfn.IFS('ProductSprint Backlog'!$F18="", "", AND('ProductSprint Backlog'!$J18&gt;D$2,'ProductSprint Backlog'!$I18&lt;=D$2), 'ProductSprint Backlog'!$F18 / MAX(1, 'ProductSprint Backlog'!$J18-'ProductSprint Backlog'!$I18), AND('ProductSprint Backlog'!$J18=D$2,'ProductSprint Backlog'!$I18=D$2), 'ProductSprint Backlog'!$F18, TRUE, 0)</f>
        <v/>
      </c>
      <c r="E18" s="4" t="str" cm="1">
        <f t="array" ref="E18">_xlfn.IFS('ProductSprint Backlog'!$F18="", "", AND('ProductSprint Backlog'!$J18&gt;E$2,'ProductSprint Backlog'!$I18&lt;=E$2), 'ProductSprint Backlog'!$F18 / MAX(1, 'ProductSprint Backlog'!$J18-'ProductSprint Backlog'!$I18), AND('ProductSprint Backlog'!$J18=E$2,'ProductSprint Backlog'!$I18=E$2), 'ProductSprint Backlog'!$F18, TRUE, 0)</f>
        <v/>
      </c>
      <c r="F18" s="4" t="str" cm="1">
        <f t="array" ref="F18">_xlfn.IFS('ProductSprint Backlog'!$F18="", "", AND('ProductSprint Backlog'!$J18&gt;F$2,'ProductSprint Backlog'!$I18&lt;=F$2), 'ProductSprint Backlog'!$F18 / MAX(1, 'ProductSprint Backlog'!$J18-'ProductSprint Backlog'!$I18), AND('ProductSprint Backlog'!$J18=F$2,'ProductSprint Backlog'!$I18=F$2), 'ProductSprint Backlog'!$F18, TRUE, 0)</f>
        <v/>
      </c>
      <c r="G18" s="4" t="str" cm="1">
        <f t="array" ref="G18">_xlfn.IFS('ProductSprint Backlog'!$F18="", "", AND('ProductSprint Backlog'!$J18&gt;G$2,'ProductSprint Backlog'!$I18&lt;=G$2), 'ProductSprint Backlog'!$F18 / MAX(1, 'ProductSprint Backlog'!$J18-'ProductSprint Backlog'!$I18), AND('ProductSprint Backlog'!$J18=G$2,'ProductSprint Backlog'!$I18=G$2), 'ProductSprint Backlog'!$F18, TRUE, 0)</f>
        <v/>
      </c>
      <c r="H18" s="4" t="str" cm="1">
        <f t="array" ref="H18">_xlfn.IFS('ProductSprint Backlog'!$F18="", "", AND('ProductSprint Backlog'!$J18&gt;H$2,'ProductSprint Backlog'!$I18&lt;=H$2), 'ProductSprint Backlog'!$F18 / MAX(1, 'ProductSprint Backlog'!$J18-'ProductSprint Backlog'!$I18), AND('ProductSprint Backlog'!$J18=H$2,'ProductSprint Backlog'!$I18=H$2), 'ProductSprint Backlog'!$F18, TRUE, 0)</f>
        <v/>
      </c>
      <c r="I18" s="4" t="str" cm="1">
        <f t="array" ref="I18">_xlfn.IFS('ProductSprint Backlog'!$F18="", "", AND('ProductSprint Backlog'!$J18&gt;I$2,'ProductSprint Backlog'!$I18&lt;=I$2), 'ProductSprint Backlog'!$F18 / MAX(1, 'ProductSprint Backlog'!$J18-'ProductSprint Backlog'!$I18), AND('ProductSprint Backlog'!$J18=I$2,'ProductSprint Backlog'!$I18=I$2), 'ProductSprint Backlog'!$F18, TRUE, 0)</f>
        <v/>
      </c>
      <c r="J18" s="4" t="str" cm="1">
        <f t="array" ref="J18">_xlfn.IFS('ProductSprint Backlog'!$F18="", "", AND('ProductSprint Backlog'!$J18&gt;J$2,'ProductSprint Backlog'!$I18&lt;=J$2), 'ProductSprint Backlog'!$F18 / MAX(1, 'ProductSprint Backlog'!$J18-'ProductSprint Backlog'!$I18), AND('ProductSprint Backlog'!$J18=J$2,'ProductSprint Backlog'!$I18=J$2), 'ProductSprint Backlog'!$F18, TRUE, 0)</f>
        <v/>
      </c>
      <c r="K18" s="4" t="str" cm="1">
        <f t="array" ref="K18">_xlfn.IFS('ProductSprint Backlog'!$F18="", "", AND('ProductSprint Backlog'!$J18&gt;K$2,'ProductSprint Backlog'!$I18&lt;=K$2), 'ProductSprint Backlog'!$F18 / MAX(1, 'ProductSprint Backlog'!$J18-'ProductSprint Backlog'!$I18), AND('ProductSprint Backlog'!$J18=K$2,'ProductSprint Backlog'!$I18=K$2), 'ProductSprint Backlog'!$F18, TRUE, 0)</f>
        <v/>
      </c>
      <c r="L18" s="4" t="str" cm="1">
        <f t="array" ref="L18">_xlfn.IFS('ProductSprint Backlog'!$F18="", "", AND('ProductSprint Backlog'!$J18&gt;L$2,'ProductSprint Backlog'!$I18&lt;=L$2), 'ProductSprint Backlog'!$F18 / MAX(1, 'ProductSprint Backlog'!$J18-'ProductSprint Backlog'!$I18), AND('ProductSprint Backlog'!$J18=L$2,'ProductSprint Backlog'!$I18=L$2), 'ProductSprint Backlog'!$F18, TRUE, 0)</f>
        <v/>
      </c>
      <c r="M18" s="4" t="str" cm="1">
        <f t="array" ref="M18">_xlfn.IFS('ProductSprint Backlog'!$F18="", "", AND('ProductSprint Backlog'!$J18&gt;M$2,'ProductSprint Backlog'!$I18&lt;=M$2), 'ProductSprint Backlog'!$F18 / MAX(1, 'ProductSprint Backlog'!$J18-'ProductSprint Backlog'!$I18), AND('ProductSprint Backlog'!$J18=M$2,'ProductSprint Backlog'!$I18=M$2), 'ProductSprint Backlog'!$F18, TRUE, 0)</f>
        <v/>
      </c>
      <c r="N18" s="4" t="str" cm="1">
        <f t="array" ref="N18">_xlfn.IFS('ProductSprint Backlog'!$F18="", "", AND('ProductSprint Backlog'!$J18&gt;N$2,'ProductSprint Backlog'!$I18&lt;=N$2), 'ProductSprint Backlog'!$F18 / MAX(1, 'ProductSprint Backlog'!$J18-'ProductSprint Backlog'!$I18), AND('ProductSprint Backlog'!$J18=N$2,'ProductSprint Backlog'!$I18=N$2), 'ProductSprint Backlog'!$F18, TRUE, 0)</f>
        <v/>
      </c>
      <c r="O18" s="4" t="str" cm="1">
        <f t="array" ref="O18">_xlfn.IFS('ProductSprint Backlog'!$F18="", "", AND('ProductSprint Backlog'!$J18&gt;O$2,'ProductSprint Backlog'!$I18&lt;=O$2), 'ProductSprint Backlog'!$F18 / MAX(1, 'ProductSprint Backlog'!$J18-'ProductSprint Backlog'!$I18), AND('ProductSprint Backlog'!$J18=O$2,'ProductSprint Backlog'!$I18=O$2), 'ProductSprint Backlog'!$F18, TRUE, 0)</f>
        <v/>
      </c>
      <c r="P18" s="4" t="str" cm="1">
        <f t="array" ref="P18">_xlfn.IFS('ProductSprint Backlog'!$F18="", "", AND('ProductSprint Backlog'!$J18&gt;P$2,'ProductSprint Backlog'!$I18&lt;=P$2), 'ProductSprint Backlog'!$F18 / MAX(1, 'ProductSprint Backlog'!$J18-'ProductSprint Backlog'!$I18), AND('ProductSprint Backlog'!$J18=P$2,'ProductSprint Backlog'!$I18=P$2), 'ProductSprint Backlog'!$F18, TRUE, 0)</f>
        <v/>
      </c>
      <c r="Q18" s="4" t="str" cm="1">
        <f t="array" ref="Q18">_xlfn.IFS('ProductSprint Backlog'!$F18="", "", AND('ProductSprint Backlog'!$J18&gt;Q$2,'ProductSprint Backlog'!$I18&lt;=Q$2), 'ProductSprint Backlog'!$F18 / MAX(1, 'ProductSprint Backlog'!$J18-'ProductSprint Backlog'!$I18), AND('ProductSprint Backlog'!$J18=Q$2,'ProductSprint Backlog'!$I18=Q$2), 'ProductSprint Backlog'!$F18, TRUE, 0)</f>
        <v/>
      </c>
    </row>
    <row r="19" spans="2:17" x14ac:dyDescent="0.2">
      <c r="B19" s="4" cm="1">
        <f t="array" ref="B19">_xlfn.IFS('ProductSprint Backlog'!$F19="", "", AND('ProductSprint Backlog'!$J19&gt;B$2,'ProductSprint Backlog'!$I19&lt;=B$2), 'ProductSprint Backlog'!$F19 / MAX(1, 'ProductSprint Backlog'!$J19-'ProductSprint Backlog'!$I19), AND('ProductSprint Backlog'!$J19=B$2,'ProductSprint Backlog'!$I19=B$2), 'ProductSprint Backlog'!$F19, TRUE, 0)</f>
        <v>0</v>
      </c>
      <c r="C19" s="4" cm="1">
        <f t="array" ref="C19">_xlfn.IFS('ProductSprint Backlog'!$F19="", "", AND('ProductSprint Backlog'!$J19&gt;C$2,'ProductSprint Backlog'!$I19&lt;=C$2), 'ProductSprint Backlog'!$F19 / MAX(1, 'ProductSprint Backlog'!$J19-'ProductSprint Backlog'!$I19), AND('ProductSprint Backlog'!$J19=C$2,'ProductSprint Backlog'!$I19=C$2), 'ProductSprint Backlog'!$F19, TRUE, 0)</f>
        <v>0</v>
      </c>
      <c r="D19" s="4" cm="1">
        <f t="array" ref="D19">_xlfn.IFS('ProductSprint Backlog'!$F19="", "", AND('ProductSprint Backlog'!$J19&gt;D$2,'ProductSprint Backlog'!$I19&lt;=D$2), 'ProductSprint Backlog'!$F19 / MAX(1, 'ProductSprint Backlog'!$J19-'ProductSprint Backlog'!$I19), AND('ProductSprint Backlog'!$J19=D$2,'ProductSprint Backlog'!$I19=D$2), 'ProductSprint Backlog'!$F19, TRUE, 0)</f>
        <v>0</v>
      </c>
      <c r="E19" s="4" cm="1">
        <f t="array" ref="E19">_xlfn.IFS('ProductSprint Backlog'!$F19="", "", AND('ProductSprint Backlog'!$J19&gt;E$2,'ProductSprint Backlog'!$I19&lt;=E$2), 'ProductSprint Backlog'!$F19 / MAX(1, 'ProductSprint Backlog'!$J19-'ProductSprint Backlog'!$I19), AND('ProductSprint Backlog'!$J19=E$2,'ProductSprint Backlog'!$I19=E$2), 'ProductSprint Backlog'!$F19, TRUE, 0)</f>
        <v>0</v>
      </c>
      <c r="F19" s="4" cm="1">
        <f t="array" ref="F19">_xlfn.IFS('ProductSprint Backlog'!$F19="", "", AND('ProductSprint Backlog'!$J19&gt;F$2,'ProductSprint Backlog'!$I19&lt;=F$2), 'ProductSprint Backlog'!$F19 / MAX(1, 'ProductSprint Backlog'!$J19-'ProductSprint Backlog'!$I19), AND('ProductSprint Backlog'!$J19=F$2,'ProductSprint Backlog'!$I19=F$2), 'ProductSprint Backlog'!$F19, TRUE, 0)</f>
        <v>0</v>
      </c>
      <c r="G19" s="4" cm="1">
        <f t="array" ref="G19">_xlfn.IFS('ProductSprint Backlog'!$F19="", "", AND('ProductSprint Backlog'!$J19&gt;G$2,'ProductSprint Backlog'!$I19&lt;=G$2), 'ProductSprint Backlog'!$F19 / MAX(1, 'ProductSprint Backlog'!$J19-'ProductSprint Backlog'!$I19), AND('ProductSprint Backlog'!$J19=G$2,'ProductSprint Backlog'!$I19=G$2), 'ProductSprint Backlog'!$F19, TRUE, 0)</f>
        <v>0</v>
      </c>
      <c r="H19" s="4" cm="1">
        <f t="array" ref="H19">_xlfn.IFS('ProductSprint Backlog'!$F19="", "", AND('ProductSprint Backlog'!$J19&gt;H$2,'ProductSprint Backlog'!$I19&lt;=H$2), 'ProductSprint Backlog'!$F19 / MAX(1, 'ProductSprint Backlog'!$J19-'ProductSprint Backlog'!$I19), AND('ProductSprint Backlog'!$J19=H$2,'ProductSprint Backlog'!$I19=H$2), 'ProductSprint Backlog'!$F19, TRUE, 0)</f>
        <v>0</v>
      </c>
      <c r="I19" s="4" cm="1">
        <f t="array" ref="I19">_xlfn.IFS('ProductSprint Backlog'!$F19="", "", AND('ProductSprint Backlog'!$J19&gt;I$2,'ProductSprint Backlog'!$I19&lt;=I$2), 'ProductSprint Backlog'!$F19 / MAX(1, 'ProductSprint Backlog'!$J19-'ProductSprint Backlog'!$I19), AND('ProductSprint Backlog'!$J19=I$2,'ProductSprint Backlog'!$I19=I$2), 'ProductSprint Backlog'!$F19, TRUE, 0)</f>
        <v>0</v>
      </c>
      <c r="J19" s="4" cm="1">
        <f t="array" ref="J19">_xlfn.IFS('ProductSprint Backlog'!$F19="", "", AND('ProductSprint Backlog'!$J19&gt;J$2,'ProductSprint Backlog'!$I19&lt;=J$2), 'ProductSprint Backlog'!$F19 / MAX(1, 'ProductSprint Backlog'!$J19-'ProductSprint Backlog'!$I19), AND('ProductSprint Backlog'!$J19=J$2,'ProductSprint Backlog'!$I19=J$2), 'ProductSprint Backlog'!$F19, TRUE, 0)</f>
        <v>0</v>
      </c>
      <c r="K19" s="4" cm="1">
        <f t="array" ref="K19">_xlfn.IFS('ProductSprint Backlog'!$F19="", "", AND('ProductSprint Backlog'!$J19&gt;K$2,'ProductSprint Backlog'!$I19&lt;=K$2), 'ProductSprint Backlog'!$F19 / MAX(1, 'ProductSprint Backlog'!$J19-'ProductSprint Backlog'!$I19), AND('ProductSprint Backlog'!$J19=K$2,'ProductSprint Backlog'!$I19=K$2), 'ProductSprint Backlog'!$F19, TRUE, 0)</f>
        <v>0</v>
      </c>
      <c r="L19" s="4" cm="1">
        <f t="array" ref="L19">_xlfn.IFS('ProductSprint Backlog'!$F19="", "", AND('ProductSprint Backlog'!$J19&gt;L$2,'ProductSprint Backlog'!$I19&lt;=L$2), 'ProductSprint Backlog'!$F19 / MAX(1, 'ProductSprint Backlog'!$J19-'ProductSprint Backlog'!$I19), AND('ProductSprint Backlog'!$J19=L$2,'ProductSprint Backlog'!$I19=L$2), 'ProductSprint Backlog'!$F19, TRUE, 0)</f>
        <v>0</v>
      </c>
      <c r="M19" s="4" cm="1">
        <f t="array" ref="M19">_xlfn.IFS('ProductSprint Backlog'!$F19="", "", AND('ProductSprint Backlog'!$J19&gt;M$2,'ProductSprint Backlog'!$I19&lt;=M$2), 'ProductSprint Backlog'!$F19 / MAX(1, 'ProductSprint Backlog'!$J19-'ProductSprint Backlog'!$I19), AND('ProductSprint Backlog'!$J19=M$2,'ProductSprint Backlog'!$I19=M$2), 'ProductSprint Backlog'!$F19, TRUE, 0)</f>
        <v>0</v>
      </c>
      <c r="N19" s="4" cm="1">
        <f t="array" ref="N19">_xlfn.IFS('ProductSprint Backlog'!$F19="", "", AND('ProductSprint Backlog'!$J19&gt;N$2,'ProductSprint Backlog'!$I19&lt;=N$2), 'ProductSprint Backlog'!$F19 / MAX(1, 'ProductSprint Backlog'!$J19-'ProductSprint Backlog'!$I19), AND('ProductSprint Backlog'!$J19=N$2,'ProductSprint Backlog'!$I19=N$2), 'ProductSprint Backlog'!$F19, TRUE, 0)</f>
        <v>0</v>
      </c>
      <c r="O19" s="4" cm="1">
        <f t="array" ref="O19">_xlfn.IFS('ProductSprint Backlog'!$F19="", "", AND('ProductSprint Backlog'!$J19&gt;O$2,'ProductSprint Backlog'!$I19&lt;=O$2), 'ProductSprint Backlog'!$F19 / MAX(1, 'ProductSprint Backlog'!$J19-'ProductSprint Backlog'!$I19), AND('ProductSprint Backlog'!$J19=O$2,'ProductSprint Backlog'!$I19=O$2), 'ProductSprint Backlog'!$F19, TRUE, 0)</f>
        <v>0</v>
      </c>
      <c r="P19" s="4" cm="1">
        <f t="array" ref="P19">_xlfn.IFS('ProductSprint Backlog'!$F19="", "", AND('ProductSprint Backlog'!$J19&gt;P$2,'ProductSprint Backlog'!$I19&lt;=P$2), 'ProductSprint Backlog'!$F19 / MAX(1, 'ProductSprint Backlog'!$J19-'ProductSprint Backlog'!$I19), AND('ProductSprint Backlog'!$J19=P$2,'ProductSprint Backlog'!$I19=P$2), 'ProductSprint Backlog'!$F19, TRUE, 0)</f>
        <v>0</v>
      </c>
      <c r="Q19" s="4" cm="1">
        <f t="array" ref="Q19">_xlfn.IFS('ProductSprint Backlog'!$F19="", "", AND('ProductSprint Backlog'!$J19&gt;Q$2,'ProductSprint Backlog'!$I19&lt;=Q$2), 'ProductSprint Backlog'!$F19 / MAX(1, 'ProductSprint Backlog'!$J19-'ProductSprint Backlog'!$I19), AND('ProductSprint Backlog'!$J19=Q$2,'ProductSprint Backlog'!$I19=Q$2), 'ProductSprint Backlog'!$F19, TRUE, 0)</f>
        <v>0</v>
      </c>
    </row>
    <row r="20" spans="2:17" x14ac:dyDescent="0.2">
      <c r="B20" s="4" cm="1">
        <f t="array" ref="B20">_xlfn.IFS('ProductSprint Backlog'!$F20="", "", AND('ProductSprint Backlog'!$J20&gt;B$2,'ProductSprint Backlog'!$I20&lt;=B$2), 'ProductSprint Backlog'!$F20 / MAX(1, 'ProductSprint Backlog'!$J20-'ProductSprint Backlog'!$I20), AND('ProductSprint Backlog'!$J20=B$2,'ProductSprint Backlog'!$I20=B$2), 'ProductSprint Backlog'!$F20, TRUE, 0)</f>
        <v>0</v>
      </c>
      <c r="C20" s="4" cm="1">
        <f t="array" ref="C20">_xlfn.IFS('ProductSprint Backlog'!$F20="", "", AND('ProductSprint Backlog'!$J20&gt;C$2,'ProductSprint Backlog'!$I20&lt;=C$2), 'ProductSprint Backlog'!$F20 / MAX(1, 'ProductSprint Backlog'!$J20-'ProductSprint Backlog'!$I20), AND('ProductSprint Backlog'!$J20=C$2,'ProductSprint Backlog'!$I20=C$2), 'ProductSprint Backlog'!$F20, TRUE, 0)</f>
        <v>0</v>
      </c>
      <c r="D20" s="4" cm="1">
        <f t="array" ref="D20">_xlfn.IFS('ProductSprint Backlog'!$F20="", "", AND('ProductSprint Backlog'!$J20&gt;D$2,'ProductSprint Backlog'!$I20&lt;=D$2), 'ProductSprint Backlog'!$F20 / MAX(1, 'ProductSprint Backlog'!$J20-'ProductSprint Backlog'!$I20), AND('ProductSprint Backlog'!$J20=D$2,'ProductSprint Backlog'!$I20=D$2), 'ProductSprint Backlog'!$F20, TRUE, 0)</f>
        <v>0</v>
      </c>
      <c r="E20" s="4" cm="1">
        <f t="array" ref="E20">_xlfn.IFS('ProductSprint Backlog'!$F20="", "", AND('ProductSprint Backlog'!$J20&gt;E$2,'ProductSprint Backlog'!$I20&lt;=E$2), 'ProductSprint Backlog'!$F20 / MAX(1, 'ProductSprint Backlog'!$J20-'ProductSprint Backlog'!$I20), AND('ProductSprint Backlog'!$J20=E$2,'ProductSprint Backlog'!$I20=E$2), 'ProductSprint Backlog'!$F20, TRUE, 0)</f>
        <v>0</v>
      </c>
      <c r="F20" s="4" cm="1">
        <f t="array" ref="F20">_xlfn.IFS('ProductSprint Backlog'!$F20="", "", AND('ProductSprint Backlog'!$J20&gt;F$2,'ProductSprint Backlog'!$I20&lt;=F$2), 'ProductSprint Backlog'!$F20 / MAX(1, 'ProductSprint Backlog'!$J20-'ProductSprint Backlog'!$I20), AND('ProductSprint Backlog'!$J20=F$2,'ProductSprint Backlog'!$I20=F$2), 'ProductSprint Backlog'!$F20, TRUE, 0)</f>
        <v>0</v>
      </c>
      <c r="G20" s="4" cm="1">
        <f t="array" ref="G20">_xlfn.IFS('ProductSprint Backlog'!$F20="", "", AND('ProductSprint Backlog'!$J20&gt;G$2,'ProductSprint Backlog'!$I20&lt;=G$2), 'ProductSprint Backlog'!$F20 / MAX(1, 'ProductSprint Backlog'!$J20-'ProductSprint Backlog'!$I20), AND('ProductSprint Backlog'!$J20=G$2,'ProductSprint Backlog'!$I20=G$2), 'ProductSprint Backlog'!$F20, TRUE, 0)</f>
        <v>0</v>
      </c>
      <c r="H20" s="4" cm="1">
        <f t="array" ref="H20">_xlfn.IFS('ProductSprint Backlog'!$F20="", "", AND('ProductSprint Backlog'!$J20&gt;H$2,'ProductSprint Backlog'!$I20&lt;=H$2), 'ProductSprint Backlog'!$F20 / MAX(1, 'ProductSprint Backlog'!$J20-'ProductSprint Backlog'!$I20), AND('ProductSprint Backlog'!$J20=H$2,'ProductSprint Backlog'!$I20=H$2), 'ProductSprint Backlog'!$F20, TRUE, 0)</f>
        <v>0</v>
      </c>
      <c r="I20" s="4" cm="1">
        <f t="array" ref="I20">_xlfn.IFS('ProductSprint Backlog'!$F20="", "", AND('ProductSprint Backlog'!$J20&gt;I$2,'ProductSprint Backlog'!$I20&lt;=I$2), 'ProductSprint Backlog'!$F20 / MAX(1, 'ProductSprint Backlog'!$J20-'ProductSprint Backlog'!$I20), AND('ProductSprint Backlog'!$J20=I$2,'ProductSprint Backlog'!$I20=I$2), 'ProductSprint Backlog'!$F20, TRUE, 0)</f>
        <v>0</v>
      </c>
      <c r="J20" s="4" cm="1">
        <f t="array" ref="J20">_xlfn.IFS('ProductSprint Backlog'!$F20="", "", AND('ProductSprint Backlog'!$J20&gt;J$2,'ProductSprint Backlog'!$I20&lt;=J$2), 'ProductSprint Backlog'!$F20 / MAX(1, 'ProductSprint Backlog'!$J20-'ProductSprint Backlog'!$I20), AND('ProductSprint Backlog'!$J20=J$2,'ProductSprint Backlog'!$I20=J$2), 'ProductSprint Backlog'!$F20, TRUE, 0)</f>
        <v>0</v>
      </c>
      <c r="K20" s="4" cm="1">
        <f t="array" ref="K20">_xlfn.IFS('ProductSprint Backlog'!$F20="", "", AND('ProductSprint Backlog'!$J20&gt;K$2,'ProductSprint Backlog'!$I20&lt;=K$2), 'ProductSprint Backlog'!$F20 / MAX(1, 'ProductSprint Backlog'!$J20-'ProductSprint Backlog'!$I20), AND('ProductSprint Backlog'!$J20=K$2,'ProductSprint Backlog'!$I20=K$2), 'ProductSprint Backlog'!$F20, TRUE, 0)</f>
        <v>0</v>
      </c>
      <c r="L20" s="4" cm="1">
        <f t="array" ref="L20">_xlfn.IFS('ProductSprint Backlog'!$F20="", "", AND('ProductSprint Backlog'!$J20&gt;L$2,'ProductSprint Backlog'!$I20&lt;=L$2), 'ProductSprint Backlog'!$F20 / MAX(1, 'ProductSprint Backlog'!$J20-'ProductSprint Backlog'!$I20), AND('ProductSprint Backlog'!$J20=L$2,'ProductSprint Backlog'!$I20=L$2), 'ProductSprint Backlog'!$F20, TRUE, 0)</f>
        <v>0</v>
      </c>
      <c r="M20" s="4" cm="1">
        <f t="array" ref="M20">_xlfn.IFS('ProductSprint Backlog'!$F20="", "", AND('ProductSprint Backlog'!$J20&gt;M$2,'ProductSprint Backlog'!$I20&lt;=M$2), 'ProductSprint Backlog'!$F20 / MAX(1, 'ProductSprint Backlog'!$J20-'ProductSprint Backlog'!$I20), AND('ProductSprint Backlog'!$J20=M$2,'ProductSprint Backlog'!$I20=M$2), 'ProductSprint Backlog'!$F20, TRUE, 0)</f>
        <v>0</v>
      </c>
      <c r="N20" s="4" cm="1">
        <f t="array" ref="N20">_xlfn.IFS('ProductSprint Backlog'!$F20="", "", AND('ProductSprint Backlog'!$J20&gt;N$2,'ProductSprint Backlog'!$I20&lt;=N$2), 'ProductSprint Backlog'!$F20 / MAX(1, 'ProductSprint Backlog'!$J20-'ProductSprint Backlog'!$I20), AND('ProductSprint Backlog'!$J20=N$2,'ProductSprint Backlog'!$I20=N$2), 'ProductSprint Backlog'!$F20, TRUE, 0)</f>
        <v>0</v>
      </c>
      <c r="O20" s="4" cm="1">
        <f t="array" ref="O20">_xlfn.IFS('ProductSprint Backlog'!$F20="", "", AND('ProductSprint Backlog'!$J20&gt;O$2,'ProductSprint Backlog'!$I20&lt;=O$2), 'ProductSprint Backlog'!$F20 / MAX(1, 'ProductSprint Backlog'!$J20-'ProductSprint Backlog'!$I20), AND('ProductSprint Backlog'!$J20=O$2,'ProductSprint Backlog'!$I20=O$2), 'ProductSprint Backlog'!$F20, TRUE, 0)</f>
        <v>0</v>
      </c>
      <c r="P20" s="4" cm="1">
        <f t="array" ref="P20">_xlfn.IFS('ProductSprint Backlog'!$F20="", "", AND('ProductSprint Backlog'!$J20&gt;P$2,'ProductSprint Backlog'!$I20&lt;=P$2), 'ProductSprint Backlog'!$F20 / MAX(1, 'ProductSprint Backlog'!$J20-'ProductSprint Backlog'!$I20), AND('ProductSprint Backlog'!$J20=P$2,'ProductSprint Backlog'!$I20=P$2), 'ProductSprint Backlog'!$F20, TRUE, 0)</f>
        <v>0</v>
      </c>
      <c r="Q20" s="4" cm="1">
        <f t="array" ref="Q20">_xlfn.IFS('ProductSprint Backlog'!$F20="", "", AND('ProductSprint Backlog'!$J20&gt;Q$2,'ProductSprint Backlog'!$I20&lt;=Q$2), 'ProductSprint Backlog'!$F20 / MAX(1, 'ProductSprint Backlog'!$J20-'ProductSprint Backlog'!$I20), AND('ProductSprint Backlog'!$J20=Q$2,'ProductSprint Backlog'!$I20=Q$2), 'ProductSprint Backlog'!$F20, TRUE, 0)</f>
        <v>0</v>
      </c>
    </row>
    <row r="21" spans="2:17" x14ac:dyDescent="0.2">
      <c r="B21" s="4" cm="1">
        <f t="array" ref="B21">_xlfn.IFS('ProductSprint Backlog'!$F21="", "", AND('ProductSprint Backlog'!$J21&gt;B$2,'ProductSprint Backlog'!$I21&lt;=B$2), 'ProductSprint Backlog'!$F21 / MAX(1, 'ProductSprint Backlog'!$J21-'ProductSprint Backlog'!$I21), AND('ProductSprint Backlog'!$J21=B$2,'ProductSprint Backlog'!$I21=B$2), 'ProductSprint Backlog'!$F21, TRUE, 0)</f>
        <v>0</v>
      </c>
      <c r="C21" s="4" cm="1">
        <f t="array" ref="C21">_xlfn.IFS('ProductSprint Backlog'!$F21="", "", AND('ProductSprint Backlog'!$J21&gt;C$2,'ProductSprint Backlog'!$I21&lt;=C$2), 'ProductSprint Backlog'!$F21 / MAX(1, 'ProductSprint Backlog'!$J21-'ProductSprint Backlog'!$I21), AND('ProductSprint Backlog'!$J21=C$2,'ProductSprint Backlog'!$I21=C$2), 'ProductSprint Backlog'!$F21, TRUE, 0)</f>
        <v>0</v>
      </c>
      <c r="D21" s="4" cm="1">
        <f t="array" ref="D21">_xlfn.IFS('ProductSprint Backlog'!$F21="", "", AND('ProductSprint Backlog'!$J21&gt;D$2,'ProductSprint Backlog'!$I21&lt;=D$2), 'ProductSprint Backlog'!$F21 / MAX(1, 'ProductSprint Backlog'!$J21-'ProductSprint Backlog'!$I21), AND('ProductSprint Backlog'!$J21=D$2,'ProductSprint Backlog'!$I21=D$2), 'ProductSprint Backlog'!$F21, TRUE, 0)</f>
        <v>0</v>
      </c>
      <c r="E21" s="4" cm="1">
        <f t="array" ref="E21">_xlfn.IFS('ProductSprint Backlog'!$F21="", "", AND('ProductSprint Backlog'!$J21&gt;E$2,'ProductSprint Backlog'!$I21&lt;=E$2), 'ProductSprint Backlog'!$F21 / MAX(1, 'ProductSprint Backlog'!$J21-'ProductSprint Backlog'!$I21), AND('ProductSprint Backlog'!$J21=E$2,'ProductSprint Backlog'!$I21=E$2), 'ProductSprint Backlog'!$F21, TRUE, 0)</f>
        <v>0</v>
      </c>
      <c r="F21" s="4" cm="1">
        <f t="array" ref="F21">_xlfn.IFS('ProductSprint Backlog'!$F21="", "", AND('ProductSprint Backlog'!$J21&gt;F$2,'ProductSprint Backlog'!$I21&lt;=F$2), 'ProductSprint Backlog'!$F21 / MAX(1, 'ProductSprint Backlog'!$J21-'ProductSprint Backlog'!$I21), AND('ProductSprint Backlog'!$J21=F$2,'ProductSprint Backlog'!$I21=F$2), 'ProductSprint Backlog'!$F21, TRUE, 0)</f>
        <v>0</v>
      </c>
      <c r="G21" s="4" cm="1">
        <f t="array" ref="G21">_xlfn.IFS('ProductSprint Backlog'!$F21="", "", AND('ProductSprint Backlog'!$J21&gt;G$2,'ProductSprint Backlog'!$I21&lt;=G$2), 'ProductSprint Backlog'!$F21 / MAX(1, 'ProductSprint Backlog'!$J21-'ProductSprint Backlog'!$I21), AND('ProductSprint Backlog'!$J21=G$2,'ProductSprint Backlog'!$I21=G$2), 'ProductSprint Backlog'!$F21, TRUE, 0)</f>
        <v>0</v>
      </c>
      <c r="H21" s="4" cm="1">
        <f t="array" ref="H21">_xlfn.IFS('ProductSprint Backlog'!$F21="", "", AND('ProductSprint Backlog'!$J21&gt;H$2,'ProductSprint Backlog'!$I21&lt;=H$2), 'ProductSprint Backlog'!$F21 / MAX(1, 'ProductSprint Backlog'!$J21-'ProductSprint Backlog'!$I21), AND('ProductSprint Backlog'!$J21=H$2,'ProductSprint Backlog'!$I21=H$2), 'ProductSprint Backlog'!$F21, TRUE, 0)</f>
        <v>0</v>
      </c>
      <c r="I21" s="4" cm="1">
        <f t="array" ref="I21">_xlfn.IFS('ProductSprint Backlog'!$F21="", "", AND('ProductSprint Backlog'!$J21&gt;I$2,'ProductSprint Backlog'!$I21&lt;=I$2), 'ProductSprint Backlog'!$F21 / MAX(1, 'ProductSprint Backlog'!$J21-'ProductSprint Backlog'!$I21), AND('ProductSprint Backlog'!$J21=I$2,'ProductSprint Backlog'!$I21=I$2), 'ProductSprint Backlog'!$F21, TRUE, 0)</f>
        <v>0</v>
      </c>
      <c r="J21" s="4" cm="1">
        <f t="array" ref="J21">_xlfn.IFS('ProductSprint Backlog'!$F21="", "", AND('ProductSprint Backlog'!$J21&gt;J$2,'ProductSprint Backlog'!$I21&lt;=J$2), 'ProductSprint Backlog'!$F21 / MAX(1, 'ProductSprint Backlog'!$J21-'ProductSprint Backlog'!$I21), AND('ProductSprint Backlog'!$J21=J$2,'ProductSprint Backlog'!$I21=J$2), 'ProductSprint Backlog'!$F21, TRUE, 0)</f>
        <v>0</v>
      </c>
      <c r="K21" s="4" cm="1">
        <f t="array" ref="K21">_xlfn.IFS('ProductSprint Backlog'!$F21="", "", AND('ProductSprint Backlog'!$J21&gt;K$2,'ProductSprint Backlog'!$I21&lt;=K$2), 'ProductSprint Backlog'!$F21 / MAX(1, 'ProductSprint Backlog'!$J21-'ProductSprint Backlog'!$I21), AND('ProductSprint Backlog'!$J21=K$2,'ProductSprint Backlog'!$I21=K$2), 'ProductSprint Backlog'!$F21, TRUE, 0)</f>
        <v>0</v>
      </c>
      <c r="L21" s="4" cm="1">
        <f t="array" ref="L21">_xlfn.IFS('ProductSprint Backlog'!$F21="", "", AND('ProductSprint Backlog'!$J21&gt;L$2,'ProductSprint Backlog'!$I21&lt;=L$2), 'ProductSprint Backlog'!$F21 / MAX(1, 'ProductSprint Backlog'!$J21-'ProductSprint Backlog'!$I21), AND('ProductSprint Backlog'!$J21=L$2,'ProductSprint Backlog'!$I21=L$2), 'ProductSprint Backlog'!$F21, TRUE, 0)</f>
        <v>0</v>
      </c>
      <c r="M21" s="4" cm="1">
        <f t="array" ref="M21">_xlfn.IFS('ProductSprint Backlog'!$F21="", "", AND('ProductSprint Backlog'!$J21&gt;M$2,'ProductSprint Backlog'!$I21&lt;=M$2), 'ProductSprint Backlog'!$F21 / MAX(1, 'ProductSprint Backlog'!$J21-'ProductSprint Backlog'!$I21), AND('ProductSprint Backlog'!$J21=M$2,'ProductSprint Backlog'!$I21=M$2), 'ProductSprint Backlog'!$F21, TRUE, 0)</f>
        <v>0</v>
      </c>
      <c r="N21" s="4" cm="1">
        <f t="array" ref="N21">_xlfn.IFS('ProductSprint Backlog'!$F21="", "", AND('ProductSprint Backlog'!$J21&gt;N$2,'ProductSprint Backlog'!$I21&lt;=N$2), 'ProductSprint Backlog'!$F21 / MAX(1, 'ProductSprint Backlog'!$J21-'ProductSprint Backlog'!$I21), AND('ProductSprint Backlog'!$J21=N$2,'ProductSprint Backlog'!$I21=N$2), 'ProductSprint Backlog'!$F21, TRUE, 0)</f>
        <v>0</v>
      </c>
      <c r="O21" s="4" cm="1">
        <f t="array" ref="O21">_xlfn.IFS('ProductSprint Backlog'!$F21="", "", AND('ProductSprint Backlog'!$J21&gt;O$2,'ProductSprint Backlog'!$I21&lt;=O$2), 'ProductSprint Backlog'!$F21 / MAX(1, 'ProductSprint Backlog'!$J21-'ProductSprint Backlog'!$I21), AND('ProductSprint Backlog'!$J21=O$2,'ProductSprint Backlog'!$I21=O$2), 'ProductSprint Backlog'!$F21, TRUE, 0)</f>
        <v>0</v>
      </c>
      <c r="P21" s="4" cm="1">
        <f t="array" ref="P21">_xlfn.IFS('ProductSprint Backlog'!$F21="", "", AND('ProductSprint Backlog'!$J21&gt;P$2,'ProductSprint Backlog'!$I21&lt;=P$2), 'ProductSprint Backlog'!$F21 / MAX(1, 'ProductSprint Backlog'!$J21-'ProductSprint Backlog'!$I21), AND('ProductSprint Backlog'!$J21=P$2,'ProductSprint Backlog'!$I21=P$2), 'ProductSprint Backlog'!$F21, TRUE, 0)</f>
        <v>0</v>
      </c>
      <c r="Q21" s="4" cm="1">
        <f t="array" ref="Q21">_xlfn.IFS('ProductSprint Backlog'!$F21="", "", AND('ProductSprint Backlog'!$J21&gt;Q$2,'ProductSprint Backlog'!$I21&lt;=Q$2), 'ProductSprint Backlog'!$F21 / MAX(1, 'ProductSprint Backlog'!$J21-'ProductSprint Backlog'!$I21), AND('ProductSprint Backlog'!$J21=Q$2,'ProductSprint Backlog'!$I21=Q$2), 'ProductSprint Backlog'!$F21, TRUE, 0)</f>
        <v>0</v>
      </c>
    </row>
    <row r="22" spans="2:17" x14ac:dyDescent="0.2">
      <c r="B22" s="4" cm="1">
        <f t="array" ref="B22">_xlfn.IFS('ProductSprint Backlog'!$F22="", "", AND('ProductSprint Backlog'!$J22&gt;B$2,'ProductSprint Backlog'!$I22&lt;=B$2), 'ProductSprint Backlog'!$F22 / MAX(1, 'ProductSprint Backlog'!$J22-'ProductSprint Backlog'!$I22), AND('ProductSprint Backlog'!$J22=B$2,'ProductSprint Backlog'!$I22=B$2), 'ProductSprint Backlog'!$F22, TRUE, 0)</f>
        <v>0</v>
      </c>
      <c r="C22" s="4" cm="1">
        <f t="array" ref="C22">_xlfn.IFS('ProductSprint Backlog'!$F22="", "", AND('ProductSprint Backlog'!$J22&gt;C$2,'ProductSprint Backlog'!$I22&lt;=C$2), 'ProductSprint Backlog'!$F22 / MAX(1, 'ProductSprint Backlog'!$J22-'ProductSprint Backlog'!$I22), AND('ProductSprint Backlog'!$J22=C$2,'ProductSprint Backlog'!$I22=C$2), 'ProductSprint Backlog'!$F22, TRUE, 0)</f>
        <v>0</v>
      </c>
      <c r="D22" s="4" cm="1">
        <f t="array" ref="D22">_xlfn.IFS('ProductSprint Backlog'!$F22="", "", AND('ProductSprint Backlog'!$J22&gt;D$2,'ProductSprint Backlog'!$I22&lt;=D$2), 'ProductSprint Backlog'!$F22 / MAX(1, 'ProductSprint Backlog'!$J22-'ProductSprint Backlog'!$I22), AND('ProductSprint Backlog'!$J22=D$2,'ProductSprint Backlog'!$I22=D$2), 'ProductSprint Backlog'!$F22, TRUE, 0)</f>
        <v>0</v>
      </c>
      <c r="E22" s="4" cm="1">
        <f t="array" ref="E22">_xlfn.IFS('ProductSprint Backlog'!$F22="", "", AND('ProductSprint Backlog'!$J22&gt;E$2,'ProductSprint Backlog'!$I22&lt;=E$2), 'ProductSprint Backlog'!$F22 / MAX(1, 'ProductSprint Backlog'!$J22-'ProductSprint Backlog'!$I22), AND('ProductSprint Backlog'!$J22=E$2,'ProductSprint Backlog'!$I22=E$2), 'ProductSprint Backlog'!$F22, TRUE, 0)</f>
        <v>0</v>
      </c>
      <c r="F22" s="4" cm="1">
        <f t="array" ref="F22">_xlfn.IFS('ProductSprint Backlog'!$F22="", "", AND('ProductSprint Backlog'!$J22&gt;F$2,'ProductSprint Backlog'!$I22&lt;=F$2), 'ProductSprint Backlog'!$F22 / MAX(1, 'ProductSprint Backlog'!$J22-'ProductSprint Backlog'!$I22), AND('ProductSprint Backlog'!$J22=F$2,'ProductSprint Backlog'!$I22=F$2), 'ProductSprint Backlog'!$F22, TRUE, 0)</f>
        <v>0</v>
      </c>
      <c r="G22" s="4" cm="1">
        <f t="array" ref="G22">_xlfn.IFS('ProductSprint Backlog'!$F22="", "", AND('ProductSprint Backlog'!$J22&gt;G$2,'ProductSprint Backlog'!$I22&lt;=G$2), 'ProductSprint Backlog'!$F22 / MAX(1, 'ProductSprint Backlog'!$J22-'ProductSprint Backlog'!$I22), AND('ProductSprint Backlog'!$J22=G$2,'ProductSprint Backlog'!$I22=G$2), 'ProductSprint Backlog'!$F22, TRUE, 0)</f>
        <v>0</v>
      </c>
      <c r="H22" s="4" cm="1">
        <f t="array" ref="H22">_xlfn.IFS('ProductSprint Backlog'!$F22="", "", AND('ProductSprint Backlog'!$J22&gt;H$2,'ProductSprint Backlog'!$I22&lt;=H$2), 'ProductSprint Backlog'!$F22 / MAX(1, 'ProductSprint Backlog'!$J22-'ProductSprint Backlog'!$I22), AND('ProductSprint Backlog'!$J22=H$2,'ProductSprint Backlog'!$I22=H$2), 'ProductSprint Backlog'!$F22, TRUE, 0)</f>
        <v>0</v>
      </c>
      <c r="I22" s="4" cm="1">
        <f t="array" ref="I22">_xlfn.IFS('ProductSprint Backlog'!$F22="", "", AND('ProductSprint Backlog'!$J22&gt;I$2,'ProductSprint Backlog'!$I22&lt;=I$2), 'ProductSprint Backlog'!$F22 / MAX(1, 'ProductSprint Backlog'!$J22-'ProductSprint Backlog'!$I22), AND('ProductSprint Backlog'!$J22=I$2,'ProductSprint Backlog'!$I22=I$2), 'ProductSprint Backlog'!$F22, TRUE, 0)</f>
        <v>0</v>
      </c>
      <c r="J22" s="4" cm="1">
        <f t="array" ref="J22">_xlfn.IFS('ProductSprint Backlog'!$F22="", "", AND('ProductSprint Backlog'!$J22&gt;J$2,'ProductSprint Backlog'!$I22&lt;=J$2), 'ProductSprint Backlog'!$F22 / MAX(1, 'ProductSprint Backlog'!$J22-'ProductSprint Backlog'!$I22), AND('ProductSprint Backlog'!$J22=J$2,'ProductSprint Backlog'!$I22=J$2), 'ProductSprint Backlog'!$F22, TRUE, 0)</f>
        <v>0</v>
      </c>
      <c r="K22" s="4" cm="1">
        <f t="array" ref="K22">_xlfn.IFS('ProductSprint Backlog'!$F22="", "", AND('ProductSprint Backlog'!$J22&gt;K$2,'ProductSprint Backlog'!$I22&lt;=K$2), 'ProductSprint Backlog'!$F22 / MAX(1, 'ProductSprint Backlog'!$J22-'ProductSprint Backlog'!$I22), AND('ProductSprint Backlog'!$J22=K$2,'ProductSprint Backlog'!$I22=K$2), 'ProductSprint Backlog'!$F22, TRUE, 0)</f>
        <v>0</v>
      </c>
      <c r="L22" s="4" cm="1">
        <f t="array" ref="L22">_xlfn.IFS('ProductSprint Backlog'!$F22="", "", AND('ProductSprint Backlog'!$J22&gt;L$2,'ProductSprint Backlog'!$I22&lt;=L$2), 'ProductSprint Backlog'!$F22 / MAX(1, 'ProductSprint Backlog'!$J22-'ProductSprint Backlog'!$I22), AND('ProductSprint Backlog'!$J22=L$2,'ProductSprint Backlog'!$I22=L$2), 'ProductSprint Backlog'!$F22, TRUE, 0)</f>
        <v>0</v>
      </c>
      <c r="M22" s="4" cm="1">
        <f t="array" ref="M22">_xlfn.IFS('ProductSprint Backlog'!$F22="", "", AND('ProductSprint Backlog'!$J22&gt;M$2,'ProductSprint Backlog'!$I22&lt;=M$2), 'ProductSprint Backlog'!$F22 / MAX(1, 'ProductSprint Backlog'!$J22-'ProductSprint Backlog'!$I22), AND('ProductSprint Backlog'!$J22=M$2,'ProductSprint Backlog'!$I22=M$2), 'ProductSprint Backlog'!$F22, TRUE, 0)</f>
        <v>0</v>
      </c>
      <c r="N22" s="4" cm="1">
        <f t="array" ref="N22">_xlfn.IFS('ProductSprint Backlog'!$F22="", "", AND('ProductSprint Backlog'!$J22&gt;N$2,'ProductSprint Backlog'!$I22&lt;=N$2), 'ProductSprint Backlog'!$F22 / MAX(1, 'ProductSprint Backlog'!$J22-'ProductSprint Backlog'!$I22), AND('ProductSprint Backlog'!$J22=N$2,'ProductSprint Backlog'!$I22=N$2), 'ProductSprint Backlog'!$F22, TRUE, 0)</f>
        <v>0</v>
      </c>
      <c r="O22" s="4" cm="1">
        <f t="array" ref="O22">_xlfn.IFS('ProductSprint Backlog'!$F22="", "", AND('ProductSprint Backlog'!$J22&gt;O$2,'ProductSprint Backlog'!$I22&lt;=O$2), 'ProductSprint Backlog'!$F22 / MAX(1, 'ProductSprint Backlog'!$J22-'ProductSprint Backlog'!$I22), AND('ProductSprint Backlog'!$J22=O$2,'ProductSprint Backlog'!$I22=O$2), 'ProductSprint Backlog'!$F22, TRUE, 0)</f>
        <v>0</v>
      </c>
      <c r="P22" s="4" cm="1">
        <f t="array" ref="P22">_xlfn.IFS('ProductSprint Backlog'!$F22="", "", AND('ProductSprint Backlog'!$J22&gt;P$2,'ProductSprint Backlog'!$I22&lt;=P$2), 'ProductSprint Backlog'!$F22 / MAX(1, 'ProductSprint Backlog'!$J22-'ProductSprint Backlog'!$I22), AND('ProductSprint Backlog'!$J22=P$2,'ProductSprint Backlog'!$I22=P$2), 'ProductSprint Backlog'!$F22, TRUE, 0)</f>
        <v>0</v>
      </c>
      <c r="Q22" s="4" cm="1">
        <f t="array" ref="Q22">_xlfn.IFS('ProductSprint Backlog'!$F22="", "", AND('ProductSprint Backlog'!$J22&gt;Q$2,'ProductSprint Backlog'!$I22&lt;=Q$2), 'ProductSprint Backlog'!$F22 / MAX(1, 'ProductSprint Backlog'!$J22-'ProductSprint Backlog'!$I22), AND('ProductSprint Backlog'!$J22=Q$2,'ProductSprint Backlog'!$I22=Q$2), 'ProductSprint Backlog'!$F22, TRUE, 0)</f>
        <v>0</v>
      </c>
    </row>
    <row r="23" spans="2:17" x14ac:dyDescent="0.2">
      <c r="B23" s="4" t="str" cm="1">
        <f t="array" ref="B23">_xlfn.IFS('ProductSprint Backlog'!$F23="", "", AND('ProductSprint Backlog'!$J23&gt;B$2,'ProductSprint Backlog'!$I23&lt;=B$2), 'ProductSprint Backlog'!$F23 / MAX(1, 'ProductSprint Backlog'!$J23-'ProductSprint Backlog'!$I23), AND('ProductSprint Backlog'!$J23=B$2,'ProductSprint Backlog'!$I23=B$2), 'ProductSprint Backlog'!$F23, TRUE, 0)</f>
        <v/>
      </c>
      <c r="C23" s="4" t="str" cm="1">
        <f t="array" ref="C23">_xlfn.IFS('ProductSprint Backlog'!$F23="", "", AND('ProductSprint Backlog'!$J23&gt;C$2,'ProductSprint Backlog'!$I23&lt;=C$2), 'ProductSprint Backlog'!$F23 / MAX(1, 'ProductSprint Backlog'!$J23-'ProductSprint Backlog'!$I23), AND('ProductSprint Backlog'!$J23=C$2,'ProductSprint Backlog'!$I23=C$2), 'ProductSprint Backlog'!$F23, TRUE, 0)</f>
        <v/>
      </c>
      <c r="D23" s="4" t="str" cm="1">
        <f t="array" ref="D23">_xlfn.IFS('ProductSprint Backlog'!$F23="", "", AND('ProductSprint Backlog'!$J23&gt;D$2,'ProductSprint Backlog'!$I23&lt;=D$2), 'ProductSprint Backlog'!$F23 / MAX(1, 'ProductSprint Backlog'!$J23-'ProductSprint Backlog'!$I23), AND('ProductSprint Backlog'!$J23=D$2,'ProductSprint Backlog'!$I23=D$2), 'ProductSprint Backlog'!$F23, TRUE, 0)</f>
        <v/>
      </c>
      <c r="E23" s="4" t="str" cm="1">
        <f t="array" ref="E23">_xlfn.IFS('ProductSprint Backlog'!$F23="", "", AND('ProductSprint Backlog'!$J23&gt;E$2,'ProductSprint Backlog'!$I23&lt;=E$2), 'ProductSprint Backlog'!$F23 / MAX(1, 'ProductSprint Backlog'!$J23-'ProductSprint Backlog'!$I23), AND('ProductSprint Backlog'!$J23=E$2,'ProductSprint Backlog'!$I23=E$2), 'ProductSprint Backlog'!$F23, TRUE, 0)</f>
        <v/>
      </c>
      <c r="F23" s="4" t="str" cm="1">
        <f t="array" ref="F23">_xlfn.IFS('ProductSprint Backlog'!$F23="", "", AND('ProductSprint Backlog'!$J23&gt;F$2,'ProductSprint Backlog'!$I23&lt;=F$2), 'ProductSprint Backlog'!$F23 / MAX(1, 'ProductSprint Backlog'!$J23-'ProductSprint Backlog'!$I23), AND('ProductSprint Backlog'!$J23=F$2,'ProductSprint Backlog'!$I23=F$2), 'ProductSprint Backlog'!$F23, TRUE, 0)</f>
        <v/>
      </c>
      <c r="G23" s="4" t="str" cm="1">
        <f t="array" ref="G23">_xlfn.IFS('ProductSprint Backlog'!$F23="", "", AND('ProductSprint Backlog'!$J23&gt;G$2,'ProductSprint Backlog'!$I23&lt;=G$2), 'ProductSprint Backlog'!$F23 / MAX(1, 'ProductSprint Backlog'!$J23-'ProductSprint Backlog'!$I23), AND('ProductSprint Backlog'!$J23=G$2,'ProductSprint Backlog'!$I23=G$2), 'ProductSprint Backlog'!$F23, TRUE, 0)</f>
        <v/>
      </c>
      <c r="H23" s="4" t="str" cm="1">
        <f t="array" ref="H23">_xlfn.IFS('ProductSprint Backlog'!$F23="", "", AND('ProductSprint Backlog'!$J23&gt;H$2,'ProductSprint Backlog'!$I23&lt;=H$2), 'ProductSprint Backlog'!$F23 / MAX(1, 'ProductSprint Backlog'!$J23-'ProductSprint Backlog'!$I23), AND('ProductSprint Backlog'!$J23=H$2,'ProductSprint Backlog'!$I23=H$2), 'ProductSprint Backlog'!$F23, TRUE, 0)</f>
        <v/>
      </c>
      <c r="I23" s="4" t="str" cm="1">
        <f t="array" ref="I23">_xlfn.IFS('ProductSprint Backlog'!$F23="", "", AND('ProductSprint Backlog'!$J23&gt;I$2,'ProductSprint Backlog'!$I23&lt;=I$2), 'ProductSprint Backlog'!$F23 / MAX(1, 'ProductSprint Backlog'!$J23-'ProductSprint Backlog'!$I23), AND('ProductSprint Backlog'!$J23=I$2,'ProductSprint Backlog'!$I23=I$2), 'ProductSprint Backlog'!$F23, TRUE, 0)</f>
        <v/>
      </c>
      <c r="J23" s="4" t="str" cm="1">
        <f t="array" ref="J23">_xlfn.IFS('ProductSprint Backlog'!$F23="", "", AND('ProductSprint Backlog'!$J23&gt;J$2,'ProductSprint Backlog'!$I23&lt;=J$2), 'ProductSprint Backlog'!$F23 / MAX(1, 'ProductSprint Backlog'!$J23-'ProductSprint Backlog'!$I23), AND('ProductSprint Backlog'!$J23=J$2,'ProductSprint Backlog'!$I23=J$2), 'ProductSprint Backlog'!$F23, TRUE, 0)</f>
        <v/>
      </c>
      <c r="K23" s="4" t="str" cm="1">
        <f t="array" ref="K23">_xlfn.IFS('ProductSprint Backlog'!$F23="", "", AND('ProductSprint Backlog'!$J23&gt;K$2,'ProductSprint Backlog'!$I23&lt;=K$2), 'ProductSprint Backlog'!$F23 / MAX(1, 'ProductSprint Backlog'!$J23-'ProductSprint Backlog'!$I23), AND('ProductSprint Backlog'!$J23=K$2,'ProductSprint Backlog'!$I23=K$2), 'ProductSprint Backlog'!$F23, TRUE, 0)</f>
        <v/>
      </c>
      <c r="L23" s="4" t="str" cm="1">
        <f t="array" ref="L23">_xlfn.IFS('ProductSprint Backlog'!$F23="", "", AND('ProductSprint Backlog'!$J23&gt;L$2,'ProductSprint Backlog'!$I23&lt;=L$2), 'ProductSprint Backlog'!$F23 / MAX(1, 'ProductSprint Backlog'!$J23-'ProductSprint Backlog'!$I23), AND('ProductSprint Backlog'!$J23=L$2,'ProductSprint Backlog'!$I23=L$2), 'ProductSprint Backlog'!$F23, TRUE, 0)</f>
        <v/>
      </c>
      <c r="M23" s="4" t="str" cm="1">
        <f t="array" ref="M23">_xlfn.IFS('ProductSprint Backlog'!$F23="", "", AND('ProductSprint Backlog'!$J23&gt;M$2,'ProductSprint Backlog'!$I23&lt;=M$2), 'ProductSprint Backlog'!$F23 / MAX(1, 'ProductSprint Backlog'!$J23-'ProductSprint Backlog'!$I23), AND('ProductSprint Backlog'!$J23=M$2,'ProductSprint Backlog'!$I23=M$2), 'ProductSprint Backlog'!$F23, TRUE, 0)</f>
        <v/>
      </c>
      <c r="N23" s="4" t="str" cm="1">
        <f t="array" ref="N23">_xlfn.IFS('ProductSprint Backlog'!$F23="", "", AND('ProductSprint Backlog'!$J23&gt;N$2,'ProductSprint Backlog'!$I23&lt;=N$2), 'ProductSprint Backlog'!$F23 / MAX(1, 'ProductSprint Backlog'!$J23-'ProductSprint Backlog'!$I23), AND('ProductSprint Backlog'!$J23=N$2,'ProductSprint Backlog'!$I23=N$2), 'ProductSprint Backlog'!$F23, TRUE, 0)</f>
        <v/>
      </c>
      <c r="O23" s="4" t="str" cm="1">
        <f t="array" ref="O23">_xlfn.IFS('ProductSprint Backlog'!$F23="", "", AND('ProductSprint Backlog'!$J23&gt;O$2,'ProductSprint Backlog'!$I23&lt;=O$2), 'ProductSprint Backlog'!$F23 / MAX(1, 'ProductSprint Backlog'!$J23-'ProductSprint Backlog'!$I23), AND('ProductSprint Backlog'!$J23=O$2,'ProductSprint Backlog'!$I23=O$2), 'ProductSprint Backlog'!$F23, TRUE, 0)</f>
        <v/>
      </c>
      <c r="P23" s="4" t="str" cm="1">
        <f t="array" ref="P23">_xlfn.IFS('ProductSprint Backlog'!$F23="", "", AND('ProductSprint Backlog'!$J23&gt;P$2,'ProductSprint Backlog'!$I23&lt;=P$2), 'ProductSprint Backlog'!$F23 / MAX(1, 'ProductSprint Backlog'!$J23-'ProductSprint Backlog'!$I23), AND('ProductSprint Backlog'!$J23=P$2,'ProductSprint Backlog'!$I23=P$2), 'ProductSprint Backlog'!$F23, TRUE, 0)</f>
        <v/>
      </c>
      <c r="Q23" s="4" t="str" cm="1">
        <f t="array" ref="Q23">_xlfn.IFS('ProductSprint Backlog'!$F23="", "", AND('ProductSprint Backlog'!$J23&gt;Q$2,'ProductSprint Backlog'!$I23&lt;=Q$2), 'ProductSprint Backlog'!$F23 / MAX(1, 'ProductSprint Backlog'!$J23-'ProductSprint Backlog'!$I23), AND('ProductSprint Backlog'!$J23=Q$2,'ProductSprint Backlog'!$I23=Q$2), 'ProductSprint Backlog'!$F23, TRUE, 0)</f>
        <v/>
      </c>
    </row>
    <row r="24" spans="2:17" x14ac:dyDescent="0.2">
      <c r="B24" s="4" cm="1">
        <f t="array" ref="B24">_xlfn.IFS('ProductSprint Backlog'!$F24="", "", AND('ProductSprint Backlog'!$J24&gt;B$2,'ProductSprint Backlog'!$I24&lt;=B$2), 'ProductSprint Backlog'!$F24 / MAX(1, 'ProductSprint Backlog'!$J24-'ProductSprint Backlog'!$I24), AND('ProductSprint Backlog'!$J24=B$2,'ProductSprint Backlog'!$I24=B$2), 'ProductSprint Backlog'!$F24, TRUE, 0)</f>
        <v>0</v>
      </c>
      <c r="C24" s="4" cm="1">
        <f t="array" ref="C24">_xlfn.IFS('ProductSprint Backlog'!$F24="", "", AND('ProductSprint Backlog'!$J24&gt;C$2,'ProductSprint Backlog'!$I24&lt;=C$2), 'ProductSprint Backlog'!$F24 / MAX(1, 'ProductSprint Backlog'!$J24-'ProductSprint Backlog'!$I24), AND('ProductSprint Backlog'!$J24=C$2,'ProductSprint Backlog'!$I24=C$2), 'ProductSprint Backlog'!$F24, TRUE, 0)</f>
        <v>0</v>
      </c>
      <c r="D24" s="4" cm="1">
        <f t="array" ref="D24">_xlfn.IFS('ProductSprint Backlog'!$F24="", "", AND('ProductSprint Backlog'!$J24&gt;D$2,'ProductSprint Backlog'!$I24&lt;=D$2), 'ProductSprint Backlog'!$F24 / MAX(1, 'ProductSprint Backlog'!$J24-'ProductSprint Backlog'!$I24), AND('ProductSprint Backlog'!$J24=D$2,'ProductSprint Backlog'!$I24=D$2), 'ProductSprint Backlog'!$F24, TRUE, 0)</f>
        <v>0</v>
      </c>
      <c r="E24" s="4" cm="1">
        <f t="array" ref="E24">_xlfn.IFS('ProductSprint Backlog'!$F24="", "", AND('ProductSprint Backlog'!$J24&gt;E$2,'ProductSprint Backlog'!$I24&lt;=E$2), 'ProductSprint Backlog'!$F24 / MAX(1, 'ProductSprint Backlog'!$J24-'ProductSprint Backlog'!$I24), AND('ProductSprint Backlog'!$J24=E$2,'ProductSprint Backlog'!$I24=E$2), 'ProductSprint Backlog'!$F24, TRUE, 0)</f>
        <v>0</v>
      </c>
      <c r="F24" s="4" cm="1">
        <f t="array" ref="F24">_xlfn.IFS('ProductSprint Backlog'!$F24="", "", AND('ProductSprint Backlog'!$J24&gt;F$2,'ProductSprint Backlog'!$I24&lt;=F$2), 'ProductSprint Backlog'!$F24 / MAX(1, 'ProductSprint Backlog'!$J24-'ProductSprint Backlog'!$I24), AND('ProductSprint Backlog'!$J24=F$2,'ProductSprint Backlog'!$I24=F$2), 'ProductSprint Backlog'!$F24, TRUE, 0)</f>
        <v>0</v>
      </c>
      <c r="G24" s="4" cm="1">
        <f t="array" ref="G24">_xlfn.IFS('ProductSprint Backlog'!$F24="", "", AND('ProductSprint Backlog'!$J24&gt;G$2,'ProductSprint Backlog'!$I24&lt;=G$2), 'ProductSprint Backlog'!$F24 / MAX(1, 'ProductSprint Backlog'!$J24-'ProductSprint Backlog'!$I24), AND('ProductSprint Backlog'!$J24=G$2,'ProductSprint Backlog'!$I24=G$2), 'ProductSprint Backlog'!$F24, TRUE, 0)</f>
        <v>0</v>
      </c>
      <c r="H24" s="4" cm="1">
        <f t="array" ref="H24">_xlfn.IFS('ProductSprint Backlog'!$F24="", "", AND('ProductSprint Backlog'!$J24&gt;H$2,'ProductSprint Backlog'!$I24&lt;=H$2), 'ProductSprint Backlog'!$F24 / MAX(1, 'ProductSprint Backlog'!$J24-'ProductSprint Backlog'!$I24), AND('ProductSprint Backlog'!$J24=H$2,'ProductSprint Backlog'!$I24=H$2), 'ProductSprint Backlog'!$F24, TRUE, 0)</f>
        <v>0</v>
      </c>
      <c r="I24" s="4" cm="1">
        <f t="array" ref="I24">_xlfn.IFS('ProductSprint Backlog'!$F24="", "", AND('ProductSprint Backlog'!$J24&gt;I$2,'ProductSprint Backlog'!$I24&lt;=I$2), 'ProductSprint Backlog'!$F24 / MAX(1, 'ProductSprint Backlog'!$J24-'ProductSprint Backlog'!$I24), AND('ProductSprint Backlog'!$J24=I$2,'ProductSprint Backlog'!$I24=I$2), 'ProductSprint Backlog'!$F24, TRUE, 0)</f>
        <v>0</v>
      </c>
      <c r="J24" s="4" cm="1">
        <f t="array" ref="J24">_xlfn.IFS('ProductSprint Backlog'!$F24="", "", AND('ProductSprint Backlog'!$J24&gt;J$2,'ProductSprint Backlog'!$I24&lt;=J$2), 'ProductSprint Backlog'!$F24 / MAX(1, 'ProductSprint Backlog'!$J24-'ProductSprint Backlog'!$I24), AND('ProductSprint Backlog'!$J24=J$2,'ProductSprint Backlog'!$I24=J$2), 'ProductSprint Backlog'!$F24, TRUE, 0)</f>
        <v>0</v>
      </c>
      <c r="K24" s="4" cm="1">
        <f t="array" ref="K24">_xlfn.IFS('ProductSprint Backlog'!$F24="", "", AND('ProductSprint Backlog'!$J24&gt;K$2,'ProductSprint Backlog'!$I24&lt;=K$2), 'ProductSprint Backlog'!$F24 / MAX(1, 'ProductSprint Backlog'!$J24-'ProductSprint Backlog'!$I24), AND('ProductSprint Backlog'!$J24=K$2,'ProductSprint Backlog'!$I24=K$2), 'ProductSprint Backlog'!$F24, TRUE, 0)</f>
        <v>0</v>
      </c>
      <c r="L24" s="4" cm="1">
        <f t="array" ref="L24">_xlfn.IFS('ProductSprint Backlog'!$F24="", "", AND('ProductSprint Backlog'!$J24&gt;L$2,'ProductSprint Backlog'!$I24&lt;=L$2), 'ProductSprint Backlog'!$F24 / MAX(1, 'ProductSprint Backlog'!$J24-'ProductSprint Backlog'!$I24), AND('ProductSprint Backlog'!$J24=L$2,'ProductSprint Backlog'!$I24=L$2), 'ProductSprint Backlog'!$F24, TRUE, 0)</f>
        <v>0</v>
      </c>
      <c r="M24" s="4" cm="1">
        <f t="array" ref="M24">_xlfn.IFS('ProductSprint Backlog'!$F24="", "", AND('ProductSprint Backlog'!$J24&gt;M$2,'ProductSprint Backlog'!$I24&lt;=M$2), 'ProductSprint Backlog'!$F24 / MAX(1, 'ProductSprint Backlog'!$J24-'ProductSprint Backlog'!$I24), AND('ProductSprint Backlog'!$J24=M$2,'ProductSprint Backlog'!$I24=M$2), 'ProductSprint Backlog'!$F24, TRUE, 0)</f>
        <v>0</v>
      </c>
      <c r="N24" s="4" cm="1">
        <f t="array" ref="N24">_xlfn.IFS('ProductSprint Backlog'!$F24="", "", AND('ProductSprint Backlog'!$J24&gt;N$2,'ProductSprint Backlog'!$I24&lt;=N$2), 'ProductSprint Backlog'!$F24 / MAX(1, 'ProductSprint Backlog'!$J24-'ProductSprint Backlog'!$I24), AND('ProductSprint Backlog'!$J24=N$2,'ProductSprint Backlog'!$I24=N$2), 'ProductSprint Backlog'!$F24, TRUE, 0)</f>
        <v>0</v>
      </c>
      <c r="O24" s="4" cm="1">
        <f t="array" ref="O24">_xlfn.IFS('ProductSprint Backlog'!$F24="", "", AND('ProductSprint Backlog'!$J24&gt;O$2,'ProductSprint Backlog'!$I24&lt;=O$2), 'ProductSprint Backlog'!$F24 / MAX(1, 'ProductSprint Backlog'!$J24-'ProductSprint Backlog'!$I24), AND('ProductSprint Backlog'!$J24=O$2,'ProductSprint Backlog'!$I24=O$2), 'ProductSprint Backlog'!$F24, TRUE, 0)</f>
        <v>0</v>
      </c>
      <c r="P24" s="4" cm="1">
        <f t="array" ref="P24">_xlfn.IFS('ProductSprint Backlog'!$F24="", "", AND('ProductSprint Backlog'!$J24&gt;P$2,'ProductSprint Backlog'!$I24&lt;=P$2), 'ProductSprint Backlog'!$F24 / MAX(1, 'ProductSprint Backlog'!$J24-'ProductSprint Backlog'!$I24), AND('ProductSprint Backlog'!$J24=P$2,'ProductSprint Backlog'!$I24=P$2), 'ProductSprint Backlog'!$F24, TRUE, 0)</f>
        <v>0</v>
      </c>
      <c r="Q24" s="4" cm="1">
        <f t="array" ref="Q24">_xlfn.IFS('ProductSprint Backlog'!$F24="", "", AND('ProductSprint Backlog'!$J24&gt;Q$2,'ProductSprint Backlog'!$I24&lt;=Q$2), 'ProductSprint Backlog'!$F24 / MAX(1, 'ProductSprint Backlog'!$J24-'ProductSprint Backlog'!$I24), AND('ProductSprint Backlog'!$J24=Q$2,'ProductSprint Backlog'!$I24=Q$2), 'ProductSprint Backlog'!$F24, TRUE, 0)</f>
        <v>0</v>
      </c>
    </row>
    <row r="25" spans="2:17" x14ac:dyDescent="0.2">
      <c r="B25" s="4" cm="1">
        <f t="array" ref="B25">_xlfn.IFS('ProductSprint Backlog'!$F25="", "", AND('ProductSprint Backlog'!$J25&gt;B$2,'ProductSprint Backlog'!$I25&lt;=B$2), 'ProductSprint Backlog'!$F25 / MAX(1, 'ProductSprint Backlog'!$J25-'ProductSprint Backlog'!$I25), AND('ProductSprint Backlog'!$J25=B$2,'ProductSprint Backlog'!$I25=B$2), 'ProductSprint Backlog'!$F25, TRUE, 0)</f>
        <v>0</v>
      </c>
      <c r="C25" s="4" cm="1">
        <f t="array" ref="C25">_xlfn.IFS('ProductSprint Backlog'!$F25="", "", AND('ProductSprint Backlog'!$J25&gt;C$2,'ProductSprint Backlog'!$I25&lt;=C$2), 'ProductSprint Backlog'!$F25 / MAX(1, 'ProductSprint Backlog'!$J25-'ProductSprint Backlog'!$I25), AND('ProductSprint Backlog'!$J25=C$2,'ProductSprint Backlog'!$I25=C$2), 'ProductSprint Backlog'!$F25, TRUE, 0)</f>
        <v>0</v>
      </c>
      <c r="D25" s="4" cm="1">
        <f t="array" ref="D25">_xlfn.IFS('ProductSprint Backlog'!$F25="", "", AND('ProductSprint Backlog'!$J25&gt;D$2,'ProductSprint Backlog'!$I25&lt;=D$2), 'ProductSprint Backlog'!$F25 / MAX(1, 'ProductSprint Backlog'!$J25-'ProductSprint Backlog'!$I25), AND('ProductSprint Backlog'!$J25=D$2,'ProductSprint Backlog'!$I25=D$2), 'ProductSprint Backlog'!$F25, TRUE, 0)</f>
        <v>0</v>
      </c>
      <c r="E25" s="4" cm="1">
        <f t="array" ref="E25">_xlfn.IFS('ProductSprint Backlog'!$F25="", "", AND('ProductSprint Backlog'!$J25&gt;E$2,'ProductSprint Backlog'!$I25&lt;=E$2), 'ProductSprint Backlog'!$F25 / MAX(1, 'ProductSprint Backlog'!$J25-'ProductSprint Backlog'!$I25), AND('ProductSprint Backlog'!$J25=E$2,'ProductSprint Backlog'!$I25=E$2), 'ProductSprint Backlog'!$F25, TRUE, 0)</f>
        <v>0</v>
      </c>
      <c r="F25" s="4" cm="1">
        <f t="array" ref="F25">_xlfn.IFS('ProductSprint Backlog'!$F25="", "", AND('ProductSprint Backlog'!$J25&gt;F$2,'ProductSprint Backlog'!$I25&lt;=F$2), 'ProductSprint Backlog'!$F25 / MAX(1, 'ProductSprint Backlog'!$J25-'ProductSprint Backlog'!$I25), AND('ProductSprint Backlog'!$J25=F$2,'ProductSprint Backlog'!$I25=F$2), 'ProductSprint Backlog'!$F25, TRUE, 0)</f>
        <v>0</v>
      </c>
      <c r="G25" s="4" cm="1">
        <f t="array" ref="G25">_xlfn.IFS('ProductSprint Backlog'!$F25="", "", AND('ProductSprint Backlog'!$J25&gt;G$2,'ProductSprint Backlog'!$I25&lt;=G$2), 'ProductSprint Backlog'!$F25 / MAX(1, 'ProductSprint Backlog'!$J25-'ProductSprint Backlog'!$I25), AND('ProductSprint Backlog'!$J25=G$2,'ProductSprint Backlog'!$I25=G$2), 'ProductSprint Backlog'!$F25, TRUE, 0)</f>
        <v>0</v>
      </c>
      <c r="H25" s="4" cm="1">
        <f t="array" ref="H25">_xlfn.IFS('ProductSprint Backlog'!$F25="", "", AND('ProductSprint Backlog'!$J25&gt;H$2,'ProductSprint Backlog'!$I25&lt;=H$2), 'ProductSprint Backlog'!$F25 / MAX(1, 'ProductSprint Backlog'!$J25-'ProductSprint Backlog'!$I25), AND('ProductSprint Backlog'!$J25=H$2,'ProductSprint Backlog'!$I25=H$2), 'ProductSprint Backlog'!$F25, TRUE, 0)</f>
        <v>0</v>
      </c>
      <c r="I25" s="4" cm="1">
        <f t="array" ref="I25">_xlfn.IFS('ProductSprint Backlog'!$F25="", "", AND('ProductSprint Backlog'!$J25&gt;I$2,'ProductSprint Backlog'!$I25&lt;=I$2), 'ProductSprint Backlog'!$F25 / MAX(1, 'ProductSprint Backlog'!$J25-'ProductSprint Backlog'!$I25), AND('ProductSprint Backlog'!$J25=I$2,'ProductSprint Backlog'!$I25=I$2), 'ProductSprint Backlog'!$F25, TRUE, 0)</f>
        <v>0</v>
      </c>
      <c r="J25" s="4" cm="1">
        <f t="array" ref="J25">_xlfn.IFS('ProductSprint Backlog'!$F25="", "", AND('ProductSprint Backlog'!$J25&gt;J$2,'ProductSprint Backlog'!$I25&lt;=J$2), 'ProductSprint Backlog'!$F25 / MAX(1, 'ProductSprint Backlog'!$J25-'ProductSprint Backlog'!$I25), AND('ProductSprint Backlog'!$J25=J$2,'ProductSprint Backlog'!$I25=J$2), 'ProductSprint Backlog'!$F25, TRUE, 0)</f>
        <v>0</v>
      </c>
      <c r="K25" s="4" cm="1">
        <f t="array" ref="K25">_xlfn.IFS('ProductSprint Backlog'!$F25="", "", AND('ProductSprint Backlog'!$J25&gt;K$2,'ProductSprint Backlog'!$I25&lt;=K$2), 'ProductSprint Backlog'!$F25 / MAX(1, 'ProductSprint Backlog'!$J25-'ProductSprint Backlog'!$I25), AND('ProductSprint Backlog'!$J25=K$2,'ProductSprint Backlog'!$I25=K$2), 'ProductSprint Backlog'!$F25, TRUE, 0)</f>
        <v>0</v>
      </c>
      <c r="L25" s="4" cm="1">
        <f t="array" ref="L25">_xlfn.IFS('ProductSprint Backlog'!$F25="", "", AND('ProductSprint Backlog'!$J25&gt;L$2,'ProductSprint Backlog'!$I25&lt;=L$2), 'ProductSprint Backlog'!$F25 / MAX(1, 'ProductSprint Backlog'!$J25-'ProductSprint Backlog'!$I25), AND('ProductSprint Backlog'!$J25=L$2,'ProductSprint Backlog'!$I25=L$2), 'ProductSprint Backlog'!$F25, TRUE, 0)</f>
        <v>0</v>
      </c>
      <c r="M25" s="4" cm="1">
        <f t="array" ref="M25">_xlfn.IFS('ProductSprint Backlog'!$F25="", "", AND('ProductSprint Backlog'!$J25&gt;M$2,'ProductSprint Backlog'!$I25&lt;=M$2), 'ProductSprint Backlog'!$F25 / MAX(1, 'ProductSprint Backlog'!$J25-'ProductSprint Backlog'!$I25), AND('ProductSprint Backlog'!$J25=M$2,'ProductSprint Backlog'!$I25=M$2), 'ProductSprint Backlog'!$F25, TRUE, 0)</f>
        <v>0</v>
      </c>
      <c r="N25" s="4" cm="1">
        <f t="array" ref="N25">_xlfn.IFS('ProductSprint Backlog'!$F25="", "", AND('ProductSprint Backlog'!$J25&gt;N$2,'ProductSprint Backlog'!$I25&lt;=N$2), 'ProductSprint Backlog'!$F25 / MAX(1, 'ProductSprint Backlog'!$J25-'ProductSprint Backlog'!$I25), AND('ProductSprint Backlog'!$J25=N$2,'ProductSprint Backlog'!$I25=N$2), 'ProductSprint Backlog'!$F25, TRUE, 0)</f>
        <v>0</v>
      </c>
      <c r="O25" s="4" cm="1">
        <f t="array" ref="O25">_xlfn.IFS('ProductSprint Backlog'!$F25="", "", AND('ProductSprint Backlog'!$J25&gt;O$2,'ProductSprint Backlog'!$I25&lt;=O$2), 'ProductSprint Backlog'!$F25 / MAX(1, 'ProductSprint Backlog'!$J25-'ProductSprint Backlog'!$I25), AND('ProductSprint Backlog'!$J25=O$2,'ProductSprint Backlog'!$I25=O$2), 'ProductSprint Backlog'!$F25, TRUE, 0)</f>
        <v>0</v>
      </c>
      <c r="P25" s="4" cm="1">
        <f t="array" ref="P25">_xlfn.IFS('ProductSprint Backlog'!$F25="", "", AND('ProductSprint Backlog'!$J25&gt;P$2,'ProductSprint Backlog'!$I25&lt;=P$2), 'ProductSprint Backlog'!$F25 / MAX(1, 'ProductSprint Backlog'!$J25-'ProductSprint Backlog'!$I25), AND('ProductSprint Backlog'!$J25=P$2,'ProductSprint Backlog'!$I25=P$2), 'ProductSprint Backlog'!$F25, TRUE, 0)</f>
        <v>0</v>
      </c>
      <c r="Q25" s="4" cm="1">
        <f t="array" ref="Q25">_xlfn.IFS('ProductSprint Backlog'!$F25="", "", AND('ProductSprint Backlog'!$J25&gt;Q$2,'ProductSprint Backlog'!$I25&lt;=Q$2), 'ProductSprint Backlog'!$F25 / MAX(1, 'ProductSprint Backlog'!$J25-'ProductSprint Backlog'!$I25), AND('ProductSprint Backlog'!$J25=Q$2,'ProductSprint Backlog'!$I25=Q$2), 'ProductSprint Backlog'!$F25, TRUE, 0)</f>
        <v>0</v>
      </c>
    </row>
    <row r="26" spans="2:17" x14ac:dyDescent="0.2">
      <c r="B26" s="4" cm="1">
        <f t="array" ref="B26">_xlfn.IFS('ProductSprint Backlog'!$F26="", "", AND('ProductSprint Backlog'!$J26&gt;B$2,'ProductSprint Backlog'!$I26&lt;=B$2), 'ProductSprint Backlog'!$F26 / MAX(1, 'ProductSprint Backlog'!$J26-'ProductSprint Backlog'!$I26), AND('ProductSprint Backlog'!$J26=B$2,'ProductSprint Backlog'!$I26=B$2), 'ProductSprint Backlog'!$F26, TRUE, 0)</f>
        <v>0</v>
      </c>
      <c r="C26" s="4" cm="1">
        <f t="array" ref="C26">_xlfn.IFS('ProductSprint Backlog'!$F26="", "", AND('ProductSprint Backlog'!$J26&gt;C$2,'ProductSprint Backlog'!$I26&lt;=C$2), 'ProductSprint Backlog'!$F26 / MAX(1, 'ProductSprint Backlog'!$J26-'ProductSprint Backlog'!$I26), AND('ProductSprint Backlog'!$J26=C$2,'ProductSprint Backlog'!$I26=C$2), 'ProductSprint Backlog'!$F26, TRUE, 0)</f>
        <v>0</v>
      </c>
      <c r="D26" s="4" cm="1">
        <f t="array" ref="D26">_xlfn.IFS('ProductSprint Backlog'!$F26="", "", AND('ProductSprint Backlog'!$J26&gt;D$2,'ProductSprint Backlog'!$I26&lt;=D$2), 'ProductSprint Backlog'!$F26 / MAX(1, 'ProductSprint Backlog'!$J26-'ProductSprint Backlog'!$I26), AND('ProductSprint Backlog'!$J26=D$2,'ProductSprint Backlog'!$I26=D$2), 'ProductSprint Backlog'!$F26, TRUE, 0)</f>
        <v>0</v>
      </c>
      <c r="E26" s="4" cm="1">
        <f t="array" ref="E26">_xlfn.IFS('ProductSprint Backlog'!$F26="", "", AND('ProductSprint Backlog'!$J26&gt;E$2,'ProductSprint Backlog'!$I26&lt;=E$2), 'ProductSprint Backlog'!$F26 / MAX(1, 'ProductSprint Backlog'!$J26-'ProductSprint Backlog'!$I26), AND('ProductSprint Backlog'!$J26=E$2,'ProductSprint Backlog'!$I26=E$2), 'ProductSprint Backlog'!$F26, TRUE, 0)</f>
        <v>0</v>
      </c>
      <c r="F26" s="4" cm="1">
        <f t="array" ref="F26">_xlfn.IFS('ProductSprint Backlog'!$F26="", "", AND('ProductSprint Backlog'!$J26&gt;F$2,'ProductSprint Backlog'!$I26&lt;=F$2), 'ProductSprint Backlog'!$F26 / MAX(1, 'ProductSprint Backlog'!$J26-'ProductSprint Backlog'!$I26), AND('ProductSprint Backlog'!$J26=F$2,'ProductSprint Backlog'!$I26=F$2), 'ProductSprint Backlog'!$F26, TRUE, 0)</f>
        <v>0</v>
      </c>
      <c r="G26" s="4" cm="1">
        <f t="array" ref="G26">_xlfn.IFS('ProductSprint Backlog'!$F26="", "", AND('ProductSprint Backlog'!$J26&gt;G$2,'ProductSprint Backlog'!$I26&lt;=G$2), 'ProductSprint Backlog'!$F26 / MAX(1, 'ProductSprint Backlog'!$J26-'ProductSprint Backlog'!$I26), AND('ProductSprint Backlog'!$J26=G$2,'ProductSprint Backlog'!$I26=G$2), 'ProductSprint Backlog'!$F26, TRUE, 0)</f>
        <v>0</v>
      </c>
      <c r="H26" s="4" cm="1">
        <f t="array" ref="H26">_xlfn.IFS('ProductSprint Backlog'!$F26="", "", AND('ProductSprint Backlog'!$J26&gt;H$2,'ProductSprint Backlog'!$I26&lt;=H$2), 'ProductSprint Backlog'!$F26 / MAX(1, 'ProductSprint Backlog'!$J26-'ProductSprint Backlog'!$I26), AND('ProductSprint Backlog'!$J26=H$2,'ProductSprint Backlog'!$I26=H$2), 'ProductSprint Backlog'!$F26, TRUE, 0)</f>
        <v>0</v>
      </c>
      <c r="I26" s="4" cm="1">
        <f t="array" ref="I26">_xlfn.IFS('ProductSprint Backlog'!$F26="", "", AND('ProductSprint Backlog'!$J26&gt;I$2,'ProductSprint Backlog'!$I26&lt;=I$2), 'ProductSprint Backlog'!$F26 / MAX(1, 'ProductSprint Backlog'!$J26-'ProductSprint Backlog'!$I26), AND('ProductSprint Backlog'!$J26=I$2,'ProductSprint Backlog'!$I26=I$2), 'ProductSprint Backlog'!$F26, TRUE, 0)</f>
        <v>0</v>
      </c>
      <c r="J26" s="4" cm="1">
        <f t="array" ref="J26">_xlfn.IFS('ProductSprint Backlog'!$F26="", "", AND('ProductSprint Backlog'!$J26&gt;J$2,'ProductSprint Backlog'!$I26&lt;=J$2), 'ProductSprint Backlog'!$F26 / MAX(1, 'ProductSprint Backlog'!$J26-'ProductSprint Backlog'!$I26), AND('ProductSprint Backlog'!$J26=J$2,'ProductSprint Backlog'!$I26=J$2), 'ProductSprint Backlog'!$F26, TRUE, 0)</f>
        <v>0</v>
      </c>
      <c r="K26" s="4" cm="1">
        <f t="array" ref="K26">_xlfn.IFS('ProductSprint Backlog'!$F26="", "", AND('ProductSprint Backlog'!$J26&gt;K$2,'ProductSprint Backlog'!$I26&lt;=K$2), 'ProductSprint Backlog'!$F26 / MAX(1, 'ProductSprint Backlog'!$J26-'ProductSprint Backlog'!$I26), AND('ProductSprint Backlog'!$J26=K$2,'ProductSprint Backlog'!$I26=K$2), 'ProductSprint Backlog'!$F26, TRUE, 0)</f>
        <v>0</v>
      </c>
      <c r="L26" s="4" cm="1">
        <f t="array" ref="L26">_xlfn.IFS('ProductSprint Backlog'!$F26="", "", AND('ProductSprint Backlog'!$J26&gt;L$2,'ProductSprint Backlog'!$I26&lt;=L$2), 'ProductSprint Backlog'!$F26 / MAX(1, 'ProductSprint Backlog'!$J26-'ProductSprint Backlog'!$I26), AND('ProductSprint Backlog'!$J26=L$2,'ProductSprint Backlog'!$I26=L$2), 'ProductSprint Backlog'!$F26, TRUE, 0)</f>
        <v>0</v>
      </c>
      <c r="M26" s="4" cm="1">
        <f t="array" ref="M26">_xlfn.IFS('ProductSprint Backlog'!$F26="", "", AND('ProductSprint Backlog'!$J26&gt;M$2,'ProductSprint Backlog'!$I26&lt;=M$2), 'ProductSprint Backlog'!$F26 / MAX(1, 'ProductSprint Backlog'!$J26-'ProductSprint Backlog'!$I26), AND('ProductSprint Backlog'!$J26=M$2,'ProductSprint Backlog'!$I26=M$2), 'ProductSprint Backlog'!$F26, TRUE, 0)</f>
        <v>0</v>
      </c>
      <c r="N26" s="4" cm="1">
        <f t="array" ref="N26">_xlfn.IFS('ProductSprint Backlog'!$F26="", "", AND('ProductSprint Backlog'!$J26&gt;N$2,'ProductSprint Backlog'!$I26&lt;=N$2), 'ProductSprint Backlog'!$F26 / MAX(1, 'ProductSprint Backlog'!$J26-'ProductSprint Backlog'!$I26), AND('ProductSprint Backlog'!$J26=N$2,'ProductSprint Backlog'!$I26=N$2), 'ProductSprint Backlog'!$F26, TRUE, 0)</f>
        <v>0</v>
      </c>
      <c r="O26" s="4" cm="1">
        <f t="array" ref="O26">_xlfn.IFS('ProductSprint Backlog'!$F26="", "", AND('ProductSprint Backlog'!$J26&gt;O$2,'ProductSprint Backlog'!$I26&lt;=O$2), 'ProductSprint Backlog'!$F26 / MAX(1, 'ProductSprint Backlog'!$J26-'ProductSprint Backlog'!$I26), AND('ProductSprint Backlog'!$J26=O$2,'ProductSprint Backlog'!$I26=O$2), 'ProductSprint Backlog'!$F26, TRUE, 0)</f>
        <v>0</v>
      </c>
      <c r="P26" s="4" cm="1">
        <f t="array" ref="P26">_xlfn.IFS('ProductSprint Backlog'!$F26="", "", AND('ProductSprint Backlog'!$J26&gt;P$2,'ProductSprint Backlog'!$I26&lt;=P$2), 'ProductSprint Backlog'!$F26 / MAX(1, 'ProductSprint Backlog'!$J26-'ProductSprint Backlog'!$I26), AND('ProductSprint Backlog'!$J26=P$2,'ProductSprint Backlog'!$I26=P$2), 'ProductSprint Backlog'!$F26, TRUE, 0)</f>
        <v>0</v>
      </c>
      <c r="Q26" s="4" cm="1">
        <f t="array" ref="Q26">_xlfn.IFS('ProductSprint Backlog'!$F26="", "", AND('ProductSprint Backlog'!$J26&gt;Q$2,'ProductSprint Backlog'!$I26&lt;=Q$2), 'ProductSprint Backlog'!$F26 / MAX(1, 'ProductSprint Backlog'!$J26-'ProductSprint Backlog'!$I26), AND('ProductSprint Backlog'!$J26=Q$2,'ProductSprint Backlog'!$I26=Q$2), 'ProductSprint Backlog'!$F26, TRUE, 0)</f>
        <v>0</v>
      </c>
    </row>
    <row r="27" spans="2:17" x14ac:dyDescent="0.2">
      <c r="B27" s="4" t="str" cm="1">
        <f t="array" ref="B27">_xlfn.IFS('ProductSprint Backlog'!$F27="", "", AND('ProductSprint Backlog'!$J27&gt;B$2,'ProductSprint Backlog'!$I27&lt;=B$2), 'ProductSprint Backlog'!$F27 / MAX(1, 'ProductSprint Backlog'!$J27-'ProductSprint Backlog'!$I27), AND('ProductSprint Backlog'!$J27=B$2,'ProductSprint Backlog'!$I27=B$2), 'ProductSprint Backlog'!$F27, TRUE, 0)</f>
        <v/>
      </c>
      <c r="C27" s="4" t="str" cm="1">
        <f t="array" ref="C27">_xlfn.IFS('ProductSprint Backlog'!$F27="", "", AND('ProductSprint Backlog'!$J27&gt;C$2,'ProductSprint Backlog'!$I27&lt;=C$2), 'ProductSprint Backlog'!$F27 / MAX(1, 'ProductSprint Backlog'!$J27-'ProductSprint Backlog'!$I27), AND('ProductSprint Backlog'!$J27=C$2,'ProductSprint Backlog'!$I27=C$2), 'ProductSprint Backlog'!$F27, TRUE, 0)</f>
        <v/>
      </c>
      <c r="D27" s="4" t="str" cm="1">
        <f t="array" ref="D27">_xlfn.IFS('ProductSprint Backlog'!$F27="", "", AND('ProductSprint Backlog'!$J27&gt;D$2,'ProductSprint Backlog'!$I27&lt;=D$2), 'ProductSprint Backlog'!$F27 / MAX(1, 'ProductSprint Backlog'!$J27-'ProductSprint Backlog'!$I27), AND('ProductSprint Backlog'!$J27=D$2,'ProductSprint Backlog'!$I27=D$2), 'ProductSprint Backlog'!$F27, TRUE, 0)</f>
        <v/>
      </c>
      <c r="E27" s="4" t="str" cm="1">
        <f t="array" ref="E27">_xlfn.IFS('ProductSprint Backlog'!$F27="", "", AND('ProductSprint Backlog'!$J27&gt;E$2,'ProductSprint Backlog'!$I27&lt;=E$2), 'ProductSprint Backlog'!$F27 / MAX(1, 'ProductSprint Backlog'!$J27-'ProductSprint Backlog'!$I27), AND('ProductSprint Backlog'!$J27=E$2,'ProductSprint Backlog'!$I27=E$2), 'ProductSprint Backlog'!$F27, TRUE, 0)</f>
        <v/>
      </c>
      <c r="F27" s="4" t="str" cm="1">
        <f t="array" ref="F27">_xlfn.IFS('ProductSprint Backlog'!$F27="", "", AND('ProductSprint Backlog'!$J27&gt;F$2,'ProductSprint Backlog'!$I27&lt;=F$2), 'ProductSprint Backlog'!$F27 / MAX(1, 'ProductSprint Backlog'!$J27-'ProductSprint Backlog'!$I27), AND('ProductSprint Backlog'!$J27=F$2,'ProductSprint Backlog'!$I27=F$2), 'ProductSprint Backlog'!$F27, TRUE, 0)</f>
        <v/>
      </c>
      <c r="G27" s="4" t="str" cm="1">
        <f t="array" ref="G27">_xlfn.IFS('ProductSprint Backlog'!$F27="", "", AND('ProductSprint Backlog'!$J27&gt;G$2,'ProductSprint Backlog'!$I27&lt;=G$2), 'ProductSprint Backlog'!$F27 / MAX(1, 'ProductSprint Backlog'!$J27-'ProductSprint Backlog'!$I27), AND('ProductSprint Backlog'!$J27=G$2,'ProductSprint Backlog'!$I27=G$2), 'ProductSprint Backlog'!$F27, TRUE, 0)</f>
        <v/>
      </c>
      <c r="H27" s="4" t="str" cm="1">
        <f t="array" ref="H27">_xlfn.IFS('ProductSprint Backlog'!$F27="", "", AND('ProductSprint Backlog'!$J27&gt;H$2,'ProductSprint Backlog'!$I27&lt;=H$2), 'ProductSprint Backlog'!$F27 / MAX(1, 'ProductSprint Backlog'!$J27-'ProductSprint Backlog'!$I27), AND('ProductSprint Backlog'!$J27=H$2,'ProductSprint Backlog'!$I27=H$2), 'ProductSprint Backlog'!$F27, TRUE, 0)</f>
        <v/>
      </c>
      <c r="I27" s="4" t="str" cm="1">
        <f t="array" ref="I27">_xlfn.IFS('ProductSprint Backlog'!$F27="", "", AND('ProductSprint Backlog'!$J27&gt;I$2,'ProductSprint Backlog'!$I27&lt;=I$2), 'ProductSprint Backlog'!$F27 / MAX(1, 'ProductSprint Backlog'!$J27-'ProductSprint Backlog'!$I27), AND('ProductSprint Backlog'!$J27=I$2,'ProductSprint Backlog'!$I27=I$2), 'ProductSprint Backlog'!$F27, TRUE, 0)</f>
        <v/>
      </c>
      <c r="J27" s="4" t="str" cm="1">
        <f t="array" ref="J27">_xlfn.IFS('ProductSprint Backlog'!$F27="", "", AND('ProductSprint Backlog'!$J27&gt;J$2,'ProductSprint Backlog'!$I27&lt;=J$2), 'ProductSprint Backlog'!$F27 / MAX(1, 'ProductSprint Backlog'!$J27-'ProductSprint Backlog'!$I27), AND('ProductSprint Backlog'!$J27=J$2,'ProductSprint Backlog'!$I27=J$2), 'ProductSprint Backlog'!$F27, TRUE, 0)</f>
        <v/>
      </c>
      <c r="K27" s="4" t="str" cm="1">
        <f t="array" ref="K27">_xlfn.IFS('ProductSprint Backlog'!$F27="", "", AND('ProductSprint Backlog'!$J27&gt;K$2,'ProductSprint Backlog'!$I27&lt;=K$2), 'ProductSprint Backlog'!$F27 / MAX(1, 'ProductSprint Backlog'!$J27-'ProductSprint Backlog'!$I27), AND('ProductSprint Backlog'!$J27=K$2,'ProductSprint Backlog'!$I27=K$2), 'ProductSprint Backlog'!$F27, TRUE, 0)</f>
        <v/>
      </c>
      <c r="L27" s="4" t="str" cm="1">
        <f t="array" ref="L27">_xlfn.IFS('ProductSprint Backlog'!$F27="", "", AND('ProductSprint Backlog'!$J27&gt;L$2,'ProductSprint Backlog'!$I27&lt;=L$2), 'ProductSprint Backlog'!$F27 / MAX(1, 'ProductSprint Backlog'!$J27-'ProductSprint Backlog'!$I27), AND('ProductSprint Backlog'!$J27=L$2,'ProductSprint Backlog'!$I27=L$2), 'ProductSprint Backlog'!$F27, TRUE, 0)</f>
        <v/>
      </c>
      <c r="M27" s="4" t="str" cm="1">
        <f t="array" ref="M27">_xlfn.IFS('ProductSprint Backlog'!$F27="", "", AND('ProductSprint Backlog'!$J27&gt;M$2,'ProductSprint Backlog'!$I27&lt;=M$2), 'ProductSprint Backlog'!$F27 / MAX(1, 'ProductSprint Backlog'!$J27-'ProductSprint Backlog'!$I27), AND('ProductSprint Backlog'!$J27=M$2,'ProductSprint Backlog'!$I27=M$2), 'ProductSprint Backlog'!$F27, TRUE, 0)</f>
        <v/>
      </c>
      <c r="N27" s="4" t="str" cm="1">
        <f t="array" ref="N27">_xlfn.IFS('ProductSprint Backlog'!$F27="", "", AND('ProductSprint Backlog'!$J27&gt;N$2,'ProductSprint Backlog'!$I27&lt;=N$2), 'ProductSprint Backlog'!$F27 / MAX(1, 'ProductSprint Backlog'!$J27-'ProductSprint Backlog'!$I27), AND('ProductSprint Backlog'!$J27=N$2,'ProductSprint Backlog'!$I27=N$2), 'ProductSprint Backlog'!$F27, TRUE, 0)</f>
        <v/>
      </c>
      <c r="O27" s="4" t="str" cm="1">
        <f t="array" ref="O27">_xlfn.IFS('ProductSprint Backlog'!$F27="", "", AND('ProductSprint Backlog'!$J27&gt;O$2,'ProductSprint Backlog'!$I27&lt;=O$2), 'ProductSprint Backlog'!$F27 / MAX(1, 'ProductSprint Backlog'!$J27-'ProductSprint Backlog'!$I27), AND('ProductSprint Backlog'!$J27=O$2,'ProductSprint Backlog'!$I27=O$2), 'ProductSprint Backlog'!$F27, TRUE, 0)</f>
        <v/>
      </c>
      <c r="P27" s="4" t="str" cm="1">
        <f t="array" ref="P27">_xlfn.IFS('ProductSprint Backlog'!$F27="", "", AND('ProductSprint Backlog'!$J27&gt;P$2,'ProductSprint Backlog'!$I27&lt;=P$2), 'ProductSprint Backlog'!$F27 / MAX(1, 'ProductSprint Backlog'!$J27-'ProductSprint Backlog'!$I27), AND('ProductSprint Backlog'!$J27=P$2,'ProductSprint Backlog'!$I27=P$2), 'ProductSprint Backlog'!$F27, TRUE, 0)</f>
        <v/>
      </c>
      <c r="Q27" s="4" t="str" cm="1">
        <f t="array" ref="Q27">_xlfn.IFS('ProductSprint Backlog'!$F27="", "", AND('ProductSprint Backlog'!$J27&gt;Q$2,'ProductSprint Backlog'!$I27&lt;=Q$2), 'ProductSprint Backlog'!$F27 / MAX(1, 'ProductSprint Backlog'!$J27-'ProductSprint Backlog'!$I27), AND('ProductSprint Backlog'!$J27=Q$2,'ProductSprint Backlog'!$I27=Q$2), 'ProductSprint Backlog'!$F27, TRUE, 0)</f>
        <v/>
      </c>
    </row>
    <row r="28" spans="2:17" x14ac:dyDescent="0.2">
      <c r="B28" s="4" cm="1">
        <f t="array" ref="B28">_xlfn.IFS('ProductSprint Backlog'!$F28="", "", AND('ProductSprint Backlog'!$J28&gt;B$2,'ProductSprint Backlog'!$I28&lt;=B$2), 'ProductSprint Backlog'!$F28 / MAX(1, 'ProductSprint Backlog'!$J28-'ProductSprint Backlog'!$I28), AND('ProductSprint Backlog'!$J28=B$2,'ProductSprint Backlog'!$I28=B$2), 'ProductSprint Backlog'!$F28, TRUE, 0)</f>
        <v>0</v>
      </c>
      <c r="C28" s="4" cm="1">
        <f t="array" ref="C28">_xlfn.IFS('ProductSprint Backlog'!$F28="", "", AND('ProductSprint Backlog'!$J28&gt;C$2,'ProductSprint Backlog'!$I28&lt;=C$2), 'ProductSprint Backlog'!$F28 / MAX(1, 'ProductSprint Backlog'!$J28-'ProductSprint Backlog'!$I28), AND('ProductSprint Backlog'!$J28=C$2,'ProductSprint Backlog'!$I28=C$2), 'ProductSprint Backlog'!$F28, TRUE, 0)</f>
        <v>0</v>
      </c>
      <c r="D28" s="4" cm="1">
        <f t="array" ref="D28">_xlfn.IFS('ProductSprint Backlog'!$F28="", "", AND('ProductSprint Backlog'!$J28&gt;D$2,'ProductSprint Backlog'!$I28&lt;=D$2), 'ProductSprint Backlog'!$F28 / MAX(1, 'ProductSprint Backlog'!$J28-'ProductSprint Backlog'!$I28), AND('ProductSprint Backlog'!$J28=D$2,'ProductSprint Backlog'!$I28=D$2), 'ProductSprint Backlog'!$F28, TRUE, 0)</f>
        <v>0</v>
      </c>
      <c r="E28" s="4" cm="1">
        <f t="array" ref="E28">_xlfn.IFS('ProductSprint Backlog'!$F28="", "", AND('ProductSprint Backlog'!$J28&gt;E$2,'ProductSprint Backlog'!$I28&lt;=E$2), 'ProductSprint Backlog'!$F28 / MAX(1, 'ProductSprint Backlog'!$J28-'ProductSprint Backlog'!$I28), AND('ProductSprint Backlog'!$J28=E$2,'ProductSprint Backlog'!$I28=E$2), 'ProductSprint Backlog'!$F28, TRUE, 0)</f>
        <v>0</v>
      </c>
      <c r="F28" s="4" cm="1">
        <f t="array" ref="F28">_xlfn.IFS('ProductSprint Backlog'!$F28="", "", AND('ProductSprint Backlog'!$J28&gt;F$2,'ProductSprint Backlog'!$I28&lt;=F$2), 'ProductSprint Backlog'!$F28 / MAX(1, 'ProductSprint Backlog'!$J28-'ProductSprint Backlog'!$I28), AND('ProductSprint Backlog'!$J28=F$2,'ProductSprint Backlog'!$I28=F$2), 'ProductSprint Backlog'!$F28, TRUE, 0)</f>
        <v>0</v>
      </c>
      <c r="G28" s="4" cm="1">
        <f t="array" ref="G28">_xlfn.IFS('ProductSprint Backlog'!$F28="", "", AND('ProductSprint Backlog'!$J28&gt;G$2,'ProductSprint Backlog'!$I28&lt;=G$2), 'ProductSprint Backlog'!$F28 / MAX(1, 'ProductSprint Backlog'!$J28-'ProductSprint Backlog'!$I28), AND('ProductSprint Backlog'!$J28=G$2,'ProductSprint Backlog'!$I28=G$2), 'ProductSprint Backlog'!$F28, TRUE, 0)</f>
        <v>0</v>
      </c>
      <c r="H28" s="4" cm="1">
        <f t="array" ref="H28">_xlfn.IFS('ProductSprint Backlog'!$F28="", "", AND('ProductSprint Backlog'!$J28&gt;H$2,'ProductSprint Backlog'!$I28&lt;=H$2), 'ProductSprint Backlog'!$F28 / MAX(1, 'ProductSprint Backlog'!$J28-'ProductSprint Backlog'!$I28), AND('ProductSprint Backlog'!$J28=H$2,'ProductSprint Backlog'!$I28=H$2), 'ProductSprint Backlog'!$F28, TRUE, 0)</f>
        <v>0</v>
      </c>
      <c r="I28" s="4" cm="1">
        <f t="array" ref="I28">_xlfn.IFS('ProductSprint Backlog'!$F28="", "", AND('ProductSprint Backlog'!$J28&gt;I$2,'ProductSprint Backlog'!$I28&lt;=I$2), 'ProductSprint Backlog'!$F28 / MAX(1, 'ProductSprint Backlog'!$J28-'ProductSprint Backlog'!$I28), AND('ProductSprint Backlog'!$J28=I$2,'ProductSprint Backlog'!$I28=I$2), 'ProductSprint Backlog'!$F28, TRUE, 0)</f>
        <v>0</v>
      </c>
      <c r="J28" s="4" cm="1">
        <f t="array" ref="J28">_xlfn.IFS('ProductSprint Backlog'!$F28="", "", AND('ProductSprint Backlog'!$J28&gt;J$2,'ProductSprint Backlog'!$I28&lt;=J$2), 'ProductSprint Backlog'!$F28 / MAX(1, 'ProductSprint Backlog'!$J28-'ProductSprint Backlog'!$I28), AND('ProductSprint Backlog'!$J28=J$2,'ProductSprint Backlog'!$I28=J$2), 'ProductSprint Backlog'!$F28, TRUE, 0)</f>
        <v>0</v>
      </c>
      <c r="K28" s="4" cm="1">
        <f t="array" ref="K28">_xlfn.IFS('ProductSprint Backlog'!$F28="", "", AND('ProductSprint Backlog'!$J28&gt;K$2,'ProductSprint Backlog'!$I28&lt;=K$2), 'ProductSprint Backlog'!$F28 / MAX(1, 'ProductSprint Backlog'!$J28-'ProductSprint Backlog'!$I28), AND('ProductSprint Backlog'!$J28=K$2,'ProductSprint Backlog'!$I28=K$2), 'ProductSprint Backlog'!$F28, TRUE, 0)</f>
        <v>0</v>
      </c>
      <c r="L28" s="4" cm="1">
        <f t="array" ref="L28">_xlfn.IFS('ProductSprint Backlog'!$F28="", "", AND('ProductSprint Backlog'!$J28&gt;L$2,'ProductSprint Backlog'!$I28&lt;=L$2), 'ProductSprint Backlog'!$F28 / MAX(1, 'ProductSprint Backlog'!$J28-'ProductSprint Backlog'!$I28), AND('ProductSprint Backlog'!$J28=L$2,'ProductSprint Backlog'!$I28=L$2), 'ProductSprint Backlog'!$F28, TRUE, 0)</f>
        <v>0</v>
      </c>
      <c r="M28" s="4" cm="1">
        <f t="array" ref="M28">_xlfn.IFS('ProductSprint Backlog'!$F28="", "", AND('ProductSprint Backlog'!$J28&gt;M$2,'ProductSprint Backlog'!$I28&lt;=M$2), 'ProductSprint Backlog'!$F28 / MAX(1, 'ProductSprint Backlog'!$J28-'ProductSprint Backlog'!$I28), AND('ProductSprint Backlog'!$J28=M$2,'ProductSprint Backlog'!$I28=M$2), 'ProductSprint Backlog'!$F28, TRUE, 0)</f>
        <v>0</v>
      </c>
      <c r="N28" s="4" cm="1">
        <f t="array" ref="N28">_xlfn.IFS('ProductSprint Backlog'!$F28="", "", AND('ProductSprint Backlog'!$J28&gt;N$2,'ProductSprint Backlog'!$I28&lt;=N$2), 'ProductSprint Backlog'!$F28 / MAX(1, 'ProductSprint Backlog'!$J28-'ProductSprint Backlog'!$I28), AND('ProductSprint Backlog'!$J28=N$2,'ProductSprint Backlog'!$I28=N$2), 'ProductSprint Backlog'!$F28, TRUE, 0)</f>
        <v>0</v>
      </c>
      <c r="O28" s="4" cm="1">
        <f t="array" ref="O28">_xlfn.IFS('ProductSprint Backlog'!$F28="", "", AND('ProductSprint Backlog'!$J28&gt;O$2,'ProductSprint Backlog'!$I28&lt;=O$2), 'ProductSprint Backlog'!$F28 / MAX(1, 'ProductSprint Backlog'!$J28-'ProductSprint Backlog'!$I28), AND('ProductSprint Backlog'!$J28=O$2,'ProductSprint Backlog'!$I28=O$2), 'ProductSprint Backlog'!$F28, TRUE, 0)</f>
        <v>0</v>
      </c>
      <c r="P28" s="4" cm="1">
        <f t="array" ref="P28">_xlfn.IFS('ProductSprint Backlog'!$F28="", "", AND('ProductSprint Backlog'!$J28&gt;P$2,'ProductSprint Backlog'!$I28&lt;=P$2), 'ProductSprint Backlog'!$F28 / MAX(1, 'ProductSprint Backlog'!$J28-'ProductSprint Backlog'!$I28), AND('ProductSprint Backlog'!$J28=P$2,'ProductSprint Backlog'!$I28=P$2), 'ProductSprint Backlog'!$F28, TRUE, 0)</f>
        <v>0</v>
      </c>
      <c r="Q28" s="4" cm="1">
        <f t="array" ref="Q28">_xlfn.IFS('ProductSprint Backlog'!$F28="", "", AND('ProductSprint Backlog'!$J28&gt;Q$2,'ProductSprint Backlog'!$I28&lt;=Q$2), 'ProductSprint Backlog'!$F28 / MAX(1, 'ProductSprint Backlog'!$J28-'ProductSprint Backlog'!$I28), AND('ProductSprint Backlog'!$J28=Q$2,'ProductSprint Backlog'!$I28=Q$2), 'ProductSprint Backlog'!$F28, TRUE, 0)</f>
        <v>0</v>
      </c>
    </row>
    <row r="29" spans="2:17" x14ac:dyDescent="0.2">
      <c r="B29" s="4" cm="1">
        <f t="array" ref="B29">_xlfn.IFS('ProductSprint Backlog'!$F29="", "", AND('ProductSprint Backlog'!$J29&gt;B$2,'ProductSprint Backlog'!$I29&lt;=B$2), 'ProductSprint Backlog'!$F29 / MAX(1, 'ProductSprint Backlog'!$J29-'ProductSprint Backlog'!$I29), AND('ProductSprint Backlog'!$J29=B$2,'ProductSprint Backlog'!$I29=B$2), 'ProductSprint Backlog'!$F29, TRUE, 0)</f>
        <v>0</v>
      </c>
      <c r="C29" s="4" cm="1">
        <f t="array" ref="C29">_xlfn.IFS('ProductSprint Backlog'!$F29="", "", AND('ProductSprint Backlog'!$J29&gt;C$2,'ProductSprint Backlog'!$I29&lt;=C$2), 'ProductSprint Backlog'!$F29 / MAX(1, 'ProductSprint Backlog'!$J29-'ProductSprint Backlog'!$I29), AND('ProductSprint Backlog'!$J29=C$2,'ProductSprint Backlog'!$I29=C$2), 'ProductSprint Backlog'!$F29, TRUE, 0)</f>
        <v>0</v>
      </c>
      <c r="D29" s="4" cm="1">
        <f t="array" ref="D29">_xlfn.IFS('ProductSprint Backlog'!$F29="", "", AND('ProductSprint Backlog'!$J29&gt;D$2,'ProductSprint Backlog'!$I29&lt;=D$2), 'ProductSprint Backlog'!$F29 / MAX(1, 'ProductSprint Backlog'!$J29-'ProductSprint Backlog'!$I29), AND('ProductSprint Backlog'!$J29=D$2,'ProductSprint Backlog'!$I29=D$2), 'ProductSprint Backlog'!$F29, TRUE, 0)</f>
        <v>0</v>
      </c>
      <c r="E29" s="4" cm="1">
        <f t="array" ref="E29">_xlfn.IFS('ProductSprint Backlog'!$F29="", "", AND('ProductSprint Backlog'!$J29&gt;E$2,'ProductSprint Backlog'!$I29&lt;=E$2), 'ProductSprint Backlog'!$F29 / MAX(1, 'ProductSprint Backlog'!$J29-'ProductSprint Backlog'!$I29), AND('ProductSprint Backlog'!$J29=E$2,'ProductSprint Backlog'!$I29=E$2), 'ProductSprint Backlog'!$F29, TRUE, 0)</f>
        <v>0</v>
      </c>
      <c r="F29" s="4" cm="1">
        <f t="array" ref="F29">_xlfn.IFS('ProductSprint Backlog'!$F29="", "", AND('ProductSprint Backlog'!$J29&gt;F$2,'ProductSprint Backlog'!$I29&lt;=F$2), 'ProductSprint Backlog'!$F29 / MAX(1, 'ProductSprint Backlog'!$J29-'ProductSprint Backlog'!$I29), AND('ProductSprint Backlog'!$J29=F$2,'ProductSprint Backlog'!$I29=F$2), 'ProductSprint Backlog'!$F29, TRUE, 0)</f>
        <v>0</v>
      </c>
      <c r="G29" s="4" cm="1">
        <f t="array" ref="G29">_xlfn.IFS('ProductSprint Backlog'!$F29="", "", AND('ProductSprint Backlog'!$J29&gt;G$2,'ProductSprint Backlog'!$I29&lt;=G$2), 'ProductSprint Backlog'!$F29 / MAX(1, 'ProductSprint Backlog'!$J29-'ProductSprint Backlog'!$I29), AND('ProductSprint Backlog'!$J29=G$2,'ProductSprint Backlog'!$I29=G$2), 'ProductSprint Backlog'!$F29, TRUE, 0)</f>
        <v>0</v>
      </c>
      <c r="H29" s="4" cm="1">
        <f t="array" ref="H29">_xlfn.IFS('ProductSprint Backlog'!$F29="", "", AND('ProductSprint Backlog'!$J29&gt;H$2,'ProductSprint Backlog'!$I29&lt;=H$2), 'ProductSprint Backlog'!$F29 / MAX(1, 'ProductSprint Backlog'!$J29-'ProductSprint Backlog'!$I29), AND('ProductSprint Backlog'!$J29=H$2,'ProductSprint Backlog'!$I29=H$2), 'ProductSprint Backlog'!$F29, TRUE, 0)</f>
        <v>0</v>
      </c>
      <c r="I29" s="4" cm="1">
        <f t="array" ref="I29">_xlfn.IFS('ProductSprint Backlog'!$F29="", "", AND('ProductSprint Backlog'!$J29&gt;I$2,'ProductSprint Backlog'!$I29&lt;=I$2), 'ProductSprint Backlog'!$F29 / MAX(1, 'ProductSprint Backlog'!$J29-'ProductSprint Backlog'!$I29), AND('ProductSprint Backlog'!$J29=I$2,'ProductSprint Backlog'!$I29=I$2), 'ProductSprint Backlog'!$F29, TRUE, 0)</f>
        <v>0</v>
      </c>
      <c r="J29" s="4" cm="1">
        <f t="array" ref="J29">_xlfn.IFS('ProductSprint Backlog'!$F29="", "", AND('ProductSprint Backlog'!$J29&gt;J$2,'ProductSprint Backlog'!$I29&lt;=J$2), 'ProductSprint Backlog'!$F29 / MAX(1, 'ProductSprint Backlog'!$J29-'ProductSprint Backlog'!$I29), AND('ProductSprint Backlog'!$J29=J$2,'ProductSprint Backlog'!$I29=J$2), 'ProductSprint Backlog'!$F29, TRUE, 0)</f>
        <v>0</v>
      </c>
      <c r="K29" s="4" cm="1">
        <f t="array" ref="K29">_xlfn.IFS('ProductSprint Backlog'!$F29="", "", AND('ProductSprint Backlog'!$J29&gt;K$2,'ProductSprint Backlog'!$I29&lt;=K$2), 'ProductSprint Backlog'!$F29 / MAX(1, 'ProductSprint Backlog'!$J29-'ProductSprint Backlog'!$I29), AND('ProductSprint Backlog'!$J29=K$2,'ProductSprint Backlog'!$I29=K$2), 'ProductSprint Backlog'!$F29, TRUE, 0)</f>
        <v>0</v>
      </c>
      <c r="L29" s="4" cm="1">
        <f t="array" ref="L29">_xlfn.IFS('ProductSprint Backlog'!$F29="", "", AND('ProductSprint Backlog'!$J29&gt;L$2,'ProductSprint Backlog'!$I29&lt;=L$2), 'ProductSprint Backlog'!$F29 / MAX(1, 'ProductSprint Backlog'!$J29-'ProductSprint Backlog'!$I29), AND('ProductSprint Backlog'!$J29=L$2,'ProductSprint Backlog'!$I29=L$2), 'ProductSprint Backlog'!$F29, TRUE, 0)</f>
        <v>0</v>
      </c>
      <c r="M29" s="4" cm="1">
        <f t="array" ref="M29">_xlfn.IFS('ProductSprint Backlog'!$F29="", "", AND('ProductSprint Backlog'!$J29&gt;M$2,'ProductSprint Backlog'!$I29&lt;=M$2), 'ProductSprint Backlog'!$F29 / MAX(1, 'ProductSprint Backlog'!$J29-'ProductSprint Backlog'!$I29), AND('ProductSprint Backlog'!$J29=M$2,'ProductSprint Backlog'!$I29=M$2), 'ProductSprint Backlog'!$F29, TRUE, 0)</f>
        <v>0</v>
      </c>
      <c r="N29" s="4" cm="1">
        <f t="array" ref="N29">_xlfn.IFS('ProductSprint Backlog'!$F29="", "", AND('ProductSprint Backlog'!$J29&gt;N$2,'ProductSprint Backlog'!$I29&lt;=N$2), 'ProductSprint Backlog'!$F29 / MAX(1, 'ProductSprint Backlog'!$J29-'ProductSprint Backlog'!$I29), AND('ProductSprint Backlog'!$J29=N$2,'ProductSprint Backlog'!$I29=N$2), 'ProductSprint Backlog'!$F29, TRUE, 0)</f>
        <v>0</v>
      </c>
      <c r="O29" s="4" cm="1">
        <f t="array" ref="O29">_xlfn.IFS('ProductSprint Backlog'!$F29="", "", AND('ProductSprint Backlog'!$J29&gt;O$2,'ProductSprint Backlog'!$I29&lt;=O$2), 'ProductSprint Backlog'!$F29 / MAX(1, 'ProductSprint Backlog'!$J29-'ProductSprint Backlog'!$I29), AND('ProductSprint Backlog'!$J29=O$2,'ProductSprint Backlog'!$I29=O$2), 'ProductSprint Backlog'!$F29, TRUE, 0)</f>
        <v>0</v>
      </c>
      <c r="P29" s="4" cm="1">
        <f t="array" ref="P29">_xlfn.IFS('ProductSprint Backlog'!$F29="", "", AND('ProductSprint Backlog'!$J29&gt;P$2,'ProductSprint Backlog'!$I29&lt;=P$2), 'ProductSprint Backlog'!$F29 / MAX(1, 'ProductSprint Backlog'!$J29-'ProductSprint Backlog'!$I29), AND('ProductSprint Backlog'!$J29=P$2,'ProductSprint Backlog'!$I29=P$2), 'ProductSprint Backlog'!$F29, TRUE, 0)</f>
        <v>0</v>
      </c>
      <c r="Q29" s="4" cm="1">
        <f t="array" ref="Q29">_xlfn.IFS('ProductSprint Backlog'!$F29="", "", AND('ProductSprint Backlog'!$J29&gt;Q$2,'ProductSprint Backlog'!$I29&lt;=Q$2), 'ProductSprint Backlog'!$F29 / MAX(1, 'ProductSprint Backlog'!$J29-'ProductSprint Backlog'!$I29), AND('ProductSprint Backlog'!$J29=Q$2,'ProductSprint Backlog'!$I29=Q$2), 'ProductSprint Backlog'!$F29, TRUE, 0)</f>
        <v>0</v>
      </c>
    </row>
    <row r="30" spans="2:17" x14ac:dyDescent="0.2">
      <c r="B30" s="4" cm="1">
        <f t="array" ref="B30">_xlfn.IFS('ProductSprint Backlog'!$F30="", "", AND('ProductSprint Backlog'!$J30&gt;B$2,'ProductSprint Backlog'!$I30&lt;=B$2), 'ProductSprint Backlog'!$F30 / MAX(1, 'ProductSprint Backlog'!$J30-'ProductSprint Backlog'!$I30), AND('ProductSprint Backlog'!$J30=B$2,'ProductSprint Backlog'!$I30=B$2), 'ProductSprint Backlog'!$F30, TRUE, 0)</f>
        <v>0</v>
      </c>
      <c r="C30" s="4" cm="1">
        <f t="array" ref="C30">_xlfn.IFS('ProductSprint Backlog'!$F30="", "", AND('ProductSprint Backlog'!$J30&gt;C$2,'ProductSprint Backlog'!$I30&lt;=C$2), 'ProductSprint Backlog'!$F30 / MAX(1, 'ProductSprint Backlog'!$J30-'ProductSprint Backlog'!$I30), AND('ProductSprint Backlog'!$J30=C$2,'ProductSprint Backlog'!$I30=C$2), 'ProductSprint Backlog'!$F30, TRUE, 0)</f>
        <v>0</v>
      </c>
      <c r="D30" s="4" cm="1">
        <f t="array" ref="D30">_xlfn.IFS('ProductSprint Backlog'!$F30="", "", AND('ProductSprint Backlog'!$J30&gt;D$2,'ProductSprint Backlog'!$I30&lt;=D$2), 'ProductSprint Backlog'!$F30 / MAX(1, 'ProductSprint Backlog'!$J30-'ProductSprint Backlog'!$I30), AND('ProductSprint Backlog'!$J30=D$2,'ProductSprint Backlog'!$I30=D$2), 'ProductSprint Backlog'!$F30, TRUE, 0)</f>
        <v>0</v>
      </c>
      <c r="E30" s="4" cm="1">
        <f t="array" ref="E30">_xlfn.IFS('ProductSprint Backlog'!$F30="", "", AND('ProductSprint Backlog'!$J30&gt;E$2,'ProductSprint Backlog'!$I30&lt;=E$2), 'ProductSprint Backlog'!$F30 / MAX(1, 'ProductSprint Backlog'!$J30-'ProductSprint Backlog'!$I30), AND('ProductSprint Backlog'!$J30=E$2,'ProductSprint Backlog'!$I30=E$2), 'ProductSprint Backlog'!$F30, TRUE, 0)</f>
        <v>0</v>
      </c>
      <c r="F30" s="4" cm="1">
        <f t="array" ref="F30">_xlfn.IFS('ProductSprint Backlog'!$F30="", "", AND('ProductSprint Backlog'!$J30&gt;F$2,'ProductSprint Backlog'!$I30&lt;=F$2), 'ProductSprint Backlog'!$F30 / MAX(1, 'ProductSprint Backlog'!$J30-'ProductSprint Backlog'!$I30), AND('ProductSprint Backlog'!$J30=F$2,'ProductSprint Backlog'!$I30=F$2), 'ProductSprint Backlog'!$F30, TRUE, 0)</f>
        <v>0</v>
      </c>
      <c r="G30" s="4" cm="1">
        <f t="array" ref="G30">_xlfn.IFS('ProductSprint Backlog'!$F30="", "", AND('ProductSprint Backlog'!$J30&gt;G$2,'ProductSprint Backlog'!$I30&lt;=G$2), 'ProductSprint Backlog'!$F30 / MAX(1, 'ProductSprint Backlog'!$J30-'ProductSprint Backlog'!$I30), AND('ProductSprint Backlog'!$J30=G$2,'ProductSprint Backlog'!$I30=G$2), 'ProductSprint Backlog'!$F30, TRUE, 0)</f>
        <v>0</v>
      </c>
      <c r="H30" s="4" cm="1">
        <f t="array" ref="H30">_xlfn.IFS('ProductSprint Backlog'!$F30="", "", AND('ProductSprint Backlog'!$J30&gt;H$2,'ProductSprint Backlog'!$I30&lt;=H$2), 'ProductSprint Backlog'!$F30 / MAX(1, 'ProductSprint Backlog'!$J30-'ProductSprint Backlog'!$I30), AND('ProductSprint Backlog'!$J30=H$2,'ProductSprint Backlog'!$I30=H$2), 'ProductSprint Backlog'!$F30, TRUE, 0)</f>
        <v>0</v>
      </c>
      <c r="I30" s="4" cm="1">
        <f t="array" ref="I30">_xlfn.IFS('ProductSprint Backlog'!$F30="", "", AND('ProductSprint Backlog'!$J30&gt;I$2,'ProductSprint Backlog'!$I30&lt;=I$2), 'ProductSprint Backlog'!$F30 / MAX(1, 'ProductSprint Backlog'!$J30-'ProductSprint Backlog'!$I30), AND('ProductSprint Backlog'!$J30=I$2,'ProductSprint Backlog'!$I30=I$2), 'ProductSprint Backlog'!$F30, TRUE, 0)</f>
        <v>0</v>
      </c>
      <c r="J30" s="4" cm="1">
        <f t="array" ref="J30">_xlfn.IFS('ProductSprint Backlog'!$F30="", "", AND('ProductSprint Backlog'!$J30&gt;J$2,'ProductSprint Backlog'!$I30&lt;=J$2), 'ProductSprint Backlog'!$F30 / MAX(1, 'ProductSprint Backlog'!$J30-'ProductSprint Backlog'!$I30), AND('ProductSprint Backlog'!$J30=J$2,'ProductSprint Backlog'!$I30=J$2), 'ProductSprint Backlog'!$F30, TRUE, 0)</f>
        <v>0</v>
      </c>
      <c r="K30" s="4" cm="1">
        <f t="array" ref="K30">_xlfn.IFS('ProductSprint Backlog'!$F30="", "", AND('ProductSprint Backlog'!$J30&gt;K$2,'ProductSprint Backlog'!$I30&lt;=K$2), 'ProductSprint Backlog'!$F30 / MAX(1, 'ProductSprint Backlog'!$J30-'ProductSprint Backlog'!$I30), AND('ProductSprint Backlog'!$J30=K$2,'ProductSprint Backlog'!$I30=K$2), 'ProductSprint Backlog'!$F30, TRUE, 0)</f>
        <v>0</v>
      </c>
      <c r="L30" s="4" cm="1">
        <f t="array" ref="L30">_xlfn.IFS('ProductSprint Backlog'!$F30="", "", AND('ProductSprint Backlog'!$J30&gt;L$2,'ProductSprint Backlog'!$I30&lt;=L$2), 'ProductSprint Backlog'!$F30 / MAX(1, 'ProductSprint Backlog'!$J30-'ProductSprint Backlog'!$I30), AND('ProductSprint Backlog'!$J30=L$2,'ProductSprint Backlog'!$I30=L$2), 'ProductSprint Backlog'!$F30, TRUE, 0)</f>
        <v>0</v>
      </c>
      <c r="M30" s="4" cm="1">
        <f t="array" ref="M30">_xlfn.IFS('ProductSprint Backlog'!$F30="", "", AND('ProductSprint Backlog'!$J30&gt;M$2,'ProductSprint Backlog'!$I30&lt;=M$2), 'ProductSprint Backlog'!$F30 / MAX(1, 'ProductSprint Backlog'!$J30-'ProductSprint Backlog'!$I30), AND('ProductSprint Backlog'!$J30=M$2,'ProductSprint Backlog'!$I30=M$2), 'ProductSprint Backlog'!$F30, TRUE, 0)</f>
        <v>0</v>
      </c>
      <c r="N30" s="4" cm="1">
        <f t="array" ref="N30">_xlfn.IFS('ProductSprint Backlog'!$F30="", "", AND('ProductSprint Backlog'!$J30&gt;N$2,'ProductSprint Backlog'!$I30&lt;=N$2), 'ProductSprint Backlog'!$F30 / MAX(1, 'ProductSprint Backlog'!$J30-'ProductSprint Backlog'!$I30), AND('ProductSprint Backlog'!$J30=N$2,'ProductSprint Backlog'!$I30=N$2), 'ProductSprint Backlog'!$F30, TRUE, 0)</f>
        <v>0</v>
      </c>
      <c r="O30" s="4" cm="1">
        <f t="array" ref="O30">_xlfn.IFS('ProductSprint Backlog'!$F30="", "", AND('ProductSprint Backlog'!$J30&gt;O$2,'ProductSprint Backlog'!$I30&lt;=O$2), 'ProductSprint Backlog'!$F30 / MAX(1, 'ProductSprint Backlog'!$J30-'ProductSprint Backlog'!$I30), AND('ProductSprint Backlog'!$J30=O$2,'ProductSprint Backlog'!$I30=O$2), 'ProductSprint Backlog'!$F30, TRUE, 0)</f>
        <v>0</v>
      </c>
      <c r="P30" s="4" cm="1">
        <f t="array" ref="P30">_xlfn.IFS('ProductSprint Backlog'!$F30="", "", AND('ProductSprint Backlog'!$J30&gt;P$2,'ProductSprint Backlog'!$I30&lt;=P$2), 'ProductSprint Backlog'!$F30 / MAX(1, 'ProductSprint Backlog'!$J30-'ProductSprint Backlog'!$I30), AND('ProductSprint Backlog'!$J30=P$2,'ProductSprint Backlog'!$I30=P$2), 'ProductSprint Backlog'!$F30, TRUE, 0)</f>
        <v>0</v>
      </c>
      <c r="Q30" s="4" cm="1">
        <f t="array" ref="Q30">_xlfn.IFS('ProductSprint Backlog'!$F30="", "", AND('ProductSprint Backlog'!$J30&gt;Q$2,'ProductSprint Backlog'!$I30&lt;=Q$2), 'ProductSprint Backlog'!$F30 / MAX(1, 'ProductSprint Backlog'!$J30-'ProductSprint Backlog'!$I30), AND('ProductSprint Backlog'!$J30=Q$2,'ProductSprint Backlog'!$I30=Q$2), 'ProductSprint Backlog'!$F30, TRUE, 0)</f>
        <v>0</v>
      </c>
    </row>
    <row r="31" spans="2:17" x14ac:dyDescent="0.2">
      <c r="B31" s="4" t="str" cm="1">
        <f t="array" ref="B31">_xlfn.IFS('ProductSprint Backlog'!$F31="", "", AND('ProductSprint Backlog'!$J31&gt;B$2,'ProductSprint Backlog'!$I31&lt;=B$2), 'ProductSprint Backlog'!$F31 / MAX(1, 'ProductSprint Backlog'!$J31-'ProductSprint Backlog'!$I31), AND('ProductSprint Backlog'!$J31=B$2,'ProductSprint Backlog'!$I31=B$2), 'ProductSprint Backlog'!$F31, TRUE, 0)</f>
        <v/>
      </c>
      <c r="C31" s="4" t="str" cm="1">
        <f t="array" ref="C31">_xlfn.IFS('ProductSprint Backlog'!$F31="", "", AND('ProductSprint Backlog'!$J31&gt;C$2,'ProductSprint Backlog'!$I31&lt;=C$2), 'ProductSprint Backlog'!$F31 / MAX(1, 'ProductSprint Backlog'!$J31-'ProductSprint Backlog'!$I31), AND('ProductSprint Backlog'!$J31=C$2,'ProductSprint Backlog'!$I31=C$2), 'ProductSprint Backlog'!$F31, TRUE, 0)</f>
        <v/>
      </c>
      <c r="D31" s="4" t="str" cm="1">
        <f t="array" ref="D31">_xlfn.IFS('ProductSprint Backlog'!$F31="", "", AND('ProductSprint Backlog'!$J31&gt;D$2,'ProductSprint Backlog'!$I31&lt;=D$2), 'ProductSprint Backlog'!$F31 / MAX(1, 'ProductSprint Backlog'!$J31-'ProductSprint Backlog'!$I31), AND('ProductSprint Backlog'!$J31=D$2,'ProductSprint Backlog'!$I31=D$2), 'ProductSprint Backlog'!$F31, TRUE, 0)</f>
        <v/>
      </c>
      <c r="E31" s="4" t="str" cm="1">
        <f t="array" ref="E31">_xlfn.IFS('ProductSprint Backlog'!$F31="", "", AND('ProductSprint Backlog'!$J31&gt;E$2,'ProductSprint Backlog'!$I31&lt;=E$2), 'ProductSprint Backlog'!$F31 / MAX(1, 'ProductSprint Backlog'!$J31-'ProductSprint Backlog'!$I31), AND('ProductSprint Backlog'!$J31=E$2,'ProductSprint Backlog'!$I31=E$2), 'ProductSprint Backlog'!$F31, TRUE, 0)</f>
        <v/>
      </c>
      <c r="F31" s="4" t="str" cm="1">
        <f t="array" ref="F31">_xlfn.IFS('ProductSprint Backlog'!$F31="", "", AND('ProductSprint Backlog'!$J31&gt;F$2,'ProductSprint Backlog'!$I31&lt;=F$2), 'ProductSprint Backlog'!$F31 / MAX(1, 'ProductSprint Backlog'!$J31-'ProductSprint Backlog'!$I31), AND('ProductSprint Backlog'!$J31=F$2,'ProductSprint Backlog'!$I31=F$2), 'ProductSprint Backlog'!$F31, TRUE, 0)</f>
        <v/>
      </c>
      <c r="G31" s="4" t="str" cm="1">
        <f t="array" ref="G31">_xlfn.IFS('ProductSprint Backlog'!$F31="", "", AND('ProductSprint Backlog'!$J31&gt;G$2,'ProductSprint Backlog'!$I31&lt;=G$2), 'ProductSprint Backlog'!$F31 / MAX(1, 'ProductSprint Backlog'!$J31-'ProductSprint Backlog'!$I31), AND('ProductSprint Backlog'!$J31=G$2,'ProductSprint Backlog'!$I31=G$2), 'ProductSprint Backlog'!$F31, TRUE, 0)</f>
        <v/>
      </c>
      <c r="H31" s="4" t="str" cm="1">
        <f t="array" ref="H31">_xlfn.IFS('ProductSprint Backlog'!$F31="", "", AND('ProductSprint Backlog'!$J31&gt;H$2,'ProductSprint Backlog'!$I31&lt;=H$2), 'ProductSprint Backlog'!$F31 / MAX(1, 'ProductSprint Backlog'!$J31-'ProductSprint Backlog'!$I31), AND('ProductSprint Backlog'!$J31=H$2,'ProductSprint Backlog'!$I31=H$2), 'ProductSprint Backlog'!$F31, TRUE, 0)</f>
        <v/>
      </c>
      <c r="I31" s="4" t="str" cm="1">
        <f t="array" ref="I31">_xlfn.IFS('ProductSprint Backlog'!$F31="", "", AND('ProductSprint Backlog'!$J31&gt;I$2,'ProductSprint Backlog'!$I31&lt;=I$2), 'ProductSprint Backlog'!$F31 / MAX(1, 'ProductSprint Backlog'!$J31-'ProductSprint Backlog'!$I31), AND('ProductSprint Backlog'!$J31=I$2,'ProductSprint Backlog'!$I31=I$2), 'ProductSprint Backlog'!$F31, TRUE, 0)</f>
        <v/>
      </c>
      <c r="J31" s="4" t="str" cm="1">
        <f t="array" ref="J31">_xlfn.IFS('ProductSprint Backlog'!$F31="", "", AND('ProductSprint Backlog'!$J31&gt;J$2,'ProductSprint Backlog'!$I31&lt;=J$2), 'ProductSprint Backlog'!$F31 / MAX(1, 'ProductSprint Backlog'!$J31-'ProductSprint Backlog'!$I31), AND('ProductSprint Backlog'!$J31=J$2,'ProductSprint Backlog'!$I31=J$2), 'ProductSprint Backlog'!$F31, TRUE, 0)</f>
        <v/>
      </c>
      <c r="K31" s="4" t="str" cm="1">
        <f t="array" ref="K31">_xlfn.IFS('ProductSprint Backlog'!$F31="", "", AND('ProductSprint Backlog'!$J31&gt;K$2,'ProductSprint Backlog'!$I31&lt;=K$2), 'ProductSprint Backlog'!$F31 / MAX(1, 'ProductSprint Backlog'!$J31-'ProductSprint Backlog'!$I31), AND('ProductSprint Backlog'!$J31=K$2,'ProductSprint Backlog'!$I31=K$2), 'ProductSprint Backlog'!$F31, TRUE, 0)</f>
        <v/>
      </c>
      <c r="L31" s="4" t="str" cm="1">
        <f t="array" ref="L31">_xlfn.IFS('ProductSprint Backlog'!$F31="", "", AND('ProductSprint Backlog'!$J31&gt;L$2,'ProductSprint Backlog'!$I31&lt;=L$2), 'ProductSprint Backlog'!$F31 / MAX(1, 'ProductSprint Backlog'!$J31-'ProductSprint Backlog'!$I31), AND('ProductSprint Backlog'!$J31=L$2,'ProductSprint Backlog'!$I31=L$2), 'ProductSprint Backlog'!$F31, TRUE, 0)</f>
        <v/>
      </c>
      <c r="M31" s="4" t="str" cm="1">
        <f t="array" ref="M31">_xlfn.IFS('ProductSprint Backlog'!$F31="", "", AND('ProductSprint Backlog'!$J31&gt;M$2,'ProductSprint Backlog'!$I31&lt;=M$2), 'ProductSprint Backlog'!$F31 / MAX(1, 'ProductSprint Backlog'!$J31-'ProductSprint Backlog'!$I31), AND('ProductSprint Backlog'!$J31=M$2,'ProductSprint Backlog'!$I31=M$2), 'ProductSprint Backlog'!$F31, TRUE, 0)</f>
        <v/>
      </c>
      <c r="N31" s="4" t="str" cm="1">
        <f t="array" ref="N31">_xlfn.IFS('ProductSprint Backlog'!$F31="", "", AND('ProductSprint Backlog'!$J31&gt;N$2,'ProductSprint Backlog'!$I31&lt;=N$2), 'ProductSprint Backlog'!$F31 / MAX(1, 'ProductSprint Backlog'!$J31-'ProductSprint Backlog'!$I31), AND('ProductSprint Backlog'!$J31=N$2,'ProductSprint Backlog'!$I31=N$2), 'ProductSprint Backlog'!$F31, TRUE, 0)</f>
        <v/>
      </c>
      <c r="O31" s="4" t="str" cm="1">
        <f t="array" ref="O31">_xlfn.IFS('ProductSprint Backlog'!$F31="", "", AND('ProductSprint Backlog'!$J31&gt;O$2,'ProductSprint Backlog'!$I31&lt;=O$2), 'ProductSprint Backlog'!$F31 / MAX(1, 'ProductSprint Backlog'!$J31-'ProductSprint Backlog'!$I31), AND('ProductSprint Backlog'!$J31=O$2,'ProductSprint Backlog'!$I31=O$2), 'ProductSprint Backlog'!$F31, TRUE, 0)</f>
        <v/>
      </c>
      <c r="P31" s="4" t="str" cm="1">
        <f t="array" ref="P31">_xlfn.IFS('ProductSprint Backlog'!$F31="", "", AND('ProductSprint Backlog'!$J31&gt;P$2,'ProductSprint Backlog'!$I31&lt;=P$2), 'ProductSprint Backlog'!$F31 / MAX(1, 'ProductSprint Backlog'!$J31-'ProductSprint Backlog'!$I31), AND('ProductSprint Backlog'!$J31=P$2,'ProductSprint Backlog'!$I31=P$2), 'ProductSprint Backlog'!$F31, TRUE, 0)</f>
        <v/>
      </c>
      <c r="Q31" s="4" t="str" cm="1">
        <f t="array" ref="Q31">_xlfn.IFS('ProductSprint Backlog'!$F31="", "", AND('ProductSprint Backlog'!$J31&gt;Q$2,'ProductSprint Backlog'!$I31&lt;=Q$2), 'ProductSprint Backlog'!$F31 / MAX(1, 'ProductSprint Backlog'!$J31-'ProductSprint Backlog'!$I31), AND('ProductSprint Backlog'!$J31=Q$2,'ProductSprint Backlog'!$I31=Q$2), 'ProductSprint Backlog'!$F31, TRUE, 0)</f>
        <v/>
      </c>
    </row>
    <row r="32" spans="2:17" x14ac:dyDescent="0.2">
      <c r="B32" s="4" cm="1">
        <f t="array" ref="B32">_xlfn.IFS('ProductSprint Backlog'!$F32="", "", AND('ProductSprint Backlog'!$J32&gt;B$2,'ProductSprint Backlog'!$I32&lt;=B$2), 'ProductSprint Backlog'!$F32 / MAX(1, 'ProductSprint Backlog'!$J32-'ProductSprint Backlog'!$I32), AND('ProductSprint Backlog'!$J32=B$2,'ProductSprint Backlog'!$I32=B$2), 'ProductSprint Backlog'!$F32, TRUE, 0)</f>
        <v>0</v>
      </c>
      <c r="C32" s="4" cm="1">
        <f t="array" ref="C32">_xlfn.IFS('ProductSprint Backlog'!$F32="", "", AND('ProductSprint Backlog'!$J32&gt;C$2,'ProductSprint Backlog'!$I32&lt;=C$2), 'ProductSprint Backlog'!$F32 / MAX(1, 'ProductSprint Backlog'!$J32-'ProductSprint Backlog'!$I32), AND('ProductSprint Backlog'!$J32=C$2,'ProductSprint Backlog'!$I32=C$2), 'ProductSprint Backlog'!$F32, TRUE, 0)</f>
        <v>0</v>
      </c>
      <c r="D32" s="4" cm="1">
        <f t="array" ref="D32">_xlfn.IFS('ProductSprint Backlog'!$F32="", "", AND('ProductSprint Backlog'!$J32&gt;D$2,'ProductSprint Backlog'!$I32&lt;=D$2), 'ProductSprint Backlog'!$F32 / MAX(1, 'ProductSprint Backlog'!$J32-'ProductSprint Backlog'!$I32), AND('ProductSprint Backlog'!$J32=D$2,'ProductSprint Backlog'!$I32=D$2), 'ProductSprint Backlog'!$F32, TRUE, 0)</f>
        <v>0</v>
      </c>
      <c r="E32" s="4" cm="1">
        <f t="array" ref="E32">_xlfn.IFS('ProductSprint Backlog'!$F32="", "", AND('ProductSprint Backlog'!$J32&gt;E$2,'ProductSprint Backlog'!$I32&lt;=E$2), 'ProductSprint Backlog'!$F32 / MAX(1, 'ProductSprint Backlog'!$J32-'ProductSprint Backlog'!$I32), AND('ProductSprint Backlog'!$J32=E$2,'ProductSprint Backlog'!$I32=E$2), 'ProductSprint Backlog'!$F32, TRUE, 0)</f>
        <v>0</v>
      </c>
      <c r="F32" s="4" cm="1">
        <f t="array" ref="F32">_xlfn.IFS('ProductSprint Backlog'!$F32="", "", AND('ProductSprint Backlog'!$J32&gt;F$2,'ProductSprint Backlog'!$I32&lt;=F$2), 'ProductSprint Backlog'!$F32 / MAX(1, 'ProductSprint Backlog'!$J32-'ProductSprint Backlog'!$I32), AND('ProductSprint Backlog'!$J32=F$2,'ProductSprint Backlog'!$I32=F$2), 'ProductSprint Backlog'!$F32, TRUE, 0)</f>
        <v>0</v>
      </c>
      <c r="G32" s="4" cm="1">
        <f t="array" ref="G32">_xlfn.IFS('ProductSprint Backlog'!$F32="", "", AND('ProductSprint Backlog'!$J32&gt;G$2,'ProductSprint Backlog'!$I32&lt;=G$2), 'ProductSprint Backlog'!$F32 / MAX(1, 'ProductSprint Backlog'!$J32-'ProductSprint Backlog'!$I32), AND('ProductSprint Backlog'!$J32=G$2,'ProductSprint Backlog'!$I32=G$2), 'ProductSprint Backlog'!$F32, TRUE, 0)</f>
        <v>0</v>
      </c>
      <c r="H32" s="4" cm="1">
        <f t="array" ref="H32">_xlfn.IFS('ProductSprint Backlog'!$F32="", "", AND('ProductSprint Backlog'!$J32&gt;H$2,'ProductSprint Backlog'!$I32&lt;=H$2), 'ProductSprint Backlog'!$F32 / MAX(1, 'ProductSprint Backlog'!$J32-'ProductSprint Backlog'!$I32), AND('ProductSprint Backlog'!$J32=H$2,'ProductSprint Backlog'!$I32=H$2), 'ProductSprint Backlog'!$F32, TRUE, 0)</f>
        <v>0</v>
      </c>
      <c r="I32" s="4" cm="1">
        <f t="array" ref="I32">_xlfn.IFS('ProductSprint Backlog'!$F32="", "", AND('ProductSprint Backlog'!$J32&gt;I$2,'ProductSprint Backlog'!$I32&lt;=I$2), 'ProductSprint Backlog'!$F32 / MAX(1, 'ProductSprint Backlog'!$J32-'ProductSprint Backlog'!$I32), AND('ProductSprint Backlog'!$J32=I$2,'ProductSprint Backlog'!$I32=I$2), 'ProductSprint Backlog'!$F32, TRUE, 0)</f>
        <v>0</v>
      </c>
      <c r="J32" s="4" cm="1">
        <f t="array" ref="J32">_xlfn.IFS('ProductSprint Backlog'!$F32="", "", AND('ProductSprint Backlog'!$J32&gt;J$2,'ProductSprint Backlog'!$I32&lt;=J$2), 'ProductSprint Backlog'!$F32 / MAX(1, 'ProductSprint Backlog'!$J32-'ProductSprint Backlog'!$I32), AND('ProductSprint Backlog'!$J32=J$2,'ProductSprint Backlog'!$I32=J$2), 'ProductSprint Backlog'!$F32, TRUE, 0)</f>
        <v>0</v>
      </c>
      <c r="K32" s="4" cm="1">
        <f t="array" ref="K32">_xlfn.IFS('ProductSprint Backlog'!$F32="", "", AND('ProductSprint Backlog'!$J32&gt;K$2,'ProductSprint Backlog'!$I32&lt;=K$2), 'ProductSprint Backlog'!$F32 / MAX(1, 'ProductSprint Backlog'!$J32-'ProductSprint Backlog'!$I32), AND('ProductSprint Backlog'!$J32=K$2,'ProductSprint Backlog'!$I32=K$2), 'ProductSprint Backlog'!$F32, TRUE, 0)</f>
        <v>0</v>
      </c>
      <c r="L32" s="4" cm="1">
        <f t="array" ref="L32">_xlfn.IFS('ProductSprint Backlog'!$F32="", "", AND('ProductSprint Backlog'!$J32&gt;L$2,'ProductSprint Backlog'!$I32&lt;=L$2), 'ProductSprint Backlog'!$F32 / MAX(1, 'ProductSprint Backlog'!$J32-'ProductSprint Backlog'!$I32), AND('ProductSprint Backlog'!$J32=L$2,'ProductSprint Backlog'!$I32=L$2), 'ProductSprint Backlog'!$F32, TRUE, 0)</f>
        <v>0</v>
      </c>
      <c r="M32" s="4" cm="1">
        <f t="array" ref="M32">_xlfn.IFS('ProductSprint Backlog'!$F32="", "", AND('ProductSprint Backlog'!$J32&gt;M$2,'ProductSprint Backlog'!$I32&lt;=M$2), 'ProductSprint Backlog'!$F32 / MAX(1, 'ProductSprint Backlog'!$J32-'ProductSprint Backlog'!$I32), AND('ProductSprint Backlog'!$J32=M$2,'ProductSprint Backlog'!$I32=M$2), 'ProductSprint Backlog'!$F32, TRUE, 0)</f>
        <v>0</v>
      </c>
      <c r="N32" s="4" cm="1">
        <f t="array" ref="N32">_xlfn.IFS('ProductSprint Backlog'!$F32="", "", AND('ProductSprint Backlog'!$J32&gt;N$2,'ProductSprint Backlog'!$I32&lt;=N$2), 'ProductSprint Backlog'!$F32 / MAX(1, 'ProductSprint Backlog'!$J32-'ProductSprint Backlog'!$I32), AND('ProductSprint Backlog'!$J32=N$2,'ProductSprint Backlog'!$I32=N$2), 'ProductSprint Backlog'!$F32, TRUE, 0)</f>
        <v>0</v>
      </c>
      <c r="O32" s="4" cm="1">
        <f t="array" ref="O32">_xlfn.IFS('ProductSprint Backlog'!$F32="", "", AND('ProductSprint Backlog'!$J32&gt;O$2,'ProductSprint Backlog'!$I32&lt;=O$2), 'ProductSprint Backlog'!$F32 / MAX(1, 'ProductSprint Backlog'!$J32-'ProductSprint Backlog'!$I32), AND('ProductSprint Backlog'!$J32=O$2,'ProductSprint Backlog'!$I32=O$2), 'ProductSprint Backlog'!$F32, TRUE, 0)</f>
        <v>0</v>
      </c>
      <c r="P32" s="4" cm="1">
        <f t="array" ref="P32">_xlfn.IFS('ProductSprint Backlog'!$F32="", "", AND('ProductSprint Backlog'!$J32&gt;P$2,'ProductSprint Backlog'!$I32&lt;=P$2), 'ProductSprint Backlog'!$F32 / MAX(1, 'ProductSprint Backlog'!$J32-'ProductSprint Backlog'!$I32), AND('ProductSprint Backlog'!$J32=P$2,'ProductSprint Backlog'!$I32=P$2), 'ProductSprint Backlog'!$F32, TRUE, 0)</f>
        <v>0</v>
      </c>
      <c r="Q32" s="4" cm="1">
        <f t="array" ref="Q32">_xlfn.IFS('ProductSprint Backlog'!$F32="", "", AND('ProductSprint Backlog'!$J32&gt;Q$2,'ProductSprint Backlog'!$I32&lt;=Q$2), 'ProductSprint Backlog'!$F32 / MAX(1, 'ProductSprint Backlog'!$J32-'ProductSprint Backlog'!$I32), AND('ProductSprint Backlog'!$J32=Q$2,'ProductSprint Backlog'!$I32=Q$2), 'ProductSprint Backlog'!$F32, TRUE, 0)</f>
        <v>0</v>
      </c>
    </row>
    <row r="33" spans="2:17" x14ac:dyDescent="0.2">
      <c r="B33" s="4" cm="1">
        <f t="array" ref="B33">_xlfn.IFS('ProductSprint Backlog'!$F33="", "", AND('ProductSprint Backlog'!$J33&gt;B$2,'ProductSprint Backlog'!$I33&lt;=B$2), 'ProductSprint Backlog'!$F33 / MAX(1, 'ProductSprint Backlog'!$J33-'ProductSprint Backlog'!$I33), AND('ProductSprint Backlog'!$J33=B$2,'ProductSprint Backlog'!$I33=B$2), 'ProductSprint Backlog'!$F33, TRUE, 0)</f>
        <v>0</v>
      </c>
      <c r="C33" s="4" cm="1">
        <f t="array" ref="C33">_xlfn.IFS('ProductSprint Backlog'!$F33="", "", AND('ProductSprint Backlog'!$J33&gt;C$2,'ProductSprint Backlog'!$I33&lt;=C$2), 'ProductSprint Backlog'!$F33 / MAX(1, 'ProductSprint Backlog'!$J33-'ProductSprint Backlog'!$I33), AND('ProductSprint Backlog'!$J33=C$2,'ProductSprint Backlog'!$I33=C$2), 'ProductSprint Backlog'!$F33, TRUE, 0)</f>
        <v>0</v>
      </c>
      <c r="D33" s="4" cm="1">
        <f t="array" ref="D33">_xlfn.IFS('ProductSprint Backlog'!$F33="", "", AND('ProductSprint Backlog'!$J33&gt;D$2,'ProductSprint Backlog'!$I33&lt;=D$2), 'ProductSprint Backlog'!$F33 / MAX(1, 'ProductSprint Backlog'!$J33-'ProductSprint Backlog'!$I33), AND('ProductSprint Backlog'!$J33=D$2,'ProductSprint Backlog'!$I33=D$2), 'ProductSprint Backlog'!$F33, TRUE, 0)</f>
        <v>0</v>
      </c>
      <c r="E33" s="4" cm="1">
        <f t="array" ref="E33">_xlfn.IFS('ProductSprint Backlog'!$F33="", "", AND('ProductSprint Backlog'!$J33&gt;E$2,'ProductSprint Backlog'!$I33&lt;=E$2), 'ProductSprint Backlog'!$F33 / MAX(1, 'ProductSprint Backlog'!$J33-'ProductSprint Backlog'!$I33), AND('ProductSprint Backlog'!$J33=E$2,'ProductSprint Backlog'!$I33=E$2), 'ProductSprint Backlog'!$F33, TRUE, 0)</f>
        <v>0</v>
      </c>
      <c r="F33" s="4" cm="1">
        <f t="array" ref="F33">_xlfn.IFS('ProductSprint Backlog'!$F33="", "", AND('ProductSprint Backlog'!$J33&gt;F$2,'ProductSprint Backlog'!$I33&lt;=F$2), 'ProductSprint Backlog'!$F33 / MAX(1, 'ProductSprint Backlog'!$J33-'ProductSprint Backlog'!$I33), AND('ProductSprint Backlog'!$J33=F$2,'ProductSprint Backlog'!$I33=F$2), 'ProductSprint Backlog'!$F33, TRUE, 0)</f>
        <v>0</v>
      </c>
      <c r="G33" s="4" cm="1">
        <f t="array" ref="G33">_xlfn.IFS('ProductSprint Backlog'!$F33="", "", AND('ProductSprint Backlog'!$J33&gt;G$2,'ProductSprint Backlog'!$I33&lt;=G$2), 'ProductSprint Backlog'!$F33 / MAX(1, 'ProductSprint Backlog'!$J33-'ProductSprint Backlog'!$I33), AND('ProductSprint Backlog'!$J33=G$2,'ProductSprint Backlog'!$I33=G$2), 'ProductSprint Backlog'!$F33, TRUE, 0)</f>
        <v>0</v>
      </c>
      <c r="H33" s="4" cm="1">
        <f t="array" ref="H33">_xlfn.IFS('ProductSprint Backlog'!$F33="", "", AND('ProductSprint Backlog'!$J33&gt;H$2,'ProductSprint Backlog'!$I33&lt;=H$2), 'ProductSprint Backlog'!$F33 / MAX(1, 'ProductSprint Backlog'!$J33-'ProductSprint Backlog'!$I33), AND('ProductSprint Backlog'!$J33=H$2,'ProductSprint Backlog'!$I33=H$2), 'ProductSprint Backlog'!$F33, TRUE, 0)</f>
        <v>0</v>
      </c>
      <c r="I33" s="4" cm="1">
        <f t="array" ref="I33">_xlfn.IFS('ProductSprint Backlog'!$F33="", "", AND('ProductSprint Backlog'!$J33&gt;I$2,'ProductSprint Backlog'!$I33&lt;=I$2), 'ProductSprint Backlog'!$F33 / MAX(1, 'ProductSprint Backlog'!$J33-'ProductSprint Backlog'!$I33), AND('ProductSprint Backlog'!$J33=I$2,'ProductSprint Backlog'!$I33=I$2), 'ProductSprint Backlog'!$F33, TRUE, 0)</f>
        <v>0</v>
      </c>
      <c r="J33" s="4" cm="1">
        <f t="array" ref="J33">_xlfn.IFS('ProductSprint Backlog'!$F33="", "", AND('ProductSprint Backlog'!$J33&gt;J$2,'ProductSprint Backlog'!$I33&lt;=J$2), 'ProductSprint Backlog'!$F33 / MAX(1, 'ProductSprint Backlog'!$J33-'ProductSprint Backlog'!$I33), AND('ProductSprint Backlog'!$J33=J$2,'ProductSprint Backlog'!$I33=J$2), 'ProductSprint Backlog'!$F33, TRUE, 0)</f>
        <v>0</v>
      </c>
      <c r="K33" s="4" cm="1">
        <f t="array" ref="K33">_xlfn.IFS('ProductSprint Backlog'!$F33="", "", AND('ProductSprint Backlog'!$J33&gt;K$2,'ProductSprint Backlog'!$I33&lt;=K$2), 'ProductSprint Backlog'!$F33 / MAX(1, 'ProductSprint Backlog'!$J33-'ProductSprint Backlog'!$I33), AND('ProductSprint Backlog'!$J33=K$2,'ProductSprint Backlog'!$I33=K$2), 'ProductSprint Backlog'!$F33, TRUE, 0)</f>
        <v>0</v>
      </c>
      <c r="L33" s="4" cm="1">
        <f t="array" ref="L33">_xlfn.IFS('ProductSprint Backlog'!$F33="", "", AND('ProductSprint Backlog'!$J33&gt;L$2,'ProductSprint Backlog'!$I33&lt;=L$2), 'ProductSprint Backlog'!$F33 / MAX(1, 'ProductSprint Backlog'!$J33-'ProductSprint Backlog'!$I33), AND('ProductSprint Backlog'!$J33=L$2,'ProductSprint Backlog'!$I33=L$2), 'ProductSprint Backlog'!$F33, TRUE, 0)</f>
        <v>0</v>
      </c>
      <c r="M33" s="4" cm="1">
        <f t="array" ref="M33">_xlfn.IFS('ProductSprint Backlog'!$F33="", "", AND('ProductSprint Backlog'!$J33&gt;M$2,'ProductSprint Backlog'!$I33&lt;=M$2), 'ProductSprint Backlog'!$F33 / MAX(1, 'ProductSprint Backlog'!$J33-'ProductSprint Backlog'!$I33), AND('ProductSprint Backlog'!$J33=M$2,'ProductSprint Backlog'!$I33=M$2), 'ProductSprint Backlog'!$F33, TRUE, 0)</f>
        <v>0</v>
      </c>
      <c r="N33" s="4" cm="1">
        <f t="array" ref="N33">_xlfn.IFS('ProductSprint Backlog'!$F33="", "", AND('ProductSprint Backlog'!$J33&gt;N$2,'ProductSprint Backlog'!$I33&lt;=N$2), 'ProductSprint Backlog'!$F33 / MAX(1, 'ProductSprint Backlog'!$J33-'ProductSprint Backlog'!$I33), AND('ProductSprint Backlog'!$J33=N$2,'ProductSprint Backlog'!$I33=N$2), 'ProductSprint Backlog'!$F33, TRUE, 0)</f>
        <v>0</v>
      </c>
      <c r="O33" s="4" cm="1">
        <f t="array" ref="O33">_xlfn.IFS('ProductSprint Backlog'!$F33="", "", AND('ProductSprint Backlog'!$J33&gt;O$2,'ProductSprint Backlog'!$I33&lt;=O$2), 'ProductSprint Backlog'!$F33 / MAX(1, 'ProductSprint Backlog'!$J33-'ProductSprint Backlog'!$I33), AND('ProductSprint Backlog'!$J33=O$2,'ProductSprint Backlog'!$I33=O$2), 'ProductSprint Backlog'!$F33, TRUE, 0)</f>
        <v>0</v>
      </c>
      <c r="P33" s="4" cm="1">
        <f t="array" ref="P33">_xlfn.IFS('ProductSprint Backlog'!$F33="", "", AND('ProductSprint Backlog'!$J33&gt;P$2,'ProductSprint Backlog'!$I33&lt;=P$2), 'ProductSprint Backlog'!$F33 / MAX(1, 'ProductSprint Backlog'!$J33-'ProductSprint Backlog'!$I33), AND('ProductSprint Backlog'!$J33=P$2,'ProductSprint Backlog'!$I33=P$2), 'ProductSprint Backlog'!$F33, TRUE, 0)</f>
        <v>0</v>
      </c>
      <c r="Q33" s="4" cm="1">
        <f t="array" ref="Q33">_xlfn.IFS('ProductSprint Backlog'!$F33="", "", AND('ProductSprint Backlog'!$J33&gt;Q$2,'ProductSprint Backlog'!$I33&lt;=Q$2), 'ProductSprint Backlog'!$F33 / MAX(1, 'ProductSprint Backlog'!$J33-'ProductSprint Backlog'!$I33), AND('ProductSprint Backlog'!$J33=Q$2,'ProductSprint Backlog'!$I33=Q$2), 'ProductSprint Backlog'!$F33, TRUE, 0)</f>
        <v>0</v>
      </c>
    </row>
    <row r="34" spans="2:17" x14ac:dyDescent="0.2">
      <c r="B34" s="4" cm="1">
        <f t="array" ref="B34">_xlfn.IFS('ProductSprint Backlog'!$F34="", "", AND('ProductSprint Backlog'!$J34&gt;B$2,'ProductSprint Backlog'!$I34&lt;=B$2), 'ProductSprint Backlog'!$F34 / MAX(1, 'ProductSprint Backlog'!$J34-'ProductSprint Backlog'!$I34), AND('ProductSprint Backlog'!$J34=B$2,'ProductSprint Backlog'!$I34=B$2), 'ProductSprint Backlog'!$F34, TRUE, 0)</f>
        <v>0</v>
      </c>
      <c r="C34" s="4" cm="1">
        <f t="array" ref="C34">_xlfn.IFS('ProductSprint Backlog'!$F34="", "", AND('ProductSprint Backlog'!$J34&gt;C$2,'ProductSprint Backlog'!$I34&lt;=C$2), 'ProductSprint Backlog'!$F34 / MAX(1, 'ProductSprint Backlog'!$J34-'ProductSprint Backlog'!$I34), AND('ProductSprint Backlog'!$J34=C$2,'ProductSprint Backlog'!$I34=C$2), 'ProductSprint Backlog'!$F34, TRUE, 0)</f>
        <v>0</v>
      </c>
      <c r="D34" s="4" cm="1">
        <f t="array" ref="D34">_xlfn.IFS('ProductSprint Backlog'!$F34="", "", AND('ProductSprint Backlog'!$J34&gt;D$2,'ProductSprint Backlog'!$I34&lt;=D$2), 'ProductSprint Backlog'!$F34 / MAX(1, 'ProductSprint Backlog'!$J34-'ProductSprint Backlog'!$I34), AND('ProductSprint Backlog'!$J34=D$2,'ProductSprint Backlog'!$I34=D$2), 'ProductSprint Backlog'!$F34, TRUE, 0)</f>
        <v>0</v>
      </c>
      <c r="E34" s="4" cm="1">
        <f t="array" ref="E34">_xlfn.IFS('ProductSprint Backlog'!$F34="", "", AND('ProductSprint Backlog'!$J34&gt;E$2,'ProductSprint Backlog'!$I34&lt;=E$2), 'ProductSprint Backlog'!$F34 / MAX(1, 'ProductSprint Backlog'!$J34-'ProductSprint Backlog'!$I34), AND('ProductSprint Backlog'!$J34=E$2,'ProductSprint Backlog'!$I34=E$2), 'ProductSprint Backlog'!$F34, TRUE, 0)</f>
        <v>0</v>
      </c>
      <c r="F34" s="4" cm="1">
        <f t="array" ref="F34">_xlfn.IFS('ProductSprint Backlog'!$F34="", "", AND('ProductSprint Backlog'!$J34&gt;F$2,'ProductSprint Backlog'!$I34&lt;=F$2), 'ProductSprint Backlog'!$F34 / MAX(1, 'ProductSprint Backlog'!$J34-'ProductSprint Backlog'!$I34), AND('ProductSprint Backlog'!$J34=F$2,'ProductSprint Backlog'!$I34=F$2), 'ProductSprint Backlog'!$F34, TRUE, 0)</f>
        <v>0</v>
      </c>
      <c r="G34" s="4" cm="1">
        <f t="array" ref="G34">_xlfn.IFS('ProductSprint Backlog'!$F34="", "", AND('ProductSprint Backlog'!$J34&gt;G$2,'ProductSprint Backlog'!$I34&lt;=G$2), 'ProductSprint Backlog'!$F34 / MAX(1, 'ProductSprint Backlog'!$J34-'ProductSprint Backlog'!$I34), AND('ProductSprint Backlog'!$J34=G$2,'ProductSprint Backlog'!$I34=G$2), 'ProductSprint Backlog'!$F34, TRUE, 0)</f>
        <v>0</v>
      </c>
      <c r="H34" s="4" cm="1">
        <f t="array" ref="H34">_xlfn.IFS('ProductSprint Backlog'!$F34="", "", AND('ProductSprint Backlog'!$J34&gt;H$2,'ProductSprint Backlog'!$I34&lt;=H$2), 'ProductSprint Backlog'!$F34 / MAX(1, 'ProductSprint Backlog'!$J34-'ProductSprint Backlog'!$I34), AND('ProductSprint Backlog'!$J34=H$2,'ProductSprint Backlog'!$I34=H$2), 'ProductSprint Backlog'!$F34, TRUE, 0)</f>
        <v>0</v>
      </c>
      <c r="I34" s="4" cm="1">
        <f t="array" ref="I34">_xlfn.IFS('ProductSprint Backlog'!$F34="", "", AND('ProductSprint Backlog'!$J34&gt;I$2,'ProductSprint Backlog'!$I34&lt;=I$2), 'ProductSprint Backlog'!$F34 / MAX(1, 'ProductSprint Backlog'!$J34-'ProductSprint Backlog'!$I34), AND('ProductSprint Backlog'!$J34=I$2,'ProductSprint Backlog'!$I34=I$2), 'ProductSprint Backlog'!$F34, TRUE, 0)</f>
        <v>0</v>
      </c>
      <c r="J34" s="4" cm="1">
        <f t="array" ref="J34">_xlfn.IFS('ProductSprint Backlog'!$F34="", "", AND('ProductSprint Backlog'!$J34&gt;J$2,'ProductSprint Backlog'!$I34&lt;=J$2), 'ProductSprint Backlog'!$F34 / MAX(1, 'ProductSprint Backlog'!$J34-'ProductSprint Backlog'!$I34), AND('ProductSprint Backlog'!$J34=J$2,'ProductSprint Backlog'!$I34=J$2), 'ProductSprint Backlog'!$F34, TRUE, 0)</f>
        <v>0</v>
      </c>
      <c r="K34" s="4" cm="1">
        <f t="array" ref="K34">_xlfn.IFS('ProductSprint Backlog'!$F34="", "", AND('ProductSprint Backlog'!$J34&gt;K$2,'ProductSprint Backlog'!$I34&lt;=K$2), 'ProductSprint Backlog'!$F34 / MAX(1, 'ProductSprint Backlog'!$J34-'ProductSprint Backlog'!$I34), AND('ProductSprint Backlog'!$J34=K$2,'ProductSprint Backlog'!$I34=K$2), 'ProductSprint Backlog'!$F34, TRUE, 0)</f>
        <v>0</v>
      </c>
      <c r="L34" s="4" cm="1">
        <f t="array" ref="L34">_xlfn.IFS('ProductSprint Backlog'!$F34="", "", AND('ProductSprint Backlog'!$J34&gt;L$2,'ProductSprint Backlog'!$I34&lt;=L$2), 'ProductSprint Backlog'!$F34 / MAX(1, 'ProductSprint Backlog'!$J34-'ProductSprint Backlog'!$I34), AND('ProductSprint Backlog'!$J34=L$2,'ProductSprint Backlog'!$I34=L$2), 'ProductSprint Backlog'!$F34, TRUE, 0)</f>
        <v>0</v>
      </c>
      <c r="M34" s="4" cm="1">
        <f t="array" ref="M34">_xlfn.IFS('ProductSprint Backlog'!$F34="", "", AND('ProductSprint Backlog'!$J34&gt;M$2,'ProductSprint Backlog'!$I34&lt;=M$2), 'ProductSprint Backlog'!$F34 / MAX(1, 'ProductSprint Backlog'!$J34-'ProductSprint Backlog'!$I34), AND('ProductSprint Backlog'!$J34=M$2,'ProductSprint Backlog'!$I34=M$2), 'ProductSprint Backlog'!$F34, TRUE, 0)</f>
        <v>0</v>
      </c>
      <c r="N34" s="4" cm="1">
        <f t="array" ref="N34">_xlfn.IFS('ProductSprint Backlog'!$F34="", "", AND('ProductSprint Backlog'!$J34&gt;N$2,'ProductSprint Backlog'!$I34&lt;=N$2), 'ProductSprint Backlog'!$F34 / MAX(1, 'ProductSprint Backlog'!$J34-'ProductSprint Backlog'!$I34), AND('ProductSprint Backlog'!$J34=N$2,'ProductSprint Backlog'!$I34=N$2), 'ProductSprint Backlog'!$F34, TRUE, 0)</f>
        <v>0</v>
      </c>
      <c r="O34" s="4" cm="1">
        <f t="array" ref="O34">_xlfn.IFS('ProductSprint Backlog'!$F34="", "", AND('ProductSprint Backlog'!$J34&gt;O$2,'ProductSprint Backlog'!$I34&lt;=O$2), 'ProductSprint Backlog'!$F34 / MAX(1, 'ProductSprint Backlog'!$J34-'ProductSprint Backlog'!$I34), AND('ProductSprint Backlog'!$J34=O$2,'ProductSprint Backlog'!$I34=O$2), 'ProductSprint Backlog'!$F34, TRUE, 0)</f>
        <v>0</v>
      </c>
      <c r="P34" s="4" cm="1">
        <f t="array" ref="P34">_xlfn.IFS('ProductSprint Backlog'!$F34="", "", AND('ProductSprint Backlog'!$J34&gt;P$2,'ProductSprint Backlog'!$I34&lt;=P$2), 'ProductSprint Backlog'!$F34 / MAX(1, 'ProductSprint Backlog'!$J34-'ProductSprint Backlog'!$I34), AND('ProductSprint Backlog'!$J34=P$2,'ProductSprint Backlog'!$I34=P$2), 'ProductSprint Backlog'!$F34, TRUE, 0)</f>
        <v>0</v>
      </c>
      <c r="Q34" s="4" cm="1">
        <f t="array" ref="Q34">_xlfn.IFS('ProductSprint Backlog'!$F34="", "", AND('ProductSprint Backlog'!$J34&gt;Q$2,'ProductSprint Backlog'!$I34&lt;=Q$2), 'ProductSprint Backlog'!$F34 / MAX(1, 'ProductSprint Backlog'!$J34-'ProductSprint Backlog'!$I34), AND('ProductSprint Backlog'!$J34=Q$2,'ProductSprint Backlog'!$I34=Q$2), 'ProductSprint Backlog'!$F34, TRUE, 0)</f>
        <v>0</v>
      </c>
    </row>
    <row r="35" spans="2:17" x14ac:dyDescent="0.2">
      <c r="B35" s="4" cm="1">
        <f t="array" ref="B35">_xlfn.IFS('ProductSprint Backlog'!$F35="", "", AND('ProductSprint Backlog'!$J35&gt;B$2,'ProductSprint Backlog'!$I35&lt;=B$2), 'ProductSprint Backlog'!$F35 / MAX(1, 'ProductSprint Backlog'!$J35-'ProductSprint Backlog'!$I35), AND('ProductSprint Backlog'!$J35=B$2,'ProductSprint Backlog'!$I35=B$2), 'ProductSprint Backlog'!$F35, TRUE, 0)</f>
        <v>0</v>
      </c>
      <c r="C35" s="4" cm="1">
        <f t="array" ref="C35">_xlfn.IFS('ProductSprint Backlog'!$F35="", "", AND('ProductSprint Backlog'!$J35&gt;C$2,'ProductSprint Backlog'!$I35&lt;=C$2), 'ProductSprint Backlog'!$F35 / MAX(1, 'ProductSprint Backlog'!$J35-'ProductSprint Backlog'!$I35), AND('ProductSprint Backlog'!$J35=C$2,'ProductSprint Backlog'!$I35=C$2), 'ProductSprint Backlog'!$F35, TRUE, 0)</f>
        <v>0</v>
      </c>
      <c r="D35" s="4" cm="1">
        <f t="array" ref="D35">_xlfn.IFS('ProductSprint Backlog'!$F35="", "", AND('ProductSprint Backlog'!$J35&gt;D$2,'ProductSprint Backlog'!$I35&lt;=D$2), 'ProductSprint Backlog'!$F35 / MAX(1, 'ProductSprint Backlog'!$J35-'ProductSprint Backlog'!$I35), AND('ProductSprint Backlog'!$J35=D$2,'ProductSprint Backlog'!$I35=D$2), 'ProductSprint Backlog'!$F35, TRUE, 0)</f>
        <v>0</v>
      </c>
      <c r="E35" s="4" cm="1">
        <f t="array" ref="E35">_xlfn.IFS('ProductSprint Backlog'!$F35="", "", AND('ProductSprint Backlog'!$J35&gt;E$2,'ProductSprint Backlog'!$I35&lt;=E$2), 'ProductSprint Backlog'!$F35 / MAX(1, 'ProductSprint Backlog'!$J35-'ProductSprint Backlog'!$I35), AND('ProductSprint Backlog'!$J35=E$2,'ProductSprint Backlog'!$I35=E$2), 'ProductSprint Backlog'!$F35, TRUE, 0)</f>
        <v>0</v>
      </c>
      <c r="F35" s="4" cm="1">
        <f t="array" ref="F35">_xlfn.IFS('ProductSprint Backlog'!$F35="", "", AND('ProductSprint Backlog'!$J35&gt;F$2,'ProductSprint Backlog'!$I35&lt;=F$2), 'ProductSprint Backlog'!$F35 / MAX(1, 'ProductSprint Backlog'!$J35-'ProductSprint Backlog'!$I35), AND('ProductSprint Backlog'!$J35=F$2,'ProductSprint Backlog'!$I35=F$2), 'ProductSprint Backlog'!$F35, TRUE, 0)</f>
        <v>0</v>
      </c>
      <c r="G35" s="4" cm="1">
        <f t="array" ref="G35">_xlfn.IFS('ProductSprint Backlog'!$F35="", "", AND('ProductSprint Backlog'!$J35&gt;G$2,'ProductSprint Backlog'!$I35&lt;=G$2), 'ProductSprint Backlog'!$F35 / MAX(1, 'ProductSprint Backlog'!$J35-'ProductSprint Backlog'!$I35), AND('ProductSprint Backlog'!$J35=G$2,'ProductSprint Backlog'!$I35=G$2), 'ProductSprint Backlog'!$F35, TRUE, 0)</f>
        <v>0</v>
      </c>
      <c r="H35" s="4" cm="1">
        <f t="array" ref="H35">_xlfn.IFS('ProductSprint Backlog'!$F35="", "", AND('ProductSprint Backlog'!$J35&gt;H$2,'ProductSprint Backlog'!$I35&lt;=H$2), 'ProductSprint Backlog'!$F35 / MAX(1, 'ProductSprint Backlog'!$J35-'ProductSprint Backlog'!$I35), AND('ProductSprint Backlog'!$J35=H$2,'ProductSprint Backlog'!$I35=H$2), 'ProductSprint Backlog'!$F35, TRUE, 0)</f>
        <v>0</v>
      </c>
      <c r="I35" s="4" cm="1">
        <f t="array" ref="I35">_xlfn.IFS('ProductSprint Backlog'!$F35="", "", AND('ProductSprint Backlog'!$J35&gt;I$2,'ProductSprint Backlog'!$I35&lt;=I$2), 'ProductSprint Backlog'!$F35 / MAX(1, 'ProductSprint Backlog'!$J35-'ProductSprint Backlog'!$I35), AND('ProductSprint Backlog'!$J35=I$2,'ProductSprint Backlog'!$I35=I$2), 'ProductSprint Backlog'!$F35, TRUE, 0)</f>
        <v>0</v>
      </c>
      <c r="J35" s="4" cm="1">
        <f t="array" ref="J35">_xlfn.IFS('ProductSprint Backlog'!$F35="", "", AND('ProductSprint Backlog'!$J35&gt;J$2,'ProductSprint Backlog'!$I35&lt;=J$2), 'ProductSprint Backlog'!$F35 / MAX(1, 'ProductSprint Backlog'!$J35-'ProductSprint Backlog'!$I35), AND('ProductSprint Backlog'!$J35=J$2,'ProductSprint Backlog'!$I35=J$2), 'ProductSprint Backlog'!$F35, TRUE, 0)</f>
        <v>0</v>
      </c>
      <c r="K35" s="4" cm="1">
        <f t="array" ref="K35">_xlfn.IFS('ProductSprint Backlog'!$F35="", "", AND('ProductSprint Backlog'!$J35&gt;K$2,'ProductSprint Backlog'!$I35&lt;=K$2), 'ProductSprint Backlog'!$F35 / MAX(1, 'ProductSprint Backlog'!$J35-'ProductSprint Backlog'!$I35), AND('ProductSprint Backlog'!$J35=K$2,'ProductSprint Backlog'!$I35=K$2), 'ProductSprint Backlog'!$F35, TRUE, 0)</f>
        <v>0</v>
      </c>
      <c r="L35" s="4" cm="1">
        <f t="array" ref="L35">_xlfn.IFS('ProductSprint Backlog'!$F35="", "", AND('ProductSprint Backlog'!$J35&gt;L$2,'ProductSprint Backlog'!$I35&lt;=L$2), 'ProductSprint Backlog'!$F35 / MAX(1, 'ProductSprint Backlog'!$J35-'ProductSprint Backlog'!$I35), AND('ProductSprint Backlog'!$J35=L$2,'ProductSprint Backlog'!$I35=L$2), 'ProductSprint Backlog'!$F35, TRUE, 0)</f>
        <v>0</v>
      </c>
      <c r="M35" s="4" cm="1">
        <f t="array" ref="M35">_xlfn.IFS('ProductSprint Backlog'!$F35="", "", AND('ProductSprint Backlog'!$J35&gt;M$2,'ProductSprint Backlog'!$I35&lt;=M$2), 'ProductSprint Backlog'!$F35 / MAX(1, 'ProductSprint Backlog'!$J35-'ProductSprint Backlog'!$I35), AND('ProductSprint Backlog'!$J35=M$2,'ProductSprint Backlog'!$I35=M$2), 'ProductSprint Backlog'!$F35, TRUE, 0)</f>
        <v>0</v>
      </c>
      <c r="N35" s="4" cm="1">
        <f t="array" ref="N35">_xlfn.IFS('ProductSprint Backlog'!$F35="", "", AND('ProductSprint Backlog'!$J35&gt;N$2,'ProductSprint Backlog'!$I35&lt;=N$2), 'ProductSprint Backlog'!$F35 / MAX(1, 'ProductSprint Backlog'!$J35-'ProductSprint Backlog'!$I35), AND('ProductSprint Backlog'!$J35=N$2,'ProductSprint Backlog'!$I35=N$2), 'ProductSprint Backlog'!$F35, TRUE, 0)</f>
        <v>0</v>
      </c>
      <c r="O35" s="4" cm="1">
        <f t="array" ref="O35">_xlfn.IFS('ProductSprint Backlog'!$F35="", "", AND('ProductSprint Backlog'!$J35&gt;O$2,'ProductSprint Backlog'!$I35&lt;=O$2), 'ProductSprint Backlog'!$F35 / MAX(1, 'ProductSprint Backlog'!$J35-'ProductSprint Backlog'!$I35), AND('ProductSprint Backlog'!$J35=O$2,'ProductSprint Backlog'!$I35=O$2), 'ProductSprint Backlog'!$F35, TRUE, 0)</f>
        <v>0</v>
      </c>
      <c r="P35" s="4" cm="1">
        <f t="array" ref="P35">_xlfn.IFS('ProductSprint Backlog'!$F35="", "", AND('ProductSprint Backlog'!$J35&gt;P$2,'ProductSprint Backlog'!$I35&lt;=P$2), 'ProductSprint Backlog'!$F35 / MAX(1, 'ProductSprint Backlog'!$J35-'ProductSprint Backlog'!$I35), AND('ProductSprint Backlog'!$J35=P$2,'ProductSprint Backlog'!$I35=P$2), 'ProductSprint Backlog'!$F35, TRUE, 0)</f>
        <v>0</v>
      </c>
      <c r="Q35" s="4" cm="1">
        <f t="array" ref="Q35">_xlfn.IFS('ProductSprint Backlog'!$F35="", "", AND('ProductSprint Backlog'!$J35&gt;Q$2,'ProductSprint Backlog'!$I35&lt;=Q$2), 'ProductSprint Backlog'!$F35 / MAX(1, 'ProductSprint Backlog'!$J35-'ProductSprint Backlog'!$I35), AND('ProductSprint Backlog'!$J35=Q$2,'ProductSprint Backlog'!$I35=Q$2), 'ProductSprint Backlog'!$F35, TRUE, 0)</f>
        <v>0</v>
      </c>
    </row>
    <row r="36" spans="2:17" x14ac:dyDescent="0.2">
      <c r="B36" s="4" t="str" cm="1">
        <f t="array" ref="B36">_xlfn.IFS('ProductSprint Backlog'!$F36="", "", AND('ProductSprint Backlog'!$J36&gt;B$2,'ProductSprint Backlog'!$I36&lt;=B$2), 'ProductSprint Backlog'!$F36 / MAX(1, 'ProductSprint Backlog'!$J36-'ProductSprint Backlog'!$I36), AND('ProductSprint Backlog'!$J36=B$2,'ProductSprint Backlog'!$I36=B$2), 'ProductSprint Backlog'!$F36, TRUE, 0)</f>
        <v/>
      </c>
      <c r="C36" s="4" t="str" cm="1">
        <f t="array" ref="C36">_xlfn.IFS('ProductSprint Backlog'!$F36="", "", AND('ProductSprint Backlog'!$J36&gt;C$2,'ProductSprint Backlog'!$I36&lt;=C$2), 'ProductSprint Backlog'!$F36 / MAX(1, 'ProductSprint Backlog'!$J36-'ProductSprint Backlog'!$I36), AND('ProductSprint Backlog'!$J36=C$2,'ProductSprint Backlog'!$I36=C$2), 'ProductSprint Backlog'!$F36, TRUE, 0)</f>
        <v/>
      </c>
      <c r="D36" s="4" t="str" cm="1">
        <f t="array" ref="D36">_xlfn.IFS('ProductSprint Backlog'!$F36="", "", AND('ProductSprint Backlog'!$J36&gt;D$2,'ProductSprint Backlog'!$I36&lt;=D$2), 'ProductSprint Backlog'!$F36 / MAX(1, 'ProductSprint Backlog'!$J36-'ProductSprint Backlog'!$I36), AND('ProductSprint Backlog'!$J36=D$2,'ProductSprint Backlog'!$I36=D$2), 'ProductSprint Backlog'!$F36, TRUE, 0)</f>
        <v/>
      </c>
      <c r="E36" s="4" t="str" cm="1">
        <f t="array" ref="E36">_xlfn.IFS('ProductSprint Backlog'!$F36="", "", AND('ProductSprint Backlog'!$J36&gt;E$2,'ProductSprint Backlog'!$I36&lt;=E$2), 'ProductSprint Backlog'!$F36 / MAX(1, 'ProductSprint Backlog'!$J36-'ProductSprint Backlog'!$I36), AND('ProductSprint Backlog'!$J36=E$2,'ProductSprint Backlog'!$I36=E$2), 'ProductSprint Backlog'!$F36, TRUE, 0)</f>
        <v/>
      </c>
      <c r="F36" s="4" t="str" cm="1">
        <f t="array" ref="F36">_xlfn.IFS('ProductSprint Backlog'!$F36="", "", AND('ProductSprint Backlog'!$J36&gt;F$2,'ProductSprint Backlog'!$I36&lt;=F$2), 'ProductSprint Backlog'!$F36 / MAX(1, 'ProductSprint Backlog'!$J36-'ProductSprint Backlog'!$I36), AND('ProductSprint Backlog'!$J36=F$2,'ProductSprint Backlog'!$I36=F$2), 'ProductSprint Backlog'!$F36, TRUE, 0)</f>
        <v/>
      </c>
      <c r="G36" s="4" t="str" cm="1">
        <f t="array" ref="G36">_xlfn.IFS('ProductSprint Backlog'!$F36="", "", AND('ProductSprint Backlog'!$J36&gt;G$2,'ProductSprint Backlog'!$I36&lt;=G$2), 'ProductSprint Backlog'!$F36 / MAX(1, 'ProductSprint Backlog'!$J36-'ProductSprint Backlog'!$I36), AND('ProductSprint Backlog'!$J36=G$2,'ProductSprint Backlog'!$I36=G$2), 'ProductSprint Backlog'!$F36, TRUE, 0)</f>
        <v/>
      </c>
      <c r="H36" s="4" t="str" cm="1">
        <f t="array" ref="H36">_xlfn.IFS('ProductSprint Backlog'!$F36="", "", AND('ProductSprint Backlog'!$J36&gt;H$2,'ProductSprint Backlog'!$I36&lt;=H$2), 'ProductSprint Backlog'!$F36 / MAX(1, 'ProductSprint Backlog'!$J36-'ProductSprint Backlog'!$I36), AND('ProductSprint Backlog'!$J36=H$2,'ProductSprint Backlog'!$I36=H$2), 'ProductSprint Backlog'!$F36, TRUE, 0)</f>
        <v/>
      </c>
      <c r="I36" s="4" t="str" cm="1">
        <f t="array" ref="I36">_xlfn.IFS('ProductSprint Backlog'!$F36="", "", AND('ProductSprint Backlog'!$J36&gt;I$2,'ProductSprint Backlog'!$I36&lt;=I$2), 'ProductSprint Backlog'!$F36 / MAX(1, 'ProductSprint Backlog'!$J36-'ProductSprint Backlog'!$I36), AND('ProductSprint Backlog'!$J36=I$2,'ProductSprint Backlog'!$I36=I$2), 'ProductSprint Backlog'!$F36, TRUE, 0)</f>
        <v/>
      </c>
      <c r="J36" s="4" t="str" cm="1">
        <f t="array" ref="J36">_xlfn.IFS('ProductSprint Backlog'!$F36="", "", AND('ProductSprint Backlog'!$J36&gt;J$2,'ProductSprint Backlog'!$I36&lt;=J$2), 'ProductSprint Backlog'!$F36 / MAX(1, 'ProductSprint Backlog'!$J36-'ProductSprint Backlog'!$I36), AND('ProductSprint Backlog'!$J36=J$2,'ProductSprint Backlog'!$I36=J$2), 'ProductSprint Backlog'!$F36, TRUE, 0)</f>
        <v/>
      </c>
      <c r="K36" s="4" t="str" cm="1">
        <f t="array" ref="K36">_xlfn.IFS('ProductSprint Backlog'!$F36="", "", AND('ProductSprint Backlog'!$J36&gt;K$2,'ProductSprint Backlog'!$I36&lt;=K$2), 'ProductSprint Backlog'!$F36 / MAX(1, 'ProductSprint Backlog'!$J36-'ProductSprint Backlog'!$I36), AND('ProductSprint Backlog'!$J36=K$2,'ProductSprint Backlog'!$I36=K$2), 'ProductSprint Backlog'!$F36, TRUE, 0)</f>
        <v/>
      </c>
      <c r="L36" s="4" t="str" cm="1">
        <f t="array" ref="L36">_xlfn.IFS('ProductSprint Backlog'!$F36="", "", AND('ProductSprint Backlog'!$J36&gt;L$2,'ProductSprint Backlog'!$I36&lt;=L$2), 'ProductSprint Backlog'!$F36 / MAX(1, 'ProductSprint Backlog'!$J36-'ProductSprint Backlog'!$I36), AND('ProductSprint Backlog'!$J36=L$2,'ProductSprint Backlog'!$I36=L$2), 'ProductSprint Backlog'!$F36, TRUE, 0)</f>
        <v/>
      </c>
      <c r="M36" s="4" t="str" cm="1">
        <f t="array" ref="M36">_xlfn.IFS('ProductSprint Backlog'!$F36="", "", AND('ProductSprint Backlog'!$J36&gt;M$2,'ProductSprint Backlog'!$I36&lt;=M$2), 'ProductSprint Backlog'!$F36 / MAX(1, 'ProductSprint Backlog'!$J36-'ProductSprint Backlog'!$I36), AND('ProductSprint Backlog'!$J36=M$2,'ProductSprint Backlog'!$I36=M$2), 'ProductSprint Backlog'!$F36, TRUE, 0)</f>
        <v/>
      </c>
      <c r="N36" s="4" t="str" cm="1">
        <f t="array" ref="N36">_xlfn.IFS('ProductSprint Backlog'!$F36="", "", AND('ProductSprint Backlog'!$J36&gt;N$2,'ProductSprint Backlog'!$I36&lt;=N$2), 'ProductSprint Backlog'!$F36 / MAX(1, 'ProductSprint Backlog'!$J36-'ProductSprint Backlog'!$I36), AND('ProductSprint Backlog'!$J36=N$2,'ProductSprint Backlog'!$I36=N$2), 'ProductSprint Backlog'!$F36, TRUE, 0)</f>
        <v/>
      </c>
      <c r="O36" s="4" t="str" cm="1">
        <f t="array" ref="O36">_xlfn.IFS('ProductSprint Backlog'!$F36="", "", AND('ProductSprint Backlog'!$J36&gt;O$2,'ProductSprint Backlog'!$I36&lt;=O$2), 'ProductSprint Backlog'!$F36 / MAX(1, 'ProductSprint Backlog'!$J36-'ProductSprint Backlog'!$I36), AND('ProductSprint Backlog'!$J36=O$2,'ProductSprint Backlog'!$I36=O$2), 'ProductSprint Backlog'!$F36, TRUE, 0)</f>
        <v/>
      </c>
      <c r="P36" s="4" t="str" cm="1">
        <f t="array" ref="P36">_xlfn.IFS('ProductSprint Backlog'!$F36="", "", AND('ProductSprint Backlog'!$J36&gt;P$2,'ProductSprint Backlog'!$I36&lt;=P$2), 'ProductSprint Backlog'!$F36 / MAX(1, 'ProductSprint Backlog'!$J36-'ProductSprint Backlog'!$I36), AND('ProductSprint Backlog'!$J36=P$2,'ProductSprint Backlog'!$I36=P$2), 'ProductSprint Backlog'!$F36, TRUE, 0)</f>
        <v/>
      </c>
      <c r="Q36" s="4" t="str" cm="1">
        <f t="array" ref="Q36">_xlfn.IFS('ProductSprint Backlog'!$F36="", "", AND('ProductSprint Backlog'!$J36&gt;Q$2,'ProductSprint Backlog'!$I36&lt;=Q$2), 'ProductSprint Backlog'!$F36 / MAX(1, 'ProductSprint Backlog'!$J36-'ProductSprint Backlog'!$I36), AND('ProductSprint Backlog'!$J36=Q$2,'ProductSprint Backlog'!$I36=Q$2), 'ProductSprint Backlog'!$F36, TRUE, 0)</f>
        <v/>
      </c>
    </row>
    <row r="37" spans="2:17" x14ac:dyDescent="0.2">
      <c r="B37" s="4" cm="1">
        <f t="array" ref="B37">_xlfn.IFS('ProductSprint Backlog'!$F37="", "", AND('ProductSprint Backlog'!$J37&gt;B$2,'ProductSprint Backlog'!$I37&lt;=B$2), 'ProductSprint Backlog'!$F37 / MAX(1, 'ProductSprint Backlog'!$J37-'ProductSprint Backlog'!$I37), AND('ProductSprint Backlog'!$J37=B$2,'ProductSprint Backlog'!$I37=B$2), 'ProductSprint Backlog'!$F37, TRUE, 0)</f>
        <v>0</v>
      </c>
      <c r="C37" s="4" cm="1">
        <f t="array" ref="C37">_xlfn.IFS('ProductSprint Backlog'!$F37="", "", AND('ProductSprint Backlog'!$J37&gt;C$2,'ProductSprint Backlog'!$I37&lt;=C$2), 'ProductSprint Backlog'!$F37 / MAX(1, 'ProductSprint Backlog'!$J37-'ProductSprint Backlog'!$I37), AND('ProductSprint Backlog'!$J37=C$2,'ProductSprint Backlog'!$I37=C$2), 'ProductSprint Backlog'!$F37, TRUE, 0)</f>
        <v>0</v>
      </c>
      <c r="D37" s="4" cm="1">
        <f t="array" ref="D37">_xlfn.IFS('ProductSprint Backlog'!$F37="", "", AND('ProductSprint Backlog'!$J37&gt;D$2,'ProductSprint Backlog'!$I37&lt;=D$2), 'ProductSprint Backlog'!$F37 / MAX(1, 'ProductSprint Backlog'!$J37-'ProductSprint Backlog'!$I37), AND('ProductSprint Backlog'!$J37=D$2,'ProductSprint Backlog'!$I37=D$2), 'ProductSprint Backlog'!$F37, TRUE, 0)</f>
        <v>0</v>
      </c>
      <c r="E37" s="4" cm="1">
        <f t="array" ref="E37">_xlfn.IFS('ProductSprint Backlog'!$F37="", "", AND('ProductSprint Backlog'!$J37&gt;E$2,'ProductSprint Backlog'!$I37&lt;=E$2), 'ProductSprint Backlog'!$F37 / MAX(1, 'ProductSprint Backlog'!$J37-'ProductSprint Backlog'!$I37), AND('ProductSprint Backlog'!$J37=E$2,'ProductSprint Backlog'!$I37=E$2), 'ProductSprint Backlog'!$F37, TRUE, 0)</f>
        <v>0</v>
      </c>
      <c r="F37" s="4" cm="1">
        <f t="array" ref="F37">_xlfn.IFS('ProductSprint Backlog'!$F37="", "", AND('ProductSprint Backlog'!$J37&gt;F$2,'ProductSprint Backlog'!$I37&lt;=F$2), 'ProductSprint Backlog'!$F37 / MAX(1, 'ProductSprint Backlog'!$J37-'ProductSprint Backlog'!$I37), AND('ProductSprint Backlog'!$J37=F$2,'ProductSprint Backlog'!$I37=F$2), 'ProductSprint Backlog'!$F37, TRUE, 0)</f>
        <v>0</v>
      </c>
      <c r="G37" s="4" cm="1">
        <f t="array" ref="G37">_xlfn.IFS('ProductSprint Backlog'!$F37="", "", AND('ProductSprint Backlog'!$J37&gt;G$2,'ProductSprint Backlog'!$I37&lt;=G$2), 'ProductSprint Backlog'!$F37 / MAX(1, 'ProductSprint Backlog'!$J37-'ProductSprint Backlog'!$I37), AND('ProductSprint Backlog'!$J37=G$2,'ProductSprint Backlog'!$I37=G$2), 'ProductSprint Backlog'!$F37, TRUE, 0)</f>
        <v>0</v>
      </c>
      <c r="H37" s="4" cm="1">
        <f t="array" ref="H37">_xlfn.IFS('ProductSprint Backlog'!$F37="", "", AND('ProductSprint Backlog'!$J37&gt;H$2,'ProductSprint Backlog'!$I37&lt;=H$2), 'ProductSprint Backlog'!$F37 / MAX(1, 'ProductSprint Backlog'!$J37-'ProductSprint Backlog'!$I37), AND('ProductSprint Backlog'!$J37=H$2,'ProductSprint Backlog'!$I37=H$2), 'ProductSprint Backlog'!$F37, TRUE, 0)</f>
        <v>0</v>
      </c>
      <c r="I37" s="4" cm="1">
        <f t="array" ref="I37">_xlfn.IFS('ProductSprint Backlog'!$F37="", "", AND('ProductSprint Backlog'!$J37&gt;I$2,'ProductSprint Backlog'!$I37&lt;=I$2), 'ProductSprint Backlog'!$F37 / MAX(1, 'ProductSprint Backlog'!$J37-'ProductSprint Backlog'!$I37), AND('ProductSprint Backlog'!$J37=I$2,'ProductSprint Backlog'!$I37=I$2), 'ProductSprint Backlog'!$F37, TRUE, 0)</f>
        <v>0</v>
      </c>
      <c r="J37" s="4" cm="1">
        <f t="array" ref="J37">_xlfn.IFS('ProductSprint Backlog'!$F37="", "", AND('ProductSprint Backlog'!$J37&gt;J$2,'ProductSprint Backlog'!$I37&lt;=J$2), 'ProductSprint Backlog'!$F37 / MAX(1, 'ProductSprint Backlog'!$J37-'ProductSprint Backlog'!$I37), AND('ProductSprint Backlog'!$J37=J$2,'ProductSprint Backlog'!$I37=J$2), 'ProductSprint Backlog'!$F37, TRUE, 0)</f>
        <v>0</v>
      </c>
      <c r="K37" s="4" cm="1">
        <f t="array" ref="K37">_xlfn.IFS('ProductSprint Backlog'!$F37="", "", AND('ProductSprint Backlog'!$J37&gt;K$2,'ProductSprint Backlog'!$I37&lt;=K$2), 'ProductSprint Backlog'!$F37 / MAX(1, 'ProductSprint Backlog'!$J37-'ProductSprint Backlog'!$I37), AND('ProductSprint Backlog'!$J37=K$2,'ProductSprint Backlog'!$I37=K$2), 'ProductSprint Backlog'!$F37, TRUE, 0)</f>
        <v>0</v>
      </c>
      <c r="L37" s="4" cm="1">
        <f t="array" ref="L37">_xlfn.IFS('ProductSprint Backlog'!$F37="", "", AND('ProductSprint Backlog'!$J37&gt;L$2,'ProductSprint Backlog'!$I37&lt;=L$2), 'ProductSprint Backlog'!$F37 / MAX(1, 'ProductSprint Backlog'!$J37-'ProductSprint Backlog'!$I37), AND('ProductSprint Backlog'!$J37=L$2,'ProductSprint Backlog'!$I37=L$2), 'ProductSprint Backlog'!$F37, TRUE, 0)</f>
        <v>0</v>
      </c>
      <c r="M37" s="4" cm="1">
        <f t="array" ref="M37">_xlfn.IFS('ProductSprint Backlog'!$F37="", "", AND('ProductSprint Backlog'!$J37&gt;M$2,'ProductSprint Backlog'!$I37&lt;=M$2), 'ProductSprint Backlog'!$F37 / MAX(1, 'ProductSprint Backlog'!$J37-'ProductSprint Backlog'!$I37), AND('ProductSprint Backlog'!$J37=M$2,'ProductSprint Backlog'!$I37=M$2), 'ProductSprint Backlog'!$F37, TRUE, 0)</f>
        <v>0</v>
      </c>
      <c r="N37" s="4" cm="1">
        <f t="array" ref="N37">_xlfn.IFS('ProductSprint Backlog'!$F37="", "", AND('ProductSprint Backlog'!$J37&gt;N$2,'ProductSprint Backlog'!$I37&lt;=N$2), 'ProductSprint Backlog'!$F37 / MAX(1, 'ProductSprint Backlog'!$J37-'ProductSprint Backlog'!$I37), AND('ProductSprint Backlog'!$J37=N$2,'ProductSprint Backlog'!$I37=N$2), 'ProductSprint Backlog'!$F37, TRUE, 0)</f>
        <v>0</v>
      </c>
      <c r="O37" s="4" cm="1">
        <f t="array" ref="O37">_xlfn.IFS('ProductSprint Backlog'!$F37="", "", AND('ProductSprint Backlog'!$J37&gt;O$2,'ProductSprint Backlog'!$I37&lt;=O$2), 'ProductSprint Backlog'!$F37 / MAX(1, 'ProductSprint Backlog'!$J37-'ProductSprint Backlog'!$I37), AND('ProductSprint Backlog'!$J37=O$2,'ProductSprint Backlog'!$I37=O$2), 'ProductSprint Backlog'!$F37, TRUE, 0)</f>
        <v>0</v>
      </c>
      <c r="P37" s="4" cm="1">
        <f t="array" ref="P37">_xlfn.IFS('ProductSprint Backlog'!$F37="", "", AND('ProductSprint Backlog'!$J37&gt;P$2,'ProductSprint Backlog'!$I37&lt;=P$2), 'ProductSprint Backlog'!$F37 / MAX(1, 'ProductSprint Backlog'!$J37-'ProductSprint Backlog'!$I37), AND('ProductSprint Backlog'!$J37=P$2,'ProductSprint Backlog'!$I37=P$2), 'ProductSprint Backlog'!$F37, TRUE, 0)</f>
        <v>0</v>
      </c>
      <c r="Q37" s="4" cm="1">
        <f t="array" ref="Q37">_xlfn.IFS('ProductSprint Backlog'!$F37="", "", AND('ProductSprint Backlog'!$J37&gt;Q$2,'ProductSprint Backlog'!$I37&lt;=Q$2), 'ProductSprint Backlog'!$F37 / MAX(1, 'ProductSprint Backlog'!$J37-'ProductSprint Backlog'!$I37), AND('ProductSprint Backlog'!$J37=Q$2,'ProductSprint Backlog'!$I37=Q$2), 'ProductSprint Backlog'!$F37, TRUE, 0)</f>
        <v>0</v>
      </c>
    </row>
    <row r="38" spans="2:17" x14ac:dyDescent="0.2">
      <c r="B38" s="4" cm="1">
        <f t="array" ref="B38">_xlfn.IFS('ProductSprint Backlog'!$F38="", "", AND('ProductSprint Backlog'!$J38&gt;B$2,'ProductSprint Backlog'!$I38&lt;=B$2), 'ProductSprint Backlog'!$F38 / MAX(1, 'ProductSprint Backlog'!$J38-'ProductSprint Backlog'!$I38), AND('ProductSprint Backlog'!$J38=B$2,'ProductSprint Backlog'!$I38=B$2), 'ProductSprint Backlog'!$F38, TRUE, 0)</f>
        <v>0</v>
      </c>
      <c r="C38" s="4" cm="1">
        <f t="array" ref="C38">_xlfn.IFS('ProductSprint Backlog'!$F38="", "", AND('ProductSprint Backlog'!$J38&gt;C$2,'ProductSprint Backlog'!$I38&lt;=C$2), 'ProductSprint Backlog'!$F38 / MAX(1, 'ProductSprint Backlog'!$J38-'ProductSprint Backlog'!$I38), AND('ProductSprint Backlog'!$J38=C$2,'ProductSprint Backlog'!$I38=C$2), 'ProductSprint Backlog'!$F38, TRUE, 0)</f>
        <v>0</v>
      </c>
      <c r="D38" s="4" cm="1">
        <f t="array" ref="D38">_xlfn.IFS('ProductSprint Backlog'!$F38="", "", AND('ProductSprint Backlog'!$J38&gt;D$2,'ProductSprint Backlog'!$I38&lt;=D$2), 'ProductSprint Backlog'!$F38 / MAX(1, 'ProductSprint Backlog'!$J38-'ProductSprint Backlog'!$I38), AND('ProductSprint Backlog'!$J38=D$2,'ProductSprint Backlog'!$I38=D$2), 'ProductSprint Backlog'!$F38, TRUE, 0)</f>
        <v>0</v>
      </c>
      <c r="E38" s="4" cm="1">
        <f t="array" ref="E38">_xlfn.IFS('ProductSprint Backlog'!$F38="", "", AND('ProductSprint Backlog'!$J38&gt;E$2,'ProductSprint Backlog'!$I38&lt;=E$2), 'ProductSprint Backlog'!$F38 / MAX(1, 'ProductSprint Backlog'!$J38-'ProductSprint Backlog'!$I38), AND('ProductSprint Backlog'!$J38=E$2,'ProductSprint Backlog'!$I38=E$2), 'ProductSprint Backlog'!$F38, TRUE, 0)</f>
        <v>0</v>
      </c>
      <c r="F38" s="4" cm="1">
        <f t="array" ref="F38">_xlfn.IFS('ProductSprint Backlog'!$F38="", "", AND('ProductSprint Backlog'!$J38&gt;F$2,'ProductSprint Backlog'!$I38&lt;=F$2), 'ProductSprint Backlog'!$F38 / MAX(1, 'ProductSprint Backlog'!$J38-'ProductSprint Backlog'!$I38), AND('ProductSprint Backlog'!$J38=F$2,'ProductSprint Backlog'!$I38=F$2), 'ProductSprint Backlog'!$F38, TRUE, 0)</f>
        <v>0</v>
      </c>
      <c r="G38" s="4" cm="1">
        <f t="array" ref="G38">_xlfn.IFS('ProductSprint Backlog'!$F38="", "", AND('ProductSprint Backlog'!$J38&gt;G$2,'ProductSprint Backlog'!$I38&lt;=G$2), 'ProductSprint Backlog'!$F38 / MAX(1, 'ProductSprint Backlog'!$J38-'ProductSprint Backlog'!$I38), AND('ProductSprint Backlog'!$J38=G$2,'ProductSprint Backlog'!$I38=G$2), 'ProductSprint Backlog'!$F38, TRUE, 0)</f>
        <v>0</v>
      </c>
      <c r="H38" s="4" cm="1">
        <f t="array" ref="H38">_xlfn.IFS('ProductSprint Backlog'!$F38="", "", AND('ProductSprint Backlog'!$J38&gt;H$2,'ProductSprint Backlog'!$I38&lt;=H$2), 'ProductSprint Backlog'!$F38 / MAX(1, 'ProductSprint Backlog'!$J38-'ProductSprint Backlog'!$I38), AND('ProductSprint Backlog'!$J38=H$2,'ProductSprint Backlog'!$I38=H$2), 'ProductSprint Backlog'!$F38, TRUE, 0)</f>
        <v>0</v>
      </c>
      <c r="I38" s="4" cm="1">
        <f t="array" ref="I38">_xlfn.IFS('ProductSprint Backlog'!$F38="", "", AND('ProductSprint Backlog'!$J38&gt;I$2,'ProductSprint Backlog'!$I38&lt;=I$2), 'ProductSprint Backlog'!$F38 / MAX(1, 'ProductSprint Backlog'!$J38-'ProductSprint Backlog'!$I38), AND('ProductSprint Backlog'!$J38=I$2,'ProductSprint Backlog'!$I38=I$2), 'ProductSprint Backlog'!$F38, TRUE, 0)</f>
        <v>0</v>
      </c>
      <c r="J38" s="4" cm="1">
        <f t="array" ref="J38">_xlfn.IFS('ProductSprint Backlog'!$F38="", "", AND('ProductSprint Backlog'!$J38&gt;J$2,'ProductSprint Backlog'!$I38&lt;=J$2), 'ProductSprint Backlog'!$F38 / MAX(1, 'ProductSprint Backlog'!$J38-'ProductSprint Backlog'!$I38), AND('ProductSprint Backlog'!$J38=J$2,'ProductSprint Backlog'!$I38=J$2), 'ProductSprint Backlog'!$F38, TRUE, 0)</f>
        <v>0</v>
      </c>
      <c r="K38" s="4" cm="1">
        <f t="array" ref="K38">_xlfn.IFS('ProductSprint Backlog'!$F38="", "", AND('ProductSprint Backlog'!$J38&gt;K$2,'ProductSprint Backlog'!$I38&lt;=K$2), 'ProductSprint Backlog'!$F38 / MAX(1, 'ProductSprint Backlog'!$J38-'ProductSprint Backlog'!$I38), AND('ProductSprint Backlog'!$J38=K$2,'ProductSprint Backlog'!$I38=K$2), 'ProductSprint Backlog'!$F38, TRUE, 0)</f>
        <v>0</v>
      </c>
      <c r="L38" s="4" cm="1">
        <f t="array" ref="L38">_xlfn.IFS('ProductSprint Backlog'!$F38="", "", AND('ProductSprint Backlog'!$J38&gt;L$2,'ProductSprint Backlog'!$I38&lt;=L$2), 'ProductSprint Backlog'!$F38 / MAX(1, 'ProductSprint Backlog'!$J38-'ProductSprint Backlog'!$I38), AND('ProductSprint Backlog'!$J38=L$2,'ProductSprint Backlog'!$I38=L$2), 'ProductSprint Backlog'!$F38, TRUE, 0)</f>
        <v>0</v>
      </c>
      <c r="M38" s="4" cm="1">
        <f t="array" ref="M38">_xlfn.IFS('ProductSprint Backlog'!$F38="", "", AND('ProductSprint Backlog'!$J38&gt;M$2,'ProductSprint Backlog'!$I38&lt;=M$2), 'ProductSprint Backlog'!$F38 / MAX(1, 'ProductSprint Backlog'!$J38-'ProductSprint Backlog'!$I38), AND('ProductSprint Backlog'!$J38=M$2,'ProductSprint Backlog'!$I38=M$2), 'ProductSprint Backlog'!$F38, TRUE, 0)</f>
        <v>0</v>
      </c>
      <c r="N38" s="4" cm="1">
        <f t="array" ref="N38">_xlfn.IFS('ProductSprint Backlog'!$F38="", "", AND('ProductSprint Backlog'!$J38&gt;N$2,'ProductSprint Backlog'!$I38&lt;=N$2), 'ProductSprint Backlog'!$F38 / MAX(1, 'ProductSprint Backlog'!$J38-'ProductSprint Backlog'!$I38), AND('ProductSprint Backlog'!$J38=N$2,'ProductSprint Backlog'!$I38=N$2), 'ProductSprint Backlog'!$F38, TRUE, 0)</f>
        <v>0</v>
      </c>
      <c r="O38" s="4" cm="1">
        <f t="array" ref="O38">_xlfn.IFS('ProductSprint Backlog'!$F38="", "", AND('ProductSprint Backlog'!$J38&gt;O$2,'ProductSprint Backlog'!$I38&lt;=O$2), 'ProductSprint Backlog'!$F38 / MAX(1, 'ProductSprint Backlog'!$J38-'ProductSprint Backlog'!$I38), AND('ProductSprint Backlog'!$J38=O$2,'ProductSprint Backlog'!$I38=O$2), 'ProductSprint Backlog'!$F38, TRUE, 0)</f>
        <v>0</v>
      </c>
      <c r="P38" s="4" cm="1">
        <f t="array" ref="P38">_xlfn.IFS('ProductSprint Backlog'!$F38="", "", AND('ProductSprint Backlog'!$J38&gt;P$2,'ProductSprint Backlog'!$I38&lt;=P$2), 'ProductSprint Backlog'!$F38 / MAX(1, 'ProductSprint Backlog'!$J38-'ProductSprint Backlog'!$I38), AND('ProductSprint Backlog'!$J38=P$2,'ProductSprint Backlog'!$I38=P$2), 'ProductSprint Backlog'!$F38, TRUE, 0)</f>
        <v>0</v>
      </c>
      <c r="Q38" s="4" cm="1">
        <f t="array" ref="Q38">_xlfn.IFS('ProductSprint Backlog'!$F38="", "", AND('ProductSprint Backlog'!$J38&gt;Q$2,'ProductSprint Backlog'!$I38&lt;=Q$2), 'ProductSprint Backlog'!$F38 / MAX(1, 'ProductSprint Backlog'!$J38-'ProductSprint Backlog'!$I38), AND('ProductSprint Backlog'!$J38=Q$2,'ProductSprint Backlog'!$I38=Q$2), 'ProductSprint Backlog'!$F38, TRUE, 0)</f>
        <v>0</v>
      </c>
    </row>
    <row r="39" spans="2:17" x14ac:dyDescent="0.2">
      <c r="B39" s="4" cm="1">
        <f t="array" ref="B39">_xlfn.IFS('ProductSprint Backlog'!$F39="", "", AND('ProductSprint Backlog'!$J39&gt;B$2,'ProductSprint Backlog'!$I39&lt;=B$2), 'ProductSprint Backlog'!$F39 / MAX(1, 'ProductSprint Backlog'!$J39-'ProductSprint Backlog'!$I39), AND('ProductSprint Backlog'!$J39=B$2,'ProductSprint Backlog'!$I39=B$2), 'ProductSprint Backlog'!$F39, TRUE, 0)</f>
        <v>0</v>
      </c>
      <c r="C39" s="4" cm="1">
        <f t="array" ref="C39">_xlfn.IFS('ProductSprint Backlog'!$F39="", "", AND('ProductSprint Backlog'!$J39&gt;C$2,'ProductSprint Backlog'!$I39&lt;=C$2), 'ProductSprint Backlog'!$F39 / MAX(1, 'ProductSprint Backlog'!$J39-'ProductSprint Backlog'!$I39), AND('ProductSprint Backlog'!$J39=C$2,'ProductSprint Backlog'!$I39=C$2), 'ProductSprint Backlog'!$F39, TRUE, 0)</f>
        <v>0</v>
      </c>
      <c r="D39" s="4" cm="1">
        <f t="array" ref="D39">_xlfn.IFS('ProductSprint Backlog'!$F39="", "", AND('ProductSprint Backlog'!$J39&gt;D$2,'ProductSprint Backlog'!$I39&lt;=D$2), 'ProductSprint Backlog'!$F39 / MAX(1, 'ProductSprint Backlog'!$J39-'ProductSprint Backlog'!$I39), AND('ProductSprint Backlog'!$J39=D$2,'ProductSprint Backlog'!$I39=D$2), 'ProductSprint Backlog'!$F39, TRUE, 0)</f>
        <v>0</v>
      </c>
      <c r="E39" s="4" cm="1">
        <f t="array" ref="E39">_xlfn.IFS('ProductSprint Backlog'!$F39="", "", AND('ProductSprint Backlog'!$J39&gt;E$2,'ProductSprint Backlog'!$I39&lt;=E$2), 'ProductSprint Backlog'!$F39 / MAX(1, 'ProductSprint Backlog'!$J39-'ProductSprint Backlog'!$I39), AND('ProductSprint Backlog'!$J39=E$2,'ProductSprint Backlog'!$I39=E$2), 'ProductSprint Backlog'!$F39, TRUE, 0)</f>
        <v>0</v>
      </c>
      <c r="F39" s="4" cm="1">
        <f t="array" ref="F39">_xlfn.IFS('ProductSprint Backlog'!$F39="", "", AND('ProductSprint Backlog'!$J39&gt;F$2,'ProductSprint Backlog'!$I39&lt;=F$2), 'ProductSprint Backlog'!$F39 / MAX(1, 'ProductSprint Backlog'!$J39-'ProductSprint Backlog'!$I39), AND('ProductSprint Backlog'!$J39=F$2,'ProductSprint Backlog'!$I39=F$2), 'ProductSprint Backlog'!$F39, TRUE, 0)</f>
        <v>0</v>
      </c>
      <c r="G39" s="4" cm="1">
        <f t="array" ref="G39">_xlfn.IFS('ProductSprint Backlog'!$F39="", "", AND('ProductSprint Backlog'!$J39&gt;G$2,'ProductSprint Backlog'!$I39&lt;=G$2), 'ProductSprint Backlog'!$F39 / MAX(1, 'ProductSprint Backlog'!$J39-'ProductSprint Backlog'!$I39), AND('ProductSprint Backlog'!$J39=G$2,'ProductSprint Backlog'!$I39=G$2), 'ProductSprint Backlog'!$F39, TRUE, 0)</f>
        <v>0</v>
      </c>
      <c r="H39" s="4" cm="1">
        <f t="array" ref="H39">_xlfn.IFS('ProductSprint Backlog'!$F39="", "", AND('ProductSprint Backlog'!$J39&gt;H$2,'ProductSprint Backlog'!$I39&lt;=H$2), 'ProductSprint Backlog'!$F39 / MAX(1, 'ProductSprint Backlog'!$J39-'ProductSprint Backlog'!$I39), AND('ProductSprint Backlog'!$J39=H$2,'ProductSprint Backlog'!$I39=H$2), 'ProductSprint Backlog'!$F39, TRUE, 0)</f>
        <v>0</v>
      </c>
      <c r="I39" s="4" cm="1">
        <f t="array" ref="I39">_xlfn.IFS('ProductSprint Backlog'!$F39="", "", AND('ProductSprint Backlog'!$J39&gt;I$2,'ProductSprint Backlog'!$I39&lt;=I$2), 'ProductSprint Backlog'!$F39 / MAX(1, 'ProductSprint Backlog'!$J39-'ProductSprint Backlog'!$I39), AND('ProductSprint Backlog'!$J39=I$2,'ProductSprint Backlog'!$I39=I$2), 'ProductSprint Backlog'!$F39, TRUE, 0)</f>
        <v>0</v>
      </c>
      <c r="J39" s="4" cm="1">
        <f t="array" ref="J39">_xlfn.IFS('ProductSprint Backlog'!$F39="", "", AND('ProductSprint Backlog'!$J39&gt;J$2,'ProductSprint Backlog'!$I39&lt;=J$2), 'ProductSprint Backlog'!$F39 / MAX(1, 'ProductSprint Backlog'!$J39-'ProductSprint Backlog'!$I39), AND('ProductSprint Backlog'!$J39=J$2,'ProductSprint Backlog'!$I39=J$2), 'ProductSprint Backlog'!$F39, TRUE, 0)</f>
        <v>0</v>
      </c>
      <c r="K39" s="4" cm="1">
        <f t="array" ref="K39">_xlfn.IFS('ProductSprint Backlog'!$F39="", "", AND('ProductSprint Backlog'!$J39&gt;K$2,'ProductSprint Backlog'!$I39&lt;=K$2), 'ProductSprint Backlog'!$F39 / MAX(1, 'ProductSprint Backlog'!$J39-'ProductSprint Backlog'!$I39), AND('ProductSprint Backlog'!$J39=K$2,'ProductSprint Backlog'!$I39=K$2), 'ProductSprint Backlog'!$F39, TRUE, 0)</f>
        <v>0</v>
      </c>
      <c r="L39" s="4" cm="1">
        <f t="array" ref="L39">_xlfn.IFS('ProductSprint Backlog'!$F39="", "", AND('ProductSprint Backlog'!$J39&gt;L$2,'ProductSprint Backlog'!$I39&lt;=L$2), 'ProductSprint Backlog'!$F39 / MAX(1, 'ProductSprint Backlog'!$J39-'ProductSprint Backlog'!$I39), AND('ProductSprint Backlog'!$J39=L$2,'ProductSprint Backlog'!$I39=L$2), 'ProductSprint Backlog'!$F39, TRUE, 0)</f>
        <v>0</v>
      </c>
      <c r="M39" s="4" cm="1">
        <f t="array" ref="M39">_xlfn.IFS('ProductSprint Backlog'!$F39="", "", AND('ProductSprint Backlog'!$J39&gt;M$2,'ProductSprint Backlog'!$I39&lt;=M$2), 'ProductSprint Backlog'!$F39 / MAX(1, 'ProductSprint Backlog'!$J39-'ProductSprint Backlog'!$I39), AND('ProductSprint Backlog'!$J39=M$2,'ProductSprint Backlog'!$I39=M$2), 'ProductSprint Backlog'!$F39, TRUE, 0)</f>
        <v>0</v>
      </c>
      <c r="N39" s="4" cm="1">
        <f t="array" ref="N39">_xlfn.IFS('ProductSprint Backlog'!$F39="", "", AND('ProductSprint Backlog'!$J39&gt;N$2,'ProductSprint Backlog'!$I39&lt;=N$2), 'ProductSprint Backlog'!$F39 / MAX(1, 'ProductSprint Backlog'!$J39-'ProductSprint Backlog'!$I39), AND('ProductSprint Backlog'!$J39=N$2,'ProductSprint Backlog'!$I39=N$2), 'ProductSprint Backlog'!$F39, TRUE, 0)</f>
        <v>0</v>
      </c>
      <c r="O39" s="4" cm="1">
        <f t="array" ref="O39">_xlfn.IFS('ProductSprint Backlog'!$F39="", "", AND('ProductSprint Backlog'!$J39&gt;O$2,'ProductSprint Backlog'!$I39&lt;=O$2), 'ProductSprint Backlog'!$F39 / MAX(1, 'ProductSprint Backlog'!$J39-'ProductSprint Backlog'!$I39), AND('ProductSprint Backlog'!$J39=O$2,'ProductSprint Backlog'!$I39=O$2), 'ProductSprint Backlog'!$F39, TRUE, 0)</f>
        <v>0</v>
      </c>
      <c r="P39" s="4" cm="1">
        <f t="array" ref="P39">_xlfn.IFS('ProductSprint Backlog'!$F39="", "", AND('ProductSprint Backlog'!$J39&gt;P$2,'ProductSprint Backlog'!$I39&lt;=P$2), 'ProductSprint Backlog'!$F39 / MAX(1, 'ProductSprint Backlog'!$J39-'ProductSprint Backlog'!$I39), AND('ProductSprint Backlog'!$J39=P$2,'ProductSprint Backlog'!$I39=P$2), 'ProductSprint Backlog'!$F39, TRUE, 0)</f>
        <v>0</v>
      </c>
      <c r="Q39" s="4" cm="1">
        <f t="array" ref="Q39">_xlfn.IFS('ProductSprint Backlog'!$F39="", "", AND('ProductSprint Backlog'!$J39&gt;Q$2,'ProductSprint Backlog'!$I39&lt;=Q$2), 'ProductSprint Backlog'!$F39 / MAX(1, 'ProductSprint Backlog'!$J39-'ProductSprint Backlog'!$I39), AND('ProductSprint Backlog'!$J39=Q$2,'ProductSprint Backlog'!$I39=Q$2), 'ProductSprint Backlog'!$F39, TRUE, 0)</f>
        <v>0</v>
      </c>
    </row>
    <row r="40" spans="2:17" x14ac:dyDescent="0.2">
      <c r="B40" s="4" cm="1">
        <f t="array" ref="B40">_xlfn.IFS('ProductSprint Backlog'!$F40="", "", AND('ProductSprint Backlog'!$J40&gt;B$2,'ProductSprint Backlog'!$I40&lt;=B$2), 'ProductSprint Backlog'!$F40 / MAX(1, 'ProductSprint Backlog'!$J40-'ProductSprint Backlog'!$I40), AND('ProductSprint Backlog'!$J40=B$2,'ProductSprint Backlog'!$I40=B$2), 'ProductSprint Backlog'!$F40, TRUE, 0)</f>
        <v>0</v>
      </c>
      <c r="C40" s="4" cm="1">
        <f t="array" ref="C40">_xlfn.IFS('ProductSprint Backlog'!$F40="", "", AND('ProductSprint Backlog'!$J40&gt;C$2,'ProductSprint Backlog'!$I40&lt;=C$2), 'ProductSprint Backlog'!$F40 / MAX(1, 'ProductSprint Backlog'!$J40-'ProductSprint Backlog'!$I40), AND('ProductSprint Backlog'!$J40=C$2,'ProductSprint Backlog'!$I40=C$2), 'ProductSprint Backlog'!$F40, TRUE, 0)</f>
        <v>0</v>
      </c>
      <c r="D40" s="4" cm="1">
        <f t="array" ref="D40">_xlfn.IFS('ProductSprint Backlog'!$F40="", "", AND('ProductSprint Backlog'!$J40&gt;D$2,'ProductSprint Backlog'!$I40&lt;=D$2), 'ProductSprint Backlog'!$F40 / MAX(1, 'ProductSprint Backlog'!$J40-'ProductSprint Backlog'!$I40), AND('ProductSprint Backlog'!$J40=D$2,'ProductSprint Backlog'!$I40=D$2), 'ProductSprint Backlog'!$F40, TRUE, 0)</f>
        <v>0</v>
      </c>
      <c r="E40" s="4" cm="1">
        <f t="array" ref="E40">_xlfn.IFS('ProductSprint Backlog'!$F40="", "", AND('ProductSprint Backlog'!$J40&gt;E$2,'ProductSprint Backlog'!$I40&lt;=E$2), 'ProductSprint Backlog'!$F40 / MAX(1, 'ProductSprint Backlog'!$J40-'ProductSprint Backlog'!$I40), AND('ProductSprint Backlog'!$J40=E$2,'ProductSprint Backlog'!$I40=E$2), 'ProductSprint Backlog'!$F40, TRUE, 0)</f>
        <v>0</v>
      </c>
      <c r="F40" s="4" cm="1">
        <f t="array" ref="F40">_xlfn.IFS('ProductSprint Backlog'!$F40="", "", AND('ProductSprint Backlog'!$J40&gt;F$2,'ProductSprint Backlog'!$I40&lt;=F$2), 'ProductSprint Backlog'!$F40 / MAX(1, 'ProductSprint Backlog'!$J40-'ProductSprint Backlog'!$I40), AND('ProductSprint Backlog'!$J40=F$2,'ProductSprint Backlog'!$I40=F$2), 'ProductSprint Backlog'!$F40, TRUE, 0)</f>
        <v>0</v>
      </c>
      <c r="G40" s="4" cm="1">
        <f t="array" ref="G40">_xlfn.IFS('ProductSprint Backlog'!$F40="", "", AND('ProductSprint Backlog'!$J40&gt;G$2,'ProductSprint Backlog'!$I40&lt;=G$2), 'ProductSprint Backlog'!$F40 / MAX(1, 'ProductSprint Backlog'!$J40-'ProductSprint Backlog'!$I40), AND('ProductSprint Backlog'!$J40=G$2,'ProductSprint Backlog'!$I40=G$2), 'ProductSprint Backlog'!$F40, TRUE, 0)</f>
        <v>0</v>
      </c>
      <c r="H40" s="4" cm="1">
        <f t="array" ref="H40">_xlfn.IFS('ProductSprint Backlog'!$F40="", "", AND('ProductSprint Backlog'!$J40&gt;H$2,'ProductSprint Backlog'!$I40&lt;=H$2), 'ProductSprint Backlog'!$F40 / MAX(1, 'ProductSprint Backlog'!$J40-'ProductSprint Backlog'!$I40), AND('ProductSprint Backlog'!$J40=H$2,'ProductSprint Backlog'!$I40=H$2), 'ProductSprint Backlog'!$F40, TRUE, 0)</f>
        <v>0</v>
      </c>
      <c r="I40" s="4" cm="1">
        <f t="array" ref="I40">_xlfn.IFS('ProductSprint Backlog'!$F40="", "", AND('ProductSprint Backlog'!$J40&gt;I$2,'ProductSprint Backlog'!$I40&lt;=I$2), 'ProductSprint Backlog'!$F40 / MAX(1, 'ProductSprint Backlog'!$J40-'ProductSprint Backlog'!$I40), AND('ProductSprint Backlog'!$J40=I$2,'ProductSprint Backlog'!$I40=I$2), 'ProductSprint Backlog'!$F40, TRUE, 0)</f>
        <v>0</v>
      </c>
      <c r="J40" s="4" cm="1">
        <f t="array" ref="J40">_xlfn.IFS('ProductSprint Backlog'!$F40="", "", AND('ProductSprint Backlog'!$J40&gt;J$2,'ProductSprint Backlog'!$I40&lt;=J$2), 'ProductSprint Backlog'!$F40 / MAX(1, 'ProductSprint Backlog'!$J40-'ProductSprint Backlog'!$I40), AND('ProductSprint Backlog'!$J40=J$2,'ProductSprint Backlog'!$I40=J$2), 'ProductSprint Backlog'!$F40, TRUE, 0)</f>
        <v>0</v>
      </c>
      <c r="K40" s="4" cm="1">
        <f t="array" ref="K40">_xlfn.IFS('ProductSprint Backlog'!$F40="", "", AND('ProductSprint Backlog'!$J40&gt;K$2,'ProductSprint Backlog'!$I40&lt;=K$2), 'ProductSprint Backlog'!$F40 / MAX(1, 'ProductSprint Backlog'!$J40-'ProductSprint Backlog'!$I40), AND('ProductSprint Backlog'!$J40=K$2,'ProductSprint Backlog'!$I40=K$2), 'ProductSprint Backlog'!$F40, TRUE, 0)</f>
        <v>0</v>
      </c>
      <c r="L40" s="4" cm="1">
        <f t="array" ref="L40">_xlfn.IFS('ProductSprint Backlog'!$F40="", "", AND('ProductSprint Backlog'!$J40&gt;L$2,'ProductSprint Backlog'!$I40&lt;=L$2), 'ProductSprint Backlog'!$F40 / MAX(1, 'ProductSprint Backlog'!$J40-'ProductSprint Backlog'!$I40), AND('ProductSprint Backlog'!$J40=L$2,'ProductSprint Backlog'!$I40=L$2), 'ProductSprint Backlog'!$F40, TRUE, 0)</f>
        <v>0</v>
      </c>
      <c r="M40" s="4" cm="1">
        <f t="array" ref="M40">_xlfn.IFS('ProductSprint Backlog'!$F40="", "", AND('ProductSprint Backlog'!$J40&gt;M$2,'ProductSprint Backlog'!$I40&lt;=M$2), 'ProductSprint Backlog'!$F40 / MAX(1, 'ProductSprint Backlog'!$J40-'ProductSprint Backlog'!$I40), AND('ProductSprint Backlog'!$J40=M$2,'ProductSprint Backlog'!$I40=M$2), 'ProductSprint Backlog'!$F40, TRUE, 0)</f>
        <v>0</v>
      </c>
      <c r="N40" s="4" cm="1">
        <f t="array" ref="N40">_xlfn.IFS('ProductSprint Backlog'!$F40="", "", AND('ProductSprint Backlog'!$J40&gt;N$2,'ProductSprint Backlog'!$I40&lt;=N$2), 'ProductSprint Backlog'!$F40 / MAX(1, 'ProductSprint Backlog'!$J40-'ProductSprint Backlog'!$I40), AND('ProductSprint Backlog'!$J40=N$2,'ProductSprint Backlog'!$I40=N$2), 'ProductSprint Backlog'!$F40, TRUE, 0)</f>
        <v>0</v>
      </c>
      <c r="O40" s="4" cm="1">
        <f t="array" ref="O40">_xlfn.IFS('ProductSprint Backlog'!$F40="", "", AND('ProductSprint Backlog'!$J40&gt;O$2,'ProductSprint Backlog'!$I40&lt;=O$2), 'ProductSprint Backlog'!$F40 / MAX(1, 'ProductSprint Backlog'!$J40-'ProductSprint Backlog'!$I40), AND('ProductSprint Backlog'!$J40=O$2,'ProductSprint Backlog'!$I40=O$2), 'ProductSprint Backlog'!$F40, TRUE, 0)</f>
        <v>0</v>
      </c>
      <c r="P40" s="4" cm="1">
        <f t="array" ref="P40">_xlfn.IFS('ProductSprint Backlog'!$F40="", "", AND('ProductSprint Backlog'!$J40&gt;P$2,'ProductSprint Backlog'!$I40&lt;=P$2), 'ProductSprint Backlog'!$F40 / MAX(1, 'ProductSprint Backlog'!$J40-'ProductSprint Backlog'!$I40), AND('ProductSprint Backlog'!$J40=P$2,'ProductSprint Backlog'!$I40=P$2), 'ProductSprint Backlog'!$F40, TRUE, 0)</f>
        <v>0</v>
      </c>
      <c r="Q40" s="4" cm="1">
        <f t="array" ref="Q40">_xlfn.IFS('ProductSprint Backlog'!$F40="", "", AND('ProductSprint Backlog'!$J40&gt;Q$2,'ProductSprint Backlog'!$I40&lt;=Q$2), 'ProductSprint Backlog'!$F40 / MAX(1, 'ProductSprint Backlog'!$J40-'ProductSprint Backlog'!$I40), AND('ProductSprint Backlog'!$J40=Q$2,'ProductSprint Backlog'!$I40=Q$2), 'ProductSprint Backlog'!$F40, TRUE, 0)</f>
        <v>0</v>
      </c>
    </row>
    <row r="41" spans="2:17" x14ac:dyDescent="0.2">
      <c r="B41" s="4" t="str" cm="1">
        <f t="array" ref="B41">_xlfn.IFS('ProductSprint Backlog'!$F41="", "", AND('ProductSprint Backlog'!$J41&gt;B$2,'ProductSprint Backlog'!$I41&lt;=B$2), 'ProductSprint Backlog'!$F41 / MAX(1, 'ProductSprint Backlog'!$J41-'ProductSprint Backlog'!$I41), AND('ProductSprint Backlog'!$J41=B$2,'ProductSprint Backlog'!$I41=B$2), 'ProductSprint Backlog'!$F41, TRUE, 0)</f>
        <v/>
      </c>
      <c r="C41" s="4" t="str" cm="1">
        <f t="array" ref="C41">_xlfn.IFS('ProductSprint Backlog'!$F41="", "", AND('ProductSprint Backlog'!$J41&gt;C$2,'ProductSprint Backlog'!$I41&lt;=C$2), 'ProductSprint Backlog'!$F41 / MAX(1, 'ProductSprint Backlog'!$J41-'ProductSprint Backlog'!$I41), AND('ProductSprint Backlog'!$J41=C$2,'ProductSprint Backlog'!$I41=C$2), 'ProductSprint Backlog'!$F41, TRUE, 0)</f>
        <v/>
      </c>
      <c r="D41" s="4" t="str" cm="1">
        <f t="array" ref="D41">_xlfn.IFS('ProductSprint Backlog'!$F41="", "", AND('ProductSprint Backlog'!$J41&gt;D$2,'ProductSprint Backlog'!$I41&lt;=D$2), 'ProductSprint Backlog'!$F41 / MAX(1, 'ProductSprint Backlog'!$J41-'ProductSprint Backlog'!$I41), AND('ProductSprint Backlog'!$J41=D$2,'ProductSprint Backlog'!$I41=D$2), 'ProductSprint Backlog'!$F41, TRUE, 0)</f>
        <v/>
      </c>
      <c r="E41" s="4" t="str" cm="1">
        <f t="array" ref="E41">_xlfn.IFS('ProductSprint Backlog'!$F41="", "", AND('ProductSprint Backlog'!$J41&gt;E$2,'ProductSprint Backlog'!$I41&lt;=E$2), 'ProductSprint Backlog'!$F41 / MAX(1, 'ProductSprint Backlog'!$J41-'ProductSprint Backlog'!$I41), AND('ProductSprint Backlog'!$J41=E$2,'ProductSprint Backlog'!$I41=E$2), 'ProductSprint Backlog'!$F41, TRUE, 0)</f>
        <v/>
      </c>
      <c r="F41" s="4" t="str" cm="1">
        <f t="array" ref="F41">_xlfn.IFS('ProductSprint Backlog'!$F41="", "", AND('ProductSprint Backlog'!$J41&gt;F$2,'ProductSprint Backlog'!$I41&lt;=F$2), 'ProductSprint Backlog'!$F41 / MAX(1, 'ProductSprint Backlog'!$J41-'ProductSprint Backlog'!$I41), AND('ProductSprint Backlog'!$J41=F$2,'ProductSprint Backlog'!$I41=F$2), 'ProductSprint Backlog'!$F41, TRUE, 0)</f>
        <v/>
      </c>
      <c r="G41" s="4" t="str" cm="1">
        <f t="array" ref="G41">_xlfn.IFS('ProductSprint Backlog'!$F41="", "", AND('ProductSprint Backlog'!$J41&gt;G$2,'ProductSprint Backlog'!$I41&lt;=G$2), 'ProductSprint Backlog'!$F41 / MAX(1, 'ProductSprint Backlog'!$J41-'ProductSprint Backlog'!$I41), AND('ProductSprint Backlog'!$J41=G$2,'ProductSprint Backlog'!$I41=G$2), 'ProductSprint Backlog'!$F41, TRUE, 0)</f>
        <v/>
      </c>
      <c r="H41" s="4" t="str" cm="1">
        <f t="array" ref="H41">_xlfn.IFS('ProductSprint Backlog'!$F41="", "", AND('ProductSprint Backlog'!$J41&gt;H$2,'ProductSprint Backlog'!$I41&lt;=H$2), 'ProductSprint Backlog'!$F41 / MAX(1, 'ProductSprint Backlog'!$J41-'ProductSprint Backlog'!$I41), AND('ProductSprint Backlog'!$J41=H$2,'ProductSprint Backlog'!$I41=H$2), 'ProductSprint Backlog'!$F41, TRUE, 0)</f>
        <v/>
      </c>
      <c r="I41" s="4" t="str" cm="1">
        <f t="array" ref="I41">_xlfn.IFS('ProductSprint Backlog'!$F41="", "", AND('ProductSprint Backlog'!$J41&gt;I$2,'ProductSprint Backlog'!$I41&lt;=I$2), 'ProductSprint Backlog'!$F41 / MAX(1, 'ProductSprint Backlog'!$J41-'ProductSprint Backlog'!$I41), AND('ProductSprint Backlog'!$J41=I$2,'ProductSprint Backlog'!$I41=I$2), 'ProductSprint Backlog'!$F41, TRUE, 0)</f>
        <v/>
      </c>
      <c r="J41" s="4" t="str" cm="1">
        <f t="array" ref="J41">_xlfn.IFS('ProductSprint Backlog'!$F41="", "", AND('ProductSprint Backlog'!$J41&gt;J$2,'ProductSprint Backlog'!$I41&lt;=J$2), 'ProductSprint Backlog'!$F41 / MAX(1, 'ProductSprint Backlog'!$J41-'ProductSprint Backlog'!$I41), AND('ProductSprint Backlog'!$J41=J$2,'ProductSprint Backlog'!$I41=J$2), 'ProductSprint Backlog'!$F41, TRUE, 0)</f>
        <v/>
      </c>
      <c r="K41" s="4" t="str" cm="1">
        <f t="array" ref="K41">_xlfn.IFS('ProductSprint Backlog'!$F41="", "", AND('ProductSprint Backlog'!$J41&gt;K$2,'ProductSprint Backlog'!$I41&lt;=K$2), 'ProductSprint Backlog'!$F41 / MAX(1, 'ProductSprint Backlog'!$J41-'ProductSprint Backlog'!$I41), AND('ProductSprint Backlog'!$J41=K$2,'ProductSprint Backlog'!$I41=K$2), 'ProductSprint Backlog'!$F41, TRUE, 0)</f>
        <v/>
      </c>
      <c r="L41" s="4" t="str" cm="1">
        <f t="array" ref="L41">_xlfn.IFS('ProductSprint Backlog'!$F41="", "", AND('ProductSprint Backlog'!$J41&gt;L$2,'ProductSprint Backlog'!$I41&lt;=L$2), 'ProductSprint Backlog'!$F41 / MAX(1, 'ProductSprint Backlog'!$J41-'ProductSprint Backlog'!$I41), AND('ProductSprint Backlog'!$J41=L$2,'ProductSprint Backlog'!$I41=L$2), 'ProductSprint Backlog'!$F41, TRUE, 0)</f>
        <v/>
      </c>
      <c r="M41" s="4" t="str" cm="1">
        <f t="array" ref="M41">_xlfn.IFS('ProductSprint Backlog'!$F41="", "", AND('ProductSprint Backlog'!$J41&gt;M$2,'ProductSprint Backlog'!$I41&lt;=M$2), 'ProductSprint Backlog'!$F41 / MAX(1, 'ProductSprint Backlog'!$J41-'ProductSprint Backlog'!$I41), AND('ProductSprint Backlog'!$J41=M$2,'ProductSprint Backlog'!$I41=M$2), 'ProductSprint Backlog'!$F41, TRUE, 0)</f>
        <v/>
      </c>
      <c r="N41" s="4" t="str" cm="1">
        <f t="array" ref="N41">_xlfn.IFS('ProductSprint Backlog'!$F41="", "", AND('ProductSprint Backlog'!$J41&gt;N$2,'ProductSprint Backlog'!$I41&lt;=N$2), 'ProductSprint Backlog'!$F41 / MAX(1, 'ProductSprint Backlog'!$J41-'ProductSprint Backlog'!$I41), AND('ProductSprint Backlog'!$J41=N$2,'ProductSprint Backlog'!$I41=N$2), 'ProductSprint Backlog'!$F41, TRUE, 0)</f>
        <v/>
      </c>
      <c r="O41" s="4" t="str" cm="1">
        <f t="array" ref="O41">_xlfn.IFS('ProductSprint Backlog'!$F41="", "", AND('ProductSprint Backlog'!$J41&gt;O$2,'ProductSprint Backlog'!$I41&lt;=O$2), 'ProductSprint Backlog'!$F41 / MAX(1, 'ProductSprint Backlog'!$J41-'ProductSprint Backlog'!$I41), AND('ProductSprint Backlog'!$J41=O$2,'ProductSprint Backlog'!$I41=O$2), 'ProductSprint Backlog'!$F41, TRUE, 0)</f>
        <v/>
      </c>
      <c r="P41" s="4" t="str" cm="1">
        <f t="array" ref="P41">_xlfn.IFS('ProductSprint Backlog'!$F41="", "", AND('ProductSprint Backlog'!$J41&gt;P$2,'ProductSprint Backlog'!$I41&lt;=P$2), 'ProductSprint Backlog'!$F41 / MAX(1, 'ProductSprint Backlog'!$J41-'ProductSprint Backlog'!$I41), AND('ProductSprint Backlog'!$J41=P$2,'ProductSprint Backlog'!$I41=P$2), 'ProductSprint Backlog'!$F41, TRUE, 0)</f>
        <v/>
      </c>
      <c r="Q41" s="4" t="str" cm="1">
        <f t="array" ref="Q41">_xlfn.IFS('ProductSprint Backlog'!$F41="", "", AND('ProductSprint Backlog'!$J41&gt;Q$2,'ProductSprint Backlog'!$I41&lt;=Q$2), 'ProductSprint Backlog'!$F41 / MAX(1, 'ProductSprint Backlog'!$J41-'ProductSprint Backlog'!$I41), AND('ProductSprint Backlog'!$J41=Q$2,'ProductSprint Backlog'!$I41=Q$2), 'ProductSprint Backlog'!$F41, TRUE, 0)</f>
        <v/>
      </c>
    </row>
    <row r="42" spans="2:17" x14ac:dyDescent="0.2">
      <c r="B42" s="4" cm="1">
        <f t="array" ref="B42">_xlfn.IFS('ProductSprint Backlog'!$F42="", "", AND('ProductSprint Backlog'!$J42&gt;B$2,'ProductSprint Backlog'!$I42&lt;=B$2), 'ProductSprint Backlog'!$F42 / MAX(1, 'ProductSprint Backlog'!$J42-'ProductSprint Backlog'!$I42), AND('ProductSprint Backlog'!$J42=B$2,'ProductSprint Backlog'!$I42=B$2), 'ProductSprint Backlog'!$F42, TRUE, 0)</f>
        <v>0</v>
      </c>
      <c r="C42" s="4" cm="1">
        <f t="array" ref="C42">_xlfn.IFS('ProductSprint Backlog'!$F42="", "", AND('ProductSprint Backlog'!$J42&gt;C$2,'ProductSprint Backlog'!$I42&lt;=C$2), 'ProductSprint Backlog'!$F42 / MAX(1, 'ProductSprint Backlog'!$J42-'ProductSprint Backlog'!$I42), AND('ProductSprint Backlog'!$J42=C$2,'ProductSprint Backlog'!$I42=C$2), 'ProductSprint Backlog'!$F42, TRUE, 0)</f>
        <v>0</v>
      </c>
      <c r="D42" s="4" cm="1">
        <f t="array" ref="D42">_xlfn.IFS('ProductSprint Backlog'!$F42="", "", AND('ProductSprint Backlog'!$J42&gt;D$2,'ProductSprint Backlog'!$I42&lt;=D$2), 'ProductSprint Backlog'!$F42 / MAX(1, 'ProductSprint Backlog'!$J42-'ProductSprint Backlog'!$I42), AND('ProductSprint Backlog'!$J42=D$2,'ProductSprint Backlog'!$I42=D$2), 'ProductSprint Backlog'!$F42, TRUE, 0)</f>
        <v>0</v>
      </c>
      <c r="E42" s="4" cm="1">
        <f t="array" ref="E42">_xlfn.IFS('ProductSprint Backlog'!$F42="", "", AND('ProductSprint Backlog'!$J42&gt;E$2,'ProductSprint Backlog'!$I42&lt;=E$2), 'ProductSprint Backlog'!$F42 / MAX(1, 'ProductSprint Backlog'!$J42-'ProductSprint Backlog'!$I42), AND('ProductSprint Backlog'!$J42=E$2,'ProductSprint Backlog'!$I42=E$2), 'ProductSprint Backlog'!$F42, TRUE, 0)</f>
        <v>0</v>
      </c>
      <c r="F42" s="4" cm="1">
        <f t="array" ref="F42">_xlfn.IFS('ProductSprint Backlog'!$F42="", "", AND('ProductSprint Backlog'!$J42&gt;F$2,'ProductSprint Backlog'!$I42&lt;=F$2), 'ProductSprint Backlog'!$F42 / MAX(1, 'ProductSprint Backlog'!$J42-'ProductSprint Backlog'!$I42), AND('ProductSprint Backlog'!$J42=F$2,'ProductSprint Backlog'!$I42=F$2), 'ProductSprint Backlog'!$F42, TRUE, 0)</f>
        <v>0</v>
      </c>
      <c r="G42" s="4" cm="1">
        <f t="array" ref="G42">_xlfn.IFS('ProductSprint Backlog'!$F42="", "", AND('ProductSprint Backlog'!$J42&gt;G$2,'ProductSprint Backlog'!$I42&lt;=G$2), 'ProductSprint Backlog'!$F42 / MAX(1, 'ProductSprint Backlog'!$J42-'ProductSprint Backlog'!$I42), AND('ProductSprint Backlog'!$J42=G$2,'ProductSprint Backlog'!$I42=G$2), 'ProductSprint Backlog'!$F42, TRUE, 0)</f>
        <v>0</v>
      </c>
      <c r="H42" s="4" cm="1">
        <f t="array" ref="H42">_xlfn.IFS('ProductSprint Backlog'!$F42="", "", AND('ProductSprint Backlog'!$J42&gt;H$2,'ProductSprint Backlog'!$I42&lt;=H$2), 'ProductSprint Backlog'!$F42 / MAX(1, 'ProductSprint Backlog'!$J42-'ProductSprint Backlog'!$I42), AND('ProductSprint Backlog'!$J42=H$2,'ProductSprint Backlog'!$I42=H$2), 'ProductSprint Backlog'!$F42, TRUE, 0)</f>
        <v>0</v>
      </c>
      <c r="I42" s="4" cm="1">
        <f t="array" ref="I42">_xlfn.IFS('ProductSprint Backlog'!$F42="", "", AND('ProductSprint Backlog'!$J42&gt;I$2,'ProductSprint Backlog'!$I42&lt;=I$2), 'ProductSprint Backlog'!$F42 / MAX(1, 'ProductSprint Backlog'!$J42-'ProductSprint Backlog'!$I42), AND('ProductSprint Backlog'!$J42=I$2,'ProductSprint Backlog'!$I42=I$2), 'ProductSprint Backlog'!$F42, TRUE, 0)</f>
        <v>0</v>
      </c>
      <c r="J42" s="4" cm="1">
        <f t="array" ref="J42">_xlfn.IFS('ProductSprint Backlog'!$F42="", "", AND('ProductSprint Backlog'!$J42&gt;J$2,'ProductSprint Backlog'!$I42&lt;=J$2), 'ProductSprint Backlog'!$F42 / MAX(1, 'ProductSprint Backlog'!$J42-'ProductSprint Backlog'!$I42), AND('ProductSprint Backlog'!$J42=J$2,'ProductSprint Backlog'!$I42=J$2), 'ProductSprint Backlog'!$F42, TRUE, 0)</f>
        <v>0</v>
      </c>
      <c r="K42" s="4" cm="1">
        <f t="array" ref="K42">_xlfn.IFS('ProductSprint Backlog'!$F42="", "", AND('ProductSprint Backlog'!$J42&gt;K$2,'ProductSprint Backlog'!$I42&lt;=K$2), 'ProductSprint Backlog'!$F42 / MAX(1, 'ProductSprint Backlog'!$J42-'ProductSprint Backlog'!$I42), AND('ProductSprint Backlog'!$J42=K$2,'ProductSprint Backlog'!$I42=K$2), 'ProductSprint Backlog'!$F42, TRUE, 0)</f>
        <v>0</v>
      </c>
      <c r="L42" s="4" cm="1">
        <f t="array" ref="L42">_xlfn.IFS('ProductSprint Backlog'!$F42="", "", AND('ProductSprint Backlog'!$J42&gt;L$2,'ProductSprint Backlog'!$I42&lt;=L$2), 'ProductSprint Backlog'!$F42 / MAX(1, 'ProductSprint Backlog'!$J42-'ProductSprint Backlog'!$I42), AND('ProductSprint Backlog'!$J42=L$2,'ProductSprint Backlog'!$I42=L$2), 'ProductSprint Backlog'!$F42, TRUE, 0)</f>
        <v>0</v>
      </c>
      <c r="M42" s="4" cm="1">
        <f t="array" ref="M42">_xlfn.IFS('ProductSprint Backlog'!$F42="", "", AND('ProductSprint Backlog'!$J42&gt;M$2,'ProductSprint Backlog'!$I42&lt;=M$2), 'ProductSprint Backlog'!$F42 / MAX(1, 'ProductSprint Backlog'!$J42-'ProductSprint Backlog'!$I42), AND('ProductSprint Backlog'!$J42=M$2,'ProductSprint Backlog'!$I42=M$2), 'ProductSprint Backlog'!$F42, TRUE, 0)</f>
        <v>0</v>
      </c>
      <c r="N42" s="4" cm="1">
        <f t="array" ref="N42">_xlfn.IFS('ProductSprint Backlog'!$F42="", "", AND('ProductSprint Backlog'!$J42&gt;N$2,'ProductSprint Backlog'!$I42&lt;=N$2), 'ProductSprint Backlog'!$F42 / MAX(1, 'ProductSprint Backlog'!$J42-'ProductSprint Backlog'!$I42), AND('ProductSprint Backlog'!$J42=N$2,'ProductSprint Backlog'!$I42=N$2), 'ProductSprint Backlog'!$F42, TRUE, 0)</f>
        <v>0</v>
      </c>
      <c r="O42" s="4" cm="1">
        <f t="array" ref="O42">_xlfn.IFS('ProductSprint Backlog'!$F42="", "", AND('ProductSprint Backlog'!$J42&gt;O$2,'ProductSprint Backlog'!$I42&lt;=O$2), 'ProductSprint Backlog'!$F42 / MAX(1, 'ProductSprint Backlog'!$J42-'ProductSprint Backlog'!$I42), AND('ProductSprint Backlog'!$J42=O$2,'ProductSprint Backlog'!$I42=O$2), 'ProductSprint Backlog'!$F42, TRUE, 0)</f>
        <v>0</v>
      </c>
      <c r="P42" s="4" cm="1">
        <f t="array" ref="P42">_xlfn.IFS('ProductSprint Backlog'!$F42="", "", AND('ProductSprint Backlog'!$J42&gt;P$2,'ProductSprint Backlog'!$I42&lt;=P$2), 'ProductSprint Backlog'!$F42 / MAX(1, 'ProductSprint Backlog'!$J42-'ProductSprint Backlog'!$I42), AND('ProductSprint Backlog'!$J42=P$2,'ProductSprint Backlog'!$I42=P$2), 'ProductSprint Backlog'!$F42, TRUE, 0)</f>
        <v>0</v>
      </c>
      <c r="Q42" s="4" cm="1">
        <f t="array" ref="Q42">_xlfn.IFS('ProductSprint Backlog'!$F42="", "", AND('ProductSprint Backlog'!$J42&gt;Q$2,'ProductSprint Backlog'!$I42&lt;=Q$2), 'ProductSprint Backlog'!$F42 / MAX(1, 'ProductSprint Backlog'!$J42-'ProductSprint Backlog'!$I42), AND('ProductSprint Backlog'!$J42=Q$2,'ProductSprint Backlog'!$I42=Q$2), 'ProductSprint Backlog'!$F42, TRUE, 0)</f>
        <v>0</v>
      </c>
    </row>
    <row r="43" spans="2:17" x14ac:dyDescent="0.2">
      <c r="B43" s="4" cm="1">
        <f t="array" ref="B43">_xlfn.IFS('ProductSprint Backlog'!$F43="", "", AND('ProductSprint Backlog'!$J43&gt;B$2,'ProductSprint Backlog'!$I43&lt;=B$2), 'ProductSprint Backlog'!$F43 / MAX(1, 'ProductSprint Backlog'!$J43-'ProductSprint Backlog'!$I43), AND('ProductSprint Backlog'!$J43=B$2,'ProductSprint Backlog'!$I43=B$2), 'ProductSprint Backlog'!$F43, TRUE, 0)</f>
        <v>0</v>
      </c>
      <c r="C43" s="4" cm="1">
        <f t="array" ref="C43">_xlfn.IFS('ProductSprint Backlog'!$F43="", "", AND('ProductSprint Backlog'!$J43&gt;C$2,'ProductSprint Backlog'!$I43&lt;=C$2), 'ProductSprint Backlog'!$F43 / MAX(1, 'ProductSprint Backlog'!$J43-'ProductSprint Backlog'!$I43), AND('ProductSprint Backlog'!$J43=C$2,'ProductSprint Backlog'!$I43=C$2), 'ProductSprint Backlog'!$F43, TRUE, 0)</f>
        <v>0</v>
      </c>
      <c r="D43" s="4" cm="1">
        <f t="array" ref="D43">_xlfn.IFS('ProductSprint Backlog'!$F43="", "", AND('ProductSprint Backlog'!$J43&gt;D$2,'ProductSprint Backlog'!$I43&lt;=D$2), 'ProductSprint Backlog'!$F43 / MAX(1, 'ProductSprint Backlog'!$J43-'ProductSprint Backlog'!$I43), AND('ProductSprint Backlog'!$J43=D$2,'ProductSprint Backlog'!$I43=D$2), 'ProductSprint Backlog'!$F43, TRUE, 0)</f>
        <v>0</v>
      </c>
      <c r="E43" s="4" cm="1">
        <f t="array" ref="E43">_xlfn.IFS('ProductSprint Backlog'!$F43="", "", AND('ProductSprint Backlog'!$J43&gt;E$2,'ProductSprint Backlog'!$I43&lt;=E$2), 'ProductSprint Backlog'!$F43 / MAX(1, 'ProductSprint Backlog'!$J43-'ProductSprint Backlog'!$I43), AND('ProductSprint Backlog'!$J43=E$2,'ProductSprint Backlog'!$I43=E$2), 'ProductSprint Backlog'!$F43, TRUE, 0)</f>
        <v>0</v>
      </c>
      <c r="F43" s="4" cm="1">
        <f t="array" ref="F43">_xlfn.IFS('ProductSprint Backlog'!$F43="", "", AND('ProductSprint Backlog'!$J43&gt;F$2,'ProductSprint Backlog'!$I43&lt;=F$2), 'ProductSprint Backlog'!$F43 / MAX(1, 'ProductSprint Backlog'!$J43-'ProductSprint Backlog'!$I43), AND('ProductSprint Backlog'!$J43=F$2,'ProductSprint Backlog'!$I43=F$2), 'ProductSprint Backlog'!$F43, TRUE, 0)</f>
        <v>0</v>
      </c>
      <c r="G43" s="4" cm="1">
        <f t="array" ref="G43">_xlfn.IFS('ProductSprint Backlog'!$F43="", "", AND('ProductSprint Backlog'!$J43&gt;G$2,'ProductSprint Backlog'!$I43&lt;=G$2), 'ProductSprint Backlog'!$F43 / MAX(1, 'ProductSprint Backlog'!$J43-'ProductSprint Backlog'!$I43), AND('ProductSprint Backlog'!$J43=G$2,'ProductSprint Backlog'!$I43=G$2), 'ProductSprint Backlog'!$F43, TRUE, 0)</f>
        <v>0</v>
      </c>
      <c r="H43" s="4" cm="1">
        <f t="array" ref="H43">_xlfn.IFS('ProductSprint Backlog'!$F43="", "", AND('ProductSprint Backlog'!$J43&gt;H$2,'ProductSprint Backlog'!$I43&lt;=H$2), 'ProductSprint Backlog'!$F43 / MAX(1, 'ProductSprint Backlog'!$J43-'ProductSprint Backlog'!$I43), AND('ProductSprint Backlog'!$J43=H$2,'ProductSprint Backlog'!$I43=H$2), 'ProductSprint Backlog'!$F43, TRUE, 0)</f>
        <v>0</v>
      </c>
      <c r="I43" s="4" cm="1">
        <f t="array" ref="I43">_xlfn.IFS('ProductSprint Backlog'!$F43="", "", AND('ProductSprint Backlog'!$J43&gt;I$2,'ProductSprint Backlog'!$I43&lt;=I$2), 'ProductSprint Backlog'!$F43 / MAX(1, 'ProductSprint Backlog'!$J43-'ProductSprint Backlog'!$I43), AND('ProductSprint Backlog'!$J43=I$2,'ProductSprint Backlog'!$I43=I$2), 'ProductSprint Backlog'!$F43, TRUE, 0)</f>
        <v>0</v>
      </c>
      <c r="J43" s="4" cm="1">
        <f t="array" ref="J43">_xlfn.IFS('ProductSprint Backlog'!$F43="", "", AND('ProductSprint Backlog'!$J43&gt;J$2,'ProductSprint Backlog'!$I43&lt;=J$2), 'ProductSprint Backlog'!$F43 / MAX(1, 'ProductSprint Backlog'!$J43-'ProductSprint Backlog'!$I43), AND('ProductSprint Backlog'!$J43=J$2,'ProductSprint Backlog'!$I43=J$2), 'ProductSprint Backlog'!$F43, TRUE, 0)</f>
        <v>0</v>
      </c>
      <c r="K43" s="4" cm="1">
        <f t="array" ref="K43">_xlfn.IFS('ProductSprint Backlog'!$F43="", "", AND('ProductSprint Backlog'!$J43&gt;K$2,'ProductSprint Backlog'!$I43&lt;=K$2), 'ProductSprint Backlog'!$F43 / MAX(1, 'ProductSprint Backlog'!$J43-'ProductSprint Backlog'!$I43), AND('ProductSprint Backlog'!$J43=K$2,'ProductSprint Backlog'!$I43=K$2), 'ProductSprint Backlog'!$F43, TRUE, 0)</f>
        <v>0</v>
      </c>
      <c r="L43" s="4" cm="1">
        <f t="array" ref="L43">_xlfn.IFS('ProductSprint Backlog'!$F43="", "", AND('ProductSprint Backlog'!$J43&gt;L$2,'ProductSprint Backlog'!$I43&lt;=L$2), 'ProductSprint Backlog'!$F43 / MAX(1, 'ProductSprint Backlog'!$J43-'ProductSprint Backlog'!$I43), AND('ProductSprint Backlog'!$J43=L$2,'ProductSprint Backlog'!$I43=L$2), 'ProductSprint Backlog'!$F43, TRUE, 0)</f>
        <v>0</v>
      </c>
      <c r="M43" s="4" cm="1">
        <f t="array" ref="M43">_xlfn.IFS('ProductSprint Backlog'!$F43="", "", AND('ProductSprint Backlog'!$J43&gt;M$2,'ProductSprint Backlog'!$I43&lt;=M$2), 'ProductSprint Backlog'!$F43 / MAX(1, 'ProductSprint Backlog'!$J43-'ProductSprint Backlog'!$I43), AND('ProductSprint Backlog'!$J43=M$2,'ProductSprint Backlog'!$I43=M$2), 'ProductSprint Backlog'!$F43, TRUE, 0)</f>
        <v>0</v>
      </c>
      <c r="N43" s="4" cm="1">
        <f t="array" ref="N43">_xlfn.IFS('ProductSprint Backlog'!$F43="", "", AND('ProductSprint Backlog'!$J43&gt;N$2,'ProductSprint Backlog'!$I43&lt;=N$2), 'ProductSprint Backlog'!$F43 / MAX(1, 'ProductSprint Backlog'!$J43-'ProductSprint Backlog'!$I43), AND('ProductSprint Backlog'!$J43=N$2,'ProductSprint Backlog'!$I43=N$2), 'ProductSprint Backlog'!$F43, TRUE, 0)</f>
        <v>0</v>
      </c>
      <c r="O43" s="4" cm="1">
        <f t="array" ref="O43">_xlfn.IFS('ProductSprint Backlog'!$F43="", "", AND('ProductSprint Backlog'!$J43&gt;O$2,'ProductSprint Backlog'!$I43&lt;=O$2), 'ProductSprint Backlog'!$F43 / MAX(1, 'ProductSprint Backlog'!$J43-'ProductSprint Backlog'!$I43), AND('ProductSprint Backlog'!$J43=O$2,'ProductSprint Backlog'!$I43=O$2), 'ProductSprint Backlog'!$F43, TRUE, 0)</f>
        <v>0</v>
      </c>
      <c r="P43" s="4" cm="1">
        <f t="array" ref="P43">_xlfn.IFS('ProductSprint Backlog'!$F43="", "", AND('ProductSprint Backlog'!$J43&gt;P$2,'ProductSprint Backlog'!$I43&lt;=P$2), 'ProductSprint Backlog'!$F43 / MAX(1, 'ProductSprint Backlog'!$J43-'ProductSprint Backlog'!$I43), AND('ProductSprint Backlog'!$J43=P$2,'ProductSprint Backlog'!$I43=P$2), 'ProductSprint Backlog'!$F43, TRUE, 0)</f>
        <v>0</v>
      </c>
      <c r="Q43" s="4" cm="1">
        <f t="array" ref="Q43">_xlfn.IFS('ProductSprint Backlog'!$F43="", "", AND('ProductSprint Backlog'!$J43&gt;Q$2,'ProductSprint Backlog'!$I43&lt;=Q$2), 'ProductSprint Backlog'!$F43 / MAX(1, 'ProductSprint Backlog'!$J43-'ProductSprint Backlog'!$I43), AND('ProductSprint Backlog'!$J43=Q$2,'ProductSprint Backlog'!$I43=Q$2), 'ProductSprint Backlog'!$F43, TRUE, 0)</f>
        <v>0</v>
      </c>
    </row>
    <row r="44" spans="2:17" x14ac:dyDescent="0.2">
      <c r="B44" s="4" t="str" cm="1">
        <f t="array" ref="B44">_xlfn.IFS('ProductSprint Backlog'!$F44="", "", AND('ProductSprint Backlog'!$J44&gt;B$2,'ProductSprint Backlog'!$I44&lt;=B$2), 'ProductSprint Backlog'!$F44 / MAX(1, 'ProductSprint Backlog'!$J44-'ProductSprint Backlog'!$I44), AND('ProductSprint Backlog'!$J44=B$2,'ProductSprint Backlog'!$I44=B$2), 'ProductSprint Backlog'!$F44, TRUE, 0)</f>
        <v/>
      </c>
      <c r="C44" s="4" t="str" cm="1">
        <f t="array" ref="C44">_xlfn.IFS('ProductSprint Backlog'!$F44="", "", AND('ProductSprint Backlog'!$J44&gt;C$2,'ProductSprint Backlog'!$I44&lt;=C$2), 'ProductSprint Backlog'!$F44 / MAX(1, 'ProductSprint Backlog'!$J44-'ProductSprint Backlog'!$I44), AND('ProductSprint Backlog'!$J44=C$2,'ProductSprint Backlog'!$I44=C$2), 'ProductSprint Backlog'!$F44, TRUE, 0)</f>
        <v/>
      </c>
      <c r="D44" s="4" t="str" cm="1">
        <f t="array" ref="D44">_xlfn.IFS('ProductSprint Backlog'!$F44="", "", AND('ProductSprint Backlog'!$J44&gt;D$2,'ProductSprint Backlog'!$I44&lt;=D$2), 'ProductSprint Backlog'!$F44 / MAX(1, 'ProductSprint Backlog'!$J44-'ProductSprint Backlog'!$I44), AND('ProductSprint Backlog'!$J44=D$2,'ProductSprint Backlog'!$I44=D$2), 'ProductSprint Backlog'!$F44, TRUE, 0)</f>
        <v/>
      </c>
      <c r="E44" s="4" t="str" cm="1">
        <f t="array" ref="E44">_xlfn.IFS('ProductSprint Backlog'!$F44="", "", AND('ProductSprint Backlog'!$J44&gt;E$2,'ProductSprint Backlog'!$I44&lt;=E$2), 'ProductSprint Backlog'!$F44 / MAX(1, 'ProductSprint Backlog'!$J44-'ProductSprint Backlog'!$I44), AND('ProductSprint Backlog'!$J44=E$2,'ProductSprint Backlog'!$I44=E$2), 'ProductSprint Backlog'!$F44, TRUE, 0)</f>
        <v/>
      </c>
      <c r="F44" s="4" t="str" cm="1">
        <f t="array" ref="F44">_xlfn.IFS('ProductSprint Backlog'!$F44="", "", AND('ProductSprint Backlog'!$J44&gt;F$2,'ProductSprint Backlog'!$I44&lt;=F$2), 'ProductSprint Backlog'!$F44 / MAX(1, 'ProductSprint Backlog'!$J44-'ProductSprint Backlog'!$I44), AND('ProductSprint Backlog'!$J44=F$2,'ProductSprint Backlog'!$I44=F$2), 'ProductSprint Backlog'!$F44, TRUE, 0)</f>
        <v/>
      </c>
      <c r="G44" s="4" t="str" cm="1">
        <f t="array" ref="G44">_xlfn.IFS('ProductSprint Backlog'!$F44="", "", AND('ProductSprint Backlog'!$J44&gt;G$2,'ProductSprint Backlog'!$I44&lt;=G$2), 'ProductSprint Backlog'!$F44 / MAX(1, 'ProductSprint Backlog'!$J44-'ProductSprint Backlog'!$I44), AND('ProductSprint Backlog'!$J44=G$2,'ProductSprint Backlog'!$I44=G$2), 'ProductSprint Backlog'!$F44, TRUE, 0)</f>
        <v/>
      </c>
      <c r="H44" s="4" t="str" cm="1">
        <f t="array" ref="H44">_xlfn.IFS('ProductSprint Backlog'!$F44="", "", AND('ProductSprint Backlog'!$J44&gt;H$2,'ProductSprint Backlog'!$I44&lt;=H$2), 'ProductSprint Backlog'!$F44 / MAX(1, 'ProductSprint Backlog'!$J44-'ProductSprint Backlog'!$I44), AND('ProductSprint Backlog'!$J44=H$2,'ProductSprint Backlog'!$I44=H$2), 'ProductSprint Backlog'!$F44, TRUE, 0)</f>
        <v/>
      </c>
      <c r="I44" s="4" t="str" cm="1">
        <f t="array" ref="I44">_xlfn.IFS('ProductSprint Backlog'!$F44="", "", AND('ProductSprint Backlog'!$J44&gt;I$2,'ProductSprint Backlog'!$I44&lt;=I$2), 'ProductSprint Backlog'!$F44 / MAX(1, 'ProductSprint Backlog'!$J44-'ProductSprint Backlog'!$I44), AND('ProductSprint Backlog'!$J44=I$2,'ProductSprint Backlog'!$I44=I$2), 'ProductSprint Backlog'!$F44, TRUE, 0)</f>
        <v/>
      </c>
      <c r="J44" s="4" t="str" cm="1">
        <f t="array" ref="J44">_xlfn.IFS('ProductSprint Backlog'!$F44="", "", AND('ProductSprint Backlog'!$J44&gt;J$2,'ProductSprint Backlog'!$I44&lt;=J$2), 'ProductSprint Backlog'!$F44 / MAX(1, 'ProductSprint Backlog'!$J44-'ProductSprint Backlog'!$I44), AND('ProductSprint Backlog'!$J44=J$2,'ProductSprint Backlog'!$I44=J$2), 'ProductSprint Backlog'!$F44, TRUE, 0)</f>
        <v/>
      </c>
      <c r="K44" s="4" t="str" cm="1">
        <f t="array" ref="K44">_xlfn.IFS('ProductSprint Backlog'!$F44="", "", AND('ProductSprint Backlog'!$J44&gt;K$2,'ProductSprint Backlog'!$I44&lt;=K$2), 'ProductSprint Backlog'!$F44 / MAX(1, 'ProductSprint Backlog'!$J44-'ProductSprint Backlog'!$I44), AND('ProductSprint Backlog'!$J44=K$2,'ProductSprint Backlog'!$I44=K$2), 'ProductSprint Backlog'!$F44, TRUE, 0)</f>
        <v/>
      </c>
      <c r="L44" s="4" t="str" cm="1">
        <f t="array" ref="L44">_xlfn.IFS('ProductSprint Backlog'!$F44="", "", AND('ProductSprint Backlog'!$J44&gt;L$2,'ProductSprint Backlog'!$I44&lt;=L$2), 'ProductSprint Backlog'!$F44 / MAX(1, 'ProductSprint Backlog'!$J44-'ProductSprint Backlog'!$I44), AND('ProductSprint Backlog'!$J44=L$2,'ProductSprint Backlog'!$I44=L$2), 'ProductSprint Backlog'!$F44, TRUE, 0)</f>
        <v/>
      </c>
      <c r="M44" s="4" t="str" cm="1">
        <f t="array" ref="M44">_xlfn.IFS('ProductSprint Backlog'!$F44="", "", AND('ProductSprint Backlog'!$J44&gt;M$2,'ProductSprint Backlog'!$I44&lt;=M$2), 'ProductSprint Backlog'!$F44 / MAX(1, 'ProductSprint Backlog'!$J44-'ProductSprint Backlog'!$I44), AND('ProductSprint Backlog'!$J44=M$2,'ProductSprint Backlog'!$I44=M$2), 'ProductSprint Backlog'!$F44, TRUE, 0)</f>
        <v/>
      </c>
      <c r="N44" s="4" t="str" cm="1">
        <f t="array" ref="N44">_xlfn.IFS('ProductSprint Backlog'!$F44="", "", AND('ProductSprint Backlog'!$J44&gt;N$2,'ProductSprint Backlog'!$I44&lt;=N$2), 'ProductSprint Backlog'!$F44 / MAX(1, 'ProductSprint Backlog'!$J44-'ProductSprint Backlog'!$I44), AND('ProductSprint Backlog'!$J44=N$2,'ProductSprint Backlog'!$I44=N$2), 'ProductSprint Backlog'!$F44, TRUE, 0)</f>
        <v/>
      </c>
      <c r="O44" s="4" t="str" cm="1">
        <f t="array" ref="O44">_xlfn.IFS('ProductSprint Backlog'!$F44="", "", AND('ProductSprint Backlog'!$J44&gt;O$2,'ProductSprint Backlog'!$I44&lt;=O$2), 'ProductSprint Backlog'!$F44 / MAX(1, 'ProductSprint Backlog'!$J44-'ProductSprint Backlog'!$I44), AND('ProductSprint Backlog'!$J44=O$2,'ProductSprint Backlog'!$I44=O$2), 'ProductSprint Backlog'!$F44, TRUE, 0)</f>
        <v/>
      </c>
      <c r="P44" s="4" t="str" cm="1">
        <f t="array" ref="P44">_xlfn.IFS('ProductSprint Backlog'!$F44="", "", AND('ProductSprint Backlog'!$J44&gt;P$2,'ProductSprint Backlog'!$I44&lt;=P$2), 'ProductSprint Backlog'!$F44 / MAX(1, 'ProductSprint Backlog'!$J44-'ProductSprint Backlog'!$I44), AND('ProductSprint Backlog'!$J44=P$2,'ProductSprint Backlog'!$I44=P$2), 'ProductSprint Backlog'!$F44, TRUE, 0)</f>
        <v/>
      </c>
      <c r="Q44" s="4" t="str" cm="1">
        <f t="array" ref="Q44">_xlfn.IFS('ProductSprint Backlog'!$F44="", "", AND('ProductSprint Backlog'!$J44&gt;Q$2,'ProductSprint Backlog'!$I44&lt;=Q$2), 'ProductSprint Backlog'!$F44 / MAX(1, 'ProductSprint Backlog'!$J44-'ProductSprint Backlog'!$I44), AND('ProductSprint Backlog'!$J44=Q$2,'ProductSprint Backlog'!$I44=Q$2), 'ProductSprint Backlog'!$F44, TRUE, 0)</f>
        <v/>
      </c>
    </row>
    <row r="45" spans="2:17" x14ac:dyDescent="0.2">
      <c r="B45" s="4" cm="1">
        <f t="array" ref="B45">_xlfn.IFS('ProductSprint Backlog'!$F45="", "", AND('ProductSprint Backlog'!$J45&gt;B$2,'ProductSprint Backlog'!$I45&lt;=B$2), 'ProductSprint Backlog'!$F45 / MAX(1, 'ProductSprint Backlog'!$J45-'ProductSprint Backlog'!$I45), AND('ProductSprint Backlog'!$J45=B$2,'ProductSprint Backlog'!$I45=B$2), 'ProductSprint Backlog'!$F45, TRUE, 0)</f>
        <v>0</v>
      </c>
      <c r="C45" s="4" cm="1">
        <f t="array" ref="C45">_xlfn.IFS('ProductSprint Backlog'!$F45="", "", AND('ProductSprint Backlog'!$J45&gt;C$2,'ProductSprint Backlog'!$I45&lt;=C$2), 'ProductSprint Backlog'!$F45 / MAX(1, 'ProductSprint Backlog'!$J45-'ProductSprint Backlog'!$I45), AND('ProductSprint Backlog'!$J45=C$2,'ProductSprint Backlog'!$I45=C$2), 'ProductSprint Backlog'!$F45, TRUE, 0)</f>
        <v>0</v>
      </c>
      <c r="D45" s="4" cm="1">
        <f t="array" ref="D45">_xlfn.IFS('ProductSprint Backlog'!$F45="", "", AND('ProductSprint Backlog'!$J45&gt;D$2,'ProductSprint Backlog'!$I45&lt;=D$2), 'ProductSprint Backlog'!$F45 / MAX(1, 'ProductSprint Backlog'!$J45-'ProductSprint Backlog'!$I45), AND('ProductSprint Backlog'!$J45=D$2,'ProductSprint Backlog'!$I45=D$2), 'ProductSprint Backlog'!$F45, TRUE, 0)</f>
        <v>0</v>
      </c>
      <c r="E45" s="4" cm="1">
        <f t="array" ref="E45">_xlfn.IFS('ProductSprint Backlog'!$F45="", "", AND('ProductSprint Backlog'!$J45&gt;E$2,'ProductSprint Backlog'!$I45&lt;=E$2), 'ProductSprint Backlog'!$F45 / MAX(1, 'ProductSprint Backlog'!$J45-'ProductSprint Backlog'!$I45), AND('ProductSprint Backlog'!$J45=E$2,'ProductSprint Backlog'!$I45=E$2), 'ProductSprint Backlog'!$F45, TRUE, 0)</f>
        <v>0</v>
      </c>
      <c r="F45" s="4" cm="1">
        <f t="array" ref="F45">_xlfn.IFS('ProductSprint Backlog'!$F45="", "", AND('ProductSprint Backlog'!$J45&gt;F$2,'ProductSprint Backlog'!$I45&lt;=F$2), 'ProductSprint Backlog'!$F45 / MAX(1, 'ProductSprint Backlog'!$J45-'ProductSprint Backlog'!$I45), AND('ProductSprint Backlog'!$J45=F$2,'ProductSprint Backlog'!$I45=F$2), 'ProductSprint Backlog'!$F45, TRUE, 0)</f>
        <v>0</v>
      </c>
      <c r="G45" s="4" cm="1">
        <f t="array" ref="G45">_xlfn.IFS('ProductSprint Backlog'!$F45="", "", AND('ProductSprint Backlog'!$J45&gt;G$2,'ProductSprint Backlog'!$I45&lt;=G$2), 'ProductSprint Backlog'!$F45 / MAX(1, 'ProductSprint Backlog'!$J45-'ProductSprint Backlog'!$I45), AND('ProductSprint Backlog'!$J45=G$2,'ProductSprint Backlog'!$I45=G$2), 'ProductSprint Backlog'!$F45, TRUE, 0)</f>
        <v>0</v>
      </c>
      <c r="H45" s="4" cm="1">
        <f t="array" ref="H45">_xlfn.IFS('ProductSprint Backlog'!$F45="", "", AND('ProductSprint Backlog'!$J45&gt;H$2,'ProductSprint Backlog'!$I45&lt;=H$2), 'ProductSprint Backlog'!$F45 / MAX(1, 'ProductSprint Backlog'!$J45-'ProductSprint Backlog'!$I45), AND('ProductSprint Backlog'!$J45=H$2,'ProductSprint Backlog'!$I45=H$2), 'ProductSprint Backlog'!$F45, TRUE, 0)</f>
        <v>0</v>
      </c>
      <c r="I45" s="4" cm="1">
        <f t="array" ref="I45">_xlfn.IFS('ProductSprint Backlog'!$F45="", "", AND('ProductSprint Backlog'!$J45&gt;I$2,'ProductSprint Backlog'!$I45&lt;=I$2), 'ProductSprint Backlog'!$F45 / MAX(1, 'ProductSprint Backlog'!$J45-'ProductSprint Backlog'!$I45), AND('ProductSprint Backlog'!$J45=I$2,'ProductSprint Backlog'!$I45=I$2), 'ProductSprint Backlog'!$F45, TRUE, 0)</f>
        <v>0</v>
      </c>
      <c r="J45" s="4" cm="1">
        <f t="array" ref="J45">_xlfn.IFS('ProductSprint Backlog'!$F45="", "", AND('ProductSprint Backlog'!$J45&gt;J$2,'ProductSprint Backlog'!$I45&lt;=J$2), 'ProductSprint Backlog'!$F45 / MAX(1, 'ProductSprint Backlog'!$J45-'ProductSprint Backlog'!$I45), AND('ProductSprint Backlog'!$J45=J$2,'ProductSprint Backlog'!$I45=J$2), 'ProductSprint Backlog'!$F45, TRUE, 0)</f>
        <v>0</v>
      </c>
      <c r="K45" s="4" cm="1">
        <f t="array" ref="K45">_xlfn.IFS('ProductSprint Backlog'!$F45="", "", AND('ProductSprint Backlog'!$J45&gt;K$2,'ProductSprint Backlog'!$I45&lt;=K$2), 'ProductSprint Backlog'!$F45 / MAX(1, 'ProductSprint Backlog'!$J45-'ProductSprint Backlog'!$I45), AND('ProductSprint Backlog'!$J45=K$2,'ProductSprint Backlog'!$I45=K$2), 'ProductSprint Backlog'!$F45, TRUE, 0)</f>
        <v>0</v>
      </c>
      <c r="L45" s="4" cm="1">
        <f t="array" ref="L45">_xlfn.IFS('ProductSprint Backlog'!$F45="", "", AND('ProductSprint Backlog'!$J45&gt;L$2,'ProductSprint Backlog'!$I45&lt;=L$2), 'ProductSprint Backlog'!$F45 / MAX(1, 'ProductSprint Backlog'!$J45-'ProductSprint Backlog'!$I45), AND('ProductSprint Backlog'!$J45=L$2,'ProductSprint Backlog'!$I45=L$2), 'ProductSprint Backlog'!$F45, TRUE, 0)</f>
        <v>0</v>
      </c>
      <c r="M45" s="4" cm="1">
        <f t="array" ref="M45">_xlfn.IFS('ProductSprint Backlog'!$F45="", "", AND('ProductSprint Backlog'!$J45&gt;M$2,'ProductSprint Backlog'!$I45&lt;=M$2), 'ProductSprint Backlog'!$F45 / MAX(1, 'ProductSprint Backlog'!$J45-'ProductSprint Backlog'!$I45), AND('ProductSprint Backlog'!$J45=M$2,'ProductSprint Backlog'!$I45=M$2), 'ProductSprint Backlog'!$F45, TRUE, 0)</f>
        <v>0</v>
      </c>
      <c r="N45" s="4" cm="1">
        <f t="array" ref="N45">_xlfn.IFS('ProductSprint Backlog'!$F45="", "", AND('ProductSprint Backlog'!$J45&gt;N$2,'ProductSprint Backlog'!$I45&lt;=N$2), 'ProductSprint Backlog'!$F45 / MAX(1, 'ProductSprint Backlog'!$J45-'ProductSprint Backlog'!$I45), AND('ProductSprint Backlog'!$J45=N$2,'ProductSprint Backlog'!$I45=N$2), 'ProductSprint Backlog'!$F45, TRUE, 0)</f>
        <v>0</v>
      </c>
      <c r="O45" s="4" cm="1">
        <f t="array" ref="O45">_xlfn.IFS('ProductSprint Backlog'!$F45="", "", AND('ProductSprint Backlog'!$J45&gt;O$2,'ProductSprint Backlog'!$I45&lt;=O$2), 'ProductSprint Backlog'!$F45 / MAX(1, 'ProductSprint Backlog'!$J45-'ProductSprint Backlog'!$I45), AND('ProductSprint Backlog'!$J45=O$2,'ProductSprint Backlog'!$I45=O$2), 'ProductSprint Backlog'!$F45, TRUE, 0)</f>
        <v>0</v>
      </c>
      <c r="P45" s="4" cm="1">
        <f t="array" ref="P45">_xlfn.IFS('ProductSprint Backlog'!$F45="", "", AND('ProductSprint Backlog'!$J45&gt;P$2,'ProductSprint Backlog'!$I45&lt;=P$2), 'ProductSprint Backlog'!$F45 / MAX(1, 'ProductSprint Backlog'!$J45-'ProductSprint Backlog'!$I45), AND('ProductSprint Backlog'!$J45=P$2,'ProductSprint Backlog'!$I45=P$2), 'ProductSprint Backlog'!$F45, TRUE, 0)</f>
        <v>0</v>
      </c>
      <c r="Q45" s="4" cm="1">
        <f t="array" ref="Q45">_xlfn.IFS('ProductSprint Backlog'!$F45="", "", AND('ProductSprint Backlog'!$J45&gt;Q$2,'ProductSprint Backlog'!$I45&lt;=Q$2), 'ProductSprint Backlog'!$F45 / MAX(1, 'ProductSprint Backlog'!$J45-'ProductSprint Backlog'!$I45), AND('ProductSprint Backlog'!$J45=Q$2,'ProductSprint Backlog'!$I45=Q$2), 'ProductSprint Backlog'!$F45, TRUE, 0)</f>
        <v>0</v>
      </c>
    </row>
    <row r="46" spans="2:17" x14ac:dyDescent="0.2">
      <c r="B46" s="4" cm="1">
        <f t="array" ref="B46">_xlfn.IFS('ProductSprint Backlog'!$F46="", "", AND('ProductSprint Backlog'!$J46&gt;B$2,'ProductSprint Backlog'!$I46&lt;=B$2), 'ProductSprint Backlog'!$F46 / MAX(1, 'ProductSprint Backlog'!$J46-'ProductSprint Backlog'!$I46), AND('ProductSprint Backlog'!$J46=B$2,'ProductSprint Backlog'!$I46=B$2), 'ProductSprint Backlog'!$F46, TRUE, 0)</f>
        <v>0</v>
      </c>
      <c r="C46" s="4" cm="1">
        <f t="array" ref="C46">_xlfn.IFS('ProductSprint Backlog'!$F46="", "", AND('ProductSprint Backlog'!$J46&gt;C$2,'ProductSprint Backlog'!$I46&lt;=C$2), 'ProductSprint Backlog'!$F46 / MAX(1, 'ProductSprint Backlog'!$J46-'ProductSprint Backlog'!$I46), AND('ProductSprint Backlog'!$J46=C$2,'ProductSprint Backlog'!$I46=C$2), 'ProductSprint Backlog'!$F46, TRUE, 0)</f>
        <v>0</v>
      </c>
      <c r="D46" s="4" cm="1">
        <f t="array" ref="D46">_xlfn.IFS('ProductSprint Backlog'!$F46="", "", AND('ProductSprint Backlog'!$J46&gt;D$2,'ProductSprint Backlog'!$I46&lt;=D$2), 'ProductSprint Backlog'!$F46 / MAX(1, 'ProductSprint Backlog'!$J46-'ProductSprint Backlog'!$I46), AND('ProductSprint Backlog'!$J46=D$2,'ProductSprint Backlog'!$I46=D$2), 'ProductSprint Backlog'!$F46, TRUE, 0)</f>
        <v>0</v>
      </c>
      <c r="E46" s="4" cm="1">
        <f t="array" ref="E46">_xlfn.IFS('ProductSprint Backlog'!$F46="", "", AND('ProductSprint Backlog'!$J46&gt;E$2,'ProductSprint Backlog'!$I46&lt;=E$2), 'ProductSprint Backlog'!$F46 / MAX(1, 'ProductSprint Backlog'!$J46-'ProductSprint Backlog'!$I46), AND('ProductSprint Backlog'!$J46=E$2,'ProductSprint Backlog'!$I46=E$2), 'ProductSprint Backlog'!$F46, TRUE, 0)</f>
        <v>0</v>
      </c>
      <c r="F46" s="4" cm="1">
        <f t="array" ref="F46">_xlfn.IFS('ProductSprint Backlog'!$F46="", "", AND('ProductSprint Backlog'!$J46&gt;F$2,'ProductSprint Backlog'!$I46&lt;=F$2), 'ProductSprint Backlog'!$F46 / MAX(1, 'ProductSprint Backlog'!$J46-'ProductSprint Backlog'!$I46), AND('ProductSprint Backlog'!$J46=F$2,'ProductSprint Backlog'!$I46=F$2), 'ProductSprint Backlog'!$F46, TRUE, 0)</f>
        <v>0</v>
      </c>
      <c r="G46" s="4" cm="1">
        <f t="array" ref="G46">_xlfn.IFS('ProductSprint Backlog'!$F46="", "", AND('ProductSprint Backlog'!$J46&gt;G$2,'ProductSprint Backlog'!$I46&lt;=G$2), 'ProductSprint Backlog'!$F46 / MAX(1, 'ProductSprint Backlog'!$J46-'ProductSprint Backlog'!$I46), AND('ProductSprint Backlog'!$J46=G$2,'ProductSprint Backlog'!$I46=G$2), 'ProductSprint Backlog'!$F46, TRUE, 0)</f>
        <v>0</v>
      </c>
      <c r="H46" s="4" cm="1">
        <f t="array" ref="H46">_xlfn.IFS('ProductSprint Backlog'!$F46="", "", AND('ProductSprint Backlog'!$J46&gt;H$2,'ProductSprint Backlog'!$I46&lt;=H$2), 'ProductSprint Backlog'!$F46 / MAX(1, 'ProductSprint Backlog'!$J46-'ProductSprint Backlog'!$I46), AND('ProductSprint Backlog'!$J46=H$2,'ProductSprint Backlog'!$I46=H$2), 'ProductSprint Backlog'!$F46, TRUE, 0)</f>
        <v>0</v>
      </c>
      <c r="I46" s="4" cm="1">
        <f t="array" ref="I46">_xlfn.IFS('ProductSprint Backlog'!$F46="", "", AND('ProductSprint Backlog'!$J46&gt;I$2,'ProductSprint Backlog'!$I46&lt;=I$2), 'ProductSprint Backlog'!$F46 / MAX(1, 'ProductSprint Backlog'!$J46-'ProductSprint Backlog'!$I46), AND('ProductSprint Backlog'!$J46=I$2,'ProductSprint Backlog'!$I46=I$2), 'ProductSprint Backlog'!$F46, TRUE, 0)</f>
        <v>0</v>
      </c>
      <c r="J46" s="4" cm="1">
        <f t="array" ref="J46">_xlfn.IFS('ProductSprint Backlog'!$F46="", "", AND('ProductSprint Backlog'!$J46&gt;J$2,'ProductSprint Backlog'!$I46&lt;=J$2), 'ProductSprint Backlog'!$F46 / MAX(1, 'ProductSprint Backlog'!$J46-'ProductSprint Backlog'!$I46), AND('ProductSprint Backlog'!$J46=J$2,'ProductSprint Backlog'!$I46=J$2), 'ProductSprint Backlog'!$F46, TRUE, 0)</f>
        <v>0</v>
      </c>
      <c r="K46" s="4" cm="1">
        <f t="array" ref="K46">_xlfn.IFS('ProductSprint Backlog'!$F46="", "", AND('ProductSprint Backlog'!$J46&gt;K$2,'ProductSprint Backlog'!$I46&lt;=K$2), 'ProductSprint Backlog'!$F46 / MAX(1, 'ProductSprint Backlog'!$J46-'ProductSprint Backlog'!$I46), AND('ProductSprint Backlog'!$J46=K$2,'ProductSprint Backlog'!$I46=K$2), 'ProductSprint Backlog'!$F46, TRUE, 0)</f>
        <v>0</v>
      </c>
      <c r="L46" s="4" cm="1">
        <f t="array" ref="L46">_xlfn.IFS('ProductSprint Backlog'!$F46="", "", AND('ProductSprint Backlog'!$J46&gt;L$2,'ProductSprint Backlog'!$I46&lt;=L$2), 'ProductSprint Backlog'!$F46 / MAX(1, 'ProductSprint Backlog'!$J46-'ProductSprint Backlog'!$I46), AND('ProductSprint Backlog'!$J46=L$2,'ProductSprint Backlog'!$I46=L$2), 'ProductSprint Backlog'!$F46, TRUE, 0)</f>
        <v>0</v>
      </c>
      <c r="M46" s="4" cm="1">
        <f t="array" ref="M46">_xlfn.IFS('ProductSprint Backlog'!$F46="", "", AND('ProductSprint Backlog'!$J46&gt;M$2,'ProductSprint Backlog'!$I46&lt;=M$2), 'ProductSprint Backlog'!$F46 / MAX(1, 'ProductSprint Backlog'!$J46-'ProductSprint Backlog'!$I46), AND('ProductSprint Backlog'!$J46=M$2,'ProductSprint Backlog'!$I46=M$2), 'ProductSprint Backlog'!$F46, TRUE, 0)</f>
        <v>0</v>
      </c>
      <c r="N46" s="4" cm="1">
        <f t="array" ref="N46">_xlfn.IFS('ProductSprint Backlog'!$F46="", "", AND('ProductSprint Backlog'!$J46&gt;N$2,'ProductSprint Backlog'!$I46&lt;=N$2), 'ProductSprint Backlog'!$F46 / MAX(1, 'ProductSprint Backlog'!$J46-'ProductSprint Backlog'!$I46), AND('ProductSprint Backlog'!$J46=N$2,'ProductSprint Backlog'!$I46=N$2), 'ProductSprint Backlog'!$F46, TRUE, 0)</f>
        <v>0</v>
      </c>
      <c r="O46" s="4" cm="1">
        <f t="array" ref="O46">_xlfn.IFS('ProductSprint Backlog'!$F46="", "", AND('ProductSprint Backlog'!$J46&gt;O$2,'ProductSprint Backlog'!$I46&lt;=O$2), 'ProductSprint Backlog'!$F46 / MAX(1, 'ProductSprint Backlog'!$J46-'ProductSprint Backlog'!$I46), AND('ProductSprint Backlog'!$J46=O$2,'ProductSprint Backlog'!$I46=O$2), 'ProductSprint Backlog'!$F46, TRUE, 0)</f>
        <v>0</v>
      </c>
      <c r="P46" s="4" cm="1">
        <f t="array" ref="P46">_xlfn.IFS('ProductSprint Backlog'!$F46="", "", AND('ProductSprint Backlog'!$J46&gt;P$2,'ProductSprint Backlog'!$I46&lt;=P$2), 'ProductSprint Backlog'!$F46 / MAX(1, 'ProductSprint Backlog'!$J46-'ProductSprint Backlog'!$I46), AND('ProductSprint Backlog'!$J46=P$2,'ProductSprint Backlog'!$I46=P$2), 'ProductSprint Backlog'!$F46, TRUE, 0)</f>
        <v>0</v>
      </c>
      <c r="Q46" s="4" cm="1">
        <f t="array" ref="Q46">_xlfn.IFS('ProductSprint Backlog'!$F46="", "", AND('ProductSprint Backlog'!$J46&gt;Q$2,'ProductSprint Backlog'!$I46&lt;=Q$2), 'ProductSprint Backlog'!$F46 / MAX(1, 'ProductSprint Backlog'!$J46-'ProductSprint Backlog'!$I46), AND('ProductSprint Backlog'!$J46=Q$2,'ProductSprint Backlog'!$I46=Q$2), 'ProductSprint Backlog'!$F46, TRUE, 0)</f>
        <v>0</v>
      </c>
    </row>
    <row r="47" spans="2:17" x14ac:dyDescent="0.2">
      <c r="B47" s="4" t="str" cm="1">
        <f t="array" ref="B47">_xlfn.IFS('ProductSprint Backlog'!$F47="", "", AND('ProductSprint Backlog'!$J47&gt;B$2,'ProductSprint Backlog'!$I47&lt;=B$2), 'ProductSprint Backlog'!$F47 / MAX(1, 'ProductSprint Backlog'!$J47-'ProductSprint Backlog'!$I47), AND('ProductSprint Backlog'!$J47=B$2,'ProductSprint Backlog'!$I47=B$2), 'ProductSprint Backlog'!$F47, TRUE, 0)</f>
        <v/>
      </c>
      <c r="C47" s="4" t="str" cm="1">
        <f t="array" ref="C47">_xlfn.IFS('ProductSprint Backlog'!$F47="", "", AND('ProductSprint Backlog'!$J47&gt;C$2,'ProductSprint Backlog'!$I47&lt;=C$2), 'ProductSprint Backlog'!$F47 / MAX(1, 'ProductSprint Backlog'!$J47-'ProductSprint Backlog'!$I47), AND('ProductSprint Backlog'!$J47=C$2,'ProductSprint Backlog'!$I47=C$2), 'ProductSprint Backlog'!$F47, TRUE, 0)</f>
        <v/>
      </c>
      <c r="D47" s="4" t="str" cm="1">
        <f t="array" ref="D47">_xlfn.IFS('ProductSprint Backlog'!$F47="", "", AND('ProductSprint Backlog'!$J47&gt;D$2,'ProductSprint Backlog'!$I47&lt;=D$2), 'ProductSprint Backlog'!$F47 / MAX(1, 'ProductSprint Backlog'!$J47-'ProductSprint Backlog'!$I47), AND('ProductSprint Backlog'!$J47=D$2,'ProductSprint Backlog'!$I47=D$2), 'ProductSprint Backlog'!$F47, TRUE, 0)</f>
        <v/>
      </c>
      <c r="E47" s="4" t="str" cm="1">
        <f t="array" ref="E47">_xlfn.IFS('ProductSprint Backlog'!$F47="", "", AND('ProductSprint Backlog'!$J47&gt;E$2,'ProductSprint Backlog'!$I47&lt;=E$2), 'ProductSprint Backlog'!$F47 / MAX(1, 'ProductSprint Backlog'!$J47-'ProductSprint Backlog'!$I47), AND('ProductSprint Backlog'!$J47=E$2,'ProductSprint Backlog'!$I47=E$2), 'ProductSprint Backlog'!$F47, TRUE, 0)</f>
        <v/>
      </c>
      <c r="F47" s="4" t="str" cm="1">
        <f t="array" ref="F47">_xlfn.IFS('ProductSprint Backlog'!$F47="", "", AND('ProductSprint Backlog'!$J47&gt;F$2,'ProductSprint Backlog'!$I47&lt;=F$2), 'ProductSprint Backlog'!$F47 / MAX(1, 'ProductSprint Backlog'!$J47-'ProductSprint Backlog'!$I47), AND('ProductSprint Backlog'!$J47=F$2,'ProductSprint Backlog'!$I47=F$2), 'ProductSprint Backlog'!$F47, TRUE, 0)</f>
        <v/>
      </c>
      <c r="G47" s="4" t="str" cm="1">
        <f t="array" ref="G47">_xlfn.IFS('ProductSprint Backlog'!$F47="", "", AND('ProductSprint Backlog'!$J47&gt;G$2,'ProductSprint Backlog'!$I47&lt;=G$2), 'ProductSprint Backlog'!$F47 / MAX(1, 'ProductSprint Backlog'!$J47-'ProductSprint Backlog'!$I47), AND('ProductSprint Backlog'!$J47=G$2,'ProductSprint Backlog'!$I47=G$2), 'ProductSprint Backlog'!$F47, TRUE, 0)</f>
        <v/>
      </c>
      <c r="H47" s="4" t="str" cm="1">
        <f t="array" ref="H47">_xlfn.IFS('ProductSprint Backlog'!$F47="", "", AND('ProductSprint Backlog'!$J47&gt;H$2,'ProductSprint Backlog'!$I47&lt;=H$2), 'ProductSprint Backlog'!$F47 / MAX(1, 'ProductSprint Backlog'!$J47-'ProductSprint Backlog'!$I47), AND('ProductSprint Backlog'!$J47=H$2,'ProductSprint Backlog'!$I47=H$2), 'ProductSprint Backlog'!$F47, TRUE, 0)</f>
        <v/>
      </c>
      <c r="I47" s="4" t="str" cm="1">
        <f t="array" ref="I47">_xlfn.IFS('ProductSprint Backlog'!$F47="", "", AND('ProductSprint Backlog'!$J47&gt;I$2,'ProductSprint Backlog'!$I47&lt;=I$2), 'ProductSprint Backlog'!$F47 / MAX(1, 'ProductSprint Backlog'!$J47-'ProductSprint Backlog'!$I47), AND('ProductSprint Backlog'!$J47=I$2,'ProductSprint Backlog'!$I47=I$2), 'ProductSprint Backlog'!$F47, TRUE, 0)</f>
        <v/>
      </c>
      <c r="J47" s="4" t="str" cm="1">
        <f t="array" ref="J47">_xlfn.IFS('ProductSprint Backlog'!$F47="", "", AND('ProductSprint Backlog'!$J47&gt;J$2,'ProductSprint Backlog'!$I47&lt;=J$2), 'ProductSprint Backlog'!$F47 / MAX(1, 'ProductSprint Backlog'!$J47-'ProductSprint Backlog'!$I47), AND('ProductSprint Backlog'!$J47=J$2,'ProductSprint Backlog'!$I47=J$2), 'ProductSprint Backlog'!$F47, TRUE, 0)</f>
        <v/>
      </c>
      <c r="K47" s="4" t="str" cm="1">
        <f t="array" ref="K47">_xlfn.IFS('ProductSprint Backlog'!$F47="", "", AND('ProductSprint Backlog'!$J47&gt;K$2,'ProductSprint Backlog'!$I47&lt;=K$2), 'ProductSprint Backlog'!$F47 / MAX(1, 'ProductSprint Backlog'!$J47-'ProductSprint Backlog'!$I47), AND('ProductSprint Backlog'!$J47=K$2,'ProductSprint Backlog'!$I47=K$2), 'ProductSprint Backlog'!$F47, TRUE, 0)</f>
        <v/>
      </c>
      <c r="L47" s="4" t="str" cm="1">
        <f t="array" ref="L47">_xlfn.IFS('ProductSprint Backlog'!$F47="", "", AND('ProductSprint Backlog'!$J47&gt;L$2,'ProductSprint Backlog'!$I47&lt;=L$2), 'ProductSprint Backlog'!$F47 / MAX(1, 'ProductSprint Backlog'!$J47-'ProductSprint Backlog'!$I47), AND('ProductSprint Backlog'!$J47=L$2,'ProductSprint Backlog'!$I47=L$2), 'ProductSprint Backlog'!$F47, TRUE, 0)</f>
        <v/>
      </c>
      <c r="M47" s="4" t="str" cm="1">
        <f t="array" ref="M47">_xlfn.IFS('ProductSprint Backlog'!$F47="", "", AND('ProductSprint Backlog'!$J47&gt;M$2,'ProductSprint Backlog'!$I47&lt;=M$2), 'ProductSprint Backlog'!$F47 / MAX(1, 'ProductSprint Backlog'!$J47-'ProductSprint Backlog'!$I47), AND('ProductSprint Backlog'!$J47=M$2,'ProductSprint Backlog'!$I47=M$2), 'ProductSprint Backlog'!$F47, TRUE, 0)</f>
        <v/>
      </c>
      <c r="N47" s="4" t="str" cm="1">
        <f t="array" ref="N47">_xlfn.IFS('ProductSprint Backlog'!$F47="", "", AND('ProductSprint Backlog'!$J47&gt;N$2,'ProductSprint Backlog'!$I47&lt;=N$2), 'ProductSprint Backlog'!$F47 / MAX(1, 'ProductSprint Backlog'!$J47-'ProductSprint Backlog'!$I47), AND('ProductSprint Backlog'!$J47=N$2,'ProductSprint Backlog'!$I47=N$2), 'ProductSprint Backlog'!$F47, TRUE, 0)</f>
        <v/>
      </c>
      <c r="O47" s="4" t="str" cm="1">
        <f t="array" ref="O47">_xlfn.IFS('ProductSprint Backlog'!$F47="", "", AND('ProductSprint Backlog'!$J47&gt;O$2,'ProductSprint Backlog'!$I47&lt;=O$2), 'ProductSprint Backlog'!$F47 / MAX(1, 'ProductSprint Backlog'!$J47-'ProductSprint Backlog'!$I47), AND('ProductSprint Backlog'!$J47=O$2,'ProductSprint Backlog'!$I47=O$2), 'ProductSprint Backlog'!$F47, TRUE, 0)</f>
        <v/>
      </c>
      <c r="P47" s="4" t="str" cm="1">
        <f t="array" ref="P47">_xlfn.IFS('ProductSprint Backlog'!$F47="", "", AND('ProductSprint Backlog'!$J47&gt;P$2,'ProductSprint Backlog'!$I47&lt;=P$2), 'ProductSprint Backlog'!$F47 / MAX(1, 'ProductSprint Backlog'!$J47-'ProductSprint Backlog'!$I47), AND('ProductSprint Backlog'!$J47=P$2,'ProductSprint Backlog'!$I47=P$2), 'ProductSprint Backlog'!$F47, TRUE, 0)</f>
        <v/>
      </c>
      <c r="Q47" s="4" t="str" cm="1">
        <f t="array" ref="Q47">_xlfn.IFS('ProductSprint Backlog'!$F47="", "", AND('ProductSprint Backlog'!$J47&gt;Q$2,'ProductSprint Backlog'!$I47&lt;=Q$2), 'ProductSprint Backlog'!$F47 / MAX(1, 'ProductSprint Backlog'!$J47-'ProductSprint Backlog'!$I47), AND('ProductSprint Backlog'!$J47=Q$2,'ProductSprint Backlog'!$I47=Q$2), 'ProductSprint Backlog'!$F47, TRUE, 0)</f>
        <v/>
      </c>
    </row>
    <row r="48" spans="2:17" x14ac:dyDescent="0.2">
      <c r="B48" s="4" cm="1">
        <f t="array" ref="B48">_xlfn.IFS('ProductSprint Backlog'!$F48="", "", AND('ProductSprint Backlog'!$J48&gt;B$2,'ProductSprint Backlog'!$I48&lt;=B$2), 'ProductSprint Backlog'!$F48 / MAX(1, 'ProductSprint Backlog'!$J48-'ProductSprint Backlog'!$I48), AND('ProductSprint Backlog'!$J48=B$2,'ProductSprint Backlog'!$I48=B$2), 'ProductSprint Backlog'!$F48, TRUE, 0)</f>
        <v>0</v>
      </c>
      <c r="C48" s="4" cm="1">
        <f t="array" ref="C48">_xlfn.IFS('ProductSprint Backlog'!$F48="", "", AND('ProductSprint Backlog'!$J48&gt;C$2,'ProductSprint Backlog'!$I48&lt;=C$2), 'ProductSprint Backlog'!$F48 / MAX(1, 'ProductSprint Backlog'!$J48-'ProductSprint Backlog'!$I48), AND('ProductSprint Backlog'!$J48=C$2,'ProductSprint Backlog'!$I48=C$2), 'ProductSprint Backlog'!$F48, TRUE, 0)</f>
        <v>0</v>
      </c>
      <c r="D48" s="4" cm="1">
        <f t="array" ref="D48">_xlfn.IFS('ProductSprint Backlog'!$F48="", "", AND('ProductSprint Backlog'!$J48&gt;D$2,'ProductSprint Backlog'!$I48&lt;=D$2), 'ProductSprint Backlog'!$F48 / MAX(1, 'ProductSprint Backlog'!$J48-'ProductSprint Backlog'!$I48), AND('ProductSprint Backlog'!$J48=D$2,'ProductSprint Backlog'!$I48=D$2), 'ProductSprint Backlog'!$F48, TRUE, 0)</f>
        <v>0</v>
      </c>
      <c r="E48" s="4" cm="1">
        <f t="array" ref="E48">_xlfn.IFS('ProductSprint Backlog'!$F48="", "", AND('ProductSprint Backlog'!$J48&gt;E$2,'ProductSprint Backlog'!$I48&lt;=E$2), 'ProductSprint Backlog'!$F48 / MAX(1, 'ProductSprint Backlog'!$J48-'ProductSprint Backlog'!$I48), AND('ProductSprint Backlog'!$J48=E$2,'ProductSprint Backlog'!$I48=E$2), 'ProductSprint Backlog'!$F48, TRUE, 0)</f>
        <v>0</v>
      </c>
      <c r="F48" s="4" cm="1">
        <f t="array" ref="F48">_xlfn.IFS('ProductSprint Backlog'!$F48="", "", AND('ProductSprint Backlog'!$J48&gt;F$2,'ProductSprint Backlog'!$I48&lt;=F$2), 'ProductSprint Backlog'!$F48 / MAX(1, 'ProductSprint Backlog'!$J48-'ProductSprint Backlog'!$I48), AND('ProductSprint Backlog'!$J48=F$2,'ProductSprint Backlog'!$I48=F$2), 'ProductSprint Backlog'!$F48, TRUE, 0)</f>
        <v>0</v>
      </c>
      <c r="G48" s="4" cm="1">
        <f t="array" ref="G48">_xlfn.IFS('ProductSprint Backlog'!$F48="", "", AND('ProductSprint Backlog'!$J48&gt;G$2,'ProductSprint Backlog'!$I48&lt;=G$2), 'ProductSprint Backlog'!$F48 / MAX(1, 'ProductSprint Backlog'!$J48-'ProductSprint Backlog'!$I48), AND('ProductSprint Backlog'!$J48=G$2,'ProductSprint Backlog'!$I48=G$2), 'ProductSprint Backlog'!$F48, TRUE, 0)</f>
        <v>0</v>
      </c>
      <c r="H48" s="4" cm="1">
        <f t="array" ref="H48">_xlfn.IFS('ProductSprint Backlog'!$F48="", "", AND('ProductSprint Backlog'!$J48&gt;H$2,'ProductSprint Backlog'!$I48&lt;=H$2), 'ProductSprint Backlog'!$F48 / MAX(1, 'ProductSprint Backlog'!$J48-'ProductSprint Backlog'!$I48), AND('ProductSprint Backlog'!$J48=H$2,'ProductSprint Backlog'!$I48=H$2), 'ProductSprint Backlog'!$F48, TRUE, 0)</f>
        <v>0</v>
      </c>
      <c r="I48" s="4" cm="1">
        <f t="array" ref="I48">_xlfn.IFS('ProductSprint Backlog'!$F48="", "", AND('ProductSprint Backlog'!$J48&gt;I$2,'ProductSprint Backlog'!$I48&lt;=I$2), 'ProductSprint Backlog'!$F48 / MAX(1, 'ProductSprint Backlog'!$J48-'ProductSprint Backlog'!$I48), AND('ProductSprint Backlog'!$J48=I$2,'ProductSprint Backlog'!$I48=I$2), 'ProductSprint Backlog'!$F48, TRUE, 0)</f>
        <v>0</v>
      </c>
      <c r="J48" s="4" cm="1">
        <f t="array" ref="J48">_xlfn.IFS('ProductSprint Backlog'!$F48="", "", AND('ProductSprint Backlog'!$J48&gt;J$2,'ProductSprint Backlog'!$I48&lt;=J$2), 'ProductSprint Backlog'!$F48 / MAX(1, 'ProductSprint Backlog'!$J48-'ProductSprint Backlog'!$I48), AND('ProductSprint Backlog'!$J48=J$2,'ProductSprint Backlog'!$I48=J$2), 'ProductSprint Backlog'!$F48, TRUE, 0)</f>
        <v>0</v>
      </c>
      <c r="K48" s="4" cm="1">
        <f t="array" ref="K48">_xlfn.IFS('ProductSprint Backlog'!$F48="", "", AND('ProductSprint Backlog'!$J48&gt;K$2,'ProductSprint Backlog'!$I48&lt;=K$2), 'ProductSprint Backlog'!$F48 / MAX(1, 'ProductSprint Backlog'!$J48-'ProductSprint Backlog'!$I48), AND('ProductSprint Backlog'!$J48=K$2,'ProductSprint Backlog'!$I48=K$2), 'ProductSprint Backlog'!$F48, TRUE, 0)</f>
        <v>0</v>
      </c>
      <c r="L48" s="4" cm="1">
        <f t="array" ref="L48">_xlfn.IFS('ProductSprint Backlog'!$F48="", "", AND('ProductSprint Backlog'!$J48&gt;L$2,'ProductSprint Backlog'!$I48&lt;=L$2), 'ProductSprint Backlog'!$F48 / MAX(1, 'ProductSprint Backlog'!$J48-'ProductSprint Backlog'!$I48), AND('ProductSprint Backlog'!$J48=L$2,'ProductSprint Backlog'!$I48=L$2), 'ProductSprint Backlog'!$F48, TRUE, 0)</f>
        <v>0</v>
      </c>
      <c r="M48" s="4" cm="1">
        <f t="array" ref="M48">_xlfn.IFS('ProductSprint Backlog'!$F48="", "", AND('ProductSprint Backlog'!$J48&gt;M$2,'ProductSprint Backlog'!$I48&lt;=M$2), 'ProductSprint Backlog'!$F48 / MAX(1, 'ProductSprint Backlog'!$J48-'ProductSprint Backlog'!$I48), AND('ProductSprint Backlog'!$J48=M$2,'ProductSprint Backlog'!$I48=M$2), 'ProductSprint Backlog'!$F48, TRUE, 0)</f>
        <v>0</v>
      </c>
      <c r="N48" s="4" cm="1">
        <f t="array" ref="N48">_xlfn.IFS('ProductSprint Backlog'!$F48="", "", AND('ProductSprint Backlog'!$J48&gt;N$2,'ProductSprint Backlog'!$I48&lt;=N$2), 'ProductSprint Backlog'!$F48 / MAX(1, 'ProductSprint Backlog'!$J48-'ProductSprint Backlog'!$I48), AND('ProductSprint Backlog'!$J48=N$2,'ProductSprint Backlog'!$I48=N$2), 'ProductSprint Backlog'!$F48, TRUE, 0)</f>
        <v>0</v>
      </c>
      <c r="O48" s="4" cm="1">
        <f t="array" ref="O48">_xlfn.IFS('ProductSprint Backlog'!$F48="", "", AND('ProductSprint Backlog'!$J48&gt;O$2,'ProductSprint Backlog'!$I48&lt;=O$2), 'ProductSprint Backlog'!$F48 / MAX(1, 'ProductSprint Backlog'!$J48-'ProductSprint Backlog'!$I48), AND('ProductSprint Backlog'!$J48=O$2,'ProductSprint Backlog'!$I48=O$2), 'ProductSprint Backlog'!$F48, TRUE, 0)</f>
        <v>0</v>
      </c>
      <c r="P48" s="4" cm="1">
        <f t="array" ref="P48">_xlfn.IFS('ProductSprint Backlog'!$F48="", "", AND('ProductSprint Backlog'!$J48&gt;P$2,'ProductSprint Backlog'!$I48&lt;=P$2), 'ProductSprint Backlog'!$F48 / MAX(1, 'ProductSprint Backlog'!$J48-'ProductSprint Backlog'!$I48), AND('ProductSprint Backlog'!$J48=P$2,'ProductSprint Backlog'!$I48=P$2), 'ProductSprint Backlog'!$F48, TRUE, 0)</f>
        <v>0</v>
      </c>
      <c r="Q48" s="4" cm="1">
        <f t="array" ref="Q48">_xlfn.IFS('ProductSprint Backlog'!$F48="", "", AND('ProductSprint Backlog'!$J48&gt;Q$2,'ProductSprint Backlog'!$I48&lt;=Q$2), 'ProductSprint Backlog'!$F48 / MAX(1, 'ProductSprint Backlog'!$J48-'ProductSprint Backlog'!$I48), AND('ProductSprint Backlog'!$J48=Q$2,'ProductSprint Backlog'!$I48=Q$2), 'ProductSprint Backlog'!$F48, TRUE, 0)</f>
        <v>0</v>
      </c>
    </row>
    <row r="49" spans="2:17" x14ac:dyDescent="0.2">
      <c r="B49" s="4" cm="1">
        <f t="array" ref="B49">_xlfn.IFS('ProductSprint Backlog'!$F49="", "", AND('ProductSprint Backlog'!$J49&gt;B$2,'ProductSprint Backlog'!$I49&lt;=B$2), 'ProductSprint Backlog'!$F49 / MAX(1, 'ProductSprint Backlog'!$J49-'ProductSprint Backlog'!$I49), AND('ProductSprint Backlog'!$J49=B$2,'ProductSprint Backlog'!$I49=B$2), 'ProductSprint Backlog'!$F49, TRUE, 0)</f>
        <v>0</v>
      </c>
      <c r="C49" s="4" cm="1">
        <f t="array" ref="C49">_xlfn.IFS('ProductSprint Backlog'!$F49="", "", AND('ProductSprint Backlog'!$J49&gt;C$2,'ProductSprint Backlog'!$I49&lt;=C$2), 'ProductSprint Backlog'!$F49 / MAX(1, 'ProductSprint Backlog'!$J49-'ProductSprint Backlog'!$I49), AND('ProductSprint Backlog'!$J49=C$2,'ProductSprint Backlog'!$I49=C$2), 'ProductSprint Backlog'!$F49, TRUE, 0)</f>
        <v>0</v>
      </c>
      <c r="D49" s="4" cm="1">
        <f t="array" ref="D49">_xlfn.IFS('ProductSprint Backlog'!$F49="", "", AND('ProductSprint Backlog'!$J49&gt;D$2,'ProductSprint Backlog'!$I49&lt;=D$2), 'ProductSprint Backlog'!$F49 / MAX(1, 'ProductSprint Backlog'!$J49-'ProductSprint Backlog'!$I49), AND('ProductSprint Backlog'!$J49=D$2,'ProductSprint Backlog'!$I49=D$2), 'ProductSprint Backlog'!$F49, TRUE, 0)</f>
        <v>0</v>
      </c>
      <c r="E49" s="4" cm="1">
        <f t="array" ref="E49">_xlfn.IFS('ProductSprint Backlog'!$F49="", "", AND('ProductSprint Backlog'!$J49&gt;E$2,'ProductSprint Backlog'!$I49&lt;=E$2), 'ProductSprint Backlog'!$F49 / MAX(1, 'ProductSprint Backlog'!$J49-'ProductSprint Backlog'!$I49), AND('ProductSprint Backlog'!$J49=E$2,'ProductSprint Backlog'!$I49=E$2), 'ProductSprint Backlog'!$F49, TRUE, 0)</f>
        <v>0</v>
      </c>
      <c r="F49" s="4" cm="1">
        <f t="array" ref="F49">_xlfn.IFS('ProductSprint Backlog'!$F49="", "", AND('ProductSprint Backlog'!$J49&gt;F$2,'ProductSprint Backlog'!$I49&lt;=F$2), 'ProductSprint Backlog'!$F49 / MAX(1, 'ProductSprint Backlog'!$J49-'ProductSprint Backlog'!$I49), AND('ProductSprint Backlog'!$J49=F$2,'ProductSprint Backlog'!$I49=F$2), 'ProductSprint Backlog'!$F49, TRUE, 0)</f>
        <v>0</v>
      </c>
      <c r="G49" s="4" cm="1">
        <f t="array" ref="G49">_xlfn.IFS('ProductSprint Backlog'!$F49="", "", AND('ProductSprint Backlog'!$J49&gt;G$2,'ProductSprint Backlog'!$I49&lt;=G$2), 'ProductSprint Backlog'!$F49 / MAX(1, 'ProductSprint Backlog'!$J49-'ProductSprint Backlog'!$I49), AND('ProductSprint Backlog'!$J49=G$2,'ProductSprint Backlog'!$I49=G$2), 'ProductSprint Backlog'!$F49, TRUE, 0)</f>
        <v>0</v>
      </c>
      <c r="H49" s="4" cm="1">
        <f t="array" ref="H49">_xlfn.IFS('ProductSprint Backlog'!$F49="", "", AND('ProductSprint Backlog'!$J49&gt;H$2,'ProductSprint Backlog'!$I49&lt;=H$2), 'ProductSprint Backlog'!$F49 / MAX(1, 'ProductSprint Backlog'!$J49-'ProductSprint Backlog'!$I49), AND('ProductSprint Backlog'!$J49=H$2,'ProductSprint Backlog'!$I49=H$2), 'ProductSprint Backlog'!$F49, TRUE, 0)</f>
        <v>0</v>
      </c>
      <c r="I49" s="4" cm="1">
        <f t="array" ref="I49">_xlfn.IFS('ProductSprint Backlog'!$F49="", "", AND('ProductSprint Backlog'!$J49&gt;I$2,'ProductSprint Backlog'!$I49&lt;=I$2), 'ProductSprint Backlog'!$F49 / MAX(1, 'ProductSprint Backlog'!$J49-'ProductSprint Backlog'!$I49), AND('ProductSprint Backlog'!$J49=I$2,'ProductSprint Backlog'!$I49=I$2), 'ProductSprint Backlog'!$F49, TRUE, 0)</f>
        <v>0</v>
      </c>
      <c r="J49" s="4" cm="1">
        <f t="array" ref="J49">_xlfn.IFS('ProductSprint Backlog'!$F49="", "", AND('ProductSprint Backlog'!$J49&gt;J$2,'ProductSprint Backlog'!$I49&lt;=J$2), 'ProductSprint Backlog'!$F49 / MAX(1, 'ProductSprint Backlog'!$J49-'ProductSprint Backlog'!$I49), AND('ProductSprint Backlog'!$J49=J$2,'ProductSprint Backlog'!$I49=J$2), 'ProductSprint Backlog'!$F49, TRUE, 0)</f>
        <v>0</v>
      </c>
      <c r="K49" s="4" cm="1">
        <f t="array" ref="K49">_xlfn.IFS('ProductSprint Backlog'!$F49="", "", AND('ProductSprint Backlog'!$J49&gt;K$2,'ProductSprint Backlog'!$I49&lt;=K$2), 'ProductSprint Backlog'!$F49 / MAX(1, 'ProductSprint Backlog'!$J49-'ProductSprint Backlog'!$I49), AND('ProductSprint Backlog'!$J49=K$2,'ProductSprint Backlog'!$I49=K$2), 'ProductSprint Backlog'!$F49, TRUE, 0)</f>
        <v>0</v>
      </c>
      <c r="L49" s="4" cm="1">
        <f t="array" ref="L49">_xlfn.IFS('ProductSprint Backlog'!$F49="", "", AND('ProductSprint Backlog'!$J49&gt;L$2,'ProductSprint Backlog'!$I49&lt;=L$2), 'ProductSprint Backlog'!$F49 / MAX(1, 'ProductSprint Backlog'!$J49-'ProductSprint Backlog'!$I49), AND('ProductSprint Backlog'!$J49=L$2,'ProductSprint Backlog'!$I49=L$2), 'ProductSprint Backlog'!$F49, TRUE, 0)</f>
        <v>0</v>
      </c>
      <c r="M49" s="4" cm="1">
        <f t="array" ref="M49">_xlfn.IFS('ProductSprint Backlog'!$F49="", "", AND('ProductSprint Backlog'!$J49&gt;M$2,'ProductSprint Backlog'!$I49&lt;=M$2), 'ProductSprint Backlog'!$F49 / MAX(1, 'ProductSprint Backlog'!$J49-'ProductSprint Backlog'!$I49), AND('ProductSprint Backlog'!$J49=M$2,'ProductSprint Backlog'!$I49=M$2), 'ProductSprint Backlog'!$F49, TRUE, 0)</f>
        <v>0</v>
      </c>
      <c r="N49" s="4" cm="1">
        <f t="array" ref="N49">_xlfn.IFS('ProductSprint Backlog'!$F49="", "", AND('ProductSprint Backlog'!$J49&gt;N$2,'ProductSprint Backlog'!$I49&lt;=N$2), 'ProductSprint Backlog'!$F49 / MAX(1, 'ProductSprint Backlog'!$J49-'ProductSprint Backlog'!$I49), AND('ProductSprint Backlog'!$J49=N$2,'ProductSprint Backlog'!$I49=N$2), 'ProductSprint Backlog'!$F49, TRUE, 0)</f>
        <v>0</v>
      </c>
      <c r="O49" s="4" cm="1">
        <f t="array" ref="O49">_xlfn.IFS('ProductSprint Backlog'!$F49="", "", AND('ProductSprint Backlog'!$J49&gt;O$2,'ProductSprint Backlog'!$I49&lt;=O$2), 'ProductSprint Backlog'!$F49 / MAX(1, 'ProductSprint Backlog'!$J49-'ProductSprint Backlog'!$I49), AND('ProductSprint Backlog'!$J49=O$2,'ProductSprint Backlog'!$I49=O$2), 'ProductSprint Backlog'!$F49, TRUE, 0)</f>
        <v>0</v>
      </c>
      <c r="P49" s="4" cm="1">
        <f t="array" ref="P49">_xlfn.IFS('ProductSprint Backlog'!$F49="", "", AND('ProductSprint Backlog'!$J49&gt;P$2,'ProductSprint Backlog'!$I49&lt;=P$2), 'ProductSprint Backlog'!$F49 / MAX(1, 'ProductSprint Backlog'!$J49-'ProductSprint Backlog'!$I49), AND('ProductSprint Backlog'!$J49=P$2,'ProductSprint Backlog'!$I49=P$2), 'ProductSprint Backlog'!$F49, TRUE, 0)</f>
        <v>0</v>
      </c>
      <c r="Q49" s="4" cm="1">
        <f t="array" ref="Q49">_xlfn.IFS('ProductSprint Backlog'!$F49="", "", AND('ProductSprint Backlog'!$J49&gt;Q$2,'ProductSprint Backlog'!$I49&lt;=Q$2), 'ProductSprint Backlog'!$F49 / MAX(1, 'ProductSprint Backlog'!$J49-'ProductSprint Backlog'!$I49), AND('ProductSprint Backlog'!$J49=Q$2,'ProductSprint Backlog'!$I49=Q$2), 'ProductSprint Backlog'!$F49, TRUE, 0)</f>
        <v>0</v>
      </c>
    </row>
    <row r="50" spans="2:17" x14ac:dyDescent="0.2">
      <c r="B50" s="4" t="str" cm="1">
        <f t="array" ref="B50">_xlfn.IFS('ProductSprint Backlog'!$F50="", "", AND('ProductSprint Backlog'!$J50&gt;B$2,'ProductSprint Backlog'!$I50&lt;=B$2), 'ProductSprint Backlog'!$F50 / MAX(1, 'ProductSprint Backlog'!$J50-'ProductSprint Backlog'!$I50), AND('ProductSprint Backlog'!$J50=B$2,'ProductSprint Backlog'!$I50=B$2), 'ProductSprint Backlog'!$F50, TRUE, 0)</f>
        <v/>
      </c>
      <c r="C50" s="4" t="str" cm="1">
        <f t="array" ref="C50">_xlfn.IFS('ProductSprint Backlog'!$F50="", "", AND('ProductSprint Backlog'!$J50&gt;C$2,'ProductSprint Backlog'!$I50&lt;=C$2), 'ProductSprint Backlog'!$F50 / MAX(1, 'ProductSprint Backlog'!$J50-'ProductSprint Backlog'!$I50), AND('ProductSprint Backlog'!$J50=C$2,'ProductSprint Backlog'!$I50=C$2), 'ProductSprint Backlog'!$F50, TRUE, 0)</f>
        <v/>
      </c>
      <c r="D50" s="4" t="str" cm="1">
        <f t="array" ref="D50">_xlfn.IFS('ProductSprint Backlog'!$F50="", "", AND('ProductSprint Backlog'!$J50&gt;D$2,'ProductSprint Backlog'!$I50&lt;=D$2), 'ProductSprint Backlog'!$F50 / MAX(1, 'ProductSprint Backlog'!$J50-'ProductSprint Backlog'!$I50), AND('ProductSprint Backlog'!$J50=D$2,'ProductSprint Backlog'!$I50=D$2), 'ProductSprint Backlog'!$F50, TRUE, 0)</f>
        <v/>
      </c>
      <c r="E50" s="4" t="str" cm="1">
        <f t="array" ref="E50">_xlfn.IFS('ProductSprint Backlog'!$F50="", "", AND('ProductSprint Backlog'!$J50&gt;E$2,'ProductSprint Backlog'!$I50&lt;=E$2), 'ProductSprint Backlog'!$F50 / MAX(1, 'ProductSprint Backlog'!$J50-'ProductSprint Backlog'!$I50), AND('ProductSprint Backlog'!$J50=E$2,'ProductSprint Backlog'!$I50=E$2), 'ProductSprint Backlog'!$F50, TRUE, 0)</f>
        <v/>
      </c>
      <c r="F50" s="4" t="str" cm="1">
        <f t="array" ref="F50">_xlfn.IFS('ProductSprint Backlog'!$F50="", "", AND('ProductSprint Backlog'!$J50&gt;F$2,'ProductSprint Backlog'!$I50&lt;=F$2), 'ProductSprint Backlog'!$F50 / MAX(1, 'ProductSprint Backlog'!$J50-'ProductSprint Backlog'!$I50), AND('ProductSprint Backlog'!$J50=F$2,'ProductSprint Backlog'!$I50=F$2), 'ProductSprint Backlog'!$F50, TRUE, 0)</f>
        <v/>
      </c>
      <c r="G50" s="4" t="str" cm="1">
        <f t="array" ref="G50">_xlfn.IFS('ProductSprint Backlog'!$F50="", "", AND('ProductSprint Backlog'!$J50&gt;G$2,'ProductSprint Backlog'!$I50&lt;=G$2), 'ProductSprint Backlog'!$F50 / MAX(1, 'ProductSprint Backlog'!$J50-'ProductSprint Backlog'!$I50), AND('ProductSprint Backlog'!$J50=G$2,'ProductSprint Backlog'!$I50=G$2), 'ProductSprint Backlog'!$F50, TRUE, 0)</f>
        <v/>
      </c>
      <c r="H50" s="4" t="str" cm="1">
        <f t="array" ref="H50">_xlfn.IFS('ProductSprint Backlog'!$F50="", "", AND('ProductSprint Backlog'!$J50&gt;H$2,'ProductSprint Backlog'!$I50&lt;=H$2), 'ProductSprint Backlog'!$F50 / MAX(1, 'ProductSprint Backlog'!$J50-'ProductSprint Backlog'!$I50), AND('ProductSprint Backlog'!$J50=H$2,'ProductSprint Backlog'!$I50=H$2), 'ProductSprint Backlog'!$F50, TRUE, 0)</f>
        <v/>
      </c>
      <c r="I50" s="4" t="str" cm="1">
        <f t="array" ref="I50">_xlfn.IFS('ProductSprint Backlog'!$F50="", "", AND('ProductSprint Backlog'!$J50&gt;I$2,'ProductSprint Backlog'!$I50&lt;=I$2), 'ProductSprint Backlog'!$F50 / MAX(1, 'ProductSprint Backlog'!$J50-'ProductSprint Backlog'!$I50), AND('ProductSprint Backlog'!$J50=I$2,'ProductSprint Backlog'!$I50=I$2), 'ProductSprint Backlog'!$F50, TRUE, 0)</f>
        <v/>
      </c>
      <c r="J50" s="4" t="str" cm="1">
        <f t="array" ref="J50">_xlfn.IFS('ProductSprint Backlog'!$F50="", "", AND('ProductSprint Backlog'!$J50&gt;J$2,'ProductSprint Backlog'!$I50&lt;=J$2), 'ProductSprint Backlog'!$F50 / MAX(1, 'ProductSprint Backlog'!$J50-'ProductSprint Backlog'!$I50), AND('ProductSprint Backlog'!$J50=J$2,'ProductSprint Backlog'!$I50=J$2), 'ProductSprint Backlog'!$F50, TRUE, 0)</f>
        <v/>
      </c>
      <c r="K50" s="4" t="str" cm="1">
        <f t="array" ref="K50">_xlfn.IFS('ProductSprint Backlog'!$F50="", "", AND('ProductSprint Backlog'!$J50&gt;K$2,'ProductSprint Backlog'!$I50&lt;=K$2), 'ProductSprint Backlog'!$F50 / MAX(1, 'ProductSprint Backlog'!$J50-'ProductSprint Backlog'!$I50), AND('ProductSprint Backlog'!$J50=K$2,'ProductSprint Backlog'!$I50=K$2), 'ProductSprint Backlog'!$F50, TRUE, 0)</f>
        <v/>
      </c>
      <c r="L50" s="4" t="str" cm="1">
        <f t="array" ref="L50">_xlfn.IFS('ProductSprint Backlog'!$F50="", "", AND('ProductSprint Backlog'!$J50&gt;L$2,'ProductSprint Backlog'!$I50&lt;=L$2), 'ProductSprint Backlog'!$F50 / MAX(1, 'ProductSprint Backlog'!$J50-'ProductSprint Backlog'!$I50), AND('ProductSprint Backlog'!$J50=L$2,'ProductSprint Backlog'!$I50=L$2), 'ProductSprint Backlog'!$F50, TRUE, 0)</f>
        <v/>
      </c>
      <c r="M50" s="4" t="str" cm="1">
        <f t="array" ref="M50">_xlfn.IFS('ProductSprint Backlog'!$F50="", "", AND('ProductSprint Backlog'!$J50&gt;M$2,'ProductSprint Backlog'!$I50&lt;=M$2), 'ProductSprint Backlog'!$F50 / MAX(1, 'ProductSprint Backlog'!$J50-'ProductSprint Backlog'!$I50), AND('ProductSprint Backlog'!$J50=M$2,'ProductSprint Backlog'!$I50=M$2), 'ProductSprint Backlog'!$F50, TRUE, 0)</f>
        <v/>
      </c>
      <c r="N50" s="4" t="str" cm="1">
        <f t="array" ref="N50">_xlfn.IFS('ProductSprint Backlog'!$F50="", "", AND('ProductSprint Backlog'!$J50&gt;N$2,'ProductSprint Backlog'!$I50&lt;=N$2), 'ProductSprint Backlog'!$F50 / MAX(1, 'ProductSprint Backlog'!$J50-'ProductSprint Backlog'!$I50), AND('ProductSprint Backlog'!$J50=N$2,'ProductSprint Backlog'!$I50=N$2), 'ProductSprint Backlog'!$F50, TRUE, 0)</f>
        <v/>
      </c>
      <c r="O50" s="4" t="str" cm="1">
        <f t="array" ref="O50">_xlfn.IFS('ProductSprint Backlog'!$F50="", "", AND('ProductSprint Backlog'!$J50&gt;O$2,'ProductSprint Backlog'!$I50&lt;=O$2), 'ProductSprint Backlog'!$F50 / MAX(1, 'ProductSprint Backlog'!$J50-'ProductSprint Backlog'!$I50), AND('ProductSprint Backlog'!$J50=O$2,'ProductSprint Backlog'!$I50=O$2), 'ProductSprint Backlog'!$F50, TRUE, 0)</f>
        <v/>
      </c>
      <c r="P50" s="4" t="str" cm="1">
        <f t="array" ref="P50">_xlfn.IFS('ProductSprint Backlog'!$F50="", "", AND('ProductSprint Backlog'!$J50&gt;P$2,'ProductSprint Backlog'!$I50&lt;=P$2), 'ProductSprint Backlog'!$F50 / MAX(1, 'ProductSprint Backlog'!$J50-'ProductSprint Backlog'!$I50), AND('ProductSprint Backlog'!$J50=P$2,'ProductSprint Backlog'!$I50=P$2), 'ProductSprint Backlog'!$F50, TRUE, 0)</f>
        <v/>
      </c>
      <c r="Q50" s="4" t="str" cm="1">
        <f t="array" ref="Q50">_xlfn.IFS('ProductSprint Backlog'!$F50="", "", AND('ProductSprint Backlog'!$J50&gt;Q$2,'ProductSprint Backlog'!$I50&lt;=Q$2), 'ProductSprint Backlog'!$F50 / MAX(1, 'ProductSprint Backlog'!$J50-'ProductSprint Backlog'!$I50), AND('ProductSprint Backlog'!$J50=Q$2,'ProductSprint Backlog'!$I50=Q$2), 'ProductSprint Backlog'!$F50, TRUE, 0)</f>
        <v/>
      </c>
    </row>
    <row r="51" spans="2:17" x14ac:dyDescent="0.2">
      <c r="B51" s="4" cm="1">
        <f t="array" ref="B51">_xlfn.IFS('ProductSprint Backlog'!$F51="", "", AND('ProductSprint Backlog'!$J51&gt;B$2,'ProductSprint Backlog'!$I51&lt;=B$2), 'ProductSprint Backlog'!$F51 / MAX(1, 'ProductSprint Backlog'!$J51-'ProductSprint Backlog'!$I51), AND('ProductSprint Backlog'!$J51=B$2,'ProductSprint Backlog'!$I51=B$2), 'ProductSprint Backlog'!$F51, TRUE, 0)</f>
        <v>0</v>
      </c>
      <c r="C51" s="4" cm="1">
        <f t="array" ref="C51">_xlfn.IFS('ProductSprint Backlog'!$F51="", "", AND('ProductSprint Backlog'!$J51&gt;C$2,'ProductSprint Backlog'!$I51&lt;=C$2), 'ProductSprint Backlog'!$F51 / MAX(1, 'ProductSprint Backlog'!$J51-'ProductSprint Backlog'!$I51), AND('ProductSprint Backlog'!$J51=C$2,'ProductSprint Backlog'!$I51=C$2), 'ProductSprint Backlog'!$F51, TRUE, 0)</f>
        <v>0</v>
      </c>
      <c r="D51" s="4" cm="1">
        <f t="array" ref="D51">_xlfn.IFS('ProductSprint Backlog'!$F51="", "", AND('ProductSprint Backlog'!$J51&gt;D$2,'ProductSprint Backlog'!$I51&lt;=D$2), 'ProductSprint Backlog'!$F51 / MAX(1, 'ProductSprint Backlog'!$J51-'ProductSprint Backlog'!$I51), AND('ProductSprint Backlog'!$J51=D$2,'ProductSprint Backlog'!$I51=D$2), 'ProductSprint Backlog'!$F51, TRUE, 0)</f>
        <v>0</v>
      </c>
      <c r="E51" s="4" cm="1">
        <f t="array" ref="E51">_xlfn.IFS('ProductSprint Backlog'!$F51="", "", AND('ProductSprint Backlog'!$J51&gt;E$2,'ProductSprint Backlog'!$I51&lt;=E$2), 'ProductSprint Backlog'!$F51 / MAX(1, 'ProductSprint Backlog'!$J51-'ProductSprint Backlog'!$I51), AND('ProductSprint Backlog'!$J51=E$2,'ProductSprint Backlog'!$I51=E$2), 'ProductSprint Backlog'!$F51, TRUE, 0)</f>
        <v>0</v>
      </c>
      <c r="F51" s="4" cm="1">
        <f t="array" ref="F51">_xlfn.IFS('ProductSprint Backlog'!$F51="", "", AND('ProductSprint Backlog'!$J51&gt;F$2,'ProductSprint Backlog'!$I51&lt;=F$2), 'ProductSprint Backlog'!$F51 / MAX(1, 'ProductSprint Backlog'!$J51-'ProductSprint Backlog'!$I51), AND('ProductSprint Backlog'!$J51=F$2,'ProductSprint Backlog'!$I51=F$2), 'ProductSprint Backlog'!$F51, TRUE, 0)</f>
        <v>0</v>
      </c>
      <c r="G51" s="4" cm="1">
        <f t="array" ref="G51">_xlfn.IFS('ProductSprint Backlog'!$F51="", "", AND('ProductSprint Backlog'!$J51&gt;G$2,'ProductSprint Backlog'!$I51&lt;=G$2), 'ProductSprint Backlog'!$F51 / MAX(1, 'ProductSprint Backlog'!$J51-'ProductSprint Backlog'!$I51), AND('ProductSprint Backlog'!$J51=G$2,'ProductSprint Backlog'!$I51=G$2), 'ProductSprint Backlog'!$F51, TRUE, 0)</f>
        <v>0</v>
      </c>
      <c r="H51" s="4" cm="1">
        <f t="array" ref="H51">_xlfn.IFS('ProductSprint Backlog'!$F51="", "", AND('ProductSprint Backlog'!$J51&gt;H$2,'ProductSprint Backlog'!$I51&lt;=H$2), 'ProductSprint Backlog'!$F51 / MAX(1, 'ProductSprint Backlog'!$J51-'ProductSprint Backlog'!$I51), AND('ProductSprint Backlog'!$J51=H$2,'ProductSprint Backlog'!$I51=H$2), 'ProductSprint Backlog'!$F51, TRUE, 0)</f>
        <v>0</v>
      </c>
      <c r="I51" s="4" cm="1">
        <f t="array" ref="I51">_xlfn.IFS('ProductSprint Backlog'!$F51="", "", AND('ProductSprint Backlog'!$J51&gt;I$2,'ProductSprint Backlog'!$I51&lt;=I$2), 'ProductSprint Backlog'!$F51 / MAX(1, 'ProductSprint Backlog'!$J51-'ProductSprint Backlog'!$I51), AND('ProductSprint Backlog'!$J51=I$2,'ProductSprint Backlog'!$I51=I$2), 'ProductSprint Backlog'!$F51, TRUE, 0)</f>
        <v>0</v>
      </c>
      <c r="J51" s="4" cm="1">
        <f t="array" ref="J51">_xlfn.IFS('ProductSprint Backlog'!$F51="", "", AND('ProductSprint Backlog'!$J51&gt;J$2,'ProductSprint Backlog'!$I51&lt;=J$2), 'ProductSprint Backlog'!$F51 / MAX(1, 'ProductSprint Backlog'!$J51-'ProductSprint Backlog'!$I51), AND('ProductSprint Backlog'!$J51=J$2,'ProductSprint Backlog'!$I51=J$2), 'ProductSprint Backlog'!$F51, TRUE, 0)</f>
        <v>0</v>
      </c>
      <c r="K51" s="4" cm="1">
        <f t="array" ref="K51">_xlfn.IFS('ProductSprint Backlog'!$F51="", "", AND('ProductSprint Backlog'!$J51&gt;K$2,'ProductSprint Backlog'!$I51&lt;=K$2), 'ProductSprint Backlog'!$F51 / MAX(1, 'ProductSprint Backlog'!$J51-'ProductSprint Backlog'!$I51), AND('ProductSprint Backlog'!$J51=K$2,'ProductSprint Backlog'!$I51=K$2), 'ProductSprint Backlog'!$F51, TRUE, 0)</f>
        <v>0</v>
      </c>
      <c r="L51" s="4" cm="1">
        <f t="array" ref="L51">_xlfn.IFS('ProductSprint Backlog'!$F51="", "", AND('ProductSprint Backlog'!$J51&gt;L$2,'ProductSprint Backlog'!$I51&lt;=L$2), 'ProductSprint Backlog'!$F51 / MAX(1, 'ProductSprint Backlog'!$J51-'ProductSprint Backlog'!$I51), AND('ProductSprint Backlog'!$J51=L$2,'ProductSprint Backlog'!$I51=L$2), 'ProductSprint Backlog'!$F51, TRUE, 0)</f>
        <v>0</v>
      </c>
      <c r="M51" s="4" cm="1">
        <f t="array" ref="M51">_xlfn.IFS('ProductSprint Backlog'!$F51="", "", AND('ProductSprint Backlog'!$J51&gt;M$2,'ProductSprint Backlog'!$I51&lt;=M$2), 'ProductSprint Backlog'!$F51 / MAX(1, 'ProductSprint Backlog'!$J51-'ProductSprint Backlog'!$I51), AND('ProductSprint Backlog'!$J51=M$2,'ProductSprint Backlog'!$I51=M$2), 'ProductSprint Backlog'!$F51, TRUE, 0)</f>
        <v>0</v>
      </c>
      <c r="N51" s="4" cm="1">
        <f t="array" ref="N51">_xlfn.IFS('ProductSprint Backlog'!$F51="", "", AND('ProductSprint Backlog'!$J51&gt;N$2,'ProductSprint Backlog'!$I51&lt;=N$2), 'ProductSprint Backlog'!$F51 / MAX(1, 'ProductSprint Backlog'!$J51-'ProductSprint Backlog'!$I51), AND('ProductSprint Backlog'!$J51=N$2,'ProductSprint Backlog'!$I51=N$2), 'ProductSprint Backlog'!$F51, TRUE, 0)</f>
        <v>0</v>
      </c>
      <c r="O51" s="4" cm="1">
        <f t="array" ref="O51">_xlfn.IFS('ProductSprint Backlog'!$F51="", "", AND('ProductSprint Backlog'!$J51&gt;O$2,'ProductSprint Backlog'!$I51&lt;=O$2), 'ProductSprint Backlog'!$F51 / MAX(1, 'ProductSprint Backlog'!$J51-'ProductSprint Backlog'!$I51), AND('ProductSprint Backlog'!$J51=O$2,'ProductSprint Backlog'!$I51=O$2), 'ProductSprint Backlog'!$F51, TRUE, 0)</f>
        <v>0</v>
      </c>
      <c r="P51" s="4" cm="1">
        <f t="array" ref="P51">_xlfn.IFS('ProductSprint Backlog'!$F51="", "", AND('ProductSprint Backlog'!$J51&gt;P$2,'ProductSprint Backlog'!$I51&lt;=P$2), 'ProductSprint Backlog'!$F51 / MAX(1, 'ProductSprint Backlog'!$J51-'ProductSprint Backlog'!$I51), AND('ProductSprint Backlog'!$J51=P$2,'ProductSprint Backlog'!$I51=P$2), 'ProductSprint Backlog'!$F51, TRUE, 0)</f>
        <v>0</v>
      </c>
      <c r="Q51" s="4" cm="1">
        <f t="array" ref="Q51">_xlfn.IFS('ProductSprint Backlog'!$F51="", "", AND('ProductSprint Backlog'!$J51&gt;Q$2,'ProductSprint Backlog'!$I51&lt;=Q$2), 'ProductSprint Backlog'!$F51 / MAX(1, 'ProductSprint Backlog'!$J51-'ProductSprint Backlog'!$I51), AND('ProductSprint Backlog'!$J51=Q$2,'ProductSprint Backlog'!$I51=Q$2), 'ProductSprint Backlog'!$F51, TRUE, 0)</f>
        <v>0</v>
      </c>
    </row>
    <row r="52" spans="2:17" x14ac:dyDescent="0.2">
      <c r="B52" s="4" cm="1">
        <f t="array" ref="B52">_xlfn.IFS('ProductSprint Backlog'!$F52="", "", AND('ProductSprint Backlog'!$J52&gt;B$2,'ProductSprint Backlog'!$I52&lt;=B$2), 'ProductSprint Backlog'!$F52 / MAX(1, 'ProductSprint Backlog'!$J52-'ProductSprint Backlog'!$I52), AND('ProductSprint Backlog'!$J52=B$2,'ProductSprint Backlog'!$I52=B$2), 'ProductSprint Backlog'!$F52, TRUE, 0)</f>
        <v>0</v>
      </c>
      <c r="C52" s="4" cm="1">
        <f t="array" ref="C52">_xlfn.IFS('ProductSprint Backlog'!$F52="", "", AND('ProductSprint Backlog'!$J52&gt;C$2,'ProductSprint Backlog'!$I52&lt;=C$2), 'ProductSprint Backlog'!$F52 / MAX(1, 'ProductSprint Backlog'!$J52-'ProductSprint Backlog'!$I52), AND('ProductSprint Backlog'!$J52=C$2,'ProductSprint Backlog'!$I52=C$2), 'ProductSprint Backlog'!$F52, TRUE, 0)</f>
        <v>0</v>
      </c>
      <c r="D52" s="4" cm="1">
        <f t="array" ref="D52">_xlfn.IFS('ProductSprint Backlog'!$F52="", "", AND('ProductSprint Backlog'!$J52&gt;D$2,'ProductSprint Backlog'!$I52&lt;=D$2), 'ProductSprint Backlog'!$F52 / MAX(1, 'ProductSprint Backlog'!$J52-'ProductSprint Backlog'!$I52), AND('ProductSprint Backlog'!$J52=D$2,'ProductSprint Backlog'!$I52=D$2), 'ProductSprint Backlog'!$F52, TRUE, 0)</f>
        <v>0</v>
      </c>
      <c r="E52" s="4" cm="1">
        <f t="array" ref="E52">_xlfn.IFS('ProductSprint Backlog'!$F52="", "", AND('ProductSprint Backlog'!$J52&gt;E$2,'ProductSprint Backlog'!$I52&lt;=E$2), 'ProductSprint Backlog'!$F52 / MAX(1, 'ProductSprint Backlog'!$J52-'ProductSprint Backlog'!$I52), AND('ProductSprint Backlog'!$J52=E$2,'ProductSprint Backlog'!$I52=E$2), 'ProductSprint Backlog'!$F52, TRUE, 0)</f>
        <v>0</v>
      </c>
      <c r="F52" s="4" cm="1">
        <f t="array" ref="F52">_xlfn.IFS('ProductSprint Backlog'!$F52="", "", AND('ProductSprint Backlog'!$J52&gt;F$2,'ProductSprint Backlog'!$I52&lt;=F$2), 'ProductSprint Backlog'!$F52 / MAX(1, 'ProductSprint Backlog'!$J52-'ProductSprint Backlog'!$I52), AND('ProductSprint Backlog'!$J52=F$2,'ProductSprint Backlog'!$I52=F$2), 'ProductSprint Backlog'!$F52, TRUE, 0)</f>
        <v>0</v>
      </c>
      <c r="G52" s="4" cm="1">
        <f t="array" ref="G52">_xlfn.IFS('ProductSprint Backlog'!$F52="", "", AND('ProductSprint Backlog'!$J52&gt;G$2,'ProductSprint Backlog'!$I52&lt;=G$2), 'ProductSprint Backlog'!$F52 / MAX(1, 'ProductSprint Backlog'!$J52-'ProductSprint Backlog'!$I52), AND('ProductSprint Backlog'!$J52=G$2,'ProductSprint Backlog'!$I52=G$2), 'ProductSprint Backlog'!$F52, TRUE, 0)</f>
        <v>0</v>
      </c>
      <c r="H52" s="4" cm="1">
        <f t="array" ref="H52">_xlfn.IFS('ProductSprint Backlog'!$F52="", "", AND('ProductSprint Backlog'!$J52&gt;H$2,'ProductSprint Backlog'!$I52&lt;=H$2), 'ProductSprint Backlog'!$F52 / MAX(1, 'ProductSprint Backlog'!$J52-'ProductSprint Backlog'!$I52), AND('ProductSprint Backlog'!$J52=H$2,'ProductSprint Backlog'!$I52=H$2), 'ProductSprint Backlog'!$F52, TRUE, 0)</f>
        <v>0</v>
      </c>
      <c r="I52" s="4" cm="1">
        <f t="array" ref="I52">_xlfn.IFS('ProductSprint Backlog'!$F52="", "", AND('ProductSprint Backlog'!$J52&gt;I$2,'ProductSprint Backlog'!$I52&lt;=I$2), 'ProductSprint Backlog'!$F52 / MAX(1, 'ProductSprint Backlog'!$J52-'ProductSprint Backlog'!$I52), AND('ProductSprint Backlog'!$J52=I$2,'ProductSprint Backlog'!$I52=I$2), 'ProductSprint Backlog'!$F52, TRUE, 0)</f>
        <v>0</v>
      </c>
      <c r="J52" s="4" cm="1">
        <f t="array" ref="J52">_xlfn.IFS('ProductSprint Backlog'!$F52="", "", AND('ProductSprint Backlog'!$J52&gt;J$2,'ProductSprint Backlog'!$I52&lt;=J$2), 'ProductSprint Backlog'!$F52 / MAX(1, 'ProductSprint Backlog'!$J52-'ProductSprint Backlog'!$I52), AND('ProductSprint Backlog'!$J52=J$2,'ProductSprint Backlog'!$I52=J$2), 'ProductSprint Backlog'!$F52, TRUE, 0)</f>
        <v>0</v>
      </c>
      <c r="K52" s="4" cm="1">
        <f t="array" ref="K52">_xlfn.IFS('ProductSprint Backlog'!$F52="", "", AND('ProductSprint Backlog'!$J52&gt;K$2,'ProductSprint Backlog'!$I52&lt;=K$2), 'ProductSprint Backlog'!$F52 / MAX(1, 'ProductSprint Backlog'!$J52-'ProductSprint Backlog'!$I52), AND('ProductSprint Backlog'!$J52=K$2,'ProductSprint Backlog'!$I52=K$2), 'ProductSprint Backlog'!$F52, TRUE, 0)</f>
        <v>0</v>
      </c>
      <c r="L52" s="4" cm="1">
        <f t="array" ref="L52">_xlfn.IFS('ProductSprint Backlog'!$F52="", "", AND('ProductSprint Backlog'!$J52&gt;L$2,'ProductSprint Backlog'!$I52&lt;=L$2), 'ProductSprint Backlog'!$F52 / MAX(1, 'ProductSprint Backlog'!$J52-'ProductSprint Backlog'!$I52), AND('ProductSprint Backlog'!$J52=L$2,'ProductSprint Backlog'!$I52=L$2), 'ProductSprint Backlog'!$F52, TRUE, 0)</f>
        <v>0</v>
      </c>
      <c r="M52" s="4" cm="1">
        <f t="array" ref="M52">_xlfn.IFS('ProductSprint Backlog'!$F52="", "", AND('ProductSprint Backlog'!$J52&gt;M$2,'ProductSprint Backlog'!$I52&lt;=M$2), 'ProductSprint Backlog'!$F52 / MAX(1, 'ProductSprint Backlog'!$J52-'ProductSprint Backlog'!$I52), AND('ProductSprint Backlog'!$J52=M$2,'ProductSprint Backlog'!$I52=M$2), 'ProductSprint Backlog'!$F52, TRUE, 0)</f>
        <v>0</v>
      </c>
      <c r="N52" s="4" cm="1">
        <f t="array" ref="N52">_xlfn.IFS('ProductSprint Backlog'!$F52="", "", AND('ProductSprint Backlog'!$J52&gt;N$2,'ProductSprint Backlog'!$I52&lt;=N$2), 'ProductSprint Backlog'!$F52 / MAX(1, 'ProductSprint Backlog'!$J52-'ProductSprint Backlog'!$I52), AND('ProductSprint Backlog'!$J52=N$2,'ProductSprint Backlog'!$I52=N$2), 'ProductSprint Backlog'!$F52, TRUE, 0)</f>
        <v>0</v>
      </c>
      <c r="O52" s="4" cm="1">
        <f t="array" ref="O52">_xlfn.IFS('ProductSprint Backlog'!$F52="", "", AND('ProductSprint Backlog'!$J52&gt;O$2,'ProductSprint Backlog'!$I52&lt;=O$2), 'ProductSprint Backlog'!$F52 / MAX(1, 'ProductSprint Backlog'!$J52-'ProductSprint Backlog'!$I52), AND('ProductSprint Backlog'!$J52=O$2,'ProductSprint Backlog'!$I52=O$2), 'ProductSprint Backlog'!$F52, TRUE, 0)</f>
        <v>0</v>
      </c>
      <c r="P52" s="4" cm="1">
        <f t="array" ref="P52">_xlfn.IFS('ProductSprint Backlog'!$F52="", "", AND('ProductSprint Backlog'!$J52&gt;P$2,'ProductSprint Backlog'!$I52&lt;=P$2), 'ProductSprint Backlog'!$F52 / MAX(1, 'ProductSprint Backlog'!$J52-'ProductSprint Backlog'!$I52), AND('ProductSprint Backlog'!$J52=P$2,'ProductSprint Backlog'!$I52=P$2), 'ProductSprint Backlog'!$F52, TRUE, 0)</f>
        <v>0</v>
      </c>
      <c r="Q52" s="4" cm="1">
        <f t="array" ref="Q52">_xlfn.IFS('ProductSprint Backlog'!$F52="", "", AND('ProductSprint Backlog'!$J52&gt;Q$2,'ProductSprint Backlog'!$I52&lt;=Q$2), 'ProductSprint Backlog'!$F52 / MAX(1, 'ProductSprint Backlog'!$J52-'ProductSprint Backlog'!$I52), AND('ProductSprint Backlog'!$J52=Q$2,'ProductSprint Backlog'!$I52=Q$2), 'ProductSprint Backlog'!$F52, TRUE, 0)</f>
        <v>0</v>
      </c>
    </row>
    <row r="53" spans="2:17" x14ac:dyDescent="0.2">
      <c r="B53" s="4" t="str" cm="1">
        <f t="array" ref="B53">_xlfn.IFS('ProductSprint Backlog'!$F53="", "", AND('ProductSprint Backlog'!$J53&gt;B$2,'ProductSprint Backlog'!$I53&lt;=B$2), 'ProductSprint Backlog'!$F53 / MAX(1, 'ProductSprint Backlog'!$J53-'ProductSprint Backlog'!$I53), AND('ProductSprint Backlog'!$J53=B$2,'ProductSprint Backlog'!$I53=B$2), 'ProductSprint Backlog'!$F53, TRUE, 0)</f>
        <v/>
      </c>
      <c r="C53" s="4" t="str" cm="1">
        <f t="array" ref="C53">_xlfn.IFS('ProductSprint Backlog'!$F53="", "", AND('ProductSprint Backlog'!$J53&gt;C$2,'ProductSprint Backlog'!$I53&lt;=C$2), 'ProductSprint Backlog'!$F53 / MAX(1, 'ProductSprint Backlog'!$J53-'ProductSprint Backlog'!$I53), AND('ProductSprint Backlog'!$J53=C$2,'ProductSprint Backlog'!$I53=C$2), 'ProductSprint Backlog'!$F53, TRUE, 0)</f>
        <v/>
      </c>
      <c r="D53" s="4" t="str" cm="1">
        <f t="array" ref="D53">_xlfn.IFS('ProductSprint Backlog'!$F53="", "", AND('ProductSprint Backlog'!$J53&gt;D$2,'ProductSprint Backlog'!$I53&lt;=D$2), 'ProductSprint Backlog'!$F53 / MAX(1, 'ProductSprint Backlog'!$J53-'ProductSprint Backlog'!$I53), AND('ProductSprint Backlog'!$J53=D$2,'ProductSprint Backlog'!$I53=D$2), 'ProductSprint Backlog'!$F53, TRUE, 0)</f>
        <v/>
      </c>
      <c r="E53" s="4" t="str" cm="1">
        <f t="array" ref="E53">_xlfn.IFS('ProductSprint Backlog'!$F53="", "", AND('ProductSprint Backlog'!$J53&gt;E$2,'ProductSprint Backlog'!$I53&lt;=E$2), 'ProductSprint Backlog'!$F53 / MAX(1, 'ProductSprint Backlog'!$J53-'ProductSprint Backlog'!$I53), AND('ProductSprint Backlog'!$J53=E$2,'ProductSprint Backlog'!$I53=E$2), 'ProductSprint Backlog'!$F53, TRUE, 0)</f>
        <v/>
      </c>
      <c r="F53" s="4" t="str" cm="1">
        <f t="array" ref="F53">_xlfn.IFS('ProductSprint Backlog'!$F53="", "", AND('ProductSprint Backlog'!$J53&gt;F$2,'ProductSprint Backlog'!$I53&lt;=F$2), 'ProductSprint Backlog'!$F53 / MAX(1, 'ProductSprint Backlog'!$J53-'ProductSprint Backlog'!$I53), AND('ProductSprint Backlog'!$J53=F$2,'ProductSprint Backlog'!$I53=F$2), 'ProductSprint Backlog'!$F53, TRUE, 0)</f>
        <v/>
      </c>
      <c r="G53" s="4" t="str" cm="1">
        <f t="array" ref="G53">_xlfn.IFS('ProductSprint Backlog'!$F53="", "", AND('ProductSprint Backlog'!$J53&gt;G$2,'ProductSprint Backlog'!$I53&lt;=G$2), 'ProductSprint Backlog'!$F53 / MAX(1, 'ProductSprint Backlog'!$J53-'ProductSprint Backlog'!$I53), AND('ProductSprint Backlog'!$J53=G$2,'ProductSprint Backlog'!$I53=G$2), 'ProductSprint Backlog'!$F53, TRUE, 0)</f>
        <v/>
      </c>
      <c r="H53" s="4" t="str" cm="1">
        <f t="array" ref="H53">_xlfn.IFS('ProductSprint Backlog'!$F53="", "", AND('ProductSprint Backlog'!$J53&gt;H$2,'ProductSprint Backlog'!$I53&lt;=H$2), 'ProductSprint Backlog'!$F53 / MAX(1, 'ProductSprint Backlog'!$J53-'ProductSprint Backlog'!$I53), AND('ProductSprint Backlog'!$J53=H$2,'ProductSprint Backlog'!$I53=H$2), 'ProductSprint Backlog'!$F53, TRUE, 0)</f>
        <v/>
      </c>
      <c r="I53" s="4" t="str" cm="1">
        <f t="array" ref="I53">_xlfn.IFS('ProductSprint Backlog'!$F53="", "", AND('ProductSprint Backlog'!$J53&gt;I$2,'ProductSprint Backlog'!$I53&lt;=I$2), 'ProductSprint Backlog'!$F53 / MAX(1, 'ProductSprint Backlog'!$J53-'ProductSprint Backlog'!$I53), AND('ProductSprint Backlog'!$J53=I$2,'ProductSprint Backlog'!$I53=I$2), 'ProductSprint Backlog'!$F53, TRUE, 0)</f>
        <v/>
      </c>
      <c r="J53" s="4" t="str" cm="1">
        <f t="array" ref="J53">_xlfn.IFS('ProductSprint Backlog'!$F53="", "", AND('ProductSprint Backlog'!$J53&gt;J$2,'ProductSprint Backlog'!$I53&lt;=J$2), 'ProductSprint Backlog'!$F53 / MAX(1, 'ProductSprint Backlog'!$J53-'ProductSprint Backlog'!$I53), AND('ProductSprint Backlog'!$J53=J$2,'ProductSprint Backlog'!$I53=J$2), 'ProductSprint Backlog'!$F53, TRUE, 0)</f>
        <v/>
      </c>
      <c r="K53" s="4" t="str" cm="1">
        <f t="array" ref="K53">_xlfn.IFS('ProductSprint Backlog'!$F53="", "", AND('ProductSprint Backlog'!$J53&gt;K$2,'ProductSprint Backlog'!$I53&lt;=K$2), 'ProductSprint Backlog'!$F53 / MAX(1, 'ProductSprint Backlog'!$J53-'ProductSprint Backlog'!$I53), AND('ProductSprint Backlog'!$J53=K$2,'ProductSprint Backlog'!$I53=K$2), 'ProductSprint Backlog'!$F53, TRUE, 0)</f>
        <v/>
      </c>
      <c r="L53" s="4" t="str" cm="1">
        <f t="array" ref="L53">_xlfn.IFS('ProductSprint Backlog'!$F53="", "", AND('ProductSprint Backlog'!$J53&gt;L$2,'ProductSprint Backlog'!$I53&lt;=L$2), 'ProductSprint Backlog'!$F53 / MAX(1, 'ProductSprint Backlog'!$J53-'ProductSprint Backlog'!$I53), AND('ProductSprint Backlog'!$J53=L$2,'ProductSprint Backlog'!$I53=L$2), 'ProductSprint Backlog'!$F53, TRUE, 0)</f>
        <v/>
      </c>
      <c r="M53" s="4" t="str" cm="1">
        <f t="array" ref="M53">_xlfn.IFS('ProductSprint Backlog'!$F53="", "", AND('ProductSprint Backlog'!$J53&gt;M$2,'ProductSprint Backlog'!$I53&lt;=M$2), 'ProductSprint Backlog'!$F53 / MAX(1, 'ProductSprint Backlog'!$J53-'ProductSprint Backlog'!$I53), AND('ProductSprint Backlog'!$J53=M$2,'ProductSprint Backlog'!$I53=M$2), 'ProductSprint Backlog'!$F53, TRUE, 0)</f>
        <v/>
      </c>
      <c r="N53" s="4" t="str" cm="1">
        <f t="array" ref="N53">_xlfn.IFS('ProductSprint Backlog'!$F53="", "", AND('ProductSprint Backlog'!$J53&gt;N$2,'ProductSprint Backlog'!$I53&lt;=N$2), 'ProductSprint Backlog'!$F53 / MAX(1, 'ProductSprint Backlog'!$J53-'ProductSprint Backlog'!$I53), AND('ProductSprint Backlog'!$J53=N$2,'ProductSprint Backlog'!$I53=N$2), 'ProductSprint Backlog'!$F53, TRUE, 0)</f>
        <v/>
      </c>
      <c r="O53" s="4" t="str" cm="1">
        <f t="array" ref="O53">_xlfn.IFS('ProductSprint Backlog'!$F53="", "", AND('ProductSprint Backlog'!$J53&gt;O$2,'ProductSprint Backlog'!$I53&lt;=O$2), 'ProductSprint Backlog'!$F53 / MAX(1, 'ProductSprint Backlog'!$J53-'ProductSprint Backlog'!$I53), AND('ProductSprint Backlog'!$J53=O$2,'ProductSprint Backlog'!$I53=O$2), 'ProductSprint Backlog'!$F53, TRUE, 0)</f>
        <v/>
      </c>
      <c r="P53" s="4" t="str" cm="1">
        <f t="array" ref="P53">_xlfn.IFS('ProductSprint Backlog'!$F53="", "", AND('ProductSprint Backlog'!$J53&gt;P$2,'ProductSprint Backlog'!$I53&lt;=P$2), 'ProductSprint Backlog'!$F53 / MAX(1, 'ProductSprint Backlog'!$J53-'ProductSprint Backlog'!$I53), AND('ProductSprint Backlog'!$J53=P$2,'ProductSprint Backlog'!$I53=P$2), 'ProductSprint Backlog'!$F53, TRUE, 0)</f>
        <v/>
      </c>
      <c r="Q53" s="4" t="str" cm="1">
        <f t="array" ref="Q53">_xlfn.IFS('ProductSprint Backlog'!$F53="", "", AND('ProductSprint Backlog'!$J53&gt;Q$2,'ProductSprint Backlog'!$I53&lt;=Q$2), 'ProductSprint Backlog'!$F53 / MAX(1, 'ProductSprint Backlog'!$J53-'ProductSprint Backlog'!$I53), AND('ProductSprint Backlog'!$J53=Q$2,'ProductSprint Backlog'!$I53=Q$2), 'ProductSprint Backlog'!$F53, TRUE, 0)</f>
        <v/>
      </c>
    </row>
    <row r="54" spans="2:17" x14ac:dyDescent="0.2">
      <c r="B54" s="4" cm="1">
        <f t="array" ref="B54">_xlfn.IFS('ProductSprint Backlog'!$F54="", "", AND('ProductSprint Backlog'!$J54&gt;B$2,'ProductSprint Backlog'!$I54&lt;=B$2), 'ProductSprint Backlog'!$F54 / MAX(1, 'ProductSprint Backlog'!$J54-'ProductSprint Backlog'!$I54), AND('ProductSprint Backlog'!$J54=B$2,'ProductSprint Backlog'!$I54=B$2), 'ProductSprint Backlog'!$F54, TRUE, 0)</f>
        <v>0</v>
      </c>
      <c r="C54" s="4" cm="1">
        <f t="array" ref="C54">_xlfn.IFS('ProductSprint Backlog'!$F54="", "", AND('ProductSprint Backlog'!$J54&gt;C$2,'ProductSprint Backlog'!$I54&lt;=C$2), 'ProductSprint Backlog'!$F54 / MAX(1, 'ProductSprint Backlog'!$J54-'ProductSprint Backlog'!$I54), AND('ProductSprint Backlog'!$J54=C$2,'ProductSprint Backlog'!$I54=C$2), 'ProductSprint Backlog'!$F54, TRUE, 0)</f>
        <v>0</v>
      </c>
      <c r="D54" s="4" cm="1">
        <f t="array" ref="D54">_xlfn.IFS('ProductSprint Backlog'!$F54="", "", AND('ProductSprint Backlog'!$J54&gt;D$2,'ProductSprint Backlog'!$I54&lt;=D$2), 'ProductSprint Backlog'!$F54 / MAX(1, 'ProductSprint Backlog'!$J54-'ProductSprint Backlog'!$I54), AND('ProductSprint Backlog'!$J54=D$2,'ProductSprint Backlog'!$I54=D$2), 'ProductSprint Backlog'!$F54, TRUE, 0)</f>
        <v>0</v>
      </c>
      <c r="E54" s="4" cm="1">
        <f t="array" ref="E54">_xlfn.IFS('ProductSprint Backlog'!$F54="", "", AND('ProductSprint Backlog'!$J54&gt;E$2,'ProductSprint Backlog'!$I54&lt;=E$2), 'ProductSprint Backlog'!$F54 / MAX(1, 'ProductSprint Backlog'!$J54-'ProductSprint Backlog'!$I54), AND('ProductSprint Backlog'!$J54=E$2,'ProductSprint Backlog'!$I54=E$2), 'ProductSprint Backlog'!$F54, TRUE, 0)</f>
        <v>0</v>
      </c>
      <c r="F54" s="4" cm="1">
        <f t="array" ref="F54">_xlfn.IFS('ProductSprint Backlog'!$F54="", "", AND('ProductSprint Backlog'!$J54&gt;F$2,'ProductSprint Backlog'!$I54&lt;=F$2), 'ProductSprint Backlog'!$F54 / MAX(1, 'ProductSprint Backlog'!$J54-'ProductSprint Backlog'!$I54), AND('ProductSprint Backlog'!$J54=F$2,'ProductSprint Backlog'!$I54=F$2), 'ProductSprint Backlog'!$F54, TRUE, 0)</f>
        <v>0</v>
      </c>
      <c r="G54" s="4" cm="1">
        <f t="array" ref="G54">_xlfn.IFS('ProductSprint Backlog'!$F54="", "", AND('ProductSprint Backlog'!$J54&gt;G$2,'ProductSprint Backlog'!$I54&lt;=G$2), 'ProductSprint Backlog'!$F54 / MAX(1, 'ProductSprint Backlog'!$J54-'ProductSprint Backlog'!$I54), AND('ProductSprint Backlog'!$J54=G$2,'ProductSprint Backlog'!$I54=G$2), 'ProductSprint Backlog'!$F54, TRUE, 0)</f>
        <v>0</v>
      </c>
      <c r="H54" s="4" cm="1">
        <f t="array" ref="H54">_xlfn.IFS('ProductSprint Backlog'!$F54="", "", AND('ProductSprint Backlog'!$J54&gt;H$2,'ProductSprint Backlog'!$I54&lt;=H$2), 'ProductSprint Backlog'!$F54 / MAX(1, 'ProductSprint Backlog'!$J54-'ProductSprint Backlog'!$I54), AND('ProductSprint Backlog'!$J54=H$2,'ProductSprint Backlog'!$I54=H$2), 'ProductSprint Backlog'!$F54, TRUE, 0)</f>
        <v>0</v>
      </c>
      <c r="I54" s="4" cm="1">
        <f t="array" ref="I54">_xlfn.IFS('ProductSprint Backlog'!$F54="", "", AND('ProductSprint Backlog'!$J54&gt;I$2,'ProductSprint Backlog'!$I54&lt;=I$2), 'ProductSprint Backlog'!$F54 / MAX(1, 'ProductSprint Backlog'!$J54-'ProductSprint Backlog'!$I54), AND('ProductSprint Backlog'!$J54=I$2,'ProductSprint Backlog'!$I54=I$2), 'ProductSprint Backlog'!$F54, TRUE, 0)</f>
        <v>0</v>
      </c>
      <c r="J54" s="4" cm="1">
        <f t="array" ref="J54">_xlfn.IFS('ProductSprint Backlog'!$F54="", "", AND('ProductSprint Backlog'!$J54&gt;J$2,'ProductSprint Backlog'!$I54&lt;=J$2), 'ProductSprint Backlog'!$F54 / MAX(1, 'ProductSprint Backlog'!$J54-'ProductSprint Backlog'!$I54), AND('ProductSprint Backlog'!$J54=J$2,'ProductSprint Backlog'!$I54=J$2), 'ProductSprint Backlog'!$F54, TRUE, 0)</f>
        <v>0</v>
      </c>
      <c r="K54" s="4" cm="1">
        <f t="array" ref="K54">_xlfn.IFS('ProductSprint Backlog'!$F54="", "", AND('ProductSprint Backlog'!$J54&gt;K$2,'ProductSprint Backlog'!$I54&lt;=K$2), 'ProductSprint Backlog'!$F54 / MAX(1, 'ProductSprint Backlog'!$J54-'ProductSprint Backlog'!$I54), AND('ProductSprint Backlog'!$J54=K$2,'ProductSprint Backlog'!$I54=K$2), 'ProductSprint Backlog'!$F54, TRUE, 0)</f>
        <v>0</v>
      </c>
      <c r="L54" s="4" cm="1">
        <f t="array" ref="L54">_xlfn.IFS('ProductSprint Backlog'!$F54="", "", AND('ProductSprint Backlog'!$J54&gt;L$2,'ProductSprint Backlog'!$I54&lt;=L$2), 'ProductSprint Backlog'!$F54 / MAX(1, 'ProductSprint Backlog'!$J54-'ProductSprint Backlog'!$I54), AND('ProductSprint Backlog'!$J54=L$2,'ProductSprint Backlog'!$I54=L$2), 'ProductSprint Backlog'!$F54, TRUE, 0)</f>
        <v>0</v>
      </c>
      <c r="M54" s="4" cm="1">
        <f t="array" ref="M54">_xlfn.IFS('ProductSprint Backlog'!$F54="", "", AND('ProductSprint Backlog'!$J54&gt;M$2,'ProductSprint Backlog'!$I54&lt;=M$2), 'ProductSprint Backlog'!$F54 / MAX(1, 'ProductSprint Backlog'!$J54-'ProductSprint Backlog'!$I54), AND('ProductSprint Backlog'!$J54=M$2,'ProductSprint Backlog'!$I54=M$2), 'ProductSprint Backlog'!$F54, TRUE, 0)</f>
        <v>0</v>
      </c>
      <c r="N54" s="4" cm="1">
        <f t="array" ref="N54">_xlfn.IFS('ProductSprint Backlog'!$F54="", "", AND('ProductSprint Backlog'!$J54&gt;N$2,'ProductSprint Backlog'!$I54&lt;=N$2), 'ProductSprint Backlog'!$F54 / MAX(1, 'ProductSprint Backlog'!$J54-'ProductSprint Backlog'!$I54), AND('ProductSprint Backlog'!$J54=N$2,'ProductSprint Backlog'!$I54=N$2), 'ProductSprint Backlog'!$F54, TRUE, 0)</f>
        <v>0</v>
      </c>
      <c r="O54" s="4" cm="1">
        <f t="array" ref="O54">_xlfn.IFS('ProductSprint Backlog'!$F54="", "", AND('ProductSprint Backlog'!$J54&gt;O$2,'ProductSprint Backlog'!$I54&lt;=O$2), 'ProductSprint Backlog'!$F54 / MAX(1, 'ProductSprint Backlog'!$J54-'ProductSprint Backlog'!$I54), AND('ProductSprint Backlog'!$J54=O$2,'ProductSprint Backlog'!$I54=O$2), 'ProductSprint Backlog'!$F54, TRUE, 0)</f>
        <v>0</v>
      </c>
      <c r="P54" s="4" cm="1">
        <f t="array" ref="P54">_xlfn.IFS('ProductSprint Backlog'!$F54="", "", AND('ProductSprint Backlog'!$J54&gt;P$2,'ProductSprint Backlog'!$I54&lt;=P$2), 'ProductSprint Backlog'!$F54 / MAX(1, 'ProductSprint Backlog'!$J54-'ProductSprint Backlog'!$I54), AND('ProductSprint Backlog'!$J54=P$2,'ProductSprint Backlog'!$I54=P$2), 'ProductSprint Backlog'!$F54, TRUE, 0)</f>
        <v>0</v>
      </c>
      <c r="Q54" s="4" cm="1">
        <f t="array" ref="Q54">_xlfn.IFS('ProductSprint Backlog'!$F54="", "", AND('ProductSprint Backlog'!$J54&gt;Q$2,'ProductSprint Backlog'!$I54&lt;=Q$2), 'ProductSprint Backlog'!$F54 / MAX(1, 'ProductSprint Backlog'!$J54-'ProductSprint Backlog'!$I54), AND('ProductSprint Backlog'!$J54=Q$2,'ProductSprint Backlog'!$I54=Q$2), 'ProductSprint Backlog'!$F54, TRUE, 0)</f>
        <v>0</v>
      </c>
    </row>
    <row r="55" spans="2:17" x14ac:dyDescent="0.2">
      <c r="B55" s="4" cm="1">
        <f t="array" ref="B55">_xlfn.IFS('ProductSprint Backlog'!$F55="", "", AND('ProductSprint Backlog'!$J55&gt;B$2,'ProductSprint Backlog'!$I55&lt;=B$2), 'ProductSprint Backlog'!$F55 / MAX(1, 'ProductSprint Backlog'!$J55-'ProductSprint Backlog'!$I55), AND('ProductSprint Backlog'!$J55=B$2,'ProductSprint Backlog'!$I55=B$2), 'ProductSprint Backlog'!$F55, TRUE, 0)</f>
        <v>0</v>
      </c>
      <c r="C55" s="4" cm="1">
        <f t="array" ref="C55">_xlfn.IFS('ProductSprint Backlog'!$F55="", "", AND('ProductSprint Backlog'!$J55&gt;C$2,'ProductSprint Backlog'!$I55&lt;=C$2), 'ProductSprint Backlog'!$F55 / MAX(1, 'ProductSprint Backlog'!$J55-'ProductSprint Backlog'!$I55), AND('ProductSprint Backlog'!$J55=C$2,'ProductSprint Backlog'!$I55=C$2), 'ProductSprint Backlog'!$F55, TRUE, 0)</f>
        <v>0</v>
      </c>
      <c r="D55" s="4" cm="1">
        <f t="array" ref="D55">_xlfn.IFS('ProductSprint Backlog'!$F55="", "", AND('ProductSprint Backlog'!$J55&gt;D$2,'ProductSprint Backlog'!$I55&lt;=D$2), 'ProductSprint Backlog'!$F55 / MAX(1, 'ProductSprint Backlog'!$J55-'ProductSprint Backlog'!$I55), AND('ProductSprint Backlog'!$J55=D$2,'ProductSprint Backlog'!$I55=D$2), 'ProductSprint Backlog'!$F55, TRUE, 0)</f>
        <v>0</v>
      </c>
      <c r="E55" s="4" cm="1">
        <f t="array" ref="E55">_xlfn.IFS('ProductSprint Backlog'!$F55="", "", AND('ProductSprint Backlog'!$J55&gt;E$2,'ProductSprint Backlog'!$I55&lt;=E$2), 'ProductSprint Backlog'!$F55 / MAX(1, 'ProductSprint Backlog'!$J55-'ProductSprint Backlog'!$I55), AND('ProductSprint Backlog'!$J55=E$2,'ProductSprint Backlog'!$I55=E$2), 'ProductSprint Backlog'!$F55, TRUE, 0)</f>
        <v>0</v>
      </c>
      <c r="F55" s="4" cm="1">
        <f t="array" ref="F55">_xlfn.IFS('ProductSprint Backlog'!$F55="", "", AND('ProductSprint Backlog'!$J55&gt;F$2,'ProductSprint Backlog'!$I55&lt;=F$2), 'ProductSprint Backlog'!$F55 / MAX(1, 'ProductSprint Backlog'!$J55-'ProductSprint Backlog'!$I55), AND('ProductSprint Backlog'!$J55=F$2,'ProductSprint Backlog'!$I55=F$2), 'ProductSprint Backlog'!$F55, TRUE, 0)</f>
        <v>0</v>
      </c>
      <c r="G55" s="4" cm="1">
        <f t="array" ref="G55">_xlfn.IFS('ProductSprint Backlog'!$F55="", "", AND('ProductSprint Backlog'!$J55&gt;G$2,'ProductSprint Backlog'!$I55&lt;=G$2), 'ProductSprint Backlog'!$F55 / MAX(1, 'ProductSprint Backlog'!$J55-'ProductSprint Backlog'!$I55), AND('ProductSprint Backlog'!$J55=G$2,'ProductSprint Backlog'!$I55=G$2), 'ProductSprint Backlog'!$F55, TRUE, 0)</f>
        <v>0</v>
      </c>
      <c r="H55" s="4" cm="1">
        <f t="array" ref="H55">_xlfn.IFS('ProductSprint Backlog'!$F55="", "", AND('ProductSprint Backlog'!$J55&gt;H$2,'ProductSprint Backlog'!$I55&lt;=H$2), 'ProductSprint Backlog'!$F55 / MAX(1, 'ProductSprint Backlog'!$J55-'ProductSprint Backlog'!$I55), AND('ProductSprint Backlog'!$J55=H$2,'ProductSprint Backlog'!$I55=H$2), 'ProductSprint Backlog'!$F55, TRUE, 0)</f>
        <v>0</v>
      </c>
      <c r="I55" s="4" cm="1">
        <f t="array" ref="I55">_xlfn.IFS('ProductSprint Backlog'!$F55="", "", AND('ProductSprint Backlog'!$J55&gt;I$2,'ProductSprint Backlog'!$I55&lt;=I$2), 'ProductSprint Backlog'!$F55 / MAX(1, 'ProductSprint Backlog'!$J55-'ProductSprint Backlog'!$I55), AND('ProductSprint Backlog'!$J55=I$2,'ProductSprint Backlog'!$I55=I$2), 'ProductSprint Backlog'!$F55, TRUE, 0)</f>
        <v>0</v>
      </c>
      <c r="J55" s="4" cm="1">
        <f t="array" ref="J55">_xlfn.IFS('ProductSprint Backlog'!$F55="", "", AND('ProductSprint Backlog'!$J55&gt;J$2,'ProductSprint Backlog'!$I55&lt;=J$2), 'ProductSprint Backlog'!$F55 / MAX(1, 'ProductSprint Backlog'!$J55-'ProductSprint Backlog'!$I55), AND('ProductSprint Backlog'!$J55=J$2,'ProductSprint Backlog'!$I55=J$2), 'ProductSprint Backlog'!$F55, TRUE, 0)</f>
        <v>0</v>
      </c>
      <c r="K55" s="4" cm="1">
        <f t="array" ref="K55">_xlfn.IFS('ProductSprint Backlog'!$F55="", "", AND('ProductSprint Backlog'!$J55&gt;K$2,'ProductSprint Backlog'!$I55&lt;=K$2), 'ProductSprint Backlog'!$F55 / MAX(1, 'ProductSprint Backlog'!$J55-'ProductSprint Backlog'!$I55), AND('ProductSprint Backlog'!$J55=K$2,'ProductSprint Backlog'!$I55=K$2), 'ProductSprint Backlog'!$F55, TRUE, 0)</f>
        <v>0</v>
      </c>
      <c r="L55" s="4" cm="1">
        <f t="array" ref="L55">_xlfn.IFS('ProductSprint Backlog'!$F55="", "", AND('ProductSprint Backlog'!$J55&gt;L$2,'ProductSprint Backlog'!$I55&lt;=L$2), 'ProductSprint Backlog'!$F55 / MAX(1, 'ProductSprint Backlog'!$J55-'ProductSprint Backlog'!$I55), AND('ProductSprint Backlog'!$J55=L$2,'ProductSprint Backlog'!$I55=L$2), 'ProductSprint Backlog'!$F55, TRUE, 0)</f>
        <v>0</v>
      </c>
      <c r="M55" s="4" cm="1">
        <f t="array" ref="M55">_xlfn.IFS('ProductSprint Backlog'!$F55="", "", AND('ProductSprint Backlog'!$J55&gt;M$2,'ProductSprint Backlog'!$I55&lt;=M$2), 'ProductSprint Backlog'!$F55 / MAX(1, 'ProductSprint Backlog'!$J55-'ProductSprint Backlog'!$I55), AND('ProductSprint Backlog'!$J55=M$2,'ProductSprint Backlog'!$I55=M$2), 'ProductSprint Backlog'!$F55, TRUE, 0)</f>
        <v>0</v>
      </c>
      <c r="N55" s="4" cm="1">
        <f t="array" ref="N55">_xlfn.IFS('ProductSprint Backlog'!$F55="", "", AND('ProductSprint Backlog'!$J55&gt;N$2,'ProductSprint Backlog'!$I55&lt;=N$2), 'ProductSprint Backlog'!$F55 / MAX(1, 'ProductSprint Backlog'!$J55-'ProductSprint Backlog'!$I55), AND('ProductSprint Backlog'!$J55=N$2,'ProductSprint Backlog'!$I55=N$2), 'ProductSprint Backlog'!$F55, TRUE, 0)</f>
        <v>0</v>
      </c>
      <c r="O55" s="4" cm="1">
        <f t="array" ref="O55">_xlfn.IFS('ProductSprint Backlog'!$F55="", "", AND('ProductSprint Backlog'!$J55&gt;O$2,'ProductSprint Backlog'!$I55&lt;=O$2), 'ProductSprint Backlog'!$F55 / MAX(1, 'ProductSprint Backlog'!$J55-'ProductSprint Backlog'!$I55), AND('ProductSprint Backlog'!$J55=O$2,'ProductSprint Backlog'!$I55=O$2), 'ProductSprint Backlog'!$F55, TRUE, 0)</f>
        <v>0</v>
      </c>
      <c r="P55" s="4" cm="1">
        <f t="array" ref="P55">_xlfn.IFS('ProductSprint Backlog'!$F55="", "", AND('ProductSprint Backlog'!$J55&gt;P$2,'ProductSprint Backlog'!$I55&lt;=P$2), 'ProductSprint Backlog'!$F55 / MAX(1, 'ProductSprint Backlog'!$J55-'ProductSprint Backlog'!$I55), AND('ProductSprint Backlog'!$J55=P$2,'ProductSprint Backlog'!$I55=P$2), 'ProductSprint Backlog'!$F55, TRUE, 0)</f>
        <v>0</v>
      </c>
      <c r="Q55" s="4" cm="1">
        <f t="array" ref="Q55">_xlfn.IFS('ProductSprint Backlog'!$F55="", "", AND('ProductSprint Backlog'!$J55&gt;Q$2,'ProductSprint Backlog'!$I55&lt;=Q$2), 'ProductSprint Backlog'!$F55 / MAX(1, 'ProductSprint Backlog'!$J55-'ProductSprint Backlog'!$I55), AND('ProductSprint Backlog'!$J55=Q$2,'ProductSprint Backlog'!$I55=Q$2), 'ProductSprint Backlog'!$F55, TRUE, 0)</f>
        <v>0</v>
      </c>
    </row>
    <row r="56" spans="2:17" x14ac:dyDescent="0.2">
      <c r="B56" s="4" cm="1">
        <f t="array" ref="B56">_xlfn.IFS('ProductSprint Backlog'!$F56="", "", AND('ProductSprint Backlog'!$J56&gt;B$2,'ProductSprint Backlog'!$I56&lt;=B$2), 'ProductSprint Backlog'!$F56 / MAX(1, 'ProductSprint Backlog'!$J56-'ProductSprint Backlog'!$I56), AND('ProductSprint Backlog'!$J56=B$2,'ProductSprint Backlog'!$I56=B$2), 'ProductSprint Backlog'!$F56, TRUE, 0)</f>
        <v>0</v>
      </c>
      <c r="C56" s="4" cm="1">
        <f t="array" ref="C56">_xlfn.IFS('ProductSprint Backlog'!$F56="", "", AND('ProductSprint Backlog'!$J56&gt;C$2,'ProductSprint Backlog'!$I56&lt;=C$2), 'ProductSprint Backlog'!$F56 / MAX(1, 'ProductSprint Backlog'!$J56-'ProductSprint Backlog'!$I56), AND('ProductSprint Backlog'!$J56=C$2,'ProductSprint Backlog'!$I56=C$2), 'ProductSprint Backlog'!$F56, TRUE, 0)</f>
        <v>0</v>
      </c>
      <c r="D56" s="4" cm="1">
        <f t="array" ref="D56">_xlfn.IFS('ProductSprint Backlog'!$F56="", "", AND('ProductSprint Backlog'!$J56&gt;D$2,'ProductSprint Backlog'!$I56&lt;=D$2), 'ProductSprint Backlog'!$F56 / MAX(1, 'ProductSprint Backlog'!$J56-'ProductSprint Backlog'!$I56), AND('ProductSprint Backlog'!$J56=D$2,'ProductSprint Backlog'!$I56=D$2), 'ProductSprint Backlog'!$F56, TRUE, 0)</f>
        <v>0</v>
      </c>
      <c r="E56" s="4" cm="1">
        <f t="array" ref="E56">_xlfn.IFS('ProductSprint Backlog'!$F56="", "", AND('ProductSprint Backlog'!$J56&gt;E$2,'ProductSprint Backlog'!$I56&lt;=E$2), 'ProductSprint Backlog'!$F56 / MAX(1, 'ProductSprint Backlog'!$J56-'ProductSprint Backlog'!$I56), AND('ProductSprint Backlog'!$J56=E$2,'ProductSprint Backlog'!$I56=E$2), 'ProductSprint Backlog'!$F56, TRUE, 0)</f>
        <v>0</v>
      </c>
      <c r="F56" s="4" cm="1">
        <f t="array" ref="F56">_xlfn.IFS('ProductSprint Backlog'!$F56="", "", AND('ProductSprint Backlog'!$J56&gt;F$2,'ProductSprint Backlog'!$I56&lt;=F$2), 'ProductSprint Backlog'!$F56 / MAX(1, 'ProductSprint Backlog'!$J56-'ProductSprint Backlog'!$I56), AND('ProductSprint Backlog'!$J56=F$2,'ProductSprint Backlog'!$I56=F$2), 'ProductSprint Backlog'!$F56, TRUE, 0)</f>
        <v>0</v>
      </c>
      <c r="G56" s="4" cm="1">
        <f t="array" ref="G56">_xlfn.IFS('ProductSprint Backlog'!$F56="", "", AND('ProductSprint Backlog'!$J56&gt;G$2,'ProductSprint Backlog'!$I56&lt;=G$2), 'ProductSprint Backlog'!$F56 / MAX(1, 'ProductSprint Backlog'!$J56-'ProductSprint Backlog'!$I56), AND('ProductSprint Backlog'!$J56=G$2,'ProductSprint Backlog'!$I56=G$2), 'ProductSprint Backlog'!$F56, TRUE, 0)</f>
        <v>0</v>
      </c>
      <c r="H56" s="4" cm="1">
        <f t="array" ref="H56">_xlfn.IFS('ProductSprint Backlog'!$F56="", "", AND('ProductSprint Backlog'!$J56&gt;H$2,'ProductSprint Backlog'!$I56&lt;=H$2), 'ProductSprint Backlog'!$F56 / MAX(1, 'ProductSprint Backlog'!$J56-'ProductSprint Backlog'!$I56), AND('ProductSprint Backlog'!$J56=H$2,'ProductSprint Backlog'!$I56=H$2), 'ProductSprint Backlog'!$F56, TRUE, 0)</f>
        <v>0</v>
      </c>
      <c r="I56" s="4" cm="1">
        <f t="array" ref="I56">_xlfn.IFS('ProductSprint Backlog'!$F56="", "", AND('ProductSprint Backlog'!$J56&gt;I$2,'ProductSprint Backlog'!$I56&lt;=I$2), 'ProductSprint Backlog'!$F56 / MAX(1, 'ProductSprint Backlog'!$J56-'ProductSprint Backlog'!$I56), AND('ProductSprint Backlog'!$J56=I$2,'ProductSprint Backlog'!$I56=I$2), 'ProductSprint Backlog'!$F56, TRUE, 0)</f>
        <v>0</v>
      </c>
      <c r="J56" s="4" cm="1">
        <f t="array" ref="J56">_xlfn.IFS('ProductSprint Backlog'!$F56="", "", AND('ProductSprint Backlog'!$J56&gt;J$2,'ProductSprint Backlog'!$I56&lt;=J$2), 'ProductSprint Backlog'!$F56 / MAX(1, 'ProductSprint Backlog'!$J56-'ProductSprint Backlog'!$I56), AND('ProductSprint Backlog'!$J56=J$2,'ProductSprint Backlog'!$I56=J$2), 'ProductSprint Backlog'!$F56, TRUE, 0)</f>
        <v>0</v>
      </c>
      <c r="K56" s="4" cm="1">
        <f t="array" ref="K56">_xlfn.IFS('ProductSprint Backlog'!$F56="", "", AND('ProductSprint Backlog'!$J56&gt;K$2,'ProductSprint Backlog'!$I56&lt;=K$2), 'ProductSprint Backlog'!$F56 / MAX(1, 'ProductSprint Backlog'!$J56-'ProductSprint Backlog'!$I56), AND('ProductSprint Backlog'!$J56=K$2,'ProductSprint Backlog'!$I56=K$2), 'ProductSprint Backlog'!$F56, TRUE, 0)</f>
        <v>0</v>
      </c>
      <c r="L56" s="4" cm="1">
        <f t="array" ref="L56">_xlfn.IFS('ProductSprint Backlog'!$F56="", "", AND('ProductSprint Backlog'!$J56&gt;L$2,'ProductSprint Backlog'!$I56&lt;=L$2), 'ProductSprint Backlog'!$F56 / MAX(1, 'ProductSprint Backlog'!$J56-'ProductSprint Backlog'!$I56), AND('ProductSprint Backlog'!$J56=L$2,'ProductSprint Backlog'!$I56=L$2), 'ProductSprint Backlog'!$F56, TRUE, 0)</f>
        <v>0</v>
      </c>
      <c r="M56" s="4" cm="1">
        <f t="array" ref="M56">_xlfn.IFS('ProductSprint Backlog'!$F56="", "", AND('ProductSprint Backlog'!$J56&gt;M$2,'ProductSprint Backlog'!$I56&lt;=M$2), 'ProductSprint Backlog'!$F56 / MAX(1, 'ProductSprint Backlog'!$J56-'ProductSprint Backlog'!$I56), AND('ProductSprint Backlog'!$J56=M$2,'ProductSprint Backlog'!$I56=M$2), 'ProductSprint Backlog'!$F56, TRUE, 0)</f>
        <v>0</v>
      </c>
      <c r="N56" s="4" cm="1">
        <f t="array" ref="N56">_xlfn.IFS('ProductSprint Backlog'!$F56="", "", AND('ProductSprint Backlog'!$J56&gt;N$2,'ProductSprint Backlog'!$I56&lt;=N$2), 'ProductSprint Backlog'!$F56 / MAX(1, 'ProductSprint Backlog'!$J56-'ProductSprint Backlog'!$I56), AND('ProductSprint Backlog'!$J56=N$2,'ProductSprint Backlog'!$I56=N$2), 'ProductSprint Backlog'!$F56, TRUE, 0)</f>
        <v>0</v>
      </c>
      <c r="O56" s="4" cm="1">
        <f t="array" ref="O56">_xlfn.IFS('ProductSprint Backlog'!$F56="", "", AND('ProductSprint Backlog'!$J56&gt;O$2,'ProductSprint Backlog'!$I56&lt;=O$2), 'ProductSprint Backlog'!$F56 / MAX(1, 'ProductSprint Backlog'!$J56-'ProductSprint Backlog'!$I56), AND('ProductSprint Backlog'!$J56=O$2,'ProductSprint Backlog'!$I56=O$2), 'ProductSprint Backlog'!$F56, TRUE, 0)</f>
        <v>0</v>
      </c>
      <c r="P56" s="4" cm="1">
        <f t="array" ref="P56">_xlfn.IFS('ProductSprint Backlog'!$F56="", "", AND('ProductSprint Backlog'!$J56&gt;P$2,'ProductSprint Backlog'!$I56&lt;=P$2), 'ProductSprint Backlog'!$F56 / MAX(1, 'ProductSprint Backlog'!$J56-'ProductSprint Backlog'!$I56), AND('ProductSprint Backlog'!$J56=P$2,'ProductSprint Backlog'!$I56=P$2), 'ProductSprint Backlog'!$F56, TRUE, 0)</f>
        <v>0</v>
      </c>
      <c r="Q56" s="4" cm="1">
        <f t="array" ref="Q56">_xlfn.IFS('ProductSprint Backlog'!$F56="", "", AND('ProductSprint Backlog'!$J56&gt;Q$2,'ProductSprint Backlog'!$I56&lt;=Q$2), 'ProductSprint Backlog'!$F56 / MAX(1, 'ProductSprint Backlog'!$J56-'ProductSprint Backlog'!$I56), AND('ProductSprint Backlog'!$J56=Q$2,'ProductSprint Backlog'!$I56=Q$2), 'ProductSprint Backlog'!$F56, TRUE, 0)</f>
        <v>0</v>
      </c>
    </row>
    <row r="57" spans="2:17" x14ac:dyDescent="0.2">
      <c r="B57" s="4" cm="1">
        <f t="array" ref="B57">_xlfn.IFS('ProductSprint Backlog'!$F57="", "", AND('ProductSprint Backlog'!$J57&gt;B$2,'ProductSprint Backlog'!$I57&lt;=B$2), 'ProductSprint Backlog'!$F57 / MAX(1, 'ProductSprint Backlog'!$J57-'ProductSprint Backlog'!$I57), AND('ProductSprint Backlog'!$J57=B$2,'ProductSprint Backlog'!$I57=B$2), 'ProductSprint Backlog'!$F57, TRUE, 0)</f>
        <v>0</v>
      </c>
      <c r="C57" s="4" cm="1">
        <f t="array" ref="C57">_xlfn.IFS('ProductSprint Backlog'!$F57="", "", AND('ProductSprint Backlog'!$J57&gt;C$2,'ProductSprint Backlog'!$I57&lt;=C$2), 'ProductSprint Backlog'!$F57 / MAX(1, 'ProductSprint Backlog'!$J57-'ProductSprint Backlog'!$I57), AND('ProductSprint Backlog'!$J57=C$2,'ProductSprint Backlog'!$I57=C$2), 'ProductSprint Backlog'!$F57, TRUE, 0)</f>
        <v>0</v>
      </c>
      <c r="D57" s="4" cm="1">
        <f t="array" ref="D57">_xlfn.IFS('ProductSprint Backlog'!$F57="", "", AND('ProductSprint Backlog'!$J57&gt;D$2,'ProductSprint Backlog'!$I57&lt;=D$2), 'ProductSprint Backlog'!$F57 / MAX(1, 'ProductSprint Backlog'!$J57-'ProductSprint Backlog'!$I57), AND('ProductSprint Backlog'!$J57=D$2,'ProductSprint Backlog'!$I57=D$2), 'ProductSprint Backlog'!$F57, TRUE, 0)</f>
        <v>0</v>
      </c>
      <c r="E57" s="4" cm="1">
        <f t="array" ref="E57">_xlfn.IFS('ProductSprint Backlog'!$F57="", "", AND('ProductSprint Backlog'!$J57&gt;E$2,'ProductSprint Backlog'!$I57&lt;=E$2), 'ProductSprint Backlog'!$F57 / MAX(1, 'ProductSprint Backlog'!$J57-'ProductSprint Backlog'!$I57), AND('ProductSprint Backlog'!$J57=E$2,'ProductSprint Backlog'!$I57=E$2), 'ProductSprint Backlog'!$F57, TRUE, 0)</f>
        <v>0</v>
      </c>
      <c r="F57" s="4" cm="1">
        <f t="array" ref="F57">_xlfn.IFS('ProductSprint Backlog'!$F57="", "", AND('ProductSprint Backlog'!$J57&gt;F$2,'ProductSprint Backlog'!$I57&lt;=F$2), 'ProductSprint Backlog'!$F57 / MAX(1, 'ProductSprint Backlog'!$J57-'ProductSprint Backlog'!$I57), AND('ProductSprint Backlog'!$J57=F$2,'ProductSprint Backlog'!$I57=F$2), 'ProductSprint Backlog'!$F57, TRUE, 0)</f>
        <v>0</v>
      </c>
      <c r="G57" s="4" cm="1">
        <f t="array" ref="G57">_xlfn.IFS('ProductSprint Backlog'!$F57="", "", AND('ProductSprint Backlog'!$J57&gt;G$2,'ProductSprint Backlog'!$I57&lt;=G$2), 'ProductSprint Backlog'!$F57 / MAX(1, 'ProductSprint Backlog'!$J57-'ProductSprint Backlog'!$I57), AND('ProductSprint Backlog'!$J57=G$2,'ProductSprint Backlog'!$I57=G$2), 'ProductSprint Backlog'!$F57, TRUE, 0)</f>
        <v>0</v>
      </c>
      <c r="H57" s="4" cm="1">
        <f t="array" ref="H57">_xlfn.IFS('ProductSprint Backlog'!$F57="", "", AND('ProductSprint Backlog'!$J57&gt;H$2,'ProductSprint Backlog'!$I57&lt;=H$2), 'ProductSprint Backlog'!$F57 / MAX(1, 'ProductSprint Backlog'!$J57-'ProductSprint Backlog'!$I57), AND('ProductSprint Backlog'!$J57=H$2,'ProductSprint Backlog'!$I57=H$2), 'ProductSprint Backlog'!$F57, TRUE, 0)</f>
        <v>0</v>
      </c>
      <c r="I57" s="4" cm="1">
        <f t="array" ref="I57">_xlfn.IFS('ProductSprint Backlog'!$F57="", "", AND('ProductSprint Backlog'!$J57&gt;I$2,'ProductSprint Backlog'!$I57&lt;=I$2), 'ProductSprint Backlog'!$F57 / MAX(1, 'ProductSprint Backlog'!$J57-'ProductSprint Backlog'!$I57), AND('ProductSprint Backlog'!$J57=I$2,'ProductSprint Backlog'!$I57=I$2), 'ProductSprint Backlog'!$F57, TRUE, 0)</f>
        <v>0</v>
      </c>
      <c r="J57" s="4" cm="1">
        <f t="array" ref="J57">_xlfn.IFS('ProductSprint Backlog'!$F57="", "", AND('ProductSprint Backlog'!$J57&gt;J$2,'ProductSprint Backlog'!$I57&lt;=J$2), 'ProductSprint Backlog'!$F57 / MAX(1, 'ProductSprint Backlog'!$J57-'ProductSprint Backlog'!$I57), AND('ProductSprint Backlog'!$J57=J$2,'ProductSprint Backlog'!$I57=J$2), 'ProductSprint Backlog'!$F57, TRUE, 0)</f>
        <v>0</v>
      </c>
      <c r="K57" s="4" cm="1">
        <f t="array" ref="K57">_xlfn.IFS('ProductSprint Backlog'!$F57="", "", AND('ProductSprint Backlog'!$J57&gt;K$2,'ProductSprint Backlog'!$I57&lt;=K$2), 'ProductSprint Backlog'!$F57 / MAX(1, 'ProductSprint Backlog'!$J57-'ProductSprint Backlog'!$I57), AND('ProductSprint Backlog'!$J57=K$2,'ProductSprint Backlog'!$I57=K$2), 'ProductSprint Backlog'!$F57, TRUE, 0)</f>
        <v>0</v>
      </c>
      <c r="L57" s="4" cm="1">
        <f t="array" ref="L57">_xlfn.IFS('ProductSprint Backlog'!$F57="", "", AND('ProductSprint Backlog'!$J57&gt;L$2,'ProductSprint Backlog'!$I57&lt;=L$2), 'ProductSprint Backlog'!$F57 / MAX(1, 'ProductSprint Backlog'!$J57-'ProductSprint Backlog'!$I57), AND('ProductSprint Backlog'!$J57=L$2,'ProductSprint Backlog'!$I57=L$2), 'ProductSprint Backlog'!$F57, TRUE, 0)</f>
        <v>0</v>
      </c>
      <c r="M57" s="4" cm="1">
        <f t="array" ref="M57">_xlfn.IFS('ProductSprint Backlog'!$F57="", "", AND('ProductSprint Backlog'!$J57&gt;M$2,'ProductSprint Backlog'!$I57&lt;=M$2), 'ProductSprint Backlog'!$F57 / MAX(1, 'ProductSprint Backlog'!$J57-'ProductSprint Backlog'!$I57), AND('ProductSprint Backlog'!$J57=M$2,'ProductSprint Backlog'!$I57=M$2), 'ProductSprint Backlog'!$F57, TRUE, 0)</f>
        <v>0</v>
      </c>
      <c r="N57" s="4" cm="1">
        <f t="array" ref="N57">_xlfn.IFS('ProductSprint Backlog'!$F57="", "", AND('ProductSprint Backlog'!$J57&gt;N$2,'ProductSprint Backlog'!$I57&lt;=N$2), 'ProductSprint Backlog'!$F57 / MAX(1, 'ProductSprint Backlog'!$J57-'ProductSprint Backlog'!$I57), AND('ProductSprint Backlog'!$J57=N$2,'ProductSprint Backlog'!$I57=N$2), 'ProductSprint Backlog'!$F57, TRUE, 0)</f>
        <v>0</v>
      </c>
      <c r="O57" s="4" cm="1">
        <f t="array" ref="O57">_xlfn.IFS('ProductSprint Backlog'!$F57="", "", AND('ProductSprint Backlog'!$J57&gt;O$2,'ProductSprint Backlog'!$I57&lt;=O$2), 'ProductSprint Backlog'!$F57 / MAX(1, 'ProductSprint Backlog'!$J57-'ProductSprint Backlog'!$I57), AND('ProductSprint Backlog'!$J57=O$2,'ProductSprint Backlog'!$I57=O$2), 'ProductSprint Backlog'!$F57, TRUE, 0)</f>
        <v>0</v>
      </c>
      <c r="P57" s="4" cm="1">
        <f t="array" ref="P57">_xlfn.IFS('ProductSprint Backlog'!$F57="", "", AND('ProductSprint Backlog'!$J57&gt;P$2,'ProductSprint Backlog'!$I57&lt;=P$2), 'ProductSprint Backlog'!$F57 / MAX(1, 'ProductSprint Backlog'!$J57-'ProductSprint Backlog'!$I57), AND('ProductSprint Backlog'!$J57=P$2,'ProductSprint Backlog'!$I57=P$2), 'ProductSprint Backlog'!$F57, TRUE, 0)</f>
        <v>0</v>
      </c>
      <c r="Q57" s="4" cm="1">
        <f t="array" ref="Q57">_xlfn.IFS('ProductSprint Backlog'!$F57="", "", AND('ProductSprint Backlog'!$J57&gt;Q$2,'ProductSprint Backlog'!$I57&lt;=Q$2), 'ProductSprint Backlog'!$F57 / MAX(1, 'ProductSprint Backlog'!$J57-'ProductSprint Backlog'!$I57), AND('ProductSprint Backlog'!$J57=Q$2,'ProductSprint Backlog'!$I57=Q$2), 'ProductSprint Backlog'!$F57, TRUE, 0)</f>
        <v>0</v>
      </c>
    </row>
    <row r="58" spans="2:17" x14ac:dyDescent="0.2">
      <c r="B58" s="4" cm="1">
        <f t="array" ref="B58">_xlfn.IFS('ProductSprint Backlog'!$F58="", "", AND('ProductSprint Backlog'!$J58&gt;B$2,'ProductSprint Backlog'!$I58&lt;=B$2), 'ProductSprint Backlog'!$F58 / MAX(1, 'ProductSprint Backlog'!$J58-'ProductSprint Backlog'!$I58), AND('ProductSprint Backlog'!$J58=B$2,'ProductSprint Backlog'!$I58=B$2), 'ProductSprint Backlog'!$F58, TRUE, 0)</f>
        <v>0</v>
      </c>
      <c r="C58" s="4" cm="1">
        <f t="array" ref="C58">_xlfn.IFS('ProductSprint Backlog'!$F58="", "", AND('ProductSprint Backlog'!$J58&gt;C$2,'ProductSprint Backlog'!$I58&lt;=C$2), 'ProductSprint Backlog'!$F58 / MAX(1, 'ProductSprint Backlog'!$J58-'ProductSprint Backlog'!$I58), AND('ProductSprint Backlog'!$J58=C$2,'ProductSprint Backlog'!$I58=C$2), 'ProductSprint Backlog'!$F58, TRUE, 0)</f>
        <v>0</v>
      </c>
      <c r="D58" s="4" cm="1">
        <f t="array" ref="D58">_xlfn.IFS('ProductSprint Backlog'!$F58="", "", AND('ProductSprint Backlog'!$J58&gt;D$2,'ProductSprint Backlog'!$I58&lt;=D$2), 'ProductSprint Backlog'!$F58 / MAX(1, 'ProductSprint Backlog'!$J58-'ProductSprint Backlog'!$I58), AND('ProductSprint Backlog'!$J58=D$2,'ProductSprint Backlog'!$I58=D$2), 'ProductSprint Backlog'!$F58, TRUE, 0)</f>
        <v>0</v>
      </c>
      <c r="E58" s="4" cm="1">
        <f t="array" ref="E58">_xlfn.IFS('ProductSprint Backlog'!$F58="", "", AND('ProductSprint Backlog'!$J58&gt;E$2,'ProductSprint Backlog'!$I58&lt;=E$2), 'ProductSprint Backlog'!$F58 / MAX(1, 'ProductSprint Backlog'!$J58-'ProductSprint Backlog'!$I58), AND('ProductSprint Backlog'!$J58=E$2,'ProductSprint Backlog'!$I58=E$2), 'ProductSprint Backlog'!$F58, TRUE, 0)</f>
        <v>0</v>
      </c>
      <c r="F58" s="4" cm="1">
        <f t="array" ref="F58">_xlfn.IFS('ProductSprint Backlog'!$F58="", "", AND('ProductSprint Backlog'!$J58&gt;F$2,'ProductSprint Backlog'!$I58&lt;=F$2), 'ProductSprint Backlog'!$F58 / MAX(1, 'ProductSprint Backlog'!$J58-'ProductSprint Backlog'!$I58), AND('ProductSprint Backlog'!$J58=F$2,'ProductSprint Backlog'!$I58=F$2), 'ProductSprint Backlog'!$F58, TRUE, 0)</f>
        <v>0</v>
      </c>
      <c r="G58" s="4" cm="1">
        <f t="array" ref="G58">_xlfn.IFS('ProductSprint Backlog'!$F58="", "", AND('ProductSprint Backlog'!$J58&gt;G$2,'ProductSprint Backlog'!$I58&lt;=G$2), 'ProductSprint Backlog'!$F58 / MAX(1, 'ProductSprint Backlog'!$J58-'ProductSprint Backlog'!$I58), AND('ProductSprint Backlog'!$J58=G$2,'ProductSprint Backlog'!$I58=G$2), 'ProductSprint Backlog'!$F58, TRUE, 0)</f>
        <v>0</v>
      </c>
      <c r="H58" s="4" cm="1">
        <f t="array" ref="H58">_xlfn.IFS('ProductSprint Backlog'!$F58="", "", AND('ProductSprint Backlog'!$J58&gt;H$2,'ProductSprint Backlog'!$I58&lt;=H$2), 'ProductSprint Backlog'!$F58 / MAX(1, 'ProductSprint Backlog'!$J58-'ProductSprint Backlog'!$I58), AND('ProductSprint Backlog'!$J58=H$2,'ProductSprint Backlog'!$I58=H$2), 'ProductSprint Backlog'!$F58, TRUE, 0)</f>
        <v>0</v>
      </c>
      <c r="I58" s="4" cm="1">
        <f t="array" ref="I58">_xlfn.IFS('ProductSprint Backlog'!$F58="", "", AND('ProductSprint Backlog'!$J58&gt;I$2,'ProductSprint Backlog'!$I58&lt;=I$2), 'ProductSprint Backlog'!$F58 / MAX(1, 'ProductSprint Backlog'!$J58-'ProductSprint Backlog'!$I58), AND('ProductSprint Backlog'!$J58=I$2,'ProductSprint Backlog'!$I58=I$2), 'ProductSprint Backlog'!$F58, TRUE, 0)</f>
        <v>0</v>
      </c>
      <c r="J58" s="4" cm="1">
        <f t="array" ref="J58">_xlfn.IFS('ProductSprint Backlog'!$F58="", "", AND('ProductSprint Backlog'!$J58&gt;J$2,'ProductSprint Backlog'!$I58&lt;=J$2), 'ProductSprint Backlog'!$F58 / MAX(1, 'ProductSprint Backlog'!$J58-'ProductSprint Backlog'!$I58), AND('ProductSprint Backlog'!$J58=J$2,'ProductSprint Backlog'!$I58=J$2), 'ProductSprint Backlog'!$F58, TRUE, 0)</f>
        <v>0</v>
      </c>
      <c r="K58" s="4" cm="1">
        <f t="array" ref="K58">_xlfn.IFS('ProductSprint Backlog'!$F58="", "", AND('ProductSprint Backlog'!$J58&gt;K$2,'ProductSprint Backlog'!$I58&lt;=K$2), 'ProductSprint Backlog'!$F58 / MAX(1, 'ProductSprint Backlog'!$J58-'ProductSprint Backlog'!$I58), AND('ProductSprint Backlog'!$J58=K$2,'ProductSprint Backlog'!$I58=K$2), 'ProductSprint Backlog'!$F58, TRUE, 0)</f>
        <v>0</v>
      </c>
      <c r="L58" s="4" cm="1">
        <f t="array" ref="L58">_xlfn.IFS('ProductSprint Backlog'!$F58="", "", AND('ProductSprint Backlog'!$J58&gt;L$2,'ProductSprint Backlog'!$I58&lt;=L$2), 'ProductSprint Backlog'!$F58 / MAX(1, 'ProductSprint Backlog'!$J58-'ProductSprint Backlog'!$I58), AND('ProductSprint Backlog'!$J58=L$2,'ProductSprint Backlog'!$I58=L$2), 'ProductSprint Backlog'!$F58, TRUE, 0)</f>
        <v>0</v>
      </c>
      <c r="M58" s="4" cm="1">
        <f t="array" ref="M58">_xlfn.IFS('ProductSprint Backlog'!$F58="", "", AND('ProductSprint Backlog'!$J58&gt;M$2,'ProductSprint Backlog'!$I58&lt;=M$2), 'ProductSprint Backlog'!$F58 / MAX(1, 'ProductSprint Backlog'!$J58-'ProductSprint Backlog'!$I58), AND('ProductSprint Backlog'!$J58=M$2,'ProductSprint Backlog'!$I58=M$2), 'ProductSprint Backlog'!$F58, TRUE, 0)</f>
        <v>0</v>
      </c>
      <c r="N58" s="4" cm="1">
        <f t="array" ref="N58">_xlfn.IFS('ProductSprint Backlog'!$F58="", "", AND('ProductSprint Backlog'!$J58&gt;N$2,'ProductSprint Backlog'!$I58&lt;=N$2), 'ProductSprint Backlog'!$F58 / MAX(1, 'ProductSprint Backlog'!$J58-'ProductSprint Backlog'!$I58), AND('ProductSprint Backlog'!$J58=N$2,'ProductSprint Backlog'!$I58=N$2), 'ProductSprint Backlog'!$F58, TRUE, 0)</f>
        <v>0</v>
      </c>
      <c r="O58" s="4" cm="1">
        <f t="array" ref="O58">_xlfn.IFS('ProductSprint Backlog'!$F58="", "", AND('ProductSprint Backlog'!$J58&gt;O$2,'ProductSprint Backlog'!$I58&lt;=O$2), 'ProductSprint Backlog'!$F58 / MAX(1, 'ProductSprint Backlog'!$J58-'ProductSprint Backlog'!$I58), AND('ProductSprint Backlog'!$J58=O$2,'ProductSprint Backlog'!$I58=O$2), 'ProductSprint Backlog'!$F58, TRUE, 0)</f>
        <v>0</v>
      </c>
      <c r="P58" s="4" cm="1">
        <f t="array" ref="P58">_xlfn.IFS('ProductSprint Backlog'!$F58="", "", AND('ProductSprint Backlog'!$J58&gt;P$2,'ProductSprint Backlog'!$I58&lt;=P$2), 'ProductSprint Backlog'!$F58 / MAX(1, 'ProductSprint Backlog'!$J58-'ProductSprint Backlog'!$I58), AND('ProductSprint Backlog'!$J58=P$2,'ProductSprint Backlog'!$I58=P$2), 'ProductSprint Backlog'!$F58, TRUE, 0)</f>
        <v>0</v>
      </c>
      <c r="Q58" s="4" cm="1">
        <f t="array" ref="Q58">_xlfn.IFS('ProductSprint Backlog'!$F58="", "", AND('ProductSprint Backlog'!$J58&gt;Q$2,'ProductSprint Backlog'!$I58&lt;=Q$2), 'ProductSprint Backlog'!$F58 / MAX(1, 'ProductSprint Backlog'!$J58-'ProductSprint Backlog'!$I58), AND('ProductSprint Backlog'!$J58=Q$2,'ProductSprint Backlog'!$I58=Q$2), 'ProductSprint Backlog'!$F58, TRUE, 0)</f>
        <v>0</v>
      </c>
    </row>
    <row r="59" spans="2:17" x14ac:dyDescent="0.2">
      <c r="B59" s="4" t="str" cm="1">
        <f t="array" ref="B59">_xlfn.IFS('ProductSprint Backlog'!$F59="", "", AND('ProductSprint Backlog'!$J59&gt;B$2,'ProductSprint Backlog'!$I59&lt;=B$2), 'ProductSprint Backlog'!$F59 / MAX(1, 'ProductSprint Backlog'!$J59-'ProductSprint Backlog'!$I59), AND('ProductSprint Backlog'!$J59=B$2,'ProductSprint Backlog'!$I59=B$2), 'ProductSprint Backlog'!$F59, TRUE, 0)</f>
        <v/>
      </c>
      <c r="C59" s="4" t="str" cm="1">
        <f t="array" ref="C59">_xlfn.IFS('ProductSprint Backlog'!$F59="", "", AND('ProductSprint Backlog'!$J59&gt;C$2,'ProductSprint Backlog'!$I59&lt;=C$2), 'ProductSprint Backlog'!$F59 / MAX(1, 'ProductSprint Backlog'!$J59-'ProductSprint Backlog'!$I59), AND('ProductSprint Backlog'!$J59=C$2,'ProductSprint Backlog'!$I59=C$2), 'ProductSprint Backlog'!$F59, TRUE, 0)</f>
        <v/>
      </c>
      <c r="D59" s="4" t="str" cm="1">
        <f t="array" ref="D59">_xlfn.IFS('ProductSprint Backlog'!$F59="", "", AND('ProductSprint Backlog'!$J59&gt;D$2,'ProductSprint Backlog'!$I59&lt;=D$2), 'ProductSprint Backlog'!$F59 / MAX(1, 'ProductSprint Backlog'!$J59-'ProductSprint Backlog'!$I59), AND('ProductSprint Backlog'!$J59=D$2,'ProductSprint Backlog'!$I59=D$2), 'ProductSprint Backlog'!$F59, TRUE, 0)</f>
        <v/>
      </c>
      <c r="E59" s="4" t="str" cm="1">
        <f t="array" ref="E59">_xlfn.IFS('ProductSprint Backlog'!$F59="", "", AND('ProductSprint Backlog'!$J59&gt;E$2,'ProductSprint Backlog'!$I59&lt;=E$2), 'ProductSprint Backlog'!$F59 / MAX(1, 'ProductSprint Backlog'!$J59-'ProductSprint Backlog'!$I59), AND('ProductSprint Backlog'!$J59=E$2,'ProductSprint Backlog'!$I59=E$2), 'ProductSprint Backlog'!$F59, TRUE, 0)</f>
        <v/>
      </c>
      <c r="F59" s="4" t="str" cm="1">
        <f t="array" ref="F59">_xlfn.IFS('ProductSprint Backlog'!$F59="", "", AND('ProductSprint Backlog'!$J59&gt;F$2,'ProductSprint Backlog'!$I59&lt;=F$2), 'ProductSprint Backlog'!$F59 / MAX(1, 'ProductSprint Backlog'!$J59-'ProductSprint Backlog'!$I59), AND('ProductSprint Backlog'!$J59=F$2,'ProductSprint Backlog'!$I59=F$2), 'ProductSprint Backlog'!$F59, TRUE, 0)</f>
        <v/>
      </c>
      <c r="G59" s="4" t="str" cm="1">
        <f t="array" ref="G59">_xlfn.IFS('ProductSprint Backlog'!$F59="", "", AND('ProductSprint Backlog'!$J59&gt;G$2,'ProductSprint Backlog'!$I59&lt;=G$2), 'ProductSprint Backlog'!$F59 / MAX(1, 'ProductSprint Backlog'!$J59-'ProductSprint Backlog'!$I59), AND('ProductSprint Backlog'!$J59=G$2,'ProductSprint Backlog'!$I59=G$2), 'ProductSprint Backlog'!$F59, TRUE, 0)</f>
        <v/>
      </c>
      <c r="H59" s="4" t="str" cm="1">
        <f t="array" ref="H59">_xlfn.IFS('ProductSprint Backlog'!$F59="", "", AND('ProductSprint Backlog'!$J59&gt;H$2,'ProductSprint Backlog'!$I59&lt;=H$2), 'ProductSprint Backlog'!$F59 / MAX(1, 'ProductSprint Backlog'!$J59-'ProductSprint Backlog'!$I59), AND('ProductSprint Backlog'!$J59=H$2,'ProductSprint Backlog'!$I59=H$2), 'ProductSprint Backlog'!$F59, TRUE, 0)</f>
        <v/>
      </c>
      <c r="I59" s="4" t="str" cm="1">
        <f t="array" ref="I59">_xlfn.IFS('ProductSprint Backlog'!$F59="", "", AND('ProductSprint Backlog'!$J59&gt;I$2,'ProductSprint Backlog'!$I59&lt;=I$2), 'ProductSprint Backlog'!$F59 / MAX(1, 'ProductSprint Backlog'!$J59-'ProductSprint Backlog'!$I59), AND('ProductSprint Backlog'!$J59=I$2,'ProductSprint Backlog'!$I59=I$2), 'ProductSprint Backlog'!$F59, TRUE, 0)</f>
        <v/>
      </c>
      <c r="J59" s="4" t="str" cm="1">
        <f t="array" ref="J59">_xlfn.IFS('ProductSprint Backlog'!$F59="", "", AND('ProductSprint Backlog'!$J59&gt;J$2,'ProductSprint Backlog'!$I59&lt;=J$2), 'ProductSprint Backlog'!$F59 / MAX(1, 'ProductSprint Backlog'!$J59-'ProductSprint Backlog'!$I59), AND('ProductSprint Backlog'!$J59=J$2,'ProductSprint Backlog'!$I59=J$2), 'ProductSprint Backlog'!$F59, TRUE, 0)</f>
        <v/>
      </c>
      <c r="K59" s="4" t="str" cm="1">
        <f t="array" ref="K59">_xlfn.IFS('ProductSprint Backlog'!$F59="", "", AND('ProductSprint Backlog'!$J59&gt;K$2,'ProductSprint Backlog'!$I59&lt;=K$2), 'ProductSprint Backlog'!$F59 / MAX(1, 'ProductSprint Backlog'!$J59-'ProductSprint Backlog'!$I59), AND('ProductSprint Backlog'!$J59=K$2,'ProductSprint Backlog'!$I59=K$2), 'ProductSprint Backlog'!$F59, TRUE, 0)</f>
        <v/>
      </c>
      <c r="L59" s="4" t="str" cm="1">
        <f t="array" ref="L59">_xlfn.IFS('ProductSprint Backlog'!$F59="", "", AND('ProductSprint Backlog'!$J59&gt;L$2,'ProductSprint Backlog'!$I59&lt;=L$2), 'ProductSprint Backlog'!$F59 / MAX(1, 'ProductSprint Backlog'!$J59-'ProductSprint Backlog'!$I59), AND('ProductSprint Backlog'!$J59=L$2,'ProductSprint Backlog'!$I59=L$2), 'ProductSprint Backlog'!$F59, TRUE, 0)</f>
        <v/>
      </c>
      <c r="M59" s="4" t="str" cm="1">
        <f t="array" ref="M59">_xlfn.IFS('ProductSprint Backlog'!$F59="", "", AND('ProductSprint Backlog'!$J59&gt;M$2,'ProductSprint Backlog'!$I59&lt;=M$2), 'ProductSprint Backlog'!$F59 / MAX(1, 'ProductSprint Backlog'!$J59-'ProductSprint Backlog'!$I59), AND('ProductSprint Backlog'!$J59=M$2,'ProductSprint Backlog'!$I59=M$2), 'ProductSprint Backlog'!$F59, TRUE, 0)</f>
        <v/>
      </c>
      <c r="N59" s="4" t="str" cm="1">
        <f t="array" ref="N59">_xlfn.IFS('ProductSprint Backlog'!$F59="", "", AND('ProductSprint Backlog'!$J59&gt;N$2,'ProductSprint Backlog'!$I59&lt;=N$2), 'ProductSprint Backlog'!$F59 / MAX(1, 'ProductSprint Backlog'!$J59-'ProductSprint Backlog'!$I59), AND('ProductSprint Backlog'!$J59=N$2,'ProductSprint Backlog'!$I59=N$2), 'ProductSprint Backlog'!$F59, TRUE, 0)</f>
        <v/>
      </c>
      <c r="O59" s="4" t="str" cm="1">
        <f t="array" ref="O59">_xlfn.IFS('ProductSprint Backlog'!$F59="", "", AND('ProductSprint Backlog'!$J59&gt;O$2,'ProductSprint Backlog'!$I59&lt;=O$2), 'ProductSprint Backlog'!$F59 / MAX(1, 'ProductSprint Backlog'!$J59-'ProductSprint Backlog'!$I59), AND('ProductSprint Backlog'!$J59=O$2,'ProductSprint Backlog'!$I59=O$2), 'ProductSprint Backlog'!$F59, TRUE, 0)</f>
        <v/>
      </c>
      <c r="P59" s="4" t="str" cm="1">
        <f t="array" ref="P59">_xlfn.IFS('ProductSprint Backlog'!$F59="", "", AND('ProductSprint Backlog'!$J59&gt;P$2,'ProductSprint Backlog'!$I59&lt;=P$2), 'ProductSprint Backlog'!$F59 / MAX(1, 'ProductSprint Backlog'!$J59-'ProductSprint Backlog'!$I59), AND('ProductSprint Backlog'!$J59=P$2,'ProductSprint Backlog'!$I59=P$2), 'ProductSprint Backlog'!$F59, TRUE, 0)</f>
        <v/>
      </c>
      <c r="Q59" s="4" t="str" cm="1">
        <f t="array" ref="Q59">_xlfn.IFS('ProductSprint Backlog'!$F59="", "", AND('ProductSprint Backlog'!$J59&gt;Q$2,'ProductSprint Backlog'!$I59&lt;=Q$2), 'ProductSprint Backlog'!$F59 / MAX(1, 'ProductSprint Backlog'!$J59-'ProductSprint Backlog'!$I59), AND('ProductSprint Backlog'!$J59=Q$2,'ProductSprint Backlog'!$I59=Q$2), 'ProductSprint Backlog'!$F59, TRUE, 0)</f>
        <v/>
      </c>
    </row>
    <row r="60" spans="2:17" x14ac:dyDescent="0.2">
      <c r="B60" s="4" cm="1">
        <f t="array" ref="B60">_xlfn.IFS('ProductSprint Backlog'!$F60="", "", AND('ProductSprint Backlog'!$J60&gt;B$2,'ProductSprint Backlog'!$I60&lt;=B$2), 'ProductSprint Backlog'!$F60 / MAX(1, 'ProductSprint Backlog'!$J60-'ProductSprint Backlog'!$I60), AND('ProductSprint Backlog'!$J60=B$2,'ProductSprint Backlog'!$I60=B$2), 'ProductSprint Backlog'!$F60, TRUE, 0)</f>
        <v>0</v>
      </c>
      <c r="C60" s="4" cm="1">
        <f t="array" ref="C60">_xlfn.IFS('ProductSprint Backlog'!$F60="", "", AND('ProductSprint Backlog'!$J60&gt;C$2,'ProductSprint Backlog'!$I60&lt;=C$2), 'ProductSprint Backlog'!$F60 / MAX(1, 'ProductSprint Backlog'!$J60-'ProductSprint Backlog'!$I60), AND('ProductSprint Backlog'!$J60=C$2,'ProductSprint Backlog'!$I60=C$2), 'ProductSprint Backlog'!$F60, TRUE, 0)</f>
        <v>0</v>
      </c>
      <c r="D60" s="4" cm="1">
        <f t="array" ref="D60">_xlfn.IFS('ProductSprint Backlog'!$F60="", "", AND('ProductSprint Backlog'!$J60&gt;D$2,'ProductSprint Backlog'!$I60&lt;=D$2), 'ProductSprint Backlog'!$F60 / MAX(1, 'ProductSprint Backlog'!$J60-'ProductSprint Backlog'!$I60), AND('ProductSprint Backlog'!$J60=D$2,'ProductSprint Backlog'!$I60=D$2), 'ProductSprint Backlog'!$F60, TRUE, 0)</f>
        <v>0</v>
      </c>
      <c r="E60" s="4" cm="1">
        <f t="array" ref="E60">_xlfn.IFS('ProductSprint Backlog'!$F60="", "", AND('ProductSprint Backlog'!$J60&gt;E$2,'ProductSprint Backlog'!$I60&lt;=E$2), 'ProductSprint Backlog'!$F60 / MAX(1, 'ProductSprint Backlog'!$J60-'ProductSprint Backlog'!$I60), AND('ProductSprint Backlog'!$J60=E$2,'ProductSprint Backlog'!$I60=E$2), 'ProductSprint Backlog'!$F60, TRUE, 0)</f>
        <v>0</v>
      </c>
      <c r="F60" s="4" cm="1">
        <f t="array" ref="F60">_xlfn.IFS('ProductSprint Backlog'!$F60="", "", AND('ProductSprint Backlog'!$J60&gt;F$2,'ProductSprint Backlog'!$I60&lt;=F$2), 'ProductSprint Backlog'!$F60 / MAX(1, 'ProductSprint Backlog'!$J60-'ProductSprint Backlog'!$I60), AND('ProductSprint Backlog'!$J60=F$2,'ProductSprint Backlog'!$I60=F$2), 'ProductSprint Backlog'!$F60, TRUE, 0)</f>
        <v>0</v>
      </c>
      <c r="G60" s="4" cm="1">
        <f t="array" ref="G60">_xlfn.IFS('ProductSprint Backlog'!$F60="", "", AND('ProductSprint Backlog'!$J60&gt;G$2,'ProductSprint Backlog'!$I60&lt;=G$2), 'ProductSprint Backlog'!$F60 / MAX(1, 'ProductSprint Backlog'!$J60-'ProductSprint Backlog'!$I60), AND('ProductSprint Backlog'!$J60=G$2,'ProductSprint Backlog'!$I60=G$2), 'ProductSprint Backlog'!$F60, TRUE, 0)</f>
        <v>0</v>
      </c>
      <c r="H60" s="4" cm="1">
        <f t="array" ref="H60">_xlfn.IFS('ProductSprint Backlog'!$F60="", "", AND('ProductSprint Backlog'!$J60&gt;H$2,'ProductSprint Backlog'!$I60&lt;=H$2), 'ProductSprint Backlog'!$F60 / MAX(1, 'ProductSprint Backlog'!$J60-'ProductSprint Backlog'!$I60), AND('ProductSprint Backlog'!$J60=H$2,'ProductSprint Backlog'!$I60=H$2), 'ProductSprint Backlog'!$F60, TRUE, 0)</f>
        <v>0</v>
      </c>
      <c r="I60" s="4" cm="1">
        <f t="array" ref="I60">_xlfn.IFS('ProductSprint Backlog'!$F60="", "", AND('ProductSprint Backlog'!$J60&gt;I$2,'ProductSprint Backlog'!$I60&lt;=I$2), 'ProductSprint Backlog'!$F60 / MAX(1, 'ProductSprint Backlog'!$J60-'ProductSprint Backlog'!$I60), AND('ProductSprint Backlog'!$J60=I$2,'ProductSprint Backlog'!$I60=I$2), 'ProductSprint Backlog'!$F60, TRUE, 0)</f>
        <v>0</v>
      </c>
      <c r="J60" s="4" cm="1">
        <f t="array" ref="J60">_xlfn.IFS('ProductSprint Backlog'!$F60="", "", AND('ProductSprint Backlog'!$J60&gt;J$2,'ProductSprint Backlog'!$I60&lt;=J$2), 'ProductSprint Backlog'!$F60 / MAX(1, 'ProductSprint Backlog'!$J60-'ProductSprint Backlog'!$I60), AND('ProductSprint Backlog'!$J60=J$2,'ProductSprint Backlog'!$I60=J$2), 'ProductSprint Backlog'!$F60, TRUE, 0)</f>
        <v>0</v>
      </c>
      <c r="K60" s="4" cm="1">
        <f t="array" ref="K60">_xlfn.IFS('ProductSprint Backlog'!$F60="", "", AND('ProductSprint Backlog'!$J60&gt;K$2,'ProductSprint Backlog'!$I60&lt;=K$2), 'ProductSprint Backlog'!$F60 / MAX(1, 'ProductSprint Backlog'!$J60-'ProductSprint Backlog'!$I60), AND('ProductSprint Backlog'!$J60=K$2,'ProductSprint Backlog'!$I60=K$2), 'ProductSprint Backlog'!$F60, TRUE, 0)</f>
        <v>0</v>
      </c>
      <c r="L60" s="4" cm="1">
        <f t="array" ref="L60">_xlfn.IFS('ProductSprint Backlog'!$F60="", "", AND('ProductSprint Backlog'!$J60&gt;L$2,'ProductSprint Backlog'!$I60&lt;=L$2), 'ProductSprint Backlog'!$F60 / MAX(1, 'ProductSprint Backlog'!$J60-'ProductSprint Backlog'!$I60), AND('ProductSprint Backlog'!$J60=L$2,'ProductSprint Backlog'!$I60=L$2), 'ProductSprint Backlog'!$F60, TRUE, 0)</f>
        <v>0</v>
      </c>
      <c r="M60" s="4" cm="1">
        <f t="array" ref="M60">_xlfn.IFS('ProductSprint Backlog'!$F60="", "", AND('ProductSprint Backlog'!$J60&gt;M$2,'ProductSprint Backlog'!$I60&lt;=M$2), 'ProductSprint Backlog'!$F60 / MAX(1, 'ProductSprint Backlog'!$J60-'ProductSprint Backlog'!$I60), AND('ProductSprint Backlog'!$J60=M$2,'ProductSprint Backlog'!$I60=M$2), 'ProductSprint Backlog'!$F60, TRUE, 0)</f>
        <v>0</v>
      </c>
      <c r="N60" s="4" cm="1">
        <f t="array" ref="N60">_xlfn.IFS('ProductSprint Backlog'!$F60="", "", AND('ProductSprint Backlog'!$J60&gt;N$2,'ProductSprint Backlog'!$I60&lt;=N$2), 'ProductSprint Backlog'!$F60 / MAX(1, 'ProductSprint Backlog'!$J60-'ProductSprint Backlog'!$I60), AND('ProductSprint Backlog'!$J60=N$2,'ProductSprint Backlog'!$I60=N$2), 'ProductSprint Backlog'!$F60, TRUE, 0)</f>
        <v>0</v>
      </c>
      <c r="O60" s="4" cm="1">
        <f t="array" ref="O60">_xlfn.IFS('ProductSprint Backlog'!$F60="", "", AND('ProductSprint Backlog'!$J60&gt;O$2,'ProductSprint Backlog'!$I60&lt;=O$2), 'ProductSprint Backlog'!$F60 / MAX(1, 'ProductSprint Backlog'!$J60-'ProductSprint Backlog'!$I60), AND('ProductSprint Backlog'!$J60=O$2,'ProductSprint Backlog'!$I60=O$2), 'ProductSprint Backlog'!$F60, TRUE, 0)</f>
        <v>0</v>
      </c>
      <c r="P60" s="4" cm="1">
        <f t="array" ref="P60">_xlfn.IFS('ProductSprint Backlog'!$F60="", "", AND('ProductSprint Backlog'!$J60&gt;P$2,'ProductSprint Backlog'!$I60&lt;=P$2), 'ProductSprint Backlog'!$F60 / MAX(1, 'ProductSprint Backlog'!$J60-'ProductSprint Backlog'!$I60), AND('ProductSprint Backlog'!$J60=P$2,'ProductSprint Backlog'!$I60=P$2), 'ProductSprint Backlog'!$F60, TRUE, 0)</f>
        <v>0</v>
      </c>
      <c r="Q60" s="4" cm="1">
        <f t="array" ref="Q60">_xlfn.IFS('ProductSprint Backlog'!$F60="", "", AND('ProductSprint Backlog'!$J60&gt;Q$2,'ProductSprint Backlog'!$I60&lt;=Q$2), 'ProductSprint Backlog'!$F60 / MAX(1, 'ProductSprint Backlog'!$J60-'ProductSprint Backlog'!$I60), AND('ProductSprint Backlog'!$J60=Q$2,'ProductSprint Backlog'!$I60=Q$2), 'ProductSprint Backlog'!$F60, TRUE, 0)</f>
        <v>0</v>
      </c>
    </row>
    <row r="61" spans="2:17" x14ac:dyDescent="0.2">
      <c r="B61" s="4" cm="1">
        <f t="array" ref="B61">_xlfn.IFS('ProductSprint Backlog'!$F61="", "", AND('ProductSprint Backlog'!$J61&gt;B$2,'ProductSprint Backlog'!$I61&lt;=B$2), 'ProductSprint Backlog'!$F61 / MAX(1, 'ProductSprint Backlog'!$J61-'ProductSprint Backlog'!$I61), AND('ProductSprint Backlog'!$J61=B$2,'ProductSprint Backlog'!$I61=B$2), 'ProductSprint Backlog'!$F61, TRUE, 0)</f>
        <v>0</v>
      </c>
      <c r="C61" s="4" cm="1">
        <f t="array" ref="C61">_xlfn.IFS('ProductSprint Backlog'!$F61="", "", AND('ProductSprint Backlog'!$J61&gt;C$2,'ProductSprint Backlog'!$I61&lt;=C$2), 'ProductSprint Backlog'!$F61 / MAX(1, 'ProductSprint Backlog'!$J61-'ProductSprint Backlog'!$I61), AND('ProductSprint Backlog'!$J61=C$2,'ProductSprint Backlog'!$I61=C$2), 'ProductSprint Backlog'!$F61, TRUE, 0)</f>
        <v>0</v>
      </c>
      <c r="D61" s="4" cm="1">
        <f t="array" ref="D61">_xlfn.IFS('ProductSprint Backlog'!$F61="", "", AND('ProductSprint Backlog'!$J61&gt;D$2,'ProductSprint Backlog'!$I61&lt;=D$2), 'ProductSprint Backlog'!$F61 / MAX(1, 'ProductSprint Backlog'!$J61-'ProductSprint Backlog'!$I61), AND('ProductSprint Backlog'!$J61=D$2,'ProductSprint Backlog'!$I61=D$2), 'ProductSprint Backlog'!$F61, TRUE, 0)</f>
        <v>0</v>
      </c>
      <c r="E61" s="4" cm="1">
        <f t="array" ref="E61">_xlfn.IFS('ProductSprint Backlog'!$F61="", "", AND('ProductSprint Backlog'!$J61&gt;E$2,'ProductSprint Backlog'!$I61&lt;=E$2), 'ProductSprint Backlog'!$F61 / MAX(1, 'ProductSprint Backlog'!$J61-'ProductSprint Backlog'!$I61), AND('ProductSprint Backlog'!$J61=E$2,'ProductSprint Backlog'!$I61=E$2), 'ProductSprint Backlog'!$F61, TRUE, 0)</f>
        <v>0</v>
      </c>
      <c r="F61" s="4" cm="1">
        <f t="array" ref="F61">_xlfn.IFS('ProductSprint Backlog'!$F61="", "", AND('ProductSprint Backlog'!$J61&gt;F$2,'ProductSprint Backlog'!$I61&lt;=F$2), 'ProductSprint Backlog'!$F61 / MAX(1, 'ProductSprint Backlog'!$J61-'ProductSprint Backlog'!$I61), AND('ProductSprint Backlog'!$J61=F$2,'ProductSprint Backlog'!$I61=F$2), 'ProductSprint Backlog'!$F61, TRUE, 0)</f>
        <v>0</v>
      </c>
      <c r="G61" s="4" cm="1">
        <f t="array" ref="G61">_xlfn.IFS('ProductSprint Backlog'!$F61="", "", AND('ProductSprint Backlog'!$J61&gt;G$2,'ProductSprint Backlog'!$I61&lt;=G$2), 'ProductSprint Backlog'!$F61 / MAX(1, 'ProductSprint Backlog'!$J61-'ProductSprint Backlog'!$I61), AND('ProductSprint Backlog'!$J61=G$2,'ProductSprint Backlog'!$I61=G$2), 'ProductSprint Backlog'!$F61, TRUE, 0)</f>
        <v>0</v>
      </c>
      <c r="H61" s="4" cm="1">
        <f t="array" ref="H61">_xlfn.IFS('ProductSprint Backlog'!$F61="", "", AND('ProductSprint Backlog'!$J61&gt;H$2,'ProductSprint Backlog'!$I61&lt;=H$2), 'ProductSprint Backlog'!$F61 / MAX(1, 'ProductSprint Backlog'!$J61-'ProductSprint Backlog'!$I61), AND('ProductSprint Backlog'!$J61=H$2,'ProductSprint Backlog'!$I61=H$2), 'ProductSprint Backlog'!$F61, TRUE, 0)</f>
        <v>0</v>
      </c>
      <c r="I61" s="4" cm="1">
        <f t="array" ref="I61">_xlfn.IFS('ProductSprint Backlog'!$F61="", "", AND('ProductSprint Backlog'!$J61&gt;I$2,'ProductSprint Backlog'!$I61&lt;=I$2), 'ProductSprint Backlog'!$F61 / MAX(1, 'ProductSprint Backlog'!$J61-'ProductSprint Backlog'!$I61), AND('ProductSprint Backlog'!$J61=I$2,'ProductSprint Backlog'!$I61=I$2), 'ProductSprint Backlog'!$F61, TRUE, 0)</f>
        <v>0</v>
      </c>
      <c r="J61" s="4" cm="1">
        <f t="array" ref="J61">_xlfn.IFS('ProductSprint Backlog'!$F61="", "", AND('ProductSprint Backlog'!$J61&gt;J$2,'ProductSprint Backlog'!$I61&lt;=J$2), 'ProductSprint Backlog'!$F61 / MAX(1, 'ProductSprint Backlog'!$J61-'ProductSprint Backlog'!$I61), AND('ProductSprint Backlog'!$J61=J$2,'ProductSprint Backlog'!$I61=J$2), 'ProductSprint Backlog'!$F61, TRUE, 0)</f>
        <v>0</v>
      </c>
      <c r="K61" s="4" cm="1">
        <f t="array" ref="K61">_xlfn.IFS('ProductSprint Backlog'!$F61="", "", AND('ProductSprint Backlog'!$J61&gt;K$2,'ProductSprint Backlog'!$I61&lt;=K$2), 'ProductSprint Backlog'!$F61 / MAX(1, 'ProductSprint Backlog'!$J61-'ProductSprint Backlog'!$I61), AND('ProductSprint Backlog'!$J61=K$2,'ProductSprint Backlog'!$I61=K$2), 'ProductSprint Backlog'!$F61, TRUE, 0)</f>
        <v>0</v>
      </c>
      <c r="L61" s="4" cm="1">
        <f t="array" ref="L61">_xlfn.IFS('ProductSprint Backlog'!$F61="", "", AND('ProductSprint Backlog'!$J61&gt;L$2,'ProductSprint Backlog'!$I61&lt;=L$2), 'ProductSprint Backlog'!$F61 / MAX(1, 'ProductSprint Backlog'!$J61-'ProductSprint Backlog'!$I61), AND('ProductSprint Backlog'!$J61=L$2,'ProductSprint Backlog'!$I61=L$2), 'ProductSprint Backlog'!$F61, TRUE, 0)</f>
        <v>0</v>
      </c>
      <c r="M61" s="4" cm="1">
        <f t="array" ref="M61">_xlfn.IFS('ProductSprint Backlog'!$F61="", "", AND('ProductSprint Backlog'!$J61&gt;M$2,'ProductSprint Backlog'!$I61&lt;=M$2), 'ProductSprint Backlog'!$F61 / MAX(1, 'ProductSprint Backlog'!$J61-'ProductSprint Backlog'!$I61), AND('ProductSprint Backlog'!$J61=M$2,'ProductSprint Backlog'!$I61=M$2), 'ProductSprint Backlog'!$F61, TRUE, 0)</f>
        <v>0</v>
      </c>
      <c r="N61" s="4" cm="1">
        <f t="array" ref="N61">_xlfn.IFS('ProductSprint Backlog'!$F61="", "", AND('ProductSprint Backlog'!$J61&gt;N$2,'ProductSprint Backlog'!$I61&lt;=N$2), 'ProductSprint Backlog'!$F61 / MAX(1, 'ProductSprint Backlog'!$J61-'ProductSprint Backlog'!$I61), AND('ProductSprint Backlog'!$J61=N$2,'ProductSprint Backlog'!$I61=N$2), 'ProductSprint Backlog'!$F61, TRUE, 0)</f>
        <v>0</v>
      </c>
      <c r="O61" s="4" cm="1">
        <f t="array" ref="O61">_xlfn.IFS('ProductSprint Backlog'!$F61="", "", AND('ProductSprint Backlog'!$J61&gt;O$2,'ProductSprint Backlog'!$I61&lt;=O$2), 'ProductSprint Backlog'!$F61 / MAX(1, 'ProductSprint Backlog'!$J61-'ProductSprint Backlog'!$I61), AND('ProductSprint Backlog'!$J61=O$2,'ProductSprint Backlog'!$I61=O$2), 'ProductSprint Backlog'!$F61, TRUE, 0)</f>
        <v>0</v>
      </c>
      <c r="P61" s="4" cm="1">
        <f t="array" ref="P61">_xlfn.IFS('ProductSprint Backlog'!$F61="", "", AND('ProductSprint Backlog'!$J61&gt;P$2,'ProductSprint Backlog'!$I61&lt;=P$2), 'ProductSprint Backlog'!$F61 / MAX(1, 'ProductSprint Backlog'!$J61-'ProductSprint Backlog'!$I61), AND('ProductSprint Backlog'!$J61=P$2,'ProductSprint Backlog'!$I61=P$2), 'ProductSprint Backlog'!$F61, TRUE, 0)</f>
        <v>0</v>
      </c>
      <c r="Q61" s="4" cm="1">
        <f t="array" ref="Q61">_xlfn.IFS('ProductSprint Backlog'!$F61="", "", AND('ProductSprint Backlog'!$J61&gt;Q$2,'ProductSprint Backlog'!$I61&lt;=Q$2), 'ProductSprint Backlog'!$F61 / MAX(1, 'ProductSprint Backlog'!$J61-'ProductSprint Backlog'!$I61), AND('ProductSprint Backlog'!$J61=Q$2,'ProductSprint Backlog'!$I61=Q$2), 'ProductSprint Backlog'!$F61, TRUE, 0)</f>
        <v>0</v>
      </c>
    </row>
    <row r="62" spans="2:17" x14ac:dyDescent="0.2">
      <c r="B62" s="4" cm="1">
        <f t="array" ref="B62">_xlfn.IFS('ProductSprint Backlog'!$F62="", "", AND('ProductSprint Backlog'!$J62&gt;B$2,'ProductSprint Backlog'!$I62&lt;=B$2), 'ProductSprint Backlog'!$F62 / MAX(1, 'ProductSprint Backlog'!$J62-'ProductSprint Backlog'!$I62), AND('ProductSprint Backlog'!$J62=B$2,'ProductSprint Backlog'!$I62=B$2), 'ProductSprint Backlog'!$F62, TRUE, 0)</f>
        <v>0</v>
      </c>
      <c r="C62" s="4" cm="1">
        <f t="array" ref="C62">_xlfn.IFS('ProductSprint Backlog'!$F62="", "", AND('ProductSprint Backlog'!$J62&gt;C$2,'ProductSprint Backlog'!$I62&lt;=C$2), 'ProductSprint Backlog'!$F62 / MAX(1, 'ProductSprint Backlog'!$J62-'ProductSprint Backlog'!$I62), AND('ProductSprint Backlog'!$J62=C$2,'ProductSprint Backlog'!$I62=C$2), 'ProductSprint Backlog'!$F62, TRUE, 0)</f>
        <v>0</v>
      </c>
      <c r="D62" s="4" cm="1">
        <f t="array" ref="D62">_xlfn.IFS('ProductSprint Backlog'!$F62="", "", AND('ProductSprint Backlog'!$J62&gt;D$2,'ProductSprint Backlog'!$I62&lt;=D$2), 'ProductSprint Backlog'!$F62 / MAX(1, 'ProductSprint Backlog'!$J62-'ProductSprint Backlog'!$I62), AND('ProductSprint Backlog'!$J62=D$2,'ProductSprint Backlog'!$I62=D$2), 'ProductSprint Backlog'!$F62, TRUE, 0)</f>
        <v>0</v>
      </c>
      <c r="E62" s="4" cm="1">
        <f t="array" ref="E62">_xlfn.IFS('ProductSprint Backlog'!$F62="", "", AND('ProductSprint Backlog'!$J62&gt;E$2,'ProductSprint Backlog'!$I62&lt;=E$2), 'ProductSprint Backlog'!$F62 / MAX(1, 'ProductSprint Backlog'!$J62-'ProductSprint Backlog'!$I62), AND('ProductSprint Backlog'!$J62=E$2,'ProductSprint Backlog'!$I62=E$2), 'ProductSprint Backlog'!$F62, TRUE, 0)</f>
        <v>0</v>
      </c>
      <c r="F62" s="4" cm="1">
        <f t="array" ref="F62">_xlfn.IFS('ProductSprint Backlog'!$F62="", "", AND('ProductSprint Backlog'!$J62&gt;F$2,'ProductSprint Backlog'!$I62&lt;=F$2), 'ProductSprint Backlog'!$F62 / MAX(1, 'ProductSprint Backlog'!$J62-'ProductSprint Backlog'!$I62), AND('ProductSprint Backlog'!$J62=F$2,'ProductSprint Backlog'!$I62=F$2), 'ProductSprint Backlog'!$F62, TRUE, 0)</f>
        <v>0</v>
      </c>
      <c r="G62" s="4" cm="1">
        <f t="array" ref="G62">_xlfn.IFS('ProductSprint Backlog'!$F62="", "", AND('ProductSprint Backlog'!$J62&gt;G$2,'ProductSprint Backlog'!$I62&lt;=G$2), 'ProductSprint Backlog'!$F62 / MAX(1, 'ProductSprint Backlog'!$J62-'ProductSprint Backlog'!$I62), AND('ProductSprint Backlog'!$J62=G$2,'ProductSprint Backlog'!$I62=G$2), 'ProductSprint Backlog'!$F62, TRUE, 0)</f>
        <v>0</v>
      </c>
      <c r="H62" s="4" cm="1">
        <f t="array" ref="H62">_xlfn.IFS('ProductSprint Backlog'!$F62="", "", AND('ProductSprint Backlog'!$J62&gt;H$2,'ProductSprint Backlog'!$I62&lt;=H$2), 'ProductSprint Backlog'!$F62 / MAX(1, 'ProductSprint Backlog'!$J62-'ProductSprint Backlog'!$I62), AND('ProductSprint Backlog'!$J62=H$2,'ProductSprint Backlog'!$I62=H$2), 'ProductSprint Backlog'!$F62, TRUE, 0)</f>
        <v>0</v>
      </c>
      <c r="I62" s="4" cm="1">
        <f t="array" ref="I62">_xlfn.IFS('ProductSprint Backlog'!$F62="", "", AND('ProductSprint Backlog'!$J62&gt;I$2,'ProductSprint Backlog'!$I62&lt;=I$2), 'ProductSprint Backlog'!$F62 / MAX(1, 'ProductSprint Backlog'!$J62-'ProductSprint Backlog'!$I62), AND('ProductSprint Backlog'!$J62=I$2,'ProductSprint Backlog'!$I62=I$2), 'ProductSprint Backlog'!$F62, TRUE, 0)</f>
        <v>0</v>
      </c>
      <c r="J62" s="4" cm="1">
        <f t="array" ref="J62">_xlfn.IFS('ProductSprint Backlog'!$F62="", "", AND('ProductSprint Backlog'!$J62&gt;J$2,'ProductSprint Backlog'!$I62&lt;=J$2), 'ProductSprint Backlog'!$F62 / MAX(1, 'ProductSprint Backlog'!$J62-'ProductSprint Backlog'!$I62), AND('ProductSprint Backlog'!$J62=J$2,'ProductSprint Backlog'!$I62=J$2), 'ProductSprint Backlog'!$F62, TRUE, 0)</f>
        <v>0</v>
      </c>
      <c r="K62" s="4" cm="1">
        <f t="array" ref="K62">_xlfn.IFS('ProductSprint Backlog'!$F62="", "", AND('ProductSprint Backlog'!$J62&gt;K$2,'ProductSprint Backlog'!$I62&lt;=K$2), 'ProductSprint Backlog'!$F62 / MAX(1, 'ProductSprint Backlog'!$J62-'ProductSprint Backlog'!$I62), AND('ProductSprint Backlog'!$J62=K$2,'ProductSprint Backlog'!$I62=K$2), 'ProductSprint Backlog'!$F62, TRUE, 0)</f>
        <v>0</v>
      </c>
      <c r="L62" s="4" cm="1">
        <f t="array" ref="L62">_xlfn.IFS('ProductSprint Backlog'!$F62="", "", AND('ProductSprint Backlog'!$J62&gt;L$2,'ProductSprint Backlog'!$I62&lt;=L$2), 'ProductSprint Backlog'!$F62 / MAX(1, 'ProductSprint Backlog'!$J62-'ProductSprint Backlog'!$I62), AND('ProductSprint Backlog'!$J62=L$2,'ProductSprint Backlog'!$I62=L$2), 'ProductSprint Backlog'!$F62, TRUE, 0)</f>
        <v>0</v>
      </c>
      <c r="M62" s="4" cm="1">
        <f t="array" ref="M62">_xlfn.IFS('ProductSprint Backlog'!$F62="", "", AND('ProductSprint Backlog'!$J62&gt;M$2,'ProductSprint Backlog'!$I62&lt;=M$2), 'ProductSprint Backlog'!$F62 / MAX(1, 'ProductSprint Backlog'!$J62-'ProductSprint Backlog'!$I62), AND('ProductSprint Backlog'!$J62=M$2,'ProductSprint Backlog'!$I62=M$2), 'ProductSprint Backlog'!$F62, TRUE, 0)</f>
        <v>0</v>
      </c>
      <c r="N62" s="4" cm="1">
        <f t="array" ref="N62">_xlfn.IFS('ProductSprint Backlog'!$F62="", "", AND('ProductSprint Backlog'!$J62&gt;N$2,'ProductSprint Backlog'!$I62&lt;=N$2), 'ProductSprint Backlog'!$F62 / MAX(1, 'ProductSprint Backlog'!$J62-'ProductSprint Backlog'!$I62), AND('ProductSprint Backlog'!$J62=N$2,'ProductSprint Backlog'!$I62=N$2), 'ProductSprint Backlog'!$F62, TRUE, 0)</f>
        <v>0</v>
      </c>
      <c r="O62" s="4" cm="1">
        <f t="array" ref="O62">_xlfn.IFS('ProductSprint Backlog'!$F62="", "", AND('ProductSprint Backlog'!$J62&gt;O$2,'ProductSprint Backlog'!$I62&lt;=O$2), 'ProductSprint Backlog'!$F62 / MAX(1, 'ProductSprint Backlog'!$J62-'ProductSprint Backlog'!$I62), AND('ProductSprint Backlog'!$J62=O$2,'ProductSprint Backlog'!$I62=O$2), 'ProductSprint Backlog'!$F62, TRUE, 0)</f>
        <v>0</v>
      </c>
      <c r="P62" s="4" cm="1">
        <f t="array" ref="P62">_xlfn.IFS('ProductSprint Backlog'!$F62="", "", AND('ProductSprint Backlog'!$J62&gt;P$2,'ProductSprint Backlog'!$I62&lt;=P$2), 'ProductSprint Backlog'!$F62 / MAX(1, 'ProductSprint Backlog'!$J62-'ProductSprint Backlog'!$I62), AND('ProductSprint Backlog'!$J62=P$2,'ProductSprint Backlog'!$I62=P$2), 'ProductSprint Backlog'!$F62, TRUE, 0)</f>
        <v>0</v>
      </c>
      <c r="Q62" s="4" cm="1">
        <f t="array" ref="Q62">_xlfn.IFS('ProductSprint Backlog'!$F62="", "", AND('ProductSprint Backlog'!$J62&gt;Q$2,'ProductSprint Backlog'!$I62&lt;=Q$2), 'ProductSprint Backlog'!$F62 / MAX(1, 'ProductSprint Backlog'!$J62-'ProductSprint Backlog'!$I62), AND('ProductSprint Backlog'!$J62=Q$2,'ProductSprint Backlog'!$I62=Q$2), 'ProductSprint Backlog'!$F62, TRUE, 0)</f>
        <v>0</v>
      </c>
    </row>
    <row r="63" spans="2:17" x14ac:dyDescent="0.2">
      <c r="B63" s="4" cm="1">
        <f t="array" ref="B63">_xlfn.IFS('ProductSprint Backlog'!$F63="", "", AND('ProductSprint Backlog'!$J63&gt;B$2,'ProductSprint Backlog'!$I63&lt;=B$2), 'ProductSprint Backlog'!$F63 / MAX(1, 'ProductSprint Backlog'!$J63-'ProductSprint Backlog'!$I63), AND('ProductSprint Backlog'!$J63=B$2,'ProductSprint Backlog'!$I63=B$2), 'ProductSprint Backlog'!$F63, TRUE, 0)</f>
        <v>0</v>
      </c>
      <c r="C63" s="4" cm="1">
        <f t="array" ref="C63">_xlfn.IFS('ProductSprint Backlog'!$F63="", "", AND('ProductSprint Backlog'!$J63&gt;C$2,'ProductSprint Backlog'!$I63&lt;=C$2), 'ProductSprint Backlog'!$F63 / MAX(1, 'ProductSprint Backlog'!$J63-'ProductSprint Backlog'!$I63), AND('ProductSprint Backlog'!$J63=C$2,'ProductSprint Backlog'!$I63=C$2), 'ProductSprint Backlog'!$F63, TRUE, 0)</f>
        <v>0</v>
      </c>
      <c r="D63" s="4" cm="1">
        <f t="array" ref="D63">_xlfn.IFS('ProductSprint Backlog'!$F63="", "", AND('ProductSprint Backlog'!$J63&gt;D$2,'ProductSprint Backlog'!$I63&lt;=D$2), 'ProductSprint Backlog'!$F63 / MAX(1, 'ProductSprint Backlog'!$J63-'ProductSprint Backlog'!$I63), AND('ProductSprint Backlog'!$J63=D$2,'ProductSprint Backlog'!$I63=D$2), 'ProductSprint Backlog'!$F63, TRUE, 0)</f>
        <v>0</v>
      </c>
      <c r="E63" s="4" cm="1">
        <f t="array" ref="E63">_xlfn.IFS('ProductSprint Backlog'!$F63="", "", AND('ProductSprint Backlog'!$J63&gt;E$2,'ProductSprint Backlog'!$I63&lt;=E$2), 'ProductSprint Backlog'!$F63 / MAX(1, 'ProductSprint Backlog'!$J63-'ProductSprint Backlog'!$I63), AND('ProductSprint Backlog'!$J63=E$2,'ProductSprint Backlog'!$I63=E$2), 'ProductSprint Backlog'!$F63, TRUE, 0)</f>
        <v>0</v>
      </c>
      <c r="F63" s="4" cm="1">
        <f t="array" ref="F63">_xlfn.IFS('ProductSprint Backlog'!$F63="", "", AND('ProductSprint Backlog'!$J63&gt;F$2,'ProductSprint Backlog'!$I63&lt;=F$2), 'ProductSprint Backlog'!$F63 / MAX(1, 'ProductSprint Backlog'!$J63-'ProductSprint Backlog'!$I63), AND('ProductSprint Backlog'!$J63=F$2,'ProductSprint Backlog'!$I63=F$2), 'ProductSprint Backlog'!$F63, TRUE, 0)</f>
        <v>0</v>
      </c>
      <c r="G63" s="4" cm="1">
        <f t="array" ref="G63">_xlfn.IFS('ProductSprint Backlog'!$F63="", "", AND('ProductSprint Backlog'!$J63&gt;G$2,'ProductSprint Backlog'!$I63&lt;=G$2), 'ProductSprint Backlog'!$F63 / MAX(1, 'ProductSprint Backlog'!$J63-'ProductSprint Backlog'!$I63), AND('ProductSprint Backlog'!$J63=G$2,'ProductSprint Backlog'!$I63=G$2), 'ProductSprint Backlog'!$F63, TRUE, 0)</f>
        <v>0</v>
      </c>
      <c r="H63" s="4" cm="1">
        <f t="array" ref="H63">_xlfn.IFS('ProductSprint Backlog'!$F63="", "", AND('ProductSprint Backlog'!$J63&gt;H$2,'ProductSprint Backlog'!$I63&lt;=H$2), 'ProductSprint Backlog'!$F63 / MAX(1, 'ProductSprint Backlog'!$J63-'ProductSprint Backlog'!$I63), AND('ProductSprint Backlog'!$J63=H$2,'ProductSprint Backlog'!$I63=H$2), 'ProductSprint Backlog'!$F63, TRUE, 0)</f>
        <v>0</v>
      </c>
      <c r="I63" s="4" cm="1">
        <f t="array" ref="I63">_xlfn.IFS('ProductSprint Backlog'!$F63="", "", AND('ProductSprint Backlog'!$J63&gt;I$2,'ProductSprint Backlog'!$I63&lt;=I$2), 'ProductSprint Backlog'!$F63 / MAX(1, 'ProductSprint Backlog'!$J63-'ProductSprint Backlog'!$I63), AND('ProductSprint Backlog'!$J63=I$2,'ProductSprint Backlog'!$I63=I$2), 'ProductSprint Backlog'!$F63, TRUE, 0)</f>
        <v>0</v>
      </c>
      <c r="J63" s="4" cm="1">
        <f t="array" ref="J63">_xlfn.IFS('ProductSprint Backlog'!$F63="", "", AND('ProductSprint Backlog'!$J63&gt;J$2,'ProductSprint Backlog'!$I63&lt;=J$2), 'ProductSprint Backlog'!$F63 / MAX(1, 'ProductSprint Backlog'!$J63-'ProductSprint Backlog'!$I63), AND('ProductSprint Backlog'!$J63=J$2,'ProductSprint Backlog'!$I63=J$2), 'ProductSprint Backlog'!$F63, TRUE, 0)</f>
        <v>0</v>
      </c>
      <c r="K63" s="4" cm="1">
        <f t="array" ref="K63">_xlfn.IFS('ProductSprint Backlog'!$F63="", "", AND('ProductSprint Backlog'!$J63&gt;K$2,'ProductSprint Backlog'!$I63&lt;=K$2), 'ProductSprint Backlog'!$F63 / MAX(1, 'ProductSprint Backlog'!$J63-'ProductSprint Backlog'!$I63), AND('ProductSprint Backlog'!$J63=K$2,'ProductSprint Backlog'!$I63=K$2), 'ProductSprint Backlog'!$F63, TRUE, 0)</f>
        <v>0</v>
      </c>
      <c r="L63" s="4" cm="1">
        <f t="array" ref="L63">_xlfn.IFS('ProductSprint Backlog'!$F63="", "", AND('ProductSprint Backlog'!$J63&gt;L$2,'ProductSprint Backlog'!$I63&lt;=L$2), 'ProductSprint Backlog'!$F63 / MAX(1, 'ProductSprint Backlog'!$J63-'ProductSprint Backlog'!$I63), AND('ProductSprint Backlog'!$J63=L$2,'ProductSprint Backlog'!$I63=L$2), 'ProductSprint Backlog'!$F63, TRUE, 0)</f>
        <v>0</v>
      </c>
      <c r="M63" s="4" cm="1">
        <f t="array" ref="M63">_xlfn.IFS('ProductSprint Backlog'!$F63="", "", AND('ProductSprint Backlog'!$J63&gt;M$2,'ProductSprint Backlog'!$I63&lt;=M$2), 'ProductSprint Backlog'!$F63 / MAX(1, 'ProductSprint Backlog'!$J63-'ProductSprint Backlog'!$I63), AND('ProductSprint Backlog'!$J63=M$2,'ProductSprint Backlog'!$I63=M$2), 'ProductSprint Backlog'!$F63, TRUE, 0)</f>
        <v>0</v>
      </c>
      <c r="N63" s="4" cm="1">
        <f t="array" ref="N63">_xlfn.IFS('ProductSprint Backlog'!$F63="", "", AND('ProductSprint Backlog'!$J63&gt;N$2,'ProductSprint Backlog'!$I63&lt;=N$2), 'ProductSprint Backlog'!$F63 / MAX(1, 'ProductSprint Backlog'!$J63-'ProductSprint Backlog'!$I63), AND('ProductSprint Backlog'!$J63=N$2,'ProductSprint Backlog'!$I63=N$2), 'ProductSprint Backlog'!$F63, TRUE, 0)</f>
        <v>0</v>
      </c>
      <c r="O63" s="4" cm="1">
        <f t="array" ref="O63">_xlfn.IFS('ProductSprint Backlog'!$F63="", "", AND('ProductSprint Backlog'!$J63&gt;O$2,'ProductSprint Backlog'!$I63&lt;=O$2), 'ProductSprint Backlog'!$F63 / MAX(1, 'ProductSprint Backlog'!$J63-'ProductSprint Backlog'!$I63), AND('ProductSprint Backlog'!$J63=O$2,'ProductSprint Backlog'!$I63=O$2), 'ProductSprint Backlog'!$F63, TRUE, 0)</f>
        <v>0</v>
      </c>
      <c r="P63" s="4" cm="1">
        <f t="array" ref="P63">_xlfn.IFS('ProductSprint Backlog'!$F63="", "", AND('ProductSprint Backlog'!$J63&gt;P$2,'ProductSprint Backlog'!$I63&lt;=P$2), 'ProductSprint Backlog'!$F63 / MAX(1, 'ProductSprint Backlog'!$J63-'ProductSprint Backlog'!$I63), AND('ProductSprint Backlog'!$J63=P$2,'ProductSprint Backlog'!$I63=P$2), 'ProductSprint Backlog'!$F63, TRUE, 0)</f>
        <v>0</v>
      </c>
      <c r="Q63" s="4" cm="1">
        <f t="array" ref="Q63">_xlfn.IFS('ProductSprint Backlog'!$F63="", "", AND('ProductSprint Backlog'!$J63&gt;Q$2,'ProductSprint Backlog'!$I63&lt;=Q$2), 'ProductSprint Backlog'!$F63 / MAX(1, 'ProductSprint Backlog'!$J63-'ProductSprint Backlog'!$I63), AND('ProductSprint Backlog'!$J63=Q$2,'ProductSprint Backlog'!$I63=Q$2), 'ProductSprint Backlog'!$F63, TRUE, 0)</f>
        <v>0</v>
      </c>
    </row>
    <row r="64" spans="2:17" x14ac:dyDescent="0.2">
      <c r="B64" s="4" cm="1">
        <f t="array" ref="B64">_xlfn.IFS('ProductSprint Backlog'!$F64="", "", AND('ProductSprint Backlog'!$J64&gt;B$2,'ProductSprint Backlog'!$I64&lt;=B$2), 'ProductSprint Backlog'!$F64 / MAX(1, 'ProductSprint Backlog'!$J64-'ProductSprint Backlog'!$I64), AND('ProductSprint Backlog'!$J64=B$2,'ProductSprint Backlog'!$I64=B$2), 'ProductSprint Backlog'!$F64, TRUE, 0)</f>
        <v>0</v>
      </c>
      <c r="C64" s="4" cm="1">
        <f t="array" ref="C64">_xlfn.IFS('ProductSprint Backlog'!$F64="", "", AND('ProductSprint Backlog'!$J64&gt;C$2,'ProductSprint Backlog'!$I64&lt;=C$2), 'ProductSprint Backlog'!$F64 / MAX(1, 'ProductSprint Backlog'!$J64-'ProductSprint Backlog'!$I64), AND('ProductSprint Backlog'!$J64=C$2,'ProductSprint Backlog'!$I64=C$2), 'ProductSprint Backlog'!$F64, TRUE, 0)</f>
        <v>0</v>
      </c>
      <c r="D64" s="4" cm="1">
        <f t="array" ref="D64">_xlfn.IFS('ProductSprint Backlog'!$F64="", "", AND('ProductSprint Backlog'!$J64&gt;D$2,'ProductSprint Backlog'!$I64&lt;=D$2), 'ProductSprint Backlog'!$F64 / MAX(1, 'ProductSprint Backlog'!$J64-'ProductSprint Backlog'!$I64), AND('ProductSprint Backlog'!$J64=D$2,'ProductSprint Backlog'!$I64=D$2), 'ProductSprint Backlog'!$F64, TRUE, 0)</f>
        <v>0</v>
      </c>
      <c r="E64" s="4" cm="1">
        <f t="array" ref="E64">_xlfn.IFS('ProductSprint Backlog'!$F64="", "", AND('ProductSprint Backlog'!$J64&gt;E$2,'ProductSprint Backlog'!$I64&lt;=E$2), 'ProductSprint Backlog'!$F64 / MAX(1, 'ProductSprint Backlog'!$J64-'ProductSprint Backlog'!$I64), AND('ProductSprint Backlog'!$J64=E$2,'ProductSprint Backlog'!$I64=E$2), 'ProductSprint Backlog'!$F64, TRUE, 0)</f>
        <v>0</v>
      </c>
      <c r="F64" s="4" cm="1">
        <f t="array" ref="F64">_xlfn.IFS('ProductSprint Backlog'!$F64="", "", AND('ProductSprint Backlog'!$J64&gt;F$2,'ProductSprint Backlog'!$I64&lt;=F$2), 'ProductSprint Backlog'!$F64 / MAX(1, 'ProductSprint Backlog'!$J64-'ProductSprint Backlog'!$I64), AND('ProductSprint Backlog'!$J64=F$2,'ProductSprint Backlog'!$I64=F$2), 'ProductSprint Backlog'!$F64, TRUE, 0)</f>
        <v>0</v>
      </c>
      <c r="G64" s="4" cm="1">
        <f t="array" ref="G64">_xlfn.IFS('ProductSprint Backlog'!$F64="", "", AND('ProductSprint Backlog'!$J64&gt;G$2,'ProductSprint Backlog'!$I64&lt;=G$2), 'ProductSprint Backlog'!$F64 / MAX(1, 'ProductSprint Backlog'!$J64-'ProductSprint Backlog'!$I64), AND('ProductSprint Backlog'!$J64=G$2,'ProductSprint Backlog'!$I64=G$2), 'ProductSprint Backlog'!$F64, TRUE, 0)</f>
        <v>0</v>
      </c>
      <c r="H64" s="4" cm="1">
        <f t="array" ref="H64">_xlfn.IFS('ProductSprint Backlog'!$F64="", "", AND('ProductSprint Backlog'!$J64&gt;H$2,'ProductSprint Backlog'!$I64&lt;=H$2), 'ProductSprint Backlog'!$F64 / MAX(1, 'ProductSprint Backlog'!$J64-'ProductSprint Backlog'!$I64), AND('ProductSprint Backlog'!$J64=H$2,'ProductSprint Backlog'!$I64=H$2), 'ProductSprint Backlog'!$F64, TRUE, 0)</f>
        <v>0</v>
      </c>
      <c r="I64" s="4" cm="1">
        <f t="array" ref="I64">_xlfn.IFS('ProductSprint Backlog'!$F64="", "", AND('ProductSprint Backlog'!$J64&gt;I$2,'ProductSprint Backlog'!$I64&lt;=I$2), 'ProductSprint Backlog'!$F64 / MAX(1, 'ProductSprint Backlog'!$J64-'ProductSprint Backlog'!$I64), AND('ProductSprint Backlog'!$J64=I$2,'ProductSprint Backlog'!$I64=I$2), 'ProductSprint Backlog'!$F64, TRUE, 0)</f>
        <v>0</v>
      </c>
      <c r="J64" s="4" cm="1">
        <f t="array" ref="J64">_xlfn.IFS('ProductSprint Backlog'!$F64="", "", AND('ProductSprint Backlog'!$J64&gt;J$2,'ProductSprint Backlog'!$I64&lt;=J$2), 'ProductSprint Backlog'!$F64 / MAX(1, 'ProductSprint Backlog'!$J64-'ProductSprint Backlog'!$I64), AND('ProductSprint Backlog'!$J64=J$2,'ProductSprint Backlog'!$I64=J$2), 'ProductSprint Backlog'!$F64, TRUE, 0)</f>
        <v>0</v>
      </c>
      <c r="K64" s="4" cm="1">
        <f t="array" ref="K64">_xlfn.IFS('ProductSprint Backlog'!$F64="", "", AND('ProductSprint Backlog'!$J64&gt;K$2,'ProductSprint Backlog'!$I64&lt;=K$2), 'ProductSprint Backlog'!$F64 / MAX(1, 'ProductSprint Backlog'!$J64-'ProductSprint Backlog'!$I64), AND('ProductSprint Backlog'!$J64=K$2,'ProductSprint Backlog'!$I64=K$2), 'ProductSprint Backlog'!$F64, TRUE, 0)</f>
        <v>0</v>
      </c>
      <c r="L64" s="4" cm="1">
        <f t="array" ref="L64">_xlfn.IFS('ProductSprint Backlog'!$F64="", "", AND('ProductSprint Backlog'!$J64&gt;L$2,'ProductSprint Backlog'!$I64&lt;=L$2), 'ProductSprint Backlog'!$F64 / MAX(1, 'ProductSprint Backlog'!$J64-'ProductSprint Backlog'!$I64), AND('ProductSprint Backlog'!$J64=L$2,'ProductSprint Backlog'!$I64=L$2), 'ProductSprint Backlog'!$F64, TRUE, 0)</f>
        <v>0</v>
      </c>
      <c r="M64" s="4" cm="1">
        <f t="array" ref="M64">_xlfn.IFS('ProductSprint Backlog'!$F64="", "", AND('ProductSprint Backlog'!$J64&gt;M$2,'ProductSprint Backlog'!$I64&lt;=M$2), 'ProductSprint Backlog'!$F64 / MAX(1, 'ProductSprint Backlog'!$J64-'ProductSprint Backlog'!$I64), AND('ProductSprint Backlog'!$J64=M$2,'ProductSprint Backlog'!$I64=M$2), 'ProductSprint Backlog'!$F64, TRUE, 0)</f>
        <v>0</v>
      </c>
      <c r="N64" s="4" cm="1">
        <f t="array" ref="N64">_xlfn.IFS('ProductSprint Backlog'!$F64="", "", AND('ProductSprint Backlog'!$J64&gt;N$2,'ProductSprint Backlog'!$I64&lt;=N$2), 'ProductSprint Backlog'!$F64 / MAX(1, 'ProductSprint Backlog'!$J64-'ProductSprint Backlog'!$I64), AND('ProductSprint Backlog'!$J64=N$2,'ProductSprint Backlog'!$I64=N$2), 'ProductSprint Backlog'!$F64, TRUE, 0)</f>
        <v>0</v>
      </c>
      <c r="O64" s="4" cm="1">
        <f t="array" ref="O64">_xlfn.IFS('ProductSprint Backlog'!$F64="", "", AND('ProductSprint Backlog'!$J64&gt;O$2,'ProductSprint Backlog'!$I64&lt;=O$2), 'ProductSprint Backlog'!$F64 / MAX(1, 'ProductSprint Backlog'!$J64-'ProductSprint Backlog'!$I64), AND('ProductSprint Backlog'!$J64=O$2,'ProductSprint Backlog'!$I64=O$2), 'ProductSprint Backlog'!$F64, TRUE, 0)</f>
        <v>0</v>
      </c>
      <c r="P64" s="4" cm="1">
        <f t="array" ref="P64">_xlfn.IFS('ProductSprint Backlog'!$F64="", "", AND('ProductSprint Backlog'!$J64&gt;P$2,'ProductSprint Backlog'!$I64&lt;=P$2), 'ProductSprint Backlog'!$F64 / MAX(1, 'ProductSprint Backlog'!$J64-'ProductSprint Backlog'!$I64), AND('ProductSprint Backlog'!$J64=P$2,'ProductSprint Backlog'!$I64=P$2), 'ProductSprint Backlog'!$F64, TRUE, 0)</f>
        <v>0</v>
      </c>
      <c r="Q64" s="4" cm="1">
        <f t="array" ref="Q64">_xlfn.IFS('ProductSprint Backlog'!$F64="", "", AND('ProductSprint Backlog'!$J64&gt;Q$2,'ProductSprint Backlog'!$I64&lt;=Q$2), 'ProductSprint Backlog'!$F64 / MAX(1, 'ProductSprint Backlog'!$J64-'ProductSprint Backlog'!$I64), AND('ProductSprint Backlog'!$J64=Q$2,'ProductSprint Backlog'!$I64=Q$2), 'ProductSprint Backlog'!$F64, TRUE, 0)</f>
        <v>0</v>
      </c>
    </row>
    <row r="65" spans="2:17" x14ac:dyDescent="0.2">
      <c r="B65" s="4" cm="1">
        <f t="array" ref="B65">_xlfn.IFS('ProductSprint Backlog'!$F65="", "", AND('ProductSprint Backlog'!$J65&gt;B$2,'ProductSprint Backlog'!$I65&lt;=B$2), 'ProductSprint Backlog'!$F65 / MAX(1, 'ProductSprint Backlog'!$J65-'ProductSprint Backlog'!$I65), AND('ProductSprint Backlog'!$J65=B$2,'ProductSprint Backlog'!$I65=B$2), 'ProductSprint Backlog'!$F65, TRUE, 0)</f>
        <v>0</v>
      </c>
      <c r="C65" s="4" cm="1">
        <f t="array" ref="C65">_xlfn.IFS('ProductSprint Backlog'!$F65="", "", AND('ProductSprint Backlog'!$J65&gt;C$2,'ProductSprint Backlog'!$I65&lt;=C$2), 'ProductSprint Backlog'!$F65 / MAX(1, 'ProductSprint Backlog'!$J65-'ProductSprint Backlog'!$I65), AND('ProductSprint Backlog'!$J65=C$2,'ProductSprint Backlog'!$I65=C$2), 'ProductSprint Backlog'!$F65, TRUE, 0)</f>
        <v>0</v>
      </c>
      <c r="D65" s="4" cm="1">
        <f t="array" ref="D65">_xlfn.IFS('ProductSprint Backlog'!$F65="", "", AND('ProductSprint Backlog'!$J65&gt;D$2,'ProductSprint Backlog'!$I65&lt;=D$2), 'ProductSprint Backlog'!$F65 / MAX(1, 'ProductSprint Backlog'!$J65-'ProductSprint Backlog'!$I65), AND('ProductSprint Backlog'!$J65=D$2,'ProductSprint Backlog'!$I65=D$2), 'ProductSprint Backlog'!$F65, TRUE, 0)</f>
        <v>0</v>
      </c>
      <c r="E65" s="4" cm="1">
        <f t="array" ref="E65">_xlfn.IFS('ProductSprint Backlog'!$F65="", "", AND('ProductSprint Backlog'!$J65&gt;E$2,'ProductSprint Backlog'!$I65&lt;=E$2), 'ProductSprint Backlog'!$F65 / MAX(1, 'ProductSprint Backlog'!$J65-'ProductSprint Backlog'!$I65), AND('ProductSprint Backlog'!$J65=E$2,'ProductSprint Backlog'!$I65=E$2), 'ProductSprint Backlog'!$F65, TRUE, 0)</f>
        <v>0</v>
      </c>
      <c r="F65" s="4" cm="1">
        <f t="array" ref="F65">_xlfn.IFS('ProductSprint Backlog'!$F65="", "", AND('ProductSprint Backlog'!$J65&gt;F$2,'ProductSprint Backlog'!$I65&lt;=F$2), 'ProductSprint Backlog'!$F65 / MAX(1, 'ProductSprint Backlog'!$J65-'ProductSprint Backlog'!$I65), AND('ProductSprint Backlog'!$J65=F$2,'ProductSprint Backlog'!$I65=F$2), 'ProductSprint Backlog'!$F65, TRUE, 0)</f>
        <v>0</v>
      </c>
      <c r="G65" s="4" cm="1">
        <f t="array" ref="G65">_xlfn.IFS('ProductSprint Backlog'!$F65="", "", AND('ProductSprint Backlog'!$J65&gt;G$2,'ProductSprint Backlog'!$I65&lt;=G$2), 'ProductSprint Backlog'!$F65 / MAX(1, 'ProductSprint Backlog'!$J65-'ProductSprint Backlog'!$I65), AND('ProductSprint Backlog'!$J65=G$2,'ProductSprint Backlog'!$I65=G$2), 'ProductSprint Backlog'!$F65, TRUE, 0)</f>
        <v>0</v>
      </c>
      <c r="H65" s="4" cm="1">
        <f t="array" ref="H65">_xlfn.IFS('ProductSprint Backlog'!$F65="", "", AND('ProductSprint Backlog'!$J65&gt;H$2,'ProductSprint Backlog'!$I65&lt;=H$2), 'ProductSprint Backlog'!$F65 / MAX(1, 'ProductSprint Backlog'!$J65-'ProductSprint Backlog'!$I65), AND('ProductSprint Backlog'!$J65=H$2,'ProductSprint Backlog'!$I65=H$2), 'ProductSprint Backlog'!$F65, TRUE, 0)</f>
        <v>0</v>
      </c>
      <c r="I65" s="4" cm="1">
        <f t="array" ref="I65">_xlfn.IFS('ProductSprint Backlog'!$F65="", "", AND('ProductSprint Backlog'!$J65&gt;I$2,'ProductSprint Backlog'!$I65&lt;=I$2), 'ProductSprint Backlog'!$F65 / MAX(1, 'ProductSprint Backlog'!$J65-'ProductSprint Backlog'!$I65), AND('ProductSprint Backlog'!$J65=I$2,'ProductSprint Backlog'!$I65=I$2), 'ProductSprint Backlog'!$F65, TRUE, 0)</f>
        <v>0</v>
      </c>
      <c r="J65" s="4" cm="1">
        <f t="array" ref="J65">_xlfn.IFS('ProductSprint Backlog'!$F65="", "", AND('ProductSprint Backlog'!$J65&gt;J$2,'ProductSprint Backlog'!$I65&lt;=J$2), 'ProductSprint Backlog'!$F65 / MAX(1, 'ProductSprint Backlog'!$J65-'ProductSprint Backlog'!$I65), AND('ProductSprint Backlog'!$J65=J$2,'ProductSprint Backlog'!$I65=J$2), 'ProductSprint Backlog'!$F65, TRUE, 0)</f>
        <v>0</v>
      </c>
      <c r="K65" s="4" cm="1">
        <f t="array" ref="K65">_xlfn.IFS('ProductSprint Backlog'!$F65="", "", AND('ProductSprint Backlog'!$J65&gt;K$2,'ProductSprint Backlog'!$I65&lt;=K$2), 'ProductSprint Backlog'!$F65 / MAX(1, 'ProductSprint Backlog'!$J65-'ProductSprint Backlog'!$I65), AND('ProductSprint Backlog'!$J65=K$2,'ProductSprint Backlog'!$I65=K$2), 'ProductSprint Backlog'!$F65, TRUE, 0)</f>
        <v>0</v>
      </c>
      <c r="L65" s="4" cm="1">
        <f t="array" ref="L65">_xlfn.IFS('ProductSprint Backlog'!$F65="", "", AND('ProductSprint Backlog'!$J65&gt;L$2,'ProductSprint Backlog'!$I65&lt;=L$2), 'ProductSprint Backlog'!$F65 / MAX(1, 'ProductSprint Backlog'!$J65-'ProductSprint Backlog'!$I65), AND('ProductSprint Backlog'!$J65=L$2,'ProductSprint Backlog'!$I65=L$2), 'ProductSprint Backlog'!$F65, TRUE, 0)</f>
        <v>0</v>
      </c>
      <c r="M65" s="4" cm="1">
        <f t="array" ref="M65">_xlfn.IFS('ProductSprint Backlog'!$F65="", "", AND('ProductSprint Backlog'!$J65&gt;M$2,'ProductSprint Backlog'!$I65&lt;=M$2), 'ProductSprint Backlog'!$F65 / MAX(1, 'ProductSprint Backlog'!$J65-'ProductSprint Backlog'!$I65), AND('ProductSprint Backlog'!$J65=M$2,'ProductSprint Backlog'!$I65=M$2), 'ProductSprint Backlog'!$F65, TRUE, 0)</f>
        <v>0</v>
      </c>
      <c r="N65" s="4" cm="1">
        <f t="array" ref="N65">_xlfn.IFS('ProductSprint Backlog'!$F65="", "", AND('ProductSprint Backlog'!$J65&gt;N$2,'ProductSprint Backlog'!$I65&lt;=N$2), 'ProductSprint Backlog'!$F65 / MAX(1, 'ProductSprint Backlog'!$J65-'ProductSprint Backlog'!$I65), AND('ProductSprint Backlog'!$J65=N$2,'ProductSprint Backlog'!$I65=N$2), 'ProductSprint Backlog'!$F65, TRUE, 0)</f>
        <v>0</v>
      </c>
      <c r="O65" s="4" cm="1">
        <f t="array" ref="O65">_xlfn.IFS('ProductSprint Backlog'!$F65="", "", AND('ProductSprint Backlog'!$J65&gt;O$2,'ProductSprint Backlog'!$I65&lt;=O$2), 'ProductSprint Backlog'!$F65 / MAX(1, 'ProductSprint Backlog'!$J65-'ProductSprint Backlog'!$I65), AND('ProductSprint Backlog'!$J65=O$2,'ProductSprint Backlog'!$I65=O$2), 'ProductSprint Backlog'!$F65, TRUE, 0)</f>
        <v>0</v>
      </c>
      <c r="P65" s="4" cm="1">
        <f t="array" ref="P65">_xlfn.IFS('ProductSprint Backlog'!$F65="", "", AND('ProductSprint Backlog'!$J65&gt;P$2,'ProductSprint Backlog'!$I65&lt;=P$2), 'ProductSprint Backlog'!$F65 / MAX(1, 'ProductSprint Backlog'!$J65-'ProductSprint Backlog'!$I65), AND('ProductSprint Backlog'!$J65=P$2,'ProductSprint Backlog'!$I65=P$2), 'ProductSprint Backlog'!$F65, TRUE, 0)</f>
        <v>0</v>
      </c>
      <c r="Q65" s="4" cm="1">
        <f t="array" ref="Q65">_xlfn.IFS('ProductSprint Backlog'!$F65="", "", AND('ProductSprint Backlog'!$J65&gt;Q$2,'ProductSprint Backlog'!$I65&lt;=Q$2), 'ProductSprint Backlog'!$F65 / MAX(1, 'ProductSprint Backlog'!$J65-'ProductSprint Backlog'!$I65), AND('ProductSprint Backlog'!$J65=Q$2,'ProductSprint Backlog'!$I65=Q$2), 'ProductSprint Backlog'!$F65, TRUE, 0)</f>
        <v>0</v>
      </c>
    </row>
    <row r="66" spans="2:17" x14ac:dyDescent="0.2">
      <c r="B66" s="4" t="str" cm="1">
        <f t="array" ref="B66">_xlfn.IFS('ProductSprint Backlog'!$F66="", "", AND('ProductSprint Backlog'!$J66&gt;B$2,'ProductSprint Backlog'!$I66&lt;=B$2), 'ProductSprint Backlog'!$F66 / MAX(1, 'ProductSprint Backlog'!$J66-'ProductSprint Backlog'!$I66), AND('ProductSprint Backlog'!$J66=B$2,'ProductSprint Backlog'!$I66=B$2), 'ProductSprint Backlog'!$F66, TRUE, 0)</f>
        <v/>
      </c>
      <c r="C66" s="4" t="str" cm="1">
        <f t="array" ref="C66">_xlfn.IFS('ProductSprint Backlog'!$F66="", "", AND('ProductSprint Backlog'!$J66&gt;C$2,'ProductSprint Backlog'!$I66&lt;=C$2), 'ProductSprint Backlog'!$F66 / MAX(1, 'ProductSprint Backlog'!$J66-'ProductSprint Backlog'!$I66), AND('ProductSprint Backlog'!$J66=C$2,'ProductSprint Backlog'!$I66=C$2), 'ProductSprint Backlog'!$F66, TRUE, 0)</f>
        <v/>
      </c>
      <c r="D66" s="4" t="str" cm="1">
        <f t="array" ref="D66">_xlfn.IFS('ProductSprint Backlog'!$F66="", "", AND('ProductSprint Backlog'!$J66&gt;D$2,'ProductSprint Backlog'!$I66&lt;=D$2), 'ProductSprint Backlog'!$F66 / MAX(1, 'ProductSprint Backlog'!$J66-'ProductSprint Backlog'!$I66), AND('ProductSprint Backlog'!$J66=D$2,'ProductSprint Backlog'!$I66=D$2), 'ProductSprint Backlog'!$F66, TRUE, 0)</f>
        <v/>
      </c>
      <c r="E66" s="4" t="str" cm="1">
        <f t="array" ref="E66">_xlfn.IFS('ProductSprint Backlog'!$F66="", "", AND('ProductSprint Backlog'!$J66&gt;E$2,'ProductSprint Backlog'!$I66&lt;=E$2), 'ProductSprint Backlog'!$F66 / MAX(1, 'ProductSprint Backlog'!$J66-'ProductSprint Backlog'!$I66), AND('ProductSprint Backlog'!$J66=E$2,'ProductSprint Backlog'!$I66=E$2), 'ProductSprint Backlog'!$F66, TRUE, 0)</f>
        <v/>
      </c>
      <c r="F66" s="4" t="str" cm="1">
        <f t="array" ref="F66">_xlfn.IFS('ProductSprint Backlog'!$F66="", "", AND('ProductSprint Backlog'!$J66&gt;F$2,'ProductSprint Backlog'!$I66&lt;=F$2), 'ProductSprint Backlog'!$F66 / MAX(1, 'ProductSprint Backlog'!$J66-'ProductSprint Backlog'!$I66), AND('ProductSprint Backlog'!$J66=F$2,'ProductSprint Backlog'!$I66=F$2), 'ProductSprint Backlog'!$F66, TRUE, 0)</f>
        <v/>
      </c>
      <c r="G66" s="4" t="str" cm="1">
        <f t="array" ref="G66">_xlfn.IFS('ProductSprint Backlog'!$F66="", "", AND('ProductSprint Backlog'!$J66&gt;G$2,'ProductSprint Backlog'!$I66&lt;=G$2), 'ProductSprint Backlog'!$F66 / MAX(1, 'ProductSprint Backlog'!$J66-'ProductSprint Backlog'!$I66), AND('ProductSprint Backlog'!$J66=G$2,'ProductSprint Backlog'!$I66=G$2), 'ProductSprint Backlog'!$F66, TRUE, 0)</f>
        <v/>
      </c>
      <c r="H66" s="4" t="str" cm="1">
        <f t="array" ref="H66">_xlfn.IFS('ProductSprint Backlog'!$F66="", "", AND('ProductSprint Backlog'!$J66&gt;H$2,'ProductSprint Backlog'!$I66&lt;=H$2), 'ProductSprint Backlog'!$F66 / MAX(1, 'ProductSprint Backlog'!$J66-'ProductSprint Backlog'!$I66), AND('ProductSprint Backlog'!$J66=H$2,'ProductSprint Backlog'!$I66=H$2), 'ProductSprint Backlog'!$F66, TRUE, 0)</f>
        <v/>
      </c>
      <c r="I66" s="4" t="str" cm="1">
        <f t="array" ref="I66">_xlfn.IFS('ProductSprint Backlog'!$F66="", "", AND('ProductSprint Backlog'!$J66&gt;I$2,'ProductSprint Backlog'!$I66&lt;=I$2), 'ProductSprint Backlog'!$F66 / MAX(1, 'ProductSprint Backlog'!$J66-'ProductSprint Backlog'!$I66), AND('ProductSprint Backlog'!$J66=I$2,'ProductSprint Backlog'!$I66=I$2), 'ProductSprint Backlog'!$F66, TRUE, 0)</f>
        <v/>
      </c>
      <c r="J66" s="4" t="str" cm="1">
        <f t="array" ref="J66">_xlfn.IFS('ProductSprint Backlog'!$F66="", "", AND('ProductSprint Backlog'!$J66&gt;J$2,'ProductSprint Backlog'!$I66&lt;=J$2), 'ProductSprint Backlog'!$F66 / MAX(1, 'ProductSprint Backlog'!$J66-'ProductSprint Backlog'!$I66), AND('ProductSprint Backlog'!$J66=J$2,'ProductSprint Backlog'!$I66=J$2), 'ProductSprint Backlog'!$F66, TRUE, 0)</f>
        <v/>
      </c>
      <c r="K66" s="4" t="str" cm="1">
        <f t="array" ref="K66">_xlfn.IFS('ProductSprint Backlog'!$F66="", "", AND('ProductSprint Backlog'!$J66&gt;K$2,'ProductSprint Backlog'!$I66&lt;=K$2), 'ProductSprint Backlog'!$F66 / MAX(1, 'ProductSprint Backlog'!$J66-'ProductSprint Backlog'!$I66), AND('ProductSprint Backlog'!$J66=K$2,'ProductSprint Backlog'!$I66=K$2), 'ProductSprint Backlog'!$F66, TRUE, 0)</f>
        <v/>
      </c>
      <c r="L66" s="4" t="str" cm="1">
        <f t="array" ref="L66">_xlfn.IFS('ProductSprint Backlog'!$F66="", "", AND('ProductSprint Backlog'!$J66&gt;L$2,'ProductSprint Backlog'!$I66&lt;=L$2), 'ProductSprint Backlog'!$F66 / MAX(1, 'ProductSprint Backlog'!$J66-'ProductSprint Backlog'!$I66), AND('ProductSprint Backlog'!$J66=L$2,'ProductSprint Backlog'!$I66=L$2), 'ProductSprint Backlog'!$F66, TRUE, 0)</f>
        <v/>
      </c>
      <c r="M66" s="4" t="str" cm="1">
        <f t="array" ref="M66">_xlfn.IFS('ProductSprint Backlog'!$F66="", "", AND('ProductSprint Backlog'!$J66&gt;M$2,'ProductSprint Backlog'!$I66&lt;=M$2), 'ProductSprint Backlog'!$F66 / MAX(1, 'ProductSprint Backlog'!$J66-'ProductSprint Backlog'!$I66), AND('ProductSprint Backlog'!$J66=M$2,'ProductSprint Backlog'!$I66=M$2), 'ProductSprint Backlog'!$F66, TRUE, 0)</f>
        <v/>
      </c>
      <c r="N66" s="4" t="str" cm="1">
        <f t="array" ref="N66">_xlfn.IFS('ProductSprint Backlog'!$F66="", "", AND('ProductSprint Backlog'!$J66&gt;N$2,'ProductSprint Backlog'!$I66&lt;=N$2), 'ProductSprint Backlog'!$F66 / MAX(1, 'ProductSprint Backlog'!$J66-'ProductSprint Backlog'!$I66), AND('ProductSprint Backlog'!$J66=N$2,'ProductSprint Backlog'!$I66=N$2), 'ProductSprint Backlog'!$F66, TRUE, 0)</f>
        <v/>
      </c>
      <c r="O66" s="4" t="str" cm="1">
        <f t="array" ref="O66">_xlfn.IFS('ProductSprint Backlog'!$F66="", "", AND('ProductSprint Backlog'!$J66&gt;O$2,'ProductSprint Backlog'!$I66&lt;=O$2), 'ProductSprint Backlog'!$F66 / MAX(1, 'ProductSprint Backlog'!$J66-'ProductSprint Backlog'!$I66), AND('ProductSprint Backlog'!$J66=O$2,'ProductSprint Backlog'!$I66=O$2), 'ProductSprint Backlog'!$F66, TRUE, 0)</f>
        <v/>
      </c>
      <c r="P66" s="4" t="str" cm="1">
        <f t="array" ref="P66">_xlfn.IFS('ProductSprint Backlog'!$F66="", "", AND('ProductSprint Backlog'!$J66&gt;P$2,'ProductSprint Backlog'!$I66&lt;=P$2), 'ProductSprint Backlog'!$F66 / MAX(1, 'ProductSprint Backlog'!$J66-'ProductSprint Backlog'!$I66), AND('ProductSprint Backlog'!$J66=P$2,'ProductSprint Backlog'!$I66=P$2), 'ProductSprint Backlog'!$F66, TRUE, 0)</f>
        <v/>
      </c>
      <c r="Q66" s="4" t="str" cm="1">
        <f t="array" ref="Q66">_xlfn.IFS('ProductSprint Backlog'!$F66="", "", AND('ProductSprint Backlog'!$J66&gt;Q$2,'ProductSprint Backlog'!$I66&lt;=Q$2), 'ProductSprint Backlog'!$F66 / MAX(1, 'ProductSprint Backlog'!$J66-'ProductSprint Backlog'!$I66), AND('ProductSprint Backlog'!$J66=Q$2,'ProductSprint Backlog'!$I66=Q$2), 'ProductSprint Backlog'!$F66, TRUE, 0)</f>
        <v/>
      </c>
    </row>
    <row r="67" spans="2:17" x14ac:dyDescent="0.2">
      <c r="B67" s="4" cm="1">
        <f t="array" ref="B67">_xlfn.IFS('ProductSprint Backlog'!$F67="", "", AND('ProductSprint Backlog'!$J67&gt;B$2,'ProductSprint Backlog'!$I67&lt;=B$2), 'ProductSprint Backlog'!$F67 / MAX(1, 'ProductSprint Backlog'!$J67-'ProductSprint Backlog'!$I67), AND('ProductSprint Backlog'!$J67=B$2,'ProductSprint Backlog'!$I67=B$2), 'ProductSprint Backlog'!$F67, TRUE, 0)</f>
        <v>0</v>
      </c>
      <c r="C67" s="4" cm="1">
        <f t="array" ref="C67">_xlfn.IFS('ProductSprint Backlog'!$F67="", "", AND('ProductSprint Backlog'!$J67&gt;C$2,'ProductSprint Backlog'!$I67&lt;=C$2), 'ProductSprint Backlog'!$F67 / MAX(1, 'ProductSprint Backlog'!$J67-'ProductSprint Backlog'!$I67), AND('ProductSprint Backlog'!$J67=C$2,'ProductSprint Backlog'!$I67=C$2), 'ProductSprint Backlog'!$F67, TRUE, 0)</f>
        <v>0</v>
      </c>
      <c r="D67" s="4" cm="1">
        <f t="array" ref="D67">_xlfn.IFS('ProductSprint Backlog'!$F67="", "", AND('ProductSprint Backlog'!$J67&gt;D$2,'ProductSprint Backlog'!$I67&lt;=D$2), 'ProductSprint Backlog'!$F67 / MAX(1, 'ProductSprint Backlog'!$J67-'ProductSprint Backlog'!$I67), AND('ProductSprint Backlog'!$J67=D$2,'ProductSprint Backlog'!$I67=D$2), 'ProductSprint Backlog'!$F67, TRUE, 0)</f>
        <v>0</v>
      </c>
      <c r="E67" s="4" cm="1">
        <f t="array" ref="E67">_xlfn.IFS('ProductSprint Backlog'!$F67="", "", AND('ProductSprint Backlog'!$J67&gt;E$2,'ProductSprint Backlog'!$I67&lt;=E$2), 'ProductSprint Backlog'!$F67 / MAX(1, 'ProductSprint Backlog'!$J67-'ProductSprint Backlog'!$I67), AND('ProductSprint Backlog'!$J67=E$2,'ProductSprint Backlog'!$I67=E$2), 'ProductSprint Backlog'!$F67, TRUE, 0)</f>
        <v>0</v>
      </c>
      <c r="F67" s="4" cm="1">
        <f t="array" ref="F67">_xlfn.IFS('ProductSprint Backlog'!$F67="", "", AND('ProductSprint Backlog'!$J67&gt;F$2,'ProductSprint Backlog'!$I67&lt;=F$2), 'ProductSprint Backlog'!$F67 / MAX(1, 'ProductSprint Backlog'!$J67-'ProductSprint Backlog'!$I67), AND('ProductSprint Backlog'!$J67=F$2,'ProductSprint Backlog'!$I67=F$2), 'ProductSprint Backlog'!$F67, TRUE, 0)</f>
        <v>0</v>
      </c>
      <c r="G67" s="4" cm="1">
        <f t="array" ref="G67">_xlfn.IFS('ProductSprint Backlog'!$F67="", "", AND('ProductSprint Backlog'!$J67&gt;G$2,'ProductSprint Backlog'!$I67&lt;=G$2), 'ProductSprint Backlog'!$F67 / MAX(1, 'ProductSprint Backlog'!$J67-'ProductSprint Backlog'!$I67), AND('ProductSprint Backlog'!$J67=G$2,'ProductSprint Backlog'!$I67=G$2), 'ProductSprint Backlog'!$F67, TRUE, 0)</f>
        <v>0</v>
      </c>
      <c r="H67" s="4" cm="1">
        <f t="array" ref="H67">_xlfn.IFS('ProductSprint Backlog'!$F67="", "", AND('ProductSprint Backlog'!$J67&gt;H$2,'ProductSprint Backlog'!$I67&lt;=H$2), 'ProductSprint Backlog'!$F67 / MAX(1, 'ProductSprint Backlog'!$J67-'ProductSprint Backlog'!$I67), AND('ProductSprint Backlog'!$J67=H$2,'ProductSprint Backlog'!$I67=H$2), 'ProductSprint Backlog'!$F67, TRUE, 0)</f>
        <v>0</v>
      </c>
      <c r="I67" s="4" cm="1">
        <f t="array" ref="I67">_xlfn.IFS('ProductSprint Backlog'!$F67="", "", AND('ProductSprint Backlog'!$J67&gt;I$2,'ProductSprint Backlog'!$I67&lt;=I$2), 'ProductSprint Backlog'!$F67 / MAX(1, 'ProductSprint Backlog'!$J67-'ProductSprint Backlog'!$I67), AND('ProductSprint Backlog'!$J67=I$2,'ProductSprint Backlog'!$I67=I$2), 'ProductSprint Backlog'!$F67, TRUE, 0)</f>
        <v>0</v>
      </c>
      <c r="J67" s="4" cm="1">
        <f t="array" ref="J67">_xlfn.IFS('ProductSprint Backlog'!$F67="", "", AND('ProductSprint Backlog'!$J67&gt;J$2,'ProductSprint Backlog'!$I67&lt;=J$2), 'ProductSprint Backlog'!$F67 / MAX(1, 'ProductSprint Backlog'!$J67-'ProductSprint Backlog'!$I67), AND('ProductSprint Backlog'!$J67=J$2,'ProductSprint Backlog'!$I67=J$2), 'ProductSprint Backlog'!$F67, TRUE, 0)</f>
        <v>0</v>
      </c>
      <c r="K67" s="4" cm="1">
        <f t="array" ref="K67">_xlfn.IFS('ProductSprint Backlog'!$F67="", "", AND('ProductSprint Backlog'!$J67&gt;K$2,'ProductSprint Backlog'!$I67&lt;=K$2), 'ProductSprint Backlog'!$F67 / MAX(1, 'ProductSprint Backlog'!$J67-'ProductSprint Backlog'!$I67), AND('ProductSprint Backlog'!$J67=K$2,'ProductSprint Backlog'!$I67=K$2), 'ProductSprint Backlog'!$F67, TRUE, 0)</f>
        <v>0</v>
      </c>
      <c r="L67" s="4" cm="1">
        <f t="array" ref="L67">_xlfn.IFS('ProductSprint Backlog'!$F67="", "", AND('ProductSprint Backlog'!$J67&gt;L$2,'ProductSprint Backlog'!$I67&lt;=L$2), 'ProductSprint Backlog'!$F67 / MAX(1, 'ProductSprint Backlog'!$J67-'ProductSprint Backlog'!$I67), AND('ProductSprint Backlog'!$J67=L$2,'ProductSprint Backlog'!$I67=L$2), 'ProductSprint Backlog'!$F67, TRUE, 0)</f>
        <v>0</v>
      </c>
      <c r="M67" s="4" cm="1">
        <f t="array" ref="M67">_xlfn.IFS('ProductSprint Backlog'!$F67="", "", AND('ProductSprint Backlog'!$J67&gt;M$2,'ProductSprint Backlog'!$I67&lt;=M$2), 'ProductSprint Backlog'!$F67 / MAX(1, 'ProductSprint Backlog'!$J67-'ProductSprint Backlog'!$I67), AND('ProductSprint Backlog'!$J67=M$2,'ProductSprint Backlog'!$I67=M$2), 'ProductSprint Backlog'!$F67, TRUE, 0)</f>
        <v>0</v>
      </c>
      <c r="N67" s="4" cm="1">
        <f t="array" ref="N67">_xlfn.IFS('ProductSprint Backlog'!$F67="", "", AND('ProductSprint Backlog'!$J67&gt;N$2,'ProductSprint Backlog'!$I67&lt;=N$2), 'ProductSprint Backlog'!$F67 / MAX(1, 'ProductSprint Backlog'!$J67-'ProductSprint Backlog'!$I67), AND('ProductSprint Backlog'!$J67=N$2,'ProductSprint Backlog'!$I67=N$2), 'ProductSprint Backlog'!$F67, TRUE, 0)</f>
        <v>0</v>
      </c>
      <c r="O67" s="4" cm="1">
        <f t="array" ref="O67">_xlfn.IFS('ProductSprint Backlog'!$F67="", "", AND('ProductSprint Backlog'!$J67&gt;O$2,'ProductSprint Backlog'!$I67&lt;=O$2), 'ProductSprint Backlog'!$F67 / MAX(1, 'ProductSprint Backlog'!$J67-'ProductSprint Backlog'!$I67), AND('ProductSprint Backlog'!$J67=O$2,'ProductSprint Backlog'!$I67=O$2), 'ProductSprint Backlog'!$F67, TRUE, 0)</f>
        <v>0</v>
      </c>
      <c r="P67" s="4" cm="1">
        <f t="array" ref="P67">_xlfn.IFS('ProductSprint Backlog'!$F67="", "", AND('ProductSprint Backlog'!$J67&gt;P$2,'ProductSprint Backlog'!$I67&lt;=P$2), 'ProductSprint Backlog'!$F67 / MAX(1, 'ProductSprint Backlog'!$J67-'ProductSprint Backlog'!$I67), AND('ProductSprint Backlog'!$J67=P$2,'ProductSprint Backlog'!$I67=P$2), 'ProductSprint Backlog'!$F67, TRUE, 0)</f>
        <v>0</v>
      </c>
      <c r="Q67" s="4" cm="1">
        <f t="array" ref="Q67">_xlfn.IFS('ProductSprint Backlog'!$F67="", "", AND('ProductSprint Backlog'!$J67&gt;Q$2,'ProductSprint Backlog'!$I67&lt;=Q$2), 'ProductSprint Backlog'!$F67 / MAX(1, 'ProductSprint Backlog'!$J67-'ProductSprint Backlog'!$I67), AND('ProductSprint Backlog'!$J67=Q$2,'ProductSprint Backlog'!$I67=Q$2), 'ProductSprint Backlog'!$F67, TRUE, 0)</f>
        <v>0</v>
      </c>
    </row>
    <row r="68" spans="2:17" x14ac:dyDescent="0.2">
      <c r="B68" s="4" cm="1">
        <f t="array" ref="B68">_xlfn.IFS('ProductSprint Backlog'!$F68="", "", AND('ProductSprint Backlog'!$J68&gt;B$2,'ProductSprint Backlog'!$I68&lt;=B$2), 'ProductSprint Backlog'!$F68 / MAX(1, 'ProductSprint Backlog'!$J68-'ProductSprint Backlog'!$I68), AND('ProductSprint Backlog'!$J68=B$2,'ProductSprint Backlog'!$I68=B$2), 'ProductSprint Backlog'!$F68, TRUE, 0)</f>
        <v>0</v>
      </c>
      <c r="C68" s="4" cm="1">
        <f t="array" ref="C68">_xlfn.IFS('ProductSprint Backlog'!$F68="", "", AND('ProductSprint Backlog'!$J68&gt;C$2,'ProductSprint Backlog'!$I68&lt;=C$2), 'ProductSprint Backlog'!$F68 / MAX(1, 'ProductSprint Backlog'!$J68-'ProductSprint Backlog'!$I68), AND('ProductSprint Backlog'!$J68=C$2,'ProductSprint Backlog'!$I68=C$2), 'ProductSprint Backlog'!$F68, TRUE, 0)</f>
        <v>0</v>
      </c>
      <c r="D68" s="4" cm="1">
        <f t="array" ref="D68">_xlfn.IFS('ProductSprint Backlog'!$F68="", "", AND('ProductSprint Backlog'!$J68&gt;D$2,'ProductSprint Backlog'!$I68&lt;=D$2), 'ProductSprint Backlog'!$F68 / MAX(1, 'ProductSprint Backlog'!$J68-'ProductSprint Backlog'!$I68), AND('ProductSprint Backlog'!$J68=D$2,'ProductSprint Backlog'!$I68=D$2), 'ProductSprint Backlog'!$F68, TRUE, 0)</f>
        <v>0</v>
      </c>
      <c r="E68" s="4" cm="1">
        <f t="array" ref="E68">_xlfn.IFS('ProductSprint Backlog'!$F68="", "", AND('ProductSprint Backlog'!$J68&gt;E$2,'ProductSprint Backlog'!$I68&lt;=E$2), 'ProductSprint Backlog'!$F68 / MAX(1, 'ProductSprint Backlog'!$J68-'ProductSprint Backlog'!$I68), AND('ProductSprint Backlog'!$J68=E$2,'ProductSprint Backlog'!$I68=E$2), 'ProductSprint Backlog'!$F68, TRUE, 0)</f>
        <v>0</v>
      </c>
      <c r="F68" s="4" cm="1">
        <f t="array" ref="F68">_xlfn.IFS('ProductSprint Backlog'!$F68="", "", AND('ProductSprint Backlog'!$J68&gt;F$2,'ProductSprint Backlog'!$I68&lt;=F$2), 'ProductSprint Backlog'!$F68 / MAX(1, 'ProductSprint Backlog'!$J68-'ProductSprint Backlog'!$I68), AND('ProductSprint Backlog'!$J68=F$2,'ProductSprint Backlog'!$I68=F$2), 'ProductSprint Backlog'!$F68, TRUE, 0)</f>
        <v>0</v>
      </c>
      <c r="G68" s="4" cm="1">
        <f t="array" ref="G68">_xlfn.IFS('ProductSprint Backlog'!$F68="", "", AND('ProductSprint Backlog'!$J68&gt;G$2,'ProductSprint Backlog'!$I68&lt;=G$2), 'ProductSprint Backlog'!$F68 / MAX(1, 'ProductSprint Backlog'!$J68-'ProductSprint Backlog'!$I68), AND('ProductSprint Backlog'!$J68=G$2,'ProductSprint Backlog'!$I68=G$2), 'ProductSprint Backlog'!$F68, TRUE, 0)</f>
        <v>0</v>
      </c>
      <c r="H68" s="4" cm="1">
        <f t="array" ref="H68">_xlfn.IFS('ProductSprint Backlog'!$F68="", "", AND('ProductSprint Backlog'!$J68&gt;H$2,'ProductSprint Backlog'!$I68&lt;=H$2), 'ProductSprint Backlog'!$F68 / MAX(1, 'ProductSprint Backlog'!$J68-'ProductSprint Backlog'!$I68), AND('ProductSprint Backlog'!$J68=H$2,'ProductSprint Backlog'!$I68=H$2), 'ProductSprint Backlog'!$F68, TRUE, 0)</f>
        <v>0</v>
      </c>
      <c r="I68" s="4" cm="1">
        <f t="array" ref="I68">_xlfn.IFS('ProductSprint Backlog'!$F68="", "", AND('ProductSprint Backlog'!$J68&gt;I$2,'ProductSprint Backlog'!$I68&lt;=I$2), 'ProductSprint Backlog'!$F68 / MAX(1, 'ProductSprint Backlog'!$J68-'ProductSprint Backlog'!$I68), AND('ProductSprint Backlog'!$J68=I$2,'ProductSprint Backlog'!$I68=I$2), 'ProductSprint Backlog'!$F68, TRUE, 0)</f>
        <v>0</v>
      </c>
      <c r="J68" s="4" cm="1">
        <f t="array" ref="J68">_xlfn.IFS('ProductSprint Backlog'!$F68="", "", AND('ProductSprint Backlog'!$J68&gt;J$2,'ProductSprint Backlog'!$I68&lt;=J$2), 'ProductSprint Backlog'!$F68 / MAX(1, 'ProductSprint Backlog'!$J68-'ProductSprint Backlog'!$I68), AND('ProductSprint Backlog'!$J68=J$2,'ProductSprint Backlog'!$I68=J$2), 'ProductSprint Backlog'!$F68, TRUE, 0)</f>
        <v>0</v>
      </c>
      <c r="K68" s="4" cm="1">
        <f t="array" ref="K68">_xlfn.IFS('ProductSprint Backlog'!$F68="", "", AND('ProductSprint Backlog'!$J68&gt;K$2,'ProductSprint Backlog'!$I68&lt;=K$2), 'ProductSprint Backlog'!$F68 / MAX(1, 'ProductSprint Backlog'!$J68-'ProductSprint Backlog'!$I68), AND('ProductSprint Backlog'!$J68=K$2,'ProductSprint Backlog'!$I68=K$2), 'ProductSprint Backlog'!$F68, TRUE, 0)</f>
        <v>0</v>
      </c>
      <c r="L68" s="4" cm="1">
        <f t="array" ref="L68">_xlfn.IFS('ProductSprint Backlog'!$F68="", "", AND('ProductSprint Backlog'!$J68&gt;L$2,'ProductSprint Backlog'!$I68&lt;=L$2), 'ProductSprint Backlog'!$F68 / MAX(1, 'ProductSprint Backlog'!$J68-'ProductSprint Backlog'!$I68), AND('ProductSprint Backlog'!$J68=L$2,'ProductSprint Backlog'!$I68=L$2), 'ProductSprint Backlog'!$F68, TRUE, 0)</f>
        <v>0</v>
      </c>
      <c r="M68" s="4" cm="1">
        <f t="array" ref="M68">_xlfn.IFS('ProductSprint Backlog'!$F68="", "", AND('ProductSprint Backlog'!$J68&gt;M$2,'ProductSprint Backlog'!$I68&lt;=M$2), 'ProductSprint Backlog'!$F68 / MAX(1, 'ProductSprint Backlog'!$J68-'ProductSprint Backlog'!$I68), AND('ProductSprint Backlog'!$J68=M$2,'ProductSprint Backlog'!$I68=M$2), 'ProductSprint Backlog'!$F68, TRUE, 0)</f>
        <v>0</v>
      </c>
      <c r="N68" s="4" cm="1">
        <f t="array" ref="N68">_xlfn.IFS('ProductSprint Backlog'!$F68="", "", AND('ProductSprint Backlog'!$J68&gt;N$2,'ProductSprint Backlog'!$I68&lt;=N$2), 'ProductSprint Backlog'!$F68 / MAX(1, 'ProductSprint Backlog'!$J68-'ProductSprint Backlog'!$I68), AND('ProductSprint Backlog'!$J68=N$2,'ProductSprint Backlog'!$I68=N$2), 'ProductSprint Backlog'!$F68, TRUE, 0)</f>
        <v>0</v>
      </c>
      <c r="O68" s="4" cm="1">
        <f t="array" ref="O68">_xlfn.IFS('ProductSprint Backlog'!$F68="", "", AND('ProductSprint Backlog'!$J68&gt;O$2,'ProductSprint Backlog'!$I68&lt;=O$2), 'ProductSprint Backlog'!$F68 / MAX(1, 'ProductSprint Backlog'!$J68-'ProductSprint Backlog'!$I68), AND('ProductSprint Backlog'!$J68=O$2,'ProductSprint Backlog'!$I68=O$2), 'ProductSprint Backlog'!$F68, TRUE, 0)</f>
        <v>0</v>
      </c>
      <c r="P68" s="4" cm="1">
        <f t="array" ref="P68">_xlfn.IFS('ProductSprint Backlog'!$F68="", "", AND('ProductSprint Backlog'!$J68&gt;P$2,'ProductSprint Backlog'!$I68&lt;=P$2), 'ProductSprint Backlog'!$F68 / MAX(1, 'ProductSprint Backlog'!$J68-'ProductSprint Backlog'!$I68), AND('ProductSprint Backlog'!$J68=P$2,'ProductSprint Backlog'!$I68=P$2), 'ProductSprint Backlog'!$F68, TRUE, 0)</f>
        <v>0</v>
      </c>
      <c r="Q68" s="4" cm="1">
        <f t="array" ref="Q68">_xlfn.IFS('ProductSprint Backlog'!$F68="", "", AND('ProductSprint Backlog'!$J68&gt;Q$2,'ProductSprint Backlog'!$I68&lt;=Q$2), 'ProductSprint Backlog'!$F68 / MAX(1, 'ProductSprint Backlog'!$J68-'ProductSprint Backlog'!$I68), AND('ProductSprint Backlog'!$J68=Q$2,'ProductSprint Backlog'!$I68=Q$2), 'ProductSprint Backlog'!$F68, TRUE, 0)</f>
        <v>0</v>
      </c>
    </row>
    <row r="69" spans="2:17" x14ac:dyDescent="0.2">
      <c r="B69" s="4" cm="1">
        <f t="array" ref="B69">_xlfn.IFS('ProductSprint Backlog'!$F69="", "", AND('ProductSprint Backlog'!$J69&gt;B$2,'ProductSprint Backlog'!$I69&lt;=B$2), 'ProductSprint Backlog'!$F69 / MAX(1, 'ProductSprint Backlog'!$J69-'ProductSprint Backlog'!$I69), AND('ProductSprint Backlog'!$J69=B$2,'ProductSprint Backlog'!$I69=B$2), 'ProductSprint Backlog'!$F69, TRUE, 0)</f>
        <v>0</v>
      </c>
      <c r="C69" s="4" cm="1">
        <f t="array" ref="C69">_xlfn.IFS('ProductSprint Backlog'!$F69="", "", AND('ProductSprint Backlog'!$J69&gt;C$2,'ProductSprint Backlog'!$I69&lt;=C$2), 'ProductSprint Backlog'!$F69 / MAX(1, 'ProductSprint Backlog'!$J69-'ProductSprint Backlog'!$I69), AND('ProductSprint Backlog'!$J69=C$2,'ProductSprint Backlog'!$I69=C$2), 'ProductSprint Backlog'!$F69, TRUE, 0)</f>
        <v>0</v>
      </c>
      <c r="D69" s="4" cm="1">
        <f t="array" ref="D69">_xlfn.IFS('ProductSprint Backlog'!$F69="", "", AND('ProductSprint Backlog'!$J69&gt;D$2,'ProductSprint Backlog'!$I69&lt;=D$2), 'ProductSprint Backlog'!$F69 / MAX(1, 'ProductSprint Backlog'!$J69-'ProductSprint Backlog'!$I69), AND('ProductSprint Backlog'!$J69=D$2,'ProductSprint Backlog'!$I69=D$2), 'ProductSprint Backlog'!$F69, TRUE, 0)</f>
        <v>0</v>
      </c>
      <c r="E69" s="4" cm="1">
        <f t="array" ref="E69">_xlfn.IFS('ProductSprint Backlog'!$F69="", "", AND('ProductSprint Backlog'!$J69&gt;E$2,'ProductSprint Backlog'!$I69&lt;=E$2), 'ProductSprint Backlog'!$F69 / MAX(1, 'ProductSprint Backlog'!$J69-'ProductSprint Backlog'!$I69), AND('ProductSprint Backlog'!$J69=E$2,'ProductSprint Backlog'!$I69=E$2), 'ProductSprint Backlog'!$F69, TRUE, 0)</f>
        <v>0</v>
      </c>
      <c r="F69" s="4" cm="1">
        <f t="array" ref="F69">_xlfn.IFS('ProductSprint Backlog'!$F69="", "", AND('ProductSprint Backlog'!$J69&gt;F$2,'ProductSprint Backlog'!$I69&lt;=F$2), 'ProductSprint Backlog'!$F69 / MAX(1, 'ProductSprint Backlog'!$J69-'ProductSprint Backlog'!$I69), AND('ProductSprint Backlog'!$J69=F$2,'ProductSprint Backlog'!$I69=F$2), 'ProductSprint Backlog'!$F69, TRUE, 0)</f>
        <v>0</v>
      </c>
      <c r="G69" s="4" cm="1">
        <f t="array" ref="G69">_xlfn.IFS('ProductSprint Backlog'!$F69="", "", AND('ProductSprint Backlog'!$J69&gt;G$2,'ProductSprint Backlog'!$I69&lt;=G$2), 'ProductSprint Backlog'!$F69 / MAX(1, 'ProductSprint Backlog'!$J69-'ProductSprint Backlog'!$I69), AND('ProductSprint Backlog'!$J69=G$2,'ProductSprint Backlog'!$I69=G$2), 'ProductSprint Backlog'!$F69, TRUE, 0)</f>
        <v>0</v>
      </c>
      <c r="H69" s="4" cm="1">
        <f t="array" ref="H69">_xlfn.IFS('ProductSprint Backlog'!$F69="", "", AND('ProductSprint Backlog'!$J69&gt;H$2,'ProductSprint Backlog'!$I69&lt;=H$2), 'ProductSprint Backlog'!$F69 / MAX(1, 'ProductSprint Backlog'!$J69-'ProductSprint Backlog'!$I69), AND('ProductSprint Backlog'!$J69=H$2,'ProductSprint Backlog'!$I69=H$2), 'ProductSprint Backlog'!$F69, TRUE, 0)</f>
        <v>0</v>
      </c>
      <c r="I69" s="4" cm="1">
        <f t="array" ref="I69">_xlfn.IFS('ProductSprint Backlog'!$F69="", "", AND('ProductSprint Backlog'!$J69&gt;I$2,'ProductSprint Backlog'!$I69&lt;=I$2), 'ProductSprint Backlog'!$F69 / MAX(1, 'ProductSprint Backlog'!$J69-'ProductSprint Backlog'!$I69), AND('ProductSprint Backlog'!$J69=I$2,'ProductSprint Backlog'!$I69=I$2), 'ProductSprint Backlog'!$F69, TRUE, 0)</f>
        <v>0</v>
      </c>
      <c r="J69" s="4" cm="1">
        <f t="array" ref="J69">_xlfn.IFS('ProductSprint Backlog'!$F69="", "", AND('ProductSprint Backlog'!$J69&gt;J$2,'ProductSprint Backlog'!$I69&lt;=J$2), 'ProductSprint Backlog'!$F69 / MAX(1, 'ProductSprint Backlog'!$J69-'ProductSprint Backlog'!$I69), AND('ProductSprint Backlog'!$J69=J$2,'ProductSprint Backlog'!$I69=J$2), 'ProductSprint Backlog'!$F69, TRUE, 0)</f>
        <v>0</v>
      </c>
      <c r="K69" s="4" cm="1">
        <f t="array" ref="K69">_xlfn.IFS('ProductSprint Backlog'!$F69="", "", AND('ProductSprint Backlog'!$J69&gt;K$2,'ProductSprint Backlog'!$I69&lt;=K$2), 'ProductSprint Backlog'!$F69 / MAX(1, 'ProductSprint Backlog'!$J69-'ProductSprint Backlog'!$I69), AND('ProductSprint Backlog'!$J69=K$2,'ProductSprint Backlog'!$I69=K$2), 'ProductSprint Backlog'!$F69, TRUE, 0)</f>
        <v>0</v>
      </c>
      <c r="L69" s="4" cm="1">
        <f t="array" ref="L69">_xlfn.IFS('ProductSprint Backlog'!$F69="", "", AND('ProductSprint Backlog'!$J69&gt;L$2,'ProductSprint Backlog'!$I69&lt;=L$2), 'ProductSprint Backlog'!$F69 / MAX(1, 'ProductSprint Backlog'!$J69-'ProductSprint Backlog'!$I69), AND('ProductSprint Backlog'!$J69=L$2,'ProductSprint Backlog'!$I69=L$2), 'ProductSprint Backlog'!$F69, TRUE, 0)</f>
        <v>0</v>
      </c>
      <c r="M69" s="4" cm="1">
        <f t="array" ref="M69">_xlfn.IFS('ProductSprint Backlog'!$F69="", "", AND('ProductSprint Backlog'!$J69&gt;M$2,'ProductSprint Backlog'!$I69&lt;=M$2), 'ProductSprint Backlog'!$F69 / MAX(1, 'ProductSprint Backlog'!$J69-'ProductSprint Backlog'!$I69), AND('ProductSprint Backlog'!$J69=M$2,'ProductSprint Backlog'!$I69=M$2), 'ProductSprint Backlog'!$F69, TRUE, 0)</f>
        <v>0</v>
      </c>
      <c r="N69" s="4" cm="1">
        <f t="array" ref="N69">_xlfn.IFS('ProductSprint Backlog'!$F69="", "", AND('ProductSprint Backlog'!$J69&gt;N$2,'ProductSprint Backlog'!$I69&lt;=N$2), 'ProductSprint Backlog'!$F69 / MAX(1, 'ProductSprint Backlog'!$J69-'ProductSprint Backlog'!$I69), AND('ProductSprint Backlog'!$J69=N$2,'ProductSprint Backlog'!$I69=N$2), 'ProductSprint Backlog'!$F69, TRUE, 0)</f>
        <v>0</v>
      </c>
      <c r="O69" s="4" cm="1">
        <f t="array" ref="O69">_xlfn.IFS('ProductSprint Backlog'!$F69="", "", AND('ProductSprint Backlog'!$J69&gt;O$2,'ProductSprint Backlog'!$I69&lt;=O$2), 'ProductSprint Backlog'!$F69 / MAX(1, 'ProductSprint Backlog'!$J69-'ProductSprint Backlog'!$I69), AND('ProductSprint Backlog'!$J69=O$2,'ProductSprint Backlog'!$I69=O$2), 'ProductSprint Backlog'!$F69, TRUE, 0)</f>
        <v>0</v>
      </c>
      <c r="P69" s="4" cm="1">
        <f t="array" ref="P69">_xlfn.IFS('ProductSprint Backlog'!$F69="", "", AND('ProductSprint Backlog'!$J69&gt;P$2,'ProductSprint Backlog'!$I69&lt;=P$2), 'ProductSprint Backlog'!$F69 / MAX(1, 'ProductSprint Backlog'!$J69-'ProductSprint Backlog'!$I69), AND('ProductSprint Backlog'!$J69=P$2,'ProductSprint Backlog'!$I69=P$2), 'ProductSprint Backlog'!$F69, TRUE, 0)</f>
        <v>0</v>
      </c>
      <c r="Q69" s="4" cm="1">
        <f t="array" ref="Q69">_xlfn.IFS('ProductSprint Backlog'!$F69="", "", AND('ProductSprint Backlog'!$J69&gt;Q$2,'ProductSprint Backlog'!$I69&lt;=Q$2), 'ProductSprint Backlog'!$F69 / MAX(1, 'ProductSprint Backlog'!$J69-'ProductSprint Backlog'!$I69), AND('ProductSprint Backlog'!$J69=Q$2,'ProductSprint Backlog'!$I69=Q$2), 'ProductSprint Backlog'!$F69, TRUE, 0)</f>
        <v>0</v>
      </c>
    </row>
    <row r="70" spans="2:17" x14ac:dyDescent="0.2">
      <c r="B70" s="4" cm="1">
        <f t="array" ref="B70">_xlfn.IFS('ProductSprint Backlog'!$F70="", "", AND('ProductSprint Backlog'!$J70&gt;B$2,'ProductSprint Backlog'!$I70&lt;=B$2), 'ProductSprint Backlog'!$F70 / MAX(1, 'ProductSprint Backlog'!$J70-'ProductSprint Backlog'!$I70), AND('ProductSprint Backlog'!$J70=B$2,'ProductSprint Backlog'!$I70=B$2), 'ProductSprint Backlog'!$F70, TRUE, 0)</f>
        <v>0</v>
      </c>
      <c r="C70" s="4" cm="1">
        <f t="array" ref="C70">_xlfn.IFS('ProductSprint Backlog'!$F70="", "", AND('ProductSprint Backlog'!$J70&gt;C$2,'ProductSprint Backlog'!$I70&lt;=C$2), 'ProductSprint Backlog'!$F70 / MAX(1, 'ProductSprint Backlog'!$J70-'ProductSprint Backlog'!$I70), AND('ProductSprint Backlog'!$J70=C$2,'ProductSprint Backlog'!$I70=C$2), 'ProductSprint Backlog'!$F70, TRUE, 0)</f>
        <v>0</v>
      </c>
      <c r="D70" s="4" cm="1">
        <f t="array" ref="D70">_xlfn.IFS('ProductSprint Backlog'!$F70="", "", AND('ProductSprint Backlog'!$J70&gt;D$2,'ProductSprint Backlog'!$I70&lt;=D$2), 'ProductSprint Backlog'!$F70 / MAX(1, 'ProductSprint Backlog'!$J70-'ProductSprint Backlog'!$I70), AND('ProductSprint Backlog'!$J70=D$2,'ProductSprint Backlog'!$I70=D$2), 'ProductSprint Backlog'!$F70, TRUE, 0)</f>
        <v>0</v>
      </c>
      <c r="E70" s="4" cm="1">
        <f t="array" ref="E70">_xlfn.IFS('ProductSprint Backlog'!$F70="", "", AND('ProductSprint Backlog'!$J70&gt;E$2,'ProductSprint Backlog'!$I70&lt;=E$2), 'ProductSprint Backlog'!$F70 / MAX(1, 'ProductSprint Backlog'!$J70-'ProductSprint Backlog'!$I70), AND('ProductSprint Backlog'!$J70=E$2,'ProductSprint Backlog'!$I70=E$2), 'ProductSprint Backlog'!$F70, TRUE, 0)</f>
        <v>0</v>
      </c>
      <c r="F70" s="4" cm="1">
        <f t="array" ref="F70">_xlfn.IFS('ProductSprint Backlog'!$F70="", "", AND('ProductSprint Backlog'!$J70&gt;F$2,'ProductSprint Backlog'!$I70&lt;=F$2), 'ProductSprint Backlog'!$F70 / MAX(1, 'ProductSprint Backlog'!$J70-'ProductSprint Backlog'!$I70), AND('ProductSprint Backlog'!$J70=F$2,'ProductSprint Backlog'!$I70=F$2), 'ProductSprint Backlog'!$F70, TRUE, 0)</f>
        <v>0</v>
      </c>
      <c r="G70" s="4" cm="1">
        <f t="array" ref="G70">_xlfn.IFS('ProductSprint Backlog'!$F70="", "", AND('ProductSprint Backlog'!$J70&gt;G$2,'ProductSprint Backlog'!$I70&lt;=G$2), 'ProductSprint Backlog'!$F70 / MAX(1, 'ProductSprint Backlog'!$J70-'ProductSprint Backlog'!$I70), AND('ProductSprint Backlog'!$J70=G$2,'ProductSprint Backlog'!$I70=G$2), 'ProductSprint Backlog'!$F70, TRUE, 0)</f>
        <v>0</v>
      </c>
      <c r="H70" s="4" cm="1">
        <f t="array" ref="H70">_xlfn.IFS('ProductSprint Backlog'!$F70="", "", AND('ProductSprint Backlog'!$J70&gt;H$2,'ProductSprint Backlog'!$I70&lt;=H$2), 'ProductSprint Backlog'!$F70 / MAX(1, 'ProductSprint Backlog'!$J70-'ProductSprint Backlog'!$I70), AND('ProductSprint Backlog'!$J70=H$2,'ProductSprint Backlog'!$I70=H$2), 'ProductSprint Backlog'!$F70, TRUE, 0)</f>
        <v>0</v>
      </c>
      <c r="I70" s="4" cm="1">
        <f t="array" ref="I70">_xlfn.IFS('ProductSprint Backlog'!$F70="", "", AND('ProductSprint Backlog'!$J70&gt;I$2,'ProductSprint Backlog'!$I70&lt;=I$2), 'ProductSprint Backlog'!$F70 / MAX(1, 'ProductSprint Backlog'!$J70-'ProductSprint Backlog'!$I70), AND('ProductSprint Backlog'!$J70=I$2,'ProductSprint Backlog'!$I70=I$2), 'ProductSprint Backlog'!$F70, TRUE, 0)</f>
        <v>0</v>
      </c>
      <c r="J70" s="4" cm="1">
        <f t="array" ref="J70">_xlfn.IFS('ProductSprint Backlog'!$F70="", "", AND('ProductSprint Backlog'!$J70&gt;J$2,'ProductSprint Backlog'!$I70&lt;=J$2), 'ProductSprint Backlog'!$F70 / MAX(1, 'ProductSprint Backlog'!$J70-'ProductSprint Backlog'!$I70), AND('ProductSprint Backlog'!$J70=J$2,'ProductSprint Backlog'!$I70=J$2), 'ProductSprint Backlog'!$F70, TRUE, 0)</f>
        <v>0</v>
      </c>
      <c r="K70" s="4" cm="1">
        <f t="array" ref="K70">_xlfn.IFS('ProductSprint Backlog'!$F70="", "", AND('ProductSprint Backlog'!$J70&gt;K$2,'ProductSprint Backlog'!$I70&lt;=K$2), 'ProductSprint Backlog'!$F70 / MAX(1, 'ProductSprint Backlog'!$J70-'ProductSprint Backlog'!$I70), AND('ProductSprint Backlog'!$J70=K$2,'ProductSprint Backlog'!$I70=K$2), 'ProductSprint Backlog'!$F70, TRUE, 0)</f>
        <v>0</v>
      </c>
      <c r="L70" s="4" cm="1">
        <f t="array" ref="L70">_xlfn.IFS('ProductSprint Backlog'!$F70="", "", AND('ProductSprint Backlog'!$J70&gt;L$2,'ProductSprint Backlog'!$I70&lt;=L$2), 'ProductSprint Backlog'!$F70 / MAX(1, 'ProductSprint Backlog'!$J70-'ProductSprint Backlog'!$I70), AND('ProductSprint Backlog'!$J70=L$2,'ProductSprint Backlog'!$I70=L$2), 'ProductSprint Backlog'!$F70, TRUE, 0)</f>
        <v>0</v>
      </c>
      <c r="M70" s="4" cm="1">
        <f t="array" ref="M70">_xlfn.IFS('ProductSprint Backlog'!$F70="", "", AND('ProductSprint Backlog'!$J70&gt;M$2,'ProductSprint Backlog'!$I70&lt;=M$2), 'ProductSprint Backlog'!$F70 / MAX(1, 'ProductSprint Backlog'!$J70-'ProductSprint Backlog'!$I70), AND('ProductSprint Backlog'!$J70=M$2,'ProductSprint Backlog'!$I70=M$2), 'ProductSprint Backlog'!$F70, TRUE, 0)</f>
        <v>0</v>
      </c>
      <c r="N70" s="4" cm="1">
        <f t="array" ref="N70">_xlfn.IFS('ProductSprint Backlog'!$F70="", "", AND('ProductSprint Backlog'!$J70&gt;N$2,'ProductSprint Backlog'!$I70&lt;=N$2), 'ProductSprint Backlog'!$F70 / MAX(1, 'ProductSprint Backlog'!$J70-'ProductSprint Backlog'!$I70), AND('ProductSprint Backlog'!$J70=N$2,'ProductSprint Backlog'!$I70=N$2), 'ProductSprint Backlog'!$F70, TRUE, 0)</f>
        <v>0</v>
      </c>
      <c r="O70" s="4" cm="1">
        <f t="array" ref="O70">_xlfn.IFS('ProductSprint Backlog'!$F70="", "", AND('ProductSprint Backlog'!$J70&gt;O$2,'ProductSprint Backlog'!$I70&lt;=O$2), 'ProductSprint Backlog'!$F70 / MAX(1, 'ProductSprint Backlog'!$J70-'ProductSprint Backlog'!$I70), AND('ProductSprint Backlog'!$J70=O$2,'ProductSprint Backlog'!$I70=O$2), 'ProductSprint Backlog'!$F70, TRUE, 0)</f>
        <v>0</v>
      </c>
      <c r="P70" s="4" cm="1">
        <f t="array" ref="P70">_xlfn.IFS('ProductSprint Backlog'!$F70="", "", AND('ProductSprint Backlog'!$J70&gt;P$2,'ProductSprint Backlog'!$I70&lt;=P$2), 'ProductSprint Backlog'!$F70 / MAX(1, 'ProductSprint Backlog'!$J70-'ProductSprint Backlog'!$I70), AND('ProductSprint Backlog'!$J70=P$2,'ProductSprint Backlog'!$I70=P$2), 'ProductSprint Backlog'!$F70, TRUE, 0)</f>
        <v>0</v>
      </c>
      <c r="Q70" s="4" cm="1">
        <f t="array" ref="Q70">_xlfn.IFS('ProductSprint Backlog'!$F70="", "", AND('ProductSprint Backlog'!$J70&gt;Q$2,'ProductSprint Backlog'!$I70&lt;=Q$2), 'ProductSprint Backlog'!$F70 / MAX(1, 'ProductSprint Backlog'!$J70-'ProductSprint Backlog'!$I70), AND('ProductSprint Backlog'!$J70=Q$2,'ProductSprint Backlog'!$I70=Q$2), 'ProductSprint Backlog'!$F70, TRUE, 0)</f>
        <v>0</v>
      </c>
    </row>
    <row r="71" spans="2:17" x14ac:dyDescent="0.2">
      <c r="B71" s="4" cm="1">
        <f t="array" ref="B71">_xlfn.IFS('ProductSprint Backlog'!$F71="", "", AND('ProductSprint Backlog'!$J71&gt;B$2,'ProductSprint Backlog'!$I71&lt;=B$2), 'ProductSprint Backlog'!$F71 / MAX(1, 'ProductSprint Backlog'!$J71-'ProductSprint Backlog'!$I71), AND('ProductSprint Backlog'!$J71=B$2,'ProductSprint Backlog'!$I71=B$2), 'ProductSprint Backlog'!$F71, TRUE, 0)</f>
        <v>0</v>
      </c>
      <c r="C71" s="4" cm="1">
        <f t="array" ref="C71">_xlfn.IFS('ProductSprint Backlog'!$F71="", "", AND('ProductSprint Backlog'!$J71&gt;C$2,'ProductSprint Backlog'!$I71&lt;=C$2), 'ProductSprint Backlog'!$F71 / MAX(1, 'ProductSprint Backlog'!$J71-'ProductSprint Backlog'!$I71), AND('ProductSprint Backlog'!$J71=C$2,'ProductSprint Backlog'!$I71=C$2), 'ProductSprint Backlog'!$F71, TRUE, 0)</f>
        <v>0</v>
      </c>
      <c r="D71" s="4" cm="1">
        <f t="array" ref="D71">_xlfn.IFS('ProductSprint Backlog'!$F71="", "", AND('ProductSprint Backlog'!$J71&gt;D$2,'ProductSprint Backlog'!$I71&lt;=D$2), 'ProductSprint Backlog'!$F71 / MAX(1, 'ProductSprint Backlog'!$J71-'ProductSprint Backlog'!$I71), AND('ProductSprint Backlog'!$J71=D$2,'ProductSprint Backlog'!$I71=D$2), 'ProductSprint Backlog'!$F71, TRUE, 0)</f>
        <v>0</v>
      </c>
      <c r="E71" s="4" cm="1">
        <f t="array" ref="E71">_xlfn.IFS('ProductSprint Backlog'!$F71="", "", AND('ProductSprint Backlog'!$J71&gt;E$2,'ProductSprint Backlog'!$I71&lt;=E$2), 'ProductSprint Backlog'!$F71 / MAX(1, 'ProductSprint Backlog'!$J71-'ProductSprint Backlog'!$I71), AND('ProductSprint Backlog'!$J71=E$2,'ProductSprint Backlog'!$I71=E$2), 'ProductSprint Backlog'!$F71, TRUE, 0)</f>
        <v>0</v>
      </c>
      <c r="F71" s="4" cm="1">
        <f t="array" ref="F71">_xlfn.IFS('ProductSprint Backlog'!$F71="", "", AND('ProductSprint Backlog'!$J71&gt;F$2,'ProductSprint Backlog'!$I71&lt;=F$2), 'ProductSprint Backlog'!$F71 / MAX(1, 'ProductSprint Backlog'!$J71-'ProductSprint Backlog'!$I71), AND('ProductSprint Backlog'!$J71=F$2,'ProductSprint Backlog'!$I71=F$2), 'ProductSprint Backlog'!$F71, TRUE, 0)</f>
        <v>0</v>
      </c>
      <c r="G71" s="4" cm="1">
        <f t="array" ref="G71">_xlfn.IFS('ProductSprint Backlog'!$F71="", "", AND('ProductSprint Backlog'!$J71&gt;G$2,'ProductSprint Backlog'!$I71&lt;=G$2), 'ProductSprint Backlog'!$F71 / MAX(1, 'ProductSprint Backlog'!$J71-'ProductSprint Backlog'!$I71), AND('ProductSprint Backlog'!$J71=G$2,'ProductSprint Backlog'!$I71=G$2), 'ProductSprint Backlog'!$F71, TRUE, 0)</f>
        <v>0</v>
      </c>
      <c r="H71" s="4" cm="1">
        <f t="array" ref="H71">_xlfn.IFS('ProductSprint Backlog'!$F71="", "", AND('ProductSprint Backlog'!$J71&gt;H$2,'ProductSprint Backlog'!$I71&lt;=H$2), 'ProductSprint Backlog'!$F71 / MAX(1, 'ProductSprint Backlog'!$J71-'ProductSprint Backlog'!$I71), AND('ProductSprint Backlog'!$J71=H$2,'ProductSprint Backlog'!$I71=H$2), 'ProductSprint Backlog'!$F71, TRUE, 0)</f>
        <v>0</v>
      </c>
      <c r="I71" s="4" cm="1">
        <f t="array" ref="I71">_xlfn.IFS('ProductSprint Backlog'!$F71="", "", AND('ProductSprint Backlog'!$J71&gt;I$2,'ProductSprint Backlog'!$I71&lt;=I$2), 'ProductSprint Backlog'!$F71 / MAX(1, 'ProductSprint Backlog'!$J71-'ProductSprint Backlog'!$I71), AND('ProductSprint Backlog'!$J71=I$2,'ProductSprint Backlog'!$I71=I$2), 'ProductSprint Backlog'!$F71, TRUE, 0)</f>
        <v>0</v>
      </c>
      <c r="J71" s="4" cm="1">
        <f t="array" ref="J71">_xlfn.IFS('ProductSprint Backlog'!$F71="", "", AND('ProductSprint Backlog'!$J71&gt;J$2,'ProductSprint Backlog'!$I71&lt;=J$2), 'ProductSprint Backlog'!$F71 / MAX(1, 'ProductSprint Backlog'!$J71-'ProductSprint Backlog'!$I71), AND('ProductSprint Backlog'!$J71=J$2,'ProductSprint Backlog'!$I71=J$2), 'ProductSprint Backlog'!$F71, TRUE, 0)</f>
        <v>0</v>
      </c>
      <c r="K71" s="4" cm="1">
        <f t="array" ref="K71">_xlfn.IFS('ProductSprint Backlog'!$F71="", "", AND('ProductSprint Backlog'!$J71&gt;K$2,'ProductSprint Backlog'!$I71&lt;=K$2), 'ProductSprint Backlog'!$F71 / MAX(1, 'ProductSprint Backlog'!$J71-'ProductSprint Backlog'!$I71), AND('ProductSprint Backlog'!$J71=K$2,'ProductSprint Backlog'!$I71=K$2), 'ProductSprint Backlog'!$F71, TRUE, 0)</f>
        <v>0</v>
      </c>
      <c r="L71" s="4" cm="1">
        <f t="array" ref="L71">_xlfn.IFS('ProductSprint Backlog'!$F71="", "", AND('ProductSprint Backlog'!$J71&gt;L$2,'ProductSprint Backlog'!$I71&lt;=L$2), 'ProductSprint Backlog'!$F71 / MAX(1, 'ProductSprint Backlog'!$J71-'ProductSprint Backlog'!$I71), AND('ProductSprint Backlog'!$J71=L$2,'ProductSprint Backlog'!$I71=L$2), 'ProductSprint Backlog'!$F71, TRUE, 0)</f>
        <v>0</v>
      </c>
      <c r="M71" s="4" cm="1">
        <f t="array" ref="M71">_xlfn.IFS('ProductSprint Backlog'!$F71="", "", AND('ProductSprint Backlog'!$J71&gt;M$2,'ProductSprint Backlog'!$I71&lt;=M$2), 'ProductSprint Backlog'!$F71 / MAX(1, 'ProductSprint Backlog'!$J71-'ProductSprint Backlog'!$I71), AND('ProductSprint Backlog'!$J71=M$2,'ProductSprint Backlog'!$I71=M$2), 'ProductSprint Backlog'!$F71, TRUE, 0)</f>
        <v>0</v>
      </c>
      <c r="N71" s="4" cm="1">
        <f t="array" ref="N71">_xlfn.IFS('ProductSprint Backlog'!$F71="", "", AND('ProductSprint Backlog'!$J71&gt;N$2,'ProductSprint Backlog'!$I71&lt;=N$2), 'ProductSprint Backlog'!$F71 / MAX(1, 'ProductSprint Backlog'!$J71-'ProductSprint Backlog'!$I71), AND('ProductSprint Backlog'!$J71=N$2,'ProductSprint Backlog'!$I71=N$2), 'ProductSprint Backlog'!$F71, TRUE, 0)</f>
        <v>0</v>
      </c>
      <c r="O71" s="4" cm="1">
        <f t="array" ref="O71">_xlfn.IFS('ProductSprint Backlog'!$F71="", "", AND('ProductSprint Backlog'!$J71&gt;O$2,'ProductSprint Backlog'!$I71&lt;=O$2), 'ProductSprint Backlog'!$F71 / MAX(1, 'ProductSprint Backlog'!$J71-'ProductSprint Backlog'!$I71), AND('ProductSprint Backlog'!$J71=O$2,'ProductSprint Backlog'!$I71=O$2), 'ProductSprint Backlog'!$F71, TRUE, 0)</f>
        <v>0</v>
      </c>
      <c r="P71" s="4" cm="1">
        <f t="array" ref="P71">_xlfn.IFS('ProductSprint Backlog'!$F71="", "", AND('ProductSprint Backlog'!$J71&gt;P$2,'ProductSprint Backlog'!$I71&lt;=P$2), 'ProductSprint Backlog'!$F71 / MAX(1, 'ProductSprint Backlog'!$J71-'ProductSprint Backlog'!$I71), AND('ProductSprint Backlog'!$J71=P$2,'ProductSprint Backlog'!$I71=P$2), 'ProductSprint Backlog'!$F71, TRUE, 0)</f>
        <v>0</v>
      </c>
      <c r="Q71" s="4" cm="1">
        <f t="array" ref="Q71">_xlfn.IFS('ProductSprint Backlog'!$F71="", "", AND('ProductSprint Backlog'!$J71&gt;Q$2,'ProductSprint Backlog'!$I71&lt;=Q$2), 'ProductSprint Backlog'!$F71 / MAX(1, 'ProductSprint Backlog'!$J71-'ProductSprint Backlog'!$I71), AND('ProductSprint Backlog'!$J71=Q$2,'ProductSprint Backlog'!$I71=Q$2), 'ProductSprint Backlog'!$F71, TRUE, 0)</f>
        <v>0</v>
      </c>
    </row>
    <row r="72" spans="2:17" x14ac:dyDescent="0.2">
      <c r="B72" s="4" cm="1">
        <f t="array" ref="B72">_xlfn.IFS('ProductSprint Backlog'!$F72="", "", AND('ProductSprint Backlog'!$J72&gt;B$2,'ProductSprint Backlog'!$I72&lt;=B$2), 'ProductSprint Backlog'!$F72 / MAX(1, 'ProductSprint Backlog'!$J72-'ProductSprint Backlog'!$I72), AND('ProductSprint Backlog'!$J72=B$2,'ProductSprint Backlog'!$I72=B$2), 'ProductSprint Backlog'!$F72, TRUE, 0)</f>
        <v>0</v>
      </c>
      <c r="C72" s="4" cm="1">
        <f t="array" ref="C72">_xlfn.IFS('ProductSprint Backlog'!$F72="", "", AND('ProductSprint Backlog'!$J72&gt;C$2,'ProductSprint Backlog'!$I72&lt;=C$2), 'ProductSprint Backlog'!$F72 / MAX(1, 'ProductSprint Backlog'!$J72-'ProductSprint Backlog'!$I72), AND('ProductSprint Backlog'!$J72=C$2,'ProductSprint Backlog'!$I72=C$2), 'ProductSprint Backlog'!$F72, TRUE, 0)</f>
        <v>0</v>
      </c>
      <c r="D72" s="4" cm="1">
        <f t="array" ref="D72">_xlfn.IFS('ProductSprint Backlog'!$F72="", "", AND('ProductSprint Backlog'!$J72&gt;D$2,'ProductSprint Backlog'!$I72&lt;=D$2), 'ProductSprint Backlog'!$F72 / MAX(1, 'ProductSprint Backlog'!$J72-'ProductSprint Backlog'!$I72), AND('ProductSprint Backlog'!$J72=D$2,'ProductSprint Backlog'!$I72=D$2), 'ProductSprint Backlog'!$F72, TRUE, 0)</f>
        <v>0</v>
      </c>
      <c r="E72" s="4" cm="1">
        <f t="array" ref="E72">_xlfn.IFS('ProductSprint Backlog'!$F72="", "", AND('ProductSprint Backlog'!$J72&gt;E$2,'ProductSprint Backlog'!$I72&lt;=E$2), 'ProductSprint Backlog'!$F72 / MAX(1, 'ProductSprint Backlog'!$J72-'ProductSprint Backlog'!$I72), AND('ProductSprint Backlog'!$J72=E$2,'ProductSprint Backlog'!$I72=E$2), 'ProductSprint Backlog'!$F72, TRUE, 0)</f>
        <v>0</v>
      </c>
      <c r="F72" s="4" cm="1">
        <f t="array" ref="F72">_xlfn.IFS('ProductSprint Backlog'!$F72="", "", AND('ProductSprint Backlog'!$J72&gt;F$2,'ProductSprint Backlog'!$I72&lt;=F$2), 'ProductSprint Backlog'!$F72 / MAX(1, 'ProductSprint Backlog'!$J72-'ProductSprint Backlog'!$I72), AND('ProductSprint Backlog'!$J72=F$2,'ProductSprint Backlog'!$I72=F$2), 'ProductSprint Backlog'!$F72, TRUE, 0)</f>
        <v>0</v>
      </c>
      <c r="G72" s="4" cm="1">
        <f t="array" ref="G72">_xlfn.IFS('ProductSprint Backlog'!$F72="", "", AND('ProductSprint Backlog'!$J72&gt;G$2,'ProductSprint Backlog'!$I72&lt;=G$2), 'ProductSprint Backlog'!$F72 / MAX(1, 'ProductSprint Backlog'!$J72-'ProductSprint Backlog'!$I72), AND('ProductSprint Backlog'!$J72=G$2,'ProductSprint Backlog'!$I72=G$2), 'ProductSprint Backlog'!$F72, TRUE, 0)</f>
        <v>0</v>
      </c>
      <c r="H72" s="4" cm="1">
        <f t="array" ref="H72">_xlfn.IFS('ProductSprint Backlog'!$F72="", "", AND('ProductSprint Backlog'!$J72&gt;H$2,'ProductSprint Backlog'!$I72&lt;=H$2), 'ProductSprint Backlog'!$F72 / MAX(1, 'ProductSprint Backlog'!$J72-'ProductSprint Backlog'!$I72), AND('ProductSprint Backlog'!$J72=H$2,'ProductSprint Backlog'!$I72=H$2), 'ProductSprint Backlog'!$F72, TRUE, 0)</f>
        <v>0</v>
      </c>
      <c r="I72" s="4" cm="1">
        <f t="array" ref="I72">_xlfn.IFS('ProductSprint Backlog'!$F72="", "", AND('ProductSprint Backlog'!$J72&gt;I$2,'ProductSprint Backlog'!$I72&lt;=I$2), 'ProductSprint Backlog'!$F72 / MAX(1, 'ProductSprint Backlog'!$J72-'ProductSprint Backlog'!$I72), AND('ProductSprint Backlog'!$J72=I$2,'ProductSprint Backlog'!$I72=I$2), 'ProductSprint Backlog'!$F72, TRUE, 0)</f>
        <v>0</v>
      </c>
      <c r="J72" s="4" cm="1">
        <f t="array" ref="J72">_xlfn.IFS('ProductSprint Backlog'!$F72="", "", AND('ProductSprint Backlog'!$J72&gt;J$2,'ProductSprint Backlog'!$I72&lt;=J$2), 'ProductSprint Backlog'!$F72 / MAX(1, 'ProductSprint Backlog'!$J72-'ProductSprint Backlog'!$I72), AND('ProductSprint Backlog'!$J72=J$2,'ProductSprint Backlog'!$I72=J$2), 'ProductSprint Backlog'!$F72, TRUE, 0)</f>
        <v>0</v>
      </c>
      <c r="K72" s="4" cm="1">
        <f t="array" ref="K72">_xlfn.IFS('ProductSprint Backlog'!$F72="", "", AND('ProductSprint Backlog'!$J72&gt;K$2,'ProductSprint Backlog'!$I72&lt;=K$2), 'ProductSprint Backlog'!$F72 / MAX(1, 'ProductSprint Backlog'!$J72-'ProductSprint Backlog'!$I72), AND('ProductSprint Backlog'!$J72=K$2,'ProductSprint Backlog'!$I72=K$2), 'ProductSprint Backlog'!$F72, TRUE, 0)</f>
        <v>0</v>
      </c>
      <c r="L72" s="4" cm="1">
        <f t="array" ref="L72">_xlfn.IFS('ProductSprint Backlog'!$F72="", "", AND('ProductSprint Backlog'!$J72&gt;L$2,'ProductSprint Backlog'!$I72&lt;=L$2), 'ProductSprint Backlog'!$F72 / MAX(1, 'ProductSprint Backlog'!$J72-'ProductSprint Backlog'!$I72), AND('ProductSprint Backlog'!$J72=L$2,'ProductSprint Backlog'!$I72=L$2), 'ProductSprint Backlog'!$F72, TRUE, 0)</f>
        <v>0</v>
      </c>
      <c r="M72" s="4" cm="1">
        <f t="array" ref="M72">_xlfn.IFS('ProductSprint Backlog'!$F72="", "", AND('ProductSprint Backlog'!$J72&gt;M$2,'ProductSprint Backlog'!$I72&lt;=M$2), 'ProductSprint Backlog'!$F72 / MAX(1, 'ProductSprint Backlog'!$J72-'ProductSprint Backlog'!$I72), AND('ProductSprint Backlog'!$J72=M$2,'ProductSprint Backlog'!$I72=M$2), 'ProductSprint Backlog'!$F72, TRUE, 0)</f>
        <v>0</v>
      </c>
      <c r="N72" s="4" cm="1">
        <f t="array" ref="N72">_xlfn.IFS('ProductSprint Backlog'!$F72="", "", AND('ProductSprint Backlog'!$J72&gt;N$2,'ProductSprint Backlog'!$I72&lt;=N$2), 'ProductSprint Backlog'!$F72 / MAX(1, 'ProductSprint Backlog'!$J72-'ProductSprint Backlog'!$I72), AND('ProductSprint Backlog'!$J72=N$2,'ProductSprint Backlog'!$I72=N$2), 'ProductSprint Backlog'!$F72, TRUE, 0)</f>
        <v>0</v>
      </c>
      <c r="O72" s="4" cm="1">
        <f t="array" ref="O72">_xlfn.IFS('ProductSprint Backlog'!$F72="", "", AND('ProductSprint Backlog'!$J72&gt;O$2,'ProductSprint Backlog'!$I72&lt;=O$2), 'ProductSprint Backlog'!$F72 / MAX(1, 'ProductSprint Backlog'!$J72-'ProductSprint Backlog'!$I72), AND('ProductSprint Backlog'!$J72=O$2,'ProductSprint Backlog'!$I72=O$2), 'ProductSprint Backlog'!$F72, TRUE, 0)</f>
        <v>0</v>
      </c>
      <c r="P72" s="4" cm="1">
        <f t="array" ref="P72">_xlfn.IFS('ProductSprint Backlog'!$F72="", "", AND('ProductSprint Backlog'!$J72&gt;P$2,'ProductSprint Backlog'!$I72&lt;=P$2), 'ProductSprint Backlog'!$F72 / MAX(1, 'ProductSprint Backlog'!$J72-'ProductSprint Backlog'!$I72), AND('ProductSprint Backlog'!$J72=P$2,'ProductSprint Backlog'!$I72=P$2), 'ProductSprint Backlog'!$F72, TRUE, 0)</f>
        <v>0</v>
      </c>
      <c r="Q72" s="4" cm="1">
        <f t="array" ref="Q72">_xlfn.IFS('ProductSprint Backlog'!$F72="", "", AND('ProductSprint Backlog'!$J72&gt;Q$2,'ProductSprint Backlog'!$I72&lt;=Q$2), 'ProductSprint Backlog'!$F72 / MAX(1, 'ProductSprint Backlog'!$J72-'ProductSprint Backlog'!$I72), AND('ProductSprint Backlog'!$J72=Q$2,'ProductSprint Backlog'!$I72=Q$2), 'ProductSprint Backlog'!$F72, TRUE, 0)</f>
        <v>0</v>
      </c>
    </row>
    <row r="73" spans="2:17" x14ac:dyDescent="0.2">
      <c r="B73" s="4" t="str" cm="1">
        <f t="array" ref="B73">_xlfn.IFS('ProductSprint Backlog'!$F73="", "", AND('ProductSprint Backlog'!$J73&gt;B$2,'ProductSprint Backlog'!$I73&lt;=B$2), 'ProductSprint Backlog'!$F73 / MAX(1, 'ProductSprint Backlog'!$J73-'ProductSprint Backlog'!$I73), AND('ProductSprint Backlog'!$J73=B$2,'ProductSprint Backlog'!$I73=B$2), 'ProductSprint Backlog'!$F73, TRUE, 0)</f>
        <v/>
      </c>
      <c r="C73" s="4" t="str" cm="1">
        <f t="array" ref="C73">_xlfn.IFS('ProductSprint Backlog'!$F73="", "", AND('ProductSprint Backlog'!$J73&gt;C$2,'ProductSprint Backlog'!$I73&lt;=C$2), 'ProductSprint Backlog'!$F73 / MAX(1, 'ProductSprint Backlog'!$J73-'ProductSprint Backlog'!$I73), AND('ProductSprint Backlog'!$J73=C$2,'ProductSprint Backlog'!$I73=C$2), 'ProductSprint Backlog'!$F73, TRUE, 0)</f>
        <v/>
      </c>
      <c r="D73" s="4" t="str" cm="1">
        <f t="array" ref="D73">_xlfn.IFS('ProductSprint Backlog'!$F73="", "", AND('ProductSprint Backlog'!$J73&gt;D$2,'ProductSprint Backlog'!$I73&lt;=D$2), 'ProductSprint Backlog'!$F73 / MAX(1, 'ProductSprint Backlog'!$J73-'ProductSprint Backlog'!$I73), AND('ProductSprint Backlog'!$J73=D$2,'ProductSprint Backlog'!$I73=D$2), 'ProductSprint Backlog'!$F73, TRUE, 0)</f>
        <v/>
      </c>
      <c r="E73" s="4" t="str" cm="1">
        <f t="array" ref="E73">_xlfn.IFS('ProductSprint Backlog'!$F73="", "", AND('ProductSprint Backlog'!$J73&gt;E$2,'ProductSprint Backlog'!$I73&lt;=E$2), 'ProductSprint Backlog'!$F73 / MAX(1, 'ProductSprint Backlog'!$J73-'ProductSprint Backlog'!$I73), AND('ProductSprint Backlog'!$J73=E$2,'ProductSprint Backlog'!$I73=E$2), 'ProductSprint Backlog'!$F73, TRUE, 0)</f>
        <v/>
      </c>
      <c r="F73" s="4" t="str" cm="1">
        <f t="array" ref="F73">_xlfn.IFS('ProductSprint Backlog'!$F73="", "", AND('ProductSprint Backlog'!$J73&gt;F$2,'ProductSprint Backlog'!$I73&lt;=F$2), 'ProductSprint Backlog'!$F73 / MAX(1, 'ProductSprint Backlog'!$J73-'ProductSprint Backlog'!$I73), AND('ProductSprint Backlog'!$J73=F$2,'ProductSprint Backlog'!$I73=F$2), 'ProductSprint Backlog'!$F73, TRUE, 0)</f>
        <v/>
      </c>
      <c r="G73" s="4" t="str" cm="1">
        <f t="array" ref="G73">_xlfn.IFS('ProductSprint Backlog'!$F73="", "", AND('ProductSprint Backlog'!$J73&gt;G$2,'ProductSprint Backlog'!$I73&lt;=G$2), 'ProductSprint Backlog'!$F73 / MAX(1, 'ProductSprint Backlog'!$J73-'ProductSprint Backlog'!$I73), AND('ProductSprint Backlog'!$J73=G$2,'ProductSprint Backlog'!$I73=G$2), 'ProductSprint Backlog'!$F73, TRUE, 0)</f>
        <v/>
      </c>
      <c r="H73" s="4" t="str" cm="1">
        <f t="array" ref="H73">_xlfn.IFS('ProductSprint Backlog'!$F73="", "", AND('ProductSprint Backlog'!$J73&gt;H$2,'ProductSprint Backlog'!$I73&lt;=H$2), 'ProductSprint Backlog'!$F73 / MAX(1, 'ProductSprint Backlog'!$J73-'ProductSprint Backlog'!$I73), AND('ProductSprint Backlog'!$J73=H$2,'ProductSprint Backlog'!$I73=H$2), 'ProductSprint Backlog'!$F73, TRUE, 0)</f>
        <v/>
      </c>
      <c r="I73" s="4" t="str" cm="1">
        <f t="array" ref="I73">_xlfn.IFS('ProductSprint Backlog'!$F73="", "", AND('ProductSprint Backlog'!$J73&gt;I$2,'ProductSprint Backlog'!$I73&lt;=I$2), 'ProductSprint Backlog'!$F73 / MAX(1, 'ProductSprint Backlog'!$J73-'ProductSprint Backlog'!$I73), AND('ProductSprint Backlog'!$J73=I$2,'ProductSprint Backlog'!$I73=I$2), 'ProductSprint Backlog'!$F73, TRUE, 0)</f>
        <v/>
      </c>
      <c r="J73" s="4" t="str" cm="1">
        <f t="array" ref="J73">_xlfn.IFS('ProductSprint Backlog'!$F73="", "", AND('ProductSprint Backlog'!$J73&gt;J$2,'ProductSprint Backlog'!$I73&lt;=J$2), 'ProductSprint Backlog'!$F73 / MAX(1, 'ProductSprint Backlog'!$J73-'ProductSprint Backlog'!$I73), AND('ProductSprint Backlog'!$J73=J$2,'ProductSprint Backlog'!$I73=J$2), 'ProductSprint Backlog'!$F73, TRUE, 0)</f>
        <v/>
      </c>
      <c r="K73" s="4" t="str" cm="1">
        <f t="array" ref="K73">_xlfn.IFS('ProductSprint Backlog'!$F73="", "", AND('ProductSprint Backlog'!$J73&gt;K$2,'ProductSprint Backlog'!$I73&lt;=K$2), 'ProductSprint Backlog'!$F73 / MAX(1, 'ProductSprint Backlog'!$J73-'ProductSprint Backlog'!$I73), AND('ProductSprint Backlog'!$J73=K$2,'ProductSprint Backlog'!$I73=K$2), 'ProductSprint Backlog'!$F73, TRUE, 0)</f>
        <v/>
      </c>
      <c r="L73" s="4" t="str" cm="1">
        <f t="array" ref="L73">_xlfn.IFS('ProductSprint Backlog'!$F73="", "", AND('ProductSprint Backlog'!$J73&gt;L$2,'ProductSprint Backlog'!$I73&lt;=L$2), 'ProductSprint Backlog'!$F73 / MAX(1, 'ProductSprint Backlog'!$J73-'ProductSprint Backlog'!$I73), AND('ProductSprint Backlog'!$J73=L$2,'ProductSprint Backlog'!$I73=L$2), 'ProductSprint Backlog'!$F73, TRUE, 0)</f>
        <v/>
      </c>
      <c r="M73" s="4" t="str" cm="1">
        <f t="array" ref="M73">_xlfn.IFS('ProductSprint Backlog'!$F73="", "", AND('ProductSprint Backlog'!$J73&gt;M$2,'ProductSprint Backlog'!$I73&lt;=M$2), 'ProductSprint Backlog'!$F73 / MAX(1, 'ProductSprint Backlog'!$J73-'ProductSprint Backlog'!$I73), AND('ProductSprint Backlog'!$J73=M$2,'ProductSprint Backlog'!$I73=M$2), 'ProductSprint Backlog'!$F73, TRUE, 0)</f>
        <v/>
      </c>
      <c r="N73" s="4" t="str" cm="1">
        <f t="array" ref="N73">_xlfn.IFS('ProductSprint Backlog'!$F73="", "", AND('ProductSprint Backlog'!$J73&gt;N$2,'ProductSprint Backlog'!$I73&lt;=N$2), 'ProductSprint Backlog'!$F73 / MAX(1, 'ProductSprint Backlog'!$J73-'ProductSprint Backlog'!$I73), AND('ProductSprint Backlog'!$J73=N$2,'ProductSprint Backlog'!$I73=N$2), 'ProductSprint Backlog'!$F73, TRUE, 0)</f>
        <v/>
      </c>
      <c r="O73" s="4" t="str" cm="1">
        <f t="array" ref="O73">_xlfn.IFS('ProductSprint Backlog'!$F73="", "", AND('ProductSprint Backlog'!$J73&gt;O$2,'ProductSprint Backlog'!$I73&lt;=O$2), 'ProductSprint Backlog'!$F73 / MAX(1, 'ProductSprint Backlog'!$J73-'ProductSprint Backlog'!$I73), AND('ProductSprint Backlog'!$J73=O$2,'ProductSprint Backlog'!$I73=O$2), 'ProductSprint Backlog'!$F73, TRUE, 0)</f>
        <v/>
      </c>
      <c r="P73" s="4" t="str" cm="1">
        <f t="array" ref="P73">_xlfn.IFS('ProductSprint Backlog'!$F73="", "", AND('ProductSprint Backlog'!$J73&gt;P$2,'ProductSprint Backlog'!$I73&lt;=P$2), 'ProductSprint Backlog'!$F73 / MAX(1, 'ProductSprint Backlog'!$J73-'ProductSprint Backlog'!$I73), AND('ProductSprint Backlog'!$J73=P$2,'ProductSprint Backlog'!$I73=P$2), 'ProductSprint Backlog'!$F73, TRUE, 0)</f>
        <v/>
      </c>
      <c r="Q73" s="4" t="str" cm="1">
        <f t="array" ref="Q73">_xlfn.IFS('ProductSprint Backlog'!$F73="", "", AND('ProductSprint Backlog'!$J73&gt;Q$2,'ProductSprint Backlog'!$I73&lt;=Q$2), 'ProductSprint Backlog'!$F73 / MAX(1, 'ProductSprint Backlog'!$J73-'ProductSprint Backlog'!$I73), AND('ProductSprint Backlog'!$J73=Q$2,'ProductSprint Backlog'!$I73=Q$2), 'ProductSprint Backlog'!$F73, TRUE, 0)</f>
        <v/>
      </c>
    </row>
    <row r="74" spans="2:17" x14ac:dyDescent="0.2">
      <c r="B74" s="4" cm="1">
        <f t="array" ref="B74">_xlfn.IFS('ProductSprint Backlog'!$F74="", "", AND('ProductSprint Backlog'!$J74&gt;B$2,'ProductSprint Backlog'!$I74&lt;=B$2), 'ProductSprint Backlog'!$F74 / MAX(1, 'ProductSprint Backlog'!$J74-'ProductSprint Backlog'!$I74), AND('ProductSprint Backlog'!$J74=B$2,'ProductSprint Backlog'!$I74=B$2), 'ProductSprint Backlog'!$F74, TRUE, 0)</f>
        <v>0</v>
      </c>
      <c r="C74" s="4" cm="1">
        <f t="array" ref="C74">_xlfn.IFS('ProductSprint Backlog'!$F74="", "", AND('ProductSprint Backlog'!$J74&gt;C$2,'ProductSprint Backlog'!$I74&lt;=C$2), 'ProductSprint Backlog'!$F74 / MAX(1, 'ProductSprint Backlog'!$J74-'ProductSprint Backlog'!$I74), AND('ProductSprint Backlog'!$J74=C$2,'ProductSprint Backlog'!$I74=C$2), 'ProductSprint Backlog'!$F74, TRUE, 0)</f>
        <v>0</v>
      </c>
      <c r="D74" s="4" cm="1">
        <f t="array" ref="D74">_xlfn.IFS('ProductSprint Backlog'!$F74="", "", AND('ProductSprint Backlog'!$J74&gt;D$2,'ProductSprint Backlog'!$I74&lt;=D$2), 'ProductSprint Backlog'!$F74 / MAX(1, 'ProductSprint Backlog'!$J74-'ProductSprint Backlog'!$I74), AND('ProductSprint Backlog'!$J74=D$2,'ProductSprint Backlog'!$I74=D$2), 'ProductSprint Backlog'!$F74, TRUE, 0)</f>
        <v>0</v>
      </c>
      <c r="E74" s="4" cm="1">
        <f t="array" ref="E74">_xlfn.IFS('ProductSprint Backlog'!$F74="", "", AND('ProductSprint Backlog'!$J74&gt;E$2,'ProductSprint Backlog'!$I74&lt;=E$2), 'ProductSprint Backlog'!$F74 / MAX(1, 'ProductSprint Backlog'!$J74-'ProductSprint Backlog'!$I74), AND('ProductSprint Backlog'!$J74=E$2,'ProductSprint Backlog'!$I74=E$2), 'ProductSprint Backlog'!$F74, TRUE, 0)</f>
        <v>0</v>
      </c>
      <c r="F74" s="4" cm="1">
        <f t="array" ref="F74">_xlfn.IFS('ProductSprint Backlog'!$F74="", "", AND('ProductSprint Backlog'!$J74&gt;F$2,'ProductSprint Backlog'!$I74&lt;=F$2), 'ProductSprint Backlog'!$F74 / MAX(1, 'ProductSprint Backlog'!$J74-'ProductSprint Backlog'!$I74), AND('ProductSprint Backlog'!$J74=F$2,'ProductSprint Backlog'!$I74=F$2), 'ProductSprint Backlog'!$F74, TRUE, 0)</f>
        <v>0</v>
      </c>
      <c r="G74" s="4" cm="1">
        <f t="array" ref="G74">_xlfn.IFS('ProductSprint Backlog'!$F74="", "", AND('ProductSprint Backlog'!$J74&gt;G$2,'ProductSprint Backlog'!$I74&lt;=G$2), 'ProductSprint Backlog'!$F74 / MAX(1, 'ProductSprint Backlog'!$J74-'ProductSprint Backlog'!$I74), AND('ProductSprint Backlog'!$J74=G$2,'ProductSprint Backlog'!$I74=G$2), 'ProductSprint Backlog'!$F74, TRUE, 0)</f>
        <v>0</v>
      </c>
      <c r="H74" s="4" cm="1">
        <f t="array" ref="H74">_xlfn.IFS('ProductSprint Backlog'!$F74="", "", AND('ProductSprint Backlog'!$J74&gt;H$2,'ProductSprint Backlog'!$I74&lt;=H$2), 'ProductSprint Backlog'!$F74 / MAX(1, 'ProductSprint Backlog'!$J74-'ProductSprint Backlog'!$I74), AND('ProductSprint Backlog'!$J74=H$2,'ProductSprint Backlog'!$I74=H$2), 'ProductSprint Backlog'!$F74, TRUE, 0)</f>
        <v>0</v>
      </c>
      <c r="I74" s="4" cm="1">
        <f t="array" ref="I74">_xlfn.IFS('ProductSprint Backlog'!$F74="", "", AND('ProductSprint Backlog'!$J74&gt;I$2,'ProductSprint Backlog'!$I74&lt;=I$2), 'ProductSprint Backlog'!$F74 / MAX(1, 'ProductSprint Backlog'!$J74-'ProductSprint Backlog'!$I74), AND('ProductSprint Backlog'!$J74=I$2,'ProductSprint Backlog'!$I74=I$2), 'ProductSprint Backlog'!$F74, TRUE, 0)</f>
        <v>0</v>
      </c>
      <c r="J74" s="4" cm="1">
        <f t="array" ref="J74">_xlfn.IFS('ProductSprint Backlog'!$F74="", "", AND('ProductSprint Backlog'!$J74&gt;J$2,'ProductSprint Backlog'!$I74&lt;=J$2), 'ProductSprint Backlog'!$F74 / MAX(1, 'ProductSprint Backlog'!$J74-'ProductSprint Backlog'!$I74), AND('ProductSprint Backlog'!$J74=J$2,'ProductSprint Backlog'!$I74=J$2), 'ProductSprint Backlog'!$F74, TRUE, 0)</f>
        <v>0</v>
      </c>
      <c r="K74" s="4" cm="1">
        <f t="array" ref="K74">_xlfn.IFS('ProductSprint Backlog'!$F74="", "", AND('ProductSprint Backlog'!$J74&gt;K$2,'ProductSprint Backlog'!$I74&lt;=K$2), 'ProductSprint Backlog'!$F74 / MAX(1, 'ProductSprint Backlog'!$J74-'ProductSprint Backlog'!$I74), AND('ProductSprint Backlog'!$J74=K$2,'ProductSprint Backlog'!$I74=K$2), 'ProductSprint Backlog'!$F74, TRUE, 0)</f>
        <v>0</v>
      </c>
      <c r="L74" s="4" cm="1">
        <f t="array" ref="L74">_xlfn.IFS('ProductSprint Backlog'!$F74="", "", AND('ProductSprint Backlog'!$J74&gt;L$2,'ProductSprint Backlog'!$I74&lt;=L$2), 'ProductSprint Backlog'!$F74 / MAX(1, 'ProductSprint Backlog'!$J74-'ProductSprint Backlog'!$I74), AND('ProductSprint Backlog'!$J74=L$2,'ProductSprint Backlog'!$I74=L$2), 'ProductSprint Backlog'!$F74, TRUE, 0)</f>
        <v>0</v>
      </c>
      <c r="M74" s="4" cm="1">
        <f t="array" ref="M74">_xlfn.IFS('ProductSprint Backlog'!$F74="", "", AND('ProductSprint Backlog'!$J74&gt;M$2,'ProductSprint Backlog'!$I74&lt;=M$2), 'ProductSprint Backlog'!$F74 / MAX(1, 'ProductSprint Backlog'!$J74-'ProductSprint Backlog'!$I74), AND('ProductSprint Backlog'!$J74=M$2,'ProductSprint Backlog'!$I74=M$2), 'ProductSprint Backlog'!$F74, TRUE, 0)</f>
        <v>0</v>
      </c>
      <c r="N74" s="4" cm="1">
        <f t="array" ref="N74">_xlfn.IFS('ProductSprint Backlog'!$F74="", "", AND('ProductSprint Backlog'!$J74&gt;N$2,'ProductSprint Backlog'!$I74&lt;=N$2), 'ProductSprint Backlog'!$F74 / MAX(1, 'ProductSprint Backlog'!$J74-'ProductSprint Backlog'!$I74), AND('ProductSprint Backlog'!$J74=N$2,'ProductSprint Backlog'!$I74=N$2), 'ProductSprint Backlog'!$F74, TRUE, 0)</f>
        <v>0</v>
      </c>
      <c r="O74" s="4" cm="1">
        <f t="array" ref="O74">_xlfn.IFS('ProductSprint Backlog'!$F74="", "", AND('ProductSprint Backlog'!$J74&gt;O$2,'ProductSprint Backlog'!$I74&lt;=O$2), 'ProductSprint Backlog'!$F74 / MAX(1, 'ProductSprint Backlog'!$J74-'ProductSprint Backlog'!$I74), AND('ProductSprint Backlog'!$J74=O$2,'ProductSprint Backlog'!$I74=O$2), 'ProductSprint Backlog'!$F74, TRUE, 0)</f>
        <v>0</v>
      </c>
      <c r="P74" s="4" cm="1">
        <f t="array" ref="P74">_xlfn.IFS('ProductSprint Backlog'!$F74="", "", AND('ProductSprint Backlog'!$J74&gt;P$2,'ProductSprint Backlog'!$I74&lt;=P$2), 'ProductSprint Backlog'!$F74 / MAX(1, 'ProductSprint Backlog'!$J74-'ProductSprint Backlog'!$I74), AND('ProductSprint Backlog'!$J74=P$2,'ProductSprint Backlog'!$I74=P$2), 'ProductSprint Backlog'!$F74, TRUE, 0)</f>
        <v>0</v>
      </c>
      <c r="Q74" s="4" cm="1">
        <f t="array" ref="Q74">_xlfn.IFS('ProductSprint Backlog'!$F74="", "", AND('ProductSprint Backlog'!$J74&gt;Q$2,'ProductSprint Backlog'!$I74&lt;=Q$2), 'ProductSprint Backlog'!$F74 / MAX(1, 'ProductSprint Backlog'!$J74-'ProductSprint Backlog'!$I74), AND('ProductSprint Backlog'!$J74=Q$2,'ProductSprint Backlog'!$I74=Q$2), 'ProductSprint Backlog'!$F74, TRUE, 0)</f>
        <v>0</v>
      </c>
    </row>
    <row r="75" spans="2:17" x14ac:dyDescent="0.2">
      <c r="B75" s="4" cm="1">
        <f t="array" ref="B75">_xlfn.IFS('ProductSprint Backlog'!$F75="", "", AND('ProductSprint Backlog'!$J75&gt;B$2,'ProductSprint Backlog'!$I75&lt;=B$2), 'ProductSprint Backlog'!$F75 / MAX(1, 'ProductSprint Backlog'!$J75-'ProductSprint Backlog'!$I75), AND('ProductSprint Backlog'!$J75=B$2,'ProductSprint Backlog'!$I75=B$2), 'ProductSprint Backlog'!$F75, TRUE, 0)</f>
        <v>0</v>
      </c>
      <c r="C75" s="4" cm="1">
        <f t="array" ref="C75">_xlfn.IFS('ProductSprint Backlog'!$F75="", "", AND('ProductSprint Backlog'!$J75&gt;C$2,'ProductSprint Backlog'!$I75&lt;=C$2), 'ProductSprint Backlog'!$F75 / MAX(1, 'ProductSprint Backlog'!$J75-'ProductSprint Backlog'!$I75), AND('ProductSprint Backlog'!$J75=C$2,'ProductSprint Backlog'!$I75=C$2), 'ProductSprint Backlog'!$F75, TRUE, 0)</f>
        <v>0</v>
      </c>
      <c r="D75" s="4" cm="1">
        <f t="array" ref="D75">_xlfn.IFS('ProductSprint Backlog'!$F75="", "", AND('ProductSprint Backlog'!$J75&gt;D$2,'ProductSprint Backlog'!$I75&lt;=D$2), 'ProductSprint Backlog'!$F75 / MAX(1, 'ProductSprint Backlog'!$J75-'ProductSprint Backlog'!$I75), AND('ProductSprint Backlog'!$J75=D$2,'ProductSprint Backlog'!$I75=D$2), 'ProductSprint Backlog'!$F75, TRUE, 0)</f>
        <v>0</v>
      </c>
      <c r="E75" s="4" cm="1">
        <f t="array" ref="E75">_xlfn.IFS('ProductSprint Backlog'!$F75="", "", AND('ProductSprint Backlog'!$J75&gt;E$2,'ProductSprint Backlog'!$I75&lt;=E$2), 'ProductSprint Backlog'!$F75 / MAX(1, 'ProductSprint Backlog'!$J75-'ProductSprint Backlog'!$I75), AND('ProductSprint Backlog'!$J75=E$2,'ProductSprint Backlog'!$I75=E$2), 'ProductSprint Backlog'!$F75, TRUE, 0)</f>
        <v>0</v>
      </c>
      <c r="F75" s="4" cm="1">
        <f t="array" ref="F75">_xlfn.IFS('ProductSprint Backlog'!$F75="", "", AND('ProductSprint Backlog'!$J75&gt;F$2,'ProductSprint Backlog'!$I75&lt;=F$2), 'ProductSprint Backlog'!$F75 / MAX(1, 'ProductSprint Backlog'!$J75-'ProductSprint Backlog'!$I75), AND('ProductSprint Backlog'!$J75=F$2,'ProductSprint Backlog'!$I75=F$2), 'ProductSprint Backlog'!$F75, TRUE, 0)</f>
        <v>0</v>
      </c>
      <c r="G75" s="4" cm="1">
        <f t="array" ref="G75">_xlfn.IFS('ProductSprint Backlog'!$F75="", "", AND('ProductSprint Backlog'!$J75&gt;G$2,'ProductSprint Backlog'!$I75&lt;=G$2), 'ProductSprint Backlog'!$F75 / MAX(1, 'ProductSprint Backlog'!$J75-'ProductSprint Backlog'!$I75), AND('ProductSprint Backlog'!$J75=G$2,'ProductSprint Backlog'!$I75=G$2), 'ProductSprint Backlog'!$F75, TRUE, 0)</f>
        <v>0</v>
      </c>
      <c r="H75" s="4" cm="1">
        <f t="array" ref="H75">_xlfn.IFS('ProductSprint Backlog'!$F75="", "", AND('ProductSprint Backlog'!$J75&gt;H$2,'ProductSprint Backlog'!$I75&lt;=H$2), 'ProductSprint Backlog'!$F75 / MAX(1, 'ProductSprint Backlog'!$J75-'ProductSprint Backlog'!$I75), AND('ProductSprint Backlog'!$J75=H$2,'ProductSprint Backlog'!$I75=H$2), 'ProductSprint Backlog'!$F75, TRUE, 0)</f>
        <v>0</v>
      </c>
      <c r="I75" s="4" cm="1">
        <f t="array" ref="I75">_xlfn.IFS('ProductSprint Backlog'!$F75="", "", AND('ProductSprint Backlog'!$J75&gt;I$2,'ProductSprint Backlog'!$I75&lt;=I$2), 'ProductSprint Backlog'!$F75 / MAX(1, 'ProductSprint Backlog'!$J75-'ProductSprint Backlog'!$I75), AND('ProductSprint Backlog'!$J75=I$2,'ProductSprint Backlog'!$I75=I$2), 'ProductSprint Backlog'!$F75, TRUE, 0)</f>
        <v>0</v>
      </c>
      <c r="J75" s="4" cm="1">
        <f t="array" ref="J75">_xlfn.IFS('ProductSprint Backlog'!$F75="", "", AND('ProductSprint Backlog'!$J75&gt;J$2,'ProductSprint Backlog'!$I75&lt;=J$2), 'ProductSprint Backlog'!$F75 / MAX(1, 'ProductSprint Backlog'!$J75-'ProductSprint Backlog'!$I75), AND('ProductSprint Backlog'!$J75=J$2,'ProductSprint Backlog'!$I75=J$2), 'ProductSprint Backlog'!$F75, TRUE, 0)</f>
        <v>0</v>
      </c>
      <c r="K75" s="4" cm="1">
        <f t="array" ref="K75">_xlfn.IFS('ProductSprint Backlog'!$F75="", "", AND('ProductSprint Backlog'!$J75&gt;K$2,'ProductSprint Backlog'!$I75&lt;=K$2), 'ProductSprint Backlog'!$F75 / MAX(1, 'ProductSprint Backlog'!$J75-'ProductSprint Backlog'!$I75), AND('ProductSprint Backlog'!$J75=K$2,'ProductSprint Backlog'!$I75=K$2), 'ProductSprint Backlog'!$F75, TRUE, 0)</f>
        <v>0</v>
      </c>
      <c r="L75" s="4" cm="1">
        <f t="array" ref="L75">_xlfn.IFS('ProductSprint Backlog'!$F75="", "", AND('ProductSprint Backlog'!$J75&gt;L$2,'ProductSprint Backlog'!$I75&lt;=L$2), 'ProductSprint Backlog'!$F75 / MAX(1, 'ProductSprint Backlog'!$J75-'ProductSprint Backlog'!$I75), AND('ProductSprint Backlog'!$J75=L$2,'ProductSprint Backlog'!$I75=L$2), 'ProductSprint Backlog'!$F75, TRUE, 0)</f>
        <v>0</v>
      </c>
      <c r="M75" s="4" cm="1">
        <f t="array" ref="M75">_xlfn.IFS('ProductSprint Backlog'!$F75="", "", AND('ProductSprint Backlog'!$J75&gt;M$2,'ProductSprint Backlog'!$I75&lt;=M$2), 'ProductSprint Backlog'!$F75 / MAX(1, 'ProductSprint Backlog'!$J75-'ProductSprint Backlog'!$I75), AND('ProductSprint Backlog'!$J75=M$2,'ProductSprint Backlog'!$I75=M$2), 'ProductSprint Backlog'!$F75, TRUE, 0)</f>
        <v>0</v>
      </c>
      <c r="N75" s="4" cm="1">
        <f t="array" ref="N75">_xlfn.IFS('ProductSprint Backlog'!$F75="", "", AND('ProductSprint Backlog'!$J75&gt;N$2,'ProductSprint Backlog'!$I75&lt;=N$2), 'ProductSprint Backlog'!$F75 / MAX(1, 'ProductSprint Backlog'!$J75-'ProductSprint Backlog'!$I75), AND('ProductSprint Backlog'!$J75=N$2,'ProductSprint Backlog'!$I75=N$2), 'ProductSprint Backlog'!$F75, TRUE, 0)</f>
        <v>0</v>
      </c>
      <c r="O75" s="4" cm="1">
        <f t="array" ref="O75">_xlfn.IFS('ProductSprint Backlog'!$F75="", "", AND('ProductSprint Backlog'!$J75&gt;O$2,'ProductSprint Backlog'!$I75&lt;=O$2), 'ProductSprint Backlog'!$F75 / MAX(1, 'ProductSprint Backlog'!$J75-'ProductSprint Backlog'!$I75), AND('ProductSprint Backlog'!$J75=O$2,'ProductSprint Backlog'!$I75=O$2), 'ProductSprint Backlog'!$F75, TRUE, 0)</f>
        <v>0</v>
      </c>
      <c r="P75" s="4" cm="1">
        <f t="array" ref="P75">_xlfn.IFS('ProductSprint Backlog'!$F75="", "", AND('ProductSprint Backlog'!$J75&gt;P$2,'ProductSprint Backlog'!$I75&lt;=P$2), 'ProductSprint Backlog'!$F75 / MAX(1, 'ProductSprint Backlog'!$J75-'ProductSprint Backlog'!$I75), AND('ProductSprint Backlog'!$J75=P$2,'ProductSprint Backlog'!$I75=P$2), 'ProductSprint Backlog'!$F75, TRUE, 0)</f>
        <v>0</v>
      </c>
      <c r="Q75" s="4" cm="1">
        <f t="array" ref="Q75">_xlfn.IFS('ProductSprint Backlog'!$F75="", "", AND('ProductSprint Backlog'!$J75&gt;Q$2,'ProductSprint Backlog'!$I75&lt;=Q$2), 'ProductSprint Backlog'!$F75 / MAX(1, 'ProductSprint Backlog'!$J75-'ProductSprint Backlog'!$I75), AND('ProductSprint Backlog'!$J75=Q$2,'ProductSprint Backlog'!$I75=Q$2), 'ProductSprint Backlog'!$F75, TRUE, 0)</f>
        <v>0</v>
      </c>
    </row>
    <row r="76" spans="2:17" x14ac:dyDescent="0.2">
      <c r="B76" s="4" cm="1">
        <f t="array" ref="B76">_xlfn.IFS('ProductSprint Backlog'!$F76="", "", AND('ProductSprint Backlog'!$J76&gt;B$2,'ProductSprint Backlog'!$I76&lt;=B$2), 'ProductSprint Backlog'!$F76 / MAX(1, 'ProductSprint Backlog'!$J76-'ProductSprint Backlog'!$I76), AND('ProductSprint Backlog'!$J76=B$2,'ProductSprint Backlog'!$I76=B$2), 'ProductSprint Backlog'!$F76, TRUE, 0)</f>
        <v>0</v>
      </c>
      <c r="C76" s="4" cm="1">
        <f t="array" ref="C76">_xlfn.IFS('ProductSprint Backlog'!$F76="", "", AND('ProductSprint Backlog'!$J76&gt;C$2,'ProductSprint Backlog'!$I76&lt;=C$2), 'ProductSprint Backlog'!$F76 / MAX(1, 'ProductSprint Backlog'!$J76-'ProductSprint Backlog'!$I76), AND('ProductSprint Backlog'!$J76=C$2,'ProductSprint Backlog'!$I76=C$2), 'ProductSprint Backlog'!$F76, TRUE, 0)</f>
        <v>0</v>
      </c>
      <c r="D76" s="4" cm="1">
        <f t="array" ref="D76">_xlfn.IFS('ProductSprint Backlog'!$F76="", "", AND('ProductSprint Backlog'!$J76&gt;D$2,'ProductSprint Backlog'!$I76&lt;=D$2), 'ProductSprint Backlog'!$F76 / MAX(1, 'ProductSprint Backlog'!$J76-'ProductSprint Backlog'!$I76), AND('ProductSprint Backlog'!$J76=D$2,'ProductSprint Backlog'!$I76=D$2), 'ProductSprint Backlog'!$F76, TRUE, 0)</f>
        <v>0</v>
      </c>
      <c r="E76" s="4" cm="1">
        <f t="array" ref="E76">_xlfn.IFS('ProductSprint Backlog'!$F76="", "", AND('ProductSprint Backlog'!$J76&gt;E$2,'ProductSprint Backlog'!$I76&lt;=E$2), 'ProductSprint Backlog'!$F76 / MAX(1, 'ProductSprint Backlog'!$J76-'ProductSprint Backlog'!$I76), AND('ProductSprint Backlog'!$J76=E$2,'ProductSprint Backlog'!$I76=E$2), 'ProductSprint Backlog'!$F76, TRUE, 0)</f>
        <v>0</v>
      </c>
      <c r="F76" s="4" cm="1">
        <f t="array" ref="F76">_xlfn.IFS('ProductSprint Backlog'!$F76="", "", AND('ProductSprint Backlog'!$J76&gt;F$2,'ProductSprint Backlog'!$I76&lt;=F$2), 'ProductSprint Backlog'!$F76 / MAX(1, 'ProductSprint Backlog'!$J76-'ProductSprint Backlog'!$I76), AND('ProductSprint Backlog'!$J76=F$2,'ProductSprint Backlog'!$I76=F$2), 'ProductSprint Backlog'!$F76, TRUE, 0)</f>
        <v>0</v>
      </c>
      <c r="G76" s="4" cm="1">
        <f t="array" ref="G76">_xlfn.IFS('ProductSprint Backlog'!$F76="", "", AND('ProductSprint Backlog'!$J76&gt;G$2,'ProductSprint Backlog'!$I76&lt;=G$2), 'ProductSprint Backlog'!$F76 / MAX(1, 'ProductSprint Backlog'!$J76-'ProductSprint Backlog'!$I76), AND('ProductSprint Backlog'!$J76=G$2,'ProductSprint Backlog'!$I76=G$2), 'ProductSprint Backlog'!$F76, TRUE, 0)</f>
        <v>0</v>
      </c>
      <c r="H76" s="4" cm="1">
        <f t="array" ref="H76">_xlfn.IFS('ProductSprint Backlog'!$F76="", "", AND('ProductSprint Backlog'!$J76&gt;H$2,'ProductSprint Backlog'!$I76&lt;=H$2), 'ProductSprint Backlog'!$F76 / MAX(1, 'ProductSprint Backlog'!$J76-'ProductSprint Backlog'!$I76), AND('ProductSprint Backlog'!$J76=H$2,'ProductSprint Backlog'!$I76=H$2), 'ProductSprint Backlog'!$F76, TRUE, 0)</f>
        <v>0</v>
      </c>
      <c r="I76" s="4" cm="1">
        <f t="array" ref="I76">_xlfn.IFS('ProductSprint Backlog'!$F76="", "", AND('ProductSprint Backlog'!$J76&gt;I$2,'ProductSprint Backlog'!$I76&lt;=I$2), 'ProductSprint Backlog'!$F76 / MAX(1, 'ProductSprint Backlog'!$J76-'ProductSprint Backlog'!$I76), AND('ProductSprint Backlog'!$J76=I$2,'ProductSprint Backlog'!$I76=I$2), 'ProductSprint Backlog'!$F76, TRUE, 0)</f>
        <v>0</v>
      </c>
      <c r="J76" s="4" cm="1">
        <f t="array" ref="J76">_xlfn.IFS('ProductSprint Backlog'!$F76="", "", AND('ProductSprint Backlog'!$J76&gt;J$2,'ProductSprint Backlog'!$I76&lt;=J$2), 'ProductSprint Backlog'!$F76 / MAX(1, 'ProductSprint Backlog'!$J76-'ProductSprint Backlog'!$I76), AND('ProductSprint Backlog'!$J76=J$2,'ProductSprint Backlog'!$I76=J$2), 'ProductSprint Backlog'!$F76, TRUE, 0)</f>
        <v>0</v>
      </c>
      <c r="K76" s="4" cm="1">
        <f t="array" ref="K76">_xlfn.IFS('ProductSprint Backlog'!$F76="", "", AND('ProductSprint Backlog'!$J76&gt;K$2,'ProductSprint Backlog'!$I76&lt;=K$2), 'ProductSprint Backlog'!$F76 / MAX(1, 'ProductSprint Backlog'!$J76-'ProductSprint Backlog'!$I76), AND('ProductSprint Backlog'!$J76=K$2,'ProductSprint Backlog'!$I76=K$2), 'ProductSprint Backlog'!$F76, TRUE, 0)</f>
        <v>0</v>
      </c>
      <c r="L76" s="4" cm="1">
        <f t="array" ref="L76">_xlfn.IFS('ProductSprint Backlog'!$F76="", "", AND('ProductSprint Backlog'!$J76&gt;L$2,'ProductSprint Backlog'!$I76&lt;=L$2), 'ProductSprint Backlog'!$F76 / MAX(1, 'ProductSprint Backlog'!$J76-'ProductSprint Backlog'!$I76), AND('ProductSprint Backlog'!$J76=L$2,'ProductSprint Backlog'!$I76=L$2), 'ProductSprint Backlog'!$F76, TRUE, 0)</f>
        <v>0</v>
      </c>
      <c r="M76" s="4" cm="1">
        <f t="array" ref="M76">_xlfn.IFS('ProductSprint Backlog'!$F76="", "", AND('ProductSprint Backlog'!$J76&gt;M$2,'ProductSprint Backlog'!$I76&lt;=M$2), 'ProductSprint Backlog'!$F76 / MAX(1, 'ProductSprint Backlog'!$J76-'ProductSprint Backlog'!$I76), AND('ProductSprint Backlog'!$J76=M$2,'ProductSprint Backlog'!$I76=M$2), 'ProductSprint Backlog'!$F76, TRUE, 0)</f>
        <v>0</v>
      </c>
      <c r="N76" s="4" cm="1">
        <f t="array" ref="N76">_xlfn.IFS('ProductSprint Backlog'!$F76="", "", AND('ProductSprint Backlog'!$J76&gt;N$2,'ProductSprint Backlog'!$I76&lt;=N$2), 'ProductSprint Backlog'!$F76 / MAX(1, 'ProductSprint Backlog'!$J76-'ProductSprint Backlog'!$I76), AND('ProductSprint Backlog'!$J76=N$2,'ProductSprint Backlog'!$I76=N$2), 'ProductSprint Backlog'!$F76, TRUE, 0)</f>
        <v>0</v>
      </c>
      <c r="O76" s="4" cm="1">
        <f t="array" ref="O76">_xlfn.IFS('ProductSprint Backlog'!$F76="", "", AND('ProductSprint Backlog'!$J76&gt;O$2,'ProductSprint Backlog'!$I76&lt;=O$2), 'ProductSprint Backlog'!$F76 / MAX(1, 'ProductSprint Backlog'!$J76-'ProductSprint Backlog'!$I76), AND('ProductSprint Backlog'!$J76=O$2,'ProductSprint Backlog'!$I76=O$2), 'ProductSprint Backlog'!$F76, TRUE, 0)</f>
        <v>0</v>
      </c>
      <c r="P76" s="4" cm="1">
        <f t="array" ref="P76">_xlfn.IFS('ProductSprint Backlog'!$F76="", "", AND('ProductSprint Backlog'!$J76&gt;P$2,'ProductSprint Backlog'!$I76&lt;=P$2), 'ProductSprint Backlog'!$F76 / MAX(1, 'ProductSprint Backlog'!$J76-'ProductSprint Backlog'!$I76), AND('ProductSprint Backlog'!$J76=P$2,'ProductSprint Backlog'!$I76=P$2), 'ProductSprint Backlog'!$F76, TRUE, 0)</f>
        <v>0</v>
      </c>
      <c r="Q76" s="4" cm="1">
        <f t="array" ref="Q76">_xlfn.IFS('ProductSprint Backlog'!$F76="", "", AND('ProductSprint Backlog'!$J76&gt;Q$2,'ProductSprint Backlog'!$I76&lt;=Q$2), 'ProductSprint Backlog'!$F76 / MAX(1, 'ProductSprint Backlog'!$J76-'ProductSprint Backlog'!$I76), AND('ProductSprint Backlog'!$J76=Q$2,'ProductSprint Backlog'!$I76=Q$2), 'ProductSprint Backlog'!$F76, TRUE, 0)</f>
        <v>0</v>
      </c>
    </row>
    <row r="77" spans="2:17" x14ac:dyDescent="0.2">
      <c r="B77" s="4" cm="1">
        <f t="array" ref="B77">_xlfn.IFS('ProductSprint Backlog'!$F77="", "", AND('ProductSprint Backlog'!$J77&gt;B$2,'ProductSprint Backlog'!$I77&lt;=B$2), 'ProductSprint Backlog'!$F77 / MAX(1, 'ProductSprint Backlog'!$J77-'ProductSprint Backlog'!$I77), AND('ProductSprint Backlog'!$J77=B$2,'ProductSprint Backlog'!$I77=B$2), 'ProductSprint Backlog'!$F77, TRUE, 0)</f>
        <v>0</v>
      </c>
      <c r="C77" s="4" cm="1">
        <f t="array" ref="C77">_xlfn.IFS('ProductSprint Backlog'!$F77="", "", AND('ProductSprint Backlog'!$J77&gt;C$2,'ProductSprint Backlog'!$I77&lt;=C$2), 'ProductSprint Backlog'!$F77 / MAX(1, 'ProductSprint Backlog'!$J77-'ProductSprint Backlog'!$I77), AND('ProductSprint Backlog'!$J77=C$2,'ProductSprint Backlog'!$I77=C$2), 'ProductSprint Backlog'!$F77, TRUE, 0)</f>
        <v>0</v>
      </c>
      <c r="D77" s="4" cm="1">
        <f t="array" ref="D77">_xlfn.IFS('ProductSprint Backlog'!$F77="", "", AND('ProductSprint Backlog'!$J77&gt;D$2,'ProductSprint Backlog'!$I77&lt;=D$2), 'ProductSprint Backlog'!$F77 / MAX(1, 'ProductSprint Backlog'!$J77-'ProductSprint Backlog'!$I77), AND('ProductSprint Backlog'!$J77=D$2,'ProductSprint Backlog'!$I77=D$2), 'ProductSprint Backlog'!$F77, TRUE, 0)</f>
        <v>0</v>
      </c>
      <c r="E77" s="4" cm="1">
        <f t="array" ref="E77">_xlfn.IFS('ProductSprint Backlog'!$F77="", "", AND('ProductSprint Backlog'!$J77&gt;E$2,'ProductSprint Backlog'!$I77&lt;=E$2), 'ProductSprint Backlog'!$F77 / MAX(1, 'ProductSprint Backlog'!$J77-'ProductSprint Backlog'!$I77), AND('ProductSprint Backlog'!$J77=E$2,'ProductSprint Backlog'!$I77=E$2), 'ProductSprint Backlog'!$F77, TRUE, 0)</f>
        <v>0</v>
      </c>
      <c r="F77" s="4" cm="1">
        <f t="array" ref="F77">_xlfn.IFS('ProductSprint Backlog'!$F77="", "", AND('ProductSprint Backlog'!$J77&gt;F$2,'ProductSprint Backlog'!$I77&lt;=F$2), 'ProductSprint Backlog'!$F77 / MAX(1, 'ProductSprint Backlog'!$J77-'ProductSprint Backlog'!$I77), AND('ProductSprint Backlog'!$J77=F$2,'ProductSprint Backlog'!$I77=F$2), 'ProductSprint Backlog'!$F77, TRUE, 0)</f>
        <v>0</v>
      </c>
      <c r="G77" s="4" cm="1">
        <f t="array" ref="G77">_xlfn.IFS('ProductSprint Backlog'!$F77="", "", AND('ProductSprint Backlog'!$J77&gt;G$2,'ProductSprint Backlog'!$I77&lt;=G$2), 'ProductSprint Backlog'!$F77 / MAX(1, 'ProductSprint Backlog'!$J77-'ProductSprint Backlog'!$I77), AND('ProductSprint Backlog'!$J77=G$2,'ProductSprint Backlog'!$I77=G$2), 'ProductSprint Backlog'!$F77, TRUE, 0)</f>
        <v>0</v>
      </c>
      <c r="H77" s="4" cm="1">
        <f t="array" ref="H77">_xlfn.IFS('ProductSprint Backlog'!$F77="", "", AND('ProductSprint Backlog'!$J77&gt;H$2,'ProductSprint Backlog'!$I77&lt;=H$2), 'ProductSprint Backlog'!$F77 / MAX(1, 'ProductSprint Backlog'!$J77-'ProductSprint Backlog'!$I77), AND('ProductSprint Backlog'!$J77=H$2,'ProductSprint Backlog'!$I77=H$2), 'ProductSprint Backlog'!$F77, TRUE, 0)</f>
        <v>0</v>
      </c>
      <c r="I77" s="4" cm="1">
        <f t="array" ref="I77">_xlfn.IFS('ProductSprint Backlog'!$F77="", "", AND('ProductSprint Backlog'!$J77&gt;I$2,'ProductSprint Backlog'!$I77&lt;=I$2), 'ProductSprint Backlog'!$F77 / MAX(1, 'ProductSprint Backlog'!$J77-'ProductSprint Backlog'!$I77), AND('ProductSprint Backlog'!$J77=I$2,'ProductSprint Backlog'!$I77=I$2), 'ProductSprint Backlog'!$F77, TRUE, 0)</f>
        <v>0</v>
      </c>
      <c r="J77" s="4" cm="1">
        <f t="array" ref="J77">_xlfn.IFS('ProductSprint Backlog'!$F77="", "", AND('ProductSprint Backlog'!$J77&gt;J$2,'ProductSprint Backlog'!$I77&lt;=J$2), 'ProductSprint Backlog'!$F77 / MAX(1, 'ProductSprint Backlog'!$J77-'ProductSprint Backlog'!$I77), AND('ProductSprint Backlog'!$J77=J$2,'ProductSprint Backlog'!$I77=J$2), 'ProductSprint Backlog'!$F77, TRUE, 0)</f>
        <v>0</v>
      </c>
      <c r="K77" s="4" cm="1">
        <f t="array" ref="K77">_xlfn.IFS('ProductSprint Backlog'!$F77="", "", AND('ProductSprint Backlog'!$J77&gt;K$2,'ProductSprint Backlog'!$I77&lt;=K$2), 'ProductSprint Backlog'!$F77 / MAX(1, 'ProductSprint Backlog'!$J77-'ProductSprint Backlog'!$I77), AND('ProductSprint Backlog'!$J77=K$2,'ProductSprint Backlog'!$I77=K$2), 'ProductSprint Backlog'!$F77, TRUE, 0)</f>
        <v>0</v>
      </c>
      <c r="L77" s="4" cm="1">
        <f t="array" ref="L77">_xlfn.IFS('ProductSprint Backlog'!$F77="", "", AND('ProductSprint Backlog'!$J77&gt;L$2,'ProductSprint Backlog'!$I77&lt;=L$2), 'ProductSprint Backlog'!$F77 / MAX(1, 'ProductSprint Backlog'!$J77-'ProductSprint Backlog'!$I77), AND('ProductSprint Backlog'!$J77=L$2,'ProductSprint Backlog'!$I77=L$2), 'ProductSprint Backlog'!$F77, TRUE, 0)</f>
        <v>0</v>
      </c>
      <c r="M77" s="4" cm="1">
        <f t="array" ref="M77">_xlfn.IFS('ProductSprint Backlog'!$F77="", "", AND('ProductSprint Backlog'!$J77&gt;M$2,'ProductSprint Backlog'!$I77&lt;=M$2), 'ProductSprint Backlog'!$F77 / MAX(1, 'ProductSprint Backlog'!$J77-'ProductSprint Backlog'!$I77), AND('ProductSprint Backlog'!$J77=M$2,'ProductSprint Backlog'!$I77=M$2), 'ProductSprint Backlog'!$F77, TRUE, 0)</f>
        <v>0</v>
      </c>
      <c r="N77" s="4" cm="1">
        <f t="array" ref="N77">_xlfn.IFS('ProductSprint Backlog'!$F77="", "", AND('ProductSprint Backlog'!$J77&gt;N$2,'ProductSprint Backlog'!$I77&lt;=N$2), 'ProductSprint Backlog'!$F77 / MAX(1, 'ProductSprint Backlog'!$J77-'ProductSprint Backlog'!$I77), AND('ProductSprint Backlog'!$J77=N$2,'ProductSprint Backlog'!$I77=N$2), 'ProductSprint Backlog'!$F77, TRUE, 0)</f>
        <v>0</v>
      </c>
      <c r="O77" s="4" cm="1">
        <f t="array" ref="O77">_xlfn.IFS('ProductSprint Backlog'!$F77="", "", AND('ProductSprint Backlog'!$J77&gt;O$2,'ProductSprint Backlog'!$I77&lt;=O$2), 'ProductSprint Backlog'!$F77 / MAX(1, 'ProductSprint Backlog'!$J77-'ProductSprint Backlog'!$I77), AND('ProductSprint Backlog'!$J77=O$2,'ProductSprint Backlog'!$I77=O$2), 'ProductSprint Backlog'!$F77, TRUE, 0)</f>
        <v>0</v>
      </c>
      <c r="P77" s="4" cm="1">
        <f t="array" ref="P77">_xlfn.IFS('ProductSprint Backlog'!$F77="", "", AND('ProductSprint Backlog'!$J77&gt;P$2,'ProductSprint Backlog'!$I77&lt;=P$2), 'ProductSprint Backlog'!$F77 / MAX(1, 'ProductSprint Backlog'!$J77-'ProductSprint Backlog'!$I77), AND('ProductSprint Backlog'!$J77=P$2,'ProductSprint Backlog'!$I77=P$2), 'ProductSprint Backlog'!$F77, TRUE, 0)</f>
        <v>0</v>
      </c>
      <c r="Q77" s="4" cm="1">
        <f t="array" ref="Q77">_xlfn.IFS('ProductSprint Backlog'!$F77="", "", AND('ProductSprint Backlog'!$J77&gt;Q$2,'ProductSprint Backlog'!$I77&lt;=Q$2), 'ProductSprint Backlog'!$F77 / MAX(1, 'ProductSprint Backlog'!$J77-'ProductSprint Backlog'!$I77), AND('ProductSprint Backlog'!$J77=Q$2,'ProductSprint Backlog'!$I77=Q$2), 'ProductSprint Backlog'!$F77, TRUE, 0)</f>
        <v>0</v>
      </c>
    </row>
    <row r="78" spans="2:17" x14ac:dyDescent="0.2">
      <c r="B78" s="4" cm="1">
        <f t="array" ref="B78">_xlfn.IFS('ProductSprint Backlog'!$F78="", "", AND('ProductSprint Backlog'!$J78&gt;B$2,'ProductSprint Backlog'!$I78&lt;=B$2), 'ProductSprint Backlog'!$F78 / MAX(1, 'ProductSprint Backlog'!$J78-'ProductSprint Backlog'!$I78), AND('ProductSprint Backlog'!$J78=B$2,'ProductSprint Backlog'!$I78=B$2), 'ProductSprint Backlog'!$F78, TRUE, 0)</f>
        <v>0</v>
      </c>
      <c r="C78" s="4" cm="1">
        <f t="array" ref="C78">_xlfn.IFS('ProductSprint Backlog'!$F78="", "", AND('ProductSprint Backlog'!$J78&gt;C$2,'ProductSprint Backlog'!$I78&lt;=C$2), 'ProductSprint Backlog'!$F78 / MAX(1, 'ProductSprint Backlog'!$J78-'ProductSprint Backlog'!$I78), AND('ProductSprint Backlog'!$J78=C$2,'ProductSprint Backlog'!$I78=C$2), 'ProductSprint Backlog'!$F78, TRUE, 0)</f>
        <v>0</v>
      </c>
      <c r="D78" s="4" cm="1">
        <f t="array" ref="D78">_xlfn.IFS('ProductSprint Backlog'!$F78="", "", AND('ProductSprint Backlog'!$J78&gt;D$2,'ProductSprint Backlog'!$I78&lt;=D$2), 'ProductSprint Backlog'!$F78 / MAX(1, 'ProductSprint Backlog'!$J78-'ProductSprint Backlog'!$I78), AND('ProductSprint Backlog'!$J78=D$2,'ProductSprint Backlog'!$I78=D$2), 'ProductSprint Backlog'!$F78, TRUE, 0)</f>
        <v>0</v>
      </c>
      <c r="E78" s="4" cm="1">
        <f t="array" ref="E78">_xlfn.IFS('ProductSprint Backlog'!$F78="", "", AND('ProductSprint Backlog'!$J78&gt;E$2,'ProductSprint Backlog'!$I78&lt;=E$2), 'ProductSprint Backlog'!$F78 / MAX(1, 'ProductSprint Backlog'!$J78-'ProductSprint Backlog'!$I78), AND('ProductSprint Backlog'!$J78=E$2,'ProductSprint Backlog'!$I78=E$2), 'ProductSprint Backlog'!$F78, TRUE, 0)</f>
        <v>0</v>
      </c>
      <c r="F78" s="4" cm="1">
        <f t="array" ref="F78">_xlfn.IFS('ProductSprint Backlog'!$F78="", "", AND('ProductSprint Backlog'!$J78&gt;F$2,'ProductSprint Backlog'!$I78&lt;=F$2), 'ProductSprint Backlog'!$F78 / MAX(1, 'ProductSprint Backlog'!$J78-'ProductSprint Backlog'!$I78), AND('ProductSprint Backlog'!$J78=F$2,'ProductSprint Backlog'!$I78=F$2), 'ProductSprint Backlog'!$F78, TRUE, 0)</f>
        <v>0</v>
      </c>
      <c r="G78" s="4" cm="1">
        <f t="array" ref="G78">_xlfn.IFS('ProductSprint Backlog'!$F78="", "", AND('ProductSprint Backlog'!$J78&gt;G$2,'ProductSprint Backlog'!$I78&lt;=G$2), 'ProductSprint Backlog'!$F78 / MAX(1, 'ProductSprint Backlog'!$J78-'ProductSprint Backlog'!$I78), AND('ProductSprint Backlog'!$J78=G$2,'ProductSprint Backlog'!$I78=G$2), 'ProductSprint Backlog'!$F78, TRUE, 0)</f>
        <v>0</v>
      </c>
      <c r="H78" s="4" cm="1">
        <f t="array" ref="H78">_xlfn.IFS('ProductSprint Backlog'!$F78="", "", AND('ProductSprint Backlog'!$J78&gt;H$2,'ProductSprint Backlog'!$I78&lt;=H$2), 'ProductSprint Backlog'!$F78 / MAX(1, 'ProductSprint Backlog'!$J78-'ProductSprint Backlog'!$I78), AND('ProductSprint Backlog'!$J78=H$2,'ProductSprint Backlog'!$I78=H$2), 'ProductSprint Backlog'!$F78, TRUE, 0)</f>
        <v>0</v>
      </c>
      <c r="I78" s="4" cm="1">
        <f t="array" ref="I78">_xlfn.IFS('ProductSprint Backlog'!$F78="", "", AND('ProductSprint Backlog'!$J78&gt;I$2,'ProductSprint Backlog'!$I78&lt;=I$2), 'ProductSprint Backlog'!$F78 / MAX(1, 'ProductSprint Backlog'!$J78-'ProductSprint Backlog'!$I78), AND('ProductSprint Backlog'!$J78=I$2,'ProductSprint Backlog'!$I78=I$2), 'ProductSprint Backlog'!$F78, TRUE, 0)</f>
        <v>0</v>
      </c>
      <c r="J78" s="4" cm="1">
        <f t="array" ref="J78">_xlfn.IFS('ProductSprint Backlog'!$F78="", "", AND('ProductSprint Backlog'!$J78&gt;J$2,'ProductSprint Backlog'!$I78&lt;=J$2), 'ProductSprint Backlog'!$F78 / MAX(1, 'ProductSprint Backlog'!$J78-'ProductSprint Backlog'!$I78), AND('ProductSprint Backlog'!$J78=J$2,'ProductSprint Backlog'!$I78=J$2), 'ProductSprint Backlog'!$F78, TRUE, 0)</f>
        <v>0</v>
      </c>
      <c r="K78" s="4" cm="1">
        <f t="array" ref="K78">_xlfn.IFS('ProductSprint Backlog'!$F78="", "", AND('ProductSprint Backlog'!$J78&gt;K$2,'ProductSprint Backlog'!$I78&lt;=K$2), 'ProductSprint Backlog'!$F78 / MAX(1, 'ProductSprint Backlog'!$J78-'ProductSprint Backlog'!$I78), AND('ProductSprint Backlog'!$J78=K$2,'ProductSprint Backlog'!$I78=K$2), 'ProductSprint Backlog'!$F78, TRUE, 0)</f>
        <v>0</v>
      </c>
      <c r="L78" s="4" cm="1">
        <f t="array" ref="L78">_xlfn.IFS('ProductSprint Backlog'!$F78="", "", AND('ProductSprint Backlog'!$J78&gt;L$2,'ProductSprint Backlog'!$I78&lt;=L$2), 'ProductSprint Backlog'!$F78 / MAX(1, 'ProductSprint Backlog'!$J78-'ProductSprint Backlog'!$I78), AND('ProductSprint Backlog'!$J78=L$2,'ProductSprint Backlog'!$I78=L$2), 'ProductSprint Backlog'!$F78, TRUE, 0)</f>
        <v>0</v>
      </c>
      <c r="M78" s="4" cm="1">
        <f t="array" ref="M78">_xlfn.IFS('ProductSprint Backlog'!$F78="", "", AND('ProductSprint Backlog'!$J78&gt;M$2,'ProductSprint Backlog'!$I78&lt;=M$2), 'ProductSprint Backlog'!$F78 / MAX(1, 'ProductSprint Backlog'!$J78-'ProductSprint Backlog'!$I78), AND('ProductSprint Backlog'!$J78=M$2,'ProductSprint Backlog'!$I78=M$2), 'ProductSprint Backlog'!$F78, TRUE, 0)</f>
        <v>0</v>
      </c>
      <c r="N78" s="4" cm="1">
        <f t="array" ref="N78">_xlfn.IFS('ProductSprint Backlog'!$F78="", "", AND('ProductSprint Backlog'!$J78&gt;N$2,'ProductSprint Backlog'!$I78&lt;=N$2), 'ProductSprint Backlog'!$F78 / MAX(1, 'ProductSprint Backlog'!$J78-'ProductSprint Backlog'!$I78), AND('ProductSprint Backlog'!$J78=N$2,'ProductSprint Backlog'!$I78=N$2), 'ProductSprint Backlog'!$F78, TRUE, 0)</f>
        <v>0</v>
      </c>
      <c r="O78" s="4" cm="1">
        <f t="array" ref="O78">_xlfn.IFS('ProductSprint Backlog'!$F78="", "", AND('ProductSprint Backlog'!$J78&gt;O$2,'ProductSprint Backlog'!$I78&lt;=O$2), 'ProductSprint Backlog'!$F78 / MAX(1, 'ProductSprint Backlog'!$J78-'ProductSprint Backlog'!$I78), AND('ProductSprint Backlog'!$J78=O$2,'ProductSprint Backlog'!$I78=O$2), 'ProductSprint Backlog'!$F78, TRUE, 0)</f>
        <v>0</v>
      </c>
      <c r="P78" s="4" cm="1">
        <f t="array" ref="P78">_xlfn.IFS('ProductSprint Backlog'!$F78="", "", AND('ProductSprint Backlog'!$J78&gt;P$2,'ProductSprint Backlog'!$I78&lt;=P$2), 'ProductSprint Backlog'!$F78 / MAX(1, 'ProductSprint Backlog'!$J78-'ProductSprint Backlog'!$I78), AND('ProductSprint Backlog'!$J78=P$2,'ProductSprint Backlog'!$I78=P$2), 'ProductSprint Backlog'!$F78, TRUE, 0)</f>
        <v>0</v>
      </c>
      <c r="Q78" s="4" cm="1">
        <f t="array" ref="Q78">_xlfn.IFS('ProductSprint Backlog'!$F78="", "", AND('ProductSprint Backlog'!$J78&gt;Q$2,'ProductSprint Backlog'!$I78&lt;=Q$2), 'ProductSprint Backlog'!$F78 / MAX(1, 'ProductSprint Backlog'!$J78-'ProductSprint Backlog'!$I78), AND('ProductSprint Backlog'!$J78=Q$2,'ProductSprint Backlog'!$I78=Q$2), 'ProductSprint Backlog'!$F78, TRUE, 0)</f>
        <v>0</v>
      </c>
    </row>
    <row r="79" spans="2:17" x14ac:dyDescent="0.2">
      <c r="B79" s="4" t="str" cm="1">
        <f t="array" ref="B79">_xlfn.IFS('ProductSprint Backlog'!$F79="", "", AND('ProductSprint Backlog'!$J79&gt;B$2,'ProductSprint Backlog'!$I79&lt;=B$2), 'ProductSprint Backlog'!$F79 / MAX(1, 'ProductSprint Backlog'!$J79-'ProductSprint Backlog'!$I79), AND('ProductSprint Backlog'!$J79=B$2,'ProductSprint Backlog'!$I79=B$2), 'ProductSprint Backlog'!$F79, TRUE, 0)</f>
        <v/>
      </c>
      <c r="C79" s="4" t="str" cm="1">
        <f t="array" ref="C79">_xlfn.IFS('ProductSprint Backlog'!$F79="", "", AND('ProductSprint Backlog'!$J79&gt;C$2,'ProductSprint Backlog'!$I79&lt;=C$2), 'ProductSprint Backlog'!$F79 / MAX(1, 'ProductSprint Backlog'!$J79-'ProductSprint Backlog'!$I79), AND('ProductSprint Backlog'!$J79=C$2,'ProductSprint Backlog'!$I79=C$2), 'ProductSprint Backlog'!$F79, TRUE, 0)</f>
        <v/>
      </c>
      <c r="D79" s="4" t="str" cm="1">
        <f t="array" ref="D79">_xlfn.IFS('ProductSprint Backlog'!$F79="", "", AND('ProductSprint Backlog'!$J79&gt;D$2,'ProductSprint Backlog'!$I79&lt;=D$2), 'ProductSprint Backlog'!$F79 / MAX(1, 'ProductSprint Backlog'!$J79-'ProductSprint Backlog'!$I79), AND('ProductSprint Backlog'!$J79=D$2,'ProductSprint Backlog'!$I79=D$2), 'ProductSprint Backlog'!$F79, TRUE, 0)</f>
        <v/>
      </c>
      <c r="E79" s="4" t="str" cm="1">
        <f t="array" ref="E79">_xlfn.IFS('ProductSprint Backlog'!$F79="", "", AND('ProductSprint Backlog'!$J79&gt;E$2,'ProductSprint Backlog'!$I79&lt;=E$2), 'ProductSprint Backlog'!$F79 / MAX(1, 'ProductSprint Backlog'!$J79-'ProductSprint Backlog'!$I79), AND('ProductSprint Backlog'!$J79=E$2,'ProductSprint Backlog'!$I79=E$2), 'ProductSprint Backlog'!$F79, TRUE, 0)</f>
        <v/>
      </c>
      <c r="F79" s="4" t="str" cm="1">
        <f t="array" ref="F79">_xlfn.IFS('ProductSprint Backlog'!$F79="", "", AND('ProductSprint Backlog'!$J79&gt;F$2,'ProductSprint Backlog'!$I79&lt;=F$2), 'ProductSprint Backlog'!$F79 / MAX(1, 'ProductSprint Backlog'!$J79-'ProductSprint Backlog'!$I79), AND('ProductSprint Backlog'!$J79=F$2,'ProductSprint Backlog'!$I79=F$2), 'ProductSprint Backlog'!$F79, TRUE, 0)</f>
        <v/>
      </c>
      <c r="G79" s="4" t="str" cm="1">
        <f t="array" ref="G79">_xlfn.IFS('ProductSprint Backlog'!$F79="", "", AND('ProductSprint Backlog'!$J79&gt;G$2,'ProductSprint Backlog'!$I79&lt;=G$2), 'ProductSprint Backlog'!$F79 / MAX(1, 'ProductSprint Backlog'!$J79-'ProductSprint Backlog'!$I79), AND('ProductSprint Backlog'!$J79=G$2,'ProductSprint Backlog'!$I79=G$2), 'ProductSprint Backlog'!$F79, TRUE, 0)</f>
        <v/>
      </c>
      <c r="H79" s="4" t="str" cm="1">
        <f t="array" ref="H79">_xlfn.IFS('ProductSprint Backlog'!$F79="", "", AND('ProductSprint Backlog'!$J79&gt;H$2,'ProductSprint Backlog'!$I79&lt;=H$2), 'ProductSprint Backlog'!$F79 / MAX(1, 'ProductSprint Backlog'!$J79-'ProductSprint Backlog'!$I79), AND('ProductSprint Backlog'!$J79=H$2,'ProductSprint Backlog'!$I79=H$2), 'ProductSprint Backlog'!$F79, TRUE, 0)</f>
        <v/>
      </c>
      <c r="I79" s="4" t="str" cm="1">
        <f t="array" ref="I79">_xlfn.IFS('ProductSprint Backlog'!$F79="", "", AND('ProductSprint Backlog'!$J79&gt;I$2,'ProductSprint Backlog'!$I79&lt;=I$2), 'ProductSprint Backlog'!$F79 / MAX(1, 'ProductSprint Backlog'!$J79-'ProductSprint Backlog'!$I79), AND('ProductSprint Backlog'!$J79=I$2,'ProductSprint Backlog'!$I79=I$2), 'ProductSprint Backlog'!$F79, TRUE, 0)</f>
        <v/>
      </c>
      <c r="J79" s="4" t="str" cm="1">
        <f t="array" ref="J79">_xlfn.IFS('ProductSprint Backlog'!$F79="", "", AND('ProductSprint Backlog'!$J79&gt;J$2,'ProductSprint Backlog'!$I79&lt;=J$2), 'ProductSprint Backlog'!$F79 / MAX(1, 'ProductSprint Backlog'!$J79-'ProductSprint Backlog'!$I79), AND('ProductSprint Backlog'!$J79=J$2,'ProductSprint Backlog'!$I79=J$2), 'ProductSprint Backlog'!$F79, TRUE, 0)</f>
        <v/>
      </c>
      <c r="K79" s="4" t="str" cm="1">
        <f t="array" ref="K79">_xlfn.IFS('ProductSprint Backlog'!$F79="", "", AND('ProductSprint Backlog'!$J79&gt;K$2,'ProductSprint Backlog'!$I79&lt;=K$2), 'ProductSprint Backlog'!$F79 / MAX(1, 'ProductSprint Backlog'!$J79-'ProductSprint Backlog'!$I79), AND('ProductSprint Backlog'!$J79=K$2,'ProductSprint Backlog'!$I79=K$2), 'ProductSprint Backlog'!$F79, TRUE, 0)</f>
        <v/>
      </c>
      <c r="L79" s="4" t="str" cm="1">
        <f t="array" ref="L79">_xlfn.IFS('ProductSprint Backlog'!$F79="", "", AND('ProductSprint Backlog'!$J79&gt;L$2,'ProductSprint Backlog'!$I79&lt;=L$2), 'ProductSprint Backlog'!$F79 / MAX(1, 'ProductSprint Backlog'!$J79-'ProductSprint Backlog'!$I79), AND('ProductSprint Backlog'!$J79=L$2,'ProductSprint Backlog'!$I79=L$2), 'ProductSprint Backlog'!$F79, TRUE, 0)</f>
        <v/>
      </c>
      <c r="M79" s="4" t="str" cm="1">
        <f t="array" ref="M79">_xlfn.IFS('ProductSprint Backlog'!$F79="", "", AND('ProductSprint Backlog'!$J79&gt;M$2,'ProductSprint Backlog'!$I79&lt;=M$2), 'ProductSprint Backlog'!$F79 / MAX(1, 'ProductSprint Backlog'!$J79-'ProductSprint Backlog'!$I79), AND('ProductSprint Backlog'!$J79=M$2,'ProductSprint Backlog'!$I79=M$2), 'ProductSprint Backlog'!$F79, TRUE, 0)</f>
        <v/>
      </c>
      <c r="N79" s="4" t="str" cm="1">
        <f t="array" ref="N79">_xlfn.IFS('ProductSprint Backlog'!$F79="", "", AND('ProductSprint Backlog'!$J79&gt;N$2,'ProductSprint Backlog'!$I79&lt;=N$2), 'ProductSprint Backlog'!$F79 / MAX(1, 'ProductSprint Backlog'!$J79-'ProductSprint Backlog'!$I79), AND('ProductSprint Backlog'!$J79=N$2,'ProductSprint Backlog'!$I79=N$2), 'ProductSprint Backlog'!$F79, TRUE, 0)</f>
        <v/>
      </c>
      <c r="O79" s="4" t="str" cm="1">
        <f t="array" ref="O79">_xlfn.IFS('ProductSprint Backlog'!$F79="", "", AND('ProductSprint Backlog'!$J79&gt;O$2,'ProductSprint Backlog'!$I79&lt;=O$2), 'ProductSprint Backlog'!$F79 / MAX(1, 'ProductSprint Backlog'!$J79-'ProductSprint Backlog'!$I79), AND('ProductSprint Backlog'!$J79=O$2,'ProductSprint Backlog'!$I79=O$2), 'ProductSprint Backlog'!$F79, TRUE, 0)</f>
        <v/>
      </c>
      <c r="P79" s="4" t="str" cm="1">
        <f t="array" ref="P79">_xlfn.IFS('ProductSprint Backlog'!$F79="", "", AND('ProductSprint Backlog'!$J79&gt;P$2,'ProductSprint Backlog'!$I79&lt;=P$2), 'ProductSprint Backlog'!$F79 / MAX(1, 'ProductSprint Backlog'!$J79-'ProductSprint Backlog'!$I79), AND('ProductSprint Backlog'!$J79=P$2,'ProductSprint Backlog'!$I79=P$2), 'ProductSprint Backlog'!$F79, TRUE, 0)</f>
        <v/>
      </c>
      <c r="Q79" s="4" t="str" cm="1">
        <f t="array" ref="Q79">_xlfn.IFS('ProductSprint Backlog'!$F79="", "", AND('ProductSprint Backlog'!$J79&gt;Q$2,'ProductSprint Backlog'!$I79&lt;=Q$2), 'ProductSprint Backlog'!$F79 / MAX(1, 'ProductSprint Backlog'!$J79-'ProductSprint Backlog'!$I79), AND('ProductSprint Backlog'!$J79=Q$2,'ProductSprint Backlog'!$I79=Q$2), 'ProductSprint Backlog'!$F79, TRUE, 0)</f>
        <v/>
      </c>
    </row>
    <row r="80" spans="2:17" x14ac:dyDescent="0.2">
      <c r="B80" s="4" cm="1">
        <f t="array" ref="B80">_xlfn.IFS('ProductSprint Backlog'!$F80="", "", AND('ProductSprint Backlog'!$J80&gt;B$2,'ProductSprint Backlog'!$I80&lt;=B$2), 'ProductSprint Backlog'!$F80 / MAX(1, 'ProductSprint Backlog'!$J80-'ProductSprint Backlog'!$I80), AND('ProductSprint Backlog'!$J80=B$2,'ProductSprint Backlog'!$I80=B$2), 'ProductSprint Backlog'!$F80, TRUE, 0)</f>
        <v>0</v>
      </c>
      <c r="C80" s="4" cm="1">
        <f t="array" ref="C80">_xlfn.IFS('ProductSprint Backlog'!$F80="", "", AND('ProductSprint Backlog'!$J80&gt;C$2,'ProductSprint Backlog'!$I80&lt;=C$2), 'ProductSprint Backlog'!$F80 / MAX(1, 'ProductSprint Backlog'!$J80-'ProductSprint Backlog'!$I80), AND('ProductSprint Backlog'!$J80=C$2,'ProductSprint Backlog'!$I80=C$2), 'ProductSprint Backlog'!$F80, TRUE, 0)</f>
        <v>0</v>
      </c>
      <c r="D80" s="4" cm="1">
        <f t="array" ref="D80">_xlfn.IFS('ProductSprint Backlog'!$F80="", "", AND('ProductSprint Backlog'!$J80&gt;D$2,'ProductSprint Backlog'!$I80&lt;=D$2), 'ProductSprint Backlog'!$F80 / MAX(1, 'ProductSprint Backlog'!$J80-'ProductSprint Backlog'!$I80), AND('ProductSprint Backlog'!$J80=D$2,'ProductSprint Backlog'!$I80=D$2), 'ProductSprint Backlog'!$F80, TRUE, 0)</f>
        <v>0</v>
      </c>
      <c r="E80" s="4" cm="1">
        <f t="array" ref="E80">_xlfn.IFS('ProductSprint Backlog'!$F80="", "", AND('ProductSprint Backlog'!$J80&gt;E$2,'ProductSprint Backlog'!$I80&lt;=E$2), 'ProductSprint Backlog'!$F80 / MAX(1, 'ProductSprint Backlog'!$J80-'ProductSprint Backlog'!$I80), AND('ProductSprint Backlog'!$J80=E$2,'ProductSprint Backlog'!$I80=E$2), 'ProductSprint Backlog'!$F80, TRUE, 0)</f>
        <v>0</v>
      </c>
      <c r="F80" s="4" cm="1">
        <f t="array" ref="F80">_xlfn.IFS('ProductSprint Backlog'!$F80="", "", AND('ProductSprint Backlog'!$J80&gt;F$2,'ProductSprint Backlog'!$I80&lt;=F$2), 'ProductSprint Backlog'!$F80 / MAX(1, 'ProductSprint Backlog'!$J80-'ProductSprint Backlog'!$I80), AND('ProductSprint Backlog'!$J80=F$2,'ProductSprint Backlog'!$I80=F$2), 'ProductSprint Backlog'!$F80, TRUE, 0)</f>
        <v>0</v>
      </c>
      <c r="G80" s="4" cm="1">
        <f t="array" ref="G80">_xlfn.IFS('ProductSprint Backlog'!$F80="", "", AND('ProductSprint Backlog'!$J80&gt;G$2,'ProductSprint Backlog'!$I80&lt;=G$2), 'ProductSprint Backlog'!$F80 / MAX(1, 'ProductSprint Backlog'!$J80-'ProductSprint Backlog'!$I80), AND('ProductSprint Backlog'!$J80=G$2,'ProductSprint Backlog'!$I80=G$2), 'ProductSprint Backlog'!$F80, TRUE, 0)</f>
        <v>0</v>
      </c>
      <c r="H80" s="4" cm="1">
        <f t="array" ref="H80">_xlfn.IFS('ProductSprint Backlog'!$F80="", "", AND('ProductSprint Backlog'!$J80&gt;H$2,'ProductSprint Backlog'!$I80&lt;=H$2), 'ProductSprint Backlog'!$F80 / MAX(1, 'ProductSprint Backlog'!$J80-'ProductSprint Backlog'!$I80), AND('ProductSprint Backlog'!$J80=H$2,'ProductSprint Backlog'!$I80=H$2), 'ProductSprint Backlog'!$F80, TRUE, 0)</f>
        <v>0</v>
      </c>
      <c r="I80" s="4" cm="1">
        <f t="array" ref="I80">_xlfn.IFS('ProductSprint Backlog'!$F80="", "", AND('ProductSprint Backlog'!$J80&gt;I$2,'ProductSprint Backlog'!$I80&lt;=I$2), 'ProductSprint Backlog'!$F80 / MAX(1, 'ProductSprint Backlog'!$J80-'ProductSprint Backlog'!$I80), AND('ProductSprint Backlog'!$J80=I$2,'ProductSprint Backlog'!$I80=I$2), 'ProductSprint Backlog'!$F80, TRUE, 0)</f>
        <v>0</v>
      </c>
      <c r="J80" s="4" cm="1">
        <f t="array" ref="J80">_xlfn.IFS('ProductSprint Backlog'!$F80="", "", AND('ProductSprint Backlog'!$J80&gt;J$2,'ProductSprint Backlog'!$I80&lt;=J$2), 'ProductSprint Backlog'!$F80 / MAX(1, 'ProductSprint Backlog'!$J80-'ProductSprint Backlog'!$I80), AND('ProductSprint Backlog'!$J80=J$2,'ProductSprint Backlog'!$I80=J$2), 'ProductSprint Backlog'!$F80, TRUE, 0)</f>
        <v>0</v>
      </c>
      <c r="K80" s="4" cm="1">
        <f t="array" ref="K80">_xlfn.IFS('ProductSprint Backlog'!$F80="", "", AND('ProductSprint Backlog'!$J80&gt;K$2,'ProductSprint Backlog'!$I80&lt;=K$2), 'ProductSprint Backlog'!$F80 / MAX(1, 'ProductSprint Backlog'!$J80-'ProductSprint Backlog'!$I80), AND('ProductSprint Backlog'!$J80=K$2,'ProductSprint Backlog'!$I80=K$2), 'ProductSprint Backlog'!$F80, TRUE, 0)</f>
        <v>0</v>
      </c>
      <c r="L80" s="4" cm="1">
        <f t="array" ref="L80">_xlfn.IFS('ProductSprint Backlog'!$F80="", "", AND('ProductSprint Backlog'!$J80&gt;L$2,'ProductSprint Backlog'!$I80&lt;=L$2), 'ProductSprint Backlog'!$F80 / MAX(1, 'ProductSprint Backlog'!$J80-'ProductSprint Backlog'!$I80), AND('ProductSprint Backlog'!$J80=L$2,'ProductSprint Backlog'!$I80=L$2), 'ProductSprint Backlog'!$F80, TRUE, 0)</f>
        <v>0</v>
      </c>
      <c r="M80" s="4" cm="1">
        <f t="array" ref="M80">_xlfn.IFS('ProductSprint Backlog'!$F80="", "", AND('ProductSprint Backlog'!$J80&gt;M$2,'ProductSprint Backlog'!$I80&lt;=M$2), 'ProductSprint Backlog'!$F80 / MAX(1, 'ProductSprint Backlog'!$J80-'ProductSprint Backlog'!$I80), AND('ProductSprint Backlog'!$J80=M$2,'ProductSprint Backlog'!$I80=M$2), 'ProductSprint Backlog'!$F80, TRUE, 0)</f>
        <v>0</v>
      </c>
      <c r="N80" s="4" cm="1">
        <f t="array" ref="N80">_xlfn.IFS('ProductSprint Backlog'!$F80="", "", AND('ProductSprint Backlog'!$J80&gt;N$2,'ProductSprint Backlog'!$I80&lt;=N$2), 'ProductSprint Backlog'!$F80 / MAX(1, 'ProductSprint Backlog'!$J80-'ProductSprint Backlog'!$I80), AND('ProductSprint Backlog'!$J80=N$2,'ProductSprint Backlog'!$I80=N$2), 'ProductSprint Backlog'!$F80, TRUE, 0)</f>
        <v>0</v>
      </c>
      <c r="O80" s="4" cm="1">
        <f t="array" ref="O80">_xlfn.IFS('ProductSprint Backlog'!$F80="", "", AND('ProductSprint Backlog'!$J80&gt;O$2,'ProductSprint Backlog'!$I80&lt;=O$2), 'ProductSprint Backlog'!$F80 / MAX(1, 'ProductSprint Backlog'!$J80-'ProductSprint Backlog'!$I80), AND('ProductSprint Backlog'!$J80=O$2,'ProductSprint Backlog'!$I80=O$2), 'ProductSprint Backlog'!$F80, TRUE, 0)</f>
        <v>0</v>
      </c>
      <c r="P80" s="4" cm="1">
        <f t="array" ref="P80">_xlfn.IFS('ProductSprint Backlog'!$F80="", "", AND('ProductSprint Backlog'!$J80&gt;P$2,'ProductSprint Backlog'!$I80&lt;=P$2), 'ProductSprint Backlog'!$F80 / MAX(1, 'ProductSprint Backlog'!$J80-'ProductSprint Backlog'!$I80), AND('ProductSprint Backlog'!$J80=P$2,'ProductSprint Backlog'!$I80=P$2), 'ProductSprint Backlog'!$F80, TRUE, 0)</f>
        <v>0</v>
      </c>
      <c r="Q80" s="4" cm="1">
        <f t="array" ref="Q80">_xlfn.IFS('ProductSprint Backlog'!$F80="", "", AND('ProductSprint Backlog'!$J80&gt;Q$2,'ProductSprint Backlog'!$I80&lt;=Q$2), 'ProductSprint Backlog'!$F80 / MAX(1, 'ProductSprint Backlog'!$J80-'ProductSprint Backlog'!$I80), AND('ProductSprint Backlog'!$J80=Q$2,'ProductSprint Backlog'!$I80=Q$2), 'ProductSprint Backlog'!$F80, TRUE, 0)</f>
        <v>0</v>
      </c>
    </row>
    <row r="81" spans="2:17" x14ac:dyDescent="0.2">
      <c r="B81" s="4" cm="1">
        <f t="array" ref="B81">_xlfn.IFS('ProductSprint Backlog'!$F81="", "", AND('ProductSprint Backlog'!$J81&gt;B$2,'ProductSprint Backlog'!$I81&lt;=B$2), 'ProductSprint Backlog'!$F81 / MAX(1, 'ProductSprint Backlog'!$J81-'ProductSprint Backlog'!$I81), AND('ProductSprint Backlog'!$J81=B$2,'ProductSprint Backlog'!$I81=B$2), 'ProductSprint Backlog'!$F81, TRUE, 0)</f>
        <v>0</v>
      </c>
      <c r="C81" s="4" cm="1">
        <f t="array" ref="C81">_xlfn.IFS('ProductSprint Backlog'!$F81="", "", AND('ProductSprint Backlog'!$J81&gt;C$2,'ProductSprint Backlog'!$I81&lt;=C$2), 'ProductSprint Backlog'!$F81 / MAX(1, 'ProductSprint Backlog'!$J81-'ProductSprint Backlog'!$I81), AND('ProductSprint Backlog'!$J81=C$2,'ProductSprint Backlog'!$I81=C$2), 'ProductSprint Backlog'!$F81, TRUE, 0)</f>
        <v>0</v>
      </c>
      <c r="D81" s="4" cm="1">
        <f t="array" ref="D81">_xlfn.IFS('ProductSprint Backlog'!$F81="", "", AND('ProductSprint Backlog'!$J81&gt;D$2,'ProductSprint Backlog'!$I81&lt;=D$2), 'ProductSprint Backlog'!$F81 / MAX(1, 'ProductSprint Backlog'!$J81-'ProductSprint Backlog'!$I81), AND('ProductSprint Backlog'!$J81=D$2,'ProductSprint Backlog'!$I81=D$2), 'ProductSprint Backlog'!$F81, TRUE, 0)</f>
        <v>0</v>
      </c>
      <c r="E81" s="4" cm="1">
        <f t="array" ref="E81">_xlfn.IFS('ProductSprint Backlog'!$F81="", "", AND('ProductSprint Backlog'!$J81&gt;E$2,'ProductSprint Backlog'!$I81&lt;=E$2), 'ProductSprint Backlog'!$F81 / MAX(1, 'ProductSprint Backlog'!$J81-'ProductSprint Backlog'!$I81), AND('ProductSprint Backlog'!$J81=E$2,'ProductSprint Backlog'!$I81=E$2), 'ProductSprint Backlog'!$F81, TRUE, 0)</f>
        <v>0</v>
      </c>
      <c r="F81" s="4" cm="1">
        <f t="array" ref="F81">_xlfn.IFS('ProductSprint Backlog'!$F81="", "", AND('ProductSprint Backlog'!$J81&gt;F$2,'ProductSprint Backlog'!$I81&lt;=F$2), 'ProductSprint Backlog'!$F81 / MAX(1, 'ProductSprint Backlog'!$J81-'ProductSprint Backlog'!$I81), AND('ProductSprint Backlog'!$J81=F$2,'ProductSprint Backlog'!$I81=F$2), 'ProductSprint Backlog'!$F81, TRUE, 0)</f>
        <v>0</v>
      </c>
      <c r="G81" s="4" cm="1">
        <f t="array" ref="G81">_xlfn.IFS('ProductSprint Backlog'!$F81="", "", AND('ProductSprint Backlog'!$J81&gt;G$2,'ProductSprint Backlog'!$I81&lt;=G$2), 'ProductSprint Backlog'!$F81 / MAX(1, 'ProductSprint Backlog'!$J81-'ProductSprint Backlog'!$I81), AND('ProductSprint Backlog'!$J81=G$2,'ProductSprint Backlog'!$I81=G$2), 'ProductSprint Backlog'!$F81, TRUE, 0)</f>
        <v>0</v>
      </c>
      <c r="H81" s="4" cm="1">
        <f t="array" ref="H81">_xlfn.IFS('ProductSprint Backlog'!$F81="", "", AND('ProductSprint Backlog'!$J81&gt;H$2,'ProductSprint Backlog'!$I81&lt;=H$2), 'ProductSprint Backlog'!$F81 / MAX(1, 'ProductSprint Backlog'!$J81-'ProductSprint Backlog'!$I81), AND('ProductSprint Backlog'!$J81=H$2,'ProductSprint Backlog'!$I81=H$2), 'ProductSprint Backlog'!$F81, TRUE, 0)</f>
        <v>0</v>
      </c>
      <c r="I81" s="4" cm="1">
        <f t="array" ref="I81">_xlfn.IFS('ProductSprint Backlog'!$F81="", "", AND('ProductSprint Backlog'!$J81&gt;I$2,'ProductSprint Backlog'!$I81&lt;=I$2), 'ProductSprint Backlog'!$F81 / MAX(1, 'ProductSprint Backlog'!$J81-'ProductSprint Backlog'!$I81), AND('ProductSprint Backlog'!$J81=I$2,'ProductSprint Backlog'!$I81=I$2), 'ProductSprint Backlog'!$F81, TRUE, 0)</f>
        <v>0</v>
      </c>
      <c r="J81" s="4" cm="1">
        <f t="array" ref="J81">_xlfn.IFS('ProductSprint Backlog'!$F81="", "", AND('ProductSprint Backlog'!$J81&gt;J$2,'ProductSprint Backlog'!$I81&lt;=J$2), 'ProductSprint Backlog'!$F81 / MAX(1, 'ProductSprint Backlog'!$J81-'ProductSprint Backlog'!$I81), AND('ProductSprint Backlog'!$J81=J$2,'ProductSprint Backlog'!$I81=J$2), 'ProductSprint Backlog'!$F81, TRUE, 0)</f>
        <v>0</v>
      </c>
      <c r="K81" s="4" cm="1">
        <f t="array" ref="K81">_xlfn.IFS('ProductSprint Backlog'!$F81="", "", AND('ProductSprint Backlog'!$J81&gt;K$2,'ProductSprint Backlog'!$I81&lt;=K$2), 'ProductSprint Backlog'!$F81 / MAX(1, 'ProductSprint Backlog'!$J81-'ProductSprint Backlog'!$I81), AND('ProductSprint Backlog'!$J81=K$2,'ProductSprint Backlog'!$I81=K$2), 'ProductSprint Backlog'!$F81, TRUE, 0)</f>
        <v>0</v>
      </c>
      <c r="L81" s="4" cm="1">
        <f t="array" ref="L81">_xlfn.IFS('ProductSprint Backlog'!$F81="", "", AND('ProductSprint Backlog'!$J81&gt;L$2,'ProductSprint Backlog'!$I81&lt;=L$2), 'ProductSprint Backlog'!$F81 / MAX(1, 'ProductSprint Backlog'!$J81-'ProductSprint Backlog'!$I81), AND('ProductSprint Backlog'!$J81=L$2,'ProductSprint Backlog'!$I81=L$2), 'ProductSprint Backlog'!$F81, TRUE, 0)</f>
        <v>0</v>
      </c>
      <c r="M81" s="4" cm="1">
        <f t="array" ref="M81">_xlfn.IFS('ProductSprint Backlog'!$F81="", "", AND('ProductSprint Backlog'!$J81&gt;M$2,'ProductSprint Backlog'!$I81&lt;=M$2), 'ProductSprint Backlog'!$F81 / MAX(1, 'ProductSprint Backlog'!$J81-'ProductSprint Backlog'!$I81), AND('ProductSprint Backlog'!$J81=M$2,'ProductSprint Backlog'!$I81=M$2), 'ProductSprint Backlog'!$F81, TRUE, 0)</f>
        <v>0</v>
      </c>
      <c r="N81" s="4" cm="1">
        <f t="array" ref="N81">_xlfn.IFS('ProductSprint Backlog'!$F81="", "", AND('ProductSprint Backlog'!$J81&gt;N$2,'ProductSprint Backlog'!$I81&lt;=N$2), 'ProductSprint Backlog'!$F81 / MAX(1, 'ProductSprint Backlog'!$J81-'ProductSprint Backlog'!$I81), AND('ProductSprint Backlog'!$J81=N$2,'ProductSprint Backlog'!$I81=N$2), 'ProductSprint Backlog'!$F81, TRUE, 0)</f>
        <v>0</v>
      </c>
      <c r="O81" s="4" cm="1">
        <f t="array" ref="O81">_xlfn.IFS('ProductSprint Backlog'!$F81="", "", AND('ProductSprint Backlog'!$J81&gt;O$2,'ProductSprint Backlog'!$I81&lt;=O$2), 'ProductSprint Backlog'!$F81 / MAX(1, 'ProductSprint Backlog'!$J81-'ProductSprint Backlog'!$I81), AND('ProductSprint Backlog'!$J81=O$2,'ProductSprint Backlog'!$I81=O$2), 'ProductSprint Backlog'!$F81, TRUE, 0)</f>
        <v>0</v>
      </c>
      <c r="P81" s="4" cm="1">
        <f t="array" ref="P81">_xlfn.IFS('ProductSprint Backlog'!$F81="", "", AND('ProductSprint Backlog'!$J81&gt;P$2,'ProductSprint Backlog'!$I81&lt;=P$2), 'ProductSprint Backlog'!$F81 / MAX(1, 'ProductSprint Backlog'!$J81-'ProductSprint Backlog'!$I81), AND('ProductSprint Backlog'!$J81=P$2,'ProductSprint Backlog'!$I81=P$2), 'ProductSprint Backlog'!$F81, TRUE, 0)</f>
        <v>0</v>
      </c>
      <c r="Q81" s="4" cm="1">
        <f t="array" ref="Q81">_xlfn.IFS('ProductSprint Backlog'!$F81="", "", AND('ProductSprint Backlog'!$J81&gt;Q$2,'ProductSprint Backlog'!$I81&lt;=Q$2), 'ProductSprint Backlog'!$F81 / MAX(1, 'ProductSprint Backlog'!$J81-'ProductSprint Backlog'!$I81), AND('ProductSprint Backlog'!$J81=Q$2,'ProductSprint Backlog'!$I81=Q$2), 'ProductSprint Backlog'!$F81, TRUE, 0)</f>
        <v>0</v>
      </c>
    </row>
    <row r="82" spans="2:17" x14ac:dyDescent="0.2">
      <c r="B82" s="4" cm="1">
        <f t="array" ref="B82">_xlfn.IFS('ProductSprint Backlog'!$F82="", "", AND('ProductSprint Backlog'!$J82&gt;B$2,'ProductSprint Backlog'!$I82&lt;=B$2), 'ProductSprint Backlog'!$F82 / MAX(1, 'ProductSprint Backlog'!$J82-'ProductSprint Backlog'!$I82), AND('ProductSprint Backlog'!$J82=B$2,'ProductSprint Backlog'!$I82=B$2), 'ProductSprint Backlog'!$F82, TRUE, 0)</f>
        <v>0</v>
      </c>
      <c r="C82" s="4" cm="1">
        <f t="array" ref="C82">_xlfn.IFS('ProductSprint Backlog'!$F82="", "", AND('ProductSprint Backlog'!$J82&gt;C$2,'ProductSprint Backlog'!$I82&lt;=C$2), 'ProductSprint Backlog'!$F82 / MAX(1, 'ProductSprint Backlog'!$J82-'ProductSprint Backlog'!$I82), AND('ProductSprint Backlog'!$J82=C$2,'ProductSprint Backlog'!$I82=C$2), 'ProductSprint Backlog'!$F82, TRUE, 0)</f>
        <v>0</v>
      </c>
      <c r="D82" s="4" cm="1">
        <f t="array" ref="D82">_xlfn.IFS('ProductSprint Backlog'!$F82="", "", AND('ProductSprint Backlog'!$J82&gt;D$2,'ProductSprint Backlog'!$I82&lt;=D$2), 'ProductSprint Backlog'!$F82 / MAX(1, 'ProductSprint Backlog'!$J82-'ProductSprint Backlog'!$I82), AND('ProductSprint Backlog'!$J82=D$2,'ProductSprint Backlog'!$I82=D$2), 'ProductSprint Backlog'!$F82, TRUE, 0)</f>
        <v>0</v>
      </c>
      <c r="E82" s="4" cm="1">
        <f t="array" ref="E82">_xlfn.IFS('ProductSprint Backlog'!$F82="", "", AND('ProductSprint Backlog'!$J82&gt;E$2,'ProductSprint Backlog'!$I82&lt;=E$2), 'ProductSprint Backlog'!$F82 / MAX(1, 'ProductSprint Backlog'!$J82-'ProductSprint Backlog'!$I82), AND('ProductSprint Backlog'!$J82=E$2,'ProductSprint Backlog'!$I82=E$2), 'ProductSprint Backlog'!$F82, TRUE, 0)</f>
        <v>0</v>
      </c>
      <c r="F82" s="4" cm="1">
        <f t="array" ref="F82">_xlfn.IFS('ProductSprint Backlog'!$F82="", "", AND('ProductSprint Backlog'!$J82&gt;F$2,'ProductSprint Backlog'!$I82&lt;=F$2), 'ProductSprint Backlog'!$F82 / MAX(1, 'ProductSprint Backlog'!$J82-'ProductSprint Backlog'!$I82), AND('ProductSprint Backlog'!$J82=F$2,'ProductSprint Backlog'!$I82=F$2), 'ProductSprint Backlog'!$F82, TRUE, 0)</f>
        <v>0</v>
      </c>
      <c r="G82" s="4" cm="1">
        <f t="array" ref="G82">_xlfn.IFS('ProductSprint Backlog'!$F82="", "", AND('ProductSprint Backlog'!$J82&gt;G$2,'ProductSprint Backlog'!$I82&lt;=G$2), 'ProductSprint Backlog'!$F82 / MAX(1, 'ProductSprint Backlog'!$J82-'ProductSprint Backlog'!$I82), AND('ProductSprint Backlog'!$J82=G$2,'ProductSprint Backlog'!$I82=G$2), 'ProductSprint Backlog'!$F82, TRUE, 0)</f>
        <v>0</v>
      </c>
      <c r="H82" s="4" cm="1">
        <f t="array" ref="H82">_xlfn.IFS('ProductSprint Backlog'!$F82="", "", AND('ProductSprint Backlog'!$J82&gt;H$2,'ProductSprint Backlog'!$I82&lt;=H$2), 'ProductSprint Backlog'!$F82 / MAX(1, 'ProductSprint Backlog'!$J82-'ProductSprint Backlog'!$I82), AND('ProductSprint Backlog'!$J82=H$2,'ProductSprint Backlog'!$I82=H$2), 'ProductSprint Backlog'!$F82, TRUE, 0)</f>
        <v>0</v>
      </c>
      <c r="I82" s="4" cm="1">
        <f t="array" ref="I82">_xlfn.IFS('ProductSprint Backlog'!$F82="", "", AND('ProductSprint Backlog'!$J82&gt;I$2,'ProductSprint Backlog'!$I82&lt;=I$2), 'ProductSprint Backlog'!$F82 / MAX(1, 'ProductSprint Backlog'!$J82-'ProductSprint Backlog'!$I82), AND('ProductSprint Backlog'!$J82=I$2,'ProductSprint Backlog'!$I82=I$2), 'ProductSprint Backlog'!$F82, TRUE, 0)</f>
        <v>0</v>
      </c>
      <c r="J82" s="4" cm="1">
        <f t="array" ref="J82">_xlfn.IFS('ProductSprint Backlog'!$F82="", "", AND('ProductSprint Backlog'!$J82&gt;J$2,'ProductSprint Backlog'!$I82&lt;=J$2), 'ProductSprint Backlog'!$F82 / MAX(1, 'ProductSprint Backlog'!$J82-'ProductSprint Backlog'!$I82), AND('ProductSprint Backlog'!$J82=J$2,'ProductSprint Backlog'!$I82=J$2), 'ProductSprint Backlog'!$F82, TRUE, 0)</f>
        <v>0</v>
      </c>
      <c r="K82" s="4" cm="1">
        <f t="array" ref="K82">_xlfn.IFS('ProductSprint Backlog'!$F82="", "", AND('ProductSprint Backlog'!$J82&gt;K$2,'ProductSprint Backlog'!$I82&lt;=K$2), 'ProductSprint Backlog'!$F82 / MAX(1, 'ProductSprint Backlog'!$J82-'ProductSprint Backlog'!$I82), AND('ProductSprint Backlog'!$J82=K$2,'ProductSprint Backlog'!$I82=K$2), 'ProductSprint Backlog'!$F82, TRUE, 0)</f>
        <v>0</v>
      </c>
      <c r="L82" s="4" cm="1">
        <f t="array" ref="L82">_xlfn.IFS('ProductSprint Backlog'!$F82="", "", AND('ProductSprint Backlog'!$J82&gt;L$2,'ProductSprint Backlog'!$I82&lt;=L$2), 'ProductSprint Backlog'!$F82 / MAX(1, 'ProductSprint Backlog'!$J82-'ProductSprint Backlog'!$I82), AND('ProductSprint Backlog'!$J82=L$2,'ProductSprint Backlog'!$I82=L$2), 'ProductSprint Backlog'!$F82, TRUE, 0)</f>
        <v>0</v>
      </c>
      <c r="M82" s="4" cm="1">
        <f t="array" ref="M82">_xlfn.IFS('ProductSprint Backlog'!$F82="", "", AND('ProductSprint Backlog'!$J82&gt;M$2,'ProductSprint Backlog'!$I82&lt;=M$2), 'ProductSprint Backlog'!$F82 / MAX(1, 'ProductSprint Backlog'!$J82-'ProductSprint Backlog'!$I82), AND('ProductSprint Backlog'!$J82=M$2,'ProductSprint Backlog'!$I82=M$2), 'ProductSprint Backlog'!$F82, TRUE, 0)</f>
        <v>0</v>
      </c>
      <c r="N82" s="4" cm="1">
        <f t="array" ref="N82">_xlfn.IFS('ProductSprint Backlog'!$F82="", "", AND('ProductSprint Backlog'!$J82&gt;N$2,'ProductSprint Backlog'!$I82&lt;=N$2), 'ProductSprint Backlog'!$F82 / MAX(1, 'ProductSprint Backlog'!$J82-'ProductSprint Backlog'!$I82), AND('ProductSprint Backlog'!$J82=N$2,'ProductSprint Backlog'!$I82=N$2), 'ProductSprint Backlog'!$F82, TRUE, 0)</f>
        <v>0</v>
      </c>
      <c r="O82" s="4" cm="1">
        <f t="array" ref="O82">_xlfn.IFS('ProductSprint Backlog'!$F82="", "", AND('ProductSprint Backlog'!$J82&gt;O$2,'ProductSprint Backlog'!$I82&lt;=O$2), 'ProductSprint Backlog'!$F82 / MAX(1, 'ProductSprint Backlog'!$J82-'ProductSprint Backlog'!$I82), AND('ProductSprint Backlog'!$J82=O$2,'ProductSprint Backlog'!$I82=O$2), 'ProductSprint Backlog'!$F82, TRUE, 0)</f>
        <v>0</v>
      </c>
      <c r="P82" s="4" cm="1">
        <f t="array" ref="P82">_xlfn.IFS('ProductSprint Backlog'!$F82="", "", AND('ProductSprint Backlog'!$J82&gt;P$2,'ProductSprint Backlog'!$I82&lt;=P$2), 'ProductSprint Backlog'!$F82 / MAX(1, 'ProductSprint Backlog'!$J82-'ProductSprint Backlog'!$I82), AND('ProductSprint Backlog'!$J82=P$2,'ProductSprint Backlog'!$I82=P$2), 'ProductSprint Backlog'!$F82, TRUE, 0)</f>
        <v>0</v>
      </c>
      <c r="Q82" s="4" cm="1">
        <f t="array" ref="Q82">_xlfn.IFS('ProductSprint Backlog'!$F82="", "", AND('ProductSprint Backlog'!$J82&gt;Q$2,'ProductSprint Backlog'!$I82&lt;=Q$2), 'ProductSprint Backlog'!$F82 / MAX(1, 'ProductSprint Backlog'!$J82-'ProductSprint Backlog'!$I82), AND('ProductSprint Backlog'!$J82=Q$2,'ProductSprint Backlog'!$I82=Q$2), 'ProductSprint Backlog'!$F82, TRUE, 0)</f>
        <v>0</v>
      </c>
    </row>
    <row r="83" spans="2:17" x14ac:dyDescent="0.2">
      <c r="B83" s="4" cm="1">
        <f t="array" ref="B83">_xlfn.IFS('ProductSprint Backlog'!$F83="", "", AND('ProductSprint Backlog'!$J83&gt;B$2,'ProductSprint Backlog'!$I83&lt;=B$2), 'ProductSprint Backlog'!$F83 / MAX(1, 'ProductSprint Backlog'!$J83-'ProductSprint Backlog'!$I83), AND('ProductSprint Backlog'!$J83=B$2,'ProductSprint Backlog'!$I83=B$2), 'ProductSprint Backlog'!$F83, TRUE, 0)</f>
        <v>0</v>
      </c>
      <c r="C83" s="4" cm="1">
        <f t="array" ref="C83">_xlfn.IFS('ProductSprint Backlog'!$F83="", "", AND('ProductSprint Backlog'!$J83&gt;C$2,'ProductSprint Backlog'!$I83&lt;=C$2), 'ProductSprint Backlog'!$F83 / MAX(1, 'ProductSprint Backlog'!$J83-'ProductSprint Backlog'!$I83), AND('ProductSprint Backlog'!$J83=C$2,'ProductSprint Backlog'!$I83=C$2), 'ProductSprint Backlog'!$F83, TRUE, 0)</f>
        <v>0</v>
      </c>
      <c r="D83" s="4" cm="1">
        <f t="array" ref="D83">_xlfn.IFS('ProductSprint Backlog'!$F83="", "", AND('ProductSprint Backlog'!$J83&gt;D$2,'ProductSprint Backlog'!$I83&lt;=D$2), 'ProductSprint Backlog'!$F83 / MAX(1, 'ProductSprint Backlog'!$J83-'ProductSprint Backlog'!$I83), AND('ProductSprint Backlog'!$J83=D$2,'ProductSprint Backlog'!$I83=D$2), 'ProductSprint Backlog'!$F83, TRUE, 0)</f>
        <v>0</v>
      </c>
      <c r="E83" s="4" cm="1">
        <f t="array" ref="E83">_xlfn.IFS('ProductSprint Backlog'!$F83="", "", AND('ProductSprint Backlog'!$J83&gt;E$2,'ProductSprint Backlog'!$I83&lt;=E$2), 'ProductSprint Backlog'!$F83 / MAX(1, 'ProductSprint Backlog'!$J83-'ProductSprint Backlog'!$I83), AND('ProductSprint Backlog'!$J83=E$2,'ProductSprint Backlog'!$I83=E$2), 'ProductSprint Backlog'!$F83, TRUE, 0)</f>
        <v>0</v>
      </c>
      <c r="F83" s="4" cm="1">
        <f t="array" ref="F83">_xlfn.IFS('ProductSprint Backlog'!$F83="", "", AND('ProductSprint Backlog'!$J83&gt;F$2,'ProductSprint Backlog'!$I83&lt;=F$2), 'ProductSprint Backlog'!$F83 / MAX(1, 'ProductSprint Backlog'!$J83-'ProductSprint Backlog'!$I83), AND('ProductSprint Backlog'!$J83=F$2,'ProductSprint Backlog'!$I83=F$2), 'ProductSprint Backlog'!$F83, TRUE, 0)</f>
        <v>0</v>
      </c>
      <c r="G83" s="4" cm="1">
        <f t="array" ref="G83">_xlfn.IFS('ProductSprint Backlog'!$F83="", "", AND('ProductSprint Backlog'!$J83&gt;G$2,'ProductSprint Backlog'!$I83&lt;=G$2), 'ProductSprint Backlog'!$F83 / MAX(1, 'ProductSprint Backlog'!$J83-'ProductSprint Backlog'!$I83), AND('ProductSprint Backlog'!$J83=G$2,'ProductSprint Backlog'!$I83=G$2), 'ProductSprint Backlog'!$F83, TRUE, 0)</f>
        <v>0</v>
      </c>
      <c r="H83" s="4" cm="1">
        <f t="array" ref="H83">_xlfn.IFS('ProductSprint Backlog'!$F83="", "", AND('ProductSprint Backlog'!$J83&gt;H$2,'ProductSprint Backlog'!$I83&lt;=H$2), 'ProductSprint Backlog'!$F83 / MAX(1, 'ProductSprint Backlog'!$J83-'ProductSprint Backlog'!$I83), AND('ProductSprint Backlog'!$J83=H$2,'ProductSprint Backlog'!$I83=H$2), 'ProductSprint Backlog'!$F83, TRUE, 0)</f>
        <v>0</v>
      </c>
      <c r="I83" s="4" cm="1">
        <f t="array" ref="I83">_xlfn.IFS('ProductSprint Backlog'!$F83="", "", AND('ProductSprint Backlog'!$J83&gt;I$2,'ProductSprint Backlog'!$I83&lt;=I$2), 'ProductSprint Backlog'!$F83 / MAX(1, 'ProductSprint Backlog'!$J83-'ProductSprint Backlog'!$I83), AND('ProductSprint Backlog'!$J83=I$2,'ProductSprint Backlog'!$I83=I$2), 'ProductSprint Backlog'!$F83, TRUE, 0)</f>
        <v>0</v>
      </c>
      <c r="J83" s="4" cm="1">
        <f t="array" ref="J83">_xlfn.IFS('ProductSprint Backlog'!$F83="", "", AND('ProductSprint Backlog'!$J83&gt;J$2,'ProductSprint Backlog'!$I83&lt;=J$2), 'ProductSprint Backlog'!$F83 / MAX(1, 'ProductSprint Backlog'!$J83-'ProductSprint Backlog'!$I83), AND('ProductSprint Backlog'!$J83=J$2,'ProductSprint Backlog'!$I83=J$2), 'ProductSprint Backlog'!$F83, TRUE, 0)</f>
        <v>0</v>
      </c>
      <c r="K83" s="4" cm="1">
        <f t="array" ref="K83">_xlfn.IFS('ProductSprint Backlog'!$F83="", "", AND('ProductSprint Backlog'!$J83&gt;K$2,'ProductSprint Backlog'!$I83&lt;=K$2), 'ProductSprint Backlog'!$F83 / MAX(1, 'ProductSprint Backlog'!$J83-'ProductSprint Backlog'!$I83), AND('ProductSprint Backlog'!$J83=K$2,'ProductSprint Backlog'!$I83=K$2), 'ProductSprint Backlog'!$F83, TRUE, 0)</f>
        <v>0</v>
      </c>
      <c r="L83" s="4" cm="1">
        <f t="array" ref="L83">_xlfn.IFS('ProductSprint Backlog'!$F83="", "", AND('ProductSprint Backlog'!$J83&gt;L$2,'ProductSprint Backlog'!$I83&lt;=L$2), 'ProductSprint Backlog'!$F83 / MAX(1, 'ProductSprint Backlog'!$J83-'ProductSprint Backlog'!$I83), AND('ProductSprint Backlog'!$J83=L$2,'ProductSprint Backlog'!$I83=L$2), 'ProductSprint Backlog'!$F83, TRUE, 0)</f>
        <v>0</v>
      </c>
      <c r="M83" s="4" cm="1">
        <f t="array" ref="M83">_xlfn.IFS('ProductSprint Backlog'!$F83="", "", AND('ProductSprint Backlog'!$J83&gt;M$2,'ProductSprint Backlog'!$I83&lt;=M$2), 'ProductSprint Backlog'!$F83 / MAX(1, 'ProductSprint Backlog'!$J83-'ProductSprint Backlog'!$I83), AND('ProductSprint Backlog'!$J83=M$2,'ProductSprint Backlog'!$I83=M$2), 'ProductSprint Backlog'!$F83, TRUE, 0)</f>
        <v>0</v>
      </c>
      <c r="N83" s="4" cm="1">
        <f t="array" ref="N83">_xlfn.IFS('ProductSprint Backlog'!$F83="", "", AND('ProductSprint Backlog'!$J83&gt;N$2,'ProductSprint Backlog'!$I83&lt;=N$2), 'ProductSprint Backlog'!$F83 / MAX(1, 'ProductSprint Backlog'!$J83-'ProductSprint Backlog'!$I83), AND('ProductSprint Backlog'!$J83=N$2,'ProductSprint Backlog'!$I83=N$2), 'ProductSprint Backlog'!$F83, TRUE, 0)</f>
        <v>0</v>
      </c>
      <c r="O83" s="4" cm="1">
        <f t="array" ref="O83">_xlfn.IFS('ProductSprint Backlog'!$F83="", "", AND('ProductSprint Backlog'!$J83&gt;O$2,'ProductSprint Backlog'!$I83&lt;=O$2), 'ProductSprint Backlog'!$F83 / MAX(1, 'ProductSprint Backlog'!$J83-'ProductSprint Backlog'!$I83), AND('ProductSprint Backlog'!$J83=O$2,'ProductSprint Backlog'!$I83=O$2), 'ProductSprint Backlog'!$F83, TRUE, 0)</f>
        <v>0</v>
      </c>
      <c r="P83" s="4" cm="1">
        <f t="array" ref="P83">_xlfn.IFS('ProductSprint Backlog'!$F83="", "", AND('ProductSprint Backlog'!$J83&gt;P$2,'ProductSprint Backlog'!$I83&lt;=P$2), 'ProductSprint Backlog'!$F83 / MAX(1, 'ProductSprint Backlog'!$J83-'ProductSprint Backlog'!$I83), AND('ProductSprint Backlog'!$J83=P$2,'ProductSprint Backlog'!$I83=P$2), 'ProductSprint Backlog'!$F83, TRUE, 0)</f>
        <v>0</v>
      </c>
      <c r="Q83" s="4" cm="1">
        <f t="array" ref="Q83">_xlfn.IFS('ProductSprint Backlog'!$F83="", "", AND('ProductSprint Backlog'!$J83&gt;Q$2,'ProductSprint Backlog'!$I83&lt;=Q$2), 'ProductSprint Backlog'!$F83 / MAX(1, 'ProductSprint Backlog'!$J83-'ProductSprint Backlog'!$I83), AND('ProductSprint Backlog'!$J83=Q$2,'ProductSprint Backlog'!$I83=Q$2), 'ProductSprint Backlog'!$F83, TRUE, 0)</f>
        <v>0</v>
      </c>
    </row>
    <row r="84" spans="2:17" x14ac:dyDescent="0.2">
      <c r="B84" s="4" cm="1">
        <f t="array" ref="B84">_xlfn.IFS('ProductSprint Backlog'!$F84="", "", AND('ProductSprint Backlog'!$J84&gt;B$2,'ProductSprint Backlog'!$I84&lt;=B$2), 'ProductSprint Backlog'!$F84 / MAX(1, 'ProductSprint Backlog'!$J84-'ProductSprint Backlog'!$I84), AND('ProductSprint Backlog'!$J84=B$2,'ProductSprint Backlog'!$I84=B$2), 'ProductSprint Backlog'!$F84, TRUE, 0)</f>
        <v>0</v>
      </c>
      <c r="C84" s="4" cm="1">
        <f t="array" ref="C84">_xlfn.IFS('ProductSprint Backlog'!$F84="", "", AND('ProductSprint Backlog'!$J84&gt;C$2,'ProductSprint Backlog'!$I84&lt;=C$2), 'ProductSprint Backlog'!$F84 / MAX(1, 'ProductSprint Backlog'!$J84-'ProductSprint Backlog'!$I84), AND('ProductSprint Backlog'!$J84=C$2,'ProductSprint Backlog'!$I84=C$2), 'ProductSprint Backlog'!$F84, TRUE, 0)</f>
        <v>0</v>
      </c>
      <c r="D84" s="4" cm="1">
        <f t="array" ref="D84">_xlfn.IFS('ProductSprint Backlog'!$F84="", "", AND('ProductSprint Backlog'!$J84&gt;D$2,'ProductSprint Backlog'!$I84&lt;=D$2), 'ProductSprint Backlog'!$F84 / MAX(1, 'ProductSprint Backlog'!$J84-'ProductSprint Backlog'!$I84), AND('ProductSprint Backlog'!$J84=D$2,'ProductSprint Backlog'!$I84=D$2), 'ProductSprint Backlog'!$F84, TRUE, 0)</f>
        <v>0</v>
      </c>
      <c r="E84" s="4" cm="1">
        <f t="array" ref="E84">_xlfn.IFS('ProductSprint Backlog'!$F84="", "", AND('ProductSprint Backlog'!$J84&gt;E$2,'ProductSprint Backlog'!$I84&lt;=E$2), 'ProductSprint Backlog'!$F84 / MAX(1, 'ProductSprint Backlog'!$J84-'ProductSprint Backlog'!$I84), AND('ProductSprint Backlog'!$J84=E$2,'ProductSprint Backlog'!$I84=E$2), 'ProductSprint Backlog'!$F84, TRUE, 0)</f>
        <v>0</v>
      </c>
      <c r="F84" s="4" cm="1">
        <f t="array" ref="F84">_xlfn.IFS('ProductSprint Backlog'!$F84="", "", AND('ProductSprint Backlog'!$J84&gt;F$2,'ProductSprint Backlog'!$I84&lt;=F$2), 'ProductSprint Backlog'!$F84 / MAX(1, 'ProductSprint Backlog'!$J84-'ProductSprint Backlog'!$I84), AND('ProductSprint Backlog'!$J84=F$2,'ProductSprint Backlog'!$I84=F$2), 'ProductSprint Backlog'!$F84, TRUE, 0)</f>
        <v>0</v>
      </c>
      <c r="G84" s="4" cm="1">
        <f t="array" ref="G84">_xlfn.IFS('ProductSprint Backlog'!$F84="", "", AND('ProductSprint Backlog'!$J84&gt;G$2,'ProductSprint Backlog'!$I84&lt;=G$2), 'ProductSprint Backlog'!$F84 / MAX(1, 'ProductSprint Backlog'!$J84-'ProductSprint Backlog'!$I84), AND('ProductSprint Backlog'!$J84=G$2,'ProductSprint Backlog'!$I84=G$2), 'ProductSprint Backlog'!$F84, TRUE, 0)</f>
        <v>0</v>
      </c>
      <c r="H84" s="4" cm="1">
        <f t="array" ref="H84">_xlfn.IFS('ProductSprint Backlog'!$F84="", "", AND('ProductSprint Backlog'!$J84&gt;H$2,'ProductSprint Backlog'!$I84&lt;=H$2), 'ProductSprint Backlog'!$F84 / MAX(1, 'ProductSprint Backlog'!$J84-'ProductSprint Backlog'!$I84), AND('ProductSprint Backlog'!$J84=H$2,'ProductSprint Backlog'!$I84=H$2), 'ProductSprint Backlog'!$F84, TRUE, 0)</f>
        <v>0</v>
      </c>
      <c r="I84" s="4" cm="1">
        <f t="array" ref="I84">_xlfn.IFS('ProductSprint Backlog'!$F84="", "", AND('ProductSprint Backlog'!$J84&gt;I$2,'ProductSprint Backlog'!$I84&lt;=I$2), 'ProductSprint Backlog'!$F84 / MAX(1, 'ProductSprint Backlog'!$J84-'ProductSprint Backlog'!$I84), AND('ProductSprint Backlog'!$J84=I$2,'ProductSprint Backlog'!$I84=I$2), 'ProductSprint Backlog'!$F84, TRUE, 0)</f>
        <v>0</v>
      </c>
      <c r="J84" s="4" cm="1">
        <f t="array" ref="J84">_xlfn.IFS('ProductSprint Backlog'!$F84="", "", AND('ProductSprint Backlog'!$J84&gt;J$2,'ProductSprint Backlog'!$I84&lt;=J$2), 'ProductSprint Backlog'!$F84 / MAX(1, 'ProductSprint Backlog'!$J84-'ProductSprint Backlog'!$I84), AND('ProductSprint Backlog'!$J84=J$2,'ProductSprint Backlog'!$I84=J$2), 'ProductSprint Backlog'!$F84, TRUE, 0)</f>
        <v>0</v>
      </c>
      <c r="K84" s="4" cm="1">
        <f t="array" ref="K84">_xlfn.IFS('ProductSprint Backlog'!$F84="", "", AND('ProductSprint Backlog'!$J84&gt;K$2,'ProductSprint Backlog'!$I84&lt;=K$2), 'ProductSprint Backlog'!$F84 / MAX(1, 'ProductSprint Backlog'!$J84-'ProductSprint Backlog'!$I84), AND('ProductSprint Backlog'!$J84=K$2,'ProductSprint Backlog'!$I84=K$2), 'ProductSprint Backlog'!$F84, TRUE, 0)</f>
        <v>0</v>
      </c>
      <c r="L84" s="4" cm="1">
        <f t="array" ref="L84">_xlfn.IFS('ProductSprint Backlog'!$F84="", "", AND('ProductSprint Backlog'!$J84&gt;L$2,'ProductSprint Backlog'!$I84&lt;=L$2), 'ProductSprint Backlog'!$F84 / MAX(1, 'ProductSprint Backlog'!$J84-'ProductSprint Backlog'!$I84), AND('ProductSprint Backlog'!$J84=L$2,'ProductSprint Backlog'!$I84=L$2), 'ProductSprint Backlog'!$F84, TRUE, 0)</f>
        <v>0</v>
      </c>
      <c r="M84" s="4" cm="1">
        <f t="array" ref="M84">_xlfn.IFS('ProductSprint Backlog'!$F84="", "", AND('ProductSprint Backlog'!$J84&gt;M$2,'ProductSprint Backlog'!$I84&lt;=M$2), 'ProductSprint Backlog'!$F84 / MAX(1, 'ProductSprint Backlog'!$J84-'ProductSprint Backlog'!$I84), AND('ProductSprint Backlog'!$J84=M$2,'ProductSprint Backlog'!$I84=M$2), 'ProductSprint Backlog'!$F84, TRUE, 0)</f>
        <v>0</v>
      </c>
      <c r="N84" s="4" cm="1">
        <f t="array" ref="N84">_xlfn.IFS('ProductSprint Backlog'!$F84="", "", AND('ProductSprint Backlog'!$J84&gt;N$2,'ProductSprint Backlog'!$I84&lt;=N$2), 'ProductSprint Backlog'!$F84 / MAX(1, 'ProductSprint Backlog'!$J84-'ProductSprint Backlog'!$I84), AND('ProductSprint Backlog'!$J84=N$2,'ProductSprint Backlog'!$I84=N$2), 'ProductSprint Backlog'!$F84, TRUE, 0)</f>
        <v>0</v>
      </c>
      <c r="O84" s="4" cm="1">
        <f t="array" ref="O84">_xlfn.IFS('ProductSprint Backlog'!$F84="", "", AND('ProductSprint Backlog'!$J84&gt;O$2,'ProductSprint Backlog'!$I84&lt;=O$2), 'ProductSprint Backlog'!$F84 / MAX(1, 'ProductSprint Backlog'!$J84-'ProductSprint Backlog'!$I84), AND('ProductSprint Backlog'!$J84=O$2,'ProductSprint Backlog'!$I84=O$2), 'ProductSprint Backlog'!$F84, TRUE, 0)</f>
        <v>0</v>
      </c>
      <c r="P84" s="4" cm="1">
        <f t="array" ref="P84">_xlfn.IFS('ProductSprint Backlog'!$F84="", "", AND('ProductSprint Backlog'!$J84&gt;P$2,'ProductSprint Backlog'!$I84&lt;=P$2), 'ProductSprint Backlog'!$F84 / MAX(1, 'ProductSprint Backlog'!$J84-'ProductSprint Backlog'!$I84), AND('ProductSprint Backlog'!$J84=P$2,'ProductSprint Backlog'!$I84=P$2), 'ProductSprint Backlog'!$F84, TRUE, 0)</f>
        <v>0</v>
      </c>
      <c r="Q84" s="4" cm="1">
        <f t="array" ref="Q84">_xlfn.IFS('ProductSprint Backlog'!$F84="", "", AND('ProductSprint Backlog'!$J84&gt;Q$2,'ProductSprint Backlog'!$I84&lt;=Q$2), 'ProductSprint Backlog'!$F84 / MAX(1, 'ProductSprint Backlog'!$J84-'ProductSprint Backlog'!$I84), AND('ProductSprint Backlog'!$J84=Q$2,'ProductSprint Backlog'!$I84=Q$2), 'ProductSprint Backlog'!$F84, TRUE, 0)</f>
        <v>0</v>
      </c>
    </row>
    <row r="85" spans="2:17" x14ac:dyDescent="0.2">
      <c r="B85" s="4" t="str" cm="1">
        <f t="array" ref="B85">_xlfn.IFS('ProductSprint Backlog'!$F85="", "", AND('ProductSprint Backlog'!$J85&gt;B$2,'ProductSprint Backlog'!$I85&lt;=B$2), 'ProductSprint Backlog'!$F85 / MAX(1, 'ProductSprint Backlog'!$J85-'ProductSprint Backlog'!$I85), AND('ProductSprint Backlog'!$J85=B$2,'ProductSprint Backlog'!$I85=B$2), 'ProductSprint Backlog'!$F85, TRUE, 0)</f>
        <v/>
      </c>
      <c r="C85" s="4" t="str" cm="1">
        <f t="array" ref="C85">_xlfn.IFS('ProductSprint Backlog'!$F85="", "", AND('ProductSprint Backlog'!$J85&gt;C$2,'ProductSprint Backlog'!$I85&lt;=C$2), 'ProductSprint Backlog'!$F85 / MAX(1, 'ProductSprint Backlog'!$J85-'ProductSprint Backlog'!$I85), AND('ProductSprint Backlog'!$J85=C$2,'ProductSprint Backlog'!$I85=C$2), 'ProductSprint Backlog'!$F85, TRUE, 0)</f>
        <v/>
      </c>
      <c r="D85" s="4" t="str" cm="1">
        <f t="array" ref="D85">_xlfn.IFS('ProductSprint Backlog'!$F85="", "", AND('ProductSprint Backlog'!$J85&gt;D$2,'ProductSprint Backlog'!$I85&lt;=D$2), 'ProductSprint Backlog'!$F85 / MAX(1, 'ProductSprint Backlog'!$J85-'ProductSprint Backlog'!$I85), AND('ProductSprint Backlog'!$J85=D$2,'ProductSprint Backlog'!$I85=D$2), 'ProductSprint Backlog'!$F85, TRUE, 0)</f>
        <v/>
      </c>
      <c r="E85" s="4" t="str" cm="1">
        <f t="array" ref="E85">_xlfn.IFS('ProductSprint Backlog'!$F85="", "", AND('ProductSprint Backlog'!$J85&gt;E$2,'ProductSprint Backlog'!$I85&lt;=E$2), 'ProductSprint Backlog'!$F85 / MAX(1, 'ProductSprint Backlog'!$J85-'ProductSprint Backlog'!$I85), AND('ProductSprint Backlog'!$J85=E$2,'ProductSprint Backlog'!$I85=E$2), 'ProductSprint Backlog'!$F85, TRUE, 0)</f>
        <v/>
      </c>
      <c r="F85" s="4" t="str" cm="1">
        <f t="array" ref="F85">_xlfn.IFS('ProductSprint Backlog'!$F85="", "", AND('ProductSprint Backlog'!$J85&gt;F$2,'ProductSprint Backlog'!$I85&lt;=F$2), 'ProductSprint Backlog'!$F85 / MAX(1, 'ProductSprint Backlog'!$J85-'ProductSprint Backlog'!$I85), AND('ProductSprint Backlog'!$J85=F$2,'ProductSprint Backlog'!$I85=F$2), 'ProductSprint Backlog'!$F85, TRUE, 0)</f>
        <v/>
      </c>
      <c r="G85" s="4" t="str" cm="1">
        <f t="array" ref="G85">_xlfn.IFS('ProductSprint Backlog'!$F85="", "", AND('ProductSprint Backlog'!$J85&gt;G$2,'ProductSprint Backlog'!$I85&lt;=G$2), 'ProductSprint Backlog'!$F85 / MAX(1, 'ProductSprint Backlog'!$J85-'ProductSprint Backlog'!$I85), AND('ProductSprint Backlog'!$J85=G$2,'ProductSprint Backlog'!$I85=G$2), 'ProductSprint Backlog'!$F85, TRUE, 0)</f>
        <v/>
      </c>
      <c r="H85" s="4" t="str" cm="1">
        <f t="array" ref="H85">_xlfn.IFS('ProductSprint Backlog'!$F85="", "", AND('ProductSprint Backlog'!$J85&gt;H$2,'ProductSprint Backlog'!$I85&lt;=H$2), 'ProductSprint Backlog'!$F85 / MAX(1, 'ProductSprint Backlog'!$J85-'ProductSprint Backlog'!$I85), AND('ProductSprint Backlog'!$J85=H$2,'ProductSprint Backlog'!$I85=H$2), 'ProductSprint Backlog'!$F85, TRUE, 0)</f>
        <v/>
      </c>
      <c r="I85" s="4" t="str" cm="1">
        <f t="array" ref="I85">_xlfn.IFS('ProductSprint Backlog'!$F85="", "", AND('ProductSprint Backlog'!$J85&gt;I$2,'ProductSprint Backlog'!$I85&lt;=I$2), 'ProductSprint Backlog'!$F85 / MAX(1, 'ProductSprint Backlog'!$J85-'ProductSprint Backlog'!$I85), AND('ProductSprint Backlog'!$J85=I$2,'ProductSprint Backlog'!$I85=I$2), 'ProductSprint Backlog'!$F85, TRUE, 0)</f>
        <v/>
      </c>
      <c r="J85" s="4" t="str" cm="1">
        <f t="array" ref="J85">_xlfn.IFS('ProductSprint Backlog'!$F85="", "", AND('ProductSprint Backlog'!$J85&gt;J$2,'ProductSprint Backlog'!$I85&lt;=J$2), 'ProductSprint Backlog'!$F85 / MAX(1, 'ProductSprint Backlog'!$J85-'ProductSprint Backlog'!$I85), AND('ProductSprint Backlog'!$J85=J$2,'ProductSprint Backlog'!$I85=J$2), 'ProductSprint Backlog'!$F85, TRUE, 0)</f>
        <v/>
      </c>
      <c r="K85" s="4" t="str" cm="1">
        <f t="array" ref="K85">_xlfn.IFS('ProductSprint Backlog'!$F85="", "", AND('ProductSprint Backlog'!$J85&gt;K$2,'ProductSprint Backlog'!$I85&lt;=K$2), 'ProductSprint Backlog'!$F85 / MAX(1, 'ProductSprint Backlog'!$J85-'ProductSprint Backlog'!$I85), AND('ProductSprint Backlog'!$J85=K$2,'ProductSprint Backlog'!$I85=K$2), 'ProductSprint Backlog'!$F85, TRUE, 0)</f>
        <v/>
      </c>
      <c r="L85" s="4" t="str" cm="1">
        <f t="array" ref="L85">_xlfn.IFS('ProductSprint Backlog'!$F85="", "", AND('ProductSprint Backlog'!$J85&gt;L$2,'ProductSprint Backlog'!$I85&lt;=L$2), 'ProductSprint Backlog'!$F85 / MAX(1, 'ProductSprint Backlog'!$J85-'ProductSprint Backlog'!$I85), AND('ProductSprint Backlog'!$J85=L$2,'ProductSprint Backlog'!$I85=L$2), 'ProductSprint Backlog'!$F85, TRUE, 0)</f>
        <v/>
      </c>
      <c r="M85" s="4" t="str" cm="1">
        <f t="array" ref="M85">_xlfn.IFS('ProductSprint Backlog'!$F85="", "", AND('ProductSprint Backlog'!$J85&gt;M$2,'ProductSprint Backlog'!$I85&lt;=M$2), 'ProductSprint Backlog'!$F85 / MAX(1, 'ProductSprint Backlog'!$J85-'ProductSprint Backlog'!$I85), AND('ProductSprint Backlog'!$J85=M$2,'ProductSprint Backlog'!$I85=M$2), 'ProductSprint Backlog'!$F85, TRUE, 0)</f>
        <v/>
      </c>
      <c r="N85" s="4" t="str" cm="1">
        <f t="array" ref="N85">_xlfn.IFS('ProductSprint Backlog'!$F85="", "", AND('ProductSprint Backlog'!$J85&gt;N$2,'ProductSprint Backlog'!$I85&lt;=N$2), 'ProductSprint Backlog'!$F85 / MAX(1, 'ProductSprint Backlog'!$J85-'ProductSprint Backlog'!$I85), AND('ProductSprint Backlog'!$J85=N$2,'ProductSprint Backlog'!$I85=N$2), 'ProductSprint Backlog'!$F85, TRUE, 0)</f>
        <v/>
      </c>
      <c r="O85" s="4" t="str" cm="1">
        <f t="array" ref="O85">_xlfn.IFS('ProductSprint Backlog'!$F85="", "", AND('ProductSprint Backlog'!$J85&gt;O$2,'ProductSprint Backlog'!$I85&lt;=O$2), 'ProductSprint Backlog'!$F85 / MAX(1, 'ProductSprint Backlog'!$J85-'ProductSprint Backlog'!$I85), AND('ProductSprint Backlog'!$J85=O$2,'ProductSprint Backlog'!$I85=O$2), 'ProductSprint Backlog'!$F85, TRUE, 0)</f>
        <v/>
      </c>
      <c r="P85" s="4" t="str" cm="1">
        <f t="array" ref="P85">_xlfn.IFS('ProductSprint Backlog'!$F85="", "", AND('ProductSprint Backlog'!$J85&gt;P$2,'ProductSprint Backlog'!$I85&lt;=P$2), 'ProductSprint Backlog'!$F85 / MAX(1, 'ProductSprint Backlog'!$J85-'ProductSprint Backlog'!$I85), AND('ProductSprint Backlog'!$J85=P$2,'ProductSprint Backlog'!$I85=P$2), 'ProductSprint Backlog'!$F85, TRUE, 0)</f>
        <v/>
      </c>
      <c r="Q85" s="4" t="str" cm="1">
        <f t="array" ref="Q85">_xlfn.IFS('ProductSprint Backlog'!$F85="", "", AND('ProductSprint Backlog'!$J85&gt;Q$2,'ProductSprint Backlog'!$I85&lt;=Q$2), 'ProductSprint Backlog'!$F85 / MAX(1, 'ProductSprint Backlog'!$J85-'ProductSprint Backlog'!$I85), AND('ProductSprint Backlog'!$J85=Q$2,'ProductSprint Backlog'!$I85=Q$2), 'ProductSprint Backlog'!$F85, TRUE, 0)</f>
        <v/>
      </c>
    </row>
    <row r="86" spans="2:17" x14ac:dyDescent="0.2">
      <c r="B86" s="4" cm="1">
        <f t="array" ref="B86">_xlfn.IFS('ProductSprint Backlog'!$F86="", "", AND('ProductSprint Backlog'!$J86&gt;B$2,'ProductSprint Backlog'!$I86&lt;=B$2), 'ProductSprint Backlog'!$F86 / MAX(1, 'ProductSprint Backlog'!$J86-'ProductSprint Backlog'!$I86), AND('ProductSprint Backlog'!$J86=B$2,'ProductSprint Backlog'!$I86=B$2), 'ProductSprint Backlog'!$F86, TRUE, 0)</f>
        <v>0</v>
      </c>
      <c r="C86" s="4" cm="1">
        <f t="array" ref="C86">_xlfn.IFS('ProductSprint Backlog'!$F86="", "", AND('ProductSprint Backlog'!$J86&gt;C$2,'ProductSprint Backlog'!$I86&lt;=C$2), 'ProductSprint Backlog'!$F86 / MAX(1, 'ProductSprint Backlog'!$J86-'ProductSprint Backlog'!$I86), AND('ProductSprint Backlog'!$J86=C$2,'ProductSprint Backlog'!$I86=C$2), 'ProductSprint Backlog'!$F86, TRUE, 0)</f>
        <v>0</v>
      </c>
      <c r="D86" s="4" cm="1">
        <f t="array" ref="D86">_xlfn.IFS('ProductSprint Backlog'!$F86="", "", AND('ProductSprint Backlog'!$J86&gt;D$2,'ProductSprint Backlog'!$I86&lt;=D$2), 'ProductSprint Backlog'!$F86 / MAX(1, 'ProductSprint Backlog'!$J86-'ProductSprint Backlog'!$I86), AND('ProductSprint Backlog'!$J86=D$2,'ProductSprint Backlog'!$I86=D$2), 'ProductSprint Backlog'!$F86, TRUE, 0)</f>
        <v>0</v>
      </c>
      <c r="E86" s="4" cm="1">
        <f t="array" ref="E86">_xlfn.IFS('ProductSprint Backlog'!$F86="", "", AND('ProductSprint Backlog'!$J86&gt;E$2,'ProductSprint Backlog'!$I86&lt;=E$2), 'ProductSprint Backlog'!$F86 / MAX(1, 'ProductSprint Backlog'!$J86-'ProductSprint Backlog'!$I86), AND('ProductSprint Backlog'!$J86=E$2,'ProductSprint Backlog'!$I86=E$2), 'ProductSprint Backlog'!$F86, TRUE, 0)</f>
        <v>0</v>
      </c>
      <c r="F86" s="4" cm="1">
        <f t="array" ref="F86">_xlfn.IFS('ProductSprint Backlog'!$F86="", "", AND('ProductSprint Backlog'!$J86&gt;F$2,'ProductSprint Backlog'!$I86&lt;=F$2), 'ProductSprint Backlog'!$F86 / MAX(1, 'ProductSprint Backlog'!$J86-'ProductSprint Backlog'!$I86), AND('ProductSprint Backlog'!$J86=F$2,'ProductSprint Backlog'!$I86=F$2), 'ProductSprint Backlog'!$F86, TRUE, 0)</f>
        <v>0</v>
      </c>
      <c r="G86" s="4" cm="1">
        <f t="array" ref="G86">_xlfn.IFS('ProductSprint Backlog'!$F86="", "", AND('ProductSprint Backlog'!$J86&gt;G$2,'ProductSprint Backlog'!$I86&lt;=G$2), 'ProductSprint Backlog'!$F86 / MAX(1, 'ProductSprint Backlog'!$J86-'ProductSprint Backlog'!$I86), AND('ProductSprint Backlog'!$J86=G$2,'ProductSprint Backlog'!$I86=G$2), 'ProductSprint Backlog'!$F86, TRUE, 0)</f>
        <v>0</v>
      </c>
      <c r="H86" s="4" cm="1">
        <f t="array" ref="H86">_xlfn.IFS('ProductSprint Backlog'!$F86="", "", AND('ProductSprint Backlog'!$J86&gt;H$2,'ProductSprint Backlog'!$I86&lt;=H$2), 'ProductSprint Backlog'!$F86 / MAX(1, 'ProductSprint Backlog'!$J86-'ProductSprint Backlog'!$I86), AND('ProductSprint Backlog'!$J86=H$2,'ProductSprint Backlog'!$I86=H$2), 'ProductSprint Backlog'!$F86, TRUE, 0)</f>
        <v>0</v>
      </c>
      <c r="I86" s="4" cm="1">
        <f t="array" ref="I86">_xlfn.IFS('ProductSprint Backlog'!$F86="", "", AND('ProductSprint Backlog'!$J86&gt;I$2,'ProductSprint Backlog'!$I86&lt;=I$2), 'ProductSprint Backlog'!$F86 / MAX(1, 'ProductSprint Backlog'!$J86-'ProductSprint Backlog'!$I86), AND('ProductSprint Backlog'!$J86=I$2,'ProductSprint Backlog'!$I86=I$2), 'ProductSprint Backlog'!$F86, TRUE, 0)</f>
        <v>0</v>
      </c>
      <c r="J86" s="4" cm="1">
        <f t="array" ref="J86">_xlfn.IFS('ProductSprint Backlog'!$F86="", "", AND('ProductSprint Backlog'!$J86&gt;J$2,'ProductSprint Backlog'!$I86&lt;=J$2), 'ProductSprint Backlog'!$F86 / MAX(1, 'ProductSprint Backlog'!$J86-'ProductSprint Backlog'!$I86), AND('ProductSprint Backlog'!$J86=J$2,'ProductSprint Backlog'!$I86=J$2), 'ProductSprint Backlog'!$F86, TRUE, 0)</f>
        <v>0</v>
      </c>
      <c r="K86" s="4" cm="1">
        <f t="array" ref="K86">_xlfn.IFS('ProductSprint Backlog'!$F86="", "", AND('ProductSprint Backlog'!$J86&gt;K$2,'ProductSprint Backlog'!$I86&lt;=K$2), 'ProductSprint Backlog'!$F86 / MAX(1, 'ProductSprint Backlog'!$J86-'ProductSprint Backlog'!$I86), AND('ProductSprint Backlog'!$J86=K$2,'ProductSprint Backlog'!$I86=K$2), 'ProductSprint Backlog'!$F86, TRUE, 0)</f>
        <v>0</v>
      </c>
      <c r="L86" s="4" cm="1">
        <f t="array" ref="L86">_xlfn.IFS('ProductSprint Backlog'!$F86="", "", AND('ProductSprint Backlog'!$J86&gt;L$2,'ProductSprint Backlog'!$I86&lt;=L$2), 'ProductSprint Backlog'!$F86 / MAX(1, 'ProductSprint Backlog'!$J86-'ProductSprint Backlog'!$I86), AND('ProductSprint Backlog'!$J86=L$2,'ProductSprint Backlog'!$I86=L$2), 'ProductSprint Backlog'!$F86, TRUE, 0)</f>
        <v>0</v>
      </c>
      <c r="M86" s="4" cm="1">
        <f t="array" ref="M86">_xlfn.IFS('ProductSprint Backlog'!$F86="", "", AND('ProductSprint Backlog'!$J86&gt;M$2,'ProductSprint Backlog'!$I86&lt;=M$2), 'ProductSprint Backlog'!$F86 / MAX(1, 'ProductSprint Backlog'!$J86-'ProductSprint Backlog'!$I86), AND('ProductSprint Backlog'!$J86=M$2,'ProductSprint Backlog'!$I86=M$2), 'ProductSprint Backlog'!$F86, TRUE, 0)</f>
        <v>0</v>
      </c>
      <c r="N86" s="4" cm="1">
        <f t="array" ref="N86">_xlfn.IFS('ProductSprint Backlog'!$F86="", "", AND('ProductSprint Backlog'!$J86&gt;N$2,'ProductSprint Backlog'!$I86&lt;=N$2), 'ProductSprint Backlog'!$F86 / MAX(1, 'ProductSprint Backlog'!$J86-'ProductSprint Backlog'!$I86), AND('ProductSprint Backlog'!$J86=N$2,'ProductSprint Backlog'!$I86=N$2), 'ProductSprint Backlog'!$F86, TRUE, 0)</f>
        <v>0</v>
      </c>
      <c r="O86" s="4" cm="1">
        <f t="array" ref="O86">_xlfn.IFS('ProductSprint Backlog'!$F86="", "", AND('ProductSprint Backlog'!$J86&gt;O$2,'ProductSprint Backlog'!$I86&lt;=O$2), 'ProductSprint Backlog'!$F86 / MAX(1, 'ProductSprint Backlog'!$J86-'ProductSprint Backlog'!$I86), AND('ProductSprint Backlog'!$J86=O$2,'ProductSprint Backlog'!$I86=O$2), 'ProductSprint Backlog'!$F86, TRUE, 0)</f>
        <v>0</v>
      </c>
      <c r="P86" s="4" cm="1">
        <f t="array" ref="P86">_xlfn.IFS('ProductSprint Backlog'!$F86="", "", AND('ProductSprint Backlog'!$J86&gt;P$2,'ProductSprint Backlog'!$I86&lt;=P$2), 'ProductSprint Backlog'!$F86 / MAX(1, 'ProductSprint Backlog'!$J86-'ProductSprint Backlog'!$I86), AND('ProductSprint Backlog'!$J86=P$2,'ProductSprint Backlog'!$I86=P$2), 'ProductSprint Backlog'!$F86, TRUE, 0)</f>
        <v>0</v>
      </c>
      <c r="Q86" s="4" cm="1">
        <f t="array" ref="Q86">_xlfn.IFS('ProductSprint Backlog'!$F86="", "", AND('ProductSprint Backlog'!$J86&gt;Q$2,'ProductSprint Backlog'!$I86&lt;=Q$2), 'ProductSprint Backlog'!$F86 / MAX(1, 'ProductSprint Backlog'!$J86-'ProductSprint Backlog'!$I86), AND('ProductSprint Backlog'!$J86=Q$2,'ProductSprint Backlog'!$I86=Q$2), 'ProductSprint Backlog'!$F86, TRUE, 0)</f>
        <v>0</v>
      </c>
    </row>
    <row r="87" spans="2:17" x14ac:dyDescent="0.2">
      <c r="B87" s="4" cm="1">
        <f t="array" ref="B87">_xlfn.IFS('ProductSprint Backlog'!$F87="", "", AND('ProductSprint Backlog'!$J87&gt;B$2,'ProductSprint Backlog'!$I87&lt;=B$2), 'ProductSprint Backlog'!$F87 / MAX(1, 'ProductSprint Backlog'!$J87-'ProductSprint Backlog'!$I87), AND('ProductSprint Backlog'!$J87=B$2,'ProductSprint Backlog'!$I87=B$2), 'ProductSprint Backlog'!$F87, TRUE, 0)</f>
        <v>0</v>
      </c>
      <c r="C87" s="4" cm="1">
        <f t="array" ref="C87">_xlfn.IFS('ProductSprint Backlog'!$F87="", "", AND('ProductSprint Backlog'!$J87&gt;C$2,'ProductSprint Backlog'!$I87&lt;=C$2), 'ProductSprint Backlog'!$F87 / MAX(1, 'ProductSprint Backlog'!$J87-'ProductSprint Backlog'!$I87), AND('ProductSprint Backlog'!$J87=C$2,'ProductSprint Backlog'!$I87=C$2), 'ProductSprint Backlog'!$F87, TRUE, 0)</f>
        <v>0</v>
      </c>
      <c r="D87" s="4" cm="1">
        <f t="array" ref="D87">_xlfn.IFS('ProductSprint Backlog'!$F87="", "", AND('ProductSprint Backlog'!$J87&gt;D$2,'ProductSprint Backlog'!$I87&lt;=D$2), 'ProductSprint Backlog'!$F87 / MAX(1, 'ProductSprint Backlog'!$J87-'ProductSprint Backlog'!$I87), AND('ProductSprint Backlog'!$J87=D$2,'ProductSprint Backlog'!$I87=D$2), 'ProductSprint Backlog'!$F87, TRUE, 0)</f>
        <v>0</v>
      </c>
      <c r="E87" s="4" cm="1">
        <f t="array" ref="E87">_xlfn.IFS('ProductSprint Backlog'!$F87="", "", AND('ProductSprint Backlog'!$J87&gt;E$2,'ProductSprint Backlog'!$I87&lt;=E$2), 'ProductSprint Backlog'!$F87 / MAX(1, 'ProductSprint Backlog'!$J87-'ProductSprint Backlog'!$I87), AND('ProductSprint Backlog'!$J87=E$2,'ProductSprint Backlog'!$I87=E$2), 'ProductSprint Backlog'!$F87, TRUE, 0)</f>
        <v>0</v>
      </c>
      <c r="F87" s="4" cm="1">
        <f t="array" ref="F87">_xlfn.IFS('ProductSprint Backlog'!$F87="", "", AND('ProductSprint Backlog'!$J87&gt;F$2,'ProductSprint Backlog'!$I87&lt;=F$2), 'ProductSprint Backlog'!$F87 / MAX(1, 'ProductSprint Backlog'!$J87-'ProductSprint Backlog'!$I87), AND('ProductSprint Backlog'!$J87=F$2,'ProductSprint Backlog'!$I87=F$2), 'ProductSprint Backlog'!$F87, TRUE, 0)</f>
        <v>0</v>
      </c>
      <c r="G87" s="4" cm="1">
        <f t="array" ref="G87">_xlfn.IFS('ProductSprint Backlog'!$F87="", "", AND('ProductSprint Backlog'!$J87&gt;G$2,'ProductSprint Backlog'!$I87&lt;=G$2), 'ProductSprint Backlog'!$F87 / MAX(1, 'ProductSprint Backlog'!$J87-'ProductSprint Backlog'!$I87), AND('ProductSprint Backlog'!$J87=G$2,'ProductSprint Backlog'!$I87=G$2), 'ProductSprint Backlog'!$F87, TRUE, 0)</f>
        <v>0</v>
      </c>
      <c r="H87" s="4" cm="1">
        <f t="array" ref="H87">_xlfn.IFS('ProductSprint Backlog'!$F87="", "", AND('ProductSprint Backlog'!$J87&gt;H$2,'ProductSprint Backlog'!$I87&lt;=H$2), 'ProductSprint Backlog'!$F87 / MAX(1, 'ProductSprint Backlog'!$J87-'ProductSprint Backlog'!$I87), AND('ProductSprint Backlog'!$J87=H$2,'ProductSprint Backlog'!$I87=H$2), 'ProductSprint Backlog'!$F87, TRUE, 0)</f>
        <v>0</v>
      </c>
      <c r="I87" s="4" cm="1">
        <f t="array" ref="I87">_xlfn.IFS('ProductSprint Backlog'!$F87="", "", AND('ProductSprint Backlog'!$J87&gt;I$2,'ProductSprint Backlog'!$I87&lt;=I$2), 'ProductSprint Backlog'!$F87 / MAX(1, 'ProductSprint Backlog'!$J87-'ProductSprint Backlog'!$I87), AND('ProductSprint Backlog'!$J87=I$2,'ProductSprint Backlog'!$I87=I$2), 'ProductSprint Backlog'!$F87, TRUE, 0)</f>
        <v>0</v>
      </c>
      <c r="J87" s="4" cm="1">
        <f t="array" ref="J87">_xlfn.IFS('ProductSprint Backlog'!$F87="", "", AND('ProductSprint Backlog'!$J87&gt;J$2,'ProductSprint Backlog'!$I87&lt;=J$2), 'ProductSprint Backlog'!$F87 / MAX(1, 'ProductSprint Backlog'!$J87-'ProductSprint Backlog'!$I87), AND('ProductSprint Backlog'!$J87=J$2,'ProductSprint Backlog'!$I87=J$2), 'ProductSprint Backlog'!$F87, TRUE, 0)</f>
        <v>0</v>
      </c>
      <c r="K87" s="4" cm="1">
        <f t="array" ref="K87">_xlfn.IFS('ProductSprint Backlog'!$F87="", "", AND('ProductSprint Backlog'!$J87&gt;K$2,'ProductSprint Backlog'!$I87&lt;=K$2), 'ProductSprint Backlog'!$F87 / MAX(1, 'ProductSprint Backlog'!$J87-'ProductSprint Backlog'!$I87), AND('ProductSprint Backlog'!$J87=K$2,'ProductSprint Backlog'!$I87=K$2), 'ProductSprint Backlog'!$F87, TRUE, 0)</f>
        <v>0</v>
      </c>
      <c r="L87" s="4" cm="1">
        <f t="array" ref="L87">_xlfn.IFS('ProductSprint Backlog'!$F87="", "", AND('ProductSprint Backlog'!$J87&gt;L$2,'ProductSprint Backlog'!$I87&lt;=L$2), 'ProductSprint Backlog'!$F87 / MAX(1, 'ProductSprint Backlog'!$J87-'ProductSprint Backlog'!$I87), AND('ProductSprint Backlog'!$J87=L$2,'ProductSprint Backlog'!$I87=L$2), 'ProductSprint Backlog'!$F87, TRUE, 0)</f>
        <v>0</v>
      </c>
      <c r="M87" s="4" cm="1">
        <f t="array" ref="M87">_xlfn.IFS('ProductSprint Backlog'!$F87="", "", AND('ProductSprint Backlog'!$J87&gt;M$2,'ProductSprint Backlog'!$I87&lt;=M$2), 'ProductSprint Backlog'!$F87 / MAX(1, 'ProductSprint Backlog'!$J87-'ProductSprint Backlog'!$I87), AND('ProductSprint Backlog'!$J87=M$2,'ProductSprint Backlog'!$I87=M$2), 'ProductSprint Backlog'!$F87, TRUE, 0)</f>
        <v>0</v>
      </c>
      <c r="N87" s="4" cm="1">
        <f t="array" ref="N87">_xlfn.IFS('ProductSprint Backlog'!$F87="", "", AND('ProductSprint Backlog'!$J87&gt;N$2,'ProductSprint Backlog'!$I87&lt;=N$2), 'ProductSprint Backlog'!$F87 / MAX(1, 'ProductSprint Backlog'!$J87-'ProductSprint Backlog'!$I87), AND('ProductSprint Backlog'!$J87=N$2,'ProductSprint Backlog'!$I87=N$2), 'ProductSprint Backlog'!$F87, TRUE, 0)</f>
        <v>0</v>
      </c>
      <c r="O87" s="4" cm="1">
        <f t="array" ref="O87">_xlfn.IFS('ProductSprint Backlog'!$F87="", "", AND('ProductSprint Backlog'!$J87&gt;O$2,'ProductSprint Backlog'!$I87&lt;=O$2), 'ProductSprint Backlog'!$F87 / MAX(1, 'ProductSprint Backlog'!$J87-'ProductSprint Backlog'!$I87), AND('ProductSprint Backlog'!$J87=O$2,'ProductSprint Backlog'!$I87=O$2), 'ProductSprint Backlog'!$F87, TRUE, 0)</f>
        <v>0</v>
      </c>
      <c r="P87" s="4" cm="1">
        <f t="array" ref="P87">_xlfn.IFS('ProductSprint Backlog'!$F87="", "", AND('ProductSprint Backlog'!$J87&gt;P$2,'ProductSprint Backlog'!$I87&lt;=P$2), 'ProductSprint Backlog'!$F87 / MAX(1, 'ProductSprint Backlog'!$J87-'ProductSprint Backlog'!$I87), AND('ProductSprint Backlog'!$J87=P$2,'ProductSprint Backlog'!$I87=P$2), 'ProductSprint Backlog'!$F87, TRUE, 0)</f>
        <v>0</v>
      </c>
      <c r="Q87" s="4" cm="1">
        <f t="array" ref="Q87">_xlfn.IFS('ProductSprint Backlog'!$F87="", "", AND('ProductSprint Backlog'!$J87&gt;Q$2,'ProductSprint Backlog'!$I87&lt;=Q$2), 'ProductSprint Backlog'!$F87 / MAX(1, 'ProductSprint Backlog'!$J87-'ProductSprint Backlog'!$I87), AND('ProductSprint Backlog'!$J87=Q$2,'ProductSprint Backlog'!$I87=Q$2), 'ProductSprint Backlog'!$F87, TRUE, 0)</f>
        <v>0</v>
      </c>
    </row>
    <row r="88" spans="2:17" x14ac:dyDescent="0.2">
      <c r="B88" s="4" cm="1">
        <f t="array" ref="B88">_xlfn.IFS('ProductSprint Backlog'!$F88="", "", AND('ProductSprint Backlog'!$J88&gt;B$2,'ProductSprint Backlog'!$I88&lt;=B$2), 'ProductSprint Backlog'!$F88 / MAX(1, 'ProductSprint Backlog'!$J88-'ProductSprint Backlog'!$I88), AND('ProductSprint Backlog'!$J88=B$2,'ProductSprint Backlog'!$I88=B$2), 'ProductSprint Backlog'!$F88, TRUE, 0)</f>
        <v>0</v>
      </c>
      <c r="C88" s="4" cm="1">
        <f t="array" ref="C88">_xlfn.IFS('ProductSprint Backlog'!$F88="", "", AND('ProductSprint Backlog'!$J88&gt;C$2,'ProductSprint Backlog'!$I88&lt;=C$2), 'ProductSprint Backlog'!$F88 / MAX(1, 'ProductSprint Backlog'!$J88-'ProductSprint Backlog'!$I88), AND('ProductSprint Backlog'!$J88=C$2,'ProductSprint Backlog'!$I88=C$2), 'ProductSprint Backlog'!$F88, TRUE, 0)</f>
        <v>0</v>
      </c>
      <c r="D88" s="4" cm="1">
        <f t="array" ref="D88">_xlfn.IFS('ProductSprint Backlog'!$F88="", "", AND('ProductSprint Backlog'!$J88&gt;D$2,'ProductSprint Backlog'!$I88&lt;=D$2), 'ProductSprint Backlog'!$F88 / MAX(1, 'ProductSprint Backlog'!$J88-'ProductSprint Backlog'!$I88), AND('ProductSprint Backlog'!$J88=D$2,'ProductSprint Backlog'!$I88=D$2), 'ProductSprint Backlog'!$F88, TRUE, 0)</f>
        <v>0</v>
      </c>
      <c r="E88" s="4" cm="1">
        <f t="array" ref="E88">_xlfn.IFS('ProductSprint Backlog'!$F88="", "", AND('ProductSprint Backlog'!$J88&gt;E$2,'ProductSprint Backlog'!$I88&lt;=E$2), 'ProductSprint Backlog'!$F88 / MAX(1, 'ProductSprint Backlog'!$J88-'ProductSprint Backlog'!$I88), AND('ProductSprint Backlog'!$J88=E$2,'ProductSprint Backlog'!$I88=E$2), 'ProductSprint Backlog'!$F88, TRUE, 0)</f>
        <v>0</v>
      </c>
      <c r="F88" s="4" cm="1">
        <f t="array" ref="F88">_xlfn.IFS('ProductSprint Backlog'!$F88="", "", AND('ProductSprint Backlog'!$J88&gt;F$2,'ProductSprint Backlog'!$I88&lt;=F$2), 'ProductSprint Backlog'!$F88 / MAX(1, 'ProductSprint Backlog'!$J88-'ProductSprint Backlog'!$I88), AND('ProductSprint Backlog'!$J88=F$2,'ProductSprint Backlog'!$I88=F$2), 'ProductSprint Backlog'!$F88, TRUE, 0)</f>
        <v>0</v>
      </c>
      <c r="G88" s="4" cm="1">
        <f t="array" ref="G88">_xlfn.IFS('ProductSprint Backlog'!$F88="", "", AND('ProductSprint Backlog'!$J88&gt;G$2,'ProductSprint Backlog'!$I88&lt;=G$2), 'ProductSprint Backlog'!$F88 / MAX(1, 'ProductSprint Backlog'!$J88-'ProductSprint Backlog'!$I88), AND('ProductSprint Backlog'!$J88=G$2,'ProductSprint Backlog'!$I88=G$2), 'ProductSprint Backlog'!$F88, TRUE, 0)</f>
        <v>0</v>
      </c>
      <c r="H88" s="4" cm="1">
        <f t="array" ref="H88">_xlfn.IFS('ProductSprint Backlog'!$F88="", "", AND('ProductSprint Backlog'!$J88&gt;H$2,'ProductSprint Backlog'!$I88&lt;=H$2), 'ProductSprint Backlog'!$F88 / MAX(1, 'ProductSprint Backlog'!$J88-'ProductSprint Backlog'!$I88), AND('ProductSprint Backlog'!$J88=H$2,'ProductSprint Backlog'!$I88=H$2), 'ProductSprint Backlog'!$F88, TRUE, 0)</f>
        <v>0</v>
      </c>
      <c r="I88" s="4" cm="1">
        <f t="array" ref="I88">_xlfn.IFS('ProductSprint Backlog'!$F88="", "", AND('ProductSprint Backlog'!$J88&gt;I$2,'ProductSprint Backlog'!$I88&lt;=I$2), 'ProductSprint Backlog'!$F88 / MAX(1, 'ProductSprint Backlog'!$J88-'ProductSprint Backlog'!$I88), AND('ProductSprint Backlog'!$J88=I$2,'ProductSprint Backlog'!$I88=I$2), 'ProductSprint Backlog'!$F88, TRUE, 0)</f>
        <v>0</v>
      </c>
      <c r="J88" s="4" cm="1">
        <f t="array" ref="J88">_xlfn.IFS('ProductSprint Backlog'!$F88="", "", AND('ProductSprint Backlog'!$J88&gt;J$2,'ProductSprint Backlog'!$I88&lt;=J$2), 'ProductSprint Backlog'!$F88 / MAX(1, 'ProductSprint Backlog'!$J88-'ProductSprint Backlog'!$I88), AND('ProductSprint Backlog'!$J88=J$2,'ProductSprint Backlog'!$I88=J$2), 'ProductSprint Backlog'!$F88, TRUE, 0)</f>
        <v>0</v>
      </c>
      <c r="K88" s="4" cm="1">
        <f t="array" ref="K88">_xlfn.IFS('ProductSprint Backlog'!$F88="", "", AND('ProductSprint Backlog'!$J88&gt;K$2,'ProductSprint Backlog'!$I88&lt;=K$2), 'ProductSprint Backlog'!$F88 / MAX(1, 'ProductSprint Backlog'!$J88-'ProductSprint Backlog'!$I88), AND('ProductSprint Backlog'!$J88=K$2,'ProductSprint Backlog'!$I88=K$2), 'ProductSprint Backlog'!$F88, TRUE, 0)</f>
        <v>0</v>
      </c>
      <c r="L88" s="4" cm="1">
        <f t="array" ref="L88">_xlfn.IFS('ProductSprint Backlog'!$F88="", "", AND('ProductSprint Backlog'!$J88&gt;L$2,'ProductSprint Backlog'!$I88&lt;=L$2), 'ProductSprint Backlog'!$F88 / MAX(1, 'ProductSprint Backlog'!$J88-'ProductSprint Backlog'!$I88), AND('ProductSprint Backlog'!$J88=L$2,'ProductSprint Backlog'!$I88=L$2), 'ProductSprint Backlog'!$F88, TRUE, 0)</f>
        <v>0</v>
      </c>
      <c r="M88" s="4" cm="1">
        <f t="array" ref="M88">_xlfn.IFS('ProductSprint Backlog'!$F88="", "", AND('ProductSprint Backlog'!$J88&gt;M$2,'ProductSprint Backlog'!$I88&lt;=M$2), 'ProductSprint Backlog'!$F88 / MAX(1, 'ProductSprint Backlog'!$J88-'ProductSprint Backlog'!$I88), AND('ProductSprint Backlog'!$J88=M$2,'ProductSprint Backlog'!$I88=M$2), 'ProductSprint Backlog'!$F88, TRUE, 0)</f>
        <v>0</v>
      </c>
      <c r="N88" s="4" cm="1">
        <f t="array" ref="N88">_xlfn.IFS('ProductSprint Backlog'!$F88="", "", AND('ProductSprint Backlog'!$J88&gt;N$2,'ProductSprint Backlog'!$I88&lt;=N$2), 'ProductSprint Backlog'!$F88 / MAX(1, 'ProductSprint Backlog'!$J88-'ProductSprint Backlog'!$I88), AND('ProductSprint Backlog'!$J88=N$2,'ProductSprint Backlog'!$I88=N$2), 'ProductSprint Backlog'!$F88, TRUE, 0)</f>
        <v>0</v>
      </c>
      <c r="O88" s="4" cm="1">
        <f t="array" ref="O88">_xlfn.IFS('ProductSprint Backlog'!$F88="", "", AND('ProductSprint Backlog'!$J88&gt;O$2,'ProductSprint Backlog'!$I88&lt;=O$2), 'ProductSprint Backlog'!$F88 / MAX(1, 'ProductSprint Backlog'!$J88-'ProductSprint Backlog'!$I88), AND('ProductSprint Backlog'!$J88=O$2,'ProductSprint Backlog'!$I88=O$2), 'ProductSprint Backlog'!$F88, TRUE, 0)</f>
        <v>0</v>
      </c>
      <c r="P88" s="4" cm="1">
        <f t="array" ref="P88">_xlfn.IFS('ProductSprint Backlog'!$F88="", "", AND('ProductSprint Backlog'!$J88&gt;P$2,'ProductSprint Backlog'!$I88&lt;=P$2), 'ProductSprint Backlog'!$F88 / MAX(1, 'ProductSprint Backlog'!$J88-'ProductSprint Backlog'!$I88), AND('ProductSprint Backlog'!$J88=P$2,'ProductSprint Backlog'!$I88=P$2), 'ProductSprint Backlog'!$F88, TRUE, 0)</f>
        <v>0</v>
      </c>
      <c r="Q88" s="4" cm="1">
        <f t="array" ref="Q88">_xlfn.IFS('ProductSprint Backlog'!$F88="", "", AND('ProductSprint Backlog'!$J88&gt;Q$2,'ProductSprint Backlog'!$I88&lt;=Q$2), 'ProductSprint Backlog'!$F88 / MAX(1, 'ProductSprint Backlog'!$J88-'ProductSprint Backlog'!$I88), AND('ProductSprint Backlog'!$J88=Q$2,'ProductSprint Backlog'!$I88=Q$2), 'ProductSprint Backlog'!$F88, TRUE, 0)</f>
        <v>0</v>
      </c>
    </row>
    <row r="89" spans="2:17" x14ac:dyDescent="0.2">
      <c r="B89" s="4" cm="1">
        <f t="array" ref="B89">_xlfn.IFS('ProductSprint Backlog'!$F89="", "", AND('ProductSprint Backlog'!$J89&gt;B$2,'ProductSprint Backlog'!$I89&lt;=B$2), 'ProductSprint Backlog'!$F89 / MAX(1, 'ProductSprint Backlog'!$J89-'ProductSprint Backlog'!$I89), AND('ProductSprint Backlog'!$J89=B$2,'ProductSprint Backlog'!$I89=B$2), 'ProductSprint Backlog'!$F89, TRUE, 0)</f>
        <v>0</v>
      </c>
      <c r="C89" s="4" cm="1">
        <f t="array" ref="C89">_xlfn.IFS('ProductSprint Backlog'!$F89="", "", AND('ProductSprint Backlog'!$J89&gt;C$2,'ProductSprint Backlog'!$I89&lt;=C$2), 'ProductSprint Backlog'!$F89 / MAX(1, 'ProductSprint Backlog'!$J89-'ProductSprint Backlog'!$I89), AND('ProductSprint Backlog'!$J89=C$2,'ProductSprint Backlog'!$I89=C$2), 'ProductSprint Backlog'!$F89, TRUE, 0)</f>
        <v>0</v>
      </c>
      <c r="D89" s="4" cm="1">
        <f t="array" ref="D89">_xlfn.IFS('ProductSprint Backlog'!$F89="", "", AND('ProductSprint Backlog'!$J89&gt;D$2,'ProductSprint Backlog'!$I89&lt;=D$2), 'ProductSprint Backlog'!$F89 / MAX(1, 'ProductSprint Backlog'!$J89-'ProductSprint Backlog'!$I89), AND('ProductSprint Backlog'!$J89=D$2,'ProductSprint Backlog'!$I89=D$2), 'ProductSprint Backlog'!$F89, TRUE, 0)</f>
        <v>0</v>
      </c>
      <c r="E89" s="4" cm="1">
        <f t="array" ref="E89">_xlfn.IFS('ProductSprint Backlog'!$F89="", "", AND('ProductSprint Backlog'!$J89&gt;E$2,'ProductSprint Backlog'!$I89&lt;=E$2), 'ProductSprint Backlog'!$F89 / MAX(1, 'ProductSprint Backlog'!$J89-'ProductSprint Backlog'!$I89), AND('ProductSprint Backlog'!$J89=E$2,'ProductSprint Backlog'!$I89=E$2), 'ProductSprint Backlog'!$F89, TRUE, 0)</f>
        <v>0</v>
      </c>
      <c r="F89" s="4" cm="1">
        <f t="array" ref="F89">_xlfn.IFS('ProductSprint Backlog'!$F89="", "", AND('ProductSprint Backlog'!$J89&gt;F$2,'ProductSprint Backlog'!$I89&lt;=F$2), 'ProductSprint Backlog'!$F89 / MAX(1, 'ProductSprint Backlog'!$J89-'ProductSprint Backlog'!$I89), AND('ProductSprint Backlog'!$J89=F$2,'ProductSprint Backlog'!$I89=F$2), 'ProductSprint Backlog'!$F89, TRUE, 0)</f>
        <v>0</v>
      </c>
      <c r="G89" s="4" cm="1">
        <f t="array" ref="G89">_xlfn.IFS('ProductSprint Backlog'!$F89="", "", AND('ProductSprint Backlog'!$J89&gt;G$2,'ProductSprint Backlog'!$I89&lt;=G$2), 'ProductSprint Backlog'!$F89 / MAX(1, 'ProductSprint Backlog'!$J89-'ProductSprint Backlog'!$I89), AND('ProductSprint Backlog'!$J89=G$2,'ProductSprint Backlog'!$I89=G$2), 'ProductSprint Backlog'!$F89, TRUE, 0)</f>
        <v>0</v>
      </c>
      <c r="H89" s="4" cm="1">
        <f t="array" ref="H89">_xlfn.IFS('ProductSprint Backlog'!$F89="", "", AND('ProductSprint Backlog'!$J89&gt;H$2,'ProductSprint Backlog'!$I89&lt;=H$2), 'ProductSprint Backlog'!$F89 / MAX(1, 'ProductSprint Backlog'!$J89-'ProductSprint Backlog'!$I89), AND('ProductSprint Backlog'!$J89=H$2,'ProductSprint Backlog'!$I89=H$2), 'ProductSprint Backlog'!$F89, TRUE, 0)</f>
        <v>0</v>
      </c>
      <c r="I89" s="4" cm="1">
        <f t="array" ref="I89">_xlfn.IFS('ProductSprint Backlog'!$F89="", "", AND('ProductSprint Backlog'!$J89&gt;I$2,'ProductSprint Backlog'!$I89&lt;=I$2), 'ProductSprint Backlog'!$F89 / MAX(1, 'ProductSprint Backlog'!$J89-'ProductSprint Backlog'!$I89), AND('ProductSprint Backlog'!$J89=I$2,'ProductSprint Backlog'!$I89=I$2), 'ProductSprint Backlog'!$F89, TRUE, 0)</f>
        <v>0</v>
      </c>
      <c r="J89" s="4" cm="1">
        <f t="array" ref="J89">_xlfn.IFS('ProductSprint Backlog'!$F89="", "", AND('ProductSprint Backlog'!$J89&gt;J$2,'ProductSprint Backlog'!$I89&lt;=J$2), 'ProductSprint Backlog'!$F89 / MAX(1, 'ProductSprint Backlog'!$J89-'ProductSprint Backlog'!$I89), AND('ProductSprint Backlog'!$J89=J$2,'ProductSprint Backlog'!$I89=J$2), 'ProductSprint Backlog'!$F89, TRUE, 0)</f>
        <v>0</v>
      </c>
      <c r="K89" s="4" cm="1">
        <f t="array" ref="K89">_xlfn.IFS('ProductSprint Backlog'!$F89="", "", AND('ProductSprint Backlog'!$J89&gt;K$2,'ProductSprint Backlog'!$I89&lt;=K$2), 'ProductSprint Backlog'!$F89 / MAX(1, 'ProductSprint Backlog'!$J89-'ProductSprint Backlog'!$I89), AND('ProductSprint Backlog'!$J89=K$2,'ProductSprint Backlog'!$I89=K$2), 'ProductSprint Backlog'!$F89, TRUE, 0)</f>
        <v>0</v>
      </c>
      <c r="L89" s="4" cm="1">
        <f t="array" ref="L89">_xlfn.IFS('ProductSprint Backlog'!$F89="", "", AND('ProductSprint Backlog'!$J89&gt;L$2,'ProductSprint Backlog'!$I89&lt;=L$2), 'ProductSprint Backlog'!$F89 / MAX(1, 'ProductSprint Backlog'!$J89-'ProductSprint Backlog'!$I89), AND('ProductSprint Backlog'!$J89=L$2,'ProductSprint Backlog'!$I89=L$2), 'ProductSprint Backlog'!$F89, TRUE, 0)</f>
        <v>0</v>
      </c>
      <c r="M89" s="4" cm="1">
        <f t="array" ref="M89">_xlfn.IFS('ProductSprint Backlog'!$F89="", "", AND('ProductSprint Backlog'!$J89&gt;M$2,'ProductSprint Backlog'!$I89&lt;=M$2), 'ProductSprint Backlog'!$F89 / MAX(1, 'ProductSprint Backlog'!$J89-'ProductSprint Backlog'!$I89), AND('ProductSprint Backlog'!$J89=M$2,'ProductSprint Backlog'!$I89=M$2), 'ProductSprint Backlog'!$F89, TRUE, 0)</f>
        <v>0</v>
      </c>
      <c r="N89" s="4" cm="1">
        <f t="array" ref="N89">_xlfn.IFS('ProductSprint Backlog'!$F89="", "", AND('ProductSprint Backlog'!$J89&gt;N$2,'ProductSprint Backlog'!$I89&lt;=N$2), 'ProductSprint Backlog'!$F89 / MAX(1, 'ProductSprint Backlog'!$J89-'ProductSprint Backlog'!$I89), AND('ProductSprint Backlog'!$J89=N$2,'ProductSprint Backlog'!$I89=N$2), 'ProductSprint Backlog'!$F89, TRUE, 0)</f>
        <v>0</v>
      </c>
      <c r="O89" s="4" cm="1">
        <f t="array" ref="O89">_xlfn.IFS('ProductSprint Backlog'!$F89="", "", AND('ProductSprint Backlog'!$J89&gt;O$2,'ProductSprint Backlog'!$I89&lt;=O$2), 'ProductSprint Backlog'!$F89 / MAX(1, 'ProductSprint Backlog'!$J89-'ProductSprint Backlog'!$I89), AND('ProductSprint Backlog'!$J89=O$2,'ProductSprint Backlog'!$I89=O$2), 'ProductSprint Backlog'!$F89, TRUE, 0)</f>
        <v>0</v>
      </c>
      <c r="P89" s="4" cm="1">
        <f t="array" ref="P89">_xlfn.IFS('ProductSprint Backlog'!$F89="", "", AND('ProductSprint Backlog'!$J89&gt;P$2,'ProductSprint Backlog'!$I89&lt;=P$2), 'ProductSprint Backlog'!$F89 / MAX(1, 'ProductSprint Backlog'!$J89-'ProductSprint Backlog'!$I89), AND('ProductSprint Backlog'!$J89=P$2,'ProductSprint Backlog'!$I89=P$2), 'ProductSprint Backlog'!$F89, TRUE, 0)</f>
        <v>0</v>
      </c>
      <c r="Q89" s="4" cm="1">
        <f t="array" ref="Q89">_xlfn.IFS('ProductSprint Backlog'!$F89="", "", AND('ProductSprint Backlog'!$J89&gt;Q$2,'ProductSprint Backlog'!$I89&lt;=Q$2), 'ProductSprint Backlog'!$F89 / MAX(1, 'ProductSprint Backlog'!$J89-'ProductSprint Backlog'!$I89), AND('ProductSprint Backlog'!$J89=Q$2,'ProductSprint Backlog'!$I89=Q$2), 'ProductSprint Backlog'!$F89, TRUE, 0)</f>
        <v>0</v>
      </c>
    </row>
    <row r="90" spans="2:17" x14ac:dyDescent="0.2">
      <c r="B90" s="4" cm="1">
        <f t="array" ref="B90">_xlfn.IFS('ProductSprint Backlog'!$F90="", "", AND('ProductSprint Backlog'!$J90&gt;B$2,'ProductSprint Backlog'!$I90&lt;=B$2), 'ProductSprint Backlog'!$F90 / MAX(1, 'ProductSprint Backlog'!$J90-'ProductSprint Backlog'!$I90), AND('ProductSprint Backlog'!$J90=B$2,'ProductSprint Backlog'!$I90=B$2), 'ProductSprint Backlog'!$F90, TRUE, 0)</f>
        <v>0</v>
      </c>
      <c r="C90" s="4" cm="1">
        <f t="array" ref="C90">_xlfn.IFS('ProductSprint Backlog'!$F90="", "", AND('ProductSprint Backlog'!$J90&gt;C$2,'ProductSprint Backlog'!$I90&lt;=C$2), 'ProductSprint Backlog'!$F90 / MAX(1, 'ProductSprint Backlog'!$J90-'ProductSprint Backlog'!$I90), AND('ProductSprint Backlog'!$J90=C$2,'ProductSprint Backlog'!$I90=C$2), 'ProductSprint Backlog'!$F90, TRUE, 0)</f>
        <v>0</v>
      </c>
      <c r="D90" s="4" cm="1">
        <f t="array" ref="D90">_xlfn.IFS('ProductSprint Backlog'!$F90="", "", AND('ProductSprint Backlog'!$J90&gt;D$2,'ProductSprint Backlog'!$I90&lt;=D$2), 'ProductSprint Backlog'!$F90 / MAX(1, 'ProductSprint Backlog'!$J90-'ProductSprint Backlog'!$I90), AND('ProductSprint Backlog'!$J90=D$2,'ProductSprint Backlog'!$I90=D$2), 'ProductSprint Backlog'!$F90, TRUE, 0)</f>
        <v>0</v>
      </c>
      <c r="E90" s="4" cm="1">
        <f t="array" ref="E90">_xlfn.IFS('ProductSprint Backlog'!$F90="", "", AND('ProductSprint Backlog'!$J90&gt;E$2,'ProductSprint Backlog'!$I90&lt;=E$2), 'ProductSprint Backlog'!$F90 / MAX(1, 'ProductSprint Backlog'!$J90-'ProductSprint Backlog'!$I90), AND('ProductSprint Backlog'!$J90=E$2,'ProductSprint Backlog'!$I90=E$2), 'ProductSprint Backlog'!$F90, TRUE, 0)</f>
        <v>0</v>
      </c>
      <c r="F90" s="4" cm="1">
        <f t="array" ref="F90">_xlfn.IFS('ProductSprint Backlog'!$F90="", "", AND('ProductSprint Backlog'!$J90&gt;F$2,'ProductSprint Backlog'!$I90&lt;=F$2), 'ProductSprint Backlog'!$F90 / MAX(1, 'ProductSprint Backlog'!$J90-'ProductSprint Backlog'!$I90), AND('ProductSprint Backlog'!$J90=F$2,'ProductSprint Backlog'!$I90=F$2), 'ProductSprint Backlog'!$F90, TRUE, 0)</f>
        <v>0</v>
      </c>
      <c r="G90" s="4" cm="1">
        <f t="array" ref="G90">_xlfn.IFS('ProductSprint Backlog'!$F90="", "", AND('ProductSprint Backlog'!$J90&gt;G$2,'ProductSprint Backlog'!$I90&lt;=G$2), 'ProductSprint Backlog'!$F90 / MAX(1, 'ProductSprint Backlog'!$J90-'ProductSprint Backlog'!$I90), AND('ProductSprint Backlog'!$J90=G$2,'ProductSprint Backlog'!$I90=G$2), 'ProductSprint Backlog'!$F90, TRUE, 0)</f>
        <v>0</v>
      </c>
      <c r="H90" s="4" cm="1">
        <f t="array" ref="H90">_xlfn.IFS('ProductSprint Backlog'!$F90="", "", AND('ProductSprint Backlog'!$J90&gt;H$2,'ProductSprint Backlog'!$I90&lt;=H$2), 'ProductSprint Backlog'!$F90 / MAX(1, 'ProductSprint Backlog'!$J90-'ProductSprint Backlog'!$I90), AND('ProductSprint Backlog'!$J90=H$2,'ProductSprint Backlog'!$I90=H$2), 'ProductSprint Backlog'!$F90, TRUE, 0)</f>
        <v>0</v>
      </c>
      <c r="I90" s="4" cm="1">
        <f t="array" ref="I90">_xlfn.IFS('ProductSprint Backlog'!$F90="", "", AND('ProductSprint Backlog'!$J90&gt;I$2,'ProductSprint Backlog'!$I90&lt;=I$2), 'ProductSprint Backlog'!$F90 / MAX(1, 'ProductSprint Backlog'!$J90-'ProductSprint Backlog'!$I90), AND('ProductSprint Backlog'!$J90=I$2,'ProductSprint Backlog'!$I90=I$2), 'ProductSprint Backlog'!$F90, TRUE, 0)</f>
        <v>0</v>
      </c>
      <c r="J90" s="4" cm="1">
        <f t="array" ref="J90">_xlfn.IFS('ProductSprint Backlog'!$F90="", "", AND('ProductSprint Backlog'!$J90&gt;J$2,'ProductSprint Backlog'!$I90&lt;=J$2), 'ProductSprint Backlog'!$F90 / MAX(1, 'ProductSprint Backlog'!$J90-'ProductSprint Backlog'!$I90), AND('ProductSprint Backlog'!$J90=J$2,'ProductSprint Backlog'!$I90=J$2), 'ProductSprint Backlog'!$F90, TRUE, 0)</f>
        <v>0</v>
      </c>
      <c r="K90" s="4" cm="1">
        <f t="array" ref="K90">_xlfn.IFS('ProductSprint Backlog'!$F90="", "", AND('ProductSprint Backlog'!$J90&gt;K$2,'ProductSprint Backlog'!$I90&lt;=K$2), 'ProductSprint Backlog'!$F90 / MAX(1, 'ProductSprint Backlog'!$J90-'ProductSprint Backlog'!$I90), AND('ProductSprint Backlog'!$J90=K$2,'ProductSprint Backlog'!$I90=K$2), 'ProductSprint Backlog'!$F90, TRUE, 0)</f>
        <v>0</v>
      </c>
      <c r="L90" s="4" cm="1">
        <f t="array" ref="L90">_xlfn.IFS('ProductSprint Backlog'!$F90="", "", AND('ProductSprint Backlog'!$J90&gt;L$2,'ProductSprint Backlog'!$I90&lt;=L$2), 'ProductSprint Backlog'!$F90 / MAX(1, 'ProductSprint Backlog'!$J90-'ProductSprint Backlog'!$I90), AND('ProductSprint Backlog'!$J90=L$2,'ProductSprint Backlog'!$I90=L$2), 'ProductSprint Backlog'!$F90, TRUE, 0)</f>
        <v>0</v>
      </c>
      <c r="M90" s="4" cm="1">
        <f t="array" ref="M90">_xlfn.IFS('ProductSprint Backlog'!$F90="", "", AND('ProductSprint Backlog'!$J90&gt;M$2,'ProductSprint Backlog'!$I90&lt;=M$2), 'ProductSprint Backlog'!$F90 / MAX(1, 'ProductSprint Backlog'!$J90-'ProductSprint Backlog'!$I90), AND('ProductSprint Backlog'!$J90=M$2,'ProductSprint Backlog'!$I90=M$2), 'ProductSprint Backlog'!$F90, TRUE, 0)</f>
        <v>0</v>
      </c>
      <c r="N90" s="4" cm="1">
        <f t="array" ref="N90">_xlfn.IFS('ProductSprint Backlog'!$F90="", "", AND('ProductSprint Backlog'!$J90&gt;N$2,'ProductSprint Backlog'!$I90&lt;=N$2), 'ProductSprint Backlog'!$F90 / MAX(1, 'ProductSprint Backlog'!$J90-'ProductSprint Backlog'!$I90), AND('ProductSprint Backlog'!$J90=N$2,'ProductSprint Backlog'!$I90=N$2), 'ProductSprint Backlog'!$F90, TRUE, 0)</f>
        <v>0</v>
      </c>
      <c r="O90" s="4" cm="1">
        <f t="array" ref="O90">_xlfn.IFS('ProductSprint Backlog'!$F90="", "", AND('ProductSprint Backlog'!$J90&gt;O$2,'ProductSprint Backlog'!$I90&lt;=O$2), 'ProductSprint Backlog'!$F90 / MAX(1, 'ProductSprint Backlog'!$J90-'ProductSprint Backlog'!$I90), AND('ProductSprint Backlog'!$J90=O$2,'ProductSprint Backlog'!$I90=O$2), 'ProductSprint Backlog'!$F90, TRUE, 0)</f>
        <v>0</v>
      </c>
      <c r="P90" s="4" cm="1">
        <f t="array" ref="P90">_xlfn.IFS('ProductSprint Backlog'!$F90="", "", AND('ProductSprint Backlog'!$J90&gt;P$2,'ProductSprint Backlog'!$I90&lt;=P$2), 'ProductSprint Backlog'!$F90 / MAX(1, 'ProductSprint Backlog'!$J90-'ProductSprint Backlog'!$I90), AND('ProductSprint Backlog'!$J90=P$2,'ProductSprint Backlog'!$I90=P$2), 'ProductSprint Backlog'!$F90, TRUE, 0)</f>
        <v>0</v>
      </c>
      <c r="Q90" s="4" cm="1">
        <f t="array" ref="Q90">_xlfn.IFS('ProductSprint Backlog'!$F90="", "", AND('ProductSprint Backlog'!$J90&gt;Q$2,'ProductSprint Backlog'!$I90&lt;=Q$2), 'ProductSprint Backlog'!$F90 / MAX(1, 'ProductSprint Backlog'!$J90-'ProductSprint Backlog'!$I90), AND('ProductSprint Backlog'!$J90=Q$2,'ProductSprint Backlog'!$I90=Q$2), 'ProductSprint Backlog'!$F90, TRUE, 0)</f>
        <v>0</v>
      </c>
    </row>
    <row r="91" spans="2:17" x14ac:dyDescent="0.2">
      <c r="B91" s="4" cm="1">
        <f t="array" ref="B91">_xlfn.IFS('ProductSprint Backlog'!$F91="", "", AND('ProductSprint Backlog'!$J91&gt;B$2,'ProductSprint Backlog'!$I91&lt;=B$2), 'ProductSprint Backlog'!$F91 / MAX(1, 'ProductSprint Backlog'!$J91-'ProductSprint Backlog'!$I91), AND('ProductSprint Backlog'!$J91=B$2,'ProductSprint Backlog'!$I91=B$2), 'ProductSprint Backlog'!$F91, TRUE, 0)</f>
        <v>0</v>
      </c>
      <c r="C91" s="4" cm="1">
        <f t="array" ref="C91">_xlfn.IFS('ProductSprint Backlog'!$F91="", "", AND('ProductSprint Backlog'!$J91&gt;C$2,'ProductSprint Backlog'!$I91&lt;=C$2), 'ProductSprint Backlog'!$F91 / MAX(1, 'ProductSprint Backlog'!$J91-'ProductSprint Backlog'!$I91), AND('ProductSprint Backlog'!$J91=C$2,'ProductSprint Backlog'!$I91=C$2), 'ProductSprint Backlog'!$F91, TRUE, 0)</f>
        <v>0</v>
      </c>
      <c r="D91" s="4" cm="1">
        <f t="array" ref="D91">_xlfn.IFS('ProductSprint Backlog'!$F91="", "", AND('ProductSprint Backlog'!$J91&gt;D$2,'ProductSprint Backlog'!$I91&lt;=D$2), 'ProductSprint Backlog'!$F91 / MAX(1, 'ProductSprint Backlog'!$J91-'ProductSprint Backlog'!$I91), AND('ProductSprint Backlog'!$J91=D$2,'ProductSprint Backlog'!$I91=D$2), 'ProductSprint Backlog'!$F91, TRUE, 0)</f>
        <v>0</v>
      </c>
      <c r="E91" s="4" cm="1">
        <f t="array" ref="E91">_xlfn.IFS('ProductSprint Backlog'!$F91="", "", AND('ProductSprint Backlog'!$J91&gt;E$2,'ProductSprint Backlog'!$I91&lt;=E$2), 'ProductSprint Backlog'!$F91 / MAX(1, 'ProductSprint Backlog'!$J91-'ProductSprint Backlog'!$I91), AND('ProductSprint Backlog'!$J91=E$2,'ProductSprint Backlog'!$I91=E$2), 'ProductSprint Backlog'!$F91, TRUE, 0)</f>
        <v>0</v>
      </c>
      <c r="F91" s="4" cm="1">
        <f t="array" ref="F91">_xlfn.IFS('ProductSprint Backlog'!$F91="", "", AND('ProductSprint Backlog'!$J91&gt;F$2,'ProductSprint Backlog'!$I91&lt;=F$2), 'ProductSprint Backlog'!$F91 / MAX(1, 'ProductSprint Backlog'!$J91-'ProductSprint Backlog'!$I91), AND('ProductSprint Backlog'!$J91=F$2,'ProductSprint Backlog'!$I91=F$2), 'ProductSprint Backlog'!$F91, TRUE, 0)</f>
        <v>0</v>
      </c>
      <c r="G91" s="4" cm="1">
        <f t="array" ref="G91">_xlfn.IFS('ProductSprint Backlog'!$F91="", "", AND('ProductSprint Backlog'!$J91&gt;G$2,'ProductSprint Backlog'!$I91&lt;=G$2), 'ProductSprint Backlog'!$F91 / MAX(1, 'ProductSprint Backlog'!$J91-'ProductSprint Backlog'!$I91), AND('ProductSprint Backlog'!$J91=G$2,'ProductSprint Backlog'!$I91=G$2), 'ProductSprint Backlog'!$F91, TRUE, 0)</f>
        <v>0</v>
      </c>
      <c r="H91" s="4" cm="1">
        <f t="array" ref="H91">_xlfn.IFS('ProductSprint Backlog'!$F91="", "", AND('ProductSprint Backlog'!$J91&gt;H$2,'ProductSprint Backlog'!$I91&lt;=H$2), 'ProductSprint Backlog'!$F91 / MAX(1, 'ProductSprint Backlog'!$J91-'ProductSprint Backlog'!$I91), AND('ProductSprint Backlog'!$J91=H$2,'ProductSprint Backlog'!$I91=H$2), 'ProductSprint Backlog'!$F91, TRUE, 0)</f>
        <v>0</v>
      </c>
      <c r="I91" s="4" cm="1">
        <f t="array" ref="I91">_xlfn.IFS('ProductSprint Backlog'!$F91="", "", AND('ProductSprint Backlog'!$J91&gt;I$2,'ProductSprint Backlog'!$I91&lt;=I$2), 'ProductSprint Backlog'!$F91 / MAX(1, 'ProductSprint Backlog'!$J91-'ProductSprint Backlog'!$I91), AND('ProductSprint Backlog'!$J91=I$2,'ProductSprint Backlog'!$I91=I$2), 'ProductSprint Backlog'!$F91, TRUE, 0)</f>
        <v>0</v>
      </c>
      <c r="J91" s="4" cm="1">
        <f t="array" ref="J91">_xlfn.IFS('ProductSprint Backlog'!$F91="", "", AND('ProductSprint Backlog'!$J91&gt;J$2,'ProductSprint Backlog'!$I91&lt;=J$2), 'ProductSprint Backlog'!$F91 / MAX(1, 'ProductSprint Backlog'!$J91-'ProductSprint Backlog'!$I91), AND('ProductSprint Backlog'!$J91=J$2,'ProductSprint Backlog'!$I91=J$2), 'ProductSprint Backlog'!$F91, TRUE, 0)</f>
        <v>0</v>
      </c>
      <c r="K91" s="4" cm="1">
        <f t="array" ref="K91">_xlfn.IFS('ProductSprint Backlog'!$F91="", "", AND('ProductSprint Backlog'!$J91&gt;K$2,'ProductSprint Backlog'!$I91&lt;=K$2), 'ProductSprint Backlog'!$F91 / MAX(1, 'ProductSprint Backlog'!$J91-'ProductSprint Backlog'!$I91), AND('ProductSprint Backlog'!$J91=K$2,'ProductSprint Backlog'!$I91=K$2), 'ProductSprint Backlog'!$F91, TRUE, 0)</f>
        <v>0</v>
      </c>
      <c r="L91" s="4" cm="1">
        <f t="array" ref="L91">_xlfn.IFS('ProductSprint Backlog'!$F91="", "", AND('ProductSprint Backlog'!$J91&gt;L$2,'ProductSprint Backlog'!$I91&lt;=L$2), 'ProductSprint Backlog'!$F91 / MAX(1, 'ProductSprint Backlog'!$J91-'ProductSprint Backlog'!$I91), AND('ProductSprint Backlog'!$J91=L$2,'ProductSprint Backlog'!$I91=L$2), 'ProductSprint Backlog'!$F91, TRUE, 0)</f>
        <v>0</v>
      </c>
      <c r="M91" s="4" cm="1">
        <f t="array" ref="M91">_xlfn.IFS('ProductSprint Backlog'!$F91="", "", AND('ProductSprint Backlog'!$J91&gt;M$2,'ProductSprint Backlog'!$I91&lt;=M$2), 'ProductSprint Backlog'!$F91 / MAX(1, 'ProductSprint Backlog'!$J91-'ProductSprint Backlog'!$I91), AND('ProductSprint Backlog'!$J91=M$2,'ProductSprint Backlog'!$I91=M$2), 'ProductSprint Backlog'!$F91, TRUE, 0)</f>
        <v>0</v>
      </c>
      <c r="N91" s="4" cm="1">
        <f t="array" ref="N91">_xlfn.IFS('ProductSprint Backlog'!$F91="", "", AND('ProductSprint Backlog'!$J91&gt;N$2,'ProductSprint Backlog'!$I91&lt;=N$2), 'ProductSprint Backlog'!$F91 / MAX(1, 'ProductSprint Backlog'!$J91-'ProductSprint Backlog'!$I91), AND('ProductSprint Backlog'!$J91=N$2,'ProductSprint Backlog'!$I91=N$2), 'ProductSprint Backlog'!$F91, TRUE, 0)</f>
        <v>0</v>
      </c>
      <c r="O91" s="4" cm="1">
        <f t="array" ref="O91">_xlfn.IFS('ProductSprint Backlog'!$F91="", "", AND('ProductSprint Backlog'!$J91&gt;O$2,'ProductSprint Backlog'!$I91&lt;=O$2), 'ProductSprint Backlog'!$F91 / MAX(1, 'ProductSprint Backlog'!$J91-'ProductSprint Backlog'!$I91), AND('ProductSprint Backlog'!$J91=O$2,'ProductSprint Backlog'!$I91=O$2), 'ProductSprint Backlog'!$F91, TRUE, 0)</f>
        <v>0</v>
      </c>
      <c r="P91" s="4" cm="1">
        <f t="array" ref="P91">_xlfn.IFS('ProductSprint Backlog'!$F91="", "", AND('ProductSprint Backlog'!$J91&gt;P$2,'ProductSprint Backlog'!$I91&lt;=P$2), 'ProductSprint Backlog'!$F91 / MAX(1, 'ProductSprint Backlog'!$J91-'ProductSprint Backlog'!$I91), AND('ProductSprint Backlog'!$J91=P$2,'ProductSprint Backlog'!$I91=P$2), 'ProductSprint Backlog'!$F91, TRUE, 0)</f>
        <v>0</v>
      </c>
      <c r="Q91" s="4" cm="1">
        <f t="array" ref="Q91">_xlfn.IFS('ProductSprint Backlog'!$F91="", "", AND('ProductSprint Backlog'!$J91&gt;Q$2,'ProductSprint Backlog'!$I91&lt;=Q$2), 'ProductSprint Backlog'!$F91 / MAX(1, 'ProductSprint Backlog'!$J91-'ProductSprint Backlog'!$I91), AND('ProductSprint Backlog'!$J91=Q$2,'ProductSprint Backlog'!$I91=Q$2), 'ProductSprint Backlog'!$F91, TRUE, 0)</f>
        <v>0</v>
      </c>
    </row>
    <row r="92" spans="2:17" x14ac:dyDescent="0.2">
      <c r="B92" s="4" cm="1">
        <f t="array" ref="B92">_xlfn.IFS('ProductSprint Backlog'!$F92="", "", AND('ProductSprint Backlog'!$J92&gt;B$2,'ProductSprint Backlog'!$I92&lt;=B$2), 'ProductSprint Backlog'!$F92 / MAX(1, 'ProductSprint Backlog'!$J92-'ProductSprint Backlog'!$I92), AND('ProductSprint Backlog'!$J92=B$2,'ProductSprint Backlog'!$I92=B$2), 'ProductSprint Backlog'!$F92, TRUE, 0)</f>
        <v>0</v>
      </c>
      <c r="C92" s="4" cm="1">
        <f t="array" ref="C92">_xlfn.IFS('ProductSprint Backlog'!$F92="", "", AND('ProductSprint Backlog'!$J92&gt;C$2,'ProductSprint Backlog'!$I92&lt;=C$2), 'ProductSprint Backlog'!$F92 / MAX(1, 'ProductSprint Backlog'!$J92-'ProductSprint Backlog'!$I92), AND('ProductSprint Backlog'!$J92=C$2,'ProductSprint Backlog'!$I92=C$2), 'ProductSprint Backlog'!$F92, TRUE, 0)</f>
        <v>0</v>
      </c>
      <c r="D92" s="4" cm="1">
        <f t="array" ref="D92">_xlfn.IFS('ProductSprint Backlog'!$F92="", "", AND('ProductSprint Backlog'!$J92&gt;D$2,'ProductSprint Backlog'!$I92&lt;=D$2), 'ProductSprint Backlog'!$F92 / MAX(1, 'ProductSprint Backlog'!$J92-'ProductSprint Backlog'!$I92), AND('ProductSprint Backlog'!$J92=D$2,'ProductSprint Backlog'!$I92=D$2), 'ProductSprint Backlog'!$F92, TRUE, 0)</f>
        <v>0</v>
      </c>
      <c r="E92" s="4" cm="1">
        <f t="array" ref="E92">_xlfn.IFS('ProductSprint Backlog'!$F92="", "", AND('ProductSprint Backlog'!$J92&gt;E$2,'ProductSprint Backlog'!$I92&lt;=E$2), 'ProductSprint Backlog'!$F92 / MAX(1, 'ProductSprint Backlog'!$J92-'ProductSprint Backlog'!$I92), AND('ProductSprint Backlog'!$J92=E$2,'ProductSprint Backlog'!$I92=E$2), 'ProductSprint Backlog'!$F92, TRUE, 0)</f>
        <v>0</v>
      </c>
      <c r="F92" s="4" cm="1">
        <f t="array" ref="F92">_xlfn.IFS('ProductSprint Backlog'!$F92="", "", AND('ProductSprint Backlog'!$J92&gt;F$2,'ProductSprint Backlog'!$I92&lt;=F$2), 'ProductSprint Backlog'!$F92 / MAX(1, 'ProductSprint Backlog'!$J92-'ProductSprint Backlog'!$I92), AND('ProductSprint Backlog'!$J92=F$2,'ProductSprint Backlog'!$I92=F$2), 'ProductSprint Backlog'!$F92, TRUE, 0)</f>
        <v>0</v>
      </c>
      <c r="G92" s="4" cm="1">
        <f t="array" ref="G92">_xlfn.IFS('ProductSprint Backlog'!$F92="", "", AND('ProductSprint Backlog'!$J92&gt;G$2,'ProductSprint Backlog'!$I92&lt;=G$2), 'ProductSprint Backlog'!$F92 / MAX(1, 'ProductSprint Backlog'!$J92-'ProductSprint Backlog'!$I92), AND('ProductSprint Backlog'!$J92=G$2,'ProductSprint Backlog'!$I92=G$2), 'ProductSprint Backlog'!$F92, TRUE, 0)</f>
        <v>0</v>
      </c>
      <c r="H92" s="4" cm="1">
        <f t="array" ref="H92">_xlfn.IFS('ProductSprint Backlog'!$F92="", "", AND('ProductSprint Backlog'!$J92&gt;H$2,'ProductSprint Backlog'!$I92&lt;=H$2), 'ProductSprint Backlog'!$F92 / MAX(1, 'ProductSprint Backlog'!$J92-'ProductSprint Backlog'!$I92), AND('ProductSprint Backlog'!$J92=H$2,'ProductSprint Backlog'!$I92=H$2), 'ProductSprint Backlog'!$F92, TRUE, 0)</f>
        <v>0</v>
      </c>
      <c r="I92" s="4" cm="1">
        <f t="array" ref="I92">_xlfn.IFS('ProductSprint Backlog'!$F92="", "", AND('ProductSprint Backlog'!$J92&gt;I$2,'ProductSprint Backlog'!$I92&lt;=I$2), 'ProductSprint Backlog'!$F92 / MAX(1, 'ProductSprint Backlog'!$J92-'ProductSprint Backlog'!$I92), AND('ProductSprint Backlog'!$J92=I$2,'ProductSprint Backlog'!$I92=I$2), 'ProductSprint Backlog'!$F92, TRUE, 0)</f>
        <v>0</v>
      </c>
      <c r="J92" s="4" cm="1">
        <f t="array" ref="J92">_xlfn.IFS('ProductSprint Backlog'!$F92="", "", AND('ProductSprint Backlog'!$J92&gt;J$2,'ProductSprint Backlog'!$I92&lt;=J$2), 'ProductSprint Backlog'!$F92 / MAX(1, 'ProductSprint Backlog'!$J92-'ProductSprint Backlog'!$I92), AND('ProductSprint Backlog'!$J92=J$2,'ProductSprint Backlog'!$I92=J$2), 'ProductSprint Backlog'!$F92, TRUE, 0)</f>
        <v>0</v>
      </c>
      <c r="K92" s="4" cm="1">
        <f t="array" ref="K92">_xlfn.IFS('ProductSprint Backlog'!$F92="", "", AND('ProductSprint Backlog'!$J92&gt;K$2,'ProductSprint Backlog'!$I92&lt;=K$2), 'ProductSprint Backlog'!$F92 / MAX(1, 'ProductSprint Backlog'!$J92-'ProductSprint Backlog'!$I92), AND('ProductSprint Backlog'!$J92=K$2,'ProductSprint Backlog'!$I92=K$2), 'ProductSprint Backlog'!$F92, TRUE, 0)</f>
        <v>0</v>
      </c>
      <c r="L92" s="4" cm="1">
        <f t="array" ref="L92">_xlfn.IFS('ProductSprint Backlog'!$F92="", "", AND('ProductSprint Backlog'!$J92&gt;L$2,'ProductSprint Backlog'!$I92&lt;=L$2), 'ProductSprint Backlog'!$F92 / MAX(1, 'ProductSprint Backlog'!$J92-'ProductSprint Backlog'!$I92), AND('ProductSprint Backlog'!$J92=L$2,'ProductSprint Backlog'!$I92=L$2), 'ProductSprint Backlog'!$F92, TRUE, 0)</f>
        <v>0</v>
      </c>
      <c r="M92" s="4" cm="1">
        <f t="array" ref="M92">_xlfn.IFS('ProductSprint Backlog'!$F92="", "", AND('ProductSprint Backlog'!$J92&gt;M$2,'ProductSprint Backlog'!$I92&lt;=M$2), 'ProductSprint Backlog'!$F92 / MAX(1, 'ProductSprint Backlog'!$J92-'ProductSprint Backlog'!$I92), AND('ProductSprint Backlog'!$J92=M$2,'ProductSprint Backlog'!$I92=M$2), 'ProductSprint Backlog'!$F92, TRUE, 0)</f>
        <v>0</v>
      </c>
      <c r="N92" s="4" cm="1">
        <f t="array" ref="N92">_xlfn.IFS('ProductSprint Backlog'!$F92="", "", AND('ProductSprint Backlog'!$J92&gt;N$2,'ProductSprint Backlog'!$I92&lt;=N$2), 'ProductSprint Backlog'!$F92 / MAX(1, 'ProductSprint Backlog'!$J92-'ProductSprint Backlog'!$I92), AND('ProductSprint Backlog'!$J92=N$2,'ProductSprint Backlog'!$I92=N$2), 'ProductSprint Backlog'!$F92, TRUE, 0)</f>
        <v>0</v>
      </c>
      <c r="O92" s="4" cm="1">
        <f t="array" ref="O92">_xlfn.IFS('ProductSprint Backlog'!$F92="", "", AND('ProductSprint Backlog'!$J92&gt;O$2,'ProductSprint Backlog'!$I92&lt;=O$2), 'ProductSprint Backlog'!$F92 / MAX(1, 'ProductSprint Backlog'!$J92-'ProductSprint Backlog'!$I92), AND('ProductSprint Backlog'!$J92=O$2,'ProductSprint Backlog'!$I92=O$2), 'ProductSprint Backlog'!$F92, TRUE, 0)</f>
        <v>0</v>
      </c>
      <c r="P92" s="4" cm="1">
        <f t="array" ref="P92">_xlfn.IFS('ProductSprint Backlog'!$F92="", "", AND('ProductSprint Backlog'!$J92&gt;P$2,'ProductSprint Backlog'!$I92&lt;=P$2), 'ProductSprint Backlog'!$F92 / MAX(1, 'ProductSprint Backlog'!$J92-'ProductSprint Backlog'!$I92), AND('ProductSprint Backlog'!$J92=P$2,'ProductSprint Backlog'!$I92=P$2), 'ProductSprint Backlog'!$F92, TRUE, 0)</f>
        <v>0</v>
      </c>
      <c r="Q92" s="4" cm="1">
        <f t="array" ref="Q92">_xlfn.IFS('ProductSprint Backlog'!$F92="", "", AND('ProductSprint Backlog'!$J92&gt;Q$2,'ProductSprint Backlog'!$I92&lt;=Q$2), 'ProductSprint Backlog'!$F92 / MAX(1, 'ProductSprint Backlog'!$J92-'ProductSprint Backlog'!$I92), AND('ProductSprint Backlog'!$J92=Q$2,'ProductSprint Backlog'!$I92=Q$2), 'ProductSprint Backlog'!$F92, TRUE, 0)</f>
        <v>0</v>
      </c>
    </row>
    <row r="93" spans="2:17" x14ac:dyDescent="0.2">
      <c r="B93" s="4" cm="1">
        <f t="array" ref="B93">_xlfn.IFS('ProductSprint Backlog'!$F93="", "", AND('ProductSprint Backlog'!$J93&gt;B$2,'ProductSprint Backlog'!$I93&lt;=B$2), 'ProductSprint Backlog'!$F93 / MAX(1, 'ProductSprint Backlog'!$J93-'ProductSprint Backlog'!$I93), AND('ProductSprint Backlog'!$J93=B$2,'ProductSprint Backlog'!$I93=B$2), 'ProductSprint Backlog'!$F93, TRUE, 0)</f>
        <v>0</v>
      </c>
      <c r="C93" s="4" cm="1">
        <f t="array" ref="C93">_xlfn.IFS('ProductSprint Backlog'!$F93="", "", AND('ProductSprint Backlog'!$J93&gt;C$2,'ProductSprint Backlog'!$I93&lt;=C$2), 'ProductSprint Backlog'!$F93 / MAX(1, 'ProductSprint Backlog'!$J93-'ProductSprint Backlog'!$I93), AND('ProductSprint Backlog'!$J93=C$2,'ProductSprint Backlog'!$I93=C$2), 'ProductSprint Backlog'!$F93, TRUE, 0)</f>
        <v>0</v>
      </c>
      <c r="D93" s="4" cm="1">
        <f t="array" ref="D93">_xlfn.IFS('ProductSprint Backlog'!$F93="", "", AND('ProductSprint Backlog'!$J93&gt;D$2,'ProductSprint Backlog'!$I93&lt;=D$2), 'ProductSprint Backlog'!$F93 / MAX(1, 'ProductSprint Backlog'!$J93-'ProductSprint Backlog'!$I93), AND('ProductSprint Backlog'!$J93=D$2,'ProductSprint Backlog'!$I93=D$2), 'ProductSprint Backlog'!$F93, TRUE, 0)</f>
        <v>0</v>
      </c>
      <c r="E93" s="4" cm="1">
        <f t="array" ref="E93">_xlfn.IFS('ProductSprint Backlog'!$F93="", "", AND('ProductSprint Backlog'!$J93&gt;E$2,'ProductSprint Backlog'!$I93&lt;=E$2), 'ProductSprint Backlog'!$F93 / MAX(1, 'ProductSprint Backlog'!$J93-'ProductSprint Backlog'!$I93), AND('ProductSprint Backlog'!$J93=E$2,'ProductSprint Backlog'!$I93=E$2), 'ProductSprint Backlog'!$F93, TRUE, 0)</f>
        <v>0</v>
      </c>
      <c r="F93" s="4" cm="1">
        <f t="array" ref="F93">_xlfn.IFS('ProductSprint Backlog'!$F93="", "", AND('ProductSprint Backlog'!$J93&gt;F$2,'ProductSprint Backlog'!$I93&lt;=F$2), 'ProductSprint Backlog'!$F93 / MAX(1, 'ProductSprint Backlog'!$J93-'ProductSprint Backlog'!$I93), AND('ProductSprint Backlog'!$J93=F$2,'ProductSprint Backlog'!$I93=F$2), 'ProductSprint Backlog'!$F93, TRUE, 0)</f>
        <v>0</v>
      </c>
      <c r="G93" s="4" cm="1">
        <f t="array" ref="G93">_xlfn.IFS('ProductSprint Backlog'!$F93="", "", AND('ProductSprint Backlog'!$J93&gt;G$2,'ProductSprint Backlog'!$I93&lt;=G$2), 'ProductSprint Backlog'!$F93 / MAX(1, 'ProductSprint Backlog'!$J93-'ProductSprint Backlog'!$I93), AND('ProductSprint Backlog'!$J93=G$2,'ProductSprint Backlog'!$I93=G$2), 'ProductSprint Backlog'!$F93, TRUE, 0)</f>
        <v>0</v>
      </c>
      <c r="H93" s="4" cm="1">
        <f t="array" ref="H93">_xlfn.IFS('ProductSprint Backlog'!$F93="", "", AND('ProductSprint Backlog'!$J93&gt;H$2,'ProductSprint Backlog'!$I93&lt;=H$2), 'ProductSprint Backlog'!$F93 / MAX(1, 'ProductSprint Backlog'!$J93-'ProductSprint Backlog'!$I93), AND('ProductSprint Backlog'!$J93=H$2,'ProductSprint Backlog'!$I93=H$2), 'ProductSprint Backlog'!$F93, TRUE, 0)</f>
        <v>0</v>
      </c>
      <c r="I93" s="4" cm="1">
        <f t="array" ref="I93">_xlfn.IFS('ProductSprint Backlog'!$F93="", "", AND('ProductSprint Backlog'!$J93&gt;I$2,'ProductSprint Backlog'!$I93&lt;=I$2), 'ProductSprint Backlog'!$F93 / MAX(1, 'ProductSprint Backlog'!$J93-'ProductSprint Backlog'!$I93), AND('ProductSprint Backlog'!$J93=I$2,'ProductSprint Backlog'!$I93=I$2), 'ProductSprint Backlog'!$F93, TRUE, 0)</f>
        <v>0</v>
      </c>
      <c r="J93" s="4" cm="1">
        <f t="array" ref="J93">_xlfn.IFS('ProductSprint Backlog'!$F93="", "", AND('ProductSprint Backlog'!$J93&gt;J$2,'ProductSprint Backlog'!$I93&lt;=J$2), 'ProductSprint Backlog'!$F93 / MAX(1, 'ProductSprint Backlog'!$J93-'ProductSprint Backlog'!$I93), AND('ProductSprint Backlog'!$J93=J$2,'ProductSprint Backlog'!$I93=J$2), 'ProductSprint Backlog'!$F93, TRUE, 0)</f>
        <v>0</v>
      </c>
      <c r="K93" s="4" cm="1">
        <f t="array" ref="K93">_xlfn.IFS('ProductSprint Backlog'!$F93="", "", AND('ProductSprint Backlog'!$J93&gt;K$2,'ProductSprint Backlog'!$I93&lt;=K$2), 'ProductSprint Backlog'!$F93 / MAX(1, 'ProductSprint Backlog'!$J93-'ProductSprint Backlog'!$I93), AND('ProductSprint Backlog'!$J93=K$2,'ProductSprint Backlog'!$I93=K$2), 'ProductSprint Backlog'!$F93, TRUE, 0)</f>
        <v>0</v>
      </c>
      <c r="L93" s="4" cm="1">
        <f t="array" ref="L93">_xlfn.IFS('ProductSprint Backlog'!$F93="", "", AND('ProductSprint Backlog'!$J93&gt;L$2,'ProductSprint Backlog'!$I93&lt;=L$2), 'ProductSprint Backlog'!$F93 / MAX(1, 'ProductSprint Backlog'!$J93-'ProductSprint Backlog'!$I93), AND('ProductSprint Backlog'!$J93=L$2,'ProductSprint Backlog'!$I93=L$2), 'ProductSprint Backlog'!$F93, TRUE, 0)</f>
        <v>0</v>
      </c>
      <c r="M93" s="4" cm="1">
        <f t="array" ref="M93">_xlfn.IFS('ProductSprint Backlog'!$F93="", "", AND('ProductSprint Backlog'!$J93&gt;M$2,'ProductSprint Backlog'!$I93&lt;=M$2), 'ProductSprint Backlog'!$F93 / MAX(1, 'ProductSprint Backlog'!$J93-'ProductSprint Backlog'!$I93), AND('ProductSprint Backlog'!$J93=M$2,'ProductSprint Backlog'!$I93=M$2), 'ProductSprint Backlog'!$F93, TRUE, 0)</f>
        <v>0</v>
      </c>
      <c r="N93" s="4" cm="1">
        <f t="array" ref="N93">_xlfn.IFS('ProductSprint Backlog'!$F93="", "", AND('ProductSprint Backlog'!$J93&gt;N$2,'ProductSprint Backlog'!$I93&lt;=N$2), 'ProductSprint Backlog'!$F93 / MAX(1, 'ProductSprint Backlog'!$J93-'ProductSprint Backlog'!$I93), AND('ProductSprint Backlog'!$J93=N$2,'ProductSprint Backlog'!$I93=N$2), 'ProductSprint Backlog'!$F93, TRUE, 0)</f>
        <v>0</v>
      </c>
      <c r="O93" s="4" cm="1">
        <f t="array" ref="O93">_xlfn.IFS('ProductSprint Backlog'!$F93="", "", AND('ProductSprint Backlog'!$J93&gt;O$2,'ProductSprint Backlog'!$I93&lt;=O$2), 'ProductSprint Backlog'!$F93 / MAX(1, 'ProductSprint Backlog'!$J93-'ProductSprint Backlog'!$I93), AND('ProductSprint Backlog'!$J93=O$2,'ProductSprint Backlog'!$I93=O$2), 'ProductSprint Backlog'!$F93, TRUE, 0)</f>
        <v>0</v>
      </c>
      <c r="P93" s="4" cm="1">
        <f t="array" ref="P93">_xlfn.IFS('ProductSprint Backlog'!$F93="", "", AND('ProductSprint Backlog'!$J93&gt;P$2,'ProductSprint Backlog'!$I93&lt;=P$2), 'ProductSprint Backlog'!$F93 / MAX(1, 'ProductSprint Backlog'!$J93-'ProductSprint Backlog'!$I93), AND('ProductSprint Backlog'!$J93=P$2,'ProductSprint Backlog'!$I93=P$2), 'ProductSprint Backlog'!$F93, TRUE, 0)</f>
        <v>0</v>
      </c>
      <c r="Q93" s="4" cm="1">
        <f t="array" ref="Q93">_xlfn.IFS('ProductSprint Backlog'!$F93="", "", AND('ProductSprint Backlog'!$J93&gt;Q$2,'ProductSprint Backlog'!$I93&lt;=Q$2), 'ProductSprint Backlog'!$F93 / MAX(1, 'ProductSprint Backlog'!$J93-'ProductSprint Backlog'!$I93), AND('ProductSprint Backlog'!$J93=Q$2,'ProductSprint Backlog'!$I93=Q$2), 'ProductSprint Backlog'!$F93, TRUE, 0)</f>
        <v>0</v>
      </c>
    </row>
    <row r="94" spans="2:17" x14ac:dyDescent="0.2">
      <c r="B94" s="4" cm="1">
        <f t="array" ref="B94">_xlfn.IFS('ProductSprint Backlog'!$F94="", "", AND('ProductSprint Backlog'!$J94&gt;B$2,'ProductSprint Backlog'!$I94&lt;=B$2), 'ProductSprint Backlog'!$F94 / MAX(1, 'ProductSprint Backlog'!$J94-'ProductSprint Backlog'!$I94), AND('ProductSprint Backlog'!$J94=B$2,'ProductSprint Backlog'!$I94=B$2), 'ProductSprint Backlog'!$F94, TRUE, 0)</f>
        <v>0</v>
      </c>
      <c r="C94" s="4" cm="1">
        <f t="array" ref="C94">_xlfn.IFS('ProductSprint Backlog'!$F94="", "", AND('ProductSprint Backlog'!$J94&gt;C$2,'ProductSprint Backlog'!$I94&lt;=C$2), 'ProductSprint Backlog'!$F94 / MAX(1, 'ProductSprint Backlog'!$J94-'ProductSprint Backlog'!$I94), AND('ProductSprint Backlog'!$J94=C$2,'ProductSprint Backlog'!$I94=C$2), 'ProductSprint Backlog'!$F94, TRUE, 0)</f>
        <v>0</v>
      </c>
      <c r="D94" s="4" cm="1">
        <f t="array" ref="D94">_xlfn.IFS('ProductSprint Backlog'!$F94="", "", AND('ProductSprint Backlog'!$J94&gt;D$2,'ProductSprint Backlog'!$I94&lt;=D$2), 'ProductSprint Backlog'!$F94 / MAX(1, 'ProductSprint Backlog'!$J94-'ProductSprint Backlog'!$I94), AND('ProductSprint Backlog'!$J94=D$2,'ProductSprint Backlog'!$I94=D$2), 'ProductSprint Backlog'!$F94, TRUE, 0)</f>
        <v>0</v>
      </c>
      <c r="E94" s="4" cm="1">
        <f t="array" ref="E94">_xlfn.IFS('ProductSprint Backlog'!$F94="", "", AND('ProductSprint Backlog'!$J94&gt;E$2,'ProductSprint Backlog'!$I94&lt;=E$2), 'ProductSprint Backlog'!$F94 / MAX(1, 'ProductSprint Backlog'!$J94-'ProductSprint Backlog'!$I94), AND('ProductSprint Backlog'!$J94=E$2,'ProductSprint Backlog'!$I94=E$2), 'ProductSprint Backlog'!$F94, TRUE, 0)</f>
        <v>0</v>
      </c>
      <c r="F94" s="4" cm="1">
        <f t="array" ref="F94">_xlfn.IFS('ProductSprint Backlog'!$F94="", "", AND('ProductSprint Backlog'!$J94&gt;F$2,'ProductSprint Backlog'!$I94&lt;=F$2), 'ProductSprint Backlog'!$F94 / MAX(1, 'ProductSprint Backlog'!$J94-'ProductSprint Backlog'!$I94), AND('ProductSprint Backlog'!$J94=F$2,'ProductSprint Backlog'!$I94=F$2), 'ProductSprint Backlog'!$F94, TRUE, 0)</f>
        <v>0</v>
      </c>
      <c r="G94" s="4" cm="1">
        <f t="array" ref="G94">_xlfn.IFS('ProductSprint Backlog'!$F94="", "", AND('ProductSprint Backlog'!$J94&gt;G$2,'ProductSprint Backlog'!$I94&lt;=G$2), 'ProductSprint Backlog'!$F94 / MAX(1, 'ProductSprint Backlog'!$J94-'ProductSprint Backlog'!$I94), AND('ProductSprint Backlog'!$J94=G$2,'ProductSprint Backlog'!$I94=G$2), 'ProductSprint Backlog'!$F94, TRUE, 0)</f>
        <v>0</v>
      </c>
      <c r="H94" s="4" cm="1">
        <f t="array" ref="H94">_xlfn.IFS('ProductSprint Backlog'!$F94="", "", AND('ProductSprint Backlog'!$J94&gt;H$2,'ProductSprint Backlog'!$I94&lt;=H$2), 'ProductSprint Backlog'!$F94 / MAX(1, 'ProductSprint Backlog'!$J94-'ProductSprint Backlog'!$I94), AND('ProductSprint Backlog'!$J94=H$2,'ProductSprint Backlog'!$I94=H$2), 'ProductSprint Backlog'!$F94, TRUE, 0)</f>
        <v>0</v>
      </c>
      <c r="I94" s="4" cm="1">
        <f t="array" ref="I94">_xlfn.IFS('ProductSprint Backlog'!$F94="", "", AND('ProductSprint Backlog'!$J94&gt;I$2,'ProductSprint Backlog'!$I94&lt;=I$2), 'ProductSprint Backlog'!$F94 / MAX(1, 'ProductSprint Backlog'!$J94-'ProductSprint Backlog'!$I94), AND('ProductSprint Backlog'!$J94=I$2,'ProductSprint Backlog'!$I94=I$2), 'ProductSprint Backlog'!$F94, TRUE, 0)</f>
        <v>0</v>
      </c>
      <c r="J94" s="4" cm="1">
        <f t="array" ref="J94">_xlfn.IFS('ProductSprint Backlog'!$F94="", "", AND('ProductSprint Backlog'!$J94&gt;J$2,'ProductSprint Backlog'!$I94&lt;=J$2), 'ProductSprint Backlog'!$F94 / MAX(1, 'ProductSprint Backlog'!$J94-'ProductSprint Backlog'!$I94), AND('ProductSprint Backlog'!$J94=J$2,'ProductSprint Backlog'!$I94=J$2), 'ProductSprint Backlog'!$F94, TRUE, 0)</f>
        <v>0</v>
      </c>
      <c r="K94" s="4" cm="1">
        <f t="array" ref="K94">_xlfn.IFS('ProductSprint Backlog'!$F94="", "", AND('ProductSprint Backlog'!$J94&gt;K$2,'ProductSprint Backlog'!$I94&lt;=K$2), 'ProductSprint Backlog'!$F94 / MAX(1, 'ProductSprint Backlog'!$J94-'ProductSprint Backlog'!$I94), AND('ProductSprint Backlog'!$J94=K$2,'ProductSprint Backlog'!$I94=K$2), 'ProductSprint Backlog'!$F94, TRUE, 0)</f>
        <v>0</v>
      </c>
      <c r="L94" s="4" cm="1">
        <f t="array" ref="L94">_xlfn.IFS('ProductSprint Backlog'!$F94="", "", AND('ProductSprint Backlog'!$J94&gt;L$2,'ProductSprint Backlog'!$I94&lt;=L$2), 'ProductSprint Backlog'!$F94 / MAX(1, 'ProductSprint Backlog'!$J94-'ProductSprint Backlog'!$I94), AND('ProductSprint Backlog'!$J94=L$2,'ProductSprint Backlog'!$I94=L$2), 'ProductSprint Backlog'!$F94, TRUE, 0)</f>
        <v>0</v>
      </c>
      <c r="M94" s="4" cm="1">
        <f t="array" ref="M94">_xlfn.IFS('ProductSprint Backlog'!$F94="", "", AND('ProductSprint Backlog'!$J94&gt;M$2,'ProductSprint Backlog'!$I94&lt;=M$2), 'ProductSprint Backlog'!$F94 / MAX(1, 'ProductSprint Backlog'!$J94-'ProductSprint Backlog'!$I94), AND('ProductSprint Backlog'!$J94=M$2,'ProductSprint Backlog'!$I94=M$2), 'ProductSprint Backlog'!$F94, TRUE, 0)</f>
        <v>0</v>
      </c>
      <c r="N94" s="4" cm="1">
        <f t="array" ref="N94">_xlfn.IFS('ProductSprint Backlog'!$F94="", "", AND('ProductSprint Backlog'!$J94&gt;N$2,'ProductSprint Backlog'!$I94&lt;=N$2), 'ProductSprint Backlog'!$F94 / MAX(1, 'ProductSprint Backlog'!$J94-'ProductSprint Backlog'!$I94), AND('ProductSprint Backlog'!$J94=N$2,'ProductSprint Backlog'!$I94=N$2), 'ProductSprint Backlog'!$F94, TRUE, 0)</f>
        <v>0</v>
      </c>
      <c r="O94" s="4" cm="1">
        <f t="array" ref="O94">_xlfn.IFS('ProductSprint Backlog'!$F94="", "", AND('ProductSprint Backlog'!$J94&gt;O$2,'ProductSprint Backlog'!$I94&lt;=O$2), 'ProductSprint Backlog'!$F94 / MAX(1, 'ProductSprint Backlog'!$J94-'ProductSprint Backlog'!$I94), AND('ProductSprint Backlog'!$J94=O$2,'ProductSprint Backlog'!$I94=O$2), 'ProductSprint Backlog'!$F94, TRUE, 0)</f>
        <v>0</v>
      </c>
      <c r="P94" s="4" cm="1">
        <f t="array" ref="P94">_xlfn.IFS('ProductSprint Backlog'!$F94="", "", AND('ProductSprint Backlog'!$J94&gt;P$2,'ProductSprint Backlog'!$I94&lt;=P$2), 'ProductSprint Backlog'!$F94 / MAX(1, 'ProductSprint Backlog'!$J94-'ProductSprint Backlog'!$I94), AND('ProductSprint Backlog'!$J94=P$2,'ProductSprint Backlog'!$I94=P$2), 'ProductSprint Backlog'!$F94, TRUE, 0)</f>
        <v>0</v>
      </c>
      <c r="Q94" s="4" cm="1">
        <f t="array" ref="Q94">_xlfn.IFS('ProductSprint Backlog'!$F94="", "", AND('ProductSprint Backlog'!$J94&gt;Q$2,'ProductSprint Backlog'!$I94&lt;=Q$2), 'ProductSprint Backlog'!$F94 / MAX(1, 'ProductSprint Backlog'!$J94-'ProductSprint Backlog'!$I94), AND('ProductSprint Backlog'!$J94=Q$2,'ProductSprint Backlog'!$I94=Q$2), 'ProductSprint Backlog'!$F94, TRUE, 0)</f>
        <v>0</v>
      </c>
    </row>
    <row r="95" spans="2:17" x14ac:dyDescent="0.2">
      <c r="B95" s="4" cm="1">
        <f t="array" ref="B95">_xlfn.IFS('ProductSprint Backlog'!$F95="", "", AND('ProductSprint Backlog'!$J95&gt;B$2,'ProductSprint Backlog'!$I95&lt;=B$2), 'ProductSprint Backlog'!$F95 / MAX(1, 'ProductSprint Backlog'!$J95-'ProductSprint Backlog'!$I95), AND('ProductSprint Backlog'!$J95=B$2,'ProductSprint Backlog'!$I95=B$2), 'ProductSprint Backlog'!$F95, TRUE, 0)</f>
        <v>0</v>
      </c>
      <c r="C95" s="4" cm="1">
        <f t="array" ref="C95">_xlfn.IFS('ProductSprint Backlog'!$F95="", "", AND('ProductSprint Backlog'!$J95&gt;C$2,'ProductSprint Backlog'!$I95&lt;=C$2), 'ProductSprint Backlog'!$F95 / MAX(1, 'ProductSprint Backlog'!$J95-'ProductSprint Backlog'!$I95), AND('ProductSprint Backlog'!$J95=C$2,'ProductSprint Backlog'!$I95=C$2), 'ProductSprint Backlog'!$F95, TRUE, 0)</f>
        <v>0</v>
      </c>
      <c r="D95" s="4" cm="1">
        <f t="array" ref="D95">_xlfn.IFS('ProductSprint Backlog'!$F95="", "", AND('ProductSprint Backlog'!$J95&gt;D$2,'ProductSprint Backlog'!$I95&lt;=D$2), 'ProductSprint Backlog'!$F95 / MAX(1, 'ProductSprint Backlog'!$J95-'ProductSprint Backlog'!$I95), AND('ProductSprint Backlog'!$J95=D$2,'ProductSprint Backlog'!$I95=D$2), 'ProductSprint Backlog'!$F95, TRUE, 0)</f>
        <v>0</v>
      </c>
      <c r="E95" s="4" cm="1">
        <f t="array" ref="E95">_xlfn.IFS('ProductSprint Backlog'!$F95="", "", AND('ProductSprint Backlog'!$J95&gt;E$2,'ProductSprint Backlog'!$I95&lt;=E$2), 'ProductSprint Backlog'!$F95 / MAX(1, 'ProductSprint Backlog'!$J95-'ProductSprint Backlog'!$I95), AND('ProductSprint Backlog'!$J95=E$2,'ProductSprint Backlog'!$I95=E$2), 'ProductSprint Backlog'!$F95, TRUE, 0)</f>
        <v>0</v>
      </c>
      <c r="F95" s="4" cm="1">
        <f t="array" ref="F95">_xlfn.IFS('ProductSprint Backlog'!$F95="", "", AND('ProductSprint Backlog'!$J95&gt;F$2,'ProductSprint Backlog'!$I95&lt;=F$2), 'ProductSprint Backlog'!$F95 / MAX(1, 'ProductSprint Backlog'!$J95-'ProductSprint Backlog'!$I95), AND('ProductSprint Backlog'!$J95=F$2,'ProductSprint Backlog'!$I95=F$2), 'ProductSprint Backlog'!$F95, TRUE, 0)</f>
        <v>0</v>
      </c>
      <c r="G95" s="4" cm="1">
        <f t="array" ref="G95">_xlfn.IFS('ProductSprint Backlog'!$F95="", "", AND('ProductSprint Backlog'!$J95&gt;G$2,'ProductSprint Backlog'!$I95&lt;=G$2), 'ProductSprint Backlog'!$F95 / MAX(1, 'ProductSprint Backlog'!$J95-'ProductSprint Backlog'!$I95), AND('ProductSprint Backlog'!$J95=G$2,'ProductSprint Backlog'!$I95=G$2), 'ProductSprint Backlog'!$F95, TRUE, 0)</f>
        <v>0</v>
      </c>
      <c r="H95" s="4" cm="1">
        <f t="array" ref="H95">_xlfn.IFS('ProductSprint Backlog'!$F95="", "", AND('ProductSprint Backlog'!$J95&gt;H$2,'ProductSprint Backlog'!$I95&lt;=H$2), 'ProductSprint Backlog'!$F95 / MAX(1, 'ProductSprint Backlog'!$J95-'ProductSprint Backlog'!$I95), AND('ProductSprint Backlog'!$J95=H$2,'ProductSprint Backlog'!$I95=H$2), 'ProductSprint Backlog'!$F95, TRUE, 0)</f>
        <v>0</v>
      </c>
      <c r="I95" s="4" cm="1">
        <f t="array" ref="I95">_xlfn.IFS('ProductSprint Backlog'!$F95="", "", AND('ProductSprint Backlog'!$J95&gt;I$2,'ProductSprint Backlog'!$I95&lt;=I$2), 'ProductSprint Backlog'!$F95 / MAX(1, 'ProductSprint Backlog'!$J95-'ProductSprint Backlog'!$I95), AND('ProductSprint Backlog'!$J95=I$2,'ProductSprint Backlog'!$I95=I$2), 'ProductSprint Backlog'!$F95, TRUE, 0)</f>
        <v>0</v>
      </c>
      <c r="J95" s="4" cm="1">
        <f t="array" ref="J95">_xlfn.IFS('ProductSprint Backlog'!$F95="", "", AND('ProductSprint Backlog'!$J95&gt;J$2,'ProductSprint Backlog'!$I95&lt;=J$2), 'ProductSprint Backlog'!$F95 / MAX(1, 'ProductSprint Backlog'!$J95-'ProductSprint Backlog'!$I95), AND('ProductSprint Backlog'!$J95=J$2,'ProductSprint Backlog'!$I95=J$2), 'ProductSprint Backlog'!$F95, TRUE, 0)</f>
        <v>0</v>
      </c>
      <c r="K95" s="4" cm="1">
        <f t="array" ref="K95">_xlfn.IFS('ProductSprint Backlog'!$F95="", "", AND('ProductSprint Backlog'!$J95&gt;K$2,'ProductSprint Backlog'!$I95&lt;=K$2), 'ProductSprint Backlog'!$F95 / MAX(1, 'ProductSprint Backlog'!$J95-'ProductSprint Backlog'!$I95), AND('ProductSprint Backlog'!$J95=K$2,'ProductSprint Backlog'!$I95=K$2), 'ProductSprint Backlog'!$F95, TRUE, 0)</f>
        <v>0</v>
      </c>
      <c r="L95" s="4" cm="1">
        <f t="array" ref="L95">_xlfn.IFS('ProductSprint Backlog'!$F95="", "", AND('ProductSprint Backlog'!$J95&gt;L$2,'ProductSprint Backlog'!$I95&lt;=L$2), 'ProductSprint Backlog'!$F95 / MAX(1, 'ProductSprint Backlog'!$J95-'ProductSprint Backlog'!$I95), AND('ProductSprint Backlog'!$J95=L$2,'ProductSprint Backlog'!$I95=L$2), 'ProductSprint Backlog'!$F95, TRUE, 0)</f>
        <v>0</v>
      </c>
      <c r="M95" s="4" cm="1">
        <f t="array" ref="M95">_xlfn.IFS('ProductSprint Backlog'!$F95="", "", AND('ProductSprint Backlog'!$J95&gt;M$2,'ProductSprint Backlog'!$I95&lt;=M$2), 'ProductSprint Backlog'!$F95 / MAX(1, 'ProductSprint Backlog'!$J95-'ProductSprint Backlog'!$I95), AND('ProductSprint Backlog'!$J95=M$2,'ProductSprint Backlog'!$I95=M$2), 'ProductSprint Backlog'!$F95, TRUE, 0)</f>
        <v>0</v>
      </c>
      <c r="N95" s="4" cm="1">
        <f t="array" ref="N95">_xlfn.IFS('ProductSprint Backlog'!$F95="", "", AND('ProductSprint Backlog'!$J95&gt;N$2,'ProductSprint Backlog'!$I95&lt;=N$2), 'ProductSprint Backlog'!$F95 / MAX(1, 'ProductSprint Backlog'!$J95-'ProductSprint Backlog'!$I95), AND('ProductSprint Backlog'!$J95=N$2,'ProductSprint Backlog'!$I95=N$2), 'ProductSprint Backlog'!$F95, TRUE, 0)</f>
        <v>0</v>
      </c>
      <c r="O95" s="4" cm="1">
        <f t="array" ref="O95">_xlfn.IFS('ProductSprint Backlog'!$F95="", "", AND('ProductSprint Backlog'!$J95&gt;O$2,'ProductSprint Backlog'!$I95&lt;=O$2), 'ProductSprint Backlog'!$F95 / MAX(1, 'ProductSprint Backlog'!$J95-'ProductSprint Backlog'!$I95), AND('ProductSprint Backlog'!$J95=O$2,'ProductSprint Backlog'!$I95=O$2), 'ProductSprint Backlog'!$F95, TRUE, 0)</f>
        <v>0</v>
      </c>
      <c r="P95" s="4" cm="1">
        <f t="array" ref="P95">_xlfn.IFS('ProductSprint Backlog'!$F95="", "", AND('ProductSprint Backlog'!$J95&gt;P$2,'ProductSprint Backlog'!$I95&lt;=P$2), 'ProductSprint Backlog'!$F95 / MAX(1, 'ProductSprint Backlog'!$J95-'ProductSprint Backlog'!$I95), AND('ProductSprint Backlog'!$J95=P$2,'ProductSprint Backlog'!$I95=P$2), 'ProductSprint Backlog'!$F95, TRUE, 0)</f>
        <v>0</v>
      </c>
      <c r="Q95" s="4" cm="1">
        <f t="array" ref="Q95">_xlfn.IFS('ProductSprint Backlog'!$F95="", "", AND('ProductSprint Backlog'!$J95&gt;Q$2,'ProductSprint Backlog'!$I95&lt;=Q$2), 'ProductSprint Backlog'!$F95 / MAX(1, 'ProductSprint Backlog'!$J95-'ProductSprint Backlog'!$I95), AND('ProductSprint Backlog'!$J95=Q$2,'ProductSprint Backlog'!$I95=Q$2), 'ProductSprint Backlog'!$F95, TRUE, 0)</f>
        <v>0</v>
      </c>
    </row>
    <row r="96" spans="2:17" x14ac:dyDescent="0.2">
      <c r="B96" s="4" t="str" cm="1">
        <f t="array" ref="B96">_xlfn.IFS('ProductSprint Backlog'!$F96="", "", AND('ProductSprint Backlog'!$J96&gt;B$2,'ProductSprint Backlog'!$I96&lt;=B$2), 'ProductSprint Backlog'!$F96 / MAX(1, 'ProductSprint Backlog'!$J96-'ProductSprint Backlog'!$I96), AND('ProductSprint Backlog'!$J96=B$2,'ProductSprint Backlog'!$I96=B$2), 'ProductSprint Backlog'!$F96, TRUE, 0)</f>
        <v/>
      </c>
      <c r="C96" s="4" t="str" cm="1">
        <f t="array" ref="C96">_xlfn.IFS('ProductSprint Backlog'!$F96="", "", AND('ProductSprint Backlog'!$J96&gt;C$2,'ProductSprint Backlog'!$I96&lt;=C$2), 'ProductSprint Backlog'!$F96 / MAX(1, 'ProductSprint Backlog'!$J96-'ProductSprint Backlog'!$I96), AND('ProductSprint Backlog'!$J96=C$2,'ProductSprint Backlog'!$I96=C$2), 'ProductSprint Backlog'!$F96, TRUE, 0)</f>
        <v/>
      </c>
      <c r="D96" s="4" t="str" cm="1">
        <f t="array" ref="D96">_xlfn.IFS('ProductSprint Backlog'!$F96="", "", AND('ProductSprint Backlog'!$J96&gt;D$2,'ProductSprint Backlog'!$I96&lt;=D$2), 'ProductSprint Backlog'!$F96 / MAX(1, 'ProductSprint Backlog'!$J96-'ProductSprint Backlog'!$I96), AND('ProductSprint Backlog'!$J96=D$2,'ProductSprint Backlog'!$I96=D$2), 'ProductSprint Backlog'!$F96, TRUE, 0)</f>
        <v/>
      </c>
      <c r="E96" s="4" t="str" cm="1">
        <f t="array" ref="E96">_xlfn.IFS('ProductSprint Backlog'!$F96="", "", AND('ProductSprint Backlog'!$J96&gt;E$2,'ProductSprint Backlog'!$I96&lt;=E$2), 'ProductSprint Backlog'!$F96 / MAX(1, 'ProductSprint Backlog'!$J96-'ProductSprint Backlog'!$I96), AND('ProductSprint Backlog'!$J96=E$2,'ProductSprint Backlog'!$I96=E$2), 'ProductSprint Backlog'!$F96, TRUE, 0)</f>
        <v/>
      </c>
      <c r="F96" s="4" t="str" cm="1">
        <f t="array" ref="F96">_xlfn.IFS('ProductSprint Backlog'!$F96="", "", AND('ProductSprint Backlog'!$J96&gt;F$2,'ProductSprint Backlog'!$I96&lt;=F$2), 'ProductSprint Backlog'!$F96 / MAX(1, 'ProductSprint Backlog'!$J96-'ProductSprint Backlog'!$I96), AND('ProductSprint Backlog'!$J96=F$2,'ProductSprint Backlog'!$I96=F$2), 'ProductSprint Backlog'!$F96, TRUE, 0)</f>
        <v/>
      </c>
      <c r="G96" s="4" t="str" cm="1">
        <f t="array" ref="G96">_xlfn.IFS('ProductSprint Backlog'!$F96="", "", AND('ProductSprint Backlog'!$J96&gt;G$2,'ProductSprint Backlog'!$I96&lt;=G$2), 'ProductSprint Backlog'!$F96 / MAX(1, 'ProductSprint Backlog'!$J96-'ProductSprint Backlog'!$I96), AND('ProductSprint Backlog'!$J96=G$2,'ProductSprint Backlog'!$I96=G$2), 'ProductSprint Backlog'!$F96, TRUE, 0)</f>
        <v/>
      </c>
      <c r="H96" s="4" t="str" cm="1">
        <f t="array" ref="H96">_xlfn.IFS('ProductSprint Backlog'!$F96="", "", AND('ProductSprint Backlog'!$J96&gt;H$2,'ProductSprint Backlog'!$I96&lt;=H$2), 'ProductSprint Backlog'!$F96 / MAX(1, 'ProductSprint Backlog'!$J96-'ProductSprint Backlog'!$I96), AND('ProductSprint Backlog'!$J96=H$2,'ProductSprint Backlog'!$I96=H$2), 'ProductSprint Backlog'!$F96, TRUE, 0)</f>
        <v/>
      </c>
      <c r="I96" s="4" t="str" cm="1">
        <f t="array" ref="I96">_xlfn.IFS('ProductSprint Backlog'!$F96="", "", AND('ProductSprint Backlog'!$J96&gt;I$2,'ProductSprint Backlog'!$I96&lt;=I$2), 'ProductSprint Backlog'!$F96 / MAX(1, 'ProductSprint Backlog'!$J96-'ProductSprint Backlog'!$I96), AND('ProductSprint Backlog'!$J96=I$2,'ProductSprint Backlog'!$I96=I$2), 'ProductSprint Backlog'!$F96, TRUE, 0)</f>
        <v/>
      </c>
      <c r="J96" s="4" t="str" cm="1">
        <f t="array" ref="J96">_xlfn.IFS('ProductSprint Backlog'!$F96="", "", AND('ProductSprint Backlog'!$J96&gt;J$2,'ProductSprint Backlog'!$I96&lt;=J$2), 'ProductSprint Backlog'!$F96 / MAX(1, 'ProductSprint Backlog'!$J96-'ProductSprint Backlog'!$I96), AND('ProductSprint Backlog'!$J96=J$2,'ProductSprint Backlog'!$I96=J$2), 'ProductSprint Backlog'!$F96, TRUE, 0)</f>
        <v/>
      </c>
      <c r="K96" s="4" t="str" cm="1">
        <f t="array" ref="K96">_xlfn.IFS('ProductSprint Backlog'!$F96="", "", AND('ProductSprint Backlog'!$J96&gt;K$2,'ProductSprint Backlog'!$I96&lt;=K$2), 'ProductSprint Backlog'!$F96 / MAX(1, 'ProductSprint Backlog'!$J96-'ProductSprint Backlog'!$I96), AND('ProductSprint Backlog'!$J96=K$2,'ProductSprint Backlog'!$I96=K$2), 'ProductSprint Backlog'!$F96, TRUE, 0)</f>
        <v/>
      </c>
      <c r="L96" s="4" t="str" cm="1">
        <f t="array" ref="L96">_xlfn.IFS('ProductSprint Backlog'!$F96="", "", AND('ProductSprint Backlog'!$J96&gt;L$2,'ProductSprint Backlog'!$I96&lt;=L$2), 'ProductSprint Backlog'!$F96 / MAX(1, 'ProductSprint Backlog'!$J96-'ProductSprint Backlog'!$I96), AND('ProductSprint Backlog'!$J96=L$2,'ProductSprint Backlog'!$I96=L$2), 'ProductSprint Backlog'!$F96, TRUE, 0)</f>
        <v/>
      </c>
      <c r="M96" s="4" t="str" cm="1">
        <f t="array" ref="M96">_xlfn.IFS('ProductSprint Backlog'!$F96="", "", AND('ProductSprint Backlog'!$J96&gt;M$2,'ProductSprint Backlog'!$I96&lt;=M$2), 'ProductSprint Backlog'!$F96 / MAX(1, 'ProductSprint Backlog'!$J96-'ProductSprint Backlog'!$I96), AND('ProductSprint Backlog'!$J96=M$2,'ProductSprint Backlog'!$I96=M$2), 'ProductSprint Backlog'!$F96, TRUE, 0)</f>
        <v/>
      </c>
      <c r="N96" s="4" t="str" cm="1">
        <f t="array" ref="N96">_xlfn.IFS('ProductSprint Backlog'!$F96="", "", AND('ProductSprint Backlog'!$J96&gt;N$2,'ProductSprint Backlog'!$I96&lt;=N$2), 'ProductSprint Backlog'!$F96 / MAX(1, 'ProductSprint Backlog'!$J96-'ProductSprint Backlog'!$I96), AND('ProductSprint Backlog'!$J96=N$2,'ProductSprint Backlog'!$I96=N$2), 'ProductSprint Backlog'!$F96, TRUE, 0)</f>
        <v/>
      </c>
      <c r="O96" s="4" t="str" cm="1">
        <f t="array" ref="O96">_xlfn.IFS('ProductSprint Backlog'!$F96="", "", AND('ProductSprint Backlog'!$J96&gt;O$2,'ProductSprint Backlog'!$I96&lt;=O$2), 'ProductSprint Backlog'!$F96 / MAX(1, 'ProductSprint Backlog'!$J96-'ProductSprint Backlog'!$I96), AND('ProductSprint Backlog'!$J96=O$2,'ProductSprint Backlog'!$I96=O$2), 'ProductSprint Backlog'!$F96, TRUE, 0)</f>
        <v/>
      </c>
      <c r="P96" s="4" t="str" cm="1">
        <f t="array" ref="P96">_xlfn.IFS('ProductSprint Backlog'!$F96="", "", AND('ProductSprint Backlog'!$J96&gt;P$2,'ProductSprint Backlog'!$I96&lt;=P$2), 'ProductSprint Backlog'!$F96 / MAX(1, 'ProductSprint Backlog'!$J96-'ProductSprint Backlog'!$I96), AND('ProductSprint Backlog'!$J96=P$2,'ProductSprint Backlog'!$I96=P$2), 'ProductSprint Backlog'!$F96, TRUE, 0)</f>
        <v/>
      </c>
      <c r="Q96" s="4" t="str" cm="1">
        <f t="array" ref="Q96">_xlfn.IFS('ProductSprint Backlog'!$F96="", "", AND('ProductSprint Backlog'!$J96&gt;Q$2,'ProductSprint Backlog'!$I96&lt;=Q$2), 'ProductSprint Backlog'!$F96 / MAX(1, 'ProductSprint Backlog'!$J96-'ProductSprint Backlog'!$I96), AND('ProductSprint Backlog'!$J96=Q$2,'ProductSprint Backlog'!$I96=Q$2), 'ProductSprint Backlog'!$F96, TRUE, 0)</f>
        <v/>
      </c>
    </row>
    <row r="97" spans="2:17" x14ac:dyDescent="0.2">
      <c r="B97" s="4" cm="1">
        <f t="array" ref="B97">_xlfn.IFS('ProductSprint Backlog'!$F97="", "", AND('ProductSprint Backlog'!$J97&gt;B$2,'ProductSprint Backlog'!$I97&lt;=B$2), 'ProductSprint Backlog'!$F97 / MAX(1, 'ProductSprint Backlog'!$J97-'ProductSprint Backlog'!$I97), AND('ProductSprint Backlog'!$J97=B$2,'ProductSprint Backlog'!$I97=B$2), 'ProductSprint Backlog'!$F97, TRUE, 0)</f>
        <v>0</v>
      </c>
      <c r="C97" s="4" cm="1">
        <f t="array" ref="C97">_xlfn.IFS('ProductSprint Backlog'!$F97="", "", AND('ProductSprint Backlog'!$J97&gt;C$2,'ProductSprint Backlog'!$I97&lt;=C$2), 'ProductSprint Backlog'!$F97 / MAX(1, 'ProductSprint Backlog'!$J97-'ProductSprint Backlog'!$I97), AND('ProductSprint Backlog'!$J97=C$2,'ProductSprint Backlog'!$I97=C$2), 'ProductSprint Backlog'!$F97, TRUE, 0)</f>
        <v>0</v>
      </c>
      <c r="D97" s="4" cm="1">
        <f t="array" ref="D97">_xlfn.IFS('ProductSprint Backlog'!$F97="", "", AND('ProductSprint Backlog'!$J97&gt;D$2,'ProductSprint Backlog'!$I97&lt;=D$2), 'ProductSprint Backlog'!$F97 / MAX(1, 'ProductSprint Backlog'!$J97-'ProductSprint Backlog'!$I97), AND('ProductSprint Backlog'!$J97=D$2,'ProductSprint Backlog'!$I97=D$2), 'ProductSprint Backlog'!$F97, TRUE, 0)</f>
        <v>0</v>
      </c>
      <c r="E97" s="4" cm="1">
        <f t="array" ref="E97">_xlfn.IFS('ProductSprint Backlog'!$F97="", "", AND('ProductSprint Backlog'!$J97&gt;E$2,'ProductSprint Backlog'!$I97&lt;=E$2), 'ProductSprint Backlog'!$F97 / MAX(1, 'ProductSprint Backlog'!$J97-'ProductSprint Backlog'!$I97), AND('ProductSprint Backlog'!$J97=E$2,'ProductSprint Backlog'!$I97=E$2), 'ProductSprint Backlog'!$F97, TRUE, 0)</f>
        <v>0</v>
      </c>
      <c r="F97" s="4" cm="1">
        <f t="array" ref="F97">_xlfn.IFS('ProductSprint Backlog'!$F97="", "", AND('ProductSprint Backlog'!$J97&gt;F$2,'ProductSprint Backlog'!$I97&lt;=F$2), 'ProductSprint Backlog'!$F97 / MAX(1, 'ProductSprint Backlog'!$J97-'ProductSprint Backlog'!$I97), AND('ProductSprint Backlog'!$J97=F$2,'ProductSprint Backlog'!$I97=F$2), 'ProductSprint Backlog'!$F97, TRUE, 0)</f>
        <v>0</v>
      </c>
      <c r="G97" s="4" cm="1">
        <f t="array" ref="G97">_xlfn.IFS('ProductSprint Backlog'!$F97="", "", AND('ProductSprint Backlog'!$J97&gt;G$2,'ProductSprint Backlog'!$I97&lt;=G$2), 'ProductSprint Backlog'!$F97 / MAX(1, 'ProductSprint Backlog'!$J97-'ProductSprint Backlog'!$I97), AND('ProductSprint Backlog'!$J97=G$2,'ProductSprint Backlog'!$I97=G$2), 'ProductSprint Backlog'!$F97, TRUE, 0)</f>
        <v>0</v>
      </c>
      <c r="H97" s="4" cm="1">
        <f t="array" ref="H97">_xlfn.IFS('ProductSprint Backlog'!$F97="", "", AND('ProductSprint Backlog'!$J97&gt;H$2,'ProductSprint Backlog'!$I97&lt;=H$2), 'ProductSprint Backlog'!$F97 / MAX(1, 'ProductSprint Backlog'!$J97-'ProductSprint Backlog'!$I97), AND('ProductSprint Backlog'!$J97=H$2,'ProductSprint Backlog'!$I97=H$2), 'ProductSprint Backlog'!$F97, TRUE, 0)</f>
        <v>0</v>
      </c>
      <c r="I97" s="4" cm="1">
        <f t="array" ref="I97">_xlfn.IFS('ProductSprint Backlog'!$F97="", "", AND('ProductSprint Backlog'!$J97&gt;I$2,'ProductSprint Backlog'!$I97&lt;=I$2), 'ProductSprint Backlog'!$F97 / MAX(1, 'ProductSprint Backlog'!$J97-'ProductSprint Backlog'!$I97), AND('ProductSprint Backlog'!$J97=I$2,'ProductSprint Backlog'!$I97=I$2), 'ProductSprint Backlog'!$F97, TRUE, 0)</f>
        <v>0</v>
      </c>
      <c r="J97" s="4" cm="1">
        <f t="array" ref="J97">_xlfn.IFS('ProductSprint Backlog'!$F97="", "", AND('ProductSprint Backlog'!$J97&gt;J$2,'ProductSprint Backlog'!$I97&lt;=J$2), 'ProductSprint Backlog'!$F97 / MAX(1, 'ProductSprint Backlog'!$J97-'ProductSprint Backlog'!$I97), AND('ProductSprint Backlog'!$J97=J$2,'ProductSprint Backlog'!$I97=J$2), 'ProductSprint Backlog'!$F97, TRUE, 0)</f>
        <v>0</v>
      </c>
      <c r="K97" s="4" cm="1">
        <f t="array" ref="K97">_xlfn.IFS('ProductSprint Backlog'!$F97="", "", AND('ProductSprint Backlog'!$J97&gt;K$2,'ProductSprint Backlog'!$I97&lt;=K$2), 'ProductSprint Backlog'!$F97 / MAX(1, 'ProductSprint Backlog'!$J97-'ProductSprint Backlog'!$I97), AND('ProductSprint Backlog'!$J97=K$2,'ProductSprint Backlog'!$I97=K$2), 'ProductSprint Backlog'!$F97, TRUE, 0)</f>
        <v>0</v>
      </c>
      <c r="L97" s="4" cm="1">
        <f t="array" ref="L97">_xlfn.IFS('ProductSprint Backlog'!$F97="", "", AND('ProductSprint Backlog'!$J97&gt;L$2,'ProductSprint Backlog'!$I97&lt;=L$2), 'ProductSprint Backlog'!$F97 / MAX(1, 'ProductSprint Backlog'!$J97-'ProductSprint Backlog'!$I97), AND('ProductSprint Backlog'!$J97=L$2,'ProductSprint Backlog'!$I97=L$2), 'ProductSprint Backlog'!$F97, TRUE, 0)</f>
        <v>0</v>
      </c>
      <c r="M97" s="4" cm="1">
        <f t="array" ref="M97">_xlfn.IFS('ProductSprint Backlog'!$F97="", "", AND('ProductSprint Backlog'!$J97&gt;M$2,'ProductSprint Backlog'!$I97&lt;=M$2), 'ProductSprint Backlog'!$F97 / MAX(1, 'ProductSprint Backlog'!$J97-'ProductSprint Backlog'!$I97), AND('ProductSprint Backlog'!$J97=M$2,'ProductSprint Backlog'!$I97=M$2), 'ProductSprint Backlog'!$F97, TRUE, 0)</f>
        <v>0</v>
      </c>
      <c r="N97" s="4" cm="1">
        <f t="array" ref="N97">_xlfn.IFS('ProductSprint Backlog'!$F97="", "", AND('ProductSprint Backlog'!$J97&gt;N$2,'ProductSprint Backlog'!$I97&lt;=N$2), 'ProductSprint Backlog'!$F97 / MAX(1, 'ProductSprint Backlog'!$J97-'ProductSprint Backlog'!$I97), AND('ProductSprint Backlog'!$J97=N$2,'ProductSprint Backlog'!$I97=N$2), 'ProductSprint Backlog'!$F97, TRUE, 0)</f>
        <v>0</v>
      </c>
      <c r="O97" s="4" cm="1">
        <f t="array" ref="O97">_xlfn.IFS('ProductSprint Backlog'!$F97="", "", AND('ProductSprint Backlog'!$J97&gt;O$2,'ProductSprint Backlog'!$I97&lt;=O$2), 'ProductSprint Backlog'!$F97 / MAX(1, 'ProductSprint Backlog'!$J97-'ProductSprint Backlog'!$I97), AND('ProductSprint Backlog'!$J97=O$2,'ProductSprint Backlog'!$I97=O$2), 'ProductSprint Backlog'!$F97, TRUE, 0)</f>
        <v>0</v>
      </c>
      <c r="P97" s="4" cm="1">
        <f t="array" ref="P97">_xlfn.IFS('ProductSprint Backlog'!$F97="", "", AND('ProductSprint Backlog'!$J97&gt;P$2,'ProductSprint Backlog'!$I97&lt;=P$2), 'ProductSprint Backlog'!$F97 / MAX(1, 'ProductSprint Backlog'!$J97-'ProductSprint Backlog'!$I97), AND('ProductSprint Backlog'!$J97=P$2,'ProductSprint Backlog'!$I97=P$2), 'ProductSprint Backlog'!$F97, TRUE, 0)</f>
        <v>0</v>
      </c>
      <c r="Q97" s="4" cm="1">
        <f t="array" ref="Q97">_xlfn.IFS('ProductSprint Backlog'!$F97="", "", AND('ProductSprint Backlog'!$J97&gt;Q$2,'ProductSprint Backlog'!$I97&lt;=Q$2), 'ProductSprint Backlog'!$F97 / MAX(1, 'ProductSprint Backlog'!$J97-'ProductSprint Backlog'!$I97), AND('ProductSprint Backlog'!$J97=Q$2,'ProductSprint Backlog'!$I97=Q$2), 'ProductSprint Backlog'!$F97, TRUE, 0)</f>
        <v>0</v>
      </c>
    </row>
    <row r="98" spans="2:17" x14ac:dyDescent="0.2">
      <c r="B98" s="4" cm="1">
        <f t="array" ref="B98">_xlfn.IFS('ProductSprint Backlog'!$F98="", "", AND('ProductSprint Backlog'!$J98&gt;B$2,'ProductSprint Backlog'!$I98&lt;=B$2), 'ProductSprint Backlog'!$F98 / MAX(1, 'ProductSprint Backlog'!$J98-'ProductSprint Backlog'!$I98), AND('ProductSprint Backlog'!$J98=B$2,'ProductSprint Backlog'!$I98=B$2), 'ProductSprint Backlog'!$F98, TRUE, 0)</f>
        <v>0</v>
      </c>
      <c r="C98" s="4" cm="1">
        <f t="array" ref="C98">_xlfn.IFS('ProductSprint Backlog'!$F98="", "", AND('ProductSprint Backlog'!$J98&gt;C$2,'ProductSprint Backlog'!$I98&lt;=C$2), 'ProductSprint Backlog'!$F98 / MAX(1, 'ProductSprint Backlog'!$J98-'ProductSprint Backlog'!$I98), AND('ProductSprint Backlog'!$J98=C$2,'ProductSprint Backlog'!$I98=C$2), 'ProductSprint Backlog'!$F98, TRUE, 0)</f>
        <v>0</v>
      </c>
      <c r="D98" s="4" cm="1">
        <f t="array" ref="D98">_xlfn.IFS('ProductSprint Backlog'!$F98="", "", AND('ProductSprint Backlog'!$J98&gt;D$2,'ProductSprint Backlog'!$I98&lt;=D$2), 'ProductSprint Backlog'!$F98 / MAX(1, 'ProductSprint Backlog'!$J98-'ProductSprint Backlog'!$I98), AND('ProductSprint Backlog'!$J98=D$2,'ProductSprint Backlog'!$I98=D$2), 'ProductSprint Backlog'!$F98, TRUE, 0)</f>
        <v>0</v>
      </c>
      <c r="E98" s="4" cm="1">
        <f t="array" ref="E98">_xlfn.IFS('ProductSprint Backlog'!$F98="", "", AND('ProductSprint Backlog'!$J98&gt;E$2,'ProductSprint Backlog'!$I98&lt;=E$2), 'ProductSprint Backlog'!$F98 / MAX(1, 'ProductSprint Backlog'!$J98-'ProductSprint Backlog'!$I98), AND('ProductSprint Backlog'!$J98=E$2,'ProductSprint Backlog'!$I98=E$2), 'ProductSprint Backlog'!$F98, TRUE, 0)</f>
        <v>0</v>
      </c>
      <c r="F98" s="4" cm="1">
        <f t="array" ref="F98">_xlfn.IFS('ProductSprint Backlog'!$F98="", "", AND('ProductSprint Backlog'!$J98&gt;F$2,'ProductSprint Backlog'!$I98&lt;=F$2), 'ProductSprint Backlog'!$F98 / MAX(1, 'ProductSprint Backlog'!$J98-'ProductSprint Backlog'!$I98), AND('ProductSprint Backlog'!$J98=F$2,'ProductSprint Backlog'!$I98=F$2), 'ProductSprint Backlog'!$F98, TRUE, 0)</f>
        <v>0</v>
      </c>
      <c r="G98" s="4" cm="1">
        <f t="array" ref="G98">_xlfn.IFS('ProductSprint Backlog'!$F98="", "", AND('ProductSprint Backlog'!$J98&gt;G$2,'ProductSprint Backlog'!$I98&lt;=G$2), 'ProductSprint Backlog'!$F98 / MAX(1, 'ProductSprint Backlog'!$J98-'ProductSprint Backlog'!$I98), AND('ProductSprint Backlog'!$J98=G$2,'ProductSprint Backlog'!$I98=G$2), 'ProductSprint Backlog'!$F98, TRUE, 0)</f>
        <v>0</v>
      </c>
      <c r="H98" s="4" cm="1">
        <f t="array" ref="H98">_xlfn.IFS('ProductSprint Backlog'!$F98="", "", AND('ProductSprint Backlog'!$J98&gt;H$2,'ProductSprint Backlog'!$I98&lt;=H$2), 'ProductSprint Backlog'!$F98 / MAX(1, 'ProductSprint Backlog'!$J98-'ProductSprint Backlog'!$I98), AND('ProductSprint Backlog'!$J98=H$2,'ProductSprint Backlog'!$I98=H$2), 'ProductSprint Backlog'!$F98, TRUE, 0)</f>
        <v>0</v>
      </c>
      <c r="I98" s="4" cm="1">
        <f t="array" ref="I98">_xlfn.IFS('ProductSprint Backlog'!$F98="", "", AND('ProductSprint Backlog'!$J98&gt;I$2,'ProductSprint Backlog'!$I98&lt;=I$2), 'ProductSprint Backlog'!$F98 / MAX(1, 'ProductSprint Backlog'!$J98-'ProductSprint Backlog'!$I98), AND('ProductSprint Backlog'!$J98=I$2,'ProductSprint Backlog'!$I98=I$2), 'ProductSprint Backlog'!$F98, TRUE, 0)</f>
        <v>0</v>
      </c>
      <c r="J98" s="4" cm="1">
        <f t="array" ref="J98">_xlfn.IFS('ProductSprint Backlog'!$F98="", "", AND('ProductSprint Backlog'!$J98&gt;J$2,'ProductSprint Backlog'!$I98&lt;=J$2), 'ProductSprint Backlog'!$F98 / MAX(1, 'ProductSprint Backlog'!$J98-'ProductSprint Backlog'!$I98), AND('ProductSprint Backlog'!$J98=J$2,'ProductSprint Backlog'!$I98=J$2), 'ProductSprint Backlog'!$F98, TRUE, 0)</f>
        <v>0</v>
      </c>
      <c r="K98" s="4" cm="1">
        <f t="array" ref="K98">_xlfn.IFS('ProductSprint Backlog'!$F98="", "", AND('ProductSprint Backlog'!$J98&gt;K$2,'ProductSprint Backlog'!$I98&lt;=K$2), 'ProductSprint Backlog'!$F98 / MAX(1, 'ProductSprint Backlog'!$J98-'ProductSprint Backlog'!$I98), AND('ProductSprint Backlog'!$J98=K$2,'ProductSprint Backlog'!$I98=K$2), 'ProductSprint Backlog'!$F98, TRUE, 0)</f>
        <v>0</v>
      </c>
      <c r="L98" s="4" cm="1">
        <f t="array" ref="L98">_xlfn.IFS('ProductSprint Backlog'!$F98="", "", AND('ProductSprint Backlog'!$J98&gt;L$2,'ProductSprint Backlog'!$I98&lt;=L$2), 'ProductSprint Backlog'!$F98 / MAX(1, 'ProductSprint Backlog'!$J98-'ProductSprint Backlog'!$I98), AND('ProductSprint Backlog'!$J98=L$2,'ProductSprint Backlog'!$I98=L$2), 'ProductSprint Backlog'!$F98, TRUE, 0)</f>
        <v>0</v>
      </c>
      <c r="M98" s="4" cm="1">
        <f t="array" ref="M98">_xlfn.IFS('ProductSprint Backlog'!$F98="", "", AND('ProductSprint Backlog'!$J98&gt;M$2,'ProductSprint Backlog'!$I98&lt;=M$2), 'ProductSprint Backlog'!$F98 / MAX(1, 'ProductSprint Backlog'!$J98-'ProductSprint Backlog'!$I98), AND('ProductSprint Backlog'!$J98=M$2,'ProductSprint Backlog'!$I98=M$2), 'ProductSprint Backlog'!$F98, TRUE, 0)</f>
        <v>0</v>
      </c>
      <c r="N98" s="4" cm="1">
        <f t="array" ref="N98">_xlfn.IFS('ProductSprint Backlog'!$F98="", "", AND('ProductSprint Backlog'!$J98&gt;N$2,'ProductSprint Backlog'!$I98&lt;=N$2), 'ProductSprint Backlog'!$F98 / MAX(1, 'ProductSprint Backlog'!$J98-'ProductSprint Backlog'!$I98), AND('ProductSprint Backlog'!$J98=N$2,'ProductSprint Backlog'!$I98=N$2), 'ProductSprint Backlog'!$F98, TRUE, 0)</f>
        <v>0</v>
      </c>
      <c r="O98" s="4" cm="1">
        <f t="array" ref="O98">_xlfn.IFS('ProductSprint Backlog'!$F98="", "", AND('ProductSprint Backlog'!$J98&gt;O$2,'ProductSprint Backlog'!$I98&lt;=O$2), 'ProductSprint Backlog'!$F98 / MAX(1, 'ProductSprint Backlog'!$J98-'ProductSprint Backlog'!$I98), AND('ProductSprint Backlog'!$J98=O$2,'ProductSprint Backlog'!$I98=O$2), 'ProductSprint Backlog'!$F98, TRUE, 0)</f>
        <v>0</v>
      </c>
      <c r="P98" s="4" cm="1">
        <f t="array" ref="P98">_xlfn.IFS('ProductSprint Backlog'!$F98="", "", AND('ProductSprint Backlog'!$J98&gt;P$2,'ProductSprint Backlog'!$I98&lt;=P$2), 'ProductSprint Backlog'!$F98 / MAX(1, 'ProductSprint Backlog'!$J98-'ProductSprint Backlog'!$I98), AND('ProductSprint Backlog'!$J98=P$2,'ProductSprint Backlog'!$I98=P$2), 'ProductSprint Backlog'!$F98, TRUE, 0)</f>
        <v>0</v>
      </c>
      <c r="Q98" s="4" cm="1">
        <f t="array" ref="Q98">_xlfn.IFS('ProductSprint Backlog'!$F98="", "", AND('ProductSprint Backlog'!$J98&gt;Q$2,'ProductSprint Backlog'!$I98&lt;=Q$2), 'ProductSprint Backlog'!$F98 / MAX(1, 'ProductSprint Backlog'!$J98-'ProductSprint Backlog'!$I98), AND('ProductSprint Backlog'!$J98=Q$2,'ProductSprint Backlog'!$I98=Q$2), 'ProductSprint Backlog'!$F98, TRUE, 0)</f>
        <v>0</v>
      </c>
    </row>
    <row r="99" spans="2:17" x14ac:dyDescent="0.2">
      <c r="B99" s="4" cm="1">
        <f t="array" ref="B99">_xlfn.IFS('ProductSprint Backlog'!$F99="", "", AND('ProductSprint Backlog'!$J99&gt;B$2,'ProductSprint Backlog'!$I99&lt;=B$2), 'ProductSprint Backlog'!$F99 / MAX(1, 'ProductSprint Backlog'!$J99-'ProductSprint Backlog'!$I99), AND('ProductSprint Backlog'!$J99=B$2,'ProductSprint Backlog'!$I99=B$2), 'ProductSprint Backlog'!$F99, TRUE, 0)</f>
        <v>0</v>
      </c>
      <c r="C99" s="4" cm="1">
        <f t="array" ref="C99">_xlfn.IFS('ProductSprint Backlog'!$F99="", "", AND('ProductSprint Backlog'!$J99&gt;C$2,'ProductSprint Backlog'!$I99&lt;=C$2), 'ProductSprint Backlog'!$F99 / MAX(1, 'ProductSprint Backlog'!$J99-'ProductSprint Backlog'!$I99), AND('ProductSprint Backlog'!$J99=C$2,'ProductSprint Backlog'!$I99=C$2), 'ProductSprint Backlog'!$F99, TRUE, 0)</f>
        <v>0</v>
      </c>
      <c r="D99" s="4" cm="1">
        <f t="array" ref="D99">_xlfn.IFS('ProductSprint Backlog'!$F99="", "", AND('ProductSprint Backlog'!$J99&gt;D$2,'ProductSprint Backlog'!$I99&lt;=D$2), 'ProductSprint Backlog'!$F99 / MAX(1, 'ProductSprint Backlog'!$J99-'ProductSprint Backlog'!$I99), AND('ProductSprint Backlog'!$J99=D$2,'ProductSprint Backlog'!$I99=D$2), 'ProductSprint Backlog'!$F99, TRUE, 0)</f>
        <v>0</v>
      </c>
      <c r="E99" s="4" cm="1">
        <f t="array" ref="E99">_xlfn.IFS('ProductSprint Backlog'!$F99="", "", AND('ProductSprint Backlog'!$J99&gt;E$2,'ProductSprint Backlog'!$I99&lt;=E$2), 'ProductSprint Backlog'!$F99 / MAX(1, 'ProductSprint Backlog'!$J99-'ProductSprint Backlog'!$I99), AND('ProductSprint Backlog'!$J99=E$2,'ProductSprint Backlog'!$I99=E$2), 'ProductSprint Backlog'!$F99, TRUE, 0)</f>
        <v>0</v>
      </c>
      <c r="F99" s="4" cm="1">
        <f t="array" ref="F99">_xlfn.IFS('ProductSprint Backlog'!$F99="", "", AND('ProductSprint Backlog'!$J99&gt;F$2,'ProductSprint Backlog'!$I99&lt;=F$2), 'ProductSprint Backlog'!$F99 / MAX(1, 'ProductSprint Backlog'!$J99-'ProductSprint Backlog'!$I99), AND('ProductSprint Backlog'!$J99=F$2,'ProductSprint Backlog'!$I99=F$2), 'ProductSprint Backlog'!$F99, TRUE, 0)</f>
        <v>0</v>
      </c>
      <c r="G99" s="4" cm="1">
        <f t="array" ref="G99">_xlfn.IFS('ProductSprint Backlog'!$F99="", "", AND('ProductSprint Backlog'!$J99&gt;G$2,'ProductSprint Backlog'!$I99&lt;=G$2), 'ProductSprint Backlog'!$F99 / MAX(1, 'ProductSprint Backlog'!$J99-'ProductSprint Backlog'!$I99), AND('ProductSprint Backlog'!$J99=G$2,'ProductSprint Backlog'!$I99=G$2), 'ProductSprint Backlog'!$F99, TRUE, 0)</f>
        <v>0</v>
      </c>
      <c r="H99" s="4" cm="1">
        <f t="array" ref="H99">_xlfn.IFS('ProductSprint Backlog'!$F99="", "", AND('ProductSprint Backlog'!$J99&gt;H$2,'ProductSprint Backlog'!$I99&lt;=H$2), 'ProductSprint Backlog'!$F99 / MAX(1, 'ProductSprint Backlog'!$J99-'ProductSprint Backlog'!$I99), AND('ProductSprint Backlog'!$J99=H$2,'ProductSprint Backlog'!$I99=H$2), 'ProductSprint Backlog'!$F99, TRUE, 0)</f>
        <v>0</v>
      </c>
      <c r="I99" s="4" cm="1">
        <f t="array" ref="I99">_xlfn.IFS('ProductSprint Backlog'!$F99="", "", AND('ProductSprint Backlog'!$J99&gt;I$2,'ProductSprint Backlog'!$I99&lt;=I$2), 'ProductSprint Backlog'!$F99 / MAX(1, 'ProductSprint Backlog'!$J99-'ProductSprint Backlog'!$I99), AND('ProductSprint Backlog'!$J99=I$2,'ProductSprint Backlog'!$I99=I$2), 'ProductSprint Backlog'!$F99, TRUE, 0)</f>
        <v>0</v>
      </c>
      <c r="J99" s="4" cm="1">
        <f t="array" ref="J99">_xlfn.IFS('ProductSprint Backlog'!$F99="", "", AND('ProductSprint Backlog'!$J99&gt;J$2,'ProductSprint Backlog'!$I99&lt;=J$2), 'ProductSprint Backlog'!$F99 / MAX(1, 'ProductSprint Backlog'!$J99-'ProductSprint Backlog'!$I99), AND('ProductSprint Backlog'!$J99=J$2,'ProductSprint Backlog'!$I99=J$2), 'ProductSprint Backlog'!$F99, TRUE, 0)</f>
        <v>0</v>
      </c>
      <c r="K99" s="4" cm="1">
        <f t="array" ref="K99">_xlfn.IFS('ProductSprint Backlog'!$F99="", "", AND('ProductSprint Backlog'!$J99&gt;K$2,'ProductSprint Backlog'!$I99&lt;=K$2), 'ProductSprint Backlog'!$F99 / MAX(1, 'ProductSprint Backlog'!$J99-'ProductSprint Backlog'!$I99), AND('ProductSprint Backlog'!$J99=K$2,'ProductSprint Backlog'!$I99=K$2), 'ProductSprint Backlog'!$F99, TRUE, 0)</f>
        <v>0</v>
      </c>
      <c r="L99" s="4" cm="1">
        <f t="array" ref="L99">_xlfn.IFS('ProductSprint Backlog'!$F99="", "", AND('ProductSprint Backlog'!$J99&gt;L$2,'ProductSprint Backlog'!$I99&lt;=L$2), 'ProductSprint Backlog'!$F99 / MAX(1, 'ProductSprint Backlog'!$J99-'ProductSprint Backlog'!$I99), AND('ProductSprint Backlog'!$J99=L$2,'ProductSprint Backlog'!$I99=L$2), 'ProductSprint Backlog'!$F99, TRUE, 0)</f>
        <v>0</v>
      </c>
      <c r="M99" s="4" cm="1">
        <f t="array" ref="M99">_xlfn.IFS('ProductSprint Backlog'!$F99="", "", AND('ProductSprint Backlog'!$J99&gt;M$2,'ProductSprint Backlog'!$I99&lt;=M$2), 'ProductSprint Backlog'!$F99 / MAX(1, 'ProductSprint Backlog'!$J99-'ProductSprint Backlog'!$I99), AND('ProductSprint Backlog'!$J99=M$2,'ProductSprint Backlog'!$I99=M$2), 'ProductSprint Backlog'!$F99, TRUE, 0)</f>
        <v>0</v>
      </c>
      <c r="N99" s="4" cm="1">
        <f t="array" ref="N99">_xlfn.IFS('ProductSprint Backlog'!$F99="", "", AND('ProductSprint Backlog'!$J99&gt;N$2,'ProductSprint Backlog'!$I99&lt;=N$2), 'ProductSprint Backlog'!$F99 / MAX(1, 'ProductSprint Backlog'!$J99-'ProductSprint Backlog'!$I99), AND('ProductSprint Backlog'!$J99=N$2,'ProductSprint Backlog'!$I99=N$2), 'ProductSprint Backlog'!$F99, TRUE, 0)</f>
        <v>0</v>
      </c>
      <c r="O99" s="4" cm="1">
        <f t="array" ref="O99">_xlfn.IFS('ProductSprint Backlog'!$F99="", "", AND('ProductSprint Backlog'!$J99&gt;O$2,'ProductSprint Backlog'!$I99&lt;=O$2), 'ProductSprint Backlog'!$F99 / MAX(1, 'ProductSprint Backlog'!$J99-'ProductSprint Backlog'!$I99), AND('ProductSprint Backlog'!$J99=O$2,'ProductSprint Backlog'!$I99=O$2), 'ProductSprint Backlog'!$F99, TRUE, 0)</f>
        <v>0</v>
      </c>
      <c r="P99" s="4" cm="1">
        <f t="array" ref="P99">_xlfn.IFS('ProductSprint Backlog'!$F99="", "", AND('ProductSprint Backlog'!$J99&gt;P$2,'ProductSprint Backlog'!$I99&lt;=P$2), 'ProductSprint Backlog'!$F99 / MAX(1, 'ProductSprint Backlog'!$J99-'ProductSprint Backlog'!$I99), AND('ProductSprint Backlog'!$J99=P$2,'ProductSprint Backlog'!$I99=P$2), 'ProductSprint Backlog'!$F99, TRUE, 0)</f>
        <v>0</v>
      </c>
      <c r="Q99" s="4" cm="1">
        <f t="array" ref="Q99">_xlfn.IFS('ProductSprint Backlog'!$F99="", "", AND('ProductSprint Backlog'!$J99&gt;Q$2,'ProductSprint Backlog'!$I99&lt;=Q$2), 'ProductSprint Backlog'!$F99 / MAX(1, 'ProductSprint Backlog'!$J99-'ProductSprint Backlog'!$I99), AND('ProductSprint Backlog'!$J99=Q$2,'ProductSprint Backlog'!$I99=Q$2), 'ProductSprint Backlog'!$F99, TRUE, 0)</f>
        <v>0</v>
      </c>
    </row>
    <row r="100" spans="2:17" x14ac:dyDescent="0.2">
      <c r="B100" s="4" cm="1">
        <f t="array" ref="B100">_xlfn.IFS('ProductSprint Backlog'!$F100="", "", AND('ProductSprint Backlog'!$J100&gt;B$2,'ProductSprint Backlog'!$I100&lt;=B$2), 'ProductSprint Backlog'!$F100 / MAX(1, 'ProductSprint Backlog'!$J100-'ProductSprint Backlog'!$I100), AND('ProductSprint Backlog'!$J100=B$2,'ProductSprint Backlog'!$I100=B$2), 'ProductSprint Backlog'!$F100, TRUE, 0)</f>
        <v>0</v>
      </c>
      <c r="C100" s="4" cm="1">
        <f t="array" ref="C100">_xlfn.IFS('ProductSprint Backlog'!$F100="", "", AND('ProductSprint Backlog'!$J100&gt;C$2,'ProductSprint Backlog'!$I100&lt;=C$2), 'ProductSprint Backlog'!$F100 / MAX(1, 'ProductSprint Backlog'!$J100-'ProductSprint Backlog'!$I100), AND('ProductSprint Backlog'!$J100=C$2,'ProductSprint Backlog'!$I100=C$2), 'ProductSprint Backlog'!$F100, TRUE, 0)</f>
        <v>0</v>
      </c>
      <c r="D100" s="4" cm="1">
        <f t="array" ref="D100">_xlfn.IFS('ProductSprint Backlog'!$F100="", "", AND('ProductSprint Backlog'!$J100&gt;D$2,'ProductSprint Backlog'!$I100&lt;=D$2), 'ProductSprint Backlog'!$F100 / MAX(1, 'ProductSprint Backlog'!$J100-'ProductSprint Backlog'!$I100), AND('ProductSprint Backlog'!$J100=D$2,'ProductSprint Backlog'!$I100=D$2), 'ProductSprint Backlog'!$F100, TRUE, 0)</f>
        <v>0</v>
      </c>
      <c r="E100" s="4" cm="1">
        <f t="array" ref="E100">_xlfn.IFS('ProductSprint Backlog'!$F100="", "", AND('ProductSprint Backlog'!$J100&gt;E$2,'ProductSprint Backlog'!$I100&lt;=E$2), 'ProductSprint Backlog'!$F100 / MAX(1, 'ProductSprint Backlog'!$J100-'ProductSprint Backlog'!$I100), AND('ProductSprint Backlog'!$J100=E$2,'ProductSprint Backlog'!$I100=E$2), 'ProductSprint Backlog'!$F100, TRUE, 0)</f>
        <v>0</v>
      </c>
      <c r="F100" s="4" cm="1">
        <f t="array" ref="F100">_xlfn.IFS('ProductSprint Backlog'!$F100="", "", AND('ProductSprint Backlog'!$J100&gt;F$2,'ProductSprint Backlog'!$I100&lt;=F$2), 'ProductSprint Backlog'!$F100 / MAX(1, 'ProductSprint Backlog'!$J100-'ProductSprint Backlog'!$I100), AND('ProductSprint Backlog'!$J100=F$2,'ProductSprint Backlog'!$I100=F$2), 'ProductSprint Backlog'!$F100, TRUE, 0)</f>
        <v>0</v>
      </c>
      <c r="G100" s="4" cm="1">
        <f t="array" ref="G100">_xlfn.IFS('ProductSprint Backlog'!$F100="", "", AND('ProductSprint Backlog'!$J100&gt;G$2,'ProductSprint Backlog'!$I100&lt;=G$2), 'ProductSprint Backlog'!$F100 / MAX(1, 'ProductSprint Backlog'!$J100-'ProductSprint Backlog'!$I100), AND('ProductSprint Backlog'!$J100=G$2,'ProductSprint Backlog'!$I100=G$2), 'ProductSprint Backlog'!$F100, TRUE, 0)</f>
        <v>0</v>
      </c>
      <c r="H100" s="4" cm="1">
        <f t="array" ref="H100">_xlfn.IFS('ProductSprint Backlog'!$F100="", "", AND('ProductSprint Backlog'!$J100&gt;H$2,'ProductSprint Backlog'!$I100&lt;=H$2), 'ProductSprint Backlog'!$F100 / MAX(1, 'ProductSprint Backlog'!$J100-'ProductSprint Backlog'!$I100), AND('ProductSprint Backlog'!$J100=H$2,'ProductSprint Backlog'!$I100=H$2), 'ProductSprint Backlog'!$F100, TRUE, 0)</f>
        <v>0</v>
      </c>
      <c r="I100" s="4" cm="1">
        <f t="array" ref="I100">_xlfn.IFS('ProductSprint Backlog'!$F100="", "", AND('ProductSprint Backlog'!$J100&gt;I$2,'ProductSprint Backlog'!$I100&lt;=I$2), 'ProductSprint Backlog'!$F100 / MAX(1, 'ProductSprint Backlog'!$J100-'ProductSprint Backlog'!$I100), AND('ProductSprint Backlog'!$J100=I$2,'ProductSprint Backlog'!$I100=I$2), 'ProductSprint Backlog'!$F100, TRUE, 0)</f>
        <v>0</v>
      </c>
      <c r="J100" s="4" cm="1">
        <f t="array" ref="J100">_xlfn.IFS('ProductSprint Backlog'!$F100="", "", AND('ProductSprint Backlog'!$J100&gt;J$2,'ProductSprint Backlog'!$I100&lt;=J$2), 'ProductSprint Backlog'!$F100 / MAX(1, 'ProductSprint Backlog'!$J100-'ProductSprint Backlog'!$I100), AND('ProductSprint Backlog'!$J100=J$2,'ProductSprint Backlog'!$I100=J$2), 'ProductSprint Backlog'!$F100, TRUE, 0)</f>
        <v>0</v>
      </c>
      <c r="K100" s="4" cm="1">
        <f t="array" ref="K100">_xlfn.IFS('ProductSprint Backlog'!$F100="", "", AND('ProductSprint Backlog'!$J100&gt;K$2,'ProductSprint Backlog'!$I100&lt;=K$2), 'ProductSprint Backlog'!$F100 / MAX(1, 'ProductSprint Backlog'!$J100-'ProductSprint Backlog'!$I100), AND('ProductSprint Backlog'!$J100=K$2,'ProductSprint Backlog'!$I100=K$2), 'ProductSprint Backlog'!$F100, TRUE, 0)</f>
        <v>0</v>
      </c>
      <c r="L100" s="4" cm="1">
        <f t="array" ref="L100">_xlfn.IFS('ProductSprint Backlog'!$F100="", "", AND('ProductSprint Backlog'!$J100&gt;L$2,'ProductSprint Backlog'!$I100&lt;=L$2), 'ProductSprint Backlog'!$F100 / MAX(1, 'ProductSprint Backlog'!$J100-'ProductSprint Backlog'!$I100), AND('ProductSprint Backlog'!$J100=L$2,'ProductSprint Backlog'!$I100=L$2), 'ProductSprint Backlog'!$F100, TRUE, 0)</f>
        <v>0</v>
      </c>
      <c r="M100" s="4" cm="1">
        <f t="array" ref="M100">_xlfn.IFS('ProductSprint Backlog'!$F100="", "", AND('ProductSprint Backlog'!$J100&gt;M$2,'ProductSprint Backlog'!$I100&lt;=M$2), 'ProductSprint Backlog'!$F100 / MAX(1, 'ProductSprint Backlog'!$J100-'ProductSprint Backlog'!$I100), AND('ProductSprint Backlog'!$J100=M$2,'ProductSprint Backlog'!$I100=M$2), 'ProductSprint Backlog'!$F100, TRUE, 0)</f>
        <v>0</v>
      </c>
      <c r="N100" s="4" cm="1">
        <f t="array" ref="N100">_xlfn.IFS('ProductSprint Backlog'!$F100="", "", AND('ProductSprint Backlog'!$J100&gt;N$2,'ProductSprint Backlog'!$I100&lt;=N$2), 'ProductSprint Backlog'!$F100 / MAX(1, 'ProductSprint Backlog'!$J100-'ProductSprint Backlog'!$I100), AND('ProductSprint Backlog'!$J100=N$2,'ProductSprint Backlog'!$I100=N$2), 'ProductSprint Backlog'!$F100, TRUE, 0)</f>
        <v>0</v>
      </c>
      <c r="O100" s="4" cm="1">
        <f t="array" ref="O100">_xlfn.IFS('ProductSprint Backlog'!$F100="", "", AND('ProductSprint Backlog'!$J100&gt;O$2,'ProductSprint Backlog'!$I100&lt;=O$2), 'ProductSprint Backlog'!$F100 / MAX(1, 'ProductSprint Backlog'!$J100-'ProductSprint Backlog'!$I100), AND('ProductSprint Backlog'!$J100=O$2,'ProductSprint Backlog'!$I100=O$2), 'ProductSprint Backlog'!$F100, TRUE, 0)</f>
        <v>0</v>
      </c>
      <c r="P100" s="4" cm="1">
        <f t="array" ref="P100">_xlfn.IFS('ProductSprint Backlog'!$F100="", "", AND('ProductSprint Backlog'!$J100&gt;P$2,'ProductSprint Backlog'!$I100&lt;=P$2), 'ProductSprint Backlog'!$F100 / MAX(1, 'ProductSprint Backlog'!$J100-'ProductSprint Backlog'!$I100), AND('ProductSprint Backlog'!$J100=P$2,'ProductSprint Backlog'!$I100=P$2), 'ProductSprint Backlog'!$F100, TRUE, 0)</f>
        <v>0</v>
      </c>
      <c r="Q100" s="4" cm="1">
        <f t="array" ref="Q100">_xlfn.IFS('ProductSprint Backlog'!$F100="", "", AND('ProductSprint Backlog'!$J100&gt;Q$2,'ProductSprint Backlog'!$I100&lt;=Q$2), 'ProductSprint Backlog'!$F100 / MAX(1, 'ProductSprint Backlog'!$J100-'ProductSprint Backlog'!$I100), AND('ProductSprint Backlog'!$J100=Q$2,'ProductSprint Backlog'!$I100=Q$2), 'ProductSprint Backlog'!$F100, TRUE, 0)</f>
        <v>0</v>
      </c>
    </row>
    <row r="101" spans="2:17" x14ac:dyDescent="0.2">
      <c r="B101" s="4" cm="1">
        <f t="array" ref="B101">_xlfn.IFS('ProductSprint Backlog'!$F101="", "", AND('ProductSprint Backlog'!$J101&gt;B$2,'ProductSprint Backlog'!$I101&lt;=B$2), 'ProductSprint Backlog'!$F101 / MAX(1, 'ProductSprint Backlog'!$J101-'ProductSprint Backlog'!$I101), AND('ProductSprint Backlog'!$J101=B$2,'ProductSprint Backlog'!$I101=B$2), 'ProductSprint Backlog'!$F101, TRUE, 0)</f>
        <v>0</v>
      </c>
      <c r="C101" s="4" cm="1">
        <f t="array" ref="C101">_xlfn.IFS('ProductSprint Backlog'!$F101="", "", AND('ProductSprint Backlog'!$J101&gt;C$2,'ProductSprint Backlog'!$I101&lt;=C$2), 'ProductSprint Backlog'!$F101 / MAX(1, 'ProductSprint Backlog'!$J101-'ProductSprint Backlog'!$I101), AND('ProductSprint Backlog'!$J101=C$2,'ProductSprint Backlog'!$I101=C$2), 'ProductSprint Backlog'!$F101, TRUE, 0)</f>
        <v>0</v>
      </c>
      <c r="D101" s="4" cm="1">
        <f t="array" ref="D101">_xlfn.IFS('ProductSprint Backlog'!$F101="", "", AND('ProductSprint Backlog'!$J101&gt;D$2,'ProductSprint Backlog'!$I101&lt;=D$2), 'ProductSprint Backlog'!$F101 / MAX(1, 'ProductSprint Backlog'!$J101-'ProductSprint Backlog'!$I101), AND('ProductSprint Backlog'!$J101=D$2,'ProductSprint Backlog'!$I101=D$2), 'ProductSprint Backlog'!$F101, TRUE, 0)</f>
        <v>0</v>
      </c>
      <c r="E101" s="4" cm="1">
        <f t="array" ref="E101">_xlfn.IFS('ProductSprint Backlog'!$F101="", "", AND('ProductSprint Backlog'!$J101&gt;E$2,'ProductSprint Backlog'!$I101&lt;=E$2), 'ProductSprint Backlog'!$F101 / MAX(1, 'ProductSprint Backlog'!$J101-'ProductSprint Backlog'!$I101), AND('ProductSprint Backlog'!$J101=E$2,'ProductSprint Backlog'!$I101=E$2), 'ProductSprint Backlog'!$F101, TRUE, 0)</f>
        <v>0</v>
      </c>
      <c r="F101" s="4" cm="1">
        <f t="array" ref="F101">_xlfn.IFS('ProductSprint Backlog'!$F101="", "", AND('ProductSprint Backlog'!$J101&gt;F$2,'ProductSprint Backlog'!$I101&lt;=F$2), 'ProductSprint Backlog'!$F101 / MAX(1, 'ProductSprint Backlog'!$J101-'ProductSprint Backlog'!$I101), AND('ProductSprint Backlog'!$J101=F$2,'ProductSprint Backlog'!$I101=F$2), 'ProductSprint Backlog'!$F101, TRUE, 0)</f>
        <v>0</v>
      </c>
      <c r="G101" s="4" cm="1">
        <f t="array" ref="G101">_xlfn.IFS('ProductSprint Backlog'!$F101="", "", AND('ProductSprint Backlog'!$J101&gt;G$2,'ProductSprint Backlog'!$I101&lt;=G$2), 'ProductSprint Backlog'!$F101 / MAX(1, 'ProductSprint Backlog'!$J101-'ProductSprint Backlog'!$I101), AND('ProductSprint Backlog'!$J101=G$2,'ProductSprint Backlog'!$I101=G$2), 'ProductSprint Backlog'!$F101, TRUE, 0)</f>
        <v>0</v>
      </c>
      <c r="H101" s="4" cm="1">
        <f t="array" ref="H101">_xlfn.IFS('ProductSprint Backlog'!$F101="", "", AND('ProductSprint Backlog'!$J101&gt;H$2,'ProductSprint Backlog'!$I101&lt;=H$2), 'ProductSprint Backlog'!$F101 / MAX(1, 'ProductSprint Backlog'!$J101-'ProductSprint Backlog'!$I101), AND('ProductSprint Backlog'!$J101=H$2,'ProductSprint Backlog'!$I101=H$2), 'ProductSprint Backlog'!$F101, TRUE, 0)</f>
        <v>0</v>
      </c>
      <c r="I101" s="4" cm="1">
        <f t="array" ref="I101">_xlfn.IFS('ProductSprint Backlog'!$F101="", "", AND('ProductSprint Backlog'!$J101&gt;I$2,'ProductSprint Backlog'!$I101&lt;=I$2), 'ProductSprint Backlog'!$F101 / MAX(1, 'ProductSprint Backlog'!$J101-'ProductSprint Backlog'!$I101), AND('ProductSprint Backlog'!$J101=I$2,'ProductSprint Backlog'!$I101=I$2), 'ProductSprint Backlog'!$F101, TRUE, 0)</f>
        <v>0</v>
      </c>
      <c r="J101" s="4" cm="1">
        <f t="array" ref="J101">_xlfn.IFS('ProductSprint Backlog'!$F101="", "", AND('ProductSprint Backlog'!$J101&gt;J$2,'ProductSprint Backlog'!$I101&lt;=J$2), 'ProductSprint Backlog'!$F101 / MAX(1, 'ProductSprint Backlog'!$J101-'ProductSprint Backlog'!$I101), AND('ProductSprint Backlog'!$J101=J$2,'ProductSprint Backlog'!$I101=J$2), 'ProductSprint Backlog'!$F101, TRUE, 0)</f>
        <v>0</v>
      </c>
      <c r="K101" s="4" cm="1">
        <f t="array" ref="K101">_xlfn.IFS('ProductSprint Backlog'!$F101="", "", AND('ProductSprint Backlog'!$J101&gt;K$2,'ProductSprint Backlog'!$I101&lt;=K$2), 'ProductSprint Backlog'!$F101 / MAX(1, 'ProductSprint Backlog'!$J101-'ProductSprint Backlog'!$I101), AND('ProductSprint Backlog'!$J101=K$2,'ProductSprint Backlog'!$I101=K$2), 'ProductSprint Backlog'!$F101, TRUE, 0)</f>
        <v>0</v>
      </c>
      <c r="L101" s="4" cm="1">
        <f t="array" ref="L101">_xlfn.IFS('ProductSprint Backlog'!$F101="", "", AND('ProductSprint Backlog'!$J101&gt;L$2,'ProductSprint Backlog'!$I101&lt;=L$2), 'ProductSprint Backlog'!$F101 / MAX(1, 'ProductSprint Backlog'!$J101-'ProductSprint Backlog'!$I101), AND('ProductSprint Backlog'!$J101=L$2,'ProductSprint Backlog'!$I101=L$2), 'ProductSprint Backlog'!$F101, TRUE, 0)</f>
        <v>0</v>
      </c>
      <c r="M101" s="4" cm="1">
        <f t="array" ref="M101">_xlfn.IFS('ProductSprint Backlog'!$F101="", "", AND('ProductSprint Backlog'!$J101&gt;M$2,'ProductSprint Backlog'!$I101&lt;=M$2), 'ProductSprint Backlog'!$F101 / MAX(1, 'ProductSprint Backlog'!$J101-'ProductSprint Backlog'!$I101), AND('ProductSprint Backlog'!$J101=M$2,'ProductSprint Backlog'!$I101=M$2), 'ProductSprint Backlog'!$F101, TRUE, 0)</f>
        <v>0</v>
      </c>
      <c r="N101" s="4" cm="1">
        <f t="array" ref="N101">_xlfn.IFS('ProductSprint Backlog'!$F101="", "", AND('ProductSprint Backlog'!$J101&gt;N$2,'ProductSprint Backlog'!$I101&lt;=N$2), 'ProductSprint Backlog'!$F101 / MAX(1, 'ProductSprint Backlog'!$J101-'ProductSprint Backlog'!$I101), AND('ProductSprint Backlog'!$J101=N$2,'ProductSprint Backlog'!$I101=N$2), 'ProductSprint Backlog'!$F101, TRUE, 0)</f>
        <v>0</v>
      </c>
      <c r="O101" s="4" cm="1">
        <f t="array" ref="O101">_xlfn.IFS('ProductSprint Backlog'!$F101="", "", AND('ProductSprint Backlog'!$J101&gt;O$2,'ProductSprint Backlog'!$I101&lt;=O$2), 'ProductSprint Backlog'!$F101 / MAX(1, 'ProductSprint Backlog'!$J101-'ProductSprint Backlog'!$I101), AND('ProductSprint Backlog'!$J101=O$2,'ProductSprint Backlog'!$I101=O$2), 'ProductSprint Backlog'!$F101, TRUE, 0)</f>
        <v>0</v>
      </c>
      <c r="P101" s="4" cm="1">
        <f t="array" ref="P101">_xlfn.IFS('ProductSprint Backlog'!$F101="", "", AND('ProductSprint Backlog'!$J101&gt;P$2,'ProductSprint Backlog'!$I101&lt;=P$2), 'ProductSprint Backlog'!$F101 / MAX(1, 'ProductSprint Backlog'!$J101-'ProductSprint Backlog'!$I101), AND('ProductSprint Backlog'!$J101=P$2,'ProductSprint Backlog'!$I101=P$2), 'ProductSprint Backlog'!$F101, TRUE, 0)</f>
        <v>0</v>
      </c>
      <c r="Q101" s="4" cm="1">
        <f t="array" ref="Q101">_xlfn.IFS('ProductSprint Backlog'!$F101="", "", AND('ProductSprint Backlog'!$J101&gt;Q$2,'ProductSprint Backlog'!$I101&lt;=Q$2), 'ProductSprint Backlog'!$F101 / MAX(1, 'ProductSprint Backlog'!$J101-'ProductSprint Backlog'!$I101), AND('ProductSprint Backlog'!$J101=Q$2,'ProductSprint Backlog'!$I101=Q$2), 'ProductSprint Backlog'!$F101, TRUE, 0)</f>
        <v>0</v>
      </c>
    </row>
    <row r="102" spans="2:17" x14ac:dyDescent="0.2">
      <c r="B102" s="4" cm="1">
        <f t="array" ref="B102">_xlfn.IFS('ProductSprint Backlog'!$F102="", "", AND('ProductSprint Backlog'!$J102&gt;B$2,'ProductSprint Backlog'!$I102&lt;=B$2), 'ProductSprint Backlog'!$F102 / MAX(1, 'ProductSprint Backlog'!$J102-'ProductSprint Backlog'!$I102), AND('ProductSprint Backlog'!$J102=B$2,'ProductSprint Backlog'!$I102=B$2), 'ProductSprint Backlog'!$F102, TRUE, 0)</f>
        <v>0</v>
      </c>
      <c r="C102" s="4" cm="1">
        <f t="array" ref="C102">_xlfn.IFS('ProductSprint Backlog'!$F102="", "", AND('ProductSprint Backlog'!$J102&gt;C$2,'ProductSprint Backlog'!$I102&lt;=C$2), 'ProductSprint Backlog'!$F102 / MAX(1, 'ProductSprint Backlog'!$J102-'ProductSprint Backlog'!$I102), AND('ProductSprint Backlog'!$J102=C$2,'ProductSprint Backlog'!$I102=C$2), 'ProductSprint Backlog'!$F102, TRUE, 0)</f>
        <v>0</v>
      </c>
      <c r="D102" s="4" cm="1">
        <f t="array" ref="D102">_xlfn.IFS('ProductSprint Backlog'!$F102="", "", AND('ProductSprint Backlog'!$J102&gt;D$2,'ProductSprint Backlog'!$I102&lt;=D$2), 'ProductSprint Backlog'!$F102 / MAX(1, 'ProductSprint Backlog'!$J102-'ProductSprint Backlog'!$I102), AND('ProductSprint Backlog'!$J102=D$2,'ProductSprint Backlog'!$I102=D$2), 'ProductSprint Backlog'!$F102, TRUE, 0)</f>
        <v>0</v>
      </c>
      <c r="E102" s="4" cm="1">
        <f t="array" ref="E102">_xlfn.IFS('ProductSprint Backlog'!$F102="", "", AND('ProductSprint Backlog'!$J102&gt;E$2,'ProductSprint Backlog'!$I102&lt;=E$2), 'ProductSprint Backlog'!$F102 / MAX(1, 'ProductSprint Backlog'!$J102-'ProductSprint Backlog'!$I102), AND('ProductSprint Backlog'!$J102=E$2,'ProductSprint Backlog'!$I102=E$2), 'ProductSprint Backlog'!$F102, TRUE, 0)</f>
        <v>0</v>
      </c>
      <c r="F102" s="4" cm="1">
        <f t="array" ref="F102">_xlfn.IFS('ProductSprint Backlog'!$F102="", "", AND('ProductSprint Backlog'!$J102&gt;F$2,'ProductSprint Backlog'!$I102&lt;=F$2), 'ProductSprint Backlog'!$F102 / MAX(1, 'ProductSprint Backlog'!$J102-'ProductSprint Backlog'!$I102), AND('ProductSprint Backlog'!$J102=F$2,'ProductSprint Backlog'!$I102=F$2), 'ProductSprint Backlog'!$F102, TRUE, 0)</f>
        <v>0</v>
      </c>
      <c r="G102" s="4" cm="1">
        <f t="array" ref="G102">_xlfn.IFS('ProductSprint Backlog'!$F102="", "", AND('ProductSprint Backlog'!$J102&gt;G$2,'ProductSprint Backlog'!$I102&lt;=G$2), 'ProductSprint Backlog'!$F102 / MAX(1, 'ProductSprint Backlog'!$J102-'ProductSprint Backlog'!$I102), AND('ProductSprint Backlog'!$J102=G$2,'ProductSprint Backlog'!$I102=G$2), 'ProductSprint Backlog'!$F102, TRUE, 0)</f>
        <v>0</v>
      </c>
      <c r="H102" s="4" cm="1">
        <f t="array" ref="H102">_xlfn.IFS('ProductSprint Backlog'!$F102="", "", AND('ProductSprint Backlog'!$J102&gt;H$2,'ProductSprint Backlog'!$I102&lt;=H$2), 'ProductSprint Backlog'!$F102 / MAX(1, 'ProductSprint Backlog'!$J102-'ProductSprint Backlog'!$I102), AND('ProductSprint Backlog'!$J102=H$2,'ProductSprint Backlog'!$I102=H$2), 'ProductSprint Backlog'!$F102, TRUE, 0)</f>
        <v>0</v>
      </c>
      <c r="I102" s="4" cm="1">
        <f t="array" ref="I102">_xlfn.IFS('ProductSprint Backlog'!$F102="", "", AND('ProductSprint Backlog'!$J102&gt;I$2,'ProductSprint Backlog'!$I102&lt;=I$2), 'ProductSprint Backlog'!$F102 / MAX(1, 'ProductSprint Backlog'!$J102-'ProductSprint Backlog'!$I102), AND('ProductSprint Backlog'!$J102=I$2,'ProductSprint Backlog'!$I102=I$2), 'ProductSprint Backlog'!$F102, TRUE, 0)</f>
        <v>0</v>
      </c>
      <c r="J102" s="4" cm="1">
        <f t="array" ref="J102">_xlfn.IFS('ProductSprint Backlog'!$F102="", "", AND('ProductSprint Backlog'!$J102&gt;J$2,'ProductSprint Backlog'!$I102&lt;=J$2), 'ProductSprint Backlog'!$F102 / MAX(1, 'ProductSprint Backlog'!$J102-'ProductSprint Backlog'!$I102), AND('ProductSprint Backlog'!$J102=J$2,'ProductSprint Backlog'!$I102=J$2), 'ProductSprint Backlog'!$F102, TRUE, 0)</f>
        <v>0</v>
      </c>
      <c r="K102" s="4" cm="1">
        <f t="array" ref="K102">_xlfn.IFS('ProductSprint Backlog'!$F102="", "", AND('ProductSprint Backlog'!$J102&gt;K$2,'ProductSprint Backlog'!$I102&lt;=K$2), 'ProductSprint Backlog'!$F102 / MAX(1, 'ProductSprint Backlog'!$J102-'ProductSprint Backlog'!$I102), AND('ProductSprint Backlog'!$J102=K$2,'ProductSprint Backlog'!$I102=K$2), 'ProductSprint Backlog'!$F102, TRUE, 0)</f>
        <v>0</v>
      </c>
      <c r="L102" s="4" cm="1">
        <f t="array" ref="L102">_xlfn.IFS('ProductSprint Backlog'!$F102="", "", AND('ProductSprint Backlog'!$J102&gt;L$2,'ProductSprint Backlog'!$I102&lt;=L$2), 'ProductSprint Backlog'!$F102 / MAX(1, 'ProductSprint Backlog'!$J102-'ProductSprint Backlog'!$I102), AND('ProductSprint Backlog'!$J102=L$2,'ProductSprint Backlog'!$I102=L$2), 'ProductSprint Backlog'!$F102, TRUE, 0)</f>
        <v>0</v>
      </c>
      <c r="M102" s="4" cm="1">
        <f t="array" ref="M102">_xlfn.IFS('ProductSprint Backlog'!$F102="", "", AND('ProductSprint Backlog'!$J102&gt;M$2,'ProductSprint Backlog'!$I102&lt;=M$2), 'ProductSprint Backlog'!$F102 / MAX(1, 'ProductSprint Backlog'!$J102-'ProductSprint Backlog'!$I102), AND('ProductSprint Backlog'!$J102=M$2,'ProductSprint Backlog'!$I102=M$2), 'ProductSprint Backlog'!$F102, TRUE, 0)</f>
        <v>0</v>
      </c>
      <c r="N102" s="4" cm="1">
        <f t="array" ref="N102">_xlfn.IFS('ProductSprint Backlog'!$F102="", "", AND('ProductSprint Backlog'!$J102&gt;N$2,'ProductSprint Backlog'!$I102&lt;=N$2), 'ProductSprint Backlog'!$F102 / MAX(1, 'ProductSprint Backlog'!$J102-'ProductSprint Backlog'!$I102), AND('ProductSprint Backlog'!$J102=N$2,'ProductSprint Backlog'!$I102=N$2), 'ProductSprint Backlog'!$F102, TRUE, 0)</f>
        <v>0</v>
      </c>
      <c r="O102" s="4" cm="1">
        <f t="array" ref="O102">_xlfn.IFS('ProductSprint Backlog'!$F102="", "", AND('ProductSprint Backlog'!$J102&gt;O$2,'ProductSprint Backlog'!$I102&lt;=O$2), 'ProductSprint Backlog'!$F102 / MAX(1, 'ProductSprint Backlog'!$J102-'ProductSprint Backlog'!$I102), AND('ProductSprint Backlog'!$J102=O$2,'ProductSprint Backlog'!$I102=O$2), 'ProductSprint Backlog'!$F102, TRUE, 0)</f>
        <v>0</v>
      </c>
      <c r="P102" s="4" cm="1">
        <f t="array" ref="P102">_xlfn.IFS('ProductSprint Backlog'!$F102="", "", AND('ProductSprint Backlog'!$J102&gt;P$2,'ProductSprint Backlog'!$I102&lt;=P$2), 'ProductSprint Backlog'!$F102 / MAX(1, 'ProductSprint Backlog'!$J102-'ProductSprint Backlog'!$I102), AND('ProductSprint Backlog'!$J102=P$2,'ProductSprint Backlog'!$I102=P$2), 'ProductSprint Backlog'!$F102, TRUE, 0)</f>
        <v>0</v>
      </c>
      <c r="Q102" s="4" cm="1">
        <f t="array" ref="Q102">_xlfn.IFS('ProductSprint Backlog'!$F102="", "", AND('ProductSprint Backlog'!$J102&gt;Q$2,'ProductSprint Backlog'!$I102&lt;=Q$2), 'ProductSprint Backlog'!$F102 / MAX(1, 'ProductSprint Backlog'!$J102-'ProductSprint Backlog'!$I102), AND('ProductSprint Backlog'!$J102=Q$2,'ProductSprint Backlog'!$I102=Q$2), 'ProductSprint Backlog'!$F102, TRUE, 0)</f>
        <v>0</v>
      </c>
    </row>
    <row r="103" spans="2:17" x14ac:dyDescent="0.2">
      <c r="B103" s="4" cm="1">
        <f t="array" ref="B103">_xlfn.IFS('ProductSprint Backlog'!$F103="", "", AND('ProductSprint Backlog'!$J103&gt;B$2,'ProductSprint Backlog'!$I103&lt;=B$2), 'ProductSprint Backlog'!$F103 / MAX(1, 'ProductSprint Backlog'!$J103-'ProductSprint Backlog'!$I103), AND('ProductSprint Backlog'!$J103=B$2,'ProductSprint Backlog'!$I103=B$2), 'ProductSprint Backlog'!$F103, TRUE, 0)</f>
        <v>0</v>
      </c>
      <c r="C103" s="4" cm="1">
        <f t="array" ref="C103">_xlfn.IFS('ProductSprint Backlog'!$F103="", "", AND('ProductSprint Backlog'!$J103&gt;C$2,'ProductSprint Backlog'!$I103&lt;=C$2), 'ProductSprint Backlog'!$F103 / MAX(1, 'ProductSprint Backlog'!$J103-'ProductSprint Backlog'!$I103), AND('ProductSprint Backlog'!$J103=C$2,'ProductSprint Backlog'!$I103=C$2), 'ProductSprint Backlog'!$F103, TRUE, 0)</f>
        <v>0</v>
      </c>
      <c r="D103" s="4" cm="1">
        <f t="array" ref="D103">_xlfn.IFS('ProductSprint Backlog'!$F103="", "", AND('ProductSprint Backlog'!$J103&gt;D$2,'ProductSprint Backlog'!$I103&lt;=D$2), 'ProductSprint Backlog'!$F103 / MAX(1, 'ProductSprint Backlog'!$J103-'ProductSprint Backlog'!$I103), AND('ProductSprint Backlog'!$J103=D$2,'ProductSprint Backlog'!$I103=D$2), 'ProductSprint Backlog'!$F103, TRUE, 0)</f>
        <v>0</v>
      </c>
      <c r="E103" s="4" cm="1">
        <f t="array" ref="E103">_xlfn.IFS('ProductSprint Backlog'!$F103="", "", AND('ProductSprint Backlog'!$J103&gt;E$2,'ProductSprint Backlog'!$I103&lt;=E$2), 'ProductSprint Backlog'!$F103 / MAX(1, 'ProductSprint Backlog'!$J103-'ProductSprint Backlog'!$I103), AND('ProductSprint Backlog'!$J103=E$2,'ProductSprint Backlog'!$I103=E$2), 'ProductSprint Backlog'!$F103, TRUE, 0)</f>
        <v>0</v>
      </c>
      <c r="F103" s="4" cm="1">
        <f t="array" ref="F103">_xlfn.IFS('ProductSprint Backlog'!$F103="", "", AND('ProductSprint Backlog'!$J103&gt;F$2,'ProductSprint Backlog'!$I103&lt;=F$2), 'ProductSprint Backlog'!$F103 / MAX(1, 'ProductSprint Backlog'!$J103-'ProductSprint Backlog'!$I103), AND('ProductSprint Backlog'!$J103=F$2,'ProductSprint Backlog'!$I103=F$2), 'ProductSprint Backlog'!$F103, TRUE, 0)</f>
        <v>0</v>
      </c>
      <c r="G103" s="4" cm="1">
        <f t="array" ref="G103">_xlfn.IFS('ProductSprint Backlog'!$F103="", "", AND('ProductSprint Backlog'!$J103&gt;G$2,'ProductSprint Backlog'!$I103&lt;=G$2), 'ProductSprint Backlog'!$F103 / MAX(1, 'ProductSprint Backlog'!$J103-'ProductSprint Backlog'!$I103), AND('ProductSprint Backlog'!$J103=G$2,'ProductSprint Backlog'!$I103=G$2), 'ProductSprint Backlog'!$F103, TRUE, 0)</f>
        <v>0</v>
      </c>
      <c r="H103" s="4" cm="1">
        <f t="array" ref="H103">_xlfn.IFS('ProductSprint Backlog'!$F103="", "", AND('ProductSprint Backlog'!$J103&gt;H$2,'ProductSprint Backlog'!$I103&lt;=H$2), 'ProductSprint Backlog'!$F103 / MAX(1, 'ProductSprint Backlog'!$J103-'ProductSprint Backlog'!$I103), AND('ProductSprint Backlog'!$J103=H$2,'ProductSprint Backlog'!$I103=H$2), 'ProductSprint Backlog'!$F103, TRUE, 0)</f>
        <v>0</v>
      </c>
      <c r="I103" s="4" cm="1">
        <f t="array" ref="I103">_xlfn.IFS('ProductSprint Backlog'!$F103="", "", AND('ProductSprint Backlog'!$J103&gt;I$2,'ProductSprint Backlog'!$I103&lt;=I$2), 'ProductSprint Backlog'!$F103 / MAX(1, 'ProductSprint Backlog'!$J103-'ProductSprint Backlog'!$I103), AND('ProductSprint Backlog'!$J103=I$2,'ProductSprint Backlog'!$I103=I$2), 'ProductSprint Backlog'!$F103, TRUE, 0)</f>
        <v>0</v>
      </c>
      <c r="J103" s="4" cm="1">
        <f t="array" ref="J103">_xlfn.IFS('ProductSprint Backlog'!$F103="", "", AND('ProductSprint Backlog'!$J103&gt;J$2,'ProductSprint Backlog'!$I103&lt;=J$2), 'ProductSprint Backlog'!$F103 / MAX(1, 'ProductSprint Backlog'!$J103-'ProductSprint Backlog'!$I103), AND('ProductSprint Backlog'!$J103=J$2,'ProductSprint Backlog'!$I103=J$2), 'ProductSprint Backlog'!$F103, TRUE, 0)</f>
        <v>0</v>
      </c>
      <c r="K103" s="4" cm="1">
        <f t="array" ref="K103">_xlfn.IFS('ProductSprint Backlog'!$F103="", "", AND('ProductSprint Backlog'!$J103&gt;K$2,'ProductSprint Backlog'!$I103&lt;=K$2), 'ProductSprint Backlog'!$F103 / MAX(1, 'ProductSprint Backlog'!$J103-'ProductSprint Backlog'!$I103), AND('ProductSprint Backlog'!$J103=K$2,'ProductSprint Backlog'!$I103=K$2), 'ProductSprint Backlog'!$F103, TRUE, 0)</f>
        <v>0</v>
      </c>
      <c r="L103" s="4" cm="1">
        <f t="array" ref="L103">_xlfn.IFS('ProductSprint Backlog'!$F103="", "", AND('ProductSprint Backlog'!$J103&gt;L$2,'ProductSprint Backlog'!$I103&lt;=L$2), 'ProductSprint Backlog'!$F103 / MAX(1, 'ProductSprint Backlog'!$J103-'ProductSprint Backlog'!$I103), AND('ProductSprint Backlog'!$J103=L$2,'ProductSprint Backlog'!$I103=L$2), 'ProductSprint Backlog'!$F103, TRUE, 0)</f>
        <v>0</v>
      </c>
      <c r="M103" s="4" cm="1">
        <f t="array" ref="M103">_xlfn.IFS('ProductSprint Backlog'!$F103="", "", AND('ProductSprint Backlog'!$J103&gt;M$2,'ProductSprint Backlog'!$I103&lt;=M$2), 'ProductSprint Backlog'!$F103 / MAX(1, 'ProductSprint Backlog'!$J103-'ProductSprint Backlog'!$I103), AND('ProductSprint Backlog'!$J103=M$2,'ProductSprint Backlog'!$I103=M$2), 'ProductSprint Backlog'!$F103, TRUE, 0)</f>
        <v>0</v>
      </c>
      <c r="N103" s="4" cm="1">
        <f t="array" ref="N103">_xlfn.IFS('ProductSprint Backlog'!$F103="", "", AND('ProductSprint Backlog'!$J103&gt;N$2,'ProductSprint Backlog'!$I103&lt;=N$2), 'ProductSprint Backlog'!$F103 / MAX(1, 'ProductSprint Backlog'!$J103-'ProductSprint Backlog'!$I103), AND('ProductSprint Backlog'!$J103=N$2,'ProductSprint Backlog'!$I103=N$2), 'ProductSprint Backlog'!$F103, TRUE, 0)</f>
        <v>0</v>
      </c>
      <c r="O103" s="4" cm="1">
        <f t="array" ref="O103">_xlfn.IFS('ProductSprint Backlog'!$F103="", "", AND('ProductSprint Backlog'!$J103&gt;O$2,'ProductSprint Backlog'!$I103&lt;=O$2), 'ProductSprint Backlog'!$F103 / MAX(1, 'ProductSprint Backlog'!$J103-'ProductSprint Backlog'!$I103), AND('ProductSprint Backlog'!$J103=O$2,'ProductSprint Backlog'!$I103=O$2), 'ProductSprint Backlog'!$F103, TRUE, 0)</f>
        <v>0</v>
      </c>
      <c r="P103" s="4" cm="1">
        <f t="array" ref="P103">_xlfn.IFS('ProductSprint Backlog'!$F103="", "", AND('ProductSprint Backlog'!$J103&gt;P$2,'ProductSprint Backlog'!$I103&lt;=P$2), 'ProductSprint Backlog'!$F103 / MAX(1, 'ProductSprint Backlog'!$J103-'ProductSprint Backlog'!$I103), AND('ProductSprint Backlog'!$J103=P$2,'ProductSprint Backlog'!$I103=P$2), 'ProductSprint Backlog'!$F103, TRUE, 0)</f>
        <v>0</v>
      </c>
      <c r="Q103" s="4" cm="1">
        <f t="array" ref="Q103">_xlfn.IFS('ProductSprint Backlog'!$F103="", "", AND('ProductSprint Backlog'!$J103&gt;Q$2,'ProductSprint Backlog'!$I103&lt;=Q$2), 'ProductSprint Backlog'!$F103 / MAX(1, 'ProductSprint Backlog'!$J103-'ProductSprint Backlog'!$I103), AND('ProductSprint Backlog'!$J103=Q$2,'ProductSprint Backlog'!$I103=Q$2), 'ProductSprint Backlog'!$F103, TRUE, 0)</f>
        <v>0</v>
      </c>
    </row>
    <row r="104" spans="2:17" x14ac:dyDescent="0.2">
      <c r="B104" s="4" cm="1">
        <f t="array" ref="B104">_xlfn.IFS('ProductSprint Backlog'!$F104="", "", AND('ProductSprint Backlog'!$J104&gt;B$2,'ProductSprint Backlog'!$I104&lt;=B$2), 'ProductSprint Backlog'!$F104 / MAX(1, 'ProductSprint Backlog'!$J104-'ProductSprint Backlog'!$I104), AND('ProductSprint Backlog'!$J104=B$2,'ProductSprint Backlog'!$I104=B$2), 'ProductSprint Backlog'!$F104, TRUE, 0)</f>
        <v>0</v>
      </c>
      <c r="C104" s="4" cm="1">
        <f t="array" ref="C104">_xlfn.IFS('ProductSprint Backlog'!$F104="", "", AND('ProductSprint Backlog'!$J104&gt;C$2,'ProductSprint Backlog'!$I104&lt;=C$2), 'ProductSprint Backlog'!$F104 / MAX(1, 'ProductSprint Backlog'!$J104-'ProductSprint Backlog'!$I104), AND('ProductSprint Backlog'!$J104=C$2,'ProductSprint Backlog'!$I104=C$2), 'ProductSprint Backlog'!$F104, TRUE, 0)</f>
        <v>0</v>
      </c>
      <c r="D104" s="4" cm="1">
        <f t="array" ref="D104">_xlfn.IFS('ProductSprint Backlog'!$F104="", "", AND('ProductSprint Backlog'!$J104&gt;D$2,'ProductSprint Backlog'!$I104&lt;=D$2), 'ProductSprint Backlog'!$F104 / MAX(1, 'ProductSprint Backlog'!$J104-'ProductSprint Backlog'!$I104), AND('ProductSprint Backlog'!$J104=D$2,'ProductSprint Backlog'!$I104=D$2), 'ProductSprint Backlog'!$F104, TRUE, 0)</f>
        <v>0</v>
      </c>
      <c r="E104" s="4" cm="1">
        <f t="array" ref="E104">_xlfn.IFS('ProductSprint Backlog'!$F104="", "", AND('ProductSprint Backlog'!$J104&gt;E$2,'ProductSprint Backlog'!$I104&lt;=E$2), 'ProductSprint Backlog'!$F104 / MAX(1, 'ProductSprint Backlog'!$J104-'ProductSprint Backlog'!$I104), AND('ProductSprint Backlog'!$J104=E$2,'ProductSprint Backlog'!$I104=E$2), 'ProductSprint Backlog'!$F104, TRUE, 0)</f>
        <v>0</v>
      </c>
      <c r="F104" s="4" cm="1">
        <f t="array" ref="F104">_xlfn.IFS('ProductSprint Backlog'!$F104="", "", AND('ProductSprint Backlog'!$J104&gt;F$2,'ProductSprint Backlog'!$I104&lt;=F$2), 'ProductSprint Backlog'!$F104 / MAX(1, 'ProductSprint Backlog'!$J104-'ProductSprint Backlog'!$I104), AND('ProductSprint Backlog'!$J104=F$2,'ProductSprint Backlog'!$I104=F$2), 'ProductSprint Backlog'!$F104, TRUE, 0)</f>
        <v>0</v>
      </c>
      <c r="G104" s="4" cm="1">
        <f t="array" ref="G104">_xlfn.IFS('ProductSprint Backlog'!$F104="", "", AND('ProductSprint Backlog'!$J104&gt;G$2,'ProductSprint Backlog'!$I104&lt;=G$2), 'ProductSprint Backlog'!$F104 / MAX(1, 'ProductSprint Backlog'!$J104-'ProductSprint Backlog'!$I104), AND('ProductSprint Backlog'!$J104=G$2,'ProductSprint Backlog'!$I104=G$2), 'ProductSprint Backlog'!$F104, TRUE, 0)</f>
        <v>0</v>
      </c>
      <c r="H104" s="4" cm="1">
        <f t="array" ref="H104">_xlfn.IFS('ProductSprint Backlog'!$F104="", "", AND('ProductSprint Backlog'!$J104&gt;H$2,'ProductSprint Backlog'!$I104&lt;=H$2), 'ProductSprint Backlog'!$F104 / MAX(1, 'ProductSprint Backlog'!$J104-'ProductSprint Backlog'!$I104), AND('ProductSprint Backlog'!$J104=H$2,'ProductSprint Backlog'!$I104=H$2), 'ProductSprint Backlog'!$F104, TRUE, 0)</f>
        <v>0</v>
      </c>
      <c r="I104" s="4" cm="1">
        <f t="array" ref="I104">_xlfn.IFS('ProductSprint Backlog'!$F104="", "", AND('ProductSprint Backlog'!$J104&gt;I$2,'ProductSprint Backlog'!$I104&lt;=I$2), 'ProductSprint Backlog'!$F104 / MAX(1, 'ProductSprint Backlog'!$J104-'ProductSprint Backlog'!$I104), AND('ProductSprint Backlog'!$J104=I$2,'ProductSprint Backlog'!$I104=I$2), 'ProductSprint Backlog'!$F104, TRUE, 0)</f>
        <v>0</v>
      </c>
      <c r="J104" s="4" cm="1">
        <f t="array" ref="J104">_xlfn.IFS('ProductSprint Backlog'!$F104="", "", AND('ProductSprint Backlog'!$J104&gt;J$2,'ProductSprint Backlog'!$I104&lt;=J$2), 'ProductSprint Backlog'!$F104 / MAX(1, 'ProductSprint Backlog'!$J104-'ProductSprint Backlog'!$I104), AND('ProductSprint Backlog'!$J104=J$2,'ProductSprint Backlog'!$I104=J$2), 'ProductSprint Backlog'!$F104, TRUE, 0)</f>
        <v>0</v>
      </c>
      <c r="K104" s="4" cm="1">
        <f t="array" ref="K104">_xlfn.IFS('ProductSprint Backlog'!$F104="", "", AND('ProductSprint Backlog'!$J104&gt;K$2,'ProductSprint Backlog'!$I104&lt;=K$2), 'ProductSprint Backlog'!$F104 / MAX(1, 'ProductSprint Backlog'!$J104-'ProductSprint Backlog'!$I104), AND('ProductSprint Backlog'!$J104=K$2,'ProductSprint Backlog'!$I104=K$2), 'ProductSprint Backlog'!$F104, TRUE, 0)</f>
        <v>0</v>
      </c>
      <c r="L104" s="4" cm="1">
        <f t="array" ref="L104">_xlfn.IFS('ProductSprint Backlog'!$F104="", "", AND('ProductSprint Backlog'!$J104&gt;L$2,'ProductSprint Backlog'!$I104&lt;=L$2), 'ProductSprint Backlog'!$F104 / MAX(1, 'ProductSprint Backlog'!$J104-'ProductSprint Backlog'!$I104), AND('ProductSprint Backlog'!$J104=L$2,'ProductSprint Backlog'!$I104=L$2), 'ProductSprint Backlog'!$F104, TRUE, 0)</f>
        <v>0</v>
      </c>
      <c r="M104" s="4" cm="1">
        <f t="array" ref="M104">_xlfn.IFS('ProductSprint Backlog'!$F104="", "", AND('ProductSprint Backlog'!$J104&gt;M$2,'ProductSprint Backlog'!$I104&lt;=M$2), 'ProductSprint Backlog'!$F104 / MAX(1, 'ProductSprint Backlog'!$J104-'ProductSprint Backlog'!$I104), AND('ProductSprint Backlog'!$J104=M$2,'ProductSprint Backlog'!$I104=M$2), 'ProductSprint Backlog'!$F104, TRUE, 0)</f>
        <v>0</v>
      </c>
      <c r="N104" s="4" cm="1">
        <f t="array" ref="N104">_xlfn.IFS('ProductSprint Backlog'!$F104="", "", AND('ProductSprint Backlog'!$J104&gt;N$2,'ProductSprint Backlog'!$I104&lt;=N$2), 'ProductSprint Backlog'!$F104 / MAX(1, 'ProductSprint Backlog'!$J104-'ProductSprint Backlog'!$I104), AND('ProductSprint Backlog'!$J104=N$2,'ProductSprint Backlog'!$I104=N$2), 'ProductSprint Backlog'!$F104, TRUE, 0)</f>
        <v>0</v>
      </c>
      <c r="O104" s="4" cm="1">
        <f t="array" ref="O104">_xlfn.IFS('ProductSprint Backlog'!$F104="", "", AND('ProductSprint Backlog'!$J104&gt;O$2,'ProductSprint Backlog'!$I104&lt;=O$2), 'ProductSprint Backlog'!$F104 / MAX(1, 'ProductSprint Backlog'!$J104-'ProductSprint Backlog'!$I104), AND('ProductSprint Backlog'!$J104=O$2,'ProductSprint Backlog'!$I104=O$2), 'ProductSprint Backlog'!$F104, TRUE, 0)</f>
        <v>0</v>
      </c>
      <c r="P104" s="4" cm="1">
        <f t="array" ref="P104">_xlfn.IFS('ProductSprint Backlog'!$F104="", "", AND('ProductSprint Backlog'!$J104&gt;P$2,'ProductSprint Backlog'!$I104&lt;=P$2), 'ProductSprint Backlog'!$F104 / MAX(1, 'ProductSprint Backlog'!$J104-'ProductSprint Backlog'!$I104), AND('ProductSprint Backlog'!$J104=P$2,'ProductSprint Backlog'!$I104=P$2), 'ProductSprint Backlog'!$F104, TRUE, 0)</f>
        <v>0</v>
      </c>
      <c r="Q104" s="4" cm="1">
        <f t="array" ref="Q104">_xlfn.IFS('ProductSprint Backlog'!$F104="", "", AND('ProductSprint Backlog'!$J104&gt;Q$2,'ProductSprint Backlog'!$I104&lt;=Q$2), 'ProductSprint Backlog'!$F104 / MAX(1, 'ProductSprint Backlog'!$J104-'ProductSprint Backlog'!$I104), AND('ProductSprint Backlog'!$J104=Q$2,'ProductSprint Backlog'!$I104=Q$2), 'ProductSprint Backlog'!$F104, TRUE, 0)</f>
        <v>0</v>
      </c>
    </row>
    <row r="105" spans="2:17" x14ac:dyDescent="0.2">
      <c r="B105" s="4" cm="1">
        <f t="array" ref="B105">_xlfn.IFS('ProductSprint Backlog'!$F105="", "", AND('ProductSprint Backlog'!$J105&gt;B$2,'ProductSprint Backlog'!$I105&lt;=B$2), 'ProductSprint Backlog'!$F105 / MAX(1, 'ProductSprint Backlog'!$J105-'ProductSprint Backlog'!$I105), AND('ProductSprint Backlog'!$J105=B$2,'ProductSprint Backlog'!$I105=B$2), 'ProductSprint Backlog'!$F105, TRUE, 0)</f>
        <v>0</v>
      </c>
      <c r="C105" s="4" cm="1">
        <f t="array" ref="C105">_xlfn.IFS('ProductSprint Backlog'!$F105="", "", AND('ProductSprint Backlog'!$J105&gt;C$2,'ProductSprint Backlog'!$I105&lt;=C$2), 'ProductSprint Backlog'!$F105 / MAX(1, 'ProductSprint Backlog'!$J105-'ProductSprint Backlog'!$I105), AND('ProductSprint Backlog'!$J105=C$2,'ProductSprint Backlog'!$I105=C$2), 'ProductSprint Backlog'!$F105, TRUE, 0)</f>
        <v>0</v>
      </c>
      <c r="D105" s="4" cm="1">
        <f t="array" ref="D105">_xlfn.IFS('ProductSprint Backlog'!$F105="", "", AND('ProductSprint Backlog'!$J105&gt;D$2,'ProductSprint Backlog'!$I105&lt;=D$2), 'ProductSprint Backlog'!$F105 / MAX(1, 'ProductSprint Backlog'!$J105-'ProductSprint Backlog'!$I105), AND('ProductSprint Backlog'!$J105=D$2,'ProductSprint Backlog'!$I105=D$2), 'ProductSprint Backlog'!$F105, TRUE, 0)</f>
        <v>0</v>
      </c>
      <c r="E105" s="4" cm="1">
        <f t="array" ref="E105">_xlfn.IFS('ProductSprint Backlog'!$F105="", "", AND('ProductSprint Backlog'!$J105&gt;E$2,'ProductSprint Backlog'!$I105&lt;=E$2), 'ProductSprint Backlog'!$F105 / MAX(1, 'ProductSprint Backlog'!$J105-'ProductSprint Backlog'!$I105), AND('ProductSprint Backlog'!$J105=E$2,'ProductSprint Backlog'!$I105=E$2), 'ProductSprint Backlog'!$F105, TRUE, 0)</f>
        <v>0</v>
      </c>
      <c r="F105" s="4" cm="1">
        <f t="array" ref="F105">_xlfn.IFS('ProductSprint Backlog'!$F105="", "", AND('ProductSprint Backlog'!$J105&gt;F$2,'ProductSprint Backlog'!$I105&lt;=F$2), 'ProductSprint Backlog'!$F105 / MAX(1, 'ProductSprint Backlog'!$J105-'ProductSprint Backlog'!$I105), AND('ProductSprint Backlog'!$J105=F$2,'ProductSprint Backlog'!$I105=F$2), 'ProductSprint Backlog'!$F105, TRUE, 0)</f>
        <v>0</v>
      </c>
      <c r="G105" s="4" cm="1">
        <f t="array" ref="G105">_xlfn.IFS('ProductSprint Backlog'!$F105="", "", AND('ProductSprint Backlog'!$J105&gt;G$2,'ProductSprint Backlog'!$I105&lt;=G$2), 'ProductSprint Backlog'!$F105 / MAX(1, 'ProductSprint Backlog'!$J105-'ProductSprint Backlog'!$I105), AND('ProductSprint Backlog'!$J105=G$2,'ProductSprint Backlog'!$I105=G$2), 'ProductSprint Backlog'!$F105, TRUE, 0)</f>
        <v>0</v>
      </c>
      <c r="H105" s="4" cm="1">
        <f t="array" ref="H105">_xlfn.IFS('ProductSprint Backlog'!$F105="", "", AND('ProductSprint Backlog'!$J105&gt;H$2,'ProductSprint Backlog'!$I105&lt;=H$2), 'ProductSprint Backlog'!$F105 / MAX(1, 'ProductSprint Backlog'!$J105-'ProductSprint Backlog'!$I105), AND('ProductSprint Backlog'!$J105=H$2,'ProductSprint Backlog'!$I105=H$2), 'ProductSprint Backlog'!$F105, TRUE, 0)</f>
        <v>0</v>
      </c>
      <c r="I105" s="4" cm="1">
        <f t="array" ref="I105">_xlfn.IFS('ProductSprint Backlog'!$F105="", "", AND('ProductSprint Backlog'!$J105&gt;I$2,'ProductSprint Backlog'!$I105&lt;=I$2), 'ProductSprint Backlog'!$F105 / MAX(1, 'ProductSprint Backlog'!$J105-'ProductSprint Backlog'!$I105), AND('ProductSprint Backlog'!$J105=I$2,'ProductSprint Backlog'!$I105=I$2), 'ProductSprint Backlog'!$F105, TRUE, 0)</f>
        <v>0</v>
      </c>
      <c r="J105" s="4" cm="1">
        <f t="array" ref="J105">_xlfn.IFS('ProductSprint Backlog'!$F105="", "", AND('ProductSprint Backlog'!$J105&gt;J$2,'ProductSprint Backlog'!$I105&lt;=J$2), 'ProductSprint Backlog'!$F105 / MAX(1, 'ProductSprint Backlog'!$J105-'ProductSprint Backlog'!$I105), AND('ProductSprint Backlog'!$J105=J$2,'ProductSprint Backlog'!$I105=J$2), 'ProductSprint Backlog'!$F105, TRUE, 0)</f>
        <v>0</v>
      </c>
      <c r="K105" s="4" cm="1">
        <f t="array" ref="K105">_xlfn.IFS('ProductSprint Backlog'!$F105="", "", AND('ProductSprint Backlog'!$J105&gt;K$2,'ProductSprint Backlog'!$I105&lt;=K$2), 'ProductSprint Backlog'!$F105 / MAX(1, 'ProductSprint Backlog'!$J105-'ProductSprint Backlog'!$I105), AND('ProductSprint Backlog'!$J105=K$2,'ProductSprint Backlog'!$I105=K$2), 'ProductSprint Backlog'!$F105, TRUE, 0)</f>
        <v>0</v>
      </c>
      <c r="L105" s="4" cm="1">
        <f t="array" ref="L105">_xlfn.IFS('ProductSprint Backlog'!$F105="", "", AND('ProductSprint Backlog'!$J105&gt;L$2,'ProductSprint Backlog'!$I105&lt;=L$2), 'ProductSprint Backlog'!$F105 / MAX(1, 'ProductSprint Backlog'!$J105-'ProductSprint Backlog'!$I105), AND('ProductSprint Backlog'!$J105=L$2,'ProductSprint Backlog'!$I105=L$2), 'ProductSprint Backlog'!$F105, TRUE, 0)</f>
        <v>0</v>
      </c>
      <c r="M105" s="4" cm="1">
        <f t="array" ref="M105">_xlfn.IFS('ProductSprint Backlog'!$F105="", "", AND('ProductSprint Backlog'!$J105&gt;M$2,'ProductSprint Backlog'!$I105&lt;=M$2), 'ProductSprint Backlog'!$F105 / MAX(1, 'ProductSprint Backlog'!$J105-'ProductSprint Backlog'!$I105), AND('ProductSprint Backlog'!$J105=M$2,'ProductSprint Backlog'!$I105=M$2), 'ProductSprint Backlog'!$F105, TRUE, 0)</f>
        <v>0</v>
      </c>
      <c r="N105" s="4" cm="1">
        <f t="array" ref="N105">_xlfn.IFS('ProductSprint Backlog'!$F105="", "", AND('ProductSprint Backlog'!$J105&gt;N$2,'ProductSprint Backlog'!$I105&lt;=N$2), 'ProductSprint Backlog'!$F105 / MAX(1, 'ProductSprint Backlog'!$J105-'ProductSprint Backlog'!$I105), AND('ProductSprint Backlog'!$J105=N$2,'ProductSprint Backlog'!$I105=N$2), 'ProductSprint Backlog'!$F105, TRUE, 0)</f>
        <v>0</v>
      </c>
      <c r="O105" s="4" cm="1">
        <f t="array" ref="O105">_xlfn.IFS('ProductSprint Backlog'!$F105="", "", AND('ProductSprint Backlog'!$J105&gt;O$2,'ProductSprint Backlog'!$I105&lt;=O$2), 'ProductSprint Backlog'!$F105 / MAX(1, 'ProductSprint Backlog'!$J105-'ProductSprint Backlog'!$I105), AND('ProductSprint Backlog'!$J105=O$2,'ProductSprint Backlog'!$I105=O$2), 'ProductSprint Backlog'!$F105, TRUE, 0)</f>
        <v>0</v>
      </c>
      <c r="P105" s="4" cm="1">
        <f t="array" ref="P105">_xlfn.IFS('ProductSprint Backlog'!$F105="", "", AND('ProductSprint Backlog'!$J105&gt;P$2,'ProductSprint Backlog'!$I105&lt;=P$2), 'ProductSprint Backlog'!$F105 / MAX(1, 'ProductSprint Backlog'!$J105-'ProductSprint Backlog'!$I105), AND('ProductSprint Backlog'!$J105=P$2,'ProductSprint Backlog'!$I105=P$2), 'ProductSprint Backlog'!$F105, TRUE, 0)</f>
        <v>0</v>
      </c>
      <c r="Q105" s="4" cm="1">
        <f t="array" ref="Q105">_xlfn.IFS('ProductSprint Backlog'!$F105="", "", AND('ProductSprint Backlog'!$J105&gt;Q$2,'ProductSprint Backlog'!$I105&lt;=Q$2), 'ProductSprint Backlog'!$F105 / MAX(1, 'ProductSprint Backlog'!$J105-'ProductSprint Backlog'!$I105), AND('ProductSprint Backlog'!$J105=Q$2,'ProductSprint Backlog'!$I105=Q$2), 'ProductSprint Backlog'!$F105, TRUE, 0)</f>
        <v>0</v>
      </c>
    </row>
    <row r="106" spans="2:17" x14ac:dyDescent="0.2">
      <c r="B106" s="4" cm="1">
        <f t="array" ref="B106">_xlfn.IFS('ProductSprint Backlog'!$F106="", "", AND('ProductSprint Backlog'!$J106&gt;B$2,'ProductSprint Backlog'!$I106&lt;=B$2), 'ProductSprint Backlog'!$F106 / MAX(1, 'ProductSprint Backlog'!$J106-'ProductSprint Backlog'!$I106), AND('ProductSprint Backlog'!$J106=B$2,'ProductSprint Backlog'!$I106=B$2), 'ProductSprint Backlog'!$F106, TRUE, 0)</f>
        <v>0</v>
      </c>
      <c r="C106" s="4" cm="1">
        <f t="array" ref="C106">_xlfn.IFS('ProductSprint Backlog'!$F106="", "", AND('ProductSprint Backlog'!$J106&gt;C$2,'ProductSprint Backlog'!$I106&lt;=C$2), 'ProductSprint Backlog'!$F106 / MAX(1, 'ProductSprint Backlog'!$J106-'ProductSprint Backlog'!$I106), AND('ProductSprint Backlog'!$J106=C$2,'ProductSprint Backlog'!$I106=C$2), 'ProductSprint Backlog'!$F106, TRUE, 0)</f>
        <v>0</v>
      </c>
      <c r="D106" s="4" cm="1">
        <f t="array" ref="D106">_xlfn.IFS('ProductSprint Backlog'!$F106="", "", AND('ProductSprint Backlog'!$J106&gt;D$2,'ProductSprint Backlog'!$I106&lt;=D$2), 'ProductSprint Backlog'!$F106 / MAX(1, 'ProductSprint Backlog'!$J106-'ProductSprint Backlog'!$I106), AND('ProductSprint Backlog'!$J106=D$2,'ProductSprint Backlog'!$I106=D$2), 'ProductSprint Backlog'!$F106, TRUE, 0)</f>
        <v>0</v>
      </c>
      <c r="E106" s="4" cm="1">
        <f t="array" ref="E106">_xlfn.IFS('ProductSprint Backlog'!$F106="", "", AND('ProductSprint Backlog'!$J106&gt;E$2,'ProductSprint Backlog'!$I106&lt;=E$2), 'ProductSprint Backlog'!$F106 / MAX(1, 'ProductSprint Backlog'!$J106-'ProductSprint Backlog'!$I106), AND('ProductSprint Backlog'!$J106=E$2,'ProductSprint Backlog'!$I106=E$2), 'ProductSprint Backlog'!$F106, TRUE, 0)</f>
        <v>0</v>
      </c>
      <c r="F106" s="4" cm="1">
        <f t="array" ref="F106">_xlfn.IFS('ProductSprint Backlog'!$F106="", "", AND('ProductSprint Backlog'!$J106&gt;F$2,'ProductSprint Backlog'!$I106&lt;=F$2), 'ProductSprint Backlog'!$F106 / MAX(1, 'ProductSprint Backlog'!$J106-'ProductSprint Backlog'!$I106), AND('ProductSprint Backlog'!$J106=F$2,'ProductSprint Backlog'!$I106=F$2), 'ProductSprint Backlog'!$F106, TRUE, 0)</f>
        <v>0</v>
      </c>
      <c r="G106" s="4" cm="1">
        <f t="array" ref="G106">_xlfn.IFS('ProductSprint Backlog'!$F106="", "", AND('ProductSprint Backlog'!$J106&gt;G$2,'ProductSprint Backlog'!$I106&lt;=G$2), 'ProductSprint Backlog'!$F106 / MAX(1, 'ProductSprint Backlog'!$J106-'ProductSprint Backlog'!$I106), AND('ProductSprint Backlog'!$J106=G$2,'ProductSprint Backlog'!$I106=G$2), 'ProductSprint Backlog'!$F106, TRUE, 0)</f>
        <v>0</v>
      </c>
      <c r="H106" s="4" cm="1">
        <f t="array" ref="H106">_xlfn.IFS('ProductSprint Backlog'!$F106="", "", AND('ProductSprint Backlog'!$J106&gt;H$2,'ProductSprint Backlog'!$I106&lt;=H$2), 'ProductSprint Backlog'!$F106 / MAX(1, 'ProductSprint Backlog'!$J106-'ProductSprint Backlog'!$I106), AND('ProductSprint Backlog'!$J106=H$2,'ProductSprint Backlog'!$I106=H$2), 'ProductSprint Backlog'!$F106, TRUE, 0)</f>
        <v>0</v>
      </c>
      <c r="I106" s="4" cm="1">
        <f t="array" ref="I106">_xlfn.IFS('ProductSprint Backlog'!$F106="", "", AND('ProductSprint Backlog'!$J106&gt;I$2,'ProductSprint Backlog'!$I106&lt;=I$2), 'ProductSprint Backlog'!$F106 / MAX(1, 'ProductSprint Backlog'!$J106-'ProductSprint Backlog'!$I106), AND('ProductSprint Backlog'!$J106=I$2,'ProductSprint Backlog'!$I106=I$2), 'ProductSprint Backlog'!$F106, TRUE, 0)</f>
        <v>0</v>
      </c>
      <c r="J106" s="4" cm="1">
        <f t="array" ref="J106">_xlfn.IFS('ProductSprint Backlog'!$F106="", "", AND('ProductSprint Backlog'!$J106&gt;J$2,'ProductSprint Backlog'!$I106&lt;=J$2), 'ProductSprint Backlog'!$F106 / MAX(1, 'ProductSprint Backlog'!$J106-'ProductSprint Backlog'!$I106), AND('ProductSprint Backlog'!$J106=J$2,'ProductSprint Backlog'!$I106=J$2), 'ProductSprint Backlog'!$F106, TRUE, 0)</f>
        <v>0</v>
      </c>
      <c r="K106" s="4" cm="1">
        <f t="array" ref="K106">_xlfn.IFS('ProductSprint Backlog'!$F106="", "", AND('ProductSprint Backlog'!$J106&gt;K$2,'ProductSprint Backlog'!$I106&lt;=K$2), 'ProductSprint Backlog'!$F106 / MAX(1, 'ProductSprint Backlog'!$J106-'ProductSprint Backlog'!$I106), AND('ProductSprint Backlog'!$J106=K$2,'ProductSprint Backlog'!$I106=K$2), 'ProductSprint Backlog'!$F106, TRUE, 0)</f>
        <v>0</v>
      </c>
      <c r="L106" s="4" cm="1">
        <f t="array" ref="L106">_xlfn.IFS('ProductSprint Backlog'!$F106="", "", AND('ProductSprint Backlog'!$J106&gt;L$2,'ProductSprint Backlog'!$I106&lt;=L$2), 'ProductSprint Backlog'!$F106 / MAX(1, 'ProductSprint Backlog'!$J106-'ProductSprint Backlog'!$I106), AND('ProductSprint Backlog'!$J106=L$2,'ProductSprint Backlog'!$I106=L$2), 'ProductSprint Backlog'!$F106, TRUE, 0)</f>
        <v>0</v>
      </c>
      <c r="M106" s="4" cm="1">
        <f t="array" ref="M106">_xlfn.IFS('ProductSprint Backlog'!$F106="", "", AND('ProductSprint Backlog'!$J106&gt;M$2,'ProductSprint Backlog'!$I106&lt;=M$2), 'ProductSprint Backlog'!$F106 / MAX(1, 'ProductSprint Backlog'!$J106-'ProductSprint Backlog'!$I106), AND('ProductSprint Backlog'!$J106=M$2,'ProductSprint Backlog'!$I106=M$2), 'ProductSprint Backlog'!$F106, TRUE, 0)</f>
        <v>0</v>
      </c>
      <c r="N106" s="4" cm="1">
        <f t="array" ref="N106">_xlfn.IFS('ProductSprint Backlog'!$F106="", "", AND('ProductSprint Backlog'!$J106&gt;N$2,'ProductSprint Backlog'!$I106&lt;=N$2), 'ProductSprint Backlog'!$F106 / MAX(1, 'ProductSprint Backlog'!$J106-'ProductSprint Backlog'!$I106), AND('ProductSprint Backlog'!$J106=N$2,'ProductSprint Backlog'!$I106=N$2), 'ProductSprint Backlog'!$F106, TRUE, 0)</f>
        <v>0</v>
      </c>
      <c r="O106" s="4" cm="1">
        <f t="array" ref="O106">_xlfn.IFS('ProductSprint Backlog'!$F106="", "", AND('ProductSprint Backlog'!$J106&gt;O$2,'ProductSprint Backlog'!$I106&lt;=O$2), 'ProductSprint Backlog'!$F106 / MAX(1, 'ProductSprint Backlog'!$J106-'ProductSprint Backlog'!$I106), AND('ProductSprint Backlog'!$J106=O$2,'ProductSprint Backlog'!$I106=O$2), 'ProductSprint Backlog'!$F106, TRUE, 0)</f>
        <v>0</v>
      </c>
      <c r="P106" s="4" cm="1">
        <f t="array" ref="P106">_xlfn.IFS('ProductSprint Backlog'!$F106="", "", AND('ProductSprint Backlog'!$J106&gt;P$2,'ProductSprint Backlog'!$I106&lt;=P$2), 'ProductSprint Backlog'!$F106 / MAX(1, 'ProductSprint Backlog'!$J106-'ProductSprint Backlog'!$I106), AND('ProductSprint Backlog'!$J106=P$2,'ProductSprint Backlog'!$I106=P$2), 'ProductSprint Backlog'!$F106, TRUE, 0)</f>
        <v>0</v>
      </c>
      <c r="Q106" s="4" cm="1">
        <f t="array" ref="Q106">_xlfn.IFS('ProductSprint Backlog'!$F106="", "", AND('ProductSprint Backlog'!$J106&gt;Q$2,'ProductSprint Backlog'!$I106&lt;=Q$2), 'ProductSprint Backlog'!$F106 / MAX(1, 'ProductSprint Backlog'!$J106-'ProductSprint Backlog'!$I106), AND('ProductSprint Backlog'!$J106=Q$2,'ProductSprint Backlog'!$I106=Q$2), 'ProductSprint Backlog'!$F106, TRUE, 0)</f>
        <v>0</v>
      </c>
    </row>
    <row r="107" spans="2:17" x14ac:dyDescent="0.2">
      <c r="B107" s="4" t="str" cm="1">
        <f t="array" ref="B107">_xlfn.IFS('ProductSprint Backlog'!$F107="", "", AND('ProductSprint Backlog'!$J107&gt;B$2,'ProductSprint Backlog'!$I107&lt;=B$2), 'ProductSprint Backlog'!$F107 / MAX(1, 'ProductSprint Backlog'!$J107-'ProductSprint Backlog'!$I107), AND('ProductSprint Backlog'!$J107=B$2,'ProductSprint Backlog'!$I107=B$2), 'ProductSprint Backlog'!$F107, TRUE, 0)</f>
        <v/>
      </c>
      <c r="C107" s="4" t="str" cm="1">
        <f t="array" ref="C107">_xlfn.IFS('ProductSprint Backlog'!$F107="", "", AND('ProductSprint Backlog'!$J107&gt;C$2,'ProductSprint Backlog'!$I107&lt;=C$2), 'ProductSprint Backlog'!$F107 / MAX(1, 'ProductSprint Backlog'!$J107-'ProductSprint Backlog'!$I107), AND('ProductSprint Backlog'!$J107=C$2,'ProductSprint Backlog'!$I107=C$2), 'ProductSprint Backlog'!$F107, TRUE, 0)</f>
        <v/>
      </c>
      <c r="D107" s="4" t="str" cm="1">
        <f t="array" ref="D107">_xlfn.IFS('ProductSprint Backlog'!$F107="", "", AND('ProductSprint Backlog'!$J107&gt;D$2,'ProductSprint Backlog'!$I107&lt;=D$2), 'ProductSprint Backlog'!$F107 / MAX(1, 'ProductSprint Backlog'!$J107-'ProductSprint Backlog'!$I107), AND('ProductSprint Backlog'!$J107=D$2,'ProductSprint Backlog'!$I107=D$2), 'ProductSprint Backlog'!$F107, TRUE, 0)</f>
        <v/>
      </c>
      <c r="E107" s="4" t="str" cm="1">
        <f t="array" ref="E107">_xlfn.IFS('ProductSprint Backlog'!$F107="", "", AND('ProductSprint Backlog'!$J107&gt;E$2,'ProductSprint Backlog'!$I107&lt;=E$2), 'ProductSprint Backlog'!$F107 / MAX(1, 'ProductSprint Backlog'!$J107-'ProductSprint Backlog'!$I107), AND('ProductSprint Backlog'!$J107=E$2,'ProductSprint Backlog'!$I107=E$2), 'ProductSprint Backlog'!$F107, TRUE, 0)</f>
        <v/>
      </c>
      <c r="F107" s="4" t="str" cm="1">
        <f t="array" ref="F107">_xlfn.IFS('ProductSprint Backlog'!$F107="", "", AND('ProductSprint Backlog'!$J107&gt;F$2,'ProductSprint Backlog'!$I107&lt;=F$2), 'ProductSprint Backlog'!$F107 / MAX(1, 'ProductSprint Backlog'!$J107-'ProductSprint Backlog'!$I107), AND('ProductSprint Backlog'!$J107=F$2,'ProductSprint Backlog'!$I107=F$2), 'ProductSprint Backlog'!$F107, TRUE, 0)</f>
        <v/>
      </c>
      <c r="G107" s="4" t="str" cm="1">
        <f t="array" ref="G107">_xlfn.IFS('ProductSprint Backlog'!$F107="", "", AND('ProductSprint Backlog'!$J107&gt;G$2,'ProductSprint Backlog'!$I107&lt;=G$2), 'ProductSprint Backlog'!$F107 / MAX(1, 'ProductSprint Backlog'!$J107-'ProductSprint Backlog'!$I107), AND('ProductSprint Backlog'!$J107=G$2,'ProductSprint Backlog'!$I107=G$2), 'ProductSprint Backlog'!$F107, TRUE, 0)</f>
        <v/>
      </c>
      <c r="H107" s="4" t="str" cm="1">
        <f t="array" ref="H107">_xlfn.IFS('ProductSprint Backlog'!$F107="", "", AND('ProductSprint Backlog'!$J107&gt;H$2,'ProductSprint Backlog'!$I107&lt;=H$2), 'ProductSprint Backlog'!$F107 / MAX(1, 'ProductSprint Backlog'!$J107-'ProductSprint Backlog'!$I107), AND('ProductSprint Backlog'!$J107=H$2,'ProductSprint Backlog'!$I107=H$2), 'ProductSprint Backlog'!$F107, TRUE, 0)</f>
        <v/>
      </c>
      <c r="I107" s="4" t="str" cm="1">
        <f t="array" ref="I107">_xlfn.IFS('ProductSprint Backlog'!$F107="", "", AND('ProductSprint Backlog'!$J107&gt;I$2,'ProductSprint Backlog'!$I107&lt;=I$2), 'ProductSprint Backlog'!$F107 / MAX(1, 'ProductSprint Backlog'!$J107-'ProductSprint Backlog'!$I107), AND('ProductSprint Backlog'!$J107=I$2,'ProductSprint Backlog'!$I107=I$2), 'ProductSprint Backlog'!$F107, TRUE, 0)</f>
        <v/>
      </c>
      <c r="J107" s="4" t="str" cm="1">
        <f t="array" ref="J107">_xlfn.IFS('ProductSprint Backlog'!$F107="", "", AND('ProductSprint Backlog'!$J107&gt;J$2,'ProductSprint Backlog'!$I107&lt;=J$2), 'ProductSprint Backlog'!$F107 / MAX(1, 'ProductSprint Backlog'!$J107-'ProductSprint Backlog'!$I107), AND('ProductSprint Backlog'!$J107=J$2,'ProductSprint Backlog'!$I107=J$2), 'ProductSprint Backlog'!$F107, TRUE, 0)</f>
        <v/>
      </c>
      <c r="K107" s="4" t="str" cm="1">
        <f t="array" ref="K107">_xlfn.IFS('ProductSprint Backlog'!$F107="", "", AND('ProductSprint Backlog'!$J107&gt;K$2,'ProductSprint Backlog'!$I107&lt;=K$2), 'ProductSprint Backlog'!$F107 / MAX(1, 'ProductSprint Backlog'!$J107-'ProductSprint Backlog'!$I107), AND('ProductSprint Backlog'!$J107=K$2,'ProductSprint Backlog'!$I107=K$2), 'ProductSprint Backlog'!$F107, TRUE, 0)</f>
        <v/>
      </c>
      <c r="L107" s="4" t="str" cm="1">
        <f t="array" ref="L107">_xlfn.IFS('ProductSprint Backlog'!$F107="", "", AND('ProductSprint Backlog'!$J107&gt;L$2,'ProductSprint Backlog'!$I107&lt;=L$2), 'ProductSprint Backlog'!$F107 / MAX(1, 'ProductSprint Backlog'!$J107-'ProductSprint Backlog'!$I107), AND('ProductSprint Backlog'!$J107=L$2,'ProductSprint Backlog'!$I107=L$2), 'ProductSprint Backlog'!$F107, TRUE, 0)</f>
        <v/>
      </c>
      <c r="M107" s="4" t="str" cm="1">
        <f t="array" ref="M107">_xlfn.IFS('ProductSprint Backlog'!$F107="", "", AND('ProductSprint Backlog'!$J107&gt;M$2,'ProductSprint Backlog'!$I107&lt;=M$2), 'ProductSprint Backlog'!$F107 / MAX(1, 'ProductSprint Backlog'!$J107-'ProductSprint Backlog'!$I107), AND('ProductSprint Backlog'!$J107=M$2,'ProductSprint Backlog'!$I107=M$2), 'ProductSprint Backlog'!$F107, TRUE, 0)</f>
        <v/>
      </c>
      <c r="N107" s="4" t="str" cm="1">
        <f t="array" ref="N107">_xlfn.IFS('ProductSprint Backlog'!$F107="", "", AND('ProductSprint Backlog'!$J107&gt;N$2,'ProductSprint Backlog'!$I107&lt;=N$2), 'ProductSprint Backlog'!$F107 / MAX(1, 'ProductSprint Backlog'!$J107-'ProductSprint Backlog'!$I107), AND('ProductSprint Backlog'!$J107=N$2,'ProductSprint Backlog'!$I107=N$2), 'ProductSprint Backlog'!$F107, TRUE, 0)</f>
        <v/>
      </c>
      <c r="O107" s="4" t="str" cm="1">
        <f t="array" ref="O107">_xlfn.IFS('ProductSprint Backlog'!$F107="", "", AND('ProductSprint Backlog'!$J107&gt;O$2,'ProductSprint Backlog'!$I107&lt;=O$2), 'ProductSprint Backlog'!$F107 / MAX(1, 'ProductSprint Backlog'!$J107-'ProductSprint Backlog'!$I107), AND('ProductSprint Backlog'!$J107=O$2,'ProductSprint Backlog'!$I107=O$2), 'ProductSprint Backlog'!$F107, TRUE, 0)</f>
        <v/>
      </c>
      <c r="P107" s="4" t="str" cm="1">
        <f t="array" ref="P107">_xlfn.IFS('ProductSprint Backlog'!$F107="", "", AND('ProductSprint Backlog'!$J107&gt;P$2,'ProductSprint Backlog'!$I107&lt;=P$2), 'ProductSprint Backlog'!$F107 / MAX(1, 'ProductSprint Backlog'!$J107-'ProductSprint Backlog'!$I107), AND('ProductSprint Backlog'!$J107=P$2,'ProductSprint Backlog'!$I107=P$2), 'ProductSprint Backlog'!$F107, TRUE, 0)</f>
        <v/>
      </c>
      <c r="Q107" s="4" t="str" cm="1">
        <f t="array" ref="Q107">_xlfn.IFS('ProductSprint Backlog'!$F107="", "", AND('ProductSprint Backlog'!$J107&gt;Q$2,'ProductSprint Backlog'!$I107&lt;=Q$2), 'ProductSprint Backlog'!$F107 / MAX(1, 'ProductSprint Backlog'!$J107-'ProductSprint Backlog'!$I107), AND('ProductSprint Backlog'!$J107=Q$2,'ProductSprint Backlog'!$I107=Q$2), 'ProductSprint Backlog'!$F107, TRUE, 0)</f>
        <v/>
      </c>
    </row>
    <row r="108" spans="2:17" x14ac:dyDescent="0.2">
      <c r="B108" s="4" cm="1">
        <f t="array" ref="B108">_xlfn.IFS('ProductSprint Backlog'!$F108="", "", AND('ProductSprint Backlog'!$J108&gt;B$2,'ProductSprint Backlog'!$I108&lt;=B$2), 'ProductSprint Backlog'!$F108 / MAX(1, 'ProductSprint Backlog'!$J108-'ProductSprint Backlog'!$I108), AND('ProductSprint Backlog'!$J108=B$2,'ProductSprint Backlog'!$I108=B$2), 'ProductSprint Backlog'!$F108, TRUE, 0)</f>
        <v>0</v>
      </c>
      <c r="C108" s="4" cm="1">
        <f t="array" ref="C108">_xlfn.IFS('ProductSprint Backlog'!$F108="", "", AND('ProductSprint Backlog'!$J108&gt;C$2,'ProductSprint Backlog'!$I108&lt;=C$2), 'ProductSprint Backlog'!$F108 / MAX(1, 'ProductSprint Backlog'!$J108-'ProductSprint Backlog'!$I108), AND('ProductSprint Backlog'!$J108=C$2,'ProductSprint Backlog'!$I108=C$2), 'ProductSprint Backlog'!$F108, TRUE, 0)</f>
        <v>0</v>
      </c>
      <c r="D108" s="4" cm="1">
        <f t="array" ref="D108">_xlfn.IFS('ProductSprint Backlog'!$F108="", "", AND('ProductSprint Backlog'!$J108&gt;D$2,'ProductSprint Backlog'!$I108&lt;=D$2), 'ProductSprint Backlog'!$F108 / MAX(1, 'ProductSprint Backlog'!$J108-'ProductSprint Backlog'!$I108), AND('ProductSprint Backlog'!$J108=D$2,'ProductSprint Backlog'!$I108=D$2), 'ProductSprint Backlog'!$F108, TRUE, 0)</f>
        <v>0</v>
      </c>
      <c r="E108" s="4" cm="1">
        <f t="array" ref="E108">_xlfn.IFS('ProductSprint Backlog'!$F108="", "", AND('ProductSprint Backlog'!$J108&gt;E$2,'ProductSprint Backlog'!$I108&lt;=E$2), 'ProductSprint Backlog'!$F108 / MAX(1, 'ProductSprint Backlog'!$J108-'ProductSprint Backlog'!$I108), AND('ProductSprint Backlog'!$J108=E$2,'ProductSprint Backlog'!$I108=E$2), 'ProductSprint Backlog'!$F108, TRUE, 0)</f>
        <v>0</v>
      </c>
      <c r="F108" s="4" cm="1">
        <f t="array" ref="F108">_xlfn.IFS('ProductSprint Backlog'!$F108="", "", AND('ProductSprint Backlog'!$J108&gt;F$2,'ProductSprint Backlog'!$I108&lt;=F$2), 'ProductSprint Backlog'!$F108 / MAX(1, 'ProductSprint Backlog'!$J108-'ProductSprint Backlog'!$I108), AND('ProductSprint Backlog'!$J108=F$2,'ProductSprint Backlog'!$I108=F$2), 'ProductSprint Backlog'!$F108, TRUE, 0)</f>
        <v>0</v>
      </c>
      <c r="G108" s="4" cm="1">
        <f t="array" ref="G108">_xlfn.IFS('ProductSprint Backlog'!$F108="", "", AND('ProductSprint Backlog'!$J108&gt;G$2,'ProductSprint Backlog'!$I108&lt;=G$2), 'ProductSprint Backlog'!$F108 / MAX(1, 'ProductSprint Backlog'!$J108-'ProductSprint Backlog'!$I108), AND('ProductSprint Backlog'!$J108=G$2,'ProductSprint Backlog'!$I108=G$2), 'ProductSprint Backlog'!$F108, TRUE, 0)</f>
        <v>0</v>
      </c>
      <c r="H108" s="4" cm="1">
        <f t="array" ref="H108">_xlfn.IFS('ProductSprint Backlog'!$F108="", "", AND('ProductSprint Backlog'!$J108&gt;H$2,'ProductSprint Backlog'!$I108&lt;=H$2), 'ProductSprint Backlog'!$F108 / MAX(1, 'ProductSprint Backlog'!$J108-'ProductSprint Backlog'!$I108), AND('ProductSprint Backlog'!$J108=H$2,'ProductSprint Backlog'!$I108=H$2), 'ProductSprint Backlog'!$F108, TRUE, 0)</f>
        <v>0</v>
      </c>
      <c r="I108" s="4" cm="1">
        <f t="array" ref="I108">_xlfn.IFS('ProductSprint Backlog'!$F108="", "", AND('ProductSprint Backlog'!$J108&gt;I$2,'ProductSprint Backlog'!$I108&lt;=I$2), 'ProductSprint Backlog'!$F108 / MAX(1, 'ProductSprint Backlog'!$J108-'ProductSprint Backlog'!$I108), AND('ProductSprint Backlog'!$J108=I$2,'ProductSprint Backlog'!$I108=I$2), 'ProductSprint Backlog'!$F108, TRUE, 0)</f>
        <v>0</v>
      </c>
      <c r="J108" s="4" cm="1">
        <f t="array" ref="J108">_xlfn.IFS('ProductSprint Backlog'!$F108="", "", AND('ProductSprint Backlog'!$J108&gt;J$2,'ProductSprint Backlog'!$I108&lt;=J$2), 'ProductSprint Backlog'!$F108 / MAX(1, 'ProductSprint Backlog'!$J108-'ProductSprint Backlog'!$I108), AND('ProductSprint Backlog'!$J108=J$2,'ProductSprint Backlog'!$I108=J$2), 'ProductSprint Backlog'!$F108, TRUE, 0)</f>
        <v>0</v>
      </c>
      <c r="K108" s="4" cm="1">
        <f t="array" ref="K108">_xlfn.IFS('ProductSprint Backlog'!$F108="", "", AND('ProductSprint Backlog'!$J108&gt;K$2,'ProductSprint Backlog'!$I108&lt;=K$2), 'ProductSprint Backlog'!$F108 / MAX(1, 'ProductSprint Backlog'!$J108-'ProductSprint Backlog'!$I108), AND('ProductSprint Backlog'!$J108=K$2,'ProductSprint Backlog'!$I108=K$2), 'ProductSprint Backlog'!$F108, TRUE, 0)</f>
        <v>0</v>
      </c>
      <c r="L108" s="4" cm="1">
        <f t="array" ref="L108">_xlfn.IFS('ProductSprint Backlog'!$F108="", "", AND('ProductSprint Backlog'!$J108&gt;L$2,'ProductSprint Backlog'!$I108&lt;=L$2), 'ProductSprint Backlog'!$F108 / MAX(1, 'ProductSprint Backlog'!$J108-'ProductSprint Backlog'!$I108), AND('ProductSprint Backlog'!$J108=L$2,'ProductSprint Backlog'!$I108=L$2), 'ProductSprint Backlog'!$F108, TRUE, 0)</f>
        <v>0</v>
      </c>
      <c r="M108" s="4" cm="1">
        <f t="array" ref="M108">_xlfn.IFS('ProductSprint Backlog'!$F108="", "", AND('ProductSprint Backlog'!$J108&gt;M$2,'ProductSprint Backlog'!$I108&lt;=M$2), 'ProductSprint Backlog'!$F108 / MAX(1, 'ProductSprint Backlog'!$J108-'ProductSprint Backlog'!$I108), AND('ProductSprint Backlog'!$J108=M$2,'ProductSprint Backlog'!$I108=M$2), 'ProductSprint Backlog'!$F108, TRUE, 0)</f>
        <v>0</v>
      </c>
      <c r="N108" s="4" cm="1">
        <f t="array" ref="N108">_xlfn.IFS('ProductSprint Backlog'!$F108="", "", AND('ProductSprint Backlog'!$J108&gt;N$2,'ProductSprint Backlog'!$I108&lt;=N$2), 'ProductSprint Backlog'!$F108 / MAX(1, 'ProductSprint Backlog'!$J108-'ProductSprint Backlog'!$I108), AND('ProductSprint Backlog'!$J108=N$2,'ProductSprint Backlog'!$I108=N$2), 'ProductSprint Backlog'!$F108, TRUE, 0)</f>
        <v>0</v>
      </c>
      <c r="O108" s="4" cm="1">
        <f t="array" ref="O108">_xlfn.IFS('ProductSprint Backlog'!$F108="", "", AND('ProductSprint Backlog'!$J108&gt;O$2,'ProductSprint Backlog'!$I108&lt;=O$2), 'ProductSprint Backlog'!$F108 / MAX(1, 'ProductSprint Backlog'!$J108-'ProductSprint Backlog'!$I108), AND('ProductSprint Backlog'!$J108=O$2,'ProductSprint Backlog'!$I108=O$2), 'ProductSprint Backlog'!$F108, TRUE, 0)</f>
        <v>0</v>
      </c>
      <c r="P108" s="4" cm="1">
        <f t="array" ref="P108">_xlfn.IFS('ProductSprint Backlog'!$F108="", "", AND('ProductSprint Backlog'!$J108&gt;P$2,'ProductSprint Backlog'!$I108&lt;=P$2), 'ProductSprint Backlog'!$F108 / MAX(1, 'ProductSprint Backlog'!$J108-'ProductSprint Backlog'!$I108), AND('ProductSprint Backlog'!$J108=P$2,'ProductSprint Backlog'!$I108=P$2), 'ProductSprint Backlog'!$F108, TRUE, 0)</f>
        <v>0</v>
      </c>
      <c r="Q108" s="4" cm="1">
        <f t="array" ref="Q108">_xlfn.IFS('ProductSprint Backlog'!$F108="", "", AND('ProductSprint Backlog'!$J108&gt;Q$2,'ProductSprint Backlog'!$I108&lt;=Q$2), 'ProductSprint Backlog'!$F108 / MAX(1, 'ProductSprint Backlog'!$J108-'ProductSprint Backlog'!$I108), AND('ProductSprint Backlog'!$J108=Q$2,'ProductSprint Backlog'!$I108=Q$2), 'ProductSprint Backlog'!$F108, TRUE, 0)</f>
        <v>0</v>
      </c>
    </row>
    <row r="109" spans="2:17" x14ac:dyDescent="0.2">
      <c r="B109" s="4" cm="1">
        <f t="array" ref="B109">_xlfn.IFS('ProductSprint Backlog'!$F109="", "", AND('ProductSprint Backlog'!$J109&gt;B$2,'ProductSprint Backlog'!$I109&lt;=B$2), 'ProductSprint Backlog'!$F109 / MAX(1, 'ProductSprint Backlog'!$J109-'ProductSprint Backlog'!$I109), AND('ProductSprint Backlog'!$J109=B$2,'ProductSprint Backlog'!$I109=B$2), 'ProductSprint Backlog'!$F109, TRUE, 0)</f>
        <v>0</v>
      </c>
      <c r="C109" s="4" cm="1">
        <f t="array" ref="C109">_xlfn.IFS('ProductSprint Backlog'!$F109="", "", AND('ProductSprint Backlog'!$J109&gt;C$2,'ProductSprint Backlog'!$I109&lt;=C$2), 'ProductSprint Backlog'!$F109 / MAX(1, 'ProductSprint Backlog'!$J109-'ProductSprint Backlog'!$I109), AND('ProductSprint Backlog'!$J109=C$2,'ProductSprint Backlog'!$I109=C$2), 'ProductSprint Backlog'!$F109, TRUE, 0)</f>
        <v>0</v>
      </c>
      <c r="D109" s="4" cm="1">
        <f t="array" ref="D109">_xlfn.IFS('ProductSprint Backlog'!$F109="", "", AND('ProductSprint Backlog'!$J109&gt;D$2,'ProductSprint Backlog'!$I109&lt;=D$2), 'ProductSprint Backlog'!$F109 / MAX(1, 'ProductSprint Backlog'!$J109-'ProductSprint Backlog'!$I109), AND('ProductSprint Backlog'!$J109=D$2,'ProductSprint Backlog'!$I109=D$2), 'ProductSprint Backlog'!$F109, TRUE, 0)</f>
        <v>0</v>
      </c>
      <c r="E109" s="4" cm="1">
        <f t="array" ref="E109">_xlfn.IFS('ProductSprint Backlog'!$F109="", "", AND('ProductSprint Backlog'!$J109&gt;E$2,'ProductSprint Backlog'!$I109&lt;=E$2), 'ProductSprint Backlog'!$F109 / MAX(1, 'ProductSprint Backlog'!$J109-'ProductSprint Backlog'!$I109), AND('ProductSprint Backlog'!$J109=E$2,'ProductSprint Backlog'!$I109=E$2), 'ProductSprint Backlog'!$F109, TRUE, 0)</f>
        <v>0</v>
      </c>
      <c r="F109" s="4" cm="1">
        <f t="array" ref="F109">_xlfn.IFS('ProductSprint Backlog'!$F109="", "", AND('ProductSprint Backlog'!$J109&gt;F$2,'ProductSprint Backlog'!$I109&lt;=F$2), 'ProductSprint Backlog'!$F109 / MAX(1, 'ProductSprint Backlog'!$J109-'ProductSprint Backlog'!$I109), AND('ProductSprint Backlog'!$J109=F$2,'ProductSprint Backlog'!$I109=F$2), 'ProductSprint Backlog'!$F109, TRUE, 0)</f>
        <v>0</v>
      </c>
      <c r="G109" s="4" cm="1">
        <f t="array" ref="G109">_xlfn.IFS('ProductSprint Backlog'!$F109="", "", AND('ProductSprint Backlog'!$J109&gt;G$2,'ProductSprint Backlog'!$I109&lt;=G$2), 'ProductSprint Backlog'!$F109 / MAX(1, 'ProductSprint Backlog'!$J109-'ProductSprint Backlog'!$I109), AND('ProductSprint Backlog'!$J109=G$2,'ProductSprint Backlog'!$I109=G$2), 'ProductSprint Backlog'!$F109, TRUE, 0)</f>
        <v>0</v>
      </c>
      <c r="H109" s="4" cm="1">
        <f t="array" ref="H109">_xlfn.IFS('ProductSprint Backlog'!$F109="", "", AND('ProductSprint Backlog'!$J109&gt;H$2,'ProductSprint Backlog'!$I109&lt;=H$2), 'ProductSprint Backlog'!$F109 / MAX(1, 'ProductSprint Backlog'!$J109-'ProductSprint Backlog'!$I109), AND('ProductSprint Backlog'!$J109=H$2,'ProductSprint Backlog'!$I109=H$2), 'ProductSprint Backlog'!$F109, TRUE, 0)</f>
        <v>0</v>
      </c>
      <c r="I109" s="4" cm="1">
        <f t="array" ref="I109">_xlfn.IFS('ProductSprint Backlog'!$F109="", "", AND('ProductSprint Backlog'!$J109&gt;I$2,'ProductSprint Backlog'!$I109&lt;=I$2), 'ProductSprint Backlog'!$F109 / MAX(1, 'ProductSprint Backlog'!$J109-'ProductSprint Backlog'!$I109), AND('ProductSprint Backlog'!$J109=I$2,'ProductSprint Backlog'!$I109=I$2), 'ProductSprint Backlog'!$F109, TRUE, 0)</f>
        <v>0</v>
      </c>
      <c r="J109" s="4" cm="1">
        <f t="array" ref="J109">_xlfn.IFS('ProductSprint Backlog'!$F109="", "", AND('ProductSprint Backlog'!$J109&gt;J$2,'ProductSprint Backlog'!$I109&lt;=J$2), 'ProductSprint Backlog'!$F109 / MAX(1, 'ProductSprint Backlog'!$J109-'ProductSprint Backlog'!$I109), AND('ProductSprint Backlog'!$J109=J$2,'ProductSprint Backlog'!$I109=J$2), 'ProductSprint Backlog'!$F109, TRUE, 0)</f>
        <v>0</v>
      </c>
      <c r="K109" s="4" cm="1">
        <f t="array" ref="K109">_xlfn.IFS('ProductSprint Backlog'!$F109="", "", AND('ProductSprint Backlog'!$J109&gt;K$2,'ProductSprint Backlog'!$I109&lt;=K$2), 'ProductSprint Backlog'!$F109 / MAX(1, 'ProductSprint Backlog'!$J109-'ProductSprint Backlog'!$I109), AND('ProductSprint Backlog'!$J109=K$2,'ProductSprint Backlog'!$I109=K$2), 'ProductSprint Backlog'!$F109, TRUE, 0)</f>
        <v>0</v>
      </c>
      <c r="L109" s="4" cm="1">
        <f t="array" ref="L109">_xlfn.IFS('ProductSprint Backlog'!$F109="", "", AND('ProductSprint Backlog'!$J109&gt;L$2,'ProductSprint Backlog'!$I109&lt;=L$2), 'ProductSprint Backlog'!$F109 / MAX(1, 'ProductSprint Backlog'!$J109-'ProductSprint Backlog'!$I109), AND('ProductSprint Backlog'!$J109=L$2,'ProductSprint Backlog'!$I109=L$2), 'ProductSprint Backlog'!$F109, TRUE, 0)</f>
        <v>0</v>
      </c>
      <c r="M109" s="4" cm="1">
        <f t="array" ref="M109">_xlfn.IFS('ProductSprint Backlog'!$F109="", "", AND('ProductSprint Backlog'!$J109&gt;M$2,'ProductSprint Backlog'!$I109&lt;=M$2), 'ProductSprint Backlog'!$F109 / MAX(1, 'ProductSprint Backlog'!$J109-'ProductSprint Backlog'!$I109), AND('ProductSprint Backlog'!$J109=M$2,'ProductSprint Backlog'!$I109=M$2), 'ProductSprint Backlog'!$F109, TRUE, 0)</f>
        <v>0</v>
      </c>
      <c r="N109" s="4" cm="1">
        <f t="array" ref="N109">_xlfn.IFS('ProductSprint Backlog'!$F109="", "", AND('ProductSprint Backlog'!$J109&gt;N$2,'ProductSprint Backlog'!$I109&lt;=N$2), 'ProductSprint Backlog'!$F109 / MAX(1, 'ProductSprint Backlog'!$J109-'ProductSprint Backlog'!$I109), AND('ProductSprint Backlog'!$J109=N$2,'ProductSprint Backlog'!$I109=N$2), 'ProductSprint Backlog'!$F109, TRUE, 0)</f>
        <v>0</v>
      </c>
      <c r="O109" s="4" cm="1">
        <f t="array" ref="O109">_xlfn.IFS('ProductSprint Backlog'!$F109="", "", AND('ProductSprint Backlog'!$J109&gt;O$2,'ProductSprint Backlog'!$I109&lt;=O$2), 'ProductSprint Backlog'!$F109 / MAX(1, 'ProductSprint Backlog'!$J109-'ProductSprint Backlog'!$I109), AND('ProductSprint Backlog'!$J109=O$2,'ProductSprint Backlog'!$I109=O$2), 'ProductSprint Backlog'!$F109, TRUE, 0)</f>
        <v>0</v>
      </c>
      <c r="P109" s="4" cm="1">
        <f t="array" ref="P109">_xlfn.IFS('ProductSprint Backlog'!$F109="", "", AND('ProductSprint Backlog'!$J109&gt;P$2,'ProductSprint Backlog'!$I109&lt;=P$2), 'ProductSprint Backlog'!$F109 / MAX(1, 'ProductSprint Backlog'!$J109-'ProductSprint Backlog'!$I109), AND('ProductSprint Backlog'!$J109=P$2,'ProductSprint Backlog'!$I109=P$2), 'ProductSprint Backlog'!$F109, TRUE, 0)</f>
        <v>0</v>
      </c>
      <c r="Q109" s="4" cm="1">
        <f t="array" ref="Q109">_xlfn.IFS('ProductSprint Backlog'!$F109="", "", AND('ProductSprint Backlog'!$J109&gt;Q$2,'ProductSprint Backlog'!$I109&lt;=Q$2), 'ProductSprint Backlog'!$F109 / MAX(1, 'ProductSprint Backlog'!$J109-'ProductSprint Backlog'!$I109), AND('ProductSprint Backlog'!$J109=Q$2,'ProductSprint Backlog'!$I109=Q$2), 'ProductSprint Backlog'!$F109, TRUE, 0)</f>
        <v>0</v>
      </c>
    </row>
    <row r="110" spans="2:17" x14ac:dyDescent="0.2">
      <c r="B110" s="4" cm="1">
        <f t="array" ref="B110">_xlfn.IFS('ProductSprint Backlog'!$F110="", "", AND('ProductSprint Backlog'!$J110&gt;B$2,'ProductSprint Backlog'!$I110&lt;=B$2), 'ProductSprint Backlog'!$F110 / MAX(1, 'ProductSprint Backlog'!$J110-'ProductSprint Backlog'!$I110), AND('ProductSprint Backlog'!$J110=B$2,'ProductSprint Backlog'!$I110=B$2), 'ProductSprint Backlog'!$F110, TRUE, 0)</f>
        <v>0</v>
      </c>
      <c r="C110" s="4" cm="1">
        <f t="array" ref="C110">_xlfn.IFS('ProductSprint Backlog'!$F110="", "", AND('ProductSprint Backlog'!$J110&gt;C$2,'ProductSprint Backlog'!$I110&lt;=C$2), 'ProductSprint Backlog'!$F110 / MAX(1, 'ProductSprint Backlog'!$J110-'ProductSprint Backlog'!$I110), AND('ProductSprint Backlog'!$J110=C$2,'ProductSprint Backlog'!$I110=C$2), 'ProductSprint Backlog'!$F110, TRUE, 0)</f>
        <v>0</v>
      </c>
      <c r="D110" s="4" cm="1">
        <f t="array" ref="D110">_xlfn.IFS('ProductSprint Backlog'!$F110="", "", AND('ProductSprint Backlog'!$J110&gt;D$2,'ProductSprint Backlog'!$I110&lt;=D$2), 'ProductSprint Backlog'!$F110 / MAX(1, 'ProductSprint Backlog'!$J110-'ProductSprint Backlog'!$I110), AND('ProductSprint Backlog'!$J110=D$2,'ProductSprint Backlog'!$I110=D$2), 'ProductSprint Backlog'!$F110, TRUE, 0)</f>
        <v>0</v>
      </c>
      <c r="E110" s="4" cm="1">
        <f t="array" ref="E110">_xlfn.IFS('ProductSprint Backlog'!$F110="", "", AND('ProductSprint Backlog'!$J110&gt;E$2,'ProductSprint Backlog'!$I110&lt;=E$2), 'ProductSprint Backlog'!$F110 / MAX(1, 'ProductSprint Backlog'!$J110-'ProductSprint Backlog'!$I110), AND('ProductSprint Backlog'!$J110=E$2,'ProductSprint Backlog'!$I110=E$2), 'ProductSprint Backlog'!$F110, TRUE, 0)</f>
        <v>0</v>
      </c>
      <c r="F110" s="4" cm="1">
        <f t="array" ref="F110">_xlfn.IFS('ProductSprint Backlog'!$F110="", "", AND('ProductSprint Backlog'!$J110&gt;F$2,'ProductSprint Backlog'!$I110&lt;=F$2), 'ProductSprint Backlog'!$F110 / MAX(1, 'ProductSprint Backlog'!$J110-'ProductSprint Backlog'!$I110), AND('ProductSprint Backlog'!$J110=F$2,'ProductSprint Backlog'!$I110=F$2), 'ProductSprint Backlog'!$F110, TRUE, 0)</f>
        <v>0</v>
      </c>
      <c r="G110" s="4" cm="1">
        <f t="array" ref="G110">_xlfn.IFS('ProductSprint Backlog'!$F110="", "", AND('ProductSprint Backlog'!$J110&gt;G$2,'ProductSprint Backlog'!$I110&lt;=G$2), 'ProductSprint Backlog'!$F110 / MAX(1, 'ProductSprint Backlog'!$J110-'ProductSprint Backlog'!$I110), AND('ProductSprint Backlog'!$J110=G$2,'ProductSprint Backlog'!$I110=G$2), 'ProductSprint Backlog'!$F110, TRUE, 0)</f>
        <v>0</v>
      </c>
      <c r="H110" s="4" cm="1">
        <f t="array" ref="H110">_xlfn.IFS('ProductSprint Backlog'!$F110="", "", AND('ProductSprint Backlog'!$J110&gt;H$2,'ProductSprint Backlog'!$I110&lt;=H$2), 'ProductSprint Backlog'!$F110 / MAX(1, 'ProductSprint Backlog'!$J110-'ProductSprint Backlog'!$I110), AND('ProductSprint Backlog'!$J110=H$2,'ProductSprint Backlog'!$I110=H$2), 'ProductSprint Backlog'!$F110, TRUE, 0)</f>
        <v>0</v>
      </c>
      <c r="I110" s="4" cm="1">
        <f t="array" ref="I110">_xlfn.IFS('ProductSprint Backlog'!$F110="", "", AND('ProductSprint Backlog'!$J110&gt;I$2,'ProductSprint Backlog'!$I110&lt;=I$2), 'ProductSprint Backlog'!$F110 / MAX(1, 'ProductSprint Backlog'!$J110-'ProductSprint Backlog'!$I110), AND('ProductSprint Backlog'!$J110=I$2,'ProductSprint Backlog'!$I110=I$2), 'ProductSprint Backlog'!$F110, TRUE, 0)</f>
        <v>0</v>
      </c>
      <c r="J110" s="4" cm="1">
        <f t="array" ref="J110">_xlfn.IFS('ProductSprint Backlog'!$F110="", "", AND('ProductSprint Backlog'!$J110&gt;J$2,'ProductSprint Backlog'!$I110&lt;=J$2), 'ProductSprint Backlog'!$F110 / MAX(1, 'ProductSprint Backlog'!$J110-'ProductSprint Backlog'!$I110), AND('ProductSprint Backlog'!$J110=J$2,'ProductSprint Backlog'!$I110=J$2), 'ProductSprint Backlog'!$F110, TRUE, 0)</f>
        <v>0</v>
      </c>
      <c r="K110" s="4" cm="1">
        <f t="array" ref="K110">_xlfn.IFS('ProductSprint Backlog'!$F110="", "", AND('ProductSprint Backlog'!$J110&gt;K$2,'ProductSprint Backlog'!$I110&lt;=K$2), 'ProductSprint Backlog'!$F110 / MAX(1, 'ProductSprint Backlog'!$J110-'ProductSprint Backlog'!$I110), AND('ProductSprint Backlog'!$J110=K$2,'ProductSprint Backlog'!$I110=K$2), 'ProductSprint Backlog'!$F110, TRUE, 0)</f>
        <v>0</v>
      </c>
      <c r="L110" s="4" cm="1">
        <f t="array" ref="L110">_xlfn.IFS('ProductSprint Backlog'!$F110="", "", AND('ProductSprint Backlog'!$J110&gt;L$2,'ProductSprint Backlog'!$I110&lt;=L$2), 'ProductSprint Backlog'!$F110 / MAX(1, 'ProductSprint Backlog'!$J110-'ProductSprint Backlog'!$I110), AND('ProductSprint Backlog'!$J110=L$2,'ProductSprint Backlog'!$I110=L$2), 'ProductSprint Backlog'!$F110, TRUE, 0)</f>
        <v>0</v>
      </c>
      <c r="M110" s="4" cm="1">
        <f t="array" ref="M110">_xlfn.IFS('ProductSprint Backlog'!$F110="", "", AND('ProductSprint Backlog'!$J110&gt;M$2,'ProductSprint Backlog'!$I110&lt;=M$2), 'ProductSprint Backlog'!$F110 / MAX(1, 'ProductSprint Backlog'!$J110-'ProductSprint Backlog'!$I110), AND('ProductSprint Backlog'!$J110=M$2,'ProductSprint Backlog'!$I110=M$2), 'ProductSprint Backlog'!$F110, TRUE, 0)</f>
        <v>0</v>
      </c>
      <c r="N110" s="4" cm="1">
        <f t="array" ref="N110">_xlfn.IFS('ProductSprint Backlog'!$F110="", "", AND('ProductSprint Backlog'!$J110&gt;N$2,'ProductSprint Backlog'!$I110&lt;=N$2), 'ProductSprint Backlog'!$F110 / MAX(1, 'ProductSprint Backlog'!$J110-'ProductSprint Backlog'!$I110), AND('ProductSprint Backlog'!$J110=N$2,'ProductSprint Backlog'!$I110=N$2), 'ProductSprint Backlog'!$F110, TRUE, 0)</f>
        <v>0</v>
      </c>
      <c r="O110" s="4" cm="1">
        <f t="array" ref="O110">_xlfn.IFS('ProductSprint Backlog'!$F110="", "", AND('ProductSprint Backlog'!$J110&gt;O$2,'ProductSprint Backlog'!$I110&lt;=O$2), 'ProductSprint Backlog'!$F110 / MAX(1, 'ProductSprint Backlog'!$J110-'ProductSprint Backlog'!$I110), AND('ProductSprint Backlog'!$J110=O$2,'ProductSprint Backlog'!$I110=O$2), 'ProductSprint Backlog'!$F110, TRUE, 0)</f>
        <v>0</v>
      </c>
      <c r="P110" s="4" cm="1">
        <f t="array" ref="P110">_xlfn.IFS('ProductSprint Backlog'!$F110="", "", AND('ProductSprint Backlog'!$J110&gt;P$2,'ProductSprint Backlog'!$I110&lt;=P$2), 'ProductSprint Backlog'!$F110 / MAX(1, 'ProductSprint Backlog'!$J110-'ProductSprint Backlog'!$I110), AND('ProductSprint Backlog'!$J110=P$2,'ProductSprint Backlog'!$I110=P$2), 'ProductSprint Backlog'!$F110, TRUE, 0)</f>
        <v>0</v>
      </c>
      <c r="Q110" s="4" cm="1">
        <f t="array" ref="Q110">_xlfn.IFS('ProductSprint Backlog'!$F110="", "", AND('ProductSprint Backlog'!$J110&gt;Q$2,'ProductSprint Backlog'!$I110&lt;=Q$2), 'ProductSprint Backlog'!$F110 / MAX(1, 'ProductSprint Backlog'!$J110-'ProductSprint Backlog'!$I110), AND('ProductSprint Backlog'!$J110=Q$2,'ProductSprint Backlog'!$I110=Q$2), 'ProductSprint Backlog'!$F110, TRUE, 0)</f>
        <v>0</v>
      </c>
    </row>
    <row r="111" spans="2:17" x14ac:dyDescent="0.2">
      <c r="B111" s="4" cm="1">
        <f t="array" ref="B111">_xlfn.IFS('ProductSprint Backlog'!$F111="", "", AND('ProductSprint Backlog'!$J111&gt;B$2,'ProductSprint Backlog'!$I111&lt;=B$2), 'ProductSprint Backlog'!$F111 / MAX(1, 'ProductSprint Backlog'!$J111-'ProductSprint Backlog'!$I111), AND('ProductSprint Backlog'!$J111=B$2,'ProductSprint Backlog'!$I111=B$2), 'ProductSprint Backlog'!$F111, TRUE, 0)</f>
        <v>0</v>
      </c>
      <c r="C111" s="4" cm="1">
        <f t="array" ref="C111">_xlfn.IFS('ProductSprint Backlog'!$F111="", "", AND('ProductSprint Backlog'!$J111&gt;C$2,'ProductSprint Backlog'!$I111&lt;=C$2), 'ProductSprint Backlog'!$F111 / MAX(1, 'ProductSprint Backlog'!$J111-'ProductSprint Backlog'!$I111), AND('ProductSprint Backlog'!$J111=C$2,'ProductSprint Backlog'!$I111=C$2), 'ProductSprint Backlog'!$F111, TRUE, 0)</f>
        <v>0</v>
      </c>
      <c r="D111" s="4" cm="1">
        <f t="array" ref="D111">_xlfn.IFS('ProductSprint Backlog'!$F111="", "", AND('ProductSprint Backlog'!$J111&gt;D$2,'ProductSprint Backlog'!$I111&lt;=D$2), 'ProductSprint Backlog'!$F111 / MAX(1, 'ProductSprint Backlog'!$J111-'ProductSprint Backlog'!$I111), AND('ProductSprint Backlog'!$J111=D$2,'ProductSprint Backlog'!$I111=D$2), 'ProductSprint Backlog'!$F111, TRUE, 0)</f>
        <v>0</v>
      </c>
      <c r="E111" s="4" cm="1">
        <f t="array" ref="E111">_xlfn.IFS('ProductSprint Backlog'!$F111="", "", AND('ProductSprint Backlog'!$J111&gt;E$2,'ProductSprint Backlog'!$I111&lt;=E$2), 'ProductSprint Backlog'!$F111 / MAX(1, 'ProductSprint Backlog'!$J111-'ProductSprint Backlog'!$I111), AND('ProductSprint Backlog'!$J111=E$2,'ProductSprint Backlog'!$I111=E$2), 'ProductSprint Backlog'!$F111, TRUE, 0)</f>
        <v>0</v>
      </c>
      <c r="F111" s="4" cm="1">
        <f t="array" ref="F111">_xlfn.IFS('ProductSprint Backlog'!$F111="", "", AND('ProductSprint Backlog'!$J111&gt;F$2,'ProductSprint Backlog'!$I111&lt;=F$2), 'ProductSprint Backlog'!$F111 / MAX(1, 'ProductSprint Backlog'!$J111-'ProductSprint Backlog'!$I111), AND('ProductSprint Backlog'!$J111=F$2,'ProductSprint Backlog'!$I111=F$2), 'ProductSprint Backlog'!$F111, TRUE, 0)</f>
        <v>0</v>
      </c>
      <c r="G111" s="4" cm="1">
        <f t="array" ref="G111">_xlfn.IFS('ProductSprint Backlog'!$F111="", "", AND('ProductSprint Backlog'!$J111&gt;G$2,'ProductSprint Backlog'!$I111&lt;=G$2), 'ProductSprint Backlog'!$F111 / MAX(1, 'ProductSprint Backlog'!$J111-'ProductSprint Backlog'!$I111), AND('ProductSprint Backlog'!$J111=G$2,'ProductSprint Backlog'!$I111=G$2), 'ProductSprint Backlog'!$F111, TRUE, 0)</f>
        <v>0</v>
      </c>
      <c r="H111" s="4" cm="1">
        <f t="array" ref="H111">_xlfn.IFS('ProductSprint Backlog'!$F111="", "", AND('ProductSprint Backlog'!$J111&gt;H$2,'ProductSprint Backlog'!$I111&lt;=H$2), 'ProductSprint Backlog'!$F111 / MAX(1, 'ProductSprint Backlog'!$J111-'ProductSprint Backlog'!$I111), AND('ProductSprint Backlog'!$J111=H$2,'ProductSprint Backlog'!$I111=H$2), 'ProductSprint Backlog'!$F111, TRUE, 0)</f>
        <v>0</v>
      </c>
      <c r="I111" s="4" cm="1">
        <f t="array" ref="I111">_xlfn.IFS('ProductSprint Backlog'!$F111="", "", AND('ProductSprint Backlog'!$J111&gt;I$2,'ProductSprint Backlog'!$I111&lt;=I$2), 'ProductSprint Backlog'!$F111 / MAX(1, 'ProductSprint Backlog'!$J111-'ProductSprint Backlog'!$I111), AND('ProductSprint Backlog'!$J111=I$2,'ProductSprint Backlog'!$I111=I$2), 'ProductSprint Backlog'!$F111, TRUE, 0)</f>
        <v>0</v>
      </c>
      <c r="J111" s="4" cm="1">
        <f t="array" ref="J111">_xlfn.IFS('ProductSprint Backlog'!$F111="", "", AND('ProductSprint Backlog'!$J111&gt;J$2,'ProductSprint Backlog'!$I111&lt;=J$2), 'ProductSprint Backlog'!$F111 / MAX(1, 'ProductSprint Backlog'!$J111-'ProductSprint Backlog'!$I111), AND('ProductSprint Backlog'!$J111=J$2,'ProductSprint Backlog'!$I111=J$2), 'ProductSprint Backlog'!$F111, TRUE, 0)</f>
        <v>0</v>
      </c>
      <c r="K111" s="4" cm="1">
        <f t="array" ref="K111">_xlfn.IFS('ProductSprint Backlog'!$F111="", "", AND('ProductSprint Backlog'!$J111&gt;K$2,'ProductSprint Backlog'!$I111&lt;=K$2), 'ProductSprint Backlog'!$F111 / MAX(1, 'ProductSprint Backlog'!$J111-'ProductSprint Backlog'!$I111), AND('ProductSprint Backlog'!$J111=K$2,'ProductSprint Backlog'!$I111=K$2), 'ProductSprint Backlog'!$F111, TRUE, 0)</f>
        <v>0</v>
      </c>
      <c r="L111" s="4" cm="1">
        <f t="array" ref="L111">_xlfn.IFS('ProductSprint Backlog'!$F111="", "", AND('ProductSprint Backlog'!$J111&gt;L$2,'ProductSprint Backlog'!$I111&lt;=L$2), 'ProductSprint Backlog'!$F111 / MAX(1, 'ProductSprint Backlog'!$J111-'ProductSprint Backlog'!$I111), AND('ProductSprint Backlog'!$J111=L$2,'ProductSprint Backlog'!$I111=L$2), 'ProductSprint Backlog'!$F111, TRUE, 0)</f>
        <v>0</v>
      </c>
      <c r="M111" s="4" cm="1">
        <f t="array" ref="M111">_xlfn.IFS('ProductSprint Backlog'!$F111="", "", AND('ProductSprint Backlog'!$J111&gt;M$2,'ProductSprint Backlog'!$I111&lt;=M$2), 'ProductSprint Backlog'!$F111 / MAX(1, 'ProductSprint Backlog'!$J111-'ProductSprint Backlog'!$I111), AND('ProductSprint Backlog'!$J111=M$2,'ProductSprint Backlog'!$I111=M$2), 'ProductSprint Backlog'!$F111, TRUE, 0)</f>
        <v>0</v>
      </c>
      <c r="N111" s="4" cm="1">
        <f t="array" ref="N111">_xlfn.IFS('ProductSprint Backlog'!$F111="", "", AND('ProductSprint Backlog'!$J111&gt;N$2,'ProductSprint Backlog'!$I111&lt;=N$2), 'ProductSprint Backlog'!$F111 / MAX(1, 'ProductSprint Backlog'!$J111-'ProductSprint Backlog'!$I111), AND('ProductSprint Backlog'!$J111=N$2,'ProductSprint Backlog'!$I111=N$2), 'ProductSprint Backlog'!$F111, TRUE, 0)</f>
        <v>0</v>
      </c>
      <c r="O111" s="4" cm="1">
        <f t="array" ref="O111">_xlfn.IFS('ProductSprint Backlog'!$F111="", "", AND('ProductSprint Backlog'!$J111&gt;O$2,'ProductSprint Backlog'!$I111&lt;=O$2), 'ProductSprint Backlog'!$F111 / MAX(1, 'ProductSprint Backlog'!$J111-'ProductSprint Backlog'!$I111), AND('ProductSprint Backlog'!$J111=O$2,'ProductSprint Backlog'!$I111=O$2), 'ProductSprint Backlog'!$F111, TRUE, 0)</f>
        <v>0</v>
      </c>
      <c r="P111" s="4" cm="1">
        <f t="array" ref="P111">_xlfn.IFS('ProductSprint Backlog'!$F111="", "", AND('ProductSprint Backlog'!$J111&gt;P$2,'ProductSprint Backlog'!$I111&lt;=P$2), 'ProductSprint Backlog'!$F111 / MAX(1, 'ProductSprint Backlog'!$J111-'ProductSprint Backlog'!$I111), AND('ProductSprint Backlog'!$J111=P$2,'ProductSprint Backlog'!$I111=P$2), 'ProductSprint Backlog'!$F111, TRUE, 0)</f>
        <v>0</v>
      </c>
      <c r="Q111" s="4" cm="1">
        <f t="array" ref="Q111">_xlfn.IFS('ProductSprint Backlog'!$F111="", "", AND('ProductSprint Backlog'!$J111&gt;Q$2,'ProductSprint Backlog'!$I111&lt;=Q$2), 'ProductSprint Backlog'!$F111 / MAX(1, 'ProductSprint Backlog'!$J111-'ProductSprint Backlog'!$I111), AND('ProductSprint Backlog'!$J111=Q$2,'ProductSprint Backlog'!$I111=Q$2), 'ProductSprint Backlog'!$F111, TRUE, 0)</f>
        <v>0</v>
      </c>
    </row>
    <row r="112" spans="2:17" x14ac:dyDescent="0.2">
      <c r="B112" s="4" cm="1">
        <f t="array" ref="B112">_xlfn.IFS('ProductSprint Backlog'!$F112="", "", AND('ProductSprint Backlog'!$J112&gt;B$2,'ProductSprint Backlog'!$I112&lt;=B$2), 'ProductSprint Backlog'!$F112 / MAX(1, 'ProductSprint Backlog'!$J112-'ProductSprint Backlog'!$I112), AND('ProductSprint Backlog'!$J112=B$2,'ProductSprint Backlog'!$I112=B$2), 'ProductSprint Backlog'!$F112, TRUE, 0)</f>
        <v>0</v>
      </c>
      <c r="C112" s="4" cm="1">
        <f t="array" ref="C112">_xlfn.IFS('ProductSprint Backlog'!$F112="", "", AND('ProductSprint Backlog'!$J112&gt;C$2,'ProductSprint Backlog'!$I112&lt;=C$2), 'ProductSprint Backlog'!$F112 / MAX(1, 'ProductSprint Backlog'!$J112-'ProductSprint Backlog'!$I112), AND('ProductSprint Backlog'!$J112=C$2,'ProductSprint Backlog'!$I112=C$2), 'ProductSprint Backlog'!$F112, TRUE, 0)</f>
        <v>0</v>
      </c>
      <c r="D112" s="4" cm="1">
        <f t="array" ref="D112">_xlfn.IFS('ProductSprint Backlog'!$F112="", "", AND('ProductSprint Backlog'!$J112&gt;D$2,'ProductSprint Backlog'!$I112&lt;=D$2), 'ProductSprint Backlog'!$F112 / MAX(1, 'ProductSprint Backlog'!$J112-'ProductSprint Backlog'!$I112), AND('ProductSprint Backlog'!$J112=D$2,'ProductSprint Backlog'!$I112=D$2), 'ProductSprint Backlog'!$F112, TRUE, 0)</f>
        <v>0</v>
      </c>
      <c r="E112" s="4" cm="1">
        <f t="array" ref="E112">_xlfn.IFS('ProductSprint Backlog'!$F112="", "", AND('ProductSprint Backlog'!$J112&gt;E$2,'ProductSprint Backlog'!$I112&lt;=E$2), 'ProductSprint Backlog'!$F112 / MAX(1, 'ProductSprint Backlog'!$J112-'ProductSprint Backlog'!$I112), AND('ProductSprint Backlog'!$J112=E$2,'ProductSprint Backlog'!$I112=E$2), 'ProductSprint Backlog'!$F112, TRUE, 0)</f>
        <v>0</v>
      </c>
      <c r="F112" s="4" cm="1">
        <f t="array" ref="F112">_xlfn.IFS('ProductSprint Backlog'!$F112="", "", AND('ProductSprint Backlog'!$J112&gt;F$2,'ProductSprint Backlog'!$I112&lt;=F$2), 'ProductSprint Backlog'!$F112 / MAX(1, 'ProductSprint Backlog'!$J112-'ProductSprint Backlog'!$I112), AND('ProductSprint Backlog'!$J112=F$2,'ProductSprint Backlog'!$I112=F$2), 'ProductSprint Backlog'!$F112, TRUE, 0)</f>
        <v>0</v>
      </c>
      <c r="G112" s="4" cm="1">
        <f t="array" ref="G112">_xlfn.IFS('ProductSprint Backlog'!$F112="", "", AND('ProductSprint Backlog'!$J112&gt;G$2,'ProductSprint Backlog'!$I112&lt;=G$2), 'ProductSprint Backlog'!$F112 / MAX(1, 'ProductSprint Backlog'!$J112-'ProductSprint Backlog'!$I112), AND('ProductSprint Backlog'!$J112=G$2,'ProductSprint Backlog'!$I112=G$2), 'ProductSprint Backlog'!$F112, TRUE, 0)</f>
        <v>0</v>
      </c>
      <c r="H112" s="4" cm="1">
        <f t="array" ref="H112">_xlfn.IFS('ProductSprint Backlog'!$F112="", "", AND('ProductSprint Backlog'!$J112&gt;H$2,'ProductSprint Backlog'!$I112&lt;=H$2), 'ProductSprint Backlog'!$F112 / MAX(1, 'ProductSprint Backlog'!$J112-'ProductSprint Backlog'!$I112), AND('ProductSprint Backlog'!$J112=H$2,'ProductSprint Backlog'!$I112=H$2), 'ProductSprint Backlog'!$F112, TRUE, 0)</f>
        <v>0</v>
      </c>
      <c r="I112" s="4" cm="1">
        <f t="array" ref="I112">_xlfn.IFS('ProductSprint Backlog'!$F112="", "", AND('ProductSprint Backlog'!$J112&gt;I$2,'ProductSprint Backlog'!$I112&lt;=I$2), 'ProductSprint Backlog'!$F112 / MAX(1, 'ProductSprint Backlog'!$J112-'ProductSprint Backlog'!$I112), AND('ProductSprint Backlog'!$J112=I$2,'ProductSprint Backlog'!$I112=I$2), 'ProductSprint Backlog'!$F112, TRUE, 0)</f>
        <v>0</v>
      </c>
      <c r="J112" s="4" cm="1">
        <f t="array" ref="J112">_xlfn.IFS('ProductSprint Backlog'!$F112="", "", AND('ProductSprint Backlog'!$J112&gt;J$2,'ProductSprint Backlog'!$I112&lt;=J$2), 'ProductSprint Backlog'!$F112 / MAX(1, 'ProductSprint Backlog'!$J112-'ProductSprint Backlog'!$I112), AND('ProductSprint Backlog'!$J112=J$2,'ProductSprint Backlog'!$I112=J$2), 'ProductSprint Backlog'!$F112, TRUE, 0)</f>
        <v>0</v>
      </c>
      <c r="K112" s="4" cm="1">
        <f t="array" ref="K112">_xlfn.IFS('ProductSprint Backlog'!$F112="", "", AND('ProductSprint Backlog'!$J112&gt;K$2,'ProductSprint Backlog'!$I112&lt;=K$2), 'ProductSprint Backlog'!$F112 / MAX(1, 'ProductSprint Backlog'!$J112-'ProductSprint Backlog'!$I112), AND('ProductSprint Backlog'!$J112=K$2,'ProductSprint Backlog'!$I112=K$2), 'ProductSprint Backlog'!$F112, TRUE, 0)</f>
        <v>0</v>
      </c>
      <c r="L112" s="4" cm="1">
        <f t="array" ref="L112">_xlfn.IFS('ProductSprint Backlog'!$F112="", "", AND('ProductSprint Backlog'!$J112&gt;L$2,'ProductSprint Backlog'!$I112&lt;=L$2), 'ProductSprint Backlog'!$F112 / MAX(1, 'ProductSprint Backlog'!$J112-'ProductSprint Backlog'!$I112), AND('ProductSprint Backlog'!$J112=L$2,'ProductSprint Backlog'!$I112=L$2), 'ProductSprint Backlog'!$F112, TRUE, 0)</f>
        <v>0</v>
      </c>
      <c r="M112" s="4" cm="1">
        <f t="array" ref="M112">_xlfn.IFS('ProductSprint Backlog'!$F112="", "", AND('ProductSprint Backlog'!$J112&gt;M$2,'ProductSprint Backlog'!$I112&lt;=M$2), 'ProductSprint Backlog'!$F112 / MAX(1, 'ProductSprint Backlog'!$J112-'ProductSprint Backlog'!$I112), AND('ProductSprint Backlog'!$J112=M$2,'ProductSprint Backlog'!$I112=M$2), 'ProductSprint Backlog'!$F112, TRUE, 0)</f>
        <v>0</v>
      </c>
      <c r="N112" s="4" cm="1">
        <f t="array" ref="N112">_xlfn.IFS('ProductSprint Backlog'!$F112="", "", AND('ProductSprint Backlog'!$J112&gt;N$2,'ProductSprint Backlog'!$I112&lt;=N$2), 'ProductSprint Backlog'!$F112 / MAX(1, 'ProductSprint Backlog'!$J112-'ProductSprint Backlog'!$I112), AND('ProductSprint Backlog'!$J112=N$2,'ProductSprint Backlog'!$I112=N$2), 'ProductSprint Backlog'!$F112, TRUE, 0)</f>
        <v>0</v>
      </c>
      <c r="O112" s="4" cm="1">
        <f t="array" ref="O112">_xlfn.IFS('ProductSprint Backlog'!$F112="", "", AND('ProductSprint Backlog'!$J112&gt;O$2,'ProductSprint Backlog'!$I112&lt;=O$2), 'ProductSprint Backlog'!$F112 / MAX(1, 'ProductSprint Backlog'!$J112-'ProductSprint Backlog'!$I112), AND('ProductSprint Backlog'!$J112=O$2,'ProductSprint Backlog'!$I112=O$2), 'ProductSprint Backlog'!$F112, TRUE, 0)</f>
        <v>0</v>
      </c>
      <c r="P112" s="4" cm="1">
        <f t="array" ref="P112">_xlfn.IFS('ProductSprint Backlog'!$F112="", "", AND('ProductSprint Backlog'!$J112&gt;P$2,'ProductSprint Backlog'!$I112&lt;=P$2), 'ProductSprint Backlog'!$F112 / MAX(1, 'ProductSprint Backlog'!$J112-'ProductSprint Backlog'!$I112), AND('ProductSprint Backlog'!$J112=P$2,'ProductSprint Backlog'!$I112=P$2), 'ProductSprint Backlog'!$F112, TRUE, 0)</f>
        <v>0</v>
      </c>
      <c r="Q112" s="4" cm="1">
        <f t="array" ref="Q112">_xlfn.IFS('ProductSprint Backlog'!$F112="", "", AND('ProductSprint Backlog'!$J112&gt;Q$2,'ProductSprint Backlog'!$I112&lt;=Q$2), 'ProductSprint Backlog'!$F112 / MAX(1, 'ProductSprint Backlog'!$J112-'ProductSprint Backlog'!$I112), AND('ProductSprint Backlog'!$J112=Q$2,'ProductSprint Backlog'!$I112=Q$2), 'ProductSprint Backlog'!$F112, TRUE, 0)</f>
        <v>0</v>
      </c>
    </row>
    <row r="113" spans="2:17" x14ac:dyDescent="0.2">
      <c r="B113" s="4" cm="1">
        <f t="array" ref="B113">_xlfn.IFS('ProductSprint Backlog'!$F113="", "", AND('ProductSprint Backlog'!$J113&gt;B$2,'ProductSprint Backlog'!$I113&lt;=B$2), 'ProductSprint Backlog'!$F113 / MAX(1, 'ProductSprint Backlog'!$J113-'ProductSprint Backlog'!$I113), AND('ProductSprint Backlog'!$J113=B$2,'ProductSprint Backlog'!$I113=B$2), 'ProductSprint Backlog'!$F113, TRUE, 0)</f>
        <v>0</v>
      </c>
      <c r="C113" s="4" cm="1">
        <f t="array" ref="C113">_xlfn.IFS('ProductSprint Backlog'!$F113="", "", AND('ProductSprint Backlog'!$J113&gt;C$2,'ProductSprint Backlog'!$I113&lt;=C$2), 'ProductSprint Backlog'!$F113 / MAX(1, 'ProductSprint Backlog'!$J113-'ProductSprint Backlog'!$I113), AND('ProductSprint Backlog'!$J113=C$2,'ProductSprint Backlog'!$I113=C$2), 'ProductSprint Backlog'!$F113, TRUE, 0)</f>
        <v>0</v>
      </c>
      <c r="D113" s="4" cm="1">
        <f t="array" ref="D113">_xlfn.IFS('ProductSprint Backlog'!$F113="", "", AND('ProductSprint Backlog'!$J113&gt;D$2,'ProductSprint Backlog'!$I113&lt;=D$2), 'ProductSprint Backlog'!$F113 / MAX(1, 'ProductSprint Backlog'!$J113-'ProductSprint Backlog'!$I113), AND('ProductSprint Backlog'!$J113=D$2,'ProductSprint Backlog'!$I113=D$2), 'ProductSprint Backlog'!$F113, TRUE, 0)</f>
        <v>0</v>
      </c>
      <c r="E113" s="4" cm="1">
        <f t="array" ref="E113">_xlfn.IFS('ProductSprint Backlog'!$F113="", "", AND('ProductSprint Backlog'!$J113&gt;E$2,'ProductSprint Backlog'!$I113&lt;=E$2), 'ProductSprint Backlog'!$F113 / MAX(1, 'ProductSprint Backlog'!$J113-'ProductSprint Backlog'!$I113), AND('ProductSprint Backlog'!$J113=E$2,'ProductSprint Backlog'!$I113=E$2), 'ProductSprint Backlog'!$F113, TRUE, 0)</f>
        <v>0</v>
      </c>
      <c r="F113" s="4" cm="1">
        <f t="array" ref="F113">_xlfn.IFS('ProductSprint Backlog'!$F113="", "", AND('ProductSprint Backlog'!$J113&gt;F$2,'ProductSprint Backlog'!$I113&lt;=F$2), 'ProductSprint Backlog'!$F113 / MAX(1, 'ProductSprint Backlog'!$J113-'ProductSprint Backlog'!$I113), AND('ProductSprint Backlog'!$J113=F$2,'ProductSprint Backlog'!$I113=F$2), 'ProductSprint Backlog'!$F113, TRUE, 0)</f>
        <v>0</v>
      </c>
      <c r="G113" s="4" cm="1">
        <f t="array" ref="G113">_xlfn.IFS('ProductSprint Backlog'!$F113="", "", AND('ProductSprint Backlog'!$J113&gt;G$2,'ProductSprint Backlog'!$I113&lt;=G$2), 'ProductSprint Backlog'!$F113 / MAX(1, 'ProductSprint Backlog'!$J113-'ProductSprint Backlog'!$I113), AND('ProductSprint Backlog'!$J113=G$2,'ProductSprint Backlog'!$I113=G$2), 'ProductSprint Backlog'!$F113, TRUE, 0)</f>
        <v>0</v>
      </c>
      <c r="H113" s="4" cm="1">
        <f t="array" ref="H113">_xlfn.IFS('ProductSprint Backlog'!$F113="", "", AND('ProductSprint Backlog'!$J113&gt;H$2,'ProductSprint Backlog'!$I113&lt;=H$2), 'ProductSprint Backlog'!$F113 / MAX(1, 'ProductSprint Backlog'!$J113-'ProductSprint Backlog'!$I113), AND('ProductSprint Backlog'!$J113=H$2,'ProductSprint Backlog'!$I113=H$2), 'ProductSprint Backlog'!$F113, TRUE, 0)</f>
        <v>0</v>
      </c>
      <c r="I113" s="4" cm="1">
        <f t="array" ref="I113">_xlfn.IFS('ProductSprint Backlog'!$F113="", "", AND('ProductSprint Backlog'!$J113&gt;I$2,'ProductSprint Backlog'!$I113&lt;=I$2), 'ProductSprint Backlog'!$F113 / MAX(1, 'ProductSprint Backlog'!$J113-'ProductSprint Backlog'!$I113), AND('ProductSprint Backlog'!$J113=I$2,'ProductSprint Backlog'!$I113=I$2), 'ProductSprint Backlog'!$F113, TRUE, 0)</f>
        <v>0</v>
      </c>
      <c r="J113" s="4" cm="1">
        <f t="array" ref="J113">_xlfn.IFS('ProductSprint Backlog'!$F113="", "", AND('ProductSprint Backlog'!$J113&gt;J$2,'ProductSprint Backlog'!$I113&lt;=J$2), 'ProductSprint Backlog'!$F113 / MAX(1, 'ProductSprint Backlog'!$J113-'ProductSprint Backlog'!$I113), AND('ProductSprint Backlog'!$J113=J$2,'ProductSprint Backlog'!$I113=J$2), 'ProductSprint Backlog'!$F113, TRUE, 0)</f>
        <v>0</v>
      </c>
      <c r="K113" s="4" cm="1">
        <f t="array" ref="K113">_xlfn.IFS('ProductSprint Backlog'!$F113="", "", AND('ProductSprint Backlog'!$J113&gt;K$2,'ProductSprint Backlog'!$I113&lt;=K$2), 'ProductSprint Backlog'!$F113 / MAX(1, 'ProductSprint Backlog'!$J113-'ProductSprint Backlog'!$I113), AND('ProductSprint Backlog'!$J113=K$2,'ProductSprint Backlog'!$I113=K$2), 'ProductSprint Backlog'!$F113, TRUE, 0)</f>
        <v>0</v>
      </c>
      <c r="L113" s="4" cm="1">
        <f t="array" ref="L113">_xlfn.IFS('ProductSprint Backlog'!$F113="", "", AND('ProductSprint Backlog'!$J113&gt;L$2,'ProductSprint Backlog'!$I113&lt;=L$2), 'ProductSprint Backlog'!$F113 / MAX(1, 'ProductSprint Backlog'!$J113-'ProductSprint Backlog'!$I113), AND('ProductSprint Backlog'!$J113=L$2,'ProductSprint Backlog'!$I113=L$2), 'ProductSprint Backlog'!$F113, TRUE, 0)</f>
        <v>0</v>
      </c>
      <c r="M113" s="4" cm="1">
        <f t="array" ref="M113">_xlfn.IFS('ProductSprint Backlog'!$F113="", "", AND('ProductSprint Backlog'!$J113&gt;M$2,'ProductSprint Backlog'!$I113&lt;=M$2), 'ProductSprint Backlog'!$F113 / MAX(1, 'ProductSprint Backlog'!$J113-'ProductSprint Backlog'!$I113), AND('ProductSprint Backlog'!$J113=M$2,'ProductSprint Backlog'!$I113=M$2), 'ProductSprint Backlog'!$F113, TRUE, 0)</f>
        <v>0</v>
      </c>
      <c r="N113" s="4" cm="1">
        <f t="array" ref="N113">_xlfn.IFS('ProductSprint Backlog'!$F113="", "", AND('ProductSprint Backlog'!$J113&gt;N$2,'ProductSprint Backlog'!$I113&lt;=N$2), 'ProductSprint Backlog'!$F113 / MAX(1, 'ProductSprint Backlog'!$J113-'ProductSprint Backlog'!$I113), AND('ProductSprint Backlog'!$J113=N$2,'ProductSprint Backlog'!$I113=N$2), 'ProductSprint Backlog'!$F113, TRUE, 0)</f>
        <v>0</v>
      </c>
      <c r="O113" s="4" cm="1">
        <f t="array" ref="O113">_xlfn.IFS('ProductSprint Backlog'!$F113="", "", AND('ProductSprint Backlog'!$J113&gt;O$2,'ProductSprint Backlog'!$I113&lt;=O$2), 'ProductSprint Backlog'!$F113 / MAX(1, 'ProductSprint Backlog'!$J113-'ProductSprint Backlog'!$I113), AND('ProductSprint Backlog'!$J113=O$2,'ProductSprint Backlog'!$I113=O$2), 'ProductSprint Backlog'!$F113, TRUE, 0)</f>
        <v>0</v>
      </c>
      <c r="P113" s="4" cm="1">
        <f t="array" ref="P113">_xlfn.IFS('ProductSprint Backlog'!$F113="", "", AND('ProductSprint Backlog'!$J113&gt;P$2,'ProductSprint Backlog'!$I113&lt;=P$2), 'ProductSprint Backlog'!$F113 / MAX(1, 'ProductSprint Backlog'!$J113-'ProductSprint Backlog'!$I113), AND('ProductSprint Backlog'!$J113=P$2,'ProductSprint Backlog'!$I113=P$2), 'ProductSprint Backlog'!$F113, TRUE, 0)</f>
        <v>0</v>
      </c>
      <c r="Q113" s="4" cm="1">
        <f t="array" ref="Q113">_xlfn.IFS('ProductSprint Backlog'!$F113="", "", AND('ProductSprint Backlog'!$J113&gt;Q$2,'ProductSprint Backlog'!$I113&lt;=Q$2), 'ProductSprint Backlog'!$F113 / MAX(1, 'ProductSprint Backlog'!$J113-'ProductSprint Backlog'!$I113), AND('ProductSprint Backlog'!$J113=Q$2,'ProductSprint Backlog'!$I113=Q$2), 'ProductSprint Backlog'!$F113, TRUE, 0)</f>
        <v>0</v>
      </c>
    </row>
    <row r="114" spans="2:17" x14ac:dyDescent="0.2">
      <c r="B114" s="4" cm="1">
        <f t="array" ref="B114">_xlfn.IFS('ProductSprint Backlog'!$F114="", "", AND('ProductSprint Backlog'!$J114&gt;B$2,'ProductSprint Backlog'!$I114&lt;=B$2), 'ProductSprint Backlog'!$F114 / MAX(1, 'ProductSprint Backlog'!$J114-'ProductSprint Backlog'!$I114), AND('ProductSprint Backlog'!$J114=B$2,'ProductSprint Backlog'!$I114=B$2), 'ProductSprint Backlog'!$F114, TRUE, 0)</f>
        <v>0</v>
      </c>
      <c r="C114" s="4" cm="1">
        <f t="array" ref="C114">_xlfn.IFS('ProductSprint Backlog'!$F114="", "", AND('ProductSprint Backlog'!$J114&gt;C$2,'ProductSprint Backlog'!$I114&lt;=C$2), 'ProductSprint Backlog'!$F114 / MAX(1, 'ProductSprint Backlog'!$J114-'ProductSprint Backlog'!$I114), AND('ProductSprint Backlog'!$J114=C$2,'ProductSprint Backlog'!$I114=C$2), 'ProductSprint Backlog'!$F114, TRUE, 0)</f>
        <v>0</v>
      </c>
      <c r="D114" s="4" cm="1">
        <f t="array" ref="D114">_xlfn.IFS('ProductSprint Backlog'!$F114="", "", AND('ProductSprint Backlog'!$J114&gt;D$2,'ProductSprint Backlog'!$I114&lt;=D$2), 'ProductSprint Backlog'!$F114 / MAX(1, 'ProductSprint Backlog'!$J114-'ProductSprint Backlog'!$I114), AND('ProductSprint Backlog'!$J114=D$2,'ProductSprint Backlog'!$I114=D$2), 'ProductSprint Backlog'!$F114, TRUE, 0)</f>
        <v>0</v>
      </c>
      <c r="E114" s="4" cm="1">
        <f t="array" ref="E114">_xlfn.IFS('ProductSprint Backlog'!$F114="", "", AND('ProductSprint Backlog'!$J114&gt;E$2,'ProductSprint Backlog'!$I114&lt;=E$2), 'ProductSprint Backlog'!$F114 / MAX(1, 'ProductSprint Backlog'!$J114-'ProductSprint Backlog'!$I114), AND('ProductSprint Backlog'!$J114=E$2,'ProductSprint Backlog'!$I114=E$2), 'ProductSprint Backlog'!$F114, TRUE, 0)</f>
        <v>0</v>
      </c>
      <c r="F114" s="4" cm="1">
        <f t="array" ref="F114">_xlfn.IFS('ProductSprint Backlog'!$F114="", "", AND('ProductSprint Backlog'!$J114&gt;F$2,'ProductSprint Backlog'!$I114&lt;=F$2), 'ProductSprint Backlog'!$F114 / MAX(1, 'ProductSprint Backlog'!$J114-'ProductSprint Backlog'!$I114), AND('ProductSprint Backlog'!$J114=F$2,'ProductSprint Backlog'!$I114=F$2), 'ProductSprint Backlog'!$F114, TRUE, 0)</f>
        <v>0</v>
      </c>
      <c r="G114" s="4" cm="1">
        <f t="array" ref="G114">_xlfn.IFS('ProductSprint Backlog'!$F114="", "", AND('ProductSprint Backlog'!$J114&gt;G$2,'ProductSprint Backlog'!$I114&lt;=G$2), 'ProductSprint Backlog'!$F114 / MAX(1, 'ProductSprint Backlog'!$J114-'ProductSprint Backlog'!$I114), AND('ProductSprint Backlog'!$J114=G$2,'ProductSprint Backlog'!$I114=G$2), 'ProductSprint Backlog'!$F114, TRUE, 0)</f>
        <v>0</v>
      </c>
      <c r="H114" s="4" cm="1">
        <f t="array" ref="H114">_xlfn.IFS('ProductSprint Backlog'!$F114="", "", AND('ProductSprint Backlog'!$J114&gt;H$2,'ProductSprint Backlog'!$I114&lt;=H$2), 'ProductSprint Backlog'!$F114 / MAX(1, 'ProductSprint Backlog'!$J114-'ProductSprint Backlog'!$I114), AND('ProductSprint Backlog'!$J114=H$2,'ProductSprint Backlog'!$I114=H$2), 'ProductSprint Backlog'!$F114, TRUE, 0)</f>
        <v>0</v>
      </c>
      <c r="I114" s="4" cm="1">
        <f t="array" ref="I114">_xlfn.IFS('ProductSprint Backlog'!$F114="", "", AND('ProductSprint Backlog'!$J114&gt;I$2,'ProductSprint Backlog'!$I114&lt;=I$2), 'ProductSprint Backlog'!$F114 / MAX(1, 'ProductSprint Backlog'!$J114-'ProductSprint Backlog'!$I114), AND('ProductSprint Backlog'!$J114=I$2,'ProductSprint Backlog'!$I114=I$2), 'ProductSprint Backlog'!$F114, TRUE, 0)</f>
        <v>0</v>
      </c>
      <c r="J114" s="4" cm="1">
        <f t="array" ref="J114">_xlfn.IFS('ProductSprint Backlog'!$F114="", "", AND('ProductSprint Backlog'!$J114&gt;J$2,'ProductSprint Backlog'!$I114&lt;=J$2), 'ProductSprint Backlog'!$F114 / MAX(1, 'ProductSprint Backlog'!$J114-'ProductSprint Backlog'!$I114), AND('ProductSprint Backlog'!$J114=J$2,'ProductSprint Backlog'!$I114=J$2), 'ProductSprint Backlog'!$F114, TRUE, 0)</f>
        <v>0</v>
      </c>
      <c r="K114" s="4" cm="1">
        <f t="array" ref="K114">_xlfn.IFS('ProductSprint Backlog'!$F114="", "", AND('ProductSprint Backlog'!$J114&gt;K$2,'ProductSprint Backlog'!$I114&lt;=K$2), 'ProductSprint Backlog'!$F114 / MAX(1, 'ProductSprint Backlog'!$J114-'ProductSprint Backlog'!$I114), AND('ProductSprint Backlog'!$J114=K$2,'ProductSprint Backlog'!$I114=K$2), 'ProductSprint Backlog'!$F114, TRUE, 0)</f>
        <v>0</v>
      </c>
      <c r="L114" s="4" cm="1">
        <f t="array" ref="L114">_xlfn.IFS('ProductSprint Backlog'!$F114="", "", AND('ProductSprint Backlog'!$J114&gt;L$2,'ProductSprint Backlog'!$I114&lt;=L$2), 'ProductSprint Backlog'!$F114 / MAX(1, 'ProductSprint Backlog'!$J114-'ProductSprint Backlog'!$I114), AND('ProductSprint Backlog'!$J114=L$2,'ProductSprint Backlog'!$I114=L$2), 'ProductSprint Backlog'!$F114, TRUE, 0)</f>
        <v>0</v>
      </c>
      <c r="M114" s="4" cm="1">
        <f t="array" ref="M114">_xlfn.IFS('ProductSprint Backlog'!$F114="", "", AND('ProductSprint Backlog'!$J114&gt;M$2,'ProductSprint Backlog'!$I114&lt;=M$2), 'ProductSprint Backlog'!$F114 / MAX(1, 'ProductSprint Backlog'!$J114-'ProductSprint Backlog'!$I114), AND('ProductSprint Backlog'!$J114=M$2,'ProductSprint Backlog'!$I114=M$2), 'ProductSprint Backlog'!$F114, TRUE, 0)</f>
        <v>0</v>
      </c>
      <c r="N114" s="4" cm="1">
        <f t="array" ref="N114">_xlfn.IFS('ProductSprint Backlog'!$F114="", "", AND('ProductSprint Backlog'!$J114&gt;N$2,'ProductSprint Backlog'!$I114&lt;=N$2), 'ProductSprint Backlog'!$F114 / MAX(1, 'ProductSprint Backlog'!$J114-'ProductSprint Backlog'!$I114), AND('ProductSprint Backlog'!$J114=N$2,'ProductSprint Backlog'!$I114=N$2), 'ProductSprint Backlog'!$F114, TRUE, 0)</f>
        <v>0</v>
      </c>
      <c r="O114" s="4" cm="1">
        <f t="array" ref="O114">_xlfn.IFS('ProductSprint Backlog'!$F114="", "", AND('ProductSprint Backlog'!$J114&gt;O$2,'ProductSprint Backlog'!$I114&lt;=O$2), 'ProductSprint Backlog'!$F114 / MAX(1, 'ProductSprint Backlog'!$J114-'ProductSprint Backlog'!$I114), AND('ProductSprint Backlog'!$J114=O$2,'ProductSprint Backlog'!$I114=O$2), 'ProductSprint Backlog'!$F114, TRUE, 0)</f>
        <v>0</v>
      </c>
      <c r="P114" s="4" cm="1">
        <f t="array" ref="P114">_xlfn.IFS('ProductSprint Backlog'!$F114="", "", AND('ProductSprint Backlog'!$J114&gt;P$2,'ProductSprint Backlog'!$I114&lt;=P$2), 'ProductSprint Backlog'!$F114 / MAX(1, 'ProductSprint Backlog'!$J114-'ProductSprint Backlog'!$I114), AND('ProductSprint Backlog'!$J114=P$2,'ProductSprint Backlog'!$I114=P$2), 'ProductSprint Backlog'!$F114, TRUE, 0)</f>
        <v>0</v>
      </c>
      <c r="Q114" s="4" cm="1">
        <f t="array" ref="Q114">_xlfn.IFS('ProductSprint Backlog'!$F114="", "", AND('ProductSprint Backlog'!$J114&gt;Q$2,'ProductSprint Backlog'!$I114&lt;=Q$2), 'ProductSprint Backlog'!$F114 / MAX(1, 'ProductSprint Backlog'!$J114-'ProductSprint Backlog'!$I114), AND('ProductSprint Backlog'!$J114=Q$2,'ProductSprint Backlog'!$I114=Q$2), 'ProductSprint Backlog'!$F114, TRUE, 0)</f>
        <v>0</v>
      </c>
    </row>
    <row r="115" spans="2:17" x14ac:dyDescent="0.2">
      <c r="B115" s="4" cm="1">
        <f t="array" ref="B115">_xlfn.IFS('ProductSprint Backlog'!$F115="", "", AND('ProductSprint Backlog'!$J115&gt;B$2,'ProductSprint Backlog'!$I115&lt;=B$2), 'ProductSprint Backlog'!$F115 / MAX(1, 'ProductSprint Backlog'!$J115-'ProductSprint Backlog'!$I115), AND('ProductSprint Backlog'!$J115=B$2,'ProductSprint Backlog'!$I115=B$2), 'ProductSprint Backlog'!$F115, TRUE, 0)</f>
        <v>0</v>
      </c>
      <c r="C115" s="4" cm="1">
        <f t="array" ref="C115">_xlfn.IFS('ProductSprint Backlog'!$F115="", "", AND('ProductSprint Backlog'!$J115&gt;C$2,'ProductSprint Backlog'!$I115&lt;=C$2), 'ProductSprint Backlog'!$F115 / MAX(1, 'ProductSprint Backlog'!$J115-'ProductSprint Backlog'!$I115), AND('ProductSprint Backlog'!$J115=C$2,'ProductSprint Backlog'!$I115=C$2), 'ProductSprint Backlog'!$F115, TRUE, 0)</f>
        <v>0</v>
      </c>
      <c r="D115" s="4" cm="1">
        <f t="array" ref="D115">_xlfn.IFS('ProductSprint Backlog'!$F115="", "", AND('ProductSprint Backlog'!$J115&gt;D$2,'ProductSprint Backlog'!$I115&lt;=D$2), 'ProductSprint Backlog'!$F115 / MAX(1, 'ProductSprint Backlog'!$J115-'ProductSprint Backlog'!$I115), AND('ProductSprint Backlog'!$J115=D$2,'ProductSprint Backlog'!$I115=D$2), 'ProductSprint Backlog'!$F115, TRUE, 0)</f>
        <v>0</v>
      </c>
      <c r="E115" s="4" cm="1">
        <f t="array" ref="E115">_xlfn.IFS('ProductSprint Backlog'!$F115="", "", AND('ProductSprint Backlog'!$J115&gt;E$2,'ProductSprint Backlog'!$I115&lt;=E$2), 'ProductSprint Backlog'!$F115 / MAX(1, 'ProductSprint Backlog'!$J115-'ProductSprint Backlog'!$I115), AND('ProductSprint Backlog'!$J115=E$2,'ProductSprint Backlog'!$I115=E$2), 'ProductSprint Backlog'!$F115, TRUE, 0)</f>
        <v>0</v>
      </c>
      <c r="F115" s="4" cm="1">
        <f t="array" ref="F115">_xlfn.IFS('ProductSprint Backlog'!$F115="", "", AND('ProductSprint Backlog'!$J115&gt;F$2,'ProductSprint Backlog'!$I115&lt;=F$2), 'ProductSprint Backlog'!$F115 / MAX(1, 'ProductSprint Backlog'!$J115-'ProductSprint Backlog'!$I115), AND('ProductSprint Backlog'!$J115=F$2,'ProductSprint Backlog'!$I115=F$2), 'ProductSprint Backlog'!$F115, TRUE, 0)</f>
        <v>0</v>
      </c>
      <c r="G115" s="4" cm="1">
        <f t="array" ref="G115">_xlfn.IFS('ProductSprint Backlog'!$F115="", "", AND('ProductSprint Backlog'!$J115&gt;G$2,'ProductSprint Backlog'!$I115&lt;=G$2), 'ProductSprint Backlog'!$F115 / MAX(1, 'ProductSprint Backlog'!$J115-'ProductSprint Backlog'!$I115), AND('ProductSprint Backlog'!$J115=G$2,'ProductSprint Backlog'!$I115=G$2), 'ProductSprint Backlog'!$F115, TRUE, 0)</f>
        <v>0</v>
      </c>
      <c r="H115" s="4" cm="1">
        <f t="array" ref="H115">_xlfn.IFS('ProductSprint Backlog'!$F115="", "", AND('ProductSprint Backlog'!$J115&gt;H$2,'ProductSprint Backlog'!$I115&lt;=H$2), 'ProductSprint Backlog'!$F115 / MAX(1, 'ProductSprint Backlog'!$J115-'ProductSprint Backlog'!$I115), AND('ProductSprint Backlog'!$J115=H$2,'ProductSprint Backlog'!$I115=H$2), 'ProductSprint Backlog'!$F115, TRUE, 0)</f>
        <v>0</v>
      </c>
      <c r="I115" s="4" cm="1">
        <f t="array" ref="I115">_xlfn.IFS('ProductSprint Backlog'!$F115="", "", AND('ProductSprint Backlog'!$J115&gt;I$2,'ProductSprint Backlog'!$I115&lt;=I$2), 'ProductSprint Backlog'!$F115 / MAX(1, 'ProductSprint Backlog'!$J115-'ProductSprint Backlog'!$I115), AND('ProductSprint Backlog'!$J115=I$2,'ProductSprint Backlog'!$I115=I$2), 'ProductSprint Backlog'!$F115, TRUE, 0)</f>
        <v>0</v>
      </c>
      <c r="J115" s="4" cm="1">
        <f t="array" ref="J115">_xlfn.IFS('ProductSprint Backlog'!$F115="", "", AND('ProductSprint Backlog'!$J115&gt;J$2,'ProductSprint Backlog'!$I115&lt;=J$2), 'ProductSprint Backlog'!$F115 / MAX(1, 'ProductSprint Backlog'!$J115-'ProductSprint Backlog'!$I115), AND('ProductSprint Backlog'!$J115=J$2,'ProductSprint Backlog'!$I115=J$2), 'ProductSprint Backlog'!$F115, TRUE, 0)</f>
        <v>0</v>
      </c>
      <c r="K115" s="4" cm="1">
        <f t="array" ref="K115">_xlfn.IFS('ProductSprint Backlog'!$F115="", "", AND('ProductSprint Backlog'!$J115&gt;K$2,'ProductSprint Backlog'!$I115&lt;=K$2), 'ProductSprint Backlog'!$F115 / MAX(1, 'ProductSprint Backlog'!$J115-'ProductSprint Backlog'!$I115), AND('ProductSprint Backlog'!$J115=K$2,'ProductSprint Backlog'!$I115=K$2), 'ProductSprint Backlog'!$F115, TRUE, 0)</f>
        <v>0</v>
      </c>
      <c r="L115" s="4" cm="1">
        <f t="array" ref="L115">_xlfn.IFS('ProductSprint Backlog'!$F115="", "", AND('ProductSprint Backlog'!$J115&gt;L$2,'ProductSprint Backlog'!$I115&lt;=L$2), 'ProductSprint Backlog'!$F115 / MAX(1, 'ProductSprint Backlog'!$J115-'ProductSprint Backlog'!$I115), AND('ProductSprint Backlog'!$J115=L$2,'ProductSprint Backlog'!$I115=L$2), 'ProductSprint Backlog'!$F115, TRUE, 0)</f>
        <v>0</v>
      </c>
      <c r="M115" s="4" cm="1">
        <f t="array" ref="M115">_xlfn.IFS('ProductSprint Backlog'!$F115="", "", AND('ProductSprint Backlog'!$J115&gt;M$2,'ProductSprint Backlog'!$I115&lt;=M$2), 'ProductSprint Backlog'!$F115 / MAX(1, 'ProductSprint Backlog'!$J115-'ProductSprint Backlog'!$I115), AND('ProductSprint Backlog'!$J115=M$2,'ProductSprint Backlog'!$I115=M$2), 'ProductSprint Backlog'!$F115, TRUE, 0)</f>
        <v>0</v>
      </c>
      <c r="N115" s="4" cm="1">
        <f t="array" ref="N115">_xlfn.IFS('ProductSprint Backlog'!$F115="", "", AND('ProductSprint Backlog'!$J115&gt;N$2,'ProductSprint Backlog'!$I115&lt;=N$2), 'ProductSprint Backlog'!$F115 / MAX(1, 'ProductSprint Backlog'!$J115-'ProductSprint Backlog'!$I115), AND('ProductSprint Backlog'!$J115=N$2,'ProductSprint Backlog'!$I115=N$2), 'ProductSprint Backlog'!$F115, TRUE, 0)</f>
        <v>0</v>
      </c>
      <c r="O115" s="4" cm="1">
        <f t="array" ref="O115">_xlfn.IFS('ProductSprint Backlog'!$F115="", "", AND('ProductSprint Backlog'!$J115&gt;O$2,'ProductSprint Backlog'!$I115&lt;=O$2), 'ProductSprint Backlog'!$F115 / MAX(1, 'ProductSprint Backlog'!$J115-'ProductSprint Backlog'!$I115), AND('ProductSprint Backlog'!$J115=O$2,'ProductSprint Backlog'!$I115=O$2), 'ProductSprint Backlog'!$F115, TRUE, 0)</f>
        <v>0</v>
      </c>
      <c r="P115" s="4" cm="1">
        <f t="array" ref="P115">_xlfn.IFS('ProductSprint Backlog'!$F115="", "", AND('ProductSprint Backlog'!$J115&gt;P$2,'ProductSprint Backlog'!$I115&lt;=P$2), 'ProductSprint Backlog'!$F115 / MAX(1, 'ProductSprint Backlog'!$J115-'ProductSprint Backlog'!$I115), AND('ProductSprint Backlog'!$J115=P$2,'ProductSprint Backlog'!$I115=P$2), 'ProductSprint Backlog'!$F115, TRUE, 0)</f>
        <v>0</v>
      </c>
      <c r="Q115" s="4" cm="1">
        <f t="array" ref="Q115">_xlfn.IFS('ProductSprint Backlog'!$F115="", "", AND('ProductSprint Backlog'!$J115&gt;Q$2,'ProductSprint Backlog'!$I115&lt;=Q$2), 'ProductSprint Backlog'!$F115 / MAX(1, 'ProductSprint Backlog'!$J115-'ProductSprint Backlog'!$I115), AND('ProductSprint Backlog'!$J115=Q$2,'ProductSprint Backlog'!$I115=Q$2), 'ProductSprint Backlog'!$F115, TRUE, 0)</f>
        <v>0</v>
      </c>
    </row>
    <row r="116" spans="2:17" x14ac:dyDescent="0.2">
      <c r="B116" s="4" cm="1">
        <f t="array" ref="B116">_xlfn.IFS('ProductSprint Backlog'!$F116="", "", AND('ProductSprint Backlog'!$J116&gt;B$2,'ProductSprint Backlog'!$I116&lt;=B$2), 'ProductSprint Backlog'!$F116 / MAX(1, 'ProductSprint Backlog'!$J116-'ProductSprint Backlog'!$I116), AND('ProductSprint Backlog'!$J116=B$2,'ProductSprint Backlog'!$I116=B$2), 'ProductSprint Backlog'!$F116, TRUE, 0)</f>
        <v>0</v>
      </c>
      <c r="C116" s="4" cm="1">
        <f t="array" ref="C116">_xlfn.IFS('ProductSprint Backlog'!$F116="", "", AND('ProductSprint Backlog'!$J116&gt;C$2,'ProductSprint Backlog'!$I116&lt;=C$2), 'ProductSprint Backlog'!$F116 / MAX(1, 'ProductSprint Backlog'!$J116-'ProductSprint Backlog'!$I116), AND('ProductSprint Backlog'!$J116=C$2,'ProductSprint Backlog'!$I116=C$2), 'ProductSprint Backlog'!$F116, TRUE, 0)</f>
        <v>0</v>
      </c>
      <c r="D116" s="4" cm="1">
        <f t="array" ref="D116">_xlfn.IFS('ProductSprint Backlog'!$F116="", "", AND('ProductSprint Backlog'!$J116&gt;D$2,'ProductSprint Backlog'!$I116&lt;=D$2), 'ProductSprint Backlog'!$F116 / MAX(1, 'ProductSprint Backlog'!$J116-'ProductSprint Backlog'!$I116), AND('ProductSprint Backlog'!$J116=D$2,'ProductSprint Backlog'!$I116=D$2), 'ProductSprint Backlog'!$F116, TRUE, 0)</f>
        <v>0</v>
      </c>
      <c r="E116" s="4" cm="1">
        <f t="array" ref="E116">_xlfn.IFS('ProductSprint Backlog'!$F116="", "", AND('ProductSprint Backlog'!$J116&gt;E$2,'ProductSprint Backlog'!$I116&lt;=E$2), 'ProductSprint Backlog'!$F116 / MAX(1, 'ProductSprint Backlog'!$J116-'ProductSprint Backlog'!$I116), AND('ProductSprint Backlog'!$J116=E$2,'ProductSprint Backlog'!$I116=E$2), 'ProductSprint Backlog'!$F116, TRUE, 0)</f>
        <v>0</v>
      </c>
      <c r="F116" s="4" cm="1">
        <f t="array" ref="F116">_xlfn.IFS('ProductSprint Backlog'!$F116="", "", AND('ProductSprint Backlog'!$J116&gt;F$2,'ProductSprint Backlog'!$I116&lt;=F$2), 'ProductSprint Backlog'!$F116 / MAX(1, 'ProductSprint Backlog'!$J116-'ProductSprint Backlog'!$I116), AND('ProductSprint Backlog'!$J116=F$2,'ProductSprint Backlog'!$I116=F$2), 'ProductSprint Backlog'!$F116, TRUE, 0)</f>
        <v>0</v>
      </c>
      <c r="G116" s="4" cm="1">
        <f t="array" ref="G116">_xlfn.IFS('ProductSprint Backlog'!$F116="", "", AND('ProductSprint Backlog'!$J116&gt;G$2,'ProductSprint Backlog'!$I116&lt;=G$2), 'ProductSprint Backlog'!$F116 / MAX(1, 'ProductSprint Backlog'!$J116-'ProductSprint Backlog'!$I116), AND('ProductSprint Backlog'!$J116=G$2,'ProductSprint Backlog'!$I116=G$2), 'ProductSprint Backlog'!$F116, TRUE, 0)</f>
        <v>0</v>
      </c>
      <c r="H116" s="4" cm="1">
        <f t="array" ref="H116">_xlfn.IFS('ProductSprint Backlog'!$F116="", "", AND('ProductSprint Backlog'!$J116&gt;H$2,'ProductSprint Backlog'!$I116&lt;=H$2), 'ProductSprint Backlog'!$F116 / MAX(1, 'ProductSprint Backlog'!$J116-'ProductSprint Backlog'!$I116), AND('ProductSprint Backlog'!$J116=H$2,'ProductSprint Backlog'!$I116=H$2), 'ProductSprint Backlog'!$F116, TRUE, 0)</f>
        <v>0</v>
      </c>
      <c r="I116" s="4" cm="1">
        <f t="array" ref="I116">_xlfn.IFS('ProductSprint Backlog'!$F116="", "", AND('ProductSprint Backlog'!$J116&gt;I$2,'ProductSprint Backlog'!$I116&lt;=I$2), 'ProductSprint Backlog'!$F116 / MAX(1, 'ProductSprint Backlog'!$J116-'ProductSprint Backlog'!$I116), AND('ProductSprint Backlog'!$J116=I$2,'ProductSprint Backlog'!$I116=I$2), 'ProductSprint Backlog'!$F116, TRUE, 0)</f>
        <v>0</v>
      </c>
      <c r="J116" s="4" cm="1">
        <f t="array" ref="J116">_xlfn.IFS('ProductSprint Backlog'!$F116="", "", AND('ProductSprint Backlog'!$J116&gt;J$2,'ProductSprint Backlog'!$I116&lt;=J$2), 'ProductSprint Backlog'!$F116 / MAX(1, 'ProductSprint Backlog'!$J116-'ProductSprint Backlog'!$I116), AND('ProductSprint Backlog'!$J116=J$2,'ProductSprint Backlog'!$I116=J$2), 'ProductSprint Backlog'!$F116, TRUE, 0)</f>
        <v>0</v>
      </c>
      <c r="K116" s="4" cm="1">
        <f t="array" ref="K116">_xlfn.IFS('ProductSprint Backlog'!$F116="", "", AND('ProductSprint Backlog'!$J116&gt;K$2,'ProductSprint Backlog'!$I116&lt;=K$2), 'ProductSprint Backlog'!$F116 / MAX(1, 'ProductSprint Backlog'!$J116-'ProductSprint Backlog'!$I116), AND('ProductSprint Backlog'!$J116=K$2,'ProductSprint Backlog'!$I116=K$2), 'ProductSprint Backlog'!$F116, TRUE, 0)</f>
        <v>0</v>
      </c>
      <c r="L116" s="4" cm="1">
        <f t="array" ref="L116">_xlfn.IFS('ProductSprint Backlog'!$F116="", "", AND('ProductSprint Backlog'!$J116&gt;L$2,'ProductSprint Backlog'!$I116&lt;=L$2), 'ProductSprint Backlog'!$F116 / MAX(1, 'ProductSprint Backlog'!$J116-'ProductSprint Backlog'!$I116), AND('ProductSprint Backlog'!$J116=L$2,'ProductSprint Backlog'!$I116=L$2), 'ProductSprint Backlog'!$F116, TRUE, 0)</f>
        <v>0</v>
      </c>
      <c r="M116" s="4" cm="1">
        <f t="array" ref="M116">_xlfn.IFS('ProductSprint Backlog'!$F116="", "", AND('ProductSprint Backlog'!$J116&gt;M$2,'ProductSprint Backlog'!$I116&lt;=M$2), 'ProductSprint Backlog'!$F116 / MAX(1, 'ProductSprint Backlog'!$J116-'ProductSprint Backlog'!$I116), AND('ProductSprint Backlog'!$J116=M$2,'ProductSprint Backlog'!$I116=M$2), 'ProductSprint Backlog'!$F116, TRUE, 0)</f>
        <v>0</v>
      </c>
      <c r="N116" s="4" cm="1">
        <f t="array" ref="N116">_xlfn.IFS('ProductSprint Backlog'!$F116="", "", AND('ProductSprint Backlog'!$J116&gt;N$2,'ProductSprint Backlog'!$I116&lt;=N$2), 'ProductSprint Backlog'!$F116 / MAX(1, 'ProductSprint Backlog'!$J116-'ProductSprint Backlog'!$I116), AND('ProductSprint Backlog'!$J116=N$2,'ProductSprint Backlog'!$I116=N$2), 'ProductSprint Backlog'!$F116, TRUE, 0)</f>
        <v>0</v>
      </c>
      <c r="O116" s="4" cm="1">
        <f t="array" ref="O116">_xlfn.IFS('ProductSprint Backlog'!$F116="", "", AND('ProductSprint Backlog'!$J116&gt;O$2,'ProductSprint Backlog'!$I116&lt;=O$2), 'ProductSprint Backlog'!$F116 / MAX(1, 'ProductSprint Backlog'!$J116-'ProductSprint Backlog'!$I116), AND('ProductSprint Backlog'!$J116=O$2,'ProductSprint Backlog'!$I116=O$2), 'ProductSprint Backlog'!$F116, TRUE, 0)</f>
        <v>0</v>
      </c>
      <c r="P116" s="4" cm="1">
        <f t="array" ref="P116">_xlfn.IFS('ProductSprint Backlog'!$F116="", "", AND('ProductSprint Backlog'!$J116&gt;P$2,'ProductSprint Backlog'!$I116&lt;=P$2), 'ProductSprint Backlog'!$F116 / MAX(1, 'ProductSprint Backlog'!$J116-'ProductSprint Backlog'!$I116), AND('ProductSprint Backlog'!$J116=P$2,'ProductSprint Backlog'!$I116=P$2), 'ProductSprint Backlog'!$F116, TRUE, 0)</f>
        <v>0</v>
      </c>
      <c r="Q116" s="4" cm="1">
        <f t="array" ref="Q116">_xlfn.IFS('ProductSprint Backlog'!$F116="", "", AND('ProductSprint Backlog'!$J116&gt;Q$2,'ProductSprint Backlog'!$I116&lt;=Q$2), 'ProductSprint Backlog'!$F116 / MAX(1, 'ProductSprint Backlog'!$J116-'ProductSprint Backlog'!$I116), AND('ProductSprint Backlog'!$J116=Q$2,'ProductSprint Backlog'!$I116=Q$2), 'ProductSprint Backlog'!$F116, TRUE, 0)</f>
        <v>0</v>
      </c>
    </row>
    <row r="117" spans="2:17" x14ac:dyDescent="0.2">
      <c r="B117" s="4" t="str" cm="1">
        <f t="array" ref="B117">_xlfn.IFS('ProductSprint Backlog'!$F117="", "", AND('ProductSprint Backlog'!$J117&gt;B$2,'ProductSprint Backlog'!$I117&lt;=B$2), 'ProductSprint Backlog'!$F117 / MAX(1, 'ProductSprint Backlog'!$J117-'ProductSprint Backlog'!$I117), AND('ProductSprint Backlog'!$J117=B$2,'ProductSprint Backlog'!$I117=B$2), 'ProductSprint Backlog'!$F117, TRUE, 0)</f>
        <v/>
      </c>
      <c r="C117" s="4" t="str" cm="1">
        <f t="array" ref="C117">_xlfn.IFS('ProductSprint Backlog'!$F117="", "", AND('ProductSprint Backlog'!$J117&gt;C$2,'ProductSprint Backlog'!$I117&lt;=C$2), 'ProductSprint Backlog'!$F117 / MAX(1, 'ProductSprint Backlog'!$J117-'ProductSprint Backlog'!$I117), AND('ProductSprint Backlog'!$J117=C$2,'ProductSprint Backlog'!$I117=C$2), 'ProductSprint Backlog'!$F117, TRUE, 0)</f>
        <v/>
      </c>
      <c r="D117" s="4" t="str" cm="1">
        <f t="array" ref="D117">_xlfn.IFS('ProductSprint Backlog'!$F117="", "", AND('ProductSprint Backlog'!$J117&gt;D$2,'ProductSprint Backlog'!$I117&lt;=D$2), 'ProductSprint Backlog'!$F117 / MAX(1, 'ProductSprint Backlog'!$J117-'ProductSprint Backlog'!$I117), AND('ProductSprint Backlog'!$J117=D$2,'ProductSprint Backlog'!$I117=D$2), 'ProductSprint Backlog'!$F117, TRUE, 0)</f>
        <v/>
      </c>
      <c r="E117" s="4" t="str" cm="1">
        <f t="array" ref="E117">_xlfn.IFS('ProductSprint Backlog'!$F117="", "", AND('ProductSprint Backlog'!$J117&gt;E$2,'ProductSprint Backlog'!$I117&lt;=E$2), 'ProductSprint Backlog'!$F117 / MAX(1, 'ProductSprint Backlog'!$J117-'ProductSprint Backlog'!$I117), AND('ProductSprint Backlog'!$J117=E$2,'ProductSprint Backlog'!$I117=E$2), 'ProductSprint Backlog'!$F117, TRUE, 0)</f>
        <v/>
      </c>
      <c r="F117" s="4" t="str" cm="1">
        <f t="array" ref="F117">_xlfn.IFS('ProductSprint Backlog'!$F117="", "", AND('ProductSprint Backlog'!$J117&gt;F$2,'ProductSprint Backlog'!$I117&lt;=F$2), 'ProductSprint Backlog'!$F117 / MAX(1, 'ProductSprint Backlog'!$J117-'ProductSprint Backlog'!$I117), AND('ProductSprint Backlog'!$J117=F$2,'ProductSprint Backlog'!$I117=F$2), 'ProductSprint Backlog'!$F117, TRUE, 0)</f>
        <v/>
      </c>
      <c r="G117" s="4" t="str" cm="1">
        <f t="array" ref="G117">_xlfn.IFS('ProductSprint Backlog'!$F117="", "", AND('ProductSprint Backlog'!$J117&gt;G$2,'ProductSprint Backlog'!$I117&lt;=G$2), 'ProductSprint Backlog'!$F117 / MAX(1, 'ProductSprint Backlog'!$J117-'ProductSprint Backlog'!$I117), AND('ProductSprint Backlog'!$J117=G$2,'ProductSprint Backlog'!$I117=G$2), 'ProductSprint Backlog'!$F117, TRUE, 0)</f>
        <v/>
      </c>
      <c r="H117" s="4" t="str" cm="1">
        <f t="array" ref="H117">_xlfn.IFS('ProductSprint Backlog'!$F117="", "", AND('ProductSprint Backlog'!$J117&gt;H$2,'ProductSprint Backlog'!$I117&lt;=H$2), 'ProductSprint Backlog'!$F117 / MAX(1, 'ProductSprint Backlog'!$J117-'ProductSprint Backlog'!$I117), AND('ProductSprint Backlog'!$J117=H$2,'ProductSprint Backlog'!$I117=H$2), 'ProductSprint Backlog'!$F117, TRUE, 0)</f>
        <v/>
      </c>
      <c r="I117" s="4" t="str" cm="1">
        <f t="array" ref="I117">_xlfn.IFS('ProductSprint Backlog'!$F117="", "", AND('ProductSprint Backlog'!$J117&gt;I$2,'ProductSprint Backlog'!$I117&lt;=I$2), 'ProductSprint Backlog'!$F117 / MAX(1, 'ProductSprint Backlog'!$J117-'ProductSprint Backlog'!$I117), AND('ProductSprint Backlog'!$J117=I$2,'ProductSprint Backlog'!$I117=I$2), 'ProductSprint Backlog'!$F117, TRUE, 0)</f>
        <v/>
      </c>
      <c r="J117" s="4" t="str" cm="1">
        <f t="array" ref="J117">_xlfn.IFS('ProductSprint Backlog'!$F117="", "", AND('ProductSprint Backlog'!$J117&gt;J$2,'ProductSprint Backlog'!$I117&lt;=J$2), 'ProductSprint Backlog'!$F117 / MAX(1, 'ProductSprint Backlog'!$J117-'ProductSprint Backlog'!$I117), AND('ProductSprint Backlog'!$J117=J$2,'ProductSprint Backlog'!$I117=J$2), 'ProductSprint Backlog'!$F117, TRUE, 0)</f>
        <v/>
      </c>
      <c r="K117" s="4" t="str" cm="1">
        <f t="array" ref="K117">_xlfn.IFS('ProductSprint Backlog'!$F117="", "", AND('ProductSprint Backlog'!$J117&gt;K$2,'ProductSprint Backlog'!$I117&lt;=K$2), 'ProductSprint Backlog'!$F117 / MAX(1, 'ProductSprint Backlog'!$J117-'ProductSprint Backlog'!$I117), AND('ProductSprint Backlog'!$J117=K$2,'ProductSprint Backlog'!$I117=K$2), 'ProductSprint Backlog'!$F117, TRUE, 0)</f>
        <v/>
      </c>
      <c r="L117" s="4" t="str" cm="1">
        <f t="array" ref="L117">_xlfn.IFS('ProductSprint Backlog'!$F117="", "", AND('ProductSprint Backlog'!$J117&gt;L$2,'ProductSprint Backlog'!$I117&lt;=L$2), 'ProductSprint Backlog'!$F117 / MAX(1, 'ProductSprint Backlog'!$J117-'ProductSprint Backlog'!$I117), AND('ProductSprint Backlog'!$J117=L$2,'ProductSprint Backlog'!$I117=L$2), 'ProductSprint Backlog'!$F117, TRUE, 0)</f>
        <v/>
      </c>
      <c r="M117" s="4" t="str" cm="1">
        <f t="array" ref="M117">_xlfn.IFS('ProductSprint Backlog'!$F117="", "", AND('ProductSprint Backlog'!$J117&gt;M$2,'ProductSprint Backlog'!$I117&lt;=M$2), 'ProductSprint Backlog'!$F117 / MAX(1, 'ProductSprint Backlog'!$J117-'ProductSprint Backlog'!$I117), AND('ProductSprint Backlog'!$J117=M$2,'ProductSprint Backlog'!$I117=M$2), 'ProductSprint Backlog'!$F117, TRUE, 0)</f>
        <v/>
      </c>
      <c r="N117" s="4" t="str" cm="1">
        <f t="array" ref="N117">_xlfn.IFS('ProductSprint Backlog'!$F117="", "", AND('ProductSprint Backlog'!$J117&gt;N$2,'ProductSprint Backlog'!$I117&lt;=N$2), 'ProductSprint Backlog'!$F117 / MAX(1, 'ProductSprint Backlog'!$J117-'ProductSprint Backlog'!$I117), AND('ProductSprint Backlog'!$J117=N$2,'ProductSprint Backlog'!$I117=N$2), 'ProductSprint Backlog'!$F117, TRUE, 0)</f>
        <v/>
      </c>
      <c r="O117" s="4" t="str" cm="1">
        <f t="array" ref="O117">_xlfn.IFS('ProductSprint Backlog'!$F117="", "", AND('ProductSprint Backlog'!$J117&gt;O$2,'ProductSprint Backlog'!$I117&lt;=O$2), 'ProductSprint Backlog'!$F117 / MAX(1, 'ProductSprint Backlog'!$J117-'ProductSprint Backlog'!$I117), AND('ProductSprint Backlog'!$J117=O$2,'ProductSprint Backlog'!$I117=O$2), 'ProductSprint Backlog'!$F117, TRUE, 0)</f>
        <v/>
      </c>
      <c r="P117" s="4" t="str" cm="1">
        <f t="array" ref="P117">_xlfn.IFS('ProductSprint Backlog'!$F117="", "", AND('ProductSprint Backlog'!$J117&gt;P$2,'ProductSprint Backlog'!$I117&lt;=P$2), 'ProductSprint Backlog'!$F117 / MAX(1, 'ProductSprint Backlog'!$J117-'ProductSprint Backlog'!$I117), AND('ProductSprint Backlog'!$J117=P$2,'ProductSprint Backlog'!$I117=P$2), 'ProductSprint Backlog'!$F117, TRUE, 0)</f>
        <v/>
      </c>
      <c r="Q117" s="4" t="str" cm="1">
        <f t="array" ref="Q117">_xlfn.IFS('ProductSprint Backlog'!$F117="", "", AND('ProductSprint Backlog'!$J117&gt;Q$2,'ProductSprint Backlog'!$I117&lt;=Q$2), 'ProductSprint Backlog'!$F117 / MAX(1, 'ProductSprint Backlog'!$J117-'ProductSprint Backlog'!$I117), AND('ProductSprint Backlog'!$J117=Q$2,'ProductSprint Backlog'!$I117=Q$2), 'ProductSprint Backlog'!$F117, TRUE, 0)</f>
        <v/>
      </c>
    </row>
    <row r="118" spans="2:17" x14ac:dyDescent="0.2">
      <c r="B118" s="4" cm="1">
        <f t="array" ref="B118">_xlfn.IFS('ProductSprint Backlog'!$F118="", "", AND('ProductSprint Backlog'!$J118&gt;B$2,'ProductSprint Backlog'!$I118&lt;=B$2), 'ProductSprint Backlog'!$F118 / MAX(1, 'ProductSprint Backlog'!$J118-'ProductSprint Backlog'!$I118), AND('ProductSprint Backlog'!$J118=B$2,'ProductSprint Backlog'!$I118=B$2), 'ProductSprint Backlog'!$F118, TRUE, 0)</f>
        <v>0</v>
      </c>
      <c r="C118" s="4" cm="1">
        <f t="array" ref="C118">_xlfn.IFS('ProductSprint Backlog'!$F118="", "", AND('ProductSprint Backlog'!$J118&gt;C$2,'ProductSprint Backlog'!$I118&lt;=C$2), 'ProductSprint Backlog'!$F118 / MAX(1, 'ProductSprint Backlog'!$J118-'ProductSprint Backlog'!$I118), AND('ProductSprint Backlog'!$J118=C$2,'ProductSprint Backlog'!$I118=C$2), 'ProductSprint Backlog'!$F118, TRUE, 0)</f>
        <v>0</v>
      </c>
      <c r="D118" s="4" cm="1">
        <f t="array" ref="D118">_xlfn.IFS('ProductSprint Backlog'!$F118="", "", AND('ProductSprint Backlog'!$J118&gt;D$2,'ProductSprint Backlog'!$I118&lt;=D$2), 'ProductSprint Backlog'!$F118 / MAX(1, 'ProductSprint Backlog'!$J118-'ProductSprint Backlog'!$I118), AND('ProductSprint Backlog'!$J118=D$2,'ProductSprint Backlog'!$I118=D$2), 'ProductSprint Backlog'!$F118, TRUE, 0)</f>
        <v>0</v>
      </c>
      <c r="E118" s="4" cm="1">
        <f t="array" ref="E118">_xlfn.IFS('ProductSprint Backlog'!$F118="", "", AND('ProductSprint Backlog'!$J118&gt;E$2,'ProductSprint Backlog'!$I118&lt;=E$2), 'ProductSprint Backlog'!$F118 / MAX(1, 'ProductSprint Backlog'!$J118-'ProductSprint Backlog'!$I118), AND('ProductSprint Backlog'!$J118=E$2,'ProductSprint Backlog'!$I118=E$2), 'ProductSprint Backlog'!$F118, TRUE, 0)</f>
        <v>0</v>
      </c>
      <c r="F118" s="4" cm="1">
        <f t="array" ref="F118">_xlfn.IFS('ProductSprint Backlog'!$F118="", "", AND('ProductSprint Backlog'!$J118&gt;F$2,'ProductSprint Backlog'!$I118&lt;=F$2), 'ProductSprint Backlog'!$F118 / MAX(1, 'ProductSprint Backlog'!$J118-'ProductSprint Backlog'!$I118), AND('ProductSprint Backlog'!$J118=F$2,'ProductSprint Backlog'!$I118=F$2), 'ProductSprint Backlog'!$F118, TRUE, 0)</f>
        <v>0</v>
      </c>
      <c r="G118" s="4" cm="1">
        <f t="array" ref="G118">_xlfn.IFS('ProductSprint Backlog'!$F118="", "", AND('ProductSprint Backlog'!$J118&gt;G$2,'ProductSprint Backlog'!$I118&lt;=G$2), 'ProductSprint Backlog'!$F118 / MAX(1, 'ProductSprint Backlog'!$J118-'ProductSprint Backlog'!$I118), AND('ProductSprint Backlog'!$J118=G$2,'ProductSprint Backlog'!$I118=G$2), 'ProductSprint Backlog'!$F118, TRUE, 0)</f>
        <v>0</v>
      </c>
      <c r="H118" s="4" cm="1">
        <f t="array" ref="H118">_xlfn.IFS('ProductSprint Backlog'!$F118="", "", AND('ProductSprint Backlog'!$J118&gt;H$2,'ProductSprint Backlog'!$I118&lt;=H$2), 'ProductSprint Backlog'!$F118 / MAX(1, 'ProductSprint Backlog'!$J118-'ProductSprint Backlog'!$I118), AND('ProductSprint Backlog'!$J118=H$2,'ProductSprint Backlog'!$I118=H$2), 'ProductSprint Backlog'!$F118, TRUE, 0)</f>
        <v>0</v>
      </c>
      <c r="I118" s="4" cm="1">
        <f t="array" ref="I118">_xlfn.IFS('ProductSprint Backlog'!$F118="", "", AND('ProductSprint Backlog'!$J118&gt;I$2,'ProductSprint Backlog'!$I118&lt;=I$2), 'ProductSprint Backlog'!$F118 / MAX(1, 'ProductSprint Backlog'!$J118-'ProductSprint Backlog'!$I118), AND('ProductSprint Backlog'!$J118=I$2,'ProductSprint Backlog'!$I118=I$2), 'ProductSprint Backlog'!$F118, TRUE, 0)</f>
        <v>0</v>
      </c>
      <c r="J118" s="4" cm="1">
        <f t="array" ref="J118">_xlfn.IFS('ProductSprint Backlog'!$F118="", "", AND('ProductSprint Backlog'!$J118&gt;J$2,'ProductSprint Backlog'!$I118&lt;=J$2), 'ProductSprint Backlog'!$F118 / MAX(1, 'ProductSprint Backlog'!$J118-'ProductSprint Backlog'!$I118), AND('ProductSprint Backlog'!$J118=J$2,'ProductSprint Backlog'!$I118=J$2), 'ProductSprint Backlog'!$F118, TRUE, 0)</f>
        <v>0</v>
      </c>
      <c r="K118" s="4" cm="1">
        <f t="array" ref="K118">_xlfn.IFS('ProductSprint Backlog'!$F118="", "", AND('ProductSprint Backlog'!$J118&gt;K$2,'ProductSprint Backlog'!$I118&lt;=K$2), 'ProductSprint Backlog'!$F118 / MAX(1, 'ProductSprint Backlog'!$J118-'ProductSprint Backlog'!$I118), AND('ProductSprint Backlog'!$J118=K$2,'ProductSprint Backlog'!$I118=K$2), 'ProductSprint Backlog'!$F118, TRUE, 0)</f>
        <v>0</v>
      </c>
      <c r="L118" s="4" cm="1">
        <f t="array" ref="L118">_xlfn.IFS('ProductSprint Backlog'!$F118="", "", AND('ProductSprint Backlog'!$J118&gt;L$2,'ProductSprint Backlog'!$I118&lt;=L$2), 'ProductSprint Backlog'!$F118 / MAX(1, 'ProductSprint Backlog'!$J118-'ProductSprint Backlog'!$I118), AND('ProductSprint Backlog'!$J118=L$2,'ProductSprint Backlog'!$I118=L$2), 'ProductSprint Backlog'!$F118, TRUE, 0)</f>
        <v>0</v>
      </c>
      <c r="M118" s="4" cm="1">
        <f t="array" ref="M118">_xlfn.IFS('ProductSprint Backlog'!$F118="", "", AND('ProductSprint Backlog'!$J118&gt;M$2,'ProductSprint Backlog'!$I118&lt;=M$2), 'ProductSprint Backlog'!$F118 / MAX(1, 'ProductSprint Backlog'!$J118-'ProductSprint Backlog'!$I118), AND('ProductSprint Backlog'!$J118=M$2,'ProductSprint Backlog'!$I118=M$2), 'ProductSprint Backlog'!$F118, TRUE, 0)</f>
        <v>0</v>
      </c>
      <c r="N118" s="4" cm="1">
        <f t="array" ref="N118">_xlfn.IFS('ProductSprint Backlog'!$F118="", "", AND('ProductSprint Backlog'!$J118&gt;N$2,'ProductSprint Backlog'!$I118&lt;=N$2), 'ProductSprint Backlog'!$F118 / MAX(1, 'ProductSprint Backlog'!$J118-'ProductSprint Backlog'!$I118), AND('ProductSprint Backlog'!$J118=N$2,'ProductSprint Backlog'!$I118=N$2), 'ProductSprint Backlog'!$F118, TRUE, 0)</f>
        <v>0</v>
      </c>
      <c r="O118" s="4" cm="1">
        <f t="array" ref="O118">_xlfn.IFS('ProductSprint Backlog'!$F118="", "", AND('ProductSprint Backlog'!$J118&gt;O$2,'ProductSprint Backlog'!$I118&lt;=O$2), 'ProductSprint Backlog'!$F118 / MAX(1, 'ProductSprint Backlog'!$J118-'ProductSprint Backlog'!$I118), AND('ProductSprint Backlog'!$J118=O$2,'ProductSprint Backlog'!$I118=O$2), 'ProductSprint Backlog'!$F118, TRUE, 0)</f>
        <v>0</v>
      </c>
      <c r="P118" s="4" cm="1">
        <f t="array" ref="P118">_xlfn.IFS('ProductSprint Backlog'!$F118="", "", AND('ProductSprint Backlog'!$J118&gt;P$2,'ProductSprint Backlog'!$I118&lt;=P$2), 'ProductSprint Backlog'!$F118 / MAX(1, 'ProductSprint Backlog'!$J118-'ProductSprint Backlog'!$I118), AND('ProductSprint Backlog'!$J118=P$2,'ProductSprint Backlog'!$I118=P$2), 'ProductSprint Backlog'!$F118, TRUE, 0)</f>
        <v>0</v>
      </c>
      <c r="Q118" s="4" cm="1">
        <f t="array" ref="Q118">_xlfn.IFS('ProductSprint Backlog'!$F118="", "", AND('ProductSprint Backlog'!$J118&gt;Q$2,'ProductSprint Backlog'!$I118&lt;=Q$2), 'ProductSprint Backlog'!$F118 / MAX(1, 'ProductSprint Backlog'!$J118-'ProductSprint Backlog'!$I118), AND('ProductSprint Backlog'!$J118=Q$2,'ProductSprint Backlog'!$I118=Q$2), 'ProductSprint Backlog'!$F118, TRUE, 0)</f>
        <v>0</v>
      </c>
    </row>
    <row r="119" spans="2:17" x14ac:dyDescent="0.2">
      <c r="B119" s="4" cm="1">
        <f t="array" ref="B119">_xlfn.IFS('ProductSprint Backlog'!$F119="", "", AND('ProductSprint Backlog'!$J119&gt;B$2,'ProductSprint Backlog'!$I119&lt;=B$2), 'ProductSprint Backlog'!$F119 / MAX(1, 'ProductSprint Backlog'!$J119-'ProductSprint Backlog'!$I119), AND('ProductSprint Backlog'!$J119=B$2,'ProductSprint Backlog'!$I119=B$2), 'ProductSprint Backlog'!$F119, TRUE, 0)</f>
        <v>0</v>
      </c>
      <c r="C119" s="4" cm="1">
        <f t="array" ref="C119">_xlfn.IFS('ProductSprint Backlog'!$F119="", "", AND('ProductSprint Backlog'!$J119&gt;C$2,'ProductSprint Backlog'!$I119&lt;=C$2), 'ProductSprint Backlog'!$F119 / MAX(1, 'ProductSprint Backlog'!$J119-'ProductSprint Backlog'!$I119), AND('ProductSprint Backlog'!$J119=C$2,'ProductSprint Backlog'!$I119=C$2), 'ProductSprint Backlog'!$F119, TRUE, 0)</f>
        <v>0</v>
      </c>
      <c r="D119" s="4" cm="1">
        <f t="array" ref="D119">_xlfn.IFS('ProductSprint Backlog'!$F119="", "", AND('ProductSprint Backlog'!$J119&gt;D$2,'ProductSprint Backlog'!$I119&lt;=D$2), 'ProductSprint Backlog'!$F119 / MAX(1, 'ProductSprint Backlog'!$J119-'ProductSprint Backlog'!$I119), AND('ProductSprint Backlog'!$J119=D$2,'ProductSprint Backlog'!$I119=D$2), 'ProductSprint Backlog'!$F119, TRUE, 0)</f>
        <v>0</v>
      </c>
      <c r="E119" s="4" cm="1">
        <f t="array" ref="E119">_xlfn.IFS('ProductSprint Backlog'!$F119="", "", AND('ProductSprint Backlog'!$J119&gt;E$2,'ProductSprint Backlog'!$I119&lt;=E$2), 'ProductSprint Backlog'!$F119 / MAX(1, 'ProductSprint Backlog'!$J119-'ProductSprint Backlog'!$I119), AND('ProductSprint Backlog'!$J119=E$2,'ProductSprint Backlog'!$I119=E$2), 'ProductSprint Backlog'!$F119, TRUE, 0)</f>
        <v>0</v>
      </c>
      <c r="F119" s="4" cm="1">
        <f t="array" ref="F119">_xlfn.IFS('ProductSprint Backlog'!$F119="", "", AND('ProductSprint Backlog'!$J119&gt;F$2,'ProductSprint Backlog'!$I119&lt;=F$2), 'ProductSprint Backlog'!$F119 / MAX(1, 'ProductSprint Backlog'!$J119-'ProductSprint Backlog'!$I119), AND('ProductSprint Backlog'!$J119=F$2,'ProductSprint Backlog'!$I119=F$2), 'ProductSprint Backlog'!$F119, TRUE, 0)</f>
        <v>0</v>
      </c>
      <c r="G119" s="4" cm="1">
        <f t="array" ref="G119">_xlfn.IFS('ProductSprint Backlog'!$F119="", "", AND('ProductSprint Backlog'!$J119&gt;G$2,'ProductSprint Backlog'!$I119&lt;=G$2), 'ProductSprint Backlog'!$F119 / MAX(1, 'ProductSprint Backlog'!$J119-'ProductSprint Backlog'!$I119), AND('ProductSprint Backlog'!$J119=G$2,'ProductSprint Backlog'!$I119=G$2), 'ProductSprint Backlog'!$F119, TRUE, 0)</f>
        <v>0</v>
      </c>
      <c r="H119" s="4" cm="1">
        <f t="array" ref="H119">_xlfn.IFS('ProductSprint Backlog'!$F119="", "", AND('ProductSprint Backlog'!$J119&gt;H$2,'ProductSprint Backlog'!$I119&lt;=H$2), 'ProductSprint Backlog'!$F119 / MAX(1, 'ProductSprint Backlog'!$J119-'ProductSprint Backlog'!$I119), AND('ProductSprint Backlog'!$J119=H$2,'ProductSprint Backlog'!$I119=H$2), 'ProductSprint Backlog'!$F119, TRUE, 0)</f>
        <v>0</v>
      </c>
      <c r="I119" s="4" cm="1">
        <f t="array" ref="I119">_xlfn.IFS('ProductSprint Backlog'!$F119="", "", AND('ProductSprint Backlog'!$J119&gt;I$2,'ProductSprint Backlog'!$I119&lt;=I$2), 'ProductSprint Backlog'!$F119 / MAX(1, 'ProductSprint Backlog'!$J119-'ProductSprint Backlog'!$I119), AND('ProductSprint Backlog'!$J119=I$2,'ProductSprint Backlog'!$I119=I$2), 'ProductSprint Backlog'!$F119, TRUE, 0)</f>
        <v>0</v>
      </c>
      <c r="J119" s="4" cm="1">
        <f t="array" ref="J119">_xlfn.IFS('ProductSprint Backlog'!$F119="", "", AND('ProductSprint Backlog'!$J119&gt;J$2,'ProductSprint Backlog'!$I119&lt;=J$2), 'ProductSprint Backlog'!$F119 / MAX(1, 'ProductSprint Backlog'!$J119-'ProductSprint Backlog'!$I119), AND('ProductSprint Backlog'!$J119=J$2,'ProductSprint Backlog'!$I119=J$2), 'ProductSprint Backlog'!$F119, TRUE, 0)</f>
        <v>0</v>
      </c>
      <c r="K119" s="4" cm="1">
        <f t="array" ref="K119">_xlfn.IFS('ProductSprint Backlog'!$F119="", "", AND('ProductSprint Backlog'!$J119&gt;K$2,'ProductSprint Backlog'!$I119&lt;=K$2), 'ProductSprint Backlog'!$F119 / MAX(1, 'ProductSprint Backlog'!$J119-'ProductSprint Backlog'!$I119), AND('ProductSprint Backlog'!$J119=K$2,'ProductSprint Backlog'!$I119=K$2), 'ProductSprint Backlog'!$F119, TRUE, 0)</f>
        <v>0</v>
      </c>
      <c r="L119" s="4" cm="1">
        <f t="array" ref="L119">_xlfn.IFS('ProductSprint Backlog'!$F119="", "", AND('ProductSprint Backlog'!$J119&gt;L$2,'ProductSprint Backlog'!$I119&lt;=L$2), 'ProductSprint Backlog'!$F119 / MAX(1, 'ProductSprint Backlog'!$J119-'ProductSprint Backlog'!$I119), AND('ProductSprint Backlog'!$J119=L$2,'ProductSprint Backlog'!$I119=L$2), 'ProductSprint Backlog'!$F119, TRUE, 0)</f>
        <v>0</v>
      </c>
      <c r="M119" s="4" cm="1">
        <f t="array" ref="M119">_xlfn.IFS('ProductSprint Backlog'!$F119="", "", AND('ProductSprint Backlog'!$J119&gt;M$2,'ProductSprint Backlog'!$I119&lt;=M$2), 'ProductSprint Backlog'!$F119 / MAX(1, 'ProductSprint Backlog'!$J119-'ProductSprint Backlog'!$I119), AND('ProductSprint Backlog'!$J119=M$2,'ProductSprint Backlog'!$I119=M$2), 'ProductSprint Backlog'!$F119, TRUE, 0)</f>
        <v>0</v>
      </c>
      <c r="N119" s="4" cm="1">
        <f t="array" ref="N119">_xlfn.IFS('ProductSprint Backlog'!$F119="", "", AND('ProductSprint Backlog'!$J119&gt;N$2,'ProductSprint Backlog'!$I119&lt;=N$2), 'ProductSprint Backlog'!$F119 / MAX(1, 'ProductSprint Backlog'!$J119-'ProductSprint Backlog'!$I119), AND('ProductSprint Backlog'!$J119=N$2,'ProductSprint Backlog'!$I119=N$2), 'ProductSprint Backlog'!$F119, TRUE, 0)</f>
        <v>0</v>
      </c>
      <c r="O119" s="4" cm="1">
        <f t="array" ref="O119">_xlfn.IFS('ProductSprint Backlog'!$F119="", "", AND('ProductSprint Backlog'!$J119&gt;O$2,'ProductSprint Backlog'!$I119&lt;=O$2), 'ProductSprint Backlog'!$F119 / MAX(1, 'ProductSprint Backlog'!$J119-'ProductSprint Backlog'!$I119), AND('ProductSprint Backlog'!$J119=O$2,'ProductSprint Backlog'!$I119=O$2), 'ProductSprint Backlog'!$F119, TRUE, 0)</f>
        <v>0</v>
      </c>
      <c r="P119" s="4" cm="1">
        <f t="array" ref="P119">_xlfn.IFS('ProductSprint Backlog'!$F119="", "", AND('ProductSprint Backlog'!$J119&gt;P$2,'ProductSprint Backlog'!$I119&lt;=P$2), 'ProductSprint Backlog'!$F119 / MAX(1, 'ProductSprint Backlog'!$J119-'ProductSprint Backlog'!$I119), AND('ProductSprint Backlog'!$J119=P$2,'ProductSprint Backlog'!$I119=P$2), 'ProductSprint Backlog'!$F119, TRUE, 0)</f>
        <v>0</v>
      </c>
      <c r="Q119" s="4" cm="1">
        <f t="array" ref="Q119">_xlfn.IFS('ProductSprint Backlog'!$F119="", "", AND('ProductSprint Backlog'!$J119&gt;Q$2,'ProductSprint Backlog'!$I119&lt;=Q$2), 'ProductSprint Backlog'!$F119 / MAX(1, 'ProductSprint Backlog'!$J119-'ProductSprint Backlog'!$I119), AND('ProductSprint Backlog'!$J119=Q$2,'ProductSprint Backlog'!$I119=Q$2), 'ProductSprint Backlog'!$F119, TRUE, 0)</f>
        <v>0</v>
      </c>
    </row>
    <row r="120" spans="2:17" x14ac:dyDescent="0.2">
      <c r="B120" s="4" cm="1">
        <f t="array" ref="B120">_xlfn.IFS('ProductSprint Backlog'!$F120="", "", AND('ProductSprint Backlog'!$J120&gt;B$2,'ProductSprint Backlog'!$I120&lt;=B$2), 'ProductSprint Backlog'!$F120 / MAX(1, 'ProductSprint Backlog'!$J120-'ProductSprint Backlog'!$I120), AND('ProductSprint Backlog'!$J120=B$2,'ProductSprint Backlog'!$I120=B$2), 'ProductSprint Backlog'!$F120, TRUE, 0)</f>
        <v>0</v>
      </c>
      <c r="C120" s="4" cm="1">
        <f t="array" ref="C120">_xlfn.IFS('ProductSprint Backlog'!$F120="", "", AND('ProductSprint Backlog'!$J120&gt;C$2,'ProductSprint Backlog'!$I120&lt;=C$2), 'ProductSprint Backlog'!$F120 / MAX(1, 'ProductSprint Backlog'!$J120-'ProductSprint Backlog'!$I120), AND('ProductSprint Backlog'!$J120=C$2,'ProductSprint Backlog'!$I120=C$2), 'ProductSprint Backlog'!$F120, TRUE, 0)</f>
        <v>0</v>
      </c>
      <c r="D120" s="4" cm="1">
        <f t="array" ref="D120">_xlfn.IFS('ProductSprint Backlog'!$F120="", "", AND('ProductSprint Backlog'!$J120&gt;D$2,'ProductSprint Backlog'!$I120&lt;=D$2), 'ProductSprint Backlog'!$F120 / MAX(1, 'ProductSprint Backlog'!$J120-'ProductSprint Backlog'!$I120), AND('ProductSprint Backlog'!$J120=D$2,'ProductSprint Backlog'!$I120=D$2), 'ProductSprint Backlog'!$F120, TRUE, 0)</f>
        <v>0</v>
      </c>
      <c r="E120" s="4" cm="1">
        <f t="array" ref="E120">_xlfn.IFS('ProductSprint Backlog'!$F120="", "", AND('ProductSprint Backlog'!$J120&gt;E$2,'ProductSprint Backlog'!$I120&lt;=E$2), 'ProductSprint Backlog'!$F120 / MAX(1, 'ProductSprint Backlog'!$J120-'ProductSprint Backlog'!$I120), AND('ProductSprint Backlog'!$J120=E$2,'ProductSprint Backlog'!$I120=E$2), 'ProductSprint Backlog'!$F120, TRUE, 0)</f>
        <v>0</v>
      </c>
      <c r="F120" s="4" cm="1">
        <f t="array" ref="F120">_xlfn.IFS('ProductSprint Backlog'!$F120="", "", AND('ProductSprint Backlog'!$J120&gt;F$2,'ProductSprint Backlog'!$I120&lt;=F$2), 'ProductSprint Backlog'!$F120 / MAX(1, 'ProductSprint Backlog'!$J120-'ProductSprint Backlog'!$I120), AND('ProductSprint Backlog'!$J120=F$2,'ProductSprint Backlog'!$I120=F$2), 'ProductSprint Backlog'!$F120, TRUE, 0)</f>
        <v>0</v>
      </c>
      <c r="G120" s="4" cm="1">
        <f t="array" ref="G120">_xlfn.IFS('ProductSprint Backlog'!$F120="", "", AND('ProductSprint Backlog'!$J120&gt;G$2,'ProductSprint Backlog'!$I120&lt;=G$2), 'ProductSprint Backlog'!$F120 / MAX(1, 'ProductSprint Backlog'!$J120-'ProductSprint Backlog'!$I120), AND('ProductSprint Backlog'!$J120=G$2,'ProductSprint Backlog'!$I120=G$2), 'ProductSprint Backlog'!$F120, TRUE, 0)</f>
        <v>0</v>
      </c>
      <c r="H120" s="4" cm="1">
        <f t="array" ref="H120">_xlfn.IFS('ProductSprint Backlog'!$F120="", "", AND('ProductSprint Backlog'!$J120&gt;H$2,'ProductSprint Backlog'!$I120&lt;=H$2), 'ProductSprint Backlog'!$F120 / MAX(1, 'ProductSprint Backlog'!$J120-'ProductSprint Backlog'!$I120), AND('ProductSprint Backlog'!$J120=H$2,'ProductSprint Backlog'!$I120=H$2), 'ProductSprint Backlog'!$F120, TRUE, 0)</f>
        <v>0</v>
      </c>
      <c r="I120" s="4" cm="1">
        <f t="array" ref="I120">_xlfn.IFS('ProductSprint Backlog'!$F120="", "", AND('ProductSprint Backlog'!$J120&gt;I$2,'ProductSprint Backlog'!$I120&lt;=I$2), 'ProductSprint Backlog'!$F120 / MAX(1, 'ProductSprint Backlog'!$J120-'ProductSprint Backlog'!$I120), AND('ProductSprint Backlog'!$J120=I$2,'ProductSprint Backlog'!$I120=I$2), 'ProductSprint Backlog'!$F120, TRUE, 0)</f>
        <v>0</v>
      </c>
      <c r="J120" s="4" cm="1">
        <f t="array" ref="J120">_xlfn.IFS('ProductSprint Backlog'!$F120="", "", AND('ProductSprint Backlog'!$J120&gt;J$2,'ProductSprint Backlog'!$I120&lt;=J$2), 'ProductSprint Backlog'!$F120 / MAX(1, 'ProductSprint Backlog'!$J120-'ProductSprint Backlog'!$I120), AND('ProductSprint Backlog'!$J120=J$2,'ProductSprint Backlog'!$I120=J$2), 'ProductSprint Backlog'!$F120, TRUE, 0)</f>
        <v>0</v>
      </c>
      <c r="K120" s="4" cm="1">
        <f t="array" ref="K120">_xlfn.IFS('ProductSprint Backlog'!$F120="", "", AND('ProductSprint Backlog'!$J120&gt;K$2,'ProductSprint Backlog'!$I120&lt;=K$2), 'ProductSprint Backlog'!$F120 / MAX(1, 'ProductSprint Backlog'!$J120-'ProductSprint Backlog'!$I120), AND('ProductSprint Backlog'!$J120=K$2,'ProductSprint Backlog'!$I120=K$2), 'ProductSprint Backlog'!$F120, TRUE, 0)</f>
        <v>0</v>
      </c>
      <c r="L120" s="4" cm="1">
        <f t="array" ref="L120">_xlfn.IFS('ProductSprint Backlog'!$F120="", "", AND('ProductSprint Backlog'!$J120&gt;L$2,'ProductSprint Backlog'!$I120&lt;=L$2), 'ProductSprint Backlog'!$F120 / MAX(1, 'ProductSprint Backlog'!$J120-'ProductSprint Backlog'!$I120), AND('ProductSprint Backlog'!$J120=L$2,'ProductSprint Backlog'!$I120=L$2), 'ProductSprint Backlog'!$F120, TRUE, 0)</f>
        <v>0</v>
      </c>
      <c r="M120" s="4" cm="1">
        <f t="array" ref="M120">_xlfn.IFS('ProductSprint Backlog'!$F120="", "", AND('ProductSprint Backlog'!$J120&gt;M$2,'ProductSprint Backlog'!$I120&lt;=M$2), 'ProductSprint Backlog'!$F120 / MAX(1, 'ProductSprint Backlog'!$J120-'ProductSprint Backlog'!$I120), AND('ProductSprint Backlog'!$J120=M$2,'ProductSprint Backlog'!$I120=M$2), 'ProductSprint Backlog'!$F120, TRUE, 0)</f>
        <v>0</v>
      </c>
      <c r="N120" s="4" cm="1">
        <f t="array" ref="N120">_xlfn.IFS('ProductSprint Backlog'!$F120="", "", AND('ProductSprint Backlog'!$J120&gt;N$2,'ProductSprint Backlog'!$I120&lt;=N$2), 'ProductSprint Backlog'!$F120 / MAX(1, 'ProductSprint Backlog'!$J120-'ProductSprint Backlog'!$I120), AND('ProductSprint Backlog'!$J120=N$2,'ProductSprint Backlog'!$I120=N$2), 'ProductSprint Backlog'!$F120, TRUE, 0)</f>
        <v>0</v>
      </c>
      <c r="O120" s="4" cm="1">
        <f t="array" ref="O120">_xlfn.IFS('ProductSprint Backlog'!$F120="", "", AND('ProductSprint Backlog'!$J120&gt;O$2,'ProductSprint Backlog'!$I120&lt;=O$2), 'ProductSprint Backlog'!$F120 / MAX(1, 'ProductSprint Backlog'!$J120-'ProductSprint Backlog'!$I120), AND('ProductSprint Backlog'!$J120=O$2,'ProductSprint Backlog'!$I120=O$2), 'ProductSprint Backlog'!$F120, TRUE, 0)</f>
        <v>0</v>
      </c>
      <c r="P120" s="4" cm="1">
        <f t="array" ref="P120">_xlfn.IFS('ProductSprint Backlog'!$F120="", "", AND('ProductSprint Backlog'!$J120&gt;P$2,'ProductSprint Backlog'!$I120&lt;=P$2), 'ProductSprint Backlog'!$F120 / MAX(1, 'ProductSprint Backlog'!$J120-'ProductSprint Backlog'!$I120), AND('ProductSprint Backlog'!$J120=P$2,'ProductSprint Backlog'!$I120=P$2), 'ProductSprint Backlog'!$F120, TRUE, 0)</f>
        <v>0</v>
      </c>
      <c r="Q120" s="4" cm="1">
        <f t="array" ref="Q120">_xlfn.IFS('ProductSprint Backlog'!$F120="", "", AND('ProductSprint Backlog'!$J120&gt;Q$2,'ProductSprint Backlog'!$I120&lt;=Q$2), 'ProductSprint Backlog'!$F120 / MAX(1, 'ProductSprint Backlog'!$J120-'ProductSprint Backlog'!$I120), AND('ProductSprint Backlog'!$J120=Q$2,'ProductSprint Backlog'!$I120=Q$2), 'ProductSprint Backlog'!$F120, TRUE, 0)</f>
        <v>0</v>
      </c>
    </row>
    <row r="121" spans="2:17" x14ac:dyDescent="0.2">
      <c r="B121" s="4" cm="1">
        <f t="array" ref="B121">_xlfn.IFS('ProductSprint Backlog'!$F121="", "", AND('ProductSprint Backlog'!$J121&gt;B$2,'ProductSprint Backlog'!$I121&lt;=B$2), 'ProductSprint Backlog'!$F121 / MAX(1, 'ProductSprint Backlog'!$J121-'ProductSprint Backlog'!$I121), AND('ProductSprint Backlog'!$J121=B$2,'ProductSprint Backlog'!$I121=B$2), 'ProductSprint Backlog'!$F121, TRUE, 0)</f>
        <v>0</v>
      </c>
      <c r="C121" s="4" cm="1">
        <f t="array" ref="C121">_xlfn.IFS('ProductSprint Backlog'!$F121="", "", AND('ProductSprint Backlog'!$J121&gt;C$2,'ProductSprint Backlog'!$I121&lt;=C$2), 'ProductSprint Backlog'!$F121 / MAX(1, 'ProductSprint Backlog'!$J121-'ProductSprint Backlog'!$I121), AND('ProductSprint Backlog'!$J121=C$2,'ProductSprint Backlog'!$I121=C$2), 'ProductSprint Backlog'!$F121, TRUE, 0)</f>
        <v>0</v>
      </c>
      <c r="D121" s="4" cm="1">
        <f t="array" ref="D121">_xlfn.IFS('ProductSprint Backlog'!$F121="", "", AND('ProductSprint Backlog'!$J121&gt;D$2,'ProductSprint Backlog'!$I121&lt;=D$2), 'ProductSprint Backlog'!$F121 / MAX(1, 'ProductSprint Backlog'!$J121-'ProductSprint Backlog'!$I121), AND('ProductSprint Backlog'!$J121=D$2,'ProductSprint Backlog'!$I121=D$2), 'ProductSprint Backlog'!$F121, TRUE, 0)</f>
        <v>0</v>
      </c>
      <c r="E121" s="4" cm="1">
        <f t="array" ref="E121">_xlfn.IFS('ProductSprint Backlog'!$F121="", "", AND('ProductSprint Backlog'!$J121&gt;E$2,'ProductSprint Backlog'!$I121&lt;=E$2), 'ProductSprint Backlog'!$F121 / MAX(1, 'ProductSprint Backlog'!$J121-'ProductSprint Backlog'!$I121), AND('ProductSprint Backlog'!$J121=E$2,'ProductSprint Backlog'!$I121=E$2), 'ProductSprint Backlog'!$F121, TRUE, 0)</f>
        <v>0</v>
      </c>
      <c r="F121" s="4" cm="1">
        <f t="array" ref="F121">_xlfn.IFS('ProductSprint Backlog'!$F121="", "", AND('ProductSprint Backlog'!$J121&gt;F$2,'ProductSprint Backlog'!$I121&lt;=F$2), 'ProductSprint Backlog'!$F121 / MAX(1, 'ProductSprint Backlog'!$J121-'ProductSprint Backlog'!$I121), AND('ProductSprint Backlog'!$J121=F$2,'ProductSprint Backlog'!$I121=F$2), 'ProductSprint Backlog'!$F121, TRUE, 0)</f>
        <v>0</v>
      </c>
      <c r="G121" s="4" cm="1">
        <f t="array" ref="G121">_xlfn.IFS('ProductSprint Backlog'!$F121="", "", AND('ProductSprint Backlog'!$J121&gt;G$2,'ProductSprint Backlog'!$I121&lt;=G$2), 'ProductSprint Backlog'!$F121 / MAX(1, 'ProductSprint Backlog'!$J121-'ProductSprint Backlog'!$I121), AND('ProductSprint Backlog'!$J121=G$2,'ProductSprint Backlog'!$I121=G$2), 'ProductSprint Backlog'!$F121, TRUE, 0)</f>
        <v>0</v>
      </c>
      <c r="H121" s="4" cm="1">
        <f t="array" ref="H121">_xlfn.IFS('ProductSprint Backlog'!$F121="", "", AND('ProductSprint Backlog'!$J121&gt;H$2,'ProductSprint Backlog'!$I121&lt;=H$2), 'ProductSprint Backlog'!$F121 / MAX(1, 'ProductSprint Backlog'!$J121-'ProductSprint Backlog'!$I121), AND('ProductSprint Backlog'!$J121=H$2,'ProductSprint Backlog'!$I121=H$2), 'ProductSprint Backlog'!$F121, TRUE, 0)</f>
        <v>0</v>
      </c>
      <c r="I121" s="4" cm="1">
        <f t="array" ref="I121">_xlfn.IFS('ProductSprint Backlog'!$F121="", "", AND('ProductSprint Backlog'!$J121&gt;I$2,'ProductSprint Backlog'!$I121&lt;=I$2), 'ProductSprint Backlog'!$F121 / MAX(1, 'ProductSprint Backlog'!$J121-'ProductSprint Backlog'!$I121), AND('ProductSprint Backlog'!$J121=I$2,'ProductSprint Backlog'!$I121=I$2), 'ProductSprint Backlog'!$F121, TRUE, 0)</f>
        <v>0</v>
      </c>
      <c r="J121" s="4" cm="1">
        <f t="array" ref="J121">_xlfn.IFS('ProductSprint Backlog'!$F121="", "", AND('ProductSprint Backlog'!$J121&gt;J$2,'ProductSprint Backlog'!$I121&lt;=J$2), 'ProductSprint Backlog'!$F121 / MAX(1, 'ProductSprint Backlog'!$J121-'ProductSprint Backlog'!$I121), AND('ProductSprint Backlog'!$J121=J$2,'ProductSprint Backlog'!$I121=J$2), 'ProductSprint Backlog'!$F121, TRUE, 0)</f>
        <v>0</v>
      </c>
      <c r="K121" s="4" cm="1">
        <f t="array" ref="K121">_xlfn.IFS('ProductSprint Backlog'!$F121="", "", AND('ProductSprint Backlog'!$J121&gt;K$2,'ProductSprint Backlog'!$I121&lt;=K$2), 'ProductSprint Backlog'!$F121 / MAX(1, 'ProductSprint Backlog'!$J121-'ProductSprint Backlog'!$I121), AND('ProductSprint Backlog'!$J121=K$2,'ProductSprint Backlog'!$I121=K$2), 'ProductSprint Backlog'!$F121, TRUE, 0)</f>
        <v>0</v>
      </c>
      <c r="L121" s="4" cm="1">
        <f t="array" ref="L121">_xlfn.IFS('ProductSprint Backlog'!$F121="", "", AND('ProductSprint Backlog'!$J121&gt;L$2,'ProductSprint Backlog'!$I121&lt;=L$2), 'ProductSprint Backlog'!$F121 / MAX(1, 'ProductSprint Backlog'!$J121-'ProductSprint Backlog'!$I121), AND('ProductSprint Backlog'!$J121=L$2,'ProductSprint Backlog'!$I121=L$2), 'ProductSprint Backlog'!$F121, TRUE, 0)</f>
        <v>0</v>
      </c>
      <c r="M121" s="4" cm="1">
        <f t="array" ref="M121">_xlfn.IFS('ProductSprint Backlog'!$F121="", "", AND('ProductSprint Backlog'!$J121&gt;M$2,'ProductSprint Backlog'!$I121&lt;=M$2), 'ProductSprint Backlog'!$F121 / MAX(1, 'ProductSprint Backlog'!$J121-'ProductSprint Backlog'!$I121), AND('ProductSprint Backlog'!$J121=M$2,'ProductSprint Backlog'!$I121=M$2), 'ProductSprint Backlog'!$F121, TRUE, 0)</f>
        <v>0</v>
      </c>
      <c r="N121" s="4" cm="1">
        <f t="array" ref="N121">_xlfn.IFS('ProductSprint Backlog'!$F121="", "", AND('ProductSprint Backlog'!$J121&gt;N$2,'ProductSprint Backlog'!$I121&lt;=N$2), 'ProductSprint Backlog'!$F121 / MAX(1, 'ProductSprint Backlog'!$J121-'ProductSprint Backlog'!$I121), AND('ProductSprint Backlog'!$J121=N$2,'ProductSprint Backlog'!$I121=N$2), 'ProductSprint Backlog'!$F121, TRUE, 0)</f>
        <v>0</v>
      </c>
      <c r="O121" s="4" cm="1">
        <f t="array" ref="O121">_xlfn.IFS('ProductSprint Backlog'!$F121="", "", AND('ProductSprint Backlog'!$J121&gt;O$2,'ProductSprint Backlog'!$I121&lt;=O$2), 'ProductSprint Backlog'!$F121 / MAX(1, 'ProductSprint Backlog'!$J121-'ProductSprint Backlog'!$I121), AND('ProductSprint Backlog'!$J121=O$2,'ProductSprint Backlog'!$I121=O$2), 'ProductSprint Backlog'!$F121, TRUE, 0)</f>
        <v>0</v>
      </c>
      <c r="P121" s="4" cm="1">
        <f t="array" ref="P121">_xlfn.IFS('ProductSprint Backlog'!$F121="", "", AND('ProductSprint Backlog'!$J121&gt;P$2,'ProductSprint Backlog'!$I121&lt;=P$2), 'ProductSprint Backlog'!$F121 / MAX(1, 'ProductSprint Backlog'!$J121-'ProductSprint Backlog'!$I121), AND('ProductSprint Backlog'!$J121=P$2,'ProductSprint Backlog'!$I121=P$2), 'ProductSprint Backlog'!$F121, TRUE, 0)</f>
        <v>0</v>
      </c>
      <c r="Q121" s="4" cm="1">
        <f t="array" ref="Q121">_xlfn.IFS('ProductSprint Backlog'!$F121="", "", AND('ProductSprint Backlog'!$J121&gt;Q$2,'ProductSprint Backlog'!$I121&lt;=Q$2), 'ProductSprint Backlog'!$F121 / MAX(1, 'ProductSprint Backlog'!$J121-'ProductSprint Backlog'!$I121), AND('ProductSprint Backlog'!$J121=Q$2,'ProductSprint Backlog'!$I121=Q$2), 'ProductSprint Backlog'!$F121, TRUE, 0)</f>
        <v>0</v>
      </c>
    </row>
    <row r="122" spans="2:17" x14ac:dyDescent="0.2">
      <c r="B122" s="4" cm="1">
        <f t="array" ref="B122">_xlfn.IFS('ProductSprint Backlog'!$F122="", "", AND('ProductSprint Backlog'!$J122&gt;B$2,'ProductSprint Backlog'!$I122&lt;=B$2), 'ProductSprint Backlog'!$F122 / MAX(1, 'ProductSprint Backlog'!$J122-'ProductSprint Backlog'!$I122), AND('ProductSprint Backlog'!$J122=B$2,'ProductSprint Backlog'!$I122=B$2), 'ProductSprint Backlog'!$F122, TRUE, 0)</f>
        <v>0</v>
      </c>
      <c r="C122" s="4" cm="1">
        <f t="array" ref="C122">_xlfn.IFS('ProductSprint Backlog'!$F122="", "", AND('ProductSprint Backlog'!$J122&gt;C$2,'ProductSprint Backlog'!$I122&lt;=C$2), 'ProductSprint Backlog'!$F122 / MAX(1, 'ProductSprint Backlog'!$J122-'ProductSprint Backlog'!$I122), AND('ProductSprint Backlog'!$J122=C$2,'ProductSprint Backlog'!$I122=C$2), 'ProductSprint Backlog'!$F122, TRUE, 0)</f>
        <v>0</v>
      </c>
      <c r="D122" s="4" cm="1">
        <f t="array" ref="D122">_xlfn.IFS('ProductSprint Backlog'!$F122="", "", AND('ProductSprint Backlog'!$J122&gt;D$2,'ProductSprint Backlog'!$I122&lt;=D$2), 'ProductSprint Backlog'!$F122 / MAX(1, 'ProductSprint Backlog'!$J122-'ProductSprint Backlog'!$I122), AND('ProductSprint Backlog'!$J122=D$2,'ProductSprint Backlog'!$I122=D$2), 'ProductSprint Backlog'!$F122, TRUE, 0)</f>
        <v>0</v>
      </c>
      <c r="E122" s="4" cm="1">
        <f t="array" ref="E122">_xlfn.IFS('ProductSprint Backlog'!$F122="", "", AND('ProductSprint Backlog'!$J122&gt;E$2,'ProductSprint Backlog'!$I122&lt;=E$2), 'ProductSprint Backlog'!$F122 / MAX(1, 'ProductSprint Backlog'!$J122-'ProductSprint Backlog'!$I122), AND('ProductSprint Backlog'!$J122=E$2,'ProductSprint Backlog'!$I122=E$2), 'ProductSprint Backlog'!$F122, TRUE, 0)</f>
        <v>0</v>
      </c>
      <c r="F122" s="4" cm="1">
        <f t="array" ref="F122">_xlfn.IFS('ProductSprint Backlog'!$F122="", "", AND('ProductSprint Backlog'!$J122&gt;F$2,'ProductSprint Backlog'!$I122&lt;=F$2), 'ProductSprint Backlog'!$F122 / MAX(1, 'ProductSprint Backlog'!$J122-'ProductSprint Backlog'!$I122), AND('ProductSprint Backlog'!$J122=F$2,'ProductSprint Backlog'!$I122=F$2), 'ProductSprint Backlog'!$F122, TRUE, 0)</f>
        <v>0</v>
      </c>
      <c r="G122" s="4" cm="1">
        <f t="array" ref="G122">_xlfn.IFS('ProductSprint Backlog'!$F122="", "", AND('ProductSprint Backlog'!$J122&gt;G$2,'ProductSprint Backlog'!$I122&lt;=G$2), 'ProductSprint Backlog'!$F122 / MAX(1, 'ProductSprint Backlog'!$J122-'ProductSprint Backlog'!$I122), AND('ProductSprint Backlog'!$J122=G$2,'ProductSprint Backlog'!$I122=G$2), 'ProductSprint Backlog'!$F122, TRUE, 0)</f>
        <v>0</v>
      </c>
      <c r="H122" s="4" cm="1">
        <f t="array" ref="H122">_xlfn.IFS('ProductSprint Backlog'!$F122="", "", AND('ProductSprint Backlog'!$J122&gt;H$2,'ProductSprint Backlog'!$I122&lt;=H$2), 'ProductSprint Backlog'!$F122 / MAX(1, 'ProductSprint Backlog'!$J122-'ProductSprint Backlog'!$I122), AND('ProductSprint Backlog'!$J122=H$2,'ProductSprint Backlog'!$I122=H$2), 'ProductSprint Backlog'!$F122, TRUE, 0)</f>
        <v>0</v>
      </c>
      <c r="I122" s="4" cm="1">
        <f t="array" ref="I122">_xlfn.IFS('ProductSprint Backlog'!$F122="", "", AND('ProductSprint Backlog'!$J122&gt;I$2,'ProductSprint Backlog'!$I122&lt;=I$2), 'ProductSprint Backlog'!$F122 / MAX(1, 'ProductSprint Backlog'!$J122-'ProductSprint Backlog'!$I122), AND('ProductSprint Backlog'!$J122=I$2,'ProductSprint Backlog'!$I122=I$2), 'ProductSprint Backlog'!$F122, TRUE, 0)</f>
        <v>0</v>
      </c>
      <c r="J122" s="4" cm="1">
        <f t="array" ref="J122">_xlfn.IFS('ProductSprint Backlog'!$F122="", "", AND('ProductSprint Backlog'!$J122&gt;J$2,'ProductSprint Backlog'!$I122&lt;=J$2), 'ProductSprint Backlog'!$F122 / MAX(1, 'ProductSprint Backlog'!$J122-'ProductSprint Backlog'!$I122), AND('ProductSprint Backlog'!$J122=J$2,'ProductSprint Backlog'!$I122=J$2), 'ProductSprint Backlog'!$F122, TRUE, 0)</f>
        <v>0</v>
      </c>
      <c r="K122" s="4" cm="1">
        <f t="array" ref="K122">_xlfn.IFS('ProductSprint Backlog'!$F122="", "", AND('ProductSprint Backlog'!$J122&gt;K$2,'ProductSprint Backlog'!$I122&lt;=K$2), 'ProductSprint Backlog'!$F122 / MAX(1, 'ProductSprint Backlog'!$J122-'ProductSprint Backlog'!$I122), AND('ProductSprint Backlog'!$J122=K$2,'ProductSprint Backlog'!$I122=K$2), 'ProductSprint Backlog'!$F122, TRUE, 0)</f>
        <v>0</v>
      </c>
      <c r="L122" s="4" cm="1">
        <f t="array" ref="L122">_xlfn.IFS('ProductSprint Backlog'!$F122="", "", AND('ProductSprint Backlog'!$J122&gt;L$2,'ProductSprint Backlog'!$I122&lt;=L$2), 'ProductSprint Backlog'!$F122 / MAX(1, 'ProductSprint Backlog'!$J122-'ProductSprint Backlog'!$I122), AND('ProductSprint Backlog'!$J122=L$2,'ProductSprint Backlog'!$I122=L$2), 'ProductSprint Backlog'!$F122, TRUE, 0)</f>
        <v>0</v>
      </c>
      <c r="M122" s="4" cm="1">
        <f t="array" ref="M122">_xlfn.IFS('ProductSprint Backlog'!$F122="", "", AND('ProductSprint Backlog'!$J122&gt;M$2,'ProductSprint Backlog'!$I122&lt;=M$2), 'ProductSprint Backlog'!$F122 / MAX(1, 'ProductSprint Backlog'!$J122-'ProductSprint Backlog'!$I122), AND('ProductSprint Backlog'!$J122=M$2,'ProductSprint Backlog'!$I122=M$2), 'ProductSprint Backlog'!$F122, TRUE, 0)</f>
        <v>0</v>
      </c>
      <c r="N122" s="4" cm="1">
        <f t="array" ref="N122">_xlfn.IFS('ProductSprint Backlog'!$F122="", "", AND('ProductSprint Backlog'!$J122&gt;N$2,'ProductSprint Backlog'!$I122&lt;=N$2), 'ProductSprint Backlog'!$F122 / MAX(1, 'ProductSprint Backlog'!$J122-'ProductSprint Backlog'!$I122), AND('ProductSprint Backlog'!$J122=N$2,'ProductSprint Backlog'!$I122=N$2), 'ProductSprint Backlog'!$F122, TRUE, 0)</f>
        <v>0</v>
      </c>
      <c r="O122" s="4" cm="1">
        <f t="array" ref="O122">_xlfn.IFS('ProductSprint Backlog'!$F122="", "", AND('ProductSprint Backlog'!$J122&gt;O$2,'ProductSprint Backlog'!$I122&lt;=O$2), 'ProductSprint Backlog'!$F122 / MAX(1, 'ProductSprint Backlog'!$J122-'ProductSprint Backlog'!$I122), AND('ProductSprint Backlog'!$J122=O$2,'ProductSprint Backlog'!$I122=O$2), 'ProductSprint Backlog'!$F122, TRUE, 0)</f>
        <v>0</v>
      </c>
      <c r="P122" s="4" cm="1">
        <f t="array" ref="P122">_xlfn.IFS('ProductSprint Backlog'!$F122="", "", AND('ProductSprint Backlog'!$J122&gt;P$2,'ProductSprint Backlog'!$I122&lt;=P$2), 'ProductSprint Backlog'!$F122 / MAX(1, 'ProductSprint Backlog'!$J122-'ProductSprint Backlog'!$I122), AND('ProductSprint Backlog'!$J122=P$2,'ProductSprint Backlog'!$I122=P$2), 'ProductSprint Backlog'!$F122, TRUE, 0)</f>
        <v>0</v>
      </c>
      <c r="Q122" s="4" cm="1">
        <f t="array" ref="Q122">_xlfn.IFS('ProductSprint Backlog'!$F122="", "", AND('ProductSprint Backlog'!$J122&gt;Q$2,'ProductSprint Backlog'!$I122&lt;=Q$2), 'ProductSprint Backlog'!$F122 / MAX(1, 'ProductSprint Backlog'!$J122-'ProductSprint Backlog'!$I122), AND('ProductSprint Backlog'!$J122=Q$2,'ProductSprint Backlog'!$I122=Q$2), 'ProductSprint Backlog'!$F122, TRUE, 0)</f>
        <v>0</v>
      </c>
    </row>
    <row r="123" spans="2:17" x14ac:dyDescent="0.2">
      <c r="B123" s="4" cm="1">
        <f t="array" ref="B123">_xlfn.IFS('ProductSprint Backlog'!$F123="", "", AND('ProductSprint Backlog'!$J123&gt;B$2,'ProductSprint Backlog'!$I123&lt;=B$2), 'ProductSprint Backlog'!$F123 / MAX(1, 'ProductSprint Backlog'!$J123-'ProductSprint Backlog'!$I123), AND('ProductSprint Backlog'!$J123=B$2,'ProductSprint Backlog'!$I123=B$2), 'ProductSprint Backlog'!$F123, TRUE, 0)</f>
        <v>0</v>
      </c>
      <c r="C123" s="4" cm="1">
        <f t="array" ref="C123">_xlfn.IFS('ProductSprint Backlog'!$F123="", "", AND('ProductSprint Backlog'!$J123&gt;C$2,'ProductSprint Backlog'!$I123&lt;=C$2), 'ProductSprint Backlog'!$F123 / MAX(1, 'ProductSprint Backlog'!$J123-'ProductSprint Backlog'!$I123), AND('ProductSprint Backlog'!$J123=C$2,'ProductSprint Backlog'!$I123=C$2), 'ProductSprint Backlog'!$F123, TRUE, 0)</f>
        <v>0</v>
      </c>
      <c r="D123" s="4" cm="1">
        <f t="array" ref="D123">_xlfn.IFS('ProductSprint Backlog'!$F123="", "", AND('ProductSprint Backlog'!$J123&gt;D$2,'ProductSprint Backlog'!$I123&lt;=D$2), 'ProductSprint Backlog'!$F123 / MAX(1, 'ProductSprint Backlog'!$J123-'ProductSprint Backlog'!$I123), AND('ProductSprint Backlog'!$J123=D$2,'ProductSprint Backlog'!$I123=D$2), 'ProductSprint Backlog'!$F123, TRUE, 0)</f>
        <v>0</v>
      </c>
      <c r="E123" s="4" cm="1">
        <f t="array" ref="E123">_xlfn.IFS('ProductSprint Backlog'!$F123="", "", AND('ProductSprint Backlog'!$J123&gt;E$2,'ProductSprint Backlog'!$I123&lt;=E$2), 'ProductSprint Backlog'!$F123 / MAX(1, 'ProductSprint Backlog'!$J123-'ProductSprint Backlog'!$I123), AND('ProductSprint Backlog'!$J123=E$2,'ProductSprint Backlog'!$I123=E$2), 'ProductSprint Backlog'!$F123, TRUE, 0)</f>
        <v>0</v>
      </c>
      <c r="F123" s="4" cm="1">
        <f t="array" ref="F123">_xlfn.IFS('ProductSprint Backlog'!$F123="", "", AND('ProductSprint Backlog'!$J123&gt;F$2,'ProductSprint Backlog'!$I123&lt;=F$2), 'ProductSprint Backlog'!$F123 / MAX(1, 'ProductSprint Backlog'!$J123-'ProductSprint Backlog'!$I123), AND('ProductSprint Backlog'!$J123=F$2,'ProductSprint Backlog'!$I123=F$2), 'ProductSprint Backlog'!$F123, TRUE, 0)</f>
        <v>0</v>
      </c>
      <c r="G123" s="4" cm="1">
        <f t="array" ref="G123">_xlfn.IFS('ProductSprint Backlog'!$F123="", "", AND('ProductSprint Backlog'!$J123&gt;G$2,'ProductSprint Backlog'!$I123&lt;=G$2), 'ProductSprint Backlog'!$F123 / MAX(1, 'ProductSprint Backlog'!$J123-'ProductSprint Backlog'!$I123), AND('ProductSprint Backlog'!$J123=G$2,'ProductSprint Backlog'!$I123=G$2), 'ProductSprint Backlog'!$F123, TRUE, 0)</f>
        <v>0</v>
      </c>
      <c r="H123" s="4" cm="1">
        <f t="array" ref="H123">_xlfn.IFS('ProductSprint Backlog'!$F123="", "", AND('ProductSprint Backlog'!$J123&gt;H$2,'ProductSprint Backlog'!$I123&lt;=H$2), 'ProductSprint Backlog'!$F123 / MAX(1, 'ProductSprint Backlog'!$J123-'ProductSprint Backlog'!$I123), AND('ProductSprint Backlog'!$J123=H$2,'ProductSprint Backlog'!$I123=H$2), 'ProductSprint Backlog'!$F123, TRUE, 0)</f>
        <v>0</v>
      </c>
      <c r="I123" s="4" cm="1">
        <f t="array" ref="I123">_xlfn.IFS('ProductSprint Backlog'!$F123="", "", AND('ProductSprint Backlog'!$J123&gt;I$2,'ProductSprint Backlog'!$I123&lt;=I$2), 'ProductSprint Backlog'!$F123 / MAX(1, 'ProductSprint Backlog'!$J123-'ProductSprint Backlog'!$I123), AND('ProductSprint Backlog'!$J123=I$2,'ProductSprint Backlog'!$I123=I$2), 'ProductSprint Backlog'!$F123, TRUE, 0)</f>
        <v>0</v>
      </c>
      <c r="J123" s="4" cm="1">
        <f t="array" ref="J123">_xlfn.IFS('ProductSprint Backlog'!$F123="", "", AND('ProductSprint Backlog'!$J123&gt;J$2,'ProductSprint Backlog'!$I123&lt;=J$2), 'ProductSprint Backlog'!$F123 / MAX(1, 'ProductSprint Backlog'!$J123-'ProductSprint Backlog'!$I123), AND('ProductSprint Backlog'!$J123=J$2,'ProductSprint Backlog'!$I123=J$2), 'ProductSprint Backlog'!$F123, TRUE, 0)</f>
        <v>0</v>
      </c>
      <c r="K123" s="4" cm="1">
        <f t="array" ref="K123">_xlfn.IFS('ProductSprint Backlog'!$F123="", "", AND('ProductSprint Backlog'!$J123&gt;K$2,'ProductSprint Backlog'!$I123&lt;=K$2), 'ProductSprint Backlog'!$F123 / MAX(1, 'ProductSprint Backlog'!$J123-'ProductSprint Backlog'!$I123), AND('ProductSprint Backlog'!$J123=K$2,'ProductSprint Backlog'!$I123=K$2), 'ProductSprint Backlog'!$F123, TRUE, 0)</f>
        <v>0</v>
      </c>
      <c r="L123" s="4" cm="1">
        <f t="array" ref="L123">_xlfn.IFS('ProductSprint Backlog'!$F123="", "", AND('ProductSprint Backlog'!$J123&gt;L$2,'ProductSprint Backlog'!$I123&lt;=L$2), 'ProductSprint Backlog'!$F123 / MAX(1, 'ProductSprint Backlog'!$J123-'ProductSprint Backlog'!$I123), AND('ProductSprint Backlog'!$J123=L$2,'ProductSprint Backlog'!$I123=L$2), 'ProductSprint Backlog'!$F123, TRUE, 0)</f>
        <v>0</v>
      </c>
      <c r="M123" s="4" cm="1">
        <f t="array" ref="M123">_xlfn.IFS('ProductSprint Backlog'!$F123="", "", AND('ProductSprint Backlog'!$J123&gt;M$2,'ProductSprint Backlog'!$I123&lt;=M$2), 'ProductSprint Backlog'!$F123 / MAX(1, 'ProductSprint Backlog'!$J123-'ProductSprint Backlog'!$I123), AND('ProductSprint Backlog'!$J123=M$2,'ProductSprint Backlog'!$I123=M$2), 'ProductSprint Backlog'!$F123, TRUE, 0)</f>
        <v>0</v>
      </c>
      <c r="N123" s="4" cm="1">
        <f t="array" ref="N123">_xlfn.IFS('ProductSprint Backlog'!$F123="", "", AND('ProductSprint Backlog'!$J123&gt;N$2,'ProductSprint Backlog'!$I123&lt;=N$2), 'ProductSprint Backlog'!$F123 / MAX(1, 'ProductSprint Backlog'!$J123-'ProductSprint Backlog'!$I123), AND('ProductSprint Backlog'!$J123=N$2,'ProductSprint Backlog'!$I123=N$2), 'ProductSprint Backlog'!$F123, TRUE, 0)</f>
        <v>0</v>
      </c>
      <c r="O123" s="4" cm="1">
        <f t="array" ref="O123">_xlfn.IFS('ProductSprint Backlog'!$F123="", "", AND('ProductSprint Backlog'!$J123&gt;O$2,'ProductSprint Backlog'!$I123&lt;=O$2), 'ProductSprint Backlog'!$F123 / MAX(1, 'ProductSprint Backlog'!$J123-'ProductSprint Backlog'!$I123), AND('ProductSprint Backlog'!$J123=O$2,'ProductSprint Backlog'!$I123=O$2), 'ProductSprint Backlog'!$F123, TRUE, 0)</f>
        <v>0</v>
      </c>
      <c r="P123" s="4" cm="1">
        <f t="array" ref="P123">_xlfn.IFS('ProductSprint Backlog'!$F123="", "", AND('ProductSprint Backlog'!$J123&gt;P$2,'ProductSprint Backlog'!$I123&lt;=P$2), 'ProductSprint Backlog'!$F123 / MAX(1, 'ProductSprint Backlog'!$J123-'ProductSprint Backlog'!$I123), AND('ProductSprint Backlog'!$J123=P$2,'ProductSprint Backlog'!$I123=P$2), 'ProductSprint Backlog'!$F123, TRUE, 0)</f>
        <v>0</v>
      </c>
      <c r="Q123" s="4" cm="1">
        <f t="array" ref="Q123">_xlfn.IFS('ProductSprint Backlog'!$F123="", "", AND('ProductSprint Backlog'!$J123&gt;Q$2,'ProductSprint Backlog'!$I123&lt;=Q$2), 'ProductSprint Backlog'!$F123 / MAX(1, 'ProductSprint Backlog'!$J123-'ProductSprint Backlog'!$I123), AND('ProductSprint Backlog'!$J123=Q$2,'ProductSprint Backlog'!$I123=Q$2), 'ProductSprint Backlog'!$F123, TRUE, 0)</f>
        <v>0</v>
      </c>
    </row>
    <row r="124" spans="2:17" x14ac:dyDescent="0.2">
      <c r="B124" s="4" t="str" cm="1">
        <f t="array" ref="B124">_xlfn.IFS('ProductSprint Backlog'!$F124="", "", AND('ProductSprint Backlog'!$J124&gt;B$2,'ProductSprint Backlog'!$I124&lt;=B$2), 'ProductSprint Backlog'!$F124 / MAX(1, 'ProductSprint Backlog'!$J124-'ProductSprint Backlog'!$I124), AND('ProductSprint Backlog'!$J124=B$2,'ProductSprint Backlog'!$I124=B$2), 'ProductSprint Backlog'!$F124, TRUE, 0)</f>
        <v/>
      </c>
      <c r="C124" s="4" t="str" cm="1">
        <f t="array" ref="C124">_xlfn.IFS('ProductSprint Backlog'!$F124="", "", AND('ProductSprint Backlog'!$J124&gt;C$2,'ProductSprint Backlog'!$I124&lt;=C$2), 'ProductSprint Backlog'!$F124 / MAX(1, 'ProductSprint Backlog'!$J124-'ProductSprint Backlog'!$I124), AND('ProductSprint Backlog'!$J124=C$2,'ProductSprint Backlog'!$I124=C$2), 'ProductSprint Backlog'!$F124, TRUE, 0)</f>
        <v/>
      </c>
      <c r="D124" s="4" t="str" cm="1">
        <f t="array" ref="D124">_xlfn.IFS('ProductSprint Backlog'!$F124="", "", AND('ProductSprint Backlog'!$J124&gt;D$2,'ProductSprint Backlog'!$I124&lt;=D$2), 'ProductSprint Backlog'!$F124 / MAX(1, 'ProductSprint Backlog'!$J124-'ProductSprint Backlog'!$I124), AND('ProductSprint Backlog'!$J124=D$2,'ProductSprint Backlog'!$I124=D$2), 'ProductSprint Backlog'!$F124, TRUE, 0)</f>
        <v/>
      </c>
      <c r="E124" s="4" t="str" cm="1">
        <f t="array" ref="E124">_xlfn.IFS('ProductSprint Backlog'!$F124="", "", AND('ProductSprint Backlog'!$J124&gt;E$2,'ProductSprint Backlog'!$I124&lt;=E$2), 'ProductSprint Backlog'!$F124 / MAX(1, 'ProductSprint Backlog'!$J124-'ProductSprint Backlog'!$I124), AND('ProductSprint Backlog'!$J124=E$2,'ProductSprint Backlog'!$I124=E$2), 'ProductSprint Backlog'!$F124, TRUE, 0)</f>
        <v/>
      </c>
      <c r="F124" s="4" t="str" cm="1">
        <f t="array" ref="F124">_xlfn.IFS('ProductSprint Backlog'!$F124="", "", AND('ProductSprint Backlog'!$J124&gt;F$2,'ProductSprint Backlog'!$I124&lt;=F$2), 'ProductSprint Backlog'!$F124 / MAX(1, 'ProductSprint Backlog'!$J124-'ProductSprint Backlog'!$I124), AND('ProductSprint Backlog'!$J124=F$2,'ProductSprint Backlog'!$I124=F$2), 'ProductSprint Backlog'!$F124, TRUE, 0)</f>
        <v/>
      </c>
      <c r="G124" s="4" t="str" cm="1">
        <f t="array" ref="G124">_xlfn.IFS('ProductSprint Backlog'!$F124="", "", AND('ProductSprint Backlog'!$J124&gt;G$2,'ProductSprint Backlog'!$I124&lt;=G$2), 'ProductSprint Backlog'!$F124 / MAX(1, 'ProductSprint Backlog'!$J124-'ProductSprint Backlog'!$I124), AND('ProductSprint Backlog'!$J124=G$2,'ProductSprint Backlog'!$I124=G$2), 'ProductSprint Backlog'!$F124, TRUE, 0)</f>
        <v/>
      </c>
      <c r="H124" s="4" t="str" cm="1">
        <f t="array" ref="H124">_xlfn.IFS('ProductSprint Backlog'!$F124="", "", AND('ProductSprint Backlog'!$J124&gt;H$2,'ProductSprint Backlog'!$I124&lt;=H$2), 'ProductSprint Backlog'!$F124 / MAX(1, 'ProductSprint Backlog'!$J124-'ProductSprint Backlog'!$I124), AND('ProductSprint Backlog'!$J124=H$2,'ProductSprint Backlog'!$I124=H$2), 'ProductSprint Backlog'!$F124, TRUE, 0)</f>
        <v/>
      </c>
      <c r="I124" s="4" t="str" cm="1">
        <f t="array" ref="I124">_xlfn.IFS('ProductSprint Backlog'!$F124="", "", AND('ProductSprint Backlog'!$J124&gt;I$2,'ProductSprint Backlog'!$I124&lt;=I$2), 'ProductSprint Backlog'!$F124 / MAX(1, 'ProductSprint Backlog'!$J124-'ProductSprint Backlog'!$I124), AND('ProductSprint Backlog'!$J124=I$2,'ProductSprint Backlog'!$I124=I$2), 'ProductSprint Backlog'!$F124, TRUE, 0)</f>
        <v/>
      </c>
      <c r="J124" s="4" t="str" cm="1">
        <f t="array" ref="J124">_xlfn.IFS('ProductSprint Backlog'!$F124="", "", AND('ProductSprint Backlog'!$J124&gt;J$2,'ProductSprint Backlog'!$I124&lt;=J$2), 'ProductSprint Backlog'!$F124 / MAX(1, 'ProductSprint Backlog'!$J124-'ProductSprint Backlog'!$I124), AND('ProductSprint Backlog'!$J124=J$2,'ProductSprint Backlog'!$I124=J$2), 'ProductSprint Backlog'!$F124, TRUE, 0)</f>
        <v/>
      </c>
      <c r="K124" s="4" t="str" cm="1">
        <f t="array" ref="K124">_xlfn.IFS('ProductSprint Backlog'!$F124="", "", AND('ProductSprint Backlog'!$J124&gt;K$2,'ProductSprint Backlog'!$I124&lt;=K$2), 'ProductSprint Backlog'!$F124 / MAX(1, 'ProductSprint Backlog'!$J124-'ProductSprint Backlog'!$I124), AND('ProductSprint Backlog'!$J124=K$2,'ProductSprint Backlog'!$I124=K$2), 'ProductSprint Backlog'!$F124, TRUE, 0)</f>
        <v/>
      </c>
      <c r="L124" s="4" t="str" cm="1">
        <f t="array" ref="L124">_xlfn.IFS('ProductSprint Backlog'!$F124="", "", AND('ProductSprint Backlog'!$J124&gt;L$2,'ProductSprint Backlog'!$I124&lt;=L$2), 'ProductSprint Backlog'!$F124 / MAX(1, 'ProductSprint Backlog'!$J124-'ProductSprint Backlog'!$I124), AND('ProductSprint Backlog'!$J124=L$2,'ProductSprint Backlog'!$I124=L$2), 'ProductSprint Backlog'!$F124, TRUE, 0)</f>
        <v/>
      </c>
      <c r="M124" s="4" t="str" cm="1">
        <f t="array" ref="M124">_xlfn.IFS('ProductSprint Backlog'!$F124="", "", AND('ProductSprint Backlog'!$J124&gt;M$2,'ProductSprint Backlog'!$I124&lt;=M$2), 'ProductSprint Backlog'!$F124 / MAX(1, 'ProductSprint Backlog'!$J124-'ProductSprint Backlog'!$I124), AND('ProductSprint Backlog'!$J124=M$2,'ProductSprint Backlog'!$I124=M$2), 'ProductSprint Backlog'!$F124, TRUE, 0)</f>
        <v/>
      </c>
      <c r="N124" s="4" t="str" cm="1">
        <f t="array" ref="N124">_xlfn.IFS('ProductSprint Backlog'!$F124="", "", AND('ProductSprint Backlog'!$J124&gt;N$2,'ProductSprint Backlog'!$I124&lt;=N$2), 'ProductSprint Backlog'!$F124 / MAX(1, 'ProductSprint Backlog'!$J124-'ProductSprint Backlog'!$I124), AND('ProductSprint Backlog'!$J124=N$2,'ProductSprint Backlog'!$I124=N$2), 'ProductSprint Backlog'!$F124, TRUE, 0)</f>
        <v/>
      </c>
      <c r="O124" s="4" t="str" cm="1">
        <f t="array" ref="O124">_xlfn.IFS('ProductSprint Backlog'!$F124="", "", AND('ProductSprint Backlog'!$J124&gt;O$2,'ProductSprint Backlog'!$I124&lt;=O$2), 'ProductSprint Backlog'!$F124 / MAX(1, 'ProductSprint Backlog'!$J124-'ProductSprint Backlog'!$I124), AND('ProductSprint Backlog'!$J124=O$2,'ProductSprint Backlog'!$I124=O$2), 'ProductSprint Backlog'!$F124, TRUE, 0)</f>
        <v/>
      </c>
      <c r="P124" s="4" t="str" cm="1">
        <f t="array" ref="P124">_xlfn.IFS('ProductSprint Backlog'!$F124="", "", AND('ProductSprint Backlog'!$J124&gt;P$2,'ProductSprint Backlog'!$I124&lt;=P$2), 'ProductSprint Backlog'!$F124 / MAX(1, 'ProductSprint Backlog'!$J124-'ProductSprint Backlog'!$I124), AND('ProductSprint Backlog'!$J124=P$2,'ProductSprint Backlog'!$I124=P$2), 'ProductSprint Backlog'!$F124, TRUE, 0)</f>
        <v/>
      </c>
      <c r="Q124" s="4" t="str" cm="1">
        <f t="array" ref="Q124">_xlfn.IFS('ProductSprint Backlog'!$F124="", "", AND('ProductSprint Backlog'!$J124&gt;Q$2,'ProductSprint Backlog'!$I124&lt;=Q$2), 'ProductSprint Backlog'!$F124 / MAX(1, 'ProductSprint Backlog'!$J124-'ProductSprint Backlog'!$I124), AND('ProductSprint Backlog'!$J124=Q$2,'ProductSprint Backlog'!$I124=Q$2), 'ProductSprint Backlog'!$F124, TRUE, 0)</f>
        <v/>
      </c>
    </row>
    <row r="125" spans="2:17" x14ac:dyDescent="0.2">
      <c r="B125" s="4" cm="1">
        <f t="array" ref="B125">_xlfn.IFS('ProductSprint Backlog'!$F125="", "", AND('ProductSprint Backlog'!$J125&gt;B$2,'ProductSprint Backlog'!$I125&lt;=B$2), 'ProductSprint Backlog'!$F125 / MAX(1, 'ProductSprint Backlog'!$J125-'ProductSprint Backlog'!$I125), AND('ProductSprint Backlog'!$J125=B$2,'ProductSprint Backlog'!$I125=B$2), 'ProductSprint Backlog'!$F125, TRUE, 0)</f>
        <v>0</v>
      </c>
      <c r="C125" s="4" cm="1">
        <f t="array" ref="C125">_xlfn.IFS('ProductSprint Backlog'!$F125="", "", AND('ProductSprint Backlog'!$J125&gt;C$2,'ProductSprint Backlog'!$I125&lt;=C$2), 'ProductSprint Backlog'!$F125 / MAX(1, 'ProductSprint Backlog'!$J125-'ProductSprint Backlog'!$I125), AND('ProductSprint Backlog'!$J125=C$2,'ProductSprint Backlog'!$I125=C$2), 'ProductSprint Backlog'!$F125, TRUE, 0)</f>
        <v>0</v>
      </c>
      <c r="D125" s="4" cm="1">
        <f t="array" ref="D125">_xlfn.IFS('ProductSprint Backlog'!$F125="", "", AND('ProductSprint Backlog'!$J125&gt;D$2,'ProductSprint Backlog'!$I125&lt;=D$2), 'ProductSprint Backlog'!$F125 / MAX(1, 'ProductSprint Backlog'!$J125-'ProductSprint Backlog'!$I125), AND('ProductSprint Backlog'!$J125=D$2,'ProductSprint Backlog'!$I125=D$2), 'ProductSprint Backlog'!$F125, TRUE, 0)</f>
        <v>0</v>
      </c>
      <c r="E125" s="4" cm="1">
        <f t="array" ref="E125">_xlfn.IFS('ProductSprint Backlog'!$F125="", "", AND('ProductSprint Backlog'!$J125&gt;E$2,'ProductSprint Backlog'!$I125&lt;=E$2), 'ProductSprint Backlog'!$F125 / MAX(1, 'ProductSprint Backlog'!$J125-'ProductSprint Backlog'!$I125), AND('ProductSprint Backlog'!$J125=E$2,'ProductSprint Backlog'!$I125=E$2), 'ProductSprint Backlog'!$F125, TRUE, 0)</f>
        <v>0</v>
      </c>
      <c r="F125" s="4" cm="1">
        <f t="array" ref="F125">_xlfn.IFS('ProductSprint Backlog'!$F125="", "", AND('ProductSprint Backlog'!$J125&gt;F$2,'ProductSprint Backlog'!$I125&lt;=F$2), 'ProductSprint Backlog'!$F125 / MAX(1, 'ProductSprint Backlog'!$J125-'ProductSprint Backlog'!$I125), AND('ProductSprint Backlog'!$J125=F$2,'ProductSprint Backlog'!$I125=F$2), 'ProductSprint Backlog'!$F125, TRUE, 0)</f>
        <v>0</v>
      </c>
      <c r="G125" s="4" cm="1">
        <f t="array" ref="G125">_xlfn.IFS('ProductSprint Backlog'!$F125="", "", AND('ProductSprint Backlog'!$J125&gt;G$2,'ProductSprint Backlog'!$I125&lt;=G$2), 'ProductSprint Backlog'!$F125 / MAX(1, 'ProductSprint Backlog'!$J125-'ProductSprint Backlog'!$I125), AND('ProductSprint Backlog'!$J125=G$2,'ProductSprint Backlog'!$I125=G$2), 'ProductSprint Backlog'!$F125, TRUE, 0)</f>
        <v>0</v>
      </c>
      <c r="H125" s="4" cm="1">
        <f t="array" ref="H125">_xlfn.IFS('ProductSprint Backlog'!$F125="", "", AND('ProductSprint Backlog'!$J125&gt;H$2,'ProductSprint Backlog'!$I125&lt;=H$2), 'ProductSprint Backlog'!$F125 / MAX(1, 'ProductSprint Backlog'!$J125-'ProductSprint Backlog'!$I125), AND('ProductSprint Backlog'!$J125=H$2,'ProductSprint Backlog'!$I125=H$2), 'ProductSprint Backlog'!$F125, TRUE, 0)</f>
        <v>0</v>
      </c>
      <c r="I125" s="4" cm="1">
        <f t="array" ref="I125">_xlfn.IFS('ProductSprint Backlog'!$F125="", "", AND('ProductSprint Backlog'!$J125&gt;I$2,'ProductSprint Backlog'!$I125&lt;=I$2), 'ProductSprint Backlog'!$F125 / MAX(1, 'ProductSprint Backlog'!$J125-'ProductSprint Backlog'!$I125), AND('ProductSprint Backlog'!$J125=I$2,'ProductSprint Backlog'!$I125=I$2), 'ProductSprint Backlog'!$F125, TRUE, 0)</f>
        <v>0</v>
      </c>
      <c r="J125" s="4" cm="1">
        <f t="array" ref="J125">_xlfn.IFS('ProductSprint Backlog'!$F125="", "", AND('ProductSprint Backlog'!$J125&gt;J$2,'ProductSprint Backlog'!$I125&lt;=J$2), 'ProductSprint Backlog'!$F125 / MAX(1, 'ProductSprint Backlog'!$J125-'ProductSprint Backlog'!$I125), AND('ProductSprint Backlog'!$J125=J$2,'ProductSprint Backlog'!$I125=J$2), 'ProductSprint Backlog'!$F125, TRUE, 0)</f>
        <v>0</v>
      </c>
      <c r="K125" s="4" cm="1">
        <f t="array" ref="K125">_xlfn.IFS('ProductSprint Backlog'!$F125="", "", AND('ProductSprint Backlog'!$J125&gt;K$2,'ProductSprint Backlog'!$I125&lt;=K$2), 'ProductSprint Backlog'!$F125 / MAX(1, 'ProductSprint Backlog'!$J125-'ProductSprint Backlog'!$I125), AND('ProductSprint Backlog'!$J125=K$2,'ProductSprint Backlog'!$I125=K$2), 'ProductSprint Backlog'!$F125, TRUE, 0)</f>
        <v>0</v>
      </c>
      <c r="L125" s="4" cm="1">
        <f t="array" ref="L125">_xlfn.IFS('ProductSprint Backlog'!$F125="", "", AND('ProductSprint Backlog'!$J125&gt;L$2,'ProductSprint Backlog'!$I125&lt;=L$2), 'ProductSprint Backlog'!$F125 / MAX(1, 'ProductSprint Backlog'!$J125-'ProductSprint Backlog'!$I125), AND('ProductSprint Backlog'!$J125=L$2,'ProductSprint Backlog'!$I125=L$2), 'ProductSprint Backlog'!$F125, TRUE, 0)</f>
        <v>0</v>
      </c>
      <c r="M125" s="4" cm="1">
        <f t="array" ref="M125">_xlfn.IFS('ProductSprint Backlog'!$F125="", "", AND('ProductSprint Backlog'!$J125&gt;M$2,'ProductSprint Backlog'!$I125&lt;=M$2), 'ProductSprint Backlog'!$F125 / MAX(1, 'ProductSprint Backlog'!$J125-'ProductSprint Backlog'!$I125), AND('ProductSprint Backlog'!$J125=M$2,'ProductSprint Backlog'!$I125=M$2), 'ProductSprint Backlog'!$F125, TRUE, 0)</f>
        <v>0</v>
      </c>
      <c r="N125" s="4" cm="1">
        <f t="array" ref="N125">_xlfn.IFS('ProductSprint Backlog'!$F125="", "", AND('ProductSprint Backlog'!$J125&gt;N$2,'ProductSprint Backlog'!$I125&lt;=N$2), 'ProductSprint Backlog'!$F125 / MAX(1, 'ProductSprint Backlog'!$J125-'ProductSprint Backlog'!$I125), AND('ProductSprint Backlog'!$J125=N$2,'ProductSprint Backlog'!$I125=N$2), 'ProductSprint Backlog'!$F125, TRUE, 0)</f>
        <v>0</v>
      </c>
      <c r="O125" s="4" cm="1">
        <f t="array" ref="O125">_xlfn.IFS('ProductSprint Backlog'!$F125="", "", AND('ProductSprint Backlog'!$J125&gt;O$2,'ProductSprint Backlog'!$I125&lt;=O$2), 'ProductSprint Backlog'!$F125 / MAX(1, 'ProductSprint Backlog'!$J125-'ProductSprint Backlog'!$I125), AND('ProductSprint Backlog'!$J125=O$2,'ProductSprint Backlog'!$I125=O$2), 'ProductSprint Backlog'!$F125, TRUE, 0)</f>
        <v>0</v>
      </c>
      <c r="P125" s="4" cm="1">
        <f t="array" ref="P125">_xlfn.IFS('ProductSprint Backlog'!$F125="", "", AND('ProductSprint Backlog'!$J125&gt;P$2,'ProductSprint Backlog'!$I125&lt;=P$2), 'ProductSprint Backlog'!$F125 / MAX(1, 'ProductSprint Backlog'!$J125-'ProductSprint Backlog'!$I125), AND('ProductSprint Backlog'!$J125=P$2,'ProductSprint Backlog'!$I125=P$2), 'ProductSprint Backlog'!$F125, TRUE, 0)</f>
        <v>0</v>
      </c>
      <c r="Q125" s="4" cm="1">
        <f t="array" ref="Q125">_xlfn.IFS('ProductSprint Backlog'!$F125="", "", AND('ProductSprint Backlog'!$J125&gt;Q$2,'ProductSprint Backlog'!$I125&lt;=Q$2), 'ProductSprint Backlog'!$F125 / MAX(1, 'ProductSprint Backlog'!$J125-'ProductSprint Backlog'!$I125), AND('ProductSprint Backlog'!$J125=Q$2,'ProductSprint Backlog'!$I125=Q$2), 'ProductSprint Backlog'!$F125, TRUE, 0)</f>
        <v>0</v>
      </c>
    </row>
    <row r="126" spans="2:17" x14ac:dyDescent="0.2">
      <c r="B126" s="4" cm="1">
        <f t="array" ref="B126">_xlfn.IFS('ProductSprint Backlog'!$F126="", "", AND('ProductSprint Backlog'!$J126&gt;B$2,'ProductSprint Backlog'!$I126&lt;=B$2), 'ProductSprint Backlog'!$F126 / MAX(1, 'ProductSprint Backlog'!$J126-'ProductSprint Backlog'!$I126), AND('ProductSprint Backlog'!$J126=B$2,'ProductSprint Backlog'!$I126=B$2), 'ProductSprint Backlog'!$F126, TRUE, 0)</f>
        <v>0</v>
      </c>
      <c r="C126" s="4" cm="1">
        <f t="array" ref="C126">_xlfn.IFS('ProductSprint Backlog'!$F126="", "", AND('ProductSprint Backlog'!$J126&gt;C$2,'ProductSprint Backlog'!$I126&lt;=C$2), 'ProductSprint Backlog'!$F126 / MAX(1, 'ProductSprint Backlog'!$J126-'ProductSprint Backlog'!$I126), AND('ProductSprint Backlog'!$J126=C$2,'ProductSprint Backlog'!$I126=C$2), 'ProductSprint Backlog'!$F126, TRUE, 0)</f>
        <v>0</v>
      </c>
      <c r="D126" s="4" cm="1">
        <f t="array" ref="D126">_xlfn.IFS('ProductSprint Backlog'!$F126="", "", AND('ProductSprint Backlog'!$J126&gt;D$2,'ProductSprint Backlog'!$I126&lt;=D$2), 'ProductSprint Backlog'!$F126 / MAX(1, 'ProductSprint Backlog'!$J126-'ProductSprint Backlog'!$I126), AND('ProductSprint Backlog'!$J126=D$2,'ProductSprint Backlog'!$I126=D$2), 'ProductSprint Backlog'!$F126, TRUE, 0)</f>
        <v>0</v>
      </c>
      <c r="E126" s="4" cm="1">
        <f t="array" ref="E126">_xlfn.IFS('ProductSprint Backlog'!$F126="", "", AND('ProductSprint Backlog'!$J126&gt;E$2,'ProductSprint Backlog'!$I126&lt;=E$2), 'ProductSprint Backlog'!$F126 / MAX(1, 'ProductSprint Backlog'!$J126-'ProductSprint Backlog'!$I126), AND('ProductSprint Backlog'!$J126=E$2,'ProductSprint Backlog'!$I126=E$2), 'ProductSprint Backlog'!$F126, TRUE, 0)</f>
        <v>0</v>
      </c>
      <c r="F126" s="4" cm="1">
        <f t="array" ref="F126">_xlfn.IFS('ProductSprint Backlog'!$F126="", "", AND('ProductSprint Backlog'!$J126&gt;F$2,'ProductSprint Backlog'!$I126&lt;=F$2), 'ProductSprint Backlog'!$F126 / MAX(1, 'ProductSprint Backlog'!$J126-'ProductSprint Backlog'!$I126), AND('ProductSprint Backlog'!$J126=F$2,'ProductSprint Backlog'!$I126=F$2), 'ProductSprint Backlog'!$F126, TRUE, 0)</f>
        <v>0</v>
      </c>
      <c r="G126" s="4" cm="1">
        <f t="array" ref="G126">_xlfn.IFS('ProductSprint Backlog'!$F126="", "", AND('ProductSprint Backlog'!$J126&gt;G$2,'ProductSprint Backlog'!$I126&lt;=G$2), 'ProductSprint Backlog'!$F126 / MAX(1, 'ProductSprint Backlog'!$J126-'ProductSprint Backlog'!$I126), AND('ProductSprint Backlog'!$J126=G$2,'ProductSprint Backlog'!$I126=G$2), 'ProductSprint Backlog'!$F126, TRUE, 0)</f>
        <v>0</v>
      </c>
      <c r="H126" s="4" cm="1">
        <f t="array" ref="H126">_xlfn.IFS('ProductSprint Backlog'!$F126="", "", AND('ProductSprint Backlog'!$J126&gt;H$2,'ProductSprint Backlog'!$I126&lt;=H$2), 'ProductSprint Backlog'!$F126 / MAX(1, 'ProductSprint Backlog'!$J126-'ProductSprint Backlog'!$I126), AND('ProductSprint Backlog'!$J126=H$2,'ProductSprint Backlog'!$I126=H$2), 'ProductSprint Backlog'!$F126, TRUE, 0)</f>
        <v>0</v>
      </c>
      <c r="I126" s="4" cm="1">
        <f t="array" ref="I126">_xlfn.IFS('ProductSprint Backlog'!$F126="", "", AND('ProductSprint Backlog'!$J126&gt;I$2,'ProductSprint Backlog'!$I126&lt;=I$2), 'ProductSprint Backlog'!$F126 / MAX(1, 'ProductSprint Backlog'!$J126-'ProductSprint Backlog'!$I126), AND('ProductSprint Backlog'!$J126=I$2,'ProductSprint Backlog'!$I126=I$2), 'ProductSprint Backlog'!$F126, TRUE, 0)</f>
        <v>0</v>
      </c>
      <c r="J126" s="4" cm="1">
        <f t="array" ref="J126">_xlfn.IFS('ProductSprint Backlog'!$F126="", "", AND('ProductSprint Backlog'!$J126&gt;J$2,'ProductSprint Backlog'!$I126&lt;=J$2), 'ProductSprint Backlog'!$F126 / MAX(1, 'ProductSprint Backlog'!$J126-'ProductSprint Backlog'!$I126), AND('ProductSprint Backlog'!$J126=J$2,'ProductSprint Backlog'!$I126=J$2), 'ProductSprint Backlog'!$F126, TRUE, 0)</f>
        <v>0</v>
      </c>
      <c r="K126" s="4" cm="1">
        <f t="array" ref="K126">_xlfn.IFS('ProductSprint Backlog'!$F126="", "", AND('ProductSprint Backlog'!$J126&gt;K$2,'ProductSprint Backlog'!$I126&lt;=K$2), 'ProductSprint Backlog'!$F126 / MAX(1, 'ProductSprint Backlog'!$J126-'ProductSprint Backlog'!$I126), AND('ProductSprint Backlog'!$J126=K$2,'ProductSprint Backlog'!$I126=K$2), 'ProductSprint Backlog'!$F126, TRUE, 0)</f>
        <v>0</v>
      </c>
      <c r="L126" s="4" cm="1">
        <f t="array" ref="L126">_xlfn.IFS('ProductSprint Backlog'!$F126="", "", AND('ProductSprint Backlog'!$J126&gt;L$2,'ProductSprint Backlog'!$I126&lt;=L$2), 'ProductSprint Backlog'!$F126 / MAX(1, 'ProductSprint Backlog'!$J126-'ProductSprint Backlog'!$I126), AND('ProductSprint Backlog'!$J126=L$2,'ProductSprint Backlog'!$I126=L$2), 'ProductSprint Backlog'!$F126, TRUE, 0)</f>
        <v>0</v>
      </c>
      <c r="M126" s="4" cm="1">
        <f t="array" ref="M126">_xlfn.IFS('ProductSprint Backlog'!$F126="", "", AND('ProductSprint Backlog'!$J126&gt;M$2,'ProductSprint Backlog'!$I126&lt;=M$2), 'ProductSprint Backlog'!$F126 / MAX(1, 'ProductSprint Backlog'!$J126-'ProductSprint Backlog'!$I126), AND('ProductSprint Backlog'!$J126=M$2,'ProductSprint Backlog'!$I126=M$2), 'ProductSprint Backlog'!$F126, TRUE, 0)</f>
        <v>0</v>
      </c>
      <c r="N126" s="4" cm="1">
        <f t="array" ref="N126">_xlfn.IFS('ProductSprint Backlog'!$F126="", "", AND('ProductSprint Backlog'!$J126&gt;N$2,'ProductSprint Backlog'!$I126&lt;=N$2), 'ProductSprint Backlog'!$F126 / MAX(1, 'ProductSprint Backlog'!$J126-'ProductSprint Backlog'!$I126), AND('ProductSprint Backlog'!$J126=N$2,'ProductSprint Backlog'!$I126=N$2), 'ProductSprint Backlog'!$F126, TRUE, 0)</f>
        <v>0</v>
      </c>
      <c r="O126" s="4" cm="1">
        <f t="array" ref="O126">_xlfn.IFS('ProductSprint Backlog'!$F126="", "", AND('ProductSprint Backlog'!$J126&gt;O$2,'ProductSprint Backlog'!$I126&lt;=O$2), 'ProductSprint Backlog'!$F126 / MAX(1, 'ProductSprint Backlog'!$J126-'ProductSprint Backlog'!$I126), AND('ProductSprint Backlog'!$J126=O$2,'ProductSprint Backlog'!$I126=O$2), 'ProductSprint Backlog'!$F126, TRUE, 0)</f>
        <v>0</v>
      </c>
      <c r="P126" s="4" cm="1">
        <f t="array" ref="P126">_xlfn.IFS('ProductSprint Backlog'!$F126="", "", AND('ProductSprint Backlog'!$J126&gt;P$2,'ProductSprint Backlog'!$I126&lt;=P$2), 'ProductSprint Backlog'!$F126 / MAX(1, 'ProductSprint Backlog'!$J126-'ProductSprint Backlog'!$I126), AND('ProductSprint Backlog'!$J126=P$2,'ProductSprint Backlog'!$I126=P$2), 'ProductSprint Backlog'!$F126, TRUE, 0)</f>
        <v>0</v>
      </c>
      <c r="Q126" s="4" cm="1">
        <f t="array" ref="Q126">_xlfn.IFS('ProductSprint Backlog'!$F126="", "", AND('ProductSprint Backlog'!$J126&gt;Q$2,'ProductSprint Backlog'!$I126&lt;=Q$2), 'ProductSprint Backlog'!$F126 / MAX(1, 'ProductSprint Backlog'!$J126-'ProductSprint Backlog'!$I126), AND('ProductSprint Backlog'!$J126=Q$2,'ProductSprint Backlog'!$I126=Q$2), 'ProductSprint Backlog'!$F126, TRUE, 0)</f>
        <v>0</v>
      </c>
    </row>
    <row r="127" spans="2:17" x14ac:dyDescent="0.2">
      <c r="B127" s="4" cm="1">
        <f t="array" ref="B127">_xlfn.IFS('ProductSprint Backlog'!$F127="", "", AND('ProductSprint Backlog'!$J127&gt;B$2,'ProductSprint Backlog'!$I127&lt;=B$2), 'ProductSprint Backlog'!$F127 / MAX(1, 'ProductSprint Backlog'!$J127-'ProductSprint Backlog'!$I127), AND('ProductSprint Backlog'!$J127=B$2,'ProductSprint Backlog'!$I127=B$2), 'ProductSprint Backlog'!$F127, TRUE, 0)</f>
        <v>0</v>
      </c>
      <c r="C127" s="4" cm="1">
        <f t="array" ref="C127">_xlfn.IFS('ProductSprint Backlog'!$F127="", "", AND('ProductSprint Backlog'!$J127&gt;C$2,'ProductSprint Backlog'!$I127&lt;=C$2), 'ProductSprint Backlog'!$F127 / MAX(1, 'ProductSprint Backlog'!$J127-'ProductSprint Backlog'!$I127), AND('ProductSprint Backlog'!$J127=C$2,'ProductSprint Backlog'!$I127=C$2), 'ProductSprint Backlog'!$F127, TRUE, 0)</f>
        <v>0</v>
      </c>
      <c r="D127" s="4" cm="1">
        <f t="array" ref="D127">_xlfn.IFS('ProductSprint Backlog'!$F127="", "", AND('ProductSprint Backlog'!$J127&gt;D$2,'ProductSprint Backlog'!$I127&lt;=D$2), 'ProductSprint Backlog'!$F127 / MAX(1, 'ProductSprint Backlog'!$J127-'ProductSprint Backlog'!$I127), AND('ProductSprint Backlog'!$J127=D$2,'ProductSprint Backlog'!$I127=D$2), 'ProductSprint Backlog'!$F127, TRUE, 0)</f>
        <v>0</v>
      </c>
      <c r="E127" s="4" cm="1">
        <f t="array" ref="E127">_xlfn.IFS('ProductSprint Backlog'!$F127="", "", AND('ProductSprint Backlog'!$J127&gt;E$2,'ProductSprint Backlog'!$I127&lt;=E$2), 'ProductSprint Backlog'!$F127 / MAX(1, 'ProductSprint Backlog'!$J127-'ProductSprint Backlog'!$I127), AND('ProductSprint Backlog'!$J127=E$2,'ProductSprint Backlog'!$I127=E$2), 'ProductSprint Backlog'!$F127, TRUE, 0)</f>
        <v>0</v>
      </c>
      <c r="F127" s="4" cm="1">
        <f t="array" ref="F127">_xlfn.IFS('ProductSprint Backlog'!$F127="", "", AND('ProductSprint Backlog'!$J127&gt;F$2,'ProductSprint Backlog'!$I127&lt;=F$2), 'ProductSprint Backlog'!$F127 / MAX(1, 'ProductSprint Backlog'!$J127-'ProductSprint Backlog'!$I127), AND('ProductSprint Backlog'!$J127=F$2,'ProductSprint Backlog'!$I127=F$2), 'ProductSprint Backlog'!$F127, TRUE, 0)</f>
        <v>0</v>
      </c>
      <c r="G127" s="4" cm="1">
        <f t="array" ref="G127">_xlfn.IFS('ProductSprint Backlog'!$F127="", "", AND('ProductSprint Backlog'!$J127&gt;G$2,'ProductSprint Backlog'!$I127&lt;=G$2), 'ProductSprint Backlog'!$F127 / MAX(1, 'ProductSprint Backlog'!$J127-'ProductSprint Backlog'!$I127), AND('ProductSprint Backlog'!$J127=G$2,'ProductSprint Backlog'!$I127=G$2), 'ProductSprint Backlog'!$F127, TRUE, 0)</f>
        <v>0</v>
      </c>
      <c r="H127" s="4" cm="1">
        <f t="array" ref="H127">_xlfn.IFS('ProductSprint Backlog'!$F127="", "", AND('ProductSprint Backlog'!$J127&gt;H$2,'ProductSprint Backlog'!$I127&lt;=H$2), 'ProductSprint Backlog'!$F127 / MAX(1, 'ProductSprint Backlog'!$J127-'ProductSprint Backlog'!$I127), AND('ProductSprint Backlog'!$J127=H$2,'ProductSprint Backlog'!$I127=H$2), 'ProductSprint Backlog'!$F127, TRUE, 0)</f>
        <v>0</v>
      </c>
      <c r="I127" s="4" cm="1">
        <f t="array" ref="I127">_xlfn.IFS('ProductSprint Backlog'!$F127="", "", AND('ProductSprint Backlog'!$J127&gt;I$2,'ProductSprint Backlog'!$I127&lt;=I$2), 'ProductSprint Backlog'!$F127 / MAX(1, 'ProductSprint Backlog'!$J127-'ProductSprint Backlog'!$I127), AND('ProductSprint Backlog'!$J127=I$2,'ProductSprint Backlog'!$I127=I$2), 'ProductSprint Backlog'!$F127, TRUE, 0)</f>
        <v>0</v>
      </c>
      <c r="J127" s="4" cm="1">
        <f t="array" ref="J127">_xlfn.IFS('ProductSprint Backlog'!$F127="", "", AND('ProductSprint Backlog'!$J127&gt;J$2,'ProductSprint Backlog'!$I127&lt;=J$2), 'ProductSprint Backlog'!$F127 / MAX(1, 'ProductSprint Backlog'!$J127-'ProductSprint Backlog'!$I127), AND('ProductSprint Backlog'!$J127=J$2,'ProductSprint Backlog'!$I127=J$2), 'ProductSprint Backlog'!$F127, TRUE, 0)</f>
        <v>0</v>
      </c>
      <c r="K127" s="4" cm="1">
        <f t="array" ref="K127">_xlfn.IFS('ProductSprint Backlog'!$F127="", "", AND('ProductSprint Backlog'!$J127&gt;K$2,'ProductSprint Backlog'!$I127&lt;=K$2), 'ProductSprint Backlog'!$F127 / MAX(1, 'ProductSprint Backlog'!$J127-'ProductSprint Backlog'!$I127), AND('ProductSprint Backlog'!$J127=K$2,'ProductSprint Backlog'!$I127=K$2), 'ProductSprint Backlog'!$F127, TRUE, 0)</f>
        <v>0</v>
      </c>
      <c r="L127" s="4" cm="1">
        <f t="array" ref="L127">_xlfn.IFS('ProductSprint Backlog'!$F127="", "", AND('ProductSprint Backlog'!$J127&gt;L$2,'ProductSprint Backlog'!$I127&lt;=L$2), 'ProductSprint Backlog'!$F127 / MAX(1, 'ProductSprint Backlog'!$J127-'ProductSprint Backlog'!$I127), AND('ProductSprint Backlog'!$J127=L$2,'ProductSprint Backlog'!$I127=L$2), 'ProductSprint Backlog'!$F127, TRUE, 0)</f>
        <v>0</v>
      </c>
      <c r="M127" s="4" cm="1">
        <f t="array" ref="M127">_xlfn.IFS('ProductSprint Backlog'!$F127="", "", AND('ProductSprint Backlog'!$J127&gt;M$2,'ProductSprint Backlog'!$I127&lt;=M$2), 'ProductSprint Backlog'!$F127 / MAX(1, 'ProductSprint Backlog'!$J127-'ProductSprint Backlog'!$I127), AND('ProductSprint Backlog'!$J127=M$2,'ProductSprint Backlog'!$I127=M$2), 'ProductSprint Backlog'!$F127, TRUE, 0)</f>
        <v>0</v>
      </c>
      <c r="N127" s="4" cm="1">
        <f t="array" ref="N127">_xlfn.IFS('ProductSprint Backlog'!$F127="", "", AND('ProductSprint Backlog'!$J127&gt;N$2,'ProductSprint Backlog'!$I127&lt;=N$2), 'ProductSprint Backlog'!$F127 / MAX(1, 'ProductSprint Backlog'!$J127-'ProductSprint Backlog'!$I127), AND('ProductSprint Backlog'!$J127=N$2,'ProductSprint Backlog'!$I127=N$2), 'ProductSprint Backlog'!$F127, TRUE, 0)</f>
        <v>0</v>
      </c>
      <c r="O127" s="4" cm="1">
        <f t="array" ref="O127">_xlfn.IFS('ProductSprint Backlog'!$F127="", "", AND('ProductSprint Backlog'!$J127&gt;O$2,'ProductSprint Backlog'!$I127&lt;=O$2), 'ProductSprint Backlog'!$F127 / MAX(1, 'ProductSprint Backlog'!$J127-'ProductSprint Backlog'!$I127), AND('ProductSprint Backlog'!$J127=O$2,'ProductSprint Backlog'!$I127=O$2), 'ProductSprint Backlog'!$F127, TRUE, 0)</f>
        <v>0</v>
      </c>
      <c r="P127" s="4" cm="1">
        <f t="array" ref="P127">_xlfn.IFS('ProductSprint Backlog'!$F127="", "", AND('ProductSprint Backlog'!$J127&gt;P$2,'ProductSprint Backlog'!$I127&lt;=P$2), 'ProductSprint Backlog'!$F127 / MAX(1, 'ProductSprint Backlog'!$J127-'ProductSprint Backlog'!$I127), AND('ProductSprint Backlog'!$J127=P$2,'ProductSprint Backlog'!$I127=P$2), 'ProductSprint Backlog'!$F127, TRUE, 0)</f>
        <v>0</v>
      </c>
      <c r="Q127" s="4" cm="1">
        <f t="array" ref="Q127">_xlfn.IFS('ProductSprint Backlog'!$F127="", "", AND('ProductSprint Backlog'!$J127&gt;Q$2,'ProductSprint Backlog'!$I127&lt;=Q$2), 'ProductSprint Backlog'!$F127 / MAX(1, 'ProductSprint Backlog'!$J127-'ProductSprint Backlog'!$I127), AND('ProductSprint Backlog'!$J127=Q$2,'ProductSprint Backlog'!$I127=Q$2), 'ProductSprint Backlog'!$F127, TRUE, 0)</f>
        <v>0</v>
      </c>
    </row>
    <row r="128" spans="2:17" x14ac:dyDescent="0.2">
      <c r="B128" s="4" t="str" cm="1">
        <f t="array" ref="B128">_xlfn.IFS('ProductSprint Backlog'!$F128="", "", AND('ProductSprint Backlog'!$J128&gt;B$2,'ProductSprint Backlog'!$I128&lt;=B$2), 'ProductSprint Backlog'!$F128 / MAX(1, 'ProductSprint Backlog'!$J128-'ProductSprint Backlog'!$I128), AND('ProductSprint Backlog'!$J128=B$2,'ProductSprint Backlog'!$I128=B$2), 'ProductSprint Backlog'!$F128, TRUE, 0)</f>
        <v/>
      </c>
      <c r="C128" s="4" t="str" cm="1">
        <f t="array" ref="C128">_xlfn.IFS('ProductSprint Backlog'!$F128="", "", AND('ProductSprint Backlog'!$J128&gt;C$2,'ProductSprint Backlog'!$I128&lt;=C$2), 'ProductSprint Backlog'!$F128 / MAX(1, 'ProductSprint Backlog'!$J128-'ProductSprint Backlog'!$I128), AND('ProductSprint Backlog'!$J128=C$2,'ProductSprint Backlog'!$I128=C$2), 'ProductSprint Backlog'!$F128, TRUE, 0)</f>
        <v/>
      </c>
      <c r="D128" s="4" t="str" cm="1">
        <f t="array" ref="D128">_xlfn.IFS('ProductSprint Backlog'!$F128="", "", AND('ProductSprint Backlog'!$J128&gt;D$2,'ProductSprint Backlog'!$I128&lt;=D$2), 'ProductSprint Backlog'!$F128 / MAX(1, 'ProductSprint Backlog'!$J128-'ProductSprint Backlog'!$I128), AND('ProductSprint Backlog'!$J128=D$2,'ProductSprint Backlog'!$I128=D$2), 'ProductSprint Backlog'!$F128, TRUE, 0)</f>
        <v/>
      </c>
      <c r="E128" s="4" t="str" cm="1">
        <f t="array" ref="E128">_xlfn.IFS('ProductSprint Backlog'!$F128="", "", AND('ProductSprint Backlog'!$J128&gt;E$2,'ProductSprint Backlog'!$I128&lt;=E$2), 'ProductSprint Backlog'!$F128 / MAX(1, 'ProductSprint Backlog'!$J128-'ProductSprint Backlog'!$I128), AND('ProductSprint Backlog'!$J128=E$2,'ProductSprint Backlog'!$I128=E$2), 'ProductSprint Backlog'!$F128, TRUE, 0)</f>
        <v/>
      </c>
      <c r="F128" s="4" t="str" cm="1">
        <f t="array" ref="F128">_xlfn.IFS('ProductSprint Backlog'!$F128="", "", AND('ProductSprint Backlog'!$J128&gt;F$2,'ProductSprint Backlog'!$I128&lt;=F$2), 'ProductSprint Backlog'!$F128 / MAX(1, 'ProductSprint Backlog'!$J128-'ProductSprint Backlog'!$I128), AND('ProductSprint Backlog'!$J128=F$2,'ProductSprint Backlog'!$I128=F$2), 'ProductSprint Backlog'!$F128, TRUE, 0)</f>
        <v/>
      </c>
      <c r="G128" s="4" t="str" cm="1">
        <f t="array" ref="G128">_xlfn.IFS('ProductSprint Backlog'!$F128="", "", AND('ProductSprint Backlog'!$J128&gt;G$2,'ProductSprint Backlog'!$I128&lt;=G$2), 'ProductSprint Backlog'!$F128 / MAX(1, 'ProductSprint Backlog'!$J128-'ProductSprint Backlog'!$I128), AND('ProductSprint Backlog'!$J128=G$2,'ProductSprint Backlog'!$I128=G$2), 'ProductSprint Backlog'!$F128, TRUE, 0)</f>
        <v/>
      </c>
      <c r="H128" s="4" t="str" cm="1">
        <f t="array" ref="H128">_xlfn.IFS('ProductSprint Backlog'!$F128="", "", AND('ProductSprint Backlog'!$J128&gt;H$2,'ProductSprint Backlog'!$I128&lt;=H$2), 'ProductSprint Backlog'!$F128 / MAX(1, 'ProductSprint Backlog'!$J128-'ProductSprint Backlog'!$I128), AND('ProductSprint Backlog'!$J128=H$2,'ProductSprint Backlog'!$I128=H$2), 'ProductSprint Backlog'!$F128, TRUE, 0)</f>
        <v/>
      </c>
      <c r="I128" s="4" t="str" cm="1">
        <f t="array" ref="I128">_xlfn.IFS('ProductSprint Backlog'!$F128="", "", AND('ProductSprint Backlog'!$J128&gt;I$2,'ProductSprint Backlog'!$I128&lt;=I$2), 'ProductSprint Backlog'!$F128 / MAX(1, 'ProductSprint Backlog'!$J128-'ProductSprint Backlog'!$I128), AND('ProductSprint Backlog'!$J128=I$2,'ProductSprint Backlog'!$I128=I$2), 'ProductSprint Backlog'!$F128, TRUE, 0)</f>
        <v/>
      </c>
      <c r="J128" s="4" t="str" cm="1">
        <f t="array" ref="J128">_xlfn.IFS('ProductSprint Backlog'!$F128="", "", AND('ProductSprint Backlog'!$J128&gt;J$2,'ProductSprint Backlog'!$I128&lt;=J$2), 'ProductSprint Backlog'!$F128 / MAX(1, 'ProductSprint Backlog'!$J128-'ProductSprint Backlog'!$I128), AND('ProductSprint Backlog'!$J128=J$2,'ProductSprint Backlog'!$I128=J$2), 'ProductSprint Backlog'!$F128, TRUE, 0)</f>
        <v/>
      </c>
      <c r="K128" s="4" t="str" cm="1">
        <f t="array" ref="K128">_xlfn.IFS('ProductSprint Backlog'!$F128="", "", AND('ProductSprint Backlog'!$J128&gt;K$2,'ProductSprint Backlog'!$I128&lt;=K$2), 'ProductSprint Backlog'!$F128 / MAX(1, 'ProductSprint Backlog'!$J128-'ProductSprint Backlog'!$I128), AND('ProductSprint Backlog'!$J128=K$2,'ProductSprint Backlog'!$I128=K$2), 'ProductSprint Backlog'!$F128, TRUE, 0)</f>
        <v/>
      </c>
      <c r="L128" s="4" t="str" cm="1">
        <f t="array" ref="L128">_xlfn.IFS('ProductSprint Backlog'!$F128="", "", AND('ProductSprint Backlog'!$J128&gt;L$2,'ProductSprint Backlog'!$I128&lt;=L$2), 'ProductSprint Backlog'!$F128 / MAX(1, 'ProductSprint Backlog'!$J128-'ProductSprint Backlog'!$I128), AND('ProductSprint Backlog'!$J128=L$2,'ProductSprint Backlog'!$I128=L$2), 'ProductSprint Backlog'!$F128, TRUE, 0)</f>
        <v/>
      </c>
      <c r="M128" s="4" t="str" cm="1">
        <f t="array" ref="M128">_xlfn.IFS('ProductSprint Backlog'!$F128="", "", AND('ProductSprint Backlog'!$J128&gt;M$2,'ProductSprint Backlog'!$I128&lt;=M$2), 'ProductSprint Backlog'!$F128 / MAX(1, 'ProductSprint Backlog'!$J128-'ProductSprint Backlog'!$I128), AND('ProductSprint Backlog'!$J128=M$2,'ProductSprint Backlog'!$I128=M$2), 'ProductSprint Backlog'!$F128, TRUE, 0)</f>
        <v/>
      </c>
      <c r="N128" s="4" t="str" cm="1">
        <f t="array" ref="N128">_xlfn.IFS('ProductSprint Backlog'!$F128="", "", AND('ProductSprint Backlog'!$J128&gt;N$2,'ProductSprint Backlog'!$I128&lt;=N$2), 'ProductSprint Backlog'!$F128 / MAX(1, 'ProductSprint Backlog'!$J128-'ProductSprint Backlog'!$I128), AND('ProductSprint Backlog'!$J128=N$2,'ProductSprint Backlog'!$I128=N$2), 'ProductSprint Backlog'!$F128, TRUE, 0)</f>
        <v/>
      </c>
      <c r="O128" s="4" t="str" cm="1">
        <f t="array" ref="O128">_xlfn.IFS('ProductSprint Backlog'!$F128="", "", AND('ProductSprint Backlog'!$J128&gt;O$2,'ProductSprint Backlog'!$I128&lt;=O$2), 'ProductSprint Backlog'!$F128 / MAX(1, 'ProductSprint Backlog'!$J128-'ProductSprint Backlog'!$I128), AND('ProductSprint Backlog'!$J128=O$2,'ProductSprint Backlog'!$I128=O$2), 'ProductSprint Backlog'!$F128, TRUE, 0)</f>
        <v/>
      </c>
      <c r="P128" s="4" t="str" cm="1">
        <f t="array" ref="P128">_xlfn.IFS('ProductSprint Backlog'!$F128="", "", AND('ProductSprint Backlog'!$J128&gt;P$2,'ProductSprint Backlog'!$I128&lt;=P$2), 'ProductSprint Backlog'!$F128 / MAX(1, 'ProductSprint Backlog'!$J128-'ProductSprint Backlog'!$I128), AND('ProductSprint Backlog'!$J128=P$2,'ProductSprint Backlog'!$I128=P$2), 'ProductSprint Backlog'!$F128, TRUE, 0)</f>
        <v/>
      </c>
      <c r="Q128" s="4" t="str" cm="1">
        <f t="array" ref="Q128">_xlfn.IFS('ProductSprint Backlog'!$F128="", "", AND('ProductSprint Backlog'!$J128&gt;Q$2,'ProductSprint Backlog'!$I128&lt;=Q$2), 'ProductSprint Backlog'!$F128 / MAX(1, 'ProductSprint Backlog'!$J128-'ProductSprint Backlog'!$I128), AND('ProductSprint Backlog'!$J128=Q$2,'ProductSprint Backlog'!$I128=Q$2), 'ProductSprint Backlog'!$F128, TRUE, 0)</f>
        <v/>
      </c>
    </row>
    <row r="129" spans="2:17" x14ac:dyDescent="0.2">
      <c r="B129" s="4" cm="1">
        <f t="array" ref="B129">_xlfn.IFS('ProductSprint Backlog'!$F129="", "", AND('ProductSprint Backlog'!$J129&gt;B$2,'ProductSprint Backlog'!$I129&lt;=B$2), 'ProductSprint Backlog'!$F129 / MAX(1, 'ProductSprint Backlog'!$J129-'ProductSprint Backlog'!$I129), AND('ProductSprint Backlog'!$J129=B$2,'ProductSprint Backlog'!$I129=B$2), 'ProductSprint Backlog'!$F129, TRUE, 0)</f>
        <v>0</v>
      </c>
      <c r="C129" s="4" cm="1">
        <f t="array" ref="C129">_xlfn.IFS('ProductSprint Backlog'!$F129="", "", AND('ProductSprint Backlog'!$J129&gt;C$2,'ProductSprint Backlog'!$I129&lt;=C$2), 'ProductSprint Backlog'!$F129 / MAX(1, 'ProductSprint Backlog'!$J129-'ProductSprint Backlog'!$I129), AND('ProductSprint Backlog'!$J129=C$2,'ProductSprint Backlog'!$I129=C$2), 'ProductSprint Backlog'!$F129, TRUE, 0)</f>
        <v>0</v>
      </c>
      <c r="D129" s="4" cm="1">
        <f t="array" ref="D129">_xlfn.IFS('ProductSprint Backlog'!$F129="", "", AND('ProductSprint Backlog'!$J129&gt;D$2,'ProductSprint Backlog'!$I129&lt;=D$2), 'ProductSprint Backlog'!$F129 / MAX(1, 'ProductSprint Backlog'!$J129-'ProductSprint Backlog'!$I129), AND('ProductSprint Backlog'!$J129=D$2,'ProductSprint Backlog'!$I129=D$2), 'ProductSprint Backlog'!$F129, TRUE, 0)</f>
        <v>0</v>
      </c>
      <c r="E129" s="4" cm="1">
        <f t="array" ref="E129">_xlfn.IFS('ProductSprint Backlog'!$F129="", "", AND('ProductSprint Backlog'!$J129&gt;E$2,'ProductSprint Backlog'!$I129&lt;=E$2), 'ProductSprint Backlog'!$F129 / MAX(1, 'ProductSprint Backlog'!$J129-'ProductSprint Backlog'!$I129), AND('ProductSprint Backlog'!$J129=E$2,'ProductSprint Backlog'!$I129=E$2), 'ProductSprint Backlog'!$F129, TRUE, 0)</f>
        <v>0</v>
      </c>
      <c r="F129" s="4" cm="1">
        <f t="array" ref="F129">_xlfn.IFS('ProductSprint Backlog'!$F129="", "", AND('ProductSprint Backlog'!$J129&gt;F$2,'ProductSprint Backlog'!$I129&lt;=F$2), 'ProductSprint Backlog'!$F129 / MAX(1, 'ProductSprint Backlog'!$J129-'ProductSprint Backlog'!$I129), AND('ProductSprint Backlog'!$J129=F$2,'ProductSprint Backlog'!$I129=F$2), 'ProductSprint Backlog'!$F129, TRUE, 0)</f>
        <v>0</v>
      </c>
      <c r="G129" s="4" cm="1">
        <f t="array" ref="G129">_xlfn.IFS('ProductSprint Backlog'!$F129="", "", AND('ProductSprint Backlog'!$J129&gt;G$2,'ProductSprint Backlog'!$I129&lt;=G$2), 'ProductSprint Backlog'!$F129 / MAX(1, 'ProductSprint Backlog'!$J129-'ProductSprint Backlog'!$I129), AND('ProductSprint Backlog'!$J129=G$2,'ProductSprint Backlog'!$I129=G$2), 'ProductSprint Backlog'!$F129, TRUE, 0)</f>
        <v>0</v>
      </c>
      <c r="H129" s="4" cm="1">
        <f t="array" ref="H129">_xlfn.IFS('ProductSprint Backlog'!$F129="", "", AND('ProductSprint Backlog'!$J129&gt;H$2,'ProductSprint Backlog'!$I129&lt;=H$2), 'ProductSprint Backlog'!$F129 / MAX(1, 'ProductSprint Backlog'!$J129-'ProductSprint Backlog'!$I129), AND('ProductSprint Backlog'!$J129=H$2,'ProductSprint Backlog'!$I129=H$2), 'ProductSprint Backlog'!$F129, TRUE, 0)</f>
        <v>0</v>
      </c>
      <c r="I129" s="4" cm="1">
        <f t="array" ref="I129">_xlfn.IFS('ProductSprint Backlog'!$F129="", "", AND('ProductSprint Backlog'!$J129&gt;I$2,'ProductSprint Backlog'!$I129&lt;=I$2), 'ProductSprint Backlog'!$F129 / MAX(1, 'ProductSprint Backlog'!$J129-'ProductSprint Backlog'!$I129), AND('ProductSprint Backlog'!$J129=I$2,'ProductSprint Backlog'!$I129=I$2), 'ProductSprint Backlog'!$F129, TRUE, 0)</f>
        <v>0</v>
      </c>
      <c r="J129" s="4" cm="1">
        <f t="array" ref="J129">_xlfn.IFS('ProductSprint Backlog'!$F129="", "", AND('ProductSprint Backlog'!$J129&gt;J$2,'ProductSprint Backlog'!$I129&lt;=J$2), 'ProductSprint Backlog'!$F129 / MAX(1, 'ProductSprint Backlog'!$J129-'ProductSprint Backlog'!$I129), AND('ProductSprint Backlog'!$J129=J$2,'ProductSprint Backlog'!$I129=J$2), 'ProductSprint Backlog'!$F129, TRUE, 0)</f>
        <v>0</v>
      </c>
      <c r="K129" s="4" cm="1">
        <f t="array" ref="K129">_xlfn.IFS('ProductSprint Backlog'!$F129="", "", AND('ProductSprint Backlog'!$J129&gt;K$2,'ProductSprint Backlog'!$I129&lt;=K$2), 'ProductSprint Backlog'!$F129 / MAX(1, 'ProductSprint Backlog'!$J129-'ProductSprint Backlog'!$I129), AND('ProductSprint Backlog'!$J129=K$2,'ProductSprint Backlog'!$I129=K$2), 'ProductSprint Backlog'!$F129, TRUE, 0)</f>
        <v>0</v>
      </c>
      <c r="L129" s="4" cm="1">
        <f t="array" ref="L129">_xlfn.IFS('ProductSprint Backlog'!$F129="", "", AND('ProductSprint Backlog'!$J129&gt;L$2,'ProductSprint Backlog'!$I129&lt;=L$2), 'ProductSprint Backlog'!$F129 / MAX(1, 'ProductSprint Backlog'!$J129-'ProductSprint Backlog'!$I129), AND('ProductSprint Backlog'!$J129=L$2,'ProductSprint Backlog'!$I129=L$2), 'ProductSprint Backlog'!$F129, TRUE, 0)</f>
        <v>0</v>
      </c>
      <c r="M129" s="4" cm="1">
        <f t="array" ref="M129">_xlfn.IFS('ProductSprint Backlog'!$F129="", "", AND('ProductSprint Backlog'!$J129&gt;M$2,'ProductSprint Backlog'!$I129&lt;=M$2), 'ProductSprint Backlog'!$F129 / MAX(1, 'ProductSprint Backlog'!$J129-'ProductSprint Backlog'!$I129), AND('ProductSprint Backlog'!$J129=M$2,'ProductSprint Backlog'!$I129=M$2), 'ProductSprint Backlog'!$F129, TRUE, 0)</f>
        <v>0</v>
      </c>
      <c r="N129" s="4" cm="1">
        <f t="array" ref="N129">_xlfn.IFS('ProductSprint Backlog'!$F129="", "", AND('ProductSprint Backlog'!$J129&gt;N$2,'ProductSprint Backlog'!$I129&lt;=N$2), 'ProductSprint Backlog'!$F129 / MAX(1, 'ProductSprint Backlog'!$J129-'ProductSprint Backlog'!$I129), AND('ProductSprint Backlog'!$J129=N$2,'ProductSprint Backlog'!$I129=N$2), 'ProductSprint Backlog'!$F129, TRUE, 0)</f>
        <v>0</v>
      </c>
      <c r="O129" s="4" cm="1">
        <f t="array" ref="O129">_xlfn.IFS('ProductSprint Backlog'!$F129="", "", AND('ProductSprint Backlog'!$J129&gt;O$2,'ProductSprint Backlog'!$I129&lt;=O$2), 'ProductSprint Backlog'!$F129 / MAX(1, 'ProductSprint Backlog'!$J129-'ProductSprint Backlog'!$I129), AND('ProductSprint Backlog'!$J129=O$2,'ProductSprint Backlog'!$I129=O$2), 'ProductSprint Backlog'!$F129, TRUE, 0)</f>
        <v>0</v>
      </c>
      <c r="P129" s="4" cm="1">
        <f t="array" ref="P129">_xlfn.IFS('ProductSprint Backlog'!$F129="", "", AND('ProductSprint Backlog'!$J129&gt;P$2,'ProductSprint Backlog'!$I129&lt;=P$2), 'ProductSprint Backlog'!$F129 / MAX(1, 'ProductSprint Backlog'!$J129-'ProductSprint Backlog'!$I129), AND('ProductSprint Backlog'!$J129=P$2,'ProductSprint Backlog'!$I129=P$2), 'ProductSprint Backlog'!$F129, TRUE, 0)</f>
        <v>0</v>
      </c>
      <c r="Q129" s="4" cm="1">
        <f t="array" ref="Q129">_xlfn.IFS('ProductSprint Backlog'!$F129="", "", AND('ProductSprint Backlog'!$J129&gt;Q$2,'ProductSprint Backlog'!$I129&lt;=Q$2), 'ProductSprint Backlog'!$F129 / MAX(1, 'ProductSprint Backlog'!$J129-'ProductSprint Backlog'!$I129), AND('ProductSprint Backlog'!$J129=Q$2,'ProductSprint Backlog'!$I129=Q$2), 'ProductSprint Backlog'!$F129, TRUE, 0)</f>
        <v>0</v>
      </c>
    </row>
    <row r="130" spans="2:17" x14ac:dyDescent="0.2">
      <c r="B130" s="4" cm="1">
        <f t="array" ref="B130">_xlfn.IFS('ProductSprint Backlog'!$F130="", "", AND('ProductSprint Backlog'!$J130&gt;B$2,'ProductSprint Backlog'!$I130&lt;=B$2), 'ProductSprint Backlog'!$F130 / MAX(1, 'ProductSprint Backlog'!$J130-'ProductSprint Backlog'!$I130), AND('ProductSprint Backlog'!$J130=B$2,'ProductSprint Backlog'!$I130=B$2), 'ProductSprint Backlog'!$F130, TRUE, 0)</f>
        <v>0</v>
      </c>
      <c r="C130" s="4" cm="1">
        <f t="array" ref="C130">_xlfn.IFS('ProductSprint Backlog'!$F130="", "", AND('ProductSprint Backlog'!$J130&gt;C$2,'ProductSprint Backlog'!$I130&lt;=C$2), 'ProductSprint Backlog'!$F130 / MAX(1, 'ProductSprint Backlog'!$J130-'ProductSprint Backlog'!$I130), AND('ProductSprint Backlog'!$J130=C$2,'ProductSprint Backlog'!$I130=C$2), 'ProductSprint Backlog'!$F130, TRUE, 0)</f>
        <v>0</v>
      </c>
      <c r="D130" s="4" cm="1">
        <f t="array" ref="D130">_xlfn.IFS('ProductSprint Backlog'!$F130="", "", AND('ProductSprint Backlog'!$J130&gt;D$2,'ProductSprint Backlog'!$I130&lt;=D$2), 'ProductSprint Backlog'!$F130 / MAX(1, 'ProductSprint Backlog'!$J130-'ProductSprint Backlog'!$I130), AND('ProductSprint Backlog'!$J130=D$2,'ProductSprint Backlog'!$I130=D$2), 'ProductSprint Backlog'!$F130, TRUE, 0)</f>
        <v>0</v>
      </c>
      <c r="E130" s="4" cm="1">
        <f t="array" ref="E130">_xlfn.IFS('ProductSprint Backlog'!$F130="", "", AND('ProductSprint Backlog'!$J130&gt;E$2,'ProductSprint Backlog'!$I130&lt;=E$2), 'ProductSprint Backlog'!$F130 / MAX(1, 'ProductSprint Backlog'!$J130-'ProductSprint Backlog'!$I130), AND('ProductSprint Backlog'!$J130=E$2,'ProductSprint Backlog'!$I130=E$2), 'ProductSprint Backlog'!$F130, TRUE, 0)</f>
        <v>0</v>
      </c>
      <c r="F130" s="4" cm="1">
        <f t="array" ref="F130">_xlfn.IFS('ProductSprint Backlog'!$F130="", "", AND('ProductSprint Backlog'!$J130&gt;F$2,'ProductSprint Backlog'!$I130&lt;=F$2), 'ProductSprint Backlog'!$F130 / MAX(1, 'ProductSprint Backlog'!$J130-'ProductSprint Backlog'!$I130), AND('ProductSprint Backlog'!$J130=F$2,'ProductSprint Backlog'!$I130=F$2), 'ProductSprint Backlog'!$F130, TRUE, 0)</f>
        <v>0</v>
      </c>
      <c r="G130" s="4" cm="1">
        <f t="array" ref="G130">_xlfn.IFS('ProductSprint Backlog'!$F130="", "", AND('ProductSprint Backlog'!$J130&gt;G$2,'ProductSprint Backlog'!$I130&lt;=G$2), 'ProductSprint Backlog'!$F130 / MAX(1, 'ProductSprint Backlog'!$J130-'ProductSprint Backlog'!$I130), AND('ProductSprint Backlog'!$J130=G$2,'ProductSprint Backlog'!$I130=G$2), 'ProductSprint Backlog'!$F130, TRUE, 0)</f>
        <v>0</v>
      </c>
      <c r="H130" s="4" cm="1">
        <f t="array" ref="H130">_xlfn.IFS('ProductSprint Backlog'!$F130="", "", AND('ProductSprint Backlog'!$J130&gt;H$2,'ProductSprint Backlog'!$I130&lt;=H$2), 'ProductSprint Backlog'!$F130 / MAX(1, 'ProductSprint Backlog'!$J130-'ProductSprint Backlog'!$I130), AND('ProductSprint Backlog'!$J130=H$2,'ProductSprint Backlog'!$I130=H$2), 'ProductSprint Backlog'!$F130, TRUE, 0)</f>
        <v>0</v>
      </c>
      <c r="I130" s="4" cm="1">
        <f t="array" ref="I130">_xlfn.IFS('ProductSprint Backlog'!$F130="", "", AND('ProductSprint Backlog'!$J130&gt;I$2,'ProductSprint Backlog'!$I130&lt;=I$2), 'ProductSprint Backlog'!$F130 / MAX(1, 'ProductSprint Backlog'!$J130-'ProductSprint Backlog'!$I130), AND('ProductSprint Backlog'!$J130=I$2,'ProductSprint Backlog'!$I130=I$2), 'ProductSprint Backlog'!$F130, TRUE, 0)</f>
        <v>0</v>
      </c>
      <c r="J130" s="4" cm="1">
        <f t="array" ref="J130">_xlfn.IFS('ProductSprint Backlog'!$F130="", "", AND('ProductSprint Backlog'!$J130&gt;J$2,'ProductSprint Backlog'!$I130&lt;=J$2), 'ProductSprint Backlog'!$F130 / MAX(1, 'ProductSprint Backlog'!$J130-'ProductSprint Backlog'!$I130), AND('ProductSprint Backlog'!$J130=J$2,'ProductSprint Backlog'!$I130=J$2), 'ProductSprint Backlog'!$F130, TRUE, 0)</f>
        <v>0</v>
      </c>
      <c r="K130" s="4" cm="1">
        <f t="array" ref="K130">_xlfn.IFS('ProductSprint Backlog'!$F130="", "", AND('ProductSprint Backlog'!$J130&gt;K$2,'ProductSprint Backlog'!$I130&lt;=K$2), 'ProductSprint Backlog'!$F130 / MAX(1, 'ProductSprint Backlog'!$J130-'ProductSprint Backlog'!$I130), AND('ProductSprint Backlog'!$J130=K$2,'ProductSprint Backlog'!$I130=K$2), 'ProductSprint Backlog'!$F130, TRUE, 0)</f>
        <v>0</v>
      </c>
      <c r="L130" s="4" cm="1">
        <f t="array" ref="L130">_xlfn.IFS('ProductSprint Backlog'!$F130="", "", AND('ProductSprint Backlog'!$J130&gt;L$2,'ProductSprint Backlog'!$I130&lt;=L$2), 'ProductSprint Backlog'!$F130 / MAX(1, 'ProductSprint Backlog'!$J130-'ProductSprint Backlog'!$I130), AND('ProductSprint Backlog'!$J130=L$2,'ProductSprint Backlog'!$I130=L$2), 'ProductSprint Backlog'!$F130, TRUE, 0)</f>
        <v>0</v>
      </c>
      <c r="M130" s="4" cm="1">
        <f t="array" ref="M130">_xlfn.IFS('ProductSprint Backlog'!$F130="", "", AND('ProductSprint Backlog'!$J130&gt;M$2,'ProductSprint Backlog'!$I130&lt;=M$2), 'ProductSprint Backlog'!$F130 / MAX(1, 'ProductSprint Backlog'!$J130-'ProductSprint Backlog'!$I130), AND('ProductSprint Backlog'!$J130=M$2,'ProductSprint Backlog'!$I130=M$2), 'ProductSprint Backlog'!$F130, TRUE, 0)</f>
        <v>0</v>
      </c>
      <c r="N130" s="4" cm="1">
        <f t="array" ref="N130">_xlfn.IFS('ProductSprint Backlog'!$F130="", "", AND('ProductSprint Backlog'!$J130&gt;N$2,'ProductSprint Backlog'!$I130&lt;=N$2), 'ProductSprint Backlog'!$F130 / MAX(1, 'ProductSprint Backlog'!$J130-'ProductSprint Backlog'!$I130), AND('ProductSprint Backlog'!$J130=N$2,'ProductSprint Backlog'!$I130=N$2), 'ProductSprint Backlog'!$F130, TRUE, 0)</f>
        <v>0</v>
      </c>
      <c r="O130" s="4" cm="1">
        <f t="array" ref="O130">_xlfn.IFS('ProductSprint Backlog'!$F130="", "", AND('ProductSprint Backlog'!$J130&gt;O$2,'ProductSprint Backlog'!$I130&lt;=O$2), 'ProductSprint Backlog'!$F130 / MAX(1, 'ProductSprint Backlog'!$J130-'ProductSprint Backlog'!$I130), AND('ProductSprint Backlog'!$J130=O$2,'ProductSprint Backlog'!$I130=O$2), 'ProductSprint Backlog'!$F130, TRUE, 0)</f>
        <v>0</v>
      </c>
      <c r="P130" s="4" cm="1">
        <f t="array" ref="P130">_xlfn.IFS('ProductSprint Backlog'!$F130="", "", AND('ProductSprint Backlog'!$J130&gt;P$2,'ProductSprint Backlog'!$I130&lt;=P$2), 'ProductSprint Backlog'!$F130 / MAX(1, 'ProductSprint Backlog'!$J130-'ProductSprint Backlog'!$I130), AND('ProductSprint Backlog'!$J130=P$2,'ProductSprint Backlog'!$I130=P$2), 'ProductSprint Backlog'!$F130, TRUE, 0)</f>
        <v>0</v>
      </c>
      <c r="Q130" s="4" cm="1">
        <f t="array" ref="Q130">_xlfn.IFS('ProductSprint Backlog'!$F130="", "", AND('ProductSprint Backlog'!$J130&gt;Q$2,'ProductSprint Backlog'!$I130&lt;=Q$2), 'ProductSprint Backlog'!$F130 / MAX(1, 'ProductSprint Backlog'!$J130-'ProductSprint Backlog'!$I130), AND('ProductSprint Backlog'!$J130=Q$2,'ProductSprint Backlog'!$I130=Q$2), 'ProductSprint Backlog'!$F130, TRUE, 0)</f>
        <v>0</v>
      </c>
    </row>
    <row r="131" spans="2:17" x14ac:dyDescent="0.2">
      <c r="B131" s="4" cm="1">
        <f t="array" ref="B131">_xlfn.IFS('ProductSprint Backlog'!$F131="", "", AND('ProductSprint Backlog'!$J131&gt;B$2,'ProductSprint Backlog'!$I131&lt;=B$2), 'ProductSprint Backlog'!$F131 / MAX(1, 'ProductSprint Backlog'!$J131-'ProductSprint Backlog'!$I131), AND('ProductSprint Backlog'!$J131=B$2,'ProductSprint Backlog'!$I131=B$2), 'ProductSprint Backlog'!$F131, TRUE, 0)</f>
        <v>0</v>
      </c>
      <c r="C131" s="4" cm="1">
        <f t="array" ref="C131">_xlfn.IFS('ProductSprint Backlog'!$F131="", "", AND('ProductSprint Backlog'!$J131&gt;C$2,'ProductSprint Backlog'!$I131&lt;=C$2), 'ProductSprint Backlog'!$F131 / MAX(1, 'ProductSprint Backlog'!$J131-'ProductSprint Backlog'!$I131), AND('ProductSprint Backlog'!$J131=C$2,'ProductSprint Backlog'!$I131=C$2), 'ProductSprint Backlog'!$F131, TRUE, 0)</f>
        <v>0</v>
      </c>
      <c r="D131" s="4" cm="1">
        <f t="array" ref="D131">_xlfn.IFS('ProductSprint Backlog'!$F131="", "", AND('ProductSprint Backlog'!$J131&gt;D$2,'ProductSprint Backlog'!$I131&lt;=D$2), 'ProductSprint Backlog'!$F131 / MAX(1, 'ProductSprint Backlog'!$J131-'ProductSprint Backlog'!$I131), AND('ProductSprint Backlog'!$J131=D$2,'ProductSprint Backlog'!$I131=D$2), 'ProductSprint Backlog'!$F131, TRUE, 0)</f>
        <v>0</v>
      </c>
      <c r="E131" s="4" cm="1">
        <f t="array" ref="E131">_xlfn.IFS('ProductSprint Backlog'!$F131="", "", AND('ProductSprint Backlog'!$J131&gt;E$2,'ProductSprint Backlog'!$I131&lt;=E$2), 'ProductSprint Backlog'!$F131 / MAX(1, 'ProductSprint Backlog'!$J131-'ProductSprint Backlog'!$I131), AND('ProductSprint Backlog'!$J131=E$2,'ProductSprint Backlog'!$I131=E$2), 'ProductSprint Backlog'!$F131, TRUE, 0)</f>
        <v>0</v>
      </c>
      <c r="F131" s="4" cm="1">
        <f t="array" ref="F131">_xlfn.IFS('ProductSprint Backlog'!$F131="", "", AND('ProductSprint Backlog'!$J131&gt;F$2,'ProductSprint Backlog'!$I131&lt;=F$2), 'ProductSprint Backlog'!$F131 / MAX(1, 'ProductSprint Backlog'!$J131-'ProductSprint Backlog'!$I131), AND('ProductSprint Backlog'!$J131=F$2,'ProductSprint Backlog'!$I131=F$2), 'ProductSprint Backlog'!$F131, TRUE, 0)</f>
        <v>0</v>
      </c>
      <c r="G131" s="4" cm="1">
        <f t="array" ref="G131">_xlfn.IFS('ProductSprint Backlog'!$F131="", "", AND('ProductSprint Backlog'!$J131&gt;G$2,'ProductSprint Backlog'!$I131&lt;=G$2), 'ProductSprint Backlog'!$F131 / MAX(1, 'ProductSprint Backlog'!$J131-'ProductSprint Backlog'!$I131), AND('ProductSprint Backlog'!$J131=G$2,'ProductSprint Backlog'!$I131=G$2), 'ProductSprint Backlog'!$F131, TRUE, 0)</f>
        <v>0</v>
      </c>
      <c r="H131" s="4" cm="1">
        <f t="array" ref="H131">_xlfn.IFS('ProductSprint Backlog'!$F131="", "", AND('ProductSprint Backlog'!$J131&gt;H$2,'ProductSprint Backlog'!$I131&lt;=H$2), 'ProductSprint Backlog'!$F131 / MAX(1, 'ProductSprint Backlog'!$J131-'ProductSprint Backlog'!$I131), AND('ProductSprint Backlog'!$J131=H$2,'ProductSprint Backlog'!$I131=H$2), 'ProductSprint Backlog'!$F131, TRUE, 0)</f>
        <v>0</v>
      </c>
      <c r="I131" s="4" cm="1">
        <f t="array" ref="I131">_xlfn.IFS('ProductSprint Backlog'!$F131="", "", AND('ProductSprint Backlog'!$J131&gt;I$2,'ProductSprint Backlog'!$I131&lt;=I$2), 'ProductSprint Backlog'!$F131 / MAX(1, 'ProductSprint Backlog'!$J131-'ProductSprint Backlog'!$I131), AND('ProductSprint Backlog'!$J131=I$2,'ProductSprint Backlog'!$I131=I$2), 'ProductSprint Backlog'!$F131, TRUE, 0)</f>
        <v>0</v>
      </c>
      <c r="J131" s="4" cm="1">
        <f t="array" ref="J131">_xlfn.IFS('ProductSprint Backlog'!$F131="", "", AND('ProductSprint Backlog'!$J131&gt;J$2,'ProductSprint Backlog'!$I131&lt;=J$2), 'ProductSprint Backlog'!$F131 / MAX(1, 'ProductSprint Backlog'!$J131-'ProductSprint Backlog'!$I131), AND('ProductSprint Backlog'!$J131=J$2,'ProductSprint Backlog'!$I131=J$2), 'ProductSprint Backlog'!$F131, TRUE, 0)</f>
        <v>0</v>
      </c>
      <c r="K131" s="4" cm="1">
        <f t="array" ref="K131">_xlfn.IFS('ProductSprint Backlog'!$F131="", "", AND('ProductSprint Backlog'!$J131&gt;K$2,'ProductSprint Backlog'!$I131&lt;=K$2), 'ProductSprint Backlog'!$F131 / MAX(1, 'ProductSprint Backlog'!$J131-'ProductSprint Backlog'!$I131), AND('ProductSprint Backlog'!$J131=K$2,'ProductSprint Backlog'!$I131=K$2), 'ProductSprint Backlog'!$F131, TRUE, 0)</f>
        <v>0</v>
      </c>
      <c r="L131" s="4" cm="1">
        <f t="array" ref="L131">_xlfn.IFS('ProductSprint Backlog'!$F131="", "", AND('ProductSprint Backlog'!$J131&gt;L$2,'ProductSprint Backlog'!$I131&lt;=L$2), 'ProductSprint Backlog'!$F131 / MAX(1, 'ProductSprint Backlog'!$J131-'ProductSprint Backlog'!$I131), AND('ProductSprint Backlog'!$J131=L$2,'ProductSprint Backlog'!$I131=L$2), 'ProductSprint Backlog'!$F131, TRUE, 0)</f>
        <v>0</v>
      </c>
      <c r="M131" s="4" cm="1">
        <f t="array" ref="M131">_xlfn.IFS('ProductSprint Backlog'!$F131="", "", AND('ProductSprint Backlog'!$J131&gt;M$2,'ProductSprint Backlog'!$I131&lt;=M$2), 'ProductSprint Backlog'!$F131 / MAX(1, 'ProductSprint Backlog'!$J131-'ProductSprint Backlog'!$I131), AND('ProductSprint Backlog'!$J131=M$2,'ProductSprint Backlog'!$I131=M$2), 'ProductSprint Backlog'!$F131, TRUE, 0)</f>
        <v>0</v>
      </c>
      <c r="N131" s="4" cm="1">
        <f t="array" ref="N131">_xlfn.IFS('ProductSprint Backlog'!$F131="", "", AND('ProductSprint Backlog'!$J131&gt;N$2,'ProductSprint Backlog'!$I131&lt;=N$2), 'ProductSprint Backlog'!$F131 / MAX(1, 'ProductSprint Backlog'!$J131-'ProductSprint Backlog'!$I131), AND('ProductSprint Backlog'!$J131=N$2,'ProductSprint Backlog'!$I131=N$2), 'ProductSprint Backlog'!$F131, TRUE, 0)</f>
        <v>0</v>
      </c>
      <c r="O131" s="4" cm="1">
        <f t="array" ref="O131">_xlfn.IFS('ProductSprint Backlog'!$F131="", "", AND('ProductSprint Backlog'!$J131&gt;O$2,'ProductSprint Backlog'!$I131&lt;=O$2), 'ProductSprint Backlog'!$F131 / MAX(1, 'ProductSprint Backlog'!$J131-'ProductSprint Backlog'!$I131), AND('ProductSprint Backlog'!$J131=O$2,'ProductSprint Backlog'!$I131=O$2), 'ProductSprint Backlog'!$F131, TRUE, 0)</f>
        <v>0</v>
      </c>
      <c r="P131" s="4" cm="1">
        <f t="array" ref="P131">_xlfn.IFS('ProductSprint Backlog'!$F131="", "", AND('ProductSprint Backlog'!$J131&gt;P$2,'ProductSprint Backlog'!$I131&lt;=P$2), 'ProductSprint Backlog'!$F131 / MAX(1, 'ProductSprint Backlog'!$J131-'ProductSprint Backlog'!$I131), AND('ProductSprint Backlog'!$J131=P$2,'ProductSprint Backlog'!$I131=P$2), 'ProductSprint Backlog'!$F131, TRUE, 0)</f>
        <v>0</v>
      </c>
      <c r="Q131" s="4" cm="1">
        <f t="array" ref="Q131">_xlfn.IFS('ProductSprint Backlog'!$F131="", "", AND('ProductSprint Backlog'!$J131&gt;Q$2,'ProductSprint Backlog'!$I131&lt;=Q$2), 'ProductSprint Backlog'!$F131 / MAX(1, 'ProductSprint Backlog'!$J131-'ProductSprint Backlog'!$I131), AND('ProductSprint Backlog'!$J131=Q$2,'ProductSprint Backlog'!$I131=Q$2), 'ProductSprint Backlog'!$F131, TRUE, 0)</f>
        <v>0</v>
      </c>
    </row>
    <row r="132" spans="2:17" x14ac:dyDescent="0.2">
      <c r="B132" s="4" cm="1">
        <f t="array" ref="B132">_xlfn.IFS('ProductSprint Backlog'!$F132="", "", AND('ProductSprint Backlog'!$J132&gt;B$2,'ProductSprint Backlog'!$I132&lt;=B$2), 'ProductSprint Backlog'!$F132 / MAX(1, 'ProductSprint Backlog'!$J132-'ProductSprint Backlog'!$I132), AND('ProductSprint Backlog'!$J132=B$2,'ProductSprint Backlog'!$I132=B$2), 'ProductSprint Backlog'!$F132, TRUE, 0)</f>
        <v>0</v>
      </c>
      <c r="C132" s="4" cm="1">
        <f t="array" ref="C132">_xlfn.IFS('ProductSprint Backlog'!$F132="", "", AND('ProductSprint Backlog'!$J132&gt;C$2,'ProductSprint Backlog'!$I132&lt;=C$2), 'ProductSprint Backlog'!$F132 / MAX(1, 'ProductSprint Backlog'!$J132-'ProductSprint Backlog'!$I132), AND('ProductSprint Backlog'!$J132=C$2,'ProductSprint Backlog'!$I132=C$2), 'ProductSprint Backlog'!$F132, TRUE, 0)</f>
        <v>0</v>
      </c>
      <c r="D132" s="4" cm="1">
        <f t="array" ref="D132">_xlfn.IFS('ProductSprint Backlog'!$F132="", "", AND('ProductSprint Backlog'!$J132&gt;D$2,'ProductSprint Backlog'!$I132&lt;=D$2), 'ProductSprint Backlog'!$F132 / MAX(1, 'ProductSprint Backlog'!$J132-'ProductSprint Backlog'!$I132), AND('ProductSprint Backlog'!$J132=D$2,'ProductSprint Backlog'!$I132=D$2), 'ProductSprint Backlog'!$F132, TRUE, 0)</f>
        <v>0</v>
      </c>
      <c r="E132" s="4" cm="1">
        <f t="array" ref="E132">_xlfn.IFS('ProductSprint Backlog'!$F132="", "", AND('ProductSprint Backlog'!$J132&gt;E$2,'ProductSprint Backlog'!$I132&lt;=E$2), 'ProductSprint Backlog'!$F132 / MAX(1, 'ProductSprint Backlog'!$J132-'ProductSprint Backlog'!$I132), AND('ProductSprint Backlog'!$J132=E$2,'ProductSprint Backlog'!$I132=E$2), 'ProductSprint Backlog'!$F132, TRUE, 0)</f>
        <v>0</v>
      </c>
      <c r="F132" s="4" cm="1">
        <f t="array" ref="F132">_xlfn.IFS('ProductSprint Backlog'!$F132="", "", AND('ProductSprint Backlog'!$J132&gt;F$2,'ProductSprint Backlog'!$I132&lt;=F$2), 'ProductSprint Backlog'!$F132 / MAX(1, 'ProductSprint Backlog'!$J132-'ProductSprint Backlog'!$I132), AND('ProductSprint Backlog'!$J132=F$2,'ProductSprint Backlog'!$I132=F$2), 'ProductSprint Backlog'!$F132, TRUE, 0)</f>
        <v>0</v>
      </c>
      <c r="G132" s="4" cm="1">
        <f t="array" ref="G132">_xlfn.IFS('ProductSprint Backlog'!$F132="", "", AND('ProductSprint Backlog'!$J132&gt;G$2,'ProductSprint Backlog'!$I132&lt;=G$2), 'ProductSprint Backlog'!$F132 / MAX(1, 'ProductSprint Backlog'!$J132-'ProductSprint Backlog'!$I132), AND('ProductSprint Backlog'!$J132=G$2,'ProductSprint Backlog'!$I132=G$2), 'ProductSprint Backlog'!$F132, TRUE, 0)</f>
        <v>0</v>
      </c>
      <c r="H132" s="4" cm="1">
        <f t="array" ref="H132">_xlfn.IFS('ProductSprint Backlog'!$F132="", "", AND('ProductSprint Backlog'!$J132&gt;H$2,'ProductSprint Backlog'!$I132&lt;=H$2), 'ProductSprint Backlog'!$F132 / MAX(1, 'ProductSprint Backlog'!$J132-'ProductSprint Backlog'!$I132), AND('ProductSprint Backlog'!$J132=H$2,'ProductSprint Backlog'!$I132=H$2), 'ProductSprint Backlog'!$F132, TRUE, 0)</f>
        <v>0</v>
      </c>
      <c r="I132" s="4" cm="1">
        <f t="array" ref="I132">_xlfn.IFS('ProductSprint Backlog'!$F132="", "", AND('ProductSprint Backlog'!$J132&gt;I$2,'ProductSprint Backlog'!$I132&lt;=I$2), 'ProductSprint Backlog'!$F132 / MAX(1, 'ProductSprint Backlog'!$J132-'ProductSprint Backlog'!$I132), AND('ProductSprint Backlog'!$J132=I$2,'ProductSprint Backlog'!$I132=I$2), 'ProductSprint Backlog'!$F132, TRUE, 0)</f>
        <v>0</v>
      </c>
      <c r="J132" s="4" cm="1">
        <f t="array" ref="J132">_xlfn.IFS('ProductSprint Backlog'!$F132="", "", AND('ProductSprint Backlog'!$J132&gt;J$2,'ProductSprint Backlog'!$I132&lt;=J$2), 'ProductSprint Backlog'!$F132 / MAX(1, 'ProductSprint Backlog'!$J132-'ProductSprint Backlog'!$I132), AND('ProductSprint Backlog'!$J132=J$2,'ProductSprint Backlog'!$I132=J$2), 'ProductSprint Backlog'!$F132, TRUE, 0)</f>
        <v>0</v>
      </c>
      <c r="K132" s="4" cm="1">
        <f t="array" ref="K132">_xlfn.IFS('ProductSprint Backlog'!$F132="", "", AND('ProductSprint Backlog'!$J132&gt;K$2,'ProductSprint Backlog'!$I132&lt;=K$2), 'ProductSprint Backlog'!$F132 / MAX(1, 'ProductSprint Backlog'!$J132-'ProductSprint Backlog'!$I132), AND('ProductSprint Backlog'!$J132=K$2,'ProductSprint Backlog'!$I132=K$2), 'ProductSprint Backlog'!$F132, TRUE, 0)</f>
        <v>0</v>
      </c>
      <c r="L132" s="4" cm="1">
        <f t="array" ref="L132">_xlfn.IFS('ProductSprint Backlog'!$F132="", "", AND('ProductSprint Backlog'!$J132&gt;L$2,'ProductSprint Backlog'!$I132&lt;=L$2), 'ProductSprint Backlog'!$F132 / MAX(1, 'ProductSprint Backlog'!$J132-'ProductSprint Backlog'!$I132), AND('ProductSprint Backlog'!$J132=L$2,'ProductSprint Backlog'!$I132=L$2), 'ProductSprint Backlog'!$F132, TRUE, 0)</f>
        <v>0</v>
      </c>
      <c r="M132" s="4" cm="1">
        <f t="array" ref="M132">_xlfn.IFS('ProductSprint Backlog'!$F132="", "", AND('ProductSprint Backlog'!$J132&gt;M$2,'ProductSprint Backlog'!$I132&lt;=M$2), 'ProductSprint Backlog'!$F132 / MAX(1, 'ProductSprint Backlog'!$J132-'ProductSprint Backlog'!$I132), AND('ProductSprint Backlog'!$J132=M$2,'ProductSprint Backlog'!$I132=M$2), 'ProductSprint Backlog'!$F132, TRUE, 0)</f>
        <v>0</v>
      </c>
      <c r="N132" s="4" cm="1">
        <f t="array" ref="N132">_xlfn.IFS('ProductSprint Backlog'!$F132="", "", AND('ProductSprint Backlog'!$J132&gt;N$2,'ProductSprint Backlog'!$I132&lt;=N$2), 'ProductSprint Backlog'!$F132 / MAX(1, 'ProductSprint Backlog'!$J132-'ProductSprint Backlog'!$I132), AND('ProductSprint Backlog'!$J132=N$2,'ProductSprint Backlog'!$I132=N$2), 'ProductSprint Backlog'!$F132, TRUE, 0)</f>
        <v>0</v>
      </c>
      <c r="O132" s="4" cm="1">
        <f t="array" ref="O132">_xlfn.IFS('ProductSprint Backlog'!$F132="", "", AND('ProductSprint Backlog'!$J132&gt;O$2,'ProductSprint Backlog'!$I132&lt;=O$2), 'ProductSprint Backlog'!$F132 / MAX(1, 'ProductSprint Backlog'!$J132-'ProductSprint Backlog'!$I132), AND('ProductSprint Backlog'!$J132=O$2,'ProductSprint Backlog'!$I132=O$2), 'ProductSprint Backlog'!$F132, TRUE, 0)</f>
        <v>0</v>
      </c>
      <c r="P132" s="4" cm="1">
        <f t="array" ref="P132">_xlfn.IFS('ProductSprint Backlog'!$F132="", "", AND('ProductSprint Backlog'!$J132&gt;P$2,'ProductSprint Backlog'!$I132&lt;=P$2), 'ProductSprint Backlog'!$F132 / MAX(1, 'ProductSprint Backlog'!$J132-'ProductSprint Backlog'!$I132), AND('ProductSprint Backlog'!$J132=P$2,'ProductSprint Backlog'!$I132=P$2), 'ProductSprint Backlog'!$F132, TRUE, 0)</f>
        <v>0</v>
      </c>
      <c r="Q132" s="4" cm="1">
        <f t="array" ref="Q132">_xlfn.IFS('ProductSprint Backlog'!$F132="", "", AND('ProductSprint Backlog'!$J132&gt;Q$2,'ProductSprint Backlog'!$I132&lt;=Q$2), 'ProductSprint Backlog'!$F132 / MAX(1, 'ProductSprint Backlog'!$J132-'ProductSprint Backlog'!$I132), AND('ProductSprint Backlog'!$J132=Q$2,'ProductSprint Backlog'!$I132=Q$2), 'ProductSprint Backlog'!$F132, TRUE, 0)</f>
        <v>0</v>
      </c>
    </row>
    <row r="133" spans="2:17" x14ac:dyDescent="0.2">
      <c r="B133" s="4" cm="1">
        <f t="array" ref="B133">_xlfn.IFS('ProductSprint Backlog'!$F133="", "", AND('ProductSprint Backlog'!$J133&gt;B$2,'ProductSprint Backlog'!$I133&lt;=B$2), 'ProductSprint Backlog'!$F133 / MAX(1, 'ProductSprint Backlog'!$J133-'ProductSprint Backlog'!$I133), AND('ProductSprint Backlog'!$J133=B$2,'ProductSprint Backlog'!$I133=B$2), 'ProductSprint Backlog'!$F133, TRUE, 0)</f>
        <v>0</v>
      </c>
      <c r="C133" s="4" cm="1">
        <f t="array" ref="C133">_xlfn.IFS('ProductSprint Backlog'!$F133="", "", AND('ProductSprint Backlog'!$J133&gt;C$2,'ProductSprint Backlog'!$I133&lt;=C$2), 'ProductSprint Backlog'!$F133 / MAX(1, 'ProductSprint Backlog'!$J133-'ProductSprint Backlog'!$I133), AND('ProductSprint Backlog'!$J133=C$2,'ProductSprint Backlog'!$I133=C$2), 'ProductSprint Backlog'!$F133, TRUE, 0)</f>
        <v>0</v>
      </c>
      <c r="D133" s="4" cm="1">
        <f t="array" ref="D133">_xlfn.IFS('ProductSprint Backlog'!$F133="", "", AND('ProductSprint Backlog'!$J133&gt;D$2,'ProductSprint Backlog'!$I133&lt;=D$2), 'ProductSprint Backlog'!$F133 / MAX(1, 'ProductSprint Backlog'!$J133-'ProductSprint Backlog'!$I133), AND('ProductSprint Backlog'!$J133=D$2,'ProductSprint Backlog'!$I133=D$2), 'ProductSprint Backlog'!$F133, TRUE, 0)</f>
        <v>0</v>
      </c>
      <c r="E133" s="4" cm="1">
        <f t="array" ref="E133">_xlfn.IFS('ProductSprint Backlog'!$F133="", "", AND('ProductSprint Backlog'!$J133&gt;E$2,'ProductSprint Backlog'!$I133&lt;=E$2), 'ProductSprint Backlog'!$F133 / MAX(1, 'ProductSprint Backlog'!$J133-'ProductSprint Backlog'!$I133), AND('ProductSprint Backlog'!$J133=E$2,'ProductSprint Backlog'!$I133=E$2), 'ProductSprint Backlog'!$F133, TRUE, 0)</f>
        <v>0</v>
      </c>
      <c r="F133" s="4" cm="1">
        <f t="array" ref="F133">_xlfn.IFS('ProductSprint Backlog'!$F133="", "", AND('ProductSprint Backlog'!$J133&gt;F$2,'ProductSprint Backlog'!$I133&lt;=F$2), 'ProductSprint Backlog'!$F133 / MAX(1, 'ProductSprint Backlog'!$J133-'ProductSprint Backlog'!$I133), AND('ProductSprint Backlog'!$J133=F$2,'ProductSprint Backlog'!$I133=F$2), 'ProductSprint Backlog'!$F133, TRUE, 0)</f>
        <v>0</v>
      </c>
      <c r="G133" s="4" cm="1">
        <f t="array" ref="G133">_xlfn.IFS('ProductSprint Backlog'!$F133="", "", AND('ProductSprint Backlog'!$J133&gt;G$2,'ProductSprint Backlog'!$I133&lt;=G$2), 'ProductSprint Backlog'!$F133 / MAX(1, 'ProductSprint Backlog'!$J133-'ProductSprint Backlog'!$I133), AND('ProductSprint Backlog'!$J133=G$2,'ProductSprint Backlog'!$I133=G$2), 'ProductSprint Backlog'!$F133, TRUE, 0)</f>
        <v>0</v>
      </c>
      <c r="H133" s="4" cm="1">
        <f t="array" ref="H133">_xlfn.IFS('ProductSprint Backlog'!$F133="", "", AND('ProductSprint Backlog'!$J133&gt;H$2,'ProductSprint Backlog'!$I133&lt;=H$2), 'ProductSprint Backlog'!$F133 / MAX(1, 'ProductSprint Backlog'!$J133-'ProductSprint Backlog'!$I133), AND('ProductSprint Backlog'!$J133=H$2,'ProductSprint Backlog'!$I133=H$2), 'ProductSprint Backlog'!$F133, TRUE, 0)</f>
        <v>0</v>
      </c>
      <c r="I133" s="4" cm="1">
        <f t="array" ref="I133">_xlfn.IFS('ProductSprint Backlog'!$F133="", "", AND('ProductSprint Backlog'!$J133&gt;I$2,'ProductSprint Backlog'!$I133&lt;=I$2), 'ProductSprint Backlog'!$F133 / MAX(1, 'ProductSprint Backlog'!$J133-'ProductSprint Backlog'!$I133), AND('ProductSprint Backlog'!$J133=I$2,'ProductSprint Backlog'!$I133=I$2), 'ProductSprint Backlog'!$F133, TRUE, 0)</f>
        <v>0</v>
      </c>
      <c r="J133" s="4" cm="1">
        <f t="array" ref="J133">_xlfn.IFS('ProductSprint Backlog'!$F133="", "", AND('ProductSprint Backlog'!$J133&gt;J$2,'ProductSprint Backlog'!$I133&lt;=J$2), 'ProductSprint Backlog'!$F133 / MAX(1, 'ProductSprint Backlog'!$J133-'ProductSprint Backlog'!$I133), AND('ProductSprint Backlog'!$J133=J$2,'ProductSprint Backlog'!$I133=J$2), 'ProductSprint Backlog'!$F133, TRUE, 0)</f>
        <v>0</v>
      </c>
      <c r="K133" s="4" cm="1">
        <f t="array" ref="K133">_xlfn.IFS('ProductSprint Backlog'!$F133="", "", AND('ProductSprint Backlog'!$J133&gt;K$2,'ProductSprint Backlog'!$I133&lt;=K$2), 'ProductSprint Backlog'!$F133 / MAX(1, 'ProductSprint Backlog'!$J133-'ProductSprint Backlog'!$I133), AND('ProductSprint Backlog'!$J133=K$2,'ProductSprint Backlog'!$I133=K$2), 'ProductSprint Backlog'!$F133, TRUE, 0)</f>
        <v>0</v>
      </c>
      <c r="L133" s="4" cm="1">
        <f t="array" ref="L133">_xlfn.IFS('ProductSprint Backlog'!$F133="", "", AND('ProductSprint Backlog'!$J133&gt;L$2,'ProductSprint Backlog'!$I133&lt;=L$2), 'ProductSprint Backlog'!$F133 / MAX(1, 'ProductSprint Backlog'!$J133-'ProductSprint Backlog'!$I133), AND('ProductSprint Backlog'!$J133=L$2,'ProductSprint Backlog'!$I133=L$2), 'ProductSprint Backlog'!$F133, TRUE, 0)</f>
        <v>0</v>
      </c>
      <c r="M133" s="4" cm="1">
        <f t="array" ref="M133">_xlfn.IFS('ProductSprint Backlog'!$F133="", "", AND('ProductSprint Backlog'!$J133&gt;M$2,'ProductSprint Backlog'!$I133&lt;=M$2), 'ProductSprint Backlog'!$F133 / MAX(1, 'ProductSprint Backlog'!$J133-'ProductSprint Backlog'!$I133), AND('ProductSprint Backlog'!$J133=M$2,'ProductSprint Backlog'!$I133=M$2), 'ProductSprint Backlog'!$F133, TRUE, 0)</f>
        <v>0</v>
      </c>
      <c r="N133" s="4" cm="1">
        <f t="array" ref="N133">_xlfn.IFS('ProductSprint Backlog'!$F133="", "", AND('ProductSprint Backlog'!$J133&gt;N$2,'ProductSprint Backlog'!$I133&lt;=N$2), 'ProductSprint Backlog'!$F133 / MAX(1, 'ProductSprint Backlog'!$J133-'ProductSprint Backlog'!$I133), AND('ProductSprint Backlog'!$J133=N$2,'ProductSprint Backlog'!$I133=N$2), 'ProductSprint Backlog'!$F133, TRUE, 0)</f>
        <v>0</v>
      </c>
      <c r="O133" s="4" cm="1">
        <f t="array" ref="O133">_xlfn.IFS('ProductSprint Backlog'!$F133="", "", AND('ProductSprint Backlog'!$J133&gt;O$2,'ProductSprint Backlog'!$I133&lt;=O$2), 'ProductSprint Backlog'!$F133 / MAX(1, 'ProductSprint Backlog'!$J133-'ProductSprint Backlog'!$I133), AND('ProductSprint Backlog'!$J133=O$2,'ProductSprint Backlog'!$I133=O$2), 'ProductSprint Backlog'!$F133, TRUE, 0)</f>
        <v>0</v>
      </c>
      <c r="P133" s="4" cm="1">
        <f t="array" ref="P133">_xlfn.IFS('ProductSprint Backlog'!$F133="", "", AND('ProductSprint Backlog'!$J133&gt;P$2,'ProductSprint Backlog'!$I133&lt;=P$2), 'ProductSprint Backlog'!$F133 / MAX(1, 'ProductSprint Backlog'!$J133-'ProductSprint Backlog'!$I133), AND('ProductSprint Backlog'!$J133=P$2,'ProductSprint Backlog'!$I133=P$2), 'ProductSprint Backlog'!$F133, TRUE, 0)</f>
        <v>0</v>
      </c>
      <c r="Q133" s="4" cm="1">
        <f t="array" ref="Q133">_xlfn.IFS('ProductSprint Backlog'!$F133="", "", AND('ProductSprint Backlog'!$J133&gt;Q$2,'ProductSprint Backlog'!$I133&lt;=Q$2), 'ProductSprint Backlog'!$F133 / MAX(1, 'ProductSprint Backlog'!$J133-'ProductSprint Backlog'!$I133), AND('ProductSprint Backlog'!$J133=Q$2,'ProductSprint Backlog'!$I133=Q$2), 'ProductSprint Backlog'!$F133, TRUE, 0)</f>
        <v>0</v>
      </c>
    </row>
    <row r="134" spans="2:17" x14ac:dyDescent="0.2">
      <c r="B134" s="4" cm="1">
        <f t="array" ref="B134">_xlfn.IFS('ProductSprint Backlog'!$F134="", "", AND('ProductSprint Backlog'!$J134&gt;B$2,'ProductSprint Backlog'!$I134&lt;=B$2), 'ProductSprint Backlog'!$F134 / MAX(1, 'ProductSprint Backlog'!$J134-'ProductSprint Backlog'!$I134), AND('ProductSprint Backlog'!$J134=B$2,'ProductSprint Backlog'!$I134=B$2), 'ProductSprint Backlog'!$F134, TRUE, 0)</f>
        <v>0</v>
      </c>
      <c r="C134" s="4" cm="1">
        <f t="array" ref="C134">_xlfn.IFS('ProductSprint Backlog'!$F134="", "", AND('ProductSprint Backlog'!$J134&gt;C$2,'ProductSprint Backlog'!$I134&lt;=C$2), 'ProductSprint Backlog'!$F134 / MAX(1, 'ProductSprint Backlog'!$J134-'ProductSprint Backlog'!$I134), AND('ProductSprint Backlog'!$J134=C$2,'ProductSprint Backlog'!$I134=C$2), 'ProductSprint Backlog'!$F134, TRUE, 0)</f>
        <v>0</v>
      </c>
      <c r="D134" s="4" cm="1">
        <f t="array" ref="D134">_xlfn.IFS('ProductSprint Backlog'!$F134="", "", AND('ProductSprint Backlog'!$J134&gt;D$2,'ProductSprint Backlog'!$I134&lt;=D$2), 'ProductSprint Backlog'!$F134 / MAX(1, 'ProductSprint Backlog'!$J134-'ProductSprint Backlog'!$I134), AND('ProductSprint Backlog'!$J134=D$2,'ProductSprint Backlog'!$I134=D$2), 'ProductSprint Backlog'!$F134, TRUE, 0)</f>
        <v>0</v>
      </c>
      <c r="E134" s="4" cm="1">
        <f t="array" ref="E134">_xlfn.IFS('ProductSprint Backlog'!$F134="", "", AND('ProductSprint Backlog'!$J134&gt;E$2,'ProductSprint Backlog'!$I134&lt;=E$2), 'ProductSprint Backlog'!$F134 / MAX(1, 'ProductSprint Backlog'!$J134-'ProductSprint Backlog'!$I134), AND('ProductSprint Backlog'!$J134=E$2,'ProductSprint Backlog'!$I134=E$2), 'ProductSprint Backlog'!$F134, TRUE, 0)</f>
        <v>0</v>
      </c>
      <c r="F134" s="4" cm="1">
        <f t="array" ref="F134">_xlfn.IFS('ProductSprint Backlog'!$F134="", "", AND('ProductSprint Backlog'!$J134&gt;F$2,'ProductSprint Backlog'!$I134&lt;=F$2), 'ProductSprint Backlog'!$F134 / MAX(1, 'ProductSprint Backlog'!$J134-'ProductSprint Backlog'!$I134), AND('ProductSprint Backlog'!$J134=F$2,'ProductSprint Backlog'!$I134=F$2), 'ProductSprint Backlog'!$F134, TRUE, 0)</f>
        <v>0</v>
      </c>
      <c r="G134" s="4" cm="1">
        <f t="array" ref="G134">_xlfn.IFS('ProductSprint Backlog'!$F134="", "", AND('ProductSprint Backlog'!$J134&gt;G$2,'ProductSprint Backlog'!$I134&lt;=G$2), 'ProductSprint Backlog'!$F134 / MAX(1, 'ProductSprint Backlog'!$J134-'ProductSprint Backlog'!$I134), AND('ProductSprint Backlog'!$J134=G$2,'ProductSprint Backlog'!$I134=G$2), 'ProductSprint Backlog'!$F134, TRUE, 0)</f>
        <v>0</v>
      </c>
      <c r="H134" s="4" cm="1">
        <f t="array" ref="H134">_xlfn.IFS('ProductSprint Backlog'!$F134="", "", AND('ProductSprint Backlog'!$J134&gt;H$2,'ProductSprint Backlog'!$I134&lt;=H$2), 'ProductSprint Backlog'!$F134 / MAX(1, 'ProductSprint Backlog'!$J134-'ProductSprint Backlog'!$I134), AND('ProductSprint Backlog'!$J134=H$2,'ProductSprint Backlog'!$I134=H$2), 'ProductSprint Backlog'!$F134, TRUE, 0)</f>
        <v>0</v>
      </c>
      <c r="I134" s="4" cm="1">
        <f t="array" ref="I134">_xlfn.IFS('ProductSprint Backlog'!$F134="", "", AND('ProductSprint Backlog'!$J134&gt;I$2,'ProductSprint Backlog'!$I134&lt;=I$2), 'ProductSprint Backlog'!$F134 / MAX(1, 'ProductSprint Backlog'!$J134-'ProductSprint Backlog'!$I134), AND('ProductSprint Backlog'!$J134=I$2,'ProductSprint Backlog'!$I134=I$2), 'ProductSprint Backlog'!$F134, TRUE, 0)</f>
        <v>0</v>
      </c>
      <c r="J134" s="4" cm="1">
        <f t="array" ref="J134">_xlfn.IFS('ProductSprint Backlog'!$F134="", "", AND('ProductSprint Backlog'!$J134&gt;J$2,'ProductSprint Backlog'!$I134&lt;=J$2), 'ProductSprint Backlog'!$F134 / MAX(1, 'ProductSprint Backlog'!$J134-'ProductSprint Backlog'!$I134), AND('ProductSprint Backlog'!$J134=J$2,'ProductSprint Backlog'!$I134=J$2), 'ProductSprint Backlog'!$F134, TRUE, 0)</f>
        <v>0</v>
      </c>
      <c r="K134" s="4" cm="1">
        <f t="array" ref="K134">_xlfn.IFS('ProductSprint Backlog'!$F134="", "", AND('ProductSprint Backlog'!$J134&gt;K$2,'ProductSprint Backlog'!$I134&lt;=K$2), 'ProductSprint Backlog'!$F134 / MAX(1, 'ProductSprint Backlog'!$J134-'ProductSprint Backlog'!$I134), AND('ProductSprint Backlog'!$J134=K$2,'ProductSprint Backlog'!$I134=K$2), 'ProductSprint Backlog'!$F134, TRUE, 0)</f>
        <v>0</v>
      </c>
      <c r="L134" s="4" cm="1">
        <f t="array" ref="L134">_xlfn.IFS('ProductSprint Backlog'!$F134="", "", AND('ProductSprint Backlog'!$J134&gt;L$2,'ProductSprint Backlog'!$I134&lt;=L$2), 'ProductSprint Backlog'!$F134 / MAX(1, 'ProductSprint Backlog'!$J134-'ProductSprint Backlog'!$I134), AND('ProductSprint Backlog'!$J134=L$2,'ProductSprint Backlog'!$I134=L$2), 'ProductSprint Backlog'!$F134, TRUE, 0)</f>
        <v>0</v>
      </c>
      <c r="M134" s="4" cm="1">
        <f t="array" ref="M134">_xlfn.IFS('ProductSprint Backlog'!$F134="", "", AND('ProductSprint Backlog'!$J134&gt;M$2,'ProductSprint Backlog'!$I134&lt;=M$2), 'ProductSprint Backlog'!$F134 / MAX(1, 'ProductSprint Backlog'!$J134-'ProductSprint Backlog'!$I134), AND('ProductSprint Backlog'!$J134=M$2,'ProductSprint Backlog'!$I134=M$2), 'ProductSprint Backlog'!$F134, TRUE, 0)</f>
        <v>0</v>
      </c>
      <c r="N134" s="4" cm="1">
        <f t="array" ref="N134">_xlfn.IFS('ProductSprint Backlog'!$F134="", "", AND('ProductSprint Backlog'!$J134&gt;N$2,'ProductSprint Backlog'!$I134&lt;=N$2), 'ProductSprint Backlog'!$F134 / MAX(1, 'ProductSprint Backlog'!$J134-'ProductSprint Backlog'!$I134), AND('ProductSprint Backlog'!$J134=N$2,'ProductSprint Backlog'!$I134=N$2), 'ProductSprint Backlog'!$F134, TRUE, 0)</f>
        <v>0</v>
      </c>
      <c r="O134" s="4" cm="1">
        <f t="array" ref="O134">_xlfn.IFS('ProductSprint Backlog'!$F134="", "", AND('ProductSprint Backlog'!$J134&gt;O$2,'ProductSprint Backlog'!$I134&lt;=O$2), 'ProductSprint Backlog'!$F134 / MAX(1, 'ProductSprint Backlog'!$J134-'ProductSprint Backlog'!$I134), AND('ProductSprint Backlog'!$J134=O$2,'ProductSprint Backlog'!$I134=O$2), 'ProductSprint Backlog'!$F134, TRUE, 0)</f>
        <v>0</v>
      </c>
      <c r="P134" s="4" cm="1">
        <f t="array" ref="P134">_xlfn.IFS('ProductSprint Backlog'!$F134="", "", AND('ProductSprint Backlog'!$J134&gt;P$2,'ProductSprint Backlog'!$I134&lt;=P$2), 'ProductSprint Backlog'!$F134 / MAX(1, 'ProductSprint Backlog'!$J134-'ProductSprint Backlog'!$I134), AND('ProductSprint Backlog'!$J134=P$2,'ProductSprint Backlog'!$I134=P$2), 'ProductSprint Backlog'!$F134, TRUE, 0)</f>
        <v>0</v>
      </c>
      <c r="Q134" s="4" cm="1">
        <f t="array" ref="Q134">_xlfn.IFS('ProductSprint Backlog'!$F134="", "", AND('ProductSprint Backlog'!$J134&gt;Q$2,'ProductSprint Backlog'!$I134&lt;=Q$2), 'ProductSprint Backlog'!$F134 / MAX(1, 'ProductSprint Backlog'!$J134-'ProductSprint Backlog'!$I134), AND('ProductSprint Backlog'!$J134=Q$2,'ProductSprint Backlog'!$I134=Q$2), 'ProductSprint Backlog'!$F134, TRUE, 0)</f>
        <v>0</v>
      </c>
    </row>
    <row r="135" spans="2:17" x14ac:dyDescent="0.2">
      <c r="B135" s="4" cm="1">
        <f t="array" ref="B135">_xlfn.IFS('ProductSprint Backlog'!$F135="", "", AND('ProductSprint Backlog'!$J135&gt;B$2,'ProductSprint Backlog'!$I135&lt;=B$2), 'ProductSprint Backlog'!$F135 / MAX(1, 'ProductSprint Backlog'!$J135-'ProductSprint Backlog'!$I135), AND('ProductSprint Backlog'!$J135=B$2,'ProductSprint Backlog'!$I135=B$2), 'ProductSprint Backlog'!$F135, TRUE, 0)</f>
        <v>0</v>
      </c>
      <c r="C135" s="4" cm="1">
        <f t="array" ref="C135">_xlfn.IFS('ProductSprint Backlog'!$F135="", "", AND('ProductSprint Backlog'!$J135&gt;C$2,'ProductSprint Backlog'!$I135&lt;=C$2), 'ProductSprint Backlog'!$F135 / MAX(1, 'ProductSprint Backlog'!$J135-'ProductSprint Backlog'!$I135), AND('ProductSprint Backlog'!$J135=C$2,'ProductSprint Backlog'!$I135=C$2), 'ProductSprint Backlog'!$F135, TRUE, 0)</f>
        <v>0</v>
      </c>
      <c r="D135" s="4" cm="1">
        <f t="array" ref="D135">_xlfn.IFS('ProductSprint Backlog'!$F135="", "", AND('ProductSprint Backlog'!$J135&gt;D$2,'ProductSprint Backlog'!$I135&lt;=D$2), 'ProductSprint Backlog'!$F135 / MAX(1, 'ProductSprint Backlog'!$J135-'ProductSprint Backlog'!$I135), AND('ProductSprint Backlog'!$J135=D$2,'ProductSprint Backlog'!$I135=D$2), 'ProductSprint Backlog'!$F135, TRUE, 0)</f>
        <v>0</v>
      </c>
      <c r="E135" s="4" cm="1">
        <f t="array" ref="E135">_xlfn.IFS('ProductSprint Backlog'!$F135="", "", AND('ProductSprint Backlog'!$J135&gt;E$2,'ProductSprint Backlog'!$I135&lt;=E$2), 'ProductSprint Backlog'!$F135 / MAX(1, 'ProductSprint Backlog'!$J135-'ProductSprint Backlog'!$I135), AND('ProductSprint Backlog'!$J135=E$2,'ProductSprint Backlog'!$I135=E$2), 'ProductSprint Backlog'!$F135, TRUE, 0)</f>
        <v>0</v>
      </c>
      <c r="F135" s="4" cm="1">
        <f t="array" ref="F135">_xlfn.IFS('ProductSprint Backlog'!$F135="", "", AND('ProductSprint Backlog'!$J135&gt;F$2,'ProductSprint Backlog'!$I135&lt;=F$2), 'ProductSprint Backlog'!$F135 / MAX(1, 'ProductSprint Backlog'!$J135-'ProductSprint Backlog'!$I135), AND('ProductSprint Backlog'!$J135=F$2,'ProductSprint Backlog'!$I135=F$2), 'ProductSprint Backlog'!$F135, TRUE, 0)</f>
        <v>0</v>
      </c>
      <c r="G135" s="4" cm="1">
        <f t="array" ref="G135">_xlfn.IFS('ProductSprint Backlog'!$F135="", "", AND('ProductSprint Backlog'!$J135&gt;G$2,'ProductSprint Backlog'!$I135&lt;=G$2), 'ProductSprint Backlog'!$F135 / MAX(1, 'ProductSprint Backlog'!$J135-'ProductSprint Backlog'!$I135), AND('ProductSprint Backlog'!$J135=G$2,'ProductSprint Backlog'!$I135=G$2), 'ProductSprint Backlog'!$F135, TRUE, 0)</f>
        <v>0</v>
      </c>
      <c r="H135" s="4" cm="1">
        <f t="array" ref="H135">_xlfn.IFS('ProductSprint Backlog'!$F135="", "", AND('ProductSprint Backlog'!$J135&gt;H$2,'ProductSprint Backlog'!$I135&lt;=H$2), 'ProductSprint Backlog'!$F135 / MAX(1, 'ProductSprint Backlog'!$J135-'ProductSprint Backlog'!$I135), AND('ProductSprint Backlog'!$J135=H$2,'ProductSprint Backlog'!$I135=H$2), 'ProductSprint Backlog'!$F135, TRUE, 0)</f>
        <v>0</v>
      </c>
      <c r="I135" s="4" cm="1">
        <f t="array" ref="I135">_xlfn.IFS('ProductSprint Backlog'!$F135="", "", AND('ProductSprint Backlog'!$J135&gt;I$2,'ProductSprint Backlog'!$I135&lt;=I$2), 'ProductSprint Backlog'!$F135 / MAX(1, 'ProductSprint Backlog'!$J135-'ProductSprint Backlog'!$I135), AND('ProductSprint Backlog'!$J135=I$2,'ProductSprint Backlog'!$I135=I$2), 'ProductSprint Backlog'!$F135, TRUE, 0)</f>
        <v>0</v>
      </c>
      <c r="J135" s="4" cm="1">
        <f t="array" ref="J135">_xlfn.IFS('ProductSprint Backlog'!$F135="", "", AND('ProductSprint Backlog'!$J135&gt;J$2,'ProductSprint Backlog'!$I135&lt;=J$2), 'ProductSprint Backlog'!$F135 / MAX(1, 'ProductSprint Backlog'!$J135-'ProductSprint Backlog'!$I135), AND('ProductSprint Backlog'!$J135=J$2,'ProductSprint Backlog'!$I135=J$2), 'ProductSprint Backlog'!$F135, TRUE, 0)</f>
        <v>0</v>
      </c>
      <c r="K135" s="4" cm="1">
        <f t="array" ref="K135">_xlfn.IFS('ProductSprint Backlog'!$F135="", "", AND('ProductSprint Backlog'!$J135&gt;K$2,'ProductSprint Backlog'!$I135&lt;=K$2), 'ProductSprint Backlog'!$F135 / MAX(1, 'ProductSprint Backlog'!$J135-'ProductSprint Backlog'!$I135), AND('ProductSprint Backlog'!$J135=K$2,'ProductSprint Backlog'!$I135=K$2), 'ProductSprint Backlog'!$F135, TRUE, 0)</f>
        <v>0</v>
      </c>
      <c r="L135" s="4" cm="1">
        <f t="array" ref="L135">_xlfn.IFS('ProductSprint Backlog'!$F135="", "", AND('ProductSprint Backlog'!$J135&gt;L$2,'ProductSprint Backlog'!$I135&lt;=L$2), 'ProductSprint Backlog'!$F135 / MAX(1, 'ProductSprint Backlog'!$J135-'ProductSprint Backlog'!$I135), AND('ProductSprint Backlog'!$J135=L$2,'ProductSprint Backlog'!$I135=L$2), 'ProductSprint Backlog'!$F135, TRUE, 0)</f>
        <v>0</v>
      </c>
      <c r="M135" s="4" cm="1">
        <f t="array" ref="M135">_xlfn.IFS('ProductSprint Backlog'!$F135="", "", AND('ProductSprint Backlog'!$J135&gt;M$2,'ProductSprint Backlog'!$I135&lt;=M$2), 'ProductSprint Backlog'!$F135 / MAX(1, 'ProductSprint Backlog'!$J135-'ProductSprint Backlog'!$I135), AND('ProductSprint Backlog'!$J135=M$2,'ProductSprint Backlog'!$I135=M$2), 'ProductSprint Backlog'!$F135, TRUE, 0)</f>
        <v>0</v>
      </c>
      <c r="N135" s="4" cm="1">
        <f t="array" ref="N135">_xlfn.IFS('ProductSprint Backlog'!$F135="", "", AND('ProductSprint Backlog'!$J135&gt;N$2,'ProductSprint Backlog'!$I135&lt;=N$2), 'ProductSprint Backlog'!$F135 / MAX(1, 'ProductSprint Backlog'!$J135-'ProductSprint Backlog'!$I135), AND('ProductSprint Backlog'!$J135=N$2,'ProductSprint Backlog'!$I135=N$2), 'ProductSprint Backlog'!$F135, TRUE, 0)</f>
        <v>0</v>
      </c>
      <c r="O135" s="4" cm="1">
        <f t="array" ref="O135">_xlfn.IFS('ProductSprint Backlog'!$F135="", "", AND('ProductSprint Backlog'!$J135&gt;O$2,'ProductSprint Backlog'!$I135&lt;=O$2), 'ProductSprint Backlog'!$F135 / MAX(1, 'ProductSprint Backlog'!$J135-'ProductSprint Backlog'!$I135), AND('ProductSprint Backlog'!$J135=O$2,'ProductSprint Backlog'!$I135=O$2), 'ProductSprint Backlog'!$F135, TRUE, 0)</f>
        <v>0</v>
      </c>
      <c r="P135" s="4" cm="1">
        <f t="array" ref="P135">_xlfn.IFS('ProductSprint Backlog'!$F135="", "", AND('ProductSprint Backlog'!$J135&gt;P$2,'ProductSprint Backlog'!$I135&lt;=P$2), 'ProductSprint Backlog'!$F135 / MAX(1, 'ProductSprint Backlog'!$J135-'ProductSprint Backlog'!$I135), AND('ProductSprint Backlog'!$J135=P$2,'ProductSprint Backlog'!$I135=P$2), 'ProductSprint Backlog'!$F135, TRUE, 0)</f>
        <v>0</v>
      </c>
      <c r="Q135" s="4" cm="1">
        <f t="array" ref="Q135">_xlfn.IFS('ProductSprint Backlog'!$F135="", "", AND('ProductSprint Backlog'!$J135&gt;Q$2,'ProductSprint Backlog'!$I135&lt;=Q$2), 'ProductSprint Backlog'!$F135 / MAX(1, 'ProductSprint Backlog'!$J135-'ProductSprint Backlog'!$I135), AND('ProductSprint Backlog'!$J135=Q$2,'ProductSprint Backlog'!$I135=Q$2), 'ProductSprint Backlog'!$F135, TRUE, 0)</f>
        <v>0</v>
      </c>
    </row>
    <row r="136" spans="2:17" x14ac:dyDescent="0.2">
      <c r="B136" s="4" cm="1">
        <f t="array" ref="B136">_xlfn.IFS('ProductSprint Backlog'!$F136="", "", AND('ProductSprint Backlog'!$J136&gt;B$2,'ProductSprint Backlog'!$I136&lt;=B$2), 'ProductSprint Backlog'!$F136 / MAX(1, 'ProductSprint Backlog'!$J136-'ProductSprint Backlog'!$I136), AND('ProductSprint Backlog'!$J136=B$2,'ProductSprint Backlog'!$I136=B$2), 'ProductSprint Backlog'!$F136, TRUE, 0)</f>
        <v>0</v>
      </c>
      <c r="C136" s="4" cm="1">
        <f t="array" ref="C136">_xlfn.IFS('ProductSprint Backlog'!$F136="", "", AND('ProductSprint Backlog'!$J136&gt;C$2,'ProductSprint Backlog'!$I136&lt;=C$2), 'ProductSprint Backlog'!$F136 / MAX(1, 'ProductSprint Backlog'!$J136-'ProductSprint Backlog'!$I136), AND('ProductSprint Backlog'!$J136=C$2,'ProductSprint Backlog'!$I136=C$2), 'ProductSprint Backlog'!$F136, TRUE, 0)</f>
        <v>0</v>
      </c>
      <c r="D136" s="4" cm="1">
        <f t="array" ref="D136">_xlfn.IFS('ProductSprint Backlog'!$F136="", "", AND('ProductSprint Backlog'!$J136&gt;D$2,'ProductSprint Backlog'!$I136&lt;=D$2), 'ProductSprint Backlog'!$F136 / MAX(1, 'ProductSprint Backlog'!$J136-'ProductSprint Backlog'!$I136), AND('ProductSprint Backlog'!$J136=D$2,'ProductSprint Backlog'!$I136=D$2), 'ProductSprint Backlog'!$F136, TRUE, 0)</f>
        <v>0</v>
      </c>
      <c r="E136" s="4" cm="1">
        <f t="array" ref="E136">_xlfn.IFS('ProductSprint Backlog'!$F136="", "", AND('ProductSprint Backlog'!$J136&gt;E$2,'ProductSprint Backlog'!$I136&lt;=E$2), 'ProductSprint Backlog'!$F136 / MAX(1, 'ProductSprint Backlog'!$J136-'ProductSprint Backlog'!$I136), AND('ProductSprint Backlog'!$J136=E$2,'ProductSprint Backlog'!$I136=E$2), 'ProductSprint Backlog'!$F136, TRUE, 0)</f>
        <v>0</v>
      </c>
      <c r="F136" s="4" cm="1">
        <f t="array" ref="F136">_xlfn.IFS('ProductSprint Backlog'!$F136="", "", AND('ProductSprint Backlog'!$J136&gt;F$2,'ProductSprint Backlog'!$I136&lt;=F$2), 'ProductSprint Backlog'!$F136 / MAX(1, 'ProductSprint Backlog'!$J136-'ProductSprint Backlog'!$I136), AND('ProductSprint Backlog'!$J136=F$2,'ProductSprint Backlog'!$I136=F$2), 'ProductSprint Backlog'!$F136, TRUE, 0)</f>
        <v>0</v>
      </c>
      <c r="G136" s="4" cm="1">
        <f t="array" ref="G136">_xlfn.IFS('ProductSprint Backlog'!$F136="", "", AND('ProductSprint Backlog'!$J136&gt;G$2,'ProductSprint Backlog'!$I136&lt;=G$2), 'ProductSprint Backlog'!$F136 / MAX(1, 'ProductSprint Backlog'!$J136-'ProductSprint Backlog'!$I136), AND('ProductSprint Backlog'!$J136=G$2,'ProductSprint Backlog'!$I136=G$2), 'ProductSprint Backlog'!$F136, TRUE, 0)</f>
        <v>0</v>
      </c>
      <c r="H136" s="4" cm="1">
        <f t="array" ref="H136">_xlfn.IFS('ProductSprint Backlog'!$F136="", "", AND('ProductSprint Backlog'!$J136&gt;H$2,'ProductSprint Backlog'!$I136&lt;=H$2), 'ProductSprint Backlog'!$F136 / MAX(1, 'ProductSprint Backlog'!$J136-'ProductSprint Backlog'!$I136), AND('ProductSprint Backlog'!$J136=H$2,'ProductSprint Backlog'!$I136=H$2), 'ProductSprint Backlog'!$F136, TRUE, 0)</f>
        <v>0</v>
      </c>
      <c r="I136" s="4" cm="1">
        <f t="array" ref="I136">_xlfn.IFS('ProductSprint Backlog'!$F136="", "", AND('ProductSprint Backlog'!$J136&gt;I$2,'ProductSprint Backlog'!$I136&lt;=I$2), 'ProductSprint Backlog'!$F136 / MAX(1, 'ProductSprint Backlog'!$J136-'ProductSprint Backlog'!$I136), AND('ProductSprint Backlog'!$J136=I$2,'ProductSprint Backlog'!$I136=I$2), 'ProductSprint Backlog'!$F136, TRUE, 0)</f>
        <v>0</v>
      </c>
      <c r="J136" s="4" cm="1">
        <f t="array" ref="J136">_xlfn.IFS('ProductSprint Backlog'!$F136="", "", AND('ProductSprint Backlog'!$J136&gt;J$2,'ProductSprint Backlog'!$I136&lt;=J$2), 'ProductSprint Backlog'!$F136 / MAX(1, 'ProductSprint Backlog'!$J136-'ProductSprint Backlog'!$I136), AND('ProductSprint Backlog'!$J136=J$2,'ProductSprint Backlog'!$I136=J$2), 'ProductSprint Backlog'!$F136, TRUE, 0)</f>
        <v>0</v>
      </c>
      <c r="K136" s="4" cm="1">
        <f t="array" ref="K136">_xlfn.IFS('ProductSprint Backlog'!$F136="", "", AND('ProductSprint Backlog'!$J136&gt;K$2,'ProductSprint Backlog'!$I136&lt;=K$2), 'ProductSprint Backlog'!$F136 / MAX(1, 'ProductSprint Backlog'!$J136-'ProductSprint Backlog'!$I136), AND('ProductSprint Backlog'!$J136=K$2,'ProductSprint Backlog'!$I136=K$2), 'ProductSprint Backlog'!$F136, TRUE, 0)</f>
        <v>0</v>
      </c>
      <c r="L136" s="4" cm="1">
        <f t="array" ref="L136">_xlfn.IFS('ProductSprint Backlog'!$F136="", "", AND('ProductSprint Backlog'!$J136&gt;L$2,'ProductSprint Backlog'!$I136&lt;=L$2), 'ProductSprint Backlog'!$F136 / MAX(1, 'ProductSprint Backlog'!$J136-'ProductSprint Backlog'!$I136), AND('ProductSprint Backlog'!$J136=L$2,'ProductSprint Backlog'!$I136=L$2), 'ProductSprint Backlog'!$F136, TRUE, 0)</f>
        <v>0</v>
      </c>
      <c r="M136" s="4" cm="1">
        <f t="array" ref="M136">_xlfn.IFS('ProductSprint Backlog'!$F136="", "", AND('ProductSprint Backlog'!$J136&gt;M$2,'ProductSprint Backlog'!$I136&lt;=M$2), 'ProductSprint Backlog'!$F136 / MAX(1, 'ProductSprint Backlog'!$J136-'ProductSprint Backlog'!$I136), AND('ProductSprint Backlog'!$J136=M$2,'ProductSprint Backlog'!$I136=M$2), 'ProductSprint Backlog'!$F136, TRUE, 0)</f>
        <v>0</v>
      </c>
      <c r="N136" s="4" cm="1">
        <f t="array" ref="N136">_xlfn.IFS('ProductSprint Backlog'!$F136="", "", AND('ProductSprint Backlog'!$J136&gt;N$2,'ProductSprint Backlog'!$I136&lt;=N$2), 'ProductSprint Backlog'!$F136 / MAX(1, 'ProductSprint Backlog'!$J136-'ProductSprint Backlog'!$I136), AND('ProductSprint Backlog'!$J136=N$2,'ProductSprint Backlog'!$I136=N$2), 'ProductSprint Backlog'!$F136, TRUE, 0)</f>
        <v>0</v>
      </c>
      <c r="O136" s="4" cm="1">
        <f t="array" ref="O136">_xlfn.IFS('ProductSprint Backlog'!$F136="", "", AND('ProductSprint Backlog'!$J136&gt;O$2,'ProductSprint Backlog'!$I136&lt;=O$2), 'ProductSprint Backlog'!$F136 / MAX(1, 'ProductSprint Backlog'!$J136-'ProductSprint Backlog'!$I136), AND('ProductSprint Backlog'!$J136=O$2,'ProductSprint Backlog'!$I136=O$2), 'ProductSprint Backlog'!$F136, TRUE, 0)</f>
        <v>0</v>
      </c>
      <c r="P136" s="4" cm="1">
        <f t="array" ref="P136">_xlfn.IFS('ProductSprint Backlog'!$F136="", "", AND('ProductSprint Backlog'!$J136&gt;P$2,'ProductSprint Backlog'!$I136&lt;=P$2), 'ProductSprint Backlog'!$F136 / MAX(1, 'ProductSprint Backlog'!$J136-'ProductSprint Backlog'!$I136), AND('ProductSprint Backlog'!$J136=P$2,'ProductSprint Backlog'!$I136=P$2), 'ProductSprint Backlog'!$F136, TRUE, 0)</f>
        <v>0</v>
      </c>
      <c r="Q136" s="4" cm="1">
        <f t="array" ref="Q136">_xlfn.IFS('ProductSprint Backlog'!$F136="", "", AND('ProductSprint Backlog'!$J136&gt;Q$2,'ProductSprint Backlog'!$I136&lt;=Q$2), 'ProductSprint Backlog'!$F136 / MAX(1, 'ProductSprint Backlog'!$J136-'ProductSprint Backlog'!$I136), AND('ProductSprint Backlog'!$J136=Q$2,'ProductSprint Backlog'!$I136=Q$2), 'ProductSprint Backlog'!$F136, TRUE, 0)</f>
        <v>0</v>
      </c>
    </row>
    <row r="137" spans="2:17" x14ac:dyDescent="0.2">
      <c r="B137" s="4" cm="1">
        <f t="array" ref="B137">_xlfn.IFS('ProductSprint Backlog'!$F137="", "", AND('ProductSprint Backlog'!$J137&gt;B$2,'ProductSprint Backlog'!$I137&lt;=B$2), 'ProductSprint Backlog'!$F137 / MAX(1, 'ProductSprint Backlog'!$J137-'ProductSprint Backlog'!$I137), AND('ProductSprint Backlog'!$J137=B$2,'ProductSprint Backlog'!$I137=B$2), 'ProductSprint Backlog'!$F137, TRUE, 0)</f>
        <v>0</v>
      </c>
      <c r="C137" s="4" cm="1">
        <f t="array" ref="C137">_xlfn.IFS('ProductSprint Backlog'!$F137="", "", AND('ProductSprint Backlog'!$J137&gt;C$2,'ProductSprint Backlog'!$I137&lt;=C$2), 'ProductSprint Backlog'!$F137 / MAX(1, 'ProductSprint Backlog'!$J137-'ProductSprint Backlog'!$I137), AND('ProductSprint Backlog'!$J137=C$2,'ProductSprint Backlog'!$I137=C$2), 'ProductSprint Backlog'!$F137, TRUE, 0)</f>
        <v>0</v>
      </c>
      <c r="D137" s="4" cm="1">
        <f t="array" ref="D137">_xlfn.IFS('ProductSprint Backlog'!$F137="", "", AND('ProductSprint Backlog'!$J137&gt;D$2,'ProductSprint Backlog'!$I137&lt;=D$2), 'ProductSprint Backlog'!$F137 / MAX(1, 'ProductSprint Backlog'!$J137-'ProductSprint Backlog'!$I137), AND('ProductSprint Backlog'!$J137=D$2,'ProductSprint Backlog'!$I137=D$2), 'ProductSprint Backlog'!$F137, TRUE, 0)</f>
        <v>0</v>
      </c>
      <c r="E137" s="4" cm="1">
        <f t="array" ref="E137">_xlfn.IFS('ProductSprint Backlog'!$F137="", "", AND('ProductSprint Backlog'!$J137&gt;E$2,'ProductSprint Backlog'!$I137&lt;=E$2), 'ProductSprint Backlog'!$F137 / MAX(1, 'ProductSprint Backlog'!$J137-'ProductSprint Backlog'!$I137), AND('ProductSprint Backlog'!$J137=E$2,'ProductSprint Backlog'!$I137=E$2), 'ProductSprint Backlog'!$F137, TRUE, 0)</f>
        <v>0</v>
      </c>
      <c r="F137" s="4" cm="1">
        <f t="array" ref="F137">_xlfn.IFS('ProductSprint Backlog'!$F137="", "", AND('ProductSprint Backlog'!$J137&gt;F$2,'ProductSprint Backlog'!$I137&lt;=F$2), 'ProductSprint Backlog'!$F137 / MAX(1, 'ProductSprint Backlog'!$J137-'ProductSprint Backlog'!$I137), AND('ProductSprint Backlog'!$J137=F$2,'ProductSprint Backlog'!$I137=F$2), 'ProductSprint Backlog'!$F137, TRUE, 0)</f>
        <v>0</v>
      </c>
      <c r="G137" s="4" cm="1">
        <f t="array" ref="G137">_xlfn.IFS('ProductSprint Backlog'!$F137="", "", AND('ProductSprint Backlog'!$J137&gt;G$2,'ProductSprint Backlog'!$I137&lt;=G$2), 'ProductSprint Backlog'!$F137 / MAX(1, 'ProductSprint Backlog'!$J137-'ProductSprint Backlog'!$I137), AND('ProductSprint Backlog'!$J137=G$2,'ProductSprint Backlog'!$I137=G$2), 'ProductSprint Backlog'!$F137, TRUE, 0)</f>
        <v>0</v>
      </c>
      <c r="H137" s="4" cm="1">
        <f t="array" ref="H137">_xlfn.IFS('ProductSprint Backlog'!$F137="", "", AND('ProductSprint Backlog'!$J137&gt;H$2,'ProductSprint Backlog'!$I137&lt;=H$2), 'ProductSprint Backlog'!$F137 / MAX(1, 'ProductSprint Backlog'!$J137-'ProductSprint Backlog'!$I137), AND('ProductSprint Backlog'!$J137=H$2,'ProductSprint Backlog'!$I137=H$2), 'ProductSprint Backlog'!$F137, TRUE, 0)</f>
        <v>0</v>
      </c>
      <c r="I137" s="4" cm="1">
        <f t="array" ref="I137">_xlfn.IFS('ProductSprint Backlog'!$F137="", "", AND('ProductSprint Backlog'!$J137&gt;I$2,'ProductSprint Backlog'!$I137&lt;=I$2), 'ProductSprint Backlog'!$F137 / MAX(1, 'ProductSprint Backlog'!$J137-'ProductSprint Backlog'!$I137), AND('ProductSprint Backlog'!$J137=I$2,'ProductSprint Backlog'!$I137=I$2), 'ProductSprint Backlog'!$F137, TRUE, 0)</f>
        <v>0</v>
      </c>
      <c r="J137" s="4" cm="1">
        <f t="array" ref="J137">_xlfn.IFS('ProductSprint Backlog'!$F137="", "", AND('ProductSprint Backlog'!$J137&gt;J$2,'ProductSprint Backlog'!$I137&lt;=J$2), 'ProductSprint Backlog'!$F137 / MAX(1, 'ProductSprint Backlog'!$J137-'ProductSprint Backlog'!$I137), AND('ProductSprint Backlog'!$J137=J$2,'ProductSprint Backlog'!$I137=J$2), 'ProductSprint Backlog'!$F137, TRUE, 0)</f>
        <v>0</v>
      </c>
      <c r="K137" s="4" cm="1">
        <f t="array" ref="K137">_xlfn.IFS('ProductSprint Backlog'!$F137="", "", AND('ProductSprint Backlog'!$J137&gt;K$2,'ProductSprint Backlog'!$I137&lt;=K$2), 'ProductSprint Backlog'!$F137 / MAX(1, 'ProductSprint Backlog'!$J137-'ProductSprint Backlog'!$I137), AND('ProductSprint Backlog'!$J137=K$2,'ProductSprint Backlog'!$I137=K$2), 'ProductSprint Backlog'!$F137, TRUE, 0)</f>
        <v>0</v>
      </c>
      <c r="L137" s="4" cm="1">
        <f t="array" ref="L137">_xlfn.IFS('ProductSprint Backlog'!$F137="", "", AND('ProductSprint Backlog'!$J137&gt;L$2,'ProductSprint Backlog'!$I137&lt;=L$2), 'ProductSprint Backlog'!$F137 / MAX(1, 'ProductSprint Backlog'!$J137-'ProductSprint Backlog'!$I137), AND('ProductSprint Backlog'!$J137=L$2,'ProductSprint Backlog'!$I137=L$2), 'ProductSprint Backlog'!$F137, TRUE, 0)</f>
        <v>0</v>
      </c>
      <c r="M137" s="4" cm="1">
        <f t="array" ref="M137">_xlfn.IFS('ProductSprint Backlog'!$F137="", "", AND('ProductSprint Backlog'!$J137&gt;M$2,'ProductSprint Backlog'!$I137&lt;=M$2), 'ProductSprint Backlog'!$F137 / MAX(1, 'ProductSprint Backlog'!$J137-'ProductSprint Backlog'!$I137), AND('ProductSprint Backlog'!$J137=M$2,'ProductSprint Backlog'!$I137=M$2), 'ProductSprint Backlog'!$F137, TRUE, 0)</f>
        <v>0</v>
      </c>
      <c r="N137" s="4" cm="1">
        <f t="array" ref="N137">_xlfn.IFS('ProductSprint Backlog'!$F137="", "", AND('ProductSprint Backlog'!$J137&gt;N$2,'ProductSprint Backlog'!$I137&lt;=N$2), 'ProductSprint Backlog'!$F137 / MAX(1, 'ProductSprint Backlog'!$J137-'ProductSprint Backlog'!$I137), AND('ProductSprint Backlog'!$J137=N$2,'ProductSprint Backlog'!$I137=N$2), 'ProductSprint Backlog'!$F137, TRUE, 0)</f>
        <v>0</v>
      </c>
      <c r="O137" s="4" cm="1">
        <f t="array" ref="O137">_xlfn.IFS('ProductSprint Backlog'!$F137="", "", AND('ProductSprint Backlog'!$J137&gt;O$2,'ProductSprint Backlog'!$I137&lt;=O$2), 'ProductSprint Backlog'!$F137 / MAX(1, 'ProductSprint Backlog'!$J137-'ProductSprint Backlog'!$I137), AND('ProductSprint Backlog'!$J137=O$2,'ProductSprint Backlog'!$I137=O$2), 'ProductSprint Backlog'!$F137, TRUE, 0)</f>
        <v>0</v>
      </c>
      <c r="P137" s="4" cm="1">
        <f t="array" ref="P137">_xlfn.IFS('ProductSprint Backlog'!$F137="", "", AND('ProductSprint Backlog'!$J137&gt;P$2,'ProductSprint Backlog'!$I137&lt;=P$2), 'ProductSprint Backlog'!$F137 / MAX(1, 'ProductSprint Backlog'!$J137-'ProductSprint Backlog'!$I137), AND('ProductSprint Backlog'!$J137=P$2,'ProductSprint Backlog'!$I137=P$2), 'ProductSprint Backlog'!$F137, TRUE, 0)</f>
        <v>0</v>
      </c>
      <c r="Q137" s="4" cm="1">
        <f t="array" ref="Q137">_xlfn.IFS('ProductSprint Backlog'!$F137="", "", AND('ProductSprint Backlog'!$J137&gt;Q$2,'ProductSprint Backlog'!$I137&lt;=Q$2), 'ProductSprint Backlog'!$F137 / MAX(1, 'ProductSprint Backlog'!$J137-'ProductSprint Backlog'!$I137), AND('ProductSprint Backlog'!$J137=Q$2,'ProductSprint Backlog'!$I137=Q$2), 'ProductSprint Backlog'!$F137, TRUE, 0)</f>
        <v>0</v>
      </c>
    </row>
    <row r="138" spans="2:17" x14ac:dyDescent="0.2">
      <c r="B138" s="4" cm="1">
        <f t="array" ref="B138">_xlfn.IFS('ProductSprint Backlog'!$F138="", "", AND('ProductSprint Backlog'!$J138&gt;B$2,'ProductSprint Backlog'!$I138&lt;=B$2), 'ProductSprint Backlog'!$F138 / MAX(1, 'ProductSprint Backlog'!$J138-'ProductSprint Backlog'!$I138), AND('ProductSprint Backlog'!$J138=B$2,'ProductSprint Backlog'!$I138=B$2), 'ProductSprint Backlog'!$F138, TRUE, 0)</f>
        <v>0</v>
      </c>
      <c r="C138" s="4" cm="1">
        <f t="array" ref="C138">_xlfn.IFS('ProductSprint Backlog'!$F138="", "", AND('ProductSprint Backlog'!$J138&gt;C$2,'ProductSprint Backlog'!$I138&lt;=C$2), 'ProductSprint Backlog'!$F138 / MAX(1, 'ProductSprint Backlog'!$J138-'ProductSprint Backlog'!$I138), AND('ProductSprint Backlog'!$J138=C$2,'ProductSprint Backlog'!$I138=C$2), 'ProductSprint Backlog'!$F138, TRUE, 0)</f>
        <v>0</v>
      </c>
      <c r="D138" s="4" cm="1">
        <f t="array" ref="D138">_xlfn.IFS('ProductSprint Backlog'!$F138="", "", AND('ProductSprint Backlog'!$J138&gt;D$2,'ProductSprint Backlog'!$I138&lt;=D$2), 'ProductSprint Backlog'!$F138 / MAX(1, 'ProductSprint Backlog'!$J138-'ProductSprint Backlog'!$I138), AND('ProductSprint Backlog'!$J138=D$2,'ProductSprint Backlog'!$I138=D$2), 'ProductSprint Backlog'!$F138, TRUE, 0)</f>
        <v>0</v>
      </c>
      <c r="E138" s="4" cm="1">
        <f t="array" ref="E138">_xlfn.IFS('ProductSprint Backlog'!$F138="", "", AND('ProductSprint Backlog'!$J138&gt;E$2,'ProductSprint Backlog'!$I138&lt;=E$2), 'ProductSprint Backlog'!$F138 / MAX(1, 'ProductSprint Backlog'!$J138-'ProductSprint Backlog'!$I138), AND('ProductSprint Backlog'!$J138=E$2,'ProductSprint Backlog'!$I138=E$2), 'ProductSprint Backlog'!$F138, TRUE, 0)</f>
        <v>0</v>
      </c>
      <c r="F138" s="4" cm="1">
        <f t="array" ref="F138">_xlfn.IFS('ProductSprint Backlog'!$F138="", "", AND('ProductSprint Backlog'!$J138&gt;F$2,'ProductSprint Backlog'!$I138&lt;=F$2), 'ProductSprint Backlog'!$F138 / MAX(1, 'ProductSprint Backlog'!$J138-'ProductSprint Backlog'!$I138), AND('ProductSprint Backlog'!$J138=F$2,'ProductSprint Backlog'!$I138=F$2), 'ProductSprint Backlog'!$F138, TRUE, 0)</f>
        <v>0</v>
      </c>
      <c r="G138" s="4" cm="1">
        <f t="array" ref="G138">_xlfn.IFS('ProductSprint Backlog'!$F138="", "", AND('ProductSprint Backlog'!$J138&gt;G$2,'ProductSprint Backlog'!$I138&lt;=G$2), 'ProductSprint Backlog'!$F138 / MAX(1, 'ProductSprint Backlog'!$J138-'ProductSprint Backlog'!$I138), AND('ProductSprint Backlog'!$J138=G$2,'ProductSprint Backlog'!$I138=G$2), 'ProductSprint Backlog'!$F138, TRUE, 0)</f>
        <v>0</v>
      </c>
      <c r="H138" s="4" cm="1">
        <f t="array" ref="H138">_xlfn.IFS('ProductSprint Backlog'!$F138="", "", AND('ProductSprint Backlog'!$J138&gt;H$2,'ProductSprint Backlog'!$I138&lt;=H$2), 'ProductSprint Backlog'!$F138 / MAX(1, 'ProductSprint Backlog'!$J138-'ProductSprint Backlog'!$I138), AND('ProductSprint Backlog'!$J138=H$2,'ProductSprint Backlog'!$I138=H$2), 'ProductSprint Backlog'!$F138, TRUE, 0)</f>
        <v>0</v>
      </c>
      <c r="I138" s="4" cm="1">
        <f t="array" ref="I138">_xlfn.IFS('ProductSprint Backlog'!$F138="", "", AND('ProductSprint Backlog'!$J138&gt;I$2,'ProductSprint Backlog'!$I138&lt;=I$2), 'ProductSprint Backlog'!$F138 / MAX(1, 'ProductSprint Backlog'!$J138-'ProductSprint Backlog'!$I138), AND('ProductSprint Backlog'!$J138=I$2,'ProductSprint Backlog'!$I138=I$2), 'ProductSprint Backlog'!$F138, TRUE, 0)</f>
        <v>0</v>
      </c>
      <c r="J138" s="4" cm="1">
        <f t="array" ref="J138">_xlfn.IFS('ProductSprint Backlog'!$F138="", "", AND('ProductSprint Backlog'!$J138&gt;J$2,'ProductSprint Backlog'!$I138&lt;=J$2), 'ProductSprint Backlog'!$F138 / MAX(1, 'ProductSprint Backlog'!$J138-'ProductSprint Backlog'!$I138), AND('ProductSprint Backlog'!$J138=J$2,'ProductSprint Backlog'!$I138=J$2), 'ProductSprint Backlog'!$F138, TRUE, 0)</f>
        <v>0</v>
      </c>
      <c r="K138" s="4" cm="1">
        <f t="array" ref="K138">_xlfn.IFS('ProductSprint Backlog'!$F138="", "", AND('ProductSprint Backlog'!$J138&gt;K$2,'ProductSprint Backlog'!$I138&lt;=K$2), 'ProductSprint Backlog'!$F138 / MAX(1, 'ProductSprint Backlog'!$J138-'ProductSprint Backlog'!$I138), AND('ProductSprint Backlog'!$J138=K$2,'ProductSprint Backlog'!$I138=K$2), 'ProductSprint Backlog'!$F138, TRUE, 0)</f>
        <v>0</v>
      </c>
      <c r="L138" s="4" cm="1">
        <f t="array" ref="L138">_xlfn.IFS('ProductSprint Backlog'!$F138="", "", AND('ProductSprint Backlog'!$J138&gt;L$2,'ProductSprint Backlog'!$I138&lt;=L$2), 'ProductSprint Backlog'!$F138 / MAX(1, 'ProductSprint Backlog'!$J138-'ProductSprint Backlog'!$I138), AND('ProductSprint Backlog'!$J138=L$2,'ProductSprint Backlog'!$I138=L$2), 'ProductSprint Backlog'!$F138, TRUE, 0)</f>
        <v>0</v>
      </c>
      <c r="M138" s="4" cm="1">
        <f t="array" ref="M138">_xlfn.IFS('ProductSprint Backlog'!$F138="", "", AND('ProductSprint Backlog'!$J138&gt;M$2,'ProductSprint Backlog'!$I138&lt;=M$2), 'ProductSprint Backlog'!$F138 / MAX(1, 'ProductSprint Backlog'!$J138-'ProductSprint Backlog'!$I138), AND('ProductSprint Backlog'!$J138=M$2,'ProductSprint Backlog'!$I138=M$2), 'ProductSprint Backlog'!$F138, TRUE, 0)</f>
        <v>0</v>
      </c>
      <c r="N138" s="4" cm="1">
        <f t="array" ref="N138">_xlfn.IFS('ProductSprint Backlog'!$F138="", "", AND('ProductSprint Backlog'!$J138&gt;N$2,'ProductSprint Backlog'!$I138&lt;=N$2), 'ProductSprint Backlog'!$F138 / MAX(1, 'ProductSprint Backlog'!$J138-'ProductSprint Backlog'!$I138), AND('ProductSprint Backlog'!$J138=N$2,'ProductSprint Backlog'!$I138=N$2), 'ProductSprint Backlog'!$F138, TRUE, 0)</f>
        <v>0</v>
      </c>
      <c r="O138" s="4" cm="1">
        <f t="array" ref="O138">_xlfn.IFS('ProductSprint Backlog'!$F138="", "", AND('ProductSprint Backlog'!$J138&gt;O$2,'ProductSprint Backlog'!$I138&lt;=O$2), 'ProductSprint Backlog'!$F138 / MAX(1, 'ProductSprint Backlog'!$J138-'ProductSprint Backlog'!$I138), AND('ProductSprint Backlog'!$J138=O$2,'ProductSprint Backlog'!$I138=O$2), 'ProductSprint Backlog'!$F138, TRUE, 0)</f>
        <v>0</v>
      </c>
      <c r="P138" s="4" cm="1">
        <f t="array" ref="P138">_xlfn.IFS('ProductSprint Backlog'!$F138="", "", AND('ProductSprint Backlog'!$J138&gt;P$2,'ProductSprint Backlog'!$I138&lt;=P$2), 'ProductSprint Backlog'!$F138 / MAX(1, 'ProductSprint Backlog'!$J138-'ProductSprint Backlog'!$I138), AND('ProductSprint Backlog'!$J138=P$2,'ProductSprint Backlog'!$I138=P$2), 'ProductSprint Backlog'!$F138, TRUE, 0)</f>
        <v>0</v>
      </c>
      <c r="Q138" s="4" cm="1">
        <f t="array" ref="Q138">_xlfn.IFS('ProductSprint Backlog'!$F138="", "", AND('ProductSprint Backlog'!$J138&gt;Q$2,'ProductSprint Backlog'!$I138&lt;=Q$2), 'ProductSprint Backlog'!$F138 / MAX(1, 'ProductSprint Backlog'!$J138-'ProductSprint Backlog'!$I138), AND('ProductSprint Backlog'!$J138=Q$2,'ProductSprint Backlog'!$I138=Q$2), 'ProductSprint Backlog'!$F138, TRUE, 0)</f>
        <v>0</v>
      </c>
    </row>
    <row r="139" spans="2:17" x14ac:dyDescent="0.2">
      <c r="B139" s="4" cm="1">
        <f t="array" ref="B139">_xlfn.IFS('ProductSprint Backlog'!$F139="", "", AND('ProductSprint Backlog'!$J139&gt;B$2,'ProductSprint Backlog'!$I139&lt;=B$2), 'ProductSprint Backlog'!$F139 / MAX(1, 'ProductSprint Backlog'!$J139-'ProductSprint Backlog'!$I139), AND('ProductSprint Backlog'!$J139=B$2,'ProductSprint Backlog'!$I139=B$2), 'ProductSprint Backlog'!$F139, TRUE, 0)</f>
        <v>0</v>
      </c>
      <c r="C139" s="4" cm="1">
        <f t="array" ref="C139">_xlfn.IFS('ProductSprint Backlog'!$F139="", "", AND('ProductSprint Backlog'!$J139&gt;C$2,'ProductSprint Backlog'!$I139&lt;=C$2), 'ProductSprint Backlog'!$F139 / MAX(1, 'ProductSprint Backlog'!$J139-'ProductSprint Backlog'!$I139), AND('ProductSprint Backlog'!$J139=C$2,'ProductSprint Backlog'!$I139=C$2), 'ProductSprint Backlog'!$F139, TRUE, 0)</f>
        <v>0</v>
      </c>
      <c r="D139" s="4" cm="1">
        <f t="array" ref="D139">_xlfn.IFS('ProductSprint Backlog'!$F139="", "", AND('ProductSprint Backlog'!$J139&gt;D$2,'ProductSprint Backlog'!$I139&lt;=D$2), 'ProductSprint Backlog'!$F139 / MAX(1, 'ProductSprint Backlog'!$J139-'ProductSprint Backlog'!$I139), AND('ProductSprint Backlog'!$J139=D$2,'ProductSprint Backlog'!$I139=D$2), 'ProductSprint Backlog'!$F139, TRUE, 0)</f>
        <v>0</v>
      </c>
      <c r="E139" s="4" cm="1">
        <f t="array" ref="E139">_xlfn.IFS('ProductSprint Backlog'!$F139="", "", AND('ProductSprint Backlog'!$J139&gt;E$2,'ProductSprint Backlog'!$I139&lt;=E$2), 'ProductSprint Backlog'!$F139 / MAX(1, 'ProductSprint Backlog'!$J139-'ProductSprint Backlog'!$I139), AND('ProductSprint Backlog'!$J139=E$2,'ProductSprint Backlog'!$I139=E$2), 'ProductSprint Backlog'!$F139, TRUE, 0)</f>
        <v>0</v>
      </c>
      <c r="F139" s="4" cm="1">
        <f t="array" ref="F139">_xlfn.IFS('ProductSprint Backlog'!$F139="", "", AND('ProductSprint Backlog'!$J139&gt;F$2,'ProductSprint Backlog'!$I139&lt;=F$2), 'ProductSprint Backlog'!$F139 / MAX(1, 'ProductSprint Backlog'!$J139-'ProductSprint Backlog'!$I139), AND('ProductSprint Backlog'!$J139=F$2,'ProductSprint Backlog'!$I139=F$2), 'ProductSprint Backlog'!$F139, TRUE, 0)</f>
        <v>0</v>
      </c>
      <c r="G139" s="4" cm="1">
        <f t="array" ref="G139">_xlfn.IFS('ProductSprint Backlog'!$F139="", "", AND('ProductSprint Backlog'!$J139&gt;G$2,'ProductSprint Backlog'!$I139&lt;=G$2), 'ProductSprint Backlog'!$F139 / MAX(1, 'ProductSprint Backlog'!$J139-'ProductSprint Backlog'!$I139), AND('ProductSprint Backlog'!$J139=G$2,'ProductSprint Backlog'!$I139=G$2), 'ProductSprint Backlog'!$F139, TRUE, 0)</f>
        <v>0</v>
      </c>
      <c r="H139" s="4" cm="1">
        <f t="array" ref="H139">_xlfn.IFS('ProductSprint Backlog'!$F139="", "", AND('ProductSprint Backlog'!$J139&gt;H$2,'ProductSprint Backlog'!$I139&lt;=H$2), 'ProductSprint Backlog'!$F139 / MAX(1, 'ProductSprint Backlog'!$J139-'ProductSprint Backlog'!$I139), AND('ProductSprint Backlog'!$J139=H$2,'ProductSprint Backlog'!$I139=H$2), 'ProductSprint Backlog'!$F139, TRUE, 0)</f>
        <v>0</v>
      </c>
      <c r="I139" s="4" cm="1">
        <f t="array" ref="I139">_xlfn.IFS('ProductSprint Backlog'!$F139="", "", AND('ProductSprint Backlog'!$J139&gt;I$2,'ProductSprint Backlog'!$I139&lt;=I$2), 'ProductSprint Backlog'!$F139 / MAX(1, 'ProductSprint Backlog'!$J139-'ProductSprint Backlog'!$I139), AND('ProductSprint Backlog'!$J139=I$2,'ProductSprint Backlog'!$I139=I$2), 'ProductSprint Backlog'!$F139, TRUE, 0)</f>
        <v>0</v>
      </c>
      <c r="J139" s="4" cm="1">
        <f t="array" ref="J139">_xlfn.IFS('ProductSprint Backlog'!$F139="", "", AND('ProductSprint Backlog'!$J139&gt;J$2,'ProductSprint Backlog'!$I139&lt;=J$2), 'ProductSprint Backlog'!$F139 / MAX(1, 'ProductSprint Backlog'!$J139-'ProductSprint Backlog'!$I139), AND('ProductSprint Backlog'!$J139=J$2,'ProductSprint Backlog'!$I139=J$2), 'ProductSprint Backlog'!$F139, TRUE, 0)</f>
        <v>0</v>
      </c>
      <c r="K139" s="4" cm="1">
        <f t="array" ref="K139">_xlfn.IFS('ProductSprint Backlog'!$F139="", "", AND('ProductSprint Backlog'!$J139&gt;K$2,'ProductSprint Backlog'!$I139&lt;=K$2), 'ProductSprint Backlog'!$F139 / MAX(1, 'ProductSprint Backlog'!$J139-'ProductSprint Backlog'!$I139), AND('ProductSprint Backlog'!$J139=K$2,'ProductSprint Backlog'!$I139=K$2), 'ProductSprint Backlog'!$F139, TRUE, 0)</f>
        <v>0</v>
      </c>
      <c r="L139" s="4" cm="1">
        <f t="array" ref="L139">_xlfn.IFS('ProductSprint Backlog'!$F139="", "", AND('ProductSprint Backlog'!$J139&gt;L$2,'ProductSprint Backlog'!$I139&lt;=L$2), 'ProductSprint Backlog'!$F139 / MAX(1, 'ProductSprint Backlog'!$J139-'ProductSprint Backlog'!$I139), AND('ProductSprint Backlog'!$J139=L$2,'ProductSprint Backlog'!$I139=L$2), 'ProductSprint Backlog'!$F139, TRUE, 0)</f>
        <v>0</v>
      </c>
      <c r="M139" s="4" cm="1">
        <f t="array" ref="M139">_xlfn.IFS('ProductSprint Backlog'!$F139="", "", AND('ProductSprint Backlog'!$J139&gt;M$2,'ProductSprint Backlog'!$I139&lt;=M$2), 'ProductSprint Backlog'!$F139 / MAX(1, 'ProductSprint Backlog'!$J139-'ProductSprint Backlog'!$I139), AND('ProductSprint Backlog'!$J139=M$2,'ProductSprint Backlog'!$I139=M$2), 'ProductSprint Backlog'!$F139, TRUE, 0)</f>
        <v>0</v>
      </c>
      <c r="N139" s="4" cm="1">
        <f t="array" ref="N139">_xlfn.IFS('ProductSprint Backlog'!$F139="", "", AND('ProductSprint Backlog'!$J139&gt;N$2,'ProductSprint Backlog'!$I139&lt;=N$2), 'ProductSprint Backlog'!$F139 / MAX(1, 'ProductSprint Backlog'!$J139-'ProductSprint Backlog'!$I139), AND('ProductSprint Backlog'!$J139=N$2,'ProductSprint Backlog'!$I139=N$2), 'ProductSprint Backlog'!$F139, TRUE, 0)</f>
        <v>0</v>
      </c>
      <c r="O139" s="4" cm="1">
        <f t="array" ref="O139">_xlfn.IFS('ProductSprint Backlog'!$F139="", "", AND('ProductSprint Backlog'!$J139&gt;O$2,'ProductSprint Backlog'!$I139&lt;=O$2), 'ProductSprint Backlog'!$F139 / MAX(1, 'ProductSprint Backlog'!$J139-'ProductSprint Backlog'!$I139), AND('ProductSprint Backlog'!$J139=O$2,'ProductSprint Backlog'!$I139=O$2), 'ProductSprint Backlog'!$F139, TRUE, 0)</f>
        <v>0</v>
      </c>
      <c r="P139" s="4" cm="1">
        <f t="array" ref="P139">_xlfn.IFS('ProductSprint Backlog'!$F139="", "", AND('ProductSprint Backlog'!$J139&gt;P$2,'ProductSprint Backlog'!$I139&lt;=P$2), 'ProductSprint Backlog'!$F139 / MAX(1, 'ProductSprint Backlog'!$J139-'ProductSprint Backlog'!$I139), AND('ProductSprint Backlog'!$J139=P$2,'ProductSprint Backlog'!$I139=P$2), 'ProductSprint Backlog'!$F139, TRUE, 0)</f>
        <v>0</v>
      </c>
      <c r="Q139" s="4" cm="1">
        <f t="array" ref="Q139">_xlfn.IFS('ProductSprint Backlog'!$F139="", "", AND('ProductSprint Backlog'!$J139&gt;Q$2,'ProductSprint Backlog'!$I139&lt;=Q$2), 'ProductSprint Backlog'!$F139 / MAX(1, 'ProductSprint Backlog'!$J139-'ProductSprint Backlog'!$I139), AND('ProductSprint Backlog'!$J139=Q$2,'ProductSprint Backlog'!$I139=Q$2), 'ProductSprint Backlog'!$F139, TRUE, 0)</f>
        <v>0</v>
      </c>
    </row>
    <row r="140" spans="2:17" x14ac:dyDescent="0.2">
      <c r="B140" s="4" cm="1">
        <f t="array" ref="B140">_xlfn.IFS('ProductSprint Backlog'!$F140="", "", AND('ProductSprint Backlog'!$J140&gt;B$2,'ProductSprint Backlog'!$I140&lt;=B$2), 'ProductSprint Backlog'!$F140 / MAX(1, 'ProductSprint Backlog'!$J140-'ProductSprint Backlog'!$I140), AND('ProductSprint Backlog'!$J140=B$2,'ProductSprint Backlog'!$I140=B$2), 'ProductSprint Backlog'!$F140, TRUE, 0)</f>
        <v>0</v>
      </c>
      <c r="C140" s="4" cm="1">
        <f t="array" ref="C140">_xlfn.IFS('ProductSprint Backlog'!$F140="", "", AND('ProductSprint Backlog'!$J140&gt;C$2,'ProductSprint Backlog'!$I140&lt;=C$2), 'ProductSprint Backlog'!$F140 / MAX(1, 'ProductSprint Backlog'!$J140-'ProductSprint Backlog'!$I140), AND('ProductSprint Backlog'!$J140=C$2,'ProductSprint Backlog'!$I140=C$2), 'ProductSprint Backlog'!$F140, TRUE, 0)</f>
        <v>0</v>
      </c>
      <c r="D140" s="4" cm="1">
        <f t="array" ref="D140">_xlfn.IFS('ProductSprint Backlog'!$F140="", "", AND('ProductSprint Backlog'!$J140&gt;D$2,'ProductSprint Backlog'!$I140&lt;=D$2), 'ProductSprint Backlog'!$F140 / MAX(1, 'ProductSprint Backlog'!$J140-'ProductSprint Backlog'!$I140), AND('ProductSprint Backlog'!$J140=D$2,'ProductSprint Backlog'!$I140=D$2), 'ProductSprint Backlog'!$F140, TRUE, 0)</f>
        <v>0</v>
      </c>
      <c r="E140" s="4" cm="1">
        <f t="array" ref="E140">_xlfn.IFS('ProductSprint Backlog'!$F140="", "", AND('ProductSprint Backlog'!$J140&gt;E$2,'ProductSprint Backlog'!$I140&lt;=E$2), 'ProductSprint Backlog'!$F140 / MAX(1, 'ProductSprint Backlog'!$J140-'ProductSprint Backlog'!$I140), AND('ProductSprint Backlog'!$J140=E$2,'ProductSprint Backlog'!$I140=E$2), 'ProductSprint Backlog'!$F140, TRUE, 0)</f>
        <v>0</v>
      </c>
      <c r="F140" s="4" cm="1">
        <f t="array" ref="F140">_xlfn.IFS('ProductSprint Backlog'!$F140="", "", AND('ProductSprint Backlog'!$J140&gt;F$2,'ProductSprint Backlog'!$I140&lt;=F$2), 'ProductSprint Backlog'!$F140 / MAX(1, 'ProductSprint Backlog'!$J140-'ProductSprint Backlog'!$I140), AND('ProductSprint Backlog'!$J140=F$2,'ProductSprint Backlog'!$I140=F$2), 'ProductSprint Backlog'!$F140, TRUE, 0)</f>
        <v>0</v>
      </c>
      <c r="G140" s="4" cm="1">
        <f t="array" ref="G140">_xlfn.IFS('ProductSprint Backlog'!$F140="", "", AND('ProductSprint Backlog'!$J140&gt;G$2,'ProductSprint Backlog'!$I140&lt;=G$2), 'ProductSprint Backlog'!$F140 / MAX(1, 'ProductSprint Backlog'!$J140-'ProductSprint Backlog'!$I140), AND('ProductSprint Backlog'!$J140=G$2,'ProductSprint Backlog'!$I140=G$2), 'ProductSprint Backlog'!$F140, TRUE, 0)</f>
        <v>0</v>
      </c>
      <c r="H140" s="4" cm="1">
        <f t="array" ref="H140">_xlfn.IFS('ProductSprint Backlog'!$F140="", "", AND('ProductSprint Backlog'!$J140&gt;H$2,'ProductSprint Backlog'!$I140&lt;=H$2), 'ProductSprint Backlog'!$F140 / MAX(1, 'ProductSprint Backlog'!$J140-'ProductSprint Backlog'!$I140), AND('ProductSprint Backlog'!$J140=H$2,'ProductSprint Backlog'!$I140=H$2), 'ProductSprint Backlog'!$F140, TRUE, 0)</f>
        <v>0</v>
      </c>
      <c r="I140" s="4" cm="1">
        <f t="array" ref="I140">_xlfn.IFS('ProductSprint Backlog'!$F140="", "", AND('ProductSprint Backlog'!$J140&gt;I$2,'ProductSprint Backlog'!$I140&lt;=I$2), 'ProductSprint Backlog'!$F140 / MAX(1, 'ProductSprint Backlog'!$J140-'ProductSprint Backlog'!$I140), AND('ProductSprint Backlog'!$J140=I$2,'ProductSprint Backlog'!$I140=I$2), 'ProductSprint Backlog'!$F140, TRUE, 0)</f>
        <v>0</v>
      </c>
      <c r="J140" s="4" cm="1">
        <f t="array" ref="J140">_xlfn.IFS('ProductSprint Backlog'!$F140="", "", AND('ProductSprint Backlog'!$J140&gt;J$2,'ProductSprint Backlog'!$I140&lt;=J$2), 'ProductSprint Backlog'!$F140 / MAX(1, 'ProductSprint Backlog'!$J140-'ProductSprint Backlog'!$I140), AND('ProductSprint Backlog'!$J140=J$2,'ProductSprint Backlog'!$I140=J$2), 'ProductSprint Backlog'!$F140, TRUE, 0)</f>
        <v>0</v>
      </c>
      <c r="K140" s="4" cm="1">
        <f t="array" ref="K140">_xlfn.IFS('ProductSprint Backlog'!$F140="", "", AND('ProductSprint Backlog'!$J140&gt;K$2,'ProductSprint Backlog'!$I140&lt;=K$2), 'ProductSprint Backlog'!$F140 / MAX(1, 'ProductSprint Backlog'!$J140-'ProductSprint Backlog'!$I140), AND('ProductSprint Backlog'!$J140=K$2,'ProductSprint Backlog'!$I140=K$2), 'ProductSprint Backlog'!$F140, TRUE, 0)</f>
        <v>0</v>
      </c>
      <c r="L140" s="4" cm="1">
        <f t="array" ref="L140">_xlfn.IFS('ProductSprint Backlog'!$F140="", "", AND('ProductSprint Backlog'!$J140&gt;L$2,'ProductSprint Backlog'!$I140&lt;=L$2), 'ProductSprint Backlog'!$F140 / MAX(1, 'ProductSprint Backlog'!$J140-'ProductSprint Backlog'!$I140), AND('ProductSprint Backlog'!$J140=L$2,'ProductSprint Backlog'!$I140=L$2), 'ProductSprint Backlog'!$F140, TRUE, 0)</f>
        <v>0</v>
      </c>
      <c r="M140" s="4" cm="1">
        <f t="array" ref="M140">_xlfn.IFS('ProductSprint Backlog'!$F140="", "", AND('ProductSprint Backlog'!$J140&gt;M$2,'ProductSprint Backlog'!$I140&lt;=M$2), 'ProductSprint Backlog'!$F140 / MAX(1, 'ProductSprint Backlog'!$J140-'ProductSprint Backlog'!$I140), AND('ProductSprint Backlog'!$J140=M$2,'ProductSprint Backlog'!$I140=M$2), 'ProductSprint Backlog'!$F140, TRUE, 0)</f>
        <v>0</v>
      </c>
      <c r="N140" s="4" cm="1">
        <f t="array" ref="N140">_xlfn.IFS('ProductSprint Backlog'!$F140="", "", AND('ProductSprint Backlog'!$J140&gt;N$2,'ProductSprint Backlog'!$I140&lt;=N$2), 'ProductSprint Backlog'!$F140 / MAX(1, 'ProductSprint Backlog'!$J140-'ProductSprint Backlog'!$I140), AND('ProductSprint Backlog'!$J140=N$2,'ProductSprint Backlog'!$I140=N$2), 'ProductSprint Backlog'!$F140, TRUE, 0)</f>
        <v>0</v>
      </c>
      <c r="O140" s="4" cm="1">
        <f t="array" ref="O140">_xlfn.IFS('ProductSprint Backlog'!$F140="", "", AND('ProductSprint Backlog'!$J140&gt;O$2,'ProductSprint Backlog'!$I140&lt;=O$2), 'ProductSprint Backlog'!$F140 / MAX(1, 'ProductSprint Backlog'!$J140-'ProductSprint Backlog'!$I140), AND('ProductSprint Backlog'!$J140=O$2,'ProductSprint Backlog'!$I140=O$2), 'ProductSprint Backlog'!$F140, TRUE, 0)</f>
        <v>0</v>
      </c>
      <c r="P140" s="4" cm="1">
        <f t="array" ref="P140">_xlfn.IFS('ProductSprint Backlog'!$F140="", "", AND('ProductSprint Backlog'!$J140&gt;P$2,'ProductSprint Backlog'!$I140&lt;=P$2), 'ProductSprint Backlog'!$F140 / MAX(1, 'ProductSprint Backlog'!$J140-'ProductSprint Backlog'!$I140), AND('ProductSprint Backlog'!$J140=P$2,'ProductSprint Backlog'!$I140=P$2), 'ProductSprint Backlog'!$F140, TRUE, 0)</f>
        <v>0</v>
      </c>
      <c r="Q140" s="4" cm="1">
        <f t="array" ref="Q140">_xlfn.IFS('ProductSprint Backlog'!$F140="", "", AND('ProductSprint Backlog'!$J140&gt;Q$2,'ProductSprint Backlog'!$I140&lt;=Q$2), 'ProductSprint Backlog'!$F140 / MAX(1, 'ProductSprint Backlog'!$J140-'ProductSprint Backlog'!$I140), AND('ProductSprint Backlog'!$J140=Q$2,'ProductSprint Backlog'!$I140=Q$2), 'ProductSprint Backlog'!$F140, TRUE, 0)</f>
        <v>0</v>
      </c>
    </row>
    <row r="141" spans="2:17" x14ac:dyDescent="0.2">
      <c r="B141" s="4" cm="1">
        <f t="array" ref="B141">_xlfn.IFS('ProductSprint Backlog'!$F141="", "", AND('ProductSprint Backlog'!$J141&gt;B$2,'ProductSprint Backlog'!$I141&lt;=B$2), 'ProductSprint Backlog'!$F141 / MAX(1, 'ProductSprint Backlog'!$J141-'ProductSprint Backlog'!$I141), AND('ProductSprint Backlog'!$J141=B$2,'ProductSprint Backlog'!$I141=B$2), 'ProductSprint Backlog'!$F141, TRUE, 0)</f>
        <v>0</v>
      </c>
      <c r="C141" s="4" cm="1">
        <f t="array" ref="C141">_xlfn.IFS('ProductSprint Backlog'!$F141="", "", AND('ProductSprint Backlog'!$J141&gt;C$2,'ProductSprint Backlog'!$I141&lt;=C$2), 'ProductSprint Backlog'!$F141 / MAX(1, 'ProductSprint Backlog'!$J141-'ProductSprint Backlog'!$I141), AND('ProductSprint Backlog'!$J141=C$2,'ProductSprint Backlog'!$I141=C$2), 'ProductSprint Backlog'!$F141, TRUE, 0)</f>
        <v>0</v>
      </c>
      <c r="D141" s="4" cm="1">
        <f t="array" ref="D141">_xlfn.IFS('ProductSprint Backlog'!$F141="", "", AND('ProductSprint Backlog'!$J141&gt;D$2,'ProductSprint Backlog'!$I141&lt;=D$2), 'ProductSprint Backlog'!$F141 / MAX(1, 'ProductSprint Backlog'!$J141-'ProductSprint Backlog'!$I141), AND('ProductSprint Backlog'!$J141=D$2,'ProductSprint Backlog'!$I141=D$2), 'ProductSprint Backlog'!$F141, TRUE, 0)</f>
        <v>0</v>
      </c>
      <c r="E141" s="4" cm="1">
        <f t="array" ref="E141">_xlfn.IFS('ProductSprint Backlog'!$F141="", "", AND('ProductSprint Backlog'!$J141&gt;E$2,'ProductSprint Backlog'!$I141&lt;=E$2), 'ProductSprint Backlog'!$F141 / MAX(1, 'ProductSprint Backlog'!$J141-'ProductSprint Backlog'!$I141), AND('ProductSprint Backlog'!$J141=E$2,'ProductSprint Backlog'!$I141=E$2), 'ProductSprint Backlog'!$F141, TRUE, 0)</f>
        <v>0</v>
      </c>
      <c r="F141" s="4" cm="1">
        <f t="array" ref="F141">_xlfn.IFS('ProductSprint Backlog'!$F141="", "", AND('ProductSprint Backlog'!$J141&gt;F$2,'ProductSprint Backlog'!$I141&lt;=F$2), 'ProductSprint Backlog'!$F141 / MAX(1, 'ProductSprint Backlog'!$J141-'ProductSprint Backlog'!$I141), AND('ProductSprint Backlog'!$J141=F$2,'ProductSprint Backlog'!$I141=F$2), 'ProductSprint Backlog'!$F141, TRUE, 0)</f>
        <v>0</v>
      </c>
      <c r="G141" s="4" cm="1">
        <f t="array" ref="G141">_xlfn.IFS('ProductSprint Backlog'!$F141="", "", AND('ProductSprint Backlog'!$J141&gt;G$2,'ProductSprint Backlog'!$I141&lt;=G$2), 'ProductSprint Backlog'!$F141 / MAX(1, 'ProductSprint Backlog'!$J141-'ProductSprint Backlog'!$I141), AND('ProductSprint Backlog'!$J141=G$2,'ProductSprint Backlog'!$I141=G$2), 'ProductSprint Backlog'!$F141, TRUE, 0)</f>
        <v>0</v>
      </c>
      <c r="H141" s="4" cm="1">
        <f t="array" ref="H141">_xlfn.IFS('ProductSprint Backlog'!$F141="", "", AND('ProductSprint Backlog'!$J141&gt;H$2,'ProductSprint Backlog'!$I141&lt;=H$2), 'ProductSprint Backlog'!$F141 / MAX(1, 'ProductSprint Backlog'!$J141-'ProductSprint Backlog'!$I141), AND('ProductSprint Backlog'!$J141=H$2,'ProductSprint Backlog'!$I141=H$2), 'ProductSprint Backlog'!$F141, TRUE, 0)</f>
        <v>0</v>
      </c>
      <c r="I141" s="4" cm="1">
        <f t="array" ref="I141">_xlfn.IFS('ProductSprint Backlog'!$F141="", "", AND('ProductSprint Backlog'!$J141&gt;I$2,'ProductSprint Backlog'!$I141&lt;=I$2), 'ProductSprint Backlog'!$F141 / MAX(1, 'ProductSprint Backlog'!$J141-'ProductSprint Backlog'!$I141), AND('ProductSprint Backlog'!$J141=I$2,'ProductSprint Backlog'!$I141=I$2), 'ProductSprint Backlog'!$F141, TRUE, 0)</f>
        <v>0</v>
      </c>
      <c r="J141" s="4" cm="1">
        <f t="array" ref="J141">_xlfn.IFS('ProductSprint Backlog'!$F141="", "", AND('ProductSprint Backlog'!$J141&gt;J$2,'ProductSprint Backlog'!$I141&lt;=J$2), 'ProductSprint Backlog'!$F141 / MAX(1, 'ProductSprint Backlog'!$J141-'ProductSprint Backlog'!$I141), AND('ProductSprint Backlog'!$J141=J$2,'ProductSprint Backlog'!$I141=J$2), 'ProductSprint Backlog'!$F141, TRUE, 0)</f>
        <v>0</v>
      </c>
      <c r="K141" s="4" cm="1">
        <f t="array" ref="K141">_xlfn.IFS('ProductSprint Backlog'!$F141="", "", AND('ProductSprint Backlog'!$J141&gt;K$2,'ProductSprint Backlog'!$I141&lt;=K$2), 'ProductSprint Backlog'!$F141 / MAX(1, 'ProductSprint Backlog'!$J141-'ProductSprint Backlog'!$I141), AND('ProductSprint Backlog'!$J141=K$2,'ProductSprint Backlog'!$I141=K$2), 'ProductSprint Backlog'!$F141, TRUE, 0)</f>
        <v>0</v>
      </c>
      <c r="L141" s="4" cm="1">
        <f t="array" ref="L141">_xlfn.IFS('ProductSprint Backlog'!$F141="", "", AND('ProductSprint Backlog'!$J141&gt;L$2,'ProductSprint Backlog'!$I141&lt;=L$2), 'ProductSprint Backlog'!$F141 / MAX(1, 'ProductSprint Backlog'!$J141-'ProductSprint Backlog'!$I141), AND('ProductSprint Backlog'!$J141=L$2,'ProductSprint Backlog'!$I141=L$2), 'ProductSprint Backlog'!$F141, TRUE, 0)</f>
        <v>0</v>
      </c>
      <c r="M141" s="4" cm="1">
        <f t="array" ref="M141">_xlfn.IFS('ProductSprint Backlog'!$F141="", "", AND('ProductSprint Backlog'!$J141&gt;M$2,'ProductSprint Backlog'!$I141&lt;=M$2), 'ProductSprint Backlog'!$F141 / MAX(1, 'ProductSprint Backlog'!$J141-'ProductSprint Backlog'!$I141), AND('ProductSprint Backlog'!$J141=M$2,'ProductSprint Backlog'!$I141=M$2), 'ProductSprint Backlog'!$F141, TRUE, 0)</f>
        <v>0</v>
      </c>
      <c r="N141" s="4" cm="1">
        <f t="array" ref="N141">_xlfn.IFS('ProductSprint Backlog'!$F141="", "", AND('ProductSprint Backlog'!$J141&gt;N$2,'ProductSprint Backlog'!$I141&lt;=N$2), 'ProductSprint Backlog'!$F141 / MAX(1, 'ProductSprint Backlog'!$J141-'ProductSprint Backlog'!$I141), AND('ProductSprint Backlog'!$J141=N$2,'ProductSprint Backlog'!$I141=N$2), 'ProductSprint Backlog'!$F141, TRUE, 0)</f>
        <v>0</v>
      </c>
      <c r="O141" s="4" cm="1">
        <f t="array" ref="O141">_xlfn.IFS('ProductSprint Backlog'!$F141="", "", AND('ProductSprint Backlog'!$J141&gt;O$2,'ProductSprint Backlog'!$I141&lt;=O$2), 'ProductSprint Backlog'!$F141 / MAX(1, 'ProductSprint Backlog'!$J141-'ProductSprint Backlog'!$I141), AND('ProductSprint Backlog'!$J141=O$2,'ProductSprint Backlog'!$I141=O$2), 'ProductSprint Backlog'!$F141, TRUE, 0)</f>
        <v>0</v>
      </c>
      <c r="P141" s="4" cm="1">
        <f t="array" ref="P141">_xlfn.IFS('ProductSprint Backlog'!$F141="", "", AND('ProductSprint Backlog'!$J141&gt;P$2,'ProductSprint Backlog'!$I141&lt;=P$2), 'ProductSprint Backlog'!$F141 / MAX(1, 'ProductSprint Backlog'!$J141-'ProductSprint Backlog'!$I141), AND('ProductSprint Backlog'!$J141=P$2,'ProductSprint Backlog'!$I141=P$2), 'ProductSprint Backlog'!$F141, TRUE, 0)</f>
        <v>0</v>
      </c>
      <c r="Q141" s="4" cm="1">
        <f t="array" ref="Q141">_xlfn.IFS('ProductSprint Backlog'!$F141="", "", AND('ProductSprint Backlog'!$J141&gt;Q$2,'ProductSprint Backlog'!$I141&lt;=Q$2), 'ProductSprint Backlog'!$F141 / MAX(1, 'ProductSprint Backlog'!$J141-'ProductSprint Backlog'!$I141), AND('ProductSprint Backlog'!$J141=Q$2,'ProductSprint Backlog'!$I141=Q$2), 'ProductSprint Backlog'!$F141, TRUE, 0)</f>
        <v>0</v>
      </c>
    </row>
    <row r="142" spans="2:17" x14ac:dyDescent="0.2">
      <c r="B142" s="4" cm="1">
        <f t="array" ref="B142">_xlfn.IFS('ProductSprint Backlog'!$F142="", "", AND('ProductSprint Backlog'!$J142&gt;B$2,'ProductSprint Backlog'!$I142&lt;=B$2), 'ProductSprint Backlog'!$F142 / MAX(1, 'ProductSprint Backlog'!$J142-'ProductSprint Backlog'!$I142), AND('ProductSprint Backlog'!$J142=B$2,'ProductSprint Backlog'!$I142=B$2), 'ProductSprint Backlog'!$F142, TRUE, 0)</f>
        <v>0</v>
      </c>
      <c r="C142" s="4" cm="1">
        <f t="array" ref="C142">_xlfn.IFS('ProductSprint Backlog'!$F142="", "", AND('ProductSprint Backlog'!$J142&gt;C$2,'ProductSprint Backlog'!$I142&lt;=C$2), 'ProductSprint Backlog'!$F142 / MAX(1, 'ProductSprint Backlog'!$J142-'ProductSprint Backlog'!$I142), AND('ProductSprint Backlog'!$J142=C$2,'ProductSprint Backlog'!$I142=C$2), 'ProductSprint Backlog'!$F142, TRUE, 0)</f>
        <v>0</v>
      </c>
      <c r="D142" s="4" cm="1">
        <f t="array" ref="D142">_xlfn.IFS('ProductSprint Backlog'!$F142="", "", AND('ProductSprint Backlog'!$J142&gt;D$2,'ProductSprint Backlog'!$I142&lt;=D$2), 'ProductSprint Backlog'!$F142 / MAX(1, 'ProductSprint Backlog'!$J142-'ProductSprint Backlog'!$I142), AND('ProductSprint Backlog'!$J142=D$2,'ProductSprint Backlog'!$I142=D$2), 'ProductSprint Backlog'!$F142, TRUE, 0)</f>
        <v>0</v>
      </c>
      <c r="E142" s="4" cm="1">
        <f t="array" ref="E142">_xlfn.IFS('ProductSprint Backlog'!$F142="", "", AND('ProductSprint Backlog'!$J142&gt;E$2,'ProductSprint Backlog'!$I142&lt;=E$2), 'ProductSprint Backlog'!$F142 / MAX(1, 'ProductSprint Backlog'!$J142-'ProductSprint Backlog'!$I142), AND('ProductSprint Backlog'!$J142=E$2,'ProductSprint Backlog'!$I142=E$2), 'ProductSprint Backlog'!$F142, TRUE, 0)</f>
        <v>0</v>
      </c>
      <c r="F142" s="4" cm="1">
        <f t="array" ref="F142">_xlfn.IFS('ProductSprint Backlog'!$F142="", "", AND('ProductSprint Backlog'!$J142&gt;F$2,'ProductSprint Backlog'!$I142&lt;=F$2), 'ProductSprint Backlog'!$F142 / MAX(1, 'ProductSprint Backlog'!$J142-'ProductSprint Backlog'!$I142), AND('ProductSprint Backlog'!$J142=F$2,'ProductSprint Backlog'!$I142=F$2), 'ProductSprint Backlog'!$F142, TRUE, 0)</f>
        <v>0</v>
      </c>
      <c r="G142" s="4" cm="1">
        <f t="array" ref="G142">_xlfn.IFS('ProductSprint Backlog'!$F142="", "", AND('ProductSprint Backlog'!$J142&gt;G$2,'ProductSprint Backlog'!$I142&lt;=G$2), 'ProductSprint Backlog'!$F142 / MAX(1, 'ProductSprint Backlog'!$J142-'ProductSprint Backlog'!$I142), AND('ProductSprint Backlog'!$J142=G$2,'ProductSprint Backlog'!$I142=G$2), 'ProductSprint Backlog'!$F142, TRUE, 0)</f>
        <v>0</v>
      </c>
      <c r="H142" s="4" cm="1">
        <f t="array" ref="H142">_xlfn.IFS('ProductSprint Backlog'!$F142="", "", AND('ProductSprint Backlog'!$J142&gt;H$2,'ProductSprint Backlog'!$I142&lt;=H$2), 'ProductSprint Backlog'!$F142 / MAX(1, 'ProductSprint Backlog'!$J142-'ProductSprint Backlog'!$I142), AND('ProductSprint Backlog'!$J142=H$2,'ProductSprint Backlog'!$I142=H$2), 'ProductSprint Backlog'!$F142, TRUE, 0)</f>
        <v>0</v>
      </c>
      <c r="I142" s="4" cm="1">
        <f t="array" ref="I142">_xlfn.IFS('ProductSprint Backlog'!$F142="", "", AND('ProductSprint Backlog'!$J142&gt;I$2,'ProductSprint Backlog'!$I142&lt;=I$2), 'ProductSprint Backlog'!$F142 / MAX(1, 'ProductSprint Backlog'!$J142-'ProductSprint Backlog'!$I142), AND('ProductSprint Backlog'!$J142=I$2,'ProductSprint Backlog'!$I142=I$2), 'ProductSprint Backlog'!$F142, TRUE, 0)</f>
        <v>0</v>
      </c>
      <c r="J142" s="4" cm="1">
        <f t="array" ref="J142">_xlfn.IFS('ProductSprint Backlog'!$F142="", "", AND('ProductSprint Backlog'!$J142&gt;J$2,'ProductSprint Backlog'!$I142&lt;=J$2), 'ProductSprint Backlog'!$F142 / MAX(1, 'ProductSprint Backlog'!$J142-'ProductSprint Backlog'!$I142), AND('ProductSprint Backlog'!$J142=J$2,'ProductSprint Backlog'!$I142=J$2), 'ProductSprint Backlog'!$F142, TRUE, 0)</f>
        <v>0</v>
      </c>
      <c r="K142" s="4" cm="1">
        <f t="array" ref="K142">_xlfn.IFS('ProductSprint Backlog'!$F142="", "", AND('ProductSprint Backlog'!$J142&gt;K$2,'ProductSprint Backlog'!$I142&lt;=K$2), 'ProductSprint Backlog'!$F142 / MAX(1, 'ProductSprint Backlog'!$J142-'ProductSprint Backlog'!$I142), AND('ProductSprint Backlog'!$J142=K$2,'ProductSprint Backlog'!$I142=K$2), 'ProductSprint Backlog'!$F142, TRUE, 0)</f>
        <v>0</v>
      </c>
      <c r="L142" s="4" cm="1">
        <f t="array" ref="L142">_xlfn.IFS('ProductSprint Backlog'!$F142="", "", AND('ProductSprint Backlog'!$J142&gt;L$2,'ProductSprint Backlog'!$I142&lt;=L$2), 'ProductSprint Backlog'!$F142 / MAX(1, 'ProductSprint Backlog'!$J142-'ProductSprint Backlog'!$I142), AND('ProductSprint Backlog'!$J142=L$2,'ProductSprint Backlog'!$I142=L$2), 'ProductSprint Backlog'!$F142, TRUE, 0)</f>
        <v>0</v>
      </c>
      <c r="M142" s="4" cm="1">
        <f t="array" ref="M142">_xlfn.IFS('ProductSprint Backlog'!$F142="", "", AND('ProductSprint Backlog'!$J142&gt;M$2,'ProductSprint Backlog'!$I142&lt;=M$2), 'ProductSprint Backlog'!$F142 / MAX(1, 'ProductSprint Backlog'!$J142-'ProductSprint Backlog'!$I142), AND('ProductSprint Backlog'!$J142=M$2,'ProductSprint Backlog'!$I142=M$2), 'ProductSprint Backlog'!$F142, TRUE, 0)</f>
        <v>0</v>
      </c>
      <c r="N142" s="4" cm="1">
        <f t="array" ref="N142">_xlfn.IFS('ProductSprint Backlog'!$F142="", "", AND('ProductSprint Backlog'!$J142&gt;N$2,'ProductSprint Backlog'!$I142&lt;=N$2), 'ProductSprint Backlog'!$F142 / MAX(1, 'ProductSprint Backlog'!$J142-'ProductSprint Backlog'!$I142), AND('ProductSprint Backlog'!$J142=N$2,'ProductSprint Backlog'!$I142=N$2), 'ProductSprint Backlog'!$F142, TRUE, 0)</f>
        <v>0</v>
      </c>
      <c r="O142" s="4" cm="1">
        <f t="array" ref="O142">_xlfn.IFS('ProductSprint Backlog'!$F142="", "", AND('ProductSprint Backlog'!$J142&gt;O$2,'ProductSprint Backlog'!$I142&lt;=O$2), 'ProductSprint Backlog'!$F142 / MAX(1, 'ProductSprint Backlog'!$J142-'ProductSprint Backlog'!$I142), AND('ProductSprint Backlog'!$J142=O$2,'ProductSprint Backlog'!$I142=O$2), 'ProductSprint Backlog'!$F142, TRUE, 0)</f>
        <v>0</v>
      </c>
      <c r="P142" s="4" cm="1">
        <f t="array" ref="P142">_xlfn.IFS('ProductSprint Backlog'!$F142="", "", AND('ProductSprint Backlog'!$J142&gt;P$2,'ProductSprint Backlog'!$I142&lt;=P$2), 'ProductSprint Backlog'!$F142 / MAX(1, 'ProductSprint Backlog'!$J142-'ProductSprint Backlog'!$I142), AND('ProductSprint Backlog'!$J142=P$2,'ProductSprint Backlog'!$I142=P$2), 'ProductSprint Backlog'!$F142, TRUE, 0)</f>
        <v>0</v>
      </c>
      <c r="Q142" s="4" cm="1">
        <f t="array" ref="Q142">_xlfn.IFS('ProductSprint Backlog'!$F142="", "", AND('ProductSprint Backlog'!$J142&gt;Q$2,'ProductSprint Backlog'!$I142&lt;=Q$2), 'ProductSprint Backlog'!$F142 / MAX(1, 'ProductSprint Backlog'!$J142-'ProductSprint Backlog'!$I142), AND('ProductSprint Backlog'!$J142=Q$2,'ProductSprint Backlog'!$I142=Q$2), 'ProductSprint Backlog'!$F142, TRUE, 0)</f>
        <v>0</v>
      </c>
    </row>
    <row r="143" spans="2:17" x14ac:dyDescent="0.2">
      <c r="B143" s="4" cm="1">
        <f t="array" ref="B143">_xlfn.IFS('ProductSprint Backlog'!$F143="", "", AND('ProductSprint Backlog'!$J143&gt;B$2,'ProductSprint Backlog'!$I143&lt;=B$2), 'ProductSprint Backlog'!$F143 / MAX(1, 'ProductSprint Backlog'!$J143-'ProductSprint Backlog'!$I143), AND('ProductSprint Backlog'!$J143=B$2,'ProductSprint Backlog'!$I143=B$2), 'ProductSprint Backlog'!$F143, TRUE, 0)</f>
        <v>0</v>
      </c>
      <c r="C143" s="4" cm="1">
        <f t="array" ref="C143">_xlfn.IFS('ProductSprint Backlog'!$F143="", "", AND('ProductSprint Backlog'!$J143&gt;C$2,'ProductSprint Backlog'!$I143&lt;=C$2), 'ProductSprint Backlog'!$F143 / MAX(1, 'ProductSprint Backlog'!$J143-'ProductSprint Backlog'!$I143), AND('ProductSprint Backlog'!$J143=C$2,'ProductSprint Backlog'!$I143=C$2), 'ProductSprint Backlog'!$F143, TRUE, 0)</f>
        <v>0</v>
      </c>
      <c r="D143" s="4" cm="1">
        <f t="array" ref="D143">_xlfn.IFS('ProductSprint Backlog'!$F143="", "", AND('ProductSprint Backlog'!$J143&gt;D$2,'ProductSprint Backlog'!$I143&lt;=D$2), 'ProductSprint Backlog'!$F143 / MAX(1, 'ProductSprint Backlog'!$J143-'ProductSprint Backlog'!$I143), AND('ProductSprint Backlog'!$J143=D$2,'ProductSprint Backlog'!$I143=D$2), 'ProductSprint Backlog'!$F143, TRUE, 0)</f>
        <v>0</v>
      </c>
      <c r="E143" s="4" cm="1">
        <f t="array" ref="E143">_xlfn.IFS('ProductSprint Backlog'!$F143="", "", AND('ProductSprint Backlog'!$J143&gt;E$2,'ProductSprint Backlog'!$I143&lt;=E$2), 'ProductSprint Backlog'!$F143 / MAX(1, 'ProductSprint Backlog'!$J143-'ProductSprint Backlog'!$I143), AND('ProductSprint Backlog'!$J143=E$2,'ProductSprint Backlog'!$I143=E$2), 'ProductSprint Backlog'!$F143, TRUE, 0)</f>
        <v>0</v>
      </c>
      <c r="F143" s="4" cm="1">
        <f t="array" ref="F143">_xlfn.IFS('ProductSprint Backlog'!$F143="", "", AND('ProductSprint Backlog'!$J143&gt;F$2,'ProductSprint Backlog'!$I143&lt;=F$2), 'ProductSprint Backlog'!$F143 / MAX(1, 'ProductSprint Backlog'!$J143-'ProductSprint Backlog'!$I143), AND('ProductSprint Backlog'!$J143=F$2,'ProductSprint Backlog'!$I143=F$2), 'ProductSprint Backlog'!$F143, TRUE, 0)</f>
        <v>0</v>
      </c>
      <c r="G143" s="4" cm="1">
        <f t="array" ref="G143">_xlfn.IFS('ProductSprint Backlog'!$F143="", "", AND('ProductSprint Backlog'!$J143&gt;G$2,'ProductSprint Backlog'!$I143&lt;=G$2), 'ProductSprint Backlog'!$F143 / MAX(1, 'ProductSprint Backlog'!$J143-'ProductSprint Backlog'!$I143), AND('ProductSprint Backlog'!$J143=G$2,'ProductSprint Backlog'!$I143=G$2), 'ProductSprint Backlog'!$F143, TRUE, 0)</f>
        <v>0</v>
      </c>
      <c r="H143" s="4" cm="1">
        <f t="array" ref="H143">_xlfn.IFS('ProductSprint Backlog'!$F143="", "", AND('ProductSprint Backlog'!$J143&gt;H$2,'ProductSprint Backlog'!$I143&lt;=H$2), 'ProductSprint Backlog'!$F143 / MAX(1, 'ProductSprint Backlog'!$J143-'ProductSprint Backlog'!$I143), AND('ProductSprint Backlog'!$J143=H$2,'ProductSprint Backlog'!$I143=H$2), 'ProductSprint Backlog'!$F143, TRUE, 0)</f>
        <v>0</v>
      </c>
      <c r="I143" s="4" cm="1">
        <f t="array" ref="I143">_xlfn.IFS('ProductSprint Backlog'!$F143="", "", AND('ProductSprint Backlog'!$J143&gt;I$2,'ProductSprint Backlog'!$I143&lt;=I$2), 'ProductSprint Backlog'!$F143 / MAX(1, 'ProductSprint Backlog'!$J143-'ProductSprint Backlog'!$I143), AND('ProductSprint Backlog'!$J143=I$2,'ProductSprint Backlog'!$I143=I$2), 'ProductSprint Backlog'!$F143, TRUE, 0)</f>
        <v>0</v>
      </c>
      <c r="J143" s="4" cm="1">
        <f t="array" ref="J143">_xlfn.IFS('ProductSprint Backlog'!$F143="", "", AND('ProductSprint Backlog'!$J143&gt;J$2,'ProductSprint Backlog'!$I143&lt;=J$2), 'ProductSprint Backlog'!$F143 / MAX(1, 'ProductSprint Backlog'!$J143-'ProductSprint Backlog'!$I143), AND('ProductSprint Backlog'!$J143=J$2,'ProductSprint Backlog'!$I143=J$2), 'ProductSprint Backlog'!$F143, TRUE, 0)</f>
        <v>0</v>
      </c>
      <c r="K143" s="4" cm="1">
        <f t="array" ref="K143">_xlfn.IFS('ProductSprint Backlog'!$F143="", "", AND('ProductSprint Backlog'!$J143&gt;K$2,'ProductSprint Backlog'!$I143&lt;=K$2), 'ProductSprint Backlog'!$F143 / MAX(1, 'ProductSprint Backlog'!$J143-'ProductSprint Backlog'!$I143), AND('ProductSprint Backlog'!$J143=K$2,'ProductSprint Backlog'!$I143=K$2), 'ProductSprint Backlog'!$F143, TRUE, 0)</f>
        <v>0</v>
      </c>
      <c r="L143" s="4" cm="1">
        <f t="array" ref="L143">_xlfn.IFS('ProductSprint Backlog'!$F143="", "", AND('ProductSprint Backlog'!$J143&gt;L$2,'ProductSprint Backlog'!$I143&lt;=L$2), 'ProductSprint Backlog'!$F143 / MAX(1, 'ProductSprint Backlog'!$J143-'ProductSprint Backlog'!$I143), AND('ProductSprint Backlog'!$J143=L$2,'ProductSprint Backlog'!$I143=L$2), 'ProductSprint Backlog'!$F143, TRUE, 0)</f>
        <v>0</v>
      </c>
      <c r="M143" s="4" cm="1">
        <f t="array" ref="M143">_xlfn.IFS('ProductSprint Backlog'!$F143="", "", AND('ProductSprint Backlog'!$J143&gt;M$2,'ProductSprint Backlog'!$I143&lt;=M$2), 'ProductSprint Backlog'!$F143 / MAX(1, 'ProductSprint Backlog'!$J143-'ProductSprint Backlog'!$I143), AND('ProductSprint Backlog'!$J143=M$2,'ProductSprint Backlog'!$I143=M$2), 'ProductSprint Backlog'!$F143, TRUE, 0)</f>
        <v>0</v>
      </c>
      <c r="N143" s="4" cm="1">
        <f t="array" ref="N143">_xlfn.IFS('ProductSprint Backlog'!$F143="", "", AND('ProductSprint Backlog'!$J143&gt;N$2,'ProductSprint Backlog'!$I143&lt;=N$2), 'ProductSprint Backlog'!$F143 / MAX(1, 'ProductSprint Backlog'!$J143-'ProductSprint Backlog'!$I143), AND('ProductSprint Backlog'!$J143=N$2,'ProductSprint Backlog'!$I143=N$2), 'ProductSprint Backlog'!$F143, TRUE, 0)</f>
        <v>0</v>
      </c>
      <c r="O143" s="4" cm="1">
        <f t="array" ref="O143">_xlfn.IFS('ProductSprint Backlog'!$F143="", "", AND('ProductSprint Backlog'!$J143&gt;O$2,'ProductSprint Backlog'!$I143&lt;=O$2), 'ProductSprint Backlog'!$F143 / MAX(1, 'ProductSprint Backlog'!$J143-'ProductSprint Backlog'!$I143), AND('ProductSprint Backlog'!$J143=O$2,'ProductSprint Backlog'!$I143=O$2), 'ProductSprint Backlog'!$F143, TRUE, 0)</f>
        <v>0</v>
      </c>
      <c r="P143" s="4" cm="1">
        <f t="array" ref="P143">_xlfn.IFS('ProductSprint Backlog'!$F143="", "", AND('ProductSprint Backlog'!$J143&gt;P$2,'ProductSprint Backlog'!$I143&lt;=P$2), 'ProductSprint Backlog'!$F143 / MAX(1, 'ProductSprint Backlog'!$J143-'ProductSprint Backlog'!$I143), AND('ProductSprint Backlog'!$J143=P$2,'ProductSprint Backlog'!$I143=P$2), 'ProductSprint Backlog'!$F143, TRUE, 0)</f>
        <v>0</v>
      </c>
      <c r="Q143" s="4" cm="1">
        <f t="array" ref="Q143">_xlfn.IFS('ProductSprint Backlog'!$F143="", "", AND('ProductSprint Backlog'!$J143&gt;Q$2,'ProductSprint Backlog'!$I143&lt;=Q$2), 'ProductSprint Backlog'!$F143 / MAX(1, 'ProductSprint Backlog'!$J143-'ProductSprint Backlog'!$I143), AND('ProductSprint Backlog'!$J143=Q$2,'ProductSprint Backlog'!$I143=Q$2), 'ProductSprint Backlog'!$F143, TRUE, 0)</f>
        <v>0</v>
      </c>
    </row>
    <row r="144" spans="2:17" x14ac:dyDescent="0.2">
      <c r="B144" s="4" cm="1">
        <f t="array" ref="B144">_xlfn.IFS('ProductSprint Backlog'!$F144="", "", AND('ProductSprint Backlog'!$J144&gt;B$2,'ProductSprint Backlog'!$I144&lt;=B$2), 'ProductSprint Backlog'!$F144 / MAX(1, 'ProductSprint Backlog'!$J144-'ProductSprint Backlog'!$I144), AND('ProductSprint Backlog'!$J144=B$2,'ProductSprint Backlog'!$I144=B$2), 'ProductSprint Backlog'!$F144, TRUE, 0)</f>
        <v>0</v>
      </c>
      <c r="C144" s="4" cm="1">
        <f t="array" ref="C144">_xlfn.IFS('ProductSprint Backlog'!$F144="", "", AND('ProductSprint Backlog'!$J144&gt;C$2,'ProductSprint Backlog'!$I144&lt;=C$2), 'ProductSprint Backlog'!$F144 / MAX(1, 'ProductSprint Backlog'!$J144-'ProductSprint Backlog'!$I144), AND('ProductSprint Backlog'!$J144=C$2,'ProductSprint Backlog'!$I144=C$2), 'ProductSprint Backlog'!$F144, TRUE, 0)</f>
        <v>0</v>
      </c>
      <c r="D144" s="4" cm="1">
        <f t="array" ref="D144">_xlfn.IFS('ProductSprint Backlog'!$F144="", "", AND('ProductSprint Backlog'!$J144&gt;D$2,'ProductSprint Backlog'!$I144&lt;=D$2), 'ProductSprint Backlog'!$F144 / MAX(1, 'ProductSprint Backlog'!$J144-'ProductSprint Backlog'!$I144), AND('ProductSprint Backlog'!$J144=D$2,'ProductSprint Backlog'!$I144=D$2), 'ProductSprint Backlog'!$F144, TRUE, 0)</f>
        <v>0</v>
      </c>
      <c r="E144" s="4" cm="1">
        <f t="array" ref="E144">_xlfn.IFS('ProductSprint Backlog'!$F144="", "", AND('ProductSprint Backlog'!$J144&gt;E$2,'ProductSprint Backlog'!$I144&lt;=E$2), 'ProductSprint Backlog'!$F144 / MAX(1, 'ProductSprint Backlog'!$J144-'ProductSprint Backlog'!$I144), AND('ProductSprint Backlog'!$J144=E$2,'ProductSprint Backlog'!$I144=E$2), 'ProductSprint Backlog'!$F144, TRUE, 0)</f>
        <v>0</v>
      </c>
      <c r="F144" s="4" cm="1">
        <f t="array" ref="F144">_xlfn.IFS('ProductSprint Backlog'!$F144="", "", AND('ProductSprint Backlog'!$J144&gt;F$2,'ProductSprint Backlog'!$I144&lt;=F$2), 'ProductSprint Backlog'!$F144 / MAX(1, 'ProductSprint Backlog'!$J144-'ProductSprint Backlog'!$I144), AND('ProductSprint Backlog'!$J144=F$2,'ProductSprint Backlog'!$I144=F$2), 'ProductSprint Backlog'!$F144, TRUE, 0)</f>
        <v>0</v>
      </c>
      <c r="G144" s="4" cm="1">
        <f t="array" ref="G144">_xlfn.IFS('ProductSprint Backlog'!$F144="", "", AND('ProductSprint Backlog'!$J144&gt;G$2,'ProductSprint Backlog'!$I144&lt;=G$2), 'ProductSprint Backlog'!$F144 / MAX(1, 'ProductSprint Backlog'!$J144-'ProductSprint Backlog'!$I144), AND('ProductSprint Backlog'!$J144=G$2,'ProductSprint Backlog'!$I144=G$2), 'ProductSprint Backlog'!$F144, TRUE, 0)</f>
        <v>0</v>
      </c>
      <c r="H144" s="4" cm="1">
        <f t="array" ref="H144">_xlfn.IFS('ProductSprint Backlog'!$F144="", "", AND('ProductSprint Backlog'!$J144&gt;H$2,'ProductSprint Backlog'!$I144&lt;=H$2), 'ProductSprint Backlog'!$F144 / MAX(1, 'ProductSprint Backlog'!$J144-'ProductSprint Backlog'!$I144), AND('ProductSprint Backlog'!$J144=H$2,'ProductSprint Backlog'!$I144=H$2), 'ProductSprint Backlog'!$F144, TRUE, 0)</f>
        <v>0</v>
      </c>
      <c r="I144" s="4" cm="1">
        <f t="array" ref="I144">_xlfn.IFS('ProductSprint Backlog'!$F144="", "", AND('ProductSprint Backlog'!$J144&gt;I$2,'ProductSprint Backlog'!$I144&lt;=I$2), 'ProductSprint Backlog'!$F144 / MAX(1, 'ProductSprint Backlog'!$J144-'ProductSprint Backlog'!$I144), AND('ProductSprint Backlog'!$J144=I$2,'ProductSprint Backlog'!$I144=I$2), 'ProductSprint Backlog'!$F144, TRUE, 0)</f>
        <v>0</v>
      </c>
      <c r="J144" s="4" cm="1">
        <f t="array" ref="J144">_xlfn.IFS('ProductSprint Backlog'!$F144="", "", AND('ProductSprint Backlog'!$J144&gt;J$2,'ProductSprint Backlog'!$I144&lt;=J$2), 'ProductSprint Backlog'!$F144 / MAX(1, 'ProductSprint Backlog'!$J144-'ProductSprint Backlog'!$I144), AND('ProductSprint Backlog'!$J144=J$2,'ProductSprint Backlog'!$I144=J$2), 'ProductSprint Backlog'!$F144, TRUE, 0)</f>
        <v>0</v>
      </c>
      <c r="K144" s="4" cm="1">
        <f t="array" ref="K144">_xlfn.IFS('ProductSprint Backlog'!$F144="", "", AND('ProductSprint Backlog'!$J144&gt;K$2,'ProductSprint Backlog'!$I144&lt;=K$2), 'ProductSprint Backlog'!$F144 / MAX(1, 'ProductSprint Backlog'!$J144-'ProductSprint Backlog'!$I144), AND('ProductSprint Backlog'!$J144=K$2,'ProductSprint Backlog'!$I144=K$2), 'ProductSprint Backlog'!$F144, TRUE, 0)</f>
        <v>0</v>
      </c>
      <c r="L144" s="4" cm="1">
        <f t="array" ref="L144">_xlfn.IFS('ProductSprint Backlog'!$F144="", "", AND('ProductSprint Backlog'!$J144&gt;L$2,'ProductSprint Backlog'!$I144&lt;=L$2), 'ProductSprint Backlog'!$F144 / MAX(1, 'ProductSprint Backlog'!$J144-'ProductSprint Backlog'!$I144), AND('ProductSprint Backlog'!$J144=L$2,'ProductSprint Backlog'!$I144=L$2), 'ProductSprint Backlog'!$F144, TRUE, 0)</f>
        <v>0</v>
      </c>
      <c r="M144" s="4" cm="1">
        <f t="array" ref="M144">_xlfn.IFS('ProductSprint Backlog'!$F144="", "", AND('ProductSprint Backlog'!$J144&gt;M$2,'ProductSprint Backlog'!$I144&lt;=M$2), 'ProductSprint Backlog'!$F144 / MAX(1, 'ProductSprint Backlog'!$J144-'ProductSprint Backlog'!$I144), AND('ProductSprint Backlog'!$J144=M$2,'ProductSprint Backlog'!$I144=M$2), 'ProductSprint Backlog'!$F144, TRUE, 0)</f>
        <v>0</v>
      </c>
      <c r="N144" s="4" cm="1">
        <f t="array" ref="N144">_xlfn.IFS('ProductSprint Backlog'!$F144="", "", AND('ProductSprint Backlog'!$J144&gt;N$2,'ProductSprint Backlog'!$I144&lt;=N$2), 'ProductSprint Backlog'!$F144 / MAX(1, 'ProductSprint Backlog'!$J144-'ProductSprint Backlog'!$I144), AND('ProductSprint Backlog'!$J144=N$2,'ProductSprint Backlog'!$I144=N$2), 'ProductSprint Backlog'!$F144, TRUE, 0)</f>
        <v>0</v>
      </c>
      <c r="O144" s="4" cm="1">
        <f t="array" ref="O144">_xlfn.IFS('ProductSprint Backlog'!$F144="", "", AND('ProductSprint Backlog'!$J144&gt;O$2,'ProductSprint Backlog'!$I144&lt;=O$2), 'ProductSprint Backlog'!$F144 / MAX(1, 'ProductSprint Backlog'!$J144-'ProductSprint Backlog'!$I144), AND('ProductSprint Backlog'!$J144=O$2,'ProductSprint Backlog'!$I144=O$2), 'ProductSprint Backlog'!$F144, TRUE, 0)</f>
        <v>0</v>
      </c>
      <c r="P144" s="4" cm="1">
        <f t="array" ref="P144">_xlfn.IFS('ProductSprint Backlog'!$F144="", "", AND('ProductSprint Backlog'!$J144&gt;P$2,'ProductSprint Backlog'!$I144&lt;=P$2), 'ProductSprint Backlog'!$F144 / MAX(1, 'ProductSprint Backlog'!$J144-'ProductSprint Backlog'!$I144), AND('ProductSprint Backlog'!$J144=P$2,'ProductSprint Backlog'!$I144=P$2), 'ProductSprint Backlog'!$F144, TRUE, 0)</f>
        <v>0</v>
      </c>
      <c r="Q144" s="4" cm="1">
        <f t="array" ref="Q144">_xlfn.IFS('ProductSprint Backlog'!$F144="", "", AND('ProductSprint Backlog'!$J144&gt;Q$2,'ProductSprint Backlog'!$I144&lt;=Q$2), 'ProductSprint Backlog'!$F144 / MAX(1, 'ProductSprint Backlog'!$J144-'ProductSprint Backlog'!$I144), AND('ProductSprint Backlog'!$J144=Q$2,'ProductSprint Backlog'!$I144=Q$2), 'ProductSprint Backlog'!$F144, TRUE, 0)</f>
        <v>0</v>
      </c>
    </row>
    <row r="145" spans="2:17" x14ac:dyDescent="0.2">
      <c r="B145" s="4" cm="1">
        <f t="array" ref="B145">_xlfn.IFS('ProductSprint Backlog'!$F145="", "", AND('ProductSprint Backlog'!$J145&gt;B$2,'ProductSprint Backlog'!$I145&lt;=B$2), 'ProductSprint Backlog'!$F145 / MAX(1, 'ProductSprint Backlog'!$J145-'ProductSprint Backlog'!$I145), AND('ProductSprint Backlog'!$J145=B$2,'ProductSprint Backlog'!$I145=B$2), 'ProductSprint Backlog'!$F145, TRUE, 0)</f>
        <v>0</v>
      </c>
      <c r="C145" s="4" cm="1">
        <f t="array" ref="C145">_xlfn.IFS('ProductSprint Backlog'!$F145="", "", AND('ProductSprint Backlog'!$J145&gt;C$2,'ProductSprint Backlog'!$I145&lt;=C$2), 'ProductSprint Backlog'!$F145 / MAX(1, 'ProductSprint Backlog'!$J145-'ProductSprint Backlog'!$I145), AND('ProductSprint Backlog'!$J145=C$2,'ProductSprint Backlog'!$I145=C$2), 'ProductSprint Backlog'!$F145, TRUE, 0)</f>
        <v>0</v>
      </c>
      <c r="D145" s="4" cm="1">
        <f t="array" ref="D145">_xlfn.IFS('ProductSprint Backlog'!$F145="", "", AND('ProductSprint Backlog'!$J145&gt;D$2,'ProductSprint Backlog'!$I145&lt;=D$2), 'ProductSprint Backlog'!$F145 / MAX(1, 'ProductSprint Backlog'!$J145-'ProductSprint Backlog'!$I145), AND('ProductSprint Backlog'!$J145=D$2,'ProductSprint Backlog'!$I145=D$2), 'ProductSprint Backlog'!$F145, TRUE, 0)</f>
        <v>0</v>
      </c>
      <c r="E145" s="4" cm="1">
        <f t="array" ref="E145">_xlfn.IFS('ProductSprint Backlog'!$F145="", "", AND('ProductSprint Backlog'!$J145&gt;E$2,'ProductSprint Backlog'!$I145&lt;=E$2), 'ProductSprint Backlog'!$F145 / MAX(1, 'ProductSprint Backlog'!$J145-'ProductSprint Backlog'!$I145), AND('ProductSprint Backlog'!$J145=E$2,'ProductSprint Backlog'!$I145=E$2), 'ProductSprint Backlog'!$F145, TRUE, 0)</f>
        <v>0</v>
      </c>
      <c r="F145" s="4" cm="1">
        <f t="array" ref="F145">_xlfn.IFS('ProductSprint Backlog'!$F145="", "", AND('ProductSprint Backlog'!$J145&gt;F$2,'ProductSprint Backlog'!$I145&lt;=F$2), 'ProductSprint Backlog'!$F145 / MAX(1, 'ProductSprint Backlog'!$J145-'ProductSprint Backlog'!$I145), AND('ProductSprint Backlog'!$J145=F$2,'ProductSprint Backlog'!$I145=F$2), 'ProductSprint Backlog'!$F145, TRUE, 0)</f>
        <v>0</v>
      </c>
      <c r="G145" s="4" cm="1">
        <f t="array" ref="G145">_xlfn.IFS('ProductSprint Backlog'!$F145="", "", AND('ProductSprint Backlog'!$J145&gt;G$2,'ProductSprint Backlog'!$I145&lt;=G$2), 'ProductSprint Backlog'!$F145 / MAX(1, 'ProductSprint Backlog'!$J145-'ProductSprint Backlog'!$I145), AND('ProductSprint Backlog'!$J145=G$2,'ProductSprint Backlog'!$I145=G$2), 'ProductSprint Backlog'!$F145, TRUE, 0)</f>
        <v>0</v>
      </c>
      <c r="H145" s="4" cm="1">
        <f t="array" ref="H145">_xlfn.IFS('ProductSprint Backlog'!$F145="", "", AND('ProductSprint Backlog'!$J145&gt;H$2,'ProductSprint Backlog'!$I145&lt;=H$2), 'ProductSprint Backlog'!$F145 / MAX(1, 'ProductSprint Backlog'!$J145-'ProductSprint Backlog'!$I145), AND('ProductSprint Backlog'!$J145=H$2,'ProductSprint Backlog'!$I145=H$2), 'ProductSprint Backlog'!$F145, TRUE, 0)</f>
        <v>0</v>
      </c>
      <c r="I145" s="4" cm="1">
        <f t="array" ref="I145">_xlfn.IFS('ProductSprint Backlog'!$F145="", "", AND('ProductSprint Backlog'!$J145&gt;I$2,'ProductSprint Backlog'!$I145&lt;=I$2), 'ProductSprint Backlog'!$F145 / MAX(1, 'ProductSprint Backlog'!$J145-'ProductSprint Backlog'!$I145), AND('ProductSprint Backlog'!$J145=I$2,'ProductSprint Backlog'!$I145=I$2), 'ProductSprint Backlog'!$F145, TRUE, 0)</f>
        <v>0</v>
      </c>
      <c r="J145" s="4" cm="1">
        <f t="array" ref="J145">_xlfn.IFS('ProductSprint Backlog'!$F145="", "", AND('ProductSprint Backlog'!$J145&gt;J$2,'ProductSprint Backlog'!$I145&lt;=J$2), 'ProductSprint Backlog'!$F145 / MAX(1, 'ProductSprint Backlog'!$J145-'ProductSprint Backlog'!$I145), AND('ProductSprint Backlog'!$J145=J$2,'ProductSprint Backlog'!$I145=J$2), 'ProductSprint Backlog'!$F145, TRUE, 0)</f>
        <v>0</v>
      </c>
      <c r="K145" s="4" cm="1">
        <f t="array" ref="K145">_xlfn.IFS('ProductSprint Backlog'!$F145="", "", AND('ProductSprint Backlog'!$J145&gt;K$2,'ProductSprint Backlog'!$I145&lt;=K$2), 'ProductSprint Backlog'!$F145 / MAX(1, 'ProductSprint Backlog'!$J145-'ProductSprint Backlog'!$I145), AND('ProductSprint Backlog'!$J145=K$2,'ProductSprint Backlog'!$I145=K$2), 'ProductSprint Backlog'!$F145, TRUE, 0)</f>
        <v>0</v>
      </c>
      <c r="L145" s="4" cm="1">
        <f t="array" ref="L145">_xlfn.IFS('ProductSprint Backlog'!$F145="", "", AND('ProductSprint Backlog'!$J145&gt;L$2,'ProductSprint Backlog'!$I145&lt;=L$2), 'ProductSprint Backlog'!$F145 / MAX(1, 'ProductSprint Backlog'!$J145-'ProductSprint Backlog'!$I145), AND('ProductSprint Backlog'!$J145=L$2,'ProductSprint Backlog'!$I145=L$2), 'ProductSprint Backlog'!$F145, TRUE, 0)</f>
        <v>0</v>
      </c>
      <c r="M145" s="4" cm="1">
        <f t="array" ref="M145">_xlfn.IFS('ProductSprint Backlog'!$F145="", "", AND('ProductSprint Backlog'!$J145&gt;M$2,'ProductSprint Backlog'!$I145&lt;=M$2), 'ProductSprint Backlog'!$F145 / MAX(1, 'ProductSprint Backlog'!$J145-'ProductSprint Backlog'!$I145), AND('ProductSprint Backlog'!$J145=M$2,'ProductSprint Backlog'!$I145=M$2), 'ProductSprint Backlog'!$F145, TRUE, 0)</f>
        <v>0</v>
      </c>
      <c r="N145" s="4" cm="1">
        <f t="array" ref="N145">_xlfn.IFS('ProductSprint Backlog'!$F145="", "", AND('ProductSprint Backlog'!$J145&gt;N$2,'ProductSprint Backlog'!$I145&lt;=N$2), 'ProductSprint Backlog'!$F145 / MAX(1, 'ProductSprint Backlog'!$J145-'ProductSprint Backlog'!$I145), AND('ProductSprint Backlog'!$J145=N$2,'ProductSprint Backlog'!$I145=N$2), 'ProductSprint Backlog'!$F145, TRUE, 0)</f>
        <v>0</v>
      </c>
      <c r="O145" s="4" cm="1">
        <f t="array" ref="O145">_xlfn.IFS('ProductSprint Backlog'!$F145="", "", AND('ProductSprint Backlog'!$J145&gt;O$2,'ProductSprint Backlog'!$I145&lt;=O$2), 'ProductSprint Backlog'!$F145 / MAX(1, 'ProductSprint Backlog'!$J145-'ProductSprint Backlog'!$I145), AND('ProductSprint Backlog'!$J145=O$2,'ProductSprint Backlog'!$I145=O$2), 'ProductSprint Backlog'!$F145, TRUE, 0)</f>
        <v>0</v>
      </c>
      <c r="P145" s="4" cm="1">
        <f t="array" ref="P145">_xlfn.IFS('ProductSprint Backlog'!$F145="", "", AND('ProductSprint Backlog'!$J145&gt;P$2,'ProductSprint Backlog'!$I145&lt;=P$2), 'ProductSprint Backlog'!$F145 / MAX(1, 'ProductSprint Backlog'!$J145-'ProductSprint Backlog'!$I145), AND('ProductSprint Backlog'!$J145=P$2,'ProductSprint Backlog'!$I145=P$2), 'ProductSprint Backlog'!$F145, TRUE, 0)</f>
        <v>0</v>
      </c>
      <c r="Q145" s="4" cm="1">
        <f t="array" ref="Q145">_xlfn.IFS('ProductSprint Backlog'!$F145="", "", AND('ProductSprint Backlog'!$J145&gt;Q$2,'ProductSprint Backlog'!$I145&lt;=Q$2), 'ProductSprint Backlog'!$F145 / MAX(1, 'ProductSprint Backlog'!$J145-'ProductSprint Backlog'!$I145), AND('ProductSprint Backlog'!$J145=Q$2,'ProductSprint Backlog'!$I145=Q$2), 'ProductSprint Backlog'!$F145, TRUE, 0)</f>
        <v>0</v>
      </c>
    </row>
    <row r="146" spans="2:17" x14ac:dyDescent="0.2">
      <c r="B146" s="4" cm="1">
        <f t="array" ref="B146">_xlfn.IFS('ProductSprint Backlog'!$F146="", "", AND('ProductSprint Backlog'!$J146&gt;B$2,'ProductSprint Backlog'!$I146&lt;=B$2), 'ProductSprint Backlog'!$F146 / MAX(1, 'ProductSprint Backlog'!$J146-'ProductSprint Backlog'!$I146), AND('ProductSprint Backlog'!$J146=B$2,'ProductSprint Backlog'!$I146=B$2), 'ProductSprint Backlog'!$F146, TRUE, 0)</f>
        <v>0</v>
      </c>
      <c r="C146" s="4" cm="1">
        <f t="array" ref="C146">_xlfn.IFS('ProductSprint Backlog'!$F146="", "", AND('ProductSprint Backlog'!$J146&gt;C$2,'ProductSprint Backlog'!$I146&lt;=C$2), 'ProductSprint Backlog'!$F146 / MAX(1, 'ProductSprint Backlog'!$J146-'ProductSprint Backlog'!$I146), AND('ProductSprint Backlog'!$J146=C$2,'ProductSprint Backlog'!$I146=C$2), 'ProductSprint Backlog'!$F146, TRUE, 0)</f>
        <v>0</v>
      </c>
      <c r="D146" s="4" cm="1">
        <f t="array" ref="D146">_xlfn.IFS('ProductSprint Backlog'!$F146="", "", AND('ProductSprint Backlog'!$J146&gt;D$2,'ProductSprint Backlog'!$I146&lt;=D$2), 'ProductSprint Backlog'!$F146 / MAX(1, 'ProductSprint Backlog'!$J146-'ProductSprint Backlog'!$I146), AND('ProductSprint Backlog'!$J146=D$2,'ProductSprint Backlog'!$I146=D$2), 'ProductSprint Backlog'!$F146, TRUE, 0)</f>
        <v>0</v>
      </c>
      <c r="E146" s="4" cm="1">
        <f t="array" ref="E146">_xlfn.IFS('ProductSprint Backlog'!$F146="", "", AND('ProductSprint Backlog'!$J146&gt;E$2,'ProductSprint Backlog'!$I146&lt;=E$2), 'ProductSprint Backlog'!$F146 / MAX(1, 'ProductSprint Backlog'!$J146-'ProductSprint Backlog'!$I146), AND('ProductSprint Backlog'!$J146=E$2,'ProductSprint Backlog'!$I146=E$2), 'ProductSprint Backlog'!$F146, TRUE, 0)</f>
        <v>0</v>
      </c>
      <c r="F146" s="4" cm="1">
        <f t="array" ref="F146">_xlfn.IFS('ProductSprint Backlog'!$F146="", "", AND('ProductSprint Backlog'!$J146&gt;F$2,'ProductSprint Backlog'!$I146&lt;=F$2), 'ProductSprint Backlog'!$F146 / MAX(1, 'ProductSprint Backlog'!$J146-'ProductSprint Backlog'!$I146), AND('ProductSprint Backlog'!$J146=F$2,'ProductSprint Backlog'!$I146=F$2), 'ProductSprint Backlog'!$F146, TRUE, 0)</f>
        <v>0</v>
      </c>
      <c r="G146" s="4" cm="1">
        <f t="array" ref="G146">_xlfn.IFS('ProductSprint Backlog'!$F146="", "", AND('ProductSprint Backlog'!$J146&gt;G$2,'ProductSprint Backlog'!$I146&lt;=G$2), 'ProductSprint Backlog'!$F146 / MAX(1, 'ProductSprint Backlog'!$J146-'ProductSprint Backlog'!$I146), AND('ProductSprint Backlog'!$J146=G$2,'ProductSprint Backlog'!$I146=G$2), 'ProductSprint Backlog'!$F146, TRUE, 0)</f>
        <v>0</v>
      </c>
      <c r="H146" s="4" cm="1">
        <f t="array" ref="H146">_xlfn.IFS('ProductSprint Backlog'!$F146="", "", AND('ProductSprint Backlog'!$J146&gt;H$2,'ProductSprint Backlog'!$I146&lt;=H$2), 'ProductSprint Backlog'!$F146 / MAX(1, 'ProductSprint Backlog'!$J146-'ProductSprint Backlog'!$I146), AND('ProductSprint Backlog'!$J146=H$2,'ProductSprint Backlog'!$I146=H$2), 'ProductSprint Backlog'!$F146, TRUE, 0)</f>
        <v>0</v>
      </c>
      <c r="I146" s="4" cm="1">
        <f t="array" ref="I146">_xlfn.IFS('ProductSprint Backlog'!$F146="", "", AND('ProductSprint Backlog'!$J146&gt;I$2,'ProductSprint Backlog'!$I146&lt;=I$2), 'ProductSprint Backlog'!$F146 / MAX(1, 'ProductSprint Backlog'!$J146-'ProductSprint Backlog'!$I146), AND('ProductSprint Backlog'!$J146=I$2,'ProductSprint Backlog'!$I146=I$2), 'ProductSprint Backlog'!$F146, TRUE, 0)</f>
        <v>0</v>
      </c>
      <c r="J146" s="4" cm="1">
        <f t="array" ref="J146">_xlfn.IFS('ProductSprint Backlog'!$F146="", "", AND('ProductSprint Backlog'!$J146&gt;J$2,'ProductSprint Backlog'!$I146&lt;=J$2), 'ProductSprint Backlog'!$F146 / MAX(1, 'ProductSprint Backlog'!$J146-'ProductSprint Backlog'!$I146), AND('ProductSprint Backlog'!$J146=J$2,'ProductSprint Backlog'!$I146=J$2), 'ProductSprint Backlog'!$F146, TRUE, 0)</f>
        <v>0</v>
      </c>
      <c r="K146" s="4" cm="1">
        <f t="array" ref="K146">_xlfn.IFS('ProductSprint Backlog'!$F146="", "", AND('ProductSprint Backlog'!$J146&gt;K$2,'ProductSprint Backlog'!$I146&lt;=K$2), 'ProductSprint Backlog'!$F146 / MAX(1, 'ProductSprint Backlog'!$J146-'ProductSprint Backlog'!$I146), AND('ProductSprint Backlog'!$J146=K$2,'ProductSprint Backlog'!$I146=K$2), 'ProductSprint Backlog'!$F146, TRUE, 0)</f>
        <v>0</v>
      </c>
      <c r="L146" s="4" cm="1">
        <f t="array" ref="L146">_xlfn.IFS('ProductSprint Backlog'!$F146="", "", AND('ProductSprint Backlog'!$J146&gt;L$2,'ProductSprint Backlog'!$I146&lt;=L$2), 'ProductSprint Backlog'!$F146 / MAX(1, 'ProductSprint Backlog'!$J146-'ProductSprint Backlog'!$I146), AND('ProductSprint Backlog'!$J146=L$2,'ProductSprint Backlog'!$I146=L$2), 'ProductSprint Backlog'!$F146, TRUE, 0)</f>
        <v>0</v>
      </c>
      <c r="M146" s="4" cm="1">
        <f t="array" ref="M146">_xlfn.IFS('ProductSprint Backlog'!$F146="", "", AND('ProductSprint Backlog'!$J146&gt;M$2,'ProductSprint Backlog'!$I146&lt;=M$2), 'ProductSprint Backlog'!$F146 / MAX(1, 'ProductSprint Backlog'!$J146-'ProductSprint Backlog'!$I146), AND('ProductSprint Backlog'!$J146=M$2,'ProductSprint Backlog'!$I146=M$2), 'ProductSprint Backlog'!$F146, TRUE, 0)</f>
        <v>0</v>
      </c>
      <c r="N146" s="4" cm="1">
        <f t="array" ref="N146">_xlfn.IFS('ProductSprint Backlog'!$F146="", "", AND('ProductSprint Backlog'!$J146&gt;N$2,'ProductSprint Backlog'!$I146&lt;=N$2), 'ProductSprint Backlog'!$F146 / MAX(1, 'ProductSprint Backlog'!$J146-'ProductSprint Backlog'!$I146), AND('ProductSprint Backlog'!$J146=N$2,'ProductSprint Backlog'!$I146=N$2), 'ProductSprint Backlog'!$F146, TRUE, 0)</f>
        <v>0</v>
      </c>
      <c r="O146" s="4" cm="1">
        <f t="array" ref="O146">_xlfn.IFS('ProductSprint Backlog'!$F146="", "", AND('ProductSprint Backlog'!$J146&gt;O$2,'ProductSprint Backlog'!$I146&lt;=O$2), 'ProductSprint Backlog'!$F146 / MAX(1, 'ProductSprint Backlog'!$J146-'ProductSprint Backlog'!$I146), AND('ProductSprint Backlog'!$J146=O$2,'ProductSprint Backlog'!$I146=O$2), 'ProductSprint Backlog'!$F146, TRUE, 0)</f>
        <v>0</v>
      </c>
      <c r="P146" s="4" cm="1">
        <f t="array" ref="P146">_xlfn.IFS('ProductSprint Backlog'!$F146="", "", AND('ProductSprint Backlog'!$J146&gt;P$2,'ProductSprint Backlog'!$I146&lt;=P$2), 'ProductSprint Backlog'!$F146 / MAX(1, 'ProductSprint Backlog'!$J146-'ProductSprint Backlog'!$I146), AND('ProductSprint Backlog'!$J146=P$2,'ProductSprint Backlog'!$I146=P$2), 'ProductSprint Backlog'!$F146, TRUE, 0)</f>
        <v>0</v>
      </c>
      <c r="Q146" s="4" cm="1">
        <f t="array" ref="Q146">_xlfn.IFS('ProductSprint Backlog'!$F146="", "", AND('ProductSprint Backlog'!$J146&gt;Q$2,'ProductSprint Backlog'!$I146&lt;=Q$2), 'ProductSprint Backlog'!$F146 / MAX(1, 'ProductSprint Backlog'!$J146-'ProductSprint Backlog'!$I146), AND('ProductSprint Backlog'!$J146=Q$2,'ProductSprint Backlog'!$I146=Q$2), 'ProductSprint Backlog'!$F146, TRUE, 0)</f>
        <v>0</v>
      </c>
    </row>
    <row r="147" spans="2:17" x14ac:dyDescent="0.2">
      <c r="B147" s="4" cm="1">
        <f t="array" ref="B147">_xlfn.IFS('ProductSprint Backlog'!$F147="", "", AND('ProductSprint Backlog'!$J147&gt;B$2,'ProductSprint Backlog'!$I147&lt;=B$2), 'ProductSprint Backlog'!$F147 / MAX(1, 'ProductSprint Backlog'!$J147-'ProductSprint Backlog'!$I147), AND('ProductSprint Backlog'!$J147=B$2,'ProductSprint Backlog'!$I147=B$2), 'ProductSprint Backlog'!$F147, TRUE, 0)</f>
        <v>0</v>
      </c>
      <c r="C147" s="4" cm="1">
        <f t="array" ref="C147">_xlfn.IFS('ProductSprint Backlog'!$F147="", "", AND('ProductSprint Backlog'!$J147&gt;C$2,'ProductSprint Backlog'!$I147&lt;=C$2), 'ProductSprint Backlog'!$F147 / MAX(1, 'ProductSprint Backlog'!$J147-'ProductSprint Backlog'!$I147), AND('ProductSprint Backlog'!$J147=C$2,'ProductSprint Backlog'!$I147=C$2), 'ProductSprint Backlog'!$F147, TRUE, 0)</f>
        <v>0</v>
      </c>
      <c r="D147" s="4" cm="1">
        <f t="array" ref="D147">_xlfn.IFS('ProductSprint Backlog'!$F147="", "", AND('ProductSprint Backlog'!$J147&gt;D$2,'ProductSprint Backlog'!$I147&lt;=D$2), 'ProductSprint Backlog'!$F147 / MAX(1, 'ProductSprint Backlog'!$J147-'ProductSprint Backlog'!$I147), AND('ProductSprint Backlog'!$J147=D$2,'ProductSprint Backlog'!$I147=D$2), 'ProductSprint Backlog'!$F147, TRUE, 0)</f>
        <v>0</v>
      </c>
      <c r="E147" s="4" cm="1">
        <f t="array" ref="E147">_xlfn.IFS('ProductSprint Backlog'!$F147="", "", AND('ProductSprint Backlog'!$J147&gt;E$2,'ProductSprint Backlog'!$I147&lt;=E$2), 'ProductSprint Backlog'!$F147 / MAX(1, 'ProductSprint Backlog'!$J147-'ProductSprint Backlog'!$I147), AND('ProductSprint Backlog'!$J147=E$2,'ProductSprint Backlog'!$I147=E$2), 'ProductSprint Backlog'!$F147, TRUE, 0)</f>
        <v>0</v>
      </c>
      <c r="F147" s="4" cm="1">
        <f t="array" ref="F147">_xlfn.IFS('ProductSprint Backlog'!$F147="", "", AND('ProductSprint Backlog'!$J147&gt;F$2,'ProductSprint Backlog'!$I147&lt;=F$2), 'ProductSprint Backlog'!$F147 / MAX(1, 'ProductSprint Backlog'!$J147-'ProductSprint Backlog'!$I147), AND('ProductSprint Backlog'!$J147=F$2,'ProductSprint Backlog'!$I147=F$2), 'ProductSprint Backlog'!$F147, TRUE, 0)</f>
        <v>0</v>
      </c>
      <c r="G147" s="4" cm="1">
        <f t="array" ref="G147">_xlfn.IFS('ProductSprint Backlog'!$F147="", "", AND('ProductSprint Backlog'!$J147&gt;G$2,'ProductSprint Backlog'!$I147&lt;=G$2), 'ProductSprint Backlog'!$F147 / MAX(1, 'ProductSprint Backlog'!$J147-'ProductSprint Backlog'!$I147), AND('ProductSprint Backlog'!$J147=G$2,'ProductSprint Backlog'!$I147=G$2), 'ProductSprint Backlog'!$F147, TRUE, 0)</f>
        <v>0</v>
      </c>
      <c r="H147" s="4" cm="1">
        <f t="array" ref="H147">_xlfn.IFS('ProductSprint Backlog'!$F147="", "", AND('ProductSprint Backlog'!$J147&gt;H$2,'ProductSprint Backlog'!$I147&lt;=H$2), 'ProductSprint Backlog'!$F147 / MAX(1, 'ProductSprint Backlog'!$J147-'ProductSprint Backlog'!$I147), AND('ProductSprint Backlog'!$J147=H$2,'ProductSprint Backlog'!$I147=H$2), 'ProductSprint Backlog'!$F147, TRUE, 0)</f>
        <v>0</v>
      </c>
      <c r="I147" s="4" cm="1">
        <f t="array" ref="I147">_xlfn.IFS('ProductSprint Backlog'!$F147="", "", AND('ProductSprint Backlog'!$J147&gt;I$2,'ProductSprint Backlog'!$I147&lt;=I$2), 'ProductSprint Backlog'!$F147 / MAX(1, 'ProductSprint Backlog'!$J147-'ProductSprint Backlog'!$I147), AND('ProductSprint Backlog'!$J147=I$2,'ProductSprint Backlog'!$I147=I$2), 'ProductSprint Backlog'!$F147, TRUE, 0)</f>
        <v>0</v>
      </c>
      <c r="J147" s="4" cm="1">
        <f t="array" ref="J147">_xlfn.IFS('ProductSprint Backlog'!$F147="", "", AND('ProductSprint Backlog'!$J147&gt;J$2,'ProductSprint Backlog'!$I147&lt;=J$2), 'ProductSprint Backlog'!$F147 / MAX(1, 'ProductSprint Backlog'!$J147-'ProductSprint Backlog'!$I147), AND('ProductSprint Backlog'!$J147=J$2,'ProductSprint Backlog'!$I147=J$2), 'ProductSprint Backlog'!$F147, TRUE, 0)</f>
        <v>0</v>
      </c>
      <c r="K147" s="4" cm="1">
        <f t="array" ref="K147">_xlfn.IFS('ProductSprint Backlog'!$F147="", "", AND('ProductSprint Backlog'!$J147&gt;K$2,'ProductSprint Backlog'!$I147&lt;=K$2), 'ProductSprint Backlog'!$F147 / MAX(1, 'ProductSprint Backlog'!$J147-'ProductSprint Backlog'!$I147), AND('ProductSprint Backlog'!$J147=K$2,'ProductSprint Backlog'!$I147=K$2), 'ProductSprint Backlog'!$F147, TRUE, 0)</f>
        <v>0</v>
      </c>
      <c r="L147" s="4" cm="1">
        <f t="array" ref="L147">_xlfn.IFS('ProductSprint Backlog'!$F147="", "", AND('ProductSprint Backlog'!$J147&gt;L$2,'ProductSprint Backlog'!$I147&lt;=L$2), 'ProductSprint Backlog'!$F147 / MAX(1, 'ProductSprint Backlog'!$J147-'ProductSprint Backlog'!$I147), AND('ProductSprint Backlog'!$J147=L$2,'ProductSprint Backlog'!$I147=L$2), 'ProductSprint Backlog'!$F147, TRUE, 0)</f>
        <v>0</v>
      </c>
      <c r="M147" s="4" cm="1">
        <f t="array" ref="M147">_xlfn.IFS('ProductSprint Backlog'!$F147="", "", AND('ProductSprint Backlog'!$J147&gt;M$2,'ProductSprint Backlog'!$I147&lt;=M$2), 'ProductSprint Backlog'!$F147 / MAX(1, 'ProductSprint Backlog'!$J147-'ProductSprint Backlog'!$I147), AND('ProductSprint Backlog'!$J147=M$2,'ProductSprint Backlog'!$I147=M$2), 'ProductSprint Backlog'!$F147, TRUE, 0)</f>
        <v>0</v>
      </c>
      <c r="N147" s="4" cm="1">
        <f t="array" ref="N147">_xlfn.IFS('ProductSprint Backlog'!$F147="", "", AND('ProductSprint Backlog'!$J147&gt;N$2,'ProductSprint Backlog'!$I147&lt;=N$2), 'ProductSprint Backlog'!$F147 / MAX(1, 'ProductSprint Backlog'!$J147-'ProductSprint Backlog'!$I147), AND('ProductSprint Backlog'!$J147=N$2,'ProductSprint Backlog'!$I147=N$2), 'ProductSprint Backlog'!$F147, TRUE, 0)</f>
        <v>0</v>
      </c>
      <c r="O147" s="4" cm="1">
        <f t="array" ref="O147">_xlfn.IFS('ProductSprint Backlog'!$F147="", "", AND('ProductSprint Backlog'!$J147&gt;O$2,'ProductSprint Backlog'!$I147&lt;=O$2), 'ProductSprint Backlog'!$F147 / MAX(1, 'ProductSprint Backlog'!$J147-'ProductSprint Backlog'!$I147), AND('ProductSprint Backlog'!$J147=O$2,'ProductSprint Backlog'!$I147=O$2), 'ProductSprint Backlog'!$F147, TRUE, 0)</f>
        <v>0</v>
      </c>
      <c r="P147" s="4" cm="1">
        <f t="array" ref="P147">_xlfn.IFS('ProductSprint Backlog'!$F147="", "", AND('ProductSprint Backlog'!$J147&gt;P$2,'ProductSprint Backlog'!$I147&lt;=P$2), 'ProductSprint Backlog'!$F147 / MAX(1, 'ProductSprint Backlog'!$J147-'ProductSprint Backlog'!$I147), AND('ProductSprint Backlog'!$J147=P$2,'ProductSprint Backlog'!$I147=P$2), 'ProductSprint Backlog'!$F147, TRUE, 0)</f>
        <v>0</v>
      </c>
      <c r="Q147" s="4" cm="1">
        <f t="array" ref="Q147">_xlfn.IFS('ProductSprint Backlog'!$F147="", "", AND('ProductSprint Backlog'!$J147&gt;Q$2,'ProductSprint Backlog'!$I147&lt;=Q$2), 'ProductSprint Backlog'!$F147 / MAX(1, 'ProductSprint Backlog'!$J147-'ProductSprint Backlog'!$I147), AND('ProductSprint Backlog'!$J147=Q$2,'ProductSprint Backlog'!$I147=Q$2), 'ProductSprint Backlog'!$F147, TRUE, 0)</f>
        <v>0</v>
      </c>
    </row>
    <row r="148" spans="2:17" x14ac:dyDescent="0.2">
      <c r="B148" s="4" cm="1">
        <f t="array" ref="B148">_xlfn.IFS('ProductSprint Backlog'!$F148="", "", AND('ProductSprint Backlog'!$J148&gt;B$2,'ProductSprint Backlog'!$I148&lt;=B$2), 'ProductSprint Backlog'!$F148 / MAX(1, 'ProductSprint Backlog'!$J148-'ProductSprint Backlog'!$I148), AND('ProductSprint Backlog'!$J148=B$2,'ProductSprint Backlog'!$I148=B$2), 'ProductSprint Backlog'!$F148, TRUE, 0)</f>
        <v>0</v>
      </c>
      <c r="C148" s="4" cm="1">
        <f t="array" ref="C148">_xlfn.IFS('ProductSprint Backlog'!$F148="", "", AND('ProductSprint Backlog'!$J148&gt;C$2,'ProductSprint Backlog'!$I148&lt;=C$2), 'ProductSprint Backlog'!$F148 / MAX(1, 'ProductSprint Backlog'!$J148-'ProductSprint Backlog'!$I148), AND('ProductSprint Backlog'!$J148=C$2,'ProductSprint Backlog'!$I148=C$2), 'ProductSprint Backlog'!$F148, TRUE, 0)</f>
        <v>0</v>
      </c>
      <c r="D148" s="4" cm="1">
        <f t="array" ref="D148">_xlfn.IFS('ProductSprint Backlog'!$F148="", "", AND('ProductSprint Backlog'!$J148&gt;D$2,'ProductSprint Backlog'!$I148&lt;=D$2), 'ProductSprint Backlog'!$F148 / MAX(1, 'ProductSprint Backlog'!$J148-'ProductSprint Backlog'!$I148), AND('ProductSprint Backlog'!$J148=D$2,'ProductSprint Backlog'!$I148=D$2), 'ProductSprint Backlog'!$F148, TRUE, 0)</f>
        <v>0</v>
      </c>
      <c r="E148" s="4" cm="1">
        <f t="array" ref="E148">_xlfn.IFS('ProductSprint Backlog'!$F148="", "", AND('ProductSprint Backlog'!$J148&gt;E$2,'ProductSprint Backlog'!$I148&lt;=E$2), 'ProductSprint Backlog'!$F148 / MAX(1, 'ProductSprint Backlog'!$J148-'ProductSprint Backlog'!$I148), AND('ProductSprint Backlog'!$J148=E$2,'ProductSprint Backlog'!$I148=E$2), 'ProductSprint Backlog'!$F148, TRUE, 0)</f>
        <v>0</v>
      </c>
      <c r="F148" s="4" cm="1">
        <f t="array" ref="F148">_xlfn.IFS('ProductSprint Backlog'!$F148="", "", AND('ProductSprint Backlog'!$J148&gt;F$2,'ProductSprint Backlog'!$I148&lt;=F$2), 'ProductSprint Backlog'!$F148 / MAX(1, 'ProductSprint Backlog'!$J148-'ProductSprint Backlog'!$I148), AND('ProductSprint Backlog'!$J148=F$2,'ProductSprint Backlog'!$I148=F$2), 'ProductSprint Backlog'!$F148, TRUE, 0)</f>
        <v>0</v>
      </c>
      <c r="G148" s="4" cm="1">
        <f t="array" ref="G148">_xlfn.IFS('ProductSprint Backlog'!$F148="", "", AND('ProductSprint Backlog'!$J148&gt;G$2,'ProductSprint Backlog'!$I148&lt;=G$2), 'ProductSprint Backlog'!$F148 / MAX(1, 'ProductSprint Backlog'!$J148-'ProductSprint Backlog'!$I148), AND('ProductSprint Backlog'!$J148=G$2,'ProductSprint Backlog'!$I148=G$2), 'ProductSprint Backlog'!$F148, TRUE, 0)</f>
        <v>0</v>
      </c>
      <c r="H148" s="4" cm="1">
        <f t="array" ref="H148">_xlfn.IFS('ProductSprint Backlog'!$F148="", "", AND('ProductSprint Backlog'!$J148&gt;H$2,'ProductSprint Backlog'!$I148&lt;=H$2), 'ProductSprint Backlog'!$F148 / MAX(1, 'ProductSprint Backlog'!$J148-'ProductSprint Backlog'!$I148), AND('ProductSprint Backlog'!$J148=H$2,'ProductSprint Backlog'!$I148=H$2), 'ProductSprint Backlog'!$F148, TRUE, 0)</f>
        <v>0</v>
      </c>
      <c r="I148" s="4" cm="1">
        <f t="array" ref="I148">_xlfn.IFS('ProductSprint Backlog'!$F148="", "", AND('ProductSprint Backlog'!$J148&gt;I$2,'ProductSprint Backlog'!$I148&lt;=I$2), 'ProductSprint Backlog'!$F148 / MAX(1, 'ProductSprint Backlog'!$J148-'ProductSprint Backlog'!$I148), AND('ProductSprint Backlog'!$J148=I$2,'ProductSprint Backlog'!$I148=I$2), 'ProductSprint Backlog'!$F148, TRUE, 0)</f>
        <v>0</v>
      </c>
      <c r="J148" s="4" cm="1">
        <f t="array" ref="J148">_xlfn.IFS('ProductSprint Backlog'!$F148="", "", AND('ProductSprint Backlog'!$J148&gt;J$2,'ProductSprint Backlog'!$I148&lt;=J$2), 'ProductSprint Backlog'!$F148 / MAX(1, 'ProductSprint Backlog'!$J148-'ProductSprint Backlog'!$I148), AND('ProductSprint Backlog'!$J148=J$2,'ProductSprint Backlog'!$I148=J$2), 'ProductSprint Backlog'!$F148, TRUE, 0)</f>
        <v>0</v>
      </c>
      <c r="K148" s="4" cm="1">
        <f t="array" ref="K148">_xlfn.IFS('ProductSprint Backlog'!$F148="", "", AND('ProductSprint Backlog'!$J148&gt;K$2,'ProductSprint Backlog'!$I148&lt;=K$2), 'ProductSprint Backlog'!$F148 / MAX(1, 'ProductSprint Backlog'!$J148-'ProductSprint Backlog'!$I148), AND('ProductSprint Backlog'!$J148=K$2,'ProductSprint Backlog'!$I148=K$2), 'ProductSprint Backlog'!$F148, TRUE, 0)</f>
        <v>0</v>
      </c>
      <c r="L148" s="4" cm="1">
        <f t="array" ref="L148">_xlfn.IFS('ProductSprint Backlog'!$F148="", "", AND('ProductSprint Backlog'!$J148&gt;L$2,'ProductSprint Backlog'!$I148&lt;=L$2), 'ProductSprint Backlog'!$F148 / MAX(1, 'ProductSprint Backlog'!$J148-'ProductSprint Backlog'!$I148), AND('ProductSprint Backlog'!$J148=L$2,'ProductSprint Backlog'!$I148=L$2), 'ProductSprint Backlog'!$F148, TRUE, 0)</f>
        <v>0</v>
      </c>
      <c r="M148" s="4" cm="1">
        <f t="array" ref="M148">_xlfn.IFS('ProductSprint Backlog'!$F148="", "", AND('ProductSprint Backlog'!$J148&gt;M$2,'ProductSprint Backlog'!$I148&lt;=M$2), 'ProductSprint Backlog'!$F148 / MAX(1, 'ProductSprint Backlog'!$J148-'ProductSprint Backlog'!$I148), AND('ProductSprint Backlog'!$J148=M$2,'ProductSprint Backlog'!$I148=M$2), 'ProductSprint Backlog'!$F148, TRUE, 0)</f>
        <v>0</v>
      </c>
      <c r="N148" s="4" cm="1">
        <f t="array" ref="N148">_xlfn.IFS('ProductSprint Backlog'!$F148="", "", AND('ProductSprint Backlog'!$J148&gt;N$2,'ProductSprint Backlog'!$I148&lt;=N$2), 'ProductSprint Backlog'!$F148 / MAX(1, 'ProductSprint Backlog'!$J148-'ProductSprint Backlog'!$I148), AND('ProductSprint Backlog'!$J148=N$2,'ProductSprint Backlog'!$I148=N$2), 'ProductSprint Backlog'!$F148, TRUE, 0)</f>
        <v>0</v>
      </c>
      <c r="O148" s="4" cm="1">
        <f t="array" ref="O148">_xlfn.IFS('ProductSprint Backlog'!$F148="", "", AND('ProductSprint Backlog'!$J148&gt;O$2,'ProductSprint Backlog'!$I148&lt;=O$2), 'ProductSprint Backlog'!$F148 / MAX(1, 'ProductSprint Backlog'!$J148-'ProductSprint Backlog'!$I148), AND('ProductSprint Backlog'!$J148=O$2,'ProductSprint Backlog'!$I148=O$2), 'ProductSprint Backlog'!$F148, TRUE, 0)</f>
        <v>0</v>
      </c>
      <c r="P148" s="4" cm="1">
        <f t="array" ref="P148">_xlfn.IFS('ProductSprint Backlog'!$F148="", "", AND('ProductSprint Backlog'!$J148&gt;P$2,'ProductSprint Backlog'!$I148&lt;=P$2), 'ProductSprint Backlog'!$F148 / MAX(1, 'ProductSprint Backlog'!$J148-'ProductSprint Backlog'!$I148), AND('ProductSprint Backlog'!$J148=P$2,'ProductSprint Backlog'!$I148=P$2), 'ProductSprint Backlog'!$F148, TRUE, 0)</f>
        <v>0</v>
      </c>
      <c r="Q148" s="4" cm="1">
        <f t="array" ref="Q148">_xlfn.IFS('ProductSprint Backlog'!$F148="", "", AND('ProductSprint Backlog'!$J148&gt;Q$2,'ProductSprint Backlog'!$I148&lt;=Q$2), 'ProductSprint Backlog'!$F148 / MAX(1, 'ProductSprint Backlog'!$J148-'ProductSprint Backlog'!$I148), AND('ProductSprint Backlog'!$J148=Q$2,'ProductSprint Backlog'!$I148=Q$2), 'ProductSprint Backlog'!$F148, TRUE, 0)</f>
        <v>0</v>
      </c>
    </row>
    <row r="149" spans="2:17" x14ac:dyDescent="0.2">
      <c r="B149" s="4" cm="1">
        <f t="array" ref="B149">_xlfn.IFS('ProductSprint Backlog'!$F149="", "", AND('ProductSprint Backlog'!$J149&gt;B$2,'ProductSprint Backlog'!$I149&lt;=B$2), 'ProductSprint Backlog'!$F149 / MAX(1, 'ProductSprint Backlog'!$J149-'ProductSprint Backlog'!$I149), AND('ProductSprint Backlog'!$J149=B$2,'ProductSprint Backlog'!$I149=B$2), 'ProductSprint Backlog'!$F149, TRUE, 0)</f>
        <v>0</v>
      </c>
      <c r="C149" s="4" cm="1">
        <f t="array" ref="C149">_xlfn.IFS('ProductSprint Backlog'!$F149="", "", AND('ProductSprint Backlog'!$J149&gt;C$2,'ProductSprint Backlog'!$I149&lt;=C$2), 'ProductSprint Backlog'!$F149 / MAX(1, 'ProductSprint Backlog'!$J149-'ProductSprint Backlog'!$I149), AND('ProductSprint Backlog'!$J149=C$2,'ProductSprint Backlog'!$I149=C$2), 'ProductSprint Backlog'!$F149, TRUE, 0)</f>
        <v>0</v>
      </c>
      <c r="D149" s="4" cm="1">
        <f t="array" ref="D149">_xlfn.IFS('ProductSprint Backlog'!$F149="", "", AND('ProductSprint Backlog'!$J149&gt;D$2,'ProductSprint Backlog'!$I149&lt;=D$2), 'ProductSprint Backlog'!$F149 / MAX(1, 'ProductSprint Backlog'!$J149-'ProductSprint Backlog'!$I149), AND('ProductSprint Backlog'!$J149=D$2,'ProductSprint Backlog'!$I149=D$2), 'ProductSprint Backlog'!$F149, TRUE, 0)</f>
        <v>0</v>
      </c>
      <c r="E149" s="4" cm="1">
        <f t="array" ref="E149">_xlfn.IFS('ProductSprint Backlog'!$F149="", "", AND('ProductSprint Backlog'!$J149&gt;E$2,'ProductSprint Backlog'!$I149&lt;=E$2), 'ProductSprint Backlog'!$F149 / MAX(1, 'ProductSprint Backlog'!$J149-'ProductSprint Backlog'!$I149), AND('ProductSprint Backlog'!$J149=E$2,'ProductSprint Backlog'!$I149=E$2), 'ProductSprint Backlog'!$F149, TRUE, 0)</f>
        <v>0</v>
      </c>
      <c r="F149" s="4" cm="1">
        <f t="array" ref="F149">_xlfn.IFS('ProductSprint Backlog'!$F149="", "", AND('ProductSprint Backlog'!$J149&gt;F$2,'ProductSprint Backlog'!$I149&lt;=F$2), 'ProductSprint Backlog'!$F149 / MAX(1, 'ProductSprint Backlog'!$J149-'ProductSprint Backlog'!$I149), AND('ProductSprint Backlog'!$J149=F$2,'ProductSprint Backlog'!$I149=F$2), 'ProductSprint Backlog'!$F149, TRUE, 0)</f>
        <v>0</v>
      </c>
      <c r="G149" s="4" cm="1">
        <f t="array" ref="G149">_xlfn.IFS('ProductSprint Backlog'!$F149="", "", AND('ProductSprint Backlog'!$J149&gt;G$2,'ProductSprint Backlog'!$I149&lt;=G$2), 'ProductSprint Backlog'!$F149 / MAX(1, 'ProductSprint Backlog'!$J149-'ProductSprint Backlog'!$I149), AND('ProductSprint Backlog'!$J149=G$2,'ProductSprint Backlog'!$I149=G$2), 'ProductSprint Backlog'!$F149, TRUE, 0)</f>
        <v>0</v>
      </c>
      <c r="H149" s="4" cm="1">
        <f t="array" ref="H149">_xlfn.IFS('ProductSprint Backlog'!$F149="", "", AND('ProductSprint Backlog'!$J149&gt;H$2,'ProductSprint Backlog'!$I149&lt;=H$2), 'ProductSprint Backlog'!$F149 / MAX(1, 'ProductSprint Backlog'!$J149-'ProductSprint Backlog'!$I149), AND('ProductSprint Backlog'!$J149=H$2,'ProductSprint Backlog'!$I149=H$2), 'ProductSprint Backlog'!$F149, TRUE, 0)</f>
        <v>0</v>
      </c>
      <c r="I149" s="4" cm="1">
        <f t="array" ref="I149">_xlfn.IFS('ProductSprint Backlog'!$F149="", "", AND('ProductSprint Backlog'!$J149&gt;I$2,'ProductSprint Backlog'!$I149&lt;=I$2), 'ProductSprint Backlog'!$F149 / MAX(1, 'ProductSprint Backlog'!$J149-'ProductSprint Backlog'!$I149), AND('ProductSprint Backlog'!$J149=I$2,'ProductSprint Backlog'!$I149=I$2), 'ProductSprint Backlog'!$F149, TRUE, 0)</f>
        <v>0</v>
      </c>
      <c r="J149" s="4" cm="1">
        <f t="array" ref="J149">_xlfn.IFS('ProductSprint Backlog'!$F149="", "", AND('ProductSprint Backlog'!$J149&gt;J$2,'ProductSprint Backlog'!$I149&lt;=J$2), 'ProductSprint Backlog'!$F149 / MAX(1, 'ProductSprint Backlog'!$J149-'ProductSprint Backlog'!$I149), AND('ProductSprint Backlog'!$J149=J$2,'ProductSprint Backlog'!$I149=J$2), 'ProductSprint Backlog'!$F149, TRUE, 0)</f>
        <v>0</v>
      </c>
      <c r="K149" s="4" cm="1">
        <f t="array" ref="K149">_xlfn.IFS('ProductSprint Backlog'!$F149="", "", AND('ProductSprint Backlog'!$J149&gt;K$2,'ProductSprint Backlog'!$I149&lt;=K$2), 'ProductSprint Backlog'!$F149 / MAX(1, 'ProductSprint Backlog'!$J149-'ProductSprint Backlog'!$I149), AND('ProductSprint Backlog'!$J149=K$2,'ProductSprint Backlog'!$I149=K$2), 'ProductSprint Backlog'!$F149, TRUE, 0)</f>
        <v>0</v>
      </c>
      <c r="L149" s="4" cm="1">
        <f t="array" ref="L149">_xlfn.IFS('ProductSprint Backlog'!$F149="", "", AND('ProductSprint Backlog'!$J149&gt;L$2,'ProductSprint Backlog'!$I149&lt;=L$2), 'ProductSprint Backlog'!$F149 / MAX(1, 'ProductSprint Backlog'!$J149-'ProductSprint Backlog'!$I149), AND('ProductSprint Backlog'!$J149=L$2,'ProductSprint Backlog'!$I149=L$2), 'ProductSprint Backlog'!$F149, TRUE, 0)</f>
        <v>0</v>
      </c>
      <c r="M149" s="4" cm="1">
        <f t="array" ref="M149">_xlfn.IFS('ProductSprint Backlog'!$F149="", "", AND('ProductSprint Backlog'!$J149&gt;M$2,'ProductSprint Backlog'!$I149&lt;=M$2), 'ProductSprint Backlog'!$F149 / MAX(1, 'ProductSprint Backlog'!$J149-'ProductSprint Backlog'!$I149), AND('ProductSprint Backlog'!$J149=M$2,'ProductSprint Backlog'!$I149=M$2), 'ProductSprint Backlog'!$F149, TRUE, 0)</f>
        <v>0</v>
      </c>
      <c r="N149" s="4" cm="1">
        <f t="array" ref="N149">_xlfn.IFS('ProductSprint Backlog'!$F149="", "", AND('ProductSprint Backlog'!$J149&gt;N$2,'ProductSprint Backlog'!$I149&lt;=N$2), 'ProductSprint Backlog'!$F149 / MAX(1, 'ProductSprint Backlog'!$J149-'ProductSprint Backlog'!$I149), AND('ProductSprint Backlog'!$J149=N$2,'ProductSprint Backlog'!$I149=N$2), 'ProductSprint Backlog'!$F149, TRUE, 0)</f>
        <v>0</v>
      </c>
      <c r="O149" s="4" cm="1">
        <f t="array" ref="O149">_xlfn.IFS('ProductSprint Backlog'!$F149="", "", AND('ProductSprint Backlog'!$J149&gt;O$2,'ProductSprint Backlog'!$I149&lt;=O$2), 'ProductSprint Backlog'!$F149 / MAX(1, 'ProductSprint Backlog'!$J149-'ProductSprint Backlog'!$I149), AND('ProductSprint Backlog'!$J149=O$2,'ProductSprint Backlog'!$I149=O$2), 'ProductSprint Backlog'!$F149, TRUE, 0)</f>
        <v>0</v>
      </c>
      <c r="P149" s="4" cm="1">
        <f t="array" ref="P149">_xlfn.IFS('ProductSprint Backlog'!$F149="", "", AND('ProductSprint Backlog'!$J149&gt;P$2,'ProductSprint Backlog'!$I149&lt;=P$2), 'ProductSprint Backlog'!$F149 / MAX(1, 'ProductSprint Backlog'!$J149-'ProductSprint Backlog'!$I149), AND('ProductSprint Backlog'!$J149=P$2,'ProductSprint Backlog'!$I149=P$2), 'ProductSprint Backlog'!$F149, TRUE, 0)</f>
        <v>0</v>
      </c>
      <c r="Q149" s="4" cm="1">
        <f t="array" ref="Q149">_xlfn.IFS('ProductSprint Backlog'!$F149="", "", AND('ProductSprint Backlog'!$J149&gt;Q$2,'ProductSprint Backlog'!$I149&lt;=Q$2), 'ProductSprint Backlog'!$F149 / MAX(1, 'ProductSprint Backlog'!$J149-'ProductSprint Backlog'!$I149), AND('ProductSprint Backlog'!$J149=Q$2,'ProductSprint Backlog'!$I149=Q$2), 'ProductSprint Backlog'!$F149, TRUE, 0)</f>
        <v>0</v>
      </c>
    </row>
    <row r="150" spans="2:17" x14ac:dyDescent="0.2">
      <c r="B150" s="4" cm="1">
        <f t="array" ref="B150">_xlfn.IFS('ProductSprint Backlog'!$F150="", "", AND('ProductSprint Backlog'!$J150&gt;B$2,'ProductSprint Backlog'!$I150&lt;=B$2), 'ProductSprint Backlog'!$F150 / MAX(1, 'ProductSprint Backlog'!$J150-'ProductSprint Backlog'!$I150), AND('ProductSprint Backlog'!$J150=B$2,'ProductSprint Backlog'!$I150=B$2), 'ProductSprint Backlog'!$F150, TRUE, 0)</f>
        <v>0</v>
      </c>
      <c r="C150" s="4" cm="1">
        <f t="array" ref="C150">_xlfn.IFS('ProductSprint Backlog'!$F150="", "", AND('ProductSprint Backlog'!$J150&gt;C$2,'ProductSprint Backlog'!$I150&lt;=C$2), 'ProductSprint Backlog'!$F150 / MAX(1, 'ProductSprint Backlog'!$J150-'ProductSprint Backlog'!$I150), AND('ProductSprint Backlog'!$J150=C$2,'ProductSprint Backlog'!$I150=C$2), 'ProductSprint Backlog'!$F150, TRUE, 0)</f>
        <v>0</v>
      </c>
      <c r="D150" s="4" cm="1">
        <f t="array" ref="D150">_xlfn.IFS('ProductSprint Backlog'!$F150="", "", AND('ProductSprint Backlog'!$J150&gt;D$2,'ProductSprint Backlog'!$I150&lt;=D$2), 'ProductSprint Backlog'!$F150 / MAX(1, 'ProductSprint Backlog'!$J150-'ProductSprint Backlog'!$I150), AND('ProductSprint Backlog'!$J150=D$2,'ProductSprint Backlog'!$I150=D$2), 'ProductSprint Backlog'!$F150, TRUE, 0)</f>
        <v>0</v>
      </c>
      <c r="E150" s="4" cm="1">
        <f t="array" ref="E150">_xlfn.IFS('ProductSprint Backlog'!$F150="", "", AND('ProductSprint Backlog'!$J150&gt;E$2,'ProductSprint Backlog'!$I150&lt;=E$2), 'ProductSprint Backlog'!$F150 / MAX(1, 'ProductSprint Backlog'!$J150-'ProductSprint Backlog'!$I150), AND('ProductSprint Backlog'!$J150=E$2,'ProductSprint Backlog'!$I150=E$2), 'ProductSprint Backlog'!$F150, TRUE, 0)</f>
        <v>0</v>
      </c>
      <c r="F150" s="4" cm="1">
        <f t="array" ref="F150">_xlfn.IFS('ProductSprint Backlog'!$F150="", "", AND('ProductSprint Backlog'!$J150&gt;F$2,'ProductSprint Backlog'!$I150&lt;=F$2), 'ProductSprint Backlog'!$F150 / MAX(1, 'ProductSprint Backlog'!$J150-'ProductSprint Backlog'!$I150), AND('ProductSprint Backlog'!$J150=F$2,'ProductSprint Backlog'!$I150=F$2), 'ProductSprint Backlog'!$F150, TRUE, 0)</f>
        <v>0</v>
      </c>
      <c r="G150" s="4" cm="1">
        <f t="array" ref="G150">_xlfn.IFS('ProductSprint Backlog'!$F150="", "", AND('ProductSprint Backlog'!$J150&gt;G$2,'ProductSprint Backlog'!$I150&lt;=G$2), 'ProductSprint Backlog'!$F150 / MAX(1, 'ProductSprint Backlog'!$J150-'ProductSprint Backlog'!$I150), AND('ProductSprint Backlog'!$J150=G$2,'ProductSprint Backlog'!$I150=G$2), 'ProductSprint Backlog'!$F150, TRUE, 0)</f>
        <v>0</v>
      </c>
      <c r="H150" s="4" cm="1">
        <f t="array" ref="H150">_xlfn.IFS('ProductSprint Backlog'!$F150="", "", AND('ProductSprint Backlog'!$J150&gt;H$2,'ProductSprint Backlog'!$I150&lt;=H$2), 'ProductSprint Backlog'!$F150 / MAX(1, 'ProductSprint Backlog'!$J150-'ProductSprint Backlog'!$I150), AND('ProductSprint Backlog'!$J150=H$2,'ProductSprint Backlog'!$I150=H$2), 'ProductSprint Backlog'!$F150, TRUE, 0)</f>
        <v>0</v>
      </c>
      <c r="I150" s="4" cm="1">
        <f t="array" ref="I150">_xlfn.IFS('ProductSprint Backlog'!$F150="", "", AND('ProductSprint Backlog'!$J150&gt;I$2,'ProductSprint Backlog'!$I150&lt;=I$2), 'ProductSprint Backlog'!$F150 / MAX(1, 'ProductSprint Backlog'!$J150-'ProductSprint Backlog'!$I150), AND('ProductSprint Backlog'!$J150=I$2,'ProductSprint Backlog'!$I150=I$2), 'ProductSprint Backlog'!$F150, TRUE, 0)</f>
        <v>0</v>
      </c>
      <c r="J150" s="4" cm="1">
        <f t="array" ref="J150">_xlfn.IFS('ProductSprint Backlog'!$F150="", "", AND('ProductSprint Backlog'!$J150&gt;J$2,'ProductSprint Backlog'!$I150&lt;=J$2), 'ProductSprint Backlog'!$F150 / MAX(1, 'ProductSprint Backlog'!$J150-'ProductSprint Backlog'!$I150), AND('ProductSprint Backlog'!$J150=J$2,'ProductSprint Backlog'!$I150=J$2), 'ProductSprint Backlog'!$F150, TRUE, 0)</f>
        <v>0</v>
      </c>
      <c r="K150" s="4" cm="1">
        <f t="array" ref="K150">_xlfn.IFS('ProductSprint Backlog'!$F150="", "", AND('ProductSprint Backlog'!$J150&gt;K$2,'ProductSprint Backlog'!$I150&lt;=K$2), 'ProductSprint Backlog'!$F150 / MAX(1, 'ProductSprint Backlog'!$J150-'ProductSprint Backlog'!$I150), AND('ProductSprint Backlog'!$J150=K$2,'ProductSprint Backlog'!$I150=K$2), 'ProductSprint Backlog'!$F150, TRUE, 0)</f>
        <v>0</v>
      </c>
      <c r="L150" s="4" cm="1">
        <f t="array" ref="L150">_xlfn.IFS('ProductSprint Backlog'!$F150="", "", AND('ProductSprint Backlog'!$J150&gt;L$2,'ProductSprint Backlog'!$I150&lt;=L$2), 'ProductSprint Backlog'!$F150 / MAX(1, 'ProductSprint Backlog'!$J150-'ProductSprint Backlog'!$I150), AND('ProductSprint Backlog'!$J150=L$2,'ProductSprint Backlog'!$I150=L$2), 'ProductSprint Backlog'!$F150, TRUE, 0)</f>
        <v>0</v>
      </c>
      <c r="M150" s="4" cm="1">
        <f t="array" ref="M150">_xlfn.IFS('ProductSprint Backlog'!$F150="", "", AND('ProductSprint Backlog'!$J150&gt;M$2,'ProductSprint Backlog'!$I150&lt;=M$2), 'ProductSprint Backlog'!$F150 / MAX(1, 'ProductSprint Backlog'!$J150-'ProductSprint Backlog'!$I150), AND('ProductSprint Backlog'!$J150=M$2,'ProductSprint Backlog'!$I150=M$2), 'ProductSprint Backlog'!$F150, TRUE, 0)</f>
        <v>0</v>
      </c>
      <c r="N150" s="4" cm="1">
        <f t="array" ref="N150">_xlfn.IFS('ProductSprint Backlog'!$F150="", "", AND('ProductSprint Backlog'!$J150&gt;N$2,'ProductSprint Backlog'!$I150&lt;=N$2), 'ProductSprint Backlog'!$F150 / MAX(1, 'ProductSprint Backlog'!$J150-'ProductSprint Backlog'!$I150), AND('ProductSprint Backlog'!$J150=N$2,'ProductSprint Backlog'!$I150=N$2), 'ProductSprint Backlog'!$F150, TRUE, 0)</f>
        <v>0</v>
      </c>
      <c r="O150" s="4" cm="1">
        <f t="array" ref="O150">_xlfn.IFS('ProductSprint Backlog'!$F150="", "", AND('ProductSprint Backlog'!$J150&gt;O$2,'ProductSprint Backlog'!$I150&lt;=O$2), 'ProductSprint Backlog'!$F150 / MAX(1, 'ProductSprint Backlog'!$J150-'ProductSprint Backlog'!$I150), AND('ProductSprint Backlog'!$J150=O$2,'ProductSprint Backlog'!$I150=O$2), 'ProductSprint Backlog'!$F150, TRUE, 0)</f>
        <v>0</v>
      </c>
      <c r="P150" s="4" cm="1">
        <f t="array" ref="P150">_xlfn.IFS('ProductSprint Backlog'!$F150="", "", AND('ProductSprint Backlog'!$J150&gt;P$2,'ProductSprint Backlog'!$I150&lt;=P$2), 'ProductSprint Backlog'!$F150 / MAX(1, 'ProductSprint Backlog'!$J150-'ProductSprint Backlog'!$I150), AND('ProductSprint Backlog'!$J150=P$2,'ProductSprint Backlog'!$I150=P$2), 'ProductSprint Backlog'!$F150, TRUE, 0)</f>
        <v>0</v>
      </c>
      <c r="Q150" s="4" cm="1">
        <f t="array" ref="Q150">_xlfn.IFS('ProductSprint Backlog'!$F150="", "", AND('ProductSprint Backlog'!$J150&gt;Q$2,'ProductSprint Backlog'!$I150&lt;=Q$2), 'ProductSprint Backlog'!$F150 / MAX(1, 'ProductSprint Backlog'!$J150-'ProductSprint Backlog'!$I150), AND('ProductSprint Backlog'!$J150=Q$2,'ProductSprint Backlog'!$I150=Q$2), 'ProductSprint Backlog'!$F150, TRUE, 0)</f>
        <v>0</v>
      </c>
    </row>
    <row r="151" spans="2:17" x14ac:dyDescent="0.2">
      <c r="B151" s="4" cm="1">
        <f t="array" ref="B151">_xlfn.IFS('ProductSprint Backlog'!$F151="", "", AND('ProductSprint Backlog'!$J151&gt;B$2,'ProductSprint Backlog'!$I151&lt;=B$2), 'ProductSprint Backlog'!$F151 / MAX(1, 'ProductSprint Backlog'!$J151-'ProductSprint Backlog'!$I151), AND('ProductSprint Backlog'!$J151=B$2,'ProductSprint Backlog'!$I151=B$2), 'ProductSprint Backlog'!$F151, TRUE, 0)</f>
        <v>0</v>
      </c>
      <c r="C151" s="4" cm="1">
        <f t="array" ref="C151">_xlfn.IFS('ProductSprint Backlog'!$F151="", "", AND('ProductSprint Backlog'!$J151&gt;C$2,'ProductSprint Backlog'!$I151&lt;=C$2), 'ProductSprint Backlog'!$F151 / MAX(1, 'ProductSprint Backlog'!$J151-'ProductSprint Backlog'!$I151), AND('ProductSprint Backlog'!$J151=C$2,'ProductSprint Backlog'!$I151=C$2), 'ProductSprint Backlog'!$F151, TRUE, 0)</f>
        <v>0</v>
      </c>
      <c r="D151" s="4" cm="1">
        <f t="array" ref="D151">_xlfn.IFS('ProductSprint Backlog'!$F151="", "", AND('ProductSprint Backlog'!$J151&gt;D$2,'ProductSprint Backlog'!$I151&lt;=D$2), 'ProductSprint Backlog'!$F151 / MAX(1, 'ProductSprint Backlog'!$J151-'ProductSprint Backlog'!$I151), AND('ProductSprint Backlog'!$J151=D$2,'ProductSprint Backlog'!$I151=D$2), 'ProductSprint Backlog'!$F151, TRUE, 0)</f>
        <v>0</v>
      </c>
      <c r="E151" s="4" cm="1">
        <f t="array" ref="E151">_xlfn.IFS('ProductSprint Backlog'!$F151="", "", AND('ProductSprint Backlog'!$J151&gt;E$2,'ProductSprint Backlog'!$I151&lt;=E$2), 'ProductSprint Backlog'!$F151 / MAX(1, 'ProductSprint Backlog'!$J151-'ProductSprint Backlog'!$I151), AND('ProductSprint Backlog'!$J151=E$2,'ProductSprint Backlog'!$I151=E$2), 'ProductSprint Backlog'!$F151, TRUE, 0)</f>
        <v>0</v>
      </c>
      <c r="F151" s="4" cm="1">
        <f t="array" ref="F151">_xlfn.IFS('ProductSprint Backlog'!$F151="", "", AND('ProductSprint Backlog'!$J151&gt;F$2,'ProductSprint Backlog'!$I151&lt;=F$2), 'ProductSprint Backlog'!$F151 / MAX(1, 'ProductSprint Backlog'!$J151-'ProductSprint Backlog'!$I151), AND('ProductSprint Backlog'!$J151=F$2,'ProductSprint Backlog'!$I151=F$2), 'ProductSprint Backlog'!$F151, TRUE, 0)</f>
        <v>0</v>
      </c>
      <c r="G151" s="4" cm="1">
        <f t="array" ref="G151">_xlfn.IFS('ProductSprint Backlog'!$F151="", "", AND('ProductSprint Backlog'!$J151&gt;G$2,'ProductSprint Backlog'!$I151&lt;=G$2), 'ProductSprint Backlog'!$F151 / MAX(1, 'ProductSprint Backlog'!$J151-'ProductSprint Backlog'!$I151), AND('ProductSprint Backlog'!$J151=G$2,'ProductSprint Backlog'!$I151=G$2), 'ProductSprint Backlog'!$F151, TRUE, 0)</f>
        <v>0</v>
      </c>
      <c r="H151" s="4" cm="1">
        <f t="array" ref="H151">_xlfn.IFS('ProductSprint Backlog'!$F151="", "", AND('ProductSprint Backlog'!$J151&gt;H$2,'ProductSprint Backlog'!$I151&lt;=H$2), 'ProductSprint Backlog'!$F151 / MAX(1, 'ProductSprint Backlog'!$J151-'ProductSprint Backlog'!$I151), AND('ProductSprint Backlog'!$J151=H$2,'ProductSprint Backlog'!$I151=H$2), 'ProductSprint Backlog'!$F151, TRUE, 0)</f>
        <v>0</v>
      </c>
      <c r="I151" s="4" cm="1">
        <f t="array" ref="I151">_xlfn.IFS('ProductSprint Backlog'!$F151="", "", AND('ProductSprint Backlog'!$J151&gt;I$2,'ProductSprint Backlog'!$I151&lt;=I$2), 'ProductSprint Backlog'!$F151 / MAX(1, 'ProductSprint Backlog'!$J151-'ProductSprint Backlog'!$I151), AND('ProductSprint Backlog'!$J151=I$2,'ProductSprint Backlog'!$I151=I$2), 'ProductSprint Backlog'!$F151, TRUE, 0)</f>
        <v>0</v>
      </c>
      <c r="J151" s="4" cm="1">
        <f t="array" ref="J151">_xlfn.IFS('ProductSprint Backlog'!$F151="", "", AND('ProductSprint Backlog'!$J151&gt;J$2,'ProductSprint Backlog'!$I151&lt;=J$2), 'ProductSprint Backlog'!$F151 / MAX(1, 'ProductSprint Backlog'!$J151-'ProductSprint Backlog'!$I151), AND('ProductSprint Backlog'!$J151=J$2,'ProductSprint Backlog'!$I151=J$2), 'ProductSprint Backlog'!$F151, TRUE, 0)</f>
        <v>0</v>
      </c>
      <c r="K151" s="4" cm="1">
        <f t="array" ref="K151">_xlfn.IFS('ProductSprint Backlog'!$F151="", "", AND('ProductSprint Backlog'!$J151&gt;K$2,'ProductSprint Backlog'!$I151&lt;=K$2), 'ProductSprint Backlog'!$F151 / MAX(1, 'ProductSprint Backlog'!$J151-'ProductSprint Backlog'!$I151), AND('ProductSprint Backlog'!$J151=K$2,'ProductSprint Backlog'!$I151=K$2), 'ProductSprint Backlog'!$F151, TRUE, 0)</f>
        <v>0</v>
      </c>
      <c r="L151" s="4" cm="1">
        <f t="array" ref="L151">_xlfn.IFS('ProductSprint Backlog'!$F151="", "", AND('ProductSprint Backlog'!$J151&gt;L$2,'ProductSprint Backlog'!$I151&lt;=L$2), 'ProductSprint Backlog'!$F151 / MAX(1, 'ProductSprint Backlog'!$J151-'ProductSprint Backlog'!$I151), AND('ProductSprint Backlog'!$J151=L$2,'ProductSprint Backlog'!$I151=L$2), 'ProductSprint Backlog'!$F151, TRUE, 0)</f>
        <v>0</v>
      </c>
      <c r="M151" s="4" cm="1">
        <f t="array" ref="M151">_xlfn.IFS('ProductSprint Backlog'!$F151="", "", AND('ProductSprint Backlog'!$J151&gt;M$2,'ProductSprint Backlog'!$I151&lt;=M$2), 'ProductSprint Backlog'!$F151 / MAX(1, 'ProductSprint Backlog'!$J151-'ProductSprint Backlog'!$I151), AND('ProductSprint Backlog'!$J151=M$2,'ProductSprint Backlog'!$I151=M$2), 'ProductSprint Backlog'!$F151, TRUE, 0)</f>
        <v>0</v>
      </c>
      <c r="N151" s="4" cm="1">
        <f t="array" ref="N151">_xlfn.IFS('ProductSprint Backlog'!$F151="", "", AND('ProductSprint Backlog'!$J151&gt;N$2,'ProductSprint Backlog'!$I151&lt;=N$2), 'ProductSprint Backlog'!$F151 / MAX(1, 'ProductSprint Backlog'!$J151-'ProductSprint Backlog'!$I151), AND('ProductSprint Backlog'!$J151=N$2,'ProductSprint Backlog'!$I151=N$2), 'ProductSprint Backlog'!$F151, TRUE, 0)</f>
        <v>0</v>
      </c>
      <c r="O151" s="4" cm="1">
        <f t="array" ref="O151">_xlfn.IFS('ProductSprint Backlog'!$F151="", "", AND('ProductSprint Backlog'!$J151&gt;O$2,'ProductSprint Backlog'!$I151&lt;=O$2), 'ProductSprint Backlog'!$F151 / MAX(1, 'ProductSprint Backlog'!$J151-'ProductSprint Backlog'!$I151), AND('ProductSprint Backlog'!$J151=O$2,'ProductSprint Backlog'!$I151=O$2), 'ProductSprint Backlog'!$F151, TRUE, 0)</f>
        <v>0</v>
      </c>
      <c r="P151" s="4" cm="1">
        <f t="array" ref="P151">_xlfn.IFS('ProductSprint Backlog'!$F151="", "", AND('ProductSprint Backlog'!$J151&gt;P$2,'ProductSprint Backlog'!$I151&lt;=P$2), 'ProductSprint Backlog'!$F151 / MAX(1, 'ProductSprint Backlog'!$J151-'ProductSprint Backlog'!$I151), AND('ProductSprint Backlog'!$J151=P$2,'ProductSprint Backlog'!$I151=P$2), 'ProductSprint Backlog'!$F151, TRUE, 0)</f>
        <v>0</v>
      </c>
      <c r="Q151" s="4" cm="1">
        <f t="array" ref="Q151">_xlfn.IFS('ProductSprint Backlog'!$F151="", "", AND('ProductSprint Backlog'!$J151&gt;Q$2,'ProductSprint Backlog'!$I151&lt;=Q$2), 'ProductSprint Backlog'!$F151 / MAX(1, 'ProductSprint Backlog'!$J151-'ProductSprint Backlog'!$I151), AND('ProductSprint Backlog'!$J151=Q$2,'ProductSprint Backlog'!$I151=Q$2), 'ProductSprint Backlog'!$F151, TRUE, 0)</f>
        <v>0</v>
      </c>
    </row>
    <row r="152" spans="2:17" x14ac:dyDescent="0.2">
      <c r="B152" s="4" cm="1">
        <f t="array" ref="B152">_xlfn.IFS('ProductSprint Backlog'!$F152="", "", AND('ProductSprint Backlog'!$J152&gt;B$2,'ProductSprint Backlog'!$I152&lt;=B$2), 'ProductSprint Backlog'!$F152 / MAX(1, 'ProductSprint Backlog'!$J152-'ProductSprint Backlog'!$I152), AND('ProductSprint Backlog'!$J152=B$2,'ProductSprint Backlog'!$I152=B$2), 'ProductSprint Backlog'!$F152, TRUE, 0)</f>
        <v>0</v>
      </c>
      <c r="C152" s="4" cm="1">
        <f t="array" ref="C152">_xlfn.IFS('ProductSprint Backlog'!$F152="", "", AND('ProductSprint Backlog'!$J152&gt;C$2,'ProductSprint Backlog'!$I152&lt;=C$2), 'ProductSprint Backlog'!$F152 / MAX(1, 'ProductSprint Backlog'!$J152-'ProductSprint Backlog'!$I152), AND('ProductSprint Backlog'!$J152=C$2,'ProductSprint Backlog'!$I152=C$2), 'ProductSprint Backlog'!$F152, TRUE, 0)</f>
        <v>0</v>
      </c>
      <c r="D152" s="4" cm="1">
        <f t="array" ref="D152">_xlfn.IFS('ProductSprint Backlog'!$F152="", "", AND('ProductSprint Backlog'!$J152&gt;D$2,'ProductSprint Backlog'!$I152&lt;=D$2), 'ProductSprint Backlog'!$F152 / MAX(1, 'ProductSprint Backlog'!$J152-'ProductSprint Backlog'!$I152), AND('ProductSprint Backlog'!$J152=D$2,'ProductSprint Backlog'!$I152=D$2), 'ProductSprint Backlog'!$F152, TRUE, 0)</f>
        <v>0</v>
      </c>
      <c r="E152" s="4" cm="1">
        <f t="array" ref="E152">_xlfn.IFS('ProductSprint Backlog'!$F152="", "", AND('ProductSprint Backlog'!$J152&gt;E$2,'ProductSprint Backlog'!$I152&lt;=E$2), 'ProductSprint Backlog'!$F152 / MAX(1, 'ProductSprint Backlog'!$J152-'ProductSprint Backlog'!$I152), AND('ProductSprint Backlog'!$J152=E$2,'ProductSprint Backlog'!$I152=E$2), 'ProductSprint Backlog'!$F152, TRUE, 0)</f>
        <v>0</v>
      </c>
      <c r="F152" s="4" cm="1">
        <f t="array" ref="F152">_xlfn.IFS('ProductSprint Backlog'!$F152="", "", AND('ProductSprint Backlog'!$J152&gt;F$2,'ProductSprint Backlog'!$I152&lt;=F$2), 'ProductSprint Backlog'!$F152 / MAX(1, 'ProductSprint Backlog'!$J152-'ProductSprint Backlog'!$I152), AND('ProductSprint Backlog'!$J152=F$2,'ProductSprint Backlog'!$I152=F$2), 'ProductSprint Backlog'!$F152, TRUE, 0)</f>
        <v>0</v>
      </c>
      <c r="G152" s="4" cm="1">
        <f t="array" ref="G152">_xlfn.IFS('ProductSprint Backlog'!$F152="", "", AND('ProductSprint Backlog'!$J152&gt;G$2,'ProductSprint Backlog'!$I152&lt;=G$2), 'ProductSprint Backlog'!$F152 / MAX(1, 'ProductSprint Backlog'!$J152-'ProductSprint Backlog'!$I152), AND('ProductSprint Backlog'!$J152=G$2,'ProductSprint Backlog'!$I152=G$2), 'ProductSprint Backlog'!$F152, TRUE, 0)</f>
        <v>0</v>
      </c>
      <c r="H152" s="4" cm="1">
        <f t="array" ref="H152">_xlfn.IFS('ProductSprint Backlog'!$F152="", "", AND('ProductSprint Backlog'!$J152&gt;H$2,'ProductSprint Backlog'!$I152&lt;=H$2), 'ProductSprint Backlog'!$F152 / MAX(1, 'ProductSprint Backlog'!$J152-'ProductSprint Backlog'!$I152), AND('ProductSprint Backlog'!$J152=H$2,'ProductSprint Backlog'!$I152=H$2), 'ProductSprint Backlog'!$F152, TRUE, 0)</f>
        <v>0</v>
      </c>
      <c r="I152" s="4" cm="1">
        <f t="array" ref="I152">_xlfn.IFS('ProductSprint Backlog'!$F152="", "", AND('ProductSprint Backlog'!$J152&gt;I$2,'ProductSprint Backlog'!$I152&lt;=I$2), 'ProductSprint Backlog'!$F152 / MAX(1, 'ProductSprint Backlog'!$J152-'ProductSprint Backlog'!$I152), AND('ProductSprint Backlog'!$J152=I$2,'ProductSprint Backlog'!$I152=I$2), 'ProductSprint Backlog'!$F152, TRUE, 0)</f>
        <v>0</v>
      </c>
      <c r="J152" s="4" cm="1">
        <f t="array" ref="J152">_xlfn.IFS('ProductSprint Backlog'!$F152="", "", AND('ProductSprint Backlog'!$J152&gt;J$2,'ProductSprint Backlog'!$I152&lt;=J$2), 'ProductSprint Backlog'!$F152 / MAX(1, 'ProductSprint Backlog'!$J152-'ProductSprint Backlog'!$I152), AND('ProductSprint Backlog'!$J152=J$2,'ProductSprint Backlog'!$I152=J$2), 'ProductSprint Backlog'!$F152, TRUE, 0)</f>
        <v>0</v>
      </c>
      <c r="K152" s="4" cm="1">
        <f t="array" ref="K152">_xlfn.IFS('ProductSprint Backlog'!$F152="", "", AND('ProductSprint Backlog'!$J152&gt;K$2,'ProductSprint Backlog'!$I152&lt;=K$2), 'ProductSprint Backlog'!$F152 / MAX(1, 'ProductSprint Backlog'!$J152-'ProductSprint Backlog'!$I152), AND('ProductSprint Backlog'!$J152=K$2,'ProductSprint Backlog'!$I152=K$2), 'ProductSprint Backlog'!$F152, TRUE, 0)</f>
        <v>0</v>
      </c>
      <c r="L152" s="4" cm="1">
        <f t="array" ref="L152">_xlfn.IFS('ProductSprint Backlog'!$F152="", "", AND('ProductSprint Backlog'!$J152&gt;L$2,'ProductSprint Backlog'!$I152&lt;=L$2), 'ProductSprint Backlog'!$F152 / MAX(1, 'ProductSprint Backlog'!$J152-'ProductSprint Backlog'!$I152), AND('ProductSprint Backlog'!$J152=L$2,'ProductSprint Backlog'!$I152=L$2), 'ProductSprint Backlog'!$F152, TRUE, 0)</f>
        <v>0</v>
      </c>
      <c r="M152" s="4" cm="1">
        <f t="array" ref="M152">_xlfn.IFS('ProductSprint Backlog'!$F152="", "", AND('ProductSprint Backlog'!$J152&gt;M$2,'ProductSprint Backlog'!$I152&lt;=M$2), 'ProductSprint Backlog'!$F152 / MAX(1, 'ProductSprint Backlog'!$J152-'ProductSprint Backlog'!$I152), AND('ProductSprint Backlog'!$J152=M$2,'ProductSprint Backlog'!$I152=M$2), 'ProductSprint Backlog'!$F152, TRUE, 0)</f>
        <v>0</v>
      </c>
      <c r="N152" s="4" cm="1">
        <f t="array" ref="N152">_xlfn.IFS('ProductSprint Backlog'!$F152="", "", AND('ProductSprint Backlog'!$J152&gt;N$2,'ProductSprint Backlog'!$I152&lt;=N$2), 'ProductSprint Backlog'!$F152 / MAX(1, 'ProductSprint Backlog'!$J152-'ProductSprint Backlog'!$I152), AND('ProductSprint Backlog'!$J152=N$2,'ProductSprint Backlog'!$I152=N$2), 'ProductSprint Backlog'!$F152, TRUE, 0)</f>
        <v>0</v>
      </c>
      <c r="O152" s="4" cm="1">
        <f t="array" ref="O152">_xlfn.IFS('ProductSprint Backlog'!$F152="", "", AND('ProductSprint Backlog'!$J152&gt;O$2,'ProductSprint Backlog'!$I152&lt;=O$2), 'ProductSprint Backlog'!$F152 / MAX(1, 'ProductSprint Backlog'!$J152-'ProductSprint Backlog'!$I152), AND('ProductSprint Backlog'!$J152=O$2,'ProductSprint Backlog'!$I152=O$2), 'ProductSprint Backlog'!$F152, TRUE, 0)</f>
        <v>0</v>
      </c>
      <c r="P152" s="4" cm="1">
        <f t="array" ref="P152">_xlfn.IFS('ProductSprint Backlog'!$F152="", "", AND('ProductSprint Backlog'!$J152&gt;P$2,'ProductSprint Backlog'!$I152&lt;=P$2), 'ProductSprint Backlog'!$F152 / MAX(1, 'ProductSprint Backlog'!$J152-'ProductSprint Backlog'!$I152), AND('ProductSprint Backlog'!$J152=P$2,'ProductSprint Backlog'!$I152=P$2), 'ProductSprint Backlog'!$F152, TRUE, 0)</f>
        <v>0</v>
      </c>
      <c r="Q152" s="4" cm="1">
        <f t="array" ref="Q152">_xlfn.IFS('ProductSprint Backlog'!$F152="", "", AND('ProductSprint Backlog'!$J152&gt;Q$2,'ProductSprint Backlog'!$I152&lt;=Q$2), 'ProductSprint Backlog'!$F152 / MAX(1, 'ProductSprint Backlog'!$J152-'ProductSprint Backlog'!$I152), AND('ProductSprint Backlog'!$J152=Q$2,'ProductSprint Backlog'!$I152=Q$2), 'ProductSprint Backlog'!$F152, TRUE, 0)</f>
        <v>0</v>
      </c>
    </row>
    <row r="153" spans="2:17" x14ac:dyDescent="0.2">
      <c r="B153" s="4" cm="1">
        <f t="array" ref="B153">_xlfn.IFS('ProductSprint Backlog'!$F153="", "", AND('ProductSprint Backlog'!$J153&gt;B$2,'ProductSprint Backlog'!$I153&lt;=B$2), 'ProductSprint Backlog'!$F153 / MAX(1, 'ProductSprint Backlog'!$J153-'ProductSprint Backlog'!$I153), AND('ProductSprint Backlog'!$J153=B$2,'ProductSprint Backlog'!$I153=B$2), 'ProductSprint Backlog'!$F153, TRUE, 0)</f>
        <v>0</v>
      </c>
      <c r="C153" s="4" cm="1">
        <f t="array" ref="C153">_xlfn.IFS('ProductSprint Backlog'!$F153="", "", AND('ProductSprint Backlog'!$J153&gt;C$2,'ProductSprint Backlog'!$I153&lt;=C$2), 'ProductSprint Backlog'!$F153 / MAX(1, 'ProductSprint Backlog'!$J153-'ProductSprint Backlog'!$I153), AND('ProductSprint Backlog'!$J153=C$2,'ProductSprint Backlog'!$I153=C$2), 'ProductSprint Backlog'!$F153, TRUE, 0)</f>
        <v>0</v>
      </c>
      <c r="D153" s="4" cm="1">
        <f t="array" ref="D153">_xlfn.IFS('ProductSprint Backlog'!$F153="", "", AND('ProductSprint Backlog'!$J153&gt;D$2,'ProductSprint Backlog'!$I153&lt;=D$2), 'ProductSprint Backlog'!$F153 / MAX(1, 'ProductSprint Backlog'!$J153-'ProductSprint Backlog'!$I153), AND('ProductSprint Backlog'!$J153=D$2,'ProductSprint Backlog'!$I153=D$2), 'ProductSprint Backlog'!$F153, TRUE, 0)</f>
        <v>0</v>
      </c>
      <c r="E153" s="4" cm="1">
        <f t="array" ref="E153">_xlfn.IFS('ProductSprint Backlog'!$F153="", "", AND('ProductSprint Backlog'!$J153&gt;E$2,'ProductSprint Backlog'!$I153&lt;=E$2), 'ProductSprint Backlog'!$F153 / MAX(1, 'ProductSprint Backlog'!$J153-'ProductSprint Backlog'!$I153), AND('ProductSprint Backlog'!$J153=E$2,'ProductSprint Backlog'!$I153=E$2), 'ProductSprint Backlog'!$F153, TRUE, 0)</f>
        <v>0</v>
      </c>
      <c r="F153" s="4" cm="1">
        <f t="array" ref="F153">_xlfn.IFS('ProductSprint Backlog'!$F153="", "", AND('ProductSprint Backlog'!$J153&gt;F$2,'ProductSprint Backlog'!$I153&lt;=F$2), 'ProductSprint Backlog'!$F153 / MAX(1, 'ProductSprint Backlog'!$J153-'ProductSprint Backlog'!$I153), AND('ProductSprint Backlog'!$J153=F$2,'ProductSprint Backlog'!$I153=F$2), 'ProductSprint Backlog'!$F153, TRUE, 0)</f>
        <v>0</v>
      </c>
      <c r="G153" s="4" cm="1">
        <f t="array" ref="G153">_xlfn.IFS('ProductSprint Backlog'!$F153="", "", AND('ProductSprint Backlog'!$J153&gt;G$2,'ProductSprint Backlog'!$I153&lt;=G$2), 'ProductSprint Backlog'!$F153 / MAX(1, 'ProductSprint Backlog'!$J153-'ProductSprint Backlog'!$I153), AND('ProductSprint Backlog'!$J153=G$2,'ProductSprint Backlog'!$I153=G$2), 'ProductSprint Backlog'!$F153, TRUE, 0)</f>
        <v>0</v>
      </c>
      <c r="H153" s="4" cm="1">
        <f t="array" ref="H153">_xlfn.IFS('ProductSprint Backlog'!$F153="", "", AND('ProductSprint Backlog'!$J153&gt;H$2,'ProductSprint Backlog'!$I153&lt;=H$2), 'ProductSprint Backlog'!$F153 / MAX(1, 'ProductSprint Backlog'!$J153-'ProductSprint Backlog'!$I153), AND('ProductSprint Backlog'!$J153=H$2,'ProductSprint Backlog'!$I153=H$2), 'ProductSprint Backlog'!$F153, TRUE, 0)</f>
        <v>0</v>
      </c>
      <c r="I153" s="4" cm="1">
        <f t="array" ref="I153">_xlfn.IFS('ProductSprint Backlog'!$F153="", "", AND('ProductSprint Backlog'!$J153&gt;I$2,'ProductSprint Backlog'!$I153&lt;=I$2), 'ProductSprint Backlog'!$F153 / MAX(1, 'ProductSprint Backlog'!$J153-'ProductSprint Backlog'!$I153), AND('ProductSprint Backlog'!$J153=I$2,'ProductSprint Backlog'!$I153=I$2), 'ProductSprint Backlog'!$F153, TRUE, 0)</f>
        <v>0</v>
      </c>
      <c r="J153" s="4" cm="1">
        <f t="array" ref="J153">_xlfn.IFS('ProductSprint Backlog'!$F153="", "", AND('ProductSprint Backlog'!$J153&gt;J$2,'ProductSprint Backlog'!$I153&lt;=J$2), 'ProductSprint Backlog'!$F153 / MAX(1, 'ProductSprint Backlog'!$J153-'ProductSprint Backlog'!$I153), AND('ProductSprint Backlog'!$J153=J$2,'ProductSprint Backlog'!$I153=J$2), 'ProductSprint Backlog'!$F153, TRUE, 0)</f>
        <v>0</v>
      </c>
      <c r="K153" s="4" cm="1">
        <f t="array" ref="K153">_xlfn.IFS('ProductSprint Backlog'!$F153="", "", AND('ProductSprint Backlog'!$J153&gt;K$2,'ProductSprint Backlog'!$I153&lt;=K$2), 'ProductSprint Backlog'!$F153 / MAX(1, 'ProductSprint Backlog'!$J153-'ProductSprint Backlog'!$I153), AND('ProductSprint Backlog'!$J153=K$2,'ProductSprint Backlog'!$I153=K$2), 'ProductSprint Backlog'!$F153, TRUE, 0)</f>
        <v>0</v>
      </c>
      <c r="L153" s="4" cm="1">
        <f t="array" ref="L153">_xlfn.IFS('ProductSprint Backlog'!$F153="", "", AND('ProductSprint Backlog'!$J153&gt;L$2,'ProductSprint Backlog'!$I153&lt;=L$2), 'ProductSprint Backlog'!$F153 / MAX(1, 'ProductSprint Backlog'!$J153-'ProductSprint Backlog'!$I153), AND('ProductSprint Backlog'!$J153=L$2,'ProductSprint Backlog'!$I153=L$2), 'ProductSprint Backlog'!$F153, TRUE, 0)</f>
        <v>0</v>
      </c>
      <c r="M153" s="4" cm="1">
        <f t="array" ref="M153">_xlfn.IFS('ProductSprint Backlog'!$F153="", "", AND('ProductSprint Backlog'!$J153&gt;M$2,'ProductSprint Backlog'!$I153&lt;=M$2), 'ProductSprint Backlog'!$F153 / MAX(1, 'ProductSprint Backlog'!$J153-'ProductSprint Backlog'!$I153), AND('ProductSprint Backlog'!$J153=M$2,'ProductSprint Backlog'!$I153=M$2), 'ProductSprint Backlog'!$F153, TRUE, 0)</f>
        <v>0</v>
      </c>
      <c r="N153" s="4" cm="1">
        <f t="array" ref="N153">_xlfn.IFS('ProductSprint Backlog'!$F153="", "", AND('ProductSprint Backlog'!$J153&gt;N$2,'ProductSprint Backlog'!$I153&lt;=N$2), 'ProductSprint Backlog'!$F153 / MAX(1, 'ProductSprint Backlog'!$J153-'ProductSprint Backlog'!$I153), AND('ProductSprint Backlog'!$J153=N$2,'ProductSprint Backlog'!$I153=N$2), 'ProductSprint Backlog'!$F153, TRUE, 0)</f>
        <v>0</v>
      </c>
      <c r="O153" s="4" cm="1">
        <f t="array" ref="O153">_xlfn.IFS('ProductSprint Backlog'!$F153="", "", AND('ProductSprint Backlog'!$J153&gt;O$2,'ProductSprint Backlog'!$I153&lt;=O$2), 'ProductSprint Backlog'!$F153 / MAX(1, 'ProductSprint Backlog'!$J153-'ProductSprint Backlog'!$I153), AND('ProductSprint Backlog'!$J153=O$2,'ProductSprint Backlog'!$I153=O$2), 'ProductSprint Backlog'!$F153, TRUE, 0)</f>
        <v>0</v>
      </c>
      <c r="P153" s="4" cm="1">
        <f t="array" ref="P153">_xlfn.IFS('ProductSprint Backlog'!$F153="", "", AND('ProductSprint Backlog'!$J153&gt;P$2,'ProductSprint Backlog'!$I153&lt;=P$2), 'ProductSprint Backlog'!$F153 / MAX(1, 'ProductSprint Backlog'!$J153-'ProductSprint Backlog'!$I153), AND('ProductSprint Backlog'!$J153=P$2,'ProductSprint Backlog'!$I153=P$2), 'ProductSprint Backlog'!$F153, TRUE, 0)</f>
        <v>0</v>
      </c>
      <c r="Q153" s="4" cm="1">
        <f t="array" ref="Q153">_xlfn.IFS('ProductSprint Backlog'!$F153="", "", AND('ProductSprint Backlog'!$J153&gt;Q$2,'ProductSprint Backlog'!$I153&lt;=Q$2), 'ProductSprint Backlog'!$F153 / MAX(1, 'ProductSprint Backlog'!$J153-'ProductSprint Backlog'!$I153), AND('ProductSprint Backlog'!$J153=Q$2,'ProductSprint Backlog'!$I153=Q$2), 'ProductSprint Backlog'!$F153, TRUE, 0)</f>
        <v>0</v>
      </c>
    </row>
    <row r="154" spans="2:17" x14ac:dyDescent="0.2">
      <c r="B154" s="4" cm="1">
        <f t="array" ref="B154">_xlfn.IFS('ProductSprint Backlog'!$F154="", "", AND('ProductSprint Backlog'!$J154&gt;B$2,'ProductSprint Backlog'!$I154&lt;=B$2), 'ProductSprint Backlog'!$F154 / MAX(1, 'ProductSprint Backlog'!$J154-'ProductSprint Backlog'!$I154), AND('ProductSprint Backlog'!$J154=B$2,'ProductSprint Backlog'!$I154=B$2), 'ProductSprint Backlog'!$F154, TRUE, 0)</f>
        <v>0</v>
      </c>
      <c r="C154" s="4" cm="1">
        <f t="array" ref="C154">_xlfn.IFS('ProductSprint Backlog'!$F154="", "", AND('ProductSprint Backlog'!$J154&gt;C$2,'ProductSprint Backlog'!$I154&lt;=C$2), 'ProductSprint Backlog'!$F154 / MAX(1, 'ProductSprint Backlog'!$J154-'ProductSprint Backlog'!$I154), AND('ProductSprint Backlog'!$J154=C$2,'ProductSprint Backlog'!$I154=C$2), 'ProductSprint Backlog'!$F154, TRUE, 0)</f>
        <v>0</v>
      </c>
      <c r="D154" s="4" cm="1">
        <f t="array" ref="D154">_xlfn.IFS('ProductSprint Backlog'!$F154="", "", AND('ProductSprint Backlog'!$J154&gt;D$2,'ProductSprint Backlog'!$I154&lt;=D$2), 'ProductSprint Backlog'!$F154 / MAX(1, 'ProductSprint Backlog'!$J154-'ProductSprint Backlog'!$I154), AND('ProductSprint Backlog'!$J154=D$2,'ProductSprint Backlog'!$I154=D$2), 'ProductSprint Backlog'!$F154, TRUE, 0)</f>
        <v>0</v>
      </c>
      <c r="E154" s="4" cm="1">
        <f t="array" ref="E154">_xlfn.IFS('ProductSprint Backlog'!$F154="", "", AND('ProductSprint Backlog'!$J154&gt;E$2,'ProductSprint Backlog'!$I154&lt;=E$2), 'ProductSprint Backlog'!$F154 / MAX(1, 'ProductSprint Backlog'!$J154-'ProductSprint Backlog'!$I154), AND('ProductSprint Backlog'!$J154=E$2,'ProductSprint Backlog'!$I154=E$2), 'ProductSprint Backlog'!$F154, TRUE, 0)</f>
        <v>0</v>
      </c>
      <c r="F154" s="4" cm="1">
        <f t="array" ref="F154">_xlfn.IFS('ProductSprint Backlog'!$F154="", "", AND('ProductSprint Backlog'!$J154&gt;F$2,'ProductSprint Backlog'!$I154&lt;=F$2), 'ProductSprint Backlog'!$F154 / MAX(1, 'ProductSprint Backlog'!$J154-'ProductSprint Backlog'!$I154), AND('ProductSprint Backlog'!$J154=F$2,'ProductSprint Backlog'!$I154=F$2), 'ProductSprint Backlog'!$F154, TRUE, 0)</f>
        <v>0</v>
      </c>
      <c r="G154" s="4" cm="1">
        <f t="array" ref="G154">_xlfn.IFS('ProductSprint Backlog'!$F154="", "", AND('ProductSprint Backlog'!$J154&gt;G$2,'ProductSprint Backlog'!$I154&lt;=G$2), 'ProductSprint Backlog'!$F154 / MAX(1, 'ProductSprint Backlog'!$J154-'ProductSprint Backlog'!$I154), AND('ProductSprint Backlog'!$J154=G$2,'ProductSprint Backlog'!$I154=G$2), 'ProductSprint Backlog'!$F154, TRUE, 0)</f>
        <v>0</v>
      </c>
      <c r="H154" s="4" cm="1">
        <f t="array" ref="H154">_xlfn.IFS('ProductSprint Backlog'!$F154="", "", AND('ProductSprint Backlog'!$J154&gt;H$2,'ProductSprint Backlog'!$I154&lt;=H$2), 'ProductSprint Backlog'!$F154 / MAX(1, 'ProductSprint Backlog'!$J154-'ProductSprint Backlog'!$I154), AND('ProductSprint Backlog'!$J154=H$2,'ProductSprint Backlog'!$I154=H$2), 'ProductSprint Backlog'!$F154, TRUE, 0)</f>
        <v>0</v>
      </c>
      <c r="I154" s="4" cm="1">
        <f t="array" ref="I154">_xlfn.IFS('ProductSprint Backlog'!$F154="", "", AND('ProductSprint Backlog'!$J154&gt;I$2,'ProductSprint Backlog'!$I154&lt;=I$2), 'ProductSprint Backlog'!$F154 / MAX(1, 'ProductSprint Backlog'!$J154-'ProductSprint Backlog'!$I154), AND('ProductSprint Backlog'!$J154=I$2,'ProductSprint Backlog'!$I154=I$2), 'ProductSprint Backlog'!$F154, TRUE, 0)</f>
        <v>0</v>
      </c>
      <c r="J154" s="4" cm="1">
        <f t="array" ref="J154">_xlfn.IFS('ProductSprint Backlog'!$F154="", "", AND('ProductSprint Backlog'!$J154&gt;J$2,'ProductSprint Backlog'!$I154&lt;=J$2), 'ProductSprint Backlog'!$F154 / MAX(1, 'ProductSprint Backlog'!$J154-'ProductSprint Backlog'!$I154), AND('ProductSprint Backlog'!$J154=J$2,'ProductSprint Backlog'!$I154=J$2), 'ProductSprint Backlog'!$F154, TRUE, 0)</f>
        <v>0</v>
      </c>
      <c r="K154" s="4" cm="1">
        <f t="array" ref="K154">_xlfn.IFS('ProductSprint Backlog'!$F154="", "", AND('ProductSprint Backlog'!$J154&gt;K$2,'ProductSprint Backlog'!$I154&lt;=K$2), 'ProductSprint Backlog'!$F154 / MAX(1, 'ProductSprint Backlog'!$J154-'ProductSprint Backlog'!$I154), AND('ProductSprint Backlog'!$J154=K$2,'ProductSprint Backlog'!$I154=K$2), 'ProductSprint Backlog'!$F154, TRUE, 0)</f>
        <v>0</v>
      </c>
      <c r="L154" s="4" cm="1">
        <f t="array" ref="L154">_xlfn.IFS('ProductSprint Backlog'!$F154="", "", AND('ProductSprint Backlog'!$J154&gt;L$2,'ProductSprint Backlog'!$I154&lt;=L$2), 'ProductSprint Backlog'!$F154 / MAX(1, 'ProductSprint Backlog'!$J154-'ProductSprint Backlog'!$I154), AND('ProductSprint Backlog'!$J154=L$2,'ProductSprint Backlog'!$I154=L$2), 'ProductSprint Backlog'!$F154, TRUE, 0)</f>
        <v>0</v>
      </c>
      <c r="M154" s="4" cm="1">
        <f t="array" ref="M154">_xlfn.IFS('ProductSprint Backlog'!$F154="", "", AND('ProductSprint Backlog'!$J154&gt;M$2,'ProductSprint Backlog'!$I154&lt;=M$2), 'ProductSprint Backlog'!$F154 / MAX(1, 'ProductSprint Backlog'!$J154-'ProductSprint Backlog'!$I154), AND('ProductSprint Backlog'!$J154=M$2,'ProductSprint Backlog'!$I154=M$2), 'ProductSprint Backlog'!$F154, TRUE, 0)</f>
        <v>0</v>
      </c>
      <c r="N154" s="4" cm="1">
        <f t="array" ref="N154">_xlfn.IFS('ProductSprint Backlog'!$F154="", "", AND('ProductSprint Backlog'!$J154&gt;N$2,'ProductSprint Backlog'!$I154&lt;=N$2), 'ProductSprint Backlog'!$F154 / MAX(1, 'ProductSprint Backlog'!$J154-'ProductSprint Backlog'!$I154), AND('ProductSprint Backlog'!$J154=N$2,'ProductSprint Backlog'!$I154=N$2), 'ProductSprint Backlog'!$F154, TRUE, 0)</f>
        <v>0</v>
      </c>
      <c r="O154" s="4" cm="1">
        <f t="array" ref="O154">_xlfn.IFS('ProductSprint Backlog'!$F154="", "", AND('ProductSprint Backlog'!$J154&gt;O$2,'ProductSprint Backlog'!$I154&lt;=O$2), 'ProductSprint Backlog'!$F154 / MAX(1, 'ProductSprint Backlog'!$J154-'ProductSprint Backlog'!$I154), AND('ProductSprint Backlog'!$J154=O$2,'ProductSprint Backlog'!$I154=O$2), 'ProductSprint Backlog'!$F154, TRUE, 0)</f>
        <v>0</v>
      </c>
      <c r="P154" s="4" cm="1">
        <f t="array" ref="P154">_xlfn.IFS('ProductSprint Backlog'!$F154="", "", AND('ProductSprint Backlog'!$J154&gt;P$2,'ProductSprint Backlog'!$I154&lt;=P$2), 'ProductSprint Backlog'!$F154 / MAX(1, 'ProductSprint Backlog'!$J154-'ProductSprint Backlog'!$I154), AND('ProductSprint Backlog'!$J154=P$2,'ProductSprint Backlog'!$I154=P$2), 'ProductSprint Backlog'!$F154, TRUE, 0)</f>
        <v>0</v>
      </c>
      <c r="Q154" s="4" cm="1">
        <f t="array" ref="Q154">_xlfn.IFS('ProductSprint Backlog'!$F154="", "", AND('ProductSprint Backlog'!$J154&gt;Q$2,'ProductSprint Backlog'!$I154&lt;=Q$2), 'ProductSprint Backlog'!$F154 / MAX(1, 'ProductSprint Backlog'!$J154-'ProductSprint Backlog'!$I154), AND('ProductSprint Backlog'!$J154=Q$2,'ProductSprint Backlog'!$I154=Q$2), 'ProductSprint Backlog'!$F154, TRUE, 0)</f>
        <v>0</v>
      </c>
    </row>
    <row r="155" spans="2:17" x14ac:dyDescent="0.2">
      <c r="B155" s="4" cm="1">
        <f t="array" ref="B155">_xlfn.IFS('ProductSprint Backlog'!$F155="", "", AND('ProductSprint Backlog'!$J155&gt;B$2,'ProductSprint Backlog'!$I155&lt;=B$2), 'ProductSprint Backlog'!$F155 / MAX(1, 'ProductSprint Backlog'!$J155-'ProductSprint Backlog'!$I155), AND('ProductSprint Backlog'!$J155=B$2,'ProductSprint Backlog'!$I155=B$2), 'ProductSprint Backlog'!$F155, TRUE, 0)</f>
        <v>0</v>
      </c>
      <c r="C155" s="4" cm="1">
        <f t="array" ref="C155">_xlfn.IFS('ProductSprint Backlog'!$F155="", "", AND('ProductSprint Backlog'!$J155&gt;C$2,'ProductSprint Backlog'!$I155&lt;=C$2), 'ProductSprint Backlog'!$F155 / MAX(1, 'ProductSprint Backlog'!$J155-'ProductSprint Backlog'!$I155), AND('ProductSprint Backlog'!$J155=C$2,'ProductSprint Backlog'!$I155=C$2), 'ProductSprint Backlog'!$F155, TRUE, 0)</f>
        <v>0</v>
      </c>
      <c r="D155" s="4" cm="1">
        <f t="array" ref="D155">_xlfn.IFS('ProductSprint Backlog'!$F155="", "", AND('ProductSprint Backlog'!$J155&gt;D$2,'ProductSprint Backlog'!$I155&lt;=D$2), 'ProductSprint Backlog'!$F155 / MAX(1, 'ProductSprint Backlog'!$J155-'ProductSprint Backlog'!$I155), AND('ProductSprint Backlog'!$J155=D$2,'ProductSprint Backlog'!$I155=D$2), 'ProductSprint Backlog'!$F155, TRUE, 0)</f>
        <v>0</v>
      </c>
      <c r="E155" s="4" cm="1">
        <f t="array" ref="E155">_xlfn.IFS('ProductSprint Backlog'!$F155="", "", AND('ProductSprint Backlog'!$J155&gt;E$2,'ProductSprint Backlog'!$I155&lt;=E$2), 'ProductSprint Backlog'!$F155 / MAX(1, 'ProductSprint Backlog'!$J155-'ProductSprint Backlog'!$I155), AND('ProductSprint Backlog'!$J155=E$2,'ProductSprint Backlog'!$I155=E$2), 'ProductSprint Backlog'!$F155, TRUE, 0)</f>
        <v>0</v>
      </c>
      <c r="F155" s="4" cm="1">
        <f t="array" ref="F155">_xlfn.IFS('ProductSprint Backlog'!$F155="", "", AND('ProductSprint Backlog'!$J155&gt;F$2,'ProductSprint Backlog'!$I155&lt;=F$2), 'ProductSprint Backlog'!$F155 / MAX(1, 'ProductSprint Backlog'!$J155-'ProductSprint Backlog'!$I155), AND('ProductSprint Backlog'!$J155=F$2,'ProductSprint Backlog'!$I155=F$2), 'ProductSprint Backlog'!$F155, TRUE, 0)</f>
        <v>0</v>
      </c>
      <c r="G155" s="4" cm="1">
        <f t="array" ref="G155">_xlfn.IFS('ProductSprint Backlog'!$F155="", "", AND('ProductSprint Backlog'!$J155&gt;G$2,'ProductSprint Backlog'!$I155&lt;=G$2), 'ProductSprint Backlog'!$F155 / MAX(1, 'ProductSprint Backlog'!$J155-'ProductSprint Backlog'!$I155), AND('ProductSprint Backlog'!$J155=G$2,'ProductSprint Backlog'!$I155=G$2), 'ProductSprint Backlog'!$F155, TRUE, 0)</f>
        <v>0</v>
      </c>
      <c r="H155" s="4" cm="1">
        <f t="array" ref="H155">_xlfn.IFS('ProductSprint Backlog'!$F155="", "", AND('ProductSprint Backlog'!$J155&gt;H$2,'ProductSprint Backlog'!$I155&lt;=H$2), 'ProductSprint Backlog'!$F155 / MAX(1, 'ProductSprint Backlog'!$J155-'ProductSprint Backlog'!$I155), AND('ProductSprint Backlog'!$J155=H$2,'ProductSprint Backlog'!$I155=H$2), 'ProductSprint Backlog'!$F155, TRUE, 0)</f>
        <v>0</v>
      </c>
      <c r="I155" s="4" cm="1">
        <f t="array" ref="I155">_xlfn.IFS('ProductSprint Backlog'!$F155="", "", AND('ProductSprint Backlog'!$J155&gt;I$2,'ProductSprint Backlog'!$I155&lt;=I$2), 'ProductSprint Backlog'!$F155 / MAX(1, 'ProductSprint Backlog'!$J155-'ProductSprint Backlog'!$I155), AND('ProductSprint Backlog'!$J155=I$2,'ProductSprint Backlog'!$I155=I$2), 'ProductSprint Backlog'!$F155, TRUE, 0)</f>
        <v>0</v>
      </c>
      <c r="J155" s="4" cm="1">
        <f t="array" ref="J155">_xlfn.IFS('ProductSprint Backlog'!$F155="", "", AND('ProductSprint Backlog'!$J155&gt;J$2,'ProductSprint Backlog'!$I155&lt;=J$2), 'ProductSprint Backlog'!$F155 / MAX(1, 'ProductSprint Backlog'!$J155-'ProductSprint Backlog'!$I155), AND('ProductSprint Backlog'!$J155=J$2,'ProductSprint Backlog'!$I155=J$2), 'ProductSprint Backlog'!$F155, TRUE, 0)</f>
        <v>0</v>
      </c>
      <c r="K155" s="4" cm="1">
        <f t="array" ref="K155">_xlfn.IFS('ProductSprint Backlog'!$F155="", "", AND('ProductSprint Backlog'!$J155&gt;K$2,'ProductSprint Backlog'!$I155&lt;=K$2), 'ProductSprint Backlog'!$F155 / MAX(1, 'ProductSprint Backlog'!$J155-'ProductSprint Backlog'!$I155), AND('ProductSprint Backlog'!$J155=K$2,'ProductSprint Backlog'!$I155=K$2), 'ProductSprint Backlog'!$F155, TRUE, 0)</f>
        <v>0</v>
      </c>
      <c r="L155" s="4" cm="1">
        <f t="array" ref="L155">_xlfn.IFS('ProductSprint Backlog'!$F155="", "", AND('ProductSprint Backlog'!$J155&gt;L$2,'ProductSprint Backlog'!$I155&lt;=L$2), 'ProductSprint Backlog'!$F155 / MAX(1, 'ProductSprint Backlog'!$J155-'ProductSprint Backlog'!$I155), AND('ProductSprint Backlog'!$J155=L$2,'ProductSprint Backlog'!$I155=L$2), 'ProductSprint Backlog'!$F155, TRUE, 0)</f>
        <v>0</v>
      </c>
      <c r="M155" s="4" cm="1">
        <f t="array" ref="M155">_xlfn.IFS('ProductSprint Backlog'!$F155="", "", AND('ProductSprint Backlog'!$J155&gt;M$2,'ProductSprint Backlog'!$I155&lt;=M$2), 'ProductSprint Backlog'!$F155 / MAX(1, 'ProductSprint Backlog'!$J155-'ProductSprint Backlog'!$I155), AND('ProductSprint Backlog'!$J155=M$2,'ProductSprint Backlog'!$I155=M$2), 'ProductSprint Backlog'!$F155, TRUE, 0)</f>
        <v>0</v>
      </c>
      <c r="N155" s="4" cm="1">
        <f t="array" ref="N155">_xlfn.IFS('ProductSprint Backlog'!$F155="", "", AND('ProductSprint Backlog'!$J155&gt;N$2,'ProductSprint Backlog'!$I155&lt;=N$2), 'ProductSprint Backlog'!$F155 / MAX(1, 'ProductSprint Backlog'!$J155-'ProductSprint Backlog'!$I155), AND('ProductSprint Backlog'!$J155=N$2,'ProductSprint Backlog'!$I155=N$2), 'ProductSprint Backlog'!$F155, TRUE, 0)</f>
        <v>0</v>
      </c>
      <c r="O155" s="4" cm="1">
        <f t="array" ref="O155">_xlfn.IFS('ProductSprint Backlog'!$F155="", "", AND('ProductSprint Backlog'!$J155&gt;O$2,'ProductSprint Backlog'!$I155&lt;=O$2), 'ProductSprint Backlog'!$F155 / MAX(1, 'ProductSprint Backlog'!$J155-'ProductSprint Backlog'!$I155), AND('ProductSprint Backlog'!$J155=O$2,'ProductSprint Backlog'!$I155=O$2), 'ProductSprint Backlog'!$F155, TRUE, 0)</f>
        <v>0</v>
      </c>
      <c r="P155" s="4" cm="1">
        <f t="array" ref="P155">_xlfn.IFS('ProductSprint Backlog'!$F155="", "", AND('ProductSprint Backlog'!$J155&gt;P$2,'ProductSprint Backlog'!$I155&lt;=P$2), 'ProductSprint Backlog'!$F155 / MAX(1, 'ProductSprint Backlog'!$J155-'ProductSprint Backlog'!$I155), AND('ProductSprint Backlog'!$J155=P$2,'ProductSprint Backlog'!$I155=P$2), 'ProductSprint Backlog'!$F155, TRUE, 0)</f>
        <v>0</v>
      </c>
      <c r="Q155" s="4" cm="1">
        <f t="array" ref="Q155">_xlfn.IFS('ProductSprint Backlog'!$F155="", "", AND('ProductSprint Backlog'!$J155&gt;Q$2,'ProductSprint Backlog'!$I155&lt;=Q$2), 'ProductSprint Backlog'!$F155 / MAX(1, 'ProductSprint Backlog'!$J155-'ProductSprint Backlog'!$I155), AND('ProductSprint Backlog'!$J155=Q$2,'ProductSprint Backlog'!$I155=Q$2), 'ProductSprint Backlog'!$F155, TRUE, 0)</f>
        <v>0</v>
      </c>
    </row>
    <row r="156" spans="2:17" x14ac:dyDescent="0.2">
      <c r="B156" s="4" cm="1">
        <f t="array" ref="B156">_xlfn.IFS('ProductSprint Backlog'!$F156="", "", AND('ProductSprint Backlog'!$J156&gt;B$2,'ProductSprint Backlog'!$I156&lt;=B$2), 'ProductSprint Backlog'!$F156 / MAX(1, 'ProductSprint Backlog'!$J156-'ProductSprint Backlog'!$I156), AND('ProductSprint Backlog'!$J156=B$2,'ProductSprint Backlog'!$I156=B$2), 'ProductSprint Backlog'!$F156, TRUE, 0)</f>
        <v>0</v>
      </c>
      <c r="C156" s="4" cm="1">
        <f t="array" ref="C156">_xlfn.IFS('ProductSprint Backlog'!$F156="", "", AND('ProductSprint Backlog'!$J156&gt;C$2,'ProductSprint Backlog'!$I156&lt;=C$2), 'ProductSprint Backlog'!$F156 / MAX(1, 'ProductSprint Backlog'!$J156-'ProductSprint Backlog'!$I156), AND('ProductSprint Backlog'!$J156=C$2,'ProductSprint Backlog'!$I156=C$2), 'ProductSprint Backlog'!$F156, TRUE, 0)</f>
        <v>0</v>
      </c>
      <c r="D156" s="4" cm="1">
        <f t="array" ref="D156">_xlfn.IFS('ProductSprint Backlog'!$F156="", "", AND('ProductSprint Backlog'!$J156&gt;D$2,'ProductSprint Backlog'!$I156&lt;=D$2), 'ProductSprint Backlog'!$F156 / MAX(1, 'ProductSprint Backlog'!$J156-'ProductSprint Backlog'!$I156), AND('ProductSprint Backlog'!$J156=D$2,'ProductSprint Backlog'!$I156=D$2), 'ProductSprint Backlog'!$F156, TRUE, 0)</f>
        <v>0</v>
      </c>
      <c r="E156" s="4" cm="1">
        <f t="array" ref="E156">_xlfn.IFS('ProductSprint Backlog'!$F156="", "", AND('ProductSprint Backlog'!$J156&gt;E$2,'ProductSprint Backlog'!$I156&lt;=E$2), 'ProductSprint Backlog'!$F156 / MAX(1, 'ProductSprint Backlog'!$J156-'ProductSprint Backlog'!$I156), AND('ProductSprint Backlog'!$J156=E$2,'ProductSprint Backlog'!$I156=E$2), 'ProductSprint Backlog'!$F156, TRUE, 0)</f>
        <v>0</v>
      </c>
      <c r="F156" s="4" cm="1">
        <f t="array" ref="F156">_xlfn.IFS('ProductSprint Backlog'!$F156="", "", AND('ProductSprint Backlog'!$J156&gt;F$2,'ProductSprint Backlog'!$I156&lt;=F$2), 'ProductSprint Backlog'!$F156 / MAX(1, 'ProductSprint Backlog'!$J156-'ProductSprint Backlog'!$I156), AND('ProductSprint Backlog'!$J156=F$2,'ProductSprint Backlog'!$I156=F$2), 'ProductSprint Backlog'!$F156, TRUE, 0)</f>
        <v>0</v>
      </c>
      <c r="G156" s="4" cm="1">
        <f t="array" ref="G156">_xlfn.IFS('ProductSprint Backlog'!$F156="", "", AND('ProductSprint Backlog'!$J156&gt;G$2,'ProductSprint Backlog'!$I156&lt;=G$2), 'ProductSprint Backlog'!$F156 / MAX(1, 'ProductSprint Backlog'!$J156-'ProductSprint Backlog'!$I156), AND('ProductSprint Backlog'!$J156=G$2,'ProductSprint Backlog'!$I156=G$2), 'ProductSprint Backlog'!$F156, TRUE, 0)</f>
        <v>0</v>
      </c>
      <c r="H156" s="4" cm="1">
        <f t="array" ref="H156">_xlfn.IFS('ProductSprint Backlog'!$F156="", "", AND('ProductSprint Backlog'!$J156&gt;H$2,'ProductSprint Backlog'!$I156&lt;=H$2), 'ProductSprint Backlog'!$F156 / MAX(1, 'ProductSprint Backlog'!$J156-'ProductSprint Backlog'!$I156), AND('ProductSprint Backlog'!$J156=H$2,'ProductSprint Backlog'!$I156=H$2), 'ProductSprint Backlog'!$F156, TRUE, 0)</f>
        <v>0</v>
      </c>
      <c r="I156" s="4" cm="1">
        <f t="array" ref="I156">_xlfn.IFS('ProductSprint Backlog'!$F156="", "", AND('ProductSprint Backlog'!$J156&gt;I$2,'ProductSprint Backlog'!$I156&lt;=I$2), 'ProductSprint Backlog'!$F156 / MAX(1, 'ProductSprint Backlog'!$J156-'ProductSprint Backlog'!$I156), AND('ProductSprint Backlog'!$J156=I$2,'ProductSprint Backlog'!$I156=I$2), 'ProductSprint Backlog'!$F156, TRUE, 0)</f>
        <v>0</v>
      </c>
      <c r="J156" s="4" cm="1">
        <f t="array" ref="J156">_xlfn.IFS('ProductSprint Backlog'!$F156="", "", AND('ProductSprint Backlog'!$J156&gt;J$2,'ProductSprint Backlog'!$I156&lt;=J$2), 'ProductSprint Backlog'!$F156 / MAX(1, 'ProductSprint Backlog'!$J156-'ProductSprint Backlog'!$I156), AND('ProductSprint Backlog'!$J156=J$2,'ProductSprint Backlog'!$I156=J$2), 'ProductSprint Backlog'!$F156, TRUE, 0)</f>
        <v>0</v>
      </c>
      <c r="K156" s="4" cm="1">
        <f t="array" ref="K156">_xlfn.IFS('ProductSprint Backlog'!$F156="", "", AND('ProductSprint Backlog'!$J156&gt;K$2,'ProductSprint Backlog'!$I156&lt;=K$2), 'ProductSprint Backlog'!$F156 / MAX(1, 'ProductSprint Backlog'!$J156-'ProductSprint Backlog'!$I156), AND('ProductSprint Backlog'!$J156=K$2,'ProductSprint Backlog'!$I156=K$2), 'ProductSprint Backlog'!$F156, TRUE, 0)</f>
        <v>0</v>
      </c>
      <c r="L156" s="4" cm="1">
        <f t="array" ref="L156">_xlfn.IFS('ProductSprint Backlog'!$F156="", "", AND('ProductSprint Backlog'!$J156&gt;L$2,'ProductSprint Backlog'!$I156&lt;=L$2), 'ProductSprint Backlog'!$F156 / MAX(1, 'ProductSprint Backlog'!$J156-'ProductSprint Backlog'!$I156), AND('ProductSprint Backlog'!$J156=L$2,'ProductSprint Backlog'!$I156=L$2), 'ProductSprint Backlog'!$F156, TRUE, 0)</f>
        <v>0</v>
      </c>
      <c r="M156" s="4" cm="1">
        <f t="array" ref="M156">_xlfn.IFS('ProductSprint Backlog'!$F156="", "", AND('ProductSprint Backlog'!$J156&gt;M$2,'ProductSprint Backlog'!$I156&lt;=M$2), 'ProductSprint Backlog'!$F156 / MAX(1, 'ProductSprint Backlog'!$J156-'ProductSprint Backlog'!$I156), AND('ProductSprint Backlog'!$J156=M$2,'ProductSprint Backlog'!$I156=M$2), 'ProductSprint Backlog'!$F156, TRUE, 0)</f>
        <v>0</v>
      </c>
      <c r="N156" s="4" cm="1">
        <f t="array" ref="N156">_xlfn.IFS('ProductSprint Backlog'!$F156="", "", AND('ProductSprint Backlog'!$J156&gt;N$2,'ProductSprint Backlog'!$I156&lt;=N$2), 'ProductSprint Backlog'!$F156 / MAX(1, 'ProductSprint Backlog'!$J156-'ProductSprint Backlog'!$I156), AND('ProductSprint Backlog'!$J156=N$2,'ProductSprint Backlog'!$I156=N$2), 'ProductSprint Backlog'!$F156, TRUE, 0)</f>
        <v>0</v>
      </c>
      <c r="O156" s="4" cm="1">
        <f t="array" ref="O156">_xlfn.IFS('ProductSprint Backlog'!$F156="", "", AND('ProductSprint Backlog'!$J156&gt;O$2,'ProductSprint Backlog'!$I156&lt;=O$2), 'ProductSprint Backlog'!$F156 / MAX(1, 'ProductSprint Backlog'!$J156-'ProductSprint Backlog'!$I156), AND('ProductSprint Backlog'!$J156=O$2,'ProductSprint Backlog'!$I156=O$2), 'ProductSprint Backlog'!$F156, TRUE, 0)</f>
        <v>0</v>
      </c>
      <c r="P156" s="4" cm="1">
        <f t="array" ref="P156">_xlfn.IFS('ProductSprint Backlog'!$F156="", "", AND('ProductSprint Backlog'!$J156&gt;P$2,'ProductSprint Backlog'!$I156&lt;=P$2), 'ProductSprint Backlog'!$F156 / MAX(1, 'ProductSprint Backlog'!$J156-'ProductSprint Backlog'!$I156), AND('ProductSprint Backlog'!$J156=P$2,'ProductSprint Backlog'!$I156=P$2), 'ProductSprint Backlog'!$F156, TRUE, 0)</f>
        <v>0</v>
      </c>
      <c r="Q156" s="4" cm="1">
        <f t="array" ref="Q156">_xlfn.IFS('ProductSprint Backlog'!$F156="", "", AND('ProductSprint Backlog'!$J156&gt;Q$2,'ProductSprint Backlog'!$I156&lt;=Q$2), 'ProductSprint Backlog'!$F156 / MAX(1, 'ProductSprint Backlog'!$J156-'ProductSprint Backlog'!$I156), AND('ProductSprint Backlog'!$J156=Q$2,'ProductSprint Backlog'!$I156=Q$2), 'ProductSprint Backlog'!$F156, TRUE, 0)</f>
        <v>0</v>
      </c>
    </row>
    <row r="157" spans="2:17" x14ac:dyDescent="0.2">
      <c r="B157" s="4" cm="1">
        <f t="array" ref="B157">_xlfn.IFS('ProductSprint Backlog'!$F157="", "", AND('ProductSprint Backlog'!$J157&gt;B$2,'ProductSprint Backlog'!$I157&lt;=B$2), 'ProductSprint Backlog'!$F157 / MAX(1, 'ProductSprint Backlog'!$J157-'ProductSprint Backlog'!$I157), AND('ProductSprint Backlog'!$J157=B$2,'ProductSprint Backlog'!$I157=B$2), 'ProductSprint Backlog'!$F157, TRUE, 0)</f>
        <v>0</v>
      </c>
      <c r="C157" s="4" cm="1">
        <f t="array" ref="C157">_xlfn.IFS('ProductSprint Backlog'!$F157="", "", AND('ProductSprint Backlog'!$J157&gt;C$2,'ProductSprint Backlog'!$I157&lt;=C$2), 'ProductSprint Backlog'!$F157 / MAX(1, 'ProductSprint Backlog'!$J157-'ProductSprint Backlog'!$I157), AND('ProductSprint Backlog'!$J157=C$2,'ProductSprint Backlog'!$I157=C$2), 'ProductSprint Backlog'!$F157, TRUE, 0)</f>
        <v>0</v>
      </c>
      <c r="D157" s="4" cm="1">
        <f t="array" ref="D157">_xlfn.IFS('ProductSprint Backlog'!$F157="", "", AND('ProductSprint Backlog'!$J157&gt;D$2,'ProductSprint Backlog'!$I157&lt;=D$2), 'ProductSprint Backlog'!$F157 / MAX(1, 'ProductSprint Backlog'!$J157-'ProductSprint Backlog'!$I157), AND('ProductSprint Backlog'!$J157=D$2,'ProductSprint Backlog'!$I157=D$2), 'ProductSprint Backlog'!$F157, TRUE, 0)</f>
        <v>0</v>
      </c>
      <c r="E157" s="4" cm="1">
        <f t="array" ref="E157">_xlfn.IFS('ProductSprint Backlog'!$F157="", "", AND('ProductSprint Backlog'!$J157&gt;E$2,'ProductSprint Backlog'!$I157&lt;=E$2), 'ProductSprint Backlog'!$F157 / MAX(1, 'ProductSprint Backlog'!$J157-'ProductSprint Backlog'!$I157), AND('ProductSprint Backlog'!$J157=E$2,'ProductSprint Backlog'!$I157=E$2), 'ProductSprint Backlog'!$F157, TRUE, 0)</f>
        <v>0</v>
      </c>
      <c r="F157" s="4" cm="1">
        <f t="array" ref="F157">_xlfn.IFS('ProductSprint Backlog'!$F157="", "", AND('ProductSprint Backlog'!$J157&gt;F$2,'ProductSprint Backlog'!$I157&lt;=F$2), 'ProductSprint Backlog'!$F157 / MAX(1, 'ProductSprint Backlog'!$J157-'ProductSprint Backlog'!$I157), AND('ProductSprint Backlog'!$J157=F$2,'ProductSprint Backlog'!$I157=F$2), 'ProductSprint Backlog'!$F157, TRUE, 0)</f>
        <v>0</v>
      </c>
      <c r="G157" s="4" cm="1">
        <f t="array" ref="G157">_xlfn.IFS('ProductSprint Backlog'!$F157="", "", AND('ProductSprint Backlog'!$J157&gt;G$2,'ProductSprint Backlog'!$I157&lt;=G$2), 'ProductSprint Backlog'!$F157 / MAX(1, 'ProductSprint Backlog'!$J157-'ProductSprint Backlog'!$I157), AND('ProductSprint Backlog'!$J157=G$2,'ProductSprint Backlog'!$I157=G$2), 'ProductSprint Backlog'!$F157, TRUE, 0)</f>
        <v>0</v>
      </c>
      <c r="H157" s="4" cm="1">
        <f t="array" ref="H157">_xlfn.IFS('ProductSprint Backlog'!$F157="", "", AND('ProductSprint Backlog'!$J157&gt;H$2,'ProductSprint Backlog'!$I157&lt;=H$2), 'ProductSprint Backlog'!$F157 / MAX(1, 'ProductSprint Backlog'!$J157-'ProductSprint Backlog'!$I157), AND('ProductSprint Backlog'!$J157=H$2,'ProductSprint Backlog'!$I157=H$2), 'ProductSprint Backlog'!$F157, TRUE, 0)</f>
        <v>0</v>
      </c>
      <c r="I157" s="4" cm="1">
        <f t="array" ref="I157">_xlfn.IFS('ProductSprint Backlog'!$F157="", "", AND('ProductSprint Backlog'!$J157&gt;I$2,'ProductSprint Backlog'!$I157&lt;=I$2), 'ProductSprint Backlog'!$F157 / MAX(1, 'ProductSprint Backlog'!$J157-'ProductSprint Backlog'!$I157), AND('ProductSprint Backlog'!$J157=I$2,'ProductSprint Backlog'!$I157=I$2), 'ProductSprint Backlog'!$F157, TRUE, 0)</f>
        <v>0</v>
      </c>
      <c r="J157" s="4" cm="1">
        <f t="array" ref="J157">_xlfn.IFS('ProductSprint Backlog'!$F157="", "", AND('ProductSprint Backlog'!$J157&gt;J$2,'ProductSprint Backlog'!$I157&lt;=J$2), 'ProductSprint Backlog'!$F157 / MAX(1, 'ProductSprint Backlog'!$J157-'ProductSprint Backlog'!$I157), AND('ProductSprint Backlog'!$J157=J$2,'ProductSprint Backlog'!$I157=J$2), 'ProductSprint Backlog'!$F157, TRUE, 0)</f>
        <v>0</v>
      </c>
      <c r="K157" s="4" cm="1">
        <f t="array" ref="K157">_xlfn.IFS('ProductSprint Backlog'!$F157="", "", AND('ProductSprint Backlog'!$J157&gt;K$2,'ProductSprint Backlog'!$I157&lt;=K$2), 'ProductSprint Backlog'!$F157 / MAX(1, 'ProductSprint Backlog'!$J157-'ProductSprint Backlog'!$I157), AND('ProductSprint Backlog'!$J157=K$2,'ProductSprint Backlog'!$I157=K$2), 'ProductSprint Backlog'!$F157, TRUE, 0)</f>
        <v>0</v>
      </c>
      <c r="L157" s="4" cm="1">
        <f t="array" ref="L157">_xlfn.IFS('ProductSprint Backlog'!$F157="", "", AND('ProductSprint Backlog'!$J157&gt;L$2,'ProductSprint Backlog'!$I157&lt;=L$2), 'ProductSprint Backlog'!$F157 / MAX(1, 'ProductSprint Backlog'!$J157-'ProductSprint Backlog'!$I157), AND('ProductSprint Backlog'!$J157=L$2,'ProductSprint Backlog'!$I157=L$2), 'ProductSprint Backlog'!$F157, TRUE, 0)</f>
        <v>0</v>
      </c>
      <c r="M157" s="4" cm="1">
        <f t="array" ref="M157">_xlfn.IFS('ProductSprint Backlog'!$F157="", "", AND('ProductSprint Backlog'!$J157&gt;M$2,'ProductSprint Backlog'!$I157&lt;=M$2), 'ProductSprint Backlog'!$F157 / MAX(1, 'ProductSprint Backlog'!$J157-'ProductSprint Backlog'!$I157), AND('ProductSprint Backlog'!$J157=M$2,'ProductSprint Backlog'!$I157=M$2), 'ProductSprint Backlog'!$F157, TRUE, 0)</f>
        <v>0</v>
      </c>
      <c r="N157" s="4" cm="1">
        <f t="array" ref="N157">_xlfn.IFS('ProductSprint Backlog'!$F157="", "", AND('ProductSprint Backlog'!$J157&gt;N$2,'ProductSprint Backlog'!$I157&lt;=N$2), 'ProductSprint Backlog'!$F157 / MAX(1, 'ProductSprint Backlog'!$J157-'ProductSprint Backlog'!$I157), AND('ProductSprint Backlog'!$J157=N$2,'ProductSprint Backlog'!$I157=N$2), 'ProductSprint Backlog'!$F157, TRUE, 0)</f>
        <v>0</v>
      </c>
      <c r="O157" s="4" cm="1">
        <f t="array" ref="O157">_xlfn.IFS('ProductSprint Backlog'!$F157="", "", AND('ProductSprint Backlog'!$J157&gt;O$2,'ProductSprint Backlog'!$I157&lt;=O$2), 'ProductSprint Backlog'!$F157 / MAX(1, 'ProductSprint Backlog'!$J157-'ProductSprint Backlog'!$I157), AND('ProductSprint Backlog'!$J157=O$2,'ProductSprint Backlog'!$I157=O$2), 'ProductSprint Backlog'!$F157, TRUE, 0)</f>
        <v>0</v>
      </c>
      <c r="P157" s="4" cm="1">
        <f t="array" ref="P157">_xlfn.IFS('ProductSprint Backlog'!$F157="", "", AND('ProductSprint Backlog'!$J157&gt;P$2,'ProductSprint Backlog'!$I157&lt;=P$2), 'ProductSprint Backlog'!$F157 / MAX(1, 'ProductSprint Backlog'!$J157-'ProductSprint Backlog'!$I157), AND('ProductSprint Backlog'!$J157=P$2,'ProductSprint Backlog'!$I157=P$2), 'ProductSprint Backlog'!$F157, TRUE, 0)</f>
        <v>0</v>
      </c>
      <c r="Q157" s="4" cm="1">
        <f t="array" ref="Q157">_xlfn.IFS('ProductSprint Backlog'!$F157="", "", AND('ProductSprint Backlog'!$J157&gt;Q$2,'ProductSprint Backlog'!$I157&lt;=Q$2), 'ProductSprint Backlog'!$F157 / MAX(1, 'ProductSprint Backlog'!$J157-'ProductSprint Backlog'!$I157), AND('ProductSprint Backlog'!$J157=Q$2,'ProductSprint Backlog'!$I157=Q$2), 'ProductSprint Backlog'!$F157, TRUE, 0)</f>
        <v>0</v>
      </c>
    </row>
    <row r="158" spans="2:17" x14ac:dyDescent="0.2">
      <c r="B158" s="4" cm="1">
        <f t="array" ref="B158">_xlfn.IFS('ProductSprint Backlog'!$F158="", "", AND('ProductSprint Backlog'!$J158&gt;B$2,'ProductSprint Backlog'!$I158&lt;=B$2), 'ProductSprint Backlog'!$F158 / MAX(1, 'ProductSprint Backlog'!$J158-'ProductSprint Backlog'!$I158), AND('ProductSprint Backlog'!$J158=B$2,'ProductSprint Backlog'!$I158=B$2), 'ProductSprint Backlog'!$F158, TRUE, 0)</f>
        <v>0</v>
      </c>
      <c r="C158" s="4" cm="1">
        <f t="array" ref="C158">_xlfn.IFS('ProductSprint Backlog'!$F158="", "", AND('ProductSprint Backlog'!$J158&gt;C$2,'ProductSprint Backlog'!$I158&lt;=C$2), 'ProductSprint Backlog'!$F158 / MAX(1, 'ProductSprint Backlog'!$J158-'ProductSprint Backlog'!$I158), AND('ProductSprint Backlog'!$J158=C$2,'ProductSprint Backlog'!$I158=C$2), 'ProductSprint Backlog'!$F158, TRUE, 0)</f>
        <v>0</v>
      </c>
      <c r="D158" s="4" cm="1">
        <f t="array" ref="D158">_xlfn.IFS('ProductSprint Backlog'!$F158="", "", AND('ProductSprint Backlog'!$J158&gt;D$2,'ProductSprint Backlog'!$I158&lt;=D$2), 'ProductSprint Backlog'!$F158 / MAX(1, 'ProductSprint Backlog'!$J158-'ProductSprint Backlog'!$I158), AND('ProductSprint Backlog'!$J158=D$2,'ProductSprint Backlog'!$I158=D$2), 'ProductSprint Backlog'!$F158, TRUE, 0)</f>
        <v>0</v>
      </c>
      <c r="E158" s="4" cm="1">
        <f t="array" ref="E158">_xlfn.IFS('ProductSprint Backlog'!$F158="", "", AND('ProductSprint Backlog'!$J158&gt;E$2,'ProductSprint Backlog'!$I158&lt;=E$2), 'ProductSprint Backlog'!$F158 / MAX(1, 'ProductSprint Backlog'!$J158-'ProductSprint Backlog'!$I158), AND('ProductSprint Backlog'!$J158=E$2,'ProductSprint Backlog'!$I158=E$2), 'ProductSprint Backlog'!$F158, TRUE, 0)</f>
        <v>0</v>
      </c>
      <c r="F158" s="4" cm="1">
        <f t="array" ref="F158">_xlfn.IFS('ProductSprint Backlog'!$F158="", "", AND('ProductSprint Backlog'!$J158&gt;F$2,'ProductSprint Backlog'!$I158&lt;=F$2), 'ProductSprint Backlog'!$F158 / MAX(1, 'ProductSprint Backlog'!$J158-'ProductSprint Backlog'!$I158), AND('ProductSprint Backlog'!$J158=F$2,'ProductSprint Backlog'!$I158=F$2), 'ProductSprint Backlog'!$F158, TRUE, 0)</f>
        <v>0</v>
      </c>
      <c r="G158" s="4" cm="1">
        <f t="array" ref="G158">_xlfn.IFS('ProductSprint Backlog'!$F158="", "", AND('ProductSprint Backlog'!$J158&gt;G$2,'ProductSprint Backlog'!$I158&lt;=G$2), 'ProductSprint Backlog'!$F158 / MAX(1, 'ProductSprint Backlog'!$J158-'ProductSprint Backlog'!$I158), AND('ProductSprint Backlog'!$J158=G$2,'ProductSprint Backlog'!$I158=G$2), 'ProductSprint Backlog'!$F158, TRUE, 0)</f>
        <v>0</v>
      </c>
      <c r="H158" s="4" cm="1">
        <f t="array" ref="H158">_xlfn.IFS('ProductSprint Backlog'!$F158="", "", AND('ProductSprint Backlog'!$J158&gt;H$2,'ProductSprint Backlog'!$I158&lt;=H$2), 'ProductSprint Backlog'!$F158 / MAX(1, 'ProductSprint Backlog'!$J158-'ProductSprint Backlog'!$I158), AND('ProductSprint Backlog'!$J158=H$2,'ProductSprint Backlog'!$I158=H$2), 'ProductSprint Backlog'!$F158, TRUE, 0)</f>
        <v>0</v>
      </c>
      <c r="I158" s="4" cm="1">
        <f t="array" ref="I158">_xlfn.IFS('ProductSprint Backlog'!$F158="", "", AND('ProductSprint Backlog'!$J158&gt;I$2,'ProductSprint Backlog'!$I158&lt;=I$2), 'ProductSprint Backlog'!$F158 / MAX(1, 'ProductSprint Backlog'!$J158-'ProductSprint Backlog'!$I158), AND('ProductSprint Backlog'!$J158=I$2,'ProductSprint Backlog'!$I158=I$2), 'ProductSprint Backlog'!$F158, TRUE, 0)</f>
        <v>0</v>
      </c>
      <c r="J158" s="4" cm="1">
        <f t="array" ref="J158">_xlfn.IFS('ProductSprint Backlog'!$F158="", "", AND('ProductSprint Backlog'!$J158&gt;J$2,'ProductSprint Backlog'!$I158&lt;=J$2), 'ProductSprint Backlog'!$F158 / MAX(1, 'ProductSprint Backlog'!$J158-'ProductSprint Backlog'!$I158), AND('ProductSprint Backlog'!$J158=J$2,'ProductSprint Backlog'!$I158=J$2), 'ProductSprint Backlog'!$F158, TRUE, 0)</f>
        <v>0</v>
      </c>
      <c r="K158" s="4" cm="1">
        <f t="array" ref="K158">_xlfn.IFS('ProductSprint Backlog'!$F158="", "", AND('ProductSprint Backlog'!$J158&gt;K$2,'ProductSprint Backlog'!$I158&lt;=K$2), 'ProductSprint Backlog'!$F158 / MAX(1, 'ProductSprint Backlog'!$J158-'ProductSprint Backlog'!$I158), AND('ProductSprint Backlog'!$J158=K$2,'ProductSprint Backlog'!$I158=K$2), 'ProductSprint Backlog'!$F158, TRUE, 0)</f>
        <v>0</v>
      </c>
      <c r="L158" s="4" cm="1">
        <f t="array" ref="L158">_xlfn.IFS('ProductSprint Backlog'!$F158="", "", AND('ProductSprint Backlog'!$J158&gt;L$2,'ProductSprint Backlog'!$I158&lt;=L$2), 'ProductSprint Backlog'!$F158 / MAX(1, 'ProductSprint Backlog'!$J158-'ProductSprint Backlog'!$I158), AND('ProductSprint Backlog'!$J158=L$2,'ProductSprint Backlog'!$I158=L$2), 'ProductSprint Backlog'!$F158, TRUE, 0)</f>
        <v>0</v>
      </c>
      <c r="M158" s="4" cm="1">
        <f t="array" ref="M158">_xlfn.IFS('ProductSprint Backlog'!$F158="", "", AND('ProductSprint Backlog'!$J158&gt;M$2,'ProductSprint Backlog'!$I158&lt;=M$2), 'ProductSprint Backlog'!$F158 / MAX(1, 'ProductSprint Backlog'!$J158-'ProductSprint Backlog'!$I158), AND('ProductSprint Backlog'!$J158=M$2,'ProductSprint Backlog'!$I158=M$2), 'ProductSprint Backlog'!$F158, TRUE, 0)</f>
        <v>0</v>
      </c>
      <c r="N158" s="4" cm="1">
        <f t="array" ref="N158">_xlfn.IFS('ProductSprint Backlog'!$F158="", "", AND('ProductSprint Backlog'!$J158&gt;N$2,'ProductSprint Backlog'!$I158&lt;=N$2), 'ProductSprint Backlog'!$F158 / MAX(1, 'ProductSprint Backlog'!$J158-'ProductSprint Backlog'!$I158), AND('ProductSprint Backlog'!$J158=N$2,'ProductSprint Backlog'!$I158=N$2), 'ProductSprint Backlog'!$F158, TRUE, 0)</f>
        <v>0</v>
      </c>
      <c r="O158" s="4" cm="1">
        <f t="array" ref="O158">_xlfn.IFS('ProductSprint Backlog'!$F158="", "", AND('ProductSprint Backlog'!$J158&gt;O$2,'ProductSprint Backlog'!$I158&lt;=O$2), 'ProductSprint Backlog'!$F158 / MAX(1, 'ProductSprint Backlog'!$J158-'ProductSprint Backlog'!$I158), AND('ProductSprint Backlog'!$J158=O$2,'ProductSprint Backlog'!$I158=O$2), 'ProductSprint Backlog'!$F158, TRUE, 0)</f>
        <v>0</v>
      </c>
      <c r="P158" s="4" cm="1">
        <f t="array" ref="P158">_xlfn.IFS('ProductSprint Backlog'!$F158="", "", AND('ProductSprint Backlog'!$J158&gt;P$2,'ProductSprint Backlog'!$I158&lt;=P$2), 'ProductSprint Backlog'!$F158 / MAX(1, 'ProductSprint Backlog'!$J158-'ProductSprint Backlog'!$I158), AND('ProductSprint Backlog'!$J158=P$2,'ProductSprint Backlog'!$I158=P$2), 'ProductSprint Backlog'!$F158, TRUE, 0)</f>
        <v>0</v>
      </c>
      <c r="Q158" s="4" cm="1">
        <f t="array" ref="Q158">_xlfn.IFS('ProductSprint Backlog'!$F158="", "", AND('ProductSprint Backlog'!$J158&gt;Q$2,'ProductSprint Backlog'!$I158&lt;=Q$2), 'ProductSprint Backlog'!$F158 / MAX(1, 'ProductSprint Backlog'!$J158-'ProductSprint Backlog'!$I158), AND('ProductSprint Backlog'!$J158=Q$2,'ProductSprint Backlog'!$I158=Q$2), 'ProductSprint Backlog'!$F158, TRUE, 0)</f>
        <v>0</v>
      </c>
    </row>
    <row r="159" spans="2:17" x14ac:dyDescent="0.2">
      <c r="B159" s="4" t="str" cm="1">
        <f t="array" ref="B159">_xlfn.IFS('ProductSprint Backlog'!$F159="", "", AND('ProductSprint Backlog'!$J159&gt;B$2,'ProductSprint Backlog'!$I159&lt;=B$2), 'ProductSprint Backlog'!$F159 / MAX(1, 'ProductSprint Backlog'!$J159-'ProductSprint Backlog'!$I159), AND('ProductSprint Backlog'!$J159=B$2,'ProductSprint Backlog'!$I159=B$2), 'ProductSprint Backlog'!$F159, TRUE, 0)</f>
        <v/>
      </c>
      <c r="C159" s="4" t="str" cm="1">
        <f t="array" ref="C159">_xlfn.IFS('ProductSprint Backlog'!$F159="", "", AND('ProductSprint Backlog'!$J159&gt;C$2,'ProductSprint Backlog'!$I159&lt;=C$2), 'ProductSprint Backlog'!$F159 / MAX(1, 'ProductSprint Backlog'!$J159-'ProductSprint Backlog'!$I159), AND('ProductSprint Backlog'!$J159=C$2,'ProductSprint Backlog'!$I159=C$2), 'ProductSprint Backlog'!$F159, TRUE, 0)</f>
        <v/>
      </c>
      <c r="D159" s="4" t="str" cm="1">
        <f t="array" ref="D159">_xlfn.IFS('ProductSprint Backlog'!$F159="", "", AND('ProductSprint Backlog'!$J159&gt;D$2,'ProductSprint Backlog'!$I159&lt;=D$2), 'ProductSprint Backlog'!$F159 / MAX(1, 'ProductSprint Backlog'!$J159-'ProductSprint Backlog'!$I159), AND('ProductSprint Backlog'!$J159=D$2,'ProductSprint Backlog'!$I159=D$2), 'ProductSprint Backlog'!$F159, TRUE, 0)</f>
        <v/>
      </c>
      <c r="E159" s="4" t="str" cm="1">
        <f t="array" ref="E159">_xlfn.IFS('ProductSprint Backlog'!$F159="", "", AND('ProductSprint Backlog'!$J159&gt;E$2,'ProductSprint Backlog'!$I159&lt;=E$2), 'ProductSprint Backlog'!$F159 / MAX(1, 'ProductSprint Backlog'!$J159-'ProductSprint Backlog'!$I159), AND('ProductSprint Backlog'!$J159=E$2,'ProductSprint Backlog'!$I159=E$2), 'ProductSprint Backlog'!$F159, TRUE, 0)</f>
        <v/>
      </c>
      <c r="F159" s="4" t="str" cm="1">
        <f t="array" ref="F159">_xlfn.IFS('ProductSprint Backlog'!$F159="", "", AND('ProductSprint Backlog'!$J159&gt;F$2,'ProductSprint Backlog'!$I159&lt;=F$2), 'ProductSprint Backlog'!$F159 / MAX(1, 'ProductSprint Backlog'!$J159-'ProductSprint Backlog'!$I159), AND('ProductSprint Backlog'!$J159=F$2,'ProductSprint Backlog'!$I159=F$2), 'ProductSprint Backlog'!$F159, TRUE, 0)</f>
        <v/>
      </c>
      <c r="G159" s="4" t="str" cm="1">
        <f t="array" ref="G159">_xlfn.IFS('ProductSprint Backlog'!$F159="", "", AND('ProductSprint Backlog'!$J159&gt;G$2,'ProductSprint Backlog'!$I159&lt;=G$2), 'ProductSprint Backlog'!$F159 / MAX(1, 'ProductSprint Backlog'!$J159-'ProductSprint Backlog'!$I159), AND('ProductSprint Backlog'!$J159=G$2,'ProductSprint Backlog'!$I159=G$2), 'ProductSprint Backlog'!$F159, TRUE, 0)</f>
        <v/>
      </c>
      <c r="H159" s="4" t="str" cm="1">
        <f t="array" ref="H159">_xlfn.IFS('ProductSprint Backlog'!$F159="", "", AND('ProductSprint Backlog'!$J159&gt;H$2,'ProductSprint Backlog'!$I159&lt;=H$2), 'ProductSprint Backlog'!$F159 / MAX(1, 'ProductSprint Backlog'!$J159-'ProductSprint Backlog'!$I159), AND('ProductSprint Backlog'!$J159=H$2,'ProductSprint Backlog'!$I159=H$2), 'ProductSprint Backlog'!$F159, TRUE, 0)</f>
        <v/>
      </c>
      <c r="I159" s="4" t="str" cm="1">
        <f t="array" ref="I159">_xlfn.IFS('ProductSprint Backlog'!$F159="", "", AND('ProductSprint Backlog'!$J159&gt;I$2,'ProductSprint Backlog'!$I159&lt;=I$2), 'ProductSprint Backlog'!$F159 / MAX(1, 'ProductSprint Backlog'!$J159-'ProductSprint Backlog'!$I159), AND('ProductSprint Backlog'!$J159=I$2,'ProductSprint Backlog'!$I159=I$2), 'ProductSprint Backlog'!$F159, TRUE, 0)</f>
        <v/>
      </c>
      <c r="J159" s="4" t="str" cm="1">
        <f t="array" ref="J159">_xlfn.IFS('ProductSprint Backlog'!$F159="", "", AND('ProductSprint Backlog'!$J159&gt;J$2,'ProductSprint Backlog'!$I159&lt;=J$2), 'ProductSprint Backlog'!$F159 / MAX(1, 'ProductSprint Backlog'!$J159-'ProductSprint Backlog'!$I159), AND('ProductSprint Backlog'!$J159=J$2,'ProductSprint Backlog'!$I159=J$2), 'ProductSprint Backlog'!$F159, TRUE, 0)</f>
        <v/>
      </c>
      <c r="K159" s="4" t="str" cm="1">
        <f t="array" ref="K159">_xlfn.IFS('ProductSprint Backlog'!$F159="", "", AND('ProductSprint Backlog'!$J159&gt;K$2,'ProductSprint Backlog'!$I159&lt;=K$2), 'ProductSprint Backlog'!$F159 / MAX(1, 'ProductSprint Backlog'!$J159-'ProductSprint Backlog'!$I159), AND('ProductSprint Backlog'!$J159=K$2,'ProductSprint Backlog'!$I159=K$2), 'ProductSprint Backlog'!$F159, TRUE, 0)</f>
        <v/>
      </c>
      <c r="L159" s="4" t="str" cm="1">
        <f t="array" ref="L159">_xlfn.IFS('ProductSprint Backlog'!$F159="", "", AND('ProductSprint Backlog'!$J159&gt;L$2,'ProductSprint Backlog'!$I159&lt;=L$2), 'ProductSprint Backlog'!$F159 / MAX(1, 'ProductSprint Backlog'!$J159-'ProductSprint Backlog'!$I159), AND('ProductSprint Backlog'!$J159=L$2,'ProductSprint Backlog'!$I159=L$2), 'ProductSprint Backlog'!$F159, TRUE, 0)</f>
        <v/>
      </c>
      <c r="M159" s="4" t="str" cm="1">
        <f t="array" ref="M159">_xlfn.IFS('ProductSprint Backlog'!$F159="", "", AND('ProductSprint Backlog'!$J159&gt;M$2,'ProductSprint Backlog'!$I159&lt;=M$2), 'ProductSprint Backlog'!$F159 / MAX(1, 'ProductSprint Backlog'!$J159-'ProductSprint Backlog'!$I159), AND('ProductSprint Backlog'!$J159=M$2,'ProductSprint Backlog'!$I159=M$2), 'ProductSprint Backlog'!$F159, TRUE, 0)</f>
        <v/>
      </c>
      <c r="N159" s="4" t="str" cm="1">
        <f t="array" ref="N159">_xlfn.IFS('ProductSprint Backlog'!$F159="", "", AND('ProductSprint Backlog'!$J159&gt;N$2,'ProductSprint Backlog'!$I159&lt;=N$2), 'ProductSprint Backlog'!$F159 / MAX(1, 'ProductSprint Backlog'!$J159-'ProductSprint Backlog'!$I159), AND('ProductSprint Backlog'!$J159=N$2,'ProductSprint Backlog'!$I159=N$2), 'ProductSprint Backlog'!$F159, TRUE, 0)</f>
        <v/>
      </c>
      <c r="O159" s="4" t="str" cm="1">
        <f t="array" ref="O159">_xlfn.IFS('ProductSprint Backlog'!$F159="", "", AND('ProductSprint Backlog'!$J159&gt;O$2,'ProductSprint Backlog'!$I159&lt;=O$2), 'ProductSprint Backlog'!$F159 / MAX(1, 'ProductSprint Backlog'!$J159-'ProductSprint Backlog'!$I159), AND('ProductSprint Backlog'!$J159=O$2,'ProductSprint Backlog'!$I159=O$2), 'ProductSprint Backlog'!$F159, TRUE, 0)</f>
        <v/>
      </c>
      <c r="P159" s="4" t="str" cm="1">
        <f t="array" ref="P159">_xlfn.IFS('ProductSprint Backlog'!$F159="", "", AND('ProductSprint Backlog'!$J159&gt;P$2,'ProductSprint Backlog'!$I159&lt;=P$2), 'ProductSprint Backlog'!$F159 / MAX(1, 'ProductSprint Backlog'!$J159-'ProductSprint Backlog'!$I159), AND('ProductSprint Backlog'!$J159=P$2,'ProductSprint Backlog'!$I159=P$2), 'ProductSprint Backlog'!$F159, TRUE, 0)</f>
        <v/>
      </c>
      <c r="Q159" s="4" t="str" cm="1">
        <f t="array" ref="Q159">_xlfn.IFS('ProductSprint Backlog'!$F159="", "", AND('ProductSprint Backlog'!$J159&gt;Q$2,'ProductSprint Backlog'!$I159&lt;=Q$2), 'ProductSprint Backlog'!$F159 / MAX(1, 'ProductSprint Backlog'!$J159-'ProductSprint Backlog'!$I159), AND('ProductSprint Backlog'!$J159=Q$2,'ProductSprint Backlog'!$I159=Q$2), 'ProductSprint Backlog'!$F159, TRUE, 0)</f>
        <v/>
      </c>
    </row>
    <row r="160" spans="2:17" x14ac:dyDescent="0.2">
      <c r="B160" s="4" cm="1">
        <f t="array" ref="B160">_xlfn.IFS('ProductSprint Backlog'!$F160="", "", AND('ProductSprint Backlog'!$J160&gt;B$2,'ProductSprint Backlog'!$I160&lt;=B$2), 'ProductSprint Backlog'!$F160 / MAX(1, 'ProductSprint Backlog'!$J160-'ProductSprint Backlog'!$I160), AND('ProductSprint Backlog'!$J160=B$2,'ProductSprint Backlog'!$I160=B$2), 'ProductSprint Backlog'!$F160, TRUE, 0)</f>
        <v>0</v>
      </c>
      <c r="C160" s="4" cm="1">
        <f t="array" ref="C160">_xlfn.IFS('ProductSprint Backlog'!$F160="", "", AND('ProductSprint Backlog'!$J160&gt;C$2,'ProductSprint Backlog'!$I160&lt;=C$2), 'ProductSprint Backlog'!$F160 / MAX(1, 'ProductSprint Backlog'!$J160-'ProductSprint Backlog'!$I160), AND('ProductSprint Backlog'!$J160=C$2,'ProductSprint Backlog'!$I160=C$2), 'ProductSprint Backlog'!$F160, TRUE, 0)</f>
        <v>0</v>
      </c>
      <c r="D160" s="4" cm="1">
        <f t="array" ref="D160">_xlfn.IFS('ProductSprint Backlog'!$F160="", "", AND('ProductSprint Backlog'!$J160&gt;D$2,'ProductSprint Backlog'!$I160&lt;=D$2), 'ProductSprint Backlog'!$F160 / MAX(1, 'ProductSprint Backlog'!$J160-'ProductSprint Backlog'!$I160), AND('ProductSprint Backlog'!$J160=D$2,'ProductSprint Backlog'!$I160=D$2), 'ProductSprint Backlog'!$F160, TRUE, 0)</f>
        <v>0</v>
      </c>
      <c r="E160" s="4" cm="1">
        <f t="array" ref="E160">_xlfn.IFS('ProductSprint Backlog'!$F160="", "", AND('ProductSprint Backlog'!$J160&gt;E$2,'ProductSprint Backlog'!$I160&lt;=E$2), 'ProductSprint Backlog'!$F160 / MAX(1, 'ProductSprint Backlog'!$J160-'ProductSprint Backlog'!$I160), AND('ProductSprint Backlog'!$J160=E$2,'ProductSprint Backlog'!$I160=E$2), 'ProductSprint Backlog'!$F160, TRUE, 0)</f>
        <v>0</v>
      </c>
      <c r="F160" s="4" cm="1">
        <f t="array" ref="F160">_xlfn.IFS('ProductSprint Backlog'!$F160="", "", AND('ProductSprint Backlog'!$J160&gt;F$2,'ProductSprint Backlog'!$I160&lt;=F$2), 'ProductSprint Backlog'!$F160 / MAX(1, 'ProductSprint Backlog'!$J160-'ProductSprint Backlog'!$I160), AND('ProductSprint Backlog'!$J160=F$2,'ProductSprint Backlog'!$I160=F$2), 'ProductSprint Backlog'!$F160, TRUE, 0)</f>
        <v>0</v>
      </c>
      <c r="G160" s="4" cm="1">
        <f t="array" ref="G160">_xlfn.IFS('ProductSprint Backlog'!$F160="", "", AND('ProductSprint Backlog'!$J160&gt;G$2,'ProductSprint Backlog'!$I160&lt;=G$2), 'ProductSprint Backlog'!$F160 / MAX(1, 'ProductSprint Backlog'!$J160-'ProductSprint Backlog'!$I160), AND('ProductSprint Backlog'!$J160=G$2,'ProductSprint Backlog'!$I160=G$2), 'ProductSprint Backlog'!$F160, TRUE, 0)</f>
        <v>0</v>
      </c>
      <c r="H160" s="4" cm="1">
        <f t="array" ref="H160">_xlfn.IFS('ProductSprint Backlog'!$F160="", "", AND('ProductSprint Backlog'!$J160&gt;H$2,'ProductSprint Backlog'!$I160&lt;=H$2), 'ProductSprint Backlog'!$F160 / MAX(1, 'ProductSprint Backlog'!$J160-'ProductSprint Backlog'!$I160), AND('ProductSprint Backlog'!$J160=H$2,'ProductSprint Backlog'!$I160=H$2), 'ProductSprint Backlog'!$F160, TRUE, 0)</f>
        <v>0</v>
      </c>
      <c r="I160" s="4" cm="1">
        <f t="array" ref="I160">_xlfn.IFS('ProductSprint Backlog'!$F160="", "", AND('ProductSprint Backlog'!$J160&gt;I$2,'ProductSprint Backlog'!$I160&lt;=I$2), 'ProductSprint Backlog'!$F160 / MAX(1, 'ProductSprint Backlog'!$J160-'ProductSprint Backlog'!$I160), AND('ProductSprint Backlog'!$J160=I$2,'ProductSprint Backlog'!$I160=I$2), 'ProductSprint Backlog'!$F160, TRUE, 0)</f>
        <v>0</v>
      </c>
      <c r="J160" s="4" cm="1">
        <f t="array" ref="J160">_xlfn.IFS('ProductSprint Backlog'!$F160="", "", AND('ProductSprint Backlog'!$J160&gt;J$2,'ProductSprint Backlog'!$I160&lt;=J$2), 'ProductSprint Backlog'!$F160 / MAX(1, 'ProductSprint Backlog'!$J160-'ProductSprint Backlog'!$I160), AND('ProductSprint Backlog'!$J160=J$2,'ProductSprint Backlog'!$I160=J$2), 'ProductSprint Backlog'!$F160, TRUE, 0)</f>
        <v>0</v>
      </c>
      <c r="K160" s="4" cm="1">
        <f t="array" ref="K160">_xlfn.IFS('ProductSprint Backlog'!$F160="", "", AND('ProductSprint Backlog'!$J160&gt;K$2,'ProductSprint Backlog'!$I160&lt;=K$2), 'ProductSprint Backlog'!$F160 / MAX(1, 'ProductSprint Backlog'!$J160-'ProductSprint Backlog'!$I160), AND('ProductSprint Backlog'!$J160=K$2,'ProductSprint Backlog'!$I160=K$2), 'ProductSprint Backlog'!$F160, TRUE, 0)</f>
        <v>0</v>
      </c>
      <c r="L160" s="4" cm="1">
        <f t="array" ref="L160">_xlfn.IFS('ProductSprint Backlog'!$F160="", "", AND('ProductSprint Backlog'!$J160&gt;L$2,'ProductSprint Backlog'!$I160&lt;=L$2), 'ProductSprint Backlog'!$F160 / MAX(1, 'ProductSprint Backlog'!$J160-'ProductSprint Backlog'!$I160), AND('ProductSprint Backlog'!$J160=L$2,'ProductSprint Backlog'!$I160=L$2), 'ProductSprint Backlog'!$F160, TRUE, 0)</f>
        <v>0</v>
      </c>
      <c r="M160" s="4" cm="1">
        <f t="array" ref="M160">_xlfn.IFS('ProductSprint Backlog'!$F160="", "", AND('ProductSprint Backlog'!$J160&gt;M$2,'ProductSprint Backlog'!$I160&lt;=M$2), 'ProductSprint Backlog'!$F160 / MAX(1, 'ProductSprint Backlog'!$J160-'ProductSprint Backlog'!$I160), AND('ProductSprint Backlog'!$J160=M$2,'ProductSprint Backlog'!$I160=M$2), 'ProductSprint Backlog'!$F160, TRUE, 0)</f>
        <v>0</v>
      </c>
      <c r="N160" s="4" cm="1">
        <f t="array" ref="N160">_xlfn.IFS('ProductSprint Backlog'!$F160="", "", AND('ProductSprint Backlog'!$J160&gt;N$2,'ProductSprint Backlog'!$I160&lt;=N$2), 'ProductSprint Backlog'!$F160 / MAX(1, 'ProductSprint Backlog'!$J160-'ProductSprint Backlog'!$I160), AND('ProductSprint Backlog'!$J160=N$2,'ProductSprint Backlog'!$I160=N$2), 'ProductSprint Backlog'!$F160, TRUE, 0)</f>
        <v>0</v>
      </c>
      <c r="O160" s="4" cm="1">
        <f t="array" ref="O160">_xlfn.IFS('ProductSprint Backlog'!$F160="", "", AND('ProductSprint Backlog'!$J160&gt;O$2,'ProductSprint Backlog'!$I160&lt;=O$2), 'ProductSprint Backlog'!$F160 / MAX(1, 'ProductSprint Backlog'!$J160-'ProductSprint Backlog'!$I160), AND('ProductSprint Backlog'!$J160=O$2,'ProductSprint Backlog'!$I160=O$2), 'ProductSprint Backlog'!$F160, TRUE, 0)</f>
        <v>0</v>
      </c>
      <c r="P160" s="4" cm="1">
        <f t="array" ref="P160">_xlfn.IFS('ProductSprint Backlog'!$F160="", "", AND('ProductSprint Backlog'!$J160&gt;P$2,'ProductSprint Backlog'!$I160&lt;=P$2), 'ProductSprint Backlog'!$F160 / MAX(1, 'ProductSprint Backlog'!$J160-'ProductSprint Backlog'!$I160), AND('ProductSprint Backlog'!$J160=P$2,'ProductSprint Backlog'!$I160=P$2), 'ProductSprint Backlog'!$F160, TRUE, 0)</f>
        <v>0</v>
      </c>
      <c r="Q160" s="4" cm="1">
        <f t="array" ref="Q160">_xlfn.IFS('ProductSprint Backlog'!$F160="", "", AND('ProductSprint Backlog'!$J160&gt;Q$2,'ProductSprint Backlog'!$I160&lt;=Q$2), 'ProductSprint Backlog'!$F160 / MAX(1, 'ProductSprint Backlog'!$J160-'ProductSprint Backlog'!$I160), AND('ProductSprint Backlog'!$J160=Q$2,'ProductSprint Backlog'!$I160=Q$2), 'ProductSprint Backlog'!$F160, TRUE, 0)</f>
        <v>0</v>
      </c>
    </row>
    <row r="161" spans="2:17" x14ac:dyDescent="0.2">
      <c r="B161" s="4" cm="1">
        <f t="array" ref="B161">_xlfn.IFS('ProductSprint Backlog'!$F161="", "", AND('ProductSprint Backlog'!$J161&gt;B$2,'ProductSprint Backlog'!$I161&lt;=B$2), 'ProductSprint Backlog'!$F161 / MAX(1, 'ProductSprint Backlog'!$J161-'ProductSprint Backlog'!$I161), AND('ProductSprint Backlog'!$J161=B$2,'ProductSprint Backlog'!$I161=B$2), 'ProductSprint Backlog'!$F161, TRUE, 0)</f>
        <v>0</v>
      </c>
      <c r="C161" s="4" cm="1">
        <f t="array" ref="C161">_xlfn.IFS('ProductSprint Backlog'!$F161="", "", AND('ProductSprint Backlog'!$J161&gt;C$2,'ProductSprint Backlog'!$I161&lt;=C$2), 'ProductSprint Backlog'!$F161 / MAX(1, 'ProductSprint Backlog'!$J161-'ProductSprint Backlog'!$I161), AND('ProductSprint Backlog'!$J161=C$2,'ProductSprint Backlog'!$I161=C$2), 'ProductSprint Backlog'!$F161, TRUE, 0)</f>
        <v>0</v>
      </c>
      <c r="D161" s="4" cm="1">
        <f t="array" ref="D161">_xlfn.IFS('ProductSprint Backlog'!$F161="", "", AND('ProductSprint Backlog'!$J161&gt;D$2,'ProductSprint Backlog'!$I161&lt;=D$2), 'ProductSprint Backlog'!$F161 / MAX(1, 'ProductSprint Backlog'!$J161-'ProductSprint Backlog'!$I161), AND('ProductSprint Backlog'!$J161=D$2,'ProductSprint Backlog'!$I161=D$2), 'ProductSprint Backlog'!$F161, TRUE, 0)</f>
        <v>0</v>
      </c>
      <c r="E161" s="4" cm="1">
        <f t="array" ref="E161">_xlfn.IFS('ProductSprint Backlog'!$F161="", "", AND('ProductSprint Backlog'!$J161&gt;E$2,'ProductSprint Backlog'!$I161&lt;=E$2), 'ProductSprint Backlog'!$F161 / MAX(1, 'ProductSprint Backlog'!$J161-'ProductSprint Backlog'!$I161), AND('ProductSprint Backlog'!$J161=E$2,'ProductSprint Backlog'!$I161=E$2), 'ProductSprint Backlog'!$F161, TRUE, 0)</f>
        <v>0</v>
      </c>
      <c r="F161" s="4" cm="1">
        <f t="array" ref="F161">_xlfn.IFS('ProductSprint Backlog'!$F161="", "", AND('ProductSprint Backlog'!$J161&gt;F$2,'ProductSprint Backlog'!$I161&lt;=F$2), 'ProductSprint Backlog'!$F161 / MAX(1, 'ProductSprint Backlog'!$J161-'ProductSprint Backlog'!$I161), AND('ProductSprint Backlog'!$J161=F$2,'ProductSprint Backlog'!$I161=F$2), 'ProductSprint Backlog'!$F161, TRUE, 0)</f>
        <v>0</v>
      </c>
      <c r="G161" s="4" cm="1">
        <f t="array" ref="G161">_xlfn.IFS('ProductSprint Backlog'!$F161="", "", AND('ProductSprint Backlog'!$J161&gt;G$2,'ProductSprint Backlog'!$I161&lt;=G$2), 'ProductSprint Backlog'!$F161 / MAX(1, 'ProductSprint Backlog'!$J161-'ProductSprint Backlog'!$I161), AND('ProductSprint Backlog'!$J161=G$2,'ProductSprint Backlog'!$I161=G$2), 'ProductSprint Backlog'!$F161, TRUE, 0)</f>
        <v>0</v>
      </c>
      <c r="H161" s="4" cm="1">
        <f t="array" ref="H161">_xlfn.IFS('ProductSprint Backlog'!$F161="", "", AND('ProductSprint Backlog'!$J161&gt;H$2,'ProductSprint Backlog'!$I161&lt;=H$2), 'ProductSprint Backlog'!$F161 / MAX(1, 'ProductSprint Backlog'!$J161-'ProductSprint Backlog'!$I161), AND('ProductSprint Backlog'!$J161=H$2,'ProductSprint Backlog'!$I161=H$2), 'ProductSprint Backlog'!$F161, TRUE, 0)</f>
        <v>0</v>
      </c>
      <c r="I161" s="4" cm="1">
        <f t="array" ref="I161">_xlfn.IFS('ProductSprint Backlog'!$F161="", "", AND('ProductSprint Backlog'!$J161&gt;I$2,'ProductSprint Backlog'!$I161&lt;=I$2), 'ProductSprint Backlog'!$F161 / MAX(1, 'ProductSprint Backlog'!$J161-'ProductSprint Backlog'!$I161), AND('ProductSprint Backlog'!$J161=I$2,'ProductSprint Backlog'!$I161=I$2), 'ProductSprint Backlog'!$F161, TRUE, 0)</f>
        <v>0</v>
      </c>
      <c r="J161" s="4" cm="1">
        <f t="array" ref="J161">_xlfn.IFS('ProductSprint Backlog'!$F161="", "", AND('ProductSprint Backlog'!$J161&gt;J$2,'ProductSprint Backlog'!$I161&lt;=J$2), 'ProductSprint Backlog'!$F161 / MAX(1, 'ProductSprint Backlog'!$J161-'ProductSprint Backlog'!$I161), AND('ProductSprint Backlog'!$J161=J$2,'ProductSprint Backlog'!$I161=J$2), 'ProductSprint Backlog'!$F161, TRUE, 0)</f>
        <v>0</v>
      </c>
      <c r="K161" s="4" cm="1">
        <f t="array" ref="K161">_xlfn.IFS('ProductSprint Backlog'!$F161="", "", AND('ProductSprint Backlog'!$J161&gt;K$2,'ProductSprint Backlog'!$I161&lt;=K$2), 'ProductSprint Backlog'!$F161 / MAX(1, 'ProductSprint Backlog'!$J161-'ProductSprint Backlog'!$I161), AND('ProductSprint Backlog'!$J161=K$2,'ProductSprint Backlog'!$I161=K$2), 'ProductSprint Backlog'!$F161, TRUE, 0)</f>
        <v>0</v>
      </c>
      <c r="L161" s="4" cm="1">
        <f t="array" ref="L161">_xlfn.IFS('ProductSprint Backlog'!$F161="", "", AND('ProductSprint Backlog'!$J161&gt;L$2,'ProductSprint Backlog'!$I161&lt;=L$2), 'ProductSprint Backlog'!$F161 / MAX(1, 'ProductSprint Backlog'!$J161-'ProductSprint Backlog'!$I161), AND('ProductSprint Backlog'!$J161=L$2,'ProductSprint Backlog'!$I161=L$2), 'ProductSprint Backlog'!$F161, TRUE, 0)</f>
        <v>0</v>
      </c>
      <c r="M161" s="4" cm="1">
        <f t="array" ref="M161">_xlfn.IFS('ProductSprint Backlog'!$F161="", "", AND('ProductSprint Backlog'!$J161&gt;M$2,'ProductSprint Backlog'!$I161&lt;=M$2), 'ProductSprint Backlog'!$F161 / MAX(1, 'ProductSprint Backlog'!$J161-'ProductSprint Backlog'!$I161), AND('ProductSprint Backlog'!$J161=M$2,'ProductSprint Backlog'!$I161=M$2), 'ProductSprint Backlog'!$F161, TRUE, 0)</f>
        <v>0</v>
      </c>
      <c r="N161" s="4" cm="1">
        <f t="array" ref="N161">_xlfn.IFS('ProductSprint Backlog'!$F161="", "", AND('ProductSprint Backlog'!$J161&gt;N$2,'ProductSprint Backlog'!$I161&lt;=N$2), 'ProductSprint Backlog'!$F161 / MAX(1, 'ProductSprint Backlog'!$J161-'ProductSprint Backlog'!$I161), AND('ProductSprint Backlog'!$J161=N$2,'ProductSprint Backlog'!$I161=N$2), 'ProductSprint Backlog'!$F161, TRUE, 0)</f>
        <v>0</v>
      </c>
      <c r="O161" s="4" cm="1">
        <f t="array" ref="O161">_xlfn.IFS('ProductSprint Backlog'!$F161="", "", AND('ProductSprint Backlog'!$J161&gt;O$2,'ProductSprint Backlog'!$I161&lt;=O$2), 'ProductSprint Backlog'!$F161 / MAX(1, 'ProductSprint Backlog'!$J161-'ProductSprint Backlog'!$I161), AND('ProductSprint Backlog'!$J161=O$2,'ProductSprint Backlog'!$I161=O$2), 'ProductSprint Backlog'!$F161, TRUE, 0)</f>
        <v>0</v>
      </c>
      <c r="P161" s="4" cm="1">
        <f t="array" ref="P161">_xlfn.IFS('ProductSprint Backlog'!$F161="", "", AND('ProductSprint Backlog'!$J161&gt;P$2,'ProductSprint Backlog'!$I161&lt;=P$2), 'ProductSprint Backlog'!$F161 / MAX(1, 'ProductSprint Backlog'!$J161-'ProductSprint Backlog'!$I161), AND('ProductSprint Backlog'!$J161=P$2,'ProductSprint Backlog'!$I161=P$2), 'ProductSprint Backlog'!$F161, TRUE, 0)</f>
        <v>0</v>
      </c>
      <c r="Q161" s="4" cm="1">
        <f t="array" ref="Q161">_xlfn.IFS('ProductSprint Backlog'!$F161="", "", AND('ProductSprint Backlog'!$J161&gt;Q$2,'ProductSprint Backlog'!$I161&lt;=Q$2), 'ProductSprint Backlog'!$F161 / MAX(1, 'ProductSprint Backlog'!$J161-'ProductSprint Backlog'!$I161), AND('ProductSprint Backlog'!$J161=Q$2,'ProductSprint Backlog'!$I161=Q$2), 'ProductSprint Backlog'!$F161, TRUE, 0)</f>
        <v>0</v>
      </c>
    </row>
    <row r="162" spans="2:17" x14ac:dyDescent="0.2">
      <c r="B162" s="4" cm="1">
        <f t="array" ref="B162">_xlfn.IFS('ProductSprint Backlog'!$F162="", "", AND('ProductSprint Backlog'!$J162&gt;B$2,'ProductSprint Backlog'!$I162&lt;=B$2), 'ProductSprint Backlog'!$F162 / MAX(1, 'ProductSprint Backlog'!$J162-'ProductSprint Backlog'!$I162), AND('ProductSprint Backlog'!$J162=B$2,'ProductSprint Backlog'!$I162=B$2), 'ProductSprint Backlog'!$F162, TRUE, 0)</f>
        <v>0</v>
      </c>
      <c r="C162" s="4" cm="1">
        <f t="array" ref="C162">_xlfn.IFS('ProductSprint Backlog'!$F162="", "", AND('ProductSprint Backlog'!$J162&gt;C$2,'ProductSprint Backlog'!$I162&lt;=C$2), 'ProductSprint Backlog'!$F162 / MAX(1, 'ProductSprint Backlog'!$J162-'ProductSprint Backlog'!$I162), AND('ProductSprint Backlog'!$J162=C$2,'ProductSprint Backlog'!$I162=C$2), 'ProductSprint Backlog'!$F162, TRUE, 0)</f>
        <v>0</v>
      </c>
      <c r="D162" s="4" cm="1">
        <f t="array" ref="D162">_xlfn.IFS('ProductSprint Backlog'!$F162="", "", AND('ProductSprint Backlog'!$J162&gt;D$2,'ProductSprint Backlog'!$I162&lt;=D$2), 'ProductSprint Backlog'!$F162 / MAX(1, 'ProductSprint Backlog'!$J162-'ProductSprint Backlog'!$I162), AND('ProductSprint Backlog'!$J162=D$2,'ProductSprint Backlog'!$I162=D$2), 'ProductSprint Backlog'!$F162, TRUE, 0)</f>
        <v>0</v>
      </c>
      <c r="E162" s="4" cm="1">
        <f t="array" ref="E162">_xlfn.IFS('ProductSprint Backlog'!$F162="", "", AND('ProductSprint Backlog'!$J162&gt;E$2,'ProductSprint Backlog'!$I162&lt;=E$2), 'ProductSprint Backlog'!$F162 / MAX(1, 'ProductSprint Backlog'!$J162-'ProductSprint Backlog'!$I162), AND('ProductSprint Backlog'!$J162=E$2,'ProductSprint Backlog'!$I162=E$2), 'ProductSprint Backlog'!$F162, TRUE, 0)</f>
        <v>0</v>
      </c>
      <c r="F162" s="4" cm="1">
        <f t="array" ref="F162">_xlfn.IFS('ProductSprint Backlog'!$F162="", "", AND('ProductSprint Backlog'!$J162&gt;F$2,'ProductSprint Backlog'!$I162&lt;=F$2), 'ProductSprint Backlog'!$F162 / MAX(1, 'ProductSprint Backlog'!$J162-'ProductSprint Backlog'!$I162), AND('ProductSprint Backlog'!$J162=F$2,'ProductSprint Backlog'!$I162=F$2), 'ProductSprint Backlog'!$F162, TRUE, 0)</f>
        <v>0</v>
      </c>
      <c r="G162" s="4" cm="1">
        <f t="array" ref="G162">_xlfn.IFS('ProductSprint Backlog'!$F162="", "", AND('ProductSprint Backlog'!$J162&gt;G$2,'ProductSprint Backlog'!$I162&lt;=G$2), 'ProductSprint Backlog'!$F162 / MAX(1, 'ProductSprint Backlog'!$J162-'ProductSprint Backlog'!$I162), AND('ProductSprint Backlog'!$J162=G$2,'ProductSprint Backlog'!$I162=G$2), 'ProductSprint Backlog'!$F162, TRUE, 0)</f>
        <v>0</v>
      </c>
      <c r="H162" s="4" cm="1">
        <f t="array" ref="H162">_xlfn.IFS('ProductSprint Backlog'!$F162="", "", AND('ProductSprint Backlog'!$J162&gt;H$2,'ProductSprint Backlog'!$I162&lt;=H$2), 'ProductSprint Backlog'!$F162 / MAX(1, 'ProductSprint Backlog'!$J162-'ProductSprint Backlog'!$I162), AND('ProductSprint Backlog'!$J162=H$2,'ProductSprint Backlog'!$I162=H$2), 'ProductSprint Backlog'!$F162, TRUE, 0)</f>
        <v>0</v>
      </c>
      <c r="I162" s="4" cm="1">
        <f t="array" ref="I162">_xlfn.IFS('ProductSprint Backlog'!$F162="", "", AND('ProductSprint Backlog'!$J162&gt;I$2,'ProductSprint Backlog'!$I162&lt;=I$2), 'ProductSprint Backlog'!$F162 / MAX(1, 'ProductSprint Backlog'!$J162-'ProductSprint Backlog'!$I162), AND('ProductSprint Backlog'!$J162=I$2,'ProductSprint Backlog'!$I162=I$2), 'ProductSprint Backlog'!$F162, TRUE, 0)</f>
        <v>0</v>
      </c>
      <c r="J162" s="4" cm="1">
        <f t="array" ref="J162">_xlfn.IFS('ProductSprint Backlog'!$F162="", "", AND('ProductSprint Backlog'!$J162&gt;J$2,'ProductSprint Backlog'!$I162&lt;=J$2), 'ProductSprint Backlog'!$F162 / MAX(1, 'ProductSprint Backlog'!$J162-'ProductSprint Backlog'!$I162), AND('ProductSprint Backlog'!$J162=J$2,'ProductSprint Backlog'!$I162=J$2), 'ProductSprint Backlog'!$F162, TRUE, 0)</f>
        <v>0</v>
      </c>
      <c r="K162" s="4" cm="1">
        <f t="array" ref="K162">_xlfn.IFS('ProductSprint Backlog'!$F162="", "", AND('ProductSprint Backlog'!$J162&gt;K$2,'ProductSprint Backlog'!$I162&lt;=K$2), 'ProductSprint Backlog'!$F162 / MAX(1, 'ProductSprint Backlog'!$J162-'ProductSprint Backlog'!$I162), AND('ProductSprint Backlog'!$J162=K$2,'ProductSprint Backlog'!$I162=K$2), 'ProductSprint Backlog'!$F162, TRUE, 0)</f>
        <v>0</v>
      </c>
      <c r="L162" s="4" cm="1">
        <f t="array" ref="L162">_xlfn.IFS('ProductSprint Backlog'!$F162="", "", AND('ProductSprint Backlog'!$J162&gt;L$2,'ProductSprint Backlog'!$I162&lt;=L$2), 'ProductSprint Backlog'!$F162 / MAX(1, 'ProductSprint Backlog'!$J162-'ProductSprint Backlog'!$I162), AND('ProductSprint Backlog'!$J162=L$2,'ProductSprint Backlog'!$I162=L$2), 'ProductSprint Backlog'!$F162, TRUE, 0)</f>
        <v>0</v>
      </c>
      <c r="M162" s="4" cm="1">
        <f t="array" ref="M162">_xlfn.IFS('ProductSprint Backlog'!$F162="", "", AND('ProductSprint Backlog'!$J162&gt;M$2,'ProductSprint Backlog'!$I162&lt;=M$2), 'ProductSprint Backlog'!$F162 / MAX(1, 'ProductSprint Backlog'!$J162-'ProductSprint Backlog'!$I162), AND('ProductSprint Backlog'!$J162=M$2,'ProductSprint Backlog'!$I162=M$2), 'ProductSprint Backlog'!$F162, TRUE, 0)</f>
        <v>0</v>
      </c>
      <c r="N162" s="4" cm="1">
        <f t="array" ref="N162">_xlfn.IFS('ProductSprint Backlog'!$F162="", "", AND('ProductSprint Backlog'!$J162&gt;N$2,'ProductSprint Backlog'!$I162&lt;=N$2), 'ProductSprint Backlog'!$F162 / MAX(1, 'ProductSprint Backlog'!$J162-'ProductSprint Backlog'!$I162), AND('ProductSprint Backlog'!$J162=N$2,'ProductSprint Backlog'!$I162=N$2), 'ProductSprint Backlog'!$F162, TRUE, 0)</f>
        <v>0</v>
      </c>
      <c r="O162" s="4" cm="1">
        <f t="array" ref="O162">_xlfn.IFS('ProductSprint Backlog'!$F162="", "", AND('ProductSprint Backlog'!$J162&gt;O$2,'ProductSprint Backlog'!$I162&lt;=O$2), 'ProductSprint Backlog'!$F162 / MAX(1, 'ProductSprint Backlog'!$J162-'ProductSprint Backlog'!$I162), AND('ProductSprint Backlog'!$J162=O$2,'ProductSprint Backlog'!$I162=O$2), 'ProductSprint Backlog'!$F162, TRUE, 0)</f>
        <v>0</v>
      </c>
      <c r="P162" s="4" cm="1">
        <f t="array" ref="P162">_xlfn.IFS('ProductSprint Backlog'!$F162="", "", AND('ProductSprint Backlog'!$J162&gt;P$2,'ProductSprint Backlog'!$I162&lt;=P$2), 'ProductSprint Backlog'!$F162 / MAX(1, 'ProductSprint Backlog'!$J162-'ProductSprint Backlog'!$I162), AND('ProductSprint Backlog'!$J162=P$2,'ProductSprint Backlog'!$I162=P$2), 'ProductSprint Backlog'!$F162, TRUE, 0)</f>
        <v>0</v>
      </c>
      <c r="Q162" s="4" cm="1">
        <f t="array" ref="Q162">_xlfn.IFS('ProductSprint Backlog'!$F162="", "", AND('ProductSprint Backlog'!$J162&gt;Q$2,'ProductSprint Backlog'!$I162&lt;=Q$2), 'ProductSprint Backlog'!$F162 / MAX(1, 'ProductSprint Backlog'!$J162-'ProductSprint Backlog'!$I162), AND('ProductSprint Backlog'!$J162=Q$2,'ProductSprint Backlog'!$I162=Q$2), 'ProductSprint Backlog'!$F162, TRUE, 0)</f>
        <v>0</v>
      </c>
    </row>
    <row r="163" spans="2:17" x14ac:dyDescent="0.2">
      <c r="B163" s="4" cm="1">
        <f t="array" ref="B163">_xlfn.IFS('ProductSprint Backlog'!$F163="", "", AND('ProductSprint Backlog'!$J163&gt;B$2,'ProductSprint Backlog'!$I163&lt;=B$2), 'ProductSprint Backlog'!$F163 / MAX(1, 'ProductSprint Backlog'!$J163-'ProductSprint Backlog'!$I163), AND('ProductSprint Backlog'!$J163=B$2,'ProductSprint Backlog'!$I163=B$2), 'ProductSprint Backlog'!$F163, TRUE, 0)</f>
        <v>0</v>
      </c>
      <c r="C163" s="4" cm="1">
        <f t="array" ref="C163">_xlfn.IFS('ProductSprint Backlog'!$F163="", "", AND('ProductSprint Backlog'!$J163&gt;C$2,'ProductSprint Backlog'!$I163&lt;=C$2), 'ProductSprint Backlog'!$F163 / MAX(1, 'ProductSprint Backlog'!$J163-'ProductSprint Backlog'!$I163), AND('ProductSprint Backlog'!$J163=C$2,'ProductSprint Backlog'!$I163=C$2), 'ProductSprint Backlog'!$F163, TRUE, 0)</f>
        <v>0</v>
      </c>
      <c r="D163" s="4" cm="1">
        <f t="array" ref="D163">_xlfn.IFS('ProductSprint Backlog'!$F163="", "", AND('ProductSprint Backlog'!$J163&gt;D$2,'ProductSprint Backlog'!$I163&lt;=D$2), 'ProductSprint Backlog'!$F163 / MAX(1, 'ProductSprint Backlog'!$J163-'ProductSprint Backlog'!$I163), AND('ProductSprint Backlog'!$J163=D$2,'ProductSprint Backlog'!$I163=D$2), 'ProductSprint Backlog'!$F163, TRUE, 0)</f>
        <v>0</v>
      </c>
      <c r="E163" s="4" cm="1">
        <f t="array" ref="E163">_xlfn.IFS('ProductSprint Backlog'!$F163="", "", AND('ProductSprint Backlog'!$J163&gt;E$2,'ProductSprint Backlog'!$I163&lt;=E$2), 'ProductSprint Backlog'!$F163 / MAX(1, 'ProductSprint Backlog'!$J163-'ProductSprint Backlog'!$I163), AND('ProductSprint Backlog'!$J163=E$2,'ProductSprint Backlog'!$I163=E$2), 'ProductSprint Backlog'!$F163, TRUE, 0)</f>
        <v>0</v>
      </c>
      <c r="F163" s="4" cm="1">
        <f t="array" ref="F163">_xlfn.IFS('ProductSprint Backlog'!$F163="", "", AND('ProductSprint Backlog'!$J163&gt;F$2,'ProductSprint Backlog'!$I163&lt;=F$2), 'ProductSprint Backlog'!$F163 / MAX(1, 'ProductSprint Backlog'!$J163-'ProductSprint Backlog'!$I163), AND('ProductSprint Backlog'!$J163=F$2,'ProductSprint Backlog'!$I163=F$2), 'ProductSprint Backlog'!$F163, TRUE, 0)</f>
        <v>0</v>
      </c>
      <c r="G163" s="4" cm="1">
        <f t="array" ref="G163">_xlfn.IFS('ProductSprint Backlog'!$F163="", "", AND('ProductSprint Backlog'!$J163&gt;G$2,'ProductSprint Backlog'!$I163&lt;=G$2), 'ProductSprint Backlog'!$F163 / MAX(1, 'ProductSprint Backlog'!$J163-'ProductSprint Backlog'!$I163), AND('ProductSprint Backlog'!$J163=G$2,'ProductSprint Backlog'!$I163=G$2), 'ProductSprint Backlog'!$F163, TRUE, 0)</f>
        <v>0</v>
      </c>
      <c r="H163" s="4" cm="1">
        <f t="array" ref="H163">_xlfn.IFS('ProductSprint Backlog'!$F163="", "", AND('ProductSprint Backlog'!$J163&gt;H$2,'ProductSprint Backlog'!$I163&lt;=H$2), 'ProductSprint Backlog'!$F163 / MAX(1, 'ProductSprint Backlog'!$J163-'ProductSprint Backlog'!$I163), AND('ProductSprint Backlog'!$J163=H$2,'ProductSprint Backlog'!$I163=H$2), 'ProductSprint Backlog'!$F163, TRUE, 0)</f>
        <v>0</v>
      </c>
      <c r="I163" s="4" cm="1">
        <f t="array" ref="I163">_xlfn.IFS('ProductSprint Backlog'!$F163="", "", AND('ProductSprint Backlog'!$J163&gt;I$2,'ProductSprint Backlog'!$I163&lt;=I$2), 'ProductSprint Backlog'!$F163 / MAX(1, 'ProductSprint Backlog'!$J163-'ProductSprint Backlog'!$I163), AND('ProductSprint Backlog'!$J163=I$2,'ProductSprint Backlog'!$I163=I$2), 'ProductSprint Backlog'!$F163, TRUE, 0)</f>
        <v>0</v>
      </c>
      <c r="J163" s="4" cm="1">
        <f t="array" ref="J163">_xlfn.IFS('ProductSprint Backlog'!$F163="", "", AND('ProductSprint Backlog'!$J163&gt;J$2,'ProductSprint Backlog'!$I163&lt;=J$2), 'ProductSprint Backlog'!$F163 / MAX(1, 'ProductSprint Backlog'!$J163-'ProductSprint Backlog'!$I163), AND('ProductSprint Backlog'!$J163=J$2,'ProductSprint Backlog'!$I163=J$2), 'ProductSprint Backlog'!$F163, TRUE, 0)</f>
        <v>0</v>
      </c>
      <c r="K163" s="4" cm="1">
        <f t="array" ref="K163">_xlfn.IFS('ProductSprint Backlog'!$F163="", "", AND('ProductSprint Backlog'!$J163&gt;K$2,'ProductSprint Backlog'!$I163&lt;=K$2), 'ProductSprint Backlog'!$F163 / MAX(1, 'ProductSprint Backlog'!$J163-'ProductSprint Backlog'!$I163), AND('ProductSprint Backlog'!$J163=K$2,'ProductSprint Backlog'!$I163=K$2), 'ProductSprint Backlog'!$F163, TRUE, 0)</f>
        <v>0</v>
      </c>
      <c r="L163" s="4" cm="1">
        <f t="array" ref="L163">_xlfn.IFS('ProductSprint Backlog'!$F163="", "", AND('ProductSprint Backlog'!$J163&gt;L$2,'ProductSprint Backlog'!$I163&lt;=L$2), 'ProductSprint Backlog'!$F163 / MAX(1, 'ProductSprint Backlog'!$J163-'ProductSprint Backlog'!$I163), AND('ProductSprint Backlog'!$J163=L$2,'ProductSprint Backlog'!$I163=L$2), 'ProductSprint Backlog'!$F163, TRUE, 0)</f>
        <v>0</v>
      </c>
      <c r="M163" s="4" cm="1">
        <f t="array" ref="M163">_xlfn.IFS('ProductSprint Backlog'!$F163="", "", AND('ProductSprint Backlog'!$J163&gt;M$2,'ProductSprint Backlog'!$I163&lt;=M$2), 'ProductSprint Backlog'!$F163 / MAX(1, 'ProductSprint Backlog'!$J163-'ProductSprint Backlog'!$I163), AND('ProductSprint Backlog'!$J163=M$2,'ProductSprint Backlog'!$I163=M$2), 'ProductSprint Backlog'!$F163, TRUE, 0)</f>
        <v>0</v>
      </c>
      <c r="N163" s="4" cm="1">
        <f t="array" ref="N163">_xlfn.IFS('ProductSprint Backlog'!$F163="", "", AND('ProductSprint Backlog'!$J163&gt;N$2,'ProductSprint Backlog'!$I163&lt;=N$2), 'ProductSprint Backlog'!$F163 / MAX(1, 'ProductSprint Backlog'!$J163-'ProductSprint Backlog'!$I163), AND('ProductSprint Backlog'!$J163=N$2,'ProductSprint Backlog'!$I163=N$2), 'ProductSprint Backlog'!$F163, TRUE, 0)</f>
        <v>0</v>
      </c>
      <c r="O163" s="4" cm="1">
        <f t="array" ref="O163">_xlfn.IFS('ProductSprint Backlog'!$F163="", "", AND('ProductSprint Backlog'!$J163&gt;O$2,'ProductSprint Backlog'!$I163&lt;=O$2), 'ProductSprint Backlog'!$F163 / MAX(1, 'ProductSprint Backlog'!$J163-'ProductSprint Backlog'!$I163), AND('ProductSprint Backlog'!$J163=O$2,'ProductSprint Backlog'!$I163=O$2), 'ProductSprint Backlog'!$F163, TRUE, 0)</f>
        <v>0</v>
      </c>
      <c r="P163" s="4" cm="1">
        <f t="array" ref="P163">_xlfn.IFS('ProductSprint Backlog'!$F163="", "", AND('ProductSprint Backlog'!$J163&gt;P$2,'ProductSprint Backlog'!$I163&lt;=P$2), 'ProductSprint Backlog'!$F163 / MAX(1, 'ProductSprint Backlog'!$J163-'ProductSprint Backlog'!$I163), AND('ProductSprint Backlog'!$J163=P$2,'ProductSprint Backlog'!$I163=P$2), 'ProductSprint Backlog'!$F163, TRUE, 0)</f>
        <v>0</v>
      </c>
      <c r="Q163" s="4" cm="1">
        <f t="array" ref="Q163">_xlfn.IFS('ProductSprint Backlog'!$F163="", "", AND('ProductSprint Backlog'!$J163&gt;Q$2,'ProductSprint Backlog'!$I163&lt;=Q$2), 'ProductSprint Backlog'!$F163 / MAX(1, 'ProductSprint Backlog'!$J163-'ProductSprint Backlog'!$I163), AND('ProductSprint Backlog'!$J163=Q$2,'ProductSprint Backlog'!$I163=Q$2), 'ProductSprint Backlog'!$F163, TRUE, 0)</f>
        <v>0</v>
      </c>
    </row>
    <row r="164" spans="2:17" x14ac:dyDescent="0.2">
      <c r="B164" s="4" cm="1">
        <f t="array" ref="B164">_xlfn.IFS('ProductSprint Backlog'!$F164="", "", AND('ProductSprint Backlog'!$J164&gt;B$2,'ProductSprint Backlog'!$I164&lt;=B$2), 'ProductSprint Backlog'!$F164 / MAX(1, 'ProductSprint Backlog'!$J164-'ProductSprint Backlog'!$I164), AND('ProductSprint Backlog'!$J164=B$2,'ProductSprint Backlog'!$I164=B$2), 'ProductSprint Backlog'!$F164, TRUE, 0)</f>
        <v>0</v>
      </c>
      <c r="C164" s="4" cm="1">
        <f t="array" ref="C164">_xlfn.IFS('ProductSprint Backlog'!$F164="", "", AND('ProductSprint Backlog'!$J164&gt;C$2,'ProductSprint Backlog'!$I164&lt;=C$2), 'ProductSprint Backlog'!$F164 / MAX(1, 'ProductSprint Backlog'!$J164-'ProductSprint Backlog'!$I164), AND('ProductSprint Backlog'!$J164=C$2,'ProductSprint Backlog'!$I164=C$2), 'ProductSprint Backlog'!$F164, TRUE, 0)</f>
        <v>0</v>
      </c>
      <c r="D164" s="4" cm="1">
        <f t="array" ref="D164">_xlfn.IFS('ProductSprint Backlog'!$F164="", "", AND('ProductSprint Backlog'!$J164&gt;D$2,'ProductSprint Backlog'!$I164&lt;=D$2), 'ProductSprint Backlog'!$F164 / MAX(1, 'ProductSprint Backlog'!$J164-'ProductSprint Backlog'!$I164), AND('ProductSprint Backlog'!$J164=D$2,'ProductSprint Backlog'!$I164=D$2), 'ProductSprint Backlog'!$F164, TRUE, 0)</f>
        <v>0</v>
      </c>
      <c r="E164" s="4" cm="1">
        <f t="array" ref="E164">_xlfn.IFS('ProductSprint Backlog'!$F164="", "", AND('ProductSprint Backlog'!$J164&gt;E$2,'ProductSprint Backlog'!$I164&lt;=E$2), 'ProductSprint Backlog'!$F164 / MAX(1, 'ProductSprint Backlog'!$J164-'ProductSprint Backlog'!$I164), AND('ProductSprint Backlog'!$J164=E$2,'ProductSprint Backlog'!$I164=E$2), 'ProductSprint Backlog'!$F164, TRUE, 0)</f>
        <v>0</v>
      </c>
      <c r="F164" s="4" cm="1">
        <f t="array" ref="F164">_xlfn.IFS('ProductSprint Backlog'!$F164="", "", AND('ProductSprint Backlog'!$J164&gt;F$2,'ProductSprint Backlog'!$I164&lt;=F$2), 'ProductSprint Backlog'!$F164 / MAX(1, 'ProductSprint Backlog'!$J164-'ProductSprint Backlog'!$I164), AND('ProductSprint Backlog'!$J164=F$2,'ProductSprint Backlog'!$I164=F$2), 'ProductSprint Backlog'!$F164, TRUE, 0)</f>
        <v>0</v>
      </c>
      <c r="G164" s="4" cm="1">
        <f t="array" ref="G164">_xlfn.IFS('ProductSprint Backlog'!$F164="", "", AND('ProductSprint Backlog'!$J164&gt;G$2,'ProductSprint Backlog'!$I164&lt;=G$2), 'ProductSprint Backlog'!$F164 / MAX(1, 'ProductSprint Backlog'!$J164-'ProductSprint Backlog'!$I164), AND('ProductSprint Backlog'!$J164=G$2,'ProductSprint Backlog'!$I164=G$2), 'ProductSprint Backlog'!$F164, TRUE, 0)</f>
        <v>0</v>
      </c>
      <c r="H164" s="4" cm="1">
        <f t="array" ref="H164">_xlfn.IFS('ProductSprint Backlog'!$F164="", "", AND('ProductSprint Backlog'!$J164&gt;H$2,'ProductSprint Backlog'!$I164&lt;=H$2), 'ProductSprint Backlog'!$F164 / MAX(1, 'ProductSprint Backlog'!$J164-'ProductSprint Backlog'!$I164), AND('ProductSprint Backlog'!$J164=H$2,'ProductSprint Backlog'!$I164=H$2), 'ProductSprint Backlog'!$F164, TRUE, 0)</f>
        <v>0</v>
      </c>
      <c r="I164" s="4" cm="1">
        <f t="array" ref="I164">_xlfn.IFS('ProductSprint Backlog'!$F164="", "", AND('ProductSprint Backlog'!$J164&gt;I$2,'ProductSprint Backlog'!$I164&lt;=I$2), 'ProductSprint Backlog'!$F164 / MAX(1, 'ProductSprint Backlog'!$J164-'ProductSprint Backlog'!$I164), AND('ProductSprint Backlog'!$J164=I$2,'ProductSprint Backlog'!$I164=I$2), 'ProductSprint Backlog'!$F164, TRUE, 0)</f>
        <v>0</v>
      </c>
      <c r="J164" s="4" cm="1">
        <f t="array" ref="J164">_xlfn.IFS('ProductSprint Backlog'!$F164="", "", AND('ProductSprint Backlog'!$J164&gt;J$2,'ProductSprint Backlog'!$I164&lt;=J$2), 'ProductSprint Backlog'!$F164 / MAX(1, 'ProductSprint Backlog'!$J164-'ProductSprint Backlog'!$I164), AND('ProductSprint Backlog'!$J164=J$2,'ProductSprint Backlog'!$I164=J$2), 'ProductSprint Backlog'!$F164, TRUE, 0)</f>
        <v>0</v>
      </c>
      <c r="K164" s="4" cm="1">
        <f t="array" ref="K164">_xlfn.IFS('ProductSprint Backlog'!$F164="", "", AND('ProductSprint Backlog'!$J164&gt;K$2,'ProductSprint Backlog'!$I164&lt;=K$2), 'ProductSprint Backlog'!$F164 / MAX(1, 'ProductSprint Backlog'!$J164-'ProductSprint Backlog'!$I164), AND('ProductSprint Backlog'!$J164=K$2,'ProductSprint Backlog'!$I164=K$2), 'ProductSprint Backlog'!$F164, TRUE, 0)</f>
        <v>0</v>
      </c>
      <c r="L164" s="4" cm="1">
        <f t="array" ref="L164">_xlfn.IFS('ProductSprint Backlog'!$F164="", "", AND('ProductSprint Backlog'!$J164&gt;L$2,'ProductSprint Backlog'!$I164&lt;=L$2), 'ProductSprint Backlog'!$F164 / MAX(1, 'ProductSprint Backlog'!$J164-'ProductSprint Backlog'!$I164), AND('ProductSprint Backlog'!$J164=L$2,'ProductSprint Backlog'!$I164=L$2), 'ProductSprint Backlog'!$F164, TRUE, 0)</f>
        <v>0</v>
      </c>
      <c r="M164" s="4" cm="1">
        <f t="array" ref="M164">_xlfn.IFS('ProductSprint Backlog'!$F164="", "", AND('ProductSprint Backlog'!$J164&gt;M$2,'ProductSprint Backlog'!$I164&lt;=M$2), 'ProductSprint Backlog'!$F164 / MAX(1, 'ProductSprint Backlog'!$J164-'ProductSprint Backlog'!$I164), AND('ProductSprint Backlog'!$J164=M$2,'ProductSprint Backlog'!$I164=M$2), 'ProductSprint Backlog'!$F164, TRUE, 0)</f>
        <v>0</v>
      </c>
      <c r="N164" s="4" cm="1">
        <f t="array" ref="N164">_xlfn.IFS('ProductSprint Backlog'!$F164="", "", AND('ProductSprint Backlog'!$J164&gt;N$2,'ProductSprint Backlog'!$I164&lt;=N$2), 'ProductSprint Backlog'!$F164 / MAX(1, 'ProductSprint Backlog'!$J164-'ProductSprint Backlog'!$I164), AND('ProductSprint Backlog'!$J164=N$2,'ProductSprint Backlog'!$I164=N$2), 'ProductSprint Backlog'!$F164, TRUE, 0)</f>
        <v>0</v>
      </c>
      <c r="O164" s="4" cm="1">
        <f t="array" ref="O164">_xlfn.IFS('ProductSprint Backlog'!$F164="", "", AND('ProductSprint Backlog'!$J164&gt;O$2,'ProductSprint Backlog'!$I164&lt;=O$2), 'ProductSprint Backlog'!$F164 / MAX(1, 'ProductSprint Backlog'!$J164-'ProductSprint Backlog'!$I164), AND('ProductSprint Backlog'!$J164=O$2,'ProductSprint Backlog'!$I164=O$2), 'ProductSprint Backlog'!$F164, TRUE, 0)</f>
        <v>0</v>
      </c>
      <c r="P164" s="4" cm="1">
        <f t="array" ref="P164">_xlfn.IFS('ProductSprint Backlog'!$F164="", "", AND('ProductSprint Backlog'!$J164&gt;P$2,'ProductSprint Backlog'!$I164&lt;=P$2), 'ProductSprint Backlog'!$F164 / MAX(1, 'ProductSprint Backlog'!$J164-'ProductSprint Backlog'!$I164), AND('ProductSprint Backlog'!$J164=P$2,'ProductSprint Backlog'!$I164=P$2), 'ProductSprint Backlog'!$F164, TRUE, 0)</f>
        <v>0</v>
      </c>
      <c r="Q164" s="4" cm="1">
        <f t="array" ref="Q164">_xlfn.IFS('ProductSprint Backlog'!$F164="", "", AND('ProductSprint Backlog'!$J164&gt;Q$2,'ProductSprint Backlog'!$I164&lt;=Q$2), 'ProductSprint Backlog'!$F164 / MAX(1, 'ProductSprint Backlog'!$J164-'ProductSprint Backlog'!$I164), AND('ProductSprint Backlog'!$J164=Q$2,'ProductSprint Backlog'!$I164=Q$2), 'ProductSprint Backlog'!$F164, TRUE, 0)</f>
        <v>0</v>
      </c>
    </row>
    <row r="165" spans="2:17" x14ac:dyDescent="0.2">
      <c r="B165" s="4" cm="1">
        <f t="array" ref="B165">_xlfn.IFS('ProductSprint Backlog'!$F165="", "", AND('ProductSprint Backlog'!$J165&gt;B$2,'ProductSprint Backlog'!$I165&lt;=B$2), 'ProductSprint Backlog'!$F165 / MAX(1, 'ProductSprint Backlog'!$J165-'ProductSprint Backlog'!$I165), AND('ProductSprint Backlog'!$J165=B$2,'ProductSprint Backlog'!$I165=B$2), 'ProductSprint Backlog'!$F165, TRUE, 0)</f>
        <v>0</v>
      </c>
      <c r="C165" s="4" cm="1">
        <f t="array" ref="C165">_xlfn.IFS('ProductSprint Backlog'!$F165="", "", AND('ProductSprint Backlog'!$J165&gt;C$2,'ProductSprint Backlog'!$I165&lt;=C$2), 'ProductSprint Backlog'!$F165 / MAX(1, 'ProductSprint Backlog'!$J165-'ProductSprint Backlog'!$I165), AND('ProductSprint Backlog'!$J165=C$2,'ProductSprint Backlog'!$I165=C$2), 'ProductSprint Backlog'!$F165, TRUE, 0)</f>
        <v>0</v>
      </c>
      <c r="D165" s="4" cm="1">
        <f t="array" ref="D165">_xlfn.IFS('ProductSprint Backlog'!$F165="", "", AND('ProductSprint Backlog'!$J165&gt;D$2,'ProductSprint Backlog'!$I165&lt;=D$2), 'ProductSprint Backlog'!$F165 / MAX(1, 'ProductSprint Backlog'!$J165-'ProductSprint Backlog'!$I165), AND('ProductSprint Backlog'!$J165=D$2,'ProductSprint Backlog'!$I165=D$2), 'ProductSprint Backlog'!$F165, TRUE, 0)</f>
        <v>0</v>
      </c>
      <c r="E165" s="4" cm="1">
        <f t="array" ref="E165">_xlfn.IFS('ProductSprint Backlog'!$F165="", "", AND('ProductSprint Backlog'!$J165&gt;E$2,'ProductSprint Backlog'!$I165&lt;=E$2), 'ProductSprint Backlog'!$F165 / MAX(1, 'ProductSprint Backlog'!$J165-'ProductSprint Backlog'!$I165), AND('ProductSprint Backlog'!$J165=E$2,'ProductSprint Backlog'!$I165=E$2), 'ProductSprint Backlog'!$F165, TRUE, 0)</f>
        <v>0</v>
      </c>
      <c r="F165" s="4" cm="1">
        <f t="array" ref="F165">_xlfn.IFS('ProductSprint Backlog'!$F165="", "", AND('ProductSprint Backlog'!$J165&gt;F$2,'ProductSprint Backlog'!$I165&lt;=F$2), 'ProductSprint Backlog'!$F165 / MAX(1, 'ProductSprint Backlog'!$J165-'ProductSprint Backlog'!$I165), AND('ProductSprint Backlog'!$J165=F$2,'ProductSprint Backlog'!$I165=F$2), 'ProductSprint Backlog'!$F165, TRUE, 0)</f>
        <v>0</v>
      </c>
      <c r="G165" s="4" cm="1">
        <f t="array" ref="G165">_xlfn.IFS('ProductSprint Backlog'!$F165="", "", AND('ProductSprint Backlog'!$J165&gt;G$2,'ProductSprint Backlog'!$I165&lt;=G$2), 'ProductSprint Backlog'!$F165 / MAX(1, 'ProductSprint Backlog'!$J165-'ProductSprint Backlog'!$I165), AND('ProductSprint Backlog'!$J165=G$2,'ProductSprint Backlog'!$I165=G$2), 'ProductSprint Backlog'!$F165, TRUE, 0)</f>
        <v>0</v>
      </c>
      <c r="H165" s="4" cm="1">
        <f t="array" ref="H165">_xlfn.IFS('ProductSprint Backlog'!$F165="", "", AND('ProductSprint Backlog'!$J165&gt;H$2,'ProductSprint Backlog'!$I165&lt;=H$2), 'ProductSprint Backlog'!$F165 / MAX(1, 'ProductSprint Backlog'!$J165-'ProductSprint Backlog'!$I165), AND('ProductSprint Backlog'!$J165=H$2,'ProductSprint Backlog'!$I165=H$2), 'ProductSprint Backlog'!$F165, TRUE, 0)</f>
        <v>0</v>
      </c>
      <c r="I165" s="4" cm="1">
        <f t="array" ref="I165">_xlfn.IFS('ProductSprint Backlog'!$F165="", "", AND('ProductSprint Backlog'!$J165&gt;I$2,'ProductSprint Backlog'!$I165&lt;=I$2), 'ProductSprint Backlog'!$F165 / MAX(1, 'ProductSprint Backlog'!$J165-'ProductSprint Backlog'!$I165), AND('ProductSprint Backlog'!$J165=I$2,'ProductSprint Backlog'!$I165=I$2), 'ProductSprint Backlog'!$F165, TRUE, 0)</f>
        <v>0</v>
      </c>
      <c r="J165" s="4" cm="1">
        <f t="array" ref="J165">_xlfn.IFS('ProductSprint Backlog'!$F165="", "", AND('ProductSprint Backlog'!$J165&gt;J$2,'ProductSprint Backlog'!$I165&lt;=J$2), 'ProductSprint Backlog'!$F165 / MAX(1, 'ProductSprint Backlog'!$J165-'ProductSprint Backlog'!$I165), AND('ProductSprint Backlog'!$J165=J$2,'ProductSprint Backlog'!$I165=J$2), 'ProductSprint Backlog'!$F165, TRUE, 0)</f>
        <v>0</v>
      </c>
      <c r="K165" s="4" cm="1">
        <f t="array" ref="K165">_xlfn.IFS('ProductSprint Backlog'!$F165="", "", AND('ProductSprint Backlog'!$J165&gt;K$2,'ProductSprint Backlog'!$I165&lt;=K$2), 'ProductSprint Backlog'!$F165 / MAX(1, 'ProductSprint Backlog'!$J165-'ProductSprint Backlog'!$I165), AND('ProductSprint Backlog'!$J165=K$2,'ProductSprint Backlog'!$I165=K$2), 'ProductSprint Backlog'!$F165, TRUE, 0)</f>
        <v>0</v>
      </c>
      <c r="L165" s="4" cm="1">
        <f t="array" ref="L165">_xlfn.IFS('ProductSprint Backlog'!$F165="", "", AND('ProductSprint Backlog'!$J165&gt;L$2,'ProductSprint Backlog'!$I165&lt;=L$2), 'ProductSprint Backlog'!$F165 / MAX(1, 'ProductSprint Backlog'!$J165-'ProductSprint Backlog'!$I165), AND('ProductSprint Backlog'!$J165=L$2,'ProductSprint Backlog'!$I165=L$2), 'ProductSprint Backlog'!$F165, TRUE, 0)</f>
        <v>0</v>
      </c>
      <c r="M165" s="4" cm="1">
        <f t="array" ref="M165">_xlfn.IFS('ProductSprint Backlog'!$F165="", "", AND('ProductSprint Backlog'!$J165&gt;M$2,'ProductSprint Backlog'!$I165&lt;=M$2), 'ProductSprint Backlog'!$F165 / MAX(1, 'ProductSprint Backlog'!$J165-'ProductSprint Backlog'!$I165), AND('ProductSprint Backlog'!$J165=M$2,'ProductSprint Backlog'!$I165=M$2), 'ProductSprint Backlog'!$F165, TRUE, 0)</f>
        <v>0</v>
      </c>
      <c r="N165" s="4" cm="1">
        <f t="array" ref="N165">_xlfn.IFS('ProductSprint Backlog'!$F165="", "", AND('ProductSprint Backlog'!$J165&gt;N$2,'ProductSprint Backlog'!$I165&lt;=N$2), 'ProductSprint Backlog'!$F165 / MAX(1, 'ProductSprint Backlog'!$J165-'ProductSprint Backlog'!$I165), AND('ProductSprint Backlog'!$J165=N$2,'ProductSprint Backlog'!$I165=N$2), 'ProductSprint Backlog'!$F165, TRUE, 0)</f>
        <v>0</v>
      </c>
      <c r="O165" s="4" cm="1">
        <f t="array" ref="O165">_xlfn.IFS('ProductSprint Backlog'!$F165="", "", AND('ProductSprint Backlog'!$J165&gt;O$2,'ProductSprint Backlog'!$I165&lt;=O$2), 'ProductSprint Backlog'!$F165 / MAX(1, 'ProductSprint Backlog'!$J165-'ProductSprint Backlog'!$I165), AND('ProductSprint Backlog'!$J165=O$2,'ProductSprint Backlog'!$I165=O$2), 'ProductSprint Backlog'!$F165, TRUE, 0)</f>
        <v>0</v>
      </c>
      <c r="P165" s="4" cm="1">
        <f t="array" ref="P165">_xlfn.IFS('ProductSprint Backlog'!$F165="", "", AND('ProductSprint Backlog'!$J165&gt;P$2,'ProductSprint Backlog'!$I165&lt;=P$2), 'ProductSprint Backlog'!$F165 / MAX(1, 'ProductSprint Backlog'!$J165-'ProductSprint Backlog'!$I165), AND('ProductSprint Backlog'!$J165=P$2,'ProductSprint Backlog'!$I165=P$2), 'ProductSprint Backlog'!$F165, TRUE, 0)</f>
        <v>0</v>
      </c>
      <c r="Q165" s="4" cm="1">
        <f t="array" ref="Q165">_xlfn.IFS('ProductSprint Backlog'!$F165="", "", AND('ProductSprint Backlog'!$J165&gt;Q$2,'ProductSprint Backlog'!$I165&lt;=Q$2), 'ProductSprint Backlog'!$F165 / MAX(1, 'ProductSprint Backlog'!$J165-'ProductSprint Backlog'!$I165), AND('ProductSprint Backlog'!$J165=Q$2,'ProductSprint Backlog'!$I165=Q$2), 'ProductSprint Backlog'!$F165, TRUE, 0)</f>
        <v>0</v>
      </c>
    </row>
    <row r="166" spans="2:17" x14ac:dyDescent="0.2">
      <c r="B166" s="4" cm="1">
        <f t="array" ref="B166">_xlfn.IFS('ProductSprint Backlog'!$F166="", "", AND('ProductSprint Backlog'!$J166&gt;B$2,'ProductSprint Backlog'!$I166&lt;=B$2), 'ProductSprint Backlog'!$F166 / MAX(1, 'ProductSprint Backlog'!$J166-'ProductSprint Backlog'!$I166), AND('ProductSprint Backlog'!$J166=B$2,'ProductSprint Backlog'!$I166=B$2), 'ProductSprint Backlog'!$F166, TRUE, 0)</f>
        <v>0</v>
      </c>
      <c r="C166" s="4" cm="1">
        <f t="array" ref="C166">_xlfn.IFS('ProductSprint Backlog'!$F166="", "", AND('ProductSprint Backlog'!$J166&gt;C$2,'ProductSprint Backlog'!$I166&lt;=C$2), 'ProductSprint Backlog'!$F166 / MAX(1, 'ProductSprint Backlog'!$J166-'ProductSprint Backlog'!$I166), AND('ProductSprint Backlog'!$J166=C$2,'ProductSprint Backlog'!$I166=C$2), 'ProductSprint Backlog'!$F166, TRUE, 0)</f>
        <v>0</v>
      </c>
      <c r="D166" s="4" cm="1">
        <f t="array" ref="D166">_xlfn.IFS('ProductSprint Backlog'!$F166="", "", AND('ProductSprint Backlog'!$J166&gt;D$2,'ProductSprint Backlog'!$I166&lt;=D$2), 'ProductSprint Backlog'!$F166 / MAX(1, 'ProductSprint Backlog'!$J166-'ProductSprint Backlog'!$I166), AND('ProductSprint Backlog'!$J166=D$2,'ProductSprint Backlog'!$I166=D$2), 'ProductSprint Backlog'!$F166, TRUE, 0)</f>
        <v>0</v>
      </c>
      <c r="E166" s="4" cm="1">
        <f t="array" ref="E166">_xlfn.IFS('ProductSprint Backlog'!$F166="", "", AND('ProductSprint Backlog'!$J166&gt;E$2,'ProductSprint Backlog'!$I166&lt;=E$2), 'ProductSprint Backlog'!$F166 / MAX(1, 'ProductSprint Backlog'!$J166-'ProductSprint Backlog'!$I166), AND('ProductSprint Backlog'!$J166=E$2,'ProductSprint Backlog'!$I166=E$2), 'ProductSprint Backlog'!$F166, TRUE, 0)</f>
        <v>0</v>
      </c>
      <c r="F166" s="4" cm="1">
        <f t="array" ref="F166">_xlfn.IFS('ProductSprint Backlog'!$F166="", "", AND('ProductSprint Backlog'!$J166&gt;F$2,'ProductSprint Backlog'!$I166&lt;=F$2), 'ProductSprint Backlog'!$F166 / MAX(1, 'ProductSprint Backlog'!$J166-'ProductSprint Backlog'!$I166), AND('ProductSprint Backlog'!$J166=F$2,'ProductSprint Backlog'!$I166=F$2), 'ProductSprint Backlog'!$F166, TRUE, 0)</f>
        <v>0</v>
      </c>
      <c r="G166" s="4" cm="1">
        <f t="array" ref="G166">_xlfn.IFS('ProductSprint Backlog'!$F166="", "", AND('ProductSprint Backlog'!$J166&gt;G$2,'ProductSprint Backlog'!$I166&lt;=G$2), 'ProductSprint Backlog'!$F166 / MAX(1, 'ProductSprint Backlog'!$J166-'ProductSprint Backlog'!$I166), AND('ProductSprint Backlog'!$J166=G$2,'ProductSprint Backlog'!$I166=G$2), 'ProductSprint Backlog'!$F166, TRUE, 0)</f>
        <v>0</v>
      </c>
      <c r="H166" s="4" cm="1">
        <f t="array" ref="H166">_xlfn.IFS('ProductSprint Backlog'!$F166="", "", AND('ProductSprint Backlog'!$J166&gt;H$2,'ProductSprint Backlog'!$I166&lt;=H$2), 'ProductSprint Backlog'!$F166 / MAX(1, 'ProductSprint Backlog'!$J166-'ProductSprint Backlog'!$I166), AND('ProductSprint Backlog'!$J166=H$2,'ProductSprint Backlog'!$I166=H$2), 'ProductSprint Backlog'!$F166, TRUE, 0)</f>
        <v>0</v>
      </c>
      <c r="I166" s="4" cm="1">
        <f t="array" ref="I166">_xlfn.IFS('ProductSprint Backlog'!$F166="", "", AND('ProductSprint Backlog'!$J166&gt;I$2,'ProductSprint Backlog'!$I166&lt;=I$2), 'ProductSprint Backlog'!$F166 / MAX(1, 'ProductSprint Backlog'!$J166-'ProductSprint Backlog'!$I166), AND('ProductSprint Backlog'!$J166=I$2,'ProductSprint Backlog'!$I166=I$2), 'ProductSprint Backlog'!$F166, TRUE, 0)</f>
        <v>0</v>
      </c>
      <c r="J166" s="4" cm="1">
        <f t="array" ref="J166">_xlfn.IFS('ProductSprint Backlog'!$F166="", "", AND('ProductSprint Backlog'!$J166&gt;J$2,'ProductSprint Backlog'!$I166&lt;=J$2), 'ProductSprint Backlog'!$F166 / MAX(1, 'ProductSprint Backlog'!$J166-'ProductSprint Backlog'!$I166), AND('ProductSprint Backlog'!$J166=J$2,'ProductSprint Backlog'!$I166=J$2), 'ProductSprint Backlog'!$F166, TRUE, 0)</f>
        <v>0</v>
      </c>
      <c r="K166" s="4" cm="1">
        <f t="array" ref="K166">_xlfn.IFS('ProductSprint Backlog'!$F166="", "", AND('ProductSprint Backlog'!$J166&gt;K$2,'ProductSprint Backlog'!$I166&lt;=K$2), 'ProductSprint Backlog'!$F166 / MAX(1, 'ProductSprint Backlog'!$J166-'ProductSprint Backlog'!$I166), AND('ProductSprint Backlog'!$J166=K$2,'ProductSprint Backlog'!$I166=K$2), 'ProductSprint Backlog'!$F166, TRUE, 0)</f>
        <v>0</v>
      </c>
      <c r="L166" s="4" cm="1">
        <f t="array" ref="L166">_xlfn.IFS('ProductSprint Backlog'!$F166="", "", AND('ProductSprint Backlog'!$J166&gt;L$2,'ProductSprint Backlog'!$I166&lt;=L$2), 'ProductSprint Backlog'!$F166 / MAX(1, 'ProductSprint Backlog'!$J166-'ProductSprint Backlog'!$I166), AND('ProductSprint Backlog'!$J166=L$2,'ProductSprint Backlog'!$I166=L$2), 'ProductSprint Backlog'!$F166, TRUE, 0)</f>
        <v>0</v>
      </c>
      <c r="M166" s="4" cm="1">
        <f t="array" ref="M166">_xlfn.IFS('ProductSprint Backlog'!$F166="", "", AND('ProductSprint Backlog'!$J166&gt;M$2,'ProductSprint Backlog'!$I166&lt;=M$2), 'ProductSprint Backlog'!$F166 / MAX(1, 'ProductSprint Backlog'!$J166-'ProductSprint Backlog'!$I166), AND('ProductSprint Backlog'!$J166=M$2,'ProductSprint Backlog'!$I166=M$2), 'ProductSprint Backlog'!$F166, TRUE, 0)</f>
        <v>0</v>
      </c>
      <c r="N166" s="4" cm="1">
        <f t="array" ref="N166">_xlfn.IFS('ProductSprint Backlog'!$F166="", "", AND('ProductSprint Backlog'!$J166&gt;N$2,'ProductSprint Backlog'!$I166&lt;=N$2), 'ProductSprint Backlog'!$F166 / MAX(1, 'ProductSprint Backlog'!$J166-'ProductSprint Backlog'!$I166), AND('ProductSprint Backlog'!$J166=N$2,'ProductSprint Backlog'!$I166=N$2), 'ProductSprint Backlog'!$F166, TRUE, 0)</f>
        <v>0</v>
      </c>
      <c r="O166" s="4" cm="1">
        <f t="array" ref="O166">_xlfn.IFS('ProductSprint Backlog'!$F166="", "", AND('ProductSprint Backlog'!$J166&gt;O$2,'ProductSprint Backlog'!$I166&lt;=O$2), 'ProductSprint Backlog'!$F166 / MAX(1, 'ProductSprint Backlog'!$J166-'ProductSprint Backlog'!$I166), AND('ProductSprint Backlog'!$J166=O$2,'ProductSprint Backlog'!$I166=O$2), 'ProductSprint Backlog'!$F166, TRUE, 0)</f>
        <v>0</v>
      </c>
      <c r="P166" s="4" cm="1">
        <f t="array" ref="P166">_xlfn.IFS('ProductSprint Backlog'!$F166="", "", AND('ProductSprint Backlog'!$J166&gt;P$2,'ProductSprint Backlog'!$I166&lt;=P$2), 'ProductSprint Backlog'!$F166 / MAX(1, 'ProductSprint Backlog'!$J166-'ProductSprint Backlog'!$I166), AND('ProductSprint Backlog'!$J166=P$2,'ProductSprint Backlog'!$I166=P$2), 'ProductSprint Backlog'!$F166, TRUE, 0)</f>
        <v>0</v>
      </c>
      <c r="Q166" s="4" cm="1">
        <f t="array" ref="Q166">_xlfn.IFS('ProductSprint Backlog'!$F166="", "", AND('ProductSprint Backlog'!$J166&gt;Q$2,'ProductSprint Backlog'!$I166&lt;=Q$2), 'ProductSprint Backlog'!$F166 / MAX(1, 'ProductSprint Backlog'!$J166-'ProductSprint Backlog'!$I166), AND('ProductSprint Backlog'!$J166=Q$2,'ProductSprint Backlog'!$I166=Q$2), 'ProductSprint Backlog'!$F166, TRUE, 0)</f>
        <v>0</v>
      </c>
    </row>
    <row r="167" spans="2:17" x14ac:dyDescent="0.2">
      <c r="B167" s="4" t="str" cm="1">
        <f t="array" ref="B167">_xlfn.IFS('ProductSprint Backlog'!$F167="", "", AND('ProductSprint Backlog'!$J167&gt;B$2,'ProductSprint Backlog'!$I167&lt;=B$2), 'ProductSprint Backlog'!$F167 / MAX(1, 'ProductSprint Backlog'!$J167-'ProductSprint Backlog'!$I167), AND('ProductSprint Backlog'!$J167=B$2,'ProductSprint Backlog'!$I167=B$2), 'ProductSprint Backlog'!$F167, TRUE, 0)</f>
        <v/>
      </c>
      <c r="C167" s="4" t="str" cm="1">
        <f t="array" ref="C167">_xlfn.IFS('ProductSprint Backlog'!$F167="", "", AND('ProductSprint Backlog'!$J167&gt;C$2,'ProductSprint Backlog'!$I167&lt;=C$2), 'ProductSprint Backlog'!$F167 / MAX(1, 'ProductSprint Backlog'!$J167-'ProductSprint Backlog'!$I167), AND('ProductSprint Backlog'!$J167=C$2,'ProductSprint Backlog'!$I167=C$2), 'ProductSprint Backlog'!$F167, TRUE, 0)</f>
        <v/>
      </c>
      <c r="D167" s="4" t="str" cm="1">
        <f t="array" ref="D167">_xlfn.IFS('ProductSprint Backlog'!$F167="", "", AND('ProductSprint Backlog'!$J167&gt;D$2,'ProductSprint Backlog'!$I167&lt;=D$2), 'ProductSprint Backlog'!$F167 / MAX(1, 'ProductSprint Backlog'!$J167-'ProductSprint Backlog'!$I167), AND('ProductSprint Backlog'!$J167=D$2,'ProductSprint Backlog'!$I167=D$2), 'ProductSprint Backlog'!$F167, TRUE, 0)</f>
        <v/>
      </c>
      <c r="E167" s="4" t="str" cm="1">
        <f t="array" ref="E167">_xlfn.IFS('ProductSprint Backlog'!$F167="", "", AND('ProductSprint Backlog'!$J167&gt;E$2,'ProductSprint Backlog'!$I167&lt;=E$2), 'ProductSprint Backlog'!$F167 / MAX(1, 'ProductSprint Backlog'!$J167-'ProductSprint Backlog'!$I167), AND('ProductSprint Backlog'!$J167=E$2,'ProductSprint Backlog'!$I167=E$2), 'ProductSprint Backlog'!$F167, TRUE, 0)</f>
        <v/>
      </c>
      <c r="F167" s="4" t="str" cm="1">
        <f t="array" ref="F167">_xlfn.IFS('ProductSprint Backlog'!$F167="", "", AND('ProductSprint Backlog'!$J167&gt;F$2,'ProductSprint Backlog'!$I167&lt;=F$2), 'ProductSprint Backlog'!$F167 / MAX(1, 'ProductSprint Backlog'!$J167-'ProductSprint Backlog'!$I167), AND('ProductSprint Backlog'!$J167=F$2,'ProductSprint Backlog'!$I167=F$2), 'ProductSprint Backlog'!$F167, TRUE, 0)</f>
        <v/>
      </c>
      <c r="G167" s="4" t="str" cm="1">
        <f t="array" ref="G167">_xlfn.IFS('ProductSprint Backlog'!$F167="", "", AND('ProductSprint Backlog'!$J167&gt;G$2,'ProductSprint Backlog'!$I167&lt;=G$2), 'ProductSprint Backlog'!$F167 / MAX(1, 'ProductSprint Backlog'!$J167-'ProductSprint Backlog'!$I167), AND('ProductSprint Backlog'!$J167=G$2,'ProductSprint Backlog'!$I167=G$2), 'ProductSprint Backlog'!$F167, TRUE, 0)</f>
        <v/>
      </c>
      <c r="H167" s="4" t="str" cm="1">
        <f t="array" ref="H167">_xlfn.IFS('ProductSprint Backlog'!$F167="", "", AND('ProductSprint Backlog'!$J167&gt;H$2,'ProductSprint Backlog'!$I167&lt;=H$2), 'ProductSprint Backlog'!$F167 / MAX(1, 'ProductSprint Backlog'!$J167-'ProductSprint Backlog'!$I167), AND('ProductSprint Backlog'!$J167=H$2,'ProductSprint Backlog'!$I167=H$2), 'ProductSprint Backlog'!$F167, TRUE, 0)</f>
        <v/>
      </c>
      <c r="I167" s="4" t="str" cm="1">
        <f t="array" ref="I167">_xlfn.IFS('ProductSprint Backlog'!$F167="", "", AND('ProductSprint Backlog'!$J167&gt;I$2,'ProductSprint Backlog'!$I167&lt;=I$2), 'ProductSprint Backlog'!$F167 / MAX(1, 'ProductSprint Backlog'!$J167-'ProductSprint Backlog'!$I167), AND('ProductSprint Backlog'!$J167=I$2,'ProductSprint Backlog'!$I167=I$2), 'ProductSprint Backlog'!$F167, TRUE, 0)</f>
        <v/>
      </c>
      <c r="J167" s="4" t="str" cm="1">
        <f t="array" ref="J167">_xlfn.IFS('ProductSprint Backlog'!$F167="", "", AND('ProductSprint Backlog'!$J167&gt;J$2,'ProductSprint Backlog'!$I167&lt;=J$2), 'ProductSprint Backlog'!$F167 / MAX(1, 'ProductSprint Backlog'!$J167-'ProductSprint Backlog'!$I167), AND('ProductSprint Backlog'!$J167=J$2,'ProductSprint Backlog'!$I167=J$2), 'ProductSprint Backlog'!$F167, TRUE, 0)</f>
        <v/>
      </c>
      <c r="K167" s="4" t="str" cm="1">
        <f t="array" ref="K167">_xlfn.IFS('ProductSprint Backlog'!$F167="", "", AND('ProductSprint Backlog'!$J167&gt;K$2,'ProductSprint Backlog'!$I167&lt;=K$2), 'ProductSprint Backlog'!$F167 / MAX(1, 'ProductSprint Backlog'!$J167-'ProductSprint Backlog'!$I167), AND('ProductSprint Backlog'!$J167=K$2,'ProductSprint Backlog'!$I167=K$2), 'ProductSprint Backlog'!$F167, TRUE, 0)</f>
        <v/>
      </c>
      <c r="L167" s="4" t="str" cm="1">
        <f t="array" ref="L167">_xlfn.IFS('ProductSprint Backlog'!$F167="", "", AND('ProductSprint Backlog'!$J167&gt;L$2,'ProductSprint Backlog'!$I167&lt;=L$2), 'ProductSprint Backlog'!$F167 / MAX(1, 'ProductSprint Backlog'!$J167-'ProductSprint Backlog'!$I167), AND('ProductSprint Backlog'!$J167=L$2,'ProductSprint Backlog'!$I167=L$2), 'ProductSprint Backlog'!$F167, TRUE, 0)</f>
        <v/>
      </c>
      <c r="M167" s="4" t="str" cm="1">
        <f t="array" ref="M167">_xlfn.IFS('ProductSprint Backlog'!$F167="", "", AND('ProductSprint Backlog'!$J167&gt;M$2,'ProductSprint Backlog'!$I167&lt;=M$2), 'ProductSprint Backlog'!$F167 / MAX(1, 'ProductSprint Backlog'!$J167-'ProductSprint Backlog'!$I167), AND('ProductSprint Backlog'!$J167=M$2,'ProductSprint Backlog'!$I167=M$2), 'ProductSprint Backlog'!$F167, TRUE, 0)</f>
        <v/>
      </c>
      <c r="N167" s="4" t="str" cm="1">
        <f t="array" ref="N167">_xlfn.IFS('ProductSprint Backlog'!$F167="", "", AND('ProductSprint Backlog'!$J167&gt;N$2,'ProductSprint Backlog'!$I167&lt;=N$2), 'ProductSprint Backlog'!$F167 / MAX(1, 'ProductSprint Backlog'!$J167-'ProductSprint Backlog'!$I167), AND('ProductSprint Backlog'!$J167=N$2,'ProductSprint Backlog'!$I167=N$2), 'ProductSprint Backlog'!$F167, TRUE, 0)</f>
        <v/>
      </c>
      <c r="O167" s="4" t="str" cm="1">
        <f t="array" ref="O167">_xlfn.IFS('ProductSprint Backlog'!$F167="", "", AND('ProductSprint Backlog'!$J167&gt;O$2,'ProductSprint Backlog'!$I167&lt;=O$2), 'ProductSprint Backlog'!$F167 / MAX(1, 'ProductSprint Backlog'!$J167-'ProductSprint Backlog'!$I167), AND('ProductSprint Backlog'!$J167=O$2,'ProductSprint Backlog'!$I167=O$2), 'ProductSprint Backlog'!$F167, TRUE, 0)</f>
        <v/>
      </c>
      <c r="P167" s="4" t="str" cm="1">
        <f t="array" ref="P167">_xlfn.IFS('ProductSprint Backlog'!$F167="", "", AND('ProductSprint Backlog'!$J167&gt;P$2,'ProductSprint Backlog'!$I167&lt;=P$2), 'ProductSprint Backlog'!$F167 / MAX(1, 'ProductSprint Backlog'!$J167-'ProductSprint Backlog'!$I167), AND('ProductSprint Backlog'!$J167=P$2,'ProductSprint Backlog'!$I167=P$2), 'ProductSprint Backlog'!$F167, TRUE, 0)</f>
        <v/>
      </c>
      <c r="Q167" s="4" t="str" cm="1">
        <f t="array" ref="Q167">_xlfn.IFS('ProductSprint Backlog'!$F167="", "", AND('ProductSprint Backlog'!$J167&gt;Q$2,'ProductSprint Backlog'!$I167&lt;=Q$2), 'ProductSprint Backlog'!$F167 / MAX(1, 'ProductSprint Backlog'!$J167-'ProductSprint Backlog'!$I167), AND('ProductSprint Backlog'!$J167=Q$2,'ProductSprint Backlog'!$I167=Q$2), 'ProductSprint Backlog'!$F167, TRUE, 0)</f>
        <v/>
      </c>
    </row>
    <row r="168" spans="2:17" x14ac:dyDescent="0.2">
      <c r="B168" s="4" cm="1">
        <f t="array" ref="B168">_xlfn.IFS('ProductSprint Backlog'!$F168="", "", AND('ProductSprint Backlog'!$J168&gt;B$2,'ProductSprint Backlog'!$I168&lt;=B$2), 'ProductSprint Backlog'!$F168 / MAX(1, 'ProductSprint Backlog'!$J168-'ProductSprint Backlog'!$I168), AND('ProductSprint Backlog'!$J168=B$2,'ProductSprint Backlog'!$I168=B$2), 'ProductSprint Backlog'!$F168, TRUE, 0)</f>
        <v>0</v>
      </c>
      <c r="C168" s="4" cm="1">
        <f t="array" ref="C168">_xlfn.IFS('ProductSprint Backlog'!$F168="", "", AND('ProductSprint Backlog'!$J168&gt;C$2,'ProductSprint Backlog'!$I168&lt;=C$2), 'ProductSprint Backlog'!$F168 / MAX(1, 'ProductSprint Backlog'!$J168-'ProductSprint Backlog'!$I168), AND('ProductSprint Backlog'!$J168=C$2,'ProductSprint Backlog'!$I168=C$2), 'ProductSprint Backlog'!$F168, TRUE, 0)</f>
        <v>0</v>
      </c>
      <c r="D168" s="4" cm="1">
        <f t="array" ref="D168">_xlfn.IFS('ProductSprint Backlog'!$F168="", "", AND('ProductSprint Backlog'!$J168&gt;D$2,'ProductSprint Backlog'!$I168&lt;=D$2), 'ProductSprint Backlog'!$F168 / MAX(1, 'ProductSprint Backlog'!$J168-'ProductSprint Backlog'!$I168), AND('ProductSprint Backlog'!$J168=D$2,'ProductSprint Backlog'!$I168=D$2), 'ProductSprint Backlog'!$F168, TRUE, 0)</f>
        <v>0</v>
      </c>
      <c r="E168" s="4" cm="1">
        <f t="array" ref="E168">_xlfn.IFS('ProductSprint Backlog'!$F168="", "", AND('ProductSprint Backlog'!$J168&gt;E$2,'ProductSprint Backlog'!$I168&lt;=E$2), 'ProductSprint Backlog'!$F168 / MAX(1, 'ProductSprint Backlog'!$J168-'ProductSprint Backlog'!$I168), AND('ProductSprint Backlog'!$J168=E$2,'ProductSprint Backlog'!$I168=E$2), 'ProductSprint Backlog'!$F168, TRUE, 0)</f>
        <v>0</v>
      </c>
      <c r="F168" s="4" cm="1">
        <f t="array" ref="F168">_xlfn.IFS('ProductSprint Backlog'!$F168="", "", AND('ProductSprint Backlog'!$J168&gt;F$2,'ProductSprint Backlog'!$I168&lt;=F$2), 'ProductSprint Backlog'!$F168 / MAX(1, 'ProductSprint Backlog'!$J168-'ProductSprint Backlog'!$I168), AND('ProductSprint Backlog'!$J168=F$2,'ProductSprint Backlog'!$I168=F$2), 'ProductSprint Backlog'!$F168, TRUE, 0)</f>
        <v>0</v>
      </c>
      <c r="G168" s="4" cm="1">
        <f t="array" ref="G168">_xlfn.IFS('ProductSprint Backlog'!$F168="", "", AND('ProductSprint Backlog'!$J168&gt;G$2,'ProductSprint Backlog'!$I168&lt;=G$2), 'ProductSprint Backlog'!$F168 / MAX(1, 'ProductSprint Backlog'!$J168-'ProductSprint Backlog'!$I168), AND('ProductSprint Backlog'!$J168=G$2,'ProductSprint Backlog'!$I168=G$2), 'ProductSprint Backlog'!$F168, TRUE, 0)</f>
        <v>0</v>
      </c>
      <c r="H168" s="4" cm="1">
        <f t="array" ref="H168">_xlfn.IFS('ProductSprint Backlog'!$F168="", "", AND('ProductSprint Backlog'!$J168&gt;H$2,'ProductSprint Backlog'!$I168&lt;=H$2), 'ProductSprint Backlog'!$F168 / MAX(1, 'ProductSprint Backlog'!$J168-'ProductSprint Backlog'!$I168), AND('ProductSprint Backlog'!$J168=H$2,'ProductSprint Backlog'!$I168=H$2), 'ProductSprint Backlog'!$F168, TRUE, 0)</f>
        <v>0</v>
      </c>
      <c r="I168" s="4" cm="1">
        <f t="array" ref="I168">_xlfn.IFS('ProductSprint Backlog'!$F168="", "", AND('ProductSprint Backlog'!$J168&gt;I$2,'ProductSprint Backlog'!$I168&lt;=I$2), 'ProductSprint Backlog'!$F168 / MAX(1, 'ProductSprint Backlog'!$J168-'ProductSprint Backlog'!$I168), AND('ProductSprint Backlog'!$J168=I$2,'ProductSprint Backlog'!$I168=I$2), 'ProductSprint Backlog'!$F168, TRUE, 0)</f>
        <v>0</v>
      </c>
      <c r="J168" s="4" cm="1">
        <f t="array" ref="J168">_xlfn.IFS('ProductSprint Backlog'!$F168="", "", AND('ProductSprint Backlog'!$J168&gt;J$2,'ProductSprint Backlog'!$I168&lt;=J$2), 'ProductSprint Backlog'!$F168 / MAX(1, 'ProductSprint Backlog'!$J168-'ProductSprint Backlog'!$I168), AND('ProductSprint Backlog'!$J168=J$2,'ProductSprint Backlog'!$I168=J$2), 'ProductSprint Backlog'!$F168, TRUE, 0)</f>
        <v>0</v>
      </c>
      <c r="K168" s="4" cm="1">
        <f t="array" ref="K168">_xlfn.IFS('ProductSprint Backlog'!$F168="", "", AND('ProductSprint Backlog'!$J168&gt;K$2,'ProductSprint Backlog'!$I168&lt;=K$2), 'ProductSprint Backlog'!$F168 / MAX(1, 'ProductSprint Backlog'!$J168-'ProductSprint Backlog'!$I168), AND('ProductSprint Backlog'!$J168=K$2,'ProductSprint Backlog'!$I168=K$2), 'ProductSprint Backlog'!$F168, TRUE, 0)</f>
        <v>0</v>
      </c>
      <c r="L168" s="4" cm="1">
        <f t="array" ref="L168">_xlfn.IFS('ProductSprint Backlog'!$F168="", "", AND('ProductSprint Backlog'!$J168&gt;L$2,'ProductSprint Backlog'!$I168&lt;=L$2), 'ProductSprint Backlog'!$F168 / MAX(1, 'ProductSprint Backlog'!$J168-'ProductSprint Backlog'!$I168), AND('ProductSprint Backlog'!$J168=L$2,'ProductSprint Backlog'!$I168=L$2), 'ProductSprint Backlog'!$F168, TRUE, 0)</f>
        <v>0</v>
      </c>
      <c r="M168" s="4" cm="1">
        <f t="array" ref="M168">_xlfn.IFS('ProductSprint Backlog'!$F168="", "", AND('ProductSprint Backlog'!$J168&gt;M$2,'ProductSprint Backlog'!$I168&lt;=M$2), 'ProductSprint Backlog'!$F168 / MAX(1, 'ProductSprint Backlog'!$J168-'ProductSprint Backlog'!$I168), AND('ProductSprint Backlog'!$J168=M$2,'ProductSprint Backlog'!$I168=M$2), 'ProductSprint Backlog'!$F168, TRUE, 0)</f>
        <v>0</v>
      </c>
      <c r="N168" s="4" cm="1">
        <f t="array" ref="N168">_xlfn.IFS('ProductSprint Backlog'!$F168="", "", AND('ProductSprint Backlog'!$J168&gt;N$2,'ProductSprint Backlog'!$I168&lt;=N$2), 'ProductSprint Backlog'!$F168 / MAX(1, 'ProductSprint Backlog'!$J168-'ProductSprint Backlog'!$I168), AND('ProductSprint Backlog'!$J168=N$2,'ProductSprint Backlog'!$I168=N$2), 'ProductSprint Backlog'!$F168, TRUE, 0)</f>
        <v>0</v>
      </c>
      <c r="O168" s="4" cm="1">
        <f t="array" ref="O168">_xlfn.IFS('ProductSprint Backlog'!$F168="", "", AND('ProductSprint Backlog'!$J168&gt;O$2,'ProductSprint Backlog'!$I168&lt;=O$2), 'ProductSprint Backlog'!$F168 / MAX(1, 'ProductSprint Backlog'!$J168-'ProductSprint Backlog'!$I168), AND('ProductSprint Backlog'!$J168=O$2,'ProductSprint Backlog'!$I168=O$2), 'ProductSprint Backlog'!$F168, TRUE, 0)</f>
        <v>0</v>
      </c>
      <c r="P168" s="4" cm="1">
        <f t="array" ref="P168">_xlfn.IFS('ProductSprint Backlog'!$F168="", "", AND('ProductSprint Backlog'!$J168&gt;P$2,'ProductSprint Backlog'!$I168&lt;=P$2), 'ProductSprint Backlog'!$F168 / MAX(1, 'ProductSprint Backlog'!$J168-'ProductSprint Backlog'!$I168), AND('ProductSprint Backlog'!$J168=P$2,'ProductSprint Backlog'!$I168=P$2), 'ProductSprint Backlog'!$F168, TRUE, 0)</f>
        <v>0</v>
      </c>
      <c r="Q168" s="4" cm="1">
        <f t="array" ref="Q168">_xlfn.IFS('ProductSprint Backlog'!$F168="", "", AND('ProductSprint Backlog'!$J168&gt;Q$2,'ProductSprint Backlog'!$I168&lt;=Q$2), 'ProductSprint Backlog'!$F168 / MAX(1, 'ProductSprint Backlog'!$J168-'ProductSprint Backlog'!$I168), AND('ProductSprint Backlog'!$J168=Q$2,'ProductSprint Backlog'!$I168=Q$2), 'ProductSprint Backlog'!$F168, TRUE, 0)</f>
        <v>0</v>
      </c>
    </row>
    <row r="169" spans="2:17" x14ac:dyDescent="0.2">
      <c r="B169" s="4" cm="1">
        <f t="array" ref="B169">_xlfn.IFS('ProductSprint Backlog'!$F169="", "", AND('ProductSprint Backlog'!$J169&gt;B$2,'ProductSprint Backlog'!$I169&lt;=B$2), 'ProductSprint Backlog'!$F169 / MAX(1, 'ProductSprint Backlog'!$J169-'ProductSprint Backlog'!$I169), AND('ProductSprint Backlog'!$J169=B$2,'ProductSprint Backlog'!$I169=B$2), 'ProductSprint Backlog'!$F169, TRUE, 0)</f>
        <v>0</v>
      </c>
      <c r="C169" s="4" cm="1">
        <f t="array" ref="C169">_xlfn.IFS('ProductSprint Backlog'!$F169="", "", AND('ProductSprint Backlog'!$J169&gt;C$2,'ProductSprint Backlog'!$I169&lt;=C$2), 'ProductSprint Backlog'!$F169 / MAX(1, 'ProductSprint Backlog'!$J169-'ProductSprint Backlog'!$I169), AND('ProductSprint Backlog'!$J169=C$2,'ProductSprint Backlog'!$I169=C$2), 'ProductSprint Backlog'!$F169, TRUE, 0)</f>
        <v>0</v>
      </c>
      <c r="D169" s="4" cm="1">
        <f t="array" ref="D169">_xlfn.IFS('ProductSprint Backlog'!$F169="", "", AND('ProductSprint Backlog'!$J169&gt;D$2,'ProductSprint Backlog'!$I169&lt;=D$2), 'ProductSprint Backlog'!$F169 / MAX(1, 'ProductSprint Backlog'!$J169-'ProductSprint Backlog'!$I169), AND('ProductSprint Backlog'!$J169=D$2,'ProductSprint Backlog'!$I169=D$2), 'ProductSprint Backlog'!$F169, TRUE, 0)</f>
        <v>0</v>
      </c>
      <c r="E169" s="4" cm="1">
        <f t="array" ref="E169">_xlfn.IFS('ProductSprint Backlog'!$F169="", "", AND('ProductSprint Backlog'!$J169&gt;E$2,'ProductSprint Backlog'!$I169&lt;=E$2), 'ProductSprint Backlog'!$F169 / MAX(1, 'ProductSprint Backlog'!$J169-'ProductSprint Backlog'!$I169), AND('ProductSprint Backlog'!$J169=E$2,'ProductSprint Backlog'!$I169=E$2), 'ProductSprint Backlog'!$F169, TRUE, 0)</f>
        <v>0</v>
      </c>
      <c r="F169" s="4" cm="1">
        <f t="array" ref="F169">_xlfn.IFS('ProductSprint Backlog'!$F169="", "", AND('ProductSprint Backlog'!$J169&gt;F$2,'ProductSprint Backlog'!$I169&lt;=F$2), 'ProductSprint Backlog'!$F169 / MAX(1, 'ProductSprint Backlog'!$J169-'ProductSprint Backlog'!$I169), AND('ProductSprint Backlog'!$J169=F$2,'ProductSprint Backlog'!$I169=F$2), 'ProductSprint Backlog'!$F169, TRUE, 0)</f>
        <v>0</v>
      </c>
      <c r="G169" s="4" cm="1">
        <f t="array" ref="G169">_xlfn.IFS('ProductSprint Backlog'!$F169="", "", AND('ProductSprint Backlog'!$J169&gt;G$2,'ProductSprint Backlog'!$I169&lt;=G$2), 'ProductSprint Backlog'!$F169 / MAX(1, 'ProductSprint Backlog'!$J169-'ProductSprint Backlog'!$I169), AND('ProductSprint Backlog'!$J169=G$2,'ProductSprint Backlog'!$I169=G$2), 'ProductSprint Backlog'!$F169, TRUE, 0)</f>
        <v>0</v>
      </c>
      <c r="H169" s="4" cm="1">
        <f t="array" ref="H169">_xlfn.IFS('ProductSprint Backlog'!$F169="", "", AND('ProductSprint Backlog'!$J169&gt;H$2,'ProductSprint Backlog'!$I169&lt;=H$2), 'ProductSprint Backlog'!$F169 / MAX(1, 'ProductSprint Backlog'!$J169-'ProductSprint Backlog'!$I169), AND('ProductSprint Backlog'!$J169=H$2,'ProductSprint Backlog'!$I169=H$2), 'ProductSprint Backlog'!$F169, TRUE, 0)</f>
        <v>0</v>
      </c>
      <c r="I169" s="4" cm="1">
        <f t="array" ref="I169">_xlfn.IFS('ProductSprint Backlog'!$F169="", "", AND('ProductSprint Backlog'!$J169&gt;I$2,'ProductSprint Backlog'!$I169&lt;=I$2), 'ProductSprint Backlog'!$F169 / MAX(1, 'ProductSprint Backlog'!$J169-'ProductSprint Backlog'!$I169), AND('ProductSprint Backlog'!$J169=I$2,'ProductSprint Backlog'!$I169=I$2), 'ProductSprint Backlog'!$F169, TRUE, 0)</f>
        <v>0</v>
      </c>
      <c r="J169" s="4" cm="1">
        <f t="array" ref="J169">_xlfn.IFS('ProductSprint Backlog'!$F169="", "", AND('ProductSprint Backlog'!$J169&gt;J$2,'ProductSprint Backlog'!$I169&lt;=J$2), 'ProductSprint Backlog'!$F169 / MAX(1, 'ProductSprint Backlog'!$J169-'ProductSprint Backlog'!$I169), AND('ProductSprint Backlog'!$J169=J$2,'ProductSprint Backlog'!$I169=J$2), 'ProductSprint Backlog'!$F169, TRUE, 0)</f>
        <v>0</v>
      </c>
      <c r="K169" s="4" cm="1">
        <f t="array" ref="K169">_xlfn.IFS('ProductSprint Backlog'!$F169="", "", AND('ProductSprint Backlog'!$J169&gt;K$2,'ProductSprint Backlog'!$I169&lt;=K$2), 'ProductSprint Backlog'!$F169 / MAX(1, 'ProductSprint Backlog'!$J169-'ProductSprint Backlog'!$I169), AND('ProductSprint Backlog'!$J169=K$2,'ProductSprint Backlog'!$I169=K$2), 'ProductSprint Backlog'!$F169, TRUE, 0)</f>
        <v>0</v>
      </c>
      <c r="L169" s="4" cm="1">
        <f t="array" ref="L169">_xlfn.IFS('ProductSprint Backlog'!$F169="", "", AND('ProductSprint Backlog'!$J169&gt;L$2,'ProductSprint Backlog'!$I169&lt;=L$2), 'ProductSprint Backlog'!$F169 / MAX(1, 'ProductSprint Backlog'!$J169-'ProductSprint Backlog'!$I169), AND('ProductSprint Backlog'!$J169=L$2,'ProductSprint Backlog'!$I169=L$2), 'ProductSprint Backlog'!$F169, TRUE, 0)</f>
        <v>0</v>
      </c>
      <c r="M169" s="4" cm="1">
        <f t="array" ref="M169">_xlfn.IFS('ProductSprint Backlog'!$F169="", "", AND('ProductSprint Backlog'!$J169&gt;M$2,'ProductSprint Backlog'!$I169&lt;=M$2), 'ProductSprint Backlog'!$F169 / MAX(1, 'ProductSprint Backlog'!$J169-'ProductSprint Backlog'!$I169), AND('ProductSprint Backlog'!$J169=M$2,'ProductSprint Backlog'!$I169=M$2), 'ProductSprint Backlog'!$F169, TRUE, 0)</f>
        <v>0</v>
      </c>
      <c r="N169" s="4" cm="1">
        <f t="array" ref="N169">_xlfn.IFS('ProductSprint Backlog'!$F169="", "", AND('ProductSprint Backlog'!$J169&gt;N$2,'ProductSprint Backlog'!$I169&lt;=N$2), 'ProductSprint Backlog'!$F169 / MAX(1, 'ProductSprint Backlog'!$J169-'ProductSprint Backlog'!$I169), AND('ProductSprint Backlog'!$J169=N$2,'ProductSprint Backlog'!$I169=N$2), 'ProductSprint Backlog'!$F169, TRUE, 0)</f>
        <v>0</v>
      </c>
      <c r="O169" s="4" cm="1">
        <f t="array" ref="O169">_xlfn.IFS('ProductSprint Backlog'!$F169="", "", AND('ProductSprint Backlog'!$J169&gt;O$2,'ProductSprint Backlog'!$I169&lt;=O$2), 'ProductSprint Backlog'!$F169 / MAX(1, 'ProductSprint Backlog'!$J169-'ProductSprint Backlog'!$I169), AND('ProductSprint Backlog'!$J169=O$2,'ProductSprint Backlog'!$I169=O$2), 'ProductSprint Backlog'!$F169, TRUE, 0)</f>
        <v>0</v>
      </c>
      <c r="P169" s="4" cm="1">
        <f t="array" ref="P169">_xlfn.IFS('ProductSprint Backlog'!$F169="", "", AND('ProductSprint Backlog'!$J169&gt;P$2,'ProductSprint Backlog'!$I169&lt;=P$2), 'ProductSprint Backlog'!$F169 / MAX(1, 'ProductSprint Backlog'!$J169-'ProductSprint Backlog'!$I169), AND('ProductSprint Backlog'!$J169=P$2,'ProductSprint Backlog'!$I169=P$2), 'ProductSprint Backlog'!$F169, TRUE, 0)</f>
        <v>0</v>
      </c>
      <c r="Q169" s="4" cm="1">
        <f t="array" ref="Q169">_xlfn.IFS('ProductSprint Backlog'!$F169="", "", AND('ProductSprint Backlog'!$J169&gt;Q$2,'ProductSprint Backlog'!$I169&lt;=Q$2), 'ProductSprint Backlog'!$F169 / MAX(1, 'ProductSprint Backlog'!$J169-'ProductSprint Backlog'!$I169), AND('ProductSprint Backlog'!$J169=Q$2,'ProductSprint Backlog'!$I169=Q$2), 'ProductSprint Backlog'!$F169, TRUE, 0)</f>
        <v>0</v>
      </c>
    </row>
    <row r="170" spans="2:17" x14ac:dyDescent="0.2">
      <c r="B170" s="4" cm="1">
        <f t="array" ref="B170">_xlfn.IFS('ProductSprint Backlog'!$F170="", "", AND('ProductSprint Backlog'!$J170&gt;B$2,'ProductSprint Backlog'!$I170&lt;=B$2), 'ProductSprint Backlog'!$F170 / MAX(1, 'ProductSprint Backlog'!$J170-'ProductSprint Backlog'!$I170), AND('ProductSprint Backlog'!$J170=B$2,'ProductSprint Backlog'!$I170=B$2), 'ProductSprint Backlog'!$F170, TRUE, 0)</f>
        <v>0</v>
      </c>
      <c r="C170" s="4" cm="1">
        <f t="array" ref="C170">_xlfn.IFS('ProductSprint Backlog'!$F170="", "", AND('ProductSprint Backlog'!$J170&gt;C$2,'ProductSprint Backlog'!$I170&lt;=C$2), 'ProductSprint Backlog'!$F170 / MAX(1, 'ProductSprint Backlog'!$J170-'ProductSprint Backlog'!$I170), AND('ProductSprint Backlog'!$J170=C$2,'ProductSprint Backlog'!$I170=C$2), 'ProductSprint Backlog'!$F170, TRUE, 0)</f>
        <v>0</v>
      </c>
      <c r="D170" s="4" cm="1">
        <f t="array" ref="D170">_xlfn.IFS('ProductSprint Backlog'!$F170="", "", AND('ProductSprint Backlog'!$J170&gt;D$2,'ProductSprint Backlog'!$I170&lt;=D$2), 'ProductSprint Backlog'!$F170 / MAX(1, 'ProductSprint Backlog'!$J170-'ProductSprint Backlog'!$I170), AND('ProductSprint Backlog'!$J170=D$2,'ProductSprint Backlog'!$I170=D$2), 'ProductSprint Backlog'!$F170, TRUE, 0)</f>
        <v>0</v>
      </c>
      <c r="E170" s="4" cm="1">
        <f t="array" ref="E170">_xlfn.IFS('ProductSprint Backlog'!$F170="", "", AND('ProductSprint Backlog'!$J170&gt;E$2,'ProductSprint Backlog'!$I170&lt;=E$2), 'ProductSprint Backlog'!$F170 / MAX(1, 'ProductSprint Backlog'!$J170-'ProductSprint Backlog'!$I170), AND('ProductSprint Backlog'!$J170=E$2,'ProductSprint Backlog'!$I170=E$2), 'ProductSprint Backlog'!$F170, TRUE, 0)</f>
        <v>0</v>
      </c>
      <c r="F170" s="4" cm="1">
        <f t="array" ref="F170">_xlfn.IFS('ProductSprint Backlog'!$F170="", "", AND('ProductSprint Backlog'!$J170&gt;F$2,'ProductSprint Backlog'!$I170&lt;=F$2), 'ProductSprint Backlog'!$F170 / MAX(1, 'ProductSprint Backlog'!$J170-'ProductSprint Backlog'!$I170), AND('ProductSprint Backlog'!$J170=F$2,'ProductSprint Backlog'!$I170=F$2), 'ProductSprint Backlog'!$F170, TRUE, 0)</f>
        <v>0</v>
      </c>
      <c r="G170" s="4" cm="1">
        <f t="array" ref="G170">_xlfn.IFS('ProductSprint Backlog'!$F170="", "", AND('ProductSprint Backlog'!$J170&gt;G$2,'ProductSprint Backlog'!$I170&lt;=G$2), 'ProductSprint Backlog'!$F170 / MAX(1, 'ProductSprint Backlog'!$J170-'ProductSprint Backlog'!$I170), AND('ProductSprint Backlog'!$J170=G$2,'ProductSprint Backlog'!$I170=G$2), 'ProductSprint Backlog'!$F170, TRUE, 0)</f>
        <v>0</v>
      </c>
      <c r="H170" s="4" cm="1">
        <f t="array" ref="H170">_xlfn.IFS('ProductSprint Backlog'!$F170="", "", AND('ProductSprint Backlog'!$J170&gt;H$2,'ProductSprint Backlog'!$I170&lt;=H$2), 'ProductSprint Backlog'!$F170 / MAX(1, 'ProductSprint Backlog'!$J170-'ProductSprint Backlog'!$I170), AND('ProductSprint Backlog'!$J170=H$2,'ProductSprint Backlog'!$I170=H$2), 'ProductSprint Backlog'!$F170, TRUE, 0)</f>
        <v>0</v>
      </c>
      <c r="I170" s="4" cm="1">
        <f t="array" ref="I170">_xlfn.IFS('ProductSprint Backlog'!$F170="", "", AND('ProductSprint Backlog'!$J170&gt;I$2,'ProductSprint Backlog'!$I170&lt;=I$2), 'ProductSprint Backlog'!$F170 / MAX(1, 'ProductSprint Backlog'!$J170-'ProductSprint Backlog'!$I170), AND('ProductSprint Backlog'!$J170=I$2,'ProductSprint Backlog'!$I170=I$2), 'ProductSprint Backlog'!$F170, TRUE, 0)</f>
        <v>0</v>
      </c>
      <c r="J170" s="4" cm="1">
        <f t="array" ref="J170">_xlfn.IFS('ProductSprint Backlog'!$F170="", "", AND('ProductSprint Backlog'!$J170&gt;J$2,'ProductSprint Backlog'!$I170&lt;=J$2), 'ProductSprint Backlog'!$F170 / MAX(1, 'ProductSprint Backlog'!$J170-'ProductSprint Backlog'!$I170), AND('ProductSprint Backlog'!$J170=J$2,'ProductSprint Backlog'!$I170=J$2), 'ProductSprint Backlog'!$F170, TRUE, 0)</f>
        <v>0</v>
      </c>
      <c r="K170" s="4" cm="1">
        <f t="array" ref="K170">_xlfn.IFS('ProductSprint Backlog'!$F170="", "", AND('ProductSprint Backlog'!$J170&gt;K$2,'ProductSprint Backlog'!$I170&lt;=K$2), 'ProductSprint Backlog'!$F170 / MAX(1, 'ProductSprint Backlog'!$J170-'ProductSprint Backlog'!$I170), AND('ProductSprint Backlog'!$J170=K$2,'ProductSprint Backlog'!$I170=K$2), 'ProductSprint Backlog'!$F170, TRUE, 0)</f>
        <v>0</v>
      </c>
      <c r="L170" s="4" cm="1">
        <f t="array" ref="L170">_xlfn.IFS('ProductSprint Backlog'!$F170="", "", AND('ProductSprint Backlog'!$J170&gt;L$2,'ProductSprint Backlog'!$I170&lt;=L$2), 'ProductSprint Backlog'!$F170 / MAX(1, 'ProductSprint Backlog'!$J170-'ProductSprint Backlog'!$I170), AND('ProductSprint Backlog'!$J170=L$2,'ProductSprint Backlog'!$I170=L$2), 'ProductSprint Backlog'!$F170, TRUE, 0)</f>
        <v>0</v>
      </c>
      <c r="M170" s="4" cm="1">
        <f t="array" ref="M170">_xlfn.IFS('ProductSprint Backlog'!$F170="", "", AND('ProductSprint Backlog'!$J170&gt;M$2,'ProductSprint Backlog'!$I170&lt;=M$2), 'ProductSprint Backlog'!$F170 / MAX(1, 'ProductSprint Backlog'!$J170-'ProductSprint Backlog'!$I170), AND('ProductSprint Backlog'!$J170=M$2,'ProductSprint Backlog'!$I170=M$2), 'ProductSprint Backlog'!$F170, TRUE, 0)</f>
        <v>0</v>
      </c>
      <c r="N170" s="4" cm="1">
        <f t="array" ref="N170">_xlfn.IFS('ProductSprint Backlog'!$F170="", "", AND('ProductSprint Backlog'!$J170&gt;N$2,'ProductSprint Backlog'!$I170&lt;=N$2), 'ProductSprint Backlog'!$F170 / MAX(1, 'ProductSprint Backlog'!$J170-'ProductSprint Backlog'!$I170), AND('ProductSprint Backlog'!$J170=N$2,'ProductSprint Backlog'!$I170=N$2), 'ProductSprint Backlog'!$F170, TRUE, 0)</f>
        <v>0</v>
      </c>
      <c r="O170" s="4" cm="1">
        <f t="array" ref="O170">_xlfn.IFS('ProductSprint Backlog'!$F170="", "", AND('ProductSprint Backlog'!$J170&gt;O$2,'ProductSprint Backlog'!$I170&lt;=O$2), 'ProductSprint Backlog'!$F170 / MAX(1, 'ProductSprint Backlog'!$J170-'ProductSprint Backlog'!$I170), AND('ProductSprint Backlog'!$J170=O$2,'ProductSprint Backlog'!$I170=O$2), 'ProductSprint Backlog'!$F170, TRUE, 0)</f>
        <v>0</v>
      </c>
      <c r="P170" s="4" cm="1">
        <f t="array" ref="P170">_xlfn.IFS('ProductSprint Backlog'!$F170="", "", AND('ProductSprint Backlog'!$J170&gt;P$2,'ProductSprint Backlog'!$I170&lt;=P$2), 'ProductSprint Backlog'!$F170 / MAX(1, 'ProductSprint Backlog'!$J170-'ProductSprint Backlog'!$I170), AND('ProductSprint Backlog'!$J170=P$2,'ProductSprint Backlog'!$I170=P$2), 'ProductSprint Backlog'!$F170, TRUE, 0)</f>
        <v>0</v>
      </c>
      <c r="Q170" s="4" cm="1">
        <f t="array" ref="Q170">_xlfn.IFS('ProductSprint Backlog'!$F170="", "", AND('ProductSprint Backlog'!$J170&gt;Q$2,'ProductSprint Backlog'!$I170&lt;=Q$2), 'ProductSprint Backlog'!$F170 / MAX(1, 'ProductSprint Backlog'!$J170-'ProductSprint Backlog'!$I170), AND('ProductSprint Backlog'!$J170=Q$2,'ProductSprint Backlog'!$I170=Q$2), 'ProductSprint Backlog'!$F170, TRUE, 0)</f>
        <v>0</v>
      </c>
    </row>
    <row r="171" spans="2:17" x14ac:dyDescent="0.2">
      <c r="B171" s="4" cm="1">
        <f t="array" ref="B171">_xlfn.IFS('ProductSprint Backlog'!$F171="", "", AND('ProductSprint Backlog'!$J171&gt;B$2,'ProductSprint Backlog'!$I171&lt;=B$2), 'ProductSprint Backlog'!$F171 / MAX(1, 'ProductSprint Backlog'!$J171-'ProductSprint Backlog'!$I171), AND('ProductSprint Backlog'!$J171=B$2,'ProductSprint Backlog'!$I171=B$2), 'ProductSprint Backlog'!$F171, TRUE, 0)</f>
        <v>0</v>
      </c>
      <c r="C171" s="4" cm="1">
        <f t="array" ref="C171">_xlfn.IFS('ProductSprint Backlog'!$F171="", "", AND('ProductSprint Backlog'!$J171&gt;C$2,'ProductSprint Backlog'!$I171&lt;=C$2), 'ProductSprint Backlog'!$F171 / MAX(1, 'ProductSprint Backlog'!$J171-'ProductSprint Backlog'!$I171), AND('ProductSprint Backlog'!$J171=C$2,'ProductSprint Backlog'!$I171=C$2), 'ProductSprint Backlog'!$F171, TRUE, 0)</f>
        <v>0</v>
      </c>
      <c r="D171" s="4" cm="1">
        <f t="array" ref="D171">_xlfn.IFS('ProductSprint Backlog'!$F171="", "", AND('ProductSprint Backlog'!$J171&gt;D$2,'ProductSprint Backlog'!$I171&lt;=D$2), 'ProductSprint Backlog'!$F171 / MAX(1, 'ProductSprint Backlog'!$J171-'ProductSprint Backlog'!$I171), AND('ProductSprint Backlog'!$J171=D$2,'ProductSprint Backlog'!$I171=D$2), 'ProductSprint Backlog'!$F171, TRUE, 0)</f>
        <v>0</v>
      </c>
      <c r="E171" s="4" cm="1">
        <f t="array" ref="E171">_xlfn.IFS('ProductSprint Backlog'!$F171="", "", AND('ProductSprint Backlog'!$J171&gt;E$2,'ProductSprint Backlog'!$I171&lt;=E$2), 'ProductSprint Backlog'!$F171 / MAX(1, 'ProductSprint Backlog'!$J171-'ProductSprint Backlog'!$I171), AND('ProductSprint Backlog'!$J171=E$2,'ProductSprint Backlog'!$I171=E$2), 'ProductSprint Backlog'!$F171, TRUE, 0)</f>
        <v>0</v>
      </c>
      <c r="F171" s="4" cm="1">
        <f t="array" ref="F171">_xlfn.IFS('ProductSprint Backlog'!$F171="", "", AND('ProductSprint Backlog'!$J171&gt;F$2,'ProductSprint Backlog'!$I171&lt;=F$2), 'ProductSprint Backlog'!$F171 / MAX(1, 'ProductSprint Backlog'!$J171-'ProductSprint Backlog'!$I171), AND('ProductSprint Backlog'!$J171=F$2,'ProductSprint Backlog'!$I171=F$2), 'ProductSprint Backlog'!$F171, TRUE, 0)</f>
        <v>0</v>
      </c>
      <c r="G171" s="4" cm="1">
        <f t="array" ref="G171">_xlfn.IFS('ProductSprint Backlog'!$F171="", "", AND('ProductSprint Backlog'!$J171&gt;G$2,'ProductSprint Backlog'!$I171&lt;=G$2), 'ProductSprint Backlog'!$F171 / MAX(1, 'ProductSprint Backlog'!$J171-'ProductSprint Backlog'!$I171), AND('ProductSprint Backlog'!$J171=G$2,'ProductSprint Backlog'!$I171=G$2), 'ProductSprint Backlog'!$F171, TRUE, 0)</f>
        <v>0</v>
      </c>
      <c r="H171" s="4" cm="1">
        <f t="array" ref="H171">_xlfn.IFS('ProductSprint Backlog'!$F171="", "", AND('ProductSprint Backlog'!$J171&gt;H$2,'ProductSprint Backlog'!$I171&lt;=H$2), 'ProductSprint Backlog'!$F171 / MAX(1, 'ProductSprint Backlog'!$J171-'ProductSprint Backlog'!$I171), AND('ProductSprint Backlog'!$J171=H$2,'ProductSprint Backlog'!$I171=H$2), 'ProductSprint Backlog'!$F171, TRUE, 0)</f>
        <v>0</v>
      </c>
      <c r="I171" s="4" cm="1">
        <f t="array" ref="I171">_xlfn.IFS('ProductSprint Backlog'!$F171="", "", AND('ProductSprint Backlog'!$J171&gt;I$2,'ProductSprint Backlog'!$I171&lt;=I$2), 'ProductSprint Backlog'!$F171 / MAX(1, 'ProductSprint Backlog'!$J171-'ProductSprint Backlog'!$I171), AND('ProductSprint Backlog'!$J171=I$2,'ProductSprint Backlog'!$I171=I$2), 'ProductSprint Backlog'!$F171, TRUE, 0)</f>
        <v>0</v>
      </c>
      <c r="J171" s="4" cm="1">
        <f t="array" ref="J171">_xlfn.IFS('ProductSprint Backlog'!$F171="", "", AND('ProductSprint Backlog'!$J171&gt;J$2,'ProductSprint Backlog'!$I171&lt;=J$2), 'ProductSprint Backlog'!$F171 / MAX(1, 'ProductSprint Backlog'!$J171-'ProductSprint Backlog'!$I171), AND('ProductSprint Backlog'!$J171=J$2,'ProductSprint Backlog'!$I171=J$2), 'ProductSprint Backlog'!$F171, TRUE, 0)</f>
        <v>0</v>
      </c>
      <c r="K171" s="4" cm="1">
        <f t="array" ref="K171">_xlfn.IFS('ProductSprint Backlog'!$F171="", "", AND('ProductSprint Backlog'!$J171&gt;K$2,'ProductSprint Backlog'!$I171&lt;=K$2), 'ProductSprint Backlog'!$F171 / MAX(1, 'ProductSprint Backlog'!$J171-'ProductSprint Backlog'!$I171), AND('ProductSprint Backlog'!$J171=K$2,'ProductSprint Backlog'!$I171=K$2), 'ProductSprint Backlog'!$F171, TRUE, 0)</f>
        <v>0</v>
      </c>
      <c r="L171" s="4" cm="1">
        <f t="array" ref="L171">_xlfn.IFS('ProductSprint Backlog'!$F171="", "", AND('ProductSprint Backlog'!$J171&gt;L$2,'ProductSprint Backlog'!$I171&lt;=L$2), 'ProductSprint Backlog'!$F171 / MAX(1, 'ProductSprint Backlog'!$J171-'ProductSprint Backlog'!$I171), AND('ProductSprint Backlog'!$J171=L$2,'ProductSprint Backlog'!$I171=L$2), 'ProductSprint Backlog'!$F171, TRUE, 0)</f>
        <v>0</v>
      </c>
      <c r="M171" s="4" cm="1">
        <f t="array" ref="M171">_xlfn.IFS('ProductSprint Backlog'!$F171="", "", AND('ProductSprint Backlog'!$J171&gt;M$2,'ProductSprint Backlog'!$I171&lt;=M$2), 'ProductSprint Backlog'!$F171 / MAX(1, 'ProductSprint Backlog'!$J171-'ProductSprint Backlog'!$I171), AND('ProductSprint Backlog'!$J171=M$2,'ProductSprint Backlog'!$I171=M$2), 'ProductSprint Backlog'!$F171, TRUE, 0)</f>
        <v>0</v>
      </c>
      <c r="N171" s="4" cm="1">
        <f t="array" ref="N171">_xlfn.IFS('ProductSprint Backlog'!$F171="", "", AND('ProductSprint Backlog'!$J171&gt;N$2,'ProductSprint Backlog'!$I171&lt;=N$2), 'ProductSprint Backlog'!$F171 / MAX(1, 'ProductSprint Backlog'!$J171-'ProductSprint Backlog'!$I171), AND('ProductSprint Backlog'!$J171=N$2,'ProductSprint Backlog'!$I171=N$2), 'ProductSprint Backlog'!$F171, TRUE, 0)</f>
        <v>0</v>
      </c>
      <c r="O171" s="4" cm="1">
        <f t="array" ref="O171">_xlfn.IFS('ProductSprint Backlog'!$F171="", "", AND('ProductSprint Backlog'!$J171&gt;O$2,'ProductSprint Backlog'!$I171&lt;=O$2), 'ProductSprint Backlog'!$F171 / MAX(1, 'ProductSprint Backlog'!$J171-'ProductSprint Backlog'!$I171), AND('ProductSprint Backlog'!$J171=O$2,'ProductSprint Backlog'!$I171=O$2), 'ProductSprint Backlog'!$F171, TRUE, 0)</f>
        <v>0</v>
      </c>
      <c r="P171" s="4" cm="1">
        <f t="array" ref="P171">_xlfn.IFS('ProductSprint Backlog'!$F171="", "", AND('ProductSprint Backlog'!$J171&gt;P$2,'ProductSprint Backlog'!$I171&lt;=P$2), 'ProductSprint Backlog'!$F171 / MAX(1, 'ProductSprint Backlog'!$J171-'ProductSprint Backlog'!$I171), AND('ProductSprint Backlog'!$J171=P$2,'ProductSprint Backlog'!$I171=P$2), 'ProductSprint Backlog'!$F171, TRUE, 0)</f>
        <v>0</v>
      </c>
      <c r="Q171" s="4" cm="1">
        <f t="array" ref="Q171">_xlfn.IFS('ProductSprint Backlog'!$F171="", "", AND('ProductSprint Backlog'!$J171&gt;Q$2,'ProductSprint Backlog'!$I171&lt;=Q$2), 'ProductSprint Backlog'!$F171 / MAX(1, 'ProductSprint Backlog'!$J171-'ProductSprint Backlog'!$I171), AND('ProductSprint Backlog'!$J171=Q$2,'ProductSprint Backlog'!$I171=Q$2), 'ProductSprint Backlog'!$F171, TRUE, 0)</f>
        <v>0</v>
      </c>
    </row>
    <row r="172" spans="2:17" x14ac:dyDescent="0.2">
      <c r="B172" s="4" cm="1">
        <f t="array" ref="B172">_xlfn.IFS('ProductSprint Backlog'!$F172="", "", AND('ProductSprint Backlog'!$J172&gt;B$2,'ProductSprint Backlog'!$I172&lt;=B$2), 'ProductSprint Backlog'!$F172 / MAX(1, 'ProductSprint Backlog'!$J172-'ProductSprint Backlog'!$I172), AND('ProductSprint Backlog'!$J172=B$2,'ProductSprint Backlog'!$I172=B$2), 'ProductSprint Backlog'!$F172, TRUE, 0)</f>
        <v>0</v>
      </c>
      <c r="C172" s="4" cm="1">
        <f t="array" ref="C172">_xlfn.IFS('ProductSprint Backlog'!$F172="", "", AND('ProductSprint Backlog'!$J172&gt;C$2,'ProductSprint Backlog'!$I172&lt;=C$2), 'ProductSprint Backlog'!$F172 / MAX(1, 'ProductSprint Backlog'!$J172-'ProductSprint Backlog'!$I172), AND('ProductSprint Backlog'!$J172=C$2,'ProductSprint Backlog'!$I172=C$2), 'ProductSprint Backlog'!$F172, TRUE, 0)</f>
        <v>0</v>
      </c>
      <c r="D172" s="4" cm="1">
        <f t="array" ref="D172">_xlfn.IFS('ProductSprint Backlog'!$F172="", "", AND('ProductSprint Backlog'!$J172&gt;D$2,'ProductSprint Backlog'!$I172&lt;=D$2), 'ProductSprint Backlog'!$F172 / MAX(1, 'ProductSprint Backlog'!$J172-'ProductSprint Backlog'!$I172), AND('ProductSprint Backlog'!$J172=D$2,'ProductSprint Backlog'!$I172=D$2), 'ProductSprint Backlog'!$F172, TRUE, 0)</f>
        <v>0</v>
      </c>
      <c r="E172" s="4" cm="1">
        <f t="array" ref="E172">_xlfn.IFS('ProductSprint Backlog'!$F172="", "", AND('ProductSprint Backlog'!$J172&gt;E$2,'ProductSprint Backlog'!$I172&lt;=E$2), 'ProductSprint Backlog'!$F172 / MAX(1, 'ProductSprint Backlog'!$J172-'ProductSprint Backlog'!$I172), AND('ProductSprint Backlog'!$J172=E$2,'ProductSprint Backlog'!$I172=E$2), 'ProductSprint Backlog'!$F172, TRUE, 0)</f>
        <v>0</v>
      </c>
      <c r="F172" s="4" cm="1">
        <f t="array" ref="F172">_xlfn.IFS('ProductSprint Backlog'!$F172="", "", AND('ProductSprint Backlog'!$J172&gt;F$2,'ProductSprint Backlog'!$I172&lt;=F$2), 'ProductSprint Backlog'!$F172 / MAX(1, 'ProductSprint Backlog'!$J172-'ProductSprint Backlog'!$I172), AND('ProductSprint Backlog'!$J172=F$2,'ProductSprint Backlog'!$I172=F$2), 'ProductSprint Backlog'!$F172, TRUE, 0)</f>
        <v>0</v>
      </c>
      <c r="G172" s="4" cm="1">
        <f t="array" ref="G172">_xlfn.IFS('ProductSprint Backlog'!$F172="", "", AND('ProductSprint Backlog'!$J172&gt;G$2,'ProductSprint Backlog'!$I172&lt;=G$2), 'ProductSprint Backlog'!$F172 / MAX(1, 'ProductSprint Backlog'!$J172-'ProductSprint Backlog'!$I172), AND('ProductSprint Backlog'!$J172=G$2,'ProductSprint Backlog'!$I172=G$2), 'ProductSprint Backlog'!$F172, TRUE, 0)</f>
        <v>0</v>
      </c>
      <c r="H172" s="4" cm="1">
        <f t="array" ref="H172">_xlfn.IFS('ProductSprint Backlog'!$F172="", "", AND('ProductSprint Backlog'!$J172&gt;H$2,'ProductSprint Backlog'!$I172&lt;=H$2), 'ProductSprint Backlog'!$F172 / MAX(1, 'ProductSprint Backlog'!$J172-'ProductSprint Backlog'!$I172), AND('ProductSprint Backlog'!$J172=H$2,'ProductSprint Backlog'!$I172=H$2), 'ProductSprint Backlog'!$F172, TRUE, 0)</f>
        <v>0</v>
      </c>
      <c r="I172" s="4" cm="1">
        <f t="array" ref="I172">_xlfn.IFS('ProductSprint Backlog'!$F172="", "", AND('ProductSprint Backlog'!$J172&gt;I$2,'ProductSprint Backlog'!$I172&lt;=I$2), 'ProductSprint Backlog'!$F172 / MAX(1, 'ProductSprint Backlog'!$J172-'ProductSprint Backlog'!$I172), AND('ProductSprint Backlog'!$J172=I$2,'ProductSprint Backlog'!$I172=I$2), 'ProductSprint Backlog'!$F172, TRUE, 0)</f>
        <v>0</v>
      </c>
      <c r="J172" s="4" cm="1">
        <f t="array" ref="J172">_xlfn.IFS('ProductSprint Backlog'!$F172="", "", AND('ProductSprint Backlog'!$J172&gt;J$2,'ProductSprint Backlog'!$I172&lt;=J$2), 'ProductSprint Backlog'!$F172 / MAX(1, 'ProductSprint Backlog'!$J172-'ProductSprint Backlog'!$I172), AND('ProductSprint Backlog'!$J172=J$2,'ProductSprint Backlog'!$I172=J$2), 'ProductSprint Backlog'!$F172, TRUE, 0)</f>
        <v>0</v>
      </c>
      <c r="K172" s="4" cm="1">
        <f t="array" ref="K172">_xlfn.IFS('ProductSprint Backlog'!$F172="", "", AND('ProductSprint Backlog'!$J172&gt;K$2,'ProductSprint Backlog'!$I172&lt;=K$2), 'ProductSprint Backlog'!$F172 / MAX(1, 'ProductSprint Backlog'!$J172-'ProductSprint Backlog'!$I172), AND('ProductSprint Backlog'!$J172=K$2,'ProductSprint Backlog'!$I172=K$2), 'ProductSprint Backlog'!$F172, TRUE, 0)</f>
        <v>0</v>
      </c>
      <c r="L172" s="4" cm="1">
        <f t="array" ref="L172">_xlfn.IFS('ProductSprint Backlog'!$F172="", "", AND('ProductSprint Backlog'!$J172&gt;L$2,'ProductSprint Backlog'!$I172&lt;=L$2), 'ProductSprint Backlog'!$F172 / MAX(1, 'ProductSprint Backlog'!$J172-'ProductSprint Backlog'!$I172), AND('ProductSprint Backlog'!$J172=L$2,'ProductSprint Backlog'!$I172=L$2), 'ProductSprint Backlog'!$F172, TRUE, 0)</f>
        <v>0</v>
      </c>
      <c r="M172" s="4" cm="1">
        <f t="array" ref="M172">_xlfn.IFS('ProductSprint Backlog'!$F172="", "", AND('ProductSprint Backlog'!$J172&gt;M$2,'ProductSprint Backlog'!$I172&lt;=M$2), 'ProductSprint Backlog'!$F172 / MAX(1, 'ProductSprint Backlog'!$J172-'ProductSprint Backlog'!$I172), AND('ProductSprint Backlog'!$J172=M$2,'ProductSprint Backlog'!$I172=M$2), 'ProductSprint Backlog'!$F172, TRUE, 0)</f>
        <v>0</v>
      </c>
      <c r="N172" s="4" cm="1">
        <f t="array" ref="N172">_xlfn.IFS('ProductSprint Backlog'!$F172="", "", AND('ProductSprint Backlog'!$J172&gt;N$2,'ProductSprint Backlog'!$I172&lt;=N$2), 'ProductSprint Backlog'!$F172 / MAX(1, 'ProductSprint Backlog'!$J172-'ProductSprint Backlog'!$I172), AND('ProductSprint Backlog'!$J172=N$2,'ProductSprint Backlog'!$I172=N$2), 'ProductSprint Backlog'!$F172, TRUE, 0)</f>
        <v>0</v>
      </c>
      <c r="O172" s="4" cm="1">
        <f t="array" ref="O172">_xlfn.IFS('ProductSprint Backlog'!$F172="", "", AND('ProductSprint Backlog'!$J172&gt;O$2,'ProductSprint Backlog'!$I172&lt;=O$2), 'ProductSprint Backlog'!$F172 / MAX(1, 'ProductSprint Backlog'!$J172-'ProductSprint Backlog'!$I172), AND('ProductSprint Backlog'!$J172=O$2,'ProductSprint Backlog'!$I172=O$2), 'ProductSprint Backlog'!$F172, TRUE, 0)</f>
        <v>0</v>
      </c>
      <c r="P172" s="4" cm="1">
        <f t="array" ref="P172">_xlfn.IFS('ProductSprint Backlog'!$F172="", "", AND('ProductSprint Backlog'!$J172&gt;P$2,'ProductSprint Backlog'!$I172&lt;=P$2), 'ProductSprint Backlog'!$F172 / MAX(1, 'ProductSprint Backlog'!$J172-'ProductSprint Backlog'!$I172), AND('ProductSprint Backlog'!$J172=P$2,'ProductSprint Backlog'!$I172=P$2), 'ProductSprint Backlog'!$F172, TRUE, 0)</f>
        <v>0</v>
      </c>
      <c r="Q172" s="4" cm="1">
        <f t="array" ref="Q172">_xlfn.IFS('ProductSprint Backlog'!$F172="", "", AND('ProductSprint Backlog'!$J172&gt;Q$2,'ProductSprint Backlog'!$I172&lt;=Q$2), 'ProductSprint Backlog'!$F172 / MAX(1, 'ProductSprint Backlog'!$J172-'ProductSprint Backlog'!$I172), AND('ProductSprint Backlog'!$J172=Q$2,'ProductSprint Backlog'!$I172=Q$2), 'ProductSprint Backlog'!$F172, TRUE, 0)</f>
        <v>0</v>
      </c>
    </row>
    <row r="173" spans="2:17" x14ac:dyDescent="0.2">
      <c r="B173" s="4" cm="1">
        <f t="array" ref="B173">_xlfn.IFS('ProductSprint Backlog'!$F173="", "", AND('ProductSprint Backlog'!$J173&gt;B$2,'ProductSprint Backlog'!$I173&lt;=B$2), 'ProductSprint Backlog'!$F173 / MAX(1, 'ProductSprint Backlog'!$J173-'ProductSprint Backlog'!$I173), AND('ProductSprint Backlog'!$J173=B$2,'ProductSprint Backlog'!$I173=B$2), 'ProductSprint Backlog'!$F173, TRUE, 0)</f>
        <v>0</v>
      </c>
      <c r="C173" s="4" cm="1">
        <f t="array" ref="C173">_xlfn.IFS('ProductSprint Backlog'!$F173="", "", AND('ProductSprint Backlog'!$J173&gt;C$2,'ProductSprint Backlog'!$I173&lt;=C$2), 'ProductSprint Backlog'!$F173 / MAX(1, 'ProductSprint Backlog'!$J173-'ProductSprint Backlog'!$I173), AND('ProductSprint Backlog'!$J173=C$2,'ProductSprint Backlog'!$I173=C$2), 'ProductSprint Backlog'!$F173, TRUE, 0)</f>
        <v>0</v>
      </c>
      <c r="D173" s="4" cm="1">
        <f t="array" ref="D173">_xlfn.IFS('ProductSprint Backlog'!$F173="", "", AND('ProductSprint Backlog'!$J173&gt;D$2,'ProductSprint Backlog'!$I173&lt;=D$2), 'ProductSprint Backlog'!$F173 / MAX(1, 'ProductSprint Backlog'!$J173-'ProductSprint Backlog'!$I173), AND('ProductSprint Backlog'!$J173=D$2,'ProductSprint Backlog'!$I173=D$2), 'ProductSprint Backlog'!$F173, TRUE, 0)</f>
        <v>0</v>
      </c>
      <c r="E173" s="4" cm="1">
        <f t="array" ref="E173">_xlfn.IFS('ProductSprint Backlog'!$F173="", "", AND('ProductSprint Backlog'!$J173&gt;E$2,'ProductSprint Backlog'!$I173&lt;=E$2), 'ProductSprint Backlog'!$F173 / MAX(1, 'ProductSprint Backlog'!$J173-'ProductSprint Backlog'!$I173), AND('ProductSprint Backlog'!$J173=E$2,'ProductSprint Backlog'!$I173=E$2), 'ProductSprint Backlog'!$F173, TRUE, 0)</f>
        <v>0</v>
      </c>
      <c r="F173" s="4" cm="1">
        <f t="array" ref="F173">_xlfn.IFS('ProductSprint Backlog'!$F173="", "", AND('ProductSprint Backlog'!$J173&gt;F$2,'ProductSprint Backlog'!$I173&lt;=F$2), 'ProductSprint Backlog'!$F173 / MAX(1, 'ProductSprint Backlog'!$J173-'ProductSprint Backlog'!$I173), AND('ProductSprint Backlog'!$J173=F$2,'ProductSprint Backlog'!$I173=F$2), 'ProductSprint Backlog'!$F173, TRUE, 0)</f>
        <v>0</v>
      </c>
      <c r="G173" s="4" cm="1">
        <f t="array" ref="G173">_xlfn.IFS('ProductSprint Backlog'!$F173="", "", AND('ProductSprint Backlog'!$J173&gt;G$2,'ProductSprint Backlog'!$I173&lt;=G$2), 'ProductSprint Backlog'!$F173 / MAX(1, 'ProductSprint Backlog'!$J173-'ProductSprint Backlog'!$I173), AND('ProductSprint Backlog'!$J173=G$2,'ProductSprint Backlog'!$I173=G$2), 'ProductSprint Backlog'!$F173, TRUE, 0)</f>
        <v>0</v>
      </c>
      <c r="H173" s="4" cm="1">
        <f t="array" ref="H173">_xlfn.IFS('ProductSprint Backlog'!$F173="", "", AND('ProductSprint Backlog'!$J173&gt;H$2,'ProductSprint Backlog'!$I173&lt;=H$2), 'ProductSprint Backlog'!$F173 / MAX(1, 'ProductSprint Backlog'!$J173-'ProductSprint Backlog'!$I173), AND('ProductSprint Backlog'!$J173=H$2,'ProductSprint Backlog'!$I173=H$2), 'ProductSprint Backlog'!$F173, TRUE, 0)</f>
        <v>0</v>
      </c>
      <c r="I173" s="4" cm="1">
        <f t="array" ref="I173">_xlfn.IFS('ProductSprint Backlog'!$F173="", "", AND('ProductSprint Backlog'!$J173&gt;I$2,'ProductSprint Backlog'!$I173&lt;=I$2), 'ProductSprint Backlog'!$F173 / MAX(1, 'ProductSprint Backlog'!$J173-'ProductSprint Backlog'!$I173), AND('ProductSprint Backlog'!$J173=I$2,'ProductSprint Backlog'!$I173=I$2), 'ProductSprint Backlog'!$F173, TRUE, 0)</f>
        <v>0</v>
      </c>
      <c r="J173" s="4" cm="1">
        <f t="array" ref="J173">_xlfn.IFS('ProductSprint Backlog'!$F173="", "", AND('ProductSprint Backlog'!$J173&gt;J$2,'ProductSprint Backlog'!$I173&lt;=J$2), 'ProductSprint Backlog'!$F173 / MAX(1, 'ProductSprint Backlog'!$J173-'ProductSprint Backlog'!$I173), AND('ProductSprint Backlog'!$J173=J$2,'ProductSprint Backlog'!$I173=J$2), 'ProductSprint Backlog'!$F173, TRUE, 0)</f>
        <v>0</v>
      </c>
      <c r="K173" s="4" cm="1">
        <f t="array" ref="K173">_xlfn.IFS('ProductSprint Backlog'!$F173="", "", AND('ProductSprint Backlog'!$J173&gt;K$2,'ProductSprint Backlog'!$I173&lt;=K$2), 'ProductSprint Backlog'!$F173 / MAX(1, 'ProductSprint Backlog'!$J173-'ProductSprint Backlog'!$I173), AND('ProductSprint Backlog'!$J173=K$2,'ProductSprint Backlog'!$I173=K$2), 'ProductSprint Backlog'!$F173, TRUE, 0)</f>
        <v>0</v>
      </c>
      <c r="L173" s="4" cm="1">
        <f t="array" ref="L173">_xlfn.IFS('ProductSprint Backlog'!$F173="", "", AND('ProductSprint Backlog'!$J173&gt;L$2,'ProductSprint Backlog'!$I173&lt;=L$2), 'ProductSprint Backlog'!$F173 / MAX(1, 'ProductSprint Backlog'!$J173-'ProductSprint Backlog'!$I173), AND('ProductSprint Backlog'!$J173=L$2,'ProductSprint Backlog'!$I173=L$2), 'ProductSprint Backlog'!$F173, TRUE, 0)</f>
        <v>0</v>
      </c>
      <c r="M173" s="4" cm="1">
        <f t="array" ref="M173">_xlfn.IFS('ProductSprint Backlog'!$F173="", "", AND('ProductSprint Backlog'!$J173&gt;M$2,'ProductSprint Backlog'!$I173&lt;=M$2), 'ProductSprint Backlog'!$F173 / MAX(1, 'ProductSprint Backlog'!$J173-'ProductSprint Backlog'!$I173), AND('ProductSprint Backlog'!$J173=M$2,'ProductSprint Backlog'!$I173=M$2), 'ProductSprint Backlog'!$F173, TRUE, 0)</f>
        <v>0</v>
      </c>
      <c r="N173" s="4" cm="1">
        <f t="array" ref="N173">_xlfn.IFS('ProductSprint Backlog'!$F173="", "", AND('ProductSprint Backlog'!$J173&gt;N$2,'ProductSprint Backlog'!$I173&lt;=N$2), 'ProductSprint Backlog'!$F173 / MAX(1, 'ProductSprint Backlog'!$J173-'ProductSprint Backlog'!$I173), AND('ProductSprint Backlog'!$J173=N$2,'ProductSprint Backlog'!$I173=N$2), 'ProductSprint Backlog'!$F173, TRUE, 0)</f>
        <v>0</v>
      </c>
      <c r="O173" s="4" cm="1">
        <f t="array" ref="O173">_xlfn.IFS('ProductSprint Backlog'!$F173="", "", AND('ProductSprint Backlog'!$J173&gt;O$2,'ProductSprint Backlog'!$I173&lt;=O$2), 'ProductSprint Backlog'!$F173 / MAX(1, 'ProductSprint Backlog'!$J173-'ProductSprint Backlog'!$I173), AND('ProductSprint Backlog'!$J173=O$2,'ProductSprint Backlog'!$I173=O$2), 'ProductSprint Backlog'!$F173, TRUE, 0)</f>
        <v>0</v>
      </c>
      <c r="P173" s="4" cm="1">
        <f t="array" ref="P173">_xlfn.IFS('ProductSprint Backlog'!$F173="", "", AND('ProductSprint Backlog'!$J173&gt;P$2,'ProductSprint Backlog'!$I173&lt;=P$2), 'ProductSprint Backlog'!$F173 / MAX(1, 'ProductSprint Backlog'!$J173-'ProductSprint Backlog'!$I173), AND('ProductSprint Backlog'!$J173=P$2,'ProductSprint Backlog'!$I173=P$2), 'ProductSprint Backlog'!$F173, TRUE, 0)</f>
        <v>0</v>
      </c>
      <c r="Q173" s="4" cm="1">
        <f t="array" ref="Q173">_xlfn.IFS('ProductSprint Backlog'!$F173="", "", AND('ProductSprint Backlog'!$J173&gt;Q$2,'ProductSprint Backlog'!$I173&lt;=Q$2), 'ProductSprint Backlog'!$F173 / MAX(1, 'ProductSprint Backlog'!$J173-'ProductSprint Backlog'!$I173), AND('ProductSprint Backlog'!$J173=Q$2,'ProductSprint Backlog'!$I173=Q$2), 'ProductSprint Backlog'!$F173, TRUE, 0)</f>
        <v>0</v>
      </c>
    </row>
    <row r="174" spans="2:17" x14ac:dyDescent="0.2">
      <c r="B174" s="4" cm="1">
        <f t="array" ref="B174">_xlfn.IFS('ProductSprint Backlog'!$F174="", "", AND('ProductSprint Backlog'!$J174&gt;B$2,'ProductSprint Backlog'!$I174&lt;=B$2), 'ProductSprint Backlog'!$F174 / MAX(1, 'ProductSprint Backlog'!$J174-'ProductSprint Backlog'!$I174), AND('ProductSprint Backlog'!$J174=B$2,'ProductSprint Backlog'!$I174=B$2), 'ProductSprint Backlog'!$F174, TRUE, 0)</f>
        <v>0</v>
      </c>
      <c r="C174" s="4" cm="1">
        <f t="array" ref="C174">_xlfn.IFS('ProductSprint Backlog'!$F174="", "", AND('ProductSprint Backlog'!$J174&gt;C$2,'ProductSprint Backlog'!$I174&lt;=C$2), 'ProductSprint Backlog'!$F174 / MAX(1, 'ProductSprint Backlog'!$J174-'ProductSprint Backlog'!$I174), AND('ProductSprint Backlog'!$J174=C$2,'ProductSprint Backlog'!$I174=C$2), 'ProductSprint Backlog'!$F174, TRUE, 0)</f>
        <v>0</v>
      </c>
      <c r="D174" s="4" cm="1">
        <f t="array" ref="D174">_xlfn.IFS('ProductSprint Backlog'!$F174="", "", AND('ProductSprint Backlog'!$J174&gt;D$2,'ProductSprint Backlog'!$I174&lt;=D$2), 'ProductSprint Backlog'!$F174 / MAX(1, 'ProductSprint Backlog'!$J174-'ProductSprint Backlog'!$I174), AND('ProductSprint Backlog'!$J174=D$2,'ProductSprint Backlog'!$I174=D$2), 'ProductSprint Backlog'!$F174, TRUE, 0)</f>
        <v>0</v>
      </c>
      <c r="E174" s="4" cm="1">
        <f t="array" ref="E174">_xlfn.IFS('ProductSprint Backlog'!$F174="", "", AND('ProductSprint Backlog'!$J174&gt;E$2,'ProductSprint Backlog'!$I174&lt;=E$2), 'ProductSprint Backlog'!$F174 / MAX(1, 'ProductSprint Backlog'!$J174-'ProductSprint Backlog'!$I174), AND('ProductSprint Backlog'!$J174=E$2,'ProductSprint Backlog'!$I174=E$2), 'ProductSprint Backlog'!$F174, TRUE, 0)</f>
        <v>0</v>
      </c>
      <c r="F174" s="4" cm="1">
        <f t="array" ref="F174">_xlfn.IFS('ProductSprint Backlog'!$F174="", "", AND('ProductSprint Backlog'!$J174&gt;F$2,'ProductSprint Backlog'!$I174&lt;=F$2), 'ProductSprint Backlog'!$F174 / MAX(1, 'ProductSprint Backlog'!$J174-'ProductSprint Backlog'!$I174), AND('ProductSprint Backlog'!$J174=F$2,'ProductSprint Backlog'!$I174=F$2), 'ProductSprint Backlog'!$F174, TRUE, 0)</f>
        <v>0</v>
      </c>
      <c r="G174" s="4" cm="1">
        <f t="array" ref="G174">_xlfn.IFS('ProductSprint Backlog'!$F174="", "", AND('ProductSprint Backlog'!$J174&gt;G$2,'ProductSprint Backlog'!$I174&lt;=G$2), 'ProductSprint Backlog'!$F174 / MAX(1, 'ProductSprint Backlog'!$J174-'ProductSprint Backlog'!$I174), AND('ProductSprint Backlog'!$J174=G$2,'ProductSprint Backlog'!$I174=G$2), 'ProductSprint Backlog'!$F174, TRUE, 0)</f>
        <v>0</v>
      </c>
      <c r="H174" s="4" cm="1">
        <f t="array" ref="H174">_xlfn.IFS('ProductSprint Backlog'!$F174="", "", AND('ProductSprint Backlog'!$J174&gt;H$2,'ProductSprint Backlog'!$I174&lt;=H$2), 'ProductSprint Backlog'!$F174 / MAX(1, 'ProductSprint Backlog'!$J174-'ProductSprint Backlog'!$I174), AND('ProductSprint Backlog'!$J174=H$2,'ProductSprint Backlog'!$I174=H$2), 'ProductSprint Backlog'!$F174, TRUE, 0)</f>
        <v>0</v>
      </c>
      <c r="I174" s="4" cm="1">
        <f t="array" ref="I174">_xlfn.IFS('ProductSprint Backlog'!$F174="", "", AND('ProductSprint Backlog'!$J174&gt;I$2,'ProductSprint Backlog'!$I174&lt;=I$2), 'ProductSprint Backlog'!$F174 / MAX(1, 'ProductSprint Backlog'!$J174-'ProductSprint Backlog'!$I174), AND('ProductSprint Backlog'!$J174=I$2,'ProductSprint Backlog'!$I174=I$2), 'ProductSprint Backlog'!$F174, TRUE, 0)</f>
        <v>0</v>
      </c>
      <c r="J174" s="4" cm="1">
        <f t="array" ref="J174">_xlfn.IFS('ProductSprint Backlog'!$F174="", "", AND('ProductSprint Backlog'!$J174&gt;J$2,'ProductSprint Backlog'!$I174&lt;=J$2), 'ProductSprint Backlog'!$F174 / MAX(1, 'ProductSprint Backlog'!$J174-'ProductSprint Backlog'!$I174), AND('ProductSprint Backlog'!$J174=J$2,'ProductSprint Backlog'!$I174=J$2), 'ProductSprint Backlog'!$F174, TRUE, 0)</f>
        <v>0</v>
      </c>
      <c r="K174" s="4" cm="1">
        <f t="array" ref="K174">_xlfn.IFS('ProductSprint Backlog'!$F174="", "", AND('ProductSprint Backlog'!$J174&gt;K$2,'ProductSprint Backlog'!$I174&lt;=K$2), 'ProductSprint Backlog'!$F174 / MAX(1, 'ProductSprint Backlog'!$J174-'ProductSprint Backlog'!$I174), AND('ProductSprint Backlog'!$J174=K$2,'ProductSprint Backlog'!$I174=K$2), 'ProductSprint Backlog'!$F174, TRUE, 0)</f>
        <v>0</v>
      </c>
      <c r="L174" s="4" cm="1">
        <f t="array" ref="L174">_xlfn.IFS('ProductSprint Backlog'!$F174="", "", AND('ProductSprint Backlog'!$J174&gt;L$2,'ProductSprint Backlog'!$I174&lt;=L$2), 'ProductSprint Backlog'!$F174 / MAX(1, 'ProductSprint Backlog'!$J174-'ProductSprint Backlog'!$I174), AND('ProductSprint Backlog'!$J174=L$2,'ProductSprint Backlog'!$I174=L$2), 'ProductSprint Backlog'!$F174, TRUE, 0)</f>
        <v>0</v>
      </c>
      <c r="M174" s="4" cm="1">
        <f t="array" ref="M174">_xlfn.IFS('ProductSprint Backlog'!$F174="", "", AND('ProductSprint Backlog'!$J174&gt;M$2,'ProductSprint Backlog'!$I174&lt;=M$2), 'ProductSprint Backlog'!$F174 / MAX(1, 'ProductSprint Backlog'!$J174-'ProductSprint Backlog'!$I174), AND('ProductSprint Backlog'!$J174=M$2,'ProductSprint Backlog'!$I174=M$2), 'ProductSprint Backlog'!$F174, TRUE, 0)</f>
        <v>0</v>
      </c>
      <c r="N174" s="4" cm="1">
        <f t="array" ref="N174">_xlfn.IFS('ProductSprint Backlog'!$F174="", "", AND('ProductSprint Backlog'!$J174&gt;N$2,'ProductSprint Backlog'!$I174&lt;=N$2), 'ProductSprint Backlog'!$F174 / MAX(1, 'ProductSprint Backlog'!$J174-'ProductSprint Backlog'!$I174), AND('ProductSprint Backlog'!$J174=N$2,'ProductSprint Backlog'!$I174=N$2), 'ProductSprint Backlog'!$F174, TRUE, 0)</f>
        <v>0</v>
      </c>
      <c r="O174" s="4" cm="1">
        <f t="array" ref="O174">_xlfn.IFS('ProductSprint Backlog'!$F174="", "", AND('ProductSprint Backlog'!$J174&gt;O$2,'ProductSprint Backlog'!$I174&lt;=O$2), 'ProductSprint Backlog'!$F174 / MAX(1, 'ProductSprint Backlog'!$J174-'ProductSprint Backlog'!$I174), AND('ProductSprint Backlog'!$J174=O$2,'ProductSprint Backlog'!$I174=O$2), 'ProductSprint Backlog'!$F174, TRUE, 0)</f>
        <v>0</v>
      </c>
      <c r="P174" s="4" cm="1">
        <f t="array" ref="P174">_xlfn.IFS('ProductSprint Backlog'!$F174="", "", AND('ProductSprint Backlog'!$J174&gt;P$2,'ProductSprint Backlog'!$I174&lt;=P$2), 'ProductSprint Backlog'!$F174 / MAX(1, 'ProductSprint Backlog'!$J174-'ProductSprint Backlog'!$I174), AND('ProductSprint Backlog'!$J174=P$2,'ProductSprint Backlog'!$I174=P$2), 'ProductSprint Backlog'!$F174, TRUE, 0)</f>
        <v>0</v>
      </c>
      <c r="Q174" s="4" cm="1">
        <f t="array" ref="Q174">_xlfn.IFS('ProductSprint Backlog'!$F174="", "", AND('ProductSprint Backlog'!$J174&gt;Q$2,'ProductSprint Backlog'!$I174&lt;=Q$2), 'ProductSprint Backlog'!$F174 / MAX(1, 'ProductSprint Backlog'!$J174-'ProductSprint Backlog'!$I174), AND('ProductSprint Backlog'!$J174=Q$2,'ProductSprint Backlog'!$I174=Q$2), 'ProductSprint Backlog'!$F174, TRUE, 0)</f>
        <v>0</v>
      </c>
    </row>
    <row r="175" spans="2:17" x14ac:dyDescent="0.2">
      <c r="B175" s="4" cm="1">
        <f t="array" ref="B175">_xlfn.IFS('ProductSprint Backlog'!$F175="", "", AND('ProductSprint Backlog'!$J175&gt;B$2,'ProductSprint Backlog'!$I175&lt;=B$2), 'ProductSprint Backlog'!$F175 / MAX(1, 'ProductSprint Backlog'!$J175-'ProductSprint Backlog'!$I175), AND('ProductSprint Backlog'!$J175=B$2,'ProductSprint Backlog'!$I175=B$2), 'ProductSprint Backlog'!$F175, TRUE, 0)</f>
        <v>0</v>
      </c>
      <c r="C175" s="4" cm="1">
        <f t="array" ref="C175">_xlfn.IFS('ProductSprint Backlog'!$F175="", "", AND('ProductSprint Backlog'!$J175&gt;C$2,'ProductSprint Backlog'!$I175&lt;=C$2), 'ProductSprint Backlog'!$F175 / MAX(1, 'ProductSprint Backlog'!$J175-'ProductSprint Backlog'!$I175), AND('ProductSprint Backlog'!$J175=C$2,'ProductSprint Backlog'!$I175=C$2), 'ProductSprint Backlog'!$F175, TRUE, 0)</f>
        <v>0</v>
      </c>
      <c r="D175" s="4" cm="1">
        <f t="array" ref="D175">_xlfn.IFS('ProductSprint Backlog'!$F175="", "", AND('ProductSprint Backlog'!$J175&gt;D$2,'ProductSprint Backlog'!$I175&lt;=D$2), 'ProductSprint Backlog'!$F175 / MAX(1, 'ProductSprint Backlog'!$J175-'ProductSprint Backlog'!$I175), AND('ProductSprint Backlog'!$J175=D$2,'ProductSprint Backlog'!$I175=D$2), 'ProductSprint Backlog'!$F175, TRUE, 0)</f>
        <v>0</v>
      </c>
      <c r="E175" s="4" cm="1">
        <f t="array" ref="E175">_xlfn.IFS('ProductSprint Backlog'!$F175="", "", AND('ProductSprint Backlog'!$J175&gt;E$2,'ProductSprint Backlog'!$I175&lt;=E$2), 'ProductSprint Backlog'!$F175 / MAX(1, 'ProductSprint Backlog'!$J175-'ProductSprint Backlog'!$I175), AND('ProductSprint Backlog'!$J175=E$2,'ProductSprint Backlog'!$I175=E$2), 'ProductSprint Backlog'!$F175, TRUE, 0)</f>
        <v>0</v>
      </c>
      <c r="F175" s="4" cm="1">
        <f t="array" ref="F175">_xlfn.IFS('ProductSprint Backlog'!$F175="", "", AND('ProductSprint Backlog'!$J175&gt;F$2,'ProductSprint Backlog'!$I175&lt;=F$2), 'ProductSprint Backlog'!$F175 / MAX(1, 'ProductSprint Backlog'!$J175-'ProductSprint Backlog'!$I175), AND('ProductSprint Backlog'!$J175=F$2,'ProductSprint Backlog'!$I175=F$2), 'ProductSprint Backlog'!$F175, TRUE, 0)</f>
        <v>0</v>
      </c>
      <c r="G175" s="4" cm="1">
        <f t="array" ref="G175">_xlfn.IFS('ProductSprint Backlog'!$F175="", "", AND('ProductSprint Backlog'!$J175&gt;G$2,'ProductSprint Backlog'!$I175&lt;=G$2), 'ProductSprint Backlog'!$F175 / MAX(1, 'ProductSprint Backlog'!$J175-'ProductSprint Backlog'!$I175), AND('ProductSprint Backlog'!$J175=G$2,'ProductSprint Backlog'!$I175=G$2), 'ProductSprint Backlog'!$F175, TRUE, 0)</f>
        <v>0</v>
      </c>
      <c r="H175" s="4" cm="1">
        <f t="array" ref="H175">_xlfn.IFS('ProductSprint Backlog'!$F175="", "", AND('ProductSprint Backlog'!$J175&gt;H$2,'ProductSprint Backlog'!$I175&lt;=H$2), 'ProductSprint Backlog'!$F175 / MAX(1, 'ProductSprint Backlog'!$J175-'ProductSprint Backlog'!$I175), AND('ProductSprint Backlog'!$J175=H$2,'ProductSprint Backlog'!$I175=H$2), 'ProductSprint Backlog'!$F175, TRUE, 0)</f>
        <v>0</v>
      </c>
      <c r="I175" s="4" cm="1">
        <f t="array" ref="I175">_xlfn.IFS('ProductSprint Backlog'!$F175="", "", AND('ProductSprint Backlog'!$J175&gt;I$2,'ProductSprint Backlog'!$I175&lt;=I$2), 'ProductSprint Backlog'!$F175 / MAX(1, 'ProductSprint Backlog'!$J175-'ProductSprint Backlog'!$I175), AND('ProductSprint Backlog'!$J175=I$2,'ProductSprint Backlog'!$I175=I$2), 'ProductSprint Backlog'!$F175, TRUE, 0)</f>
        <v>0</v>
      </c>
      <c r="J175" s="4" cm="1">
        <f t="array" ref="J175">_xlfn.IFS('ProductSprint Backlog'!$F175="", "", AND('ProductSprint Backlog'!$J175&gt;J$2,'ProductSprint Backlog'!$I175&lt;=J$2), 'ProductSprint Backlog'!$F175 / MAX(1, 'ProductSprint Backlog'!$J175-'ProductSprint Backlog'!$I175), AND('ProductSprint Backlog'!$J175=J$2,'ProductSprint Backlog'!$I175=J$2), 'ProductSprint Backlog'!$F175, TRUE, 0)</f>
        <v>0</v>
      </c>
      <c r="K175" s="4" cm="1">
        <f t="array" ref="K175">_xlfn.IFS('ProductSprint Backlog'!$F175="", "", AND('ProductSprint Backlog'!$J175&gt;K$2,'ProductSprint Backlog'!$I175&lt;=K$2), 'ProductSprint Backlog'!$F175 / MAX(1, 'ProductSprint Backlog'!$J175-'ProductSprint Backlog'!$I175), AND('ProductSprint Backlog'!$J175=K$2,'ProductSprint Backlog'!$I175=K$2), 'ProductSprint Backlog'!$F175, TRUE, 0)</f>
        <v>0</v>
      </c>
      <c r="L175" s="4" cm="1">
        <f t="array" ref="L175">_xlfn.IFS('ProductSprint Backlog'!$F175="", "", AND('ProductSprint Backlog'!$J175&gt;L$2,'ProductSprint Backlog'!$I175&lt;=L$2), 'ProductSprint Backlog'!$F175 / MAX(1, 'ProductSprint Backlog'!$J175-'ProductSprint Backlog'!$I175), AND('ProductSprint Backlog'!$J175=L$2,'ProductSprint Backlog'!$I175=L$2), 'ProductSprint Backlog'!$F175, TRUE, 0)</f>
        <v>0</v>
      </c>
      <c r="M175" s="4" cm="1">
        <f t="array" ref="M175">_xlfn.IFS('ProductSprint Backlog'!$F175="", "", AND('ProductSprint Backlog'!$J175&gt;M$2,'ProductSprint Backlog'!$I175&lt;=M$2), 'ProductSprint Backlog'!$F175 / MAX(1, 'ProductSprint Backlog'!$J175-'ProductSprint Backlog'!$I175), AND('ProductSprint Backlog'!$J175=M$2,'ProductSprint Backlog'!$I175=M$2), 'ProductSprint Backlog'!$F175, TRUE, 0)</f>
        <v>0</v>
      </c>
      <c r="N175" s="4" cm="1">
        <f t="array" ref="N175">_xlfn.IFS('ProductSprint Backlog'!$F175="", "", AND('ProductSprint Backlog'!$J175&gt;N$2,'ProductSprint Backlog'!$I175&lt;=N$2), 'ProductSprint Backlog'!$F175 / MAX(1, 'ProductSprint Backlog'!$J175-'ProductSprint Backlog'!$I175), AND('ProductSprint Backlog'!$J175=N$2,'ProductSprint Backlog'!$I175=N$2), 'ProductSprint Backlog'!$F175, TRUE, 0)</f>
        <v>0</v>
      </c>
      <c r="O175" s="4" cm="1">
        <f t="array" ref="O175">_xlfn.IFS('ProductSprint Backlog'!$F175="", "", AND('ProductSprint Backlog'!$J175&gt;O$2,'ProductSprint Backlog'!$I175&lt;=O$2), 'ProductSprint Backlog'!$F175 / MAX(1, 'ProductSprint Backlog'!$J175-'ProductSprint Backlog'!$I175), AND('ProductSprint Backlog'!$J175=O$2,'ProductSprint Backlog'!$I175=O$2), 'ProductSprint Backlog'!$F175, TRUE, 0)</f>
        <v>0</v>
      </c>
      <c r="P175" s="4" cm="1">
        <f t="array" ref="P175">_xlfn.IFS('ProductSprint Backlog'!$F175="", "", AND('ProductSprint Backlog'!$J175&gt;P$2,'ProductSprint Backlog'!$I175&lt;=P$2), 'ProductSprint Backlog'!$F175 / MAX(1, 'ProductSprint Backlog'!$J175-'ProductSprint Backlog'!$I175), AND('ProductSprint Backlog'!$J175=P$2,'ProductSprint Backlog'!$I175=P$2), 'ProductSprint Backlog'!$F175, TRUE, 0)</f>
        <v>0</v>
      </c>
      <c r="Q175" s="4" cm="1">
        <f t="array" ref="Q175">_xlfn.IFS('ProductSprint Backlog'!$F175="", "", AND('ProductSprint Backlog'!$J175&gt;Q$2,'ProductSprint Backlog'!$I175&lt;=Q$2), 'ProductSprint Backlog'!$F175 / MAX(1, 'ProductSprint Backlog'!$J175-'ProductSprint Backlog'!$I175), AND('ProductSprint Backlog'!$J175=Q$2,'ProductSprint Backlog'!$I175=Q$2), 'ProductSprint Backlog'!$F175, TRUE, 0)</f>
        <v>0</v>
      </c>
    </row>
    <row r="176" spans="2:17" x14ac:dyDescent="0.2">
      <c r="B176" s="4" cm="1">
        <f t="array" ref="B176">_xlfn.IFS('ProductSprint Backlog'!$F176="", "", AND('ProductSprint Backlog'!$J176&gt;B$2,'ProductSprint Backlog'!$I176&lt;=B$2), 'ProductSprint Backlog'!$F176 / MAX(1, 'ProductSprint Backlog'!$J176-'ProductSprint Backlog'!$I176), AND('ProductSprint Backlog'!$J176=B$2,'ProductSprint Backlog'!$I176=B$2), 'ProductSprint Backlog'!$F176, TRUE, 0)</f>
        <v>0</v>
      </c>
      <c r="C176" s="4" cm="1">
        <f t="array" ref="C176">_xlfn.IFS('ProductSprint Backlog'!$F176="", "", AND('ProductSprint Backlog'!$J176&gt;C$2,'ProductSprint Backlog'!$I176&lt;=C$2), 'ProductSprint Backlog'!$F176 / MAX(1, 'ProductSprint Backlog'!$J176-'ProductSprint Backlog'!$I176), AND('ProductSprint Backlog'!$J176=C$2,'ProductSprint Backlog'!$I176=C$2), 'ProductSprint Backlog'!$F176, TRUE, 0)</f>
        <v>0</v>
      </c>
      <c r="D176" s="4" cm="1">
        <f t="array" ref="D176">_xlfn.IFS('ProductSprint Backlog'!$F176="", "", AND('ProductSprint Backlog'!$J176&gt;D$2,'ProductSprint Backlog'!$I176&lt;=D$2), 'ProductSprint Backlog'!$F176 / MAX(1, 'ProductSprint Backlog'!$J176-'ProductSprint Backlog'!$I176), AND('ProductSprint Backlog'!$J176=D$2,'ProductSprint Backlog'!$I176=D$2), 'ProductSprint Backlog'!$F176, TRUE, 0)</f>
        <v>0</v>
      </c>
      <c r="E176" s="4" cm="1">
        <f t="array" ref="E176">_xlfn.IFS('ProductSprint Backlog'!$F176="", "", AND('ProductSprint Backlog'!$J176&gt;E$2,'ProductSprint Backlog'!$I176&lt;=E$2), 'ProductSprint Backlog'!$F176 / MAX(1, 'ProductSprint Backlog'!$J176-'ProductSprint Backlog'!$I176), AND('ProductSprint Backlog'!$J176=E$2,'ProductSprint Backlog'!$I176=E$2), 'ProductSprint Backlog'!$F176, TRUE, 0)</f>
        <v>0</v>
      </c>
      <c r="F176" s="4" cm="1">
        <f t="array" ref="F176">_xlfn.IFS('ProductSprint Backlog'!$F176="", "", AND('ProductSprint Backlog'!$J176&gt;F$2,'ProductSprint Backlog'!$I176&lt;=F$2), 'ProductSprint Backlog'!$F176 / MAX(1, 'ProductSprint Backlog'!$J176-'ProductSprint Backlog'!$I176), AND('ProductSprint Backlog'!$J176=F$2,'ProductSprint Backlog'!$I176=F$2), 'ProductSprint Backlog'!$F176, TRUE, 0)</f>
        <v>0</v>
      </c>
      <c r="G176" s="4" cm="1">
        <f t="array" ref="G176">_xlfn.IFS('ProductSprint Backlog'!$F176="", "", AND('ProductSprint Backlog'!$J176&gt;G$2,'ProductSprint Backlog'!$I176&lt;=G$2), 'ProductSprint Backlog'!$F176 / MAX(1, 'ProductSprint Backlog'!$J176-'ProductSprint Backlog'!$I176), AND('ProductSprint Backlog'!$J176=G$2,'ProductSprint Backlog'!$I176=G$2), 'ProductSprint Backlog'!$F176, TRUE, 0)</f>
        <v>0</v>
      </c>
      <c r="H176" s="4" cm="1">
        <f t="array" ref="H176">_xlfn.IFS('ProductSprint Backlog'!$F176="", "", AND('ProductSprint Backlog'!$J176&gt;H$2,'ProductSprint Backlog'!$I176&lt;=H$2), 'ProductSprint Backlog'!$F176 / MAX(1, 'ProductSprint Backlog'!$J176-'ProductSprint Backlog'!$I176), AND('ProductSprint Backlog'!$J176=H$2,'ProductSprint Backlog'!$I176=H$2), 'ProductSprint Backlog'!$F176, TRUE, 0)</f>
        <v>0</v>
      </c>
      <c r="I176" s="4" cm="1">
        <f t="array" ref="I176">_xlfn.IFS('ProductSprint Backlog'!$F176="", "", AND('ProductSprint Backlog'!$J176&gt;I$2,'ProductSprint Backlog'!$I176&lt;=I$2), 'ProductSprint Backlog'!$F176 / MAX(1, 'ProductSprint Backlog'!$J176-'ProductSprint Backlog'!$I176), AND('ProductSprint Backlog'!$J176=I$2,'ProductSprint Backlog'!$I176=I$2), 'ProductSprint Backlog'!$F176, TRUE, 0)</f>
        <v>0</v>
      </c>
      <c r="J176" s="4" cm="1">
        <f t="array" ref="J176">_xlfn.IFS('ProductSprint Backlog'!$F176="", "", AND('ProductSprint Backlog'!$J176&gt;J$2,'ProductSprint Backlog'!$I176&lt;=J$2), 'ProductSprint Backlog'!$F176 / MAX(1, 'ProductSprint Backlog'!$J176-'ProductSprint Backlog'!$I176), AND('ProductSprint Backlog'!$J176=J$2,'ProductSprint Backlog'!$I176=J$2), 'ProductSprint Backlog'!$F176, TRUE, 0)</f>
        <v>0</v>
      </c>
      <c r="K176" s="4" cm="1">
        <f t="array" ref="K176">_xlfn.IFS('ProductSprint Backlog'!$F176="", "", AND('ProductSprint Backlog'!$J176&gt;K$2,'ProductSprint Backlog'!$I176&lt;=K$2), 'ProductSprint Backlog'!$F176 / MAX(1, 'ProductSprint Backlog'!$J176-'ProductSprint Backlog'!$I176), AND('ProductSprint Backlog'!$J176=K$2,'ProductSprint Backlog'!$I176=K$2), 'ProductSprint Backlog'!$F176, TRUE, 0)</f>
        <v>0</v>
      </c>
      <c r="L176" s="4" cm="1">
        <f t="array" ref="L176">_xlfn.IFS('ProductSprint Backlog'!$F176="", "", AND('ProductSprint Backlog'!$J176&gt;L$2,'ProductSprint Backlog'!$I176&lt;=L$2), 'ProductSprint Backlog'!$F176 / MAX(1, 'ProductSprint Backlog'!$J176-'ProductSprint Backlog'!$I176), AND('ProductSprint Backlog'!$J176=L$2,'ProductSprint Backlog'!$I176=L$2), 'ProductSprint Backlog'!$F176, TRUE, 0)</f>
        <v>0</v>
      </c>
      <c r="M176" s="4" cm="1">
        <f t="array" ref="M176">_xlfn.IFS('ProductSprint Backlog'!$F176="", "", AND('ProductSprint Backlog'!$J176&gt;M$2,'ProductSprint Backlog'!$I176&lt;=M$2), 'ProductSprint Backlog'!$F176 / MAX(1, 'ProductSprint Backlog'!$J176-'ProductSprint Backlog'!$I176), AND('ProductSprint Backlog'!$J176=M$2,'ProductSprint Backlog'!$I176=M$2), 'ProductSprint Backlog'!$F176, TRUE, 0)</f>
        <v>0</v>
      </c>
      <c r="N176" s="4" cm="1">
        <f t="array" ref="N176">_xlfn.IFS('ProductSprint Backlog'!$F176="", "", AND('ProductSprint Backlog'!$J176&gt;N$2,'ProductSprint Backlog'!$I176&lt;=N$2), 'ProductSprint Backlog'!$F176 / MAX(1, 'ProductSprint Backlog'!$J176-'ProductSprint Backlog'!$I176), AND('ProductSprint Backlog'!$J176=N$2,'ProductSprint Backlog'!$I176=N$2), 'ProductSprint Backlog'!$F176, TRUE, 0)</f>
        <v>0</v>
      </c>
      <c r="O176" s="4" cm="1">
        <f t="array" ref="O176">_xlfn.IFS('ProductSprint Backlog'!$F176="", "", AND('ProductSprint Backlog'!$J176&gt;O$2,'ProductSprint Backlog'!$I176&lt;=O$2), 'ProductSprint Backlog'!$F176 / MAX(1, 'ProductSprint Backlog'!$J176-'ProductSprint Backlog'!$I176), AND('ProductSprint Backlog'!$J176=O$2,'ProductSprint Backlog'!$I176=O$2), 'ProductSprint Backlog'!$F176, TRUE, 0)</f>
        <v>0</v>
      </c>
      <c r="P176" s="4" cm="1">
        <f t="array" ref="P176">_xlfn.IFS('ProductSprint Backlog'!$F176="", "", AND('ProductSprint Backlog'!$J176&gt;P$2,'ProductSprint Backlog'!$I176&lt;=P$2), 'ProductSprint Backlog'!$F176 / MAX(1, 'ProductSprint Backlog'!$J176-'ProductSprint Backlog'!$I176), AND('ProductSprint Backlog'!$J176=P$2,'ProductSprint Backlog'!$I176=P$2), 'ProductSprint Backlog'!$F176, TRUE, 0)</f>
        <v>0</v>
      </c>
      <c r="Q176" s="4" cm="1">
        <f t="array" ref="Q176">_xlfn.IFS('ProductSprint Backlog'!$F176="", "", AND('ProductSprint Backlog'!$J176&gt;Q$2,'ProductSprint Backlog'!$I176&lt;=Q$2), 'ProductSprint Backlog'!$F176 / MAX(1, 'ProductSprint Backlog'!$J176-'ProductSprint Backlog'!$I176), AND('ProductSprint Backlog'!$J176=Q$2,'ProductSprint Backlog'!$I176=Q$2), 'ProductSprint Backlog'!$F176, TRUE, 0)</f>
        <v>0</v>
      </c>
    </row>
    <row r="177" spans="2:17" x14ac:dyDescent="0.2">
      <c r="B177" s="4" cm="1">
        <f t="array" ref="B177">_xlfn.IFS('ProductSprint Backlog'!$F177="", "", AND('ProductSprint Backlog'!$J177&gt;B$2,'ProductSprint Backlog'!$I177&lt;=B$2), 'ProductSprint Backlog'!$F177 / MAX(1, 'ProductSprint Backlog'!$J177-'ProductSprint Backlog'!$I177), AND('ProductSprint Backlog'!$J177=B$2,'ProductSprint Backlog'!$I177=B$2), 'ProductSprint Backlog'!$F177, TRUE, 0)</f>
        <v>0</v>
      </c>
      <c r="C177" s="4" cm="1">
        <f t="array" ref="C177">_xlfn.IFS('ProductSprint Backlog'!$F177="", "", AND('ProductSprint Backlog'!$J177&gt;C$2,'ProductSprint Backlog'!$I177&lt;=C$2), 'ProductSprint Backlog'!$F177 / MAX(1, 'ProductSprint Backlog'!$J177-'ProductSprint Backlog'!$I177), AND('ProductSprint Backlog'!$J177=C$2,'ProductSprint Backlog'!$I177=C$2), 'ProductSprint Backlog'!$F177, TRUE, 0)</f>
        <v>0</v>
      </c>
      <c r="D177" s="4" cm="1">
        <f t="array" ref="D177">_xlfn.IFS('ProductSprint Backlog'!$F177="", "", AND('ProductSprint Backlog'!$J177&gt;D$2,'ProductSprint Backlog'!$I177&lt;=D$2), 'ProductSprint Backlog'!$F177 / MAX(1, 'ProductSprint Backlog'!$J177-'ProductSprint Backlog'!$I177), AND('ProductSprint Backlog'!$J177=D$2,'ProductSprint Backlog'!$I177=D$2), 'ProductSprint Backlog'!$F177, TRUE, 0)</f>
        <v>0</v>
      </c>
      <c r="E177" s="4" cm="1">
        <f t="array" ref="E177">_xlfn.IFS('ProductSprint Backlog'!$F177="", "", AND('ProductSprint Backlog'!$J177&gt;E$2,'ProductSprint Backlog'!$I177&lt;=E$2), 'ProductSprint Backlog'!$F177 / MAX(1, 'ProductSprint Backlog'!$J177-'ProductSprint Backlog'!$I177), AND('ProductSprint Backlog'!$J177=E$2,'ProductSprint Backlog'!$I177=E$2), 'ProductSprint Backlog'!$F177, TRUE, 0)</f>
        <v>0</v>
      </c>
      <c r="F177" s="4" cm="1">
        <f t="array" ref="F177">_xlfn.IFS('ProductSprint Backlog'!$F177="", "", AND('ProductSprint Backlog'!$J177&gt;F$2,'ProductSprint Backlog'!$I177&lt;=F$2), 'ProductSprint Backlog'!$F177 / MAX(1, 'ProductSprint Backlog'!$J177-'ProductSprint Backlog'!$I177), AND('ProductSprint Backlog'!$J177=F$2,'ProductSprint Backlog'!$I177=F$2), 'ProductSprint Backlog'!$F177, TRUE, 0)</f>
        <v>0</v>
      </c>
      <c r="G177" s="4" cm="1">
        <f t="array" ref="G177">_xlfn.IFS('ProductSprint Backlog'!$F177="", "", AND('ProductSprint Backlog'!$J177&gt;G$2,'ProductSprint Backlog'!$I177&lt;=G$2), 'ProductSprint Backlog'!$F177 / MAX(1, 'ProductSprint Backlog'!$J177-'ProductSprint Backlog'!$I177), AND('ProductSprint Backlog'!$J177=G$2,'ProductSprint Backlog'!$I177=G$2), 'ProductSprint Backlog'!$F177, TRUE, 0)</f>
        <v>0</v>
      </c>
      <c r="H177" s="4" cm="1">
        <f t="array" ref="H177">_xlfn.IFS('ProductSprint Backlog'!$F177="", "", AND('ProductSprint Backlog'!$J177&gt;H$2,'ProductSprint Backlog'!$I177&lt;=H$2), 'ProductSprint Backlog'!$F177 / MAX(1, 'ProductSprint Backlog'!$J177-'ProductSprint Backlog'!$I177), AND('ProductSprint Backlog'!$J177=H$2,'ProductSprint Backlog'!$I177=H$2), 'ProductSprint Backlog'!$F177, TRUE, 0)</f>
        <v>0</v>
      </c>
      <c r="I177" s="4" cm="1">
        <f t="array" ref="I177">_xlfn.IFS('ProductSprint Backlog'!$F177="", "", AND('ProductSprint Backlog'!$J177&gt;I$2,'ProductSprint Backlog'!$I177&lt;=I$2), 'ProductSprint Backlog'!$F177 / MAX(1, 'ProductSprint Backlog'!$J177-'ProductSprint Backlog'!$I177), AND('ProductSprint Backlog'!$J177=I$2,'ProductSprint Backlog'!$I177=I$2), 'ProductSprint Backlog'!$F177, TRUE, 0)</f>
        <v>0</v>
      </c>
      <c r="J177" s="4" cm="1">
        <f t="array" ref="J177">_xlfn.IFS('ProductSprint Backlog'!$F177="", "", AND('ProductSprint Backlog'!$J177&gt;J$2,'ProductSprint Backlog'!$I177&lt;=J$2), 'ProductSprint Backlog'!$F177 / MAX(1, 'ProductSprint Backlog'!$J177-'ProductSprint Backlog'!$I177), AND('ProductSprint Backlog'!$J177=J$2,'ProductSprint Backlog'!$I177=J$2), 'ProductSprint Backlog'!$F177, TRUE, 0)</f>
        <v>0</v>
      </c>
      <c r="K177" s="4" cm="1">
        <f t="array" ref="K177">_xlfn.IFS('ProductSprint Backlog'!$F177="", "", AND('ProductSprint Backlog'!$J177&gt;K$2,'ProductSprint Backlog'!$I177&lt;=K$2), 'ProductSprint Backlog'!$F177 / MAX(1, 'ProductSprint Backlog'!$J177-'ProductSprint Backlog'!$I177), AND('ProductSprint Backlog'!$J177=K$2,'ProductSprint Backlog'!$I177=K$2), 'ProductSprint Backlog'!$F177, TRUE, 0)</f>
        <v>0</v>
      </c>
      <c r="L177" s="4" cm="1">
        <f t="array" ref="L177">_xlfn.IFS('ProductSprint Backlog'!$F177="", "", AND('ProductSprint Backlog'!$J177&gt;L$2,'ProductSprint Backlog'!$I177&lt;=L$2), 'ProductSprint Backlog'!$F177 / MAX(1, 'ProductSprint Backlog'!$J177-'ProductSprint Backlog'!$I177), AND('ProductSprint Backlog'!$J177=L$2,'ProductSprint Backlog'!$I177=L$2), 'ProductSprint Backlog'!$F177, TRUE, 0)</f>
        <v>0</v>
      </c>
      <c r="M177" s="4" cm="1">
        <f t="array" ref="M177">_xlfn.IFS('ProductSprint Backlog'!$F177="", "", AND('ProductSprint Backlog'!$J177&gt;M$2,'ProductSprint Backlog'!$I177&lt;=M$2), 'ProductSprint Backlog'!$F177 / MAX(1, 'ProductSprint Backlog'!$J177-'ProductSprint Backlog'!$I177), AND('ProductSprint Backlog'!$J177=M$2,'ProductSprint Backlog'!$I177=M$2), 'ProductSprint Backlog'!$F177, TRUE, 0)</f>
        <v>0</v>
      </c>
      <c r="N177" s="4" cm="1">
        <f t="array" ref="N177">_xlfn.IFS('ProductSprint Backlog'!$F177="", "", AND('ProductSprint Backlog'!$J177&gt;N$2,'ProductSprint Backlog'!$I177&lt;=N$2), 'ProductSprint Backlog'!$F177 / MAX(1, 'ProductSprint Backlog'!$J177-'ProductSprint Backlog'!$I177), AND('ProductSprint Backlog'!$J177=N$2,'ProductSprint Backlog'!$I177=N$2), 'ProductSprint Backlog'!$F177, TRUE, 0)</f>
        <v>0</v>
      </c>
      <c r="O177" s="4" cm="1">
        <f t="array" ref="O177">_xlfn.IFS('ProductSprint Backlog'!$F177="", "", AND('ProductSprint Backlog'!$J177&gt;O$2,'ProductSprint Backlog'!$I177&lt;=O$2), 'ProductSprint Backlog'!$F177 / MAX(1, 'ProductSprint Backlog'!$J177-'ProductSprint Backlog'!$I177), AND('ProductSprint Backlog'!$J177=O$2,'ProductSprint Backlog'!$I177=O$2), 'ProductSprint Backlog'!$F177, TRUE, 0)</f>
        <v>0</v>
      </c>
      <c r="P177" s="4" cm="1">
        <f t="array" ref="P177">_xlfn.IFS('ProductSprint Backlog'!$F177="", "", AND('ProductSprint Backlog'!$J177&gt;P$2,'ProductSprint Backlog'!$I177&lt;=P$2), 'ProductSprint Backlog'!$F177 / MAX(1, 'ProductSprint Backlog'!$J177-'ProductSprint Backlog'!$I177), AND('ProductSprint Backlog'!$J177=P$2,'ProductSprint Backlog'!$I177=P$2), 'ProductSprint Backlog'!$F177, TRUE, 0)</f>
        <v>0</v>
      </c>
      <c r="Q177" s="4" cm="1">
        <f t="array" ref="Q177">_xlfn.IFS('ProductSprint Backlog'!$F177="", "", AND('ProductSprint Backlog'!$J177&gt;Q$2,'ProductSprint Backlog'!$I177&lt;=Q$2), 'ProductSprint Backlog'!$F177 / MAX(1, 'ProductSprint Backlog'!$J177-'ProductSprint Backlog'!$I177), AND('ProductSprint Backlog'!$J177=Q$2,'ProductSprint Backlog'!$I177=Q$2), 'ProductSprint Backlog'!$F177, TRUE, 0)</f>
        <v>0</v>
      </c>
    </row>
    <row r="178" spans="2:17" x14ac:dyDescent="0.2">
      <c r="B178" s="4" cm="1">
        <f t="array" ref="B178">_xlfn.IFS('ProductSprint Backlog'!$F178="", "", AND('ProductSprint Backlog'!$J178&gt;B$2,'ProductSprint Backlog'!$I178&lt;=B$2), 'ProductSprint Backlog'!$F178 / MAX(1, 'ProductSprint Backlog'!$J178-'ProductSprint Backlog'!$I178), AND('ProductSprint Backlog'!$J178=B$2,'ProductSprint Backlog'!$I178=B$2), 'ProductSprint Backlog'!$F178, TRUE, 0)</f>
        <v>0</v>
      </c>
      <c r="C178" s="4" cm="1">
        <f t="array" ref="C178">_xlfn.IFS('ProductSprint Backlog'!$F178="", "", AND('ProductSprint Backlog'!$J178&gt;C$2,'ProductSprint Backlog'!$I178&lt;=C$2), 'ProductSprint Backlog'!$F178 / MAX(1, 'ProductSprint Backlog'!$J178-'ProductSprint Backlog'!$I178), AND('ProductSprint Backlog'!$J178=C$2,'ProductSprint Backlog'!$I178=C$2), 'ProductSprint Backlog'!$F178, TRUE, 0)</f>
        <v>0</v>
      </c>
      <c r="D178" s="4" cm="1">
        <f t="array" ref="D178">_xlfn.IFS('ProductSprint Backlog'!$F178="", "", AND('ProductSprint Backlog'!$J178&gt;D$2,'ProductSprint Backlog'!$I178&lt;=D$2), 'ProductSprint Backlog'!$F178 / MAX(1, 'ProductSprint Backlog'!$J178-'ProductSprint Backlog'!$I178), AND('ProductSprint Backlog'!$J178=D$2,'ProductSprint Backlog'!$I178=D$2), 'ProductSprint Backlog'!$F178, TRUE, 0)</f>
        <v>0</v>
      </c>
      <c r="E178" s="4" cm="1">
        <f t="array" ref="E178">_xlfn.IFS('ProductSprint Backlog'!$F178="", "", AND('ProductSprint Backlog'!$J178&gt;E$2,'ProductSprint Backlog'!$I178&lt;=E$2), 'ProductSprint Backlog'!$F178 / MAX(1, 'ProductSprint Backlog'!$J178-'ProductSprint Backlog'!$I178), AND('ProductSprint Backlog'!$J178=E$2,'ProductSprint Backlog'!$I178=E$2), 'ProductSprint Backlog'!$F178, TRUE, 0)</f>
        <v>0</v>
      </c>
      <c r="F178" s="4" cm="1">
        <f t="array" ref="F178">_xlfn.IFS('ProductSprint Backlog'!$F178="", "", AND('ProductSprint Backlog'!$J178&gt;F$2,'ProductSprint Backlog'!$I178&lt;=F$2), 'ProductSprint Backlog'!$F178 / MAX(1, 'ProductSprint Backlog'!$J178-'ProductSprint Backlog'!$I178), AND('ProductSprint Backlog'!$J178=F$2,'ProductSprint Backlog'!$I178=F$2), 'ProductSprint Backlog'!$F178, TRUE, 0)</f>
        <v>0</v>
      </c>
      <c r="G178" s="4" cm="1">
        <f t="array" ref="G178">_xlfn.IFS('ProductSprint Backlog'!$F178="", "", AND('ProductSprint Backlog'!$J178&gt;G$2,'ProductSprint Backlog'!$I178&lt;=G$2), 'ProductSprint Backlog'!$F178 / MAX(1, 'ProductSprint Backlog'!$J178-'ProductSprint Backlog'!$I178), AND('ProductSprint Backlog'!$J178=G$2,'ProductSprint Backlog'!$I178=G$2), 'ProductSprint Backlog'!$F178, TRUE, 0)</f>
        <v>0</v>
      </c>
      <c r="H178" s="4" cm="1">
        <f t="array" ref="H178">_xlfn.IFS('ProductSprint Backlog'!$F178="", "", AND('ProductSprint Backlog'!$J178&gt;H$2,'ProductSprint Backlog'!$I178&lt;=H$2), 'ProductSprint Backlog'!$F178 / MAX(1, 'ProductSprint Backlog'!$J178-'ProductSprint Backlog'!$I178), AND('ProductSprint Backlog'!$J178=H$2,'ProductSprint Backlog'!$I178=H$2), 'ProductSprint Backlog'!$F178, TRUE, 0)</f>
        <v>0</v>
      </c>
      <c r="I178" s="4" cm="1">
        <f t="array" ref="I178">_xlfn.IFS('ProductSprint Backlog'!$F178="", "", AND('ProductSprint Backlog'!$J178&gt;I$2,'ProductSprint Backlog'!$I178&lt;=I$2), 'ProductSprint Backlog'!$F178 / MAX(1, 'ProductSprint Backlog'!$J178-'ProductSprint Backlog'!$I178), AND('ProductSprint Backlog'!$J178=I$2,'ProductSprint Backlog'!$I178=I$2), 'ProductSprint Backlog'!$F178, TRUE, 0)</f>
        <v>0</v>
      </c>
      <c r="J178" s="4" cm="1">
        <f t="array" ref="J178">_xlfn.IFS('ProductSprint Backlog'!$F178="", "", AND('ProductSprint Backlog'!$J178&gt;J$2,'ProductSprint Backlog'!$I178&lt;=J$2), 'ProductSprint Backlog'!$F178 / MAX(1, 'ProductSprint Backlog'!$J178-'ProductSprint Backlog'!$I178), AND('ProductSprint Backlog'!$J178=J$2,'ProductSprint Backlog'!$I178=J$2), 'ProductSprint Backlog'!$F178, TRUE, 0)</f>
        <v>0</v>
      </c>
      <c r="K178" s="4" cm="1">
        <f t="array" ref="K178">_xlfn.IFS('ProductSprint Backlog'!$F178="", "", AND('ProductSprint Backlog'!$J178&gt;K$2,'ProductSprint Backlog'!$I178&lt;=K$2), 'ProductSprint Backlog'!$F178 / MAX(1, 'ProductSprint Backlog'!$J178-'ProductSprint Backlog'!$I178), AND('ProductSprint Backlog'!$J178=K$2,'ProductSprint Backlog'!$I178=K$2), 'ProductSprint Backlog'!$F178, TRUE, 0)</f>
        <v>0</v>
      </c>
      <c r="L178" s="4" cm="1">
        <f t="array" ref="L178">_xlfn.IFS('ProductSprint Backlog'!$F178="", "", AND('ProductSprint Backlog'!$J178&gt;L$2,'ProductSprint Backlog'!$I178&lt;=L$2), 'ProductSprint Backlog'!$F178 / MAX(1, 'ProductSprint Backlog'!$J178-'ProductSprint Backlog'!$I178), AND('ProductSprint Backlog'!$J178=L$2,'ProductSprint Backlog'!$I178=L$2), 'ProductSprint Backlog'!$F178, TRUE, 0)</f>
        <v>0</v>
      </c>
      <c r="M178" s="4" cm="1">
        <f t="array" ref="M178">_xlfn.IFS('ProductSprint Backlog'!$F178="", "", AND('ProductSprint Backlog'!$J178&gt;M$2,'ProductSprint Backlog'!$I178&lt;=M$2), 'ProductSprint Backlog'!$F178 / MAX(1, 'ProductSprint Backlog'!$J178-'ProductSprint Backlog'!$I178), AND('ProductSprint Backlog'!$J178=M$2,'ProductSprint Backlog'!$I178=M$2), 'ProductSprint Backlog'!$F178, TRUE, 0)</f>
        <v>0</v>
      </c>
      <c r="N178" s="4" cm="1">
        <f t="array" ref="N178">_xlfn.IFS('ProductSprint Backlog'!$F178="", "", AND('ProductSprint Backlog'!$J178&gt;N$2,'ProductSprint Backlog'!$I178&lt;=N$2), 'ProductSprint Backlog'!$F178 / MAX(1, 'ProductSprint Backlog'!$J178-'ProductSprint Backlog'!$I178), AND('ProductSprint Backlog'!$J178=N$2,'ProductSprint Backlog'!$I178=N$2), 'ProductSprint Backlog'!$F178, TRUE, 0)</f>
        <v>0</v>
      </c>
      <c r="O178" s="4" cm="1">
        <f t="array" ref="O178">_xlfn.IFS('ProductSprint Backlog'!$F178="", "", AND('ProductSprint Backlog'!$J178&gt;O$2,'ProductSprint Backlog'!$I178&lt;=O$2), 'ProductSprint Backlog'!$F178 / MAX(1, 'ProductSprint Backlog'!$J178-'ProductSprint Backlog'!$I178), AND('ProductSprint Backlog'!$J178=O$2,'ProductSprint Backlog'!$I178=O$2), 'ProductSprint Backlog'!$F178, TRUE, 0)</f>
        <v>0</v>
      </c>
      <c r="P178" s="4" cm="1">
        <f t="array" ref="P178">_xlfn.IFS('ProductSprint Backlog'!$F178="", "", AND('ProductSprint Backlog'!$J178&gt;P$2,'ProductSprint Backlog'!$I178&lt;=P$2), 'ProductSprint Backlog'!$F178 / MAX(1, 'ProductSprint Backlog'!$J178-'ProductSprint Backlog'!$I178), AND('ProductSprint Backlog'!$J178=P$2,'ProductSprint Backlog'!$I178=P$2), 'ProductSprint Backlog'!$F178, TRUE, 0)</f>
        <v>0</v>
      </c>
      <c r="Q178" s="4" cm="1">
        <f t="array" ref="Q178">_xlfn.IFS('ProductSprint Backlog'!$F178="", "", AND('ProductSprint Backlog'!$J178&gt;Q$2,'ProductSprint Backlog'!$I178&lt;=Q$2), 'ProductSprint Backlog'!$F178 / MAX(1, 'ProductSprint Backlog'!$J178-'ProductSprint Backlog'!$I178), AND('ProductSprint Backlog'!$J178=Q$2,'ProductSprint Backlog'!$I178=Q$2), 'ProductSprint Backlog'!$F178, TRUE, 0)</f>
        <v>0</v>
      </c>
    </row>
    <row r="179" spans="2:17" x14ac:dyDescent="0.2">
      <c r="B179" s="4" cm="1">
        <f t="array" ref="B179">_xlfn.IFS('ProductSprint Backlog'!$F179="", "", AND('ProductSprint Backlog'!$J179&gt;B$2,'ProductSprint Backlog'!$I179&lt;=B$2), 'ProductSprint Backlog'!$F179 / MAX(1, 'ProductSprint Backlog'!$J179-'ProductSprint Backlog'!$I179), AND('ProductSprint Backlog'!$J179=B$2,'ProductSprint Backlog'!$I179=B$2), 'ProductSprint Backlog'!$F179, TRUE, 0)</f>
        <v>0</v>
      </c>
      <c r="C179" s="4" cm="1">
        <f t="array" ref="C179">_xlfn.IFS('ProductSprint Backlog'!$F179="", "", AND('ProductSprint Backlog'!$J179&gt;C$2,'ProductSprint Backlog'!$I179&lt;=C$2), 'ProductSprint Backlog'!$F179 / MAX(1, 'ProductSprint Backlog'!$J179-'ProductSprint Backlog'!$I179), AND('ProductSprint Backlog'!$J179=C$2,'ProductSprint Backlog'!$I179=C$2), 'ProductSprint Backlog'!$F179, TRUE, 0)</f>
        <v>0</v>
      </c>
      <c r="D179" s="4" cm="1">
        <f t="array" ref="D179">_xlfn.IFS('ProductSprint Backlog'!$F179="", "", AND('ProductSprint Backlog'!$J179&gt;D$2,'ProductSprint Backlog'!$I179&lt;=D$2), 'ProductSprint Backlog'!$F179 / MAX(1, 'ProductSprint Backlog'!$J179-'ProductSprint Backlog'!$I179), AND('ProductSprint Backlog'!$J179=D$2,'ProductSprint Backlog'!$I179=D$2), 'ProductSprint Backlog'!$F179, TRUE, 0)</f>
        <v>0</v>
      </c>
      <c r="E179" s="4" cm="1">
        <f t="array" ref="E179">_xlfn.IFS('ProductSprint Backlog'!$F179="", "", AND('ProductSprint Backlog'!$J179&gt;E$2,'ProductSprint Backlog'!$I179&lt;=E$2), 'ProductSprint Backlog'!$F179 / MAX(1, 'ProductSprint Backlog'!$J179-'ProductSprint Backlog'!$I179), AND('ProductSprint Backlog'!$J179=E$2,'ProductSprint Backlog'!$I179=E$2), 'ProductSprint Backlog'!$F179, TRUE, 0)</f>
        <v>0</v>
      </c>
      <c r="F179" s="4" cm="1">
        <f t="array" ref="F179">_xlfn.IFS('ProductSprint Backlog'!$F179="", "", AND('ProductSprint Backlog'!$J179&gt;F$2,'ProductSprint Backlog'!$I179&lt;=F$2), 'ProductSprint Backlog'!$F179 / MAX(1, 'ProductSprint Backlog'!$J179-'ProductSprint Backlog'!$I179), AND('ProductSprint Backlog'!$J179=F$2,'ProductSprint Backlog'!$I179=F$2), 'ProductSprint Backlog'!$F179, TRUE, 0)</f>
        <v>0</v>
      </c>
      <c r="G179" s="4" cm="1">
        <f t="array" ref="G179">_xlfn.IFS('ProductSprint Backlog'!$F179="", "", AND('ProductSprint Backlog'!$J179&gt;G$2,'ProductSprint Backlog'!$I179&lt;=G$2), 'ProductSprint Backlog'!$F179 / MAX(1, 'ProductSprint Backlog'!$J179-'ProductSprint Backlog'!$I179), AND('ProductSprint Backlog'!$J179=G$2,'ProductSprint Backlog'!$I179=G$2), 'ProductSprint Backlog'!$F179, TRUE, 0)</f>
        <v>0</v>
      </c>
      <c r="H179" s="4" cm="1">
        <f t="array" ref="H179">_xlfn.IFS('ProductSprint Backlog'!$F179="", "", AND('ProductSprint Backlog'!$J179&gt;H$2,'ProductSprint Backlog'!$I179&lt;=H$2), 'ProductSprint Backlog'!$F179 / MAX(1, 'ProductSprint Backlog'!$J179-'ProductSprint Backlog'!$I179), AND('ProductSprint Backlog'!$J179=H$2,'ProductSprint Backlog'!$I179=H$2), 'ProductSprint Backlog'!$F179, TRUE, 0)</f>
        <v>0</v>
      </c>
      <c r="I179" s="4" cm="1">
        <f t="array" ref="I179">_xlfn.IFS('ProductSprint Backlog'!$F179="", "", AND('ProductSprint Backlog'!$J179&gt;I$2,'ProductSprint Backlog'!$I179&lt;=I$2), 'ProductSprint Backlog'!$F179 / MAX(1, 'ProductSprint Backlog'!$J179-'ProductSprint Backlog'!$I179), AND('ProductSprint Backlog'!$J179=I$2,'ProductSprint Backlog'!$I179=I$2), 'ProductSprint Backlog'!$F179, TRUE, 0)</f>
        <v>0</v>
      </c>
      <c r="J179" s="4" cm="1">
        <f t="array" ref="J179">_xlfn.IFS('ProductSprint Backlog'!$F179="", "", AND('ProductSprint Backlog'!$J179&gt;J$2,'ProductSprint Backlog'!$I179&lt;=J$2), 'ProductSprint Backlog'!$F179 / MAX(1, 'ProductSprint Backlog'!$J179-'ProductSprint Backlog'!$I179), AND('ProductSprint Backlog'!$J179=J$2,'ProductSprint Backlog'!$I179=J$2), 'ProductSprint Backlog'!$F179, TRUE, 0)</f>
        <v>0</v>
      </c>
      <c r="K179" s="4" cm="1">
        <f t="array" ref="K179">_xlfn.IFS('ProductSprint Backlog'!$F179="", "", AND('ProductSprint Backlog'!$J179&gt;K$2,'ProductSprint Backlog'!$I179&lt;=K$2), 'ProductSprint Backlog'!$F179 / MAX(1, 'ProductSprint Backlog'!$J179-'ProductSprint Backlog'!$I179), AND('ProductSprint Backlog'!$J179=K$2,'ProductSprint Backlog'!$I179=K$2), 'ProductSprint Backlog'!$F179, TRUE, 0)</f>
        <v>0</v>
      </c>
      <c r="L179" s="4" cm="1">
        <f t="array" ref="L179">_xlfn.IFS('ProductSprint Backlog'!$F179="", "", AND('ProductSprint Backlog'!$J179&gt;L$2,'ProductSprint Backlog'!$I179&lt;=L$2), 'ProductSprint Backlog'!$F179 / MAX(1, 'ProductSprint Backlog'!$J179-'ProductSprint Backlog'!$I179), AND('ProductSprint Backlog'!$J179=L$2,'ProductSprint Backlog'!$I179=L$2), 'ProductSprint Backlog'!$F179, TRUE, 0)</f>
        <v>0</v>
      </c>
      <c r="M179" s="4" cm="1">
        <f t="array" ref="M179">_xlfn.IFS('ProductSprint Backlog'!$F179="", "", AND('ProductSprint Backlog'!$J179&gt;M$2,'ProductSprint Backlog'!$I179&lt;=M$2), 'ProductSprint Backlog'!$F179 / MAX(1, 'ProductSprint Backlog'!$J179-'ProductSprint Backlog'!$I179), AND('ProductSprint Backlog'!$J179=M$2,'ProductSprint Backlog'!$I179=M$2), 'ProductSprint Backlog'!$F179, TRUE, 0)</f>
        <v>0</v>
      </c>
      <c r="N179" s="4" cm="1">
        <f t="array" ref="N179">_xlfn.IFS('ProductSprint Backlog'!$F179="", "", AND('ProductSprint Backlog'!$J179&gt;N$2,'ProductSprint Backlog'!$I179&lt;=N$2), 'ProductSprint Backlog'!$F179 / MAX(1, 'ProductSprint Backlog'!$J179-'ProductSprint Backlog'!$I179), AND('ProductSprint Backlog'!$J179=N$2,'ProductSprint Backlog'!$I179=N$2), 'ProductSprint Backlog'!$F179, TRUE, 0)</f>
        <v>0</v>
      </c>
      <c r="O179" s="4" cm="1">
        <f t="array" ref="O179">_xlfn.IFS('ProductSprint Backlog'!$F179="", "", AND('ProductSprint Backlog'!$J179&gt;O$2,'ProductSprint Backlog'!$I179&lt;=O$2), 'ProductSprint Backlog'!$F179 / MAX(1, 'ProductSprint Backlog'!$J179-'ProductSprint Backlog'!$I179), AND('ProductSprint Backlog'!$J179=O$2,'ProductSprint Backlog'!$I179=O$2), 'ProductSprint Backlog'!$F179, TRUE, 0)</f>
        <v>0</v>
      </c>
      <c r="P179" s="4" cm="1">
        <f t="array" ref="P179">_xlfn.IFS('ProductSprint Backlog'!$F179="", "", AND('ProductSprint Backlog'!$J179&gt;P$2,'ProductSprint Backlog'!$I179&lt;=P$2), 'ProductSprint Backlog'!$F179 / MAX(1, 'ProductSprint Backlog'!$J179-'ProductSprint Backlog'!$I179), AND('ProductSprint Backlog'!$J179=P$2,'ProductSprint Backlog'!$I179=P$2), 'ProductSprint Backlog'!$F179, TRUE, 0)</f>
        <v>0</v>
      </c>
      <c r="Q179" s="4" cm="1">
        <f t="array" ref="Q179">_xlfn.IFS('ProductSprint Backlog'!$F179="", "", AND('ProductSprint Backlog'!$J179&gt;Q$2,'ProductSprint Backlog'!$I179&lt;=Q$2), 'ProductSprint Backlog'!$F179 / MAX(1, 'ProductSprint Backlog'!$J179-'ProductSprint Backlog'!$I179), AND('ProductSprint Backlog'!$J179=Q$2,'ProductSprint Backlog'!$I179=Q$2), 'ProductSprint Backlog'!$F179, TRUE, 0)</f>
        <v>0</v>
      </c>
    </row>
    <row r="180" spans="2:17" x14ac:dyDescent="0.2">
      <c r="B180" s="4" cm="1">
        <f t="array" ref="B180">_xlfn.IFS('ProductSprint Backlog'!$F180="", "", AND('ProductSprint Backlog'!$J180&gt;B$2,'ProductSprint Backlog'!$I180&lt;=B$2), 'ProductSprint Backlog'!$F180 / MAX(1, 'ProductSprint Backlog'!$J180-'ProductSprint Backlog'!$I180), AND('ProductSprint Backlog'!$J180=B$2,'ProductSprint Backlog'!$I180=B$2), 'ProductSprint Backlog'!$F180, TRUE, 0)</f>
        <v>0</v>
      </c>
      <c r="C180" s="4" cm="1">
        <f t="array" ref="C180">_xlfn.IFS('ProductSprint Backlog'!$F180="", "", AND('ProductSprint Backlog'!$J180&gt;C$2,'ProductSprint Backlog'!$I180&lt;=C$2), 'ProductSprint Backlog'!$F180 / MAX(1, 'ProductSprint Backlog'!$J180-'ProductSprint Backlog'!$I180), AND('ProductSprint Backlog'!$J180=C$2,'ProductSprint Backlog'!$I180=C$2), 'ProductSprint Backlog'!$F180, TRUE, 0)</f>
        <v>0</v>
      </c>
      <c r="D180" s="4" cm="1">
        <f t="array" ref="D180">_xlfn.IFS('ProductSprint Backlog'!$F180="", "", AND('ProductSprint Backlog'!$J180&gt;D$2,'ProductSprint Backlog'!$I180&lt;=D$2), 'ProductSprint Backlog'!$F180 / MAX(1, 'ProductSprint Backlog'!$J180-'ProductSprint Backlog'!$I180), AND('ProductSprint Backlog'!$J180=D$2,'ProductSprint Backlog'!$I180=D$2), 'ProductSprint Backlog'!$F180, TRUE, 0)</f>
        <v>0</v>
      </c>
      <c r="E180" s="4" cm="1">
        <f t="array" ref="E180">_xlfn.IFS('ProductSprint Backlog'!$F180="", "", AND('ProductSprint Backlog'!$J180&gt;E$2,'ProductSprint Backlog'!$I180&lt;=E$2), 'ProductSprint Backlog'!$F180 / MAX(1, 'ProductSprint Backlog'!$J180-'ProductSprint Backlog'!$I180), AND('ProductSprint Backlog'!$J180=E$2,'ProductSprint Backlog'!$I180=E$2), 'ProductSprint Backlog'!$F180, TRUE, 0)</f>
        <v>0</v>
      </c>
      <c r="F180" s="4" cm="1">
        <f t="array" ref="F180">_xlfn.IFS('ProductSprint Backlog'!$F180="", "", AND('ProductSprint Backlog'!$J180&gt;F$2,'ProductSprint Backlog'!$I180&lt;=F$2), 'ProductSprint Backlog'!$F180 / MAX(1, 'ProductSprint Backlog'!$J180-'ProductSprint Backlog'!$I180), AND('ProductSprint Backlog'!$J180=F$2,'ProductSprint Backlog'!$I180=F$2), 'ProductSprint Backlog'!$F180, TRUE, 0)</f>
        <v>0</v>
      </c>
      <c r="G180" s="4" cm="1">
        <f t="array" ref="G180">_xlfn.IFS('ProductSprint Backlog'!$F180="", "", AND('ProductSprint Backlog'!$J180&gt;G$2,'ProductSprint Backlog'!$I180&lt;=G$2), 'ProductSprint Backlog'!$F180 / MAX(1, 'ProductSprint Backlog'!$J180-'ProductSprint Backlog'!$I180), AND('ProductSprint Backlog'!$J180=G$2,'ProductSprint Backlog'!$I180=G$2), 'ProductSprint Backlog'!$F180, TRUE, 0)</f>
        <v>0</v>
      </c>
      <c r="H180" s="4" cm="1">
        <f t="array" ref="H180">_xlfn.IFS('ProductSprint Backlog'!$F180="", "", AND('ProductSprint Backlog'!$J180&gt;H$2,'ProductSprint Backlog'!$I180&lt;=H$2), 'ProductSprint Backlog'!$F180 / MAX(1, 'ProductSprint Backlog'!$J180-'ProductSprint Backlog'!$I180), AND('ProductSprint Backlog'!$J180=H$2,'ProductSprint Backlog'!$I180=H$2), 'ProductSprint Backlog'!$F180, TRUE, 0)</f>
        <v>0</v>
      </c>
      <c r="I180" s="4" cm="1">
        <f t="array" ref="I180">_xlfn.IFS('ProductSprint Backlog'!$F180="", "", AND('ProductSprint Backlog'!$J180&gt;I$2,'ProductSprint Backlog'!$I180&lt;=I$2), 'ProductSprint Backlog'!$F180 / MAX(1, 'ProductSprint Backlog'!$J180-'ProductSprint Backlog'!$I180), AND('ProductSprint Backlog'!$J180=I$2,'ProductSprint Backlog'!$I180=I$2), 'ProductSprint Backlog'!$F180, TRUE, 0)</f>
        <v>0</v>
      </c>
      <c r="J180" s="4" cm="1">
        <f t="array" ref="J180">_xlfn.IFS('ProductSprint Backlog'!$F180="", "", AND('ProductSprint Backlog'!$J180&gt;J$2,'ProductSprint Backlog'!$I180&lt;=J$2), 'ProductSprint Backlog'!$F180 / MAX(1, 'ProductSprint Backlog'!$J180-'ProductSprint Backlog'!$I180), AND('ProductSprint Backlog'!$J180=J$2,'ProductSprint Backlog'!$I180=J$2), 'ProductSprint Backlog'!$F180, TRUE, 0)</f>
        <v>0</v>
      </c>
      <c r="K180" s="4" cm="1">
        <f t="array" ref="K180">_xlfn.IFS('ProductSprint Backlog'!$F180="", "", AND('ProductSprint Backlog'!$J180&gt;K$2,'ProductSprint Backlog'!$I180&lt;=K$2), 'ProductSprint Backlog'!$F180 / MAX(1, 'ProductSprint Backlog'!$J180-'ProductSprint Backlog'!$I180), AND('ProductSprint Backlog'!$J180=K$2,'ProductSprint Backlog'!$I180=K$2), 'ProductSprint Backlog'!$F180, TRUE, 0)</f>
        <v>0</v>
      </c>
      <c r="L180" s="4" cm="1">
        <f t="array" ref="L180">_xlfn.IFS('ProductSprint Backlog'!$F180="", "", AND('ProductSprint Backlog'!$J180&gt;L$2,'ProductSprint Backlog'!$I180&lt;=L$2), 'ProductSprint Backlog'!$F180 / MAX(1, 'ProductSprint Backlog'!$J180-'ProductSprint Backlog'!$I180), AND('ProductSprint Backlog'!$J180=L$2,'ProductSprint Backlog'!$I180=L$2), 'ProductSprint Backlog'!$F180, TRUE, 0)</f>
        <v>0</v>
      </c>
      <c r="M180" s="4" cm="1">
        <f t="array" ref="M180">_xlfn.IFS('ProductSprint Backlog'!$F180="", "", AND('ProductSprint Backlog'!$J180&gt;M$2,'ProductSprint Backlog'!$I180&lt;=M$2), 'ProductSprint Backlog'!$F180 / MAX(1, 'ProductSprint Backlog'!$J180-'ProductSprint Backlog'!$I180), AND('ProductSprint Backlog'!$J180=M$2,'ProductSprint Backlog'!$I180=M$2), 'ProductSprint Backlog'!$F180, TRUE, 0)</f>
        <v>0</v>
      </c>
      <c r="N180" s="4" cm="1">
        <f t="array" ref="N180">_xlfn.IFS('ProductSprint Backlog'!$F180="", "", AND('ProductSprint Backlog'!$J180&gt;N$2,'ProductSprint Backlog'!$I180&lt;=N$2), 'ProductSprint Backlog'!$F180 / MAX(1, 'ProductSprint Backlog'!$J180-'ProductSprint Backlog'!$I180), AND('ProductSprint Backlog'!$J180=N$2,'ProductSprint Backlog'!$I180=N$2), 'ProductSprint Backlog'!$F180, TRUE, 0)</f>
        <v>0</v>
      </c>
      <c r="O180" s="4" cm="1">
        <f t="array" ref="O180">_xlfn.IFS('ProductSprint Backlog'!$F180="", "", AND('ProductSprint Backlog'!$J180&gt;O$2,'ProductSprint Backlog'!$I180&lt;=O$2), 'ProductSprint Backlog'!$F180 / MAX(1, 'ProductSprint Backlog'!$J180-'ProductSprint Backlog'!$I180), AND('ProductSprint Backlog'!$J180=O$2,'ProductSprint Backlog'!$I180=O$2), 'ProductSprint Backlog'!$F180, TRUE, 0)</f>
        <v>0</v>
      </c>
      <c r="P180" s="4" cm="1">
        <f t="array" ref="P180">_xlfn.IFS('ProductSprint Backlog'!$F180="", "", AND('ProductSprint Backlog'!$J180&gt;P$2,'ProductSprint Backlog'!$I180&lt;=P$2), 'ProductSprint Backlog'!$F180 / MAX(1, 'ProductSprint Backlog'!$J180-'ProductSprint Backlog'!$I180), AND('ProductSprint Backlog'!$J180=P$2,'ProductSprint Backlog'!$I180=P$2), 'ProductSprint Backlog'!$F180, TRUE, 0)</f>
        <v>0</v>
      </c>
      <c r="Q180" s="4" cm="1">
        <f t="array" ref="Q180">_xlfn.IFS('ProductSprint Backlog'!$F180="", "", AND('ProductSprint Backlog'!$J180&gt;Q$2,'ProductSprint Backlog'!$I180&lt;=Q$2), 'ProductSprint Backlog'!$F180 / MAX(1, 'ProductSprint Backlog'!$J180-'ProductSprint Backlog'!$I180), AND('ProductSprint Backlog'!$J180=Q$2,'ProductSprint Backlog'!$I180=Q$2), 'ProductSprint Backlog'!$F180, TRUE, 0)</f>
        <v>0</v>
      </c>
    </row>
    <row r="181" spans="2:17" x14ac:dyDescent="0.2">
      <c r="B181" s="4" cm="1">
        <f t="array" ref="B181">_xlfn.IFS('ProductSprint Backlog'!$F181="", "", AND('ProductSprint Backlog'!$J181&gt;B$2,'ProductSprint Backlog'!$I181&lt;=B$2), 'ProductSprint Backlog'!$F181 / MAX(1, 'ProductSprint Backlog'!$J181-'ProductSprint Backlog'!$I181), AND('ProductSprint Backlog'!$J181=B$2,'ProductSprint Backlog'!$I181=B$2), 'ProductSprint Backlog'!$F181, TRUE, 0)</f>
        <v>0</v>
      </c>
      <c r="C181" s="4" cm="1">
        <f t="array" ref="C181">_xlfn.IFS('ProductSprint Backlog'!$F181="", "", AND('ProductSprint Backlog'!$J181&gt;C$2,'ProductSprint Backlog'!$I181&lt;=C$2), 'ProductSprint Backlog'!$F181 / MAX(1, 'ProductSprint Backlog'!$J181-'ProductSprint Backlog'!$I181), AND('ProductSprint Backlog'!$J181=C$2,'ProductSprint Backlog'!$I181=C$2), 'ProductSprint Backlog'!$F181, TRUE, 0)</f>
        <v>0</v>
      </c>
      <c r="D181" s="4" cm="1">
        <f t="array" ref="D181">_xlfn.IFS('ProductSprint Backlog'!$F181="", "", AND('ProductSprint Backlog'!$J181&gt;D$2,'ProductSprint Backlog'!$I181&lt;=D$2), 'ProductSprint Backlog'!$F181 / MAX(1, 'ProductSprint Backlog'!$J181-'ProductSprint Backlog'!$I181), AND('ProductSprint Backlog'!$J181=D$2,'ProductSprint Backlog'!$I181=D$2), 'ProductSprint Backlog'!$F181, TRUE, 0)</f>
        <v>0</v>
      </c>
      <c r="E181" s="4" cm="1">
        <f t="array" ref="E181">_xlfn.IFS('ProductSprint Backlog'!$F181="", "", AND('ProductSprint Backlog'!$J181&gt;E$2,'ProductSprint Backlog'!$I181&lt;=E$2), 'ProductSprint Backlog'!$F181 / MAX(1, 'ProductSprint Backlog'!$J181-'ProductSprint Backlog'!$I181), AND('ProductSprint Backlog'!$J181=E$2,'ProductSprint Backlog'!$I181=E$2), 'ProductSprint Backlog'!$F181, TRUE, 0)</f>
        <v>0</v>
      </c>
      <c r="F181" s="4" cm="1">
        <f t="array" ref="F181">_xlfn.IFS('ProductSprint Backlog'!$F181="", "", AND('ProductSprint Backlog'!$J181&gt;F$2,'ProductSprint Backlog'!$I181&lt;=F$2), 'ProductSprint Backlog'!$F181 / MAX(1, 'ProductSprint Backlog'!$J181-'ProductSprint Backlog'!$I181), AND('ProductSprint Backlog'!$J181=F$2,'ProductSprint Backlog'!$I181=F$2), 'ProductSprint Backlog'!$F181, TRUE, 0)</f>
        <v>0</v>
      </c>
      <c r="G181" s="4" cm="1">
        <f t="array" ref="G181">_xlfn.IFS('ProductSprint Backlog'!$F181="", "", AND('ProductSprint Backlog'!$J181&gt;G$2,'ProductSprint Backlog'!$I181&lt;=G$2), 'ProductSprint Backlog'!$F181 / MAX(1, 'ProductSprint Backlog'!$J181-'ProductSprint Backlog'!$I181), AND('ProductSprint Backlog'!$J181=G$2,'ProductSprint Backlog'!$I181=G$2), 'ProductSprint Backlog'!$F181, TRUE, 0)</f>
        <v>0</v>
      </c>
      <c r="H181" s="4" cm="1">
        <f t="array" ref="H181">_xlfn.IFS('ProductSprint Backlog'!$F181="", "", AND('ProductSprint Backlog'!$J181&gt;H$2,'ProductSprint Backlog'!$I181&lt;=H$2), 'ProductSprint Backlog'!$F181 / MAX(1, 'ProductSprint Backlog'!$J181-'ProductSprint Backlog'!$I181), AND('ProductSprint Backlog'!$J181=H$2,'ProductSprint Backlog'!$I181=H$2), 'ProductSprint Backlog'!$F181, TRUE, 0)</f>
        <v>0</v>
      </c>
      <c r="I181" s="4" cm="1">
        <f t="array" ref="I181">_xlfn.IFS('ProductSprint Backlog'!$F181="", "", AND('ProductSprint Backlog'!$J181&gt;I$2,'ProductSprint Backlog'!$I181&lt;=I$2), 'ProductSprint Backlog'!$F181 / MAX(1, 'ProductSprint Backlog'!$J181-'ProductSprint Backlog'!$I181), AND('ProductSprint Backlog'!$J181=I$2,'ProductSprint Backlog'!$I181=I$2), 'ProductSprint Backlog'!$F181, TRUE, 0)</f>
        <v>0</v>
      </c>
      <c r="J181" s="4" cm="1">
        <f t="array" ref="J181">_xlfn.IFS('ProductSprint Backlog'!$F181="", "", AND('ProductSprint Backlog'!$J181&gt;J$2,'ProductSprint Backlog'!$I181&lt;=J$2), 'ProductSprint Backlog'!$F181 / MAX(1, 'ProductSprint Backlog'!$J181-'ProductSprint Backlog'!$I181), AND('ProductSprint Backlog'!$J181=J$2,'ProductSprint Backlog'!$I181=J$2), 'ProductSprint Backlog'!$F181, TRUE, 0)</f>
        <v>0</v>
      </c>
      <c r="K181" s="4" cm="1">
        <f t="array" ref="K181">_xlfn.IFS('ProductSprint Backlog'!$F181="", "", AND('ProductSprint Backlog'!$J181&gt;K$2,'ProductSprint Backlog'!$I181&lt;=K$2), 'ProductSprint Backlog'!$F181 / MAX(1, 'ProductSprint Backlog'!$J181-'ProductSprint Backlog'!$I181), AND('ProductSprint Backlog'!$J181=K$2,'ProductSprint Backlog'!$I181=K$2), 'ProductSprint Backlog'!$F181, TRUE, 0)</f>
        <v>0</v>
      </c>
      <c r="L181" s="4" cm="1">
        <f t="array" ref="L181">_xlfn.IFS('ProductSprint Backlog'!$F181="", "", AND('ProductSprint Backlog'!$J181&gt;L$2,'ProductSprint Backlog'!$I181&lt;=L$2), 'ProductSprint Backlog'!$F181 / MAX(1, 'ProductSprint Backlog'!$J181-'ProductSprint Backlog'!$I181), AND('ProductSprint Backlog'!$J181=L$2,'ProductSprint Backlog'!$I181=L$2), 'ProductSprint Backlog'!$F181, TRUE, 0)</f>
        <v>0</v>
      </c>
      <c r="M181" s="4" cm="1">
        <f t="array" ref="M181">_xlfn.IFS('ProductSprint Backlog'!$F181="", "", AND('ProductSprint Backlog'!$J181&gt;M$2,'ProductSprint Backlog'!$I181&lt;=M$2), 'ProductSprint Backlog'!$F181 / MAX(1, 'ProductSprint Backlog'!$J181-'ProductSprint Backlog'!$I181), AND('ProductSprint Backlog'!$J181=M$2,'ProductSprint Backlog'!$I181=M$2), 'ProductSprint Backlog'!$F181, TRUE, 0)</f>
        <v>0</v>
      </c>
      <c r="N181" s="4" cm="1">
        <f t="array" ref="N181">_xlfn.IFS('ProductSprint Backlog'!$F181="", "", AND('ProductSprint Backlog'!$J181&gt;N$2,'ProductSprint Backlog'!$I181&lt;=N$2), 'ProductSprint Backlog'!$F181 / MAX(1, 'ProductSprint Backlog'!$J181-'ProductSprint Backlog'!$I181), AND('ProductSprint Backlog'!$J181=N$2,'ProductSprint Backlog'!$I181=N$2), 'ProductSprint Backlog'!$F181, TRUE, 0)</f>
        <v>0</v>
      </c>
      <c r="O181" s="4" cm="1">
        <f t="array" ref="O181">_xlfn.IFS('ProductSprint Backlog'!$F181="", "", AND('ProductSprint Backlog'!$J181&gt;O$2,'ProductSprint Backlog'!$I181&lt;=O$2), 'ProductSprint Backlog'!$F181 / MAX(1, 'ProductSprint Backlog'!$J181-'ProductSprint Backlog'!$I181), AND('ProductSprint Backlog'!$J181=O$2,'ProductSprint Backlog'!$I181=O$2), 'ProductSprint Backlog'!$F181, TRUE, 0)</f>
        <v>0</v>
      </c>
      <c r="P181" s="4" cm="1">
        <f t="array" ref="P181">_xlfn.IFS('ProductSprint Backlog'!$F181="", "", AND('ProductSprint Backlog'!$J181&gt;P$2,'ProductSprint Backlog'!$I181&lt;=P$2), 'ProductSprint Backlog'!$F181 / MAX(1, 'ProductSprint Backlog'!$J181-'ProductSprint Backlog'!$I181), AND('ProductSprint Backlog'!$J181=P$2,'ProductSprint Backlog'!$I181=P$2), 'ProductSprint Backlog'!$F181, TRUE, 0)</f>
        <v>0</v>
      </c>
      <c r="Q181" s="4" cm="1">
        <f t="array" ref="Q181">_xlfn.IFS('ProductSprint Backlog'!$F181="", "", AND('ProductSprint Backlog'!$J181&gt;Q$2,'ProductSprint Backlog'!$I181&lt;=Q$2), 'ProductSprint Backlog'!$F181 / MAX(1, 'ProductSprint Backlog'!$J181-'ProductSprint Backlog'!$I181), AND('ProductSprint Backlog'!$J181=Q$2,'ProductSprint Backlog'!$I181=Q$2), 'ProductSprint Backlog'!$F181, TRUE, 0)</f>
        <v>0</v>
      </c>
    </row>
    <row r="182" spans="2:17" x14ac:dyDescent="0.2">
      <c r="B182" s="4" cm="1">
        <f t="array" ref="B182">_xlfn.IFS('ProductSprint Backlog'!$F182="", "", AND('ProductSprint Backlog'!$J182&gt;B$2,'ProductSprint Backlog'!$I182&lt;=B$2), 'ProductSprint Backlog'!$F182 / MAX(1, 'ProductSprint Backlog'!$J182-'ProductSprint Backlog'!$I182), AND('ProductSprint Backlog'!$J182=B$2,'ProductSprint Backlog'!$I182=B$2), 'ProductSprint Backlog'!$F182, TRUE, 0)</f>
        <v>0</v>
      </c>
      <c r="C182" s="4" cm="1">
        <f t="array" ref="C182">_xlfn.IFS('ProductSprint Backlog'!$F182="", "", AND('ProductSprint Backlog'!$J182&gt;C$2,'ProductSprint Backlog'!$I182&lt;=C$2), 'ProductSprint Backlog'!$F182 / MAX(1, 'ProductSprint Backlog'!$J182-'ProductSprint Backlog'!$I182), AND('ProductSprint Backlog'!$J182=C$2,'ProductSprint Backlog'!$I182=C$2), 'ProductSprint Backlog'!$F182, TRUE, 0)</f>
        <v>0</v>
      </c>
      <c r="D182" s="4" cm="1">
        <f t="array" ref="D182">_xlfn.IFS('ProductSprint Backlog'!$F182="", "", AND('ProductSprint Backlog'!$J182&gt;D$2,'ProductSprint Backlog'!$I182&lt;=D$2), 'ProductSprint Backlog'!$F182 / MAX(1, 'ProductSprint Backlog'!$J182-'ProductSprint Backlog'!$I182), AND('ProductSprint Backlog'!$J182=D$2,'ProductSprint Backlog'!$I182=D$2), 'ProductSprint Backlog'!$F182, TRUE, 0)</f>
        <v>0</v>
      </c>
      <c r="E182" s="4" cm="1">
        <f t="array" ref="E182">_xlfn.IFS('ProductSprint Backlog'!$F182="", "", AND('ProductSprint Backlog'!$J182&gt;E$2,'ProductSprint Backlog'!$I182&lt;=E$2), 'ProductSprint Backlog'!$F182 / MAX(1, 'ProductSprint Backlog'!$J182-'ProductSprint Backlog'!$I182), AND('ProductSprint Backlog'!$J182=E$2,'ProductSprint Backlog'!$I182=E$2), 'ProductSprint Backlog'!$F182, TRUE, 0)</f>
        <v>0</v>
      </c>
      <c r="F182" s="4" cm="1">
        <f t="array" ref="F182">_xlfn.IFS('ProductSprint Backlog'!$F182="", "", AND('ProductSprint Backlog'!$J182&gt;F$2,'ProductSprint Backlog'!$I182&lt;=F$2), 'ProductSprint Backlog'!$F182 / MAX(1, 'ProductSprint Backlog'!$J182-'ProductSprint Backlog'!$I182), AND('ProductSprint Backlog'!$J182=F$2,'ProductSprint Backlog'!$I182=F$2), 'ProductSprint Backlog'!$F182, TRUE, 0)</f>
        <v>0</v>
      </c>
      <c r="G182" s="4" cm="1">
        <f t="array" ref="G182">_xlfn.IFS('ProductSprint Backlog'!$F182="", "", AND('ProductSprint Backlog'!$J182&gt;G$2,'ProductSprint Backlog'!$I182&lt;=G$2), 'ProductSprint Backlog'!$F182 / MAX(1, 'ProductSprint Backlog'!$J182-'ProductSprint Backlog'!$I182), AND('ProductSprint Backlog'!$J182=G$2,'ProductSprint Backlog'!$I182=G$2), 'ProductSprint Backlog'!$F182, TRUE, 0)</f>
        <v>0</v>
      </c>
      <c r="H182" s="4" cm="1">
        <f t="array" ref="H182">_xlfn.IFS('ProductSprint Backlog'!$F182="", "", AND('ProductSprint Backlog'!$J182&gt;H$2,'ProductSprint Backlog'!$I182&lt;=H$2), 'ProductSprint Backlog'!$F182 / MAX(1, 'ProductSprint Backlog'!$J182-'ProductSprint Backlog'!$I182), AND('ProductSprint Backlog'!$J182=H$2,'ProductSprint Backlog'!$I182=H$2), 'ProductSprint Backlog'!$F182, TRUE, 0)</f>
        <v>0</v>
      </c>
      <c r="I182" s="4" cm="1">
        <f t="array" ref="I182">_xlfn.IFS('ProductSprint Backlog'!$F182="", "", AND('ProductSprint Backlog'!$J182&gt;I$2,'ProductSprint Backlog'!$I182&lt;=I$2), 'ProductSprint Backlog'!$F182 / MAX(1, 'ProductSprint Backlog'!$J182-'ProductSprint Backlog'!$I182), AND('ProductSprint Backlog'!$J182=I$2,'ProductSprint Backlog'!$I182=I$2), 'ProductSprint Backlog'!$F182, TRUE, 0)</f>
        <v>0</v>
      </c>
      <c r="J182" s="4" cm="1">
        <f t="array" ref="J182">_xlfn.IFS('ProductSprint Backlog'!$F182="", "", AND('ProductSprint Backlog'!$J182&gt;J$2,'ProductSprint Backlog'!$I182&lt;=J$2), 'ProductSprint Backlog'!$F182 / MAX(1, 'ProductSprint Backlog'!$J182-'ProductSprint Backlog'!$I182), AND('ProductSprint Backlog'!$J182=J$2,'ProductSprint Backlog'!$I182=J$2), 'ProductSprint Backlog'!$F182, TRUE, 0)</f>
        <v>0</v>
      </c>
      <c r="K182" s="4" cm="1">
        <f t="array" ref="K182">_xlfn.IFS('ProductSprint Backlog'!$F182="", "", AND('ProductSprint Backlog'!$J182&gt;K$2,'ProductSprint Backlog'!$I182&lt;=K$2), 'ProductSprint Backlog'!$F182 / MAX(1, 'ProductSprint Backlog'!$J182-'ProductSprint Backlog'!$I182), AND('ProductSprint Backlog'!$J182=K$2,'ProductSprint Backlog'!$I182=K$2), 'ProductSprint Backlog'!$F182, TRUE, 0)</f>
        <v>0</v>
      </c>
      <c r="L182" s="4" cm="1">
        <f t="array" ref="L182">_xlfn.IFS('ProductSprint Backlog'!$F182="", "", AND('ProductSprint Backlog'!$J182&gt;L$2,'ProductSprint Backlog'!$I182&lt;=L$2), 'ProductSprint Backlog'!$F182 / MAX(1, 'ProductSprint Backlog'!$J182-'ProductSprint Backlog'!$I182), AND('ProductSprint Backlog'!$J182=L$2,'ProductSprint Backlog'!$I182=L$2), 'ProductSprint Backlog'!$F182, TRUE, 0)</f>
        <v>0</v>
      </c>
      <c r="M182" s="4" cm="1">
        <f t="array" ref="M182">_xlfn.IFS('ProductSprint Backlog'!$F182="", "", AND('ProductSprint Backlog'!$J182&gt;M$2,'ProductSprint Backlog'!$I182&lt;=M$2), 'ProductSprint Backlog'!$F182 / MAX(1, 'ProductSprint Backlog'!$J182-'ProductSprint Backlog'!$I182), AND('ProductSprint Backlog'!$J182=M$2,'ProductSprint Backlog'!$I182=M$2), 'ProductSprint Backlog'!$F182, TRUE, 0)</f>
        <v>0</v>
      </c>
      <c r="N182" s="4" cm="1">
        <f t="array" ref="N182">_xlfn.IFS('ProductSprint Backlog'!$F182="", "", AND('ProductSprint Backlog'!$J182&gt;N$2,'ProductSprint Backlog'!$I182&lt;=N$2), 'ProductSprint Backlog'!$F182 / MAX(1, 'ProductSprint Backlog'!$J182-'ProductSprint Backlog'!$I182), AND('ProductSprint Backlog'!$J182=N$2,'ProductSprint Backlog'!$I182=N$2), 'ProductSprint Backlog'!$F182, TRUE, 0)</f>
        <v>0</v>
      </c>
      <c r="O182" s="4" cm="1">
        <f t="array" ref="O182">_xlfn.IFS('ProductSprint Backlog'!$F182="", "", AND('ProductSprint Backlog'!$J182&gt;O$2,'ProductSprint Backlog'!$I182&lt;=O$2), 'ProductSprint Backlog'!$F182 / MAX(1, 'ProductSprint Backlog'!$J182-'ProductSprint Backlog'!$I182), AND('ProductSprint Backlog'!$J182=O$2,'ProductSprint Backlog'!$I182=O$2), 'ProductSprint Backlog'!$F182, TRUE, 0)</f>
        <v>0</v>
      </c>
      <c r="P182" s="4" cm="1">
        <f t="array" ref="P182">_xlfn.IFS('ProductSprint Backlog'!$F182="", "", AND('ProductSprint Backlog'!$J182&gt;P$2,'ProductSprint Backlog'!$I182&lt;=P$2), 'ProductSprint Backlog'!$F182 / MAX(1, 'ProductSprint Backlog'!$J182-'ProductSprint Backlog'!$I182), AND('ProductSprint Backlog'!$J182=P$2,'ProductSprint Backlog'!$I182=P$2), 'ProductSprint Backlog'!$F182, TRUE, 0)</f>
        <v>0</v>
      </c>
      <c r="Q182" s="4" cm="1">
        <f t="array" ref="Q182">_xlfn.IFS('ProductSprint Backlog'!$F182="", "", AND('ProductSprint Backlog'!$J182&gt;Q$2,'ProductSprint Backlog'!$I182&lt;=Q$2), 'ProductSprint Backlog'!$F182 / MAX(1, 'ProductSprint Backlog'!$J182-'ProductSprint Backlog'!$I182), AND('ProductSprint Backlog'!$J182=Q$2,'ProductSprint Backlog'!$I182=Q$2), 'ProductSprint Backlog'!$F182, TRUE, 0)</f>
        <v>0</v>
      </c>
    </row>
    <row r="183" spans="2:17" x14ac:dyDescent="0.2">
      <c r="B183" s="4" cm="1">
        <f t="array" ref="B183">_xlfn.IFS('ProductSprint Backlog'!$F183="", "", AND('ProductSprint Backlog'!$J183&gt;B$2,'ProductSprint Backlog'!$I183&lt;=B$2), 'ProductSprint Backlog'!$F183 / MAX(1, 'ProductSprint Backlog'!$J183-'ProductSprint Backlog'!$I183), AND('ProductSprint Backlog'!$J183=B$2,'ProductSprint Backlog'!$I183=B$2), 'ProductSprint Backlog'!$F183, TRUE, 0)</f>
        <v>0</v>
      </c>
      <c r="C183" s="4" cm="1">
        <f t="array" ref="C183">_xlfn.IFS('ProductSprint Backlog'!$F183="", "", AND('ProductSprint Backlog'!$J183&gt;C$2,'ProductSprint Backlog'!$I183&lt;=C$2), 'ProductSprint Backlog'!$F183 / MAX(1, 'ProductSprint Backlog'!$J183-'ProductSprint Backlog'!$I183), AND('ProductSprint Backlog'!$J183=C$2,'ProductSprint Backlog'!$I183=C$2), 'ProductSprint Backlog'!$F183, TRUE, 0)</f>
        <v>0</v>
      </c>
      <c r="D183" s="4" cm="1">
        <f t="array" ref="D183">_xlfn.IFS('ProductSprint Backlog'!$F183="", "", AND('ProductSprint Backlog'!$J183&gt;D$2,'ProductSprint Backlog'!$I183&lt;=D$2), 'ProductSprint Backlog'!$F183 / MAX(1, 'ProductSprint Backlog'!$J183-'ProductSprint Backlog'!$I183), AND('ProductSprint Backlog'!$J183=D$2,'ProductSprint Backlog'!$I183=D$2), 'ProductSprint Backlog'!$F183, TRUE, 0)</f>
        <v>0</v>
      </c>
      <c r="E183" s="4" cm="1">
        <f t="array" ref="E183">_xlfn.IFS('ProductSprint Backlog'!$F183="", "", AND('ProductSprint Backlog'!$J183&gt;E$2,'ProductSprint Backlog'!$I183&lt;=E$2), 'ProductSprint Backlog'!$F183 / MAX(1, 'ProductSprint Backlog'!$J183-'ProductSprint Backlog'!$I183), AND('ProductSprint Backlog'!$J183=E$2,'ProductSprint Backlog'!$I183=E$2), 'ProductSprint Backlog'!$F183, TRUE, 0)</f>
        <v>0</v>
      </c>
      <c r="F183" s="4" cm="1">
        <f t="array" ref="F183">_xlfn.IFS('ProductSprint Backlog'!$F183="", "", AND('ProductSprint Backlog'!$J183&gt;F$2,'ProductSprint Backlog'!$I183&lt;=F$2), 'ProductSprint Backlog'!$F183 / MAX(1, 'ProductSprint Backlog'!$J183-'ProductSprint Backlog'!$I183), AND('ProductSprint Backlog'!$J183=F$2,'ProductSprint Backlog'!$I183=F$2), 'ProductSprint Backlog'!$F183, TRUE, 0)</f>
        <v>0</v>
      </c>
      <c r="G183" s="4" cm="1">
        <f t="array" ref="G183">_xlfn.IFS('ProductSprint Backlog'!$F183="", "", AND('ProductSprint Backlog'!$J183&gt;G$2,'ProductSprint Backlog'!$I183&lt;=G$2), 'ProductSprint Backlog'!$F183 / MAX(1, 'ProductSprint Backlog'!$J183-'ProductSprint Backlog'!$I183), AND('ProductSprint Backlog'!$J183=G$2,'ProductSprint Backlog'!$I183=G$2), 'ProductSprint Backlog'!$F183, TRUE, 0)</f>
        <v>0</v>
      </c>
      <c r="H183" s="4" cm="1">
        <f t="array" ref="H183">_xlfn.IFS('ProductSprint Backlog'!$F183="", "", AND('ProductSprint Backlog'!$J183&gt;H$2,'ProductSprint Backlog'!$I183&lt;=H$2), 'ProductSprint Backlog'!$F183 / MAX(1, 'ProductSprint Backlog'!$J183-'ProductSprint Backlog'!$I183), AND('ProductSprint Backlog'!$J183=H$2,'ProductSprint Backlog'!$I183=H$2), 'ProductSprint Backlog'!$F183, TRUE, 0)</f>
        <v>0</v>
      </c>
      <c r="I183" s="4" cm="1">
        <f t="array" ref="I183">_xlfn.IFS('ProductSprint Backlog'!$F183="", "", AND('ProductSprint Backlog'!$J183&gt;I$2,'ProductSprint Backlog'!$I183&lt;=I$2), 'ProductSprint Backlog'!$F183 / MAX(1, 'ProductSprint Backlog'!$J183-'ProductSprint Backlog'!$I183), AND('ProductSprint Backlog'!$J183=I$2,'ProductSprint Backlog'!$I183=I$2), 'ProductSprint Backlog'!$F183, TRUE, 0)</f>
        <v>0</v>
      </c>
      <c r="J183" s="4" cm="1">
        <f t="array" ref="J183">_xlfn.IFS('ProductSprint Backlog'!$F183="", "", AND('ProductSprint Backlog'!$J183&gt;J$2,'ProductSprint Backlog'!$I183&lt;=J$2), 'ProductSprint Backlog'!$F183 / MAX(1, 'ProductSprint Backlog'!$J183-'ProductSprint Backlog'!$I183), AND('ProductSprint Backlog'!$J183=J$2,'ProductSprint Backlog'!$I183=J$2), 'ProductSprint Backlog'!$F183, TRUE, 0)</f>
        <v>0</v>
      </c>
      <c r="K183" s="4" cm="1">
        <f t="array" ref="K183">_xlfn.IFS('ProductSprint Backlog'!$F183="", "", AND('ProductSprint Backlog'!$J183&gt;K$2,'ProductSprint Backlog'!$I183&lt;=K$2), 'ProductSprint Backlog'!$F183 / MAX(1, 'ProductSprint Backlog'!$J183-'ProductSprint Backlog'!$I183), AND('ProductSprint Backlog'!$J183=K$2,'ProductSprint Backlog'!$I183=K$2), 'ProductSprint Backlog'!$F183, TRUE, 0)</f>
        <v>0</v>
      </c>
      <c r="L183" s="4" cm="1">
        <f t="array" ref="L183">_xlfn.IFS('ProductSprint Backlog'!$F183="", "", AND('ProductSprint Backlog'!$J183&gt;L$2,'ProductSprint Backlog'!$I183&lt;=L$2), 'ProductSprint Backlog'!$F183 / MAX(1, 'ProductSprint Backlog'!$J183-'ProductSprint Backlog'!$I183), AND('ProductSprint Backlog'!$J183=L$2,'ProductSprint Backlog'!$I183=L$2), 'ProductSprint Backlog'!$F183, TRUE, 0)</f>
        <v>0</v>
      </c>
      <c r="M183" s="4" cm="1">
        <f t="array" ref="M183">_xlfn.IFS('ProductSprint Backlog'!$F183="", "", AND('ProductSprint Backlog'!$J183&gt;M$2,'ProductSprint Backlog'!$I183&lt;=M$2), 'ProductSprint Backlog'!$F183 / MAX(1, 'ProductSprint Backlog'!$J183-'ProductSprint Backlog'!$I183), AND('ProductSprint Backlog'!$J183=M$2,'ProductSprint Backlog'!$I183=M$2), 'ProductSprint Backlog'!$F183, TRUE, 0)</f>
        <v>0</v>
      </c>
      <c r="N183" s="4" cm="1">
        <f t="array" ref="N183">_xlfn.IFS('ProductSprint Backlog'!$F183="", "", AND('ProductSprint Backlog'!$J183&gt;N$2,'ProductSprint Backlog'!$I183&lt;=N$2), 'ProductSprint Backlog'!$F183 / MAX(1, 'ProductSprint Backlog'!$J183-'ProductSprint Backlog'!$I183), AND('ProductSprint Backlog'!$J183=N$2,'ProductSprint Backlog'!$I183=N$2), 'ProductSprint Backlog'!$F183, TRUE, 0)</f>
        <v>0</v>
      </c>
      <c r="O183" s="4" cm="1">
        <f t="array" ref="O183">_xlfn.IFS('ProductSprint Backlog'!$F183="", "", AND('ProductSprint Backlog'!$J183&gt;O$2,'ProductSprint Backlog'!$I183&lt;=O$2), 'ProductSprint Backlog'!$F183 / MAX(1, 'ProductSprint Backlog'!$J183-'ProductSprint Backlog'!$I183), AND('ProductSprint Backlog'!$J183=O$2,'ProductSprint Backlog'!$I183=O$2), 'ProductSprint Backlog'!$F183, TRUE, 0)</f>
        <v>0</v>
      </c>
      <c r="P183" s="4" cm="1">
        <f t="array" ref="P183">_xlfn.IFS('ProductSprint Backlog'!$F183="", "", AND('ProductSprint Backlog'!$J183&gt;P$2,'ProductSprint Backlog'!$I183&lt;=P$2), 'ProductSprint Backlog'!$F183 / MAX(1, 'ProductSprint Backlog'!$J183-'ProductSprint Backlog'!$I183), AND('ProductSprint Backlog'!$J183=P$2,'ProductSprint Backlog'!$I183=P$2), 'ProductSprint Backlog'!$F183, TRUE, 0)</f>
        <v>0</v>
      </c>
      <c r="Q183" s="4" cm="1">
        <f t="array" ref="Q183">_xlfn.IFS('ProductSprint Backlog'!$F183="", "", AND('ProductSprint Backlog'!$J183&gt;Q$2,'ProductSprint Backlog'!$I183&lt;=Q$2), 'ProductSprint Backlog'!$F183 / MAX(1, 'ProductSprint Backlog'!$J183-'ProductSprint Backlog'!$I183), AND('ProductSprint Backlog'!$J183=Q$2,'ProductSprint Backlog'!$I183=Q$2), 'ProductSprint Backlog'!$F183, TRUE, 0)</f>
        <v>0</v>
      </c>
    </row>
    <row r="184" spans="2:17" x14ac:dyDescent="0.2">
      <c r="B184" s="4" cm="1">
        <f t="array" ref="B184">_xlfn.IFS('ProductSprint Backlog'!$F184="", "", AND('ProductSprint Backlog'!$J184&gt;B$2,'ProductSprint Backlog'!$I184&lt;=B$2), 'ProductSprint Backlog'!$F184 / MAX(1, 'ProductSprint Backlog'!$J184-'ProductSprint Backlog'!$I184), AND('ProductSprint Backlog'!$J184=B$2,'ProductSprint Backlog'!$I184=B$2), 'ProductSprint Backlog'!$F184, TRUE, 0)</f>
        <v>0</v>
      </c>
      <c r="C184" s="4" cm="1">
        <f t="array" ref="C184">_xlfn.IFS('ProductSprint Backlog'!$F184="", "", AND('ProductSprint Backlog'!$J184&gt;C$2,'ProductSprint Backlog'!$I184&lt;=C$2), 'ProductSprint Backlog'!$F184 / MAX(1, 'ProductSprint Backlog'!$J184-'ProductSprint Backlog'!$I184), AND('ProductSprint Backlog'!$J184=C$2,'ProductSprint Backlog'!$I184=C$2), 'ProductSprint Backlog'!$F184, TRUE, 0)</f>
        <v>0</v>
      </c>
      <c r="D184" s="4" cm="1">
        <f t="array" ref="D184">_xlfn.IFS('ProductSprint Backlog'!$F184="", "", AND('ProductSprint Backlog'!$J184&gt;D$2,'ProductSprint Backlog'!$I184&lt;=D$2), 'ProductSprint Backlog'!$F184 / MAX(1, 'ProductSprint Backlog'!$J184-'ProductSprint Backlog'!$I184), AND('ProductSprint Backlog'!$J184=D$2,'ProductSprint Backlog'!$I184=D$2), 'ProductSprint Backlog'!$F184, TRUE, 0)</f>
        <v>0</v>
      </c>
      <c r="E184" s="4" cm="1">
        <f t="array" ref="E184">_xlfn.IFS('ProductSprint Backlog'!$F184="", "", AND('ProductSprint Backlog'!$J184&gt;E$2,'ProductSprint Backlog'!$I184&lt;=E$2), 'ProductSprint Backlog'!$F184 / MAX(1, 'ProductSprint Backlog'!$J184-'ProductSprint Backlog'!$I184), AND('ProductSprint Backlog'!$J184=E$2,'ProductSprint Backlog'!$I184=E$2), 'ProductSprint Backlog'!$F184, TRUE, 0)</f>
        <v>0</v>
      </c>
      <c r="F184" s="4" cm="1">
        <f t="array" ref="F184">_xlfn.IFS('ProductSprint Backlog'!$F184="", "", AND('ProductSprint Backlog'!$J184&gt;F$2,'ProductSprint Backlog'!$I184&lt;=F$2), 'ProductSprint Backlog'!$F184 / MAX(1, 'ProductSprint Backlog'!$J184-'ProductSprint Backlog'!$I184), AND('ProductSprint Backlog'!$J184=F$2,'ProductSprint Backlog'!$I184=F$2), 'ProductSprint Backlog'!$F184, TRUE, 0)</f>
        <v>0</v>
      </c>
      <c r="G184" s="4" cm="1">
        <f t="array" ref="G184">_xlfn.IFS('ProductSprint Backlog'!$F184="", "", AND('ProductSprint Backlog'!$J184&gt;G$2,'ProductSprint Backlog'!$I184&lt;=G$2), 'ProductSprint Backlog'!$F184 / MAX(1, 'ProductSprint Backlog'!$J184-'ProductSprint Backlog'!$I184), AND('ProductSprint Backlog'!$J184=G$2,'ProductSprint Backlog'!$I184=G$2), 'ProductSprint Backlog'!$F184, TRUE, 0)</f>
        <v>0</v>
      </c>
      <c r="H184" s="4" cm="1">
        <f t="array" ref="H184">_xlfn.IFS('ProductSprint Backlog'!$F184="", "", AND('ProductSprint Backlog'!$J184&gt;H$2,'ProductSprint Backlog'!$I184&lt;=H$2), 'ProductSprint Backlog'!$F184 / MAX(1, 'ProductSprint Backlog'!$J184-'ProductSprint Backlog'!$I184), AND('ProductSprint Backlog'!$J184=H$2,'ProductSprint Backlog'!$I184=H$2), 'ProductSprint Backlog'!$F184, TRUE, 0)</f>
        <v>0</v>
      </c>
      <c r="I184" s="4" cm="1">
        <f t="array" ref="I184">_xlfn.IFS('ProductSprint Backlog'!$F184="", "", AND('ProductSprint Backlog'!$J184&gt;I$2,'ProductSprint Backlog'!$I184&lt;=I$2), 'ProductSprint Backlog'!$F184 / MAX(1, 'ProductSprint Backlog'!$J184-'ProductSprint Backlog'!$I184), AND('ProductSprint Backlog'!$J184=I$2,'ProductSprint Backlog'!$I184=I$2), 'ProductSprint Backlog'!$F184, TRUE, 0)</f>
        <v>0</v>
      </c>
      <c r="J184" s="4" cm="1">
        <f t="array" ref="J184">_xlfn.IFS('ProductSprint Backlog'!$F184="", "", AND('ProductSprint Backlog'!$J184&gt;J$2,'ProductSprint Backlog'!$I184&lt;=J$2), 'ProductSprint Backlog'!$F184 / MAX(1, 'ProductSprint Backlog'!$J184-'ProductSprint Backlog'!$I184), AND('ProductSprint Backlog'!$J184=J$2,'ProductSprint Backlog'!$I184=J$2), 'ProductSprint Backlog'!$F184, TRUE, 0)</f>
        <v>0</v>
      </c>
      <c r="K184" s="4" cm="1">
        <f t="array" ref="K184">_xlfn.IFS('ProductSprint Backlog'!$F184="", "", AND('ProductSprint Backlog'!$J184&gt;K$2,'ProductSprint Backlog'!$I184&lt;=K$2), 'ProductSprint Backlog'!$F184 / MAX(1, 'ProductSprint Backlog'!$J184-'ProductSprint Backlog'!$I184), AND('ProductSprint Backlog'!$J184=K$2,'ProductSprint Backlog'!$I184=K$2), 'ProductSprint Backlog'!$F184, TRUE, 0)</f>
        <v>0</v>
      </c>
      <c r="L184" s="4" cm="1">
        <f t="array" ref="L184">_xlfn.IFS('ProductSprint Backlog'!$F184="", "", AND('ProductSprint Backlog'!$J184&gt;L$2,'ProductSprint Backlog'!$I184&lt;=L$2), 'ProductSprint Backlog'!$F184 / MAX(1, 'ProductSprint Backlog'!$J184-'ProductSprint Backlog'!$I184), AND('ProductSprint Backlog'!$J184=L$2,'ProductSprint Backlog'!$I184=L$2), 'ProductSprint Backlog'!$F184, TRUE, 0)</f>
        <v>0</v>
      </c>
      <c r="M184" s="4" cm="1">
        <f t="array" ref="M184">_xlfn.IFS('ProductSprint Backlog'!$F184="", "", AND('ProductSprint Backlog'!$J184&gt;M$2,'ProductSprint Backlog'!$I184&lt;=M$2), 'ProductSprint Backlog'!$F184 / MAX(1, 'ProductSprint Backlog'!$J184-'ProductSprint Backlog'!$I184), AND('ProductSprint Backlog'!$J184=M$2,'ProductSprint Backlog'!$I184=M$2), 'ProductSprint Backlog'!$F184, TRUE, 0)</f>
        <v>0</v>
      </c>
      <c r="N184" s="4" cm="1">
        <f t="array" ref="N184">_xlfn.IFS('ProductSprint Backlog'!$F184="", "", AND('ProductSprint Backlog'!$J184&gt;N$2,'ProductSprint Backlog'!$I184&lt;=N$2), 'ProductSprint Backlog'!$F184 / MAX(1, 'ProductSprint Backlog'!$J184-'ProductSprint Backlog'!$I184), AND('ProductSprint Backlog'!$J184=N$2,'ProductSprint Backlog'!$I184=N$2), 'ProductSprint Backlog'!$F184, TRUE, 0)</f>
        <v>0</v>
      </c>
      <c r="O184" s="4" cm="1">
        <f t="array" ref="O184">_xlfn.IFS('ProductSprint Backlog'!$F184="", "", AND('ProductSprint Backlog'!$J184&gt;O$2,'ProductSprint Backlog'!$I184&lt;=O$2), 'ProductSprint Backlog'!$F184 / MAX(1, 'ProductSprint Backlog'!$J184-'ProductSprint Backlog'!$I184), AND('ProductSprint Backlog'!$J184=O$2,'ProductSprint Backlog'!$I184=O$2), 'ProductSprint Backlog'!$F184, TRUE, 0)</f>
        <v>0</v>
      </c>
      <c r="P184" s="4" cm="1">
        <f t="array" ref="P184">_xlfn.IFS('ProductSprint Backlog'!$F184="", "", AND('ProductSprint Backlog'!$J184&gt;P$2,'ProductSprint Backlog'!$I184&lt;=P$2), 'ProductSprint Backlog'!$F184 / MAX(1, 'ProductSprint Backlog'!$J184-'ProductSprint Backlog'!$I184), AND('ProductSprint Backlog'!$J184=P$2,'ProductSprint Backlog'!$I184=P$2), 'ProductSprint Backlog'!$F184, TRUE, 0)</f>
        <v>0</v>
      </c>
      <c r="Q184" s="4" cm="1">
        <f t="array" ref="Q184">_xlfn.IFS('ProductSprint Backlog'!$F184="", "", AND('ProductSprint Backlog'!$J184&gt;Q$2,'ProductSprint Backlog'!$I184&lt;=Q$2), 'ProductSprint Backlog'!$F184 / MAX(1, 'ProductSprint Backlog'!$J184-'ProductSprint Backlog'!$I184), AND('ProductSprint Backlog'!$J184=Q$2,'ProductSprint Backlog'!$I184=Q$2), 'ProductSprint Backlog'!$F184, TRUE, 0)</f>
        <v>0</v>
      </c>
    </row>
    <row r="185" spans="2:17" x14ac:dyDescent="0.2">
      <c r="B185" s="4" cm="1">
        <f t="array" ref="B185">_xlfn.IFS('ProductSprint Backlog'!$F185="", "", AND('ProductSprint Backlog'!$J185&gt;B$2,'ProductSprint Backlog'!$I185&lt;=B$2), 'ProductSprint Backlog'!$F185 / MAX(1, 'ProductSprint Backlog'!$J185-'ProductSprint Backlog'!$I185), AND('ProductSprint Backlog'!$J185=B$2,'ProductSprint Backlog'!$I185=B$2), 'ProductSprint Backlog'!$F185, TRUE, 0)</f>
        <v>0</v>
      </c>
      <c r="C185" s="4" cm="1">
        <f t="array" ref="C185">_xlfn.IFS('ProductSprint Backlog'!$F185="", "", AND('ProductSprint Backlog'!$J185&gt;C$2,'ProductSprint Backlog'!$I185&lt;=C$2), 'ProductSprint Backlog'!$F185 / MAX(1, 'ProductSprint Backlog'!$J185-'ProductSprint Backlog'!$I185), AND('ProductSprint Backlog'!$J185=C$2,'ProductSprint Backlog'!$I185=C$2), 'ProductSprint Backlog'!$F185, TRUE, 0)</f>
        <v>0</v>
      </c>
      <c r="D185" s="4" cm="1">
        <f t="array" ref="D185">_xlfn.IFS('ProductSprint Backlog'!$F185="", "", AND('ProductSprint Backlog'!$J185&gt;D$2,'ProductSprint Backlog'!$I185&lt;=D$2), 'ProductSprint Backlog'!$F185 / MAX(1, 'ProductSprint Backlog'!$J185-'ProductSprint Backlog'!$I185), AND('ProductSprint Backlog'!$J185=D$2,'ProductSprint Backlog'!$I185=D$2), 'ProductSprint Backlog'!$F185, TRUE, 0)</f>
        <v>0</v>
      </c>
      <c r="E185" s="4" cm="1">
        <f t="array" ref="E185">_xlfn.IFS('ProductSprint Backlog'!$F185="", "", AND('ProductSprint Backlog'!$J185&gt;E$2,'ProductSprint Backlog'!$I185&lt;=E$2), 'ProductSprint Backlog'!$F185 / MAX(1, 'ProductSprint Backlog'!$J185-'ProductSprint Backlog'!$I185), AND('ProductSprint Backlog'!$J185=E$2,'ProductSprint Backlog'!$I185=E$2), 'ProductSprint Backlog'!$F185, TRUE, 0)</f>
        <v>0</v>
      </c>
      <c r="F185" s="4" cm="1">
        <f t="array" ref="F185">_xlfn.IFS('ProductSprint Backlog'!$F185="", "", AND('ProductSprint Backlog'!$J185&gt;F$2,'ProductSprint Backlog'!$I185&lt;=F$2), 'ProductSprint Backlog'!$F185 / MAX(1, 'ProductSprint Backlog'!$J185-'ProductSprint Backlog'!$I185), AND('ProductSprint Backlog'!$J185=F$2,'ProductSprint Backlog'!$I185=F$2), 'ProductSprint Backlog'!$F185, TRUE, 0)</f>
        <v>0</v>
      </c>
      <c r="G185" s="4" cm="1">
        <f t="array" ref="G185">_xlfn.IFS('ProductSprint Backlog'!$F185="", "", AND('ProductSprint Backlog'!$J185&gt;G$2,'ProductSprint Backlog'!$I185&lt;=G$2), 'ProductSprint Backlog'!$F185 / MAX(1, 'ProductSprint Backlog'!$J185-'ProductSprint Backlog'!$I185), AND('ProductSprint Backlog'!$J185=G$2,'ProductSprint Backlog'!$I185=G$2), 'ProductSprint Backlog'!$F185, TRUE, 0)</f>
        <v>0</v>
      </c>
      <c r="H185" s="4" cm="1">
        <f t="array" ref="H185">_xlfn.IFS('ProductSprint Backlog'!$F185="", "", AND('ProductSprint Backlog'!$J185&gt;H$2,'ProductSprint Backlog'!$I185&lt;=H$2), 'ProductSprint Backlog'!$F185 / MAX(1, 'ProductSprint Backlog'!$J185-'ProductSprint Backlog'!$I185), AND('ProductSprint Backlog'!$J185=H$2,'ProductSprint Backlog'!$I185=H$2), 'ProductSprint Backlog'!$F185, TRUE, 0)</f>
        <v>0</v>
      </c>
      <c r="I185" s="4" cm="1">
        <f t="array" ref="I185">_xlfn.IFS('ProductSprint Backlog'!$F185="", "", AND('ProductSprint Backlog'!$J185&gt;I$2,'ProductSprint Backlog'!$I185&lt;=I$2), 'ProductSprint Backlog'!$F185 / MAX(1, 'ProductSprint Backlog'!$J185-'ProductSprint Backlog'!$I185), AND('ProductSprint Backlog'!$J185=I$2,'ProductSprint Backlog'!$I185=I$2), 'ProductSprint Backlog'!$F185, TRUE, 0)</f>
        <v>0</v>
      </c>
      <c r="J185" s="4" cm="1">
        <f t="array" ref="J185">_xlfn.IFS('ProductSprint Backlog'!$F185="", "", AND('ProductSprint Backlog'!$J185&gt;J$2,'ProductSprint Backlog'!$I185&lt;=J$2), 'ProductSprint Backlog'!$F185 / MAX(1, 'ProductSprint Backlog'!$J185-'ProductSprint Backlog'!$I185), AND('ProductSprint Backlog'!$J185=J$2,'ProductSprint Backlog'!$I185=J$2), 'ProductSprint Backlog'!$F185, TRUE, 0)</f>
        <v>0</v>
      </c>
      <c r="K185" s="4" cm="1">
        <f t="array" ref="K185">_xlfn.IFS('ProductSprint Backlog'!$F185="", "", AND('ProductSprint Backlog'!$J185&gt;K$2,'ProductSprint Backlog'!$I185&lt;=K$2), 'ProductSprint Backlog'!$F185 / MAX(1, 'ProductSprint Backlog'!$J185-'ProductSprint Backlog'!$I185), AND('ProductSprint Backlog'!$J185=K$2,'ProductSprint Backlog'!$I185=K$2), 'ProductSprint Backlog'!$F185, TRUE, 0)</f>
        <v>0</v>
      </c>
      <c r="L185" s="4" cm="1">
        <f t="array" ref="L185">_xlfn.IFS('ProductSprint Backlog'!$F185="", "", AND('ProductSprint Backlog'!$J185&gt;L$2,'ProductSprint Backlog'!$I185&lt;=L$2), 'ProductSprint Backlog'!$F185 / MAX(1, 'ProductSprint Backlog'!$J185-'ProductSprint Backlog'!$I185), AND('ProductSprint Backlog'!$J185=L$2,'ProductSprint Backlog'!$I185=L$2), 'ProductSprint Backlog'!$F185, TRUE, 0)</f>
        <v>0</v>
      </c>
      <c r="M185" s="4" cm="1">
        <f t="array" ref="M185">_xlfn.IFS('ProductSprint Backlog'!$F185="", "", AND('ProductSprint Backlog'!$J185&gt;M$2,'ProductSprint Backlog'!$I185&lt;=M$2), 'ProductSprint Backlog'!$F185 / MAX(1, 'ProductSprint Backlog'!$J185-'ProductSprint Backlog'!$I185), AND('ProductSprint Backlog'!$J185=M$2,'ProductSprint Backlog'!$I185=M$2), 'ProductSprint Backlog'!$F185, TRUE, 0)</f>
        <v>0</v>
      </c>
      <c r="N185" s="4" cm="1">
        <f t="array" ref="N185">_xlfn.IFS('ProductSprint Backlog'!$F185="", "", AND('ProductSprint Backlog'!$J185&gt;N$2,'ProductSprint Backlog'!$I185&lt;=N$2), 'ProductSprint Backlog'!$F185 / MAX(1, 'ProductSprint Backlog'!$J185-'ProductSprint Backlog'!$I185), AND('ProductSprint Backlog'!$J185=N$2,'ProductSprint Backlog'!$I185=N$2), 'ProductSprint Backlog'!$F185, TRUE, 0)</f>
        <v>0</v>
      </c>
      <c r="O185" s="4" cm="1">
        <f t="array" ref="O185">_xlfn.IFS('ProductSprint Backlog'!$F185="", "", AND('ProductSprint Backlog'!$J185&gt;O$2,'ProductSprint Backlog'!$I185&lt;=O$2), 'ProductSprint Backlog'!$F185 / MAX(1, 'ProductSprint Backlog'!$J185-'ProductSprint Backlog'!$I185), AND('ProductSprint Backlog'!$J185=O$2,'ProductSprint Backlog'!$I185=O$2), 'ProductSprint Backlog'!$F185, TRUE, 0)</f>
        <v>0</v>
      </c>
      <c r="P185" s="4" cm="1">
        <f t="array" ref="P185">_xlfn.IFS('ProductSprint Backlog'!$F185="", "", AND('ProductSprint Backlog'!$J185&gt;P$2,'ProductSprint Backlog'!$I185&lt;=P$2), 'ProductSprint Backlog'!$F185 / MAX(1, 'ProductSprint Backlog'!$J185-'ProductSprint Backlog'!$I185), AND('ProductSprint Backlog'!$J185=P$2,'ProductSprint Backlog'!$I185=P$2), 'ProductSprint Backlog'!$F185, TRUE, 0)</f>
        <v>0</v>
      </c>
      <c r="Q185" s="4" cm="1">
        <f t="array" ref="Q185">_xlfn.IFS('ProductSprint Backlog'!$F185="", "", AND('ProductSprint Backlog'!$J185&gt;Q$2,'ProductSprint Backlog'!$I185&lt;=Q$2), 'ProductSprint Backlog'!$F185 / MAX(1, 'ProductSprint Backlog'!$J185-'ProductSprint Backlog'!$I185), AND('ProductSprint Backlog'!$J185=Q$2,'ProductSprint Backlog'!$I185=Q$2), 'ProductSprint Backlog'!$F185, TRUE, 0)</f>
        <v>0</v>
      </c>
    </row>
    <row r="186" spans="2:17" x14ac:dyDescent="0.2">
      <c r="B186" s="4" cm="1">
        <f t="array" ref="B186">_xlfn.IFS('ProductSprint Backlog'!$F186="", "", AND('ProductSprint Backlog'!$J186&gt;B$2,'ProductSprint Backlog'!$I186&lt;=B$2), 'ProductSprint Backlog'!$F186 / MAX(1, 'ProductSprint Backlog'!$J186-'ProductSprint Backlog'!$I186), AND('ProductSprint Backlog'!$J186=B$2,'ProductSprint Backlog'!$I186=B$2), 'ProductSprint Backlog'!$F186, TRUE, 0)</f>
        <v>0</v>
      </c>
      <c r="C186" s="4" cm="1">
        <f t="array" ref="C186">_xlfn.IFS('ProductSprint Backlog'!$F186="", "", AND('ProductSprint Backlog'!$J186&gt;C$2,'ProductSprint Backlog'!$I186&lt;=C$2), 'ProductSprint Backlog'!$F186 / MAX(1, 'ProductSprint Backlog'!$J186-'ProductSprint Backlog'!$I186), AND('ProductSprint Backlog'!$J186=C$2,'ProductSprint Backlog'!$I186=C$2), 'ProductSprint Backlog'!$F186, TRUE, 0)</f>
        <v>0</v>
      </c>
      <c r="D186" s="4" cm="1">
        <f t="array" ref="D186">_xlfn.IFS('ProductSprint Backlog'!$F186="", "", AND('ProductSprint Backlog'!$J186&gt;D$2,'ProductSprint Backlog'!$I186&lt;=D$2), 'ProductSprint Backlog'!$F186 / MAX(1, 'ProductSprint Backlog'!$J186-'ProductSprint Backlog'!$I186), AND('ProductSprint Backlog'!$J186=D$2,'ProductSprint Backlog'!$I186=D$2), 'ProductSprint Backlog'!$F186, TRUE, 0)</f>
        <v>0</v>
      </c>
      <c r="E186" s="4" cm="1">
        <f t="array" ref="E186">_xlfn.IFS('ProductSprint Backlog'!$F186="", "", AND('ProductSprint Backlog'!$J186&gt;E$2,'ProductSprint Backlog'!$I186&lt;=E$2), 'ProductSprint Backlog'!$F186 / MAX(1, 'ProductSprint Backlog'!$J186-'ProductSprint Backlog'!$I186), AND('ProductSprint Backlog'!$J186=E$2,'ProductSprint Backlog'!$I186=E$2), 'ProductSprint Backlog'!$F186, TRUE, 0)</f>
        <v>0</v>
      </c>
      <c r="F186" s="4" cm="1">
        <f t="array" ref="F186">_xlfn.IFS('ProductSprint Backlog'!$F186="", "", AND('ProductSprint Backlog'!$J186&gt;F$2,'ProductSprint Backlog'!$I186&lt;=F$2), 'ProductSprint Backlog'!$F186 / MAX(1, 'ProductSprint Backlog'!$J186-'ProductSprint Backlog'!$I186), AND('ProductSprint Backlog'!$J186=F$2,'ProductSprint Backlog'!$I186=F$2), 'ProductSprint Backlog'!$F186, TRUE, 0)</f>
        <v>0</v>
      </c>
      <c r="G186" s="4" cm="1">
        <f t="array" ref="G186">_xlfn.IFS('ProductSprint Backlog'!$F186="", "", AND('ProductSprint Backlog'!$J186&gt;G$2,'ProductSprint Backlog'!$I186&lt;=G$2), 'ProductSprint Backlog'!$F186 / MAX(1, 'ProductSprint Backlog'!$J186-'ProductSprint Backlog'!$I186), AND('ProductSprint Backlog'!$J186=G$2,'ProductSprint Backlog'!$I186=G$2), 'ProductSprint Backlog'!$F186, TRUE, 0)</f>
        <v>0</v>
      </c>
      <c r="H186" s="4" cm="1">
        <f t="array" ref="H186">_xlfn.IFS('ProductSprint Backlog'!$F186="", "", AND('ProductSprint Backlog'!$J186&gt;H$2,'ProductSprint Backlog'!$I186&lt;=H$2), 'ProductSprint Backlog'!$F186 / MAX(1, 'ProductSprint Backlog'!$J186-'ProductSprint Backlog'!$I186), AND('ProductSprint Backlog'!$J186=H$2,'ProductSprint Backlog'!$I186=H$2), 'ProductSprint Backlog'!$F186, TRUE, 0)</f>
        <v>0</v>
      </c>
      <c r="I186" s="4" cm="1">
        <f t="array" ref="I186">_xlfn.IFS('ProductSprint Backlog'!$F186="", "", AND('ProductSprint Backlog'!$J186&gt;I$2,'ProductSprint Backlog'!$I186&lt;=I$2), 'ProductSprint Backlog'!$F186 / MAX(1, 'ProductSprint Backlog'!$J186-'ProductSprint Backlog'!$I186), AND('ProductSprint Backlog'!$J186=I$2,'ProductSprint Backlog'!$I186=I$2), 'ProductSprint Backlog'!$F186, TRUE, 0)</f>
        <v>0</v>
      </c>
      <c r="J186" s="4" cm="1">
        <f t="array" ref="J186">_xlfn.IFS('ProductSprint Backlog'!$F186="", "", AND('ProductSprint Backlog'!$J186&gt;J$2,'ProductSprint Backlog'!$I186&lt;=J$2), 'ProductSprint Backlog'!$F186 / MAX(1, 'ProductSprint Backlog'!$J186-'ProductSprint Backlog'!$I186), AND('ProductSprint Backlog'!$J186=J$2,'ProductSprint Backlog'!$I186=J$2), 'ProductSprint Backlog'!$F186, TRUE, 0)</f>
        <v>0</v>
      </c>
      <c r="K186" s="4" cm="1">
        <f t="array" ref="K186">_xlfn.IFS('ProductSprint Backlog'!$F186="", "", AND('ProductSprint Backlog'!$J186&gt;K$2,'ProductSprint Backlog'!$I186&lt;=K$2), 'ProductSprint Backlog'!$F186 / MAX(1, 'ProductSprint Backlog'!$J186-'ProductSprint Backlog'!$I186), AND('ProductSprint Backlog'!$J186=K$2,'ProductSprint Backlog'!$I186=K$2), 'ProductSprint Backlog'!$F186, TRUE, 0)</f>
        <v>0</v>
      </c>
      <c r="L186" s="4" cm="1">
        <f t="array" ref="L186">_xlfn.IFS('ProductSprint Backlog'!$F186="", "", AND('ProductSprint Backlog'!$J186&gt;L$2,'ProductSprint Backlog'!$I186&lt;=L$2), 'ProductSprint Backlog'!$F186 / MAX(1, 'ProductSprint Backlog'!$J186-'ProductSprint Backlog'!$I186), AND('ProductSprint Backlog'!$J186=L$2,'ProductSprint Backlog'!$I186=L$2), 'ProductSprint Backlog'!$F186, TRUE, 0)</f>
        <v>0</v>
      </c>
      <c r="M186" s="4" cm="1">
        <f t="array" ref="M186">_xlfn.IFS('ProductSprint Backlog'!$F186="", "", AND('ProductSprint Backlog'!$J186&gt;M$2,'ProductSprint Backlog'!$I186&lt;=M$2), 'ProductSprint Backlog'!$F186 / MAX(1, 'ProductSprint Backlog'!$J186-'ProductSprint Backlog'!$I186), AND('ProductSprint Backlog'!$J186=M$2,'ProductSprint Backlog'!$I186=M$2), 'ProductSprint Backlog'!$F186, TRUE, 0)</f>
        <v>0</v>
      </c>
      <c r="N186" s="4" cm="1">
        <f t="array" ref="N186">_xlfn.IFS('ProductSprint Backlog'!$F186="", "", AND('ProductSprint Backlog'!$J186&gt;N$2,'ProductSprint Backlog'!$I186&lt;=N$2), 'ProductSprint Backlog'!$F186 / MAX(1, 'ProductSprint Backlog'!$J186-'ProductSprint Backlog'!$I186), AND('ProductSprint Backlog'!$J186=N$2,'ProductSprint Backlog'!$I186=N$2), 'ProductSprint Backlog'!$F186, TRUE, 0)</f>
        <v>0</v>
      </c>
      <c r="O186" s="4" cm="1">
        <f t="array" ref="O186">_xlfn.IFS('ProductSprint Backlog'!$F186="", "", AND('ProductSprint Backlog'!$J186&gt;O$2,'ProductSprint Backlog'!$I186&lt;=O$2), 'ProductSprint Backlog'!$F186 / MAX(1, 'ProductSprint Backlog'!$J186-'ProductSprint Backlog'!$I186), AND('ProductSprint Backlog'!$J186=O$2,'ProductSprint Backlog'!$I186=O$2), 'ProductSprint Backlog'!$F186, TRUE, 0)</f>
        <v>0</v>
      </c>
      <c r="P186" s="4" cm="1">
        <f t="array" ref="P186">_xlfn.IFS('ProductSprint Backlog'!$F186="", "", AND('ProductSprint Backlog'!$J186&gt;P$2,'ProductSprint Backlog'!$I186&lt;=P$2), 'ProductSprint Backlog'!$F186 / MAX(1, 'ProductSprint Backlog'!$J186-'ProductSprint Backlog'!$I186), AND('ProductSprint Backlog'!$J186=P$2,'ProductSprint Backlog'!$I186=P$2), 'ProductSprint Backlog'!$F186, TRUE, 0)</f>
        <v>0</v>
      </c>
      <c r="Q186" s="4" cm="1">
        <f t="array" ref="Q186">_xlfn.IFS('ProductSprint Backlog'!$F186="", "", AND('ProductSprint Backlog'!$J186&gt;Q$2,'ProductSprint Backlog'!$I186&lt;=Q$2), 'ProductSprint Backlog'!$F186 / MAX(1, 'ProductSprint Backlog'!$J186-'ProductSprint Backlog'!$I186), AND('ProductSprint Backlog'!$J186=Q$2,'ProductSprint Backlog'!$I186=Q$2), 'ProductSprint Backlog'!$F186, TRUE, 0)</f>
        <v>0</v>
      </c>
    </row>
    <row r="187" spans="2:17" x14ac:dyDescent="0.2">
      <c r="B187" s="4" cm="1">
        <f t="array" ref="B187">_xlfn.IFS('ProductSprint Backlog'!$F187="", "", AND('ProductSprint Backlog'!$J187&gt;B$2,'ProductSprint Backlog'!$I187&lt;=B$2), 'ProductSprint Backlog'!$F187 / MAX(1, 'ProductSprint Backlog'!$J187-'ProductSprint Backlog'!$I187), AND('ProductSprint Backlog'!$J187=B$2,'ProductSprint Backlog'!$I187=B$2), 'ProductSprint Backlog'!$F187, TRUE, 0)</f>
        <v>0</v>
      </c>
      <c r="C187" s="4" cm="1">
        <f t="array" ref="C187">_xlfn.IFS('ProductSprint Backlog'!$F187="", "", AND('ProductSprint Backlog'!$J187&gt;C$2,'ProductSprint Backlog'!$I187&lt;=C$2), 'ProductSprint Backlog'!$F187 / MAX(1, 'ProductSprint Backlog'!$J187-'ProductSprint Backlog'!$I187), AND('ProductSprint Backlog'!$J187=C$2,'ProductSprint Backlog'!$I187=C$2), 'ProductSprint Backlog'!$F187, TRUE, 0)</f>
        <v>0</v>
      </c>
      <c r="D187" s="4" cm="1">
        <f t="array" ref="D187">_xlfn.IFS('ProductSprint Backlog'!$F187="", "", AND('ProductSprint Backlog'!$J187&gt;D$2,'ProductSprint Backlog'!$I187&lt;=D$2), 'ProductSprint Backlog'!$F187 / MAX(1, 'ProductSprint Backlog'!$J187-'ProductSprint Backlog'!$I187), AND('ProductSprint Backlog'!$J187=D$2,'ProductSprint Backlog'!$I187=D$2), 'ProductSprint Backlog'!$F187, TRUE, 0)</f>
        <v>0</v>
      </c>
      <c r="E187" s="4" cm="1">
        <f t="array" ref="E187">_xlfn.IFS('ProductSprint Backlog'!$F187="", "", AND('ProductSprint Backlog'!$J187&gt;E$2,'ProductSprint Backlog'!$I187&lt;=E$2), 'ProductSprint Backlog'!$F187 / MAX(1, 'ProductSprint Backlog'!$J187-'ProductSprint Backlog'!$I187), AND('ProductSprint Backlog'!$J187=E$2,'ProductSprint Backlog'!$I187=E$2), 'ProductSprint Backlog'!$F187, TRUE, 0)</f>
        <v>0</v>
      </c>
      <c r="F187" s="4" cm="1">
        <f t="array" ref="F187">_xlfn.IFS('ProductSprint Backlog'!$F187="", "", AND('ProductSprint Backlog'!$J187&gt;F$2,'ProductSprint Backlog'!$I187&lt;=F$2), 'ProductSprint Backlog'!$F187 / MAX(1, 'ProductSprint Backlog'!$J187-'ProductSprint Backlog'!$I187), AND('ProductSprint Backlog'!$J187=F$2,'ProductSprint Backlog'!$I187=F$2), 'ProductSprint Backlog'!$F187, TRUE, 0)</f>
        <v>0</v>
      </c>
      <c r="G187" s="4" cm="1">
        <f t="array" ref="G187">_xlfn.IFS('ProductSprint Backlog'!$F187="", "", AND('ProductSprint Backlog'!$J187&gt;G$2,'ProductSprint Backlog'!$I187&lt;=G$2), 'ProductSprint Backlog'!$F187 / MAX(1, 'ProductSprint Backlog'!$J187-'ProductSprint Backlog'!$I187), AND('ProductSprint Backlog'!$J187=G$2,'ProductSprint Backlog'!$I187=G$2), 'ProductSprint Backlog'!$F187, TRUE, 0)</f>
        <v>0</v>
      </c>
      <c r="H187" s="4" cm="1">
        <f t="array" ref="H187">_xlfn.IFS('ProductSprint Backlog'!$F187="", "", AND('ProductSprint Backlog'!$J187&gt;H$2,'ProductSprint Backlog'!$I187&lt;=H$2), 'ProductSprint Backlog'!$F187 / MAX(1, 'ProductSprint Backlog'!$J187-'ProductSprint Backlog'!$I187), AND('ProductSprint Backlog'!$J187=H$2,'ProductSprint Backlog'!$I187=H$2), 'ProductSprint Backlog'!$F187, TRUE, 0)</f>
        <v>0</v>
      </c>
      <c r="I187" s="4" cm="1">
        <f t="array" ref="I187">_xlfn.IFS('ProductSprint Backlog'!$F187="", "", AND('ProductSprint Backlog'!$J187&gt;I$2,'ProductSprint Backlog'!$I187&lt;=I$2), 'ProductSprint Backlog'!$F187 / MAX(1, 'ProductSprint Backlog'!$J187-'ProductSprint Backlog'!$I187), AND('ProductSprint Backlog'!$J187=I$2,'ProductSprint Backlog'!$I187=I$2), 'ProductSprint Backlog'!$F187, TRUE, 0)</f>
        <v>0</v>
      </c>
      <c r="J187" s="4" cm="1">
        <f t="array" ref="J187">_xlfn.IFS('ProductSprint Backlog'!$F187="", "", AND('ProductSprint Backlog'!$J187&gt;J$2,'ProductSprint Backlog'!$I187&lt;=J$2), 'ProductSprint Backlog'!$F187 / MAX(1, 'ProductSprint Backlog'!$J187-'ProductSprint Backlog'!$I187), AND('ProductSprint Backlog'!$J187=J$2,'ProductSprint Backlog'!$I187=J$2), 'ProductSprint Backlog'!$F187, TRUE, 0)</f>
        <v>0</v>
      </c>
      <c r="K187" s="4" cm="1">
        <f t="array" ref="K187">_xlfn.IFS('ProductSprint Backlog'!$F187="", "", AND('ProductSprint Backlog'!$J187&gt;K$2,'ProductSprint Backlog'!$I187&lt;=K$2), 'ProductSprint Backlog'!$F187 / MAX(1, 'ProductSprint Backlog'!$J187-'ProductSprint Backlog'!$I187), AND('ProductSprint Backlog'!$J187=K$2,'ProductSprint Backlog'!$I187=K$2), 'ProductSprint Backlog'!$F187, TRUE, 0)</f>
        <v>0</v>
      </c>
      <c r="L187" s="4" cm="1">
        <f t="array" ref="L187">_xlfn.IFS('ProductSprint Backlog'!$F187="", "", AND('ProductSprint Backlog'!$J187&gt;L$2,'ProductSprint Backlog'!$I187&lt;=L$2), 'ProductSprint Backlog'!$F187 / MAX(1, 'ProductSprint Backlog'!$J187-'ProductSprint Backlog'!$I187), AND('ProductSprint Backlog'!$J187=L$2,'ProductSprint Backlog'!$I187=L$2), 'ProductSprint Backlog'!$F187, TRUE, 0)</f>
        <v>0</v>
      </c>
      <c r="M187" s="4" cm="1">
        <f t="array" ref="M187">_xlfn.IFS('ProductSprint Backlog'!$F187="", "", AND('ProductSprint Backlog'!$J187&gt;M$2,'ProductSprint Backlog'!$I187&lt;=M$2), 'ProductSprint Backlog'!$F187 / MAX(1, 'ProductSprint Backlog'!$J187-'ProductSprint Backlog'!$I187), AND('ProductSprint Backlog'!$J187=M$2,'ProductSprint Backlog'!$I187=M$2), 'ProductSprint Backlog'!$F187, TRUE, 0)</f>
        <v>0</v>
      </c>
      <c r="N187" s="4" cm="1">
        <f t="array" ref="N187">_xlfn.IFS('ProductSprint Backlog'!$F187="", "", AND('ProductSprint Backlog'!$J187&gt;N$2,'ProductSprint Backlog'!$I187&lt;=N$2), 'ProductSprint Backlog'!$F187 / MAX(1, 'ProductSprint Backlog'!$J187-'ProductSprint Backlog'!$I187), AND('ProductSprint Backlog'!$J187=N$2,'ProductSprint Backlog'!$I187=N$2), 'ProductSprint Backlog'!$F187, TRUE, 0)</f>
        <v>0</v>
      </c>
      <c r="O187" s="4" cm="1">
        <f t="array" ref="O187">_xlfn.IFS('ProductSprint Backlog'!$F187="", "", AND('ProductSprint Backlog'!$J187&gt;O$2,'ProductSprint Backlog'!$I187&lt;=O$2), 'ProductSprint Backlog'!$F187 / MAX(1, 'ProductSprint Backlog'!$J187-'ProductSprint Backlog'!$I187), AND('ProductSprint Backlog'!$J187=O$2,'ProductSprint Backlog'!$I187=O$2), 'ProductSprint Backlog'!$F187, TRUE, 0)</f>
        <v>0</v>
      </c>
      <c r="P187" s="4" cm="1">
        <f t="array" ref="P187">_xlfn.IFS('ProductSprint Backlog'!$F187="", "", AND('ProductSprint Backlog'!$J187&gt;P$2,'ProductSprint Backlog'!$I187&lt;=P$2), 'ProductSprint Backlog'!$F187 / MAX(1, 'ProductSprint Backlog'!$J187-'ProductSprint Backlog'!$I187), AND('ProductSprint Backlog'!$J187=P$2,'ProductSprint Backlog'!$I187=P$2), 'ProductSprint Backlog'!$F187, TRUE, 0)</f>
        <v>0</v>
      </c>
      <c r="Q187" s="4" cm="1">
        <f t="array" ref="Q187">_xlfn.IFS('ProductSprint Backlog'!$F187="", "", AND('ProductSprint Backlog'!$J187&gt;Q$2,'ProductSprint Backlog'!$I187&lt;=Q$2), 'ProductSprint Backlog'!$F187 / MAX(1, 'ProductSprint Backlog'!$J187-'ProductSprint Backlog'!$I187), AND('ProductSprint Backlog'!$J187=Q$2,'ProductSprint Backlog'!$I187=Q$2), 'ProductSprint Backlog'!$F187, TRUE, 0)</f>
        <v>0</v>
      </c>
    </row>
    <row r="188" spans="2:17" x14ac:dyDescent="0.2">
      <c r="B188" s="4" cm="1">
        <f t="array" ref="B188">_xlfn.IFS('ProductSprint Backlog'!$F188="", "", AND('ProductSprint Backlog'!$J188&gt;B$2,'ProductSprint Backlog'!$I188&lt;=B$2), 'ProductSprint Backlog'!$F188 / MAX(1, 'ProductSprint Backlog'!$J188-'ProductSprint Backlog'!$I188), AND('ProductSprint Backlog'!$J188=B$2,'ProductSprint Backlog'!$I188=B$2), 'ProductSprint Backlog'!$F188, TRUE, 0)</f>
        <v>0</v>
      </c>
      <c r="C188" s="4" cm="1">
        <f t="array" ref="C188">_xlfn.IFS('ProductSprint Backlog'!$F188="", "", AND('ProductSprint Backlog'!$J188&gt;C$2,'ProductSprint Backlog'!$I188&lt;=C$2), 'ProductSprint Backlog'!$F188 / MAX(1, 'ProductSprint Backlog'!$J188-'ProductSprint Backlog'!$I188), AND('ProductSprint Backlog'!$J188=C$2,'ProductSprint Backlog'!$I188=C$2), 'ProductSprint Backlog'!$F188, TRUE, 0)</f>
        <v>0</v>
      </c>
      <c r="D188" s="4" cm="1">
        <f t="array" ref="D188">_xlfn.IFS('ProductSprint Backlog'!$F188="", "", AND('ProductSprint Backlog'!$J188&gt;D$2,'ProductSprint Backlog'!$I188&lt;=D$2), 'ProductSprint Backlog'!$F188 / MAX(1, 'ProductSprint Backlog'!$J188-'ProductSprint Backlog'!$I188), AND('ProductSprint Backlog'!$J188=D$2,'ProductSprint Backlog'!$I188=D$2), 'ProductSprint Backlog'!$F188, TRUE, 0)</f>
        <v>0</v>
      </c>
      <c r="E188" s="4" cm="1">
        <f t="array" ref="E188">_xlfn.IFS('ProductSprint Backlog'!$F188="", "", AND('ProductSprint Backlog'!$J188&gt;E$2,'ProductSprint Backlog'!$I188&lt;=E$2), 'ProductSprint Backlog'!$F188 / MAX(1, 'ProductSprint Backlog'!$J188-'ProductSprint Backlog'!$I188), AND('ProductSprint Backlog'!$J188=E$2,'ProductSprint Backlog'!$I188=E$2), 'ProductSprint Backlog'!$F188, TRUE, 0)</f>
        <v>0</v>
      </c>
      <c r="F188" s="4" cm="1">
        <f t="array" ref="F188">_xlfn.IFS('ProductSprint Backlog'!$F188="", "", AND('ProductSprint Backlog'!$J188&gt;F$2,'ProductSprint Backlog'!$I188&lt;=F$2), 'ProductSprint Backlog'!$F188 / MAX(1, 'ProductSprint Backlog'!$J188-'ProductSprint Backlog'!$I188), AND('ProductSprint Backlog'!$J188=F$2,'ProductSprint Backlog'!$I188=F$2), 'ProductSprint Backlog'!$F188, TRUE, 0)</f>
        <v>0</v>
      </c>
      <c r="G188" s="4" cm="1">
        <f t="array" ref="G188">_xlfn.IFS('ProductSprint Backlog'!$F188="", "", AND('ProductSprint Backlog'!$J188&gt;G$2,'ProductSprint Backlog'!$I188&lt;=G$2), 'ProductSprint Backlog'!$F188 / MAX(1, 'ProductSprint Backlog'!$J188-'ProductSprint Backlog'!$I188), AND('ProductSprint Backlog'!$J188=G$2,'ProductSprint Backlog'!$I188=G$2), 'ProductSprint Backlog'!$F188, TRUE, 0)</f>
        <v>0</v>
      </c>
      <c r="H188" s="4" cm="1">
        <f t="array" ref="H188">_xlfn.IFS('ProductSprint Backlog'!$F188="", "", AND('ProductSprint Backlog'!$J188&gt;H$2,'ProductSprint Backlog'!$I188&lt;=H$2), 'ProductSprint Backlog'!$F188 / MAX(1, 'ProductSprint Backlog'!$J188-'ProductSprint Backlog'!$I188), AND('ProductSprint Backlog'!$J188=H$2,'ProductSprint Backlog'!$I188=H$2), 'ProductSprint Backlog'!$F188, TRUE, 0)</f>
        <v>0</v>
      </c>
      <c r="I188" s="4" cm="1">
        <f t="array" ref="I188">_xlfn.IFS('ProductSprint Backlog'!$F188="", "", AND('ProductSprint Backlog'!$J188&gt;I$2,'ProductSprint Backlog'!$I188&lt;=I$2), 'ProductSprint Backlog'!$F188 / MAX(1, 'ProductSprint Backlog'!$J188-'ProductSprint Backlog'!$I188), AND('ProductSprint Backlog'!$J188=I$2,'ProductSprint Backlog'!$I188=I$2), 'ProductSprint Backlog'!$F188, TRUE, 0)</f>
        <v>0</v>
      </c>
      <c r="J188" s="4" cm="1">
        <f t="array" ref="J188">_xlfn.IFS('ProductSprint Backlog'!$F188="", "", AND('ProductSprint Backlog'!$J188&gt;J$2,'ProductSprint Backlog'!$I188&lt;=J$2), 'ProductSprint Backlog'!$F188 / MAX(1, 'ProductSprint Backlog'!$J188-'ProductSprint Backlog'!$I188), AND('ProductSprint Backlog'!$J188=J$2,'ProductSprint Backlog'!$I188=J$2), 'ProductSprint Backlog'!$F188, TRUE, 0)</f>
        <v>0</v>
      </c>
      <c r="K188" s="4" cm="1">
        <f t="array" ref="K188">_xlfn.IFS('ProductSprint Backlog'!$F188="", "", AND('ProductSprint Backlog'!$J188&gt;K$2,'ProductSprint Backlog'!$I188&lt;=K$2), 'ProductSprint Backlog'!$F188 / MAX(1, 'ProductSprint Backlog'!$J188-'ProductSprint Backlog'!$I188), AND('ProductSprint Backlog'!$J188=K$2,'ProductSprint Backlog'!$I188=K$2), 'ProductSprint Backlog'!$F188, TRUE, 0)</f>
        <v>0</v>
      </c>
      <c r="L188" s="4" cm="1">
        <f t="array" ref="L188">_xlfn.IFS('ProductSprint Backlog'!$F188="", "", AND('ProductSprint Backlog'!$J188&gt;L$2,'ProductSprint Backlog'!$I188&lt;=L$2), 'ProductSprint Backlog'!$F188 / MAX(1, 'ProductSprint Backlog'!$J188-'ProductSprint Backlog'!$I188), AND('ProductSprint Backlog'!$J188=L$2,'ProductSprint Backlog'!$I188=L$2), 'ProductSprint Backlog'!$F188, TRUE, 0)</f>
        <v>0</v>
      </c>
      <c r="M188" s="4" cm="1">
        <f t="array" ref="M188">_xlfn.IFS('ProductSprint Backlog'!$F188="", "", AND('ProductSprint Backlog'!$J188&gt;M$2,'ProductSprint Backlog'!$I188&lt;=M$2), 'ProductSprint Backlog'!$F188 / MAX(1, 'ProductSprint Backlog'!$J188-'ProductSprint Backlog'!$I188), AND('ProductSprint Backlog'!$J188=M$2,'ProductSprint Backlog'!$I188=M$2), 'ProductSprint Backlog'!$F188, TRUE, 0)</f>
        <v>0</v>
      </c>
      <c r="N188" s="4" cm="1">
        <f t="array" ref="N188">_xlfn.IFS('ProductSprint Backlog'!$F188="", "", AND('ProductSprint Backlog'!$J188&gt;N$2,'ProductSprint Backlog'!$I188&lt;=N$2), 'ProductSprint Backlog'!$F188 / MAX(1, 'ProductSprint Backlog'!$J188-'ProductSprint Backlog'!$I188), AND('ProductSprint Backlog'!$J188=N$2,'ProductSprint Backlog'!$I188=N$2), 'ProductSprint Backlog'!$F188, TRUE, 0)</f>
        <v>0</v>
      </c>
      <c r="O188" s="4" cm="1">
        <f t="array" ref="O188">_xlfn.IFS('ProductSprint Backlog'!$F188="", "", AND('ProductSprint Backlog'!$J188&gt;O$2,'ProductSprint Backlog'!$I188&lt;=O$2), 'ProductSprint Backlog'!$F188 / MAX(1, 'ProductSprint Backlog'!$J188-'ProductSprint Backlog'!$I188), AND('ProductSprint Backlog'!$J188=O$2,'ProductSprint Backlog'!$I188=O$2), 'ProductSprint Backlog'!$F188, TRUE, 0)</f>
        <v>0</v>
      </c>
      <c r="P188" s="4" cm="1">
        <f t="array" ref="P188">_xlfn.IFS('ProductSprint Backlog'!$F188="", "", AND('ProductSprint Backlog'!$J188&gt;P$2,'ProductSprint Backlog'!$I188&lt;=P$2), 'ProductSprint Backlog'!$F188 / MAX(1, 'ProductSprint Backlog'!$J188-'ProductSprint Backlog'!$I188), AND('ProductSprint Backlog'!$J188=P$2,'ProductSprint Backlog'!$I188=P$2), 'ProductSprint Backlog'!$F188, TRUE, 0)</f>
        <v>0</v>
      </c>
      <c r="Q188" s="4" cm="1">
        <f t="array" ref="Q188">_xlfn.IFS('ProductSprint Backlog'!$F188="", "", AND('ProductSprint Backlog'!$J188&gt;Q$2,'ProductSprint Backlog'!$I188&lt;=Q$2), 'ProductSprint Backlog'!$F188 / MAX(1, 'ProductSprint Backlog'!$J188-'ProductSprint Backlog'!$I188), AND('ProductSprint Backlog'!$J188=Q$2,'ProductSprint Backlog'!$I188=Q$2), 'ProductSprint Backlog'!$F188, TRUE, 0)</f>
        <v>0</v>
      </c>
    </row>
    <row r="189" spans="2:17" x14ac:dyDescent="0.2">
      <c r="B189" s="4" cm="1">
        <f t="array" ref="B189">_xlfn.IFS('ProductSprint Backlog'!$F189="", "", AND('ProductSprint Backlog'!$J189&gt;B$2,'ProductSprint Backlog'!$I189&lt;=B$2), 'ProductSprint Backlog'!$F189 / MAX(1, 'ProductSprint Backlog'!$J189-'ProductSprint Backlog'!$I189), AND('ProductSprint Backlog'!$J189=B$2,'ProductSprint Backlog'!$I189=B$2), 'ProductSprint Backlog'!$F189, TRUE, 0)</f>
        <v>0</v>
      </c>
      <c r="C189" s="4" cm="1">
        <f t="array" ref="C189">_xlfn.IFS('ProductSprint Backlog'!$F189="", "", AND('ProductSprint Backlog'!$J189&gt;C$2,'ProductSprint Backlog'!$I189&lt;=C$2), 'ProductSprint Backlog'!$F189 / MAX(1, 'ProductSprint Backlog'!$J189-'ProductSprint Backlog'!$I189), AND('ProductSprint Backlog'!$J189=C$2,'ProductSprint Backlog'!$I189=C$2), 'ProductSprint Backlog'!$F189, TRUE, 0)</f>
        <v>0</v>
      </c>
      <c r="D189" s="4" cm="1">
        <f t="array" ref="D189">_xlfn.IFS('ProductSprint Backlog'!$F189="", "", AND('ProductSprint Backlog'!$J189&gt;D$2,'ProductSprint Backlog'!$I189&lt;=D$2), 'ProductSprint Backlog'!$F189 / MAX(1, 'ProductSprint Backlog'!$J189-'ProductSprint Backlog'!$I189), AND('ProductSprint Backlog'!$J189=D$2,'ProductSprint Backlog'!$I189=D$2), 'ProductSprint Backlog'!$F189, TRUE, 0)</f>
        <v>0</v>
      </c>
      <c r="E189" s="4" cm="1">
        <f t="array" ref="E189">_xlfn.IFS('ProductSprint Backlog'!$F189="", "", AND('ProductSprint Backlog'!$J189&gt;E$2,'ProductSprint Backlog'!$I189&lt;=E$2), 'ProductSprint Backlog'!$F189 / MAX(1, 'ProductSprint Backlog'!$J189-'ProductSprint Backlog'!$I189), AND('ProductSprint Backlog'!$J189=E$2,'ProductSprint Backlog'!$I189=E$2), 'ProductSprint Backlog'!$F189, TRUE, 0)</f>
        <v>0</v>
      </c>
      <c r="F189" s="4" cm="1">
        <f t="array" ref="F189">_xlfn.IFS('ProductSprint Backlog'!$F189="", "", AND('ProductSprint Backlog'!$J189&gt;F$2,'ProductSprint Backlog'!$I189&lt;=F$2), 'ProductSprint Backlog'!$F189 / MAX(1, 'ProductSprint Backlog'!$J189-'ProductSprint Backlog'!$I189), AND('ProductSprint Backlog'!$J189=F$2,'ProductSprint Backlog'!$I189=F$2), 'ProductSprint Backlog'!$F189, TRUE, 0)</f>
        <v>0</v>
      </c>
      <c r="G189" s="4" cm="1">
        <f t="array" ref="G189">_xlfn.IFS('ProductSprint Backlog'!$F189="", "", AND('ProductSprint Backlog'!$J189&gt;G$2,'ProductSprint Backlog'!$I189&lt;=G$2), 'ProductSprint Backlog'!$F189 / MAX(1, 'ProductSprint Backlog'!$J189-'ProductSprint Backlog'!$I189), AND('ProductSprint Backlog'!$J189=G$2,'ProductSprint Backlog'!$I189=G$2), 'ProductSprint Backlog'!$F189, TRUE, 0)</f>
        <v>0</v>
      </c>
      <c r="H189" s="4" cm="1">
        <f t="array" ref="H189">_xlfn.IFS('ProductSprint Backlog'!$F189="", "", AND('ProductSprint Backlog'!$J189&gt;H$2,'ProductSprint Backlog'!$I189&lt;=H$2), 'ProductSprint Backlog'!$F189 / MAX(1, 'ProductSprint Backlog'!$J189-'ProductSprint Backlog'!$I189), AND('ProductSprint Backlog'!$J189=H$2,'ProductSprint Backlog'!$I189=H$2), 'ProductSprint Backlog'!$F189, TRUE, 0)</f>
        <v>0</v>
      </c>
      <c r="I189" s="4" cm="1">
        <f t="array" ref="I189">_xlfn.IFS('ProductSprint Backlog'!$F189="", "", AND('ProductSprint Backlog'!$J189&gt;I$2,'ProductSprint Backlog'!$I189&lt;=I$2), 'ProductSprint Backlog'!$F189 / MAX(1, 'ProductSprint Backlog'!$J189-'ProductSprint Backlog'!$I189), AND('ProductSprint Backlog'!$J189=I$2,'ProductSprint Backlog'!$I189=I$2), 'ProductSprint Backlog'!$F189, TRUE, 0)</f>
        <v>0</v>
      </c>
      <c r="J189" s="4" cm="1">
        <f t="array" ref="J189">_xlfn.IFS('ProductSprint Backlog'!$F189="", "", AND('ProductSprint Backlog'!$J189&gt;J$2,'ProductSprint Backlog'!$I189&lt;=J$2), 'ProductSprint Backlog'!$F189 / MAX(1, 'ProductSprint Backlog'!$J189-'ProductSprint Backlog'!$I189), AND('ProductSprint Backlog'!$J189=J$2,'ProductSprint Backlog'!$I189=J$2), 'ProductSprint Backlog'!$F189, TRUE, 0)</f>
        <v>0</v>
      </c>
      <c r="K189" s="4" cm="1">
        <f t="array" ref="K189">_xlfn.IFS('ProductSprint Backlog'!$F189="", "", AND('ProductSprint Backlog'!$J189&gt;K$2,'ProductSprint Backlog'!$I189&lt;=K$2), 'ProductSprint Backlog'!$F189 / MAX(1, 'ProductSprint Backlog'!$J189-'ProductSprint Backlog'!$I189), AND('ProductSprint Backlog'!$J189=K$2,'ProductSprint Backlog'!$I189=K$2), 'ProductSprint Backlog'!$F189, TRUE, 0)</f>
        <v>0</v>
      </c>
      <c r="L189" s="4" cm="1">
        <f t="array" ref="L189">_xlfn.IFS('ProductSprint Backlog'!$F189="", "", AND('ProductSprint Backlog'!$J189&gt;L$2,'ProductSprint Backlog'!$I189&lt;=L$2), 'ProductSprint Backlog'!$F189 / MAX(1, 'ProductSprint Backlog'!$J189-'ProductSprint Backlog'!$I189), AND('ProductSprint Backlog'!$J189=L$2,'ProductSprint Backlog'!$I189=L$2), 'ProductSprint Backlog'!$F189, TRUE, 0)</f>
        <v>0</v>
      </c>
      <c r="M189" s="4" cm="1">
        <f t="array" ref="M189">_xlfn.IFS('ProductSprint Backlog'!$F189="", "", AND('ProductSprint Backlog'!$J189&gt;M$2,'ProductSprint Backlog'!$I189&lt;=M$2), 'ProductSprint Backlog'!$F189 / MAX(1, 'ProductSprint Backlog'!$J189-'ProductSprint Backlog'!$I189), AND('ProductSprint Backlog'!$J189=M$2,'ProductSprint Backlog'!$I189=M$2), 'ProductSprint Backlog'!$F189, TRUE, 0)</f>
        <v>0</v>
      </c>
      <c r="N189" s="4" cm="1">
        <f t="array" ref="N189">_xlfn.IFS('ProductSprint Backlog'!$F189="", "", AND('ProductSprint Backlog'!$J189&gt;N$2,'ProductSprint Backlog'!$I189&lt;=N$2), 'ProductSprint Backlog'!$F189 / MAX(1, 'ProductSprint Backlog'!$J189-'ProductSprint Backlog'!$I189), AND('ProductSprint Backlog'!$J189=N$2,'ProductSprint Backlog'!$I189=N$2), 'ProductSprint Backlog'!$F189, TRUE, 0)</f>
        <v>0</v>
      </c>
      <c r="O189" s="4" cm="1">
        <f t="array" ref="O189">_xlfn.IFS('ProductSprint Backlog'!$F189="", "", AND('ProductSprint Backlog'!$J189&gt;O$2,'ProductSprint Backlog'!$I189&lt;=O$2), 'ProductSprint Backlog'!$F189 / MAX(1, 'ProductSprint Backlog'!$J189-'ProductSprint Backlog'!$I189), AND('ProductSprint Backlog'!$J189=O$2,'ProductSprint Backlog'!$I189=O$2), 'ProductSprint Backlog'!$F189, TRUE, 0)</f>
        <v>0</v>
      </c>
      <c r="P189" s="4" cm="1">
        <f t="array" ref="P189">_xlfn.IFS('ProductSprint Backlog'!$F189="", "", AND('ProductSprint Backlog'!$J189&gt;P$2,'ProductSprint Backlog'!$I189&lt;=P$2), 'ProductSprint Backlog'!$F189 / MAX(1, 'ProductSprint Backlog'!$J189-'ProductSprint Backlog'!$I189), AND('ProductSprint Backlog'!$J189=P$2,'ProductSprint Backlog'!$I189=P$2), 'ProductSprint Backlog'!$F189, TRUE, 0)</f>
        <v>0</v>
      </c>
      <c r="Q189" s="4" cm="1">
        <f t="array" ref="Q189">_xlfn.IFS('ProductSprint Backlog'!$F189="", "", AND('ProductSprint Backlog'!$J189&gt;Q$2,'ProductSprint Backlog'!$I189&lt;=Q$2), 'ProductSprint Backlog'!$F189 / MAX(1, 'ProductSprint Backlog'!$J189-'ProductSprint Backlog'!$I189), AND('ProductSprint Backlog'!$J189=Q$2,'ProductSprint Backlog'!$I189=Q$2), 'ProductSprint Backlog'!$F189, TRUE, 0)</f>
        <v>0</v>
      </c>
    </row>
    <row r="190" spans="2:17" x14ac:dyDescent="0.2">
      <c r="B190" s="4" cm="1">
        <f t="array" ref="B190">_xlfn.IFS('ProductSprint Backlog'!$F190="", "", AND('ProductSprint Backlog'!$J190&gt;B$2,'ProductSprint Backlog'!$I190&lt;=B$2), 'ProductSprint Backlog'!$F190 / MAX(1, 'ProductSprint Backlog'!$J190-'ProductSprint Backlog'!$I190), AND('ProductSprint Backlog'!$J190=B$2,'ProductSprint Backlog'!$I190=B$2), 'ProductSprint Backlog'!$F190, TRUE, 0)</f>
        <v>0</v>
      </c>
      <c r="C190" s="4" cm="1">
        <f t="array" ref="C190">_xlfn.IFS('ProductSprint Backlog'!$F190="", "", AND('ProductSprint Backlog'!$J190&gt;C$2,'ProductSprint Backlog'!$I190&lt;=C$2), 'ProductSprint Backlog'!$F190 / MAX(1, 'ProductSprint Backlog'!$J190-'ProductSprint Backlog'!$I190), AND('ProductSprint Backlog'!$J190=C$2,'ProductSprint Backlog'!$I190=C$2), 'ProductSprint Backlog'!$F190, TRUE, 0)</f>
        <v>0</v>
      </c>
      <c r="D190" s="4" cm="1">
        <f t="array" ref="D190">_xlfn.IFS('ProductSprint Backlog'!$F190="", "", AND('ProductSprint Backlog'!$J190&gt;D$2,'ProductSprint Backlog'!$I190&lt;=D$2), 'ProductSprint Backlog'!$F190 / MAX(1, 'ProductSprint Backlog'!$J190-'ProductSprint Backlog'!$I190), AND('ProductSprint Backlog'!$J190=D$2,'ProductSprint Backlog'!$I190=D$2), 'ProductSprint Backlog'!$F190, TRUE, 0)</f>
        <v>0</v>
      </c>
      <c r="E190" s="4" cm="1">
        <f t="array" ref="E190">_xlfn.IFS('ProductSprint Backlog'!$F190="", "", AND('ProductSprint Backlog'!$J190&gt;E$2,'ProductSprint Backlog'!$I190&lt;=E$2), 'ProductSprint Backlog'!$F190 / MAX(1, 'ProductSprint Backlog'!$J190-'ProductSprint Backlog'!$I190), AND('ProductSprint Backlog'!$J190=E$2,'ProductSprint Backlog'!$I190=E$2), 'ProductSprint Backlog'!$F190, TRUE, 0)</f>
        <v>0</v>
      </c>
      <c r="F190" s="4" cm="1">
        <f t="array" ref="F190">_xlfn.IFS('ProductSprint Backlog'!$F190="", "", AND('ProductSprint Backlog'!$J190&gt;F$2,'ProductSprint Backlog'!$I190&lt;=F$2), 'ProductSprint Backlog'!$F190 / MAX(1, 'ProductSprint Backlog'!$J190-'ProductSprint Backlog'!$I190), AND('ProductSprint Backlog'!$J190=F$2,'ProductSprint Backlog'!$I190=F$2), 'ProductSprint Backlog'!$F190, TRUE, 0)</f>
        <v>0</v>
      </c>
      <c r="G190" s="4" cm="1">
        <f t="array" ref="G190">_xlfn.IFS('ProductSprint Backlog'!$F190="", "", AND('ProductSprint Backlog'!$J190&gt;G$2,'ProductSprint Backlog'!$I190&lt;=G$2), 'ProductSprint Backlog'!$F190 / MAX(1, 'ProductSprint Backlog'!$J190-'ProductSprint Backlog'!$I190), AND('ProductSprint Backlog'!$J190=G$2,'ProductSprint Backlog'!$I190=G$2), 'ProductSprint Backlog'!$F190, TRUE, 0)</f>
        <v>0</v>
      </c>
      <c r="H190" s="4" cm="1">
        <f t="array" ref="H190">_xlfn.IFS('ProductSprint Backlog'!$F190="", "", AND('ProductSprint Backlog'!$J190&gt;H$2,'ProductSprint Backlog'!$I190&lt;=H$2), 'ProductSprint Backlog'!$F190 / MAX(1, 'ProductSprint Backlog'!$J190-'ProductSprint Backlog'!$I190), AND('ProductSprint Backlog'!$J190=H$2,'ProductSprint Backlog'!$I190=H$2), 'ProductSprint Backlog'!$F190, TRUE, 0)</f>
        <v>0</v>
      </c>
      <c r="I190" s="4" cm="1">
        <f t="array" ref="I190">_xlfn.IFS('ProductSprint Backlog'!$F190="", "", AND('ProductSprint Backlog'!$J190&gt;I$2,'ProductSprint Backlog'!$I190&lt;=I$2), 'ProductSprint Backlog'!$F190 / MAX(1, 'ProductSprint Backlog'!$J190-'ProductSprint Backlog'!$I190), AND('ProductSprint Backlog'!$J190=I$2,'ProductSprint Backlog'!$I190=I$2), 'ProductSprint Backlog'!$F190, TRUE, 0)</f>
        <v>0</v>
      </c>
      <c r="J190" s="4" cm="1">
        <f t="array" ref="J190">_xlfn.IFS('ProductSprint Backlog'!$F190="", "", AND('ProductSprint Backlog'!$J190&gt;J$2,'ProductSprint Backlog'!$I190&lt;=J$2), 'ProductSprint Backlog'!$F190 / MAX(1, 'ProductSprint Backlog'!$J190-'ProductSprint Backlog'!$I190), AND('ProductSprint Backlog'!$J190=J$2,'ProductSprint Backlog'!$I190=J$2), 'ProductSprint Backlog'!$F190, TRUE, 0)</f>
        <v>0</v>
      </c>
      <c r="K190" s="4" cm="1">
        <f t="array" ref="K190">_xlfn.IFS('ProductSprint Backlog'!$F190="", "", AND('ProductSprint Backlog'!$J190&gt;K$2,'ProductSprint Backlog'!$I190&lt;=K$2), 'ProductSprint Backlog'!$F190 / MAX(1, 'ProductSprint Backlog'!$J190-'ProductSprint Backlog'!$I190), AND('ProductSprint Backlog'!$J190=K$2,'ProductSprint Backlog'!$I190=K$2), 'ProductSprint Backlog'!$F190, TRUE, 0)</f>
        <v>0</v>
      </c>
      <c r="L190" s="4" cm="1">
        <f t="array" ref="L190">_xlfn.IFS('ProductSprint Backlog'!$F190="", "", AND('ProductSprint Backlog'!$J190&gt;L$2,'ProductSprint Backlog'!$I190&lt;=L$2), 'ProductSprint Backlog'!$F190 / MAX(1, 'ProductSprint Backlog'!$J190-'ProductSprint Backlog'!$I190), AND('ProductSprint Backlog'!$J190=L$2,'ProductSprint Backlog'!$I190=L$2), 'ProductSprint Backlog'!$F190, TRUE, 0)</f>
        <v>0</v>
      </c>
      <c r="M190" s="4" cm="1">
        <f t="array" ref="M190">_xlfn.IFS('ProductSprint Backlog'!$F190="", "", AND('ProductSprint Backlog'!$J190&gt;M$2,'ProductSprint Backlog'!$I190&lt;=M$2), 'ProductSprint Backlog'!$F190 / MAX(1, 'ProductSprint Backlog'!$J190-'ProductSprint Backlog'!$I190), AND('ProductSprint Backlog'!$J190=M$2,'ProductSprint Backlog'!$I190=M$2), 'ProductSprint Backlog'!$F190, TRUE, 0)</f>
        <v>0</v>
      </c>
      <c r="N190" s="4" cm="1">
        <f t="array" ref="N190">_xlfn.IFS('ProductSprint Backlog'!$F190="", "", AND('ProductSprint Backlog'!$J190&gt;N$2,'ProductSprint Backlog'!$I190&lt;=N$2), 'ProductSprint Backlog'!$F190 / MAX(1, 'ProductSprint Backlog'!$J190-'ProductSprint Backlog'!$I190), AND('ProductSprint Backlog'!$J190=N$2,'ProductSprint Backlog'!$I190=N$2), 'ProductSprint Backlog'!$F190, TRUE, 0)</f>
        <v>0</v>
      </c>
      <c r="O190" s="4" cm="1">
        <f t="array" ref="O190">_xlfn.IFS('ProductSprint Backlog'!$F190="", "", AND('ProductSprint Backlog'!$J190&gt;O$2,'ProductSprint Backlog'!$I190&lt;=O$2), 'ProductSprint Backlog'!$F190 / MAX(1, 'ProductSprint Backlog'!$J190-'ProductSprint Backlog'!$I190), AND('ProductSprint Backlog'!$J190=O$2,'ProductSprint Backlog'!$I190=O$2), 'ProductSprint Backlog'!$F190, TRUE, 0)</f>
        <v>0</v>
      </c>
      <c r="P190" s="4" cm="1">
        <f t="array" ref="P190">_xlfn.IFS('ProductSprint Backlog'!$F190="", "", AND('ProductSprint Backlog'!$J190&gt;P$2,'ProductSprint Backlog'!$I190&lt;=P$2), 'ProductSprint Backlog'!$F190 / MAX(1, 'ProductSprint Backlog'!$J190-'ProductSprint Backlog'!$I190), AND('ProductSprint Backlog'!$J190=P$2,'ProductSprint Backlog'!$I190=P$2), 'ProductSprint Backlog'!$F190, TRUE, 0)</f>
        <v>0</v>
      </c>
      <c r="Q190" s="4" cm="1">
        <f t="array" ref="Q190">_xlfn.IFS('ProductSprint Backlog'!$F190="", "", AND('ProductSprint Backlog'!$J190&gt;Q$2,'ProductSprint Backlog'!$I190&lt;=Q$2), 'ProductSprint Backlog'!$F190 / MAX(1, 'ProductSprint Backlog'!$J190-'ProductSprint Backlog'!$I190), AND('ProductSprint Backlog'!$J190=Q$2,'ProductSprint Backlog'!$I190=Q$2), 'ProductSprint Backlog'!$F190, TRUE, 0)</f>
        <v>0</v>
      </c>
    </row>
    <row r="191" spans="2:17" x14ac:dyDescent="0.2">
      <c r="B191" s="4" cm="1">
        <f t="array" ref="B191">_xlfn.IFS('ProductSprint Backlog'!$F191="", "", AND('ProductSprint Backlog'!$J191&gt;B$2,'ProductSprint Backlog'!$I191&lt;=B$2), 'ProductSprint Backlog'!$F191 / MAX(1, 'ProductSprint Backlog'!$J191-'ProductSprint Backlog'!$I191), AND('ProductSprint Backlog'!$J191=B$2,'ProductSprint Backlog'!$I191=B$2), 'ProductSprint Backlog'!$F191, TRUE, 0)</f>
        <v>0</v>
      </c>
      <c r="C191" s="4" cm="1">
        <f t="array" ref="C191">_xlfn.IFS('ProductSprint Backlog'!$F191="", "", AND('ProductSprint Backlog'!$J191&gt;C$2,'ProductSprint Backlog'!$I191&lt;=C$2), 'ProductSprint Backlog'!$F191 / MAX(1, 'ProductSprint Backlog'!$J191-'ProductSprint Backlog'!$I191), AND('ProductSprint Backlog'!$J191=C$2,'ProductSprint Backlog'!$I191=C$2), 'ProductSprint Backlog'!$F191, TRUE, 0)</f>
        <v>0</v>
      </c>
      <c r="D191" s="4" cm="1">
        <f t="array" ref="D191">_xlfn.IFS('ProductSprint Backlog'!$F191="", "", AND('ProductSprint Backlog'!$J191&gt;D$2,'ProductSprint Backlog'!$I191&lt;=D$2), 'ProductSprint Backlog'!$F191 / MAX(1, 'ProductSprint Backlog'!$J191-'ProductSprint Backlog'!$I191), AND('ProductSprint Backlog'!$J191=D$2,'ProductSprint Backlog'!$I191=D$2), 'ProductSprint Backlog'!$F191, TRUE, 0)</f>
        <v>0</v>
      </c>
      <c r="E191" s="4" cm="1">
        <f t="array" ref="E191">_xlfn.IFS('ProductSprint Backlog'!$F191="", "", AND('ProductSprint Backlog'!$J191&gt;E$2,'ProductSprint Backlog'!$I191&lt;=E$2), 'ProductSprint Backlog'!$F191 / MAX(1, 'ProductSprint Backlog'!$J191-'ProductSprint Backlog'!$I191), AND('ProductSprint Backlog'!$J191=E$2,'ProductSprint Backlog'!$I191=E$2), 'ProductSprint Backlog'!$F191, TRUE, 0)</f>
        <v>0</v>
      </c>
      <c r="F191" s="4" cm="1">
        <f t="array" ref="F191">_xlfn.IFS('ProductSprint Backlog'!$F191="", "", AND('ProductSprint Backlog'!$J191&gt;F$2,'ProductSprint Backlog'!$I191&lt;=F$2), 'ProductSprint Backlog'!$F191 / MAX(1, 'ProductSprint Backlog'!$J191-'ProductSprint Backlog'!$I191), AND('ProductSprint Backlog'!$J191=F$2,'ProductSprint Backlog'!$I191=F$2), 'ProductSprint Backlog'!$F191, TRUE, 0)</f>
        <v>0</v>
      </c>
      <c r="G191" s="4" cm="1">
        <f t="array" ref="G191">_xlfn.IFS('ProductSprint Backlog'!$F191="", "", AND('ProductSprint Backlog'!$J191&gt;G$2,'ProductSprint Backlog'!$I191&lt;=G$2), 'ProductSprint Backlog'!$F191 / MAX(1, 'ProductSprint Backlog'!$J191-'ProductSprint Backlog'!$I191), AND('ProductSprint Backlog'!$J191=G$2,'ProductSprint Backlog'!$I191=G$2), 'ProductSprint Backlog'!$F191, TRUE, 0)</f>
        <v>0</v>
      </c>
      <c r="H191" s="4" cm="1">
        <f t="array" ref="H191">_xlfn.IFS('ProductSprint Backlog'!$F191="", "", AND('ProductSprint Backlog'!$J191&gt;H$2,'ProductSprint Backlog'!$I191&lt;=H$2), 'ProductSprint Backlog'!$F191 / MAX(1, 'ProductSprint Backlog'!$J191-'ProductSprint Backlog'!$I191), AND('ProductSprint Backlog'!$J191=H$2,'ProductSprint Backlog'!$I191=H$2), 'ProductSprint Backlog'!$F191, TRUE, 0)</f>
        <v>0</v>
      </c>
      <c r="I191" s="4" cm="1">
        <f t="array" ref="I191">_xlfn.IFS('ProductSprint Backlog'!$F191="", "", AND('ProductSprint Backlog'!$J191&gt;I$2,'ProductSprint Backlog'!$I191&lt;=I$2), 'ProductSprint Backlog'!$F191 / MAX(1, 'ProductSprint Backlog'!$J191-'ProductSprint Backlog'!$I191), AND('ProductSprint Backlog'!$J191=I$2,'ProductSprint Backlog'!$I191=I$2), 'ProductSprint Backlog'!$F191, TRUE, 0)</f>
        <v>0</v>
      </c>
      <c r="J191" s="4" cm="1">
        <f t="array" ref="J191">_xlfn.IFS('ProductSprint Backlog'!$F191="", "", AND('ProductSprint Backlog'!$J191&gt;J$2,'ProductSprint Backlog'!$I191&lt;=J$2), 'ProductSprint Backlog'!$F191 / MAX(1, 'ProductSprint Backlog'!$J191-'ProductSprint Backlog'!$I191), AND('ProductSprint Backlog'!$J191=J$2,'ProductSprint Backlog'!$I191=J$2), 'ProductSprint Backlog'!$F191, TRUE, 0)</f>
        <v>0</v>
      </c>
      <c r="K191" s="4" cm="1">
        <f t="array" ref="K191">_xlfn.IFS('ProductSprint Backlog'!$F191="", "", AND('ProductSprint Backlog'!$J191&gt;K$2,'ProductSprint Backlog'!$I191&lt;=K$2), 'ProductSprint Backlog'!$F191 / MAX(1, 'ProductSprint Backlog'!$J191-'ProductSprint Backlog'!$I191), AND('ProductSprint Backlog'!$J191=K$2,'ProductSprint Backlog'!$I191=K$2), 'ProductSprint Backlog'!$F191, TRUE, 0)</f>
        <v>0</v>
      </c>
      <c r="L191" s="4" cm="1">
        <f t="array" ref="L191">_xlfn.IFS('ProductSprint Backlog'!$F191="", "", AND('ProductSprint Backlog'!$J191&gt;L$2,'ProductSprint Backlog'!$I191&lt;=L$2), 'ProductSprint Backlog'!$F191 / MAX(1, 'ProductSprint Backlog'!$J191-'ProductSprint Backlog'!$I191), AND('ProductSprint Backlog'!$J191=L$2,'ProductSprint Backlog'!$I191=L$2), 'ProductSprint Backlog'!$F191, TRUE, 0)</f>
        <v>0</v>
      </c>
      <c r="M191" s="4" cm="1">
        <f t="array" ref="M191">_xlfn.IFS('ProductSprint Backlog'!$F191="", "", AND('ProductSprint Backlog'!$J191&gt;M$2,'ProductSprint Backlog'!$I191&lt;=M$2), 'ProductSprint Backlog'!$F191 / MAX(1, 'ProductSprint Backlog'!$J191-'ProductSprint Backlog'!$I191), AND('ProductSprint Backlog'!$J191=M$2,'ProductSprint Backlog'!$I191=M$2), 'ProductSprint Backlog'!$F191, TRUE, 0)</f>
        <v>0</v>
      </c>
      <c r="N191" s="4" cm="1">
        <f t="array" ref="N191">_xlfn.IFS('ProductSprint Backlog'!$F191="", "", AND('ProductSprint Backlog'!$J191&gt;N$2,'ProductSprint Backlog'!$I191&lt;=N$2), 'ProductSprint Backlog'!$F191 / MAX(1, 'ProductSprint Backlog'!$J191-'ProductSprint Backlog'!$I191), AND('ProductSprint Backlog'!$J191=N$2,'ProductSprint Backlog'!$I191=N$2), 'ProductSprint Backlog'!$F191, TRUE, 0)</f>
        <v>0</v>
      </c>
      <c r="O191" s="4" cm="1">
        <f t="array" ref="O191">_xlfn.IFS('ProductSprint Backlog'!$F191="", "", AND('ProductSprint Backlog'!$J191&gt;O$2,'ProductSprint Backlog'!$I191&lt;=O$2), 'ProductSprint Backlog'!$F191 / MAX(1, 'ProductSprint Backlog'!$J191-'ProductSprint Backlog'!$I191), AND('ProductSprint Backlog'!$J191=O$2,'ProductSprint Backlog'!$I191=O$2), 'ProductSprint Backlog'!$F191, TRUE, 0)</f>
        <v>0</v>
      </c>
      <c r="P191" s="4" cm="1">
        <f t="array" ref="P191">_xlfn.IFS('ProductSprint Backlog'!$F191="", "", AND('ProductSprint Backlog'!$J191&gt;P$2,'ProductSprint Backlog'!$I191&lt;=P$2), 'ProductSprint Backlog'!$F191 / MAX(1, 'ProductSprint Backlog'!$J191-'ProductSprint Backlog'!$I191), AND('ProductSprint Backlog'!$J191=P$2,'ProductSprint Backlog'!$I191=P$2), 'ProductSprint Backlog'!$F191, TRUE, 0)</f>
        <v>0</v>
      </c>
      <c r="Q191" s="4" cm="1">
        <f t="array" ref="Q191">_xlfn.IFS('ProductSprint Backlog'!$F191="", "", AND('ProductSprint Backlog'!$J191&gt;Q$2,'ProductSprint Backlog'!$I191&lt;=Q$2), 'ProductSprint Backlog'!$F191 / MAX(1, 'ProductSprint Backlog'!$J191-'ProductSprint Backlog'!$I191), AND('ProductSprint Backlog'!$J191=Q$2,'ProductSprint Backlog'!$I191=Q$2), 'ProductSprint Backlog'!$F191, TRUE, 0)</f>
        <v>0</v>
      </c>
    </row>
    <row r="192" spans="2:17" x14ac:dyDescent="0.2">
      <c r="B192" s="4" cm="1">
        <f t="array" ref="B192">_xlfn.IFS('ProductSprint Backlog'!$F192="", "", AND('ProductSprint Backlog'!$J192&gt;B$2,'ProductSprint Backlog'!$I192&lt;=B$2), 'ProductSprint Backlog'!$F192 / MAX(1, 'ProductSprint Backlog'!$J192-'ProductSprint Backlog'!$I192), AND('ProductSprint Backlog'!$J192=B$2,'ProductSprint Backlog'!$I192=B$2), 'ProductSprint Backlog'!$F192, TRUE, 0)</f>
        <v>0</v>
      </c>
      <c r="C192" s="4" cm="1">
        <f t="array" ref="C192">_xlfn.IFS('ProductSprint Backlog'!$F192="", "", AND('ProductSprint Backlog'!$J192&gt;C$2,'ProductSprint Backlog'!$I192&lt;=C$2), 'ProductSprint Backlog'!$F192 / MAX(1, 'ProductSprint Backlog'!$J192-'ProductSprint Backlog'!$I192), AND('ProductSprint Backlog'!$J192=C$2,'ProductSprint Backlog'!$I192=C$2), 'ProductSprint Backlog'!$F192, TRUE, 0)</f>
        <v>0</v>
      </c>
      <c r="D192" s="4" cm="1">
        <f t="array" ref="D192">_xlfn.IFS('ProductSprint Backlog'!$F192="", "", AND('ProductSprint Backlog'!$J192&gt;D$2,'ProductSprint Backlog'!$I192&lt;=D$2), 'ProductSprint Backlog'!$F192 / MAX(1, 'ProductSprint Backlog'!$J192-'ProductSprint Backlog'!$I192), AND('ProductSprint Backlog'!$J192=D$2,'ProductSprint Backlog'!$I192=D$2), 'ProductSprint Backlog'!$F192, TRUE, 0)</f>
        <v>0</v>
      </c>
      <c r="E192" s="4" cm="1">
        <f t="array" ref="E192">_xlfn.IFS('ProductSprint Backlog'!$F192="", "", AND('ProductSprint Backlog'!$J192&gt;E$2,'ProductSprint Backlog'!$I192&lt;=E$2), 'ProductSprint Backlog'!$F192 / MAX(1, 'ProductSprint Backlog'!$J192-'ProductSprint Backlog'!$I192), AND('ProductSprint Backlog'!$J192=E$2,'ProductSprint Backlog'!$I192=E$2), 'ProductSprint Backlog'!$F192, TRUE, 0)</f>
        <v>0</v>
      </c>
      <c r="F192" s="4" cm="1">
        <f t="array" ref="F192">_xlfn.IFS('ProductSprint Backlog'!$F192="", "", AND('ProductSprint Backlog'!$J192&gt;F$2,'ProductSprint Backlog'!$I192&lt;=F$2), 'ProductSprint Backlog'!$F192 / MAX(1, 'ProductSprint Backlog'!$J192-'ProductSprint Backlog'!$I192), AND('ProductSprint Backlog'!$J192=F$2,'ProductSprint Backlog'!$I192=F$2), 'ProductSprint Backlog'!$F192, TRUE, 0)</f>
        <v>0</v>
      </c>
      <c r="G192" s="4" cm="1">
        <f t="array" ref="G192">_xlfn.IFS('ProductSprint Backlog'!$F192="", "", AND('ProductSprint Backlog'!$J192&gt;G$2,'ProductSprint Backlog'!$I192&lt;=G$2), 'ProductSprint Backlog'!$F192 / MAX(1, 'ProductSprint Backlog'!$J192-'ProductSprint Backlog'!$I192), AND('ProductSprint Backlog'!$J192=G$2,'ProductSprint Backlog'!$I192=G$2), 'ProductSprint Backlog'!$F192, TRUE, 0)</f>
        <v>0</v>
      </c>
      <c r="H192" s="4" cm="1">
        <f t="array" ref="H192">_xlfn.IFS('ProductSprint Backlog'!$F192="", "", AND('ProductSprint Backlog'!$J192&gt;H$2,'ProductSprint Backlog'!$I192&lt;=H$2), 'ProductSprint Backlog'!$F192 / MAX(1, 'ProductSprint Backlog'!$J192-'ProductSprint Backlog'!$I192), AND('ProductSprint Backlog'!$J192=H$2,'ProductSprint Backlog'!$I192=H$2), 'ProductSprint Backlog'!$F192, TRUE, 0)</f>
        <v>0</v>
      </c>
      <c r="I192" s="4" cm="1">
        <f t="array" ref="I192">_xlfn.IFS('ProductSprint Backlog'!$F192="", "", AND('ProductSprint Backlog'!$J192&gt;I$2,'ProductSprint Backlog'!$I192&lt;=I$2), 'ProductSprint Backlog'!$F192 / MAX(1, 'ProductSprint Backlog'!$J192-'ProductSprint Backlog'!$I192), AND('ProductSprint Backlog'!$J192=I$2,'ProductSprint Backlog'!$I192=I$2), 'ProductSprint Backlog'!$F192, TRUE, 0)</f>
        <v>0</v>
      </c>
      <c r="J192" s="4" cm="1">
        <f t="array" ref="J192">_xlfn.IFS('ProductSprint Backlog'!$F192="", "", AND('ProductSprint Backlog'!$J192&gt;J$2,'ProductSprint Backlog'!$I192&lt;=J$2), 'ProductSprint Backlog'!$F192 / MAX(1, 'ProductSprint Backlog'!$J192-'ProductSprint Backlog'!$I192), AND('ProductSprint Backlog'!$J192=J$2,'ProductSprint Backlog'!$I192=J$2), 'ProductSprint Backlog'!$F192, TRUE, 0)</f>
        <v>0</v>
      </c>
      <c r="K192" s="4" cm="1">
        <f t="array" ref="K192">_xlfn.IFS('ProductSprint Backlog'!$F192="", "", AND('ProductSprint Backlog'!$J192&gt;K$2,'ProductSprint Backlog'!$I192&lt;=K$2), 'ProductSprint Backlog'!$F192 / MAX(1, 'ProductSprint Backlog'!$J192-'ProductSprint Backlog'!$I192), AND('ProductSprint Backlog'!$J192=K$2,'ProductSprint Backlog'!$I192=K$2), 'ProductSprint Backlog'!$F192, TRUE, 0)</f>
        <v>0</v>
      </c>
      <c r="L192" s="4" cm="1">
        <f t="array" ref="L192">_xlfn.IFS('ProductSprint Backlog'!$F192="", "", AND('ProductSprint Backlog'!$J192&gt;L$2,'ProductSprint Backlog'!$I192&lt;=L$2), 'ProductSprint Backlog'!$F192 / MAX(1, 'ProductSprint Backlog'!$J192-'ProductSprint Backlog'!$I192), AND('ProductSprint Backlog'!$J192=L$2,'ProductSprint Backlog'!$I192=L$2), 'ProductSprint Backlog'!$F192, TRUE, 0)</f>
        <v>0</v>
      </c>
      <c r="M192" s="4" cm="1">
        <f t="array" ref="M192">_xlfn.IFS('ProductSprint Backlog'!$F192="", "", AND('ProductSprint Backlog'!$J192&gt;M$2,'ProductSprint Backlog'!$I192&lt;=M$2), 'ProductSprint Backlog'!$F192 / MAX(1, 'ProductSprint Backlog'!$J192-'ProductSprint Backlog'!$I192), AND('ProductSprint Backlog'!$J192=M$2,'ProductSprint Backlog'!$I192=M$2), 'ProductSprint Backlog'!$F192, TRUE, 0)</f>
        <v>0</v>
      </c>
      <c r="N192" s="4" cm="1">
        <f t="array" ref="N192">_xlfn.IFS('ProductSprint Backlog'!$F192="", "", AND('ProductSprint Backlog'!$J192&gt;N$2,'ProductSprint Backlog'!$I192&lt;=N$2), 'ProductSprint Backlog'!$F192 / MAX(1, 'ProductSprint Backlog'!$J192-'ProductSprint Backlog'!$I192), AND('ProductSprint Backlog'!$J192=N$2,'ProductSprint Backlog'!$I192=N$2), 'ProductSprint Backlog'!$F192, TRUE, 0)</f>
        <v>0</v>
      </c>
      <c r="O192" s="4" cm="1">
        <f t="array" ref="O192">_xlfn.IFS('ProductSprint Backlog'!$F192="", "", AND('ProductSprint Backlog'!$J192&gt;O$2,'ProductSprint Backlog'!$I192&lt;=O$2), 'ProductSprint Backlog'!$F192 / MAX(1, 'ProductSprint Backlog'!$J192-'ProductSprint Backlog'!$I192), AND('ProductSprint Backlog'!$J192=O$2,'ProductSprint Backlog'!$I192=O$2), 'ProductSprint Backlog'!$F192, TRUE, 0)</f>
        <v>0</v>
      </c>
      <c r="P192" s="4" cm="1">
        <f t="array" ref="P192">_xlfn.IFS('ProductSprint Backlog'!$F192="", "", AND('ProductSprint Backlog'!$J192&gt;P$2,'ProductSprint Backlog'!$I192&lt;=P$2), 'ProductSprint Backlog'!$F192 / MAX(1, 'ProductSprint Backlog'!$J192-'ProductSprint Backlog'!$I192), AND('ProductSprint Backlog'!$J192=P$2,'ProductSprint Backlog'!$I192=P$2), 'ProductSprint Backlog'!$F192, TRUE, 0)</f>
        <v>0</v>
      </c>
      <c r="Q192" s="4" cm="1">
        <f t="array" ref="Q192">_xlfn.IFS('ProductSprint Backlog'!$F192="", "", AND('ProductSprint Backlog'!$J192&gt;Q$2,'ProductSprint Backlog'!$I192&lt;=Q$2), 'ProductSprint Backlog'!$F192 / MAX(1, 'ProductSprint Backlog'!$J192-'ProductSprint Backlog'!$I192), AND('ProductSprint Backlog'!$J192=Q$2,'ProductSprint Backlog'!$I192=Q$2), 'ProductSprint Backlog'!$F192, TRUE, 0)</f>
        <v>0</v>
      </c>
    </row>
    <row r="193" spans="2:17" x14ac:dyDescent="0.2">
      <c r="B193" s="4" cm="1">
        <f t="array" ref="B193">_xlfn.IFS('ProductSprint Backlog'!$F193="", "", AND('ProductSprint Backlog'!$J193&gt;B$2,'ProductSprint Backlog'!$I193&lt;=B$2), 'ProductSprint Backlog'!$F193 / MAX(1, 'ProductSprint Backlog'!$J193-'ProductSprint Backlog'!$I193), AND('ProductSprint Backlog'!$J193=B$2,'ProductSprint Backlog'!$I193=B$2), 'ProductSprint Backlog'!$F193, TRUE, 0)</f>
        <v>0</v>
      </c>
      <c r="C193" s="4" cm="1">
        <f t="array" ref="C193">_xlfn.IFS('ProductSprint Backlog'!$F193="", "", AND('ProductSprint Backlog'!$J193&gt;C$2,'ProductSprint Backlog'!$I193&lt;=C$2), 'ProductSprint Backlog'!$F193 / MAX(1, 'ProductSprint Backlog'!$J193-'ProductSprint Backlog'!$I193), AND('ProductSprint Backlog'!$J193=C$2,'ProductSprint Backlog'!$I193=C$2), 'ProductSprint Backlog'!$F193, TRUE, 0)</f>
        <v>0</v>
      </c>
      <c r="D193" s="4" cm="1">
        <f t="array" ref="D193">_xlfn.IFS('ProductSprint Backlog'!$F193="", "", AND('ProductSprint Backlog'!$J193&gt;D$2,'ProductSprint Backlog'!$I193&lt;=D$2), 'ProductSprint Backlog'!$F193 / MAX(1, 'ProductSprint Backlog'!$J193-'ProductSprint Backlog'!$I193), AND('ProductSprint Backlog'!$J193=D$2,'ProductSprint Backlog'!$I193=D$2), 'ProductSprint Backlog'!$F193, TRUE, 0)</f>
        <v>0</v>
      </c>
      <c r="E193" s="4" cm="1">
        <f t="array" ref="E193">_xlfn.IFS('ProductSprint Backlog'!$F193="", "", AND('ProductSprint Backlog'!$J193&gt;E$2,'ProductSprint Backlog'!$I193&lt;=E$2), 'ProductSprint Backlog'!$F193 / MAX(1, 'ProductSprint Backlog'!$J193-'ProductSprint Backlog'!$I193), AND('ProductSprint Backlog'!$J193=E$2,'ProductSprint Backlog'!$I193=E$2), 'ProductSprint Backlog'!$F193, TRUE, 0)</f>
        <v>0</v>
      </c>
      <c r="F193" s="4" cm="1">
        <f t="array" ref="F193">_xlfn.IFS('ProductSprint Backlog'!$F193="", "", AND('ProductSprint Backlog'!$J193&gt;F$2,'ProductSprint Backlog'!$I193&lt;=F$2), 'ProductSprint Backlog'!$F193 / MAX(1, 'ProductSprint Backlog'!$J193-'ProductSprint Backlog'!$I193), AND('ProductSprint Backlog'!$J193=F$2,'ProductSprint Backlog'!$I193=F$2), 'ProductSprint Backlog'!$F193, TRUE, 0)</f>
        <v>0</v>
      </c>
      <c r="G193" s="4" cm="1">
        <f t="array" ref="G193">_xlfn.IFS('ProductSprint Backlog'!$F193="", "", AND('ProductSprint Backlog'!$J193&gt;G$2,'ProductSprint Backlog'!$I193&lt;=G$2), 'ProductSprint Backlog'!$F193 / MAX(1, 'ProductSprint Backlog'!$J193-'ProductSprint Backlog'!$I193), AND('ProductSprint Backlog'!$J193=G$2,'ProductSprint Backlog'!$I193=G$2), 'ProductSprint Backlog'!$F193, TRUE, 0)</f>
        <v>0</v>
      </c>
      <c r="H193" s="4" cm="1">
        <f t="array" ref="H193">_xlfn.IFS('ProductSprint Backlog'!$F193="", "", AND('ProductSprint Backlog'!$J193&gt;H$2,'ProductSprint Backlog'!$I193&lt;=H$2), 'ProductSprint Backlog'!$F193 / MAX(1, 'ProductSprint Backlog'!$J193-'ProductSprint Backlog'!$I193), AND('ProductSprint Backlog'!$J193=H$2,'ProductSprint Backlog'!$I193=H$2), 'ProductSprint Backlog'!$F193, TRUE, 0)</f>
        <v>0</v>
      </c>
      <c r="I193" s="4" cm="1">
        <f t="array" ref="I193">_xlfn.IFS('ProductSprint Backlog'!$F193="", "", AND('ProductSprint Backlog'!$J193&gt;I$2,'ProductSprint Backlog'!$I193&lt;=I$2), 'ProductSprint Backlog'!$F193 / MAX(1, 'ProductSprint Backlog'!$J193-'ProductSprint Backlog'!$I193), AND('ProductSprint Backlog'!$J193=I$2,'ProductSprint Backlog'!$I193=I$2), 'ProductSprint Backlog'!$F193, TRUE, 0)</f>
        <v>0</v>
      </c>
      <c r="J193" s="4" cm="1">
        <f t="array" ref="J193">_xlfn.IFS('ProductSprint Backlog'!$F193="", "", AND('ProductSprint Backlog'!$J193&gt;J$2,'ProductSprint Backlog'!$I193&lt;=J$2), 'ProductSprint Backlog'!$F193 / MAX(1, 'ProductSprint Backlog'!$J193-'ProductSprint Backlog'!$I193), AND('ProductSprint Backlog'!$J193=J$2,'ProductSprint Backlog'!$I193=J$2), 'ProductSprint Backlog'!$F193, TRUE, 0)</f>
        <v>0</v>
      </c>
      <c r="K193" s="4" cm="1">
        <f t="array" ref="K193">_xlfn.IFS('ProductSprint Backlog'!$F193="", "", AND('ProductSprint Backlog'!$J193&gt;K$2,'ProductSprint Backlog'!$I193&lt;=K$2), 'ProductSprint Backlog'!$F193 / MAX(1, 'ProductSprint Backlog'!$J193-'ProductSprint Backlog'!$I193), AND('ProductSprint Backlog'!$J193=K$2,'ProductSprint Backlog'!$I193=K$2), 'ProductSprint Backlog'!$F193, TRUE, 0)</f>
        <v>0</v>
      </c>
      <c r="L193" s="4" cm="1">
        <f t="array" ref="L193">_xlfn.IFS('ProductSprint Backlog'!$F193="", "", AND('ProductSprint Backlog'!$J193&gt;L$2,'ProductSprint Backlog'!$I193&lt;=L$2), 'ProductSprint Backlog'!$F193 / MAX(1, 'ProductSprint Backlog'!$J193-'ProductSprint Backlog'!$I193), AND('ProductSprint Backlog'!$J193=L$2,'ProductSprint Backlog'!$I193=L$2), 'ProductSprint Backlog'!$F193, TRUE, 0)</f>
        <v>0</v>
      </c>
      <c r="M193" s="4" cm="1">
        <f t="array" ref="M193">_xlfn.IFS('ProductSprint Backlog'!$F193="", "", AND('ProductSprint Backlog'!$J193&gt;M$2,'ProductSprint Backlog'!$I193&lt;=M$2), 'ProductSprint Backlog'!$F193 / MAX(1, 'ProductSprint Backlog'!$J193-'ProductSprint Backlog'!$I193), AND('ProductSprint Backlog'!$J193=M$2,'ProductSprint Backlog'!$I193=M$2), 'ProductSprint Backlog'!$F193, TRUE, 0)</f>
        <v>0</v>
      </c>
      <c r="N193" s="4" cm="1">
        <f t="array" ref="N193">_xlfn.IFS('ProductSprint Backlog'!$F193="", "", AND('ProductSprint Backlog'!$J193&gt;N$2,'ProductSprint Backlog'!$I193&lt;=N$2), 'ProductSprint Backlog'!$F193 / MAX(1, 'ProductSprint Backlog'!$J193-'ProductSprint Backlog'!$I193), AND('ProductSprint Backlog'!$J193=N$2,'ProductSprint Backlog'!$I193=N$2), 'ProductSprint Backlog'!$F193, TRUE, 0)</f>
        <v>0</v>
      </c>
      <c r="O193" s="4" cm="1">
        <f t="array" ref="O193">_xlfn.IFS('ProductSprint Backlog'!$F193="", "", AND('ProductSprint Backlog'!$J193&gt;O$2,'ProductSprint Backlog'!$I193&lt;=O$2), 'ProductSprint Backlog'!$F193 / MAX(1, 'ProductSprint Backlog'!$J193-'ProductSprint Backlog'!$I193), AND('ProductSprint Backlog'!$J193=O$2,'ProductSprint Backlog'!$I193=O$2), 'ProductSprint Backlog'!$F193, TRUE, 0)</f>
        <v>0</v>
      </c>
      <c r="P193" s="4" cm="1">
        <f t="array" ref="P193">_xlfn.IFS('ProductSprint Backlog'!$F193="", "", AND('ProductSprint Backlog'!$J193&gt;P$2,'ProductSprint Backlog'!$I193&lt;=P$2), 'ProductSprint Backlog'!$F193 / MAX(1, 'ProductSprint Backlog'!$J193-'ProductSprint Backlog'!$I193), AND('ProductSprint Backlog'!$J193=P$2,'ProductSprint Backlog'!$I193=P$2), 'ProductSprint Backlog'!$F193, TRUE, 0)</f>
        <v>0</v>
      </c>
      <c r="Q193" s="4" cm="1">
        <f t="array" ref="Q193">_xlfn.IFS('ProductSprint Backlog'!$F193="", "", AND('ProductSprint Backlog'!$J193&gt;Q$2,'ProductSprint Backlog'!$I193&lt;=Q$2), 'ProductSprint Backlog'!$F193 / MAX(1, 'ProductSprint Backlog'!$J193-'ProductSprint Backlog'!$I193), AND('ProductSprint Backlog'!$J193=Q$2,'ProductSprint Backlog'!$I193=Q$2), 'ProductSprint Backlog'!$F193, TRUE, 0)</f>
        <v>0</v>
      </c>
    </row>
    <row r="194" spans="2:17" x14ac:dyDescent="0.2">
      <c r="B194" s="4" cm="1">
        <f t="array" ref="B194">_xlfn.IFS('ProductSprint Backlog'!$F194="", "", AND('ProductSprint Backlog'!$J194&gt;B$2,'ProductSprint Backlog'!$I194&lt;=B$2), 'ProductSprint Backlog'!$F194 / MAX(1, 'ProductSprint Backlog'!$J194-'ProductSprint Backlog'!$I194), AND('ProductSprint Backlog'!$J194=B$2,'ProductSprint Backlog'!$I194=B$2), 'ProductSprint Backlog'!$F194, TRUE, 0)</f>
        <v>0</v>
      </c>
      <c r="C194" s="4" cm="1">
        <f t="array" ref="C194">_xlfn.IFS('ProductSprint Backlog'!$F194="", "", AND('ProductSprint Backlog'!$J194&gt;C$2,'ProductSprint Backlog'!$I194&lt;=C$2), 'ProductSprint Backlog'!$F194 / MAX(1, 'ProductSprint Backlog'!$J194-'ProductSprint Backlog'!$I194), AND('ProductSprint Backlog'!$J194=C$2,'ProductSprint Backlog'!$I194=C$2), 'ProductSprint Backlog'!$F194, TRUE, 0)</f>
        <v>0</v>
      </c>
      <c r="D194" s="4" cm="1">
        <f t="array" ref="D194">_xlfn.IFS('ProductSprint Backlog'!$F194="", "", AND('ProductSprint Backlog'!$J194&gt;D$2,'ProductSprint Backlog'!$I194&lt;=D$2), 'ProductSprint Backlog'!$F194 / MAX(1, 'ProductSprint Backlog'!$J194-'ProductSprint Backlog'!$I194), AND('ProductSprint Backlog'!$J194=D$2,'ProductSprint Backlog'!$I194=D$2), 'ProductSprint Backlog'!$F194, TRUE, 0)</f>
        <v>0</v>
      </c>
      <c r="E194" s="4" cm="1">
        <f t="array" ref="E194">_xlfn.IFS('ProductSprint Backlog'!$F194="", "", AND('ProductSprint Backlog'!$J194&gt;E$2,'ProductSprint Backlog'!$I194&lt;=E$2), 'ProductSprint Backlog'!$F194 / MAX(1, 'ProductSprint Backlog'!$J194-'ProductSprint Backlog'!$I194), AND('ProductSprint Backlog'!$J194=E$2,'ProductSprint Backlog'!$I194=E$2), 'ProductSprint Backlog'!$F194, TRUE, 0)</f>
        <v>0</v>
      </c>
      <c r="F194" s="4" cm="1">
        <f t="array" ref="F194">_xlfn.IFS('ProductSprint Backlog'!$F194="", "", AND('ProductSprint Backlog'!$J194&gt;F$2,'ProductSprint Backlog'!$I194&lt;=F$2), 'ProductSprint Backlog'!$F194 / MAX(1, 'ProductSprint Backlog'!$J194-'ProductSprint Backlog'!$I194), AND('ProductSprint Backlog'!$J194=F$2,'ProductSprint Backlog'!$I194=F$2), 'ProductSprint Backlog'!$F194, TRUE, 0)</f>
        <v>0</v>
      </c>
      <c r="G194" s="4" cm="1">
        <f t="array" ref="G194">_xlfn.IFS('ProductSprint Backlog'!$F194="", "", AND('ProductSprint Backlog'!$J194&gt;G$2,'ProductSprint Backlog'!$I194&lt;=G$2), 'ProductSprint Backlog'!$F194 / MAX(1, 'ProductSprint Backlog'!$J194-'ProductSprint Backlog'!$I194), AND('ProductSprint Backlog'!$J194=G$2,'ProductSprint Backlog'!$I194=G$2), 'ProductSprint Backlog'!$F194, TRUE, 0)</f>
        <v>0</v>
      </c>
      <c r="H194" s="4" cm="1">
        <f t="array" ref="H194">_xlfn.IFS('ProductSprint Backlog'!$F194="", "", AND('ProductSprint Backlog'!$J194&gt;H$2,'ProductSprint Backlog'!$I194&lt;=H$2), 'ProductSprint Backlog'!$F194 / MAX(1, 'ProductSprint Backlog'!$J194-'ProductSprint Backlog'!$I194), AND('ProductSprint Backlog'!$J194=H$2,'ProductSprint Backlog'!$I194=H$2), 'ProductSprint Backlog'!$F194, TRUE, 0)</f>
        <v>0</v>
      </c>
      <c r="I194" s="4" cm="1">
        <f t="array" ref="I194">_xlfn.IFS('ProductSprint Backlog'!$F194="", "", AND('ProductSprint Backlog'!$J194&gt;I$2,'ProductSprint Backlog'!$I194&lt;=I$2), 'ProductSprint Backlog'!$F194 / MAX(1, 'ProductSprint Backlog'!$J194-'ProductSprint Backlog'!$I194), AND('ProductSprint Backlog'!$J194=I$2,'ProductSprint Backlog'!$I194=I$2), 'ProductSprint Backlog'!$F194, TRUE, 0)</f>
        <v>0</v>
      </c>
      <c r="J194" s="4" cm="1">
        <f t="array" ref="J194">_xlfn.IFS('ProductSprint Backlog'!$F194="", "", AND('ProductSprint Backlog'!$J194&gt;J$2,'ProductSprint Backlog'!$I194&lt;=J$2), 'ProductSprint Backlog'!$F194 / MAX(1, 'ProductSprint Backlog'!$J194-'ProductSprint Backlog'!$I194), AND('ProductSprint Backlog'!$J194=J$2,'ProductSprint Backlog'!$I194=J$2), 'ProductSprint Backlog'!$F194, TRUE, 0)</f>
        <v>0</v>
      </c>
      <c r="K194" s="4" cm="1">
        <f t="array" ref="K194">_xlfn.IFS('ProductSprint Backlog'!$F194="", "", AND('ProductSprint Backlog'!$J194&gt;K$2,'ProductSprint Backlog'!$I194&lt;=K$2), 'ProductSprint Backlog'!$F194 / MAX(1, 'ProductSprint Backlog'!$J194-'ProductSprint Backlog'!$I194), AND('ProductSprint Backlog'!$J194=K$2,'ProductSprint Backlog'!$I194=K$2), 'ProductSprint Backlog'!$F194, TRUE, 0)</f>
        <v>0</v>
      </c>
      <c r="L194" s="4" cm="1">
        <f t="array" ref="L194">_xlfn.IFS('ProductSprint Backlog'!$F194="", "", AND('ProductSprint Backlog'!$J194&gt;L$2,'ProductSprint Backlog'!$I194&lt;=L$2), 'ProductSprint Backlog'!$F194 / MAX(1, 'ProductSprint Backlog'!$J194-'ProductSprint Backlog'!$I194), AND('ProductSprint Backlog'!$J194=L$2,'ProductSprint Backlog'!$I194=L$2), 'ProductSprint Backlog'!$F194, TRUE, 0)</f>
        <v>0</v>
      </c>
      <c r="M194" s="4" cm="1">
        <f t="array" ref="M194">_xlfn.IFS('ProductSprint Backlog'!$F194="", "", AND('ProductSprint Backlog'!$J194&gt;M$2,'ProductSprint Backlog'!$I194&lt;=M$2), 'ProductSprint Backlog'!$F194 / MAX(1, 'ProductSprint Backlog'!$J194-'ProductSprint Backlog'!$I194), AND('ProductSprint Backlog'!$J194=M$2,'ProductSprint Backlog'!$I194=M$2), 'ProductSprint Backlog'!$F194, TRUE, 0)</f>
        <v>0</v>
      </c>
      <c r="N194" s="4" cm="1">
        <f t="array" ref="N194">_xlfn.IFS('ProductSprint Backlog'!$F194="", "", AND('ProductSprint Backlog'!$J194&gt;N$2,'ProductSprint Backlog'!$I194&lt;=N$2), 'ProductSprint Backlog'!$F194 / MAX(1, 'ProductSprint Backlog'!$J194-'ProductSprint Backlog'!$I194), AND('ProductSprint Backlog'!$J194=N$2,'ProductSprint Backlog'!$I194=N$2), 'ProductSprint Backlog'!$F194, TRUE, 0)</f>
        <v>0</v>
      </c>
      <c r="O194" s="4" cm="1">
        <f t="array" ref="O194">_xlfn.IFS('ProductSprint Backlog'!$F194="", "", AND('ProductSprint Backlog'!$J194&gt;O$2,'ProductSprint Backlog'!$I194&lt;=O$2), 'ProductSprint Backlog'!$F194 / MAX(1, 'ProductSprint Backlog'!$J194-'ProductSprint Backlog'!$I194), AND('ProductSprint Backlog'!$J194=O$2,'ProductSprint Backlog'!$I194=O$2), 'ProductSprint Backlog'!$F194, TRUE, 0)</f>
        <v>0</v>
      </c>
      <c r="P194" s="4" cm="1">
        <f t="array" ref="P194">_xlfn.IFS('ProductSprint Backlog'!$F194="", "", AND('ProductSprint Backlog'!$J194&gt;P$2,'ProductSprint Backlog'!$I194&lt;=P$2), 'ProductSprint Backlog'!$F194 / MAX(1, 'ProductSprint Backlog'!$J194-'ProductSprint Backlog'!$I194), AND('ProductSprint Backlog'!$J194=P$2,'ProductSprint Backlog'!$I194=P$2), 'ProductSprint Backlog'!$F194, TRUE, 0)</f>
        <v>0</v>
      </c>
      <c r="Q194" s="4" cm="1">
        <f t="array" ref="Q194">_xlfn.IFS('ProductSprint Backlog'!$F194="", "", AND('ProductSprint Backlog'!$J194&gt;Q$2,'ProductSprint Backlog'!$I194&lt;=Q$2), 'ProductSprint Backlog'!$F194 / MAX(1, 'ProductSprint Backlog'!$J194-'ProductSprint Backlog'!$I194), AND('ProductSprint Backlog'!$J194=Q$2,'ProductSprint Backlog'!$I194=Q$2), 'ProductSprint Backlog'!$F194, TRUE, 0)</f>
        <v>0</v>
      </c>
    </row>
    <row r="195" spans="2:17" x14ac:dyDescent="0.2">
      <c r="B195" s="4" cm="1">
        <f t="array" ref="B195">_xlfn.IFS('ProductSprint Backlog'!$F195="", "", AND('ProductSprint Backlog'!$J195&gt;B$2,'ProductSprint Backlog'!$I195&lt;=B$2), 'ProductSprint Backlog'!$F195 / MAX(1, 'ProductSprint Backlog'!$J195-'ProductSprint Backlog'!$I195), AND('ProductSprint Backlog'!$J195=B$2,'ProductSprint Backlog'!$I195=B$2), 'ProductSprint Backlog'!$F195, TRUE, 0)</f>
        <v>0</v>
      </c>
      <c r="C195" s="4" cm="1">
        <f t="array" ref="C195">_xlfn.IFS('ProductSprint Backlog'!$F195="", "", AND('ProductSprint Backlog'!$J195&gt;C$2,'ProductSprint Backlog'!$I195&lt;=C$2), 'ProductSprint Backlog'!$F195 / MAX(1, 'ProductSprint Backlog'!$J195-'ProductSprint Backlog'!$I195), AND('ProductSprint Backlog'!$J195=C$2,'ProductSprint Backlog'!$I195=C$2), 'ProductSprint Backlog'!$F195, TRUE, 0)</f>
        <v>0</v>
      </c>
      <c r="D195" s="4" cm="1">
        <f t="array" ref="D195">_xlfn.IFS('ProductSprint Backlog'!$F195="", "", AND('ProductSprint Backlog'!$J195&gt;D$2,'ProductSprint Backlog'!$I195&lt;=D$2), 'ProductSprint Backlog'!$F195 / MAX(1, 'ProductSprint Backlog'!$J195-'ProductSprint Backlog'!$I195), AND('ProductSprint Backlog'!$J195=D$2,'ProductSprint Backlog'!$I195=D$2), 'ProductSprint Backlog'!$F195, TRUE, 0)</f>
        <v>0</v>
      </c>
      <c r="E195" s="4" cm="1">
        <f t="array" ref="E195">_xlfn.IFS('ProductSprint Backlog'!$F195="", "", AND('ProductSprint Backlog'!$J195&gt;E$2,'ProductSprint Backlog'!$I195&lt;=E$2), 'ProductSprint Backlog'!$F195 / MAX(1, 'ProductSprint Backlog'!$J195-'ProductSprint Backlog'!$I195), AND('ProductSprint Backlog'!$J195=E$2,'ProductSprint Backlog'!$I195=E$2), 'ProductSprint Backlog'!$F195, TRUE, 0)</f>
        <v>0</v>
      </c>
      <c r="F195" s="4" cm="1">
        <f t="array" ref="F195">_xlfn.IFS('ProductSprint Backlog'!$F195="", "", AND('ProductSprint Backlog'!$J195&gt;F$2,'ProductSprint Backlog'!$I195&lt;=F$2), 'ProductSprint Backlog'!$F195 / MAX(1, 'ProductSprint Backlog'!$J195-'ProductSprint Backlog'!$I195), AND('ProductSprint Backlog'!$J195=F$2,'ProductSprint Backlog'!$I195=F$2), 'ProductSprint Backlog'!$F195, TRUE, 0)</f>
        <v>0</v>
      </c>
      <c r="G195" s="4" cm="1">
        <f t="array" ref="G195">_xlfn.IFS('ProductSprint Backlog'!$F195="", "", AND('ProductSprint Backlog'!$J195&gt;G$2,'ProductSprint Backlog'!$I195&lt;=G$2), 'ProductSprint Backlog'!$F195 / MAX(1, 'ProductSprint Backlog'!$J195-'ProductSprint Backlog'!$I195), AND('ProductSprint Backlog'!$J195=G$2,'ProductSprint Backlog'!$I195=G$2), 'ProductSprint Backlog'!$F195, TRUE, 0)</f>
        <v>0</v>
      </c>
      <c r="H195" s="4" cm="1">
        <f t="array" ref="H195">_xlfn.IFS('ProductSprint Backlog'!$F195="", "", AND('ProductSprint Backlog'!$J195&gt;H$2,'ProductSprint Backlog'!$I195&lt;=H$2), 'ProductSprint Backlog'!$F195 / MAX(1, 'ProductSprint Backlog'!$J195-'ProductSprint Backlog'!$I195), AND('ProductSprint Backlog'!$J195=H$2,'ProductSprint Backlog'!$I195=H$2), 'ProductSprint Backlog'!$F195, TRUE, 0)</f>
        <v>0</v>
      </c>
      <c r="I195" s="4" cm="1">
        <f t="array" ref="I195">_xlfn.IFS('ProductSprint Backlog'!$F195="", "", AND('ProductSprint Backlog'!$J195&gt;I$2,'ProductSprint Backlog'!$I195&lt;=I$2), 'ProductSprint Backlog'!$F195 / MAX(1, 'ProductSprint Backlog'!$J195-'ProductSprint Backlog'!$I195), AND('ProductSprint Backlog'!$J195=I$2,'ProductSprint Backlog'!$I195=I$2), 'ProductSprint Backlog'!$F195, TRUE, 0)</f>
        <v>0</v>
      </c>
      <c r="J195" s="4" cm="1">
        <f t="array" ref="J195">_xlfn.IFS('ProductSprint Backlog'!$F195="", "", AND('ProductSprint Backlog'!$J195&gt;J$2,'ProductSprint Backlog'!$I195&lt;=J$2), 'ProductSprint Backlog'!$F195 / MAX(1, 'ProductSprint Backlog'!$J195-'ProductSprint Backlog'!$I195), AND('ProductSprint Backlog'!$J195=J$2,'ProductSprint Backlog'!$I195=J$2), 'ProductSprint Backlog'!$F195, TRUE, 0)</f>
        <v>0</v>
      </c>
      <c r="K195" s="4" cm="1">
        <f t="array" ref="K195">_xlfn.IFS('ProductSprint Backlog'!$F195="", "", AND('ProductSprint Backlog'!$J195&gt;K$2,'ProductSprint Backlog'!$I195&lt;=K$2), 'ProductSprint Backlog'!$F195 / MAX(1, 'ProductSprint Backlog'!$J195-'ProductSprint Backlog'!$I195), AND('ProductSprint Backlog'!$J195=K$2,'ProductSprint Backlog'!$I195=K$2), 'ProductSprint Backlog'!$F195, TRUE, 0)</f>
        <v>0</v>
      </c>
      <c r="L195" s="4" cm="1">
        <f t="array" ref="L195">_xlfn.IFS('ProductSprint Backlog'!$F195="", "", AND('ProductSprint Backlog'!$J195&gt;L$2,'ProductSprint Backlog'!$I195&lt;=L$2), 'ProductSprint Backlog'!$F195 / MAX(1, 'ProductSprint Backlog'!$J195-'ProductSprint Backlog'!$I195), AND('ProductSprint Backlog'!$J195=L$2,'ProductSprint Backlog'!$I195=L$2), 'ProductSprint Backlog'!$F195, TRUE, 0)</f>
        <v>0</v>
      </c>
      <c r="M195" s="4" cm="1">
        <f t="array" ref="M195">_xlfn.IFS('ProductSprint Backlog'!$F195="", "", AND('ProductSprint Backlog'!$J195&gt;M$2,'ProductSprint Backlog'!$I195&lt;=M$2), 'ProductSprint Backlog'!$F195 / MAX(1, 'ProductSprint Backlog'!$J195-'ProductSprint Backlog'!$I195), AND('ProductSprint Backlog'!$J195=M$2,'ProductSprint Backlog'!$I195=M$2), 'ProductSprint Backlog'!$F195, TRUE, 0)</f>
        <v>0</v>
      </c>
      <c r="N195" s="4" cm="1">
        <f t="array" ref="N195">_xlfn.IFS('ProductSprint Backlog'!$F195="", "", AND('ProductSprint Backlog'!$J195&gt;N$2,'ProductSprint Backlog'!$I195&lt;=N$2), 'ProductSprint Backlog'!$F195 / MAX(1, 'ProductSprint Backlog'!$J195-'ProductSprint Backlog'!$I195), AND('ProductSprint Backlog'!$J195=N$2,'ProductSprint Backlog'!$I195=N$2), 'ProductSprint Backlog'!$F195, TRUE, 0)</f>
        <v>0</v>
      </c>
      <c r="O195" s="4" cm="1">
        <f t="array" ref="O195">_xlfn.IFS('ProductSprint Backlog'!$F195="", "", AND('ProductSprint Backlog'!$J195&gt;O$2,'ProductSprint Backlog'!$I195&lt;=O$2), 'ProductSprint Backlog'!$F195 / MAX(1, 'ProductSprint Backlog'!$J195-'ProductSprint Backlog'!$I195), AND('ProductSprint Backlog'!$J195=O$2,'ProductSprint Backlog'!$I195=O$2), 'ProductSprint Backlog'!$F195, TRUE, 0)</f>
        <v>0</v>
      </c>
      <c r="P195" s="4" cm="1">
        <f t="array" ref="P195">_xlfn.IFS('ProductSprint Backlog'!$F195="", "", AND('ProductSprint Backlog'!$J195&gt;P$2,'ProductSprint Backlog'!$I195&lt;=P$2), 'ProductSprint Backlog'!$F195 / MAX(1, 'ProductSprint Backlog'!$J195-'ProductSprint Backlog'!$I195), AND('ProductSprint Backlog'!$J195=P$2,'ProductSprint Backlog'!$I195=P$2), 'ProductSprint Backlog'!$F195, TRUE, 0)</f>
        <v>0</v>
      </c>
      <c r="Q195" s="4" cm="1">
        <f t="array" ref="Q195">_xlfn.IFS('ProductSprint Backlog'!$F195="", "", AND('ProductSprint Backlog'!$J195&gt;Q$2,'ProductSprint Backlog'!$I195&lt;=Q$2), 'ProductSprint Backlog'!$F195 / MAX(1, 'ProductSprint Backlog'!$J195-'ProductSprint Backlog'!$I195), AND('ProductSprint Backlog'!$J195=Q$2,'ProductSprint Backlog'!$I195=Q$2), 'ProductSprint Backlog'!$F195, TRUE, 0)</f>
        <v>0</v>
      </c>
    </row>
    <row r="196" spans="2:17" x14ac:dyDescent="0.2">
      <c r="B196" s="4" cm="1">
        <f t="array" ref="B196">_xlfn.IFS('ProductSprint Backlog'!$F196="", "", AND('ProductSprint Backlog'!$J196&gt;B$2,'ProductSprint Backlog'!$I196&lt;=B$2), 'ProductSprint Backlog'!$F196 / MAX(1, 'ProductSprint Backlog'!$J196-'ProductSprint Backlog'!$I196), AND('ProductSprint Backlog'!$J196=B$2,'ProductSprint Backlog'!$I196=B$2), 'ProductSprint Backlog'!$F196, TRUE, 0)</f>
        <v>0</v>
      </c>
      <c r="C196" s="4" cm="1">
        <f t="array" ref="C196">_xlfn.IFS('ProductSprint Backlog'!$F196="", "", AND('ProductSprint Backlog'!$J196&gt;C$2,'ProductSprint Backlog'!$I196&lt;=C$2), 'ProductSprint Backlog'!$F196 / MAX(1, 'ProductSprint Backlog'!$J196-'ProductSprint Backlog'!$I196), AND('ProductSprint Backlog'!$J196=C$2,'ProductSprint Backlog'!$I196=C$2), 'ProductSprint Backlog'!$F196, TRUE, 0)</f>
        <v>0</v>
      </c>
      <c r="D196" s="4" cm="1">
        <f t="array" ref="D196">_xlfn.IFS('ProductSprint Backlog'!$F196="", "", AND('ProductSprint Backlog'!$J196&gt;D$2,'ProductSprint Backlog'!$I196&lt;=D$2), 'ProductSprint Backlog'!$F196 / MAX(1, 'ProductSprint Backlog'!$J196-'ProductSprint Backlog'!$I196), AND('ProductSprint Backlog'!$J196=D$2,'ProductSprint Backlog'!$I196=D$2), 'ProductSprint Backlog'!$F196, TRUE, 0)</f>
        <v>0</v>
      </c>
      <c r="E196" s="4" cm="1">
        <f t="array" ref="E196">_xlfn.IFS('ProductSprint Backlog'!$F196="", "", AND('ProductSprint Backlog'!$J196&gt;E$2,'ProductSprint Backlog'!$I196&lt;=E$2), 'ProductSprint Backlog'!$F196 / MAX(1, 'ProductSprint Backlog'!$J196-'ProductSprint Backlog'!$I196), AND('ProductSprint Backlog'!$J196=E$2,'ProductSprint Backlog'!$I196=E$2), 'ProductSprint Backlog'!$F196, TRUE, 0)</f>
        <v>0</v>
      </c>
      <c r="F196" s="4" cm="1">
        <f t="array" ref="F196">_xlfn.IFS('ProductSprint Backlog'!$F196="", "", AND('ProductSprint Backlog'!$J196&gt;F$2,'ProductSprint Backlog'!$I196&lt;=F$2), 'ProductSprint Backlog'!$F196 / MAX(1, 'ProductSprint Backlog'!$J196-'ProductSprint Backlog'!$I196), AND('ProductSprint Backlog'!$J196=F$2,'ProductSprint Backlog'!$I196=F$2), 'ProductSprint Backlog'!$F196, TRUE, 0)</f>
        <v>0</v>
      </c>
      <c r="G196" s="4" cm="1">
        <f t="array" ref="G196">_xlfn.IFS('ProductSprint Backlog'!$F196="", "", AND('ProductSprint Backlog'!$J196&gt;G$2,'ProductSprint Backlog'!$I196&lt;=G$2), 'ProductSprint Backlog'!$F196 / MAX(1, 'ProductSprint Backlog'!$J196-'ProductSprint Backlog'!$I196), AND('ProductSprint Backlog'!$J196=G$2,'ProductSprint Backlog'!$I196=G$2), 'ProductSprint Backlog'!$F196, TRUE, 0)</f>
        <v>0</v>
      </c>
      <c r="H196" s="4" cm="1">
        <f t="array" ref="H196">_xlfn.IFS('ProductSprint Backlog'!$F196="", "", AND('ProductSprint Backlog'!$J196&gt;H$2,'ProductSprint Backlog'!$I196&lt;=H$2), 'ProductSprint Backlog'!$F196 / MAX(1, 'ProductSprint Backlog'!$J196-'ProductSprint Backlog'!$I196), AND('ProductSprint Backlog'!$J196=H$2,'ProductSprint Backlog'!$I196=H$2), 'ProductSprint Backlog'!$F196, TRUE, 0)</f>
        <v>0</v>
      </c>
      <c r="I196" s="4" cm="1">
        <f t="array" ref="I196">_xlfn.IFS('ProductSprint Backlog'!$F196="", "", AND('ProductSprint Backlog'!$J196&gt;I$2,'ProductSprint Backlog'!$I196&lt;=I$2), 'ProductSprint Backlog'!$F196 / MAX(1, 'ProductSprint Backlog'!$J196-'ProductSprint Backlog'!$I196), AND('ProductSprint Backlog'!$J196=I$2,'ProductSprint Backlog'!$I196=I$2), 'ProductSprint Backlog'!$F196, TRUE, 0)</f>
        <v>0</v>
      </c>
      <c r="J196" s="4" cm="1">
        <f t="array" ref="J196">_xlfn.IFS('ProductSprint Backlog'!$F196="", "", AND('ProductSprint Backlog'!$J196&gt;J$2,'ProductSprint Backlog'!$I196&lt;=J$2), 'ProductSprint Backlog'!$F196 / MAX(1, 'ProductSprint Backlog'!$J196-'ProductSprint Backlog'!$I196), AND('ProductSprint Backlog'!$J196=J$2,'ProductSprint Backlog'!$I196=J$2), 'ProductSprint Backlog'!$F196, TRUE, 0)</f>
        <v>0</v>
      </c>
      <c r="K196" s="4" cm="1">
        <f t="array" ref="K196">_xlfn.IFS('ProductSprint Backlog'!$F196="", "", AND('ProductSprint Backlog'!$J196&gt;K$2,'ProductSprint Backlog'!$I196&lt;=K$2), 'ProductSprint Backlog'!$F196 / MAX(1, 'ProductSprint Backlog'!$J196-'ProductSprint Backlog'!$I196), AND('ProductSprint Backlog'!$J196=K$2,'ProductSprint Backlog'!$I196=K$2), 'ProductSprint Backlog'!$F196, TRUE, 0)</f>
        <v>0</v>
      </c>
      <c r="L196" s="4" cm="1">
        <f t="array" ref="L196">_xlfn.IFS('ProductSprint Backlog'!$F196="", "", AND('ProductSprint Backlog'!$J196&gt;L$2,'ProductSprint Backlog'!$I196&lt;=L$2), 'ProductSprint Backlog'!$F196 / MAX(1, 'ProductSprint Backlog'!$J196-'ProductSprint Backlog'!$I196), AND('ProductSprint Backlog'!$J196=L$2,'ProductSprint Backlog'!$I196=L$2), 'ProductSprint Backlog'!$F196, TRUE, 0)</f>
        <v>0</v>
      </c>
      <c r="M196" s="4" cm="1">
        <f t="array" ref="M196">_xlfn.IFS('ProductSprint Backlog'!$F196="", "", AND('ProductSprint Backlog'!$J196&gt;M$2,'ProductSprint Backlog'!$I196&lt;=M$2), 'ProductSprint Backlog'!$F196 / MAX(1, 'ProductSprint Backlog'!$J196-'ProductSprint Backlog'!$I196), AND('ProductSprint Backlog'!$J196=M$2,'ProductSprint Backlog'!$I196=M$2), 'ProductSprint Backlog'!$F196, TRUE, 0)</f>
        <v>0</v>
      </c>
      <c r="N196" s="4" cm="1">
        <f t="array" ref="N196">_xlfn.IFS('ProductSprint Backlog'!$F196="", "", AND('ProductSprint Backlog'!$J196&gt;N$2,'ProductSprint Backlog'!$I196&lt;=N$2), 'ProductSprint Backlog'!$F196 / MAX(1, 'ProductSprint Backlog'!$J196-'ProductSprint Backlog'!$I196), AND('ProductSprint Backlog'!$J196=N$2,'ProductSprint Backlog'!$I196=N$2), 'ProductSprint Backlog'!$F196, TRUE, 0)</f>
        <v>0</v>
      </c>
      <c r="O196" s="4" cm="1">
        <f t="array" ref="O196">_xlfn.IFS('ProductSprint Backlog'!$F196="", "", AND('ProductSprint Backlog'!$J196&gt;O$2,'ProductSprint Backlog'!$I196&lt;=O$2), 'ProductSprint Backlog'!$F196 / MAX(1, 'ProductSprint Backlog'!$J196-'ProductSprint Backlog'!$I196), AND('ProductSprint Backlog'!$J196=O$2,'ProductSprint Backlog'!$I196=O$2), 'ProductSprint Backlog'!$F196, TRUE, 0)</f>
        <v>0</v>
      </c>
      <c r="P196" s="4" cm="1">
        <f t="array" ref="P196">_xlfn.IFS('ProductSprint Backlog'!$F196="", "", AND('ProductSprint Backlog'!$J196&gt;P$2,'ProductSprint Backlog'!$I196&lt;=P$2), 'ProductSprint Backlog'!$F196 / MAX(1, 'ProductSprint Backlog'!$J196-'ProductSprint Backlog'!$I196), AND('ProductSprint Backlog'!$J196=P$2,'ProductSprint Backlog'!$I196=P$2), 'ProductSprint Backlog'!$F196, TRUE, 0)</f>
        <v>0</v>
      </c>
      <c r="Q196" s="4" cm="1">
        <f t="array" ref="Q196">_xlfn.IFS('ProductSprint Backlog'!$F196="", "", AND('ProductSprint Backlog'!$J196&gt;Q$2,'ProductSprint Backlog'!$I196&lt;=Q$2), 'ProductSprint Backlog'!$F196 / MAX(1, 'ProductSprint Backlog'!$J196-'ProductSprint Backlog'!$I196), AND('ProductSprint Backlog'!$J196=Q$2,'ProductSprint Backlog'!$I196=Q$2), 'ProductSprint Backlog'!$F196, TRUE, 0)</f>
        <v>0</v>
      </c>
    </row>
    <row r="197" spans="2:17" x14ac:dyDescent="0.2">
      <c r="B197" s="4" cm="1">
        <f t="array" ref="B197">_xlfn.IFS('ProductSprint Backlog'!$F197="", "", AND('ProductSprint Backlog'!$J197&gt;B$2,'ProductSprint Backlog'!$I197&lt;=B$2), 'ProductSprint Backlog'!$F197 / MAX(1, 'ProductSprint Backlog'!$J197-'ProductSprint Backlog'!$I197), AND('ProductSprint Backlog'!$J197=B$2,'ProductSprint Backlog'!$I197=B$2), 'ProductSprint Backlog'!$F197, TRUE, 0)</f>
        <v>0</v>
      </c>
      <c r="C197" s="4" cm="1">
        <f t="array" ref="C197">_xlfn.IFS('ProductSprint Backlog'!$F197="", "", AND('ProductSprint Backlog'!$J197&gt;C$2,'ProductSprint Backlog'!$I197&lt;=C$2), 'ProductSprint Backlog'!$F197 / MAX(1, 'ProductSprint Backlog'!$J197-'ProductSprint Backlog'!$I197), AND('ProductSprint Backlog'!$J197=C$2,'ProductSprint Backlog'!$I197=C$2), 'ProductSprint Backlog'!$F197, TRUE, 0)</f>
        <v>0</v>
      </c>
      <c r="D197" s="4" cm="1">
        <f t="array" ref="D197">_xlfn.IFS('ProductSprint Backlog'!$F197="", "", AND('ProductSprint Backlog'!$J197&gt;D$2,'ProductSprint Backlog'!$I197&lt;=D$2), 'ProductSprint Backlog'!$F197 / MAX(1, 'ProductSprint Backlog'!$J197-'ProductSprint Backlog'!$I197), AND('ProductSprint Backlog'!$J197=D$2,'ProductSprint Backlog'!$I197=D$2), 'ProductSprint Backlog'!$F197, TRUE, 0)</f>
        <v>0</v>
      </c>
      <c r="E197" s="4" cm="1">
        <f t="array" ref="E197">_xlfn.IFS('ProductSprint Backlog'!$F197="", "", AND('ProductSprint Backlog'!$J197&gt;E$2,'ProductSprint Backlog'!$I197&lt;=E$2), 'ProductSprint Backlog'!$F197 / MAX(1, 'ProductSprint Backlog'!$J197-'ProductSprint Backlog'!$I197), AND('ProductSprint Backlog'!$J197=E$2,'ProductSprint Backlog'!$I197=E$2), 'ProductSprint Backlog'!$F197, TRUE, 0)</f>
        <v>0</v>
      </c>
      <c r="F197" s="4" cm="1">
        <f t="array" ref="F197">_xlfn.IFS('ProductSprint Backlog'!$F197="", "", AND('ProductSprint Backlog'!$J197&gt;F$2,'ProductSprint Backlog'!$I197&lt;=F$2), 'ProductSprint Backlog'!$F197 / MAX(1, 'ProductSprint Backlog'!$J197-'ProductSprint Backlog'!$I197), AND('ProductSprint Backlog'!$J197=F$2,'ProductSprint Backlog'!$I197=F$2), 'ProductSprint Backlog'!$F197, TRUE, 0)</f>
        <v>0</v>
      </c>
      <c r="G197" s="4" cm="1">
        <f t="array" ref="G197">_xlfn.IFS('ProductSprint Backlog'!$F197="", "", AND('ProductSprint Backlog'!$J197&gt;G$2,'ProductSprint Backlog'!$I197&lt;=G$2), 'ProductSprint Backlog'!$F197 / MAX(1, 'ProductSprint Backlog'!$J197-'ProductSprint Backlog'!$I197), AND('ProductSprint Backlog'!$J197=G$2,'ProductSprint Backlog'!$I197=G$2), 'ProductSprint Backlog'!$F197, TRUE, 0)</f>
        <v>0</v>
      </c>
      <c r="H197" s="4" cm="1">
        <f t="array" ref="H197">_xlfn.IFS('ProductSprint Backlog'!$F197="", "", AND('ProductSprint Backlog'!$J197&gt;H$2,'ProductSprint Backlog'!$I197&lt;=H$2), 'ProductSprint Backlog'!$F197 / MAX(1, 'ProductSprint Backlog'!$J197-'ProductSprint Backlog'!$I197), AND('ProductSprint Backlog'!$J197=H$2,'ProductSprint Backlog'!$I197=H$2), 'ProductSprint Backlog'!$F197, TRUE, 0)</f>
        <v>0</v>
      </c>
      <c r="I197" s="4" cm="1">
        <f t="array" ref="I197">_xlfn.IFS('ProductSprint Backlog'!$F197="", "", AND('ProductSprint Backlog'!$J197&gt;I$2,'ProductSprint Backlog'!$I197&lt;=I$2), 'ProductSprint Backlog'!$F197 / MAX(1, 'ProductSprint Backlog'!$J197-'ProductSprint Backlog'!$I197), AND('ProductSprint Backlog'!$J197=I$2,'ProductSprint Backlog'!$I197=I$2), 'ProductSprint Backlog'!$F197, TRUE, 0)</f>
        <v>0</v>
      </c>
      <c r="J197" s="4" cm="1">
        <f t="array" ref="J197">_xlfn.IFS('ProductSprint Backlog'!$F197="", "", AND('ProductSprint Backlog'!$J197&gt;J$2,'ProductSprint Backlog'!$I197&lt;=J$2), 'ProductSprint Backlog'!$F197 / MAX(1, 'ProductSprint Backlog'!$J197-'ProductSprint Backlog'!$I197), AND('ProductSprint Backlog'!$J197=J$2,'ProductSprint Backlog'!$I197=J$2), 'ProductSprint Backlog'!$F197, TRUE, 0)</f>
        <v>0</v>
      </c>
      <c r="K197" s="4" cm="1">
        <f t="array" ref="K197">_xlfn.IFS('ProductSprint Backlog'!$F197="", "", AND('ProductSprint Backlog'!$J197&gt;K$2,'ProductSprint Backlog'!$I197&lt;=K$2), 'ProductSprint Backlog'!$F197 / MAX(1, 'ProductSprint Backlog'!$J197-'ProductSprint Backlog'!$I197), AND('ProductSprint Backlog'!$J197=K$2,'ProductSprint Backlog'!$I197=K$2), 'ProductSprint Backlog'!$F197, TRUE, 0)</f>
        <v>0</v>
      </c>
      <c r="L197" s="4" cm="1">
        <f t="array" ref="L197">_xlfn.IFS('ProductSprint Backlog'!$F197="", "", AND('ProductSprint Backlog'!$J197&gt;L$2,'ProductSprint Backlog'!$I197&lt;=L$2), 'ProductSprint Backlog'!$F197 / MAX(1, 'ProductSprint Backlog'!$J197-'ProductSprint Backlog'!$I197), AND('ProductSprint Backlog'!$J197=L$2,'ProductSprint Backlog'!$I197=L$2), 'ProductSprint Backlog'!$F197, TRUE, 0)</f>
        <v>0</v>
      </c>
      <c r="M197" s="4" cm="1">
        <f t="array" ref="M197">_xlfn.IFS('ProductSprint Backlog'!$F197="", "", AND('ProductSprint Backlog'!$J197&gt;M$2,'ProductSprint Backlog'!$I197&lt;=M$2), 'ProductSprint Backlog'!$F197 / MAX(1, 'ProductSprint Backlog'!$J197-'ProductSprint Backlog'!$I197), AND('ProductSprint Backlog'!$J197=M$2,'ProductSprint Backlog'!$I197=M$2), 'ProductSprint Backlog'!$F197, TRUE, 0)</f>
        <v>0</v>
      </c>
      <c r="N197" s="4" cm="1">
        <f t="array" ref="N197">_xlfn.IFS('ProductSprint Backlog'!$F197="", "", AND('ProductSprint Backlog'!$J197&gt;N$2,'ProductSprint Backlog'!$I197&lt;=N$2), 'ProductSprint Backlog'!$F197 / MAX(1, 'ProductSprint Backlog'!$J197-'ProductSprint Backlog'!$I197), AND('ProductSprint Backlog'!$J197=N$2,'ProductSprint Backlog'!$I197=N$2), 'ProductSprint Backlog'!$F197, TRUE, 0)</f>
        <v>0</v>
      </c>
      <c r="O197" s="4" cm="1">
        <f t="array" ref="O197">_xlfn.IFS('ProductSprint Backlog'!$F197="", "", AND('ProductSprint Backlog'!$J197&gt;O$2,'ProductSprint Backlog'!$I197&lt;=O$2), 'ProductSprint Backlog'!$F197 / MAX(1, 'ProductSprint Backlog'!$J197-'ProductSprint Backlog'!$I197), AND('ProductSprint Backlog'!$J197=O$2,'ProductSprint Backlog'!$I197=O$2), 'ProductSprint Backlog'!$F197, TRUE, 0)</f>
        <v>0</v>
      </c>
      <c r="P197" s="4" cm="1">
        <f t="array" ref="P197">_xlfn.IFS('ProductSprint Backlog'!$F197="", "", AND('ProductSprint Backlog'!$J197&gt;P$2,'ProductSprint Backlog'!$I197&lt;=P$2), 'ProductSprint Backlog'!$F197 / MAX(1, 'ProductSprint Backlog'!$J197-'ProductSprint Backlog'!$I197), AND('ProductSprint Backlog'!$J197=P$2,'ProductSprint Backlog'!$I197=P$2), 'ProductSprint Backlog'!$F197, TRUE, 0)</f>
        <v>0</v>
      </c>
      <c r="Q197" s="4" cm="1">
        <f t="array" ref="Q197">_xlfn.IFS('ProductSprint Backlog'!$F197="", "", AND('ProductSprint Backlog'!$J197&gt;Q$2,'ProductSprint Backlog'!$I197&lt;=Q$2), 'ProductSprint Backlog'!$F197 / MAX(1, 'ProductSprint Backlog'!$J197-'ProductSprint Backlog'!$I197), AND('ProductSprint Backlog'!$J197=Q$2,'ProductSprint Backlog'!$I197=Q$2), 'ProductSprint Backlog'!$F197, TRUE, 0)</f>
        <v>0</v>
      </c>
    </row>
    <row r="198" spans="2:17" x14ac:dyDescent="0.2">
      <c r="B198" s="4" cm="1">
        <f t="array" ref="B198">_xlfn.IFS('ProductSprint Backlog'!$F198="", "", AND('ProductSprint Backlog'!$J198&gt;B$2,'ProductSprint Backlog'!$I198&lt;=B$2), 'ProductSprint Backlog'!$F198 / MAX(1, 'ProductSprint Backlog'!$J198-'ProductSprint Backlog'!$I198), AND('ProductSprint Backlog'!$J198=B$2,'ProductSprint Backlog'!$I198=B$2), 'ProductSprint Backlog'!$F198, TRUE, 0)</f>
        <v>0</v>
      </c>
      <c r="C198" s="4" cm="1">
        <f t="array" ref="C198">_xlfn.IFS('ProductSprint Backlog'!$F198="", "", AND('ProductSprint Backlog'!$J198&gt;C$2,'ProductSprint Backlog'!$I198&lt;=C$2), 'ProductSprint Backlog'!$F198 / MAX(1, 'ProductSprint Backlog'!$J198-'ProductSprint Backlog'!$I198), AND('ProductSprint Backlog'!$J198=C$2,'ProductSprint Backlog'!$I198=C$2), 'ProductSprint Backlog'!$F198, TRUE, 0)</f>
        <v>0</v>
      </c>
      <c r="D198" s="4" cm="1">
        <f t="array" ref="D198">_xlfn.IFS('ProductSprint Backlog'!$F198="", "", AND('ProductSprint Backlog'!$J198&gt;D$2,'ProductSprint Backlog'!$I198&lt;=D$2), 'ProductSprint Backlog'!$F198 / MAX(1, 'ProductSprint Backlog'!$J198-'ProductSprint Backlog'!$I198), AND('ProductSprint Backlog'!$J198=D$2,'ProductSprint Backlog'!$I198=D$2), 'ProductSprint Backlog'!$F198, TRUE, 0)</f>
        <v>0</v>
      </c>
      <c r="E198" s="4" cm="1">
        <f t="array" ref="E198">_xlfn.IFS('ProductSprint Backlog'!$F198="", "", AND('ProductSprint Backlog'!$J198&gt;E$2,'ProductSprint Backlog'!$I198&lt;=E$2), 'ProductSprint Backlog'!$F198 / MAX(1, 'ProductSprint Backlog'!$J198-'ProductSprint Backlog'!$I198), AND('ProductSprint Backlog'!$J198=E$2,'ProductSprint Backlog'!$I198=E$2), 'ProductSprint Backlog'!$F198, TRUE, 0)</f>
        <v>0</v>
      </c>
      <c r="F198" s="4" cm="1">
        <f t="array" ref="F198">_xlfn.IFS('ProductSprint Backlog'!$F198="", "", AND('ProductSprint Backlog'!$J198&gt;F$2,'ProductSprint Backlog'!$I198&lt;=F$2), 'ProductSprint Backlog'!$F198 / MAX(1, 'ProductSprint Backlog'!$J198-'ProductSprint Backlog'!$I198), AND('ProductSprint Backlog'!$J198=F$2,'ProductSprint Backlog'!$I198=F$2), 'ProductSprint Backlog'!$F198, TRUE, 0)</f>
        <v>0</v>
      </c>
      <c r="G198" s="4" cm="1">
        <f t="array" ref="G198">_xlfn.IFS('ProductSprint Backlog'!$F198="", "", AND('ProductSprint Backlog'!$J198&gt;G$2,'ProductSprint Backlog'!$I198&lt;=G$2), 'ProductSprint Backlog'!$F198 / MAX(1, 'ProductSprint Backlog'!$J198-'ProductSprint Backlog'!$I198), AND('ProductSprint Backlog'!$J198=G$2,'ProductSprint Backlog'!$I198=G$2), 'ProductSprint Backlog'!$F198, TRUE, 0)</f>
        <v>0</v>
      </c>
      <c r="H198" s="4" cm="1">
        <f t="array" ref="H198">_xlfn.IFS('ProductSprint Backlog'!$F198="", "", AND('ProductSprint Backlog'!$J198&gt;H$2,'ProductSprint Backlog'!$I198&lt;=H$2), 'ProductSprint Backlog'!$F198 / MAX(1, 'ProductSprint Backlog'!$J198-'ProductSprint Backlog'!$I198), AND('ProductSprint Backlog'!$J198=H$2,'ProductSprint Backlog'!$I198=H$2), 'ProductSprint Backlog'!$F198, TRUE, 0)</f>
        <v>0</v>
      </c>
      <c r="I198" s="4" cm="1">
        <f t="array" ref="I198">_xlfn.IFS('ProductSprint Backlog'!$F198="", "", AND('ProductSprint Backlog'!$J198&gt;I$2,'ProductSprint Backlog'!$I198&lt;=I$2), 'ProductSprint Backlog'!$F198 / MAX(1, 'ProductSprint Backlog'!$J198-'ProductSprint Backlog'!$I198), AND('ProductSprint Backlog'!$J198=I$2,'ProductSprint Backlog'!$I198=I$2), 'ProductSprint Backlog'!$F198, TRUE, 0)</f>
        <v>0</v>
      </c>
      <c r="J198" s="4" cm="1">
        <f t="array" ref="J198">_xlfn.IFS('ProductSprint Backlog'!$F198="", "", AND('ProductSprint Backlog'!$J198&gt;J$2,'ProductSprint Backlog'!$I198&lt;=J$2), 'ProductSprint Backlog'!$F198 / MAX(1, 'ProductSprint Backlog'!$J198-'ProductSprint Backlog'!$I198), AND('ProductSprint Backlog'!$J198=J$2,'ProductSprint Backlog'!$I198=J$2), 'ProductSprint Backlog'!$F198, TRUE, 0)</f>
        <v>0</v>
      </c>
      <c r="K198" s="4" cm="1">
        <f t="array" ref="K198">_xlfn.IFS('ProductSprint Backlog'!$F198="", "", AND('ProductSprint Backlog'!$J198&gt;K$2,'ProductSprint Backlog'!$I198&lt;=K$2), 'ProductSprint Backlog'!$F198 / MAX(1, 'ProductSprint Backlog'!$J198-'ProductSprint Backlog'!$I198), AND('ProductSprint Backlog'!$J198=K$2,'ProductSprint Backlog'!$I198=K$2), 'ProductSprint Backlog'!$F198, TRUE, 0)</f>
        <v>0</v>
      </c>
      <c r="L198" s="4" cm="1">
        <f t="array" ref="L198">_xlfn.IFS('ProductSprint Backlog'!$F198="", "", AND('ProductSprint Backlog'!$J198&gt;L$2,'ProductSprint Backlog'!$I198&lt;=L$2), 'ProductSprint Backlog'!$F198 / MAX(1, 'ProductSprint Backlog'!$J198-'ProductSprint Backlog'!$I198), AND('ProductSprint Backlog'!$J198=L$2,'ProductSprint Backlog'!$I198=L$2), 'ProductSprint Backlog'!$F198, TRUE, 0)</f>
        <v>0</v>
      </c>
      <c r="M198" s="4" cm="1">
        <f t="array" ref="M198">_xlfn.IFS('ProductSprint Backlog'!$F198="", "", AND('ProductSprint Backlog'!$J198&gt;M$2,'ProductSprint Backlog'!$I198&lt;=M$2), 'ProductSprint Backlog'!$F198 / MAX(1, 'ProductSprint Backlog'!$J198-'ProductSprint Backlog'!$I198), AND('ProductSprint Backlog'!$J198=M$2,'ProductSprint Backlog'!$I198=M$2), 'ProductSprint Backlog'!$F198, TRUE, 0)</f>
        <v>0</v>
      </c>
      <c r="N198" s="4" cm="1">
        <f t="array" ref="N198">_xlfn.IFS('ProductSprint Backlog'!$F198="", "", AND('ProductSprint Backlog'!$J198&gt;N$2,'ProductSprint Backlog'!$I198&lt;=N$2), 'ProductSprint Backlog'!$F198 / MAX(1, 'ProductSprint Backlog'!$J198-'ProductSprint Backlog'!$I198), AND('ProductSprint Backlog'!$J198=N$2,'ProductSprint Backlog'!$I198=N$2), 'ProductSprint Backlog'!$F198, TRUE, 0)</f>
        <v>0</v>
      </c>
      <c r="O198" s="4" cm="1">
        <f t="array" ref="O198">_xlfn.IFS('ProductSprint Backlog'!$F198="", "", AND('ProductSprint Backlog'!$J198&gt;O$2,'ProductSprint Backlog'!$I198&lt;=O$2), 'ProductSprint Backlog'!$F198 / MAX(1, 'ProductSprint Backlog'!$J198-'ProductSprint Backlog'!$I198), AND('ProductSprint Backlog'!$J198=O$2,'ProductSprint Backlog'!$I198=O$2), 'ProductSprint Backlog'!$F198, TRUE, 0)</f>
        <v>0</v>
      </c>
      <c r="P198" s="4" cm="1">
        <f t="array" ref="P198">_xlfn.IFS('ProductSprint Backlog'!$F198="", "", AND('ProductSprint Backlog'!$J198&gt;P$2,'ProductSprint Backlog'!$I198&lt;=P$2), 'ProductSprint Backlog'!$F198 / MAX(1, 'ProductSprint Backlog'!$J198-'ProductSprint Backlog'!$I198), AND('ProductSprint Backlog'!$J198=P$2,'ProductSprint Backlog'!$I198=P$2), 'ProductSprint Backlog'!$F198, TRUE, 0)</f>
        <v>0</v>
      </c>
      <c r="Q198" s="4" cm="1">
        <f t="array" ref="Q198">_xlfn.IFS('ProductSprint Backlog'!$F198="", "", AND('ProductSprint Backlog'!$J198&gt;Q$2,'ProductSprint Backlog'!$I198&lt;=Q$2), 'ProductSprint Backlog'!$F198 / MAX(1, 'ProductSprint Backlog'!$J198-'ProductSprint Backlog'!$I198), AND('ProductSprint Backlog'!$J198=Q$2,'ProductSprint Backlog'!$I198=Q$2), 'ProductSprint Backlog'!$F198, TRUE, 0)</f>
        <v>0</v>
      </c>
    </row>
    <row r="199" spans="2:17" x14ac:dyDescent="0.2">
      <c r="B199" s="4" cm="1">
        <f t="array" ref="B199">_xlfn.IFS('ProductSprint Backlog'!$F199="", "", AND('ProductSprint Backlog'!$J199&gt;B$2,'ProductSprint Backlog'!$I199&lt;=B$2), 'ProductSprint Backlog'!$F199 / MAX(1, 'ProductSprint Backlog'!$J199-'ProductSprint Backlog'!$I199), AND('ProductSprint Backlog'!$J199=B$2,'ProductSprint Backlog'!$I199=B$2), 'ProductSprint Backlog'!$F199, TRUE, 0)</f>
        <v>0</v>
      </c>
      <c r="C199" s="4" cm="1">
        <f t="array" ref="C199">_xlfn.IFS('ProductSprint Backlog'!$F199="", "", AND('ProductSprint Backlog'!$J199&gt;C$2,'ProductSprint Backlog'!$I199&lt;=C$2), 'ProductSprint Backlog'!$F199 / MAX(1, 'ProductSprint Backlog'!$J199-'ProductSprint Backlog'!$I199), AND('ProductSprint Backlog'!$J199=C$2,'ProductSprint Backlog'!$I199=C$2), 'ProductSprint Backlog'!$F199, TRUE, 0)</f>
        <v>0</v>
      </c>
      <c r="D199" s="4" cm="1">
        <f t="array" ref="D199">_xlfn.IFS('ProductSprint Backlog'!$F199="", "", AND('ProductSprint Backlog'!$J199&gt;D$2,'ProductSprint Backlog'!$I199&lt;=D$2), 'ProductSprint Backlog'!$F199 / MAX(1, 'ProductSprint Backlog'!$J199-'ProductSprint Backlog'!$I199), AND('ProductSprint Backlog'!$J199=D$2,'ProductSprint Backlog'!$I199=D$2), 'ProductSprint Backlog'!$F199, TRUE, 0)</f>
        <v>0</v>
      </c>
      <c r="E199" s="4" cm="1">
        <f t="array" ref="E199">_xlfn.IFS('ProductSprint Backlog'!$F199="", "", AND('ProductSprint Backlog'!$J199&gt;E$2,'ProductSprint Backlog'!$I199&lt;=E$2), 'ProductSprint Backlog'!$F199 / MAX(1, 'ProductSprint Backlog'!$J199-'ProductSprint Backlog'!$I199), AND('ProductSprint Backlog'!$J199=E$2,'ProductSprint Backlog'!$I199=E$2), 'ProductSprint Backlog'!$F199, TRUE, 0)</f>
        <v>0</v>
      </c>
      <c r="F199" s="4" cm="1">
        <f t="array" ref="F199">_xlfn.IFS('ProductSprint Backlog'!$F199="", "", AND('ProductSprint Backlog'!$J199&gt;F$2,'ProductSprint Backlog'!$I199&lt;=F$2), 'ProductSprint Backlog'!$F199 / MAX(1, 'ProductSprint Backlog'!$J199-'ProductSprint Backlog'!$I199), AND('ProductSprint Backlog'!$J199=F$2,'ProductSprint Backlog'!$I199=F$2), 'ProductSprint Backlog'!$F199, TRUE, 0)</f>
        <v>0</v>
      </c>
      <c r="G199" s="4" cm="1">
        <f t="array" ref="G199">_xlfn.IFS('ProductSprint Backlog'!$F199="", "", AND('ProductSprint Backlog'!$J199&gt;G$2,'ProductSprint Backlog'!$I199&lt;=G$2), 'ProductSprint Backlog'!$F199 / MAX(1, 'ProductSprint Backlog'!$J199-'ProductSprint Backlog'!$I199), AND('ProductSprint Backlog'!$J199=G$2,'ProductSprint Backlog'!$I199=G$2), 'ProductSprint Backlog'!$F199, TRUE, 0)</f>
        <v>0</v>
      </c>
      <c r="H199" s="4" cm="1">
        <f t="array" ref="H199">_xlfn.IFS('ProductSprint Backlog'!$F199="", "", AND('ProductSprint Backlog'!$J199&gt;H$2,'ProductSprint Backlog'!$I199&lt;=H$2), 'ProductSprint Backlog'!$F199 / MAX(1, 'ProductSprint Backlog'!$J199-'ProductSprint Backlog'!$I199), AND('ProductSprint Backlog'!$J199=H$2,'ProductSprint Backlog'!$I199=H$2), 'ProductSprint Backlog'!$F199, TRUE, 0)</f>
        <v>0</v>
      </c>
      <c r="I199" s="4" cm="1">
        <f t="array" ref="I199">_xlfn.IFS('ProductSprint Backlog'!$F199="", "", AND('ProductSprint Backlog'!$J199&gt;I$2,'ProductSprint Backlog'!$I199&lt;=I$2), 'ProductSprint Backlog'!$F199 / MAX(1, 'ProductSprint Backlog'!$J199-'ProductSprint Backlog'!$I199), AND('ProductSprint Backlog'!$J199=I$2,'ProductSprint Backlog'!$I199=I$2), 'ProductSprint Backlog'!$F199, TRUE, 0)</f>
        <v>0</v>
      </c>
      <c r="J199" s="4" cm="1">
        <f t="array" ref="J199">_xlfn.IFS('ProductSprint Backlog'!$F199="", "", AND('ProductSprint Backlog'!$J199&gt;J$2,'ProductSprint Backlog'!$I199&lt;=J$2), 'ProductSprint Backlog'!$F199 / MAX(1, 'ProductSprint Backlog'!$J199-'ProductSprint Backlog'!$I199), AND('ProductSprint Backlog'!$J199=J$2,'ProductSprint Backlog'!$I199=J$2), 'ProductSprint Backlog'!$F199, TRUE, 0)</f>
        <v>0</v>
      </c>
      <c r="K199" s="4" cm="1">
        <f t="array" ref="K199">_xlfn.IFS('ProductSprint Backlog'!$F199="", "", AND('ProductSprint Backlog'!$J199&gt;K$2,'ProductSprint Backlog'!$I199&lt;=K$2), 'ProductSprint Backlog'!$F199 / MAX(1, 'ProductSprint Backlog'!$J199-'ProductSprint Backlog'!$I199), AND('ProductSprint Backlog'!$J199=K$2,'ProductSprint Backlog'!$I199=K$2), 'ProductSprint Backlog'!$F199, TRUE, 0)</f>
        <v>0</v>
      </c>
      <c r="L199" s="4" cm="1">
        <f t="array" ref="L199">_xlfn.IFS('ProductSprint Backlog'!$F199="", "", AND('ProductSprint Backlog'!$J199&gt;L$2,'ProductSprint Backlog'!$I199&lt;=L$2), 'ProductSprint Backlog'!$F199 / MAX(1, 'ProductSprint Backlog'!$J199-'ProductSprint Backlog'!$I199), AND('ProductSprint Backlog'!$J199=L$2,'ProductSprint Backlog'!$I199=L$2), 'ProductSprint Backlog'!$F199, TRUE, 0)</f>
        <v>0</v>
      </c>
      <c r="M199" s="4" cm="1">
        <f t="array" ref="M199">_xlfn.IFS('ProductSprint Backlog'!$F199="", "", AND('ProductSprint Backlog'!$J199&gt;M$2,'ProductSprint Backlog'!$I199&lt;=M$2), 'ProductSprint Backlog'!$F199 / MAX(1, 'ProductSprint Backlog'!$J199-'ProductSprint Backlog'!$I199), AND('ProductSprint Backlog'!$J199=M$2,'ProductSprint Backlog'!$I199=M$2), 'ProductSprint Backlog'!$F199, TRUE, 0)</f>
        <v>0</v>
      </c>
      <c r="N199" s="4" cm="1">
        <f t="array" ref="N199">_xlfn.IFS('ProductSprint Backlog'!$F199="", "", AND('ProductSprint Backlog'!$J199&gt;N$2,'ProductSprint Backlog'!$I199&lt;=N$2), 'ProductSprint Backlog'!$F199 / MAX(1, 'ProductSprint Backlog'!$J199-'ProductSprint Backlog'!$I199), AND('ProductSprint Backlog'!$J199=N$2,'ProductSprint Backlog'!$I199=N$2), 'ProductSprint Backlog'!$F199, TRUE, 0)</f>
        <v>0</v>
      </c>
      <c r="O199" s="4" cm="1">
        <f t="array" ref="O199">_xlfn.IFS('ProductSprint Backlog'!$F199="", "", AND('ProductSprint Backlog'!$J199&gt;O$2,'ProductSprint Backlog'!$I199&lt;=O$2), 'ProductSprint Backlog'!$F199 / MAX(1, 'ProductSprint Backlog'!$J199-'ProductSprint Backlog'!$I199), AND('ProductSprint Backlog'!$J199=O$2,'ProductSprint Backlog'!$I199=O$2), 'ProductSprint Backlog'!$F199, TRUE, 0)</f>
        <v>0</v>
      </c>
      <c r="P199" s="4" cm="1">
        <f t="array" ref="P199">_xlfn.IFS('ProductSprint Backlog'!$F199="", "", AND('ProductSprint Backlog'!$J199&gt;P$2,'ProductSprint Backlog'!$I199&lt;=P$2), 'ProductSprint Backlog'!$F199 / MAX(1, 'ProductSprint Backlog'!$J199-'ProductSprint Backlog'!$I199), AND('ProductSprint Backlog'!$J199=P$2,'ProductSprint Backlog'!$I199=P$2), 'ProductSprint Backlog'!$F199, TRUE, 0)</f>
        <v>0</v>
      </c>
      <c r="Q199" s="4" cm="1">
        <f t="array" ref="Q199">_xlfn.IFS('ProductSprint Backlog'!$F199="", "", AND('ProductSprint Backlog'!$J199&gt;Q$2,'ProductSprint Backlog'!$I199&lt;=Q$2), 'ProductSprint Backlog'!$F199 / MAX(1, 'ProductSprint Backlog'!$J199-'ProductSprint Backlog'!$I199), AND('ProductSprint Backlog'!$J199=Q$2,'ProductSprint Backlog'!$I199=Q$2), 'ProductSprint Backlog'!$F199, TRUE, 0)</f>
        <v>0</v>
      </c>
    </row>
    <row r="200" spans="2:17" x14ac:dyDescent="0.2">
      <c r="B200" s="4" cm="1">
        <f t="array" ref="B200">_xlfn.IFS('ProductSprint Backlog'!$F200="", "", AND('ProductSprint Backlog'!$J200&gt;B$2,'ProductSprint Backlog'!$I200&lt;=B$2), 'ProductSprint Backlog'!$F200 / MAX(1, 'ProductSprint Backlog'!$J200-'ProductSprint Backlog'!$I200), AND('ProductSprint Backlog'!$J200=B$2,'ProductSprint Backlog'!$I200=B$2), 'ProductSprint Backlog'!$F200, TRUE, 0)</f>
        <v>0</v>
      </c>
      <c r="C200" s="4" cm="1">
        <f t="array" ref="C200">_xlfn.IFS('ProductSprint Backlog'!$F200="", "", AND('ProductSprint Backlog'!$J200&gt;C$2,'ProductSprint Backlog'!$I200&lt;=C$2), 'ProductSprint Backlog'!$F200 / MAX(1, 'ProductSprint Backlog'!$J200-'ProductSprint Backlog'!$I200), AND('ProductSprint Backlog'!$J200=C$2,'ProductSprint Backlog'!$I200=C$2), 'ProductSprint Backlog'!$F200, TRUE, 0)</f>
        <v>0</v>
      </c>
      <c r="D200" s="4" cm="1">
        <f t="array" ref="D200">_xlfn.IFS('ProductSprint Backlog'!$F200="", "", AND('ProductSprint Backlog'!$J200&gt;D$2,'ProductSprint Backlog'!$I200&lt;=D$2), 'ProductSprint Backlog'!$F200 / MAX(1, 'ProductSprint Backlog'!$J200-'ProductSprint Backlog'!$I200), AND('ProductSprint Backlog'!$J200=D$2,'ProductSprint Backlog'!$I200=D$2), 'ProductSprint Backlog'!$F200, TRUE, 0)</f>
        <v>0</v>
      </c>
      <c r="E200" s="4" cm="1">
        <f t="array" ref="E200">_xlfn.IFS('ProductSprint Backlog'!$F200="", "", AND('ProductSprint Backlog'!$J200&gt;E$2,'ProductSprint Backlog'!$I200&lt;=E$2), 'ProductSprint Backlog'!$F200 / MAX(1, 'ProductSprint Backlog'!$J200-'ProductSprint Backlog'!$I200), AND('ProductSprint Backlog'!$J200=E$2,'ProductSprint Backlog'!$I200=E$2), 'ProductSprint Backlog'!$F200, TRUE, 0)</f>
        <v>0</v>
      </c>
      <c r="F200" s="4" cm="1">
        <f t="array" ref="F200">_xlfn.IFS('ProductSprint Backlog'!$F200="", "", AND('ProductSprint Backlog'!$J200&gt;F$2,'ProductSprint Backlog'!$I200&lt;=F$2), 'ProductSprint Backlog'!$F200 / MAX(1, 'ProductSprint Backlog'!$J200-'ProductSprint Backlog'!$I200), AND('ProductSprint Backlog'!$J200=F$2,'ProductSprint Backlog'!$I200=F$2), 'ProductSprint Backlog'!$F200, TRUE, 0)</f>
        <v>0</v>
      </c>
      <c r="G200" s="4" cm="1">
        <f t="array" ref="G200">_xlfn.IFS('ProductSprint Backlog'!$F200="", "", AND('ProductSprint Backlog'!$J200&gt;G$2,'ProductSprint Backlog'!$I200&lt;=G$2), 'ProductSprint Backlog'!$F200 / MAX(1, 'ProductSprint Backlog'!$J200-'ProductSprint Backlog'!$I200), AND('ProductSprint Backlog'!$J200=G$2,'ProductSprint Backlog'!$I200=G$2), 'ProductSprint Backlog'!$F200, TRUE, 0)</f>
        <v>0</v>
      </c>
      <c r="H200" s="4" cm="1">
        <f t="array" ref="H200">_xlfn.IFS('ProductSprint Backlog'!$F200="", "", AND('ProductSprint Backlog'!$J200&gt;H$2,'ProductSprint Backlog'!$I200&lt;=H$2), 'ProductSprint Backlog'!$F200 / MAX(1, 'ProductSprint Backlog'!$J200-'ProductSprint Backlog'!$I200), AND('ProductSprint Backlog'!$J200=H$2,'ProductSprint Backlog'!$I200=H$2), 'ProductSprint Backlog'!$F200, TRUE, 0)</f>
        <v>0</v>
      </c>
      <c r="I200" s="4" cm="1">
        <f t="array" ref="I200">_xlfn.IFS('ProductSprint Backlog'!$F200="", "", AND('ProductSprint Backlog'!$J200&gt;I$2,'ProductSprint Backlog'!$I200&lt;=I$2), 'ProductSprint Backlog'!$F200 / MAX(1, 'ProductSprint Backlog'!$J200-'ProductSprint Backlog'!$I200), AND('ProductSprint Backlog'!$J200=I$2,'ProductSprint Backlog'!$I200=I$2), 'ProductSprint Backlog'!$F200, TRUE, 0)</f>
        <v>0</v>
      </c>
      <c r="J200" s="4" cm="1">
        <f t="array" ref="J200">_xlfn.IFS('ProductSprint Backlog'!$F200="", "", AND('ProductSprint Backlog'!$J200&gt;J$2,'ProductSprint Backlog'!$I200&lt;=J$2), 'ProductSprint Backlog'!$F200 / MAX(1, 'ProductSprint Backlog'!$J200-'ProductSprint Backlog'!$I200), AND('ProductSprint Backlog'!$J200=J$2,'ProductSprint Backlog'!$I200=J$2), 'ProductSprint Backlog'!$F200, TRUE, 0)</f>
        <v>0</v>
      </c>
      <c r="K200" s="4" cm="1">
        <f t="array" ref="K200">_xlfn.IFS('ProductSprint Backlog'!$F200="", "", AND('ProductSprint Backlog'!$J200&gt;K$2,'ProductSprint Backlog'!$I200&lt;=K$2), 'ProductSprint Backlog'!$F200 / MAX(1, 'ProductSprint Backlog'!$J200-'ProductSprint Backlog'!$I200), AND('ProductSprint Backlog'!$J200=K$2,'ProductSprint Backlog'!$I200=K$2), 'ProductSprint Backlog'!$F200, TRUE, 0)</f>
        <v>0</v>
      </c>
      <c r="L200" s="4" cm="1">
        <f t="array" ref="L200">_xlfn.IFS('ProductSprint Backlog'!$F200="", "", AND('ProductSprint Backlog'!$J200&gt;L$2,'ProductSprint Backlog'!$I200&lt;=L$2), 'ProductSprint Backlog'!$F200 / MAX(1, 'ProductSprint Backlog'!$J200-'ProductSprint Backlog'!$I200), AND('ProductSprint Backlog'!$J200=L$2,'ProductSprint Backlog'!$I200=L$2), 'ProductSprint Backlog'!$F200, TRUE, 0)</f>
        <v>0</v>
      </c>
      <c r="M200" s="4" cm="1">
        <f t="array" ref="M200">_xlfn.IFS('ProductSprint Backlog'!$F200="", "", AND('ProductSprint Backlog'!$J200&gt;M$2,'ProductSprint Backlog'!$I200&lt;=M$2), 'ProductSprint Backlog'!$F200 / MAX(1, 'ProductSprint Backlog'!$J200-'ProductSprint Backlog'!$I200), AND('ProductSprint Backlog'!$J200=M$2,'ProductSprint Backlog'!$I200=M$2), 'ProductSprint Backlog'!$F200, TRUE, 0)</f>
        <v>0</v>
      </c>
      <c r="N200" s="4" cm="1">
        <f t="array" ref="N200">_xlfn.IFS('ProductSprint Backlog'!$F200="", "", AND('ProductSprint Backlog'!$J200&gt;N$2,'ProductSprint Backlog'!$I200&lt;=N$2), 'ProductSprint Backlog'!$F200 / MAX(1, 'ProductSprint Backlog'!$J200-'ProductSprint Backlog'!$I200), AND('ProductSprint Backlog'!$J200=N$2,'ProductSprint Backlog'!$I200=N$2), 'ProductSprint Backlog'!$F200, TRUE, 0)</f>
        <v>0</v>
      </c>
      <c r="O200" s="4" cm="1">
        <f t="array" ref="O200">_xlfn.IFS('ProductSprint Backlog'!$F200="", "", AND('ProductSprint Backlog'!$J200&gt;O$2,'ProductSprint Backlog'!$I200&lt;=O$2), 'ProductSprint Backlog'!$F200 / MAX(1, 'ProductSprint Backlog'!$J200-'ProductSprint Backlog'!$I200), AND('ProductSprint Backlog'!$J200=O$2,'ProductSprint Backlog'!$I200=O$2), 'ProductSprint Backlog'!$F200, TRUE, 0)</f>
        <v>0</v>
      </c>
      <c r="P200" s="4" cm="1">
        <f t="array" ref="P200">_xlfn.IFS('ProductSprint Backlog'!$F200="", "", AND('ProductSprint Backlog'!$J200&gt;P$2,'ProductSprint Backlog'!$I200&lt;=P$2), 'ProductSprint Backlog'!$F200 / MAX(1, 'ProductSprint Backlog'!$J200-'ProductSprint Backlog'!$I200), AND('ProductSprint Backlog'!$J200=P$2,'ProductSprint Backlog'!$I200=P$2), 'ProductSprint Backlog'!$F200, TRUE, 0)</f>
        <v>0</v>
      </c>
      <c r="Q200" s="4" cm="1">
        <f t="array" ref="Q200">_xlfn.IFS('ProductSprint Backlog'!$F200="", "", AND('ProductSprint Backlog'!$J200&gt;Q$2,'ProductSprint Backlog'!$I200&lt;=Q$2), 'ProductSprint Backlog'!$F200 / MAX(1, 'ProductSprint Backlog'!$J200-'ProductSprint Backlog'!$I200), AND('ProductSprint Backlog'!$J200=Q$2,'ProductSprint Backlog'!$I200=Q$2), 'ProductSprint Backlog'!$F200, TRUE, 0)</f>
        <v>0</v>
      </c>
    </row>
    <row r="201" spans="2:17" x14ac:dyDescent="0.2">
      <c r="B201" s="4" cm="1">
        <f t="array" ref="B201">_xlfn.IFS('ProductSprint Backlog'!$F201="", "", AND('ProductSprint Backlog'!$J201&gt;B$2,'ProductSprint Backlog'!$I201&lt;=B$2), 'ProductSprint Backlog'!$F201 / MAX(1, 'ProductSprint Backlog'!$J201-'ProductSprint Backlog'!$I201), AND('ProductSprint Backlog'!$J201=B$2,'ProductSprint Backlog'!$I201=B$2), 'ProductSprint Backlog'!$F201, TRUE, 0)</f>
        <v>0</v>
      </c>
      <c r="C201" s="4" cm="1">
        <f t="array" ref="C201">_xlfn.IFS('ProductSprint Backlog'!$F201="", "", AND('ProductSprint Backlog'!$J201&gt;C$2,'ProductSprint Backlog'!$I201&lt;=C$2), 'ProductSprint Backlog'!$F201 / MAX(1, 'ProductSprint Backlog'!$J201-'ProductSprint Backlog'!$I201), AND('ProductSprint Backlog'!$J201=C$2,'ProductSprint Backlog'!$I201=C$2), 'ProductSprint Backlog'!$F201, TRUE, 0)</f>
        <v>0</v>
      </c>
      <c r="D201" s="4" cm="1">
        <f t="array" ref="D201">_xlfn.IFS('ProductSprint Backlog'!$F201="", "", AND('ProductSprint Backlog'!$J201&gt;D$2,'ProductSprint Backlog'!$I201&lt;=D$2), 'ProductSprint Backlog'!$F201 / MAX(1, 'ProductSprint Backlog'!$J201-'ProductSprint Backlog'!$I201), AND('ProductSprint Backlog'!$J201=D$2,'ProductSprint Backlog'!$I201=D$2), 'ProductSprint Backlog'!$F201, TRUE, 0)</f>
        <v>0</v>
      </c>
      <c r="E201" s="4" cm="1">
        <f t="array" ref="E201">_xlfn.IFS('ProductSprint Backlog'!$F201="", "", AND('ProductSprint Backlog'!$J201&gt;E$2,'ProductSprint Backlog'!$I201&lt;=E$2), 'ProductSprint Backlog'!$F201 / MAX(1, 'ProductSprint Backlog'!$J201-'ProductSprint Backlog'!$I201), AND('ProductSprint Backlog'!$J201=E$2,'ProductSprint Backlog'!$I201=E$2), 'ProductSprint Backlog'!$F201, TRUE, 0)</f>
        <v>0</v>
      </c>
      <c r="F201" s="4" cm="1">
        <f t="array" ref="F201">_xlfn.IFS('ProductSprint Backlog'!$F201="", "", AND('ProductSprint Backlog'!$J201&gt;F$2,'ProductSprint Backlog'!$I201&lt;=F$2), 'ProductSprint Backlog'!$F201 / MAX(1, 'ProductSprint Backlog'!$J201-'ProductSprint Backlog'!$I201), AND('ProductSprint Backlog'!$J201=F$2,'ProductSprint Backlog'!$I201=F$2), 'ProductSprint Backlog'!$F201, TRUE, 0)</f>
        <v>0</v>
      </c>
      <c r="G201" s="4" cm="1">
        <f t="array" ref="G201">_xlfn.IFS('ProductSprint Backlog'!$F201="", "", AND('ProductSprint Backlog'!$J201&gt;G$2,'ProductSprint Backlog'!$I201&lt;=G$2), 'ProductSprint Backlog'!$F201 / MAX(1, 'ProductSprint Backlog'!$J201-'ProductSprint Backlog'!$I201), AND('ProductSprint Backlog'!$J201=G$2,'ProductSprint Backlog'!$I201=G$2), 'ProductSprint Backlog'!$F201, TRUE, 0)</f>
        <v>0</v>
      </c>
      <c r="H201" s="4" cm="1">
        <f t="array" ref="H201">_xlfn.IFS('ProductSprint Backlog'!$F201="", "", AND('ProductSprint Backlog'!$J201&gt;H$2,'ProductSprint Backlog'!$I201&lt;=H$2), 'ProductSprint Backlog'!$F201 / MAX(1, 'ProductSprint Backlog'!$J201-'ProductSprint Backlog'!$I201), AND('ProductSprint Backlog'!$J201=H$2,'ProductSprint Backlog'!$I201=H$2), 'ProductSprint Backlog'!$F201, TRUE, 0)</f>
        <v>0</v>
      </c>
      <c r="I201" s="4" cm="1">
        <f t="array" ref="I201">_xlfn.IFS('ProductSprint Backlog'!$F201="", "", AND('ProductSprint Backlog'!$J201&gt;I$2,'ProductSprint Backlog'!$I201&lt;=I$2), 'ProductSprint Backlog'!$F201 / MAX(1, 'ProductSprint Backlog'!$J201-'ProductSprint Backlog'!$I201), AND('ProductSprint Backlog'!$J201=I$2,'ProductSprint Backlog'!$I201=I$2), 'ProductSprint Backlog'!$F201, TRUE, 0)</f>
        <v>0</v>
      </c>
      <c r="J201" s="4" cm="1">
        <f t="array" ref="J201">_xlfn.IFS('ProductSprint Backlog'!$F201="", "", AND('ProductSprint Backlog'!$J201&gt;J$2,'ProductSprint Backlog'!$I201&lt;=J$2), 'ProductSprint Backlog'!$F201 / MAX(1, 'ProductSprint Backlog'!$J201-'ProductSprint Backlog'!$I201), AND('ProductSprint Backlog'!$J201=J$2,'ProductSprint Backlog'!$I201=J$2), 'ProductSprint Backlog'!$F201, TRUE, 0)</f>
        <v>0</v>
      </c>
      <c r="K201" s="4" cm="1">
        <f t="array" ref="K201">_xlfn.IFS('ProductSprint Backlog'!$F201="", "", AND('ProductSprint Backlog'!$J201&gt;K$2,'ProductSprint Backlog'!$I201&lt;=K$2), 'ProductSprint Backlog'!$F201 / MAX(1, 'ProductSprint Backlog'!$J201-'ProductSprint Backlog'!$I201), AND('ProductSprint Backlog'!$J201=K$2,'ProductSprint Backlog'!$I201=K$2), 'ProductSprint Backlog'!$F201, TRUE, 0)</f>
        <v>0</v>
      </c>
      <c r="L201" s="4" cm="1">
        <f t="array" ref="L201">_xlfn.IFS('ProductSprint Backlog'!$F201="", "", AND('ProductSprint Backlog'!$J201&gt;L$2,'ProductSprint Backlog'!$I201&lt;=L$2), 'ProductSprint Backlog'!$F201 / MAX(1, 'ProductSprint Backlog'!$J201-'ProductSprint Backlog'!$I201), AND('ProductSprint Backlog'!$J201=L$2,'ProductSprint Backlog'!$I201=L$2), 'ProductSprint Backlog'!$F201, TRUE, 0)</f>
        <v>0</v>
      </c>
      <c r="M201" s="4" cm="1">
        <f t="array" ref="M201">_xlfn.IFS('ProductSprint Backlog'!$F201="", "", AND('ProductSprint Backlog'!$J201&gt;M$2,'ProductSprint Backlog'!$I201&lt;=M$2), 'ProductSprint Backlog'!$F201 / MAX(1, 'ProductSprint Backlog'!$J201-'ProductSprint Backlog'!$I201), AND('ProductSprint Backlog'!$J201=M$2,'ProductSprint Backlog'!$I201=M$2), 'ProductSprint Backlog'!$F201, TRUE, 0)</f>
        <v>0</v>
      </c>
      <c r="N201" s="4" cm="1">
        <f t="array" ref="N201">_xlfn.IFS('ProductSprint Backlog'!$F201="", "", AND('ProductSprint Backlog'!$J201&gt;N$2,'ProductSprint Backlog'!$I201&lt;=N$2), 'ProductSprint Backlog'!$F201 / MAX(1, 'ProductSprint Backlog'!$J201-'ProductSprint Backlog'!$I201), AND('ProductSprint Backlog'!$J201=N$2,'ProductSprint Backlog'!$I201=N$2), 'ProductSprint Backlog'!$F201, TRUE, 0)</f>
        <v>0</v>
      </c>
      <c r="O201" s="4" cm="1">
        <f t="array" ref="O201">_xlfn.IFS('ProductSprint Backlog'!$F201="", "", AND('ProductSprint Backlog'!$J201&gt;O$2,'ProductSprint Backlog'!$I201&lt;=O$2), 'ProductSprint Backlog'!$F201 / MAX(1, 'ProductSprint Backlog'!$J201-'ProductSprint Backlog'!$I201), AND('ProductSprint Backlog'!$J201=O$2,'ProductSprint Backlog'!$I201=O$2), 'ProductSprint Backlog'!$F201, TRUE, 0)</f>
        <v>0</v>
      </c>
      <c r="P201" s="4" cm="1">
        <f t="array" ref="P201">_xlfn.IFS('ProductSprint Backlog'!$F201="", "", AND('ProductSprint Backlog'!$J201&gt;P$2,'ProductSprint Backlog'!$I201&lt;=P$2), 'ProductSprint Backlog'!$F201 / MAX(1, 'ProductSprint Backlog'!$J201-'ProductSprint Backlog'!$I201), AND('ProductSprint Backlog'!$J201=P$2,'ProductSprint Backlog'!$I201=P$2), 'ProductSprint Backlog'!$F201, TRUE, 0)</f>
        <v>0</v>
      </c>
      <c r="Q201" s="4" cm="1">
        <f t="array" ref="Q201">_xlfn.IFS('ProductSprint Backlog'!$F201="", "", AND('ProductSprint Backlog'!$J201&gt;Q$2,'ProductSprint Backlog'!$I201&lt;=Q$2), 'ProductSprint Backlog'!$F201 / MAX(1, 'ProductSprint Backlog'!$J201-'ProductSprint Backlog'!$I201), AND('ProductSprint Backlog'!$J201=Q$2,'ProductSprint Backlog'!$I201=Q$2), 'ProductSprint Backlog'!$F201, TRUE, 0)</f>
        <v>0</v>
      </c>
    </row>
    <row r="202" spans="2:17" x14ac:dyDescent="0.2">
      <c r="B202" s="4" cm="1">
        <f t="array" ref="B202">_xlfn.IFS('ProductSprint Backlog'!$F202="", "", AND('ProductSprint Backlog'!$J202&gt;B$2,'ProductSprint Backlog'!$I202&lt;=B$2), 'ProductSprint Backlog'!$F202 / MAX(1, 'ProductSprint Backlog'!$J202-'ProductSprint Backlog'!$I202), AND('ProductSprint Backlog'!$J202=B$2,'ProductSprint Backlog'!$I202=B$2), 'ProductSprint Backlog'!$F202, TRUE, 0)</f>
        <v>0</v>
      </c>
      <c r="C202" s="4" cm="1">
        <f t="array" ref="C202">_xlfn.IFS('ProductSprint Backlog'!$F202="", "", AND('ProductSprint Backlog'!$J202&gt;C$2,'ProductSprint Backlog'!$I202&lt;=C$2), 'ProductSprint Backlog'!$F202 / MAX(1, 'ProductSprint Backlog'!$J202-'ProductSprint Backlog'!$I202), AND('ProductSprint Backlog'!$J202=C$2,'ProductSprint Backlog'!$I202=C$2), 'ProductSprint Backlog'!$F202, TRUE, 0)</f>
        <v>0</v>
      </c>
      <c r="D202" s="4" cm="1">
        <f t="array" ref="D202">_xlfn.IFS('ProductSprint Backlog'!$F202="", "", AND('ProductSprint Backlog'!$J202&gt;D$2,'ProductSprint Backlog'!$I202&lt;=D$2), 'ProductSprint Backlog'!$F202 / MAX(1, 'ProductSprint Backlog'!$J202-'ProductSprint Backlog'!$I202), AND('ProductSprint Backlog'!$J202=D$2,'ProductSprint Backlog'!$I202=D$2), 'ProductSprint Backlog'!$F202, TRUE, 0)</f>
        <v>0</v>
      </c>
      <c r="E202" s="4" cm="1">
        <f t="array" ref="E202">_xlfn.IFS('ProductSprint Backlog'!$F202="", "", AND('ProductSprint Backlog'!$J202&gt;E$2,'ProductSprint Backlog'!$I202&lt;=E$2), 'ProductSprint Backlog'!$F202 / MAX(1, 'ProductSprint Backlog'!$J202-'ProductSprint Backlog'!$I202), AND('ProductSprint Backlog'!$J202=E$2,'ProductSprint Backlog'!$I202=E$2), 'ProductSprint Backlog'!$F202, TRUE, 0)</f>
        <v>0</v>
      </c>
      <c r="F202" s="4" cm="1">
        <f t="array" ref="F202">_xlfn.IFS('ProductSprint Backlog'!$F202="", "", AND('ProductSprint Backlog'!$J202&gt;F$2,'ProductSprint Backlog'!$I202&lt;=F$2), 'ProductSprint Backlog'!$F202 / MAX(1, 'ProductSprint Backlog'!$J202-'ProductSprint Backlog'!$I202), AND('ProductSprint Backlog'!$J202=F$2,'ProductSprint Backlog'!$I202=F$2), 'ProductSprint Backlog'!$F202, TRUE, 0)</f>
        <v>0</v>
      </c>
      <c r="G202" s="4" cm="1">
        <f t="array" ref="G202">_xlfn.IFS('ProductSprint Backlog'!$F202="", "", AND('ProductSprint Backlog'!$J202&gt;G$2,'ProductSprint Backlog'!$I202&lt;=G$2), 'ProductSprint Backlog'!$F202 / MAX(1, 'ProductSprint Backlog'!$J202-'ProductSprint Backlog'!$I202), AND('ProductSprint Backlog'!$J202=G$2,'ProductSprint Backlog'!$I202=G$2), 'ProductSprint Backlog'!$F202, TRUE, 0)</f>
        <v>0</v>
      </c>
      <c r="H202" s="4" cm="1">
        <f t="array" ref="H202">_xlfn.IFS('ProductSprint Backlog'!$F202="", "", AND('ProductSprint Backlog'!$J202&gt;H$2,'ProductSprint Backlog'!$I202&lt;=H$2), 'ProductSprint Backlog'!$F202 / MAX(1, 'ProductSprint Backlog'!$J202-'ProductSprint Backlog'!$I202), AND('ProductSprint Backlog'!$J202=H$2,'ProductSprint Backlog'!$I202=H$2), 'ProductSprint Backlog'!$F202, TRUE, 0)</f>
        <v>0</v>
      </c>
      <c r="I202" s="4" cm="1">
        <f t="array" ref="I202">_xlfn.IFS('ProductSprint Backlog'!$F202="", "", AND('ProductSprint Backlog'!$J202&gt;I$2,'ProductSprint Backlog'!$I202&lt;=I$2), 'ProductSprint Backlog'!$F202 / MAX(1, 'ProductSprint Backlog'!$J202-'ProductSprint Backlog'!$I202), AND('ProductSprint Backlog'!$J202=I$2,'ProductSprint Backlog'!$I202=I$2), 'ProductSprint Backlog'!$F202, TRUE, 0)</f>
        <v>0</v>
      </c>
      <c r="J202" s="4" cm="1">
        <f t="array" ref="J202">_xlfn.IFS('ProductSprint Backlog'!$F202="", "", AND('ProductSprint Backlog'!$J202&gt;J$2,'ProductSprint Backlog'!$I202&lt;=J$2), 'ProductSprint Backlog'!$F202 / MAX(1, 'ProductSprint Backlog'!$J202-'ProductSprint Backlog'!$I202), AND('ProductSprint Backlog'!$J202=J$2,'ProductSprint Backlog'!$I202=J$2), 'ProductSprint Backlog'!$F202, TRUE, 0)</f>
        <v>0</v>
      </c>
      <c r="K202" s="4" cm="1">
        <f t="array" ref="K202">_xlfn.IFS('ProductSprint Backlog'!$F202="", "", AND('ProductSprint Backlog'!$J202&gt;K$2,'ProductSprint Backlog'!$I202&lt;=K$2), 'ProductSprint Backlog'!$F202 / MAX(1, 'ProductSprint Backlog'!$J202-'ProductSprint Backlog'!$I202), AND('ProductSprint Backlog'!$J202=K$2,'ProductSprint Backlog'!$I202=K$2), 'ProductSprint Backlog'!$F202, TRUE, 0)</f>
        <v>0</v>
      </c>
      <c r="L202" s="4" cm="1">
        <f t="array" ref="L202">_xlfn.IFS('ProductSprint Backlog'!$F202="", "", AND('ProductSprint Backlog'!$J202&gt;L$2,'ProductSprint Backlog'!$I202&lt;=L$2), 'ProductSprint Backlog'!$F202 / MAX(1, 'ProductSprint Backlog'!$J202-'ProductSprint Backlog'!$I202), AND('ProductSprint Backlog'!$J202=L$2,'ProductSprint Backlog'!$I202=L$2), 'ProductSprint Backlog'!$F202, TRUE, 0)</f>
        <v>0</v>
      </c>
      <c r="M202" s="4" cm="1">
        <f t="array" ref="M202">_xlfn.IFS('ProductSprint Backlog'!$F202="", "", AND('ProductSprint Backlog'!$J202&gt;M$2,'ProductSprint Backlog'!$I202&lt;=M$2), 'ProductSprint Backlog'!$F202 / MAX(1, 'ProductSprint Backlog'!$J202-'ProductSprint Backlog'!$I202), AND('ProductSprint Backlog'!$J202=M$2,'ProductSprint Backlog'!$I202=M$2), 'ProductSprint Backlog'!$F202, TRUE, 0)</f>
        <v>0</v>
      </c>
      <c r="N202" s="4" cm="1">
        <f t="array" ref="N202">_xlfn.IFS('ProductSprint Backlog'!$F202="", "", AND('ProductSprint Backlog'!$J202&gt;N$2,'ProductSprint Backlog'!$I202&lt;=N$2), 'ProductSprint Backlog'!$F202 / MAX(1, 'ProductSprint Backlog'!$J202-'ProductSprint Backlog'!$I202), AND('ProductSprint Backlog'!$J202=N$2,'ProductSprint Backlog'!$I202=N$2), 'ProductSprint Backlog'!$F202, TRUE, 0)</f>
        <v>0</v>
      </c>
      <c r="O202" s="4" cm="1">
        <f t="array" ref="O202">_xlfn.IFS('ProductSprint Backlog'!$F202="", "", AND('ProductSprint Backlog'!$J202&gt;O$2,'ProductSprint Backlog'!$I202&lt;=O$2), 'ProductSprint Backlog'!$F202 / MAX(1, 'ProductSprint Backlog'!$J202-'ProductSprint Backlog'!$I202), AND('ProductSprint Backlog'!$J202=O$2,'ProductSprint Backlog'!$I202=O$2), 'ProductSprint Backlog'!$F202, TRUE, 0)</f>
        <v>0</v>
      </c>
      <c r="P202" s="4" cm="1">
        <f t="array" ref="P202">_xlfn.IFS('ProductSprint Backlog'!$F202="", "", AND('ProductSprint Backlog'!$J202&gt;P$2,'ProductSprint Backlog'!$I202&lt;=P$2), 'ProductSprint Backlog'!$F202 / MAX(1, 'ProductSprint Backlog'!$J202-'ProductSprint Backlog'!$I202), AND('ProductSprint Backlog'!$J202=P$2,'ProductSprint Backlog'!$I202=P$2), 'ProductSprint Backlog'!$F202, TRUE, 0)</f>
        <v>0</v>
      </c>
      <c r="Q202" s="4" cm="1">
        <f t="array" ref="Q202">_xlfn.IFS('ProductSprint Backlog'!$F202="", "", AND('ProductSprint Backlog'!$J202&gt;Q$2,'ProductSprint Backlog'!$I202&lt;=Q$2), 'ProductSprint Backlog'!$F202 / MAX(1, 'ProductSprint Backlog'!$J202-'ProductSprint Backlog'!$I202), AND('ProductSprint Backlog'!$J202=Q$2,'ProductSprint Backlog'!$I202=Q$2), 'ProductSprint Backlog'!$F202, TRUE, 0)</f>
        <v>0</v>
      </c>
    </row>
    <row r="203" spans="2:17" x14ac:dyDescent="0.2">
      <c r="B203" s="4" cm="1">
        <f t="array" ref="B203">_xlfn.IFS('ProductSprint Backlog'!$F203="", "", AND('ProductSprint Backlog'!$J203&gt;B$2,'ProductSprint Backlog'!$I203&lt;=B$2), 'ProductSprint Backlog'!$F203 / MAX(1, 'ProductSprint Backlog'!$J203-'ProductSprint Backlog'!$I203), AND('ProductSprint Backlog'!$J203=B$2,'ProductSprint Backlog'!$I203=B$2), 'ProductSprint Backlog'!$F203, TRUE, 0)</f>
        <v>0</v>
      </c>
      <c r="C203" s="4" cm="1">
        <f t="array" ref="C203">_xlfn.IFS('ProductSprint Backlog'!$F203="", "", AND('ProductSprint Backlog'!$J203&gt;C$2,'ProductSprint Backlog'!$I203&lt;=C$2), 'ProductSprint Backlog'!$F203 / MAX(1, 'ProductSprint Backlog'!$J203-'ProductSprint Backlog'!$I203), AND('ProductSprint Backlog'!$J203=C$2,'ProductSprint Backlog'!$I203=C$2), 'ProductSprint Backlog'!$F203, TRUE, 0)</f>
        <v>0</v>
      </c>
      <c r="D203" s="4" cm="1">
        <f t="array" ref="D203">_xlfn.IFS('ProductSprint Backlog'!$F203="", "", AND('ProductSprint Backlog'!$J203&gt;D$2,'ProductSprint Backlog'!$I203&lt;=D$2), 'ProductSprint Backlog'!$F203 / MAX(1, 'ProductSprint Backlog'!$J203-'ProductSprint Backlog'!$I203), AND('ProductSprint Backlog'!$J203=D$2,'ProductSprint Backlog'!$I203=D$2), 'ProductSprint Backlog'!$F203, TRUE, 0)</f>
        <v>0</v>
      </c>
      <c r="E203" s="4" cm="1">
        <f t="array" ref="E203">_xlfn.IFS('ProductSprint Backlog'!$F203="", "", AND('ProductSprint Backlog'!$J203&gt;E$2,'ProductSprint Backlog'!$I203&lt;=E$2), 'ProductSprint Backlog'!$F203 / MAX(1, 'ProductSprint Backlog'!$J203-'ProductSprint Backlog'!$I203), AND('ProductSprint Backlog'!$J203=E$2,'ProductSprint Backlog'!$I203=E$2), 'ProductSprint Backlog'!$F203, TRUE, 0)</f>
        <v>0</v>
      </c>
      <c r="F203" s="4" cm="1">
        <f t="array" ref="F203">_xlfn.IFS('ProductSprint Backlog'!$F203="", "", AND('ProductSprint Backlog'!$J203&gt;F$2,'ProductSprint Backlog'!$I203&lt;=F$2), 'ProductSprint Backlog'!$F203 / MAX(1, 'ProductSprint Backlog'!$J203-'ProductSprint Backlog'!$I203), AND('ProductSprint Backlog'!$J203=F$2,'ProductSprint Backlog'!$I203=F$2), 'ProductSprint Backlog'!$F203, TRUE, 0)</f>
        <v>0</v>
      </c>
      <c r="G203" s="4" cm="1">
        <f t="array" ref="G203">_xlfn.IFS('ProductSprint Backlog'!$F203="", "", AND('ProductSprint Backlog'!$J203&gt;G$2,'ProductSprint Backlog'!$I203&lt;=G$2), 'ProductSprint Backlog'!$F203 / MAX(1, 'ProductSprint Backlog'!$J203-'ProductSprint Backlog'!$I203), AND('ProductSprint Backlog'!$J203=G$2,'ProductSprint Backlog'!$I203=G$2), 'ProductSprint Backlog'!$F203, TRUE, 0)</f>
        <v>0</v>
      </c>
      <c r="H203" s="4" cm="1">
        <f t="array" ref="H203">_xlfn.IFS('ProductSprint Backlog'!$F203="", "", AND('ProductSprint Backlog'!$J203&gt;H$2,'ProductSprint Backlog'!$I203&lt;=H$2), 'ProductSprint Backlog'!$F203 / MAX(1, 'ProductSprint Backlog'!$J203-'ProductSprint Backlog'!$I203), AND('ProductSprint Backlog'!$J203=H$2,'ProductSprint Backlog'!$I203=H$2), 'ProductSprint Backlog'!$F203, TRUE, 0)</f>
        <v>0</v>
      </c>
      <c r="I203" s="4" cm="1">
        <f t="array" ref="I203">_xlfn.IFS('ProductSprint Backlog'!$F203="", "", AND('ProductSprint Backlog'!$J203&gt;I$2,'ProductSprint Backlog'!$I203&lt;=I$2), 'ProductSprint Backlog'!$F203 / MAX(1, 'ProductSprint Backlog'!$J203-'ProductSprint Backlog'!$I203), AND('ProductSprint Backlog'!$J203=I$2,'ProductSprint Backlog'!$I203=I$2), 'ProductSprint Backlog'!$F203, TRUE, 0)</f>
        <v>0</v>
      </c>
      <c r="J203" s="4" cm="1">
        <f t="array" ref="J203">_xlfn.IFS('ProductSprint Backlog'!$F203="", "", AND('ProductSprint Backlog'!$J203&gt;J$2,'ProductSprint Backlog'!$I203&lt;=J$2), 'ProductSprint Backlog'!$F203 / MAX(1, 'ProductSprint Backlog'!$J203-'ProductSprint Backlog'!$I203), AND('ProductSprint Backlog'!$J203=J$2,'ProductSprint Backlog'!$I203=J$2), 'ProductSprint Backlog'!$F203, TRUE, 0)</f>
        <v>0</v>
      </c>
      <c r="K203" s="4" cm="1">
        <f t="array" ref="K203">_xlfn.IFS('ProductSprint Backlog'!$F203="", "", AND('ProductSprint Backlog'!$J203&gt;K$2,'ProductSprint Backlog'!$I203&lt;=K$2), 'ProductSprint Backlog'!$F203 / MAX(1, 'ProductSprint Backlog'!$J203-'ProductSprint Backlog'!$I203), AND('ProductSprint Backlog'!$J203=K$2,'ProductSprint Backlog'!$I203=K$2), 'ProductSprint Backlog'!$F203, TRUE, 0)</f>
        <v>0</v>
      </c>
      <c r="L203" s="4" cm="1">
        <f t="array" ref="L203">_xlfn.IFS('ProductSprint Backlog'!$F203="", "", AND('ProductSprint Backlog'!$J203&gt;L$2,'ProductSprint Backlog'!$I203&lt;=L$2), 'ProductSprint Backlog'!$F203 / MAX(1, 'ProductSprint Backlog'!$J203-'ProductSprint Backlog'!$I203), AND('ProductSprint Backlog'!$J203=L$2,'ProductSprint Backlog'!$I203=L$2), 'ProductSprint Backlog'!$F203, TRUE, 0)</f>
        <v>0</v>
      </c>
      <c r="M203" s="4" cm="1">
        <f t="array" ref="M203">_xlfn.IFS('ProductSprint Backlog'!$F203="", "", AND('ProductSprint Backlog'!$J203&gt;M$2,'ProductSprint Backlog'!$I203&lt;=M$2), 'ProductSprint Backlog'!$F203 / MAX(1, 'ProductSprint Backlog'!$J203-'ProductSprint Backlog'!$I203), AND('ProductSprint Backlog'!$J203=M$2,'ProductSprint Backlog'!$I203=M$2), 'ProductSprint Backlog'!$F203, TRUE, 0)</f>
        <v>0</v>
      </c>
      <c r="N203" s="4" cm="1">
        <f t="array" ref="N203">_xlfn.IFS('ProductSprint Backlog'!$F203="", "", AND('ProductSprint Backlog'!$J203&gt;N$2,'ProductSprint Backlog'!$I203&lt;=N$2), 'ProductSprint Backlog'!$F203 / MAX(1, 'ProductSprint Backlog'!$J203-'ProductSprint Backlog'!$I203), AND('ProductSprint Backlog'!$J203=N$2,'ProductSprint Backlog'!$I203=N$2), 'ProductSprint Backlog'!$F203, TRUE, 0)</f>
        <v>0</v>
      </c>
      <c r="O203" s="4" cm="1">
        <f t="array" ref="O203">_xlfn.IFS('ProductSprint Backlog'!$F203="", "", AND('ProductSprint Backlog'!$J203&gt;O$2,'ProductSprint Backlog'!$I203&lt;=O$2), 'ProductSprint Backlog'!$F203 / MAX(1, 'ProductSprint Backlog'!$J203-'ProductSprint Backlog'!$I203), AND('ProductSprint Backlog'!$J203=O$2,'ProductSprint Backlog'!$I203=O$2), 'ProductSprint Backlog'!$F203, TRUE, 0)</f>
        <v>0</v>
      </c>
      <c r="P203" s="4" cm="1">
        <f t="array" ref="P203">_xlfn.IFS('ProductSprint Backlog'!$F203="", "", AND('ProductSprint Backlog'!$J203&gt;P$2,'ProductSprint Backlog'!$I203&lt;=P$2), 'ProductSprint Backlog'!$F203 / MAX(1, 'ProductSprint Backlog'!$J203-'ProductSprint Backlog'!$I203), AND('ProductSprint Backlog'!$J203=P$2,'ProductSprint Backlog'!$I203=P$2), 'ProductSprint Backlog'!$F203, TRUE, 0)</f>
        <v>0</v>
      </c>
      <c r="Q203" s="4" cm="1">
        <f t="array" ref="Q203">_xlfn.IFS('ProductSprint Backlog'!$F203="", "", AND('ProductSprint Backlog'!$J203&gt;Q$2,'ProductSprint Backlog'!$I203&lt;=Q$2), 'ProductSprint Backlog'!$F203 / MAX(1, 'ProductSprint Backlog'!$J203-'ProductSprint Backlog'!$I203), AND('ProductSprint Backlog'!$J203=Q$2,'ProductSprint Backlog'!$I203=Q$2), 'ProductSprint Backlog'!$F203, TRUE, 0)</f>
        <v>0</v>
      </c>
    </row>
    <row r="204" spans="2:17" x14ac:dyDescent="0.2">
      <c r="B204" s="4" cm="1">
        <f t="array" ref="B204">_xlfn.IFS('ProductSprint Backlog'!$F204="", "", AND('ProductSprint Backlog'!$J204&gt;B$2,'ProductSprint Backlog'!$I204&lt;=B$2), 'ProductSprint Backlog'!$F204 / MAX(1, 'ProductSprint Backlog'!$J204-'ProductSprint Backlog'!$I204), AND('ProductSprint Backlog'!$J204=B$2,'ProductSprint Backlog'!$I204=B$2), 'ProductSprint Backlog'!$F204, TRUE, 0)</f>
        <v>0</v>
      </c>
      <c r="C204" s="4" cm="1">
        <f t="array" ref="C204">_xlfn.IFS('ProductSprint Backlog'!$F204="", "", AND('ProductSprint Backlog'!$J204&gt;C$2,'ProductSprint Backlog'!$I204&lt;=C$2), 'ProductSprint Backlog'!$F204 / MAX(1, 'ProductSprint Backlog'!$J204-'ProductSprint Backlog'!$I204), AND('ProductSprint Backlog'!$J204=C$2,'ProductSprint Backlog'!$I204=C$2), 'ProductSprint Backlog'!$F204, TRUE, 0)</f>
        <v>0</v>
      </c>
      <c r="D204" s="4" cm="1">
        <f t="array" ref="D204">_xlfn.IFS('ProductSprint Backlog'!$F204="", "", AND('ProductSprint Backlog'!$J204&gt;D$2,'ProductSprint Backlog'!$I204&lt;=D$2), 'ProductSprint Backlog'!$F204 / MAX(1, 'ProductSprint Backlog'!$J204-'ProductSprint Backlog'!$I204), AND('ProductSprint Backlog'!$J204=D$2,'ProductSprint Backlog'!$I204=D$2), 'ProductSprint Backlog'!$F204, TRUE, 0)</f>
        <v>0</v>
      </c>
      <c r="E204" s="4" cm="1">
        <f t="array" ref="E204">_xlfn.IFS('ProductSprint Backlog'!$F204="", "", AND('ProductSprint Backlog'!$J204&gt;E$2,'ProductSprint Backlog'!$I204&lt;=E$2), 'ProductSprint Backlog'!$F204 / MAX(1, 'ProductSprint Backlog'!$J204-'ProductSprint Backlog'!$I204), AND('ProductSprint Backlog'!$J204=E$2,'ProductSprint Backlog'!$I204=E$2), 'ProductSprint Backlog'!$F204, TRUE, 0)</f>
        <v>0</v>
      </c>
      <c r="F204" s="4" cm="1">
        <f t="array" ref="F204">_xlfn.IFS('ProductSprint Backlog'!$F204="", "", AND('ProductSprint Backlog'!$J204&gt;F$2,'ProductSprint Backlog'!$I204&lt;=F$2), 'ProductSprint Backlog'!$F204 / MAX(1, 'ProductSprint Backlog'!$J204-'ProductSprint Backlog'!$I204), AND('ProductSprint Backlog'!$J204=F$2,'ProductSprint Backlog'!$I204=F$2), 'ProductSprint Backlog'!$F204, TRUE, 0)</f>
        <v>0</v>
      </c>
      <c r="G204" s="4" cm="1">
        <f t="array" ref="G204">_xlfn.IFS('ProductSprint Backlog'!$F204="", "", AND('ProductSprint Backlog'!$J204&gt;G$2,'ProductSprint Backlog'!$I204&lt;=G$2), 'ProductSprint Backlog'!$F204 / MAX(1, 'ProductSprint Backlog'!$J204-'ProductSprint Backlog'!$I204), AND('ProductSprint Backlog'!$J204=G$2,'ProductSprint Backlog'!$I204=G$2), 'ProductSprint Backlog'!$F204, TRUE, 0)</f>
        <v>0</v>
      </c>
      <c r="H204" s="4" cm="1">
        <f t="array" ref="H204">_xlfn.IFS('ProductSprint Backlog'!$F204="", "", AND('ProductSprint Backlog'!$J204&gt;H$2,'ProductSprint Backlog'!$I204&lt;=H$2), 'ProductSprint Backlog'!$F204 / MAX(1, 'ProductSprint Backlog'!$J204-'ProductSprint Backlog'!$I204), AND('ProductSprint Backlog'!$J204=H$2,'ProductSprint Backlog'!$I204=H$2), 'ProductSprint Backlog'!$F204, TRUE, 0)</f>
        <v>0</v>
      </c>
      <c r="I204" s="4" cm="1">
        <f t="array" ref="I204">_xlfn.IFS('ProductSprint Backlog'!$F204="", "", AND('ProductSprint Backlog'!$J204&gt;I$2,'ProductSprint Backlog'!$I204&lt;=I$2), 'ProductSprint Backlog'!$F204 / MAX(1, 'ProductSprint Backlog'!$J204-'ProductSprint Backlog'!$I204), AND('ProductSprint Backlog'!$J204=I$2,'ProductSprint Backlog'!$I204=I$2), 'ProductSprint Backlog'!$F204, TRUE, 0)</f>
        <v>0</v>
      </c>
      <c r="J204" s="4" cm="1">
        <f t="array" ref="J204">_xlfn.IFS('ProductSprint Backlog'!$F204="", "", AND('ProductSprint Backlog'!$J204&gt;J$2,'ProductSprint Backlog'!$I204&lt;=J$2), 'ProductSprint Backlog'!$F204 / MAX(1, 'ProductSprint Backlog'!$J204-'ProductSprint Backlog'!$I204), AND('ProductSprint Backlog'!$J204=J$2,'ProductSprint Backlog'!$I204=J$2), 'ProductSprint Backlog'!$F204, TRUE, 0)</f>
        <v>0</v>
      </c>
      <c r="K204" s="4" cm="1">
        <f t="array" ref="K204">_xlfn.IFS('ProductSprint Backlog'!$F204="", "", AND('ProductSprint Backlog'!$J204&gt;K$2,'ProductSprint Backlog'!$I204&lt;=K$2), 'ProductSprint Backlog'!$F204 / MAX(1, 'ProductSprint Backlog'!$J204-'ProductSprint Backlog'!$I204), AND('ProductSprint Backlog'!$J204=K$2,'ProductSprint Backlog'!$I204=K$2), 'ProductSprint Backlog'!$F204, TRUE, 0)</f>
        <v>0</v>
      </c>
      <c r="L204" s="4" cm="1">
        <f t="array" ref="L204">_xlfn.IFS('ProductSprint Backlog'!$F204="", "", AND('ProductSprint Backlog'!$J204&gt;L$2,'ProductSprint Backlog'!$I204&lt;=L$2), 'ProductSprint Backlog'!$F204 / MAX(1, 'ProductSprint Backlog'!$J204-'ProductSprint Backlog'!$I204), AND('ProductSprint Backlog'!$J204=L$2,'ProductSprint Backlog'!$I204=L$2), 'ProductSprint Backlog'!$F204, TRUE, 0)</f>
        <v>0</v>
      </c>
      <c r="M204" s="4" cm="1">
        <f t="array" ref="M204">_xlfn.IFS('ProductSprint Backlog'!$F204="", "", AND('ProductSprint Backlog'!$J204&gt;M$2,'ProductSprint Backlog'!$I204&lt;=M$2), 'ProductSprint Backlog'!$F204 / MAX(1, 'ProductSprint Backlog'!$J204-'ProductSprint Backlog'!$I204), AND('ProductSprint Backlog'!$J204=M$2,'ProductSprint Backlog'!$I204=M$2), 'ProductSprint Backlog'!$F204, TRUE, 0)</f>
        <v>0</v>
      </c>
      <c r="N204" s="4" cm="1">
        <f t="array" ref="N204">_xlfn.IFS('ProductSprint Backlog'!$F204="", "", AND('ProductSprint Backlog'!$J204&gt;N$2,'ProductSprint Backlog'!$I204&lt;=N$2), 'ProductSprint Backlog'!$F204 / MAX(1, 'ProductSprint Backlog'!$J204-'ProductSprint Backlog'!$I204), AND('ProductSprint Backlog'!$J204=N$2,'ProductSprint Backlog'!$I204=N$2), 'ProductSprint Backlog'!$F204, TRUE, 0)</f>
        <v>0</v>
      </c>
      <c r="O204" s="4" cm="1">
        <f t="array" ref="O204">_xlfn.IFS('ProductSprint Backlog'!$F204="", "", AND('ProductSprint Backlog'!$J204&gt;O$2,'ProductSprint Backlog'!$I204&lt;=O$2), 'ProductSprint Backlog'!$F204 / MAX(1, 'ProductSprint Backlog'!$J204-'ProductSprint Backlog'!$I204), AND('ProductSprint Backlog'!$J204=O$2,'ProductSprint Backlog'!$I204=O$2), 'ProductSprint Backlog'!$F204, TRUE, 0)</f>
        <v>0</v>
      </c>
      <c r="P204" s="4" cm="1">
        <f t="array" ref="P204">_xlfn.IFS('ProductSprint Backlog'!$F204="", "", AND('ProductSprint Backlog'!$J204&gt;P$2,'ProductSprint Backlog'!$I204&lt;=P$2), 'ProductSprint Backlog'!$F204 / MAX(1, 'ProductSprint Backlog'!$J204-'ProductSprint Backlog'!$I204), AND('ProductSprint Backlog'!$J204=P$2,'ProductSprint Backlog'!$I204=P$2), 'ProductSprint Backlog'!$F204, TRUE, 0)</f>
        <v>0</v>
      </c>
      <c r="Q204" s="4" cm="1">
        <f t="array" ref="Q204">_xlfn.IFS('ProductSprint Backlog'!$F204="", "", AND('ProductSprint Backlog'!$J204&gt;Q$2,'ProductSprint Backlog'!$I204&lt;=Q$2), 'ProductSprint Backlog'!$F204 / MAX(1, 'ProductSprint Backlog'!$J204-'ProductSprint Backlog'!$I204), AND('ProductSprint Backlog'!$J204=Q$2,'ProductSprint Backlog'!$I204=Q$2), 'ProductSprint Backlog'!$F204, TRUE, 0)</f>
        <v>0</v>
      </c>
    </row>
    <row r="205" spans="2:17" x14ac:dyDescent="0.2">
      <c r="B205" s="4" cm="1">
        <f t="array" ref="B205">_xlfn.IFS('ProductSprint Backlog'!$F205="", "", AND('ProductSprint Backlog'!$J205&gt;B$2,'ProductSprint Backlog'!$I205&lt;=B$2), 'ProductSprint Backlog'!$F205 / MAX(1, 'ProductSprint Backlog'!$J205-'ProductSprint Backlog'!$I205), AND('ProductSprint Backlog'!$J205=B$2,'ProductSprint Backlog'!$I205=B$2), 'ProductSprint Backlog'!$F205, TRUE, 0)</f>
        <v>0</v>
      </c>
      <c r="C205" s="4" cm="1">
        <f t="array" ref="C205">_xlfn.IFS('ProductSprint Backlog'!$F205="", "", AND('ProductSprint Backlog'!$J205&gt;C$2,'ProductSprint Backlog'!$I205&lt;=C$2), 'ProductSprint Backlog'!$F205 / MAX(1, 'ProductSprint Backlog'!$J205-'ProductSprint Backlog'!$I205), AND('ProductSprint Backlog'!$J205=C$2,'ProductSprint Backlog'!$I205=C$2), 'ProductSprint Backlog'!$F205, TRUE, 0)</f>
        <v>0</v>
      </c>
      <c r="D205" s="4" cm="1">
        <f t="array" ref="D205">_xlfn.IFS('ProductSprint Backlog'!$F205="", "", AND('ProductSprint Backlog'!$J205&gt;D$2,'ProductSprint Backlog'!$I205&lt;=D$2), 'ProductSprint Backlog'!$F205 / MAX(1, 'ProductSprint Backlog'!$J205-'ProductSprint Backlog'!$I205), AND('ProductSprint Backlog'!$J205=D$2,'ProductSprint Backlog'!$I205=D$2), 'ProductSprint Backlog'!$F205, TRUE, 0)</f>
        <v>0</v>
      </c>
      <c r="E205" s="4" cm="1">
        <f t="array" ref="E205">_xlfn.IFS('ProductSprint Backlog'!$F205="", "", AND('ProductSprint Backlog'!$J205&gt;E$2,'ProductSprint Backlog'!$I205&lt;=E$2), 'ProductSprint Backlog'!$F205 / MAX(1, 'ProductSprint Backlog'!$J205-'ProductSprint Backlog'!$I205), AND('ProductSprint Backlog'!$J205=E$2,'ProductSprint Backlog'!$I205=E$2), 'ProductSprint Backlog'!$F205, TRUE, 0)</f>
        <v>0</v>
      </c>
      <c r="F205" s="4" cm="1">
        <f t="array" ref="F205">_xlfn.IFS('ProductSprint Backlog'!$F205="", "", AND('ProductSprint Backlog'!$J205&gt;F$2,'ProductSprint Backlog'!$I205&lt;=F$2), 'ProductSprint Backlog'!$F205 / MAX(1, 'ProductSprint Backlog'!$J205-'ProductSprint Backlog'!$I205), AND('ProductSprint Backlog'!$J205=F$2,'ProductSprint Backlog'!$I205=F$2), 'ProductSprint Backlog'!$F205, TRUE, 0)</f>
        <v>0</v>
      </c>
      <c r="G205" s="4" cm="1">
        <f t="array" ref="G205">_xlfn.IFS('ProductSprint Backlog'!$F205="", "", AND('ProductSprint Backlog'!$J205&gt;G$2,'ProductSprint Backlog'!$I205&lt;=G$2), 'ProductSprint Backlog'!$F205 / MAX(1, 'ProductSprint Backlog'!$J205-'ProductSprint Backlog'!$I205), AND('ProductSprint Backlog'!$J205=G$2,'ProductSprint Backlog'!$I205=G$2), 'ProductSprint Backlog'!$F205, TRUE, 0)</f>
        <v>0</v>
      </c>
      <c r="H205" s="4" cm="1">
        <f t="array" ref="H205">_xlfn.IFS('ProductSprint Backlog'!$F205="", "", AND('ProductSprint Backlog'!$J205&gt;H$2,'ProductSprint Backlog'!$I205&lt;=H$2), 'ProductSprint Backlog'!$F205 / MAX(1, 'ProductSprint Backlog'!$J205-'ProductSprint Backlog'!$I205), AND('ProductSprint Backlog'!$J205=H$2,'ProductSprint Backlog'!$I205=H$2), 'ProductSprint Backlog'!$F205, TRUE, 0)</f>
        <v>0</v>
      </c>
      <c r="I205" s="4" cm="1">
        <f t="array" ref="I205">_xlfn.IFS('ProductSprint Backlog'!$F205="", "", AND('ProductSprint Backlog'!$J205&gt;I$2,'ProductSprint Backlog'!$I205&lt;=I$2), 'ProductSprint Backlog'!$F205 / MAX(1, 'ProductSprint Backlog'!$J205-'ProductSprint Backlog'!$I205), AND('ProductSprint Backlog'!$J205=I$2,'ProductSprint Backlog'!$I205=I$2), 'ProductSprint Backlog'!$F205, TRUE, 0)</f>
        <v>0</v>
      </c>
      <c r="J205" s="4" cm="1">
        <f t="array" ref="J205">_xlfn.IFS('ProductSprint Backlog'!$F205="", "", AND('ProductSprint Backlog'!$J205&gt;J$2,'ProductSprint Backlog'!$I205&lt;=J$2), 'ProductSprint Backlog'!$F205 / MAX(1, 'ProductSprint Backlog'!$J205-'ProductSprint Backlog'!$I205), AND('ProductSprint Backlog'!$J205=J$2,'ProductSprint Backlog'!$I205=J$2), 'ProductSprint Backlog'!$F205, TRUE, 0)</f>
        <v>0</v>
      </c>
      <c r="K205" s="4" cm="1">
        <f t="array" ref="K205">_xlfn.IFS('ProductSprint Backlog'!$F205="", "", AND('ProductSprint Backlog'!$J205&gt;K$2,'ProductSprint Backlog'!$I205&lt;=K$2), 'ProductSprint Backlog'!$F205 / MAX(1, 'ProductSprint Backlog'!$J205-'ProductSprint Backlog'!$I205), AND('ProductSprint Backlog'!$J205=K$2,'ProductSprint Backlog'!$I205=K$2), 'ProductSprint Backlog'!$F205, TRUE, 0)</f>
        <v>0</v>
      </c>
      <c r="L205" s="4" cm="1">
        <f t="array" ref="L205">_xlfn.IFS('ProductSprint Backlog'!$F205="", "", AND('ProductSprint Backlog'!$J205&gt;L$2,'ProductSprint Backlog'!$I205&lt;=L$2), 'ProductSprint Backlog'!$F205 / MAX(1, 'ProductSprint Backlog'!$J205-'ProductSprint Backlog'!$I205), AND('ProductSprint Backlog'!$J205=L$2,'ProductSprint Backlog'!$I205=L$2), 'ProductSprint Backlog'!$F205, TRUE, 0)</f>
        <v>0</v>
      </c>
      <c r="M205" s="4" cm="1">
        <f t="array" ref="M205">_xlfn.IFS('ProductSprint Backlog'!$F205="", "", AND('ProductSprint Backlog'!$J205&gt;M$2,'ProductSprint Backlog'!$I205&lt;=M$2), 'ProductSprint Backlog'!$F205 / MAX(1, 'ProductSprint Backlog'!$J205-'ProductSprint Backlog'!$I205), AND('ProductSprint Backlog'!$J205=M$2,'ProductSprint Backlog'!$I205=M$2), 'ProductSprint Backlog'!$F205, TRUE, 0)</f>
        <v>0</v>
      </c>
      <c r="N205" s="4" cm="1">
        <f t="array" ref="N205">_xlfn.IFS('ProductSprint Backlog'!$F205="", "", AND('ProductSprint Backlog'!$J205&gt;N$2,'ProductSprint Backlog'!$I205&lt;=N$2), 'ProductSprint Backlog'!$F205 / MAX(1, 'ProductSprint Backlog'!$J205-'ProductSprint Backlog'!$I205), AND('ProductSprint Backlog'!$J205=N$2,'ProductSprint Backlog'!$I205=N$2), 'ProductSprint Backlog'!$F205, TRUE, 0)</f>
        <v>0</v>
      </c>
      <c r="O205" s="4" cm="1">
        <f t="array" ref="O205">_xlfn.IFS('ProductSprint Backlog'!$F205="", "", AND('ProductSprint Backlog'!$J205&gt;O$2,'ProductSprint Backlog'!$I205&lt;=O$2), 'ProductSprint Backlog'!$F205 / MAX(1, 'ProductSprint Backlog'!$J205-'ProductSprint Backlog'!$I205), AND('ProductSprint Backlog'!$J205=O$2,'ProductSprint Backlog'!$I205=O$2), 'ProductSprint Backlog'!$F205, TRUE, 0)</f>
        <v>0</v>
      </c>
      <c r="P205" s="4" cm="1">
        <f t="array" ref="P205">_xlfn.IFS('ProductSprint Backlog'!$F205="", "", AND('ProductSprint Backlog'!$J205&gt;P$2,'ProductSprint Backlog'!$I205&lt;=P$2), 'ProductSprint Backlog'!$F205 / MAX(1, 'ProductSprint Backlog'!$J205-'ProductSprint Backlog'!$I205), AND('ProductSprint Backlog'!$J205=P$2,'ProductSprint Backlog'!$I205=P$2), 'ProductSprint Backlog'!$F205, TRUE, 0)</f>
        <v>0</v>
      </c>
      <c r="Q205" s="4" cm="1">
        <f t="array" ref="Q205">_xlfn.IFS('ProductSprint Backlog'!$F205="", "", AND('ProductSprint Backlog'!$J205&gt;Q$2,'ProductSprint Backlog'!$I205&lt;=Q$2), 'ProductSprint Backlog'!$F205 / MAX(1, 'ProductSprint Backlog'!$J205-'ProductSprint Backlog'!$I205), AND('ProductSprint Backlog'!$J205=Q$2,'ProductSprint Backlog'!$I205=Q$2), 'ProductSprint Backlog'!$F205, TRUE, 0)</f>
        <v>0</v>
      </c>
    </row>
    <row r="206" spans="2:17" x14ac:dyDescent="0.2">
      <c r="B206" s="4" cm="1">
        <f t="array" ref="B206">_xlfn.IFS('ProductSprint Backlog'!$F206="", "", AND('ProductSprint Backlog'!$J206&gt;B$2,'ProductSprint Backlog'!$I206&lt;=B$2), 'ProductSprint Backlog'!$F206 / MAX(1, 'ProductSprint Backlog'!$J206-'ProductSprint Backlog'!$I206), AND('ProductSprint Backlog'!$J206=B$2,'ProductSprint Backlog'!$I206=B$2), 'ProductSprint Backlog'!$F206, TRUE, 0)</f>
        <v>0</v>
      </c>
      <c r="C206" s="4" cm="1">
        <f t="array" ref="C206">_xlfn.IFS('ProductSprint Backlog'!$F206="", "", AND('ProductSprint Backlog'!$J206&gt;C$2,'ProductSprint Backlog'!$I206&lt;=C$2), 'ProductSprint Backlog'!$F206 / MAX(1, 'ProductSprint Backlog'!$J206-'ProductSprint Backlog'!$I206), AND('ProductSprint Backlog'!$J206=C$2,'ProductSprint Backlog'!$I206=C$2), 'ProductSprint Backlog'!$F206, TRUE, 0)</f>
        <v>0</v>
      </c>
      <c r="D206" s="4" cm="1">
        <f t="array" ref="D206">_xlfn.IFS('ProductSprint Backlog'!$F206="", "", AND('ProductSprint Backlog'!$J206&gt;D$2,'ProductSprint Backlog'!$I206&lt;=D$2), 'ProductSprint Backlog'!$F206 / MAX(1, 'ProductSprint Backlog'!$J206-'ProductSprint Backlog'!$I206), AND('ProductSprint Backlog'!$J206=D$2,'ProductSprint Backlog'!$I206=D$2), 'ProductSprint Backlog'!$F206, TRUE, 0)</f>
        <v>0</v>
      </c>
      <c r="E206" s="4" cm="1">
        <f t="array" ref="E206">_xlfn.IFS('ProductSprint Backlog'!$F206="", "", AND('ProductSprint Backlog'!$J206&gt;E$2,'ProductSprint Backlog'!$I206&lt;=E$2), 'ProductSprint Backlog'!$F206 / MAX(1, 'ProductSprint Backlog'!$J206-'ProductSprint Backlog'!$I206), AND('ProductSprint Backlog'!$J206=E$2,'ProductSprint Backlog'!$I206=E$2), 'ProductSprint Backlog'!$F206, TRUE, 0)</f>
        <v>0</v>
      </c>
      <c r="F206" s="4" cm="1">
        <f t="array" ref="F206">_xlfn.IFS('ProductSprint Backlog'!$F206="", "", AND('ProductSprint Backlog'!$J206&gt;F$2,'ProductSprint Backlog'!$I206&lt;=F$2), 'ProductSprint Backlog'!$F206 / MAX(1, 'ProductSprint Backlog'!$J206-'ProductSprint Backlog'!$I206), AND('ProductSprint Backlog'!$J206=F$2,'ProductSprint Backlog'!$I206=F$2), 'ProductSprint Backlog'!$F206, TRUE, 0)</f>
        <v>0</v>
      </c>
      <c r="G206" s="4" cm="1">
        <f t="array" ref="G206">_xlfn.IFS('ProductSprint Backlog'!$F206="", "", AND('ProductSprint Backlog'!$J206&gt;G$2,'ProductSprint Backlog'!$I206&lt;=G$2), 'ProductSprint Backlog'!$F206 / MAX(1, 'ProductSprint Backlog'!$J206-'ProductSprint Backlog'!$I206), AND('ProductSprint Backlog'!$J206=G$2,'ProductSprint Backlog'!$I206=G$2), 'ProductSprint Backlog'!$F206, TRUE, 0)</f>
        <v>0</v>
      </c>
      <c r="H206" s="4" cm="1">
        <f t="array" ref="H206">_xlfn.IFS('ProductSprint Backlog'!$F206="", "", AND('ProductSprint Backlog'!$J206&gt;H$2,'ProductSprint Backlog'!$I206&lt;=H$2), 'ProductSprint Backlog'!$F206 / MAX(1, 'ProductSprint Backlog'!$J206-'ProductSprint Backlog'!$I206), AND('ProductSprint Backlog'!$J206=H$2,'ProductSprint Backlog'!$I206=H$2), 'ProductSprint Backlog'!$F206, TRUE, 0)</f>
        <v>0</v>
      </c>
      <c r="I206" s="4" cm="1">
        <f t="array" ref="I206">_xlfn.IFS('ProductSprint Backlog'!$F206="", "", AND('ProductSprint Backlog'!$J206&gt;I$2,'ProductSprint Backlog'!$I206&lt;=I$2), 'ProductSprint Backlog'!$F206 / MAX(1, 'ProductSprint Backlog'!$J206-'ProductSprint Backlog'!$I206), AND('ProductSprint Backlog'!$J206=I$2,'ProductSprint Backlog'!$I206=I$2), 'ProductSprint Backlog'!$F206, TRUE, 0)</f>
        <v>0</v>
      </c>
      <c r="J206" s="4" cm="1">
        <f t="array" ref="J206">_xlfn.IFS('ProductSprint Backlog'!$F206="", "", AND('ProductSprint Backlog'!$J206&gt;J$2,'ProductSprint Backlog'!$I206&lt;=J$2), 'ProductSprint Backlog'!$F206 / MAX(1, 'ProductSprint Backlog'!$J206-'ProductSprint Backlog'!$I206), AND('ProductSprint Backlog'!$J206=J$2,'ProductSprint Backlog'!$I206=J$2), 'ProductSprint Backlog'!$F206, TRUE, 0)</f>
        <v>0</v>
      </c>
      <c r="K206" s="4" cm="1">
        <f t="array" ref="K206">_xlfn.IFS('ProductSprint Backlog'!$F206="", "", AND('ProductSprint Backlog'!$J206&gt;K$2,'ProductSprint Backlog'!$I206&lt;=K$2), 'ProductSprint Backlog'!$F206 / MAX(1, 'ProductSprint Backlog'!$J206-'ProductSprint Backlog'!$I206), AND('ProductSprint Backlog'!$J206=K$2,'ProductSprint Backlog'!$I206=K$2), 'ProductSprint Backlog'!$F206, TRUE, 0)</f>
        <v>0</v>
      </c>
      <c r="L206" s="4" cm="1">
        <f t="array" ref="L206">_xlfn.IFS('ProductSprint Backlog'!$F206="", "", AND('ProductSprint Backlog'!$J206&gt;L$2,'ProductSprint Backlog'!$I206&lt;=L$2), 'ProductSprint Backlog'!$F206 / MAX(1, 'ProductSprint Backlog'!$J206-'ProductSprint Backlog'!$I206), AND('ProductSprint Backlog'!$J206=L$2,'ProductSprint Backlog'!$I206=L$2), 'ProductSprint Backlog'!$F206, TRUE, 0)</f>
        <v>0</v>
      </c>
      <c r="M206" s="4" cm="1">
        <f t="array" ref="M206">_xlfn.IFS('ProductSprint Backlog'!$F206="", "", AND('ProductSprint Backlog'!$J206&gt;M$2,'ProductSprint Backlog'!$I206&lt;=M$2), 'ProductSprint Backlog'!$F206 / MAX(1, 'ProductSprint Backlog'!$J206-'ProductSprint Backlog'!$I206), AND('ProductSprint Backlog'!$J206=M$2,'ProductSprint Backlog'!$I206=M$2), 'ProductSprint Backlog'!$F206, TRUE, 0)</f>
        <v>0</v>
      </c>
      <c r="N206" s="4" cm="1">
        <f t="array" ref="N206">_xlfn.IFS('ProductSprint Backlog'!$F206="", "", AND('ProductSprint Backlog'!$J206&gt;N$2,'ProductSprint Backlog'!$I206&lt;=N$2), 'ProductSprint Backlog'!$F206 / MAX(1, 'ProductSprint Backlog'!$J206-'ProductSprint Backlog'!$I206), AND('ProductSprint Backlog'!$J206=N$2,'ProductSprint Backlog'!$I206=N$2), 'ProductSprint Backlog'!$F206, TRUE, 0)</f>
        <v>0</v>
      </c>
      <c r="O206" s="4" cm="1">
        <f t="array" ref="O206">_xlfn.IFS('ProductSprint Backlog'!$F206="", "", AND('ProductSprint Backlog'!$J206&gt;O$2,'ProductSprint Backlog'!$I206&lt;=O$2), 'ProductSprint Backlog'!$F206 / MAX(1, 'ProductSprint Backlog'!$J206-'ProductSprint Backlog'!$I206), AND('ProductSprint Backlog'!$J206=O$2,'ProductSprint Backlog'!$I206=O$2), 'ProductSprint Backlog'!$F206, TRUE, 0)</f>
        <v>0</v>
      </c>
      <c r="P206" s="4" cm="1">
        <f t="array" ref="P206">_xlfn.IFS('ProductSprint Backlog'!$F206="", "", AND('ProductSprint Backlog'!$J206&gt;P$2,'ProductSprint Backlog'!$I206&lt;=P$2), 'ProductSprint Backlog'!$F206 / MAX(1, 'ProductSprint Backlog'!$J206-'ProductSprint Backlog'!$I206), AND('ProductSprint Backlog'!$J206=P$2,'ProductSprint Backlog'!$I206=P$2), 'ProductSprint Backlog'!$F206, TRUE, 0)</f>
        <v>0</v>
      </c>
      <c r="Q206" s="4" cm="1">
        <f t="array" ref="Q206">_xlfn.IFS('ProductSprint Backlog'!$F206="", "", AND('ProductSprint Backlog'!$J206&gt;Q$2,'ProductSprint Backlog'!$I206&lt;=Q$2), 'ProductSprint Backlog'!$F206 / MAX(1, 'ProductSprint Backlog'!$J206-'ProductSprint Backlog'!$I206), AND('ProductSprint Backlog'!$J206=Q$2,'ProductSprint Backlog'!$I206=Q$2), 'ProductSprint Backlog'!$F206, TRUE, 0)</f>
        <v>0</v>
      </c>
    </row>
    <row r="207" spans="2:17" x14ac:dyDescent="0.2">
      <c r="B207" s="4" cm="1">
        <f t="array" ref="B207">_xlfn.IFS('ProductSprint Backlog'!$F207="", "", AND('ProductSprint Backlog'!$J207&gt;B$2,'ProductSprint Backlog'!$I207&lt;=B$2), 'ProductSprint Backlog'!$F207 / MAX(1, 'ProductSprint Backlog'!$J207-'ProductSprint Backlog'!$I207), AND('ProductSprint Backlog'!$J207=B$2,'ProductSprint Backlog'!$I207=B$2), 'ProductSprint Backlog'!$F207, TRUE, 0)</f>
        <v>0</v>
      </c>
      <c r="C207" s="4" cm="1">
        <f t="array" ref="C207">_xlfn.IFS('ProductSprint Backlog'!$F207="", "", AND('ProductSprint Backlog'!$J207&gt;C$2,'ProductSprint Backlog'!$I207&lt;=C$2), 'ProductSprint Backlog'!$F207 / MAX(1, 'ProductSprint Backlog'!$J207-'ProductSprint Backlog'!$I207), AND('ProductSprint Backlog'!$J207=C$2,'ProductSprint Backlog'!$I207=C$2), 'ProductSprint Backlog'!$F207, TRUE, 0)</f>
        <v>0</v>
      </c>
      <c r="D207" s="4" cm="1">
        <f t="array" ref="D207">_xlfn.IFS('ProductSprint Backlog'!$F207="", "", AND('ProductSprint Backlog'!$J207&gt;D$2,'ProductSprint Backlog'!$I207&lt;=D$2), 'ProductSprint Backlog'!$F207 / MAX(1, 'ProductSprint Backlog'!$J207-'ProductSprint Backlog'!$I207), AND('ProductSprint Backlog'!$J207=D$2,'ProductSprint Backlog'!$I207=D$2), 'ProductSprint Backlog'!$F207, TRUE, 0)</f>
        <v>0</v>
      </c>
      <c r="E207" s="4" cm="1">
        <f t="array" ref="E207">_xlfn.IFS('ProductSprint Backlog'!$F207="", "", AND('ProductSprint Backlog'!$J207&gt;E$2,'ProductSprint Backlog'!$I207&lt;=E$2), 'ProductSprint Backlog'!$F207 / MAX(1, 'ProductSprint Backlog'!$J207-'ProductSprint Backlog'!$I207), AND('ProductSprint Backlog'!$J207=E$2,'ProductSprint Backlog'!$I207=E$2), 'ProductSprint Backlog'!$F207, TRUE, 0)</f>
        <v>0</v>
      </c>
      <c r="F207" s="4" cm="1">
        <f t="array" ref="F207">_xlfn.IFS('ProductSprint Backlog'!$F207="", "", AND('ProductSprint Backlog'!$J207&gt;F$2,'ProductSprint Backlog'!$I207&lt;=F$2), 'ProductSprint Backlog'!$F207 / MAX(1, 'ProductSprint Backlog'!$J207-'ProductSprint Backlog'!$I207), AND('ProductSprint Backlog'!$J207=F$2,'ProductSprint Backlog'!$I207=F$2), 'ProductSprint Backlog'!$F207, TRUE, 0)</f>
        <v>0</v>
      </c>
      <c r="G207" s="4" cm="1">
        <f t="array" ref="G207">_xlfn.IFS('ProductSprint Backlog'!$F207="", "", AND('ProductSprint Backlog'!$J207&gt;G$2,'ProductSprint Backlog'!$I207&lt;=G$2), 'ProductSprint Backlog'!$F207 / MAX(1, 'ProductSprint Backlog'!$J207-'ProductSprint Backlog'!$I207), AND('ProductSprint Backlog'!$J207=G$2,'ProductSprint Backlog'!$I207=G$2), 'ProductSprint Backlog'!$F207, TRUE, 0)</f>
        <v>0</v>
      </c>
      <c r="H207" s="4" cm="1">
        <f t="array" ref="H207">_xlfn.IFS('ProductSprint Backlog'!$F207="", "", AND('ProductSprint Backlog'!$J207&gt;H$2,'ProductSprint Backlog'!$I207&lt;=H$2), 'ProductSprint Backlog'!$F207 / MAX(1, 'ProductSprint Backlog'!$J207-'ProductSprint Backlog'!$I207), AND('ProductSprint Backlog'!$J207=H$2,'ProductSprint Backlog'!$I207=H$2), 'ProductSprint Backlog'!$F207, TRUE, 0)</f>
        <v>0</v>
      </c>
      <c r="I207" s="4" cm="1">
        <f t="array" ref="I207">_xlfn.IFS('ProductSprint Backlog'!$F207="", "", AND('ProductSprint Backlog'!$J207&gt;I$2,'ProductSprint Backlog'!$I207&lt;=I$2), 'ProductSprint Backlog'!$F207 / MAX(1, 'ProductSprint Backlog'!$J207-'ProductSprint Backlog'!$I207), AND('ProductSprint Backlog'!$J207=I$2,'ProductSprint Backlog'!$I207=I$2), 'ProductSprint Backlog'!$F207, TRUE, 0)</f>
        <v>0</v>
      </c>
      <c r="J207" s="4" cm="1">
        <f t="array" ref="J207">_xlfn.IFS('ProductSprint Backlog'!$F207="", "", AND('ProductSprint Backlog'!$J207&gt;J$2,'ProductSprint Backlog'!$I207&lt;=J$2), 'ProductSprint Backlog'!$F207 / MAX(1, 'ProductSprint Backlog'!$J207-'ProductSprint Backlog'!$I207), AND('ProductSprint Backlog'!$J207=J$2,'ProductSprint Backlog'!$I207=J$2), 'ProductSprint Backlog'!$F207, TRUE, 0)</f>
        <v>0</v>
      </c>
      <c r="K207" s="4" cm="1">
        <f t="array" ref="K207">_xlfn.IFS('ProductSprint Backlog'!$F207="", "", AND('ProductSprint Backlog'!$J207&gt;K$2,'ProductSprint Backlog'!$I207&lt;=K$2), 'ProductSprint Backlog'!$F207 / MAX(1, 'ProductSprint Backlog'!$J207-'ProductSprint Backlog'!$I207), AND('ProductSprint Backlog'!$J207=K$2,'ProductSprint Backlog'!$I207=K$2), 'ProductSprint Backlog'!$F207, TRUE, 0)</f>
        <v>0</v>
      </c>
      <c r="L207" s="4" cm="1">
        <f t="array" ref="L207">_xlfn.IFS('ProductSprint Backlog'!$F207="", "", AND('ProductSprint Backlog'!$J207&gt;L$2,'ProductSprint Backlog'!$I207&lt;=L$2), 'ProductSprint Backlog'!$F207 / MAX(1, 'ProductSprint Backlog'!$J207-'ProductSprint Backlog'!$I207), AND('ProductSprint Backlog'!$J207=L$2,'ProductSprint Backlog'!$I207=L$2), 'ProductSprint Backlog'!$F207, TRUE, 0)</f>
        <v>0</v>
      </c>
      <c r="M207" s="4" cm="1">
        <f t="array" ref="M207">_xlfn.IFS('ProductSprint Backlog'!$F207="", "", AND('ProductSprint Backlog'!$J207&gt;M$2,'ProductSprint Backlog'!$I207&lt;=M$2), 'ProductSprint Backlog'!$F207 / MAX(1, 'ProductSprint Backlog'!$J207-'ProductSprint Backlog'!$I207), AND('ProductSprint Backlog'!$J207=M$2,'ProductSprint Backlog'!$I207=M$2), 'ProductSprint Backlog'!$F207, TRUE, 0)</f>
        <v>0</v>
      </c>
      <c r="N207" s="4" cm="1">
        <f t="array" ref="N207">_xlfn.IFS('ProductSprint Backlog'!$F207="", "", AND('ProductSprint Backlog'!$J207&gt;N$2,'ProductSprint Backlog'!$I207&lt;=N$2), 'ProductSprint Backlog'!$F207 / MAX(1, 'ProductSprint Backlog'!$J207-'ProductSprint Backlog'!$I207), AND('ProductSprint Backlog'!$J207=N$2,'ProductSprint Backlog'!$I207=N$2), 'ProductSprint Backlog'!$F207, TRUE, 0)</f>
        <v>0</v>
      </c>
      <c r="O207" s="4" cm="1">
        <f t="array" ref="O207">_xlfn.IFS('ProductSprint Backlog'!$F207="", "", AND('ProductSprint Backlog'!$J207&gt;O$2,'ProductSprint Backlog'!$I207&lt;=O$2), 'ProductSprint Backlog'!$F207 / MAX(1, 'ProductSprint Backlog'!$J207-'ProductSprint Backlog'!$I207), AND('ProductSprint Backlog'!$J207=O$2,'ProductSprint Backlog'!$I207=O$2), 'ProductSprint Backlog'!$F207, TRUE, 0)</f>
        <v>0</v>
      </c>
      <c r="P207" s="4" cm="1">
        <f t="array" ref="P207">_xlfn.IFS('ProductSprint Backlog'!$F207="", "", AND('ProductSprint Backlog'!$J207&gt;P$2,'ProductSprint Backlog'!$I207&lt;=P$2), 'ProductSprint Backlog'!$F207 / MAX(1, 'ProductSprint Backlog'!$J207-'ProductSprint Backlog'!$I207), AND('ProductSprint Backlog'!$J207=P$2,'ProductSprint Backlog'!$I207=P$2), 'ProductSprint Backlog'!$F207, TRUE, 0)</f>
        <v>0</v>
      </c>
      <c r="Q207" s="4" cm="1">
        <f t="array" ref="Q207">_xlfn.IFS('ProductSprint Backlog'!$F207="", "", AND('ProductSprint Backlog'!$J207&gt;Q$2,'ProductSprint Backlog'!$I207&lt;=Q$2), 'ProductSprint Backlog'!$F207 / MAX(1, 'ProductSprint Backlog'!$J207-'ProductSprint Backlog'!$I207), AND('ProductSprint Backlog'!$J207=Q$2,'ProductSprint Backlog'!$I207=Q$2), 'ProductSprint Backlog'!$F207, TRUE, 0)</f>
        <v>0</v>
      </c>
    </row>
    <row r="208" spans="2:17" x14ac:dyDescent="0.2">
      <c r="B208" s="4" cm="1">
        <f t="array" ref="B208">_xlfn.IFS('ProductSprint Backlog'!$F208="", "", AND('ProductSprint Backlog'!$J208&gt;B$2,'ProductSprint Backlog'!$I208&lt;=B$2), 'ProductSprint Backlog'!$F208 / MAX(1, 'ProductSprint Backlog'!$J208-'ProductSprint Backlog'!$I208), AND('ProductSprint Backlog'!$J208=B$2,'ProductSprint Backlog'!$I208=B$2), 'ProductSprint Backlog'!$F208, TRUE, 0)</f>
        <v>0</v>
      </c>
      <c r="C208" s="4" cm="1">
        <f t="array" ref="C208">_xlfn.IFS('ProductSprint Backlog'!$F208="", "", AND('ProductSprint Backlog'!$J208&gt;C$2,'ProductSprint Backlog'!$I208&lt;=C$2), 'ProductSprint Backlog'!$F208 / MAX(1, 'ProductSprint Backlog'!$J208-'ProductSprint Backlog'!$I208), AND('ProductSprint Backlog'!$J208=C$2,'ProductSprint Backlog'!$I208=C$2), 'ProductSprint Backlog'!$F208, TRUE, 0)</f>
        <v>0</v>
      </c>
      <c r="D208" s="4" cm="1">
        <f t="array" ref="D208">_xlfn.IFS('ProductSprint Backlog'!$F208="", "", AND('ProductSprint Backlog'!$J208&gt;D$2,'ProductSprint Backlog'!$I208&lt;=D$2), 'ProductSprint Backlog'!$F208 / MAX(1, 'ProductSprint Backlog'!$J208-'ProductSprint Backlog'!$I208), AND('ProductSprint Backlog'!$J208=D$2,'ProductSprint Backlog'!$I208=D$2), 'ProductSprint Backlog'!$F208, TRUE, 0)</f>
        <v>0</v>
      </c>
      <c r="E208" s="4" cm="1">
        <f t="array" ref="E208">_xlfn.IFS('ProductSprint Backlog'!$F208="", "", AND('ProductSprint Backlog'!$J208&gt;E$2,'ProductSprint Backlog'!$I208&lt;=E$2), 'ProductSprint Backlog'!$F208 / MAX(1, 'ProductSprint Backlog'!$J208-'ProductSprint Backlog'!$I208), AND('ProductSprint Backlog'!$J208=E$2,'ProductSprint Backlog'!$I208=E$2), 'ProductSprint Backlog'!$F208, TRUE, 0)</f>
        <v>0</v>
      </c>
      <c r="F208" s="4" cm="1">
        <f t="array" ref="F208">_xlfn.IFS('ProductSprint Backlog'!$F208="", "", AND('ProductSprint Backlog'!$J208&gt;F$2,'ProductSprint Backlog'!$I208&lt;=F$2), 'ProductSprint Backlog'!$F208 / MAX(1, 'ProductSprint Backlog'!$J208-'ProductSprint Backlog'!$I208), AND('ProductSprint Backlog'!$J208=F$2,'ProductSprint Backlog'!$I208=F$2), 'ProductSprint Backlog'!$F208, TRUE, 0)</f>
        <v>0</v>
      </c>
      <c r="G208" s="4" cm="1">
        <f t="array" ref="G208">_xlfn.IFS('ProductSprint Backlog'!$F208="", "", AND('ProductSprint Backlog'!$J208&gt;G$2,'ProductSprint Backlog'!$I208&lt;=G$2), 'ProductSprint Backlog'!$F208 / MAX(1, 'ProductSprint Backlog'!$J208-'ProductSprint Backlog'!$I208), AND('ProductSprint Backlog'!$J208=G$2,'ProductSprint Backlog'!$I208=G$2), 'ProductSprint Backlog'!$F208, TRUE, 0)</f>
        <v>0</v>
      </c>
      <c r="H208" s="4" cm="1">
        <f t="array" ref="H208">_xlfn.IFS('ProductSprint Backlog'!$F208="", "", AND('ProductSprint Backlog'!$J208&gt;H$2,'ProductSprint Backlog'!$I208&lt;=H$2), 'ProductSprint Backlog'!$F208 / MAX(1, 'ProductSprint Backlog'!$J208-'ProductSprint Backlog'!$I208), AND('ProductSprint Backlog'!$J208=H$2,'ProductSprint Backlog'!$I208=H$2), 'ProductSprint Backlog'!$F208, TRUE, 0)</f>
        <v>0</v>
      </c>
      <c r="I208" s="4" cm="1">
        <f t="array" ref="I208">_xlfn.IFS('ProductSprint Backlog'!$F208="", "", AND('ProductSprint Backlog'!$J208&gt;I$2,'ProductSprint Backlog'!$I208&lt;=I$2), 'ProductSprint Backlog'!$F208 / MAX(1, 'ProductSprint Backlog'!$J208-'ProductSprint Backlog'!$I208), AND('ProductSprint Backlog'!$J208=I$2,'ProductSprint Backlog'!$I208=I$2), 'ProductSprint Backlog'!$F208, TRUE, 0)</f>
        <v>0</v>
      </c>
      <c r="J208" s="4" cm="1">
        <f t="array" ref="J208">_xlfn.IFS('ProductSprint Backlog'!$F208="", "", AND('ProductSprint Backlog'!$J208&gt;J$2,'ProductSprint Backlog'!$I208&lt;=J$2), 'ProductSprint Backlog'!$F208 / MAX(1, 'ProductSprint Backlog'!$J208-'ProductSprint Backlog'!$I208), AND('ProductSprint Backlog'!$J208=J$2,'ProductSprint Backlog'!$I208=J$2), 'ProductSprint Backlog'!$F208, TRUE, 0)</f>
        <v>0</v>
      </c>
      <c r="K208" s="4" cm="1">
        <f t="array" ref="K208">_xlfn.IFS('ProductSprint Backlog'!$F208="", "", AND('ProductSprint Backlog'!$J208&gt;K$2,'ProductSprint Backlog'!$I208&lt;=K$2), 'ProductSprint Backlog'!$F208 / MAX(1, 'ProductSprint Backlog'!$J208-'ProductSprint Backlog'!$I208), AND('ProductSprint Backlog'!$J208=K$2,'ProductSprint Backlog'!$I208=K$2), 'ProductSprint Backlog'!$F208, TRUE, 0)</f>
        <v>0</v>
      </c>
      <c r="L208" s="4" cm="1">
        <f t="array" ref="L208">_xlfn.IFS('ProductSprint Backlog'!$F208="", "", AND('ProductSprint Backlog'!$J208&gt;L$2,'ProductSprint Backlog'!$I208&lt;=L$2), 'ProductSprint Backlog'!$F208 / MAX(1, 'ProductSprint Backlog'!$J208-'ProductSprint Backlog'!$I208), AND('ProductSprint Backlog'!$J208=L$2,'ProductSprint Backlog'!$I208=L$2), 'ProductSprint Backlog'!$F208, TRUE, 0)</f>
        <v>0</v>
      </c>
      <c r="M208" s="4" cm="1">
        <f t="array" ref="M208">_xlfn.IFS('ProductSprint Backlog'!$F208="", "", AND('ProductSprint Backlog'!$J208&gt;M$2,'ProductSprint Backlog'!$I208&lt;=M$2), 'ProductSprint Backlog'!$F208 / MAX(1, 'ProductSprint Backlog'!$J208-'ProductSprint Backlog'!$I208), AND('ProductSprint Backlog'!$J208=M$2,'ProductSprint Backlog'!$I208=M$2), 'ProductSprint Backlog'!$F208, TRUE, 0)</f>
        <v>0</v>
      </c>
      <c r="N208" s="4" cm="1">
        <f t="array" ref="N208">_xlfn.IFS('ProductSprint Backlog'!$F208="", "", AND('ProductSprint Backlog'!$J208&gt;N$2,'ProductSprint Backlog'!$I208&lt;=N$2), 'ProductSprint Backlog'!$F208 / MAX(1, 'ProductSprint Backlog'!$J208-'ProductSprint Backlog'!$I208), AND('ProductSprint Backlog'!$J208=N$2,'ProductSprint Backlog'!$I208=N$2), 'ProductSprint Backlog'!$F208, TRUE, 0)</f>
        <v>0</v>
      </c>
      <c r="O208" s="4" cm="1">
        <f t="array" ref="O208">_xlfn.IFS('ProductSprint Backlog'!$F208="", "", AND('ProductSprint Backlog'!$J208&gt;O$2,'ProductSprint Backlog'!$I208&lt;=O$2), 'ProductSprint Backlog'!$F208 / MAX(1, 'ProductSprint Backlog'!$J208-'ProductSprint Backlog'!$I208), AND('ProductSprint Backlog'!$J208=O$2,'ProductSprint Backlog'!$I208=O$2), 'ProductSprint Backlog'!$F208, TRUE, 0)</f>
        <v>0</v>
      </c>
      <c r="P208" s="4" cm="1">
        <f t="array" ref="P208">_xlfn.IFS('ProductSprint Backlog'!$F208="", "", AND('ProductSprint Backlog'!$J208&gt;P$2,'ProductSprint Backlog'!$I208&lt;=P$2), 'ProductSprint Backlog'!$F208 / MAX(1, 'ProductSprint Backlog'!$J208-'ProductSprint Backlog'!$I208), AND('ProductSprint Backlog'!$J208=P$2,'ProductSprint Backlog'!$I208=P$2), 'ProductSprint Backlog'!$F208, TRUE, 0)</f>
        <v>0</v>
      </c>
      <c r="Q208" s="4" cm="1">
        <f t="array" ref="Q208">_xlfn.IFS('ProductSprint Backlog'!$F208="", "", AND('ProductSprint Backlog'!$J208&gt;Q$2,'ProductSprint Backlog'!$I208&lt;=Q$2), 'ProductSprint Backlog'!$F208 / MAX(1, 'ProductSprint Backlog'!$J208-'ProductSprint Backlog'!$I208), AND('ProductSprint Backlog'!$J208=Q$2,'ProductSprint Backlog'!$I208=Q$2), 'ProductSprint Backlog'!$F208, TRUE, 0)</f>
        <v>0</v>
      </c>
    </row>
    <row r="209" spans="2:17" x14ac:dyDescent="0.2">
      <c r="B209" s="4" cm="1">
        <f t="array" ref="B209">_xlfn.IFS('ProductSprint Backlog'!$F209="", "", AND('ProductSprint Backlog'!$J209&gt;B$2,'ProductSprint Backlog'!$I209&lt;=B$2), 'ProductSprint Backlog'!$F209 / MAX(1, 'ProductSprint Backlog'!$J209-'ProductSprint Backlog'!$I209), AND('ProductSprint Backlog'!$J209=B$2,'ProductSprint Backlog'!$I209=B$2), 'ProductSprint Backlog'!$F209, TRUE, 0)</f>
        <v>0</v>
      </c>
      <c r="C209" s="4" cm="1">
        <f t="array" ref="C209">_xlfn.IFS('ProductSprint Backlog'!$F209="", "", AND('ProductSprint Backlog'!$J209&gt;C$2,'ProductSprint Backlog'!$I209&lt;=C$2), 'ProductSprint Backlog'!$F209 / MAX(1, 'ProductSprint Backlog'!$J209-'ProductSprint Backlog'!$I209), AND('ProductSprint Backlog'!$J209=C$2,'ProductSprint Backlog'!$I209=C$2), 'ProductSprint Backlog'!$F209, TRUE, 0)</f>
        <v>0</v>
      </c>
      <c r="D209" s="4" cm="1">
        <f t="array" ref="D209">_xlfn.IFS('ProductSprint Backlog'!$F209="", "", AND('ProductSprint Backlog'!$J209&gt;D$2,'ProductSprint Backlog'!$I209&lt;=D$2), 'ProductSprint Backlog'!$F209 / MAX(1, 'ProductSprint Backlog'!$J209-'ProductSprint Backlog'!$I209), AND('ProductSprint Backlog'!$J209=D$2,'ProductSprint Backlog'!$I209=D$2), 'ProductSprint Backlog'!$F209, TRUE, 0)</f>
        <v>0</v>
      </c>
      <c r="E209" s="4" cm="1">
        <f t="array" ref="E209">_xlfn.IFS('ProductSprint Backlog'!$F209="", "", AND('ProductSprint Backlog'!$J209&gt;E$2,'ProductSprint Backlog'!$I209&lt;=E$2), 'ProductSprint Backlog'!$F209 / MAX(1, 'ProductSprint Backlog'!$J209-'ProductSprint Backlog'!$I209), AND('ProductSprint Backlog'!$J209=E$2,'ProductSprint Backlog'!$I209=E$2), 'ProductSprint Backlog'!$F209, TRUE, 0)</f>
        <v>0</v>
      </c>
      <c r="F209" s="4" cm="1">
        <f t="array" ref="F209">_xlfn.IFS('ProductSprint Backlog'!$F209="", "", AND('ProductSprint Backlog'!$J209&gt;F$2,'ProductSprint Backlog'!$I209&lt;=F$2), 'ProductSprint Backlog'!$F209 / MAX(1, 'ProductSprint Backlog'!$J209-'ProductSprint Backlog'!$I209), AND('ProductSprint Backlog'!$J209=F$2,'ProductSprint Backlog'!$I209=F$2), 'ProductSprint Backlog'!$F209, TRUE, 0)</f>
        <v>0</v>
      </c>
      <c r="G209" s="4" cm="1">
        <f t="array" ref="G209">_xlfn.IFS('ProductSprint Backlog'!$F209="", "", AND('ProductSprint Backlog'!$J209&gt;G$2,'ProductSprint Backlog'!$I209&lt;=G$2), 'ProductSprint Backlog'!$F209 / MAX(1, 'ProductSprint Backlog'!$J209-'ProductSprint Backlog'!$I209), AND('ProductSprint Backlog'!$J209=G$2,'ProductSprint Backlog'!$I209=G$2), 'ProductSprint Backlog'!$F209, TRUE, 0)</f>
        <v>0</v>
      </c>
      <c r="H209" s="4" cm="1">
        <f t="array" ref="H209">_xlfn.IFS('ProductSprint Backlog'!$F209="", "", AND('ProductSprint Backlog'!$J209&gt;H$2,'ProductSprint Backlog'!$I209&lt;=H$2), 'ProductSprint Backlog'!$F209 / MAX(1, 'ProductSprint Backlog'!$J209-'ProductSprint Backlog'!$I209), AND('ProductSprint Backlog'!$J209=H$2,'ProductSprint Backlog'!$I209=H$2), 'ProductSprint Backlog'!$F209, TRUE, 0)</f>
        <v>0</v>
      </c>
      <c r="I209" s="4" cm="1">
        <f t="array" ref="I209">_xlfn.IFS('ProductSprint Backlog'!$F209="", "", AND('ProductSprint Backlog'!$J209&gt;I$2,'ProductSprint Backlog'!$I209&lt;=I$2), 'ProductSprint Backlog'!$F209 / MAX(1, 'ProductSprint Backlog'!$J209-'ProductSprint Backlog'!$I209), AND('ProductSprint Backlog'!$J209=I$2,'ProductSprint Backlog'!$I209=I$2), 'ProductSprint Backlog'!$F209, TRUE, 0)</f>
        <v>0</v>
      </c>
      <c r="J209" s="4" cm="1">
        <f t="array" ref="J209">_xlfn.IFS('ProductSprint Backlog'!$F209="", "", AND('ProductSprint Backlog'!$J209&gt;J$2,'ProductSprint Backlog'!$I209&lt;=J$2), 'ProductSprint Backlog'!$F209 / MAX(1, 'ProductSprint Backlog'!$J209-'ProductSprint Backlog'!$I209), AND('ProductSprint Backlog'!$J209=J$2,'ProductSprint Backlog'!$I209=J$2), 'ProductSprint Backlog'!$F209, TRUE, 0)</f>
        <v>0</v>
      </c>
      <c r="K209" s="4" cm="1">
        <f t="array" ref="K209">_xlfn.IFS('ProductSprint Backlog'!$F209="", "", AND('ProductSprint Backlog'!$J209&gt;K$2,'ProductSprint Backlog'!$I209&lt;=K$2), 'ProductSprint Backlog'!$F209 / MAX(1, 'ProductSprint Backlog'!$J209-'ProductSprint Backlog'!$I209), AND('ProductSprint Backlog'!$J209=K$2,'ProductSprint Backlog'!$I209=K$2), 'ProductSprint Backlog'!$F209, TRUE, 0)</f>
        <v>0</v>
      </c>
      <c r="L209" s="4" cm="1">
        <f t="array" ref="L209">_xlfn.IFS('ProductSprint Backlog'!$F209="", "", AND('ProductSprint Backlog'!$J209&gt;L$2,'ProductSprint Backlog'!$I209&lt;=L$2), 'ProductSprint Backlog'!$F209 / MAX(1, 'ProductSprint Backlog'!$J209-'ProductSprint Backlog'!$I209), AND('ProductSprint Backlog'!$J209=L$2,'ProductSprint Backlog'!$I209=L$2), 'ProductSprint Backlog'!$F209, TRUE, 0)</f>
        <v>0</v>
      </c>
      <c r="M209" s="4" cm="1">
        <f t="array" ref="M209">_xlfn.IFS('ProductSprint Backlog'!$F209="", "", AND('ProductSprint Backlog'!$J209&gt;M$2,'ProductSprint Backlog'!$I209&lt;=M$2), 'ProductSprint Backlog'!$F209 / MAX(1, 'ProductSprint Backlog'!$J209-'ProductSprint Backlog'!$I209), AND('ProductSprint Backlog'!$J209=M$2,'ProductSprint Backlog'!$I209=M$2), 'ProductSprint Backlog'!$F209, TRUE, 0)</f>
        <v>0</v>
      </c>
      <c r="N209" s="4" cm="1">
        <f t="array" ref="N209">_xlfn.IFS('ProductSprint Backlog'!$F209="", "", AND('ProductSprint Backlog'!$J209&gt;N$2,'ProductSprint Backlog'!$I209&lt;=N$2), 'ProductSprint Backlog'!$F209 / MAX(1, 'ProductSprint Backlog'!$J209-'ProductSprint Backlog'!$I209), AND('ProductSprint Backlog'!$J209=N$2,'ProductSprint Backlog'!$I209=N$2), 'ProductSprint Backlog'!$F209, TRUE, 0)</f>
        <v>0</v>
      </c>
      <c r="O209" s="4" cm="1">
        <f t="array" ref="O209">_xlfn.IFS('ProductSprint Backlog'!$F209="", "", AND('ProductSprint Backlog'!$J209&gt;O$2,'ProductSprint Backlog'!$I209&lt;=O$2), 'ProductSprint Backlog'!$F209 / MAX(1, 'ProductSprint Backlog'!$J209-'ProductSprint Backlog'!$I209), AND('ProductSprint Backlog'!$J209=O$2,'ProductSprint Backlog'!$I209=O$2), 'ProductSprint Backlog'!$F209, TRUE, 0)</f>
        <v>0</v>
      </c>
      <c r="P209" s="4" cm="1">
        <f t="array" ref="P209">_xlfn.IFS('ProductSprint Backlog'!$F209="", "", AND('ProductSprint Backlog'!$J209&gt;P$2,'ProductSprint Backlog'!$I209&lt;=P$2), 'ProductSprint Backlog'!$F209 / MAX(1, 'ProductSprint Backlog'!$J209-'ProductSprint Backlog'!$I209), AND('ProductSprint Backlog'!$J209=P$2,'ProductSprint Backlog'!$I209=P$2), 'ProductSprint Backlog'!$F209, TRUE, 0)</f>
        <v>0</v>
      </c>
      <c r="Q209" s="4" cm="1">
        <f t="array" ref="Q209">_xlfn.IFS('ProductSprint Backlog'!$F209="", "", AND('ProductSprint Backlog'!$J209&gt;Q$2,'ProductSprint Backlog'!$I209&lt;=Q$2), 'ProductSprint Backlog'!$F209 / MAX(1, 'ProductSprint Backlog'!$J209-'ProductSprint Backlog'!$I209), AND('ProductSprint Backlog'!$J209=Q$2,'ProductSprint Backlog'!$I209=Q$2), 'ProductSprint Backlog'!$F209, TRUE, 0)</f>
        <v>0</v>
      </c>
    </row>
    <row r="210" spans="2:17" x14ac:dyDescent="0.2">
      <c r="B210" s="4" cm="1">
        <f t="array" ref="B210">_xlfn.IFS('ProductSprint Backlog'!$F210="", "", AND('ProductSprint Backlog'!$J210&gt;B$2,'ProductSprint Backlog'!$I210&lt;=B$2), 'ProductSprint Backlog'!$F210 / MAX(1, 'ProductSprint Backlog'!$J210-'ProductSprint Backlog'!$I210), AND('ProductSprint Backlog'!$J210=B$2,'ProductSprint Backlog'!$I210=B$2), 'ProductSprint Backlog'!$F210, TRUE, 0)</f>
        <v>0</v>
      </c>
      <c r="C210" s="4" cm="1">
        <f t="array" ref="C210">_xlfn.IFS('ProductSprint Backlog'!$F210="", "", AND('ProductSprint Backlog'!$J210&gt;C$2,'ProductSprint Backlog'!$I210&lt;=C$2), 'ProductSprint Backlog'!$F210 / MAX(1, 'ProductSprint Backlog'!$J210-'ProductSprint Backlog'!$I210), AND('ProductSprint Backlog'!$J210=C$2,'ProductSprint Backlog'!$I210=C$2), 'ProductSprint Backlog'!$F210, TRUE, 0)</f>
        <v>0</v>
      </c>
      <c r="D210" s="4" cm="1">
        <f t="array" ref="D210">_xlfn.IFS('ProductSprint Backlog'!$F210="", "", AND('ProductSprint Backlog'!$J210&gt;D$2,'ProductSprint Backlog'!$I210&lt;=D$2), 'ProductSprint Backlog'!$F210 / MAX(1, 'ProductSprint Backlog'!$J210-'ProductSprint Backlog'!$I210), AND('ProductSprint Backlog'!$J210=D$2,'ProductSprint Backlog'!$I210=D$2), 'ProductSprint Backlog'!$F210, TRUE, 0)</f>
        <v>0</v>
      </c>
      <c r="E210" s="4" cm="1">
        <f t="array" ref="E210">_xlfn.IFS('ProductSprint Backlog'!$F210="", "", AND('ProductSprint Backlog'!$J210&gt;E$2,'ProductSprint Backlog'!$I210&lt;=E$2), 'ProductSprint Backlog'!$F210 / MAX(1, 'ProductSprint Backlog'!$J210-'ProductSprint Backlog'!$I210), AND('ProductSprint Backlog'!$J210=E$2,'ProductSprint Backlog'!$I210=E$2), 'ProductSprint Backlog'!$F210, TRUE, 0)</f>
        <v>0</v>
      </c>
      <c r="F210" s="4" cm="1">
        <f t="array" ref="F210">_xlfn.IFS('ProductSprint Backlog'!$F210="", "", AND('ProductSprint Backlog'!$J210&gt;F$2,'ProductSprint Backlog'!$I210&lt;=F$2), 'ProductSprint Backlog'!$F210 / MAX(1, 'ProductSprint Backlog'!$J210-'ProductSprint Backlog'!$I210), AND('ProductSprint Backlog'!$J210=F$2,'ProductSprint Backlog'!$I210=F$2), 'ProductSprint Backlog'!$F210, TRUE, 0)</f>
        <v>0</v>
      </c>
      <c r="G210" s="4" cm="1">
        <f t="array" ref="G210">_xlfn.IFS('ProductSprint Backlog'!$F210="", "", AND('ProductSprint Backlog'!$J210&gt;G$2,'ProductSprint Backlog'!$I210&lt;=G$2), 'ProductSprint Backlog'!$F210 / MAX(1, 'ProductSprint Backlog'!$J210-'ProductSprint Backlog'!$I210), AND('ProductSprint Backlog'!$J210=G$2,'ProductSprint Backlog'!$I210=G$2), 'ProductSprint Backlog'!$F210, TRUE, 0)</f>
        <v>0</v>
      </c>
      <c r="H210" s="4" cm="1">
        <f t="array" ref="H210">_xlfn.IFS('ProductSprint Backlog'!$F210="", "", AND('ProductSprint Backlog'!$J210&gt;H$2,'ProductSprint Backlog'!$I210&lt;=H$2), 'ProductSprint Backlog'!$F210 / MAX(1, 'ProductSprint Backlog'!$J210-'ProductSprint Backlog'!$I210), AND('ProductSprint Backlog'!$J210=H$2,'ProductSprint Backlog'!$I210=H$2), 'ProductSprint Backlog'!$F210, TRUE, 0)</f>
        <v>0</v>
      </c>
      <c r="I210" s="4" cm="1">
        <f t="array" ref="I210">_xlfn.IFS('ProductSprint Backlog'!$F210="", "", AND('ProductSprint Backlog'!$J210&gt;I$2,'ProductSprint Backlog'!$I210&lt;=I$2), 'ProductSprint Backlog'!$F210 / MAX(1, 'ProductSprint Backlog'!$J210-'ProductSprint Backlog'!$I210), AND('ProductSprint Backlog'!$J210=I$2,'ProductSprint Backlog'!$I210=I$2), 'ProductSprint Backlog'!$F210, TRUE, 0)</f>
        <v>0</v>
      </c>
      <c r="J210" s="4" cm="1">
        <f t="array" ref="J210">_xlfn.IFS('ProductSprint Backlog'!$F210="", "", AND('ProductSprint Backlog'!$J210&gt;J$2,'ProductSprint Backlog'!$I210&lt;=J$2), 'ProductSprint Backlog'!$F210 / MAX(1, 'ProductSprint Backlog'!$J210-'ProductSprint Backlog'!$I210), AND('ProductSprint Backlog'!$J210=J$2,'ProductSprint Backlog'!$I210=J$2), 'ProductSprint Backlog'!$F210, TRUE, 0)</f>
        <v>0</v>
      </c>
      <c r="K210" s="4" cm="1">
        <f t="array" ref="K210">_xlfn.IFS('ProductSprint Backlog'!$F210="", "", AND('ProductSprint Backlog'!$J210&gt;K$2,'ProductSprint Backlog'!$I210&lt;=K$2), 'ProductSprint Backlog'!$F210 / MAX(1, 'ProductSprint Backlog'!$J210-'ProductSprint Backlog'!$I210), AND('ProductSprint Backlog'!$J210=K$2,'ProductSprint Backlog'!$I210=K$2), 'ProductSprint Backlog'!$F210, TRUE, 0)</f>
        <v>0</v>
      </c>
      <c r="L210" s="4" cm="1">
        <f t="array" ref="L210">_xlfn.IFS('ProductSprint Backlog'!$F210="", "", AND('ProductSprint Backlog'!$J210&gt;L$2,'ProductSprint Backlog'!$I210&lt;=L$2), 'ProductSprint Backlog'!$F210 / MAX(1, 'ProductSprint Backlog'!$J210-'ProductSprint Backlog'!$I210), AND('ProductSprint Backlog'!$J210=L$2,'ProductSprint Backlog'!$I210=L$2), 'ProductSprint Backlog'!$F210, TRUE, 0)</f>
        <v>0</v>
      </c>
      <c r="M210" s="4" cm="1">
        <f t="array" ref="M210">_xlfn.IFS('ProductSprint Backlog'!$F210="", "", AND('ProductSprint Backlog'!$J210&gt;M$2,'ProductSprint Backlog'!$I210&lt;=M$2), 'ProductSprint Backlog'!$F210 / MAX(1, 'ProductSprint Backlog'!$J210-'ProductSprint Backlog'!$I210), AND('ProductSprint Backlog'!$J210=M$2,'ProductSprint Backlog'!$I210=M$2), 'ProductSprint Backlog'!$F210, TRUE, 0)</f>
        <v>0</v>
      </c>
      <c r="N210" s="4" cm="1">
        <f t="array" ref="N210">_xlfn.IFS('ProductSprint Backlog'!$F210="", "", AND('ProductSprint Backlog'!$J210&gt;N$2,'ProductSprint Backlog'!$I210&lt;=N$2), 'ProductSprint Backlog'!$F210 / MAX(1, 'ProductSprint Backlog'!$J210-'ProductSprint Backlog'!$I210), AND('ProductSprint Backlog'!$J210=N$2,'ProductSprint Backlog'!$I210=N$2), 'ProductSprint Backlog'!$F210, TRUE, 0)</f>
        <v>0</v>
      </c>
      <c r="O210" s="4" cm="1">
        <f t="array" ref="O210">_xlfn.IFS('ProductSprint Backlog'!$F210="", "", AND('ProductSprint Backlog'!$J210&gt;O$2,'ProductSprint Backlog'!$I210&lt;=O$2), 'ProductSprint Backlog'!$F210 / MAX(1, 'ProductSprint Backlog'!$J210-'ProductSprint Backlog'!$I210), AND('ProductSprint Backlog'!$J210=O$2,'ProductSprint Backlog'!$I210=O$2), 'ProductSprint Backlog'!$F210, TRUE, 0)</f>
        <v>0</v>
      </c>
      <c r="P210" s="4" cm="1">
        <f t="array" ref="P210">_xlfn.IFS('ProductSprint Backlog'!$F210="", "", AND('ProductSprint Backlog'!$J210&gt;P$2,'ProductSprint Backlog'!$I210&lt;=P$2), 'ProductSprint Backlog'!$F210 / MAX(1, 'ProductSprint Backlog'!$J210-'ProductSprint Backlog'!$I210), AND('ProductSprint Backlog'!$J210=P$2,'ProductSprint Backlog'!$I210=P$2), 'ProductSprint Backlog'!$F210, TRUE, 0)</f>
        <v>0</v>
      </c>
      <c r="Q210" s="4" cm="1">
        <f t="array" ref="Q210">_xlfn.IFS('ProductSprint Backlog'!$F210="", "", AND('ProductSprint Backlog'!$J210&gt;Q$2,'ProductSprint Backlog'!$I210&lt;=Q$2), 'ProductSprint Backlog'!$F210 / MAX(1, 'ProductSprint Backlog'!$J210-'ProductSprint Backlog'!$I210), AND('ProductSprint Backlog'!$J210=Q$2,'ProductSprint Backlog'!$I210=Q$2), 'ProductSprint Backlog'!$F210, TRUE, 0)</f>
        <v>0</v>
      </c>
    </row>
    <row r="211" spans="2:17" x14ac:dyDescent="0.2">
      <c r="B211" s="4" cm="1">
        <f t="array" ref="B211">_xlfn.IFS('ProductSprint Backlog'!$F211="", "", AND('ProductSprint Backlog'!$J211&gt;B$2,'ProductSprint Backlog'!$I211&lt;=B$2), 'ProductSprint Backlog'!$F211 / MAX(1, 'ProductSprint Backlog'!$J211-'ProductSprint Backlog'!$I211), AND('ProductSprint Backlog'!$J211=B$2,'ProductSprint Backlog'!$I211=B$2), 'ProductSprint Backlog'!$F211, TRUE, 0)</f>
        <v>0</v>
      </c>
      <c r="C211" s="4" cm="1">
        <f t="array" ref="C211">_xlfn.IFS('ProductSprint Backlog'!$F211="", "", AND('ProductSprint Backlog'!$J211&gt;C$2,'ProductSprint Backlog'!$I211&lt;=C$2), 'ProductSprint Backlog'!$F211 / MAX(1, 'ProductSprint Backlog'!$J211-'ProductSprint Backlog'!$I211), AND('ProductSprint Backlog'!$J211=C$2,'ProductSprint Backlog'!$I211=C$2), 'ProductSprint Backlog'!$F211, TRUE, 0)</f>
        <v>0</v>
      </c>
      <c r="D211" s="4" cm="1">
        <f t="array" ref="D211">_xlfn.IFS('ProductSprint Backlog'!$F211="", "", AND('ProductSprint Backlog'!$J211&gt;D$2,'ProductSprint Backlog'!$I211&lt;=D$2), 'ProductSprint Backlog'!$F211 / MAX(1, 'ProductSprint Backlog'!$J211-'ProductSprint Backlog'!$I211), AND('ProductSprint Backlog'!$J211=D$2,'ProductSprint Backlog'!$I211=D$2), 'ProductSprint Backlog'!$F211, TRUE, 0)</f>
        <v>0</v>
      </c>
      <c r="E211" s="4" cm="1">
        <f t="array" ref="E211">_xlfn.IFS('ProductSprint Backlog'!$F211="", "", AND('ProductSprint Backlog'!$J211&gt;E$2,'ProductSprint Backlog'!$I211&lt;=E$2), 'ProductSprint Backlog'!$F211 / MAX(1, 'ProductSprint Backlog'!$J211-'ProductSprint Backlog'!$I211), AND('ProductSprint Backlog'!$J211=E$2,'ProductSprint Backlog'!$I211=E$2), 'ProductSprint Backlog'!$F211, TRUE, 0)</f>
        <v>0</v>
      </c>
      <c r="F211" s="4" cm="1">
        <f t="array" ref="F211">_xlfn.IFS('ProductSprint Backlog'!$F211="", "", AND('ProductSprint Backlog'!$J211&gt;F$2,'ProductSprint Backlog'!$I211&lt;=F$2), 'ProductSprint Backlog'!$F211 / MAX(1, 'ProductSprint Backlog'!$J211-'ProductSprint Backlog'!$I211), AND('ProductSprint Backlog'!$J211=F$2,'ProductSprint Backlog'!$I211=F$2), 'ProductSprint Backlog'!$F211, TRUE, 0)</f>
        <v>0</v>
      </c>
      <c r="G211" s="4" cm="1">
        <f t="array" ref="G211">_xlfn.IFS('ProductSprint Backlog'!$F211="", "", AND('ProductSprint Backlog'!$J211&gt;G$2,'ProductSprint Backlog'!$I211&lt;=G$2), 'ProductSprint Backlog'!$F211 / MAX(1, 'ProductSprint Backlog'!$J211-'ProductSprint Backlog'!$I211), AND('ProductSprint Backlog'!$J211=G$2,'ProductSprint Backlog'!$I211=G$2), 'ProductSprint Backlog'!$F211, TRUE, 0)</f>
        <v>0</v>
      </c>
      <c r="H211" s="4" cm="1">
        <f t="array" ref="H211">_xlfn.IFS('ProductSprint Backlog'!$F211="", "", AND('ProductSprint Backlog'!$J211&gt;H$2,'ProductSprint Backlog'!$I211&lt;=H$2), 'ProductSprint Backlog'!$F211 / MAX(1, 'ProductSprint Backlog'!$J211-'ProductSprint Backlog'!$I211), AND('ProductSprint Backlog'!$J211=H$2,'ProductSprint Backlog'!$I211=H$2), 'ProductSprint Backlog'!$F211, TRUE, 0)</f>
        <v>0</v>
      </c>
      <c r="I211" s="4" cm="1">
        <f t="array" ref="I211">_xlfn.IFS('ProductSprint Backlog'!$F211="", "", AND('ProductSprint Backlog'!$J211&gt;I$2,'ProductSprint Backlog'!$I211&lt;=I$2), 'ProductSprint Backlog'!$F211 / MAX(1, 'ProductSprint Backlog'!$J211-'ProductSprint Backlog'!$I211), AND('ProductSprint Backlog'!$J211=I$2,'ProductSprint Backlog'!$I211=I$2), 'ProductSprint Backlog'!$F211, TRUE, 0)</f>
        <v>0</v>
      </c>
      <c r="J211" s="4" cm="1">
        <f t="array" ref="J211">_xlfn.IFS('ProductSprint Backlog'!$F211="", "", AND('ProductSprint Backlog'!$J211&gt;J$2,'ProductSprint Backlog'!$I211&lt;=J$2), 'ProductSprint Backlog'!$F211 / MAX(1, 'ProductSprint Backlog'!$J211-'ProductSprint Backlog'!$I211), AND('ProductSprint Backlog'!$J211=J$2,'ProductSprint Backlog'!$I211=J$2), 'ProductSprint Backlog'!$F211, TRUE, 0)</f>
        <v>0</v>
      </c>
      <c r="K211" s="4" cm="1">
        <f t="array" ref="K211">_xlfn.IFS('ProductSprint Backlog'!$F211="", "", AND('ProductSprint Backlog'!$J211&gt;K$2,'ProductSprint Backlog'!$I211&lt;=K$2), 'ProductSprint Backlog'!$F211 / MAX(1, 'ProductSprint Backlog'!$J211-'ProductSprint Backlog'!$I211), AND('ProductSprint Backlog'!$J211=K$2,'ProductSprint Backlog'!$I211=K$2), 'ProductSprint Backlog'!$F211, TRUE, 0)</f>
        <v>0</v>
      </c>
      <c r="L211" s="4" cm="1">
        <f t="array" ref="L211">_xlfn.IFS('ProductSprint Backlog'!$F211="", "", AND('ProductSprint Backlog'!$J211&gt;L$2,'ProductSprint Backlog'!$I211&lt;=L$2), 'ProductSprint Backlog'!$F211 / MAX(1, 'ProductSprint Backlog'!$J211-'ProductSprint Backlog'!$I211), AND('ProductSprint Backlog'!$J211=L$2,'ProductSprint Backlog'!$I211=L$2), 'ProductSprint Backlog'!$F211, TRUE, 0)</f>
        <v>0</v>
      </c>
      <c r="M211" s="4" cm="1">
        <f t="array" ref="M211">_xlfn.IFS('ProductSprint Backlog'!$F211="", "", AND('ProductSprint Backlog'!$J211&gt;M$2,'ProductSprint Backlog'!$I211&lt;=M$2), 'ProductSprint Backlog'!$F211 / MAX(1, 'ProductSprint Backlog'!$J211-'ProductSprint Backlog'!$I211), AND('ProductSprint Backlog'!$J211=M$2,'ProductSprint Backlog'!$I211=M$2), 'ProductSprint Backlog'!$F211, TRUE, 0)</f>
        <v>0</v>
      </c>
      <c r="N211" s="4" cm="1">
        <f t="array" ref="N211">_xlfn.IFS('ProductSprint Backlog'!$F211="", "", AND('ProductSprint Backlog'!$J211&gt;N$2,'ProductSprint Backlog'!$I211&lt;=N$2), 'ProductSprint Backlog'!$F211 / MAX(1, 'ProductSprint Backlog'!$J211-'ProductSprint Backlog'!$I211), AND('ProductSprint Backlog'!$J211=N$2,'ProductSprint Backlog'!$I211=N$2), 'ProductSprint Backlog'!$F211, TRUE, 0)</f>
        <v>0</v>
      </c>
      <c r="O211" s="4" cm="1">
        <f t="array" ref="O211">_xlfn.IFS('ProductSprint Backlog'!$F211="", "", AND('ProductSprint Backlog'!$J211&gt;O$2,'ProductSprint Backlog'!$I211&lt;=O$2), 'ProductSprint Backlog'!$F211 / MAX(1, 'ProductSprint Backlog'!$J211-'ProductSprint Backlog'!$I211), AND('ProductSprint Backlog'!$J211=O$2,'ProductSprint Backlog'!$I211=O$2), 'ProductSprint Backlog'!$F211, TRUE, 0)</f>
        <v>0</v>
      </c>
      <c r="P211" s="4" cm="1">
        <f t="array" ref="P211">_xlfn.IFS('ProductSprint Backlog'!$F211="", "", AND('ProductSprint Backlog'!$J211&gt;P$2,'ProductSprint Backlog'!$I211&lt;=P$2), 'ProductSprint Backlog'!$F211 / MAX(1, 'ProductSprint Backlog'!$J211-'ProductSprint Backlog'!$I211), AND('ProductSprint Backlog'!$J211=P$2,'ProductSprint Backlog'!$I211=P$2), 'ProductSprint Backlog'!$F211, TRUE, 0)</f>
        <v>0</v>
      </c>
      <c r="Q211" s="4" cm="1">
        <f t="array" ref="Q211">_xlfn.IFS('ProductSprint Backlog'!$F211="", "", AND('ProductSprint Backlog'!$J211&gt;Q$2,'ProductSprint Backlog'!$I211&lt;=Q$2), 'ProductSprint Backlog'!$F211 / MAX(1, 'ProductSprint Backlog'!$J211-'ProductSprint Backlog'!$I211), AND('ProductSprint Backlog'!$J211=Q$2,'ProductSprint Backlog'!$I211=Q$2), 'ProductSprint Backlog'!$F211, TRUE, 0)</f>
        <v>0</v>
      </c>
    </row>
    <row r="212" spans="2:17" x14ac:dyDescent="0.2">
      <c r="B212" s="4" cm="1">
        <f t="array" ref="B212">_xlfn.IFS('ProductSprint Backlog'!$F212="", "", AND('ProductSprint Backlog'!$J212&gt;B$2,'ProductSprint Backlog'!$I212&lt;=B$2), 'ProductSprint Backlog'!$F212 / MAX(1, 'ProductSprint Backlog'!$J212-'ProductSprint Backlog'!$I212), AND('ProductSprint Backlog'!$J212=B$2,'ProductSprint Backlog'!$I212=B$2), 'ProductSprint Backlog'!$F212, TRUE, 0)</f>
        <v>0</v>
      </c>
      <c r="C212" s="4" cm="1">
        <f t="array" ref="C212">_xlfn.IFS('ProductSprint Backlog'!$F212="", "", AND('ProductSprint Backlog'!$J212&gt;C$2,'ProductSprint Backlog'!$I212&lt;=C$2), 'ProductSprint Backlog'!$F212 / MAX(1, 'ProductSprint Backlog'!$J212-'ProductSprint Backlog'!$I212), AND('ProductSprint Backlog'!$J212=C$2,'ProductSprint Backlog'!$I212=C$2), 'ProductSprint Backlog'!$F212, TRUE, 0)</f>
        <v>0</v>
      </c>
      <c r="D212" s="4" cm="1">
        <f t="array" ref="D212">_xlfn.IFS('ProductSprint Backlog'!$F212="", "", AND('ProductSprint Backlog'!$J212&gt;D$2,'ProductSprint Backlog'!$I212&lt;=D$2), 'ProductSprint Backlog'!$F212 / MAX(1, 'ProductSprint Backlog'!$J212-'ProductSprint Backlog'!$I212), AND('ProductSprint Backlog'!$J212=D$2,'ProductSprint Backlog'!$I212=D$2), 'ProductSprint Backlog'!$F212, TRUE, 0)</f>
        <v>0</v>
      </c>
      <c r="E212" s="4" cm="1">
        <f t="array" ref="E212">_xlfn.IFS('ProductSprint Backlog'!$F212="", "", AND('ProductSprint Backlog'!$J212&gt;E$2,'ProductSprint Backlog'!$I212&lt;=E$2), 'ProductSprint Backlog'!$F212 / MAX(1, 'ProductSprint Backlog'!$J212-'ProductSprint Backlog'!$I212), AND('ProductSprint Backlog'!$J212=E$2,'ProductSprint Backlog'!$I212=E$2), 'ProductSprint Backlog'!$F212, TRUE, 0)</f>
        <v>0</v>
      </c>
      <c r="F212" s="4" cm="1">
        <f t="array" ref="F212">_xlfn.IFS('ProductSprint Backlog'!$F212="", "", AND('ProductSprint Backlog'!$J212&gt;F$2,'ProductSprint Backlog'!$I212&lt;=F$2), 'ProductSprint Backlog'!$F212 / MAX(1, 'ProductSprint Backlog'!$J212-'ProductSprint Backlog'!$I212), AND('ProductSprint Backlog'!$J212=F$2,'ProductSprint Backlog'!$I212=F$2), 'ProductSprint Backlog'!$F212, TRUE, 0)</f>
        <v>0</v>
      </c>
      <c r="G212" s="4" cm="1">
        <f t="array" ref="G212">_xlfn.IFS('ProductSprint Backlog'!$F212="", "", AND('ProductSprint Backlog'!$J212&gt;G$2,'ProductSprint Backlog'!$I212&lt;=G$2), 'ProductSprint Backlog'!$F212 / MAX(1, 'ProductSprint Backlog'!$J212-'ProductSprint Backlog'!$I212), AND('ProductSprint Backlog'!$J212=G$2,'ProductSprint Backlog'!$I212=G$2), 'ProductSprint Backlog'!$F212, TRUE, 0)</f>
        <v>0</v>
      </c>
      <c r="H212" s="4" cm="1">
        <f t="array" ref="H212">_xlfn.IFS('ProductSprint Backlog'!$F212="", "", AND('ProductSprint Backlog'!$J212&gt;H$2,'ProductSprint Backlog'!$I212&lt;=H$2), 'ProductSprint Backlog'!$F212 / MAX(1, 'ProductSprint Backlog'!$J212-'ProductSprint Backlog'!$I212), AND('ProductSprint Backlog'!$J212=H$2,'ProductSprint Backlog'!$I212=H$2), 'ProductSprint Backlog'!$F212, TRUE, 0)</f>
        <v>0</v>
      </c>
      <c r="I212" s="4" cm="1">
        <f t="array" ref="I212">_xlfn.IFS('ProductSprint Backlog'!$F212="", "", AND('ProductSprint Backlog'!$J212&gt;I$2,'ProductSprint Backlog'!$I212&lt;=I$2), 'ProductSprint Backlog'!$F212 / MAX(1, 'ProductSprint Backlog'!$J212-'ProductSprint Backlog'!$I212), AND('ProductSprint Backlog'!$J212=I$2,'ProductSprint Backlog'!$I212=I$2), 'ProductSprint Backlog'!$F212, TRUE, 0)</f>
        <v>0</v>
      </c>
      <c r="J212" s="4" cm="1">
        <f t="array" ref="J212">_xlfn.IFS('ProductSprint Backlog'!$F212="", "", AND('ProductSprint Backlog'!$J212&gt;J$2,'ProductSprint Backlog'!$I212&lt;=J$2), 'ProductSprint Backlog'!$F212 / MAX(1, 'ProductSprint Backlog'!$J212-'ProductSprint Backlog'!$I212), AND('ProductSprint Backlog'!$J212=J$2,'ProductSprint Backlog'!$I212=J$2), 'ProductSprint Backlog'!$F212, TRUE, 0)</f>
        <v>0</v>
      </c>
      <c r="K212" s="4" cm="1">
        <f t="array" ref="K212">_xlfn.IFS('ProductSprint Backlog'!$F212="", "", AND('ProductSprint Backlog'!$J212&gt;K$2,'ProductSprint Backlog'!$I212&lt;=K$2), 'ProductSprint Backlog'!$F212 / MAX(1, 'ProductSprint Backlog'!$J212-'ProductSprint Backlog'!$I212), AND('ProductSprint Backlog'!$J212=K$2,'ProductSprint Backlog'!$I212=K$2), 'ProductSprint Backlog'!$F212, TRUE, 0)</f>
        <v>0</v>
      </c>
      <c r="L212" s="4" cm="1">
        <f t="array" ref="L212">_xlfn.IFS('ProductSprint Backlog'!$F212="", "", AND('ProductSprint Backlog'!$J212&gt;L$2,'ProductSprint Backlog'!$I212&lt;=L$2), 'ProductSprint Backlog'!$F212 / MAX(1, 'ProductSprint Backlog'!$J212-'ProductSprint Backlog'!$I212), AND('ProductSprint Backlog'!$J212=L$2,'ProductSprint Backlog'!$I212=L$2), 'ProductSprint Backlog'!$F212, TRUE, 0)</f>
        <v>0</v>
      </c>
      <c r="M212" s="4" cm="1">
        <f t="array" ref="M212">_xlfn.IFS('ProductSprint Backlog'!$F212="", "", AND('ProductSprint Backlog'!$J212&gt;M$2,'ProductSprint Backlog'!$I212&lt;=M$2), 'ProductSprint Backlog'!$F212 / MAX(1, 'ProductSprint Backlog'!$J212-'ProductSprint Backlog'!$I212), AND('ProductSprint Backlog'!$J212=M$2,'ProductSprint Backlog'!$I212=M$2), 'ProductSprint Backlog'!$F212, TRUE, 0)</f>
        <v>0</v>
      </c>
      <c r="N212" s="4" cm="1">
        <f t="array" ref="N212">_xlfn.IFS('ProductSprint Backlog'!$F212="", "", AND('ProductSprint Backlog'!$J212&gt;N$2,'ProductSprint Backlog'!$I212&lt;=N$2), 'ProductSprint Backlog'!$F212 / MAX(1, 'ProductSprint Backlog'!$J212-'ProductSprint Backlog'!$I212), AND('ProductSprint Backlog'!$J212=N$2,'ProductSprint Backlog'!$I212=N$2), 'ProductSprint Backlog'!$F212, TRUE, 0)</f>
        <v>0</v>
      </c>
      <c r="O212" s="4" cm="1">
        <f t="array" ref="O212">_xlfn.IFS('ProductSprint Backlog'!$F212="", "", AND('ProductSprint Backlog'!$J212&gt;O$2,'ProductSprint Backlog'!$I212&lt;=O$2), 'ProductSprint Backlog'!$F212 / MAX(1, 'ProductSprint Backlog'!$J212-'ProductSprint Backlog'!$I212), AND('ProductSprint Backlog'!$J212=O$2,'ProductSprint Backlog'!$I212=O$2), 'ProductSprint Backlog'!$F212, TRUE, 0)</f>
        <v>0</v>
      </c>
      <c r="P212" s="4" cm="1">
        <f t="array" ref="P212">_xlfn.IFS('ProductSprint Backlog'!$F212="", "", AND('ProductSprint Backlog'!$J212&gt;P$2,'ProductSprint Backlog'!$I212&lt;=P$2), 'ProductSprint Backlog'!$F212 / MAX(1, 'ProductSprint Backlog'!$J212-'ProductSprint Backlog'!$I212), AND('ProductSprint Backlog'!$J212=P$2,'ProductSprint Backlog'!$I212=P$2), 'ProductSprint Backlog'!$F212, TRUE, 0)</f>
        <v>0</v>
      </c>
      <c r="Q212" s="4" cm="1">
        <f t="array" ref="Q212">_xlfn.IFS('ProductSprint Backlog'!$F212="", "", AND('ProductSprint Backlog'!$J212&gt;Q$2,'ProductSprint Backlog'!$I212&lt;=Q$2), 'ProductSprint Backlog'!$F212 / MAX(1, 'ProductSprint Backlog'!$J212-'ProductSprint Backlog'!$I212), AND('ProductSprint Backlog'!$J212=Q$2,'ProductSprint Backlog'!$I212=Q$2), 'ProductSprint Backlog'!$F212, TRUE, 0)</f>
        <v>0</v>
      </c>
    </row>
    <row r="213" spans="2:17" x14ac:dyDescent="0.2">
      <c r="B213" s="4" cm="1">
        <f t="array" ref="B213">_xlfn.IFS('ProductSprint Backlog'!$F213="", "", AND('ProductSprint Backlog'!$J213&gt;B$2,'ProductSprint Backlog'!$I213&lt;=B$2), 'ProductSprint Backlog'!$F213 / MAX(1, 'ProductSprint Backlog'!$J213-'ProductSprint Backlog'!$I213), AND('ProductSprint Backlog'!$J213=B$2,'ProductSprint Backlog'!$I213=B$2), 'ProductSprint Backlog'!$F213, TRUE, 0)</f>
        <v>0</v>
      </c>
      <c r="C213" s="4" cm="1">
        <f t="array" ref="C213">_xlfn.IFS('ProductSprint Backlog'!$F213="", "", AND('ProductSprint Backlog'!$J213&gt;C$2,'ProductSprint Backlog'!$I213&lt;=C$2), 'ProductSprint Backlog'!$F213 / MAX(1, 'ProductSprint Backlog'!$J213-'ProductSprint Backlog'!$I213), AND('ProductSprint Backlog'!$J213=C$2,'ProductSprint Backlog'!$I213=C$2), 'ProductSprint Backlog'!$F213, TRUE, 0)</f>
        <v>0</v>
      </c>
      <c r="D213" s="4" cm="1">
        <f t="array" ref="D213">_xlfn.IFS('ProductSprint Backlog'!$F213="", "", AND('ProductSprint Backlog'!$J213&gt;D$2,'ProductSprint Backlog'!$I213&lt;=D$2), 'ProductSprint Backlog'!$F213 / MAX(1, 'ProductSprint Backlog'!$J213-'ProductSprint Backlog'!$I213), AND('ProductSprint Backlog'!$J213=D$2,'ProductSprint Backlog'!$I213=D$2), 'ProductSprint Backlog'!$F213, TRUE, 0)</f>
        <v>0</v>
      </c>
      <c r="E213" s="4" cm="1">
        <f t="array" ref="E213">_xlfn.IFS('ProductSprint Backlog'!$F213="", "", AND('ProductSprint Backlog'!$J213&gt;E$2,'ProductSprint Backlog'!$I213&lt;=E$2), 'ProductSprint Backlog'!$F213 / MAX(1, 'ProductSprint Backlog'!$J213-'ProductSprint Backlog'!$I213), AND('ProductSprint Backlog'!$J213=E$2,'ProductSprint Backlog'!$I213=E$2), 'ProductSprint Backlog'!$F213, TRUE, 0)</f>
        <v>0</v>
      </c>
      <c r="F213" s="4" cm="1">
        <f t="array" ref="F213">_xlfn.IFS('ProductSprint Backlog'!$F213="", "", AND('ProductSprint Backlog'!$J213&gt;F$2,'ProductSprint Backlog'!$I213&lt;=F$2), 'ProductSprint Backlog'!$F213 / MAX(1, 'ProductSprint Backlog'!$J213-'ProductSprint Backlog'!$I213), AND('ProductSprint Backlog'!$J213=F$2,'ProductSprint Backlog'!$I213=F$2), 'ProductSprint Backlog'!$F213, TRUE, 0)</f>
        <v>0</v>
      </c>
      <c r="G213" s="4" cm="1">
        <f t="array" ref="G213">_xlfn.IFS('ProductSprint Backlog'!$F213="", "", AND('ProductSprint Backlog'!$J213&gt;G$2,'ProductSprint Backlog'!$I213&lt;=G$2), 'ProductSprint Backlog'!$F213 / MAX(1, 'ProductSprint Backlog'!$J213-'ProductSprint Backlog'!$I213), AND('ProductSprint Backlog'!$J213=G$2,'ProductSprint Backlog'!$I213=G$2), 'ProductSprint Backlog'!$F213, TRUE, 0)</f>
        <v>0</v>
      </c>
      <c r="H213" s="4" cm="1">
        <f t="array" ref="H213">_xlfn.IFS('ProductSprint Backlog'!$F213="", "", AND('ProductSprint Backlog'!$J213&gt;H$2,'ProductSprint Backlog'!$I213&lt;=H$2), 'ProductSprint Backlog'!$F213 / MAX(1, 'ProductSprint Backlog'!$J213-'ProductSprint Backlog'!$I213), AND('ProductSprint Backlog'!$J213=H$2,'ProductSprint Backlog'!$I213=H$2), 'ProductSprint Backlog'!$F213, TRUE, 0)</f>
        <v>0</v>
      </c>
      <c r="I213" s="4" cm="1">
        <f t="array" ref="I213">_xlfn.IFS('ProductSprint Backlog'!$F213="", "", AND('ProductSprint Backlog'!$J213&gt;I$2,'ProductSprint Backlog'!$I213&lt;=I$2), 'ProductSprint Backlog'!$F213 / MAX(1, 'ProductSprint Backlog'!$J213-'ProductSprint Backlog'!$I213), AND('ProductSprint Backlog'!$J213=I$2,'ProductSprint Backlog'!$I213=I$2), 'ProductSprint Backlog'!$F213, TRUE, 0)</f>
        <v>0</v>
      </c>
      <c r="J213" s="4" cm="1">
        <f t="array" ref="J213">_xlfn.IFS('ProductSprint Backlog'!$F213="", "", AND('ProductSprint Backlog'!$J213&gt;J$2,'ProductSprint Backlog'!$I213&lt;=J$2), 'ProductSprint Backlog'!$F213 / MAX(1, 'ProductSprint Backlog'!$J213-'ProductSprint Backlog'!$I213), AND('ProductSprint Backlog'!$J213=J$2,'ProductSprint Backlog'!$I213=J$2), 'ProductSprint Backlog'!$F213, TRUE, 0)</f>
        <v>0</v>
      </c>
      <c r="K213" s="4" cm="1">
        <f t="array" ref="K213">_xlfn.IFS('ProductSprint Backlog'!$F213="", "", AND('ProductSprint Backlog'!$J213&gt;K$2,'ProductSprint Backlog'!$I213&lt;=K$2), 'ProductSprint Backlog'!$F213 / MAX(1, 'ProductSprint Backlog'!$J213-'ProductSprint Backlog'!$I213), AND('ProductSprint Backlog'!$J213=K$2,'ProductSprint Backlog'!$I213=K$2), 'ProductSprint Backlog'!$F213, TRUE, 0)</f>
        <v>0</v>
      </c>
      <c r="L213" s="4" cm="1">
        <f t="array" ref="L213">_xlfn.IFS('ProductSprint Backlog'!$F213="", "", AND('ProductSprint Backlog'!$J213&gt;L$2,'ProductSprint Backlog'!$I213&lt;=L$2), 'ProductSprint Backlog'!$F213 / MAX(1, 'ProductSprint Backlog'!$J213-'ProductSprint Backlog'!$I213), AND('ProductSprint Backlog'!$J213=L$2,'ProductSprint Backlog'!$I213=L$2), 'ProductSprint Backlog'!$F213, TRUE, 0)</f>
        <v>0</v>
      </c>
      <c r="M213" s="4" cm="1">
        <f t="array" ref="M213">_xlfn.IFS('ProductSprint Backlog'!$F213="", "", AND('ProductSprint Backlog'!$J213&gt;M$2,'ProductSprint Backlog'!$I213&lt;=M$2), 'ProductSprint Backlog'!$F213 / MAX(1, 'ProductSprint Backlog'!$J213-'ProductSprint Backlog'!$I213), AND('ProductSprint Backlog'!$J213=M$2,'ProductSprint Backlog'!$I213=M$2), 'ProductSprint Backlog'!$F213, TRUE, 0)</f>
        <v>0</v>
      </c>
      <c r="N213" s="4" cm="1">
        <f t="array" ref="N213">_xlfn.IFS('ProductSprint Backlog'!$F213="", "", AND('ProductSprint Backlog'!$J213&gt;N$2,'ProductSprint Backlog'!$I213&lt;=N$2), 'ProductSprint Backlog'!$F213 / MAX(1, 'ProductSprint Backlog'!$J213-'ProductSprint Backlog'!$I213), AND('ProductSprint Backlog'!$J213=N$2,'ProductSprint Backlog'!$I213=N$2), 'ProductSprint Backlog'!$F213, TRUE, 0)</f>
        <v>0</v>
      </c>
      <c r="O213" s="4" cm="1">
        <f t="array" ref="O213">_xlfn.IFS('ProductSprint Backlog'!$F213="", "", AND('ProductSprint Backlog'!$J213&gt;O$2,'ProductSprint Backlog'!$I213&lt;=O$2), 'ProductSprint Backlog'!$F213 / MAX(1, 'ProductSprint Backlog'!$J213-'ProductSprint Backlog'!$I213), AND('ProductSprint Backlog'!$J213=O$2,'ProductSprint Backlog'!$I213=O$2), 'ProductSprint Backlog'!$F213, TRUE, 0)</f>
        <v>0</v>
      </c>
      <c r="P213" s="4" cm="1">
        <f t="array" ref="P213">_xlfn.IFS('ProductSprint Backlog'!$F213="", "", AND('ProductSprint Backlog'!$J213&gt;P$2,'ProductSprint Backlog'!$I213&lt;=P$2), 'ProductSprint Backlog'!$F213 / MAX(1, 'ProductSprint Backlog'!$J213-'ProductSprint Backlog'!$I213), AND('ProductSprint Backlog'!$J213=P$2,'ProductSprint Backlog'!$I213=P$2), 'ProductSprint Backlog'!$F213, TRUE, 0)</f>
        <v>0</v>
      </c>
      <c r="Q213" s="4" cm="1">
        <f t="array" ref="Q213">_xlfn.IFS('ProductSprint Backlog'!$F213="", "", AND('ProductSprint Backlog'!$J213&gt;Q$2,'ProductSprint Backlog'!$I213&lt;=Q$2), 'ProductSprint Backlog'!$F213 / MAX(1, 'ProductSprint Backlog'!$J213-'ProductSprint Backlog'!$I213), AND('ProductSprint Backlog'!$J213=Q$2,'ProductSprint Backlog'!$I213=Q$2), 'ProductSprint Backlog'!$F213, TRUE, 0)</f>
        <v>0</v>
      </c>
    </row>
    <row r="214" spans="2:17" x14ac:dyDescent="0.2">
      <c r="B214" s="4" cm="1">
        <f t="array" ref="B214">_xlfn.IFS('ProductSprint Backlog'!$F214="", "", AND('ProductSprint Backlog'!$J214&gt;B$2,'ProductSprint Backlog'!$I214&lt;=B$2), 'ProductSprint Backlog'!$F214 / MAX(1, 'ProductSprint Backlog'!$J214-'ProductSprint Backlog'!$I214), AND('ProductSprint Backlog'!$J214=B$2,'ProductSprint Backlog'!$I214=B$2), 'ProductSprint Backlog'!$F214, TRUE, 0)</f>
        <v>0</v>
      </c>
      <c r="C214" s="4" cm="1">
        <f t="array" ref="C214">_xlfn.IFS('ProductSprint Backlog'!$F214="", "", AND('ProductSprint Backlog'!$J214&gt;C$2,'ProductSprint Backlog'!$I214&lt;=C$2), 'ProductSprint Backlog'!$F214 / MAX(1, 'ProductSprint Backlog'!$J214-'ProductSprint Backlog'!$I214), AND('ProductSprint Backlog'!$J214=C$2,'ProductSprint Backlog'!$I214=C$2), 'ProductSprint Backlog'!$F214, TRUE, 0)</f>
        <v>0</v>
      </c>
      <c r="D214" s="4" cm="1">
        <f t="array" ref="D214">_xlfn.IFS('ProductSprint Backlog'!$F214="", "", AND('ProductSprint Backlog'!$J214&gt;D$2,'ProductSprint Backlog'!$I214&lt;=D$2), 'ProductSprint Backlog'!$F214 / MAX(1, 'ProductSprint Backlog'!$J214-'ProductSprint Backlog'!$I214), AND('ProductSprint Backlog'!$J214=D$2,'ProductSprint Backlog'!$I214=D$2), 'ProductSprint Backlog'!$F214, TRUE, 0)</f>
        <v>0</v>
      </c>
      <c r="E214" s="4" cm="1">
        <f t="array" ref="E214">_xlfn.IFS('ProductSprint Backlog'!$F214="", "", AND('ProductSprint Backlog'!$J214&gt;E$2,'ProductSprint Backlog'!$I214&lt;=E$2), 'ProductSprint Backlog'!$F214 / MAX(1, 'ProductSprint Backlog'!$J214-'ProductSprint Backlog'!$I214), AND('ProductSprint Backlog'!$J214=E$2,'ProductSprint Backlog'!$I214=E$2), 'ProductSprint Backlog'!$F214, TRUE, 0)</f>
        <v>0</v>
      </c>
      <c r="F214" s="4" cm="1">
        <f t="array" ref="F214">_xlfn.IFS('ProductSprint Backlog'!$F214="", "", AND('ProductSprint Backlog'!$J214&gt;F$2,'ProductSprint Backlog'!$I214&lt;=F$2), 'ProductSprint Backlog'!$F214 / MAX(1, 'ProductSprint Backlog'!$J214-'ProductSprint Backlog'!$I214), AND('ProductSprint Backlog'!$J214=F$2,'ProductSprint Backlog'!$I214=F$2), 'ProductSprint Backlog'!$F214, TRUE, 0)</f>
        <v>0</v>
      </c>
      <c r="G214" s="4" cm="1">
        <f t="array" ref="G214">_xlfn.IFS('ProductSprint Backlog'!$F214="", "", AND('ProductSprint Backlog'!$J214&gt;G$2,'ProductSprint Backlog'!$I214&lt;=G$2), 'ProductSprint Backlog'!$F214 / MAX(1, 'ProductSprint Backlog'!$J214-'ProductSprint Backlog'!$I214), AND('ProductSprint Backlog'!$J214=G$2,'ProductSprint Backlog'!$I214=G$2), 'ProductSprint Backlog'!$F214, TRUE, 0)</f>
        <v>0</v>
      </c>
      <c r="H214" s="4" cm="1">
        <f t="array" ref="H214">_xlfn.IFS('ProductSprint Backlog'!$F214="", "", AND('ProductSprint Backlog'!$J214&gt;H$2,'ProductSprint Backlog'!$I214&lt;=H$2), 'ProductSprint Backlog'!$F214 / MAX(1, 'ProductSprint Backlog'!$J214-'ProductSprint Backlog'!$I214), AND('ProductSprint Backlog'!$J214=H$2,'ProductSprint Backlog'!$I214=H$2), 'ProductSprint Backlog'!$F214, TRUE, 0)</f>
        <v>0</v>
      </c>
      <c r="I214" s="4" cm="1">
        <f t="array" ref="I214">_xlfn.IFS('ProductSprint Backlog'!$F214="", "", AND('ProductSprint Backlog'!$J214&gt;I$2,'ProductSprint Backlog'!$I214&lt;=I$2), 'ProductSprint Backlog'!$F214 / MAX(1, 'ProductSprint Backlog'!$J214-'ProductSprint Backlog'!$I214), AND('ProductSprint Backlog'!$J214=I$2,'ProductSprint Backlog'!$I214=I$2), 'ProductSprint Backlog'!$F214, TRUE, 0)</f>
        <v>0</v>
      </c>
      <c r="J214" s="4" cm="1">
        <f t="array" ref="J214">_xlfn.IFS('ProductSprint Backlog'!$F214="", "", AND('ProductSprint Backlog'!$J214&gt;J$2,'ProductSprint Backlog'!$I214&lt;=J$2), 'ProductSprint Backlog'!$F214 / MAX(1, 'ProductSprint Backlog'!$J214-'ProductSprint Backlog'!$I214), AND('ProductSprint Backlog'!$J214=J$2,'ProductSprint Backlog'!$I214=J$2), 'ProductSprint Backlog'!$F214, TRUE, 0)</f>
        <v>0</v>
      </c>
      <c r="K214" s="4" cm="1">
        <f t="array" ref="K214">_xlfn.IFS('ProductSprint Backlog'!$F214="", "", AND('ProductSprint Backlog'!$J214&gt;K$2,'ProductSprint Backlog'!$I214&lt;=K$2), 'ProductSprint Backlog'!$F214 / MAX(1, 'ProductSprint Backlog'!$J214-'ProductSprint Backlog'!$I214), AND('ProductSprint Backlog'!$J214=K$2,'ProductSprint Backlog'!$I214=K$2), 'ProductSprint Backlog'!$F214, TRUE, 0)</f>
        <v>0</v>
      </c>
      <c r="L214" s="4" cm="1">
        <f t="array" ref="L214">_xlfn.IFS('ProductSprint Backlog'!$F214="", "", AND('ProductSprint Backlog'!$J214&gt;L$2,'ProductSprint Backlog'!$I214&lt;=L$2), 'ProductSprint Backlog'!$F214 / MAX(1, 'ProductSprint Backlog'!$J214-'ProductSprint Backlog'!$I214), AND('ProductSprint Backlog'!$J214=L$2,'ProductSprint Backlog'!$I214=L$2), 'ProductSprint Backlog'!$F214, TRUE, 0)</f>
        <v>0</v>
      </c>
      <c r="M214" s="4" cm="1">
        <f t="array" ref="M214">_xlfn.IFS('ProductSprint Backlog'!$F214="", "", AND('ProductSprint Backlog'!$J214&gt;M$2,'ProductSprint Backlog'!$I214&lt;=M$2), 'ProductSprint Backlog'!$F214 / MAX(1, 'ProductSprint Backlog'!$J214-'ProductSprint Backlog'!$I214), AND('ProductSprint Backlog'!$J214=M$2,'ProductSprint Backlog'!$I214=M$2), 'ProductSprint Backlog'!$F214, TRUE, 0)</f>
        <v>0</v>
      </c>
      <c r="N214" s="4" cm="1">
        <f t="array" ref="N214">_xlfn.IFS('ProductSprint Backlog'!$F214="", "", AND('ProductSprint Backlog'!$J214&gt;N$2,'ProductSprint Backlog'!$I214&lt;=N$2), 'ProductSprint Backlog'!$F214 / MAX(1, 'ProductSprint Backlog'!$J214-'ProductSprint Backlog'!$I214), AND('ProductSprint Backlog'!$J214=N$2,'ProductSprint Backlog'!$I214=N$2), 'ProductSprint Backlog'!$F214, TRUE, 0)</f>
        <v>0</v>
      </c>
      <c r="O214" s="4" cm="1">
        <f t="array" ref="O214">_xlfn.IFS('ProductSprint Backlog'!$F214="", "", AND('ProductSprint Backlog'!$J214&gt;O$2,'ProductSprint Backlog'!$I214&lt;=O$2), 'ProductSprint Backlog'!$F214 / MAX(1, 'ProductSprint Backlog'!$J214-'ProductSprint Backlog'!$I214), AND('ProductSprint Backlog'!$J214=O$2,'ProductSprint Backlog'!$I214=O$2), 'ProductSprint Backlog'!$F214, TRUE, 0)</f>
        <v>0</v>
      </c>
      <c r="P214" s="4" cm="1">
        <f t="array" ref="P214">_xlfn.IFS('ProductSprint Backlog'!$F214="", "", AND('ProductSprint Backlog'!$J214&gt;P$2,'ProductSprint Backlog'!$I214&lt;=P$2), 'ProductSprint Backlog'!$F214 / MAX(1, 'ProductSprint Backlog'!$J214-'ProductSprint Backlog'!$I214), AND('ProductSprint Backlog'!$J214=P$2,'ProductSprint Backlog'!$I214=P$2), 'ProductSprint Backlog'!$F214, TRUE, 0)</f>
        <v>0</v>
      </c>
      <c r="Q214" s="4" cm="1">
        <f t="array" ref="Q214">_xlfn.IFS('ProductSprint Backlog'!$F214="", "", AND('ProductSprint Backlog'!$J214&gt;Q$2,'ProductSprint Backlog'!$I214&lt;=Q$2), 'ProductSprint Backlog'!$F214 / MAX(1, 'ProductSprint Backlog'!$J214-'ProductSprint Backlog'!$I214), AND('ProductSprint Backlog'!$J214=Q$2,'ProductSprint Backlog'!$I214=Q$2), 'ProductSprint Backlog'!$F214, TRUE, 0)</f>
        <v>0</v>
      </c>
    </row>
    <row r="215" spans="2:17" x14ac:dyDescent="0.2">
      <c r="B215" s="4" cm="1">
        <f t="array" ref="B215">_xlfn.IFS('ProductSprint Backlog'!$F215="", "", AND('ProductSprint Backlog'!$J215&gt;B$2,'ProductSprint Backlog'!$I215&lt;=B$2), 'ProductSprint Backlog'!$F215 / MAX(1, 'ProductSprint Backlog'!$J215-'ProductSprint Backlog'!$I215), AND('ProductSprint Backlog'!$J215=B$2,'ProductSprint Backlog'!$I215=B$2), 'ProductSprint Backlog'!$F215, TRUE, 0)</f>
        <v>0</v>
      </c>
      <c r="C215" s="4" cm="1">
        <f t="array" ref="C215">_xlfn.IFS('ProductSprint Backlog'!$F215="", "", AND('ProductSprint Backlog'!$J215&gt;C$2,'ProductSprint Backlog'!$I215&lt;=C$2), 'ProductSprint Backlog'!$F215 / MAX(1, 'ProductSprint Backlog'!$J215-'ProductSprint Backlog'!$I215), AND('ProductSprint Backlog'!$J215=C$2,'ProductSprint Backlog'!$I215=C$2), 'ProductSprint Backlog'!$F215, TRUE, 0)</f>
        <v>0</v>
      </c>
      <c r="D215" s="4" cm="1">
        <f t="array" ref="D215">_xlfn.IFS('ProductSprint Backlog'!$F215="", "", AND('ProductSprint Backlog'!$J215&gt;D$2,'ProductSprint Backlog'!$I215&lt;=D$2), 'ProductSprint Backlog'!$F215 / MAX(1, 'ProductSprint Backlog'!$J215-'ProductSprint Backlog'!$I215), AND('ProductSprint Backlog'!$J215=D$2,'ProductSprint Backlog'!$I215=D$2), 'ProductSprint Backlog'!$F215, TRUE, 0)</f>
        <v>0</v>
      </c>
      <c r="E215" s="4" cm="1">
        <f t="array" ref="E215">_xlfn.IFS('ProductSprint Backlog'!$F215="", "", AND('ProductSprint Backlog'!$J215&gt;E$2,'ProductSprint Backlog'!$I215&lt;=E$2), 'ProductSprint Backlog'!$F215 / MAX(1, 'ProductSprint Backlog'!$J215-'ProductSprint Backlog'!$I215), AND('ProductSprint Backlog'!$J215=E$2,'ProductSprint Backlog'!$I215=E$2), 'ProductSprint Backlog'!$F215, TRUE, 0)</f>
        <v>0</v>
      </c>
      <c r="F215" s="4" cm="1">
        <f t="array" ref="F215">_xlfn.IFS('ProductSprint Backlog'!$F215="", "", AND('ProductSprint Backlog'!$J215&gt;F$2,'ProductSprint Backlog'!$I215&lt;=F$2), 'ProductSprint Backlog'!$F215 / MAX(1, 'ProductSprint Backlog'!$J215-'ProductSprint Backlog'!$I215), AND('ProductSprint Backlog'!$J215=F$2,'ProductSprint Backlog'!$I215=F$2), 'ProductSprint Backlog'!$F215, TRUE, 0)</f>
        <v>0</v>
      </c>
      <c r="G215" s="4" cm="1">
        <f t="array" ref="G215">_xlfn.IFS('ProductSprint Backlog'!$F215="", "", AND('ProductSprint Backlog'!$J215&gt;G$2,'ProductSprint Backlog'!$I215&lt;=G$2), 'ProductSprint Backlog'!$F215 / MAX(1, 'ProductSprint Backlog'!$J215-'ProductSprint Backlog'!$I215), AND('ProductSprint Backlog'!$J215=G$2,'ProductSprint Backlog'!$I215=G$2), 'ProductSprint Backlog'!$F215, TRUE, 0)</f>
        <v>0</v>
      </c>
      <c r="H215" s="4" cm="1">
        <f t="array" ref="H215">_xlfn.IFS('ProductSprint Backlog'!$F215="", "", AND('ProductSprint Backlog'!$J215&gt;H$2,'ProductSprint Backlog'!$I215&lt;=H$2), 'ProductSprint Backlog'!$F215 / MAX(1, 'ProductSprint Backlog'!$J215-'ProductSprint Backlog'!$I215), AND('ProductSprint Backlog'!$J215=H$2,'ProductSprint Backlog'!$I215=H$2), 'ProductSprint Backlog'!$F215, TRUE, 0)</f>
        <v>0</v>
      </c>
      <c r="I215" s="4" cm="1">
        <f t="array" ref="I215">_xlfn.IFS('ProductSprint Backlog'!$F215="", "", AND('ProductSprint Backlog'!$J215&gt;I$2,'ProductSprint Backlog'!$I215&lt;=I$2), 'ProductSprint Backlog'!$F215 / MAX(1, 'ProductSprint Backlog'!$J215-'ProductSprint Backlog'!$I215), AND('ProductSprint Backlog'!$J215=I$2,'ProductSprint Backlog'!$I215=I$2), 'ProductSprint Backlog'!$F215, TRUE, 0)</f>
        <v>0</v>
      </c>
      <c r="J215" s="4" cm="1">
        <f t="array" ref="J215">_xlfn.IFS('ProductSprint Backlog'!$F215="", "", AND('ProductSprint Backlog'!$J215&gt;J$2,'ProductSprint Backlog'!$I215&lt;=J$2), 'ProductSprint Backlog'!$F215 / MAX(1, 'ProductSprint Backlog'!$J215-'ProductSprint Backlog'!$I215), AND('ProductSprint Backlog'!$J215=J$2,'ProductSprint Backlog'!$I215=J$2), 'ProductSprint Backlog'!$F215, TRUE, 0)</f>
        <v>0</v>
      </c>
      <c r="K215" s="4" cm="1">
        <f t="array" ref="K215">_xlfn.IFS('ProductSprint Backlog'!$F215="", "", AND('ProductSprint Backlog'!$J215&gt;K$2,'ProductSprint Backlog'!$I215&lt;=K$2), 'ProductSprint Backlog'!$F215 / MAX(1, 'ProductSprint Backlog'!$J215-'ProductSprint Backlog'!$I215), AND('ProductSprint Backlog'!$J215=K$2,'ProductSprint Backlog'!$I215=K$2), 'ProductSprint Backlog'!$F215, TRUE, 0)</f>
        <v>0</v>
      </c>
      <c r="L215" s="4" cm="1">
        <f t="array" ref="L215">_xlfn.IFS('ProductSprint Backlog'!$F215="", "", AND('ProductSprint Backlog'!$J215&gt;L$2,'ProductSprint Backlog'!$I215&lt;=L$2), 'ProductSprint Backlog'!$F215 / MAX(1, 'ProductSprint Backlog'!$J215-'ProductSprint Backlog'!$I215), AND('ProductSprint Backlog'!$J215=L$2,'ProductSprint Backlog'!$I215=L$2), 'ProductSprint Backlog'!$F215, TRUE, 0)</f>
        <v>0</v>
      </c>
      <c r="M215" s="4" cm="1">
        <f t="array" ref="M215">_xlfn.IFS('ProductSprint Backlog'!$F215="", "", AND('ProductSprint Backlog'!$J215&gt;M$2,'ProductSprint Backlog'!$I215&lt;=M$2), 'ProductSprint Backlog'!$F215 / MAX(1, 'ProductSprint Backlog'!$J215-'ProductSprint Backlog'!$I215), AND('ProductSprint Backlog'!$J215=M$2,'ProductSprint Backlog'!$I215=M$2), 'ProductSprint Backlog'!$F215, TRUE, 0)</f>
        <v>0</v>
      </c>
      <c r="N215" s="4" cm="1">
        <f t="array" ref="N215">_xlfn.IFS('ProductSprint Backlog'!$F215="", "", AND('ProductSprint Backlog'!$J215&gt;N$2,'ProductSprint Backlog'!$I215&lt;=N$2), 'ProductSprint Backlog'!$F215 / MAX(1, 'ProductSprint Backlog'!$J215-'ProductSprint Backlog'!$I215), AND('ProductSprint Backlog'!$J215=N$2,'ProductSprint Backlog'!$I215=N$2), 'ProductSprint Backlog'!$F215, TRUE, 0)</f>
        <v>0</v>
      </c>
      <c r="O215" s="4" cm="1">
        <f t="array" ref="O215">_xlfn.IFS('ProductSprint Backlog'!$F215="", "", AND('ProductSprint Backlog'!$J215&gt;O$2,'ProductSprint Backlog'!$I215&lt;=O$2), 'ProductSprint Backlog'!$F215 / MAX(1, 'ProductSprint Backlog'!$J215-'ProductSprint Backlog'!$I215), AND('ProductSprint Backlog'!$J215=O$2,'ProductSprint Backlog'!$I215=O$2), 'ProductSprint Backlog'!$F215, TRUE, 0)</f>
        <v>0</v>
      </c>
      <c r="P215" s="4" cm="1">
        <f t="array" ref="P215">_xlfn.IFS('ProductSprint Backlog'!$F215="", "", AND('ProductSprint Backlog'!$J215&gt;P$2,'ProductSprint Backlog'!$I215&lt;=P$2), 'ProductSprint Backlog'!$F215 / MAX(1, 'ProductSprint Backlog'!$J215-'ProductSprint Backlog'!$I215), AND('ProductSprint Backlog'!$J215=P$2,'ProductSprint Backlog'!$I215=P$2), 'ProductSprint Backlog'!$F215, TRUE, 0)</f>
        <v>0</v>
      </c>
      <c r="Q215" s="4" cm="1">
        <f t="array" ref="Q215">_xlfn.IFS('ProductSprint Backlog'!$F215="", "", AND('ProductSprint Backlog'!$J215&gt;Q$2,'ProductSprint Backlog'!$I215&lt;=Q$2), 'ProductSprint Backlog'!$F215 / MAX(1, 'ProductSprint Backlog'!$J215-'ProductSprint Backlog'!$I215), AND('ProductSprint Backlog'!$J215=Q$2,'ProductSprint Backlog'!$I215=Q$2), 'ProductSprint Backlog'!$F215, TRUE, 0)</f>
        <v>0</v>
      </c>
    </row>
    <row r="216" spans="2:17" x14ac:dyDescent="0.2">
      <c r="B216" s="4" cm="1">
        <f t="array" ref="B216">_xlfn.IFS('ProductSprint Backlog'!$F216="", "", AND('ProductSprint Backlog'!$J216&gt;B$2,'ProductSprint Backlog'!$I216&lt;=B$2), 'ProductSprint Backlog'!$F216 / MAX(1, 'ProductSprint Backlog'!$J216-'ProductSprint Backlog'!$I216), AND('ProductSprint Backlog'!$J216=B$2,'ProductSprint Backlog'!$I216=B$2), 'ProductSprint Backlog'!$F216, TRUE, 0)</f>
        <v>0</v>
      </c>
      <c r="C216" s="4" cm="1">
        <f t="array" ref="C216">_xlfn.IFS('ProductSprint Backlog'!$F216="", "", AND('ProductSprint Backlog'!$J216&gt;C$2,'ProductSprint Backlog'!$I216&lt;=C$2), 'ProductSprint Backlog'!$F216 / MAX(1, 'ProductSprint Backlog'!$J216-'ProductSprint Backlog'!$I216), AND('ProductSprint Backlog'!$J216=C$2,'ProductSprint Backlog'!$I216=C$2), 'ProductSprint Backlog'!$F216, TRUE, 0)</f>
        <v>0</v>
      </c>
      <c r="D216" s="4" cm="1">
        <f t="array" ref="D216">_xlfn.IFS('ProductSprint Backlog'!$F216="", "", AND('ProductSprint Backlog'!$J216&gt;D$2,'ProductSprint Backlog'!$I216&lt;=D$2), 'ProductSprint Backlog'!$F216 / MAX(1, 'ProductSprint Backlog'!$J216-'ProductSprint Backlog'!$I216), AND('ProductSprint Backlog'!$J216=D$2,'ProductSprint Backlog'!$I216=D$2), 'ProductSprint Backlog'!$F216, TRUE, 0)</f>
        <v>0</v>
      </c>
      <c r="E216" s="4" cm="1">
        <f t="array" ref="E216">_xlfn.IFS('ProductSprint Backlog'!$F216="", "", AND('ProductSprint Backlog'!$J216&gt;E$2,'ProductSprint Backlog'!$I216&lt;=E$2), 'ProductSprint Backlog'!$F216 / MAX(1, 'ProductSprint Backlog'!$J216-'ProductSprint Backlog'!$I216), AND('ProductSprint Backlog'!$J216=E$2,'ProductSprint Backlog'!$I216=E$2), 'ProductSprint Backlog'!$F216, TRUE, 0)</f>
        <v>0</v>
      </c>
      <c r="F216" s="4" cm="1">
        <f t="array" ref="F216">_xlfn.IFS('ProductSprint Backlog'!$F216="", "", AND('ProductSprint Backlog'!$J216&gt;F$2,'ProductSprint Backlog'!$I216&lt;=F$2), 'ProductSprint Backlog'!$F216 / MAX(1, 'ProductSprint Backlog'!$J216-'ProductSprint Backlog'!$I216), AND('ProductSprint Backlog'!$J216=F$2,'ProductSprint Backlog'!$I216=F$2), 'ProductSprint Backlog'!$F216, TRUE, 0)</f>
        <v>0</v>
      </c>
      <c r="G216" s="4" cm="1">
        <f t="array" ref="G216">_xlfn.IFS('ProductSprint Backlog'!$F216="", "", AND('ProductSprint Backlog'!$J216&gt;G$2,'ProductSprint Backlog'!$I216&lt;=G$2), 'ProductSprint Backlog'!$F216 / MAX(1, 'ProductSprint Backlog'!$J216-'ProductSprint Backlog'!$I216), AND('ProductSprint Backlog'!$J216=G$2,'ProductSprint Backlog'!$I216=G$2), 'ProductSprint Backlog'!$F216, TRUE, 0)</f>
        <v>0</v>
      </c>
      <c r="H216" s="4" cm="1">
        <f t="array" ref="H216">_xlfn.IFS('ProductSprint Backlog'!$F216="", "", AND('ProductSprint Backlog'!$J216&gt;H$2,'ProductSprint Backlog'!$I216&lt;=H$2), 'ProductSprint Backlog'!$F216 / MAX(1, 'ProductSprint Backlog'!$J216-'ProductSprint Backlog'!$I216), AND('ProductSprint Backlog'!$J216=H$2,'ProductSprint Backlog'!$I216=H$2), 'ProductSprint Backlog'!$F216, TRUE, 0)</f>
        <v>0</v>
      </c>
      <c r="I216" s="4" cm="1">
        <f t="array" ref="I216">_xlfn.IFS('ProductSprint Backlog'!$F216="", "", AND('ProductSprint Backlog'!$J216&gt;I$2,'ProductSprint Backlog'!$I216&lt;=I$2), 'ProductSprint Backlog'!$F216 / MAX(1, 'ProductSprint Backlog'!$J216-'ProductSprint Backlog'!$I216), AND('ProductSprint Backlog'!$J216=I$2,'ProductSprint Backlog'!$I216=I$2), 'ProductSprint Backlog'!$F216, TRUE, 0)</f>
        <v>0</v>
      </c>
      <c r="J216" s="4" cm="1">
        <f t="array" ref="J216">_xlfn.IFS('ProductSprint Backlog'!$F216="", "", AND('ProductSprint Backlog'!$J216&gt;J$2,'ProductSprint Backlog'!$I216&lt;=J$2), 'ProductSprint Backlog'!$F216 / MAX(1, 'ProductSprint Backlog'!$J216-'ProductSprint Backlog'!$I216), AND('ProductSprint Backlog'!$J216=J$2,'ProductSprint Backlog'!$I216=J$2), 'ProductSprint Backlog'!$F216, TRUE, 0)</f>
        <v>0</v>
      </c>
      <c r="K216" s="4" cm="1">
        <f t="array" ref="K216">_xlfn.IFS('ProductSprint Backlog'!$F216="", "", AND('ProductSprint Backlog'!$J216&gt;K$2,'ProductSprint Backlog'!$I216&lt;=K$2), 'ProductSprint Backlog'!$F216 / MAX(1, 'ProductSprint Backlog'!$J216-'ProductSprint Backlog'!$I216), AND('ProductSprint Backlog'!$J216=K$2,'ProductSprint Backlog'!$I216=K$2), 'ProductSprint Backlog'!$F216, TRUE, 0)</f>
        <v>0</v>
      </c>
      <c r="L216" s="4" cm="1">
        <f t="array" ref="L216">_xlfn.IFS('ProductSprint Backlog'!$F216="", "", AND('ProductSprint Backlog'!$J216&gt;L$2,'ProductSprint Backlog'!$I216&lt;=L$2), 'ProductSprint Backlog'!$F216 / MAX(1, 'ProductSprint Backlog'!$J216-'ProductSprint Backlog'!$I216), AND('ProductSprint Backlog'!$J216=L$2,'ProductSprint Backlog'!$I216=L$2), 'ProductSprint Backlog'!$F216, TRUE, 0)</f>
        <v>0</v>
      </c>
      <c r="M216" s="4" cm="1">
        <f t="array" ref="M216">_xlfn.IFS('ProductSprint Backlog'!$F216="", "", AND('ProductSprint Backlog'!$J216&gt;M$2,'ProductSprint Backlog'!$I216&lt;=M$2), 'ProductSprint Backlog'!$F216 / MAX(1, 'ProductSprint Backlog'!$J216-'ProductSprint Backlog'!$I216), AND('ProductSprint Backlog'!$J216=M$2,'ProductSprint Backlog'!$I216=M$2), 'ProductSprint Backlog'!$F216, TRUE, 0)</f>
        <v>0</v>
      </c>
      <c r="N216" s="4" cm="1">
        <f t="array" ref="N216">_xlfn.IFS('ProductSprint Backlog'!$F216="", "", AND('ProductSprint Backlog'!$J216&gt;N$2,'ProductSprint Backlog'!$I216&lt;=N$2), 'ProductSprint Backlog'!$F216 / MAX(1, 'ProductSprint Backlog'!$J216-'ProductSprint Backlog'!$I216), AND('ProductSprint Backlog'!$J216=N$2,'ProductSprint Backlog'!$I216=N$2), 'ProductSprint Backlog'!$F216, TRUE, 0)</f>
        <v>0</v>
      </c>
      <c r="O216" s="4" cm="1">
        <f t="array" ref="O216">_xlfn.IFS('ProductSprint Backlog'!$F216="", "", AND('ProductSprint Backlog'!$J216&gt;O$2,'ProductSprint Backlog'!$I216&lt;=O$2), 'ProductSprint Backlog'!$F216 / MAX(1, 'ProductSprint Backlog'!$J216-'ProductSprint Backlog'!$I216), AND('ProductSprint Backlog'!$J216=O$2,'ProductSprint Backlog'!$I216=O$2), 'ProductSprint Backlog'!$F216, TRUE, 0)</f>
        <v>0</v>
      </c>
      <c r="P216" s="4" cm="1">
        <f t="array" ref="P216">_xlfn.IFS('ProductSprint Backlog'!$F216="", "", AND('ProductSprint Backlog'!$J216&gt;P$2,'ProductSprint Backlog'!$I216&lt;=P$2), 'ProductSprint Backlog'!$F216 / MAX(1, 'ProductSprint Backlog'!$J216-'ProductSprint Backlog'!$I216), AND('ProductSprint Backlog'!$J216=P$2,'ProductSprint Backlog'!$I216=P$2), 'ProductSprint Backlog'!$F216, TRUE, 0)</f>
        <v>0</v>
      </c>
      <c r="Q216" s="4" cm="1">
        <f t="array" ref="Q216">_xlfn.IFS('ProductSprint Backlog'!$F216="", "", AND('ProductSprint Backlog'!$J216&gt;Q$2,'ProductSprint Backlog'!$I216&lt;=Q$2), 'ProductSprint Backlog'!$F216 / MAX(1, 'ProductSprint Backlog'!$J216-'ProductSprint Backlog'!$I216), AND('ProductSprint Backlog'!$J216=Q$2,'ProductSprint Backlog'!$I216=Q$2), 'ProductSprint Backlog'!$F216, TRUE, 0)</f>
        <v>0</v>
      </c>
    </row>
    <row r="217" spans="2:17" x14ac:dyDescent="0.2">
      <c r="B217" s="4" cm="1">
        <f t="array" ref="B217">_xlfn.IFS('ProductSprint Backlog'!$F217="", "", AND('ProductSprint Backlog'!$J217&gt;B$2,'ProductSprint Backlog'!$I217&lt;=B$2), 'ProductSprint Backlog'!$F217 / MAX(1, 'ProductSprint Backlog'!$J217-'ProductSprint Backlog'!$I217), AND('ProductSprint Backlog'!$J217=B$2,'ProductSprint Backlog'!$I217=B$2), 'ProductSprint Backlog'!$F217, TRUE, 0)</f>
        <v>0</v>
      </c>
      <c r="C217" s="4" cm="1">
        <f t="array" ref="C217">_xlfn.IFS('ProductSprint Backlog'!$F217="", "", AND('ProductSprint Backlog'!$J217&gt;C$2,'ProductSprint Backlog'!$I217&lt;=C$2), 'ProductSprint Backlog'!$F217 / MAX(1, 'ProductSprint Backlog'!$J217-'ProductSprint Backlog'!$I217), AND('ProductSprint Backlog'!$J217=C$2,'ProductSprint Backlog'!$I217=C$2), 'ProductSprint Backlog'!$F217, TRUE, 0)</f>
        <v>0</v>
      </c>
      <c r="D217" s="4" cm="1">
        <f t="array" ref="D217">_xlfn.IFS('ProductSprint Backlog'!$F217="", "", AND('ProductSprint Backlog'!$J217&gt;D$2,'ProductSprint Backlog'!$I217&lt;=D$2), 'ProductSprint Backlog'!$F217 / MAX(1, 'ProductSprint Backlog'!$J217-'ProductSprint Backlog'!$I217), AND('ProductSprint Backlog'!$J217=D$2,'ProductSprint Backlog'!$I217=D$2), 'ProductSprint Backlog'!$F217, TRUE, 0)</f>
        <v>0</v>
      </c>
      <c r="E217" s="4" cm="1">
        <f t="array" ref="E217">_xlfn.IFS('ProductSprint Backlog'!$F217="", "", AND('ProductSprint Backlog'!$J217&gt;E$2,'ProductSprint Backlog'!$I217&lt;=E$2), 'ProductSprint Backlog'!$F217 / MAX(1, 'ProductSprint Backlog'!$J217-'ProductSprint Backlog'!$I217), AND('ProductSprint Backlog'!$J217=E$2,'ProductSprint Backlog'!$I217=E$2), 'ProductSprint Backlog'!$F217, TRUE, 0)</f>
        <v>0</v>
      </c>
      <c r="F217" s="4" cm="1">
        <f t="array" ref="F217">_xlfn.IFS('ProductSprint Backlog'!$F217="", "", AND('ProductSprint Backlog'!$J217&gt;F$2,'ProductSprint Backlog'!$I217&lt;=F$2), 'ProductSprint Backlog'!$F217 / MAX(1, 'ProductSprint Backlog'!$J217-'ProductSprint Backlog'!$I217), AND('ProductSprint Backlog'!$J217=F$2,'ProductSprint Backlog'!$I217=F$2), 'ProductSprint Backlog'!$F217, TRUE, 0)</f>
        <v>0</v>
      </c>
      <c r="G217" s="4" cm="1">
        <f t="array" ref="G217">_xlfn.IFS('ProductSprint Backlog'!$F217="", "", AND('ProductSprint Backlog'!$J217&gt;G$2,'ProductSprint Backlog'!$I217&lt;=G$2), 'ProductSprint Backlog'!$F217 / MAX(1, 'ProductSprint Backlog'!$J217-'ProductSprint Backlog'!$I217), AND('ProductSprint Backlog'!$J217=G$2,'ProductSprint Backlog'!$I217=G$2), 'ProductSprint Backlog'!$F217, TRUE, 0)</f>
        <v>0</v>
      </c>
      <c r="H217" s="4" cm="1">
        <f t="array" ref="H217">_xlfn.IFS('ProductSprint Backlog'!$F217="", "", AND('ProductSprint Backlog'!$J217&gt;H$2,'ProductSprint Backlog'!$I217&lt;=H$2), 'ProductSprint Backlog'!$F217 / MAX(1, 'ProductSprint Backlog'!$J217-'ProductSprint Backlog'!$I217), AND('ProductSprint Backlog'!$J217=H$2,'ProductSprint Backlog'!$I217=H$2), 'ProductSprint Backlog'!$F217, TRUE, 0)</f>
        <v>0</v>
      </c>
      <c r="I217" s="4" cm="1">
        <f t="array" ref="I217">_xlfn.IFS('ProductSprint Backlog'!$F217="", "", AND('ProductSprint Backlog'!$J217&gt;I$2,'ProductSprint Backlog'!$I217&lt;=I$2), 'ProductSprint Backlog'!$F217 / MAX(1, 'ProductSprint Backlog'!$J217-'ProductSprint Backlog'!$I217), AND('ProductSprint Backlog'!$J217=I$2,'ProductSprint Backlog'!$I217=I$2), 'ProductSprint Backlog'!$F217, TRUE, 0)</f>
        <v>0</v>
      </c>
      <c r="J217" s="4" cm="1">
        <f t="array" ref="J217">_xlfn.IFS('ProductSprint Backlog'!$F217="", "", AND('ProductSprint Backlog'!$J217&gt;J$2,'ProductSprint Backlog'!$I217&lt;=J$2), 'ProductSprint Backlog'!$F217 / MAX(1, 'ProductSprint Backlog'!$J217-'ProductSprint Backlog'!$I217), AND('ProductSprint Backlog'!$J217=J$2,'ProductSprint Backlog'!$I217=J$2), 'ProductSprint Backlog'!$F217, TRUE, 0)</f>
        <v>0</v>
      </c>
      <c r="K217" s="4" cm="1">
        <f t="array" ref="K217">_xlfn.IFS('ProductSprint Backlog'!$F217="", "", AND('ProductSprint Backlog'!$J217&gt;K$2,'ProductSprint Backlog'!$I217&lt;=K$2), 'ProductSprint Backlog'!$F217 / MAX(1, 'ProductSprint Backlog'!$J217-'ProductSprint Backlog'!$I217), AND('ProductSprint Backlog'!$J217=K$2,'ProductSprint Backlog'!$I217=K$2), 'ProductSprint Backlog'!$F217, TRUE, 0)</f>
        <v>0</v>
      </c>
      <c r="L217" s="4" cm="1">
        <f t="array" ref="L217">_xlfn.IFS('ProductSprint Backlog'!$F217="", "", AND('ProductSprint Backlog'!$J217&gt;L$2,'ProductSprint Backlog'!$I217&lt;=L$2), 'ProductSprint Backlog'!$F217 / MAX(1, 'ProductSprint Backlog'!$J217-'ProductSprint Backlog'!$I217), AND('ProductSprint Backlog'!$J217=L$2,'ProductSprint Backlog'!$I217=L$2), 'ProductSprint Backlog'!$F217, TRUE, 0)</f>
        <v>0</v>
      </c>
      <c r="M217" s="4" cm="1">
        <f t="array" ref="M217">_xlfn.IFS('ProductSprint Backlog'!$F217="", "", AND('ProductSprint Backlog'!$J217&gt;M$2,'ProductSprint Backlog'!$I217&lt;=M$2), 'ProductSprint Backlog'!$F217 / MAX(1, 'ProductSprint Backlog'!$J217-'ProductSprint Backlog'!$I217), AND('ProductSprint Backlog'!$J217=M$2,'ProductSprint Backlog'!$I217=M$2), 'ProductSprint Backlog'!$F217, TRUE, 0)</f>
        <v>0</v>
      </c>
      <c r="N217" s="4" cm="1">
        <f t="array" ref="N217">_xlfn.IFS('ProductSprint Backlog'!$F217="", "", AND('ProductSprint Backlog'!$J217&gt;N$2,'ProductSprint Backlog'!$I217&lt;=N$2), 'ProductSprint Backlog'!$F217 / MAX(1, 'ProductSprint Backlog'!$J217-'ProductSprint Backlog'!$I217), AND('ProductSprint Backlog'!$J217=N$2,'ProductSprint Backlog'!$I217=N$2), 'ProductSprint Backlog'!$F217, TRUE, 0)</f>
        <v>0</v>
      </c>
      <c r="O217" s="4" cm="1">
        <f t="array" ref="O217">_xlfn.IFS('ProductSprint Backlog'!$F217="", "", AND('ProductSprint Backlog'!$J217&gt;O$2,'ProductSprint Backlog'!$I217&lt;=O$2), 'ProductSprint Backlog'!$F217 / MAX(1, 'ProductSprint Backlog'!$J217-'ProductSprint Backlog'!$I217), AND('ProductSprint Backlog'!$J217=O$2,'ProductSprint Backlog'!$I217=O$2), 'ProductSprint Backlog'!$F217, TRUE, 0)</f>
        <v>0</v>
      </c>
      <c r="P217" s="4" cm="1">
        <f t="array" ref="P217">_xlfn.IFS('ProductSprint Backlog'!$F217="", "", AND('ProductSprint Backlog'!$J217&gt;P$2,'ProductSprint Backlog'!$I217&lt;=P$2), 'ProductSprint Backlog'!$F217 / MAX(1, 'ProductSprint Backlog'!$J217-'ProductSprint Backlog'!$I217), AND('ProductSprint Backlog'!$J217=P$2,'ProductSprint Backlog'!$I217=P$2), 'ProductSprint Backlog'!$F217, TRUE, 0)</f>
        <v>0</v>
      </c>
      <c r="Q217" s="4" cm="1">
        <f t="array" ref="Q217">_xlfn.IFS('ProductSprint Backlog'!$F217="", "", AND('ProductSprint Backlog'!$J217&gt;Q$2,'ProductSprint Backlog'!$I217&lt;=Q$2), 'ProductSprint Backlog'!$F217 / MAX(1, 'ProductSprint Backlog'!$J217-'ProductSprint Backlog'!$I217), AND('ProductSprint Backlog'!$J217=Q$2,'ProductSprint Backlog'!$I217=Q$2), 'ProductSprint Backlog'!$F217, TRUE, 0)</f>
        <v>0</v>
      </c>
    </row>
    <row r="218" spans="2:17" x14ac:dyDescent="0.2">
      <c r="B218" s="4" cm="1">
        <f t="array" ref="B218">_xlfn.IFS('ProductSprint Backlog'!$F218="", "", AND('ProductSprint Backlog'!$J218&gt;B$2,'ProductSprint Backlog'!$I218&lt;=B$2), 'ProductSprint Backlog'!$F218 / MAX(1, 'ProductSprint Backlog'!$J218-'ProductSprint Backlog'!$I218), AND('ProductSprint Backlog'!$J218=B$2,'ProductSprint Backlog'!$I218=B$2), 'ProductSprint Backlog'!$F218, TRUE, 0)</f>
        <v>0</v>
      </c>
      <c r="C218" s="4" cm="1">
        <f t="array" ref="C218">_xlfn.IFS('ProductSprint Backlog'!$F218="", "", AND('ProductSprint Backlog'!$J218&gt;C$2,'ProductSprint Backlog'!$I218&lt;=C$2), 'ProductSprint Backlog'!$F218 / MAX(1, 'ProductSprint Backlog'!$J218-'ProductSprint Backlog'!$I218), AND('ProductSprint Backlog'!$J218=C$2,'ProductSprint Backlog'!$I218=C$2), 'ProductSprint Backlog'!$F218, TRUE, 0)</f>
        <v>0</v>
      </c>
      <c r="D218" s="4" cm="1">
        <f t="array" ref="D218">_xlfn.IFS('ProductSprint Backlog'!$F218="", "", AND('ProductSprint Backlog'!$J218&gt;D$2,'ProductSprint Backlog'!$I218&lt;=D$2), 'ProductSprint Backlog'!$F218 / MAX(1, 'ProductSprint Backlog'!$J218-'ProductSprint Backlog'!$I218), AND('ProductSprint Backlog'!$J218=D$2,'ProductSprint Backlog'!$I218=D$2), 'ProductSprint Backlog'!$F218, TRUE, 0)</f>
        <v>0</v>
      </c>
      <c r="E218" s="4" cm="1">
        <f t="array" ref="E218">_xlfn.IFS('ProductSprint Backlog'!$F218="", "", AND('ProductSprint Backlog'!$J218&gt;E$2,'ProductSprint Backlog'!$I218&lt;=E$2), 'ProductSprint Backlog'!$F218 / MAX(1, 'ProductSprint Backlog'!$J218-'ProductSprint Backlog'!$I218), AND('ProductSprint Backlog'!$J218=E$2,'ProductSprint Backlog'!$I218=E$2), 'ProductSprint Backlog'!$F218, TRUE, 0)</f>
        <v>0</v>
      </c>
      <c r="F218" s="4" cm="1">
        <f t="array" ref="F218">_xlfn.IFS('ProductSprint Backlog'!$F218="", "", AND('ProductSprint Backlog'!$J218&gt;F$2,'ProductSprint Backlog'!$I218&lt;=F$2), 'ProductSprint Backlog'!$F218 / MAX(1, 'ProductSprint Backlog'!$J218-'ProductSprint Backlog'!$I218), AND('ProductSprint Backlog'!$J218=F$2,'ProductSprint Backlog'!$I218=F$2), 'ProductSprint Backlog'!$F218, TRUE, 0)</f>
        <v>0</v>
      </c>
      <c r="G218" s="4" cm="1">
        <f t="array" ref="G218">_xlfn.IFS('ProductSprint Backlog'!$F218="", "", AND('ProductSprint Backlog'!$J218&gt;G$2,'ProductSprint Backlog'!$I218&lt;=G$2), 'ProductSprint Backlog'!$F218 / MAX(1, 'ProductSprint Backlog'!$J218-'ProductSprint Backlog'!$I218), AND('ProductSprint Backlog'!$J218=G$2,'ProductSprint Backlog'!$I218=G$2), 'ProductSprint Backlog'!$F218, TRUE, 0)</f>
        <v>0</v>
      </c>
      <c r="H218" s="4" cm="1">
        <f t="array" ref="H218">_xlfn.IFS('ProductSprint Backlog'!$F218="", "", AND('ProductSprint Backlog'!$J218&gt;H$2,'ProductSprint Backlog'!$I218&lt;=H$2), 'ProductSprint Backlog'!$F218 / MAX(1, 'ProductSprint Backlog'!$J218-'ProductSprint Backlog'!$I218), AND('ProductSprint Backlog'!$J218=H$2,'ProductSprint Backlog'!$I218=H$2), 'ProductSprint Backlog'!$F218, TRUE, 0)</f>
        <v>0</v>
      </c>
      <c r="I218" s="4" cm="1">
        <f t="array" ref="I218">_xlfn.IFS('ProductSprint Backlog'!$F218="", "", AND('ProductSprint Backlog'!$J218&gt;I$2,'ProductSprint Backlog'!$I218&lt;=I$2), 'ProductSprint Backlog'!$F218 / MAX(1, 'ProductSprint Backlog'!$J218-'ProductSprint Backlog'!$I218), AND('ProductSprint Backlog'!$J218=I$2,'ProductSprint Backlog'!$I218=I$2), 'ProductSprint Backlog'!$F218, TRUE, 0)</f>
        <v>0</v>
      </c>
      <c r="J218" s="4" cm="1">
        <f t="array" ref="J218">_xlfn.IFS('ProductSprint Backlog'!$F218="", "", AND('ProductSprint Backlog'!$J218&gt;J$2,'ProductSprint Backlog'!$I218&lt;=J$2), 'ProductSprint Backlog'!$F218 / MAX(1, 'ProductSprint Backlog'!$J218-'ProductSprint Backlog'!$I218), AND('ProductSprint Backlog'!$J218=J$2,'ProductSprint Backlog'!$I218=J$2), 'ProductSprint Backlog'!$F218, TRUE, 0)</f>
        <v>0</v>
      </c>
      <c r="K218" s="4" cm="1">
        <f t="array" ref="K218">_xlfn.IFS('ProductSprint Backlog'!$F218="", "", AND('ProductSprint Backlog'!$J218&gt;K$2,'ProductSprint Backlog'!$I218&lt;=K$2), 'ProductSprint Backlog'!$F218 / MAX(1, 'ProductSprint Backlog'!$J218-'ProductSprint Backlog'!$I218), AND('ProductSprint Backlog'!$J218=K$2,'ProductSprint Backlog'!$I218=K$2), 'ProductSprint Backlog'!$F218, TRUE, 0)</f>
        <v>0</v>
      </c>
      <c r="L218" s="4" cm="1">
        <f t="array" ref="L218">_xlfn.IFS('ProductSprint Backlog'!$F218="", "", AND('ProductSprint Backlog'!$J218&gt;L$2,'ProductSprint Backlog'!$I218&lt;=L$2), 'ProductSprint Backlog'!$F218 / MAX(1, 'ProductSprint Backlog'!$J218-'ProductSprint Backlog'!$I218), AND('ProductSprint Backlog'!$J218=L$2,'ProductSprint Backlog'!$I218=L$2), 'ProductSprint Backlog'!$F218, TRUE, 0)</f>
        <v>0</v>
      </c>
      <c r="M218" s="4" cm="1">
        <f t="array" ref="M218">_xlfn.IFS('ProductSprint Backlog'!$F218="", "", AND('ProductSprint Backlog'!$J218&gt;M$2,'ProductSprint Backlog'!$I218&lt;=M$2), 'ProductSprint Backlog'!$F218 / MAX(1, 'ProductSprint Backlog'!$J218-'ProductSprint Backlog'!$I218), AND('ProductSprint Backlog'!$J218=M$2,'ProductSprint Backlog'!$I218=M$2), 'ProductSprint Backlog'!$F218, TRUE, 0)</f>
        <v>0</v>
      </c>
      <c r="N218" s="4" cm="1">
        <f t="array" ref="N218">_xlfn.IFS('ProductSprint Backlog'!$F218="", "", AND('ProductSprint Backlog'!$J218&gt;N$2,'ProductSprint Backlog'!$I218&lt;=N$2), 'ProductSprint Backlog'!$F218 / MAX(1, 'ProductSprint Backlog'!$J218-'ProductSprint Backlog'!$I218), AND('ProductSprint Backlog'!$J218=N$2,'ProductSprint Backlog'!$I218=N$2), 'ProductSprint Backlog'!$F218, TRUE, 0)</f>
        <v>0</v>
      </c>
      <c r="O218" s="4" cm="1">
        <f t="array" ref="O218">_xlfn.IFS('ProductSprint Backlog'!$F218="", "", AND('ProductSprint Backlog'!$J218&gt;O$2,'ProductSprint Backlog'!$I218&lt;=O$2), 'ProductSprint Backlog'!$F218 / MAX(1, 'ProductSprint Backlog'!$J218-'ProductSprint Backlog'!$I218), AND('ProductSprint Backlog'!$J218=O$2,'ProductSprint Backlog'!$I218=O$2), 'ProductSprint Backlog'!$F218, TRUE, 0)</f>
        <v>0</v>
      </c>
      <c r="P218" s="4" cm="1">
        <f t="array" ref="P218">_xlfn.IFS('ProductSprint Backlog'!$F218="", "", AND('ProductSprint Backlog'!$J218&gt;P$2,'ProductSprint Backlog'!$I218&lt;=P$2), 'ProductSprint Backlog'!$F218 / MAX(1, 'ProductSprint Backlog'!$J218-'ProductSprint Backlog'!$I218), AND('ProductSprint Backlog'!$J218=P$2,'ProductSprint Backlog'!$I218=P$2), 'ProductSprint Backlog'!$F218, TRUE, 0)</f>
        <v>0</v>
      </c>
      <c r="Q218" s="4" cm="1">
        <f t="array" ref="Q218">_xlfn.IFS('ProductSprint Backlog'!$F218="", "", AND('ProductSprint Backlog'!$J218&gt;Q$2,'ProductSprint Backlog'!$I218&lt;=Q$2), 'ProductSprint Backlog'!$F218 / MAX(1, 'ProductSprint Backlog'!$J218-'ProductSprint Backlog'!$I218), AND('ProductSprint Backlog'!$J218=Q$2,'ProductSprint Backlog'!$I218=Q$2), 'ProductSprint Backlog'!$F218, TRUE, 0)</f>
        <v>0</v>
      </c>
    </row>
    <row r="219" spans="2:17" x14ac:dyDescent="0.2">
      <c r="B219" s="4" cm="1">
        <f t="array" ref="B219">_xlfn.IFS('ProductSprint Backlog'!$F219="", "", AND('ProductSprint Backlog'!$J219&gt;B$2,'ProductSprint Backlog'!$I219&lt;=B$2), 'ProductSprint Backlog'!$F219 / MAX(1, 'ProductSprint Backlog'!$J219-'ProductSprint Backlog'!$I219), AND('ProductSprint Backlog'!$J219=B$2,'ProductSprint Backlog'!$I219=B$2), 'ProductSprint Backlog'!$F219, TRUE, 0)</f>
        <v>0</v>
      </c>
      <c r="C219" s="4" cm="1">
        <f t="array" ref="C219">_xlfn.IFS('ProductSprint Backlog'!$F219="", "", AND('ProductSprint Backlog'!$J219&gt;C$2,'ProductSprint Backlog'!$I219&lt;=C$2), 'ProductSprint Backlog'!$F219 / MAX(1, 'ProductSprint Backlog'!$J219-'ProductSprint Backlog'!$I219), AND('ProductSprint Backlog'!$J219=C$2,'ProductSprint Backlog'!$I219=C$2), 'ProductSprint Backlog'!$F219, TRUE, 0)</f>
        <v>0</v>
      </c>
      <c r="D219" s="4" cm="1">
        <f t="array" ref="D219">_xlfn.IFS('ProductSprint Backlog'!$F219="", "", AND('ProductSprint Backlog'!$J219&gt;D$2,'ProductSprint Backlog'!$I219&lt;=D$2), 'ProductSprint Backlog'!$F219 / MAX(1, 'ProductSprint Backlog'!$J219-'ProductSprint Backlog'!$I219), AND('ProductSprint Backlog'!$J219=D$2,'ProductSprint Backlog'!$I219=D$2), 'ProductSprint Backlog'!$F219, TRUE, 0)</f>
        <v>0</v>
      </c>
      <c r="E219" s="4" cm="1">
        <f t="array" ref="E219">_xlfn.IFS('ProductSprint Backlog'!$F219="", "", AND('ProductSprint Backlog'!$J219&gt;E$2,'ProductSprint Backlog'!$I219&lt;=E$2), 'ProductSprint Backlog'!$F219 / MAX(1, 'ProductSprint Backlog'!$J219-'ProductSprint Backlog'!$I219), AND('ProductSprint Backlog'!$J219=E$2,'ProductSprint Backlog'!$I219=E$2), 'ProductSprint Backlog'!$F219, TRUE, 0)</f>
        <v>0</v>
      </c>
      <c r="F219" s="4" cm="1">
        <f t="array" ref="F219">_xlfn.IFS('ProductSprint Backlog'!$F219="", "", AND('ProductSprint Backlog'!$J219&gt;F$2,'ProductSprint Backlog'!$I219&lt;=F$2), 'ProductSprint Backlog'!$F219 / MAX(1, 'ProductSprint Backlog'!$J219-'ProductSprint Backlog'!$I219), AND('ProductSprint Backlog'!$J219=F$2,'ProductSprint Backlog'!$I219=F$2), 'ProductSprint Backlog'!$F219, TRUE, 0)</f>
        <v>0</v>
      </c>
      <c r="G219" s="4" cm="1">
        <f t="array" ref="G219">_xlfn.IFS('ProductSprint Backlog'!$F219="", "", AND('ProductSprint Backlog'!$J219&gt;G$2,'ProductSprint Backlog'!$I219&lt;=G$2), 'ProductSprint Backlog'!$F219 / MAX(1, 'ProductSprint Backlog'!$J219-'ProductSprint Backlog'!$I219), AND('ProductSprint Backlog'!$J219=G$2,'ProductSprint Backlog'!$I219=G$2), 'ProductSprint Backlog'!$F219, TRUE, 0)</f>
        <v>0</v>
      </c>
      <c r="H219" s="4" cm="1">
        <f t="array" ref="H219">_xlfn.IFS('ProductSprint Backlog'!$F219="", "", AND('ProductSprint Backlog'!$J219&gt;H$2,'ProductSprint Backlog'!$I219&lt;=H$2), 'ProductSprint Backlog'!$F219 / MAX(1, 'ProductSprint Backlog'!$J219-'ProductSprint Backlog'!$I219), AND('ProductSprint Backlog'!$J219=H$2,'ProductSprint Backlog'!$I219=H$2), 'ProductSprint Backlog'!$F219, TRUE, 0)</f>
        <v>0</v>
      </c>
      <c r="I219" s="4" cm="1">
        <f t="array" ref="I219">_xlfn.IFS('ProductSprint Backlog'!$F219="", "", AND('ProductSprint Backlog'!$J219&gt;I$2,'ProductSprint Backlog'!$I219&lt;=I$2), 'ProductSprint Backlog'!$F219 / MAX(1, 'ProductSprint Backlog'!$J219-'ProductSprint Backlog'!$I219), AND('ProductSprint Backlog'!$J219=I$2,'ProductSprint Backlog'!$I219=I$2), 'ProductSprint Backlog'!$F219, TRUE, 0)</f>
        <v>0</v>
      </c>
      <c r="J219" s="4" cm="1">
        <f t="array" ref="J219">_xlfn.IFS('ProductSprint Backlog'!$F219="", "", AND('ProductSprint Backlog'!$J219&gt;J$2,'ProductSprint Backlog'!$I219&lt;=J$2), 'ProductSprint Backlog'!$F219 / MAX(1, 'ProductSprint Backlog'!$J219-'ProductSprint Backlog'!$I219), AND('ProductSprint Backlog'!$J219=J$2,'ProductSprint Backlog'!$I219=J$2), 'ProductSprint Backlog'!$F219, TRUE, 0)</f>
        <v>0</v>
      </c>
      <c r="K219" s="4" cm="1">
        <f t="array" ref="K219">_xlfn.IFS('ProductSprint Backlog'!$F219="", "", AND('ProductSprint Backlog'!$J219&gt;K$2,'ProductSprint Backlog'!$I219&lt;=K$2), 'ProductSprint Backlog'!$F219 / MAX(1, 'ProductSprint Backlog'!$J219-'ProductSprint Backlog'!$I219), AND('ProductSprint Backlog'!$J219=K$2,'ProductSprint Backlog'!$I219=K$2), 'ProductSprint Backlog'!$F219, TRUE, 0)</f>
        <v>0</v>
      </c>
      <c r="L219" s="4" cm="1">
        <f t="array" ref="L219">_xlfn.IFS('ProductSprint Backlog'!$F219="", "", AND('ProductSprint Backlog'!$J219&gt;L$2,'ProductSprint Backlog'!$I219&lt;=L$2), 'ProductSprint Backlog'!$F219 / MAX(1, 'ProductSprint Backlog'!$J219-'ProductSprint Backlog'!$I219), AND('ProductSprint Backlog'!$J219=L$2,'ProductSprint Backlog'!$I219=L$2), 'ProductSprint Backlog'!$F219, TRUE, 0)</f>
        <v>0</v>
      </c>
      <c r="M219" s="4" cm="1">
        <f t="array" ref="M219">_xlfn.IFS('ProductSprint Backlog'!$F219="", "", AND('ProductSprint Backlog'!$J219&gt;M$2,'ProductSprint Backlog'!$I219&lt;=M$2), 'ProductSprint Backlog'!$F219 / MAX(1, 'ProductSprint Backlog'!$J219-'ProductSprint Backlog'!$I219), AND('ProductSprint Backlog'!$J219=M$2,'ProductSprint Backlog'!$I219=M$2), 'ProductSprint Backlog'!$F219, TRUE, 0)</f>
        <v>0</v>
      </c>
      <c r="N219" s="4" cm="1">
        <f t="array" ref="N219">_xlfn.IFS('ProductSprint Backlog'!$F219="", "", AND('ProductSprint Backlog'!$J219&gt;N$2,'ProductSprint Backlog'!$I219&lt;=N$2), 'ProductSprint Backlog'!$F219 / MAX(1, 'ProductSprint Backlog'!$J219-'ProductSprint Backlog'!$I219), AND('ProductSprint Backlog'!$J219=N$2,'ProductSprint Backlog'!$I219=N$2), 'ProductSprint Backlog'!$F219, TRUE, 0)</f>
        <v>0</v>
      </c>
      <c r="O219" s="4" cm="1">
        <f t="array" ref="O219">_xlfn.IFS('ProductSprint Backlog'!$F219="", "", AND('ProductSprint Backlog'!$J219&gt;O$2,'ProductSprint Backlog'!$I219&lt;=O$2), 'ProductSprint Backlog'!$F219 / MAX(1, 'ProductSprint Backlog'!$J219-'ProductSprint Backlog'!$I219), AND('ProductSprint Backlog'!$J219=O$2,'ProductSprint Backlog'!$I219=O$2), 'ProductSprint Backlog'!$F219, TRUE, 0)</f>
        <v>0</v>
      </c>
      <c r="P219" s="4" cm="1">
        <f t="array" ref="P219">_xlfn.IFS('ProductSprint Backlog'!$F219="", "", AND('ProductSprint Backlog'!$J219&gt;P$2,'ProductSprint Backlog'!$I219&lt;=P$2), 'ProductSprint Backlog'!$F219 / MAX(1, 'ProductSprint Backlog'!$J219-'ProductSprint Backlog'!$I219), AND('ProductSprint Backlog'!$J219=P$2,'ProductSprint Backlog'!$I219=P$2), 'ProductSprint Backlog'!$F219, TRUE, 0)</f>
        <v>0</v>
      </c>
      <c r="Q219" s="4" cm="1">
        <f t="array" ref="Q219">_xlfn.IFS('ProductSprint Backlog'!$F219="", "", AND('ProductSprint Backlog'!$J219&gt;Q$2,'ProductSprint Backlog'!$I219&lt;=Q$2), 'ProductSprint Backlog'!$F219 / MAX(1, 'ProductSprint Backlog'!$J219-'ProductSprint Backlog'!$I219), AND('ProductSprint Backlog'!$J219=Q$2,'ProductSprint Backlog'!$I219=Q$2), 'ProductSprint Backlog'!$F219, TRUE, 0)</f>
        <v>0</v>
      </c>
    </row>
    <row r="220" spans="2:17" x14ac:dyDescent="0.2">
      <c r="B220" s="4" cm="1">
        <f t="array" ref="B220">_xlfn.IFS('ProductSprint Backlog'!$F220="", "", AND('ProductSprint Backlog'!$J220&gt;B$2,'ProductSprint Backlog'!$I220&lt;=B$2), 'ProductSprint Backlog'!$F220 / MAX(1, 'ProductSprint Backlog'!$J220-'ProductSprint Backlog'!$I220), AND('ProductSprint Backlog'!$J220=B$2,'ProductSprint Backlog'!$I220=B$2), 'ProductSprint Backlog'!$F220, TRUE, 0)</f>
        <v>0</v>
      </c>
      <c r="C220" s="4" cm="1">
        <f t="array" ref="C220">_xlfn.IFS('ProductSprint Backlog'!$F220="", "", AND('ProductSprint Backlog'!$J220&gt;C$2,'ProductSprint Backlog'!$I220&lt;=C$2), 'ProductSprint Backlog'!$F220 / MAX(1, 'ProductSprint Backlog'!$J220-'ProductSprint Backlog'!$I220), AND('ProductSprint Backlog'!$J220=C$2,'ProductSprint Backlog'!$I220=C$2), 'ProductSprint Backlog'!$F220, TRUE, 0)</f>
        <v>0</v>
      </c>
      <c r="D220" s="4" cm="1">
        <f t="array" ref="D220">_xlfn.IFS('ProductSprint Backlog'!$F220="", "", AND('ProductSprint Backlog'!$J220&gt;D$2,'ProductSprint Backlog'!$I220&lt;=D$2), 'ProductSprint Backlog'!$F220 / MAX(1, 'ProductSprint Backlog'!$J220-'ProductSprint Backlog'!$I220), AND('ProductSprint Backlog'!$J220=D$2,'ProductSprint Backlog'!$I220=D$2), 'ProductSprint Backlog'!$F220, TRUE, 0)</f>
        <v>0</v>
      </c>
      <c r="E220" s="4" cm="1">
        <f t="array" ref="E220">_xlfn.IFS('ProductSprint Backlog'!$F220="", "", AND('ProductSprint Backlog'!$J220&gt;E$2,'ProductSprint Backlog'!$I220&lt;=E$2), 'ProductSprint Backlog'!$F220 / MAX(1, 'ProductSprint Backlog'!$J220-'ProductSprint Backlog'!$I220), AND('ProductSprint Backlog'!$J220=E$2,'ProductSprint Backlog'!$I220=E$2), 'ProductSprint Backlog'!$F220, TRUE, 0)</f>
        <v>0</v>
      </c>
      <c r="F220" s="4" cm="1">
        <f t="array" ref="F220">_xlfn.IFS('ProductSprint Backlog'!$F220="", "", AND('ProductSprint Backlog'!$J220&gt;F$2,'ProductSprint Backlog'!$I220&lt;=F$2), 'ProductSprint Backlog'!$F220 / MAX(1, 'ProductSprint Backlog'!$J220-'ProductSprint Backlog'!$I220), AND('ProductSprint Backlog'!$J220=F$2,'ProductSprint Backlog'!$I220=F$2), 'ProductSprint Backlog'!$F220, TRUE, 0)</f>
        <v>0</v>
      </c>
      <c r="G220" s="4" cm="1">
        <f t="array" ref="G220">_xlfn.IFS('ProductSprint Backlog'!$F220="", "", AND('ProductSprint Backlog'!$J220&gt;G$2,'ProductSprint Backlog'!$I220&lt;=G$2), 'ProductSprint Backlog'!$F220 / MAX(1, 'ProductSprint Backlog'!$J220-'ProductSprint Backlog'!$I220), AND('ProductSprint Backlog'!$J220=G$2,'ProductSprint Backlog'!$I220=G$2), 'ProductSprint Backlog'!$F220, TRUE, 0)</f>
        <v>0</v>
      </c>
      <c r="H220" s="4" cm="1">
        <f t="array" ref="H220">_xlfn.IFS('ProductSprint Backlog'!$F220="", "", AND('ProductSprint Backlog'!$J220&gt;H$2,'ProductSprint Backlog'!$I220&lt;=H$2), 'ProductSprint Backlog'!$F220 / MAX(1, 'ProductSprint Backlog'!$J220-'ProductSprint Backlog'!$I220), AND('ProductSprint Backlog'!$J220=H$2,'ProductSprint Backlog'!$I220=H$2), 'ProductSprint Backlog'!$F220, TRUE, 0)</f>
        <v>0</v>
      </c>
      <c r="I220" s="4" cm="1">
        <f t="array" ref="I220">_xlfn.IFS('ProductSprint Backlog'!$F220="", "", AND('ProductSprint Backlog'!$J220&gt;I$2,'ProductSprint Backlog'!$I220&lt;=I$2), 'ProductSprint Backlog'!$F220 / MAX(1, 'ProductSprint Backlog'!$J220-'ProductSprint Backlog'!$I220), AND('ProductSprint Backlog'!$J220=I$2,'ProductSprint Backlog'!$I220=I$2), 'ProductSprint Backlog'!$F220, TRUE, 0)</f>
        <v>0</v>
      </c>
      <c r="J220" s="4" cm="1">
        <f t="array" ref="J220">_xlfn.IFS('ProductSprint Backlog'!$F220="", "", AND('ProductSprint Backlog'!$J220&gt;J$2,'ProductSprint Backlog'!$I220&lt;=J$2), 'ProductSprint Backlog'!$F220 / MAX(1, 'ProductSprint Backlog'!$J220-'ProductSprint Backlog'!$I220), AND('ProductSprint Backlog'!$J220=J$2,'ProductSprint Backlog'!$I220=J$2), 'ProductSprint Backlog'!$F220, TRUE, 0)</f>
        <v>0</v>
      </c>
      <c r="K220" s="4" cm="1">
        <f t="array" ref="K220">_xlfn.IFS('ProductSprint Backlog'!$F220="", "", AND('ProductSprint Backlog'!$J220&gt;K$2,'ProductSprint Backlog'!$I220&lt;=K$2), 'ProductSprint Backlog'!$F220 / MAX(1, 'ProductSprint Backlog'!$J220-'ProductSprint Backlog'!$I220), AND('ProductSprint Backlog'!$J220=K$2,'ProductSprint Backlog'!$I220=K$2), 'ProductSprint Backlog'!$F220, TRUE, 0)</f>
        <v>0</v>
      </c>
      <c r="L220" s="4" cm="1">
        <f t="array" ref="L220">_xlfn.IFS('ProductSprint Backlog'!$F220="", "", AND('ProductSprint Backlog'!$J220&gt;L$2,'ProductSprint Backlog'!$I220&lt;=L$2), 'ProductSprint Backlog'!$F220 / MAX(1, 'ProductSprint Backlog'!$J220-'ProductSprint Backlog'!$I220), AND('ProductSprint Backlog'!$J220=L$2,'ProductSprint Backlog'!$I220=L$2), 'ProductSprint Backlog'!$F220, TRUE, 0)</f>
        <v>0</v>
      </c>
      <c r="M220" s="4" cm="1">
        <f t="array" ref="M220">_xlfn.IFS('ProductSprint Backlog'!$F220="", "", AND('ProductSprint Backlog'!$J220&gt;M$2,'ProductSprint Backlog'!$I220&lt;=M$2), 'ProductSprint Backlog'!$F220 / MAX(1, 'ProductSprint Backlog'!$J220-'ProductSprint Backlog'!$I220), AND('ProductSprint Backlog'!$J220=M$2,'ProductSprint Backlog'!$I220=M$2), 'ProductSprint Backlog'!$F220, TRUE, 0)</f>
        <v>0</v>
      </c>
      <c r="N220" s="4" cm="1">
        <f t="array" ref="N220">_xlfn.IFS('ProductSprint Backlog'!$F220="", "", AND('ProductSprint Backlog'!$J220&gt;N$2,'ProductSprint Backlog'!$I220&lt;=N$2), 'ProductSprint Backlog'!$F220 / MAX(1, 'ProductSprint Backlog'!$J220-'ProductSprint Backlog'!$I220), AND('ProductSprint Backlog'!$J220=N$2,'ProductSprint Backlog'!$I220=N$2), 'ProductSprint Backlog'!$F220, TRUE, 0)</f>
        <v>0</v>
      </c>
      <c r="O220" s="4" cm="1">
        <f t="array" ref="O220">_xlfn.IFS('ProductSprint Backlog'!$F220="", "", AND('ProductSprint Backlog'!$J220&gt;O$2,'ProductSprint Backlog'!$I220&lt;=O$2), 'ProductSprint Backlog'!$F220 / MAX(1, 'ProductSprint Backlog'!$J220-'ProductSprint Backlog'!$I220), AND('ProductSprint Backlog'!$J220=O$2,'ProductSprint Backlog'!$I220=O$2), 'ProductSprint Backlog'!$F220, TRUE, 0)</f>
        <v>0</v>
      </c>
      <c r="P220" s="4" cm="1">
        <f t="array" ref="P220">_xlfn.IFS('ProductSprint Backlog'!$F220="", "", AND('ProductSprint Backlog'!$J220&gt;P$2,'ProductSprint Backlog'!$I220&lt;=P$2), 'ProductSprint Backlog'!$F220 / MAX(1, 'ProductSprint Backlog'!$J220-'ProductSprint Backlog'!$I220), AND('ProductSprint Backlog'!$J220=P$2,'ProductSprint Backlog'!$I220=P$2), 'ProductSprint Backlog'!$F220, TRUE, 0)</f>
        <v>0</v>
      </c>
      <c r="Q220" s="4" cm="1">
        <f t="array" ref="Q220">_xlfn.IFS('ProductSprint Backlog'!$F220="", "", AND('ProductSprint Backlog'!$J220&gt;Q$2,'ProductSprint Backlog'!$I220&lt;=Q$2), 'ProductSprint Backlog'!$F220 / MAX(1, 'ProductSprint Backlog'!$J220-'ProductSprint Backlog'!$I220), AND('ProductSprint Backlog'!$J220=Q$2,'ProductSprint Backlog'!$I220=Q$2), 'ProductSprint Backlog'!$F220, TRUE, 0)</f>
        <v>0</v>
      </c>
    </row>
    <row r="221" spans="2:17" x14ac:dyDescent="0.2">
      <c r="B221" s="4" cm="1">
        <f t="array" ref="B221">_xlfn.IFS('ProductSprint Backlog'!$F221="", "", AND('ProductSprint Backlog'!$J221&gt;B$2,'ProductSprint Backlog'!$I221&lt;=B$2), 'ProductSprint Backlog'!$F221 / MAX(1, 'ProductSprint Backlog'!$J221-'ProductSprint Backlog'!$I221), AND('ProductSprint Backlog'!$J221=B$2,'ProductSprint Backlog'!$I221=B$2), 'ProductSprint Backlog'!$F221, TRUE, 0)</f>
        <v>0</v>
      </c>
      <c r="C221" s="4" cm="1">
        <f t="array" ref="C221">_xlfn.IFS('ProductSprint Backlog'!$F221="", "", AND('ProductSprint Backlog'!$J221&gt;C$2,'ProductSprint Backlog'!$I221&lt;=C$2), 'ProductSprint Backlog'!$F221 / MAX(1, 'ProductSprint Backlog'!$J221-'ProductSprint Backlog'!$I221), AND('ProductSprint Backlog'!$J221=C$2,'ProductSprint Backlog'!$I221=C$2), 'ProductSprint Backlog'!$F221, TRUE, 0)</f>
        <v>0</v>
      </c>
      <c r="D221" s="4" cm="1">
        <f t="array" ref="D221">_xlfn.IFS('ProductSprint Backlog'!$F221="", "", AND('ProductSprint Backlog'!$J221&gt;D$2,'ProductSprint Backlog'!$I221&lt;=D$2), 'ProductSprint Backlog'!$F221 / MAX(1, 'ProductSprint Backlog'!$J221-'ProductSprint Backlog'!$I221), AND('ProductSprint Backlog'!$J221=D$2,'ProductSprint Backlog'!$I221=D$2), 'ProductSprint Backlog'!$F221, TRUE, 0)</f>
        <v>0</v>
      </c>
      <c r="E221" s="4" cm="1">
        <f t="array" ref="E221">_xlfn.IFS('ProductSprint Backlog'!$F221="", "", AND('ProductSprint Backlog'!$J221&gt;E$2,'ProductSprint Backlog'!$I221&lt;=E$2), 'ProductSprint Backlog'!$F221 / MAX(1, 'ProductSprint Backlog'!$J221-'ProductSprint Backlog'!$I221), AND('ProductSprint Backlog'!$J221=E$2,'ProductSprint Backlog'!$I221=E$2), 'ProductSprint Backlog'!$F221, TRUE, 0)</f>
        <v>0</v>
      </c>
      <c r="F221" s="4" cm="1">
        <f t="array" ref="F221">_xlfn.IFS('ProductSprint Backlog'!$F221="", "", AND('ProductSprint Backlog'!$J221&gt;F$2,'ProductSprint Backlog'!$I221&lt;=F$2), 'ProductSprint Backlog'!$F221 / MAX(1, 'ProductSprint Backlog'!$J221-'ProductSprint Backlog'!$I221), AND('ProductSprint Backlog'!$J221=F$2,'ProductSprint Backlog'!$I221=F$2), 'ProductSprint Backlog'!$F221, TRUE, 0)</f>
        <v>0</v>
      </c>
      <c r="G221" s="4" cm="1">
        <f t="array" ref="G221">_xlfn.IFS('ProductSprint Backlog'!$F221="", "", AND('ProductSprint Backlog'!$J221&gt;G$2,'ProductSprint Backlog'!$I221&lt;=G$2), 'ProductSprint Backlog'!$F221 / MAX(1, 'ProductSprint Backlog'!$J221-'ProductSprint Backlog'!$I221), AND('ProductSprint Backlog'!$J221=G$2,'ProductSprint Backlog'!$I221=G$2), 'ProductSprint Backlog'!$F221, TRUE, 0)</f>
        <v>0</v>
      </c>
      <c r="H221" s="4" cm="1">
        <f t="array" ref="H221">_xlfn.IFS('ProductSprint Backlog'!$F221="", "", AND('ProductSprint Backlog'!$J221&gt;H$2,'ProductSprint Backlog'!$I221&lt;=H$2), 'ProductSprint Backlog'!$F221 / MAX(1, 'ProductSprint Backlog'!$J221-'ProductSprint Backlog'!$I221), AND('ProductSprint Backlog'!$J221=H$2,'ProductSprint Backlog'!$I221=H$2), 'ProductSprint Backlog'!$F221, TRUE, 0)</f>
        <v>0</v>
      </c>
      <c r="I221" s="4" cm="1">
        <f t="array" ref="I221">_xlfn.IFS('ProductSprint Backlog'!$F221="", "", AND('ProductSprint Backlog'!$J221&gt;I$2,'ProductSprint Backlog'!$I221&lt;=I$2), 'ProductSprint Backlog'!$F221 / MAX(1, 'ProductSprint Backlog'!$J221-'ProductSprint Backlog'!$I221), AND('ProductSprint Backlog'!$J221=I$2,'ProductSprint Backlog'!$I221=I$2), 'ProductSprint Backlog'!$F221, TRUE, 0)</f>
        <v>0</v>
      </c>
      <c r="J221" s="4" cm="1">
        <f t="array" ref="J221">_xlfn.IFS('ProductSprint Backlog'!$F221="", "", AND('ProductSprint Backlog'!$J221&gt;J$2,'ProductSprint Backlog'!$I221&lt;=J$2), 'ProductSprint Backlog'!$F221 / MAX(1, 'ProductSprint Backlog'!$J221-'ProductSprint Backlog'!$I221), AND('ProductSprint Backlog'!$J221=J$2,'ProductSprint Backlog'!$I221=J$2), 'ProductSprint Backlog'!$F221, TRUE, 0)</f>
        <v>0</v>
      </c>
      <c r="K221" s="4" cm="1">
        <f t="array" ref="K221">_xlfn.IFS('ProductSprint Backlog'!$F221="", "", AND('ProductSprint Backlog'!$J221&gt;K$2,'ProductSprint Backlog'!$I221&lt;=K$2), 'ProductSprint Backlog'!$F221 / MAX(1, 'ProductSprint Backlog'!$J221-'ProductSprint Backlog'!$I221), AND('ProductSprint Backlog'!$J221=K$2,'ProductSprint Backlog'!$I221=K$2), 'ProductSprint Backlog'!$F221, TRUE, 0)</f>
        <v>0</v>
      </c>
      <c r="L221" s="4" cm="1">
        <f t="array" ref="L221">_xlfn.IFS('ProductSprint Backlog'!$F221="", "", AND('ProductSprint Backlog'!$J221&gt;L$2,'ProductSprint Backlog'!$I221&lt;=L$2), 'ProductSprint Backlog'!$F221 / MAX(1, 'ProductSprint Backlog'!$J221-'ProductSprint Backlog'!$I221), AND('ProductSprint Backlog'!$J221=L$2,'ProductSprint Backlog'!$I221=L$2), 'ProductSprint Backlog'!$F221, TRUE, 0)</f>
        <v>0</v>
      </c>
      <c r="M221" s="4" cm="1">
        <f t="array" ref="M221">_xlfn.IFS('ProductSprint Backlog'!$F221="", "", AND('ProductSprint Backlog'!$J221&gt;M$2,'ProductSprint Backlog'!$I221&lt;=M$2), 'ProductSprint Backlog'!$F221 / MAX(1, 'ProductSprint Backlog'!$J221-'ProductSprint Backlog'!$I221), AND('ProductSprint Backlog'!$J221=M$2,'ProductSprint Backlog'!$I221=M$2), 'ProductSprint Backlog'!$F221, TRUE, 0)</f>
        <v>0</v>
      </c>
      <c r="N221" s="4" cm="1">
        <f t="array" ref="N221">_xlfn.IFS('ProductSprint Backlog'!$F221="", "", AND('ProductSprint Backlog'!$J221&gt;N$2,'ProductSprint Backlog'!$I221&lt;=N$2), 'ProductSprint Backlog'!$F221 / MAX(1, 'ProductSprint Backlog'!$J221-'ProductSprint Backlog'!$I221), AND('ProductSprint Backlog'!$J221=N$2,'ProductSprint Backlog'!$I221=N$2), 'ProductSprint Backlog'!$F221, TRUE, 0)</f>
        <v>0</v>
      </c>
      <c r="O221" s="4" cm="1">
        <f t="array" ref="O221">_xlfn.IFS('ProductSprint Backlog'!$F221="", "", AND('ProductSprint Backlog'!$J221&gt;O$2,'ProductSprint Backlog'!$I221&lt;=O$2), 'ProductSprint Backlog'!$F221 / MAX(1, 'ProductSprint Backlog'!$J221-'ProductSprint Backlog'!$I221), AND('ProductSprint Backlog'!$J221=O$2,'ProductSprint Backlog'!$I221=O$2), 'ProductSprint Backlog'!$F221, TRUE, 0)</f>
        <v>0</v>
      </c>
      <c r="P221" s="4" cm="1">
        <f t="array" ref="P221">_xlfn.IFS('ProductSprint Backlog'!$F221="", "", AND('ProductSprint Backlog'!$J221&gt;P$2,'ProductSprint Backlog'!$I221&lt;=P$2), 'ProductSprint Backlog'!$F221 / MAX(1, 'ProductSprint Backlog'!$J221-'ProductSprint Backlog'!$I221), AND('ProductSprint Backlog'!$J221=P$2,'ProductSprint Backlog'!$I221=P$2), 'ProductSprint Backlog'!$F221, TRUE, 0)</f>
        <v>0</v>
      </c>
      <c r="Q221" s="4" cm="1">
        <f t="array" ref="Q221">_xlfn.IFS('ProductSprint Backlog'!$F221="", "", AND('ProductSprint Backlog'!$J221&gt;Q$2,'ProductSprint Backlog'!$I221&lt;=Q$2), 'ProductSprint Backlog'!$F221 / MAX(1, 'ProductSprint Backlog'!$J221-'ProductSprint Backlog'!$I221), AND('ProductSprint Backlog'!$J221=Q$2,'ProductSprint Backlog'!$I221=Q$2), 'ProductSprint Backlog'!$F221, TRUE, 0)</f>
        <v>0</v>
      </c>
    </row>
    <row r="222" spans="2:17" x14ac:dyDescent="0.2">
      <c r="B222" s="4" cm="1">
        <f t="array" ref="B222">_xlfn.IFS('ProductSprint Backlog'!$F222="", "", AND('ProductSprint Backlog'!$J222&gt;B$2,'ProductSprint Backlog'!$I222&lt;=B$2), 'ProductSprint Backlog'!$F222 / MAX(1, 'ProductSprint Backlog'!$J222-'ProductSprint Backlog'!$I222), AND('ProductSprint Backlog'!$J222=B$2,'ProductSprint Backlog'!$I222=B$2), 'ProductSprint Backlog'!$F222, TRUE, 0)</f>
        <v>0</v>
      </c>
      <c r="C222" s="4" cm="1">
        <f t="array" ref="C222">_xlfn.IFS('ProductSprint Backlog'!$F222="", "", AND('ProductSprint Backlog'!$J222&gt;C$2,'ProductSprint Backlog'!$I222&lt;=C$2), 'ProductSprint Backlog'!$F222 / MAX(1, 'ProductSprint Backlog'!$J222-'ProductSprint Backlog'!$I222), AND('ProductSprint Backlog'!$J222=C$2,'ProductSprint Backlog'!$I222=C$2), 'ProductSprint Backlog'!$F222, TRUE, 0)</f>
        <v>0</v>
      </c>
      <c r="D222" s="4" cm="1">
        <f t="array" ref="D222">_xlfn.IFS('ProductSprint Backlog'!$F222="", "", AND('ProductSprint Backlog'!$J222&gt;D$2,'ProductSprint Backlog'!$I222&lt;=D$2), 'ProductSprint Backlog'!$F222 / MAX(1, 'ProductSprint Backlog'!$J222-'ProductSprint Backlog'!$I222), AND('ProductSprint Backlog'!$J222=D$2,'ProductSprint Backlog'!$I222=D$2), 'ProductSprint Backlog'!$F222, TRUE, 0)</f>
        <v>0</v>
      </c>
      <c r="E222" s="4" cm="1">
        <f t="array" ref="E222">_xlfn.IFS('ProductSprint Backlog'!$F222="", "", AND('ProductSprint Backlog'!$J222&gt;E$2,'ProductSprint Backlog'!$I222&lt;=E$2), 'ProductSprint Backlog'!$F222 / MAX(1, 'ProductSprint Backlog'!$J222-'ProductSprint Backlog'!$I222), AND('ProductSprint Backlog'!$J222=E$2,'ProductSprint Backlog'!$I222=E$2), 'ProductSprint Backlog'!$F222, TRUE, 0)</f>
        <v>0</v>
      </c>
      <c r="F222" s="4" cm="1">
        <f t="array" ref="F222">_xlfn.IFS('ProductSprint Backlog'!$F222="", "", AND('ProductSprint Backlog'!$J222&gt;F$2,'ProductSprint Backlog'!$I222&lt;=F$2), 'ProductSprint Backlog'!$F222 / MAX(1, 'ProductSprint Backlog'!$J222-'ProductSprint Backlog'!$I222), AND('ProductSprint Backlog'!$J222=F$2,'ProductSprint Backlog'!$I222=F$2), 'ProductSprint Backlog'!$F222, TRUE, 0)</f>
        <v>0</v>
      </c>
      <c r="G222" s="4" cm="1">
        <f t="array" ref="G222">_xlfn.IFS('ProductSprint Backlog'!$F222="", "", AND('ProductSprint Backlog'!$J222&gt;G$2,'ProductSprint Backlog'!$I222&lt;=G$2), 'ProductSprint Backlog'!$F222 / MAX(1, 'ProductSprint Backlog'!$J222-'ProductSprint Backlog'!$I222), AND('ProductSprint Backlog'!$J222=G$2,'ProductSprint Backlog'!$I222=G$2), 'ProductSprint Backlog'!$F222, TRUE, 0)</f>
        <v>0</v>
      </c>
      <c r="H222" s="4" cm="1">
        <f t="array" ref="H222">_xlfn.IFS('ProductSprint Backlog'!$F222="", "", AND('ProductSprint Backlog'!$J222&gt;H$2,'ProductSprint Backlog'!$I222&lt;=H$2), 'ProductSprint Backlog'!$F222 / MAX(1, 'ProductSprint Backlog'!$J222-'ProductSprint Backlog'!$I222), AND('ProductSprint Backlog'!$J222=H$2,'ProductSprint Backlog'!$I222=H$2), 'ProductSprint Backlog'!$F222, TRUE, 0)</f>
        <v>0</v>
      </c>
      <c r="I222" s="4" cm="1">
        <f t="array" ref="I222">_xlfn.IFS('ProductSprint Backlog'!$F222="", "", AND('ProductSprint Backlog'!$J222&gt;I$2,'ProductSprint Backlog'!$I222&lt;=I$2), 'ProductSprint Backlog'!$F222 / MAX(1, 'ProductSprint Backlog'!$J222-'ProductSprint Backlog'!$I222), AND('ProductSprint Backlog'!$J222=I$2,'ProductSprint Backlog'!$I222=I$2), 'ProductSprint Backlog'!$F222, TRUE, 0)</f>
        <v>0</v>
      </c>
      <c r="J222" s="4" cm="1">
        <f t="array" ref="J222">_xlfn.IFS('ProductSprint Backlog'!$F222="", "", AND('ProductSprint Backlog'!$J222&gt;J$2,'ProductSprint Backlog'!$I222&lt;=J$2), 'ProductSprint Backlog'!$F222 / MAX(1, 'ProductSprint Backlog'!$J222-'ProductSprint Backlog'!$I222), AND('ProductSprint Backlog'!$J222=J$2,'ProductSprint Backlog'!$I222=J$2), 'ProductSprint Backlog'!$F222, TRUE, 0)</f>
        <v>0</v>
      </c>
      <c r="K222" s="4" cm="1">
        <f t="array" ref="K222">_xlfn.IFS('ProductSprint Backlog'!$F222="", "", AND('ProductSprint Backlog'!$J222&gt;K$2,'ProductSprint Backlog'!$I222&lt;=K$2), 'ProductSprint Backlog'!$F222 / MAX(1, 'ProductSprint Backlog'!$J222-'ProductSprint Backlog'!$I222), AND('ProductSprint Backlog'!$J222=K$2,'ProductSprint Backlog'!$I222=K$2), 'ProductSprint Backlog'!$F222, TRUE, 0)</f>
        <v>0</v>
      </c>
      <c r="L222" s="4" cm="1">
        <f t="array" ref="L222">_xlfn.IFS('ProductSprint Backlog'!$F222="", "", AND('ProductSprint Backlog'!$J222&gt;L$2,'ProductSprint Backlog'!$I222&lt;=L$2), 'ProductSprint Backlog'!$F222 / MAX(1, 'ProductSprint Backlog'!$J222-'ProductSprint Backlog'!$I222), AND('ProductSprint Backlog'!$J222=L$2,'ProductSprint Backlog'!$I222=L$2), 'ProductSprint Backlog'!$F222, TRUE, 0)</f>
        <v>0</v>
      </c>
      <c r="M222" s="4" cm="1">
        <f t="array" ref="M222">_xlfn.IFS('ProductSprint Backlog'!$F222="", "", AND('ProductSprint Backlog'!$J222&gt;M$2,'ProductSprint Backlog'!$I222&lt;=M$2), 'ProductSprint Backlog'!$F222 / MAX(1, 'ProductSprint Backlog'!$J222-'ProductSprint Backlog'!$I222), AND('ProductSprint Backlog'!$J222=M$2,'ProductSprint Backlog'!$I222=M$2), 'ProductSprint Backlog'!$F222, TRUE, 0)</f>
        <v>0</v>
      </c>
      <c r="N222" s="4" cm="1">
        <f t="array" ref="N222">_xlfn.IFS('ProductSprint Backlog'!$F222="", "", AND('ProductSprint Backlog'!$J222&gt;N$2,'ProductSprint Backlog'!$I222&lt;=N$2), 'ProductSprint Backlog'!$F222 / MAX(1, 'ProductSprint Backlog'!$J222-'ProductSprint Backlog'!$I222), AND('ProductSprint Backlog'!$J222=N$2,'ProductSprint Backlog'!$I222=N$2), 'ProductSprint Backlog'!$F222, TRUE, 0)</f>
        <v>0</v>
      </c>
      <c r="O222" s="4" cm="1">
        <f t="array" ref="O222">_xlfn.IFS('ProductSprint Backlog'!$F222="", "", AND('ProductSprint Backlog'!$J222&gt;O$2,'ProductSprint Backlog'!$I222&lt;=O$2), 'ProductSprint Backlog'!$F222 / MAX(1, 'ProductSprint Backlog'!$J222-'ProductSprint Backlog'!$I222), AND('ProductSprint Backlog'!$J222=O$2,'ProductSprint Backlog'!$I222=O$2), 'ProductSprint Backlog'!$F222, TRUE, 0)</f>
        <v>0</v>
      </c>
      <c r="P222" s="4" cm="1">
        <f t="array" ref="P222">_xlfn.IFS('ProductSprint Backlog'!$F222="", "", AND('ProductSprint Backlog'!$J222&gt;P$2,'ProductSprint Backlog'!$I222&lt;=P$2), 'ProductSprint Backlog'!$F222 / MAX(1, 'ProductSprint Backlog'!$J222-'ProductSprint Backlog'!$I222), AND('ProductSprint Backlog'!$J222=P$2,'ProductSprint Backlog'!$I222=P$2), 'ProductSprint Backlog'!$F222, TRUE, 0)</f>
        <v>0</v>
      </c>
      <c r="Q222" s="4" cm="1">
        <f t="array" ref="Q222">_xlfn.IFS('ProductSprint Backlog'!$F222="", "", AND('ProductSprint Backlog'!$J222&gt;Q$2,'ProductSprint Backlog'!$I222&lt;=Q$2), 'ProductSprint Backlog'!$F222 / MAX(1, 'ProductSprint Backlog'!$J222-'ProductSprint Backlog'!$I222), AND('ProductSprint Backlog'!$J222=Q$2,'ProductSprint Backlog'!$I222=Q$2), 'ProductSprint Backlog'!$F222, TRUE, 0)</f>
        <v>0</v>
      </c>
    </row>
    <row r="223" spans="2:17" x14ac:dyDescent="0.2">
      <c r="B223" s="4" cm="1">
        <f t="array" ref="B223">_xlfn.IFS('ProductSprint Backlog'!$F223="", "", AND('ProductSprint Backlog'!$J223&gt;B$2,'ProductSprint Backlog'!$I223&lt;=B$2), 'ProductSprint Backlog'!$F223 / MAX(1, 'ProductSprint Backlog'!$J223-'ProductSprint Backlog'!$I223), AND('ProductSprint Backlog'!$J223=B$2,'ProductSprint Backlog'!$I223=B$2), 'ProductSprint Backlog'!$F223, TRUE, 0)</f>
        <v>0</v>
      </c>
      <c r="C223" s="4" cm="1">
        <f t="array" ref="C223">_xlfn.IFS('ProductSprint Backlog'!$F223="", "", AND('ProductSprint Backlog'!$J223&gt;C$2,'ProductSprint Backlog'!$I223&lt;=C$2), 'ProductSprint Backlog'!$F223 / MAX(1, 'ProductSprint Backlog'!$J223-'ProductSprint Backlog'!$I223), AND('ProductSprint Backlog'!$J223=C$2,'ProductSprint Backlog'!$I223=C$2), 'ProductSprint Backlog'!$F223, TRUE, 0)</f>
        <v>0</v>
      </c>
      <c r="D223" s="4" cm="1">
        <f t="array" ref="D223">_xlfn.IFS('ProductSprint Backlog'!$F223="", "", AND('ProductSprint Backlog'!$J223&gt;D$2,'ProductSprint Backlog'!$I223&lt;=D$2), 'ProductSprint Backlog'!$F223 / MAX(1, 'ProductSprint Backlog'!$J223-'ProductSprint Backlog'!$I223), AND('ProductSprint Backlog'!$J223=D$2,'ProductSprint Backlog'!$I223=D$2), 'ProductSprint Backlog'!$F223, TRUE, 0)</f>
        <v>0</v>
      </c>
      <c r="E223" s="4" cm="1">
        <f t="array" ref="E223">_xlfn.IFS('ProductSprint Backlog'!$F223="", "", AND('ProductSprint Backlog'!$J223&gt;E$2,'ProductSprint Backlog'!$I223&lt;=E$2), 'ProductSprint Backlog'!$F223 / MAX(1, 'ProductSprint Backlog'!$J223-'ProductSprint Backlog'!$I223), AND('ProductSprint Backlog'!$J223=E$2,'ProductSprint Backlog'!$I223=E$2), 'ProductSprint Backlog'!$F223, TRUE, 0)</f>
        <v>0</v>
      </c>
      <c r="F223" s="4" cm="1">
        <f t="array" ref="F223">_xlfn.IFS('ProductSprint Backlog'!$F223="", "", AND('ProductSprint Backlog'!$J223&gt;F$2,'ProductSprint Backlog'!$I223&lt;=F$2), 'ProductSprint Backlog'!$F223 / MAX(1, 'ProductSprint Backlog'!$J223-'ProductSprint Backlog'!$I223), AND('ProductSprint Backlog'!$J223=F$2,'ProductSprint Backlog'!$I223=F$2), 'ProductSprint Backlog'!$F223, TRUE, 0)</f>
        <v>0</v>
      </c>
      <c r="G223" s="4" cm="1">
        <f t="array" ref="G223">_xlfn.IFS('ProductSprint Backlog'!$F223="", "", AND('ProductSprint Backlog'!$J223&gt;G$2,'ProductSprint Backlog'!$I223&lt;=G$2), 'ProductSprint Backlog'!$F223 / MAX(1, 'ProductSprint Backlog'!$J223-'ProductSprint Backlog'!$I223), AND('ProductSprint Backlog'!$J223=G$2,'ProductSprint Backlog'!$I223=G$2), 'ProductSprint Backlog'!$F223, TRUE, 0)</f>
        <v>0</v>
      </c>
      <c r="H223" s="4" cm="1">
        <f t="array" ref="H223">_xlfn.IFS('ProductSprint Backlog'!$F223="", "", AND('ProductSprint Backlog'!$J223&gt;H$2,'ProductSprint Backlog'!$I223&lt;=H$2), 'ProductSprint Backlog'!$F223 / MAX(1, 'ProductSprint Backlog'!$J223-'ProductSprint Backlog'!$I223), AND('ProductSprint Backlog'!$J223=H$2,'ProductSprint Backlog'!$I223=H$2), 'ProductSprint Backlog'!$F223, TRUE, 0)</f>
        <v>0</v>
      </c>
      <c r="I223" s="4" cm="1">
        <f t="array" ref="I223">_xlfn.IFS('ProductSprint Backlog'!$F223="", "", AND('ProductSprint Backlog'!$J223&gt;I$2,'ProductSprint Backlog'!$I223&lt;=I$2), 'ProductSprint Backlog'!$F223 / MAX(1, 'ProductSprint Backlog'!$J223-'ProductSprint Backlog'!$I223), AND('ProductSprint Backlog'!$J223=I$2,'ProductSprint Backlog'!$I223=I$2), 'ProductSprint Backlog'!$F223, TRUE, 0)</f>
        <v>0</v>
      </c>
      <c r="J223" s="4" cm="1">
        <f t="array" ref="J223">_xlfn.IFS('ProductSprint Backlog'!$F223="", "", AND('ProductSprint Backlog'!$J223&gt;J$2,'ProductSprint Backlog'!$I223&lt;=J$2), 'ProductSprint Backlog'!$F223 / MAX(1, 'ProductSprint Backlog'!$J223-'ProductSprint Backlog'!$I223), AND('ProductSprint Backlog'!$J223=J$2,'ProductSprint Backlog'!$I223=J$2), 'ProductSprint Backlog'!$F223, TRUE, 0)</f>
        <v>0</v>
      </c>
      <c r="K223" s="4" cm="1">
        <f t="array" ref="K223">_xlfn.IFS('ProductSprint Backlog'!$F223="", "", AND('ProductSprint Backlog'!$J223&gt;K$2,'ProductSprint Backlog'!$I223&lt;=K$2), 'ProductSprint Backlog'!$F223 / MAX(1, 'ProductSprint Backlog'!$J223-'ProductSprint Backlog'!$I223), AND('ProductSprint Backlog'!$J223=K$2,'ProductSprint Backlog'!$I223=K$2), 'ProductSprint Backlog'!$F223, TRUE, 0)</f>
        <v>0</v>
      </c>
      <c r="L223" s="4" cm="1">
        <f t="array" ref="L223">_xlfn.IFS('ProductSprint Backlog'!$F223="", "", AND('ProductSprint Backlog'!$J223&gt;L$2,'ProductSprint Backlog'!$I223&lt;=L$2), 'ProductSprint Backlog'!$F223 / MAX(1, 'ProductSprint Backlog'!$J223-'ProductSprint Backlog'!$I223), AND('ProductSprint Backlog'!$J223=L$2,'ProductSprint Backlog'!$I223=L$2), 'ProductSprint Backlog'!$F223, TRUE, 0)</f>
        <v>0</v>
      </c>
      <c r="M223" s="4" cm="1">
        <f t="array" ref="M223">_xlfn.IFS('ProductSprint Backlog'!$F223="", "", AND('ProductSprint Backlog'!$J223&gt;M$2,'ProductSprint Backlog'!$I223&lt;=M$2), 'ProductSprint Backlog'!$F223 / MAX(1, 'ProductSprint Backlog'!$J223-'ProductSprint Backlog'!$I223), AND('ProductSprint Backlog'!$J223=M$2,'ProductSprint Backlog'!$I223=M$2), 'ProductSprint Backlog'!$F223, TRUE, 0)</f>
        <v>0</v>
      </c>
      <c r="N223" s="4" cm="1">
        <f t="array" ref="N223">_xlfn.IFS('ProductSprint Backlog'!$F223="", "", AND('ProductSprint Backlog'!$J223&gt;N$2,'ProductSprint Backlog'!$I223&lt;=N$2), 'ProductSprint Backlog'!$F223 / MAX(1, 'ProductSprint Backlog'!$J223-'ProductSprint Backlog'!$I223), AND('ProductSprint Backlog'!$J223=N$2,'ProductSprint Backlog'!$I223=N$2), 'ProductSprint Backlog'!$F223, TRUE, 0)</f>
        <v>0</v>
      </c>
      <c r="O223" s="4" cm="1">
        <f t="array" ref="O223">_xlfn.IFS('ProductSprint Backlog'!$F223="", "", AND('ProductSprint Backlog'!$J223&gt;O$2,'ProductSprint Backlog'!$I223&lt;=O$2), 'ProductSprint Backlog'!$F223 / MAX(1, 'ProductSprint Backlog'!$J223-'ProductSprint Backlog'!$I223), AND('ProductSprint Backlog'!$J223=O$2,'ProductSprint Backlog'!$I223=O$2), 'ProductSprint Backlog'!$F223, TRUE, 0)</f>
        <v>0</v>
      </c>
      <c r="P223" s="4" cm="1">
        <f t="array" ref="P223">_xlfn.IFS('ProductSprint Backlog'!$F223="", "", AND('ProductSprint Backlog'!$J223&gt;P$2,'ProductSprint Backlog'!$I223&lt;=P$2), 'ProductSprint Backlog'!$F223 / MAX(1, 'ProductSprint Backlog'!$J223-'ProductSprint Backlog'!$I223), AND('ProductSprint Backlog'!$J223=P$2,'ProductSprint Backlog'!$I223=P$2), 'ProductSprint Backlog'!$F223, TRUE, 0)</f>
        <v>0</v>
      </c>
      <c r="Q223" s="4" cm="1">
        <f t="array" ref="Q223">_xlfn.IFS('ProductSprint Backlog'!$F223="", "", AND('ProductSprint Backlog'!$J223&gt;Q$2,'ProductSprint Backlog'!$I223&lt;=Q$2), 'ProductSprint Backlog'!$F223 / MAX(1, 'ProductSprint Backlog'!$J223-'ProductSprint Backlog'!$I223), AND('ProductSprint Backlog'!$J223=Q$2,'ProductSprint Backlog'!$I223=Q$2), 'ProductSprint Backlog'!$F223, TRUE, 0)</f>
        <v>0</v>
      </c>
    </row>
    <row r="224" spans="2:17" x14ac:dyDescent="0.2">
      <c r="B224" s="4" cm="1">
        <f t="array" ref="B224">_xlfn.IFS('ProductSprint Backlog'!$F224="", "", AND('ProductSprint Backlog'!$J224&gt;B$2,'ProductSprint Backlog'!$I224&lt;=B$2), 'ProductSprint Backlog'!$F224 / MAX(1, 'ProductSprint Backlog'!$J224-'ProductSprint Backlog'!$I224), AND('ProductSprint Backlog'!$J224=B$2,'ProductSprint Backlog'!$I224=B$2), 'ProductSprint Backlog'!$F224, TRUE, 0)</f>
        <v>0</v>
      </c>
      <c r="C224" s="4" cm="1">
        <f t="array" ref="C224">_xlfn.IFS('ProductSprint Backlog'!$F224="", "", AND('ProductSprint Backlog'!$J224&gt;C$2,'ProductSprint Backlog'!$I224&lt;=C$2), 'ProductSprint Backlog'!$F224 / MAX(1, 'ProductSprint Backlog'!$J224-'ProductSprint Backlog'!$I224), AND('ProductSprint Backlog'!$J224=C$2,'ProductSprint Backlog'!$I224=C$2), 'ProductSprint Backlog'!$F224, TRUE, 0)</f>
        <v>0</v>
      </c>
      <c r="D224" s="4" cm="1">
        <f t="array" ref="D224">_xlfn.IFS('ProductSprint Backlog'!$F224="", "", AND('ProductSprint Backlog'!$J224&gt;D$2,'ProductSprint Backlog'!$I224&lt;=D$2), 'ProductSprint Backlog'!$F224 / MAX(1, 'ProductSprint Backlog'!$J224-'ProductSprint Backlog'!$I224), AND('ProductSprint Backlog'!$J224=D$2,'ProductSprint Backlog'!$I224=D$2), 'ProductSprint Backlog'!$F224, TRUE, 0)</f>
        <v>0</v>
      </c>
      <c r="E224" s="4" cm="1">
        <f t="array" ref="E224">_xlfn.IFS('ProductSprint Backlog'!$F224="", "", AND('ProductSprint Backlog'!$J224&gt;E$2,'ProductSprint Backlog'!$I224&lt;=E$2), 'ProductSprint Backlog'!$F224 / MAX(1, 'ProductSprint Backlog'!$J224-'ProductSprint Backlog'!$I224), AND('ProductSprint Backlog'!$J224=E$2,'ProductSprint Backlog'!$I224=E$2), 'ProductSprint Backlog'!$F224, TRUE, 0)</f>
        <v>0</v>
      </c>
      <c r="F224" s="4" cm="1">
        <f t="array" ref="F224">_xlfn.IFS('ProductSprint Backlog'!$F224="", "", AND('ProductSprint Backlog'!$J224&gt;F$2,'ProductSprint Backlog'!$I224&lt;=F$2), 'ProductSprint Backlog'!$F224 / MAX(1, 'ProductSprint Backlog'!$J224-'ProductSprint Backlog'!$I224), AND('ProductSprint Backlog'!$J224=F$2,'ProductSprint Backlog'!$I224=F$2), 'ProductSprint Backlog'!$F224, TRUE, 0)</f>
        <v>0</v>
      </c>
      <c r="G224" s="4" cm="1">
        <f t="array" ref="G224">_xlfn.IFS('ProductSprint Backlog'!$F224="", "", AND('ProductSprint Backlog'!$J224&gt;G$2,'ProductSprint Backlog'!$I224&lt;=G$2), 'ProductSprint Backlog'!$F224 / MAX(1, 'ProductSprint Backlog'!$J224-'ProductSprint Backlog'!$I224), AND('ProductSprint Backlog'!$J224=G$2,'ProductSprint Backlog'!$I224=G$2), 'ProductSprint Backlog'!$F224, TRUE, 0)</f>
        <v>0</v>
      </c>
      <c r="H224" s="4" cm="1">
        <f t="array" ref="H224">_xlfn.IFS('ProductSprint Backlog'!$F224="", "", AND('ProductSprint Backlog'!$J224&gt;H$2,'ProductSprint Backlog'!$I224&lt;=H$2), 'ProductSprint Backlog'!$F224 / MAX(1, 'ProductSprint Backlog'!$J224-'ProductSprint Backlog'!$I224), AND('ProductSprint Backlog'!$J224=H$2,'ProductSprint Backlog'!$I224=H$2), 'ProductSprint Backlog'!$F224, TRUE, 0)</f>
        <v>0</v>
      </c>
      <c r="I224" s="4" cm="1">
        <f t="array" ref="I224">_xlfn.IFS('ProductSprint Backlog'!$F224="", "", AND('ProductSprint Backlog'!$J224&gt;I$2,'ProductSprint Backlog'!$I224&lt;=I$2), 'ProductSprint Backlog'!$F224 / MAX(1, 'ProductSprint Backlog'!$J224-'ProductSprint Backlog'!$I224), AND('ProductSprint Backlog'!$J224=I$2,'ProductSprint Backlog'!$I224=I$2), 'ProductSprint Backlog'!$F224, TRUE, 0)</f>
        <v>0</v>
      </c>
      <c r="J224" s="4" cm="1">
        <f t="array" ref="J224">_xlfn.IFS('ProductSprint Backlog'!$F224="", "", AND('ProductSprint Backlog'!$J224&gt;J$2,'ProductSprint Backlog'!$I224&lt;=J$2), 'ProductSprint Backlog'!$F224 / MAX(1, 'ProductSprint Backlog'!$J224-'ProductSprint Backlog'!$I224), AND('ProductSprint Backlog'!$J224=J$2,'ProductSprint Backlog'!$I224=J$2), 'ProductSprint Backlog'!$F224, TRUE, 0)</f>
        <v>0</v>
      </c>
      <c r="K224" s="4" cm="1">
        <f t="array" ref="K224">_xlfn.IFS('ProductSprint Backlog'!$F224="", "", AND('ProductSprint Backlog'!$J224&gt;K$2,'ProductSprint Backlog'!$I224&lt;=K$2), 'ProductSprint Backlog'!$F224 / MAX(1, 'ProductSprint Backlog'!$J224-'ProductSprint Backlog'!$I224), AND('ProductSprint Backlog'!$J224=K$2,'ProductSprint Backlog'!$I224=K$2), 'ProductSprint Backlog'!$F224, TRUE, 0)</f>
        <v>0</v>
      </c>
      <c r="L224" s="4" cm="1">
        <f t="array" ref="L224">_xlfn.IFS('ProductSprint Backlog'!$F224="", "", AND('ProductSprint Backlog'!$J224&gt;L$2,'ProductSprint Backlog'!$I224&lt;=L$2), 'ProductSprint Backlog'!$F224 / MAX(1, 'ProductSprint Backlog'!$J224-'ProductSprint Backlog'!$I224), AND('ProductSprint Backlog'!$J224=L$2,'ProductSprint Backlog'!$I224=L$2), 'ProductSprint Backlog'!$F224, TRUE, 0)</f>
        <v>0</v>
      </c>
      <c r="M224" s="4" cm="1">
        <f t="array" ref="M224">_xlfn.IFS('ProductSprint Backlog'!$F224="", "", AND('ProductSprint Backlog'!$J224&gt;M$2,'ProductSprint Backlog'!$I224&lt;=M$2), 'ProductSprint Backlog'!$F224 / MAX(1, 'ProductSprint Backlog'!$J224-'ProductSprint Backlog'!$I224), AND('ProductSprint Backlog'!$J224=M$2,'ProductSprint Backlog'!$I224=M$2), 'ProductSprint Backlog'!$F224, TRUE, 0)</f>
        <v>0</v>
      </c>
      <c r="N224" s="4" cm="1">
        <f t="array" ref="N224">_xlfn.IFS('ProductSprint Backlog'!$F224="", "", AND('ProductSprint Backlog'!$J224&gt;N$2,'ProductSprint Backlog'!$I224&lt;=N$2), 'ProductSprint Backlog'!$F224 / MAX(1, 'ProductSprint Backlog'!$J224-'ProductSprint Backlog'!$I224), AND('ProductSprint Backlog'!$J224=N$2,'ProductSprint Backlog'!$I224=N$2), 'ProductSprint Backlog'!$F224, TRUE, 0)</f>
        <v>0</v>
      </c>
      <c r="O224" s="4" cm="1">
        <f t="array" ref="O224">_xlfn.IFS('ProductSprint Backlog'!$F224="", "", AND('ProductSprint Backlog'!$J224&gt;O$2,'ProductSprint Backlog'!$I224&lt;=O$2), 'ProductSprint Backlog'!$F224 / MAX(1, 'ProductSprint Backlog'!$J224-'ProductSprint Backlog'!$I224), AND('ProductSprint Backlog'!$J224=O$2,'ProductSprint Backlog'!$I224=O$2), 'ProductSprint Backlog'!$F224, TRUE, 0)</f>
        <v>0</v>
      </c>
      <c r="P224" s="4" cm="1">
        <f t="array" ref="P224">_xlfn.IFS('ProductSprint Backlog'!$F224="", "", AND('ProductSprint Backlog'!$J224&gt;P$2,'ProductSprint Backlog'!$I224&lt;=P$2), 'ProductSprint Backlog'!$F224 / MAX(1, 'ProductSprint Backlog'!$J224-'ProductSprint Backlog'!$I224), AND('ProductSprint Backlog'!$J224=P$2,'ProductSprint Backlog'!$I224=P$2), 'ProductSprint Backlog'!$F224, TRUE, 0)</f>
        <v>0</v>
      </c>
      <c r="Q224" s="4" cm="1">
        <f t="array" ref="Q224">_xlfn.IFS('ProductSprint Backlog'!$F224="", "", AND('ProductSprint Backlog'!$J224&gt;Q$2,'ProductSprint Backlog'!$I224&lt;=Q$2), 'ProductSprint Backlog'!$F224 / MAX(1, 'ProductSprint Backlog'!$J224-'ProductSprint Backlog'!$I224), AND('ProductSprint Backlog'!$J224=Q$2,'ProductSprint Backlog'!$I224=Q$2), 'ProductSprint Backlog'!$F224, TRUE, 0)</f>
        <v>0</v>
      </c>
    </row>
    <row r="225" spans="2:17" x14ac:dyDescent="0.2">
      <c r="B225" s="4" cm="1">
        <f t="array" ref="B225">_xlfn.IFS('ProductSprint Backlog'!$F225="", "", AND('ProductSprint Backlog'!$J225&gt;B$2,'ProductSprint Backlog'!$I225&lt;=B$2), 'ProductSprint Backlog'!$F225 / MAX(1, 'ProductSprint Backlog'!$J225-'ProductSprint Backlog'!$I225), AND('ProductSprint Backlog'!$J225=B$2,'ProductSprint Backlog'!$I225=B$2), 'ProductSprint Backlog'!$F225, TRUE, 0)</f>
        <v>0</v>
      </c>
      <c r="C225" s="4" cm="1">
        <f t="array" ref="C225">_xlfn.IFS('ProductSprint Backlog'!$F225="", "", AND('ProductSprint Backlog'!$J225&gt;C$2,'ProductSprint Backlog'!$I225&lt;=C$2), 'ProductSprint Backlog'!$F225 / MAX(1, 'ProductSprint Backlog'!$J225-'ProductSprint Backlog'!$I225), AND('ProductSprint Backlog'!$J225=C$2,'ProductSprint Backlog'!$I225=C$2), 'ProductSprint Backlog'!$F225, TRUE, 0)</f>
        <v>0</v>
      </c>
      <c r="D225" s="4" cm="1">
        <f t="array" ref="D225">_xlfn.IFS('ProductSprint Backlog'!$F225="", "", AND('ProductSprint Backlog'!$J225&gt;D$2,'ProductSprint Backlog'!$I225&lt;=D$2), 'ProductSprint Backlog'!$F225 / MAX(1, 'ProductSprint Backlog'!$J225-'ProductSprint Backlog'!$I225), AND('ProductSprint Backlog'!$J225=D$2,'ProductSprint Backlog'!$I225=D$2), 'ProductSprint Backlog'!$F225, TRUE, 0)</f>
        <v>0</v>
      </c>
      <c r="E225" s="4" cm="1">
        <f t="array" ref="E225">_xlfn.IFS('ProductSprint Backlog'!$F225="", "", AND('ProductSprint Backlog'!$J225&gt;E$2,'ProductSprint Backlog'!$I225&lt;=E$2), 'ProductSprint Backlog'!$F225 / MAX(1, 'ProductSprint Backlog'!$J225-'ProductSprint Backlog'!$I225), AND('ProductSprint Backlog'!$J225=E$2,'ProductSprint Backlog'!$I225=E$2), 'ProductSprint Backlog'!$F225, TRUE, 0)</f>
        <v>0</v>
      </c>
      <c r="F225" s="4" cm="1">
        <f t="array" ref="F225">_xlfn.IFS('ProductSprint Backlog'!$F225="", "", AND('ProductSprint Backlog'!$J225&gt;F$2,'ProductSprint Backlog'!$I225&lt;=F$2), 'ProductSprint Backlog'!$F225 / MAX(1, 'ProductSprint Backlog'!$J225-'ProductSprint Backlog'!$I225), AND('ProductSprint Backlog'!$J225=F$2,'ProductSprint Backlog'!$I225=F$2), 'ProductSprint Backlog'!$F225, TRUE, 0)</f>
        <v>0</v>
      </c>
      <c r="G225" s="4" cm="1">
        <f t="array" ref="G225">_xlfn.IFS('ProductSprint Backlog'!$F225="", "", AND('ProductSprint Backlog'!$J225&gt;G$2,'ProductSprint Backlog'!$I225&lt;=G$2), 'ProductSprint Backlog'!$F225 / MAX(1, 'ProductSprint Backlog'!$J225-'ProductSprint Backlog'!$I225), AND('ProductSprint Backlog'!$J225=G$2,'ProductSprint Backlog'!$I225=G$2), 'ProductSprint Backlog'!$F225, TRUE, 0)</f>
        <v>0</v>
      </c>
      <c r="H225" s="4" cm="1">
        <f t="array" ref="H225">_xlfn.IFS('ProductSprint Backlog'!$F225="", "", AND('ProductSprint Backlog'!$J225&gt;H$2,'ProductSprint Backlog'!$I225&lt;=H$2), 'ProductSprint Backlog'!$F225 / MAX(1, 'ProductSprint Backlog'!$J225-'ProductSprint Backlog'!$I225), AND('ProductSprint Backlog'!$J225=H$2,'ProductSprint Backlog'!$I225=H$2), 'ProductSprint Backlog'!$F225, TRUE, 0)</f>
        <v>0</v>
      </c>
      <c r="I225" s="4" cm="1">
        <f t="array" ref="I225">_xlfn.IFS('ProductSprint Backlog'!$F225="", "", AND('ProductSprint Backlog'!$J225&gt;I$2,'ProductSprint Backlog'!$I225&lt;=I$2), 'ProductSprint Backlog'!$F225 / MAX(1, 'ProductSprint Backlog'!$J225-'ProductSprint Backlog'!$I225), AND('ProductSprint Backlog'!$J225=I$2,'ProductSprint Backlog'!$I225=I$2), 'ProductSprint Backlog'!$F225, TRUE, 0)</f>
        <v>0</v>
      </c>
      <c r="J225" s="4" cm="1">
        <f t="array" ref="J225">_xlfn.IFS('ProductSprint Backlog'!$F225="", "", AND('ProductSprint Backlog'!$J225&gt;J$2,'ProductSprint Backlog'!$I225&lt;=J$2), 'ProductSprint Backlog'!$F225 / MAX(1, 'ProductSprint Backlog'!$J225-'ProductSprint Backlog'!$I225), AND('ProductSprint Backlog'!$J225=J$2,'ProductSprint Backlog'!$I225=J$2), 'ProductSprint Backlog'!$F225, TRUE, 0)</f>
        <v>0</v>
      </c>
      <c r="K225" s="4" cm="1">
        <f t="array" ref="K225">_xlfn.IFS('ProductSprint Backlog'!$F225="", "", AND('ProductSprint Backlog'!$J225&gt;K$2,'ProductSprint Backlog'!$I225&lt;=K$2), 'ProductSprint Backlog'!$F225 / MAX(1, 'ProductSprint Backlog'!$J225-'ProductSprint Backlog'!$I225), AND('ProductSprint Backlog'!$J225=K$2,'ProductSprint Backlog'!$I225=K$2), 'ProductSprint Backlog'!$F225, TRUE, 0)</f>
        <v>0</v>
      </c>
      <c r="L225" s="4" cm="1">
        <f t="array" ref="L225">_xlfn.IFS('ProductSprint Backlog'!$F225="", "", AND('ProductSprint Backlog'!$J225&gt;L$2,'ProductSprint Backlog'!$I225&lt;=L$2), 'ProductSprint Backlog'!$F225 / MAX(1, 'ProductSprint Backlog'!$J225-'ProductSprint Backlog'!$I225), AND('ProductSprint Backlog'!$J225=L$2,'ProductSprint Backlog'!$I225=L$2), 'ProductSprint Backlog'!$F225, TRUE, 0)</f>
        <v>0</v>
      </c>
      <c r="M225" s="4" cm="1">
        <f t="array" ref="M225">_xlfn.IFS('ProductSprint Backlog'!$F225="", "", AND('ProductSprint Backlog'!$J225&gt;M$2,'ProductSprint Backlog'!$I225&lt;=M$2), 'ProductSprint Backlog'!$F225 / MAX(1, 'ProductSprint Backlog'!$J225-'ProductSprint Backlog'!$I225), AND('ProductSprint Backlog'!$J225=M$2,'ProductSprint Backlog'!$I225=M$2), 'ProductSprint Backlog'!$F225, TRUE, 0)</f>
        <v>0</v>
      </c>
      <c r="N225" s="4" cm="1">
        <f t="array" ref="N225">_xlfn.IFS('ProductSprint Backlog'!$F225="", "", AND('ProductSprint Backlog'!$J225&gt;N$2,'ProductSprint Backlog'!$I225&lt;=N$2), 'ProductSprint Backlog'!$F225 / MAX(1, 'ProductSprint Backlog'!$J225-'ProductSprint Backlog'!$I225), AND('ProductSprint Backlog'!$J225=N$2,'ProductSprint Backlog'!$I225=N$2), 'ProductSprint Backlog'!$F225, TRUE, 0)</f>
        <v>0</v>
      </c>
      <c r="O225" s="4" cm="1">
        <f t="array" ref="O225">_xlfn.IFS('ProductSprint Backlog'!$F225="", "", AND('ProductSprint Backlog'!$J225&gt;O$2,'ProductSprint Backlog'!$I225&lt;=O$2), 'ProductSprint Backlog'!$F225 / MAX(1, 'ProductSprint Backlog'!$J225-'ProductSprint Backlog'!$I225), AND('ProductSprint Backlog'!$J225=O$2,'ProductSprint Backlog'!$I225=O$2), 'ProductSprint Backlog'!$F225, TRUE, 0)</f>
        <v>0</v>
      </c>
      <c r="P225" s="4" cm="1">
        <f t="array" ref="P225">_xlfn.IFS('ProductSprint Backlog'!$F225="", "", AND('ProductSprint Backlog'!$J225&gt;P$2,'ProductSprint Backlog'!$I225&lt;=P$2), 'ProductSprint Backlog'!$F225 / MAX(1, 'ProductSprint Backlog'!$J225-'ProductSprint Backlog'!$I225), AND('ProductSprint Backlog'!$J225=P$2,'ProductSprint Backlog'!$I225=P$2), 'ProductSprint Backlog'!$F225, TRUE, 0)</f>
        <v>0</v>
      </c>
      <c r="Q225" s="4" cm="1">
        <f t="array" ref="Q225">_xlfn.IFS('ProductSprint Backlog'!$F225="", "", AND('ProductSprint Backlog'!$J225&gt;Q$2,'ProductSprint Backlog'!$I225&lt;=Q$2), 'ProductSprint Backlog'!$F225 / MAX(1, 'ProductSprint Backlog'!$J225-'ProductSprint Backlog'!$I225), AND('ProductSprint Backlog'!$J225=Q$2,'ProductSprint Backlog'!$I225=Q$2), 'ProductSprint Backlog'!$F225, TRUE, 0)</f>
        <v>0</v>
      </c>
    </row>
    <row r="226" spans="2:17" x14ac:dyDescent="0.2">
      <c r="B226" s="4" cm="1">
        <f t="array" ref="B226">_xlfn.IFS('ProductSprint Backlog'!$F226="", "", AND('ProductSprint Backlog'!$J226&gt;B$2,'ProductSprint Backlog'!$I226&lt;=B$2), 'ProductSprint Backlog'!$F226 / MAX(1, 'ProductSprint Backlog'!$J226-'ProductSprint Backlog'!$I226), AND('ProductSprint Backlog'!$J226=B$2,'ProductSprint Backlog'!$I226=B$2), 'ProductSprint Backlog'!$F226, TRUE, 0)</f>
        <v>0</v>
      </c>
      <c r="C226" s="4" cm="1">
        <f t="array" ref="C226">_xlfn.IFS('ProductSprint Backlog'!$F226="", "", AND('ProductSprint Backlog'!$J226&gt;C$2,'ProductSprint Backlog'!$I226&lt;=C$2), 'ProductSprint Backlog'!$F226 / MAX(1, 'ProductSprint Backlog'!$J226-'ProductSprint Backlog'!$I226), AND('ProductSprint Backlog'!$J226=C$2,'ProductSprint Backlog'!$I226=C$2), 'ProductSprint Backlog'!$F226, TRUE, 0)</f>
        <v>0</v>
      </c>
      <c r="D226" s="4" cm="1">
        <f t="array" ref="D226">_xlfn.IFS('ProductSprint Backlog'!$F226="", "", AND('ProductSprint Backlog'!$J226&gt;D$2,'ProductSprint Backlog'!$I226&lt;=D$2), 'ProductSprint Backlog'!$F226 / MAX(1, 'ProductSprint Backlog'!$J226-'ProductSprint Backlog'!$I226), AND('ProductSprint Backlog'!$J226=D$2,'ProductSprint Backlog'!$I226=D$2), 'ProductSprint Backlog'!$F226, TRUE, 0)</f>
        <v>0</v>
      </c>
      <c r="E226" s="4" cm="1">
        <f t="array" ref="E226">_xlfn.IFS('ProductSprint Backlog'!$F226="", "", AND('ProductSprint Backlog'!$J226&gt;E$2,'ProductSprint Backlog'!$I226&lt;=E$2), 'ProductSprint Backlog'!$F226 / MAX(1, 'ProductSprint Backlog'!$J226-'ProductSprint Backlog'!$I226), AND('ProductSprint Backlog'!$J226=E$2,'ProductSprint Backlog'!$I226=E$2), 'ProductSprint Backlog'!$F226, TRUE, 0)</f>
        <v>0</v>
      </c>
      <c r="F226" s="4" cm="1">
        <f t="array" ref="F226">_xlfn.IFS('ProductSprint Backlog'!$F226="", "", AND('ProductSprint Backlog'!$J226&gt;F$2,'ProductSprint Backlog'!$I226&lt;=F$2), 'ProductSprint Backlog'!$F226 / MAX(1, 'ProductSprint Backlog'!$J226-'ProductSprint Backlog'!$I226), AND('ProductSprint Backlog'!$J226=F$2,'ProductSprint Backlog'!$I226=F$2), 'ProductSprint Backlog'!$F226, TRUE, 0)</f>
        <v>0</v>
      </c>
      <c r="G226" s="4" cm="1">
        <f t="array" ref="G226">_xlfn.IFS('ProductSprint Backlog'!$F226="", "", AND('ProductSprint Backlog'!$J226&gt;G$2,'ProductSprint Backlog'!$I226&lt;=G$2), 'ProductSprint Backlog'!$F226 / MAX(1, 'ProductSprint Backlog'!$J226-'ProductSprint Backlog'!$I226), AND('ProductSprint Backlog'!$J226=G$2,'ProductSprint Backlog'!$I226=G$2), 'ProductSprint Backlog'!$F226, TRUE, 0)</f>
        <v>0</v>
      </c>
      <c r="H226" s="4" cm="1">
        <f t="array" ref="H226">_xlfn.IFS('ProductSprint Backlog'!$F226="", "", AND('ProductSprint Backlog'!$J226&gt;H$2,'ProductSprint Backlog'!$I226&lt;=H$2), 'ProductSprint Backlog'!$F226 / MAX(1, 'ProductSprint Backlog'!$J226-'ProductSprint Backlog'!$I226), AND('ProductSprint Backlog'!$J226=H$2,'ProductSprint Backlog'!$I226=H$2), 'ProductSprint Backlog'!$F226, TRUE, 0)</f>
        <v>0</v>
      </c>
      <c r="I226" s="4" cm="1">
        <f t="array" ref="I226">_xlfn.IFS('ProductSprint Backlog'!$F226="", "", AND('ProductSprint Backlog'!$J226&gt;I$2,'ProductSprint Backlog'!$I226&lt;=I$2), 'ProductSprint Backlog'!$F226 / MAX(1, 'ProductSprint Backlog'!$J226-'ProductSprint Backlog'!$I226), AND('ProductSprint Backlog'!$J226=I$2,'ProductSprint Backlog'!$I226=I$2), 'ProductSprint Backlog'!$F226, TRUE, 0)</f>
        <v>0</v>
      </c>
      <c r="J226" s="4" cm="1">
        <f t="array" ref="J226">_xlfn.IFS('ProductSprint Backlog'!$F226="", "", AND('ProductSprint Backlog'!$J226&gt;J$2,'ProductSprint Backlog'!$I226&lt;=J$2), 'ProductSprint Backlog'!$F226 / MAX(1, 'ProductSprint Backlog'!$J226-'ProductSprint Backlog'!$I226), AND('ProductSprint Backlog'!$J226=J$2,'ProductSprint Backlog'!$I226=J$2), 'ProductSprint Backlog'!$F226, TRUE, 0)</f>
        <v>0</v>
      </c>
      <c r="K226" s="4" cm="1">
        <f t="array" ref="K226">_xlfn.IFS('ProductSprint Backlog'!$F226="", "", AND('ProductSprint Backlog'!$J226&gt;K$2,'ProductSprint Backlog'!$I226&lt;=K$2), 'ProductSprint Backlog'!$F226 / MAX(1, 'ProductSprint Backlog'!$J226-'ProductSprint Backlog'!$I226), AND('ProductSprint Backlog'!$J226=K$2,'ProductSprint Backlog'!$I226=K$2), 'ProductSprint Backlog'!$F226, TRUE, 0)</f>
        <v>0</v>
      </c>
      <c r="L226" s="4" cm="1">
        <f t="array" ref="L226">_xlfn.IFS('ProductSprint Backlog'!$F226="", "", AND('ProductSprint Backlog'!$J226&gt;L$2,'ProductSprint Backlog'!$I226&lt;=L$2), 'ProductSprint Backlog'!$F226 / MAX(1, 'ProductSprint Backlog'!$J226-'ProductSprint Backlog'!$I226), AND('ProductSprint Backlog'!$J226=L$2,'ProductSprint Backlog'!$I226=L$2), 'ProductSprint Backlog'!$F226, TRUE, 0)</f>
        <v>0</v>
      </c>
      <c r="M226" s="4" cm="1">
        <f t="array" ref="M226">_xlfn.IFS('ProductSprint Backlog'!$F226="", "", AND('ProductSprint Backlog'!$J226&gt;M$2,'ProductSprint Backlog'!$I226&lt;=M$2), 'ProductSprint Backlog'!$F226 / MAX(1, 'ProductSprint Backlog'!$J226-'ProductSprint Backlog'!$I226), AND('ProductSprint Backlog'!$J226=M$2,'ProductSprint Backlog'!$I226=M$2), 'ProductSprint Backlog'!$F226, TRUE, 0)</f>
        <v>0</v>
      </c>
      <c r="N226" s="4" cm="1">
        <f t="array" ref="N226">_xlfn.IFS('ProductSprint Backlog'!$F226="", "", AND('ProductSprint Backlog'!$J226&gt;N$2,'ProductSprint Backlog'!$I226&lt;=N$2), 'ProductSprint Backlog'!$F226 / MAX(1, 'ProductSprint Backlog'!$J226-'ProductSprint Backlog'!$I226), AND('ProductSprint Backlog'!$J226=N$2,'ProductSprint Backlog'!$I226=N$2), 'ProductSprint Backlog'!$F226, TRUE, 0)</f>
        <v>0</v>
      </c>
      <c r="O226" s="4" cm="1">
        <f t="array" ref="O226">_xlfn.IFS('ProductSprint Backlog'!$F226="", "", AND('ProductSprint Backlog'!$J226&gt;O$2,'ProductSprint Backlog'!$I226&lt;=O$2), 'ProductSprint Backlog'!$F226 / MAX(1, 'ProductSprint Backlog'!$J226-'ProductSprint Backlog'!$I226), AND('ProductSprint Backlog'!$J226=O$2,'ProductSprint Backlog'!$I226=O$2), 'ProductSprint Backlog'!$F226, TRUE, 0)</f>
        <v>0</v>
      </c>
      <c r="P226" s="4" cm="1">
        <f t="array" ref="P226">_xlfn.IFS('ProductSprint Backlog'!$F226="", "", AND('ProductSprint Backlog'!$J226&gt;P$2,'ProductSprint Backlog'!$I226&lt;=P$2), 'ProductSprint Backlog'!$F226 / MAX(1, 'ProductSprint Backlog'!$J226-'ProductSprint Backlog'!$I226), AND('ProductSprint Backlog'!$J226=P$2,'ProductSprint Backlog'!$I226=P$2), 'ProductSprint Backlog'!$F226, TRUE, 0)</f>
        <v>0</v>
      </c>
      <c r="Q226" s="4" cm="1">
        <f t="array" ref="Q226">_xlfn.IFS('ProductSprint Backlog'!$F226="", "", AND('ProductSprint Backlog'!$J226&gt;Q$2,'ProductSprint Backlog'!$I226&lt;=Q$2), 'ProductSprint Backlog'!$F226 / MAX(1, 'ProductSprint Backlog'!$J226-'ProductSprint Backlog'!$I226), AND('ProductSprint Backlog'!$J226=Q$2,'ProductSprint Backlog'!$I226=Q$2), 'ProductSprint Backlog'!$F226, TRUE, 0)</f>
        <v>0</v>
      </c>
    </row>
    <row r="227" spans="2:17" x14ac:dyDescent="0.2">
      <c r="B227" s="4" cm="1">
        <f t="array" ref="B227">_xlfn.IFS('ProductSprint Backlog'!$F227="", "", AND('ProductSprint Backlog'!$J227&gt;B$2,'ProductSprint Backlog'!$I227&lt;=B$2), 'ProductSprint Backlog'!$F227 / MAX(1, 'ProductSprint Backlog'!$J227-'ProductSprint Backlog'!$I227), AND('ProductSprint Backlog'!$J227=B$2,'ProductSprint Backlog'!$I227=B$2), 'ProductSprint Backlog'!$F227, TRUE, 0)</f>
        <v>0</v>
      </c>
      <c r="C227" s="4" cm="1">
        <f t="array" ref="C227">_xlfn.IFS('ProductSprint Backlog'!$F227="", "", AND('ProductSprint Backlog'!$J227&gt;C$2,'ProductSprint Backlog'!$I227&lt;=C$2), 'ProductSprint Backlog'!$F227 / MAX(1, 'ProductSprint Backlog'!$J227-'ProductSprint Backlog'!$I227), AND('ProductSprint Backlog'!$J227=C$2,'ProductSprint Backlog'!$I227=C$2), 'ProductSprint Backlog'!$F227, TRUE, 0)</f>
        <v>0</v>
      </c>
      <c r="D227" s="4" cm="1">
        <f t="array" ref="D227">_xlfn.IFS('ProductSprint Backlog'!$F227="", "", AND('ProductSprint Backlog'!$J227&gt;D$2,'ProductSprint Backlog'!$I227&lt;=D$2), 'ProductSprint Backlog'!$F227 / MAX(1, 'ProductSprint Backlog'!$J227-'ProductSprint Backlog'!$I227), AND('ProductSprint Backlog'!$J227=D$2,'ProductSprint Backlog'!$I227=D$2), 'ProductSprint Backlog'!$F227, TRUE, 0)</f>
        <v>0</v>
      </c>
      <c r="E227" s="4" cm="1">
        <f t="array" ref="E227">_xlfn.IFS('ProductSprint Backlog'!$F227="", "", AND('ProductSprint Backlog'!$J227&gt;E$2,'ProductSprint Backlog'!$I227&lt;=E$2), 'ProductSprint Backlog'!$F227 / MAX(1, 'ProductSprint Backlog'!$J227-'ProductSprint Backlog'!$I227), AND('ProductSprint Backlog'!$J227=E$2,'ProductSprint Backlog'!$I227=E$2), 'ProductSprint Backlog'!$F227, TRUE, 0)</f>
        <v>0</v>
      </c>
      <c r="F227" s="4" cm="1">
        <f t="array" ref="F227">_xlfn.IFS('ProductSprint Backlog'!$F227="", "", AND('ProductSprint Backlog'!$J227&gt;F$2,'ProductSprint Backlog'!$I227&lt;=F$2), 'ProductSprint Backlog'!$F227 / MAX(1, 'ProductSprint Backlog'!$J227-'ProductSprint Backlog'!$I227), AND('ProductSprint Backlog'!$J227=F$2,'ProductSprint Backlog'!$I227=F$2), 'ProductSprint Backlog'!$F227, TRUE, 0)</f>
        <v>0</v>
      </c>
      <c r="G227" s="4" cm="1">
        <f t="array" ref="G227">_xlfn.IFS('ProductSprint Backlog'!$F227="", "", AND('ProductSprint Backlog'!$J227&gt;G$2,'ProductSprint Backlog'!$I227&lt;=G$2), 'ProductSprint Backlog'!$F227 / MAX(1, 'ProductSprint Backlog'!$J227-'ProductSprint Backlog'!$I227), AND('ProductSprint Backlog'!$J227=G$2,'ProductSprint Backlog'!$I227=G$2), 'ProductSprint Backlog'!$F227, TRUE, 0)</f>
        <v>0</v>
      </c>
      <c r="H227" s="4" cm="1">
        <f t="array" ref="H227">_xlfn.IFS('ProductSprint Backlog'!$F227="", "", AND('ProductSprint Backlog'!$J227&gt;H$2,'ProductSprint Backlog'!$I227&lt;=H$2), 'ProductSprint Backlog'!$F227 / MAX(1, 'ProductSprint Backlog'!$J227-'ProductSprint Backlog'!$I227), AND('ProductSprint Backlog'!$J227=H$2,'ProductSprint Backlog'!$I227=H$2), 'ProductSprint Backlog'!$F227, TRUE, 0)</f>
        <v>0</v>
      </c>
      <c r="I227" s="4" cm="1">
        <f t="array" ref="I227">_xlfn.IFS('ProductSprint Backlog'!$F227="", "", AND('ProductSprint Backlog'!$J227&gt;I$2,'ProductSprint Backlog'!$I227&lt;=I$2), 'ProductSprint Backlog'!$F227 / MAX(1, 'ProductSprint Backlog'!$J227-'ProductSprint Backlog'!$I227), AND('ProductSprint Backlog'!$J227=I$2,'ProductSprint Backlog'!$I227=I$2), 'ProductSprint Backlog'!$F227, TRUE, 0)</f>
        <v>0</v>
      </c>
      <c r="J227" s="4" cm="1">
        <f t="array" ref="J227">_xlfn.IFS('ProductSprint Backlog'!$F227="", "", AND('ProductSprint Backlog'!$J227&gt;J$2,'ProductSprint Backlog'!$I227&lt;=J$2), 'ProductSprint Backlog'!$F227 / MAX(1, 'ProductSprint Backlog'!$J227-'ProductSprint Backlog'!$I227), AND('ProductSprint Backlog'!$J227=J$2,'ProductSprint Backlog'!$I227=J$2), 'ProductSprint Backlog'!$F227, TRUE, 0)</f>
        <v>0</v>
      </c>
      <c r="K227" s="4" cm="1">
        <f t="array" ref="K227">_xlfn.IFS('ProductSprint Backlog'!$F227="", "", AND('ProductSprint Backlog'!$J227&gt;K$2,'ProductSprint Backlog'!$I227&lt;=K$2), 'ProductSprint Backlog'!$F227 / MAX(1, 'ProductSprint Backlog'!$J227-'ProductSprint Backlog'!$I227), AND('ProductSprint Backlog'!$J227=K$2,'ProductSprint Backlog'!$I227=K$2), 'ProductSprint Backlog'!$F227, TRUE, 0)</f>
        <v>0</v>
      </c>
      <c r="L227" s="4" cm="1">
        <f t="array" ref="L227">_xlfn.IFS('ProductSprint Backlog'!$F227="", "", AND('ProductSprint Backlog'!$J227&gt;L$2,'ProductSprint Backlog'!$I227&lt;=L$2), 'ProductSprint Backlog'!$F227 / MAX(1, 'ProductSprint Backlog'!$J227-'ProductSprint Backlog'!$I227), AND('ProductSprint Backlog'!$J227=L$2,'ProductSprint Backlog'!$I227=L$2), 'ProductSprint Backlog'!$F227, TRUE, 0)</f>
        <v>0</v>
      </c>
      <c r="M227" s="4" cm="1">
        <f t="array" ref="M227">_xlfn.IFS('ProductSprint Backlog'!$F227="", "", AND('ProductSprint Backlog'!$J227&gt;M$2,'ProductSprint Backlog'!$I227&lt;=M$2), 'ProductSprint Backlog'!$F227 / MAX(1, 'ProductSprint Backlog'!$J227-'ProductSprint Backlog'!$I227), AND('ProductSprint Backlog'!$J227=M$2,'ProductSprint Backlog'!$I227=M$2), 'ProductSprint Backlog'!$F227, TRUE, 0)</f>
        <v>0</v>
      </c>
      <c r="N227" s="4" cm="1">
        <f t="array" ref="N227">_xlfn.IFS('ProductSprint Backlog'!$F227="", "", AND('ProductSprint Backlog'!$J227&gt;N$2,'ProductSprint Backlog'!$I227&lt;=N$2), 'ProductSprint Backlog'!$F227 / MAX(1, 'ProductSprint Backlog'!$J227-'ProductSprint Backlog'!$I227), AND('ProductSprint Backlog'!$J227=N$2,'ProductSprint Backlog'!$I227=N$2), 'ProductSprint Backlog'!$F227, TRUE, 0)</f>
        <v>0</v>
      </c>
      <c r="O227" s="4" cm="1">
        <f t="array" ref="O227">_xlfn.IFS('ProductSprint Backlog'!$F227="", "", AND('ProductSprint Backlog'!$J227&gt;O$2,'ProductSprint Backlog'!$I227&lt;=O$2), 'ProductSprint Backlog'!$F227 / MAX(1, 'ProductSprint Backlog'!$J227-'ProductSprint Backlog'!$I227), AND('ProductSprint Backlog'!$J227=O$2,'ProductSprint Backlog'!$I227=O$2), 'ProductSprint Backlog'!$F227, TRUE, 0)</f>
        <v>0</v>
      </c>
      <c r="P227" s="4" cm="1">
        <f t="array" ref="P227">_xlfn.IFS('ProductSprint Backlog'!$F227="", "", AND('ProductSprint Backlog'!$J227&gt;P$2,'ProductSprint Backlog'!$I227&lt;=P$2), 'ProductSprint Backlog'!$F227 / MAX(1, 'ProductSprint Backlog'!$J227-'ProductSprint Backlog'!$I227), AND('ProductSprint Backlog'!$J227=P$2,'ProductSprint Backlog'!$I227=P$2), 'ProductSprint Backlog'!$F227, TRUE, 0)</f>
        <v>0</v>
      </c>
      <c r="Q227" s="4" cm="1">
        <f t="array" ref="Q227">_xlfn.IFS('ProductSprint Backlog'!$F227="", "", AND('ProductSprint Backlog'!$J227&gt;Q$2,'ProductSprint Backlog'!$I227&lt;=Q$2), 'ProductSprint Backlog'!$F227 / MAX(1, 'ProductSprint Backlog'!$J227-'ProductSprint Backlog'!$I227), AND('ProductSprint Backlog'!$J227=Q$2,'ProductSprint Backlog'!$I227=Q$2), 'ProductSprint Backlog'!$F227, TRUE, 0)</f>
        <v>0</v>
      </c>
    </row>
    <row r="228" spans="2:17" x14ac:dyDescent="0.2">
      <c r="B228" s="4" cm="1">
        <f t="array" ref="B228">_xlfn.IFS('ProductSprint Backlog'!$F228="", "", AND('ProductSprint Backlog'!$J228&gt;B$2,'ProductSprint Backlog'!$I228&lt;=B$2), 'ProductSprint Backlog'!$F228 / MAX(1, 'ProductSprint Backlog'!$J228-'ProductSprint Backlog'!$I228), AND('ProductSprint Backlog'!$J228=B$2,'ProductSprint Backlog'!$I228=B$2), 'ProductSprint Backlog'!$F228, TRUE, 0)</f>
        <v>0</v>
      </c>
      <c r="C228" s="4" cm="1">
        <f t="array" ref="C228">_xlfn.IFS('ProductSprint Backlog'!$F228="", "", AND('ProductSprint Backlog'!$J228&gt;C$2,'ProductSprint Backlog'!$I228&lt;=C$2), 'ProductSprint Backlog'!$F228 / MAX(1, 'ProductSprint Backlog'!$J228-'ProductSprint Backlog'!$I228), AND('ProductSprint Backlog'!$J228=C$2,'ProductSprint Backlog'!$I228=C$2), 'ProductSprint Backlog'!$F228, TRUE, 0)</f>
        <v>0</v>
      </c>
      <c r="D228" s="4" cm="1">
        <f t="array" ref="D228">_xlfn.IFS('ProductSprint Backlog'!$F228="", "", AND('ProductSprint Backlog'!$J228&gt;D$2,'ProductSprint Backlog'!$I228&lt;=D$2), 'ProductSprint Backlog'!$F228 / MAX(1, 'ProductSprint Backlog'!$J228-'ProductSprint Backlog'!$I228), AND('ProductSprint Backlog'!$J228=D$2,'ProductSprint Backlog'!$I228=D$2), 'ProductSprint Backlog'!$F228, TRUE, 0)</f>
        <v>0</v>
      </c>
      <c r="E228" s="4" cm="1">
        <f t="array" ref="E228">_xlfn.IFS('ProductSprint Backlog'!$F228="", "", AND('ProductSprint Backlog'!$J228&gt;E$2,'ProductSprint Backlog'!$I228&lt;=E$2), 'ProductSprint Backlog'!$F228 / MAX(1, 'ProductSprint Backlog'!$J228-'ProductSprint Backlog'!$I228), AND('ProductSprint Backlog'!$J228=E$2,'ProductSprint Backlog'!$I228=E$2), 'ProductSprint Backlog'!$F228, TRUE, 0)</f>
        <v>0</v>
      </c>
      <c r="F228" s="4" cm="1">
        <f t="array" ref="F228">_xlfn.IFS('ProductSprint Backlog'!$F228="", "", AND('ProductSprint Backlog'!$J228&gt;F$2,'ProductSprint Backlog'!$I228&lt;=F$2), 'ProductSprint Backlog'!$F228 / MAX(1, 'ProductSprint Backlog'!$J228-'ProductSprint Backlog'!$I228), AND('ProductSprint Backlog'!$J228=F$2,'ProductSprint Backlog'!$I228=F$2), 'ProductSprint Backlog'!$F228, TRUE, 0)</f>
        <v>0</v>
      </c>
      <c r="G228" s="4" cm="1">
        <f t="array" ref="G228">_xlfn.IFS('ProductSprint Backlog'!$F228="", "", AND('ProductSprint Backlog'!$J228&gt;G$2,'ProductSprint Backlog'!$I228&lt;=G$2), 'ProductSprint Backlog'!$F228 / MAX(1, 'ProductSprint Backlog'!$J228-'ProductSprint Backlog'!$I228), AND('ProductSprint Backlog'!$J228=G$2,'ProductSprint Backlog'!$I228=G$2), 'ProductSprint Backlog'!$F228, TRUE, 0)</f>
        <v>0</v>
      </c>
      <c r="H228" s="4" cm="1">
        <f t="array" ref="H228">_xlfn.IFS('ProductSprint Backlog'!$F228="", "", AND('ProductSprint Backlog'!$J228&gt;H$2,'ProductSprint Backlog'!$I228&lt;=H$2), 'ProductSprint Backlog'!$F228 / MAX(1, 'ProductSprint Backlog'!$J228-'ProductSprint Backlog'!$I228), AND('ProductSprint Backlog'!$J228=H$2,'ProductSprint Backlog'!$I228=H$2), 'ProductSprint Backlog'!$F228, TRUE, 0)</f>
        <v>0</v>
      </c>
      <c r="I228" s="4" cm="1">
        <f t="array" ref="I228">_xlfn.IFS('ProductSprint Backlog'!$F228="", "", AND('ProductSprint Backlog'!$J228&gt;I$2,'ProductSprint Backlog'!$I228&lt;=I$2), 'ProductSprint Backlog'!$F228 / MAX(1, 'ProductSprint Backlog'!$J228-'ProductSprint Backlog'!$I228), AND('ProductSprint Backlog'!$J228=I$2,'ProductSprint Backlog'!$I228=I$2), 'ProductSprint Backlog'!$F228, TRUE, 0)</f>
        <v>0</v>
      </c>
      <c r="J228" s="4" cm="1">
        <f t="array" ref="J228">_xlfn.IFS('ProductSprint Backlog'!$F228="", "", AND('ProductSprint Backlog'!$J228&gt;J$2,'ProductSprint Backlog'!$I228&lt;=J$2), 'ProductSprint Backlog'!$F228 / MAX(1, 'ProductSprint Backlog'!$J228-'ProductSprint Backlog'!$I228), AND('ProductSprint Backlog'!$J228=J$2,'ProductSprint Backlog'!$I228=J$2), 'ProductSprint Backlog'!$F228, TRUE, 0)</f>
        <v>0</v>
      </c>
      <c r="K228" s="4" cm="1">
        <f t="array" ref="K228">_xlfn.IFS('ProductSprint Backlog'!$F228="", "", AND('ProductSprint Backlog'!$J228&gt;K$2,'ProductSprint Backlog'!$I228&lt;=K$2), 'ProductSprint Backlog'!$F228 / MAX(1, 'ProductSprint Backlog'!$J228-'ProductSprint Backlog'!$I228), AND('ProductSprint Backlog'!$J228=K$2,'ProductSprint Backlog'!$I228=K$2), 'ProductSprint Backlog'!$F228, TRUE, 0)</f>
        <v>0</v>
      </c>
      <c r="L228" s="4" cm="1">
        <f t="array" ref="L228">_xlfn.IFS('ProductSprint Backlog'!$F228="", "", AND('ProductSprint Backlog'!$J228&gt;L$2,'ProductSprint Backlog'!$I228&lt;=L$2), 'ProductSprint Backlog'!$F228 / MAX(1, 'ProductSprint Backlog'!$J228-'ProductSprint Backlog'!$I228), AND('ProductSprint Backlog'!$J228=L$2,'ProductSprint Backlog'!$I228=L$2), 'ProductSprint Backlog'!$F228, TRUE, 0)</f>
        <v>0</v>
      </c>
      <c r="M228" s="4" cm="1">
        <f t="array" ref="M228">_xlfn.IFS('ProductSprint Backlog'!$F228="", "", AND('ProductSprint Backlog'!$J228&gt;M$2,'ProductSprint Backlog'!$I228&lt;=M$2), 'ProductSprint Backlog'!$F228 / MAX(1, 'ProductSprint Backlog'!$J228-'ProductSprint Backlog'!$I228), AND('ProductSprint Backlog'!$J228=M$2,'ProductSprint Backlog'!$I228=M$2), 'ProductSprint Backlog'!$F228, TRUE, 0)</f>
        <v>0</v>
      </c>
      <c r="N228" s="4" cm="1">
        <f t="array" ref="N228">_xlfn.IFS('ProductSprint Backlog'!$F228="", "", AND('ProductSprint Backlog'!$J228&gt;N$2,'ProductSprint Backlog'!$I228&lt;=N$2), 'ProductSprint Backlog'!$F228 / MAX(1, 'ProductSprint Backlog'!$J228-'ProductSprint Backlog'!$I228), AND('ProductSprint Backlog'!$J228=N$2,'ProductSprint Backlog'!$I228=N$2), 'ProductSprint Backlog'!$F228, TRUE, 0)</f>
        <v>0</v>
      </c>
      <c r="O228" s="4" cm="1">
        <f t="array" ref="O228">_xlfn.IFS('ProductSprint Backlog'!$F228="", "", AND('ProductSprint Backlog'!$J228&gt;O$2,'ProductSprint Backlog'!$I228&lt;=O$2), 'ProductSprint Backlog'!$F228 / MAX(1, 'ProductSprint Backlog'!$J228-'ProductSprint Backlog'!$I228), AND('ProductSprint Backlog'!$J228=O$2,'ProductSprint Backlog'!$I228=O$2), 'ProductSprint Backlog'!$F228, TRUE, 0)</f>
        <v>0</v>
      </c>
      <c r="P228" s="4" cm="1">
        <f t="array" ref="P228">_xlfn.IFS('ProductSprint Backlog'!$F228="", "", AND('ProductSprint Backlog'!$J228&gt;P$2,'ProductSprint Backlog'!$I228&lt;=P$2), 'ProductSprint Backlog'!$F228 / MAX(1, 'ProductSprint Backlog'!$J228-'ProductSprint Backlog'!$I228), AND('ProductSprint Backlog'!$J228=P$2,'ProductSprint Backlog'!$I228=P$2), 'ProductSprint Backlog'!$F228, TRUE, 0)</f>
        <v>0</v>
      </c>
      <c r="Q228" s="4" cm="1">
        <f t="array" ref="Q228">_xlfn.IFS('ProductSprint Backlog'!$F228="", "", AND('ProductSprint Backlog'!$J228&gt;Q$2,'ProductSprint Backlog'!$I228&lt;=Q$2), 'ProductSprint Backlog'!$F228 / MAX(1, 'ProductSprint Backlog'!$J228-'ProductSprint Backlog'!$I228), AND('ProductSprint Backlog'!$J228=Q$2,'ProductSprint Backlog'!$I228=Q$2), 'ProductSprint Backlog'!$F228, TRUE, 0)</f>
        <v>0</v>
      </c>
    </row>
    <row r="229" spans="2:17" x14ac:dyDescent="0.2">
      <c r="B229" s="4" cm="1">
        <f t="array" ref="B229">_xlfn.IFS('ProductSprint Backlog'!$F229="", "", AND('ProductSprint Backlog'!$J229&gt;B$2,'ProductSprint Backlog'!$I229&lt;=B$2), 'ProductSprint Backlog'!$F229 / MAX(1, 'ProductSprint Backlog'!$J229-'ProductSprint Backlog'!$I229), AND('ProductSprint Backlog'!$J229=B$2,'ProductSprint Backlog'!$I229=B$2), 'ProductSprint Backlog'!$F229, TRUE, 0)</f>
        <v>0</v>
      </c>
      <c r="C229" s="4" cm="1">
        <f t="array" ref="C229">_xlfn.IFS('ProductSprint Backlog'!$F229="", "", AND('ProductSprint Backlog'!$J229&gt;C$2,'ProductSprint Backlog'!$I229&lt;=C$2), 'ProductSprint Backlog'!$F229 / MAX(1, 'ProductSprint Backlog'!$J229-'ProductSprint Backlog'!$I229), AND('ProductSprint Backlog'!$J229=C$2,'ProductSprint Backlog'!$I229=C$2), 'ProductSprint Backlog'!$F229, TRUE, 0)</f>
        <v>0</v>
      </c>
      <c r="D229" s="4" cm="1">
        <f t="array" ref="D229">_xlfn.IFS('ProductSprint Backlog'!$F229="", "", AND('ProductSprint Backlog'!$J229&gt;D$2,'ProductSprint Backlog'!$I229&lt;=D$2), 'ProductSprint Backlog'!$F229 / MAX(1, 'ProductSprint Backlog'!$J229-'ProductSprint Backlog'!$I229), AND('ProductSprint Backlog'!$J229=D$2,'ProductSprint Backlog'!$I229=D$2), 'ProductSprint Backlog'!$F229, TRUE, 0)</f>
        <v>0</v>
      </c>
      <c r="E229" s="4" cm="1">
        <f t="array" ref="E229">_xlfn.IFS('ProductSprint Backlog'!$F229="", "", AND('ProductSprint Backlog'!$J229&gt;E$2,'ProductSprint Backlog'!$I229&lt;=E$2), 'ProductSprint Backlog'!$F229 / MAX(1, 'ProductSprint Backlog'!$J229-'ProductSprint Backlog'!$I229), AND('ProductSprint Backlog'!$J229=E$2,'ProductSprint Backlog'!$I229=E$2), 'ProductSprint Backlog'!$F229, TRUE, 0)</f>
        <v>0</v>
      </c>
      <c r="F229" s="4" cm="1">
        <f t="array" ref="F229">_xlfn.IFS('ProductSprint Backlog'!$F229="", "", AND('ProductSprint Backlog'!$J229&gt;F$2,'ProductSprint Backlog'!$I229&lt;=F$2), 'ProductSprint Backlog'!$F229 / MAX(1, 'ProductSprint Backlog'!$J229-'ProductSprint Backlog'!$I229), AND('ProductSprint Backlog'!$J229=F$2,'ProductSprint Backlog'!$I229=F$2), 'ProductSprint Backlog'!$F229, TRUE, 0)</f>
        <v>0</v>
      </c>
      <c r="G229" s="4" cm="1">
        <f t="array" ref="G229">_xlfn.IFS('ProductSprint Backlog'!$F229="", "", AND('ProductSprint Backlog'!$J229&gt;G$2,'ProductSprint Backlog'!$I229&lt;=G$2), 'ProductSprint Backlog'!$F229 / MAX(1, 'ProductSprint Backlog'!$J229-'ProductSprint Backlog'!$I229), AND('ProductSprint Backlog'!$J229=G$2,'ProductSprint Backlog'!$I229=G$2), 'ProductSprint Backlog'!$F229, TRUE, 0)</f>
        <v>0</v>
      </c>
      <c r="H229" s="4" cm="1">
        <f t="array" ref="H229">_xlfn.IFS('ProductSprint Backlog'!$F229="", "", AND('ProductSprint Backlog'!$J229&gt;H$2,'ProductSprint Backlog'!$I229&lt;=H$2), 'ProductSprint Backlog'!$F229 / MAX(1, 'ProductSprint Backlog'!$J229-'ProductSprint Backlog'!$I229), AND('ProductSprint Backlog'!$J229=H$2,'ProductSprint Backlog'!$I229=H$2), 'ProductSprint Backlog'!$F229, TRUE, 0)</f>
        <v>0</v>
      </c>
      <c r="I229" s="4" cm="1">
        <f t="array" ref="I229">_xlfn.IFS('ProductSprint Backlog'!$F229="", "", AND('ProductSprint Backlog'!$J229&gt;I$2,'ProductSprint Backlog'!$I229&lt;=I$2), 'ProductSprint Backlog'!$F229 / MAX(1, 'ProductSprint Backlog'!$J229-'ProductSprint Backlog'!$I229), AND('ProductSprint Backlog'!$J229=I$2,'ProductSprint Backlog'!$I229=I$2), 'ProductSprint Backlog'!$F229, TRUE, 0)</f>
        <v>0</v>
      </c>
      <c r="J229" s="4" cm="1">
        <f t="array" ref="J229">_xlfn.IFS('ProductSprint Backlog'!$F229="", "", AND('ProductSprint Backlog'!$J229&gt;J$2,'ProductSprint Backlog'!$I229&lt;=J$2), 'ProductSprint Backlog'!$F229 / MAX(1, 'ProductSprint Backlog'!$J229-'ProductSprint Backlog'!$I229), AND('ProductSprint Backlog'!$J229=J$2,'ProductSprint Backlog'!$I229=J$2), 'ProductSprint Backlog'!$F229, TRUE, 0)</f>
        <v>0</v>
      </c>
      <c r="K229" s="4" cm="1">
        <f t="array" ref="K229">_xlfn.IFS('ProductSprint Backlog'!$F229="", "", AND('ProductSprint Backlog'!$J229&gt;K$2,'ProductSprint Backlog'!$I229&lt;=K$2), 'ProductSprint Backlog'!$F229 / MAX(1, 'ProductSprint Backlog'!$J229-'ProductSprint Backlog'!$I229), AND('ProductSprint Backlog'!$J229=K$2,'ProductSprint Backlog'!$I229=K$2), 'ProductSprint Backlog'!$F229, TRUE, 0)</f>
        <v>0</v>
      </c>
      <c r="L229" s="4" cm="1">
        <f t="array" ref="L229">_xlfn.IFS('ProductSprint Backlog'!$F229="", "", AND('ProductSprint Backlog'!$J229&gt;L$2,'ProductSprint Backlog'!$I229&lt;=L$2), 'ProductSprint Backlog'!$F229 / MAX(1, 'ProductSprint Backlog'!$J229-'ProductSprint Backlog'!$I229), AND('ProductSprint Backlog'!$J229=L$2,'ProductSprint Backlog'!$I229=L$2), 'ProductSprint Backlog'!$F229, TRUE, 0)</f>
        <v>0</v>
      </c>
      <c r="M229" s="4" cm="1">
        <f t="array" ref="M229">_xlfn.IFS('ProductSprint Backlog'!$F229="", "", AND('ProductSprint Backlog'!$J229&gt;M$2,'ProductSprint Backlog'!$I229&lt;=M$2), 'ProductSprint Backlog'!$F229 / MAX(1, 'ProductSprint Backlog'!$J229-'ProductSprint Backlog'!$I229), AND('ProductSprint Backlog'!$J229=M$2,'ProductSprint Backlog'!$I229=M$2), 'ProductSprint Backlog'!$F229, TRUE, 0)</f>
        <v>0</v>
      </c>
      <c r="N229" s="4" cm="1">
        <f t="array" ref="N229">_xlfn.IFS('ProductSprint Backlog'!$F229="", "", AND('ProductSprint Backlog'!$J229&gt;N$2,'ProductSprint Backlog'!$I229&lt;=N$2), 'ProductSprint Backlog'!$F229 / MAX(1, 'ProductSprint Backlog'!$J229-'ProductSprint Backlog'!$I229), AND('ProductSprint Backlog'!$J229=N$2,'ProductSprint Backlog'!$I229=N$2), 'ProductSprint Backlog'!$F229, TRUE, 0)</f>
        <v>0</v>
      </c>
      <c r="O229" s="4" cm="1">
        <f t="array" ref="O229">_xlfn.IFS('ProductSprint Backlog'!$F229="", "", AND('ProductSprint Backlog'!$J229&gt;O$2,'ProductSprint Backlog'!$I229&lt;=O$2), 'ProductSprint Backlog'!$F229 / MAX(1, 'ProductSprint Backlog'!$J229-'ProductSprint Backlog'!$I229), AND('ProductSprint Backlog'!$J229=O$2,'ProductSprint Backlog'!$I229=O$2), 'ProductSprint Backlog'!$F229, TRUE, 0)</f>
        <v>0</v>
      </c>
      <c r="P229" s="4" cm="1">
        <f t="array" ref="P229">_xlfn.IFS('ProductSprint Backlog'!$F229="", "", AND('ProductSprint Backlog'!$J229&gt;P$2,'ProductSprint Backlog'!$I229&lt;=P$2), 'ProductSprint Backlog'!$F229 / MAX(1, 'ProductSprint Backlog'!$J229-'ProductSprint Backlog'!$I229), AND('ProductSprint Backlog'!$J229=P$2,'ProductSprint Backlog'!$I229=P$2), 'ProductSprint Backlog'!$F229, TRUE, 0)</f>
        <v>0</v>
      </c>
      <c r="Q229" s="4" cm="1">
        <f t="array" ref="Q229">_xlfn.IFS('ProductSprint Backlog'!$F229="", "", AND('ProductSprint Backlog'!$J229&gt;Q$2,'ProductSprint Backlog'!$I229&lt;=Q$2), 'ProductSprint Backlog'!$F229 / MAX(1, 'ProductSprint Backlog'!$J229-'ProductSprint Backlog'!$I229), AND('ProductSprint Backlog'!$J229=Q$2,'ProductSprint Backlog'!$I229=Q$2), 'ProductSprint Backlog'!$F229, TRUE, 0)</f>
        <v>0</v>
      </c>
    </row>
    <row r="230" spans="2:17" x14ac:dyDescent="0.2">
      <c r="B230" s="4" cm="1">
        <f t="array" ref="B230">_xlfn.IFS('ProductSprint Backlog'!$F230="", "", AND('ProductSprint Backlog'!$J230&gt;B$2,'ProductSprint Backlog'!$I230&lt;=B$2), 'ProductSprint Backlog'!$F230 / MAX(1, 'ProductSprint Backlog'!$J230-'ProductSprint Backlog'!$I230), AND('ProductSprint Backlog'!$J230=B$2,'ProductSprint Backlog'!$I230=B$2), 'ProductSprint Backlog'!$F230, TRUE, 0)</f>
        <v>0</v>
      </c>
      <c r="C230" s="4" cm="1">
        <f t="array" ref="C230">_xlfn.IFS('ProductSprint Backlog'!$F230="", "", AND('ProductSprint Backlog'!$J230&gt;C$2,'ProductSprint Backlog'!$I230&lt;=C$2), 'ProductSprint Backlog'!$F230 / MAX(1, 'ProductSprint Backlog'!$J230-'ProductSprint Backlog'!$I230), AND('ProductSprint Backlog'!$J230=C$2,'ProductSprint Backlog'!$I230=C$2), 'ProductSprint Backlog'!$F230, TRUE, 0)</f>
        <v>0</v>
      </c>
      <c r="D230" s="4" cm="1">
        <f t="array" ref="D230">_xlfn.IFS('ProductSprint Backlog'!$F230="", "", AND('ProductSprint Backlog'!$J230&gt;D$2,'ProductSprint Backlog'!$I230&lt;=D$2), 'ProductSprint Backlog'!$F230 / MAX(1, 'ProductSprint Backlog'!$J230-'ProductSprint Backlog'!$I230), AND('ProductSprint Backlog'!$J230=D$2,'ProductSprint Backlog'!$I230=D$2), 'ProductSprint Backlog'!$F230, TRUE, 0)</f>
        <v>0</v>
      </c>
      <c r="E230" s="4" cm="1">
        <f t="array" ref="E230">_xlfn.IFS('ProductSprint Backlog'!$F230="", "", AND('ProductSprint Backlog'!$J230&gt;E$2,'ProductSprint Backlog'!$I230&lt;=E$2), 'ProductSprint Backlog'!$F230 / MAX(1, 'ProductSprint Backlog'!$J230-'ProductSprint Backlog'!$I230), AND('ProductSprint Backlog'!$J230=E$2,'ProductSprint Backlog'!$I230=E$2), 'ProductSprint Backlog'!$F230, TRUE, 0)</f>
        <v>0</v>
      </c>
      <c r="F230" s="4" cm="1">
        <f t="array" ref="F230">_xlfn.IFS('ProductSprint Backlog'!$F230="", "", AND('ProductSprint Backlog'!$J230&gt;F$2,'ProductSprint Backlog'!$I230&lt;=F$2), 'ProductSprint Backlog'!$F230 / MAX(1, 'ProductSprint Backlog'!$J230-'ProductSprint Backlog'!$I230), AND('ProductSprint Backlog'!$J230=F$2,'ProductSprint Backlog'!$I230=F$2), 'ProductSprint Backlog'!$F230, TRUE, 0)</f>
        <v>0</v>
      </c>
      <c r="G230" s="4" cm="1">
        <f t="array" ref="G230">_xlfn.IFS('ProductSprint Backlog'!$F230="", "", AND('ProductSprint Backlog'!$J230&gt;G$2,'ProductSprint Backlog'!$I230&lt;=G$2), 'ProductSprint Backlog'!$F230 / MAX(1, 'ProductSprint Backlog'!$J230-'ProductSprint Backlog'!$I230), AND('ProductSprint Backlog'!$J230=G$2,'ProductSprint Backlog'!$I230=G$2), 'ProductSprint Backlog'!$F230, TRUE, 0)</f>
        <v>0</v>
      </c>
      <c r="H230" s="4" cm="1">
        <f t="array" ref="H230">_xlfn.IFS('ProductSprint Backlog'!$F230="", "", AND('ProductSprint Backlog'!$J230&gt;H$2,'ProductSprint Backlog'!$I230&lt;=H$2), 'ProductSprint Backlog'!$F230 / MAX(1, 'ProductSprint Backlog'!$J230-'ProductSprint Backlog'!$I230), AND('ProductSprint Backlog'!$J230=H$2,'ProductSprint Backlog'!$I230=H$2), 'ProductSprint Backlog'!$F230, TRUE, 0)</f>
        <v>0</v>
      </c>
      <c r="I230" s="4" cm="1">
        <f t="array" ref="I230">_xlfn.IFS('ProductSprint Backlog'!$F230="", "", AND('ProductSprint Backlog'!$J230&gt;I$2,'ProductSprint Backlog'!$I230&lt;=I$2), 'ProductSprint Backlog'!$F230 / MAX(1, 'ProductSprint Backlog'!$J230-'ProductSprint Backlog'!$I230), AND('ProductSprint Backlog'!$J230=I$2,'ProductSprint Backlog'!$I230=I$2), 'ProductSprint Backlog'!$F230, TRUE, 0)</f>
        <v>0</v>
      </c>
      <c r="J230" s="4" cm="1">
        <f t="array" ref="J230">_xlfn.IFS('ProductSprint Backlog'!$F230="", "", AND('ProductSprint Backlog'!$J230&gt;J$2,'ProductSprint Backlog'!$I230&lt;=J$2), 'ProductSprint Backlog'!$F230 / MAX(1, 'ProductSprint Backlog'!$J230-'ProductSprint Backlog'!$I230), AND('ProductSprint Backlog'!$J230=J$2,'ProductSprint Backlog'!$I230=J$2), 'ProductSprint Backlog'!$F230, TRUE, 0)</f>
        <v>0</v>
      </c>
      <c r="K230" s="4" cm="1">
        <f t="array" ref="K230">_xlfn.IFS('ProductSprint Backlog'!$F230="", "", AND('ProductSprint Backlog'!$J230&gt;K$2,'ProductSprint Backlog'!$I230&lt;=K$2), 'ProductSprint Backlog'!$F230 / MAX(1, 'ProductSprint Backlog'!$J230-'ProductSprint Backlog'!$I230), AND('ProductSprint Backlog'!$J230=K$2,'ProductSprint Backlog'!$I230=K$2), 'ProductSprint Backlog'!$F230, TRUE, 0)</f>
        <v>0</v>
      </c>
      <c r="L230" s="4" cm="1">
        <f t="array" ref="L230">_xlfn.IFS('ProductSprint Backlog'!$F230="", "", AND('ProductSprint Backlog'!$J230&gt;L$2,'ProductSprint Backlog'!$I230&lt;=L$2), 'ProductSprint Backlog'!$F230 / MAX(1, 'ProductSprint Backlog'!$J230-'ProductSprint Backlog'!$I230), AND('ProductSprint Backlog'!$J230=L$2,'ProductSprint Backlog'!$I230=L$2), 'ProductSprint Backlog'!$F230, TRUE, 0)</f>
        <v>0</v>
      </c>
      <c r="M230" s="4" cm="1">
        <f t="array" ref="M230">_xlfn.IFS('ProductSprint Backlog'!$F230="", "", AND('ProductSprint Backlog'!$J230&gt;M$2,'ProductSprint Backlog'!$I230&lt;=M$2), 'ProductSprint Backlog'!$F230 / MAX(1, 'ProductSprint Backlog'!$J230-'ProductSprint Backlog'!$I230), AND('ProductSprint Backlog'!$J230=M$2,'ProductSprint Backlog'!$I230=M$2), 'ProductSprint Backlog'!$F230, TRUE, 0)</f>
        <v>0</v>
      </c>
      <c r="N230" s="4" cm="1">
        <f t="array" ref="N230">_xlfn.IFS('ProductSprint Backlog'!$F230="", "", AND('ProductSprint Backlog'!$J230&gt;N$2,'ProductSprint Backlog'!$I230&lt;=N$2), 'ProductSprint Backlog'!$F230 / MAX(1, 'ProductSprint Backlog'!$J230-'ProductSprint Backlog'!$I230), AND('ProductSprint Backlog'!$J230=N$2,'ProductSprint Backlog'!$I230=N$2), 'ProductSprint Backlog'!$F230, TRUE, 0)</f>
        <v>0</v>
      </c>
      <c r="O230" s="4" cm="1">
        <f t="array" ref="O230">_xlfn.IFS('ProductSprint Backlog'!$F230="", "", AND('ProductSprint Backlog'!$J230&gt;O$2,'ProductSprint Backlog'!$I230&lt;=O$2), 'ProductSprint Backlog'!$F230 / MAX(1, 'ProductSprint Backlog'!$J230-'ProductSprint Backlog'!$I230), AND('ProductSprint Backlog'!$J230=O$2,'ProductSprint Backlog'!$I230=O$2), 'ProductSprint Backlog'!$F230, TRUE, 0)</f>
        <v>0</v>
      </c>
      <c r="P230" s="4" cm="1">
        <f t="array" ref="P230">_xlfn.IFS('ProductSprint Backlog'!$F230="", "", AND('ProductSprint Backlog'!$J230&gt;P$2,'ProductSprint Backlog'!$I230&lt;=P$2), 'ProductSprint Backlog'!$F230 / MAX(1, 'ProductSprint Backlog'!$J230-'ProductSprint Backlog'!$I230), AND('ProductSprint Backlog'!$J230=P$2,'ProductSprint Backlog'!$I230=P$2), 'ProductSprint Backlog'!$F230, TRUE, 0)</f>
        <v>0</v>
      </c>
      <c r="Q230" s="4" cm="1">
        <f t="array" ref="Q230">_xlfn.IFS('ProductSprint Backlog'!$F230="", "", AND('ProductSprint Backlog'!$J230&gt;Q$2,'ProductSprint Backlog'!$I230&lt;=Q$2), 'ProductSprint Backlog'!$F230 / MAX(1, 'ProductSprint Backlog'!$J230-'ProductSprint Backlog'!$I230), AND('ProductSprint Backlog'!$J230=Q$2,'ProductSprint Backlog'!$I230=Q$2), 'ProductSprint Backlog'!$F230, TRUE, 0)</f>
        <v>0</v>
      </c>
    </row>
    <row r="231" spans="2:17" x14ac:dyDescent="0.2">
      <c r="B231" s="4" cm="1">
        <f t="array" ref="B231">_xlfn.IFS('ProductSprint Backlog'!$F231="", "", AND('ProductSprint Backlog'!$J231&gt;B$2,'ProductSprint Backlog'!$I231&lt;=B$2), 'ProductSprint Backlog'!$F231 / MAX(1, 'ProductSprint Backlog'!$J231-'ProductSprint Backlog'!$I231), AND('ProductSprint Backlog'!$J231=B$2,'ProductSprint Backlog'!$I231=B$2), 'ProductSprint Backlog'!$F231, TRUE, 0)</f>
        <v>0</v>
      </c>
      <c r="C231" s="4" cm="1">
        <f t="array" ref="C231">_xlfn.IFS('ProductSprint Backlog'!$F231="", "", AND('ProductSprint Backlog'!$J231&gt;C$2,'ProductSprint Backlog'!$I231&lt;=C$2), 'ProductSprint Backlog'!$F231 / MAX(1, 'ProductSprint Backlog'!$J231-'ProductSprint Backlog'!$I231), AND('ProductSprint Backlog'!$J231=C$2,'ProductSprint Backlog'!$I231=C$2), 'ProductSprint Backlog'!$F231, TRUE, 0)</f>
        <v>0</v>
      </c>
      <c r="D231" s="4" cm="1">
        <f t="array" ref="D231">_xlfn.IFS('ProductSprint Backlog'!$F231="", "", AND('ProductSprint Backlog'!$J231&gt;D$2,'ProductSprint Backlog'!$I231&lt;=D$2), 'ProductSprint Backlog'!$F231 / MAX(1, 'ProductSprint Backlog'!$J231-'ProductSprint Backlog'!$I231), AND('ProductSprint Backlog'!$J231=D$2,'ProductSprint Backlog'!$I231=D$2), 'ProductSprint Backlog'!$F231, TRUE, 0)</f>
        <v>0</v>
      </c>
      <c r="E231" s="4" cm="1">
        <f t="array" ref="E231">_xlfn.IFS('ProductSprint Backlog'!$F231="", "", AND('ProductSprint Backlog'!$J231&gt;E$2,'ProductSprint Backlog'!$I231&lt;=E$2), 'ProductSprint Backlog'!$F231 / MAX(1, 'ProductSprint Backlog'!$J231-'ProductSprint Backlog'!$I231), AND('ProductSprint Backlog'!$J231=E$2,'ProductSprint Backlog'!$I231=E$2), 'ProductSprint Backlog'!$F231, TRUE, 0)</f>
        <v>0</v>
      </c>
      <c r="F231" s="4" cm="1">
        <f t="array" ref="F231">_xlfn.IFS('ProductSprint Backlog'!$F231="", "", AND('ProductSprint Backlog'!$J231&gt;F$2,'ProductSprint Backlog'!$I231&lt;=F$2), 'ProductSprint Backlog'!$F231 / MAX(1, 'ProductSprint Backlog'!$J231-'ProductSprint Backlog'!$I231), AND('ProductSprint Backlog'!$J231=F$2,'ProductSprint Backlog'!$I231=F$2), 'ProductSprint Backlog'!$F231, TRUE, 0)</f>
        <v>0</v>
      </c>
      <c r="G231" s="4" cm="1">
        <f t="array" ref="G231">_xlfn.IFS('ProductSprint Backlog'!$F231="", "", AND('ProductSprint Backlog'!$J231&gt;G$2,'ProductSprint Backlog'!$I231&lt;=G$2), 'ProductSprint Backlog'!$F231 / MAX(1, 'ProductSprint Backlog'!$J231-'ProductSprint Backlog'!$I231), AND('ProductSprint Backlog'!$J231=G$2,'ProductSprint Backlog'!$I231=G$2), 'ProductSprint Backlog'!$F231, TRUE, 0)</f>
        <v>0</v>
      </c>
      <c r="H231" s="4" cm="1">
        <f t="array" ref="H231">_xlfn.IFS('ProductSprint Backlog'!$F231="", "", AND('ProductSprint Backlog'!$J231&gt;H$2,'ProductSprint Backlog'!$I231&lt;=H$2), 'ProductSprint Backlog'!$F231 / MAX(1, 'ProductSprint Backlog'!$J231-'ProductSprint Backlog'!$I231), AND('ProductSprint Backlog'!$J231=H$2,'ProductSprint Backlog'!$I231=H$2), 'ProductSprint Backlog'!$F231, TRUE, 0)</f>
        <v>0</v>
      </c>
      <c r="I231" s="4" cm="1">
        <f t="array" ref="I231">_xlfn.IFS('ProductSprint Backlog'!$F231="", "", AND('ProductSprint Backlog'!$J231&gt;I$2,'ProductSprint Backlog'!$I231&lt;=I$2), 'ProductSprint Backlog'!$F231 / MAX(1, 'ProductSprint Backlog'!$J231-'ProductSprint Backlog'!$I231), AND('ProductSprint Backlog'!$J231=I$2,'ProductSprint Backlog'!$I231=I$2), 'ProductSprint Backlog'!$F231, TRUE, 0)</f>
        <v>0</v>
      </c>
      <c r="J231" s="4" cm="1">
        <f t="array" ref="J231">_xlfn.IFS('ProductSprint Backlog'!$F231="", "", AND('ProductSprint Backlog'!$J231&gt;J$2,'ProductSprint Backlog'!$I231&lt;=J$2), 'ProductSprint Backlog'!$F231 / MAX(1, 'ProductSprint Backlog'!$J231-'ProductSprint Backlog'!$I231), AND('ProductSprint Backlog'!$J231=J$2,'ProductSprint Backlog'!$I231=J$2), 'ProductSprint Backlog'!$F231, TRUE, 0)</f>
        <v>0</v>
      </c>
      <c r="K231" s="4" cm="1">
        <f t="array" ref="K231">_xlfn.IFS('ProductSprint Backlog'!$F231="", "", AND('ProductSprint Backlog'!$J231&gt;K$2,'ProductSprint Backlog'!$I231&lt;=K$2), 'ProductSprint Backlog'!$F231 / MAX(1, 'ProductSprint Backlog'!$J231-'ProductSprint Backlog'!$I231), AND('ProductSprint Backlog'!$J231=K$2,'ProductSprint Backlog'!$I231=K$2), 'ProductSprint Backlog'!$F231, TRUE, 0)</f>
        <v>0</v>
      </c>
      <c r="L231" s="4" cm="1">
        <f t="array" ref="L231">_xlfn.IFS('ProductSprint Backlog'!$F231="", "", AND('ProductSprint Backlog'!$J231&gt;L$2,'ProductSprint Backlog'!$I231&lt;=L$2), 'ProductSprint Backlog'!$F231 / MAX(1, 'ProductSprint Backlog'!$J231-'ProductSprint Backlog'!$I231), AND('ProductSprint Backlog'!$J231=L$2,'ProductSprint Backlog'!$I231=L$2), 'ProductSprint Backlog'!$F231, TRUE, 0)</f>
        <v>0</v>
      </c>
      <c r="M231" s="4" cm="1">
        <f t="array" ref="M231">_xlfn.IFS('ProductSprint Backlog'!$F231="", "", AND('ProductSprint Backlog'!$J231&gt;M$2,'ProductSprint Backlog'!$I231&lt;=M$2), 'ProductSprint Backlog'!$F231 / MAX(1, 'ProductSprint Backlog'!$J231-'ProductSprint Backlog'!$I231), AND('ProductSprint Backlog'!$J231=M$2,'ProductSprint Backlog'!$I231=M$2), 'ProductSprint Backlog'!$F231, TRUE, 0)</f>
        <v>0</v>
      </c>
      <c r="N231" s="4" cm="1">
        <f t="array" ref="N231">_xlfn.IFS('ProductSprint Backlog'!$F231="", "", AND('ProductSprint Backlog'!$J231&gt;N$2,'ProductSprint Backlog'!$I231&lt;=N$2), 'ProductSprint Backlog'!$F231 / MAX(1, 'ProductSprint Backlog'!$J231-'ProductSprint Backlog'!$I231), AND('ProductSprint Backlog'!$J231=N$2,'ProductSprint Backlog'!$I231=N$2), 'ProductSprint Backlog'!$F231, TRUE, 0)</f>
        <v>0</v>
      </c>
      <c r="O231" s="4" cm="1">
        <f t="array" ref="O231">_xlfn.IFS('ProductSprint Backlog'!$F231="", "", AND('ProductSprint Backlog'!$J231&gt;O$2,'ProductSprint Backlog'!$I231&lt;=O$2), 'ProductSprint Backlog'!$F231 / MAX(1, 'ProductSprint Backlog'!$J231-'ProductSprint Backlog'!$I231), AND('ProductSprint Backlog'!$J231=O$2,'ProductSprint Backlog'!$I231=O$2), 'ProductSprint Backlog'!$F231, TRUE, 0)</f>
        <v>0</v>
      </c>
      <c r="P231" s="4" cm="1">
        <f t="array" ref="P231">_xlfn.IFS('ProductSprint Backlog'!$F231="", "", AND('ProductSprint Backlog'!$J231&gt;P$2,'ProductSprint Backlog'!$I231&lt;=P$2), 'ProductSprint Backlog'!$F231 / MAX(1, 'ProductSprint Backlog'!$J231-'ProductSprint Backlog'!$I231), AND('ProductSprint Backlog'!$J231=P$2,'ProductSprint Backlog'!$I231=P$2), 'ProductSprint Backlog'!$F231, TRUE, 0)</f>
        <v>0</v>
      </c>
      <c r="Q231" s="4" cm="1">
        <f t="array" ref="Q231">_xlfn.IFS('ProductSprint Backlog'!$F231="", "", AND('ProductSprint Backlog'!$J231&gt;Q$2,'ProductSprint Backlog'!$I231&lt;=Q$2), 'ProductSprint Backlog'!$F231 / MAX(1, 'ProductSprint Backlog'!$J231-'ProductSprint Backlog'!$I231), AND('ProductSprint Backlog'!$J231=Q$2,'ProductSprint Backlog'!$I231=Q$2), 'ProductSprint Backlog'!$F231, TRUE, 0)</f>
        <v>0</v>
      </c>
    </row>
    <row r="232" spans="2:17" x14ac:dyDescent="0.2">
      <c r="B232" s="4" cm="1">
        <f t="array" ref="B232">_xlfn.IFS('ProductSprint Backlog'!$F232="", "", AND('ProductSprint Backlog'!$J232&gt;B$2,'ProductSprint Backlog'!$I232&lt;=B$2), 'ProductSprint Backlog'!$F232 / MAX(1, 'ProductSprint Backlog'!$J232-'ProductSprint Backlog'!$I232), AND('ProductSprint Backlog'!$J232=B$2,'ProductSprint Backlog'!$I232=B$2), 'ProductSprint Backlog'!$F232, TRUE, 0)</f>
        <v>0</v>
      </c>
      <c r="C232" s="4" cm="1">
        <f t="array" ref="C232">_xlfn.IFS('ProductSprint Backlog'!$F232="", "", AND('ProductSprint Backlog'!$J232&gt;C$2,'ProductSprint Backlog'!$I232&lt;=C$2), 'ProductSprint Backlog'!$F232 / MAX(1, 'ProductSprint Backlog'!$J232-'ProductSprint Backlog'!$I232), AND('ProductSprint Backlog'!$J232=C$2,'ProductSprint Backlog'!$I232=C$2), 'ProductSprint Backlog'!$F232, TRUE, 0)</f>
        <v>0</v>
      </c>
      <c r="D232" s="4" cm="1">
        <f t="array" ref="D232">_xlfn.IFS('ProductSprint Backlog'!$F232="", "", AND('ProductSprint Backlog'!$J232&gt;D$2,'ProductSprint Backlog'!$I232&lt;=D$2), 'ProductSprint Backlog'!$F232 / MAX(1, 'ProductSprint Backlog'!$J232-'ProductSprint Backlog'!$I232), AND('ProductSprint Backlog'!$J232=D$2,'ProductSprint Backlog'!$I232=D$2), 'ProductSprint Backlog'!$F232, TRUE, 0)</f>
        <v>0</v>
      </c>
      <c r="E232" s="4" cm="1">
        <f t="array" ref="E232">_xlfn.IFS('ProductSprint Backlog'!$F232="", "", AND('ProductSprint Backlog'!$J232&gt;E$2,'ProductSprint Backlog'!$I232&lt;=E$2), 'ProductSprint Backlog'!$F232 / MAX(1, 'ProductSprint Backlog'!$J232-'ProductSprint Backlog'!$I232), AND('ProductSprint Backlog'!$J232=E$2,'ProductSprint Backlog'!$I232=E$2), 'ProductSprint Backlog'!$F232, TRUE, 0)</f>
        <v>0</v>
      </c>
      <c r="F232" s="4" cm="1">
        <f t="array" ref="F232">_xlfn.IFS('ProductSprint Backlog'!$F232="", "", AND('ProductSprint Backlog'!$J232&gt;F$2,'ProductSprint Backlog'!$I232&lt;=F$2), 'ProductSprint Backlog'!$F232 / MAX(1, 'ProductSprint Backlog'!$J232-'ProductSprint Backlog'!$I232), AND('ProductSprint Backlog'!$J232=F$2,'ProductSprint Backlog'!$I232=F$2), 'ProductSprint Backlog'!$F232, TRUE, 0)</f>
        <v>0</v>
      </c>
      <c r="G232" s="4" cm="1">
        <f t="array" ref="G232">_xlfn.IFS('ProductSprint Backlog'!$F232="", "", AND('ProductSprint Backlog'!$J232&gt;G$2,'ProductSprint Backlog'!$I232&lt;=G$2), 'ProductSprint Backlog'!$F232 / MAX(1, 'ProductSprint Backlog'!$J232-'ProductSprint Backlog'!$I232), AND('ProductSprint Backlog'!$J232=G$2,'ProductSprint Backlog'!$I232=G$2), 'ProductSprint Backlog'!$F232, TRUE, 0)</f>
        <v>0</v>
      </c>
      <c r="H232" s="4" cm="1">
        <f t="array" ref="H232">_xlfn.IFS('ProductSprint Backlog'!$F232="", "", AND('ProductSprint Backlog'!$J232&gt;H$2,'ProductSprint Backlog'!$I232&lt;=H$2), 'ProductSprint Backlog'!$F232 / MAX(1, 'ProductSprint Backlog'!$J232-'ProductSprint Backlog'!$I232), AND('ProductSprint Backlog'!$J232=H$2,'ProductSprint Backlog'!$I232=H$2), 'ProductSprint Backlog'!$F232, TRUE, 0)</f>
        <v>0</v>
      </c>
      <c r="I232" s="4" cm="1">
        <f t="array" ref="I232">_xlfn.IFS('ProductSprint Backlog'!$F232="", "", AND('ProductSprint Backlog'!$J232&gt;I$2,'ProductSprint Backlog'!$I232&lt;=I$2), 'ProductSprint Backlog'!$F232 / MAX(1, 'ProductSprint Backlog'!$J232-'ProductSprint Backlog'!$I232), AND('ProductSprint Backlog'!$J232=I$2,'ProductSprint Backlog'!$I232=I$2), 'ProductSprint Backlog'!$F232, TRUE, 0)</f>
        <v>0</v>
      </c>
      <c r="J232" s="4" cm="1">
        <f t="array" ref="J232">_xlfn.IFS('ProductSprint Backlog'!$F232="", "", AND('ProductSprint Backlog'!$J232&gt;J$2,'ProductSprint Backlog'!$I232&lt;=J$2), 'ProductSprint Backlog'!$F232 / MAX(1, 'ProductSprint Backlog'!$J232-'ProductSprint Backlog'!$I232), AND('ProductSprint Backlog'!$J232=J$2,'ProductSprint Backlog'!$I232=J$2), 'ProductSprint Backlog'!$F232, TRUE, 0)</f>
        <v>0</v>
      </c>
      <c r="K232" s="4" cm="1">
        <f t="array" ref="K232">_xlfn.IFS('ProductSprint Backlog'!$F232="", "", AND('ProductSprint Backlog'!$J232&gt;K$2,'ProductSprint Backlog'!$I232&lt;=K$2), 'ProductSprint Backlog'!$F232 / MAX(1, 'ProductSprint Backlog'!$J232-'ProductSprint Backlog'!$I232), AND('ProductSprint Backlog'!$J232=K$2,'ProductSprint Backlog'!$I232=K$2), 'ProductSprint Backlog'!$F232, TRUE, 0)</f>
        <v>0</v>
      </c>
      <c r="L232" s="4" cm="1">
        <f t="array" ref="L232">_xlfn.IFS('ProductSprint Backlog'!$F232="", "", AND('ProductSprint Backlog'!$J232&gt;L$2,'ProductSprint Backlog'!$I232&lt;=L$2), 'ProductSprint Backlog'!$F232 / MAX(1, 'ProductSprint Backlog'!$J232-'ProductSprint Backlog'!$I232), AND('ProductSprint Backlog'!$J232=L$2,'ProductSprint Backlog'!$I232=L$2), 'ProductSprint Backlog'!$F232, TRUE, 0)</f>
        <v>0</v>
      </c>
      <c r="M232" s="4" cm="1">
        <f t="array" ref="M232">_xlfn.IFS('ProductSprint Backlog'!$F232="", "", AND('ProductSprint Backlog'!$J232&gt;M$2,'ProductSprint Backlog'!$I232&lt;=M$2), 'ProductSprint Backlog'!$F232 / MAX(1, 'ProductSprint Backlog'!$J232-'ProductSprint Backlog'!$I232), AND('ProductSprint Backlog'!$J232=M$2,'ProductSprint Backlog'!$I232=M$2), 'ProductSprint Backlog'!$F232, TRUE, 0)</f>
        <v>0</v>
      </c>
      <c r="N232" s="4" cm="1">
        <f t="array" ref="N232">_xlfn.IFS('ProductSprint Backlog'!$F232="", "", AND('ProductSprint Backlog'!$J232&gt;N$2,'ProductSprint Backlog'!$I232&lt;=N$2), 'ProductSprint Backlog'!$F232 / MAX(1, 'ProductSprint Backlog'!$J232-'ProductSprint Backlog'!$I232), AND('ProductSprint Backlog'!$J232=N$2,'ProductSprint Backlog'!$I232=N$2), 'ProductSprint Backlog'!$F232, TRUE, 0)</f>
        <v>0</v>
      </c>
      <c r="O232" s="4" cm="1">
        <f t="array" ref="O232">_xlfn.IFS('ProductSprint Backlog'!$F232="", "", AND('ProductSprint Backlog'!$J232&gt;O$2,'ProductSprint Backlog'!$I232&lt;=O$2), 'ProductSprint Backlog'!$F232 / MAX(1, 'ProductSprint Backlog'!$J232-'ProductSprint Backlog'!$I232), AND('ProductSprint Backlog'!$J232=O$2,'ProductSprint Backlog'!$I232=O$2), 'ProductSprint Backlog'!$F232, TRUE, 0)</f>
        <v>0</v>
      </c>
      <c r="P232" s="4" cm="1">
        <f t="array" ref="P232">_xlfn.IFS('ProductSprint Backlog'!$F232="", "", AND('ProductSprint Backlog'!$J232&gt;P$2,'ProductSprint Backlog'!$I232&lt;=P$2), 'ProductSprint Backlog'!$F232 / MAX(1, 'ProductSprint Backlog'!$J232-'ProductSprint Backlog'!$I232), AND('ProductSprint Backlog'!$J232=P$2,'ProductSprint Backlog'!$I232=P$2), 'ProductSprint Backlog'!$F232, TRUE, 0)</f>
        <v>0</v>
      </c>
      <c r="Q232" s="4" cm="1">
        <f t="array" ref="Q232">_xlfn.IFS('ProductSprint Backlog'!$F232="", "", AND('ProductSprint Backlog'!$J232&gt;Q$2,'ProductSprint Backlog'!$I232&lt;=Q$2), 'ProductSprint Backlog'!$F232 / MAX(1, 'ProductSprint Backlog'!$J232-'ProductSprint Backlog'!$I232), AND('ProductSprint Backlog'!$J232=Q$2,'ProductSprint Backlog'!$I232=Q$2), 'ProductSprint Backlog'!$F232, TRUE, 0)</f>
        <v>0</v>
      </c>
    </row>
    <row r="233" spans="2:17" x14ac:dyDescent="0.2">
      <c r="B233" s="4" cm="1">
        <f t="array" ref="B233">_xlfn.IFS('ProductSprint Backlog'!$F233="", "", AND('ProductSprint Backlog'!$J233&gt;B$2,'ProductSprint Backlog'!$I233&lt;=B$2), 'ProductSprint Backlog'!$F233 / MAX(1, 'ProductSprint Backlog'!$J233-'ProductSprint Backlog'!$I233), AND('ProductSprint Backlog'!$J233=B$2,'ProductSprint Backlog'!$I233=B$2), 'ProductSprint Backlog'!$F233, TRUE, 0)</f>
        <v>0</v>
      </c>
      <c r="C233" s="4" cm="1">
        <f t="array" ref="C233">_xlfn.IFS('ProductSprint Backlog'!$F233="", "", AND('ProductSprint Backlog'!$J233&gt;C$2,'ProductSprint Backlog'!$I233&lt;=C$2), 'ProductSprint Backlog'!$F233 / MAX(1, 'ProductSprint Backlog'!$J233-'ProductSprint Backlog'!$I233), AND('ProductSprint Backlog'!$J233=C$2,'ProductSprint Backlog'!$I233=C$2), 'ProductSprint Backlog'!$F233, TRUE, 0)</f>
        <v>0</v>
      </c>
      <c r="D233" s="4" cm="1">
        <f t="array" ref="D233">_xlfn.IFS('ProductSprint Backlog'!$F233="", "", AND('ProductSprint Backlog'!$J233&gt;D$2,'ProductSprint Backlog'!$I233&lt;=D$2), 'ProductSprint Backlog'!$F233 / MAX(1, 'ProductSprint Backlog'!$J233-'ProductSprint Backlog'!$I233), AND('ProductSprint Backlog'!$J233=D$2,'ProductSprint Backlog'!$I233=D$2), 'ProductSprint Backlog'!$F233, TRUE, 0)</f>
        <v>0</v>
      </c>
      <c r="E233" s="4" cm="1">
        <f t="array" ref="E233">_xlfn.IFS('ProductSprint Backlog'!$F233="", "", AND('ProductSprint Backlog'!$J233&gt;E$2,'ProductSprint Backlog'!$I233&lt;=E$2), 'ProductSprint Backlog'!$F233 / MAX(1, 'ProductSprint Backlog'!$J233-'ProductSprint Backlog'!$I233), AND('ProductSprint Backlog'!$J233=E$2,'ProductSprint Backlog'!$I233=E$2), 'ProductSprint Backlog'!$F233, TRUE, 0)</f>
        <v>0</v>
      </c>
      <c r="F233" s="4" cm="1">
        <f t="array" ref="F233">_xlfn.IFS('ProductSprint Backlog'!$F233="", "", AND('ProductSprint Backlog'!$J233&gt;F$2,'ProductSprint Backlog'!$I233&lt;=F$2), 'ProductSprint Backlog'!$F233 / MAX(1, 'ProductSprint Backlog'!$J233-'ProductSprint Backlog'!$I233), AND('ProductSprint Backlog'!$J233=F$2,'ProductSprint Backlog'!$I233=F$2), 'ProductSprint Backlog'!$F233, TRUE, 0)</f>
        <v>0</v>
      </c>
      <c r="G233" s="4" cm="1">
        <f t="array" ref="G233">_xlfn.IFS('ProductSprint Backlog'!$F233="", "", AND('ProductSprint Backlog'!$J233&gt;G$2,'ProductSprint Backlog'!$I233&lt;=G$2), 'ProductSprint Backlog'!$F233 / MAX(1, 'ProductSprint Backlog'!$J233-'ProductSprint Backlog'!$I233), AND('ProductSprint Backlog'!$J233=G$2,'ProductSprint Backlog'!$I233=G$2), 'ProductSprint Backlog'!$F233, TRUE, 0)</f>
        <v>0</v>
      </c>
      <c r="H233" s="4" cm="1">
        <f t="array" ref="H233">_xlfn.IFS('ProductSprint Backlog'!$F233="", "", AND('ProductSprint Backlog'!$J233&gt;H$2,'ProductSprint Backlog'!$I233&lt;=H$2), 'ProductSprint Backlog'!$F233 / MAX(1, 'ProductSprint Backlog'!$J233-'ProductSprint Backlog'!$I233), AND('ProductSprint Backlog'!$J233=H$2,'ProductSprint Backlog'!$I233=H$2), 'ProductSprint Backlog'!$F233, TRUE, 0)</f>
        <v>0</v>
      </c>
      <c r="I233" s="4" cm="1">
        <f t="array" ref="I233">_xlfn.IFS('ProductSprint Backlog'!$F233="", "", AND('ProductSprint Backlog'!$J233&gt;I$2,'ProductSprint Backlog'!$I233&lt;=I$2), 'ProductSprint Backlog'!$F233 / MAX(1, 'ProductSprint Backlog'!$J233-'ProductSprint Backlog'!$I233), AND('ProductSprint Backlog'!$J233=I$2,'ProductSprint Backlog'!$I233=I$2), 'ProductSprint Backlog'!$F233, TRUE, 0)</f>
        <v>0</v>
      </c>
      <c r="J233" s="4" cm="1">
        <f t="array" ref="J233">_xlfn.IFS('ProductSprint Backlog'!$F233="", "", AND('ProductSprint Backlog'!$J233&gt;J$2,'ProductSprint Backlog'!$I233&lt;=J$2), 'ProductSprint Backlog'!$F233 / MAX(1, 'ProductSprint Backlog'!$J233-'ProductSprint Backlog'!$I233), AND('ProductSprint Backlog'!$J233=J$2,'ProductSprint Backlog'!$I233=J$2), 'ProductSprint Backlog'!$F233, TRUE, 0)</f>
        <v>0</v>
      </c>
      <c r="K233" s="4" cm="1">
        <f t="array" ref="K233">_xlfn.IFS('ProductSprint Backlog'!$F233="", "", AND('ProductSprint Backlog'!$J233&gt;K$2,'ProductSprint Backlog'!$I233&lt;=K$2), 'ProductSprint Backlog'!$F233 / MAX(1, 'ProductSprint Backlog'!$J233-'ProductSprint Backlog'!$I233), AND('ProductSprint Backlog'!$J233=K$2,'ProductSprint Backlog'!$I233=K$2), 'ProductSprint Backlog'!$F233, TRUE, 0)</f>
        <v>0</v>
      </c>
      <c r="L233" s="4" cm="1">
        <f t="array" ref="L233">_xlfn.IFS('ProductSprint Backlog'!$F233="", "", AND('ProductSprint Backlog'!$J233&gt;L$2,'ProductSprint Backlog'!$I233&lt;=L$2), 'ProductSprint Backlog'!$F233 / MAX(1, 'ProductSprint Backlog'!$J233-'ProductSprint Backlog'!$I233), AND('ProductSprint Backlog'!$J233=L$2,'ProductSprint Backlog'!$I233=L$2), 'ProductSprint Backlog'!$F233, TRUE, 0)</f>
        <v>0</v>
      </c>
      <c r="M233" s="4" cm="1">
        <f t="array" ref="M233">_xlfn.IFS('ProductSprint Backlog'!$F233="", "", AND('ProductSprint Backlog'!$J233&gt;M$2,'ProductSprint Backlog'!$I233&lt;=M$2), 'ProductSprint Backlog'!$F233 / MAX(1, 'ProductSprint Backlog'!$J233-'ProductSprint Backlog'!$I233), AND('ProductSprint Backlog'!$J233=M$2,'ProductSprint Backlog'!$I233=M$2), 'ProductSprint Backlog'!$F233, TRUE, 0)</f>
        <v>0</v>
      </c>
      <c r="N233" s="4" cm="1">
        <f t="array" ref="N233">_xlfn.IFS('ProductSprint Backlog'!$F233="", "", AND('ProductSprint Backlog'!$J233&gt;N$2,'ProductSprint Backlog'!$I233&lt;=N$2), 'ProductSprint Backlog'!$F233 / MAX(1, 'ProductSprint Backlog'!$J233-'ProductSprint Backlog'!$I233), AND('ProductSprint Backlog'!$J233=N$2,'ProductSprint Backlog'!$I233=N$2), 'ProductSprint Backlog'!$F233, TRUE, 0)</f>
        <v>0</v>
      </c>
      <c r="O233" s="4" cm="1">
        <f t="array" ref="O233">_xlfn.IFS('ProductSprint Backlog'!$F233="", "", AND('ProductSprint Backlog'!$J233&gt;O$2,'ProductSprint Backlog'!$I233&lt;=O$2), 'ProductSprint Backlog'!$F233 / MAX(1, 'ProductSprint Backlog'!$J233-'ProductSprint Backlog'!$I233), AND('ProductSprint Backlog'!$J233=O$2,'ProductSprint Backlog'!$I233=O$2), 'ProductSprint Backlog'!$F233, TRUE, 0)</f>
        <v>0</v>
      </c>
      <c r="P233" s="4" cm="1">
        <f t="array" ref="P233">_xlfn.IFS('ProductSprint Backlog'!$F233="", "", AND('ProductSprint Backlog'!$J233&gt;P$2,'ProductSprint Backlog'!$I233&lt;=P$2), 'ProductSprint Backlog'!$F233 / MAX(1, 'ProductSprint Backlog'!$J233-'ProductSprint Backlog'!$I233), AND('ProductSprint Backlog'!$J233=P$2,'ProductSprint Backlog'!$I233=P$2), 'ProductSprint Backlog'!$F233, TRUE, 0)</f>
        <v>0</v>
      </c>
      <c r="Q233" s="4" cm="1">
        <f t="array" ref="Q233">_xlfn.IFS('ProductSprint Backlog'!$F233="", "", AND('ProductSprint Backlog'!$J233&gt;Q$2,'ProductSprint Backlog'!$I233&lt;=Q$2), 'ProductSprint Backlog'!$F233 / MAX(1, 'ProductSprint Backlog'!$J233-'ProductSprint Backlog'!$I233), AND('ProductSprint Backlog'!$J233=Q$2,'ProductSprint Backlog'!$I233=Q$2), 'ProductSprint Backlog'!$F233, TRUE, 0)</f>
        <v>0</v>
      </c>
    </row>
    <row r="234" spans="2:17" x14ac:dyDescent="0.2">
      <c r="B234" s="4" cm="1">
        <f t="array" ref="B234">_xlfn.IFS('ProductSprint Backlog'!$F234="", "", AND('ProductSprint Backlog'!$J234&gt;B$2,'ProductSprint Backlog'!$I234&lt;=B$2), 'ProductSprint Backlog'!$F234 / MAX(1, 'ProductSprint Backlog'!$J234-'ProductSprint Backlog'!$I234), AND('ProductSprint Backlog'!$J234=B$2,'ProductSprint Backlog'!$I234=B$2), 'ProductSprint Backlog'!$F234, TRUE, 0)</f>
        <v>0</v>
      </c>
      <c r="C234" s="4" cm="1">
        <f t="array" ref="C234">_xlfn.IFS('ProductSprint Backlog'!$F234="", "", AND('ProductSprint Backlog'!$J234&gt;C$2,'ProductSprint Backlog'!$I234&lt;=C$2), 'ProductSprint Backlog'!$F234 / MAX(1, 'ProductSprint Backlog'!$J234-'ProductSprint Backlog'!$I234), AND('ProductSprint Backlog'!$J234=C$2,'ProductSprint Backlog'!$I234=C$2), 'ProductSprint Backlog'!$F234, TRUE, 0)</f>
        <v>0</v>
      </c>
      <c r="D234" s="4" cm="1">
        <f t="array" ref="D234">_xlfn.IFS('ProductSprint Backlog'!$F234="", "", AND('ProductSprint Backlog'!$J234&gt;D$2,'ProductSprint Backlog'!$I234&lt;=D$2), 'ProductSprint Backlog'!$F234 / MAX(1, 'ProductSprint Backlog'!$J234-'ProductSprint Backlog'!$I234), AND('ProductSprint Backlog'!$J234=D$2,'ProductSprint Backlog'!$I234=D$2), 'ProductSprint Backlog'!$F234, TRUE, 0)</f>
        <v>0</v>
      </c>
      <c r="E234" s="4" cm="1">
        <f t="array" ref="E234">_xlfn.IFS('ProductSprint Backlog'!$F234="", "", AND('ProductSprint Backlog'!$J234&gt;E$2,'ProductSprint Backlog'!$I234&lt;=E$2), 'ProductSprint Backlog'!$F234 / MAX(1, 'ProductSprint Backlog'!$J234-'ProductSprint Backlog'!$I234), AND('ProductSprint Backlog'!$J234=E$2,'ProductSprint Backlog'!$I234=E$2), 'ProductSprint Backlog'!$F234, TRUE, 0)</f>
        <v>0</v>
      </c>
      <c r="F234" s="4" cm="1">
        <f t="array" ref="F234">_xlfn.IFS('ProductSprint Backlog'!$F234="", "", AND('ProductSprint Backlog'!$J234&gt;F$2,'ProductSprint Backlog'!$I234&lt;=F$2), 'ProductSprint Backlog'!$F234 / MAX(1, 'ProductSprint Backlog'!$J234-'ProductSprint Backlog'!$I234), AND('ProductSprint Backlog'!$J234=F$2,'ProductSprint Backlog'!$I234=F$2), 'ProductSprint Backlog'!$F234, TRUE, 0)</f>
        <v>0</v>
      </c>
      <c r="G234" s="4" cm="1">
        <f t="array" ref="G234">_xlfn.IFS('ProductSprint Backlog'!$F234="", "", AND('ProductSprint Backlog'!$J234&gt;G$2,'ProductSprint Backlog'!$I234&lt;=G$2), 'ProductSprint Backlog'!$F234 / MAX(1, 'ProductSprint Backlog'!$J234-'ProductSprint Backlog'!$I234), AND('ProductSprint Backlog'!$J234=G$2,'ProductSprint Backlog'!$I234=G$2), 'ProductSprint Backlog'!$F234, TRUE, 0)</f>
        <v>0</v>
      </c>
      <c r="H234" s="4" cm="1">
        <f t="array" ref="H234">_xlfn.IFS('ProductSprint Backlog'!$F234="", "", AND('ProductSprint Backlog'!$J234&gt;H$2,'ProductSprint Backlog'!$I234&lt;=H$2), 'ProductSprint Backlog'!$F234 / MAX(1, 'ProductSprint Backlog'!$J234-'ProductSprint Backlog'!$I234), AND('ProductSprint Backlog'!$J234=H$2,'ProductSprint Backlog'!$I234=H$2), 'ProductSprint Backlog'!$F234, TRUE, 0)</f>
        <v>0</v>
      </c>
      <c r="I234" s="4" cm="1">
        <f t="array" ref="I234">_xlfn.IFS('ProductSprint Backlog'!$F234="", "", AND('ProductSprint Backlog'!$J234&gt;I$2,'ProductSprint Backlog'!$I234&lt;=I$2), 'ProductSprint Backlog'!$F234 / MAX(1, 'ProductSprint Backlog'!$J234-'ProductSprint Backlog'!$I234), AND('ProductSprint Backlog'!$J234=I$2,'ProductSprint Backlog'!$I234=I$2), 'ProductSprint Backlog'!$F234, TRUE, 0)</f>
        <v>0</v>
      </c>
      <c r="J234" s="4" cm="1">
        <f t="array" ref="J234">_xlfn.IFS('ProductSprint Backlog'!$F234="", "", AND('ProductSprint Backlog'!$J234&gt;J$2,'ProductSprint Backlog'!$I234&lt;=J$2), 'ProductSprint Backlog'!$F234 / MAX(1, 'ProductSprint Backlog'!$J234-'ProductSprint Backlog'!$I234), AND('ProductSprint Backlog'!$J234=J$2,'ProductSprint Backlog'!$I234=J$2), 'ProductSprint Backlog'!$F234, TRUE, 0)</f>
        <v>0</v>
      </c>
      <c r="K234" s="4" cm="1">
        <f t="array" ref="K234">_xlfn.IFS('ProductSprint Backlog'!$F234="", "", AND('ProductSprint Backlog'!$J234&gt;K$2,'ProductSprint Backlog'!$I234&lt;=K$2), 'ProductSprint Backlog'!$F234 / MAX(1, 'ProductSprint Backlog'!$J234-'ProductSprint Backlog'!$I234), AND('ProductSprint Backlog'!$J234=K$2,'ProductSprint Backlog'!$I234=K$2), 'ProductSprint Backlog'!$F234, TRUE, 0)</f>
        <v>0</v>
      </c>
      <c r="L234" s="4" cm="1">
        <f t="array" ref="L234">_xlfn.IFS('ProductSprint Backlog'!$F234="", "", AND('ProductSprint Backlog'!$J234&gt;L$2,'ProductSprint Backlog'!$I234&lt;=L$2), 'ProductSprint Backlog'!$F234 / MAX(1, 'ProductSprint Backlog'!$J234-'ProductSprint Backlog'!$I234), AND('ProductSprint Backlog'!$J234=L$2,'ProductSprint Backlog'!$I234=L$2), 'ProductSprint Backlog'!$F234, TRUE, 0)</f>
        <v>0</v>
      </c>
      <c r="M234" s="4" cm="1">
        <f t="array" ref="M234">_xlfn.IFS('ProductSprint Backlog'!$F234="", "", AND('ProductSprint Backlog'!$J234&gt;M$2,'ProductSprint Backlog'!$I234&lt;=M$2), 'ProductSprint Backlog'!$F234 / MAX(1, 'ProductSprint Backlog'!$J234-'ProductSprint Backlog'!$I234), AND('ProductSprint Backlog'!$J234=M$2,'ProductSprint Backlog'!$I234=M$2), 'ProductSprint Backlog'!$F234, TRUE, 0)</f>
        <v>0</v>
      </c>
      <c r="N234" s="4" cm="1">
        <f t="array" ref="N234">_xlfn.IFS('ProductSprint Backlog'!$F234="", "", AND('ProductSprint Backlog'!$J234&gt;N$2,'ProductSprint Backlog'!$I234&lt;=N$2), 'ProductSprint Backlog'!$F234 / MAX(1, 'ProductSprint Backlog'!$J234-'ProductSprint Backlog'!$I234), AND('ProductSprint Backlog'!$J234=N$2,'ProductSprint Backlog'!$I234=N$2), 'ProductSprint Backlog'!$F234, TRUE, 0)</f>
        <v>0</v>
      </c>
      <c r="O234" s="4" cm="1">
        <f t="array" ref="O234">_xlfn.IFS('ProductSprint Backlog'!$F234="", "", AND('ProductSprint Backlog'!$J234&gt;O$2,'ProductSprint Backlog'!$I234&lt;=O$2), 'ProductSprint Backlog'!$F234 / MAX(1, 'ProductSprint Backlog'!$J234-'ProductSprint Backlog'!$I234), AND('ProductSprint Backlog'!$J234=O$2,'ProductSprint Backlog'!$I234=O$2), 'ProductSprint Backlog'!$F234, TRUE, 0)</f>
        <v>0</v>
      </c>
      <c r="P234" s="4" cm="1">
        <f t="array" ref="P234">_xlfn.IFS('ProductSprint Backlog'!$F234="", "", AND('ProductSprint Backlog'!$J234&gt;P$2,'ProductSprint Backlog'!$I234&lt;=P$2), 'ProductSprint Backlog'!$F234 / MAX(1, 'ProductSprint Backlog'!$J234-'ProductSprint Backlog'!$I234), AND('ProductSprint Backlog'!$J234=P$2,'ProductSprint Backlog'!$I234=P$2), 'ProductSprint Backlog'!$F234, TRUE, 0)</f>
        <v>0</v>
      </c>
      <c r="Q234" s="4" cm="1">
        <f t="array" ref="Q234">_xlfn.IFS('ProductSprint Backlog'!$F234="", "", AND('ProductSprint Backlog'!$J234&gt;Q$2,'ProductSprint Backlog'!$I234&lt;=Q$2), 'ProductSprint Backlog'!$F234 / MAX(1, 'ProductSprint Backlog'!$J234-'ProductSprint Backlog'!$I234), AND('ProductSprint Backlog'!$J234=Q$2,'ProductSprint Backlog'!$I234=Q$2), 'ProductSprint Backlog'!$F234, TRUE, 0)</f>
        <v>0</v>
      </c>
    </row>
    <row r="235" spans="2:17" x14ac:dyDescent="0.2">
      <c r="B235" s="4" cm="1">
        <f t="array" ref="B235">_xlfn.IFS('ProductSprint Backlog'!$F235="", "", AND('ProductSprint Backlog'!$J235&gt;B$2,'ProductSprint Backlog'!$I235&lt;=B$2), 'ProductSprint Backlog'!$F235 / MAX(1, 'ProductSprint Backlog'!$J235-'ProductSprint Backlog'!$I235), AND('ProductSprint Backlog'!$J235=B$2,'ProductSprint Backlog'!$I235=B$2), 'ProductSprint Backlog'!$F235, TRUE, 0)</f>
        <v>0</v>
      </c>
      <c r="C235" s="4" cm="1">
        <f t="array" ref="C235">_xlfn.IFS('ProductSprint Backlog'!$F235="", "", AND('ProductSprint Backlog'!$J235&gt;C$2,'ProductSprint Backlog'!$I235&lt;=C$2), 'ProductSprint Backlog'!$F235 / MAX(1, 'ProductSprint Backlog'!$J235-'ProductSprint Backlog'!$I235), AND('ProductSprint Backlog'!$J235=C$2,'ProductSprint Backlog'!$I235=C$2), 'ProductSprint Backlog'!$F235, TRUE, 0)</f>
        <v>0</v>
      </c>
      <c r="D235" s="4" cm="1">
        <f t="array" ref="D235">_xlfn.IFS('ProductSprint Backlog'!$F235="", "", AND('ProductSprint Backlog'!$J235&gt;D$2,'ProductSprint Backlog'!$I235&lt;=D$2), 'ProductSprint Backlog'!$F235 / MAX(1, 'ProductSprint Backlog'!$J235-'ProductSprint Backlog'!$I235), AND('ProductSprint Backlog'!$J235=D$2,'ProductSprint Backlog'!$I235=D$2), 'ProductSprint Backlog'!$F235, TRUE, 0)</f>
        <v>0</v>
      </c>
      <c r="E235" s="4" cm="1">
        <f t="array" ref="E235">_xlfn.IFS('ProductSprint Backlog'!$F235="", "", AND('ProductSprint Backlog'!$J235&gt;E$2,'ProductSprint Backlog'!$I235&lt;=E$2), 'ProductSprint Backlog'!$F235 / MAX(1, 'ProductSprint Backlog'!$J235-'ProductSprint Backlog'!$I235), AND('ProductSprint Backlog'!$J235=E$2,'ProductSprint Backlog'!$I235=E$2), 'ProductSprint Backlog'!$F235, TRUE, 0)</f>
        <v>0</v>
      </c>
      <c r="F235" s="4" cm="1">
        <f t="array" ref="F235">_xlfn.IFS('ProductSprint Backlog'!$F235="", "", AND('ProductSprint Backlog'!$J235&gt;F$2,'ProductSprint Backlog'!$I235&lt;=F$2), 'ProductSprint Backlog'!$F235 / MAX(1, 'ProductSprint Backlog'!$J235-'ProductSprint Backlog'!$I235), AND('ProductSprint Backlog'!$J235=F$2,'ProductSprint Backlog'!$I235=F$2), 'ProductSprint Backlog'!$F235, TRUE, 0)</f>
        <v>0</v>
      </c>
      <c r="G235" s="4" cm="1">
        <f t="array" ref="G235">_xlfn.IFS('ProductSprint Backlog'!$F235="", "", AND('ProductSprint Backlog'!$J235&gt;G$2,'ProductSprint Backlog'!$I235&lt;=G$2), 'ProductSprint Backlog'!$F235 / MAX(1, 'ProductSprint Backlog'!$J235-'ProductSprint Backlog'!$I235), AND('ProductSprint Backlog'!$J235=G$2,'ProductSprint Backlog'!$I235=G$2), 'ProductSprint Backlog'!$F235, TRUE, 0)</f>
        <v>0</v>
      </c>
      <c r="H235" s="4" cm="1">
        <f t="array" ref="H235">_xlfn.IFS('ProductSprint Backlog'!$F235="", "", AND('ProductSprint Backlog'!$J235&gt;H$2,'ProductSprint Backlog'!$I235&lt;=H$2), 'ProductSprint Backlog'!$F235 / MAX(1, 'ProductSprint Backlog'!$J235-'ProductSprint Backlog'!$I235), AND('ProductSprint Backlog'!$J235=H$2,'ProductSprint Backlog'!$I235=H$2), 'ProductSprint Backlog'!$F235, TRUE, 0)</f>
        <v>0</v>
      </c>
      <c r="I235" s="4" cm="1">
        <f t="array" ref="I235">_xlfn.IFS('ProductSprint Backlog'!$F235="", "", AND('ProductSprint Backlog'!$J235&gt;I$2,'ProductSprint Backlog'!$I235&lt;=I$2), 'ProductSprint Backlog'!$F235 / MAX(1, 'ProductSprint Backlog'!$J235-'ProductSprint Backlog'!$I235), AND('ProductSprint Backlog'!$J235=I$2,'ProductSprint Backlog'!$I235=I$2), 'ProductSprint Backlog'!$F235, TRUE, 0)</f>
        <v>0</v>
      </c>
      <c r="J235" s="4" cm="1">
        <f t="array" ref="J235">_xlfn.IFS('ProductSprint Backlog'!$F235="", "", AND('ProductSprint Backlog'!$J235&gt;J$2,'ProductSprint Backlog'!$I235&lt;=J$2), 'ProductSprint Backlog'!$F235 / MAX(1, 'ProductSprint Backlog'!$J235-'ProductSprint Backlog'!$I235), AND('ProductSprint Backlog'!$J235=J$2,'ProductSprint Backlog'!$I235=J$2), 'ProductSprint Backlog'!$F235, TRUE, 0)</f>
        <v>0</v>
      </c>
      <c r="K235" s="4" cm="1">
        <f t="array" ref="K235">_xlfn.IFS('ProductSprint Backlog'!$F235="", "", AND('ProductSprint Backlog'!$J235&gt;K$2,'ProductSprint Backlog'!$I235&lt;=K$2), 'ProductSprint Backlog'!$F235 / MAX(1, 'ProductSprint Backlog'!$J235-'ProductSprint Backlog'!$I235), AND('ProductSprint Backlog'!$J235=K$2,'ProductSprint Backlog'!$I235=K$2), 'ProductSprint Backlog'!$F235, TRUE, 0)</f>
        <v>0</v>
      </c>
      <c r="L235" s="4" cm="1">
        <f t="array" ref="L235">_xlfn.IFS('ProductSprint Backlog'!$F235="", "", AND('ProductSprint Backlog'!$J235&gt;L$2,'ProductSprint Backlog'!$I235&lt;=L$2), 'ProductSprint Backlog'!$F235 / MAX(1, 'ProductSprint Backlog'!$J235-'ProductSprint Backlog'!$I235), AND('ProductSprint Backlog'!$J235=L$2,'ProductSprint Backlog'!$I235=L$2), 'ProductSprint Backlog'!$F235, TRUE, 0)</f>
        <v>0</v>
      </c>
      <c r="M235" s="4" cm="1">
        <f t="array" ref="M235">_xlfn.IFS('ProductSprint Backlog'!$F235="", "", AND('ProductSprint Backlog'!$J235&gt;M$2,'ProductSprint Backlog'!$I235&lt;=M$2), 'ProductSprint Backlog'!$F235 / MAX(1, 'ProductSprint Backlog'!$J235-'ProductSprint Backlog'!$I235), AND('ProductSprint Backlog'!$J235=M$2,'ProductSprint Backlog'!$I235=M$2), 'ProductSprint Backlog'!$F235, TRUE, 0)</f>
        <v>0</v>
      </c>
      <c r="N235" s="4" cm="1">
        <f t="array" ref="N235">_xlfn.IFS('ProductSprint Backlog'!$F235="", "", AND('ProductSprint Backlog'!$J235&gt;N$2,'ProductSprint Backlog'!$I235&lt;=N$2), 'ProductSprint Backlog'!$F235 / MAX(1, 'ProductSprint Backlog'!$J235-'ProductSprint Backlog'!$I235), AND('ProductSprint Backlog'!$J235=N$2,'ProductSprint Backlog'!$I235=N$2), 'ProductSprint Backlog'!$F235, TRUE, 0)</f>
        <v>0</v>
      </c>
      <c r="O235" s="4" cm="1">
        <f t="array" ref="O235">_xlfn.IFS('ProductSprint Backlog'!$F235="", "", AND('ProductSprint Backlog'!$J235&gt;O$2,'ProductSprint Backlog'!$I235&lt;=O$2), 'ProductSprint Backlog'!$F235 / MAX(1, 'ProductSprint Backlog'!$J235-'ProductSprint Backlog'!$I235), AND('ProductSprint Backlog'!$J235=O$2,'ProductSprint Backlog'!$I235=O$2), 'ProductSprint Backlog'!$F235, TRUE, 0)</f>
        <v>0</v>
      </c>
      <c r="P235" s="4" cm="1">
        <f t="array" ref="P235">_xlfn.IFS('ProductSprint Backlog'!$F235="", "", AND('ProductSprint Backlog'!$J235&gt;P$2,'ProductSprint Backlog'!$I235&lt;=P$2), 'ProductSprint Backlog'!$F235 / MAX(1, 'ProductSprint Backlog'!$J235-'ProductSprint Backlog'!$I235), AND('ProductSprint Backlog'!$J235=P$2,'ProductSprint Backlog'!$I235=P$2), 'ProductSprint Backlog'!$F235, TRUE, 0)</f>
        <v>0</v>
      </c>
      <c r="Q235" s="4" cm="1">
        <f t="array" ref="Q235">_xlfn.IFS('ProductSprint Backlog'!$F235="", "", AND('ProductSprint Backlog'!$J235&gt;Q$2,'ProductSprint Backlog'!$I235&lt;=Q$2), 'ProductSprint Backlog'!$F235 / MAX(1, 'ProductSprint Backlog'!$J235-'ProductSprint Backlog'!$I235), AND('ProductSprint Backlog'!$J235=Q$2,'ProductSprint Backlog'!$I235=Q$2), 'ProductSprint Backlog'!$F235, TRUE, 0)</f>
        <v>0</v>
      </c>
    </row>
    <row r="236" spans="2:17" x14ac:dyDescent="0.2">
      <c r="B236" s="4" cm="1">
        <f t="array" ref="B236">_xlfn.IFS('ProductSprint Backlog'!$F236="", "", AND('ProductSprint Backlog'!$J236&gt;B$2,'ProductSprint Backlog'!$I236&lt;=B$2), 'ProductSprint Backlog'!$F236 / MAX(1, 'ProductSprint Backlog'!$J236-'ProductSprint Backlog'!$I236), AND('ProductSprint Backlog'!$J236=B$2,'ProductSprint Backlog'!$I236=B$2), 'ProductSprint Backlog'!$F236, TRUE, 0)</f>
        <v>0</v>
      </c>
      <c r="C236" s="4" cm="1">
        <f t="array" ref="C236">_xlfn.IFS('ProductSprint Backlog'!$F236="", "", AND('ProductSprint Backlog'!$J236&gt;C$2,'ProductSprint Backlog'!$I236&lt;=C$2), 'ProductSprint Backlog'!$F236 / MAX(1, 'ProductSprint Backlog'!$J236-'ProductSprint Backlog'!$I236), AND('ProductSprint Backlog'!$J236=C$2,'ProductSprint Backlog'!$I236=C$2), 'ProductSprint Backlog'!$F236, TRUE, 0)</f>
        <v>0</v>
      </c>
      <c r="D236" s="4" cm="1">
        <f t="array" ref="D236">_xlfn.IFS('ProductSprint Backlog'!$F236="", "", AND('ProductSprint Backlog'!$J236&gt;D$2,'ProductSprint Backlog'!$I236&lt;=D$2), 'ProductSprint Backlog'!$F236 / MAX(1, 'ProductSprint Backlog'!$J236-'ProductSprint Backlog'!$I236), AND('ProductSprint Backlog'!$J236=D$2,'ProductSprint Backlog'!$I236=D$2), 'ProductSprint Backlog'!$F236, TRUE, 0)</f>
        <v>0</v>
      </c>
      <c r="E236" s="4" cm="1">
        <f t="array" ref="E236">_xlfn.IFS('ProductSprint Backlog'!$F236="", "", AND('ProductSprint Backlog'!$J236&gt;E$2,'ProductSprint Backlog'!$I236&lt;=E$2), 'ProductSprint Backlog'!$F236 / MAX(1, 'ProductSprint Backlog'!$J236-'ProductSprint Backlog'!$I236), AND('ProductSprint Backlog'!$J236=E$2,'ProductSprint Backlog'!$I236=E$2), 'ProductSprint Backlog'!$F236, TRUE, 0)</f>
        <v>0</v>
      </c>
      <c r="F236" s="4" cm="1">
        <f t="array" ref="F236">_xlfn.IFS('ProductSprint Backlog'!$F236="", "", AND('ProductSprint Backlog'!$J236&gt;F$2,'ProductSprint Backlog'!$I236&lt;=F$2), 'ProductSprint Backlog'!$F236 / MAX(1, 'ProductSprint Backlog'!$J236-'ProductSprint Backlog'!$I236), AND('ProductSprint Backlog'!$J236=F$2,'ProductSprint Backlog'!$I236=F$2), 'ProductSprint Backlog'!$F236, TRUE, 0)</f>
        <v>0</v>
      </c>
      <c r="G236" s="4" cm="1">
        <f t="array" ref="G236">_xlfn.IFS('ProductSprint Backlog'!$F236="", "", AND('ProductSprint Backlog'!$J236&gt;G$2,'ProductSprint Backlog'!$I236&lt;=G$2), 'ProductSprint Backlog'!$F236 / MAX(1, 'ProductSprint Backlog'!$J236-'ProductSprint Backlog'!$I236), AND('ProductSprint Backlog'!$J236=G$2,'ProductSprint Backlog'!$I236=G$2), 'ProductSprint Backlog'!$F236, TRUE, 0)</f>
        <v>0</v>
      </c>
      <c r="H236" s="4" cm="1">
        <f t="array" ref="H236">_xlfn.IFS('ProductSprint Backlog'!$F236="", "", AND('ProductSprint Backlog'!$J236&gt;H$2,'ProductSprint Backlog'!$I236&lt;=H$2), 'ProductSprint Backlog'!$F236 / MAX(1, 'ProductSprint Backlog'!$J236-'ProductSprint Backlog'!$I236), AND('ProductSprint Backlog'!$J236=H$2,'ProductSprint Backlog'!$I236=H$2), 'ProductSprint Backlog'!$F236, TRUE, 0)</f>
        <v>0</v>
      </c>
      <c r="I236" s="4" cm="1">
        <f t="array" ref="I236">_xlfn.IFS('ProductSprint Backlog'!$F236="", "", AND('ProductSprint Backlog'!$J236&gt;I$2,'ProductSprint Backlog'!$I236&lt;=I$2), 'ProductSprint Backlog'!$F236 / MAX(1, 'ProductSprint Backlog'!$J236-'ProductSprint Backlog'!$I236), AND('ProductSprint Backlog'!$J236=I$2,'ProductSprint Backlog'!$I236=I$2), 'ProductSprint Backlog'!$F236, TRUE, 0)</f>
        <v>0</v>
      </c>
      <c r="J236" s="4" cm="1">
        <f t="array" ref="J236">_xlfn.IFS('ProductSprint Backlog'!$F236="", "", AND('ProductSprint Backlog'!$J236&gt;J$2,'ProductSprint Backlog'!$I236&lt;=J$2), 'ProductSprint Backlog'!$F236 / MAX(1, 'ProductSprint Backlog'!$J236-'ProductSprint Backlog'!$I236), AND('ProductSprint Backlog'!$J236=J$2,'ProductSprint Backlog'!$I236=J$2), 'ProductSprint Backlog'!$F236, TRUE, 0)</f>
        <v>0</v>
      </c>
      <c r="K236" s="4" cm="1">
        <f t="array" ref="K236">_xlfn.IFS('ProductSprint Backlog'!$F236="", "", AND('ProductSprint Backlog'!$J236&gt;K$2,'ProductSprint Backlog'!$I236&lt;=K$2), 'ProductSprint Backlog'!$F236 / MAX(1, 'ProductSprint Backlog'!$J236-'ProductSprint Backlog'!$I236), AND('ProductSprint Backlog'!$J236=K$2,'ProductSprint Backlog'!$I236=K$2), 'ProductSprint Backlog'!$F236, TRUE, 0)</f>
        <v>0</v>
      </c>
      <c r="L236" s="4" cm="1">
        <f t="array" ref="L236">_xlfn.IFS('ProductSprint Backlog'!$F236="", "", AND('ProductSprint Backlog'!$J236&gt;L$2,'ProductSprint Backlog'!$I236&lt;=L$2), 'ProductSprint Backlog'!$F236 / MAX(1, 'ProductSprint Backlog'!$J236-'ProductSprint Backlog'!$I236), AND('ProductSprint Backlog'!$J236=L$2,'ProductSprint Backlog'!$I236=L$2), 'ProductSprint Backlog'!$F236, TRUE, 0)</f>
        <v>0</v>
      </c>
      <c r="M236" s="4" cm="1">
        <f t="array" ref="M236">_xlfn.IFS('ProductSprint Backlog'!$F236="", "", AND('ProductSprint Backlog'!$J236&gt;M$2,'ProductSprint Backlog'!$I236&lt;=M$2), 'ProductSprint Backlog'!$F236 / MAX(1, 'ProductSprint Backlog'!$J236-'ProductSprint Backlog'!$I236), AND('ProductSprint Backlog'!$J236=M$2,'ProductSprint Backlog'!$I236=M$2), 'ProductSprint Backlog'!$F236, TRUE, 0)</f>
        <v>0</v>
      </c>
      <c r="N236" s="4" cm="1">
        <f t="array" ref="N236">_xlfn.IFS('ProductSprint Backlog'!$F236="", "", AND('ProductSprint Backlog'!$J236&gt;N$2,'ProductSprint Backlog'!$I236&lt;=N$2), 'ProductSprint Backlog'!$F236 / MAX(1, 'ProductSprint Backlog'!$J236-'ProductSprint Backlog'!$I236), AND('ProductSprint Backlog'!$J236=N$2,'ProductSprint Backlog'!$I236=N$2), 'ProductSprint Backlog'!$F236, TRUE, 0)</f>
        <v>0</v>
      </c>
      <c r="O236" s="4" cm="1">
        <f t="array" ref="O236">_xlfn.IFS('ProductSprint Backlog'!$F236="", "", AND('ProductSprint Backlog'!$J236&gt;O$2,'ProductSprint Backlog'!$I236&lt;=O$2), 'ProductSprint Backlog'!$F236 / MAX(1, 'ProductSprint Backlog'!$J236-'ProductSprint Backlog'!$I236), AND('ProductSprint Backlog'!$J236=O$2,'ProductSprint Backlog'!$I236=O$2), 'ProductSprint Backlog'!$F236, TRUE, 0)</f>
        <v>0</v>
      </c>
      <c r="P236" s="4" cm="1">
        <f t="array" ref="P236">_xlfn.IFS('ProductSprint Backlog'!$F236="", "", AND('ProductSprint Backlog'!$J236&gt;P$2,'ProductSprint Backlog'!$I236&lt;=P$2), 'ProductSprint Backlog'!$F236 / MAX(1, 'ProductSprint Backlog'!$J236-'ProductSprint Backlog'!$I236), AND('ProductSprint Backlog'!$J236=P$2,'ProductSprint Backlog'!$I236=P$2), 'ProductSprint Backlog'!$F236, TRUE, 0)</f>
        <v>0</v>
      </c>
      <c r="Q236" s="4" cm="1">
        <f t="array" ref="Q236">_xlfn.IFS('ProductSprint Backlog'!$F236="", "", AND('ProductSprint Backlog'!$J236&gt;Q$2,'ProductSprint Backlog'!$I236&lt;=Q$2), 'ProductSprint Backlog'!$F236 / MAX(1, 'ProductSprint Backlog'!$J236-'ProductSprint Backlog'!$I236), AND('ProductSprint Backlog'!$J236=Q$2,'ProductSprint Backlog'!$I236=Q$2), 'ProductSprint Backlog'!$F236, TRUE, 0)</f>
        <v>0</v>
      </c>
    </row>
    <row r="237" spans="2:17" x14ac:dyDescent="0.2">
      <c r="B237" s="4" cm="1">
        <f t="array" ref="B237">_xlfn.IFS('ProductSprint Backlog'!$F237="", "", AND('ProductSprint Backlog'!$J237&gt;B$2,'ProductSprint Backlog'!$I237&lt;=B$2), 'ProductSprint Backlog'!$F237 / MAX(1, 'ProductSprint Backlog'!$J237-'ProductSprint Backlog'!$I237), AND('ProductSprint Backlog'!$J237=B$2,'ProductSprint Backlog'!$I237=B$2), 'ProductSprint Backlog'!$F237, TRUE, 0)</f>
        <v>0</v>
      </c>
      <c r="C237" s="4" cm="1">
        <f t="array" ref="C237">_xlfn.IFS('ProductSprint Backlog'!$F237="", "", AND('ProductSprint Backlog'!$J237&gt;C$2,'ProductSprint Backlog'!$I237&lt;=C$2), 'ProductSprint Backlog'!$F237 / MAX(1, 'ProductSprint Backlog'!$J237-'ProductSprint Backlog'!$I237), AND('ProductSprint Backlog'!$J237=C$2,'ProductSprint Backlog'!$I237=C$2), 'ProductSprint Backlog'!$F237, TRUE, 0)</f>
        <v>0</v>
      </c>
      <c r="D237" s="4" cm="1">
        <f t="array" ref="D237">_xlfn.IFS('ProductSprint Backlog'!$F237="", "", AND('ProductSprint Backlog'!$J237&gt;D$2,'ProductSprint Backlog'!$I237&lt;=D$2), 'ProductSprint Backlog'!$F237 / MAX(1, 'ProductSprint Backlog'!$J237-'ProductSprint Backlog'!$I237), AND('ProductSprint Backlog'!$J237=D$2,'ProductSprint Backlog'!$I237=D$2), 'ProductSprint Backlog'!$F237, TRUE, 0)</f>
        <v>0</v>
      </c>
      <c r="E237" s="4" cm="1">
        <f t="array" ref="E237">_xlfn.IFS('ProductSprint Backlog'!$F237="", "", AND('ProductSprint Backlog'!$J237&gt;E$2,'ProductSprint Backlog'!$I237&lt;=E$2), 'ProductSprint Backlog'!$F237 / MAX(1, 'ProductSprint Backlog'!$J237-'ProductSprint Backlog'!$I237), AND('ProductSprint Backlog'!$J237=E$2,'ProductSprint Backlog'!$I237=E$2), 'ProductSprint Backlog'!$F237, TRUE, 0)</f>
        <v>0</v>
      </c>
      <c r="F237" s="4" cm="1">
        <f t="array" ref="F237">_xlfn.IFS('ProductSprint Backlog'!$F237="", "", AND('ProductSprint Backlog'!$J237&gt;F$2,'ProductSprint Backlog'!$I237&lt;=F$2), 'ProductSprint Backlog'!$F237 / MAX(1, 'ProductSprint Backlog'!$J237-'ProductSprint Backlog'!$I237), AND('ProductSprint Backlog'!$J237=F$2,'ProductSprint Backlog'!$I237=F$2), 'ProductSprint Backlog'!$F237, TRUE, 0)</f>
        <v>0</v>
      </c>
      <c r="G237" s="4" cm="1">
        <f t="array" ref="G237">_xlfn.IFS('ProductSprint Backlog'!$F237="", "", AND('ProductSprint Backlog'!$J237&gt;G$2,'ProductSprint Backlog'!$I237&lt;=G$2), 'ProductSprint Backlog'!$F237 / MAX(1, 'ProductSprint Backlog'!$J237-'ProductSprint Backlog'!$I237), AND('ProductSprint Backlog'!$J237=G$2,'ProductSprint Backlog'!$I237=G$2), 'ProductSprint Backlog'!$F237, TRUE, 0)</f>
        <v>0</v>
      </c>
      <c r="H237" s="4" cm="1">
        <f t="array" ref="H237">_xlfn.IFS('ProductSprint Backlog'!$F237="", "", AND('ProductSprint Backlog'!$J237&gt;H$2,'ProductSprint Backlog'!$I237&lt;=H$2), 'ProductSprint Backlog'!$F237 / MAX(1, 'ProductSprint Backlog'!$J237-'ProductSprint Backlog'!$I237), AND('ProductSprint Backlog'!$J237=H$2,'ProductSprint Backlog'!$I237=H$2), 'ProductSprint Backlog'!$F237, TRUE, 0)</f>
        <v>0</v>
      </c>
      <c r="I237" s="4" cm="1">
        <f t="array" ref="I237">_xlfn.IFS('ProductSprint Backlog'!$F237="", "", AND('ProductSprint Backlog'!$J237&gt;I$2,'ProductSprint Backlog'!$I237&lt;=I$2), 'ProductSprint Backlog'!$F237 / MAX(1, 'ProductSprint Backlog'!$J237-'ProductSprint Backlog'!$I237), AND('ProductSprint Backlog'!$J237=I$2,'ProductSprint Backlog'!$I237=I$2), 'ProductSprint Backlog'!$F237, TRUE, 0)</f>
        <v>0</v>
      </c>
      <c r="J237" s="4" cm="1">
        <f t="array" ref="J237">_xlfn.IFS('ProductSprint Backlog'!$F237="", "", AND('ProductSprint Backlog'!$J237&gt;J$2,'ProductSprint Backlog'!$I237&lt;=J$2), 'ProductSprint Backlog'!$F237 / MAX(1, 'ProductSprint Backlog'!$J237-'ProductSprint Backlog'!$I237), AND('ProductSprint Backlog'!$J237=J$2,'ProductSprint Backlog'!$I237=J$2), 'ProductSprint Backlog'!$F237, TRUE, 0)</f>
        <v>0</v>
      </c>
      <c r="K237" s="4" cm="1">
        <f t="array" ref="K237">_xlfn.IFS('ProductSprint Backlog'!$F237="", "", AND('ProductSprint Backlog'!$J237&gt;K$2,'ProductSprint Backlog'!$I237&lt;=K$2), 'ProductSprint Backlog'!$F237 / MAX(1, 'ProductSprint Backlog'!$J237-'ProductSprint Backlog'!$I237), AND('ProductSprint Backlog'!$J237=K$2,'ProductSprint Backlog'!$I237=K$2), 'ProductSprint Backlog'!$F237, TRUE, 0)</f>
        <v>0</v>
      </c>
      <c r="L237" s="4" cm="1">
        <f t="array" ref="L237">_xlfn.IFS('ProductSprint Backlog'!$F237="", "", AND('ProductSprint Backlog'!$J237&gt;L$2,'ProductSprint Backlog'!$I237&lt;=L$2), 'ProductSprint Backlog'!$F237 / MAX(1, 'ProductSprint Backlog'!$J237-'ProductSprint Backlog'!$I237), AND('ProductSprint Backlog'!$J237=L$2,'ProductSprint Backlog'!$I237=L$2), 'ProductSprint Backlog'!$F237, TRUE, 0)</f>
        <v>0</v>
      </c>
      <c r="M237" s="4" cm="1">
        <f t="array" ref="M237">_xlfn.IFS('ProductSprint Backlog'!$F237="", "", AND('ProductSprint Backlog'!$J237&gt;M$2,'ProductSprint Backlog'!$I237&lt;=M$2), 'ProductSprint Backlog'!$F237 / MAX(1, 'ProductSprint Backlog'!$J237-'ProductSprint Backlog'!$I237), AND('ProductSprint Backlog'!$J237=M$2,'ProductSprint Backlog'!$I237=M$2), 'ProductSprint Backlog'!$F237, TRUE, 0)</f>
        <v>0</v>
      </c>
      <c r="N237" s="4" cm="1">
        <f t="array" ref="N237">_xlfn.IFS('ProductSprint Backlog'!$F237="", "", AND('ProductSprint Backlog'!$J237&gt;N$2,'ProductSprint Backlog'!$I237&lt;=N$2), 'ProductSprint Backlog'!$F237 / MAX(1, 'ProductSprint Backlog'!$J237-'ProductSprint Backlog'!$I237), AND('ProductSprint Backlog'!$J237=N$2,'ProductSprint Backlog'!$I237=N$2), 'ProductSprint Backlog'!$F237, TRUE, 0)</f>
        <v>0</v>
      </c>
      <c r="O237" s="4" cm="1">
        <f t="array" ref="O237">_xlfn.IFS('ProductSprint Backlog'!$F237="", "", AND('ProductSprint Backlog'!$J237&gt;O$2,'ProductSprint Backlog'!$I237&lt;=O$2), 'ProductSprint Backlog'!$F237 / MAX(1, 'ProductSprint Backlog'!$J237-'ProductSprint Backlog'!$I237), AND('ProductSprint Backlog'!$J237=O$2,'ProductSprint Backlog'!$I237=O$2), 'ProductSprint Backlog'!$F237, TRUE, 0)</f>
        <v>0</v>
      </c>
      <c r="P237" s="4" cm="1">
        <f t="array" ref="P237">_xlfn.IFS('ProductSprint Backlog'!$F237="", "", AND('ProductSprint Backlog'!$J237&gt;P$2,'ProductSprint Backlog'!$I237&lt;=P$2), 'ProductSprint Backlog'!$F237 / MAX(1, 'ProductSprint Backlog'!$J237-'ProductSprint Backlog'!$I237), AND('ProductSprint Backlog'!$J237=P$2,'ProductSprint Backlog'!$I237=P$2), 'ProductSprint Backlog'!$F237, TRUE, 0)</f>
        <v>0</v>
      </c>
      <c r="Q237" s="4" cm="1">
        <f t="array" ref="Q237">_xlfn.IFS('ProductSprint Backlog'!$F237="", "", AND('ProductSprint Backlog'!$J237&gt;Q$2,'ProductSprint Backlog'!$I237&lt;=Q$2), 'ProductSprint Backlog'!$F237 / MAX(1, 'ProductSprint Backlog'!$J237-'ProductSprint Backlog'!$I237), AND('ProductSprint Backlog'!$J237=Q$2,'ProductSprint Backlog'!$I237=Q$2), 'ProductSprint Backlog'!$F237, TRUE, 0)</f>
        <v>0</v>
      </c>
    </row>
    <row r="238" spans="2:17" x14ac:dyDescent="0.2">
      <c r="B238" s="4" cm="1">
        <f t="array" ref="B238">_xlfn.IFS('ProductSprint Backlog'!$F238="", "", AND('ProductSprint Backlog'!$J238&gt;B$2,'ProductSprint Backlog'!$I238&lt;=B$2), 'ProductSprint Backlog'!$F238 / MAX(1, 'ProductSprint Backlog'!$J238-'ProductSprint Backlog'!$I238), AND('ProductSprint Backlog'!$J238=B$2,'ProductSprint Backlog'!$I238=B$2), 'ProductSprint Backlog'!$F238, TRUE, 0)</f>
        <v>0</v>
      </c>
      <c r="C238" s="4" cm="1">
        <f t="array" ref="C238">_xlfn.IFS('ProductSprint Backlog'!$F238="", "", AND('ProductSprint Backlog'!$J238&gt;C$2,'ProductSprint Backlog'!$I238&lt;=C$2), 'ProductSprint Backlog'!$F238 / MAX(1, 'ProductSprint Backlog'!$J238-'ProductSprint Backlog'!$I238), AND('ProductSprint Backlog'!$J238=C$2,'ProductSprint Backlog'!$I238=C$2), 'ProductSprint Backlog'!$F238, TRUE, 0)</f>
        <v>0</v>
      </c>
      <c r="D238" s="4" cm="1">
        <f t="array" ref="D238">_xlfn.IFS('ProductSprint Backlog'!$F238="", "", AND('ProductSprint Backlog'!$J238&gt;D$2,'ProductSprint Backlog'!$I238&lt;=D$2), 'ProductSprint Backlog'!$F238 / MAX(1, 'ProductSprint Backlog'!$J238-'ProductSprint Backlog'!$I238), AND('ProductSprint Backlog'!$J238=D$2,'ProductSprint Backlog'!$I238=D$2), 'ProductSprint Backlog'!$F238, TRUE, 0)</f>
        <v>0</v>
      </c>
      <c r="E238" s="4" cm="1">
        <f t="array" ref="E238">_xlfn.IFS('ProductSprint Backlog'!$F238="", "", AND('ProductSprint Backlog'!$J238&gt;E$2,'ProductSprint Backlog'!$I238&lt;=E$2), 'ProductSprint Backlog'!$F238 / MAX(1, 'ProductSprint Backlog'!$J238-'ProductSprint Backlog'!$I238), AND('ProductSprint Backlog'!$J238=E$2,'ProductSprint Backlog'!$I238=E$2), 'ProductSprint Backlog'!$F238, TRUE, 0)</f>
        <v>0</v>
      </c>
      <c r="F238" s="4" cm="1">
        <f t="array" ref="F238">_xlfn.IFS('ProductSprint Backlog'!$F238="", "", AND('ProductSprint Backlog'!$J238&gt;F$2,'ProductSprint Backlog'!$I238&lt;=F$2), 'ProductSprint Backlog'!$F238 / MAX(1, 'ProductSprint Backlog'!$J238-'ProductSprint Backlog'!$I238), AND('ProductSprint Backlog'!$J238=F$2,'ProductSprint Backlog'!$I238=F$2), 'ProductSprint Backlog'!$F238, TRUE, 0)</f>
        <v>0</v>
      </c>
      <c r="G238" s="4" cm="1">
        <f t="array" ref="G238">_xlfn.IFS('ProductSprint Backlog'!$F238="", "", AND('ProductSprint Backlog'!$J238&gt;G$2,'ProductSprint Backlog'!$I238&lt;=G$2), 'ProductSprint Backlog'!$F238 / MAX(1, 'ProductSprint Backlog'!$J238-'ProductSprint Backlog'!$I238), AND('ProductSprint Backlog'!$J238=G$2,'ProductSprint Backlog'!$I238=G$2), 'ProductSprint Backlog'!$F238, TRUE, 0)</f>
        <v>0</v>
      </c>
      <c r="H238" s="4" cm="1">
        <f t="array" ref="H238">_xlfn.IFS('ProductSprint Backlog'!$F238="", "", AND('ProductSprint Backlog'!$J238&gt;H$2,'ProductSprint Backlog'!$I238&lt;=H$2), 'ProductSprint Backlog'!$F238 / MAX(1, 'ProductSprint Backlog'!$J238-'ProductSprint Backlog'!$I238), AND('ProductSprint Backlog'!$J238=H$2,'ProductSprint Backlog'!$I238=H$2), 'ProductSprint Backlog'!$F238, TRUE, 0)</f>
        <v>0</v>
      </c>
      <c r="I238" s="4" cm="1">
        <f t="array" ref="I238">_xlfn.IFS('ProductSprint Backlog'!$F238="", "", AND('ProductSprint Backlog'!$J238&gt;I$2,'ProductSprint Backlog'!$I238&lt;=I$2), 'ProductSprint Backlog'!$F238 / MAX(1, 'ProductSprint Backlog'!$J238-'ProductSprint Backlog'!$I238), AND('ProductSprint Backlog'!$J238=I$2,'ProductSprint Backlog'!$I238=I$2), 'ProductSprint Backlog'!$F238, TRUE, 0)</f>
        <v>0</v>
      </c>
      <c r="J238" s="4" cm="1">
        <f t="array" ref="J238">_xlfn.IFS('ProductSprint Backlog'!$F238="", "", AND('ProductSprint Backlog'!$J238&gt;J$2,'ProductSprint Backlog'!$I238&lt;=J$2), 'ProductSprint Backlog'!$F238 / MAX(1, 'ProductSprint Backlog'!$J238-'ProductSprint Backlog'!$I238), AND('ProductSprint Backlog'!$J238=J$2,'ProductSprint Backlog'!$I238=J$2), 'ProductSprint Backlog'!$F238, TRUE, 0)</f>
        <v>0</v>
      </c>
      <c r="K238" s="4" cm="1">
        <f t="array" ref="K238">_xlfn.IFS('ProductSprint Backlog'!$F238="", "", AND('ProductSprint Backlog'!$J238&gt;K$2,'ProductSprint Backlog'!$I238&lt;=K$2), 'ProductSprint Backlog'!$F238 / MAX(1, 'ProductSprint Backlog'!$J238-'ProductSprint Backlog'!$I238), AND('ProductSprint Backlog'!$J238=K$2,'ProductSprint Backlog'!$I238=K$2), 'ProductSprint Backlog'!$F238, TRUE, 0)</f>
        <v>0</v>
      </c>
      <c r="L238" s="4" cm="1">
        <f t="array" ref="L238">_xlfn.IFS('ProductSprint Backlog'!$F238="", "", AND('ProductSprint Backlog'!$J238&gt;L$2,'ProductSprint Backlog'!$I238&lt;=L$2), 'ProductSprint Backlog'!$F238 / MAX(1, 'ProductSprint Backlog'!$J238-'ProductSprint Backlog'!$I238), AND('ProductSprint Backlog'!$J238=L$2,'ProductSprint Backlog'!$I238=L$2), 'ProductSprint Backlog'!$F238, TRUE, 0)</f>
        <v>0</v>
      </c>
      <c r="M238" s="4" cm="1">
        <f t="array" ref="M238">_xlfn.IFS('ProductSprint Backlog'!$F238="", "", AND('ProductSprint Backlog'!$J238&gt;M$2,'ProductSprint Backlog'!$I238&lt;=M$2), 'ProductSprint Backlog'!$F238 / MAX(1, 'ProductSprint Backlog'!$J238-'ProductSprint Backlog'!$I238), AND('ProductSprint Backlog'!$J238=M$2,'ProductSprint Backlog'!$I238=M$2), 'ProductSprint Backlog'!$F238, TRUE, 0)</f>
        <v>0</v>
      </c>
      <c r="N238" s="4" cm="1">
        <f t="array" ref="N238">_xlfn.IFS('ProductSprint Backlog'!$F238="", "", AND('ProductSprint Backlog'!$J238&gt;N$2,'ProductSprint Backlog'!$I238&lt;=N$2), 'ProductSprint Backlog'!$F238 / MAX(1, 'ProductSprint Backlog'!$J238-'ProductSprint Backlog'!$I238), AND('ProductSprint Backlog'!$J238=N$2,'ProductSprint Backlog'!$I238=N$2), 'ProductSprint Backlog'!$F238, TRUE, 0)</f>
        <v>0</v>
      </c>
      <c r="O238" s="4" cm="1">
        <f t="array" ref="O238">_xlfn.IFS('ProductSprint Backlog'!$F238="", "", AND('ProductSprint Backlog'!$J238&gt;O$2,'ProductSprint Backlog'!$I238&lt;=O$2), 'ProductSprint Backlog'!$F238 / MAX(1, 'ProductSprint Backlog'!$J238-'ProductSprint Backlog'!$I238), AND('ProductSprint Backlog'!$J238=O$2,'ProductSprint Backlog'!$I238=O$2), 'ProductSprint Backlog'!$F238, TRUE, 0)</f>
        <v>0</v>
      </c>
      <c r="P238" s="4" cm="1">
        <f t="array" ref="P238">_xlfn.IFS('ProductSprint Backlog'!$F238="", "", AND('ProductSprint Backlog'!$J238&gt;P$2,'ProductSprint Backlog'!$I238&lt;=P$2), 'ProductSprint Backlog'!$F238 / MAX(1, 'ProductSprint Backlog'!$J238-'ProductSprint Backlog'!$I238), AND('ProductSprint Backlog'!$J238=P$2,'ProductSprint Backlog'!$I238=P$2), 'ProductSprint Backlog'!$F238, TRUE, 0)</f>
        <v>0</v>
      </c>
      <c r="Q238" s="4" cm="1">
        <f t="array" ref="Q238">_xlfn.IFS('ProductSprint Backlog'!$F238="", "", AND('ProductSprint Backlog'!$J238&gt;Q$2,'ProductSprint Backlog'!$I238&lt;=Q$2), 'ProductSprint Backlog'!$F238 / MAX(1, 'ProductSprint Backlog'!$J238-'ProductSprint Backlog'!$I238), AND('ProductSprint Backlog'!$J238=Q$2,'ProductSprint Backlog'!$I238=Q$2), 'ProductSprint Backlog'!$F238, TRUE, 0)</f>
        <v>0</v>
      </c>
    </row>
    <row r="239" spans="2:17" x14ac:dyDescent="0.2">
      <c r="B239" s="4" t="str" cm="1">
        <f t="array" ref="B239">_xlfn.IFS('ProductSprint Backlog'!$F239="", "", AND('ProductSprint Backlog'!$J239&gt;B$2,'ProductSprint Backlog'!$I239&lt;=B$2), 'ProductSprint Backlog'!$F239 / MAX(1, 'ProductSprint Backlog'!$J239-'ProductSprint Backlog'!$I239), AND('ProductSprint Backlog'!$J239=B$2,'ProductSprint Backlog'!$I239=B$2), 'ProductSprint Backlog'!$F239, TRUE, 0)</f>
        <v/>
      </c>
      <c r="C239" s="4" t="str" cm="1">
        <f t="array" ref="C239">_xlfn.IFS('ProductSprint Backlog'!$F239="", "", AND('ProductSprint Backlog'!$J239&gt;C$2,'ProductSprint Backlog'!$I239&lt;=C$2), 'ProductSprint Backlog'!$F239 / MAX(1, 'ProductSprint Backlog'!$J239-'ProductSprint Backlog'!$I239), AND('ProductSprint Backlog'!$J239=C$2,'ProductSprint Backlog'!$I239=C$2), 'ProductSprint Backlog'!$F239, TRUE, 0)</f>
        <v/>
      </c>
      <c r="D239" s="4" t="str" cm="1">
        <f t="array" ref="D239">_xlfn.IFS('ProductSprint Backlog'!$F239="", "", AND('ProductSprint Backlog'!$J239&gt;D$2,'ProductSprint Backlog'!$I239&lt;=D$2), 'ProductSprint Backlog'!$F239 / MAX(1, 'ProductSprint Backlog'!$J239-'ProductSprint Backlog'!$I239), AND('ProductSprint Backlog'!$J239=D$2,'ProductSprint Backlog'!$I239=D$2), 'ProductSprint Backlog'!$F239, TRUE, 0)</f>
        <v/>
      </c>
      <c r="E239" s="4" t="str" cm="1">
        <f t="array" ref="E239">_xlfn.IFS('ProductSprint Backlog'!$F239="", "", AND('ProductSprint Backlog'!$J239&gt;E$2,'ProductSprint Backlog'!$I239&lt;=E$2), 'ProductSprint Backlog'!$F239 / MAX(1, 'ProductSprint Backlog'!$J239-'ProductSprint Backlog'!$I239), AND('ProductSprint Backlog'!$J239=E$2,'ProductSprint Backlog'!$I239=E$2), 'ProductSprint Backlog'!$F239, TRUE, 0)</f>
        <v/>
      </c>
      <c r="F239" s="4" t="str" cm="1">
        <f t="array" ref="F239">_xlfn.IFS('ProductSprint Backlog'!$F239="", "", AND('ProductSprint Backlog'!$J239&gt;F$2,'ProductSprint Backlog'!$I239&lt;=F$2), 'ProductSprint Backlog'!$F239 / MAX(1, 'ProductSprint Backlog'!$J239-'ProductSprint Backlog'!$I239), AND('ProductSprint Backlog'!$J239=F$2,'ProductSprint Backlog'!$I239=F$2), 'ProductSprint Backlog'!$F239, TRUE, 0)</f>
        <v/>
      </c>
      <c r="G239" s="4" t="str" cm="1">
        <f t="array" ref="G239">_xlfn.IFS('ProductSprint Backlog'!$F239="", "", AND('ProductSprint Backlog'!$J239&gt;G$2,'ProductSprint Backlog'!$I239&lt;=G$2), 'ProductSprint Backlog'!$F239 / MAX(1, 'ProductSprint Backlog'!$J239-'ProductSprint Backlog'!$I239), AND('ProductSprint Backlog'!$J239=G$2,'ProductSprint Backlog'!$I239=G$2), 'ProductSprint Backlog'!$F239, TRUE, 0)</f>
        <v/>
      </c>
      <c r="H239" s="4" t="str" cm="1">
        <f t="array" ref="H239">_xlfn.IFS('ProductSprint Backlog'!$F239="", "", AND('ProductSprint Backlog'!$J239&gt;H$2,'ProductSprint Backlog'!$I239&lt;=H$2), 'ProductSprint Backlog'!$F239 / MAX(1, 'ProductSprint Backlog'!$J239-'ProductSprint Backlog'!$I239), AND('ProductSprint Backlog'!$J239=H$2,'ProductSprint Backlog'!$I239=H$2), 'ProductSprint Backlog'!$F239, TRUE, 0)</f>
        <v/>
      </c>
      <c r="I239" s="4" t="str" cm="1">
        <f t="array" ref="I239">_xlfn.IFS('ProductSprint Backlog'!$F239="", "", AND('ProductSprint Backlog'!$J239&gt;I$2,'ProductSprint Backlog'!$I239&lt;=I$2), 'ProductSprint Backlog'!$F239 / MAX(1, 'ProductSprint Backlog'!$J239-'ProductSprint Backlog'!$I239), AND('ProductSprint Backlog'!$J239=I$2,'ProductSprint Backlog'!$I239=I$2), 'ProductSprint Backlog'!$F239, TRUE, 0)</f>
        <v/>
      </c>
      <c r="J239" s="4" t="str" cm="1">
        <f t="array" ref="J239">_xlfn.IFS('ProductSprint Backlog'!$F239="", "", AND('ProductSprint Backlog'!$J239&gt;J$2,'ProductSprint Backlog'!$I239&lt;=J$2), 'ProductSprint Backlog'!$F239 / MAX(1, 'ProductSprint Backlog'!$J239-'ProductSprint Backlog'!$I239), AND('ProductSprint Backlog'!$J239=J$2,'ProductSprint Backlog'!$I239=J$2), 'ProductSprint Backlog'!$F239, TRUE, 0)</f>
        <v/>
      </c>
      <c r="K239" s="4" t="str" cm="1">
        <f t="array" ref="K239">_xlfn.IFS('ProductSprint Backlog'!$F239="", "", AND('ProductSprint Backlog'!$J239&gt;K$2,'ProductSprint Backlog'!$I239&lt;=K$2), 'ProductSprint Backlog'!$F239 / MAX(1, 'ProductSprint Backlog'!$J239-'ProductSprint Backlog'!$I239), AND('ProductSprint Backlog'!$J239=K$2,'ProductSprint Backlog'!$I239=K$2), 'ProductSprint Backlog'!$F239, TRUE, 0)</f>
        <v/>
      </c>
      <c r="L239" s="4" t="str" cm="1">
        <f t="array" ref="L239">_xlfn.IFS('ProductSprint Backlog'!$F239="", "", AND('ProductSprint Backlog'!$J239&gt;L$2,'ProductSprint Backlog'!$I239&lt;=L$2), 'ProductSprint Backlog'!$F239 / MAX(1, 'ProductSprint Backlog'!$J239-'ProductSprint Backlog'!$I239), AND('ProductSprint Backlog'!$J239=L$2,'ProductSprint Backlog'!$I239=L$2), 'ProductSprint Backlog'!$F239, TRUE, 0)</f>
        <v/>
      </c>
      <c r="M239" s="4" t="str" cm="1">
        <f t="array" ref="M239">_xlfn.IFS('ProductSprint Backlog'!$F239="", "", AND('ProductSprint Backlog'!$J239&gt;M$2,'ProductSprint Backlog'!$I239&lt;=M$2), 'ProductSprint Backlog'!$F239 / MAX(1, 'ProductSprint Backlog'!$J239-'ProductSprint Backlog'!$I239), AND('ProductSprint Backlog'!$J239=M$2,'ProductSprint Backlog'!$I239=M$2), 'ProductSprint Backlog'!$F239, TRUE, 0)</f>
        <v/>
      </c>
      <c r="N239" s="4" t="str" cm="1">
        <f t="array" ref="N239">_xlfn.IFS('ProductSprint Backlog'!$F239="", "", AND('ProductSprint Backlog'!$J239&gt;N$2,'ProductSprint Backlog'!$I239&lt;=N$2), 'ProductSprint Backlog'!$F239 / MAX(1, 'ProductSprint Backlog'!$J239-'ProductSprint Backlog'!$I239), AND('ProductSprint Backlog'!$J239=N$2,'ProductSprint Backlog'!$I239=N$2), 'ProductSprint Backlog'!$F239, TRUE, 0)</f>
        <v/>
      </c>
      <c r="O239" s="4" t="str" cm="1">
        <f t="array" ref="O239">_xlfn.IFS('ProductSprint Backlog'!$F239="", "", AND('ProductSprint Backlog'!$J239&gt;O$2,'ProductSprint Backlog'!$I239&lt;=O$2), 'ProductSprint Backlog'!$F239 / MAX(1, 'ProductSprint Backlog'!$J239-'ProductSprint Backlog'!$I239), AND('ProductSprint Backlog'!$J239=O$2,'ProductSprint Backlog'!$I239=O$2), 'ProductSprint Backlog'!$F239, TRUE, 0)</f>
        <v/>
      </c>
      <c r="P239" s="4" t="str" cm="1">
        <f t="array" ref="P239">_xlfn.IFS('ProductSprint Backlog'!$F239="", "", AND('ProductSprint Backlog'!$J239&gt;P$2,'ProductSprint Backlog'!$I239&lt;=P$2), 'ProductSprint Backlog'!$F239 / MAX(1, 'ProductSprint Backlog'!$J239-'ProductSprint Backlog'!$I239), AND('ProductSprint Backlog'!$J239=P$2,'ProductSprint Backlog'!$I239=P$2), 'ProductSprint Backlog'!$F239, TRUE, 0)</f>
        <v/>
      </c>
      <c r="Q239" s="4" t="str" cm="1">
        <f t="array" ref="Q239">_xlfn.IFS('ProductSprint Backlog'!$F239="", "", AND('ProductSprint Backlog'!$J239&gt;Q$2,'ProductSprint Backlog'!$I239&lt;=Q$2), 'ProductSprint Backlog'!$F239 / MAX(1, 'ProductSprint Backlog'!$J239-'ProductSprint Backlog'!$I239), AND('ProductSprint Backlog'!$J239=Q$2,'ProductSprint Backlog'!$I239=Q$2), 'ProductSprint Backlog'!$F239, TRUE, 0)</f>
        <v/>
      </c>
    </row>
    <row r="240" spans="2:17" x14ac:dyDescent="0.2">
      <c r="B240" s="4" cm="1">
        <f t="array" ref="B240">_xlfn.IFS('ProductSprint Backlog'!$F240="", "", AND('ProductSprint Backlog'!$J240&gt;B$2,'ProductSprint Backlog'!$I240&lt;=B$2), 'ProductSprint Backlog'!$F240 / MAX(1, 'ProductSprint Backlog'!$J240-'ProductSprint Backlog'!$I240), AND('ProductSprint Backlog'!$J240=B$2,'ProductSprint Backlog'!$I240=B$2), 'ProductSprint Backlog'!$F240, TRUE, 0)</f>
        <v>0.5</v>
      </c>
      <c r="C240" s="4" cm="1">
        <f t="array" ref="C240">_xlfn.IFS('ProductSprint Backlog'!$F240="", "", AND('ProductSprint Backlog'!$J240&gt;C$2,'ProductSprint Backlog'!$I240&lt;=C$2), 'ProductSprint Backlog'!$F240 / MAX(1, 'ProductSprint Backlog'!$J240-'ProductSprint Backlog'!$I240), AND('ProductSprint Backlog'!$J240=C$2,'ProductSprint Backlog'!$I240=C$2), 'ProductSprint Backlog'!$F240, TRUE, 0)</f>
        <v>0</v>
      </c>
      <c r="D240" s="4" cm="1">
        <f t="array" ref="D240">_xlfn.IFS('ProductSprint Backlog'!$F240="", "", AND('ProductSprint Backlog'!$J240&gt;D$2,'ProductSprint Backlog'!$I240&lt;=D$2), 'ProductSprint Backlog'!$F240 / MAX(1, 'ProductSprint Backlog'!$J240-'ProductSprint Backlog'!$I240), AND('ProductSprint Backlog'!$J240=D$2,'ProductSprint Backlog'!$I240=D$2), 'ProductSprint Backlog'!$F240, TRUE, 0)</f>
        <v>0</v>
      </c>
      <c r="E240" s="4" cm="1">
        <f t="array" ref="E240">_xlfn.IFS('ProductSprint Backlog'!$F240="", "", AND('ProductSprint Backlog'!$J240&gt;E$2,'ProductSprint Backlog'!$I240&lt;=E$2), 'ProductSprint Backlog'!$F240 / MAX(1, 'ProductSprint Backlog'!$J240-'ProductSprint Backlog'!$I240), AND('ProductSprint Backlog'!$J240=E$2,'ProductSprint Backlog'!$I240=E$2), 'ProductSprint Backlog'!$F240, TRUE, 0)</f>
        <v>0</v>
      </c>
      <c r="F240" s="4" cm="1">
        <f t="array" ref="F240">_xlfn.IFS('ProductSprint Backlog'!$F240="", "", AND('ProductSprint Backlog'!$J240&gt;F$2,'ProductSprint Backlog'!$I240&lt;=F$2), 'ProductSprint Backlog'!$F240 / MAX(1, 'ProductSprint Backlog'!$J240-'ProductSprint Backlog'!$I240), AND('ProductSprint Backlog'!$J240=F$2,'ProductSprint Backlog'!$I240=F$2), 'ProductSprint Backlog'!$F240, TRUE, 0)</f>
        <v>0</v>
      </c>
      <c r="G240" s="4" cm="1">
        <f t="array" ref="G240">_xlfn.IFS('ProductSprint Backlog'!$F240="", "", AND('ProductSprint Backlog'!$J240&gt;G$2,'ProductSprint Backlog'!$I240&lt;=G$2), 'ProductSprint Backlog'!$F240 / MAX(1, 'ProductSprint Backlog'!$J240-'ProductSprint Backlog'!$I240), AND('ProductSprint Backlog'!$J240=G$2,'ProductSprint Backlog'!$I240=G$2), 'ProductSprint Backlog'!$F240, TRUE, 0)</f>
        <v>0</v>
      </c>
      <c r="H240" s="4" cm="1">
        <f t="array" ref="H240">_xlfn.IFS('ProductSprint Backlog'!$F240="", "", AND('ProductSprint Backlog'!$J240&gt;H$2,'ProductSprint Backlog'!$I240&lt;=H$2), 'ProductSprint Backlog'!$F240 / MAX(1, 'ProductSprint Backlog'!$J240-'ProductSprint Backlog'!$I240), AND('ProductSprint Backlog'!$J240=H$2,'ProductSprint Backlog'!$I240=H$2), 'ProductSprint Backlog'!$F240, TRUE, 0)</f>
        <v>0</v>
      </c>
      <c r="I240" s="4" cm="1">
        <f t="array" ref="I240">_xlfn.IFS('ProductSprint Backlog'!$F240="", "", AND('ProductSprint Backlog'!$J240&gt;I$2,'ProductSprint Backlog'!$I240&lt;=I$2), 'ProductSprint Backlog'!$F240 / MAX(1, 'ProductSprint Backlog'!$J240-'ProductSprint Backlog'!$I240), AND('ProductSprint Backlog'!$J240=I$2,'ProductSprint Backlog'!$I240=I$2), 'ProductSprint Backlog'!$F240, TRUE, 0)</f>
        <v>0</v>
      </c>
      <c r="J240" s="4" cm="1">
        <f t="array" ref="J240">_xlfn.IFS('ProductSprint Backlog'!$F240="", "", AND('ProductSprint Backlog'!$J240&gt;J$2,'ProductSprint Backlog'!$I240&lt;=J$2), 'ProductSprint Backlog'!$F240 / MAX(1, 'ProductSprint Backlog'!$J240-'ProductSprint Backlog'!$I240), AND('ProductSprint Backlog'!$J240=J$2,'ProductSprint Backlog'!$I240=J$2), 'ProductSprint Backlog'!$F240, TRUE, 0)</f>
        <v>0</v>
      </c>
      <c r="K240" s="4" cm="1">
        <f t="array" ref="K240">_xlfn.IFS('ProductSprint Backlog'!$F240="", "", AND('ProductSprint Backlog'!$J240&gt;K$2,'ProductSprint Backlog'!$I240&lt;=K$2), 'ProductSprint Backlog'!$F240 / MAX(1, 'ProductSprint Backlog'!$J240-'ProductSprint Backlog'!$I240), AND('ProductSprint Backlog'!$J240=K$2,'ProductSprint Backlog'!$I240=K$2), 'ProductSprint Backlog'!$F240, TRUE, 0)</f>
        <v>0</v>
      </c>
      <c r="L240" s="4" cm="1">
        <f t="array" ref="L240">_xlfn.IFS('ProductSprint Backlog'!$F240="", "", AND('ProductSprint Backlog'!$J240&gt;L$2,'ProductSprint Backlog'!$I240&lt;=L$2), 'ProductSprint Backlog'!$F240 / MAX(1, 'ProductSprint Backlog'!$J240-'ProductSprint Backlog'!$I240), AND('ProductSprint Backlog'!$J240=L$2,'ProductSprint Backlog'!$I240=L$2), 'ProductSprint Backlog'!$F240, TRUE, 0)</f>
        <v>0</v>
      </c>
      <c r="M240" s="4" cm="1">
        <f t="array" ref="M240">_xlfn.IFS('ProductSprint Backlog'!$F240="", "", AND('ProductSprint Backlog'!$J240&gt;M$2,'ProductSprint Backlog'!$I240&lt;=M$2), 'ProductSprint Backlog'!$F240 / MAX(1, 'ProductSprint Backlog'!$J240-'ProductSprint Backlog'!$I240), AND('ProductSprint Backlog'!$J240=M$2,'ProductSprint Backlog'!$I240=M$2), 'ProductSprint Backlog'!$F240, TRUE, 0)</f>
        <v>0</v>
      </c>
      <c r="N240" s="4" cm="1">
        <f t="array" ref="N240">_xlfn.IFS('ProductSprint Backlog'!$F240="", "", AND('ProductSprint Backlog'!$J240&gt;N$2,'ProductSprint Backlog'!$I240&lt;=N$2), 'ProductSprint Backlog'!$F240 / MAX(1, 'ProductSprint Backlog'!$J240-'ProductSprint Backlog'!$I240), AND('ProductSprint Backlog'!$J240=N$2,'ProductSprint Backlog'!$I240=N$2), 'ProductSprint Backlog'!$F240, TRUE, 0)</f>
        <v>0</v>
      </c>
      <c r="O240" s="4" cm="1">
        <f t="array" ref="O240">_xlfn.IFS('ProductSprint Backlog'!$F240="", "", AND('ProductSprint Backlog'!$J240&gt;O$2,'ProductSprint Backlog'!$I240&lt;=O$2), 'ProductSprint Backlog'!$F240 / MAX(1, 'ProductSprint Backlog'!$J240-'ProductSprint Backlog'!$I240), AND('ProductSprint Backlog'!$J240=O$2,'ProductSprint Backlog'!$I240=O$2), 'ProductSprint Backlog'!$F240, TRUE, 0)</f>
        <v>0</v>
      </c>
      <c r="P240" s="4" cm="1">
        <f t="array" ref="P240">_xlfn.IFS('ProductSprint Backlog'!$F240="", "", AND('ProductSprint Backlog'!$J240&gt;P$2,'ProductSprint Backlog'!$I240&lt;=P$2), 'ProductSprint Backlog'!$F240 / MAX(1, 'ProductSprint Backlog'!$J240-'ProductSprint Backlog'!$I240), AND('ProductSprint Backlog'!$J240=P$2,'ProductSprint Backlog'!$I240=P$2), 'ProductSprint Backlog'!$F240, TRUE, 0)</f>
        <v>0</v>
      </c>
      <c r="Q240" s="4" cm="1">
        <f t="array" ref="Q240">_xlfn.IFS('ProductSprint Backlog'!$F240="", "", AND('ProductSprint Backlog'!$J240&gt;Q$2,'ProductSprint Backlog'!$I240&lt;=Q$2), 'ProductSprint Backlog'!$F240 / MAX(1, 'ProductSprint Backlog'!$J240-'ProductSprint Backlog'!$I240), AND('ProductSprint Backlog'!$J240=Q$2,'ProductSprint Backlog'!$I240=Q$2), 'ProductSprint Backlog'!$F240, TRUE, 0)</f>
        <v>0</v>
      </c>
    </row>
    <row r="241" spans="2:17" x14ac:dyDescent="0.2">
      <c r="B241" s="4" cm="1">
        <f t="array" ref="B241">_xlfn.IFS('ProductSprint Backlog'!$F241="", "", AND('ProductSprint Backlog'!$J241&gt;B$2,'ProductSprint Backlog'!$I241&lt;=B$2), 'ProductSprint Backlog'!$F241 / MAX(1, 'ProductSprint Backlog'!$J241-'ProductSprint Backlog'!$I241), AND('ProductSprint Backlog'!$J241=B$2,'ProductSprint Backlog'!$I241=B$2), 'ProductSprint Backlog'!$F241, TRUE, 0)</f>
        <v>1</v>
      </c>
      <c r="C241" s="4" cm="1">
        <f t="array" ref="C241">_xlfn.IFS('ProductSprint Backlog'!$F241="", "", AND('ProductSprint Backlog'!$J241&gt;C$2,'ProductSprint Backlog'!$I241&lt;=C$2), 'ProductSprint Backlog'!$F241 / MAX(1, 'ProductSprint Backlog'!$J241-'ProductSprint Backlog'!$I241), AND('ProductSprint Backlog'!$J241=C$2,'ProductSprint Backlog'!$I241=C$2), 'ProductSprint Backlog'!$F241, TRUE, 0)</f>
        <v>0</v>
      </c>
      <c r="D241" s="4" cm="1">
        <f t="array" ref="D241">_xlfn.IFS('ProductSprint Backlog'!$F241="", "", AND('ProductSprint Backlog'!$J241&gt;D$2,'ProductSprint Backlog'!$I241&lt;=D$2), 'ProductSprint Backlog'!$F241 / MAX(1, 'ProductSprint Backlog'!$J241-'ProductSprint Backlog'!$I241), AND('ProductSprint Backlog'!$J241=D$2,'ProductSprint Backlog'!$I241=D$2), 'ProductSprint Backlog'!$F241, TRUE, 0)</f>
        <v>0</v>
      </c>
      <c r="E241" s="4" cm="1">
        <f t="array" ref="E241">_xlfn.IFS('ProductSprint Backlog'!$F241="", "", AND('ProductSprint Backlog'!$J241&gt;E$2,'ProductSprint Backlog'!$I241&lt;=E$2), 'ProductSprint Backlog'!$F241 / MAX(1, 'ProductSprint Backlog'!$J241-'ProductSprint Backlog'!$I241), AND('ProductSprint Backlog'!$J241=E$2,'ProductSprint Backlog'!$I241=E$2), 'ProductSprint Backlog'!$F241, TRUE, 0)</f>
        <v>0</v>
      </c>
      <c r="F241" s="4" cm="1">
        <f t="array" ref="F241">_xlfn.IFS('ProductSprint Backlog'!$F241="", "", AND('ProductSprint Backlog'!$J241&gt;F$2,'ProductSprint Backlog'!$I241&lt;=F$2), 'ProductSprint Backlog'!$F241 / MAX(1, 'ProductSprint Backlog'!$J241-'ProductSprint Backlog'!$I241), AND('ProductSprint Backlog'!$J241=F$2,'ProductSprint Backlog'!$I241=F$2), 'ProductSprint Backlog'!$F241, TRUE, 0)</f>
        <v>0</v>
      </c>
      <c r="G241" s="4" cm="1">
        <f t="array" ref="G241">_xlfn.IFS('ProductSprint Backlog'!$F241="", "", AND('ProductSprint Backlog'!$J241&gt;G$2,'ProductSprint Backlog'!$I241&lt;=G$2), 'ProductSprint Backlog'!$F241 / MAX(1, 'ProductSprint Backlog'!$J241-'ProductSprint Backlog'!$I241), AND('ProductSprint Backlog'!$J241=G$2,'ProductSprint Backlog'!$I241=G$2), 'ProductSprint Backlog'!$F241, TRUE, 0)</f>
        <v>0</v>
      </c>
      <c r="H241" s="4" cm="1">
        <f t="array" ref="H241">_xlfn.IFS('ProductSprint Backlog'!$F241="", "", AND('ProductSprint Backlog'!$J241&gt;H$2,'ProductSprint Backlog'!$I241&lt;=H$2), 'ProductSprint Backlog'!$F241 / MAX(1, 'ProductSprint Backlog'!$J241-'ProductSprint Backlog'!$I241), AND('ProductSprint Backlog'!$J241=H$2,'ProductSprint Backlog'!$I241=H$2), 'ProductSprint Backlog'!$F241, TRUE, 0)</f>
        <v>0</v>
      </c>
      <c r="I241" s="4" cm="1">
        <f t="array" ref="I241">_xlfn.IFS('ProductSprint Backlog'!$F241="", "", AND('ProductSprint Backlog'!$J241&gt;I$2,'ProductSprint Backlog'!$I241&lt;=I$2), 'ProductSprint Backlog'!$F241 / MAX(1, 'ProductSprint Backlog'!$J241-'ProductSprint Backlog'!$I241), AND('ProductSprint Backlog'!$J241=I$2,'ProductSprint Backlog'!$I241=I$2), 'ProductSprint Backlog'!$F241, TRUE, 0)</f>
        <v>0</v>
      </c>
      <c r="J241" s="4" cm="1">
        <f t="array" ref="J241">_xlfn.IFS('ProductSprint Backlog'!$F241="", "", AND('ProductSprint Backlog'!$J241&gt;J$2,'ProductSprint Backlog'!$I241&lt;=J$2), 'ProductSprint Backlog'!$F241 / MAX(1, 'ProductSprint Backlog'!$J241-'ProductSprint Backlog'!$I241), AND('ProductSprint Backlog'!$J241=J$2,'ProductSprint Backlog'!$I241=J$2), 'ProductSprint Backlog'!$F241, TRUE, 0)</f>
        <v>0</v>
      </c>
      <c r="K241" s="4" cm="1">
        <f t="array" ref="K241">_xlfn.IFS('ProductSprint Backlog'!$F241="", "", AND('ProductSprint Backlog'!$J241&gt;K$2,'ProductSprint Backlog'!$I241&lt;=K$2), 'ProductSprint Backlog'!$F241 / MAX(1, 'ProductSprint Backlog'!$J241-'ProductSprint Backlog'!$I241), AND('ProductSprint Backlog'!$J241=K$2,'ProductSprint Backlog'!$I241=K$2), 'ProductSprint Backlog'!$F241, TRUE, 0)</f>
        <v>0</v>
      </c>
      <c r="L241" s="4" cm="1">
        <f t="array" ref="L241">_xlfn.IFS('ProductSprint Backlog'!$F241="", "", AND('ProductSprint Backlog'!$J241&gt;L$2,'ProductSprint Backlog'!$I241&lt;=L$2), 'ProductSprint Backlog'!$F241 / MAX(1, 'ProductSprint Backlog'!$J241-'ProductSprint Backlog'!$I241), AND('ProductSprint Backlog'!$J241=L$2,'ProductSprint Backlog'!$I241=L$2), 'ProductSprint Backlog'!$F241, TRUE, 0)</f>
        <v>0</v>
      </c>
      <c r="M241" s="4" cm="1">
        <f t="array" ref="M241">_xlfn.IFS('ProductSprint Backlog'!$F241="", "", AND('ProductSprint Backlog'!$J241&gt;M$2,'ProductSprint Backlog'!$I241&lt;=M$2), 'ProductSprint Backlog'!$F241 / MAX(1, 'ProductSprint Backlog'!$J241-'ProductSprint Backlog'!$I241), AND('ProductSprint Backlog'!$J241=M$2,'ProductSprint Backlog'!$I241=M$2), 'ProductSprint Backlog'!$F241, TRUE, 0)</f>
        <v>0</v>
      </c>
      <c r="N241" s="4" cm="1">
        <f t="array" ref="N241">_xlfn.IFS('ProductSprint Backlog'!$F241="", "", AND('ProductSprint Backlog'!$J241&gt;N$2,'ProductSprint Backlog'!$I241&lt;=N$2), 'ProductSprint Backlog'!$F241 / MAX(1, 'ProductSprint Backlog'!$J241-'ProductSprint Backlog'!$I241), AND('ProductSprint Backlog'!$J241=N$2,'ProductSprint Backlog'!$I241=N$2), 'ProductSprint Backlog'!$F241, TRUE, 0)</f>
        <v>0</v>
      </c>
      <c r="O241" s="4" cm="1">
        <f t="array" ref="O241">_xlfn.IFS('ProductSprint Backlog'!$F241="", "", AND('ProductSprint Backlog'!$J241&gt;O$2,'ProductSprint Backlog'!$I241&lt;=O$2), 'ProductSprint Backlog'!$F241 / MAX(1, 'ProductSprint Backlog'!$J241-'ProductSprint Backlog'!$I241), AND('ProductSprint Backlog'!$J241=O$2,'ProductSprint Backlog'!$I241=O$2), 'ProductSprint Backlog'!$F241, TRUE, 0)</f>
        <v>0</v>
      </c>
      <c r="P241" s="4" cm="1">
        <f t="array" ref="P241">_xlfn.IFS('ProductSprint Backlog'!$F241="", "", AND('ProductSprint Backlog'!$J241&gt;P$2,'ProductSprint Backlog'!$I241&lt;=P$2), 'ProductSprint Backlog'!$F241 / MAX(1, 'ProductSprint Backlog'!$J241-'ProductSprint Backlog'!$I241), AND('ProductSprint Backlog'!$J241=P$2,'ProductSprint Backlog'!$I241=P$2), 'ProductSprint Backlog'!$F241, TRUE, 0)</f>
        <v>0</v>
      </c>
      <c r="Q241" s="4" cm="1">
        <f t="array" ref="Q241">_xlfn.IFS('ProductSprint Backlog'!$F241="", "", AND('ProductSprint Backlog'!$J241&gt;Q$2,'ProductSprint Backlog'!$I241&lt;=Q$2), 'ProductSprint Backlog'!$F241 / MAX(1, 'ProductSprint Backlog'!$J241-'ProductSprint Backlog'!$I241), AND('ProductSprint Backlog'!$J241=Q$2,'ProductSprint Backlog'!$I241=Q$2), 'ProductSprint Backlog'!$F241, TRUE, 0)</f>
        <v>0</v>
      </c>
    </row>
    <row r="242" spans="2:17" x14ac:dyDescent="0.2">
      <c r="B242" s="4" cm="1">
        <f t="array" ref="B242">_xlfn.IFS('ProductSprint Backlog'!$F242="", "", AND('ProductSprint Backlog'!$J242&gt;B$2,'ProductSprint Backlog'!$I242&lt;=B$2), 'ProductSprint Backlog'!$F242 / MAX(1, 'ProductSprint Backlog'!$J242-'ProductSprint Backlog'!$I242), AND('ProductSprint Backlog'!$J242=B$2,'ProductSprint Backlog'!$I242=B$2), 'ProductSprint Backlog'!$F242, TRUE, 0)</f>
        <v>0</v>
      </c>
      <c r="C242" s="4" cm="1">
        <f t="array" ref="C242">_xlfn.IFS('ProductSprint Backlog'!$F242="", "", AND('ProductSprint Backlog'!$J242&gt;C$2,'ProductSprint Backlog'!$I242&lt;=C$2), 'ProductSprint Backlog'!$F242 / MAX(1, 'ProductSprint Backlog'!$J242-'ProductSprint Backlog'!$I242), AND('ProductSprint Backlog'!$J242=C$2,'ProductSprint Backlog'!$I242=C$2), 'ProductSprint Backlog'!$F242, TRUE, 0)</f>
        <v>1</v>
      </c>
      <c r="D242" s="4" cm="1">
        <f t="array" ref="D242">_xlfn.IFS('ProductSprint Backlog'!$F242="", "", AND('ProductSprint Backlog'!$J242&gt;D$2,'ProductSprint Backlog'!$I242&lt;=D$2), 'ProductSprint Backlog'!$F242 / MAX(1, 'ProductSprint Backlog'!$J242-'ProductSprint Backlog'!$I242), AND('ProductSprint Backlog'!$J242=D$2,'ProductSprint Backlog'!$I242=D$2), 'ProductSprint Backlog'!$F242, TRUE, 0)</f>
        <v>0</v>
      </c>
      <c r="E242" s="4" cm="1">
        <f t="array" ref="E242">_xlfn.IFS('ProductSprint Backlog'!$F242="", "", AND('ProductSprint Backlog'!$J242&gt;E$2,'ProductSprint Backlog'!$I242&lt;=E$2), 'ProductSprint Backlog'!$F242 / MAX(1, 'ProductSprint Backlog'!$J242-'ProductSprint Backlog'!$I242), AND('ProductSprint Backlog'!$J242=E$2,'ProductSprint Backlog'!$I242=E$2), 'ProductSprint Backlog'!$F242, TRUE, 0)</f>
        <v>0</v>
      </c>
      <c r="F242" s="4" cm="1">
        <f t="array" ref="F242">_xlfn.IFS('ProductSprint Backlog'!$F242="", "", AND('ProductSprint Backlog'!$J242&gt;F$2,'ProductSprint Backlog'!$I242&lt;=F$2), 'ProductSprint Backlog'!$F242 / MAX(1, 'ProductSprint Backlog'!$J242-'ProductSprint Backlog'!$I242), AND('ProductSprint Backlog'!$J242=F$2,'ProductSprint Backlog'!$I242=F$2), 'ProductSprint Backlog'!$F242, TRUE, 0)</f>
        <v>0</v>
      </c>
      <c r="G242" s="4" cm="1">
        <f t="array" ref="G242">_xlfn.IFS('ProductSprint Backlog'!$F242="", "", AND('ProductSprint Backlog'!$J242&gt;G$2,'ProductSprint Backlog'!$I242&lt;=G$2), 'ProductSprint Backlog'!$F242 / MAX(1, 'ProductSprint Backlog'!$J242-'ProductSprint Backlog'!$I242), AND('ProductSprint Backlog'!$J242=G$2,'ProductSprint Backlog'!$I242=G$2), 'ProductSprint Backlog'!$F242, TRUE, 0)</f>
        <v>0</v>
      </c>
      <c r="H242" s="4" cm="1">
        <f t="array" ref="H242">_xlfn.IFS('ProductSprint Backlog'!$F242="", "", AND('ProductSprint Backlog'!$J242&gt;H$2,'ProductSprint Backlog'!$I242&lt;=H$2), 'ProductSprint Backlog'!$F242 / MAX(1, 'ProductSprint Backlog'!$J242-'ProductSprint Backlog'!$I242), AND('ProductSprint Backlog'!$J242=H$2,'ProductSprint Backlog'!$I242=H$2), 'ProductSprint Backlog'!$F242, TRUE, 0)</f>
        <v>0</v>
      </c>
      <c r="I242" s="4" cm="1">
        <f t="array" ref="I242">_xlfn.IFS('ProductSprint Backlog'!$F242="", "", AND('ProductSprint Backlog'!$J242&gt;I$2,'ProductSprint Backlog'!$I242&lt;=I$2), 'ProductSprint Backlog'!$F242 / MAX(1, 'ProductSprint Backlog'!$J242-'ProductSprint Backlog'!$I242), AND('ProductSprint Backlog'!$J242=I$2,'ProductSprint Backlog'!$I242=I$2), 'ProductSprint Backlog'!$F242, TRUE, 0)</f>
        <v>0</v>
      </c>
      <c r="J242" s="4" cm="1">
        <f t="array" ref="J242">_xlfn.IFS('ProductSprint Backlog'!$F242="", "", AND('ProductSprint Backlog'!$J242&gt;J$2,'ProductSprint Backlog'!$I242&lt;=J$2), 'ProductSprint Backlog'!$F242 / MAX(1, 'ProductSprint Backlog'!$J242-'ProductSprint Backlog'!$I242), AND('ProductSprint Backlog'!$J242=J$2,'ProductSprint Backlog'!$I242=J$2), 'ProductSprint Backlog'!$F242, TRUE, 0)</f>
        <v>0</v>
      </c>
      <c r="K242" s="4" cm="1">
        <f t="array" ref="K242">_xlfn.IFS('ProductSprint Backlog'!$F242="", "", AND('ProductSprint Backlog'!$J242&gt;K$2,'ProductSprint Backlog'!$I242&lt;=K$2), 'ProductSprint Backlog'!$F242 / MAX(1, 'ProductSprint Backlog'!$J242-'ProductSprint Backlog'!$I242), AND('ProductSprint Backlog'!$J242=K$2,'ProductSprint Backlog'!$I242=K$2), 'ProductSprint Backlog'!$F242, TRUE, 0)</f>
        <v>0</v>
      </c>
      <c r="L242" s="4" cm="1">
        <f t="array" ref="L242">_xlfn.IFS('ProductSprint Backlog'!$F242="", "", AND('ProductSprint Backlog'!$J242&gt;L$2,'ProductSprint Backlog'!$I242&lt;=L$2), 'ProductSprint Backlog'!$F242 / MAX(1, 'ProductSprint Backlog'!$J242-'ProductSprint Backlog'!$I242), AND('ProductSprint Backlog'!$J242=L$2,'ProductSprint Backlog'!$I242=L$2), 'ProductSprint Backlog'!$F242, TRUE, 0)</f>
        <v>0</v>
      </c>
      <c r="M242" s="4" cm="1">
        <f t="array" ref="M242">_xlfn.IFS('ProductSprint Backlog'!$F242="", "", AND('ProductSprint Backlog'!$J242&gt;M$2,'ProductSprint Backlog'!$I242&lt;=M$2), 'ProductSprint Backlog'!$F242 / MAX(1, 'ProductSprint Backlog'!$J242-'ProductSprint Backlog'!$I242), AND('ProductSprint Backlog'!$J242=M$2,'ProductSprint Backlog'!$I242=M$2), 'ProductSprint Backlog'!$F242, TRUE, 0)</f>
        <v>0</v>
      </c>
      <c r="N242" s="4" cm="1">
        <f t="array" ref="N242">_xlfn.IFS('ProductSprint Backlog'!$F242="", "", AND('ProductSprint Backlog'!$J242&gt;N$2,'ProductSprint Backlog'!$I242&lt;=N$2), 'ProductSprint Backlog'!$F242 / MAX(1, 'ProductSprint Backlog'!$J242-'ProductSprint Backlog'!$I242), AND('ProductSprint Backlog'!$J242=N$2,'ProductSprint Backlog'!$I242=N$2), 'ProductSprint Backlog'!$F242, TRUE, 0)</f>
        <v>0</v>
      </c>
      <c r="O242" s="4" cm="1">
        <f t="array" ref="O242">_xlfn.IFS('ProductSprint Backlog'!$F242="", "", AND('ProductSprint Backlog'!$J242&gt;O$2,'ProductSprint Backlog'!$I242&lt;=O$2), 'ProductSprint Backlog'!$F242 / MAX(1, 'ProductSprint Backlog'!$J242-'ProductSprint Backlog'!$I242), AND('ProductSprint Backlog'!$J242=O$2,'ProductSprint Backlog'!$I242=O$2), 'ProductSprint Backlog'!$F242, TRUE, 0)</f>
        <v>0</v>
      </c>
      <c r="P242" s="4" cm="1">
        <f t="array" ref="P242">_xlfn.IFS('ProductSprint Backlog'!$F242="", "", AND('ProductSprint Backlog'!$J242&gt;P$2,'ProductSprint Backlog'!$I242&lt;=P$2), 'ProductSprint Backlog'!$F242 / MAX(1, 'ProductSprint Backlog'!$J242-'ProductSprint Backlog'!$I242), AND('ProductSprint Backlog'!$J242=P$2,'ProductSprint Backlog'!$I242=P$2), 'ProductSprint Backlog'!$F242, TRUE, 0)</f>
        <v>0</v>
      </c>
      <c r="Q242" s="4" cm="1">
        <f t="array" ref="Q242">_xlfn.IFS('ProductSprint Backlog'!$F242="", "", AND('ProductSprint Backlog'!$J242&gt;Q$2,'ProductSprint Backlog'!$I242&lt;=Q$2), 'ProductSprint Backlog'!$F242 / MAX(1, 'ProductSprint Backlog'!$J242-'ProductSprint Backlog'!$I242), AND('ProductSprint Backlog'!$J242=Q$2,'ProductSprint Backlog'!$I242=Q$2), 'ProductSprint Backlog'!$F242, TRUE, 0)</f>
        <v>0</v>
      </c>
    </row>
    <row r="243" spans="2:17" x14ac:dyDescent="0.2">
      <c r="B243" s="4" cm="1">
        <f t="array" ref="B243">_xlfn.IFS('ProductSprint Backlog'!$F243="", "", AND('ProductSprint Backlog'!$J243&gt;B$2,'ProductSprint Backlog'!$I243&lt;=B$2), 'ProductSprint Backlog'!$F243 / MAX(1, 'ProductSprint Backlog'!$J243-'ProductSprint Backlog'!$I243), AND('ProductSprint Backlog'!$J243=B$2,'ProductSprint Backlog'!$I243=B$2), 'ProductSprint Backlog'!$F243, TRUE, 0)</f>
        <v>0</v>
      </c>
      <c r="C243" s="4" cm="1">
        <f t="array" ref="C243">_xlfn.IFS('ProductSprint Backlog'!$F243="", "", AND('ProductSprint Backlog'!$J243&gt;C$2,'ProductSprint Backlog'!$I243&lt;=C$2), 'ProductSprint Backlog'!$F243 / MAX(1, 'ProductSprint Backlog'!$J243-'ProductSprint Backlog'!$I243), AND('ProductSprint Backlog'!$J243=C$2,'ProductSprint Backlog'!$I243=C$2), 'ProductSprint Backlog'!$F243, TRUE, 0)</f>
        <v>0</v>
      </c>
      <c r="D243" s="4" cm="1">
        <f t="array" ref="D243">_xlfn.IFS('ProductSprint Backlog'!$F243="", "", AND('ProductSprint Backlog'!$J243&gt;D$2,'ProductSprint Backlog'!$I243&lt;=D$2), 'ProductSprint Backlog'!$F243 / MAX(1, 'ProductSprint Backlog'!$J243-'ProductSprint Backlog'!$I243), AND('ProductSprint Backlog'!$J243=D$2,'ProductSprint Backlog'!$I243=D$2), 'ProductSprint Backlog'!$F243, TRUE, 0)</f>
        <v>0.5</v>
      </c>
      <c r="E243" s="4" cm="1">
        <f t="array" ref="E243">_xlfn.IFS('ProductSprint Backlog'!$F243="", "", AND('ProductSprint Backlog'!$J243&gt;E$2,'ProductSprint Backlog'!$I243&lt;=E$2), 'ProductSprint Backlog'!$F243 / MAX(1, 'ProductSprint Backlog'!$J243-'ProductSprint Backlog'!$I243), AND('ProductSprint Backlog'!$J243=E$2,'ProductSprint Backlog'!$I243=E$2), 'ProductSprint Backlog'!$F243, TRUE, 0)</f>
        <v>0</v>
      </c>
      <c r="F243" s="4" cm="1">
        <f t="array" ref="F243">_xlfn.IFS('ProductSprint Backlog'!$F243="", "", AND('ProductSprint Backlog'!$J243&gt;F$2,'ProductSprint Backlog'!$I243&lt;=F$2), 'ProductSprint Backlog'!$F243 / MAX(1, 'ProductSprint Backlog'!$J243-'ProductSprint Backlog'!$I243), AND('ProductSprint Backlog'!$J243=F$2,'ProductSprint Backlog'!$I243=F$2), 'ProductSprint Backlog'!$F243, TRUE, 0)</f>
        <v>0</v>
      </c>
      <c r="G243" s="4" cm="1">
        <f t="array" ref="G243">_xlfn.IFS('ProductSprint Backlog'!$F243="", "", AND('ProductSprint Backlog'!$J243&gt;G$2,'ProductSprint Backlog'!$I243&lt;=G$2), 'ProductSprint Backlog'!$F243 / MAX(1, 'ProductSprint Backlog'!$J243-'ProductSprint Backlog'!$I243), AND('ProductSprint Backlog'!$J243=G$2,'ProductSprint Backlog'!$I243=G$2), 'ProductSprint Backlog'!$F243, TRUE, 0)</f>
        <v>0</v>
      </c>
      <c r="H243" s="4" cm="1">
        <f t="array" ref="H243">_xlfn.IFS('ProductSprint Backlog'!$F243="", "", AND('ProductSprint Backlog'!$J243&gt;H$2,'ProductSprint Backlog'!$I243&lt;=H$2), 'ProductSprint Backlog'!$F243 / MAX(1, 'ProductSprint Backlog'!$J243-'ProductSprint Backlog'!$I243), AND('ProductSprint Backlog'!$J243=H$2,'ProductSprint Backlog'!$I243=H$2), 'ProductSprint Backlog'!$F243, TRUE, 0)</f>
        <v>0</v>
      </c>
      <c r="I243" s="4" cm="1">
        <f t="array" ref="I243">_xlfn.IFS('ProductSprint Backlog'!$F243="", "", AND('ProductSprint Backlog'!$J243&gt;I$2,'ProductSprint Backlog'!$I243&lt;=I$2), 'ProductSprint Backlog'!$F243 / MAX(1, 'ProductSprint Backlog'!$J243-'ProductSprint Backlog'!$I243), AND('ProductSprint Backlog'!$J243=I$2,'ProductSprint Backlog'!$I243=I$2), 'ProductSprint Backlog'!$F243, TRUE, 0)</f>
        <v>0</v>
      </c>
      <c r="J243" s="4" cm="1">
        <f t="array" ref="J243">_xlfn.IFS('ProductSprint Backlog'!$F243="", "", AND('ProductSprint Backlog'!$J243&gt;J$2,'ProductSprint Backlog'!$I243&lt;=J$2), 'ProductSprint Backlog'!$F243 / MAX(1, 'ProductSprint Backlog'!$J243-'ProductSprint Backlog'!$I243), AND('ProductSprint Backlog'!$J243=J$2,'ProductSprint Backlog'!$I243=J$2), 'ProductSprint Backlog'!$F243, TRUE, 0)</f>
        <v>0</v>
      </c>
      <c r="K243" s="4" cm="1">
        <f t="array" ref="K243">_xlfn.IFS('ProductSprint Backlog'!$F243="", "", AND('ProductSprint Backlog'!$J243&gt;K$2,'ProductSprint Backlog'!$I243&lt;=K$2), 'ProductSprint Backlog'!$F243 / MAX(1, 'ProductSprint Backlog'!$J243-'ProductSprint Backlog'!$I243), AND('ProductSprint Backlog'!$J243=K$2,'ProductSprint Backlog'!$I243=K$2), 'ProductSprint Backlog'!$F243, TRUE, 0)</f>
        <v>0</v>
      </c>
      <c r="L243" s="4" cm="1">
        <f t="array" ref="L243">_xlfn.IFS('ProductSprint Backlog'!$F243="", "", AND('ProductSprint Backlog'!$J243&gt;L$2,'ProductSprint Backlog'!$I243&lt;=L$2), 'ProductSprint Backlog'!$F243 / MAX(1, 'ProductSprint Backlog'!$J243-'ProductSprint Backlog'!$I243), AND('ProductSprint Backlog'!$J243=L$2,'ProductSprint Backlog'!$I243=L$2), 'ProductSprint Backlog'!$F243, TRUE, 0)</f>
        <v>0</v>
      </c>
      <c r="M243" s="4" cm="1">
        <f t="array" ref="M243">_xlfn.IFS('ProductSprint Backlog'!$F243="", "", AND('ProductSprint Backlog'!$J243&gt;M$2,'ProductSprint Backlog'!$I243&lt;=M$2), 'ProductSprint Backlog'!$F243 / MAX(1, 'ProductSprint Backlog'!$J243-'ProductSprint Backlog'!$I243), AND('ProductSprint Backlog'!$J243=M$2,'ProductSprint Backlog'!$I243=M$2), 'ProductSprint Backlog'!$F243, TRUE, 0)</f>
        <v>0</v>
      </c>
      <c r="N243" s="4" cm="1">
        <f t="array" ref="N243">_xlfn.IFS('ProductSprint Backlog'!$F243="", "", AND('ProductSprint Backlog'!$J243&gt;N$2,'ProductSprint Backlog'!$I243&lt;=N$2), 'ProductSprint Backlog'!$F243 / MAX(1, 'ProductSprint Backlog'!$J243-'ProductSprint Backlog'!$I243), AND('ProductSprint Backlog'!$J243=N$2,'ProductSprint Backlog'!$I243=N$2), 'ProductSprint Backlog'!$F243, TRUE, 0)</f>
        <v>0</v>
      </c>
      <c r="O243" s="4" cm="1">
        <f t="array" ref="O243">_xlfn.IFS('ProductSprint Backlog'!$F243="", "", AND('ProductSprint Backlog'!$J243&gt;O$2,'ProductSprint Backlog'!$I243&lt;=O$2), 'ProductSprint Backlog'!$F243 / MAX(1, 'ProductSprint Backlog'!$J243-'ProductSprint Backlog'!$I243), AND('ProductSprint Backlog'!$J243=O$2,'ProductSprint Backlog'!$I243=O$2), 'ProductSprint Backlog'!$F243, TRUE, 0)</f>
        <v>0</v>
      </c>
      <c r="P243" s="4" cm="1">
        <f t="array" ref="P243">_xlfn.IFS('ProductSprint Backlog'!$F243="", "", AND('ProductSprint Backlog'!$J243&gt;P$2,'ProductSprint Backlog'!$I243&lt;=P$2), 'ProductSprint Backlog'!$F243 / MAX(1, 'ProductSprint Backlog'!$J243-'ProductSprint Backlog'!$I243), AND('ProductSprint Backlog'!$J243=P$2,'ProductSprint Backlog'!$I243=P$2), 'ProductSprint Backlog'!$F243, TRUE, 0)</f>
        <v>0</v>
      </c>
      <c r="Q243" s="4" cm="1">
        <f t="array" ref="Q243">_xlfn.IFS('ProductSprint Backlog'!$F243="", "", AND('ProductSprint Backlog'!$J243&gt;Q$2,'ProductSprint Backlog'!$I243&lt;=Q$2), 'ProductSprint Backlog'!$F243 / MAX(1, 'ProductSprint Backlog'!$J243-'ProductSprint Backlog'!$I243), AND('ProductSprint Backlog'!$J243=Q$2,'ProductSprint Backlog'!$I243=Q$2), 'ProductSprint Backlog'!$F243, TRUE, 0)</f>
        <v>0</v>
      </c>
    </row>
    <row r="244" spans="2:17" x14ac:dyDescent="0.2">
      <c r="B244" s="4" cm="1">
        <f t="array" ref="B244">_xlfn.IFS('ProductSprint Backlog'!$F244="", "", AND('ProductSprint Backlog'!$J244&gt;B$2,'ProductSprint Backlog'!$I244&lt;=B$2), 'ProductSprint Backlog'!$F244 / MAX(1, 'ProductSprint Backlog'!$J244-'ProductSprint Backlog'!$I244), AND('ProductSprint Backlog'!$J244=B$2,'ProductSprint Backlog'!$I244=B$2), 'ProductSprint Backlog'!$F244, TRUE, 0)</f>
        <v>1</v>
      </c>
      <c r="C244" s="4" cm="1">
        <f t="array" ref="C244">_xlfn.IFS('ProductSprint Backlog'!$F244="", "", AND('ProductSprint Backlog'!$J244&gt;C$2,'ProductSprint Backlog'!$I244&lt;=C$2), 'ProductSprint Backlog'!$F244 / MAX(1, 'ProductSprint Backlog'!$J244-'ProductSprint Backlog'!$I244), AND('ProductSprint Backlog'!$J244=C$2,'ProductSprint Backlog'!$I244=C$2), 'ProductSprint Backlog'!$F244, TRUE, 0)</f>
        <v>0</v>
      </c>
      <c r="D244" s="4" cm="1">
        <f t="array" ref="D244">_xlfn.IFS('ProductSprint Backlog'!$F244="", "", AND('ProductSprint Backlog'!$J244&gt;D$2,'ProductSprint Backlog'!$I244&lt;=D$2), 'ProductSprint Backlog'!$F244 / MAX(1, 'ProductSprint Backlog'!$J244-'ProductSprint Backlog'!$I244), AND('ProductSprint Backlog'!$J244=D$2,'ProductSprint Backlog'!$I244=D$2), 'ProductSprint Backlog'!$F244, TRUE, 0)</f>
        <v>0</v>
      </c>
      <c r="E244" s="4" cm="1">
        <f t="array" ref="E244">_xlfn.IFS('ProductSprint Backlog'!$F244="", "", AND('ProductSprint Backlog'!$J244&gt;E$2,'ProductSprint Backlog'!$I244&lt;=E$2), 'ProductSprint Backlog'!$F244 / MAX(1, 'ProductSprint Backlog'!$J244-'ProductSprint Backlog'!$I244), AND('ProductSprint Backlog'!$J244=E$2,'ProductSprint Backlog'!$I244=E$2), 'ProductSprint Backlog'!$F244, TRUE, 0)</f>
        <v>0</v>
      </c>
      <c r="F244" s="4" cm="1">
        <f t="array" ref="F244">_xlfn.IFS('ProductSprint Backlog'!$F244="", "", AND('ProductSprint Backlog'!$J244&gt;F$2,'ProductSprint Backlog'!$I244&lt;=F$2), 'ProductSprint Backlog'!$F244 / MAX(1, 'ProductSprint Backlog'!$J244-'ProductSprint Backlog'!$I244), AND('ProductSprint Backlog'!$J244=F$2,'ProductSprint Backlog'!$I244=F$2), 'ProductSprint Backlog'!$F244, TRUE, 0)</f>
        <v>0</v>
      </c>
      <c r="G244" s="4" cm="1">
        <f t="array" ref="G244">_xlfn.IFS('ProductSprint Backlog'!$F244="", "", AND('ProductSprint Backlog'!$J244&gt;G$2,'ProductSprint Backlog'!$I244&lt;=G$2), 'ProductSprint Backlog'!$F244 / MAX(1, 'ProductSprint Backlog'!$J244-'ProductSprint Backlog'!$I244), AND('ProductSprint Backlog'!$J244=G$2,'ProductSprint Backlog'!$I244=G$2), 'ProductSprint Backlog'!$F244, TRUE, 0)</f>
        <v>0</v>
      </c>
      <c r="H244" s="4" cm="1">
        <f t="array" ref="H244">_xlfn.IFS('ProductSprint Backlog'!$F244="", "", AND('ProductSprint Backlog'!$J244&gt;H$2,'ProductSprint Backlog'!$I244&lt;=H$2), 'ProductSprint Backlog'!$F244 / MAX(1, 'ProductSprint Backlog'!$J244-'ProductSprint Backlog'!$I244), AND('ProductSprint Backlog'!$J244=H$2,'ProductSprint Backlog'!$I244=H$2), 'ProductSprint Backlog'!$F244, TRUE, 0)</f>
        <v>0</v>
      </c>
      <c r="I244" s="4" cm="1">
        <f t="array" ref="I244">_xlfn.IFS('ProductSprint Backlog'!$F244="", "", AND('ProductSprint Backlog'!$J244&gt;I$2,'ProductSprint Backlog'!$I244&lt;=I$2), 'ProductSprint Backlog'!$F244 / MAX(1, 'ProductSprint Backlog'!$J244-'ProductSprint Backlog'!$I244), AND('ProductSprint Backlog'!$J244=I$2,'ProductSprint Backlog'!$I244=I$2), 'ProductSprint Backlog'!$F244, TRUE, 0)</f>
        <v>0</v>
      </c>
      <c r="J244" s="4" cm="1">
        <f t="array" ref="J244">_xlfn.IFS('ProductSprint Backlog'!$F244="", "", AND('ProductSprint Backlog'!$J244&gt;J$2,'ProductSprint Backlog'!$I244&lt;=J$2), 'ProductSprint Backlog'!$F244 / MAX(1, 'ProductSprint Backlog'!$J244-'ProductSprint Backlog'!$I244), AND('ProductSprint Backlog'!$J244=J$2,'ProductSprint Backlog'!$I244=J$2), 'ProductSprint Backlog'!$F244, TRUE, 0)</f>
        <v>0</v>
      </c>
      <c r="K244" s="4" cm="1">
        <f t="array" ref="K244">_xlfn.IFS('ProductSprint Backlog'!$F244="", "", AND('ProductSprint Backlog'!$J244&gt;K$2,'ProductSprint Backlog'!$I244&lt;=K$2), 'ProductSprint Backlog'!$F244 / MAX(1, 'ProductSprint Backlog'!$J244-'ProductSprint Backlog'!$I244), AND('ProductSprint Backlog'!$J244=K$2,'ProductSprint Backlog'!$I244=K$2), 'ProductSprint Backlog'!$F244, TRUE, 0)</f>
        <v>0</v>
      </c>
      <c r="L244" s="4" cm="1">
        <f t="array" ref="L244">_xlfn.IFS('ProductSprint Backlog'!$F244="", "", AND('ProductSprint Backlog'!$J244&gt;L$2,'ProductSprint Backlog'!$I244&lt;=L$2), 'ProductSprint Backlog'!$F244 / MAX(1, 'ProductSprint Backlog'!$J244-'ProductSprint Backlog'!$I244), AND('ProductSprint Backlog'!$J244=L$2,'ProductSprint Backlog'!$I244=L$2), 'ProductSprint Backlog'!$F244, TRUE, 0)</f>
        <v>0</v>
      </c>
      <c r="M244" s="4" cm="1">
        <f t="array" ref="M244">_xlfn.IFS('ProductSprint Backlog'!$F244="", "", AND('ProductSprint Backlog'!$J244&gt;M$2,'ProductSprint Backlog'!$I244&lt;=M$2), 'ProductSprint Backlog'!$F244 / MAX(1, 'ProductSprint Backlog'!$J244-'ProductSprint Backlog'!$I244), AND('ProductSprint Backlog'!$J244=M$2,'ProductSprint Backlog'!$I244=M$2), 'ProductSprint Backlog'!$F244, TRUE, 0)</f>
        <v>0</v>
      </c>
      <c r="N244" s="4" cm="1">
        <f t="array" ref="N244">_xlfn.IFS('ProductSprint Backlog'!$F244="", "", AND('ProductSprint Backlog'!$J244&gt;N$2,'ProductSprint Backlog'!$I244&lt;=N$2), 'ProductSprint Backlog'!$F244 / MAX(1, 'ProductSprint Backlog'!$J244-'ProductSprint Backlog'!$I244), AND('ProductSprint Backlog'!$J244=N$2,'ProductSprint Backlog'!$I244=N$2), 'ProductSprint Backlog'!$F244, TRUE, 0)</f>
        <v>0</v>
      </c>
      <c r="O244" s="4" cm="1">
        <f t="array" ref="O244">_xlfn.IFS('ProductSprint Backlog'!$F244="", "", AND('ProductSprint Backlog'!$J244&gt;O$2,'ProductSprint Backlog'!$I244&lt;=O$2), 'ProductSprint Backlog'!$F244 / MAX(1, 'ProductSprint Backlog'!$J244-'ProductSprint Backlog'!$I244), AND('ProductSprint Backlog'!$J244=O$2,'ProductSprint Backlog'!$I244=O$2), 'ProductSprint Backlog'!$F244, TRUE, 0)</f>
        <v>0</v>
      </c>
      <c r="P244" s="4" cm="1">
        <f t="array" ref="P244">_xlfn.IFS('ProductSprint Backlog'!$F244="", "", AND('ProductSprint Backlog'!$J244&gt;P$2,'ProductSprint Backlog'!$I244&lt;=P$2), 'ProductSprint Backlog'!$F244 / MAX(1, 'ProductSprint Backlog'!$J244-'ProductSprint Backlog'!$I244), AND('ProductSprint Backlog'!$J244=P$2,'ProductSprint Backlog'!$I244=P$2), 'ProductSprint Backlog'!$F244, TRUE, 0)</f>
        <v>0</v>
      </c>
      <c r="Q244" s="4" cm="1">
        <f t="array" ref="Q244">_xlfn.IFS('ProductSprint Backlog'!$F244="", "", AND('ProductSprint Backlog'!$J244&gt;Q$2,'ProductSprint Backlog'!$I244&lt;=Q$2), 'ProductSprint Backlog'!$F244 / MAX(1, 'ProductSprint Backlog'!$J244-'ProductSprint Backlog'!$I244), AND('ProductSprint Backlog'!$J244=Q$2,'ProductSprint Backlog'!$I244=Q$2), 'ProductSprint Backlog'!$F244, TRUE, 0)</f>
        <v>0</v>
      </c>
    </row>
    <row r="245" spans="2:17" x14ac:dyDescent="0.2">
      <c r="B245" s="4" cm="1">
        <f t="array" ref="B245">_xlfn.IFS('ProductSprint Backlog'!$F245="", "", AND('ProductSprint Backlog'!$J245&gt;B$2,'ProductSprint Backlog'!$I245&lt;=B$2), 'ProductSprint Backlog'!$F245 / MAX(1, 'ProductSprint Backlog'!$J245-'ProductSprint Backlog'!$I245), AND('ProductSprint Backlog'!$J245=B$2,'ProductSprint Backlog'!$I245=B$2), 'ProductSprint Backlog'!$F245, TRUE, 0)</f>
        <v>0.5</v>
      </c>
      <c r="C245" s="4" cm="1">
        <f t="array" ref="C245">_xlfn.IFS('ProductSprint Backlog'!$F245="", "", AND('ProductSprint Backlog'!$J245&gt;C$2,'ProductSprint Backlog'!$I245&lt;=C$2), 'ProductSprint Backlog'!$F245 / MAX(1, 'ProductSprint Backlog'!$J245-'ProductSprint Backlog'!$I245), AND('ProductSprint Backlog'!$J245=C$2,'ProductSprint Backlog'!$I245=C$2), 'ProductSprint Backlog'!$F245, TRUE, 0)</f>
        <v>0</v>
      </c>
      <c r="D245" s="4" cm="1">
        <f t="array" ref="D245">_xlfn.IFS('ProductSprint Backlog'!$F245="", "", AND('ProductSprint Backlog'!$J245&gt;D$2,'ProductSprint Backlog'!$I245&lt;=D$2), 'ProductSprint Backlog'!$F245 / MAX(1, 'ProductSprint Backlog'!$J245-'ProductSprint Backlog'!$I245), AND('ProductSprint Backlog'!$J245=D$2,'ProductSprint Backlog'!$I245=D$2), 'ProductSprint Backlog'!$F245, TRUE, 0)</f>
        <v>0</v>
      </c>
      <c r="E245" s="4" cm="1">
        <f t="array" ref="E245">_xlfn.IFS('ProductSprint Backlog'!$F245="", "", AND('ProductSprint Backlog'!$J245&gt;E$2,'ProductSprint Backlog'!$I245&lt;=E$2), 'ProductSprint Backlog'!$F245 / MAX(1, 'ProductSprint Backlog'!$J245-'ProductSprint Backlog'!$I245), AND('ProductSprint Backlog'!$J245=E$2,'ProductSprint Backlog'!$I245=E$2), 'ProductSprint Backlog'!$F245, TRUE, 0)</f>
        <v>0</v>
      </c>
      <c r="F245" s="4" cm="1">
        <f t="array" ref="F245">_xlfn.IFS('ProductSprint Backlog'!$F245="", "", AND('ProductSprint Backlog'!$J245&gt;F$2,'ProductSprint Backlog'!$I245&lt;=F$2), 'ProductSprint Backlog'!$F245 / MAX(1, 'ProductSprint Backlog'!$J245-'ProductSprint Backlog'!$I245), AND('ProductSprint Backlog'!$J245=F$2,'ProductSprint Backlog'!$I245=F$2), 'ProductSprint Backlog'!$F245, TRUE, 0)</f>
        <v>0</v>
      </c>
      <c r="G245" s="4" cm="1">
        <f t="array" ref="G245">_xlfn.IFS('ProductSprint Backlog'!$F245="", "", AND('ProductSprint Backlog'!$J245&gt;G$2,'ProductSprint Backlog'!$I245&lt;=G$2), 'ProductSprint Backlog'!$F245 / MAX(1, 'ProductSprint Backlog'!$J245-'ProductSprint Backlog'!$I245), AND('ProductSprint Backlog'!$J245=G$2,'ProductSprint Backlog'!$I245=G$2), 'ProductSprint Backlog'!$F245, TRUE, 0)</f>
        <v>0</v>
      </c>
      <c r="H245" s="4" cm="1">
        <f t="array" ref="H245">_xlfn.IFS('ProductSprint Backlog'!$F245="", "", AND('ProductSprint Backlog'!$J245&gt;H$2,'ProductSprint Backlog'!$I245&lt;=H$2), 'ProductSprint Backlog'!$F245 / MAX(1, 'ProductSprint Backlog'!$J245-'ProductSprint Backlog'!$I245), AND('ProductSprint Backlog'!$J245=H$2,'ProductSprint Backlog'!$I245=H$2), 'ProductSprint Backlog'!$F245, TRUE, 0)</f>
        <v>0</v>
      </c>
      <c r="I245" s="4" cm="1">
        <f t="array" ref="I245">_xlfn.IFS('ProductSprint Backlog'!$F245="", "", AND('ProductSprint Backlog'!$J245&gt;I$2,'ProductSprint Backlog'!$I245&lt;=I$2), 'ProductSprint Backlog'!$F245 / MAX(1, 'ProductSprint Backlog'!$J245-'ProductSprint Backlog'!$I245), AND('ProductSprint Backlog'!$J245=I$2,'ProductSprint Backlog'!$I245=I$2), 'ProductSprint Backlog'!$F245, TRUE, 0)</f>
        <v>0</v>
      </c>
      <c r="J245" s="4" cm="1">
        <f t="array" ref="J245">_xlfn.IFS('ProductSprint Backlog'!$F245="", "", AND('ProductSprint Backlog'!$J245&gt;J$2,'ProductSprint Backlog'!$I245&lt;=J$2), 'ProductSprint Backlog'!$F245 / MAX(1, 'ProductSprint Backlog'!$J245-'ProductSprint Backlog'!$I245), AND('ProductSprint Backlog'!$J245=J$2,'ProductSprint Backlog'!$I245=J$2), 'ProductSprint Backlog'!$F245, TRUE, 0)</f>
        <v>0</v>
      </c>
      <c r="K245" s="4" cm="1">
        <f t="array" ref="K245">_xlfn.IFS('ProductSprint Backlog'!$F245="", "", AND('ProductSprint Backlog'!$J245&gt;K$2,'ProductSprint Backlog'!$I245&lt;=K$2), 'ProductSprint Backlog'!$F245 / MAX(1, 'ProductSprint Backlog'!$J245-'ProductSprint Backlog'!$I245), AND('ProductSprint Backlog'!$J245=K$2,'ProductSprint Backlog'!$I245=K$2), 'ProductSprint Backlog'!$F245, TRUE, 0)</f>
        <v>0</v>
      </c>
      <c r="L245" s="4" cm="1">
        <f t="array" ref="L245">_xlfn.IFS('ProductSprint Backlog'!$F245="", "", AND('ProductSprint Backlog'!$J245&gt;L$2,'ProductSprint Backlog'!$I245&lt;=L$2), 'ProductSprint Backlog'!$F245 / MAX(1, 'ProductSprint Backlog'!$J245-'ProductSprint Backlog'!$I245), AND('ProductSprint Backlog'!$J245=L$2,'ProductSprint Backlog'!$I245=L$2), 'ProductSprint Backlog'!$F245, TRUE, 0)</f>
        <v>0</v>
      </c>
      <c r="M245" s="4" cm="1">
        <f t="array" ref="M245">_xlfn.IFS('ProductSprint Backlog'!$F245="", "", AND('ProductSprint Backlog'!$J245&gt;M$2,'ProductSprint Backlog'!$I245&lt;=M$2), 'ProductSprint Backlog'!$F245 / MAX(1, 'ProductSprint Backlog'!$J245-'ProductSprint Backlog'!$I245), AND('ProductSprint Backlog'!$J245=M$2,'ProductSprint Backlog'!$I245=M$2), 'ProductSprint Backlog'!$F245, TRUE, 0)</f>
        <v>0</v>
      </c>
      <c r="N245" s="4" cm="1">
        <f t="array" ref="N245">_xlfn.IFS('ProductSprint Backlog'!$F245="", "", AND('ProductSprint Backlog'!$J245&gt;N$2,'ProductSprint Backlog'!$I245&lt;=N$2), 'ProductSprint Backlog'!$F245 / MAX(1, 'ProductSprint Backlog'!$J245-'ProductSprint Backlog'!$I245), AND('ProductSprint Backlog'!$J245=N$2,'ProductSprint Backlog'!$I245=N$2), 'ProductSprint Backlog'!$F245, TRUE, 0)</f>
        <v>0</v>
      </c>
      <c r="O245" s="4" cm="1">
        <f t="array" ref="O245">_xlfn.IFS('ProductSprint Backlog'!$F245="", "", AND('ProductSprint Backlog'!$J245&gt;O$2,'ProductSprint Backlog'!$I245&lt;=O$2), 'ProductSprint Backlog'!$F245 / MAX(1, 'ProductSprint Backlog'!$J245-'ProductSprint Backlog'!$I245), AND('ProductSprint Backlog'!$J245=O$2,'ProductSprint Backlog'!$I245=O$2), 'ProductSprint Backlog'!$F245, TRUE, 0)</f>
        <v>0</v>
      </c>
      <c r="P245" s="4" cm="1">
        <f t="array" ref="P245">_xlfn.IFS('ProductSprint Backlog'!$F245="", "", AND('ProductSprint Backlog'!$J245&gt;P$2,'ProductSprint Backlog'!$I245&lt;=P$2), 'ProductSprint Backlog'!$F245 / MAX(1, 'ProductSprint Backlog'!$J245-'ProductSprint Backlog'!$I245), AND('ProductSprint Backlog'!$J245=P$2,'ProductSprint Backlog'!$I245=P$2), 'ProductSprint Backlog'!$F245, TRUE, 0)</f>
        <v>0</v>
      </c>
      <c r="Q245" s="4" cm="1">
        <f t="array" ref="Q245">_xlfn.IFS('ProductSprint Backlog'!$F245="", "", AND('ProductSprint Backlog'!$J245&gt;Q$2,'ProductSprint Backlog'!$I245&lt;=Q$2), 'ProductSprint Backlog'!$F245 / MAX(1, 'ProductSprint Backlog'!$J245-'ProductSprint Backlog'!$I245), AND('ProductSprint Backlog'!$J245=Q$2,'ProductSprint Backlog'!$I245=Q$2), 'ProductSprint Backlog'!$F245, TRUE, 0)</f>
        <v>0</v>
      </c>
    </row>
    <row r="246" spans="2:17" x14ac:dyDescent="0.2">
      <c r="B246" s="4" cm="1">
        <f t="array" ref="B246">_xlfn.IFS('ProductSprint Backlog'!$F246="", "", AND('ProductSprint Backlog'!$J246&gt;B$2,'ProductSprint Backlog'!$I246&lt;=B$2), 'ProductSprint Backlog'!$F246 / MAX(1, 'ProductSprint Backlog'!$J246-'ProductSprint Backlog'!$I246), AND('ProductSprint Backlog'!$J246=B$2,'ProductSprint Backlog'!$I246=B$2), 'ProductSprint Backlog'!$F246, TRUE, 0)</f>
        <v>0</v>
      </c>
      <c r="C246" s="4" cm="1">
        <f t="array" ref="C246">_xlfn.IFS('ProductSprint Backlog'!$F246="", "", AND('ProductSprint Backlog'!$J246&gt;C$2,'ProductSprint Backlog'!$I246&lt;=C$2), 'ProductSprint Backlog'!$F246 / MAX(1, 'ProductSprint Backlog'!$J246-'ProductSprint Backlog'!$I246), AND('ProductSprint Backlog'!$J246=C$2,'ProductSprint Backlog'!$I246=C$2), 'ProductSprint Backlog'!$F246, TRUE, 0)</f>
        <v>0</v>
      </c>
      <c r="D246" s="4" cm="1">
        <f t="array" ref="D246">_xlfn.IFS('ProductSprint Backlog'!$F246="", "", AND('ProductSprint Backlog'!$J246&gt;D$2,'ProductSprint Backlog'!$I246&lt;=D$2), 'ProductSprint Backlog'!$F246 / MAX(1, 'ProductSprint Backlog'!$J246-'ProductSprint Backlog'!$I246), AND('ProductSprint Backlog'!$J246=D$2,'ProductSprint Backlog'!$I246=D$2), 'ProductSprint Backlog'!$F246, TRUE, 0)</f>
        <v>0.5</v>
      </c>
      <c r="E246" s="4" cm="1">
        <f t="array" ref="E246">_xlfn.IFS('ProductSprint Backlog'!$F246="", "", AND('ProductSprint Backlog'!$J246&gt;E$2,'ProductSprint Backlog'!$I246&lt;=E$2), 'ProductSprint Backlog'!$F246 / MAX(1, 'ProductSprint Backlog'!$J246-'ProductSprint Backlog'!$I246), AND('ProductSprint Backlog'!$J246=E$2,'ProductSprint Backlog'!$I246=E$2), 'ProductSprint Backlog'!$F246, TRUE, 0)</f>
        <v>0</v>
      </c>
      <c r="F246" s="4" cm="1">
        <f t="array" ref="F246">_xlfn.IFS('ProductSprint Backlog'!$F246="", "", AND('ProductSprint Backlog'!$J246&gt;F$2,'ProductSprint Backlog'!$I246&lt;=F$2), 'ProductSprint Backlog'!$F246 / MAX(1, 'ProductSprint Backlog'!$J246-'ProductSprint Backlog'!$I246), AND('ProductSprint Backlog'!$J246=F$2,'ProductSprint Backlog'!$I246=F$2), 'ProductSprint Backlog'!$F246, TRUE, 0)</f>
        <v>0</v>
      </c>
      <c r="G246" s="4" cm="1">
        <f t="array" ref="G246">_xlfn.IFS('ProductSprint Backlog'!$F246="", "", AND('ProductSprint Backlog'!$J246&gt;G$2,'ProductSprint Backlog'!$I246&lt;=G$2), 'ProductSprint Backlog'!$F246 / MAX(1, 'ProductSprint Backlog'!$J246-'ProductSprint Backlog'!$I246), AND('ProductSprint Backlog'!$J246=G$2,'ProductSprint Backlog'!$I246=G$2), 'ProductSprint Backlog'!$F246, TRUE, 0)</f>
        <v>0</v>
      </c>
      <c r="H246" s="4" cm="1">
        <f t="array" ref="H246">_xlfn.IFS('ProductSprint Backlog'!$F246="", "", AND('ProductSprint Backlog'!$J246&gt;H$2,'ProductSprint Backlog'!$I246&lt;=H$2), 'ProductSprint Backlog'!$F246 / MAX(1, 'ProductSprint Backlog'!$J246-'ProductSprint Backlog'!$I246), AND('ProductSprint Backlog'!$J246=H$2,'ProductSprint Backlog'!$I246=H$2), 'ProductSprint Backlog'!$F246, TRUE, 0)</f>
        <v>0</v>
      </c>
      <c r="I246" s="4" cm="1">
        <f t="array" ref="I246">_xlfn.IFS('ProductSprint Backlog'!$F246="", "", AND('ProductSprint Backlog'!$J246&gt;I$2,'ProductSprint Backlog'!$I246&lt;=I$2), 'ProductSprint Backlog'!$F246 / MAX(1, 'ProductSprint Backlog'!$J246-'ProductSprint Backlog'!$I246), AND('ProductSprint Backlog'!$J246=I$2,'ProductSprint Backlog'!$I246=I$2), 'ProductSprint Backlog'!$F246, TRUE, 0)</f>
        <v>0</v>
      </c>
      <c r="J246" s="4" cm="1">
        <f t="array" ref="J246">_xlfn.IFS('ProductSprint Backlog'!$F246="", "", AND('ProductSprint Backlog'!$J246&gt;J$2,'ProductSprint Backlog'!$I246&lt;=J$2), 'ProductSprint Backlog'!$F246 / MAX(1, 'ProductSprint Backlog'!$J246-'ProductSprint Backlog'!$I246), AND('ProductSprint Backlog'!$J246=J$2,'ProductSprint Backlog'!$I246=J$2), 'ProductSprint Backlog'!$F246, TRUE, 0)</f>
        <v>0</v>
      </c>
      <c r="K246" s="4" cm="1">
        <f t="array" ref="K246">_xlfn.IFS('ProductSprint Backlog'!$F246="", "", AND('ProductSprint Backlog'!$J246&gt;K$2,'ProductSprint Backlog'!$I246&lt;=K$2), 'ProductSprint Backlog'!$F246 / MAX(1, 'ProductSprint Backlog'!$J246-'ProductSprint Backlog'!$I246), AND('ProductSprint Backlog'!$J246=K$2,'ProductSprint Backlog'!$I246=K$2), 'ProductSprint Backlog'!$F246, TRUE, 0)</f>
        <v>0</v>
      </c>
      <c r="L246" s="4" cm="1">
        <f t="array" ref="L246">_xlfn.IFS('ProductSprint Backlog'!$F246="", "", AND('ProductSprint Backlog'!$J246&gt;L$2,'ProductSprint Backlog'!$I246&lt;=L$2), 'ProductSprint Backlog'!$F246 / MAX(1, 'ProductSprint Backlog'!$J246-'ProductSprint Backlog'!$I246), AND('ProductSprint Backlog'!$J246=L$2,'ProductSprint Backlog'!$I246=L$2), 'ProductSprint Backlog'!$F246, TRUE, 0)</f>
        <v>0</v>
      </c>
      <c r="M246" s="4" cm="1">
        <f t="array" ref="M246">_xlfn.IFS('ProductSprint Backlog'!$F246="", "", AND('ProductSprint Backlog'!$J246&gt;M$2,'ProductSprint Backlog'!$I246&lt;=M$2), 'ProductSprint Backlog'!$F246 / MAX(1, 'ProductSprint Backlog'!$J246-'ProductSprint Backlog'!$I246), AND('ProductSprint Backlog'!$J246=M$2,'ProductSprint Backlog'!$I246=M$2), 'ProductSprint Backlog'!$F246, TRUE, 0)</f>
        <v>0</v>
      </c>
      <c r="N246" s="4" cm="1">
        <f t="array" ref="N246">_xlfn.IFS('ProductSprint Backlog'!$F246="", "", AND('ProductSprint Backlog'!$J246&gt;N$2,'ProductSprint Backlog'!$I246&lt;=N$2), 'ProductSprint Backlog'!$F246 / MAX(1, 'ProductSprint Backlog'!$J246-'ProductSprint Backlog'!$I246), AND('ProductSprint Backlog'!$J246=N$2,'ProductSprint Backlog'!$I246=N$2), 'ProductSprint Backlog'!$F246, TRUE, 0)</f>
        <v>0</v>
      </c>
      <c r="O246" s="4" cm="1">
        <f t="array" ref="O246">_xlfn.IFS('ProductSprint Backlog'!$F246="", "", AND('ProductSprint Backlog'!$J246&gt;O$2,'ProductSprint Backlog'!$I246&lt;=O$2), 'ProductSprint Backlog'!$F246 / MAX(1, 'ProductSprint Backlog'!$J246-'ProductSprint Backlog'!$I246), AND('ProductSprint Backlog'!$J246=O$2,'ProductSprint Backlog'!$I246=O$2), 'ProductSprint Backlog'!$F246, TRUE, 0)</f>
        <v>0</v>
      </c>
      <c r="P246" s="4" cm="1">
        <f t="array" ref="P246">_xlfn.IFS('ProductSprint Backlog'!$F246="", "", AND('ProductSprint Backlog'!$J246&gt;P$2,'ProductSprint Backlog'!$I246&lt;=P$2), 'ProductSprint Backlog'!$F246 / MAX(1, 'ProductSprint Backlog'!$J246-'ProductSprint Backlog'!$I246), AND('ProductSprint Backlog'!$J246=P$2,'ProductSprint Backlog'!$I246=P$2), 'ProductSprint Backlog'!$F246, TRUE, 0)</f>
        <v>0</v>
      </c>
      <c r="Q246" s="4" cm="1">
        <f t="array" ref="Q246">_xlfn.IFS('ProductSprint Backlog'!$F246="", "", AND('ProductSprint Backlog'!$J246&gt;Q$2,'ProductSprint Backlog'!$I246&lt;=Q$2), 'ProductSprint Backlog'!$F246 / MAX(1, 'ProductSprint Backlog'!$J246-'ProductSprint Backlog'!$I246), AND('ProductSprint Backlog'!$J246=Q$2,'ProductSprint Backlog'!$I246=Q$2), 'ProductSprint Backlog'!$F246, TRUE, 0)</f>
        <v>0</v>
      </c>
    </row>
    <row r="247" spans="2:17" x14ac:dyDescent="0.2">
      <c r="B247" s="4" cm="1">
        <f t="array" ref="B247">_xlfn.IFS('ProductSprint Backlog'!$F247="", "", AND('ProductSprint Backlog'!$J247&gt;B$2,'ProductSprint Backlog'!$I247&lt;=B$2), 'ProductSprint Backlog'!$F247 / MAX(1, 'ProductSprint Backlog'!$J247-'ProductSprint Backlog'!$I247), AND('ProductSprint Backlog'!$J247=B$2,'ProductSprint Backlog'!$I247=B$2), 'ProductSprint Backlog'!$F247, TRUE, 0)</f>
        <v>0</v>
      </c>
      <c r="C247" s="4" cm="1">
        <f t="array" ref="C247">_xlfn.IFS('ProductSprint Backlog'!$F247="", "", AND('ProductSprint Backlog'!$J247&gt;C$2,'ProductSprint Backlog'!$I247&lt;=C$2), 'ProductSprint Backlog'!$F247 / MAX(1, 'ProductSprint Backlog'!$J247-'ProductSprint Backlog'!$I247), AND('ProductSprint Backlog'!$J247=C$2,'ProductSprint Backlog'!$I247=C$2), 'ProductSprint Backlog'!$F247, TRUE, 0)</f>
        <v>0</v>
      </c>
      <c r="D247" s="4" cm="1">
        <f t="array" ref="D247">_xlfn.IFS('ProductSprint Backlog'!$F247="", "", AND('ProductSprint Backlog'!$J247&gt;D$2,'ProductSprint Backlog'!$I247&lt;=D$2), 'ProductSprint Backlog'!$F247 / MAX(1, 'ProductSprint Backlog'!$J247-'ProductSprint Backlog'!$I247), AND('ProductSprint Backlog'!$J247=D$2,'ProductSprint Backlog'!$I247=D$2), 'ProductSprint Backlog'!$F247, TRUE, 0)</f>
        <v>0</v>
      </c>
      <c r="E247" s="4" cm="1">
        <f t="array" ref="E247">_xlfn.IFS('ProductSprint Backlog'!$F247="", "", AND('ProductSprint Backlog'!$J247&gt;E$2,'ProductSprint Backlog'!$I247&lt;=E$2), 'ProductSprint Backlog'!$F247 / MAX(1, 'ProductSprint Backlog'!$J247-'ProductSprint Backlog'!$I247), AND('ProductSprint Backlog'!$J247=E$2,'ProductSprint Backlog'!$I247=E$2), 'ProductSprint Backlog'!$F247, TRUE, 0)</f>
        <v>0</v>
      </c>
      <c r="F247" s="4" cm="1">
        <f t="array" ref="F247">_xlfn.IFS('ProductSprint Backlog'!$F247="", "", AND('ProductSprint Backlog'!$J247&gt;F$2,'ProductSprint Backlog'!$I247&lt;=F$2), 'ProductSprint Backlog'!$F247 / MAX(1, 'ProductSprint Backlog'!$J247-'ProductSprint Backlog'!$I247), AND('ProductSprint Backlog'!$J247=F$2,'ProductSprint Backlog'!$I247=F$2), 'ProductSprint Backlog'!$F247, TRUE, 0)</f>
        <v>1</v>
      </c>
      <c r="G247" s="4" cm="1">
        <f t="array" ref="G247">_xlfn.IFS('ProductSprint Backlog'!$F247="", "", AND('ProductSprint Backlog'!$J247&gt;G$2,'ProductSprint Backlog'!$I247&lt;=G$2), 'ProductSprint Backlog'!$F247 / MAX(1, 'ProductSprint Backlog'!$J247-'ProductSprint Backlog'!$I247), AND('ProductSprint Backlog'!$J247=G$2,'ProductSprint Backlog'!$I247=G$2), 'ProductSprint Backlog'!$F247, TRUE, 0)</f>
        <v>0</v>
      </c>
      <c r="H247" s="4" cm="1">
        <f t="array" ref="H247">_xlfn.IFS('ProductSprint Backlog'!$F247="", "", AND('ProductSprint Backlog'!$J247&gt;H$2,'ProductSprint Backlog'!$I247&lt;=H$2), 'ProductSprint Backlog'!$F247 / MAX(1, 'ProductSprint Backlog'!$J247-'ProductSprint Backlog'!$I247), AND('ProductSprint Backlog'!$J247=H$2,'ProductSprint Backlog'!$I247=H$2), 'ProductSprint Backlog'!$F247, TRUE, 0)</f>
        <v>0</v>
      </c>
      <c r="I247" s="4" cm="1">
        <f t="array" ref="I247">_xlfn.IFS('ProductSprint Backlog'!$F247="", "", AND('ProductSprint Backlog'!$J247&gt;I$2,'ProductSprint Backlog'!$I247&lt;=I$2), 'ProductSprint Backlog'!$F247 / MAX(1, 'ProductSprint Backlog'!$J247-'ProductSprint Backlog'!$I247), AND('ProductSprint Backlog'!$J247=I$2,'ProductSprint Backlog'!$I247=I$2), 'ProductSprint Backlog'!$F247, TRUE, 0)</f>
        <v>0</v>
      </c>
      <c r="J247" s="4" cm="1">
        <f t="array" ref="J247">_xlfn.IFS('ProductSprint Backlog'!$F247="", "", AND('ProductSprint Backlog'!$J247&gt;J$2,'ProductSprint Backlog'!$I247&lt;=J$2), 'ProductSprint Backlog'!$F247 / MAX(1, 'ProductSprint Backlog'!$J247-'ProductSprint Backlog'!$I247), AND('ProductSprint Backlog'!$J247=J$2,'ProductSprint Backlog'!$I247=J$2), 'ProductSprint Backlog'!$F247, TRUE, 0)</f>
        <v>0</v>
      </c>
      <c r="K247" s="4" cm="1">
        <f t="array" ref="K247">_xlfn.IFS('ProductSprint Backlog'!$F247="", "", AND('ProductSprint Backlog'!$J247&gt;K$2,'ProductSprint Backlog'!$I247&lt;=K$2), 'ProductSprint Backlog'!$F247 / MAX(1, 'ProductSprint Backlog'!$J247-'ProductSprint Backlog'!$I247), AND('ProductSprint Backlog'!$J247=K$2,'ProductSprint Backlog'!$I247=K$2), 'ProductSprint Backlog'!$F247, TRUE, 0)</f>
        <v>0</v>
      </c>
      <c r="L247" s="4" cm="1">
        <f t="array" ref="L247">_xlfn.IFS('ProductSprint Backlog'!$F247="", "", AND('ProductSprint Backlog'!$J247&gt;L$2,'ProductSprint Backlog'!$I247&lt;=L$2), 'ProductSprint Backlog'!$F247 / MAX(1, 'ProductSprint Backlog'!$J247-'ProductSprint Backlog'!$I247), AND('ProductSprint Backlog'!$J247=L$2,'ProductSprint Backlog'!$I247=L$2), 'ProductSprint Backlog'!$F247, TRUE, 0)</f>
        <v>0</v>
      </c>
      <c r="M247" s="4" cm="1">
        <f t="array" ref="M247">_xlfn.IFS('ProductSprint Backlog'!$F247="", "", AND('ProductSprint Backlog'!$J247&gt;M$2,'ProductSprint Backlog'!$I247&lt;=M$2), 'ProductSprint Backlog'!$F247 / MAX(1, 'ProductSprint Backlog'!$J247-'ProductSprint Backlog'!$I247), AND('ProductSprint Backlog'!$J247=M$2,'ProductSprint Backlog'!$I247=M$2), 'ProductSprint Backlog'!$F247, TRUE, 0)</f>
        <v>0</v>
      </c>
      <c r="N247" s="4" cm="1">
        <f t="array" ref="N247">_xlfn.IFS('ProductSprint Backlog'!$F247="", "", AND('ProductSprint Backlog'!$J247&gt;N$2,'ProductSprint Backlog'!$I247&lt;=N$2), 'ProductSprint Backlog'!$F247 / MAX(1, 'ProductSprint Backlog'!$J247-'ProductSprint Backlog'!$I247), AND('ProductSprint Backlog'!$J247=N$2,'ProductSprint Backlog'!$I247=N$2), 'ProductSprint Backlog'!$F247, TRUE, 0)</f>
        <v>0</v>
      </c>
      <c r="O247" s="4" cm="1">
        <f t="array" ref="O247">_xlfn.IFS('ProductSprint Backlog'!$F247="", "", AND('ProductSprint Backlog'!$J247&gt;O$2,'ProductSprint Backlog'!$I247&lt;=O$2), 'ProductSprint Backlog'!$F247 / MAX(1, 'ProductSprint Backlog'!$J247-'ProductSprint Backlog'!$I247), AND('ProductSprint Backlog'!$J247=O$2,'ProductSprint Backlog'!$I247=O$2), 'ProductSprint Backlog'!$F247, TRUE, 0)</f>
        <v>0</v>
      </c>
      <c r="P247" s="4" cm="1">
        <f t="array" ref="P247">_xlfn.IFS('ProductSprint Backlog'!$F247="", "", AND('ProductSprint Backlog'!$J247&gt;P$2,'ProductSprint Backlog'!$I247&lt;=P$2), 'ProductSprint Backlog'!$F247 / MAX(1, 'ProductSprint Backlog'!$J247-'ProductSprint Backlog'!$I247), AND('ProductSprint Backlog'!$J247=P$2,'ProductSprint Backlog'!$I247=P$2), 'ProductSprint Backlog'!$F247, TRUE, 0)</f>
        <v>0</v>
      </c>
      <c r="Q247" s="4" cm="1">
        <f t="array" ref="Q247">_xlfn.IFS('ProductSprint Backlog'!$F247="", "", AND('ProductSprint Backlog'!$J247&gt;Q$2,'ProductSprint Backlog'!$I247&lt;=Q$2), 'ProductSprint Backlog'!$F247 / MAX(1, 'ProductSprint Backlog'!$J247-'ProductSprint Backlog'!$I247), AND('ProductSprint Backlog'!$J247=Q$2,'ProductSprint Backlog'!$I247=Q$2), 'ProductSprint Backlog'!$F247, TRUE, 0)</f>
        <v>0</v>
      </c>
    </row>
    <row r="248" spans="2:17" x14ac:dyDescent="0.2">
      <c r="B248" s="4" cm="1">
        <f t="array" ref="B248">_xlfn.IFS('ProductSprint Backlog'!$F248="", "", AND('ProductSprint Backlog'!$J248&gt;B$2,'ProductSprint Backlog'!$I248&lt;=B$2), 'ProductSprint Backlog'!$F248 / MAX(1, 'ProductSprint Backlog'!$J248-'ProductSprint Backlog'!$I248), AND('ProductSprint Backlog'!$J248=B$2,'ProductSprint Backlog'!$I248=B$2), 'ProductSprint Backlog'!$F248, TRUE, 0)</f>
        <v>0</v>
      </c>
      <c r="C248" s="4" cm="1">
        <f t="array" ref="C248">_xlfn.IFS('ProductSprint Backlog'!$F248="", "", AND('ProductSprint Backlog'!$J248&gt;C$2,'ProductSprint Backlog'!$I248&lt;=C$2), 'ProductSprint Backlog'!$F248 / MAX(1, 'ProductSprint Backlog'!$J248-'ProductSprint Backlog'!$I248), AND('ProductSprint Backlog'!$J248=C$2,'ProductSprint Backlog'!$I248=C$2), 'ProductSprint Backlog'!$F248, TRUE, 0)</f>
        <v>0</v>
      </c>
      <c r="D248" s="4" cm="1">
        <f t="array" ref="D248">_xlfn.IFS('ProductSprint Backlog'!$F248="", "", AND('ProductSprint Backlog'!$J248&gt;D$2,'ProductSprint Backlog'!$I248&lt;=D$2), 'ProductSprint Backlog'!$F248 / MAX(1, 'ProductSprint Backlog'!$J248-'ProductSprint Backlog'!$I248), AND('ProductSprint Backlog'!$J248=D$2,'ProductSprint Backlog'!$I248=D$2), 'ProductSprint Backlog'!$F248, TRUE, 0)</f>
        <v>0</v>
      </c>
      <c r="E248" s="4" cm="1">
        <f t="array" ref="E248">_xlfn.IFS('ProductSprint Backlog'!$F248="", "", AND('ProductSprint Backlog'!$J248&gt;E$2,'ProductSprint Backlog'!$I248&lt;=E$2), 'ProductSprint Backlog'!$F248 / MAX(1, 'ProductSprint Backlog'!$J248-'ProductSprint Backlog'!$I248), AND('ProductSprint Backlog'!$J248=E$2,'ProductSprint Backlog'!$I248=E$2), 'ProductSprint Backlog'!$F248, TRUE, 0)</f>
        <v>0</v>
      </c>
      <c r="F248" s="4" cm="1">
        <f t="array" ref="F248">_xlfn.IFS('ProductSprint Backlog'!$F248="", "", AND('ProductSprint Backlog'!$J248&gt;F$2,'ProductSprint Backlog'!$I248&lt;=F$2), 'ProductSprint Backlog'!$F248 / MAX(1, 'ProductSprint Backlog'!$J248-'ProductSprint Backlog'!$I248), AND('ProductSprint Backlog'!$J248=F$2,'ProductSprint Backlog'!$I248=F$2), 'ProductSprint Backlog'!$F248, TRUE, 0)</f>
        <v>0</v>
      </c>
      <c r="G248" s="4" cm="1">
        <f t="array" ref="G248">_xlfn.IFS('ProductSprint Backlog'!$F248="", "", AND('ProductSprint Backlog'!$J248&gt;G$2,'ProductSprint Backlog'!$I248&lt;=G$2), 'ProductSprint Backlog'!$F248 / MAX(1, 'ProductSprint Backlog'!$J248-'ProductSprint Backlog'!$I248), AND('ProductSprint Backlog'!$J248=G$2,'ProductSprint Backlog'!$I248=G$2), 'ProductSprint Backlog'!$F248, TRUE, 0)</f>
        <v>1</v>
      </c>
      <c r="H248" s="4" cm="1">
        <f t="array" ref="H248">_xlfn.IFS('ProductSprint Backlog'!$F248="", "", AND('ProductSprint Backlog'!$J248&gt;H$2,'ProductSprint Backlog'!$I248&lt;=H$2), 'ProductSprint Backlog'!$F248 / MAX(1, 'ProductSprint Backlog'!$J248-'ProductSprint Backlog'!$I248), AND('ProductSprint Backlog'!$J248=H$2,'ProductSprint Backlog'!$I248=H$2), 'ProductSprint Backlog'!$F248, TRUE, 0)</f>
        <v>0</v>
      </c>
      <c r="I248" s="4" cm="1">
        <f t="array" ref="I248">_xlfn.IFS('ProductSprint Backlog'!$F248="", "", AND('ProductSprint Backlog'!$J248&gt;I$2,'ProductSprint Backlog'!$I248&lt;=I$2), 'ProductSprint Backlog'!$F248 / MAX(1, 'ProductSprint Backlog'!$J248-'ProductSprint Backlog'!$I248), AND('ProductSprint Backlog'!$J248=I$2,'ProductSprint Backlog'!$I248=I$2), 'ProductSprint Backlog'!$F248, TRUE, 0)</f>
        <v>0</v>
      </c>
      <c r="J248" s="4" cm="1">
        <f t="array" ref="J248">_xlfn.IFS('ProductSprint Backlog'!$F248="", "", AND('ProductSprint Backlog'!$J248&gt;J$2,'ProductSprint Backlog'!$I248&lt;=J$2), 'ProductSprint Backlog'!$F248 / MAX(1, 'ProductSprint Backlog'!$J248-'ProductSprint Backlog'!$I248), AND('ProductSprint Backlog'!$J248=J$2,'ProductSprint Backlog'!$I248=J$2), 'ProductSprint Backlog'!$F248, TRUE, 0)</f>
        <v>0</v>
      </c>
      <c r="K248" s="4" cm="1">
        <f t="array" ref="K248">_xlfn.IFS('ProductSprint Backlog'!$F248="", "", AND('ProductSprint Backlog'!$J248&gt;K$2,'ProductSprint Backlog'!$I248&lt;=K$2), 'ProductSprint Backlog'!$F248 / MAX(1, 'ProductSprint Backlog'!$J248-'ProductSprint Backlog'!$I248), AND('ProductSprint Backlog'!$J248=K$2,'ProductSprint Backlog'!$I248=K$2), 'ProductSprint Backlog'!$F248, TRUE, 0)</f>
        <v>0</v>
      </c>
      <c r="L248" s="4" cm="1">
        <f t="array" ref="L248">_xlfn.IFS('ProductSprint Backlog'!$F248="", "", AND('ProductSprint Backlog'!$J248&gt;L$2,'ProductSprint Backlog'!$I248&lt;=L$2), 'ProductSprint Backlog'!$F248 / MAX(1, 'ProductSprint Backlog'!$J248-'ProductSprint Backlog'!$I248), AND('ProductSprint Backlog'!$J248=L$2,'ProductSprint Backlog'!$I248=L$2), 'ProductSprint Backlog'!$F248, TRUE, 0)</f>
        <v>0</v>
      </c>
      <c r="M248" s="4" cm="1">
        <f t="array" ref="M248">_xlfn.IFS('ProductSprint Backlog'!$F248="", "", AND('ProductSprint Backlog'!$J248&gt;M$2,'ProductSprint Backlog'!$I248&lt;=M$2), 'ProductSprint Backlog'!$F248 / MAX(1, 'ProductSprint Backlog'!$J248-'ProductSprint Backlog'!$I248), AND('ProductSprint Backlog'!$J248=M$2,'ProductSprint Backlog'!$I248=M$2), 'ProductSprint Backlog'!$F248, TRUE, 0)</f>
        <v>0</v>
      </c>
      <c r="N248" s="4" cm="1">
        <f t="array" ref="N248">_xlfn.IFS('ProductSprint Backlog'!$F248="", "", AND('ProductSprint Backlog'!$J248&gt;N$2,'ProductSprint Backlog'!$I248&lt;=N$2), 'ProductSprint Backlog'!$F248 / MAX(1, 'ProductSprint Backlog'!$J248-'ProductSprint Backlog'!$I248), AND('ProductSprint Backlog'!$J248=N$2,'ProductSprint Backlog'!$I248=N$2), 'ProductSprint Backlog'!$F248, TRUE, 0)</f>
        <v>0</v>
      </c>
      <c r="O248" s="4" cm="1">
        <f t="array" ref="O248">_xlfn.IFS('ProductSprint Backlog'!$F248="", "", AND('ProductSprint Backlog'!$J248&gt;O$2,'ProductSprint Backlog'!$I248&lt;=O$2), 'ProductSprint Backlog'!$F248 / MAX(1, 'ProductSprint Backlog'!$J248-'ProductSprint Backlog'!$I248), AND('ProductSprint Backlog'!$J248=O$2,'ProductSprint Backlog'!$I248=O$2), 'ProductSprint Backlog'!$F248, TRUE, 0)</f>
        <v>0</v>
      </c>
      <c r="P248" s="4" cm="1">
        <f t="array" ref="P248">_xlfn.IFS('ProductSprint Backlog'!$F248="", "", AND('ProductSprint Backlog'!$J248&gt;P$2,'ProductSprint Backlog'!$I248&lt;=P$2), 'ProductSprint Backlog'!$F248 / MAX(1, 'ProductSprint Backlog'!$J248-'ProductSprint Backlog'!$I248), AND('ProductSprint Backlog'!$J248=P$2,'ProductSprint Backlog'!$I248=P$2), 'ProductSprint Backlog'!$F248, TRUE, 0)</f>
        <v>0</v>
      </c>
      <c r="Q248" s="4" cm="1">
        <f t="array" ref="Q248">_xlfn.IFS('ProductSprint Backlog'!$F248="", "", AND('ProductSprint Backlog'!$J248&gt;Q$2,'ProductSprint Backlog'!$I248&lt;=Q$2), 'ProductSprint Backlog'!$F248 / MAX(1, 'ProductSprint Backlog'!$J248-'ProductSprint Backlog'!$I248), AND('ProductSprint Backlog'!$J248=Q$2,'ProductSprint Backlog'!$I248=Q$2), 'ProductSprint Backlog'!$F248, TRUE, 0)</f>
        <v>0</v>
      </c>
    </row>
    <row r="249" spans="2:17" x14ac:dyDescent="0.2">
      <c r="B249" s="4" cm="1">
        <f t="array" ref="B249">_xlfn.IFS('ProductSprint Backlog'!$F249="", "", AND('ProductSprint Backlog'!$J249&gt;B$2,'ProductSprint Backlog'!$I249&lt;=B$2), 'ProductSprint Backlog'!$F249 / MAX(1, 'ProductSprint Backlog'!$J249-'ProductSprint Backlog'!$I249), AND('ProductSprint Backlog'!$J249=B$2,'ProductSprint Backlog'!$I249=B$2), 'ProductSprint Backlog'!$F249, TRUE, 0)</f>
        <v>0</v>
      </c>
      <c r="C249" s="4" cm="1">
        <f t="array" ref="C249">_xlfn.IFS('ProductSprint Backlog'!$F249="", "", AND('ProductSprint Backlog'!$J249&gt;C$2,'ProductSprint Backlog'!$I249&lt;=C$2), 'ProductSprint Backlog'!$F249 / MAX(1, 'ProductSprint Backlog'!$J249-'ProductSprint Backlog'!$I249), AND('ProductSprint Backlog'!$J249=C$2,'ProductSprint Backlog'!$I249=C$2), 'ProductSprint Backlog'!$F249, TRUE, 0)</f>
        <v>0</v>
      </c>
      <c r="D249" s="4" cm="1">
        <f t="array" ref="D249">_xlfn.IFS('ProductSprint Backlog'!$F249="", "", AND('ProductSprint Backlog'!$J249&gt;D$2,'ProductSprint Backlog'!$I249&lt;=D$2), 'ProductSprint Backlog'!$F249 / MAX(1, 'ProductSprint Backlog'!$J249-'ProductSprint Backlog'!$I249), AND('ProductSprint Backlog'!$J249=D$2,'ProductSprint Backlog'!$I249=D$2), 'ProductSprint Backlog'!$F249, TRUE, 0)</f>
        <v>0</v>
      </c>
      <c r="E249" s="4" cm="1">
        <f t="array" ref="E249">_xlfn.IFS('ProductSprint Backlog'!$F249="", "", AND('ProductSprint Backlog'!$J249&gt;E$2,'ProductSprint Backlog'!$I249&lt;=E$2), 'ProductSprint Backlog'!$F249 / MAX(1, 'ProductSprint Backlog'!$J249-'ProductSprint Backlog'!$I249), AND('ProductSprint Backlog'!$J249=E$2,'ProductSprint Backlog'!$I249=E$2), 'ProductSprint Backlog'!$F249, TRUE, 0)</f>
        <v>0</v>
      </c>
      <c r="F249" s="4" cm="1">
        <f t="array" ref="F249">_xlfn.IFS('ProductSprint Backlog'!$F249="", "", AND('ProductSprint Backlog'!$J249&gt;F$2,'ProductSprint Backlog'!$I249&lt;=F$2), 'ProductSprint Backlog'!$F249 / MAX(1, 'ProductSprint Backlog'!$J249-'ProductSprint Backlog'!$I249), AND('ProductSprint Backlog'!$J249=F$2,'ProductSprint Backlog'!$I249=F$2), 'ProductSprint Backlog'!$F249, TRUE, 0)</f>
        <v>0</v>
      </c>
      <c r="G249" s="4" cm="1">
        <f t="array" ref="G249">_xlfn.IFS('ProductSprint Backlog'!$F249="", "", AND('ProductSprint Backlog'!$J249&gt;G$2,'ProductSprint Backlog'!$I249&lt;=G$2), 'ProductSprint Backlog'!$F249 / MAX(1, 'ProductSprint Backlog'!$J249-'ProductSprint Backlog'!$I249), AND('ProductSprint Backlog'!$J249=G$2,'ProductSprint Backlog'!$I249=G$2), 'ProductSprint Backlog'!$F249, TRUE, 0)</f>
        <v>0</v>
      </c>
      <c r="H249" s="4" cm="1">
        <f t="array" ref="H249">_xlfn.IFS('ProductSprint Backlog'!$F249="", "", AND('ProductSprint Backlog'!$J249&gt;H$2,'ProductSprint Backlog'!$I249&lt;=H$2), 'ProductSprint Backlog'!$F249 / MAX(1, 'ProductSprint Backlog'!$J249-'ProductSprint Backlog'!$I249), AND('ProductSprint Backlog'!$J249=H$2,'ProductSprint Backlog'!$I249=H$2), 'ProductSprint Backlog'!$F249, TRUE, 0)</f>
        <v>0.5</v>
      </c>
      <c r="I249" s="4" cm="1">
        <f t="array" ref="I249">_xlfn.IFS('ProductSprint Backlog'!$F249="", "", AND('ProductSprint Backlog'!$J249&gt;I$2,'ProductSprint Backlog'!$I249&lt;=I$2), 'ProductSprint Backlog'!$F249 / MAX(1, 'ProductSprint Backlog'!$J249-'ProductSprint Backlog'!$I249), AND('ProductSprint Backlog'!$J249=I$2,'ProductSprint Backlog'!$I249=I$2), 'ProductSprint Backlog'!$F249, TRUE, 0)</f>
        <v>0</v>
      </c>
      <c r="J249" s="4" cm="1">
        <f t="array" ref="J249">_xlfn.IFS('ProductSprint Backlog'!$F249="", "", AND('ProductSprint Backlog'!$J249&gt;J$2,'ProductSprint Backlog'!$I249&lt;=J$2), 'ProductSprint Backlog'!$F249 / MAX(1, 'ProductSprint Backlog'!$J249-'ProductSprint Backlog'!$I249), AND('ProductSprint Backlog'!$J249=J$2,'ProductSprint Backlog'!$I249=J$2), 'ProductSprint Backlog'!$F249, TRUE, 0)</f>
        <v>0</v>
      </c>
      <c r="K249" s="4" cm="1">
        <f t="array" ref="K249">_xlfn.IFS('ProductSprint Backlog'!$F249="", "", AND('ProductSprint Backlog'!$J249&gt;K$2,'ProductSprint Backlog'!$I249&lt;=K$2), 'ProductSprint Backlog'!$F249 / MAX(1, 'ProductSprint Backlog'!$J249-'ProductSprint Backlog'!$I249), AND('ProductSprint Backlog'!$J249=K$2,'ProductSprint Backlog'!$I249=K$2), 'ProductSprint Backlog'!$F249, TRUE, 0)</f>
        <v>0</v>
      </c>
      <c r="L249" s="4" cm="1">
        <f t="array" ref="L249">_xlfn.IFS('ProductSprint Backlog'!$F249="", "", AND('ProductSprint Backlog'!$J249&gt;L$2,'ProductSprint Backlog'!$I249&lt;=L$2), 'ProductSprint Backlog'!$F249 / MAX(1, 'ProductSprint Backlog'!$J249-'ProductSprint Backlog'!$I249), AND('ProductSprint Backlog'!$J249=L$2,'ProductSprint Backlog'!$I249=L$2), 'ProductSprint Backlog'!$F249, TRUE, 0)</f>
        <v>0</v>
      </c>
      <c r="M249" s="4" cm="1">
        <f t="array" ref="M249">_xlfn.IFS('ProductSprint Backlog'!$F249="", "", AND('ProductSprint Backlog'!$J249&gt;M$2,'ProductSprint Backlog'!$I249&lt;=M$2), 'ProductSprint Backlog'!$F249 / MAX(1, 'ProductSprint Backlog'!$J249-'ProductSprint Backlog'!$I249), AND('ProductSprint Backlog'!$J249=M$2,'ProductSprint Backlog'!$I249=M$2), 'ProductSprint Backlog'!$F249, TRUE, 0)</f>
        <v>0</v>
      </c>
      <c r="N249" s="4" cm="1">
        <f t="array" ref="N249">_xlfn.IFS('ProductSprint Backlog'!$F249="", "", AND('ProductSprint Backlog'!$J249&gt;N$2,'ProductSprint Backlog'!$I249&lt;=N$2), 'ProductSprint Backlog'!$F249 / MAX(1, 'ProductSprint Backlog'!$J249-'ProductSprint Backlog'!$I249), AND('ProductSprint Backlog'!$J249=N$2,'ProductSprint Backlog'!$I249=N$2), 'ProductSprint Backlog'!$F249, TRUE, 0)</f>
        <v>0</v>
      </c>
      <c r="O249" s="4" cm="1">
        <f t="array" ref="O249">_xlfn.IFS('ProductSprint Backlog'!$F249="", "", AND('ProductSprint Backlog'!$J249&gt;O$2,'ProductSprint Backlog'!$I249&lt;=O$2), 'ProductSprint Backlog'!$F249 / MAX(1, 'ProductSprint Backlog'!$J249-'ProductSprint Backlog'!$I249), AND('ProductSprint Backlog'!$J249=O$2,'ProductSprint Backlog'!$I249=O$2), 'ProductSprint Backlog'!$F249, TRUE, 0)</f>
        <v>0</v>
      </c>
      <c r="P249" s="4" cm="1">
        <f t="array" ref="P249">_xlfn.IFS('ProductSprint Backlog'!$F249="", "", AND('ProductSprint Backlog'!$J249&gt;P$2,'ProductSprint Backlog'!$I249&lt;=P$2), 'ProductSprint Backlog'!$F249 / MAX(1, 'ProductSprint Backlog'!$J249-'ProductSprint Backlog'!$I249), AND('ProductSprint Backlog'!$J249=P$2,'ProductSprint Backlog'!$I249=P$2), 'ProductSprint Backlog'!$F249, TRUE, 0)</f>
        <v>0</v>
      </c>
      <c r="Q249" s="4" cm="1">
        <f t="array" ref="Q249">_xlfn.IFS('ProductSprint Backlog'!$F249="", "", AND('ProductSprint Backlog'!$J249&gt;Q$2,'ProductSprint Backlog'!$I249&lt;=Q$2), 'ProductSprint Backlog'!$F249 / MAX(1, 'ProductSprint Backlog'!$J249-'ProductSprint Backlog'!$I249), AND('ProductSprint Backlog'!$J249=Q$2,'ProductSprint Backlog'!$I249=Q$2), 'ProductSprint Backlog'!$F249, TRUE, 0)</f>
        <v>0</v>
      </c>
    </row>
    <row r="250" spans="2:17" x14ac:dyDescent="0.2">
      <c r="B250" s="4" cm="1">
        <f t="array" ref="B250">_xlfn.IFS('ProductSprint Backlog'!$F250="", "", AND('ProductSprint Backlog'!$J250&gt;B$2,'ProductSprint Backlog'!$I250&lt;=B$2), 'ProductSprint Backlog'!$F250 / MAX(1, 'ProductSprint Backlog'!$J250-'ProductSprint Backlog'!$I250), AND('ProductSprint Backlog'!$J250=B$2,'ProductSprint Backlog'!$I250=B$2), 'ProductSprint Backlog'!$F250, TRUE, 0)</f>
        <v>0</v>
      </c>
      <c r="C250" s="4" cm="1">
        <f t="array" ref="C250">_xlfn.IFS('ProductSprint Backlog'!$F250="", "", AND('ProductSprint Backlog'!$J250&gt;C$2,'ProductSprint Backlog'!$I250&lt;=C$2), 'ProductSprint Backlog'!$F250 / MAX(1, 'ProductSprint Backlog'!$J250-'ProductSprint Backlog'!$I250), AND('ProductSprint Backlog'!$J250=C$2,'ProductSprint Backlog'!$I250=C$2), 'ProductSprint Backlog'!$F250, TRUE, 0)</f>
        <v>1</v>
      </c>
      <c r="D250" s="4" cm="1">
        <f t="array" ref="D250">_xlfn.IFS('ProductSprint Backlog'!$F250="", "", AND('ProductSprint Backlog'!$J250&gt;D$2,'ProductSprint Backlog'!$I250&lt;=D$2), 'ProductSprint Backlog'!$F250 / MAX(1, 'ProductSprint Backlog'!$J250-'ProductSprint Backlog'!$I250), AND('ProductSprint Backlog'!$J250=D$2,'ProductSprint Backlog'!$I250=D$2), 'ProductSprint Backlog'!$F250, TRUE, 0)</f>
        <v>0</v>
      </c>
      <c r="E250" s="4" cm="1">
        <f t="array" ref="E250">_xlfn.IFS('ProductSprint Backlog'!$F250="", "", AND('ProductSprint Backlog'!$J250&gt;E$2,'ProductSprint Backlog'!$I250&lt;=E$2), 'ProductSprint Backlog'!$F250 / MAX(1, 'ProductSprint Backlog'!$J250-'ProductSprint Backlog'!$I250), AND('ProductSprint Backlog'!$J250=E$2,'ProductSprint Backlog'!$I250=E$2), 'ProductSprint Backlog'!$F250, TRUE, 0)</f>
        <v>0</v>
      </c>
      <c r="F250" s="4" cm="1">
        <f t="array" ref="F250">_xlfn.IFS('ProductSprint Backlog'!$F250="", "", AND('ProductSprint Backlog'!$J250&gt;F$2,'ProductSprint Backlog'!$I250&lt;=F$2), 'ProductSprint Backlog'!$F250 / MAX(1, 'ProductSprint Backlog'!$J250-'ProductSprint Backlog'!$I250), AND('ProductSprint Backlog'!$J250=F$2,'ProductSprint Backlog'!$I250=F$2), 'ProductSprint Backlog'!$F250, TRUE, 0)</f>
        <v>0</v>
      </c>
      <c r="G250" s="4" cm="1">
        <f t="array" ref="G250">_xlfn.IFS('ProductSprint Backlog'!$F250="", "", AND('ProductSprint Backlog'!$J250&gt;G$2,'ProductSprint Backlog'!$I250&lt;=G$2), 'ProductSprint Backlog'!$F250 / MAX(1, 'ProductSprint Backlog'!$J250-'ProductSprint Backlog'!$I250), AND('ProductSprint Backlog'!$J250=G$2,'ProductSprint Backlog'!$I250=G$2), 'ProductSprint Backlog'!$F250, TRUE, 0)</f>
        <v>0</v>
      </c>
      <c r="H250" s="4" cm="1">
        <f t="array" ref="H250">_xlfn.IFS('ProductSprint Backlog'!$F250="", "", AND('ProductSprint Backlog'!$J250&gt;H$2,'ProductSprint Backlog'!$I250&lt;=H$2), 'ProductSprint Backlog'!$F250 / MAX(1, 'ProductSprint Backlog'!$J250-'ProductSprint Backlog'!$I250), AND('ProductSprint Backlog'!$J250=H$2,'ProductSprint Backlog'!$I250=H$2), 'ProductSprint Backlog'!$F250, TRUE, 0)</f>
        <v>0</v>
      </c>
      <c r="I250" s="4" cm="1">
        <f t="array" ref="I250">_xlfn.IFS('ProductSprint Backlog'!$F250="", "", AND('ProductSprint Backlog'!$J250&gt;I$2,'ProductSprint Backlog'!$I250&lt;=I$2), 'ProductSprint Backlog'!$F250 / MAX(1, 'ProductSprint Backlog'!$J250-'ProductSprint Backlog'!$I250), AND('ProductSprint Backlog'!$J250=I$2,'ProductSprint Backlog'!$I250=I$2), 'ProductSprint Backlog'!$F250, TRUE, 0)</f>
        <v>0</v>
      </c>
      <c r="J250" s="4" cm="1">
        <f t="array" ref="J250">_xlfn.IFS('ProductSprint Backlog'!$F250="", "", AND('ProductSprint Backlog'!$J250&gt;J$2,'ProductSprint Backlog'!$I250&lt;=J$2), 'ProductSprint Backlog'!$F250 / MAX(1, 'ProductSprint Backlog'!$J250-'ProductSprint Backlog'!$I250), AND('ProductSprint Backlog'!$J250=J$2,'ProductSprint Backlog'!$I250=J$2), 'ProductSprint Backlog'!$F250, TRUE, 0)</f>
        <v>0</v>
      </c>
      <c r="K250" s="4" cm="1">
        <f t="array" ref="K250">_xlfn.IFS('ProductSprint Backlog'!$F250="", "", AND('ProductSprint Backlog'!$J250&gt;K$2,'ProductSprint Backlog'!$I250&lt;=K$2), 'ProductSprint Backlog'!$F250 / MAX(1, 'ProductSprint Backlog'!$J250-'ProductSprint Backlog'!$I250), AND('ProductSprint Backlog'!$J250=K$2,'ProductSprint Backlog'!$I250=K$2), 'ProductSprint Backlog'!$F250, TRUE, 0)</f>
        <v>0</v>
      </c>
      <c r="L250" s="4" cm="1">
        <f t="array" ref="L250">_xlfn.IFS('ProductSprint Backlog'!$F250="", "", AND('ProductSprint Backlog'!$J250&gt;L$2,'ProductSprint Backlog'!$I250&lt;=L$2), 'ProductSprint Backlog'!$F250 / MAX(1, 'ProductSprint Backlog'!$J250-'ProductSprint Backlog'!$I250), AND('ProductSprint Backlog'!$J250=L$2,'ProductSprint Backlog'!$I250=L$2), 'ProductSprint Backlog'!$F250, TRUE, 0)</f>
        <v>0</v>
      </c>
      <c r="M250" s="4" cm="1">
        <f t="array" ref="M250">_xlfn.IFS('ProductSprint Backlog'!$F250="", "", AND('ProductSprint Backlog'!$J250&gt;M$2,'ProductSprint Backlog'!$I250&lt;=M$2), 'ProductSprint Backlog'!$F250 / MAX(1, 'ProductSprint Backlog'!$J250-'ProductSprint Backlog'!$I250), AND('ProductSprint Backlog'!$J250=M$2,'ProductSprint Backlog'!$I250=M$2), 'ProductSprint Backlog'!$F250, TRUE, 0)</f>
        <v>0</v>
      </c>
      <c r="N250" s="4" cm="1">
        <f t="array" ref="N250">_xlfn.IFS('ProductSprint Backlog'!$F250="", "", AND('ProductSprint Backlog'!$J250&gt;N$2,'ProductSprint Backlog'!$I250&lt;=N$2), 'ProductSprint Backlog'!$F250 / MAX(1, 'ProductSprint Backlog'!$J250-'ProductSprint Backlog'!$I250), AND('ProductSprint Backlog'!$J250=N$2,'ProductSprint Backlog'!$I250=N$2), 'ProductSprint Backlog'!$F250, TRUE, 0)</f>
        <v>0</v>
      </c>
      <c r="O250" s="4" cm="1">
        <f t="array" ref="O250">_xlfn.IFS('ProductSprint Backlog'!$F250="", "", AND('ProductSprint Backlog'!$J250&gt;O$2,'ProductSprint Backlog'!$I250&lt;=O$2), 'ProductSprint Backlog'!$F250 / MAX(1, 'ProductSprint Backlog'!$J250-'ProductSprint Backlog'!$I250), AND('ProductSprint Backlog'!$J250=O$2,'ProductSprint Backlog'!$I250=O$2), 'ProductSprint Backlog'!$F250, TRUE, 0)</f>
        <v>0</v>
      </c>
      <c r="P250" s="4" cm="1">
        <f t="array" ref="P250">_xlfn.IFS('ProductSprint Backlog'!$F250="", "", AND('ProductSprint Backlog'!$J250&gt;P$2,'ProductSprint Backlog'!$I250&lt;=P$2), 'ProductSprint Backlog'!$F250 / MAX(1, 'ProductSprint Backlog'!$J250-'ProductSprint Backlog'!$I250), AND('ProductSprint Backlog'!$J250=P$2,'ProductSprint Backlog'!$I250=P$2), 'ProductSprint Backlog'!$F250, TRUE, 0)</f>
        <v>0</v>
      </c>
      <c r="Q250" s="4" cm="1">
        <f t="array" ref="Q250">_xlfn.IFS('ProductSprint Backlog'!$F250="", "", AND('ProductSprint Backlog'!$J250&gt;Q$2,'ProductSprint Backlog'!$I250&lt;=Q$2), 'ProductSprint Backlog'!$F250 / MAX(1, 'ProductSprint Backlog'!$J250-'ProductSprint Backlog'!$I250), AND('ProductSprint Backlog'!$J250=Q$2,'ProductSprint Backlog'!$I250=Q$2), 'ProductSprint Backlog'!$F250, TRUE, 0)</f>
        <v>0</v>
      </c>
    </row>
    <row r="251" spans="2:17" x14ac:dyDescent="0.2">
      <c r="B251" s="4" cm="1">
        <f t="array" ref="B251">_xlfn.IFS('ProductSprint Backlog'!$F251="", "", AND('ProductSprint Backlog'!$J251&gt;B$2,'ProductSprint Backlog'!$I251&lt;=B$2), 'ProductSprint Backlog'!$F251 / MAX(1, 'ProductSprint Backlog'!$J251-'ProductSprint Backlog'!$I251), AND('ProductSprint Backlog'!$J251=B$2,'ProductSprint Backlog'!$I251=B$2), 'ProductSprint Backlog'!$F251, TRUE, 0)</f>
        <v>0</v>
      </c>
      <c r="C251" s="4" cm="1">
        <f t="array" ref="C251">_xlfn.IFS('ProductSprint Backlog'!$F251="", "", AND('ProductSprint Backlog'!$J251&gt;C$2,'ProductSprint Backlog'!$I251&lt;=C$2), 'ProductSprint Backlog'!$F251 / MAX(1, 'ProductSprint Backlog'!$J251-'ProductSprint Backlog'!$I251), AND('ProductSprint Backlog'!$J251=C$2,'ProductSprint Backlog'!$I251=C$2), 'ProductSprint Backlog'!$F251, TRUE, 0)</f>
        <v>0.5</v>
      </c>
      <c r="D251" s="4" cm="1">
        <f t="array" ref="D251">_xlfn.IFS('ProductSprint Backlog'!$F251="", "", AND('ProductSprint Backlog'!$J251&gt;D$2,'ProductSprint Backlog'!$I251&lt;=D$2), 'ProductSprint Backlog'!$F251 / MAX(1, 'ProductSprint Backlog'!$J251-'ProductSprint Backlog'!$I251), AND('ProductSprint Backlog'!$J251=D$2,'ProductSprint Backlog'!$I251=D$2), 'ProductSprint Backlog'!$F251, TRUE, 0)</f>
        <v>0</v>
      </c>
      <c r="E251" s="4" cm="1">
        <f t="array" ref="E251">_xlfn.IFS('ProductSprint Backlog'!$F251="", "", AND('ProductSprint Backlog'!$J251&gt;E$2,'ProductSprint Backlog'!$I251&lt;=E$2), 'ProductSprint Backlog'!$F251 / MAX(1, 'ProductSprint Backlog'!$J251-'ProductSprint Backlog'!$I251), AND('ProductSprint Backlog'!$J251=E$2,'ProductSprint Backlog'!$I251=E$2), 'ProductSprint Backlog'!$F251, TRUE, 0)</f>
        <v>0</v>
      </c>
      <c r="F251" s="4" cm="1">
        <f t="array" ref="F251">_xlfn.IFS('ProductSprint Backlog'!$F251="", "", AND('ProductSprint Backlog'!$J251&gt;F$2,'ProductSprint Backlog'!$I251&lt;=F$2), 'ProductSprint Backlog'!$F251 / MAX(1, 'ProductSprint Backlog'!$J251-'ProductSprint Backlog'!$I251), AND('ProductSprint Backlog'!$J251=F$2,'ProductSprint Backlog'!$I251=F$2), 'ProductSprint Backlog'!$F251, TRUE, 0)</f>
        <v>0</v>
      </c>
      <c r="G251" s="4" cm="1">
        <f t="array" ref="G251">_xlfn.IFS('ProductSprint Backlog'!$F251="", "", AND('ProductSprint Backlog'!$J251&gt;G$2,'ProductSprint Backlog'!$I251&lt;=G$2), 'ProductSprint Backlog'!$F251 / MAX(1, 'ProductSprint Backlog'!$J251-'ProductSprint Backlog'!$I251), AND('ProductSprint Backlog'!$J251=G$2,'ProductSprint Backlog'!$I251=G$2), 'ProductSprint Backlog'!$F251, TRUE, 0)</f>
        <v>0</v>
      </c>
      <c r="H251" s="4" cm="1">
        <f t="array" ref="H251">_xlfn.IFS('ProductSprint Backlog'!$F251="", "", AND('ProductSprint Backlog'!$J251&gt;H$2,'ProductSprint Backlog'!$I251&lt;=H$2), 'ProductSprint Backlog'!$F251 / MAX(1, 'ProductSprint Backlog'!$J251-'ProductSprint Backlog'!$I251), AND('ProductSprint Backlog'!$J251=H$2,'ProductSprint Backlog'!$I251=H$2), 'ProductSprint Backlog'!$F251, TRUE, 0)</f>
        <v>0</v>
      </c>
      <c r="I251" s="4" cm="1">
        <f t="array" ref="I251">_xlfn.IFS('ProductSprint Backlog'!$F251="", "", AND('ProductSprint Backlog'!$J251&gt;I$2,'ProductSprint Backlog'!$I251&lt;=I$2), 'ProductSprint Backlog'!$F251 / MAX(1, 'ProductSprint Backlog'!$J251-'ProductSprint Backlog'!$I251), AND('ProductSprint Backlog'!$J251=I$2,'ProductSprint Backlog'!$I251=I$2), 'ProductSprint Backlog'!$F251, TRUE, 0)</f>
        <v>0</v>
      </c>
      <c r="J251" s="4" cm="1">
        <f t="array" ref="J251">_xlfn.IFS('ProductSprint Backlog'!$F251="", "", AND('ProductSprint Backlog'!$J251&gt;J$2,'ProductSprint Backlog'!$I251&lt;=J$2), 'ProductSprint Backlog'!$F251 / MAX(1, 'ProductSprint Backlog'!$J251-'ProductSprint Backlog'!$I251), AND('ProductSprint Backlog'!$J251=J$2,'ProductSprint Backlog'!$I251=J$2), 'ProductSprint Backlog'!$F251, TRUE, 0)</f>
        <v>0</v>
      </c>
      <c r="K251" s="4" cm="1">
        <f t="array" ref="K251">_xlfn.IFS('ProductSprint Backlog'!$F251="", "", AND('ProductSprint Backlog'!$J251&gt;K$2,'ProductSprint Backlog'!$I251&lt;=K$2), 'ProductSprint Backlog'!$F251 / MAX(1, 'ProductSprint Backlog'!$J251-'ProductSprint Backlog'!$I251), AND('ProductSprint Backlog'!$J251=K$2,'ProductSprint Backlog'!$I251=K$2), 'ProductSprint Backlog'!$F251, TRUE, 0)</f>
        <v>0</v>
      </c>
      <c r="L251" s="4" cm="1">
        <f t="array" ref="L251">_xlfn.IFS('ProductSprint Backlog'!$F251="", "", AND('ProductSprint Backlog'!$J251&gt;L$2,'ProductSprint Backlog'!$I251&lt;=L$2), 'ProductSprint Backlog'!$F251 / MAX(1, 'ProductSprint Backlog'!$J251-'ProductSprint Backlog'!$I251), AND('ProductSprint Backlog'!$J251=L$2,'ProductSprint Backlog'!$I251=L$2), 'ProductSprint Backlog'!$F251, TRUE, 0)</f>
        <v>0</v>
      </c>
      <c r="M251" s="4" cm="1">
        <f t="array" ref="M251">_xlfn.IFS('ProductSprint Backlog'!$F251="", "", AND('ProductSprint Backlog'!$J251&gt;M$2,'ProductSprint Backlog'!$I251&lt;=M$2), 'ProductSprint Backlog'!$F251 / MAX(1, 'ProductSprint Backlog'!$J251-'ProductSprint Backlog'!$I251), AND('ProductSprint Backlog'!$J251=M$2,'ProductSprint Backlog'!$I251=M$2), 'ProductSprint Backlog'!$F251, TRUE, 0)</f>
        <v>0</v>
      </c>
      <c r="N251" s="4" cm="1">
        <f t="array" ref="N251">_xlfn.IFS('ProductSprint Backlog'!$F251="", "", AND('ProductSprint Backlog'!$J251&gt;N$2,'ProductSprint Backlog'!$I251&lt;=N$2), 'ProductSprint Backlog'!$F251 / MAX(1, 'ProductSprint Backlog'!$J251-'ProductSprint Backlog'!$I251), AND('ProductSprint Backlog'!$J251=N$2,'ProductSprint Backlog'!$I251=N$2), 'ProductSprint Backlog'!$F251, TRUE, 0)</f>
        <v>0</v>
      </c>
      <c r="O251" s="4" cm="1">
        <f t="array" ref="O251">_xlfn.IFS('ProductSprint Backlog'!$F251="", "", AND('ProductSprint Backlog'!$J251&gt;O$2,'ProductSprint Backlog'!$I251&lt;=O$2), 'ProductSprint Backlog'!$F251 / MAX(1, 'ProductSprint Backlog'!$J251-'ProductSprint Backlog'!$I251), AND('ProductSprint Backlog'!$J251=O$2,'ProductSprint Backlog'!$I251=O$2), 'ProductSprint Backlog'!$F251, TRUE, 0)</f>
        <v>0</v>
      </c>
      <c r="P251" s="4" cm="1">
        <f t="array" ref="P251">_xlfn.IFS('ProductSprint Backlog'!$F251="", "", AND('ProductSprint Backlog'!$J251&gt;P$2,'ProductSprint Backlog'!$I251&lt;=P$2), 'ProductSprint Backlog'!$F251 / MAX(1, 'ProductSprint Backlog'!$J251-'ProductSprint Backlog'!$I251), AND('ProductSprint Backlog'!$J251=P$2,'ProductSprint Backlog'!$I251=P$2), 'ProductSprint Backlog'!$F251, TRUE, 0)</f>
        <v>0</v>
      </c>
      <c r="Q251" s="4" cm="1">
        <f t="array" ref="Q251">_xlfn.IFS('ProductSprint Backlog'!$F251="", "", AND('ProductSprint Backlog'!$J251&gt;Q$2,'ProductSprint Backlog'!$I251&lt;=Q$2), 'ProductSprint Backlog'!$F251 / MAX(1, 'ProductSprint Backlog'!$J251-'ProductSprint Backlog'!$I251), AND('ProductSprint Backlog'!$J251=Q$2,'ProductSprint Backlog'!$I251=Q$2), 'ProductSprint Backlog'!$F251, TRUE, 0)</f>
        <v>0</v>
      </c>
    </row>
    <row r="252" spans="2:17" x14ac:dyDescent="0.2">
      <c r="B252" s="4" cm="1">
        <f t="array" ref="B252">_xlfn.IFS('ProductSprint Backlog'!$F252="", "", AND('ProductSprint Backlog'!$J252&gt;B$2,'ProductSprint Backlog'!$I252&lt;=B$2), 'ProductSprint Backlog'!$F252 / MAX(1, 'ProductSprint Backlog'!$J252-'ProductSprint Backlog'!$I252), AND('ProductSprint Backlog'!$J252=B$2,'ProductSprint Backlog'!$I252=B$2), 'ProductSprint Backlog'!$F252, TRUE, 0)</f>
        <v>0</v>
      </c>
      <c r="C252" s="4" cm="1">
        <f t="array" ref="C252">_xlfn.IFS('ProductSprint Backlog'!$F252="", "", AND('ProductSprint Backlog'!$J252&gt;C$2,'ProductSprint Backlog'!$I252&lt;=C$2), 'ProductSprint Backlog'!$F252 / MAX(1, 'ProductSprint Backlog'!$J252-'ProductSprint Backlog'!$I252), AND('ProductSprint Backlog'!$J252=C$2,'ProductSprint Backlog'!$I252=C$2), 'ProductSprint Backlog'!$F252, TRUE, 0)</f>
        <v>0</v>
      </c>
      <c r="D252" s="4" cm="1">
        <f t="array" ref="D252">_xlfn.IFS('ProductSprint Backlog'!$F252="", "", AND('ProductSprint Backlog'!$J252&gt;D$2,'ProductSprint Backlog'!$I252&lt;=D$2), 'ProductSprint Backlog'!$F252 / MAX(1, 'ProductSprint Backlog'!$J252-'ProductSprint Backlog'!$I252), AND('ProductSprint Backlog'!$J252=D$2,'ProductSprint Backlog'!$I252=D$2), 'ProductSprint Backlog'!$F252, TRUE, 0)</f>
        <v>0</v>
      </c>
      <c r="E252" s="4" cm="1">
        <f t="array" ref="E252">_xlfn.IFS('ProductSprint Backlog'!$F252="", "", AND('ProductSprint Backlog'!$J252&gt;E$2,'ProductSprint Backlog'!$I252&lt;=E$2), 'ProductSprint Backlog'!$F252 / MAX(1, 'ProductSprint Backlog'!$J252-'ProductSprint Backlog'!$I252), AND('ProductSprint Backlog'!$J252=E$2,'ProductSprint Backlog'!$I252=E$2), 'ProductSprint Backlog'!$F252, TRUE, 0)</f>
        <v>0.5</v>
      </c>
      <c r="F252" s="4" cm="1">
        <f t="array" ref="F252">_xlfn.IFS('ProductSprint Backlog'!$F252="", "", AND('ProductSprint Backlog'!$J252&gt;F$2,'ProductSprint Backlog'!$I252&lt;=F$2), 'ProductSprint Backlog'!$F252 / MAX(1, 'ProductSprint Backlog'!$J252-'ProductSprint Backlog'!$I252), AND('ProductSprint Backlog'!$J252=F$2,'ProductSprint Backlog'!$I252=F$2), 'ProductSprint Backlog'!$F252, TRUE, 0)</f>
        <v>0</v>
      </c>
      <c r="G252" s="4" cm="1">
        <f t="array" ref="G252">_xlfn.IFS('ProductSprint Backlog'!$F252="", "", AND('ProductSprint Backlog'!$J252&gt;G$2,'ProductSprint Backlog'!$I252&lt;=G$2), 'ProductSprint Backlog'!$F252 / MAX(1, 'ProductSprint Backlog'!$J252-'ProductSprint Backlog'!$I252), AND('ProductSprint Backlog'!$J252=G$2,'ProductSprint Backlog'!$I252=G$2), 'ProductSprint Backlog'!$F252, TRUE, 0)</f>
        <v>0</v>
      </c>
      <c r="H252" s="4" cm="1">
        <f t="array" ref="H252">_xlfn.IFS('ProductSprint Backlog'!$F252="", "", AND('ProductSprint Backlog'!$J252&gt;H$2,'ProductSprint Backlog'!$I252&lt;=H$2), 'ProductSprint Backlog'!$F252 / MAX(1, 'ProductSprint Backlog'!$J252-'ProductSprint Backlog'!$I252), AND('ProductSprint Backlog'!$J252=H$2,'ProductSprint Backlog'!$I252=H$2), 'ProductSprint Backlog'!$F252, TRUE, 0)</f>
        <v>0</v>
      </c>
      <c r="I252" s="4" cm="1">
        <f t="array" ref="I252">_xlfn.IFS('ProductSprint Backlog'!$F252="", "", AND('ProductSprint Backlog'!$J252&gt;I$2,'ProductSprint Backlog'!$I252&lt;=I$2), 'ProductSprint Backlog'!$F252 / MAX(1, 'ProductSprint Backlog'!$J252-'ProductSprint Backlog'!$I252), AND('ProductSprint Backlog'!$J252=I$2,'ProductSprint Backlog'!$I252=I$2), 'ProductSprint Backlog'!$F252, TRUE, 0)</f>
        <v>0</v>
      </c>
      <c r="J252" s="4" cm="1">
        <f t="array" ref="J252">_xlfn.IFS('ProductSprint Backlog'!$F252="", "", AND('ProductSprint Backlog'!$J252&gt;J$2,'ProductSprint Backlog'!$I252&lt;=J$2), 'ProductSprint Backlog'!$F252 / MAX(1, 'ProductSprint Backlog'!$J252-'ProductSprint Backlog'!$I252), AND('ProductSprint Backlog'!$J252=J$2,'ProductSprint Backlog'!$I252=J$2), 'ProductSprint Backlog'!$F252, TRUE, 0)</f>
        <v>0</v>
      </c>
      <c r="K252" s="4" cm="1">
        <f t="array" ref="K252">_xlfn.IFS('ProductSprint Backlog'!$F252="", "", AND('ProductSprint Backlog'!$J252&gt;K$2,'ProductSprint Backlog'!$I252&lt;=K$2), 'ProductSprint Backlog'!$F252 / MAX(1, 'ProductSprint Backlog'!$J252-'ProductSprint Backlog'!$I252), AND('ProductSprint Backlog'!$J252=K$2,'ProductSprint Backlog'!$I252=K$2), 'ProductSprint Backlog'!$F252, TRUE, 0)</f>
        <v>0</v>
      </c>
      <c r="L252" s="4" cm="1">
        <f t="array" ref="L252">_xlfn.IFS('ProductSprint Backlog'!$F252="", "", AND('ProductSprint Backlog'!$J252&gt;L$2,'ProductSprint Backlog'!$I252&lt;=L$2), 'ProductSprint Backlog'!$F252 / MAX(1, 'ProductSprint Backlog'!$J252-'ProductSprint Backlog'!$I252), AND('ProductSprint Backlog'!$J252=L$2,'ProductSprint Backlog'!$I252=L$2), 'ProductSprint Backlog'!$F252, TRUE, 0)</f>
        <v>0</v>
      </c>
      <c r="M252" s="4" cm="1">
        <f t="array" ref="M252">_xlfn.IFS('ProductSprint Backlog'!$F252="", "", AND('ProductSprint Backlog'!$J252&gt;M$2,'ProductSprint Backlog'!$I252&lt;=M$2), 'ProductSprint Backlog'!$F252 / MAX(1, 'ProductSprint Backlog'!$J252-'ProductSprint Backlog'!$I252), AND('ProductSprint Backlog'!$J252=M$2,'ProductSprint Backlog'!$I252=M$2), 'ProductSprint Backlog'!$F252, TRUE, 0)</f>
        <v>0</v>
      </c>
      <c r="N252" s="4" cm="1">
        <f t="array" ref="N252">_xlfn.IFS('ProductSprint Backlog'!$F252="", "", AND('ProductSprint Backlog'!$J252&gt;N$2,'ProductSprint Backlog'!$I252&lt;=N$2), 'ProductSprint Backlog'!$F252 / MAX(1, 'ProductSprint Backlog'!$J252-'ProductSprint Backlog'!$I252), AND('ProductSprint Backlog'!$J252=N$2,'ProductSprint Backlog'!$I252=N$2), 'ProductSprint Backlog'!$F252, TRUE, 0)</f>
        <v>0</v>
      </c>
      <c r="O252" s="4" cm="1">
        <f t="array" ref="O252">_xlfn.IFS('ProductSprint Backlog'!$F252="", "", AND('ProductSprint Backlog'!$J252&gt;O$2,'ProductSprint Backlog'!$I252&lt;=O$2), 'ProductSprint Backlog'!$F252 / MAX(1, 'ProductSprint Backlog'!$J252-'ProductSprint Backlog'!$I252), AND('ProductSprint Backlog'!$J252=O$2,'ProductSprint Backlog'!$I252=O$2), 'ProductSprint Backlog'!$F252, TRUE, 0)</f>
        <v>0</v>
      </c>
      <c r="P252" s="4" cm="1">
        <f t="array" ref="P252">_xlfn.IFS('ProductSprint Backlog'!$F252="", "", AND('ProductSprint Backlog'!$J252&gt;P$2,'ProductSprint Backlog'!$I252&lt;=P$2), 'ProductSprint Backlog'!$F252 / MAX(1, 'ProductSprint Backlog'!$J252-'ProductSprint Backlog'!$I252), AND('ProductSprint Backlog'!$J252=P$2,'ProductSprint Backlog'!$I252=P$2), 'ProductSprint Backlog'!$F252, TRUE, 0)</f>
        <v>0</v>
      </c>
      <c r="Q252" s="4" cm="1">
        <f t="array" ref="Q252">_xlfn.IFS('ProductSprint Backlog'!$F252="", "", AND('ProductSprint Backlog'!$J252&gt;Q$2,'ProductSprint Backlog'!$I252&lt;=Q$2), 'ProductSprint Backlog'!$F252 / MAX(1, 'ProductSprint Backlog'!$J252-'ProductSprint Backlog'!$I252), AND('ProductSprint Backlog'!$J252=Q$2,'ProductSprint Backlog'!$I252=Q$2), 'ProductSprint Backlog'!$F252, TRUE, 0)</f>
        <v>0</v>
      </c>
    </row>
    <row r="253" spans="2:17" x14ac:dyDescent="0.2">
      <c r="B253" s="4" cm="1">
        <f t="array" ref="B253">_xlfn.IFS('ProductSprint Backlog'!$F253="", "", AND('ProductSprint Backlog'!$J253&gt;B$2,'ProductSprint Backlog'!$I253&lt;=B$2), 'ProductSprint Backlog'!$F253 / MAX(1, 'ProductSprint Backlog'!$J253-'ProductSprint Backlog'!$I253), AND('ProductSprint Backlog'!$J253=B$2,'ProductSprint Backlog'!$I253=B$2), 'ProductSprint Backlog'!$F253, TRUE, 0)</f>
        <v>0</v>
      </c>
      <c r="C253" s="4" cm="1">
        <f t="array" ref="C253">_xlfn.IFS('ProductSprint Backlog'!$F253="", "", AND('ProductSprint Backlog'!$J253&gt;C$2,'ProductSprint Backlog'!$I253&lt;=C$2), 'ProductSprint Backlog'!$F253 / MAX(1, 'ProductSprint Backlog'!$J253-'ProductSprint Backlog'!$I253), AND('ProductSprint Backlog'!$J253=C$2,'ProductSprint Backlog'!$I253=C$2), 'ProductSprint Backlog'!$F253, TRUE, 0)</f>
        <v>0</v>
      </c>
      <c r="D253" s="4" cm="1">
        <f t="array" ref="D253">_xlfn.IFS('ProductSprint Backlog'!$F253="", "", AND('ProductSprint Backlog'!$J253&gt;D$2,'ProductSprint Backlog'!$I253&lt;=D$2), 'ProductSprint Backlog'!$F253 / MAX(1, 'ProductSprint Backlog'!$J253-'ProductSprint Backlog'!$I253), AND('ProductSprint Backlog'!$J253=D$2,'ProductSprint Backlog'!$I253=D$2), 'ProductSprint Backlog'!$F253, TRUE, 0)</f>
        <v>0</v>
      </c>
      <c r="E253" s="4" cm="1">
        <f t="array" ref="E253">_xlfn.IFS('ProductSprint Backlog'!$F253="", "", AND('ProductSprint Backlog'!$J253&gt;E$2,'ProductSprint Backlog'!$I253&lt;=E$2), 'ProductSprint Backlog'!$F253 / MAX(1, 'ProductSprint Backlog'!$J253-'ProductSprint Backlog'!$I253), AND('ProductSprint Backlog'!$J253=E$2,'ProductSprint Backlog'!$I253=E$2), 'ProductSprint Backlog'!$F253, TRUE, 0)</f>
        <v>1</v>
      </c>
      <c r="F253" s="4" cm="1">
        <f t="array" ref="F253">_xlfn.IFS('ProductSprint Backlog'!$F253="", "", AND('ProductSprint Backlog'!$J253&gt;F$2,'ProductSprint Backlog'!$I253&lt;=F$2), 'ProductSprint Backlog'!$F253 / MAX(1, 'ProductSprint Backlog'!$J253-'ProductSprint Backlog'!$I253), AND('ProductSprint Backlog'!$J253=F$2,'ProductSprint Backlog'!$I253=F$2), 'ProductSprint Backlog'!$F253, TRUE, 0)</f>
        <v>0</v>
      </c>
      <c r="G253" s="4" cm="1">
        <f t="array" ref="G253">_xlfn.IFS('ProductSprint Backlog'!$F253="", "", AND('ProductSprint Backlog'!$J253&gt;G$2,'ProductSprint Backlog'!$I253&lt;=G$2), 'ProductSprint Backlog'!$F253 / MAX(1, 'ProductSprint Backlog'!$J253-'ProductSprint Backlog'!$I253), AND('ProductSprint Backlog'!$J253=G$2,'ProductSprint Backlog'!$I253=G$2), 'ProductSprint Backlog'!$F253, TRUE, 0)</f>
        <v>0</v>
      </c>
      <c r="H253" s="4" cm="1">
        <f t="array" ref="H253">_xlfn.IFS('ProductSprint Backlog'!$F253="", "", AND('ProductSprint Backlog'!$J253&gt;H$2,'ProductSprint Backlog'!$I253&lt;=H$2), 'ProductSprint Backlog'!$F253 / MAX(1, 'ProductSprint Backlog'!$J253-'ProductSprint Backlog'!$I253), AND('ProductSprint Backlog'!$J253=H$2,'ProductSprint Backlog'!$I253=H$2), 'ProductSprint Backlog'!$F253, TRUE, 0)</f>
        <v>0</v>
      </c>
      <c r="I253" s="4" cm="1">
        <f t="array" ref="I253">_xlfn.IFS('ProductSprint Backlog'!$F253="", "", AND('ProductSprint Backlog'!$J253&gt;I$2,'ProductSprint Backlog'!$I253&lt;=I$2), 'ProductSprint Backlog'!$F253 / MAX(1, 'ProductSprint Backlog'!$J253-'ProductSprint Backlog'!$I253), AND('ProductSprint Backlog'!$J253=I$2,'ProductSprint Backlog'!$I253=I$2), 'ProductSprint Backlog'!$F253, TRUE, 0)</f>
        <v>0</v>
      </c>
      <c r="J253" s="4" cm="1">
        <f t="array" ref="J253">_xlfn.IFS('ProductSprint Backlog'!$F253="", "", AND('ProductSprint Backlog'!$J253&gt;J$2,'ProductSprint Backlog'!$I253&lt;=J$2), 'ProductSprint Backlog'!$F253 / MAX(1, 'ProductSprint Backlog'!$J253-'ProductSprint Backlog'!$I253), AND('ProductSprint Backlog'!$J253=J$2,'ProductSprint Backlog'!$I253=J$2), 'ProductSprint Backlog'!$F253, TRUE, 0)</f>
        <v>0</v>
      </c>
      <c r="K253" s="4" cm="1">
        <f t="array" ref="K253">_xlfn.IFS('ProductSprint Backlog'!$F253="", "", AND('ProductSprint Backlog'!$J253&gt;K$2,'ProductSprint Backlog'!$I253&lt;=K$2), 'ProductSprint Backlog'!$F253 / MAX(1, 'ProductSprint Backlog'!$J253-'ProductSprint Backlog'!$I253), AND('ProductSprint Backlog'!$J253=K$2,'ProductSprint Backlog'!$I253=K$2), 'ProductSprint Backlog'!$F253, TRUE, 0)</f>
        <v>0</v>
      </c>
      <c r="L253" s="4" cm="1">
        <f t="array" ref="L253">_xlfn.IFS('ProductSprint Backlog'!$F253="", "", AND('ProductSprint Backlog'!$J253&gt;L$2,'ProductSprint Backlog'!$I253&lt;=L$2), 'ProductSprint Backlog'!$F253 / MAX(1, 'ProductSprint Backlog'!$J253-'ProductSprint Backlog'!$I253), AND('ProductSprint Backlog'!$J253=L$2,'ProductSprint Backlog'!$I253=L$2), 'ProductSprint Backlog'!$F253, TRUE, 0)</f>
        <v>0</v>
      </c>
      <c r="M253" s="4" cm="1">
        <f t="array" ref="M253">_xlfn.IFS('ProductSprint Backlog'!$F253="", "", AND('ProductSprint Backlog'!$J253&gt;M$2,'ProductSprint Backlog'!$I253&lt;=M$2), 'ProductSprint Backlog'!$F253 / MAX(1, 'ProductSprint Backlog'!$J253-'ProductSprint Backlog'!$I253), AND('ProductSprint Backlog'!$J253=M$2,'ProductSprint Backlog'!$I253=M$2), 'ProductSprint Backlog'!$F253, TRUE, 0)</f>
        <v>0</v>
      </c>
      <c r="N253" s="4" cm="1">
        <f t="array" ref="N253">_xlfn.IFS('ProductSprint Backlog'!$F253="", "", AND('ProductSprint Backlog'!$J253&gt;N$2,'ProductSprint Backlog'!$I253&lt;=N$2), 'ProductSprint Backlog'!$F253 / MAX(1, 'ProductSprint Backlog'!$J253-'ProductSprint Backlog'!$I253), AND('ProductSprint Backlog'!$J253=N$2,'ProductSprint Backlog'!$I253=N$2), 'ProductSprint Backlog'!$F253, TRUE, 0)</f>
        <v>0</v>
      </c>
      <c r="O253" s="4" cm="1">
        <f t="array" ref="O253">_xlfn.IFS('ProductSprint Backlog'!$F253="", "", AND('ProductSprint Backlog'!$J253&gt;O$2,'ProductSprint Backlog'!$I253&lt;=O$2), 'ProductSprint Backlog'!$F253 / MAX(1, 'ProductSprint Backlog'!$J253-'ProductSprint Backlog'!$I253), AND('ProductSprint Backlog'!$J253=O$2,'ProductSprint Backlog'!$I253=O$2), 'ProductSprint Backlog'!$F253, TRUE, 0)</f>
        <v>0</v>
      </c>
      <c r="P253" s="4" cm="1">
        <f t="array" ref="P253">_xlfn.IFS('ProductSprint Backlog'!$F253="", "", AND('ProductSprint Backlog'!$J253&gt;P$2,'ProductSprint Backlog'!$I253&lt;=P$2), 'ProductSprint Backlog'!$F253 / MAX(1, 'ProductSprint Backlog'!$J253-'ProductSprint Backlog'!$I253), AND('ProductSprint Backlog'!$J253=P$2,'ProductSprint Backlog'!$I253=P$2), 'ProductSprint Backlog'!$F253, TRUE, 0)</f>
        <v>0</v>
      </c>
      <c r="Q253" s="4" cm="1">
        <f t="array" ref="Q253">_xlfn.IFS('ProductSprint Backlog'!$F253="", "", AND('ProductSprint Backlog'!$J253&gt;Q$2,'ProductSprint Backlog'!$I253&lt;=Q$2), 'ProductSprint Backlog'!$F253 / MAX(1, 'ProductSprint Backlog'!$J253-'ProductSprint Backlog'!$I253), AND('ProductSprint Backlog'!$J253=Q$2,'ProductSprint Backlog'!$I253=Q$2), 'ProductSprint Backlog'!$F253, TRUE, 0)</f>
        <v>0</v>
      </c>
    </row>
    <row r="254" spans="2:17" x14ac:dyDescent="0.2">
      <c r="B254" s="4" cm="1">
        <f t="array" ref="B254">_xlfn.IFS('ProductSprint Backlog'!$F254="", "", AND('ProductSprint Backlog'!$J254&gt;B$2,'ProductSprint Backlog'!$I254&lt;=B$2), 'ProductSprint Backlog'!$F254 / MAX(1, 'ProductSprint Backlog'!$J254-'ProductSprint Backlog'!$I254), AND('ProductSprint Backlog'!$J254=B$2,'ProductSprint Backlog'!$I254=B$2), 'ProductSprint Backlog'!$F254, TRUE, 0)</f>
        <v>0</v>
      </c>
      <c r="C254" s="4" cm="1">
        <f t="array" ref="C254">_xlfn.IFS('ProductSprint Backlog'!$F254="", "", AND('ProductSprint Backlog'!$J254&gt;C$2,'ProductSprint Backlog'!$I254&lt;=C$2), 'ProductSprint Backlog'!$F254 / MAX(1, 'ProductSprint Backlog'!$J254-'ProductSprint Backlog'!$I254), AND('ProductSprint Backlog'!$J254=C$2,'ProductSprint Backlog'!$I254=C$2), 'ProductSprint Backlog'!$F254, TRUE, 0)</f>
        <v>0</v>
      </c>
      <c r="D254" s="4" cm="1">
        <f t="array" ref="D254">_xlfn.IFS('ProductSprint Backlog'!$F254="", "", AND('ProductSprint Backlog'!$J254&gt;D$2,'ProductSprint Backlog'!$I254&lt;=D$2), 'ProductSprint Backlog'!$F254 / MAX(1, 'ProductSprint Backlog'!$J254-'ProductSprint Backlog'!$I254), AND('ProductSprint Backlog'!$J254=D$2,'ProductSprint Backlog'!$I254=D$2), 'ProductSprint Backlog'!$F254, TRUE, 0)</f>
        <v>0</v>
      </c>
      <c r="E254" s="4" cm="1">
        <f t="array" ref="E254">_xlfn.IFS('ProductSprint Backlog'!$F254="", "", AND('ProductSprint Backlog'!$J254&gt;E$2,'ProductSprint Backlog'!$I254&lt;=E$2), 'ProductSprint Backlog'!$F254 / MAX(1, 'ProductSprint Backlog'!$J254-'ProductSprint Backlog'!$I254), AND('ProductSprint Backlog'!$J254=E$2,'ProductSprint Backlog'!$I254=E$2), 'ProductSprint Backlog'!$F254, TRUE, 0)</f>
        <v>0</v>
      </c>
      <c r="F254" s="4" cm="1">
        <f t="array" ref="F254">_xlfn.IFS('ProductSprint Backlog'!$F254="", "", AND('ProductSprint Backlog'!$J254&gt;F$2,'ProductSprint Backlog'!$I254&lt;=F$2), 'ProductSprint Backlog'!$F254 / MAX(1, 'ProductSprint Backlog'!$J254-'ProductSprint Backlog'!$I254), AND('ProductSprint Backlog'!$J254=F$2,'ProductSprint Backlog'!$I254=F$2), 'ProductSprint Backlog'!$F254, TRUE, 0)</f>
        <v>0.5</v>
      </c>
      <c r="G254" s="4" cm="1">
        <f t="array" ref="G254">_xlfn.IFS('ProductSprint Backlog'!$F254="", "", AND('ProductSprint Backlog'!$J254&gt;G$2,'ProductSprint Backlog'!$I254&lt;=G$2), 'ProductSprint Backlog'!$F254 / MAX(1, 'ProductSprint Backlog'!$J254-'ProductSprint Backlog'!$I254), AND('ProductSprint Backlog'!$J254=G$2,'ProductSprint Backlog'!$I254=G$2), 'ProductSprint Backlog'!$F254, TRUE, 0)</f>
        <v>0</v>
      </c>
      <c r="H254" s="4" cm="1">
        <f t="array" ref="H254">_xlfn.IFS('ProductSprint Backlog'!$F254="", "", AND('ProductSprint Backlog'!$J254&gt;H$2,'ProductSprint Backlog'!$I254&lt;=H$2), 'ProductSprint Backlog'!$F254 / MAX(1, 'ProductSprint Backlog'!$J254-'ProductSprint Backlog'!$I254), AND('ProductSprint Backlog'!$J254=H$2,'ProductSprint Backlog'!$I254=H$2), 'ProductSprint Backlog'!$F254, TRUE, 0)</f>
        <v>0</v>
      </c>
      <c r="I254" s="4" cm="1">
        <f t="array" ref="I254">_xlfn.IFS('ProductSprint Backlog'!$F254="", "", AND('ProductSprint Backlog'!$J254&gt;I$2,'ProductSprint Backlog'!$I254&lt;=I$2), 'ProductSprint Backlog'!$F254 / MAX(1, 'ProductSprint Backlog'!$J254-'ProductSprint Backlog'!$I254), AND('ProductSprint Backlog'!$J254=I$2,'ProductSprint Backlog'!$I254=I$2), 'ProductSprint Backlog'!$F254, TRUE, 0)</f>
        <v>0</v>
      </c>
      <c r="J254" s="4" cm="1">
        <f t="array" ref="J254">_xlfn.IFS('ProductSprint Backlog'!$F254="", "", AND('ProductSprint Backlog'!$J254&gt;J$2,'ProductSprint Backlog'!$I254&lt;=J$2), 'ProductSprint Backlog'!$F254 / MAX(1, 'ProductSprint Backlog'!$J254-'ProductSprint Backlog'!$I254), AND('ProductSprint Backlog'!$J254=J$2,'ProductSprint Backlog'!$I254=J$2), 'ProductSprint Backlog'!$F254, TRUE, 0)</f>
        <v>0</v>
      </c>
      <c r="K254" s="4" cm="1">
        <f t="array" ref="K254">_xlfn.IFS('ProductSprint Backlog'!$F254="", "", AND('ProductSprint Backlog'!$J254&gt;K$2,'ProductSprint Backlog'!$I254&lt;=K$2), 'ProductSprint Backlog'!$F254 / MAX(1, 'ProductSprint Backlog'!$J254-'ProductSprint Backlog'!$I254), AND('ProductSprint Backlog'!$J254=K$2,'ProductSprint Backlog'!$I254=K$2), 'ProductSprint Backlog'!$F254, TRUE, 0)</f>
        <v>0</v>
      </c>
      <c r="L254" s="4" cm="1">
        <f t="array" ref="L254">_xlfn.IFS('ProductSprint Backlog'!$F254="", "", AND('ProductSprint Backlog'!$J254&gt;L$2,'ProductSprint Backlog'!$I254&lt;=L$2), 'ProductSprint Backlog'!$F254 / MAX(1, 'ProductSprint Backlog'!$J254-'ProductSprint Backlog'!$I254), AND('ProductSprint Backlog'!$J254=L$2,'ProductSprint Backlog'!$I254=L$2), 'ProductSprint Backlog'!$F254, TRUE, 0)</f>
        <v>0</v>
      </c>
      <c r="M254" s="4" cm="1">
        <f t="array" ref="M254">_xlfn.IFS('ProductSprint Backlog'!$F254="", "", AND('ProductSprint Backlog'!$J254&gt;M$2,'ProductSprint Backlog'!$I254&lt;=M$2), 'ProductSprint Backlog'!$F254 / MAX(1, 'ProductSprint Backlog'!$J254-'ProductSprint Backlog'!$I254), AND('ProductSprint Backlog'!$J254=M$2,'ProductSprint Backlog'!$I254=M$2), 'ProductSprint Backlog'!$F254, TRUE, 0)</f>
        <v>0</v>
      </c>
      <c r="N254" s="4" cm="1">
        <f t="array" ref="N254">_xlfn.IFS('ProductSprint Backlog'!$F254="", "", AND('ProductSprint Backlog'!$J254&gt;N$2,'ProductSprint Backlog'!$I254&lt;=N$2), 'ProductSprint Backlog'!$F254 / MAX(1, 'ProductSprint Backlog'!$J254-'ProductSprint Backlog'!$I254), AND('ProductSprint Backlog'!$J254=N$2,'ProductSprint Backlog'!$I254=N$2), 'ProductSprint Backlog'!$F254, TRUE, 0)</f>
        <v>0</v>
      </c>
      <c r="O254" s="4" cm="1">
        <f t="array" ref="O254">_xlfn.IFS('ProductSprint Backlog'!$F254="", "", AND('ProductSprint Backlog'!$J254&gt;O$2,'ProductSprint Backlog'!$I254&lt;=O$2), 'ProductSprint Backlog'!$F254 / MAX(1, 'ProductSprint Backlog'!$J254-'ProductSprint Backlog'!$I254), AND('ProductSprint Backlog'!$J254=O$2,'ProductSprint Backlog'!$I254=O$2), 'ProductSprint Backlog'!$F254, TRUE, 0)</f>
        <v>0</v>
      </c>
      <c r="P254" s="4" cm="1">
        <f t="array" ref="P254">_xlfn.IFS('ProductSprint Backlog'!$F254="", "", AND('ProductSprint Backlog'!$J254&gt;P$2,'ProductSprint Backlog'!$I254&lt;=P$2), 'ProductSprint Backlog'!$F254 / MAX(1, 'ProductSprint Backlog'!$J254-'ProductSprint Backlog'!$I254), AND('ProductSprint Backlog'!$J254=P$2,'ProductSprint Backlog'!$I254=P$2), 'ProductSprint Backlog'!$F254, TRUE, 0)</f>
        <v>0</v>
      </c>
      <c r="Q254" s="4" cm="1">
        <f t="array" ref="Q254">_xlfn.IFS('ProductSprint Backlog'!$F254="", "", AND('ProductSprint Backlog'!$J254&gt;Q$2,'ProductSprint Backlog'!$I254&lt;=Q$2), 'ProductSprint Backlog'!$F254 / MAX(1, 'ProductSprint Backlog'!$J254-'ProductSprint Backlog'!$I254), AND('ProductSprint Backlog'!$J254=Q$2,'ProductSprint Backlog'!$I254=Q$2), 'ProductSprint Backlog'!$F254, TRUE, 0)</f>
        <v>0</v>
      </c>
    </row>
    <row r="255" spans="2:17" x14ac:dyDescent="0.2">
      <c r="B255" s="4" cm="1">
        <f t="array" ref="B255">_xlfn.IFS('ProductSprint Backlog'!$F255="", "", AND('ProductSprint Backlog'!$J255&gt;B$2,'ProductSprint Backlog'!$I255&lt;=B$2), 'ProductSprint Backlog'!$F255 / MAX(1, 'ProductSprint Backlog'!$J255-'ProductSprint Backlog'!$I255), AND('ProductSprint Backlog'!$J255=B$2,'ProductSprint Backlog'!$I255=B$2), 'ProductSprint Backlog'!$F255, TRUE, 0)</f>
        <v>0</v>
      </c>
      <c r="C255" s="4" cm="1">
        <f t="array" ref="C255">_xlfn.IFS('ProductSprint Backlog'!$F255="", "", AND('ProductSprint Backlog'!$J255&gt;C$2,'ProductSprint Backlog'!$I255&lt;=C$2), 'ProductSprint Backlog'!$F255 / MAX(1, 'ProductSprint Backlog'!$J255-'ProductSprint Backlog'!$I255), AND('ProductSprint Backlog'!$J255=C$2,'ProductSprint Backlog'!$I255=C$2), 'ProductSprint Backlog'!$F255, TRUE, 0)</f>
        <v>0</v>
      </c>
      <c r="D255" s="4" cm="1">
        <f t="array" ref="D255">_xlfn.IFS('ProductSprint Backlog'!$F255="", "", AND('ProductSprint Backlog'!$J255&gt;D$2,'ProductSprint Backlog'!$I255&lt;=D$2), 'ProductSprint Backlog'!$F255 / MAX(1, 'ProductSprint Backlog'!$J255-'ProductSprint Backlog'!$I255), AND('ProductSprint Backlog'!$J255=D$2,'ProductSprint Backlog'!$I255=D$2), 'ProductSprint Backlog'!$F255, TRUE, 0)</f>
        <v>0</v>
      </c>
      <c r="E255" s="4" cm="1">
        <f t="array" ref="E255">_xlfn.IFS('ProductSprint Backlog'!$F255="", "", AND('ProductSprint Backlog'!$J255&gt;E$2,'ProductSprint Backlog'!$I255&lt;=E$2), 'ProductSprint Backlog'!$F255 / MAX(1, 'ProductSprint Backlog'!$J255-'ProductSprint Backlog'!$I255), AND('ProductSprint Backlog'!$J255=E$2,'ProductSprint Backlog'!$I255=E$2), 'ProductSprint Backlog'!$F255, TRUE, 0)</f>
        <v>0</v>
      </c>
      <c r="F255" s="4" cm="1">
        <f t="array" ref="F255">_xlfn.IFS('ProductSprint Backlog'!$F255="", "", AND('ProductSprint Backlog'!$J255&gt;F$2,'ProductSprint Backlog'!$I255&lt;=F$2), 'ProductSprint Backlog'!$F255 / MAX(1, 'ProductSprint Backlog'!$J255-'ProductSprint Backlog'!$I255), AND('ProductSprint Backlog'!$J255=F$2,'ProductSprint Backlog'!$I255=F$2), 'ProductSprint Backlog'!$F255, TRUE, 0)</f>
        <v>0.5</v>
      </c>
      <c r="G255" s="4" cm="1">
        <f t="array" ref="G255">_xlfn.IFS('ProductSprint Backlog'!$F255="", "", AND('ProductSprint Backlog'!$J255&gt;G$2,'ProductSprint Backlog'!$I255&lt;=G$2), 'ProductSprint Backlog'!$F255 / MAX(1, 'ProductSprint Backlog'!$J255-'ProductSprint Backlog'!$I255), AND('ProductSprint Backlog'!$J255=G$2,'ProductSprint Backlog'!$I255=G$2), 'ProductSprint Backlog'!$F255, TRUE, 0)</f>
        <v>0.5</v>
      </c>
      <c r="H255" s="4" cm="1">
        <f t="array" ref="H255">_xlfn.IFS('ProductSprint Backlog'!$F255="", "", AND('ProductSprint Backlog'!$J255&gt;H$2,'ProductSprint Backlog'!$I255&lt;=H$2), 'ProductSprint Backlog'!$F255 / MAX(1, 'ProductSprint Backlog'!$J255-'ProductSprint Backlog'!$I255), AND('ProductSprint Backlog'!$J255=H$2,'ProductSprint Backlog'!$I255=H$2), 'ProductSprint Backlog'!$F255, TRUE, 0)</f>
        <v>0</v>
      </c>
      <c r="I255" s="4" cm="1">
        <f t="array" ref="I255">_xlfn.IFS('ProductSprint Backlog'!$F255="", "", AND('ProductSprint Backlog'!$J255&gt;I$2,'ProductSprint Backlog'!$I255&lt;=I$2), 'ProductSprint Backlog'!$F255 / MAX(1, 'ProductSprint Backlog'!$J255-'ProductSprint Backlog'!$I255), AND('ProductSprint Backlog'!$J255=I$2,'ProductSprint Backlog'!$I255=I$2), 'ProductSprint Backlog'!$F255, TRUE, 0)</f>
        <v>0</v>
      </c>
      <c r="J255" s="4" cm="1">
        <f t="array" ref="J255">_xlfn.IFS('ProductSprint Backlog'!$F255="", "", AND('ProductSprint Backlog'!$J255&gt;J$2,'ProductSprint Backlog'!$I255&lt;=J$2), 'ProductSprint Backlog'!$F255 / MAX(1, 'ProductSprint Backlog'!$J255-'ProductSprint Backlog'!$I255), AND('ProductSprint Backlog'!$J255=J$2,'ProductSprint Backlog'!$I255=J$2), 'ProductSprint Backlog'!$F255, TRUE, 0)</f>
        <v>0</v>
      </c>
      <c r="K255" s="4" cm="1">
        <f t="array" ref="K255">_xlfn.IFS('ProductSprint Backlog'!$F255="", "", AND('ProductSprint Backlog'!$J255&gt;K$2,'ProductSprint Backlog'!$I255&lt;=K$2), 'ProductSprint Backlog'!$F255 / MAX(1, 'ProductSprint Backlog'!$J255-'ProductSprint Backlog'!$I255), AND('ProductSprint Backlog'!$J255=K$2,'ProductSprint Backlog'!$I255=K$2), 'ProductSprint Backlog'!$F255, TRUE, 0)</f>
        <v>0</v>
      </c>
      <c r="L255" s="4" cm="1">
        <f t="array" ref="L255">_xlfn.IFS('ProductSprint Backlog'!$F255="", "", AND('ProductSprint Backlog'!$J255&gt;L$2,'ProductSprint Backlog'!$I255&lt;=L$2), 'ProductSprint Backlog'!$F255 / MAX(1, 'ProductSprint Backlog'!$J255-'ProductSprint Backlog'!$I255), AND('ProductSprint Backlog'!$J255=L$2,'ProductSprint Backlog'!$I255=L$2), 'ProductSprint Backlog'!$F255, TRUE, 0)</f>
        <v>0</v>
      </c>
      <c r="M255" s="4" cm="1">
        <f t="array" ref="M255">_xlfn.IFS('ProductSprint Backlog'!$F255="", "", AND('ProductSprint Backlog'!$J255&gt;M$2,'ProductSprint Backlog'!$I255&lt;=M$2), 'ProductSprint Backlog'!$F255 / MAX(1, 'ProductSprint Backlog'!$J255-'ProductSprint Backlog'!$I255), AND('ProductSprint Backlog'!$J255=M$2,'ProductSprint Backlog'!$I255=M$2), 'ProductSprint Backlog'!$F255, TRUE, 0)</f>
        <v>0</v>
      </c>
      <c r="N255" s="4" cm="1">
        <f t="array" ref="N255">_xlfn.IFS('ProductSprint Backlog'!$F255="", "", AND('ProductSprint Backlog'!$J255&gt;N$2,'ProductSprint Backlog'!$I255&lt;=N$2), 'ProductSprint Backlog'!$F255 / MAX(1, 'ProductSprint Backlog'!$J255-'ProductSprint Backlog'!$I255), AND('ProductSprint Backlog'!$J255=N$2,'ProductSprint Backlog'!$I255=N$2), 'ProductSprint Backlog'!$F255, TRUE, 0)</f>
        <v>0</v>
      </c>
      <c r="O255" s="4" cm="1">
        <f t="array" ref="O255">_xlfn.IFS('ProductSprint Backlog'!$F255="", "", AND('ProductSprint Backlog'!$J255&gt;O$2,'ProductSprint Backlog'!$I255&lt;=O$2), 'ProductSprint Backlog'!$F255 / MAX(1, 'ProductSprint Backlog'!$J255-'ProductSprint Backlog'!$I255), AND('ProductSprint Backlog'!$J255=O$2,'ProductSprint Backlog'!$I255=O$2), 'ProductSprint Backlog'!$F255, TRUE, 0)</f>
        <v>0</v>
      </c>
      <c r="P255" s="4" cm="1">
        <f t="array" ref="P255">_xlfn.IFS('ProductSprint Backlog'!$F255="", "", AND('ProductSprint Backlog'!$J255&gt;P$2,'ProductSprint Backlog'!$I255&lt;=P$2), 'ProductSprint Backlog'!$F255 / MAX(1, 'ProductSprint Backlog'!$J255-'ProductSprint Backlog'!$I255), AND('ProductSprint Backlog'!$J255=P$2,'ProductSprint Backlog'!$I255=P$2), 'ProductSprint Backlog'!$F255, TRUE, 0)</f>
        <v>0</v>
      </c>
      <c r="Q255" s="4" cm="1">
        <f t="array" ref="Q255">_xlfn.IFS('ProductSprint Backlog'!$F255="", "", AND('ProductSprint Backlog'!$J255&gt;Q$2,'ProductSprint Backlog'!$I255&lt;=Q$2), 'ProductSprint Backlog'!$F255 / MAX(1, 'ProductSprint Backlog'!$J255-'ProductSprint Backlog'!$I255), AND('ProductSprint Backlog'!$J255=Q$2,'ProductSprint Backlog'!$I255=Q$2), 'ProductSprint Backlog'!$F255, TRUE, 0)</f>
        <v>0</v>
      </c>
    </row>
    <row r="256" spans="2:17" x14ac:dyDescent="0.2">
      <c r="B256" s="4" cm="1">
        <f t="array" ref="B256">_xlfn.IFS('ProductSprint Backlog'!$F256="", "", AND('ProductSprint Backlog'!$J256&gt;B$2,'ProductSprint Backlog'!$I256&lt;=B$2), 'ProductSprint Backlog'!$F256 / MAX(1, 'ProductSprint Backlog'!$J256-'ProductSprint Backlog'!$I256), AND('ProductSprint Backlog'!$J256=B$2,'ProductSprint Backlog'!$I256=B$2), 'ProductSprint Backlog'!$F256, TRUE, 0)</f>
        <v>0</v>
      </c>
      <c r="C256" s="4" cm="1">
        <f t="array" ref="C256">_xlfn.IFS('ProductSprint Backlog'!$F256="", "", AND('ProductSprint Backlog'!$J256&gt;C$2,'ProductSprint Backlog'!$I256&lt;=C$2), 'ProductSprint Backlog'!$F256 / MAX(1, 'ProductSprint Backlog'!$J256-'ProductSprint Backlog'!$I256), AND('ProductSprint Backlog'!$J256=C$2,'ProductSprint Backlog'!$I256=C$2), 'ProductSprint Backlog'!$F256, TRUE, 0)</f>
        <v>0</v>
      </c>
      <c r="D256" s="4" cm="1">
        <f t="array" ref="D256">_xlfn.IFS('ProductSprint Backlog'!$F256="", "", AND('ProductSprint Backlog'!$J256&gt;D$2,'ProductSprint Backlog'!$I256&lt;=D$2), 'ProductSprint Backlog'!$F256 / MAX(1, 'ProductSprint Backlog'!$J256-'ProductSprint Backlog'!$I256), AND('ProductSprint Backlog'!$J256=D$2,'ProductSprint Backlog'!$I256=D$2), 'ProductSprint Backlog'!$F256, TRUE, 0)</f>
        <v>0</v>
      </c>
      <c r="E256" s="4" cm="1">
        <f t="array" ref="E256">_xlfn.IFS('ProductSprint Backlog'!$F256="", "", AND('ProductSprint Backlog'!$J256&gt;E$2,'ProductSprint Backlog'!$I256&lt;=E$2), 'ProductSprint Backlog'!$F256 / MAX(1, 'ProductSprint Backlog'!$J256-'ProductSprint Backlog'!$I256), AND('ProductSprint Backlog'!$J256=E$2,'ProductSprint Backlog'!$I256=E$2), 'ProductSprint Backlog'!$F256, TRUE, 0)</f>
        <v>0</v>
      </c>
      <c r="F256" s="4" cm="1">
        <f t="array" ref="F256">_xlfn.IFS('ProductSprint Backlog'!$F256="", "", AND('ProductSprint Backlog'!$J256&gt;F$2,'ProductSprint Backlog'!$I256&lt;=F$2), 'ProductSprint Backlog'!$F256 / MAX(1, 'ProductSprint Backlog'!$J256-'ProductSprint Backlog'!$I256), AND('ProductSprint Backlog'!$J256=F$2,'ProductSprint Backlog'!$I256=F$2), 'ProductSprint Backlog'!$F256, TRUE, 0)</f>
        <v>0</v>
      </c>
      <c r="G256" s="4" cm="1">
        <f t="array" ref="G256">_xlfn.IFS('ProductSprint Backlog'!$F256="", "", AND('ProductSprint Backlog'!$J256&gt;G$2,'ProductSprint Backlog'!$I256&lt;=G$2), 'ProductSprint Backlog'!$F256 / MAX(1, 'ProductSprint Backlog'!$J256-'ProductSprint Backlog'!$I256), AND('ProductSprint Backlog'!$J256=G$2,'ProductSprint Backlog'!$I256=G$2), 'ProductSprint Backlog'!$F256, TRUE, 0)</f>
        <v>1</v>
      </c>
      <c r="H256" s="4" cm="1">
        <f t="array" ref="H256">_xlfn.IFS('ProductSprint Backlog'!$F256="", "", AND('ProductSprint Backlog'!$J256&gt;H$2,'ProductSprint Backlog'!$I256&lt;=H$2), 'ProductSprint Backlog'!$F256 / MAX(1, 'ProductSprint Backlog'!$J256-'ProductSprint Backlog'!$I256), AND('ProductSprint Backlog'!$J256=H$2,'ProductSprint Backlog'!$I256=H$2), 'ProductSprint Backlog'!$F256, TRUE, 0)</f>
        <v>0</v>
      </c>
      <c r="I256" s="4" cm="1">
        <f t="array" ref="I256">_xlfn.IFS('ProductSprint Backlog'!$F256="", "", AND('ProductSprint Backlog'!$J256&gt;I$2,'ProductSprint Backlog'!$I256&lt;=I$2), 'ProductSprint Backlog'!$F256 / MAX(1, 'ProductSprint Backlog'!$J256-'ProductSprint Backlog'!$I256), AND('ProductSprint Backlog'!$J256=I$2,'ProductSprint Backlog'!$I256=I$2), 'ProductSprint Backlog'!$F256, TRUE, 0)</f>
        <v>0</v>
      </c>
      <c r="J256" s="4" cm="1">
        <f t="array" ref="J256">_xlfn.IFS('ProductSprint Backlog'!$F256="", "", AND('ProductSprint Backlog'!$J256&gt;J$2,'ProductSprint Backlog'!$I256&lt;=J$2), 'ProductSprint Backlog'!$F256 / MAX(1, 'ProductSprint Backlog'!$J256-'ProductSprint Backlog'!$I256), AND('ProductSprint Backlog'!$J256=J$2,'ProductSprint Backlog'!$I256=J$2), 'ProductSprint Backlog'!$F256, TRUE, 0)</f>
        <v>0</v>
      </c>
      <c r="K256" s="4" cm="1">
        <f t="array" ref="K256">_xlfn.IFS('ProductSprint Backlog'!$F256="", "", AND('ProductSprint Backlog'!$J256&gt;K$2,'ProductSprint Backlog'!$I256&lt;=K$2), 'ProductSprint Backlog'!$F256 / MAX(1, 'ProductSprint Backlog'!$J256-'ProductSprint Backlog'!$I256), AND('ProductSprint Backlog'!$J256=K$2,'ProductSprint Backlog'!$I256=K$2), 'ProductSprint Backlog'!$F256, TRUE, 0)</f>
        <v>0</v>
      </c>
      <c r="L256" s="4" cm="1">
        <f t="array" ref="L256">_xlfn.IFS('ProductSprint Backlog'!$F256="", "", AND('ProductSprint Backlog'!$J256&gt;L$2,'ProductSprint Backlog'!$I256&lt;=L$2), 'ProductSprint Backlog'!$F256 / MAX(1, 'ProductSprint Backlog'!$J256-'ProductSprint Backlog'!$I256), AND('ProductSprint Backlog'!$J256=L$2,'ProductSprint Backlog'!$I256=L$2), 'ProductSprint Backlog'!$F256, TRUE, 0)</f>
        <v>0</v>
      </c>
      <c r="M256" s="4" cm="1">
        <f t="array" ref="M256">_xlfn.IFS('ProductSprint Backlog'!$F256="", "", AND('ProductSprint Backlog'!$J256&gt;M$2,'ProductSprint Backlog'!$I256&lt;=M$2), 'ProductSprint Backlog'!$F256 / MAX(1, 'ProductSprint Backlog'!$J256-'ProductSprint Backlog'!$I256), AND('ProductSprint Backlog'!$J256=M$2,'ProductSprint Backlog'!$I256=M$2), 'ProductSprint Backlog'!$F256, TRUE, 0)</f>
        <v>0</v>
      </c>
      <c r="N256" s="4" cm="1">
        <f t="array" ref="N256">_xlfn.IFS('ProductSprint Backlog'!$F256="", "", AND('ProductSprint Backlog'!$J256&gt;N$2,'ProductSprint Backlog'!$I256&lt;=N$2), 'ProductSprint Backlog'!$F256 / MAX(1, 'ProductSprint Backlog'!$J256-'ProductSprint Backlog'!$I256), AND('ProductSprint Backlog'!$J256=N$2,'ProductSprint Backlog'!$I256=N$2), 'ProductSprint Backlog'!$F256, TRUE, 0)</f>
        <v>0</v>
      </c>
      <c r="O256" s="4" cm="1">
        <f t="array" ref="O256">_xlfn.IFS('ProductSprint Backlog'!$F256="", "", AND('ProductSprint Backlog'!$J256&gt;O$2,'ProductSprint Backlog'!$I256&lt;=O$2), 'ProductSprint Backlog'!$F256 / MAX(1, 'ProductSprint Backlog'!$J256-'ProductSprint Backlog'!$I256), AND('ProductSprint Backlog'!$J256=O$2,'ProductSprint Backlog'!$I256=O$2), 'ProductSprint Backlog'!$F256, TRUE, 0)</f>
        <v>0</v>
      </c>
      <c r="P256" s="4" cm="1">
        <f t="array" ref="P256">_xlfn.IFS('ProductSprint Backlog'!$F256="", "", AND('ProductSprint Backlog'!$J256&gt;P$2,'ProductSprint Backlog'!$I256&lt;=P$2), 'ProductSprint Backlog'!$F256 / MAX(1, 'ProductSprint Backlog'!$J256-'ProductSprint Backlog'!$I256), AND('ProductSprint Backlog'!$J256=P$2,'ProductSprint Backlog'!$I256=P$2), 'ProductSprint Backlog'!$F256, TRUE, 0)</f>
        <v>0</v>
      </c>
      <c r="Q256" s="4" cm="1">
        <f t="array" ref="Q256">_xlfn.IFS('ProductSprint Backlog'!$F256="", "", AND('ProductSprint Backlog'!$J256&gt;Q$2,'ProductSprint Backlog'!$I256&lt;=Q$2), 'ProductSprint Backlog'!$F256 / MAX(1, 'ProductSprint Backlog'!$J256-'ProductSprint Backlog'!$I256), AND('ProductSprint Backlog'!$J256=Q$2,'ProductSprint Backlog'!$I256=Q$2), 'ProductSprint Backlog'!$F256, TRUE, 0)</f>
        <v>0</v>
      </c>
    </row>
    <row r="257" spans="2:17" x14ac:dyDescent="0.2">
      <c r="B257" s="4" cm="1">
        <f t="array" ref="B257">_xlfn.IFS('ProductSprint Backlog'!$F257="", "", AND('ProductSprint Backlog'!$J257&gt;B$2,'ProductSprint Backlog'!$I257&lt;=B$2), 'ProductSprint Backlog'!$F257 / MAX(1, 'ProductSprint Backlog'!$J257-'ProductSprint Backlog'!$I257), AND('ProductSprint Backlog'!$J257=B$2,'ProductSprint Backlog'!$I257=B$2), 'ProductSprint Backlog'!$F257, TRUE, 0)</f>
        <v>0</v>
      </c>
      <c r="C257" s="4" cm="1">
        <f t="array" ref="C257">_xlfn.IFS('ProductSprint Backlog'!$F257="", "", AND('ProductSprint Backlog'!$J257&gt;C$2,'ProductSprint Backlog'!$I257&lt;=C$2), 'ProductSprint Backlog'!$F257 / MAX(1, 'ProductSprint Backlog'!$J257-'ProductSprint Backlog'!$I257), AND('ProductSprint Backlog'!$J257=C$2,'ProductSprint Backlog'!$I257=C$2), 'ProductSprint Backlog'!$F257, TRUE, 0)</f>
        <v>0</v>
      </c>
      <c r="D257" s="4" cm="1">
        <f t="array" ref="D257">_xlfn.IFS('ProductSprint Backlog'!$F257="", "", AND('ProductSprint Backlog'!$J257&gt;D$2,'ProductSprint Backlog'!$I257&lt;=D$2), 'ProductSprint Backlog'!$F257 / MAX(1, 'ProductSprint Backlog'!$J257-'ProductSprint Backlog'!$I257), AND('ProductSprint Backlog'!$J257=D$2,'ProductSprint Backlog'!$I257=D$2), 'ProductSprint Backlog'!$F257, TRUE, 0)</f>
        <v>0</v>
      </c>
      <c r="E257" s="4" cm="1">
        <f t="array" ref="E257">_xlfn.IFS('ProductSprint Backlog'!$F257="", "", AND('ProductSprint Backlog'!$J257&gt;E$2,'ProductSprint Backlog'!$I257&lt;=E$2), 'ProductSprint Backlog'!$F257 / MAX(1, 'ProductSprint Backlog'!$J257-'ProductSprint Backlog'!$I257), AND('ProductSprint Backlog'!$J257=E$2,'ProductSprint Backlog'!$I257=E$2), 'ProductSprint Backlog'!$F257, TRUE, 0)</f>
        <v>0</v>
      </c>
      <c r="F257" s="4" cm="1">
        <f t="array" ref="F257">_xlfn.IFS('ProductSprint Backlog'!$F257="", "", AND('ProductSprint Backlog'!$J257&gt;F$2,'ProductSprint Backlog'!$I257&lt;=F$2), 'ProductSprint Backlog'!$F257 / MAX(1, 'ProductSprint Backlog'!$J257-'ProductSprint Backlog'!$I257), AND('ProductSprint Backlog'!$J257=F$2,'ProductSprint Backlog'!$I257=F$2), 'ProductSprint Backlog'!$F257, TRUE, 0)</f>
        <v>0</v>
      </c>
      <c r="G257" s="4" cm="1">
        <f t="array" ref="G257">_xlfn.IFS('ProductSprint Backlog'!$F257="", "", AND('ProductSprint Backlog'!$J257&gt;G$2,'ProductSprint Backlog'!$I257&lt;=G$2), 'ProductSprint Backlog'!$F257 / MAX(1, 'ProductSprint Backlog'!$J257-'ProductSprint Backlog'!$I257), AND('ProductSprint Backlog'!$J257=G$2,'ProductSprint Backlog'!$I257=G$2), 'ProductSprint Backlog'!$F257, TRUE, 0)</f>
        <v>0</v>
      </c>
      <c r="H257" s="4" cm="1">
        <f t="array" ref="H257">_xlfn.IFS('ProductSprint Backlog'!$F257="", "", AND('ProductSprint Backlog'!$J257&gt;H$2,'ProductSprint Backlog'!$I257&lt;=H$2), 'ProductSprint Backlog'!$F257 / MAX(1, 'ProductSprint Backlog'!$J257-'ProductSprint Backlog'!$I257), AND('ProductSprint Backlog'!$J257=H$2,'ProductSprint Backlog'!$I257=H$2), 'ProductSprint Backlog'!$F257, TRUE, 0)</f>
        <v>1</v>
      </c>
      <c r="I257" s="4" cm="1">
        <f t="array" ref="I257">_xlfn.IFS('ProductSprint Backlog'!$F257="", "", AND('ProductSprint Backlog'!$J257&gt;I$2,'ProductSprint Backlog'!$I257&lt;=I$2), 'ProductSprint Backlog'!$F257 / MAX(1, 'ProductSprint Backlog'!$J257-'ProductSprint Backlog'!$I257), AND('ProductSprint Backlog'!$J257=I$2,'ProductSprint Backlog'!$I257=I$2), 'ProductSprint Backlog'!$F257, TRUE, 0)</f>
        <v>0</v>
      </c>
      <c r="J257" s="4" cm="1">
        <f t="array" ref="J257">_xlfn.IFS('ProductSprint Backlog'!$F257="", "", AND('ProductSprint Backlog'!$J257&gt;J$2,'ProductSprint Backlog'!$I257&lt;=J$2), 'ProductSprint Backlog'!$F257 / MAX(1, 'ProductSprint Backlog'!$J257-'ProductSprint Backlog'!$I257), AND('ProductSprint Backlog'!$J257=J$2,'ProductSprint Backlog'!$I257=J$2), 'ProductSprint Backlog'!$F257, TRUE, 0)</f>
        <v>0</v>
      </c>
      <c r="K257" s="4" cm="1">
        <f t="array" ref="K257">_xlfn.IFS('ProductSprint Backlog'!$F257="", "", AND('ProductSprint Backlog'!$J257&gt;K$2,'ProductSprint Backlog'!$I257&lt;=K$2), 'ProductSprint Backlog'!$F257 / MAX(1, 'ProductSprint Backlog'!$J257-'ProductSprint Backlog'!$I257), AND('ProductSprint Backlog'!$J257=K$2,'ProductSprint Backlog'!$I257=K$2), 'ProductSprint Backlog'!$F257, TRUE, 0)</f>
        <v>0</v>
      </c>
      <c r="L257" s="4" cm="1">
        <f t="array" ref="L257">_xlfn.IFS('ProductSprint Backlog'!$F257="", "", AND('ProductSprint Backlog'!$J257&gt;L$2,'ProductSprint Backlog'!$I257&lt;=L$2), 'ProductSprint Backlog'!$F257 / MAX(1, 'ProductSprint Backlog'!$J257-'ProductSprint Backlog'!$I257), AND('ProductSprint Backlog'!$J257=L$2,'ProductSprint Backlog'!$I257=L$2), 'ProductSprint Backlog'!$F257, TRUE, 0)</f>
        <v>0</v>
      </c>
      <c r="M257" s="4" cm="1">
        <f t="array" ref="M257">_xlfn.IFS('ProductSprint Backlog'!$F257="", "", AND('ProductSprint Backlog'!$J257&gt;M$2,'ProductSprint Backlog'!$I257&lt;=M$2), 'ProductSprint Backlog'!$F257 / MAX(1, 'ProductSprint Backlog'!$J257-'ProductSprint Backlog'!$I257), AND('ProductSprint Backlog'!$J257=M$2,'ProductSprint Backlog'!$I257=M$2), 'ProductSprint Backlog'!$F257, TRUE, 0)</f>
        <v>0</v>
      </c>
      <c r="N257" s="4" cm="1">
        <f t="array" ref="N257">_xlfn.IFS('ProductSprint Backlog'!$F257="", "", AND('ProductSprint Backlog'!$J257&gt;N$2,'ProductSprint Backlog'!$I257&lt;=N$2), 'ProductSprint Backlog'!$F257 / MAX(1, 'ProductSprint Backlog'!$J257-'ProductSprint Backlog'!$I257), AND('ProductSprint Backlog'!$J257=N$2,'ProductSprint Backlog'!$I257=N$2), 'ProductSprint Backlog'!$F257, TRUE, 0)</f>
        <v>0</v>
      </c>
      <c r="O257" s="4" cm="1">
        <f t="array" ref="O257">_xlfn.IFS('ProductSprint Backlog'!$F257="", "", AND('ProductSprint Backlog'!$J257&gt;O$2,'ProductSprint Backlog'!$I257&lt;=O$2), 'ProductSprint Backlog'!$F257 / MAX(1, 'ProductSprint Backlog'!$J257-'ProductSprint Backlog'!$I257), AND('ProductSprint Backlog'!$J257=O$2,'ProductSprint Backlog'!$I257=O$2), 'ProductSprint Backlog'!$F257, TRUE, 0)</f>
        <v>0</v>
      </c>
      <c r="P257" s="4" cm="1">
        <f t="array" ref="P257">_xlfn.IFS('ProductSprint Backlog'!$F257="", "", AND('ProductSprint Backlog'!$J257&gt;P$2,'ProductSprint Backlog'!$I257&lt;=P$2), 'ProductSprint Backlog'!$F257 / MAX(1, 'ProductSprint Backlog'!$J257-'ProductSprint Backlog'!$I257), AND('ProductSprint Backlog'!$J257=P$2,'ProductSprint Backlog'!$I257=P$2), 'ProductSprint Backlog'!$F257, TRUE, 0)</f>
        <v>0</v>
      </c>
      <c r="Q257" s="4" cm="1">
        <f t="array" ref="Q257">_xlfn.IFS('ProductSprint Backlog'!$F257="", "", AND('ProductSprint Backlog'!$J257&gt;Q$2,'ProductSprint Backlog'!$I257&lt;=Q$2), 'ProductSprint Backlog'!$F257 / MAX(1, 'ProductSprint Backlog'!$J257-'ProductSprint Backlog'!$I257), AND('ProductSprint Backlog'!$J257=Q$2,'ProductSprint Backlog'!$I257=Q$2), 'ProductSprint Backlog'!$F257, TRUE, 0)</f>
        <v>0</v>
      </c>
    </row>
    <row r="258" spans="2:17" x14ac:dyDescent="0.2">
      <c r="B258" s="4" cm="1">
        <f t="array" ref="B258">_xlfn.IFS('ProductSprint Backlog'!$F258="", "", AND('ProductSprint Backlog'!$J258&gt;B$2,'ProductSprint Backlog'!$I258&lt;=B$2), 'ProductSprint Backlog'!$F258 / MAX(1, 'ProductSprint Backlog'!$J258-'ProductSprint Backlog'!$I258), AND('ProductSprint Backlog'!$J258=B$2,'ProductSprint Backlog'!$I258=B$2), 'ProductSprint Backlog'!$F258, TRUE, 0)</f>
        <v>1</v>
      </c>
      <c r="C258" s="4" cm="1">
        <f t="array" ref="C258">_xlfn.IFS('ProductSprint Backlog'!$F258="", "", AND('ProductSprint Backlog'!$J258&gt;C$2,'ProductSprint Backlog'!$I258&lt;=C$2), 'ProductSprint Backlog'!$F258 / MAX(1, 'ProductSprint Backlog'!$J258-'ProductSprint Backlog'!$I258), AND('ProductSprint Backlog'!$J258=C$2,'ProductSprint Backlog'!$I258=C$2), 'ProductSprint Backlog'!$F258, TRUE, 0)</f>
        <v>0</v>
      </c>
      <c r="D258" s="4" cm="1">
        <f t="array" ref="D258">_xlfn.IFS('ProductSprint Backlog'!$F258="", "", AND('ProductSprint Backlog'!$J258&gt;D$2,'ProductSprint Backlog'!$I258&lt;=D$2), 'ProductSprint Backlog'!$F258 / MAX(1, 'ProductSprint Backlog'!$J258-'ProductSprint Backlog'!$I258), AND('ProductSprint Backlog'!$J258=D$2,'ProductSprint Backlog'!$I258=D$2), 'ProductSprint Backlog'!$F258, TRUE, 0)</f>
        <v>0</v>
      </c>
      <c r="E258" s="4" cm="1">
        <f t="array" ref="E258">_xlfn.IFS('ProductSprint Backlog'!$F258="", "", AND('ProductSprint Backlog'!$J258&gt;E$2,'ProductSprint Backlog'!$I258&lt;=E$2), 'ProductSprint Backlog'!$F258 / MAX(1, 'ProductSprint Backlog'!$J258-'ProductSprint Backlog'!$I258), AND('ProductSprint Backlog'!$J258=E$2,'ProductSprint Backlog'!$I258=E$2), 'ProductSprint Backlog'!$F258, TRUE, 0)</f>
        <v>0</v>
      </c>
      <c r="F258" s="4" cm="1">
        <f t="array" ref="F258">_xlfn.IFS('ProductSprint Backlog'!$F258="", "", AND('ProductSprint Backlog'!$J258&gt;F$2,'ProductSprint Backlog'!$I258&lt;=F$2), 'ProductSprint Backlog'!$F258 / MAX(1, 'ProductSprint Backlog'!$J258-'ProductSprint Backlog'!$I258), AND('ProductSprint Backlog'!$J258=F$2,'ProductSprint Backlog'!$I258=F$2), 'ProductSprint Backlog'!$F258, TRUE, 0)</f>
        <v>0</v>
      </c>
      <c r="G258" s="4" cm="1">
        <f t="array" ref="G258">_xlfn.IFS('ProductSprint Backlog'!$F258="", "", AND('ProductSprint Backlog'!$J258&gt;G$2,'ProductSprint Backlog'!$I258&lt;=G$2), 'ProductSprint Backlog'!$F258 / MAX(1, 'ProductSprint Backlog'!$J258-'ProductSprint Backlog'!$I258), AND('ProductSprint Backlog'!$J258=G$2,'ProductSprint Backlog'!$I258=G$2), 'ProductSprint Backlog'!$F258, TRUE, 0)</f>
        <v>0</v>
      </c>
      <c r="H258" s="4" cm="1">
        <f t="array" ref="H258">_xlfn.IFS('ProductSprint Backlog'!$F258="", "", AND('ProductSprint Backlog'!$J258&gt;H$2,'ProductSprint Backlog'!$I258&lt;=H$2), 'ProductSprint Backlog'!$F258 / MAX(1, 'ProductSprint Backlog'!$J258-'ProductSprint Backlog'!$I258), AND('ProductSprint Backlog'!$J258=H$2,'ProductSprint Backlog'!$I258=H$2), 'ProductSprint Backlog'!$F258, TRUE, 0)</f>
        <v>0</v>
      </c>
      <c r="I258" s="4" cm="1">
        <f t="array" ref="I258">_xlfn.IFS('ProductSprint Backlog'!$F258="", "", AND('ProductSprint Backlog'!$J258&gt;I$2,'ProductSprint Backlog'!$I258&lt;=I$2), 'ProductSprint Backlog'!$F258 / MAX(1, 'ProductSprint Backlog'!$J258-'ProductSprint Backlog'!$I258), AND('ProductSprint Backlog'!$J258=I$2,'ProductSprint Backlog'!$I258=I$2), 'ProductSprint Backlog'!$F258, TRUE, 0)</f>
        <v>0</v>
      </c>
      <c r="J258" s="4" cm="1">
        <f t="array" ref="J258">_xlfn.IFS('ProductSprint Backlog'!$F258="", "", AND('ProductSprint Backlog'!$J258&gt;J$2,'ProductSprint Backlog'!$I258&lt;=J$2), 'ProductSprint Backlog'!$F258 / MAX(1, 'ProductSprint Backlog'!$J258-'ProductSprint Backlog'!$I258), AND('ProductSprint Backlog'!$J258=J$2,'ProductSprint Backlog'!$I258=J$2), 'ProductSprint Backlog'!$F258, TRUE, 0)</f>
        <v>0</v>
      </c>
      <c r="K258" s="4" cm="1">
        <f t="array" ref="K258">_xlfn.IFS('ProductSprint Backlog'!$F258="", "", AND('ProductSprint Backlog'!$J258&gt;K$2,'ProductSprint Backlog'!$I258&lt;=K$2), 'ProductSprint Backlog'!$F258 / MAX(1, 'ProductSprint Backlog'!$J258-'ProductSprint Backlog'!$I258), AND('ProductSprint Backlog'!$J258=K$2,'ProductSprint Backlog'!$I258=K$2), 'ProductSprint Backlog'!$F258, TRUE, 0)</f>
        <v>0</v>
      </c>
      <c r="L258" s="4" cm="1">
        <f t="array" ref="L258">_xlfn.IFS('ProductSprint Backlog'!$F258="", "", AND('ProductSprint Backlog'!$J258&gt;L$2,'ProductSprint Backlog'!$I258&lt;=L$2), 'ProductSprint Backlog'!$F258 / MAX(1, 'ProductSprint Backlog'!$J258-'ProductSprint Backlog'!$I258), AND('ProductSprint Backlog'!$J258=L$2,'ProductSprint Backlog'!$I258=L$2), 'ProductSprint Backlog'!$F258, TRUE, 0)</f>
        <v>0</v>
      </c>
      <c r="M258" s="4" cm="1">
        <f t="array" ref="M258">_xlfn.IFS('ProductSprint Backlog'!$F258="", "", AND('ProductSprint Backlog'!$J258&gt;M$2,'ProductSprint Backlog'!$I258&lt;=M$2), 'ProductSprint Backlog'!$F258 / MAX(1, 'ProductSprint Backlog'!$J258-'ProductSprint Backlog'!$I258), AND('ProductSprint Backlog'!$J258=M$2,'ProductSprint Backlog'!$I258=M$2), 'ProductSprint Backlog'!$F258, TRUE, 0)</f>
        <v>0</v>
      </c>
      <c r="N258" s="4" cm="1">
        <f t="array" ref="N258">_xlfn.IFS('ProductSprint Backlog'!$F258="", "", AND('ProductSprint Backlog'!$J258&gt;N$2,'ProductSprint Backlog'!$I258&lt;=N$2), 'ProductSprint Backlog'!$F258 / MAX(1, 'ProductSprint Backlog'!$J258-'ProductSprint Backlog'!$I258), AND('ProductSprint Backlog'!$J258=N$2,'ProductSprint Backlog'!$I258=N$2), 'ProductSprint Backlog'!$F258, TRUE, 0)</f>
        <v>0</v>
      </c>
      <c r="O258" s="4" cm="1">
        <f t="array" ref="O258">_xlfn.IFS('ProductSprint Backlog'!$F258="", "", AND('ProductSprint Backlog'!$J258&gt;O$2,'ProductSprint Backlog'!$I258&lt;=O$2), 'ProductSprint Backlog'!$F258 / MAX(1, 'ProductSprint Backlog'!$J258-'ProductSprint Backlog'!$I258), AND('ProductSprint Backlog'!$J258=O$2,'ProductSprint Backlog'!$I258=O$2), 'ProductSprint Backlog'!$F258, TRUE, 0)</f>
        <v>0</v>
      </c>
      <c r="P258" s="4" cm="1">
        <f t="array" ref="P258">_xlfn.IFS('ProductSprint Backlog'!$F258="", "", AND('ProductSprint Backlog'!$J258&gt;P$2,'ProductSprint Backlog'!$I258&lt;=P$2), 'ProductSprint Backlog'!$F258 / MAX(1, 'ProductSprint Backlog'!$J258-'ProductSprint Backlog'!$I258), AND('ProductSprint Backlog'!$J258=P$2,'ProductSprint Backlog'!$I258=P$2), 'ProductSprint Backlog'!$F258, TRUE, 0)</f>
        <v>0</v>
      </c>
      <c r="Q258" s="4" cm="1">
        <f t="array" ref="Q258">_xlfn.IFS('ProductSprint Backlog'!$F258="", "", AND('ProductSprint Backlog'!$J258&gt;Q$2,'ProductSprint Backlog'!$I258&lt;=Q$2), 'ProductSprint Backlog'!$F258 / MAX(1, 'ProductSprint Backlog'!$J258-'ProductSprint Backlog'!$I258), AND('ProductSprint Backlog'!$J258=Q$2,'ProductSprint Backlog'!$I258=Q$2), 'ProductSprint Backlog'!$F258, TRUE, 0)</f>
        <v>0</v>
      </c>
    </row>
    <row r="259" spans="2:17" x14ac:dyDescent="0.2">
      <c r="B259" s="4" cm="1">
        <f t="array" ref="B259">_xlfn.IFS('ProductSprint Backlog'!$F259="", "", AND('ProductSprint Backlog'!$J259&gt;B$2,'ProductSprint Backlog'!$I259&lt;=B$2), 'ProductSprint Backlog'!$F259 / MAX(1, 'ProductSprint Backlog'!$J259-'ProductSprint Backlog'!$I259), AND('ProductSprint Backlog'!$J259=B$2,'ProductSprint Backlog'!$I259=B$2), 'ProductSprint Backlog'!$F259, TRUE, 0)</f>
        <v>1</v>
      </c>
      <c r="C259" s="4" cm="1">
        <f t="array" ref="C259">_xlfn.IFS('ProductSprint Backlog'!$F259="", "", AND('ProductSprint Backlog'!$J259&gt;C$2,'ProductSprint Backlog'!$I259&lt;=C$2), 'ProductSprint Backlog'!$F259 / MAX(1, 'ProductSprint Backlog'!$J259-'ProductSprint Backlog'!$I259), AND('ProductSprint Backlog'!$J259=C$2,'ProductSprint Backlog'!$I259=C$2), 'ProductSprint Backlog'!$F259, TRUE, 0)</f>
        <v>0</v>
      </c>
      <c r="D259" s="4" cm="1">
        <f t="array" ref="D259">_xlfn.IFS('ProductSprint Backlog'!$F259="", "", AND('ProductSprint Backlog'!$J259&gt;D$2,'ProductSprint Backlog'!$I259&lt;=D$2), 'ProductSprint Backlog'!$F259 / MAX(1, 'ProductSprint Backlog'!$J259-'ProductSprint Backlog'!$I259), AND('ProductSprint Backlog'!$J259=D$2,'ProductSprint Backlog'!$I259=D$2), 'ProductSprint Backlog'!$F259, TRUE, 0)</f>
        <v>0</v>
      </c>
      <c r="E259" s="4" cm="1">
        <f t="array" ref="E259">_xlfn.IFS('ProductSprint Backlog'!$F259="", "", AND('ProductSprint Backlog'!$J259&gt;E$2,'ProductSprint Backlog'!$I259&lt;=E$2), 'ProductSprint Backlog'!$F259 / MAX(1, 'ProductSprint Backlog'!$J259-'ProductSprint Backlog'!$I259), AND('ProductSprint Backlog'!$J259=E$2,'ProductSprint Backlog'!$I259=E$2), 'ProductSprint Backlog'!$F259, TRUE, 0)</f>
        <v>0</v>
      </c>
      <c r="F259" s="4" cm="1">
        <f t="array" ref="F259">_xlfn.IFS('ProductSprint Backlog'!$F259="", "", AND('ProductSprint Backlog'!$J259&gt;F$2,'ProductSprint Backlog'!$I259&lt;=F$2), 'ProductSprint Backlog'!$F259 / MAX(1, 'ProductSprint Backlog'!$J259-'ProductSprint Backlog'!$I259), AND('ProductSprint Backlog'!$J259=F$2,'ProductSprint Backlog'!$I259=F$2), 'ProductSprint Backlog'!$F259, TRUE, 0)</f>
        <v>0</v>
      </c>
      <c r="G259" s="4" cm="1">
        <f t="array" ref="G259">_xlfn.IFS('ProductSprint Backlog'!$F259="", "", AND('ProductSprint Backlog'!$J259&gt;G$2,'ProductSprint Backlog'!$I259&lt;=G$2), 'ProductSprint Backlog'!$F259 / MAX(1, 'ProductSprint Backlog'!$J259-'ProductSprint Backlog'!$I259), AND('ProductSprint Backlog'!$J259=G$2,'ProductSprint Backlog'!$I259=G$2), 'ProductSprint Backlog'!$F259, TRUE, 0)</f>
        <v>0</v>
      </c>
      <c r="H259" s="4" cm="1">
        <f t="array" ref="H259">_xlfn.IFS('ProductSprint Backlog'!$F259="", "", AND('ProductSprint Backlog'!$J259&gt;H$2,'ProductSprint Backlog'!$I259&lt;=H$2), 'ProductSprint Backlog'!$F259 / MAX(1, 'ProductSprint Backlog'!$J259-'ProductSprint Backlog'!$I259), AND('ProductSprint Backlog'!$J259=H$2,'ProductSprint Backlog'!$I259=H$2), 'ProductSprint Backlog'!$F259, TRUE, 0)</f>
        <v>0</v>
      </c>
      <c r="I259" s="4" cm="1">
        <f t="array" ref="I259">_xlfn.IFS('ProductSprint Backlog'!$F259="", "", AND('ProductSprint Backlog'!$J259&gt;I$2,'ProductSprint Backlog'!$I259&lt;=I$2), 'ProductSprint Backlog'!$F259 / MAX(1, 'ProductSprint Backlog'!$J259-'ProductSprint Backlog'!$I259), AND('ProductSprint Backlog'!$J259=I$2,'ProductSprint Backlog'!$I259=I$2), 'ProductSprint Backlog'!$F259, TRUE, 0)</f>
        <v>0</v>
      </c>
      <c r="J259" s="4" cm="1">
        <f t="array" ref="J259">_xlfn.IFS('ProductSprint Backlog'!$F259="", "", AND('ProductSprint Backlog'!$J259&gt;J$2,'ProductSprint Backlog'!$I259&lt;=J$2), 'ProductSprint Backlog'!$F259 / MAX(1, 'ProductSprint Backlog'!$J259-'ProductSprint Backlog'!$I259), AND('ProductSprint Backlog'!$J259=J$2,'ProductSprint Backlog'!$I259=J$2), 'ProductSprint Backlog'!$F259, TRUE, 0)</f>
        <v>0</v>
      </c>
      <c r="K259" s="4" cm="1">
        <f t="array" ref="K259">_xlfn.IFS('ProductSprint Backlog'!$F259="", "", AND('ProductSprint Backlog'!$J259&gt;K$2,'ProductSprint Backlog'!$I259&lt;=K$2), 'ProductSprint Backlog'!$F259 / MAX(1, 'ProductSprint Backlog'!$J259-'ProductSprint Backlog'!$I259), AND('ProductSprint Backlog'!$J259=K$2,'ProductSprint Backlog'!$I259=K$2), 'ProductSprint Backlog'!$F259, TRUE, 0)</f>
        <v>0</v>
      </c>
      <c r="L259" s="4" cm="1">
        <f t="array" ref="L259">_xlfn.IFS('ProductSprint Backlog'!$F259="", "", AND('ProductSprint Backlog'!$J259&gt;L$2,'ProductSprint Backlog'!$I259&lt;=L$2), 'ProductSprint Backlog'!$F259 / MAX(1, 'ProductSprint Backlog'!$J259-'ProductSprint Backlog'!$I259), AND('ProductSprint Backlog'!$J259=L$2,'ProductSprint Backlog'!$I259=L$2), 'ProductSprint Backlog'!$F259, TRUE, 0)</f>
        <v>0</v>
      </c>
      <c r="M259" s="4" cm="1">
        <f t="array" ref="M259">_xlfn.IFS('ProductSprint Backlog'!$F259="", "", AND('ProductSprint Backlog'!$J259&gt;M$2,'ProductSprint Backlog'!$I259&lt;=M$2), 'ProductSprint Backlog'!$F259 / MAX(1, 'ProductSprint Backlog'!$J259-'ProductSprint Backlog'!$I259), AND('ProductSprint Backlog'!$J259=M$2,'ProductSprint Backlog'!$I259=M$2), 'ProductSprint Backlog'!$F259, TRUE, 0)</f>
        <v>0</v>
      </c>
      <c r="N259" s="4" cm="1">
        <f t="array" ref="N259">_xlfn.IFS('ProductSprint Backlog'!$F259="", "", AND('ProductSprint Backlog'!$J259&gt;N$2,'ProductSprint Backlog'!$I259&lt;=N$2), 'ProductSprint Backlog'!$F259 / MAX(1, 'ProductSprint Backlog'!$J259-'ProductSprint Backlog'!$I259), AND('ProductSprint Backlog'!$J259=N$2,'ProductSprint Backlog'!$I259=N$2), 'ProductSprint Backlog'!$F259, TRUE, 0)</f>
        <v>0</v>
      </c>
      <c r="O259" s="4" cm="1">
        <f t="array" ref="O259">_xlfn.IFS('ProductSprint Backlog'!$F259="", "", AND('ProductSprint Backlog'!$J259&gt;O$2,'ProductSprint Backlog'!$I259&lt;=O$2), 'ProductSprint Backlog'!$F259 / MAX(1, 'ProductSprint Backlog'!$J259-'ProductSprint Backlog'!$I259), AND('ProductSprint Backlog'!$J259=O$2,'ProductSprint Backlog'!$I259=O$2), 'ProductSprint Backlog'!$F259, TRUE, 0)</f>
        <v>0</v>
      </c>
      <c r="P259" s="4" cm="1">
        <f t="array" ref="P259">_xlfn.IFS('ProductSprint Backlog'!$F259="", "", AND('ProductSprint Backlog'!$J259&gt;P$2,'ProductSprint Backlog'!$I259&lt;=P$2), 'ProductSprint Backlog'!$F259 / MAX(1, 'ProductSprint Backlog'!$J259-'ProductSprint Backlog'!$I259), AND('ProductSprint Backlog'!$J259=P$2,'ProductSprint Backlog'!$I259=P$2), 'ProductSprint Backlog'!$F259, TRUE, 0)</f>
        <v>0</v>
      </c>
      <c r="Q259" s="4" cm="1">
        <f t="array" ref="Q259">_xlfn.IFS('ProductSprint Backlog'!$F259="", "", AND('ProductSprint Backlog'!$J259&gt;Q$2,'ProductSprint Backlog'!$I259&lt;=Q$2), 'ProductSprint Backlog'!$F259 / MAX(1, 'ProductSprint Backlog'!$J259-'ProductSprint Backlog'!$I259), AND('ProductSprint Backlog'!$J259=Q$2,'ProductSprint Backlog'!$I259=Q$2), 'ProductSprint Backlog'!$F259, TRUE, 0)</f>
        <v>0</v>
      </c>
    </row>
    <row r="260" spans="2:17" x14ac:dyDescent="0.2">
      <c r="B260" s="4" cm="1">
        <f t="array" ref="B260">_xlfn.IFS('ProductSprint Backlog'!$F260="", "", AND('ProductSprint Backlog'!$J260&gt;B$2,'ProductSprint Backlog'!$I260&lt;=B$2), 'ProductSprint Backlog'!$F260 / MAX(1, 'ProductSprint Backlog'!$J260-'ProductSprint Backlog'!$I260), AND('ProductSprint Backlog'!$J260=B$2,'ProductSprint Backlog'!$I260=B$2), 'ProductSprint Backlog'!$F260, TRUE, 0)</f>
        <v>0</v>
      </c>
      <c r="C260" s="4" cm="1">
        <f t="array" ref="C260">_xlfn.IFS('ProductSprint Backlog'!$F260="", "", AND('ProductSprint Backlog'!$J260&gt;C$2,'ProductSprint Backlog'!$I260&lt;=C$2), 'ProductSprint Backlog'!$F260 / MAX(1, 'ProductSprint Backlog'!$J260-'ProductSprint Backlog'!$I260), AND('ProductSprint Backlog'!$J260=C$2,'ProductSprint Backlog'!$I260=C$2), 'ProductSprint Backlog'!$F260, TRUE, 0)</f>
        <v>1</v>
      </c>
      <c r="D260" s="4" cm="1">
        <f t="array" ref="D260">_xlfn.IFS('ProductSprint Backlog'!$F260="", "", AND('ProductSprint Backlog'!$J260&gt;D$2,'ProductSprint Backlog'!$I260&lt;=D$2), 'ProductSprint Backlog'!$F260 / MAX(1, 'ProductSprint Backlog'!$J260-'ProductSprint Backlog'!$I260), AND('ProductSprint Backlog'!$J260=D$2,'ProductSprint Backlog'!$I260=D$2), 'ProductSprint Backlog'!$F260, TRUE, 0)</f>
        <v>0</v>
      </c>
      <c r="E260" s="4" cm="1">
        <f t="array" ref="E260">_xlfn.IFS('ProductSprint Backlog'!$F260="", "", AND('ProductSprint Backlog'!$J260&gt;E$2,'ProductSprint Backlog'!$I260&lt;=E$2), 'ProductSprint Backlog'!$F260 / MAX(1, 'ProductSprint Backlog'!$J260-'ProductSprint Backlog'!$I260), AND('ProductSprint Backlog'!$J260=E$2,'ProductSprint Backlog'!$I260=E$2), 'ProductSprint Backlog'!$F260, TRUE, 0)</f>
        <v>0</v>
      </c>
      <c r="F260" s="4" cm="1">
        <f t="array" ref="F260">_xlfn.IFS('ProductSprint Backlog'!$F260="", "", AND('ProductSprint Backlog'!$J260&gt;F$2,'ProductSprint Backlog'!$I260&lt;=F$2), 'ProductSprint Backlog'!$F260 / MAX(1, 'ProductSprint Backlog'!$J260-'ProductSprint Backlog'!$I260), AND('ProductSprint Backlog'!$J260=F$2,'ProductSprint Backlog'!$I260=F$2), 'ProductSprint Backlog'!$F260, TRUE, 0)</f>
        <v>0</v>
      </c>
      <c r="G260" s="4" cm="1">
        <f t="array" ref="G260">_xlfn.IFS('ProductSprint Backlog'!$F260="", "", AND('ProductSprint Backlog'!$J260&gt;G$2,'ProductSprint Backlog'!$I260&lt;=G$2), 'ProductSprint Backlog'!$F260 / MAX(1, 'ProductSprint Backlog'!$J260-'ProductSprint Backlog'!$I260), AND('ProductSprint Backlog'!$J260=G$2,'ProductSprint Backlog'!$I260=G$2), 'ProductSprint Backlog'!$F260, TRUE, 0)</f>
        <v>0</v>
      </c>
      <c r="H260" s="4" cm="1">
        <f t="array" ref="H260">_xlfn.IFS('ProductSprint Backlog'!$F260="", "", AND('ProductSprint Backlog'!$J260&gt;H$2,'ProductSprint Backlog'!$I260&lt;=H$2), 'ProductSprint Backlog'!$F260 / MAX(1, 'ProductSprint Backlog'!$J260-'ProductSprint Backlog'!$I260), AND('ProductSprint Backlog'!$J260=H$2,'ProductSprint Backlog'!$I260=H$2), 'ProductSprint Backlog'!$F260, TRUE, 0)</f>
        <v>0</v>
      </c>
      <c r="I260" s="4" cm="1">
        <f t="array" ref="I260">_xlfn.IFS('ProductSprint Backlog'!$F260="", "", AND('ProductSprint Backlog'!$J260&gt;I$2,'ProductSprint Backlog'!$I260&lt;=I$2), 'ProductSprint Backlog'!$F260 / MAX(1, 'ProductSprint Backlog'!$J260-'ProductSprint Backlog'!$I260), AND('ProductSprint Backlog'!$J260=I$2,'ProductSprint Backlog'!$I260=I$2), 'ProductSprint Backlog'!$F260, TRUE, 0)</f>
        <v>0</v>
      </c>
      <c r="J260" s="4" cm="1">
        <f t="array" ref="J260">_xlfn.IFS('ProductSprint Backlog'!$F260="", "", AND('ProductSprint Backlog'!$J260&gt;J$2,'ProductSprint Backlog'!$I260&lt;=J$2), 'ProductSprint Backlog'!$F260 / MAX(1, 'ProductSprint Backlog'!$J260-'ProductSprint Backlog'!$I260), AND('ProductSprint Backlog'!$J260=J$2,'ProductSprint Backlog'!$I260=J$2), 'ProductSprint Backlog'!$F260, TRUE, 0)</f>
        <v>0</v>
      </c>
      <c r="K260" s="4" cm="1">
        <f t="array" ref="K260">_xlfn.IFS('ProductSprint Backlog'!$F260="", "", AND('ProductSprint Backlog'!$J260&gt;K$2,'ProductSprint Backlog'!$I260&lt;=K$2), 'ProductSprint Backlog'!$F260 / MAX(1, 'ProductSprint Backlog'!$J260-'ProductSprint Backlog'!$I260), AND('ProductSprint Backlog'!$J260=K$2,'ProductSprint Backlog'!$I260=K$2), 'ProductSprint Backlog'!$F260, TRUE, 0)</f>
        <v>0</v>
      </c>
      <c r="L260" s="4" cm="1">
        <f t="array" ref="L260">_xlfn.IFS('ProductSprint Backlog'!$F260="", "", AND('ProductSprint Backlog'!$J260&gt;L$2,'ProductSprint Backlog'!$I260&lt;=L$2), 'ProductSprint Backlog'!$F260 / MAX(1, 'ProductSprint Backlog'!$J260-'ProductSprint Backlog'!$I260), AND('ProductSprint Backlog'!$J260=L$2,'ProductSprint Backlog'!$I260=L$2), 'ProductSprint Backlog'!$F260, TRUE, 0)</f>
        <v>0</v>
      </c>
      <c r="M260" s="4" cm="1">
        <f t="array" ref="M260">_xlfn.IFS('ProductSprint Backlog'!$F260="", "", AND('ProductSprint Backlog'!$J260&gt;M$2,'ProductSprint Backlog'!$I260&lt;=M$2), 'ProductSprint Backlog'!$F260 / MAX(1, 'ProductSprint Backlog'!$J260-'ProductSprint Backlog'!$I260), AND('ProductSprint Backlog'!$J260=M$2,'ProductSprint Backlog'!$I260=M$2), 'ProductSprint Backlog'!$F260, TRUE, 0)</f>
        <v>0</v>
      </c>
      <c r="N260" s="4" cm="1">
        <f t="array" ref="N260">_xlfn.IFS('ProductSprint Backlog'!$F260="", "", AND('ProductSprint Backlog'!$J260&gt;N$2,'ProductSprint Backlog'!$I260&lt;=N$2), 'ProductSprint Backlog'!$F260 / MAX(1, 'ProductSprint Backlog'!$J260-'ProductSprint Backlog'!$I260), AND('ProductSprint Backlog'!$J260=N$2,'ProductSprint Backlog'!$I260=N$2), 'ProductSprint Backlog'!$F260, TRUE, 0)</f>
        <v>0</v>
      </c>
      <c r="O260" s="4" cm="1">
        <f t="array" ref="O260">_xlfn.IFS('ProductSprint Backlog'!$F260="", "", AND('ProductSprint Backlog'!$J260&gt;O$2,'ProductSprint Backlog'!$I260&lt;=O$2), 'ProductSprint Backlog'!$F260 / MAX(1, 'ProductSprint Backlog'!$J260-'ProductSprint Backlog'!$I260), AND('ProductSprint Backlog'!$J260=O$2,'ProductSprint Backlog'!$I260=O$2), 'ProductSprint Backlog'!$F260, TRUE, 0)</f>
        <v>0</v>
      </c>
      <c r="P260" s="4" cm="1">
        <f t="array" ref="P260">_xlfn.IFS('ProductSprint Backlog'!$F260="", "", AND('ProductSprint Backlog'!$J260&gt;P$2,'ProductSprint Backlog'!$I260&lt;=P$2), 'ProductSprint Backlog'!$F260 / MAX(1, 'ProductSprint Backlog'!$J260-'ProductSprint Backlog'!$I260), AND('ProductSprint Backlog'!$J260=P$2,'ProductSprint Backlog'!$I260=P$2), 'ProductSprint Backlog'!$F260, TRUE, 0)</f>
        <v>0</v>
      </c>
      <c r="Q260" s="4" cm="1">
        <f t="array" ref="Q260">_xlfn.IFS('ProductSprint Backlog'!$F260="", "", AND('ProductSprint Backlog'!$J260&gt;Q$2,'ProductSprint Backlog'!$I260&lt;=Q$2), 'ProductSprint Backlog'!$F260 / MAX(1, 'ProductSprint Backlog'!$J260-'ProductSprint Backlog'!$I260), AND('ProductSprint Backlog'!$J260=Q$2,'ProductSprint Backlog'!$I260=Q$2), 'ProductSprint Backlog'!$F260, TRUE, 0)</f>
        <v>0</v>
      </c>
    </row>
    <row r="261" spans="2:17" x14ac:dyDescent="0.2">
      <c r="B261" s="4" cm="1">
        <f t="array" ref="B261">_xlfn.IFS('ProductSprint Backlog'!$F261="", "", AND('ProductSprint Backlog'!$J261&gt;B$2,'ProductSprint Backlog'!$I261&lt;=B$2), 'ProductSprint Backlog'!$F261 / MAX(1, 'ProductSprint Backlog'!$J261-'ProductSprint Backlog'!$I261), AND('ProductSprint Backlog'!$J261=B$2,'ProductSprint Backlog'!$I261=B$2), 'ProductSprint Backlog'!$F261, TRUE, 0)</f>
        <v>0</v>
      </c>
      <c r="C261" s="4" cm="1">
        <f t="array" ref="C261">_xlfn.IFS('ProductSprint Backlog'!$F261="", "", AND('ProductSprint Backlog'!$J261&gt;C$2,'ProductSprint Backlog'!$I261&lt;=C$2), 'ProductSprint Backlog'!$F261 / MAX(1, 'ProductSprint Backlog'!$J261-'ProductSprint Backlog'!$I261), AND('ProductSprint Backlog'!$J261=C$2,'ProductSprint Backlog'!$I261=C$2), 'ProductSprint Backlog'!$F261, TRUE, 0)</f>
        <v>0.5</v>
      </c>
      <c r="D261" s="4" cm="1">
        <f t="array" ref="D261">_xlfn.IFS('ProductSprint Backlog'!$F261="", "", AND('ProductSprint Backlog'!$J261&gt;D$2,'ProductSprint Backlog'!$I261&lt;=D$2), 'ProductSprint Backlog'!$F261 / MAX(1, 'ProductSprint Backlog'!$J261-'ProductSprint Backlog'!$I261), AND('ProductSprint Backlog'!$J261=D$2,'ProductSprint Backlog'!$I261=D$2), 'ProductSprint Backlog'!$F261, TRUE, 0)</f>
        <v>0</v>
      </c>
      <c r="E261" s="4" cm="1">
        <f t="array" ref="E261">_xlfn.IFS('ProductSprint Backlog'!$F261="", "", AND('ProductSprint Backlog'!$J261&gt;E$2,'ProductSprint Backlog'!$I261&lt;=E$2), 'ProductSprint Backlog'!$F261 / MAX(1, 'ProductSprint Backlog'!$J261-'ProductSprint Backlog'!$I261), AND('ProductSprint Backlog'!$J261=E$2,'ProductSprint Backlog'!$I261=E$2), 'ProductSprint Backlog'!$F261, TRUE, 0)</f>
        <v>0</v>
      </c>
      <c r="F261" s="4" cm="1">
        <f t="array" ref="F261">_xlfn.IFS('ProductSprint Backlog'!$F261="", "", AND('ProductSprint Backlog'!$J261&gt;F$2,'ProductSprint Backlog'!$I261&lt;=F$2), 'ProductSprint Backlog'!$F261 / MAX(1, 'ProductSprint Backlog'!$J261-'ProductSprint Backlog'!$I261), AND('ProductSprint Backlog'!$J261=F$2,'ProductSprint Backlog'!$I261=F$2), 'ProductSprint Backlog'!$F261, TRUE, 0)</f>
        <v>0</v>
      </c>
      <c r="G261" s="4" cm="1">
        <f t="array" ref="G261">_xlfn.IFS('ProductSprint Backlog'!$F261="", "", AND('ProductSprint Backlog'!$J261&gt;G$2,'ProductSprint Backlog'!$I261&lt;=G$2), 'ProductSprint Backlog'!$F261 / MAX(1, 'ProductSprint Backlog'!$J261-'ProductSprint Backlog'!$I261), AND('ProductSprint Backlog'!$J261=G$2,'ProductSprint Backlog'!$I261=G$2), 'ProductSprint Backlog'!$F261, TRUE, 0)</f>
        <v>0</v>
      </c>
      <c r="H261" s="4" cm="1">
        <f t="array" ref="H261">_xlfn.IFS('ProductSprint Backlog'!$F261="", "", AND('ProductSprint Backlog'!$J261&gt;H$2,'ProductSprint Backlog'!$I261&lt;=H$2), 'ProductSprint Backlog'!$F261 / MAX(1, 'ProductSprint Backlog'!$J261-'ProductSprint Backlog'!$I261), AND('ProductSprint Backlog'!$J261=H$2,'ProductSprint Backlog'!$I261=H$2), 'ProductSprint Backlog'!$F261, TRUE, 0)</f>
        <v>0</v>
      </c>
      <c r="I261" s="4" cm="1">
        <f t="array" ref="I261">_xlfn.IFS('ProductSprint Backlog'!$F261="", "", AND('ProductSprint Backlog'!$J261&gt;I$2,'ProductSprint Backlog'!$I261&lt;=I$2), 'ProductSprint Backlog'!$F261 / MAX(1, 'ProductSprint Backlog'!$J261-'ProductSprint Backlog'!$I261), AND('ProductSprint Backlog'!$J261=I$2,'ProductSprint Backlog'!$I261=I$2), 'ProductSprint Backlog'!$F261, TRUE, 0)</f>
        <v>0</v>
      </c>
      <c r="J261" s="4" cm="1">
        <f t="array" ref="J261">_xlfn.IFS('ProductSprint Backlog'!$F261="", "", AND('ProductSprint Backlog'!$J261&gt;J$2,'ProductSprint Backlog'!$I261&lt;=J$2), 'ProductSprint Backlog'!$F261 / MAX(1, 'ProductSprint Backlog'!$J261-'ProductSprint Backlog'!$I261), AND('ProductSprint Backlog'!$J261=J$2,'ProductSprint Backlog'!$I261=J$2), 'ProductSprint Backlog'!$F261, TRUE, 0)</f>
        <v>0</v>
      </c>
      <c r="K261" s="4" cm="1">
        <f t="array" ref="K261">_xlfn.IFS('ProductSprint Backlog'!$F261="", "", AND('ProductSprint Backlog'!$J261&gt;K$2,'ProductSprint Backlog'!$I261&lt;=K$2), 'ProductSprint Backlog'!$F261 / MAX(1, 'ProductSprint Backlog'!$J261-'ProductSprint Backlog'!$I261), AND('ProductSprint Backlog'!$J261=K$2,'ProductSprint Backlog'!$I261=K$2), 'ProductSprint Backlog'!$F261, TRUE, 0)</f>
        <v>0</v>
      </c>
      <c r="L261" s="4" cm="1">
        <f t="array" ref="L261">_xlfn.IFS('ProductSprint Backlog'!$F261="", "", AND('ProductSprint Backlog'!$J261&gt;L$2,'ProductSprint Backlog'!$I261&lt;=L$2), 'ProductSprint Backlog'!$F261 / MAX(1, 'ProductSprint Backlog'!$J261-'ProductSprint Backlog'!$I261), AND('ProductSprint Backlog'!$J261=L$2,'ProductSprint Backlog'!$I261=L$2), 'ProductSprint Backlog'!$F261, TRUE, 0)</f>
        <v>0</v>
      </c>
      <c r="M261" s="4" cm="1">
        <f t="array" ref="M261">_xlfn.IFS('ProductSprint Backlog'!$F261="", "", AND('ProductSprint Backlog'!$J261&gt;M$2,'ProductSprint Backlog'!$I261&lt;=M$2), 'ProductSprint Backlog'!$F261 / MAX(1, 'ProductSprint Backlog'!$J261-'ProductSprint Backlog'!$I261), AND('ProductSprint Backlog'!$J261=M$2,'ProductSprint Backlog'!$I261=M$2), 'ProductSprint Backlog'!$F261, TRUE, 0)</f>
        <v>0</v>
      </c>
      <c r="N261" s="4" cm="1">
        <f t="array" ref="N261">_xlfn.IFS('ProductSprint Backlog'!$F261="", "", AND('ProductSprint Backlog'!$J261&gt;N$2,'ProductSprint Backlog'!$I261&lt;=N$2), 'ProductSprint Backlog'!$F261 / MAX(1, 'ProductSprint Backlog'!$J261-'ProductSprint Backlog'!$I261), AND('ProductSprint Backlog'!$J261=N$2,'ProductSprint Backlog'!$I261=N$2), 'ProductSprint Backlog'!$F261, TRUE, 0)</f>
        <v>0</v>
      </c>
      <c r="O261" s="4" cm="1">
        <f t="array" ref="O261">_xlfn.IFS('ProductSprint Backlog'!$F261="", "", AND('ProductSprint Backlog'!$J261&gt;O$2,'ProductSprint Backlog'!$I261&lt;=O$2), 'ProductSprint Backlog'!$F261 / MAX(1, 'ProductSprint Backlog'!$J261-'ProductSprint Backlog'!$I261), AND('ProductSprint Backlog'!$J261=O$2,'ProductSprint Backlog'!$I261=O$2), 'ProductSprint Backlog'!$F261, TRUE, 0)</f>
        <v>0</v>
      </c>
      <c r="P261" s="4" cm="1">
        <f t="array" ref="P261">_xlfn.IFS('ProductSprint Backlog'!$F261="", "", AND('ProductSprint Backlog'!$J261&gt;P$2,'ProductSprint Backlog'!$I261&lt;=P$2), 'ProductSprint Backlog'!$F261 / MAX(1, 'ProductSprint Backlog'!$J261-'ProductSprint Backlog'!$I261), AND('ProductSprint Backlog'!$J261=P$2,'ProductSprint Backlog'!$I261=P$2), 'ProductSprint Backlog'!$F261, TRUE, 0)</f>
        <v>0</v>
      </c>
      <c r="Q261" s="4" cm="1">
        <f t="array" ref="Q261">_xlfn.IFS('ProductSprint Backlog'!$F261="", "", AND('ProductSprint Backlog'!$J261&gt;Q$2,'ProductSprint Backlog'!$I261&lt;=Q$2), 'ProductSprint Backlog'!$F261 / MAX(1, 'ProductSprint Backlog'!$J261-'ProductSprint Backlog'!$I261), AND('ProductSprint Backlog'!$J261=Q$2,'ProductSprint Backlog'!$I261=Q$2), 'ProductSprint Backlog'!$F261, TRUE, 0)</f>
        <v>0</v>
      </c>
    </row>
    <row r="262" spans="2:17" x14ac:dyDescent="0.2">
      <c r="B262" s="4" cm="1">
        <f t="array" ref="B262">_xlfn.IFS('ProductSprint Backlog'!$F262="", "", AND('ProductSprint Backlog'!$J262&gt;B$2,'ProductSprint Backlog'!$I262&lt;=B$2), 'ProductSprint Backlog'!$F262 / MAX(1, 'ProductSprint Backlog'!$J262-'ProductSprint Backlog'!$I262), AND('ProductSprint Backlog'!$J262=B$2,'ProductSprint Backlog'!$I262=B$2), 'ProductSprint Backlog'!$F262, TRUE, 0)</f>
        <v>0</v>
      </c>
      <c r="C262" s="4" cm="1">
        <f t="array" ref="C262">_xlfn.IFS('ProductSprint Backlog'!$F262="", "", AND('ProductSprint Backlog'!$J262&gt;C$2,'ProductSprint Backlog'!$I262&lt;=C$2), 'ProductSprint Backlog'!$F262 / MAX(1, 'ProductSprint Backlog'!$J262-'ProductSprint Backlog'!$I262), AND('ProductSprint Backlog'!$J262=C$2,'ProductSprint Backlog'!$I262=C$2), 'ProductSprint Backlog'!$F262, TRUE, 0)</f>
        <v>0</v>
      </c>
      <c r="D262" s="4" cm="1">
        <f t="array" ref="D262">_xlfn.IFS('ProductSprint Backlog'!$F262="", "", AND('ProductSprint Backlog'!$J262&gt;D$2,'ProductSprint Backlog'!$I262&lt;=D$2), 'ProductSprint Backlog'!$F262 / MAX(1, 'ProductSprint Backlog'!$J262-'ProductSprint Backlog'!$I262), AND('ProductSprint Backlog'!$J262=D$2,'ProductSprint Backlog'!$I262=D$2), 'ProductSprint Backlog'!$F262, TRUE, 0)</f>
        <v>1</v>
      </c>
      <c r="E262" s="4" cm="1">
        <f t="array" ref="E262">_xlfn.IFS('ProductSprint Backlog'!$F262="", "", AND('ProductSprint Backlog'!$J262&gt;E$2,'ProductSprint Backlog'!$I262&lt;=E$2), 'ProductSprint Backlog'!$F262 / MAX(1, 'ProductSprint Backlog'!$J262-'ProductSprint Backlog'!$I262), AND('ProductSprint Backlog'!$J262=E$2,'ProductSprint Backlog'!$I262=E$2), 'ProductSprint Backlog'!$F262, TRUE, 0)</f>
        <v>0</v>
      </c>
      <c r="F262" s="4" cm="1">
        <f t="array" ref="F262">_xlfn.IFS('ProductSprint Backlog'!$F262="", "", AND('ProductSprint Backlog'!$J262&gt;F$2,'ProductSprint Backlog'!$I262&lt;=F$2), 'ProductSprint Backlog'!$F262 / MAX(1, 'ProductSprint Backlog'!$J262-'ProductSprint Backlog'!$I262), AND('ProductSprint Backlog'!$J262=F$2,'ProductSprint Backlog'!$I262=F$2), 'ProductSprint Backlog'!$F262, TRUE, 0)</f>
        <v>0</v>
      </c>
      <c r="G262" s="4" cm="1">
        <f t="array" ref="G262">_xlfn.IFS('ProductSprint Backlog'!$F262="", "", AND('ProductSprint Backlog'!$J262&gt;G$2,'ProductSprint Backlog'!$I262&lt;=G$2), 'ProductSprint Backlog'!$F262 / MAX(1, 'ProductSprint Backlog'!$J262-'ProductSprint Backlog'!$I262), AND('ProductSprint Backlog'!$J262=G$2,'ProductSprint Backlog'!$I262=G$2), 'ProductSprint Backlog'!$F262, TRUE, 0)</f>
        <v>0</v>
      </c>
      <c r="H262" s="4" cm="1">
        <f t="array" ref="H262">_xlfn.IFS('ProductSprint Backlog'!$F262="", "", AND('ProductSprint Backlog'!$J262&gt;H$2,'ProductSprint Backlog'!$I262&lt;=H$2), 'ProductSprint Backlog'!$F262 / MAX(1, 'ProductSprint Backlog'!$J262-'ProductSprint Backlog'!$I262), AND('ProductSprint Backlog'!$J262=H$2,'ProductSprint Backlog'!$I262=H$2), 'ProductSprint Backlog'!$F262, TRUE, 0)</f>
        <v>0</v>
      </c>
      <c r="I262" s="4" cm="1">
        <f t="array" ref="I262">_xlfn.IFS('ProductSprint Backlog'!$F262="", "", AND('ProductSprint Backlog'!$J262&gt;I$2,'ProductSprint Backlog'!$I262&lt;=I$2), 'ProductSprint Backlog'!$F262 / MAX(1, 'ProductSprint Backlog'!$J262-'ProductSprint Backlog'!$I262), AND('ProductSprint Backlog'!$J262=I$2,'ProductSprint Backlog'!$I262=I$2), 'ProductSprint Backlog'!$F262, TRUE, 0)</f>
        <v>0</v>
      </c>
      <c r="J262" s="4" cm="1">
        <f t="array" ref="J262">_xlfn.IFS('ProductSprint Backlog'!$F262="", "", AND('ProductSprint Backlog'!$J262&gt;J$2,'ProductSprint Backlog'!$I262&lt;=J$2), 'ProductSprint Backlog'!$F262 / MAX(1, 'ProductSprint Backlog'!$J262-'ProductSprint Backlog'!$I262), AND('ProductSprint Backlog'!$J262=J$2,'ProductSprint Backlog'!$I262=J$2), 'ProductSprint Backlog'!$F262, TRUE, 0)</f>
        <v>0</v>
      </c>
      <c r="K262" s="4" cm="1">
        <f t="array" ref="K262">_xlfn.IFS('ProductSprint Backlog'!$F262="", "", AND('ProductSprint Backlog'!$J262&gt;K$2,'ProductSprint Backlog'!$I262&lt;=K$2), 'ProductSprint Backlog'!$F262 / MAX(1, 'ProductSprint Backlog'!$J262-'ProductSprint Backlog'!$I262), AND('ProductSprint Backlog'!$J262=K$2,'ProductSprint Backlog'!$I262=K$2), 'ProductSprint Backlog'!$F262, TRUE, 0)</f>
        <v>0</v>
      </c>
      <c r="L262" s="4" cm="1">
        <f t="array" ref="L262">_xlfn.IFS('ProductSprint Backlog'!$F262="", "", AND('ProductSprint Backlog'!$J262&gt;L$2,'ProductSprint Backlog'!$I262&lt;=L$2), 'ProductSprint Backlog'!$F262 / MAX(1, 'ProductSprint Backlog'!$J262-'ProductSprint Backlog'!$I262), AND('ProductSprint Backlog'!$J262=L$2,'ProductSprint Backlog'!$I262=L$2), 'ProductSprint Backlog'!$F262, TRUE, 0)</f>
        <v>0</v>
      </c>
      <c r="M262" s="4" cm="1">
        <f t="array" ref="M262">_xlfn.IFS('ProductSprint Backlog'!$F262="", "", AND('ProductSprint Backlog'!$J262&gt;M$2,'ProductSprint Backlog'!$I262&lt;=M$2), 'ProductSprint Backlog'!$F262 / MAX(1, 'ProductSprint Backlog'!$J262-'ProductSprint Backlog'!$I262), AND('ProductSprint Backlog'!$J262=M$2,'ProductSprint Backlog'!$I262=M$2), 'ProductSprint Backlog'!$F262, TRUE, 0)</f>
        <v>0</v>
      </c>
      <c r="N262" s="4" cm="1">
        <f t="array" ref="N262">_xlfn.IFS('ProductSprint Backlog'!$F262="", "", AND('ProductSprint Backlog'!$J262&gt;N$2,'ProductSprint Backlog'!$I262&lt;=N$2), 'ProductSprint Backlog'!$F262 / MAX(1, 'ProductSprint Backlog'!$J262-'ProductSprint Backlog'!$I262), AND('ProductSprint Backlog'!$J262=N$2,'ProductSprint Backlog'!$I262=N$2), 'ProductSprint Backlog'!$F262, TRUE, 0)</f>
        <v>0</v>
      </c>
      <c r="O262" s="4" cm="1">
        <f t="array" ref="O262">_xlfn.IFS('ProductSprint Backlog'!$F262="", "", AND('ProductSprint Backlog'!$J262&gt;O$2,'ProductSprint Backlog'!$I262&lt;=O$2), 'ProductSprint Backlog'!$F262 / MAX(1, 'ProductSprint Backlog'!$J262-'ProductSprint Backlog'!$I262), AND('ProductSprint Backlog'!$J262=O$2,'ProductSprint Backlog'!$I262=O$2), 'ProductSprint Backlog'!$F262, TRUE, 0)</f>
        <v>0</v>
      </c>
      <c r="P262" s="4" cm="1">
        <f t="array" ref="P262">_xlfn.IFS('ProductSprint Backlog'!$F262="", "", AND('ProductSprint Backlog'!$J262&gt;P$2,'ProductSprint Backlog'!$I262&lt;=P$2), 'ProductSprint Backlog'!$F262 / MAX(1, 'ProductSprint Backlog'!$J262-'ProductSprint Backlog'!$I262), AND('ProductSprint Backlog'!$J262=P$2,'ProductSprint Backlog'!$I262=P$2), 'ProductSprint Backlog'!$F262, TRUE, 0)</f>
        <v>0</v>
      </c>
      <c r="Q262" s="4" cm="1">
        <f t="array" ref="Q262">_xlfn.IFS('ProductSprint Backlog'!$F262="", "", AND('ProductSprint Backlog'!$J262&gt;Q$2,'ProductSprint Backlog'!$I262&lt;=Q$2), 'ProductSprint Backlog'!$F262 / MAX(1, 'ProductSprint Backlog'!$J262-'ProductSprint Backlog'!$I262), AND('ProductSprint Backlog'!$J262=Q$2,'ProductSprint Backlog'!$I262=Q$2), 'ProductSprint Backlog'!$F262, TRUE, 0)</f>
        <v>0</v>
      </c>
    </row>
    <row r="263" spans="2:17" x14ac:dyDescent="0.2">
      <c r="B263" s="4" cm="1">
        <f t="array" ref="B263">_xlfn.IFS('ProductSprint Backlog'!$F263="", "", AND('ProductSprint Backlog'!$J263&gt;B$2,'ProductSprint Backlog'!$I263&lt;=B$2), 'ProductSprint Backlog'!$F263 / MAX(1, 'ProductSprint Backlog'!$J263-'ProductSprint Backlog'!$I263), AND('ProductSprint Backlog'!$J263=B$2,'ProductSprint Backlog'!$I263=B$2), 'ProductSprint Backlog'!$F263, TRUE, 0)</f>
        <v>0</v>
      </c>
      <c r="C263" s="4" cm="1">
        <f t="array" ref="C263">_xlfn.IFS('ProductSprint Backlog'!$F263="", "", AND('ProductSprint Backlog'!$J263&gt;C$2,'ProductSprint Backlog'!$I263&lt;=C$2), 'ProductSprint Backlog'!$F263 / MAX(1, 'ProductSprint Backlog'!$J263-'ProductSprint Backlog'!$I263), AND('ProductSprint Backlog'!$J263=C$2,'ProductSprint Backlog'!$I263=C$2), 'ProductSprint Backlog'!$F263, TRUE, 0)</f>
        <v>0</v>
      </c>
      <c r="D263" s="4" cm="1">
        <f t="array" ref="D263">_xlfn.IFS('ProductSprint Backlog'!$F263="", "", AND('ProductSprint Backlog'!$J263&gt;D$2,'ProductSprint Backlog'!$I263&lt;=D$2), 'ProductSprint Backlog'!$F263 / MAX(1, 'ProductSprint Backlog'!$J263-'ProductSprint Backlog'!$I263), AND('ProductSprint Backlog'!$J263=D$2,'ProductSprint Backlog'!$I263=D$2), 'ProductSprint Backlog'!$F263, TRUE, 0)</f>
        <v>1</v>
      </c>
      <c r="E263" s="4" cm="1">
        <f t="array" ref="E263">_xlfn.IFS('ProductSprint Backlog'!$F263="", "", AND('ProductSprint Backlog'!$J263&gt;E$2,'ProductSprint Backlog'!$I263&lt;=E$2), 'ProductSprint Backlog'!$F263 / MAX(1, 'ProductSprint Backlog'!$J263-'ProductSprint Backlog'!$I263), AND('ProductSprint Backlog'!$J263=E$2,'ProductSprint Backlog'!$I263=E$2), 'ProductSprint Backlog'!$F263, TRUE, 0)</f>
        <v>0</v>
      </c>
      <c r="F263" s="4" cm="1">
        <f t="array" ref="F263">_xlfn.IFS('ProductSprint Backlog'!$F263="", "", AND('ProductSprint Backlog'!$J263&gt;F$2,'ProductSprint Backlog'!$I263&lt;=F$2), 'ProductSprint Backlog'!$F263 / MAX(1, 'ProductSprint Backlog'!$J263-'ProductSprint Backlog'!$I263), AND('ProductSprint Backlog'!$J263=F$2,'ProductSprint Backlog'!$I263=F$2), 'ProductSprint Backlog'!$F263, TRUE, 0)</f>
        <v>0</v>
      </c>
      <c r="G263" s="4" cm="1">
        <f t="array" ref="G263">_xlfn.IFS('ProductSprint Backlog'!$F263="", "", AND('ProductSprint Backlog'!$J263&gt;G$2,'ProductSprint Backlog'!$I263&lt;=G$2), 'ProductSprint Backlog'!$F263 / MAX(1, 'ProductSprint Backlog'!$J263-'ProductSprint Backlog'!$I263), AND('ProductSprint Backlog'!$J263=G$2,'ProductSprint Backlog'!$I263=G$2), 'ProductSprint Backlog'!$F263, TRUE, 0)</f>
        <v>0</v>
      </c>
      <c r="H263" s="4" cm="1">
        <f t="array" ref="H263">_xlfn.IFS('ProductSprint Backlog'!$F263="", "", AND('ProductSprint Backlog'!$J263&gt;H$2,'ProductSprint Backlog'!$I263&lt;=H$2), 'ProductSprint Backlog'!$F263 / MAX(1, 'ProductSprint Backlog'!$J263-'ProductSprint Backlog'!$I263), AND('ProductSprint Backlog'!$J263=H$2,'ProductSprint Backlog'!$I263=H$2), 'ProductSprint Backlog'!$F263, TRUE, 0)</f>
        <v>0</v>
      </c>
      <c r="I263" s="4" cm="1">
        <f t="array" ref="I263">_xlfn.IFS('ProductSprint Backlog'!$F263="", "", AND('ProductSprint Backlog'!$J263&gt;I$2,'ProductSprint Backlog'!$I263&lt;=I$2), 'ProductSprint Backlog'!$F263 / MAX(1, 'ProductSprint Backlog'!$J263-'ProductSprint Backlog'!$I263), AND('ProductSprint Backlog'!$J263=I$2,'ProductSprint Backlog'!$I263=I$2), 'ProductSprint Backlog'!$F263, TRUE, 0)</f>
        <v>0</v>
      </c>
      <c r="J263" s="4" cm="1">
        <f t="array" ref="J263">_xlfn.IFS('ProductSprint Backlog'!$F263="", "", AND('ProductSprint Backlog'!$J263&gt;J$2,'ProductSprint Backlog'!$I263&lt;=J$2), 'ProductSprint Backlog'!$F263 / MAX(1, 'ProductSprint Backlog'!$J263-'ProductSprint Backlog'!$I263), AND('ProductSprint Backlog'!$J263=J$2,'ProductSprint Backlog'!$I263=J$2), 'ProductSprint Backlog'!$F263, TRUE, 0)</f>
        <v>0</v>
      </c>
      <c r="K263" s="4" cm="1">
        <f t="array" ref="K263">_xlfn.IFS('ProductSprint Backlog'!$F263="", "", AND('ProductSprint Backlog'!$J263&gt;K$2,'ProductSprint Backlog'!$I263&lt;=K$2), 'ProductSprint Backlog'!$F263 / MAX(1, 'ProductSprint Backlog'!$J263-'ProductSprint Backlog'!$I263), AND('ProductSprint Backlog'!$J263=K$2,'ProductSprint Backlog'!$I263=K$2), 'ProductSprint Backlog'!$F263, TRUE, 0)</f>
        <v>0</v>
      </c>
      <c r="L263" s="4" cm="1">
        <f t="array" ref="L263">_xlfn.IFS('ProductSprint Backlog'!$F263="", "", AND('ProductSprint Backlog'!$J263&gt;L$2,'ProductSprint Backlog'!$I263&lt;=L$2), 'ProductSprint Backlog'!$F263 / MAX(1, 'ProductSprint Backlog'!$J263-'ProductSprint Backlog'!$I263), AND('ProductSprint Backlog'!$J263=L$2,'ProductSprint Backlog'!$I263=L$2), 'ProductSprint Backlog'!$F263, TRUE, 0)</f>
        <v>0</v>
      </c>
      <c r="M263" s="4" cm="1">
        <f t="array" ref="M263">_xlfn.IFS('ProductSprint Backlog'!$F263="", "", AND('ProductSprint Backlog'!$J263&gt;M$2,'ProductSprint Backlog'!$I263&lt;=M$2), 'ProductSprint Backlog'!$F263 / MAX(1, 'ProductSprint Backlog'!$J263-'ProductSprint Backlog'!$I263), AND('ProductSprint Backlog'!$J263=M$2,'ProductSprint Backlog'!$I263=M$2), 'ProductSprint Backlog'!$F263, TRUE, 0)</f>
        <v>0</v>
      </c>
      <c r="N263" s="4" cm="1">
        <f t="array" ref="N263">_xlfn.IFS('ProductSprint Backlog'!$F263="", "", AND('ProductSprint Backlog'!$J263&gt;N$2,'ProductSprint Backlog'!$I263&lt;=N$2), 'ProductSprint Backlog'!$F263 / MAX(1, 'ProductSprint Backlog'!$J263-'ProductSprint Backlog'!$I263), AND('ProductSprint Backlog'!$J263=N$2,'ProductSprint Backlog'!$I263=N$2), 'ProductSprint Backlog'!$F263, TRUE, 0)</f>
        <v>0</v>
      </c>
      <c r="O263" s="4" cm="1">
        <f t="array" ref="O263">_xlfn.IFS('ProductSprint Backlog'!$F263="", "", AND('ProductSprint Backlog'!$J263&gt;O$2,'ProductSprint Backlog'!$I263&lt;=O$2), 'ProductSprint Backlog'!$F263 / MAX(1, 'ProductSprint Backlog'!$J263-'ProductSprint Backlog'!$I263), AND('ProductSprint Backlog'!$J263=O$2,'ProductSprint Backlog'!$I263=O$2), 'ProductSprint Backlog'!$F263, TRUE, 0)</f>
        <v>0</v>
      </c>
      <c r="P263" s="4" cm="1">
        <f t="array" ref="P263">_xlfn.IFS('ProductSprint Backlog'!$F263="", "", AND('ProductSprint Backlog'!$J263&gt;P$2,'ProductSprint Backlog'!$I263&lt;=P$2), 'ProductSprint Backlog'!$F263 / MAX(1, 'ProductSprint Backlog'!$J263-'ProductSprint Backlog'!$I263), AND('ProductSprint Backlog'!$J263=P$2,'ProductSprint Backlog'!$I263=P$2), 'ProductSprint Backlog'!$F263, TRUE, 0)</f>
        <v>0</v>
      </c>
      <c r="Q263" s="4" cm="1">
        <f t="array" ref="Q263">_xlfn.IFS('ProductSprint Backlog'!$F263="", "", AND('ProductSprint Backlog'!$J263&gt;Q$2,'ProductSprint Backlog'!$I263&lt;=Q$2), 'ProductSprint Backlog'!$F263 / MAX(1, 'ProductSprint Backlog'!$J263-'ProductSprint Backlog'!$I263), AND('ProductSprint Backlog'!$J263=Q$2,'ProductSprint Backlog'!$I263=Q$2), 'ProductSprint Backlog'!$F263, TRUE, 0)</f>
        <v>0</v>
      </c>
    </row>
    <row r="264" spans="2:17" x14ac:dyDescent="0.2">
      <c r="B264" s="4" cm="1">
        <f t="array" ref="B264">_xlfn.IFS('ProductSprint Backlog'!$F264="", "", AND('ProductSprint Backlog'!$J264&gt;B$2,'ProductSprint Backlog'!$I264&lt;=B$2), 'ProductSprint Backlog'!$F264 / MAX(1, 'ProductSprint Backlog'!$J264-'ProductSprint Backlog'!$I264), AND('ProductSprint Backlog'!$J264=B$2,'ProductSprint Backlog'!$I264=B$2), 'ProductSprint Backlog'!$F264, TRUE, 0)</f>
        <v>0</v>
      </c>
      <c r="C264" s="4" cm="1">
        <f t="array" ref="C264">_xlfn.IFS('ProductSprint Backlog'!$F264="", "", AND('ProductSprint Backlog'!$J264&gt;C$2,'ProductSprint Backlog'!$I264&lt;=C$2), 'ProductSprint Backlog'!$F264 / MAX(1, 'ProductSprint Backlog'!$J264-'ProductSprint Backlog'!$I264), AND('ProductSprint Backlog'!$J264=C$2,'ProductSprint Backlog'!$I264=C$2), 'ProductSprint Backlog'!$F264, TRUE, 0)</f>
        <v>0</v>
      </c>
      <c r="D264" s="4" cm="1">
        <f t="array" ref="D264">_xlfn.IFS('ProductSprint Backlog'!$F264="", "", AND('ProductSprint Backlog'!$J264&gt;D$2,'ProductSprint Backlog'!$I264&lt;=D$2), 'ProductSprint Backlog'!$F264 / MAX(1, 'ProductSprint Backlog'!$J264-'ProductSprint Backlog'!$I264), AND('ProductSprint Backlog'!$J264=D$2,'ProductSprint Backlog'!$I264=D$2), 'ProductSprint Backlog'!$F264, TRUE, 0)</f>
        <v>0</v>
      </c>
      <c r="E264" s="4" cm="1">
        <f t="array" ref="E264">_xlfn.IFS('ProductSprint Backlog'!$F264="", "", AND('ProductSprint Backlog'!$J264&gt;E$2,'ProductSprint Backlog'!$I264&lt;=E$2), 'ProductSprint Backlog'!$F264 / MAX(1, 'ProductSprint Backlog'!$J264-'ProductSprint Backlog'!$I264), AND('ProductSprint Backlog'!$J264=E$2,'ProductSprint Backlog'!$I264=E$2), 'ProductSprint Backlog'!$F264, TRUE, 0)</f>
        <v>1</v>
      </c>
      <c r="F264" s="4" cm="1">
        <f t="array" ref="F264">_xlfn.IFS('ProductSprint Backlog'!$F264="", "", AND('ProductSprint Backlog'!$J264&gt;F$2,'ProductSprint Backlog'!$I264&lt;=F$2), 'ProductSprint Backlog'!$F264 / MAX(1, 'ProductSprint Backlog'!$J264-'ProductSprint Backlog'!$I264), AND('ProductSprint Backlog'!$J264=F$2,'ProductSprint Backlog'!$I264=F$2), 'ProductSprint Backlog'!$F264, TRUE, 0)</f>
        <v>0</v>
      </c>
      <c r="G264" s="4" cm="1">
        <f t="array" ref="G264">_xlfn.IFS('ProductSprint Backlog'!$F264="", "", AND('ProductSprint Backlog'!$J264&gt;G$2,'ProductSprint Backlog'!$I264&lt;=G$2), 'ProductSprint Backlog'!$F264 / MAX(1, 'ProductSprint Backlog'!$J264-'ProductSprint Backlog'!$I264), AND('ProductSprint Backlog'!$J264=G$2,'ProductSprint Backlog'!$I264=G$2), 'ProductSprint Backlog'!$F264, TRUE, 0)</f>
        <v>0</v>
      </c>
      <c r="H264" s="4" cm="1">
        <f t="array" ref="H264">_xlfn.IFS('ProductSprint Backlog'!$F264="", "", AND('ProductSprint Backlog'!$J264&gt;H$2,'ProductSprint Backlog'!$I264&lt;=H$2), 'ProductSprint Backlog'!$F264 / MAX(1, 'ProductSprint Backlog'!$J264-'ProductSprint Backlog'!$I264), AND('ProductSprint Backlog'!$J264=H$2,'ProductSprint Backlog'!$I264=H$2), 'ProductSprint Backlog'!$F264, TRUE, 0)</f>
        <v>0</v>
      </c>
      <c r="I264" s="4" cm="1">
        <f t="array" ref="I264">_xlfn.IFS('ProductSprint Backlog'!$F264="", "", AND('ProductSprint Backlog'!$J264&gt;I$2,'ProductSprint Backlog'!$I264&lt;=I$2), 'ProductSprint Backlog'!$F264 / MAX(1, 'ProductSprint Backlog'!$J264-'ProductSprint Backlog'!$I264), AND('ProductSprint Backlog'!$J264=I$2,'ProductSprint Backlog'!$I264=I$2), 'ProductSprint Backlog'!$F264, TRUE, 0)</f>
        <v>0</v>
      </c>
      <c r="J264" s="4" cm="1">
        <f t="array" ref="J264">_xlfn.IFS('ProductSprint Backlog'!$F264="", "", AND('ProductSprint Backlog'!$J264&gt;J$2,'ProductSprint Backlog'!$I264&lt;=J$2), 'ProductSprint Backlog'!$F264 / MAX(1, 'ProductSprint Backlog'!$J264-'ProductSprint Backlog'!$I264), AND('ProductSprint Backlog'!$J264=J$2,'ProductSprint Backlog'!$I264=J$2), 'ProductSprint Backlog'!$F264, TRUE, 0)</f>
        <v>0</v>
      </c>
      <c r="K264" s="4" cm="1">
        <f t="array" ref="K264">_xlfn.IFS('ProductSprint Backlog'!$F264="", "", AND('ProductSprint Backlog'!$J264&gt;K$2,'ProductSprint Backlog'!$I264&lt;=K$2), 'ProductSprint Backlog'!$F264 / MAX(1, 'ProductSprint Backlog'!$J264-'ProductSprint Backlog'!$I264), AND('ProductSprint Backlog'!$J264=K$2,'ProductSprint Backlog'!$I264=K$2), 'ProductSprint Backlog'!$F264, TRUE, 0)</f>
        <v>0</v>
      </c>
      <c r="L264" s="4" cm="1">
        <f t="array" ref="L264">_xlfn.IFS('ProductSprint Backlog'!$F264="", "", AND('ProductSprint Backlog'!$J264&gt;L$2,'ProductSprint Backlog'!$I264&lt;=L$2), 'ProductSprint Backlog'!$F264 / MAX(1, 'ProductSprint Backlog'!$J264-'ProductSprint Backlog'!$I264), AND('ProductSprint Backlog'!$J264=L$2,'ProductSprint Backlog'!$I264=L$2), 'ProductSprint Backlog'!$F264, TRUE, 0)</f>
        <v>0</v>
      </c>
      <c r="M264" s="4" cm="1">
        <f t="array" ref="M264">_xlfn.IFS('ProductSprint Backlog'!$F264="", "", AND('ProductSprint Backlog'!$J264&gt;M$2,'ProductSprint Backlog'!$I264&lt;=M$2), 'ProductSprint Backlog'!$F264 / MAX(1, 'ProductSprint Backlog'!$J264-'ProductSprint Backlog'!$I264), AND('ProductSprint Backlog'!$J264=M$2,'ProductSprint Backlog'!$I264=M$2), 'ProductSprint Backlog'!$F264, TRUE, 0)</f>
        <v>0</v>
      </c>
      <c r="N264" s="4" cm="1">
        <f t="array" ref="N264">_xlfn.IFS('ProductSprint Backlog'!$F264="", "", AND('ProductSprint Backlog'!$J264&gt;N$2,'ProductSprint Backlog'!$I264&lt;=N$2), 'ProductSprint Backlog'!$F264 / MAX(1, 'ProductSprint Backlog'!$J264-'ProductSprint Backlog'!$I264), AND('ProductSprint Backlog'!$J264=N$2,'ProductSprint Backlog'!$I264=N$2), 'ProductSprint Backlog'!$F264, TRUE, 0)</f>
        <v>0</v>
      </c>
      <c r="O264" s="4" cm="1">
        <f t="array" ref="O264">_xlfn.IFS('ProductSprint Backlog'!$F264="", "", AND('ProductSprint Backlog'!$J264&gt;O$2,'ProductSprint Backlog'!$I264&lt;=O$2), 'ProductSprint Backlog'!$F264 / MAX(1, 'ProductSprint Backlog'!$J264-'ProductSprint Backlog'!$I264), AND('ProductSprint Backlog'!$J264=O$2,'ProductSprint Backlog'!$I264=O$2), 'ProductSprint Backlog'!$F264, TRUE, 0)</f>
        <v>0</v>
      </c>
      <c r="P264" s="4" cm="1">
        <f t="array" ref="P264">_xlfn.IFS('ProductSprint Backlog'!$F264="", "", AND('ProductSprint Backlog'!$J264&gt;P$2,'ProductSprint Backlog'!$I264&lt;=P$2), 'ProductSprint Backlog'!$F264 / MAX(1, 'ProductSprint Backlog'!$J264-'ProductSprint Backlog'!$I264), AND('ProductSprint Backlog'!$J264=P$2,'ProductSprint Backlog'!$I264=P$2), 'ProductSprint Backlog'!$F264, TRUE, 0)</f>
        <v>0</v>
      </c>
      <c r="Q264" s="4" cm="1">
        <f t="array" ref="Q264">_xlfn.IFS('ProductSprint Backlog'!$F264="", "", AND('ProductSprint Backlog'!$J264&gt;Q$2,'ProductSprint Backlog'!$I264&lt;=Q$2), 'ProductSprint Backlog'!$F264 / MAX(1, 'ProductSprint Backlog'!$J264-'ProductSprint Backlog'!$I264), AND('ProductSprint Backlog'!$J264=Q$2,'ProductSprint Backlog'!$I264=Q$2), 'ProductSprint Backlog'!$F264, TRUE, 0)</f>
        <v>0</v>
      </c>
    </row>
    <row r="265" spans="2:17" x14ac:dyDescent="0.2">
      <c r="B265" s="4" cm="1">
        <f t="array" ref="B265">_xlfn.IFS('ProductSprint Backlog'!$F265="", "", AND('ProductSprint Backlog'!$J265&gt;B$2,'ProductSprint Backlog'!$I265&lt;=B$2), 'ProductSprint Backlog'!$F265 / MAX(1, 'ProductSprint Backlog'!$J265-'ProductSprint Backlog'!$I265), AND('ProductSprint Backlog'!$J265=B$2,'ProductSprint Backlog'!$I265=B$2), 'ProductSprint Backlog'!$F265, TRUE, 0)</f>
        <v>0</v>
      </c>
      <c r="C265" s="4" cm="1">
        <f t="array" ref="C265">_xlfn.IFS('ProductSprint Backlog'!$F265="", "", AND('ProductSprint Backlog'!$J265&gt;C$2,'ProductSprint Backlog'!$I265&lt;=C$2), 'ProductSprint Backlog'!$F265 / MAX(1, 'ProductSprint Backlog'!$J265-'ProductSprint Backlog'!$I265), AND('ProductSprint Backlog'!$J265=C$2,'ProductSprint Backlog'!$I265=C$2), 'ProductSprint Backlog'!$F265, TRUE, 0)</f>
        <v>0</v>
      </c>
      <c r="D265" s="4" cm="1">
        <f t="array" ref="D265">_xlfn.IFS('ProductSprint Backlog'!$F265="", "", AND('ProductSprint Backlog'!$J265&gt;D$2,'ProductSprint Backlog'!$I265&lt;=D$2), 'ProductSprint Backlog'!$F265 / MAX(1, 'ProductSprint Backlog'!$J265-'ProductSprint Backlog'!$I265), AND('ProductSprint Backlog'!$J265=D$2,'ProductSprint Backlog'!$I265=D$2), 'ProductSprint Backlog'!$F265, TRUE, 0)</f>
        <v>0</v>
      </c>
      <c r="E265" s="4" cm="1">
        <f t="array" ref="E265">_xlfn.IFS('ProductSprint Backlog'!$F265="", "", AND('ProductSprint Backlog'!$J265&gt;E$2,'ProductSprint Backlog'!$I265&lt;=E$2), 'ProductSprint Backlog'!$F265 / MAX(1, 'ProductSprint Backlog'!$J265-'ProductSprint Backlog'!$I265), AND('ProductSprint Backlog'!$J265=E$2,'ProductSprint Backlog'!$I265=E$2), 'ProductSprint Backlog'!$F265, TRUE, 0)</f>
        <v>0.5</v>
      </c>
      <c r="F265" s="4" cm="1">
        <f t="array" ref="F265">_xlfn.IFS('ProductSprint Backlog'!$F265="", "", AND('ProductSprint Backlog'!$J265&gt;F$2,'ProductSprint Backlog'!$I265&lt;=F$2), 'ProductSprint Backlog'!$F265 / MAX(1, 'ProductSprint Backlog'!$J265-'ProductSprint Backlog'!$I265), AND('ProductSprint Backlog'!$J265=F$2,'ProductSprint Backlog'!$I265=F$2), 'ProductSprint Backlog'!$F265, TRUE, 0)</f>
        <v>0</v>
      </c>
      <c r="G265" s="4" cm="1">
        <f t="array" ref="G265">_xlfn.IFS('ProductSprint Backlog'!$F265="", "", AND('ProductSprint Backlog'!$J265&gt;G$2,'ProductSprint Backlog'!$I265&lt;=G$2), 'ProductSprint Backlog'!$F265 / MAX(1, 'ProductSprint Backlog'!$J265-'ProductSprint Backlog'!$I265), AND('ProductSprint Backlog'!$J265=G$2,'ProductSprint Backlog'!$I265=G$2), 'ProductSprint Backlog'!$F265, TRUE, 0)</f>
        <v>0</v>
      </c>
      <c r="H265" s="4" cm="1">
        <f t="array" ref="H265">_xlfn.IFS('ProductSprint Backlog'!$F265="", "", AND('ProductSprint Backlog'!$J265&gt;H$2,'ProductSprint Backlog'!$I265&lt;=H$2), 'ProductSprint Backlog'!$F265 / MAX(1, 'ProductSprint Backlog'!$J265-'ProductSprint Backlog'!$I265), AND('ProductSprint Backlog'!$J265=H$2,'ProductSprint Backlog'!$I265=H$2), 'ProductSprint Backlog'!$F265, TRUE, 0)</f>
        <v>0</v>
      </c>
      <c r="I265" s="4" cm="1">
        <f t="array" ref="I265">_xlfn.IFS('ProductSprint Backlog'!$F265="", "", AND('ProductSprint Backlog'!$J265&gt;I$2,'ProductSprint Backlog'!$I265&lt;=I$2), 'ProductSprint Backlog'!$F265 / MAX(1, 'ProductSprint Backlog'!$J265-'ProductSprint Backlog'!$I265), AND('ProductSprint Backlog'!$J265=I$2,'ProductSprint Backlog'!$I265=I$2), 'ProductSprint Backlog'!$F265, TRUE, 0)</f>
        <v>0</v>
      </c>
      <c r="J265" s="4" cm="1">
        <f t="array" ref="J265">_xlfn.IFS('ProductSprint Backlog'!$F265="", "", AND('ProductSprint Backlog'!$J265&gt;J$2,'ProductSprint Backlog'!$I265&lt;=J$2), 'ProductSprint Backlog'!$F265 / MAX(1, 'ProductSprint Backlog'!$J265-'ProductSprint Backlog'!$I265), AND('ProductSprint Backlog'!$J265=J$2,'ProductSprint Backlog'!$I265=J$2), 'ProductSprint Backlog'!$F265, TRUE, 0)</f>
        <v>0</v>
      </c>
      <c r="K265" s="4" cm="1">
        <f t="array" ref="K265">_xlfn.IFS('ProductSprint Backlog'!$F265="", "", AND('ProductSprint Backlog'!$J265&gt;K$2,'ProductSprint Backlog'!$I265&lt;=K$2), 'ProductSprint Backlog'!$F265 / MAX(1, 'ProductSprint Backlog'!$J265-'ProductSprint Backlog'!$I265), AND('ProductSprint Backlog'!$J265=K$2,'ProductSprint Backlog'!$I265=K$2), 'ProductSprint Backlog'!$F265, TRUE, 0)</f>
        <v>0</v>
      </c>
      <c r="L265" s="4" cm="1">
        <f t="array" ref="L265">_xlfn.IFS('ProductSprint Backlog'!$F265="", "", AND('ProductSprint Backlog'!$J265&gt;L$2,'ProductSprint Backlog'!$I265&lt;=L$2), 'ProductSprint Backlog'!$F265 / MAX(1, 'ProductSprint Backlog'!$J265-'ProductSprint Backlog'!$I265), AND('ProductSprint Backlog'!$J265=L$2,'ProductSprint Backlog'!$I265=L$2), 'ProductSprint Backlog'!$F265, TRUE, 0)</f>
        <v>0</v>
      </c>
      <c r="M265" s="4" cm="1">
        <f t="array" ref="M265">_xlfn.IFS('ProductSprint Backlog'!$F265="", "", AND('ProductSprint Backlog'!$J265&gt;M$2,'ProductSprint Backlog'!$I265&lt;=M$2), 'ProductSprint Backlog'!$F265 / MAX(1, 'ProductSprint Backlog'!$J265-'ProductSprint Backlog'!$I265), AND('ProductSprint Backlog'!$J265=M$2,'ProductSprint Backlog'!$I265=M$2), 'ProductSprint Backlog'!$F265, TRUE, 0)</f>
        <v>0</v>
      </c>
      <c r="N265" s="4" cm="1">
        <f t="array" ref="N265">_xlfn.IFS('ProductSprint Backlog'!$F265="", "", AND('ProductSprint Backlog'!$J265&gt;N$2,'ProductSprint Backlog'!$I265&lt;=N$2), 'ProductSprint Backlog'!$F265 / MAX(1, 'ProductSprint Backlog'!$J265-'ProductSprint Backlog'!$I265), AND('ProductSprint Backlog'!$J265=N$2,'ProductSprint Backlog'!$I265=N$2), 'ProductSprint Backlog'!$F265, TRUE, 0)</f>
        <v>0</v>
      </c>
      <c r="O265" s="4" cm="1">
        <f t="array" ref="O265">_xlfn.IFS('ProductSprint Backlog'!$F265="", "", AND('ProductSprint Backlog'!$J265&gt;O$2,'ProductSprint Backlog'!$I265&lt;=O$2), 'ProductSprint Backlog'!$F265 / MAX(1, 'ProductSprint Backlog'!$J265-'ProductSprint Backlog'!$I265), AND('ProductSprint Backlog'!$J265=O$2,'ProductSprint Backlog'!$I265=O$2), 'ProductSprint Backlog'!$F265, TRUE, 0)</f>
        <v>0</v>
      </c>
      <c r="P265" s="4" cm="1">
        <f t="array" ref="P265">_xlfn.IFS('ProductSprint Backlog'!$F265="", "", AND('ProductSprint Backlog'!$J265&gt;P$2,'ProductSprint Backlog'!$I265&lt;=P$2), 'ProductSprint Backlog'!$F265 / MAX(1, 'ProductSprint Backlog'!$J265-'ProductSprint Backlog'!$I265), AND('ProductSprint Backlog'!$J265=P$2,'ProductSprint Backlog'!$I265=P$2), 'ProductSprint Backlog'!$F265, TRUE, 0)</f>
        <v>0</v>
      </c>
      <c r="Q265" s="4" cm="1">
        <f t="array" ref="Q265">_xlfn.IFS('ProductSprint Backlog'!$F265="", "", AND('ProductSprint Backlog'!$J265&gt;Q$2,'ProductSprint Backlog'!$I265&lt;=Q$2), 'ProductSprint Backlog'!$F265 / MAX(1, 'ProductSprint Backlog'!$J265-'ProductSprint Backlog'!$I265), AND('ProductSprint Backlog'!$J265=Q$2,'ProductSprint Backlog'!$I265=Q$2), 'ProductSprint Backlog'!$F265, TRUE, 0)</f>
        <v>0</v>
      </c>
    </row>
    <row r="266" spans="2:17" x14ac:dyDescent="0.2">
      <c r="B266" s="4" cm="1">
        <f t="array" ref="B266">_xlfn.IFS('ProductSprint Backlog'!$F266="", "", AND('ProductSprint Backlog'!$J266&gt;B$2,'ProductSprint Backlog'!$I266&lt;=B$2), 'ProductSprint Backlog'!$F266 / MAX(1, 'ProductSprint Backlog'!$J266-'ProductSprint Backlog'!$I266), AND('ProductSprint Backlog'!$J266=B$2,'ProductSprint Backlog'!$I266=B$2), 'ProductSprint Backlog'!$F266, TRUE, 0)</f>
        <v>0</v>
      </c>
      <c r="C266" s="4" cm="1">
        <f t="array" ref="C266">_xlfn.IFS('ProductSprint Backlog'!$F266="", "", AND('ProductSprint Backlog'!$J266&gt;C$2,'ProductSprint Backlog'!$I266&lt;=C$2), 'ProductSprint Backlog'!$F266 / MAX(1, 'ProductSprint Backlog'!$J266-'ProductSprint Backlog'!$I266), AND('ProductSprint Backlog'!$J266=C$2,'ProductSprint Backlog'!$I266=C$2), 'ProductSprint Backlog'!$F266, TRUE, 0)</f>
        <v>0</v>
      </c>
      <c r="D266" s="4" cm="1">
        <f t="array" ref="D266">_xlfn.IFS('ProductSprint Backlog'!$F266="", "", AND('ProductSprint Backlog'!$J266&gt;D$2,'ProductSprint Backlog'!$I266&lt;=D$2), 'ProductSprint Backlog'!$F266 / MAX(1, 'ProductSprint Backlog'!$J266-'ProductSprint Backlog'!$I266), AND('ProductSprint Backlog'!$J266=D$2,'ProductSprint Backlog'!$I266=D$2), 'ProductSprint Backlog'!$F266, TRUE, 0)</f>
        <v>0.5</v>
      </c>
      <c r="E266" s="4" cm="1">
        <f t="array" ref="E266">_xlfn.IFS('ProductSprint Backlog'!$F266="", "", AND('ProductSprint Backlog'!$J266&gt;E$2,'ProductSprint Backlog'!$I266&lt;=E$2), 'ProductSprint Backlog'!$F266 / MAX(1, 'ProductSprint Backlog'!$J266-'ProductSprint Backlog'!$I266), AND('ProductSprint Backlog'!$J266=E$2,'ProductSprint Backlog'!$I266=E$2), 'ProductSprint Backlog'!$F266, TRUE, 0)</f>
        <v>0</v>
      </c>
      <c r="F266" s="4" cm="1">
        <f t="array" ref="F266">_xlfn.IFS('ProductSprint Backlog'!$F266="", "", AND('ProductSprint Backlog'!$J266&gt;F$2,'ProductSprint Backlog'!$I266&lt;=F$2), 'ProductSprint Backlog'!$F266 / MAX(1, 'ProductSprint Backlog'!$J266-'ProductSprint Backlog'!$I266), AND('ProductSprint Backlog'!$J266=F$2,'ProductSprint Backlog'!$I266=F$2), 'ProductSprint Backlog'!$F266, TRUE, 0)</f>
        <v>0</v>
      </c>
      <c r="G266" s="4" cm="1">
        <f t="array" ref="G266">_xlfn.IFS('ProductSprint Backlog'!$F266="", "", AND('ProductSprint Backlog'!$J266&gt;G$2,'ProductSprint Backlog'!$I266&lt;=G$2), 'ProductSprint Backlog'!$F266 / MAX(1, 'ProductSprint Backlog'!$J266-'ProductSprint Backlog'!$I266), AND('ProductSprint Backlog'!$J266=G$2,'ProductSprint Backlog'!$I266=G$2), 'ProductSprint Backlog'!$F266, TRUE, 0)</f>
        <v>0</v>
      </c>
      <c r="H266" s="4" cm="1">
        <f t="array" ref="H266">_xlfn.IFS('ProductSprint Backlog'!$F266="", "", AND('ProductSprint Backlog'!$J266&gt;H$2,'ProductSprint Backlog'!$I266&lt;=H$2), 'ProductSprint Backlog'!$F266 / MAX(1, 'ProductSprint Backlog'!$J266-'ProductSprint Backlog'!$I266), AND('ProductSprint Backlog'!$J266=H$2,'ProductSprint Backlog'!$I266=H$2), 'ProductSprint Backlog'!$F266, TRUE, 0)</f>
        <v>0</v>
      </c>
      <c r="I266" s="4" cm="1">
        <f t="array" ref="I266">_xlfn.IFS('ProductSprint Backlog'!$F266="", "", AND('ProductSprint Backlog'!$J266&gt;I$2,'ProductSprint Backlog'!$I266&lt;=I$2), 'ProductSprint Backlog'!$F266 / MAX(1, 'ProductSprint Backlog'!$J266-'ProductSprint Backlog'!$I266), AND('ProductSprint Backlog'!$J266=I$2,'ProductSprint Backlog'!$I266=I$2), 'ProductSprint Backlog'!$F266, TRUE, 0)</f>
        <v>0</v>
      </c>
      <c r="J266" s="4" cm="1">
        <f t="array" ref="J266">_xlfn.IFS('ProductSprint Backlog'!$F266="", "", AND('ProductSprint Backlog'!$J266&gt;J$2,'ProductSprint Backlog'!$I266&lt;=J$2), 'ProductSprint Backlog'!$F266 / MAX(1, 'ProductSprint Backlog'!$J266-'ProductSprint Backlog'!$I266), AND('ProductSprint Backlog'!$J266=J$2,'ProductSprint Backlog'!$I266=J$2), 'ProductSprint Backlog'!$F266, TRUE, 0)</f>
        <v>0</v>
      </c>
      <c r="K266" s="4" cm="1">
        <f t="array" ref="K266">_xlfn.IFS('ProductSprint Backlog'!$F266="", "", AND('ProductSprint Backlog'!$J266&gt;K$2,'ProductSprint Backlog'!$I266&lt;=K$2), 'ProductSprint Backlog'!$F266 / MAX(1, 'ProductSprint Backlog'!$J266-'ProductSprint Backlog'!$I266), AND('ProductSprint Backlog'!$J266=K$2,'ProductSprint Backlog'!$I266=K$2), 'ProductSprint Backlog'!$F266, TRUE, 0)</f>
        <v>0</v>
      </c>
      <c r="L266" s="4" cm="1">
        <f t="array" ref="L266">_xlfn.IFS('ProductSprint Backlog'!$F266="", "", AND('ProductSprint Backlog'!$J266&gt;L$2,'ProductSprint Backlog'!$I266&lt;=L$2), 'ProductSprint Backlog'!$F266 / MAX(1, 'ProductSprint Backlog'!$J266-'ProductSprint Backlog'!$I266), AND('ProductSprint Backlog'!$J266=L$2,'ProductSprint Backlog'!$I266=L$2), 'ProductSprint Backlog'!$F266, TRUE, 0)</f>
        <v>0</v>
      </c>
      <c r="M266" s="4" cm="1">
        <f t="array" ref="M266">_xlfn.IFS('ProductSprint Backlog'!$F266="", "", AND('ProductSprint Backlog'!$J266&gt;M$2,'ProductSprint Backlog'!$I266&lt;=M$2), 'ProductSprint Backlog'!$F266 / MAX(1, 'ProductSprint Backlog'!$J266-'ProductSprint Backlog'!$I266), AND('ProductSprint Backlog'!$J266=M$2,'ProductSprint Backlog'!$I266=M$2), 'ProductSprint Backlog'!$F266, TRUE, 0)</f>
        <v>0</v>
      </c>
      <c r="N266" s="4" cm="1">
        <f t="array" ref="N266">_xlfn.IFS('ProductSprint Backlog'!$F266="", "", AND('ProductSprint Backlog'!$J266&gt;N$2,'ProductSprint Backlog'!$I266&lt;=N$2), 'ProductSprint Backlog'!$F266 / MAX(1, 'ProductSprint Backlog'!$J266-'ProductSprint Backlog'!$I266), AND('ProductSprint Backlog'!$J266=N$2,'ProductSprint Backlog'!$I266=N$2), 'ProductSprint Backlog'!$F266, TRUE, 0)</f>
        <v>0</v>
      </c>
      <c r="O266" s="4" cm="1">
        <f t="array" ref="O266">_xlfn.IFS('ProductSprint Backlog'!$F266="", "", AND('ProductSprint Backlog'!$J266&gt;O$2,'ProductSprint Backlog'!$I266&lt;=O$2), 'ProductSprint Backlog'!$F266 / MAX(1, 'ProductSprint Backlog'!$J266-'ProductSprint Backlog'!$I266), AND('ProductSprint Backlog'!$J266=O$2,'ProductSprint Backlog'!$I266=O$2), 'ProductSprint Backlog'!$F266, TRUE, 0)</f>
        <v>0</v>
      </c>
      <c r="P266" s="4" cm="1">
        <f t="array" ref="P266">_xlfn.IFS('ProductSprint Backlog'!$F266="", "", AND('ProductSprint Backlog'!$J266&gt;P$2,'ProductSprint Backlog'!$I266&lt;=P$2), 'ProductSprint Backlog'!$F266 / MAX(1, 'ProductSprint Backlog'!$J266-'ProductSprint Backlog'!$I266), AND('ProductSprint Backlog'!$J266=P$2,'ProductSprint Backlog'!$I266=P$2), 'ProductSprint Backlog'!$F266, TRUE, 0)</f>
        <v>0</v>
      </c>
      <c r="Q266" s="4" cm="1">
        <f t="array" ref="Q266">_xlfn.IFS('ProductSprint Backlog'!$F266="", "", AND('ProductSprint Backlog'!$J266&gt;Q$2,'ProductSprint Backlog'!$I266&lt;=Q$2), 'ProductSprint Backlog'!$F266 / MAX(1, 'ProductSprint Backlog'!$J266-'ProductSprint Backlog'!$I266), AND('ProductSprint Backlog'!$J266=Q$2,'ProductSprint Backlog'!$I266=Q$2), 'ProductSprint Backlog'!$F266, TRUE, 0)</f>
        <v>0</v>
      </c>
    </row>
    <row r="267" spans="2:17" x14ac:dyDescent="0.2">
      <c r="B267" s="4" cm="1">
        <f t="array" ref="B267">_xlfn.IFS('ProductSprint Backlog'!$F267="", "", AND('ProductSprint Backlog'!$J267&gt;B$2,'ProductSprint Backlog'!$I267&lt;=B$2), 'ProductSprint Backlog'!$F267 / MAX(1, 'ProductSprint Backlog'!$J267-'ProductSprint Backlog'!$I267), AND('ProductSprint Backlog'!$J267=B$2,'ProductSprint Backlog'!$I267=B$2), 'ProductSprint Backlog'!$F267, TRUE, 0)</f>
        <v>0</v>
      </c>
      <c r="C267" s="4" cm="1">
        <f t="array" ref="C267">_xlfn.IFS('ProductSprint Backlog'!$F267="", "", AND('ProductSprint Backlog'!$J267&gt;C$2,'ProductSprint Backlog'!$I267&lt;=C$2), 'ProductSprint Backlog'!$F267 / MAX(1, 'ProductSprint Backlog'!$J267-'ProductSprint Backlog'!$I267), AND('ProductSprint Backlog'!$J267=C$2,'ProductSprint Backlog'!$I267=C$2), 'ProductSprint Backlog'!$F267, TRUE, 0)</f>
        <v>0</v>
      </c>
      <c r="D267" s="4" cm="1">
        <f t="array" ref="D267">_xlfn.IFS('ProductSprint Backlog'!$F267="", "", AND('ProductSprint Backlog'!$J267&gt;D$2,'ProductSprint Backlog'!$I267&lt;=D$2), 'ProductSprint Backlog'!$F267 / MAX(1, 'ProductSprint Backlog'!$J267-'ProductSprint Backlog'!$I267), AND('ProductSprint Backlog'!$J267=D$2,'ProductSprint Backlog'!$I267=D$2), 'ProductSprint Backlog'!$F267, TRUE, 0)</f>
        <v>1</v>
      </c>
      <c r="E267" s="4" cm="1">
        <f t="array" ref="E267">_xlfn.IFS('ProductSprint Backlog'!$F267="", "", AND('ProductSprint Backlog'!$J267&gt;E$2,'ProductSprint Backlog'!$I267&lt;=E$2), 'ProductSprint Backlog'!$F267 / MAX(1, 'ProductSprint Backlog'!$J267-'ProductSprint Backlog'!$I267), AND('ProductSprint Backlog'!$J267=E$2,'ProductSprint Backlog'!$I267=E$2), 'ProductSprint Backlog'!$F267, TRUE, 0)</f>
        <v>0</v>
      </c>
      <c r="F267" s="4" cm="1">
        <f t="array" ref="F267">_xlfn.IFS('ProductSprint Backlog'!$F267="", "", AND('ProductSprint Backlog'!$J267&gt;F$2,'ProductSprint Backlog'!$I267&lt;=F$2), 'ProductSprint Backlog'!$F267 / MAX(1, 'ProductSprint Backlog'!$J267-'ProductSprint Backlog'!$I267), AND('ProductSprint Backlog'!$J267=F$2,'ProductSprint Backlog'!$I267=F$2), 'ProductSprint Backlog'!$F267, TRUE, 0)</f>
        <v>0</v>
      </c>
      <c r="G267" s="4" cm="1">
        <f t="array" ref="G267">_xlfn.IFS('ProductSprint Backlog'!$F267="", "", AND('ProductSprint Backlog'!$J267&gt;G$2,'ProductSprint Backlog'!$I267&lt;=G$2), 'ProductSprint Backlog'!$F267 / MAX(1, 'ProductSprint Backlog'!$J267-'ProductSprint Backlog'!$I267), AND('ProductSprint Backlog'!$J267=G$2,'ProductSprint Backlog'!$I267=G$2), 'ProductSprint Backlog'!$F267, TRUE, 0)</f>
        <v>0</v>
      </c>
      <c r="H267" s="4" cm="1">
        <f t="array" ref="H267">_xlfn.IFS('ProductSprint Backlog'!$F267="", "", AND('ProductSprint Backlog'!$J267&gt;H$2,'ProductSprint Backlog'!$I267&lt;=H$2), 'ProductSprint Backlog'!$F267 / MAX(1, 'ProductSprint Backlog'!$J267-'ProductSprint Backlog'!$I267), AND('ProductSprint Backlog'!$J267=H$2,'ProductSprint Backlog'!$I267=H$2), 'ProductSprint Backlog'!$F267, TRUE, 0)</f>
        <v>0</v>
      </c>
      <c r="I267" s="4" cm="1">
        <f t="array" ref="I267">_xlfn.IFS('ProductSprint Backlog'!$F267="", "", AND('ProductSprint Backlog'!$J267&gt;I$2,'ProductSprint Backlog'!$I267&lt;=I$2), 'ProductSprint Backlog'!$F267 / MAX(1, 'ProductSprint Backlog'!$J267-'ProductSprint Backlog'!$I267), AND('ProductSprint Backlog'!$J267=I$2,'ProductSprint Backlog'!$I267=I$2), 'ProductSprint Backlog'!$F267, TRUE, 0)</f>
        <v>0</v>
      </c>
      <c r="J267" s="4" cm="1">
        <f t="array" ref="J267">_xlfn.IFS('ProductSprint Backlog'!$F267="", "", AND('ProductSprint Backlog'!$J267&gt;J$2,'ProductSprint Backlog'!$I267&lt;=J$2), 'ProductSprint Backlog'!$F267 / MAX(1, 'ProductSprint Backlog'!$J267-'ProductSprint Backlog'!$I267), AND('ProductSprint Backlog'!$J267=J$2,'ProductSprint Backlog'!$I267=J$2), 'ProductSprint Backlog'!$F267, TRUE, 0)</f>
        <v>0</v>
      </c>
      <c r="K267" s="4" cm="1">
        <f t="array" ref="K267">_xlfn.IFS('ProductSprint Backlog'!$F267="", "", AND('ProductSprint Backlog'!$J267&gt;K$2,'ProductSprint Backlog'!$I267&lt;=K$2), 'ProductSprint Backlog'!$F267 / MAX(1, 'ProductSprint Backlog'!$J267-'ProductSprint Backlog'!$I267), AND('ProductSprint Backlog'!$J267=K$2,'ProductSprint Backlog'!$I267=K$2), 'ProductSprint Backlog'!$F267, TRUE, 0)</f>
        <v>0</v>
      </c>
      <c r="L267" s="4" cm="1">
        <f t="array" ref="L267">_xlfn.IFS('ProductSprint Backlog'!$F267="", "", AND('ProductSprint Backlog'!$J267&gt;L$2,'ProductSprint Backlog'!$I267&lt;=L$2), 'ProductSprint Backlog'!$F267 / MAX(1, 'ProductSprint Backlog'!$J267-'ProductSprint Backlog'!$I267), AND('ProductSprint Backlog'!$J267=L$2,'ProductSprint Backlog'!$I267=L$2), 'ProductSprint Backlog'!$F267, TRUE, 0)</f>
        <v>0</v>
      </c>
      <c r="M267" s="4" cm="1">
        <f t="array" ref="M267">_xlfn.IFS('ProductSprint Backlog'!$F267="", "", AND('ProductSprint Backlog'!$J267&gt;M$2,'ProductSprint Backlog'!$I267&lt;=M$2), 'ProductSprint Backlog'!$F267 / MAX(1, 'ProductSprint Backlog'!$J267-'ProductSprint Backlog'!$I267), AND('ProductSprint Backlog'!$J267=M$2,'ProductSprint Backlog'!$I267=M$2), 'ProductSprint Backlog'!$F267, TRUE, 0)</f>
        <v>0</v>
      </c>
      <c r="N267" s="4" cm="1">
        <f t="array" ref="N267">_xlfn.IFS('ProductSprint Backlog'!$F267="", "", AND('ProductSprint Backlog'!$J267&gt;N$2,'ProductSprint Backlog'!$I267&lt;=N$2), 'ProductSprint Backlog'!$F267 / MAX(1, 'ProductSprint Backlog'!$J267-'ProductSprint Backlog'!$I267), AND('ProductSprint Backlog'!$J267=N$2,'ProductSprint Backlog'!$I267=N$2), 'ProductSprint Backlog'!$F267, TRUE, 0)</f>
        <v>0</v>
      </c>
      <c r="O267" s="4" cm="1">
        <f t="array" ref="O267">_xlfn.IFS('ProductSprint Backlog'!$F267="", "", AND('ProductSprint Backlog'!$J267&gt;O$2,'ProductSprint Backlog'!$I267&lt;=O$2), 'ProductSprint Backlog'!$F267 / MAX(1, 'ProductSprint Backlog'!$J267-'ProductSprint Backlog'!$I267), AND('ProductSprint Backlog'!$J267=O$2,'ProductSprint Backlog'!$I267=O$2), 'ProductSprint Backlog'!$F267, TRUE, 0)</f>
        <v>0</v>
      </c>
      <c r="P267" s="4" cm="1">
        <f t="array" ref="P267">_xlfn.IFS('ProductSprint Backlog'!$F267="", "", AND('ProductSprint Backlog'!$J267&gt;P$2,'ProductSprint Backlog'!$I267&lt;=P$2), 'ProductSprint Backlog'!$F267 / MAX(1, 'ProductSprint Backlog'!$J267-'ProductSprint Backlog'!$I267), AND('ProductSprint Backlog'!$J267=P$2,'ProductSprint Backlog'!$I267=P$2), 'ProductSprint Backlog'!$F267, TRUE, 0)</f>
        <v>0</v>
      </c>
      <c r="Q267" s="4" cm="1">
        <f t="array" ref="Q267">_xlfn.IFS('ProductSprint Backlog'!$F267="", "", AND('ProductSprint Backlog'!$J267&gt;Q$2,'ProductSprint Backlog'!$I267&lt;=Q$2), 'ProductSprint Backlog'!$F267 / MAX(1, 'ProductSprint Backlog'!$J267-'ProductSprint Backlog'!$I267), AND('ProductSprint Backlog'!$J267=Q$2,'ProductSprint Backlog'!$I267=Q$2), 'ProductSprint Backlog'!$F267, TRUE, 0)</f>
        <v>0</v>
      </c>
    </row>
    <row r="268" spans="2:17" x14ac:dyDescent="0.2">
      <c r="B268" s="4" cm="1">
        <f t="array" ref="B268">_xlfn.IFS('ProductSprint Backlog'!$F268="", "", AND('ProductSprint Backlog'!$J268&gt;B$2,'ProductSprint Backlog'!$I268&lt;=B$2), 'ProductSprint Backlog'!$F268 / MAX(1, 'ProductSprint Backlog'!$J268-'ProductSprint Backlog'!$I268), AND('ProductSprint Backlog'!$J268=B$2,'ProductSprint Backlog'!$I268=B$2), 'ProductSprint Backlog'!$F268, TRUE, 0)</f>
        <v>0</v>
      </c>
      <c r="C268" s="4" cm="1">
        <f t="array" ref="C268">_xlfn.IFS('ProductSprint Backlog'!$F268="", "", AND('ProductSprint Backlog'!$J268&gt;C$2,'ProductSprint Backlog'!$I268&lt;=C$2), 'ProductSprint Backlog'!$F268 / MAX(1, 'ProductSprint Backlog'!$J268-'ProductSprint Backlog'!$I268), AND('ProductSprint Backlog'!$J268=C$2,'ProductSprint Backlog'!$I268=C$2), 'ProductSprint Backlog'!$F268, TRUE, 0)</f>
        <v>0</v>
      </c>
      <c r="D268" s="4" cm="1">
        <f t="array" ref="D268">_xlfn.IFS('ProductSprint Backlog'!$F268="", "", AND('ProductSprint Backlog'!$J268&gt;D$2,'ProductSprint Backlog'!$I268&lt;=D$2), 'ProductSprint Backlog'!$F268 / MAX(1, 'ProductSprint Backlog'!$J268-'ProductSprint Backlog'!$I268), AND('ProductSprint Backlog'!$J268=D$2,'ProductSprint Backlog'!$I268=D$2), 'ProductSprint Backlog'!$F268, TRUE, 0)</f>
        <v>0</v>
      </c>
      <c r="E268" s="4" cm="1">
        <f t="array" ref="E268">_xlfn.IFS('ProductSprint Backlog'!$F268="", "", AND('ProductSprint Backlog'!$J268&gt;E$2,'ProductSprint Backlog'!$I268&lt;=E$2), 'ProductSprint Backlog'!$F268 / MAX(1, 'ProductSprint Backlog'!$J268-'ProductSprint Backlog'!$I268), AND('ProductSprint Backlog'!$J268=E$2,'ProductSprint Backlog'!$I268=E$2), 'ProductSprint Backlog'!$F268, TRUE, 0)</f>
        <v>1</v>
      </c>
      <c r="F268" s="4" cm="1">
        <f t="array" ref="F268">_xlfn.IFS('ProductSprint Backlog'!$F268="", "", AND('ProductSprint Backlog'!$J268&gt;F$2,'ProductSprint Backlog'!$I268&lt;=F$2), 'ProductSprint Backlog'!$F268 / MAX(1, 'ProductSprint Backlog'!$J268-'ProductSprint Backlog'!$I268), AND('ProductSprint Backlog'!$J268=F$2,'ProductSprint Backlog'!$I268=F$2), 'ProductSprint Backlog'!$F268, TRUE, 0)</f>
        <v>0</v>
      </c>
      <c r="G268" s="4" cm="1">
        <f t="array" ref="G268">_xlfn.IFS('ProductSprint Backlog'!$F268="", "", AND('ProductSprint Backlog'!$J268&gt;G$2,'ProductSprint Backlog'!$I268&lt;=G$2), 'ProductSprint Backlog'!$F268 / MAX(1, 'ProductSprint Backlog'!$J268-'ProductSprint Backlog'!$I268), AND('ProductSprint Backlog'!$J268=G$2,'ProductSprint Backlog'!$I268=G$2), 'ProductSprint Backlog'!$F268, TRUE, 0)</f>
        <v>0</v>
      </c>
      <c r="H268" s="4" cm="1">
        <f t="array" ref="H268">_xlfn.IFS('ProductSprint Backlog'!$F268="", "", AND('ProductSprint Backlog'!$J268&gt;H$2,'ProductSprint Backlog'!$I268&lt;=H$2), 'ProductSprint Backlog'!$F268 / MAX(1, 'ProductSprint Backlog'!$J268-'ProductSprint Backlog'!$I268), AND('ProductSprint Backlog'!$J268=H$2,'ProductSprint Backlog'!$I268=H$2), 'ProductSprint Backlog'!$F268, TRUE, 0)</f>
        <v>0</v>
      </c>
      <c r="I268" s="4" cm="1">
        <f t="array" ref="I268">_xlfn.IFS('ProductSprint Backlog'!$F268="", "", AND('ProductSprint Backlog'!$J268&gt;I$2,'ProductSprint Backlog'!$I268&lt;=I$2), 'ProductSprint Backlog'!$F268 / MAX(1, 'ProductSprint Backlog'!$J268-'ProductSprint Backlog'!$I268), AND('ProductSprint Backlog'!$J268=I$2,'ProductSprint Backlog'!$I268=I$2), 'ProductSprint Backlog'!$F268, TRUE, 0)</f>
        <v>0</v>
      </c>
      <c r="J268" s="4" cm="1">
        <f t="array" ref="J268">_xlfn.IFS('ProductSprint Backlog'!$F268="", "", AND('ProductSprint Backlog'!$J268&gt;J$2,'ProductSprint Backlog'!$I268&lt;=J$2), 'ProductSprint Backlog'!$F268 / MAX(1, 'ProductSprint Backlog'!$J268-'ProductSprint Backlog'!$I268), AND('ProductSprint Backlog'!$J268=J$2,'ProductSprint Backlog'!$I268=J$2), 'ProductSprint Backlog'!$F268, TRUE, 0)</f>
        <v>0</v>
      </c>
      <c r="K268" s="4" cm="1">
        <f t="array" ref="K268">_xlfn.IFS('ProductSprint Backlog'!$F268="", "", AND('ProductSprint Backlog'!$J268&gt;K$2,'ProductSprint Backlog'!$I268&lt;=K$2), 'ProductSprint Backlog'!$F268 / MAX(1, 'ProductSprint Backlog'!$J268-'ProductSprint Backlog'!$I268), AND('ProductSprint Backlog'!$J268=K$2,'ProductSprint Backlog'!$I268=K$2), 'ProductSprint Backlog'!$F268, TRUE, 0)</f>
        <v>0</v>
      </c>
      <c r="L268" s="4" cm="1">
        <f t="array" ref="L268">_xlfn.IFS('ProductSprint Backlog'!$F268="", "", AND('ProductSprint Backlog'!$J268&gt;L$2,'ProductSprint Backlog'!$I268&lt;=L$2), 'ProductSprint Backlog'!$F268 / MAX(1, 'ProductSprint Backlog'!$J268-'ProductSprint Backlog'!$I268), AND('ProductSprint Backlog'!$J268=L$2,'ProductSprint Backlog'!$I268=L$2), 'ProductSprint Backlog'!$F268, TRUE, 0)</f>
        <v>0</v>
      </c>
      <c r="M268" s="4" cm="1">
        <f t="array" ref="M268">_xlfn.IFS('ProductSprint Backlog'!$F268="", "", AND('ProductSprint Backlog'!$J268&gt;M$2,'ProductSprint Backlog'!$I268&lt;=M$2), 'ProductSprint Backlog'!$F268 / MAX(1, 'ProductSprint Backlog'!$J268-'ProductSprint Backlog'!$I268), AND('ProductSprint Backlog'!$J268=M$2,'ProductSprint Backlog'!$I268=M$2), 'ProductSprint Backlog'!$F268, TRUE, 0)</f>
        <v>0</v>
      </c>
      <c r="N268" s="4" cm="1">
        <f t="array" ref="N268">_xlfn.IFS('ProductSprint Backlog'!$F268="", "", AND('ProductSprint Backlog'!$J268&gt;N$2,'ProductSprint Backlog'!$I268&lt;=N$2), 'ProductSprint Backlog'!$F268 / MAX(1, 'ProductSprint Backlog'!$J268-'ProductSprint Backlog'!$I268), AND('ProductSprint Backlog'!$J268=N$2,'ProductSprint Backlog'!$I268=N$2), 'ProductSprint Backlog'!$F268, TRUE, 0)</f>
        <v>0</v>
      </c>
      <c r="O268" s="4" cm="1">
        <f t="array" ref="O268">_xlfn.IFS('ProductSprint Backlog'!$F268="", "", AND('ProductSprint Backlog'!$J268&gt;O$2,'ProductSprint Backlog'!$I268&lt;=O$2), 'ProductSprint Backlog'!$F268 / MAX(1, 'ProductSprint Backlog'!$J268-'ProductSprint Backlog'!$I268), AND('ProductSprint Backlog'!$J268=O$2,'ProductSprint Backlog'!$I268=O$2), 'ProductSprint Backlog'!$F268, TRUE, 0)</f>
        <v>0</v>
      </c>
      <c r="P268" s="4" cm="1">
        <f t="array" ref="P268">_xlfn.IFS('ProductSprint Backlog'!$F268="", "", AND('ProductSprint Backlog'!$J268&gt;P$2,'ProductSprint Backlog'!$I268&lt;=P$2), 'ProductSprint Backlog'!$F268 / MAX(1, 'ProductSprint Backlog'!$J268-'ProductSprint Backlog'!$I268), AND('ProductSprint Backlog'!$J268=P$2,'ProductSprint Backlog'!$I268=P$2), 'ProductSprint Backlog'!$F268, TRUE, 0)</f>
        <v>0</v>
      </c>
      <c r="Q268" s="4" cm="1">
        <f t="array" ref="Q268">_xlfn.IFS('ProductSprint Backlog'!$F268="", "", AND('ProductSprint Backlog'!$J268&gt;Q$2,'ProductSprint Backlog'!$I268&lt;=Q$2), 'ProductSprint Backlog'!$F268 / MAX(1, 'ProductSprint Backlog'!$J268-'ProductSprint Backlog'!$I268), AND('ProductSprint Backlog'!$J268=Q$2,'ProductSprint Backlog'!$I268=Q$2), 'ProductSprint Backlog'!$F268, TRUE, 0)</f>
        <v>0</v>
      </c>
    </row>
    <row r="269" spans="2:17" x14ac:dyDescent="0.2">
      <c r="B269" s="4" cm="1">
        <f t="array" ref="B269">_xlfn.IFS('ProductSprint Backlog'!$F269="", "", AND('ProductSprint Backlog'!$J269&gt;B$2,'ProductSprint Backlog'!$I269&lt;=B$2), 'ProductSprint Backlog'!$F269 / MAX(1, 'ProductSprint Backlog'!$J269-'ProductSprint Backlog'!$I269), AND('ProductSprint Backlog'!$J269=B$2,'ProductSprint Backlog'!$I269=B$2), 'ProductSprint Backlog'!$F269, TRUE, 0)</f>
        <v>0</v>
      </c>
      <c r="C269" s="4" cm="1">
        <f t="array" ref="C269">_xlfn.IFS('ProductSprint Backlog'!$F269="", "", AND('ProductSprint Backlog'!$J269&gt;C$2,'ProductSprint Backlog'!$I269&lt;=C$2), 'ProductSprint Backlog'!$F269 / MAX(1, 'ProductSprint Backlog'!$J269-'ProductSprint Backlog'!$I269), AND('ProductSprint Backlog'!$J269=C$2,'ProductSprint Backlog'!$I269=C$2), 'ProductSprint Backlog'!$F269, TRUE, 0)</f>
        <v>0</v>
      </c>
      <c r="D269" s="4" cm="1">
        <f t="array" ref="D269">_xlfn.IFS('ProductSprint Backlog'!$F269="", "", AND('ProductSprint Backlog'!$J269&gt;D$2,'ProductSprint Backlog'!$I269&lt;=D$2), 'ProductSprint Backlog'!$F269 / MAX(1, 'ProductSprint Backlog'!$J269-'ProductSprint Backlog'!$I269), AND('ProductSprint Backlog'!$J269=D$2,'ProductSprint Backlog'!$I269=D$2), 'ProductSprint Backlog'!$F269, TRUE, 0)</f>
        <v>0</v>
      </c>
      <c r="E269" s="4" cm="1">
        <f t="array" ref="E269">_xlfn.IFS('ProductSprint Backlog'!$F269="", "", AND('ProductSprint Backlog'!$J269&gt;E$2,'ProductSprint Backlog'!$I269&lt;=E$2), 'ProductSprint Backlog'!$F269 / MAX(1, 'ProductSprint Backlog'!$J269-'ProductSprint Backlog'!$I269), AND('ProductSprint Backlog'!$J269=E$2,'ProductSprint Backlog'!$I269=E$2), 'ProductSprint Backlog'!$F269, TRUE, 0)</f>
        <v>0</v>
      </c>
      <c r="F269" s="4" cm="1">
        <f t="array" ref="F269">_xlfn.IFS('ProductSprint Backlog'!$F269="", "", AND('ProductSprint Backlog'!$J269&gt;F$2,'ProductSprint Backlog'!$I269&lt;=F$2), 'ProductSprint Backlog'!$F269 / MAX(1, 'ProductSprint Backlog'!$J269-'ProductSprint Backlog'!$I269), AND('ProductSprint Backlog'!$J269=F$2,'ProductSprint Backlog'!$I269=F$2), 'ProductSprint Backlog'!$F269, TRUE, 0)</f>
        <v>0.5</v>
      </c>
      <c r="G269" s="4" cm="1">
        <f t="array" ref="G269">_xlfn.IFS('ProductSprint Backlog'!$F269="", "", AND('ProductSprint Backlog'!$J269&gt;G$2,'ProductSprint Backlog'!$I269&lt;=G$2), 'ProductSprint Backlog'!$F269 / MAX(1, 'ProductSprint Backlog'!$J269-'ProductSprint Backlog'!$I269), AND('ProductSprint Backlog'!$J269=G$2,'ProductSprint Backlog'!$I269=G$2), 'ProductSprint Backlog'!$F269, TRUE, 0)</f>
        <v>0</v>
      </c>
      <c r="H269" s="4" cm="1">
        <f t="array" ref="H269">_xlfn.IFS('ProductSprint Backlog'!$F269="", "", AND('ProductSprint Backlog'!$J269&gt;H$2,'ProductSprint Backlog'!$I269&lt;=H$2), 'ProductSprint Backlog'!$F269 / MAX(1, 'ProductSprint Backlog'!$J269-'ProductSprint Backlog'!$I269), AND('ProductSprint Backlog'!$J269=H$2,'ProductSprint Backlog'!$I269=H$2), 'ProductSprint Backlog'!$F269, TRUE, 0)</f>
        <v>0</v>
      </c>
      <c r="I269" s="4" cm="1">
        <f t="array" ref="I269">_xlfn.IFS('ProductSprint Backlog'!$F269="", "", AND('ProductSprint Backlog'!$J269&gt;I$2,'ProductSprint Backlog'!$I269&lt;=I$2), 'ProductSprint Backlog'!$F269 / MAX(1, 'ProductSprint Backlog'!$J269-'ProductSprint Backlog'!$I269), AND('ProductSprint Backlog'!$J269=I$2,'ProductSprint Backlog'!$I269=I$2), 'ProductSprint Backlog'!$F269, TRUE, 0)</f>
        <v>0</v>
      </c>
      <c r="J269" s="4" cm="1">
        <f t="array" ref="J269">_xlfn.IFS('ProductSprint Backlog'!$F269="", "", AND('ProductSprint Backlog'!$J269&gt;J$2,'ProductSprint Backlog'!$I269&lt;=J$2), 'ProductSprint Backlog'!$F269 / MAX(1, 'ProductSprint Backlog'!$J269-'ProductSprint Backlog'!$I269), AND('ProductSprint Backlog'!$J269=J$2,'ProductSprint Backlog'!$I269=J$2), 'ProductSprint Backlog'!$F269, TRUE, 0)</f>
        <v>0</v>
      </c>
      <c r="K269" s="4" cm="1">
        <f t="array" ref="K269">_xlfn.IFS('ProductSprint Backlog'!$F269="", "", AND('ProductSprint Backlog'!$J269&gt;K$2,'ProductSprint Backlog'!$I269&lt;=K$2), 'ProductSprint Backlog'!$F269 / MAX(1, 'ProductSprint Backlog'!$J269-'ProductSprint Backlog'!$I269), AND('ProductSprint Backlog'!$J269=K$2,'ProductSprint Backlog'!$I269=K$2), 'ProductSprint Backlog'!$F269, TRUE, 0)</f>
        <v>0</v>
      </c>
      <c r="L269" s="4" cm="1">
        <f t="array" ref="L269">_xlfn.IFS('ProductSprint Backlog'!$F269="", "", AND('ProductSprint Backlog'!$J269&gt;L$2,'ProductSprint Backlog'!$I269&lt;=L$2), 'ProductSprint Backlog'!$F269 / MAX(1, 'ProductSprint Backlog'!$J269-'ProductSprint Backlog'!$I269), AND('ProductSprint Backlog'!$J269=L$2,'ProductSprint Backlog'!$I269=L$2), 'ProductSprint Backlog'!$F269, TRUE, 0)</f>
        <v>0</v>
      </c>
      <c r="M269" s="4" cm="1">
        <f t="array" ref="M269">_xlfn.IFS('ProductSprint Backlog'!$F269="", "", AND('ProductSprint Backlog'!$J269&gt;M$2,'ProductSprint Backlog'!$I269&lt;=M$2), 'ProductSprint Backlog'!$F269 / MAX(1, 'ProductSprint Backlog'!$J269-'ProductSprint Backlog'!$I269), AND('ProductSprint Backlog'!$J269=M$2,'ProductSprint Backlog'!$I269=M$2), 'ProductSprint Backlog'!$F269, TRUE, 0)</f>
        <v>0</v>
      </c>
      <c r="N269" s="4" cm="1">
        <f t="array" ref="N269">_xlfn.IFS('ProductSprint Backlog'!$F269="", "", AND('ProductSprint Backlog'!$J269&gt;N$2,'ProductSprint Backlog'!$I269&lt;=N$2), 'ProductSprint Backlog'!$F269 / MAX(1, 'ProductSprint Backlog'!$J269-'ProductSprint Backlog'!$I269), AND('ProductSprint Backlog'!$J269=N$2,'ProductSprint Backlog'!$I269=N$2), 'ProductSprint Backlog'!$F269, TRUE, 0)</f>
        <v>0</v>
      </c>
      <c r="O269" s="4" cm="1">
        <f t="array" ref="O269">_xlfn.IFS('ProductSprint Backlog'!$F269="", "", AND('ProductSprint Backlog'!$J269&gt;O$2,'ProductSprint Backlog'!$I269&lt;=O$2), 'ProductSprint Backlog'!$F269 / MAX(1, 'ProductSprint Backlog'!$J269-'ProductSprint Backlog'!$I269), AND('ProductSprint Backlog'!$J269=O$2,'ProductSprint Backlog'!$I269=O$2), 'ProductSprint Backlog'!$F269, TRUE, 0)</f>
        <v>0</v>
      </c>
      <c r="P269" s="4" cm="1">
        <f t="array" ref="P269">_xlfn.IFS('ProductSprint Backlog'!$F269="", "", AND('ProductSprint Backlog'!$J269&gt;P$2,'ProductSprint Backlog'!$I269&lt;=P$2), 'ProductSprint Backlog'!$F269 / MAX(1, 'ProductSprint Backlog'!$J269-'ProductSprint Backlog'!$I269), AND('ProductSprint Backlog'!$J269=P$2,'ProductSprint Backlog'!$I269=P$2), 'ProductSprint Backlog'!$F269, TRUE, 0)</f>
        <v>0</v>
      </c>
      <c r="Q269" s="4" cm="1">
        <f t="array" ref="Q269">_xlfn.IFS('ProductSprint Backlog'!$F269="", "", AND('ProductSprint Backlog'!$J269&gt;Q$2,'ProductSprint Backlog'!$I269&lt;=Q$2), 'ProductSprint Backlog'!$F269 / MAX(1, 'ProductSprint Backlog'!$J269-'ProductSprint Backlog'!$I269), AND('ProductSprint Backlog'!$J269=Q$2,'ProductSprint Backlog'!$I269=Q$2), 'ProductSprint Backlog'!$F269, TRUE, 0)</f>
        <v>0</v>
      </c>
    </row>
    <row r="270" spans="2:17" x14ac:dyDescent="0.2">
      <c r="B270" s="4" cm="1">
        <f t="array" ref="B270">_xlfn.IFS('ProductSprint Backlog'!$F270="", "", AND('ProductSprint Backlog'!$J270&gt;B$2,'ProductSprint Backlog'!$I270&lt;=B$2), 'ProductSprint Backlog'!$F270 / MAX(1, 'ProductSprint Backlog'!$J270-'ProductSprint Backlog'!$I270), AND('ProductSprint Backlog'!$J270=B$2,'ProductSprint Backlog'!$I270=B$2), 'ProductSprint Backlog'!$F270, TRUE, 0)</f>
        <v>0</v>
      </c>
      <c r="C270" s="4" cm="1">
        <f t="array" ref="C270">_xlfn.IFS('ProductSprint Backlog'!$F270="", "", AND('ProductSprint Backlog'!$J270&gt;C$2,'ProductSprint Backlog'!$I270&lt;=C$2), 'ProductSprint Backlog'!$F270 / MAX(1, 'ProductSprint Backlog'!$J270-'ProductSprint Backlog'!$I270), AND('ProductSprint Backlog'!$J270=C$2,'ProductSprint Backlog'!$I270=C$2), 'ProductSprint Backlog'!$F270, TRUE, 0)</f>
        <v>0</v>
      </c>
      <c r="D270" s="4" cm="1">
        <f t="array" ref="D270">_xlfn.IFS('ProductSprint Backlog'!$F270="", "", AND('ProductSprint Backlog'!$J270&gt;D$2,'ProductSprint Backlog'!$I270&lt;=D$2), 'ProductSprint Backlog'!$F270 / MAX(1, 'ProductSprint Backlog'!$J270-'ProductSprint Backlog'!$I270), AND('ProductSprint Backlog'!$J270=D$2,'ProductSprint Backlog'!$I270=D$2), 'ProductSprint Backlog'!$F270, TRUE, 0)</f>
        <v>0</v>
      </c>
      <c r="E270" s="4" cm="1">
        <f t="array" ref="E270">_xlfn.IFS('ProductSprint Backlog'!$F270="", "", AND('ProductSprint Backlog'!$J270&gt;E$2,'ProductSprint Backlog'!$I270&lt;=E$2), 'ProductSprint Backlog'!$F270 / MAX(1, 'ProductSprint Backlog'!$J270-'ProductSprint Backlog'!$I270), AND('ProductSprint Backlog'!$J270=E$2,'ProductSprint Backlog'!$I270=E$2), 'ProductSprint Backlog'!$F270, TRUE, 0)</f>
        <v>0</v>
      </c>
      <c r="F270" s="4" cm="1">
        <f t="array" ref="F270">_xlfn.IFS('ProductSprint Backlog'!$F270="", "", AND('ProductSprint Backlog'!$J270&gt;F$2,'ProductSprint Backlog'!$I270&lt;=F$2), 'ProductSprint Backlog'!$F270 / MAX(1, 'ProductSprint Backlog'!$J270-'ProductSprint Backlog'!$I270), AND('ProductSprint Backlog'!$J270=F$2,'ProductSprint Backlog'!$I270=F$2), 'ProductSprint Backlog'!$F270, TRUE, 0)</f>
        <v>1</v>
      </c>
      <c r="G270" s="4" cm="1">
        <f t="array" ref="G270">_xlfn.IFS('ProductSprint Backlog'!$F270="", "", AND('ProductSprint Backlog'!$J270&gt;G$2,'ProductSprint Backlog'!$I270&lt;=G$2), 'ProductSprint Backlog'!$F270 / MAX(1, 'ProductSprint Backlog'!$J270-'ProductSprint Backlog'!$I270), AND('ProductSprint Backlog'!$J270=G$2,'ProductSprint Backlog'!$I270=G$2), 'ProductSprint Backlog'!$F270, TRUE, 0)</f>
        <v>0</v>
      </c>
      <c r="H270" s="4" cm="1">
        <f t="array" ref="H270">_xlfn.IFS('ProductSprint Backlog'!$F270="", "", AND('ProductSprint Backlog'!$J270&gt;H$2,'ProductSprint Backlog'!$I270&lt;=H$2), 'ProductSprint Backlog'!$F270 / MAX(1, 'ProductSprint Backlog'!$J270-'ProductSprint Backlog'!$I270), AND('ProductSprint Backlog'!$J270=H$2,'ProductSprint Backlog'!$I270=H$2), 'ProductSprint Backlog'!$F270, TRUE, 0)</f>
        <v>0</v>
      </c>
      <c r="I270" s="4" cm="1">
        <f t="array" ref="I270">_xlfn.IFS('ProductSprint Backlog'!$F270="", "", AND('ProductSprint Backlog'!$J270&gt;I$2,'ProductSprint Backlog'!$I270&lt;=I$2), 'ProductSprint Backlog'!$F270 / MAX(1, 'ProductSprint Backlog'!$J270-'ProductSprint Backlog'!$I270), AND('ProductSprint Backlog'!$J270=I$2,'ProductSprint Backlog'!$I270=I$2), 'ProductSprint Backlog'!$F270, TRUE, 0)</f>
        <v>0</v>
      </c>
      <c r="J270" s="4" cm="1">
        <f t="array" ref="J270">_xlfn.IFS('ProductSprint Backlog'!$F270="", "", AND('ProductSprint Backlog'!$J270&gt;J$2,'ProductSprint Backlog'!$I270&lt;=J$2), 'ProductSprint Backlog'!$F270 / MAX(1, 'ProductSprint Backlog'!$J270-'ProductSprint Backlog'!$I270), AND('ProductSprint Backlog'!$J270=J$2,'ProductSprint Backlog'!$I270=J$2), 'ProductSprint Backlog'!$F270, TRUE, 0)</f>
        <v>0</v>
      </c>
      <c r="K270" s="4" cm="1">
        <f t="array" ref="K270">_xlfn.IFS('ProductSprint Backlog'!$F270="", "", AND('ProductSprint Backlog'!$J270&gt;K$2,'ProductSprint Backlog'!$I270&lt;=K$2), 'ProductSprint Backlog'!$F270 / MAX(1, 'ProductSprint Backlog'!$J270-'ProductSprint Backlog'!$I270), AND('ProductSprint Backlog'!$J270=K$2,'ProductSprint Backlog'!$I270=K$2), 'ProductSprint Backlog'!$F270, TRUE, 0)</f>
        <v>0</v>
      </c>
      <c r="L270" s="4" cm="1">
        <f t="array" ref="L270">_xlfn.IFS('ProductSprint Backlog'!$F270="", "", AND('ProductSprint Backlog'!$J270&gt;L$2,'ProductSprint Backlog'!$I270&lt;=L$2), 'ProductSprint Backlog'!$F270 / MAX(1, 'ProductSprint Backlog'!$J270-'ProductSprint Backlog'!$I270), AND('ProductSprint Backlog'!$J270=L$2,'ProductSprint Backlog'!$I270=L$2), 'ProductSprint Backlog'!$F270, TRUE, 0)</f>
        <v>0</v>
      </c>
      <c r="M270" s="4" cm="1">
        <f t="array" ref="M270">_xlfn.IFS('ProductSprint Backlog'!$F270="", "", AND('ProductSprint Backlog'!$J270&gt;M$2,'ProductSprint Backlog'!$I270&lt;=M$2), 'ProductSprint Backlog'!$F270 / MAX(1, 'ProductSprint Backlog'!$J270-'ProductSprint Backlog'!$I270), AND('ProductSprint Backlog'!$J270=M$2,'ProductSprint Backlog'!$I270=M$2), 'ProductSprint Backlog'!$F270, TRUE, 0)</f>
        <v>0</v>
      </c>
      <c r="N270" s="4" cm="1">
        <f t="array" ref="N270">_xlfn.IFS('ProductSprint Backlog'!$F270="", "", AND('ProductSprint Backlog'!$J270&gt;N$2,'ProductSprint Backlog'!$I270&lt;=N$2), 'ProductSprint Backlog'!$F270 / MAX(1, 'ProductSprint Backlog'!$J270-'ProductSprint Backlog'!$I270), AND('ProductSprint Backlog'!$J270=N$2,'ProductSprint Backlog'!$I270=N$2), 'ProductSprint Backlog'!$F270, TRUE, 0)</f>
        <v>0</v>
      </c>
      <c r="O270" s="4" cm="1">
        <f t="array" ref="O270">_xlfn.IFS('ProductSprint Backlog'!$F270="", "", AND('ProductSprint Backlog'!$J270&gt;O$2,'ProductSprint Backlog'!$I270&lt;=O$2), 'ProductSprint Backlog'!$F270 / MAX(1, 'ProductSprint Backlog'!$J270-'ProductSprint Backlog'!$I270), AND('ProductSprint Backlog'!$J270=O$2,'ProductSprint Backlog'!$I270=O$2), 'ProductSprint Backlog'!$F270, TRUE, 0)</f>
        <v>0</v>
      </c>
      <c r="P270" s="4" cm="1">
        <f t="array" ref="P270">_xlfn.IFS('ProductSprint Backlog'!$F270="", "", AND('ProductSprint Backlog'!$J270&gt;P$2,'ProductSprint Backlog'!$I270&lt;=P$2), 'ProductSprint Backlog'!$F270 / MAX(1, 'ProductSprint Backlog'!$J270-'ProductSprint Backlog'!$I270), AND('ProductSprint Backlog'!$J270=P$2,'ProductSprint Backlog'!$I270=P$2), 'ProductSprint Backlog'!$F270, TRUE, 0)</f>
        <v>0</v>
      </c>
      <c r="Q270" s="4" cm="1">
        <f t="array" ref="Q270">_xlfn.IFS('ProductSprint Backlog'!$F270="", "", AND('ProductSprint Backlog'!$J270&gt;Q$2,'ProductSprint Backlog'!$I270&lt;=Q$2), 'ProductSprint Backlog'!$F270 / MAX(1, 'ProductSprint Backlog'!$J270-'ProductSprint Backlog'!$I270), AND('ProductSprint Backlog'!$J270=Q$2,'ProductSprint Backlog'!$I270=Q$2), 'ProductSprint Backlog'!$F270, TRUE, 0)</f>
        <v>0</v>
      </c>
    </row>
    <row r="271" spans="2:17" x14ac:dyDescent="0.2">
      <c r="B271" s="4" cm="1">
        <f t="array" ref="B271">_xlfn.IFS('ProductSprint Backlog'!$F271="", "", AND('ProductSprint Backlog'!$J271&gt;B$2,'ProductSprint Backlog'!$I271&lt;=B$2), 'ProductSprint Backlog'!$F271 / MAX(1, 'ProductSprint Backlog'!$J271-'ProductSprint Backlog'!$I271), AND('ProductSprint Backlog'!$J271=B$2,'ProductSprint Backlog'!$I271=B$2), 'ProductSprint Backlog'!$F271, TRUE, 0)</f>
        <v>0</v>
      </c>
      <c r="C271" s="4" cm="1">
        <f t="array" ref="C271">_xlfn.IFS('ProductSprint Backlog'!$F271="", "", AND('ProductSprint Backlog'!$J271&gt;C$2,'ProductSprint Backlog'!$I271&lt;=C$2), 'ProductSprint Backlog'!$F271 / MAX(1, 'ProductSprint Backlog'!$J271-'ProductSprint Backlog'!$I271), AND('ProductSprint Backlog'!$J271=C$2,'ProductSprint Backlog'!$I271=C$2), 'ProductSprint Backlog'!$F271, TRUE, 0)</f>
        <v>0</v>
      </c>
      <c r="D271" s="4" cm="1">
        <f t="array" ref="D271">_xlfn.IFS('ProductSprint Backlog'!$F271="", "", AND('ProductSprint Backlog'!$J271&gt;D$2,'ProductSprint Backlog'!$I271&lt;=D$2), 'ProductSprint Backlog'!$F271 / MAX(1, 'ProductSprint Backlog'!$J271-'ProductSprint Backlog'!$I271), AND('ProductSprint Backlog'!$J271=D$2,'ProductSprint Backlog'!$I271=D$2), 'ProductSprint Backlog'!$F271, TRUE, 0)</f>
        <v>0</v>
      </c>
      <c r="E271" s="4" cm="1">
        <f t="array" ref="E271">_xlfn.IFS('ProductSprint Backlog'!$F271="", "", AND('ProductSprint Backlog'!$J271&gt;E$2,'ProductSprint Backlog'!$I271&lt;=E$2), 'ProductSprint Backlog'!$F271 / MAX(1, 'ProductSprint Backlog'!$J271-'ProductSprint Backlog'!$I271), AND('ProductSprint Backlog'!$J271=E$2,'ProductSprint Backlog'!$I271=E$2), 'ProductSprint Backlog'!$F271, TRUE, 0)</f>
        <v>0</v>
      </c>
      <c r="F271" s="4" cm="1">
        <f t="array" ref="F271">_xlfn.IFS('ProductSprint Backlog'!$F271="", "", AND('ProductSprint Backlog'!$J271&gt;F$2,'ProductSprint Backlog'!$I271&lt;=F$2), 'ProductSprint Backlog'!$F271 / MAX(1, 'ProductSprint Backlog'!$J271-'ProductSprint Backlog'!$I271), AND('ProductSprint Backlog'!$J271=F$2,'ProductSprint Backlog'!$I271=F$2), 'ProductSprint Backlog'!$F271, TRUE, 0)</f>
        <v>0</v>
      </c>
      <c r="G271" s="4" cm="1">
        <f t="array" ref="G271">_xlfn.IFS('ProductSprint Backlog'!$F271="", "", AND('ProductSprint Backlog'!$J271&gt;G$2,'ProductSprint Backlog'!$I271&lt;=G$2), 'ProductSprint Backlog'!$F271 / MAX(1, 'ProductSprint Backlog'!$J271-'ProductSprint Backlog'!$I271), AND('ProductSprint Backlog'!$J271=G$2,'ProductSprint Backlog'!$I271=G$2), 'ProductSprint Backlog'!$F271, TRUE, 0)</f>
        <v>1</v>
      </c>
      <c r="H271" s="4" cm="1">
        <f t="array" ref="H271">_xlfn.IFS('ProductSprint Backlog'!$F271="", "", AND('ProductSprint Backlog'!$J271&gt;H$2,'ProductSprint Backlog'!$I271&lt;=H$2), 'ProductSprint Backlog'!$F271 / MAX(1, 'ProductSprint Backlog'!$J271-'ProductSprint Backlog'!$I271), AND('ProductSprint Backlog'!$J271=H$2,'ProductSprint Backlog'!$I271=H$2), 'ProductSprint Backlog'!$F271, TRUE, 0)</f>
        <v>0</v>
      </c>
      <c r="I271" s="4" cm="1">
        <f t="array" ref="I271">_xlfn.IFS('ProductSprint Backlog'!$F271="", "", AND('ProductSprint Backlog'!$J271&gt;I$2,'ProductSprint Backlog'!$I271&lt;=I$2), 'ProductSprint Backlog'!$F271 / MAX(1, 'ProductSprint Backlog'!$J271-'ProductSprint Backlog'!$I271), AND('ProductSprint Backlog'!$J271=I$2,'ProductSprint Backlog'!$I271=I$2), 'ProductSprint Backlog'!$F271, TRUE, 0)</f>
        <v>0</v>
      </c>
      <c r="J271" s="4" cm="1">
        <f t="array" ref="J271">_xlfn.IFS('ProductSprint Backlog'!$F271="", "", AND('ProductSprint Backlog'!$J271&gt;J$2,'ProductSprint Backlog'!$I271&lt;=J$2), 'ProductSprint Backlog'!$F271 / MAX(1, 'ProductSprint Backlog'!$J271-'ProductSprint Backlog'!$I271), AND('ProductSprint Backlog'!$J271=J$2,'ProductSprint Backlog'!$I271=J$2), 'ProductSprint Backlog'!$F271, TRUE, 0)</f>
        <v>0</v>
      </c>
      <c r="K271" s="4" cm="1">
        <f t="array" ref="K271">_xlfn.IFS('ProductSprint Backlog'!$F271="", "", AND('ProductSprint Backlog'!$J271&gt;K$2,'ProductSprint Backlog'!$I271&lt;=K$2), 'ProductSprint Backlog'!$F271 / MAX(1, 'ProductSprint Backlog'!$J271-'ProductSprint Backlog'!$I271), AND('ProductSprint Backlog'!$J271=K$2,'ProductSprint Backlog'!$I271=K$2), 'ProductSprint Backlog'!$F271, TRUE, 0)</f>
        <v>0</v>
      </c>
      <c r="L271" s="4" cm="1">
        <f t="array" ref="L271">_xlfn.IFS('ProductSprint Backlog'!$F271="", "", AND('ProductSprint Backlog'!$J271&gt;L$2,'ProductSprint Backlog'!$I271&lt;=L$2), 'ProductSprint Backlog'!$F271 / MAX(1, 'ProductSprint Backlog'!$J271-'ProductSprint Backlog'!$I271), AND('ProductSprint Backlog'!$J271=L$2,'ProductSprint Backlog'!$I271=L$2), 'ProductSprint Backlog'!$F271, TRUE, 0)</f>
        <v>0</v>
      </c>
      <c r="M271" s="4" cm="1">
        <f t="array" ref="M271">_xlfn.IFS('ProductSprint Backlog'!$F271="", "", AND('ProductSprint Backlog'!$J271&gt;M$2,'ProductSprint Backlog'!$I271&lt;=M$2), 'ProductSprint Backlog'!$F271 / MAX(1, 'ProductSprint Backlog'!$J271-'ProductSprint Backlog'!$I271), AND('ProductSprint Backlog'!$J271=M$2,'ProductSprint Backlog'!$I271=M$2), 'ProductSprint Backlog'!$F271, TRUE, 0)</f>
        <v>0</v>
      </c>
      <c r="N271" s="4" cm="1">
        <f t="array" ref="N271">_xlfn.IFS('ProductSprint Backlog'!$F271="", "", AND('ProductSprint Backlog'!$J271&gt;N$2,'ProductSprint Backlog'!$I271&lt;=N$2), 'ProductSprint Backlog'!$F271 / MAX(1, 'ProductSprint Backlog'!$J271-'ProductSprint Backlog'!$I271), AND('ProductSprint Backlog'!$J271=N$2,'ProductSprint Backlog'!$I271=N$2), 'ProductSprint Backlog'!$F271, TRUE, 0)</f>
        <v>0</v>
      </c>
      <c r="O271" s="4" cm="1">
        <f t="array" ref="O271">_xlfn.IFS('ProductSprint Backlog'!$F271="", "", AND('ProductSprint Backlog'!$J271&gt;O$2,'ProductSprint Backlog'!$I271&lt;=O$2), 'ProductSprint Backlog'!$F271 / MAX(1, 'ProductSprint Backlog'!$J271-'ProductSprint Backlog'!$I271), AND('ProductSprint Backlog'!$J271=O$2,'ProductSprint Backlog'!$I271=O$2), 'ProductSprint Backlog'!$F271, TRUE, 0)</f>
        <v>0</v>
      </c>
      <c r="P271" s="4" cm="1">
        <f t="array" ref="P271">_xlfn.IFS('ProductSprint Backlog'!$F271="", "", AND('ProductSprint Backlog'!$J271&gt;P$2,'ProductSprint Backlog'!$I271&lt;=P$2), 'ProductSprint Backlog'!$F271 / MAX(1, 'ProductSprint Backlog'!$J271-'ProductSprint Backlog'!$I271), AND('ProductSprint Backlog'!$J271=P$2,'ProductSprint Backlog'!$I271=P$2), 'ProductSprint Backlog'!$F271, TRUE, 0)</f>
        <v>0</v>
      </c>
      <c r="Q271" s="4" cm="1">
        <f t="array" ref="Q271">_xlfn.IFS('ProductSprint Backlog'!$F271="", "", AND('ProductSprint Backlog'!$J271&gt;Q$2,'ProductSprint Backlog'!$I271&lt;=Q$2), 'ProductSprint Backlog'!$F271 / MAX(1, 'ProductSprint Backlog'!$J271-'ProductSprint Backlog'!$I271), AND('ProductSprint Backlog'!$J271=Q$2,'ProductSprint Backlog'!$I271=Q$2), 'ProductSprint Backlog'!$F271, TRUE, 0)</f>
        <v>0</v>
      </c>
    </row>
    <row r="272" spans="2:17" x14ac:dyDescent="0.2">
      <c r="B272" s="4" cm="1">
        <f t="array" ref="B272">_xlfn.IFS('ProductSprint Backlog'!$F272="", "", AND('ProductSprint Backlog'!$J272&gt;B$2,'ProductSprint Backlog'!$I272&lt;=B$2), 'ProductSprint Backlog'!$F272 / MAX(1, 'ProductSprint Backlog'!$J272-'ProductSprint Backlog'!$I272), AND('ProductSprint Backlog'!$J272=B$2,'ProductSprint Backlog'!$I272=B$2), 'ProductSprint Backlog'!$F272, TRUE, 0)</f>
        <v>0</v>
      </c>
      <c r="C272" s="4" cm="1">
        <f t="array" ref="C272">_xlfn.IFS('ProductSprint Backlog'!$F272="", "", AND('ProductSprint Backlog'!$J272&gt;C$2,'ProductSprint Backlog'!$I272&lt;=C$2), 'ProductSprint Backlog'!$F272 / MAX(1, 'ProductSprint Backlog'!$J272-'ProductSprint Backlog'!$I272), AND('ProductSprint Backlog'!$J272=C$2,'ProductSprint Backlog'!$I272=C$2), 'ProductSprint Backlog'!$F272, TRUE, 0)</f>
        <v>0</v>
      </c>
      <c r="D272" s="4" cm="1">
        <f t="array" ref="D272">_xlfn.IFS('ProductSprint Backlog'!$F272="", "", AND('ProductSprint Backlog'!$J272&gt;D$2,'ProductSprint Backlog'!$I272&lt;=D$2), 'ProductSprint Backlog'!$F272 / MAX(1, 'ProductSprint Backlog'!$J272-'ProductSprint Backlog'!$I272), AND('ProductSprint Backlog'!$J272=D$2,'ProductSprint Backlog'!$I272=D$2), 'ProductSprint Backlog'!$F272, TRUE, 0)</f>
        <v>0</v>
      </c>
      <c r="E272" s="4" cm="1">
        <f t="array" ref="E272">_xlfn.IFS('ProductSprint Backlog'!$F272="", "", AND('ProductSprint Backlog'!$J272&gt;E$2,'ProductSprint Backlog'!$I272&lt;=E$2), 'ProductSprint Backlog'!$F272 / MAX(1, 'ProductSprint Backlog'!$J272-'ProductSprint Backlog'!$I272), AND('ProductSprint Backlog'!$J272=E$2,'ProductSprint Backlog'!$I272=E$2), 'ProductSprint Backlog'!$F272, TRUE, 0)</f>
        <v>0</v>
      </c>
      <c r="F272" s="4" cm="1">
        <f t="array" ref="F272">_xlfn.IFS('ProductSprint Backlog'!$F272="", "", AND('ProductSprint Backlog'!$J272&gt;F$2,'ProductSprint Backlog'!$I272&lt;=F$2), 'ProductSprint Backlog'!$F272 / MAX(1, 'ProductSprint Backlog'!$J272-'ProductSprint Backlog'!$I272), AND('ProductSprint Backlog'!$J272=F$2,'ProductSprint Backlog'!$I272=F$2), 'ProductSprint Backlog'!$F272, TRUE, 0)</f>
        <v>0</v>
      </c>
      <c r="G272" s="4" cm="1">
        <f t="array" ref="G272">_xlfn.IFS('ProductSprint Backlog'!$F272="", "", AND('ProductSprint Backlog'!$J272&gt;G$2,'ProductSprint Backlog'!$I272&lt;=G$2), 'ProductSprint Backlog'!$F272 / MAX(1, 'ProductSprint Backlog'!$J272-'ProductSprint Backlog'!$I272), AND('ProductSprint Backlog'!$J272=G$2,'ProductSprint Backlog'!$I272=G$2), 'ProductSprint Backlog'!$F272, TRUE, 0)</f>
        <v>0</v>
      </c>
      <c r="H272" s="4" cm="1">
        <f t="array" ref="H272">_xlfn.IFS('ProductSprint Backlog'!$F272="", "", AND('ProductSprint Backlog'!$J272&gt;H$2,'ProductSprint Backlog'!$I272&lt;=H$2), 'ProductSprint Backlog'!$F272 / MAX(1, 'ProductSprint Backlog'!$J272-'ProductSprint Backlog'!$I272), AND('ProductSprint Backlog'!$J272=H$2,'ProductSprint Backlog'!$I272=H$2), 'ProductSprint Backlog'!$F272, TRUE, 0)</f>
        <v>1</v>
      </c>
      <c r="I272" s="4" cm="1">
        <f t="array" ref="I272">_xlfn.IFS('ProductSprint Backlog'!$F272="", "", AND('ProductSprint Backlog'!$J272&gt;I$2,'ProductSprint Backlog'!$I272&lt;=I$2), 'ProductSprint Backlog'!$F272 / MAX(1, 'ProductSprint Backlog'!$J272-'ProductSprint Backlog'!$I272), AND('ProductSprint Backlog'!$J272=I$2,'ProductSprint Backlog'!$I272=I$2), 'ProductSprint Backlog'!$F272, TRUE, 0)</f>
        <v>0</v>
      </c>
      <c r="J272" s="4" cm="1">
        <f t="array" ref="J272">_xlfn.IFS('ProductSprint Backlog'!$F272="", "", AND('ProductSprint Backlog'!$J272&gt;J$2,'ProductSprint Backlog'!$I272&lt;=J$2), 'ProductSprint Backlog'!$F272 / MAX(1, 'ProductSprint Backlog'!$J272-'ProductSprint Backlog'!$I272), AND('ProductSprint Backlog'!$J272=J$2,'ProductSprint Backlog'!$I272=J$2), 'ProductSprint Backlog'!$F272, TRUE, 0)</f>
        <v>0</v>
      </c>
      <c r="K272" s="4" cm="1">
        <f t="array" ref="K272">_xlfn.IFS('ProductSprint Backlog'!$F272="", "", AND('ProductSprint Backlog'!$J272&gt;K$2,'ProductSprint Backlog'!$I272&lt;=K$2), 'ProductSprint Backlog'!$F272 / MAX(1, 'ProductSprint Backlog'!$J272-'ProductSprint Backlog'!$I272), AND('ProductSprint Backlog'!$J272=K$2,'ProductSprint Backlog'!$I272=K$2), 'ProductSprint Backlog'!$F272, TRUE, 0)</f>
        <v>0</v>
      </c>
      <c r="L272" s="4" cm="1">
        <f t="array" ref="L272">_xlfn.IFS('ProductSprint Backlog'!$F272="", "", AND('ProductSprint Backlog'!$J272&gt;L$2,'ProductSprint Backlog'!$I272&lt;=L$2), 'ProductSprint Backlog'!$F272 / MAX(1, 'ProductSprint Backlog'!$J272-'ProductSprint Backlog'!$I272), AND('ProductSprint Backlog'!$J272=L$2,'ProductSprint Backlog'!$I272=L$2), 'ProductSprint Backlog'!$F272, TRUE, 0)</f>
        <v>0</v>
      </c>
      <c r="M272" s="4" cm="1">
        <f t="array" ref="M272">_xlfn.IFS('ProductSprint Backlog'!$F272="", "", AND('ProductSprint Backlog'!$J272&gt;M$2,'ProductSprint Backlog'!$I272&lt;=M$2), 'ProductSprint Backlog'!$F272 / MAX(1, 'ProductSprint Backlog'!$J272-'ProductSprint Backlog'!$I272), AND('ProductSprint Backlog'!$J272=M$2,'ProductSprint Backlog'!$I272=M$2), 'ProductSprint Backlog'!$F272, TRUE, 0)</f>
        <v>0</v>
      </c>
      <c r="N272" s="4" cm="1">
        <f t="array" ref="N272">_xlfn.IFS('ProductSprint Backlog'!$F272="", "", AND('ProductSprint Backlog'!$J272&gt;N$2,'ProductSprint Backlog'!$I272&lt;=N$2), 'ProductSprint Backlog'!$F272 / MAX(1, 'ProductSprint Backlog'!$J272-'ProductSprint Backlog'!$I272), AND('ProductSprint Backlog'!$J272=N$2,'ProductSprint Backlog'!$I272=N$2), 'ProductSprint Backlog'!$F272, TRUE, 0)</f>
        <v>0</v>
      </c>
      <c r="O272" s="4" cm="1">
        <f t="array" ref="O272">_xlfn.IFS('ProductSprint Backlog'!$F272="", "", AND('ProductSprint Backlog'!$J272&gt;O$2,'ProductSprint Backlog'!$I272&lt;=O$2), 'ProductSprint Backlog'!$F272 / MAX(1, 'ProductSprint Backlog'!$J272-'ProductSprint Backlog'!$I272), AND('ProductSprint Backlog'!$J272=O$2,'ProductSprint Backlog'!$I272=O$2), 'ProductSprint Backlog'!$F272, TRUE, 0)</f>
        <v>0</v>
      </c>
      <c r="P272" s="4" cm="1">
        <f t="array" ref="P272">_xlfn.IFS('ProductSprint Backlog'!$F272="", "", AND('ProductSprint Backlog'!$J272&gt;P$2,'ProductSprint Backlog'!$I272&lt;=P$2), 'ProductSprint Backlog'!$F272 / MAX(1, 'ProductSprint Backlog'!$J272-'ProductSprint Backlog'!$I272), AND('ProductSprint Backlog'!$J272=P$2,'ProductSprint Backlog'!$I272=P$2), 'ProductSprint Backlog'!$F272, TRUE, 0)</f>
        <v>0</v>
      </c>
      <c r="Q272" s="4" cm="1">
        <f t="array" ref="Q272">_xlfn.IFS('ProductSprint Backlog'!$F272="", "", AND('ProductSprint Backlog'!$J272&gt;Q$2,'ProductSprint Backlog'!$I272&lt;=Q$2), 'ProductSprint Backlog'!$F272 / MAX(1, 'ProductSprint Backlog'!$J272-'ProductSprint Backlog'!$I272), AND('ProductSprint Backlog'!$J272=Q$2,'ProductSprint Backlog'!$I272=Q$2), 'ProductSprint Backlog'!$F272, TRUE, 0)</f>
        <v>0</v>
      </c>
    </row>
    <row r="273" spans="2:17" x14ac:dyDescent="0.2">
      <c r="B273" s="4" cm="1">
        <f t="array" ref="B273">_xlfn.IFS('ProductSprint Backlog'!$F273="", "", AND('ProductSprint Backlog'!$J273&gt;B$2,'ProductSprint Backlog'!$I273&lt;=B$2), 'ProductSprint Backlog'!$F273 / MAX(1, 'ProductSprint Backlog'!$J273-'ProductSprint Backlog'!$I273), AND('ProductSprint Backlog'!$J273=B$2,'ProductSprint Backlog'!$I273=B$2), 'ProductSprint Backlog'!$F273, TRUE, 0)</f>
        <v>0</v>
      </c>
      <c r="C273" s="4" cm="1">
        <f t="array" ref="C273">_xlfn.IFS('ProductSprint Backlog'!$F273="", "", AND('ProductSprint Backlog'!$J273&gt;C$2,'ProductSprint Backlog'!$I273&lt;=C$2), 'ProductSprint Backlog'!$F273 / MAX(1, 'ProductSprint Backlog'!$J273-'ProductSprint Backlog'!$I273), AND('ProductSprint Backlog'!$J273=C$2,'ProductSprint Backlog'!$I273=C$2), 'ProductSprint Backlog'!$F273, TRUE, 0)</f>
        <v>0</v>
      </c>
      <c r="D273" s="4" cm="1">
        <f t="array" ref="D273">_xlfn.IFS('ProductSprint Backlog'!$F273="", "", AND('ProductSprint Backlog'!$J273&gt;D$2,'ProductSprint Backlog'!$I273&lt;=D$2), 'ProductSprint Backlog'!$F273 / MAX(1, 'ProductSprint Backlog'!$J273-'ProductSprint Backlog'!$I273), AND('ProductSprint Backlog'!$J273=D$2,'ProductSprint Backlog'!$I273=D$2), 'ProductSprint Backlog'!$F273, TRUE, 0)</f>
        <v>0</v>
      </c>
      <c r="E273" s="4" cm="1">
        <f t="array" ref="E273">_xlfn.IFS('ProductSprint Backlog'!$F273="", "", AND('ProductSprint Backlog'!$J273&gt;E$2,'ProductSprint Backlog'!$I273&lt;=E$2), 'ProductSprint Backlog'!$F273 / MAX(1, 'ProductSprint Backlog'!$J273-'ProductSprint Backlog'!$I273), AND('ProductSprint Backlog'!$J273=E$2,'ProductSprint Backlog'!$I273=E$2), 'ProductSprint Backlog'!$F273, TRUE, 0)</f>
        <v>0</v>
      </c>
      <c r="F273" s="4" cm="1">
        <f t="array" ref="F273">_xlfn.IFS('ProductSprint Backlog'!$F273="", "", AND('ProductSprint Backlog'!$J273&gt;F$2,'ProductSprint Backlog'!$I273&lt;=F$2), 'ProductSprint Backlog'!$F273 / MAX(1, 'ProductSprint Backlog'!$J273-'ProductSprint Backlog'!$I273), AND('ProductSprint Backlog'!$J273=F$2,'ProductSprint Backlog'!$I273=F$2), 'ProductSprint Backlog'!$F273, TRUE, 0)</f>
        <v>0</v>
      </c>
      <c r="G273" s="4" cm="1">
        <f t="array" ref="G273">_xlfn.IFS('ProductSprint Backlog'!$F273="", "", AND('ProductSprint Backlog'!$J273&gt;G$2,'ProductSprint Backlog'!$I273&lt;=G$2), 'ProductSprint Backlog'!$F273 / MAX(1, 'ProductSprint Backlog'!$J273-'ProductSprint Backlog'!$I273), AND('ProductSprint Backlog'!$J273=G$2,'ProductSprint Backlog'!$I273=G$2), 'ProductSprint Backlog'!$F273, TRUE, 0)</f>
        <v>0</v>
      </c>
      <c r="H273" s="4" cm="1">
        <f t="array" ref="H273">_xlfn.IFS('ProductSprint Backlog'!$F273="", "", AND('ProductSprint Backlog'!$J273&gt;H$2,'ProductSprint Backlog'!$I273&lt;=H$2), 'ProductSprint Backlog'!$F273 / MAX(1, 'ProductSprint Backlog'!$J273-'ProductSprint Backlog'!$I273), AND('ProductSprint Backlog'!$J273=H$2,'ProductSprint Backlog'!$I273=H$2), 'ProductSprint Backlog'!$F273, TRUE, 0)</f>
        <v>0.5</v>
      </c>
      <c r="I273" s="4" cm="1">
        <f t="array" ref="I273">_xlfn.IFS('ProductSprint Backlog'!$F273="", "", AND('ProductSprint Backlog'!$J273&gt;I$2,'ProductSprint Backlog'!$I273&lt;=I$2), 'ProductSprint Backlog'!$F273 / MAX(1, 'ProductSprint Backlog'!$J273-'ProductSprint Backlog'!$I273), AND('ProductSprint Backlog'!$J273=I$2,'ProductSprint Backlog'!$I273=I$2), 'ProductSprint Backlog'!$F273, TRUE, 0)</f>
        <v>0</v>
      </c>
      <c r="J273" s="4" cm="1">
        <f t="array" ref="J273">_xlfn.IFS('ProductSprint Backlog'!$F273="", "", AND('ProductSprint Backlog'!$J273&gt;J$2,'ProductSprint Backlog'!$I273&lt;=J$2), 'ProductSprint Backlog'!$F273 / MAX(1, 'ProductSprint Backlog'!$J273-'ProductSprint Backlog'!$I273), AND('ProductSprint Backlog'!$J273=J$2,'ProductSprint Backlog'!$I273=J$2), 'ProductSprint Backlog'!$F273, TRUE, 0)</f>
        <v>0</v>
      </c>
      <c r="K273" s="4" cm="1">
        <f t="array" ref="K273">_xlfn.IFS('ProductSprint Backlog'!$F273="", "", AND('ProductSprint Backlog'!$J273&gt;K$2,'ProductSprint Backlog'!$I273&lt;=K$2), 'ProductSprint Backlog'!$F273 / MAX(1, 'ProductSprint Backlog'!$J273-'ProductSprint Backlog'!$I273), AND('ProductSprint Backlog'!$J273=K$2,'ProductSprint Backlog'!$I273=K$2), 'ProductSprint Backlog'!$F273, TRUE, 0)</f>
        <v>0</v>
      </c>
      <c r="L273" s="4" cm="1">
        <f t="array" ref="L273">_xlfn.IFS('ProductSprint Backlog'!$F273="", "", AND('ProductSprint Backlog'!$J273&gt;L$2,'ProductSprint Backlog'!$I273&lt;=L$2), 'ProductSprint Backlog'!$F273 / MAX(1, 'ProductSprint Backlog'!$J273-'ProductSprint Backlog'!$I273), AND('ProductSprint Backlog'!$J273=L$2,'ProductSprint Backlog'!$I273=L$2), 'ProductSprint Backlog'!$F273, TRUE, 0)</f>
        <v>0</v>
      </c>
      <c r="M273" s="4" cm="1">
        <f t="array" ref="M273">_xlfn.IFS('ProductSprint Backlog'!$F273="", "", AND('ProductSprint Backlog'!$J273&gt;M$2,'ProductSprint Backlog'!$I273&lt;=M$2), 'ProductSprint Backlog'!$F273 / MAX(1, 'ProductSprint Backlog'!$J273-'ProductSprint Backlog'!$I273), AND('ProductSprint Backlog'!$J273=M$2,'ProductSprint Backlog'!$I273=M$2), 'ProductSprint Backlog'!$F273, TRUE, 0)</f>
        <v>0</v>
      </c>
      <c r="N273" s="4" cm="1">
        <f t="array" ref="N273">_xlfn.IFS('ProductSprint Backlog'!$F273="", "", AND('ProductSprint Backlog'!$J273&gt;N$2,'ProductSprint Backlog'!$I273&lt;=N$2), 'ProductSprint Backlog'!$F273 / MAX(1, 'ProductSprint Backlog'!$J273-'ProductSprint Backlog'!$I273), AND('ProductSprint Backlog'!$J273=N$2,'ProductSprint Backlog'!$I273=N$2), 'ProductSprint Backlog'!$F273, TRUE, 0)</f>
        <v>0</v>
      </c>
      <c r="O273" s="4" cm="1">
        <f t="array" ref="O273">_xlfn.IFS('ProductSprint Backlog'!$F273="", "", AND('ProductSprint Backlog'!$J273&gt;O$2,'ProductSprint Backlog'!$I273&lt;=O$2), 'ProductSprint Backlog'!$F273 / MAX(1, 'ProductSprint Backlog'!$J273-'ProductSprint Backlog'!$I273), AND('ProductSprint Backlog'!$J273=O$2,'ProductSprint Backlog'!$I273=O$2), 'ProductSprint Backlog'!$F273, TRUE, 0)</f>
        <v>0</v>
      </c>
      <c r="P273" s="4" cm="1">
        <f t="array" ref="P273">_xlfn.IFS('ProductSprint Backlog'!$F273="", "", AND('ProductSprint Backlog'!$J273&gt;P$2,'ProductSprint Backlog'!$I273&lt;=P$2), 'ProductSprint Backlog'!$F273 / MAX(1, 'ProductSprint Backlog'!$J273-'ProductSprint Backlog'!$I273), AND('ProductSprint Backlog'!$J273=P$2,'ProductSprint Backlog'!$I273=P$2), 'ProductSprint Backlog'!$F273, TRUE, 0)</f>
        <v>0</v>
      </c>
      <c r="Q273" s="4" cm="1">
        <f t="array" ref="Q273">_xlfn.IFS('ProductSprint Backlog'!$F273="", "", AND('ProductSprint Backlog'!$J273&gt;Q$2,'ProductSprint Backlog'!$I273&lt;=Q$2), 'ProductSprint Backlog'!$F273 / MAX(1, 'ProductSprint Backlog'!$J273-'ProductSprint Backlog'!$I273), AND('ProductSprint Backlog'!$J273=Q$2,'ProductSprint Backlog'!$I273=Q$2), 'ProductSprint Backlog'!$F273, TRUE, 0)</f>
        <v>0</v>
      </c>
    </row>
    <row r="274" spans="2:17" x14ac:dyDescent="0.2">
      <c r="B274" s="4" cm="1">
        <f t="array" ref="B274">_xlfn.IFS('ProductSprint Backlog'!$F274="", "", AND('ProductSprint Backlog'!$J274&gt;B$2,'ProductSprint Backlog'!$I274&lt;=B$2), 'ProductSprint Backlog'!$F274 / MAX(1, 'ProductSprint Backlog'!$J274-'ProductSprint Backlog'!$I274), AND('ProductSprint Backlog'!$J274=B$2,'ProductSprint Backlog'!$I274=B$2), 'ProductSprint Backlog'!$F274, TRUE, 0)</f>
        <v>2.5</v>
      </c>
      <c r="C274" s="4" cm="1">
        <f t="array" ref="C274">_xlfn.IFS('ProductSprint Backlog'!$F274="", "", AND('ProductSprint Backlog'!$J274&gt;C$2,'ProductSprint Backlog'!$I274&lt;=C$2), 'ProductSprint Backlog'!$F274 / MAX(1, 'ProductSprint Backlog'!$J274-'ProductSprint Backlog'!$I274), AND('ProductSprint Backlog'!$J274=C$2,'ProductSprint Backlog'!$I274=C$2), 'ProductSprint Backlog'!$F274, TRUE, 0)</f>
        <v>2.5</v>
      </c>
      <c r="D274" s="4" cm="1">
        <f t="array" ref="D274">_xlfn.IFS('ProductSprint Backlog'!$F274="", "", AND('ProductSprint Backlog'!$J274&gt;D$2,'ProductSprint Backlog'!$I274&lt;=D$2), 'ProductSprint Backlog'!$F274 / MAX(1, 'ProductSprint Backlog'!$J274-'ProductSprint Backlog'!$I274), AND('ProductSprint Backlog'!$J274=D$2,'ProductSprint Backlog'!$I274=D$2), 'ProductSprint Backlog'!$F274, TRUE, 0)</f>
        <v>0</v>
      </c>
      <c r="E274" s="4" cm="1">
        <f t="array" ref="E274">_xlfn.IFS('ProductSprint Backlog'!$F274="", "", AND('ProductSprint Backlog'!$J274&gt;E$2,'ProductSprint Backlog'!$I274&lt;=E$2), 'ProductSprint Backlog'!$F274 / MAX(1, 'ProductSprint Backlog'!$J274-'ProductSprint Backlog'!$I274), AND('ProductSprint Backlog'!$J274=E$2,'ProductSprint Backlog'!$I274=E$2), 'ProductSprint Backlog'!$F274, TRUE, 0)</f>
        <v>0</v>
      </c>
      <c r="F274" s="4" cm="1">
        <f t="array" ref="F274">_xlfn.IFS('ProductSprint Backlog'!$F274="", "", AND('ProductSprint Backlog'!$J274&gt;F$2,'ProductSprint Backlog'!$I274&lt;=F$2), 'ProductSprint Backlog'!$F274 / MAX(1, 'ProductSprint Backlog'!$J274-'ProductSprint Backlog'!$I274), AND('ProductSprint Backlog'!$J274=F$2,'ProductSprint Backlog'!$I274=F$2), 'ProductSprint Backlog'!$F274, TRUE, 0)</f>
        <v>0</v>
      </c>
      <c r="G274" s="4" cm="1">
        <f t="array" ref="G274">_xlfn.IFS('ProductSprint Backlog'!$F274="", "", AND('ProductSprint Backlog'!$J274&gt;G$2,'ProductSprint Backlog'!$I274&lt;=G$2), 'ProductSprint Backlog'!$F274 / MAX(1, 'ProductSprint Backlog'!$J274-'ProductSprint Backlog'!$I274), AND('ProductSprint Backlog'!$J274=G$2,'ProductSprint Backlog'!$I274=G$2), 'ProductSprint Backlog'!$F274, TRUE, 0)</f>
        <v>0</v>
      </c>
      <c r="H274" s="4" cm="1">
        <f t="array" ref="H274">_xlfn.IFS('ProductSprint Backlog'!$F274="", "", AND('ProductSprint Backlog'!$J274&gt;H$2,'ProductSprint Backlog'!$I274&lt;=H$2), 'ProductSprint Backlog'!$F274 / MAX(1, 'ProductSprint Backlog'!$J274-'ProductSprint Backlog'!$I274), AND('ProductSprint Backlog'!$J274=H$2,'ProductSprint Backlog'!$I274=H$2), 'ProductSprint Backlog'!$F274, TRUE, 0)</f>
        <v>0</v>
      </c>
      <c r="I274" s="4" cm="1">
        <f t="array" ref="I274">_xlfn.IFS('ProductSprint Backlog'!$F274="", "", AND('ProductSprint Backlog'!$J274&gt;I$2,'ProductSprint Backlog'!$I274&lt;=I$2), 'ProductSprint Backlog'!$F274 / MAX(1, 'ProductSprint Backlog'!$J274-'ProductSprint Backlog'!$I274), AND('ProductSprint Backlog'!$J274=I$2,'ProductSprint Backlog'!$I274=I$2), 'ProductSprint Backlog'!$F274, TRUE, 0)</f>
        <v>0</v>
      </c>
      <c r="J274" s="4" cm="1">
        <f t="array" ref="J274">_xlfn.IFS('ProductSprint Backlog'!$F274="", "", AND('ProductSprint Backlog'!$J274&gt;J$2,'ProductSprint Backlog'!$I274&lt;=J$2), 'ProductSprint Backlog'!$F274 / MAX(1, 'ProductSprint Backlog'!$J274-'ProductSprint Backlog'!$I274), AND('ProductSprint Backlog'!$J274=J$2,'ProductSprint Backlog'!$I274=J$2), 'ProductSprint Backlog'!$F274, TRUE, 0)</f>
        <v>0</v>
      </c>
      <c r="K274" s="4" cm="1">
        <f t="array" ref="K274">_xlfn.IFS('ProductSprint Backlog'!$F274="", "", AND('ProductSprint Backlog'!$J274&gt;K$2,'ProductSprint Backlog'!$I274&lt;=K$2), 'ProductSprint Backlog'!$F274 / MAX(1, 'ProductSprint Backlog'!$J274-'ProductSprint Backlog'!$I274), AND('ProductSprint Backlog'!$J274=K$2,'ProductSprint Backlog'!$I274=K$2), 'ProductSprint Backlog'!$F274, TRUE, 0)</f>
        <v>0</v>
      </c>
      <c r="L274" s="4" cm="1">
        <f t="array" ref="L274">_xlfn.IFS('ProductSprint Backlog'!$F274="", "", AND('ProductSprint Backlog'!$J274&gt;L$2,'ProductSprint Backlog'!$I274&lt;=L$2), 'ProductSprint Backlog'!$F274 / MAX(1, 'ProductSprint Backlog'!$J274-'ProductSprint Backlog'!$I274), AND('ProductSprint Backlog'!$J274=L$2,'ProductSprint Backlog'!$I274=L$2), 'ProductSprint Backlog'!$F274, TRUE, 0)</f>
        <v>0</v>
      </c>
      <c r="M274" s="4" cm="1">
        <f t="array" ref="M274">_xlfn.IFS('ProductSprint Backlog'!$F274="", "", AND('ProductSprint Backlog'!$J274&gt;M$2,'ProductSprint Backlog'!$I274&lt;=M$2), 'ProductSprint Backlog'!$F274 / MAX(1, 'ProductSprint Backlog'!$J274-'ProductSprint Backlog'!$I274), AND('ProductSprint Backlog'!$J274=M$2,'ProductSprint Backlog'!$I274=M$2), 'ProductSprint Backlog'!$F274, TRUE, 0)</f>
        <v>0</v>
      </c>
      <c r="N274" s="4" cm="1">
        <f t="array" ref="N274">_xlfn.IFS('ProductSprint Backlog'!$F274="", "", AND('ProductSprint Backlog'!$J274&gt;N$2,'ProductSprint Backlog'!$I274&lt;=N$2), 'ProductSprint Backlog'!$F274 / MAX(1, 'ProductSprint Backlog'!$J274-'ProductSprint Backlog'!$I274), AND('ProductSprint Backlog'!$J274=N$2,'ProductSprint Backlog'!$I274=N$2), 'ProductSprint Backlog'!$F274, TRUE, 0)</f>
        <v>0</v>
      </c>
      <c r="O274" s="4" cm="1">
        <f t="array" ref="O274">_xlfn.IFS('ProductSprint Backlog'!$F274="", "", AND('ProductSprint Backlog'!$J274&gt;O$2,'ProductSprint Backlog'!$I274&lt;=O$2), 'ProductSprint Backlog'!$F274 / MAX(1, 'ProductSprint Backlog'!$J274-'ProductSprint Backlog'!$I274), AND('ProductSprint Backlog'!$J274=O$2,'ProductSprint Backlog'!$I274=O$2), 'ProductSprint Backlog'!$F274, TRUE, 0)</f>
        <v>0</v>
      </c>
      <c r="P274" s="4" cm="1">
        <f t="array" ref="P274">_xlfn.IFS('ProductSprint Backlog'!$F274="", "", AND('ProductSprint Backlog'!$J274&gt;P$2,'ProductSprint Backlog'!$I274&lt;=P$2), 'ProductSprint Backlog'!$F274 / MAX(1, 'ProductSprint Backlog'!$J274-'ProductSprint Backlog'!$I274), AND('ProductSprint Backlog'!$J274=P$2,'ProductSprint Backlog'!$I274=P$2), 'ProductSprint Backlog'!$F274, TRUE, 0)</f>
        <v>0</v>
      </c>
      <c r="Q274" s="4" cm="1">
        <f t="array" ref="Q274">_xlfn.IFS('ProductSprint Backlog'!$F274="", "", AND('ProductSprint Backlog'!$J274&gt;Q$2,'ProductSprint Backlog'!$I274&lt;=Q$2), 'ProductSprint Backlog'!$F274 / MAX(1, 'ProductSprint Backlog'!$J274-'ProductSprint Backlog'!$I274), AND('ProductSprint Backlog'!$J274=Q$2,'ProductSprint Backlog'!$I274=Q$2), 'ProductSprint Backlog'!$F274, TRUE, 0)</f>
        <v>0</v>
      </c>
    </row>
    <row r="275" spans="2:17" x14ac:dyDescent="0.2">
      <c r="B275" s="4" cm="1">
        <f t="array" ref="B275">_xlfn.IFS('ProductSprint Backlog'!$F275="", "", AND('ProductSprint Backlog'!$J275&gt;B$2,'ProductSprint Backlog'!$I275&lt;=B$2), 'ProductSprint Backlog'!$F275 / MAX(1, 'ProductSprint Backlog'!$J275-'ProductSprint Backlog'!$I275), AND('ProductSprint Backlog'!$J275=B$2,'ProductSprint Backlog'!$I275=B$2), 'ProductSprint Backlog'!$F275, TRUE, 0)</f>
        <v>0</v>
      </c>
      <c r="C275" s="4" cm="1">
        <f t="array" ref="C275">_xlfn.IFS('ProductSprint Backlog'!$F275="", "", AND('ProductSprint Backlog'!$J275&gt;C$2,'ProductSprint Backlog'!$I275&lt;=C$2), 'ProductSprint Backlog'!$F275 / MAX(1, 'ProductSprint Backlog'!$J275-'ProductSprint Backlog'!$I275), AND('ProductSprint Backlog'!$J275=C$2,'ProductSprint Backlog'!$I275=C$2), 'ProductSprint Backlog'!$F275, TRUE, 0)</f>
        <v>0</v>
      </c>
      <c r="D275" s="4" cm="1">
        <f t="array" ref="D275">_xlfn.IFS('ProductSprint Backlog'!$F275="", "", AND('ProductSprint Backlog'!$J275&gt;D$2,'ProductSprint Backlog'!$I275&lt;=D$2), 'ProductSprint Backlog'!$F275 / MAX(1, 'ProductSprint Backlog'!$J275-'ProductSprint Backlog'!$I275), AND('ProductSprint Backlog'!$J275=D$2,'ProductSprint Backlog'!$I275=D$2), 'ProductSprint Backlog'!$F275, TRUE, 0)</f>
        <v>2</v>
      </c>
      <c r="E275" s="4" cm="1">
        <f t="array" ref="E275">_xlfn.IFS('ProductSprint Backlog'!$F275="", "", AND('ProductSprint Backlog'!$J275&gt;E$2,'ProductSprint Backlog'!$I275&lt;=E$2), 'ProductSprint Backlog'!$F275 / MAX(1, 'ProductSprint Backlog'!$J275-'ProductSprint Backlog'!$I275), AND('ProductSprint Backlog'!$J275=E$2,'ProductSprint Backlog'!$I275=E$2), 'ProductSprint Backlog'!$F275, TRUE, 0)</f>
        <v>2</v>
      </c>
      <c r="F275" s="4" cm="1">
        <f t="array" ref="F275">_xlfn.IFS('ProductSprint Backlog'!$F275="", "", AND('ProductSprint Backlog'!$J275&gt;F$2,'ProductSprint Backlog'!$I275&lt;=F$2), 'ProductSprint Backlog'!$F275 / MAX(1, 'ProductSprint Backlog'!$J275-'ProductSprint Backlog'!$I275), AND('ProductSprint Backlog'!$J275=F$2,'ProductSprint Backlog'!$I275=F$2), 'ProductSprint Backlog'!$F275, TRUE, 0)</f>
        <v>0</v>
      </c>
      <c r="G275" s="4" cm="1">
        <f t="array" ref="G275">_xlfn.IFS('ProductSprint Backlog'!$F275="", "", AND('ProductSprint Backlog'!$J275&gt;G$2,'ProductSprint Backlog'!$I275&lt;=G$2), 'ProductSprint Backlog'!$F275 / MAX(1, 'ProductSprint Backlog'!$J275-'ProductSprint Backlog'!$I275), AND('ProductSprint Backlog'!$J275=G$2,'ProductSprint Backlog'!$I275=G$2), 'ProductSprint Backlog'!$F275, TRUE, 0)</f>
        <v>0</v>
      </c>
      <c r="H275" s="4" cm="1">
        <f t="array" ref="H275">_xlfn.IFS('ProductSprint Backlog'!$F275="", "", AND('ProductSprint Backlog'!$J275&gt;H$2,'ProductSprint Backlog'!$I275&lt;=H$2), 'ProductSprint Backlog'!$F275 / MAX(1, 'ProductSprint Backlog'!$J275-'ProductSprint Backlog'!$I275), AND('ProductSprint Backlog'!$J275=H$2,'ProductSprint Backlog'!$I275=H$2), 'ProductSprint Backlog'!$F275, TRUE, 0)</f>
        <v>0</v>
      </c>
      <c r="I275" s="4" cm="1">
        <f t="array" ref="I275">_xlfn.IFS('ProductSprint Backlog'!$F275="", "", AND('ProductSprint Backlog'!$J275&gt;I$2,'ProductSprint Backlog'!$I275&lt;=I$2), 'ProductSprint Backlog'!$F275 / MAX(1, 'ProductSprint Backlog'!$J275-'ProductSprint Backlog'!$I275), AND('ProductSprint Backlog'!$J275=I$2,'ProductSprint Backlog'!$I275=I$2), 'ProductSprint Backlog'!$F275, TRUE, 0)</f>
        <v>0</v>
      </c>
      <c r="J275" s="4" cm="1">
        <f t="array" ref="J275">_xlfn.IFS('ProductSprint Backlog'!$F275="", "", AND('ProductSprint Backlog'!$J275&gt;J$2,'ProductSprint Backlog'!$I275&lt;=J$2), 'ProductSprint Backlog'!$F275 / MAX(1, 'ProductSprint Backlog'!$J275-'ProductSprint Backlog'!$I275), AND('ProductSprint Backlog'!$J275=J$2,'ProductSprint Backlog'!$I275=J$2), 'ProductSprint Backlog'!$F275, TRUE, 0)</f>
        <v>0</v>
      </c>
      <c r="K275" s="4" cm="1">
        <f t="array" ref="K275">_xlfn.IFS('ProductSprint Backlog'!$F275="", "", AND('ProductSprint Backlog'!$J275&gt;K$2,'ProductSprint Backlog'!$I275&lt;=K$2), 'ProductSprint Backlog'!$F275 / MAX(1, 'ProductSprint Backlog'!$J275-'ProductSprint Backlog'!$I275), AND('ProductSprint Backlog'!$J275=K$2,'ProductSprint Backlog'!$I275=K$2), 'ProductSprint Backlog'!$F275, TRUE, 0)</f>
        <v>0</v>
      </c>
      <c r="L275" s="4" cm="1">
        <f t="array" ref="L275">_xlfn.IFS('ProductSprint Backlog'!$F275="", "", AND('ProductSprint Backlog'!$J275&gt;L$2,'ProductSprint Backlog'!$I275&lt;=L$2), 'ProductSprint Backlog'!$F275 / MAX(1, 'ProductSprint Backlog'!$J275-'ProductSprint Backlog'!$I275), AND('ProductSprint Backlog'!$J275=L$2,'ProductSprint Backlog'!$I275=L$2), 'ProductSprint Backlog'!$F275, TRUE, 0)</f>
        <v>0</v>
      </c>
      <c r="M275" s="4" cm="1">
        <f t="array" ref="M275">_xlfn.IFS('ProductSprint Backlog'!$F275="", "", AND('ProductSprint Backlog'!$J275&gt;M$2,'ProductSprint Backlog'!$I275&lt;=M$2), 'ProductSprint Backlog'!$F275 / MAX(1, 'ProductSprint Backlog'!$J275-'ProductSprint Backlog'!$I275), AND('ProductSprint Backlog'!$J275=M$2,'ProductSprint Backlog'!$I275=M$2), 'ProductSprint Backlog'!$F275, TRUE, 0)</f>
        <v>0</v>
      </c>
      <c r="N275" s="4" cm="1">
        <f t="array" ref="N275">_xlfn.IFS('ProductSprint Backlog'!$F275="", "", AND('ProductSprint Backlog'!$J275&gt;N$2,'ProductSprint Backlog'!$I275&lt;=N$2), 'ProductSprint Backlog'!$F275 / MAX(1, 'ProductSprint Backlog'!$J275-'ProductSprint Backlog'!$I275), AND('ProductSprint Backlog'!$J275=N$2,'ProductSprint Backlog'!$I275=N$2), 'ProductSprint Backlog'!$F275, TRUE, 0)</f>
        <v>0</v>
      </c>
      <c r="O275" s="4" cm="1">
        <f t="array" ref="O275">_xlfn.IFS('ProductSprint Backlog'!$F275="", "", AND('ProductSprint Backlog'!$J275&gt;O$2,'ProductSprint Backlog'!$I275&lt;=O$2), 'ProductSprint Backlog'!$F275 / MAX(1, 'ProductSprint Backlog'!$J275-'ProductSprint Backlog'!$I275), AND('ProductSprint Backlog'!$J275=O$2,'ProductSprint Backlog'!$I275=O$2), 'ProductSprint Backlog'!$F275, TRUE, 0)</f>
        <v>0</v>
      </c>
      <c r="P275" s="4" cm="1">
        <f t="array" ref="P275">_xlfn.IFS('ProductSprint Backlog'!$F275="", "", AND('ProductSprint Backlog'!$J275&gt;P$2,'ProductSprint Backlog'!$I275&lt;=P$2), 'ProductSprint Backlog'!$F275 / MAX(1, 'ProductSprint Backlog'!$J275-'ProductSprint Backlog'!$I275), AND('ProductSprint Backlog'!$J275=P$2,'ProductSprint Backlog'!$I275=P$2), 'ProductSprint Backlog'!$F275, TRUE, 0)</f>
        <v>0</v>
      </c>
      <c r="Q275" s="4" cm="1">
        <f t="array" ref="Q275">_xlfn.IFS('ProductSprint Backlog'!$F275="", "", AND('ProductSprint Backlog'!$J275&gt;Q$2,'ProductSprint Backlog'!$I275&lt;=Q$2), 'ProductSprint Backlog'!$F275 / MAX(1, 'ProductSprint Backlog'!$J275-'ProductSprint Backlog'!$I275), AND('ProductSprint Backlog'!$J275=Q$2,'ProductSprint Backlog'!$I275=Q$2), 'ProductSprint Backlog'!$F275, TRUE, 0)</f>
        <v>0</v>
      </c>
    </row>
    <row r="276" spans="2:17" x14ac:dyDescent="0.2">
      <c r="B276" s="4" cm="1">
        <f t="array" ref="B276">_xlfn.IFS('ProductSprint Backlog'!$F276="", "", AND('ProductSprint Backlog'!$J276&gt;B$2,'ProductSprint Backlog'!$I276&lt;=B$2), 'ProductSprint Backlog'!$F276 / MAX(1, 'ProductSprint Backlog'!$J276-'ProductSprint Backlog'!$I276), AND('ProductSprint Backlog'!$J276=B$2,'ProductSprint Backlog'!$I276=B$2), 'ProductSprint Backlog'!$F276, TRUE, 0)</f>
        <v>0</v>
      </c>
      <c r="C276" s="4" cm="1">
        <f t="array" ref="C276">_xlfn.IFS('ProductSprint Backlog'!$F276="", "", AND('ProductSprint Backlog'!$J276&gt;C$2,'ProductSprint Backlog'!$I276&lt;=C$2), 'ProductSprint Backlog'!$F276 / MAX(1, 'ProductSprint Backlog'!$J276-'ProductSprint Backlog'!$I276), AND('ProductSprint Backlog'!$J276=C$2,'ProductSprint Backlog'!$I276=C$2), 'ProductSprint Backlog'!$F276, TRUE, 0)</f>
        <v>0</v>
      </c>
      <c r="D276" s="4" cm="1">
        <f t="array" ref="D276">_xlfn.IFS('ProductSprint Backlog'!$F276="", "", AND('ProductSprint Backlog'!$J276&gt;D$2,'ProductSprint Backlog'!$I276&lt;=D$2), 'ProductSprint Backlog'!$F276 / MAX(1, 'ProductSprint Backlog'!$J276-'ProductSprint Backlog'!$I276), AND('ProductSprint Backlog'!$J276=D$2,'ProductSprint Backlog'!$I276=D$2), 'ProductSprint Backlog'!$F276, TRUE, 0)</f>
        <v>0</v>
      </c>
      <c r="E276" s="4" cm="1">
        <f t="array" ref="E276">_xlfn.IFS('ProductSprint Backlog'!$F276="", "", AND('ProductSprint Backlog'!$J276&gt;E$2,'ProductSprint Backlog'!$I276&lt;=E$2), 'ProductSprint Backlog'!$F276 / MAX(1, 'ProductSprint Backlog'!$J276-'ProductSprint Backlog'!$I276), AND('ProductSprint Backlog'!$J276=E$2,'ProductSprint Backlog'!$I276=E$2), 'ProductSprint Backlog'!$F276, TRUE, 0)</f>
        <v>0</v>
      </c>
      <c r="F276" s="4" cm="1">
        <f t="array" ref="F276">_xlfn.IFS('ProductSprint Backlog'!$F276="", "", AND('ProductSprint Backlog'!$J276&gt;F$2,'ProductSprint Backlog'!$I276&lt;=F$2), 'ProductSprint Backlog'!$F276 / MAX(1, 'ProductSprint Backlog'!$J276-'ProductSprint Backlog'!$I276), AND('ProductSprint Backlog'!$J276=F$2,'ProductSprint Backlog'!$I276=F$2), 'ProductSprint Backlog'!$F276, TRUE, 0)</f>
        <v>0</v>
      </c>
      <c r="G276" s="4" cm="1">
        <f t="array" ref="G276">_xlfn.IFS('ProductSprint Backlog'!$F276="", "", AND('ProductSprint Backlog'!$J276&gt;G$2,'ProductSprint Backlog'!$I276&lt;=G$2), 'ProductSprint Backlog'!$F276 / MAX(1, 'ProductSprint Backlog'!$J276-'ProductSprint Backlog'!$I276), AND('ProductSprint Backlog'!$J276=G$2,'ProductSprint Backlog'!$I276=G$2), 'ProductSprint Backlog'!$F276, TRUE, 0)</f>
        <v>2</v>
      </c>
      <c r="H276" s="4" cm="1">
        <f t="array" ref="H276">_xlfn.IFS('ProductSprint Backlog'!$F276="", "", AND('ProductSprint Backlog'!$J276&gt;H$2,'ProductSprint Backlog'!$I276&lt;=H$2), 'ProductSprint Backlog'!$F276 / MAX(1, 'ProductSprint Backlog'!$J276-'ProductSprint Backlog'!$I276), AND('ProductSprint Backlog'!$J276=H$2,'ProductSprint Backlog'!$I276=H$2), 'ProductSprint Backlog'!$F276, TRUE, 0)</f>
        <v>2</v>
      </c>
      <c r="I276" s="4" cm="1">
        <f t="array" ref="I276">_xlfn.IFS('ProductSprint Backlog'!$F276="", "", AND('ProductSprint Backlog'!$J276&gt;I$2,'ProductSprint Backlog'!$I276&lt;=I$2), 'ProductSprint Backlog'!$F276 / MAX(1, 'ProductSprint Backlog'!$J276-'ProductSprint Backlog'!$I276), AND('ProductSprint Backlog'!$J276=I$2,'ProductSprint Backlog'!$I276=I$2), 'ProductSprint Backlog'!$F276, TRUE, 0)</f>
        <v>0</v>
      </c>
      <c r="J276" s="4" cm="1">
        <f t="array" ref="J276">_xlfn.IFS('ProductSprint Backlog'!$F276="", "", AND('ProductSprint Backlog'!$J276&gt;J$2,'ProductSprint Backlog'!$I276&lt;=J$2), 'ProductSprint Backlog'!$F276 / MAX(1, 'ProductSprint Backlog'!$J276-'ProductSprint Backlog'!$I276), AND('ProductSprint Backlog'!$J276=J$2,'ProductSprint Backlog'!$I276=J$2), 'ProductSprint Backlog'!$F276, TRUE, 0)</f>
        <v>0</v>
      </c>
      <c r="K276" s="4" cm="1">
        <f t="array" ref="K276">_xlfn.IFS('ProductSprint Backlog'!$F276="", "", AND('ProductSprint Backlog'!$J276&gt;K$2,'ProductSprint Backlog'!$I276&lt;=K$2), 'ProductSprint Backlog'!$F276 / MAX(1, 'ProductSprint Backlog'!$J276-'ProductSprint Backlog'!$I276), AND('ProductSprint Backlog'!$J276=K$2,'ProductSprint Backlog'!$I276=K$2), 'ProductSprint Backlog'!$F276, TRUE, 0)</f>
        <v>0</v>
      </c>
      <c r="L276" s="4" cm="1">
        <f t="array" ref="L276">_xlfn.IFS('ProductSprint Backlog'!$F276="", "", AND('ProductSprint Backlog'!$J276&gt;L$2,'ProductSprint Backlog'!$I276&lt;=L$2), 'ProductSprint Backlog'!$F276 / MAX(1, 'ProductSprint Backlog'!$J276-'ProductSprint Backlog'!$I276), AND('ProductSprint Backlog'!$J276=L$2,'ProductSprint Backlog'!$I276=L$2), 'ProductSprint Backlog'!$F276, TRUE, 0)</f>
        <v>0</v>
      </c>
      <c r="M276" s="4" cm="1">
        <f t="array" ref="M276">_xlfn.IFS('ProductSprint Backlog'!$F276="", "", AND('ProductSprint Backlog'!$J276&gt;M$2,'ProductSprint Backlog'!$I276&lt;=M$2), 'ProductSprint Backlog'!$F276 / MAX(1, 'ProductSprint Backlog'!$J276-'ProductSprint Backlog'!$I276), AND('ProductSprint Backlog'!$J276=M$2,'ProductSprint Backlog'!$I276=M$2), 'ProductSprint Backlog'!$F276, TRUE, 0)</f>
        <v>0</v>
      </c>
      <c r="N276" s="4" cm="1">
        <f t="array" ref="N276">_xlfn.IFS('ProductSprint Backlog'!$F276="", "", AND('ProductSprint Backlog'!$J276&gt;N$2,'ProductSprint Backlog'!$I276&lt;=N$2), 'ProductSprint Backlog'!$F276 / MAX(1, 'ProductSprint Backlog'!$J276-'ProductSprint Backlog'!$I276), AND('ProductSprint Backlog'!$J276=N$2,'ProductSprint Backlog'!$I276=N$2), 'ProductSprint Backlog'!$F276, TRUE, 0)</f>
        <v>0</v>
      </c>
      <c r="O276" s="4" cm="1">
        <f t="array" ref="O276">_xlfn.IFS('ProductSprint Backlog'!$F276="", "", AND('ProductSprint Backlog'!$J276&gt;O$2,'ProductSprint Backlog'!$I276&lt;=O$2), 'ProductSprint Backlog'!$F276 / MAX(1, 'ProductSprint Backlog'!$J276-'ProductSprint Backlog'!$I276), AND('ProductSprint Backlog'!$J276=O$2,'ProductSprint Backlog'!$I276=O$2), 'ProductSprint Backlog'!$F276, TRUE, 0)</f>
        <v>0</v>
      </c>
      <c r="P276" s="4" cm="1">
        <f t="array" ref="P276">_xlfn.IFS('ProductSprint Backlog'!$F276="", "", AND('ProductSprint Backlog'!$J276&gt;P$2,'ProductSprint Backlog'!$I276&lt;=P$2), 'ProductSprint Backlog'!$F276 / MAX(1, 'ProductSprint Backlog'!$J276-'ProductSprint Backlog'!$I276), AND('ProductSprint Backlog'!$J276=P$2,'ProductSprint Backlog'!$I276=P$2), 'ProductSprint Backlog'!$F276, TRUE, 0)</f>
        <v>0</v>
      </c>
      <c r="Q276" s="4" cm="1">
        <f t="array" ref="Q276">_xlfn.IFS('ProductSprint Backlog'!$F276="", "", AND('ProductSprint Backlog'!$J276&gt;Q$2,'ProductSprint Backlog'!$I276&lt;=Q$2), 'ProductSprint Backlog'!$F276 / MAX(1, 'ProductSprint Backlog'!$J276-'ProductSprint Backlog'!$I276), AND('ProductSprint Backlog'!$J276=Q$2,'ProductSprint Backlog'!$I276=Q$2), 'ProductSprint Backlog'!$F276, TRUE, 0)</f>
        <v>0</v>
      </c>
    </row>
    <row r="277" spans="2:17" x14ac:dyDescent="0.2">
      <c r="B277" s="4" cm="1">
        <f t="array" ref="B277">_xlfn.IFS('ProductSprint Backlog'!$F277="", "", AND('ProductSprint Backlog'!$J277&gt;B$2,'ProductSprint Backlog'!$I277&lt;=B$2), 'ProductSprint Backlog'!$F277 / MAX(1, 'ProductSprint Backlog'!$J277-'ProductSprint Backlog'!$I277), AND('ProductSprint Backlog'!$J277=B$2,'ProductSprint Backlog'!$I277=B$2), 'ProductSprint Backlog'!$F277, TRUE, 0)</f>
        <v>2</v>
      </c>
      <c r="C277" s="4" cm="1">
        <f t="array" ref="C277">_xlfn.IFS('ProductSprint Backlog'!$F277="", "", AND('ProductSprint Backlog'!$J277&gt;C$2,'ProductSprint Backlog'!$I277&lt;=C$2), 'ProductSprint Backlog'!$F277 / MAX(1, 'ProductSprint Backlog'!$J277-'ProductSprint Backlog'!$I277), AND('ProductSprint Backlog'!$J277=C$2,'ProductSprint Backlog'!$I277=C$2), 'ProductSprint Backlog'!$F277, TRUE, 0)</f>
        <v>0</v>
      </c>
      <c r="D277" s="4" cm="1">
        <f t="array" ref="D277">_xlfn.IFS('ProductSprint Backlog'!$F277="", "", AND('ProductSprint Backlog'!$J277&gt;D$2,'ProductSprint Backlog'!$I277&lt;=D$2), 'ProductSprint Backlog'!$F277 / MAX(1, 'ProductSprint Backlog'!$J277-'ProductSprint Backlog'!$I277), AND('ProductSprint Backlog'!$J277=D$2,'ProductSprint Backlog'!$I277=D$2), 'ProductSprint Backlog'!$F277, TRUE, 0)</f>
        <v>0</v>
      </c>
      <c r="E277" s="4" cm="1">
        <f t="array" ref="E277">_xlfn.IFS('ProductSprint Backlog'!$F277="", "", AND('ProductSprint Backlog'!$J277&gt;E$2,'ProductSprint Backlog'!$I277&lt;=E$2), 'ProductSprint Backlog'!$F277 / MAX(1, 'ProductSprint Backlog'!$J277-'ProductSprint Backlog'!$I277), AND('ProductSprint Backlog'!$J277=E$2,'ProductSprint Backlog'!$I277=E$2), 'ProductSprint Backlog'!$F277, TRUE, 0)</f>
        <v>0</v>
      </c>
      <c r="F277" s="4" cm="1">
        <f t="array" ref="F277">_xlfn.IFS('ProductSprint Backlog'!$F277="", "", AND('ProductSprint Backlog'!$J277&gt;F$2,'ProductSprint Backlog'!$I277&lt;=F$2), 'ProductSprint Backlog'!$F277 / MAX(1, 'ProductSprint Backlog'!$J277-'ProductSprint Backlog'!$I277), AND('ProductSprint Backlog'!$J277=F$2,'ProductSprint Backlog'!$I277=F$2), 'ProductSprint Backlog'!$F277, TRUE, 0)</f>
        <v>0</v>
      </c>
      <c r="G277" s="4" cm="1">
        <f t="array" ref="G277">_xlfn.IFS('ProductSprint Backlog'!$F277="", "", AND('ProductSprint Backlog'!$J277&gt;G$2,'ProductSprint Backlog'!$I277&lt;=G$2), 'ProductSprint Backlog'!$F277 / MAX(1, 'ProductSprint Backlog'!$J277-'ProductSprint Backlog'!$I277), AND('ProductSprint Backlog'!$J277=G$2,'ProductSprint Backlog'!$I277=G$2), 'ProductSprint Backlog'!$F277, TRUE, 0)</f>
        <v>0</v>
      </c>
      <c r="H277" s="4" cm="1">
        <f t="array" ref="H277">_xlfn.IFS('ProductSprint Backlog'!$F277="", "", AND('ProductSprint Backlog'!$J277&gt;H$2,'ProductSprint Backlog'!$I277&lt;=H$2), 'ProductSprint Backlog'!$F277 / MAX(1, 'ProductSprint Backlog'!$J277-'ProductSprint Backlog'!$I277), AND('ProductSprint Backlog'!$J277=H$2,'ProductSprint Backlog'!$I277=H$2), 'ProductSprint Backlog'!$F277, TRUE, 0)</f>
        <v>0</v>
      </c>
      <c r="I277" s="4" cm="1">
        <f t="array" ref="I277">_xlfn.IFS('ProductSprint Backlog'!$F277="", "", AND('ProductSprint Backlog'!$J277&gt;I$2,'ProductSprint Backlog'!$I277&lt;=I$2), 'ProductSprint Backlog'!$F277 / MAX(1, 'ProductSprint Backlog'!$J277-'ProductSprint Backlog'!$I277), AND('ProductSprint Backlog'!$J277=I$2,'ProductSprint Backlog'!$I277=I$2), 'ProductSprint Backlog'!$F277, TRUE, 0)</f>
        <v>0</v>
      </c>
      <c r="J277" s="4" cm="1">
        <f t="array" ref="J277">_xlfn.IFS('ProductSprint Backlog'!$F277="", "", AND('ProductSprint Backlog'!$J277&gt;J$2,'ProductSprint Backlog'!$I277&lt;=J$2), 'ProductSprint Backlog'!$F277 / MAX(1, 'ProductSprint Backlog'!$J277-'ProductSprint Backlog'!$I277), AND('ProductSprint Backlog'!$J277=J$2,'ProductSprint Backlog'!$I277=J$2), 'ProductSprint Backlog'!$F277, TRUE, 0)</f>
        <v>0</v>
      </c>
      <c r="K277" s="4" cm="1">
        <f t="array" ref="K277">_xlfn.IFS('ProductSprint Backlog'!$F277="", "", AND('ProductSprint Backlog'!$J277&gt;K$2,'ProductSprint Backlog'!$I277&lt;=K$2), 'ProductSprint Backlog'!$F277 / MAX(1, 'ProductSprint Backlog'!$J277-'ProductSprint Backlog'!$I277), AND('ProductSprint Backlog'!$J277=K$2,'ProductSprint Backlog'!$I277=K$2), 'ProductSprint Backlog'!$F277, TRUE, 0)</f>
        <v>0</v>
      </c>
      <c r="L277" s="4" cm="1">
        <f t="array" ref="L277">_xlfn.IFS('ProductSprint Backlog'!$F277="", "", AND('ProductSprint Backlog'!$J277&gt;L$2,'ProductSprint Backlog'!$I277&lt;=L$2), 'ProductSprint Backlog'!$F277 / MAX(1, 'ProductSprint Backlog'!$J277-'ProductSprint Backlog'!$I277), AND('ProductSprint Backlog'!$J277=L$2,'ProductSprint Backlog'!$I277=L$2), 'ProductSprint Backlog'!$F277, TRUE, 0)</f>
        <v>0</v>
      </c>
      <c r="M277" s="4" cm="1">
        <f t="array" ref="M277">_xlfn.IFS('ProductSprint Backlog'!$F277="", "", AND('ProductSprint Backlog'!$J277&gt;M$2,'ProductSprint Backlog'!$I277&lt;=M$2), 'ProductSprint Backlog'!$F277 / MAX(1, 'ProductSprint Backlog'!$J277-'ProductSprint Backlog'!$I277), AND('ProductSprint Backlog'!$J277=M$2,'ProductSprint Backlog'!$I277=M$2), 'ProductSprint Backlog'!$F277, TRUE, 0)</f>
        <v>0</v>
      </c>
      <c r="N277" s="4" cm="1">
        <f t="array" ref="N277">_xlfn.IFS('ProductSprint Backlog'!$F277="", "", AND('ProductSprint Backlog'!$J277&gt;N$2,'ProductSprint Backlog'!$I277&lt;=N$2), 'ProductSprint Backlog'!$F277 / MAX(1, 'ProductSprint Backlog'!$J277-'ProductSprint Backlog'!$I277), AND('ProductSprint Backlog'!$J277=N$2,'ProductSprint Backlog'!$I277=N$2), 'ProductSprint Backlog'!$F277, TRUE, 0)</f>
        <v>0</v>
      </c>
      <c r="O277" s="4" cm="1">
        <f t="array" ref="O277">_xlfn.IFS('ProductSprint Backlog'!$F277="", "", AND('ProductSprint Backlog'!$J277&gt;O$2,'ProductSprint Backlog'!$I277&lt;=O$2), 'ProductSprint Backlog'!$F277 / MAX(1, 'ProductSprint Backlog'!$J277-'ProductSprint Backlog'!$I277), AND('ProductSprint Backlog'!$J277=O$2,'ProductSprint Backlog'!$I277=O$2), 'ProductSprint Backlog'!$F277, TRUE, 0)</f>
        <v>0</v>
      </c>
      <c r="P277" s="4" cm="1">
        <f t="array" ref="P277">_xlfn.IFS('ProductSprint Backlog'!$F277="", "", AND('ProductSprint Backlog'!$J277&gt;P$2,'ProductSprint Backlog'!$I277&lt;=P$2), 'ProductSprint Backlog'!$F277 / MAX(1, 'ProductSprint Backlog'!$J277-'ProductSprint Backlog'!$I277), AND('ProductSprint Backlog'!$J277=P$2,'ProductSprint Backlog'!$I277=P$2), 'ProductSprint Backlog'!$F277, TRUE, 0)</f>
        <v>0</v>
      </c>
      <c r="Q277" s="4" cm="1">
        <f t="array" ref="Q277">_xlfn.IFS('ProductSprint Backlog'!$F277="", "", AND('ProductSprint Backlog'!$J277&gt;Q$2,'ProductSprint Backlog'!$I277&lt;=Q$2), 'ProductSprint Backlog'!$F277 / MAX(1, 'ProductSprint Backlog'!$J277-'ProductSprint Backlog'!$I277), AND('ProductSprint Backlog'!$J277=Q$2,'ProductSprint Backlog'!$I277=Q$2), 'ProductSprint Backlog'!$F277, TRUE, 0)</f>
        <v>0</v>
      </c>
    </row>
    <row r="278" spans="2:17" x14ac:dyDescent="0.2">
      <c r="B278" s="4" cm="1">
        <f t="array" ref="B278">_xlfn.IFS('ProductSprint Backlog'!$F278="", "", AND('ProductSprint Backlog'!$J278&gt;B$2,'ProductSprint Backlog'!$I278&lt;=B$2), 'ProductSprint Backlog'!$F278 / MAX(1, 'ProductSprint Backlog'!$J278-'ProductSprint Backlog'!$I278), AND('ProductSprint Backlog'!$J278=B$2,'ProductSprint Backlog'!$I278=B$2), 'ProductSprint Backlog'!$F278, TRUE, 0)</f>
        <v>0</v>
      </c>
      <c r="C278" s="4" cm="1">
        <f t="array" ref="C278">_xlfn.IFS('ProductSprint Backlog'!$F278="", "", AND('ProductSprint Backlog'!$J278&gt;C$2,'ProductSprint Backlog'!$I278&lt;=C$2), 'ProductSprint Backlog'!$F278 / MAX(1, 'ProductSprint Backlog'!$J278-'ProductSprint Backlog'!$I278), AND('ProductSprint Backlog'!$J278=C$2,'ProductSprint Backlog'!$I278=C$2), 'ProductSprint Backlog'!$F278, TRUE, 0)</f>
        <v>0</v>
      </c>
      <c r="D278" s="4" cm="1">
        <f t="array" ref="D278">_xlfn.IFS('ProductSprint Backlog'!$F278="", "", AND('ProductSprint Backlog'!$J278&gt;D$2,'ProductSprint Backlog'!$I278&lt;=D$2), 'ProductSprint Backlog'!$F278 / MAX(1, 'ProductSprint Backlog'!$J278-'ProductSprint Backlog'!$I278), AND('ProductSprint Backlog'!$J278=D$2,'ProductSprint Backlog'!$I278=D$2), 'ProductSprint Backlog'!$F278, TRUE, 0)</f>
        <v>1</v>
      </c>
      <c r="E278" s="4" cm="1">
        <f t="array" ref="E278">_xlfn.IFS('ProductSprint Backlog'!$F278="", "", AND('ProductSprint Backlog'!$J278&gt;E$2,'ProductSprint Backlog'!$I278&lt;=E$2), 'ProductSprint Backlog'!$F278 / MAX(1, 'ProductSprint Backlog'!$J278-'ProductSprint Backlog'!$I278), AND('ProductSprint Backlog'!$J278=E$2,'ProductSprint Backlog'!$I278=E$2), 'ProductSprint Backlog'!$F278, TRUE, 0)</f>
        <v>0</v>
      </c>
      <c r="F278" s="4" cm="1">
        <f t="array" ref="F278">_xlfn.IFS('ProductSprint Backlog'!$F278="", "", AND('ProductSprint Backlog'!$J278&gt;F$2,'ProductSprint Backlog'!$I278&lt;=F$2), 'ProductSprint Backlog'!$F278 / MAX(1, 'ProductSprint Backlog'!$J278-'ProductSprint Backlog'!$I278), AND('ProductSprint Backlog'!$J278=F$2,'ProductSprint Backlog'!$I278=F$2), 'ProductSprint Backlog'!$F278, TRUE, 0)</f>
        <v>0</v>
      </c>
      <c r="G278" s="4" cm="1">
        <f t="array" ref="G278">_xlfn.IFS('ProductSprint Backlog'!$F278="", "", AND('ProductSprint Backlog'!$J278&gt;G$2,'ProductSprint Backlog'!$I278&lt;=G$2), 'ProductSprint Backlog'!$F278 / MAX(1, 'ProductSprint Backlog'!$J278-'ProductSprint Backlog'!$I278), AND('ProductSprint Backlog'!$J278=G$2,'ProductSprint Backlog'!$I278=G$2), 'ProductSprint Backlog'!$F278, TRUE, 0)</f>
        <v>0</v>
      </c>
      <c r="H278" s="4" cm="1">
        <f t="array" ref="H278">_xlfn.IFS('ProductSprint Backlog'!$F278="", "", AND('ProductSprint Backlog'!$J278&gt;H$2,'ProductSprint Backlog'!$I278&lt;=H$2), 'ProductSprint Backlog'!$F278 / MAX(1, 'ProductSprint Backlog'!$J278-'ProductSprint Backlog'!$I278), AND('ProductSprint Backlog'!$J278=H$2,'ProductSprint Backlog'!$I278=H$2), 'ProductSprint Backlog'!$F278, TRUE, 0)</f>
        <v>0</v>
      </c>
      <c r="I278" s="4" cm="1">
        <f t="array" ref="I278">_xlfn.IFS('ProductSprint Backlog'!$F278="", "", AND('ProductSprint Backlog'!$J278&gt;I$2,'ProductSprint Backlog'!$I278&lt;=I$2), 'ProductSprint Backlog'!$F278 / MAX(1, 'ProductSprint Backlog'!$J278-'ProductSprint Backlog'!$I278), AND('ProductSprint Backlog'!$J278=I$2,'ProductSprint Backlog'!$I278=I$2), 'ProductSprint Backlog'!$F278, TRUE, 0)</f>
        <v>0</v>
      </c>
      <c r="J278" s="4" cm="1">
        <f t="array" ref="J278">_xlfn.IFS('ProductSprint Backlog'!$F278="", "", AND('ProductSprint Backlog'!$J278&gt;J$2,'ProductSprint Backlog'!$I278&lt;=J$2), 'ProductSprint Backlog'!$F278 / MAX(1, 'ProductSprint Backlog'!$J278-'ProductSprint Backlog'!$I278), AND('ProductSprint Backlog'!$J278=J$2,'ProductSprint Backlog'!$I278=J$2), 'ProductSprint Backlog'!$F278, TRUE, 0)</f>
        <v>0</v>
      </c>
      <c r="K278" s="4" cm="1">
        <f t="array" ref="K278">_xlfn.IFS('ProductSprint Backlog'!$F278="", "", AND('ProductSprint Backlog'!$J278&gt;K$2,'ProductSprint Backlog'!$I278&lt;=K$2), 'ProductSprint Backlog'!$F278 / MAX(1, 'ProductSprint Backlog'!$J278-'ProductSprint Backlog'!$I278), AND('ProductSprint Backlog'!$J278=K$2,'ProductSprint Backlog'!$I278=K$2), 'ProductSprint Backlog'!$F278, TRUE, 0)</f>
        <v>0</v>
      </c>
      <c r="L278" s="4" cm="1">
        <f t="array" ref="L278">_xlfn.IFS('ProductSprint Backlog'!$F278="", "", AND('ProductSprint Backlog'!$J278&gt;L$2,'ProductSprint Backlog'!$I278&lt;=L$2), 'ProductSprint Backlog'!$F278 / MAX(1, 'ProductSprint Backlog'!$J278-'ProductSprint Backlog'!$I278), AND('ProductSprint Backlog'!$J278=L$2,'ProductSprint Backlog'!$I278=L$2), 'ProductSprint Backlog'!$F278, TRUE, 0)</f>
        <v>0</v>
      </c>
      <c r="M278" s="4" cm="1">
        <f t="array" ref="M278">_xlfn.IFS('ProductSprint Backlog'!$F278="", "", AND('ProductSprint Backlog'!$J278&gt;M$2,'ProductSprint Backlog'!$I278&lt;=M$2), 'ProductSprint Backlog'!$F278 / MAX(1, 'ProductSprint Backlog'!$J278-'ProductSprint Backlog'!$I278), AND('ProductSprint Backlog'!$J278=M$2,'ProductSprint Backlog'!$I278=M$2), 'ProductSprint Backlog'!$F278, TRUE, 0)</f>
        <v>0</v>
      </c>
      <c r="N278" s="4" cm="1">
        <f t="array" ref="N278">_xlfn.IFS('ProductSprint Backlog'!$F278="", "", AND('ProductSprint Backlog'!$J278&gt;N$2,'ProductSprint Backlog'!$I278&lt;=N$2), 'ProductSprint Backlog'!$F278 / MAX(1, 'ProductSprint Backlog'!$J278-'ProductSprint Backlog'!$I278), AND('ProductSprint Backlog'!$J278=N$2,'ProductSprint Backlog'!$I278=N$2), 'ProductSprint Backlog'!$F278, TRUE, 0)</f>
        <v>0</v>
      </c>
      <c r="O278" s="4" cm="1">
        <f t="array" ref="O278">_xlfn.IFS('ProductSprint Backlog'!$F278="", "", AND('ProductSprint Backlog'!$J278&gt;O$2,'ProductSprint Backlog'!$I278&lt;=O$2), 'ProductSprint Backlog'!$F278 / MAX(1, 'ProductSprint Backlog'!$J278-'ProductSprint Backlog'!$I278), AND('ProductSprint Backlog'!$J278=O$2,'ProductSprint Backlog'!$I278=O$2), 'ProductSprint Backlog'!$F278, TRUE, 0)</f>
        <v>0</v>
      </c>
      <c r="P278" s="4" cm="1">
        <f t="array" ref="P278">_xlfn.IFS('ProductSprint Backlog'!$F278="", "", AND('ProductSprint Backlog'!$J278&gt;P$2,'ProductSprint Backlog'!$I278&lt;=P$2), 'ProductSprint Backlog'!$F278 / MAX(1, 'ProductSprint Backlog'!$J278-'ProductSprint Backlog'!$I278), AND('ProductSprint Backlog'!$J278=P$2,'ProductSprint Backlog'!$I278=P$2), 'ProductSprint Backlog'!$F278, TRUE, 0)</f>
        <v>0</v>
      </c>
      <c r="Q278" s="4" cm="1">
        <f t="array" ref="Q278">_xlfn.IFS('ProductSprint Backlog'!$F278="", "", AND('ProductSprint Backlog'!$J278&gt;Q$2,'ProductSprint Backlog'!$I278&lt;=Q$2), 'ProductSprint Backlog'!$F278 / MAX(1, 'ProductSprint Backlog'!$J278-'ProductSprint Backlog'!$I278), AND('ProductSprint Backlog'!$J278=Q$2,'ProductSprint Backlog'!$I278=Q$2), 'ProductSprint Backlog'!$F278, TRUE, 0)</f>
        <v>0</v>
      </c>
    </row>
    <row r="279" spans="2:17" x14ac:dyDescent="0.2">
      <c r="B279" s="4" cm="1">
        <f t="array" ref="B279">_xlfn.IFS('ProductSprint Backlog'!$F279="", "", AND('ProductSprint Backlog'!$J279&gt;B$2,'ProductSprint Backlog'!$I279&lt;=B$2), 'ProductSprint Backlog'!$F279 / MAX(1, 'ProductSprint Backlog'!$J279-'ProductSprint Backlog'!$I279), AND('ProductSprint Backlog'!$J279=B$2,'ProductSprint Backlog'!$I279=B$2), 'ProductSprint Backlog'!$F279, TRUE, 0)</f>
        <v>0</v>
      </c>
      <c r="C279" s="4" cm="1">
        <f t="array" ref="C279">_xlfn.IFS('ProductSprint Backlog'!$F279="", "", AND('ProductSprint Backlog'!$J279&gt;C$2,'ProductSprint Backlog'!$I279&lt;=C$2), 'ProductSprint Backlog'!$F279 / MAX(1, 'ProductSprint Backlog'!$J279-'ProductSprint Backlog'!$I279), AND('ProductSprint Backlog'!$J279=C$2,'ProductSprint Backlog'!$I279=C$2), 'ProductSprint Backlog'!$F279, TRUE, 0)</f>
        <v>0</v>
      </c>
      <c r="D279" s="4" cm="1">
        <f t="array" ref="D279">_xlfn.IFS('ProductSprint Backlog'!$F279="", "", AND('ProductSprint Backlog'!$J279&gt;D$2,'ProductSprint Backlog'!$I279&lt;=D$2), 'ProductSprint Backlog'!$F279 / MAX(1, 'ProductSprint Backlog'!$J279-'ProductSprint Backlog'!$I279), AND('ProductSprint Backlog'!$J279=D$2,'ProductSprint Backlog'!$I279=D$2), 'ProductSprint Backlog'!$F279, TRUE, 0)</f>
        <v>0</v>
      </c>
      <c r="E279" s="4" cm="1">
        <f t="array" ref="E279">_xlfn.IFS('ProductSprint Backlog'!$F279="", "", AND('ProductSprint Backlog'!$J279&gt;E$2,'ProductSprint Backlog'!$I279&lt;=E$2), 'ProductSprint Backlog'!$F279 / MAX(1, 'ProductSprint Backlog'!$J279-'ProductSprint Backlog'!$I279), AND('ProductSprint Backlog'!$J279=E$2,'ProductSprint Backlog'!$I279=E$2), 'ProductSprint Backlog'!$F279, TRUE, 0)</f>
        <v>0</v>
      </c>
      <c r="F279" s="4" cm="1">
        <f t="array" ref="F279">_xlfn.IFS('ProductSprint Backlog'!$F279="", "", AND('ProductSprint Backlog'!$J279&gt;F$2,'ProductSprint Backlog'!$I279&lt;=F$2), 'ProductSprint Backlog'!$F279 / MAX(1, 'ProductSprint Backlog'!$J279-'ProductSprint Backlog'!$I279), AND('ProductSprint Backlog'!$J279=F$2,'ProductSprint Backlog'!$I279=F$2), 'ProductSprint Backlog'!$F279, TRUE, 0)</f>
        <v>3</v>
      </c>
      <c r="G279" s="4" cm="1">
        <f t="array" ref="G279">_xlfn.IFS('ProductSprint Backlog'!$F279="", "", AND('ProductSprint Backlog'!$J279&gt;G$2,'ProductSprint Backlog'!$I279&lt;=G$2), 'ProductSprint Backlog'!$F279 / MAX(1, 'ProductSprint Backlog'!$J279-'ProductSprint Backlog'!$I279), AND('ProductSprint Backlog'!$J279=G$2,'ProductSprint Backlog'!$I279=G$2), 'ProductSprint Backlog'!$F279, TRUE, 0)</f>
        <v>0</v>
      </c>
      <c r="H279" s="4" cm="1">
        <f t="array" ref="H279">_xlfn.IFS('ProductSprint Backlog'!$F279="", "", AND('ProductSprint Backlog'!$J279&gt;H$2,'ProductSprint Backlog'!$I279&lt;=H$2), 'ProductSprint Backlog'!$F279 / MAX(1, 'ProductSprint Backlog'!$J279-'ProductSprint Backlog'!$I279), AND('ProductSprint Backlog'!$J279=H$2,'ProductSprint Backlog'!$I279=H$2), 'ProductSprint Backlog'!$F279, TRUE, 0)</f>
        <v>0</v>
      </c>
      <c r="I279" s="4" cm="1">
        <f t="array" ref="I279">_xlfn.IFS('ProductSprint Backlog'!$F279="", "", AND('ProductSprint Backlog'!$J279&gt;I$2,'ProductSprint Backlog'!$I279&lt;=I$2), 'ProductSprint Backlog'!$F279 / MAX(1, 'ProductSprint Backlog'!$J279-'ProductSprint Backlog'!$I279), AND('ProductSprint Backlog'!$J279=I$2,'ProductSprint Backlog'!$I279=I$2), 'ProductSprint Backlog'!$F279, TRUE, 0)</f>
        <v>0</v>
      </c>
      <c r="J279" s="4" cm="1">
        <f t="array" ref="J279">_xlfn.IFS('ProductSprint Backlog'!$F279="", "", AND('ProductSprint Backlog'!$J279&gt;J$2,'ProductSprint Backlog'!$I279&lt;=J$2), 'ProductSprint Backlog'!$F279 / MAX(1, 'ProductSprint Backlog'!$J279-'ProductSprint Backlog'!$I279), AND('ProductSprint Backlog'!$J279=J$2,'ProductSprint Backlog'!$I279=J$2), 'ProductSprint Backlog'!$F279, TRUE, 0)</f>
        <v>0</v>
      </c>
      <c r="K279" s="4" cm="1">
        <f t="array" ref="K279">_xlfn.IFS('ProductSprint Backlog'!$F279="", "", AND('ProductSprint Backlog'!$J279&gt;K$2,'ProductSprint Backlog'!$I279&lt;=K$2), 'ProductSprint Backlog'!$F279 / MAX(1, 'ProductSprint Backlog'!$J279-'ProductSprint Backlog'!$I279), AND('ProductSprint Backlog'!$J279=K$2,'ProductSprint Backlog'!$I279=K$2), 'ProductSprint Backlog'!$F279, TRUE, 0)</f>
        <v>0</v>
      </c>
      <c r="L279" s="4" cm="1">
        <f t="array" ref="L279">_xlfn.IFS('ProductSprint Backlog'!$F279="", "", AND('ProductSprint Backlog'!$J279&gt;L$2,'ProductSprint Backlog'!$I279&lt;=L$2), 'ProductSprint Backlog'!$F279 / MAX(1, 'ProductSprint Backlog'!$J279-'ProductSprint Backlog'!$I279), AND('ProductSprint Backlog'!$J279=L$2,'ProductSprint Backlog'!$I279=L$2), 'ProductSprint Backlog'!$F279, TRUE, 0)</f>
        <v>0</v>
      </c>
      <c r="M279" s="4" cm="1">
        <f t="array" ref="M279">_xlfn.IFS('ProductSprint Backlog'!$F279="", "", AND('ProductSprint Backlog'!$J279&gt;M$2,'ProductSprint Backlog'!$I279&lt;=M$2), 'ProductSprint Backlog'!$F279 / MAX(1, 'ProductSprint Backlog'!$J279-'ProductSprint Backlog'!$I279), AND('ProductSprint Backlog'!$J279=M$2,'ProductSprint Backlog'!$I279=M$2), 'ProductSprint Backlog'!$F279, TRUE, 0)</f>
        <v>0</v>
      </c>
      <c r="N279" s="4" cm="1">
        <f t="array" ref="N279">_xlfn.IFS('ProductSprint Backlog'!$F279="", "", AND('ProductSprint Backlog'!$J279&gt;N$2,'ProductSprint Backlog'!$I279&lt;=N$2), 'ProductSprint Backlog'!$F279 / MAX(1, 'ProductSprint Backlog'!$J279-'ProductSprint Backlog'!$I279), AND('ProductSprint Backlog'!$J279=N$2,'ProductSprint Backlog'!$I279=N$2), 'ProductSprint Backlog'!$F279, TRUE, 0)</f>
        <v>0</v>
      </c>
      <c r="O279" s="4" cm="1">
        <f t="array" ref="O279">_xlfn.IFS('ProductSprint Backlog'!$F279="", "", AND('ProductSprint Backlog'!$J279&gt;O$2,'ProductSprint Backlog'!$I279&lt;=O$2), 'ProductSprint Backlog'!$F279 / MAX(1, 'ProductSprint Backlog'!$J279-'ProductSprint Backlog'!$I279), AND('ProductSprint Backlog'!$J279=O$2,'ProductSprint Backlog'!$I279=O$2), 'ProductSprint Backlog'!$F279, TRUE, 0)</f>
        <v>0</v>
      </c>
      <c r="P279" s="4" cm="1">
        <f t="array" ref="P279">_xlfn.IFS('ProductSprint Backlog'!$F279="", "", AND('ProductSprint Backlog'!$J279&gt;P$2,'ProductSprint Backlog'!$I279&lt;=P$2), 'ProductSprint Backlog'!$F279 / MAX(1, 'ProductSprint Backlog'!$J279-'ProductSprint Backlog'!$I279), AND('ProductSprint Backlog'!$J279=P$2,'ProductSprint Backlog'!$I279=P$2), 'ProductSprint Backlog'!$F279, TRUE, 0)</f>
        <v>0</v>
      </c>
      <c r="Q279" s="4" cm="1">
        <f t="array" ref="Q279">_xlfn.IFS('ProductSprint Backlog'!$F279="", "", AND('ProductSprint Backlog'!$J279&gt;Q$2,'ProductSprint Backlog'!$I279&lt;=Q$2), 'ProductSprint Backlog'!$F279 / MAX(1, 'ProductSprint Backlog'!$J279-'ProductSprint Backlog'!$I279), AND('ProductSprint Backlog'!$J279=Q$2,'ProductSprint Backlog'!$I279=Q$2), 'ProductSprint Backlog'!$F279, TRUE, 0)</f>
        <v>0</v>
      </c>
    </row>
    <row r="280" spans="2:17" x14ac:dyDescent="0.2">
      <c r="B280" s="4" cm="1">
        <f t="array" ref="B280">_xlfn.IFS('ProductSprint Backlog'!$F280="", "", AND('ProductSprint Backlog'!$J280&gt;B$2,'ProductSprint Backlog'!$I280&lt;=B$2), 'ProductSprint Backlog'!$F280 / MAX(1, 'ProductSprint Backlog'!$J280-'ProductSprint Backlog'!$I280), AND('ProductSprint Backlog'!$J280=B$2,'ProductSprint Backlog'!$I280=B$2), 'ProductSprint Backlog'!$F280, TRUE, 0)</f>
        <v>0</v>
      </c>
      <c r="C280" s="4" cm="1">
        <f t="array" ref="C280">_xlfn.IFS('ProductSprint Backlog'!$F280="", "", AND('ProductSprint Backlog'!$J280&gt;C$2,'ProductSprint Backlog'!$I280&lt;=C$2), 'ProductSprint Backlog'!$F280 / MAX(1, 'ProductSprint Backlog'!$J280-'ProductSprint Backlog'!$I280), AND('ProductSprint Backlog'!$J280=C$2,'ProductSprint Backlog'!$I280=C$2), 'ProductSprint Backlog'!$F280, TRUE, 0)</f>
        <v>0</v>
      </c>
      <c r="D280" s="4" cm="1">
        <f t="array" ref="D280">_xlfn.IFS('ProductSprint Backlog'!$F280="", "", AND('ProductSprint Backlog'!$J280&gt;D$2,'ProductSprint Backlog'!$I280&lt;=D$2), 'ProductSprint Backlog'!$F280 / MAX(1, 'ProductSprint Backlog'!$J280-'ProductSprint Backlog'!$I280), AND('ProductSprint Backlog'!$J280=D$2,'ProductSprint Backlog'!$I280=D$2), 'ProductSprint Backlog'!$F280, TRUE, 0)</f>
        <v>0</v>
      </c>
      <c r="E280" s="4" cm="1">
        <f t="array" ref="E280">_xlfn.IFS('ProductSprint Backlog'!$F280="", "", AND('ProductSprint Backlog'!$J280&gt;E$2,'ProductSprint Backlog'!$I280&lt;=E$2), 'ProductSprint Backlog'!$F280 / MAX(1, 'ProductSprint Backlog'!$J280-'ProductSprint Backlog'!$I280), AND('ProductSprint Backlog'!$J280=E$2,'ProductSprint Backlog'!$I280=E$2), 'ProductSprint Backlog'!$F280, TRUE, 0)</f>
        <v>0</v>
      </c>
      <c r="F280" s="4" cm="1">
        <f t="array" ref="F280">_xlfn.IFS('ProductSprint Backlog'!$F280="", "", AND('ProductSprint Backlog'!$J280&gt;F$2,'ProductSprint Backlog'!$I280&lt;=F$2), 'ProductSprint Backlog'!$F280 / MAX(1, 'ProductSprint Backlog'!$J280-'ProductSprint Backlog'!$I280), AND('ProductSprint Backlog'!$J280=F$2,'ProductSprint Backlog'!$I280=F$2), 'ProductSprint Backlog'!$F280, TRUE, 0)</f>
        <v>0</v>
      </c>
      <c r="G280" s="4" cm="1">
        <f t="array" ref="G280">_xlfn.IFS('ProductSprint Backlog'!$F280="", "", AND('ProductSprint Backlog'!$J280&gt;G$2,'ProductSprint Backlog'!$I280&lt;=G$2), 'ProductSprint Backlog'!$F280 / MAX(1, 'ProductSprint Backlog'!$J280-'ProductSprint Backlog'!$I280), AND('ProductSprint Backlog'!$J280=G$2,'ProductSprint Backlog'!$I280=G$2), 'ProductSprint Backlog'!$F280, TRUE, 0)</f>
        <v>0</v>
      </c>
      <c r="H280" s="4" cm="1">
        <f t="array" ref="H280">_xlfn.IFS('ProductSprint Backlog'!$F280="", "", AND('ProductSprint Backlog'!$J280&gt;H$2,'ProductSprint Backlog'!$I280&lt;=H$2), 'ProductSprint Backlog'!$F280 / MAX(1, 'ProductSprint Backlog'!$J280-'ProductSprint Backlog'!$I280), AND('ProductSprint Backlog'!$J280=H$2,'ProductSprint Backlog'!$I280=H$2), 'ProductSprint Backlog'!$F280, TRUE, 0)</f>
        <v>1</v>
      </c>
      <c r="I280" s="4" cm="1">
        <f t="array" ref="I280">_xlfn.IFS('ProductSprint Backlog'!$F280="", "", AND('ProductSprint Backlog'!$J280&gt;I$2,'ProductSprint Backlog'!$I280&lt;=I$2), 'ProductSprint Backlog'!$F280 / MAX(1, 'ProductSprint Backlog'!$J280-'ProductSprint Backlog'!$I280), AND('ProductSprint Backlog'!$J280=I$2,'ProductSprint Backlog'!$I280=I$2), 'ProductSprint Backlog'!$F280, TRUE, 0)</f>
        <v>0</v>
      </c>
      <c r="J280" s="4" cm="1">
        <f t="array" ref="J280">_xlfn.IFS('ProductSprint Backlog'!$F280="", "", AND('ProductSprint Backlog'!$J280&gt;J$2,'ProductSprint Backlog'!$I280&lt;=J$2), 'ProductSprint Backlog'!$F280 / MAX(1, 'ProductSprint Backlog'!$J280-'ProductSprint Backlog'!$I280), AND('ProductSprint Backlog'!$J280=J$2,'ProductSprint Backlog'!$I280=J$2), 'ProductSprint Backlog'!$F280, TRUE, 0)</f>
        <v>0</v>
      </c>
      <c r="K280" s="4" cm="1">
        <f t="array" ref="K280">_xlfn.IFS('ProductSprint Backlog'!$F280="", "", AND('ProductSprint Backlog'!$J280&gt;K$2,'ProductSprint Backlog'!$I280&lt;=K$2), 'ProductSprint Backlog'!$F280 / MAX(1, 'ProductSprint Backlog'!$J280-'ProductSprint Backlog'!$I280), AND('ProductSprint Backlog'!$J280=K$2,'ProductSprint Backlog'!$I280=K$2), 'ProductSprint Backlog'!$F280, TRUE, 0)</f>
        <v>0</v>
      </c>
      <c r="L280" s="4" cm="1">
        <f t="array" ref="L280">_xlfn.IFS('ProductSprint Backlog'!$F280="", "", AND('ProductSprint Backlog'!$J280&gt;L$2,'ProductSprint Backlog'!$I280&lt;=L$2), 'ProductSprint Backlog'!$F280 / MAX(1, 'ProductSprint Backlog'!$J280-'ProductSprint Backlog'!$I280), AND('ProductSprint Backlog'!$J280=L$2,'ProductSprint Backlog'!$I280=L$2), 'ProductSprint Backlog'!$F280, TRUE, 0)</f>
        <v>0</v>
      </c>
      <c r="M280" s="4" cm="1">
        <f t="array" ref="M280">_xlfn.IFS('ProductSprint Backlog'!$F280="", "", AND('ProductSprint Backlog'!$J280&gt;M$2,'ProductSprint Backlog'!$I280&lt;=M$2), 'ProductSprint Backlog'!$F280 / MAX(1, 'ProductSprint Backlog'!$J280-'ProductSprint Backlog'!$I280), AND('ProductSprint Backlog'!$J280=M$2,'ProductSprint Backlog'!$I280=M$2), 'ProductSprint Backlog'!$F280, TRUE, 0)</f>
        <v>0</v>
      </c>
      <c r="N280" s="4" cm="1">
        <f t="array" ref="N280">_xlfn.IFS('ProductSprint Backlog'!$F280="", "", AND('ProductSprint Backlog'!$J280&gt;N$2,'ProductSprint Backlog'!$I280&lt;=N$2), 'ProductSprint Backlog'!$F280 / MAX(1, 'ProductSprint Backlog'!$J280-'ProductSprint Backlog'!$I280), AND('ProductSprint Backlog'!$J280=N$2,'ProductSprint Backlog'!$I280=N$2), 'ProductSprint Backlog'!$F280, TRUE, 0)</f>
        <v>0</v>
      </c>
      <c r="O280" s="4" cm="1">
        <f t="array" ref="O280">_xlfn.IFS('ProductSprint Backlog'!$F280="", "", AND('ProductSprint Backlog'!$J280&gt;O$2,'ProductSprint Backlog'!$I280&lt;=O$2), 'ProductSprint Backlog'!$F280 / MAX(1, 'ProductSprint Backlog'!$J280-'ProductSprint Backlog'!$I280), AND('ProductSprint Backlog'!$J280=O$2,'ProductSprint Backlog'!$I280=O$2), 'ProductSprint Backlog'!$F280, TRUE, 0)</f>
        <v>0</v>
      </c>
      <c r="P280" s="4" cm="1">
        <f t="array" ref="P280">_xlfn.IFS('ProductSprint Backlog'!$F280="", "", AND('ProductSprint Backlog'!$J280&gt;P$2,'ProductSprint Backlog'!$I280&lt;=P$2), 'ProductSprint Backlog'!$F280 / MAX(1, 'ProductSprint Backlog'!$J280-'ProductSprint Backlog'!$I280), AND('ProductSprint Backlog'!$J280=P$2,'ProductSprint Backlog'!$I280=P$2), 'ProductSprint Backlog'!$F280, TRUE, 0)</f>
        <v>0</v>
      </c>
      <c r="Q280" s="4" cm="1">
        <f t="array" ref="Q280">_xlfn.IFS('ProductSprint Backlog'!$F280="", "", AND('ProductSprint Backlog'!$J280&gt;Q$2,'ProductSprint Backlog'!$I280&lt;=Q$2), 'ProductSprint Backlog'!$F280 / MAX(1, 'ProductSprint Backlog'!$J280-'ProductSprint Backlog'!$I280), AND('ProductSprint Backlog'!$J280=Q$2,'ProductSprint Backlog'!$I280=Q$2), 'ProductSprint Backlog'!$F280, TRUE, 0)</f>
        <v>0</v>
      </c>
    </row>
    <row r="281" spans="2:17" x14ac:dyDescent="0.2">
      <c r="B281" s="4" t="str" cm="1">
        <f t="array" ref="B281">_xlfn.IFS('ProductSprint Backlog'!$F281="", "", AND('ProductSprint Backlog'!$J281&gt;B$2,'ProductSprint Backlog'!$I281&lt;=B$2), 'ProductSprint Backlog'!$F281 / MAX(1, 'ProductSprint Backlog'!$J281-'ProductSprint Backlog'!$I281), AND('ProductSprint Backlog'!$J281=B$2,'ProductSprint Backlog'!$I281=B$2), 'ProductSprint Backlog'!$F281, TRUE, 0)</f>
        <v/>
      </c>
      <c r="C281" s="4" t="str" cm="1">
        <f t="array" ref="C281">_xlfn.IFS('ProductSprint Backlog'!$F281="", "", AND('ProductSprint Backlog'!$J281&gt;C$2,'ProductSprint Backlog'!$I281&lt;=C$2), 'ProductSprint Backlog'!$F281 / MAX(1, 'ProductSprint Backlog'!$J281-'ProductSprint Backlog'!$I281), AND('ProductSprint Backlog'!$J281=C$2,'ProductSprint Backlog'!$I281=C$2), 'ProductSprint Backlog'!$F281, TRUE, 0)</f>
        <v/>
      </c>
      <c r="D281" s="4" t="str" cm="1">
        <f t="array" ref="D281">_xlfn.IFS('ProductSprint Backlog'!$F281="", "", AND('ProductSprint Backlog'!$J281&gt;D$2,'ProductSprint Backlog'!$I281&lt;=D$2), 'ProductSprint Backlog'!$F281 / MAX(1, 'ProductSprint Backlog'!$J281-'ProductSprint Backlog'!$I281), AND('ProductSprint Backlog'!$J281=D$2,'ProductSprint Backlog'!$I281=D$2), 'ProductSprint Backlog'!$F281, TRUE, 0)</f>
        <v/>
      </c>
      <c r="E281" s="4" t="str" cm="1">
        <f t="array" ref="E281">_xlfn.IFS('ProductSprint Backlog'!$F281="", "", AND('ProductSprint Backlog'!$J281&gt;E$2,'ProductSprint Backlog'!$I281&lt;=E$2), 'ProductSprint Backlog'!$F281 / MAX(1, 'ProductSprint Backlog'!$J281-'ProductSprint Backlog'!$I281), AND('ProductSprint Backlog'!$J281=E$2,'ProductSprint Backlog'!$I281=E$2), 'ProductSprint Backlog'!$F281, TRUE, 0)</f>
        <v/>
      </c>
      <c r="F281" s="4" t="str" cm="1">
        <f t="array" ref="F281">_xlfn.IFS('ProductSprint Backlog'!$F281="", "", AND('ProductSprint Backlog'!$J281&gt;F$2,'ProductSprint Backlog'!$I281&lt;=F$2), 'ProductSprint Backlog'!$F281 / MAX(1, 'ProductSprint Backlog'!$J281-'ProductSprint Backlog'!$I281), AND('ProductSprint Backlog'!$J281=F$2,'ProductSprint Backlog'!$I281=F$2), 'ProductSprint Backlog'!$F281, TRUE, 0)</f>
        <v/>
      </c>
      <c r="G281" s="4" t="str" cm="1">
        <f t="array" ref="G281">_xlfn.IFS('ProductSprint Backlog'!$F281="", "", AND('ProductSprint Backlog'!$J281&gt;G$2,'ProductSprint Backlog'!$I281&lt;=G$2), 'ProductSprint Backlog'!$F281 / MAX(1, 'ProductSprint Backlog'!$J281-'ProductSprint Backlog'!$I281), AND('ProductSprint Backlog'!$J281=G$2,'ProductSprint Backlog'!$I281=G$2), 'ProductSprint Backlog'!$F281, TRUE, 0)</f>
        <v/>
      </c>
      <c r="H281" s="4" t="str" cm="1">
        <f t="array" ref="H281">_xlfn.IFS('ProductSprint Backlog'!$F281="", "", AND('ProductSprint Backlog'!$J281&gt;H$2,'ProductSprint Backlog'!$I281&lt;=H$2), 'ProductSprint Backlog'!$F281 / MAX(1, 'ProductSprint Backlog'!$J281-'ProductSprint Backlog'!$I281), AND('ProductSprint Backlog'!$J281=H$2,'ProductSprint Backlog'!$I281=H$2), 'ProductSprint Backlog'!$F281, TRUE, 0)</f>
        <v/>
      </c>
      <c r="I281" s="4" t="str" cm="1">
        <f t="array" ref="I281">_xlfn.IFS('ProductSprint Backlog'!$F281="", "", AND('ProductSprint Backlog'!$J281&gt;I$2,'ProductSprint Backlog'!$I281&lt;=I$2), 'ProductSprint Backlog'!$F281 / MAX(1, 'ProductSprint Backlog'!$J281-'ProductSprint Backlog'!$I281), AND('ProductSprint Backlog'!$J281=I$2,'ProductSprint Backlog'!$I281=I$2), 'ProductSprint Backlog'!$F281, TRUE, 0)</f>
        <v/>
      </c>
      <c r="J281" s="4" t="str" cm="1">
        <f t="array" ref="J281">_xlfn.IFS('ProductSprint Backlog'!$F281="", "", AND('ProductSprint Backlog'!$J281&gt;J$2,'ProductSprint Backlog'!$I281&lt;=J$2), 'ProductSprint Backlog'!$F281 / MAX(1, 'ProductSprint Backlog'!$J281-'ProductSprint Backlog'!$I281), AND('ProductSprint Backlog'!$J281=J$2,'ProductSprint Backlog'!$I281=J$2), 'ProductSprint Backlog'!$F281, TRUE, 0)</f>
        <v/>
      </c>
      <c r="K281" s="4" t="str" cm="1">
        <f t="array" ref="K281">_xlfn.IFS('ProductSprint Backlog'!$F281="", "", AND('ProductSprint Backlog'!$J281&gt;K$2,'ProductSprint Backlog'!$I281&lt;=K$2), 'ProductSprint Backlog'!$F281 / MAX(1, 'ProductSprint Backlog'!$J281-'ProductSprint Backlog'!$I281), AND('ProductSprint Backlog'!$J281=K$2,'ProductSprint Backlog'!$I281=K$2), 'ProductSprint Backlog'!$F281, TRUE, 0)</f>
        <v/>
      </c>
      <c r="L281" s="4" t="str" cm="1">
        <f t="array" ref="L281">_xlfn.IFS('ProductSprint Backlog'!$F281="", "", AND('ProductSprint Backlog'!$J281&gt;L$2,'ProductSprint Backlog'!$I281&lt;=L$2), 'ProductSprint Backlog'!$F281 / MAX(1, 'ProductSprint Backlog'!$J281-'ProductSprint Backlog'!$I281), AND('ProductSprint Backlog'!$J281=L$2,'ProductSprint Backlog'!$I281=L$2), 'ProductSprint Backlog'!$F281, TRUE, 0)</f>
        <v/>
      </c>
      <c r="M281" s="4" t="str" cm="1">
        <f t="array" ref="M281">_xlfn.IFS('ProductSprint Backlog'!$F281="", "", AND('ProductSprint Backlog'!$J281&gt;M$2,'ProductSprint Backlog'!$I281&lt;=M$2), 'ProductSprint Backlog'!$F281 / MAX(1, 'ProductSprint Backlog'!$J281-'ProductSprint Backlog'!$I281), AND('ProductSprint Backlog'!$J281=M$2,'ProductSprint Backlog'!$I281=M$2), 'ProductSprint Backlog'!$F281, TRUE, 0)</f>
        <v/>
      </c>
      <c r="N281" s="4" t="str" cm="1">
        <f t="array" ref="N281">_xlfn.IFS('ProductSprint Backlog'!$F281="", "", AND('ProductSprint Backlog'!$J281&gt;N$2,'ProductSprint Backlog'!$I281&lt;=N$2), 'ProductSprint Backlog'!$F281 / MAX(1, 'ProductSprint Backlog'!$J281-'ProductSprint Backlog'!$I281), AND('ProductSprint Backlog'!$J281=N$2,'ProductSprint Backlog'!$I281=N$2), 'ProductSprint Backlog'!$F281, TRUE, 0)</f>
        <v/>
      </c>
      <c r="O281" s="4" t="str" cm="1">
        <f t="array" ref="O281">_xlfn.IFS('ProductSprint Backlog'!$F281="", "", AND('ProductSprint Backlog'!$J281&gt;O$2,'ProductSprint Backlog'!$I281&lt;=O$2), 'ProductSprint Backlog'!$F281 / MAX(1, 'ProductSprint Backlog'!$J281-'ProductSprint Backlog'!$I281), AND('ProductSprint Backlog'!$J281=O$2,'ProductSprint Backlog'!$I281=O$2), 'ProductSprint Backlog'!$F281, TRUE, 0)</f>
        <v/>
      </c>
      <c r="P281" s="4" t="str" cm="1">
        <f t="array" ref="P281">_xlfn.IFS('ProductSprint Backlog'!$F281="", "", AND('ProductSprint Backlog'!$J281&gt;P$2,'ProductSprint Backlog'!$I281&lt;=P$2), 'ProductSprint Backlog'!$F281 / MAX(1, 'ProductSprint Backlog'!$J281-'ProductSprint Backlog'!$I281), AND('ProductSprint Backlog'!$J281=P$2,'ProductSprint Backlog'!$I281=P$2), 'ProductSprint Backlog'!$F281, TRUE, 0)</f>
        <v/>
      </c>
      <c r="Q281" s="4" t="str" cm="1">
        <f t="array" ref="Q281">_xlfn.IFS('ProductSprint Backlog'!$F281="", "", AND('ProductSprint Backlog'!$J281&gt;Q$2,'ProductSprint Backlog'!$I281&lt;=Q$2), 'ProductSprint Backlog'!$F281 / MAX(1, 'ProductSprint Backlog'!$J281-'ProductSprint Backlog'!$I281), AND('ProductSprint Backlog'!$J281=Q$2,'ProductSprint Backlog'!$I281=Q$2), 'ProductSprint Backlog'!$F281, TRUE, 0)</f>
        <v/>
      </c>
    </row>
    <row r="282" spans="2:17" ht="15.75" customHeight="1" x14ac:dyDescent="0.2">
      <c r="B282" s="4" cm="1">
        <f t="array" ref="B282">_xlfn.IFS('ProductSprint Backlog'!$F282="", "", AND('ProductSprint Backlog'!$J282&gt;B$2,'ProductSprint Backlog'!$I282&lt;=B$2), 'ProductSprint Backlog'!$F282 / MAX(1, 'ProductSprint Backlog'!$J282-'ProductSprint Backlog'!$I282), AND('ProductSprint Backlog'!$J282=B$2,'ProductSprint Backlog'!$I282=B$2), 'ProductSprint Backlog'!$F282, TRUE, 0)</f>
        <v>0</v>
      </c>
      <c r="C282" s="4" cm="1">
        <f t="array" ref="C282">_xlfn.IFS('ProductSprint Backlog'!$F282="", "", AND('ProductSprint Backlog'!$J282&gt;C$2,'ProductSprint Backlog'!$I282&lt;=C$2), 'ProductSprint Backlog'!$F282 / MAX(1, 'ProductSprint Backlog'!$J282-'ProductSprint Backlog'!$I282), AND('ProductSprint Backlog'!$J282=C$2,'ProductSprint Backlog'!$I282=C$2), 'ProductSprint Backlog'!$F282, TRUE, 0)</f>
        <v>0</v>
      </c>
      <c r="D282" s="4" cm="1">
        <f t="array" ref="D282">_xlfn.IFS('ProductSprint Backlog'!$F282="", "", AND('ProductSprint Backlog'!$J282&gt;D$2,'ProductSprint Backlog'!$I282&lt;=D$2), 'ProductSprint Backlog'!$F282 / MAX(1, 'ProductSprint Backlog'!$J282-'ProductSprint Backlog'!$I282), AND('ProductSprint Backlog'!$J282=D$2,'ProductSprint Backlog'!$I282=D$2), 'ProductSprint Backlog'!$F282, TRUE, 0)</f>
        <v>0</v>
      </c>
      <c r="E282" s="4" cm="1">
        <f t="array" ref="E282">_xlfn.IFS('ProductSprint Backlog'!$F282="", "", AND('ProductSprint Backlog'!$J282&gt;E$2,'ProductSprint Backlog'!$I282&lt;=E$2), 'ProductSprint Backlog'!$F282 / MAX(1, 'ProductSprint Backlog'!$J282-'ProductSprint Backlog'!$I282), AND('ProductSprint Backlog'!$J282=E$2,'ProductSprint Backlog'!$I282=E$2), 'ProductSprint Backlog'!$F282, TRUE, 0)</f>
        <v>0</v>
      </c>
      <c r="F282" s="4" cm="1">
        <f t="array" ref="F282">_xlfn.IFS('ProductSprint Backlog'!$F282="", "", AND('ProductSprint Backlog'!$J282&gt;F$2,'ProductSprint Backlog'!$I282&lt;=F$2), 'ProductSprint Backlog'!$F282 / MAX(1, 'ProductSprint Backlog'!$J282-'ProductSprint Backlog'!$I282), AND('ProductSprint Backlog'!$J282=F$2,'ProductSprint Backlog'!$I282=F$2), 'ProductSprint Backlog'!$F282, TRUE, 0)</f>
        <v>0</v>
      </c>
      <c r="G282" s="4" cm="1">
        <f t="array" ref="G282">_xlfn.IFS('ProductSprint Backlog'!$F282="", "", AND('ProductSprint Backlog'!$J282&gt;G$2,'ProductSprint Backlog'!$I282&lt;=G$2), 'ProductSprint Backlog'!$F282 / MAX(1, 'ProductSprint Backlog'!$J282-'ProductSprint Backlog'!$I282), AND('ProductSprint Backlog'!$J282=G$2,'ProductSprint Backlog'!$I282=G$2), 'ProductSprint Backlog'!$F282, TRUE, 0)</f>
        <v>0</v>
      </c>
      <c r="H282" s="4" cm="1">
        <f t="array" ref="H282">_xlfn.IFS('ProductSprint Backlog'!$F282="", "", AND('ProductSprint Backlog'!$J282&gt;H$2,'ProductSprint Backlog'!$I282&lt;=H$2), 'ProductSprint Backlog'!$F282 / MAX(1, 'ProductSprint Backlog'!$J282-'ProductSprint Backlog'!$I282), AND('ProductSprint Backlog'!$J282=H$2,'ProductSprint Backlog'!$I282=H$2), 'ProductSprint Backlog'!$F282, TRUE, 0)</f>
        <v>0</v>
      </c>
      <c r="I282" s="4" cm="1">
        <f t="array" ref="I282">_xlfn.IFS('ProductSprint Backlog'!$F282="", "", AND('ProductSprint Backlog'!$J282&gt;I$2,'ProductSprint Backlog'!$I282&lt;=I$2), 'ProductSprint Backlog'!$F282 / MAX(1, 'ProductSprint Backlog'!$J282-'ProductSprint Backlog'!$I282), AND('ProductSprint Backlog'!$J282=I$2,'ProductSprint Backlog'!$I282=I$2), 'ProductSprint Backlog'!$F282, TRUE, 0)</f>
        <v>0</v>
      </c>
      <c r="J282" s="4" cm="1">
        <f t="array" ref="J282">_xlfn.IFS('ProductSprint Backlog'!$F282="", "", AND('ProductSprint Backlog'!$J282&gt;J$2,'ProductSprint Backlog'!$I282&lt;=J$2), 'ProductSprint Backlog'!$F282 / MAX(1, 'ProductSprint Backlog'!$J282-'ProductSprint Backlog'!$I282), AND('ProductSprint Backlog'!$J282=J$2,'ProductSprint Backlog'!$I282=J$2), 'ProductSprint Backlog'!$F282, TRUE, 0)</f>
        <v>0</v>
      </c>
      <c r="K282" s="4" cm="1">
        <f t="array" ref="K282">_xlfn.IFS('ProductSprint Backlog'!$F282="", "", AND('ProductSprint Backlog'!$J282&gt;K$2,'ProductSprint Backlog'!$I282&lt;=K$2), 'ProductSprint Backlog'!$F282 / MAX(1, 'ProductSprint Backlog'!$J282-'ProductSprint Backlog'!$I282), AND('ProductSprint Backlog'!$J282=K$2,'ProductSprint Backlog'!$I282=K$2), 'ProductSprint Backlog'!$F282, TRUE, 0)</f>
        <v>0</v>
      </c>
      <c r="L282" s="4" cm="1">
        <f t="array" ref="L282">_xlfn.IFS('ProductSprint Backlog'!$F282="", "", AND('ProductSprint Backlog'!$J282&gt;L$2,'ProductSprint Backlog'!$I282&lt;=L$2), 'ProductSprint Backlog'!$F282 / MAX(1, 'ProductSprint Backlog'!$J282-'ProductSprint Backlog'!$I282), AND('ProductSprint Backlog'!$J282=L$2,'ProductSprint Backlog'!$I282=L$2), 'ProductSprint Backlog'!$F282, TRUE, 0)</f>
        <v>0</v>
      </c>
      <c r="M282" s="4" cm="1">
        <f t="array" ref="M282">_xlfn.IFS('ProductSprint Backlog'!$F282="", "", AND('ProductSprint Backlog'!$J282&gt;M$2,'ProductSprint Backlog'!$I282&lt;=M$2), 'ProductSprint Backlog'!$F282 / MAX(1, 'ProductSprint Backlog'!$J282-'ProductSprint Backlog'!$I282), AND('ProductSprint Backlog'!$J282=M$2,'ProductSprint Backlog'!$I282=M$2), 'ProductSprint Backlog'!$F282, TRUE, 0)</f>
        <v>0</v>
      </c>
      <c r="N282" s="4" cm="1">
        <f t="array" ref="N282">_xlfn.IFS('ProductSprint Backlog'!$F282="", "", AND('ProductSprint Backlog'!$J282&gt;N$2,'ProductSprint Backlog'!$I282&lt;=N$2), 'ProductSprint Backlog'!$F282 / MAX(1, 'ProductSprint Backlog'!$J282-'ProductSprint Backlog'!$I282), AND('ProductSprint Backlog'!$J282=N$2,'ProductSprint Backlog'!$I282=N$2), 'ProductSprint Backlog'!$F282, TRUE, 0)</f>
        <v>0</v>
      </c>
      <c r="O282" s="4" cm="1">
        <f t="array" ref="O282">_xlfn.IFS('ProductSprint Backlog'!$F282="", "", AND('ProductSprint Backlog'!$J282&gt;O$2,'ProductSprint Backlog'!$I282&lt;=O$2), 'ProductSprint Backlog'!$F282 / MAX(1, 'ProductSprint Backlog'!$J282-'ProductSprint Backlog'!$I282), AND('ProductSprint Backlog'!$J282=O$2,'ProductSprint Backlog'!$I282=O$2), 'ProductSprint Backlog'!$F282, TRUE, 0)</f>
        <v>0</v>
      </c>
      <c r="P282" s="4" cm="1">
        <f t="array" ref="P282">_xlfn.IFS('ProductSprint Backlog'!$F282="", "", AND('ProductSprint Backlog'!$J282&gt;P$2,'ProductSprint Backlog'!$I282&lt;=P$2), 'ProductSprint Backlog'!$F282 / MAX(1, 'ProductSprint Backlog'!$J282-'ProductSprint Backlog'!$I282), AND('ProductSprint Backlog'!$J282=P$2,'ProductSprint Backlog'!$I282=P$2), 'ProductSprint Backlog'!$F282, TRUE, 0)</f>
        <v>0</v>
      </c>
      <c r="Q282" s="4" cm="1">
        <f t="array" ref="Q282">_xlfn.IFS('ProductSprint Backlog'!$F282="", "", AND('ProductSprint Backlog'!$J282&gt;Q$2,'ProductSprint Backlog'!$I282&lt;=Q$2), 'ProductSprint Backlog'!$F282 / MAX(1, 'ProductSprint Backlog'!$J282-'ProductSprint Backlog'!$I282), AND('ProductSprint Backlog'!$J282=Q$2,'ProductSprint Backlog'!$I282=Q$2), 'ProductSprint Backlog'!$F282, TRUE, 0)</f>
        <v>0</v>
      </c>
    </row>
    <row r="283" spans="2:17" ht="15.75" customHeight="1" x14ac:dyDescent="0.2">
      <c r="B283" s="4" cm="1">
        <f t="array" ref="B283">_xlfn.IFS('ProductSprint Backlog'!$F283="", "", AND('ProductSprint Backlog'!$J283&gt;B$2,'ProductSprint Backlog'!$I283&lt;=B$2), 'ProductSprint Backlog'!$F283 / MAX(1, 'ProductSprint Backlog'!$J283-'ProductSprint Backlog'!$I283), AND('ProductSprint Backlog'!$J283=B$2,'ProductSprint Backlog'!$I283=B$2), 'ProductSprint Backlog'!$F283, TRUE, 0)</f>
        <v>0</v>
      </c>
      <c r="C283" s="4" cm="1">
        <f t="array" ref="C283">_xlfn.IFS('ProductSprint Backlog'!$F283="", "", AND('ProductSprint Backlog'!$J283&gt;C$2,'ProductSprint Backlog'!$I283&lt;=C$2), 'ProductSprint Backlog'!$F283 / MAX(1, 'ProductSprint Backlog'!$J283-'ProductSprint Backlog'!$I283), AND('ProductSprint Backlog'!$J283=C$2,'ProductSprint Backlog'!$I283=C$2), 'ProductSprint Backlog'!$F283, TRUE, 0)</f>
        <v>0</v>
      </c>
      <c r="D283" s="4" cm="1">
        <f t="array" ref="D283">_xlfn.IFS('ProductSprint Backlog'!$F283="", "", AND('ProductSprint Backlog'!$J283&gt;D$2,'ProductSprint Backlog'!$I283&lt;=D$2), 'ProductSprint Backlog'!$F283 / MAX(1, 'ProductSprint Backlog'!$J283-'ProductSprint Backlog'!$I283), AND('ProductSprint Backlog'!$J283=D$2,'ProductSprint Backlog'!$I283=D$2), 'ProductSprint Backlog'!$F283, TRUE, 0)</f>
        <v>0</v>
      </c>
      <c r="E283" s="4" cm="1">
        <f t="array" ref="E283">_xlfn.IFS('ProductSprint Backlog'!$F283="", "", AND('ProductSprint Backlog'!$J283&gt;E$2,'ProductSprint Backlog'!$I283&lt;=E$2), 'ProductSprint Backlog'!$F283 / MAX(1, 'ProductSprint Backlog'!$J283-'ProductSprint Backlog'!$I283), AND('ProductSprint Backlog'!$J283=E$2,'ProductSprint Backlog'!$I283=E$2), 'ProductSprint Backlog'!$F283, TRUE, 0)</f>
        <v>0</v>
      </c>
      <c r="F283" s="4" cm="1">
        <f t="array" ref="F283">_xlfn.IFS('ProductSprint Backlog'!$F283="", "", AND('ProductSprint Backlog'!$J283&gt;F$2,'ProductSprint Backlog'!$I283&lt;=F$2), 'ProductSprint Backlog'!$F283 / MAX(1, 'ProductSprint Backlog'!$J283-'ProductSprint Backlog'!$I283), AND('ProductSprint Backlog'!$J283=F$2,'ProductSprint Backlog'!$I283=F$2), 'ProductSprint Backlog'!$F283, TRUE, 0)</f>
        <v>0</v>
      </c>
      <c r="G283" s="4" cm="1">
        <f t="array" ref="G283">_xlfn.IFS('ProductSprint Backlog'!$F283="", "", AND('ProductSprint Backlog'!$J283&gt;G$2,'ProductSprint Backlog'!$I283&lt;=G$2), 'ProductSprint Backlog'!$F283 / MAX(1, 'ProductSprint Backlog'!$J283-'ProductSprint Backlog'!$I283), AND('ProductSprint Backlog'!$J283=G$2,'ProductSprint Backlog'!$I283=G$2), 'ProductSprint Backlog'!$F283, TRUE, 0)</f>
        <v>0</v>
      </c>
      <c r="H283" s="4" cm="1">
        <f t="array" ref="H283">_xlfn.IFS('ProductSprint Backlog'!$F283="", "", AND('ProductSprint Backlog'!$J283&gt;H$2,'ProductSprint Backlog'!$I283&lt;=H$2), 'ProductSprint Backlog'!$F283 / MAX(1, 'ProductSprint Backlog'!$J283-'ProductSprint Backlog'!$I283), AND('ProductSprint Backlog'!$J283=H$2,'ProductSprint Backlog'!$I283=H$2), 'ProductSprint Backlog'!$F283, TRUE, 0)</f>
        <v>0</v>
      </c>
      <c r="I283" s="4" cm="1">
        <f t="array" ref="I283">_xlfn.IFS('ProductSprint Backlog'!$F283="", "", AND('ProductSprint Backlog'!$J283&gt;I$2,'ProductSprint Backlog'!$I283&lt;=I$2), 'ProductSprint Backlog'!$F283 / MAX(1, 'ProductSprint Backlog'!$J283-'ProductSprint Backlog'!$I283), AND('ProductSprint Backlog'!$J283=I$2,'ProductSprint Backlog'!$I283=I$2), 'ProductSprint Backlog'!$F283, TRUE, 0)</f>
        <v>0</v>
      </c>
      <c r="J283" s="4" cm="1">
        <f t="array" ref="J283">_xlfn.IFS('ProductSprint Backlog'!$F283="", "", AND('ProductSprint Backlog'!$J283&gt;J$2,'ProductSprint Backlog'!$I283&lt;=J$2), 'ProductSprint Backlog'!$F283 / MAX(1, 'ProductSprint Backlog'!$J283-'ProductSprint Backlog'!$I283), AND('ProductSprint Backlog'!$J283=J$2,'ProductSprint Backlog'!$I283=J$2), 'ProductSprint Backlog'!$F283, TRUE, 0)</f>
        <v>0</v>
      </c>
      <c r="K283" s="4" cm="1">
        <f t="array" ref="K283">_xlfn.IFS('ProductSprint Backlog'!$F283="", "", AND('ProductSprint Backlog'!$J283&gt;K$2,'ProductSprint Backlog'!$I283&lt;=K$2), 'ProductSprint Backlog'!$F283 / MAX(1, 'ProductSprint Backlog'!$J283-'ProductSprint Backlog'!$I283), AND('ProductSprint Backlog'!$J283=K$2,'ProductSprint Backlog'!$I283=K$2), 'ProductSprint Backlog'!$F283, TRUE, 0)</f>
        <v>0</v>
      </c>
      <c r="L283" s="4" cm="1">
        <f t="array" ref="L283">_xlfn.IFS('ProductSprint Backlog'!$F283="", "", AND('ProductSprint Backlog'!$J283&gt;L$2,'ProductSprint Backlog'!$I283&lt;=L$2), 'ProductSprint Backlog'!$F283 / MAX(1, 'ProductSprint Backlog'!$J283-'ProductSprint Backlog'!$I283), AND('ProductSprint Backlog'!$J283=L$2,'ProductSprint Backlog'!$I283=L$2), 'ProductSprint Backlog'!$F283, TRUE, 0)</f>
        <v>0</v>
      </c>
      <c r="M283" s="4" cm="1">
        <f t="array" ref="M283">_xlfn.IFS('ProductSprint Backlog'!$F283="", "", AND('ProductSprint Backlog'!$J283&gt;M$2,'ProductSprint Backlog'!$I283&lt;=M$2), 'ProductSprint Backlog'!$F283 / MAX(1, 'ProductSprint Backlog'!$J283-'ProductSprint Backlog'!$I283), AND('ProductSprint Backlog'!$J283=M$2,'ProductSprint Backlog'!$I283=M$2), 'ProductSprint Backlog'!$F283, TRUE, 0)</f>
        <v>0</v>
      </c>
      <c r="N283" s="4" cm="1">
        <f t="array" ref="N283">_xlfn.IFS('ProductSprint Backlog'!$F283="", "", AND('ProductSprint Backlog'!$J283&gt;N$2,'ProductSprint Backlog'!$I283&lt;=N$2), 'ProductSprint Backlog'!$F283 / MAX(1, 'ProductSprint Backlog'!$J283-'ProductSprint Backlog'!$I283), AND('ProductSprint Backlog'!$J283=N$2,'ProductSprint Backlog'!$I283=N$2), 'ProductSprint Backlog'!$F283, TRUE, 0)</f>
        <v>0</v>
      </c>
      <c r="O283" s="4" cm="1">
        <f t="array" ref="O283">_xlfn.IFS('ProductSprint Backlog'!$F283="", "", AND('ProductSprint Backlog'!$J283&gt;O$2,'ProductSprint Backlog'!$I283&lt;=O$2), 'ProductSprint Backlog'!$F283 / MAX(1, 'ProductSprint Backlog'!$J283-'ProductSprint Backlog'!$I283), AND('ProductSprint Backlog'!$J283=O$2,'ProductSprint Backlog'!$I283=O$2), 'ProductSprint Backlog'!$F283, TRUE, 0)</f>
        <v>0</v>
      </c>
      <c r="P283" s="4" cm="1">
        <f t="array" ref="P283">_xlfn.IFS('ProductSprint Backlog'!$F283="", "", AND('ProductSprint Backlog'!$J283&gt;P$2,'ProductSprint Backlog'!$I283&lt;=P$2), 'ProductSprint Backlog'!$F283 / MAX(1, 'ProductSprint Backlog'!$J283-'ProductSprint Backlog'!$I283), AND('ProductSprint Backlog'!$J283=P$2,'ProductSprint Backlog'!$I283=P$2), 'ProductSprint Backlog'!$F283, TRUE, 0)</f>
        <v>0</v>
      </c>
      <c r="Q283" s="4" cm="1">
        <f t="array" ref="Q283">_xlfn.IFS('ProductSprint Backlog'!$F283="", "", AND('ProductSprint Backlog'!$J283&gt;Q$2,'ProductSprint Backlog'!$I283&lt;=Q$2), 'ProductSprint Backlog'!$F283 / MAX(1, 'ProductSprint Backlog'!$J283-'ProductSprint Backlog'!$I283), AND('ProductSprint Backlog'!$J283=Q$2,'ProductSprint Backlog'!$I283=Q$2), 'ProductSprint Backlog'!$F283, TRUE, 0)</f>
        <v>0</v>
      </c>
    </row>
    <row r="284" spans="2:17" ht="15.75" customHeight="1" x14ac:dyDescent="0.2">
      <c r="B284" s="4" cm="1">
        <f t="array" ref="B284">_xlfn.IFS('ProductSprint Backlog'!$F284="", "", AND('ProductSprint Backlog'!$J284&gt;B$2,'ProductSprint Backlog'!$I284&lt;=B$2), 'ProductSprint Backlog'!$F284 / MAX(1, 'ProductSprint Backlog'!$J284-'ProductSprint Backlog'!$I284), AND('ProductSprint Backlog'!$J284=B$2,'ProductSprint Backlog'!$I284=B$2), 'ProductSprint Backlog'!$F284, TRUE, 0)</f>
        <v>0</v>
      </c>
      <c r="C284" s="4" cm="1">
        <f t="array" ref="C284">_xlfn.IFS('ProductSprint Backlog'!$F284="", "", AND('ProductSprint Backlog'!$J284&gt;C$2,'ProductSprint Backlog'!$I284&lt;=C$2), 'ProductSprint Backlog'!$F284 / MAX(1, 'ProductSprint Backlog'!$J284-'ProductSprint Backlog'!$I284), AND('ProductSprint Backlog'!$J284=C$2,'ProductSprint Backlog'!$I284=C$2), 'ProductSprint Backlog'!$F284, TRUE, 0)</f>
        <v>0</v>
      </c>
      <c r="D284" s="4" cm="1">
        <f t="array" ref="D284">_xlfn.IFS('ProductSprint Backlog'!$F284="", "", AND('ProductSprint Backlog'!$J284&gt;D$2,'ProductSprint Backlog'!$I284&lt;=D$2), 'ProductSprint Backlog'!$F284 / MAX(1, 'ProductSprint Backlog'!$J284-'ProductSprint Backlog'!$I284), AND('ProductSprint Backlog'!$J284=D$2,'ProductSprint Backlog'!$I284=D$2), 'ProductSprint Backlog'!$F284, TRUE, 0)</f>
        <v>0</v>
      </c>
      <c r="E284" s="4" cm="1">
        <f t="array" ref="E284">_xlfn.IFS('ProductSprint Backlog'!$F284="", "", AND('ProductSprint Backlog'!$J284&gt;E$2,'ProductSprint Backlog'!$I284&lt;=E$2), 'ProductSprint Backlog'!$F284 / MAX(1, 'ProductSprint Backlog'!$J284-'ProductSprint Backlog'!$I284), AND('ProductSprint Backlog'!$J284=E$2,'ProductSprint Backlog'!$I284=E$2), 'ProductSprint Backlog'!$F284, TRUE, 0)</f>
        <v>0</v>
      </c>
      <c r="F284" s="4" cm="1">
        <f t="array" ref="F284">_xlfn.IFS('ProductSprint Backlog'!$F284="", "", AND('ProductSprint Backlog'!$J284&gt;F$2,'ProductSprint Backlog'!$I284&lt;=F$2), 'ProductSprint Backlog'!$F284 / MAX(1, 'ProductSprint Backlog'!$J284-'ProductSprint Backlog'!$I284), AND('ProductSprint Backlog'!$J284=F$2,'ProductSprint Backlog'!$I284=F$2), 'ProductSprint Backlog'!$F284, TRUE, 0)</f>
        <v>0</v>
      </c>
      <c r="G284" s="4" cm="1">
        <f t="array" ref="G284">_xlfn.IFS('ProductSprint Backlog'!$F284="", "", AND('ProductSprint Backlog'!$J284&gt;G$2,'ProductSprint Backlog'!$I284&lt;=G$2), 'ProductSprint Backlog'!$F284 / MAX(1, 'ProductSprint Backlog'!$J284-'ProductSprint Backlog'!$I284), AND('ProductSprint Backlog'!$J284=G$2,'ProductSprint Backlog'!$I284=G$2), 'ProductSprint Backlog'!$F284, TRUE, 0)</f>
        <v>0</v>
      </c>
      <c r="H284" s="4" cm="1">
        <f t="array" ref="H284">_xlfn.IFS('ProductSprint Backlog'!$F284="", "", AND('ProductSprint Backlog'!$J284&gt;H$2,'ProductSprint Backlog'!$I284&lt;=H$2), 'ProductSprint Backlog'!$F284 / MAX(1, 'ProductSprint Backlog'!$J284-'ProductSprint Backlog'!$I284), AND('ProductSprint Backlog'!$J284=H$2,'ProductSprint Backlog'!$I284=H$2), 'ProductSprint Backlog'!$F284, TRUE, 0)</f>
        <v>0</v>
      </c>
      <c r="I284" s="4" cm="1">
        <f t="array" ref="I284">_xlfn.IFS('ProductSprint Backlog'!$F284="", "", AND('ProductSprint Backlog'!$J284&gt;I$2,'ProductSprint Backlog'!$I284&lt;=I$2), 'ProductSprint Backlog'!$F284 / MAX(1, 'ProductSprint Backlog'!$J284-'ProductSprint Backlog'!$I284), AND('ProductSprint Backlog'!$J284=I$2,'ProductSprint Backlog'!$I284=I$2), 'ProductSprint Backlog'!$F284, TRUE, 0)</f>
        <v>0</v>
      </c>
      <c r="J284" s="4" cm="1">
        <f t="array" ref="J284">_xlfn.IFS('ProductSprint Backlog'!$F284="", "", AND('ProductSprint Backlog'!$J284&gt;J$2,'ProductSprint Backlog'!$I284&lt;=J$2), 'ProductSprint Backlog'!$F284 / MAX(1, 'ProductSprint Backlog'!$J284-'ProductSprint Backlog'!$I284), AND('ProductSprint Backlog'!$J284=J$2,'ProductSprint Backlog'!$I284=J$2), 'ProductSprint Backlog'!$F284, TRUE, 0)</f>
        <v>0</v>
      </c>
      <c r="K284" s="4" cm="1">
        <f t="array" ref="K284">_xlfn.IFS('ProductSprint Backlog'!$F284="", "", AND('ProductSprint Backlog'!$J284&gt;K$2,'ProductSprint Backlog'!$I284&lt;=K$2), 'ProductSprint Backlog'!$F284 / MAX(1, 'ProductSprint Backlog'!$J284-'ProductSprint Backlog'!$I284), AND('ProductSprint Backlog'!$J284=K$2,'ProductSprint Backlog'!$I284=K$2), 'ProductSprint Backlog'!$F284, TRUE, 0)</f>
        <v>0</v>
      </c>
      <c r="L284" s="4" cm="1">
        <f t="array" ref="L284">_xlfn.IFS('ProductSprint Backlog'!$F284="", "", AND('ProductSprint Backlog'!$J284&gt;L$2,'ProductSprint Backlog'!$I284&lt;=L$2), 'ProductSprint Backlog'!$F284 / MAX(1, 'ProductSprint Backlog'!$J284-'ProductSprint Backlog'!$I284), AND('ProductSprint Backlog'!$J284=L$2,'ProductSprint Backlog'!$I284=L$2), 'ProductSprint Backlog'!$F284, TRUE, 0)</f>
        <v>0</v>
      </c>
      <c r="M284" s="4" cm="1">
        <f t="array" ref="M284">_xlfn.IFS('ProductSprint Backlog'!$F284="", "", AND('ProductSprint Backlog'!$J284&gt;M$2,'ProductSprint Backlog'!$I284&lt;=M$2), 'ProductSprint Backlog'!$F284 / MAX(1, 'ProductSprint Backlog'!$J284-'ProductSprint Backlog'!$I284), AND('ProductSprint Backlog'!$J284=M$2,'ProductSprint Backlog'!$I284=M$2), 'ProductSprint Backlog'!$F284, TRUE, 0)</f>
        <v>0</v>
      </c>
      <c r="N284" s="4" cm="1">
        <f t="array" ref="N284">_xlfn.IFS('ProductSprint Backlog'!$F284="", "", AND('ProductSprint Backlog'!$J284&gt;N$2,'ProductSprint Backlog'!$I284&lt;=N$2), 'ProductSprint Backlog'!$F284 / MAX(1, 'ProductSprint Backlog'!$J284-'ProductSprint Backlog'!$I284), AND('ProductSprint Backlog'!$J284=N$2,'ProductSprint Backlog'!$I284=N$2), 'ProductSprint Backlog'!$F284, TRUE, 0)</f>
        <v>0</v>
      </c>
      <c r="O284" s="4" cm="1">
        <f t="array" ref="O284">_xlfn.IFS('ProductSprint Backlog'!$F284="", "", AND('ProductSprint Backlog'!$J284&gt;O$2,'ProductSprint Backlog'!$I284&lt;=O$2), 'ProductSprint Backlog'!$F284 / MAX(1, 'ProductSprint Backlog'!$J284-'ProductSprint Backlog'!$I284), AND('ProductSprint Backlog'!$J284=O$2,'ProductSprint Backlog'!$I284=O$2), 'ProductSprint Backlog'!$F284, TRUE, 0)</f>
        <v>0</v>
      </c>
      <c r="P284" s="4" cm="1">
        <f t="array" ref="P284">_xlfn.IFS('ProductSprint Backlog'!$F284="", "", AND('ProductSprint Backlog'!$J284&gt;P$2,'ProductSprint Backlog'!$I284&lt;=P$2), 'ProductSprint Backlog'!$F284 / MAX(1, 'ProductSprint Backlog'!$J284-'ProductSprint Backlog'!$I284), AND('ProductSprint Backlog'!$J284=P$2,'ProductSprint Backlog'!$I284=P$2), 'ProductSprint Backlog'!$F284, TRUE, 0)</f>
        <v>0</v>
      </c>
      <c r="Q284" s="4" cm="1">
        <f t="array" ref="Q284">_xlfn.IFS('ProductSprint Backlog'!$F284="", "", AND('ProductSprint Backlog'!$J284&gt;Q$2,'ProductSprint Backlog'!$I284&lt;=Q$2), 'ProductSprint Backlog'!$F284 / MAX(1, 'ProductSprint Backlog'!$J284-'ProductSprint Backlog'!$I284), AND('ProductSprint Backlog'!$J284=Q$2,'ProductSprint Backlog'!$I284=Q$2), 'ProductSprint Backlog'!$F284, TRUE, 0)</f>
        <v>0</v>
      </c>
    </row>
    <row r="285" spans="2:17" ht="15.75" customHeight="1" x14ac:dyDescent="0.2">
      <c r="B285" s="4" cm="1">
        <f t="array" ref="B285">_xlfn.IFS('ProductSprint Backlog'!$F285="", "", AND('ProductSprint Backlog'!$J285&gt;B$2,'ProductSprint Backlog'!$I285&lt;=B$2), 'ProductSprint Backlog'!$F285 / MAX(1, 'ProductSprint Backlog'!$J285-'ProductSprint Backlog'!$I285), AND('ProductSprint Backlog'!$J285=B$2,'ProductSprint Backlog'!$I285=B$2), 'ProductSprint Backlog'!$F285, TRUE, 0)</f>
        <v>0</v>
      </c>
      <c r="C285" s="4" cm="1">
        <f t="array" ref="C285">_xlfn.IFS('ProductSprint Backlog'!$F285="", "", AND('ProductSprint Backlog'!$J285&gt;C$2,'ProductSprint Backlog'!$I285&lt;=C$2), 'ProductSprint Backlog'!$F285 / MAX(1, 'ProductSprint Backlog'!$J285-'ProductSprint Backlog'!$I285), AND('ProductSprint Backlog'!$J285=C$2,'ProductSprint Backlog'!$I285=C$2), 'ProductSprint Backlog'!$F285, TRUE, 0)</f>
        <v>0</v>
      </c>
      <c r="D285" s="4" cm="1">
        <f t="array" ref="D285">_xlfn.IFS('ProductSprint Backlog'!$F285="", "", AND('ProductSprint Backlog'!$J285&gt;D$2,'ProductSprint Backlog'!$I285&lt;=D$2), 'ProductSprint Backlog'!$F285 / MAX(1, 'ProductSprint Backlog'!$J285-'ProductSprint Backlog'!$I285), AND('ProductSprint Backlog'!$J285=D$2,'ProductSprint Backlog'!$I285=D$2), 'ProductSprint Backlog'!$F285, TRUE, 0)</f>
        <v>0</v>
      </c>
      <c r="E285" s="4" cm="1">
        <f t="array" ref="E285">_xlfn.IFS('ProductSprint Backlog'!$F285="", "", AND('ProductSprint Backlog'!$J285&gt;E$2,'ProductSprint Backlog'!$I285&lt;=E$2), 'ProductSprint Backlog'!$F285 / MAX(1, 'ProductSprint Backlog'!$J285-'ProductSprint Backlog'!$I285), AND('ProductSprint Backlog'!$J285=E$2,'ProductSprint Backlog'!$I285=E$2), 'ProductSprint Backlog'!$F285, TRUE, 0)</f>
        <v>0</v>
      </c>
      <c r="F285" s="4" cm="1">
        <f t="array" ref="F285">_xlfn.IFS('ProductSprint Backlog'!$F285="", "", AND('ProductSprint Backlog'!$J285&gt;F$2,'ProductSprint Backlog'!$I285&lt;=F$2), 'ProductSprint Backlog'!$F285 / MAX(1, 'ProductSprint Backlog'!$J285-'ProductSprint Backlog'!$I285), AND('ProductSprint Backlog'!$J285=F$2,'ProductSprint Backlog'!$I285=F$2), 'ProductSprint Backlog'!$F285, TRUE, 0)</f>
        <v>0</v>
      </c>
      <c r="G285" s="4" cm="1">
        <f t="array" ref="G285">_xlfn.IFS('ProductSprint Backlog'!$F285="", "", AND('ProductSprint Backlog'!$J285&gt;G$2,'ProductSprint Backlog'!$I285&lt;=G$2), 'ProductSprint Backlog'!$F285 / MAX(1, 'ProductSprint Backlog'!$J285-'ProductSprint Backlog'!$I285), AND('ProductSprint Backlog'!$J285=G$2,'ProductSprint Backlog'!$I285=G$2), 'ProductSprint Backlog'!$F285, TRUE, 0)</f>
        <v>0</v>
      </c>
      <c r="H285" s="4" cm="1">
        <f t="array" ref="H285">_xlfn.IFS('ProductSprint Backlog'!$F285="", "", AND('ProductSprint Backlog'!$J285&gt;H$2,'ProductSprint Backlog'!$I285&lt;=H$2), 'ProductSprint Backlog'!$F285 / MAX(1, 'ProductSprint Backlog'!$J285-'ProductSprint Backlog'!$I285), AND('ProductSprint Backlog'!$J285=H$2,'ProductSprint Backlog'!$I285=H$2), 'ProductSprint Backlog'!$F285, TRUE, 0)</f>
        <v>0</v>
      </c>
      <c r="I285" s="4" cm="1">
        <f t="array" ref="I285">_xlfn.IFS('ProductSprint Backlog'!$F285="", "", AND('ProductSprint Backlog'!$J285&gt;I$2,'ProductSprint Backlog'!$I285&lt;=I$2), 'ProductSprint Backlog'!$F285 / MAX(1, 'ProductSprint Backlog'!$J285-'ProductSprint Backlog'!$I285), AND('ProductSprint Backlog'!$J285=I$2,'ProductSprint Backlog'!$I285=I$2), 'ProductSprint Backlog'!$F285, TRUE, 0)</f>
        <v>0</v>
      </c>
      <c r="J285" s="4" cm="1">
        <f t="array" ref="J285">_xlfn.IFS('ProductSprint Backlog'!$F285="", "", AND('ProductSprint Backlog'!$J285&gt;J$2,'ProductSprint Backlog'!$I285&lt;=J$2), 'ProductSprint Backlog'!$F285 / MAX(1, 'ProductSprint Backlog'!$J285-'ProductSprint Backlog'!$I285), AND('ProductSprint Backlog'!$J285=J$2,'ProductSprint Backlog'!$I285=J$2), 'ProductSprint Backlog'!$F285, TRUE, 0)</f>
        <v>0</v>
      </c>
      <c r="K285" s="4" cm="1">
        <f t="array" ref="K285">_xlfn.IFS('ProductSprint Backlog'!$F285="", "", AND('ProductSprint Backlog'!$J285&gt;K$2,'ProductSprint Backlog'!$I285&lt;=K$2), 'ProductSprint Backlog'!$F285 / MAX(1, 'ProductSprint Backlog'!$J285-'ProductSprint Backlog'!$I285), AND('ProductSprint Backlog'!$J285=K$2,'ProductSprint Backlog'!$I285=K$2), 'ProductSprint Backlog'!$F285, TRUE, 0)</f>
        <v>0</v>
      </c>
      <c r="L285" s="4" cm="1">
        <f t="array" ref="L285">_xlfn.IFS('ProductSprint Backlog'!$F285="", "", AND('ProductSprint Backlog'!$J285&gt;L$2,'ProductSprint Backlog'!$I285&lt;=L$2), 'ProductSprint Backlog'!$F285 / MAX(1, 'ProductSprint Backlog'!$J285-'ProductSprint Backlog'!$I285), AND('ProductSprint Backlog'!$J285=L$2,'ProductSprint Backlog'!$I285=L$2), 'ProductSprint Backlog'!$F285, TRUE, 0)</f>
        <v>0</v>
      </c>
      <c r="M285" s="4" cm="1">
        <f t="array" ref="M285">_xlfn.IFS('ProductSprint Backlog'!$F285="", "", AND('ProductSprint Backlog'!$J285&gt;M$2,'ProductSprint Backlog'!$I285&lt;=M$2), 'ProductSprint Backlog'!$F285 / MAX(1, 'ProductSprint Backlog'!$J285-'ProductSprint Backlog'!$I285), AND('ProductSprint Backlog'!$J285=M$2,'ProductSprint Backlog'!$I285=M$2), 'ProductSprint Backlog'!$F285, TRUE, 0)</f>
        <v>0</v>
      </c>
      <c r="N285" s="4" cm="1">
        <f t="array" ref="N285">_xlfn.IFS('ProductSprint Backlog'!$F285="", "", AND('ProductSprint Backlog'!$J285&gt;N$2,'ProductSprint Backlog'!$I285&lt;=N$2), 'ProductSprint Backlog'!$F285 / MAX(1, 'ProductSprint Backlog'!$J285-'ProductSprint Backlog'!$I285), AND('ProductSprint Backlog'!$J285=N$2,'ProductSprint Backlog'!$I285=N$2), 'ProductSprint Backlog'!$F285, TRUE, 0)</f>
        <v>0</v>
      </c>
      <c r="O285" s="4" cm="1">
        <f t="array" ref="O285">_xlfn.IFS('ProductSprint Backlog'!$F285="", "", AND('ProductSprint Backlog'!$J285&gt;O$2,'ProductSprint Backlog'!$I285&lt;=O$2), 'ProductSprint Backlog'!$F285 / MAX(1, 'ProductSprint Backlog'!$J285-'ProductSprint Backlog'!$I285), AND('ProductSprint Backlog'!$J285=O$2,'ProductSprint Backlog'!$I285=O$2), 'ProductSprint Backlog'!$F285, TRUE, 0)</f>
        <v>0</v>
      </c>
      <c r="P285" s="4" cm="1">
        <f t="array" ref="P285">_xlfn.IFS('ProductSprint Backlog'!$F285="", "", AND('ProductSprint Backlog'!$J285&gt;P$2,'ProductSprint Backlog'!$I285&lt;=P$2), 'ProductSprint Backlog'!$F285 / MAX(1, 'ProductSprint Backlog'!$J285-'ProductSprint Backlog'!$I285), AND('ProductSprint Backlog'!$J285=P$2,'ProductSprint Backlog'!$I285=P$2), 'ProductSprint Backlog'!$F285, TRUE, 0)</f>
        <v>0</v>
      </c>
      <c r="Q285" s="4" cm="1">
        <f t="array" ref="Q285">_xlfn.IFS('ProductSprint Backlog'!$F285="", "", AND('ProductSprint Backlog'!$J285&gt;Q$2,'ProductSprint Backlog'!$I285&lt;=Q$2), 'ProductSprint Backlog'!$F285 / MAX(1, 'ProductSprint Backlog'!$J285-'ProductSprint Backlog'!$I285), AND('ProductSprint Backlog'!$J285=Q$2,'ProductSprint Backlog'!$I285=Q$2), 'ProductSprint Backlog'!$F285, TRUE, 0)</f>
        <v>0</v>
      </c>
    </row>
    <row r="286" spans="2:17" ht="15.75" customHeight="1" x14ac:dyDescent="0.2">
      <c r="B286" s="4" cm="1">
        <f t="array" ref="B286">_xlfn.IFS('ProductSprint Backlog'!$F286="", "", AND('ProductSprint Backlog'!$J286&gt;B$2,'ProductSprint Backlog'!$I286&lt;=B$2), 'ProductSprint Backlog'!$F286 / MAX(1, 'ProductSprint Backlog'!$J286-'ProductSprint Backlog'!$I286), AND('ProductSprint Backlog'!$J286=B$2,'ProductSprint Backlog'!$I286=B$2), 'ProductSprint Backlog'!$F286, TRUE, 0)</f>
        <v>0</v>
      </c>
      <c r="C286" s="4" cm="1">
        <f t="array" ref="C286">_xlfn.IFS('ProductSprint Backlog'!$F286="", "", AND('ProductSprint Backlog'!$J286&gt;C$2,'ProductSprint Backlog'!$I286&lt;=C$2), 'ProductSprint Backlog'!$F286 / MAX(1, 'ProductSprint Backlog'!$J286-'ProductSprint Backlog'!$I286), AND('ProductSprint Backlog'!$J286=C$2,'ProductSprint Backlog'!$I286=C$2), 'ProductSprint Backlog'!$F286, TRUE, 0)</f>
        <v>0</v>
      </c>
      <c r="D286" s="4" cm="1">
        <f t="array" ref="D286">_xlfn.IFS('ProductSprint Backlog'!$F286="", "", AND('ProductSprint Backlog'!$J286&gt;D$2,'ProductSprint Backlog'!$I286&lt;=D$2), 'ProductSprint Backlog'!$F286 / MAX(1, 'ProductSprint Backlog'!$J286-'ProductSprint Backlog'!$I286), AND('ProductSprint Backlog'!$J286=D$2,'ProductSprint Backlog'!$I286=D$2), 'ProductSprint Backlog'!$F286, TRUE, 0)</f>
        <v>0</v>
      </c>
      <c r="E286" s="4" cm="1">
        <f t="array" ref="E286">_xlfn.IFS('ProductSprint Backlog'!$F286="", "", AND('ProductSprint Backlog'!$J286&gt;E$2,'ProductSprint Backlog'!$I286&lt;=E$2), 'ProductSprint Backlog'!$F286 / MAX(1, 'ProductSprint Backlog'!$J286-'ProductSprint Backlog'!$I286), AND('ProductSprint Backlog'!$J286=E$2,'ProductSprint Backlog'!$I286=E$2), 'ProductSprint Backlog'!$F286, TRUE, 0)</f>
        <v>0</v>
      </c>
      <c r="F286" s="4" cm="1">
        <f t="array" ref="F286">_xlfn.IFS('ProductSprint Backlog'!$F286="", "", AND('ProductSprint Backlog'!$J286&gt;F$2,'ProductSprint Backlog'!$I286&lt;=F$2), 'ProductSprint Backlog'!$F286 / MAX(1, 'ProductSprint Backlog'!$J286-'ProductSprint Backlog'!$I286), AND('ProductSprint Backlog'!$J286=F$2,'ProductSprint Backlog'!$I286=F$2), 'ProductSprint Backlog'!$F286, TRUE, 0)</f>
        <v>0</v>
      </c>
      <c r="G286" s="4" cm="1">
        <f t="array" ref="G286">_xlfn.IFS('ProductSprint Backlog'!$F286="", "", AND('ProductSprint Backlog'!$J286&gt;G$2,'ProductSprint Backlog'!$I286&lt;=G$2), 'ProductSprint Backlog'!$F286 / MAX(1, 'ProductSprint Backlog'!$J286-'ProductSprint Backlog'!$I286), AND('ProductSprint Backlog'!$J286=G$2,'ProductSprint Backlog'!$I286=G$2), 'ProductSprint Backlog'!$F286, TRUE, 0)</f>
        <v>0</v>
      </c>
      <c r="H286" s="4" cm="1">
        <f t="array" ref="H286">_xlfn.IFS('ProductSprint Backlog'!$F286="", "", AND('ProductSprint Backlog'!$J286&gt;H$2,'ProductSprint Backlog'!$I286&lt;=H$2), 'ProductSprint Backlog'!$F286 / MAX(1, 'ProductSprint Backlog'!$J286-'ProductSprint Backlog'!$I286), AND('ProductSprint Backlog'!$J286=H$2,'ProductSprint Backlog'!$I286=H$2), 'ProductSprint Backlog'!$F286, TRUE, 0)</f>
        <v>0</v>
      </c>
      <c r="I286" s="4" cm="1">
        <f t="array" ref="I286">_xlfn.IFS('ProductSprint Backlog'!$F286="", "", AND('ProductSprint Backlog'!$J286&gt;I$2,'ProductSprint Backlog'!$I286&lt;=I$2), 'ProductSprint Backlog'!$F286 / MAX(1, 'ProductSprint Backlog'!$J286-'ProductSprint Backlog'!$I286), AND('ProductSprint Backlog'!$J286=I$2,'ProductSprint Backlog'!$I286=I$2), 'ProductSprint Backlog'!$F286, TRUE, 0)</f>
        <v>0</v>
      </c>
      <c r="J286" s="4" cm="1">
        <f t="array" ref="J286">_xlfn.IFS('ProductSprint Backlog'!$F286="", "", AND('ProductSprint Backlog'!$J286&gt;J$2,'ProductSprint Backlog'!$I286&lt;=J$2), 'ProductSprint Backlog'!$F286 / MAX(1, 'ProductSprint Backlog'!$J286-'ProductSprint Backlog'!$I286), AND('ProductSprint Backlog'!$J286=J$2,'ProductSprint Backlog'!$I286=J$2), 'ProductSprint Backlog'!$F286, TRUE, 0)</f>
        <v>0</v>
      </c>
      <c r="K286" s="4" cm="1">
        <f t="array" ref="K286">_xlfn.IFS('ProductSprint Backlog'!$F286="", "", AND('ProductSprint Backlog'!$J286&gt;K$2,'ProductSprint Backlog'!$I286&lt;=K$2), 'ProductSprint Backlog'!$F286 / MAX(1, 'ProductSprint Backlog'!$J286-'ProductSprint Backlog'!$I286), AND('ProductSprint Backlog'!$J286=K$2,'ProductSprint Backlog'!$I286=K$2), 'ProductSprint Backlog'!$F286, TRUE, 0)</f>
        <v>0</v>
      </c>
      <c r="L286" s="4" cm="1">
        <f t="array" ref="L286">_xlfn.IFS('ProductSprint Backlog'!$F286="", "", AND('ProductSprint Backlog'!$J286&gt;L$2,'ProductSprint Backlog'!$I286&lt;=L$2), 'ProductSprint Backlog'!$F286 / MAX(1, 'ProductSprint Backlog'!$J286-'ProductSprint Backlog'!$I286), AND('ProductSprint Backlog'!$J286=L$2,'ProductSprint Backlog'!$I286=L$2), 'ProductSprint Backlog'!$F286, TRUE, 0)</f>
        <v>0</v>
      </c>
      <c r="M286" s="4" cm="1">
        <f t="array" ref="M286">_xlfn.IFS('ProductSprint Backlog'!$F286="", "", AND('ProductSprint Backlog'!$J286&gt;M$2,'ProductSprint Backlog'!$I286&lt;=M$2), 'ProductSprint Backlog'!$F286 / MAX(1, 'ProductSprint Backlog'!$J286-'ProductSprint Backlog'!$I286), AND('ProductSprint Backlog'!$J286=M$2,'ProductSprint Backlog'!$I286=M$2), 'ProductSprint Backlog'!$F286, TRUE, 0)</f>
        <v>0</v>
      </c>
      <c r="N286" s="4" cm="1">
        <f t="array" ref="N286">_xlfn.IFS('ProductSprint Backlog'!$F286="", "", AND('ProductSprint Backlog'!$J286&gt;N$2,'ProductSprint Backlog'!$I286&lt;=N$2), 'ProductSprint Backlog'!$F286 / MAX(1, 'ProductSprint Backlog'!$J286-'ProductSprint Backlog'!$I286), AND('ProductSprint Backlog'!$J286=N$2,'ProductSprint Backlog'!$I286=N$2), 'ProductSprint Backlog'!$F286, TRUE, 0)</f>
        <v>0</v>
      </c>
      <c r="O286" s="4" cm="1">
        <f t="array" ref="O286">_xlfn.IFS('ProductSprint Backlog'!$F286="", "", AND('ProductSprint Backlog'!$J286&gt;O$2,'ProductSprint Backlog'!$I286&lt;=O$2), 'ProductSprint Backlog'!$F286 / MAX(1, 'ProductSprint Backlog'!$J286-'ProductSprint Backlog'!$I286), AND('ProductSprint Backlog'!$J286=O$2,'ProductSprint Backlog'!$I286=O$2), 'ProductSprint Backlog'!$F286, TRUE, 0)</f>
        <v>0</v>
      </c>
      <c r="P286" s="4" cm="1">
        <f t="array" ref="P286">_xlfn.IFS('ProductSprint Backlog'!$F286="", "", AND('ProductSprint Backlog'!$J286&gt;P$2,'ProductSprint Backlog'!$I286&lt;=P$2), 'ProductSprint Backlog'!$F286 / MAX(1, 'ProductSprint Backlog'!$J286-'ProductSprint Backlog'!$I286), AND('ProductSprint Backlog'!$J286=P$2,'ProductSprint Backlog'!$I286=P$2), 'ProductSprint Backlog'!$F286, TRUE, 0)</f>
        <v>0</v>
      </c>
      <c r="Q286" s="4" cm="1">
        <f t="array" ref="Q286">_xlfn.IFS('ProductSprint Backlog'!$F286="", "", AND('ProductSprint Backlog'!$J286&gt;Q$2,'ProductSprint Backlog'!$I286&lt;=Q$2), 'ProductSprint Backlog'!$F286 / MAX(1, 'ProductSprint Backlog'!$J286-'ProductSprint Backlog'!$I286), AND('ProductSprint Backlog'!$J286=Q$2,'ProductSprint Backlog'!$I286=Q$2), 'ProductSprint Backlog'!$F286, TRUE, 0)</f>
        <v>0</v>
      </c>
    </row>
    <row r="287" spans="2:17" ht="15.75" customHeight="1" x14ac:dyDescent="0.2">
      <c r="B287" s="4" cm="1">
        <f t="array" ref="B287">_xlfn.IFS('ProductSprint Backlog'!$F287="", "", AND('ProductSprint Backlog'!$J287&gt;B$2,'ProductSprint Backlog'!$I287&lt;=B$2), 'ProductSprint Backlog'!$F287 / MAX(1, 'ProductSprint Backlog'!$J287-'ProductSprint Backlog'!$I287), AND('ProductSprint Backlog'!$J287=B$2,'ProductSprint Backlog'!$I287=B$2), 'ProductSprint Backlog'!$F287, TRUE, 0)</f>
        <v>0</v>
      </c>
      <c r="C287" s="4" cm="1">
        <f t="array" ref="C287">_xlfn.IFS('ProductSprint Backlog'!$F287="", "", AND('ProductSprint Backlog'!$J287&gt;C$2,'ProductSprint Backlog'!$I287&lt;=C$2), 'ProductSprint Backlog'!$F287 / MAX(1, 'ProductSprint Backlog'!$J287-'ProductSprint Backlog'!$I287), AND('ProductSprint Backlog'!$J287=C$2,'ProductSprint Backlog'!$I287=C$2), 'ProductSprint Backlog'!$F287, TRUE, 0)</f>
        <v>0</v>
      </c>
      <c r="D287" s="4" cm="1">
        <f t="array" ref="D287">_xlfn.IFS('ProductSprint Backlog'!$F287="", "", AND('ProductSprint Backlog'!$J287&gt;D$2,'ProductSprint Backlog'!$I287&lt;=D$2), 'ProductSprint Backlog'!$F287 / MAX(1, 'ProductSprint Backlog'!$J287-'ProductSprint Backlog'!$I287), AND('ProductSprint Backlog'!$J287=D$2,'ProductSprint Backlog'!$I287=D$2), 'ProductSprint Backlog'!$F287, TRUE, 0)</f>
        <v>0</v>
      </c>
      <c r="E287" s="4" cm="1">
        <f t="array" ref="E287">_xlfn.IFS('ProductSprint Backlog'!$F287="", "", AND('ProductSprint Backlog'!$J287&gt;E$2,'ProductSprint Backlog'!$I287&lt;=E$2), 'ProductSprint Backlog'!$F287 / MAX(1, 'ProductSprint Backlog'!$J287-'ProductSprint Backlog'!$I287), AND('ProductSprint Backlog'!$J287=E$2,'ProductSprint Backlog'!$I287=E$2), 'ProductSprint Backlog'!$F287, TRUE, 0)</f>
        <v>0</v>
      </c>
      <c r="F287" s="4" cm="1">
        <f t="array" ref="F287">_xlfn.IFS('ProductSprint Backlog'!$F287="", "", AND('ProductSprint Backlog'!$J287&gt;F$2,'ProductSprint Backlog'!$I287&lt;=F$2), 'ProductSprint Backlog'!$F287 / MAX(1, 'ProductSprint Backlog'!$J287-'ProductSprint Backlog'!$I287), AND('ProductSprint Backlog'!$J287=F$2,'ProductSprint Backlog'!$I287=F$2), 'ProductSprint Backlog'!$F287, TRUE, 0)</f>
        <v>0</v>
      </c>
      <c r="G287" s="4" cm="1">
        <f t="array" ref="G287">_xlfn.IFS('ProductSprint Backlog'!$F287="", "", AND('ProductSprint Backlog'!$J287&gt;G$2,'ProductSprint Backlog'!$I287&lt;=G$2), 'ProductSprint Backlog'!$F287 / MAX(1, 'ProductSprint Backlog'!$J287-'ProductSprint Backlog'!$I287), AND('ProductSprint Backlog'!$J287=G$2,'ProductSprint Backlog'!$I287=G$2), 'ProductSprint Backlog'!$F287, TRUE, 0)</f>
        <v>0</v>
      </c>
      <c r="H287" s="4" cm="1">
        <f t="array" ref="H287">_xlfn.IFS('ProductSprint Backlog'!$F287="", "", AND('ProductSprint Backlog'!$J287&gt;H$2,'ProductSprint Backlog'!$I287&lt;=H$2), 'ProductSprint Backlog'!$F287 / MAX(1, 'ProductSprint Backlog'!$J287-'ProductSprint Backlog'!$I287), AND('ProductSprint Backlog'!$J287=H$2,'ProductSprint Backlog'!$I287=H$2), 'ProductSprint Backlog'!$F287, TRUE, 0)</f>
        <v>0</v>
      </c>
      <c r="I287" s="4" cm="1">
        <f t="array" ref="I287">_xlfn.IFS('ProductSprint Backlog'!$F287="", "", AND('ProductSprint Backlog'!$J287&gt;I$2,'ProductSprint Backlog'!$I287&lt;=I$2), 'ProductSprint Backlog'!$F287 / MAX(1, 'ProductSprint Backlog'!$J287-'ProductSprint Backlog'!$I287), AND('ProductSprint Backlog'!$J287=I$2,'ProductSprint Backlog'!$I287=I$2), 'ProductSprint Backlog'!$F287, TRUE, 0)</f>
        <v>0</v>
      </c>
      <c r="J287" s="4" cm="1">
        <f t="array" ref="J287">_xlfn.IFS('ProductSprint Backlog'!$F287="", "", AND('ProductSprint Backlog'!$J287&gt;J$2,'ProductSprint Backlog'!$I287&lt;=J$2), 'ProductSprint Backlog'!$F287 / MAX(1, 'ProductSprint Backlog'!$J287-'ProductSprint Backlog'!$I287), AND('ProductSprint Backlog'!$J287=J$2,'ProductSprint Backlog'!$I287=J$2), 'ProductSprint Backlog'!$F287, TRUE, 0)</f>
        <v>0</v>
      </c>
      <c r="K287" s="4" cm="1">
        <f t="array" ref="K287">_xlfn.IFS('ProductSprint Backlog'!$F287="", "", AND('ProductSprint Backlog'!$J287&gt;K$2,'ProductSprint Backlog'!$I287&lt;=K$2), 'ProductSprint Backlog'!$F287 / MAX(1, 'ProductSprint Backlog'!$J287-'ProductSprint Backlog'!$I287), AND('ProductSprint Backlog'!$J287=K$2,'ProductSprint Backlog'!$I287=K$2), 'ProductSprint Backlog'!$F287, TRUE, 0)</f>
        <v>0</v>
      </c>
      <c r="L287" s="4" cm="1">
        <f t="array" ref="L287">_xlfn.IFS('ProductSprint Backlog'!$F287="", "", AND('ProductSprint Backlog'!$J287&gt;L$2,'ProductSprint Backlog'!$I287&lt;=L$2), 'ProductSprint Backlog'!$F287 / MAX(1, 'ProductSprint Backlog'!$J287-'ProductSprint Backlog'!$I287), AND('ProductSprint Backlog'!$J287=L$2,'ProductSprint Backlog'!$I287=L$2), 'ProductSprint Backlog'!$F287, TRUE, 0)</f>
        <v>0</v>
      </c>
      <c r="M287" s="4" cm="1">
        <f t="array" ref="M287">_xlfn.IFS('ProductSprint Backlog'!$F287="", "", AND('ProductSprint Backlog'!$J287&gt;M$2,'ProductSprint Backlog'!$I287&lt;=M$2), 'ProductSprint Backlog'!$F287 / MAX(1, 'ProductSprint Backlog'!$J287-'ProductSprint Backlog'!$I287), AND('ProductSprint Backlog'!$J287=M$2,'ProductSprint Backlog'!$I287=M$2), 'ProductSprint Backlog'!$F287, TRUE, 0)</f>
        <v>0</v>
      </c>
      <c r="N287" s="4" cm="1">
        <f t="array" ref="N287">_xlfn.IFS('ProductSprint Backlog'!$F287="", "", AND('ProductSprint Backlog'!$J287&gt;N$2,'ProductSprint Backlog'!$I287&lt;=N$2), 'ProductSprint Backlog'!$F287 / MAX(1, 'ProductSprint Backlog'!$J287-'ProductSprint Backlog'!$I287), AND('ProductSprint Backlog'!$J287=N$2,'ProductSprint Backlog'!$I287=N$2), 'ProductSprint Backlog'!$F287, TRUE, 0)</f>
        <v>0</v>
      </c>
      <c r="O287" s="4" cm="1">
        <f t="array" ref="O287">_xlfn.IFS('ProductSprint Backlog'!$F287="", "", AND('ProductSprint Backlog'!$J287&gt;O$2,'ProductSprint Backlog'!$I287&lt;=O$2), 'ProductSprint Backlog'!$F287 / MAX(1, 'ProductSprint Backlog'!$J287-'ProductSprint Backlog'!$I287), AND('ProductSprint Backlog'!$J287=O$2,'ProductSprint Backlog'!$I287=O$2), 'ProductSprint Backlog'!$F287, TRUE, 0)</f>
        <v>0</v>
      </c>
      <c r="P287" s="4" cm="1">
        <f t="array" ref="P287">_xlfn.IFS('ProductSprint Backlog'!$F287="", "", AND('ProductSprint Backlog'!$J287&gt;P$2,'ProductSprint Backlog'!$I287&lt;=P$2), 'ProductSprint Backlog'!$F287 / MAX(1, 'ProductSprint Backlog'!$J287-'ProductSprint Backlog'!$I287), AND('ProductSprint Backlog'!$J287=P$2,'ProductSprint Backlog'!$I287=P$2), 'ProductSprint Backlog'!$F287, TRUE, 0)</f>
        <v>0</v>
      </c>
      <c r="Q287" s="4" cm="1">
        <f t="array" ref="Q287">_xlfn.IFS('ProductSprint Backlog'!$F287="", "", AND('ProductSprint Backlog'!$J287&gt;Q$2,'ProductSprint Backlog'!$I287&lt;=Q$2), 'ProductSprint Backlog'!$F287 / MAX(1, 'ProductSprint Backlog'!$J287-'ProductSprint Backlog'!$I287), AND('ProductSprint Backlog'!$J287=Q$2,'ProductSprint Backlog'!$I287=Q$2), 'ProductSprint Backlog'!$F287, TRUE, 0)</f>
        <v>0</v>
      </c>
    </row>
    <row r="288" spans="2:17" ht="15.75" customHeight="1" x14ac:dyDescent="0.2">
      <c r="B288" s="4" cm="1">
        <f t="array" ref="B288">_xlfn.IFS('ProductSprint Backlog'!$F288="", "", AND('ProductSprint Backlog'!$J288&gt;B$2,'ProductSprint Backlog'!$I288&lt;=B$2), 'ProductSprint Backlog'!$F288 / MAX(1, 'ProductSprint Backlog'!$J288-'ProductSprint Backlog'!$I288), AND('ProductSprint Backlog'!$J288=B$2,'ProductSprint Backlog'!$I288=B$2), 'ProductSprint Backlog'!$F288, TRUE, 0)</f>
        <v>0</v>
      </c>
      <c r="C288" s="4" cm="1">
        <f t="array" ref="C288">_xlfn.IFS('ProductSprint Backlog'!$F288="", "", AND('ProductSprint Backlog'!$J288&gt;C$2,'ProductSprint Backlog'!$I288&lt;=C$2), 'ProductSprint Backlog'!$F288 / MAX(1, 'ProductSprint Backlog'!$J288-'ProductSprint Backlog'!$I288), AND('ProductSprint Backlog'!$J288=C$2,'ProductSprint Backlog'!$I288=C$2), 'ProductSprint Backlog'!$F288, TRUE, 0)</f>
        <v>0</v>
      </c>
      <c r="D288" s="4" cm="1">
        <f t="array" ref="D288">_xlfn.IFS('ProductSprint Backlog'!$F288="", "", AND('ProductSprint Backlog'!$J288&gt;D$2,'ProductSprint Backlog'!$I288&lt;=D$2), 'ProductSprint Backlog'!$F288 / MAX(1, 'ProductSprint Backlog'!$J288-'ProductSprint Backlog'!$I288), AND('ProductSprint Backlog'!$J288=D$2,'ProductSprint Backlog'!$I288=D$2), 'ProductSprint Backlog'!$F288, TRUE, 0)</f>
        <v>0</v>
      </c>
      <c r="E288" s="4" cm="1">
        <f t="array" ref="E288">_xlfn.IFS('ProductSprint Backlog'!$F288="", "", AND('ProductSprint Backlog'!$J288&gt;E$2,'ProductSprint Backlog'!$I288&lt;=E$2), 'ProductSprint Backlog'!$F288 / MAX(1, 'ProductSprint Backlog'!$J288-'ProductSprint Backlog'!$I288), AND('ProductSprint Backlog'!$J288=E$2,'ProductSprint Backlog'!$I288=E$2), 'ProductSprint Backlog'!$F288, TRUE, 0)</f>
        <v>0</v>
      </c>
      <c r="F288" s="4" cm="1">
        <f t="array" ref="F288">_xlfn.IFS('ProductSprint Backlog'!$F288="", "", AND('ProductSprint Backlog'!$J288&gt;F$2,'ProductSprint Backlog'!$I288&lt;=F$2), 'ProductSprint Backlog'!$F288 / MAX(1, 'ProductSprint Backlog'!$J288-'ProductSprint Backlog'!$I288), AND('ProductSprint Backlog'!$J288=F$2,'ProductSprint Backlog'!$I288=F$2), 'ProductSprint Backlog'!$F288, TRUE, 0)</f>
        <v>0</v>
      </c>
      <c r="G288" s="4" cm="1">
        <f t="array" ref="G288">_xlfn.IFS('ProductSprint Backlog'!$F288="", "", AND('ProductSprint Backlog'!$J288&gt;G$2,'ProductSprint Backlog'!$I288&lt;=G$2), 'ProductSprint Backlog'!$F288 / MAX(1, 'ProductSprint Backlog'!$J288-'ProductSprint Backlog'!$I288), AND('ProductSprint Backlog'!$J288=G$2,'ProductSprint Backlog'!$I288=G$2), 'ProductSprint Backlog'!$F288, TRUE, 0)</f>
        <v>0</v>
      </c>
      <c r="H288" s="4" cm="1">
        <f t="array" ref="H288">_xlfn.IFS('ProductSprint Backlog'!$F288="", "", AND('ProductSprint Backlog'!$J288&gt;H$2,'ProductSprint Backlog'!$I288&lt;=H$2), 'ProductSprint Backlog'!$F288 / MAX(1, 'ProductSprint Backlog'!$J288-'ProductSprint Backlog'!$I288), AND('ProductSprint Backlog'!$J288=H$2,'ProductSprint Backlog'!$I288=H$2), 'ProductSprint Backlog'!$F288, TRUE, 0)</f>
        <v>0</v>
      </c>
      <c r="I288" s="4" cm="1">
        <f t="array" ref="I288">_xlfn.IFS('ProductSprint Backlog'!$F288="", "", AND('ProductSprint Backlog'!$J288&gt;I$2,'ProductSprint Backlog'!$I288&lt;=I$2), 'ProductSprint Backlog'!$F288 / MAX(1, 'ProductSprint Backlog'!$J288-'ProductSprint Backlog'!$I288), AND('ProductSprint Backlog'!$J288=I$2,'ProductSprint Backlog'!$I288=I$2), 'ProductSprint Backlog'!$F288, TRUE, 0)</f>
        <v>0</v>
      </c>
      <c r="J288" s="4" cm="1">
        <f t="array" ref="J288">_xlfn.IFS('ProductSprint Backlog'!$F288="", "", AND('ProductSprint Backlog'!$J288&gt;J$2,'ProductSprint Backlog'!$I288&lt;=J$2), 'ProductSprint Backlog'!$F288 / MAX(1, 'ProductSprint Backlog'!$J288-'ProductSprint Backlog'!$I288), AND('ProductSprint Backlog'!$J288=J$2,'ProductSprint Backlog'!$I288=J$2), 'ProductSprint Backlog'!$F288, TRUE, 0)</f>
        <v>0</v>
      </c>
      <c r="K288" s="4" cm="1">
        <f t="array" ref="K288">_xlfn.IFS('ProductSprint Backlog'!$F288="", "", AND('ProductSprint Backlog'!$J288&gt;K$2,'ProductSprint Backlog'!$I288&lt;=K$2), 'ProductSprint Backlog'!$F288 / MAX(1, 'ProductSprint Backlog'!$J288-'ProductSprint Backlog'!$I288), AND('ProductSprint Backlog'!$J288=K$2,'ProductSprint Backlog'!$I288=K$2), 'ProductSprint Backlog'!$F288, TRUE, 0)</f>
        <v>0</v>
      </c>
      <c r="L288" s="4" cm="1">
        <f t="array" ref="L288">_xlfn.IFS('ProductSprint Backlog'!$F288="", "", AND('ProductSprint Backlog'!$J288&gt;L$2,'ProductSprint Backlog'!$I288&lt;=L$2), 'ProductSprint Backlog'!$F288 / MAX(1, 'ProductSprint Backlog'!$J288-'ProductSprint Backlog'!$I288), AND('ProductSprint Backlog'!$J288=L$2,'ProductSprint Backlog'!$I288=L$2), 'ProductSprint Backlog'!$F288, TRUE, 0)</f>
        <v>0</v>
      </c>
      <c r="M288" s="4" cm="1">
        <f t="array" ref="M288">_xlfn.IFS('ProductSprint Backlog'!$F288="", "", AND('ProductSprint Backlog'!$J288&gt;M$2,'ProductSprint Backlog'!$I288&lt;=M$2), 'ProductSprint Backlog'!$F288 / MAX(1, 'ProductSprint Backlog'!$J288-'ProductSprint Backlog'!$I288), AND('ProductSprint Backlog'!$J288=M$2,'ProductSprint Backlog'!$I288=M$2), 'ProductSprint Backlog'!$F288, TRUE, 0)</f>
        <v>0</v>
      </c>
      <c r="N288" s="4" cm="1">
        <f t="array" ref="N288">_xlfn.IFS('ProductSprint Backlog'!$F288="", "", AND('ProductSprint Backlog'!$J288&gt;N$2,'ProductSprint Backlog'!$I288&lt;=N$2), 'ProductSprint Backlog'!$F288 / MAX(1, 'ProductSprint Backlog'!$J288-'ProductSprint Backlog'!$I288), AND('ProductSprint Backlog'!$J288=N$2,'ProductSprint Backlog'!$I288=N$2), 'ProductSprint Backlog'!$F288, TRUE, 0)</f>
        <v>0</v>
      </c>
      <c r="O288" s="4" cm="1">
        <f t="array" ref="O288">_xlfn.IFS('ProductSprint Backlog'!$F288="", "", AND('ProductSprint Backlog'!$J288&gt;O$2,'ProductSprint Backlog'!$I288&lt;=O$2), 'ProductSprint Backlog'!$F288 / MAX(1, 'ProductSprint Backlog'!$J288-'ProductSprint Backlog'!$I288), AND('ProductSprint Backlog'!$J288=O$2,'ProductSprint Backlog'!$I288=O$2), 'ProductSprint Backlog'!$F288, TRUE, 0)</f>
        <v>0</v>
      </c>
      <c r="P288" s="4" cm="1">
        <f t="array" ref="P288">_xlfn.IFS('ProductSprint Backlog'!$F288="", "", AND('ProductSprint Backlog'!$J288&gt;P$2,'ProductSprint Backlog'!$I288&lt;=P$2), 'ProductSprint Backlog'!$F288 / MAX(1, 'ProductSprint Backlog'!$J288-'ProductSprint Backlog'!$I288), AND('ProductSprint Backlog'!$J288=P$2,'ProductSprint Backlog'!$I288=P$2), 'ProductSprint Backlog'!$F288, TRUE, 0)</f>
        <v>0</v>
      </c>
      <c r="Q288" s="4" cm="1">
        <f t="array" ref="Q288">_xlfn.IFS('ProductSprint Backlog'!$F288="", "", AND('ProductSprint Backlog'!$J288&gt;Q$2,'ProductSprint Backlog'!$I288&lt;=Q$2), 'ProductSprint Backlog'!$F288 / MAX(1, 'ProductSprint Backlog'!$J288-'ProductSprint Backlog'!$I288), AND('ProductSprint Backlog'!$J288=Q$2,'ProductSprint Backlog'!$I288=Q$2), 'ProductSprint Backlog'!$F288, TRUE, 0)</f>
        <v>0</v>
      </c>
    </row>
    <row r="289" spans="2:17" x14ac:dyDescent="0.2">
      <c r="B289" s="4" cm="1">
        <f t="array" ref="B289">_xlfn.IFS('ProductSprint Backlog'!$F289="", "", AND('ProductSprint Backlog'!$J289&gt;B$2,'ProductSprint Backlog'!$I289&lt;=B$2), 'ProductSprint Backlog'!$F289 / MAX(1, 'ProductSprint Backlog'!$J289-'ProductSprint Backlog'!$I289), AND('ProductSprint Backlog'!$J289=B$2,'ProductSprint Backlog'!$I289=B$2), 'ProductSprint Backlog'!$F289, TRUE, 0)</f>
        <v>0</v>
      </c>
      <c r="C289" s="4" cm="1">
        <f t="array" ref="C289">_xlfn.IFS('ProductSprint Backlog'!$F289="", "", AND('ProductSprint Backlog'!$J289&gt;C$2,'ProductSprint Backlog'!$I289&lt;=C$2), 'ProductSprint Backlog'!$F289 / MAX(1, 'ProductSprint Backlog'!$J289-'ProductSprint Backlog'!$I289), AND('ProductSprint Backlog'!$J289=C$2,'ProductSprint Backlog'!$I289=C$2), 'ProductSprint Backlog'!$F289, TRUE, 0)</f>
        <v>0</v>
      </c>
      <c r="D289" s="4" cm="1">
        <f t="array" ref="D289">_xlfn.IFS('ProductSprint Backlog'!$F289="", "", AND('ProductSprint Backlog'!$J289&gt;D$2,'ProductSprint Backlog'!$I289&lt;=D$2), 'ProductSprint Backlog'!$F289 / MAX(1, 'ProductSprint Backlog'!$J289-'ProductSprint Backlog'!$I289), AND('ProductSprint Backlog'!$J289=D$2,'ProductSprint Backlog'!$I289=D$2), 'ProductSprint Backlog'!$F289, TRUE, 0)</f>
        <v>0</v>
      </c>
      <c r="E289" s="4" cm="1">
        <f t="array" ref="E289">_xlfn.IFS('ProductSprint Backlog'!$F289="", "", AND('ProductSprint Backlog'!$J289&gt;E$2,'ProductSprint Backlog'!$I289&lt;=E$2), 'ProductSprint Backlog'!$F289 / MAX(1, 'ProductSprint Backlog'!$J289-'ProductSprint Backlog'!$I289), AND('ProductSprint Backlog'!$J289=E$2,'ProductSprint Backlog'!$I289=E$2), 'ProductSprint Backlog'!$F289, TRUE, 0)</f>
        <v>0</v>
      </c>
      <c r="F289" s="4" cm="1">
        <f t="array" ref="F289">_xlfn.IFS('ProductSprint Backlog'!$F289="", "", AND('ProductSprint Backlog'!$J289&gt;F$2,'ProductSprint Backlog'!$I289&lt;=F$2), 'ProductSprint Backlog'!$F289 / MAX(1, 'ProductSprint Backlog'!$J289-'ProductSprint Backlog'!$I289), AND('ProductSprint Backlog'!$J289=F$2,'ProductSprint Backlog'!$I289=F$2), 'ProductSprint Backlog'!$F289, TRUE, 0)</f>
        <v>0</v>
      </c>
      <c r="G289" s="4" cm="1">
        <f t="array" ref="G289">_xlfn.IFS('ProductSprint Backlog'!$F289="", "", AND('ProductSprint Backlog'!$J289&gt;G$2,'ProductSprint Backlog'!$I289&lt;=G$2), 'ProductSprint Backlog'!$F289 / MAX(1, 'ProductSprint Backlog'!$J289-'ProductSprint Backlog'!$I289), AND('ProductSprint Backlog'!$J289=G$2,'ProductSprint Backlog'!$I289=G$2), 'ProductSprint Backlog'!$F289, TRUE, 0)</f>
        <v>0</v>
      </c>
      <c r="H289" s="4" cm="1">
        <f t="array" ref="H289">_xlfn.IFS('ProductSprint Backlog'!$F289="", "", AND('ProductSprint Backlog'!$J289&gt;H$2,'ProductSprint Backlog'!$I289&lt;=H$2), 'ProductSprint Backlog'!$F289 / MAX(1, 'ProductSprint Backlog'!$J289-'ProductSprint Backlog'!$I289), AND('ProductSprint Backlog'!$J289=H$2,'ProductSprint Backlog'!$I289=H$2), 'ProductSprint Backlog'!$F289, TRUE, 0)</f>
        <v>0</v>
      </c>
      <c r="I289" s="4" cm="1">
        <f t="array" ref="I289">_xlfn.IFS('ProductSprint Backlog'!$F289="", "", AND('ProductSprint Backlog'!$J289&gt;I$2,'ProductSprint Backlog'!$I289&lt;=I$2), 'ProductSprint Backlog'!$F289 / MAX(1, 'ProductSprint Backlog'!$J289-'ProductSprint Backlog'!$I289), AND('ProductSprint Backlog'!$J289=I$2,'ProductSprint Backlog'!$I289=I$2), 'ProductSprint Backlog'!$F289, TRUE, 0)</f>
        <v>0</v>
      </c>
      <c r="J289" s="4" cm="1">
        <f t="array" ref="J289">_xlfn.IFS('ProductSprint Backlog'!$F289="", "", AND('ProductSprint Backlog'!$J289&gt;J$2,'ProductSprint Backlog'!$I289&lt;=J$2), 'ProductSprint Backlog'!$F289 / MAX(1, 'ProductSprint Backlog'!$J289-'ProductSprint Backlog'!$I289), AND('ProductSprint Backlog'!$J289=J$2,'ProductSprint Backlog'!$I289=J$2), 'ProductSprint Backlog'!$F289, TRUE, 0)</f>
        <v>0</v>
      </c>
      <c r="K289" s="4" cm="1">
        <f t="array" ref="K289">_xlfn.IFS('ProductSprint Backlog'!$F289="", "", AND('ProductSprint Backlog'!$J289&gt;K$2,'ProductSprint Backlog'!$I289&lt;=K$2), 'ProductSprint Backlog'!$F289 / MAX(1, 'ProductSprint Backlog'!$J289-'ProductSprint Backlog'!$I289), AND('ProductSprint Backlog'!$J289=K$2,'ProductSprint Backlog'!$I289=K$2), 'ProductSprint Backlog'!$F289, TRUE, 0)</f>
        <v>0</v>
      </c>
      <c r="L289" s="4" cm="1">
        <f t="array" ref="L289">_xlfn.IFS('ProductSprint Backlog'!$F289="", "", AND('ProductSprint Backlog'!$J289&gt;L$2,'ProductSprint Backlog'!$I289&lt;=L$2), 'ProductSprint Backlog'!$F289 / MAX(1, 'ProductSprint Backlog'!$J289-'ProductSprint Backlog'!$I289), AND('ProductSprint Backlog'!$J289=L$2,'ProductSprint Backlog'!$I289=L$2), 'ProductSprint Backlog'!$F289, TRUE, 0)</f>
        <v>0</v>
      </c>
      <c r="M289" s="4" cm="1">
        <f t="array" ref="M289">_xlfn.IFS('ProductSprint Backlog'!$F289="", "", AND('ProductSprint Backlog'!$J289&gt;M$2,'ProductSprint Backlog'!$I289&lt;=M$2), 'ProductSprint Backlog'!$F289 / MAX(1, 'ProductSprint Backlog'!$J289-'ProductSprint Backlog'!$I289), AND('ProductSprint Backlog'!$J289=M$2,'ProductSprint Backlog'!$I289=M$2), 'ProductSprint Backlog'!$F289, TRUE, 0)</f>
        <v>0</v>
      </c>
      <c r="N289" s="4" cm="1">
        <f t="array" ref="N289">_xlfn.IFS('ProductSprint Backlog'!$F289="", "", AND('ProductSprint Backlog'!$J289&gt;N$2,'ProductSprint Backlog'!$I289&lt;=N$2), 'ProductSprint Backlog'!$F289 / MAX(1, 'ProductSprint Backlog'!$J289-'ProductSprint Backlog'!$I289), AND('ProductSprint Backlog'!$J289=N$2,'ProductSprint Backlog'!$I289=N$2), 'ProductSprint Backlog'!$F289, TRUE, 0)</f>
        <v>0</v>
      </c>
      <c r="O289" s="4" cm="1">
        <f t="array" ref="O289">_xlfn.IFS('ProductSprint Backlog'!$F289="", "", AND('ProductSprint Backlog'!$J289&gt;O$2,'ProductSprint Backlog'!$I289&lt;=O$2), 'ProductSprint Backlog'!$F289 / MAX(1, 'ProductSprint Backlog'!$J289-'ProductSprint Backlog'!$I289), AND('ProductSprint Backlog'!$J289=O$2,'ProductSprint Backlog'!$I289=O$2), 'ProductSprint Backlog'!$F289, TRUE, 0)</f>
        <v>0</v>
      </c>
      <c r="P289" s="4" cm="1">
        <f t="array" ref="P289">_xlfn.IFS('ProductSprint Backlog'!$F289="", "", AND('ProductSprint Backlog'!$J289&gt;P$2,'ProductSprint Backlog'!$I289&lt;=P$2), 'ProductSprint Backlog'!$F289 / MAX(1, 'ProductSprint Backlog'!$J289-'ProductSprint Backlog'!$I289), AND('ProductSprint Backlog'!$J289=P$2,'ProductSprint Backlog'!$I289=P$2), 'ProductSprint Backlog'!$F289, TRUE, 0)</f>
        <v>0</v>
      </c>
      <c r="Q289" s="4" cm="1">
        <f t="array" ref="Q289">_xlfn.IFS('ProductSprint Backlog'!$F289="", "", AND('ProductSprint Backlog'!$J289&gt;Q$2,'ProductSprint Backlog'!$I289&lt;=Q$2), 'ProductSprint Backlog'!$F289 / MAX(1, 'ProductSprint Backlog'!$J289-'ProductSprint Backlog'!$I289), AND('ProductSprint Backlog'!$J289=Q$2,'ProductSprint Backlog'!$I289=Q$2), 'ProductSprint Backlog'!$F289, TRUE, 0)</f>
        <v>0</v>
      </c>
    </row>
    <row r="290" spans="2:17" ht="15.75" customHeight="1" x14ac:dyDescent="0.2">
      <c r="B290" s="4" t="str" cm="1">
        <f t="array" ref="B290">_xlfn.IFS('ProductSprint Backlog'!$F290="", "", AND('ProductSprint Backlog'!$J290&gt;B$2,'ProductSprint Backlog'!$I290&lt;=B$2), 'ProductSprint Backlog'!$F290 / MAX(1, 'ProductSprint Backlog'!$J290-'ProductSprint Backlog'!$I290), AND('ProductSprint Backlog'!$J290=B$2,'ProductSprint Backlog'!$I290=B$2), 'ProductSprint Backlog'!$F290, TRUE, 0)</f>
        <v/>
      </c>
      <c r="C290" s="4" t="str" cm="1">
        <f t="array" ref="C290">_xlfn.IFS('ProductSprint Backlog'!$F290="", "", AND('ProductSprint Backlog'!$J290&gt;C$2,'ProductSprint Backlog'!$I290&lt;=C$2), 'ProductSprint Backlog'!$F290 / MAX(1, 'ProductSprint Backlog'!$J290-'ProductSprint Backlog'!$I290), AND('ProductSprint Backlog'!$J290=C$2,'ProductSprint Backlog'!$I290=C$2), 'ProductSprint Backlog'!$F290, TRUE, 0)</f>
        <v/>
      </c>
      <c r="D290" s="4" t="str" cm="1">
        <f t="array" ref="D290">_xlfn.IFS('ProductSprint Backlog'!$F290="", "", AND('ProductSprint Backlog'!$J290&gt;D$2,'ProductSprint Backlog'!$I290&lt;=D$2), 'ProductSprint Backlog'!$F290 / MAX(1, 'ProductSprint Backlog'!$J290-'ProductSprint Backlog'!$I290), AND('ProductSprint Backlog'!$J290=D$2,'ProductSprint Backlog'!$I290=D$2), 'ProductSprint Backlog'!$F290, TRUE, 0)</f>
        <v/>
      </c>
      <c r="E290" s="4" t="str" cm="1">
        <f t="array" ref="E290">_xlfn.IFS('ProductSprint Backlog'!$F290="", "", AND('ProductSprint Backlog'!$J290&gt;E$2,'ProductSprint Backlog'!$I290&lt;=E$2), 'ProductSprint Backlog'!$F290 / MAX(1, 'ProductSprint Backlog'!$J290-'ProductSprint Backlog'!$I290), AND('ProductSprint Backlog'!$J290=E$2,'ProductSprint Backlog'!$I290=E$2), 'ProductSprint Backlog'!$F290, TRUE, 0)</f>
        <v/>
      </c>
      <c r="F290" s="4" t="str" cm="1">
        <f t="array" ref="F290">_xlfn.IFS('ProductSprint Backlog'!$F290="", "", AND('ProductSprint Backlog'!$J290&gt;F$2,'ProductSprint Backlog'!$I290&lt;=F$2), 'ProductSprint Backlog'!$F290 / MAX(1, 'ProductSprint Backlog'!$J290-'ProductSprint Backlog'!$I290), AND('ProductSprint Backlog'!$J290=F$2,'ProductSprint Backlog'!$I290=F$2), 'ProductSprint Backlog'!$F290, TRUE, 0)</f>
        <v/>
      </c>
      <c r="G290" s="4" t="str" cm="1">
        <f t="array" ref="G290">_xlfn.IFS('ProductSprint Backlog'!$F290="", "", AND('ProductSprint Backlog'!$J290&gt;G$2,'ProductSprint Backlog'!$I290&lt;=G$2), 'ProductSprint Backlog'!$F290 / MAX(1, 'ProductSprint Backlog'!$J290-'ProductSprint Backlog'!$I290), AND('ProductSprint Backlog'!$J290=G$2,'ProductSprint Backlog'!$I290=G$2), 'ProductSprint Backlog'!$F290, TRUE, 0)</f>
        <v/>
      </c>
      <c r="H290" s="4" t="str" cm="1">
        <f t="array" ref="H290">_xlfn.IFS('ProductSprint Backlog'!$F290="", "", AND('ProductSprint Backlog'!$J290&gt;H$2,'ProductSprint Backlog'!$I290&lt;=H$2), 'ProductSprint Backlog'!$F290 / MAX(1, 'ProductSprint Backlog'!$J290-'ProductSprint Backlog'!$I290), AND('ProductSprint Backlog'!$J290=H$2,'ProductSprint Backlog'!$I290=H$2), 'ProductSprint Backlog'!$F290, TRUE, 0)</f>
        <v/>
      </c>
      <c r="I290" s="4" t="str" cm="1">
        <f t="array" ref="I290">_xlfn.IFS('ProductSprint Backlog'!$F290="", "", AND('ProductSprint Backlog'!$J290&gt;I$2,'ProductSprint Backlog'!$I290&lt;=I$2), 'ProductSprint Backlog'!$F290 / MAX(1, 'ProductSprint Backlog'!$J290-'ProductSprint Backlog'!$I290), AND('ProductSprint Backlog'!$J290=I$2,'ProductSprint Backlog'!$I290=I$2), 'ProductSprint Backlog'!$F290, TRUE, 0)</f>
        <v/>
      </c>
      <c r="J290" s="4" t="str" cm="1">
        <f t="array" ref="J290">_xlfn.IFS('ProductSprint Backlog'!$F290="", "", AND('ProductSprint Backlog'!$J290&gt;J$2,'ProductSprint Backlog'!$I290&lt;=J$2), 'ProductSprint Backlog'!$F290 / MAX(1, 'ProductSprint Backlog'!$J290-'ProductSprint Backlog'!$I290), AND('ProductSprint Backlog'!$J290=J$2,'ProductSprint Backlog'!$I290=J$2), 'ProductSprint Backlog'!$F290, TRUE, 0)</f>
        <v/>
      </c>
      <c r="K290" s="4" t="str" cm="1">
        <f t="array" ref="K290">_xlfn.IFS('ProductSprint Backlog'!$F290="", "", AND('ProductSprint Backlog'!$J290&gt;K$2,'ProductSprint Backlog'!$I290&lt;=K$2), 'ProductSprint Backlog'!$F290 / MAX(1, 'ProductSprint Backlog'!$J290-'ProductSprint Backlog'!$I290), AND('ProductSprint Backlog'!$J290=K$2,'ProductSprint Backlog'!$I290=K$2), 'ProductSprint Backlog'!$F290, TRUE, 0)</f>
        <v/>
      </c>
      <c r="L290" s="4" t="str" cm="1">
        <f t="array" ref="L290">_xlfn.IFS('ProductSprint Backlog'!$F290="", "", AND('ProductSprint Backlog'!$J290&gt;L$2,'ProductSprint Backlog'!$I290&lt;=L$2), 'ProductSprint Backlog'!$F290 / MAX(1, 'ProductSprint Backlog'!$J290-'ProductSprint Backlog'!$I290), AND('ProductSprint Backlog'!$J290=L$2,'ProductSprint Backlog'!$I290=L$2), 'ProductSprint Backlog'!$F290, TRUE, 0)</f>
        <v/>
      </c>
      <c r="M290" s="4" t="str" cm="1">
        <f t="array" ref="M290">_xlfn.IFS('ProductSprint Backlog'!$F290="", "", AND('ProductSprint Backlog'!$J290&gt;M$2,'ProductSprint Backlog'!$I290&lt;=M$2), 'ProductSprint Backlog'!$F290 / MAX(1, 'ProductSprint Backlog'!$J290-'ProductSprint Backlog'!$I290), AND('ProductSprint Backlog'!$J290=M$2,'ProductSprint Backlog'!$I290=M$2), 'ProductSprint Backlog'!$F290, TRUE, 0)</f>
        <v/>
      </c>
      <c r="N290" s="4" t="str" cm="1">
        <f t="array" ref="N290">_xlfn.IFS('ProductSprint Backlog'!$F290="", "", AND('ProductSprint Backlog'!$J290&gt;N$2,'ProductSprint Backlog'!$I290&lt;=N$2), 'ProductSprint Backlog'!$F290 / MAX(1, 'ProductSprint Backlog'!$J290-'ProductSprint Backlog'!$I290), AND('ProductSprint Backlog'!$J290=N$2,'ProductSprint Backlog'!$I290=N$2), 'ProductSprint Backlog'!$F290, TRUE, 0)</f>
        <v/>
      </c>
      <c r="O290" s="4" t="str" cm="1">
        <f t="array" ref="O290">_xlfn.IFS('ProductSprint Backlog'!$F290="", "", AND('ProductSprint Backlog'!$J290&gt;O$2,'ProductSprint Backlog'!$I290&lt;=O$2), 'ProductSprint Backlog'!$F290 / MAX(1, 'ProductSprint Backlog'!$J290-'ProductSprint Backlog'!$I290), AND('ProductSprint Backlog'!$J290=O$2,'ProductSprint Backlog'!$I290=O$2), 'ProductSprint Backlog'!$F290, TRUE, 0)</f>
        <v/>
      </c>
      <c r="P290" s="4" t="str" cm="1">
        <f t="array" ref="P290">_xlfn.IFS('ProductSprint Backlog'!$F290="", "", AND('ProductSprint Backlog'!$J290&gt;P$2,'ProductSprint Backlog'!$I290&lt;=P$2), 'ProductSprint Backlog'!$F290 / MAX(1, 'ProductSprint Backlog'!$J290-'ProductSprint Backlog'!$I290), AND('ProductSprint Backlog'!$J290=P$2,'ProductSprint Backlog'!$I290=P$2), 'ProductSprint Backlog'!$F290, TRUE, 0)</f>
        <v/>
      </c>
      <c r="Q290" s="4" t="str" cm="1">
        <f t="array" ref="Q290">_xlfn.IFS('ProductSprint Backlog'!$F290="", "", AND('ProductSprint Backlog'!$J290&gt;Q$2,'ProductSprint Backlog'!$I290&lt;=Q$2), 'ProductSprint Backlog'!$F290 / MAX(1, 'ProductSprint Backlog'!$J290-'ProductSprint Backlog'!$I290), AND('ProductSprint Backlog'!$J290=Q$2,'ProductSprint Backlog'!$I290=Q$2), 'ProductSprint Backlog'!$F290, TRUE, 0)</f>
        <v/>
      </c>
    </row>
    <row r="291" spans="2:17" ht="15.75" customHeight="1" x14ac:dyDescent="0.2">
      <c r="B291" s="4" t="str" cm="1">
        <f t="array" ref="B291">_xlfn.IFS('ProductSprint Backlog'!$F291="", "", AND('ProductSprint Backlog'!$J291&gt;B$2,'ProductSprint Backlog'!$I291&lt;=B$2), 'ProductSprint Backlog'!$F291 / MAX(1, 'ProductSprint Backlog'!$J291-'ProductSprint Backlog'!$I291), AND('ProductSprint Backlog'!$J291=B$2,'ProductSprint Backlog'!$I291=B$2), 'ProductSprint Backlog'!$F291, TRUE, 0)</f>
        <v/>
      </c>
      <c r="C291" s="4" t="str" cm="1">
        <f t="array" ref="C291">_xlfn.IFS('ProductSprint Backlog'!$F291="", "", AND('ProductSprint Backlog'!$J291&gt;C$2,'ProductSprint Backlog'!$I291&lt;=C$2), 'ProductSprint Backlog'!$F291 / MAX(1, 'ProductSprint Backlog'!$J291-'ProductSprint Backlog'!$I291), AND('ProductSprint Backlog'!$J291=C$2,'ProductSprint Backlog'!$I291=C$2), 'ProductSprint Backlog'!$F291, TRUE, 0)</f>
        <v/>
      </c>
      <c r="D291" s="4" t="str" cm="1">
        <f t="array" ref="D291">_xlfn.IFS('ProductSprint Backlog'!$F291="", "", AND('ProductSprint Backlog'!$J291&gt;D$2,'ProductSprint Backlog'!$I291&lt;=D$2), 'ProductSprint Backlog'!$F291 / MAX(1, 'ProductSprint Backlog'!$J291-'ProductSprint Backlog'!$I291), AND('ProductSprint Backlog'!$J291=D$2,'ProductSprint Backlog'!$I291=D$2), 'ProductSprint Backlog'!$F291, TRUE, 0)</f>
        <v/>
      </c>
      <c r="E291" s="4" t="str" cm="1">
        <f t="array" ref="E291">_xlfn.IFS('ProductSprint Backlog'!$F291="", "", AND('ProductSprint Backlog'!$J291&gt;E$2,'ProductSprint Backlog'!$I291&lt;=E$2), 'ProductSprint Backlog'!$F291 / MAX(1, 'ProductSprint Backlog'!$J291-'ProductSprint Backlog'!$I291), AND('ProductSprint Backlog'!$J291=E$2,'ProductSprint Backlog'!$I291=E$2), 'ProductSprint Backlog'!$F291, TRUE, 0)</f>
        <v/>
      </c>
      <c r="F291" s="4" t="str" cm="1">
        <f t="array" ref="F291">_xlfn.IFS('ProductSprint Backlog'!$F291="", "", AND('ProductSprint Backlog'!$J291&gt;F$2,'ProductSprint Backlog'!$I291&lt;=F$2), 'ProductSprint Backlog'!$F291 / MAX(1, 'ProductSprint Backlog'!$J291-'ProductSprint Backlog'!$I291), AND('ProductSprint Backlog'!$J291=F$2,'ProductSprint Backlog'!$I291=F$2), 'ProductSprint Backlog'!$F291, TRUE, 0)</f>
        <v/>
      </c>
      <c r="G291" s="4" t="str" cm="1">
        <f t="array" ref="G291">_xlfn.IFS('ProductSprint Backlog'!$F291="", "", AND('ProductSprint Backlog'!$J291&gt;G$2,'ProductSprint Backlog'!$I291&lt;=G$2), 'ProductSprint Backlog'!$F291 / MAX(1, 'ProductSprint Backlog'!$J291-'ProductSprint Backlog'!$I291), AND('ProductSprint Backlog'!$J291=G$2,'ProductSprint Backlog'!$I291=G$2), 'ProductSprint Backlog'!$F291, TRUE, 0)</f>
        <v/>
      </c>
      <c r="H291" s="4" t="str" cm="1">
        <f t="array" ref="H291">_xlfn.IFS('ProductSprint Backlog'!$F291="", "", AND('ProductSprint Backlog'!$J291&gt;H$2,'ProductSprint Backlog'!$I291&lt;=H$2), 'ProductSprint Backlog'!$F291 / MAX(1, 'ProductSprint Backlog'!$J291-'ProductSprint Backlog'!$I291), AND('ProductSprint Backlog'!$J291=H$2,'ProductSprint Backlog'!$I291=H$2), 'ProductSprint Backlog'!$F291, TRUE, 0)</f>
        <v/>
      </c>
      <c r="I291" s="4" t="str" cm="1">
        <f t="array" ref="I291">_xlfn.IFS('ProductSprint Backlog'!$F291="", "", AND('ProductSprint Backlog'!$J291&gt;I$2,'ProductSprint Backlog'!$I291&lt;=I$2), 'ProductSprint Backlog'!$F291 / MAX(1, 'ProductSprint Backlog'!$J291-'ProductSprint Backlog'!$I291), AND('ProductSprint Backlog'!$J291=I$2,'ProductSprint Backlog'!$I291=I$2), 'ProductSprint Backlog'!$F291, TRUE, 0)</f>
        <v/>
      </c>
      <c r="J291" s="4" t="str" cm="1">
        <f t="array" ref="J291">_xlfn.IFS('ProductSprint Backlog'!$F291="", "", AND('ProductSprint Backlog'!$J291&gt;J$2,'ProductSprint Backlog'!$I291&lt;=J$2), 'ProductSprint Backlog'!$F291 / MAX(1, 'ProductSprint Backlog'!$J291-'ProductSprint Backlog'!$I291), AND('ProductSprint Backlog'!$J291=J$2,'ProductSprint Backlog'!$I291=J$2), 'ProductSprint Backlog'!$F291, TRUE, 0)</f>
        <v/>
      </c>
      <c r="K291" s="4" t="str" cm="1">
        <f t="array" ref="K291">_xlfn.IFS('ProductSprint Backlog'!$F291="", "", AND('ProductSprint Backlog'!$J291&gt;K$2,'ProductSprint Backlog'!$I291&lt;=K$2), 'ProductSprint Backlog'!$F291 / MAX(1, 'ProductSprint Backlog'!$J291-'ProductSprint Backlog'!$I291), AND('ProductSprint Backlog'!$J291=K$2,'ProductSprint Backlog'!$I291=K$2), 'ProductSprint Backlog'!$F291, TRUE, 0)</f>
        <v/>
      </c>
      <c r="L291" s="4" t="str" cm="1">
        <f t="array" ref="L291">_xlfn.IFS('ProductSprint Backlog'!$F291="", "", AND('ProductSprint Backlog'!$J291&gt;L$2,'ProductSprint Backlog'!$I291&lt;=L$2), 'ProductSprint Backlog'!$F291 / MAX(1, 'ProductSprint Backlog'!$J291-'ProductSprint Backlog'!$I291), AND('ProductSprint Backlog'!$J291=L$2,'ProductSprint Backlog'!$I291=L$2), 'ProductSprint Backlog'!$F291, TRUE, 0)</f>
        <v/>
      </c>
      <c r="M291" s="4" t="str" cm="1">
        <f t="array" ref="M291">_xlfn.IFS('ProductSprint Backlog'!$F291="", "", AND('ProductSprint Backlog'!$J291&gt;M$2,'ProductSprint Backlog'!$I291&lt;=M$2), 'ProductSprint Backlog'!$F291 / MAX(1, 'ProductSprint Backlog'!$J291-'ProductSprint Backlog'!$I291), AND('ProductSprint Backlog'!$J291=M$2,'ProductSprint Backlog'!$I291=M$2), 'ProductSprint Backlog'!$F291, TRUE, 0)</f>
        <v/>
      </c>
      <c r="N291" s="4" t="str" cm="1">
        <f t="array" ref="N291">_xlfn.IFS('ProductSprint Backlog'!$F291="", "", AND('ProductSprint Backlog'!$J291&gt;N$2,'ProductSprint Backlog'!$I291&lt;=N$2), 'ProductSprint Backlog'!$F291 / MAX(1, 'ProductSprint Backlog'!$J291-'ProductSprint Backlog'!$I291), AND('ProductSprint Backlog'!$J291=N$2,'ProductSprint Backlog'!$I291=N$2), 'ProductSprint Backlog'!$F291, TRUE, 0)</f>
        <v/>
      </c>
      <c r="O291" s="4" t="str" cm="1">
        <f t="array" ref="O291">_xlfn.IFS('ProductSprint Backlog'!$F291="", "", AND('ProductSprint Backlog'!$J291&gt;O$2,'ProductSprint Backlog'!$I291&lt;=O$2), 'ProductSprint Backlog'!$F291 / MAX(1, 'ProductSprint Backlog'!$J291-'ProductSprint Backlog'!$I291), AND('ProductSprint Backlog'!$J291=O$2,'ProductSprint Backlog'!$I291=O$2), 'ProductSprint Backlog'!$F291, TRUE, 0)</f>
        <v/>
      </c>
      <c r="P291" s="4" t="str" cm="1">
        <f t="array" ref="P291">_xlfn.IFS('ProductSprint Backlog'!$F291="", "", AND('ProductSprint Backlog'!$J291&gt;P$2,'ProductSprint Backlog'!$I291&lt;=P$2), 'ProductSprint Backlog'!$F291 / MAX(1, 'ProductSprint Backlog'!$J291-'ProductSprint Backlog'!$I291), AND('ProductSprint Backlog'!$J291=P$2,'ProductSprint Backlog'!$I291=P$2), 'ProductSprint Backlog'!$F291, TRUE, 0)</f>
        <v/>
      </c>
      <c r="Q291" s="4" t="str" cm="1">
        <f t="array" ref="Q291">_xlfn.IFS('ProductSprint Backlog'!$F291="", "", AND('ProductSprint Backlog'!$J291&gt;Q$2,'ProductSprint Backlog'!$I291&lt;=Q$2), 'ProductSprint Backlog'!$F291 / MAX(1, 'ProductSprint Backlog'!$J291-'ProductSprint Backlog'!$I291), AND('ProductSprint Backlog'!$J291=Q$2,'ProductSprint Backlog'!$I291=Q$2), 'ProductSprint Backlog'!$F291, TRUE, 0)</f>
        <v/>
      </c>
    </row>
    <row r="292" spans="2:17" ht="15.75" customHeight="1" x14ac:dyDescent="0.2">
      <c r="B292" s="4" t="str" cm="1">
        <f t="array" ref="B292">_xlfn.IFS('ProductSprint Backlog'!$F292="", "", AND('ProductSprint Backlog'!$J292&gt;B$2,'ProductSprint Backlog'!$I292&lt;=B$2), 'ProductSprint Backlog'!$F292 / MAX(1, 'ProductSprint Backlog'!$J292-'ProductSprint Backlog'!$I292), AND('ProductSprint Backlog'!$J292=B$2,'ProductSprint Backlog'!$I292=B$2), 'ProductSprint Backlog'!$F292, TRUE, 0)</f>
        <v/>
      </c>
      <c r="C292" s="4" t="str" cm="1">
        <f t="array" ref="C292">_xlfn.IFS('ProductSprint Backlog'!$F292="", "", AND('ProductSprint Backlog'!$J292&gt;C$2,'ProductSprint Backlog'!$I292&lt;=C$2), 'ProductSprint Backlog'!$F292 / MAX(1, 'ProductSprint Backlog'!$J292-'ProductSprint Backlog'!$I292), AND('ProductSprint Backlog'!$J292=C$2,'ProductSprint Backlog'!$I292=C$2), 'ProductSprint Backlog'!$F292, TRUE, 0)</f>
        <v/>
      </c>
      <c r="D292" s="4" t="str" cm="1">
        <f t="array" ref="D292">_xlfn.IFS('ProductSprint Backlog'!$F292="", "", AND('ProductSprint Backlog'!$J292&gt;D$2,'ProductSprint Backlog'!$I292&lt;=D$2), 'ProductSprint Backlog'!$F292 / MAX(1, 'ProductSprint Backlog'!$J292-'ProductSprint Backlog'!$I292), AND('ProductSprint Backlog'!$J292=D$2,'ProductSprint Backlog'!$I292=D$2), 'ProductSprint Backlog'!$F292, TRUE, 0)</f>
        <v/>
      </c>
      <c r="E292" s="4" t="str" cm="1">
        <f t="array" ref="E292">_xlfn.IFS('ProductSprint Backlog'!$F292="", "", AND('ProductSprint Backlog'!$J292&gt;E$2,'ProductSprint Backlog'!$I292&lt;=E$2), 'ProductSprint Backlog'!$F292 / MAX(1, 'ProductSprint Backlog'!$J292-'ProductSprint Backlog'!$I292), AND('ProductSprint Backlog'!$J292=E$2,'ProductSprint Backlog'!$I292=E$2), 'ProductSprint Backlog'!$F292, TRUE, 0)</f>
        <v/>
      </c>
      <c r="F292" s="4" t="str" cm="1">
        <f t="array" ref="F292">_xlfn.IFS('ProductSprint Backlog'!$F292="", "", AND('ProductSprint Backlog'!$J292&gt;F$2,'ProductSprint Backlog'!$I292&lt;=F$2), 'ProductSprint Backlog'!$F292 / MAX(1, 'ProductSprint Backlog'!$J292-'ProductSprint Backlog'!$I292), AND('ProductSprint Backlog'!$J292=F$2,'ProductSprint Backlog'!$I292=F$2), 'ProductSprint Backlog'!$F292, TRUE, 0)</f>
        <v/>
      </c>
      <c r="G292" s="4" t="str" cm="1">
        <f t="array" ref="G292">_xlfn.IFS('ProductSprint Backlog'!$F292="", "", AND('ProductSprint Backlog'!$J292&gt;G$2,'ProductSprint Backlog'!$I292&lt;=G$2), 'ProductSprint Backlog'!$F292 / MAX(1, 'ProductSprint Backlog'!$J292-'ProductSprint Backlog'!$I292), AND('ProductSprint Backlog'!$J292=G$2,'ProductSprint Backlog'!$I292=G$2), 'ProductSprint Backlog'!$F292, TRUE, 0)</f>
        <v/>
      </c>
      <c r="H292" s="4" t="str" cm="1">
        <f t="array" ref="H292">_xlfn.IFS('ProductSprint Backlog'!$F292="", "", AND('ProductSprint Backlog'!$J292&gt;H$2,'ProductSprint Backlog'!$I292&lt;=H$2), 'ProductSprint Backlog'!$F292 / MAX(1, 'ProductSprint Backlog'!$J292-'ProductSprint Backlog'!$I292), AND('ProductSprint Backlog'!$J292=H$2,'ProductSprint Backlog'!$I292=H$2), 'ProductSprint Backlog'!$F292, TRUE, 0)</f>
        <v/>
      </c>
      <c r="I292" s="4" t="str" cm="1">
        <f t="array" ref="I292">_xlfn.IFS('ProductSprint Backlog'!$F292="", "", AND('ProductSprint Backlog'!$J292&gt;I$2,'ProductSprint Backlog'!$I292&lt;=I$2), 'ProductSprint Backlog'!$F292 / MAX(1, 'ProductSprint Backlog'!$J292-'ProductSprint Backlog'!$I292), AND('ProductSprint Backlog'!$J292=I$2,'ProductSprint Backlog'!$I292=I$2), 'ProductSprint Backlog'!$F292, TRUE, 0)</f>
        <v/>
      </c>
      <c r="J292" s="4" t="str" cm="1">
        <f t="array" ref="J292">_xlfn.IFS('ProductSprint Backlog'!$F292="", "", AND('ProductSprint Backlog'!$J292&gt;J$2,'ProductSprint Backlog'!$I292&lt;=J$2), 'ProductSprint Backlog'!$F292 / MAX(1, 'ProductSprint Backlog'!$J292-'ProductSprint Backlog'!$I292), AND('ProductSprint Backlog'!$J292=J$2,'ProductSprint Backlog'!$I292=J$2), 'ProductSprint Backlog'!$F292, TRUE, 0)</f>
        <v/>
      </c>
      <c r="K292" s="4" t="str" cm="1">
        <f t="array" ref="K292">_xlfn.IFS('ProductSprint Backlog'!$F292="", "", AND('ProductSprint Backlog'!$J292&gt;K$2,'ProductSprint Backlog'!$I292&lt;=K$2), 'ProductSprint Backlog'!$F292 / MAX(1, 'ProductSprint Backlog'!$J292-'ProductSprint Backlog'!$I292), AND('ProductSprint Backlog'!$J292=K$2,'ProductSprint Backlog'!$I292=K$2), 'ProductSprint Backlog'!$F292, TRUE, 0)</f>
        <v/>
      </c>
      <c r="L292" s="4" t="str" cm="1">
        <f t="array" ref="L292">_xlfn.IFS('ProductSprint Backlog'!$F292="", "", AND('ProductSprint Backlog'!$J292&gt;L$2,'ProductSprint Backlog'!$I292&lt;=L$2), 'ProductSprint Backlog'!$F292 / MAX(1, 'ProductSprint Backlog'!$J292-'ProductSprint Backlog'!$I292), AND('ProductSprint Backlog'!$J292=L$2,'ProductSprint Backlog'!$I292=L$2), 'ProductSprint Backlog'!$F292, TRUE, 0)</f>
        <v/>
      </c>
      <c r="M292" s="4" t="str" cm="1">
        <f t="array" ref="M292">_xlfn.IFS('ProductSprint Backlog'!$F292="", "", AND('ProductSprint Backlog'!$J292&gt;M$2,'ProductSprint Backlog'!$I292&lt;=M$2), 'ProductSprint Backlog'!$F292 / MAX(1, 'ProductSprint Backlog'!$J292-'ProductSprint Backlog'!$I292), AND('ProductSprint Backlog'!$J292=M$2,'ProductSprint Backlog'!$I292=M$2), 'ProductSprint Backlog'!$F292, TRUE, 0)</f>
        <v/>
      </c>
      <c r="N292" s="4" t="str" cm="1">
        <f t="array" ref="N292">_xlfn.IFS('ProductSprint Backlog'!$F292="", "", AND('ProductSprint Backlog'!$J292&gt;N$2,'ProductSprint Backlog'!$I292&lt;=N$2), 'ProductSprint Backlog'!$F292 / MAX(1, 'ProductSprint Backlog'!$J292-'ProductSprint Backlog'!$I292), AND('ProductSprint Backlog'!$J292=N$2,'ProductSprint Backlog'!$I292=N$2), 'ProductSprint Backlog'!$F292, TRUE, 0)</f>
        <v/>
      </c>
      <c r="O292" s="4" t="str" cm="1">
        <f t="array" ref="O292">_xlfn.IFS('ProductSprint Backlog'!$F292="", "", AND('ProductSprint Backlog'!$J292&gt;O$2,'ProductSprint Backlog'!$I292&lt;=O$2), 'ProductSprint Backlog'!$F292 / MAX(1, 'ProductSprint Backlog'!$J292-'ProductSprint Backlog'!$I292), AND('ProductSprint Backlog'!$J292=O$2,'ProductSprint Backlog'!$I292=O$2), 'ProductSprint Backlog'!$F292, TRUE, 0)</f>
        <v/>
      </c>
      <c r="P292" s="4" t="str" cm="1">
        <f t="array" ref="P292">_xlfn.IFS('ProductSprint Backlog'!$F292="", "", AND('ProductSprint Backlog'!$J292&gt;P$2,'ProductSprint Backlog'!$I292&lt;=P$2), 'ProductSprint Backlog'!$F292 / MAX(1, 'ProductSprint Backlog'!$J292-'ProductSprint Backlog'!$I292), AND('ProductSprint Backlog'!$J292=P$2,'ProductSprint Backlog'!$I292=P$2), 'ProductSprint Backlog'!$F292, TRUE, 0)</f>
        <v/>
      </c>
      <c r="Q292" s="4" t="str" cm="1">
        <f t="array" ref="Q292">_xlfn.IFS('ProductSprint Backlog'!$F292="", "", AND('ProductSprint Backlog'!$J292&gt;Q$2,'ProductSprint Backlog'!$I292&lt;=Q$2), 'ProductSprint Backlog'!$F292 / MAX(1, 'ProductSprint Backlog'!$J292-'ProductSprint Backlog'!$I292), AND('ProductSprint Backlog'!$J292=Q$2,'ProductSprint Backlog'!$I292=Q$2), 'ProductSprint Backlog'!$F292, TRUE, 0)</f>
        <v/>
      </c>
    </row>
    <row r="293" spans="2:17" ht="15.75" customHeight="1" x14ac:dyDescent="0.2">
      <c r="B293" s="4" t="str" cm="1">
        <f t="array" ref="B293">_xlfn.IFS('ProductSprint Backlog'!$F293="", "", AND('ProductSprint Backlog'!$J293&gt;B$2,'ProductSprint Backlog'!$I293&lt;=B$2), 'ProductSprint Backlog'!$F293 / MAX(1, 'ProductSprint Backlog'!$J293-'ProductSprint Backlog'!$I293), AND('ProductSprint Backlog'!$J293=B$2,'ProductSprint Backlog'!$I293=B$2), 'ProductSprint Backlog'!$F293, TRUE, 0)</f>
        <v/>
      </c>
      <c r="C293" s="4" t="str" cm="1">
        <f t="array" ref="C293">_xlfn.IFS('ProductSprint Backlog'!$F293="", "", AND('ProductSprint Backlog'!$J293&gt;C$2,'ProductSprint Backlog'!$I293&lt;=C$2), 'ProductSprint Backlog'!$F293 / MAX(1, 'ProductSprint Backlog'!$J293-'ProductSprint Backlog'!$I293), AND('ProductSprint Backlog'!$J293=C$2,'ProductSprint Backlog'!$I293=C$2), 'ProductSprint Backlog'!$F293, TRUE, 0)</f>
        <v/>
      </c>
      <c r="D293" s="4" t="str" cm="1">
        <f t="array" ref="D293">_xlfn.IFS('ProductSprint Backlog'!$F293="", "", AND('ProductSprint Backlog'!$J293&gt;D$2,'ProductSprint Backlog'!$I293&lt;=D$2), 'ProductSprint Backlog'!$F293 / MAX(1, 'ProductSprint Backlog'!$J293-'ProductSprint Backlog'!$I293), AND('ProductSprint Backlog'!$J293=D$2,'ProductSprint Backlog'!$I293=D$2), 'ProductSprint Backlog'!$F293, TRUE, 0)</f>
        <v/>
      </c>
      <c r="E293" s="4" t="str" cm="1">
        <f t="array" ref="E293">_xlfn.IFS('ProductSprint Backlog'!$F293="", "", AND('ProductSprint Backlog'!$J293&gt;E$2,'ProductSprint Backlog'!$I293&lt;=E$2), 'ProductSprint Backlog'!$F293 / MAX(1, 'ProductSprint Backlog'!$J293-'ProductSprint Backlog'!$I293), AND('ProductSprint Backlog'!$J293=E$2,'ProductSprint Backlog'!$I293=E$2), 'ProductSprint Backlog'!$F293, TRUE, 0)</f>
        <v/>
      </c>
      <c r="F293" s="4" t="str" cm="1">
        <f t="array" ref="F293">_xlfn.IFS('ProductSprint Backlog'!$F293="", "", AND('ProductSprint Backlog'!$J293&gt;F$2,'ProductSprint Backlog'!$I293&lt;=F$2), 'ProductSprint Backlog'!$F293 / MAX(1, 'ProductSprint Backlog'!$J293-'ProductSprint Backlog'!$I293), AND('ProductSprint Backlog'!$J293=F$2,'ProductSprint Backlog'!$I293=F$2), 'ProductSprint Backlog'!$F293, TRUE, 0)</f>
        <v/>
      </c>
      <c r="G293" s="4" t="str" cm="1">
        <f t="array" ref="G293">_xlfn.IFS('ProductSprint Backlog'!$F293="", "", AND('ProductSprint Backlog'!$J293&gt;G$2,'ProductSprint Backlog'!$I293&lt;=G$2), 'ProductSprint Backlog'!$F293 / MAX(1, 'ProductSprint Backlog'!$J293-'ProductSprint Backlog'!$I293), AND('ProductSprint Backlog'!$J293=G$2,'ProductSprint Backlog'!$I293=G$2), 'ProductSprint Backlog'!$F293, TRUE, 0)</f>
        <v/>
      </c>
      <c r="H293" s="4" t="str" cm="1">
        <f t="array" ref="H293">_xlfn.IFS('ProductSprint Backlog'!$F293="", "", AND('ProductSprint Backlog'!$J293&gt;H$2,'ProductSprint Backlog'!$I293&lt;=H$2), 'ProductSprint Backlog'!$F293 / MAX(1, 'ProductSprint Backlog'!$J293-'ProductSprint Backlog'!$I293), AND('ProductSprint Backlog'!$J293=H$2,'ProductSprint Backlog'!$I293=H$2), 'ProductSprint Backlog'!$F293, TRUE, 0)</f>
        <v/>
      </c>
      <c r="I293" s="4" t="str" cm="1">
        <f t="array" ref="I293">_xlfn.IFS('ProductSprint Backlog'!$F293="", "", AND('ProductSprint Backlog'!$J293&gt;I$2,'ProductSprint Backlog'!$I293&lt;=I$2), 'ProductSprint Backlog'!$F293 / MAX(1, 'ProductSprint Backlog'!$J293-'ProductSprint Backlog'!$I293), AND('ProductSprint Backlog'!$J293=I$2,'ProductSprint Backlog'!$I293=I$2), 'ProductSprint Backlog'!$F293, TRUE, 0)</f>
        <v/>
      </c>
      <c r="J293" s="4" t="str" cm="1">
        <f t="array" ref="J293">_xlfn.IFS('ProductSprint Backlog'!$F293="", "", AND('ProductSprint Backlog'!$J293&gt;J$2,'ProductSprint Backlog'!$I293&lt;=J$2), 'ProductSprint Backlog'!$F293 / MAX(1, 'ProductSprint Backlog'!$J293-'ProductSprint Backlog'!$I293), AND('ProductSprint Backlog'!$J293=J$2,'ProductSprint Backlog'!$I293=J$2), 'ProductSprint Backlog'!$F293, TRUE, 0)</f>
        <v/>
      </c>
      <c r="K293" s="4" t="str" cm="1">
        <f t="array" ref="K293">_xlfn.IFS('ProductSprint Backlog'!$F293="", "", AND('ProductSprint Backlog'!$J293&gt;K$2,'ProductSprint Backlog'!$I293&lt;=K$2), 'ProductSprint Backlog'!$F293 / MAX(1, 'ProductSprint Backlog'!$J293-'ProductSprint Backlog'!$I293), AND('ProductSprint Backlog'!$J293=K$2,'ProductSprint Backlog'!$I293=K$2), 'ProductSprint Backlog'!$F293, TRUE, 0)</f>
        <v/>
      </c>
      <c r="L293" s="4" t="str" cm="1">
        <f t="array" ref="L293">_xlfn.IFS('ProductSprint Backlog'!$F293="", "", AND('ProductSprint Backlog'!$J293&gt;L$2,'ProductSprint Backlog'!$I293&lt;=L$2), 'ProductSprint Backlog'!$F293 / MAX(1, 'ProductSprint Backlog'!$J293-'ProductSprint Backlog'!$I293), AND('ProductSprint Backlog'!$J293=L$2,'ProductSprint Backlog'!$I293=L$2), 'ProductSprint Backlog'!$F293, TRUE, 0)</f>
        <v/>
      </c>
      <c r="M293" s="4" t="str" cm="1">
        <f t="array" ref="M293">_xlfn.IFS('ProductSprint Backlog'!$F293="", "", AND('ProductSprint Backlog'!$J293&gt;M$2,'ProductSprint Backlog'!$I293&lt;=M$2), 'ProductSprint Backlog'!$F293 / MAX(1, 'ProductSprint Backlog'!$J293-'ProductSprint Backlog'!$I293), AND('ProductSprint Backlog'!$J293=M$2,'ProductSprint Backlog'!$I293=M$2), 'ProductSprint Backlog'!$F293, TRUE, 0)</f>
        <v/>
      </c>
      <c r="N293" s="4" t="str" cm="1">
        <f t="array" ref="N293">_xlfn.IFS('ProductSprint Backlog'!$F293="", "", AND('ProductSprint Backlog'!$J293&gt;N$2,'ProductSprint Backlog'!$I293&lt;=N$2), 'ProductSprint Backlog'!$F293 / MAX(1, 'ProductSprint Backlog'!$J293-'ProductSprint Backlog'!$I293), AND('ProductSprint Backlog'!$J293=N$2,'ProductSprint Backlog'!$I293=N$2), 'ProductSprint Backlog'!$F293, TRUE, 0)</f>
        <v/>
      </c>
      <c r="O293" s="4" t="str" cm="1">
        <f t="array" ref="O293">_xlfn.IFS('ProductSprint Backlog'!$F293="", "", AND('ProductSprint Backlog'!$J293&gt;O$2,'ProductSprint Backlog'!$I293&lt;=O$2), 'ProductSprint Backlog'!$F293 / MAX(1, 'ProductSprint Backlog'!$J293-'ProductSprint Backlog'!$I293), AND('ProductSprint Backlog'!$J293=O$2,'ProductSprint Backlog'!$I293=O$2), 'ProductSprint Backlog'!$F293, TRUE, 0)</f>
        <v/>
      </c>
      <c r="P293" s="4" t="str" cm="1">
        <f t="array" ref="P293">_xlfn.IFS('ProductSprint Backlog'!$F293="", "", AND('ProductSprint Backlog'!$J293&gt;P$2,'ProductSprint Backlog'!$I293&lt;=P$2), 'ProductSprint Backlog'!$F293 / MAX(1, 'ProductSprint Backlog'!$J293-'ProductSprint Backlog'!$I293), AND('ProductSprint Backlog'!$J293=P$2,'ProductSprint Backlog'!$I293=P$2), 'ProductSprint Backlog'!$F293, TRUE, 0)</f>
        <v/>
      </c>
      <c r="Q293" s="4" t="str" cm="1">
        <f t="array" ref="Q293">_xlfn.IFS('ProductSprint Backlog'!$F293="", "", AND('ProductSprint Backlog'!$J293&gt;Q$2,'ProductSprint Backlog'!$I293&lt;=Q$2), 'ProductSprint Backlog'!$F293 / MAX(1, 'ProductSprint Backlog'!$J293-'ProductSprint Backlog'!$I293), AND('ProductSprint Backlog'!$J293=Q$2,'ProductSprint Backlog'!$I293=Q$2), 'ProductSprint Backlog'!$F293, TRUE, 0)</f>
        <v/>
      </c>
    </row>
    <row r="294" spans="2:17" ht="15.75" customHeight="1" x14ac:dyDescent="0.2">
      <c r="B294" s="4" t="str" cm="1">
        <f t="array" ref="B294">_xlfn.IFS('ProductSprint Backlog'!$F294="", "", AND('ProductSprint Backlog'!$J294&gt;B$2,'ProductSprint Backlog'!$I294&lt;=B$2), 'ProductSprint Backlog'!$F294 / MAX(1, 'ProductSprint Backlog'!$J294-'ProductSprint Backlog'!$I294), AND('ProductSprint Backlog'!$J294=B$2,'ProductSprint Backlog'!$I294=B$2), 'ProductSprint Backlog'!$F294, TRUE, 0)</f>
        <v/>
      </c>
      <c r="C294" s="4" t="str" cm="1">
        <f t="array" ref="C294">_xlfn.IFS('ProductSprint Backlog'!$F294="", "", AND('ProductSprint Backlog'!$J294&gt;C$2,'ProductSprint Backlog'!$I294&lt;=C$2), 'ProductSprint Backlog'!$F294 / MAX(1, 'ProductSprint Backlog'!$J294-'ProductSprint Backlog'!$I294), AND('ProductSprint Backlog'!$J294=C$2,'ProductSprint Backlog'!$I294=C$2), 'ProductSprint Backlog'!$F294, TRUE, 0)</f>
        <v/>
      </c>
      <c r="D294" s="4" t="str" cm="1">
        <f t="array" ref="D294">_xlfn.IFS('ProductSprint Backlog'!$F294="", "", AND('ProductSprint Backlog'!$J294&gt;D$2,'ProductSprint Backlog'!$I294&lt;=D$2), 'ProductSprint Backlog'!$F294 / MAX(1, 'ProductSprint Backlog'!$J294-'ProductSprint Backlog'!$I294), AND('ProductSprint Backlog'!$J294=D$2,'ProductSprint Backlog'!$I294=D$2), 'ProductSprint Backlog'!$F294, TRUE, 0)</f>
        <v/>
      </c>
      <c r="E294" s="4" t="str" cm="1">
        <f t="array" ref="E294">_xlfn.IFS('ProductSprint Backlog'!$F294="", "", AND('ProductSprint Backlog'!$J294&gt;E$2,'ProductSprint Backlog'!$I294&lt;=E$2), 'ProductSprint Backlog'!$F294 / MAX(1, 'ProductSprint Backlog'!$J294-'ProductSprint Backlog'!$I294), AND('ProductSprint Backlog'!$J294=E$2,'ProductSprint Backlog'!$I294=E$2), 'ProductSprint Backlog'!$F294, TRUE, 0)</f>
        <v/>
      </c>
      <c r="F294" s="4" t="str" cm="1">
        <f t="array" ref="F294">_xlfn.IFS('ProductSprint Backlog'!$F294="", "", AND('ProductSprint Backlog'!$J294&gt;F$2,'ProductSprint Backlog'!$I294&lt;=F$2), 'ProductSprint Backlog'!$F294 / MAX(1, 'ProductSprint Backlog'!$J294-'ProductSprint Backlog'!$I294), AND('ProductSprint Backlog'!$J294=F$2,'ProductSprint Backlog'!$I294=F$2), 'ProductSprint Backlog'!$F294, TRUE, 0)</f>
        <v/>
      </c>
      <c r="G294" s="4" t="str" cm="1">
        <f t="array" ref="G294">_xlfn.IFS('ProductSprint Backlog'!$F294="", "", AND('ProductSprint Backlog'!$J294&gt;G$2,'ProductSprint Backlog'!$I294&lt;=G$2), 'ProductSprint Backlog'!$F294 / MAX(1, 'ProductSprint Backlog'!$J294-'ProductSprint Backlog'!$I294), AND('ProductSprint Backlog'!$J294=G$2,'ProductSprint Backlog'!$I294=G$2), 'ProductSprint Backlog'!$F294, TRUE, 0)</f>
        <v/>
      </c>
      <c r="H294" s="4" t="str" cm="1">
        <f t="array" ref="H294">_xlfn.IFS('ProductSprint Backlog'!$F294="", "", AND('ProductSprint Backlog'!$J294&gt;H$2,'ProductSprint Backlog'!$I294&lt;=H$2), 'ProductSprint Backlog'!$F294 / MAX(1, 'ProductSprint Backlog'!$J294-'ProductSprint Backlog'!$I294), AND('ProductSprint Backlog'!$J294=H$2,'ProductSprint Backlog'!$I294=H$2), 'ProductSprint Backlog'!$F294, TRUE, 0)</f>
        <v/>
      </c>
      <c r="I294" s="4" t="str" cm="1">
        <f t="array" ref="I294">_xlfn.IFS('ProductSprint Backlog'!$F294="", "", AND('ProductSprint Backlog'!$J294&gt;I$2,'ProductSprint Backlog'!$I294&lt;=I$2), 'ProductSprint Backlog'!$F294 / MAX(1, 'ProductSprint Backlog'!$J294-'ProductSprint Backlog'!$I294), AND('ProductSprint Backlog'!$J294=I$2,'ProductSprint Backlog'!$I294=I$2), 'ProductSprint Backlog'!$F294, TRUE, 0)</f>
        <v/>
      </c>
      <c r="J294" s="4" t="str" cm="1">
        <f t="array" ref="J294">_xlfn.IFS('ProductSprint Backlog'!$F294="", "", AND('ProductSprint Backlog'!$J294&gt;J$2,'ProductSprint Backlog'!$I294&lt;=J$2), 'ProductSprint Backlog'!$F294 / MAX(1, 'ProductSprint Backlog'!$J294-'ProductSprint Backlog'!$I294), AND('ProductSprint Backlog'!$J294=J$2,'ProductSprint Backlog'!$I294=J$2), 'ProductSprint Backlog'!$F294, TRUE, 0)</f>
        <v/>
      </c>
      <c r="K294" s="4" t="str" cm="1">
        <f t="array" ref="K294">_xlfn.IFS('ProductSprint Backlog'!$F294="", "", AND('ProductSprint Backlog'!$J294&gt;K$2,'ProductSprint Backlog'!$I294&lt;=K$2), 'ProductSprint Backlog'!$F294 / MAX(1, 'ProductSprint Backlog'!$J294-'ProductSprint Backlog'!$I294), AND('ProductSprint Backlog'!$J294=K$2,'ProductSprint Backlog'!$I294=K$2), 'ProductSprint Backlog'!$F294, TRUE, 0)</f>
        <v/>
      </c>
      <c r="L294" s="4" t="str" cm="1">
        <f t="array" ref="L294">_xlfn.IFS('ProductSprint Backlog'!$F294="", "", AND('ProductSprint Backlog'!$J294&gt;L$2,'ProductSprint Backlog'!$I294&lt;=L$2), 'ProductSprint Backlog'!$F294 / MAX(1, 'ProductSprint Backlog'!$J294-'ProductSprint Backlog'!$I294), AND('ProductSprint Backlog'!$J294=L$2,'ProductSprint Backlog'!$I294=L$2), 'ProductSprint Backlog'!$F294, TRUE, 0)</f>
        <v/>
      </c>
      <c r="M294" s="4" t="str" cm="1">
        <f t="array" ref="M294">_xlfn.IFS('ProductSprint Backlog'!$F294="", "", AND('ProductSprint Backlog'!$J294&gt;M$2,'ProductSprint Backlog'!$I294&lt;=M$2), 'ProductSprint Backlog'!$F294 / MAX(1, 'ProductSprint Backlog'!$J294-'ProductSprint Backlog'!$I294), AND('ProductSprint Backlog'!$J294=M$2,'ProductSprint Backlog'!$I294=M$2), 'ProductSprint Backlog'!$F294, TRUE, 0)</f>
        <v/>
      </c>
      <c r="N294" s="4" t="str" cm="1">
        <f t="array" ref="N294">_xlfn.IFS('ProductSprint Backlog'!$F294="", "", AND('ProductSprint Backlog'!$J294&gt;N$2,'ProductSprint Backlog'!$I294&lt;=N$2), 'ProductSprint Backlog'!$F294 / MAX(1, 'ProductSprint Backlog'!$J294-'ProductSprint Backlog'!$I294), AND('ProductSprint Backlog'!$J294=N$2,'ProductSprint Backlog'!$I294=N$2), 'ProductSprint Backlog'!$F294, TRUE, 0)</f>
        <v/>
      </c>
      <c r="O294" s="4" t="str" cm="1">
        <f t="array" ref="O294">_xlfn.IFS('ProductSprint Backlog'!$F294="", "", AND('ProductSprint Backlog'!$J294&gt;O$2,'ProductSprint Backlog'!$I294&lt;=O$2), 'ProductSprint Backlog'!$F294 / MAX(1, 'ProductSprint Backlog'!$J294-'ProductSprint Backlog'!$I294), AND('ProductSprint Backlog'!$J294=O$2,'ProductSprint Backlog'!$I294=O$2), 'ProductSprint Backlog'!$F294, TRUE, 0)</f>
        <v/>
      </c>
      <c r="P294" s="4" t="str" cm="1">
        <f t="array" ref="P294">_xlfn.IFS('ProductSprint Backlog'!$F294="", "", AND('ProductSprint Backlog'!$J294&gt;P$2,'ProductSprint Backlog'!$I294&lt;=P$2), 'ProductSprint Backlog'!$F294 / MAX(1, 'ProductSprint Backlog'!$J294-'ProductSprint Backlog'!$I294), AND('ProductSprint Backlog'!$J294=P$2,'ProductSprint Backlog'!$I294=P$2), 'ProductSprint Backlog'!$F294, TRUE, 0)</f>
        <v/>
      </c>
      <c r="Q294" s="4" t="str" cm="1">
        <f t="array" ref="Q294">_xlfn.IFS('ProductSprint Backlog'!$F294="", "", AND('ProductSprint Backlog'!$J294&gt;Q$2,'ProductSprint Backlog'!$I294&lt;=Q$2), 'ProductSprint Backlog'!$F294 / MAX(1, 'ProductSprint Backlog'!$J294-'ProductSprint Backlog'!$I294), AND('ProductSprint Backlog'!$J294=Q$2,'ProductSprint Backlog'!$I294=Q$2), 'ProductSprint Backlog'!$F294, TRUE, 0)</f>
        <v/>
      </c>
    </row>
    <row r="295" spans="2:17" ht="15.75" customHeight="1" x14ac:dyDescent="0.2">
      <c r="B295" s="4" t="str" cm="1">
        <f t="array" ref="B295">_xlfn.IFS('ProductSprint Backlog'!$F295="", "", AND('ProductSprint Backlog'!$J295&gt;B$2,'ProductSprint Backlog'!$I295&lt;=B$2), 'ProductSprint Backlog'!$F295 / MAX(1, 'ProductSprint Backlog'!$J295-'ProductSprint Backlog'!$I295), AND('ProductSprint Backlog'!$J295=B$2,'ProductSprint Backlog'!$I295=B$2), 'ProductSprint Backlog'!$F295, TRUE, 0)</f>
        <v/>
      </c>
      <c r="C295" s="4" t="str" cm="1">
        <f t="array" ref="C295">_xlfn.IFS('ProductSprint Backlog'!$F295="", "", AND('ProductSprint Backlog'!$J295&gt;C$2,'ProductSprint Backlog'!$I295&lt;=C$2), 'ProductSprint Backlog'!$F295 / MAX(1, 'ProductSprint Backlog'!$J295-'ProductSprint Backlog'!$I295), AND('ProductSprint Backlog'!$J295=C$2,'ProductSprint Backlog'!$I295=C$2), 'ProductSprint Backlog'!$F295, TRUE, 0)</f>
        <v/>
      </c>
      <c r="D295" s="4" t="str" cm="1">
        <f t="array" ref="D295">_xlfn.IFS('ProductSprint Backlog'!$F295="", "", AND('ProductSprint Backlog'!$J295&gt;D$2,'ProductSprint Backlog'!$I295&lt;=D$2), 'ProductSprint Backlog'!$F295 / MAX(1, 'ProductSprint Backlog'!$J295-'ProductSprint Backlog'!$I295), AND('ProductSprint Backlog'!$J295=D$2,'ProductSprint Backlog'!$I295=D$2), 'ProductSprint Backlog'!$F295, TRUE, 0)</f>
        <v/>
      </c>
      <c r="E295" s="4" t="str" cm="1">
        <f t="array" ref="E295">_xlfn.IFS('ProductSprint Backlog'!$F295="", "", AND('ProductSprint Backlog'!$J295&gt;E$2,'ProductSprint Backlog'!$I295&lt;=E$2), 'ProductSprint Backlog'!$F295 / MAX(1, 'ProductSprint Backlog'!$J295-'ProductSprint Backlog'!$I295), AND('ProductSprint Backlog'!$J295=E$2,'ProductSprint Backlog'!$I295=E$2), 'ProductSprint Backlog'!$F295, TRUE, 0)</f>
        <v/>
      </c>
      <c r="F295" s="4" t="str" cm="1">
        <f t="array" ref="F295">_xlfn.IFS('ProductSprint Backlog'!$F295="", "", AND('ProductSprint Backlog'!$J295&gt;F$2,'ProductSprint Backlog'!$I295&lt;=F$2), 'ProductSprint Backlog'!$F295 / MAX(1, 'ProductSprint Backlog'!$J295-'ProductSprint Backlog'!$I295), AND('ProductSprint Backlog'!$J295=F$2,'ProductSprint Backlog'!$I295=F$2), 'ProductSprint Backlog'!$F295, TRUE, 0)</f>
        <v/>
      </c>
      <c r="G295" s="4" t="str" cm="1">
        <f t="array" ref="G295">_xlfn.IFS('ProductSprint Backlog'!$F295="", "", AND('ProductSprint Backlog'!$J295&gt;G$2,'ProductSprint Backlog'!$I295&lt;=G$2), 'ProductSprint Backlog'!$F295 / MAX(1, 'ProductSprint Backlog'!$J295-'ProductSprint Backlog'!$I295), AND('ProductSprint Backlog'!$J295=G$2,'ProductSprint Backlog'!$I295=G$2), 'ProductSprint Backlog'!$F295, TRUE, 0)</f>
        <v/>
      </c>
      <c r="H295" s="4" t="str" cm="1">
        <f t="array" ref="H295">_xlfn.IFS('ProductSprint Backlog'!$F295="", "", AND('ProductSprint Backlog'!$J295&gt;H$2,'ProductSprint Backlog'!$I295&lt;=H$2), 'ProductSprint Backlog'!$F295 / MAX(1, 'ProductSprint Backlog'!$J295-'ProductSprint Backlog'!$I295), AND('ProductSprint Backlog'!$J295=H$2,'ProductSprint Backlog'!$I295=H$2), 'ProductSprint Backlog'!$F295, TRUE, 0)</f>
        <v/>
      </c>
      <c r="I295" s="4" t="str" cm="1">
        <f t="array" ref="I295">_xlfn.IFS('ProductSprint Backlog'!$F295="", "", AND('ProductSprint Backlog'!$J295&gt;I$2,'ProductSprint Backlog'!$I295&lt;=I$2), 'ProductSprint Backlog'!$F295 / MAX(1, 'ProductSprint Backlog'!$J295-'ProductSprint Backlog'!$I295), AND('ProductSprint Backlog'!$J295=I$2,'ProductSprint Backlog'!$I295=I$2), 'ProductSprint Backlog'!$F295, TRUE, 0)</f>
        <v/>
      </c>
      <c r="J295" s="4" t="str" cm="1">
        <f t="array" ref="J295">_xlfn.IFS('ProductSprint Backlog'!$F295="", "", AND('ProductSprint Backlog'!$J295&gt;J$2,'ProductSprint Backlog'!$I295&lt;=J$2), 'ProductSprint Backlog'!$F295 / MAX(1, 'ProductSprint Backlog'!$J295-'ProductSprint Backlog'!$I295), AND('ProductSprint Backlog'!$J295=J$2,'ProductSprint Backlog'!$I295=J$2), 'ProductSprint Backlog'!$F295, TRUE, 0)</f>
        <v/>
      </c>
      <c r="K295" s="4" t="str" cm="1">
        <f t="array" ref="K295">_xlfn.IFS('ProductSprint Backlog'!$F295="", "", AND('ProductSprint Backlog'!$J295&gt;K$2,'ProductSprint Backlog'!$I295&lt;=K$2), 'ProductSprint Backlog'!$F295 / MAX(1, 'ProductSprint Backlog'!$J295-'ProductSprint Backlog'!$I295), AND('ProductSprint Backlog'!$J295=K$2,'ProductSprint Backlog'!$I295=K$2), 'ProductSprint Backlog'!$F295, TRUE, 0)</f>
        <v/>
      </c>
      <c r="L295" s="4" t="str" cm="1">
        <f t="array" ref="L295">_xlfn.IFS('ProductSprint Backlog'!$F295="", "", AND('ProductSprint Backlog'!$J295&gt;L$2,'ProductSprint Backlog'!$I295&lt;=L$2), 'ProductSprint Backlog'!$F295 / MAX(1, 'ProductSprint Backlog'!$J295-'ProductSprint Backlog'!$I295), AND('ProductSprint Backlog'!$J295=L$2,'ProductSprint Backlog'!$I295=L$2), 'ProductSprint Backlog'!$F295, TRUE, 0)</f>
        <v/>
      </c>
      <c r="M295" s="4" t="str" cm="1">
        <f t="array" ref="M295">_xlfn.IFS('ProductSprint Backlog'!$F295="", "", AND('ProductSprint Backlog'!$J295&gt;M$2,'ProductSprint Backlog'!$I295&lt;=M$2), 'ProductSprint Backlog'!$F295 / MAX(1, 'ProductSprint Backlog'!$J295-'ProductSprint Backlog'!$I295), AND('ProductSprint Backlog'!$J295=M$2,'ProductSprint Backlog'!$I295=M$2), 'ProductSprint Backlog'!$F295, TRUE, 0)</f>
        <v/>
      </c>
      <c r="N295" s="4" t="str" cm="1">
        <f t="array" ref="N295">_xlfn.IFS('ProductSprint Backlog'!$F295="", "", AND('ProductSprint Backlog'!$J295&gt;N$2,'ProductSprint Backlog'!$I295&lt;=N$2), 'ProductSprint Backlog'!$F295 / MAX(1, 'ProductSprint Backlog'!$J295-'ProductSprint Backlog'!$I295), AND('ProductSprint Backlog'!$J295=N$2,'ProductSprint Backlog'!$I295=N$2), 'ProductSprint Backlog'!$F295, TRUE, 0)</f>
        <v/>
      </c>
      <c r="O295" s="4" t="str" cm="1">
        <f t="array" ref="O295">_xlfn.IFS('ProductSprint Backlog'!$F295="", "", AND('ProductSprint Backlog'!$J295&gt;O$2,'ProductSprint Backlog'!$I295&lt;=O$2), 'ProductSprint Backlog'!$F295 / MAX(1, 'ProductSprint Backlog'!$J295-'ProductSprint Backlog'!$I295), AND('ProductSprint Backlog'!$J295=O$2,'ProductSprint Backlog'!$I295=O$2), 'ProductSprint Backlog'!$F295, TRUE, 0)</f>
        <v/>
      </c>
      <c r="P295" s="4" t="str" cm="1">
        <f t="array" ref="P295">_xlfn.IFS('ProductSprint Backlog'!$F295="", "", AND('ProductSprint Backlog'!$J295&gt;P$2,'ProductSprint Backlog'!$I295&lt;=P$2), 'ProductSprint Backlog'!$F295 / MAX(1, 'ProductSprint Backlog'!$J295-'ProductSprint Backlog'!$I295), AND('ProductSprint Backlog'!$J295=P$2,'ProductSprint Backlog'!$I295=P$2), 'ProductSprint Backlog'!$F295, TRUE, 0)</f>
        <v/>
      </c>
      <c r="Q295" s="4" t="str" cm="1">
        <f t="array" ref="Q295">_xlfn.IFS('ProductSprint Backlog'!$F295="", "", AND('ProductSprint Backlog'!$J295&gt;Q$2,'ProductSprint Backlog'!$I295&lt;=Q$2), 'ProductSprint Backlog'!$F295 / MAX(1, 'ProductSprint Backlog'!$J295-'ProductSprint Backlog'!$I295), AND('ProductSprint Backlog'!$J295=Q$2,'ProductSprint Backlog'!$I295=Q$2), 'ProductSprint Backlog'!$F295, TRUE, 0)</f>
        <v/>
      </c>
    </row>
    <row r="296" spans="2:17" ht="15.75" customHeight="1" x14ac:dyDescent="0.2">
      <c r="B296" s="4" t="str" cm="1">
        <f t="array" ref="B296">_xlfn.IFS('ProductSprint Backlog'!$F296="", "", AND('ProductSprint Backlog'!$J296&gt;B$2,'ProductSprint Backlog'!$I296&lt;=B$2), 'ProductSprint Backlog'!$F296 / MAX(1, 'ProductSprint Backlog'!$J296-'ProductSprint Backlog'!$I296), AND('ProductSprint Backlog'!$J296=B$2,'ProductSprint Backlog'!$I296=B$2), 'ProductSprint Backlog'!$F296, TRUE, 0)</f>
        <v/>
      </c>
      <c r="C296" s="4" t="str" cm="1">
        <f t="array" ref="C296">_xlfn.IFS('ProductSprint Backlog'!$F296="", "", AND('ProductSprint Backlog'!$J296&gt;C$2,'ProductSprint Backlog'!$I296&lt;=C$2), 'ProductSprint Backlog'!$F296 / MAX(1, 'ProductSprint Backlog'!$J296-'ProductSprint Backlog'!$I296), AND('ProductSprint Backlog'!$J296=C$2,'ProductSprint Backlog'!$I296=C$2), 'ProductSprint Backlog'!$F296, TRUE, 0)</f>
        <v/>
      </c>
      <c r="D296" s="4" t="str" cm="1">
        <f t="array" ref="D296">_xlfn.IFS('ProductSprint Backlog'!$F296="", "", AND('ProductSprint Backlog'!$J296&gt;D$2,'ProductSprint Backlog'!$I296&lt;=D$2), 'ProductSprint Backlog'!$F296 / MAX(1, 'ProductSprint Backlog'!$J296-'ProductSprint Backlog'!$I296), AND('ProductSprint Backlog'!$J296=D$2,'ProductSprint Backlog'!$I296=D$2), 'ProductSprint Backlog'!$F296, TRUE, 0)</f>
        <v/>
      </c>
      <c r="E296" s="4" t="str" cm="1">
        <f t="array" ref="E296">_xlfn.IFS('ProductSprint Backlog'!$F296="", "", AND('ProductSprint Backlog'!$J296&gt;E$2,'ProductSprint Backlog'!$I296&lt;=E$2), 'ProductSprint Backlog'!$F296 / MAX(1, 'ProductSprint Backlog'!$J296-'ProductSprint Backlog'!$I296), AND('ProductSprint Backlog'!$J296=E$2,'ProductSprint Backlog'!$I296=E$2), 'ProductSprint Backlog'!$F296, TRUE, 0)</f>
        <v/>
      </c>
      <c r="F296" s="4" t="str" cm="1">
        <f t="array" ref="F296">_xlfn.IFS('ProductSprint Backlog'!$F296="", "", AND('ProductSprint Backlog'!$J296&gt;F$2,'ProductSprint Backlog'!$I296&lt;=F$2), 'ProductSprint Backlog'!$F296 / MAX(1, 'ProductSprint Backlog'!$J296-'ProductSprint Backlog'!$I296), AND('ProductSprint Backlog'!$J296=F$2,'ProductSprint Backlog'!$I296=F$2), 'ProductSprint Backlog'!$F296, TRUE, 0)</f>
        <v/>
      </c>
      <c r="G296" s="4" t="str" cm="1">
        <f t="array" ref="G296">_xlfn.IFS('ProductSprint Backlog'!$F296="", "", AND('ProductSprint Backlog'!$J296&gt;G$2,'ProductSprint Backlog'!$I296&lt;=G$2), 'ProductSprint Backlog'!$F296 / MAX(1, 'ProductSprint Backlog'!$J296-'ProductSprint Backlog'!$I296), AND('ProductSprint Backlog'!$J296=G$2,'ProductSprint Backlog'!$I296=G$2), 'ProductSprint Backlog'!$F296, TRUE, 0)</f>
        <v/>
      </c>
      <c r="H296" s="4" t="str" cm="1">
        <f t="array" ref="H296">_xlfn.IFS('ProductSprint Backlog'!$F296="", "", AND('ProductSprint Backlog'!$J296&gt;H$2,'ProductSprint Backlog'!$I296&lt;=H$2), 'ProductSprint Backlog'!$F296 / MAX(1, 'ProductSprint Backlog'!$J296-'ProductSprint Backlog'!$I296), AND('ProductSprint Backlog'!$J296=H$2,'ProductSprint Backlog'!$I296=H$2), 'ProductSprint Backlog'!$F296, TRUE, 0)</f>
        <v/>
      </c>
      <c r="I296" s="4" t="str" cm="1">
        <f t="array" ref="I296">_xlfn.IFS('ProductSprint Backlog'!$F296="", "", AND('ProductSprint Backlog'!$J296&gt;I$2,'ProductSprint Backlog'!$I296&lt;=I$2), 'ProductSprint Backlog'!$F296 / MAX(1, 'ProductSprint Backlog'!$J296-'ProductSprint Backlog'!$I296), AND('ProductSprint Backlog'!$J296=I$2,'ProductSprint Backlog'!$I296=I$2), 'ProductSprint Backlog'!$F296, TRUE, 0)</f>
        <v/>
      </c>
      <c r="J296" s="4" t="str" cm="1">
        <f t="array" ref="J296">_xlfn.IFS('ProductSprint Backlog'!$F296="", "", AND('ProductSprint Backlog'!$J296&gt;J$2,'ProductSprint Backlog'!$I296&lt;=J$2), 'ProductSprint Backlog'!$F296 / MAX(1, 'ProductSprint Backlog'!$J296-'ProductSprint Backlog'!$I296), AND('ProductSprint Backlog'!$J296=J$2,'ProductSprint Backlog'!$I296=J$2), 'ProductSprint Backlog'!$F296, TRUE, 0)</f>
        <v/>
      </c>
      <c r="K296" s="4" t="str" cm="1">
        <f t="array" ref="K296">_xlfn.IFS('ProductSprint Backlog'!$F296="", "", AND('ProductSprint Backlog'!$J296&gt;K$2,'ProductSprint Backlog'!$I296&lt;=K$2), 'ProductSprint Backlog'!$F296 / MAX(1, 'ProductSprint Backlog'!$J296-'ProductSprint Backlog'!$I296), AND('ProductSprint Backlog'!$J296=K$2,'ProductSprint Backlog'!$I296=K$2), 'ProductSprint Backlog'!$F296, TRUE, 0)</f>
        <v/>
      </c>
      <c r="L296" s="4" t="str" cm="1">
        <f t="array" ref="L296">_xlfn.IFS('ProductSprint Backlog'!$F296="", "", AND('ProductSprint Backlog'!$J296&gt;L$2,'ProductSprint Backlog'!$I296&lt;=L$2), 'ProductSprint Backlog'!$F296 / MAX(1, 'ProductSprint Backlog'!$J296-'ProductSprint Backlog'!$I296), AND('ProductSprint Backlog'!$J296=L$2,'ProductSprint Backlog'!$I296=L$2), 'ProductSprint Backlog'!$F296, TRUE, 0)</f>
        <v/>
      </c>
      <c r="M296" s="4" t="str" cm="1">
        <f t="array" ref="M296">_xlfn.IFS('ProductSprint Backlog'!$F296="", "", AND('ProductSprint Backlog'!$J296&gt;M$2,'ProductSprint Backlog'!$I296&lt;=M$2), 'ProductSprint Backlog'!$F296 / MAX(1, 'ProductSprint Backlog'!$J296-'ProductSprint Backlog'!$I296), AND('ProductSprint Backlog'!$J296=M$2,'ProductSprint Backlog'!$I296=M$2), 'ProductSprint Backlog'!$F296, TRUE, 0)</f>
        <v/>
      </c>
      <c r="N296" s="4" t="str" cm="1">
        <f t="array" ref="N296">_xlfn.IFS('ProductSprint Backlog'!$F296="", "", AND('ProductSprint Backlog'!$J296&gt;N$2,'ProductSprint Backlog'!$I296&lt;=N$2), 'ProductSprint Backlog'!$F296 / MAX(1, 'ProductSprint Backlog'!$J296-'ProductSprint Backlog'!$I296), AND('ProductSprint Backlog'!$J296=N$2,'ProductSprint Backlog'!$I296=N$2), 'ProductSprint Backlog'!$F296, TRUE, 0)</f>
        <v/>
      </c>
      <c r="O296" s="4" t="str" cm="1">
        <f t="array" ref="O296">_xlfn.IFS('ProductSprint Backlog'!$F296="", "", AND('ProductSprint Backlog'!$J296&gt;O$2,'ProductSprint Backlog'!$I296&lt;=O$2), 'ProductSprint Backlog'!$F296 / MAX(1, 'ProductSprint Backlog'!$J296-'ProductSprint Backlog'!$I296), AND('ProductSprint Backlog'!$J296=O$2,'ProductSprint Backlog'!$I296=O$2), 'ProductSprint Backlog'!$F296, TRUE, 0)</f>
        <v/>
      </c>
      <c r="P296" s="4" t="str" cm="1">
        <f t="array" ref="P296">_xlfn.IFS('ProductSprint Backlog'!$F296="", "", AND('ProductSprint Backlog'!$J296&gt;P$2,'ProductSprint Backlog'!$I296&lt;=P$2), 'ProductSprint Backlog'!$F296 / MAX(1, 'ProductSprint Backlog'!$J296-'ProductSprint Backlog'!$I296), AND('ProductSprint Backlog'!$J296=P$2,'ProductSprint Backlog'!$I296=P$2), 'ProductSprint Backlog'!$F296, TRUE, 0)</f>
        <v/>
      </c>
      <c r="Q296" s="4" t="str" cm="1">
        <f t="array" ref="Q296">_xlfn.IFS('ProductSprint Backlog'!$F296="", "", AND('ProductSprint Backlog'!$J296&gt;Q$2,'ProductSprint Backlog'!$I296&lt;=Q$2), 'ProductSprint Backlog'!$F296 / MAX(1, 'ProductSprint Backlog'!$J296-'ProductSprint Backlog'!$I296), AND('ProductSprint Backlog'!$J296=Q$2,'ProductSprint Backlog'!$I296=Q$2), 'ProductSprint Backlog'!$F296, TRUE, 0)</f>
        <v/>
      </c>
    </row>
    <row r="297" spans="2:17" ht="15.75" customHeight="1" x14ac:dyDescent="0.2">
      <c r="B297" s="4" t="str" cm="1">
        <f t="array" ref="B297">_xlfn.IFS('ProductSprint Backlog'!$F297="", "", AND('ProductSprint Backlog'!$J297&gt;B$2,'ProductSprint Backlog'!$I297&lt;=B$2), 'ProductSprint Backlog'!$F297 / MAX(1, 'ProductSprint Backlog'!$J297-'ProductSprint Backlog'!$I297), AND('ProductSprint Backlog'!$J297=B$2,'ProductSprint Backlog'!$I297=B$2), 'ProductSprint Backlog'!$F297, TRUE, 0)</f>
        <v/>
      </c>
      <c r="C297" s="4" t="str" cm="1">
        <f t="array" ref="C297">_xlfn.IFS('ProductSprint Backlog'!$F297="", "", AND('ProductSprint Backlog'!$J297&gt;C$2,'ProductSprint Backlog'!$I297&lt;=C$2), 'ProductSprint Backlog'!$F297 / MAX(1, 'ProductSprint Backlog'!$J297-'ProductSprint Backlog'!$I297), AND('ProductSprint Backlog'!$J297=C$2,'ProductSprint Backlog'!$I297=C$2), 'ProductSprint Backlog'!$F297, TRUE, 0)</f>
        <v/>
      </c>
      <c r="D297" s="4" t="str" cm="1">
        <f t="array" ref="D297">_xlfn.IFS('ProductSprint Backlog'!$F297="", "", AND('ProductSprint Backlog'!$J297&gt;D$2,'ProductSprint Backlog'!$I297&lt;=D$2), 'ProductSprint Backlog'!$F297 / MAX(1, 'ProductSprint Backlog'!$J297-'ProductSprint Backlog'!$I297), AND('ProductSprint Backlog'!$J297=D$2,'ProductSprint Backlog'!$I297=D$2), 'ProductSprint Backlog'!$F297, TRUE, 0)</f>
        <v/>
      </c>
      <c r="E297" s="4" t="str" cm="1">
        <f t="array" ref="E297">_xlfn.IFS('ProductSprint Backlog'!$F297="", "", AND('ProductSprint Backlog'!$J297&gt;E$2,'ProductSprint Backlog'!$I297&lt;=E$2), 'ProductSprint Backlog'!$F297 / MAX(1, 'ProductSprint Backlog'!$J297-'ProductSprint Backlog'!$I297), AND('ProductSprint Backlog'!$J297=E$2,'ProductSprint Backlog'!$I297=E$2), 'ProductSprint Backlog'!$F297, TRUE, 0)</f>
        <v/>
      </c>
      <c r="F297" s="4" t="str" cm="1">
        <f t="array" ref="F297">_xlfn.IFS('ProductSprint Backlog'!$F297="", "", AND('ProductSprint Backlog'!$J297&gt;F$2,'ProductSprint Backlog'!$I297&lt;=F$2), 'ProductSprint Backlog'!$F297 / MAX(1, 'ProductSprint Backlog'!$J297-'ProductSprint Backlog'!$I297), AND('ProductSprint Backlog'!$J297=F$2,'ProductSprint Backlog'!$I297=F$2), 'ProductSprint Backlog'!$F297, TRUE, 0)</f>
        <v/>
      </c>
      <c r="G297" s="4" t="str" cm="1">
        <f t="array" ref="G297">_xlfn.IFS('ProductSprint Backlog'!$F297="", "", AND('ProductSprint Backlog'!$J297&gt;G$2,'ProductSprint Backlog'!$I297&lt;=G$2), 'ProductSprint Backlog'!$F297 / MAX(1, 'ProductSprint Backlog'!$J297-'ProductSprint Backlog'!$I297), AND('ProductSprint Backlog'!$J297=G$2,'ProductSprint Backlog'!$I297=G$2), 'ProductSprint Backlog'!$F297, TRUE, 0)</f>
        <v/>
      </c>
      <c r="H297" s="4" t="str" cm="1">
        <f t="array" ref="H297">_xlfn.IFS('ProductSprint Backlog'!$F297="", "", AND('ProductSprint Backlog'!$J297&gt;H$2,'ProductSprint Backlog'!$I297&lt;=H$2), 'ProductSprint Backlog'!$F297 / MAX(1, 'ProductSprint Backlog'!$J297-'ProductSprint Backlog'!$I297), AND('ProductSprint Backlog'!$J297=H$2,'ProductSprint Backlog'!$I297=H$2), 'ProductSprint Backlog'!$F297, TRUE, 0)</f>
        <v/>
      </c>
      <c r="I297" s="4" t="str" cm="1">
        <f t="array" ref="I297">_xlfn.IFS('ProductSprint Backlog'!$F297="", "", AND('ProductSprint Backlog'!$J297&gt;I$2,'ProductSprint Backlog'!$I297&lt;=I$2), 'ProductSprint Backlog'!$F297 / MAX(1, 'ProductSprint Backlog'!$J297-'ProductSprint Backlog'!$I297), AND('ProductSprint Backlog'!$J297=I$2,'ProductSprint Backlog'!$I297=I$2), 'ProductSprint Backlog'!$F297, TRUE, 0)</f>
        <v/>
      </c>
      <c r="J297" s="4" t="str" cm="1">
        <f t="array" ref="J297">_xlfn.IFS('ProductSprint Backlog'!$F297="", "", AND('ProductSprint Backlog'!$J297&gt;J$2,'ProductSprint Backlog'!$I297&lt;=J$2), 'ProductSprint Backlog'!$F297 / MAX(1, 'ProductSprint Backlog'!$J297-'ProductSprint Backlog'!$I297), AND('ProductSprint Backlog'!$J297=J$2,'ProductSprint Backlog'!$I297=J$2), 'ProductSprint Backlog'!$F297, TRUE, 0)</f>
        <v/>
      </c>
      <c r="K297" s="4" t="str" cm="1">
        <f t="array" ref="K297">_xlfn.IFS('ProductSprint Backlog'!$F297="", "", AND('ProductSprint Backlog'!$J297&gt;K$2,'ProductSprint Backlog'!$I297&lt;=K$2), 'ProductSprint Backlog'!$F297 / MAX(1, 'ProductSprint Backlog'!$J297-'ProductSprint Backlog'!$I297), AND('ProductSprint Backlog'!$J297=K$2,'ProductSprint Backlog'!$I297=K$2), 'ProductSprint Backlog'!$F297, TRUE, 0)</f>
        <v/>
      </c>
      <c r="L297" s="4" t="str" cm="1">
        <f t="array" ref="L297">_xlfn.IFS('ProductSprint Backlog'!$F297="", "", AND('ProductSprint Backlog'!$J297&gt;L$2,'ProductSprint Backlog'!$I297&lt;=L$2), 'ProductSprint Backlog'!$F297 / MAX(1, 'ProductSprint Backlog'!$J297-'ProductSprint Backlog'!$I297), AND('ProductSprint Backlog'!$J297=L$2,'ProductSprint Backlog'!$I297=L$2), 'ProductSprint Backlog'!$F297, TRUE, 0)</f>
        <v/>
      </c>
      <c r="M297" s="4" t="str" cm="1">
        <f t="array" ref="M297">_xlfn.IFS('ProductSprint Backlog'!$F297="", "", AND('ProductSprint Backlog'!$J297&gt;M$2,'ProductSprint Backlog'!$I297&lt;=M$2), 'ProductSprint Backlog'!$F297 / MAX(1, 'ProductSprint Backlog'!$J297-'ProductSprint Backlog'!$I297), AND('ProductSprint Backlog'!$J297=M$2,'ProductSprint Backlog'!$I297=M$2), 'ProductSprint Backlog'!$F297, TRUE, 0)</f>
        <v/>
      </c>
      <c r="N297" s="4" t="str" cm="1">
        <f t="array" ref="N297">_xlfn.IFS('ProductSprint Backlog'!$F297="", "", AND('ProductSprint Backlog'!$J297&gt;N$2,'ProductSprint Backlog'!$I297&lt;=N$2), 'ProductSprint Backlog'!$F297 / MAX(1, 'ProductSprint Backlog'!$J297-'ProductSprint Backlog'!$I297), AND('ProductSprint Backlog'!$J297=N$2,'ProductSprint Backlog'!$I297=N$2), 'ProductSprint Backlog'!$F297, TRUE, 0)</f>
        <v/>
      </c>
      <c r="O297" s="4" t="str" cm="1">
        <f t="array" ref="O297">_xlfn.IFS('ProductSprint Backlog'!$F297="", "", AND('ProductSprint Backlog'!$J297&gt;O$2,'ProductSprint Backlog'!$I297&lt;=O$2), 'ProductSprint Backlog'!$F297 / MAX(1, 'ProductSprint Backlog'!$J297-'ProductSprint Backlog'!$I297), AND('ProductSprint Backlog'!$J297=O$2,'ProductSprint Backlog'!$I297=O$2), 'ProductSprint Backlog'!$F297, TRUE, 0)</f>
        <v/>
      </c>
      <c r="P297" s="4" t="str" cm="1">
        <f t="array" ref="P297">_xlfn.IFS('ProductSprint Backlog'!$F297="", "", AND('ProductSprint Backlog'!$J297&gt;P$2,'ProductSprint Backlog'!$I297&lt;=P$2), 'ProductSprint Backlog'!$F297 / MAX(1, 'ProductSprint Backlog'!$J297-'ProductSprint Backlog'!$I297), AND('ProductSprint Backlog'!$J297=P$2,'ProductSprint Backlog'!$I297=P$2), 'ProductSprint Backlog'!$F297, TRUE, 0)</f>
        <v/>
      </c>
      <c r="Q297" s="4" t="str" cm="1">
        <f t="array" ref="Q297">_xlfn.IFS('ProductSprint Backlog'!$F297="", "", AND('ProductSprint Backlog'!$J297&gt;Q$2,'ProductSprint Backlog'!$I297&lt;=Q$2), 'ProductSprint Backlog'!$F297 / MAX(1, 'ProductSprint Backlog'!$J297-'ProductSprint Backlog'!$I297), AND('ProductSprint Backlog'!$J297=Q$2,'ProductSprint Backlog'!$I297=Q$2), 'ProductSprint Backlog'!$F297, TRUE, 0)</f>
        <v/>
      </c>
    </row>
    <row r="298" spans="2:17" ht="15.75" customHeight="1" x14ac:dyDescent="0.2">
      <c r="B298" s="4" t="str" cm="1">
        <f t="array" ref="B298">_xlfn.IFS('ProductSprint Backlog'!$F298="", "", AND('ProductSprint Backlog'!$J298&gt;B$2,'ProductSprint Backlog'!$I298&lt;=B$2), 'ProductSprint Backlog'!$F298 / MAX(1, 'ProductSprint Backlog'!$J298-'ProductSprint Backlog'!$I298), AND('ProductSprint Backlog'!$J298=B$2,'ProductSprint Backlog'!$I298=B$2), 'ProductSprint Backlog'!$F298, TRUE, 0)</f>
        <v/>
      </c>
      <c r="C298" s="4" t="str" cm="1">
        <f t="array" ref="C298">_xlfn.IFS('ProductSprint Backlog'!$F298="", "", AND('ProductSprint Backlog'!$J298&gt;C$2,'ProductSprint Backlog'!$I298&lt;=C$2), 'ProductSprint Backlog'!$F298 / MAX(1, 'ProductSprint Backlog'!$J298-'ProductSprint Backlog'!$I298), AND('ProductSprint Backlog'!$J298=C$2,'ProductSprint Backlog'!$I298=C$2), 'ProductSprint Backlog'!$F298, TRUE, 0)</f>
        <v/>
      </c>
      <c r="D298" s="4" t="str" cm="1">
        <f t="array" ref="D298">_xlfn.IFS('ProductSprint Backlog'!$F298="", "", AND('ProductSprint Backlog'!$J298&gt;D$2,'ProductSprint Backlog'!$I298&lt;=D$2), 'ProductSprint Backlog'!$F298 / MAX(1, 'ProductSprint Backlog'!$J298-'ProductSprint Backlog'!$I298), AND('ProductSprint Backlog'!$J298=D$2,'ProductSprint Backlog'!$I298=D$2), 'ProductSprint Backlog'!$F298, TRUE, 0)</f>
        <v/>
      </c>
      <c r="E298" s="4" t="str" cm="1">
        <f t="array" ref="E298">_xlfn.IFS('ProductSprint Backlog'!$F298="", "", AND('ProductSprint Backlog'!$J298&gt;E$2,'ProductSprint Backlog'!$I298&lt;=E$2), 'ProductSprint Backlog'!$F298 / MAX(1, 'ProductSprint Backlog'!$J298-'ProductSprint Backlog'!$I298), AND('ProductSprint Backlog'!$J298=E$2,'ProductSprint Backlog'!$I298=E$2), 'ProductSprint Backlog'!$F298, TRUE, 0)</f>
        <v/>
      </c>
      <c r="F298" s="4" t="str" cm="1">
        <f t="array" ref="F298">_xlfn.IFS('ProductSprint Backlog'!$F298="", "", AND('ProductSprint Backlog'!$J298&gt;F$2,'ProductSprint Backlog'!$I298&lt;=F$2), 'ProductSprint Backlog'!$F298 / MAX(1, 'ProductSprint Backlog'!$J298-'ProductSprint Backlog'!$I298), AND('ProductSprint Backlog'!$J298=F$2,'ProductSprint Backlog'!$I298=F$2), 'ProductSprint Backlog'!$F298, TRUE, 0)</f>
        <v/>
      </c>
      <c r="G298" s="4" t="str" cm="1">
        <f t="array" ref="G298">_xlfn.IFS('ProductSprint Backlog'!$F298="", "", AND('ProductSprint Backlog'!$J298&gt;G$2,'ProductSprint Backlog'!$I298&lt;=G$2), 'ProductSprint Backlog'!$F298 / MAX(1, 'ProductSprint Backlog'!$J298-'ProductSprint Backlog'!$I298), AND('ProductSprint Backlog'!$J298=G$2,'ProductSprint Backlog'!$I298=G$2), 'ProductSprint Backlog'!$F298, TRUE, 0)</f>
        <v/>
      </c>
      <c r="H298" s="4" t="str" cm="1">
        <f t="array" ref="H298">_xlfn.IFS('ProductSprint Backlog'!$F298="", "", AND('ProductSprint Backlog'!$J298&gt;H$2,'ProductSprint Backlog'!$I298&lt;=H$2), 'ProductSprint Backlog'!$F298 / MAX(1, 'ProductSprint Backlog'!$J298-'ProductSprint Backlog'!$I298), AND('ProductSprint Backlog'!$J298=H$2,'ProductSprint Backlog'!$I298=H$2), 'ProductSprint Backlog'!$F298, TRUE, 0)</f>
        <v/>
      </c>
      <c r="I298" s="4" t="str" cm="1">
        <f t="array" ref="I298">_xlfn.IFS('ProductSprint Backlog'!$F298="", "", AND('ProductSprint Backlog'!$J298&gt;I$2,'ProductSprint Backlog'!$I298&lt;=I$2), 'ProductSprint Backlog'!$F298 / MAX(1, 'ProductSprint Backlog'!$J298-'ProductSprint Backlog'!$I298), AND('ProductSprint Backlog'!$J298=I$2,'ProductSprint Backlog'!$I298=I$2), 'ProductSprint Backlog'!$F298, TRUE, 0)</f>
        <v/>
      </c>
      <c r="J298" s="4" t="str" cm="1">
        <f t="array" ref="J298">_xlfn.IFS('ProductSprint Backlog'!$F298="", "", AND('ProductSprint Backlog'!$J298&gt;J$2,'ProductSprint Backlog'!$I298&lt;=J$2), 'ProductSprint Backlog'!$F298 / MAX(1, 'ProductSprint Backlog'!$J298-'ProductSprint Backlog'!$I298), AND('ProductSprint Backlog'!$J298=J$2,'ProductSprint Backlog'!$I298=J$2), 'ProductSprint Backlog'!$F298, TRUE, 0)</f>
        <v/>
      </c>
      <c r="K298" s="4" t="str" cm="1">
        <f t="array" ref="K298">_xlfn.IFS('ProductSprint Backlog'!$F298="", "", AND('ProductSprint Backlog'!$J298&gt;K$2,'ProductSprint Backlog'!$I298&lt;=K$2), 'ProductSprint Backlog'!$F298 / MAX(1, 'ProductSprint Backlog'!$J298-'ProductSprint Backlog'!$I298), AND('ProductSprint Backlog'!$J298=K$2,'ProductSprint Backlog'!$I298=K$2), 'ProductSprint Backlog'!$F298, TRUE, 0)</f>
        <v/>
      </c>
      <c r="L298" s="4" t="str" cm="1">
        <f t="array" ref="L298">_xlfn.IFS('ProductSprint Backlog'!$F298="", "", AND('ProductSprint Backlog'!$J298&gt;L$2,'ProductSprint Backlog'!$I298&lt;=L$2), 'ProductSprint Backlog'!$F298 / MAX(1, 'ProductSprint Backlog'!$J298-'ProductSprint Backlog'!$I298), AND('ProductSprint Backlog'!$J298=L$2,'ProductSprint Backlog'!$I298=L$2), 'ProductSprint Backlog'!$F298, TRUE, 0)</f>
        <v/>
      </c>
      <c r="M298" s="4" t="str" cm="1">
        <f t="array" ref="M298">_xlfn.IFS('ProductSprint Backlog'!$F298="", "", AND('ProductSprint Backlog'!$J298&gt;M$2,'ProductSprint Backlog'!$I298&lt;=M$2), 'ProductSprint Backlog'!$F298 / MAX(1, 'ProductSprint Backlog'!$J298-'ProductSprint Backlog'!$I298), AND('ProductSprint Backlog'!$J298=M$2,'ProductSprint Backlog'!$I298=M$2), 'ProductSprint Backlog'!$F298, TRUE, 0)</f>
        <v/>
      </c>
      <c r="N298" s="4" t="str" cm="1">
        <f t="array" ref="N298">_xlfn.IFS('ProductSprint Backlog'!$F298="", "", AND('ProductSprint Backlog'!$J298&gt;N$2,'ProductSprint Backlog'!$I298&lt;=N$2), 'ProductSprint Backlog'!$F298 / MAX(1, 'ProductSprint Backlog'!$J298-'ProductSprint Backlog'!$I298), AND('ProductSprint Backlog'!$J298=N$2,'ProductSprint Backlog'!$I298=N$2), 'ProductSprint Backlog'!$F298, TRUE, 0)</f>
        <v/>
      </c>
      <c r="O298" s="4" t="str" cm="1">
        <f t="array" ref="O298">_xlfn.IFS('ProductSprint Backlog'!$F298="", "", AND('ProductSprint Backlog'!$J298&gt;O$2,'ProductSprint Backlog'!$I298&lt;=O$2), 'ProductSprint Backlog'!$F298 / MAX(1, 'ProductSprint Backlog'!$J298-'ProductSprint Backlog'!$I298), AND('ProductSprint Backlog'!$J298=O$2,'ProductSprint Backlog'!$I298=O$2), 'ProductSprint Backlog'!$F298, TRUE, 0)</f>
        <v/>
      </c>
      <c r="P298" s="4" t="str" cm="1">
        <f t="array" ref="P298">_xlfn.IFS('ProductSprint Backlog'!$F298="", "", AND('ProductSprint Backlog'!$J298&gt;P$2,'ProductSprint Backlog'!$I298&lt;=P$2), 'ProductSprint Backlog'!$F298 / MAX(1, 'ProductSprint Backlog'!$J298-'ProductSprint Backlog'!$I298), AND('ProductSprint Backlog'!$J298=P$2,'ProductSprint Backlog'!$I298=P$2), 'ProductSprint Backlog'!$F298, TRUE, 0)</f>
        <v/>
      </c>
      <c r="Q298" s="4" t="str" cm="1">
        <f t="array" ref="Q298">_xlfn.IFS('ProductSprint Backlog'!$F298="", "", AND('ProductSprint Backlog'!$J298&gt;Q$2,'ProductSprint Backlog'!$I298&lt;=Q$2), 'ProductSprint Backlog'!$F298 / MAX(1, 'ProductSprint Backlog'!$J298-'ProductSprint Backlog'!$I298), AND('ProductSprint Backlog'!$J298=Q$2,'ProductSprint Backlog'!$I298=Q$2), 'ProductSprint Backlog'!$F298, TRUE, 0)</f>
        <v/>
      </c>
    </row>
    <row r="299" spans="2:17" x14ac:dyDescent="0.2">
      <c r="B299" s="4" t="str" cm="1">
        <f t="array" ref="B299">_xlfn.IFS('ProductSprint Backlog'!$F299="", "", AND('ProductSprint Backlog'!$J299&gt;B$2,'ProductSprint Backlog'!$I299&lt;=B$2), 'ProductSprint Backlog'!$F299 / MAX(1, 'ProductSprint Backlog'!$J299-'ProductSprint Backlog'!$I299), AND('ProductSprint Backlog'!$J299=B$2,'ProductSprint Backlog'!$I299=B$2), 'ProductSprint Backlog'!$F299, TRUE, 0)</f>
        <v/>
      </c>
      <c r="C299" s="4" t="str" cm="1">
        <f t="array" ref="C299">_xlfn.IFS('ProductSprint Backlog'!$F299="", "", AND('ProductSprint Backlog'!$J299&gt;C$2,'ProductSprint Backlog'!$I299&lt;=C$2), 'ProductSprint Backlog'!$F299 / MAX(1, 'ProductSprint Backlog'!$J299-'ProductSprint Backlog'!$I299), AND('ProductSprint Backlog'!$J299=C$2,'ProductSprint Backlog'!$I299=C$2), 'ProductSprint Backlog'!$F299, TRUE, 0)</f>
        <v/>
      </c>
      <c r="D299" s="4" t="str" cm="1">
        <f t="array" ref="D299">_xlfn.IFS('ProductSprint Backlog'!$F299="", "", AND('ProductSprint Backlog'!$J299&gt;D$2,'ProductSprint Backlog'!$I299&lt;=D$2), 'ProductSprint Backlog'!$F299 / MAX(1, 'ProductSprint Backlog'!$J299-'ProductSprint Backlog'!$I299), AND('ProductSprint Backlog'!$J299=D$2,'ProductSprint Backlog'!$I299=D$2), 'ProductSprint Backlog'!$F299, TRUE, 0)</f>
        <v/>
      </c>
      <c r="E299" s="4" t="str" cm="1">
        <f t="array" ref="E299">_xlfn.IFS('ProductSprint Backlog'!$F299="", "", AND('ProductSprint Backlog'!$J299&gt;E$2,'ProductSprint Backlog'!$I299&lt;=E$2), 'ProductSprint Backlog'!$F299 / MAX(1, 'ProductSprint Backlog'!$J299-'ProductSprint Backlog'!$I299), AND('ProductSprint Backlog'!$J299=E$2,'ProductSprint Backlog'!$I299=E$2), 'ProductSprint Backlog'!$F299, TRUE, 0)</f>
        <v/>
      </c>
      <c r="F299" s="4" t="str" cm="1">
        <f t="array" ref="F299">_xlfn.IFS('ProductSprint Backlog'!$F299="", "", AND('ProductSprint Backlog'!$J299&gt;F$2,'ProductSprint Backlog'!$I299&lt;=F$2), 'ProductSprint Backlog'!$F299 / MAX(1, 'ProductSprint Backlog'!$J299-'ProductSprint Backlog'!$I299), AND('ProductSprint Backlog'!$J299=F$2,'ProductSprint Backlog'!$I299=F$2), 'ProductSprint Backlog'!$F299, TRUE, 0)</f>
        <v/>
      </c>
      <c r="G299" s="4" t="str" cm="1">
        <f t="array" ref="G299">_xlfn.IFS('ProductSprint Backlog'!$F299="", "", AND('ProductSprint Backlog'!$J299&gt;G$2,'ProductSprint Backlog'!$I299&lt;=G$2), 'ProductSprint Backlog'!$F299 / MAX(1, 'ProductSprint Backlog'!$J299-'ProductSprint Backlog'!$I299), AND('ProductSprint Backlog'!$J299=G$2,'ProductSprint Backlog'!$I299=G$2), 'ProductSprint Backlog'!$F299, TRUE, 0)</f>
        <v/>
      </c>
      <c r="H299" s="4" t="str" cm="1">
        <f t="array" ref="H299">_xlfn.IFS('ProductSprint Backlog'!$F299="", "", AND('ProductSprint Backlog'!$J299&gt;H$2,'ProductSprint Backlog'!$I299&lt;=H$2), 'ProductSprint Backlog'!$F299 / MAX(1, 'ProductSprint Backlog'!$J299-'ProductSprint Backlog'!$I299), AND('ProductSprint Backlog'!$J299=H$2,'ProductSprint Backlog'!$I299=H$2), 'ProductSprint Backlog'!$F299, TRUE, 0)</f>
        <v/>
      </c>
      <c r="I299" s="4" t="str" cm="1">
        <f t="array" ref="I299">_xlfn.IFS('ProductSprint Backlog'!$F299="", "", AND('ProductSprint Backlog'!$J299&gt;I$2,'ProductSprint Backlog'!$I299&lt;=I$2), 'ProductSprint Backlog'!$F299 / MAX(1, 'ProductSprint Backlog'!$J299-'ProductSprint Backlog'!$I299), AND('ProductSprint Backlog'!$J299=I$2,'ProductSprint Backlog'!$I299=I$2), 'ProductSprint Backlog'!$F299, TRUE, 0)</f>
        <v/>
      </c>
      <c r="J299" s="4" t="str" cm="1">
        <f t="array" ref="J299">_xlfn.IFS('ProductSprint Backlog'!$F299="", "", AND('ProductSprint Backlog'!$J299&gt;J$2,'ProductSprint Backlog'!$I299&lt;=J$2), 'ProductSprint Backlog'!$F299 / MAX(1, 'ProductSprint Backlog'!$J299-'ProductSprint Backlog'!$I299), AND('ProductSprint Backlog'!$J299=J$2,'ProductSprint Backlog'!$I299=J$2), 'ProductSprint Backlog'!$F299, TRUE, 0)</f>
        <v/>
      </c>
      <c r="K299" s="4" t="str" cm="1">
        <f t="array" ref="K299">_xlfn.IFS('ProductSprint Backlog'!$F299="", "", AND('ProductSprint Backlog'!$J299&gt;K$2,'ProductSprint Backlog'!$I299&lt;=K$2), 'ProductSprint Backlog'!$F299 / MAX(1, 'ProductSprint Backlog'!$J299-'ProductSprint Backlog'!$I299), AND('ProductSprint Backlog'!$J299=K$2,'ProductSprint Backlog'!$I299=K$2), 'ProductSprint Backlog'!$F299, TRUE, 0)</f>
        <v/>
      </c>
      <c r="L299" s="4" t="str" cm="1">
        <f t="array" ref="L299">_xlfn.IFS('ProductSprint Backlog'!$F299="", "", AND('ProductSprint Backlog'!$J299&gt;L$2,'ProductSprint Backlog'!$I299&lt;=L$2), 'ProductSprint Backlog'!$F299 / MAX(1, 'ProductSprint Backlog'!$J299-'ProductSprint Backlog'!$I299), AND('ProductSprint Backlog'!$J299=L$2,'ProductSprint Backlog'!$I299=L$2), 'ProductSprint Backlog'!$F299, TRUE, 0)</f>
        <v/>
      </c>
      <c r="M299" s="4" t="str" cm="1">
        <f t="array" ref="M299">_xlfn.IFS('ProductSprint Backlog'!$F299="", "", AND('ProductSprint Backlog'!$J299&gt;M$2,'ProductSprint Backlog'!$I299&lt;=M$2), 'ProductSprint Backlog'!$F299 / MAX(1, 'ProductSprint Backlog'!$J299-'ProductSprint Backlog'!$I299), AND('ProductSprint Backlog'!$J299=M$2,'ProductSprint Backlog'!$I299=M$2), 'ProductSprint Backlog'!$F299, TRUE, 0)</f>
        <v/>
      </c>
      <c r="N299" s="4" t="str" cm="1">
        <f t="array" ref="N299">_xlfn.IFS('ProductSprint Backlog'!$F299="", "", AND('ProductSprint Backlog'!$J299&gt;N$2,'ProductSprint Backlog'!$I299&lt;=N$2), 'ProductSprint Backlog'!$F299 / MAX(1, 'ProductSprint Backlog'!$J299-'ProductSprint Backlog'!$I299), AND('ProductSprint Backlog'!$J299=N$2,'ProductSprint Backlog'!$I299=N$2), 'ProductSprint Backlog'!$F299, TRUE, 0)</f>
        <v/>
      </c>
      <c r="O299" s="4" t="str" cm="1">
        <f t="array" ref="O299">_xlfn.IFS('ProductSprint Backlog'!$F299="", "", AND('ProductSprint Backlog'!$J299&gt;O$2,'ProductSprint Backlog'!$I299&lt;=O$2), 'ProductSprint Backlog'!$F299 / MAX(1, 'ProductSprint Backlog'!$J299-'ProductSprint Backlog'!$I299), AND('ProductSprint Backlog'!$J299=O$2,'ProductSprint Backlog'!$I299=O$2), 'ProductSprint Backlog'!$F299, TRUE, 0)</f>
        <v/>
      </c>
      <c r="P299" s="4" t="str" cm="1">
        <f t="array" ref="P299">_xlfn.IFS('ProductSprint Backlog'!$F299="", "", AND('ProductSprint Backlog'!$J299&gt;P$2,'ProductSprint Backlog'!$I299&lt;=P$2), 'ProductSprint Backlog'!$F299 / MAX(1, 'ProductSprint Backlog'!$J299-'ProductSprint Backlog'!$I299), AND('ProductSprint Backlog'!$J299=P$2,'ProductSprint Backlog'!$I299=P$2), 'ProductSprint Backlog'!$F299, TRUE, 0)</f>
        <v/>
      </c>
      <c r="Q299" s="4" t="str" cm="1">
        <f t="array" ref="Q299">_xlfn.IFS('ProductSprint Backlog'!$F299="", "", AND('ProductSprint Backlog'!$J299&gt;Q$2,'ProductSprint Backlog'!$I299&lt;=Q$2), 'ProductSprint Backlog'!$F299 / MAX(1, 'ProductSprint Backlog'!$J299-'ProductSprint Backlog'!$I299), AND('ProductSprint Backlog'!$J299=Q$2,'ProductSprint Backlog'!$I299=Q$2), 'ProductSprint Backlog'!$F299, TRUE, 0)</f>
        <v/>
      </c>
    </row>
    <row r="300" spans="2:17" x14ac:dyDescent="0.2">
      <c r="B300" s="4" t="str" cm="1">
        <f t="array" ref="B300">_xlfn.IFS('ProductSprint Backlog'!$F300="", "", AND('ProductSprint Backlog'!$J300&gt;B$2,'ProductSprint Backlog'!$I300&lt;=B$2), 'ProductSprint Backlog'!$F300 / MAX(1, 'ProductSprint Backlog'!$J300-'ProductSprint Backlog'!$I300), AND('ProductSprint Backlog'!$J300=B$2,'ProductSprint Backlog'!$I300=B$2), 'ProductSprint Backlog'!$F300, TRUE, 0)</f>
        <v/>
      </c>
      <c r="C300" s="4" t="str" cm="1">
        <f t="array" ref="C300">_xlfn.IFS('ProductSprint Backlog'!$F300="", "", AND('ProductSprint Backlog'!$J300&gt;C$2,'ProductSprint Backlog'!$I300&lt;=C$2), 'ProductSprint Backlog'!$F300 / MAX(1, 'ProductSprint Backlog'!$J300-'ProductSprint Backlog'!$I300), AND('ProductSprint Backlog'!$J300=C$2,'ProductSprint Backlog'!$I300=C$2), 'ProductSprint Backlog'!$F300, TRUE, 0)</f>
        <v/>
      </c>
      <c r="D300" s="4" t="str" cm="1">
        <f t="array" ref="D300">_xlfn.IFS('ProductSprint Backlog'!$F300="", "", AND('ProductSprint Backlog'!$J300&gt;D$2,'ProductSprint Backlog'!$I300&lt;=D$2), 'ProductSprint Backlog'!$F300 / MAX(1, 'ProductSprint Backlog'!$J300-'ProductSprint Backlog'!$I300), AND('ProductSprint Backlog'!$J300=D$2,'ProductSprint Backlog'!$I300=D$2), 'ProductSprint Backlog'!$F300, TRUE, 0)</f>
        <v/>
      </c>
      <c r="E300" s="4" t="str" cm="1">
        <f t="array" ref="E300">_xlfn.IFS('ProductSprint Backlog'!$F300="", "", AND('ProductSprint Backlog'!$J300&gt;E$2,'ProductSprint Backlog'!$I300&lt;=E$2), 'ProductSprint Backlog'!$F300 / MAX(1, 'ProductSprint Backlog'!$J300-'ProductSprint Backlog'!$I300), AND('ProductSprint Backlog'!$J300=E$2,'ProductSprint Backlog'!$I300=E$2), 'ProductSprint Backlog'!$F300, TRUE, 0)</f>
        <v/>
      </c>
      <c r="F300" s="4" t="str" cm="1">
        <f t="array" ref="F300">_xlfn.IFS('ProductSprint Backlog'!$F300="", "", AND('ProductSprint Backlog'!$J300&gt;F$2,'ProductSprint Backlog'!$I300&lt;=F$2), 'ProductSprint Backlog'!$F300 / MAX(1, 'ProductSprint Backlog'!$J300-'ProductSprint Backlog'!$I300), AND('ProductSprint Backlog'!$J300=F$2,'ProductSprint Backlog'!$I300=F$2), 'ProductSprint Backlog'!$F300, TRUE, 0)</f>
        <v/>
      </c>
      <c r="G300" s="4" t="str" cm="1">
        <f t="array" ref="G300">_xlfn.IFS('ProductSprint Backlog'!$F300="", "", AND('ProductSprint Backlog'!$J300&gt;G$2,'ProductSprint Backlog'!$I300&lt;=G$2), 'ProductSprint Backlog'!$F300 / MAX(1, 'ProductSprint Backlog'!$J300-'ProductSprint Backlog'!$I300), AND('ProductSprint Backlog'!$J300=G$2,'ProductSprint Backlog'!$I300=G$2), 'ProductSprint Backlog'!$F300, TRUE, 0)</f>
        <v/>
      </c>
      <c r="H300" s="4" t="str" cm="1">
        <f t="array" ref="H300">_xlfn.IFS('ProductSprint Backlog'!$F300="", "", AND('ProductSprint Backlog'!$J300&gt;H$2,'ProductSprint Backlog'!$I300&lt;=H$2), 'ProductSprint Backlog'!$F300 / MAX(1, 'ProductSprint Backlog'!$J300-'ProductSprint Backlog'!$I300), AND('ProductSprint Backlog'!$J300=H$2,'ProductSprint Backlog'!$I300=H$2), 'ProductSprint Backlog'!$F300, TRUE, 0)</f>
        <v/>
      </c>
      <c r="I300" s="4" t="str" cm="1">
        <f t="array" ref="I300">_xlfn.IFS('ProductSprint Backlog'!$F300="", "", AND('ProductSprint Backlog'!$J300&gt;I$2,'ProductSprint Backlog'!$I300&lt;=I$2), 'ProductSprint Backlog'!$F300 / MAX(1, 'ProductSprint Backlog'!$J300-'ProductSprint Backlog'!$I300), AND('ProductSprint Backlog'!$J300=I$2,'ProductSprint Backlog'!$I300=I$2), 'ProductSprint Backlog'!$F300, TRUE, 0)</f>
        <v/>
      </c>
      <c r="J300" s="4" t="str" cm="1">
        <f t="array" ref="J300">_xlfn.IFS('ProductSprint Backlog'!$F300="", "", AND('ProductSprint Backlog'!$J300&gt;J$2,'ProductSprint Backlog'!$I300&lt;=J$2), 'ProductSprint Backlog'!$F300 / MAX(1, 'ProductSprint Backlog'!$J300-'ProductSprint Backlog'!$I300), AND('ProductSprint Backlog'!$J300=J$2,'ProductSprint Backlog'!$I300=J$2), 'ProductSprint Backlog'!$F300, TRUE, 0)</f>
        <v/>
      </c>
      <c r="K300" s="4" t="str" cm="1">
        <f t="array" ref="K300">_xlfn.IFS('ProductSprint Backlog'!$F300="", "", AND('ProductSprint Backlog'!$J300&gt;K$2,'ProductSprint Backlog'!$I300&lt;=K$2), 'ProductSprint Backlog'!$F300 / MAX(1, 'ProductSprint Backlog'!$J300-'ProductSprint Backlog'!$I300), AND('ProductSprint Backlog'!$J300=K$2,'ProductSprint Backlog'!$I300=K$2), 'ProductSprint Backlog'!$F300, TRUE, 0)</f>
        <v/>
      </c>
      <c r="L300" s="4" t="str" cm="1">
        <f t="array" ref="L300">_xlfn.IFS('ProductSprint Backlog'!$F300="", "", AND('ProductSprint Backlog'!$J300&gt;L$2,'ProductSprint Backlog'!$I300&lt;=L$2), 'ProductSprint Backlog'!$F300 / MAX(1, 'ProductSprint Backlog'!$J300-'ProductSprint Backlog'!$I300), AND('ProductSprint Backlog'!$J300=L$2,'ProductSprint Backlog'!$I300=L$2), 'ProductSprint Backlog'!$F300, TRUE, 0)</f>
        <v/>
      </c>
      <c r="M300" s="4" t="str" cm="1">
        <f t="array" ref="M300">_xlfn.IFS('ProductSprint Backlog'!$F300="", "", AND('ProductSprint Backlog'!$J300&gt;M$2,'ProductSprint Backlog'!$I300&lt;=M$2), 'ProductSprint Backlog'!$F300 / MAX(1, 'ProductSprint Backlog'!$J300-'ProductSprint Backlog'!$I300), AND('ProductSprint Backlog'!$J300=M$2,'ProductSprint Backlog'!$I300=M$2), 'ProductSprint Backlog'!$F300, TRUE, 0)</f>
        <v/>
      </c>
      <c r="N300" s="4" t="str" cm="1">
        <f t="array" ref="N300">_xlfn.IFS('ProductSprint Backlog'!$F300="", "", AND('ProductSprint Backlog'!$J300&gt;N$2,'ProductSprint Backlog'!$I300&lt;=N$2), 'ProductSprint Backlog'!$F300 / MAX(1, 'ProductSprint Backlog'!$J300-'ProductSprint Backlog'!$I300), AND('ProductSprint Backlog'!$J300=N$2,'ProductSprint Backlog'!$I300=N$2), 'ProductSprint Backlog'!$F300, TRUE, 0)</f>
        <v/>
      </c>
      <c r="O300" s="4" t="str" cm="1">
        <f t="array" ref="O300">_xlfn.IFS('ProductSprint Backlog'!$F300="", "", AND('ProductSprint Backlog'!$J300&gt;O$2,'ProductSprint Backlog'!$I300&lt;=O$2), 'ProductSprint Backlog'!$F300 / MAX(1, 'ProductSprint Backlog'!$J300-'ProductSprint Backlog'!$I300), AND('ProductSprint Backlog'!$J300=O$2,'ProductSprint Backlog'!$I300=O$2), 'ProductSprint Backlog'!$F300, TRUE, 0)</f>
        <v/>
      </c>
      <c r="P300" s="4" t="str" cm="1">
        <f t="array" ref="P300">_xlfn.IFS('ProductSprint Backlog'!$F300="", "", AND('ProductSprint Backlog'!$J300&gt;P$2,'ProductSprint Backlog'!$I300&lt;=P$2), 'ProductSprint Backlog'!$F300 / MAX(1, 'ProductSprint Backlog'!$J300-'ProductSprint Backlog'!$I300), AND('ProductSprint Backlog'!$J300=P$2,'ProductSprint Backlog'!$I300=P$2), 'ProductSprint Backlog'!$F300, TRUE, 0)</f>
        <v/>
      </c>
      <c r="Q300" s="4" t="str" cm="1">
        <f t="array" ref="Q300">_xlfn.IFS('ProductSprint Backlog'!$F300="", "", AND('ProductSprint Backlog'!$J300&gt;Q$2,'ProductSprint Backlog'!$I300&lt;=Q$2), 'ProductSprint Backlog'!$F300 / MAX(1, 'ProductSprint Backlog'!$J300-'ProductSprint Backlog'!$I300), AND('ProductSprint Backlog'!$J300=Q$2,'ProductSprint Backlog'!$I300=Q$2), 'ProductSprint Backlog'!$F300, TRUE, 0)</f>
        <v/>
      </c>
    </row>
    <row r="301" spans="2:17" x14ac:dyDescent="0.2">
      <c r="B301" s="4" t="str" cm="1">
        <f t="array" ref="B301">_xlfn.IFS('ProductSprint Backlog'!$F301="", "", AND('ProductSprint Backlog'!$J301&gt;B$2,'ProductSprint Backlog'!$I301&lt;=B$2), 'ProductSprint Backlog'!$F301 / MAX(1, 'ProductSprint Backlog'!$J301-'ProductSprint Backlog'!$I301), AND('ProductSprint Backlog'!$J301=B$2,'ProductSprint Backlog'!$I301=B$2), 'ProductSprint Backlog'!$F301, TRUE, 0)</f>
        <v/>
      </c>
      <c r="C301" s="4" t="str" cm="1">
        <f t="array" ref="C301">_xlfn.IFS('ProductSprint Backlog'!$F301="", "", AND('ProductSprint Backlog'!$J301&gt;C$2,'ProductSprint Backlog'!$I301&lt;=C$2), 'ProductSprint Backlog'!$F301 / MAX(1, 'ProductSprint Backlog'!$J301-'ProductSprint Backlog'!$I301), AND('ProductSprint Backlog'!$J301=C$2,'ProductSprint Backlog'!$I301=C$2), 'ProductSprint Backlog'!$F301, TRUE, 0)</f>
        <v/>
      </c>
      <c r="D301" s="4" t="str" cm="1">
        <f t="array" ref="D301">_xlfn.IFS('ProductSprint Backlog'!$F301="", "", AND('ProductSprint Backlog'!$J301&gt;D$2,'ProductSprint Backlog'!$I301&lt;=D$2), 'ProductSprint Backlog'!$F301 / MAX(1, 'ProductSprint Backlog'!$J301-'ProductSprint Backlog'!$I301), AND('ProductSprint Backlog'!$J301=D$2,'ProductSprint Backlog'!$I301=D$2), 'ProductSprint Backlog'!$F301, TRUE, 0)</f>
        <v/>
      </c>
      <c r="E301" s="4" t="str" cm="1">
        <f t="array" ref="E301">_xlfn.IFS('ProductSprint Backlog'!$F301="", "", AND('ProductSprint Backlog'!$J301&gt;E$2,'ProductSprint Backlog'!$I301&lt;=E$2), 'ProductSprint Backlog'!$F301 / MAX(1, 'ProductSprint Backlog'!$J301-'ProductSprint Backlog'!$I301), AND('ProductSprint Backlog'!$J301=E$2,'ProductSprint Backlog'!$I301=E$2), 'ProductSprint Backlog'!$F301, TRUE, 0)</f>
        <v/>
      </c>
      <c r="F301" s="4" t="str" cm="1">
        <f t="array" ref="F301">_xlfn.IFS('ProductSprint Backlog'!$F301="", "", AND('ProductSprint Backlog'!$J301&gt;F$2,'ProductSprint Backlog'!$I301&lt;=F$2), 'ProductSprint Backlog'!$F301 / MAX(1, 'ProductSprint Backlog'!$J301-'ProductSprint Backlog'!$I301), AND('ProductSprint Backlog'!$J301=F$2,'ProductSprint Backlog'!$I301=F$2), 'ProductSprint Backlog'!$F301, TRUE, 0)</f>
        <v/>
      </c>
      <c r="G301" s="4" t="str" cm="1">
        <f t="array" ref="G301">_xlfn.IFS('ProductSprint Backlog'!$F301="", "", AND('ProductSprint Backlog'!$J301&gt;G$2,'ProductSprint Backlog'!$I301&lt;=G$2), 'ProductSprint Backlog'!$F301 / MAX(1, 'ProductSprint Backlog'!$J301-'ProductSprint Backlog'!$I301), AND('ProductSprint Backlog'!$J301=G$2,'ProductSprint Backlog'!$I301=G$2), 'ProductSprint Backlog'!$F301, TRUE, 0)</f>
        <v/>
      </c>
      <c r="H301" s="4" t="str" cm="1">
        <f t="array" ref="H301">_xlfn.IFS('ProductSprint Backlog'!$F301="", "", AND('ProductSprint Backlog'!$J301&gt;H$2,'ProductSprint Backlog'!$I301&lt;=H$2), 'ProductSprint Backlog'!$F301 / MAX(1, 'ProductSprint Backlog'!$J301-'ProductSprint Backlog'!$I301), AND('ProductSprint Backlog'!$J301=H$2,'ProductSprint Backlog'!$I301=H$2), 'ProductSprint Backlog'!$F301, TRUE, 0)</f>
        <v/>
      </c>
      <c r="I301" s="4" t="str" cm="1">
        <f t="array" ref="I301">_xlfn.IFS('ProductSprint Backlog'!$F301="", "", AND('ProductSprint Backlog'!$J301&gt;I$2,'ProductSprint Backlog'!$I301&lt;=I$2), 'ProductSprint Backlog'!$F301 / MAX(1, 'ProductSprint Backlog'!$J301-'ProductSprint Backlog'!$I301), AND('ProductSprint Backlog'!$J301=I$2,'ProductSprint Backlog'!$I301=I$2), 'ProductSprint Backlog'!$F301, TRUE, 0)</f>
        <v/>
      </c>
      <c r="J301" s="4" t="str" cm="1">
        <f t="array" ref="J301">_xlfn.IFS('ProductSprint Backlog'!$F301="", "", AND('ProductSprint Backlog'!$J301&gt;J$2,'ProductSprint Backlog'!$I301&lt;=J$2), 'ProductSprint Backlog'!$F301 / MAX(1, 'ProductSprint Backlog'!$J301-'ProductSprint Backlog'!$I301), AND('ProductSprint Backlog'!$J301=J$2,'ProductSprint Backlog'!$I301=J$2), 'ProductSprint Backlog'!$F301, TRUE, 0)</f>
        <v/>
      </c>
      <c r="K301" s="4" t="str" cm="1">
        <f t="array" ref="K301">_xlfn.IFS('ProductSprint Backlog'!$F301="", "", AND('ProductSprint Backlog'!$J301&gt;K$2,'ProductSprint Backlog'!$I301&lt;=K$2), 'ProductSprint Backlog'!$F301 / MAX(1, 'ProductSprint Backlog'!$J301-'ProductSprint Backlog'!$I301), AND('ProductSprint Backlog'!$J301=K$2,'ProductSprint Backlog'!$I301=K$2), 'ProductSprint Backlog'!$F301, TRUE, 0)</f>
        <v/>
      </c>
      <c r="L301" s="4" t="str" cm="1">
        <f t="array" ref="L301">_xlfn.IFS('ProductSprint Backlog'!$F301="", "", AND('ProductSprint Backlog'!$J301&gt;L$2,'ProductSprint Backlog'!$I301&lt;=L$2), 'ProductSprint Backlog'!$F301 / MAX(1, 'ProductSprint Backlog'!$J301-'ProductSprint Backlog'!$I301), AND('ProductSprint Backlog'!$J301=L$2,'ProductSprint Backlog'!$I301=L$2), 'ProductSprint Backlog'!$F301, TRUE, 0)</f>
        <v/>
      </c>
      <c r="M301" s="4" t="str" cm="1">
        <f t="array" ref="M301">_xlfn.IFS('ProductSprint Backlog'!$F301="", "", AND('ProductSprint Backlog'!$J301&gt;M$2,'ProductSprint Backlog'!$I301&lt;=M$2), 'ProductSprint Backlog'!$F301 / MAX(1, 'ProductSprint Backlog'!$J301-'ProductSprint Backlog'!$I301), AND('ProductSprint Backlog'!$J301=M$2,'ProductSprint Backlog'!$I301=M$2), 'ProductSprint Backlog'!$F301, TRUE, 0)</f>
        <v/>
      </c>
      <c r="N301" s="4" t="str" cm="1">
        <f t="array" ref="N301">_xlfn.IFS('ProductSprint Backlog'!$F301="", "", AND('ProductSprint Backlog'!$J301&gt;N$2,'ProductSprint Backlog'!$I301&lt;=N$2), 'ProductSprint Backlog'!$F301 / MAX(1, 'ProductSprint Backlog'!$J301-'ProductSprint Backlog'!$I301), AND('ProductSprint Backlog'!$J301=N$2,'ProductSprint Backlog'!$I301=N$2), 'ProductSprint Backlog'!$F301, TRUE, 0)</f>
        <v/>
      </c>
      <c r="O301" s="4" t="str" cm="1">
        <f t="array" ref="O301">_xlfn.IFS('ProductSprint Backlog'!$F301="", "", AND('ProductSprint Backlog'!$J301&gt;O$2,'ProductSprint Backlog'!$I301&lt;=O$2), 'ProductSprint Backlog'!$F301 / MAX(1, 'ProductSprint Backlog'!$J301-'ProductSprint Backlog'!$I301), AND('ProductSprint Backlog'!$J301=O$2,'ProductSprint Backlog'!$I301=O$2), 'ProductSprint Backlog'!$F301, TRUE, 0)</f>
        <v/>
      </c>
      <c r="P301" s="4" t="str" cm="1">
        <f t="array" ref="P301">_xlfn.IFS('ProductSprint Backlog'!$F301="", "", AND('ProductSprint Backlog'!$J301&gt;P$2,'ProductSprint Backlog'!$I301&lt;=P$2), 'ProductSprint Backlog'!$F301 / MAX(1, 'ProductSprint Backlog'!$J301-'ProductSprint Backlog'!$I301), AND('ProductSprint Backlog'!$J301=P$2,'ProductSprint Backlog'!$I301=P$2), 'ProductSprint Backlog'!$F301, TRUE, 0)</f>
        <v/>
      </c>
      <c r="Q301" s="4" t="str" cm="1">
        <f t="array" ref="Q301">_xlfn.IFS('ProductSprint Backlog'!$F301="", "", AND('ProductSprint Backlog'!$J301&gt;Q$2,'ProductSprint Backlog'!$I301&lt;=Q$2), 'ProductSprint Backlog'!$F301 / MAX(1, 'ProductSprint Backlog'!$J301-'ProductSprint Backlog'!$I301), AND('ProductSprint Backlog'!$J301=Q$2,'ProductSprint Backlog'!$I301=Q$2), 'ProductSprint Backlog'!$F301, TRUE, 0)</f>
        <v/>
      </c>
    </row>
    <row r="302" spans="2:17" x14ac:dyDescent="0.2">
      <c r="B302" s="4" t="str" cm="1">
        <f t="array" ref="B302">_xlfn.IFS('ProductSprint Backlog'!$F302="", "", AND('ProductSprint Backlog'!$J302&gt;B$2,'ProductSprint Backlog'!$I302&lt;=B$2), 'ProductSprint Backlog'!$F302 / MAX(1, 'ProductSprint Backlog'!$J302-'ProductSprint Backlog'!$I302), AND('ProductSprint Backlog'!$J302=B$2,'ProductSprint Backlog'!$I302=B$2), 'ProductSprint Backlog'!$F302, TRUE, 0)</f>
        <v/>
      </c>
      <c r="C302" s="4" t="str" cm="1">
        <f t="array" ref="C302">_xlfn.IFS('ProductSprint Backlog'!$F302="", "", AND('ProductSprint Backlog'!$J302&gt;C$2,'ProductSprint Backlog'!$I302&lt;=C$2), 'ProductSprint Backlog'!$F302 / MAX(1, 'ProductSprint Backlog'!$J302-'ProductSprint Backlog'!$I302), AND('ProductSprint Backlog'!$J302=C$2,'ProductSprint Backlog'!$I302=C$2), 'ProductSprint Backlog'!$F302, TRUE, 0)</f>
        <v/>
      </c>
      <c r="D302" s="4" t="str" cm="1">
        <f t="array" ref="D302">_xlfn.IFS('ProductSprint Backlog'!$F302="", "", AND('ProductSprint Backlog'!$J302&gt;D$2,'ProductSprint Backlog'!$I302&lt;=D$2), 'ProductSprint Backlog'!$F302 / MAX(1, 'ProductSprint Backlog'!$J302-'ProductSprint Backlog'!$I302), AND('ProductSprint Backlog'!$J302=D$2,'ProductSprint Backlog'!$I302=D$2), 'ProductSprint Backlog'!$F302, TRUE, 0)</f>
        <v/>
      </c>
      <c r="E302" s="4" t="str" cm="1">
        <f t="array" ref="E302">_xlfn.IFS('ProductSprint Backlog'!$F302="", "", AND('ProductSprint Backlog'!$J302&gt;E$2,'ProductSprint Backlog'!$I302&lt;=E$2), 'ProductSprint Backlog'!$F302 / MAX(1, 'ProductSprint Backlog'!$J302-'ProductSprint Backlog'!$I302), AND('ProductSprint Backlog'!$J302=E$2,'ProductSprint Backlog'!$I302=E$2), 'ProductSprint Backlog'!$F302, TRUE, 0)</f>
        <v/>
      </c>
      <c r="F302" s="4" t="str" cm="1">
        <f t="array" ref="F302">_xlfn.IFS('ProductSprint Backlog'!$F302="", "", AND('ProductSprint Backlog'!$J302&gt;F$2,'ProductSprint Backlog'!$I302&lt;=F$2), 'ProductSprint Backlog'!$F302 / MAX(1, 'ProductSprint Backlog'!$J302-'ProductSprint Backlog'!$I302), AND('ProductSprint Backlog'!$J302=F$2,'ProductSprint Backlog'!$I302=F$2), 'ProductSprint Backlog'!$F302, TRUE, 0)</f>
        <v/>
      </c>
      <c r="G302" s="4" t="str" cm="1">
        <f t="array" ref="G302">_xlfn.IFS('ProductSprint Backlog'!$F302="", "", AND('ProductSprint Backlog'!$J302&gt;G$2,'ProductSprint Backlog'!$I302&lt;=G$2), 'ProductSprint Backlog'!$F302 / MAX(1, 'ProductSprint Backlog'!$J302-'ProductSprint Backlog'!$I302), AND('ProductSprint Backlog'!$J302=G$2,'ProductSprint Backlog'!$I302=G$2), 'ProductSprint Backlog'!$F302, TRUE, 0)</f>
        <v/>
      </c>
      <c r="H302" s="4" t="str" cm="1">
        <f t="array" ref="H302">_xlfn.IFS('ProductSprint Backlog'!$F302="", "", AND('ProductSprint Backlog'!$J302&gt;H$2,'ProductSprint Backlog'!$I302&lt;=H$2), 'ProductSprint Backlog'!$F302 / MAX(1, 'ProductSprint Backlog'!$J302-'ProductSprint Backlog'!$I302), AND('ProductSprint Backlog'!$J302=H$2,'ProductSprint Backlog'!$I302=H$2), 'ProductSprint Backlog'!$F302, TRUE, 0)</f>
        <v/>
      </c>
      <c r="I302" s="4" t="str" cm="1">
        <f t="array" ref="I302">_xlfn.IFS('ProductSprint Backlog'!$F302="", "", AND('ProductSprint Backlog'!$J302&gt;I$2,'ProductSprint Backlog'!$I302&lt;=I$2), 'ProductSprint Backlog'!$F302 / MAX(1, 'ProductSprint Backlog'!$J302-'ProductSprint Backlog'!$I302), AND('ProductSprint Backlog'!$J302=I$2,'ProductSprint Backlog'!$I302=I$2), 'ProductSprint Backlog'!$F302, TRUE, 0)</f>
        <v/>
      </c>
      <c r="J302" s="4" t="str" cm="1">
        <f t="array" ref="J302">_xlfn.IFS('ProductSprint Backlog'!$F302="", "", AND('ProductSprint Backlog'!$J302&gt;J$2,'ProductSprint Backlog'!$I302&lt;=J$2), 'ProductSprint Backlog'!$F302 / MAX(1, 'ProductSprint Backlog'!$J302-'ProductSprint Backlog'!$I302), AND('ProductSprint Backlog'!$J302=J$2,'ProductSprint Backlog'!$I302=J$2), 'ProductSprint Backlog'!$F302, TRUE, 0)</f>
        <v/>
      </c>
      <c r="K302" s="4" t="str" cm="1">
        <f t="array" ref="K302">_xlfn.IFS('ProductSprint Backlog'!$F302="", "", AND('ProductSprint Backlog'!$J302&gt;K$2,'ProductSprint Backlog'!$I302&lt;=K$2), 'ProductSprint Backlog'!$F302 / MAX(1, 'ProductSprint Backlog'!$J302-'ProductSprint Backlog'!$I302), AND('ProductSprint Backlog'!$J302=K$2,'ProductSprint Backlog'!$I302=K$2), 'ProductSprint Backlog'!$F302, TRUE, 0)</f>
        <v/>
      </c>
      <c r="L302" s="4" t="str" cm="1">
        <f t="array" ref="L302">_xlfn.IFS('ProductSprint Backlog'!$F302="", "", AND('ProductSprint Backlog'!$J302&gt;L$2,'ProductSprint Backlog'!$I302&lt;=L$2), 'ProductSprint Backlog'!$F302 / MAX(1, 'ProductSprint Backlog'!$J302-'ProductSprint Backlog'!$I302), AND('ProductSprint Backlog'!$J302=L$2,'ProductSprint Backlog'!$I302=L$2), 'ProductSprint Backlog'!$F302, TRUE, 0)</f>
        <v/>
      </c>
      <c r="M302" s="4" t="str" cm="1">
        <f t="array" ref="M302">_xlfn.IFS('ProductSprint Backlog'!$F302="", "", AND('ProductSprint Backlog'!$J302&gt;M$2,'ProductSprint Backlog'!$I302&lt;=M$2), 'ProductSprint Backlog'!$F302 / MAX(1, 'ProductSprint Backlog'!$J302-'ProductSprint Backlog'!$I302), AND('ProductSprint Backlog'!$J302=M$2,'ProductSprint Backlog'!$I302=M$2), 'ProductSprint Backlog'!$F302, TRUE, 0)</f>
        <v/>
      </c>
      <c r="N302" s="4" t="str" cm="1">
        <f t="array" ref="N302">_xlfn.IFS('ProductSprint Backlog'!$F302="", "", AND('ProductSprint Backlog'!$J302&gt;N$2,'ProductSprint Backlog'!$I302&lt;=N$2), 'ProductSprint Backlog'!$F302 / MAX(1, 'ProductSprint Backlog'!$J302-'ProductSprint Backlog'!$I302), AND('ProductSprint Backlog'!$J302=N$2,'ProductSprint Backlog'!$I302=N$2), 'ProductSprint Backlog'!$F302, TRUE, 0)</f>
        <v/>
      </c>
      <c r="O302" s="4" t="str" cm="1">
        <f t="array" ref="O302">_xlfn.IFS('ProductSprint Backlog'!$F302="", "", AND('ProductSprint Backlog'!$J302&gt;O$2,'ProductSprint Backlog'!$I302&lt;=O$2), 'ProductSprint Backlog'!$F302 / MAX(1, 'ProductSprint Backlog'!$J302-'ProductSprint Backlog'!$I302), AND('ProductSprint Backlog'!$J302=O$2,'ProductSprint Backlog'!$I302=O$2), 'ProductSprint Backlog'!$F302, TRUE, 0)</f>
        <v/>
      </c>
      <c r="P302" s="4" t="str" cm="1">
        <f t="array" ref="P302">_xlfn.IFS('ProductSprint Backlog'!$F302="", "", AND('ProductSprint Backlog'!$J302&gt;P$2,'ProductSprint Backlog'!$I302&lt;=P$2), 'ProductSprint Backlog'!$F302 / MAX(1, 'ProductSprint Backlog'!$J302-'ProductSprint Backlog'!$I302), AND('ProductSprint Backlog'!$J302=P$2,'ProductSprint Backlog'!$I302=P$2), 'ProductSprint Backlog'!$F302, TRUE, 0)</f>
        <v/>
      </c>
      <c r="Q302" s="4" t="str" cm="1">
        <f t="array" ref="Q302">_xlfn.IFS('ProductSprint Backlog'!$F302="", "", AND('ProductSprint Backlog'!$J302&gt;Q$2,'ProductSprint Backlog'!$I302&lt;=Q$2), 'ProductSprint Backlog'!$F302 / MAX(1, 'ProductSprint Backlog'!$J302-'ProductSprint Backlog'!$I302), AND('ProductSprint Backlog'!$J302=Q$2,'ProductSprint Backlog'!$I302=Q$2), 'ProductSprint Backlog'!$F302, TRUE, 0)</f>
        <v/>
      </c>
    </row>
    <row r="303" spans="2:17" x14ac:dyDescent="0.2">
      <c r="B303" s="4" t="str" cm="1">
        <f t="array" ref="B303">_xlfn.IFS('ProductSprint Backlog'!$F303="", "", AND('ProductSprint Backlog'!$J303&gt;B$2,'ProductSprint Backlog'!$I303&lt;=B$2), 'ProductSprint Backlog'!$F303 / MAX(1, 'ProductSprint Backlog'!$J303-'ProductSprint Backlog'!$I303), AND('ProductSprint Backlog'!$J303=B$2,'ProductSprint Backlog'!$I303=B$2), 'ProductSprint Backlog'!$F303, TRUE, 0)</f>
        <v/>
      </c>
      <c r="C303" s="4" t="str" cm="1">
        <f t="array" ref="C303">_xlfn.IFS('ProductSprint Backlog'!$F303="", "", AND('ProductSprint Backlog'!$J303&gt;C$2,'ProductSprint Backlog'!$I303&lt;=C$2), 'ProductSprint Backlog'!$F303 / MAX(1, 'ProductSprint Backlog'!$J303-'ProductSprint Backlog'!$I303), AND('ProductSprint Backlog'!$J303=C$2,'ProductSprint Backlog'!$I303=C$2), 'ProductSprint Backlog'!$F303, TRUE, 0)</f>
        <v/>
      </c>
      <c r="D303" s="4" t="str" cm="1">
        <f t="array" ref="D303">_xlfn.IFS('ProductSprint Backlog'!$F303="", "", AND('ProductSprint Backlog'!$J303&gt;D$2,'ProductSprint Backlog'!$I303&lt;=D$2), 'ProductSprint Backlog'!$F303 / MAX(1, 'ProductSprint Backlog'!$J303-'ProductSprint Backlog'!$I303), AND('ProductSprint Backlog'!$J303=D$2,'ProductSprint Backlog'!$I303=D$2), 'ProductSprint Backlog'!$F303, TRUE, 0)</f>
        <v/>
      </c>
      <c r="E303" s="4" t="str" cm="1">
        <f t="array" ref="E303">_xlfn.IFS('ProductSprint Backlog'!$F303="", "", AND('ProductSprint Backlog'!$J303&gt;E$2,'ProductSprint Backlog'!$I303&lt;=E$2), 'ProductSprint Backlog'!$F303 / MAX(1, 'ProductSprint Backlog'!$J303-'ProductSprint Backlog'!$I303), AND('ProductSprint Backlog'!$J303=E$2,'ProductSprint Backlog'!$I303=E$2), 'ProductSprint Backlog'!$F303, TRUE, 0)</f>
        <v/>
      </c>
      <c r="F303" s="4" t="str" cm="1">
        <f t="array" ref="F303">_xlfn.IFS('ProductSprint Backlog'!$F303="", "", AND('ProductSprint Backlog'!$J303&gt;F$2,'ProductSprint Backlog'!$I303&lt;=F$2), 'ProductSprint Backlog'!$F303 / MAX(1, 'ProductSprint Backlog'!$J303-'ProductSprint Backlog'!$I303), AND('ProductSprint Backlog'!$J303=F$2,'ProductSprint Backlog'!$I303=F$2), 'ProductSprint Backlog'!$F303, TRUE, 0)</f>
        <v/>
      </c>
      <c r="G303" s="4" t="str" cm="1">
        <f t="array" ref="G303">_xlfn.IFS('ProductSprint Backlog'!$F303="", "", AND('ProductSprint Backlog'!$J303&gt;G$2,'ProductSprint Backlog'!$I303&lt;=G$2), 'ProductSprint Backlog'!$F303 / MAX(1, 'ProductSprint Backlog'!$J303-'ProductSprint Backlog'!$I303), AND('ProductSprint Backlog'!$J303=G$2,'ProductSprint Backlog'!$I303=G$2), 'ProductSprint Backlog'!$F303, TRUE, 0)</f>
        <v/>
      </c>
      <c r="H303" s="4" t="str" cm="1">
        <f t="array" ref="H303">_xlfn.IFS('ProductSprint Backlog'!$F303="", "", AND('ProductSprint Backlog'!$J303&gt;H$2,'ProductSprint Backlog'!$I303&lt;=H$2), 'ProductSprint Backlog'!$F303 / MAX(1, 'ProductSprint Backlog'!$J303-'ProductSprint Backlog'!$I303), AND('ProductSprint Backlog'!$J303=H$2,'ProductSprint Backlog'!$I303=H$2), 'ProductSprint Backlog'!$F303, TRUE, 0)</f>
        <v/>
      </c>
      <c r="I303" s="4" t="str" cm="1">
        <f t="array" ref="I303">_xlfn.IFS('ProductSprint Backlog'!$F303="", "", AND('ProductSprint Backlog'!$J303&gt;I$2,'ProductSprint Backlog'!$I303&lt;=I$2), 'ProductSprint Backlog'!$F303 / MAX(1, 'ProductSprint Backlog'!$J303-'ProductSprint Backlog'!$I303), AND('ProductSprint Backlog'!$J303=I$2,'ProductSprint Backlog'!$I303=I$2), 'ProductSprint Backlog'!$F303, TRUE, 0)</f>
        <v/>
      </c>
      <c r="J303" s="4" t="str" cm="1">
        <f t="array" ref="J303">_xlfn.IFS('ProductSprint Backlog'!$F303="", "", AND('ProductSprint Backlog'!$J303&gt;J$2,'ProductSprint Backlog'!$I303&lt;=J$2), 'ProductSprint Backlog'!$F303 / MAX(1, 'ProductSprint Backlog'!$J303-'ProductSprint Backlog'!$I303), AND('ProductSprint Backlog'!$J303=J$2,'ProductSprint Backlog'!$I303=J$2), 'ProductSprint Backlog'!$F303, TRUE, 0)</f>
        <v/>
      </c>
      <c r="K303" s="4" t="str" cm="1">
        <f t="array" ref="K303">_xlfn.IFS('ProductSprint Backlog'!$F303="", "", AND('ProductSprint Backlog'!$J303&gt;K$2,'ProductSprint Backlog'!$I303&lt;=K$2), 'ProductSprint Backlog'!$F303 / MAX(1, 'ProductSprint Backlog'!$J303-'ProductSprint Backlog'!$I303), AND('ProductSprint Backlog'!$J303=K$2,'ProductSprint Backlog'!$I303=K$2), 'ProductSprint Backlog'!$F303, TRUE, 0)</f>
        <v/>
      </c>
      <c r="L303" s="4" t="str" cm="1">
        <f t="array" ref="L303">_xlfn.IFS('ProductSprint Backlog'!$F303="", "", AND('ProductSprint Backlog'!$J303&gt;L$2,'ProductSprint Backlog'!$I303&lt;=L$2), 'ProductSprint Backlog'!$F303 / MAX(1, 'ProductSprint Backlog'!$J303-'ProductSprint Backlog'!$I303), AND('ProductSprint Backlog'!$J303=L$2,'ProductSprint Backlog'!$I303=L$2), 'ProductSprint Backlog'!$F303, TRUE, 0)</f>
        <v/>
      </c>
      <c r="M303" s="4" t="str" cm="1">
        <f t="array" ref="M303">_xlfn.IFS('ProductSprint Backlog'!$F303="", "", AND('ProductSprint Backlog'!$J303&gt;M$2,'ProductSprint Backlog'!$I303&lt;=M$2), 'ProductSprint Backlog'!$F303 / MAX(1, 'ProductSprint Backlog'!$J303-'ProductSprint Backlog'!$I303), AND('ProductSprint Backlog'!$J303=M$2,'ProductSprint Backlog'!$I303=M$2), 'ProductSprint Backlog'!$F303, TRUE, 0)</f>
        <v/>
      </c>
      <c r="N303" s="4" t="str" cm="1">
        <f t="array" ref="N303">_xlfn.IFS('ProductSprint Backlog'!$F303="", "", AND('ProductSprint Backlog'!$J303&gt;N$2,'ProductSprint Backlog'!$I303&lt;=N$2), 'ProductSprint Backlog'!$F303 / MAX(1, 'ProductSprint Backlog'!$J303-'ProductSprint Backlog'!$I303), AND('ProductSprint Backlog'!$J303=N$2,'ProductSprint Backlog'!$I303=N$2), 'ProductSprint Backlog'!$F303, TRUE, 0)</f>
        <v/>
      </c>
      <c r="O303" s="4" t="str" cm="1">
        <f t="array" ref="O303">_xlfn.IFS('ProductSprint Backlog'!$F303="", "", AND('ProductSprint Backlog'!$J303&gt;O$2,'ProductSprint Backlog'!$I303&lt;=O$2), 'ProductSprint Backlog'!$F303 / MAX(1, 'ProductSprint Backlog'!$J303-'ProductSprint Backlog'!$I303), AND('ProductSprint Backlog'!$J303=O$2,'ProductSprint Backlog'!$I303=O$2), 'ProductSprint Backlog'!$F303, TRUE, 0)</f>
        <v/>
      </c>
      <c r="P303" s="4" t="str" cm="1">
        <f t="array" ref="P303">_xlfn.IFS('ProductSprint Backlog'!$F303="", "", AND('ProductSprint Backlog'!$J303&gt;P$2,'ProductSprint Backlog'!$I303&lt;=P$2), 'ProductSprint Backlog'!$F303 / MAX(1, 'ProductSprint Backlog'!$J303-'ProductSprint Backlog'!$I303), AND('ProductSprint Backlog'!$J303=P$2,'ProductSprint Backlog'!$I303=P$2), 'ProductSprint Backlog'!$F303, TRUE, 0)</f>
        <v/>
      </c>
      <c r="Q303" s="4" t="str" cm="1">
        <f t="array" ref="Q303">_xlfn.IFS('ProductSprint Backlog'!$F303="", "", AND('ProductSprint Backlog'!$J303&gt;Q$2,'ProductSprint Backlog'!$I303&lt;=Q$2), 'ProductSprint Backlog'!$F303 / MAX(1, 'ProductSprint Backlog'!$J303-'ProductSprint Backlog'!$I303), AND('ProductSprint Backlog'!$J303=Q$2,'ProductSprint Backlog'!$I303=Q$2), 'ProductSprint Backlog'!$F303, TRUE, 0)</f>
        <v/>
      </c>
    </row>
    <row r="304" spans="2:17" x14ac:dyDescent="0.2">
      <c r="B304" s="4" t="str" cm="1">
        <f t="array" ref="B304">_xlfn.IFS('ProductSprint Backlog'!$F304="", "", AND('ProductSprint Backlog'!$J304&gt;B$2,'ProductSprint Backlog'!$I304&lt;=B$2), 'ProductSprint Backlog'!$F304 / MAX(1, 'ProductSprint Backlog'!$J304-'ProductSprint Backlog'!$I304), AND('ProductSprint Backlog'!$J304=B$2,'ProductSprint Backlog'!$I304=B$2), 'ProductSprint Backlog'!$F304, TRUE, 0)</f>
        <v/>
      </c>
      <c r="C304" s="4" t="str" cm="1">
        <f t="array" ref="C304">_xlfn.IFS('ProductSprint Backlog'!$F304="", "", AND('ProductSprint Backlog'!$J304&gt;C$2,'ProductSprint Backlog'!$I304&lt;=C$2), 'ProductSprint Backlog'!$F304 / MAX(1, 'ProductSprint Backlog'!$J304-'ProductSprint Backlog'!$I304), AND('ProductSprint Backlog'!$J304=C$2,'ProductSprint Backlog'!$I304=C$2), 'ProductSprint Backlog'!$F304, TRUE, 0)</f>
        <v/>
      </c>
      <c r="D304" s="4" t="str" cm="1">
        <f t="array" ref="D304">_xlfn.IFS('ProductSprint Backlog'!$F304="", "", AND('ProductSprint Backlog'!$J304&gt;D$2,'ProductSprint Backlog'!$I304&lt;=D$2), 'ProductSprint Backlog'!$F304 / MAX(1, 'ProductSprint Backlog'!$J304-'ProductSprint Backlog'!$I304), AND('ProductSprint Backlog'!$J304=D$2,'ProductSprint Backlog'!$I304=D$2), 'ProductSprint Backlog'!$F304, TRUE, 0)</f>
        <v/>
      </c>
      <c r="E304" s="4" t="str" cm="1">
        <f t="array" ref="E304">_xlfn.IFS('ProductSprint Backlog'!$F304="", "", AND('ProductSprint Backlog'!$J304&gt;E$2,'ProductSprint Backlog'!$I304&lt;=E$2), 'ProductSprint Backlog'!$F304 / MAX(1, 'ProductSprint Backlog'!$J304-'ProductSprint Backlog'!$I304), AND('ProductSprint Backlog'!$J304=E$2,'ProductSprint Backlog'!$I304=E$2), 'ProductSprint Backlog'!$F304, TRUE, 0)</f>
        <v/>
      </c>
      <c r="F304" s="4" t="str" cm="1">
        <f t="array" ref="F304">_xlfn.IFS('ProductSprint Backlog'!$F304="", "", AND('ProductSprint Backlog'!$J304&gt;F$2,'ProductSprint Backlog'!$I304&lt;=F$2), 'ProductSprint Backlog'!$F304 / MAX(1, 'ProductSprint Backlog'!$J304-'ProductSprint Backlog'!$I304), AND('ProductSprint Backlog'!$J304=F$2,'ProductSprint Backlog'!$I304=F$2), 'ProductSprint Backlog'!$F304, TRUE, 0)</f>
        <v/>
      </c>
      <c r="G304" s="4" t="str" cm="1">
        <f t="array" ref="G304">_xlfn.IFS('ProductSprint Backlog'!$F304="", "", AND('ProductSprint Backlog'!$J304&gt;G$2,'ProductSprint Backlog'!$I304&lt;=G$2), 'ProductSprint Backlog'!$F304 / MAX(1, 'ProductSprint Backlog'!$J304-'ProductSprint Backlog'!$I304), AND('ProductSprint Backlog'!$J304=G$2,'ProductSprint Backlog'!$I304=G$2), 'ProductSprint Backlog'!$F304, TRUE, 0)</f>
        <v/>
      </c>
      <c r="H304" s="4" t="str" cm="1">
        <f t="array" ref="H304">_xlfn.IFS('ProductSprint Backlog'!$F304="", "", AND('ProductSprint Backlog'!$J304&gt;H$2,'ProductSprint Backlog'!$I304&lt;=H$2), 'ProductSprint Backlog'!$F304 / MAX(1, 'ProductSprint Backlog'!$J304-'ProductSprint Backlog'!$I304), AND('ProductSprint Backlog'!$J304=H$2,'ProductSprint Backlog'!$I304=H$2), 'ProductSprint Backlog'!$F304, TRUE, 0)</f>
        <v/>
      </c>
      <c r="I304" s="4" t="str" cm="1">
        <f t="array" ref="I304">_xlfn.IFS('ProductSprint Backlog'!$F304="", "", AND('ProductSprint Backlog'!$J304&gt;I$2,'ProductSprint Backlog'!$I304&lt;=I$2), 'ProductSprint Backlog'!$F304 / MAX(1, 'ProductSprint Backlog'!$J304-'ProductSprint Backlog'!$I304), AND('ProductSprint Backlog'!$J304=I$2,'ProductSprint Backlog'!$I304=I$2), 'ProductSprint Backlog'!$F304, TRUE, 0)</f>
        <v/>
      </c>
      <c r="J304" s="4" t="str" cm="1">
        <f t="array" ref="J304">_xlfn.IFS('ProductSprint Backlog'!$F304="", "", AND('ProductSprint Backlog'!$J304&gt;J$2,'ProductSprint Backlog'!$I304&lt;=J$2), 'ProductSprint Backlog'!$F304 / MAX(1, 'ProductSprint Backlog'!$J304-'ProductSprint Backlog'!$I304), AND('ProductSprint Backlog'!$J304=J$2,'ProductSprint Backlog'!$I304=J$2), 'ProductSprint Backlog'!$F304, TRUE, 0)</f>
        <v/>
      </c>
      <c r="K304" s="4" t="str" cm="1">
        <f t="array" ref="K304">_xlfn.IFS('ProductSprint Backlog'!$F304="", "", AND('ProductSprint Backlog'!$J304&gt;K$2,'ProductSprint Backlog'!$I304&lt;=K$2), 'ProductSprint Backlog'!$F304 / MAX(1, 'ProductSprint Backlog'!$J304-'ProductSprint Backlog'!$I304), AND('ProductSprint Backlog'!$J304=K$2,'ProductSprint Backlog'!$I304=K$2), 'ProductSprint Backlog'!$F304, TRUE, 0)</f>
        <v/>
      </c>
      <c r="L304" s="4" t="str" cm="1">
        <f t="array" ref="L304">_xlfn.IFS('ProductSprint Backlog'!$F304="", "", AND('ProductSprint Backlog'!$J304&gt;L$2,'ProductSprint Backlog'!$I304&lt;=L$2), 'ProductSprint Backlog'!$F304 / MAX(1, 'ProductSprint Backlog'!$J304-'ProductSprint Backlog'!$I304), AND('ProductSprint Backlog'!$J304=L$2,'ProductSprint Backlog'!$I304=L$2), 'ProductSprint Backlog'!$F304, TRUE, 0)</f>
        <v/>
      </c>
      <c r="M304" s="4" t="str" cm="1">
        <f t="array" ref="M304">_xlfn.IFS('ProductSprint Backlog'!$F304="", "", AND('ProductSprint Backlog'!$J304&gt;M$2,'ProductSprint Backlog'!$I304&lt;=M$2), 'ProductSprint Backlog'!$F304 / MAX(1, 'ProductSprint Backlog'!$J304-'ProductSprint Backlog'!$I304), AND('ProductSprint Backlog'!$J304=M$2,'ProductSprint Backlog'!$I304=M$2), 'ProductSprint Backlog'!$F304, TRUE, 0)</f>
        <v/>
      </c>
      <c r="N304" s="4" t="str" cm="1">
        <f t="array" ref="N304">_xlfn.IFS('ProductSprint Backlog'!$F304="", "", AND('ProductSprint Backlog'!$J304&gt;N$2,'ProductSprint Backlog'!$I304&lt;=N$2), 'ProductSprint Backlog'!$F304 / MAX(1, 'ProductSprint Backlog'!$J304-'ProductSprint Backlog'!$I304), AND('ProductSprint Backlog'!$J304=N$2,'ProductSprint Backlog'!$I304=N$2), 'ProductSprint Backlog'!$F304, TRUE, 0)</f>
        <v/>
      </c>
      <c r="O304" s="4" t="str" cm="1">
        <f t="array" ref="O304">_xlfn.IFS('ProductSprint Backlog'!$F304="", "", AND('ProductSprint Backlog'!$J304&gt;O$2,'ProductSprint Backlog'!$I304&lt;=O$2), 'ProductSprint Backlog'!$F304 / MAX(1, 'ProductSprint Backlog'!$J304-'ProductSprint Backlog'!$I304), AND('ProductSprint Backlog'!$J304=O$2,'ProductSprint Backlog'!$I304=O$2), 'ProductSprint Backlog'!$F304, TRUE, 0)</f>
        <v/>
      </c>
      <c r="P304" s="4" t="str" cm="1">
        <f t="array" ref="P304">_xlfn.IFS('ProductSprint Backlog'!$F304="", "", AND('ProductSprint Backlog'!$J304&gt;P$2,'ProductSprint Backlog'!$I304&lt;=P$2), 'ProductSprint Backlog'!$F304 / MAX(1, 'ProductSprint Backlog'!$J304-'ProductSprint Backlog'!$I304), AND('ProductSprint Backlog'!$J304=P$2,'ProductSprint Backlog'!$I304=P$2), 'ProductSprint Backlog'!$F304, TRUE, 0)</f>
        <v/>
      </c>
      <c r="Q304" s="4" t="str" cm="1">
        <f t="array" ref="Q304">_xlfn.IFS('ProductSprint Backlog'!$F304="", "", AND('ProductSprint Backlog'!$J304&gt;Q$2,'ProductSprint Backlog'!$I304&lt;=Q$2), 'ProductSprint Backlog'!$F304 / MAX(1, 'ProductSprint Backlog'!$J304-'ProductSprint Backlog'!$I304), AND('ProductSprint Backlog'!$J304=Q$2,'ProductSprint Backlog'!$I304=Q$2), 'ProductSprint Backlog'!$F304, TRUE, 0)</f>
        <v/>
      </c>
    </row>
    <row r="305" spans="2:17" x14ac:dyDescent="0.2">
      <c r="B305" s="4" t="str" cm="1">
        <f t="array" ref="B305">_xlfn.IFS('ProductSprint Backlog'!$F305="", "", AND('ProductSprint Backlog'!$J305&gt;B$2,'ProductSprint Backlog'!$I305&lt;=B$2), 'ProductSprint Backlog'!$F305 / MAX(1, 'ProductSprint Backlog'!$J305-'ProductSprint Backlog'!$I305), AND('ProductSprint Backlog'!$J305=B$2,'ProductSprint Backlog'!$I305=B$2), 'ProductSprint Backlog'!$F305, TRUE, 0)</f>
        <v/>
      </c>
      <c r="C305" s="4" t="str" cm="1">
        <f t="array" ref="C305">_xlfn.IFS('ProductSprint Backlog'!$F305="", "", AND('ProductSprint Backlog'!$J305&gt;C$2,'ProductSprint Backlog'!$I305&lt;=C$2), 'ProductSprint Backlog'!$F305 / MAX(1, 'ProductSprint Backlog'!$J305-'ProductSprint Backlog'!$I305), AND('ProductSprint Backlog'!$J305=C$2,'ProductSprint Backlog'!$I305=C$2), 'ProductSprint Backlog'!$F305, TRUE, 0)</f>
        <v/>
      </c>
      <c r="D305" s="4" t="str" cm="1">
        <f t="array" ref="D305">_xlfn.IFS('ProductSprint Backlog'!$F305="", "", AND('ProductSprint Backlog'!$J305&gt;D$2,'ProductSprint Backlog'!$I305&lt;=D$2), 'ProductSprint Backlog'!$F305 / MAX(1, 'ProductSprint Backlog'!$J305-'ProductSprint Backlog'!$I305), AND('ProductSprint Backlog'!$J305=D$2,'ProductSprint Backlog'!$I305=D$2), 'ProductSprint Backlog'!$F305, TRUE, 0)</f>
        <v/>
      </c>
      <c r="E305" s="4" t="str" cm="1">
        <f t="array" ref="E305">_xlfn.IFS('ProductSprint Backlog'!$F305="", "", AND('ProductSprint Backlog'!$J305&gt;E$2,'ProductSprint Backlog'!$I305&lt;=E$2), 'ProductSprint Backlog'!$F305 / MAX(1, 'ProductSprint Backlog'!$J305-'ProductSprint Backlog'!$I305), AND('ProductSprint Backlog'!$J305=E$2,'ProductSprint Backlog'!$I305=E$2), 'ProductSprint Backlog'!$F305, TRUE, 0)</f>
        <v/>
      </c>
      <c r="F305" s="4" t="str" cm="1">
        <f t="array" ref="F305">_xlfn.IFS('ProductSprint Backlog'!$F305="", "", AND('ProductSprint Backlog'!$J305&gt;F$2,'ProductSprint Backlog'!$I305&lt;=F$2), 'ProductSprint Backlog'!$F305 / MAX(1, 'ProductSprint Backlog'!$J305-'ProductSprint Backlog'!$I305), AND('ProductSprint Backlog'!$J305=F$2,'ProductSprint Backlog'!$I305=F$2), 'ProductSprint Backlog'!$F305, TRUE, 0)</f>
        <v/>
      </c>
      <c r="G305" s="4" t="str" cm="1">
        <f t="array" ref="G305">_xlfn.IFS('ProductSprint Backlog'!$F305="", "", AND('ProductSprint Backlog'!$J305&gt;G$2,'ProductSprint Backlog'!$I305&lt;=G$2), 'ProductSprint Backlog'!$F305 / MAX(1, 'ProductSprint Backlog'!$J305-'ProductSprint Backlog'!$I305), AND('ProductSprint Backlog'!$J305=G$2,'ProductSprint Backlog'!$I305=G$2), 'ProductSprint Backlog'!$F305, TRUE, 0)</f>
        <v/>
      </c>
      <c r="H305" s="4" t="str" cm="1">
        <f t="array" ref="H305">_xlfn.IFS('ProductSprint Backlog'!$F305="", "", AND('ProductSprint Backlog'!$J305&gt;H$2,'ProductSprint Backlog'!$I305&lt;=H$2), 'ProductSprint Backlog'!$F305 / MAX(1, 'ProductSprint Backlog'!$J305-'ProductSprint Backlog'!$I305), AND('ProductSprint Backlog'!$J305=H$2,'ProductSprint Backlog'!$I305=H$2), 'ProductSprint Backlog'!$F305, TRUE, 0)</f>
        <v/>
      </c>
      <c r="I305" s="4" t="str" cm="1">
        <f t="array" ref="I305">_xlfn.IFS('ProductSprint Backlog'!$F305="", "", AND('ProductSprint Backlog'!$J305&gt;I$2,'ProductSprint Backlog'!$I305&lt;=I$2), 'ProductSprint Backlog'!$F305 / MAX(1, 'ProductSprint Backlog'!$J305-'ProductSprint Backlog'!$I305), AND('ProductSprint Backlog'!$J305=I$2,'ProductSprint Backlog'!$I305=I$2), 'ProductSprint Backlog'!$F305, TRUE, 0)</f>
        <v/>
      </c>
      <c r="J305" s="4" t="str" cm="1">
        <f t="array" ref="J305">_xlfn.IFS('ProductSprint Backlog'!$F305="", "", AND('ProductSprint Backlog'!$J305&gt;J$2,'ProductSprint Backlog'!$I305&lt;=J$2), 'ProductSprint Backlog'!$F305 / MAX(1, 'ProductSprint Backlog'!$J305-'ProductSprint Backlog'!$I305), AND('ProductSprint Backlog'!$J305=J$2,'ProductSprint Backlog'!$I305=J$2), 'ProductSprint Backlog'!$F305, TRUE, 0)</f>
        <v/>
      </c>
      <c r="K305" s="4" t="str" cm="1">
        <f t="array" ref="K305">_xlfn.IFS('ProductSprint Backlog'!$F305="", "", AND('ProductSprint Backlog'!$J305&gt;K$2,'ProductSprint Backlog'!$I305&lt;=K$2), 'ProductSprint Backlog'!$F305 / MAX(1, 'ProductSprint Backlog'!$J305-'ProductSprint Backlog'!$I305), AND('ProductSprint Backlog'!$J305=K$2,'ProductSprint Backlog'!$I305=K$2), 'ProductSprint Backlog'!$F305, TRUE, 0)</f>
        <v/>
      </c>
      <c r="L305" s="4" t="str" cm="1">
        <f t="array" ref="L305">_xlfn.IFS('ProductSprint Backlog'!$F305="", "", AND('ProductSprint Backlog'!$J305&gt;L$2,'ProductSprint Backlog'!$I305&lt;=L$2), 'ProductSprint Backlog'!$F305 / MAX(1, 'ProductSprint Backlog'!$J305-'ProductSprint Backlog'!$I305), AND('ProductSprint Backlog'!$J305=L$2,'ProductSprint Backlog'!$I305=L$2), 'ProductSprint Backlog'!$F305, TRUE, 0)</f>
        <v/>
      </c>
      <c r="M305" s="4" t="str" cm="1">
        <f t="array" ref="M305">_xlfn.IFS('ProductSprint Backlog'!$F305="", "", AND('ProductSprint Backlog'!$J305&gt;M$2,'ProductSprint Backlog'!$I305&lt;=M$2), 'ProductSprint Backlog'!$F305 / MAX(1, 'ProductSprint Backlog'!$J305-'ProductSprint Backlog'!$I305), AND('ProductSprint Backlog'!$J305=M$2,'ProductSprint Backlog'!$I305=M$2), 'ProductSprint Backlog'!$F305, TRUE, 0)</f>
        <v/>
      </c>
      <c r="N305" s="4" t="str" cm="1">
        <f t="array" ref="N305">_xlfn.IFS('ProductSprint Backlog'!$F305="", "", AND('ProductSprint Backlog'!$J305&gt;N$2,'ProductSprint Backlog'!$I305&lt;=N$2), 'ProductSprint Backlog'!$F305 / MAX(1, 'ProductSprint Backlog'!$J305-'ProductSprint Backlog'!$I305), AND('ProductSprint Backlog'!$J305=N$2,'ProductSprint Backlog'!$I305=N$2), 'ProductSprint Backlog'!$F305, TRUE, 0)</f>
        <v/>
      </c>
      <c r="O305" s="4" t="str" cm="1">
        <f t="array" ref="O305">_xlfn.IFS('ProductSprint Backlog'!$F305="", "", AND('ProductSprint Backlog'!$J305&gt;O$2,'ProductSprint Backlog'!$I305&lt;=O$2), 'ProductSprint Backlog'!$F305 / MAX(1, 'ProductSprint Backlog'!$J305-'ProductSprint Backlog'!$I305), AND('ProductSprint Backlog'!$J305=O$2,'ProductSprint Backlog'!$I305=O$2), 'ProductSprint Backlog'!$F305, TRUE, 0)</f>
        <v/>
      </c>
      <c r="P305" s="4" t="str" cm="1">
        <f t="array" ref="P305">_xlfn.IFS('ProductSprint Backlog'!$F305="", "", AND('ProductSprint Backlog'!$J305&gt;P$2,'ProductSprint Backlog'!$I305&lt;=P$2), 'ProductSprint Backlog'!$F305 / MAX(1, 'ProductSprint Backlog'!$J305-'ProductSprint Backlog'!$I305), AND('ProductSprint Backlog'!$J305=P$2,'ProductSprint Backlog'!$I305=P$2), 'ProductSprint Backlog'!$F305, TRUE, 0)</f>
        <v/>
      </c>
      <c r="Q305" s="4" t="str" cm="1">
        <f t="array" ref="Q305">_xlfn.IFS('ProductSprint Backlog'!$F305="", "", AND('ProductSprint Backlog'!$J305&gt;Q$2,'ProductSprint Backlog'!$I305&lt;=Q$2), 'ProductSprint Backlog'!$F305 / MAX(1, 'ProductSprint Backlog'!$J305-'ProductSprint Backlog'!$I305), AND('ProductSprint Backlog'!$J305=Q$2,'ProductSprint Backlog'!$I305=Q$2), 'ProductSprint Backlog'!$F305, TRUE, 0)</f>
        <v/>
      </c>
    </row>
    <row r="306" spans="2:17" x14ac:dyDescent="0.2">
      <c r="B306" s="4" t="str" cm="1">
        <f t="array" ref="B306">_xlfn.IFS('ProductSprint Backlog'!$F306="", "", AND('ProductSprint Backlog'!$J306&gt;B$2,'ProductSprint Backlog'!$I306&lt;=B$2), 'ProductSprint Backlog'!$F306 / MAX(1, 'ProductSprint Backlog'!$J306-'ProductSprint Backlog'!$I306), AND('ProductSprint Backlog'!$J306=B$2,'ProductSprint Backlog'!$I306=B$2), 'ProductSprint Backlog'!$F306, TRUE, 0)</f>
        <v/>
      </c>
      <c r="C306" s="4" t="str" cm="1">
        <f t="array" ref="C306">_xlfn.IFS('ProductSprint Backlog'!$F306="", "", AND('ProductSprint Backlog'!$J306&gt;C$2,'ProductSprint Backlog'!$I306&lt;=C$2), 'ProductSprint Backlog'!$F306 / MAX(1, 'ProductSprint Backlog'!$J306-'ProductSprint Backlog'!$I306), AND('ProductSprint Backlog'!$J306=C$2,'ProductSprint Backlog'!$I306=C$2), 'ProductSprint Backlog'!$F306, TRUE, 0)</f>
        <v/>
      </c>
      <c r="D306" s="4" t="str" cm="1">
        <f t="array" ref="D306">_xlfn.IFS('ProductSprint Backlog'!$F306="", "", AND('ProductSprint Backlog'!$J306&gt;D$2,'ProductSprint Backlog'!$I306&lt;=D$2), 'ProductSprint Backlog'!$F306 / MAX(1, 'ProductSprint Backlog'!$J306-'ProductSprint Backlog'!$I306), AND('ProductSprint Backlog'!$J306=D$2,'ProductSprint Backlog'!$I306=D$2), 'ProductSprint Backlog'!$F306, TRUE, 0)</f>
        <v/>
      </c>
      <c r="E306" s="4" t="str" cm="1">
        <f t="array" ref="E306">_xlfn.IFS('ProductSprint Backlog'!$F306="", "", AND('ProductSprint Backlog'!$J306&gt;E$2,'ProductSprint Backlog'!$I306&lt;=E$2), 'ProductSprint Backlog'!$F306 / MAX(1, 'ProductSprint Backlog'!$J306-'ProductSprint Backlog'!$I306), AND('ProductSprint Backlog'!$J306=E$2,'ProductSprint Backlog'!$I306=E$2), 'ProductSprint Backlog'!$F306, TRUE, 0)</f>
        <v/>
      </c>
      <c r="F306" s="4" t="str" cm="1">
        <f t="array" ref="F306">_xlfn.IFS('ProductSprint Backlog'!$F306="", "", AND('ProductSprint Backlog'!$J306&gt;F$2,'ProductSprint Backlog'!$I306&lt;=F$2), 'ProductSprint Backlog'!$F306 / MAX(1, 'ProductSprint Backlog'!$J306-'ProductSprint Backlog'!$I306), AND('ProductSprint Backlog'!$J306=F$2,'ProductSprint Backlog'!$I306=F$2), 'ProductSprint Backlog'!$F306, TRUE, 0)</f>
        <v/>
      </c>
      <c r="G306" s="4" t="str" cm="1">
        <f t="array" ref="G306">_xlfn.IFS('ProductSprint Backlog'!$F306="", "", AND('ProductSprint Backlog'!$J306&gt;G$2,'ProductSprint Backlog'!$I306&lt;=G$2), 'ProductSprint Backlog'!$F306 / MAX(1, 'ProductSprint Backlog'!$J306-'ProductSprint Backlog'!$I306), AND('ProductSprint Backlog'!$J306=G$2,'ProductSprint Backlog'!$I306=G$2), 'ProductSprint Backlog'!$F306, TRUE, 0)</f>
        <v/>
      </c>
      <c r="H306" s="4" t="str" cm="1">
        <f t="array" ref="H306">_xlfn.IFS('ProductSprint Backlog'!$F306="", "", AND('ProductSprint Backlog'!$J306&gt;H$2,'ProductSprint Backlog'!$I306&lt;=H$2), 'ProductSprint Backlog'!$F306 / MAX(1, 'ProductSprint Backlog'!$J306-'ProductSprint Backlog'!$I306), AND('ProductSprint Backlog'!$J306=H$2,'ProductSprint Backlog'!$I306=H$2), 'ProductSprint Backlog'!$F306, TRUE, 0)</f>
        <v/>
      </c>
      <c r="I306" s="4" t="str" cm="1">
        <f t="array" ref="I306">_xlfn.IFS('ProductSprint Backlog'!$F306="", "", AND('ProductSprint Backlog'!$J306&gt;I$2,'ProductSprint Backlog'!$I306&lt;=I$2), 'ProductSprint Backlog'!$F306 / MAX(1, 'ProductSprint Backlog'!$J306-'ProductSprint Backlog'!$I306), AND('ProductSprint Backlog'!$J306=I$2,'ProductSprint Backlog'!$I306=I$2), 'ProductSprint Backlog'!$F306, TRUE, 0)</f>
        <v/>
      </c>
      <c r="J306" s="4" t="str" cm="1">
        <f t="array" ref="J306">_xlfn.IFS('ProductSprint Backlog'!$F306="", "", AND('ProductSprint Backlog'!$J306&gt;J$2,'ProductSprint Backlog'!$I306&lt;=J$2), 'ProductSprint Backlog'!$F306 / MAX(1, 'ProductSprint Backlog'!$J306-'ProductSprint Backlog'!$I306), AND('ProductSprint Backlog'!$J306=J$2,'ProductSprint Backlog'!$I306=J$2), 'ProductSprint Backlog'!$F306, TRUE, 0)</f>
        <v/>
      </c>
      <c r="K306" s="4" t="str" cm="1">
        <f t="array" ref="K306">_xlfn.IFS('ProductSprint Backlog'!$F306="", "", AND('ProductSprint Backlog'!$J306&gt;K$2,'ProductSprint Backlog'!$I306&lt;=K$2), 'ProductSprint Backlog'!$F306 / MAX(1, 'ProductSprint Backlog'!$J306-'ProductSprint Backlog'!$I306), AND('ProductSprint Backlog'!$J306=K$2,'ProductSprint Backlog'!$I306=K$2), 'ProductSprint Backlog'!$F306, TRUE, 0)</f>
        <v/>
      </c>
      <c r="L306" s="4" t="str" cm="1">
        <f t="array" ref="L306">_xlfn.IFS('ProductSprint Backlog'!$F306="", "", AND('ProductSprint Backlog'!$J306&gt;L$2,'ProductSprint Backlog'!$I306&lt;=L$2), 'ProductSprint Backlog'!$F306 / MAX(1, 'ProductSprint Backlog'!$J306-'ProductSprint Backlog'!$I306), AND('ProductSprint Backlog'!$J306=L$2,'ProductSprint Backlog'!$I306=L$2), 'ProductSprint Backlog'!$F306, TRUE, 0)</f>
        <v/>
      </c>
      <c r="M306" s="4" t="str" cm="1">
        <f t="array" ref="M306">_xlfn.IFS('ProductSprint Backlog'!$F306="", "", AND('ProductSprint Backlog'!$J306&gt;M$2,'ProductSprint Backlog'!$I306&lt;=M$2), 'ProductSprint Backlog'!$F306 / MAX(1, 'ProductSprint Backlog'!$J306-'ProductSprint Backlog'!$I306), AND('ProductSprint Backlog'!$J306=M$2,'ProductSprint Backlog'!$I306=M$2), 'ProductSprint Backlog'!$F306, TRUE, 0)</f>
        <v/>
      </c>
      <c r="N306" s="4" t="str" cm="1">
        <f t="array" ref="N306">_xlfn.IFS('ProductSprint Backlog'!$F306="", "", AND('ProductSprint Backlog'!$J306&gt;N$2,'ProductSprint Backlog'!$I306&lt;=N$2), 'ProductSprint Backlog'!$F306 / MAX(1, 'ProductSprint Backlog'!$J306-'ProductSprint Backlog'!$I306), AND('ProductSprint Backlog'!$J306=N$2,'ProductSprint Backlog'!$I306=N$2), 'ProductSprint Backlog'!$F306, TRUE, 0)</f>
        <v/>
      </c>
      <c r="O306" s="4" t="str" cm="1">
        <f t="array" ref="O306">_xlfn.IFS('ProductSprint Backlog'!$F306="", "", AND('ProductSprint Backlog'!$J306&gt;O$2,'ProductSprint Backlog'!$I306&lt;=O$2), 'ProductSprint Backlog'!$F306 / MAX(1, 'ProductSprint Backlog'!$J306-'ProductSprint Backlog'!$I306), AND('ProductSprint Backlog'!$J306=O$2,'ProductSprint Backlog'!$I306=O$2), 'ProductSprint Backlog'!$F306, TRUE, 0)</f>
        <v/>
      </c>
      <c r="P306" s="4" t="str" cm="1">
        <f t="array" ref="P306">_xlfn.IFS('ProductSprint Backlog'!$F306="", "", AND('ProductSprint Backlog'!$J306&gt;P$2,'ProductSprint Backlog'!$I306&lt;=P$2), 'ProductSprint Backlog'!$F306 / MAX(1, 'ProductSprint Backlog'!$J306-'ProductSprint Backlog'!$I306), AND('ProductSprint Backlog'!$J306=P$2,'ProductSprint Backlog'!$I306=P$2), 'ProductSprint Backlog'!$F306, TRUE, 0)</f>
        <v/>
      </c>
      <c r="Q306" s="4" t="str" cm="1">
        <f t="array" ref="Q306">_xlfn.IFS('ProductSprint Backlog'!$F306="", "", AND('ProductSprint Backlog'!$J306&gt;Q$2,'ProductSprint Backlog'!$I306&lt;=Q$2), 'ProductSprint Backlog'!$F306 / MAX(1, 'ProductSprint Backlog'!$J306-'ProductSprint Backlog'!$I306), AND('ProductSprint Backlog'!$J306=Q$2,'ProductSprint Backlog'!$I306=Q$2), 'ProductSprint Backlog'!$F306, TRUE, 0)</f>
        <v/>
      </c>
    </row>
    <row r="307" spans="2:17" x14ac:dyDescent="0.2">
      <c r="B307" s="4" t="str" cm="1">
        <f t="array" ref="B307">_xlfn.IFS('ProductSprint Backlog'!$F307="", "", AND('ProductSprint Backlog'!$J307&gt;B$2,'ProductSprint Backlog'!$I307&lt;=B$2), 'ProductSprint Backlog'!$F307 / MAX(1, 'ProductSprint Backlog'!$J307-'ProductSprint Backlog'!$I307), AND('ProductSprint Backlog'!$J307=B$2,'ProductSprint Backlog'!$I307=B$2), 'ProductSprint Backlog'!$F307, TRUE, 0)</f>
        <v/>
      </c>
      <c r="C307" s="4" t="str" cm="1">
        <f t="array" ref="C307">_xlfn.IFS('ProductSprint Backlog'!$F307="", "", AND('ProductSprint Backlog'!$J307&gt;C$2,'ProductSprint Backlog'!$I307&lt;=C$2), 'ProductSprint Backlog'!$F307 / MAX(1, 'ProductSprint Backlog'!$J307-'ProductSprint Backlog'!$I307), AND('ProductSprint Backlog'!$J307=C$2,'ProductSprint Backlog'!$I307=C$2), 'ProductSprint Backlog'!$F307, TRUE, 0)</f>
        <v/>
      </c>
      <c r="D307" s="4" t="str" cm="1">
        <f t="array" ref="D307">_xlfn.IFS('ProductSprint Backlog'!$F307="", "", AND('ProductSprint Backlog'!$J307&gt;D$2,'ProductSprint Backlog'!$I307&lt;=D$2), 'ProductSprint Backlog'!$F307 / MAX(1, 'ProductSprint Backlog'!$J307-'ProductSprint Backlog'!$I307), AND('ProductSprint Backlog'!$J307=D$2,'ProductSprint Backlog'!$I307=D$2), 'ProductSprint Backlog'!$F307, TRUE, 0)</f>
        <v/>
      </c>
      <c r="E307" s="4" t="str" cm="1">
        <f t="array" ref="E307">_xlfn.IFS('ProductSprint Backlog'!$F307="", "", AND('ProductSprint Backlog'!$J307&gt;E$2,'ProductSprint Backlog'!$I307&lt;=E$2), 'ProductSprint Backlog'!$F307 / MAX(1, 'ProductSprint Backlog'!$J307-'ProductSprint Backlog'!$I307), AND('ProductSprint Backlog'!$J307=E$2,'ProductSprint Backlog'!$I307=E$2), 'ProductSprint Backlog'!$F307, TRUE, 0)</f>
        <v/>
      </c>
      <c r="F307" s="4" t="str" cm="1">
        <f t="array" ref="F307">_xlfn.IFS('ProductSprint Backlog'!$F307="", "", AND('ProductSprint Backlog'!$J307&gt;F$2,'ProductSprint Backlog'!$I307&lt;=F$2), 'ProductSprint Backlog'!$F307 / MAX(1, 'ProductSprint Backlog'!$J307-'ProductSprint Backlog'!$I307), AND('ProductSprint Backlog'!$J307=F$2,'ProductSprint Backlog'!$I307=F$2), 'ProductSprint Backlog'!$F307, TRUE, 0)</f>
        <v/>
      </c>
      <c r="G307" s="4" t="str" cm="1">
        <f t="array" ref="G307">_xlfn.IFS('ProductSprint Backlog'!$F307="", "", AND('ProductSprint Backlog'!$J307&gt;G$2,'ProductSprint Backlog'!$I307&lt;=G$2), 'ProductSprint Backlog'!$F307 / MAX(1, 'ProductSprint Backlog'!$J307-'ProductSprint Backlog'!$I307), AND('ProductSprint Backlog'!$J307=G$2,'ProductSprint Backlog'!$I307=G$2), 'ProductSprint Backlog'!$F307, TRUE, 0)</f>
        <v/>
      </c>
      <c r="H307" s="4" t="str" cm="1">
        <f t="array" ref="H307">_xlfn.IFS('ProductSprint Backlog'!$F307="", "", AND('ProductSprint Backlog'!$J307&gt;H$2,'ProductSprint Backlog'!$I307&lt;=H$2), 'ProductSprint Backlog'!$F307 / MAX(1, 'ProductSprint Backlog'!$J307-'ProductSprint Backlog'!$I307), AND('ProductSprint Backlog'!$J307=H$2,'ProductSprint Backlog'!$I307=H$2), 'ProductSprint Backlog'!$F307, TRUE, 0)</f>
        <v/>
      </c>
      <c r="I307" s="4" t="str" cm="1">
        <f t="array" ref="I307">_xlfn.IFS('ProductSprint Backlog'!$F307="", "", AND('ProductSprint Backlog'!$J307&gt;I$2,'ProductSprint Backlog'!$I307&lt;=I$2), 'ProductSprint Backlog'!$F307 / MAX(1, 'ProductSprint Backlog'!$J307-'ProductSprint Backlog'!$I307), AND('ProductSprint Backlog'!$J307=I$2,'ProductSprint Backlog'!$I307=I$2), 'ProductSprint Backlog'!$F307, TRUE, 0)</f>
        <v/>
      </c>
      <c r="J307" s="4" t="str" cm="1">
        <f t="array" ref="J307">_xlfn.IFS('ProductSprint Backlog'!$F307="", "", AND('ProductSprint Backlog'!$J307&gt;J$2,'ProductSprint Backlog'!$I307&lt;=J$2), 'ProductSprint Backlog'!$F307 / MAX(1, 'ProductSprint Backlog'!$J307-'ProductSprint Backlog'!$I307), AND('ProductSprint Backlog'!$J307=J$2,'ProductSprint Backlog'!$I307=J$2), 'ProductSprint Backlog'!$F307, TRUE, 0)</f>
        <v/>
      </c>
      <c r="K307" s="4" t="str" cm="1">
        <f t="array" ref="K307">_xlfn.IFS('ProductSprint Backlog'!$F307="", "", AND('ProductSprint Backlog'!$J307&gt;K$2,'ProductSprint Backlog'!$I307&lt;=K$2), 'ProductSprint Backlog'!$F307 / MAX(1, 'ProductSprint Backlog'!$J307-'ProductSprint Backlog'!$I307), AND('ProductSprint Backlog'!$J307=K$2,'ProductSprint Backlog'!$I307=K$2), 'ProductSprint Backlog'!$F307, TRUE, 0)</f>
        <v/>
      </c>
      <c r="L307" s="4" t="str" cm="1">
        <f t="array" ref="L307">_xlfn.IFS('ProductSprint Backlog'!$F307="", "", AND('ProductSprint Backlog'!$J307&gt;L$2,'ProductSprint Backlog'!$I307&lt;=L$2), 'ProductSprint Backlog'!$F307 / MAX(1, 'ProductSprint Backlog'!$J307-'ProductSprint Backlog'!$I307), AND('ProductSprint Backlog'!$J307=L$2,'ProductSprint Backlog'!$I307=L$2), 'ProductSprint Backlog'!$F307, TRUE, 0)</f>
        <v/>
      </c>
      <c r="M307" s="4" t="str" cm="1">
        <f t="array" ref="M307">_xlfn.IFS('ProductSprint Backlog'!$F307="", "", AND('ProductSprint Backlog'!$J307&gt;M$2,'ProductSprint Backlog'!$I307&lt;=M$2), 'ProductSprint Backlog'!$F307 / MAX(1, 'ProductSprint Backlog'!$J307-'ProductSprint Backlog'!$I307), AND('ProductSprint Backlog'!$J307=M$2,'ProductSprint Backlog'!$I307=M$2), 'ProductSprint Backlog'!$F307, TRUE, 0)</f>
        <v/>
      </c>
      <c r="N307" s="4" t="str" cm="1">
        <f t="array" ref="N307">_xlfn.IFS('ProductSprint Backlog'!$F307="", "", AND('ProductSprint Backlog'!$J307&gt;N$2,'ProductSprint Backlog'!$I307&lt;=N$2), 'ProductSprint Backlog'!$F307 / MAX(1, 'ProductSprint Backlog'!$J307-'ProductSprint Backlog'!$I307), AND('ProductSprint Backlog'!$J307=N$2,'ProductSprint Backlog'!$I307=N$2), 'ProductSprint Backlog'!$F307, TRUE, 0)</f>
        <v/>
      </c>
      <c r="O307" s="4" t="str" cm="1">
        <f t="array" ref="O307">_xlfn.IFS('ProductSprint Backlog'!$F307="", "", AND('ProductSprint Backlog'!$J307&gt;O$2,'ProductSprint Backlog'!$I307&lt;=O$2), 'ProductSprint Backlog'!$F307 / MAX(1, 'ProductSprint Backlog'!$J307-'ProductSprint Backlog'!$I307), AND('ProductSprint Backlog'!$J307=O$2,'ProductSprint Backlog'!$I307=O$2), 'ProductSprint Backlog'!$F307, TRUE, 0)</f>
        <v/>
      </c>
      <c r="P307" s="4" t="str" cm="1">
        <f t="array" ref="P307">_xlfn.IFS('ProductSprint Backlog'!$F307="", "", AND('ProductSprint Backlog'!$J307&gt;P$2,'ProductSprint Backlog'!$I307&lt;=P$2), 'ProductSprint Backlog'!$F307 / MAX(1, 'ProductSprint Backlog'!$J307-'ProductSprint Backlog'!$I307), AND('ProductSprint Backlog'!$J307=P$2,'ProductSprint Backlog'!$I307=P$2), 'ProductSprint Backlog'!$F307, TRUE, 0)</f>
        <v/>
      </c>
      <c r="Q307" s="4" t="str" cm="1">
        <f t="array" ref="Q307">_xlfn.IFS('ProductSprint Backlog'!$F307="", "", AND('ProductSprint Backlog'!$J307&gt;Q$2,'ProductSprint Backlog'!$I307&lt;=Q$2), 'ProductSprint Backlog'!$F307 / MAX(1, 'ProductSprint Backlog'!$J307-'ProductSprint Backlog'!$I307), AND('ProductSprint Backlog'!$J307=Q$2,'ProductSprint Backlog'!$I307=Q$2), 'ProductSprint Backlog'!$F307, TRUE, 0)</f>
        <v/>
      </c>
    </row>
    <row r="308" spans="2:17" x14ac:dyDescent="0.2">
      <c r="B308" s="4" t="str" cm="1">
        <f t="array" ref="B308">_xlfn.IFS('ProductSprint Backlog'!$F308="", "", AND('ProductSprint Backlog'!$J308&gt;B$2,'ProductSprint Backlog'!$I308&lt;=B$2), 'ProductSprint Backlog'!$F308 / MAX(1, 'ProductSprint Backlog'!$J308-'ProductSprint Backlog'!$I308), AND('ProductSprint Backlog'!$J308=B$2,'ProductSprint Backlog'!$I308=B$2), 'ProductSprint Backlog'!$F308, TRUE, 0)</f>
        <v/>
      </c>
      <c r="C308" s="4" t="str" cm="1">
        <f t="array" ref="C308">_xlfn.IFS('ProductSprint Backlog'!$F308="", "", AND('ProductSprint Backlog'!$J308&gt;C$2,'ProductSprint Backlog'!$I308&lt;=C$2), 'ProductSprint Backlog'!$F308 / MAX(1, 'ProductSprint Backlog'!$J308-'ProductSprint Backlog'!$I308), AND('ProductSprint Backlog'!$J308=C$2,'ProductSprint Backlog'!$I308=C$2), 'ProductSprint Backlog'!$F308, TRUE, 0)</f>
        <v/>
      </c>
      <c r="D308" s="4" t="str" cm="1">
        <f t="array" ref="D308">_xlfn.IFS('ProductSprint Backlog'!$F308="", "", AND('ProductSprint Backlog'!$J308&gt;D$2,'ProductSprint Backlog'!$I308&lt;=D$2), 'ProductSprint Backlog'!$F308 / MAX(1, 'ProductSprint Backlog'!$J308-'ProductSprint Backlog'!$I308), AND('ProductSprint Backlog'!$J308=D$2,'ProductSprint Backlog'!$I308=D$2), 'ProductSprint Backlog'!$F308, TRUE, 0)</f>
        <v/>
      </c>
      <c r="E308" s="4" t="str" cm="1">
        <f t="array" ref="E308">_xlfn.IFS('ProductSprint Backlog'!$F308="", "", AND('ProductSprint Backlog'!$J308&gt;E$2,'ProductSprint Backlog'!$I308&lt;=E$2), 'ProductSprint Backlog'!$F308 / MAX(1, 'ProductSprint Backlog'!$J308-'ProductSprint Backlog'!$I308), AND('ProductSprint Backlog'!$J308=E$2,'ProductSprint Backlog'!$I308=E$2), 'ProductSprint Backlog'!$F308, TRUE, 0)</f>
        <v/>
      </c>
      <c r="F308" s="4" t="str" cm="1">
        <f t="array" ref="F308">_xlfn.IFS('ProductSprint Backlog'!$F308="", "", AND('ProductSprint Backlog'!$J308&gt;F$2,'ProductSprint Backlog'!$I308&lt;=F$2), 'ProductSprint Backlog'!$F308 / MAX(1, 'ProductSprint Backlog'!$J308-'ProductSprint Backlog'!$I308), AND('ProductSprint Backlog'!$J308=F$2,'ProductSprint Backlog'!$I308=F$2), 'ProductSprint Backlog'!$F308, TRUE, 0)</f>
        <v/>
      </c>
      <c r="G308" s="4" t="str" cm="1">
        <f t="array" ref="G308">_xlfn.IFS('ProductSprint Backlog'!$F308="", "", AND('ProductSprint Backlog'!$J308&gt;G$2,'ProductSprint Backlog'!$I308&lt;=G$2), 'ProductSprint Backlog'!$F308 / MAX(1, 'ProductSprint Backlog'!$J308-'ProductSprint Backlog'!$I308), AND('ProductSprint Backlog'!$J308=G$2,'ProductSprint Backlog'!$I308=G$2), 'ProductSprint Backlog'!$F308, TRUE, 0)</f>
        <v/>
      </c>
      <c r="H308" s="4" t="str" cm="1">
        <f t="array" ref="H308">_xlfn.IFS('ProductSprint Backlog'!$F308="", "", AND('ProductSprint Backlog'!$J308&gt;H$2,'ProductSprint Backlog'!$I308&lt;=H$2), 'ProductSprint Backlog'!$F308 / MAX(1, 'ProductSprint Backlog'!$J308-'ProductSprint Backlog'!$I308), AND('ProductSprint Backlog'!$J308=H$2,'ProductSprint Backlog'!$I308=H$2), 'ProductSprint Backlog'!$F308, TRUE, 0)</f>
        <v/>
      </c>
      <c r="I308" s="4" t="str" cm="1">
        <f t="array" ref="I308">_xlfn.IFS('ProductSprint Backlog'!$F308="", "", AND('ProductSprint Backlog'!$J308&gt;I$2,'ProductSprint Backlog'!$I308&lt;=I$2), 'ProductSprint Backlog'!$F308 / MAX(1, 'ProductSprint Backlog'!$J308-'ProductSprint Backlog'!$I308), AND('ProductSprint Backlog'!$J308=I$2,'ProductSprint Backlog'!$I308=I$2), 'ProductSprint Backlog'!$F308, TRUE, 0)</f>
        <v/>
      </c>
      <c r="J308" s="4" t="str" cm="1">
        <f t="array" ref="J308">_xlfn.IFS('ProductSprint Backlog'!$F308="", "", AND('ProductSprint Backlog'!$J308&gt;J$2,'ProductSprint Backlog'!$I308&lt;=J$2), 'ProductSprint Backlog'!$F308 / MAX(1, 'ProductSprint Backlog'!$J308-'ProductSprint Backlog'!$I308), AND('ProductSprint Backlog'!$J308=J$2,'ProductSprint Backlog'!$I308=J$2), 'ProductSprint Backlog'!$F308, TRUE, 0)</f>
        <v/>
      </c>
      <c r="K308" s="4" t="str" cm="1">
        <f t="array" ref="K308">_xlfn.IFS('ProductSprint Backlog'!$F308="", "", AND('ProductSprint Backlog'!$J308&gt;K$2,'ProductSprint Backlog'!$I308&lt;=K$2), 'ProductSprint Backlog'!$F308 / MAX(1, 'ProductSprint Backlog'!$J308-'ProductSprint Backlog'!$I308), AND('ProductSprint Backlog'!$J308=K$2,'ProductSprint Backlog'!$I308=K$2), 'ProductSprint Backlog'!$F308, TRUE, 0)</f>
        <v/>
      </c>
      <c r="L308" s="4" t="str" cm="1">
        <f t="array" ref="L308">_xlfn.IFS('ProductSprint Backlog'!$F308="", "", AND('ProductSprint Backlog'!$J308&gt;L$2,'ProductSprint Backlog'!$I308&lt;=L$2), 'ProductSprint Backlog'!$F308 / MAX(1, 'ProductSprint Backlog'!$J308-'ProductSprint Backlog'!$I308), AND('ProductSprint Backlog'!$J308=L$2,'ProductSprint Backlog'!$I308=L$2), 'ProductSprint Backlog'!$F308, TRUE, 0)</f>
        <v/>
      </c>
      <c r="M308" s="4" t="str" cm="1">
        <f t="array" ref="M308">_xlfn.IFS('ProductSprint Backlog'!$F308="", "", AND('ProductSprint Backlog'!$J308&gt;M$2,'ProductSprint Backlog'!$I308&lt;=M$2), 'ProductSprint Backlog'!$F308 / MAX(1, 'ProductSprint Backlog'!$J308-'ProductSprint Backlog'!$I308), AND('ProductSprint Backlog'!$J308=M$2,'ProductSprint Backlog'!$I308=M$2), 'ProductSprint Backlog'!$F308, TRUE, 0)</f>
        <v/>
      </c>
      <c r="N308" s="4" t="str" cm="1">
        <f t="array" ref="N308">_xlfn.IFS('ProductSprint Backlog'!$F308="", "", AND('ProductSprint Backlog'!$J308&gt;N$2,'ProductSprint Backlog'!$I308&lt;=N$2), 'ProductSprint Backlog'!$F308 / MAX(1, 'ProductSprint Backlog'!$J308-'ProductSprint Backlog'!$I308), AND('ProductSprint Backlog'!$J308=N$2,'ProductSprint Backlog'!$I308=N$2), 'ProductSprint Backlog'!$F308, TRUE, 0)</f>
        <v/>
      </c>
      <c r="O308" s="4" t="str" cm="1">
        <f t="array" ref="O308">_xlfn.IFS('ProductSprint Backlog'!$F308="", "", AND('ProductSprint Backlog'!$J308&gt;O$2,'ProductSprint Backlog'!$I308&lt;=O$2), 'ProductSprint Backlog'!$F308 / MAX(1, 'ProductSprint Backlog'!$J308-'ProductSprint Backlog'!$I308), AND('ProductSprint Backlog'!$J308=O$2,'ProductSprint Backlog'!$I308=O$2), 'ProductSprint Backlog'!$F308, TRUE, 0)</f>
        <v/>
      </c>
      <c r="P308" s="4" t="str" cm="1">
        <f t="array" ref="P308">_xlfn.IFS('ProductSprint Backlog'!$F308="", "", AND('ProductSprint Backlog'!$J308&gt;P$2,'ProductSprint Backlog'!$I308&lt;=P$2), 'ProductSprint Backlog'!$F308 / MAX(1, 'ProductSprint Backlog'!$J308-'ProductSprint Backlog'!$I308), AND('ProductSprint Backlog'!$J308=P$2,'ProductSprint Backlog'!$I308=P$2), 'ProductSprint Backlog'!$F308, TRUE, 0)</f>
        <v/>
      </c>
      <c r="Q308" s="4" t="str" cm="1">
        <f t="array" ref="Q308">_xlfn.IFS('ProductSprint Backlog'!$F308="", "", AND('ProductSprint Backlog'!$J308&gt;Q$2,'ProductSprint Backlog'!$I308&lt;=Q$2), 'ProductSprint Backlog'!$F308 / MAX(1, 'ProductSprint Backlog'!$J308-'ProductSprint Backlog'!$I308), AND('ProductSprint Backlog'!$J308=Q$2,'ProductSprint Backlog'!$I308=Q$2), 'ProductSprint Backlog'!$F308, TRUE, 0)</f>
        <v/>
      </c>
    </row>
    <row r="309" spans="2:17" x14ac:dyDescent="0.2">
      <c r="B309" s="4" t="str" cm="1">
        <f t="array" ref="B309">_xlfn.IFS('ProductSprint Backlog'!$F309="", "", AND('ProductSprint Backlog'!$J309&gt;B$2,'ProductSprint Backlog'!$I309&lt;=B$2), 'ProductSprint Backlog'!$F309 / MAX(1, 'ProductSprint Backlog'!$J309-'ProductSprint Backlog'!$I309), AND('ProductSprint Backlog'!$J309=B$2,'ProductSprint Backlog'!$I309=B$2), 'ProductSprint Backlog'!$F309, TRUE, 0)</f>
        <v/>
      </c>
      <c r="C309" s="4" t="str" cm="1">
        <f t="array" ref="C309">_xlfn.IFS('ProductSprint Backlog'!$F309="", "", AND('ProductSprint Backlog'!$J309&gt;C$2,'ProductSprint Backlog'!$I309&lt;=C$2), 'ProductSprint Backlog'!$F309 / MAX(1, 'ProductSprint Backlog'!$J309-'ProductSprint Backlog'!$I309), AND('ProductSprint Backlog'!$J309=C$2,'ProductSprint Backlog'!$I309=C$2), 'ProductSprint Backlog'!$F309, TRUE, 0)</f>
        <v/>
      </c>
      <c r="D309" s="4" t="str" cm="1">
        <f t="array" ref="D309">_xlfn.IFS('ProductSprint Backlog'!$F309="", "", AND('ProductSprint Backlog'!$J309&gt;D$2,'ProductSprint Backlog'!$I309&lt;=D$2), 'ProductSprint Backlog'!$F309 / MAX(1, 'ProductSprint Backlog'!$J309-'ProductSprint Backlog'!$I309), AND('ProductSprint Backlog'!$J309=D$2,'ProductSprint Backlog'!$I309=D$2), 'ProductSprint Backlog'!$F309, TRUE, 0)</f>
        <v/>
      </c>
      <c r="E309" s="4" t="str" cm="1">
        <f t="array" ref="E309">_xlfn.IFS('ProductSprint Backlog'!$F309="", "", AND('ProductSprint Backlog'!$J309&gt;E$2,'ProductSprint Backlog'!$I309&lt;=E$2), 'ProductSprint Backlog'!$F309 / MAX(1, 'ProductSprint Backlog'!$J309-'ProductSprint Backlog'!$I309), AND('ProductSprint Backlog'!$J309=E$2,'ProductSprint Backlog'!$I309=E$2), 'ProductSprint Backlog'!$F309, TRUE, 0)</f>
        <v/>
      </c>
      <c r="F309" s="4" t="str" cm="1">
        <f t="array" ref="F309">_xlfn.IFS('ProductSprint Backlog'!$F309="", "", AND('ProductSprint Backlog'!$J309&gt;F$2,'ProductSprint Backlog'!$I309&lt;=F$2), 'ProductSprint Backlog'!$F309 / MAX(1, 'ProductSprint Backlog'!$J309-'ProductSprint Backlog'!$I309), AND('ProductSprint Backlog'!$J309=F$2,'ProductSprint Backlog'!$I309=F$2), 'ProductSprint Backlog'!$F309, TRUE, 0)</f>
        <v/>
      </c>
      <c r="G309" s="4" t="str" cm="1">
        <f t="array" ref="G309">_xlfn.IFS('ProductSprint Backlog'!$F309="", "", AND('ProductSprint Backlog'!$J309&gt;G$2,'ProductSprint Backlog'!$I309&lt;=G$2), 'ProductSprint Backlog'!$F309 / MAX(1, 'ProductSprint Backlog'!$J309-'ProductSprint Backlog'!$I309), AND('ProductSprint Backlog'!$J309=G$2,'ProductSprint Backlog'!$I309=G$2), 'ProductSprint Backlog'!$F309, TRUE, 0)</f>
        <v/>
      </c>
      <c r="H309" s="4" t="str" cm="1">
        <f t="array" ref="H309">_xlfn.IFS('ProductSprint Backlog'!$F309="", "", AND('ProductSprint Backlog'!$J309&gt;H$2,'ProductSprint Backlog'!$I309&lt;=H$2), 'ProductSprint Backlog'!$F309 / MAX(1, 'ProductSprint Backlog'!$J309-'ProductSprint Backlog'!$I309), AND('ProductSprint Backlog'!$J309=H$2,'ProductSprint Backlog'!$I309=H$2), 'ProductSprint Backlog'!$F309, TRUE, 0)</f>
        <v/>
      </c>
      <c r="I309" s="4" t="str" cm="1">
        <f t="array" ref="I309">_xlfn.IFS('ProductSprint Backlog'!$F309="", "", AND('ProductSprint Backlog'!$J309&gt;I$2,'ProductSprint Backlog'!$I309&lt;=I$2), 'ProductSprint Backlog'!$F309 / MAX(1, 'ProductSprint Backlog'!$J309-'ProductSprint Backlog'!$I309), AND('ProductSprint Backlog'!$J309=I$2,'ProductSprint Backlog'!$I309=I$2), 'ProductSprint Backlog'!$F309, TRUE, 0)</f>
        <v/>
      </c>
      <c r="J309" s="4" t="str" cm="1">
        <f t="array" ref="J309">_xlfn.IFS('ProductSprint Backlog'!$F309="", "", AND('ProductSprint Backlog'!$J309&gt;J$2,'ProductSprint Backlog'!$I309&lt;=J$2), 'ProductSprint Backlog'!$F309 / MAX(1, 'ProductSprint Backlog'!$J309-'ProductSprint Backlog'!$I309), AND('ProductSprint Backlog'!$J309=J$2,'ProductSprint Backlog'!$I309=J$2), 'ProductSprint Backlog'!$F309, TRUE, 0)</f>
        <v/>
      </c>
      <c r="K309" s="4" t="str" cm="1">
        <f t="array" ref="K309">_xlfn.IFS('ProductSprint Backlog'!$F309="", "", AND('ProductSprint Backlog'!$J309&gt;K$2,'ProductSprint Backlog'!$I309&lt;=K$2), 'ProductSprint Backlog'!$F309 / MAX(1, 'ProductSprint Backlog'!$J309-'ProductSprint Backlog'!$I309), AND('ProductSprint Backlog'!$J309=K$2,'ProductSprint Backlog'!$I309=K$2), 'ProductSprint Backlog'!$F309, TRUE, 0)</f>
        <v/>
      </c>
      <c r="L309" s="4" t="str" cm="1">
        <f t="array" ref="L309">_xlfn.IFS('ProductSprint Backlog'!$F309="", "", AND('ProductSprint Backlog'!$J309&gt;L$2,'ProductSprint Backlog'!$I309&lt;=L$2), 'ProductSprint Backlog'!$F309 / MAX(1, 'ProductSprint Backlog'!$J309-'ProductSprint Backlog'!$I309), AND('ProductSprint Backlog'!$J309=L$2,'ProductSprint Backlog'!$I309=L$2), 'ProductSprint Backlog'!$F309, TRUE, 0)</f>
        <v/>
      </c>
      <c r="M309" s="4" t="str" cm="1">
        <f t="array" ref="M309">_xlfn.IFS('ProductSprint Backlog'!$F309="", "", AND('ProductSprint Backlog'!$J309&gt;M$2,'ProductSprint Backlog'!$I309&lt;=M$2), 'ProductSprint Backlog'!$F309 / MAX(1, 'ProductSprint Backlog'!$J309-'ProductSprint Backlog'!$I309), AND('ProductSprint Backlog'!$J309=M$2,'ProductSprint Backlog'!$I309=M$2), 'ProductSprint Backlog'!$F309, TRUE, 0)</f>
        <v/>
      </c>
      <c r="N309" s="4" t="str" cm="1">
        <f t="array" ref="N309">_xlfn.IFS('ProductSprint Backlog'!$F309="", "", AND('ProductSprint Backlog'!$J309&gt;N$2,'ProductSprint Backlog'!$I309&lt;=N$2), 'ProductSprint Backlog'!$F309 / MAX(1, 'ProductSprint Backlog'!$J309-'ProductSprint Backlog'!$I309), AND('ProductSprint Backlog'!$J309=N$2,'ProductSprint Backlog'!$I309=N$2), 'ProductSprint Backlog'!$F309, TRUE, 0)</f>
        <v/>
      </c>
      <c r="O309" s="4" t="str" cm="1">
        <f t="array" ref="O309">_xlfn.IFS('ProductSprint Backlog'!$F309="", "", AND('ProductSprint Backlog'!$J309&gt;O$2,'ProductSprint Backlog'!$I309&lt;=O$2), 'ProductSprint Backlog'!$F309 / MAX(1, 'ProductSprint Backlog'!$J309-'ProductSprint Backlog'!$I309), AND('ProductSprint Backlog'!$J309=O$2,'ProductSprint Backlog'!$I309=O$2), 'ProductSprint Backlog'!$F309, TRUE, 0)</f>
        <v/>
      </c>
      <c r="P309" s="4" t="str" cm="1">
        <f t="array" ref="P309">_xlfn.IFS('ProductSprint Backlog'!$F309="", "", AND('ProductSprint Backlog'!$J309&gt;P$2,'ProductSprint Backlog'!$I309&lt;=P$2), 'ProductSprint Backlog'!$F309 / MAX(1, 'ProductSprint Backlog'!$J309-'ProductSprint Backlog'!$I309), AND('ProductSprint Backlog'!$J309=P$2,'ProductSprint Backlog'!$I309=P$2), 'ProductSprint Backlog'!$F309, TRUE, 0)</f>
        <v/>
      </c>
      <c r="Q309" s="4" t="str" cm="1">
        <f t="array" ref="Q309">_xlfn.IFS('ProductSprint Backlog'!$F309="", "", AND('ProductSprint Backlog'!$J309&gt;Q$2,'ProductSprint Backlog'!$I309&lt;=Q$2), 'ProductSprint Backlog'!$F309 / MAX(1, 'ProductSprint Backlog'!$J309-'ProductSprint Backlog'!$I309), AND('ProductSprint Backlog'!$J309=Q$2,'ProductSprint Backlog'!$I309=Q$2), 'ProductSprint Backlog'!$F309, TRUE, 0)</f>
        <v/>
      </c>
    </row>
    <row r="310" spans="2:17" x14ac:dyDescent="0.2">
      <c r="B310" s="4" t="str" cm="1">
        <f t="array" ref="B310">_xlfn.IFS('ProductSprint Backlog'!$F310="", "", AND('ProductSprint Backlog'!$J310&gt;B$2,'ProductSprint Backlog'!$I310&lt;=B$2), 'ProductSprint Backlog'!$F310 / MAX(1, 'ProductSprint Backlog'!$J310-'ProductSprint Backlog'!$I310), AND('ProductSprint Backlog'!$J310=B$2,'ProductSprint Backlog'!$I310=B$2), 'ProductSprint Backlog'!$F310, TRUE, 0)</f>
        <v/>
      </c>
      <c r="C310" s="4" t="str" cm="1">
        <f t="array" ref="C310">_xlfn.IFS('ProductSprint Backlog'!$F310="", "", AND('ProductSprint Backlog'!$J310&gt;C$2,'ProductSprint Backlog'!$I310&lt;=C$2), 'ProductSprint Backlog'!$F310 / MAX(1, 'ProductSprint Backlog'!$J310-'ProductSprint Backlog'!$I310), AND('ProductSprint Backlog'!$J310=C$2,'ProductSprint Backlog'!$I310=C$2), 'ProductSprint Backlog'!$F310, TRUE, 0)</f>
        <v/>
      </c>
      <c r="D310" s="4" t="str" cm="1">
        <f t="array" ref="D310">_xlfn.IFS('ProductSprint Backlog'!$F310="", "", AND('ProductSprint Backlog'!$J310&gt;D$2,'ProductSprint Backlog'!$I310&lt;=D$2), 'ProductSprint Backlog'!$F310 / MAX(1, 'ProductSprint Backlog'!$J310-'ProductSprint Backlog'!$I310), AND('ProductSprint Backlog'!$J310=D$2,'ProductSprint Backlog'!$I310=D$2), 'ProductSprint Backlog'!$F310, TRUE, 0)</f>
        <v/>
      </c>
      <c r="E310" s="4" t="str" cm="1">
        <f t="array" ref="E310">_xlfn.IFS('ProductSprint Backlog'!$F310="", "", AND('ProductSprint Backlog'!$J310&gt;E$2,'ProductSprint Backlog'!$I310&lt;=E$2), 'ProductSprint Backlog'!$F310 / MAX(1, 'ProductSprint Backlog'!$J310-'ProductSprint Backlog'!$I310), AND('ProductSprint Backlog'!$J310=E$2,'ProductSprint Backlog'!$I310=E$2), 'ProductSprint Backlog'!$F310, TRUE, 0)</f>
        <v/>
      </c>
      <c r="F310" s="4" t="str" cm="1">
        <f t="array" ref="F310">_xlfn.IFS('ProductSprint Backlog'!$F310="", "", AND('ProductSprint Backlog'!$J310&gt;F$2,'ProductSprint Backlog'!$I310&lt;=F$2), 'ProductSprint Backlog'!$F310 / MAX(1, 'ProductSprint Backlog'!$J310-'ProductSprint Backlog'!$I310), AND('ProductSprint Backlog'!$J310=F$2,'ProductSprint Backlog'!$I310=F$2), 'ProductSprint Backlog'!$F310, TRUE, 0)</f>
        <v/>
      </c>
      <c r="G310" s="4" t="str" cm="1">
        <f t="array" ref="G310">_xlfn.IFS('ProductSprint Backlog'!$F310="", "", AND('ProductSprint Backlog'!$J310&gt;G$2,'ProductSprint Backlog'!$I310&lt;=G$2), 'ProductSprint Backlog'!$F310 / MAX(1, 'ProductSprint Backlog'!$J310-'ProductSprint Backlog'!$I310), AND('ProductSprint Backlog'!$J310=G$2,'ProductSprint Backlog'!$I310=G$2), 'ProductSprint Backlog'!$F310, TRUE, 0)</f>
        <v/>
      </c>
      <c r="H310" s="4" t="str" cm="1">
        <f t="array" ref="H310">_xlfn.IFS('ProductSprint Backlog'!$F310="", "", AND('ProductSprint Backlog'!$J310&gt;H$2,'ProductSprint Backlog'!$I310&lt;=H$2), 'ProductSprint Backlog'!$F310 / MAX(1, 'ProductSprint Backlog'!$J310-'ProductSprint Backlog'!$I310), AND('ProductSprint Backlog'!$J310=H$2,'ProductSprint Backlog'!$I310=H$2), 'ProductSprint Backlog'!$F310, TRUE, 0)</f>
        <v/>
      </c>
      <c r="I310" s="4" t="str" cm="1">
        <f t="array" ref="I310">_xlfn.IFS('ProductSprint Backlog'!$F310="", "", AND('ProductSprint Backlog'!$J310&gt;I$2,'ProductSprint Backlog'!$I310&lt;=I$2), 'ProductSprint Backlog'!$F310 / MAX(1, 'ProductSprint Backlog'!$J310-'ProductSprint Backlog'!$I310), AND('ProductSprint Backlog'!$J310=I$2,'ProductSprint Backlog'!$I310=I$2), 'ProductSprint Backlog'!$F310, TRUE, 0)</f>
        <v/>
      </c>
      <c r="J310" s="4" t="str" cm="1">
        <f t="array" ref="J310">_xlfn.IFS('ProductSprint Backlog'!$F310="", "", AND('ProductSprint Backlog'!$J310&gt;J$2,'ProductSprint Backlog'!$I310&lt;=J$2), 'ProductSprint Backlog'!$F310 / MAX(1, 'ProductSprint Backlog'!$J310-'ProductSprint Backlog'!$I310), AND('ProductSprint Backlog'!$J310=J$2,'ProductSprint Backlog'!$I310=J$2), 'ProductSprint Backlog'!$F310, TRUE, 0)</f>
        <v/>
      </c>
      <c r="K310" s="4" t="str" cm="1">
        <f t="array" ref="K310">_xlfn.IFS('ProductSprint Backlog'!$F310="", "", AND('ProductSprint Backlog'!$J310&gt;K$2,'ProductSprint Backlog'!$I310&lt;=K$2), 'ProductSprint Backlog'!$F310 / MAX(1, 'ProductSprint Backlog'!$J310-'ProductSprint Backlog'!$I310), AND('ProductSprint Backlog'!$J310=K$2,'ProductSprint Backlog'!$I310=K$2), 'ProductSprint Backlog'!$F310, TRUE, 0)</f>
        <v/>
      </c>
      <c r="L310" s="4" t="str" cm="1">
        <f t="array" ref="L310">_xlfn.IFS('ProductSprint Backlog'!$F310="", "", AND('ProductSprint Backlog'!$J310&gt;L$2,'ProductSprint Backlog'!$I310&lt;=L$2), 'ProductSprint Backlog'!$F310 / MAX(1, 'ProductSprint Backlog'!$J310-'ProductSprint Backlog'!$I310), AND('ProductSprint Backlog'!$J310=L$2,'ProductSprint Backlog'!$I310=L$2), 'ProductSprint Backlog'!$F310, TRUE, 0)</f>
        <v/>
      </c>
      <c r="M310" s="4" t="str" cm="1">
        <f t="array" ref="M310">_xlfn.IFS('ProductSprint Backlog'!$F310="", "", AND('ProductSprint Backlog'!$J310&gt;M$2,'ProductSprint Backlog'!$I310&lt;=M$2), 'ProductSprint Backlog'!$F310 / MAX(1, 'ProductSprint Backlog'!$J310-'ProductSprint Backlog'!$I310), AND('ProductSprint Backlog'!$J310=M$2,'ProductSprint Backlog'!$I310=M$2), 'ProductSprint Backlog'!$F310, TRUE, 0)</f>
        <v/>
      </c>
      <c r="N310" s="4" t="str" cm="1">
        <f t="array" ref="N310">_xlfn.IFS('ProductSprint Backlog'!$F310="", "", AND('ProductSprint Backlog'!$J310&gt;N$2,'ProductSprint Backlog'!$I310&lt;=N$2), 'ProductSprint Backlog'!$F310 / MAX(1, 'ProductSprint Backlog'!$J310-'ProductSprint Backlog'!$I310), AND('ProductSprint Backlog'!$J310=N$2,'ProductSprint Backlog'!$I310=N$2), 'ProductSprint Backlog'!$F310, TRUE, 0)</f>
        <v/>
      </c>
      <c r="O310" s="4" t="str" cm="1">
        <f t="array" ref="O310">_xlfn.IFS('ProductSprint Backlog'!$F310="", "", AND('ProductSprint Backlog'!$J310&gt;O$2,'ProductSprint Backlog'!$I310&lt;=O$2), 'ProductSprint Backlog'!$F310 / MAX(1, 'ProductSprint Backlog'!$J310-'ProductSprint Backlog'!$I310), AND('ProductSprint Backlog'!$J310=O$2,'ProductSprint Backlog'!$I310=O$2), 'ProductSprint Backlog'!$F310, TRUE, 0)</f>
        <v/>
      </c>
      <c r="P310" s="4" t="str" cm="1">
        <f t="array" ref="P310">_xlfn.IFS('ProductSprint Backlog'!$F310="", "", AND('ProductSprint Backlog'!$J310&gt;P$2,'ProductSprint Backlog'!$I310&lt;=P$2), 'ProductSprint Backlog'!$F310 / MAX(1, 'ProductSprint Backlog'!$J310-'ProductSprint Backlog'!$I310), AND('ProductSprint Backlog'!$J310=P$2,'ProductSprint Backlog'!$I310=P$2), 'ProductSprint Backlog'!$F310, TRUE, 0)</f>
        <v/>
      </c>
      <c r="Q310" s="4" t="str" cm="1">
        <f t="array" ref="Q310">_xlfn.IFS('ProductSprint Backlog'!$F310="", "", AND('ProductSprint Backlog'!$J310&gt;Q$2,'ProductSprint Backlog'!$I310&lt;=Q$2), 'ProductSprint Backlog'!$F310 / MAX(1, 'ProductSprint Backlog'!$J310-'ProductSprint Backlog'!$I310), AND('ProductSprint Backlog'!$J310=Q$2,'ProductSprint Backlog'!$I310=Q$2), 'ProductSprint Backlog'!$F310, TRUE, 0)</f>
        <v/>
      </c>
    </row>
    <row r="311" spans="2:17" x14ac:dyDescent="0.2">
      <c r="B311" s="4" t="str" cm="1">
        <f t="array" ref="B311">_xlfn.IFS('ProductSprint Backlog'!$F311="", "", AND('ProductSprint Backlog'!$J311&gt;B$2,'ProductSprint Backlog'!$I311&lt;=B$2), 'ProductSprint Backlog'!$F311 / MAX(1, 'ProductSprint Backlog'!$J311-'ProductSprint Backlog'!$I311), AND('ProductSprint Backlog'!$J311=B$2,'ProductSprint Backlog'!$I311=B$2), 'ProductSprint Backlog'!$F311, TRUE, 0)</f>
        <v/>
      </c>
      <c r="C311" s="4" t="str" cm="1">
        <f t="array" ref="C311">_xlfn.IFS('ProductSprint Backlog'!$F311="", "", AND('ProductSprint Backlog'!$J311&gt;C$2,'ProductSprint Backlog'!$I311&lt;=C$2), 'ProductSprint Backlog'!$F311 / MAX(1, 'ProductSprint Backlog'!$J311-'ProductSprint Backlog'!$I311), AND('ProductSprint Backlog'!$J311=C$2,'ProductSprint Backlog'!$I311=C$2), 'ProductSprint Backlog'!$F311, TRUE, 0)</f>
        <v/>
      </c>
      <c r="D311" s="4" t="str" cm="1">
        <f t="array" ref="D311">_xlfn.IFS('ProductSprint Backlog'!$F311="", "", AND('ProductSprint Backlog'!$J311&gt;D$2,'ProductSprint Backlog'!$I311&lt;=D$2), 'ProductSprint Backlog'!$F311 / MAX(1, 'ProductSprint Backlog'!$J311-'ProductSprint Backlog'!$I311), AND('ProductSprint Backlog'!$J311=D$2,'ProductSprint Backlog'!$I311=D$2), 'ProductSprint Backlog'!$F311, TRUE, 0)</f>
        <v/>
      </c>
      <c r="E311" s="4" t="str" cm="1">
        <f t="array" ref="E311">_xlfn.IFS('ProductSprint Backlog'!$F311="", "", AND('ProductSprint Backlog'!$J311&gt;E$2,'ProductSprint Backlog'!$I311&lt;=E$2), 'ProductSprint Backlog'!$F311 / MAX(1, 'ProductSprint Backlog'!$J311-'ProductSprint Backlog'!$I311), AND('ProductSprint Backlog'!$J311=E$2,'ProductSprint Backlog'!$I311=E$2), 'ProductSprint Backlog'!$F311, TRUE, 0)</f>
        <v/>
      </c>
      <c r="F311" s="4" t="str" cm="1">
        <f t="array" ref="F311">_xlfn.IFS('ProductSprint Backlog'!$F311="", "", AND('ProductSprint Backlog'!$J311&gt;F$2,'ProductSprint Backlog'!$I311&lt;=F$2), 'ProductSprint Backlog'!$F311 / MAX(1, 'ProductSprint Backlog'!$J311-'ProductSprint Backlog'!$I311), AND('ProductSprint Backlog'!$J311=F$2,'ProductSprint Backlog'!$I311=F$2), 'ProductSprint Backlog'!$F311, TRUE, 0)</f>
        <v/>
      </c>
      <c r="G311" s="4" t="str" cm="1">
        <f t="array" ref="G311">_xlfn.IFS('ProductSprint Backlog'!$F311="", "", AND('ProductSprint Backlog'!$J311&gt;G$2,'ProductSprint Backlog'!$I311&lt;=G$2), 'ProductSprint Backlog'!$F311 / MAX(1, 'ProductSprint Backlog'!$J311-'ProductSprint Backlog'!$I311), AND('ProductSprint Backlog'!$J311=G$2,'ProductSprint Backlog'!$I311=G$2), 'ProductSprint Backlog'!$F311, TRUE, 0)</f>
        <v/>
      </c>
      <c r="H311" s="4" t="str" cm="1">
        <f t="array" ref="H311">_xlfn.IFS('ProductSprint Backlog'!$F311="", "", AND('ProductSprint Backlog'!$J311&gt;H$2,'ProductSprint Backlog'!$I311&lt;=H$2), 'ProductSprint Backlog'!$F311 / MAX(1, 'ProductSprint Backlog'!$J311-'ProductSprint Backlog'!$I311), AND('ProductSprint Backlog'!$J311=H$2,'ProductSprint Backlog'!$I311=H$2), 'ProductSprint Backlog'!$F311, TRUE, 0)</f>
        <v/>
      </c>
      <c r="I311" s="4" t="str" cm="1">
        <f t="array" ref="I311">_xlfn.IFS('ProductSprint Backlog'!$F311="", "", AND('ProductSprint Backlog'!$J311&gt;I$2,'ProductSprint Backlog'!$I311&lt;=I$2), 'ProductSprint Backlog'!$F311 / MAX(1, 'ProductSprint Backlog'!$J311-'ProductSprint Backlog'!$I311), AND('ProductSprint Backlog'!$J311=I$2,'ProductSprint Backlog'!$I311=I$2), 'ProductSprint Backlog'!$F311, TRUE, 0)</f>
        <v/>
      </c>
      <c r="J311" s="4" t="str" cm="1">
        <f t="array" ref="J311">_xlfn.IFS('ProductSprint Backlog'!$F311="", "", AND('ProductSprint Backlog'!$J311&gt;J$2,'ProductSprint Backlog'!$I311&lt;=J$2), 'ProductSprint Backlog'!$F311 / MAX(1, 'ProductSprint Backlog'!$J311-'ProductSprint Backlog'!$I311), AND('ProductSprint Backlog'!$J311=J$2,'ProductSprint Backlog'!$I311=J$2), 'ProductSprint Backlog'!$F311, TRUE, 0)</f>
        <v/>
      </c>
      <c r="K311" s="4" t="str" cm="1">
        <f t="array" ref="K311">_xlfn.IFS('ProductSprint Backlog'!$F311="", "", AND('ProductSprint Backlog'!$J311&gt;K$2,'ProductSprint Backlog'!$I311&lt;=K$2), 'ProductSprint Backlog'!$F311 / MAX(1, 'ProductSprint Backlog'!$J311-'ProductSprint Backlog'!$I311), AND('ProductSprint Backlog'!$J311=K$2,'ProductSprint Backlog'!$I311=K$2), 'ProductSprint Backlog'!$F311, TRUE, 0)</f>
        <v/>
      </c>
      <c r="L311" s="4" t="str" cm="1">
        <f t="array" ref="L311">_xlfn.IFS('ProductSprint Backlog'!$F311="", "", AND('ProductSprint Backlog'!$J311&gt;L$2,'ProductSprint Backlog'!$I311&lt;=L$2), 'ProductSprint Backlog'!$F311 / MAX(1, 'ProductSprint Backlog'!$J311-'ProductSprint Backlog'!$I311), AND('ProductSprint Backlog'!$J311=L$2,'ProductSprint Backlog'!$I311=L$2), 'ProductSprint Backlog'!$F311, TRUE, 0)</f>
        <v/>
      </c>
      <c r="M311" s="4" t="str" cm="1">
        <f t="array" ref="M311">_xlfn.IFS('ProductSprint Backlog'!$F311="", "", AND('ProductSprint Backlog'!$J311&gt;M$2,'ProductSprint Backlog'!$I311&lt;=M$2), 'ProductSprint Backlog'!$F311 / MAX(1, 'ProductSprint Backlog'!$J311-'ProductSprint Backlog'!$I311), AND('ProductSprint Backlog'!$J311=M$2,'ProductSprint Backlog'!$I311=M$2), 'ProductSprint Backlog'!$F311, TRUE, 0)</f>
        <v/>
      </c>
      <c r="N311" s="4" t="str" cm="1">
        <f t="array" ref="N311">_xlfn.IFS('ProductSprint Backlog'!$F311="", "", AND('ProductSprint Backlog'!$J311&gt;N$2,'ProductSprint Backlog'!$I311&lt;=N$2), 'ProductSprint Backlog'!$F311 / MAX(1, 'ProductSprint Backlog'!$J311-'ProductSprint Backlog'!$I311), AND('ProductSprint Backlog'!$J311=N$2,'ProductSprint Backlog'!$I311=N$2), 'ProductSprint Backlog'!$F311, TRUE, 0)</f>
        <v/>
      </c>
      <c r="O311" s="4" t="str" cm="1">
        <f t="array" ref="O311">_xlfn.IFS('ProductSprint Backlog'!$F311="", "", AND('ProductSprint Backlog'!$J311&gt;O$2,'ProductSprint Backlog'!$I311&lt;=O$2), 'ProductSprint Backlog'!$F311 / MAX(1, 'ProductSprint Backlog'!$J311-'ProductSprint Backlog'!$I311), AND('ProductSprint Backlog'!$J311=O$2,'ProductSprint Backlog'!$I311=O$2), 'ProductSprint Backlog'!$F311, TRUE, 0)</f>
        <v/>
      </c>
      <c r="P311" s="4" t="str" cm="1">
        <f t="array" ref="P311">_xlfn.IFS('ProductSprint Backlog'!$F311="", "", AND('ProductSprint Backlog'!$J311&gt;P$2,'ProductSprint Backlog'!$I311&lt;=P$2), 'ProductSprint Backlog'!$F311 / MAX(1, 'ProductSprint Backlog'!$J311-'ProductSprint Backlog'!$I311), AND('ProductSprint Backlog'!$J311=P$2,'ProductSprint Backlog'!$I311=P$2), 'ProductSprint Backlog'!$F311, TRUE, 0)</f>
        <v/>
      </c>
      <c r="Q311" s="4" t="str" cm="1">
        <f t="array" ref="Q311">_xlfn.IFS('ProductSprint Backlog'!$F311="", "", AND('ProductSprint Backlog'!$J311&gt;Q$2,'ProductSprint Backlog'!$I311&lt;=Q$2), 'ProductSprint Backlog'!$F311 / MAX(1, 'ProductSprint Backlog'!$J311-'ProductSprint Backlog'!$I311), AND('ProductSprint Backlog'!$J311=Q$2,'ProductSprint Backlog'!$I311=Q$2), 'ProductSprint Backlog'!$F311, TRUE, 0)</f>
        <v/>
      </c>
    </row>
    <row r="312" spans="2:17" x14ac:dyDescent="0.2">
      <c r="B312" s="4" t="str" cm="1">
        <f t="array" ref="B312">_xlfn.IFS('ProductSprint Backlog'!$F312="", "", AND('ProductSprint Backlog'!$J312&gt;B$2,'ProductSprint Backlog'!$I312&lt;=B$2), 'ProductSprint Backlog'!$F312 / MAX(1, 'ProductSprint Backlog'!$J312-'ProductSprint Backlog'!$I312), AND('ProductSprint Backlog'!$J312=B$2,'ProductSprint Backlog'!$I312=B$2), 'ProductSprint Backlog'!$F312, TRUE, 0)</f>
        <v/>
      </c>
      <c r="C312" s="4" t="str" cm="1">
        <f t="array" ref="C312">_xlfn.IFS('ProductSprint Backlog'!$F312="", "", AND('ProductSprint Backlog'!$J312&gt;C$2,'ProductSprint Backlog'!$I312&lt;=C$2), 'ProductSprint Backlog'!$F312 / MAX(1, 'ProductSprint Backlog'!$J312-'ProductSprint Backlog'!$I312), AND('ProductSprint Backlog'!$J312=C$2,'ProductSprint Backlog'!$I312=C$2), 'ProductSprint Backlog'!$F312, TRUE, 0)</f>
        <v/>
      </c>
      <c r="D312" s="4" t="str" cm="1">
        <f t="array" ref="D312">_xlfn.IFS('ProductSprint Backlog'!$F312="", "", AND('ProductSprint Backlog'!$J312&gt;D$2,'ProductSprint Backlog'!$I312&lt;=D$2), 'ProductSprint Backlog'!$F312 / MAX(1, 'ProductSprint Backlog'!$J312-'ProductSprint Backlog'!$I312), AND('ProductSprint Backlog'!$J312=D$2,'ProductSprint Backlog'!$I312=D$2), 'ProductSprint Backlog'!$F312, TRUE, 0)</f>
        <v/>
      </c>
      <c r="E312" s="4" t="str" cm="1">
        <f t="array" ref="E312">_xlfn.IFS('ProductSprint Backlog'!$F312="", "", AND('ProductSprint Backlog'!$J312&gt;E$2,'ProductSprint Backlog'!$I312&lt;=E$2), 'ProductSprint Backlog'!$F312 / MAX(1, 'ProductSprint Backlog'!$J312-'ProductSprint Backlog'!$I312), AND('ProductSprint Backlog'!$J312=E$2,'ProductSprint Backlog'!$I312=E$2), 'ProductSprint Backlog'!$F312, TRUE, 0)</f>
        <v/>
      </c>
      <c r="F312" s="4" t="str" cm="1">
        <f t="array" ref="F312">_xlfn.IFS('ProductSprint Backlog'!$F312="", "", AND('ProductSprint Backlog'!$J312&gt;F$2,'ProductSprint Backlog'!$I312&lt;=F$2), 'ProductSprint Backlog'!$F312 / MAX(1, 'ProductSprint Backlog'!$J312-'ProductSprint Backlog'!$I312), AND('ProductSprint Backlog'!$J312=F$2,'ProductSprint Backlog'!$I312=F$2), 'ProductSprint Backlog'!$F312, TRUE, 0)</f>
        <v/>
      </c>
      <c r="G312" s="4" t="str" cm="1">
        <f t="array" ref="G312">_xlfn.IFS('ProductSprint Backlog'!$F312="", "", AND('ProductSprint Backlog'!$J312&gt;G$2,'ProductSprint Backlog'!$I312&lt;=G$2), 'ProductSprint Backlog'!$F312 / MAX(1, 'ProductSprint Backlog'!$J312-'ProductSprint Backlog'!$I312), AND('ProductSprint Backlog'!$J312=G$2,'ProductSprint Backlog'!$I312=G$2), 'ProductSprint Backlog'!$F312, TRUE, 0)</f>
        <v/>
      </c>
      <c r="H312" s="4" t="str" cm="1">
        <f t="array" ref="H312">_xlfn.IFS('ProductSprint Backlog'!$F312="", "", AND('ProductSprint Backlog'!$J312&gt;H$2,'ProductSprint Backlog'!$I312&lt;=H$2), 'ProductSprint Backlog'!$F312 / MAX(1, 'ProductSprint Backlog'!$J312-'ProductSprint Backlog'!$I312), AND('ProductSprint Backlog'!$J312=H$2,'ProductSprint Backlog'!$I312=H$2), 'ProductSprint Backlog'!$F312, TRUE, 0)</f>
        <v/>
      </c>
      <c r="I312" s="4" t="str" cm="1">
        <f t="array" ref="I312">_xlfn.IFS('ProductSprint Backlog'!$F312="", "", AND('ProductSprint Backlog'!$J312&gt;I$2,'ProductSprint Backlog'!$I312&lt;=I$2), 'ProductSprint Backlog'!$F312 / MAX(1, 'ProductSprint Backlog'!$J312-'ProductSprint Backlog'!$I312), AND('ProductSprint Backlog'!$J312=I$2,'ProductSprint Backlog'!$I312=I$2), 'ProductSprint Backlog'!$F312, TRUE, 0)</f>
        <v/>
      </c>
      <c r="J312" s="4" t="str" cm="1">
        <f t="array" ref="J312">_xlfn.IFS('ProductSprint Backlog'!$F312="", "", AND('ProductSprint Backlog'!$J312&gt;J$2,'ProductSprint Backlog'!$I312&lt;=J$2), 'ProductSprint Backlog'!$F312 / MAX(1, 'ProductSprint Backlog'!$J312-'ProductSprint Backlog'!$I312), AND('ProductSprint Backlog'!$J312=J$2,'ProductSprint Backlog'!$I312=J$2), 'ProductSprint Backlog'!$F312, TRUE, 0)</f>
        <v/>
      </c>
      <c r="K312" s="4" t="str" cm="1">
        <f t="array" ref="K312">_xlfn.IFS('ProductSprint Backlog'!$F312="", "", AND('ProductSprint Backlog'!$J312&gt;K$2,'ProductSprint Backlog'!$I312&lt;=K$2), 'ProductSprint Backlog'!$F312 / MAX(1, 'ProductSprint Backlog'!$J312-'ProductSprint Backlog'!$I312), AND('ProductSprint Backlog'!$J312=K$2,'ProductSprint Backlog'!$I312=K$2), 'ProductSprint Backlog'!$F312, TRUE, 0)</f>
        <v/>
      </c>
      <c r="L312" s="4" t="str" cm="1">
        <f t="array" ref="L312">_xlfn.IFS('ProductSprint Backlog'!$F312="", "", AND('ProductSprint Backlog'!$J312&gt;L$2,'ProductSprint Backlog'!$I312&lt;=L$2), 'ProductSprint Backlog'!$F312 / MAX(1, 'ProductSprint Backlog'!$J312-'ProductSprint Backlog'!$I312), AND('ProductSprint Backlog'!$J312=L$2,'ProductSprint Backlog'!$I312=L$2), 'ProductSprint Backlog'!$F312, TRUE, 0)</f>
        <v/>
      </c>
      <c r="M312" s="4" t="str" cm="1">
        <f t="array" ref="M312">_xlfn.IFS('ProductSprint Backlog'!$F312="", "", AND('ProductSprint Backlog'!$J312&gt;M$2,'ProductSprint Backlog'!$I312&lt;=M$2), 'ProductSprint Backlog'!$F312 / MAX(1, 'ProductSprint Backlog'!$J312-'ProductSprint Backlog'!$I312), AND('ProductSprint Backlog'!$J312=M$2,'ProductSprint Backlog'!$I312=M$2), 'ProductSprint Backlog'!$F312, TRUE, 0)</f>
        <v/>
      </c>
      <c r="N312" s="4" t="str" cm="1">
        <f t="array" ref="N312">_xlfn.IFS('ProductSprint Backlog'!$F312="", "", AND('ProductSprint Backlog'!$J312&gt;N$2,'ProductSprint Backlog'!$I312&lt;=N$2), 'ProductSprint Backlog'!$F312 / MAX(1, 'ProductSprint Backlog'!$J312-'ProductSprint Backlog'!$I312), AND('ProductSprint Backlog'!$J312=N$2,'ProductSprint Backlog'!$I312=N$2), 'ProductSprint Backlog'!$F312, TRUE, 0)</f>
        <v/>
      </c>
      <c r="O312" s="4" t="str" cm="1">
        <f t="array" ref="O312">_xlfn.IFS('ProductSprint Backlog'!$F312="", "", AND('ProductSprint Backlog'!$J312&gt;O$2,'ProductSprint Backlog'!$I312&lt;=O$2), 'ProductSprint Backlog'!$F312 / MAX(1, 'ProductSprint Backlog'!$J312-'ProductSprint Backlog'!$I312), AND('ProductSprint Backlog'!$J312=O$2,'ProductSprint Backlog'!$I312=O$2), 'ProductSprint Backlog'!$F312, TRUE, 0)</f>
        <v/>
      </c>
      <c r="P312" s="4" t="str" cm="1">
        <f t="array" ref="P312">_xlfn.IFS('ProductSprint Backlog'!$F312="", "", AND('ProductSprint Backlog'!$J312&gt;P$2,'ProductSprint Backlog'!$I312&lt;=P$2), 'ProductSprint Backlog'!$F312 / MAX(1, 'ProductSprint Backlog'!$J312-'ProductSprint Backlog'!$I312), AND('ProductSprint Backlog'!$J312=P$2,'ProductSprint Backlog'!$I312=P$2), 'ProductSprint Backlog'!$F312, TRUE, 0)</f>
        <v/>
      </c>
      <c r="Q312" s="4" t="str" cm="1">
        <f t="array" ref="Q312">_xlfn.IFS('ProductSprint Backlog'!$F312="", "", AND('ProductSprint Backlog'!$J312&gt;Q$2,'ProductSprint Backlog'!$I312&lt;=Q$2), 'ProductSprint Backlog'!$F312 / MAX(1, 'ProductSprint Backlog'!$J312-'ProductSprint Backlog'!$I312), AND('ProductSprint Backlog'!$J312=Q$2,'ProductSprint Backlog'!$I312=Q$2), 'ProductSprint Backlog'!$F312, TRUE, 0)</f>
        <v/>
      </c>
    </row>
    <row r="313" spans="2:17" x14ac:dyDescent="0.2">
      <c r="B313" s="4" t="str" cm="1">
        <f t="array" ref="B313">_xlfn.IFS('ProductSprint Backlog'!$F313="", "", AND('ProductSprint Backlog'!$J313&gt;B$2,'ProductSprint Backlog'!$I313&lt;=B$2), 'ProductSprint Backlog'!$F313 / MAX(1, 'ProductSprint Backlog'!$J313-'ProductSprint Backlog'!$I313), AND('ProductSprint Backlog'!$J313=B$2,'ProductSprint Backlog'!$I313=B$2), 'ProductSprint Backlog'!$F313, TRUE, 0)</f>
        <v/>
      </c>
      <c r="C313" s="4" t="str" cm="1">
        <f t="array" ref="C313">_xlfn.IFS('ProductSprint Backlog'!$F313="", "", AND('ProductSprint Backlog'!$J313&gt;C$2,'ProductSprint Backlog'!$I313&lt;=C$2), 'ProductSprint Backlog'!$F313 / MAX(1, 'ProductSprint Backlog'!$J313-'ProductSprint Backlog'!$I313), AND('ProductSprint Backlog'!$J313=C$2,'ProductSprint Backlog'!$I313=C$2), 'ProductSprint Backlog'!$F313, TRUE, 0)</f>
        <v/>
      </c>
      <c r="D313" s="4" t="str" cm="1">
        <f t="array" ref="D313">_xlfn.IFS('ProductSprint Backlog'!$F313="", "", AND('ProductSprint Backlog'!$J313&gt;D$2,'ProductSprint Backlog'!$I313&lt;=D$2), 'ProductSprint Backlog'!$F313 / MAX(1, 'ProductSprint Backlog'!$J313-'ProductSprint Backlog'!$I313), AND('ProductSprint Backlog'!$J313=D$2,'ProductSprint Backlog'!$I313=D$2), 'ProductSprint Backlog'!$F313, TRUE, 0)</f>
        <v/>
      </c>
      <c r="E313" s="4" t="str" cm="1">
        <f t="array" ref="E313">_xlfn.IFS('ProductSprint Backlog'!$F313="", "", AND('ProductSprint Backlog'!$J313&gt;E$2,'ProductSprint Backlog'!$I313&lt;=E$2), 'ProductSprint Backlog'!$F313 / MAX(1, 'ProductSprint Backlog'!$J313-'ProductSprint Backlog'!$I313), AND('ProductSprint Backlog'!$J313=E$2,'ProductSprint Backlog'!$I313=E$2), 'ProductSprint Backlog'!$F313, TRUE, 0)</f>
        <v/>
      </c>
      <c r="F313" s="4" t="str" cm="1">
        <f t="array" ref="F313">_xlfn.IFS('ProductSprint Backlog'!$F313="", "", AND('ProductSprint Backlog'!$J313&gt;F$2,'ProductSprint Backlog'!$I313&lt;=F$2), 'ProductSprint Backlog'!$F313 / MAX(1, 'ProductSprint Backlog'!$J313-'ProductSprint Backlog'!$I313), AND('ProductSprint Backlog'!$J313=F$2,'ProductSprint Backlog'!$I313=F$2), 'ProductSprint Backlog'!$F313, TRUE, 0)</f>
        <v/>
      </c>
      <c r="G313" s="4" t="str" cm="1">
        <f t="array" ref="G313">_xlfn.IFS('ProductSprint Backlog'!$F313="", "", AND('ProductSprint Backlog'!$J313&gt;G$2,'ProductSprint Backlog'!$I313&lt;=G$2), 'ProductSprint Backlog'!$F313 / MAX(1, 'ProductSprint Backlog'!$J313-'ProductSprint Backlog'!$I313), AND('ProductSprint Backlog'!$J313=G$2,'ProductSprint Backlog'!$I313=G$2), 'ProductSprint Backlog'!$F313, TRUE, 0)</f>
        <v/>
      </c>
      <c r="H313" s="4" t="str" cm="1">
        <f t="array" ref="H313">_xlfn.IFS('ProductSprint Backlog'!$F313="", "", AND('ProductSprint Backlog'!$J313&gt;H$2,'ProductSprint Backlog'!$I313&lt;=H$2), 'ProductSprint Backlog'!$F313 / MAX(1, 'ProductSprint Backlog'!$J313-'ProductSprint Backlog'!$I313), AND('ProductSprint Backlog'!$J313=H$2,'ProductSprint Backlog'!$I313=H$2), 'ProductSprint Backlog'!$F313, TRUE, 0)</f>
        <v/>
      </c>
      <c r="I313" s="4" t="str" cm="1">
        <f t="array" ref="I313">_xlfn.IFS('ProductSprint Backlog'!$F313="", "", AND('ProductSprint Backlog'!$J313&gt;I$2,'ProductSprint Backlog'!$I313&lt;=I$2), 'ProductSprint Backlog'!$F313 / MAX(1, 'ProductSprint Backlog'!$J313-'ProductSprint Backlog'!$I313), AND('ProductSprint Backlog'!$J313=I$2,'ProductSprint Backlog'!$I313=I$2), 'ProductSprint Backlog'!$F313, TRUE, 0)</f>
        <v/>
      </c>
      <c r="J313" s="4" t="str" cm="1">
        <f t="array" ref="J313">_xlfn.IFS('ProductSprint Backlog'!$F313="", "", AND('ProductSprint Backlog'!$J313&gt;J$2,'ProductSprint Backlog'!$I313&lt;=J$2), 'ProductSprint Backlog'!$F313 / MAX(1, 'ProductSprint Backlog'!$J313-'ProductSprint Backlog'!$I313), AND('ProductSprint Backlog'!$J313=J$2,'ProductSprint Backlog'!$I313=J$2), 'ProductSprint Backlog'!$F313, TRUE, 0)</f>
        <v/>
      </c>
      <c r="K313" s="4" t="str" cm="1">
        <f t="array" ref="K313">_xlfn.IFS('ProductSprint Backlog'!$F313="", "", AND('ProductSprint Backlog'!$J313&gt;K$2,'ProductSprint Backlog'!$I313&lt;=K$2), 'ProductSprint Backlog'!$F313 / MAX(1, 'ProductSprint Backlog'!$J313-'ProductSprint Backlog'!$I313), AND('ProductSprint Backlog'!$J313=K$2,'ProductSprint Backlog'!$I313=K$2), 'ProductSprint Backlog'!$F313, TRUE, 0)</f>
        <v/>
      </c>
      <c r="L313" s="4" t="str" cm="1">
        <f t="array" ref="L313">_xlfn.IFS('ProductSprint Backlog'!$F313="", "", AND('ProductSprint Backlog'!$J313&gt;L$2,'ProductSprint Backlog'!$I313&lt;=L$2), 'ProductSprint Backlog'!$F313 / MAX(1, 'ProductSprint Backlog'!$J313-'ProductSprint Backlog'!$I313), AND('ProductSprint Backlog'!$J313=L$2,'ProductSprint Backlog'!$I313=L$2), 'ProductSprint Backlog'!$F313, TRUE, 0)</f>
        <v/>
      </c>
      <c r="M313" s="4" t="str" cm="1">
        <f t="array" ref="M313">_xlfn.IFS('ProductSprint Backlog'!$F313="", "", AND('ProductSprint Backlog'!$J313&gt;M$2,'ProductSprint Backlog'!$I313&lt;=M$2), 'ProductSprint Backlog'!$F313 / MAX(1, 'ProductSprint Backlog'!$J313-'ProductSprint Backlog'!$I313), AND('ProductSprint Backlog'!$J313=M$2,'ProductSprint Backlog'!$I313=M$2), 'ProductSprint Backlog'!$F313, TRUE, 0)</f>
        <v/>
      </c>
      <c r="N313" s="4" t="str" cm="1">
        <f t="array" ref="N313">_xlfn.IFS('ProductSprint Backlog'!$F313="", "", AND('ProductSprint Backlog'!$J313&gt;N$2,'ProductSprint Backlog'!$I313&lt;=N$2), 'ProductSprint Backlog'!$F313 / MAX(1, 'ProductSprint Backlog'!$J313-'ProductSprint Backlog'!$I313), AND('ProductSprint Backlog'!$J313=N$2,'ProductSprint Backlog'!$I313=N$2), 'ProductSprint Backlog'!$F313, TRUE, 0)</f>
        <v/>
      </c>
      <c r="O313" s="4" t="str" cm="1">
        <f t="array" ref="O313">_xlfn.IFS('ProductSprint Backlog'!$F313="", "", AND('ProductSprint Backlog'!$J313&gt;O$2,'ProductSprint Backlog'!$I313&lt;=O$2), 'ProductSprint Backlog'!$F313 / MAX(1, 'ProductSprint Backlog'!$J313-'ProductSprint Backlog'!$I313), AND('ProductSprint Backlog'!$J313=O$2,'ProductSprint Backlog'!$I313=O$2), 'ProductSprint Backlog'!$F313, TRUE, 0)</f>
        <v/>
      </c>
      <c r="P313" s="4" t="str" cm="1">
        <f t="array" ref="P313">_xlfn.IFS('ProductSprint Backlog'!$F313="", "", AND('ProductSprint Backlog'!$J313&gt;P$2,'ProductSprint Backlog'!$I313&lt;=P$2), 'ProductSprint Backlog'!$F313 / MAX(1, 'ProductSprint Backlog'!$J313-'ProductSprint Backlog'!$I313), AND('ProductSprint Backlog'!$J313=P$2,'ProductSprint Backlog'!$I313=P$2), 'ProductSprint Backlog'!$F313, TRUE, 0)</f>
        <v/>
      </c>
      <c r="Q313" s="4" t="str" cm="1">
        <f t="array" ref="Q313">_xlfn.IFS('ProductSprint Backlog'!$F313="", "", AND('ProductSprint Backlog'!$J313&gt;Q$2,'ProductSprint Backlog'!$I313&lt;=Q$2), 'ProductSprint Backlog'!$F313 / MAX(1, 'ProductSprint Backlog'!$J313-'ProductSprint Backlog'!$I313), AND('ProductSprint Backlog'!$J313=Q$2,'ProductSprint Backlog'!$I313=Q$2), 'ProductSprint Backlog'!$F313, TRUE, 0)</f>
        <v/>
      </c>
    </row>
    <row r="314" spans="2:17" x14ac:dyDescent="0.2">
      <c r="B314" s="4" t="str" cm="1">
        <f t="array" ref="B314">_xlfn.IFS('ProductSprint Backlog'!$F314="", "", AND('ProductSprint Backlog'!$J314&gt;B$2,'ProductSprint Backlog'!$I314&lt;=B$2), 'ProductSprint Backlog'!$F314 / MAX(1, 'ProductSprint Backlog'!$J314-'ProductSprint Backlog'!$I314), AND('ProductSprint Backlog'!$J314=B$2,'ProductSprint Backlog'!$I314=B$2), 'ProductSprint Backlog'!$F314, TRUE, 0)</f>
        <v/>
      </c>
      <c r="C314" s="4" t="str" cm="1">
        <f t="array" ref="C314">_xlfn.IFS('ProductSprint Backlog'!$F314="", "", AND('ProductSprint Backlog'!$J314&gt;C$2,'ProductSprint Backlog'!$I314&lt;=C$2), 'ProductSprint Backlog'!$F314 / MAX(1, 'ProductSprint Backlog'!$J314-'ProductSprint Backlog'!$I314), AND('ProductSprint Backlog'!$J314=C$2,'ProductSprint Backlog'!$I314=C$2), 'ProductSprint Backlog'!$F314, TRUE, 0)</f>
        <v/>
      </c>
      <c r="D314" s="4" t="str" cm="1">
        <f t="array" ref="D314">_xlfn.IFS('ProductSprint Backlog'!$F314="", "", AND('ProductSprint Backlog'!$J314&gt;D$2,'ProductSprint Backlog'!$I314&lt;=D$2), 'ProductSprint Backlog'!$F314 / MAX(1, 'ProductSprint Backlog'!$J314-'ProductSprint Backlog'!$I314), AND('ProductSprint Backlog'!$J314=D$2,'ProductSprint Backlog'!$I314=D$2), 'ProductSprint Backlog'!$F314, TRUE, 0)</f>
        <v/>
      </c>
      <c r="E314" s="4" t="str" cm="1">
        <f t="array" ref="E314">_xlfn.IFS('ProductSprint Backlog'!$F314="", "", AND('ProductSprint Backlog'!$J314&gt;E$2,'ProductSprint Backlog'!$I314&lt;=E$2), 'ProductSprint Backlog'!$F314 / MAX(1, 'ProductSprint Backlog'!$J314-'ProductSprint Backlog'!$I314), AND('ProductSprint Backlog'!$J314=E$2,'ProductSprint Backlog'!$I314=E$2), 'ProductSprint Backlog'!$F314, TRUE, 0)</f>
        <v/>
      </c>
      <c r="F314" s="4" t="str" cm="1">
        <f t="array" ref="F314">_xlfn.IFS('ProductSprint Backlog'!$F314="", "", AND('ProductSprint Backlog'!$J314&gt;F$2,'ProductSprint Backlog'!$I314&lt;=F$2), 'ProductSprint Backlog'!$F314 / MAX(1, 'ProductSprint Backlog'!$J314-'ProductSprint Backlog'!$I314), AND('ProductSprint Backlog'!$J314=F$2,'ProductSprint Backlog'!$I314=F$2), 'ProductSprint Backlog'!$F314, TRUE, 0)</f>
        <v/>
      </c>
      <c r="G314" s="4" t="str" cm="1">
        <f t="array" ref="G314">_xlfn.IFS('ProductSprint Backlog'!$F314="", "", AND('ProductSprint Backlog'!$J314&gt;G$2,'ProductSprint Backlog'!$I314&lt;=G$2), 'ProductSprint Backlog'!$F314 / MAX(1, 'ProductSprint Backlog'!$J314-'ProductSprint Backlog'!$I314), AND('ProductSprint Backlog'!$J314=G$2,'ProductSprint Backlog'!$I314=G$2), 'ProductSprint Backlog'!$F314, TRUE, 0)</f>
        <v/>
      </c>
      <c r="H314" s="4" t="str" cm="1">
        <f t="array" ref="H314">_xlfn.IFS('ProductSprint Backlog'!$F314="", "", AND('ProductSprint Backlog'!$J314&gt;H$2,'ProductSprint Backlog'!$I314&lt;=H$2), 'ProductSprint Backlog'!$F314 / MAX(1, 'ProductSprint Backlog'!$J314-'ProductSprint Backlog'!$I314), AND('ProductSprint Backlog'!$J314=H$2,'ProductSprint Backlog'!$I314=H$2), 'ProductSprint Backlog'!$F314, TRUE, 0)</f>
        <v/>
      </c>
      <c r="I314" s="4" t="str" cm="1">
        <f t="array" ref="I314">_xlfn.IFS('ProductSprint Backlog'!$F314="", "", AND('ProductSprint Backlog'!$J314&gt;I$2,'ProductSprint Backlog'!$I314&lt;=I$2), 'ProductSprint Backlog'!$F314 / MAX(1, 'ProductSprint Backlog'!$J314-'ProductSprint Backlog'!$I314), AND('ProductSprint Backlog'!$J314=I$2,'ProductSprint Backlog'!$I314=I$2), 'ProductSprint Backlog'!$F314, TRUE, 0)</f>
        <v/>
      </c>
      <c r="J314" s="4" t="str" cm="1">
        <f t="array" ref="J314">_xlfn.IFS('ProductSprint Backlog'!$F314="", "", AND('ProductSprint Backlog'!$J314&gt;J$2,'ProductSprint Backlog'!$I314&lt;=J$2), 'ProductSprint Backlog'!$F314 / MAX(1, 'ProductSprint Backlog'!$J314-'ProductSprint Backlog'!$I314), AND('ProductSprint Backlog'!$J314=J$2,'ProductSprint Backlog'!$I314=J$2), 'ProductSprint Backlog'!$F314, TRUE, 0)</f>
        <v/>
      </c>
      <c r="K314" s="4" t="str" cm="1">
        <f t="array" ref="K314">_xlfn.IFS('ProductSprint Backlog'!$F314="", "", AND('ProductSprint Backlog'!$J314&gt;K$2,'ProductSprint Backlog'!$I314&lt;=K$2), 'ProductSprint Backlog'!$F314 / MAX(1, 'ProductSprint Backlog'!$J314-'ProductSprint Backlog'!$I314), AND('ProductSprint Backlog'!$J314=K$2,'ProductSprint Backlog'!$I314=K$2), 'ProductSprint Backlog'!$F314, TRUE, 0)</f>
        <v/>
      </c>
      <c r="L314" s="4" t="str" cm="1">
        <f t="array" ref="L314">_xlfn.IFS('ProductSprint Backlog'!$F314="", "", AND('ProductSprint Backlog'!$J314&gt;L$2,'ProductSprint Backlog'!$I314&lt;=L$2), 'ProductSprint Backlog'!$F314 / MAX(1, 'ProductSprint Backlog'!$J314-'ProductSprint Backlog'!$I314), AND('ProductSprint Backlog'!$J314=L$2,'ProductSprint Backlog'!$I314=L$2), 'ProductSprint Backlog'!$F314, TRUE, 0)</f>
        <v/>
      </c>
      <c r="M314" s="4" t="str" cm="1">
        <f t="array" ref="M314">_xlfn.IFS('ProductSprint Backlog'!$F314="", "", AND('ProductSprint Backlog'!$J314&gt;M$2,'ProductSprint Backlog'!$I314&lt;=M$2), 'ProductSprint Backlog'!$F314 / MAX(1, 'ProductSprint Backlog'!$J314-'ProductSprint Backlog'!$I314), AND('ProductSprint Backlog'!$J314=M$2,'ProductSprint Backlog'!$I314=M$2), 'ProductSprint Backlog'!$F314, TRUE, 0)</f>
        <v/>
      </c>
      <c r="N314" s="4" t="str" cm="1">
        <f t="array" ref="N314">_xlfn.IFS('ProductSprint Backlog'!$F314="", "", AND('ProductSprint Backlog'!$J314&gt;N$2,'ProductSprint Backlog'!$I314&lt;=N$2), 'ProductSprint Backlog'!$F314 / MAX(1, 'ProductSprint Backlog'!$J314-'ProductSprint Backlog'!$I314), AND('ProductSprint Backlog'!$J314=N$2,'ProductSprint Backlog'!$I314=N$2), 'ProductSprint Backlog'!$F314, TRUE, 0)</f>
        <v/>
      </c>
      <c r="O314" s="4" t="str" cm="1">
        <f t="array" ref="O314">_xlfn.IFS('ProductSprint Backlog'!$F314="", "", AND('ProductSprint Backlog'!$J314&gt;O$2,'ProductSprint Backlog'!$I314&lt;=O$2), 'ProductSprint Backlog'!$F314 / MAX(1, 'ProductSprint Backlog'!$J314-'ProductSprint Backlog'!$I314), AND('ProductSprint Backlog'!$J314=O$2,'ProductSprint Backlog'!$I314=O$2), 'ProductSprint Backlog'!$F314, TRUE, 0)</f>
        <v/>
      </c>
      <c r="P314" s="4" t="str" cm="1">
        <f t="array" ref="P314">_xlfn.IFS('ProductSprint Backlog'!$F314="", "", AND('ProductSprint Backlog'!$J314&gt;P$2,'ProductSprint Backlog'!$I314&lt;=P$2), 'ProductSprint Backlog'!$F314 / MAX(1, 'ProductSprint Backlog'!$J314-'ProductSprint Backlog'!$I314), AND('ProductSprint Backlog'!$J314=P$2,'ProductSprint Backlog'!$I314=P$2), 'ProductSprint Backlog'!$F314, TRUE, 0)</f>
        <v/>
      </c>
      <c r="Q314" s="4" t="str" cm="1">
        <f t="array" ref="Q314">_xlfn.IFS('ProductSprint Backlog'!$F314="", "", AND('ProductSprint Backlog'!$J314&gt;Q$2,'ProductSprint Backlog'!$I314&lt;=Q$2), 'ProductSprint Backlog'!$F314 / MAX(1, 'ProductSprint Backlog'!$J314-'ProductSprint Backlog'!$I314), AND('ProductSprint Backlog'!$J314=Q$2,'ProductSprint Backlog'!$I314=Q$2), 'ProductSprint Backlog'!$F314, TRUE, 0)</f>
        <v/>
      </c>
    </row>
    <row r="315" spans="2:17" x14ac:dyDescent="0.2">
      <c r="B315" s="4" t="str" cm="1">
        <f t="array" ref="B315">_xlfn.IFS('ProductSprint Backlog'!$F315="", "", AND('ProductSprint Backlog'!$J315&gt;B$2,'ProductSprint Backlog'!$I315&lt;=B$2), 'ProductSprint Backlog'!$F315 / MAX(1, 'ProductSprint Backlog'!$J315-'ProductSprint Backlog'!$I315), AND('ProductSprint Backlog'!$J315=B$2,'ProductSprint Backlog'!$I315=B$2), 'ProductSprint Backlog'!$F315, TRUE, 0)</f>
        <v/>
      </c>
      <c r="C315" s="4" t="str" cm="1">
        <f t="array" ref="C315">_xlfn.IFS('ProductSprint Backlog'!$F315="", "", AND('ProductSprint Backlog'!$J315&gt;C$2,'ProductSprint Backlog'!$I315&lt;=C$2), 'ProductSprint Backlog'!$F315 / MAX(1, 'ProductSprint Backlog'!$J315-'ProductSprint Backlog'!$I315), AND('ProductSprint Backlog'!$J315=C$2,'ProductSprint Backlog'!$I315=C$2), 'ProductSprint Backlog'!$F315, TRUE, 0)</f>
        <v/>
      </c>
      <c r="D315" s="4" t="str" cm="1">
        <f t="array" ref="D315">_xlfn.IFS('ProductSprint Backlog'!$F315="", "", AND('ProductSprint Backlog'!$J315&gt;D$2,'ProductSprint Backlog'!$I315&lt;=D$2), 'ProductSprint Backlog'!$F315 / MAX(1, 'ProductSprint Backlog'!$J315-'ProductSprint Backlog'!$I315), AND('ProductSprint Backlog'!$J315=D$2,'ProductSprint Backlog'!$I315=D$2), 'ProductSprint Backlog'!$F315, TRUE, 0)</f>
        <v/>
      </c>
      <c r="E315" s="4" t="str" cm="1">
        <f t="array" ref="E315">_xlfn.IFS('ProductSprint Backlog'!$F315="", "", AND('ProductSprint Backlog'!$J315&gt;E$2,'ProductSprint Backlog'!$I315&lt;=E$2), 'ProductSprint Backlog'!$F315 / MAX(1, 'ProductSprint Backlog'!$J315-'ProductSprint Backlog'!$I315), AND('ProductSprint Backlog'!$J315=E$2,'ProductSprint Backlog'!$I315=E$2), 'ProductSprint Backlog'!$F315, TRUE, 0)</f>
        <v/>
      </c>
      <c r="F315" s="4" t="str" cm="1">
        <f t="array" ref="F315">_xlfn.IFS('ProductSprint Backlog'!$F315="", "", AND('ProductSprint Backlog'!$J315&gt;F$2,'ProductSprint Backlog'!$I315&lt;=F$2), 'ProductSprint Backlog'!$F315 / MAX(1, 'ProductSprint Backlog'!$J315-'ProductSprint Backlog'!$I315), AND('ProductSprint Backlog'!$J315=F$2,'ProductSprint Backlog'!$I315=F$2), 'ProductSprint Backlog'!$F315, TRUE, 0)</f>
        <v/>
      </c>
      <c r="G315" s="4" t="str" cm="1">
        <f t="array" ref="G315">_xlfn.IFS('ProductSprint Backlog'!$F315="", "", AND('ProductSprint Backlog'!$J315&gt;G$2,'ProductSprint Backlog'!$I315&lt;=G$2), 'ProductSprint Backlog'!$F315 / MAX(1, 'ProductSprint Backlog'!$J315-'ProductSprint Backlog'!$I315), AND('ProductSprint Backlog'!$J315=G$2,'ProductSprint Backlog'!$I315=G$2), 'ProductSprint Backlog'!$F315, TRUE, 0)</f>
        <v/>
      </c>
      <c r="H315" s="4" t="str" cm="1">
        <f t="array" ref="H315">_xlfn.IFS('ProductSprint Backlog'!$F315="", "", AND('ProductSprint Backlog'!$J315&gt;H$2,'ProductSprint Backlog'!$I315&lt;=H$2), 'ProductSprint Backlog'!$F315 / MAX(1, 'ProductSprint Backlog'!$J315-'ProductSprint Backlog'!$I315), AND('ProductSprint Backlog'!$J315=H$2,'ProductSprint Backlog'!$I315=H$2), 'ProductSprint Backlog'!$F315, TRUE, 0)</f>
        <v/>
      </c>
      <c r="I315" s="4" t="str" cm="1">
        <f t="array" ref="I315">_xlfn.IFS('ProductSprint Backlog'!$F315="", "", AND('ProductSprint Backlog'!$J315&gt;I$2,'ProductSprint Backlog'!$I315&lt;=I$2), 'ProductSprint Backlog'!$F315 / MAX(1, 'ProductSprint Backlog'!$J315-'ProductSprint Backlog'!$I315), AND('ProductSprint Backlog'!$J315=I$2,'ProductSprint Backlog'!$I315=I$2), 'ProductSprint Backlog'!$F315, TRUE, 0)</f>
        <v/>
      </c>
      <c r="J315" s="4" t="str" cm="1">
        <f t="array" ref="J315">_xlfn.IFS('ProductSprint Backlog'!$F315="", "", AND('ProductSprint Backlog'!$J315&gt;J$2,'ProductSprint Backlog'!$I315&lt;=J$2), 'ProductSprint Backlog'!$F315 / MAX(1, 'ProductSprint Backlog'!$J315-'ProductSprint Backlog'!$I315), AND('ProductSprint Backlog'!$J315=J$2,'ProductSprint Backlog'!$I315=J$2), 'ProductSprint Backlog'!$F315, TRUE, 0)</f>
        <v/>
      </c>
      <c r="K315" s="4" t="str" cm="1">
        <f t="array" ref="K315">_xlfn.IFS('ProductSprint Backlog'!$F315="", "", AND('ProductSprint Backlog'!$J315&gt;K$2,'ProductSprint Backlog'!$I315&lt;=K$2), 'ProductSprint Backlog'!$F315 / MAX(1, 'ProductSprint Backlog'!$J315-'ProductSprint Backlog'!$I315), AND('ProductSprint Backlog'!$J315=K$2,'ProductSprint Backlog'!$I315=K$2), 'ProductSprint Backlog'!$F315, TRUE, 0)</f>
        <v/>
      </c>
      <c r="L315" s="4" t="str" cm="1">
        <f t="array" ref="L315">_xlfn.IFS('ProductSprint Backlog'!$F315="", "", AND('ProductSprint Backlog'!$J315&gt;L$2,'ProductSprint Backlog'!$I315&lt;=L$2), 'ProductSprint Backlog'!$F315 / MAX(1, 'ProductSprint Backlog'!$J315-'ProductSprint Backlog'!$I315), AND('ProductSprint Backlog'!$J315=L$2,'ProductSprint Backlog'!$I315=L$2), 'ProductSprint Backlog'!$F315, TRUE, 0)</f>
        <v/>
      </c>
      <c r="M315" s="4" t="str" cm="1">
        <f t="array" ref="M315">_xlfn.IFS('ProductSprint Backlog'!$F315="", "", AND('ProductSprint Backlog'!$J315&gt;M$2,'ProductSprint Backlog'!$I315&lt;=M$2), 'ProductSprint Backlog'!$F315 / MAX(1, 'ProductSprint Backlog'!$J315-'ProductSprint Backlog'!$I315), AND('ProductSprint Backlog'!$J315=M$2,'ProductSprint Backlog'!$I315=M$2), 'ProductSprint Backlog'!$F315, TRUE, 0)</f>
        <v/>
      </c>
      <c r="N315" s="4" t="str" cm="1">
        <f t="array" ref="N315">_xlfn.IFS('ProductSprint Backlog'!$F315="", "", AND('ProductSprint Backlog'!$J315&gt;N$2,'ProductSprint Backlog'!$I315&lt;=N$2), 'ProductSprint Backlog'!$F315 / MAX(1, 'ProductSprint Backlog'!$J315-'ProductSprint Backlog'!$I315), AND('ProductSprint Backlog'!$J315=N$2,'ProductSprint Backlog'!$I315=N$2), 'ProductSprint Backlog'!$F315, TRUE, 0)</f>
        <v/>
      </c>
      <c r="O315" s="4" t="str" cm="1">
        <f t="array" ref="O315">_xlfn.IFS('ProductSprint Backlog'!$F315="", "", AND('ProductSprint Backlog'!$J315&gt;O$2,'ProductSprint Backlog'!$I315&lt;=O$2), 'ProductSprint Backlog'!$F315 / MAX(1, 'ProductSprint Backlog'!$J315-'ProductSprint Backlog'!$I315), AND('ProductSprint Backlog'!$J315=O$2,'ProductSprint Backlog'!$I315=O$2), 'ProductSprint Backlog'!$F315, TRUE, 0)</f>
        <v/>
      </c>
      <c r="P315" s="4" t="str" cm="1">
        <f t="array" ref="P315">_xlfn.IFS('ProductSprint Backlog'!$F315="", "", AND('ProductSprint Backlog'!$J315&gt;P$2,'ProductSprint Backlog'!$I315&lt;=P$2), 'ProductSprint Backlog'!$F315 / MAX(1, 'ProductSprint Backlog'!$J315-'ProductSprint Backlog'!$I315), AND('ProductSprint Backlog'!$J315=P$2,'ProductSprint Backlog'!$I315=P$2), 'ProductSprint Backlog'!$F315, TRUE, 0)</f>
        <v/>
      </c>
      <c r="Q315" s="4" t="str" cm="1">
        <f t="array" ref="Q315">_xlfn.IFS('ProductSprint Backlog'!$F315="", "", AND('ProductSprint Backlog'!$J315&gt;Q$2,'ProductSprint Backlog'!$I315&lt;=Q$2), 'ProductSprint Backlog'!$F315 / MAX(1, 'ProductSprint Backlog'!$J315-'ProductSprint Backlog'!$I315), AND('ProductSprint Backlog'!$J315=Q$2,'ProductSprint Backlog'!$I315=Q$2), 'ProductSprint Backlog'!$F315, TRUE, 0)</f>
        <v/>
      </c>
    </row>
    <row r="316" spans="2:17" x14ac:dyDescent="0.2">
      <c r="B316" s="4" t="str" cm="1">
        <f t="array" ref="B316">_xlfn.IFS('ProductSprint Backlog'!$F316="", "", AND('ProductSprint Backlog'!$J316&gt;B$2,'ProductSprint Backlog'!$I316&lt;=B$2), 'ProductSprint Backlog'!$F316 / MAX(1, 'ProductSprint Backlog'!$J316-'ProductSprint Backlog'!$I316), AND('ProductSprint Backlog'!$J316=B$2,'ProductSprint Backlog'!$I316=B$2), 'ProductSprint Backlog'!$F316, TRUE, 0)</f>
        <v/>
      </c>
      <c r="C316" s="4" t="str" cm="1">
        <f t="array" ref="C316">_xlfn.IFS('ProductSprint Backlog'!$F316="", "", AND('ProductSprint Backlog'!$J316&gt;C$2,'ProductSprint Backlog'!$I316&lt;=C$2), 'ProductSprint Backlog'!$F316 / MAX(1, 'ProductSprint Backlog'!$J316-'ProductSprint Backlog'!$I316), AND('ProductSprint Backlog'!$J316=C$2,'ProductSprint Backlog'!$I316=C$2), 'ProductSprint Backlog'!$F316, TRUE, 0)</f>
        <v/>
      </c>
      <c r="D316" s="4" t="str" cm="1">
        <f t="array" ref="D316">_xlfn.IFS('ProductSprint Backlog'!$F316="", "", AND('ProductSprint Backlog'!$J316&gt;D$2,'ProductSprint Backlog'!$I316&lt;=D$2), 'ProductSprint Backlog'!$F316 / MAX(1, 'ProductSprint Backlog'!$J316-'ProductSprint Backlog'!$I316), AND('ProductSprint Backlog'!$J316=D$2,'ProductSprint Backlog'!$I316=D$2), 'ProductSprint Backlog'!$F316, TRUE, 0)</f>
        <v/>
      </c>
      <c r="E316" s="4" t="str" cm="1">
        <f t="array" ref="E316">_xlfn.IFS('ProductSprint Backlog'!$F316="", "", AND('ProductSprint Backlog'!$J316&gt;E$2,'ProductSprint Backlog'!$I316&lt;=E$2), 'ProductSprint Backlog'!$F316 / MAX(1, 'ProductSprint Backlog'!$J316-'ProductSprint Backlog'!$I316), AND('ProductSprint Backlog'!$J316=E$2,'ProductSprint Backlog'!$I316=E$2), 'ProductSprint Backlog'!$F316, TRUE, 0)</f>
        <v/>
      </c>
      <c r="F316" s="4" t="str" cm="1">
        <f t="array" ref="F316">_xlfn.IFS('ProductSprint Backlog'!$F316="", "", AND('ProductSprint Backlog'!$J316&gt;F$2,'ProductSprint Backlog'!$I316&lt;=F$2), 'ProductSprint Backlog'!$F316 / MAX(1, 'ProductSprint Backlog'!$J316-'ProductSprint Backlog'!$I316), AND('ProductSprint Backlog'!$J316=F$2,'ProductSprint Backlog'!$I316=F$2), 'ProductSprint Backlog'!$F316, TRUE, 0)</f>
        <v/>
      </c>
      <c r="G316" s="4" t="str" cm="1">
        <f t="array" ref="G316">_xlfn.IFS('ProductSprint Backlog'!$F316="", "", AND('ProductSprint Backlog'!$J316&gt;G$2,'ProductSprint Backlog'!$I316&lt;=G$2), 'ProductSprint Backlog'!$F316 / MAX(1, 'ProductSprint Backlog'!$J316-'ProductSprint Backlog'!$I316), AND('ProductSprint Backlog'!$J316=G$2,'ProductSprint Backlog'!$I316=G$2), 'ProductSprint Backlog'!$F316, TRUE, 0)</f>
        <v/>
      </c>
      <c r="H316" s="4" t="str" cm="1">
        <f t="array" ref="H316">_xlfn.IFS('ProductSprint Backlog'!$F316="", "", AND('ProductSprint Backlog'!$J316&gt;H$2,'ProductSprint Backlog'!$I316&lt;=H$2), 'ProductSprint Backlog'!$F316 / MAX(1, 'ProductSprint Backlog'!$J316-'ProductSprint Backlog'!$I316), AND('ProductSprint Backlog'!$J316=H$2,'ProductSprint Backlog'!$I316=H$2), 'ProductSprint Backlog'!$F316, TRUE, 0)</f>
        <v/>
      </c>
      <c r="I316" s="4" t="str" cm="1">
        <f t="array" ref="I316">_xlfn.IFS('ProductSprint Backlog'!$F316="", "", AND('ProductSprint Backlog'!$J316&gt;I$2,'ProductSprint Backlog'!$I316&lt;=I$2), 'ProductSprint Backlog'!$F316 / MAX(1, 'ProductSprint Backlog'!$J316-'ProductSprint Backlog'!$I316), AND('ProductSprint Backlog'!$J316=I$2,'ProductSprint Backlog'!$I316=I$2), 'ProductSprint Backlog'!$F316, TRUE, 0)</f>
        <v/>
      </c>
      <c r="J316" s="4" t="str" cm="1">
        <f t="array" ref="J316">_xlfn.IFS('ProductSprint Backlog'!$F316="", "", AND('ProductSprint Backlog'!$J316&gt;J$2,'ProductSprint Backlog'!$I316&lt;=J$2), 'ProductSprint Backlog'!$F316 / MAX(1, 'ProductSprint Backlog'!$J316-'ProductSprint Backlog'!$I316), AND('ProductSprint Backlog'!$J316=J$2,'ProductSprint Backlog'!$I316=J$2), 'ProductSprint Backlog'!$F316, TRUE, 0)</f>
        <v/>
      </c>
      <c r="K316" s="4" t="str" cm="1">
        <f t="array" ref="K316">_xlfn.IFS('ProductSprint Backlog'!$F316="", "", AND('ProductSprint Backlog'!$J316&gt;K$2,'ProductSprint Backlog'!$I316&lt;=K$2), 'ProductSprint Backlog'!$F316 / MAX(1, 'ProductSprint Backlog'!$J316-'ProductSprint Backlog'!$I316), AND('ProductSprint Backlog'!$J316=K$2,'ProductSprint Backlog'!$I316=K$2), 'ProductSprint Backlog'!$F316, TRUE, 0)</f>
        <v/>
      </c>
      <c r="L316" s="4" t="str" cm="1">
        <f t="array" ref="L316">_xlfn.IFS('ProductSprint Backlog'!$F316="", "", AND('ProductSprint Backlog'!$J316&gt;L$2,'ProductSprint Backlog'!$I316&lt;=L$2), 'ProductSprint Backlog'!$F316 / MAX(1, 'ProductSprint Backlog'!$J316-'ProductSprint Backlog'!$I316), AND('ProductSprint Backlog'!$J316=L$2,'ProductSprint Backlog'!$I316=L$2), 'ProductSprint Backlog'!$F316, TRUE, 0)</f>
        <v/>
      </c>
      <c r="M316" s="4" t="str" cm="1">
        <f t="array" ref="M316">_xlfn.IFS('ProductSprint Backlog'!$F316="", "", AND('ProductSprint Backlog'!$J316&gt;M$2,'ProductSprint Backlog'!$I316&lt;=M$2), 'ProductSprint Backlog'!$F316 / MAX(1, 'ProductSprint Backlog'!$J316-'ProductSprint Backlog'!$I316), AND('ProductSprint Backlog'!$J316=M$2,'ProductSprint Backlog'!$I316=M$2), 'ProductSprint Backlog'!$F316, TRUE, 0)</f>
        <v/>
      </c>
      <c r="N316" s="4" t="str" cm="1">
        <f t="array" ref="N316">_xlfn.IFS('ProductSprint Backlog'!$F316="", "", AND('ProductSprint Backlog'!$J316&gt;N$2,'ProductSprint Backlog'!$I316&lt;=N$2), 'ProductSprint Backlog'!$F316 / MAX(1, 'ProductSprint Backlog'!$J316-'ProductSprint Backlog'!$I316), AND('ProductSprint Backlog'!$J316=N$2,'ProductSprint Backlog'!$I316=N$2), 'ProductSprint Backlog'!$F316, TRUE, 0)</f>
        <v/>
      </c>
      <c r="O316" s="4" t="str" cm="1">
        <f t="array" ref="O316">_xlfn.IFS('ProductSprint Backlog'!$F316="", "", AND('ProductSprint Backlog'!$J316&gt;O$2,'ProductSprint Backlog'!$I316&lt;=O$2), 'ProductSprint Backlog'!$F316 / MAX(1, 'ProductSprint Backlog'!$J316-'ProductSprint Backlog'!$I316), AND('ProductSprint Backlog'!$J316=O$2,'ProductSprint Backlog'!$I316=O$2), 'ProductSprint Backlog'!$F316, TRUE, 0)</f>
        <v/>
      </c>
      <c r="P316" s="4" t="str" cm="1">
        <f t="array" ref="P316">_xlfn.IFS('ProductSprint Backlog'!$F316="", "", AND('ProductSprint Backlog'!$J316&gt;P$2,'ProductSprint Backlog'!$I316&lt;=P$2), 'ProductSprint Backlog'!$F316 / MAX(1, 'ProductSprint Backlog'!$J316-'ProductSprint Backlog'!$I316), AND('ProductSprint Backlog'!$J316=P$2,'ProductSprint Backlog'!$I316=P$2), 'ProductSprint Backlog'!$F316, TRUE, 0)</f>
        <v/>
      </c>
      <c r="Q316" s="4" t="str" cm="1">
        <f t="array" ref="Q316">_xlfn.IFS('ProductSprint Backlog'!$F316="", "", AND('ProductSprint Backlog'!$J316&gt;Q$2,'ProductSprint Backlog'!$I316&lt;=Q$2), 'ProductSprint Backlog'!$F316 / MAX(1, 'ProductSprint Backlog'!$J316-'ProductSprint Backlog'!$I316), AND('ProductSprint Backlog'!$J316=Q$2,'ProductSprint Backlog'!$I316=Q$2), 'ProductSprint Backlog'!$F316, TRUE, 0)</f>
        <v/>
      </c>
    </row>
    <row r="317" spans="2:17" x14ac:dyDescent="0.2">
      <c r="B317" s="4" t="str" cm="1">
        <f t="array" ref="B317">_xlfn.IFS('ProductSprint Backlog'!$F317="", "", AND('ProductSprint Backlog'!$J317&gt;B$2,'ProductSprint Backlog'!$I317&lt;=B$2), 'ProductSprint Backlog'!$F317 / MAX(1, 'ProductSprint Backlog'!$J317-'ProductSprint Backlog'!$I317), AND('ProductSprint Backlog'!$J317=B$2,'ProductSprint Backlog'!$I317=B$2), 'ProductSprint Backlog'!$F317, TRUE, 0)</f>
        <v/>
      </c>
      <c r="C317" s="4" t="str" cm="1">
        <f t="array" ref="C317">_xlfn.IFS('ProductSprint Backlog'!$F317="", "", AND('ProductSprint Backlog'!$J317&gt;C$2,'ProductSprint Backlog'!$I317&lt;=C$2), 'ProductSprint Backlog'!$F317 / MAX(1, 'ProductSprint Backlog'!$J317-'ProductSprint Backlog'!$I317), AND('ProductSprint Backlog'!$J317=C$2,'ProductSprint Backlog'!$I317=C$2), 'ProductSprint Backlog'!$F317, TRUE, 0)</f>
        <v/>
      </c>
      <c r="D317" s="4" t="str" cm="1">
        <f t="array" ref="D317">_xlfn.IFS('ProductSprint Backlog'!$F317="", "", AND('ProductSprint Backlog'!$J317&gt;D$2,'ProductSprint Backlog'!$I317&lt;=D$2), 'ProductSprint Backlog'!$F317 / MAX(1, 'ProductSprint Backlog'!$J317-'ProductSprint Backlog'!$I317), AND('ProductSprint Backlog'!$J317=D$2,'ProductSprint Backlog'!$I317=D$2), 'ProductSprint Backlog'!$F317, TRUE, 0)</f>
        <v/>
      </c>
      <c r="E317" s="4" t="str" cm="1">
        <f t="array" ref="E317">_xlfn.IFS('ProductSprint Backlog'!$F317="", "", AND('ProductSprint Backlog'!$J317&gt;E$2,'ProductSprint Backlog'!$I317&lt;=E$2), 'ProductSprint Backlog'!$F317 / MAX(1, 'ProductSprint Backlog'!$J317-'ProductSprint Backlog'!$I317), AND('ProductSprint Backlog'!$J317=E$2,'ProductSprint Backlog'!$I317=E$2), 'ProductSprint Backlog'!$F317, TRUE, 0)</f>
        <v/>
      </c>
      <c r="F317" s="4" t="str" cm="1">
        <f t="array" ref="F317">_xlfn.IFS('ProductSprint Backlog'!$F317="", "", AND('ProductSprint Backlog'!$J317&gt;F$2,'ProductSprint Backlog'!$I317&lt;=F$2), 'ProductSprint Backlog'!$F317 / MAX(1, 'ProductSprint Backlog'!$J317-'ProductSprint Backlog'!$I317), AND('ProductSprint Backlog'!$J317=F$2,'ProductSprint Backlog'!$I317=F$2), 'ProductSprint Backlog'!$F317, TRUE, 0)</f>
        <v/>
      </c>
      <c r="G317" s="4" t="str" cm="1">
        <f t="array" ref="G317">_xlfn.IFS('ProductSprint Backlog'!$F317="", "", AND('ProductSprint Backlog'!$J317&gt;G$2,'ProductSprint Backlog'!$I317&lt;=G$2), 'ProductSprint Backlog'!$F317 / MAX(1, 'ProductSprint Backlog'!$J317-'ProductSprint Backlog'!$I317), AND('ProductSprint Backlog'!$J317=G$2,'ProductSprint Backlog'!$I317=G$2), 'ProductSprint Backlog'!$F317, TRUE, 0)</f>
        <v/>
      </c>
      <c r="H317" s="4" t="str" cm="1">
        <f t="array" ref="H317">_xlfn.IFS('ProductSprint Backlog'!$F317="", "", AND('ProductSprint Backlog'!$J317&gt;H$2,'ProductSprint Backlog'!$I317&lt;=H$2), 'ProductSprint Backlog'!$F317 / MAX(1, 'ProductSprint Backlog'!$J317-'ProductSprint Backlog'!$I317), AND('ProductSprint Backlog'!$J317=H$2,'ProductSprint Backlog'!$I317=H$2), 'ProductSprint Backlog'!$F317, TRUE, 0)</f>
        <v/>
      </c>
      <c r="I317" s="4" t="str" cm="1">
        <f t="array" ref="I317">_xlfn.IFS('ProductSprint Backlog'!$F317="", "", AND('ProductSprint Backlog'!$J317&gt;I$2,'ProductSprint Backlog'!$I317&lt;=I$2), 'ProductSprint Backlog'!$F317 / MAX(1, 'ProductSprint Backlog'!$J317-'ProductSprint Backlog'!$I317), AND('ProductSprint Backlog'!$J317=I$2,'ProductSprint Backlog'!$I317=I$2), 'ProductSprint Backlog'!$F317, TRUE, 0)</f>
        <v/>
      </c>
      <c r="J317" s="4" t="str" cm="1">
        <f t="array" ref="J317">_xlfn.IFS('ProductSprint Backlog'!$F317="", "", AND('ProductSprint Backlog'!$J317&gt;J$2,'ProductSprint Backlog'!$I317&lt;=J$2), 'ProductSprint Backlog'!$F317 / MAX(1, 'ProductSprint Backlog'!$J317-'ProductSprint Backlog'!$I317), AND('ProductSprint Backlog'!$J317=J$2,'ProductSprint Backlog'!$I317=J$2), 'ProductSprint Backlog'!$F317, TRUE, 0)</f>
        <v/>
      </c>
      <c r="K317" s="4" t="str" cm="1">
        <f t="array" ref="K317">_xlfn.IFS('ProductSprint Backlog'!$F317="", "", AND('ProductSprint Backlog'!$J317&gt;K$2,'ProductSprint Backlog'!$I317&lt;=K$2), 'ProductSprint Backlog'!$F317 / MAX(1, 'ProductSprint Backlog'!$J317-'ProductSprint Backlog'!$I317), AND('ProductSprint Backlog'!$J317=K$2,'ProductSprint Backlog'!$I317=K$2), 'ProductSprint Backlog'!$F317, TRUE, 0)</f>
        <v/>
      </c>
      <c r="L317" s="4" t="str" cm="1">
        <f t="array" ref="L317">_xlfn.IFS('ProductSprint Backlog'!$F317="", "", AND('ProductSprint Backlog'!$J317&gt;L$2,'ProductSprint Backlog'!$I317&lt;=L$2), 'ProductSprint Backlog'!$F317 / MAX(1, 'ProductSprint Backlog'!$J317-'ProductSprint Backlog'!$I317), AND('ProductSprint Backlog'!$J317=L$2,'ProductSprint Backlog'!$I317=L$2), 'ProductSprint Backlog'!$F317, TRUE, 0)</f>
        <v/>
      </c>
      <c r="M317" s="4" t="str" cm="1">
        <f t="array" ref="M317">_xlfn.IFS('ProductSprint Backlog'!$F317="", "", AND('ProductSprint Backlog'!$J317&gt;M$2,'ProductSprint Backlog'!$I317&lt;=M$2), 'ProductSprint Backlog'!$F317 / MAX(1, 'ProductSprint Backlog'!$J317-'ProductSprint Backlog'!$I317), AND('ProductSprint Backlog'!$J317=M$2,'ProductSprint Backlog'!$I317=M$2), 'ProductSprint Backlog'!$F317, TRUE, 0)</f>
        <v/>
      </c>
      <c r="N317" s="4" t="str" cm="1">
        <f t="array" ref="N317">_xlfn.IFS('ProductSprint Backlog'!$F317="", "", AND('ProductSprint Backlog'!$J317&gt;N$2,'ProductSprint Backlog'!$I317&lt;=N$2), 'ProductSprint Backlog'!$F317 / MAX(1, 'ProductSprint Backlog'!$J317-'ProductSprint Backlog'!$I317), AND('ProductSprint Backlog'!$J317=N$2,'ProductSprint Backlog'!$I317=N$2), 'ProductSprint Backlog'!$F317, TRUE, 0)</f>
        <v/>
      </c>
      <c r="O317" s="4" t="str" cm="1">
        <f t="array" ref="O317">_xlfn.IFS('ProductSprint Backlog'!$F317="", "", AND('ProductSprint Backlog'!$J317&gt;O$2,'ProductSprint Backlog'!$I317&lt;=O$2), 'ProductSprint Backlog'!$F317 / MAX(1, 'ProductSprint Backlog'!$J317-'ProductSprint Backlog'!$I317), AND('ProductSprint Backlog'!$J317=O$2,'ProductSprint Backlog'!$I317=O$2), 'ProductSprint Backlog'!$F317, TRUE, 0)</f>
        <v/>
      </c>
      <c r="P317" s="4" t="str" cm="1">
        <f t="array" ref="P317">_xlfn.IFS('ProductSprint Backlog'!$F317="", "", AND('ProductSprint Backlog'!$J317&gt;P$2,'ProductSprint Backlog'!$I317&lt;=P$2), 'ProductSprint Backlog'!$F317 / MAX(1, 'ProductSprint Backlog'!$J317-'ProductSprint Backlog'!$I317), AND('ProductSprint Backlog'!$J317=P$2,'ProductSprint Backlog'!$I317=P$2), 'ProductSprint Backlog'!$F317, TRUE, 0)</f>
        <v/>
      </c>
      <c r="Q317" s="4" t="str" cm="1">
        <f t="array" ref="Q317">_xlfn.IFS('ProductSprint Backlog'!$F317="", "", AND('ProductSprint Backlog'!$J317&gt;Q$2,'ProductSprint Backlog'!$I317&lt;=Q$2), 'ProductSprint Backlog'!$F317 / MAX(1, 'ProductSprint Backlog'!$J317-'ProductSprint Backlog'!$I317), AND('ProductSprint Backlog'!$J317=Q$2,'ProductSprint Backlog'!$I317=Q$2), 'ProductSprint Backlog'!$F317, TRUE, 0)</f>
        <v/>
      </c>
    </row>
    <row r="318" spans="2:17" x14ac:dyDescent="0.2">
      <c r="B318" s="4" t="str" cm="1">
        <f t="array" ref="B318">_xlfn.IFS('ProductSprint Backlog'!$F318="", "", AND('ProductSprint Backlog'!$J318&gt;B$2,'ProductSprint Backlog'!$I318&lt;=B$2), 'ProductSprint Backlog'!$F318 / MAX(1, 'ProductSprint Backlog'!$J318-'ProductSprint Backlog'!$I318), AND('ProductSprint Backlog'!$J318=B$2,'ProductSprint Backlog'!$I318=B$2), 'ProductSprint Backlog'!$F318, TRUE, 0)</f>
        <v/>
      </c>
      <c r="C318" s="4" t="str" cm="1">
        <f t="array" ref="C318">_xlfn.IFS('ProductSprint Backlog'!$F318="", "", AND('ProductSprint Backlog'!$J318&gt;C$2,'ProductSprint Backlog'!$I318&lt;=C$2), 'ProductSprint Backlog'!$F318 / MAX(1, 'ProductSprint Backlog'!$J318-'ProductSprint Backlog'!$I318), AND('ProductSprint Backlog'!$J318=C$2,'ProductSprint Backlog'!$I318=C$2), 'ProductSprint Backlog'!$F318, TRUE, 0)</f>
        <v/>
      </c>
      <c r="D318" s="4" t="str" cm="1">
        <f t="array" ref="D318">_xlfn.IFS('ProductSprint Backlog'!$F318="", "", AND('ProductSprint Backlog'!$J318&gt;D$2,'ProductSprint Backlog'!$I318&lt;=D$2), 'ProductSprint Backlog'!$F318 / MAX(1, 'ProductSprint Backlog'!$J318-'ProductSprint Backlog'!$I318), AND('ProductSprint Backlog'!$J318=D$2,'ProductSprint Backlog'!$I318=D$2), 'ProductSprint Backlog'!$F318, TRUE, 0)</f>
        <v/>
      </c>
      <c r="E318" s="4" t="str" cm="1">
        <f t="array" ref="E318">_xlfn.IFS('ProductSprint Backlog'!$F318="", "", AND('ProductSprint Backlog'!$J318&gt;E$2,'ProductSprint Backlog'!$I318&lt;=E$2), 'ProductSprint Backlog'!$F318 / MAX(1, 'ProductSprint Backlog'!$J318-'ProductSprint Backlog'!$I318), AND('ProductSprint Backlog'!$J318=E$2,'ProductSprint Backlog'!$I318=E$2), 'ProductSprint Backlog'!$F318, TRUE, 0)</f>
        <v/>
      </c>
      <c r="F318" s="4" t="str" cm="1">
        <f t="array" ref="F318">_xlfn.IFS('ProductSprint Backlog'!$F318="", "", AND('ProductSprint Backlog'!$J318&gt;F$2,'ProductSprint Backlog'!$I318&lt;=F$2), 'ProductSprint Backlog'!$F318 / MAX(1, 'ProductSprint Backlog'!$J318-'ProductSprint Backlog'!$I318), AND('ProductSprint Backlog'!$J318=F$2,'ProductSprint Backlog'!$I318=F$2), 'ProductSprint Backlog'!$F318, TRUE, 0)</f>
        <v/>
      </c>
      <c r="G318" s="4" t="str" cm="1">
        <f t="array" ref="G318">_xlfn.IFS('ProductSprint Backlog'!$F318="", "", AND('ProductSprint Backlog'!$J318&gt;G$2,'ProductSprint Backlog'!$I318&lt;=G$2), 'ProductSprint Backlog'!$F318 / MAX(1, 'ProductSprint Backlog'!$J318-'ProductSprint Backlog'!$I318), AND('ProductSprint Backlog'!$J318=G$2,'ProductSprint Backlog'!$I318=G$2), 'ProductSprint Backlog'!$F318, TRUE, 0)</f>
        <v/>
      </c>
      <c r="H318" s="4" t="str" cm="1">
        <f t="array" ref="H318">_xlfn.IFS('ProductSprint Backlog'!$F318="", "", AND('ProductSprint Backlog'!$J318&gt;H$2,'ProductSprint Backlog'!$I318&lt;=H$2), 'ProductSprint Backlog'!$F318 / MAX(1, 'ProductSprint Backlog'!$J318-'ProductSprint Backlog'!$I318), AND('ProductSprint Backlog'!$J318=H$2,'ProductSprint Backlog'!$I318=H$2), 'ProductSprint Backlog'!$F318, TRUE, 0)</f>
        <v/>
      </c>
      <c r="I318" s="4" t="str" cm="1">
        <f t="array" ref="I318">_xlfn.IFS('ProductSprint Backlog'!$F318="", "", AND('ProductSprint Backlog'!$J318&gt;I$2,'ProductSprint Backlog'!$I318&lt;=I$2), 'ProductSprint Backlog'!$F318 / MAX(1, 'ProductSprint Backlog'!$J318-'ProductSprint Backlog'!$I318), AND('ProductSprint Backlog'!$J318=I$2,'ProductSprint Backlog'!$I318=I$2), 'ProductSprint Backlog'!$F318, TRUE, 0)</f>
        <v/>
      </c>
      <c r="J318" s="4" t="str" cm="1">
        <f t="array" ref="J318">_xlfn.IFS('ProductSprint Backlog'!$F318="", "", AND('ProductSprint Backlog'!$J318&gt;J$2,'ProductSprint Backlog'!$I318&lt;=J$2), 'ProductSprint Backlog'!$F318 / MAX(1, 'ProductSprint Backlog'!$J318-'ProductSprint Backlog'!$I318), AND('ProductSprint Backlog'!$J318=J$2,'ProductSprint Backlog'!$I318=J$2), 'ProductSprint Backlog'!$F318, TRUE, 0)</f>
        <v/>
      </c>
      <c r="K318" s="4" t="str" cm="1">
        <f t="array" ref="K318">_xlfn.IFS('ProductSprint Backlog'!$F318="", "", AND('ProductSprint Backlog'!$J318&gt;K$2,'ProductSprint Backlog'!$I318&lt;=K$2), 'ProductSprint Backlog'!$F318 / MAX(1, 'ProductSprint Backlog'!$J318-'ProductSprint Backlog'!$I318), AND('ProductSprint Backlog'!$J318=K$2,'ProductSprint Backlog'!$I318=K$2), 'ProductSprint Backlog'!$F318, TRUE, 0)</f>
        <v/>
      </c>
      <c r="L318" s="4" t="str" cm="1">
        <f t="array" ref="L318">_xlfn.IFS('ProductSprint Backlog'!$F318="", "", AND('ProductSprint Backlog'!$J318&gt;L$2,'ProductSprint Backlog'!$I318&lt;=L$2), 'ProductSprint Backlog'!$F318 / MAX(1, 'ProductSprint Backlog'!$J318-'ProductSprint Backlog'!$I318), AND('ProductSprint Backlog'!$J318=L$2,'ProductSprint Backlog'!$I318=L$2), 'ProductSprint Backlog'!$F318, TRUE, 0)</f>
        <v/>
      </c>
      <c r="M318" s="4" t="str" cm="1">
        <f t="array" ref="M318">_xlfn.IFS('ProductSprint Backlog'!$F318="", "", AND('ProductSprint Backlog'!$J318&gt;M$2,'ProductSprint Backlog'!$I318&lt;=M$2), 'ProductSprint Backlog'!$F318 / MAX(1, 'ProductSprint Backlog'!$J318-'ProductSprint Backlog'!$I318), AND('ProductSprint Backlog'!$J318=M$2,'ProductSprint Backlog'!$I318=M$2), 'ProductSprint Backlog'!$F318, TRUE, 0)</f>
        <v/>
      </c>
      <c r="N318" s="4" t="str" cm="1">
        <f t="array" ref="N318">_xlfn.IFS('ProductSprint Backlog'!$F318="", "", AND('ProductSprint Backlog'!$J318&gt;N$2,'ProductSprint Backlog'!$I318&lt;=N$2), 'ProductSprint Backlog'!$F318 / MAX(1, 'ProductSprint Backlog'!$J318-'ProductSprint Backlog'!$I318), AND('ProductSprint Backlog'!$J318=N$2,'ProductSprint Backlog'!$I318=N$2), 'ProductSprint Backlog'!$F318, TRUE, 0)</f>
        <v/>
      </c>
      <c r="O318" s="4" t="str" cm="1">
        <f t="array" ref="O318">_xlfn.IFS('ProductSprint Backlog'!$F318="", "", AND('ProductSprint Backlog'!$J318&gt;O$2,'ProductSprint Backlog'!$I318&lt;=O$2), 'ProductSprint Backlog'!$F318 / MAX(1, 'ProductSprint Backlog'!$J318-'ProductSprint Backlog'!$I318), AND('ProductSprint Backlog'!$J318=O$2,'ProductSprint Backlog'!$I318=O$2), 'ProductSprint Backlog'!$F318, TRUE, 0)</f>
        <v/>
      </c>
      <c r="P318" s="4" t="str" cm="1">
        <f t="array" ref="P318">_xlfn.IFS('ProductSprint Backlog'!$F318="", "", AND('ProductSprint Backlog'!$J318&gt;P$2,'ProductSprint Backlog'!$I318&lt;=P$2), 'ProductSprint Backlog'!$F318 / MAX(1, 'ProductSprint Backlog'!$J318-'ProductSprint Backlog'!$I318), AND('ProductSprint Backlog'!$J318=P$2,'ProductSprint Backlog'!$I318=P$2), 'ProductSprint Backlog'!$F318, TRUE, 0)</f>
        <v/>
      </c>
      <c r="Q318" s="4" t="str" cm="1">
        <f t="array" ref="Q318">_xlfn.IFS('ProductSprint Backlog'!$F318="", "", AND('ProductSprint Backlog'!$J318&gt;Q$2,'ProductSprint Backlog'!$I318&lt;=Q$2), 'ProductSprint Backlog'!$F318 / MAX(1, 'ProductSprint Backlog'!$J318-'ProductSprint Backlog'!$I318), AND('ProductSprint Backlog'!$J318=Q$2,'ProductSprint Backlog'!$I318=Q$2), 'ProductSprint Backlog'!$F318, TRUE, 0)</f>
        <v/>
      </c>
    </row>
    <row r="319" spans="2:17" x14ac:dyDescent="0.2">
      <c r="B319" s="4" t="str" cm="1">
        <f t="array" ref="B319">_xlfn.IFS('ProductSprint Backlog'!$F319="", "", AND('ProductSprint Backlog'!$J319&gt;B$2,'ProductSprint Backlog'!$I319&lt;=B$2), 'ProductSprint Backlog'!$F319 / MAX(1, 'ProductSprint Backlog'!$J319-'ProductSprint Backlog'!$I319), AND('ProductSprint Backlog'!$J319=B$2,'ProductSprint Backlog'!$I319=B$2), 'ProductSprint Backlog'!$F319, TRUE, 0)</f>
        <v/>
      </c>
      <c r="C319" s="4" t="str" cm="1">
        <f t="array" ref="C319">_xlfn.IFS('ProductSprint Backlog'!$F319="", "", AND('ProductSprint Backlog'!$J319&gt;C$2,'ProductSprint Backlog'!$I319&lt;=C$2), 'ProductSprint Backlog'!$F319 / MAX(1, 'ProductSprint Backlog'!$J319-'ProductSprint Backlog'!$I319), AND('ProductSprint Backlog'!$J319=C$2,'ProductSprint Backlog'!$I319=C$2), 'ProductSprint Backlog'!$F319, TRUE, 0)</f>
        <v/>
      </c>
      <c r="D319" s="4" t="str" cm="1">
        <f t="array" ref="D319">_xlfn.IFS('ProductSprint Backlog'!$F319="", "", AND('ProductSprint Backlog'!$J319&gt;D$2,'ProductSprint Backlog'!$I319&lt;=D$2), 'ProductSprint Backlog'!$F319 / MAX(1, 'ProductSprint Backlog'!$J319-'ProductSprint Backlog'!$I319), AND('ProductSprint Backlog'!$J319=D$2,'ProductSprint Backlog'!$I319=D$2), 'ProductSprint Backlog'!$F319, TRUE, 0)</f>
        <v/>
      </c>
      <c r="E319" s="4" t="str" cm="1">
        <f t="array" ref="E319">_xlfn.IFS('ProductSprint Backlog'!$F319="", "", AND('ProductSprint Backlog'!$J319&gt;E$2,'ProductSprint Backlog'!$I319&lt;=E$2), 'ProductSprint Backlog'!$F319 / MAX(1, 'ProductSprint Backlog'!$J319-'ProductSprint Backlog'!$I319), AND('ProductSprint Backlog'!$J319=E$2,'ProductSprint Backlog'!$I319=E$2), 'ProductSprint Backlog'!$F319, TRUE, 0)</f>
        <v/>
      </c>
      <c r="F319" s="4" t="str" cm="1">
        <f t="array" ref="F319">_xlfn.IFS('ProductSprint Backlog'!$F319="", "", AND('ProductSprint Backlog'!$J319&gt;F$2,'ProductSprint Backlog'!$I319&lt;=F$2), 'ProductSprint Backlog'!$F319 / MAX(1, 'ProductSprint Backlog'!$J319-'ProductSprint Backlog'!$I319), AND('ProductSprint Backlog'!$J319=F$2,'ProductSprint Backlog'!$I319=F$2), 'ProductSprint Backlog'!$F319, TRUE, 0)</f>
        <v/>
      </c>
      <c r="G319" s="4" t="str" cm="1">
        <f t="array" ref="G319">_xlfn.IFS('ProductSprint Backlog'!$F319="", "", AND('ProductSprint Backlog'!$J319&gt;G$2,'ProductSprint Backlog'!$I319&lt;=G$2), 'ProductSprint Backlog'!$F319 / MAX(1, 'ProductSprint Backlog'!$J319-'ProductSprint Backlog'!$I319), AND('ProductSprint Backlog'!$J319=G$2,'ProductSprint Backlog'!$I319=G$2), 'ProductSprint Backlog'!$F319, TRUE, 0)</f>
        <v/>
      </c>
      <c r="H319" s="4" t="str" cm="1">
        <f t="array" ref="H319">_xlfn.IFS('ProductSprint Backlog'!$F319="", "", AND('ProductSprint Backlog'!$J319&gt;H$2,'ProductSprint Backlog'!$I319&lt;=H$2), 'ProductSprint Backlog'!$F319 / MAX(1, 'ProductSprint Backlog'!$J319-'ProductSprint Backlog'!$I319), AND('ProductSprint Backlog'!$J319=H$2,'ProductSprint Backlog'!$I319=H$2), 'ProductSprint Backlog'!$F319, TRUE, 0)</f>
        <v/>
      </c>
      <c r="I319" s="4" t="str" cm="1">
        <f t="array" ref="I319">_xlfn.IFS('ProductSprint Backlog'!$F319="", "", AND('ProductSprint Backlog'!$J319&gt;I$2,'ProductSprint Backlog'!$I319&lt;=I$2), 'ProductSprint Backlog'!$F319 / MAX(1, 'ProductSprint Backlog'!$J319-'ProductSprint Backlog'!$I319), AND('ProductSprint Backlog'!$J319=I$2,'ProductSprint Backlog'!$I319=I$2), 'ProductSprint Backlog'!$F319, TRUE, 0)</f>
        <v/>
      </c>
      <c r="J319" s="4" t="str" cm="1">
        <f t="array" ref="J319">_xlfn.IFS('ProductSprint Backlog'!$F319="", "", AND('ProductSprint Backlog'!$J319&gt;J$2,'ProductSprint Backlog'!$I319&lt;=J$2), 'ProductSprint Backlog'!$F319 / MAX(1, 'ProductSprint Backlog'!$J319-'ProductSprint Backlog'!$I319), AND('ProductSprint Backlog'!$J319=J$2,'ProductSprint Backlog'!$I319=J$2), 'ProductSprint Backlog'!$F319, TRUE, 0)</f>
        <v/>
      </c>
      <c r="K319" s="4" t="str" cm="1">
        <f t="array" ref="K319">_xlfn.IFS('ProductSprint Backlog'!$F319="", "", AND('ProductSprint Backlog'!$J319&gt;K$2,'ProductSprint Backlog'!$I319&lt;=K$2), 'ProductSprint Backlog'!$F319 / MAX(1, 'ProductSprint Backlog'!$J319-'ProductSprint Backlog'!$I319), AND('ProductSprint Backlog'!$J319=K$2,'ProductSprint Backlog'!$I319=K$2), 'ProductSprint Backlog'!$F319, TRUE, 0)</f>
        <v/>
      </c>
      <c r="L319" s="4" t="str" cm="1">
        <f t="array" ref="L319">_xlfn.IFS('ProductSprint Backlog'!$F319="", "", AND('ProductSprint Backlog'!$J319&gt;L$2,'ProductSprint Backlog'!$I319&lt;=L$2), 'ProductSprint Backlog'!$F319 / MAX(1, 'ProductSprint Backlog'!$J319-'ProductSprint Backlog'!$I319), AND('ProductSprint Backlog'!$J319=L$2,'ProductSprint Backlog'!$I319=L$2), 'ProductSprint Backlog'!$F319, TRUE, 0)</f>
        <v/>
      </c>
      <c r="M319" s="4" t="str" cm="1">
        <f t="array" ref="M319">_xlfn.IFS('ProductSprint Backlog'!$F319="", "", AND('ProductSprint Backlog'!$J319&gt;M$2,'ProductSprint Backlog'!$I319&lt;=M$2), 'ProductSprint Backlog'!$F319 / MAX(1, 'ProductSprint Backlog'!$J319-'ProductSprint Backlog'!$I319), AND('ProductSprint Backlog'!$J319=M$2,'ProductSprint Backlog'!$I319=M$2), 'ProductSprint Backlog'!$F319, TRUE, 0)</f>
        <v/>
      </c>
      <c r="N319" s="4" t="str" cm="1">
        <f t="array" ref="N319">_xlfn.IFS('ProductSprint Backlog'!$F319="", "", AND('ProductSprint Backlog'!$J319&gt;N$2,'ProductSprint Backlog'!$I319&lt;=N$2), 'ProductSprint Backlog'!$F319 / MAX(1, 'ProductSprint Backlog'!$J319-'ProductSprint Backlog'!$I319), AND('ProductSprint Backlog'!$J319=N$2,'ProductSprint Backlog'!$I319=N$2), 'ProductSprint Backlog'!$F319, TRUE, 0)</f>
        <v/>
      </c>
      <c r="O319" s="4" t="str" cm="1">
        <f t="array" ref="O319">_xlfn.IFS('ProductSprint Backlog'!$F319="", "", AND('ProductSprint Backlog'!$J319&gt;O$2,'ProductSprint Backlog'!$I319&lt;=O$2), 'ProductSprint Backlog'!$F319 / MAX(1, 'ProductSprint Backlog'!$J319-'ProductSprint Backlog'!$I319), AND('ProductSprint Backlog'!$J319=O$2,'ProductSprint Backlog'!$I319=O$2), 'ProductSprint Backlog'!$F319, TRUE, 0)</f>
        <v/>
      </c>
      <c r="P319" s="4" t="str" cm="1">
        <f t="array" ref="P319">_xlfn.IFS('ProductSprint Backlog'!$F319="", "", AND('ProductSprint Backlog'!$J319&gt;P$2,'ProductSprint Backlog'!$I319&lt;=P$2), 'ProductSprint Backlog'!$F319 / MAX(1, 'ProductSprint Backlog'!$J319-'ProductSprint Backlog'!$I319), AND('ProductSprint Backlog'!$J319=P$2,'ProductSprint Backlog'!$I319=P$2), 'ProductSprint Backlog'!$F319, TRUE, 0)</f>
        <v/>
      </c>
      <c r="Q319" s="4" t="str" cm="1">
        <f t="array" ref="Q319">_xlfn.IFS('ProductSprint Backlog'!$F319="", "", AND('ProductSprint Backlog'!$J319&gt;Q$2,'ProductSprint Backlog'!$I319&lt;=Q$2), 'ProductSprint Backlog'!$F319 / MAX(1, 'ProductSprint Backlog'!$J319-'ProductSprint Backlog'!$I319), AND('ProductSprint Backlog'!$J319=Q$2,'ProductSprint Backlog'!$I319=Q$2), 'ProductSprint Backlog'!$F319, TRUE, 0)</f>
        <v/>
      </c>
    </row>
    <row r="320" spans="2:17" x14ac:dyDescent="0.2">
      <c r="B320" s="4" t="str" cm="1">
        <f t="array" ref="B320">_xlfn.IFS('ProductSprint Backlog'!$F320="", "", AND('ProductSprint Backlog'!$J320&gt;B$2,'ProductSprint Backlog'!$I320&lt;=B$2), 'ProductSprint Backlog'!$F320 / MAX(1, 'ProductSprint Backlog'!$J320-'ProductSprint Backlog'!$I320), AND('ProductSprint Backlog'!$J320=B$2,'ProductSprint Backlog'!$I320=B$2), 'ProductSprint Backlog'!$F320, TRUE, 0)</f>
        <v/>
      </c>
      <c r="C320" s="4" t="str" cm="1">
        <f t="array" ref="C320">_xlfn.IFS('ProductSprint Backlog'!$F320="", "", AND('ProductSprint Backlog'!$J320&gt;C$2,'ProductSprint Backlog'!$I320&lt;=C$2), 'ProductSprint Backlog'!$F320 / MAX(1, 'ProductSprint Backlog'!$J320-'ProductSprint Backlog'!$I320), AND('ProductSprint Backlog'!$J320=C$2,'ProductSprint Backlog'!$I320=C$2), 'ProductSprint Backlog'!$F320, TRUE, 0)</f>
        <v/>
      </c>
      <c r="D320" s="4" t="str" cm="1">
        <f t="array" ref="D320">_xlfn.IFS('ProductSprint Backlog'!$F320="", "", AND('ProductSprint Backlog'!$J320&gt;D$2,'ProductSprint Backlog'!$I320&lt;=D$2), 'ProductSprint Backlog'!$F320 / MAX(1, 'ProductSprint Backlog'!$J320-'ProductSprint Backlog'!$I320), AND('ProductSprint Backlog'!$J320=D$2,'ProductSprint Backlog'!$I320=D$2), 'ProductSprint Backlog'!$F320, TRUE, 0)</f>
        <v/>
      </c>
      <c r="E320" s="4" t="str" cm="1">
        <f t="array" ref="E320">_xlfn.IFS('ProductSprint Backlog'!$F320="", "", AND('ProductSprint Backlog'!$J320&gt;E$2,'ProductSprint Backlog'!$I320&lt;=E$2), 'ProductSprint Backlog'!$F320 / MAX(1, 'ProductSprint Backlog'!$J320-'ProductSprint Backlog'!$I320), AND('ProductSprint Backlog'!$J320=E$2,'ProductSprint Backlog'!$I320=E$2), 'ProductSprint Backlog'!$F320, TRUE, 0)</f>
        <v/>
      </c>
      <c r="F320" s="4" t="str" cm="1">
        <f t="array" ref="F320">_xlfn.IFS('ProductSprint Backlog'!$F320="", "", AND('ProductSprint Backlog'!$J320&gt;F$2,'ProductSprint Backlog'!$I320&lt;=F$2), 'ProductSprint Backlog'!$F320 / MAX(1, 'ProductSprint Backlog'!$J320-'ProductSprint Backlog'!$I320), AND('ProductSprint Backlog'!$J320=F$2,'ProductSprint Backlog'!$I320=F$2), 'ProductSprint Backlog'!$F320, TRUE, 0)</f>
        <v/>
      </c>
      <c r="G320" s="4" t="str" cm="1">
        <f t="array" ref="G320">_xlfn.IFS('ProductSprint Backlog'!$F320="", "", AND('ProductSprint Backlog'!$J320&gt;G$2,'ProductSprint Backlog'!$I320&lt;=G$2), 'ProductSprint Backlog'!$F320 / MAX(1, 'ProductSprint Backlog'!$J320-'ProductSprint Backlog'!$I320), AND('ProductSprint Backlog'!$J320=G$2,'ProductSprint Backlog'!$I320=G$2), 'ProductSprint Backlog'!$F320, TRUE, 0)</f>
        <v/>
      </c>
      <c r="H320" s="4" t="str" cm="1">
        <f t="array" ref="H320">_xlfn.IFS('ProductSprint Backlog'!$F320="", "", AND('ProductSprint Backlog'!$J320&gt;H$2,'ProductSprint Backlog'!$I320&lt;=H$2), 'ProductSprint Backlog'!$F320 / MAX(1, 'ProductSprint Backlog'!$J320-'ProductSprint Backlog'!$I320), AND('ProductSprint Backlog'!$J320=H$2,'ProductSprint Backlog'!$I320=H$2), 'ProductSprint Backlog'!$F320, TRUE, 0)</f>
        <v/>
      </c>
      <c r="I320" s="4" t="str" cm="1">
        <f t="array" ref="I320">_xlfn.IFS('ProductSprint Backlog'!$F320="", "", AND('ProductSprint Backlog'!$J320&gt;I$2,'ProductSprint Backlog'!$I320&lt;=I$2), 'ProductSprint Backlog'!$F320 / MAX(1, 'ProductSprint Backlog'!$J320-'ProductSprint Backlog'!$I320), AND('ProductSprint Backlog'!$J320=I$2,'ProductSprint Backlog'!$I320=I$2), 'ProductSprint Backlog'!$F320, TRUE, 0)</f>
        <v/>
      </c>
      <c r="J320" s="4" t="str" cm="1">
        <f t="array" ref="J320">_xlfn.IFS('ProductSprint Backlog'!$F320="", "", AND('ProductSprint Backlog'!$J320&gt;J$2,'ProductSprint Backlog'!$I320&lt;=J$2), 'ProductSprint Backlog'!$F320 / MAX(1, 'ProductSprint Backlog'!$J320-'ProductSprint Backlog'!$I320), AND('ProductSprint Backlog'!$J320=J$2,'ProductSprint Backlog'!$I320=J$2), 'ProductSprint Backlog'!$F320, TRUE, 0)</f>
        <v/>
      </c>
      <c r="K320" s="4" t="str" cm="1">
        <f t="array" ref="K320">_xlfn.IFS('ProductSprint Backlog'!$F320="", "", AND('ProductSprint Backlog'!$J320&gt;K$2,'ProductSprint Backlog'!$I320&lt;=K$2), 'ProductSprint Backlog'!$F320 / MAX(1, 'ProductSprint Backlog'!$J320-'ProductSprint Backlog'!$I320), AND('ProductSprint Backlog'!$J320=K$2,'ProductSprint Backlog'!$I320=K$2), 'ProductSprint Backlog'!$F320, TRUE, 0)</f>
        <v/>
      </c>
      <c r="L320" s="4" t="str" cm="1">
        <f t="array" ref="L320">_xlfn.IFS('ProductSprint Backlog'!$F320="", "", AND('ProductSprint Backlog'!$J320&gt;L$2,'ProductSprint Backlog'!$I320&lt;=L$2), 'ProductSprint Backlog'!$F320 / MAX(1, 'ProductSprint Backlog'!$J320-'ProductSprint Backlog'!$I320), AND('ProductSprint Backlog'!$J320=L$2,'ProductSprint Backlog'!$I320=L$2), 'ProductSprint Backlog'!$F320, TRUE, 0)</f>
        <v/>
      </c>
      <c r="M320" s="4" t="str" cm="1">
        <f t="array" ref="M320">_xlfn.IFS('ProductSprint Backlog'!$F320="", "", AND('ProductSprint Backlog'!$J320&gt;M$2,'ProductSprint Backlog'!$I320&lt;=M$2), 'ProductSprint Backlog'!$F320 / MAX(1, 'ProductSprint Backlog'!$J320-'ProductSprint Backlog'!$I320), AND('ProductSprint Backlog'!$J320=M$2,'ProductSprint Backlog'!$I320=M$2), 'ProductSprint Backlog'!$F320, TRUE, 0)</f>
        <v/>
      </c>
      <c r="N320" s="4" t="str" cm="1">
        <f t="array" ref="N320">_xlfn.IFS('ProductSprint Backlog'!$F320="", "", AND('ProductSprint Backlog'!$J320&gt;N$2,'ProductSprint Backlog'!$I320&lt;=N$2), 'ProductSprint Backlog'!$F320 / MAX(1, 'ProductSprint Backlog'!$J320-'ProductSprint Backlog'!$I320), AND('ProductSprint Backlog'!$J320=N$2,'ProductSprint Backlog'!$I320=N$2), 'ProductSprint Backlog'!$F320, TRUE, 0)</f>
        <v/>
      </c>
      <c r="O320" s="4" t="str" cm="1">
        <f t="array" ref="O320">_xlfn.IFS('ProductSprint Backlog'!$F320="", "", AND('ProductSprint Backlog'!$J320&gt;O$2,'ProductSprint Backlog'!$I320&lt;=O$2), 'ProductSprint Backlog'!$F320 / MAX(1, 'ProductSprint Backlog'!$J320-'ProductSprint Backlog'!$I320), AND('ProductSprint Backlog'!$J320=O$2,'ProductSprint Backlog'!$I320=O$2), 'ProductSprint Backlog'!$F320, TRUE, 0)</f>
        <v/>
      </c>
      <c r="P320" s="4" t="str" cm="1">
        <f t="array" ref="P320">_xlfn.IFS('ProductSprint Backlog'!$F320="", "", AND('ProductSprint Backlog'!$J320&gt;P$2,'ProductSprint Backlog'!$I320&lt;=P$2), 'ProductSprint Backlog'!$F320 / MAX(1, 'ProductSprint Backlog'!$J320-'ProductSprint Backlog'!$I320), AND('ProductSprint Backlog'!$J320=P$2,'ProductSprint Backlog'!$I320=P$2), 'ProductSprint Backlog'!$F320, TRUE, 0)</f>
        <v/>
      </c>
      <c r="Q320" s="4" t="str" cm="1">
        <f t="array" ref="Q320">_xlfn.IFS('ProductSprint Backlog'!$F320="", "", AND('ProductSprint Backlog'!$J320&gt;Q$2,'ProductSprint Backlog'!$I320&lt;=Q$2), 'ProductSprint Backlog'!$F320 / MAX(1, 'ProductSprint Backlog'!$J320-'ProductSprint Backlog'!$I320), AND('ProductSprint Backlog'!$J320=Q$2,'ProductSprint Backlog'!$I320=Q$2), 'ProductSprint Backlog'!$F320, TRUE, 0)</f>
        <v/>
      </c>
    </row>
    <row r="321" spans="2:17" x14ac:dyDescent="0.2">
      <c r="B321" s="4" t="str" cm="1">
        <f t="array" ref="B321">_xlfn.IFS('ProductSprint Backlog'!$F321="", "", AND('ProductSprint Backlog'!$J321&gt;B$2,'ProductSprint Backlog'!$I321&lt;=B$2), 'ProductSprint Backlog'!$F321 / MAX(1, 'ProductSprint Backlog'!$J321-'ProductSprint Backlog'!$I321), AND('ProductSprint Backlog'!$J321=B$2,'ProductSprint Backlog'!$I321=B$2), 'ProductSprint Backlog'!$F321, TRUE, 0)</f>
        <v/>
      </c>
      <c r="C321" s="4" t="str" cm="1">
        <f t="array" ref="C321">_xlfn.IFS('ProductSprint Backlog'!$F321="", "", AND('ProductSprint Backlog'!$J321&gt;C$2,'ProductSprint Backlog'!$I321&lt;=C$2), 'ProductSprint Backlog'!$F321 / MAX(1, 'ProductSprint Backlog'!$J321-'ProductSprint Backlog'!$I321), AND('ProductSprint Backlog'!$J321=C$2,'ProductSprint Backlog'!$I321=C$2), 'ProductSprint Backlog'!$F321, TRUE, 0)</f>
        <v/>
      </c>
      <c r="D321" s="4" t="str" cm="1">
        <f t="array" ref="D321">_xlfn.IFS('ProductSprint Backlog'!$F321="", "", AND('ProductSprint Backlog'!$J321&gt;D$2,'ProductSprint Backlog'!$I321&lt;=D$2), 'ProductSprint Backlog'!$F321 / MAX(1, 'ProductSprint Backlog'!$J321-'ProductSprint Backlog'!$I321), AND('ProductSprint Backlog'!$J321=D$2,'ProductSprint Backlog'!$I321=D$2), 'ProductSprint Backlog'!$F321, TRUE, 0)</f>
        <v/>
      </c>
      <c r="E321" s="4" t="str" cm="1">
        <f t="array" ref="E321">_xlfn.IFS('ProductSprint Backlog'!$F321="", "", AND('ProductSprint Backlog'!$J321&gt;E$2,'ProductSprint Backlog'!$I321&lt;=E$2), 'ProductSprint Backlog'!$F321 / MAX(1, 'ProductSprint Backlog'!$J321-'ProductSprint Backlog'!$I321), AND('ProductSprint Backlog'!$J321=E$2,'ProductSprint Backlog'!$I321=E$2), 'ProductSprint Backlog'!$F321, TRUE, 0)</f>
        <v/>
      </c>
      <c r="F321" s="4" t="str" cm="1">
        <f t="array" ref="F321">_xlfn.IFS('ProductSprint Backlog'!$F321="", "", AND('ProductSprint Backlog'!$J321&gt;F$2,'ProductSprint Backlog'!$I321&lt;=F$2), 'ProductSprint Backlog'!$F321 / MAX(1, 'ProductSprint Backlog'!$J321-'ProductSprint Backlog'!$I321), AND('ProductSprint Backlog'!$J321=F$2,'ProductSprint Backlog'!$I321=F$2), 'ProductSprint Backlog'!$F321, TRUE, 0)</f>
        <v/>
      </c>
      <c r="G321" s="4" t="str" cm="1">
        <f t="array" ref="G321">_xlfn.IFS('ProductSprint Backlog'!$F321="", "", AND('ProductSprint Backlog'!$J321&gt;G$2,'ProductSprint Backlog'!$I321&lt;=G$2), 'ProductSprint Backlog'!$F321 / MAX(1, 'ProductSprint Backlog'!$J321-'ProductSprint Backlog'!$I321), AND('ProductSprint Backlog'!$J321=G$2,'ProductSprint Backlog'!$I321=G$2), 'ProductSprint Backlog'!$F321, TRUE, 0)</f>
        <v/>
      </c>
      <c r="H321" s="4" t="str" cm="1">
        <f t="array" ref="H321">_xlfn.IFS('ProductSprint Backlog'!$F321="", "", AND('ProductSprint Backlog'!$J321&gt;H$2,'ProductSprint Backlog'!$I321&lt;=H$2), 'ProductSprint Backlog'!$F321 / MAX(1, 'ProductSprint Backlog'!$J321-'ProductSprint Backlog'!$I321), AND('ProductSprint Backlog'!$J321=H$2,'ProductSprint Backlog'!$I321=H$2), 'ProductSprint Backlog'!$F321, TRUE, 0)</f>
        <v/>
      </c>
      <c r="I321" s="4" t="str" cm="1">
        <f t="array" ref="I321">_xlfn.IFS('ProductSprint Backlog'!$F321="", "", AND('ProductSprint Backlog'!$J321&gt;I$2,'ProductSprint Backlog'!$I321&lt;=I$2), 'ProductSprint Backlog'!$F321 / MAX(1, 'ProductSprint Backlog'!$J321-'ProductSprint Backlog'!$I321), AND('ProductSprint Backlog'!$J321=I$2,'ProductSprint Backlog'!$I321=I$2), 'ProductSprint Backlog'!$F321, TRUE, 0)</f>
        <v/>
      </c>
      <c r="J321" s="4" t="str" cm="1">
        <f t="array" ref="J321">_xlfn.IFS('ProductSprint Backlog'!$F321="", "", AND('ProductSprint Backlog'!$J321&gt;J$2,'ProductSprint Backlog'!$I321&lt;=J$2), 'ProductSprint Backlog'!$F321 / MAX(1, 'ProductSprint Backlog'!$J321-'ProductSprint Backlog'!$I321), AND('ProductSprint Backlog'!$J321=J$2,'ProductSprint Backlog'!$I321=J$2), 'ProductSprint Backlog'!$F321, TRUE, 0)</f>
        <v/>
      </c>
      <c r="K321" s="4" t="str" cm="1">
        <f t="array" ref="K321">_xlfn.IFS('ProductSprint Backlog'!$F321="", "", AND('ProductSprint Backlog'!$J321&gt;K$2,'ProductSprint Backlog'!$I321&lt;=K$2), 'ProductSprint Backlog'!$F321 / MAX(1, 'ProductSprint Backlog'!$J321-'ProductSprint Backlog'!$I321), AND('ProductSprint Backlog'!$J321=K$2,'ProductSprint Backlog'!$I321=K$2), 'ProductSprint Backlog'!$F321, TRUE, 0)</f>
        <v/>
      </c>
      <c r="L321" s="4" t="str" cm="1">
        <f t="array" ref="L321">_xlfn.IFS('ProductSprint Backlog'!$F321="", "", AND('ProductSprint Backlog'!$J321&gt;L$2,'ProductSprint Backlog'!$I321&lt;=L$2), 'ProductSprint Backlog'!$F321 / MAX(1, 'ProductSprint Backlog'!$J321-'ProductSprint Backlog'!$I321), AND('ProductSprint Backlog'!$J321=L$2,'ProductSprint Backlog'!$I321=L$2), 'ProductSprint Backlog'!$F321, TRUE, 0)</f>
        <v/>
      </c>
      <c r="M321" s="4" t="str" cm="1">
        <f t="array" ref="M321">_xlfn.IFS('ProductSprint Backlog'!$F321="", "", AND('ProductSprint Backlog'!$J321&gt;M$2,'ProductSprint Backlog'!$I321&lt;=M$2), 'ProductSprint Backlog'!$F321 / MAX(1, 'ProductSprint Backlog'!$J321-'ProductSprint Backlog'!$I321), AND('ProductSprint Backlog'!$J321=M$2,'ProductSprint Backlog'!$I321=M$2), 'ProductSprint Backlog'!$F321, TRUE, 0)</f>
        <v/>
      </c>
      <c r="N321" s="4" t="str" cm="1">
        <f t="array" ref="N321">_xlfn.IFS('ProductSprint Backlog'!$F321="", "", AND('ProductSprint Backlog'!$J321&gt;N$2,'ProductSprint Backlog'!$I321&lt;=N$2), 'ProductSprint Backlog'!$F321 / MAX(1, 'ProductSprint Backlog'!$J321-'ProductSprint Backlog'!$I321), AND('ProductSprint Backlog'!$J321=N$2,'ProductSprint Backlog'!$I321=N$2), 'ProductSprint Backlog'!$F321, TRUE, 0)</f>
        <v/>
      </c>
      <c r="O321" s="4" t="str" cm="1">
        <f t="array" ref="O321">_xlfn.IFS('ProductSprint Backlog'!$F321="", "", AND('ProductSprint Backlog'!$J321&gt;O$2,'ProductSprint Backlog'!$I321&lt;=O$2), 'ProductSprint Backlog'!$F321 / MAX(1, 'ProductSprint Backlog'!$J321-'ProductSprint Backlog'!$I321), AND('ProductSprint Backlog'!$J321=O$2,'ProductSprint Backlog'!$I321=O$2), 'ProductSprint Backlog'!$F321, TRUE, 0)</f>
        <v/>
      </c>
      <c r="P321" s="4" t="str" cm="1">
        <f t="array" ref="P321">_xlfn.IFS('ProductSprint Backlog'!$F321="", "", AND('ProductSprint Backlog'!$J321&gt;P$2,'ProductSprint Backlog'!$I321&lt;=P$2), 'ProductSprint Backlog'!$F321 / MAX(1, 'ProductSprint Backlog'!$J321-'ProductSprint Backlog'!$I321), AND('ProductSprint Backlog'!$J321=P$2,'ProductSprint Backlog'!$I321=P$2), 'ProductSprint Backlog'!$F321, TRUE, 0)</f>
        <v/>
      </c>
      <c r="Q321" s="4" t="str" cm="1">
        <f t="array" ref="Q321">_xlfn.IFS('ProductSprint Backlog'!$F321="", "", AND('ProductSprint Backlog'!$J321&gt;Q$2,'ProductSprint Backlog'!$I321&lt;=Q$2), 'ProductSprint Backlog'!$F321 / MAX(1, 'ProductSprint Backlog'!$J321-'ProductSprint Backlog'!$I321), AND('ProductSprint Backlog'!$J321=Q$2,'ProductSprint Backlog'!$I321=Q$2), 'ProductSprint Backlog'!$F321, TRUE, 0)</f>
        <v/>
      </c>
    </row>
    <row r="322" spans="2:17" x14ac:dyDescent="0.2">
      <c r="B322" s="4" t="str" cm="1">
        <f t="array" ref="B322">_xlfn.IFS('ProductSprint Backlog'!$F322="", "", AND('ProductSprint Backlog'!$J322&gt;B$2,'ProductSprint Backlog'!$I322&lt;=B$2), 'ProductSprint Backlog'!$F322 / MAX(1, 'ProductSprint Backlog'!$J322-'ProductSprint Backlog'!$I322), AND('ProductSprint Backlog'!$J322=B$2,'ProductSprint Backlog'!$I322=B$2), 'ProductSprint Backlog'!$F322, TRUE, 0)</f>
        <v/>
      </c>
      <c r="C322" s="4" t="str" cm="1">
        <f t="array" ref="C322">_xlfn.IFS('ProductSprint Backlog'!$F322="", "", AND('ProductSprint Backlog'!$J322&gt;C$2,'ProductSprint Backlog'!$I322&lt;=C$2), 'ProductSprint Backlog'!$F322 / MAX(1, 'ProductSprint Backlog'!$J322-'ProductSprint Backlog'!$I322), AND('ProductSprint Backlog'!$J322=C$2,'ProductSprint Backlog'!$I322=C$2), 'ProductSprint Backlog'!$F322, TRUE, 0)</f>
        <v/>
      </c>
      <c r="D322" s="4" t="str" cm="1">
        <f t="array" ref="D322">_xlfn.IFS('ProductSprint Backlog'!$F322="", "", AND('ProductSprint Backlog'!$J322&gt;D$2,'ProductSprint Backlog'!$I322&lt;=D$2), 'ProductSprint Backlog'!$F322 / MAX(1, 'ProductSprint Backlog'!$J322-'ProductSprint Backlog'!$I322), AND('ProductSprint Backlog'!$J322=D$2,'ProductSprint Backlog'!$I322=D$2), 'ProductSprint Backlog'!$F322, TRUE, 0)</f>
        <v/>
      </c>
      <c r="E322" s="4" t="str" cm="1">
        <f t="array" ref="E322">_xlfn.IFS('ProductSprint Backlog'!$F322="", "", AND('ProductSprint Backlog'!$J322&gt;E$2,'ProductSprint Backlog'!$I322&lt;=E$2), 'ProductSprint Backlog'!$F322 / MAX(1, 'ProductSprint Backlog'!$J322-'ProductSprint Backlog'!$I322), AND('ProductSprint Backlog'!$J322=E$2,'ProductSprint Backlog'!$I322=E$2), 'ProductSprint Backlog'!$F322, TRUE, 0)</f>
        <v/>
      </c>
      <c r="F322" s="4" t="str" cm="1">
        <f t="array" ref="F322">_xlfn.IFS('ProductSprint Backlog'!$F322="", "", AND('ProductSprint Backlog'!$J322&gt;F$2,'ProductSprint Backlog'!$I322&lt;=F$2), 'ProductSprint Backlog'!$F322 / MAX(1, 'ProductSprint Backlog'!$J322-'ProductSprint Backlog'!$I322), AND('ProductSprint Backlog'!$J322=F$2,'ProductSprint Backlog'!$I322=F$2), 'ProductSprint Backlog'!$F322, TRUE, 0)</f>
        <v/>
      </c>
      <c r="G322" s="4" t="str" cm="1">
        <f t="array" ref="G322">_xlfn.IFS('ProductSprint Backlog'!$F322="", "", AND('ProductSprint Backlog'!$J322&gt;G$2,'ProductSprint Backlog'!$I322&lt;=G$2), 'ProductSprint Backlog'!$F322 / MAX(1, 'ProductSprint Backlog'!$J322-'ProductSprint Backlog'!$I322), AND('ProductSprint Backlog'!$J322=G$2,'ProductSprint Backlog'!$I322=G$2), 'ProductSprint Backlog'!$F322, TRUE, 0)</f>
        <v/>
      </c>
      <c r="H322" s="4" t="str" cm="1">
        <f t="array" ref="H322">_xlfn.IFS('ProductSprint Backlog'!$F322="", "", AND('ProductSprint Backlog'!$J322&gt;H$2,'ProductSprint Backlog'!$I322&lt;=H$2), 'ProductSprint Backlog'!$F322 / MAX(1, 'ProductSprint Backlog'!$J322-'ProductSprint Backlog'!$I322), AND('ProductSprint Backlog'!$J322=H$2,'ProductSprint Backlog'!$I322=H$2), 'ProductSprint Backlog'!$F322, TRUE, 0)</f>
        <v/>
      </c>
      <c r="I322" s="4" t="str" cm="1">
        <f t="array" ref="I322">_xlfn.IFS('ProductSprint Backlog'!$F322="", "", AND('ProductSprint Backlog'!$J322&gt;I$2,'ProductSprint Backlog'!$I322&lt;=I$2), 'ProductSprint Backlog'!$F322 / MAX(1, 'ProductSprint Backlog'!$J322-'ProductSprint Backlog'!$I322), AND('ProductSprint Backlog'!$J322=I$2,'ProductSprint Backlog'!$I322=I$2), 'ProductSprint Backlog'!$F322, TRUE, 0)</f>
        <v/>
      </c>
      <c r="J322" s="4" t="str" cm="1">
        <f t="array" ref="J322">_xlfn.IFS('ProductSprint Backlog'!$F322="", "", AND('ProductSprint Backlog'!$J322&gt;J$2,'ProductSprint Backlog'!$I322&lt;=J$2), 'ProductSprint Backlog'!$F322 / MAX(1, 'ProductSprint Backlog'!$J322-'ProductSprint Backlog'!$I322), AND('ProductSprint Backlog'!$J322=J$2,'ProductSprint Backlog'!$I322=J$2), 'ProductSprint Backlog'!$F322, TRUE, 0)</f>
        <v/>
      </c>
      <c r="K322" s="4" t="str" cm="1">
        <f t="array" ref="K322">_xlfn.IFS('ProductSprint Backlog'!$F322="", "", AND('ProductSprint Backlog'!$J322&gt;K$2,'ProductSprint Backlog'!$I322&lt;=K$2), 'ProductSprint Backlog'!$F322 / MAX(1, 'ProductSprint Backlog'!$J322-'ProductSprint Backlog'!$I322), AND('ProductSprint Backlog'!$J322=K$2,'ProductSprint Backlog'!$I322=K$2), 'ProductSprint Backlog'!$F322, TRUE, 0)</f>
        <v/>
      </c>
      <c r="L322" s="4" t="str" cm="1">
        <f t="array" ref="L322">_xlfn.IFS('ProductSprint Backlog'!$F322="", "", AND('ProductSprint Backlog'!$J322&gt;L$2,'ProductSprint Backlog'!$I322&lt;=L$2), 'ProductSprint Backlog'!$F322 / MAX(1, 'ProductSprint Backlog'!$J322-'ProductSprint Backlog'!$I322), AND('ProductSprint Backlog'!$J322=L$2,'ProductSprint Backlog'!$I322=L$2), 'ProductSprint Backlog'!$F322, TRUE, 0)</f>
        <v/>
      </c>
      <c r="M322" s="4" t="str" cm="1">
        <f t="array" ref="M322">_xlfn.IFS('ProductSprint Backlog'!$F322="", "", AND('ProductSprint Backlog'!$J322&gt;M$2,'ProductSprint Backlog'!$I322&lt;=M$2), 'ProductSprint Backlog'!$F322 / MAX(1, 'ProductSprint Backlog'!$J322-'ProductSprint Backlog'!$I322), AND('ProductSprint Backlog'!$J322=M$2,'ProductSprint Backlog'!$I322=M$2), 'ProductSprint Backlog'!$F322, TRUE, 0)</f>
        <v/>
      </c>
      <c r="N322" s="4" t="str" cm="1">
        <f t="array" ref="N322">_xlfn.IFS('ProductSprint Backlog'!$F322="", "", AND('ProductSprint Backlog'!$J322&gt;N$2,'ProductSprint Backlog'!$I322&lt;=N$2), 'ProductSprint Backlog'!$F322 / MAX(1, 'ProductSprint Backlog'!$J322-'ProductSprint Backlog'!$I322), AND('ProductSprint Backlog'!$J322=N$2,'ProductSprint Backlog'!$I322=N$2), 'ProductSprint Backlog'!$F322, TRUE, 0)</f>
        <v/>
      </c>
      <c r="O322" s="4" t="str" cm="1">
        <f t="array" ref="O322">_xlfn.IFS('ProductSprint Backlog'!$F322="", "", AND('ProductSprint Backlog'!$J322&gt;O$2,'ProductSprint Backlog'!$I322&lt;=O$2), 'ProductSprint Backlog'!$F322 / MAX(1, 'ProductSprint Backlog'!$J322-'ProductSprint Backlog'!$I322), AND('ProductSprint Backlog'!$J322=O$2,'ProductSprint Backlog'!$I322=O$2), 'ProductSprint Backlog'!$F322, TRUE, 0)</f>
        <v/>
      </c>
      <c r="P322" s="4" t="str" cm="1">
        <f t="array" ref="P322">_xlfn.IFS('ProductSprint Backlog'!$F322="", "", AND('ProductSprint Backlog'!$J322&gt;P$2,'ProductSprint Backlog'!$I322&lt;=P$2), 'ProductSprint Backlog'!$F322 / MAX(1, 'ProductSprint Backlog'!$J322-'ProductSprint Backlog'!$I322), AND('ProductSprint Backlog'!$J322=P$2,'ProductSprint Backlog'!$I322=P$2), 'ProductSprint Backlog'!$F322, TRUE, 0)</f>
        <v/>
      </c>
      <c r="Q322" s="4" t="str" cm="1">
        <f t="array" ref="Q322">_xlfn.IFS('ProductSprint Backlog'!$F322="", "", AND('ProductSprint Backlog'!$J322&gt;Q$2,'ProductSprint Backlog'!$I322&lt;=Q$2), 'ProductSprint Backlog'!$F322 / MAX(1, 'ProductSprint Backlog'!$J322-'ProductSprint Backlog'!$I322), AND('ProductSprint Backlog'!$J322=Q$2,'ProductSprint Backlog'!$I322=Q$2), 'ProductSprint Backlog'!$F322, TRUE, 0)</f>
        <v/>
      </c>
    </row>
    <row r="323" spans="2:17" x14ac:dyDescent="0.2">
      <c r="B323" s="4" t="str" cm="1">
        <f t="array" ref="B323">_xlfn.IFS('ProductSprint Backlog'!$F323="", "", AND('ProductSprint Backlog'!$J323&gt;B$2,'ProductSprint Backlog'!$I323&lt;=B$2), 'ProductSprint Backlog'!$F323 / MAX(1, 'ProductSprint Backlog'!$J323-'ProductSprint Backlog'!$I323), AND('ProductSprint Backlog'!$J323=B$2,'ProductSprint Backlog'!$I323=B$2), 'ProductSprint Backlog'!$F323, TRUE, 0)</f>
        <v/>
      </c>
      <c r="C323" s="4" t="str" cm="1">
        <f t="array" ref="C323">_xlfn.IFS('ProductSprint Backlog'!$F323="", "", AND('ProductSprint Backlog'!$J323&gt;C$2,'ProductSprint Backlog'!$I323&lt;=C$2), 'ProductSprint Backlog'!$F323 / MAX(1, 'ProductSprint Backlog'!$J323-'ProductSprint Backlog'!$I323), AND('ProductSprint Backlog'!$J323=C$2,'ProductSprint Backlog'!$I323=C$2), 'ProductSprint Backlog'!$F323, TRUE, 0)</f>
        <v/>
      </c>
      <c r="D323" s="4" t="str" cm="1">
        <f t="array" ref="D323">_xlfn.IFS('ProductSprint Backlog'!$F323="", "", AND('ProductSprint Backlog'!$J323&gt;D$2,'ProductSprint Backlog'!$I323&lt;=D$2), 'ProductSprint Backlog'!$F323 / MAX(1, 'ProductSprint Backlog'!$J323-'ProductSprint Backlog'!$I323), AND('ProductSprint Backlog'!$J323=D$2,'ProductSprint Backlog'!$I323=D$2), 'ProductSprint Backlog'!$F323, TRUE, 0)</f>
        <v/>
      </c>
      <c r="E323" s="4" t="str" cm="1">
        <f t="array" ref="E323">_xlfn.IFS('ProductSprint Backlog'!$F323="", "", AND('ProductSprint Backlog'!$J323&gt;E$2,'ProductSprint Backlog'!$I323&lt;=E$2), 'ProductSprint Backlog'!$F323 / MAX(1, 'ProductSprint Backlog'!$J323-'ProductSprint Backlog'!$I323), AND('ProductSprint Backlog'!$J323=E$2,'ProductSprint Backlog'!$I323=E$2), 'ProductSprint Backlog'!$F323, TRUE, 0)</f>
        <v/>
      </c>
      <c r="F323" s="4" t="str" cm="1">
        <f t="array" ref="F323">_xlfn.IFS('ProductSprint Backlog'!$F323="", "", AND('ProductSprint Backlog'!$J323&gt;F$2,'ProductSprint Backlog'!$I323&lt;=F$2), 'ProductSprint Backlog'!$F323 / MAX(1, 'ProductSprint Backlog'!$J323-'ProductSprint Backlog'!$I323), AND('ProductSprint Backlog'!$J323=F$2,'ProductSprint Backlog'!$I323=F$2), 'ProductSprint Backlog'!$F323, TRUE, 0)</f>
        <v/>
      </c>
      <c r="G323" s="4" t="str" cm="1">
        <f t="array" ref="G323">_xlfn.IFS('ProductSprint Backlog'!$F323="", "", AND('ProductSprint Backlog'!$J323&gt;G$2,'ProductSprint Backlog'!$I323&lt;=G$2), 'ProductSprint Backlog'!$F323 / MAX(1, 'ProductSprint Backlog'!$J323-'ProductSprint Backlog'!$I323), AND('ProductSprint Backlog'!$J323=G$2,'ProductSprint Backlog'!$I323=G$2), 'ProductSprint Backlog'!$F323, TRUE, 0)</f>
        <v/>
      </c>
      <c r="H323" s="4" t="str" cm="1">
        <f t="array" ref="H323">_xlfn.IFS('ProductSprint Backlog'!$F323="", "", AND('ProductSprint Backlog'!$J323&gt;H$2,'ProductSprint Backlog'!$I323&lt;=H$2), 'ProductSprint Backlog'!$F323 / MAX(1, 'ProductSprint Backlog'!$J323-'ProductSprint Backlog'!$I323), AND('ProductSprint Backlog'!$J323=H$2,'ProductSprint Backlog'!$I323=H$2), 'ProductSprint Backlog'!$F323, TRUE, 0)</f>
        <v/>
      </c>
      <c r="I323" s="4" t="str" cm="1">
        <f t="array" ref="I323">_xlfn.IFS('ProductSprint Backlog'!$F323="", "", AND('ProductSprint Backlog'!$J323&gt;I$2,'ProductSprint Backlog'!$I323&lt;=I$2), 'ProductSprint Backlog'!$F323 / MAX(1, 'ProductSprint Backlog'!$J323-'ProductSprint Backlog'!$I323), AND('ProductSprint Backlog'!$J323=I$2,'ProductSprint Backlog'!$I323=I$2), 'ProductSprint Backlog'!$F323, TRUE, 0)</f>
        <v/>
      </c>
      <c r="J323" s="4" t="str" cm="1">
        <f t="array" ref="J323">_xlfn.IFS('ProductSprint Backlog'!$F323="", "", AND('ProductSprint Backlog'!$J323&gt;J$2,'ProductSprint Backlog'!$I323&lt;=J$2), 'ProductSprint Backlog'!$F323 / MAX(1, 'ProductSprint Backlog'!$J323-'ProductSprint Backlog'!$I323), AND('ProductSprint Backlog'!$J323=J$2,'ProductSprint Backlog'!$I323=J$2), 'ProductSprint Backlog'!$F323, TRUE, 0)</f>
        <v/>
      </c>
      <c r="K323" s="4" t="str" cm="1">
        <f t="array" ref="K323">_xlfn.IFS('ProductSprint Backlog'!$F323="", "", AND('ProductSprint Backlog'!$J323&gt;K$2,'ProductSprint Backlog'!$I323&lt;=K$2), 'ProductSprint Backlog'!$F323 / MAX(1, 'ProductSprint Backlog'!$J323-'ProductSprint Backlog'!$I323), AND('ProductSprint Backlog'!$J323=K$2,'ProductSprint Backlog'!$I323=K$2), 'ProductSprint Backlog'!$F323, TRUE, 0)</f>
        <v/>
      </c>
      <c r="L323" s="4" t="str" cm="1">
        <f t="array" ref="L323">_xlfn.IFS('ProductSprint Backlog'!$F323="", "", AND('ProductSprint Backlog'!$J323&gt;L$2,'ProductSprint Backlog'!$I323&lt;=L$2), 'ProductSprint Backlog'!$F323 / MAX(1, 'ProductSprint Backlog'!$J323-'ProductSprint Backlog'!$I323), AND('ProductSprint Backlog'!$J323=L$2,'ProductSprint Backlog'!$I323=L$2), 'ProductSprint Backlog'!$F323, TRUE, 0)</f>
        <v/>
      </c>
      <c r="M323" s="4" t="str" cm="1">
        <f t="array" ref="M323">_xlfn.IFS('ProductSprint Backlog'!$F323="", "", AND('ProductSprint Backlog'!$J323&gt;M$2,'ProductSprint Backlog'!$I323&lt;=M$2), 'ProductSprint Backlog'!$F323 / MAX(1, 'ProductSprint Backlog'!$J323-'ProductSprint Backlog'!$I323), AND('ProductSprint Backlog'!$J323=M$2,'ProductSprint Backlog'!$I323=M$2), 'ProductSprint Backlog'!$F323, TRUE, 0)</f>
        <v/>
      </c>
      <c r="N323" s="4" t="str" cm="1">
        <f t="array" ref="N323">_xlfn.IFS('ProductSprint Backlog'!$F323="", "", AND('ProductSprint Backlog'!$J323&gt;N$2,'ProductSprint Backlog'!$I323&lt;=N$2), 'ProductSprint Backlog'!$F323 / MAX(1, 'ProductSprint Backlog'!$J323-'ProductSprint Backlog'!$I323), AND('ProductSprint Backlog'!$J323=N$2,'ProductSprint Backlog'!$I323=N$2), 'ProductSprint Backlog'!$F323, TRUE, 0)</f>
        <v/>
      </c>
      <c r="O323" s="4" t="str" cm="1">
        <f t="array" ref="O323">_xlfn.IFS('ProductSprint Backlog'!$F323="", "", AND('ProductSprint Backlog'!$J323&gt;O$2,'ProductSprint Backlog'!$I323&lt;=O$2), 'ProductSprint Backlog'!$F323 / MAX(1, 'ProductSprint Backlog'!$J323-'ProductSprint Backlog'!$I323), AND('ProductSprint Backlog'!$J323=O$2,'ProductSprint Backlog'!$I323=O$2), 'ProductSprint Backlog'!$F323, TRUE, 0)</f>
        <v/>
      </c>
      <c r="P323" s="4" t="str" cm="1">
        <f t="array" ref="P323">_xlfn.IFS('ProductSprint Backlog'!$F323="", "", AND('ProductSprint Backlog'!$J323&gt;P$2,'ProductSprint Backlog'!$I323&lt;=P$2), 'ProductSprint Backlog'!$F323 / MAX(1, 'ProductSprint Backlog'!$J323-'ProductSprint Backlog'!$I323), AND('ProductSprint Backlog'!$J323=P$2,'ProductSprint Backlog'!$I323=P$2), 'ProductSprint Backlog'!$F323, TRUE, 0)</f>
        <v/>
      </c>
      <c r="Q323" s="4" t="str" cm="1">
        <f t="array" ref="Q323">_xlfn.IFS('ProductSprint Backlog'!$F323="", "", AND('ProductSprint Backlog'!$J323&gt;Q$2,'ProductSprint Backlog'!$I323&lt;=Q$2), 'ProductSprint Backlog'!$F323 / MAX(1, 'ProductSprint Backlog'!$J323-'ProductSprint Backlog'!$I323), AND('ProductSprint Backlog'!$J323=Q$2,'ProductSprint Backlog'!$I323=Q$2), 'ProductSprint Backlog'!$F323, TRUE, 0)</f>
        <v/>
      </c>
    </row>
    <row r="324" spans="2:17" x14ac:dyDescent="0.2">
      <c r="B324" s="4" t="str" cm="1">
        <f t="array" ref="B324">_xlfn.IFS('ProductSprint Backlog'!$F324="", "", AND('ProductSprint Backlog'!$J324&gt;B$2,'ProductSprint Backlog'!$I324&lt;=B$2), 'ProductSprint Backlog'!$F324 / MAX(1, 'ProductSprint Backlog'!$J324-'ProductSprint Backlog'!$I324), AND('ProductSprint Backlog'!$J324=B$2,'ProductSprint Backlog'!$I324=B$2), 'ProductSprint Backlog'!$F324, TRUE, 0)</f>
        <v/>
      </c>
      <c r="C324" s="4" t="str" cm="1">
        <f t="array" ref="C324">_xlfn.IFS('ProductSprint Backlog'!$F324="", "", AND('ProductSprint Backlog'!$J324&gt;C$2,'ProductSprint Backlog'!$I324&lt;=C$2), 'ProductSprint Backlog'!$F324 / MAX(1, 'ProductSprint Backlog'!$J324-'ProductSprint Backlog'!$I324), AND('ProductSprint Backlog'!$J324=C$2,'ProductSprint Backlog'!$I324=C$2), 'ProductSprint Backlog'!$F324, TRUE, 0)</f>
        <v/>
      </c>
      <c r="D324" s="4" t="str" cm="1">
        <f t="array" ref="D324">_xlfn.IFS('ProductSprint Backlog'!$F324="", "", AND('ProductSprint Backlog'!$J324&gt;D$2,'ProductSprint Backlog'!$I324&lt;=D$2), 'ProductSprint Backlog'!$F324 / MAX(1, 'ProductSprint Backlog'!$J324-'ProductSprint Backlog'!$I324), AND('ProductSprint Backlog'!$J324=D$2,'ProductSprint Backlog'!$I324=D$2), 'ProductSprint Backlog'!$F324, TRUE, 0)</f>
        <v/>
      </c>
      <c r="E324" s="4" t="str" cm="1">
        <f t="array" ref="E324">_xlfn.IFS('ProductSprint Backlog'!$F324="", "", AND('ProductSprint Backlog'!$J324&gt;E$2,'ProductSprint Backlog'!$I324&lt;=E$2), 'ProductSprint Backlog'!$F324 / MAX(1, 'ProductSprint Backlog'!$J324-'ProductSprint Backlog'!$I324), AND('ProductSprint Backlog'!$J324=E$2,'ProductSprint Backlog'!$I324=E$2), 'ProductSprint Backlog'!$F324, TRUE, 0)</f>
        <v/>
      </c>
      <c r="F324" s="4" t="str" cm="1">
        <f t="array" ref="F324">_xlfn.IFS('ProductSprint Backlog'!$F324="", "", AND('ProductSprint Backlog'!$J324&gt;F$2,'ProductSprint Backlog'!$I324&lt;=F$2), 'ProductSprint Backlog'!$F324 / MAX(1, 'ProductSprint Backlog'!$J324-'ProductSprint Backlog'!$I324), AND('ProductSprint Backlog'!$J324=F$2,'ProductSprint Backlog'!$I324=F$2), 'ProductSprint Backlog'!$F324, TRUE, 0)</f>
        <v/>
      </c>
      <c r="G324" s="4" t="str" cm="1">
        <f t="array" ref="G324">_xlfn.IFS('ProductSprint Backlog'!$F324="", "", AND('ProductSprint Backlog'!$J324&gt;G$2,'ProductSprint Backlog'!$I324&lt;=G$2), 'ProductSprint Backlog'!$F324 / MAX(1, 'ProductSprint Backlog'!$J324-'ProductSprint Backlog'!$I324), AND('ProductSprint Backlog'!$J324=G$2,'ProductSprint Backlog'!$I324=G$2), 'ProductSprint Backlog'!$F324, TRUE, 0)</f>
        <v/>
      </c>
      <c r="H324" s="4" t="str" cm="1">
        <f t="array" ref="H324">_xlfn.IFS('ProductSprint Backlog'!$F324="", "", AND('ProductSprint Backlog'!$J324&gt;H$2,'ProductSprint Backlog'!$I324&lt;=H$2), 'ProductSprint Backlog'!$F324 / MAX(1, 'ProductSprint Backlog'!$J324-'ProductSprint Backlog'!$I324), AND('ProductSprint Backlog'!$J324=H$2,'ProductSprint Backlog'!$I324=H$2), 'ProductSprint Backlog'!$F324, TRUE, 0)</f>
        <v/>
      </c>
      <c r="I324" s="4" t="str" cm="1">
        <f t="array" ref="I324">_xlfn.IFS('ProductSprint Backlog'!$F324="", "", AND('ProductSprint Backlog'!$J324&gt;I$2,'ProductSprint Backlog'!$I324&lt;=I$2), 'ProductSprint Backlog'!$F324 / MAX(1, 'ProductSprint Backlog'!$J324-'ProductSprint Backlog'!$I324), AND('ProductSprint Backlog'!$J324=I$2,'ProductSprint Backlog'!$I324=I$2), 'ProductSprint Backlog'!$F324, TRUE, 0)</f>
        <v/>
      </c>
      <c r="J324" s="4" t="str" cm="1">
        <f t="array" ref="J324">_xlfn.IFS('ProductSprint Backlog'!$F324="", "", AND('ProductSprint Backlog'!$J324&gt;J$2,'ProductSprint Backlog'!$I324&lt;=J$2), 'ProductSprint Backlog'!$F324 / MAX(1, 'ProductSprint Backlog'!$J324-'ProductSprint Backlog'!$I324), AND('ProductSprint Backlog'!$J324=J$2,'ProductSprint Backlog'!$I324=J$2), 'ProductSprint Backlog'!$F324, TRUE, 0)</f>
        <v/>
      </c>
      <c r="K324" s="4" t="str" cm="1">
        <f t="array" ref="K324">_xlfn.IFS('ProductSprint Backlog'!$F324="", "", AND('ProductSprint Backlog'!$J324&gt;K$2,'ProductSprint Backlog'!$I324&lt;=K$2), 'ProductSprint Backlog'!$F324 / MAX(1, 'ProductSprint Backlog'!$J324-'ProductSprint Backlog'!$I324), AND('ProductSprint Backlog'!$J324=K$2,'ProductSprint Backlog'!$I324=K$2), 'ProductSprint Backlog'!$F324, TRUE, 0)</f>
        <v/>
      </c>
      <c r="L324" s="4" t="str" cm="1">
        <f t="array" ref="L324">_xlfn.IFS('ProductSprint Backlog'!$F324="", "", AND('ProductSprint Backlog'!$J324&gt;L$2,'ProductSprint Backlog'!$I324&lt;=L$2), 'ProductSprint Backlog'!$F324 / MAX(1, 'ProductSprint Backlog'!$J324-'ProductSprint Backlog'!$I324), AND('ProductSprint Backlog'!$J324=L$2,'ProductSprint Backlog'!$I324=L$2), 'ProductSprint Backlog'!$F324, TRUE, 0)</f>
        <v/>
      </c>
      <c r="M324" s="4" t="str" cm="1">
        <f t="array" ref="M324">_xlfn.IFS('ProductSprint Backlog'!$F324="", "", AND('ProductSprint Backlog'!$J324&gt;M$2,'ProductSprint Backlog'!$I324&lt;=M$2), 'ProductSprint Backlog'!$F324 / MAX(1, 'ProductSprint Backlog'!$J324-'ProductSprint Backlog'!$I324), AND('ProductSprint Backlog'!$J324=M$2,'ProductSprint Backlog'!$I324=M$2), 'ProductSprint Backlog'!$F324, TRUE, 0)</f>
        <v/>
      </c>
      <c r="N324" s="4" t="str" cm="1">
        <f t="array" ref="N324">_xlfn.IFS('ProductSprint Backlog'!$F324="", "", AND('ProductSprint Backlog'!$J324&gt;N$2,'ProductSprint Backlog'!$I324&lt;=N$2), 'ProductSprint Backlog'!$F324 / MAX(1, 'ProductSprint Backlog'!$J324-'ProductSprint Backlog'!$I324), AND('ProductSprint Backlog'!$J324=N$2,'ProductSprint Backlog'!$I324=N$2), 'ProductSprint Backlog'!$F324, TRUE, 0)</f>
        <v/>
      </c>
      <c r="O324" s="4" t="str" cm="1">
        <f t="array" ref="O324">_xlfn.IFS('ProductSprint Backlog'!$F324="", "", AND('ProductSprint Backlog'!$J324&gt;O$2,'ProductSprint Backlog'!$I324&lt;=O$2), 'ProductSprint Backlog'!$F324 / MAX(1, 'ProductSprint Backlog'!$J324-'ProductSprint Backlog'!$I324), AND('ProductSprint Backlog'!$J324=O$2,'ProductSprint Backlog'!$I324=O$2), 'ProductSprint Backlog'!$F324, TRUE, 0)</f>
        <v/>
      </c>
      <c r="P324" s="4" t="str" cm="1">
        <f t="array" ref="P324">_xlfn.IFS('ProductSprint Backlog'!$F324="", "", AND('ProductSprint Backlog'!$J324&gt;P$2,'ProductSprint Backlog'!$I324&lt;=P$2), 'ProductSprint Backlog'!$F324 / MAX(1, 'ProductSprint Backlog'!$J324-'ProductSprint Backlog'!$I324), AND('ProductSprint Backlog'!$J324=P$2,'ProductSprint Backlog'!$I324=P$2), 'ProductSprint Backlog'!$F324, TRUE, 0)</f>
        <v/>
      </c>
      <c r="Q324" s="4" t="str" cm="1">
        <f t="array" ref="Q324">_xlfn.IFS('ProductSprint Backlog'!$F324="", "", AND('ProductSprint Backlog'!$J324&gt;Q$2,'ProductSprint Backlog'!$I324&lt;=Q$2), 'ProductSprint Backlog'!$F324 / MAX(1, 'ProductSprint Backlog'!$J324-'ProductSprint Backlog'!$I324), AND('ProductSprint Backlog'!$J324=Q$2,'ProductSprint Backlog'!$I324=Q$2), 'ProductSprint Backlog'!$F324, TRUE, 0)</f>
        <v/>
      </c>
    </row>
    <row r="325" spans="2:17" x14ac:dyDescent="0.2">
      <c r="B325" s="4" t="str" cm="1">
        <f t="array" ref="B325">_xlfn.IFS('ProductSprint Backlog'!$F325="", "", AND('ProductSprint Backlog'!$J325&gt;B$2,'ProductSprint Backlog'!$I325&lt;=B$2), 'ProductSprint Backlog'!$F325 / MAX(1, 'ProductSprint Backlog'!$J325-'ProductSprint Backlog'!$I325), AND('ProductSprint Backlog'!$J325=B$2,'ProductSprint Backlog'!$I325=B$2), 'ProductSprint Backlog'!$F325, TRUE, 0)</f>
        <v/>
      </c>
      <c r="C325" s="4" t="str" cm="1">
        <f t="array" ref="C325">_xlfn.IFS('ProductSprint Backlog'!$F325="", "", AND('ProductSprint Backlog'!$J325&gt;C$2,'ProductSprint Backlog'!$I325&lt;=C$2), 'ProductSprint Backlog'!$F325 / MAX(1, 'ProductSprint Backlog'!$J325-'ProductSprint Backlog'!$I325), AND('ProductSprint Backlog'!$J325=C$2,'ProductSprint Backlog'!$I325=C$2), 'ProductSprint Backlog'!$F325, TRUE, 0)</f>
        <v/>
      </c>
      <c r="D325" s="4" t="str" cm="1">
        <f t="array" ref="D325">_xlfn.IFS('ProductSprint Backlog'!$F325="", "", AND('ProductSprint Backlog'!$J325&gt;D$2,'ProductSprint Backlog'!$I325&lt;=D$2), 'ProductSprint Backlog'!$F325 / MAX(1, 'ProductSprint Backlog'!$J325-'ProductSprint Backlog'!$I325), AND('ProductSprint Backlog'!$J325=D$2,'ProductSprint Backlog'!$I325=D$2), 'ProductSprint Backlog'!$F325, TRUE, 0)</f>
        <v/>
      </c>
      <c r="E325" s="4" t="str" cm="1">
        <f t="array" ref="E325">_xlfn.IFS('ProductSprint Backlog'!$F325="", "", AND('ProductSprint Backlog'!$J325&gt;E$2,'ProductSprint Backlog'!$I325&lt;=E$2), 'ProductSprint Backlog'!$F325 / MAX(1, 'ProductSprint Backlog'!$J325-'ProductSprint Backlog'!$I325), AND('ProductSprint Backlog'!$J325=E$2,'ProductSprint Backlog'!$I325=E$2), 'ProductSprint Backlog'!$F325, TRUE, 0)</f>
        <v/>
      </c>
      <c r="F325" s="4" t="str" cm="1">
        <f t="array" ref="F325">_xlfn.IFS('ProductSprint Backlog'!$F325="", "", AND('ProductSprint Backlog'!$J325&gt;F$2,'ProductSprint Backlog'!$I325&lt;=F$2), 'ProductSprint Backlog'!$F325 / MAX(1, 'ProductSprint Backlog'!$J325-'ProductSprint Backlog'!$I325), AND('ProductSprint Backlog'!$J325=F$2,'ProductSprint Backlog'!$I325=F$2), 'ProductSprint Backlog'!$F325, TRUE, 0)</f>
        <v/>
      </c>
      <c r="G325" s="4" t="str" cm="1">
        <f t="array" ref="G325">_xlfn.IFS('ProductSprint Backlog'!$F325="", "", AND('ProductSprint Backlog'!$J325&gt;G$2,'ProductSprint Backlog'!$I325&lt;=G$2), 'ProductSprint Backlog'!$F325 / MAX(1, 'ProductSprint Backlog'!$J325-'ProductSprint Backlog'!$I325), AND('ProductSprint Backlog'!$J325=G$2,'ProductSprint Backlog'!$I325=G$2), 'ProductSprint Backlog'!$F325, TRUE, 0)</f>
        <v/>
      </c>
      <c r="H325" s="4" t="str" cm="1">
        <f t="array" ref="H325">_xlfn.IFS('ProductSprint Backlog'!$F325="", "", AND('ProductSprint Backlog'!$J325&gt;H$2,'ProductSprint Backlog'!$I325&lt;=H$2), 'ProductSprint Backlog'!$F325 / MAX(1, 'ProductSprint Backlog'!$J325-'ProductSprint Backlog'!$I325), AND('ProductSprint Backlog'!$J325=H$2,'ProductSprint Backlog'!$I325=H$2), 'ProductSprint Backlog'!$F325, TRUE, 0)</f>
        <v/>
      </c>
      <c r="I325" s="4" t="str" cm="1">
        <f t="array" ref="I325">_xlfn.IFS('ProductSprint Backlog'!$F325="", "", AND('ProductSprint Backlog'!$J325&gt;I$2,'ProductSprint Backlog'!$I325&lt;=I$2), 'ProductSprint Backlog'!$F325 / MAX(1, 'ProductSprint Backlog'!$J325-'ProductSprint Backlog'!$I325), AND('ProductSprint Backlog'!$J325=I$2,'ProductSprint Backlog'!$I325=I$2), 'ProductSprint Backlog'!$F325, TRUE, 0)</f>
        <v/>
      </c>
      <c r="J325" s="4" t="str" cm="1">
        <f t="array" ref="J325">_xlfn.IFS('ProductSprint Backlog'!$F325="", "", AND('ProductSprint Backlog'!$J325&gt;J$2,'ProductSprint Backlog'!$I325&lt;=J$2), 'ProductSprint Backlog'!$F325 / MAX(1, 'ProductSprint Backlog'!$J325-'ProductSprint Backlog'!$I325), AND('ProductSprint Backlog'!$J325=J$2,'ProductSprint Backlog'!$I325=J$2), 'ProductSprint Backlog'!$F325, TRUE, 0)</f>
        <v/>
      </c>
      <c r="K325" s="4" t="str" cm="1">
        <f t="array" ref="K325">_xlfn.IFS('ProductSprint Backlog'!$F325="", "", AND('ProductSprint Backlog'!$J325&gt;K$2,'ProductSprint Backlog'!$I325&lt;=K$2), 'ProductSprint Backlog'!$F325 / MAX(1, 'ProductSprint Backlog'!$J325-'ProductSprint Backlog'!$I325), AND('ProductSprint Backlog'!$J325=K$2,'ProductSprint Backlog'!$I325=K$2), 'ProductSprint Backlog'!$F325, TRUE, 0)</f>
        <v/>
      </c>
      <c r="L325" s="4" t="str" cm="1">
        <f t="array" ref="L325">_xlfn.IFS('ProductSprint Backlog'!$F325="", "", AND('ProductSprint Backlog'!$J325&gt;L$2,'ProductSprint Backlog'!$I325&lt;=L$2), 'ProductSprint Backlog'!$F325 / MAX(1, 'ProductSprint Backlog'!$J325-'ProductSprint Backlog'!$I325), AND('ProductSprint Backlog'!$J325=L$2,'ProductSprint Backlog'!$I325=L$2), 'ProductSprint Backlog'!$F325, TRUE, 0)</f>
        <v/>
      </c>
      <c r="M325" s="4" t="str" cm="1">
        <f t="array" ref="M325">_xlfn.IFS('ProductSprint Backlog'!$F325="", "", AND('ProductSprint Backlog'!$J325&gt;M$2,'ProductSprint Backlog'!$I325&lt;=M$2), 'ProductSprint Backlog'!$F325 / MAX(1, 'ProductSprint Backlog'!$J325-'ProductSprint Backlog'!$I325), AND('ProductSprint Backlog'!$J325=M$2,'ProductSprint Backlog'!$I325=M$2), 'ProductSprint Backlog'!$F325, TRUE, 0)</f>
        <v/>
      </c>
      <c r="N325" s="4" t="str" cm="1">
        <f t="array" ref="N325">_xlfn.IFS('ProductSprint Backlog'!$F325="", "", AND('ProductSprint Backlog'!$J325&gt;N$2,'ProductSprint Backlog'!$I325&lt;=N$2), 'ProductSprint Backlog'!$F325 / MAX(1, 'ProductSprint Backlog'!$J325-'ProductSprint Backlog'!$I325), AND('ProductSprint Backlog'!$J325=N$2,'ProductSprint Backlog'!$I325=N$2), 'ProductSprint Backlog'!$F325, TRUE, 0)</f>
        <v/>
      </c>
      <c r="O325" s="4" t="str" cm="1">
        <f t="array" ref="O325">_xlfn.IFS('ProductSprint Backlog'!$F325="", "", AND('ProductSprint Backlog'!$J325&gt;O$2,'ProductSprint Backlog'!$I325&lt;=O$2), 'ProductSprint Backlog'!$F325 / MAX(1, 'ProductSprint Backlog'!$J325-'ProductSprint Backlog'!$I325), AND('ProductSprint Backlog'!$J325=O$2,'ProductSprint Backlog'!$I325=O$2), 'ProductSprint Backlog'!$F325, TRUE, 0)</f>
        <v/>
      </c>
      <c r="P325" s="4" t="str" cm="1">
        <f t="array" ref="P325">_xlfn.IFS('ProductSprint Backlog'!$F325="", "", AND('ProductSprint Backlog'!$J325&gt;P$2,'ProductSprint Backlog'!$I325&lt;=P$2), 'ProductSprint Backlog'!$F325 / MAX(1, 'ProductSprint Backlog'!$J325-'ProductSprint Backlog'!$I325), AND('ProductSprint Backlog'!$J325=P$2,'ProductSprint Backlog'!$I325=P$2), 'ProductSprint Backlog'!$F325, TRUE, 0)</f>
        <v/>
      </c>
      <c r="Q325" s="4" t="str" cm="1">
        <f t="array" ref="Q325">_xlfn.IFS('ProductSprint Backlog'!$F325="", "", AND('ProductSprint Backlog'!$J325&gt;Q$2,'ProductSprint Backlog'!$I325&lt;=Q$2), 'ProductSprint Backlog'!$F325 / MAX(1, 'ProductSprint Backlog'!$J325-'ProductSprint Backlog'!$I325), AND('ProductSprint Backlog'!$J325=Q$2,'ProductSprint Backlog'!$I325=Q$2), 'ProductSprint Backlog'!$F325, TRUE, 0)</f>
        <v/>
      </c>
    </row>
    <row r="326" spans="2:17" x14ac:dyDescent="0.2">
      <c r="B326" s="4" t="str" cm="1">
        <f t="array" ref="B326">_xlfn.IFS('ProductSprint Backlog'!$F326="", "", AND('ProductSprint Backlog'!$J326&gt;B$2,'ProductSprint Backlog'!$I326&lt;=B$2), 'ProductSprint Backlog'!$F326 / MAX(1, 'ProductSprint Backlog'!$J326-'ProductSprint Backlog'!$I326), AND('ProductSprint Backlog'!$J326=B$2,'ProductSprint Backlog'!$I326=B$2), 'ProductSprint Backlog'!$F326, TRUE, 0)</f>
        <v/>
      </c>
      <c r="C326" s="4" t="str" cm="1">
        <f t="array" ref="C326">_xlfn.IFS('ProductSprint Backlog'!$F326="", "", AND('ProductSprint Backlog'!$J326&gt;C$2,'ProductSprint Backlog'!$I326&lt;=C$2), 'ProductSprint Backlog'!$F326 / MAX(1, 'ProductSprint Backlog'!$J326-'ProductSprint Backlog'!$I326), AND('ProductSprint Backlog'!$J326=C$2,'ProductSprint Backlog'!$I326=C$2), 'ProductSprint Backlog'!$F326, TRUE, 0)</f>
        <v/>
      </c>
      <c r="D326" s="4" t="str" cm="1">
        <f t="array" ref="D326">_xlfn.IFS('ProductSprint Backlog'!$F326="", "", AND('ProductSprint Backlog'!$J326&gt;D$2,'ProductSprint Backlog'!$I326&lt;=D$2), 'ProductSprint Backlog'!$F326 / MAX(1, 'ProductSprint Backlog'!$J326-'ProductSprint Backlog'!$I326), AND('ProductSprint Backlog'!$J326=D$2,'ProductSprint Backlog'!$I326=D$2), 'ProductSprint Backlog'!$F326, TRUE, 0)</f>
        <v/>
      </c>
      <c r="E326" s="4" t="str" cm="1">
        <f t="array" ref="E326">_xlfn.IFS('ProductSprint Backlog'!$F326="", "", AND('ProductSprint Backlog'!$J326&gt;E$2,'ProductSprint Backlog'!$I326&lt;=E$2), 'ProductSprint Backlog'!$F326 / MAX(1, 'ProductSprint Backlog'!$J326-'ProductSprint Backlog'!$I326), AND('ProductSprint Backlog'!$J326=E$2,'ProductSprint Backlog'!$I326=E$2), 'ProductSprint Backlog'!$F326, TRUE, 0)</f>
        <v/>
      </c>
      <c r="F326" s="4" t="str" cm="1">
        <f t="array" ref="F326">_xlfn.IFS('ProductSprint Backlog'!$F326="", "", AND('ProductSprint Backlog'!$J326&gt;F$2,'ProductSprint Backlog'!$I326&lt;=F$2), 'ProductSprint Backlog'!$F326 / MAX(1, 'ProductSprint Backlog'!$J326-'ProductSprint Backlog'!$I326), AND('ProductSprint Backlog'!$J326=F$2,'ProductSprint Backlog'!$I326=F$2), 'ProductSprint Backlog'!$F326, TRUE, 0)</f>
        <v/>
      </c>
      <c r="G326" s="4" t="str" cm="1">
        <f t="array" ref="G326">_xlfn.IFS('ProductSprint Backlog'!$F326="", "", AND('ProductSprint Backlog'!$J326&gt;G$2,'ProductSprint Backlog'!$I326&lt;=G$2), 'ProductSprint Backlog'!$F326 / MAX(1, 'ProductSprint Backlog'!$J326-'ProductSprint Backlog'!$I326), AND('ProductSprint Backlog'!$J326=G$2,'ProductSprint Backlog'!$I326=G$2), 'ProductSprint Backlog'!$F326, TRUE, 0)</f>
        <v/>
      </c>
      <c r="H326" s="4" t="str" cm="1">
        <f t="array" ref="H326">_xlfn.IFS('ProductSprint Backlog'!$F326="", "", AND('ProductSprint Backlog'!$J326&gt;H$2,'ProductSprint Backlog'!$I326&lt;=H$2), 'ProductSprint Backlog'!$F326 / MAX(1, 'ProductSprint Backlog'!$J326-'ProductSprint Backlog'!$I326), AND('ProductSprint Backlog'!$J326=H$2,'ProductSprint Backlog'!$I326=H$2), 'ProductSprint Backlog'!$F326, TRUE, 0)</f>
        <v/>
      </c>
      <c r="I326" s="4" t="str" cm="1">
        <f t="array" ref="I326">_xlfn.IFS('ProductSprint Backlog'!$F326="", "", AND('ProductSprint Backlog'!$J326&gt;I$2,'ProductSprint Backlog'!$I326&lt;=I$2), 'ProductSprint Backlog'!$F326 / MAX(1, 'ProductSprint Backlog'!$J326-'ProductSprint Backlog'!$I326), AND('ProductSprint Backlog'!$J326=I$2,'ProductSprint Backlog'!$I326=I$2), 'ProductSprint Backlog'!$F326, TRUE, 0)</f>
        <v/>
      </c>
      <c r="J326" s="4" t="str" cm="1">
        <f t="array" ref="J326">_xlfn.IFS('ProductSprint Backlog'!$F326="", "", AND('ProductSprint Backlog'!$J326&gt;J$2,'ProductSprint Backlog'!$I326&lt;=J$2), 'ProductSprint Backlog'!$F326 / MAX(1, 'ProductSprint Backlog'!$J326-'ProductSprint Backlog'!$I326), AND('ProductSprint Backlog'!$J326=J$2,'ProductSprint Backlog'!$I326=J$2), 'ProductSprint Backlog'!$F326, TRUE, 0)</f>
        <v/>
      </c>
      <c r="K326" s="4" t="str" cm="1">
        <f t="array" ref="K326">_xlfn.IFS('ProductSprint Backlog'!$F326="", "", AND('ProductSprint Backlog'!$J326&gt;K$2,'ProductSprint Backlog'!$I326&lt;=K$2), 'ProductSprint Backlog'!$F326 / MAX(1, 'ProductSprint Backlog'!$J326-'ProductSprint Backlog'!$I326), AND('ProductSprint Backlog'!$J326=K$2,'ProductSprint Backlog'!$I326=K$2), 'ProductSprint Backlog'!$F326, TRUE, 0)</f>
        <v/>
      </c>
      <c r="L326" s="4" t="str" cm="1">
        <f t="array" ref="L326">_xlfn.IFS('ProductSprint Backlog'!$F326="", "", AND('ProductSprint Backlog'!$J326&gt;L$2,'ProductSprint Backlog'!$I326&lt;=L$2), 'ProductSprint Backlog'!$F326 / MAX(1, 'ProductSprint Backlog'!$J326-'ProductSprint Backlog'!$I326), AND('ProductSprint Backlog'!$J326=L$2,'ProductSprint Backlog'!$I326=L$2), 'ProductSprint Backlog'!$F326, TRUE, 0)</f>
        <v/>
      </c>
      <c r="M326" s="4" t="str" cm="1">
        <f t="array" ref="M326">_xlfn.IFS('ProductSprint Backlog'!$F326="", "", AND('ProductSprint Backlog'!$J326&gt;M$2,'ProductSprint Backlog'!$I326&lt;=M$2), 'ProductSprint Backlog'!$F326 / MAX(1, 'ProductSprint Backlog'!$J326-'ProductSprint Backlog'!$I326), AND('ProductSprint Backlog'!$J326=M$2,'ProductSprint Backlog'!$I326=M$2), 'ProductSprint Backlog'!$F326, TRUE, 0)</f>
        <v/>
      </c>
      <c r="N326" s="4" t="str" cm="1">
        <f t="array" ref="N326">_xlfn.IFS('ProductSprint Backlog'!$F326="", "", AND('ProductSprint Backlog'!$J326&gt;N$2,'ProductSprint Backlog'!$I326&lt;=N$2), 'ProductSprint Backlog'!$F326 / MAX(1, 'ProductSprint Backlog'!$J326-'ProductSprint Backlog'!$I326), AND('ProductSprint Backlog'!$J326=N$2,'ProductSprint Backlog'!$I326=N$2), 'ProductSprint Backlog'!$F326, TRUE, 0)</f>
        <v/>
      </c>
      <c r="O326" s="4" t="str" cm="1">
        <f t="array" ref="O326">_xlfn.IFS('ProductSprint Backlog'!$F326="", "", AND('ProductSprint Backlog'!$J326&gt;O$2,'ProductSprint Backlog'!$I326&lt;=O$2), 'ProductSprint Backlog'!$F326 / MAX(1, 'ProductSprint Backlog'!$J326-'ProductSprint Backlog'!$I326), AND('ProductSprint Backlog'!$J326=O$2,'ProductSprint Backlog'!$I326=O$2), 'ProductSprint Backlog'!$F326, TRUE, 0)</f>
        <v/>
      </c>
      <c r="P326" s="4" t="str" cm="1">
        <f t="array" ref="P326">_xlfn.IFS('ProductSprint Backlog'!$F326="", "", AND('ProductSprint Backlog'!$J326&gt;P$2,'ProductSprint Backlog'!$I326&lt;=P$2), 'ProductSprint Backlog'!$F326 / MAX(1, 'ProductSprint Backlog'!$J326-'ProductSprint Backlog'!$I326), AND('ProductSprint Backlog'!$J326=P$2,'ProductSprint Backlog'!$I326=P$2), 'ProductSprint Backlog'!$F326, TRUE, 0)</f>
        <v/>
      </c>
      <c r="Q326" s="4" t="str" cm="1">
        <f t="array" ref="Q326">_xlfn.IFS('ProductSprint Backlog'!$F326="", "", AND('ProductSprint Backlog'!$J326&gt;Q$2,'ProductSprint Backlog'!$I326&lt;=Q$2), 'ProductSprint Backlog'!$F326 / MAX(1, 'ProductSprint Backlog'!$J326-'ProductSprint Backlog'!$I326), AND('ProductSprint Backlog'!$J326=Q$2,'ProductSprint Backlog'!$I326=Q$2), 'ProductSprint Backlog'!$F326, TRUE, 0)</f>
        <v/>
      </c>
    </row>
    <row r="327" spans="2:17" x14ac:dyDescent="0.2">
      <c r="B327" s="4" t="str" cm="1">
        <f t="array" ref="B327">_xlfn.IFS('ProductSprint Backlog'!$F327="", "", AND('ProductSprint Backlog'!$J327&gt;B$2,'ProductSprint Backlog'!$I327&lt;=B$2), 'ProductSprint Backlog'!$F327 / MAX(1, 'ProductSprint Backlog'!$J327-'ProductSprint Backlog'!$I327), AND('ProductSprint Backlog'!$J327=B$2,'ProductSprint Backlog'!$I327=B$2), 'ProductSprint Backlog'!$F327, TRUE, 0)</f>
        <v/>
      </c>
      <c r="C327" s="4" t="str" cm="1">
        <f t="array" ref="C327">_xlfn.IFS('ProductSprint Backlog'!$F327="", "", AND('ProductSprint Backlog'!$J327&gt;C$2,'ProductSprint Backlog'!$I327&lt;=C$2), 'ProductSprint Backlog'!$F327 / MAX(1, 'ProductSprint Backlog'!$J327-'ProductSprint Backlog'!$I327), AND('ProductSprint Backlog'!$J327=C$2,'ProductSprint Backlog'!$I327=C$2), 'ProductSprint Backlog'!$F327, TRUE, 0)</f>
        <v/>
      </c>
      <c r="D327" s="4" t="str" cm="1">
        <f t="array" ref="D327">_xlfn.IFS('ProductSprint Backlog'!$F327="", "", AND('ProductSprint Backlog'!$J327&gt;D$2,'ProductSprint Backlog'!$I327&lt;=D$2), 'ProductSprint Backlog'!$F327 / MAX(1, 'ProductSprint Backlog'!$J327-'ProductSprint Backlog'!$I327), AND('ProductSprint Backlog'!$J327=D$2,'ProductSprint Backlog'!$I327=D$2), 'ProductSprint Backlog'!$F327, TRUE, 0)</f>
        <v/>
      </c>
      <c r="E327" s="4" t="str" cm="1">
        <f t="array" ref="E327">_xlfn.IFS('ProductSprint Backlog'!$F327="", "", AND('ProductSprint Backlog'!$J327&gt;E$2,'ProductSprint Backlog'!$I327&lt;=E$2), 'ProductSprint Backlog'!$F327 / MAX(1, 'ProductSprint Backlog'!$J327-'ProductSprint Backlog'!$I327), AND('ProductSprint Backlog'!$J327=E$2,'ProductSprint Backlog'!$I327=E$2), 'ProductSprint Backlog'!$F327, TRUE, 0)</f>
        <v/>
      </c>
      <c r="F327" s="4" t="str" cm="1">
        <f t="array" ref="F327">_xlfn.IFS('ProductSprint Backlog'!$F327="", "", AND('ProductSprint Backlog'!$J327&gt;F$2,'ProductSprint Backlog'!$I327&lt;=F$2), 'ProductSprint Backlog'!$F327 / MAX(1, 'ProductSprint Backlog'!$J327-'ProductSprint Backlog'!$I327), AND('ProductSprint Backlog'!$J327=F$2,'ProductSprint Backlog'!$I327=F$2), 'ProductSprint Backlog'!$F327, TRUE, 0)</f>
        <v/>
      </c>
      <c r="G327" s="4" t="str" cm="1">
        <f t="array" ref="G327">_xlfn.IFS('ProductSprint Backlog'!$F327="", "", AND('ProductSprint Backlog'!$J327&gt;G$2,'ProductSprint Backlog'!$I327&lt;=G$2), 'ProductSprint Backlog'!$F327 / MAX(1, 'ProductSprint Backlog'!$J327-'ProductSprint Backlog'!$I327), AND('ProductSprint Backlog'!$J327=G$2,'ProductSprint Backlog'!$I327=G$2), 'ProductSprint Backlog'!$F327, TRUE, 0)</f>
        <v/>
      </c>
      <c r="H327" s="4" t="str" cm="1">
        <f t="array" ref="H327">_xlfn.IFS('ProductSprint Backlog'!$F327="", "", AND('ProductSprint Backlog'!$J327&gt;H$2,'ProductSprint Backlog'!$I327&lt;=H$2), 'ProductSprint Backlog'!$F327 / MAX(1, 'ProductSprint Backlog'!$J327-'ProductSprint Backlog'!$I327), AND('ProductSprint Backlog'!$J327=H$2,'ProductSprint Backlog'!$I327=H$2), 'ProductSprint Backlog'!$F327, TRUE, 0)</f>
        <v/>
      </c>
      <c r="I327" s="4" t="str" cm="1">
        <f t="array" ref="I327">_xlfn.IFS('ProductSprint Backlog'!$F327="", "", AND('ProductSprint Backlog'!$J327&gt;I$2,'ProductSprint Backlog'!$I327&lt;=I$2), 'ProductSprint Backlog'!$F327 / MAX(1, 'ProductSprint Backlog'!$J327-'ProductSprint Backlog'!$I327), AND('ProductSprint Backlog'!$J327=I$2,'ProductSprint Backlog'!$I327=I$2), 'ProductSprint Backlog'!$F327, TRUE, 0)</f>
        <v/>
      </c>
      <c r="J327" s="4" t="str" cm="1">
        <f t="array" ref="J327">_xlfn.IFS('ProductSprint Backlog'!$F327="", "", AND('ProductSprint Backlog'!$J327&gt;J$2,'ProductSprint Backlog'!$I327&lt;=J$2), 'ProductSprint Backlog'!$F327 / MAX(1, 'ProductSprint Backlog'!$J327-'ProductSprint Backlog'!$I327), AND('ProductSprint Backlog'!$J327=J$2,'ProductSprint Backlog'!$I327=J$2), 'ProductSprint Backlog'!$F327, TRUE, 0)</f>
        <v/>
      </c>
      <c r="K327" s="4" t="str" cm="1">
        <f t="array" ref="K327">_xlfn.IFS('ProductSprint Backlog'!$F327="", "", AND('ProductSprint Backlog'!$J327&gt;K$2,'ProductSprint Backlog'!$I327&lt;=K$2), 'ProductSprint Backlog'!$F327 / MAX(1, 'ProductSprint Backlog'!$J327-'ProductSprint Backlog'!$I327), AND('ProductSprint Backlog'!$J327=K$2,'ProductSprint Backlog'!$I327=K$2), 'ProductSprint Backlog'!$F327, TRUE, 0)</f>
        <v/>
      </c>
      <c r="L327" s="4" t="str" cm="1">
        <f t="array" ref="L327">_xlfn.IFS('ProductSprint Backlog'!$F327="", "", AND('ProductSprint Backlog'!$J327&gt;L$2,'ProductSprint Backlog'!$I327&lt;=L$2), 'ProductSprint Backlog'!$F327 / MAX(1, 'ProductSprint Backlog'!$J327-'ProductSprint Backlog'!$I327), AND('ProductSprint Backlog'!$J327=L$2,'ProductSprint Backlog'!$I327=L$2), 'ProductSprint Backlog'!$F327, TRUE, 0)</f>
        <v/>
      </c>
      <c r="M327" s="4" t="str" cm="1">
        <f t="array" ref="M327">_xlfn.IFS('ProductSprint Backlog'!$F327="", "", AND('ProductSprint Backlog'!$J327&gt;M$2,'ProductSprint Backlog'!$I327&lt;=M$2), 'ProductSprint Backlog'!$F327 / MAX(1, 'ProductSprint Backlog'!$J327-'ProductSprint Backlog'!$I327), AND('ProductSprint Backlog'!$J327=M$2,'ProductSprint Backlog'!$I327=M$2), 'ProductSprint Backlog'!$F327, TRUE, 0)</f>
        <v/>
      </c>
      <c r="N327" s="4" t="str" cm="1">
        <f t="array" ref="N327">_xlfn.IFS('ProductSprint Backlog'!$F327="", "", AND('ProductSprint Backlog'!$J327&gt;N$2,'ProductSprint Backlog'!$I327&lt;=N$2), 'ProductSprint Backlog'!$F327 / MAX(1, 'ProductSprint Backlog'!$J327-'ProductSprint Backlog'!$I327), AND('ProductSprint Backlog'!$J327=N$2,'ProductSprint Backlog'!$I327=N$2), 'ProductSprint Backlog'!$F327, TRUE, 0)</f>
        <v/>
      </c>
      <c r="O327" s="4" t="str" cm="1">
        <f t="array" ref="O327">_xlfn.IFS('ProductSprint Backlog'!$F327="", "", AND('ProductSprint Backlog'!$J327&gt;O$2,'ProductSprint Backlog'!$I327&lt;=O$2), 'ProductSprint Backlog'!$F327 / MAX(1, 'ProductSprint Backlog'!$J327-'ProductSprint Backlog'!$I327), AND('ProductSprint Backlog'!$J327=O$2,'ProductSprint Backlog'!$I327=O$2), 'ProductSprint Backlog'!$F327, TRUE, 0)</f>
        <v/>
      </c>
      <c r="P327" s="4" t="str" cm="1">
        <f t="array" ref="P327">_xlfn.IFS('ProductSprint Backlog'!$F327="", "", AND('ProductSprint Backlog'!$J327&gt;P$2,'ProductSprint Backlog'!$I327&lt;=P$2), 'ProductSprint Backlog'!$F327 / MAX(1, 'ProductSprint Backlog'!$J327-'ProductSprint Backlog'!$I327), AND('ProductSprint Backlog'!$J327=P$2,'ProductSprint Backlog'!$I327=P$2), 'ProductSprint Backlog'!$F327, TRUE, 0)</f>
        <v/>
      </c>
      <c r="Q327" s="4" t="str" cm="1">
        <f t="array" ref="Q327">_xlfn.IFS('ProductSprint Backlog'!$F327="", "", AND('ProductSprint Backlog'!$J327&gt;Q$2,'ProductSprint Backlog'!$I327&lt;=Q$2), 'ProductSprint Backlog'!$F327 / MAX(1, 'ProductSprint Backlog'!$J327-'ProductSprint Backlog'!$I327), AND('ProductSprint Backlog'!$J327=Q$2,'ProductSprint Backlog'!$I327=Q$2), 'ProductSprint Backlog'!$F327, TRUE, 0)</f>
        <v/>
      </c>
    </row>
    <row r="328" spans="2:17" x14ac:dyDescent="0.2">
      <c r="B328" s="4" t="str" cm="1">
        <f t="array" ref="B328">_xlfn.IFS('ProductSprint Backlog'!$F328="", "", AND('ProductSprint Backlog'!$J328&gt;B$2,'ProductSprint Backlog'!$I328&lt;=B$2), 'ProductSprint Backlog'!$F328 / MAX(1, 'ProductSprint Backlog'!$J328-'ProductSprint Backlog'!$I328), AND('ProductSprint Backlog'!$J328=B$2,'ProductSprint Backlog'!$I328=B$2), 'ProductSprint Backlog'!$F328, TRUE, 0)</f>
        <v/>
      </c>
      <c r="C328" s="4" t="str" cm="1">
        <f t="array" ref="C328">_xlfn.IFS('ProductSprint Backlog'!$F328="", "", AND('ProductSprint Backlog'!$J328&gt;C$2,'ProductSprint Backlog'!$I328&lt;=C$2), 'ProductSprint Backlog'!$F328 / MAX(1, 'ProductSprint Backlog'!$J328-'ProductSprint Backlog'!$I328), AND('ProductSprint Backlog'!$J328=C$2,'ProductSprint Backlog'!$I328=C$2), 'ProductSprint Backlog'!$F328, TRUE, 0)</f>
        <v/>
      </c>
      <c r="D328" s="4" t="str" cm="1">
        <f t="array" ref="D328">_xlfn.IFS('ProductSprint Backlog'!$F328="", "", AND('ProductSprint Backlog'!$J328&gt;D$2,'ProductSprint Backlog'!$I328&lt;=D$2), 'ProductSprint Backlog'!$F328 / MAX(1, 'ProductSprint Backlog'!$J328-'ProductSprint Backlog'!$I328), AND('ProductSprint Backlog'!$J328=D$2,'ProductSprint Backlog'!$I328=D$2), 'ProductSprint Backlog'!$F328, TRUE, 0)</f>
        <v/>
      </c>
      <c r="E328" s="4" t="str" cm="1">
        <f t="array" ref="E328">_xlfn.IFS('ProductSprint Backlog'!$F328="", "", AND('ProductSprint Backlog'!$J328&gt;E$2,'ProductSprint Backlog'!$I328&lt;=E$2), 'ProductSprint Backlog'!$F328 / MAX(1, 'ProductSprint Backlog'!$J328-'ProductSprint Backlog'!$I328), AND('ProductSprint Backlog'!$J328=E$2,'ProductSprint Backlog'!$I328=E$2), 'ProductSprint Backlog'!$F328, TRUE, 0)</f>
        <v/>
      </c>
      <c r="F328" s="4" t="str" cm="1">
        <f t="array" ref="F328">_xlfn.IFS('ProductSprint Backlog'!$F328="", "", AND('ProductSprint Backlog'!$J328&gt;F$2,'ProductSprint Backlog'!$I328&lt;=F$2), 'ProductSprint Backlog'!$F328 / MAX(1, 'ProductSprint Backlog'!$J328-'ProductSprint Backlog'!$I328), AND('ProductSprint Backlog'!$J328=F$2,'ProductSprint Backlog'!$I328=F$2), 'ProductSprint Backlog'!$F328, TRUE, 0)</f>
        <v/>
      </c>
      <c r="G328" s="4" t="str" cm="1">
        <f t="array" ref="G328">_xlfn.IFS('ProductSprint Backlog'!$F328="", "", AND('ProductSprint Backlog'!$J328&gt;G$2,'ProductSprint Backlog'!$I328&lt;=G$2), 'ProductSprint Backlog'!$F328 / MAX(1, 'ProductSprint Backlog'!$J328-'ProductSprint Backlog'!$I328), AND('ProductSprint Backlog'!$J328=G$2,'ProductSprint Backlog'!$I328=G$2), 'ProductSprint Backlog'!$F328, TRUE, 0)</f>
        <v/>
      </c>
      <c r="H328" s="4" t="str" cm="1">
        <f t="array" ref="H328">_xlfn.IFS('ProductSprint Backlog'!$F328="", "", AND('ProductSprint Backlog'!$J328&gt;H$2,'ProductSprint Backlog'!$I328&lt;=H$2), 'ProductSprint Backlog'!$F328 / MAX(1, 'ProductSprint Backlog'!$J328-'ProductSprint Backlog'!$I328), AND('ProductSprint Backlog'!$J328=H$2,'ProductSprint Backlog'!$I328=H$2), 'ProductSprint Backlog'!$F328, TRUE, 0)</f>
        <v/>
      </c>
      <c r="I328" s="4" t="str" cm="1">
        <f t="array" ref="I328">_xlfn.IFS('ProductSprint Backlog'!$F328="", "", AND('ProductSprint Backlog'!$J328&gt;I$2,'ProductSprint Backlog'!$I328&lt;=I$2), 'ProductSprint Backlog'!$F328 / MAX(1, 'ProductSprint Backlog'!$J328-'ProductSprint Backlog'!$I328), AND('ProductSprint Backlog'!$J328=I$2,'ProductSprint Backlog'!$I328=I$2), 'ProductSprint Backlog'!$F328, TRUE, 0)</f>
        <v/>
      </c>
      <c r="J328" s="4" t="str" cm="1">
        <f t="array" ref="J328">_xlfn.IFS('ProductSprint Backlog'!$F328="", "", AND('ProductSprint Backlog'!$J328&gt;J$2,'ProductSprint Backlog'!$I328&lt;=J$2), 'ProductSprint Backlog'!$F328 / MAX(1, 'ProductSprint Backlog'!$J328-'ProductSprint Backlog'!$I328), AND('ProductSprint Backlog'!$J328=J$2,'ProductSprint Backlog'!$I328=J$2), 'ProductSprint Backlog'!$F328, TRUE, 0)</f>
        <v/>
      </c>
      <c r="K328" s="4" t="str" cm="1">
        <f t="array" ref="K328">_xlfn.IFS('ProductSprint Backlog'!$F328="", "", AND('ProductSprint Backlog'!$J328&gt;K$2,'ProductSprint Backlog'!$I328&lt;=K$2), 'ProductSprint Backlog'!$F328 / MAX(1, 'ProductSprint Backlog'!$J328-'ProductSprint Backlog'!$I328), AND('ProductSprint Backlog'!$J328=K$2,'ProductSprint Backlog'!$I328=K$2), 'ProductSprint Backlog'!$F328, TRUE, 0)</f>
        <v/>
      </c>
      <c r="L328" s="4" t="str" cm="1">
        <f t="array" ref="L328">_xlfn.IFS('ProductSprint Backlog'!$F328="", "", AND('ProductSprint Backlog'!$J328&gt;L$2,'ProductSprint Backlog'!$I328&lt;=L$2), 'ProductSprint Backlog'!$F328 / MAX(1, 'ProductSprint Backlog'!$J328-'ProductSprint Backlog'!$I328), AND('ProductSprint Backlog'!$J328=L$2,'ProductSprint Backlog'!$I328=L$2), 'ProductSprint Backlog'!$F328, TRUE, 0)</f>
        <v/>
      </c>
      <c r="M328" s="4" t="str" cm="1">
        <f t="array" ref="M328">_xlfn.IFS('ProductSprint Backlog'!$F328="", "", AND('ProductSprint Backlog'!$J328&gt;M$2,'ProductSprint Backlog'!$I328&lt;=M$2), 'ProductSprint Backlog'!$F328 / MAX(1, 'ProductSprint Backlog'!$J328-'ProductSprint Backlog'!$I328), AND('ProductSprint Backlog'!$J328=M$2,'ProductSprint Backlog'!$I328=M$2), 'ProductSprint Backlog'!$F328, TRUE, 0)</f>
        <v/>
      </c>
      <c r="N328" s="4" t="str" cm="1">
        <f t="array" ref="N328">_xlfn.IFS('ProductSprint Backlog'!$F328="", "", AND('ProductSprint Backlog'!$J328&gt;N$2,'ProductSprint Backlog'!$I328&lt;=N$2), 'ProductSprint Backlog'!$F328 / MAX(1, 'ProductSprint Backlog'!$J328-'ProductSprint Backlog'!$I328), AND('ProductSprint Backlog'!$J328=N$2,'ProductSprint Backlog'!$I328=N$2), 'ProductSprint Backlog'!$F328, TRUE, 0)</f>
        <v/>
      </c>
      <c r="O328" s="4" t="str" cm="1">
        <f t="array" ref="O328">_xlfn.IFS('ProductSprint Backlog'!$F328="", "", AND('ProductSprint Backlog'!$J328&gt;O$2,'ProductSprint Backlog'!$I328&lt;=O$2), 'ProductSprint Backlog'!$F328 / MAX(1, 'ProductSprint Backlog'!$J328-'ProductSprint Backlog'!$I328), AND('ProductSprint Backlog'!$J328=O$2,'ProductSprint Backlog'!$I328=O$2), 'ProductSprint Backlog'!$F328, TRUE, 0)</f>
        <v/>
      </c>
      <c r="P328" s="4" t="str" cm="1">
        <f t="array" ref="P328">_xlfn.IFS('ProductSprint Backlog'!$F328="", "", AND('ProductSprint Backlog'!$J328&gt;P$2,'ProductSprint Backlog'!$I328&lt;=P$2), 'ProductSprint Backlog'!$F328 / MAX(1, 'ProductSprint Backlog'!$J328-'ProductSprint Backlog'!$I328), AND('ProductSprint Backlog'!$J328=P$2,'ProductSprint Backlog'!$I328=P$2), 'ProductSprint Backlog'!$F328, TRUE, 0)</f>
        <v/>
      </c>
      <c r="Q328" s="4" t="str" cm="1">
        <f t="array" ref="Q328">_xlfn.IFS('ProductSprint Backlog'!$F328="", "", AND('ProductSprint Backlog'!$J328&gt;Q$2,'ProductSprint Backlog'!$I328&lt;=Q$2), 'ProductSprint Backlog'!$F328 / MAX(1, 'ProductSprint Backlog'!$J328-'ProductSprint Backlog'!$I328), AND('ProductSprint Backlog'!$J328=Q$2,'ProductSprint Backlog'!$I328=Q$2), 'ProductSprint Backlog'!$F328, TRUE, 0)</f>
        <v/>
      </c>
    </row>
    <row r="329" spans="2:17" x14ac:dyDescent="0.2">
      <c r="B329" s="4" t="str" cm="1">
        <f t="array" ref="B329">_xlfn.IFS('ProductSprint Backlog'!$F329="", "", AND('ProductSprint Backlog'!$J329&gt;B$2,'ProductSprint Backlog'!$I329&lt;=B$2), 'ProductSprint Backlog'!$F329 / MAX(1, 'ProductSprint Backlog'!$J329-'ProductSprint Backlog'!$I329), AND('ProductSprint Backlog'!$J329=B$2,'ProductSprint Backlog'!$I329=B$2), 'ProductSprint Backlog'!$F329, TRUE, 0)</f>
        <v/>
      </c>
      <c r="C329" s="4" t="str" cm="1">
        <f t="array" ref="C329">_xlfn.IFS('ProductSprint Backlog'!$F329="", "", AND('ProductSprint Backlog'!$J329&gt;C$2,'ProductSprint Backlog'!$I329&lt;=C$2), 'ProductSprint Backlog'!$F329 / MAX(1, 'ProductSprint Backlog'!$J329-'ProductSprint Backlog'!$I329), AND('ProductSprint Backlog'!$J329=C$2,'ProductSprint Backlog'!$I329=C$2), 'ProductSprint Backlog'!$F329, TRUE, 0)</f>
        <v/>
      </c>
      <c r="D329" s="4" t="str" cm="1">
        <f t="array" ref="D329">_xlfn.IFS('ProductSprint Backlog'!$F329="", "", AND('ProductSprint Backlog'!$J329&gt;D$2,'ProductSprint Backlog'!$I329&lt;=D$2), 'ProductSprint Backlog'!$F329 / MAX(1, 'ProductSprint Backlog'!$J329-'ProductSprint Backlog'!$I329), AND('ProductSprint Backlog'!$J329=D$2,'ProductSprint Backlog'!$I329=D$2), 'ProductSprint Backlog'!$F329, TRUE, 0)</f>
        <v/>
      </c>
      <c r="E329" s="4" t="str" cm="1">
        <f t="array" ref="E329">_xlfn.IFS('ProductSprint Backlog'!$F329="", "", AND('ProductSprint Backlog'!$J329&gt;E$2,'ProductSprint Backlog'!$I329&lt;=E$2), 'ProductSprint Backlog'!$F329 / MAX(1, 'ProductSprint Backlog'!$J329-'ProductSprint Backlog'!$I329), AND('ProductSprint Backlog'!$J329=E$2,'ProductSprint Backlog'!$I329=E$2), 'ProductSprint Backlog'!$F329, TRUE, 0)</f>
        <v/>
      </c>
      <c r="F329" s="4" t="str" cm="1">
        <f t="array" ref="F329">_xlfn.IFS('ProductSprint Backlog'!$F329="", "", AND('ProductSprint Backlog'!$J329&gt;F$2,'ProductSprint Backlog'!$I329&lt;=F$2), 'ProductSprint Backlog'!$F329 / MAX(1, 'ProductSprint Backlog'!$J329-'ProductSprint Backlog'!$I329), AND('ProductSprint Backlog'!$J329=F$2,'ProductSprint Backlog'!$I329=F$2), 'ProductSprint Backlog'!$F329, TRUE, 0)</f>
        <v/>
      </c>
      <c r="G329" s="4" t="str" cm="1">
        <f t="array" ref="G329">_xlfn.IFS('ProductSprint Backlog'!$F329="", "", AND('ProductSprint Backlog'!$J329&gt;G$2,'ProductSprint Backlog'!$I329&lt;=G$2), 'ProductSprint Backlog'!$F329 / MAX(1, 'ProductSprint Backlog'!$J329-'ProductSprint Backlog'!$I329), AND('ProductSprint Backlog'!$J329=G$2,'ProductSprint Backlog'!$I329=G$2), 'ProductSprint Backlog'!$F329, TRUE, 0)</f>
        <v/>
      </c>
      <c r="H329" s="4" t="str" cm="1">
        <f t="array" ref="H329">_xlfn.IFS('ProductSprint Backlog'!$F329="", "", AND('ProductSprint Backlog'!$J329&gt;H$2,'ProductSprint Backlog'!$I329&lt;=H$2), 'ProductSprint Backlog'!$F329 / MAX(1, 'ProductSprint Backlog'!$J329-'ProductSprint Backlog'!$I329), AND('ProductSprint Backlog'!$J329=H$2,'ProductSprint Backlog'!$I329=H$2), 'ProductSprint Backlog'!$F329, TRUE, 0)</f>
        <v/>
      </c>
      <c r="I329" s="4" t="str" cm="1">
        <f t="array" ref="I329">_xlfn.IFS('ProductSprint Backlog'!$F329="", "", AND('ProductSprint Backlog'!$J329&gt;I$2,'ProductSprint Backlog'!$I329&lt;=I$2), 'ProductSprint Backlog'!$F329 / MAX(1, 'ProductSprint Backlog'!$J329-'ProductSprint Backlog'!$I329), AND('ProductSprint Backlog'!$J329=I$2,'ProductSprint Backlog'!$I329=I$2), 'ProductSprint Backlog'!$F329, TRUE, 0)</f>
        <v/>
      </c>
      <c r="J329" s="4" t="str" cm="1">
        <f t="array" ref="J329">_xlfn.IFS('ProductSprint Backlog'!$F329="", "", AND('ProductSprint Backlog'!$J329&gt;J$2,'ProductSprint Backlog'!$I329&lt;=J$2), 'ProductSprint Backlog'!$F329 / MAX(1, 'ProductSprint Backlog'!$J329-'ProductSprint Backlog'!$I329), AND('ProductSprint Backlog'!$J329=J$2,'ProductSprint Backlog'!$I329=J$2), 'ProductSprint Backlog'!$F329, TRUE, 0)</f>
        <v/>
      </c>
      <c r="K329" s="4" t="str" cm="1">
        <f t="array" ref="K329">_xlfn.IFS('ProductSprint Backlog'!$F329="", "", AND('ProductSprint Backlog'!$J329&gt;K$2,'ProductSprint Backlog'!$I329&lt;=K$2), 'ProductSprint Backlog'!$F329 / MAX(1, 'ProductSprint Backlog'!$J329-'ProductSprint Backlog'!$I329), AND('ProductSprint Backlog'!$J329=K$2,'ProductSprint Backlog'!$I329=K$2), 'ProductSprint Backlog'!$F329, TRUE, 0)</f>
        <v/>
      </c>
      <c r="L329" s="4" t="str" cm="1">
        <f t="array" ref="L329">_xlfn.IFS('ProductSprint Backlog'!$F329="", "", AND('ProductSprint Backlog'!$J329&gt;L$2,'ProductSprint Backlog'!$I329&lt;=L$2), 'ProductSprint Backlog'!$F329 / MAX(1, 'ProductSprint Backlog'!$J329-'ProductSprint Backlog'!$I329), AND('ProductSprint Backlog'!$J329=L$2,'ProductSprint Backlog'!$I329=L$2), 'ProductSprint Backlog'!$F329, TRUE, 0)</f>
        <v/>
      </c>
      <c r="M329" s="4" t="str" cm="1">
        <f t="array" ref="M329">_xlfn.IFS('ProductSprint Backlog'!$F329="", "", AND('ProductSprint Backlog'!$J329&gt;M$2,'ProductSprint Backlog'!$I329&lt;=M$2), 'ProductSprint Backlog'!$F329 / MAX(1, 'ProductSprint Backlog'!$J329-'ProductSprint Backlog'!$I329), AND('ProductSprint Backlog'!$J329=M$2,'ProductSprint Backlog'!$I329=M$2), 'ProductSprint Backlog'!$F329, TRUE, 0)</f>
        <v/>
      </c>
      <c r="N329" s="4" t="str" cm="1">
        <f t="array" ref="N329">_xlfn.IFS('ProductSprint Backlog'!$F329="", "", AND('ProductSprint Backlog'!$J329&gt;N$2,'ProductSprint Backlog'!$I329&lt;=N$2), 'ProductSprint Backlog'!$F329 / MAX(1, 'ProductSprint Backlog'!$J329-'ProductSprint Backlog'!$I329), AND('ProductSprint Backlog'!$J329=N$2,'ProductSprint Backlog'!$I329=N$2), 'ProductSprint Backlog'!$F329, TRUE, 0)</f>
        <v/>
      </c>
      <c r="O329" s="4" t="str" cm="1">
        <f t="array" ref="O329">_xlfn.IFS('ProductSprint Backlog'!$F329="", "", AND('ProductSprint Backlog'!$J329&gt;O$2,'ProductSprint Backlog'!$I329&lt;=O$2), 'ProductSprint Backlog'!$F329 / MAX(1, 'ProductSprint Backlog'!$J329-'ProductSprint Backlog'!$I329), AND('ProductSprint Backlog'!$J329=O$2,'ProductSprint Backlog'!$I329=O$2), 'ProductSprint Backlog'!$F329, TRUE, 0)</f>
        <v/>
      </c>
      <c r="P329" s="4" t="str" cm="1">
        <f t="array" ref="P329">_xlfn.IFS('ProductSprint Backlog'!$F329="", "", AND('ProductSprint Backlog'!$J329&gt;P$2,'ProductSprint Backlog'!$I329&lt;=P$2), 'ProductSprint Backlog'!$F329 / MAX(1, 'ProductSprint Backlog'!$J329-'ProductSprint Backlog'!$I329), AND('ProductSprint Backlog'!$J329=P$2,'ProductSprint Backlog'!$I329=P$2), 'ProductSprint Backlog'!$F329, TRUE, 0)</f>
        <v/>
      </c>
      <c r="Q329" s="4" t="str" cm="1">
        <f t="array" ref="Q329">_xlfn.IFS('ProductSprint Backlog'!$F329="", "", AND('ProductSprint Backlog'!$J329&gt;Q$2,'ProductSprint Backlog'!$I329&lt;=Q$2), 'ProductSprint Backlog'!$F329 / MAX(1, 'ProductSprint Backlog'!$J329-'ProductSprint Backlog'!$I329), AND('ProductSprint Backlog'!$J329=Q$2,'ProductSprint Backlog'!$I329=Q$2), 'ProductSprint Backlog'!$F329, TRUE, 0)</f>
        <v/>
      </c>
    </row>
    <row r="330" spans="2:17" x14ac:dyDescent="0.2">
      <c r="B330" s="4" t="str" cm="1">
        <f t="array" ref="B330">_xlfn.IFS('ProductSprint Backlog'!$F330="", "", AND('ProductSprint Backlog'!$J330&gt;B$2,'ProductSprint Backlog'!$I330&lt;=B$2), 'ProductSprint Backlog'!$F330 / MAX(1, 'ProductSprint Backlog'!$J330-'ProductSprint Backlog'!$I330), AND('ProductSprint Backlog'!$J330=B$2,'ProductSprint Backlog'!$I330=B$2), 'ProductSprint Backlog'!$F330, TRUE, 0)</f>
        <v/>
      </c>
      <c r="C330" s="4" t="str" cm="1">
        <f t="array" ref="C330">_xlfn.IFS('ProductSprint Backlog'!$F330="", "", AND('ProductSprint Backlog'!$J330&gt;C$2,'ProductSprint Backlog'!$I330&lt;=C$2), 'ProductSprint Backlog'!$F330 / MAX(1, 'ProductSprint Backlog'!$J330-'ProductSprint Backlog'!$I330), AND('ProductSprint Backlog'!$J330=C$2,'ProductSprint Backlog'!$I330=C$2), 'ProductSprint Backlog'!$F330, TRUE, 0)</f>
        <v/>
      </c>
      <c r="D330" s="4" t="str" cm="1">
        <f t="array" ref="D330">_xlfn.IFS('ProductSprint Backlog'!$F330="", "", AND('ProductSprint Backlog'!$J330&gt;D$2,'ProductSprint Backlog'!$I330&lt;=D$2), 'ProductSprint Backlog'!$F330 / MAX(1, 'ProductSprint Backlog'!$J330-'ProductSprint Backlog'!$I330), AND('ProductSprint Backlog'!$J330=D$2,'ProductSprint Backlog'!$I330=D$2), 'ProductSprint Backlog'!$F330, TRUE, 0)</f>
        <v/>
      </c>
      <c r="E330" s="4" t="str" cm="1">
        <f t="array" ref="E330">_xlfn.IFS('ProductSprint Backlog'!$F330="", "", AND('ProductSprint Backlog'!$J330&gt;E$2,'ProductSprint Backlog'!$I330&lt;=E$2), 'ProductSprint Backlog'!$F330 / MAX(1, 'ProductSprint Backlog'!$J330-'ProductSprint Backlog'!$I330), AND('ProductSprint Backlog'!$J330=E$2,'ProductSprint Backlog'!$I330=E$2), 'ProductSprint Backlog'!$F330, TRUE, 0)</f>
        <v/>
      </c>
      <c r="F330" s="4" t="str" cm="1">
        <f t="array" ref="F330">_xlfn.IFS('ProductSprint Backlog'!$F330="", "", AND('ProductSprint Backlog'!$J330&gt;F$2,'ProductSprint Backlog'!$I330&lt;=F$2), 'ProductSprint Backlog'!$F330 / MAX(1, 'ProductSprint Backlog'!$J330-'ProductSprint Backlog'!$I330), AND('ProductSprint Backlog'!$J330=F$2,'ProductSprint Backlog'!$I330=F$2), 'ProductSprint Backlog'!$F330, TRUE, 0)</f>
        <v/>
      </c>
      <c r="G330" s="4" t="str" cm="1">
        <f t="array" ref="G330">_xlfn.IFS('ProductSprint Backlog'!$F330="", "", AND('ProductSprint Backlog'!$J330&gt;G$2,'ProductSprint Backlog'!$I330&lt;=G$2), 'ProductSprint Backlog'!$F330 / MAX(1, 'ProductSprint Backlog'!$J330-'ProductSprint Backlog'!$I330), AND('ProductSprint Backlog'!$J330=G$2,'ProductSprint Backlog'!$I330=G$2), 'ProductSprint Backlog'!$F330, TRUE, 0)</f>
        <v/>
      </c>
      <c r="H330" s="4" t="str" cm="1">
        <f t="array" ref="H330">_xlfn.IFS('ProductSprint Backlog'!$F330="", "", AND('ProductSprint Backlog'!$J330&gt;H$2,'ProductSprint Backlog'!$I330&lt;=H$2), 'ProductSprint Backlog'!$F330 / MAX(1, 'ProductSprint Backlog'!$J330-'ProductSprint Backlog'!$I330), AND('ProductSprint Backlog'!$J330=H$2,'ProductSprint Backlog'!$I330=H$2), 'ProductSprint Backlog'!$F330, TRUE, 0)</f>
        <v/>
      </c>
      <c r="I330" s="4" t="str" cm="1">
        <f t="array" ref="I330">_xlfn.IFS('ProductSprint Backlog'!$F330="", "", AND('ProductSprint Backlog'!$J330&gt;I$2,'ProductSprint Backlog'!$I330&lt;=I$2), 'ProductSprint Backlog'!$F330 / MAX(1, 'ProductSprint Backlog'!$J330-'ProductSprint Backlog'!$I330), AND('ProductSprint Backlog'!$J330=I$2,'ProductSprint Backlog'!$I330=I$2), 'ProductSprint Backlog'!$F330, TRUE, 0)</f>
        <v/>
      </c>
      <c r="J330" s="4" t="str" cm="1">
        <f t="array" ref="J330">_xlfn.IFS('ProductSprint Backlog'!$F330="", "", AND('ProductSprint Backlog'!$J330&gt;J$2,'ProductSprint Backlog'!$I330&lt;=J$2), 'ProductSprint Backlog'!$F330 / MAX(1, 'ProductSprint Backlog'!$J330-'ProductSprint Backlog'!$I330), AND('ProductSprint Backlog'!$J330=J$2,'ProductSprint Backlog'!$I330=J$2), 'ProductSprint Backlog'!$F330, TRUE, 0)</f>
        <v/>
      </c>
      <c r="K330" s="4" t="str" cm="1">
        <f t="array" ref="K330">_xlfn.IFS('ProductSprint Backlog'!$F330="", "", AND('ProductSprint Backlog'!$J330&gt;K$2,'ProductSprint Backlog'!$I330&lt;=K$2), 'ProductSprint Backlog'!$F330 / MAX(1, 'ProductSprint Backlog'!$J330-'ProductSprint Backlog'!$I330), AND('ProductSprint Backlog'!$J330=K$2,'ProductSprint Backlog'!$I330=K$2), 'ProductSprint Backlog'!$F330, TRUE, 0)</f>
        <v/>
      </c>
      <c r="L330" s="4" t="str" cm="1">
        <f t="array" ref="L330">_xlfn.IFS('ProductSprint Backlog'!$F330="", "", AND('ProductSprint Backlog'!$J330&gt;L$2,'ProductSprint Backlog'!$I330&lt;=L$2), 'ProductSprint Backlog'!$F330 / MAX(1, 'ProductSprint Backlog'!$J330-'ProductSprint Backlog'!$I330), AND('ProductSprint Backlog'!$J330=L$2,'ProductSprint Backlog'!$I330=L$2), 'ProductSprint Backlog'!$F330, TRUE, 0)</f>
        <v/>
      </c>
      <c r="M330" s="4" t="str" cm="1">
        <f t="array" ref="M330">_xlfn.IFS('ProductSprint Backlog'!$F330="", "", AND('ProductSprint Backlog'!$J330&gt;M$2,'ProductSprint Backlog'!$I330&lt;=M$2), 'ProductSprint Backlog'!$F330 / MAX(1, 'ProductSprint Backlog'!$J330-'ProductSprint Backlog'!$I330), AND('ProductSprint Backlog'!$J330=M$2,'ProductSprint Backlog'!$I330=M$2), 'ProductSprint Backlog'!$F330, TRUE, 0)</f>
        <v/>
      </c>
      <c r="N330" s="4" t="str" cm="1">
        <f t="array" ref="N330">_xlfn.IFS('ProductSprint Backlog'!$F330="", "", AND('ProductSprint Backlog'!$J330&gt;N$2,'ProductSprint Backlog'!$I330&lt;=N$2), 'ProductSprint Backlog'!$F330 / MAX(1, 'ProductSprint Backlog'!$J330-'ProductSprint Backlog'!$I330), AND('ProductSprint Backlog'!$J330=N$2,'ProductSprint Backlog'!$I330=N$2), 'ProductSprint Backlog'!$F330, TRUE, 0)</f>
        <v/>
      </c>
      <c r="O330" s="4" t="str" cm="1">
        <f t="array" ref="O330">_xlfn.IFS('ProductSprint Backlog'!$F330="", "", AND('ProductSprint Backlog'!$J330&gt;O$2,'ProductSprint Backlog'!$I330&lt;=O$2), 'ProductSprint Backlog'!$F330 / MAX(1, 'ProductSprint Backlog'!$J330-'ProductSprint Backlog'!$I330), AND('ProductSprint Backlog'!$J330=O$2,'ProductSprint Backlog'!$I330=O$2), 'ProductSprint Backlog'!$F330, TRUE, 0)</f>
        <v/>
      </c>
      <c r="P330" s="4" t="str" cm="1">
        <f t="array" ref="P330">_xlfn.IFS('ProductSprint Backlog'!$F330="", "", AND('ProductSprint Backlog'!$J330&gt;P$2,'ProductSprint Backlog'!$I330&lt;=P$2), 'ProductSprint Backlog'!$F330 / MAX(1, 'ProductSprint Backlog'!$J330-'ProductSprint Backlog'!$I330), AND('ProductSprint Backlog'!$J330=P$2,'ProductSprint Backlog'!$I330=P$2), 'ProductSprint Backlog'!$F330, TRUE, 0)</f>
        <v/>
      </c>
      <c r="Q330" s="4" t="str" cm="1">
        <f t="array" ref="Q330">_xlfn.IFS('ProductSprint Backlog'!$F330="", "", AND('ProductSprint Backlog'!$J330&gt;Q$2,'ProductSprint Backlog'!$I330&lt;=Q$2), 'ProductSprint Backlog'!$F330 / MAX(1, 'ProductSprint Backlog'!$J330-'ProductSprint Backlog'!$I330), AND('ProductSprint Backlog'!$J330=Q$2,'ProductSprint Backlog'!$I330=Q$2), 'ProductSprint Backlog'!$F330, TRUE, 0)</f>
        <v/>
      </c>
    </row>
    <row r="331" spans="2:17" x14ac:dyDescent="0.2">
      <c r="B331" s="4" t="str" cm="1">
        <f t="array" ref="B331">_xlfn.IFS('ProductSprint Backlog'!$F331="", "", AND('ProductSprint Backlog'!$J331&gt;B$2,'ProductSprint Backlog'!$I331&lt;=B$2), 'ProductSprint Backlog'!$F331 / MAX(1, 'ProductSprint Backlog'!$J331-'ProductSprint Backlog'!$I331), AND('ProductSprint Backlog'!$J331=B$2,'ProductSprint Backlog'!$I331=B$2), 'ProductSprint Backlog'!$F331, TRUE, 0)</f>
        <v/>
      </c>
      <c r="C331" s="4" t="str" cm="1">
        <f t="array" ref="C331">_xlfn.IFS('ProductSprint Backlog'!$F331="", "", AND('ProductSprint Backlog'!$J331&gt;C$2,'ProductSprint Backlog'!$I331&lt;=C$2), 'ProductSprint Backlog'!$F331 / MAX(1, 'ProductSprint Backlog'!$J331-'ProductSprint Backlog'!$I331), AND('ProductSprint Backlog'!$J331=C$2,'ProductSprint Backlog'!$I331=C$2), 'ProductSprint Backlog'!$F331, TRUE, 0)</f>
        <v/>
      </c>
      <c r="D331" s="4" t="str" cm="1">
        <f t="array" ref="D331">_xlfn.IFS('ProductSprint Backlog'!$F331="", "", AND('ProductSprint Backlog'!$J331&gt;D$2,'ProductSprint Backlog'!$I331&lt;=D$2), 'ProductSprint Backlog'!$F331 / MAX(1, 'ProductSprint Backlog'!$J331-'ProductSprint Backlog'!$I331), AND('ProductSprint Backlog'!$J331=D$2,'ProductSprint Backlog'!$I331=D$2), 'ProductSprint Backlog'!$F331, TRUE, 0)</f>
        <v/>
      </c>
      <c r="E331" s="4" t="str" cm="1">
        <f t="array" ref="E331">_xlfn.IFS('ProductSprint Backlog'!$F331="", "", AND('ProductSprint Backlog'!$J331&gt;E$2,'ProductSprint Backlog'!$I331&lt;=E$2), 'ProductSprint Backlog'!$F331 / MAX(1, 'ProductSprint Backlog'!$J331-'ProductSprint Backlog'!$I331), AND('ProductSprint Backlog'!$J331=E$2,'ProductSprint Backlog'!$I331=E$2), 'ProductSprint Backlog'!$F331, TRUE, 0)</f>
        <v/>
      </c>
      <c r="F331" s="4" t="str" cm="1">
        <f t="array" ref="F331">_xlfn.IFS('ProductSprint Backlog'!$F331="", "", AND('ProductSprint Backlog'!$J331&gt;F$2,'ProductSprint Backlog'!$I331&lt;=F$2), 'ProductSprint Backlog'!$F331 / MAX(1, 'ProductSprint Backlog'!$J331-'ProductSprint Backlog'!$I331), AND('ProductSprint Backlog'!$J331=F$2,'ProductSprint Backlog'!$I331=F$2), 'ProductSprint Backlog'!$F331, TRUE, 0)</f>
        <v/>
      </c>
      <c r="G331" s="4" t="str" cm="1">
        <f t="array" ref="G331">_xlfn.IFS('ProductSprint Backlog'!$F331="", "", AND('ProductSprint Backlog'!$J331&gt;G$2,'ProductSprint Backlog'!$I331&lt;=G$2), 'ProductSprint Backlog'!$F331 / MAX(1, 'ProductSprint Backlog'!$J331-'ProductSprint Backlog'!$I331), AND('ProductSprint Backlog'!$J331=G$2,'ProductSprint Backlog'!$I331=G$2), 'ProductSprint Backlog'!$F331, TRUE, 0)</f>
        <v/>
      </c>
      <c r="H331" s="4" t="str" cm="1">
        <f t="array" ref="H331">_xlfn.IFS('ProductSprint Backlog'!$F331="", "", AND('ProductSprint Backlog'!$J331&gt;H$2,'ProductSprint Backlog'!$I331&lt;=H$2), 'ProductSprint Backlog'!$F331 / MAX(1, 'ProductSprint Backlog'!$J331-'ProductSprint Backlog'!$I331), AND('ProductSprint Backlog'!$J331=H$2,'ProductSprint Backlog'!$I331=H$2), 'ProductSprint Backlog'!$F331, TRUE, 0)</f>
        <v/>
      </c>
      <c r="I331" s="4" t="str" cm="1">
        <f t="array" ref="I331">_xlfn.IFS('ProductSprint Backlog'!$F331="", "", AND('ProductSprint Backlog'!$J331&gt;I$2,'ProductSprint Backlog'!$I331&lt;=I$2), 'ProductSprint Backlog'!$F331 / MAX(1, 'ProductSprint Backlog'!$J331-'ProductSprint Backlog'!$I331), AND('ProductSprint Backlog'!$J331=I$2,'ProductSprint Backlog'!$I331=I$2), 'ProductSprint Backlog'!$F331, TRUE, 0)</f>
        <v/>
      </c>
      <c r="J331" s="4" t="str" cm="1">
        <f t="array" ref="J331">_xlfn.IFS('ProductSprint Backlog'!$F331="", "", AND('ProductSprint Backlog'!$J331&gt;J$2,'ProductSprint Backlog'!$I331&lt;=J$2), 'ProductSprint Backlog'!$F331 / MAX(1, 'ProductSprint Backlog'!$J331-'ProductSprint Backlog'!$I331), AND('ProductSprint Backlog'!$J331=J$2,'ProductSprint Backlog'!$I331=J$2), 'ProductSprint Backlog'!$F331, TRUE, 0)</f>
        <v/>
      </c>
      <c r="K331" s="4" t="str" cm="1">
        <f t="array" ref="K331">_xlfn.IFS('ProductSprint Backlog'!$F331="", "", AND('ProductSprint Backlog'!$J331&gt;K$2,'ProductSprint Backlog'!$I331&lt;=K$2), 'ProductSprint Backlog'!$F331 / MAX(1, 'ProductSprint Backlog'!$J331-'ProductSprint Backlog'!$I331), AND('ProductSprint Backlog'!$J331=K$2,'ProductSprint Backlog'!$I331=K$2), 'ProductSprint Backlog'!$F331, TRUE, 0)</f>
        <v/>
      </c>
      <c r="L331" s="4" t="str" cm="1">
        <f t="array" ref="L331">_xlfn.IFS('ProductSprint Backlog'!$F331="", "", AND('ProductSprint Backlog'!$J331&gt;L$2,'ProductSprint Backlog'!$I331&lt;=L$2), 'ProductSprint Backlog'!$F331 / MAX(1, 'ProductSprint Backlog'!$J331-'ProductSprint Backlog'!$I331), AND('ProductSprint Backlog'!$J331=L$2,'ProductSprint Backlog'!$I331=L$2), 'ProductSprint Backlog'!$F331, TRUE, 0)</f>
        <v/>
      </c>
      <c r="M331" s="4" t="str" cm="1">
        <f t="array" ref="M331">_xlfn.IFS('ProductSprint Backlog'!$F331="", "", AND('ProductSprint Backlog'!$J331&gt;M$2,'ProductSprint Backlog'!$I331&lt;=M$2), 'ProductSprint Backlog'!$F331 / MAX(1, 'ProductSprint Backlog'!$J331-'ProductSprint Backlog'!$I331), AND('ProductSprint Backlog'!$J331=M$2,'ProductSprint Backlog'!$I331=M$2), 'ProductSprint Backlog'!$F331, TRUE, 0)</f>
        <v/>
      </c>
      <c r="N331" s="4" t="str" cm="1">
        <f t="array" ref="N331">_xlfn.IFS('ProductSprint Backlog'!$F331="", "", AND('ProductSprint Backlog'!$J331&gt;N$2,'ProductSprint Backlog'!$I331&lt;=N$2), 'ProductSprint Backlog'!$F331 / MAX(1, 'ProductSprint Backlog'!$J331-'ProductSprint Backlog'!$I331), AND('ProductSprint Backlog'!$J331=N$2,'ProductSprint Backlog'!$I331=N$2), 'ProductSprint Backlog'!$F331, TRUE, 0)</f>
        <v/>
      </c>
      <c r="O331" s="4" t="str" cm="1">
        <f t="array" ref="O331">_xlfn.IFS('ProductSprint Backlog'!$F331="", "", AND('ProductSprint Backlog'!$J331&gt;O$2,'ProductSprint Backlog'!$I331&lt;=O$2), 'ProductSprint Backlog'!$F331 / MAX(1, 'ProductSprint Backlog'!$J331-'ProductSprint Backlog'!$I331), AND('ProductSprint Backlog'!$J331=O$2,'ProductSprint Backlog'!$I331=O$2), 'ProductSprint Backlog'!$F331, TRUE, 0)</f>
        <v/>
      </c>
      <c r="P331" s="4" t="str" cm="1">
        <f t="array" ref="P331">_xlfn.IFS('ProductSprint Backlog'!$F331="", "", AND('ProductSprint Backlog'!$J331&gt;P$2,'ProductSprint Backlog'!$I331&lt;=P$2), 'ProductSprint Backlog'!$F331 / MAX(1, 'ProductSprint Backlog'!$J331-'ProductSprint Backlog'!$I331), AND('ProductSprint Backlog'!$J331=P$2,'ProductSprint Backlog'!$I331=P$2), 'ProductSprint Backlog'!$F331, TRUE, 0)</f>
        <v/>
      </c>
      <c r="Q331" s="4" t="str" cm="1">
        <f t="array" ref="Q331">_xlfn.IFS('ProductSprint Backlog'!$F331="", "", AND('ProductSprint Backlog'!$J331&gt;Q$2,'ProductSprint Backlog'!$I331&lt;=Q$2), 'ProductSprint Backlog'!$F331 / MAX(1, 'ProductSprint Backlog'!$J331-'ProductSprint Backlog'!$I331), AND('ProductSprint Backlog'!$J331=Q$2,'ProductSprint Backlog'!$I331=Q$2), 'ProductSprint Backlog'!$F331, TRUE, 0)</f>
        <v/>
      </c>
    </row>
    <row r="332" spans="2:17" x14ac:dyDescent="0.2">
      <c r="B332" s="4" t="str" cm="1">
        <f t="array" ref="B332">_xlfn.IFS('ProductSprint Backlog'!$F332="", "", AND('ProductSprint Backlog'!$J332&gt;B$2,'ProductSprint Backlog'!$I332&lt;=B$2), 'ProductSprint Backlog'!$F332 / MAX(1, 'ProductSprint Backlog'!$J332-'ProductSprint Backlog'!$I332), AND('ProductSprint Backlog'!$J332=B$2,'ProductSprint Backlog'!$I332=B$2), 'ProductSprint Backlog'!$F332, TRUE, 0)</f>
        <v/>
      </c>
      <c r="C332" s="4" t="str" cm="1">
        <f t="array" ref="C332">_xlfn.IFS('ProductSprint Backlog'!$F332="", "", AND('ProductSprint Backlog'!$J332&gt;C$2,'ProductSprint Backlog'!$I332&lt;=C$2), 'ProductSprint Backlog'!$F332 / MAX(1, 'ProductSprint Backlog'!$J332-'ProductSprint Backlog'!$I332), AND('ProductSprint Backlog'!$J332=C$2,'ProductSprint Backlog'!$I332=C$2), 'ProductSprint Backlog'!$F332, TRUE, 0)</f>
        <v/>
      </c>
      <c r="D332" s="4" t="str" cm="1">
        <f t="array" ref="D332">_xlfn.IFS('ProductSprint Backlog'!$F332="", "", AND('ProductSprint Backlog'!$J332&gt;D$2,'ProductSprint Backlog'!$I332&lt;=D$2), 'ProductSprint Backlog'!$F332 / MAX(1, 'ProductSprint Backlog'!$J332-'ProductSprint Backlog'!$I332), AND('ProductSprint Backlog'!$J332=D$2,'ProductSprint Backlog'!$I332=D$2), 'ProductSprint Backlog'!$F332, TRUE, 0)</f>
        <v/>
      </c>
      <c r="E332" s="4" t="str" cm="1">
        <f t="array" ref="E332">_xlfn.IFS('ProductSprint Backlog'!$F332="", "", AND('ProductSprint Backlog'!$J332&gt;E$2,'ProductSprint Backlog'!$I332&lt;=E$2), 'ProductSprint Backlog'!$F332 / MAX(1, 'ProductSprint Backlog'!$J332-'ProductSprint Backlog'!$I332), AND('ProductSprint Backlog'!$J332=E$2,'ProductSprint Backlog'!$I332=E$2), 'ProductSprint Backlog'!$F332, TRUE, 0)</f>
        <v/>
      </c>
      <c r="F332" s="4" t="str" cm="1">
        <f t="array" ref="F332">_xlfn.IFS('ProductSprint Backlog'!$F332="", "", AND('ProductSprint Backlog'!$J332&gt;F$2,'ProductSprint Backlog'!$I332&lt;=F$2), 'ProductSprint Backlog'!$F332 / MAX(1, 'ProductSprint Backlog'!$J332-'ProductSprint Backlog'!$I332), AND('ProductSprint Backlog'!$J332=F$2,'ProductSprint Backlog'!$I332=F$2), 'ProductSprint Backlog'!$F332, TRUE, 0)</f>
        <v/>
      </c>
      <c r="G332" s="4" t="str" cm="1">
        <f t="array" ref="G332">_xlfn.IFS('ProductSprint Backlog'!$F332="", "", AND('ProductSprint Backlog'!$J332&gt;G$2,'ProductSprint Backlog'!$I332&lt;=G$2), 'ProductSprint Backlog'!$F332 / MAX(1, 'ProductSprint Backlog'!$J332-'ProductSprint Backlog'!$I332), AND('ProductSprint Backlog'!$J332=G$2,'ProductSprint Backlog'!$I332=G$2), 'ProductSprint Backlog'!$F332, TRUE, 0)</f>
        <v/>
      </c>
      <c r="H332" s="4" t="str" cm="1">
        <f t="array" ref="H332">_xlfn.IFS('ProductSprint Backlog'!$F332="", "", AND('ProductSprint Backlog'!$J332&gt;H$2,'ProductSprint Backlog'!$I332&lt;=H$2), 'ProductSprint Backlog'!$F332 / MAX(1, 'ProductSprint Backlog'!$J332-'ProductSprint Backlog'!$I332), AND('ProductSprint Backlog'!$J332=H$2,'ProductSprint Backlog'!$I332=H$2), 'ProductSprint Backlog'!$F332, TRUE, 0)</f>
        <v/>
      </c>
      <c r="I332" s="4" t="str" cm="1">
        <f t="array" ref="I332">_xlfn.IFS('ProductSprint Backlog'!$F332="", "", AND('ProductSprint Backlog'!$J332&gt;I$2,'ProductSprint Backlog'!$I332&lt;=I$2), 'ProductSprint Backlog'!$F332 / MAX(1, 'ProductSprint Backlog'!$J332-'ProductSprint Backlog'!$I332), AND('ProductSprint Backlog'!$J332=I$2,'ProductSprint Backlog'!$I332=I$2), 'ProductSprint Backlog'!$F332, TRUE, 0)</f>
        <v/>
      </c>
      <c r="J332" s="4" t="str" cm="1">
        <f t="array" ref="J332">_xlfn.IFS('ProductSprint Backlog'!$F332="", "", AND('ProductSprint Backlog'!$J332&gt;J$2,'ProductSprint Backlog'!$I332&lt;=J$2), 'ProductSprint Backlog'!$F332 / MAX(1, 'ProductSprint Backlog'!$J332-'ProductSprint Backlog'!$I332), AND('ProductSprint Backlog'!$J332=J$2,'ProductSprint Backlog'!$I332=J$2), 'ProductSprint Backlog'!$F332, TRUE, 0)</f>
        <v/>
      </c>
      <c r="K332" s="4" t="str" cm="1">
        <f t="array" ref="K332">_xlfn.IFS('ProductSprint Backlog'!$F332="", "", AND('ProductSprint Backlog'!$J332&gt;K$2,'ProductSprint Backlog'!$I332&lt;=K$2), 'ProductSprint Backlog'!$F332 / MAX(1, 'ProductSprint Backlog'!$J332-'ProductSprint Backlog'!$I332), AND('ProductSprint Backlog'!$J332=K$2,'ProductSprint Backlog'!$I332=K$2), 'ProductSprint Backlog'!$F332, TRUE, 0)</f>
        <v/>
      </c>
      <c r="L332" s="4" t="str" cm="1">
        <f t="array" ref="L332">_xlfn.IFS('ProductSprint Backlog'!$F332="", "", AND('ProductSprint Backlog'!$J332&gt;L$2,'ProductSprint Backlog'!$I332&lt;=L$2), 'ProductSprint Backlog'!$F332 / MAX(1, 'ProductSprint Backlog'!$J332-'ProductSprint Backlog'!$I332), AND('ProductSprint Backlog'!$J332=L$2,'ProductSprint Backlog'!$I332=L$2), 'ProductSprint Backlog'!$F332, TRUE, 0)</f>
        <v/>
      </c>
      <c r="M332" s="4" t="str" cm="1">
        <f t="array" ref="M332">_xlfn.IFS('ProductSprint Backlog'!$F332="", "", AND('ProductSprint Backlog'!$J332&gt;M$2,'ProductSprint Backlog'!$I332&lt;=M$2), 'ProductSprint Backlog'!$F332 / MAX(1, 'ProductSprint Backlog'!$J332-'ProductSprint Backlog'!$I332), AND('ProductSprint Backlog'!$J332=M$2,'ProductSprint Backlog'!$I332=M$2), 'ProductSprint Backlog'!$F332, TRUE, 0)</f>
        <v/>
      </c>
      <c r="N332" s="4" t="str" cm="1">
        <f t="array" ref="N332">_xlfn.IFS('ProductSprint Backlog'!$F332="", "", AND('ProductSprint Backlog'!$J332&gt;N$2,'ProductSprint Backlog'!$I332&lt;=N$2), 'ProductSprint Backlog'!$F332 / MAX(1, 'ProductSprint Backlog'!$J332-'ProductSprint Backlog'!$I332), AND('ProductSprint Backlog'!$J332=N$2,'ProductSprint Backlog'!$I332=N$2), 'ProductSprint Backlog'!$F332, TRUE, 0)</f>
        <v/>
      </c>
      <c r="O332" s="4" t="str" cm="1">
        <f t="array" ref="O332">_xlfn.IFS('ProductSprint Backlog'!$F332="", "", AND('ProductSprint Backlog'!$J332&gt;O$2,'ProductSprint Backlog'!$I332&lt;=O$2), 'ProductSprint Backlog'!$F332 / MAX(1, 'ProductSprint Backlog'!$J332-'ProductSprint Backlog'!$I332), AND('ProductSprint Backlog'!$J332=O$2,'ProductSprint Backlog'!$I332=O$2), 'ProductSprint Backlog'!$F332, TRUE, 0)</f>
        <v/>
      </c>
      <c r="P332" s="4" t="str" cm="1">
        <f t="array" ref="P332">_xlfn.IFS('ProductSprint Backlog'!$F332="", "", AND('ProductSprint Backlog'!$J332&gt;P$2,'ProductSprint Backlog'!$I332&lt;=P$2), 'ProductSprint Backlog'!$F332 / MAX(1, 'ProductSprint Backlog'!$J332-'ProductSprint Backlog'!$I332), AND('ProductSprint Backlog'!$J332=P$2,'ProductSprint Backlog'!$I332=P$2), 'ProductSprint Backlog'!$F332, TRUE, 0)</f>
        <v/>
      </c>
      <c r="Q332" s="4" t="str" cm="1">
        <f t="array" ref="Q332">_xlfn.IFS('ProductSprint Backlog'!$F332="", "", AND('ProductSprint Backlog'!$J332&gt;Q$2,'ProductSprint Backlog'!$I332&lt;=Q$2), 'ProductSprint Backlog'!$F332 / MAX(1, 'ProductSprint Backlog'!$J332-'ProductSprint Backlog'!$I332), AND('ProductSprint Backlog'!$J332=Q$2,'ProductSprint Backlog'!$I332=Q$2), 'ProductSprint Backlog'!$F332, TRUE, 0)</f>
        <v/>
      </c>
    </row>
    <row r="333" spans="2:17" x14ac:dyDescent="0.2">
      <c r="B333" s="4" t="str" cm="1">
        <f t="array" ref="B333">_xlfn.IFS('ProductSprint Backlog'!$F333="", "", AND('ProductSprint Backlog'!$J333&gt;B$2,'ProductSprint Backlog'!$I333&lt;=B$2), 'ProductSprint Backlog'!$F333 / MAX(1, 'ProductSprint Backlog'!$J333-'ProductSprint Backlog'!$I333), AND('ProductSprint Backlog'!$J333=B$2,'ProductSprint Backlog'!$I333=B$2), 'ProductSprint Backlog'!$F333, TRUE, 0)</f>
        <v/>
      </c>
      <c r="C333" s="4" t="str" cm="1">
        <f t="array" ref="C333">_xlfn.IFS('ProductSprint Backlog'!$F333="", "", AND('ProductSprint Backlog'!$J333&gt;C$2,'ProductSprint Backlog'!$I333&lt;=C$2), 'ProductSprint Backlog'!$F333 / MAX(1, 'ProductSprint Backlog'!$J333-'ProductSprint Backlog'!$I333), AND('ProductSprint Backlog'!$J333=C$2,'ProductSprint Backlog'!$I333=C$2), 'ProductSprint Backlog'!$F333, TRUE, 0)</f>
        <v/>
      </c>
      <c r="D333" s="4" t="str" cm="1">
        <f t="array" ref="D333">_xlfn.IFS('ProductSprint Backlog'!$F333="", "", AND('ProductSprint Backlog'!$J333&gt;D$2,'ProductSprint Backlog'!$I333&lt;=D$2), 'ProductSprint Backlog'!$F333 / MAX(1, 'ProductSprint Backlog'!$J333-'ProductSprint Backlog'!$I333), AND('ProductSprint Backlog'!$J333=D$2,'ProductSprint Backlog'!$I333=D$2), 'ProductSprint Backlog'!$F333, TRUE, 0)</f>
        <v/>
      </c>
      <c r="E333" s="4" t="str" cm="1">
        <f t="array" ref="E333">_xlfn.IFS('ProductSprint Backlog'!$F333="", "", AND('ProductSprint Backlog'!$J333&gt;E$2,'ProductSprint Backlog'!$I333&lt;=E$2), 'ProductSprint Backlog'!$F333 / MAX(1, 'ProductSprint Backlog'!$J333-'ProductSprint Backlog'!$I333), AND('ProductSprint Backlog'!$J333=E$2,'ProductSprint Backlog'!$I333=E$2), 'ProductSprint Backlog'!$F333, TRUE, 0)</f>
        <v/>
      </c>
      <c r="F333" s="4" t="str" cm="1">
        <f t="array" ref="F333">_xlfn.IFS('ProductSprint Backlog'!$F333="", "", AND('ProductSprint Backlog'!$J333&gt;F$2,'ProductSprint Backlog'!$I333&lt;=F$2), 'ProductSprint Backlog'!$F333 / MAX(1, 'ProductSprint Backlog'!$J333-'ProductSprint Backlog'!$I333), AND('ProductSprint Backlog'!$J333=F$2,'ProductSprint Backlog'!$I333=F$2), 'ProductSprint Backlog'!$F333, TRUE, 0)</f>
        <v/>
      </c>
      <c r="G333" s="4" t="str" cm="1">
        <f t="array" ref="G333">_xlfn.IFS('ProductSprint Backlog'!$F333="", "", AND('ProductSprint Backlog'!$J333&gt;G$2,'ProductSprint Backlog'!$I333&lt;=G$2), 'ProductSprint Backlog'!$F333 / MAX(1, 'ProductSprint Backlog'!$J333-'ProductSprint Backlog'!$I333), AND('ProductSprint Backlog'!$J333=G$2,'ProductSprint Backlog'!$I333=G$2), 'ProductSprint Backlog'!$F333, TRUE, 0)</f>
        <v/>
      </c>
      <c r="H333" s="4" t="str" cm="1">
        <f t="array" ref="H333">_xlfn.IFS('ProductSprint Backlog'!$F333="", "", AND('ProductSprint Backlog'!$J333&gt;H$2,'ProductSprint Backlog'!$I333&lt;=H$2), 'ProductSprint Backlog'!$F333 / MAX(1, 'ProductSprint Backlog'!$J333-'ProductSprint Backlog'!$I333), AND('ProductSprint Backlog'!$J333=H$2,'ProductSprint Backlog'!$I333=H$2), 'ProductSprint Backlog'!$F333, TRUE, 0)</f>
        <v/>
      </c>
      <c r="I333" s="4" t="str" cm="1">
        <f t="array" ref="I333">_xlfn.IFS('ProductSprint Backlog'!$F333="", "", AND('ProductSprint Backlog'!$J333&gt;I$2,'ProductSprint Backlog'!$I333&lt;=I$2), 'ProductSprint Backlog'!$F333 / MAX(1, 'ProductSprint Backlog'!$J333-'ProductSprint Backlog'!$I333), AND('ProductSprint Backlog'!$J333=I$2,'ProductSprint Backlog'!$I333=I$2), 'ProductSprint Backlog'!$F333, TRUE, 0)</f>
        <v/>
      </c>
      <c r="J333" s="4" t="str" cm="1">
        <f t="array" ref="J333">_xlfn.IFS('ProductSprint Backlog'!$F333="", "", AND('ProductSprint Backlog'!$J333&gt;J$2,'ProductSprint Backlog'!$I333&lt;=J$2), 'ProductSprint Backlog'!$F333 / MAX(1, 'ProductSprint Backlog'!$J333-'ProductSprint Backlog'!$I333), AND('ProductSprint Backlog'!$J333=J$2,'ProductSprint Backlog'!$I333=J$2), 'ProductSprint Backlog'!$F333, TRUE, 0)</f>
        <v/>
      </c>
      <c r="K333" s="4" t="str" cm="1">
        <f t="array" ref="K333">_xlfn.IFS('ProductSprint Backlog'!$F333="", "", AND('ProductSprint Backlog'!$J333&gt;K$2,'ProductSprint Backlog'!$I333&lt;=K$2), 'ProductSprint Backlog'!$F333 / MAX(1, 'ProductSprint Backlog'!$J333-'ProductSprint Backlog'!$I333), AND('ProductSprint Backlog'!$J333=K$2,'ProductSprint Backlog'!$I333=K$2), 'ProductSprint Backlog'!$F333, TRUE, 0)</f>
        <v/>
      </c>
      <c r="L333" s="4" t="str" cm="1">
        <f t="array" ref="L333">_xlfn.IFS('ProductSprint Backlog'!$F333="", "", AND('ProductSprint Backlog'!$J333&gt;L$2,'ProductSprint Backlog'!$I333&lt;=L$2), 'ProductSprint Backlog'!$F333 / MAX(1, 'ProductSprint Backlog'!$J333-'ProductSprint Backlog'!$I333), AND('ProductSprint Backlog'!$J333=L$2,'ProductSprint Backlog'!$I333=L$2), 'ProductSprint Backlog'!$F333, TRUE, 0)</f>
        <v/>
      </c>
      <c r="M333" s="4" t="str" cm="1">
        <f t="array" ref="M333">_xlfn.IFS('ProductSprint Backlog'!$F333="", "", AND('ProductSprint Backlog'!$J333&gt;M$2,'ProductSprint Backlog'!$I333&lt;=M$2), 'ProductSprint Backlog'!$F333 / MAX(1, 'ProductSprint Backlog'!$J333-'ProductSprint Backlog'!$I333), AND('ProductSprint Backlog'!$J333=M$2,'ProductSprint Backlog'!$I333=M$2), 'ProductSprint Backlog'!$F333, TRUE, 0)</f>
        <v/>
      </c>
      <c r="N333" s="4" t="str" cm="1">
        <f t="array" ref="N333">_xlfn.IFS('ProductSprint Backlog'!$F333="", "", AND('ProductSprint Backlog'!$J333&gt;N$2,'ProductSprint Backlog'!$I333&lt;=N$2), 'ProductSprint Backlog'!$F333 / MAX(1, 'ProductSprint Backlog'!$J333-'ProductSprint Backlog'!$I333), AND('ProductSprint Backlog'!$J333=N$2,'ProductSprint Backlog'!$I333=N$2), 'ProductSprint Backlog'!$F333, TRUE, 0)</f>
        <v/>
      </c>
      <c r="O333" s="4" t="str" cm="1">
        <f t="array" ref="O333">_xlfn.IFS('ProductSprint Backlog'!$F333="", "", AND('ProductSprint Backlog'!$J333&gt;O$2,'ProductSprint Backlog'!$I333&lt;=O$2), 'ProductSprint Backlog'!$F333 / MAX(1, 'ProductSprint Backlog'!$J333-'ProductSprint Backlog'!$I333), AND('ProductSprint Backlog'!$J333=O$2,'ProductSprint Backlog'!$I333=O$2), 'ProductSprint Backlog'!$F333, TRUE, 0)</f>
        <v/>
      </c>
      <c r="P333" s="4" t="str" cm="1">
        <f t="array" ref="P333">_xlfn.IFS('ProductSprint Backlog'!$F333="", "", AND('ProductSprint Backlog'!$J333&gt;P$2,'ProductSprint Backlog'!$I333&lt;=P$2), 'ProductSprint Backlog'!$F333 / MAX(1, 'ProductSprint Backlog'!$J333-'ProductSprint Backlog'!$I333), AND('ProductSprint Backlog'!$J333=P$2,'ProductSprint Backlog'!$I333=P$2), 'ProductSprint Backlog'!$F333, TRUE, 0)</f>
        <v/>
      </c>
      <c r="Q333" s="4" t="str" cm="1">
        <f t="array" ref="Q333">_xlfn.IFS('ProductSprint Backlog'!$F333="", "", AND('ProductSprint Backlog'!$J333&gt;Q$2,'ProductSprint Backlog'!$I333&lt;=Q$2), 'ProductSprint Backlog'!$F333 / MAX(1, 'ProductSprint Backlog'!$J333-'ProductSprint Backlog'!$I333), AND('ProductSprint Backlog'!$J333=Q$2,'ProductSprint Backlog'!$I333=Q$2), 'ProductSprint Backlog'!$F333, TRUE, 0)</f>
        <v/>
      </c>
    </row>
    <row r="334" spans="2:17" x14ac:dyDescent="0.2">
      <c r="B334" s="4" t="str" cm="1">
        <f t="array" ref="B334">_xlfn.IFS('ProductSprint Backlog'!$F334="", "", AND('ProductSprint Backlog'!$J334&gt;B$2,'ProductSprint Backlog'!$I334&lt;=B$2), 'ProductSprint Backlog'!$F334 / MAX(1, 'ProductSprint Backlog'!$J334-'ProductSprint Backlog'!$I334), AND('ProductSprint Backlog'!$J334=B$2,'ProductSprint Backlog'!$I334=B$2), 'ProductSprint Backlog'!$F334, TRUE, 0)</f>
        <v/>
      </c>
      <c r="C334" s="4" t="str" cm="1">
        <f t="array" ref="C334">_xlfn.IFS('ProductSprint Backlog'!$F334="", "", AND('ProductSprint Backlog'!$J334&gt;C$2,'ProductSprint Backlog'!$I334&lt;=C$2), 'ProductSprint Backlog'!$F334 / MAX(1, 'ProductSprint Backlog'!$J334-'ProductSprint Backlog'!$I334), AND('ProductSprint Backlog'!$J334=C$2,'ProductSprint Backlog'!$I334=C$2), 'ProductSprint Backlog'!$F334, TRUE, 0)</f>
        <v/>
      </c>
      <c r="D334" s="4" t="str" cm="1">
        <f t="array" ref="D334">_xlfn.IFS('ProductSprint Backlog'!$F334="", "", AND('ProductSprint Backlog'!$J334&gt;D$2,'ProductSprint Backlog'!$I334&lt;=D$2), 'ProductSprint Backlog'!$F334 / MAX(1, 'ProductSprint Backlog'!$J334-'ProductSprint Backlog'!$I334), AND('ProductSprint Backlog'!$J334=D$2,'ProductSprint Backlog'!$I334=D$2), 'ProductSprint Backlog'!$F334, TRUE, 0)</f>
        <v/>
      </c>
      <c r="E334" s="4" t="str" cm="1">
        <f t="array" ref="E334">_xlfn.IFS('ProductSprint Backlog'!$F334="", "", AND('ProductSprint Backlog'!$J334&gt;E$2,'ProductSprint Backlog'!$I334&lt;=E$2), 'ProductSprint Backlog'!$F334 / MAX(1, 'ProductSprint Backlog'!$J334-'ProductSprint Backlog'!$I334), AND('ProductSprint Backlog'!$J334=E$2,'ProductSprint Backlog'!$I334=E$2), 'ProductSprint Backlog'!$F334, TRUE, 0)</f>
        <v/>
      </c>
      <c r="F334" s="4" t="str" cm="1">
        <f t="array" ref="F334">_xlfn.IFS('ProductSprint Backlog'!$F334="", "", AND('ProductSprint Backlog'!$J334&gt;F$2,'ProductSprint Backlog'!$I334&lt;=F$2), 'ProductSprint Backlog'!$F334 / MAX(1, 'ProductSprint Backlog'!$J334-'ProductSprint Backlog'!$I334), AND('ProductSprint Backlog'!$J334=F$2,'ProductSprint Backlog'!$I334=F$2), 'ProductSprint Backlog'!$F334, TRUE, 0)</f>
        <v/>
      </c>
      <c r="G334" s="4" t="str" cm="1">
        <f t="array" ref="G334">_xlfn.IFS('ProductSprint Backlog'!$F334="", "", AND('ProductSprint Backlog'!$J334&gt;G$2,'ProductSprint Backlog'!$I334&lt;=G$2), 'ProductSprint Backlog'!$F334 / MAX(1, 'ProductSprint Backlog'!$J334-'ProductSprint Backlog'!$I334), AND('ProductSprint Backlog'!$J334=G$2,'ProductSprint Backlog'!$I334=G$2), 'ProductSprint Backlog'!$F334, TRUE, 0)</f>
        <v/>
      </c>
      <c r="H334" s="4" t="str" cm="1">
        <f t="array" ref="H334">_xlfn.IFS('ProductSprint Backlog'!$F334="", "", AND('ProductSprint Backlog'!$J334&gt;H$2,'ProductSprint Backlog'!$I334&lt;=H$2), 'ProductSprint Backlog'!$F334 / MAX(1, 'ProductSprint Backlog'!$J334-'ProductSprint Backlog'!$I334), AND('ProductSprint Backlog'!$J334=H$2,'ProductSprint Backlog'!$I334=H$2), 'ProductSprint Backlog'!$F334, TRUE, 0)</f>
        <v/>
      </c>
      <c r="I334" s="4" t="str" cm="1">
        <f t="array" ref="I334">_xlfn.IFS('ProductSprint Backlog'!$F334="", "", AND('ProductSprint Backlog'!$J334&gt;I$2,'ProductSprint Backlog'!$I334&lt;=I$2), 'ProductSprint Backlog'!$F334 / MAX(1, 'ProductSprint Backlog'!$J334-'ProductSprint Backlog'!$I334), AND('ProductSprint Backlog'!$J334=I$2,'ProductSprint Backlog'!$I334=I$2), 'ProductSprint Backlog'!$F334, TRUE, 0)</f>
        <v/>
      </c>
      <c r="J334" s="4" t="str" cm="1">
        <f t="array" ref="J334">_xlfn.IFS('ProductSprint Backlog'!$F334="", "", AND('ProductSprint Backlog'!$J334&gt;J$2,'ProductSprint Backlog'!$I334&lt;=J$2), 'ProductSprint Backlog'!$F334 / MAX(1, 'ProductSprint Backlog'!$J334-'ProductSprint Backlog'!$I334), AND('ProductSprint Backlog'!$J334=J$2,'ProductSprint Backlog'!$I334=J$2), 'ProductSprint Backlog'!$F334, TRUE, 0)</f>
        <v/>
      </c>
      <c r="K334" s="4" t="str" cm="1">
        <f t="array" ref="K334">_xlfn.IFS('ProductSprint Backlog'!$F334="", "", AND('ProductSprint Backlog'!$J334&gt;K$2,'ProductSprint Backlog'!$I334&lt;=K$2), 'ProductSprint Backlog'!$F334 / MAX(1, 'ProductSprint Backlog'!$J334-'ProductSprint Backlog'!$I334), AND('ProductSprint Backlog'!$J334=K$2,'ProductSprint Backlog'!$I334=K$2), 'ProductSprint Backlog'!$F334, TRUE, 0)</f>
        <v/>
      </c>
      <c r="L334" s="4" t="str" cm="1">
        <f t="array" ref="L334">_xlfn.IFS('ProductSprint Backlog'!$F334="", "", AND('ProductSprint Backlog'!$J334&gt;L$2,'ProductSprint Backlog'!$I334&lt;=L$2), 'ProductSprint Backlog'!$F334 / MAX(1, 'ProductSprint Backlog'!$J334-'ProductSprint Backlog'!$I334), AND('ProductSprint Backlog'!$J334=L$2,'ProductSprint Backlog'!$I334=L$2), 'ProductSprint Backlog'!$F334, TRUE, 0)</f>
        <v/>
      </c>
      <c r="M334" s="4" t="str" cm="1">
        <f t="array" ref="M334">_xlfn.IFS('ProductSprint Backlog'!$F334="", "", AND('ProductSprint Backlog'!$J334&gt;M$2,'ProductSprint Backlog'!$I334&lt;=M$2), 'ProductSprint Backlog'!$F334 / MAX(1, 'ProductSprint Backlog'!$J334-'ProductSprint Backlog'!$I334), AND('ProductSprint Backlog'!$J334=M$2,'ProductSprint Backlog'!$I334=M$2), 'ProductSprint Backlog'!$F334, TRUE, 0)</f>
        <v/>
      </c>
      <c r="N334" s="4" t="str" cm="1">
        <f t="array" ref="N334">_xlfn.IFS('ProductSprint Backlog'!$F334="", "", AND('ProductSprint Backlog'!$J334&gt;N$2,'ProductSprint Backlog'!$I334&lt;=N$2), 'ProductSprint Backlog'!$F334 / MAX(1, 'ProductSprint Backlog'!$J334-'ProductSprint Backlog'!$I334), AND('ProductSprint Backlog'!$J334=N$2,'ProductSprint Backlog'!$I334=N$2), 'ProductSprint Backlog'!$F334, TRUE, 0)</f>
        <v/>
      </c>
      <c r="O334" s="4" t="str" cm="1">
        <f t="array" ref="O334">_xlfn.IFS('ProductSprint Backlog'!$F334="", "", AND('ProductSprint Backlog'!$J334&gt;O$2,'ProductSprint Backlog'!$I334&lt;=O$2), 'ProductSprint Backlog'!$F334 / MAX(1, 'ProductSprint Backlog'!$J334-'ProductSprint Backlog'!$I334), AND('ProductSprint Backlog'!$J334=O$2,'ProductSprint Backlog'!$I334=O$2), 'ProductSprint Backlog'!$F334, TRUE, 0)</f>
        <v/>
      </c>
      <c r="P334" s="4" t="str" cm="1">
        <f t="array" ref="P334">_xlfn.IFS('ProductSprint Backlog'!$F334="", "", AND('ProductSprint Backlog'!$J334&gt;P$2,'ProductSprint Backlog'!$I334&lt;=P$2), 'ProductSprint Backlog'!$F334 / MAX(1, 'ProductSprint Backlog'!$J334-'ProductSprint Backlog'!$I334), AND('ProductSprint Backlog'!$J334=P$2,'ProductSprint Backlog'!$I334=P$2), 'ProductSprint Backlog'!$F334, TRUE, 0)</f>
        <v/>
      </c>
      <c r="Q334" s="4" t="str" cm="1">
        <f t="array" ref="Q334">_xlfn.IFS('ProductSprint Backlog'!$F334="", "", AND('ProductSprint Backlog'!$J334&gt;Q$2,'ProductSprint Backlog'!$I334&lt;=Q$2), 'ProductSprint Backlog'!$F334 / MAX(1, 'ProductSprint Backlog'!$J334-'ProductSprint Backlog'!$I334), AND('ProductSprint Backlog'!$J334=Q$2,'ProductSprint Backlog'!$I334=Q$2), 'ProductSprint Backlog'!$F334, TRUE, 0)</f>
        <v/>
      </c>
    </row>
    <row r="335" spans="2:17" x14ac:dyDescent="0.2">
      <c r="B335" s="4" t="str" cm="1">
        <f t="array" ref="B335">_xlfn.IFS('ProductSprint Backlog'!$F335="", "", AND('ProductSprint Backlog'!$J335&gt;B$2,'ProductSprint Backlog'!$I335&lt;=B$2), 'ProductSprint Backlog'!$F335 / MAX(1, 'ProductSprint Backlog'!$J335-'ProductSprint Backlog'!$I335), AND('ProductSprint Backlog'!$J335=B$2,'ProductSprint Backlog'!$I335=B$2), 'ProductSprint Backlog'!$F335, TRUE, 0)</f>
        <v/>
      </c>
      <c r="C335" s="4" t="str" cm="1">
        <f t="array" ref="C335">_xlfn.IFS('ProductSprint Backlog'!$F335="", "", AND('ProductSprint Backlog'!$J335&gt;C$2,'ProductSprint Backlog'!$I335&lt;=C$2), 'ProductSprint Backlog'!$F335 / MAX(1, 'ProductSprint Backlog'!$J335-'ProductSprint Backlog'!$I335), AND('ProductSprint Backlog'!$J335=C$2,'ProductSprint Backlog'!$I335=C$2), 'ProductSprint Backlog'!$F335, TRUE, 0)</f>
        <v/>
      </c>
      <c r="D335" s="4" t="str" cm="1">
        <f t="array" ref="D335">_xlfn.IFS('ProductSprint Backlog'!$F335="", "", AND('ProductSprint Backlog'!$J335&gt;D$2,'ProductSprint Backlog'!$I335&lt;=D$2), 'ProductSprint Backlog'!$F335 / MAX(1, 'ProductSprint Backlog'!$J335-'ProductSprint Backlog'!$I335), AND('ProductSprint Backlog'!$J335=D$2,'ProductSprint Backlog'!$I335=D$2), 'ProductSprint Backlog'!$F335, TRUE, 0)</f>
        <v/>
      </c>
      <c r="E335" s="4" t="str" cm="1">
        <f t="array" ref="E335">_xlfn.IFS('ProductSprint Backlog'!$F335="", "", AND('ProductSprint Backlog'!$J335&gt;E$2,'ProductSprint Backlog'!$I335&lt;=E$2), 'ProductSprint Backlog'!$F335 / MAX(1, 'ProductSprint Backlog'!$J335-'ProductSprint Backlog'!$I335), AND('ProductSprint Backlog'!$J335=E$2,'ProductSprint Backlog'!$I335=E$2), 'ProductSprint Backlog'!$F335, TRUE, 0)</f>
        <v/>
      </c>
      <c r="F335" s="4" t="str" cm="1">
        <f t="array" ref="F335">_xlfn.IFS('ProductSprint Backlog'!$F335="", "", AND('ProductSprint Backlog'!$J335&gt;F$2,'ProductSprint Backlog'!$I335&lt;=F$2), 'ProductSprint Backlog'!$F335 / MAX(1, 'ProductSprint Backlog'!$J335-'ProductSprint Backlog'!$I335), AND('ProductSprint Backlog'!$J335=F$2,'ProductSprint Backlog'!$I335=F$2), 'ProductSprint Backlog'!$F335, TRUE, 0)</f>
        <v/>
      </c>
      <c r="G335" s="4" t="str" cm="1">
        <f t="array" ref="G335">_xlfn.IFS('ProductSprint Backlog'!$F335="", "", AND('ProductSprint Backlog'!$J335&gt;G$2,'ProductSprint Backlog'!$I335&lt;=G$2), 'ProductSprint Backlog'!$F335 / MAX(1, 'ProductSprint Backlog'!$J335-'ProductSprint Backlog'!$I335), AND('ProductSprint Backlog'!$J335=G$2,'ProductSprint Backlog'!$I335=G$2), 'ProductSprint Backlog'!$F335, TRUE, 0)</f>
        <v/>
      </c>
      <c r="H335" s="4" t="str" cm="1">
        <f t="array" ref="H335">_xlfn.IFS('ProductSprint Backlog'!$F335="", "", AND('ProductSprint Backlog'!$J335&gt;H$2,'ProductSprint Backlog'!$I335&lt;=H$2), 'ProductSprint Backlog'!$F335 / MAX(1, 'ProductSprint Backlog'!$J335-'ProductSprint Backlog'!$I335), AND('ProductSprint Backlog'!$J335=H$2,'ProductSprint Backlog'!$I335=H$2), 'ProductSprint Backlog'!$F335, TRUE, 0)</f>
        <v/>
      </c>
      <c r="I335" s="4" t="str" cm="1">
        <f t="array" ref="I335">_xlfn.IFS('ProductSprint Backlog'!$F335="", "", AND('ProductSprint Backlog'!$J335&gt;I$2,'ProductSprint Backlog'!$I335&lt;=I$2), 'ProductSprint Backlog'!$F335 / MAX(1, 'ProductSprint Backlog'!$J335-'ProductSprint Backlog'!$I335), AND('ProductSprint Backlog'!$J335=I$2,'ProductSprint Backlog'!$I335=I$2), 'ProductSprint Backlog'!$F335, TRUE, 0)</f>
        <v/>
      </c>
      <c r="J335" s="4" t="str" cm="1">
        <f t="array" ref="J335">_xlfn.IFS('ProductSprint Backlog'!$F335="", "", AND('ProductSprint Backlog'!$J335&gt;J$2,'ProductSprint Backlog'!$I335&lt;=J$2), 'ProductSprint Backlog'!$F335 / MAX(1, 'ProductSprint Backlog'!$J335-'ProductSprint Backlog'!$I335), AND('ProductSprint Backlog'!$J335=J$2,'ProductSprint Backlog'!$I335=J$2), 'ProductSprint Backlog'!$F335, TRUE, 0)</f>
        <v/>
      </c>
      <c r="K335" s="4" t="str" cm="1">
        <f t="array" ref="K335">_xlfn.IFS('ProductSprint Backlog'!$F335="", "", AND('ProductSprint Backlog'!$J335&gt;K$2,'ProductSprint Backlog'!$I335&lt;=K$2), 'ProductSprint Backlog'!$F335 / MAX(1, 'ProductSprint Backlog'!$J335-'ProductSprint Backlog'!$I335), AND('ProductSprint Backlog'!$J335=K$2,'ProductSprint Backlog'!$I335=K$2), 'ProductSprint Backlog'!$F335, TRUE, 0)</f>
        <v/>
      </c>
      <c r="L335" s="4" t="str" cm="1">
        <f t="array" ref="L335">_xlfn.IFS('ProductSprint Backlog'!$F335="", "", AND('ProductSprint Backlog'!$J335&gt;L$2,'ProductSprint Backlog'!$I335&lt;=L$2), 'ProductSprint Backlog'!$F335 / MAX(1, 'ProductSprint Backlog'!$J335-'ProductSprint Backlog'!$I335), AND('ProductSprint Backlog'!$J335=L$2,'ProductSprint Backlog'!$I335=L$2), 'ProductSprint Backlog'!$F335, TRUE, 0)</f>
        <v/>
      </c>
      <c r="M335" s="4" t="str" cm="1">
        <f t="array" ref="M335">_xlfn.IFS('ProductSprint Backlog'!$F335="", "", AND('ProductSprint Backlog'!$J335&gt;M$2,'ProductSprint Backlog'!$I335&lt;=M$2), 'ProductSprint Backlog'!$F335 / MAX(1, 'ProductSprint Backlog'!$J335-'ProductSprint Backlog'!$I335), AND('ProductSprint Backlog'!$J335=M$2,'ProductSprint Backlog'!$I335=M$2), 'ProductSprint Backlog'!$F335, TRUE, 0)</f>
        <v/>
      </c>
      <c r="N335" s="4" t="str" cm="1">
        <f t="array" ref="N335">_xlfn.IFS('ProductSprint Backlog'!$F335="", "", AND('ProductSprint Backlog'!$J335&gt;N$2,'ProductSprint Backlog'!$I335&lt;=N$2), 'ProductSprint Backlog'!$F335 / MAX(1, 'ProductSprint Backlog'!$J335-'ProductSprint Backlog'!$I335), AND('ProductSprint Backlog'!$J335=N$2,'ProductSprint Backlog'!$I335=N$2), 'ProductSprint Backlog'!$F335, TRUE, 0)</f>
        <v/>
      </c>
      <c r="O335" s="4" t="str" cm="1">
        <f t="array" ref="O335">_xlfn.IFS('ProductSprint Backlog'!$F335="", "", AND('ProductSprint Backlog'!$J335&gt;O$2,'ProductSprint Backlog'!$I335&lt;=O$2), 'ProductSprint Backlog'!$F335 / MAX(1, 'ProductSprint Backlog'!$J335-'ProductSprint Backlog'!$I335), AND('ProductSprint Backlog'!$J335=O$2,'ProductSprint Backlog'!$I335=O$2), 'ProductSprint Backlog'!$F335, TRUE, 0)</f>
        <v/>
      </c>
      <c r="P335" s="4" t="str" cm="1">
        <f t="array" ref="P335">_xlfn.IFS('ProductSprint Backlog'!$F335="", "", AND('ProductSprint Backlog'!$J335&gt;P$2,'ProductSprint Backlog'!$I335&lt;=P$2), 'ProductSprint Backlog'!$F335 / MAX(1, 'ProductSprint Backlog'!$J335-'ProductSprint Backlog'!$I335), AND('ProductSprint Backlog'!$J335=P$2,'ProductSprint Backlog'!$I335=P$2), 'ProductSprint Backlog'!$F335, TRUE, 0)</f>
        <v/>
      </c>
      <c r="Q335" s="4" t="str" cm="1">
        <f t="array" ref="Q335">_xlfn.IFS('ProductSprint Backlog'!$F335="", "", AND('ProductSprint Backlog'!$J335&gt;Q$2,'ProductSprint Backlog'!$I335&lt;=Q$2), 'ProductSprint Backlog'!$F335 / MAX(1, 'ProductSprint Backlog'!$J335-'ProductSprint Backlog'!$I335), AND('ProductSprint Backlog'!$J335=Q$2,'ProductSprint Backlog'!$I335=Q$2), 'ProductSprint Backlog'!$F335, TRUE, 0)</f>
        <v/>
      </c>
    </row>
    <row r="336" spans="2:17" x14ac:dyDescent="0.2">
      <c r="B336" s="4" t="str" cm="1">
        <f t="array" ref="B336">_xlfn.IFS('ProductSprint Backlog'!$F336="", "", AND('ProductSprint Backlog'!$J336&gt;B$2,'ProductSprint Backlog'!$I336&lt;=B$2), 'ProductSprint Backlog'!$F336 / MAX(1, 'ProductSprint Backlog'!$J336-'ProductSprint Backlog'!$I336), AND('ProductSprint Backlog'!$J336=B$2,'ProductSprint Backlog'!$I336=B$2), 'ProductSprint Backlog'!$F336, TRUE, 0)</f>
        <v/>
      </c>
      <c r="C336" s="4" t="str" cm="1">
        <f t="array" ref="C336">_xlfn.IFS('ProductSprint Backlog'!$F336="", "", AND('ProductSprint Backlog'!$J336&gt;C$2,'ProductSprint Backlog'!$I336&lt;=C$2), 'ProductSprint Backlog'!$F336 / MAX(1, 'ProductSprint Backlog'!$J336-'ProductSprint Backlog'!$I336), AND('ProductSprint Backlog'!$J336=C$2,'ProductSprint Backlog'!$I336=C$2), 'ProductSprint Backlog'!$F336, TRUE, 0)</f>
        <v/>
      </c>
      <c r="D336" s="4" t="str" cm="1">
        <f t="array" ref="D336">_xlfn.IFS('ProductSprint Backlog'!$F336="", "", AND('ProductSprint Backlog'!$J336&gt;D$2,'ProductSprint Backlog'!$I336&lt;=D$2), 'ProductSprint Backlog'!$F336 / MAX(1, 'ProductSprint Backlog'!$J336-'ProductSprint Backlog'!$I336), AND('ProductSprint Backlog'!$J336=D$2,'ProductSprint Backlog'!$I336=D$2), 'ProductSprint Backlog'!$F336, TRUE, 0)</f>
        <v/>
      </c>
      <c r="E336" s="4" t="str" cm="1">
        <f t="array" ref="E336">_xlfn.IFS('ProductSprint Backlog'!$F336="", "", AND('ProductSprint Backlog'!$J336&gt;E$2,'ProductSprint Backlog'!$I336&lt;=E$2), 'ProductSprint Backlog'!$F336 / MAX(1, 'ProductSprint Backlog'!$J336-'ProductSprint Backlog'!$I336), AND('ProductSprint Backlog'!$J336=E$2,'ProductSprint Backlog'!$I336=E$2), 'ProductSprint Backlog'!$F336, TRUE, 0)</f>
        <v/>
      </c>
      <c r="F336" s="4" t="str" cm="1">
        <f t="array" ref="F336">_xlfn.IFS('ProductSprint Backlog'!$F336="", "", AND('ProductSprint Backlog'!$J336&gt;F$2,'ProductSprint Backlog'!$I336&lt;=F$2), 'ProductSprint Backlog'!$F336 / MAX(1, 'ProductSprint Backlog'!$J336-'ProductSprint Backlog'!$I336), AND('ProductSprint Backlog'!$J336=F$2,'ProductSprint Backlog'!$I336=F$2), 'ProductSprint Backlog'!$F336, TRUE, 0)</f>
        <v/>
      </c>
      <c r="G336" s="4" t="str" cm="1">
        <f t="array" ref="G336">_xlfn.IFS('ProductSprint Backlog'!$F336="", "", AND('ProductSprint Backlog'!$J336&gt;G$2,'ProductSprint Backlog'!$I336&lt;=G$2), 'ProductSprint Backlog'!$F336 / MAX(1, 'ProductSprint Backlog'!$J336-'ProductSprint Backlog'!$I336), AND('ProductSprint Backlog'!$J336=G$2,'ProductSprint Backlog'!$I336=G$2), 'ProductSprint Backlog'!$F336, TRUE, 0)</f>
        <v/>
      </c>
      <c r="H336" s="4" t="str" cm="1">
        <f t="array" ref="H336">_xlfn.IFS('ProductSprint Backlog'!$F336="", "", AND('ProductSprint Backlog'!$J336&gt;H$2,'ProductSprint Backlog'!$I336&lt;=H$2), 'ProductSprint Backlog'!$F336 / MAX(1, 'ProductSprint Backlog'!$J336-'ProductSprint Backlog'!$I336), AND('ProductSprint Backlog'!$J336=H$2,'ProductSprint Backlog'!$I336=H$2), 'ProductSprint Backlog'!$F336, TRUE, 0)</f>
        <v/>
      </c>
      <c r="I336" s="4" t="str" cm="1">
        <f t="array" ref="I336">_xlfn.IFS('ProductSprint Backlog'!$F336="", "", AND('ProductSprint Backlog'!$J336&gt;I$2,'ProductSprint Backlog'!$I336&lt;=I$2), 'ProductSprint Backlog'!$F336 / MAX(1, 'ProductSprint Backlog'!$J336-'ProductSprint Backlog'!$I336), AND('ProductSprint Backlog'!$J336=I$2,'ProductSprint Backlog'!$I336=I$2), 'ProductSprint Backlog'!$F336, TRUE, 0)</f>
        <v/>
      </c>
      <c r="J336" s="4" t="str" cm="1">
        <f t="array" ref="J336">_xlfn.IFS('ProductSprint Backlog'!$F336="", "", AND('ProductSprint Backlog'!$J336&gt;J$2,'ProductSprint Backlog'!$I336&lt;=J$2), 'ProductSprint Backlog'!$F336 / MAX(1, 'ProductSprint Backlog'!$J336-'ProductSprint Backlog'!$I336), AND('ProductSprint Backlog'!$J336=J$2,'ProductSprint Backlog'!$I336=J$2), 'ProductSprint Backlog'!$F336, TRUE, 0)</f>
        <v/>
      </c>
      <c r="K336" s="4" t="str" cm="1">
        <f t="array" ref="K336">_xlfn.IFS('ProductSprint Backlog'!$F336="", "", AND('ProductSprint Backlog'!$J336&gt;K$2,'ProductSprint Backlog'!$I336&lt;=K$2), 'ProductSprint Backlog'!$F336 / MAX(1, 'ProductSprint Backlog'!$J336-'ProductSprint Backlog'!$I336), AND('ProductSprint Backlog'!$J336=K$2,'ProductSprint Backlog'!$I336=K$2), 'ProductSprint Backlog'!$F336, TRUE, 0)</f>
        <v/>
      </c>
      <c r="L336" s="4" t="str" cm="1">
        <f t="array" ref="L336">_xlfn.IFS('ProductSprint Backlog'!$F336="", "", AND('ProductSprint Backlog'!$J336&gt;L$2,'ProductSprint Backlog'!$I336&lt;=L$2), 'ProductSprint Backlog'!$F336 / MAX(1, 'ProductSprint Backlog'!$J336-'ProductSprint Backlog'!$I336), AND('ProductSprint Backlog'!$J336=L$2,'ProductSprint Backlog'!$I336=L$2), 'ProductSprint Backlog'!$F336, TRUE, 0)</f>
        <v/>
      </c>
      <c r="M336" s="4" t="str" cm="1">
        <f t="array" ref="M336">_xlfn.IFS('ProductSprint Backlog'!$F336="", "", AND('ProductSprint Backlog'!$J336&gt;M$2,'ProductSprint Backlog'!$I336&lt;=M$2), 'ProductSprint Backlog'!$F336 / MAX(1, 'ProductSprint Backlog'!$J336-'ProductSprint Backlog'!$I336), AND('ProductSprint Backlog'!$J336=M$2,'ProductSprint Backlog'!$I336=M$2), 'ProductSprint Backlog'!$F336, TRUE, 0)</f>
        <v/>
      </c>
      <c r="N336" s="4" t="str" cm="1">
        <f t="array" ref="N336">_xlfn.IFS('ProductSprint Backlog'!$F336="", "", AND('ProductSprint Backlog'!$J336&gt;N$2,'ProductSprint Backlog'!$I336&lt;=N$2), 'ProductSprint Backlog'!$F336 / MAX(1, 'ProductSprint Backlog'!$J336-'ProductSprint Backlog'!$I336), AND('ProductSprint Backlog'!$J336=N$2,'ProductSprint Backlog'!$I336=N$2), 'ProductSprint Backlog'!$F336, TRUE, 0)</f>
        <v/>
      </c>
      <c r="O336" s="4" t="str" cm="1">
        <f t="array" ref="O336">_xlfn.IFS('ProductSprint Backlog'!$F336="", "", AND('ProductSprint Backlog'!$J336&gt;O$2,'ProductSprint Backlog'!$I336&lt;=O$2), 'ProductSprint Backlog'!$F336 / MAX(1, 'ProductSprint Backlog'!$J336-'ProductSprint Backlog'!$I336), AND('ProductSprint Backlog'!$J336=O$2,'ProductSprint Backlog'!$I336=O$2), 'ProductSprint Backlog'!$F336, TRUE, 0)</f>
        <v/>
      </c>
      <c r="P336" s="4" t="str" cm="1">
        <f t="array" ref="P336">_xlfn.IFS('ProductSprint Backlog'!$F336="", "", AND('ProductSprint Backlog'!$J336&gt;P$2,'ProductSprint Backlog'!$I336&lt;=P$2), 'ProductSprint Backlog'!$F336 / MAX(1, 'ProductSprint Backlog'!$J336-'ProductSprint Backlog'!$I336), AND('ProductSprint Backlog'!$J336=P$2,'ProductSprint Backlog'!$I336=P$2), 'ProductSprint Backlog'!$F336, TRUE, 0)</f>
        <v/>
      </c>
      <c r="Q336" s="4" t="str" cm="1">
        <f t="array" ref="Q336">_xlfn.IFS('ProductSprint Backlog'!$F336="", "", AND('ProductSprint Backlog'!$J336&gt;Q$2,'ProductSprint Backlog'!$I336&lt;=Q$2), 'ProductSprint Backlog'!$F336 / MAX(1, 'ProductSprint Backlog'!$J336-'ProductSprint Backlog'!$I336), AND('ProductSprint Backlog'!$J336=Q$2,'ProductSprint Backlog'!$I336=Q$2), 'ProductSprint Backlog'!$F336, TRUE, 0)</f>
        <v/>
      </c>
    </row>
    <row r="337" spans="2:17" x14ac:dyDescent="0.2">
      <c r="B337" s="4" t="str" cm="1">
        <f t="array" ref="B337">_xlfn.IFS('ProductSprint Backlog'!$F337="", "", AND('ProductSprint Backlog'!$J337&gt;B$2,'ProductSprint Backlog'!$I337&lt;=B$2), 'ProductSprint Backlog'!$F337 / MAX(1, 'ProductSprint Backlog'!$J337-'ProductSprint Backlog'!$I337), AND('ProductSprint Backlog'!$J337=B$2,'ProductSprint Backlog'!$I337=B$2), 'ProductSprint Backlog'!$F337, TRUE, 0)</f>
        <v/>
      </c>
      <c r="C337" s="4" t="str" cm="1">
        <f t="array" ref="C337">_xlfn.IFS('ProductSprint Backlog'!$F337="", "", AND('ProductSprint Backlog'!$J337&gt;C$2,'ProductSprint Backlog'!$I337&lt;=C$2), 'ProductSprint Backlog'!$F337 / MAX(1, 'ProductSprint Backlog'!$J337-'ProductSprint Backlog'!$I337), AND('ProductSprint Backlog'!$J337=C$2,'ProductSprint Backlog'!$I337=C$2), 'ProductSprint Backlog'!$F337, TRUE, 0)</f>
        <v/>
      </c>
      <c r="D337" s="4" t="str" cm="1">
        <f t="array" ref="D337">_xlfn.IFS('ProductSprint Backlog'!$F337="", "", AND('ProductSprint Backlog'!$J337&gt;D$2,'ProductSprint Backlog'!$I337&lt;=D$2), 'ProductSprint Backlog'!$F337 / MAX(1, 'ProductSprint Backlog'!$J337-'ProductSprint Backlog'!$I337), AND('ProductSprint Backlog'!$J337=D$2,'ProductSprint Backlog'!$I337=D$2), 'ProductSprint Backlog'!$F337, TRUE, 0)</f>
        <v/>
      </c>
      <c r="E337" s="4" t="str" cm="1">
        <f t="array" ref="E337">_xlfn.IFS('ProductSprint Backlog'!$F337="", "", AND('ProductSprint Backlog'!$J337&gt;E$2,'ProductSprint Backlog'!$I337&lt;=E$2), 'ProductSprint Backlog'!$F337 / MAX(1, 'ProductSprint Backlog'!$J337-'ProductSprint Backlog'!$I337), AND('ProductSprint Backlog'!$J337=E$2,'ProductSprint Backlog'!$I337=E$2), 'ProductSprint Backlog'!$F337, TRUE, 0)</f>
        <v/>
      </c>
      <c r="F337" s="4" t="str" cm="1">
        <f t="array" ref="F337">_xlfn.IFS('ProductSprint Backlog'!$F337="", "", AND('ProductSprint Backlog'!$J337&gt;F$2,'ProductSprint Backlog'!$I337&lt;=F$2), 'ProductSprint Backlog'!$F337 / MAX(1, 'ProductSprint Backlog'!$J337-'ProductSprint Backlog'!$I337), AND('ProductSprint Backlog'!$J337=F$2,'ProductSprint Backlog'!$I337=F$2), 'ProductSprint Backlog'!$F337, TRUE, 0)</f>
        <v/>
      </c>
      <c r="G337" s="4" t="str" cm="1">
        <f t="array" ref="G337">_xlfn.IFS('ProductSprint Backlog'!$F337="", "", AND('ProductSprint Backlog'!$J337&gt;G$2,'ProductSprint Backlog'!$I337&lt;=G$2), 'ProductSprint Backlog'!$F337 / MAX(1, 'ProductSprint Backlog'!$J337-'ProductSprint Backlog'!$I337), AND('ProductSprint Backlog'!$J337=G$2,'ProductSprint Backlog'!$I337=G$2), 'ProductSprint Backlog'!$F337, TRUE, 0)</f>
        <v/>
      </c>
      <c r="H337" s="4" t="str" cm="1">
        <f t="array" ref="H337">_xlfn.IFS('ProductSprint Backlog'!$F337="", "", AND('ProductSprint Backlog'!$J337&gt;H$2,'ProductSprint Backlog'!$I337&lt;=H$2), 'ProductSprint Backlog'!$F337 / MAX(1, 'ProductSprint Backlog'!$J337-'ProductSprint Backlog'!$I337), AND('ProductSprint Backlog'!$J337=H$2,'ProductSprint Backlog'!$I337=H$2), 'ProductSprint Backlog'!$F337, TRUE, 0)</f>
        <v/>
      </c>
      <c r="I337" s="4" t="str" cm="1">
        <f t="array" ref="I337">_xlfn.IFS('ProductSprint Backlog'!$F337="", "", AND('ProductSprint Backlog'!$J337&gt;I$2,'ProductSprint Backlog'!$I337&lt;=I$2), 'ProductSprint Backlog'!$F337 / MAX(1, 'ProductSprint Backlog'!$J337-'ProductSprint Backlog'!$I337), AND('ProductSprint Backlog'!$J337=I$2,'ProductSprint Backlog'!$I337=I$2), 'ProductSprint Backlog'!$F337, TRUE, 0)</f>
        <v/>
      </c>
      <c r="J337" s="4" t="str" cm="1">
        <f t="array" ref="J337">_xlfn.IFS('ProductSprint Backlog'!$F337="", "", AND('ProductSprint Backlog'!$J337&gt;J$2,'ProductSprint Backlog'!$I337&lt;=J$2), 'ProductSprint Backlog'!$F337 / MAX(1, 'ProductSprint Backlog'!$J337-'ProductSprint Backlog'!$I337), AND('ProductSprint Backlog'!$J337=J$2,'ProductSprint Backlog'!$I337=J$2), 'ProductSprint Backlog'!$F337, TRUE, 0)</f>
        <v/>
      </c>
      <c r="K337" s="4" t="str" cm="1">
        <f t="array" ref="K337">_xlfn.IFS('ProductSprint Backlog'!$F337="", "", AND('ProductSprint Backlog'!$J337&gt;K$2,'ProductSprint Backlog'!$I337&lt;=K$2), 'ProductSprint Backlog'!$F337 / MAX(1, 'ProductSprint Backlog'!$J337-'ProductSprint Backlog'!$I337), AND('ProductSprint Backlog'!$J337=K$2,'ProductSprint Backlog'!$I337=K$2), 'ProductSprint Backlog'!$F337, TRUE, 0)</f>
        <v/>
      </c>
      <c r="L337" s="4" t="str" cm="1">
        <f t="array" ref="L337">_xlfn.IFS('ProductSprint Backlog'!$F337="", "", AND('ProductSprint Backlog'!$J337&gt;L$2,'ProductSprint Backlog'!$I337&lt;=L$2), 'ProductSprint Backlog'!$F337 / MAX(1, 'ProductSprint Backlog'!$J337-'ProductSprint Backlog'!$I337), AND('ProductSprint Backlog'!$J337=L$2,'ProductSprint Backlog'!$I337=L$2), 'ProductSprint Backlog'!$F337, TRUE, 0)</f>
        <v/>
      </c>
      <c r="M337" s="4" t="str" cm="1">
        <f t="array" ref="M337">_xlfn.IFS('ProductSprint Backlog'!$F337="", "", AND('ProductSprint Backlog'!$J337&gt;M$2,'ProductSprint Backlog'!$I337&lt;=M$2), 'ProductSprint Backlog'!$F337 / MAX(1, 'ProductSprint Backlog'!$J337-'ProductSprint Backlog'!$I337), AND('ProductSprint Backlog'!$J337=M$2,'ProductSprint Backlog'!$I337=M$2), 'ProductSprint Backlog'!$F337, TRUE, 0)</f>
        <v/>
      </c>
      <c r="N337" s="4" t="str" cm="1">
        <f t="array" ref="N337">_xlfn.IFS('ProductSprint Backlog'!$F337="", "", AND('ProductSprint Backlog'!$J337&gt;N$2,'ProductSprint Backlog'!$I337&lt;=N$2), 'ProductSprint Backlog'!$F337 / MAX(1, 'ProductSprint Backlog'!$J337-'ProductSprint Backlog'!$I337), AND('ProductSprint Backlog'!$J337=N$2,'ProductSprint Backlog'!$I337=N$2), 'ProductSprint Backlog'!$F337, TRUE, 0)</f>
        <v/>
      </c>
      <c r="O337" s="4" t="str" cm="1">
        <f t="array" ref="O337">_xlfn.IFS('ProductSprint Backlog'!$F337="", "", AND('ProductSprint Backlog'!$J337&gt;O$2,'ProductSprint Backlog'!$I337&lt;=O$2), 'ProductSprint Backlog'!$F337 / MAX(1, 'ProductSprint Backlog'!$J337-'ProductSprint Backlog'!$I337), AND('ProductSprint Backlog'!$J337=O$2,'ProductSprint Backlog'!$I337=O$2), 'ProductSprint Backlog'!$F337, TRUE, 0)</f>
        <v/>
      </c>
      <c r="P337" s="4" t="str" cm="1">
        <f t="array" ref="P337">_xlfn.IFS('ProductSprint Backlog'!$F337="", "", AND('ProductSprint Backlog'!$J337&gt;P$2,'ProductSprint Backlog'!$I337&lt;=P$2), 'ProductSprint Backlog'!$F337 / MAX(1, 'ProductSprint Backlog'!$J337-'ProductSprint Backlog'!$I337), AND('ProductSprint Backlog'!$J337=P$2,'ProductSprint Backlog'!$I337=P$2), 'ProductSprint Backlog'!$F337, TRUE, 0)</f>
        <v/>
      </c>
      <c r="Q337" s="4" t="str" cm="1">
        <f t="array" ref="Q337">_xlfn.IFS('ProductSprint Backlog'!$F337="", "", AND('ProductSprint Backlog'!$J337&gt;Q$2,'ProductSprint Backlog'!$I337&lt;=Q$2), 'ProductSprint Backlog'!$F337 / MAX(1, 'ProductSprint Backlog'!$J337-'ProductSprint Backlog'!$I337), AND('ProductSprint Backlog'!$J337=Q$2,'ProductSprint Backlog'!$I337=Q$2), 'ProductSprint Backlog'!$F337, TRUE, 0)</f>
        <v/>
      </c>
    </row>
    <row r="338" spans="2:17" x14ac:dyDescent="0.2">
      <c r="B338" s="4" t="str" cm="1">
        <f t="array" ref="B338">_xlfn.IFS('ProductSprint Backlog'!$F338="", "", AND('ProductSprint Backlog'!$J338&gt;B$2,'ProductSprint Backlog'!$I338&lt;=B$2), 'ProductSprint Backlog'!$F338 / MAX(1, 'ProductSprint Backlog'!$J338-'ProductSprint Backlog'!$I338), AND('ProductSprint Backlog'!$J338=B$2,'ProductSprint Backlog'!$I338=B$2), 'ProductSprint Backlog'!$F338, TRUE, 0)</f>
        <v/>
      </c>
      <c r="C338" s="4" t="str" cm="1">
        <f t="array" ref="C338">_xlfn.IFS('ProductSprint Backlog'!$F338="", "", AND('ProductSprint Backlog'!$J338&gt;C$2,'ProductSprint Backlog'!$I338&lt;=C$2), 'ProductSprint Backlog'!$F338 / MAX(1, 'ProductSprint Backlog'!$J338-'ProductSprint Backlog'!$I338), AND('ProductSprint Backlog'!$J338=C$2,'ProductSprint Backlog'!$I338=C$2), 'ProductSprint Backlog'!$F338, TRUE, 0)</f>
        <v/>
      </c>
      <c r="D338" s="4" t="str" cm="1">
        <f t="array" ref="D338">_xlfn.IFS('ProductSprint Backlog'!$F338="", "", AND('ProductSprint Backlog'!$J338&gt;D$2,'ProductSprint Backlog'!$I338&lt;=D$2), 'ProductSprint Backlog'!$F338 / MAX(1, 'ProductSprint Backlog'!$J338-'ProductSprint Backlog'!$I338), AND('ProductSprint Backlog'!$J338=D$2,'ProductSprint Backlog'!$I338=D$2), 'ProductSprint Backlog'!$F338, TRUE, 0)</f>
        <v/>
      </c>
      <c r="E338" s="4" t="str" cm="1">
        <f t="array" ref="E338">_xlfn.IFS('ProductSprint Backlog'!$F338="", "", AND('ProductSprint Backlog'!$J338&gt;E$2,'ProductSprint Backlog'!$I338&lt;=E$2), 'ProductSprint Backlog'!$F338 / MAX(1, 'ProductSprint Backlog'!$J338-'ProductSprint Backlog'!$I338), AND('ProductSprint Backlog'!$J338=E$2,'ProductSprint Backlog'!$I338=E$2), 'ProductSprint Backlog'!$F338, TRUE, 0)</f>
        <v/>
      </c>
      <c r="F338" s="4" t="str" cm="1">
        <f t="array" ref="F338">_xlfn.IFS('ProductSprint Backlog'!$F338="", "", AND('ProductSprint Backlog'!$J338&gt;F$2,'ProductSprint Backlog'!$I338&lt;=F$2), 'ProductSprint Backlog'!$F338 / MAX(1, 'ProductSprint Backlog'!$J338-'ProductSprint Backlog'!$I338), AND('ProductSprint Backlog'!$J338=F$2,'ProductSprint Backlog'!$I338=F$2), 'ProductSprint Backlog'!$F338, TRUE, 0)</f>
        <v/>
      </c>
      <c r="G338" s="4" t="str" cm="1">
        <f t="array" ref="G338">_xlfn.IFS('ProductSprint Backlog'!$F338="", "", AND('ProductSprint Backlog'!$J338&gt;G$2,'ProductSprint Backlog'!$I338&lt;=G$2), 'ProductSprint Backlog'!$F338 / MAX(1, 'ProductSprint Backlog'!$J338-'ProductSprint Backlog'!$I338), AND('ProductSprint Backlog'!$J338=G$2,'ProductSprint Backlog'!$I338=G$2), 'ProductSprint Backlog'!$F338, TRUE, 0)</f>
        <v/>
      </c>
      <c r="H338" s="4" t="str" cm="1">
        <f t="array" ref="H338">_xlfn.IFS('ProductSprint Backlog'!$F338="", "", AND('ProductSprint Backlog'!$J338&gt;H$2,'ProductSprint Backlog'!$I338&lt;=H$2), 'ProductSprint Backlog'!$F338 / MAX(1, 'ProductSprint Backlog'!$J338-'ProductSprint Backlog'!$I338), AND('ProductSprint Backlog'!$J338=H$2,'ProductSprint Backlog'!$I338=H$2), 'ProductSprint Backlog'!$F338, TRUE, 0)</f>
        <v/>
      </c>
      <c r="I338" s="4" t="str" cm="1">
        <f t="array" ref="I338">_xlfn.IFS('ProductSprint Backlog'!$F338="", "", AND('ProductSprint Backlog'!$J338&gt;I$2,'ProductSprint Backlog'!$I338&lt;=I$2), 'ProductSprint Backlog'!$F338 / MAX(1, 'ProductSprint Backlog'!$J338-'ProductSprint Backlog'!$I338), AND('ProductSprint Backlog'!$J338=I$2,'ProductSprint Backlog'!$I338=I$2), 'ProductSprint Backlog'!$F338, TRUE, 0)</f>
        <v/>
      </c>
      <c r="J338" s="4" t="str" cm="1">
        <f t="array" ref="J338">_xlfn.IFS('ProductSprint Backlog'!$F338="", "", AND('ProductSprint Backlog'!$J338&gt;J$2,'ProductSprint Backlog'!$I338&lt;=J$2), 'ProductSprint Backlog'!$F338 / MAX(1, 'ProductSprint Backlog'!$J338-'ProductSprint Backlog'!$I338), AND('ProductSprint Backlog'!$J338=J$2,'ProductSprint Backlog'!$I338=J$2), 'ProductSprint Backlog'!$F338, TRUE, 0)</f>
        <v/>
      </c>
      <c r="K338" s="4" t="str" cm="1">
        <f t="array" ref="K338">_xlfn.IFS('ProductSprint Backlog'!$F338="", "", AND('ProductSprint Backlog'!$J338&gt;K$2,'ProductSprint Backlog'!$I338&lt;=K$2), 'ProductSprint Backlog'!$F338 / MAX(1, 'ProductSprint Backlog'!$J338-'ProductSprint Backlog'!$I338), AND('ProductSprint Backlog'!$J338=K$2,'ProductSprint Backlog'!$I338=K$2), 'ProductSprint Backlog'!$F338, TRUE, 0)</f>
        <v/>
      </c>
      <c r="L338" s="4" t="str" cm="1">
        <f t="array" ref="L338">_xlfn.IFS('ProductSprint Backlog'!$F338="", "", AND('ProductSprint Backlog'!$J338&gt;L$2,'ProductSprint Backlog'!$I338&lt;=L$2), 'ProductSprint Backlog'!$F338 / MAX(1, 'ProductSprint Backlog'!$J338-'ProductSprint Backlog'!$I338), AND('ProductSprint Backlog'!$J338=L$2,'ProductSprint Backlog'!$I338=L$2), 'ProductSprint Backlog'!$F338, TRUE, 0)</f>
        <v/>
      </c>
      <c r="M338" s="4" t="str" cm="1">
        <f t="array" ref="M338">_xlfn.IFS('ProductSprint Backlog'!$F338="", "", AND('ProductSprint Backlog'!$J338&gt;M$2,'ProductSprint Backlog'!$I338&lt;=M$2), 'ProductSprint Backlog'!$F338 / MAX(1, 'ProductSprint Backlog'!$J338-'ProductSprint Backlog'!$I338), AND('ProductSprint Backlog'!$J338=M$2,'ProductSprint Backlog'!$I338=M$2), 'ProductSprint Backlog'!$F338, TRUE, 0)</f>
        <v/>
      </c>
      <c r="N338" s="4" t="str" cm="1">
        <f t="array" ref="N338">_xlfn.IFS('ProductSprint Backlog'!$F338="", "", AND('ProductSprint Backlog'!$J338&gt;N$2,'ProductSprint Backlog'!$I338&lt;=N$2), 'ProductSprint Backlog'!$F338 / MAX(1, 'ProductSprint Backlog'!$J338-'ProductSprint Backlog'!$I338), AND('ProductSprint Backlog'!$J338=N$2,'ProductSprint Backlog'!$I338=N$2), 'ProductSprint Backlog'!$F338, TRUE, 0)</f>
        <v/>
      </c>
      <c r="O338" s="4" t="str" cm="1">
        <f t="array" ref="O338">_xlfn.IFS('ProductSprint Backlog'!$F338="", "", AND('ProductSprint Backlog'!$J338&gt;O$2,'ProductSprint Backlog'!$I338&lt;=O$2), 'ProductSprint Backlog'!$F338 / MAX(1, 'ProductSprint Backlog'!$J338-'ProductSprint Backlog'!$I338), AND('ProductSprint Backlog'!$J338=O$2,'ProductSprint Backlog'!$I338=O$2), 'ProductSprint Backlog'!$F338, TRUE, 0)</f>
        <v/>
      </c>
      <c r="P338" s="4" t="str" cm="1">
        <f t="array" ref="P338">_xlfn.IFS('ProductSprint Backlog'!$F338="", "", AND('ProductSprint Backlog'!$J338&gt;P$2,'ProductSprint Backlog'!$I338&lt;=P$2), 'ProductSprint Backlog'!$F338 / MAX(1, 'ProductSprint Backlog'!$J338-'ProductSprint Backlog'!$I338), AND('ProductSprint Backlog'!$J338=P$2,'ProductSprint Backlog'!$I338=P$2), 'ProductSprint Backlog'!$F338, TRUE, 0)</f>
        <v/>
      </c>
      <c r="Q338" s="4" t="str" cm="1">
        <f t="array" ref="Q338">_xlfn.IFS('ProductSprint Backlog'!$F338="", "", AND('ProductSprint Backlog'!$J338&gt;Q$2,'ProductSprint Backlog'!$I338&lt;=Q$2), 'ProductSprint Backlog'!$F338 / MAX(1, 'ProductSprint Backlog'!$J338-'ProductSprint Backlog'!$I338), AND('ProductSprint Backlog'!$J338=Q$2,'ProductSprint Backlog'!$I338=Q$2), 'ProductSprint Backlog'!$F338, TRUE, 0)</f>
        <v/>
      </c>
    </row>
    <row r="339" spans="2:17" x14ac:dyDescent="0.2">
      <c r="B339" s="4" t="str" cm="1">
        <f t="array" ref="B339">_xlfn.IFS('ProductSprint Backlog'!$F339="", "", AND('ProductSprint Backlog'!$J339&gt;B$2,'ProductSprint Backlog'!$I339&lt;=B$2), 'ProductSprint Backlog'!$F339 / MAX(1, 'ProductSprint Backlog'!$J339-'ProductSprint Backlog'!$I339), AND('ProductSprint Backlog'!$J339=B$2,'ProductSprint Backlog'!$I339=B$2), 'ProductSprint Backlog'!$F339, TRUE, 0)</f>
        <v/>
      </c>
      <c r="C339" s="4" t="str" cm="1">
        <f t="array" ref="C339">_xlfn.IFS('ProductSprint Backlog'!$F339="", "", AND('ProductSprint Backlog'!$J339&gt;C$2,'ProductSprint Backlog'!$I339&lt;=C$2), 'ProductSprint Backlog'!$F339 / MAX(1, 'ProductSprint Backlog'!$J339-'ProductSprint Backlog'!$I339), AND('ProductSprint Backlog'!$J339=C$2,'ProductSprint Backlog'!$I339=C$2), 'ProductSprint Backlog'!$F339, TRUE, 0)</f>
        <v/>
      </c>
      <c r="D339" s="4" t="str" cm="1">
        <f t="array" ref="D339">_xlfn.IFS('ProductSprint Backlog'!$F339="", "", AND('ProductSprint Backlog'!$J339&gt;D$2,'ProductSprint Backlog'!$I339&lt;=D$2), 'ProductSprint Backlog'!$F339 / MAX(1, 'ProductSprint Backlog'!$J339-'ProductSprint Backlog'!$I339), AND('ProductSprint Backlog'!$J339=D$2,'ProductSprint Backlog'!$I339=D$2), 'ProductSprint Backlog'!$F339, TRUE, 0)</f>
        <v/>
      </c>
      <c r="E339" s="4" t="str" cm="1">
        <f t="array" ref="E339">_xlfn.IFS('ProductSprint Backlog'!$F339="", "", AND('ProductSprint Backlog'!$J339&gt;E$2,'ProductSprint Backlog'!$I339&lt;=E$2), 'ProductSprint Backlog'!$F339 / MAX(1, 'ProductSprint Backlog'!$J339-'ProductSprint Backlog'!$I339), AND('ProductSprint Backlog'!$J339=E$2,'ProductSprint Backlog'!$I339=E$2), 'ProductSprint Backlog'!$F339, TRUE, 0)</f>
        <v/>
      </c>
      <c r="F339" s="4" t="str" cm="1">
        <f t="array" ref="F339">_xlfn.IFS('ProductSprint Backlog'!$F339="", "", AND('ProductSprint Backlog'!$J339&gt;F$2,'ProductSprint Backlog'!$I339&lt;=F$2), 'ProductSprint Backlog'!$F339 / MAX(1, 'ProductSprint Backlog'!$J339-'ProductSprint Backlog'!$I339), AND('ProductSprint Backlog'!$J339=F$2,'ProductSprint Backlog'!$I339=F$2), 'ProductSprint Backlog'!$F339, TRUE, 0)</f>
        <v/>
      </c>
      <c r="G339" s="4" t="str" cm="1">
        <f t="array" ref="G339">_xlfn.IFS('ProductSprint Backlog'!$F339="", "", AND('ProductSprint Backlog'!$J339&gt;G$2,'ProductSprint Backlog'!$I339&lt;=G$2), 'ProductSprint Backlog'!$F339 / MAX(1, 'ProductSprint Backlog'!$J339-'ProductSprint Backlog'!$I339), AND('ProductSprint Backlog'!$J339=G$2,'ProductSprint Backlog'!$I339=G$2), 'ProductSprint Backlog'!$F339, TRUE, 0)</f>
        <v/>
      </c>
      <c r="H339" s="4" t="str" cm="1">
        <f t="array" ref="H339">_xlfn.IFS('ProductSprint Backlog'!$F339="", "", AND('ProductSprint Backlog'!$J339&gt;H$2,'ProductSprint Backlog'!$I339&lt;=H$2), 'ProductSprint Backlog'!$F339 / MAX(1, 'ProductSprint Backlog'!$J339-'ProductSprint Backlog'!$I339), AND('ProductSprint Backlog'!$J339=H$2,'ProductSprint Backlog'!$I339=H$2), 'ProductSprint Backlog'!$F339, TRUE, 0)</f>
        <v/>
      </c>
      <c r="I339" s="4" t="str" cm="1">
        <f t="array" ref="I339">_xlfn.IFS('ProductSprint Backlog'!$F339="", "", AND('ProductSprint Backlog'!$J339&gt;I$2,'ProductSprint Backlog'!$I339&lt;=I$2), 'ProductSprint Backlog'!$F339 / MAX(1, 'ProductSprint Backlog'!$J339-'ProductSprint Backlog'!$I339), AND('ProductSprint Backlog'!$J339=I$2,'ProductSprint Backlog'!$I339=I$2), 'ProductSprint Backlog'!$F339, TRUE, 0)</f>
        <v/>
      </c>
      <c r="J339" s="4" t="str" cm="1">
        <f t="array" ref="J339">_xlfn.IFS('ProductSprint Backlog'!$F339="", "", AND('ProductSprint Backlog'!$J339&gt;J$2,'ProductSprint Backlog'!$I339&lt;=J$2), 'ProductSprint Backlog'!$F339 / MAX(1, 'ProductSprint Backlog'!$J339-'ProductSprint Backlog'!$I339), AND('ProductSprint Backlog'!$J339=J$2,'ProductSprint Backlog'!$I339=J$2), 'ProductSprint Backlog'!$F339, TRUE, 0)</f>
        <v/>
      </c>
      <c r="K339" s="4" t="str" cm="1">
        <f t="array" ref="K339">_xlfn.IFS('ProductSprint Backlog'!$F339="", "", AND('ProductSprint Backlog'!$J339&gt;K$2,'ProductSprint Backlog'!$I339&lt;=K$2), 'ProductSprint Backlog'!$F339 / MAX(1, 'ProductSprint Backlog'!$J339-'ProductSprint Backlog'!$I339), AND('ProductSprint Backlog'!$J339=K$2,'ProductSprint Backlog'!$I339=K$2), 'ProductSprint Backlog'!$F339, TRUE, 0)</f>
        <v/>
      </c>
      <c r="L339" s="4" t="str" cm="1">
        <f t="array" ref="L339">_xlfn.IFS('ProductSprint Backlog'!$F339="", "", AND('ProductSprint Backlog'!$J339&gt;L$2,'ProductSprint Backlog'!$I339&lt;=L$2), 'ProductSprint Backlog'!$F339 / MAX(1, 'ProductSprint Backlog'!$J339-'ProductSprint Backlog'!$I339), AND('ProductSprint Backlog'!$J339=L$2,'ProductSprint Backlog'!$I339=L$2), 'ProductSprint Backlog'!$F339, TRUE, 0)</f>
        <v/>
      </c>
      <c r="M339" s="4" t="str" cm="1">
        <f t="array" ref="M339">_xlfn.IFS('ProductSprint Backlog'!$F339="", "", AND('ProductSprint Backlog'!$J339&gt;M$2,'ProductSprint Backlog'!$I339&lt;=M$2), 'ProductSprint Backlog'!$F339 / MAX(1, 'ProductSprint Backlog'!$J339-'ProductSprint Backlog'!$I339), AND('ProductSprint Backlog'!$J339=M$2,'ProductSprint Backlog'!$I339=M$2), 'ProductSprint Backlog'!$F339, TRUE, 0)</f>
        <v/>
      </c>
      <c r="N339" s="4" t="str" cm="1">
        <f t="array" ref="N339">_xlfn.IFS('ProductSprint Backlog'!$F339="", "", AND('ProductSprint Backlog'!$J339&gt;N$2,'ProductSprint Backlog'!$I339&lt;=N$2), 'ProductSprint Backlog'!$F339 / MAX(1, 'ProductSprint Backlog'!$J339-'ProductSprint Backlog'!$I339), AND('ProductSprint Backlog'!$J339=N$2,'ProductSprint Backlog'!$I339=N$2), 'ProductSprint Backlog'!$F339, TRUE, 0)</f>
        <v/>
      </c>
      <c r="O339" s="4" t="str" cm="1">
        <f t="array" ref="O339">_xlfn.IFS('ProductSprint Backlog'!$F339="", "", AND('ProductSprint Backlog'!$J339&gt;O$2,'ProductSprint Backlog'!$I339&lt;=O$2), 'ProductSprint Backlog'!$F339 / MAX(1, 'ProductSprint Backlog'!$J339-'ProductSprint Backlog'!$I339), AND('ProductSprint Backlog'!$J339=O$2,'ProductSprint Backlog'!$I339=O$2), 'ProductSprint Backlog'!$F339, TRUE, 0)</f>
        <v/>
      </c>
      <c r="P339" s="4" t="str" cm="1">
        <f t="array" ref="P339">_xlfn.IFS('ProductSprint Backlog'!$F339="", "", AND('ProductSprint Backlog'!$J339&gt;P$2,'ProductSprint Backlog'!$I339&lt;=P$2), 'ProductSprint Backlog'!$F339 / MAX(1, 'ProductSprint Backlog'!$J339-'ProductSprint Backlog'!$I339), AND('ProductSprint Backlog'!$J339=P$2,'ProductSprint Backlog'!$I339=P$2), 'ProductSprint Backlog'!$F339, TRUE, 0)</f>
        <v/>
      </c>
      <c r="Q339" s="4" t="str" cm="1">
        <f t="array" ref="Q339">_xlfn.IFS('ProductSprint Backlog'!$F339="", "", AND('ProductSprint Backlog'!$J339&gt;Q$2,'ProductSprint Backlog'!$I339&lt;=Q$2), 'ProductSprint Backlog'!$F339 / MAX(1, 'ProductSprint Backlog'!$J339-'ProductSprint Backlog'!$I339), AND('ProductSprint Backlog'!$J339=Q$2,'ProductSprint Backlog'!$I339=Q$2), 'ProductSprint Backlog'!$F339, TRUE, 0)</f>
        <v/>
      </c>
    </row>
    <row r="340" spans="2:17" x14ac:dyDescent="0.2">
      <c r="B340" s="4" t="str" cm="1">
        <f t="array" ref="B340">_xlfn.IFS('ProductSprint Backlog'!$F340="", "", AND('ProductSprint Backlog'!$J340&gt;B$2,'ProductSprint Backlog'!$I340&lt;=B$2), 'ProductSprint Backlog'!$F340 / MAX(1, 'ProductSprint Backlog'!$J340-'ProductSprint Backlog'!$I340), AND('ProductSprint Backlog'!$J340=B$2,'ProductSprint Backlog'!$I340=B$2), 'ProductSprint Backlog'!$F340, TRUE, 0)</f>
        <v/>
      </c>
      <c r="C340" s="4" t="str" cm="1">
        <f t="array" ref="C340">_xlfn.IFS('ProductSprint Backlog'!$F340="", "", AND('ProductSprint Backlog'!$J340&gt;C$2,'ProductSprint Backlog'!$I340&lt;=C$2), 'ProductSprint Backlog'!$F340 / MAX(1, 'ProductSprint Backlog'!$J340-'ProductSprint Backlog'!$I340), AND('ProductSprint Backlog'!$J340=C$2,'ProductSprint Backlog'!$I340=C$2), 'ProductSprint Backlog'!$F340, TRUE, 0)</f>
        <v/>
      </c>
      <c r="D340" s="4" t="str" cm="1">
        <f t="array" ref="D340">_xlfn.IFS('ProductSprint Backlog'!$F340="", "", AND('ProductSprint Backlog'!$J340&gt;D$2,'ProductSprint Backlog'!$I340&lt;=D$2), 'ProductSprint Backlog'!$F340 / MAX(1, 'ProductSprint Backlog'!$J340-'ProductSprint Backlog'!$I340), AND('ProductSprint Backlog'!$J340=D$2,'ProductSprint Backlog'!$I340=D$2), 'ProductSprint Backlog'!$F340, TRUE, 0)</f>
        <v/>
      </c>
      <c r="E340" s="4" t="str" cm="1">
        <f t="array" ref="E340">_xlfn.IFS('ProductSprint Backlog'!$F340="", "", AND('ProductSprint Backlog'!$J340&gt;E$2,'ProductSprint Backlog'!$I340&lt;=E$2), 'ProductSprint Backlog'!$F340 / MAX(1, 'ProductSprint Backlog'!$J340-'ProductSprint Backlog'!$I340), AND('ProductSprint Backlog'!$J340=E$2,'ProductSprint Backlog'!$I340=E$2), 'ProductSprint Backlog'!$F340, TRUE, 0)</f>
        <v/>
      </c>
      <c r="F340" s="4" t="str" cm="1">
        <f t="array" ref="F340">_xlfn.IFS('ProductSprint Backlog'!$F340="", "", AND('ProductSprint Backlog'!$J340&gt;F$2,'ProductSprint Backlog'!$I340&lt;=F$2), 'ProductSprint Backlog'!$F340 / MAX(1, 'ProductSprint Backlog'!$J340-'ProductSprint Backlog'!$I340), AND('ProductSprint Backlog'!$J340=F$2,'ProductSprint Backlog'!$I340=F$2), 'ProductSprint Backlog'!$F340, TRUE, 0)</f>
        <v/>
      </c>
      <c r="G340" s="4" t="str" cm="1">
        <f t="array" ref="G340">_xlfn.IFS('ProductSprint Backlog'!$F340="", "", AND('ProductSprint Backlog'!$J340&gt;G$2,'ProductSprint Backlog'!$I340&lt;=G$2), 'ProductSprint Backlog'!$F340 / MAX(1, 'ProductSprint Backlog'!$J340-'ProductSprint Backlog'!$I340), AND('ProductSprint Backlog'!$J340=G$2,'ProductSprint Backlog'!$I340=G$2), 'ProductSprint Backlog'!$F340, TRUE, 0)</f>
        <v/>
      </c>
      <c r="H340" s="4" t="str" cm="1">
        <f t="array" ref="H340">_xlfn.IFS('ProductSprint Backlog'!$F340="", "", AND('ProductSprint Backlog'!$J340&gt;H$2,'ProductSprint Backlog'!$I340&lt;=H$2), 'ProductSprint Backlog'!$F340 / MAX(1, 'ProductSprint Backlog'!$J340-'ProductSprint Backlog'!$I340), AND('ProductSprint Backlog'!$J340=H$2,'ProductSprint Backlog'!$I340=H$2), 'ProductSprint Backlog'!$F340, TRUE, 0)</f>
        <v/>
      </c>
      <c r="I340" s="4" t="str" cm="1">
        <f t="array" ref="I340">_xlfn.IFS('ProductSprint Backlog'!$F340="", "", AND('ProductSprint Backlog'!$J340&gt;I$2,'ProductSprint Backlog'!$I340&lt;=I$2), 'ProductSprint Backlog'!$F340 / MAX(1, 'ProductSprint Backlog'!$J340-'ProductSprint Backlog'!$I340), AND('ProductSprint Backlog'!$J340=I$2,'ProductSprint Backlog'!$I340=I$2), 'ProductSprint Backlog'!$F340, TRUE, 0)</f>
        <v/>
      </c>
      <c r="J340" s="4" t="str" cm="1">
        <f t="array" ref="J340">_xlfn.IFS('ProductSprint Backlog'!$F340="", "", AND('ProductSprint Backlog'!$J340&gt;J$2,'ProductSprint Backlog'!$I340&lt;=J$2), 'ProductSprint Backlog'!$F340 / MAX(1, 'ProductSprint Backlog'!$J340-'ProductSprint Backlog'!$I340), AND('ProductSprint Backlog'!$J340=J$2,'ProductSprint Backlog'!$I340=J$2), 'ProductSprint Backlog'!$F340, TRUE, 0)</f>
        <v/>
      </c>
      <c r="K340" s="4" t="str" cm="1">
        <f t="array" ref="K340">_xlfn.IFS('ProductSprint Backlog'!$F340="", "", AND('ProductSprint Backlog'!$J340&gt;K$2,'ProductSprint Backlog'!$I340&lt;=K$2), 'ProductSprint Backlog'!$F340 / MAX(1, 'ProductSprint Backlog'!$J340-'ProductSprint Backlog'!$I340), AND('ProductSprint Backlog'!$J340=K$2,'ProductSprint Backlog'!$I340=K$2), 'ProductSprint Backlog'!$F340, TRUE, 0)</f>
        <v/>
      </c>
      <c r="L340" s="4" t="str" cm="1">
        <f t="array" ref="L340">_xlfn.IFS('ProductSprint Backlog'!$F340="", "", AND('ProductSprint Backlog'!$J340&gt;L$2,'ProductSprint Backlog'!$I340&lt;=L$2), 'ProductSprint Backlog'!$F340 / MAX(1, 'ProductSprint Backlog'!$J340-'ProductSprint Backlog'!$I340), AND('ProductSprint Backlog'!$J340=L$2,'ProductSprint Backlog'!$I340=L$2), 'ProductSprint Backlog'!$F340, TRUE, 0)</f>
        <v/>
      </c>
      <c r="M340" s="4" t="str" cm="1">
        <f t="array" ref="M340">_xlfn.IFS('ProductSprint Backlog'!$F340="", "", AND('ProductSprint Backlog'!$J340&gt;M$2,'ProductSprint Backlog'!$I340&lt;=M$2), 'ProductSprint Backlog'!$F340 / MAX(1, 'ProductSprint Backlog'!$J340-'ProductSprint Backlog'!$I340), AND('ProductSprint Backlog'!$J340=M$2,'ProductSprint Backlog'!$I340=M$2), 'ProductSprint Backlog'!$F340, TRUE, 0)</f>
        <v/>
      </c>
      <c r="N340" s="4" t="str" cm="1">
        <f t="array" ref="N340">_xlfn.IFS('ProductSprint Backlog'!$F340="", "", AND('ProductSprint Backlog'!$J340&gt;N$2,'ProductSprint Backlog'!$I340&lt;=N$2), 'ProductSprint Backlog'!$F340 / MAX(1, 'ProductSprint Backlog'!$J340-'ProductSprint Backlog'!$I340), AND('ProductSprint Backlog'!$J340=N$2,'ProductSprint Backlog'!$I340=N$2), 'ProductSprint Backlog'!$F340, TRUE, 0)</f>
        <v/>
      </c>
      <c r="O340" s="4" t="str" cm="1">
        <f t="array" ref="O340">_xlfn.IFS('ProductSprint Backlog'!$F340="", "", AND('ProductSprint Backlog'!$J340&gt;O$2,'ProductSprint Backlog'!$I340&lt;=O$2), 'ProductSprint Backlog'!$F340 / MAX(1, 'ProductSprint Backlog'!$J340-'ProductSprint Backlog'!$I340), AND('ProductSprint Backlog'!$J340=O$2,'ProductSprint Backlog'!$I340=O$2), 'ProductSprint Backlog'!$F340, TRUE, 0)</f>
        <v/>
      </c>
      <c r="P340" s="4" t="str" cm="1">
        <f t="array" ref="P340">_xlfn.IFS('ProductSprint Backlog'!$F340="", "", AND('ProductSprint Backlog'!$J340&gt;P$2,'ProductSprint Backlog'!$I340&lt;=P$2), 'ProductSprint Backlog'!$F340 / MAX(1, 'ProductSprint Backlog'!$J340-'ProductSprint Backlog'!$I340), AND('ProductSprint Backlog'!$J340=P$2,'ProductSprint Backlog'!$I340=P$2), 'ProductSprint Backlog'!$F340, TRUE, 0)</f>
        <v/>
      </c>
      <c r="Q340" s="4" t="str" cm="1">
        <f t="array" ref="Q340">_xlfn.IFS('ProductSprint Backlog'!$F340="", "", AND('ProductSprint Backlog'!$J340&gt;Q$2,'ProductSprint Backlog'!$I340&lt;=Q$2), 'ProductSprint Backlog'!$F340 / MAX(1, 'ProductSprint Backlog'!$J340-'ProductSprint Backlog'!$I340), AND('ProductSprint Backlog'!$J340=Q$2,'ProductSprint Backlog'!$I340=Q$2), 'ProductSprint Backlog'!$F340, TRUE, 0)</f>
        <v/>
      </c>
    </row>
    <row r="341" spans="2:17" x14ac:dyDescent="0.2">
      <c r="B341" s="4" t="str" cm="1">
        <f t="array" ref="B341">_xlfn.IFS('ProductSprint Backlog'!$F341="", "", AND('ProductSprint Backlog'!$J341&gt;B$2,'ProductSprint Backlog'!$I341&lt;=B$2), 'ProductSprint Backlog'!$F341 / MAX(1, 'ProductSprint Backlog'!$J341-'ProductSprint Backlog'!$I341), AND('ProductSprint Backlog'!$J341=B$2,'ProductSprint Backlog'!$I341=B$2), 'ProductSprint Backlog'!$F341, TRUE, 0)</f>
        <v/>
      </c>
      <c r="C341" s="4" t="str" cm="1">
        <f t="array" ref="C341">_xlfn.IFS('ProductSprint Backlog'!$F341="", "", AND('ProductSprint Backlog'!$J341&gt;C$2,'ProductSprint Backlog'!$I341&lt;=C$2), 'ProductSprint Backlog'!$F341 / MAX(1, 'ProductSprint Backlog'!$J341-'ProductSprint Backlog'!$I341), AND('ProductSprint Backlog'!$J341=C$2,'ProductSprint Backlog'!$I341=C$2), 'ProductSprint Backlog'!$F341, TRUE, 0)</f>
        <v/>
      </c>
      <c r="D341" s="4" t="str" cm="1">
        <f t="array" ref="D341">_xlfn.IFS('ProductSprint Backlog'!$F341="", "", AND('ProductSprint Backlog'!$J341&gt;D$2,'ProductSprint Backlog'!$I341&lt;=D$2), 'ProductSprint Backlog'!$F341 / MAX(1, 'ProductSprint Backlog'!$J341-'ProductSprint Backlog'!$I341), AND('ProductSprint Backlog'!$J341=D$2,'ProductSprint Backlog'!$I341=D$2), 'ProductSprint Backlog'!$F341, TRUE, 0)</f>
        <v/>
      </c>
      <c r="E341" s="4" t="str" cm="1">
        <f t="array" ref="E341">_xlfn.IFS('ProductSprint Backlog'!$F341="", "", AND('ProductSprint Backlog'!$J341&gt;E$2,'ProductSprint Backlog'!$I341&lt;=E$2), 'ProductSprint Backlog'!$F341 / MAX(1, 'ProductSprint Backlog'!$J341-'ProductSprint Backlog'!$I341), AND('ProductSprint Backlog'!$J341=E$2,'ProductSprint Backlog'!$I341=E$2), 'ProductSprint Backlog'!$F341, TRUE, 0)</f>
        <v/>
      </c>
      <c r="F341" s="4" t="str" cm="1">
        <f t="array" ref="F341">_xlfn.IFS('ProductSprint Backlog'!$F341="", "", AND('ProductSprint Backlog'!$J341&gt;F$2,'ProductSprint Backlog'!$I341&lt;=F$2), 'ProductSprint Backlog'!$F341 / MAX(1, 'ProductSprint Backlog'!$J341-'ProductSprint Backlog'!$I341), AND('ProductSprint Backlog'!$J341=F$2,'ProductSprint Backlog'!$I341=F$2), 'ProductSprint Backlog'!$F341, TRUE, 0)</f>
        <v/>
      </c>
      <c r="G341" s="4" t="str" cm="1">
        <f t="array" ref="G341">_xlfn.IFS('ProductSprint Backlog'!$F341="", "", AND('ProductSprint Backlog'!$J341&gt;G$2,'ProductSprint Backlog'!$I341&lt;=G$2), 'ProductSprint Backlog'!$F341 / MAX(1, 'ProductSprint Backlog'!$J341-'ProductSprint Backlog'!$I341), AND('ProductSprint Backlog'!$J341=G$2,'ProductSprint Backlog'!$I341=G$2), 'ProductSprint Backlog'!$F341, TRUE, 0)</f>
        <v/>
      </c>
      <c r="H341" s="4" t="str" cm="1">
        <f t="array" ref="H341">_xlfn.IFS('ProductSprint Backlog'!$F341="", "", AND('ProductSprint Backlog'!$J341&gt;H$2,'ProductSprint Backlog'!$I341&lt;=H$2), 'ProductSprint Backlog'!$F341 / MAX(1, 'ProductSprint Backlog'!$J341-'ProductSprint Backlog'!$I341), AND('ProductSprint Backlog'!$J341=H$2,'ProductSprint Backlog'!$I341=H$2), 'ProductSprint Backlog'!$F341, TRUE, 0)</f>
        <v/>
      </c>
      <c r="I341" s="4" t="str" cm="1">
        <f t="array" ref="I341">_xlfn.IFS('ProductSprint Backlog'!$F341="", "", AND('ProductSprint Backlog'!$J341&gt;I$2,'ProductSprint Backlog'!$I341&lt;=I$2), 'ProductSprint Backlog'!$F341 / MAX(1, 'ProductSprint Backlog'!$J341-'ProductSprint Backlog'!$I341), AND('ProductSprint Backlog'!$J341=I$2,'ProductSprint Backlog'!$I341=I$2), 'ProductSprint Backlog'!$F341, TRUE, 0)</f>
        <v/>
      </c>
      <c r="J341" s="4" t="str" cm="1">
        <f t="array" ref="J341">_xlfn.IFS('ProductSprint Backlog'!$F341="", "", AND('ProductSprint Backlog'!$J341&gt;J$2,'ProductSprint Backlog'!$I341&lt;=J$2), 'ProductSprint Backlog'!$F341 / MAX(1, 'ProductSprint Backlog'!$J341-'ProductSprint Backlog'!$I341), AND('ProductSprint Backlog'!$J341=J$2,'ProductSprint Backlog'!$I341=J$2), 'ProductSprint Backlog'!$F341, TRUE, 0)</f>
        <v/>
      </c>
      <c r="K341" s="4" t="str" cm="1">
        <f t="array" ref="K341">_xlfn.IFS('ProductSprint Backlog'!$F341="", "", AND('ProductSprint Backlog'!$J341&gt;K$2,'ProductSprint Backlog'!$I341&lt;=K$2), 'ProductSprint Backlog'!$F341 / MAX(1, 'ProductSprint Backlog'!$J341-'ProductSprint Backlog'!$I341), AND('ProductSprint Backlog'!$J341=K$2,'ProductSprint Backlog'!$I341=K$2), 'ProductSprint Backlog'!$F341, TRUE, 0)</f>
        <v/>
      </c>
      <c r="L341" s="4" t="str" cm="1">
        <f t="array" ref="L341">_xlfn.IFS('ProductSprint Backlog'!$F341="", "", AND('ProductSprint Backlog'!$J341&gt;L$2,'ProductSprint Backlog'!$I341&lt;=L$2), 'ProductSprint Backlog'!$F341 / MAX(1, 'ProductSprint Backlog'!$J341-'ProductSprint Backlog'!$I341), AND('ProductSprint Backlog'!$J341=L$2,'ProductSprint Backlog'!$I341=L$2), 'ProductSprint Backlog'!$F341, TRUE, 0)</f>
        <v/>
      </c>
      <c r="M341" s="4" t="str" cm="1">
        <f t="array" ref="M341">_xlfn.IFS('ProductSprint Backlog'!$F341="", "", AND('ProductSprint Backlog'!$J341&gt;M$2,'ProductSprint Backlog'!$I341&lt;=M$2), 'ProductSprint Backlog'!$F341 / MAX(1, 'ProductSprint Backlog'!$J341-'ProductSprint Backlog'!$I341), AND('ProductSprint Backlog'!$J341=M$2,'ProductSprint Backlog'!$I341=M$2), 'ProductSprint Backlog'!$F341, TRUE, 0)</f>
        <v/>
      </c>
      <c r="N341" s="4" t="str" cm="1">
        <f t="array" ref="N341">_xlfn.IFS('ProductSprint Backlog'!$F341="", "", AND('ProductSprint Backlog'!$J341&gt;N$2,'ProductSprint Backlog'!$I341&lt;=N$2), 'ProductSprint Backlog'!$F341 / MAX(1, 'ProductSprint Backlog'!$J341-'ProductSprint Backlog'!$I341), AND('ProductSprint Backlog'!$J341=N$2,'ProductSprint Backlog'!$I341=N$2), 'ProductSprint Backlog'!$F341, TRUE, 0)</f>
        <v/>
      </c>
      <c r="O341" s="4" t="str" cm="1">
        <f t="array" ref="O341">_xlfn.IFS('ProductSprint Backlog'!$F341="", "", AND('ProductSprint Backlog'!$J341&gt;O$2,'ProductSprint Backlog'!$I341&lt;=O$2), 'ProductSprint Backlog'!$F341 / MAX(1, 'ProductSprint Backlog'!$J341-'ProductSprint Backlog'!$I341), AND('ProductSprint Backlog'!$J341=O$2,'ProductSprint Backlog'!$I341=O$2), 'ProductSprint Backlog'!$F341, TRUE, 0)</f>
        <v/>
      </c>
      <c r="P341" s="4" t="str" cm="1">
        <f t="array" ref="P341">_xlfn.IFS('ProductSprint Backlog'!$F341="", "", AND('ProductSprint Backlog'!$J341&gt;P$2,'ProductSprint Backlog'!$I341&lt;=P$2), 'ProductSprint Backlog'!$F341 / MAX(1, 'ProductSprint Backlog'!$J341-'ProductSprint Backlog'!$I341), AND('ProductSprint Backlog'!$J341=P$2,'ProductSprint Backlog'!$I341=P$2), 'ProductSprint Backlog'!$F341, TRUE, 0)</f>
        <v/>
      </c>
      <c r="Q341" s="4" t="str" cm="1">
        <f t="array" ref="Q341">_xlfn.IFS('ProductSprint Backlog'!$F341="", "", AND('ProductSprint Backlog'!$J341&gt;Q$2,'ProductSprint Backlog'!$I341&lt;=Q$2), 'ProductSprint Backlog'!$F341 / MAX(1, 'ProductSprint Backlog'!$J341-'ProductSprint Backlog'!$I341), AND('ProductSprint Backlog'!$J341=Q$2,'ProductSprint Backlog'!$I341=Q$2), 'ProductSprint Backlog'!$F341, TRUE, 0)</f>
        <v/>
      </c>
    </row>
    <row r="342" spans="2:17" x14ac:dyDescent="0.2">
      <c r="B342" s="4" t="str" cm="1">
        <f t="array" ref="B342">_xlfn.IFS('ProductSprint Backlog'!$F342="", "", AND('ProductSprint Backlog'!$J342&gt;B$2,'ProductSprint Backlog'!$I342&lt;=B$2), 'ProductSprint Backlog'!$F342 / MAX(1, 'ProductSprint Backlog'!$J342-'ProductSprint Backlog'!$I342), AND('ProductSprint Backlog'!$J342=B$2,'ProductSprint Backlog'!$I342=B$2), 'ProductSprint Backlog'!$F342, TRUE, 0)</f>
        <v/>
      </c>
      <c r="C342" s="4" t="str" cm="1">
        <f t="array" ref="C342">_xlfn.IFS('ProductSprint Backlog'!$F342="", "", AND('ProductSprint Backlog'!$J342&gt;C$2,'ProductSprint Backlog'!$I342&lt;=C$2), 'ProductSprint Backlog'!$F342 / MAX(1, 'ProductSprint Backlog'!$J342-'ProductSprint Backlog'!$I342), AND('ProductSprint Backlog'!$J342=C$2,'ProductSprint Backlog'!$I342=C$2), 'ProductSprint Backlog'!$F342, TRUE, 0)</f>
        <v/>
      </c>
      <c r="D342" s="4" t="str" cm="1">
        <f t="array" ref="D342">_xlfn.IFS('ProductSprint Backlog'!$F342="", "", AND('ProductSprint Backlog'!$J342&gt;D$2,'ProductSprint Backlog'!$I342&lt;=D$2), 'ProductSprint Backlog'!$F342 / MAX(1, 'ProductSprint Backlog'!$J342-'ProductSprint Backlog'!$I342), AND('ProductSprint Backlog'!$J342=D$2,'ProductSprint Backlog'!$I342=D$2), 'ProductSprint Backlog'!$F342, TRUE, 0)</f>
        <v/>
      </c>
      <c r="E342" s="4" t="str" cm="1">
        <f t="array" ref="E342">_xlfn.IFS('ProductSprint Backlog'!$F342="", "", AND('ProductSprint Backlog'!$J342&gt;E$2,'ProductSprint Backlog'!$I342&lt;=E$2), 'ProductSprint Backlog'!$F342 / MAX(1, 'ProductSprint Backlog'!$J342-'ProductSprint Backlog'!$I342), AND('ProductSprint Backlog'!$J342=E$2,'ProductSprint Backlog'!$I342=E$2), 'ProductSprint Backlog'!$F342, TRUE, 0)</f>
        <v/>
      </c>
      <c r="F342" s="4" t="str" cm="1">
        <f t="array" ref="F342">_xlfn.IFS('ProductSprint Backlog'!$F342="", "", AND('ProductSprint Backlog'!$J342&gt;F$2,'ProductSprint Backlog'!$I342&lt;=F$2), 'ProductSprint Backlog'!$F342 / MAX(1, 'ProductSprint Backlog'!$J342-'ProductSprint Backlog'!$I342), AND('ProductSprint Backlog'!$J342=F$2,'ProductSprint Backlog'!$I342=F$2), 'ProductSprint Backlog'!$F342, TRUE, 0)</f>
        <v/>
      </c>
      <c r="G342" s="4" t="str" cm="1">
        <f t="array" ref="G342">_xlfn.IFS('ProductSprint Backlog'!$F342="", "", AND('ProductSprint Backlog'!$J342&gt;G$2,'ProductSprint Backlog'!$I342&lt;=G$2), 'ProductSprint Backlog'!$F342 / MAX(1, 'ProductSprint Backlog'!$J342-'ProductSprint Backlog'!$I342), AND('ProductSprint Backlog'!$J342=G$2,'ProductSprint Backlog'!$I342=G$2), 'ProductSprint Backlog'!$F342, TRUE, 0)</f>
        <v/>
      </c>
      <c r="H342" s="4" t="str" cm="1">
        <f t="array" ref="H342">_xlfn.IFS('ProductSprint Backlog'!$F342="", "", AND('ProductSprint Backlog'!$J342&gt;H$2,'ProductSprint Backlog'!$I342&lt;=H$2), 'ProductSprint Backlog'!$F342 / MAX(1, 'ProductSprint Backlog'!$J342-'ProductSprint Backlog'!$I342), AND('ProductSprint Backlog'!$J342=H$2,'ProductSprint Backlog'!$I342=H$2), 'ProductSprint Backlog'!$F342, TRUE, 0)</f>
        <v/>
      </c>
      <c r="I342" s="4" t="str" cm="1">
        <f t="array" ref="I342">_xlfn.IFS('ProductSprint Backlog'!$F342="", "", AND('ProductSprint Backlog'!$J342&gt;I$2,'ProductSprint Backlog'!$I342&lt;=I$2), 'ProductSprint Backlog'!$F342 / MAX(1, 'ProductSprint Backlog'!$J342-'ProductSprint Backlog'!$I342), AND('ProductSprint Backlog'!$J342=I$2,'ProductSprint Backlog'!$I342=I$2), 'ProductSprint Backlog'!$F342, TRUE, 0)</f>
        <v/>
      </c>
      <c r="J342" s="4" t="str" cm="1">
        <f t="array" ref="J342">_xlfn.IFS('ProductSprint Backlog'!$F342="", "", AND('ProductSprint Backlog'!$J342&gt;J$2,'ProductSprint Backlog'!$I342&lt;=J$2), 'ProductSprint Backlog'!$F342 / MAX(1, 'ProductSprint Backlog'!$J342-'ProductSprint Backlog'!$I342), AND('ProductSprint Backlog'!$J342=J$2,'ProductSprint Backlog'!$I342=J$2), 'ProductSprint Backlog'!$F342, TRUE, 0)</f>
        <v/>
      </c>
      <c r="K342" s="4" t="str" cm="1">
        <f t="array" ref="K342">_xlfn.IFS('ProductSprint Backlog'!$F342="", "", AND('ProductSprint Backlog'!$J342&gt;K$2,'ProductSprint Backlog'!$I342&lt;=K$2), 'ProductSprint Backlog'!$F342 / MAX(1, 'ProductSprint Backlog'!$J342-'ProductSprint Backlog'!$I342), AND('ProductSprint Backlog'!$J342=K$2,'ProductSprint Backlog'!$I342=K$2), 'ProductSprint Backlog'!$F342, TRUE, 0)</f>
        <v/>
      </c>
      <c r="L342" s="4" t="str" cm="1">
        <f t="array" ref="L342">_xlfn.IFS('ProductSprint Backlog'!$F342="", "", AND('ProductSprint Backlog'!$J342&gt;L$2,'ProductSprint Backlog'!$I342&lt;=L$2), 'ProductSprint Backlog'!$F342 / MAX(1, 'ProductSprint Backlog'!$J342-'ProductSprint Backlog'!$I342), AND('ProductSprint Backlog'!$J342=L$2,'ProductSprint Backlog'!$I342=L$2), 'ProductSprint Backlog'!$F342, TRUE, 0)</f>
        <v/>
      </c>
      <c r="M342" s="4" t="str" cm="1">
        <f t="array" ref="M342">_xlfn.IFS('ProductSprint Backlog'!$F342="", "", AND('ProductSprint Backlog'!$J342&gt;M$2,'ProductSprint Backlog'!$I342&lt;=M$2), 'ProductSprint Backlog'!$F342 / MAX(1, 'ProductSprint Backlog'!$J342-'ProductSprint Backlog'!$I342), AND('ProductSprint Backlog'!$J342=M$2,'ProductSprint Backlog'!$I342=M$2), 'ProductSprint Backlog'!$F342, TRUE, 0)</f>
        <v/>
      </c>
      <c r="N342" s="4" t="str" cm="1">
        <f t="array" ref="N342">_xlfn.IFS('ProductSprint Backlog'!$F342="", "", AND('ProductSprint Backlog'!$J342&gt;N$2,'ProductSprint Backlog'!$I342&lt;=N$2), 'ProductSprint Backlog'!$F342 / MAX(1, 'ProductSprint Backlog'!$J342-'ProductSprint Backlog'!$I342), AND('ProductSprint Backlog'!$J342=N$2,'ProductSprint Backlog'!$I342=N$2), 'ProductSprint Backlog'!$F342, TRUE, 0)</f>
        <v/>
      </c>
      <c r="O342" s="4" t="str" cm="1">
        <f t="array" ref="O342">_xlfn.IFS('ProductSprint Backlog'!$F342="", "", AND('ProductSprint Backlog'!$J342&gt;O$2,'ProductSprint Backlog'!$I342&lt;=O$2), 'ProductSprint Backlog'!$F342 / MAX(1, 'ProductSprint Backlog'!$J342-'ProductSprint Backlog'!$I342), AND('ProductSprint Backlog'!$J342=O$2,'ProductSprint Backlog'!$I342=O$2), 'ProductSprint Backlog'!$F342, TRUE, 0)</f>
        <v/>
      </c>
      <c r="P342" s="4" t="str" cm="1">
        <f t="array" ref="P342">_xlfn.IFS('ProductSprint Backlog'!$F342="", "", AND('ProductSprint Backlog'!$J342&gt;P$2,'ProductSprint Backlog'!$I342&lt;=P$2), 'ProductSprint Backlog'!$F342 / MAX(1, 'ProductSprint Backlog'!$J342-'ProductSprint Backlog'!$I342), AND('ProductSprint Backlog'!$J342=P$2,'ProductSprint Backlog'!$I342=P$2), 'ProductSprint Backlog'!$F342, TRUE, 0)</f>
        <v/>
      </c>
      <c r="Q342" s="4" t="str" cm="1">
        <f t="array" ref="Q342">_xlfn.IFS('ProductSprint Backlog'!$F342="", "", AND('ProductSprint Backlog'!$J342&gt;Q$2,'ProductSprint Backlog'!$I342&lt;=Q$2), 'ProductSprint Backlog'!$F342 / MAX(1, 'ProductSprint Backlog'!$J342-'ProductSprint Backlog'!$I342), AND('ProductSprint Backlog'!$J342=Q$2,'ProductSprint Backlog'!$I342=Q$2), 'ProductSprint Backlog'!$F342, TRUE, 0)</f>
        <v/>
      </c>
    </row>
    <row r="343" spans="2:17" x14ac:dyDescent="0.2">
      <c r="B343" s="4" t="str" cm="1">
        <f t="array" ref="B343">_xlfn.IFS('ProductSprint Backlog'!$F343="", "", AND('ProductSprint Backlog'!$J343&gt;B$2,'ProductSprint Backlog'!$I343&lt;=B$2), 'ProductSprint Backlog'!$F343 / MAX(1, 'ProductSprint Backlog'!$J343-'ProductSprint Backlog'!$I343), AND('ProductSprint Backlog'!$J343=B$2,'ProductSprint Backlog'!$I343=B$2), 'ProductSprint Backlog'!$F343, TRUE, 0)</f>
        <v/>
      </c>
      <c r="C343" s="4" t="str" cm="1">
        <f t="array" ref="C343">_xlfn.IFS('ProductSprint Backlog'!$F343="", "", AND('ProductSprint Backlog'!$J343&gt;C$2,'ProductSprint Backlog'!$I343&lt;=C$2), 'ProductSprint Backlog'!$F343 / MAX(1, 'ProductSprint Backlog'!$J343-'ProductSprint Backlog'!$I343), AND('ProductSprint Backlog'!$J343=C$2,'ProductSprint Backlog'!$I343=C$2), 'ProductSprint Backlog'!$F343, TRUE, 0)</f>
        <v/>
      </c>
      <c r="D343" s="4" t="str" cm="1">
        <f t="array" ref="D343">_xlfn.IFS('ProductSprint Backlog'!$F343="", "", AND('ProductSprint Backlog'!$J343&gt;D$2,'ProductSprint Backlog'!$I343&lt;=D$2), 'ProductSprint Backlog'!$F343 / MAX(1, 'ProductSprint Backlog'!$J343-'ProductSprint Backlog'!$I343), AND('ProductSprint Backlog'!$J343=D$2,'ProductSprint Backlog'!$I343=D$2), 'ProductSprint Backlog'!$F343, TRUE, 0)</f>
        <v/>
      </c>
      <c r="E343" s="4" t="str" cm="1">
        <f t="array" ref="E343">_xlfn.IFS('ProductSprint Backlog'!$F343="", "", AND('ProductSprint Backlog'!$J343&gt;E$2,'ProductSprint Backlog'!$I343&lt;=E$2), 'ProductSprint Backlog'!$F343 / MAX(1, 'ProductSprint Backlog'!$J343-'ProductSprint Backlog'!$I343), AND('ProductSprint Backlog'!$J343=E$2,'ProductSprint Backlog'!$I343=E$2), 'ProductSprint Backlog'!$F343, TRUE, 0)</f>
        <v/>
      </c>
      <c r="F343" s="4" t="str" cm="1">
        <f t="array" ref="F343">_xlfn.IFS('ProductSprint Backlog'!$F343="", "", AND('ProductSprint Backlog'!$J343&gt;F$2,'ProductSprint Backlog'!$I343&lt;=F$2), 'ProductSprint Backlog'!$F343 / MAX(1, 'ProductSprint Backlog'!$J343-'ProductSprint Backlog'!$I343), AND('ProductSprint Backlog'!$J343=F$2,'ProductSprint Backlog'!$I343=F$2), 'ProductSprint Backlog'!$F343, TRUE, 0)</f>
        <v/>
      </c>
      <c r="G343" s="4" t="str" cm="1">
        <f t="array" ref="G343">_xlfn.IFS('ProductSprint Backlog'!$F343="", "", AND('ProductSprint Backlog'!$J343&gt;G$2,'ProductSprint Backlog'!$I343&lt;=G$2), 'ProductSprint Backlog'!$F343 / MAX(1, 'ProductSprint Backlog'!$J343-'ProductSprint Backlog'!$I343), AND('ProductSprint Backlog'!$J343=G$2,'ProductSprint Backlog'!$I343=G$2), 'ProductSprint Backlog'!$F343, TRUE, 0)</f>
        <v/>
      </c>
      <c r="H343" s="4" t="str" cm="1">
        <f t="array" ref="H343">_xlfn.IFS('ProductSprint Backlog'!$F343="", "", AND('ProductSprint Backlog'!$J343&gt;H$2,'ProductSprint Backlog'!$I343&lt;=H$2), 'ProductSprint Backlog'!$F343 / MAX(1, 'ProductSprint Backlog'!$J343-'ProductSprint Backlog'!$I343), AND('ProductSprint Backlog'!$J343=H$2,'ProductSprint Backlog'!$I343=H$2), 'ProductSprint Backlog'!$F343, TRUE, 0)</f>
        <v/>
      </c>
      <c r="I343" s="4" t="str" cm="1">
        <f t="array" ref="I343">_xlfn.IFS('ProductSprint Backlog'!$F343="", "", AND('ProductSprint Backlog'!$J343&gt;I$2,'ProductSprint Backlog'!$I343&lt;=I$2), 'ProductSprint Backlog'!$F343 / MAX(1, 'ProductSprint Backlog'!$J343-'ProductSprint Backlog'!$I343), AND('ProductSprint Backlog'!$J343=I$2,'ProductSprint Backlog'!$I343=I$2), 'ProductSprint Backlog'!$F343, TRUE, 0)</f>
        <v/>
      </c>
      <c r="J343" s="4" t="str" cm="1">
        <f t="array" ref="J343">_xlfn.IFS('ProductSprint Backlog'!$F343="", "", AND('ProductSprint Backlog'!$J343&gt;J$2,'ProductSprint Backlog'!$I343&lt;=J$2), 'ProductSprint Backlog'!$F343 / MAX(1, 'ProductSprint Backlog'!$J343-'ProductSprint Backlog'!$I343), AND('ProductSprint Backlog'!$J343=J$2,'ProductSprint Backlog'!$I343=J$2), 'ProductSprint Backlog'!$F343, TRUE, 0)</f>
        <v/>
      </c>
      <c r="K343" s="4" t="str" cm="1">
        <f t="array" ref="K343">_xlfn.IFS('ProductSprint Backlog'!$F343="", "", AND('ProductSprint Backlog'!$J343&gt;K$2,'ProductSprint Backlog'!$I343&lt;=K$2), 'ProductSprint Backlog'!$F343 / MAX(1, 'ProductSprint Backlog'!$J343-'ProductSprint Backlog'!$I343), AND('ProductSprint Backlog'!$J343=K$2,'ProductSprint Backlog'!$I343=K$2), 'ProductSprint Backlog'!$F343, TRUE, 0)</f>
        <v/>
      </c>
      <c r="L343" s="4" t="str" cm="1">
        <f t="array" ref="L343">_xlfn.IFS('ProductSprint Backlog'!$F343="", "", AND('ProductSprint Backlog'!$J343&gt;L$2,'ProductSprint Backlog'!$I343&lt;=L$2), 'ProductSprint Backlog'!$F343 / MAX(1, 'ProductSprint Backlog'!$J343-'ProductSprint Backlog'!$I343), AND('ProductSprint Backlog'!$J343=L$2,'ProductSprint Backlog'!$I343=L$2), 'ProductSprint Backlog'!$F343, TRUE, 0)</f>
        <v/>
      </c>
      <c r="M343" s="4" t="str" cm="1">
        <f t="array" ref="M343">_xlfn.IFS('ProductSprint Backlog'!$F343="", "", AND('ProductSprint Backlog'!$J343&gt;M$2,'ProductSprint Backlog'!$I343&lt;=M$2), 'ProductSprint Backlog'!$F343 / MAX(1, 'ProductSprint Backlog'!$J343-'ProductSprint Backlog'!$I343), AND('ProductSprint Backlog'!$J343=M$2,'ProductSprint Backlog'!$I343=M$2), 'ProductSprint Backlog'!$F343, TRUE, 0)</f>
        <v/>
      </c>
      <c r="N343" s="4" t="str" cm="1">
        <f t="array" ref="N343">_xlfn.IFS('ProductSprint Backlog'!$F343="", "", AND('ProductSprint Backlog'!$J343&gt;N$2,'ProductSprint Backlog'!$I343&lt;=N$2), 'ProductSprint Backlog'!$F343 / MAX(1, 'ProductSprint Backlog'!$J343-'ProductSprint Backlog'!$I343), AND('ProductSprint Backlog'!$J343=N$2,'ProductSprint Backlog'!$I343=N$2), 'ProductSprint Backlog'!$F343, TRUE, 0)</f>
        <v/>
      </c>
      <c r="O343" s="4" t="str" cm="1">
        <f t="array" ref="O343">_xlfn.IFS('ProductSprint Backlog'!$F343="", "", AND('ProductSprint Backlog'!$J343&gt;O$2,'ProductSprint Backlog'!$I343&lt;=O$2), 'ProductSprint Backlog'!$F343 / MAX(1, 'ProductSprint Backlog'!$J343-'ProductSprint Backlog'!$I343), AND('ProductSprint Backlog'!$J343=O$2,'ProductSprint Backlog'!$I343=O$2), 'ProductSprint Backlog'!$F343, TRUE, 0)</f>
        <v/>
      </c>
      <c r="P343" s="4" t="str" cm="1">
        <f t="array" ref="P343">_xlfn.IFS('ProductSprint Backlog'!$F343="", "", AND('ProductSprint Backlog'!$J343&gt;P$2,'ProductSprint Backlog'!$I343&lt;=P$2), 'ProductSprint Backlog'!$F343 / MAX(1, 'ProductSprint Backlog'!$J343-'ProductSprint Backlog'!$I343), AND('ProductSprint Backlog'!$J343=P$2,'ProductSprint Backlog'!$I343=P$2), 'ProductSprint Backlog'!$F343, TRUE, 0)</f>
        <v/>
      </c>
      <c r="Q343" s="4" t="str" cm="1">
        <f t="array" ref="Q343">_xlfn.IFS('ProductSprint Backlog'!$F343="", "", AND('ProductSprint Backlog'!$J343&gt;Q$2,'ProductSprint Backlog'!$I343&lt;=Q$2), 'ProductSprint Backlog'!$F343 / MAX(1, 'ProductSprint Backlog'!$J343-'ProductSprint Backlog'!$I343), AND('ProductSprint Backlog'!$J343=Q$2,'ProductSprint Backlog'!$I343=Q$2), 'ProductSprint Backlog'!$F343, TRUE, 0)</f>
        <v/>
      </c>
    </row>
    <row r="344" spans="2:17" x14ac:dyDescent="0.2">
      <c r="B344" s="4" t="str" cm="1">
        <f t="array" ref="B344">_xlfn.IFS('ProductSprint Backlog'!$F344="", "", AND('ProductSprint Backlog'!$J344&gt;B$2,'ProductSprint Backlog'!$I344&lt;=B$2), 'ProductSprint Backlog'!$F344 / MAX(1, 'ProductSprint Backlog'!$J344-'ProductSprint Backlog'!$I344), AND('ProductSprint Backlog'!$J344=B$2,'ProductSprint Backlog'!$I344=B$2), 'ProductSprint Backlog'!$F344, TRUE, 0)</f>
        <v/>
      </c>
      <c r="C344" s="4" t="str" cm="1">
        <f t="array" ref="C344">_xlfn.IFS('ProductSprint Backlog'!$F344="", "", AND('ProductSprint Backlog'!$J344&gt;C$2,'ProductSprint Backlog'!$I344&lt;=C$2), 'ProductSprint Backlog'!$F344 / MAX(1, 'ProductSprint Backlog'!$J344-'ProductSprint Backlog'!$I344), AND('ProductSprint Backlog'!$J344=C$2,'ProductSprint Backlog'!$I344=C$2), 'ProductSprint Backlog'!$F344, TRUE, 0)</f>
        <v/>
      </c>
      <c r="D344" s="4" t="str" cm="1">
        <f t="array" ref="D344">_xlfn.IFS('ProductSprint Backlog'!$F344="", "", AND('ProductSprint Backlog'!$J344&gt;D$2,'ProductSprint Backlog'!$I344&lt;=D$2), 'ProductSprint Backlog'!$F344 / MAX(1, 'ProductSprint Backlog'!$J344-'ProductSprint Backlog'!$I344), AND('ProductSprint Backlog'!$J344=D$2,'ProductSprint Backlog'!$I344=D$2), 'ProductSprint Backlog'!$F344, TRUE, 0)</f>
        <v/>
      </c>
      <c r="E344" s="4" t="str" cm="1">
        <f t="array" ref="E344">_xlfn.IFS('ProductSprint Backlog'!$F344="", "", AND('ProductSprint Backlog'!$J344&gt;E$2,'ProductSprint Backlog'!$I344&lt;=E$2), 'ProductSprint Backlog'!$F344 / MAX(1, 'ProductSprint Backlog'!$J344-'ProductSprint Backlog'!$I344), AND('ProductSprint Backlog'!$J344=E$2,'ProductSprint Backlog'!$I344=E$2), 'ProductSprint Backlog'!$F344, TRUE, 0)</f>
        <v/>
      </c>
      <c r="F344" s="4" t="str" cm="1">
        <f t="array" ref="F344">_xlfn.IFS('ProductSprint Backlog'!$F344="", "", AND('ProductSprint Backlog'!$J344&gt;F$2,'ProductSprint Backlog'!$I344&lt;=F$2), 'ProductSprint Backlog'!$F344 / MAX(1, 'ProductSprint Backlog'!$J344-'ProductSprint Backlog'!$I344), AND('ProductSprint Backlog'!$J344=F$2,'ProductSprint Backlog'!$I344=F$2), 'ProductSprint Backlog'!$F344, TRUE, 0)</f>
        <v/>
      </c>
      <c r="G344" s="4" t="str" cm="1">
        <f t="array" ref="G344">_xlfn.IFS('ProductSprint Backlog'!$F344="", "", AND('ProductSprint Backlog'!$J344&gt;G$2,'ProductSprint Backlog'!$I344&lt;=G$2), 'ProductSprint Backlog'!$F344 / MAX(1, 'ProductSprint Backlog'!$J344-'ProductSprint Backlog'!$I344), AND('ProductSprint Backlog'!$J344=G$2,'ProductSprint Backlog'!$I344=G$2), 'ProductSprint Backlog'!$F344, TRUE, 0)</f>
        <v/>
      </c>
      <c r="H344" s="4" t="str" cm="1">
        <f t="array" ref="H344">_xlfn.IFS('ProductSprint Backlog'!$F344="", "", AND('ProductSprint Backlog'!$J344&gt;H$2,'ProductSprint Backlog'!$I344&lt;=H$2), 'ProductSprint Backlog'!$F344 / MAX(1, 'ProductSprint Backlog'!$J344-'ProductSprint Backlog'!$I344), AND('ProductSprint Backlog'!$J344=H$2,'ProductSprint Backlog'!$I344=H$2), 'ProductSprint Backlog'!$F344, TRUE, 0)</f>
        <v/>
      </c>
      <c r="I344" s="4" t="str" cm="1">
        <f t="array" ref="I344">_xlfn.IFS('ProductSprint Backlog'!$F344="", "", AND('ProductSprint Backlog'!$J344&gt;I$2,'ProductSprint Backlog'!$I344&lt;=I$2), 'ProductSprint Backlog'!$F344 / MAX(1, 'ProductSprint Backlog'!$J344-'ProductSprint Backlog'!$I344), AND('ProductSprint Backlog'!$J344=I$2,'ProductSprint Backlog'!$I344=I$2), 'ProductSprint Backlog'!$F344, TRUE, 0)</f>
        <v/>
      </c>
      <c r="J344" s="4" t="str" cm="1">
        <f t="array" ref="J344">_xlfn.IFS('ProductSprint Backlog'!$F344="", "", AND('ProductSprint Backlog'!$J344&gt;J$2,'ProductSprint Backlog'!$I344&lt;=J$2), 'ProductSprint Backlog'!$F344 / MAX(1, 'ProductSprint Backlog'!$J344-'ProductSprint Backlog'!$I344), AND('ProductSprint Backlog'!$J344=J$2,'ProductSprint Backlog'!$I344=J$2), 'ProductSprint Backlog'!$F344, TRUE, 0)</f>
        <v/>
      </c>
      <c r="K344" s="4" t="str" cm="1">
        <f t="array" ref="K344">_xlfn.IFS('ProductSprint Backlog'!$F344="", "", AND('ProductSprint Backlog'!$J344&gt;K$2,'ProductSprint Backlog'!$I344&lt;=K$2), 'ProductSprint Backlog'!$F344 / MAX(1, 'ProductSprint Backlog'!$J344-'ProductSprint Backlog'!$I344), AND('ProductSprint Backlog'!$J344=K$2,'ProductSprint Backlog'!$I344=K$2), 'ProductSprint Backlog'!$F344, TRUE, 0)</f>
        <v/>
      </c>
      <c r="L344" s="4" t="str" cm="1">
        <f t="array" ref="L344">_xlfn.IFS('ProductSprint Backlog'!$F344="", "", AND('ProductSprint Backlog'!$J344&gt;L$2,'ProductSprint Backlog'!$I344&lt;=L$2), 'ProductSprint Backlog'!$F344 / MAX(1, 'ProductSprint Backlog'!$J344-'ProductSprint Backlog'!$I344), AND('ProductSprint Backlog'!$J344=L$2,'ProductSprint Backlog'!$I344=L$2), 'ProductSprint Backlog'!$F344, TRUE, 0)</f>
        <v/>
      </c>
      <c r="M344" s="4" t="str" cm="1">
        <f t="array" ref="M344">_xlfn.IFS('ProductSprint Backlog'!$F344="", "", AND('ProductSprint Backlog'!$J344&gt;M$2,'ProductSprint Backlog'!$I344&lt;=M$2), 'ProductSprint Backlog'!$F344 / MAX(1, 'ProductSprint Backlog'!$J344-'ProductSprint Backlog'!$I344), AND('ProductSprint Backlog'!$J344=M$2,'ProductSprint Backlog'!$I344=M$2), 'ProductSprint Backlog'!$F344, TRUE, 0)</f>
        <v/>
      </c>
      <c r="N344" s="4" t="str" cm="1">
        <f t="array" ref="N344">_xlfn.IFS('ProductSprint Backlog'!$F344="", "", AND('ProductSprint Backlog'!$J344&gt;N$2,'ProductSprint Backlog'!$I344&lt;=N$2), 'ProductSprint Backlog'!$F344 / MAX(1, 'ProductSprint Backlog'!$J344-'ProductSprint Backlog'!$I344), AND('ProductSprint Backlog'!$J344=N$2,'ProductSprint Backlog'!$I344=N$2), 'ProductSprint Backlog'!$F344, TRUE, 0)</f>
        <v/>
      </c>
      <c r="O344" s="4" t="str" cm="1">
        <f t="array" ref="O344">_xlfn.IFS('ProductSprint Backlog'!$F344="", "", AND('ProductSprint Backlog'!$J344&gt;O$2,'ProductSprint Backlog'!$I344&lt;=O$2), 'ProductSprint Backlog'!$F344 / MAX(1, 'ProductSprint Backlog'!$J344-'ProductSprint Backlog'!$I344), AND('ProductSprint Backlog'!$J344=O$2,'ProductSprint Backlog'!$I344=O$2), 'ProductSprint Backlog'!$F344, TRUE, 0)</f>
        <v/>
      </c>
      <c r="P344" s="4" t="str" cm="1">
        <f t="array" ref="P344">_xlfn.IFS('ProductSprint Backlog'!$F344="", "", AND('ProductSprint Backlog'!$J344&gt;P$2,'ProductSprint Backlog'!$I344&lt;=P$2), 'ProductSprint Backlog'!$F344 / MAX(1, 'ProductSprint Backlog'!$J344-'ProductSprint Backlog'!$I344), AND('ProductSprint Backlog'!$J344=P$2,'ProductSprint Backlog'!$I344=P$2), 'ProductSprint Backlog'!$F344, TRUE, 0)</f>
        <v/>
      </c>
      <c r="Q344" s="4" t="str" cm="1">
        <f t="array" ref="Q344">_xlfn.IFS('ProductSprint Backlog'!$F344="", "", AND('ProductSprint Backlog'!$J344&gt;Q$2,'ProductSprint Backlog'!$I344&lt;=Q$2), 'ProductSprint Backlog'!$F344 / MAX(1, 'ProductSprint Backlog'!$J344-'ProductSprint Backlog'!$I344), AND('ProductSprint Backlog'!$J344=Q$2,'ProductSprint Backlog'!$I344=Q$2), 'ProductSprint Backlog'!$F344, TRUE, 0)</f>
        <v/>
      </c>
    </row>
    <row r="345" spans="2:17" x14ac:dyDescent="0.2">
      <c r="B345" s="4" t="str" cm="1">
        <f t="array" ref="B345">_xlfn.IFS('ProductSprint Backlog'!$F345="", "", AND('ProductSprint Backlog'!$J345&gt;B$2,'ProductSprint Backlog'!$I345&lt;=B$2), 'ProductSprint Backlog'!$F345 / MAX(1, 'ProductSprint Backlog'!$J345-'ProductSprint Backlog'!$I345), AND('ProductSprint Backlog'!$J345=B$2,'ProductSprint Backlog'!$I345=B$2), 'ProductSprint Backlog'!$F345, TRUE, 0)</f>
        <v/>
      </c>
      <c r="C345" s="4" t="str" cm="1">
        <f t="array" ref="C345">_xlfn.IFS('ProductSprint Backlog'!$F345="", "", AND('ProductSprint Backlog'!$J345&gt;C$2,'ProductSprint Backlog'!$I345&lt;=C$2), 'ProductSprint Backlog'!$F345 / MAX(1, 'ProductSprint Backlog'!$J345-'ProductSprint Backlog'!$I345), AND('ProductSprint Backlog'!$J345=C$2,'ProductSprint Backlog'!$I345=C$2), 'ProductSprint Backlog'!$F345, TRUE, 0)</f>
        <v/>
      </c>
      <c r="D345" s="4" t="str" cm="1">
        <f t="array" ref="D345">_xlfn.IFS('ProductSprint Backlog'!$F345="", "", AND('ProductSprint Backlog'!$J345&gt;D$2,'ProductSprint Backlog'!$I345&lt;=D$2), 'ProductSprint Backlog'!$F345 / MAX(1, 'ProductSprint Backlog'!$J345-'ProductSprint Backlog'!$I345), AND('ProductSprint Backlog'!$J345=D$2,'ProductSprint Backlog'!$I345=D$2), 'ProductSprint Backlog'!$F345, TRUE, 0)</f>
        <v/>
      </c>
      <c r="E345" s="4" t="str" cm="1">
        <f t="array" ref="E345">_xlfn.IFS('ProductSprint Backlog'!$F345="", "", AND('ProductSprint Backlog'!$J345&gt;E$2,'ProductSprint Backlog'!$I345&lt;=E$2), 'ProductSprint Backlog'!$F345 / MAX(1, 'ProductSprint Backlog'!$J345-'ProductSprint Backlog'!$I345), AND('ProductSprint Backlog'!$J345=E$2,'ProductSprint Backlog'!$I345=E$2), 'ProductSprint Backlog'!$F345, TRUE, 0)</f>
        <v/>
      </c>
      <c r="F345" s="4" t="str" cm="1">
        <f t="array" ref="F345">_xlfn.IFS('ProductSprint Backlog'!$F345="", "", AND('ProductSprint Backlog'!$J345&gt;F$2,'ProductSprint Backlog'!$I345&lt;=F$2), 'ProductSprint Backlog'!$F345 / MAX(1, 'ProductSprint Backlog'!$J345-'ProductSprint Backlog'!$I345), AND('ProductSprint Backlog'!$J345=F$2,'ProductSprint Backlog'!$I345=F$2), 'ProductSprint Backlog'!$F345, TRUE, 0)</f>
        <v/>
      </c>
      <c r="G345" s="4" t="str" cm="1">
        <f t="array" ref="G345">_xlfn.IFS('ProductSprint Backlog'!$F345="", "", AND('ProductSprint Backlog'!$J345&gt;G$2,'ProductSprint Backlog'!$I345&lt;=G$2), 'ProductSprint Backlog'!$F345 / MAX(1, 'ProductSprint Backlog'!$J345-'ProductSprint Backlog'!$I345), AND('ProductSprint Backlog'!$J345=G$2,'ProductSprint Backlog'!$I345=G$2), 'ProductSprint Backlog'!$F345, TRUE, 0)</f>
        <v/>
      </c>
      <c r="H345" s="4" t="str" cm="1">
        <f t="array" ref="H345">_xlfn.IFS('ProductSprint Backlog'!$F345="", "", AND('ProductSprint Backlog'!$J345&gt;H$2,'ProductSprint Backlog'!$I345&lt;=H$2), 'ProductSprint Backlog'!$F345 / MAX(1, 'ProductSprint Backlog'!$J345-'ProductSprint Backlog'!$I345), AND('ProductSprint Backlog'!$J345=H$2,'ProductSprint Backlog'!$I345=H$2), 'ProductSprint Backlog'!$F345, TRUE, 0)</f>
        <v/>
      </c>
      <c r="I345" s="4" t="str" cm="1">
        <f t="array" ref="I345">_xlfn.IFS('ProductSprint Backlog'!$F345="", "", AND('ProductSprint Backlog'!$J345&gt;I$2,'ProductSprint Backlog'!$I345&lt;=I$2), 'ProductSprint Backlog'!$F345 / MAX(1, 'ProductSprint Backlog'!$J345-'ProductSprint Backlog'!$I345), AND('ProductSprint Backlog'!$J345=I$2,'ProductSprint Backlog'!$I345=I$2), 'ProductSprint Backlog'!$F345, TRUE, 0)</f>
        <v/>
      </c>
      <c r="J345" s="4" t="str" cm="1">
        <f t="array" ref="J345">_xlfn.IFS('ProductSprint Backlog'!$F345="", "", AND('ProductSprint Backlog'!$J345&gt;J$2,'ProductSprint Backlog'!$I345&lt;=J$2), 'ProductSprint Backlog'!$F345 / MAX(1, 'ProductSprint Backlog'!$J345-'ProductSprint Backlog'!$I345), AND('ProductSprint Backlog'!$J345=J$2,'ProductSprint Backlog'!$I345=J$2), 'ProductSprint Backlog'!$F345, TRUE, 0)</f>
        <v/>
      </c>
      <c r="K345" s="4" t="str" cm="1">
        <f t="array" ref="K345">_xlfn.IFS('ProductSprint Backlog'!$F345="", "", AND('ProductSprint Backlog'!$J345&gt;K$2,'ProductSprint Backlog'!$I345&lt;=K$2), 'ProductSprint Backlog'!$F345 / MAX(1, 'ProductSprint Backlog'!$J345-'ProductSprint Backlog'!$I345), AND('ProductSprint Backlog'!$J345=K$2,'ProductSprint Backlog'!$I345=K$2), 'ProductSprint Backlog'!$F345, TRUE, 0)</f>
        <v/>
      </c>
      <c r="L345" s="4" t="str" cm="1">
        <f t="array" ref="L345">_xlfn.IFS('ProductSprint Backlog'!$F345="", "", AND('ProductSprint Backlog'!$J345&gt;L$2,'ProductSprint Backlog'!$I345&lt;=L$2), 'ProductSprint Backlog'!$F345 / MAX(1, 'ProductSprint Backlog'!$J345-'ProductSprint Backlog'!$I345), AND('ProductSprint Backlog'!$J345=L$2,'ProductSprint Backlog'!$I345=L$2), 'ProductSprint Backlog'!$F345, TRUE, 0)</f>
        <v/>
      </c>
      <c r="M345" s="4" t="str" cm="1">
        <f t="array" ref="M345">_xlfn.IFS('ProductSprint Backlog'!$F345="", "", AND('ProductSprint Backlog'!$J345&gt;M$2,'ProductSprint Backlog'!$I345&lt;=M$2), 'ProductSprint Backlog'!$F345 / MAX(1, 'ProductSprint Backlog'!$J345-'ProductSprint Backlog'!$I345), AND('ProductSprint Backlog'!$J345=M$2,'ProductSprint Backlog'!$I345=M$2), 'ProductSprint Backlog'!$F345, TRUE, 0)</f>
        <v/>
      </c>
      <c r="N345" s="4" t="str" cm="1">
        <f t="array" ref="N345">_xlfn.IFS('ProductSprint Backlog'!$F345="", "", AND('ProductSprint Backlog'!$J345&gt;N$2,'ProductSprint Backlog'!$I345&lt;=N$2), 'ProductSprint Backlog'!$F345 / MAX(1, 'ProductSprint Backlog'!$J345-'ProductSprint Backlog'!$I345), AND('ProductSprint Backlog'!$J345=N$2,'ProductSprint Backlog'!$I345=N$2), 'ProductSprint Backlog'!$F345, TRUE, 0)</f>
        <v/>
      </c>
      <c r="O345" s="4" t="str" cm="1">
        <f t="array" ref="O345">_xlfn.IFS('ProductSprint Backlog'!$F345="", "", AND('ProductSprint Backlog'!$J345&gt;O$2,'ProductSprint Backlog'!$I345&lt;=O$2), 'ProductSprint Backlog'!$F345 / MAX(1, 'ProductSprint Backlog'!$J345-'ProductSprint Backlog'!$I345), AND('ProductSprint Backlog'!$J345=O$2,'ProductSprint Backlog'!$I345=O$2), 'ProductSprint Backlog'!$F345, TRUE, 0)</f>
        <v/>
      </c>
      <c r="P345" s="4" t="str" cm="1">
        <f t="array" ref="P345">_xlfn.IFS('ProductSprint Backlog'!$F345="", "", AND('ProductSprint Backlog'!$J345&gt;P$2,'ProductSprint Backlog'!$I345&lt;=P$2), 'ProductSprint Backlog'!$F345 / MAX(1, 'ProductSprint Backlog'!$J345-'ProductSprint Backlog'!$I345), AND('ProductSprint Backlog'!$J345=P$2,'ProductSprint Backlog'!$I345=P$2), 'ProductSprint Backlog'!$F345, TRUE, 0)</f>
        <v/>
      </c>
      <c r="Q345" s="4" t="str" cm="1">
        <f t="array" ref="Q345">_xlfn.IFS('ProductSprint Backlog'!$F345="", "", AND('ProductSprint Backlog'!$J345&gt;Q$2,'ProductSprint Backlog'!$I345&lt;=Q$2), 'ProductSprint Backlog'!$F345 / MAX(1, 'ProductSprint Backlog'!$J345-'ProductSprint Backlog'!$I345), AND('ProductSprint Backlog'!$J345=Q$2,'ProductSprint Backlog'!$I345=Q$2), 'ProductSprint Backlog'!$F345, TRUE, 0)</f>
        <v/>
      </c>
    </row>
    <row r="346" spans="2:17" x14ac:dyDescent="0.2">
      <c r="B346" s="4" t="str" cm="1">
        <f t="array" ref="B346">_xlfn.IFS('ProductSprint Backlog'!$F346="", "", AND('ProductSprint Backlog'!$J346&gt;B$2,'ProductSprint Backlog'!$I346&lt;=B$2), 'ProductSprint Backlog'!$F346 / MAX(1, 'ProductSprint Backlog'!$J346-'ProductSprint Backlog'!$I346), AND('ProductSprint Backlog'!$J346=B$2,'ProductSprint Backlog'!$I346=B$2), 'ProductSprint Backlog'!$F346, TRUE, 0)</f>
        <v/>
      </c>
      <c r="C346" s="4" t="str" cm="1">
        <f t="array" ref="C346">_xlfn.IFS('ProductSprint Backlog'!$F346="", "", AND('ProductSprint Backlog'!$J346&gt;C$2,'ProductSprint Backlog'!$I346&lt;=C$2), 'ProductSprint Backlog'!$F346 / MAX(1, 'ProductSprint Backlog'!$J346-'ProductSprint Backlog'!$I346), AND('ProductSprint Backlog'!$J346=C$2,'ProductSprint Backlog'!$I346=C$2), 'ProductSprint Backlog'!$F346, TRUE, 0)</f>
        <v/>
      </c>
      <c r="D346" s="4" t="str" cm="1">
        <f t="array" ref="D346">_xlfn.IFS('ProductSprint Backlog'!$F346="", "", AND('ProductSprint Backlog'!$J346&gt;D$2,'ProductSprint Backlog'!$I346&lt;=D$2), 'ProductSprint Backlog'!$F346 / MAX(1, 'ProductSprint Backlog'!$J346-'ProductSprint Backlog'!$I346), AND('ProductSprint Backlog'!$J346=D$2,'ProductSprint Backlog'!$I346=D$2), 'ProductSprint Backlog'!$F346, TRUE, 0)</f>
        <v/>
      </c>
      <c r="E346" s="4" t="str" cm="1">
        <f t="array" ref="E346">_xlfn.IFS('ProductSprint Backlog'!$F346="", "", AND('ProductSprint Backlog'!$J346&gt;E$2,'ProductSprint Backlog'!$I346&lt;=E$2), 'ProductSprint Backlog'!$F346 / MAX(1, 'ProductSprint Backlog'!$J346-'ProductSprint Backlog'!$I346), AND('ProductSprint Backlog'!$J346=E$2,'ProductSprint Backlog'!$I346=E$2), 'ProductSprint Backlog'!$F346, TRUE, 0)</f>
        <v/>
      </c>
      <c r="F346" s="4" t="str" cm="1">
        <f t="array" ref="F346">_xlfn.IFS('ProductSprint Backlog'!$F346="", "", AND('ProductSprint Backlog'!$J346&gt;F$2,'ProductSprint Backlog'!$I346&lt;=F$2), 'ProductSprint Backlog'!$F346 / MAX(1, 'ProductSprint Backlog'!$J346-'ProductSprint Backlog'!$I346), AND('ProductSprint Backlog'!$J346=F$2,'ProductSprint Backlog'!$I346=F$2), 'ProductSprint Backlog'!$F346, TRUE, 0)</f>
        <v/>
      </c>
      <c r="G346" s="4" t="str" cm="1">
        <f t="array" ref="G346">_xlfn.IFS('ProductSprint Backlog'!$F346="", "", AND('ProductSprint Backlog'!$J346&gt;G$2,'ProductSprint Backlog'!$I346&lt;=G$2), 'ProductSprint Backlog'!$F346 / MAX(1, 'ProductSprint Backlog'!$J346-'ProductSprint Backlog'!$I346), AND('ProductSprint Backlog'!$J346=G$2,'ProductSprint Backlog'!$I346=G$2), 'ProductSprint Backlog'!$F346, TRUE, 0)</f>
        <v/>
      </c>
      <c r="H346" s="4" t="str" cm="1">
        <f t="array" ref="H346">_xlfn.IFS('ProductSprint Backlog'!$F346="", "", AND('ProductSprint Backlog'!$J346&gt;H$2,'ProductSprint Backlog'!$I346&lt;=H$2), 'ProductSprint Backlog'!$F346 / MAX(1, 'ProductSprint Backlog'!$J346-'ProductSprint Backlog'!$I346), AND('ProductSprint Backlog'!$J346=H$2,'ProductSprint Backlog'!$I346=H$2), 'ProductSprint Backlog'!$F346, TRUE, 0)</f>
        <v/>
      </c>
      <c r="I346" s="4" t="str" cm="1">
        <f t="array" ref="I346">_xlfn.IFS('ProductSprint Backlog'!$F346="", "", AND('ProductSprint Backlog'!$J346&gt;I$2,'ProductSprint Backlog'!$I346&lt;=I$2), 'ProductSprint Backlog'!$F346 / MAX(1, 'ProductSprint Backlog'!$J346-'ProductSprint Backlog'!$I346), AND('ProductSprint Backlog'!$J346=I$2,'ProductSprint Backlog'!$I346=I$2), 'ProductSprint Backlog'!$F346, TRUE, 0)</f>
        <v/>
      </c>
      <c r="J346" s="4" t="str" cm="1">
        <f t="array" ref="J346">_xlfn.IFS('ProductSprint Backlog'!$F346="", "", AND('ProductSprint Backlog'!$J346&gt;J$2,'ProductSprint Backlog'!$I346&lt;=J$2), 'ProductSprint Backlog'!$F346 / MAX(1, 'ProductSprint Backlog'!$J346-'ProductSprint Backlog'!$I346), AND('ProductSprint Backlog'!$J346=J$2,'ProductSprint Backlog'!$I346=J$2), 'ProductSprint Backlog'!$F346, TRUE, 0)</f>
        <v/>
      </c>
      <c r="K346" s="4" t="str" cm="1">
        <f t="array" ref="K346">_xlfn.IFS('ProductSprint Backlog'!$F346="", "", AND('ProductSprint Backlog'!$J346&gt;K$2,'ProductSprint Backlog'!$I346&lt;=K$2), 'ProductSprint Backlog'!$F346 / MAX(1, 'ProductSprint Backlog'!$J346-'ProductSprint Backlog'!$I346), AND('ProductSprint Backlog'!$J346=K$2,'ProductSprint Backlog'!$I346=K$2), 'ProductSprint Backlog'!$F346, TRUE, 0)</f>
        <v/>
      </c>
      <c r="L346" s="4" t="str" cm="1">
        <f t="array" ref="L346">_xlfn.IFS('ProductSprint Backlog'!$F346="", "", AND('ProductSprint Backlog'!$J346&gt;L$2,'ProductSprint Backlog'!$I346&lt;=L$2), 'ProductSprint Backlog'!$F346 / MAX(1, 'ProductSprint Backlog'!$J346-'ProductSprint Backlog'!$I346), AND('ProductSprint Backlog'!$J346=L$2,'ProductSprint Backlog'!$I346=L$2), 'ProductSprint Backlog'!$F346, TRUE, 0)</f>
        <v/>
      </c>
      <c r="M346" s="4" t="str" cm="1">
        <f t="array" ref="M346">_xlfn.IFS('ProductSprint Backlog'!$F346="", "", AND('ProductSprint Backlog'!$J346&gt;M$2,'ProductSprint Backlog'!$I346&lt;=M$2), 'ProductSprint Backlog'!$F346 / MAX(1, 'ProductSprint Backlog'!$J346-'ProductSprint Backlog'!$I346), AND('ProductSprint Backlog'!$J346=M$2,'ProductSprint Backlog'!$I346=M$2), 'ProductSprint Backlog'!$F346, TRUE, 0)</f>
        <v/>
      </c>
      <c r="N346" s="4" t="str" cm="1">
        <f t="array" ref="N346">_xlfn.IFS('ProductSprint Backlog'!$F346="", "", AND('ProductSprint Backlog'!$J346&gt;N$2,'ProductSprint Backlog'!$I346&lt;=N$2), 'ProductSprint Backlog'!$F346 / MAX(1, 'ProductSprint Backlog'!$J346-'ProductSprint Backlog'!$I346), AND('ProductSprint Backlog'!$J346=N$2,'ProductSprint Backlog'!$I346=N$2), 'ProductSprint Backlog'!$F346, TRUE, 0)</f>
        <v/>
      </c>
      <c r="O346" s="4" t="str" cm="1">
        <f t="array" ref="O346">_xlfn.IFS('ProductSprint Backlog'!$F346="", "", AND('ProductSprint Backlog'!$J346&gt;O$2,'ProductSprint Backlog'!$I346&lt;=O$2), 'ProductSprint Backlog'!$F346 / MAX(1, 'ProductSprint Backlog'!$J346-'ProductSprint Backlog'!$I346), AND('ProductSprint Backlog'!$J346=O$2,'ProductSprint Backlog'!$I346=O$2), 'ProductSprint Backlog'!$F346, TRUE, 0)</f>
        <v/>
      </c>
      <c r="P346" s="4" t="str" cm="1">
        <f t="array" ref="P346">_xlfn.IFS('ProductSprint Backlog'!$F346="", "", AND('ProductSprint Backlog'!$J346&gt;P$2,'ProductSprint Backlog'!$I346&lt;=P$2), 'ProductSprint Backlog'!$F346 / MAX(1, 'ProductSprint Backlog'!$J346-'ProductSprint Backlog'!$I346), AND('ProductSprint Backlog'!$J346=P$2,'ProductSprint Backlog'!$I346=P$2), 'ProductSprint Backlog'!$F346, TRUE, 0)</f>
        <v/>
      </c>
      <c r="Q346" s="4" t="str" cm="1">
        <f t="array" ref="Q346">_xlfn.IFS('ProductSprint Backlog'!$F346="", "", AND('ProductSprint Backlog'!$J346&gt;Q$2,'ProductSprint Backlog'!$I346&lt;=Q$2), 'ProductSprint Backlog'!$F346 / MAX(1, 'ProductSprint Backlog'!$J346-'ProductSprint Backlog'!$I346), AND('ProductSprint Backlog'!$J346=Q$2,'ProductSprint Backlog'!$I346=Q$2), 'ProductSprint Backlog'!$F346, TRUE, 0)</f>
        <v/>
      </c>
    </row>
    <row r="347" spans="2:17" x14ac:dyDescent="0.2">
      <c r="B347" s="4" t="str" cm="1">
        <f t="array" ref="B347">_xlfn.IFS('ProductSprint Backlog'!$F347="", "", AND('ProductSprint Backlog'!$J347&gt;B$2,'ProductSprint Backlog'!$I347&lt;=B$2), 'ProductSprint Backlog'!$F347 / MAX(1, 'ProductSprint Backlog'!$J347-'ProductSprint Backlog'!$I347), AND('ProductSprint Backlog'!$J347=B$2,'ProductSprint Backlog'!$I347=B$2), 'ProductSprint Backlog'!$F347, TRUE, 0)</f>
        <v/>
      </c>
      <c r="C347" s="4" t="str" cm="1">
        <f t="array" ref="C347">_xlfn.IFS('ProductSprint Backlog'!$F347="", "", AND('ProductSprint Backlog'!$J347&gt;C$2,'ProductSprint Backlog'!$I347&lt;=C$2), 'ProductSprint Backlog'!$F347 / MAX(1, 'ProductSprint Backlog'!$J347-'ProductSprint Backlog'!$I347), AND('ProductSprint Backlog'!$J347=C$2,'ProductSprint Backlog'!$I347=C$2), 'ProductSprint Backlog'!$F347, TRUE, 0)</f>
        <v/>
      </c>
      <c r="D347" s="4" t="str" cm="1">
        <f t="array" ref="D347">_xlfn.IFS('ProductSprint Backlog'!$F347="", "", AND('ProductSprint Backlog'!$J347&gt;D$2,'ProductSprint Backlog'!$I347&lt;=D$2), 'ProductSprint Backlog'!$F347 / MAX(1, 'ProductSprint Backlog'!$J347-'ProductSprint Backlog'!$I347), AND('ProductSprint Backlog'!$J347=D$2,'ProductSprint Backlog'!$I347=D$2), 'ProductSprint Backlog'!$F347, TRUE, 0)</f>
        <v/>
      </c>
      <c r="E347" s="4" t="str" cm="1">
        <f t="array" ref="E347">_xlfn.IFS('ProductSprint Backlog'!$F347="", "", AND('ProductSprint Backlog'!$J347&gt;E$2,'ProductSprint Backlog'!$I347&lt;=E$2), 'ProductSprint Backlog'!$F347 / MAX(1, 'ProductSprint Backlog'!$J347-'ProductSprint Backlog'!$I347), AND('ProductSprint Backlog'!$J347=E$2,'ProductSprint Backlog'!$I347=E$2), 'ProductSprint Backlog'!$F347, TRUE, 0)</f>
        <v/>
      </c>
      <c r="F347" s="4" t="str" cm="1">
        <f t="array" ref="F347">_xlfn.IFS('ProductSprint Backlog'!$F347="", "", AND('ProductSprint Backlog'!$J347&gt;F$2,'ProductSprint Backlog'!$I347&lt;=F$2), 'ProductSprint Backlog'!$F347 / MAX(1, 'ProductSprint Backlog'!$J347-'ProductSprint Backlog'!$I347), AND('ProductSprint Backlog'!$J347=F$2,'ProductSprint Backlog'!$I347=F$2), 'ProductSprint Backlog'!$F347, TRUE, 0)</f>
        <v/>
      </c>
      <c r="G347" s="4" t="str" cm="1">
        <f t="array" ref="G347">_xlfn.IFS('ProductSprint Backlog'!$F347="", "", AND('ProductSprint Backlog'!$J347&gt;G$2,'ProductSprint Backlog'!$I347&lt;=G$2), 'ProductSprint Backlog'!$F347 / MAX(1, 'ProductSprint Backlog'!$J347-'ProductSprint Backlog'!$I347), AND('ProductSprint Backlog'!$J347=G$2,'ProductSprint Backlog'!$I347=G$2), 'ProductSprint Backlog'!$F347, TRUE, 0)</f>
        <v/>
      </c>
      <c r="H347" s="4" t="str" cm="1">
        <f t="array" ref="H347">_xlfn.IFS('ProductSprint Backlog'!$F347="", "", AND('ProductSprint Backlog'!$J347&gt;H$2,'ProductSprint Backlog'!$I347&lt;=H$2), 'ProductSprint Backlog'!$F347 / MAX(1, 'ProductSprint Backlog'!$J347-'ProductSprint Backlog'!$I347), AND('ProductSprint Backlog'!$J347=H$2,'ProductSprint Backlog'!$I347=H$2), 'ProductSprint Backlog'!$F347, TRUE, 0)</f>
        <v/>
      </c>
      <c r="I347" s="4" t="str" cm="1">
        <f t="array" ref="I347">_xlfn.IFS('ProductSprint Backlog'!$F347="", "", AND('ProductSprint Backlog'!$J347&gt;I$2,'ProductSprint Backlog'!$I347&lt;=I$2), 'ProductSprint Backlog'!$F347 / MAX(1, 'ProductSprint Backlog'!$J347-'ProductSprint Backlog'!$I347), AND('ProductSprint Backlog'!$J347=I$2,'ProductSprint Backlog'!$I347=I$2), 'ProductSprint Backlog'!$F347, TRUE, 0)</f>
        <v/>
      </c>
      <c r="J347" s="4" t="str" cm="1">
        <f t="array" ref="J347">_xlfn.IFS('ProductSprint Backlog'!$F347="", "", AND('ProductSprint Backlog'!$J347&gt;J$2,'ProductSprint Backlog'!$I347&lt;=J$2), 'ProductSprint Backlog'!$F347 / MAX(1, 'ProductSprint Backlog'!$J347-'ProductSprint Backlog'!$I347), AND('ProductSprint Backlog'!$J347=J$2,'ProductSprint Backlog'!$I347=J$2), 'ProductSprint Backlog'!$F347, TRUE, 0)</f>
        <v/>
      </c>
      <c r="K347" s="4" t="str" cm="1">
        <f t="array" ref="K347">_xlfn.IFS('ProductSprint Backlog'!$F347="", "", AND('ProductSprint Backlog'!$J347&gt;K$2,'ProductSprint Backlog'!$I347&lt;=K$2), 'ProductSprint Backlog'!$F347 / MAX(1, 'ProductSprint Backlog'!$J347-'ProductSprint Backlog'!$I347), AND('ProductSprint Backlog'!$J347=K$2,'ProductSprint Backlog'!$I347=K$2), 'ProductSprint Backlog'!$F347, TRUE, 0)</f>
        <v/>
      </c>
      <c r="L347" s="4" t="str" cm="1">
        <f t="array" ref="L347">_xlfn.IFS('ProductSprint Backlog'!$F347="", "", AND('ProductSprint Backlog'!$J347&gt;L$2,'ProductSprint Backlog'!$I347&lt;=L$2), 'ProductSprint Backlog'!$F347 / MAX(1, 'ProductSprint Backlog'!$J347-'ProductSprint Backlog'!$I347), AND('ProductSprint Backlog'!$J347=L$2,'ProductSprint Backlog'!$I347=L$2), 'ProductSprint Backlog'!$F347, TRUE, 0)</f>
        <v/>
      </c>
      <c r="M347" s="4" t="str" cm="1">
        <f t="array" ref="M347">_xlfn.IFS('ProductSprint Backlog'!$F347="", "", AND('ProductSprint Backlog'!$J347&gt;M$2,'ProductSprint Backlog'!$I347&lt;=M$2), 'ProductSprint Backlog'!$F347 / MAX(1, 'ProductSprint Backlog'!$J347-'ProductSprint Backlog'!$I347), AND('ProductSprint Backlog'!$J347=M$2,'ProductSprint Backlog'!$I347=M$2), 'ProductSprint Backlog'!$F347, TRUE, 0)</f>
        <v/>
      </c>
      <c r="N347" s="4" t="str" cm="1">
        <f t="array" ref="N347">_xlfn.IFS('ProductSprint Backlog'!$F347="", "", AND('ProductSprint Backlog'!$J347&gt;N$2,'ProductSprint Backlog'!$I347&lt;=N$2), 'ProductSprint Backlog'!$F347 / MAX(1, 'ProductSprint Backlog'!$J347-'ProductSprint Backlog'!$I347), AND('ProductSprint Backlog'!$J347=N$2,'ProductSprint Backlog'!$I347=N$2), 'ProductSprint Backlog'!$F347, TRUE, 0)</f>
        <v/>
      </c>
      <c r="O347" s="4" t="str" cm="1">
        <f t="array" ref="O347">_xlfn.IFS('ProductSprint Backlog'!$F347="", "", AND('ProductSprint Backlog'!$J347&gt;O$2,'ProductSprint Backlog'!$I347&lt;=O$2), 'ProductSprint Backlog'!$F347 / MAX(1, 'ProductSprint Backlog'!$J347-'ProductSprint Backlog'!$I347), AND('ProductSprint Backlog'!$J347=O$2,'ProductSprint Backlog'!$I347=O$2), 'ProductSprint Backlog'!$F347, TRUE, 0)</f>
        <v/>
      </c>
      <c r="P347" s="4" t="str" cm="1">
        <f t="array" ref="P347">_xlfn.IFS('ProductSprint Backlog'!$F347="", "", AND('ProductSprint Backlog'!$J347&gt;P$2,'ProductSprint Backlog'!$I347&lt;=P$2), 'ProductSprint Backlog'!$F347 / MAX(1, 'ProductSprint Backlog'!$J347-'ProductSprint Backlog'!$I347), AND('ProductSprint Backlog'!$J347=P$2,'ProductSprint Backlog'!$I347=P$2), 'ProductSprint Backlog'!$F347, TRUE, 0)</f>
        <v/>
      </c>
      <c r="Q347" s="4" t="str" cm="1">
        <f t="array" ref="Q347">_xlfn.IFS('ProductSprint Backlog'!$F347="", "", AND('ProductSprint Backlog'!$J347&gt;Q$2,'ProductSprint Backlog'!$I347&lt;=Q$2), 'ProductSprint Backlog'!$F347 / MAX(1, 'ProductSprint Backlog'!$J347-'ProductSprint Backlog'!$I347), AND('ProductSprint Backlog'!$J347=Q$2,'ProductSprint Backlog'!$I347=Q$2), 'ProductSprint Backlog'!$F347, TRUE, 0)</f>
        <v/>
      </c>
    </row>
    <row r="348" spans="2:17" x14ac:dyDescent="0.2">
      <c r="B348" s="4" t="str" cm="1">
        <f t="array" ref="B348">_xlfn.IFS('ProductSprint Backlog'!$F348="", "", AND('ProductSprint Backlog'!$J348&gt;B$2,'ProductSprint Backlog'!$I348&lt;=B$2), 'ProductSprint Backlog'!$F348 / MAX(1, 'ProductSprint Backlog'!$J348-'ProductSprint Backlog'!$I348), AND('ProductSprint Backlog'!$J348=B$2,'ProductSprint Backlog'!$I348=B$2), 'ProductSprint Backlog'!$F348, TRUE, 0)</f>
        <v/>
      </c>
      <c r="C348" s="4" t="str" cm="1">
        <f t="array" ref="C348">_xlfn.IFS('ProductSprint Backlog'!$F348="", "", AND('ProductSprint Backlog'!$J348&gt;C$2,'ProductSprint Backlog'!$I348&lt;=C$2), 'ProductSprint Backlog'!$F348 / MAX(1, 'ProductSprint Backlog'!$J348-'ProductSprint Backlog'!$I348), AND('ProductSprint Backlog'!$J348=C$2,'ProductSprint Backlog'!$I348=C$2), 'ProductSprint Backlog'!$F348, TRUE, 0)</f>
        <v/>
      </c>
      <c r="D348" s="4" t="str" cm="1">
        <f t="array" ref="D348">_xlfn.IFS('ProductSprint Backlog'!$F348="", "", AND('ProductSprint Backlog'!$J348&gt;D$2,'ProductSprint Backlog'!$I348&lt;=D$2), 'ProductSprint Backlog'!$F348 / MAX(1, 'ProductSprint Backlog'!$J348-'ProductSprint Backlog'!$I348), AND('ProductSprint Backlog'!$J348=D$2,'ProductSprint Backlog'!$I348=D$2), 'ProductSprint Backlog'!$F348, TRUE, 0)</f>
        <v/>
      </c>
      <c r="E348" s="4" t="str" cm="1">
        <f t="array" ref="E348">_xlfn.IFS('ProductSprint Backlog'!$F348="", "", AND('ProductSprint Backlog'!$J348&gt;E$2,'ProductSprint Backlog'!$I348&lt;=E$2), 'ProductSprint Backlog'!$F348 / MAX(1, 'ProductSprint Backlog'!$J348-'ProductSprint Backlog'!$I348), AND('ProductSprint Backlog'!$J348=E$2,'ProductSprint Backlog'!$I348=E$2), 'ProductSprint Backlog'!$F348, TRUE, 0)</f>
        <v/>
      </c>
      <c r="F348" s="4" t="str" cm="1">
        <f t="array" ref="F348">_xlfn.IFS('ProductSprint Backlog'!$F348="", "", AND('ProductSprint Backlog'!$J348&gt;F$2,'ProductSprint Backlog'!$I348&lt;=F$2), 'ProductSprint Backlog'!$F348 / MAX(1, 'ProductSprint Backlog'!$J348-'ProductSprint Backlog'!$I348), AND('ProductSprint Backlog'!$J348=F$2,'ProductSprint Backlog'!$I348=F$2), 'ProductSprint Backlog'!$F348, TRUE, 0)</f>
        <v/>
      </c>
      <c r="G348" s="4" t="str" cm="1">
        <f t="array" ref="G348">_xlfn.IFS('ProductSprint Backlog'!$F348="", "", AND('ProductSprint Backlog'!$J348&gt;G$2,'ProductSprint Backlog'!$I348&lt;=G$2), 'ProductSprint Backlog'!$F348 / MAX(1, 'ProductSprint Backlog'!$J348-'ProductSprint Backlog'!$I348), AND('ProductSprint Backlog'!$J348=G$2,'ProductSprint Backlog'!$I348=G$2), 'ProductSprint Backlog'!$F348, TRUE, 0)</f>
        <v/>
      </c>
      <c r="H348" s="4" t="str" cm="1">
        <f t="array" ref="H348">_xlfn.IFS('ProductSprint Backlog'!$F348="", "", AND('ProductSprint Backlog'!$J348&gt;H$2,'ProductSprint Backlog'!$I348&lt;=H$2), 'ProductSprint Backlog'!$F348 / MAX(1, 'ProductSprint Backlog'!$J348-'ProductSprint Backlog'!$I348), AND('ProductSprint Backlog'!$J348=H$2,'ProductSprint Backlog'!$I348=H$2), 'ProductSprint Backlog'!$F348, TRUE, 0)</f>
        <v/>
      </c>
      <c r="I348" s="4" t="str" cm="1">
        <f t="array" ref="I348">_xlfn.IFS('ProductSprint Backlog'!$F348="", "", AND('ProductSprint Backlog'!$J348&gt;I$2,'ProductSprint Backlog'!$I348&lt;=I$2), 'ProductSprint Backlog'!$F348 / MAX(1, 'ProductSprint Backlog'!$J348-'ProductSprint Backlog'!$I348), AND('ProductSprint Backlog'!$J348=I$2,'ProductSprint Backlog'!$I348=I$2), 'ProductSprint Backlog'!$F348, TRUE, 0)</f>
        <v/>
      </c>
      <c r="J348" s="4" t="str" cm="1">
        <f t="array" ref="J348">_xlfn.IFS('ProductSprint Backlog'!$F348="", "", AND('ProductSprint Backlog'!$J348&gt;J$2,'ProductSprint Backlog'!$I348&lt;=J$2), 'ProductSprint Backlog'!$F348 / MAX(1, 'ProductSprint Backlog'!$J348-'ProductSprint Backlog'!$I348), AND('ProductSprint Backlog'!$J348=J$2,'ProductSprint Backlog'!$I348=J$2), 'ProductSprint Backlog'!$F348, TRUE, 0)</f>
        <v/>
      </c>
      <c r="K348" s="4" t="str" cm="1">
        <f t="array" ref="K348">_xlfn.IFS('ProductSprint Backlog'!$F348="", "", AND('ProductSprint Backlog'!$J348&gt;K$2,'ProductSprint Backlog'!$I348&lt;=K$2), 'ProductSprint Backlog'!$F348 / MAX(1, 'ProductSprint Backlog'!$J348-'ProductSprint Backlog'!$I348), AND('ProductSprint Backlog'!$J348=K$2,'ProductSprint Backlog'!$I348=K$2), 'ProductSprint Backlog'!$F348, TRUE, 0)</f>
        <v/>
      </c>
      <c r="L348" s="4" t="str" cm="1">
        <f t="array" ref="L348">_xlfn.IFS('ProductSprint Backlog'!$F348="", "", AND('ProductSprint Backlog'!$J348&gt;L$2,'ProductSprint Backlog'!$I348&lt;=L$2), 'ProductSprint Backlog'!$F348 / MAX(1, 'ProductSprint Backlog'!$J348-'ProductSprint Backlog'!$I348), AND('ProductSprint Backlog'!$J348=L$2,'ProductSprint Backlog'!$I348=L$2), 'ProductSprint Backlog'!$F348, TRUE, 0)</f>
        <v/>
      </c>
      <c r="M348" s="4" t="str" cm="1">
        <f t="array" ref="M348">_xlfn.IFS('ProductSprint Backlog'!$F348="", "", AND('ProductSprint Backlog'!$J348&gt;M$2,'ProductSprint Backlog'!$I348&lt;=M$2), 'ProductSprint Backlog'!$F348 / MAX(1, 'ProductSprint Backlog'!$J348-'ProductSprint Backlog'!$I348), AND('ProductSprint Backlog'!$J348=M$2,'ProductSprint Backlog'!$I348=M$2), 'ProductSprint Backlog'!$F348, TRUE, 0)</f>
        <v/>
      </c>
      <c r="N348" s="4" t="str" cm="1">
        <f t="array" ref="N348">_xlfn.IFS('ProductSprint Backlog'!$F348="", "", AND('ProductSprint Backlog'!$J348&gt;N$2,'ProductSprint Backlog'!$I348&lt;=N$2), 'ProductSprint Backlog'!$F348 / MAX(1, 'ProductSprint Backlog'!$J348-'ProductSprint Backlog'!$I348), AND('ProductSprint Backlog'!$J348=N$2,'ProductSprint Backlog'!$I348=N$2), 'ProductSprint Backlog'!$F348, TRUE, 0)</f>
        <v/>
      </c>
      <c r="O348" s="4" t="str" cm="1">
        <f t="array" ref="O348">_xlfn.IFS('ProductSprint Backlog'!$F348="", "", AND('ProductSprint Backlog'!$J348&gt;O$2,'ProductSprint Backlog'!$I348&lt;=O$2), 'ProductSprint Backlog'!$F348 / MAX(1, 'ProductSprint Backlog'!$J348-'ProductSprint Backlog'!$I348), AND('ProductSprint Backlog'!$J348=O$2,'ProductSprint Backlog'!$I348=O$2), 'ProductSprint Backlog'!$F348, TRUE, 0)</f>
        <v/>
      </c>
      <c r="P348" s="4" t="str" cm="1">
        <f t="array" ref="P348">_xlfn.IFS('ProductSprint Backlog'!$F348="", "", AND('ProductSprint Backlog'!$J348&gt;P$2,'ProductSprint Backlog'!$I348&lt;=P$2), 'ProductSprint Backlog'!$F348 / MAX(1, 'ProductSprint Backlog'!$J348-'ProductSprint Backlog'!$I348), AND('ProductSprint Backlog'!$J348=P$2,'ProductSprint Backlog'!$I348=P$2), 'ProductSprint Backlog'!$F348, TRUE, 0)</f>
        <v/>
      </c>
      <c r="Q348" s="4" t="str" cm="1">
        <f t="array" ref="Q348">_xlfn.IFS('ProductSprint Backlog'!$F348="", "", AND('ProductSprint Backlog'!$J348&gt;Q$2,'ProductSprint Backlog'!$I348&lt;=Q$2), 'ProductSprint Backlog'!$F348 / MAX(1, 'ProductSprint Backlog'!$J348-'ProductSprint Backlog'!$I348), AND('ProductSprint Backlog'!$J348=Q$2,'ProductSprint Backlog'!$I348=Q$2), 'ProductSprint Backlog'!$F348, TRUE, 0)</f>
        <v/>
      </c>
    </row>
    <row r="349" spans="2:17" x14ac:dyDescent="0.2">
      <c r="B349" s="4" t="str" cm="1">
        <f t="array" ref="B349">_xlfn.IFS('ProductSprint Backlog'!$F349="", "", AND('ProductSprint Backlog'!$J349&gt;B$2,'ProductSprint Backlog'!$I349&lt;=B$2), 'ProductSprint Backlog'!$F349 / MAX(1, 'ProductSprint Backlog'!$J349-'ProductSprint Backlog'!$I349), AND('ProductSprint Backlog'!$J349=B$2,'ProductSprint Backlog'!$I349=B$2), 'ProductSprint Backlog'!$F349, TRUE, 0)</f>
        <v/>
      </c>
      <c r="C349" s="4" t="str" cm="1">
        <f t="array" ref="C349">_xlfn.IFS('ProductSprint Backlog'!$F349="", "", AND('ProductSprint Backlog'!$J349&gt;C$2,'ProductSprint Backlog'!$I349&lt;=C$2), 'ProductSprint Backlog'!$F349 / MAX(1, 'ProductSprint Backlog'!$J349-'ProductSprint Backlog'!$I349), AND('ProductSprint Backlog'!$J349=C$2,'ProductSprint Backlog'!$I349=C$2), 'ProductSprint Backlog'!$F349, TRUE, 0)</f>
        <v/>
      </c>
      <c r="D349" s="4" t="str" cm="1">
        <f t="array" ref="D349">_xlfn.IFS('ProductSprint Backlog'!$F349="", "", AND('ProductSprint Backlog'!$J349&gt;D$2,'ProductSprint Backlog'!$I349&lt;=D$2), 'ProductSprint Backlog'!$F349 / MAX(1, 'ProductSprint Backlog'!$J349-'ProductSprint Backlog'!$I349), AND('ProductSprint Backlog'!$J349=D$2,'ProductSprint Backlog'!$I349=D$2), 'ProductSprint Backlog'!$F349, TRUE, 0)</f>
        <v/>
      </c>
      <c r="E349" s="4" t="str" cm="1">
        <f t="array" ref="E349">_xlfn.IFS('ProductSprint Backlog'!$F349="", "", AND('ProductSprint Backlog'!$J349&gt;E$2,'ProductSprint Backlog'!$I349&lt;=E$2), 'ProductSprint Backlog'!$F349 / MAX(1, 'ProductSprint Backlog'!$J349-'ProductSprint Backlog'!$I349), AND('ProductSprint Backlog'!$J349=E$2,'ProductSprint Backlog'!$I349=E$2), 'ProductSprint Backlog'!$F349, TRUE, 0)</f>
        <v/>
      </c>
      <c r="F349" s="4" t="str" cm="1">
        <f t="array" ref="F349">_xlfn.IFS('ProductSprint Backlog'!$F349="", "", AND('ProductSprint Backlog'!$J349&gt;F$2,'ProductSprint Backlog'!$I349&lt;=F$2), 'ProductSprint Backlog'!$F349 / MAX(1, 'ProductSprint Backlog'!$J349-'ProductSprint Backlog'!$I349), AND('ProductSprint Backlog'!$J349=F$2,'ProductSprint Backlog'!$I349=F$2), 'ProductSprint Backlog'!$F349, TRUE, 0)</f>
        <v/>
      </c>
      <c r="G349" s="4" t="str" cm="1">
        <f t="array" ref="G349">_xlfn.IFS('ProductSprint Backlog'!$F349="", "", AND('ProductSprint Backlog'!$J349&gt;G$2,'ProductSprint Backlog'!$I349&lt;=G$2), 'ProductSprint Backlog'!$F349 / MAX(1, 'ProductSprint Backlog'!$J349-'ProductSprint Backlog'!$I349), AND('ProductSprint Backlog'!$J349=G$2,'ProductSprint Backlog'!$I349=G$2), 'ProductSprint Backlog'!$F349, TRUE, 0)</f>
        <v/>
      </c>
      <c r="H349" s="4" t="str" cm="1">
        <f t="array" ref="H349">_xlfn.IFS('ProductSprint Backlog'!$F349="", "", AND('ProductSprint Backlog'!$J349&gt;H$2,'ProductSprint Backlog'!$I349&lt;=H$2), 'ProductSprint Backlog'!$F349 / MAX(1, 'ProductSprint Backlog'!$J349-'ProductSprint Backlog'!$I349), AND('ProductSprint Backlog'!$J349=H$2,'ProductSprint Backlog'!$I349=H$2), 'ProductSprint Backlog'!$F349, TRUE, 0)</f>
        <v/>
      </c>
      <c r="I349" s="4" t="str" cm="1">
        <f t="array" ref="I349">_xlfn.IFS('ProductSprint Backlog'!$F349="", "", AND('ProductSprint Backlog'!$J349&gt;I$2,'ProductSprint Backlog'!$I349&lt;=I$2), 'ProductSprint Backlog'!$F349 / MAX(1, 'ProductSprint Backlog'!$J349-'ProductSprint Backlog'!$I349), AND('ProductSprint Backlog'!$J349=I$2,'ProductSprint Backlog'!$I349=I$2), 'ProductSprint Backlog'!$F349, TRUE, 0)</f>
        <v/>
      </c>
      <c r="J349" s="4" t="str" cm="1">
        <f t="array" ref="J349">_xlfn.IFS('ProductSprint Backlog'!$F349="", "", AND('ProductSprint Backlog'!$J349&gt;J$2,'ProductSprint Backlog'!$I349&lt;=J$2), 'ProductSprint Backlog'!$F349 / MAX(1, 'ProductSprint Backlog'!$J349-'ProductSprint Backlog'!$I349), AND('ProductSprint Backlog'!$J349=J$2,'ProductSprint Backlog'!$I349=J$2), 'ProductSprint Backlog'!$F349, TRUE, 0)</f>
        <v/>
      </c>
      <c r="K349" s="4" t="str" cm="1">
        <f t="array" ref="K349">_xlfn.IFS('ProductSprint Backlog'!$F349="", "", AND('ProductSprint Backlog'!$J349&gt;K$2,'ProductSprint Backlog'!$I349&lt;=K$2), 'ProductSprint Backlog'!$F349 / MAX(1, 'ProductSprint Backlog'!$J349-'ProductSprint Backlog'!$I349), AND('ProductSprint Backlog'!$J349=K$2,'ProductSprint Backlog'!$I349=K$2), 'ProductSprint Backlog'!$F349, TRUE, 0)</f>
        <v/>
      </c>
      <c r="L349" s="4" t="str" cm="1">
        <f t="array" ref="L349">_xlfn.IFS('ProductSprint Backlog'!$F349="", "", AND('ProductSprint Backlog'!$J349&gt;L$2,'ProductSprint Backlog'!$I349&lt;=L$2), 'ProductSprint Backlog'!$F349 / MAX(1, 'ProductSprint Backlog'!$J349-'ProductSprint Backlog'!$I349), AND('ProductSprint Backlog'!$J349=L$2,'ProductSprint Backlog'!$I349=L$2), 'ProductSprint Backlog'!$F349, TRUE, 0)</f>
        <v/>
      </c>
      <c r="M349" s="4" t="str" cm="1">
        <f t="array" ref="M349">_xlfn.IFS('ProductSprint Backlog'!$F349="", "", AND('ProductSprint Backlog'!$J349&gt;M$2,'ProductSprint Backlog'!$I349&lt;=M$2), 'ProductSprint Backlog'!$F349 / MAX(1, 'ProductSprint Backlog'!$J349-'ProductSprint Backlog'!$I349), AND('ProductSprint Backlog'!$J349=M$2,'ProductSprint Backlog'!$I349=M$2), 'ProductSprint Backlog'!$F349, TRUE, 0)</f>
        <v/>
      </c>
      <c r="N349" s="4" t="str" cm="1">
        <f t="array" ref="N349">_xlfn.IFS('ProductSprint Backlog'!$F349="", "", AND('ProductSprint Backlog'!$J349&gt;N$2,'ProductSprint Backlog'!$I349&lt;=N$2), 'ProductSprint Backlog'!$F349 / MAX(1, 'ProductSprint Backlog'!$J349-'ProductSprint Backlog'!$I349), AND('ProductSprint Backlog'!$J349=N$2,'ProductSprint Backlog'!$I349=N$2), 'ProductSprint Backlog'!$F349, TRUE, 0)</f>
        <v/>
      </c>
      <c r="O349" s="4" t="str" cm="1">
        <f t="array" ref="O349">_xlfn.IFS('ProductSprint Backlog'!$F349="", "", AND('ProductSprint Backlog'!$J349&gt;O$2,'ProductSprint Backlog'!$I349&lt;=O$2), 'ProductSprint Backlog'!$F349 / MAX(1, 'ProductSprint Backlog'!$J349-'ProductSprint Backlog'!$I349), AND('ProductSprint Backlog'!$J349=O$2,'ProductSprint Backlog'!$I349=O$2), 'ProductSprint Backlog'!$F349, TRUE, 0)</f>
        <v/>
      </c>
      <c r="P349" s="4" t="str" cm="1">
        <f t="array" ref="P349">_xlfn.IFS('ProductSprint Backlog'!$F349="", "", AND('ProductSprint Backlog'!$J349&gt;P$2,'ProductSprint Backlog'!$I349&lt;=P$2), 'ProductSprint Backlog'!$F349 / MAX(1, 'ProductSprint Backlog'!$J349-'ProductSprint Backlog'!$I349), AND('ProductSprint Backlog'!$J349=P$2,'ProductSprint Backlog'!$I349=P$2), 'ProductSprint Backlog'!$F349, TRUE, 0)</f>
        <v/>
      </c>
      <c r="Q349" s="4" t="str" cm="1">
        <f t="array" ref="Q349">_xlfn.IFS('ProductSprint Backlog'!$F349="", "", AND('ProductSprint Backlog'!$J349&gt;Q$2,'ProductSprint Backlog'!$I349&lt;=Q$2), 'ProductSprint Backlog'!$F349 / MAX(1, 'ProductSprint Backlog'!$J349-'ProductSprint Backlog'!$I349), AND('ProductSprint Backlog'!$J349=Q$2,'ProductSprint Backlog'!$I349=Q$2), 'ProductSprint Backlog'!$F349, TRUE, 0)</f>
        <v/>
      </c>
    </row>
    <row r="350" spans="2:17" x14ac:dyDescent="0.2">
      <c r="B350" s="4" t="str" cm="1">
        <f t="array" ref="B350">_xlfn.IFS('ProductSprint Backlog'!$F350="", "", AND('ProductSprint Backlog'!$J350&gt;B$2,'ProductSprint Backlog'!$I350&lt;=B$2), 'ProductSprint Backlog'!$F350 / MAX(1, 'ProductSprint Backlog'!$J350-'ProductSprint Backlog'!$I350), AND('ProductSprint Backlog'!$J350=B$2,'ProductSprint Backlog'!$I350=B$2), 'ProductSprint Backlog'!$F350, TRUE, 0)</f>
        <v/>
      </c>
      <c r="C350" s="4" t="str" cm="1">
        <f t="array" ref="C350">_xlfn.IFS('ProductSprint Backlog'!$F350="", "", AND('ProductSprint Backlog'!$J350&gt;C$2,'ProductSprint Backlog'!$I350&lt;=C$2), 'ProductSprint Backlog'!$F350 / MAX(1, 'ProductSprint Backlog'!$J350-'ProductSprint Backlog'!$I350), AND('ProductSprint Backlog'!$J350=C$2,'ProductSprint Backlog'!$I350=C$2), 'ProductSprint Backlog'!$F350, TRUE, 0)</f>
        <v/>
      </c>
      <c r="D350" s="4" t="str" cm="1">
        <f t="array" ref="D350">_xlfn.IFS('ProductSprint Backlog'!$F350="", "", AND('ProductSprint Backlog'!$J350&gt;D$2,'ProductSprint Backlog'!$I350&lt;=D$2), 'ProductSprint Backlog'!$F350 / MAX(1, 'ProductSprint Backlog'!$J350-'ProductSprint Backlog'!$I350), AND('ProductSprint Backlog'!$J350=D$2,'ProductSprint Backlog'!$I350=D$2), 'ProductSprint Backlog'!$F350, TRUE, 0)</f>
        <v/>
      </c>
      <c r="E350" s="4" t="str" cm="1">
        <f t="array" ref="E350">_xlfn.IFS('ProductSprint Backlog'!$F350="", "", AND('ProductSprint Backlog'!$J350&gt;E$2,'ProductSprint Backlog'!$I350&lt;=E$2), 'ProductSprint Backlog'!$F350 / MAX(1, 'ProductSprint Backlog'!$J350-'ProductSprint Backlog'!$I350), AND('ProductSprint Backlog'!$J350=E$2,'ProductSprint Backlog'!$I350=E$2), 'ProductSprint Backlog'!$F350, TRUE, 0)</f>
        <v/>
      </c>
      <c r="F350" s="4" t="str" cm="1">
        <f t="array" ref="F350">_xlfn.IFS('ProductSprint Backlog'!$F350="", "", AND('ProductSprint Backlog'!$J350&gt;F$2,'ProductSprint Backlog'!$I350&lt;=F$2), 'ProductSprint Backlog'!$F350 / MAX(1, 'ProductSprint Backlog'!$J350-'ProductSprint Backlog'!$I350), AND('ProductSprint Backlog'!$J350=F$2,'ProductSprint Backlog'!$I350=F$2), 'ProductSprint Backlog'!$F350, TRUE, 0)</f>
        <v/>
      </c>
      <c r="G350" s="4" t="str" cm="1">
        <f t="array" ref="G350">_xlfn.IFS('ProductSprint Backlog'!$F350="", "", AND('ProductSprint Backlog'!$J350&gt;G$2,'ProductSprint Backlog'!$I350&lt;=G$2), 'ProductSprint Backlog'!$F350 / MAX(1, 'ProductSprint Backlog'!$J350-'ProductSprint Backlog'!$I350), AND('ProductSprint Backlog'!$J350=G$2,'ProductSprint Backlog'!$I350=G$2), 'ProductSprint Backlog'!$F350, TRUE, 0)</f>
        <v/>
      </c>
      <c r="H350" s="4" t="str" cm="1">
        <f t="array" ref="H350">_xlfn.IFS('ProductSprint Backlog'!$F350="", "", AND('ProductSprint Backlog'!$J350&gt;H$2,'ProductSprint Backlog'!$I350&lt;=H$2), 'ProductSprint Backlog'!$F350 / MAX(1, 'ProductSprint Backlog'!$J350-'ProductSprint Backlog'!$I350), AND('ProductSprint Backlog'!$J350=H$2,'ProductSprint Backlog'!$I350=H$2), 'ProductSprint Backlog'!$F350, TRUE, 0)</f>
        <v/>
      </c>
      <c r="I350" s="4" t="str" cm="1">
        <f t="array" ref="I350">_xlfn.IFS('ProductSprint Backlog'!$F350="", "", AND('ProductSprint Backlog'!$J350&gt;I$2,'ProductSprint Backlog'!$I350&lt;=I$2), 'ProductSprint Backlog'!$F350 / MAX(1, 'ProductSprint Backlog'!$J350-'ProductSprint Backlog'!$I350), AND('ProductSprint Backlog'!$J350=I$2,'ProductSprint Backlog'!$I350=I$2), 'ProductSprint Backlog'!$F350, TRUE, 0)</f>
        <v/>
      </c>
      <c r="J350" s="4" t="str" cm="1">
        <f t="array" ref="J350">_xlfn.IFS('ProductSprint Backlog'!$F350="", "", AND('ProductSprint Backlog'!$J350&gt;J$2,'ProductSprint Backlog'!$I350&lt;=J$2), 'ProductSprint Backlog'!$F350 / MAX(1, 'ProductSprint Backlog'!$J350-'ProductSprint Backlog'!$I350), AND('ProductSprint Backlog'!$J350=J$2,'ProductSprint Backlog'!$I350=J$2), 'ProductSprint Backlog'!$F350, TRUE, 0)</f>
        <v/>
      </c>
      <c r="K350" s="4" t="str" cm="1">
        <f t="array" ref="K350">_xlfn.IFS('ProductSprint Backlog'!$F350="", "", AND('ProductSprint Backlog'!$J350&gt;K$2,'ProductSprint Backlog'!$I350&lt;=K$2), 'ProductSprint Backlog'!$F350 / MAX(1, 'ProductSprint Backlog'!$J350-'ProductSprint Backlog'!$I350), AND('ProductSprint Backlog'!$J350=K$2,'ProductSprint Backlog'!$I350=K$2), 'ProductSprint Backlog'!$F350, TRUE, 0)</f>
        <v/>
      </c>
      <c r="L350" s="4" t="str" cm="1">
        <f t="array" ref="L350">_xlfn.IFS('ProductSprint Backlog'!$F350="", "", AND('ProductSprint Backlog'!$J350&gt;L$2,'ProductSprint Backlog'!$I350&lt;=L$2), 'ProductSprint Backlog'!$F350 / MAX(1, 'ProductSprint Backlog'!$J350-'ProductSprint Backlog'!$I350), AND('ProductSprint Backlog'!$J350=L$2,'ProductSprint Backlog'!$I350=L$2), 'ProductSprint Backlog'!$F350, TRUE, 0)</f>
        <v/>
      </c>
      <c r="M350" s="4" t="str" cm="1">
        <f t="array" ref="M350">_xlfn.IFS('ProductSprint Backlog'!$F350="", "", AND('ProductSprint Backlog'!$J350&gt;M$2,'ProductSprint Backlog'!$I350&lt;=M$2), 'ProductSprint Backlog'!$F350 / MAX(1, 'ProductSprint Backlog'!$J350-'ProductSprint Backlog'!$I350), AND('ProductSprint Backlog'!$J350=M$2,'ProductSprint Backlog'!$I350=M$2), 'ProductSprint Backlog'!$F350, TRUE, 0)</f>
        <v/>
      </c>
      <c r="N350" s="4" t="str" cm="1">
        <f t="array" ref="N350">_xlfn.IFS('ProductSprint Backlog'!$F350="", "", AND('ProductSprint Backlog'!$J350&gt;N$2,'ProductSprint Backlog'!$I350&lt;=N$2), 'ProductSprint Backlog'!$F350 / MAX(1, 'ProductSprint Backlog'!$J350-'ProductSprint Backlog'!$I350), AND('ProductSprint Backlog'!$J350=N$2,'ProductSprint Backlog'!$I350=N$2), 'ProductSprint Backlog'!$F350, TRUE, 0)</f>
        <v/>
      </c>
      <c r="O350" s="4" t="str" cm="1">
        <f t="array" ref="O350">_xlfn.IFS('ProductSprint Backlog'!$F350="", "", AND('ProductSprint Backlog'!$J350&gt;O$2,'ProductSprint Backlog'!$I350&lt;=O$2), 'ProductSprint Backlog'!$F350 / MAX(1, 'ProductSprint Backlog'!$J350-'ProductSprint Backlog'!$I350), AND('ProductSprint Backlog'!$J350=O$2,'ProductSprint Backlog'!$I350=O$2), 'ProductSprint Backlog'!$F350, TRUE, 0)</f>
        <v/>
      </c>
      <c r="P350" s="4" t="str" cm="1">
        <f t="array" ref="P350">_xlfn.IFS('ProductSprint Backlog'!$F350="", "", AND('ProductSprint Backlog'!$J350&gt;P$2,'ProductSprint Backlog'!$I350&lt;=P$2), 'ProductSprint Backlog'!$F350 / MAX(1, 'ProductSprint Backlog'!$J350-'ProductSprint Backlog'!$I350), AND('ProductSprint Backlog'!$J350=P$2,'ProductSprint Backlog'!$I350=P$2), 'ProductSprint Backlog'!$F350, TRUE, 0)</f>
        <v/>
      </c>
      <c r="Q350" s="4" t="str" cm="1">
        <f t="array" ref="Q350">_xlfn.IFS('ProductSprint Backlog'!$F350="", "", AND('ProductSprint Backlog'!$J350&gt;Q$2,'ProductSprint Backlog'!$I350&lt;=Q$2), 'ProductSprint Backlog'!$F350 / MAX(1, 'ProductSprint Backlog'!$J350-'ProductSprint Backlog'!$I350), AND('ProductSprint Backlog'!$J350=Q$2,'ProductSprint Backlog'!$I350=Q$2), 'ProductSprint Backlog'!$F350, TRUE, 0)</f>
        <v/>
      </c>
    </row>
    <row r="351" spans="2:17" x14ac:dyDescent="0.2">
      <c r="B351" s="4" t="str" cm="1">
        <f t="array" ref="B351">_xlfn.IFS('ProductSprint Backlog'!$F351="", "", AND('ProductSprint Backlog'!$J351&gt;B$2,'ProductSprint Backlog'!$I351&lt;=B$2), 'ProductSprint Backlog'!$F351 / MAX(1, 'ProductSprint Backlog'!$J351-'ProductSprint Backlog'!$I351), AND('ProductSprint Backlog'!$J351=B$2,'ProductSprint Backlog'!$I351=B$2), 'ProductSprint Backlog'!$F351, TRUE, 0)</f>
        <v/>
      </c>
      <c r="C351" s="4" t="str" cm="1">
        <f t="array" ref="C351">_xlfn.IFS('ProductSprint Backlog'!$F351="", "", AND('ProductSprint Backlog'!$J351&gt;C$2,'ProductSprint Backlog'!$I351&lt;=C$2), 'ProductSprint Backlog'!$F351 / MAX(1, 'ProductSprint Backlog'!$J351-'ProductSprint Backlog'!$I351), AND('ProductSprint Backlog'!$J351=C$2,'ProductSprint Backlog'!$I351=C$2), 'ProductSprint Backlog'!$F351, TRUE, 0)</f>
        <v/>
      </c>
      <c r="D351" s="4" t="str" cm="1">
        <f t="array" ref="D351">_xlfn.IFS('ProductSprint Backlog'!$F351="", "", AND('ProductSprint Backlog'!$J351&gt;D$2,'ProductSprint Backlog'!$I351&lt;=D$2), 'ProductSprint Backlog'!$F351 / MAX(1, 'ProductSprint Backlog'!$J351-'ProductSprint Backlog'!$I351), AND('ProductSprint Backlog'!$J351=D$2,'ProductSprint Backlog'!$I351=D$2), 'ProductSprint Backlog'!$F351, TRUE, 0)</f>
        <v/>
      </c>
      <c r="E351" s="4" t="str" cm="1">
        <f t="array" ref="E351">_xlfn.IFS('ProductSprint Backlog'!$F351="", "", AND('ProductSprint Backlog'!$J351&gt;E$2,'ProductSprint Backlog'!$I351&lt;=E$2), 'ProductSprint Backlog'!$F351 / MAX(1, 'ProductSprint Backlog'!$J351-'ProductSprint Backlog'!$I351), AND('ProductSprint Backlog'!$J351=E$2,'ProductSprint Backlog'!$I351=E$2), 'ProductSprint Backlog'!$F351, TRUE, 0)</f>
        <v/>
      </c>
      <c r="F351" s="4" t="str" cm="1">
        <f t="array" ref="F351">_xlfn.IFS('ProductSprint Backlog'!$F351="", "", AND('ProductSprint Backlog'!$J351&gt;F$2,'ProductSprint Backlog'!$I351&lt;=F$2), 'ProductSprint Backlog'!$F351 / MAX(1, 'ProductSprint Backlog'!$J351-'ProductSprint Backlog'!$I351), AND('ProductSprint Backlog'!$J351=F$2,'ProductSprint Backlog'!$I351=F$2), 'ProductSprint Backlog'!$F351, TRUE, 0)</f>
        <v/>
      </c>
      <c r="G351" s="4" t="str" cm="1">
        <f t="array" ref="G351">_xlfn.IFS('ProductSprint Backlog'!$F351="", "", AND('ProductSprint Backlog'!$J351&gt;G$2,'ProductSprint Backlog'!$I351&lt;=G$2), 'ProductSprint Backlog'!$F351 / MAX(1, 'ProductSprint Backlog'!$J351-'ProductSprint Backlog'!$I351), AND('ProductSprint Backlog'!$J351=G$2,'ProductSprint Backlog'!$I351=G$2), 'ProductSprint Backlog'!$F351, TRUE, 0)</f>
        <v/>
      </c>
      <c r="H351" s="4" t="str" cm="1">
        <f t="array" ref="H351">_xlfn.IFS('ProductSprint Backlog'!$F351="", "", AND('ProductSprint Backlog'!$J351&gt;H$2,'ProductSprint Backlog'!$I351&lt;=H$2), 'ProductSprint Backlog'!$F351 / MAX(1, 'ProductSprint Backlog'!$J351-'ProductSprint Backlog'!$I351), AND('ProductSprint Backlog'!$J351=H$2,'ProductSprint Backlog'!$I351=H$2), 'ProductSprint Backlog'!$F351, TRUE, 0)</f>
        <v/>
      </c>
      <c r="I351" s="4" t="str" cm="1">
        <f t="array" ref="I351">_xlfn.IFS('ProductSprint Backlog'!$F351="", "", AND('ProductSprint Backlog'!$J351&gt;I$2,'ProductSprint Backlog'!$I351&lt;=I$2), 'ProductSprint Backlog'!$F351 / MAX(1, 'ProductSprint Backlog'!$J351-'ProductSprint Backlog'!$I351), AND('ProductSprint Backlog'!$J351=I$2,'ProductSprint Backlog'!$I351=I$2), 'ProductSprint Backlog'!$F351, TRUE, 0)</f>
        <v/>
      </c>
      <c r="J351" s="4" t="str" cm="1">
        <f t="array" ref="J351">_xlfn.IFS('ProductSprint Backlog'!$F351="", "", AND('ProductSprint Backlog'!$J351&gt;J$2,'ProductSprint Backlog'!$I351&lt;=J$2), 'ProductSprint Backlog'!$F351 / MAX(1, 'ProductSprint Backlog'!$J351-'ProductSprint Backlog'!$I351), AND('ProductSprint Backlog'!$J351=J$2,'ProductSprint Backlog'!$I351=J$2), 'ProductSprint Backlog'!$F351, TRUE, 0)</f>
        <v/>
      </c>
      <c r="K351" s="4" t="str" cm="1">
        <f t="array" ref="K351">_xlfn.IFS('ProductSprint Backlog'!$F351="", "", AND('ProductSprint Backlog'!$J351&gt;K$2,'ProductSprint Backlog'!$I351&lt;=K$2), 'ProductSprint Backlog'!$F351 / MAX(1, 'ProductSprint Backlog'!$J351-'ProductSprint Backlog'!$I351), AND('ProductSprint Backlog'!$J351=K$2,'ProductSprint Backlog'!$I351=K$2), 'ProductSprint Backlog'!$F351, TRUE, 0)</f>
        <v/>
      </c>
      <c r="L351" s="4" t="str" cm="1">
        <f t="array" ref="L351">_xlfn.IFS('ProductSprint Backlog'!$F351="", "", AND('ProductSprint Backlog'!$J351&gt;L$2,'ProductSprint Backlog'!$I351&lt;=L$2), 'ProductSprint Backlog'!$F351 / MAX(1, 'ProductSprint Backlog'!$J351-'ProductSprint Backlog'!$I351), AND('ProductSprint Backlog'!$J351=L$2,'ProductSprint Backlog'!$I351=L$2), 'ProductSprint Backlog'!$F351, TRUE, 0)</f>
        <v/>
      </c>
      <c r="M351" s="4" t="str" cm="1">
        <f t="array" ref="M351">_xlfn.IFS('ProductSprint Backlog'!$F351="", "", AND('ProductSprint Backlog'!$J351&gt;M$2,'ProductSprint Backlog'!$I351&lt;=M$2), 'ProductSprint Backlog'!$F351 / MAX(1, 'ProductSprint Backlog'!$J351-'ProductSprint Backlog'!$I351), AND('ProductSprint Backlog'!$J351=M$2,'ProductSprint Backlog'!$I351=M$2), 'ProductSprint Backlog'!$F351, TRUE, 0)</f>
        <v/>
      </c>
      <c r="N351" s="4" t="str" cm="1">
        <f t="array" ref="N351">_xlfn.IFS('ProductSprint Backlog'!$F351="", "", AND('ProductSprint Backlog'!$J351&gt;N$2,'ProductSprint Backlog'!$I351&lt;=N$2), 'ProductSprint Backlog'!$F351 / MAX(1, 'ProductSprint Backlog'!$J351-'ProductSprint Backlog'!$I351), AND('ProductSprint Backlog'!$J351=N$2,'ProductSprint Backlog'!$I351=N$2), 'ProductSprint Backlog'!$F351, TRUE, 0)</f>
        <v/>
      </c>
      <c r="O351" s="4" t="str" cm="1">
        <f t="array" ref="O351">_xlfn.IFS('ProductSprint Backlog'!$F351="", "", AND('ProductSprint Backlog'!$J351&gt;O$2,'ProductSprint Backlog'!$I351&lt;=O$2), 'ProductSprint Backlog'!$F351 / MAX(1, 'ProductSprint Backlog'!$J351-'ProductSprint Backlog'!$I351), AND('ProductSprint Backlog'!$J351=O$2,'ProductSprint Backlog'!$I351=O$2), 'ProductSprint Backlog'!$F351, TRUE, 0)</f>
        <v/>
      </c>
      <c r="P351" s="4" t="str" cm="1">
        <f t="array" ref="P351">_xlfn.IFS('ProductSprint Backlog'!$F351="", "", AND('ProductSprint Backlog'!$J351&gt;P$2,'ProductSprint Backlog'!$I351&lt;=P$2), 'ProductSprint Backlog'!$F351 / MAX(1, 'ProductSprint Backlog'!$J351-'ProductSprint Backlog'!$I351), AND('ProductSprint Backlog'!$J351=P$2,'ProductSprint Backlog'!$I351=P$2), 'ProductSprint Backlog'!$F351, TRUE, 0)</f>
        <v/>
      </c>
      <c r="Q351" s="4" t="str" cm="1">
        <f t="array" ref="Q351">_xlfn.IFS('ProductSprint Backlog'!$F351="", "", AND('ProductSprint Backlog'!$J351&gt;Q$2,'ProductSprint Backlog'!$I351&lt;=Q$2), 'ProductSprint Backlog'!$F351 / MAX(1, 'ProductSprint Backlog'!$J351-'ProductSprint Backlog'!$I351), AND('ProductSprint Backlog'!$J351=Q$2,'ProductSprint Backlog'!$I351=Q$2), 'ProductSprint Backlog'!$F351, TRUE, 0)</f>
        <v/>
      </c>
    </row>
    <row r="352" spans="2:17" x14ac:dyDescent="0.2">
      <c r="B352" s="4" t="str" cm="1">
        <f t="array" ref="B352">_xlfn.IFS('ProductSprint Backlog'!$F352="", "", AND('ProductSprint Backlog'!$J352&gt;B$2,'ProductSprint Backlog'!$I352&lt;=B$2), 'ProductSprint Backlog'!$F352 / MAX(1, 'ProductSprint Backlog'!$J352-'ProductSprint Backlog'!$I352), AND('ProductSprint Backlog'!$J352=B$2,'ProductSprint Backlog'!$I352=B$2), 'ProductSprint Backlog'!$F352, TRUE, 0)</f>
        <v/>
      </c>
      <c r="C352" s="4" t="str" cm="1">
        <f t="array" ref="C352">_xlfn.IFS('ProductSprint Backlog'!$F352="", "", AND('ProductSprint Backlog'!$J352&gt;C$2,'ProductSprint Backlog'!$I352&lt;=C$2), 'ProductSprint Backlog'!$F352 / MAX(1, 'ProductSprint Backlog'!$J352-'ProductSprint Backlog'!$I352), AND('ProductSprint Backlog'!$J352=C$2,'ProductSprint Backlog'!$I352=C$2), 'ProductSprint Backlog'!$F352, TRUE, 0)</f>
        <v/>
      </c>
      <c r="D352" s="4" t="str" cm="1">
        <f t="array" ref="D352">_xlfn.IFS('ProductSprint Backlog'!$F352="", "", AND('ProductSprint Backlog'!$J352&gt;D$2,'ProductSprint Backlog'!$I352&lt;=D$2), 'ProductSprint Backlog'!$F352 / MAX(1, 'ProductSprint Backlog'!$J352-'ProductSprint Backlog'!$I352), AND('ProductSprint Backlog'!$J352=D$2,'ProductSprint Backlog'!$I352=D$2), 'ProductSprint Backlog'!$F352, TRUE, 0)</f>
        <v/>
      </c>
      <c r="E352" s="4" t="str" cm="1">
        <f t="array" ref="E352">_xlfn.IFS('ProductSprint Backlog'!$F352="", "", AND('ProductSprint Backlog'!$J352&gt;E$2,'ProductSprint Backlog'!$I352&lt;=E$2), 'ProductSprint Backlog'!$F352 / MAX(1, 'ProductSprint Backlog'!$J352-'ProductSprint Backlog'!$I352), AND('ProductSprint Backlog'!$J352=E$2,'ProductSprint Backlog'!$I352=E$2), 'ProductSprint Backlog'!$F352, TRUE, 0)</f>
        <v/>
      </c>
      <c r="F352" s="4" t="str" cm="1">
        <f t="array" ref="F352">_xlfn.IFS('ProductSprint Backlog'!$F352="", "", AND('ProductSprint Backlog'!$J352&gt;F$2,'ProductSprint Backlog'!$I352&lt;=F$2), 'ProductSprint Backlog'!$F352 / MAX(1, 'ProductSprint Backlog'!$J352-'ProductSprint Backlog'!$I352), AND('ProductSprint Backlog'!$J352=F$2,'ProductSprint Backlog'!$I352=F$2), 'ProductSprint Backlog'!$F352, TRUE, 0)</f>
        <v/>
      </c>
      <c r="G352" s="4" t="str" cm="1">
        <f t="array" ref="G352">_xlfn.IFS('ProductSprint Backlog'!$F352="", "", AND('ProductSprint Backlog'!$J352&gt;G$2,'ProductSprint Backlog'!$I352&lt;=G$2), 'ProductSprint Backlog'!$F352 / MAX(1, 'ProductSprint Backlog'!$J352-'ProductSprint Backlog'!$I352), AND('ProductSprint Backlog'!$J352=G$2,'ProductSprint Backlog'!$I352=G$2), 'ProductSprint Backlog'!$F352, TRUE, 0)</f>
        <v/>
      </c>
      <c r="H352" s="4" t="str" cm="1">
        <f t="array" ref="H352">_xlfn.IFS('ProductSprint Backlog'!$F352="", "", AND('ProductSprint Backlog'!$J352&gt;H$2,'ProductSprint Backlog'!$I352&lt;=H$2), 'ProductSprint Backlog'!$F352 / MAX(1, 'ProductSprint Backlog'!$J352-'ProductSprint Backlog'!$I352), AND('ProductSprint Backlog'!$J352=H$2,'ProductSprint Backlog'!$I352=H$2), 'ProductSprint Backlog'!$F352, TRUE, 0)</f>
        <v/>
      </c>
      <c r="I352" s="4" t="str" cm="1">
        <f t="array" ref="I352">_xlfn.IFS('ProductSprint Backlog'!$F352="", "", AND('ProductSprint Backlog'!$J352&gt;I$2,'ProductSprint Backlog'!$I352&lt;=I$2), 'ProductSprint Backlog'!$F352 / MAX(1, 'ProductSprint Backlog'!$J352-'ProductSprint Backlog'!$I352), AND('ProductSprint Backlog'!$J352=I$2,'ProductSprint Backlog'!$I352=I$2), 'ProductSprint Backlog'!$F352, TRUE, 0)</f>
        <v/>
      </c>
      <c r="J352" s="4" t="str" cm="1">
        <f t="array" ref="J352">_xlfn.IFS('ProductSprint Backlog'!$F352="", "", AND('ProductSprint Backlog'!$J352&gt;J$2,'ProductSprint Backlog'!$I352&lt;=J$2), 'ProductSprint Backlog'!$F352 / MAX(1, 'ProductSprint Backlog'!$J352-'ProductSprint Backlog'!$I352), AND('ProductSprint Backlog'!$J352=J$2,'ProductSprint Backlog'!$I352=J$2), 'ProductSprint Backlog'!$F352, TRUE, 0)</f>
        <v/>
      </c>
      <c r="K352" s="4" t="str" cm="1">
        <f t="array" ref="K352">_xlfn.IFS('ProductSprint Backlog'!$F352="", "", AND('ProductSprint Backlog'!$J352&gt;K$2,'ProductSprint Backlog'!$I352&lt;=K$2), 'ProductSprint Backlog'!$F352 / MAX(1, 'ProductSprint Backlog'!$J352-'ProductSprint Backlog'!$I352), AND('ProductSprint Backlog'!$J352=K$2,'ProductSprint Backlog'!$I352=K$2), 'ProductSprint Backlog'!$F352, TRUE, 0)</f>
        <v/>
      </c>
      <c r="L352" s="4" t="str" cm="1">
        <f t="array" ref="L352">_xlfn.IFS('ProductSprint Backlog'!$F352="", "", AND('ProductSprint Backlog'!$J352&gt;L$2,'ProductSprint Backlog'!$I352&lt;=L$2), 'ProductSprint Backlog'!$F352 / MAX(1, 'ProductSprint Backlog'!$J352-'ProductSprint Backlog'!$I352), AND('ProductSprint Backlog'!$J352=L$2,'ProductSprint Backlog'!$I352=L$2), 'ProductSprint Backlog'!$F352, TRUE, 0)</f>
        <v/>
      </c>
      <c r="M352" s="4" t="str" cm="1">
        <f t="array" ref="M352">_xlfn.IFS('ProductSprint Backlog'!$F352="", "", AND('ProductSprint Backlog'!$J352&gt;M$2,'ProductSprint Backlog'!$I352&lt;=M$2), 'ProductSprint Backlog'!$F352 / MAX(1, 'ProductSprint Backlog'!$J352-'ProductSprint Backlog'!$I352), AND('ProductSprint Backlog'!$J352=M$2,'ProductSprint Backlog'!$I352=M$2), 'ProductSprint Backlog'!$F352, TRUE, 0)</f>
        <v/>
      </c>
      <c r="N352" s="4" t="str" cm="1">
        <f t="array" ref="N352">_xlfn.IFS('ProductSprint Backlog'!$F352="", "", AND('ProductSprint Backlog'!$J352&gt;N$2,'ProductSprint Backlog'!$I352&lt;=N$2), 'ProductSprint Backlog'!$F352 / MAX(1, 'ProductSprint Backlog'!$J352-'ProductSprint Backlog'!$I352), AND('ProductSprint Backlog'!$J352=N$2,'ProductSprint Backlog'!$I352=N$2), 'ProductSprint Backlog'!$F352, TRUE, 0)</f>
        <v/>
      </c>
      <c r="O352" s="4" t="str" cm="1">
        <f t="array" ref="O352">_xlfn.IFS('ProductSprint Backlog'!$F352="", "", AND('ProductSprint Backlog'!$J352&gt;O$2,'ProductSprint Backlog'!$I352&lt;=O$2), 'ProductSprint Backlog'!$F352 / MAX(1, 'ProductSprint Backlog'!$J352-'ProductSprint Backlog'!$I352), AND('ProductSprint Backlog'!$J352=O$2,'ProductSprint Backlog'!$I352=O$2), 'ProductSprint Backlog'!$F352, TRUE, 0)</f>
        <v/>
      </c>
      <c r="P352" s="4" t="str" cm="1">
        <f t="array" ref="P352">_xlfn.IFS('ProductSprint Backlog'!$F352="", "", AND('ProductSprint Backlog'!$J352&gt;P$2,'ProductSprint Backlog'!$I352&lt;=P$2), 'ProductSprint Backlog'!$F352 / MAX(1, 'ProductSprint Backlog'!$J352-'ProductSprint Backlog'!$I352), AND('ProductSprint Backlog'!$J352=P$2,'ProductSprint Backlog'!$I352=P$2), 'ProductSprint Backlog'!$F352, TRUE, 0)</f>
        <v/>
      </c>
      <c r="Q352" s="4" t="str" cm="1">
        <f t="array" ref="Q352">_xlfn.IFS('ProductSprint Backlog'!$F352="", "", AND('ProductSprint Backlog'!$J352&gt;Q$2,'ProductSprint Backlog'!$I352&lt;=Q$2), 'ProductSprint Backlog'!$F352 / MAX(1, 'ProductSprint Backlog'!$J352-'ProductSprint Backlog'!$I352), AND('ProductSprint Backlog'!$J352=Q$2,'ProductSprint Backlog'!$I352=Q$2), 'ProductSprint Backlog'!$F352, TRUE, 0)</f>
        <v/>
      </c>
    </row>
    <row r="353" spans="2:17" x14ac:dyDescent="0.2">
      <c r="B353" s="4" t="str" cm="1">
        <f t="array" ref="B353">_xlfn.IFS('ProductSprint Backlog'!$F353="", "", AND('ProductSprint Backlog'!$J353&gt;B$2,'ProductSprint Backlog'!$I353&lt;=B$2), 'ProductSprint Backlog'!$F353 / MAX(1, 'ProductSprint Backlog'!$J353-'ProductSprint Backlog'!$I353), AND('ProductSprint Backlog'!$J353=B$2,'ProductSprint Backlog'!$I353=B$2), 'ProductSprint Backlog'!$F353, TRUE, 0)</f>
        <v/>
      </c>
      <c r="C353" s="4" t="str" cm="1">
        <f t="array" ref="C353">_xlfn.IFS('ProductSprint Backlog'!$F353="", "", AND('ProductSprint Backlog'!$J353&gt;C$2,'ProductSprint Backlog'!$I353&lt;=C$2), 'ProductSprint Backlog'!$F353 / MAX(1, 'ProductSprint Backlog'!$J353-'ProductSprint Backlog'!$I353), AND('ProductSprint Backlog'!$J353=C$2,'ProductSprint Backlog'!$I353=C$2), 'ProductSprint Backlog'!$F353, TRUE, 0)</f>
        <v/>
      </c>
      <c r="D353" s="4" t="str" cm="1">
        <f t="array" ref="D353">_xlfn.IFS('ProductSprint Backlog'!$F353="", "", AND('ProductSprint Backlog'!$J353&gt;D$2,'ProductSprint Backlog'!$I353&lt;=D$2), 'ProductSprint Backlog'!$F353 / MAX(1, 'ProductSprint Backlog'!$J353-'ProductSprint Backlog'!$I353), AND('ProductSprint Backlog'!$J353=D$2,'ProductSprint Backlog'!$I353=D$2), 'ProductSprint Backlog'!$F353, TRUE, 0)</f>
        <v/>
      </c>
      <c r="E353" s="4" t="str" cm="1">
        <f t="array" ref="E353">_xlfn.IFS('ProductSprint Backlog'!$F353="", "", AND('ProductSprint Backlog'!$J353&gt;E$2,'ProductSprint Backlog'!$I353&lt;=E$2), 'ProductSprint Backlog'!$F353 / MAX(1, 'ProductSprint Backlog'!$J353-'ProductSprint Backlog'!$I353), AND('ProductSprint Backlog'!$J353=E$2,'ProductSprint Backlog'!$I353=E$2), 'ProductSprint Backlog'!$F353, TRUE, 0)</f>
        <v/>
      </c>
      <c r="F353" s="4" t="str" cm="1">
        <f t="array" ref="F353">_xlfn.IFS('ProductSprint Backlog'!$F353="", "", AND('ProductSprint Backlog'!$J353&gt;F$2,'ProductSprint Backlog'!$I353&lt;=F$2), 'ProductSprint Backlog'!$F353 / MAX(1, 'ProductSprint Backlog'!$J353-'ProductSprint Backlog'!$I353), AND('ProductSprint Backlog'!$J353=F$2,'ProductSprint Backlog'!$I353=F$2), 'ProductSprint Backlog'!$F353, TRUE, 0)</f>
        <v/>
      </c>
      <c r="G353" s="4" t="str" cm="1">
        <f t="array" ref="G353">_xlfn.IFS('ProductSprint Backlog'!$F353="", "", AND('ProductSprint Backlog'!$J353&gt;G$2,'ProductSprint Backlog'!$I353&lt;=G$2), 'ProductSprint Backlog'!$F353 / MAX(1, 'ProductSprint Backlog'!$J353-'ProductSprint Backlog'!$I353), AND('ProductSprint Backlog'!$J353=G$2,'ProductSprint Backlog'!$I353=G$2), 'ProductSprint Backlog'!$F353, TRUE, 0)</f>
        <v/>
      </c>
      <c r="H353" s="4" t="str" cm="1">
        <f t="array" ref="H353">_xlfn.IFS('ProductSprint Backlog'!$F353="", "", AND('ProductSprint Backlog'!$J353&gt;H$2,'ProductSprint Backlog'!$I353&lt;=H$2), 'ProductSprint Backlog'!$F353 / MAX(1, 'ProductSprint Backlog'!$J353-'ProductSprint Backlog'!$I353), AND('ProductSprint Backlog'!$J353=H$2,'ProductSprint Backlog'!$I353=H$2), 'ProductSprint Backlog'!$F353, TRUE, 0)</f>
        <v/>
      </c>
      <c r="I353" s="4" t="str" cm="1">
        <f t="array" ref="I353">_xlfn.IFS('ProductSprint Backlog'!$F353="", "", AND('ProductSprint Backlog'!$J353&gt;I$2,'ProductSprint Backlog'!$I353&lt;=I$2), 'ProductSprint Backlog'!$F353 / MAX(1, 'ProductSprint Backlog'!$J353-'ProductSprint Backlog'!$I353), AND('ProductSprint Backlog'!$J353=I$2,'ProductSprint Backlog'!$I353=I$2), 'ProductSprint Backlog'!$F353, TRUE, 0)</f>
        <v/>
      </c>
      <c r="J353" s="4" t="str" cm="1">
        <f t="array" ref="J353">_xlfn.IFS('ProductSprint Backlog'!$F353="", "", AND('ProductSprint Backlog'!$J353&gt;J$2,'ProductSprint Backlog'!$I353&lt;=J$2), 'ProductSprint Backlog'!$F353 / MAX(1, 'ProductSprint Backlog'!$J353-'ProductSprint Backlog'!$I353), AND('ProductSprint Backlog'!$J353=J$2,'ProductSprint Backlog'!$I353=J$2), 'ProductSprint Backlog'!$F353, TRUE, 0)</f>
        <v/>
      </c>
      <c r="K353" s="4" t="str" cm="1">
        <f t="array" ref="K353">_xlfn.IFS('ProductSprint Backlog'!$F353="", "", AND('ProductSprint Backlog'!$J353&gt;K$2,'ProductSprint Backlog'!$I353&lt;=K$2), 'ProductSprint Backlog'!$F353 / MAX(1, 'ProductSprint Backlog'!$J353-'ProductSprint Backlog'!$I353), AND('ProductSprint Backlog'!$J353=K$2,'ProductSprint Backlog'!$I353=K$2), 'ProductSprint Backlog'!$F353, TRUE, 0)</f>
        <v/>
      </c>
      <c r="L353" s="4" t="str" cm="1">
        <f t="array" ref="L353">_xlfn.IFS('ProductSprint Backlog'!$F353="", "", AND('ProductSprint Backlog'!$J353&gt;L$2,'ProductSprint Backlog'!$I353&lt;=L$2), 'ProductSprint Backlog'!$F353 / MAX(1, 'ProductSprint Backlog'!$J353-'ProductSprint Backlog'!$I353), AND('ProductSprint Backlog'!$J353=L$2,'ProductSprint Backlog'!$I353=L$2), 'ProductSprint Backlog'!$F353, TRUE, 0)</f>
        <v/>
      </c>
      <c r="M353" s="4" t="str" cm="1">
        <f t="array" ref="M353">_xlfn.IFS('ProductSprint Backlog'!$F353="", "", AND('ProductSprint Backlog'!$J353&gt;M$2,'ProductSprint Backlog'!$I353&lt;=M$2), 'ProductSprint Backlog'!$F353 / MAX(1, 'ProductSprint Backlog'!$J353-'ProductSprint Backlog'!$I353), AND('ProductSprint Backlog'!$J353=M$2,'ProductSprint Backlog'!$I353=M$2), 'ProductSprint Backlog'!$F353, TRUE, 0)</f>
        <v/>
      </c>
      <c r="N353" s="4" t="str" cm="1">
        <f t="array" ref="N353">_xlfn.IFS('ProductSprint Backlog'!$F353="", "", AND('ProductSprint Backlog'!$J353&gt;N$2,'ProductSprint Backlog'!$I353&lt;=N$2), 'ProductSprint Backlog'!$F353 / MAX(1, 'ProductSprint Backlog'!$J353-'ProductSprint Backlog'!$I353), AND('ProductSprint Backlog'!$J353=N$2,'ProductSprint Backlog'!$I353=N$2), 'ProductSprint Backlog'!$F353, TRUE, 0)</f>
        <v/>
      </c>
      <c r="O353" s="4" t="str" cm="1">
        <f t="array" ref="O353">_xlfn.IFS('ProductSprint Backlog'!$F353="", "", AND('ProductSprint Backlog'!$J353&gt;O$2,'ProductSprint Backlog'!$I353&lt;=O$2), 'ProductSprint Backlog'!$F353 / MAX(1, 'ProductSprint Backlog'!$J353-'ProductSprint Backlog'!$I353), AND('ProductSprint Backlog'!$J353=O$2,'ProductSprint Backlog'!$I353=O$2), 'ProductSprint Backlog'!$F353, TRUE, 0)</f>
        <v/>
      </c>
      <c r="P353" s="4" t="str" cm="1">
        <f t="array" ref="P353">_xlfn.IFS('ProductSprint Backlog'!$F353="", "", AND('ProductSprint Backlog'!$J353&gt;P$2,'ProductSprint Backlog'!$I353&lt;=P$2), 'ProductSprint Backlog'!$F353 / MAX(1, 'ProductSprint Backlog'!$J353-'ProductSprint Backlog'!$I353), AND('ProductSprint Backlog'!$J353=P$2,'ProductSprint Backlog'!$I353=P$2), 'ProductSprint Backlog'!$F353, TRUE, 0)</f>
        <v/>
      </c>
      <c r="Q353" s="4" t="str" cm="1">
        <f t="array" ref="Q353">_xlfn.IFS('ProductSprint Backlog'!$F353="", "", AND('ProductSprint Backlog'!$J353&gt;Q$2,'ProductSprint Backlog'!$I353&lt;=Q$2), 'ProductSprint Backlog'!$F353 / MAX(1, 'ProductSprint Backlog'!$J353-'ProductSprint Backlog'!$I353), AND('ProductSprint Backlog'!$J353=Q$2,'ProductSprint Backlog'!$I353=Q$2), 'ProductSprint Backlog'!$F353, TRUE, 0)</f>
        <v/>
      </c>
    </row>
    <row r="354" spans="2:17" x14ac:dyDescent="0.2">
      <c r="B354" s="4" t="str" cm="1">
        <f t="array" ref="B354">_xlfn.IFS('ProductSprint Backlog'!$F354="", "", AND('ProductSprint Backlog'!$J354&gt;B$2,'ProductSprint Backlog'!$I354&lt;=B$2), 'ProductSprint Backlog'!$F354 / MAX(1, 'ProductSprint Backlog'!$J354-'ProductSprint Backlog'!$I354), AND('ProductSprint Backlog'!$J354=B$2,'ProductSprint Backlog'!$I354=B$2), 'ProductSprint Backlog'!$F354, TRUE, 0)</f>
        <v/>
      </c>
      <c r="C354" s="4" t="str" cm="1">
        <f t="array" ref="C354">_xlfn.IFS('ProductSprint Backlog'!$F354="", "", AND('ProductSprint Backlog'!$J354&gt;C$2,'ProductSprint Backlog'!$I354&lt;=C$2), 'ProductSprint Backlog'!$F354 / MAX(1, 'ProductSprint Backlog'!$J354-'ProductSprint Backlog'!$I354), AND('ProductSprint Backlog'!$J354=C$2,'ProductSprint Backlog'!$I354=C$2), 'ProductSprint Backlog'!$F354, TRUE, 0)</f>
        <v/>
      </c>
      <c r="D354" s="4" t="str" cm="1">
        <f t="array" ref="D354">_xlfn.IFS('ProductSprint Backlog'!$F354="", "", AND('ProductSprint Backlog'!$J354&gt;D$2,'ProductSprint Backlog'!$I354&lt;=D$2), 'ProductSprint Backlog'!$F354 / MAX(1, 'ProductSprint Backlog'!$J354-'ProductSprint Backlog'!$I354), AND('ProductSprint Backlog'!$J354=D$2,'ProductSprint Backlog'!$I354=D$2), 'ProductSprint Backlog'!$F354, TRUE, 0)</f>
        <v/>
      </c>
      <c r="E354" s="4" t="str" cm="1">
        <f t="array" ref="E354">_xlfn.IFS('ProductSprint Backlog'!$F354="", "", AND('ProductSprint Backlog'!$J354&gt;E$2,'ProductSprint Backlog'!$I354&lt;=E$2), 'ProductSprint Backlog'!$F354 / MAX(1, 'ProductSprint Backlog'!$J354-'ProductSprint Backlog'!$I354), AND('ProductSprint Backlog'!$J354=E$2,'ProductSprint Backlog'!$I354=E$2), 'ProductSprint Backlog'!$F354, TRUE, 0)</f>
        <v/>
      </c>
      <c r="F354" s="4" t="str" cm="1">
        <f t="array" ref="F354">_xlfn.IFS('ProductSprint Backlog'!$F354="", "", AND('ProductSprint Backlog'!$J354&gt;F$2,'ProductSprint Backlog'!$I354&lt;=F$2), 'ProductSprint Backlog'!$F354 / MAX(1, 'ProductSprint Backlog'!$J354-'ProductSprint Backlog'!$I354), AND('ProductSprint Backlog'!$J354=F$2,'ProductSprint Backlog'!$I354=F$2), 'ProductSprint Backlog'!$F354, TRUE, 0)</f>
        <v/>
      </c>
      <c r="G354" s="4" t="str" cm="1">
        <f t="array" ref="G354">_xlfn.IFS('ProductSprint Backlog'!$F354="", "", AND('ProductSprint Backlog'!$J354&gt;G$2,'ProductSprint Backlog'!$I354&lt;=G$2), 'ProductSprint Backlog'!$F354 / MAX(1, 'ProductSprint Backlog'!$J354-'ProductSprint Backlog'!$I354), AND('ProductSprint Backlog'!$J354=G$2,'ProductSprint Backlog'!$I354=G$2), 'ProductSprint Backlog'!$F354, TRUE, 0)</f>
        <v/>
      </c>
      <c r="H354" s="4" t="str" cm="1">
        <f t="array" ref="H354">_xlfn.IFS('ProductSprint Backlog'!$F354="", "", AND('ProductSprint Backlog'!$J354&gt;H$2,'ProductSprint Backlog'!$I354&lt;=H$2), 'ProductSprint Backlog'!$F354 / MAX(1, 'ProductSprint Backlog'!$J354-'ProductSprint Backlog'!$I354), AND('ProductSprint Backlog'!$J354=H$2,'ProductSprint Backlog'!$I354=H$2), 'ProductSprint Backlog'!$F354, TRUE, 0)</f>
        <v/>
      </c>
      <c r="I354" s="4" t="str" cm="1">
        <f t="array" ref="I354">_xlfn.IFS('ProductSprint Backlog'!$F354="", "", AND('ProductSprint Backlog'!$J354&gt;I$2,'ProductSprint Backlog'!$I354&lt;=I$2), 'ProductSprint Backlog'!$F354 / MAX(1, 'ProductSprint Backlog'!$J354-'ProductSprint Backlog'!$I354), AND('ProductSprint Backlog'!$J354=I$2,'ProductSprint Backlog'!$I354=I$2), 'ProductSprint Backlog'!$F354, TRUE, 0)</f>
        <v/>
      </c>
      <c r="J354" s="4" t="str" cm="1">
        <f t="array" ref="J354">_xlfn.IFS('ProductSprint Backlog'!$F354="", "", AND('ProductSprint Backlog'!$J354&gt;J$2,'ProductSprint Backlog'!$I354&lt;=J$2), 'ProductSprint Backlog'!$F354 / MAX(1, 'ProductSprint Backlog'!$J354-'ProductSprint Backlog'!$I354), AND('ProductSprint Backlog'!$J354=J$2,'ProductSprint Backlog'!$I354=J$2), 'ProductSprint Backlog'!$F354, TRUE, 0)</f>
        <v/>
      </c>
      <c r="K354" s="4" t="str" cm="1">
        <f t="array" ref="K354">_xlfn.IFS('ProductSprint Backlog'!$F354="", "", AND('ProductSprint Backlog'!$J354&gt;K$2,'ProductSprint Backlog'!$I354&lt;=K$2), 'ProductSprint Backlog'!$F354 / MAX(1, 'ProductSprint Backlog'!$J354-'ProductSprint Backlog'!$I354), AND('ProductSprint Backlog'!$J354=K$2,'ProductSprint Backlog'!$I354=K$2), 'ProductSprint Backlog'!$F354, TRUE, 0)</f>
        <v/>
      </c>
      <c r="L354" s="4" t="str" cm="1">
        <f t="array" ref="L354">_xlfn.IFS('ProductSprint Backlog'!$F354="", "", AND('ProductSprint Backlog'!$J354&gt;L$2,'ProductSprint Backlog'!$I354&lt;=L$2), 'ProductSprint Backlog'!$F354 / MAX(1, 'ProductSprint Backlog'!$J354-'ProductSprint Backlog'!$I354), AND('ProductSprint Backlog'!$J354=L$2,'ProductSprint Backlog'!$I354=L$2), 'ProductSprint Backlog'!$F354, TRUE, 0)</f>
        <v/>
      </c>
      <c r="M354" s="4" t="str" cm="1">
        <f t="array" ref="M354">_xlfn.IFS('ProductSprint Backlog'!$F354="", "", AND('ProductSprint Backlog'!$J354&gt;M$2,'ProductSprint Backlog'!$I354&lt;=M$2), 'ProductSprint Backlog'!$F354 / MAX(1, 'ProductSprint Backlog'!$J354-'ProductSprint Backlog'!$I354), AND('ProductSprint Backlog'!$J354=M$2,'ProductSprint Backlog'!$I354=M$2), 'ProductSprint Backlog'!$F354, TRUE, 0)</f>
        <v/>
      </c>
      <c r="N354" s="4" t="str" cm="1">
        <f t="array" ref="N354">_xlfn.IFS('ProductSprint Backlog'!$F354="", "", AND('ProductSprint Backlog'!$J354&gt;N$2,'ProductSprint Backlog'!$I354&lt;=N$2), 'ProductSprint Backlog'!$F354 / MAX(1, 'ProductSprint Backlog'!$J354-'ProductSprint Backlog'!$I354), AND('ProductSprint Backlog'!$J354=N$2,'ProductSprint Backlog'!$I354=N$2), 'ProductSprint Backlog'!$F354, TRUE, 0)</f>
        <v/>
      </c>
      <c r="O354" s="4" t="str" cm="1">
        <f t="array" ref="O354">_xlfn.IFS('ProductSprint Backlog'!$F354="", "", AND('ProductSprint Backlog'!$J354&gt;O$2,'ProductSprint Backlog'!$I354&lt;=O$2), 'ProductSprint Backlog'!$F354 / MAX(1, 'ProductSprint Backlog'!$J354-'ProductSprint Backlog'!$I354), AND('ProductSprint Backlog'!$J354=O$2,'ProductSprint Backlog'!$I354=O$2), 'ProductSprint Backlog'!$F354, TRUE, 0)</f>
        <v/>
      </c>
      <c r="P354" s="4" t="str" cm="1">
        <f t="array" ref="P354">_xlfn.IFS('ProductSprint Backlog'!$F354="", "", AND('ProductSprint Backlog'!$J354&gt;P$2,'ProductSprint Backlog'!$I354&lt;=P$2), 'ProductSprint Backlog'!$F354 / MAX(1, 'ProductSprint Backlog'!$J354-'ProductSprint Backlog'!$I354), AND('ProductSprint Backlog'!$J354=P$2,'ProductSprint Backlog'!$I354=P$2), 'ProductSprint Backlog'!$F354, TRUE, 0)</f>
        <v/>
      </c>
      <c r="Q354" s="4" t="str" cm="1">
        <f t="array" ref="Q354">_xlfn.IFS('ProductSprint Backlog'!$F354="", "", AND('ProductSprint Backlog'!$J354&gt;Q$2,'ProductSprint Backlog'!$I354&lt;=Q$2), 'ProductSprint Backlog'!$F354 / MAX(1, 'ProductSprint Backlog'!$J354-'ProductSprint Backlog'!$I354), AND('ProductSprint Backlog'!$J354=Q$2,'ProductSprint Backlog'!$I354=Q$2), 'ProductSprint Backlog'!$F354, TRUE, 0)</f>
        <v/>
      </c>
    </row>
    <row r="355" spans="2:17" x14ac:dyDescent="0.2">
      <c r="B355" s="4" t="str" cm="1">
        <f t="array" ref="B355">_xlfn.IFS('ProductSprint Backlog'!$F355="", "", AND('ProductSprint Backlog'!$J355&gt;B$2,'ProductSprint Backlog'!$I355&lt;=B$2), 'ProductSprint Backlog'!$F355 / MAX(1, 'ProductSprint Backlog'!$J355-'ProductSprint Backlog'!$I355), AND('ProductSprint Backlog'!$J355=B$2,'ProductSprint Backlog'!$I355=B$2), 'ProductSprint Backlog'!$F355, TRUE, 0)</f>
        <v/>
      </c>
      <c r="C355" s="4" t="str" cm="1">
        <f t="array" ref="C355">_xlfn.IFS('ProductSprint Backlog'!$F355="", "", AND('ProductSprint Backlog'!$J355&gt;C$2,'ProductSprint Backlog'!$I355&lt;=C$2), 'ProductSprint Backlog'!$F355 / MAX(1, 'ProductSprint Backlog'!$J355-'ProductSprint Backlog'!$I355), AND('ProductSprint Backlog'!$J355=C$2,'ProductSprint Backlog'!$I355=C$2), 'ProductSprint Backlog'!$F355, TRUE, 0)</f>
        <v/>
      </c>
      <c r="D355" s="4" t="str" cm="1">
        <f t="array" ref="D355">_xlfn.IFS('ProductSprint Backlog'!$F355="", "", AND('ProductSprint Backlog'!$J355&gt;D$2,'ProductSprint Backlog'!$I355&lt;=D$2), 'ProductSprint Backlog'!$F355 / MAX(1, 'ProductSprint Backlog'!$J355-'ProductSprint Backlog'!$I355), AND('ProductSprint Backlog'!$J355=D$2,'ProductSprint Backlog'!$I355=D$2), 'ProductSprint Backlog'!$F355, TRUE, 0)</f>
        <v/>
      </c>
      <c r="E355" s="4" t="str" cm="1">
        <f t="array" ref="E355">_xlfn.IFS('ProductSprint Backlog'!$F355="", "", AND('ProductSprint Backlog'!$J355&gt;E$2,'ProductSprint Backlog'!$I355&lt;=E$2), 'ProductSprint Backlog'!$F355 / MAX(1, 'ProductSprint Backlog'!$J355-'ProductSprint Backlog'!$I355), AND('ProductSprint Backlog'!$J355=E$2,'ProductSprint Backlog'!$I355=E$2), 'ProductSprint Backlog'!$F355, TRUE, 0)</f>
        <v/>
      </c>
      <c r="F355" s="4" t="str" cm="1">
        <f t="array" ref="F355">_xlfn.IFS('ProductSprint Backlog'!$F355="", "", AND('ProductSprint Backlog'!$J355&gt;F$2,'ProductSprint Backlog'!$I355&lt;=F$2), 'ProductSprint Backlog'!$F355 / MAX(1, 'ProductSprint Backlog'!$J355-'ProductSprint Backlog'!$I355), AND('ProductSprint Backlog'!$J355=F$2,'ProductSprint Backlog'!$I355=F$2), 'ProductSprint Backlog'!$F355, TRUE, 0)</f>
        <v/>
      </c>
      <c r="G355" s="4" t="str" cm="1">
        <f t="array" ref="G355">_xlfn.IFS('ProductSprint Backlog'!$F355="", "", AND('ProductSprint Backlog'!$J355&gt;G$2,'ProductSprint Backlog'!$I355&lt;=G$2), 'ProductSprint Backlog'!$F355 / MAX(1, 'ProductSprint Backlog'!$J355-'ProductSprint Backlog'!$I355), AND('ProductSprint Backlog'!$J355=G$2,'ProductSprint Backlog'!$I355=G$2), 'ProductSprint Backlog'!$F355, TRUE, 0)</f>
        <v/>
      </c>
      <c r="H355" s="4" t="str" cm="1">
        <f t="array" ref="H355">_xlfn.IFS('ProductSprint Backlog'!$F355="", "", AND('ProductSprint Backlog'!$J355&gt;H$2,'ProductSprint Backlog'!$I355&lt;=H$2), 'ProductSprint Backlog'!$F355 / MAX(1, 'ProductSprint Backlog'!$J355-'ProductSprint Backlog'!$I355), AND('ProductSprint Backlog'!$J355=H$2,'ProductSprint Backlog'!$I355=H$2), 'ProductSprint Backlog'!$F355, TRUE, 0)</f>
        <v/>
      </c>
      <c r="I355" s="4" t="str" cm="1">
        <f t="array" ref="I355">_xlfn.IFS('ProductSprint Backlog'!$F355="", "", AND('ProductSprint Backlog'!$J355&gt;I$2,'ProductSprint Backlog'!$I355&lt;=I$2), 'ProductSprint Backlog'!$F355 / MAX(1, 'ProductSprint Backlog'!$J355-'ProductSprint Backlog'!$I355), AND('ProductSprint Backlog'!$J355=I$2,'ProductSprint Backlog'!$I355=I$2), 'ProductSprint Backlog'!$F355, TRUE, 0)</f>
        <v/>
      </c>
      <c r="J355" s="4" t="str" cm="1">
        <f t="array" ref="J355">_xlfn.IFS('ProductSprint Backlog'!$F355="", "", AND('ProductSprint Backlog'!$J355&gt;J$2,'ProductSprint Backlog'!$I355&lt;=J$2), 'ProductSprint Backlog'!$F355 / MAX(1, 'ProductSprint Backlog'!$J355-'ProductSprint Backlog'!$I355), AND('ProductSprint Backlog'!$J355=J$2,'ProductSprint Backlog'!$I355=J$2), 'ProductSprint Backlog'!$F355, TRUE, 0)</f>
        <v/>
      </c>
      <c r="K355" s="4" t="str" cm="1">
        <f t="array" ref="K355">_xlfn.IFS('ProductSprint Backlog'!$F355="", "", AND('ProductSprint Backlog'!$J355&gt;K$2,'ProductSprint Backlog'!$I355&lt;=K$2), 'ProductSprint Backlog'!$F355 / MAX(1, 'ProductSprint Backlog'!$J355-'ProductSprint Backlog'!$I355), AND('ProductSprint Backlog'!$J355=K$2,'ProductSprint Backlog'!$I355=K$2), 'ProductSprint Backlog'!$F355, TRUE, 0)</f>
        <v/>
      </c>
      <c r="L355" s="4" t="str" cm="1">
        <f t="array" ref="L355">_xlfn.IFS('ProductSprint Backlog'!$F355="", "", AND('ProductSprint Backlog'!$J355&gt;L$2,'ProductSprint Backlog'!$I355&lt;=L$2), 'ProductSprint Backlog'!$F355 / MAX(1, 'ProductSprint Backlog'!$J355-'ProductSprint Backlog'!$I355), AND('ProductSprint Backlog'!$J355=L$2,'ProductSprint Backlog'!$I355=L$2), 'ProductSprint Backlog'!$F355, TRUE, 0)</f>
        <v/>
      </c>
      <c r="M355" s="4" t="str" cm="1">
        <f t="array" ref="M355">_xlfn.IFS('ProductSprint Backlog'!$F355="", "", AND('ProductSprint Backlog'!$J355&gt;M$2,'ProductSprint Backlog'!$I355&lt;=M$2), 'ProductSprint Backlog'!$F355 / MAX(1, 'ProductSprint Backlog'!$J355-'ProductSprint Backlog'!$I355), AND('ProductSprint Backlog'!$J355=M$2,'ProductSprint Backlog'!$I355=M$2), 'ProductSprint Backlog'!$F355, TRUE, 0)</f>
        <v/>
      </c>
      <c r="N355" s="4" t="str" cm="1">
        <f t="array" ref="N355">_xlfn.IFS('ProductSprint Backlog'!$F355="", "", AND('ProductSprint Backlog'!$J355&gt;N$2,'ProductSprint Backlog'!$I355&lt;=N$2), 'ProductSprint Backlog'!$F355 / MAX(1, 'ProductSprint Backlog'!$J355-'ProductSprint Backlog'!$I355), AND('ProductSprint Backlog'!$J355=N$2,'ProductSprint Backlog'!$I355=N$2), 'ProductSprint Backlog'!$F355, TRUE, 0)</f>
        <v/>
      </c>
      <c r="O355" s="4" t="str" cm="1">
        <f t="array" ref="O355">_xlfn.IFS('ProductSprint Backlog'!$F355="", "", AND('ProductSprint Backlog'!$J355&gt;O$2,'ProductSprint Backlog'!$I355&lt;=O$2), 'ProductSprint Backlog'!$F355 / MAX(1, 'ProductSprint Backlog'!$J355-'ProductSprint Backlog'!$I355), AND('ProductSprint Backlog'!$J355=O$2,'ProductSprint Backlog'!$I355=O$2), 'ProductSprint Backlog'!$F355, TRUE, 0)</f>
        <v/>
      </c>
      <c r="P355" s="4" t="str" cm="1">
        <f t="array" ref="P355">_xlfn.IFS('ProductSprint Backlog'!$F355="", "", AND('ProductSprint Backlog'!$J355&gt;P$2,'ProductSprint Backlog'!$I355&lt;=P$2), 'ProductSprint Backlog'!$F355 / MAX(1, 'ProductSprint Backlog'!$J355-'ProductSprint Backlog'!$I355), AND('ProductSprint Backlog'!$J355=P$2,'ProductSprint Backlog'!$I355=P$2), 'ProductSprint Backlog'!$F355, TRUE, 0)</f>
        <v/>
      </c>
      <c r="Q355" s="4" t="str" cm="1">
        <f t="array" ref="Q355">_xlfn.IFS('ProductSprint Backlog'!$F355="", "", AND('ProductSprint Backlog'!$J355&gt;Q$2,'ProductSprint Backlog'!$I355&lt;=Q$2), 'ProductSprint Backlog'!$F355 / MAX(1, 'ProductSprint Backlog'!$J355-'ProductSprint Backlog'!$I355), AND('ProductSprint Backlog'!$J355=Q$2,'ProductSprint Backlog'!$I355=Q$2), 'ProductSprint Backlog'!$F355, TRUE, 0)</f>
        <v/>
      </c>
    </row>
    <row r="356" spans="2:17" x14ac:dyDescent="0.2">
      <c r="B356" s="4" t="str" cm="1">
        <f t="array" ref="B356">_xlfn.IFS('ProductSprint Backlog'!$F356="", "", AND('ProductSprint Backlog'!$J356&gt;B$2,'ProductSprint Backlog'!$I356&lt;=B$2), 'ProductSprint Backlog'!$F356 / MAX(1, 'ProductSprint Backlog'!$J356-'ProductSprint Backlog'!$I356), AND('ProductSprint Backlog'!$J356=B$2,'ProductSprint Backlog'!$I356=B$2), 'ProductSprint Backlog'!$F356, TRUE, 0)</f>
        <v/>
      </c>
      <c r="C356" s="4" t="str" cm="1">
        <f t="array" ref="C356">_xlfn.IFS('ProductSprint Backlog'!$F356="", "", AND('ProductSprint Backlog'!$J356&gt;C$2,'ProductSprint Backlog'!$I356&lt;=C$2), 'ProductSprint Backlog'!$F356 / MAX(1, 'ProductSprint Backlog'!$J356-'ProductSprint Backlog'!$I356), AND('ProductSprint Backlog'!$J356=C$2,'ProductSprint Backlog'!$I356=C$2), 'ProductSprint Backlog'!$F356, TRUE, 0)</f>
        <v/>
      </c>
      <c r="D356" s="4" t="str" cm="1">
        <f t="array" ref="D356">_xlfn.IFS('ProductSprint Backlog'!$F356="", "", AND('ProductSprint Backlog'!$J356&gt;D$2,'ProductSprint Backlog'!$I356&lt;=D$2), 'ProductSprint Backlog'!$F356 / MAX(1, 'ProductSprint Backlog'!$J356-'ProductSprint Backlog'!$I356), AND('ProductSprint Backlog'!$J356=D$2,'ProductSprint Backlog'!$I356=D$2), 'ProductSprint Backlog'!$F356, TRUE, 0)</f>
        <v/>
      </c>
      <c r="E356" s="4" t="str" cm="1">
        <f t="array" ref="E356">_xlfn.IFS('ProductSprint Backlog'!$F356="", "", AND('ProductSprint Backlog'!$J356&gt;E$2,'ProductSprint Backlog'!$I356&lt;=E$2), 'ProductSprint Backlog'!$F356 / MAX(1, 'ProductSprint Backlog'!$J356-'ProductSprint Backlog'!$I356), AND('ProductSprint Backlog'!$J356=E$2,'ProductSprint Backlog'!$I356=E$2), 'ProductSprint Backlog'!$F356, TRUE, 0)</f>
        <v/>
      </c>
      <c r="F356" s="4" t="str" cm="1">
        <f t="array" ref="F356">_xlfn.IFS('ProductSprint Backlog'!$F356="", "", AND('ProductSprint Backlog'!$J356&gt;F$2,'ProductSprint Backlog'!$I356&lt;=F$2), 'ProductSprint Backlog'!$F356 / MAX(1, 'ProductSprint Backlog'!$J356-'ProductSprint Backlog'!$I356), AND('ProductSprint Backlog'!$J356=F$2,'ProductSprint Backlog'!$I356=F$2), 'ProductSprint Backlog'!$F356, TRUE, 0)</f>
        <v/>
      </c>
      <c r="G356" s="4" t="str" cm="1">
        <f t="array" ref="G356">_xlfn.IFS('ProductSprint Backlog'!$F356="", "", AND('ProductSprint Backlog'!$J356&gt;G$2,'ProductSprint Backlog'!$I356&lt;=G$2), 'ProductSprint Backlog'!$F356 / MAX(1, 'ProductSprint Backlog'!$J356-'ProductSprint Backlog'!$I356), AND('ProductSprint Backlog'!$J356=G$2,'ProductSprint Backlog'!$I356=G$2), 'ProductSprint Backlog'!$F356, TRUE, 0)</f>
        <v/>
      </c>
      <c r="H356" s="4" t="str" cm="1">
        <f t="array" ref="H356">_xlfn.IFS('ProductSprint Backlog'!$F356="", "", AND('ProductSprint Backlog'!$J356&gt;H$2,'ProductSprint Backlog'!$I356&lt;=H$2), 'ProductSprint Backlog'!$F356 / MAX(1, 'ProductSprint Backlog'!$J356-'ProductSprint Backlog'!$I356), AND('ProductSprint Backlog'!$J356=H$2,'ProductSprint Backlog'!$I356=H$2), 'ProductSprint Backlog'!$F356, TRUE, 0)</f>
        <v/>
      </c>
      <c r="I356" s="4" t="str" cm="1">
        <f t="array" ref="I356">_xlfn.IFS('ProductSprint Backlog'!$F356="", "", AND('ProductSprint Backlog'!$J356&gt;I$2,'ProductSprint Backlog'!$I356&lt;=I$2), 'ProductSprint Backlog'!$F356 / MAX(1, 'ProductSprint Backlog'!$J356-'ProductSprint Backlog'!$I356), AND('ProductSprint Backlog'!$J356=I$2,'ProductSprint Backlog'!$I356=I$2), 'ProductSprint Backlog'!$F356, TRUE, 0)</f>
        <v/>
      </c>
      <c r="J356" s="4" t="str" cm="1">
        <f t="array" ref="J356">_xlfn.IFS('ProductSprint Backlog'!$F356="", "", AND('ProductSprint Backlog'!$J356&gt;J$2,'ProductSprint Backlog'!$I356&lt;=J$2), 'ProductSprint Backlog'!$F356 / MAX(1, 'ProductSprint Backlog'!$J356-'ProductSprint Backlog'!$I356), AND('ProductSprint Backlog'!$J356=J$2,'ProductSprint Backlog'!$I356=J$2), 'ProductSprint Backlog'!$F356, TRUE, 0)</f>
        <v/>
      </c>
      <c r="K356" s="4" t="str" cm="1">
        <f t="array" ref="K356">_xlfn.IFS('ProductSprint Backlog'!$F356="", "", AND('ProductSprint Backlog'!$J356&gt;K$2,'ProductSprint Backlog'!$I356&lt;=K$2), 'ProductSprint Backlog'!$F356 / MAX(1, 'ProductSprint Backlog'!$J356-'ProductSprint Backlog'!$I356), AND('ProductSprint Backlog'!$J356=K$2,'ProductSprint Backlog'!$I356=K$2), 'ProductSprint Backlog'!$F356, TRUE, 0)</f>
        <v/>
      </c>
      <c r="L356" s="4" t="str" cm="1">
        <f t="array" ref="L356">_xlfn.IFS('ProductSprint Backlog'!$F356="", "", AND('ProductSprint Backlog'!$J356&gt;L$2,'ProductSprint Backlog'!$I356&lt;=L$2), 'ProductSprint Backlog'!$F356 / MAX(1, 'ProductSprint Backlog'!$J356-'ProductSprint Backlog'!$I356), AND('ProductSprint Backlog'!$J356=L$2,'ProductSprint Backlog'!$I356=L$2), 'ProductSprint Backlog'!$F356, TRUE, 0)</f>
        <v/>
      </c>
      <c r="M356" s="4" t="str" cm="1">
        <f t="array" ref="M356">_xlfn.IFS('ProductSprint Backlog'!$F356="", "", AND('ProductSprint Backlog'!$J356&gt;M$2,'ProductSprint Backlog'!$I356&lt;=M$2), 'ProductSprint Backlog'!$F356 / MAX(1, 'ProductSprint Backlog'!$J356-'ProductSprint Backlog'!$I356), AND('ProductSprint Backlog'!$J356=M$2,'ProductSprint Backlog'!$I356=M$2), 'ProductSprint Backlog'!$F356, TRUE, 0)</f>
        <v/>
      </c>
      <c r="N356" s="4" t="str" cm="1">
        <f t="array" ref="N356">_xlfn.IFS('ProductSprint Backlog'!$F356="", "", AND('ProductSprint Backlog'!$J356&gt;N$2,'ProductSprint Backlog'!$I356&lt;=N$2), 'ProductSprint Backlog'!$F356 / MAX(1, 'ProductSprint Backlog'!$J356-'ProductSprint Backlog'!$I356), AND('ProductSprint Backlog'!$J356=N$2,'ProductSprint Backlog'!$I356=N$2), 'ProductSprint Backlog'!$F356, TRUE, 0)</f>
        <v/>
      </c>
      <c r="O356" s="4" t="str" cm="1">
        <f t="array" ref="O356">_xlfn.IFS('ProductSprint Backlog'!$F356="", "", AND('ProductSprint Backlog'!$J356&gt;O$2,'ProductSprint Backlog'!$I356&lt;=O$2), 'ProductSprint Backlog'!$F356 / MAX(1, 'ProductSprint Backlog'!$J356-'ProductSprint Backlog'!$I356), AND('ProductSprint Backlog'!$J356=O$2,'ProductSprint Backlog'!$I356=O$2), 'ProductSprint Backlog'!$F356, TRUE, 0)</f>
        <v/>
      </c>
      <c r="P356" s="4" t="str" cm="1">
        <f t="array" ref="P356">_xlfn.IFS('ProductSprint Backlog'!$F356="", "", AND('ProductSprint Backlog'!$J356&gt;P$2,'ProductSprint Backlog'!$I356&lt;=P$2), 'ProductSprint Backlog'!$F356 / MAX(1, 'ProductSprint Backlog'!$J356-'ProductSprint Backlog'!$I356), AND('ProductSprint Backlog'!$J356=P$2,'ProductSprint Backlog'!$I356=P$2), 'ProductSprint Backlog'!$F356, TRUE, 0)</f>
        <v/>
      </c>
      <c r="Q356" s="4" t="str" cm="1">
        <f t="array" ref="Q356">_xlfn.IFS('ProductSprint Backlog'!$F356="", "", AND('ProductSprint Backlog'!$J356&gt;Q$2,'ProductSprint Backlog'!$I356&lt;=Q$2), 'ProductSprint Backlog'!$F356 / MAX(1, 'ProductSprint Backlog'!$J356-'ProductSprint Backlog'!$I356), AND('ProductSprint Backlog'!$J356=Q$2,'ProductSprint Backlog'!$I356=Q$2), 'ProductSprint Backlog'!$F356, TRUE, 0)</f>
        <v/>
      </c>
    </row>
    <row r="357" spans="2:17" x14ac:dyDescent="0.2">
      <c r="B357" s="4" t="str" cm="1">
        <f t="array" ref="B357">_xlfn.IFS('ProductSprint Backlog'!$F357="", "", AND('ProductSprint Backlog'!$J357&gt;B$2,'ProductSprint Backlog'!$I357&lt;=B$2), 'ProductSprint Backlog'!$F357 / MAX(1, 'ProductSprint Backlog'!$J357-'ProductSprint Backlog'!$I357), AND('ProductSprint Backlog'!$J357=B$2,'ProductSprint Backlog'!$I357=B$2), 'ProductSprint Backlog'!$F357, TRUE, 0)</f>
        <v/>
      </c>
      <c r="C357" s="4" t="str" cm="1">
        <f t="array" ref="C357">_xlfn.IFS('ProductSprint Backlog'!$F357="", "", AND('ProductSprint Backlog'!$J357&gt;C$2,'ProductSprint Backlog'!$I357&lt;=C$2), 'ProductSprint Backlog'!$F357 / MAX(1, 'ProductSprint Backlog'!$J357-'ProductSprint Backlog'!$I357), AND('ProductSprint Backlog'!$J357=C$2,'ProductSprint Backlog'!$I357=C$2), 'ProductSprint Backlog'!$F357, TRUE, 0)</f>
        <v/>
      </c>
      <c r="D357" s="4" t="str" cm="1">
        <f t="array" ref="D357">_xlfn.IFS('ProductSprint Backlog'!$F357="", "", AND('ProductSprint Backlog'!$J357&gt;D$2,'ProductSprint Backlog'!$I357&lt;=D$2), 'ProductSprint Backlog'!$F357 / MAX(1, 'ProductSprint Backlog'!$J357-'ProductSprint Backlog'!$I357), AND('ProductSprint Backlog'!$J357=D$2,'ProductSprint Backlog'!$I357=D$2), 'ProductSprint Backlog'!$F357, TRUE, 0)</f>
        <v/>
      </c>
      <c r="E357" s="4" t="str" cm="1">
        <f t="array" ref="E357">_xlfn.IFS('ProductSprint Backlog'!$F357="", "", AND('ProductSprint Backlog'!$J357&gt;E$2,'ProductSprint Backlog'!$I357&lt;=E$2), 'ProductSprint Backlog'!$F357 / MAX(1, 'ProductSprint Backlog'!$J357-'ProductSprint Backlog'!$I357), AND('ProductSprint Backlog'!$J357=E$2,'ProductSprint Backlog'!$I357=E$2), 'ProductSprint Backlog'!$F357, TRUE, 0)</f>
        <v/>
      </c>
      <c r="F357" s="4" t="str" cm="1">
        <f t="array" ref="F357">_xlfn.IFS('ProductSprint Backlog'!$F357="", "", AND('ProductSprint Backlog'!$J357&gt;F$2,'ProductSprint Backlog'!$I357&lt;=F$2), 'ProductSprint Backlog'!$F357 / MAX(1, 'ProductSprint Backlog'!$J357-'ProductSprint Backlog'!$I357), AND('ProductSprint Backlog'!$J357=F$2,'ProductSprint Backlog'!$I357=F$2), 'ProductSprint Backlog'!$F357, TRUE, 0)</f>
        <v/>
      </c>
      <c r="G357" s="4" t="str" cm="1">
        <f t="array" ref="G357">_xlfn.IFS('ProductSprint Backlog'!$F357="", "", AND('ProductSprint Backlog'!$J357&gt;G$2,'ProductSprint Backlog'!$I357&lt;=G$2), 'ProductSprint Backlog'!$F357 / MAX(1, 'ProductSprint Backlog'!$J357-'ProductSprint Backlog'!$I357), AND('ProductSprint Backlog'!$J357=G$2,'ProductSprint Backlog'!$I357=G$2), 'ProductSprint Backlog'!$F357, TRUE, 0)</f>
        <v/>
      </c>
      <c r="H357" s="4" t="str" cm="1">
        <f t="array" ref="H357">_xlfn.IFS('ProductSprint Backlog'!$F357="", "", AND('ProductSprint Backlog'!$J357&gt;H$2,'ProductSprint Backlog'!$I357&lt;=H$2), 'ProductSprint Backlog'!$F357 / MAX(1, 'ProductSprint Backlog'!$J357-'ProductSprint Backlog'!$I357), AND('ProductSprint Backlog'!$J357=H$2,'ProductSprint Backlog'!$I357=H$2), 'ProductSprint Backlog'!$F357, TRUE, 0)</f>
        <v/>
      </c>
      <c r="I357" s="4" t="str" cm="1">
        <f t="array" ref="I357">_xlfn.IFS('ProductSprint Backlog'!$F357="", "", AND('ProductSprint Backlog'!$J357&gt;I$2,'ProductSprint Backlog'!$I357&lt;=I$2), 'ProductSprint Backlog'!$F357 / MAX(1, 'ProductSprint Backlog'!$J357-'ProductSprint Backlog'!$I357), AND('ProductSprint Backlog'!$J357=I$2,'ProductSprint Backlog'!$I357=I$2), 'ProductSprint Backlog'!$F357, TRUE, 0)</f>
        <v/>
      </c>
      <c r="J357" s="4" t="str" cm="1">
        <f t="array" ref="J357">_xlfn.IFS('ProductSprint Backlog'!$F357="", "", AND('ProductSprint Backlog'!$J357&gt;J$2,'ProductSprint Backlog'!$I357&lt;=J$2), 'ProductSprint Backlog'!$F357 / MAX(1, 'ProductSprint Backlog'!$J357-'ProductSprint Backlog'!$I357), AND('ProductSprint Backlog'!$J357=J$2,'ProductSprint Backlog'!$I357=J$2), 'ProductSprint Backlog'!$F357, TRUE, 0)</f>
        <v/>
      </c>
      <c r="K357" s="4" t="str" cm="1">
        <f t="array" ref="K357">_xlfn.IFS('ProductSprint Backlog'!$F357="", "", AND('ProductSprint Backlog'!$J357&gt;K$2,'ProductSprint Backlog'!$I357&lt;=K$2), 'ProductSprint Backlog'!$F357 / MAX(1, 'ProductSprint Backlog'!$J357-'ProductSprint Backlog'!$I357), AND('ProductSprint Backlog'!$J357=K$2,'ProductSprint Backlog'!$I357=K$2), 'ProductSprint Backlog'!$F357, TRUE, 0)</f>
        <v/>
      </c>
      <c r="L357" s="4" t="str" cm="1">
        <f t="array" ref="L357">_xlfn.IFS('ProductSprint Backlog'!$F357="", "", AND('ProductSprint Backlog'!$J357&gt;L$2,'ProductSprint Backlog'!$I357&lt;=L$2), 'ProductSprint Backlog'!$F357 / MAX(1, 'ProductSprint Backlog'!$J357-'ProductSprint Backlog'!$I357), AND('ProductSprint Backlog'!$J357=L$2,'ProductSprint Backlog'!$I357=L$2), 'ProductSprint Backlog'!$F357, TRUE, 0)</f>
        <v/>
      </c>
      <c r="M357" s="4" t="str" cm="1">
        <f t="array" ref="M357">_xlfn.IFS('ProductSprint Backlog'!$F357="", "", AND('ProductSprint Backlog'!$J357&gt;M$2,'ProductSprint Backlog'!$I357&lt;=M$2), 'ProductSprint Backlog'!$F357 / MAX(1, 'ProductSprint Backlog'!$J357-'ProductSprint Backlog'!$I357), AND('ProductSprint Backlog'!$J357=M$2,'ProductSprint Backlog'!$I357=M$2), 'ProductSprint Backlog'!$F357, TRUE, 0)</f>
        <v/>
      </c>
      <c r="N357" s="4" t="str" cm="1">
        <f t="array" ref="N357">_xlfn.IFS('ProductSprint Backlog'!$F357="", "", AND('ProductSprint Backlog'!$J357&gt;N$2,'ProductSprint Backlog'!$I357&lt;=N$2), 'ProductSprint Backlog'!$F357 / MAX(1, 'ProductSprint Backlog'!$J357-'ProductSprint Backlog'!$I357), AND('ProductSprint Backlog'!$J357=N$2,'ProductSprint Backlog'!$I357=N$2), 'ProductSprint Backlog'!$F357, TRUE, 0)</f>
        <v/>
      </c>
      <c r="O357" s="4" t="str" cm="1">
        <f t="array" ref="O357">_xlfn.IFS('ProductSprint Backlog'!$F357="", "", AND('ProductSprint Backlog'!$J357&gt;O$2,'ProductSprint Backlog'!$I357&lt;=O$2), 'ProductSprint Backlog'!$F357 / MAX(1, 'ProductSprint Backlog'!$J357-'ProductSprint Backlog'!$I357), AND('ProductSprint Backlog'!$J357=O$2,'ProductSprint Backlog'!$I357=O$2), 'ProductSprint Backlog'!$F357, TRUE, 0)</f>
        <v/>
      </c>
      <c r="P357" s="4" t="str" cm="1">
        <f t="array" ref="P357">_xlfn.IFS('ProductSprint Backlog'!$F357="", "", AND('ProductSprint Backlog'!$J357&gt;P$2,'ProductSprint Backlog'!$I357&lt;=P$2), 'ProductSprint Backlog'!$F357 / MAX(1, 'ProductSprint Backlog'!$J357-'ProductSprint Backlog'!$I357), AND('ProductSprint Backlog'!$J357=P$2,'ProductSprint Backlog'!$I357=P$2), 'ProductSprint Backlog'!$F357, TRUE, 0)</f>
        <v/>
      </c>
      <c r="Q357" s="4" t="str" cm="1">
        <f t="array" ref="Q357">_xlfn.IFS('ProductSprint Backlog'!$F357="", "", AND('ProductSprint Backlog'!$J357&gt;Q$2,'ProductSprint Backlog'!$I357&lt;=Q$2), 'ProductSprint Backlog'!$F357 / MAX(1, 'ProductSprint Backlog'!$J357-'ProductSprint Backlog'!$I357), AND('ProductSprint Backlog'!$J357=Q$2,'ProductSprint Backlog'!$I357=Q$2), 'ProductSprint Backlog'!$F357, TRUE, 0)</f>
        <v/>
      </c>
    </row>
    <row r="358" spans="2:17" x14ac:dyDescent="0.2">
      <c r="B358" s="4" t="str" cm="1">
        <f t="array" ref="B358">_xlfn.IFS('ProductSprint Backlog'!$F358="", "", AND('ProductSprint Backlog'!$J358&gt;B$2,'ProductSprint Backlog'!$I358&lt;=B$2), 'ProductSprint Backlog'!$F358 / MAX(1, 'ProductSprint Backlog'!$J358-'ProductSprint Backlog'!$I358), AND('ProductSprint Backlog'!$J358=B$2,'ProductSprint Backlog'!$I358=B$2), 'ProductSprint Backlog'!$F358, TRUE, 0)</f>
        <v/>
      </c>
      <c r="C358" s="4" t="str" cm="1">
        <f t="array" ref="C358">_xlfn.IFS('ProductSprint Backlog'!$F358="", "", AND('ProductSprint Backlog'!$J358&gt;C$2,'ProductSprint Backlog'!$I358&lt;=C$2), 'ProductSprint Backlog'!$F358 / MAX(1, 'ProductSprint Backlog'!$J358-'ProductSprint Backlog'!$I358), AND('ProductSprint Backlog'!$J358=C$2,'ProductSprint Backlog'!$I358=C$2), 'ProductSprint Backlog'!$F358, TRUE, 0)</f>
        <v/>
      </c>
      <c r="D358" s="4" t="str" cm="1">
        <f t="array" ref="D358">_xlfn.IFS('ProductSprint Backlog'!$F358="", "", AND('ProductSprint Backlog'!$J358&gt;D$2,'ProductSprint Backlog'!$I358&lt;=D$2), 'ProductSprint Backlog'!$F358 / MAX(1, 'ProductSprint Backlog'!$J358-'ProductSprint Backlog'!$I358), AND('ProductSprint Backlog'!$J358=D$2,'ProductSprint Backlog'!$I358=D$2), 'ProductSprint Backlog'!$F358, TRUE, 0)</f>
        <v/>
      </c>
      <c r="E358" s="4" t="str" cm="1">
        <f t="array" ref="E358">_xlfn.IFS('ProductSprint Backlog'!$F358="", "", AND('ProductSprint Backlog'!$J358&gt;E$2,'ProductSprint Backlog'!$I358&lt;=E$2), 'ProductSprint Backlog'!$F358 / MAX(1, 'ProductSprint Backlog'!$J358-'ProductSprint Backlog'!$I358), AND('ProductSprint Backlog'!$J358=E$2,'ProductSprint Backlog'!$I358=E$2), 'ProductSprint Backlog'!$F358, TRUE, 0)</f>
        <v/>
      </c>
      <c r="F358" s="4" t="str" cm="1">
        <f t="array" ref="F358">_xlfn.IFS('ProductSprint Backlog'!$F358="", "", AND('ProductSprint Backlog'!$J358&gt;F$2,'ProductSprint Backlog'!$I358&lt;=F$2), 'ProductSprint Backlog'!$F358 / MAX(1, 'ProductSprint Backlog'!$J358-'ProductSprint Backlog'!$I358), AND('ProductSprint Backlog'!$J358=F$2,'ProductSprint Backlog'!$I358=F$2), 'ProductSprint Backlog'!$F358, TRUE, 0)</f>
        <v/>
      </c>
      <c r="G358" s="4" t="str" cm="1">
        <f t="array" ref="G358">_xlfn.IFS('ProductSprint Backlog'!$F358="", "", AND('ProductSprint Backlog'!$J358&gt;G$2,'ProductSprint Backlog'!$I358&lt;=G$2), 'ProductSprint Backlog'!$F358 / MAX(1, 'ProductSprint Backlog'!$J358-'ProductSprint Backlog'!$I358), AND('ProductSprint Backlog'!$J358=G$2,'ProductSprint Backlog'!$I358=G$2), 'ProductSprint Backlog'!$F358, TRUE, 0)</f>
        <v/>
      </c>
      <c r="H358" s="4" t="str" cm="1">
        <f t="array" ref="H358">_xlfn.IFS('ProductSprint Backlog'!$F358="", "", AND('ProductSprint Backlog'!$J358&gt;H$2,'ProductSprint Backlog'!$I358&lt;=H$2), 'ProductSprint Backlog'!$F358 / MAX(1, 'ProductSprint Backlog'!$J358-'ProductSprint Backlog'!$I358), AND('ProductSprint Backlog'!$J358=H$2,'ProductSprint Backlog'!$I358=H$2), 'ProductSprint Backlog'!$F358, TRUE, 0)</f>
        <v/>
      </c>
      <c r="I358" s="4" t="str" cm="1">
        <f t="array" ref="I358">_xlfn.IFS('ProductSprint Backlog'!$F358="", "", AND('ProductSprint Backlog'!$J358&gt;I$2,'ProductSprint Backlog'!$I358&lt;=I$2), 'ProductSprint Backlog'!$F358 / MAX(1, 'ProductSprint Backlog'!$J358-'ProductSprint Backlog'!$I358), AND('ProductSprint Backlog'!$J358=I$2,'ProductSprint Backlog'!$I358=I$2), 'ProductSprint Backlog'!$F358, TRUE, 0)</f>
        <v/>
      </c>
      <c r="J358" s="4" t="str" cm="1">
        <f t="array" ref="J358">_xlfn.IFS('ProductSprint Backlog'!$F358="", "", AND('ProductSprint Backlog'!$J358&gt;J$2,'ProductSprint Backlog'!$I358&lt;=J$2), 'ProductSprint Backlog'!$F358 / MAX(1, 'ProductSprint Backlog'!$J358-'ProductSprint Backlog'!$I358), AND('ProductSprint Backlog'!$J358=J$2,'ProductSprint Backlog'!$I358=J$2), 'ProductSprint Backlog'!$F358, TRUE, 0)</f>
        <v/>
      </c>
      <c r="K358" s="4" t="str" cm="1">
        <f t="array" ref="K358">_xlfn.IFS('ProductSprint Backlog'!$F358="", "", AND('ProductSprint Backlog'!$J358&gt;K$2,'ProductSprint Backlog'!$I358&lt;=K$2), 'ProductSprint Backlog'!$F358 / MAX(1, 'ProductSprint Backlog'!$J358-'ProductSprint Backlog'!$I358), AND('ProductSprint Backlog'!$J358=K$2,'ProductSprint Backlog'!$I358=K$2), 'ProductSprint Backlog'!$F358, TRUE, 0)</f>
        <v/>
      </c>
      <c r="L358" s="4" t="str" cm="1">
        <f t="array" ref="L358">_xlfn.IFS('ProductSprint Backlog'!$F358="", "", AND('ProductSprint Backlog'!$J358&gt;L$2,'ProductSprint Backlog'!$I358&lt;=L$2), 'ProductSprint Backlog'!$F358 / MAX(1, 'ProductSprint Backlog'!$J358-'ProductSprint Backlog'!$I358), AND('ProductSprint Backlog'!$J358=L$2,'ProductSprint Backlog'!$I358=L$2), 'ProductSprint Backlog'!$F358, TRUE, 0)</f>
        <v/>
      </c>
      <c r="M358" s="4" t="str" cm="1">
        <f t="array" ref="M358">_xlfn.IFS('ProductSprint Backlog'!$F358="", "", AND('ProductSprint Backlog'!$J358&gt;M$2,'ProductSprint Backlog'!$I358&lt;=M$2), 'ProductSprint Backlog'!$F358 / MAX(1, 'ProductSprint Backlog'!$J358-'ProductSprint Backlog'!$I358), AND('ProductSprint Backlog'!$J358=M$2,'ProductSprint Backlog'!$I358=M$2), 'ProductSprint Backlog'!$F358, TRUE, 0)</f>
        <v/>
      </c>
      <c r="N358" s="4" t="str" cm="1">
        <f t="array" ref="N358">_xlfn.IFS('ProductSprint Backlog'!$F358="", "", AND('ProductSprint Backlog'!$J358&gt;N$2,'ProductSprint Backlog'!$I358&lt;=N$2), 'ProductSprint Backlog'!$F358 / MAX(1, 'ProductSprint Backlog'!$J358-'ProductSprint Backlog'!$I358), AND('ProductSprint Backlog'!$J358=N$2,'ProductSprint Backlog'!$I358=N$2), 'ProductSprint Backlog'!$F358, TRUE, 0)</f>
        <v/>
      </c>
      <c r="O358" s="4" t="str" cm="1">
        <f t="array" ref="O358">_xlfn.IFS('ProductSprint Backlog'!$F358="", "", AND('ProductSprint Backlog'!$J358&gt;O$2,'ProductSprint Backlog'!$I358&lt;=O$2), 'ProductSprint Backlog'!$F358 / MAX(1, 'ProductSprint Backlog'!$J358-'ProductSprint Backlog'!$I358), AND('ProductSprint Backlog'!$J358=O$2,'ProductSprint Backlog'!$I358=O$2), 'ProductSprint Backlog'!$F358, TRUE, 0)</f>
        <v/>
      </c>
      <c r="P358" s="4" t="str" cm="1">
        <f t="array" ref="P358">_xlfn.IFS('ProductSprint Backlog'!$F358="", "", AND('ProductSprint Backlog'!$J358&gt;P$2,'ProductSprint Backlog'!$I358&lt;=P$2), 'ProductSprint Backlog'!$F358 / MAX(1, 'ProductSprint Backlog'!$J358-'ProductSprint Backlog'!$I358), AND('ProductSprint Backlog'!$J358=P$2,'ProductSprint Backlog'!$I358=P$2), 'ProductSprint Backlog'!$F358, TRUE, 0)</f>
        <v/>
      </c>
      <c r="Q358" s="4" t="str" cm="1">
        <f t="array" ref="Q358">_xlfn.IFS('ProductSprint Backlog'!$F358="", "", AND('ProductSprint Backlog'!$J358&gt;Q$2,'ProductSprint Backlog'!$I358&lt;=Q$2), 'ProductSprint Backlog'!$F358 / MAX(1, 'ProductSprint Backlog'!$J358-'ProductSprint Backlog'!$I358), AND('ProductSprint Backlog'!$J358=Q$2,'ProductSprint Backlog'!$I358=Q$2), 'ProductSprint Backlog'!$F358, TRUE, 0)</f>
        <v/>
      </c>
    </row>
    <row r="359" spans="2:17" x14ac:dyDescent="0.2">
      <c r="B359" s="4" t="str" cm="1">
        <f t="array" ref="B359">_xlfn.IFS('ProductSprint Backlog'!$F359="", "", AND('ProductSprint Backlog'!$J359&gt;B$2,'ProductSprint Backlog'!$I359&lt;=B$2), 'ProductSprint Backlog'!$F359 / MAX(1, 'ProductSprint Backlog'!$J359-'ProductSprint Backlog'!$I359), AND('ProductSprint Backlog'!$J359=B$2,'ProductSprint Backlog'!$I359=B$2), 'ProductSprint Backlog'!$F359, TRUE, 0)</f>
        <v/>
      </c>
      <c r="C359" s="4" t="str" cm="1">
        <f t="array" ref="C359">_xlfn.IFS('ProductSprint Backlog'!$F359="", "", AND('ProductSprint Backlog'!$J359&gt;C$2,'ProductSprint Backlog'!$I359&lt;=C$2), 'ProductSprint Backlog'!$F359 / MAX(1, 'ProductSprint Backlog'!$J359-'ProductSprint Backlog'!$I359), AND('ProductSprint Backlog'!$J359=C$2,'ProductSprint Backlog'!$I359=C$2), 'ProductSprint Backlog'!$F359, TRUE, 0)</f>
        <v/>
      </c>
      <c r="D359" s="4" t="str" cm="1">
        <f t="array" ref="D359">_xlfn.IFS('ProductSprint Backlog'!$F359="", "", AND('ProductSprint Backlog'!$J359&gt;D$2,'ProductSprint Backlog'!$I359&lt;=D$2), 'ProductSprint Backlog'!$F359 / MAX(1, 'ProductSprint Backlog'!$J359-'ProductSprint Backlog'!$I359), AND('ProductSprint Backlog'!$J359=D$2,'ProductSprint Backlog'!$I359=D$2), 'ProductSprint Backlog'!$F359, TRUE, 0)</f>
        <v/>
      </c>
      <c r="E359" s="4" t="str" cm="1">
        <f t="array" ref="E359">_xlfn.IFS('ProductSprint Backlog'!$F359="", "", AND('ProductSprint Backlog'!$J359&gt;E$2,'ProductSprint Backlog'!$I359&lt;=E$2), 'ProductSprint Backlog'!$F359 / MAX(1, 'ProductSprint Backlog'!$J359-'ProductSprint Backlog'!$I359), AND('ProductSprint Backlog'!$J359=E$2,'ProductSprint Backlog'!$I359=E$2), 'ProductSprint Backlog'!$F359, TRUE, 0)</f>
        <v/>
      </c>
      <c r="F359" s="4" t="str" cm="1">
        <f t="array" ref="F359">_xlfn.IFS('ProductSprint Backlog'!$F359="", "", AND('ProductSprint Backlog'!$J359&gt;F$2,'ProductSprint Backlog'!$I359&lt;=F$2), 'ProductSprint Backlog'!$F359 / MAX(1, 'ProductSprint Backlog'!$J359-'ProductSprint Backlog'!$I359), AND('ProductSprint Backlog'!$J359=F$2,'ProductSprint Backlog'!$I359=F$2), 'ProductSprint Backlog'!$F359, TRUE, 0)</f>
        <v/>
      </c>
      <c r="G359" s="4" t="str" cm="1">
        <f t="array" ref="G359">_xlfn.IFS('ProductSprint Backlog'!$F359="", "", AND('ProductSprint Backlog'!$J359&gt;G$2,'ProductSprint Backlog'!$I359&lt;=G$2), 'ProductSprint Backlog'!$F359 / MAX(1, 'ProductSprint Backlog'!$J359-'ProductSprint Backlog'!$I359), AND('ProductSprint Backlog'!$J359=G$2,'ProductSprint Backlog'!$I359=G$2), 'ProductSprint Backlog'!$F359, TRUE, 0)</f>
        <v/>
      </c>
      <c r="H359" s="4" t="str" cm="1">
        <f t="array" ref="H359">_xlfn.IFS('ProductSprint Backlog'!$F359="", "", AND('ProductSprint Backlog'!$J359&gt;H$2,'ProductSprint Backlog'!$I359&lt;=H$2), 'ProductSprint Backlog'!$F359 / MAX(1, 'ProductSprint Backlog'!$J359-'ProductSprint Backlog'!$I359), AND('ProductSprint Backlog'!$J359=H$2,'ProductSprint Backlog'!$I359=H$2), 'ProductSprint Backlog'!$F359, TRUE, 0)</f>
        <v/>
      </c>
      <c r="I359" s="4" t="str" cm="1">
        <f t="array" ref="I359">_xlfn.IFS('ProductSprint Backlog'!$F359="", "", AND('ProductSprint Backlog'!$J359&gt;I$2,'ProductSprint Backlog'!$I359&lt;=I$2), 'ProductSprint Backlog'!$F359 / MAX(1, 'ProductSprint Backlog'!$J359-'ProductSprint Backlog'!$I359), AND('ProductSprint Backlog'!$J359=I$2,'ProductSprint Backlog'!$I359=I$2), 'ProductSprint Backlog'!$F359, TRUE, 0)</f>
        <v/>
      </c>
      <c r="J359" s="4" t="str" cm="1">
        <f t="array" ref="J359">_xlfn.IFS('ProductSprint Backlog'!$F359="", "", AND('ProductSprint Backlog'!$J359&gt;J$2,'ProductSprint Backlog'!$I359&lt;=J$2), 'ProductSprint Backlog'!$F359 / MAX(1, 'ProductSprint Backlog'!$J359-'ProductSprint Backlog'!$I359), AND('ProductSprint Backlog'!$J359=J$2,'ProductSprint Backlog'!$I359=J$2), 'ProductSprint Backlog'!$F359, TRUE, 0)</f>
        <v/>
      </c>
      <c r="K359" s="4" t="str" cm="1">
        <f t="array" ref="K359">_xlfn.IFS('ProductSprint Backlog'!$F359="", "", AND('ProductSprint Backlog'!$J359&gt;K$2,'ProductSprint Backlog'!$I359&lt;=K$2), 'ProductSprint Backlog'!$F359 / MAX(1, 'ProductSprint Backlog'!$J359-'ProductSprint Backlog'!$I359), AND('ProductSprint Backlog'!$J359=K$2,'ProductSprint Backlog'!$I359=K$2), 'ProductSprint Backlog'!$F359, TRUE, 0)</f>
        <v/>
      </c>
      <c r="L359" s="4" t="str" cm="1">
        <f t="array" ref="L359">_xlfn.IFS('ProductSprint Backlog'!$F359="", "", AND('ProductSprint Backlog'!$J359&gt;L$2,'ProductSprint Backlog'!$I359&lt;=L$2), 'ProductSprint Backlog'!$F359 / MAX(1, 'ProductSprint Backlog'!$J359-'ProductSprint Backlog'!$I359), AND('ProductSprint Backlog'!$J359=L$2,'ProductSprint Backlog'!$I359=L$2), 'ProductSprint Backlog'!$F359, TRUE, 0)</f>
        <v/>
      </c>
      <c r="M359" s="4" t="str" cm="1">
        <f t="array" ref="M359">_xlfn.IFS('ProductSprint Backlog'!$F359="", "", AND('ProductSprint Backlog'!$J359&gt;M$2,'ProductSprint Backlog'!$I359&lt;=M$2), 'ProductSprint Backlog'!$F359 / MAX(1, 'ProductSprint Backlog'!$J359-'ProductSprint Backlog'!$I359), AND('ProductSprint Backlog'!$J359=M$2,'ProductSprint Backlog'!$I359=M$2), 'ProductSprint Backlog'!$F359, TRUE, 0)</f>
        <v/>
      </c>
      <c r="N359" s="4" t="str" cm="1">
        <f t="array" ref="N359">_xlfn.IFS('ProductSprint Backlog'!$F359="", "", AND('ProductSprint Backlog'!$J359&gt;N$2,'ProductSprint Backlog'!$I359&lt;=N$2), 'ProductSprint Backlog'!$F359 / MAX(1, 'ProductSprint Backlog'!$J359-'ProductSprint Backlog'!$I359), AND('ProductSprint Backlog'!$J359=N$2,'ProductSprint Backlog'!$I359=N$2), 'ProductSprint Backlog'!$F359, TRUE, 0)</f>
        <v/>
      </c>
      <c r="O359" s="4" t="str" cm="1">
        <f t="array" ref="O359">_xlfn.IFS('ProductSprint Backlog'!$F359="", "", AND('ProductSprint Backlog'!$J359&gt;O$2,'ProductSprint Backlog'!$I359&lt;=O$2), 'ProductSprint Backlog'!$F359 / MAX(1, 'ProductSprint Backlog'!$J359-'ProductSprint Backlog'!$I359), AND('ProductSprint Backlog'!$J359=O$2,'ProductSprint Backlog'!$I359=O$2), 'ProductSprint Backlog'!$F359, TRUE, 0)</f>
        <v/>
      </c>
      <c r="P359" s="4" t="str" cm="1">
        <f t="array" ref="P359">_xlfn.IFS('ProductSprint Backlog'!$F359="", "", AND('ProductSprint Backlog'!$J359&gt;P$2,'ProductSprint Backlog'!$I359&lt;=P$2), 'ProductSprint Backlog'!$F359 / MAX(1, 'ProductSprint Backlog'!$J359-'ProductSprint Backlog'!$I359), AND('ProductSprint Backlog'!$J359=P$2,'ProductSprint Backlog'!$I359=P$2), 'ProductSprint Backlog'!$F359, TRUE, 0)</f>
        <v/>
      </c>
      <c r="Q359" s="4" t="str" cm="1">
        <f t="array" ref="Q359">_xlfn.IFS('ProductSprint Backlog'!$F359="", "", AND('ProductSprint Backlog'!$J359&gt;Q$2,'ProductSprint Backlog'!$I359&lt;=Q$2), 'ProductSprint Backlog'!$F359 / MAX(1, 'ProductSprint Backlog'!$J359-'ProductSprint Backlog'!$I359), AND('ProductSprint Backlog'!$J359=Q$2,'ProductSprint Backlog'!$I359=Q$2), 'ProductSprint Backlog'!$F359, TRUE, 0)</f>
        <v/>
      </c>
    </row>
    <row r="360" spans="2:17" x14ac:dyDescent="0.2">
      <c r="B360" s="4" t="str" cm="1">
        <f t="array" ref="B360">_xlfn.IFS('ProductSprint Backlog'!$F360="", "", AND('ProductSprint Backlog'!$J360&gt;B$2,'ProductSprint Backlog'!$I360&lt;=B$2), 'ProductSprint Backlog'!$F360 / MAX(1, 'ProductSprint Backlog'!$J360-'ProductSprint Backlog'!$I360), AND('ProductSprint Backlog'!$J360=B$2,'ProductSprint Backlog'!$I360=B$2), 'ProductSprint Backlog'!$F360, TRUE, 0)</f>
        <v/>
      </c>
      <c r="C360" s="4" t="str" cm="1">
        <f t="array" ref="C360">_xlfn.IFS('ProductSprint Backlog'!$F360="", "", AND('ProductSprint Backlog'!$J360&gt;C$2,'ProductSprint Backlog'!$I360&lt;=C$2), 'ProductSprint Backlog'!$F360 / MAX(1, 'ProductSprint Backlog'!$J360-'ProductSprint Backlog'!$I360), AND('ProductSprint Backlog'!$J360=C$2,'ProductSprint Backlog'!$I360=C$2), 'ProductSprint Backlog'!$F360, TRUE, 0)</f>
        <v/>
      </c>
      <c r="D360" s="4" t="str" cm="1">
        <f t="array" ref="D360">_xlfn.IFS('ProductSprint Backlog'!$F360="", "", AND('ProductSprint Backlog'!$J360&gt;D$2,'ProductSprint Backlog'!$I360&lt;=D$2), 'ProductSprint Backlog'!$F360 / MAX(1, 'ProductSprint Backlog'!$J360-'ProductSprint Backlog'!$I360), AND('ProductSprint Backlog'!$J360=D$2,'ProductSprint Backlog'!$I360=D$2), 'ProductSprint Backlog'!$F360, TRUE, 0)</f>
        <v/>
      </c>
      <c r="E360" s="4" t="str" cm="1">
        <f t="array" ref="E360">_xlfn.IFS('ProductSprint Backlog'!$F360="", "", AND('ProductSprint Backlog'!$J360&gt;E$2,'ProductSprint Backlog'!$I360&lt;=E$2), 'ProductSprint Backlog'!$F360 / MAX(1, 'ProductSprint Backlog'!$J360-'ProductSprint Backlog'!$I360), AND('ProductSprint Backlog'!$J360=E$2,'ProductSprint Backlog'!$I360=E$2), 'ProductSprint Backlog'!$F360, TRUE, 0)</f>
        <v/>
      </c>
      <c r="F360" s="4" t="str" cm="1">
        <f t="array" ref="F360">_xlfn.IFS('ProductSprint Backlog'!$F360="", "", AND('ProductSprint Backlog'!$J360&gt;F$2,'ProductSprint Backlog'!$I360&lt;=F$2), 'ProductSprint Backlog'!$F360 / MAX(1, 'ProductSprint Backlog'!$J360-'ProductSprint Backlog'!$I360), AND('ProductSprint Backlog'!$J360=F$2,'ProductSprint Backlog'!$I360=F$2), 'ProductSprint Backlog'!$F360, TRUE, 0)</f>
        <v/>
      </c>
      <c r="G360" s="4" t="str" cm="1">
        <f t="array" ref="G360">_xlfn.IFS('ProductSprint Backlog'!$F360="", "", AND('ProductSprint Backlog'!$J360&gt;G$2,'ProductSprint Backlog'!$I360&lt;=G$2), 'ProductSprint Backlog'!$F360 / MAX(1, 'ProductSprint Backlog'!$J360-'ProductSprint Backlog'!$I360), AND('ProductSprint Backlog'!$J360=G$2,'ProductSprint Backlog'!$I360=G$2), 'ProductSprint Backlog'!$F360, TRUE, 0)</f>
        <v/>
      </c>
      <c r="H360" s="4" t="str" cm="1">
        <f t="array" ref="H360">_xlfn.IFS('ProductSprint Backlog'!$F360="", "", AND('ProductSprint Backlog'!$J360&gt;H$2,'ProductSprint Backlog'!$I360&lt;=H$2), 'ProductSprint Backlog'!$F360 / MAX(1, 'ProductSprint Backlog'!$J360-'ProductSprint Backlog'!$I360), AND('ProductSprint Backlog'!$J360=H$2,'ProductSprint Backlog'!$I360=H$2), 'ProductSprint Backlog'!$F360, TRUE, 0)</f>
        <v/>
      </c>
      <c r="I360" s="4" t="str" cm="1">
        <f t="array" ref="I360">_xlfn.IFS('ProductSprint Backlog'!$F360="", "", AND('ProductSprint Backlog'!$J360&gt;I$2,'ProductSprint Backlog'!$I360&lt;=I$2), 'ProductSprint Backlog'!$F360 / MAX(1, 'ProductSprint Backlog'!$J360-'ProductSprint Backlog'!$I360), AND('ProductSprint Backlog'!$J360=I$2,'ProductSprint Backlog'!$I360=I$2), 'ProductSprint Backlog'!$F360, TRUE, 0)</f>
        <v/>
      </c>
      <c r="J360" s="4" t="str" cm="1">
        <f t="array" ref="J360">_xlfn.IFS('ProductSprint Backlog'!$F360="", "", AND('ProductSprint Backlog'!$J360&gt;J$2,'ProductSprint Backlog'!$I360&lt;=J$2), 'ProductSprint Backlog'!$F360 / MAX(1, 'ProductSprint Backlog'!$J360-'ProductSprint Backlog'!$I360), AND('ProductSprint Backlog'!$J360=J$2,'ProductSprint Backlog'!$I360=J$2), 'ProductSprint Backlog'!$F360, TRUE, 0)</f>
        <v/>
      </c>
      <c r="K360" s="4" t="str" cm="1">
        <f t="array" ref="K360">_xlfn.IFS('ProductSprint Backlog'!$F360="", "", AND('ProductSprint Backlog'!$J360&gt;K$2,'ProductSprint Backlog'!$I360&lt;=K$2), 'ProductSprint Backlog'!$F360 / MAX(1, 'ProductSprint Backlog'!$J360-'ProductSprint Backlog'!$I360), AND('ProductSprint Backlog'!$J360=K$2,'ProductSprint Backlog'!$I360=K$2), 'ProductSprint Backlog'!$F360, TRUE, 0)</f>
        <v/>
      </c>
      <c r="L360" s="4" t="str" cm="1">
        <f t="array" ref="L360">_xlfn.IFS('ProductSprint Backlog'!$F360="", "", AND('ProductSprint Backlog'!$J360&gt;L$2,'ProductSprint Backlog'!$I360&lt;=L$2), 'ProductSprint Backlog'!$F360 / MAX(1, 'ProductSprint Backlog'!$J360-'ProductSprint Backlog'!$I360), AND('ProductSprint Backlog'!$J360=L$2,'ProductSprint Backlog'!$I360=L$2), 'ProductSprint Backlog'!$F360, TRUE, 0)</f>
        <v/>
      </c>
      <c r="M360" s="4" t="str" cm="1">
        <f t="array" ref="M360">_xlfn.IFS('ProductSprint Backlog'!$F360="", "", AND('ProductSprint Backlog'!$J360&gt;M$2,'ProductSprint Backlog'!$I360&lt;=M$2), 'ProductSprint Backlog'!$F360 / MAX(1, 'ProductSprint Backlog'!$J360-'ProductSprint Backlog'!$I360), AND('ProductSprint Backlog'!$J360=M$2,'ProductSprint Backlog'!$I360=M$2), 'ProductSprint Backlog'!$F360, TRUE, 0)</f>
        <v/>
      </c>
      <c r="N360" s="4" t="str" cm="1">
        <f t="array" ref="N360">_xlfn.IFS('ProductSprint Backlog'!$F360="", "", AND('ProductSprint Backlog'!$J360&gt;N$2,'ProductSprint Backlog'!$I360&lt;=N$2), 'ProductSprint Backlog'!$F360 / MAX(1, 'ProductSprint Backlog'!$J360-'ProductSprint Backlog'!$I360), AND('ProductSprint Backlog'!$J360=N$2,'ProductSprint Backlog'!$I360=N$2), 'ProductSprint Backlog'!$F360, TRUE, 0)</f>
        <v/>
      </c>
      <c r="O360" s="4" t="str" cm="1">
        <f t="array" ref="O360">_xlfn.IFS('ProductSprint Backlog'!$F360="", "", AND('ProductSprint Backlog'!$J360&gt;O$2,'ProductSprint Backlog'!$I360&lt;=O$2), 'ProductSprint Backlog'!$F360 / MAX(1, 'ProductSprint Backlog'!$J360-'ProductSprint Backlog'!$I360), AND('ProductSprint Backlog'!$J360=O$2,'ProductSprint Backlog'!$I360=O$2), 'ProductSprint Backlog'!$F360, TRUE, 0)</f>
        <v/>
      </c>
      <c r="P360" s="4" t="str" cm="1">
        <f t="array" ref="P360">_xlfn.IFS('ProductSprint Backlog'!$F360="", "", AND('ProductSprint Backlog'!$J360&gt;P$2,'ProductSprint Backlog'!$I360&lt;=P$2), 'ProductSprint Backlog'!$F360 / MAX(1, 'ProductSprint Backlog'!$J360-'ProductSprint Backlog'!$I360), AND('ProductSprint Backlog'!$J360=P$2,'ProductSprint Backlog'!$I360=P$2), 'ProductSprint Backlog'!$F360, TRUE, 0)</f>
        <v/>
      </c>
      <c r="Q360" s="4" t="str" cm="1">
        <f t="array" ref="Q360">_xlfn.IFS('ProductSprint Backlog'!$F360="", "", AND('ProductSprint Backlog'!$J360&gt;Q$2,'ProductSprint Backlog'!$I360&lt;=Q$2), 'ProductSprint Backlog'!$F360 / MAX(1, 'ProductSprint Backlog'!$J360-'ProductSprint Backlog'!$I360), AND('ProductSprint Backlog'!$J360=Q$2,'ProductSprint Backlog'!$I360=Q$2), 'ProductSprint Backlog'!$F360, TRUE, 0)</f>
        <v/>
      </c>
    </row>
    <row r="361" spans="2:17" x14ac:dyDescent="0.2">
      <c r="B361" s="4" t="str" cm="1">
        <f t="array" ref="B361">_xlfn.IFS('ProductSprint Backlog'!$F361="", "", AND('ProductSprint Backlog'!$J361&gt;B$2,'ProductSprint Backlog'!$I361&lt;=B$2), 'ProductSprint Backlog'!$F361 / MAX(1, 'ProductSprint Backlog'!$J361-'ProductSprint Backlog'!$I361), AND('ProductSprint Backlog'!$J361=B$2,'ProductSprint Backlog'!$I361=B$2), 'ProductSprint Backlog'!$F361, TRUE, 0)</f>
        <v/>
      </c>
      <c r="C361" s="4" t="str" cm="1">
        <f t="array" ref="C361">_xlfn.IFS('ProductSprint Backlog'!$F361="", "", AND('ProductSprint Backlog'!$J361&gt;C$2,'ProductSprint Backlog'!$I361&lt;=C$2), 'ProductSprint Backlog'!$F361 / MAX(1, 'ProductSprint Backlog'!$J361-'ProductSprint Backlog'!$I361), AND('ProductSprint Backlog'!$J361=C$2,'ProductSprint Backlog'!$I361=C$2), 'ProductSprint Backlog'!$F361, TRUE, 0)</f>
        <v/>
      </c>
      <c r="D361" s="4" t="str" cm="1">
        <f t="array" ref="D361">_xlfn.IFS('ProductSprint Backlog'!$F361="", "", AND('ProductSprint Backlog'!$J361&gt;D$2,'ProductSprint Backlog'!$I361&lt;=D$2), 'ProductSprint Backlog'!$F361 / MAX(1, 'ProductSprint Backlog'!$J361-'ProductSprint Backlog'!$I361), AND('ProductSprint Backlog'!$J361=D$2,'ProductSprint Backlog'!$I361=D$2), 'ProductSprint Backlog'!$F361, TRUE, 0)</f>
        <v/>
      </c>
      <c r="E361" s="4" t="str" cm="1">
        <f t="array" ref="E361">_xlfn.IFS('ProductSprint Backlog'!$F361="", "", AND('ProductSprint Backlog'!$J361&gt;E$2,'ProductSprint Backlog'!$I361&lt;=E$2), 'ProductSprint Backlog'!$F361 / MAX(1, 'ProductSprint Backlog'!$J361-'ProductSprint Backlog'!$I361), AND('ProductSprint Backlog'!$J361=E$2,'ProductSprint Backlog'!$I361=E$2), 'ProductSprint Backlog'!$F361, TRUE, 0)</f>
        <v/>
      </c>
      <c r="F361" s="4" t="str" cm="1">
        <f t="array" ref="F361">_xlfn.IFS('ProductSprint Backlog'!$F361="", "", AND('ProductSprint Backlog'!$J361&gt;F$2,'ProductSprint Backlog'!$I361&lt;=F$2), 'ProductSprint Backlog'!$F361 / MAX(1, 'ProductSprint Backlog'!$J361-'ProductSprint Backlog'!$I361), AND('ProductSprint Backlog'!$J361=F$2,'ProductSprint Backlog'!$I361=F$2), 'ProductSprint Backlog'!$F361, TRUE, 0)</f>
        <v/>
      </c>
      <c r="G361" s="4" t="str" cm="1">
        <f t="array" ref="G361">_xlfn.IFS('ProductSprint Backlog'!$F361="", "", AND('ProductSprint Backlog'!$J361&gt;G$2,'ProductSprint Backlog'!$I361&lt;=G$2), 'ProductSprint Backlog'!$F361 / MAX(1, 'ProductSprint Backlog'!$J361-'ProductSprint Backlog'!$I361), AND('ProductSprint Backlog'!$J361=G$2,'ProductSprint Backlog'!$I361=G$2), 'ProductSprint Backlog'!$F361, TRUE, 0)</f>
        <v/>
      </c>
      <c r="H361" s="4" t="str" cm="1">
        <f t="array" ref="H361">_xlfn.IFS('ProductSprint Backlog'!$F361="", "", AND('ProductSprint Backlog'!$J361&gt;H$2,'ProductSprint Backlog'!$I361&lt;=H$2), 'ProductSprint Backlog'!$F361 / MAX(1, 'ProductSprint Backlog'!$J361-'ProductSprint Backlog'!$I361), AND('ProductSprint Backlog'!$J361=H$2,'ProductSprint Backlog'!$I361=H$2), 'ProductSprint Backlog'!$F361, TRUE, 0)</f>
        <v/>
      </c>
      <c r="I361" s="4" t="str" cm="1">
        <f t="array" ref="I361">_xlfn.IFS('ProductSprint Backlog'!$F361="", "", AND('ProductSprint Backlog'!$J361&gt;I$2,'ProductSprint Backlog'!$I361&lt;=I$2), 'ProductSprint Backlog'!$F361 / MAX(1, 'ProductSprint Backlog'!$J361-'ProductSprint Backlog'!$I361), AND('ProductSprint Backlog'!$J361=I$2,'ProductSprint Backlog'!$I361=I$2), 'ProductSprint Backlog'!$F361, TRUE, 0)</f>
        <v/>
      </c>
      <c r="J361" s="4" t="str" cm="1">
        <f t="array" ref="J361">_xlfn.IFS('ProductSprint Backlog'!$F361="", "", AND('ProductSprint Backlog'!$J361&gt;J$2,'ProductSprint Backlog'!$I361&lt;=J$2), 'ProductSprint Backlog'!$F361 / MAX(1, 'ProductSprint Backlog'!$J361-'ProductSprint Backlog'!$I361), AND('ProductSprint Backlog'!$J361=J$2,'ProductSprint Backlog'!$I361=J$2), 'ProductSprint Backlog'!$F361, TRUE, 0)</f>
        <v/>
      </c>
      <c r="K361" s="4" t="str" cm="1">
        <f t="array" ref="K361">_xlfn.IFS('ProductSprint Backlog'!$F361="", "", AND('ProductSprint Backlog'!$J361&gt;K$2,'ProductSprint Backlog'!$I361&lt;=K$2), 'ProductSprint Backlog'!$F361 / MAX(1, 'ProductSprint Backlog'!$J361-'ProductSprint Backlog'!$I361), AND('ProductSprint Backlog'!$J361=K$2,'ProductSprint Backlog'!$I361=K$2), 'ProductSprint Backlog'!$F361, TRUE, 0)</f>
        <v/>
      </c>
      <c r="L361" s="4" t="str" cm="1">
        <f t="array" ref="L361">_xlfn.IFS('ProductSprint Backlog'!$F361="", "", AND('ProductSprint Backlog'!$J361&gt;L$2,'ProductSprint Backlog'!$I361&lt;=L$2), 'ProductSprint Backlog'!$F361 / MAX(1, 'ProductSprint Backlog'!$J361-'ProductSprint Backlog'!$I361), AND('ProductSprint Backlog'!$J361=L$2,'ProductSprint Backlog'!$I361=L$2), 'ProductSprint Backlog'!$F361, TRUE, 0)</f>
        <v/>
      </c>
      <c r="M361" s="4" t="str" cm="1">
        <f t="array" ref="M361">_xlfn.IFS('ProductSprint Backlog'!$F361="", "", AND('ProductSprint Backlog'!$J361&gt;M$2,'ProductSprint Backlog'!$I361&lt;=M$2), 'ProductSprint Backlog'!$F361 / MAX(1, 'ProductSprint Backlog'!$J361-'ProductSprint Backlog'!$I361), AND('ProductSprint Backlog'!$J361=M$2,'ProductSprint Backlog'!$I361=M$2), 'ProductSprint Backlog'!$F361, TRUE, 0)</f>
        <v/>
      </c>
      <c r="N361" s="4" t="str" cm="1">
        <f t="array" ref="N361">_xlfn.IFS('ProductSprint Backlog'!$F361="", "", AND('ProductSprint Backlog'!$J361&gt;N$2,'ProductSprint Backlog'!$I361&lt;=N$2), 'ProductSprint Backlog'!$F361 / MAX(1, 'ProductSprint Backlog'!$J361-'ProductSprint Backlog'!$I361), AND('ProductSprint Backlog'!$J361=N$2,'ProductSprint Backlog'!$I361=N$2), 'ProductSprint Backlog'!$F361, TRUE, 0)</f>
        <v/>
      </c>
      <c r="O361" s="4" t="str" cm="1">
        <f t="array" ref="O361">_xlfn.IFS('ProductSprint Backlog'!$F361="", "", AND('ProductSprint Backlog'!$J361&gt;O$2,'ProductSprint Backlog'!$I361&lt;=O$2), 'ProductSprint Backlog'!$F361 / MAX(1, 'ProductSprint Backlog'!$J361-'ProductSprint Backlog'!$I361), AND('ProductSprint Backlog'!$J361=O$2,'ProductSprint Backlog'!$I361=O$2), 'ProductSprint Backlog'!$F361, TRUE, 0)</f>
        <v/>
      </c>
      <c r="P361" s="4" t="str" cm="1">
        <f t="array" ref="P361">_xlfn.IFS('ProductSprint Backlog'!$F361="", "", AND('ProductSprint Backlog'!$J361&gt;P$2,'ProductSprint Backlog'!$I361&lt;=P$2), 'ProductSprint Backlog'!$F361 / MAX(1, 'ProductSprint Backlog'!$J361-'ProductSprint Backlog'!$I361), AND('ProductSprint Backlog'!$J361=P$2,'ProductSprint Backlog'!$I361=P$2), 'ProductSprint Backlog'!$F361, TRUE, 0)</f>
        <v/>
      </c>
      <c r="Q361" s="4" t="str" cm="1">
        <f t="array" ref="Q361">_xlfn.IFS('ProductSprint Backlog'!$F361="", "", AND('ProductSprint Backlog'!$J361&gt;Q$2,'ProductSprint Backlog'!$I361&lt;=Q$2), 'ProductSprint Backlog'!$F361 / MAX(1, 'ProductSprint Backlog'!$J361-'ProductSprint Backlog'!$I361), AND('ProductSprint Backlog'!$J361=Q$2,'ProductSprint Backlog'!$I361=Q$2), 'ProductSprint Backlog'!$F361, TRUE, 0)</f>
        <v/>
      </c>
    </row>
    <row r="362" spans="2:17" x14ac:dyDescent="0.2">
      <c r="B362" s="4" t="str" cm="1">
        <f t="array" ref="B362">_xlfn.IFS('ProductSprint Backlog'!$F362="", "", AND('ProductSprint Backlog'!$J362&gt;B$2,'ProductSprint Backlog'!$I362&lt;=B$2), 'ProductSprint Backlog'!$F362 / MAX(1, 'ProductSprint Backlog'!$J362-'ProductSprint Backlog'!$I362), AND('ProductSprint Backlog'!$J362=B$2,'ProductSprint Backlog'!$I362=B$2), 'ProductSprint Backlog'!$F362, TRUE, 0)</f>
        <v/>
      </c>
      <c r="C362" s="4" t="str" cm="1">
        <f t="array" ref="C362">_xlfn.IFS('ProductSprint Backlog'!$F362="", "", AND('ProductSprint Backlog'!$J362&gt;C$2,'ProductSprint Backlog'!$I362&lt;=C$2), 'ProductSprint Backlog'!$F362 / MAX(1, 'ProductSprint Backlog'!$J362-'ProductSprint Backlog'!$I362), AND('ProductSprint Backlog'!$J362=C$2,'ProductSprint Backlog'!$I362=C$2), 'ProductSprint Backlog'!$F362, TRUE, 0)</f>
        <v/>
      </c>
      <c r="D362" s="4" t="str" cm="1">
        <f t="array" ref="D362">_xlfn.IFS('ProductSprint Backlog'!$F362="", "", AND('ProductSprint Backlog'!$J362&gt;D$2,'ProductSprint Backlog'!$I362&lt;=D$2), 'ProductSprint Backlog'!$F362 / MAX(1, 'ProductSprint Backlog'!$J362-'ProductSprint Backlog'!$I362), AND('ProductSprint Backlog'!$J362=D$2,'ProductSprint Backlog'!$I362=D$2), 'ProductSprint Backlog'!$F362, TRUE, 0)</f>
        <v/>
      </c>
      <c r="E362" s="4" t="str" cm="1">
        <f t="array" ref="E362">_xlfn.IFS('ProductSprint Backlog'!$F362="", "", AND('ProductSprint Backlog'!$J362&gt;E$2,'ProductSprint Backlog'!$I362&lt;=E$2), 'ProductSprint Backlog'!$F362 / MAX(1, 'ProductSprint Backlog'!$J362-'ProductSprint Backlog'!$I362), AND('ProductSprint Backlog'!$J362=E$2,'ProductSprint Backlog'!$I362=E$2), 'ProductSprint Backlog'!$F362, TRUE, 0)</f>
        <v/>
      </c>
      <c r="F362" s="4" t="str" cm="1">
        <f t="array" ref="F362">_xlfn.IFS('ProductSprint Backlog'!$F362="", "", AND('ProductSprint Backlog'!$J362&gt;F$2,'ProductSprint Backlog'!$I362&lt;=F$2), 'ProductSprint Backlog'!$F362 / MAX(1, 'ProductSprint Backlog'!$J362-'ProductSprint Backlog'!$I362), AND('ProductSprint Backlog'!$J362=F$2,'ProductSprint Backlog'!$I362=F$2), 'ProductSprint Backlog'!$F362, TRUE, 0)</f>
        <v/>
      </c>
      <c r="G362" s="4" t="str" cm="1">
        <f t="array" ref="G362">_xlfn.IFS('ProductSprint Backlog'!$F362="", "", AND('ProductSprint Backlog'!$J362&gt;G$2,'ProductSprint Backlog'!$I362&lt;=G$2), 'ProductSprint Backlog'!$F362 / MAX(1, 'ProductSprint Backlog'!$J362-'ProductSprint Backlog'!$I362), AND('ProductSprint Backlog'!$J362=G$2,'ProductSprint Backlog'!$I362=G$2), 'ProductSprint Backlog'!$F362, TRUE, 0)</f>
        <v/>
      </c>
      <c r="H362" s="4" t="str" cm="1">
        <f t="array" ref="H362">_xlfn.IFS('ProductSprint Backlog'!$F362="", "", AND('ProductSprint Backlog'!$J362&gt;H$2,'ProductSprint Backlog'!$I362&lt;=H$2), 'ProductSprint Backlog'!$F362 / MAX(1, 'ProductSprint Backlog'!$J362-'ProductSprint Backlog'!$I362), AND('ProductSprint Backlog'!$J362=H$2,'ProductSprint Backlog'!$I362=H$2), 'ProductSprint Backlog'!$F362, TRUE, 0)</f>
        <v/>
      </c>
      <c r="I362" s="4" t="str" cm="1">
        <f t="array" ref="I362">_xlfn.IFS('ProductSprint Backlog'!$F362="", "", AND('ProductSprint Backlog'!$J362&gt;I$2,'ProductSprint Backlog'!$I362&lt;=I$2), 'ProductSprint Backlog'!$F362 / MAX(1, 'ProductSprint Backlog'!$J362-'ProductSprint Backlog'!$I362), AND('ProductSprint Backlog'!$J362=I$2,'ProductSprint Backlog'!$I362=I$2), 'ProductSprint Backlog'!$F362, TRUE, 0)</f>
        <v/>
      </c>
      <c r="J362" s="4" t="str" cm="1">
        <f t="array" ref="J362">_xlfn.IFS('ProductSprint Backlog'!$F362="", "", AND('ProductSprint Backlog'!$J362&gt;J$2,'ProductSprint Backlog'!$I362&lt;=J$2), 'ProductSprint Backlog'!$F362 / MAX(1, 'ProductSprint Backlog'!$J362-'ProductSprint Backlog'!$I362), AND('ProductSprint Backlog'!$J362=J$2,'ProductSprint Backlog'!$I362=J$2), 'ProductSprint Backlog'!$F362, TRUE, 0)</f>
        <v/>
      </c>
      <c r="K362" s="4" t="str" cm="1">
        <f t="array" ref="K362">_xlfn.IFS('ProductSprint Backlog'!$F362="", "", AND('ProductSprint Backlog'!$J362&gt;K$2,'ProductSprint Backlog'!$I362&lt;=K$2), 'ProductSprint Backlog'!$F362 / MAX(1, 'ProductSprint Backlog'!$J362-'ProductSprint Backlog'!$I362), AND('ProductSprint Backlog'!$J362=K$2,'ProductSprint Backlog'!$I362=K$2), 'ProductSprint Backlog'!$F362, TRUE, 0)</f>
        <v/>
      </c>
      <c r="L362" s="4" t="str" cm="1">
        <f t="array" ref="L362">_xlfn.IFS('ProductSprint Backlog'!$F362="", "", AND('ProductSprint Backlog'!$J362&gt;L$2,'ProductSprint Backlog'!$I362&lt;=L$2), 'ProductSprint Backlog'!$F362 / MAX(1, 'ProductSprint Backlog'!$J362-'ProductSprint Backlog'!$I362), AND('ProductSprint Backlog'!$J362=L$2,'ProductSprint Backlog'!$I362=L$2), 'ProductSprint Backlog'!$F362, TRUE, 0)</f>
        <v/>
      </c>
      <c r="M362" s="4" t="str" cm="1">
        <f t="array" ref="M362">_xlfn.IFS('ProductSprint Backlog'!$F362="", "", AND('ProductSprint Backlog'!$J362&gt;M$2,'ProductSprint Backlog'!$I362&lt;=M$2), 'ProductSprint Backlog'!$F362 / MAX(1, 'ProductSprint Backlog'!$J362-'ProductSprint Backlog'!$I362), AND('ProductSprint Backlog'!$J362=M$2,'ProductSprint Backlog'!$I362=M$2), 'ProductSprint Backlog'!$F362, TRUE, 0)</f>
        <v/>
      </c>
      <c r="N362" s="4" t="str" cm="1">
        <f t="array" ref="N362">_xlfn.IFS('ProductSprint Backlog'!$F362="", "", AND('ProductSprint Backlog'!$J362&gt;N$2,'ProductSprint Backlog'!$I362&lt;=N$2), 'ProductSprint Backlog'!$F362 / MAX(1, 'ProductSprint Backlog'!$J362-'ProductSprint Backlog'!$I362), AND('ProductSprint Backlog'!$J362=N$2,'ProductSprint Backlog'!$I362=N$2), 'ProductSprint Backlog'!$F362, TRUE, 0)</f>
        <v/>
      </c>
      <c r="O362" s="4" t="str" cm="1">
        <f t="array" ref="O362">_xlfn.IFS('ProductSprint Backlog'!$F362="", "", AND('ProductSprint Backlog'!$J362&gt;O$2,'ProductSprint Backlog'!$I362&lt;=O$2), 'ProductSprint Backlog'!$F362 / MAX(1, 'ProductSprint Backlog'!$J362-'ProductSprint Backlog'!$I362), AND('ProductSprint Backlog'!$J362=O$2,'ProductSprint Backlog'!$I362=O$2), 'ProductSprint Backlog'!$F362, TRUE, 0)</f>
        <v/>
      </c>
      <c r="P362" s="4" t="str" cm="1">
        <f t="array" ref="P362">_xlfn.IFS('ProductSprint Backlog'!$F362="", "", AND('ProductSprint Backlog'!$J362&gt;P$2,'ProductSprint Backlog'!$I362&lt;=P$2), 'ProductSprint Backlog'!$F362 / MAX(1, 'ProductSprint Backlog'!$J362-'ProductSprint Backlog'!$I362), AND('ProductSprint Backlog'!$J362=P$2,'ProductSprint Backlog'!$I362=P$2), 'ProductSprint Backlog'!$F362, TRUE, 0)</f>
        <v/>
      </c>
      <c r="Q362" s="4" t="str" cm="1">
        <f t="array" ref="Q362">_xlfn.IFS('ProductSprint Backlog'!$F362="", "", AND('ProductSprint Backlog'!$J362&gt;Q$2,'ProductSprint Backlog'!$I362&lt;=Q$2), 'ProductSprint Backlog'!$F362 / MAX(1, 'ProductSprint Backlog'!$J362-'ProductSprint Backlog'!$I362), AND('ProductSprint Backlog'!$J362=Q$2,'ProductSprint Backlog'!$I362=Q$2), 'ProductSprint Backlog'!$F362, TRUE, 0)</f>
        <v/>
      </c>
    </row>
    <row r="363" spans="2:17" x14ac:dyDescent="0.2">
      <c r="B363" s="4" t="str" cm="1">
        <f t="array" ref="B363">_xlfn.IFS('ProductSprint Backlog'!$F363="", "", AND('ProductSprint Backlog'!$J363&gt;B$2,'ProductSprint Backlog'!$I363&lt;=B$2), 'ProductSprint Backlog'!$F363 / MAX(1, 'ProductSprint Backlog'!$J363-'ProductSprint Backlog'!$I363), AND('ProductSprint Backlog'!$J363=B$2,'ProductSprint Backlog'!$I363=B$2), 'ProductSprint Backlog'!$F363, TRUE, 0)</f>
        <v/>
      </c>
      <c r="C363" s="4" t="str" cm="1">
        <f t="array" ref="C363">_xlfn.IFS('ProductSprint Backlog'!$F363="", "", AND('ProductSprint Backlog'!$J363&gt;C$2,'ProductSprint Backlog'!$I363&lt;=C$2), 'ProductSprint Backlog'!$F363 / MAX(1, 'ProductSprint Backlog'!$J363-'ProductSprint Backlog'!$I363), AND('ProductSprint Backlog'!$J363=C$2,'ProductSprint Backlog'!$I363=C$2), 'ProductSprint Backlog'!$F363, TRUE, 0)</f>
        <v/>
      </c>
      <c r="D363" s="4" t="str" cm="1">
        <f t="array" ref="D363">_xlfn.IFS('ProductSprint Backlog'!$F363="", "", AND('ProductSprint Backlog'!$J363&gt;D$2,'ProductSprint Backlog'!$I363&lt;=D$2), 'ProductSprint Backlog'!$F363 / MAX(1, 'ProductSprint Backlog'!$J363-'ProductSprint Backlog'!$I363), AND('ProductSprint Backlog'!$J363=D$2,'ProductSprint Backlog'!$I363=D$2), 'ProductSprint Backlog'!$F363, TRUE, 0)</f>
        <v/>
      </c>
      <c r="E363" s="4" t="str" cm="1">
        <f t="array" ref="E363">_xlfn.IFS('ProductSprint Backlog'!$F363="", "", AND('ProductSprint Backlog'!$J363&gt;E$2,'ProductSprint Backlog'!$I363&lt;=E$2), 'ProductSprint Backlog'!$F363 / MAX(1, 'ProductSprint Backlog'!$J363-'ProductSprint Backlog'!$I363), AND('ProductSprint Backlog'!$J363=E$2,'ProductSprint Backlog'!$I363=E$2), 'ProductSprint Backlog'!$F363, TRUE, 0)</f>
        <v/>
      </c>
      <c r="F363" s="4" t="str" cm="1">
        <f t="array" ref="F363">_xlfn.IFS('ProductSprint Backlog'!$F363="", "", AND('ProductSprint Backlog'!$J363&gt;F$2,'ProductSprint Backlog'!$I363&lt;=F$2), 'ProductSprint Backlog'!$F363 / MAX(1, 'ProductSprint Backlog'!$J363-'ProductSprint Backlog'!$I363), AND('ProductSprint Backlog'!$J363=F$2,'ProductSprint Backlog'!$I363=F$2), 'ProductSprint Backlog'!$F363, TRUE, 0)</f>
        <v/>
      </c>
      <c r="G363" s="4" t="str" cm="1">
        <f t="array" ref="G363">_xlfn.IFS('ProductSprint Backlog'!$F363="", "", AND('ProductSprint Backlog'!$J363&gt;G$2,'ProductSprint Backlog'!$I363&lt;=G$2), 'ProductSprint Backlog'!$F363 / MAX(1, 'ProductSprint Backlog'!$J363-'ProductSprint Backlog'!$I363), AND('ProductSprint Backlog'!$J363=G$2,'ProductSprint Backlog'!$I363=G$2), 'ProductSprint Backlog'!$F363, TRUE, 0)</f>
        <v/>
      </c>
      <c r="H363" s="4" t="str" cm="1">
        <f t="array" ref="H363">_xlfn.IFS('ProductSprint Backlog'!$F363="", "", AND('ProductSprint Backlog'!$J363&gt;H$2,'ProductSprint Backlog'!$I363&lt;=H$2), 'ProductSprint Backlog'!$F363 / MAX(1, 'ProductSprint Backlog'!$J363-'ProductSprint Backlog'!$I363), AND('ProductSprint Backlog'!$J363=H$2,'ProductSprint Backlog'!$I363=H$2), 'ProductSprint Backlog'!$F363, TRUE, 0)</f>
        <v/>
      </c>
      <c r="I363" s="4" t="str" cm="1">
        <f t="array" ref="I363">_xlfn.IFS('ProductSprint Backlog'!$F363="", "", AND('ProductSprint Backlog'!$J363&gt;I$2,'ProductSprint Backlog'!$I363&lt;=I$2), 'ProductSprint Backlog'!$F363 / MAX(1, 'ProductSprint Backlog'!$J363-'ProductSprint Backlog'!$I363), AND('ProductSprint Backlog'!$J363=I$2,'ProductSprint Backlog'!$I363=I$2), 'ProductSprint Backlog'!$F363, TRUE, 0)</f>
        <v/>
      </c>
      <c r="J363" s="4" t="str" cm="1">
        <f t="array" ref="J363">_xlfn.IFS('ProductSprint Backlog'!$F363="", "", AND('ProductSprint Backlog'!$J363&gt;J$2,'ProductSprint Backlog'!$I363&lt;=J$2), 'ProductSprint Backlog'!$F363 / MAX(1, 'ProductSprint Backlog'!$J363-'ProductSprint Backlog'!$I363), AND('ProductSprint Backlog'!$J363=J$2,'ProductSprint Backlog'!$I363=J$2), 'ProductSprint Backlog'!$F363, TRUE, 0)</f>
        <v/>
      </c>
      <c r="K363" s="4" t="str" cm="1">
        <f t="array" ref="K363">_xlfn.IFS('ProductSprint Backlog'!$F363="", "", AND('ProductSprint Backlog'!$J363&gt;K$2,'ProductSprint Backlog'!$I363&lt;=K$2), 'ProductSprint Backlog'!$F363 / MAX(1, 'ProductSprint Backlog'!$J363-'ProductSprint Backlog'!$I363), AND('ProductSprint Backlog'!$J363=K$2,'ProductSprint Backlog'!$I363=K$2), 'ProductSprint Backlog'!$F363, TRUE, 0)</f>
        <v/>
      </c>
      <c r="L363" s="4" t="str" cm="1">
        <f t="array" ref="L363">_xlfn.IFS('ProductSprint Backlog'!$F363="", "", AND('ProductSprint Backlog'!$J363&gt;L$2,'ProductSprint Backlog'!$I363&lt;=L$2), 'ProductSprint Backlog'!$F363 / MAX(1, 'ProductSprint Backlog'!$J363-'ProductSprint Backlog'!$I363), AND('ProductSprint Backlog'!$J363=L$2,'ProductSprint Backlog'!$I363=L$2), 'ProductSprint Backlog'!$F363, TRUE, 0)</f>
        <v/>
      </c>
      <c r="M363" s="4" t="str" cm="1">
        <f t="array" ref="M363">_xlfn.IFS('ProductSprint Backlog'!$F363="", "", AND('ProductSprint Backlog'!$J363&gt;M$2,'ProductSprint Backlog'!$I363&lt;=M$2), 'ProductSprint Backlog'!$F363 / MAX(1, 'ProductSprint Backlog'!$J363-'ProductSprint Backlog'!$I363), AND('ProductSprint Backlog'!$J363=M$2,'ProductSprint Backlog'!$I363=M$2), 'ProductSprint Backlog'!$F363, TRUE, 0)</f>
        <v/>
      </c>
      <c r="N363" s="4" t="str" cm="1">
        <f t="array" ref="N363">_xlfn.IFS('ProductSprint Backlog'!$F363="", "", AND('ProductSprint Backlog'!$J363&gt;N$2,'ProductSprint Backlog'!$I363&lt;=N$2), 'ProductSprint Backlog'!$F363 / MAX(1, 'ProductSprint Backlog'!$J363-'ProductSprint Backlog'!$I363), AND('ProductSprint Backlog'!$J363=N$2,'ProductSprint Backlog'!$I363=N$2), 'ProductSprint Backlog'!$F363, TRUE, 0)</f>
        <v/>
      </c>
      <c r="O363" s="4" t="str" cm="1">
        <f t="array" ref="O363">_xlfn.IFS('ProductSprint Backlog'!$F363="", "", AND('ProductSprint Backlog'!$J363&gt;O$2,'ProductSprint Backlog'!$I363&lt;=O$2), 'ProductSprint Backlog'!$F363 / MAX(1, 'ProductSprint Backlog'!$J363-'ProductSprint Backlog'!$I363), AND('ProductSprint Backlog'!$J363=O$2,'ProductSprint Backlog'!$I363=O$2), 'ProductSprint Backlog'!$F363, TRUE, 0)</f>
        <v/>
      </c>
      <c r="P363" s="4" t="str" cm="1">
        <f t="array" ref="P363">_xlfn.IFS('ProductSprint Backlog'!$F363="", "", AND('ProductSprint Backlog'!$J363&gt;P$2,'ProductSprint Backlog'!$I363&lt;=P$2), 'ProductSprint Backlog'!$F363 / MAX(1, 'ProductSprint Backlog'!$J363-'ProductSprint Backlog'!$I363), AND('ProductSprint Backlog'!$J363=P$2,'ProductSprint Backlog'!$I363=P$2), 'ProductSprint Backlog'!$F363, TRUE, 0)</f>
        <v/>
      </c>
      <c r="Q363" s="4" t="str" cm="1">
        <f t="array" ref="Q363">_xlfn.IFS('ProductSprint Backlog'!$F363="", "", AND('ProductSprint Backlog'!$J363&gt;Q$2,'ProductSprint Backlog'!$I363&lt;=Q$2), 'ProductSprint Backlog'!$F363 / MAX(1, 'ProductSprint Backlog'!$J363-'ProductSprint Backlog'!$I363), AND('ProductSprint Backlog'!$J363=Q$2,'ProductSprint Backlog'!$I363=Q$2), 'ProductSprint Backlog'!$F363, TRUE, 0)</f>
        <v/>
      </c>
    </row>
    <row r="364" spans="2:17" x14ac:dyDescent="0.2">
      <c r="B364" s="4" t="str" cm="1">
        <f t="array" ref="B364">_xlfn.IFS('ProductSprint Backlog'!$F364="", "", AND('ProductSprint Backlog'!$J364&gt;B$2,'ProductSprint Backlog'!$I364&lt;=B$2), 'ProductSprint Backlog'!$F364 / MAX(1, 'ProductSprint Backlog'!$J364-'ProductSprint Backlog'!$I364), AND('ProductSprint Backlog'!$J364=B$2,'ProductSprint Backlog'!$I364=B$2), 'ProductSprint Backlog'!$F364, TRUE, 0)</f>
        <v/>
      </c>
      <c r="C364" s="4" t="str" cm="1">
        <f t="array" ref="C364">_xlfn.IFS('ProductSprint Backlog'!$F364="", "", AND('ProductSprint Backlog'!$J364&gt;C$2,'ProductSprint Backlog'!$I364&lt;=C$2), 'ProductSprint Backlog'!$F364 / MAX(1, 'ProductSprint Backlog'!$J364-'ProductSprint Backlog'!$I364), AND('ProductSprint Backlog'!$J364=C$2,'ProductSprint Backlog'!$I364=C$2), 'ProductSprint Backlog'!$F364, TRUE, 0)</f>
        <v/>
      </c>
      <c r="D364" s="4" t="str" cm="1">
        <f t="array" ref="D364">_xlfn.IFS('ProductSprint Backlog'!$F364="", "", AND('ProductSprint Backlog'!$J364&gt;D$2,'ProductSprint Backlog'!$I364&lt;=D$2), 'ProductSprint Backlog'!$F364 / MAX(1, 'ProductSprint Backlog'!$J364-'ProductSprint Backlog'!$I364), AND('ProductSprint Backlog'!$J364=D$2,'ProductSprint Backlog'!$I364=D$2), 'ProductSprint Backlog'!$F364, TRUE, 0)</f>
        <v/>
      </c>
      <c r="E364" s="4" t="str" cm="1">
        <f t="array" ref="E364">_xlfn.IFS('ProductSprint Backlog'!$F364="", "", AND('ProductSprint Backlog'!$J364&gt;E$2,'ProductSprint Backlog'!$I364&lt;=E$2), 'ProductSprint Backlog'!$F364 / MAX(1, 'ProductSprint Backlog'!$J364-'ProductSprint Backlog'!$I364), AND('ProductSprint Backlog'!$J364=E$2,'ProductSprint Backlog'!$I364=E$2), 'ProductSprint Backlog'!$F364, TRUE, 0)</f>
        <v/>
      </c>
      <c r="F364" s="4" t="str" cm="1">
        <f t="array" ref="F364">_xlfn.IFS('ProductSprint Backlog'!$F364="", "", AND('ProductSprint Backlog'!$J364&gt;F$2,'ProductSprint Backlog'!$I364&lt;=F$2), 'ProductSprint Backlog'!$F364 / MAX(1, 'ProductSprint Backlog'!$J364-'ProductSprint Backlog'!$I364), AND('ProductSprint Backlog'!$J364=F$2,'ProductSprint Backlog'!$I364=F$2), 'ProductSprint Backlog'!$F364, TRUE, 0)</f>
        <v/>
      </c>
      <c r="G364" s="4" t="str" cm="1">
        <f t="array" ref="G364">_xlfn.IFS('ProductSprint Backlog'!$F364="", "", AND('ProductSprint Backlog'!$J364&gt;G$2,'ProductSprint Backlog'!$I364&lt;=G$2), 'ProductSprint Backlog'!$F364 / MAX(1, 'ProductSprint Backlog'!$J364-'ProductSprint Backlog'!$I364), AND('ProductSprint Backlog'!$J364=G$2,'ProductSprint Backlog'!$I364=G$2), 'ProductSprint Backlog'!$F364, TRUE, 0)</f>
        <v/>
      </c>
      <c r="H364" s="4" t="str" cm="1">
        <f t="array" ref="H364">_xlfn.IFS('ProductSprint Backlog'!$F364="", "", AND('ProductSprint Backlog'!$J364&gt;H$2,'ProductSprint Backlog'!$I364&lt;=H$2), 'ProductSprint Backlog'!$F364 / MAX(1, 'ProductSprint Backlog'!$J364-'ProductSprint Backlog'!$I364), AND('ProductSprint Backlog'!$J364=H$2,'ProductSprint Backlog'!$I364=H$2), 'ProductSprint Backlog'!$F364, TRUE, 0)</f>
        <v/>
      </c>
      <c r="I364" s="4" t="str" cm="1">
        <f t="array" ref="I364">_xlfn.IFS('ProductSprint Backlog'!$F364="", "", AND('ProductSprint Backlog'!$J364&gt;I$2,'ProductSprint Backlog'!$I364&lt;=I$2), 'ProductSprint Backlog'!$F364 / MAX(1, 'ProductSprint Backlog'!$J364-'ProductSprint Backlog'!$I364), AND('ProductSprint Backlog'!$J364=I$2,'ProductSprint Backlog'!$I364=I$2), 'ProductSprint Backlog'!$F364, TRUE, 0)</f>
        <v/>
      </c>
      <c r="J364" s="4" t="str" cm="1">
        <f t="array" ref="J364">_xlfn.IFS('ProductSprint Backlog'!$F364="", "", AND('ProductSprint Backlog'!$J364&gt;J$2,'ProductSprint Backlog'!$I364&lt;=J$2), 'ProductSprint Backlog'!$F364 / MAX(1, 'ProductSprint Backlog'!$J364-'ProductSprint Backlog'!$I364), AND('ProductSprint Backlog'!$J364=J$2,'ProductSprint Backlog'!$I364=J$2), 'ProductSprint Backlog'!$F364, TRUE, 0)</f>
        <v/>
      </c>
      <c r="K364" s="4" t="str" cm="1">
        <f t="array" ref="K364">_xlfn.IFS('ProductSprint Backlog'!$F364="", "", AND('ProductSprint Backlog'!$J364&gt;K$2,'ProductSprint Backlog'!$I364&lt;=K$2), 'ProductSprint Backlog'!$F364 / MAX(1, 'ProductSprint Backlog'!$J364-'ProductSprint Backlog'!$I364), AND('ProductSprint Backlog'!$J364=K$2,'ProductSprint Backlog'!$I364=K$2), 'ProductSprint Backlog'!$F364, TRUE, 0)</f>
        <v/>
      </c>
      <c r="L364" s="4" t="str" cm="1">
        <f t="array" ref="L364">_xlfn.IFS('ProductSprint Backlog'!$F364="", "", AND('ProductSprint Backlog'!$J364&gt;L$2,'ProductSprint Backlog'!$I364&lt;=L$2), 'ProductSprint Backlog'!$F364 / MAX(1, 'ProductSprint Backlog'!$J364-'ProductSprint Backlog'!$I364), AND('ProductSprint Backlog'!$J364=L$2,'ProductSprint Backlog'!$I364=L$2), 'ProductSprint Backlog'!$F364, TRUE, 0)</f>
        <v/>
      </c>
      <c r="M364" s="4" t="str" cm="1">
        <f t="array" ref="M364">_xlfn.IFS('ProductSprint Backlog'!$F364="", "", AND('ProductSprint Backlog'!$J364&gt;M$2,'ProductSprint Backlog'!$I364&lt;=M$2), 'ProductSprint Backlog'!$F364 / MAX(1, 'ProductSprint Backlog'!$J364-'ProductSprint Backlog'!$I364), AND('ProductSprint Backlog'!$J364=M$2,'ProductSprint Backlog'!$I364=M$2), 'ProductSprint Backlog'!$F364, TRUE, 0)</f>
        <v/>
      </c>
      <c r="N364" s="4" t="str" cm="1">
        <f t="array" ref="N364">_xlfn.IFS('ProductSprint Backlog'!$F364="", "", AND('ProductSprint Backlog'!$J364&gt;N$2,'ProductSprint Backlog'!$I364&lt;=N$2), 'ProductSprint Backlog'!$F364 / MAX(1, 'ProductSprint Backlog'!$J364-'ProductSprint Backlog'!$I364), AND('ProductSprint Backlog'!$J364=N$2,'ProductSprint Backlog'!$I364=N$2), 'ProductSprint Backlog'!$F364, TRUE, 0)</f>
        <v/>
      </c>
      <c r="O364" s="4" t="str" cm="1">
        <f t="array" ref="O364">_xlfn.IFS('ProductSprint Backlog'!$F364="", "", AND('ProductSprint Backlog'!$J364&gt;O$2,'ProductSprint Backlog'!$I364&lt;=O$2), 'ProductSprint Backlog'!$F364 / MAX(1, 'ProductSprint Backlog'!$J364-'ProductSprint Backlog'!$I364), AND('ProductSprint Backlog'!$J364=O$2,'ProductSprint Backlog'!$I364=O$2), 'ProductSprint Backlog'!$F364, TRUE, 0)</f>
        <v/>
      </c>
      <c r="P364" s="4" t="str" cm="1">
        <f t="array" ref="P364">_xlfn.IFS('ProductSprint Backlog'!$F364="", "", AND('ProductSprint Backlog'!$J364&gt;P$2,'ProductSprint Backlog'!$I364&lt;=P$2), 'ProductSprint Backlog'!$F364 / MAX(1, 'ProductSprint Backlog'!$J364-'ProductSprint Backlog'!$I364), AND('ProductSprint Backlog'!$J364=P$2,'ProductSprint Backlog'!$I364=P$2), 'ProductSprint Backlog'!$F364, TRUE, 0)</f>
        <v/>
      </c>
      <c r="Q364" s="4" t="str" cm="1">
        <f t="array" ref="Q364">_xlfn.IFS('ProductSprint Backlog'!$F364="", "", AND('ProductSprint Backlog'!$J364&gt;Q$2,'ProductSprint Backlog'!$I364&lt;=Q$2), 'ProductSprint Backlog'!$F364 / MAX(1, 'ProductSprint Backlog'!$J364-'ProductSprint Backlog'!$I364), AND('ProductSprint Backlog'!$J364=Q$2,'ProductSprint Backlog'!$I364=Q$2), 'ProductSprint Backlog'!$F364, TRUE, 0)</f>
        <v/>
      </c>
    </row>
    <row r="365" spans="2:17" x14ac:dyDescent="0.2">
      <c r="B365" s="4" t="str" cm="1">
        <f t="array" ref="B365">_xlfn.IFS('ProductSprint Backlog'!$F365="", "", AND('ProductSprint Backlog'!$J365&gt;B$2,'ProductSprint Backlog'!$I365&lt;=B$2), 'ProductSprint Backlog'!$F365 / MAX(1, 'ProductSprint Backlog'!$J365-'ProductSprint Backlog'!$I365), AND('ProductSprint Backlog'!$J365=B$2,'ProductSprint Backlog'!$I365=B$2), 'ProductSprint Backlog'!$F365, TRUE, 0)</f>
        <v/>
      </c>
      <c r="C365" s="4" t="str" cm="1">
        <f t="array" ref="C365">_xlfn.IFS('ProductSprint Backlog'!$F365="", "", AND('ProductSprint Backlog'!$J365&gt;C$2,'ProductSprint Backlog'!$I365&lt;=C$2), 'ProductSprint Backlog'!$F365 / MAX(1, 'ProductSprint Backlog'!$J365-'ProductSprint Backlog'!$I365), AND('ProductSprint Backlog'!$J365=C$2,'ProductSprint Backlog'!$I365=C$2), 'ProductSprint Backlog'!$F365, TRUE, 0)</f>
        <v/>
      </c>
      <c r="D365" s="4" t="str" cm="1">
        <f t="array" ref="D365">_xlfn.IFS('ProductSprint Backlog'!$F365="", "", AND('ProductSprint Backlog'!$J365&gt;D$2,'ProductSprint Backlog'!$I365&lt;=D$2), 'ProductSprint Backlog'!$F365 / MAX(1, 'ProductSprint Backlog'!$J365-'ProductSprint Backlog'!$I365), AND('ProductSprint Backlog'!$J365=D$2,'ProductSprint Backlog'!$I365=D$2), 'ProductSprint Backlog'!$F365, TRUE, 0)</f>
        <v/>
      </c>
      <c r="E365" s="4" t="str" cm="1">
        <f t="array" ref="E365">_xlfn.IFS('ProductSprint Backlog'!$F365="", "", AND('ProductSprint Backlog'!$J365&gt;E$2,'ProductSprint Backlog'!$I365&lt;=E$2), 'ProductSprint Backlog'!$F365 / MAX(1, 'ProductSprint Backlog'!$J365-'ProductSprint Backlog'!$I365), AND('ProductSprint Backlog'!$J365=E$2,'ProductSprint Backlog'!$I365=E$2), 'ProductSprint Backlog'!$F365, TRUE, 0)</f>
        <v/>
      </c>
      <c r="F365" s="4" t="str" cm="1">
        <f t="array" ref="F365">_xlfn.IFS('ProductSprint Backlog'!$F365="", "", AND('ProductSprint Backlog'!$J365&gt;F$2,'ProductSprint Backlog'!$I365&lt;=F$2), 'ProductSprint Backlog'!$F365 / MAX(1, 'ProductSprint Backlog'!$J365-'ProductSprint Backlog'!$I365), AND('ProductSprint Backlog'!$J365=F$2,'ProductSprint Backlog'!$I365=F$2), 'ProductSprint Backlog'!$F365, TRUE, 0)</f>
        <v/>
      </c>
      <c r="G365" s="4" t="str" cm="1">
        <f t="array" ref="G365">_xlfn.IFS('ProductSprint Backlog'!$F365="", "", AND('ProductSprint Backlog'!$J365&gt;G$2,'ProductSprint Backlog'!$I365&lt;=G$2), 'ProductSprint Backlog'!$F365 / MAX(1, 'ProductSprint Backlog'!$J365-'ProductSprint Backlog'!$I365), AND('ProductSprint Backlog'!$J365=G$2,'ProductSprint Backlog'!$I365=G$2), 'ProductSprint Backlog'!$F365, TRUE, 0)</f>
        <v/>
      </c>
      <c r="H365" s="4" t="str" cm="1">
        <f t="array" ref="H365">_xlfn.IFS('ProductSprint Backlog'!$F365="", "", AND('ProductSprint Backlog'!$J365&gt;H$2,'ProductSprint Backlog'!$I365&lt;=H$2), 'ProductSprint Backlog'!$F365 / MAX(1, 'ProductSprint Backlog'!$J365-'ProductSprint Backlog'!$I365), AND('ProductSprint Backlog'!$J365=H$2,'ProductSprint Backlog'!$I365=H$2), 'ProductSprint Backlog'!$F365, TRUE, 0)</f>
        <v/>
      </c>
      <c r="I365" s="4" t="str" cm="1">
        <f t="array" ref="I365">_xlfn.IFS('ProductSprint Backlog'!$F365="", "", AND('ProductSprint Backlog'!$J365&gt;I$2,'ProductSprint Backlog'!$I365&lt;=I$2), 'ProductSprint Backlog'!$F365 / MAX(1, 'ProductSprint Backlog'!$J365-'ProductSprint Backlog'!$I365), AND('ProductSprint Backlog'!$J365=I$2,'ProductSprint Backlog'!$I365=I$2), 'ProductSprint Backlog'!$F365, TRUE, 0)</f>
        <v/>
      </c>
      <c r="J365" s="4" t="str" cm="1">
        <f t="array" ref="J365">_xlfn.IFS('ProductSprint Backlog'!$F365="", "", AND('ProductSprint Backlog'!$J365&gt;J$2,'ProductSprint Backlog'!$I365&lt;=J$2), 'ProductSprint Backlog'!$F365 / MAX(1, 'ProductSprint Backlog'!$J365-'ProductSprint Backlog'!$I365), AND('ProductSprint Backlog'!$J365=J$2,'ProductSprint Backlog'!$I365=J$2), 'ProductSprint Backlog'!$F365, TRUE, 0)</f>
        <v/>
      </c>
      <c r="K365" s="4" t="str" cm="1">
        <f t="array" ref="K365">_xlfn.IFS('ProductSprint Backlog'!$F365="", "", AND('ProductSprint Backlog'!$J365&gt;K$2,'ProductSprint Backlog'!$I365&lt;=K$2), 'ProductSprint Backlog'!$F365 / MAX(1, 'ProductSprint Backlog'!$J365-'ProductSprint Backlog'!$I365), AND('ProductSprint Backlog'!$J365=K$2,'ProductSprint Backlog'!$I365=K$2), 'ProductSprint Backlog'!$F365, TRUE, 0)</f>
        <v/>
      </c>
      <c r="L365" s="4" t="str" cm="1">
        <f t="array" ref="L365">_xlfn.IFS('ProductSprint Backlog'!$F365="", "", AND('ProductSprint Backlog'!$J365&gt;L$2,'ProductSprint Backlog'!$I365&lt;=L$2), 'ProductSprint Backlog'!$F365 / MAX(1, 'ProductSprint Backlog'!$J365-'ProductSprint Backlog'!$I365), AND('ProductSprint Backlog'!$J365=L$2,'ProductSprint Backlog'!$I365=L$2), 'ProductSprint Backlog'!$F365, TRUE, 0)</f>
        <v/>
      </c>
      <c r="M365" s="4" t="str" cm="1">
        <f t="array" ref="M365">_xlfn.IFS('ProductSprint Backlog'!$F365="", "", AND('ProductSprint Backlog'!$J365&gt;M$2,'ProductSprint Backlog'!$I365&lt;=M$2), 'ProductSprint Backlog'!$F365 / MAX(1, 'ProductSprint Backlog'!$J365-'ProductSprint Backlog'!$I365), AND('ProductSprint Backlog'!$J365=M$2,'ProductSprint Backlog'!$I365=M$2), 'ProductSprint Backlog'!$F365, TRUE, 0)</f>
        <v/>
      </c>
      <c r="N365" s="4" t="str" cm="1">
        <f t="array" ref="N365">_xlfn.IFS('ProductSprint Backlog'!$F365="", "", AND('ProductSprint Backlog'!$J365&gt;N$2,'ProductSprint Backlog'!$I365&lt;=N$2), 'ProductSprint Backlog'!$F365 / MAX(1, 'ProductSprint Backlog'!$J365-'ProductSprint Backlog'!$I365), AND('ProductSprint Backlog'!$J365=N$2,'ProductSprint Backlog'!$I365=N$2), 'ProductSprint Backlog'!$F365, TRUE, 0)</f>
        <v/>
      </c>
      <c r="O365" s="4" t="str" cm="1">
        <f t="array" ref="O365">_xlfn.IFS('ProductSprint Backlog'!$F365="", "", AND('ProductSprint Backlog'!$J365&gt;O$2,'ProductSprint Backlog'!$I365&lt;=O$2), 'ProductSprint Backlog'!$F365 / MAX(1, 'ProductSprint Backlog'!$J365-'ProductSprint Backlog'!$I365), AND('ProductSprint Backlog'!$J365=O$2,'ProductSprint Backlog'!$I365=O$2), 'ProductSprint Backlog'!$F365, TRUE, 0)</f>
        <v/>
      </c>
      <c r="P365" s="4" t="str" cm="1">
        <f t="array" ref="P365">_xlfn.IFS('ProductSprint Backlog'!$F365="", "", AND('ProductSprint Backlog'!$J365&gt;P$2,'ProductSprint Backlog'!$I365&lt;=P$2), 'ProductSprint Backlog'!$F365 / MAX(1, 'ProductSprint Backlog'!$J365-'ProductSprint Backlog'!$I365), AND('ProductSprint Backlog'!$J365=P$2,'ProductSprint Backlog'!$I365=P$2), 'ProductSprint Backlog'!$F365, TRUE, 0)</f>
        <v/>
      </c>
      <c r="Q365" s="4" t="str" cm="1">
        <f t="array" ref="Q365">_xlfn.IFS('ProductSprint Backlog'!$F365="", "", AND('ProductSprint Backlog'!$J365&gt;Q$2,'ProductSprint Backlog'!$I365&lt;=Q$2), 'ProductSprint Backlog'!$F365 / MAX(1, 'ProductSprint Backlog'!$J365-'ProductSprint Backlog'!$I365), AND('ProductSprint Backlog'!$J365=Q$2,'ProductSprint Backlog'!$I365=Q$2), 'ProductSprint Backlog'!$F365, TRUE, 0)</f>
        <v/>
      </c>
    </row>
    <row r="366" spans="2:17" x14ac:dyDescent="0.2">
      <c r="B366" s="4" t="str" cm="1">
        <f t="array" ref="B366">_xlfn.IFS('ProductSprint Backlog'!$F366="", "", AND('ProductSprint Backlog'!$J366&gt;B$2,'ProductSprint Backlog'!$I366&lt;=B$2), 'ProductSprint Backlog'!$F366 / MAX(1, 'ProductSprint Backlog'!$J366-'ProductSprint Backlog'!$I366), AND('ProductSprint Backlog'!$J366=B$2,'ProductSprint Backlog'!$I366=B$2), 'ProductSprint Backlog'!$F366, TRUE, 0)</f>
        <v/>
      </c>
      <c r="C366" s="4" t="str" cm="1">
        <f t="array" ref="C366">_xlfn.IFS('ProductSprint Backlog'!$F366="", "", AND('ProductSprint Backlog'!$J366&gt;C$2,'ProductSprint Backlog'!$I366&lt;=C$2), 'ProductSprint Backlog'!$F366 / MAX(1, 'ProductSprint Backlog'!$J366-'ProductSprint Backlog'!$I366), AND('ProductSprint Backlog'!$J366=C$2,'ProductSprint Backlog'!$I366=C$2), 'ProductSprint Backlog'!$F366, TRUE, 0)</f>
        <v/>
      </c>
      <c r="D366" s="4" t="str" cm="1">
        <f t="array" ref="D366">_xlfn.IFS('ProductSprint Backlog'!$F366="", "", AND('ProductSprint Backlog'!$J366&gt;D$2,'ProductSprint Backlog'!$I366&lt;=D$2), 'ProductSprint Backlog'!$F366 / MAX(1, 'ProductSprint Backlog'!$J366-'ProductSprint Backlog'!$I366), AND('ProductSprint Backlog'!$J366=D$2,'ProductSprint Backlog'!$I366=D$2), 'ProductSprint Backlog'!$F366, TRUE, 0)</f>
        <v/>
      </c>
      <c r="E366" s="4" t="str" cm="1">
        <f t="array" ref="E366">_xlfn.IFS('ProductSprint Backlog'!$F366="", "", AND('ProductSprint Backlog'!$J366&gt;E$2,'ProductSprint Backlog'!$I366&lt;=E$2), 'ProductSprint Backlog'!$F366 / MAX(1, 'ProductSprint Backlog'!$J366-'ProductSprint Backlog'!$I366), AND('ProductSprint Backlog'!$J366=E$2,'ProductSprint Backlog'!$I366=E$2), 'ProductSprint Backlog'!$F366, TRUE, 0)</f>
        <v/>
      </c>
      <c r="F366" s="4" t="str" cm="1">
        <f t="array" ref="F366">_xlfn.IFS('ProductSprint Backlog'!$F366="", "", AND('ProductSprint Backlog'!$J366&gt;F$2,'ProductSprint Backlog'!$I366&lt;=F$2), 'ProductSprint Backlog'!$F366 / MAX(1, 'ProductSprint Backlog'!$J366-'ProductSprint Backlog'!$I366), AND('ProductSprint Backlog'!$J366=F$2,'ProductSprint Backlog'!$I366=F$2), 'ProductSprint Backlog'!$F366, TRUE, 0)</f>
        <v/>
      </c>
      <c r="G366" s="4" t="str" cm="1">
        <f t="array" ref="G366">_xlfn.IFS('ProductSprint Backlog'!$F366="", "", AND('ProductSprint Backlog'!$J366&gt;G$2,'ProductSprint Backlog'!$I366&lt;=G$2), 'ProductSprint Backlog'!$F366 / MAX(1, 'ProductSprint Backlog'!$J366-'ProductSprint Backlog'!$I366), AND('ProductSprint Backlog'!$J366=G$2,'ProductSprint Backlog'!$I366=G$2), 'ProductSprint Backlog'!$F366, TRUE, 0)</f>
        <v/>
      </c>
      <c r="H366" s="4" t="str" cm="1">
        <f t="array" ref="H366">_xlfn.IFS('ProductSprint Backlog'!$F366="", "", AND('ProductSprint Backlog'!$J366&gt;H$2,'ProductSprint Backlog'!$I366&lt;=H$2), 'ProductSprint Backlog'!$F366 / MAX(1, 'ProductSprint Backlog'!$J366-'ProductSprint Backlog'!$I366), AND('ProductSprint Backlog'!$J366=H$2,'ProductSprint Backlog'!$I366=H$2), 'ProductSprint Backlog'!$F366, TRUE, 0)</f>
        <v/>
      </c>
      <c r="I366" s="4" t="str" cm="1">
        <f t="array" ref="I366">_xlfn.IFS('ProductSprint Backlog'!$F366="", "", AND('ProductSprint Backlog'!$J366&gt;I$2,'ProductSprint Backlog'!$I366&lt;=I$2), 'ProductSprint Backlog'!$F366 / MAX(1, 'ProductSprint Backlog'!$J366-'ProductSprint Backlog'!$I366), AND('ProductSprint Backlog'!$J366=I$2,'ProductSprint Backlog'!$I366=I$2), 'ProductSprint Backlog'!$F366, TRUE, 0)</f>
        <v/>
      </c>
      <c r="J366" s="4" t="str" cm="1">
        <f t="array" ref="J366">_xlfn.IFS('ProductSprint Backlog'!$F366="", "", AND('ProductSprint Backlog'!$J366&gt;J$2,'ProductSprint Backlog'!$I366&lt;=J$2), 'ProductSprint Backlog'!$F366 / MAX(1, 'ProductSprint Backlog'!$J366-'ProductSprint Backlog'!$I366), AND('ProductSprint Backlog'!$J366=J$2,'ProductSprint Backlog'!$I366=J$2), 'ProductSprint Backlog'!$F366, TRUE, 0)</f>
        <v/>
      </c>
      <c r="K366" s="4" t="str" cm="1">
        <f t="array" ref="K366">_xlfn.IFS('ProductSprint Backlog'!$F366="", "", AND('ProductSprint Backlog'!$J366&gt;K$2,'ProductSprint Backlog'!$I366&lt;=K$2), 'ProductSprint Backlog'!$F366 / MAX(1, 'ProductSprint Backlog'!$J366-'ProductSprint Backlog'!$I366), AND('ProductSprint Backlog'!$J366=K$2,'ProductSprint Backlog'!$I366=K$2), 'ProductSprint Backlog'!$F366, TRUE, 0)</f>
        <v/>
      </c>
      <c r="L366" s="4" t="str" cm="1">
        <f t="array" ref="L366">_xlfn.IFS('ProductSprint Backlog'!$F366="", "", AND('ProductSprint Backlog'!$J366&gt;L$2,'ProductSprint Backlog'!$I366&lt;=L$2), 'ProductSprint Backlog'!$F366 / MAX(1, 'ProductSprint Backlog'!$J366-'ProductSprint Backlog'!$I366), AND('ProductSprint Backlog'!$J366=L$2,'ProductSprint Backlog'!$I366=L$2), 'ProductSprint Backlog'!$F366, TRUE, 0)</f>
        <v/>
      </c>
      <c r="M366" s="4" t="str" cm="1">
        <f t="array" ref="M366">_xlfn.IFS('ProductSprint Backlog'!$F366="", "", AND('ProductSprint Backlog'!$J366&gt;M$2,'ProductSprint Backlog'!$I366&lt;=M$2), 'ProductSprint Backlog'!$F366 / MAX(1, 'ProductSprint Backlog'!$J366-'ProductSprint Backlog'!$I366), AND('ProductSprint Backlog'!$J366=M$2,'ProductSprint Backlog'!$I366=M$2), 'ProductSprint Backlog'!$F366, TRUE, 0)</f>
        <v/>
      </c>
      <c r="N366" s="4" t="str" cm="1">
        <f t="array" ref="N366">_xlfn.IFS('ProductSprint Backlog'!$F366="", "", AND('ProductSprint Backlog'!$J366&gt;N$2,'ProductSprint Backlog'!$I366&lt;=N$2), 'ProductSprint Backlog'!$F366 / MAX(1, 'ProductSprint Backlog'!$J366-'ProductSprint Backlog'!$I366), AND('ProductSprint Backlog'!$J366=N$2,'ProductSprint Backlog'!$I366=N$2), 'ProductSprint Backlog'!$F366, TRUE, 0)</f>
        <v/>
      </c>
      <c r="O366" s="4" t="str" cm="1">
        <f t="array" ref="O366">_xlfn.IFS('ProductSprint Backlog'!$F366="", "", AND('ProductSprint Backlog'!$J366&gt;O$2,'ProductSprint Backlog'!$I366&lt;=O$2), 'ProductSprint Backlog'!$F366 / MAX(1, 'ProductSprint Backlog'!$J366-'ProductSprint Backlog'!$I366), AND('ProductSprint Backlog'!$J366=O$2,'ProductSprint Backlog'!$I366=O$2), 'ProductSprint Backlog'!$F366, TRUE, 0)</f>
        <v/>
      </c>
      <c r="P366" s="4" t="str" cm="1">
        <f t="array" ref="P366">_xlfn.IFS('ProductSprint Backlog'!$F366="", "", AND('ProductSprint Backlog'!$J366&gt;P$2,'ProductSprint Backlog'!$I366&lt;=P$2), 'ProductSprint Backlog'!$F366 / MAX(1, 'ProductSprint Backlog'!$J366-'ProductSprint Backlog'!$I366), AND('ProductSprint Backlog'!$J366=P$2,'ProductSprint Backlog'!$I366=P$2), 'ProductSprint Backlog'!$F366, TRUE, 0)</f>
        <v/>
      </c>
      <c r="Q366" s="4" t="str" cm="1">
        <f t="array" ref="Q366">_xlfn.IFS('ProductSprint Backlog'!$F366="", "", AND('ProductSprint Backlog'!$J366&gt;Q$2,'ProductSprint Backlog'!$I366&lt;=Q$2), 'ProductSprint Backlog'!$F366 / MAX(1, 'ProductSprint Backlog'!$J366-'ProductSprint Backlog'!$I366), AND('ProductSprint Backlog'!$J366=Q$2,'ProductSprint Backlog'!$I366=Q$2), 'ProductSprint Backlog'!$F366, TRUE, 0)</f>
        <v/>
      </c>
    </row>
    <row r="367" spans="2:17" x14ac:dyDescent="0.2">
      <c r="B367" s="4" t="str" cm="1">
        <f t="array" ref="B367">_xlfn.IFS('ProductSprint Backlog'!$F367="", "", AND('ProductSprint Backlog'!$J367&gt;B$2,'ProductSprint Backlog'!$I367&lt;=B$2), 'ProductSprint Backlog'!$F367 / MAX(1, 'ProductSprint Backlog'!$J367-'ProductSprint Backlog'!$I367), AND('ProductSprint Backlog'!$J367=B$2,'ProductSprint Backlog'!$I367=B$2), 'ProductSprint Backlog'!$F367, TRUE, 0)</f>
        <v/>
      </c>
      <c r="C367" s="4" t="str" cm="1">
        <f t="array" ref="C367">_xlfn.IFS('ProductSprint Backlog'!$F367="", "", AND('ProductSprint Backlog'!$J367&gt;C$2,'ProductSprint Backlog'!$I367&lt;=C$2), 'ProductSprint Backlog'!$F367 / MAX(1, 'ProductSprint Backlog'!$J367-'ProductSprint Backlog'!$I367), AND('ProductSprint Backlog'!$J367=C$2,'ProductSprint Backlog'!$I367=C$2), 'ProductSprint Backlog'!$F367, TRUE, 0)</f>
        <v/>
      </c>
      <c r="D367" s="4" t="str" cm="1">
        <f t="array" ref="D367">_xlfn.IFS('ProductSprint Backlog'!$F367="", "", AND('ProductSprint Backlog'!$J367&gt;D$2,'ProductSprint Backlog'!$I367&lt;=D$2), 'ProductSprint Backlog'!$F367 / MAX(1, 'ProductSprint Backlog'!$J367-'ProductSprint Backlog'!$I367), AND('ProductSprint Backlog'!$J367=D$2,'ProductSprint Backlog'!$I367=D$2), 'ProductSprint Backlog'!$F367, TRUE, 0)</f>
        <v/>
      </c>
      <c r="E367" s="4" t="str" cm="1">
        <f t="array" ref="E367">_xlfn.IFS('ProductSprint Backlog'!$F367="", "", AND('ProductSprint Backlog'!$J367&gt;E$2,'ProductSprint Backlog'!$I367&lt;=E$2), 'ProductSprint Backlog'!$F367 / MAX(1, 'ProductSprint Backlog'!$J367-'ProductSprint Backlog'!$I367), AND('ProductSprint Backlog'!$J367=E$2,'ProductSprint Backlog'!$I367=E$2), 'ProductSprint Backlog'!$F367, TRUE, 0)</f>
        <v/>
      </c>
      <c r="F367" s="4" t="str" cm="1">
        <f t="array" ref="F367">_xlfn.IFS('ProductSprint Backlog'!$F367="", "", AND('ProductSprint Backlog'!$J367&gt;F$2,'ProductSprint Backlog'!$I367&lt;=F$2), 'ProductSprint Backlog'!$F367 / MAX(1, 'ProductSprint Backlog'!$J367-'ProductSprint Backlog'!$I367), AND('ProductSprint Backlog'!$J367=F$2,'ProductSprint Backlog'!$I367=F$2), 'ProductSprint Backlog'!$F367, TRUE, 0)</f>
        <v/>
      </c>
      <c r="G367" s="4" t="str" cm="1">
        <f t="array" ref="G367">_xlfn.IFS('ProductSprint Backlog'!$F367="", "", AND('ProductSprint Backlog'!$J367&gt;G$2,'ProductSprint Backlog'!$I367&lt;=G$2), 'ProductSprint Backlog'!$F367 / MAX(1, 'ProductSprint Backlog'!$J367-'ProductSprint Backlog'!$I367), AND('ProductSprint Backlog'!$J367=G$2,'ProductSprint Backlog'!$I367=G$2), 'ProductSprint Backlog'!$F367, TRUE, 0)</f>
        <v/>
      </c>
      <c r="H367" s="4" t="str" cm="1">
        <f t="array" ref="H367">_xlfn.IFS('ProductSprint Backlog'!$F367="", "", AND('ProductSprint Backlog'!$J367&gt;H$2,'ProductSprint Backlog'!$I367&lt;=H$2), 'ProductSprint Backlog'!$F367 / MAX(1, 'ProductSprint Backlog'!$J367-'ProductSprint Backlog'!$I367), AND('ProductSprint Backlog'!$J367=H$2,'ProductSprint Backlog'!$I367=H$2), 'ProductSprint Backlog'!$F367, TRUE, 0)</f>
        <v/>
      </c>
      <c r="I367" s="4" t="str" cm="1">
        <f t="array" ref="I367">_xlfn.IFS('ProductSprint Backlog'!$F367="", "", AND('ProductSprint Backlog'!$J367&gt;I$2,'ProductSprint Backlog'!$I367&lt;=I$2), 'ProductSprint Backlog'!$F367 / MAX(1, 'ProductSprint Backlog'!$J367-'ProductSprint Backlog'!$I367), AND('ProductSprint Backlog'!$J367=I$2,'ProductSprint Backlog'!$I367=I$2), 'ProductSprint Backlog'!$F367, TRUE, 0)</f>
        <v/>
      </c>
      <c r="J367" s="4" t="str" cm="1">
        <f t="array" ref="J367">_xlfn.IFS('ProductSprint Backlog'!$F367="", "", AND('ProductSprint Backlog'!$J367&gt;J$2,'ProductSprint Backlog'!$I367&lt;=J$2), 'ProductSprint Backlog'!$F367 / MAX(1, 'ProductSprint Backlog'!$J367-'ProductSprint Backlog'!$I367), AND('ProductSprint Backlog'!$J367=J$2,'ProductSprint Backlog'!$I367=J$2), 'ProductSprint Backlog'!$F367, TRUE, 0)</f>
        <v/>
      </c>
      <c r="K367" s="4" t="str" cm="1">
        <f t="array" ref="K367">_xlfn.IFS('ProductSprint Backlog'!$F367="", "", AND('ProductSprint Backlog'!$J367&gt;K$2,'ProductSprint Backlog'!$I367&lt;=K$2), 'ProductSprint Backlog'!$F367 / MAX(1, 'ProductSprint Backlog'!$J367-'ProductSprint Backlog'!$I367), AND('ProductSprint Backlog'!$J367=K$2,'ProductSprint Backlog'!$I367=K$2), 'ProductSprint Backlog'!$F367, TRUE, 0)</f>
        <v/>
      </c>
      <c r="L367" s="4" t="str" cm="1">
        <f t="array" ref="L367">_xlfn.IFS('ProductSprint Backlog'!$F367="", "", AND('ProductSprint Backlog'!$J367&gt;L$2,'ProductSprint Backlog'!$I367&lt;=L$2), 'ProductSprint Backlog'!$F367 / MAX(1, 'ProductSprint Backlog'!$J367-'ProductSprint Backlog'!$I367), AND('ProductSprint Backlog'!$J367=L$2,'ProductSprint Backlog'!$I367=L$2), 'ProductSprint Backlog'!$F367, TRUE, 0)</f>
        <v/>
      </c>
      <c r="M367" s="4" t="str" cm="1">
        <f t="array" ref="M367">_xlfn.IFS('ProductSprint Backlog'!$F367="", "", AND('ProductSprint Backlog'!$J367&gt;M$2,'ProductSprint Backlog'!$I367&lt;=M$2), 'ProductSprint Backlog'!$F367 / MAX(1, 'ProductSprint Backlog'!$J367-'ProductSprint Backlog'!$I367), AND('ProductSprint Backlog'!$J367=M$2,'ProductSprint Backlog'!$I367=M$2), 'ProductSprint Backlog'!$F367, TRUE, 0)</f>
        <v/>
      </c>
      <c r="N367" s="4" t="str" cm="1">
        <f t="array" ref="N367">_xlfn.IFS('ProductSprint Backlog'!$F367="", "", AND('ProductSprint Backlog'!$J367&gt;N$2,'ProductSprint Backlog'!$I367&lt;=N$2), 'ProductSprint Backlog'!$F367 / MAX(1, 'ProductSprint Backlog'!$J367-'ProductSprint Backlog'!$I367), AND('ProductSprint Backlog'!$J367=N$2,'ProductSprint Backlog'!$I367=N$2), 'ProductSprint Backlog'!$F367, TRUE, 0)</f>
        <v/>
      </c>
      <c r="O367" s="4" t="str" cm="1">
        <f t="array" ref="O367">_xlfn.IFS('ProductSprint Backlog'!$F367="", "", AND('ProductSprint Backlog'!$J367&gt;O$2,'ProductSprint Backlog'!$I367&lt;=O$2), 'ProductSprint Backlog'!$F367 / MAX(1, 'ProductSprint Backlog'!$J367-'ProductSprint Backlog'!$I367), AND('ProductSprint Backlog'!$J367=O$2,'ProductSprint Backlog'!$I367=O$2), 'ProductSprint Backlog'!$F367, TRUE, 0)</f>
        <v/>
      </c>
      <c r="P367" s="4" t="str" cm="1">
        <f t="array" ref="P367">_xlfn.IFS('ProductSprint Backlog'!$F367="", "", AND('ProductSprint Backlog'!$J367&gt;P$2,'ProductSprint Backlog'!$I367&lt;=P$2), 'ProductSprint Backlog'!$F367 / MAX(1, 'ProductSprint Backlog'!$J367-'ProductSprint Backlog'!$I367), AND('ProductSprint Backlog'!$J367=P$2,'ProductSprint Backlog'!$I367=P$2), 'ProductSprint Backlog'!$F367, TRUE, 0)</f>
        <v/>
      </c>
      <c r="Q367" s="4" t="str" cm="1">
        <f t="array" ref="Q367">_xlfn.IFS('ProductSprint Backlog'!$F367="", "", AND('ProductSprint Backlog'!$J367&gt;Q$2,'ProductSprint Backlog'!$I367&lt;=Q$2), 'ProductSprint Backlog'!$F367 / MAX(1, 'ProductSprint Backlog'!$J367-'ProductSprint Backlog'!$I367), AND('ProductSprint Backlog'!$J367=Q$2,'ProductSprint Backlog'!$I367=Q$2), 'ProductSprint Backlog'!$F367, TRUE, 0)</f>
        <v/>
      </c>
    </row>
    <row r="368" spans="2:17" x14ac:dyDescent="0.2">
      <c r="B368" s="4" t="str" cm="1">
        <f t="array" ref="B368">_xlfn.IFS('ProductSprint Backlog'!$F368="", "", AND('ProductSprint Backlog'!$J368&gt;B$2,'ProductSprint Backlog'!$I368&lt;=B$2), 'ProductSprint Backlog'!$F368 / MAX(1, 'ProductSprint Backlog'!$J368-'ProductSprint Backlog'!$I368), AND('ProductSprint Backlog'!$J368=B$2,'ProductSprint Backlog'!$I368=B$2), 'ProductSprint Backlog'!$F368, TRUE, 0)</f>
        <v/>
      </c>
      <c r="C368" s="4" t="str" cm="1">
        <f t="array" ref="C368">_xlfn.IFS('ProductSprint Backlog'!$F368="", "", AND('ProductSprint Backlog'!$J368&gt;C$2,'ProductSprint Backlog'!$I368&lt;=C$2), 'ProductSprint Backlog'!$F368 / MAX(1, 'ProductSprint Backlog'!$J368-'ProductSprint Backlog'!$I368), AND('ProductSprint Backlog'!$J368=C$2,'ProductSprint Backlog'!$I368=C$2), 'ProductSprint Backlog'!$F368, TRUE, 0)</f>
        <v/>
      </c>
      <c r="D368" s="4" t="str" cm="1">
        <f t="array" ref="D368">_xlfn.IFS('ProductSprint Backlog'!$F368="", "", AND('ProductSprint Backlog'!$J368&gt;D$2,'ProductSprint Backlog'!$I368&lt;=D$2), 'ProductSprint Backlog'!$F368 / MAX(1, 'ProductSprint Backlog'!$J368-'ProductSprint Backlog'!$I368), AND('ProductSprint Backlog'!$J368=D$2,'ProductSprint Backlog'!$I368=D$2), 'ProductSprint Backlog'!$F368, TRUE, 0)</f>
        <v/>
      </c>
      <c r="E368" s="4" t="str" cm="1">
        <f t="array" ref="E368">_xlfn.IFS('ProductSprint Backlog'!$F368="", "", AND('ProductSprint Backlog'!$J368&gt;E$2,'ProductSprint Backlog'!$I368&lt;=E$2), 'ProductSprint Backlog'!$F368 / MAX(1, 'ProductSprint Backlog'!$J368-'ProductSprint Backlog'!$I368), AND('ProductSprint Backlog'!$J368=E$2,'ProductSprint Backlog'!$I368=E$2), 'ProductSprint Backlog'!$F368, TRUE, 0)</f>
        <v/>
      </c>
      <c r="F368" s="4" t="str" cm="1">
        <f t="array" ref="F368">_xlfn.IFS('ProductSprint Backlog'!$F368="", "", AND('ProductSprint Backlog'!$J368&gt;F$2,'ProductSprint Backlog'!$I368&lt;=F$2), 'ProductSprint Backlog'!$F368 / MAX(1, 'ProductSprint Backlog'!$J368-'ProductSprint Backlog'!$I368), AND('ProductSprint Backlog'!$J368=F$2,'ProductSprint Backlog'!$I368=F$2), 'ProductSprint Backlog'!$F368, TRUE, 0)</f>
        <v/>
      </c>
      <c r="G368" s="4" t="str" cm="1">
        <f t="array" ref="G368">_xlfn.IFS('ProductSprint Backlog'!$F368="", "", AND('ProductSprint Backlog'!$J368&gt;G$2,'ProductSprint Backlog'!$I368&lt;=G$2), 'ProductSprint Backlog'!$F368 / MAX(1, 'ProductSprint Backlog'!$J368-'ProductSprint Backlog'!$I368), AND('ProductSprint Backlog'!$J368=G$2,'ProductSprint Backlog'!$I368=G$2), 'ProductSprint Backlog'!$F368, TRUE, 0)</f>
        <v/>
      </c>
      <c r="H368" s="4" t="str" cm="1">
        <f t="array" ref="H368">_xlfn.IFS('ProductSprint Backlog'!$F368="", "", AND('ProductSprint Backlog'!$J368&gt;H$2,'ProductSprint Backlog'!$I368&lt;=H$2), 'ProductSprint Backlog'!$F368 / MAX(1, 'ProductSprint Backlog'!$J368-'ProductSprint Backlog'!$I368), AND('ProductSprint Backlog'!$J368=H$2,'ProductSprint Backlog'!$I368=H$2), 'ProductSprint Backlog'!$F368, TRUE, 0)</f>
        <v/>
      </c>
      <c r="I368" s="4" t="str" cm="1">
        <f t="array" ref="I368">_xlfn.IFS('ProductSprint Backlog'!$F368="", "", AND('ProductSprint Backlog'!$J368&gt;I$2,'ProductSprint Backlog'!$I368&lt;=I$2), 'ProductSprint Backlog'!$F368 / MAX(1, 'ProductSprint Backlog'!$J368-'ProductSprint Backlog'!$I368), AND('ProductSprint Backlog'!$J368=I$2,'ProductSprint Backlog'!$I368=I$2), 'ProductSprint Backlog'!$F368, TRUE, 0)</f>
        <v/>
      </c>
      <c r="J368" s="4" t="str" cm="1">
        <f t="array" ref="J368">_xlfn.IFS('ProductSprint Backlog'!$F368="", "", AND('ProductSprint Backlog'!$J368&gt;J$2,'ProductSprint Backlog'!$I368&lt;=J$2), 'ProductSprint Backlog'!$F368 / MAX(1, 'ProductSprint Backlog'!$J368-'ProductSprint Backlog'!$I368), AND('ProductSprint Backlog'!$J368=J$2,'ProductSprint Backlog'!$I368=J$2), 'ProductSprint Backlog'!$F368, TRUE, 0)</f>
        <v/>
      </c>
      <c r="K368" s="4" t="str" cm="1">
        <f t="array" ref="K368">_xlfn.IFS('ProductSprint Backlog'!$F368="", "", AND('ProductSprint Backlog'!$J368&gt;K$2,'ProductSprint Backlog'!$I368&lt;=K$2), 'ProductSprint Backlog'!$F368 / MAX(1, 'ProductSprint Backlog'!$J368-'ProductSprint Backlog'!$I368), AND('ProductSprint Backlog'!$J368=K$2,'ProductSprint Backlog'!$I368=K$2), 'ProductSprint Backlog'!$F368, TRUE, 0)</f>
        <v/>
      </c>
      <c r="L368" s="4" t="str" cm="1">
        <f t="array" ref="L368">_xlfn.IFS('ProductSprint Backlog'!$F368="", "", AND('ProductSprint Backlog'!$J368&gt;L$2,'ProductSprint Backlog'!$I368&lt;=L$2), 'ProductSprint Backlog'!$F368 / MAX(1, 'ProductSprint Backlog'!$J368-'ProductSprint Backlog'!$I368), AND('ProductSprint Backlog'!$J368=L$2,'ProductSprint Backlog'!$I368=L$2), 'ProductSprint Backlog'!$F368, TRUE, 0)</f>
        <v/>
      </c>
      <c r="M368" s="4" t="str" cm="1">
        <f t="array" ref="M368">_xlfn.IFS('ProductSprint Backlog'!$F368="", "", AND('ProductSprint Backlog'!$J368&gt;M$2,'ProductSprint Backlog'!$I368&lt;=M$2), 'ProductSprint Backlog'!$F368 / MAX(1, 'ProductSprint Backlog'!$J368-'ProductSprint Backlog'!$I368), AND('ProductSprint Backlog'!$J368=M$2,'ProductSprint Backlog'!$I368=M$2), 'ProductSprint Backlog'!$F368, TRUE, 0)</f>
        <v/>
      </c>
      <c r="N368" s="4" t="str" cm="1">
        <f t="array" ref="N368">_xlfn.IFS('ProductSprint Backlog'!$F368="", "", AND('ProductSprint Backlog'!$J368&gt;N$2,'ProductSprint Backlog'!$I368&lt;=N$2), 'ProductSprint Backlog'!$F368 / MAX(1, 'ProductSprint Backlog'!$J368-'ProductSprint Backlog'!$I368), AND('ProductSprint Backlog'!$J368=N$2,'ProductSprint Backlog'!$I368=N$2), 'ProductSprint Backlog'!$F368, TRUE, 0)</f>
        <v/>
      </c>
      <c r="O368" s="4" t="str" cm="1">
        <f t="array" ref="O368">_xlfn.IFS('ProductSprint Backlog'!$F368="", "", AND('ProductSprint Backlog'!$J368&gt;O$2,'ProductSprint Backlog'!$I368&lt;=O$2), 'ProductSprint Backlog'!$F368 / MAX(1, 'ProductSprint Backlog'!$J368-'ProductSprint Backlog'!$I368), AND('ProductSprint Backlog'!$J368=O$2,'ProductSprint Backlog'!$I368=O$2), 'ProductSprint Backlog'!$F368, TRUE, 0)</f>
        <v/>
      </c>
      <c r="P368" s="4" t="str" cm="1">
        <f t="array" ref="P368">_xlfn.IFS('ProductSprint Backlog'!$F368="", "", AND('ProductSprint Backlog'!$J368&gt;P$2,'ProductSprint Backlog'!$I368&lt;=P$2), 'ProductSprint Backlog'!$F368 / MAX(1, 'ProductSprint Backlog'!$J368-'ProductSprint Backlog'!$I368), AND('ProductSprint Backlog'!$J368=P$2,'ProductSprint Backlog'!$I368=P$2), 'ProductSprint Backlog'!$F368, TRUE, 0)</f>
        <v/>
      </c>
      <c r="Q368" s="4" t="str" cm="1">
        <f t="array" ref="Q368">_xlfn.IFS('ProductSprint Backlog'!$F368="", "", AND('ProductSprint Backlog'!$J368&gt;Q$2,'ProductSprint Backlog'!$I368&lt;=Q$2), 'ProductSprint Backlog'!$F368 / MAX(1, 'ProductSprint Backlog'!$J368-'ProductSprint Backlog'!$I368), AND('ProductSprint Backlog'!$J368=Q$2,'ProductSprint Backlog'!$I368=Q$2), 'ProductSprint Backlog'!$F368, TRUE, 0)</f>
        <v/>
      </c>
    </row>
    <row r="369" spans="2:17" x14ac:dyDescent="0.2">
      <c r="B369" s="4" t="str" cm="1">
        <f t="array" ref="B369">_xlfn.IFS('ProductSprint Backlog'!$F369="", "", AND('ProductSprint Backlog'!$J369&gt;B$2,'ProductSprint Backlog'!$I369&lt;=B$2), 'ProductSprint Backlog'!$F369 / MAX(1, 'ProductSprint Backlog'!$J369-'ProductSprint Backlog'!$I369), AND('ProductSprint Backlog'!$J369=B$2,'ProductSprint Backlog'!$I369=B$2), 'ProductSprint Backlog'!$F369, TRUE, 0)</f>
        <v/>
      </c>
      <c r="C369" s="4" t="str" cm="1">
        <f t="array" ref="C369">_xlfn.IFS('ProductSprint Backlog'!$F369="", "", AND('ProductSprint Backlog'!$J369&gt;C$2,'ProductSprint Backlog'!$I369&lt;=C$2), 'ProductSprint Backlog'!$F369 / MAX(1, 'ProductSprint Backlog'!$J369-'ProductSprint Backlog'!$I369), AND('ProductSprint Backlog'!$J369=C$2,'ProductSprint Backlog'!$I369=C$2), 'ProductSprint Backlog'!$F369, TRUE, 0)</f>
        <v/>
      </c>
      <c r="D369" s="4" t="str" cm="1">
        <f t="array" ref="D369">_xlfn.IFS('ProductSprint Backlog'!$F369="", "", AND('ProductSprint Backlog'!$J369&gt;D$2,'ProductSprint Backlog'!$I369&lt;=D$2), 'ProductSprint Backlog'!$F369 / MAX(1, 'ProductSprint Backlog'!$J369-'ProductSprint Backlog'!$I369), AND('ProductSprint Backlog'!$J369=D$2,'ProductSprint Backlog'!$I369=D$2), 'ProductSprint Backlog'!$F369, TRUE, 0)</f>
        <v/>
      </c>
      <c r="E369" s="4" t="str" cm="1">
        <f t="array" ref="E369">_xlfn.IFS('ProductSprint Backlog'!$F369="", "", AND('ProductSprint Backlog'!$J369&gt;E$2,'ProductSprint Backlog'!$I369&lt;=E$2), 'ProductSprint Backlog'!$F369 / MAX(1, 'ProductSprint Backlog'!$J369-'ProductSprint Backlog'!$I369), AND('ProductSprint Backlog'!$J369=E$2,'ProductSprint Backlog'!$I369=E$2), 'ProductSprint Backlog'!$F369, TRUE, 0)</f>
        <v/>
      </c>
      <c r="F369" s="4" t="str" cm="1">
        <f t="array" ref="F369">_xlfn.IFS('ProductSprint Backlog'!$F369="", "", AND('ProductSprint Backlog'!$J369&gt;F$2,'ProductSprint Backlog'!$I369&lt;=F$2), 'ProductSprint Backlog'!$F369 / MAX(1, 'ProductSprint Backlog'!$J369-'ProductSprint Backlog'!$I369), AND('ProductSprint Backlog'!$J369=F$2,'ProductSprint Backlog'!$I369=F$2), 'ProductSprint Backlog'!$F369, TRUE, 0)</f>
        <v/>
      </c>
      <c r="G369" s="4" t="str" cm="1">
        <f t="array" ref="G369">_xlfn.IFS('ProductSprint Backlog'!$F369="", "", AND('ProductSprint Backlog'!$J369&gt;G$2,'ProductSprint Backlog'!$I369&lt;=G$2), 'ProductSprint Backlog'!$F369 / MAX(1, 'ProductSprint Backlog'!$J369-'ProductSprint Backlog'!$I369), AND('ProductSprint Backlog'!$J369=G$2,'ProductSprint Backlog'!$I369=G$2), 'ProductSprint Backlog'!$F369, TRUE, 0)</f>
        <v/>
      </c>
      <c r="H369" s="4" t="str" cm="1">
        <f t="array" ref="H369">_xlfn.IFS('ProductSprint Backlog'!$F369="", "", AND('ProductSprint Backlog'!$J369&gt;H$2,'ProductSprint Backlog'!$I369&lt;=H$2), 'ProductSprint Backlog'!$F369 / MAX(1, 'ProductSprint Backlog'!$J369-'ProductSprint Backlog'!$I369), AND('ProductSprint Backlog'!$J369=H$2,'ProductSprint Backlog'!$I369=H$2), 'ProductSprint Backlog'!$F369, TRUE, 0)</f>
        <v/>
      </c>
      <c r="I369" s="4" t="str" cm="1">
        <f t="array" ref="I369">_xlfn.IFS('ProductSprint Backlog'!$F369="", "", AND('ProductSprint Backlog'!$J369&gt;I$2,'ProductSprint Backlog'!$I369&lt;=I$2), 'ProductSprint Backlog'!$F369 / MAX(1, 'ProductSprint Backlog'!$J369-'ProductSprint Backlog'!$I369), AND('ProductSprint Backlog'!$J369=I$2,'ProductSprint Backlog'!$I369=I$2), 'ProductSprint Backlog'!$F369, TRUE, 0)</f>
        <v/>
      </c>
      <c r="J369" s="4" t="str" cm="1">
        <f t="array" ref="J369">_xlfn.IFS('ProductSprint Backlog'!$F369="", "", AND('ProductSprint Backlog'!$J369&gt;J$2,'ProductSprint Backlog'!$I369&lt;=J$2), 'ProductSprint Backlog'!$F369 / MAX(1, 'ProductSprint Backlog'!$J369-'ProductSprint Backlog'!$I369), AND('ProductSprint Backlog'!$J369=J$2,'ProductSprint Backlog'!$I369=J$2), 'ProductSprint Backlog'!$F369, TRUE, 0)</f>
        <v/>
      </c>
      <c r="K369" s="4" t="str" cm="1">
        <f t="array" ref="K369">_xlfn.IFS('ProductSprint Backlog'!$F369="", "", AND('ProductSprint Backlog'!$J369&gt;K$2,'ProductSprint Backlog'!$I369&lt;=K$2), 'ProductSprint Backlog'!$F369 / MAX(1, 'ProductSprint Backlog'!$J369-'ProductSprint Backlog'!$I369), AND('ProductSprint Backlog'!$J369=K$2,'ProductSprint Backlog'!$I369=K$2), 'ProductSprint Backlog'!$F369, TRUE, 0)</f>
        <v/>
      </c>
      <c r="L369" s="4" t="str" cm="1">
        <f t="array" ref="L369">_xlfn.IFS('ProductSprint Backlog'!$F369="", "", AND('ProductSprint Backlog'!$J369&gt;L$2,'ProductSprint Backlog'!$I369&lt;=L$2), 'ProductSprint Backlog'!$F369 / MAX(1, 'ProductSprint Backlog'!$J369-'ProductSprint Backlog'!$I369), AND('ProductSprint Backlog'!$J369=L$2,'ProductSprint Backlog'!$I369=L$2), 'ProductSprint Backlog'!$F369, TRUE, 0)</f>
        <v/>
      </c>
      <c r="M369" s="4" t="str" cm="1">
        <f t="array" ref="M369">_xlfn.IFS('ProductSprint Backlog'!$F369="", "", AND('ProductSprint Backlog'!$J369&gt;M$2,'ProductSprint Backlog'!$I369&lt;=M$2), 'ProductSprint Backlog'!$F369 / MAX(1, 'ProductSprint Backlog'!$J369-'ProductSprint Backlog'!$I369), AND('ProductSprint Backlog'!$J369=M$2,'ProductSprint Backlog'!$I369=M$2), 'ProductSprint Backlog'!$F369, TRUE, 0)</f>
        <v/>
      </c>
      <c r="N369" s="4" t="str" cm="1">
        <f t="array" ref="N369">_xlfn.IFS('ProductSprint Backlog'!$F369="", "", AND('ProductSprint Backlog'!$J369&gt;N$2,'ProductSprint Backlog'!$I369&lt;=N$2), 'ProductSprint Backlog'!$F369 / MAX(1, 'ProductSprint Backlog'!$J369-'ProductSprint Backlog'!$I369), AND('ProductSprint Backlog'!$J369=N$2,'ProductSprint Backlog'!$I369=N$2), 'ProductSprint Backlog'!$F369, TRUE, 0)</f>
        <v/>
      </c>
      <c r="O369" s="4" t="str" cm="1">
        <f t="array" ref="O369">_xlfn.IFS('ProductSprint Backlog'!$F369="", "", AND('ProductSprint Backlog'!$J369&gt;O$2,'ProductSprint Backlog'!$I369&lt;=O$2), 'ProductSprint Backlog'!$F369 / MAX(1, 'ProductSprint Backlog'!$J369-'ProductSprint Backlog'!$I369), AND('ProductSprint Backlog'!$J369=O$2,'ProductSprint Backlog'!$I369=O$2), 'ProductSprint Backlog'!$F369, TRUE, 0)</f>
        <v/>
      </c>
      <c r="P369" s="4" t="str" cm="1">
        <f t="array" ref="P369">_xlfn.IFS('ProductSprint Backlog'!$F369="", "", AND('ProductSprint Backlog'!$J369&gt;P$2,'ProductSprint Backlog'!$I369&lt;=P$2), 'ProductSprint Backlog'!$F369 / MAX(1, 'ProductSprint Backlog'!$J369-'ProductSprint Backlog'!$I369), AND('ProductSprint Backlog'!$J369=P$2,'ProductSprint Backlog'!$I369=P$2), 'ProductSprint Backlog'!$F369, TRUE, 0)</f>
        <v/>
      </c>
      <c r="Q369" s="4" t="str" cm="1">
        <f t="array" ref="Q369">_xlfn.IFS('ProductSprint Backlog'!$F369="", "", AND('ProductSprint Backlog'!$J369&gt;Q$2,'ProductSprint Backlog'!$I369&lt;=Q$2), 'ProductSprint Backlog'!$F369 / MAX(1, 'ProductSprint Backlog'!$J369-'ProductSprint Backlog'!$I369), AND('ProductSprint Backlog'!$J369=Q$2,'ProductSprint Backlog'!$I369=Q$2), 'ProductSprint Backlog'!$F369, TRUE, 0)</f>
        <v/>
      </c>
    </row>
    <row r="370" spans="2:17" x14ac:dyDescent="0.2">
      <c r="B370" s="4" t="str" cm="1">
        <f t="array" ref="B370">_xlfn.IFS('ProductSprint Backlog'!$F370="", "", AND('ProductSprint Backlog'!$J370&gt;B$2,'ProductSprint Backlog'!$I370&lt;=B$2), 'ProductSprint Backlog'!$F370 / MAX(1, 'ProductSprint Backlog'!$J370-'ProductSprint Backlog'!$I370), AND('ProductSprint Backlog'!$J370=B$2,'ProductSprint Backlog'!$I370=B$2), 'ProductSprint Backlog'!$F370, TRUE, 0)</f>
        <v/>
      </c>
      <c r="C370" s="4" t="str" cm="1">
        <f t="array" ref="C370">_xlfn.IFS('ProductSprint Backlog'!$F370="", "", AND('ProductSprint Backlog'!$J370&gt;C$2,'ProductSprint Backlog'!$I370&lt;=C$2), 'ProductSprint Backlog'!$F370 / MAX(1, 'ProductSprint Backlog'!$J370-'ProductSprint Backlog'!$I370), AND('ProductSprint Backlog'!$J370=C$2,'ProductSprint Backlog'!$I370=C$2), 'ProductSprint Backlog'!$F370, TRUE, 0)</f>
        <v/>
      </c>
      <c r="D370" s="4" t="str" cm="1">
        <f t="array" ref="D370">_xlfn.IFS('ProductSprint Backlog'!$F370="", "", AND('ProductSprint Backlog'!$J370&gt;D$2,'ProductSprint Backlog'!$I370&lt;=D$2), 'ProductSprint Backlog'!$F370 / MAX(1, 'ProductSprint Backlog'!$J370-'ProductSprint Backlog'!$I370), AND('ProductSprint Backlog'!$J370=D$2,'ProductSprint Backlog'!$I370=D$2), 'ProductSprint Backlog'!$F370, TRUE, 0)</f>
        <v/>
      </c>
      <c r="E370" s="4" t="str" cm="1">
        <f t="array" ref="E370">_xlfn.IFS('ProductSprint Backlog'!$F370="", "", AND('ProductSprint Backlog'!$J370&gt;E$2,'ProductSprint Backlog'!$I370&lt;=E$2), 'ProductSprint Backlog'!$F370 / MAX(1, 'ProductSprint Backlog'!$J370-'ProductSprint Backlog'!$I370), AND('ProductSprint Backlog'!$J370=E$2,'ProductSprint Backlog'!$I370=E$2), 'ProductSprint Backlog'!$F370, TRUE, 0)</f>
        <v/>
      </c>
      <c r="F370" s="4" t="str" cm="1">
        <f t="array" ref="F370">_xlfn.IFS('ProductSprint Backlog'!$F370="", "", AND('ProductSprint Backlog'!$J370&gt;F$2,'ProductSprint Backlog'!$I370&lt;=F$2), 'ProductSprint Backlog'!$F370 / MAX(1, 'ProductSprint Backlog'!$J370-'ProductSprint Backlog'!$I370), AND('ProductSprint Backlog'!$J370=F$2,'ProductSprint Backlog'!$I370=F$2), 'ProductSprint Backlog'!$F370, TRUE, 0)</f>
        <v/>
      </c>
      <c r="G370" s="4" t="str" cm="1">
        <f t="array" ref="G370">_xlfn.IFS('ProductSprint Backlog'!$F370="", "", AND('ProductSprint Backlog'!$J370&gt;G$2,'ProductSprint Backlog'!$I370&lt;=G$2), 'ProductSprint Backlog'!$F370 / MAX(1, 'ProductSprint Backlog'!$J370-'ProductSprint Backlog'!$I370), AND('ProductSprint Backlog'!$J370=G$2,'ProductSprint Backlog'!$I370=G$2), 'ProductSprint Backlog'!$F370, TRUE, 0)</f>
        <v/>
      </c>
      <c r="H370" s="4" t="str" cm="1">
        <f t="array" ref="H370">_xlfn.IFS('ProductSprint Backlog'!$F370="", "", AND('ProductSprint Backlog'!$J370&gt;H$2,'ProductSprint Backlog'!$I370&lt;=H$2), 'ProductSprint Backlog'!$F370 / MAX(1, 'ProductSprint Backlog'!$J370-'ProductSprint Backlog'!$I370), AND('ProductSprint Backlog'!$J370=H$2,'ProductSprint Backlog'!$I370=H$2), 'ProductSprint Backlog'!$F370, TRUE, 0)</f>
        <v/>
      </c>
      <c r="I370" s="4" t="str" cm="1">
        <f t="array" ref="I370">_xlfn.IFS('ProductSprint Backlog'!$F370="", "", AND('ProductSprint Backlog'!$J370&gt;I$2,'ProductSprint Backlog'!$I370&lt;=I$2), 'ProductSprint Backlog'!$F370 / MAX(1, 'ProductSprint Backlog'!$J370-'ProductSprint Backlog'!$I370), AND('ProductSprint Backlog'!$J370=I$2,'ProductSprint Backlog'!$I370=I$2), 'ProductSprint Backlog'!$F370, TRUE, 0)</f>
        <v/>
      </c>
      <c r="J370" s="4" t="str" cm="1">
        <f t="array" ref="J370">_xlfn.IFS('ProductSprint Backlog'!$F370="", "", AND('ProductSprint Backlog'!$J370&gt;J$2,'ProductSprint Backlog'!$I370&lt;=J$2), 'ProductSprint Backlog'!$F370 / MAX(1, 'ProductSprint Backlog'!$J370-'ProductSprint Backlog'!$I370), AND('ProductSprint Backlog'!$J370=J$2,'ProductSprint Backlog'!$I370=J$2), 'ProductSprint Backlog'!$F370, TRUE, 0)</f>
        <v/>
      </c>
      <c r="K370" s="4" t="str" cm="1">
        <f t="array" ref="K370">_xlfn.IFS('ProductSprint Backlog'!$F370="", "", AND('ProductSprint Backlog'!$J370&gt;K$2,'ProductSprint Backlog'!$I370&lt;=K$2), 'ProductSprint Backlog'!$F370 / MAX(1, 'ProductSprint Backlog'!$J370-'ProductSprint Backlog'!$I370), AND('ProductSprint Backlog'!$J370=K$2,'ProductSprint Backlog'!$I370=K$2), 'ProductSprint Backlog'!$F370, TRUE, 0)</f>
        <v/>
      </c>
      <c r="L370" s="4" t="str" cm="1">
        <f t="array" ref="L370">_xlfn.IFS('ProductSprint Backlog'!$F370="", "", AND('ProductSprint Backlog'!$J370&gt;L$2,'ProductSprint Backlog'!$I370&lt;=L$2), 'ProductSprint Backlog'!$F370 / MAX(1, 'ProductSprint Backlog'!$J370-'ProductSprint Backlog'!$I370), AND('ProductSprint Backlog'!$J370=L$2,'ProductSprint Backlog'!$I370=L$2), 'ProductSprint Backlog'!$F370, TRUE, 0)</f>
        <v/>
      </c>
      <c r="M370" s="4" t="str" cm="1">
        <f t="array" ref="M370">_xlfn.IFS('ProductSprint Backlog'!$F370="", "", AND('ProductSprint Backlog'!$J370&gt;M$2,'ProductSprint Backlog'!$I370&lt;=M$2), 'ProductSprint Backlog'!$F370 / MAX(1, 'ProductSprint Backlog'!$J370-'ProductSprint Backlog'!$I370), AND('ProductSprint Backlog'!$J370=M$2,'ProductSprint Backlog'!$I370=M$2), 'ProductSprint Backlog'!$F370, TRUE, 0)</f>
        <v/>
      </c>
      <c r="N370" s="4" t="str" cm="1">
        <f t="array" ref="N370">_xlfn.IFS('ProductSprint Backlog'!$F370="", "", AND('ProductSprint Backlog'!$J370&gt;N$2,'ProductSprint Backlog'!$I370&lt;=N$2), 'ProductSprint Backlog'!$F370 / MAX(1, 'ProductSprint Backlog'!$J370-'ProductSprint Backlog'!$I370), AND('ProductSprint Backlog'!$J370=N$2,'ProductSprint Backlog'!$I370=N$2), 'ProductSprint Backlog'!$F370, TRUE, 0)</f>
        <v/>
      </c>
      <c r="O370" s="4" t="str" cm="1">
        <f t="array" ref="O370">_xlfn.IFS('ProductSprint Backlog'!$F370="", "", AND('ProductSprint Backlog'!$J370&gt;O$2,'ProductSprint Backlog'!$I370&lt;=O$2), 'ProductSprint Backlog'!$F370 / MAX(1, 'ProductSprint Backlog'!$J370-'ProductSprint Backlog'!$I370), AND('ProductSprint Backlog'!$J370=O$2,'ProductSprint Backlog'!$I370=O$2), 'ProductSprint Backlog'!$F370, TRUE, 0)</f>
        <v/>
      </c>
      <c r="P370" s="4" t="str" cm="1">
        <f t="array" ref="P370">_xlfn.IFS('ProductSprint Backlog'!$F370="", "", AND('ProductSprint Backlog'!$J370&gt;P$2,'ProductSprint Backlog'!$I370&lt;=P$2), 'ProductSprint Backlog'!$F370 / MAX(1, 'ProductSprint Backlog'!$J370-'ProductSprint Backlog'!$I370), AND('ProductSprint Backlog'!$J370=P$2,'ProductSprint Backlog'!$I370=P$2), 'ProductSprint Backlog'!$F370, TRUE, 0)</f>
        <v/>
      </c>
      <c r="Q370" s="4" t="str" cm="1">
        <f t="array" ref="Q370">_xlfn.IFS('ProductSprint Backlog'!$F370="", "", AND('ProductSprint Backlog'!$J370&gt;Q$2,'ProductSprint Backlog'!$I370&lt;=Q$2), 'ProductSprint Backlog'!$F370 / MAX(1, 'ProductSprint Backlog'!$J370-'ProductSprint Backlog'!$I370), AND('ProductSprint Backlog'!$J370=Q$2,'ProductSprint Backlog'!$I370=Q$2), 'ProductSprint Backlog'!$F370, TRUE, 0)</f>
        <v/>
      </c>
    </row>
    <row r="371" spans="2:17" x14ac:dyDescent="0.2">
      <c r="B371" s="4" t="str" cm="1">
        <f t="array" ref="B371">_xlfn.IFS('ProductSprint Backlog'!$F371="", "", AND('ProductSprint Backlog'!$J371&gt;B$2,'ProductSprint Backlog'!$I371&lt;=B$2), 'ProductSprint Backlog'!$F371 / MAX(1, 'ProductSprint Backlog'!$J371-'ProductSprint Backlog'!$I371), AND('ProductSprint Backlog'!$J371=B$2,'ProductSprint Backlog'!$I371=B$2), 'ProductSprint Backlog'!$F371, TRUE, 0)</f>
        <v/>
      </c>
      <c r="C371" s="4" t="str" cm="1">
        <f t="array" ref="C371">_xlfn.IFS('ProductSprint Backlog'!$F371="", "", AND('ProductSprint Backlog'!$J371&gt;C$2,'ProductSprint Backlog'!$I371&lt;=C$2), 'ProductSprint Backlog'!$F371 / MAX(1, 'ProductSprint Backlog'!$J371-'ProductSprint Backlog'!$I371), AND('ProductSprint Backlog'!$J371=C$2,'ProductSprint Backlog'!$I371=C$2), 'ProductSprint Backlog'!$F371, TRUE, 0)</f>
        <v/>
      </c>
      <c r="D371" s="4" t="str" cm="1">
        <f t="array" ref="D371">_xlfn.IFS('ProductSprint Backlog'!$F371="", "", AND('ProductSprint Backlog'!$J371&gt;D$2,'ProductSprint Backlog'!$I371&lt;=D$2), 'ProductSprint Backlog'!$F371 / MAX(1, 'ProductSprint Backlog'!$J371-'ProductSprint Backlog'!$I371), AND('ProductSprint Backlog'!$J371=D$2,'ProductSprint Backlog'!$I371=D$2), 'ProductSprint Backlog'!$F371, TRUE, 0)</f>
        <v/>
      </c>
      <c r="E371" s="4" t="str" cm="1">
        <f t="array" ref="E371">_xlfn.IFS('ProductSprint Backlog'!$F371="", "", AND('ProductSprint Backlog'!$J371&gt;E$2,'ProductSprint Backlog'!$I371&lt;=E$2), 'ProductSprint Backlog'!$F371 / MAX(1, 'ProductSprint Backlog'!$J371-'ProductSprint Backlog'!$I371), AND('ProductSprint Backlog'!$J371=E$2,'ProductSprint Backlog'!$I371=E$2), 'ProductSprint Backlog'!$F371, TRUE, 0)</f>
        <v/>
      </c>
      <c r="F371" s="4" t="str" cm="1">
        <f t="array" ref="F371">_xlfn.IFS('ProductSprint Backlog'!$F371="", "", AND('ProductSprint Backlog'!$J371&gt;F$2,'ProductSprint Backlog'!$I371&lt;=F$2), 'ProductSprint Backlog'!$F371 / MAX(1, 'ProductSprint Backlog'!$J371-'ProductSprint Backlog'!$I371), AND('ProductSprint Backlog'!$J371=F$2,'ProductSprint Backlog'!$I371=F$2), 'ProductSprint Backlog'!$F371, TRUE, 0)</f>
        <v/>
      </c>
      <c r="G371" s="4" t="str" cm="1">
        <f t="array" ref="G371">_xlfn.IFS('ProductSprint Backlog'!$F371="", "", AND('ProductSprint Backlog'!$J371&gt;G$2,'ProductSprint Backlog'!$I371&lt;=G$2), 'ProductSprint Backlog'!$F371 / MAX(1, 'ProductSprint Backlog'!$J371-'ProductSprint Backlog'!$I371), AND('ProductSprint Backlog'!$J371=G$2,'ProductSprint Backlog'!$I371=G$2), 'ProductSprint Backlog'!$F371, TRUE, 0)</f>
        <v/>
      </c>
      <c r="H371" s="4" t="str" cm="1">
        <f t="array" ref="H371">_xlfn.IFS('ProductSprint Backlog'!$F371="", "", AND('ProductSprint Backlog'!$J371&gt;H$2,'ProductSprint Backlog'!$I371&lt;=H$2), 'ProductSprint Backlog'!$F371 / MAX(1, 'ProductSprint Backlog'!$J371-'ProductSprint Backlog'!$I371), AND('ProductSprint Backlog'!$J371=H$2,'ProductSprint Backlog'!$I371=H$2), 'ProductSprint Backlog'!$F371, TRUE, 0)</f>
        <v/>
      </c>
      <c r="I371" s="4" t="str" cm="1">
        <f t="array" ref="I371">_xlfn.IFS('ProductSprint Backlog'!$F371="", "", AND('ProductSprint Backlog'!$J371&gt;I$2,'ProductSprint Backlog'!$I371&lt;=I$2), 'ProductSprint Backlog'!$F371 / MAX(1, 'ProductSprint Backlog'!$J371-'ProductSprint Backlog'!$I371), AND('ProductSprint Backlog'!$J371=I$2,'ProductSprint Backlog'!$I371=I$2), 'ProductSprint Backlog'!$F371, TRUE, 0)</f>
        <v/>
      </c>
      <c r="J371" s="4" t="str" cm="1">
        <f t="array" ref="J371">_xlfn.IFS('ProductSprint Backlog'!$F371="", "", AND('ProductSprint Backlog'!$J371&gt;J$2,'ProductSprint Backlog'!$I371&lt;=J$2), 'ProductSprint Backlog'!$F371 / MAX(1, 'ProductSprint Backlog'!$J371-'ProductSprint Backlog'!$I371), AND('ProductSprint Backlog'!$J371=J$2,'ProductSprint Backlog'!$I371=J$2), 'ProductSprint Backlog'!$F371, TRUE, 0)</f>
        <v/>
      </c>
      <c r="K371" s="4" t="str" cm="1">
        <f t="array" ref="K371">_xlfn.IFS('ProductSprint Backlog'!$F371="", "", AND('ProductSprint Backlog'!$J371&gt;K$2,'ProductSprint Backlog'!$I371&lt;=K$2), 'ProductSprint Backlog'!$F371 / MAX(1, 'ProductSprint Backlog'!$J371-'ProductSprint Backlog'!$I371), AND('ProductSprint Backlog'!$J371=K$2,'ProductSprint Backlog'!$I371=K$2), 'ProductSprint Backlog'!$F371, TRUE, 0)</f>
        <v/>
      </c>
      <c r="L371" s="4" t="str" cm="1">
        <f t="array" ref="L371">_xlfn.IFS('ProductSprint Backlog'!$F371="", "", AND('ProductSprint Backlog'!$J371&gt;L$2,'ProductSprint Backlog'!$I371&lt;=L$2), 'ProductSprint Backlog'!$F371 / MAX(1, 'ProductSprint Backlog'!$J371-'ProductSprint Backlog'!$I371), AND('ProductSprint Backlog'!$J371=L$2,'ProductSprint Backlog'!$I371=L$2), 'ProductSprint Backlog'!$F371, TRUE, 0)</f>
        <v/>
      </c>
      <c r="M371" s="4" t="str" cm="1">
        <f t="array" ref="M371">_xlfn.IFS('ProductSprint Backlog'!$F371="", "", AND('ProductSprint Backlog'!$J371&gt;M$2,'ProductSprint Backlog'!$I371&lt;=M$2), 'ProductSprint Backlog'!$F371 / MAX(1, 'ProductSprint Backlog'!$J371-'ProductSprint Backlog'!$I371), AND('ProductSprint Backlog'!$J371=M$2,'ProductSprint Backlog'!$I371=M$2), 'ProductSprint Backlog'!$F371, TRUE, 0)</f>
        <v/>
      </c>
      <c r="N371" s="4" t="str" cm="1">
        <f t="array" ref="N371">_xlfn.IFS('ProductSprint Backlog'!$F371="", "", AND('ProductSprint Backlog'!$J371&gt;N$2,'ProductSprint Backlog'!$I371&lt;=N$2), 'ProductSprint Backlog'!$F371 / MAX(1, 'ProductSprint Backlog'!$J371-'ProductSprint Backlog'!$I371), AND('ProductSprint Backlog'!$J371=N$2,'ProductSprint Backlog'!$I371=N$2), 'ProductSprint Backlog'!$F371, TRUE, 0)</f>
        <v/>
      </c>
      <c r="O371" s="4" t="str" cm="1">
        <f t="array" ref="O371">_xlfn.IFS('ProductSprint Backlog'!$F371="", "", AND('ProductSprint Backlog'!$J371&gt;O$2,'ProductSprint Backlog'!$I371&lt;=O$2), 'ProductSprint Backlog'!$F371 / MAX(1, 'ProductSprint Backlog'!$J371-'ProductSprint Backlog'!$I371), AND('ProductSprint Backlog'!$J371=O$2,'ProductSprint Backlog'!$I371=O$2), 'ProductSprint Backlog'!$F371, TRUE, 0)</f>
        <v/>
      </c>
      <c r="P371" s="4" t="str" cm="1">
        <f t="array" ref="P371">_xlfn.IFS('ProductSprint Backlog'!$F371="", "", AND('ProductSprint Backlog'!$J371&gt;P$2,'ProductSprint Backlog'!$I371&lt;=P$2), 'ProductSprint Backlog'!$F371 / MAX(1, 'ProductSprint Backlog'!$J371-'ProductSprint Backlog'!$I371), AND('ProductSprint Backlog'!$J371=P$2,'ProductSprint Backlog'!$I371=P$2), 'ProductSprint Backlog'!$F371, TRUE, 0)</f>
        <v/>
      </c>
      <c r="Q371" s="4" t="str" cm="1">
        <f t="array" ref="Q371">_xlfn.IFS('ProductSprint Backlog'!$F371="", "", AND('ProductSprint Backlog'!$J371&gt;Q$2,'ProductSprint Backlog'!$I371&lt;=Q$2), 'ProductSprint Backlog'!$F371 / MAX(1, 'ProductSprint Backlog'!$J371-'ProductSprint Backlog'!$I371), AND('ProductSprint Backlog'!$J371=Q$2,'ProductSprint Backlog'!$I371=Q$2), 'ProductSprint Backlog'!$F371, TRUE, 0)</f>
        <v/>
      </c>
    </row>
    <row r="372" spans="2:17" x14ac:dyDescent="0.2">
      <c r="B372" s="4" t="str" cm="1">
        <f t="array" ref="B372">_xlfn.IFS('ProductSprint Backlog'!$F372="", "", AND('ProductSprint Backlog'!$J372&gt;B$2,'ProductSprint Backlog'!$I372&lt;=B$2), 'ProductSprint Backlog'!$F372 / MAX(1, 'ProductSprint Backlog'!$J372-'ProductSprint Backlog'!$I372), AND('ProductSprint Backlog'!$J372=B$2,'ProductSprint Backlog'!$I372=B$2), 'ProductSprint Backlog'!$F372, TRUE, 0)</f>
        <v/>
      </c>
      <c r="C372" s="4" t="str" cm="1">
        <f t="array" ref="C372">_xlfn.IFS('ProductSprint Backlog'!$F372="", "", AND('ProductSprint Backlog'!$J372&gt;C$2,'ProductSprint Backlog'!$I372&lt;=C$2), 'ProductSprint Backlog'!$F372 / MAX(1, 'ProductSprint Backlog'!$J372-'ProductSprint Backlog'!$I372), AND('ProductSprint Backlog'!$J372=C$2,'ProductSprint Backlog'!$I372=C$2), 'ProductSprint Backlog'!$F372, TRUE, 0)</f>
        <v/>
      </c>
      <c r="D372" s="4" t="str" cm="1">
        <f t="array" ref="D372">_xlfn.IFS('ProductSprint Backlog'!$F372="", "", AND('ProductSprint Backlog'!$J372&gt;D$2,'ProductSprint Backlog'!$I372&lt;=D$2), 'ProductSprint Backlog'!$F372 / MAX(1, 'ProductSprint Backlog'!$J372-'ProductSprint Backlog'!$I372), AND('ProductSprint Backlog'!$J372=D$2,'ProductSprint Backlog'!$I372=D$2), 'ProductSprint Backlog'!$F372, TRUE, 0)</f>
        <v/>
      </c>
      <c r="E372" s="4" t="str" cm="1">
        <f t="array" ref="E372">_xlfn.IFS('ProductSprint Backlog'!$F372="", "", AND('ProductSprint Backlog'!$J372&gt;E$2,'ProductSprint Backlog'!$I372&lt;=E$2), 'ProductSprint Backlog'!$F372 / MAX(1, 'ProductSprint Backlog'!$J372-'ProductSprint Backlog'!$I372), AND('ProductSprint Backlog'!$J372=E$2,'ProductSprint Backlog'!$I372=E$2), 'ProductSprint Backlog'!$F372, TRUE, 0)</f>
        <v/>
      </c>
      <c r="F372" s="4" t="str" cm="1">
        <f t="array" ref="F372">_xlfn.IFS('ProductSprint Backlog'!$F372="", "", AND('ProductSprint Backlog'!$J372&gt;F$2,'ProductSprint Backlog'!$I372&lt;=F$2), 'ProductSprint Backlog'!$F372 / MAX(1, 'ProductSprint Backlog'!$J372-'ProductSprint Backlog'!$I372), AND('ProductSprint Backlog'!$J372=F$2,'ProductSprint Backlog'!$I372=F$2), 'ProductSprint Backlog'!$F372, TRUE, 0)</f>
        <v/>
      </c>
      <c r="G372" s="4" t="str" cm="1">
        <f t="array" ref="G372">_xlfn.IFS('ProductSprint Backlog'!$F372="", "", AND('ProductSprint Backlog'!$J372&gt;G$2,'ProductSprint Backlog'!$I372&lt;=G$2), 'ProductSprint Backlog'!$F372 / MAX(1, 'ProductSprint Backlog'!$J372-'ProductSprint Backlog'!$I372), AND('ProductSprint Backlog'!$J372=G$2,'ProductSprint Backlog'!$I372=G$2), 'ProductSprint Backlog'!$F372, TRUE, 0)</f>
        <v/>
      </c>
      <c r="H372" s="4" t="str" cm="1">
        <f t="array" ref="H372">_xlfn.IFS('ProductSprint Backlog'!$F372="", "", AND('ProductSprint Backlog'!$J372&gt;H$2,'ProductSprint Backlog'!$I372&lt;=H$2), 'ProductSprint Backlog'!$F372 / MAX(1, 'ProductSprint Backlog'!$J372-'ProductSprint Backlog'!$I372), AND('ProductSprint Backlog'!$J372=H$2,'ProductSprint Backlog'!$I372=H$2), 'ProductSprint Backlog'!$F372, TRUE, 0)</f>
        <v/>
      </c>
      <c r="I372" s="4" t="str" cm="1">
        <f t="array" ref="I372">_xlfn.IFS('ProductSprint Backlog'!$F372="", "", AND('ProductSprint Backlog'!$J372&gt;I$2,'ProductSprint Backlog'!$I372&lt;=I$2), 'ProductSprint Backlog'!$F372 / MAX(1, 'ProductSprint Backlog'!$J372-'ProductSprint Backlog'!$I372), AND('ProductSprint Backlog'!$J372=I$2,'ProductSprint Backlog'!$I372=I$2), 'ProductSprint Backlog'!$F372, TRUE, 0)</f>
        <v/>
      </c>
      <c r="J372" s="4" t="str" cm="1">
        <f t="array" ref="J372">_xlfn.IFS('ProductSprint Backlog'!$F372="", "", AND('ProductSprint Backlog'!$J372&gt;J$2,'ProductSprint Backlog'!$I372&lt;=J$2), 'ProductSprint Backlog'!$F372 / MAX(1, 'ProductSprint Backlog'!$J372-'ProductSprint Backlog'!$I372), AND('ProductSprint Backlog'!$J372=J$2,'ProductSprint Backlog'!$I372=J$2), 'ProductSprint Backlog'!$F372, TRUE, 0)</f>
        <v/>
      </c>
      <c r="K372" s="4" t="str" cm="1">
        <f t="array" ref="K372">_xlfn.IFS('ProductSprint Backlog'!$F372="", "", AND('ProductSprint Backlog'!$J372&gt;K$2,'ProductSprint Backlog'!$I372&lt;=K$2), 'ProductSprint Backlog'!$F372 / MAX(1, 'ProductSprint Backlog'!$J372-'ProductSprint Backlog'!$I372), AND('ProductSprint Backlog'!$J372=K$2,'ProductSprint Backlog'!$I372=K$2), 'ProductSprint Backlog'!$F372, TRUE, 0)</f>
        <v/>
      </c>
      <c r="L372" s="4" t="str" cm="1">
        <f t="array" ref="L372">_xlfn.IFS('ProductSprint Backlog'!$F372="", "", AND('ProductSprint Backlog'!$J372&gt;L$2,'ProductSprint Backlog'!$I372&lt;=L$2), 'ProductSprint Backlog'!$F372 / MAX(1, 'ProductSprint Backlog'!$J372-'ProductSprint Backlog'!$I372), AND('ProductSprint Backlog'!$J372=L$2,'ProductSprint Backlog'!$I372=L$2), 'ProductSprint Backlog'!$F372, TRUE, 0)</f>
        <v/>
      </c>
      <c r="M372" s="4" t="str" cm="1">
        <f t="array" ref="M372">_xlfn.IFS('ProductSprint Backlog'!$F372="", "", AND('ProductSprint Backlog'!$J372&gt;M$2,'ProductSprint Backlog'!$I372&lt;=M$2), 'ProductSprint Backlog'!$F372 / MAX(1, 'ProductSprint Backlog'!$J372-'ProductSprint Backlog'!$I372), AND('ProductSprint Backlog'!$J372=M$2,'ProductSprint Backlog'!$I372=M$2), 'ProductSprint Backlog'!$F372, TRUE, 0)</f>
        <v/>
      </c>
      <c r="N372" s="4" t="str" cm="1">
        <f t="array" ref="N372">_xlfn.IFS('ProductSprint Backlog'!$F372="", "", AND('ProductSprint Backlog'!$J372&gt;N$2,'ProductSprint Backlog'!$I372&lt;=N$2), 'ProductSprint Backlog'!$F372 / MAX(1, 'ProductSprint Backlog'!$J372-'ProductSprint Backlog'!$I372), AND('ProductSprint Backlog'!$J372=N$2,'ProductSprint Backlog'!$I372=N$2), 'ProductSprint Backlog'!$F372, TRUE, 0)</f>
        <v/>
      </c>
      <c r="O372" s="4" t="str" cm="1">
        <f t="array" ref="O372">_xlfn.IFS('ProductSprint Backlog'!$F372="", "", AND('ProductSprint Backlog'!$J372&gt;O$2,'ProductSprint Backlog'!$I372&lt;=O$2), 'ProductSprint Backlog'!$F372 / MAX(1, 'ProductSprint Backlog'!$J372-'ProductSprint Backlog'!$I372), AND('ProductSprint Backlog'!$J372=O$2,'ProductSprint Backlog'!$I372=O$2), 'ProductSprint Backlog'!$F372, TRUE, 0)</f>
        <v/>
      </c>
      <c r="P372" s="4" t="str" cm="1">
        <f t="array" ref="P372">_xlfn.IFS('ProductSprint Backlog'!$F372="", "", AND('ProductSprint Backlog'!$J372&gt;P$2,'ProductSprint Backlog'!$I372&lt;=P$2), 'ProductSprint Backlog'!$F372 / MAX(1, 'ProductSprint Backlog'!$J372-'ProductSprint Backlog'!$I372), AND('ProductSprint Backlog'!$J372=P$2,'ProductSprint Backlog'!$I372=P$2), 'ProductSprint Backlog'!$F372, TRUE, 0)</f>
        <v/>
      </c>
      <c r="Q372" s="4" t="str" cm="1">
        <f t="array" ref="Q372">_xlfn.IFS('ProductSprint Backlog'!$F372="", "", AND('ProductSprint Backlog'!$J372&gt;Q$2,'ProductSprint Backlog'!$I372&lt;=Q$2), 'ProductSprint Backlog'!$F372 / MAX(1, 'ProductSprint Backlog'!$J372-'ProductSprint Backlog'!$I372), AND('ProductSprint Backlog'!$J372=Q$2,'ProductSprint Backlog'!$I372=Q$2), 'ProductSprint Backlog'!$F372, TRUE, 0)</f>
        <v/>
      </c>
    </row>
    <row r="373" spans="2:17" x14ac:dyDescent="0.2">
      <c r="B373" s="4" t="str" cm="1">
        <f t="array" ref="B373">_xlfn.IFS('ProductSprint Backlog'!$F373="", "", AND('ProductSprint Backlog'!$J373&gt;B$2,'ProductSprint Backlog'!$I373&lt;=B$2), 'ProductSprint Backlog'!$F373 / MAX(1, 'ProductSprint Backlog'!$J373-'ProductSprint Backlog'!$I373), AND('ProductSprint Backlog'!$J373=B$2,'ProductSprint Backlog'!$I373=B$2), 'ProductSprint Backlog'!$F373, TRUE, 0)</f>
        <v/>
      </c>
      <c r="C373" s="4" t="str" cm="1">
        <f t="array" ref="C373">_xlfn.IFS('ProductSprint Backlog'!$F373="", "", AND('ProductSprint Backlog'!$J373&gt;C$2,'ProductSprint Backlog'!$I373&lt;=C$2), 'ProductSprint Backlog'!$F373 / MAX(1, 'ProductSprint Backlog'!$J373-'ProductSprint Backlog'!$I373), AND('ProductSprint Backlog'!$J373=C$2,'ProductSprint Backlog'!$I373=C$2), 'ProductSprint Backlog'!$F373, TRUE, 0)</f>
        <v/>
      </c>
      <c r="D373" s="4" t="str" cm="1">
        <f t="array" ref="D373">_xlfn.IFS('ProductSprint Backlog'!$F373="", "", AND('ProductSprint Backlog'!$J373&gt;D$2,'ProductSprint Backlog'!$I373&lt;=D$2), 'ProductSprint Backlog'!$F373 / MAX(1, 'ProductSprint Backlog'!$J373-'ProductSprint Backlog'!$I373), AND('ProductSprint Backlog'!$J373=D$2,'ProductSprint Backlog'!$I373=D$2), 'ProductSprint Backlog'!$F373, TRUE, 0)</f>
        <v/>
      </c>
      <c r="E373" s="4" t="str" cm="1">
        <f t="array" ref="E373">_xlfn.IFS('ProductSprint Backlog'!$F373="", "", AND('ProductSprint Backlog'!$J373&gt;E$2,'ProductSprint Backlog'!$I373&lt;=E$2), 'ProductSprint Backlog'!$F373 / MAX(1, 'ProductSprint Backlog'!$J373-'ProductSprint Backlog'!$I373), AND('ProductSprint Backlog'!$J373=E$2,'ProductSprint Backlog'!$I373=E$2), 'ProductSprint Backlog'!$F373, TRUE, 0)</f>
        <v/>
      </c>
      <c r="F373" s="4" t="str" cm="1">
        <f t="array" ref="F373">_xlfn.IFS('ProductSprint Backlog'!$F373="", "", AND('ProductSprint Backlog'!$J373&gt;F$2,'ProductSprint Backlog'!$I373&lt;=F$2), 'ProductSprint Backlog'!$F373 / MAX(1, 'ProductSprint Backlog'!$J373-'ProductSprint Backlog'!$I373), AND('ProductSprint Backlog'!$J373=F$2,'ProductSprint Backlog'!$I373=F$2), 'ProductSprint Backlog'!$F373, TRUE, 0)</f>
        <v/>
      </c>
      <c r="G373" s="4" t="str" cm="1">
        <f t="array" ref="G373">_xlfn.IFS('ProductSprint Backlog'!$F373="", "", AND('ProductSprint Backlog'!$J373&gt;G$2,'ProductSprint Backlog'!$I373&lt;=G$2), 'ProductSprint Backlog'!$F373 / MAX(1, 'ProductSprint Backlog'!$J373-'ProductSprint Backlog'!$I373), AND('ProductSprint Backlog'!$J373=G$2,'ProductSprint Backlog'!$I373=G$2), 'ProductSprint Backlog'!$F373, TRUE, 0)</f>
        <v/>
      </c>
      <c r="H373" s="4" t="str" cm="1">
        <f t="array" ref="H373">_xlfn.IFS('ProductSprint Backlog'!$F373="", "", AND('ProductSprint Backlog'!$J373&gt;H$2,'ProductSprint Backlog'!$I373&lt;=H$2), 'ProductSprint Backlog'!$F373 / MAX(1, 'ProductSprint Backlog'!$J373-'ProductSprint Backlog'!$I373), AND('ProductSprint Backlog'!$J373=H$2,'ProductSprint Backlog'!$I373=H$2), 'ProductSprint Backlog'!$F373, TRUE, 0)</f>
        <v/>
      </c>
      <c r="I373" s="4" t="str" cm="1">
        <f t="array" ref="I373">_xlfn.IFS('ProductSprint Backlog'!$F373="", "", AND('ProductSprint Backlog'!$J373&gt;I$2,'ProductSprint Backlog'!$I373&lt;=I$2), 'ProductSprint Backlog'!$F373 / MAX(1, 'ProductSprint Backlog'!$J373-'ProductSprint Backlog'!$I373), AND('ProductSprint Backlog'!$J373=I$2,'ProductSprint Backlog'!$I373=I$2), 'ProductSprint Backlog'!$F373, TRUE, 0)</f>
        <v/>
      </c>
      <c r="J373" s="4" t="str" cm="1">
        <f t="array" ref="J373">_xlfn.IFS('ProductSprint Backlog'!$F373="", "", AND('ProductSprint Backlog'!$J373&gt;J$2,'ProductSprint Backlog'!$I373&lt;=J$2), 'ProductSprint Backlog'!$F373 / MAX(1, 'ProductSprint Backlog'!$J373-'ProductSprint Backlog'!$I373), AND('ProductSprint Backlog'!$J373=J$2,'ProductSprint Backlog'!$I373=J$2), 'ProductSprint Backlog'!$F373, TRUE, 0)</f>
        <v/>
      </c>
      <c r="K373" s="4" t="str" cm="1">
        <f t="array" ref="K373">_xlfn.IFS('ProductSprint Backlog'!$F373="", "", AND('ProductSprint Backlog'!$J373&gt;K$2,'ProductSprint Backlog'!$I373&lt;=K$2), 'ProductSprint Backlog'!$F373 / MAX(1, 'ProductSprint Backlog'!$J373-'ProductSprint Backlog'!$I373), AND('ProductSprint Backlog'!$J373=K$2,'ProductSprint Backlog'!$I373=K$2), 'ProductSprint Backlog'!$F373, TRUE, 0)</f>
        <v/>
      </c>
      <c r="L373" s="4" t="str" cm="1">
        <f t="array" ref="L373">_xlfn.IFS('ProductSprint Backlog'!$F373="", "", AND('ProductSprint Backlog'!$J373&gt;L$2,'ProductSprint Backlog'!$I373&lt;=L$2), 'ProductSprint Backlog'!$F373 / MAX(1, 'ProductSprint Backlog'!$J373-'ProductSprint Backlog'!$I373), AND('ProductSprint Backlog'!$J373=L$2,'ProductSprint Backlog'!$I373=L$2), 'ProductSprint Backlog'!$F373, TRUE, 0)</f>
        <v/>
      </c>
      <c r="M373" s="4" t="str" cm="1">
        <f t="array" ref="M373">_xlfn.IFS('ProductSprint Backlog'!$F373="", "", AND('ProductSprint Backlog'!$J373&gt;M$2,'ProductSprint Backlog'!$I373&lt;=M$2), 'ProductSprint Backlog'!$F373 / MAX(1, 'ProductSprint Backlog'!$J373-'ProductSprint Backlog'!$I373), AND('ProductSprint Backlog'!$J373=M$2,'ProductSprint Backlog'!$I373=M$2), 'ProductSprint Backlog'!$F373, TRUE, 0)</f>
        <v/>
      </c>
      <c r="N373" s="4" t="str" cm="1">
        <f t="array" ref="N373">_xlfn.IFS('ProductSprint Backlog'!$F373="", "", AND('ProductSprint Backlog'!$J373&gt;N$2,'ProductSprint Backlog'!$I373&lt;=N$2), 'ProductSprint Backlog'!$F373 / MAX(1, 'ProductSprint Backlog'!$J373-'ProductSprint Backlog'!$I373), AND('ProductSprint Backlog'!$J373=N$2,'ProductSprint Backlog'!$I373=N$2), 'ProductSprint Backlog'!$F373, TRUE, 0)</f>
        <v/>
      </c>
      <c r="O373" s="4" t="str" cm="1">
        <f t="array" ref="O373">_xlfn.IFS('ProductSprint Backlog'!$F373="", "", AND('ProductSprint Backlog'!$J373&gt;O$2,'ProductSprint Backlog'!$I373&lt;=O$2), 'ProductSprint Backlog'!$F373 / MAX(1, 'ProductSprint Backlog'!$J373-'ProductSprint Backlog'!$I373), AND('ProductSprint Backlog'!$J373=O$2,'ProductSprint Backlog'!$I373=O$2), 'ProductSprint Backlog'!$F373, TRUE, 0)</f>
        <v/>
      </c>
      <c r="P373" s="4" t="str" cm="1">
        <f t="array" ref="P373">_xlfn.IFS('ProductSprint Backlog'!$F373="", "", AND('ProductSprint Backlog'!$J373&gt;P$2,'ProductSprint Backlog'!$I373&lt;=P$2), 'ProductSprint Backlog'!$F373 / MAX(1, 'ProductSprint Backlog'!$J373-'ProductSprint Backlog'!$I373), AND('ProductSprint Backlog'!$J373=P$2,'ProductSprint Backlog'!$I373=P$2), 'ProductSprint Backlog'!$F373, TRUE, 0)</f>
        <v/>
      </c>
      <c r="Q373" s="4" t="str" cm="1">
        <f t="array" ref="Q373">_xlfn.IFS('ProductSprint Backlog'!$F373="", "", AND('ProductSprint Backlog'!$J373&gt;Q$2,'ProductSprint Backlog'!$I373&lt;=Q$2), 'ProductSprint Backlog'!$F373 / MAX(1, 'ProductSprint Backlog'!$J373-'ProductSprint Backlog'!$I373), AND('ProductSprint Backlog'!$J373=Q$2,'ProductSprint Backlog'!$I373=Q$2), 'ProductSprint Backlog'!$F373, TRUE, 0)</f>
        <v/>
      </c>
    </row>
    <row r="374" spans="2:17" x14ac:dyDescent="0.2">
      <c r="B374" s="4" t="str" cm="1">
        <f t="array" ref="B374">_xlfn.IFS('ProductSprint Backlog'!$F374="", "", AND('ProductSprint Backlog'!$J374&gt;B$2,'ProductSprint Backlog'!$I374&lt;=B$2), 'ProductSprint Backlog'!$F374 / MAX(1, 'ProductSprint Backlog'!$J374-'ProductSprint Backlog'!$I374), AND('ProductSprint Backlog'!$J374=B$2,'ProductSprint Backlog'!$I374=B$2), 'ProductSprint Backlog'!$F374, TRUE, 0)</f>
        <v/>
      </c>
      <c r="C374" s="4" t="str" cm="1">
        <f t="array" ref="C374">_xlfn.IFS('ProductSprint Backlog'!$F374="", "", AND('ProductSprint Backlog'!$J374&gt;C$2,'ProductSprint Backlog'!$I374&lt;=C$2), 'ProductSprint Backlog'!$F374 / MAX(1, 'ProductSprint Backlog'!$J374-'ProductSprint Backlog'!$I374), AND('ProductSprint Backlog'!$J374=C$2,'ProductSprint Backlog'!$I374=C$2), 'ProductSprint Backlog'!$F374, TRUE, 0)</f>
        <v/>
      </c>
      <c r="D374" s="4" t="str" cm="1">
        <f t="array" ref="D374">_xlfn.IFS('ProductSprint Backlog'!$F374="", "", AND('ProductSprint Backlog'!$J374&gt;D$2,'ProductSprint Backlog'!$I374&lt;=D$2), 'ProductSprint Backlog'!$F374 / MAX(1, 'ProductSprint Backlog'!$J374-'ProductSprint Backlog'!$I374), AND('ProductSprint Backlog'!$J374=D$2,'ProductSprint Backlog'!$I374=D$2), 'ProductSprint Backlog'!$F374, TRUE, 0)</f>
        <v/>
      </c>
      <c r="E374" s="4" t="str" cm="1">
        <f t="array" ref="E374">_xlfn.IFS('ProductSprint Backlog'!$F374="", "", AND('ProductSprint Backlog'!$J374&gt;E$2,'ProductSprint Backlog'!$I374&lt;=E$2), 'ProductSprint Backlog'!$F374 / MAX(1, 'ProductSprint Backlog'!$J374-'ProductSprint Backlog'!$I374), AND('ProductSprint Backlog'!$J374=E$2,'ProductSprint Backlog'!$I374=E$2), 'ProductSprint Backlog'!$F374, TRUE, 0)</f>
        <v/>
      </c>
      <c r="F374" s="4" t="str" cm="1">
        <f t="array" ref="F374">_xlfn.IFS('ProductSprint Backlog'!$F374="", "", AND('ProductSprint Backlog'!$J374&gt;F$2,'ProductSprint Backlog'!$I374&lt;=F$2), 'ProductSprint Backlog'!$F374 / MAX(1, 'ProductSprint Backlog'!$J374-'ProductSprint Backlog'!$I374), AND('ProductSprint Backlog'!$J374=F$2,'ProductSprint Backlog'!$I374=F$2), 'ProductSprint Backlog'!$F374, TRUE, 0)</f>
        <v/>
      </c>
      <c r="G374" s="4" t="str" cm="1">
        <f t="array" ref="G374">_xlfn.IFS('ProductSprint Backlog'!$F374="", "", AND('ProductSprint Backlog'!$J374&gt;G$2,'ProductSprint Backlog'!$I374&lt;=G$2), 'ProductSprint Backlog'!$F374 / MAX(1, 'ProductSprint Backlog'!$J374-'ProductSprint Backlog'!$I374), AND('ProductSprint Backlog'!$J374=G$2,'ProductSprint Backlog'!$I374=G$2), 'ProductSprint Backlog'!$F374, TRUE, 0)</f>
        <v/>
      </c>
      <c r="H374" s="4" t="str" cm="1">
        <f t="array" ref="H374">_xlfn.IFS('ProductSprint Backlog'!$F374="", "", AND('ProductSprint Backlog'!$J374&gt;H$2,'ProductSprint Backlog'!$I374&lt;=H$2), 'ProductSprint Backlog'!$F374 / MAX(1, 'ProductSprint Backlog'!$J374-'ProductSprint Backlog'!$I374), AND('ProductSprint Backlog'!$J374=H$2,'ProductSprint Backlog'!$I374=H$2), 'ProductSprint Backlog'!$F374, TRUE, 0)</f>
        <v/>
      </c>
      <c r="I374" s="4" t="str" cm="1">
        <f t="array" ref="I374">_xlfn.IFS('ProductSprint Backlog'!$F374="", "", AND('ProductSprint Backlog'!$J374&gt;I$2,'ProductSprint Backlog'!$I374&lt;=I$2), 'ProductSprint Backlog'!$F374 / MAX(1, 'ProductSprint Backlog'!$J374-'ProductSprint Backlog'!$I374), AND('ProductSprint Backlog'!$J374=I$2,'ProductSprint Backlog'!$I374=I$2), 'ProductSprint Backlog'!$F374, TRUE, 0)</f>
        <v/>
      </c>
      <c r="J374" s="4" t="str" cm="1">
        <f t="array" ref="J374">_xlfn.IFS('ProductSprint Backlog'!$F374="", "", AND('ProductSprint Backlog'!$J374&gt;J$2,'ProductSprint Backlog'!$I374&lt;=J$2), 'ProductSprint Backlog'!$F374 / MAX(1, 'ProductSprint Backlog'!$J374-'ProductSprint Backlog'!$I374), AND('ProductSprint Backlog'!$J374=J$2,'ProductSprint Backlog'!$I374=J$2), 'ProductSprint Backlog'!$F374, TRUE, 0)</f>
        <v/>
      </c>
      <c r="K374" s="4" t="str" cm="1">
        <f t="array" ref="K374">_xlfn.IFS('ProductSprint Backlog'!$F374="", "", AND('ProductSprint Backlog'!$J374&gt;K$2,'ProductSprint Backlog'!$I374&lt;=K$2), 'ProductSprint Backlog'!$F374 / MAX(1, 'ProductSprint Backlog'!$J374-'ProductSprint Backlog'!$I374), AND('ProductSprint Backlog'!$J374=K$2,'ProductSprint Backlog'!$I374=K$2), 'ProductSprint Backlog'!$F374, TRUE, 0)</f>
        <v/>
      </c>
      <c r="L374" s="4" t="str" cm="1">
        <f t="array" ref="L374">_xlfn.IFS('ProductSprint Backlog'!$F374="", "", AND('ProductSprint Backlog'!$J374&gt;L$2,'ProductSprint Backlog'!$I374&lt;=L$2), 'ProductSprint Backlog'!$F374 / MAX(1, 'ProductSprint Backlog'!$J374-'ProductSprint Backlog'!$I374), AND('ProductSprint Backlog'!$J374=L$2,'ProductSprint Backlog'!$I374=L$2), 'ProductSprint Backlog'!$F374, TRUE, 0)</f>
        <v/>
      </c>
      <c r="M374" s="4" t="str" cm="1">
        <f t="array" ref="M374">_xlfn.IFS('ProductSprint Backlog'!$F374="", "", AND('ProductSprint Backlog'!$J374&gt;M$2,'ProductSprint Backlog'!$I374&lt;=M$2), 'ProductSprint Backlog'!$F374 / MAX(1, 'ProductSprint Backlog'!$J374-'ProductSprint Backlog'!$I374), AND('ProductSprint Backlog'!$J374=M$2,'ProductSprint Backlog'!$I374=M$2), 'ProductSprint Backlog'!$F374, TRUE, 0)</f>
        <v/>
      </c>
      <c r="N374" s="4" t="str" cm="1">
        <f t="array" ref="N374">_xlfn.IFS('ProductSprint Backlog'!$F374="", "", AND('ProductSprint Backlog'!$J374&gt;N$2,'ProductSprint Backlog'!$I374&lt;=N$2), 'ProductSprint Backlog'!$F374 / MAX(1, 'ProductSprint Backlog'!$J374-'ProductSprint Backlog'!$I374), AND('ProductSprint Backlog'!$J374=N$2,'ProductSprint Backlog'!$I374=N$2), 'ProductSprint Backlog'!$F374, TRUE, 0)</f>
        <v/>
      </c>
      <c r="O374" s="4" t="str" cm="1">
        <f t="array" ref="O374">_xlfn.IFS('ProductSprint Backlog'!$F374="", "", AND('ProductSprint Backlog'!$J374&gt;O$2,'ProductSprint Backlog'!$I374&lt;=O$2), 'ProductSprint Backlog'!$F374 / MAX(1, 'ProductSprint Backlog'!$J374-'ProductSprint Backlog'!$I374), AND('ProductSprint Backlog'!$J374=O$2,'ProductSprint Backlog'!$I374=O$2), 'ProductSprint Backlog'!$F374, TRUE, 0)</f>
        <v/>
      </c>
      <c r="P374" s="4" t="str" cm="1">
        <f t="array" ref="P374">_xlfn.IFS('ProductSprint Backlog'!$F374="", "", AND('ProductSprint Backlog'!$J374&gt;P$2,'ProductSprint Backlog'!$I374&lt;=P$2), 'ProductSprint Backlog'!$F374 / MAX(1, 'ProductSprint Backlog'!$J374-'ProductSprint Backlog'!$I374), AND('ProductSprint Backlog'!$J374=P$2,'ProductSprint Backlog'!$I374=P$2), 'ProductSprint Backlog'!$F374, TRUE, 0)</f>
        <v/>
      </c>
      <c r="Q374" s="4" t="str" cm="1">
        <f t="array" ref="Q374">_xlfn.IFS('ProductSprint Backlog'!$F374="", "", AND('ProductSprint Backlog'!$J374&gt;Q$2,'ProductSprint Backlog'!$I374&lt;=Q$2), 'ProductSprint Backlog'!$F374 / MAX(1, 'ProductSprint Backlog'!$J374-'ProductSprint Backlog'!$I374), AND('ProductSprint Backlog'!$J374=Q$2,'ProductSprint Backlog'!$I374=Q$2), 'ProductSprint Backlog'!$F374, TRUE, 0)</f>
        <v/>
      </c>
    </row>
    <row r="375" spans="2:17" x14ac:dyDescent="0.2">
      <c r="B375" s="4" t="str" cm="1">
        <f t="array" ref="B375">_xlfn.IFS('ProductSprint Backlog'!$F375="", "", AND('ProductSprint Backlog'!$J375&gt;B$2,'ProductSprint Backlog'!$I375&lt;=B$2), 'ProductSprint Backlog'!$F375 / MAX(1, 'ProductSprint Backlog'!$J375-'ProductSprint Backlog'!$I375), AND('ProductSprint Backlog'!$J375=B$2,'ProductSprint Backlog'!$I375=B$2), 'ProductSprint Backlog'!$F375, TRUE, 0)</f>
        <v/>
      </c>
      <c r="C375" s="4" t="str" cm="1">
        <f t="array" ref="C375">_xlfn.IFS('ProductSprint Backlog'!$F375="", "", AND('ProductSprint Backlog'!$J375&gt;C$2,'ProductSprint Backlog'!$I375&lt;=C$2), 'ProductSprint Backlog'!$F375 / MAX(1, 'ProductSprint Backlog'!$J375-'ProductSprint Backlog'!$I375), AND('ProductSprint Backlog'!$J375=C$2,'ProductSprint Backlog'!$I375=C$2), 'ProductSprint Backlog'!$F375, TRUE, 0)</f>
        <v/>
      </c>
      <c r="D375" s="4" t="str" cm="1">
        <f t="array" ref="D375">_xlfn.IFS('ProductSprint Backlog'!$F375="", "", AND('ProductSprint Backlog'!$J375&gt;D$2,'ProductSprint Backlog'!$I375&lt;=D$2), 'ProductSprint Backlog'!$F375 / MAX(1, 'ProductSprint Backlog'!$J375-'ProductSprint Backlog'!$I375), AND('ProductSprint Backlog'!$J375=D$2,'ProductSprint Backlog'!$I375=D$2), 'ProductSprint Backlog'!$F375, TRUE, 0)</f>
        <v/>
      </c>
      <c r="E375" s="4" t="str" cm="1">
        <f t="array" ref="E375">_xlfn.IFS('ProductSprint Backlog'!$F375="", "", AND('ProductSprint Backlog'!$J375&gt;E$2,'ProductSprint Backlog'!$I375&lt;=E$2), 'ProductSprint Backlog'!$F375 / MAX(1, 'ProductSprint Backlog'!$J375-'ProductSprint Backlog'!$I375), AND('ProductSprint Backlog'!$J375=E$2,'ProductSprint Backlog'!$I375=E$2), 'ProductSprint Backlog'!$F375, TRUE, 0)</f>
        <v/>
      </c>
      <c r="F375" s="4" t="str" cm="1">
        <f t="array" ref="F375">_xlfn.IFS('ProductSprint Backlog'!$F375="", "", AND('ProductSprint Backlog'!$J375&gt;F$2,'ProductSprint Backlog'!$I375&lt;=F$2), 'ProductSprint Backlog'!$F375 / MAX(1, 'ProductSprint Backlog'!$J375-'ProductSprint Backlog'!$I375), AND('ProductSprint Backlog'!$J375=F$2,'ProductSprint Backlog'!$I375=F$2), 'ProductSprint Backlog'!$F375, TRUE, 0)</f>
        <v/>
      </c>
      <c r="G375" s="4" t="str" cm="1">
        <f t="array" ref="G375">_xlfn.IFS('ProductSprint Backlog'!$F375="", "", AND('ProductSprint Backlog'!$J375&gt;G$2,'ProductSprint Backlog'!$I375&lt;=G$2), 'ProductSprint Backlog'!$F375 / MAX(1, 'ProductSprint Backlog'!$J375-'ProductSprint Backlog'!$I375), AND('ProductSprint Backlog'!$J375=G$2,'ProductSprint Backlog'!$I375=G$2), 'ProductSprint Backlog'!$F375, TRUE, 0)</f>
        <v/>
      </c>
      <c r="H375" s="4" t="str" cm="1">
        <f t="array" ref="H375">_xlfn.IFS('ProductSprint Backlog'!$F375="", "", AND('ProductSprint Backlog'!$J375&gt;H$2,'ProductSprint Backlog'!$I375&lt;=H$2), 'ProductSprint Backlog'!$F375 / MAX(1, 'ProductSprint Backlog'!$J375-'ProductSprint Backlog'!$I375), AND('ProductSprint Backlog'!$J375=H$2,'ProductSprint Backlog'!$I375=H$2), 'ProductSprint Backlog'!$F375, TRUE, 0)</f>
        <v/>
      </c>
      <c r="I375" s="4" t="str" cm="1">
        <f t="array" ref="I375">_xlfn.IFS('ProductSprint Backlog'!$F375="", "", AND('ProductSprint Backlog'!$J375&gt;I$2,'ProductSprint Backlog'!$I375&lt;=I$2), 'ProductSprint Backlog'!$F375 / MAX(1, 'ProductSprint Backlog'!$J375-'ProductSprint Backlog'!$I375), AND('ProductSprint Backlog'!$J375=I$2,'ProductSprint Backlog'!$I375=I$2), 'ProductSprint Backlog'!$F375, TRUE, 0)</f>
        <v/>
      </c>
      <c r="J375" s="4" t="str" cm="1">
        <f t="array" ref="J375">_xlfn.IFS('ProductSprint Backlog'!$F375="", "", AND('ProductSprint Backlog'!$J375&gt;J$2,'ProductSprint Backlog'!$I375&lt;=J$2), 'ProductSprint Backlog'!$F375 / MAX(1, 'ProductSprint Backlog'!$J375-'ProductSprint Backlog'!$I375), AND('ProductSprint Backlog'!$J375=J$2,'ProductSprint Backlog'!$I375=J$2), 'ProductSprint Backlog'!$F375, TRUE, 0)</f>
        <v/>
      </c>
      <c r="K375" s="4" t="str" cm="1">
        <f t="array" ref="K375">_xlfn.IFS('ProductSprint Backlog'!$F375="", "", AND('ProductSprint Backlog'!$J375&gt;K$2,'ProductSprint Backlog'!$I375&lt;=K$2), 'ProductSprint Backlog'!$F375 / MAX(1, 'ProductSprint Backlog'!$J375-'ProductSprint Backlog'!$I375), AND('ProductSprint Backlog'!$J375=K$2,'ProductSprint Backlog'!$I375=K$2), 'ProductSprint Backlog'!$F375, TRUE, 0)</f>
        <v/>
      </c>
      <c r="L375" s="4" t="str" cm="1">
        <f t="array" ref="L375">_xlfn.IFS('ProductSprint Backlog'!$F375="", "", AND('ProductSprint Backlog'!$J375&gt;L$2,'ProductSprint Backlog'!$I375&lt;=L$2), 'ProductSprint Backlog'!$F375 / MAX(1, 'ProductSprint Backlog'!$J375-'ProductSprint Backlog'!$I375), AND('ProductSprint Backlog'!$J375=L$2,'ProductSprint Backlog'!$I375=L$2), 'ProductSprint Backlog'!$F375, TRUE, 0)</f>
        <v/>
      </c>
      <c r="M375" s="4" t="str" cm="1">
        <f t="array" ref="M375">_xlfn.IFS('ProductSprint Backlog'!$F375="", "", AND('ProductSprint Backlog'!$J375&gt;M$2,'ProductSprint Backlog'!$I375&lt;=M$2), 'ProductSprint Backlog'!$F375 / MAX(1, 'ProductSprint Backlog'!$J375-'ProductSprint Backlog'!$I375), AND('ProductSprint Backlog'!$J375=M$2,'ProductSprint Backlog'!$I375=M$2), 'ProductSprint Backlog'!$F375, TRUE, 0)</f>
        <v/>
      </c>
      <c r="N375" s="4" t="str" cm="1">
        <f t="array" ref="N375">_xlfn.IFS('ProductSprint Backlog'!$F375="", "", AND('ProductSprint Backlog'!$J375&gt;N$2,'ProductSprint Backlog'!$I375&lt;=N$2), 'ProductSprint Backlog'!$F375 / MAX(1, 'ProductSprint Backlog'!$J375-'ProductSprint Backlog'!$I375), AND('ProductSprint Backlog'!$J375=N$2,'ProductSprint Backlog'!$I375=N$2), 'ProductSprint Backlog'!$F375, TRUE, 0)</f>
        <v/>
      </c>
      <c r="O375" s="4" t="str" cm="1">
        <f t="array" ref="O375">_xlfn.IFS('ProductSprint Backlog'!$F375="", "", AND('ProductSprint Backlog'!$J375&gt;O$2,'ProductSprint Backlog'!$I375&lt;=O$2), 'ProductSprint Backlog'!$F375 / MAX(1, 'ProductSprint Backlog'!$J375-'ProductSprint Backlog'!$I375), AND('ProductSprint Backlog'!$J375=O$2,'ProductSprint Backlog'!$I375=O$2), 'ProductSprint Backlog'!$F375, TRUE, 0)</f>
        <v/>
      </c>
      <c r="P375" s="4" t="str" cm="1">
        <f t="array" ref="P375">_xlfn.IFS('ProductSprint Backlog'!$F375="", "", AND('ProductSprint Backlog'!$J375&gt;P$2,'ProductSprint Backlog'!$I375&lt;=P$2), 'ProductSprint Backlog'!$F375 / MAX(1, 'ProductSprint Backlog'!$J375-'ProductSprint Backlog'!$I375), AND('ProductSprint Backlog'!$J375=P$2,'ProductSprint Backlog'!$I375=P$2), 'ProductSprint Backlog'!$F375, TRUE, 0)</f>
        <v/>
      </c>
      <c r="Q375" s="4" t="str" cm="1">
        <f t="array" ref="Q375">_xlfn.IFS('ProductSprint Backlog'!$F375="", "", AND('ProductSprint Backlog'!$J375&gt;Q$2,'ProductSprint Backlog'!$I375&lt;=Q$2), 'ProductSprint Backlog'!$F375 / MAX(1, 'ProductSprint Backlog'!$J375-'ProductSprint Backlog'!$I375), AND('ProductSprint Backlog'!$J375=Q$2,'ProductSprint Backlog'!$I375=Q$2), 'ProductSprint Backlog'!$F375, TRUE, 0)</f>
        <v/>
      </c>
    </row>
    <row r="376" spans="2:17" x14ac:dyDescent="0.2">
      <c r="B376" s="4" t="str" cm="1">
        <f t="array" ref="B376">_xlfn.IFS('ProductSprint Backlog'!$F376="", "", AND('ProductSprint Backlog'!$J376&gt;B$2,'ProductSprint Backlog'!$I376&lt;=B$2), 'ProductSprint Backlog'!$F376 / MAX(1, 'ProductSprint Backlog'!$J376-'ProductSprint Backlog'!$I376), AND('ProductSprint Backlog'!$J376=B$2,'ProductSprint Backlog'!$I376=B$2), 'ProductSprint Backlog'!$F376, TRUE, 0)</f>
        <v/>
      </c>
      <c r="C376" s="4" t="str" cm="1">
        <f t="array" ref="C376">_xlfn.IFS('ProductSprint Backlog'!$F376="", "", AND('ProductSprint Backlog'!$J376&gt;C$2,'ProductSprint Backlog'!$I376&lt;=C$2), 'ProductSprint Backlog'!$F376 / MAX(1, 'ProductSprint Backlog'!$J376-'ProductSprint Backlog'!$I376), AND('ProductSprint Backlog'!$J376=C$2,'ProductSprint Backlog'!$I376=C$2), 'ProductSprint Backlog'!$F376, TRUE, 0)</f>
        <v/>
      </c>
      <c r="D376" s="4" t="str" cm="1">
        <f t="array" ref="D376">_xlfn.IFS('ProductSprint Backlog'!$F376="", "", AND('ProductSprint Backlog'!$J376&gt;D$2,'ProductSprint Backlog'!$I376&lt;=D$2), 'ProductSprint Backlog'!$F376 / MAX(1, 'ProductSprint Backlog'!$J376-'ProductSprint Backlog'!$I376), AND('ProductSprint Backlog'!$J376=D$2,'ProductSprint Backlog'!$I376=D$2), 'ProductSprint Backlog'!$F376, TRUE, 0)</f>
        <v/>
      </c>
      <c r="E376" s="4" t="str" cm="1">
        <f t="array" ref="E376">_xlfn.IFS('ProductSprint Backlog'!$F376="", "", AND('ProductSprint Backlog'!$J376&gt;E$2,'ProductSprint Backlog'!$I376&lt;=E$2), 'ProductSprint Backlog'!$F376 / MAX(1, 'ProductSprint Backlog'!$J376-'ProductSprint Backlog'!$I376), AND('ProductSprint Backlog'!$J376=E$2,'ProductSprint Backlog'!$I376=E$2), 'ProductSprint Backlog'!$F376, TRUE, 0)</f>
        <v/>
      </c>
      <c r="F376" s="4" t="str" cm="1">
        <f t="array" ref="F376">_xlfn.IFS('ProductSprint Backlog'!$F376="", "", AND('ProductSprint Backlog'!$J376&gt;F$2,'ProductSprint Backlog'!$I376&lt;=F$2), 'ProductSprint Backlog'!$F376 / MAX(1, 'ProductSprint Backlog'!$J376-'ProductSprint Backlog'!$I376), AND('ProductSprint Backlog'!$J376=F$2,'ProductSprint Backlog'!$I376=F$2), 'ProductSprint Backlog'!$F376, TRUE, 0)</f>
        <v/>
      </c>
      <c r="G376" s="4" t="str" cm="1">
        <f t="array" ref="G376">_xlfn.IFS('ProductSprint Backlog'!$F376="", "", AND('ProductSprint Backlog'!$J376&gt;G$2,'ProductSprint Backlog'!$I376&lt;=G$2), 'ProductSprint Backlog'!$F376 / MAX(1, 'ProductSprint Backlog'!$J376-'ProductSprint Backlog'!$I376), AND('ProductSprint Backlog'!$J376=G$2,'ProductSprint Backlog'!$I376=G$2), 'ProductSprint Backlog'!$F376, TRUE, 0)</f>
        <v/>
      </c>
      <c r="H376" s="4" t="str" cm="1">
        <f t="array" ref="H376">_xlfn.IFS('ProductSprint Backlog'!$F376="", "", AND('ProductSprint Backlog'!$J376&gt;H$2,'ProductSprint Backlog'!$I376&lt;=H$2), 'ProductSprint Backlog'!$F376 / MAX(1, 'ProductSprint Backlog'!$J376-'ProductSprint Backlog'!$I376), AND('ProductSprint Backlog'!$J376=H$2,'ProductSprint Backlog'!$I376=H$2), 'ProductSprint Backlog'!$F376, TRUE, 0)</f>
        <v/>
      </c>
      <c r="I376" s="4" t="str" cm="1">
        <f t="array" ref="I376">_xlfn.IFS('ProductSprint Backlog'!$F376="", "", AND('ProductSprint Backlog'!$J376&gt;I$2,'ProductSprint Backlog'!$I376&lt;=I$2), 'ProductSprint Backlog'!$F376 / MAX(1, 'ProductSprint Backlog'!$J376-'ProductSprint Backlog'!$I376), AND('ProductSprint Backlog'!$J376=I$2,'ProductSprint Backlog'!$I376=I$2), 'ProductSprint Backlog'!$F376, TRUE, 0)</f>
        <v/>
      </c>
      <c r="J376" s="4" t="str" cm="1">
        <f t="array" ref="J376">_xlfn.IFS('ProductSprint Backlog'!$F376="", "", AND('ProductSprint Backlog'!$J376&gt;J$2,'ProductSprint Backlog'!$I376&lt;=J$2), 'ProductSprint Backlog'!$F376 / MAX(1, 'ProductSprint Backlog'!$J376-'ProductSprint Backlog'!$I376), AND('ProductSprint Backlog'!$J376=J$2,'ProductSprint Backlog'!$I376=J$2), 'ProductSprint Backlog'!$F376, TRUE, 0)</f>
        <v/>
      </c>
      <c r="K376" s="4" t="str" cm="1">
        <f t="array" ref="K376">_xlfn.IFS('ProductSprint Backlog'!$F376="", "", AND('ProductSprint Backlog'!$J376&gt;K$2,'ProductSprint Backlog'!$I376&lt;=K$2), 'ProductSprint Backlog'!$F376 / MAX(1, 'ProductSprint Backlog'!$J376-'ProductSprint Backlog'!$I376), AND('ProductSprint Backlog'!$J376=K$2,'ProductSprint Backlog'!$I376=K$2), 'ProductSprint Backlog'!$F376, TRUE, 0)</f>
        <v/>
      </c>
      <c r="L376" s="4" t="str" cm="1">
        <f t="array" ref="L376">_xlfn.IFS('ProductSprint Backlog'!$F376="", "", AND('ProductSprint Backlog'!$J376&gt;L$2,'ProductSprint Backlog'!$I376&lt;=L$2), 'ProductSprint Backlog'!$F376 / MAX(1, 'ProductSprint Backlog'!$J376-'ProductSprint Backlog'!$I376), AND('ProductSprint Backlog'!$J376=L$2,'ProductSprint Backlog'!$I376=L$2), 'ProductSprint Backlog'!$F376, TRUE, 0)</f>
        <v/>
      </c>
      <c r="M376" s="4" t="str" cm="1">
        <f t="array" ref="M376">_xlfn.IFS('ProductSprint Backlog'!$F376="", "", AND('ProductSprint Backlog'!$J376&gt;M$2,'ProductSprint Backlog'!$I376&lt;=M$2), 'ProductSprint Backlog'!$F376 / MAX(1, 'ProductSprint Backlog'!$J376-'ProductSprint Backlog'!$I376), AND('ProductSprint Backlog'!$J376=M$2,'ProductSprint Backlog'!$I376=M$2), 'ProductSprint Backlog'!$F376, TRUE, 0)</f>
        <v/>
      </c>
      <c r="N376" s="4" t="str" cm="1">
        <f t="array" ref="N376">_xlfn.IFS('ProductSprint Backlog'!$F376="", "", AND('ProductSprint Backlog'!$J376&gt;N$2,'ProductSprint Backlog'!$I376&lt;=N$2), 'ProductSprint Backlog'!$F376 / MAX(1, 'ProductSprint Backlog'!$J376-'ProductSprint Backlog'!$I376), AND('ProductSprint Backlog'!$J376=N$2,'ProductSprint Backlog'!$I376=N$2), 'ProductSprint Backlog'!$F376, TRUE, 0)</f>
        <v/>
      </c>
      <c r="O376" s="4" t="str" cm="1">
        <f t="array" ref="O376">_xlfn.IFS('ProductSprint Backlog'!$F376="", "", AND('ProductSprint Backlog'!$J376&gt;O$2,'ProductSprint Backlog'!$I376&lt;=O$2), 'ProductSprint Backlog'!$F376 / MAX(1, 'ProductSprint Backlog'!$J376-'ProductSprint Backlog'!$I376), AND('ProductSprint Backlog'!$J376=O$2,'ProductSprint Backlog'!$I376=O$2), 'ProductSprint Backlog'!$F376, TRUE, 0)</f>
        <v/>
      </c>
      <c r="P376" s="4" t="str" cm="1">
        <f t="array" ref="P376">_xlfn.IFS('ProductSprint Backlog'!$F376="", "", AND('ProductSprint Backlog'!$J376&gt;P$2,'ProductSprint Backlog'!$I376&lt;=P$2), 'ProductSprint Backlog'!$F376 / MAX(1, 'ProductSprint Backlog'!$J376-'ProductSprint Backlog'!$I376), AND('ProductSprint Backlog'!$J376=P$2,'ProductSprint Backlog'!$I376=P$2), 'ProductSprint Backlog'!$F376, TRUE, 0)</f>
        <v/>
      </c>
      <c r="Q376" s="4" t="str" cm="1">
        <f t="array" ref="Q376">_xlfn.IFS('ProductSprint Backlog'!$F376="", "", AND('ProductSprint Backlog'!$J376&gt;Q$2,'ProductSprint Backlog'!$I376&lt;=Q$2), 'ProductSprint Backlog'!$F376 / MAX(1, 'ProductSprint Backlog'!$J376-'ProductSprint Backlog'!$I376), AND('ProductSprint Backlog'!$J376=Q$2,'ProductSprint Backlog'!$I376=Q$2), 'ProductSprint Backlog'!$F376, TRUE, 0)</f>
        <v/>
      </c>
    </row>
    <row r="377" spans="2:17" x14ac:dyDescent="0.2">
      <c r="B377" s="4" t="str" cm="1">
        <f t="array" ref="B377">_xlfn.IFS('ProductSprint Backlog'!$F377="", "", AND('ProductSprint Backlog'!$J377&gt;B$2,'ProductSprint Backlog'!$I377&lt;=B$2), 'ProductSprint Backlog'!$F377 / MAX(1, 'ProductSprint Backlog'!$J377-'ProductSprint Backlog'!$I377), AND('ProductSprint Backlog'!$J377=B$2,'ProductSprint Backlog'!$I377=B$2), 'ProductSprint Backlog'!$F377, TRUE, 0)</f>
        <v/>
      </c>
      <c r="C377" s="4" t="str" cm="1">
        <f t="array" ref="C377">_xlfn.IFS('ProductSprint Backlog'!$F377="", "", AND('ProductSprint Backlog'!$J377&gt;C$2,'ProductSprint Backlog'!$I377&lt;=C$2), 'ProductSprint Backlog'!$F377 / MAX(1, 'ProductSprint Backlog'!$J377-'ProductSprint Backlog'!$I377), AND('ProductSprint Backlog'!$J377=C$2,'ProductSprint Backlog'!$I377=C$2), 'ProductSprint Backlog'!$F377, TRUE, 0)</f>
        <v/>
      </c>
      <c r="D377" s="4" t="str" cm="1">
        <f t="array" ref="D377">_xlfn.IFS('ProductSprint Backlog'!$F377="", "", AND('ProductSprint Backlog'!$J377&gt;D$2,'ProductSprint Backlog'!$I377&lt;=D$2), 'ProductSprint Backlog'!$F377 / MAX(1, 'ProductSprint Backlog'!$J377-'ProductSprint Backlog'!$I377), AND('ProductSprint Backlog'!$J377=D$2,'ProductSprint Backlog'!$I377=D$2), 'ProductSprint Backlog'!$F377, TRUE, 0)</f>
        <v/>
      </c>
      <c r="E377" s="4" t="str" cm="1">
        <f t="array" ref="E377">_xlfn.IFS('ProductSprint Backlog'!$F377="", "", AND('ProductSprint Backlog'!$J377&gt;E$2,'ProductSprint Backlog'!$I377&lt;=E$2), 'ProductSprint Backlog'!$F377 / MAX(1, 'ProductSprint Backlog'!$J377-'ProductSprint Backlog'!$I377), AND('ProductSprint Backlog'!$J377=E$2,'ProductSprint Backlog'!$I377=E$2), 'ProductSprint Backlog'!$F377, TRUE, 0)</f>
        <v/>
      </c>
      <c r="F377" s="4" t="str" cm="1">
        <f t="array" ref="F377">_xlfn.IFS('ProductSprint Backlog'!$F377="", "", AND('ProductSprint Backlog'!$J377&gt;F$2,'ProductSprint Backlog'!$I377&lt;=F$2), 'ProductSprint Backlog'!$F377 / MAX(1, 'ProductSprint Backlog'!$J377-'ProductSprint Backlog'!$I377), AND('ProductSprint Backlog'!$J377=F$2,'ProductSprint Backlog'!$I377=F$2), 'ProductSprint Backlog'!$F377, TRUE, 0)</f>
        <v/>
      </c>
      <c r="G377" s="4" t="str" cm="1">
        <f t="array" ref="G377">_xlfn.IFS('ProductSprint Backlog'!$F377="", "", AND('ProductSprint Backlog'!$J377&gt;G$2,'ProductSprint Backlog'!$I377&lt;=G$2), 'ProductSprint Backlog'!$F377 / MAX(1, 'ProductSprint Backlog'!$J377-'ProductSprint Backlog'!$I377), AND('ProductSprint Backlog'!$J377=G$2,'ProductSprint Backlog'!$I377=G$2), 'ProductSprint Backlog'!$F377, TRUE, 0)</f>
        <v/>
      </c>
      <c r="H377" s="4" t="str" cm="1">
        <f t="array" ref="H377">_xlfn.IFS('ProductSprint Backlog'!$F377="", "", AND('ProductSprint Backlog'!$J377&gt;H$2,'ProductSprint Backlog'!$I377&lt;=H$2), 'ProductSprint Backlog'!$F377 / MAX(1, 'ProductSprint Backlog'!$J377-'ProductSprint Backlog'!$I377), AND('ProductSprint Backlog'!$J377=H$2,'ProductSprint Backlog'!$I377=H$2), 'ProductSprint Backlog'!$F377, TRUE, 0)</f>
        <v/>
      </c>
      <c r="I377" s="4" t="str" cm="1">
        <f t="array" ref="I377">_xlfn.IFS('ProductSprint Backlog'!$F377="", "", AND('ProductSprint Backlog'!$J377&gt;I$2,'ProductSprint Backlog'!$I377&lt;=I$2), 'ProductSprint Backlog'!$F377 / MAX(1, 'ProductSprint Backlog'!$J377-'ProductSprint Backlog'!$I377), AND('ProductSprint Backlog'!$J377=I$2,'ProductSprint Backlog'!$I377=I$2), 'ProductSprint Backlog'!$F377, TRUE, 0)</f>
        <v/>
      </c>
      <c r="J377" s="4" t="str" cm="1">
        <f t="array" ref="J377">_xlfn.IFS('ProductSprint Backlog'!$F377="", "", AND('ProductSprint Backlog'!$J377&gt;J$2,'ProductSprint Backlog'!$I377&lt;=J$2), 'ProductSprint Backlog'!$F377 / MAX(1, 'ProductSprint Backlog'!$J377-'ProductSprint Backlog'!$I377), AND('ProductSprint Backlog'!$J377=J$2,'ProductSprint Backlog'!$I377=J$2), 'ProductSprint Backlog'!$F377, TRUE, 0)</f>
        <v/>
      </c>
      <c r="K377" s="4" t="str" cm="1">
        <f t="array" ref="K377">_xlfn.IFS('ProductSprint Backlog'!$F377="", "", AND('ProductSprint Backlog'!$J377&gt;K$2,'ProductSprint Backlog'!$I377&lt;=K$2), 'ProductSprint Backlog'!$F377 / MAX(1, 'ProductSprint Backlog'!$J377-'ProductSprint Backlog'!$I377), AND('ProductSprint Backlog'!$J377=K$2,'ProductSprint Backlog'!$I377=K$2), 'ProductSprint Backlog'!$F377, TRUE, 0)</f>
        <v/>
      </c>
      <c r="L377" s="4" t="str" cm="1">
        <f t="array" ref="L377">_xlfn.IFS('ProductSprint Backlog'!$F377="", "", AND('ProductSprint Backlog'!$J377&gt;L$2,'ProductSprint Backlog'!$I377&lt;=L$2), 'ProductSprint Backlog'!$F377 / MAX(1, 'ProductSprint Backlog'!$J377-'ProductSprint Backlog'!$I377), AND('ProductSprint Backlog'!$J377=L$2,'ProductSprint Backlog'!$I377=L$2), 'ProductSprint Backlog'!$F377, TRUE, 0)</f>
        <v/>
      </c>
      <c r="M377" s="4" t="str" cm="1">
        <f t="array" ref="M377">_xlfn.IFS('ProductSprint Backlog'!$F377="", "", AND('ProductSprint Backlog'!$J377&gt;M$2,'ProductSprint Backlog'!$I377&lt;=M$2), 'ProductSprint Backlog'!$F377 / MAX(1, 'ProductSprint Backlog'!$J377-'ProductSprint Backlog'!$I377), AND('ProductSprint Backlog'!$J377=M$2,'ProductSprint Backlog'!$I377=M$2), 'ProductSprint Backlog'!$F377, TRUE, 0)</f>
        <v/>
      </c>
      <c r="N377" s="4" t="str" cm="1">
        <f t="array" ref="N377">_xlfn.IFS('ProductSprint Backlog'!$F377="", "", AND('ProductSprint Backlog'!$J377&gt;N$2,'ProductSprint Backlog'!$I377&lt;=N$2), 'ProductSprint Backlog'!$F377 / MAX(1, 'ProductSprint Backlog'!$J377-'ProductSprint Backlog'!$I377), AND('ProductSprint Backlog'!$J377=N$2,'ProductSprint Backlog'!$I377=N$2), 'ProductSprint Backlog'!$F377, TRUE, 0)</f>
        <v/>
      </c>
      <c r="O377" s="4" t="str" cm="1">
        <f t="array" ref="O377">_xlfn.IFS('ProductSprint Backlog'!$F377="", "", AND('ProductSprint Backlog'!$J377&gt;O$2,'ProductSprint Backlog'!$I377&lt;=O$2), 'ProductSprint Backlog'!$F377 / MAX(1, 'ProductSprint Backlog'!$J377-'ProductSprint Backlog'!$I377), AND('ProductSprint Backlog'!$J377=O$2,'ProductSprint Backlog'!$I377=O$2), 'ProductSprint Backlog'!$F377, TRUE, 0)</f>
        <v/>
      </c>
      <c r="P377" s="4" t="str" cm="1">
        <f t="array" ref="P377">_xlfn.IFS('ProductSprint Backlog'!$F377="", "", AND('ProductSprint Backlog'!$J377&gt;P$2,'ProductSprint Backlog'!$I377&lt;=P$2), 'ProductSprint Backlog'!$F377 / MAX(1, 'ProductSprint Backlog'!$J377-'ProductSprint Backlog'!$I377), AND('ProductSprint Backlog'!$J377=P$2,'ProductSprint Backlog'!$I377=P$2), 'ProductSprint Backlog'!$F377, TRUE, 0)</f>
        <v/>
      </c>
      <c r="Q377" s="4" t="str" cm="1">
        <f t="array" ref="Q377">_xlfn.IFS('ProductSprint Backlog'!$F377="", "", AND('ProductSprint Backlog'!$J377&gt;Q$2,'ProductSprint Backlog'!$I377&lt;=Q$2), 'ProductSprint Backlog'!$F377 / MAX(1, 'ProductSprint Backlog'!$J377-'ProductSprint Backlog'!$I377), AND('ProductSprint Backlog'!$J377=Q$2,'ProductSprint Backlog'!$I377=Q$2), 'ProductSprint Backlog'!$F377, TRUE, 0)</f>
        <v/>
      </c>
    </row>
    <row r="378" spans="2:17" x14ac:dyDescent="0.2">
      <c r="B378" s="4" t="str" cm="1">
        <f t="array" ref="B378">_xlfn.IFS('ProductSprint Backlog'!$F378="", "", AND('ProductSprint Backlog'!$J378&gt;B$2,'ProductSprint Backlog'!$I378&lt;=B$2), 'ProductSprint Backlog'!$F378 / MAX(1, 'ProductSprint Backlog'!$J378-'ProductSprint Backlog'!$I378), AND('ProductSprint Backlog'!$J378=B$2,'ProductSprint Backlog'!$I378=B$2), 'ProductSprint Backlog'!$F378, TRUE, 0)</f>
        <v/>
      </c>
      <c r="C378" s="4" t="str" cm="1">
        <f t="array" ref="C378">_xlfn.IFS('ProductSprint Backlog'!$F378="", "", AND('ProductSprint Backlog'!$J378&gt;C$2,'ProductSprint Backlog'!$I378&lt;=C$2), 'ProductSprint Backlog'!$F378 / MAX(1, 'ProductSprint Backlog'!$J378-'ProductSprint Backlog'!$I378), AND('ProductSprint Backlog'!$J378=C$2,'ProductSprint Backlog'!$I378=C$2), 'ProductSprint Backlog'!$F378, TRUE, 0)</f>
        <v/>
      </c>
      <c r="D378" s="4" t="str" cm="1">
        <f t="array" ref="D378">_xlfn.IFS('ProductSprint Backlog'!$F378="", "", AND('ProductSprint Backlog'!$J378&gt;D$2,'ProductSprint Backlog'!$I378&lt;=D$2), 'ProductSprint Backlog'!$F378 / MAX(1, 'ProductSprint Backlog'!$J378-'ProductSprint Backlog'!$I378), AND('ProductSprint Backlog'!$J378=D$2,'ProductSprint Backlog'!$I378=D$2), 'ProductSprint Backlog'!$F378, TRUE, 0)</f>
        <v/>
      </c>
      <c r="E378" s="4" t="str" cm="1">
        <f t="array" ref="E378">_xlfn.IFS('ProductSprint Backlog'!$F378="", "", AND('ProductSprint Backlog'!$J378&gt;E$2,'ProductSprint Backlog'!$I378&lt;=E$2), 'ProductSprint Backlog'!$F378 / MAX(1, 'ProductSprint Backlog'!$J378-'ProductSprint Backlog'!$I378), AND('ProductSprint Backlog'!$J378=E$2,'ProductSprint Backlog'!$I378=E$2), 'ProductSprint Backlog'!$F378, TRUE, 0)</f>
        <v/>
      </c>
      <c r="F378" s="4" t="str" cm="1">
        <f t="array" ref="F378">_xlfn.IFS('ProductSprint Backlog'!$F378="", "", AND('ProductSprint Backlog'!$J378&gt;F$2,'ProductSprint Backlog'!$I378&lt;=F$2), 'ProductSprint Backlog'!$F378 / MAX(1, 'ProductSprint Backlog'!$J378-'ProductSprint Backlog'!$I378), AND('ProductSprint Backlog'!$J378=F$2,'ProductSprint Backlog'!$I378=F$2), 'ProductSprint Backlog'!$F378, TRUE, 0)</f>
        <v/>
      </c>
      <c r="G378" s="4" t="str" cm="1">
        <f t="array" ref="G378">_xlfn.IFS('ProductSprint Backlog'!$F378="", "", AND('ProductSprint Backlog'!$J378&gt;G$2,'ProductSprint Backlog'!$I378&lt;=G$2), 'ProductSprint Backlog'!$F378 / MAX(1, 'ProductSprint Backlog'!$J378-'ProductSprint Backlog'!$I378), AND('ProductSprint Backlog'!$J378=G$2,'ProductSprint Backlog'!$I378=G$2), 'ProductSprint Backlog'!$F378, TRUE, 0)</f>
        <v/>
      </c>
      <c r="H378" s="4" t="str" cm="1">
        <f t="array" ref="H378">_xlfn.IFS('ProductSprint Backlog'!$F378="", "", AND('ProductSprint Backlog'!$J378&gt;H$2,'ProductSprint Backlog'!$I378&lt;=H$2), 'ProductSprint Backlog'!$F378 / MAX(1, 'ProductSprint Backlog'!$J378-'ProductSprint Backlog'!$I378), AND('ProductSprint Backlog'!$J378=H$2,'ProductSprint Backlog'!$I378=H$2), 'ProductSprint Backlog'!$F378, TRUE, 0)</f>
        <v/>
      </c>
      <c r="I378" s="4" t="str" cm="1">
        <f t="array" ref="I378">_xlfn.IFS('ProductSprint Backlog'!$F378="", "", AND('ProductSprint Backlog'!$J378&gt;I$2,'ProductSprint Backlog'!$I378&lt;=I$2), 'ProductSprint Backlog'!$F378 / MAX(1, 'ProductSprint Backlog'!$J378-'ProductSprint Backlog'!$I378), AND('ProductSprint Backlog'!$J378=I$2,'ProductSprint Backlog'!$I378=I$2), 'ProductSprint Backlog'!$F378, TRUE, 0)</f>
        <v/>
      </c>
      <c r="J378" s="4" t="str" cm="1">
        <f t="array" ref="J378">_xlfn.IFS('ProductSprint Backlog'!$F378="", "", AND('ProductSprint Backlog'!$J378&gt;J$2,'ProductSprint Backlog'!$I378&lt;=J$2), 'ProductSprint Backlog'!$F378 / MAX(1, 'ProductSprint Backlog'!$J378-'ProductSprint Backlog'!$I378), AND('ProductSprint Backlog'!$J378=J$2,'ProductSprint Backlog'!$I378=J$2), 'ProductSprint Backlog'!$F378, TRUE, 0)</f>
        <v/>
      </c>
      <c r="K378" s="4" t="str" cm="1">
        <f t="array" ref="K378">_xlfn.IFS('ProductSprint Backlog'!$F378="", "", AND('ProductSprint Backlog'!$J378&gt;K$2,'ProductSprint Backlog'!$I378&lt;=K$2), 'ProductSprint Backlog'!$F378 / MAX(1, 'ProductSprint Backlog'!$J378-'ProductSprint Backlog'!$I378), AND('ProductSprint Backlog'!$J378=K$2,'ProductSprint Backlog'!$I378=K$2), 'ProductSprint Backlog'!$F378, TRUE, 0)</f>
        <v/>
      </c>
      <c r="L378" s="4" t="str" cm="1">
        <f t="array" ref="L378">_xlfn.IFS('ProductSprint Backlog'!$F378="", "", AND('ProductSprint Backlog'!$J378&gt;L$2,'ProductSprint Backlog'!$I378&lt;=L$2), 'ProductSprint Backlog'!$F378 / MAX(1, 'ProductSprint Backlog'!$J378-'ProductSprint Backlog'!$I378), AND('ProductSprint Backlog'!$J378=L$2,'ProductSprint Backlog'!$I378=L$2), 'ProductSprint Backlog'!$F378, TRUE, 0)</f>
        <v/>
      </c>
      <c r="M378" s="4" t="str" cm="1">
        <f t="array" ref="M378">_xlfn.IFS('ProductSprint Backlog'!$F378="", "", AND('ProductSprint Backlog'!$J378&gt;M$2,'ProductSprint Backlog'!$I378&lt;=M$2), 'ProductSprint Backlog'!$F378 / MAX(1, 'ProductSprint Backlog'!$J378-'ProductSprint Backlog'!$I378), AND('ProductSprint Backlog'!$J378=M$2,'ProductSprint Backlog'!$I378=M$2), 'ProductSprint Backlog'!$F378, TRUE, 0)</f>
        <v/>
      </c>
      <c r="N378" s="4" t="str" cm="1">
        <f t="array" ref="N378">_xlfn.IFS('ProductSprint Backlog'!$F378="", "", AND('ProductSprint Backlog'!$J378&gt;N$2,'ProductSprint Backlog'!$I378&lt;=N$2), 'ProductSprint Backlog'!$F378 / MAX(1, 'ProductSprint Backlog'!$J378-'ProductSprint Backlog'!$I378), AND('ProductSprint Backlog'!$J378=N$2,'ProductSprint Backlog'!$I378=N$2), 'ProductSprint Backlog'!$F378, TRUE, 0)</f>
        <v/>
      </c>
      <c r="O378" s="4" t="str" cm="1">
        <f t="array" ref="O378">_xlfn.IFS('ProductSprint Backlog'!$F378="", "", AND('ProductSprint Backlog'!$J378&gt;O$2,'ProductSprint Backlog'!$I378&lt;=O$2), 'ProductSprint Backlog'!$F378 / MAX(1, 'ProductSprint Backlog'!$J378-'ProductSprint Backlog'!$I378), AND('ProductSprint Backlog'!$J378=O$2,'ProductSprint Backlog'!$I378=O$2), 'ProductSprint Backlog'!$F378, TRUE, 0)</f>
        <v/>
      </c>
      <c r="P378" s="4" t="str" cm="1">
        <f t="array" ref="P378">_xlfn.IFS('ProductSprint Backlog'!$F378="", "", AND('ProductSprint Backlog'!$J378&gt;P$2,'ProductSprint Backlog'!$I378&lt;=P$2), 'ProductSprint Backlog'!$F378 / MAX(1, 'ProductSprint Backlog'!$J378-'ProductSprint Backlog'!$I378), AND('ProductSprint Backlog'!$J378=P$2,'ProductSprint Backlog'!$I378=P$2), 'ProductSprint Backlog'!$F378, TRUE, 0)</f>
        <v/>
      </c>
      <c r="Q378" s="4" t="str" cm="1">
        <f t="array" ref="Q378">_xlfn.IFS('ProductSprint Backlog'!$F378="", "", AND('ProductSprint Backlog'!$J378&gt;Q$2,'ProductSprint Backlog'!$I378&lt;=Q$2), 'ProductSprint Backlog'!$F378 / MAX(1, 'ProductSprint Backlog'!$J378-'ProductSprint Backlog'!$I378), AND('ProductSprint Backlog'!$J378=Q$2,'ProductSprint Backlog'!$I378=Q$2), 'ProductSprint Backlog'!$F378, TRUE, 0)</f>
        <v/>
      </c>
    </row>
    <row r="379" spans="2:17" x14ac:dyDescent="0.2">
      <c r="B379" s="4" t="str" cm="1">
        <f t="array" ref="B379">_xlfn.IFS('ProductSprint Backlog'!$F379="", "", AND('ProductSprint Backlog'!$J379&gt;B$2,'ProductSprint Backlog'!$I379&lt;=B$2), 'ProductSprint Backlog'!$F379 / MAX(1, 'ProductSprint Backlog'!$J379-'ProductSprint Backlog'!$I379), AND('ProductSprint Backlog'!$J379=B$2,'ProductSprint Backlog'!$I379=B$2), 'ProductSprint Backlog'!$F379, TRUE, 0)</f>
        <v/>
      </c>
      <c r="C379" s="4" t="str" cm="1">
        <f t="array" ref="C379">_xlfn.IFS('ProductSprint Backlog'!$F379="", "", AND('ProductSprint Backlog'!$J379&gt;C$2,'ProductSprint Backlog'!$I379&lt;=C$2), 'ProductSprint Backlog'!$F379 / MAX(1, 'ProductSprint Backlog'!$J379-'ProductSprint Backlog'!$I379), AND('ProductSprint Backlog'!$J379=C$2,'ProductSprint Backlog'!$I379=C$2), 'ProductSprint Backlog'!$F379, TRUE, 0)</f>
        <v/>
      </c>
      <c r="D379" s="4" t="str" cm="1">
        <f t="array" ref="D379">_xlfn.IFS('ProductSprint Backlog'!$F379="", "", AND('ProductSprint Backlog'!$J379&gt;D$2,'ProductSprint Backlog'!$I379&lt;=D$2), 'ProductSprint Backlog'!$F379 / MAX(1, 'ProductSprint Backlog'!$J379-'ProductSprint Backlog'!$I379), AND('ProductSprint Backlog'!$J379=D$2,'ProductSprint Backlog'!$I379=D$2), 'ProductSprint Backlog'!$F379, TRUE, 0)</f>
        <v/>
      </c>
      <c r="E379" s="4" t="str" cm="1">
        <f t="array" ref="E379">_xlfn.IFS('ProductSprint Backlog'!$F379="", "", AND('ProductSprint Backlog'!$J379&gt;E$2,'ProductSprint Backlog'!$I379&lt;=E$2), 'ProductSprint Backlog'!$F379 / MAX(1, 'ProductSprint Backlog'!$J379-'ProductSprint Backlog'!$I379), AND('ProductSprint Backlog'!$J379=E$2,'ProductSprint Backlog'!$I379=E$2), 'ProductSprint Backlog'!$F379, TRUE, 0)</f>
        <v/>
      </c>
      <c r="F379" s="4" t="str" cm="1">
        <f t="array" ref="F379">_xlfn.IFS('ProductSprint Backlog'!$F379="", "", AND('ProductSprint Backlog'!$J379&gt;F$2,'ProductSprint Backlog'!$I379&lt;=F$2), 'ProductSprint Backlog'!$F379 / MAX(1, 'ProductSprint Backlog'!$J379-'ProductSprint Backlog'!$I379), AND('ProductSprint Backlog'!$J379=F$2,'ProductSprint Backlog'!$I379=F$2), 'ProductSprint Backlog'!$F379, TRUE, 0)</f>
        <v/>
      </c>
      <c r="G379" s="4" t="str" cm="1">
        <f t="array" ref="G379">_xlfn.IFS('ProductSprint Backlog'!$F379="", "", AND('ProductSprint Backlog'!$J379&gt;G$2,'ProductSprint Backlog'!$I379&lt;=G$2), 'ProductSprint Backlog'!$F379 / MAX(1, 'ProductSprint Backlog'!$J379-'ProductSprint Backlog'!$I379), AND('ProductSprint Backlog'!$J379=G$2,'ProductSprint Backlog'!$I379=G$2), 'ProductSprint Backlog'!$F379, TRUE, 0)</f>
        <v/>
      </c>
      <c r="H379" s="4" t="str" cm="1">
        <f t="array" ref="H379">_xlfn.IFS('ProductSprint Backlog'!$F379="", "", AND('ProductSprint Backlog'!$J379&gt;H$2,'ProductSprint Backlog'!$I379&lt;=H$2), 'ProductSprint Backlog'!$F379 / MAX(1, 'ProductSprint Backlog'!$J379-'ProductSprint Backlog'!$I379), AND('ProductSprint Backlog'!$J379=H$2,'ProductSprint Backlog'!$I379=H$2), 'ProductSprint Backlog'!$F379, TRUE, 0)</f>
        <v/>
      </c>
      <c r="I379" s="4" t="str" cm="1">
        <f t="array" ref="I379">_xlfn.IFS('ProductSprint Backlog'!$F379="", "", AND('ProductSprint Backlog'!$J379&gt;I$2,'ProductSprint Backlog'!$I379&lt;=I$2), 'ProductSprint Backlog'!$F379 / MAX(1, 'ProductSprint Backlog'!$J379-'ProductSprint Backlog'!$I379), AND('ProductSprint Backlog'!$J379=I$2,'ProductSprint Backlog'!$I379=I$2), 'ProductSprint Backlog'!$F379, TRUE, 0)</f>
        <v/>
      </c>
      <c r="J379" s="4" t="str" cm="1">
        <f t="array" ref="J379">_xlfn.IFS('ProductSprint Backlog'!$F379="", "", AND('ProductSprint Backlog'!$J379&gt;J$2,'ProductSprint Backlog'!$I379&lt;=J$2), 'ProductSprint Backlog'!$F379 / MAX(1, 'ProductSprint Backlog'!$J379-'ProductSprint Backlog'!$I379), AND('ProductSprint Backlog'!$J379=J$2,'ProductSprint Backlog'!$I379=J$2), 'ProductSprint Backlog'!$F379, TRUE, 0)</f>
        <v/>
      </c>
      <c r="K379" s="4" t="str" cm="1">
        <f t="array" ref="K379">_xlfn.IFS('ProductSprint Backlog'!$F379="", "", AND('ProductSprint Backlog'!$J379&gt;K$2,'ProductSprint Backlog'!$I379&lt;=K$2), 'ProductSprint Backlog'!$F379 / MAX(1, 'ProductSprint Backlog'!$J379-'ProductSprint Backlog'!$I379), AND('ProductSprint Backlog'!$J379=K$2,'ProductSprint Backlog'!$I379=K$2), 'ProductSprint Backlog'!$F379, TRUE, 0)</f>
        <v/>
      </c>
      <c r="L379" s="4" t="str" cm="1">
        <f t="array" ref="L379">_xlfn.IFS('ProductSprint Backlog'!$F379="", "", AND('ProductSprint Backlog'!$J379&gt;L$2,'ProductSprint Backlog'!$I379&lt;=L$2), 'ProductSprint Backlog'!$F379 / MAX(1, 'ProductSprint Backlog'!$J379-'ProductSprint Backlog'!$I379), AND('ProductSprint Backlog'!$J379=L$2,'ProductSprint Backlog'!$I379=L$2), 'ProductSprint Backlog'!$F379, TRUE, 0)</f>
        <v/>
      </c>
      <c r="M379" s="4" t="str" cm="1">
        <f t="array" ref="M379">_xlfn.IFS('ProductSprint Backlog'!$F379="", "", AND('ProductSprint Backlog'!$J379&gt;M$2,'ProductSprint Backlog'!$I379&lt;=M$2), 'ProductSprint Backlog'!$F379 / MAX(1, 'ProductSprint Backlog'!$J379-'ProductSprint Backlog'!$I379), AND('ProductSprint Backlog'!$J379=M$2,'ProductSprint Backlog'!$I379=M$2), 'ProductSprint Backlog'!$F379, TRUE, 0)</f>
        <v/>
      </c>
      <c r="N379" s="4" t="str" cm="1">
        <f t="array" ref="N379">_xlfn.IFS('ProductSprint Backlog'!$F379="", "", AND('ProductSprint Backlog'!$J379&gt;N$2,'ProductSprint Backlog'!$I379&lt;=N$2), 'ProductSprint Backlog'!$F379 / MAX(1, 'ProductSprint Backlog'!$J379-'ProductSprint Backlog'!$I379), AND('ProductSprint Backlog'!$J379=N$2,'ProductSprint Backlog'!$I379=N$2), 'ProductSprint Backlog'!$F379, TRUE, 0)</f>
        <v/>
      </c>
      <c r="O379" s="4" t="str" cm="1">
        <f t="array" ref="O379">_xlfn.IFS('ProductSprint Backlog'!$F379="", "", AND('ProductSprint Backlog'!$J379&gt;O$2,'ProductSprint Backlog'!$I379&lt;=O$2), 'ProductSprint Backlog'!$F379 / MAX(1, 'ProductSprint Backlog'!$J379-'ProductSprint Backlog'!$I379), AND('ProductSprint Backlog'!$J379=O$2,'ProductSprint Backlog'!$I379=O$2), 'ProductSprint Backlog'!$F379, TRUE, 0)</f>
        <v/>
      </c>
      <c r="P379" s="4" t="str" cm="1">
        <f t="array" ref="P379">_xlfn.IFS('ProductSprint Backlog'!$F379="", "", AND('ProductSprint Backlog'!$J379&gt;P$2,'ProductSprint Backlog'!$I379&lt;=P$2), 'ProductSprint Backlog'!$F379 / MAX(1, 'ProductSprint Backlog'!$J379-'ProductSprint Backlog'!$I379), AND('ProductSprint Backlog'!$J379=P$2,'ProductSprint Backlog'!$I379=P$2), 'ProductSprint Backlog'!$F379, TRUE, 0)</f>
        <v/>
      </c>
      <c r="Q379" s="4" t="str" cm="1">
        <f t="array" ref="Q379">_xlfn.IFS('ProductSprint Backlog'!$F379="", "", AND('ProductSprint Backlog'!$J379&gt;Q$2,'ProductSprint Backlog'!$I379&lt;=Q$2), 'ProductSprint Backlog'!$F379 / MAX(1, 'ProductSprint Backlog'!$J379-'ProductSprint Backlog'!$I379), AND('ProductSprint Backlog'!$J379=Q$2,'ProductSprint Backlog'!$I379=Q$2), 'ProductSprint Backlog'!$F379, TRUE, 0)</f>
        <v/>
      </c>
    </row>
    <row r="380" spans="2:17" x14ac:dyDescent="0.2">
      <c r="B380" s="4" t="str" cm="1">
        <f t="array" ref="B380">_xlfn.IFS('ProductSprint Backlog'!$F380="", "", AND('ProductSprint Backlog'!$J380&gt;B$2,'ProductSprint Backlog'!$I380&lt;=B$2), 'ProductSprint Backlog'!$F380 / MAX(1, 'ProductSprint Backlog'!$J380-'ProductSprint Backlog'!$I380), AND('ProductSprint Backlog'!$J380=B$2,'ProductSprint Backlog'!$I380=B$2), 'ProductSprint Backlog'!$F380, TRUE, 0)</f>
        <v/>
      </c>
      <c r="C380" s="4" t="str" cm="1">
        <f t="array" ref="C380">_xlfn.IFS('ProductSprint Backlog'!$F380="", "", AND('ProductSprint Backlog'!$J380&gt;C$2,'ProductSprint Backlog'!$I380&lt;=C$2), 'ProductSprint Backlog'!$F380 / MAX(1, 'ProductSprint Backlog'!$J380-'ProductSprint Backlog'!$I380), AND('ProductSprint Backlog'!$J380=C$2,'ProductSprint Backlog'!$I380=C$2), 'ProductSprint Backlog'!$F380, TRUE, 0)</f>
        <v/>
      </c>
      <c r="D380" s="4" t="str" cm="1">
        <f t="array" ref="D380">_xlfn.IFS('ProductSprint Backlog'!$F380="", "", AND('ProductSprint Backlog'!$J380&gt;D$2,'ProductSprint Backlog'!$I380&lt;=D$2), 'ProductSprint Backlog'!$F380 / MAX(1, 'ProductSprint Backlog'!$J380-'ProductSprint Backlog'!$I380), AND('ProductSprint Backlog'!$J380=D$2,'ProductSprint Backlog'!$I380=D$2), 'ProductSprint Backlog'!$F380, TRUE, 0)</f>
        <v/>
      </c>
      <c r="E380" s="4" t="str" cm="1">
        <f t="array" ref="E380">_xlfn.IFS('ProductSprint Backlog'!$F380="", "", AND('ProductSprint Backlog'!$J380&gt;E$2,'ProductSprint Backlog'!$I380&lt;=E$2), 'ProductSprint Backlog'!$F380 / MAX(1, 'ProductSprint Backlog'!$J380-'ProductSprint Backlog'!$I380), AND('ProductSprint Backlog'!$J380=E$2,'ProductSprint Backlog'!$I380=E$2), 'ProductSprint Backlog'!$F380, TRUE, 0)</f>
        <v/>
      </c>
      <c r="F380" s="4" t="str" cm="1">
        <f t="array" ref="F380">_xlfn.IFS('ProductSprint Backlog'!$F380="", "", AND('ProductSprint Backlog'!$J380&gt;F$2,'ProductSprint Backlog'!$I380&lt;=F$2), 'ProductSprint Backlog'!$F380 / MAX(1, 'ProductSprint Backlog'!$J380-'ProductSprint Backlog'!$I380), AND('ProductSprint Backlog'!$J380=F$2,'ProductSprint Backlog'!$I380=F$2), 'ProductSprint Backlog'!$F380, TRUE, 0)</f>
        <v/>
      </c>
      <c r="G380" s="4" t="str" cm="1">
        <f t="array" ref="G380">_xlfn.IFS('ProductSprint Backlog'!$F380="", "", AND('ProductSprint Backlog'!$J380&gt;G$2,'ProductSprint Backlog'!$I380&lt;=G$2), 'ProductSprint Backlog'!$F380 / MAX(1, 'ProductSprint Backlog'!$J380-'ProductSprint Backlog'!$I380), AND('ProductSprint Backlog'!$J380=G$2,'ProductSprint Backlog'!$I380=G$2), 'ProductSprint Backlog'!$F380, TRUE, 0)</f>
        <v/>
      </c>
      <c r="H380" s="4" t="str" cm="1">
        <f t="array" ref="H380">_xlfn.IFS('ProductSprint Backlog'!$F380="", "", AND('ProductSprint Backlog'!$J380&gt;H$2,'ProductSprint Backlog'!$I380&lt;=H$2), 'ProductSprint Backlog'!$F380 / MAX(1, 'ProductSprint Backlog'!$J380-'ProductSprint Backlog'!$I380), AND('ProductSprint Backlog'!$J380=H$2,'ProductSprint Backlog'!$I380=H$2), 'ProductSprint Backlog'!$F380, TRUE, 0)</f>
        <v/>
      </c>
      <c r="I380" s="4" t="str" cm="1">
        <f t="array" ref="I380">_xlfn.IFS('ProductSprint Backlog'!$F380="", "", AND('ProductSprint Backlog'!$J380&gt;I$2,'ProductSprint Backlog'!$I380&lt;=I$2), 'ProductSprint Backlog'!$F380 / MAX(1, 'ProductSprint Backlog'!$J380-'ProductSprint Backlog'!$I380), AND('ProductSprint Backlog'!$J380=I$2,'ProductSprint Backlog'!$I380=I$2), 'ProductSprint Backlog'!$F380, TRUE, 0)</f>
        <v/>
      </c>
      <c r="J380" s="4" t="str" cm="1">
        <f t="array" ref="J380">_xlfn.IFS('ProductSprint Backlog'!$F380="", "", AND('ProductSprint Backlog'!$J380&gt;J$2,'ProductSprint Backlog'!$I380&lt;=J$2), 'ProductSprint Backlog'!$F380 / MAX(1, 'ProductSprint Backlog'!$J380-'ProductSprint Backlog'!$I380), AND('ProductSprint Backlog'!$J380=J$2,'ProductSprint Backlog'!$I380=J$2), 'ProductSprint Backlog'!$F380, TRUE, 0)</f>
        <v/>
      </c>
      <c r="K380" s="4" t="str" cm="1">
        <f t="array" ref="K380">_xlfn.IFS('ProductSprint Backlog'!$F380="", "", AND('ProductSprint Backlog'!$J380&gt;K$2,'ProductSprint Backlog'!$I380&lt;=K$2), 'ProductSprint Backlog'!$F380 / MAX(1, 'ProductSprint Backlog'!$J380-'ProductSprint Backlog'!$I380), AND('ProductSprint Backlog'!$J380=K$2,'ProductSprint Backlog'!$I380=K$2), 'ProductSprint Backlog'!$F380, TRUE, 0)</f>
        <v/>
      </c>
      <c r="L380" s="4" t="str" cm="1">
        <f t="array" ref="L380">_xlfn.IFS('ProductSprint Backlog'!$F380="", "", AND('ProductSprint Backlog'!$J380&gt;L$2,'ProductSprint Backlog'!$I380&lt;=L$2), 'ProductSprint Backlog'!$F380 / MAX(1, 'ProductSprint Backlog'!$J380-'ProductSprint Backlog'!$I380), AND('ProductSprint Backlog'!$J380=L$2,'ProductSprint Backlog'!$I380=L$2), 'ProductSprint Backlog'!$F380, TRUE, 0)</f>
        <v/>
      </c>
      <c r="M380" s="4" t="str" cm="1">
        <f t="array" ref="M380">_xlfn.IFS('ProductSprint Backlog'!$F380="", "", AND('ProductSprint Backlog'!$J380&gt;M$2,'ProductSprint Backlog'!$I380&lt;=M$2), 'ProductSprint Backlog'!$F380 / MAX(1, 'ProductSprint Backlog'!$J380-'ProductSprint Backlog'!$I380), AND('ProductSprint Backlog'!$J380=M$2,'ProductSprint Backlog'!$I380=M$2), 'ProductSprint Backlog'!$F380, TRUE, 0)</f>
        <v/>
      </c>
      <c r="N380" s="4" t="str" cm="1">
        <f t="array" ref="N380">_xlfn.IFS('ProductSprint Backlog'!$F380="", "", AND('ProductSprint Backlog'!$J380&gt;N$2,'ProductSprint Backlog'!$I380&lt;=N$2), 'ProductSprint Backlog'!$F380 / MAX(1, 'ProductSprint Backlog'!$J380-'ProductSprint Backlog'!$I380), AND('ProductSprint Backlog'!$J380=N$2,'ProductSprint Backlog'!$I380=N$2), 'ProductSprint Backlog'!$F380, TRUE, 0)</f>
        <v/>
      </c>
      <c r="O380" s="4" t="str" cm="1">
        <f t="array" ref="O380">_xlfn.IFS('ProductSprint Backlog'!$F380="", "", AND('ProductSprint Backlog'!$J380&gt;O$2,'ProductSprint Backlog'!$I380&lt;=O$2), 'ProductSprint Backlog'!$F380 / MAX(1, 'ProductSprint Backlog'!$J380-'ProductSprint Backlog'!$I380), AND('ProductSprint Backlog'!$J380=O$2,'ProductSprint Backlog'!$I380=O$2), 'ProductSprint Backlog'!$F380, TRUE, 0)</f>
        <v/>
      </c>
      <c r="P380" s="4" t="str" cm="1">
        <f t="array" ref="P380">_xlfn.IFS('ProductSprint Backlog'!$F380="", "", AND('ProductSprint Backlog'!$J380&gt;P$2,'ProductSprint Backlog'!$I380&lt;=P$2), 'ProductSprint Backlog'!$F380 / MAX(1, 'ProductSprint Backlog'!$J380-'ProductSprint Backlog'!$I380), AND('ProductSprint Backlog'!$J380=P$2,'ProductSprint Backlog'!$I380=P$2), 'ProductSprint Backlog'!$F380, TRUE, 0)</f>
        <v/>
      </c>
      <c r="Q380" s="4" t="str" cm="1">
        <f t="array" ref="Q380">_xlfn.IFS('ProductSprint Backlog'!$F380="", "", AND('ProductSprint Backlog'!$J380&gt;Q$2,'ProductSprint Backlog'!$I380&lt;=Q$2), 'ProductSprint Backlog'!$F380 / MAX(1, 'ProductSprint Backlog'!$J380-'ProductSprint Backlog'!$I380), AND('ProductSprint Backlog'!$J380=Q$2,'ProductSprint Backlog'!$I380=Q$2), 'ProductSprint Backlog'!$F380, TRUE, 0)</f>
        <v/>
      </c>
    </row>
    <row r="381" spans="2:17" x14ac:dyDescent="0.2">
      <c r="B381" s="4" t="str" cm="1">
        <f t="array" ref="B381">_xlfn.IFS('ProductSprint Backlog'!$F381="", "", AND('ProductSprint Backlog'!$J381&gt;B$2,'ProductSprint Backlog'!$I381&lt;=B$2), 'ProductSprint Backlog'!$F381 / MAX(1, 'ProductSprint Backlog'!$J381-'ProductSprint Backlog'!$I381), AND('ProductSprint Backlog'!$J381=B$2,'ProductSprint Backlog'!$I381=B$2), 'ProductSprint Backlog'!$F381, TRUE, 0)</f>
        <v/>
      </c>
      <c r="C381" s="4" t="str" cm="1">
        <f t="array" ref="C381">_xlfn.IFS('ProductSprint Backlog'!$F381="", "", AND('ProductSprint Backlog'!$J381&gt;C$2,'ProductSprint Backlog'!$I381&lt;=C$2), 'ProductSprint Backlog'!$F381 / MAX(1, 'ProductSprint Backlog'!$J381-'ProductSprint Backlog'!$I381), AND('ProductSprint Backlog'!$J381=C$2,'ProductSprint Backlog'!$I381=C$2), 'ProductSprint Backlog'!$F381, TRUE, 0)</f>
        <v/>
      </c>
      <c r="D381" s="4" t="str" cm="1">
        <f t="array" ref="D381">_xlfn.IFS('ProductSprint Backlog'!$F381="", "", AND('ProductSprint Backlog'!$J381&gt;D$2,'ProductSprint Backlog'!$I381&lt;=D$2), 'ProductSprint Backlog'!$F381 / MAX(1, 'ProductSprint Backlog'!$J381-'ProductSprint Backlog'!$I381), AND('ProductSprint Backlog'!$J381=D$2,'ProductSprint Backlog'!$I381=D$2), 'ProductSprint Backlog'!$F381, TRUE, 0)</f>
        <v/>
      </c>
      <c r="E381" s="4" t="str" cm="1">
        <f t="array" ref="E381">_xlfn.IFS('ProductSprint Backlog'!$F381="", "", AND('ProductSprint Backlog'!$J381&gt;E$2,'ProductSprint Backlog'!$I381&lt;=E$2), 'ProductSprint Backlog'!$F381 / MAX(1, 'ProductSprint Backlog'!$J381-'ProductSprint Backlog'!$I381), AND('ProductSprint Backlog'!$J381=E$2,'ProductSprint Backlog'!$I381=E$2), 'ProductSprint Backlog'!$F381, TRUE, 0)</f>
        <v/>
      </c>
      <c r="F381" s="4" t="str" cm="1">
        <f t="array" ref="F381">_xlfn.IFS('ProductSprint Backlog'!$F381="", "", AND('ProductSprint Backlog'!$J381&gt;F$2,'ProductSprint Backlog'!$I381&lt;=F$2), 'ProductSprint Backlog'!$F381 / MAX(1, 'ProductSprint Backlog'!$J381-'ProductSprint Backlog'!$I381), AND('ProductSprint Backlog'!$J381=F$2,'ProductSprint Backlog'!$I381=F$2), 'ProductSprint Backlog'!$F381, TRUE, 0)</f>
        <v/>
      </c>
      <c r="G381" s="4" t="str" cm="1">
        <f t="array" ref="G381">_xlfn.IFS('ProductSprint Backlog'!$F381="", "", AND('ProductSprint Backlog'!$J381&gt;G$2,'ProductSprint Backlog'!$I381&lt;=G$2), 'ProductSprint Backlog'!$F381 / MAX(1, 'ProductSprint Backlog'!$J381-'ProductSprint Backlog'!$I381), AND('ProductSprint Backlog'!$J381=G$2,'ProductSprint Backlog'!$I381=G$2), 'ProductSprint Backlog'!$F381, TRUE, 0)</f>
        <v/>
      </c>
      <c r="H381" s="4" t="str" cm="1">
        <f t="array" ref="H381">_xlfn.IFS('ProductSprint Backlog'!$F381="", "", AND('ProductSprint Backlog'!$J381&gt;H$2,'ProductSprint Backlog'!$I381&lt;=H$2), 'ProductSprint Backlog'!$F381 / MAX(1, 'ProductSprint Backlog'!$J381-'ProductSprint Backlog'!$I381), AND('ProductSprint Backlog'!$J381=H$2,'ProductSprint Backlog'!$I381=H$2), 'ProductSprint Backlog'!$F381, TRUE, 0)</f>
        <v/>
      </c>
      <c r="I381" s="4" t="str" cm="1">
        <f t="array" ref="I381">_xlfn.IFS('ProductSprint Backlog'!$F381="", "", AND('ProductSprint Backlog'!$J381&gt;I$2,'ProductSprint Backlog'!$I381&lt;=I$2), 'ProductSprint Backlog'!$F381 / MAX(1, 'ProductSprint Backlog'!$J381-'ProductSprint Backlog'!$I381), AND('ProductSprint Backlog'!$J381=I$2,'ProductSprint Backlog'!$I381=I$2), 'ProductSprint Backlog'!$F381, TRUE, 0)</f>
        <v/>
      </c>
      <c r="J381" s="4" t="str" cm="1">
        <f t="array" ref="J381">_xlfn.IFS('ProductSprint Backlog'!$F381="", "", AND('ProductSprint Backlog'!$J381&gt;J$2,'ProductSprint Backlog'!$I381&lt;=J$2), 'ProductSprint Backlog'!$F381 / MAX(1, 'ProductSprint Backlog'!$J381-'ProductSprint Backlog'!$I381), AND('ProductSprint Backlog'!$J381=J$2,'ProductSprint Backlog'!$I381=J$2), 'ProductSprint Backlog'!$F381, TRUE, 0)</f>
        <v/>
      </c>
      <c r="K381" s="4" t="str" cm="1">
        <f t="array" ref="K381">_xlfn.IFS('ProductSprint Backlog'!$F381="", "", AND('ProductSprint Backlog'!$J381&gt;K$2,'ProductSprint Backlog'!$I381&lt;=K$2), 'ProductSprint Backlog'!$F381 / MAX(1, 'ProductSprint Backlog'!$J381-'ProductSprint Backlog'!$I381), AND('ProductSprint Backlog'!$J381=K$2,'ProductSprint Backlog'!$I381=K$2), 'ProductSprint Backlog'!$F381, TRUE, 0)</f>
        <v/>
      </c>
      <c r="L381" s="4" t="str" cm="1">
        <f t="array" ref="L381">_xlfn.IFS('ProductSprint Backlog'!$F381="", "", AND('ProductSprint Backlog'!$J381&gt;L$2,'ProductSprint Backlog'!$I381&lt;=L$2), 'ProductSprint Backlog'!$F381 / MAX(1, 'ProductSprint Backlog'!$J381-'ProductSprint Backlog'!$I381), AND('ProductSprint Backlog'!$J381=L$2,'ProductSprint Backlog'!$I381=L$2), 'ProductSprint Backlog'!$F381, TRUE, 0)</f>
        <v/>
      </c>
      <c r="M381" s="4" t="str" cm="1">
        <f t="array" ref="M381">_xlfn.IFS('ProductSprint Backlog'!$F381="", "", AND('ProductSprint Backlog'!$J381&gt;M$2,'ProductSprint Backlog'!$I381&lt;=M$2), 'ProductSprint Backlog'!$F381 / MAX(1, 'ProductSprint Backlog'!$J381-'ProductSprint Backlog'!$I381), AND('ProductSprint Backlog'!$J381=M$2,'ProductSprint Backlog'!$I381=M$2), 'ProductSprint Backlog'!$F381, TRUE, 0)</f>
        <v/>
      </c>
      <c r="N381" s="4" t="str" cm="1">
        <f t="array" ref="N381">_xlfn.IFS('ProductSprint Backlog'!$F381="", "", AND('ProductSprint Backlog'!$J381&gt;N$2,'ProductSprint Backlog'!$I381&lt;=N$2), 'ProductSprint Backlog'!$F381 / MAX(1, 'ProductSprint Backlog'!$J381-'ProductSprint Backlog'!$I381), AND('ProductSprint Backlog'!$J381=N$2,'ProductSprint Backlog'!$I381=N$2), 'ProductSprint Backlog'!$F381, TRUE, 0)</f>
        <v/>
      </c>
      <c r="O381" s="4" t="str" cm="1">
        <f t="array" ref="O381">_xlfn.IFS('ProductSprint Backlog'!$F381="", "", AND('ProductSprint Backlog'!$J381&gt;O$2,'ProductSprint Backlog'!$I381&lt;=O$2), 'ProductSprint Backlog'!$F381 / MAX(1, 'ProductSprint Backlog'!$J381-'ProductSprint Backlog'!$I381), AND('ProductSprint Backlog'!$J381=O$2,'ProductSprint Backlog'!$I381=O$2), 'ProductSprint Backlog'!$F381, TRUE, 0)</f>
        <v/>
      </c>
      <c r="P381" s="4" t="str" cm="1">
        <f t="array" ref="P381">_xlfn.IFS('ProductSprint Backlog'!$F381="", "", AND('ProductSprint Backlog'!$J381&gt;P$2,'ProductSprint Backlog'!$I381&lt;=P$2), 'ProductSprint Backlog'!$F381 / MAX(1, 'ProductSprint Backlog'!$J381-'ProductSprint Backlog'!$I381), AND('ProductSprint Backlog'!$J381=P$2,'ProductSprint Backlog'!$I381=P$2), 'ProductSprint Backlog'!$F381, TRUE, 0)</f>
        <v/>
      </c>
      <c r="Q381" s="4" t="str" cm="1">
        <f t="array" ref="Q381">_xlfn.IFS('ProductSprint Backlog'!$F381="", "", AND('ProductSprint Backlog'!$J381&gt;Q$2,'ProductSprint Backlog'!$I381&lt;=Q$2), 'ProductSprint Backlog'!$F381 / MAX(1, 'ProductSprint Backlog'!$J381-'ProductSprint Backlog'!$I381), AND('ProductSprint Backlog'!$J381=Q$2,'ProductSprint Backlog'!$I381=Q$2), 'ProductSprint Backlog'!$F381, TRUE, 0)</f>
        <v/>
      </c>
    </row>
    <row r="382" spans="2:17" x14ac:dyDescent="0.2">
      <c r="B382" s="4" t="str" cm="1">
        <f t="array" ref="B382">_xlfn.IFS('ProductSprint Backlog'!$F382="", "", AND('ProductSprint Backlog'!$J382&gt;B$2,'ProductSprint Backlog'!$I382&lt;=B$2), 'ProductSprint Backlog'!$F382 / MAX(1, 'ProductSprint Backlog'!$J382-'ProductSprint Backlog'!$I382), AND('ProductSprint Backlog'!$J382=B$2,'ProductSprint Backlog'!$I382=B$2), 'ProductSprint Backlog'!$F382, TRUE, 0)</f>
        <v/>
      </c>
      <c r="C382" s="4" t="str" cm="1">
        <f t="array" ref="C382">_xlfn.IFS('ProductSprint Backlog'!$F382="", "", AND('ProductSprint Backlog'!$J382&gt;C$2,'ProductSprint Backlog'!$I382&lt;=C$2), 'ProductSprint Backlog'!$F382 / MAX(1, 'ProductSprint Backlog'!$J382-'ProductSprint Backlog'!$I382), AND('ProductSprint Backlog'!$J382=C$2,'ProductSprint Backlog'!$I382=C$2), 'ProductSprint Backlog'!$F382, TRUE, 0)</f>
        <v/>
      </c>
      <c r="D382" s="4" t="str" cm="1">
        <f t="array" ref="D382">_xlfn.IFS('ProductSprint Backlog'!$F382="", "", AND('ProductSprint Backlog'!$J382&gt;D$2,'ProductSprint Backlog'!$I382&lt;=D$2), 'ProductSprint Backlog'!$F382 / MAX(1, 'ProductSprint Backlog'!$J382-'ProductSprint Backlog'!$I382), AND('ProductSprint Backlog'!$J382=D$2,'ProductSprint Backlog'!$I382=D$2), 'ProductSprint Backlog'!$F382, TRUE, 0)</f>
        <v/>
      </c>
      <c r="E382" s="4" t="str" cm="1">
        <f t="array" ref="E382">_xlfn.IFS('ProductSprint Backlog'!$F382="", "", AND('ProductSprint Backlog'!$J382&gt;E$2,'ProductSprint Backlog'!$I382&lt;=E$2), 'ProductSprint Backlog'!$F382 / MAX(1, 'ProductSprint Backlog'!$J382-'ProductSprint Backlog'!$I382), AND('ProductSprint Backlog'!$J382=E$2,'ProductSprint Backlog'!$I382=E$2), 'ProductSprint Backlog'!$F382, TRUE, 0)</f>
        <v/>
      </c>
      <c r="F382" s="4" t="str" cm="1">
        <f t="array" ref="F382">_xlfn.IFS('ProductSprint Backlog'!$F382="", "", AND('ProductSprint Backlog'!$J382&gt;F$2,'ProductSprint Backlog'!$I382&lt;=F$2), 'ProductSprint Backlog'!$F382 / MAX(1, 'ProductSprint Backlog'!$J382-'ProductSprint Backlog'!$I382), AND('ProductSprint Backlog'!$J382=F$2,'ProductSprint Backlog'!$I382=F$2), 'ProductSprint Backlog'!$F382, TRUE, 0)</f>
        <v/>
      </c>
      <c r="G382" s="4" t="str" cm="1">
        <f t="array" ref="G382">_xlfn.IFS('ProductSprint Backlog'!$F382="", "", AND('ProductSprint Backlog'!$J382&gt;G$2,'ProductSprint Backlog'!$I382&lt;=G$2), 'ProductSprint Backlog'!$F382 / MAX(1, 'ProductSprint Backlog'!$J382-'ProductSprint Backlog'!$I382), AND('ProductSprint Backlog'!$J382=G$2,'ProductSprint Backlog'!$I382=G$2), 'ProductSprint Backlog'!$F382, TRUE, 0)</f>
        <v/>
      </c>
      <c r="H382" s="4" t="str" cm="1">
        <f t="array" ref="H382">_xlfn.IFS('ProductSprint Backlog'!$F382="", "", AND('ProductSprint Backlog'!$J382&gt;H$2,'ProductSprint Backlog'!$I382&lt;=H$2), 'ProductSprint Backlog'!$F382 / MAX(1, 'ProductSprint Backlog'!$J382-'ProductSprint Backlog'!$I382), AND('ProductSprint Backlog'!$J382=H$2,'ProductSprint Backlog'!$I382=H$2), 'ProductSprint Backlog'!$F382, TRUE, 0)</f>
        <v/>
      </c>
      <c r="I382" s="4" t="str" cm="1">
        <f t="array" ref="I382">_xlfn.IFS('ProductSprint Backlog'!$F382="", "", AND('ProductSprint Backlog'!$J382&gt;I$2,'ProductSprint Backlog'!$I382&lt;=I$2), 'ProductSprint Backlog'!$F382 / MAX(1, 'ProductSprint Backlog'!$J382-'ProductSprint Backlog'!$I382), AND('ProductSprint Backlog'!$J382=I$2,'ProductSprint Backlog'!$I382=I$2), 'ProductSprint Backlog'!$F382, TRUE, 0)</f>
        <v/>
      </c>
      <c r="J382" s="4" t="str" cm="1">
        <f t="array" ref="J382">_xlfn.IFS('ProductSprint Backlog'!$F382="", "", AND('ProductSprint Backlog'!$J382&gt;J$2,'ProductSprint Backlog'!$I382&lt;=J$2), 'ProductSprint Backlog'!$F382 / MAX(1, 'ProductSprint Backlog'!$J382-'ProductSprint Backlog'!$I382), AND('ProductSprint Backlog'!$J382=J$2,'ProductSprint Backlog'!$I382=J$2), 'ProductSprint Backlog'!$F382, TRUE, 0)</f>
        <v/>
      </c>
      <c r="K382" s="4" t="str" cm="1">
        <f t="array" ref="K382">_xlfn.IFS('ProductSprint Backlog'!$F382="", "", AND('ProductSprint Backlog'!$J382&gt;K$2,'ProductSprint Backlog'!$I382&lt;=K$2), 'ProductSprint Backlog'!$F382 / MAX(1, 'ProductSprint Backlog'!$J382-'ProductSprint Backlog'!$I382), AND('ProductSprint Backlog'!$J382=K$2,'ProductSprint Backlog'!$I382=K$2), 'ProductSprint Backlog'!$F382, TRUE, 0)</f>
        <v/>
      </c>
      <c r="L382" s="4" t="str" cm="1">
        <f t="array" ref="L382">_xlfn.IFS('ProductSprint Backlog'!$F382="", "", AND('ProductSprint Backlog'!$J382&gt;L$2,'ProductSprint Backlog'!$I382&lt;=L$2), 'ProductSprint Backlog'!$F382 / MAX(1, 'ProductSprint Backlog'!$J382-'ProductSprint Backlog'!$I382), AND('ProductSprint Backlog'!$J382=L$2,'ProductSprint Backlog'!$I382=L$2), 'ProductSprint Backlog'!$F382, TRUE, 0)</f>
        <v/>
      </c>
      <c r="M382" s="4" t="str" cm="1">
        <f t="array" ref="M382">_xlfn.IFS('ProductSprint Backlog'!$F382="", "", AND('ProductSprint Backlog'!$J382&gt;M$2,'ProductSprint Backlog'!$I382&lt;=M$2), 'ProductSprint Backlog'!$F382 / MAX(1, 'ProductSprint Backlog'!$J382-'ProductSprint Backlog'!$I382), AND('ProductSprint Backlog'!$J382=M$2,'ProductSprint Backlog'!$I382=M$2), 'ProductSprint Backlog'!$F382, TRUE, 0)</f>
        <v/>
      </c>
      <c r="N382" s="4" t="str" cm="1">
        <f t="array" ref="N382">_xlfn.IFS('ProductSprint Backlog'!$F382="", "", AND('ProductSprint Backlog'!$J382&gt;N$2,'ProductSprint Backlog'!$I382&lt;=N$2), 'ProductSprint Backlog'!$F382 / MAX(1, 'ProductSprint Backlog'!$J382-'ProductSprint Backlog'!$I382), AND('ProductSprint Backlog'!$J382=N$2,'ProductSprint Backlog'!$I382=N$2), 'ProductSprint Backlog'!$F382, TRUE, 0)</f>
        <v/>
      </c>
      <c r="O382" s="4" t="str" cm="1">
        <f t="array" ref="O382">_xlfn.IFS('ProductSprint Backlog'!$F382="", "", AND('ProductSprint Backlog'!$J382&gt;O$2,'ProductSprint Backlog'!$I382&lt;=O$2), 'ProductSprint Backlog'!$F382 / MAX(1, 'ProductSprint Backlog'!$J382-'ProductSprint Backlog'!$I382), AND('ProductSprint Backlog'!$J382=O$2,'ProductSprint Backlog'!$I382=O$2), 'ProductSprint Backlog'!$F382, TRUE, 0)</f>
        <v/>
      </c>
      <c r="P382" s="4" t="str" cm="1">
        <f t="array" ref="P382">_xlfn.IFS('ProductSprint Backlog'!$F382="", "", AND('ProductSprint Backlog'!$J382&gt;P$2,'ProductSprint Backlog'!$I382&lt;=P$2), 'ProductSprint Backlog'!$F382 / MAX(1, 'ProductSprint Backlog'!$J382-'ProductSprint Backlog'!$I382), AND('ProductSprint Backlog'!$J382=P$2,'ProductSprint Backlog'!$I382=P$2), 'ProductSprint Backlog'!$F382, TRUE, 0)</f>
        <v/>
      </c>
      <c r="Q382" s="4" t="str" cm="1">
        <f t="array" ref="Q382">_xlfn.IFS('ProductSprint Backlog'!$F382="", "", AND('ProductSprint Backlog'!$J382&gt;Q$2,'ProductSprint Backlog'!$I382&lt;=Q$2), 'ProductSprint Backlog'!$F382 / MAX(1, 'ProductSprint Backlog'!$J382-'ProductSprint Backlog'!$I382), AND('ProductSprint Backlog'!$J382=Q$2,'ProductSprint Backlog'!$I382=Q$2), 'ProductSprint Backlog'!$F382, TRUE, 0)</f>
        <v/>
      </c>
    </row>
    <row r="383" spans="2:17" x14ac:dyDescent="0.2">
      <c r="B383" s="4" t="str" cm="1">
        <f t="array" ref="B383">_xlfn.IFS('ProductSprint Backlog'!$F383="", "", AND('ProductSprint Backlog'!$J383&gt;B$2,'ProductSprint Backlog'!$I383&lt;=B$2), 'ProductSprint Backlog'!$F383 / MAX(1, 'ProductSprint Backlog'!$J383-'ProductSprint Backlog'!$I383), AND('ProductSprint Backlog'!$J383=B$2,'ProductSprint Backlog'!$I383=B$2), 'ProductSprint Backlog'!$F383, TRUE, 0)</f>
        <v/>
      </c>
      <c r="C383" s="4" t="str" cm="1">
        <f t="array" ref="C383">_xlfn.IFS('ProductSprint Backlog'!$F383="", "", AND('ProductSprint Backlog'!$J383&gt;C$2,'ProductSprint Backlog'!$I383&lt;=C$2), 'ProductSprint Backlog'!$F383 / MAX(1, 'ProductSprint Backlog'!$J383-'ProductSprint Backlog'!$I383), AND('ProductSprint Backlog'!$J383=C$2,'ProductSprint Backlog'!$I383=C$2), 'ProductSprint Backlog'!$F383, TRUE, 0)</f>
        <v/>
      </c>
      <c r="D383" s="4" t="str" cm="1">
        <f t="array" ref="D383">_xlfn.IFS('ProductSprint Backlog'!$F383="", "", AND('ProductSprint Backlog'!$J383&gt;D$2,'ProductSprint Backlog'!$I383&lt;=D$2), 'ProductSprint Backlog'!$F383 / MAX(1, 'ProductSprint Backlog'!$J383-'ProductSprint Backlog'!$I383), AND('ProductSprint Backlog'!$J383=D$2,'ProductSprint Backlog'!$I383=D$2), 'ProductSprint Backlog'!$F383, TRUE, 0)</f>
        <v/>
      </c>
      <c r="E383" s="4" t="str" cm="1">
        <f t="array" ref="E383">_xlfn.IFS('ProductSprint Backlog'!$F383="", "", AND('ProductSprint Backlog'!$J383&gt;E$2,'ProductSprint Backlog'!$I383&lt;=E$2), 'ProductSprint Backlog'!$F383 / MAX(1, 'ProductSprint Backlog'!$J383-'ProductSprint Backlog'!$I383), AND('ProductSprint Backlog'!$J383=E$2,'ProductSprint Backlog'!$I383=E$2), 'ProductSprint Backlog'!$F383, TRUE, 0)</f>
        <v/>
      </c>
      <c r="F383" s="4" t="str" cm="1">
        <f t="array" ref="F383">_xlfn.IFS('ProductSprint Backlog'!$F383="", "", AND('ProductSprint Backlog'!$J383&gt;F$2,'ProductSprint Backlog'!$I383&lt;=F$2), 'ProductSprint Backlog'!$F383 / MAX(1, 'ProductSprint Backlog'!$J383-'ProductSprint Backlog'!$I383), AND('ProductSprint Backlog'!$J383=F$2,'ProductSprint Backlog'!$I383=F$2), 'ProductSprint Backlog'!$F383, TRUE, 0)</f>
        <v/>
      </c>
      <c r="G383" s="4" t="str" cm="1">
        <f t="array" ref="G383">_xlfn.IFS('ProductSprint Backlog'!$F383="", "", AND('ProductSprint Backlog'!$J383&gt;G$2,'ProductSprint Backlog'!$I383&lt;=G$2), 'ProductSprint Backlog'!$F383 / MAX(1, 'ProductSprint Backlog'!$J383-'ProductSprint Backlog'!$I383), AND('ProductSprint Backlog'!$J383=G$2,'ProductSprint Backlog'!$I383=G$2), 'ProductSprint Backlog'!$F383, TRUE, 0)</f>
        <v/>
      </c>
      <c r="H383" s="4" t="str" cm="1">
        <f t="array" ref="H383">_xlfn.IFS('ProductSprint Backlog'!$F383="", "", AND('ProductSprint Backlog'!$J383&gt;H$2,'ProductSprint Backlog'!$I383&lt;=H$2), 'ProductSprint Backlog'!$F383 / MAX(1, 'ProductSprint Backlog'!$J383-'ProductSprint Backlog'!$I383), AND('ProductSprint Backlog'!$J383=H$2,'ProductSprint Backlog'!$I383=H$2), 'ProductSprint Backlog'!$F383, TRUE, 0)</f>
        <v/>
      </c>
      <c r="I383" s="4" t="str" cm="1">
        <f t="array" ref="I383">_xlfn.IFS('ProductSprint Backlog'!$F383="", "", AND('ProductSprint Backlog'!$J383&gt;I$2,'ProductSprint Backlog'!$I383&lt;=I$2), 'ProductSprint Backlog'!$F383 / MAX(1, 'ProductSprint Backlog'!$J383-'ProductSprint Backlog'!$I383), AND('ProductSprint Backlog'!$J383=I$2,'ProductSprint Backlog'!$I383=I$2), 'ProductSprint Backlog'!$F383, TRUE, 0)</f>
        <v/>
      </c>
      <c r="J383" s="4" t="str" cm="1">
        <f t="array" ref="J383">_xlfn.IFS('ProductSprint Backlog'!$F383="", "", AND('ProductSprint Backlog'!$J383&gt;J$2,'ProductSprint Backlog'!$I383&lt;=J$2), 'ProductSprint Backlog'!$F383 / MAX(1, 'ProductSprint Backlog'!$J383-'ProductSprint Backlog'!$I383), AND('ProductSprint Backlog'!$J383=J$2,'ProductSprint Backlog'!$I383=J$2), 'ProductSprint Backlog'!$F383, TRUE, 0)</f>
        <v/>
      </c>
      <c r="K383" s="4" t="str" cm="1">
        <f t="array" ref="K383">_xlfn.IFS('ProductSprint Backlog'!$F383="", "", AND('ProductSprint Backlog'!$J383&gt;K$2,'ProductSprint Backlog'!$I383&lt;=K$2), 'ProductSprint Backlog'!$F383 / MAX(1, 'ProductSprint Backlog'!$J383-'ProductSprint Backlog'!$I383), AND('ProductSprint Backlog'!$J383=K$2,'ProductSprint Backlog'!$I383=K$2), 'ProductSprint Backlog'!$F383, TRUE, 0)</f>
        <v/>
      </c>
      <c r="L383" s="4" t="str" cm="1">
        <f t="array" ref="L383">_xlfn.IFS('ProductSprint Backlog'!$F383="", "", AND('ProductSprint Backlog'!$J383&gt;L$2,'ProductSprint Backlog'!$I383&lt;=L$2), 'ProductSprint Backlog'!$F383 / MAX(1, 'ProductSprint Backlog'!$J383-'ProductSprint Backlog'!$I383), AND('ProductSprint Backlog'!$J383=L$2,'ProductSprint Backlog'!$I383=L$2), 'ProductSprint Backlog'!$F383, TRUE, 0)</f>
        <v/>
      </c>
      <c r="M383" s="4" t="str" cm="1">
        <f t="array" ref="M383">_xlfn.IFS('ProductSprint Backlog'!$F383="", "", AND('ProductSprint Backlog'!$J383&gt;M$2,'ProductSprint Backlog'!$I383&lt;=M$2), 'ProductSprint Backlog'!$F383 / MAX(1, 'ProductSprint Backlog'!$J383-'ProductSprint Backlog'!$I383), AND('ProductSprint Backlog'!$J383=M$2,'ProductSprint Backlog'!$I383=M$2), 'ProductSprint Backlog'!$F383, TRUE, 0)</f>
        <v/>
      </c>
      <c r="N383" s="4" t="str" cm="1">
        <f t="array" ref="N383">_xlfn.IFS('ProductSprint Backlog'!$F383="", "", AND('ProductSprint Backlog'!$J383&gt;N$2,'ProductSprint Backlog'!$I383&lt;=N$2), 'ProductSprint Backlog'!$F383 / MAX(1, 'ProductSprint Backlog'!$J383-'ProductSprint Backlog'!$I383), AND('ProductSprint Backlog'!$J383=N$2,'ProductSprint Backlog'!$I383=N$2), 'ProductSprint Backlog'!$F383, TRUE, 0)</f>
        <v/>
      </c>
      <c r="O383" s="4" t="str" cm="1">
        <f t="array" ref="O383">_xlfn.IFS('ProductSprint Backlog'!$F383="", "", AND('ProductSprint Backlog'!$J383&gt;O$2,'ProductSprint Backlog'!$I383&lt;=O$2), 'ProductSprint Backlog'!$F383 / MAX(1, 'ProductSprint Backlog'!$J383-'ProductSprint Backlog'!$I383), AND('ProductSprint Backlog'!$J383=O$2,'ProductSprint Backlog'!$I383=O$2), 'ProductSprint Backlog'!$F383, TRUE, 0)</f>
        <v/>
      </c>
      <c r="P383" s="4" t="str" cm="1">
        <f t="array" ref="P383">_xlfn.IFS('ProductSprint Backlog'!$F383="", "", AND('ProductSprint Backlog'!$J383&gt;P$2,'ProductSprint Backlog'!$I383&lt;=P$2), 'ProductSprint Backlog'!$F383 / MAX(1, 'ProductSprint Backlog'!$J383-'ProductSprint Backlog'!$I383), AND('ProductSprint Backlog'!$J383=P$2,'ProductSprint Backlog'!$I383=P$2), 'ProductSprint Backlog'!$F383, TRUE, 0)</f>
        <v/>
      </c>
      <c r="Q383" s="4" t="str" cm="1">
        <f t="array" ref="Q383">_xlfn.IFS('ProductSprint Backlog'!$F383="", "", AND('ProductSprint Backlog'!$J383&gt;Q$2,'ProductSprint Backlog'!$I383&lt;=Q$2), 'ProductSprint Backlog'!$F383 / MAX(1, 'ProductSprint Backlog'!$J383-'ProductSprint Backlog'!$I383), AND('ProductSprint Backlog'!$J383=Q$2,'ProductSprint Backlog'!$I383=Q$2), 'ProductSprint Backlog'!$F383, TRUE, 0)</f>
        <v/>
      </c>
    </row>
    <row r="384" spans="2:17" x14ac:dyDescent="0.2">
      <c r="B384" s="4" t="str" cm="1">
        <f t="array" ref="B384">_xlfn.IFS('ProductSprint Backlog'!$F384="", "", AND('ProductSprint Backlog'!$J384&gt;B$2,'ProductSprint Backlog'!$I384&lt;=B$2), 'ProductSprint Backlog'!$F384 / MAX(1, 'ProductSprint Backlog'!$J384-'ProductSprint Backlog'!$I384), AND('ProductSprint Backlog'!$J384=B$2,'ProductSprint Backlog'!$I384=B$2), 'ProductSprint Backlog'!$F384, TRUE, 0)</f>
        <v/>
      </c>
      <c r="C384" s="4" t="str" cm="1">
        <f t="array" ref="C384">_xlfn.IFS('ProductSprint Backlog'!$F384="", "", AND('ProductSprint Backlog'!$J384&gt;C$2,'ProductSprint Backlog'!$I384&lt;=C$2), 'ProductSprint Backlog'!$F384 / MAX(1, 'ProductSprint Backlog'!$J384-'ProductSprint Backlog'!$I384), AND('ProductSprint Backlog'!$J384=C$2,'ProductSprint Backlog'!$I384=C$2), 'ProductSprint Backlog'!$F384, TRUE, 0)</f>
        <v/>
      </c>
      <c r="D384" s="4" t="str" cm="1">
        <f t="array" ref="D384">_xlfn.IFS('ProductSprint Backlog'!$F384="", "", AND('ProductSprint Backlog'!$J384&gt;D$2,'ProductSprint Backlog'!$I384&lt;=D$2), 'ProductSprint Backlog'!$F384 / MAX(1, 'ProductSprint Backlog'!$J384-'ProductSprint Backlog'!$I384), AND('ProductSprint Backlog'!$J384=D$2,'ProductSprint Backlog'!$I384=D$2), 'ProductSprint Backlog'!$F384, TRUE, 0)</f>
        <v/>
      </c>
      <c r="E384" s="4" t="str" cm="1">
        <f t="array" ref="E384">_xlfn.IFS('ProductSprint Backlog'!$F384="", "", AND('ProductSprint Backlog'!$J384&gt;E$2,'ProductSprint Backlog'!$I384&lt;=E$2), 'ProductSprint Backlog'!$F384 / MAX(1, 'ProductSprint Backlog'!$J384-'ProductSprint Backlog'!$I384), AND('ProductSprint Backlog'!$J384=E$2,'ProductSprint Backlog'!$I384=E$2), 'ProductSprint Backlog'!$F384, TRUE, 0)</f>
        <v/>
      </c>
      <c r="F384" s="4" t="str" cm="1">
        <f t="array" ref="F384">_xlfn.IFS('ProductSprint Backlog'!$F384="", "", AND('ProductSprint Backlog'!$J384&gt;F$2,'ProductSprint Backlog'!$I384&lt;=F$2), 'ProductSprint Backlog'!$F384 / MAX(1, 'ProductSprint Backlog'!$J384-'ProductSprint Backlog'!$I384), AND('ProductSprint Backlog'!$J384=F$2,'ProductSprint Backlog'!$I384=F$2), 'ProductSprint Backlog'!$F384, TRUE, 0)</f>
        <v/>
      </c>
      <c r="G384" s="4" t="str" cm="1">
        <f t="array" ref="G384">_xlfn.IFS('ProductSprint Backlog'!$F384="", "", AND('ProductSprint Backlog'!$J384&gt;G$2,'ProductSprint Backlog'!$I384&lt;=G$2), 'ProductSprint Backlog'!$F384 / MAX(1, 'ProductSprint Backlog'!$J384-'ProductSprint Backlog'!$I384), AND('ProductSprint Backlog'!$J384=G$2,'ProductSprint Backlog'!$I384=G$2), 'ProductSprint Backlog'!$F384, TRUE, 0)</f>
        <v/>
      </c>
      <c r="H384" s="4" t="str" cm="1">
        <f t="array" ref="H384">_xlfn.IFS('ProductSprint Backlog'!$F384="", "", AND('ProductSprint Backlog'!$J384&gt;H$2,'ProductSprint Backlog'!$I384&lt;=H$2), 'ProductSprint Backlog'!$F384 / MAX(1, 'ProductSprint Backlog'!$J384-'ProductSprint Backlog'!$I384), AND('ProductSprint Backlog'!$J384=H$2,'ProductSprint Backlog'!$I384=H$2), 'ProductSprint Backlog'!$F384, TRUE, 0)</f>
        <v/>
      </c>
      <c r="I384" s="4" t="str" cm="1">
        <f t="array" ref="I384">_xlfn.IFS('ProductSprint Backlog'!$F384="", "", AND('ProductSprint Backlog'!$J384&gt;I$2,'ProductSprint Backlog'!$I384&lt;=I$2), 'ProductSprint Backlog'!$F384 / MAX(1, 'ProductSprint Backlog'!$J384-'ProductSprint Backlog'!$I384), AND('ProductSprint Backlog'!$J384=I$2,'ProductSprint Backlog'!$I384=I$2), 'ProductSprint Backlog'!$F384, TRUE, 0)</f>
        <v/>
      </c>
      <c r="J384" s="4" t="str" cm="1">
        <f t="array" ref="J384">_xlfn.IFS('ProductSprint Backlog'!$F384="", "", AND('ProductSprint Backlog'!$J384&gt;J$2,'ProductSprint Backlog'!$I384&lt;=J$2), 'ProductSprint Backlog'!$F384 / MAX(1, 'ProductSprint Backlog'!$J384-'ProductSprint Backlog'!$I384), AND('ProductSprint Backlog'!$J384=J$2,'ProductSprint Backlog'!$I384=J$2), 'ProductSprint Backlog'!$F384, TRUE, 0)</f>
        <v/>
      </c>
      <c r="K384" s="4" t="str" cm="1">
        <f t="array" ref="K384">_xlfn.IFS('ProductSprint Backlog'!$F384="", "", AND('ProductSprint Backlog'!$J384&gt;K$2,'ProductSprint Backlog'!$I384&lt;=K$2), 'ProductSprint Backlog'!$F384 / MAX(1, 'ProductSprint Backlog'!$J384-'ProductSprint Backlog'!$I384), AND('ProductSprint Backlog'!$J384=K$2,'ProductSprint Backlog'!$I384=K$2), 'ProductSprint Backlog'!$F384, TRUE, 0)</f>
        <v/>
      </c>
      <c r="L384" s="4" t="str" cm="1">
        <f t="array" ref="L384">_xlfn.IFS('ProductSprint Backlog'!$F384="", "", AND('ProductSprint Backlog'!$J384&gt;L$2,'ProductSprint Backlog'!$I384&lt;=L$2), 'ProductSprint Backlog'!$F384 / MAX(1, 'ProductSprint Backlog'!$J384-'ProductSprint Backlog'!$I384), AND('ProductSprint Backlog'!$J384=L$2,'ProductSprint Backlog'!$I384=L$2), 'ProductSprint Backlog'!$F384, TRUE, 0)</f>
        <v/>
      </c>
      <c r="M384" s="4" t="str" cm="1">
        <f t="array" ref="M384">_xlfn.IFS('ProductSprint Backlog'!$F384="", "", AND('ProductSprint Backlog'!$J384&gt;M$2,'ProductSprint Backlog'!$I384&lt;=M$2), 'ProductSprint Backlog'!$F384 / MAX(1, 'ProductSprint Backlog'!$J384-'ProductSprint Backlog'!$I384), AND('ProductSprint Backlog'!$J384=M$2,'ProductSprint Backlog'!$I384=M$2), 'ProductSprint Backlog'!$F384, TRUE, 0)</f>
        <v/>
      </c>
      <c r="N384" s="4" t="str" cm="1">
        <f t="array" ref="N384">_xlfn.IFS('ProductSprint Backlog'!$F384="", "", AND('ProductSprint Backlog'!$J384&gt;N$2,'ProductSprint Backlog'!$I384&lt;=N$2), 'ProductSprint Backlog'!$F384 / MAX(1, 'ProductSprint Backlog'!$J384-'ProductSprint Backlog'!$I384), AND('ProductSprint Backlog'!$J384=N$2,'ProductSprint Backlog'!$I384=N$2), 'ProductSprint Backlog'!$F384, TRUE, 0)</f>
        <v/>
      </c>
      <c r="O384" s="4" t="str" cm="1">
        <f t="array" ref="O384">_xlfn.IFS('ProductSprint Backlog'!$F384="", "", AND('ProductSprint Backlog'!$J384&gt;O$2,'ProductSprint Backlog'!$I384&lt;=O$2), 'ProductSprint Backlog'!$F384 / MAX(1, 'ProductSprint Backlog'!$J384-'ProductSprint Backlog'!$I384), AND('ProductSprint Backlog'!$J384=O$2,'ProductSprint Backlog'!$I384=O$2), 'ProductSprint Backlog'!$F384, TRUE, 0)</f>
        <v/>
      </c>
      <c r="P384" s="4" t="str" cm="1">
        <f t="array" ref="P384">_xlfn.IFS('ProductSprint Backlog'!$F384="", "", AND('ProductSprint Backlog'!$J384&gt;P$2,'ProductSprint Backlog'!$I384&lt;=P$2), 'ProductSprint Backlog'!$F384 / MAX(1, 'ProductSprint Backlog'!$J384-'ProductSprint Backlog'!$I384), AND('ProductSprint Backlog'!$J384=P$2,'ProductSprint Backlog'!$I384=P$2), 'ProductSprint Backlog'!$F384, TRUE, 0)</f>
        <v/>
      </c>
      <c r="Q384" s="4" t="str" cm="1">
        <f t="array" ref="Q384">_xlfn.IFS('ProductSprint Backlog'!$F384="", "", AND('ProductSprint Backlog'!$J384&gt;Q$2,'ProductSprint Backlog'!$I384&lt;=Q$2), 'ProductSprint Backlog'!$F384 / MAX(1, 'ProductSprint Backlog'!$J384-'ProductSprint Backlog'!$I384), AND('ProductSprint Backlog'!$J384=Q$2,'ProductSprint Backlog'!$I384=Q$2), 'ProductSprint Backlog'!$F384, TRUE, 0)</f>
        <v/>
      </c>
    </row>
    <row r="385" spans="2:17" x14ac:dyDescent="0.2">
      <c r="B385" s="4" t="str" cm="1">
        <f t="array" ref="B385">_xlfn.IFS('ProductSprint Backlog'!$F385="", "", AND('ProductSprint Backlog'!$J385&gt;B$2,'ProductSprint Backlog'!$I385&lt;=B$2), 'ProductSprint Backlog'!$F385 / MAX(1, 'ProductSprint Backlog'!$J385-'ProductSprint Backlog'!$I385), AND('ProductSprint Backlog'!$J385=B$2,'ProductSprint Backlog'!$I385=B$2), 'ProductSprint Backlog'!$F385, TRUE, 0)</f>
        <v/>
      </c>
      <c r="C385" s="4" t="str" cm="1">
        <f t="array" ref="C385">_xlfn.IFS('ProductSprint Backlog'!$F385="", "", AND('ProductSprint Backlog'!$J385&gt;C$2,'ProductSprint Backlog'!$I385&lt;=C$2), 'ProductSprint Backlog'!$F385 / MAX(1, 'ProductSprint Backlog'!$J385-'ProductSprint Backlog'!$I385), AND('ProductSprint Backlog'!$J385=C$2,'ProductSprint Backlog'!$I385=C$2), 'ProductSprint Backlog'!$F385, TRUE, 0)</f>
        <v/>
      </c>
      <c r="D385" s="4" t="str" cm="1">
        <f t="array" ref="D385">_xlfn.IFS('ProductSprint Backlog'!$F385="", "", AND('ProductSprint Backlog'!$J385&gt;D$2,'ProductSprint Backlog'!$I385&lt;=D$2), 'ProductSprint Backlog'!$F385 / MAX(1, 'ProductSprint Backlog'!$J385-'ProductSprint Backlog'!$I385), AND('ProductSprint Backlog'!$J385=D$2,'ProductSprint Backlog'!$I385=D$2), 'ProductSprint Backlog'!$F385, TRUE, 0)</f>
        <v/>
      </c>
      <c r="E385" s="4" t="str" cm="1">
        <f t="array" ref="E385">_xlfn.IFS('ProductSprint Backlog'!$F385="", "", AND('ProductSprint Backlog'!$J385&gt;E$2,'ProductSprint Backlog'!$I385&lt;=E$2), 'ProductSprint Backlog'!$F385 / MAX(1, 'ProductSprint Backlog'!$J385-'ProductSprint Backlog'!$I385), AND('ProductSprint Backlog'!$J385=E$2,'ProductSprint Backlog'!$I385=E$2), 'ProductSprint Backlog'!$F385, TRUE, 0)</f>
        <v/>
      </c>
      <c r="F385" s="4" t="str" cm="1">
        <f t="array" ref="F385">_xlfn.IFS('ProductSprint Backlog'!$F385="", "", AND('ProductSprint Backlog'!$J385&gt;F$2,'ProductSprint Backlog'!$I385&lt;=F$2), 'ProductSprint Backlog'!$F385 / MAX(1, 'ProductSprint Backlog'!$J385-'ProductSprint Backlog'!$I385), AND('ProductSprint Backlog'!$J385=F$2,'ProductSprint Backlog'!$I385=F$2), 'ProductSprint Backlog'!$F385, TRUE, 0)</f>
        <v/>
      </c>
      <c r="G385" s="4" t="str" cm="1">
        <f t="array" ref="G385">_xlfn.IFS('ProductSprint Backlog'!$F385="", "", AND('ProductSprint Backlog'!$J385&gt;G$2,'ProductSprint Backlog'!$I385&lt;=G$2), 'ProductSprint Backlog'!$F385 / MAX(1, 'ProductSprint Backlog'!$J385-'ProductSprint Backlog'!$I385), AND('ProductSprint Backlog'!$J385=G$2,'ProductSprint Backlog'!$I385=G$2), 'ProductSprint Backlog'!$F385, TRUE, 0)</f>
        <v/>
      </c>
      <c r="H385" s="4" t="str" cm="1">
        <f t="array" ref="H385">_xlfn.IFS('ProductSprint Backlog'!$F385="", "", AND('ProductSprint Backlog'!$J385&gt;H$2,'ProductSprint Backlog'!$I385&lt;=H$2), 'ProductSprint Backlog'!$F385 / MAX(1, 'ProductSprint Backlog'!$J385-'ProductSprint Backlog'!$I385), AND('ProductSprint Backlog'!$J385=H$2,'ProductSprint Backlog'!$I385=H$2), 'ProductSprint Backlog'!$F385, TRUE, 0)</f>
        <v/>
      </c>
      <c r="I385" s="4" t="str" cm="1">
        <f t="array" ref="I385">_xlfn.IFS('ProductSprint Backlog'!$F385="", "", AND('ProductSprint Backlog'!$J385&gt;I$2,'ProductSprint Backlog'!$I385&lt;=I$2), 'ProductSprint Backlog'!$F385 / MAX(1, 'ProductSprint Backlog'!$J385-'ProductSprint Backlog'!$I385), AND('ProductSprint Backlog'!$J385=I$2,'ProductSprint Backlog'!$I385=I$2), 'ProductSprint Backlog'!$F385, TRUE, 0)</f>
        <v/>
      </c>
      <c r="J385" s="4" t="str" cm="1">
        <f t="array" ref="J385">_xlfn.IFS('ProductSprint Backlog'!$F385="", "", AND('ProductSprint Backlog'!$J385&gt;J$2,'ProductSprint Backlog'!$I385&lt;=J$2), 'ProductSprint Backlog'!$F385 / MAX(1, 'ProductSprint Backlog'!$J385-'ProductSprint Backlog'!$I385), AND('ProductSprint Backlog'!$J385=J$2,'ProductSprint Backlog'!$I385=J$2), 'ProductSprint Backlog'!$F385, TRUE, 0)</f>
        <v/>
      </c>
      <c r="K385" s="4" t="str" cm="1">
        <f t="array" ref="K385">_xlfn.IFS('ProductSprint Backlog'!$F385="", "", AND('ProductSprint Backlog'!$J385&gt;K$2,'ProductSprint Backlog'!$I385&lt;=K$2), 'ProductSprint Backlog'!$F385 / MAX(1, 'ProductSprint Backlog'!$J385-'ProductSprint Backlog'!$I385), AND('ProductSprint Backlog'!$J385=K$2,'ProductSprint Backlog'!$I385=K$2), 'ProductSprint Backlog'!$F385, TRUE, 0)</f>
        <v/>
      </c>
      <c r="L385" s="4" t="str" cm="1">
        <f t="array" ref="L385">_xlfn.IFS('ProductSprint Backlog'!$F385="", "", AND('ProductSprint Backlog'!$J385&gt;L$2,'ProductSprint Backlog'!$I385&lt;=L$2), 'ProductSprint Backlog'!$F385 / MAX(1, 'ProductSprint Backlog'!$J385-'ProductSprint Backlog'!$I385), AND('ProductSprint Backlog'!$J385=L$2,'ProductSprint Backlog'!$I385=L$2), 'ProductSprint Backlog'!$F385, TRUE, 0)</f>
        <v/>
      </c>
      <c r="M385" s="4" t="str" cm="1">
        <f t="array" ref="M385">_xlfn.IFS('ProductSprint Backlog'!$F385="", "", AND('ProductSprint Backlog'!$J385&gt;M$2,'ProductSprint Backlog'!$I385&lt;=M$2), 'ProductSprint Backlog'!$F385 / MAX(1, 'ProductSprint Backlog'!$J385-'ProductSprint Backlog'!$I385), AND('ProductSprint Backlog'!$J385=M$2,'ProductSprint Backlog'!$I385=M$2), 'ProductSprint Backlog'!$F385, TRUE, 0)</f>
        <v/>
      </c>
      <c r="N385" s="4" t="str" cm="1">
        <f t="array" ref="N385">_xlfn.IFS('ProductSprint Backlog'!$F385="", "", AND('ProductSprint Backlog'!$J385&gt;N$2,'ProductSprint Backlog'!$I385&lt;=N$2), 'ProductSprint Backlog'!$F385 / MAX(1, 'ProductSprint Backlog'!$J385-'ProductSprint Backlog'!$I385), AND('ProductSprint Backlog'!$J385=N$2,'ProductSprint Backlog'!$I385=N$2), 'ProductSprint Backlog'!$F385, TRUE, 0)</f>
        <v/>
      </c>
      <c r="O385" s="4" t="str" cm="1">
        <f t="array" ref="O385">_xlfn.IFS('ProductSprint Backlog'!$F385="", "", AND('ProductSprint Backlog'!$J385&gt;O$2,'ProductSprint Backlog'!$I385&lt;=O$2), 'ProductSprint Backlog'!$F385 / MAX(1, 'ProductSprint Backlog'!$J385-'ProductSprint Backlog'!$I385), AND('ProductSprint Backlog'!$J385=O$2,'ProductSprint Backlog'!$I385=O$2), 'ProductSprint Backlog'!$F385, TRUE, 0)</f>
        <v/>
      </c>
      <c r="P385" s="4" t="str" cm="1">
        <f t="array" ref="P385">_xlfn.IFS('ProductSprint Backlog'!$F385="", "", AND('ProductSprint Backlog'!$J385&gt;P$2,'ProductSprint Backlog'!$I385&lt;=P$2), 'ProductSprint Backlog'!$F385 / MAX(1, 'ProductSprint Backlog'!$J385-'ProductSprint Backlog'!$I385), AND('ProductSprint Backlog'!$J385=P$2,'ProductSprint Backlog'!$I385=P$2), 'ProductSprint Backlog'!$F385, TRUE, 0)</f>
        <v/>
      </c>
      <c r="Q385" s="4" t="str" cm="1">
        <f t="array" ref="Q385">_xlfn.IFS('ProductSprint Backlog'!$F385="", "", AND('ProductSprint Backlog'!$J385&gt;Q$2,'ProductSprint Backlog'!$I385&lt;=Q$2), 'ProductSprint Backlog'!$F385 / MAX(1, 'ProductSprint Backlog'!$J385-'ProductSprint Backlog'!$I385), AND('ProductSprint Backlog'!$J385=Q$2,'ProductSprint Backlog'!$I385=Q$2), 'ProductSprint Backlog'!$F385, TRUE, 0)</f>
        <v/>
      </c>
    </row>
    <row r="386" spans="2:17" x14ac:dyDescent="0.2">
      <c r="B386" s="4" t="str" cm="1">
        <f t="array" ref="B386">_xlfn.IFS('ProductSprint Backlog'!$F386="", "", AND('ProductSprint Backlog'!$J386&gt;B$2,'ProductSprint Backlog'!$I386&lt;=B$2), 'ProductSprint Backlog'!$F386 / MAX(1, 'ProductSprint Backlog'!$J386-'ProductSprint Backlog'!$I386), AND('ProductSprint Backlog'!$J386=B$2,'ProductSprint Backlog'!$I386=B$2), 'ProductSprint Backlog'!$F386, TRUE, 0)</f>
        <v/>
      </c>
      <c r="C386" s="4" t="str" cm="1">
        <f t="array" ref="C386">_xlfn.IFS('ProductSprint Backlog'!$F386="", "", AND('ProductSprint Backlog'!$J386&gt;C$2,'ProductSprint Backlog'!$I386&lt;=C$2), 'ProductSprint Backlog'!$F386 / MAX(1, 'ProductSprint Backlog'!$J386-'ProductSprint Backlog'!$I386), AND('ProductSprint Backlog'!$J386=C$2,'ProductSprint Backlog'!$I386=C$2), 'ProductSprint Backlog'!$F386, TRUE, 0)</f>
        <v/>
      </c>
      <c r="D386" s="4" t="str" cm="1">
        <f t="array" ref="D386">_xlfn.IFS('ProductSprint Backlog'!$F386="", "", AND('ProductSprint Backlog'!$J386&gt;D$2,'ProductSprint Backlog'!$I386&lt;=D$2), 'ProductSprint Backlog'!$F386 / MAX(1, 'ProductSprint Backlog'!$J386-'ProductSprint Backlog'!$I386), AND('ProductSprint Backlog'!$J386=D$2,'ProductSprint Backlog'!$I386=D$2), 'ProductSprint Backlog'!$F386, TRUE, 0)</f>
        <v/>
      </c>
      <c r="E386" s="4" t="str" cm="1">
        <f t="array" ref="E386">_xlfn.IFS('ProductSprint Backlog'!$F386="", "", AND('ProductSprint Backlog'!$J386&gt;E$2,'ProductSprint Backlog'!$I386&lt;=E$2), 'ProductSprint Backlog'!$F386 / MAX(1, 'ProductSprint Backlog'!$J386-'ProductSprint Backlog'!$I386), AND('ProductSprint Backlog'!$J386=E$2,'ProductSprint Backlog'!$I386=E$2), 'ProductSprint Backlog'!$F386, TRUE, 0)</f>
        <v/>
      </c>
      <c r="F386" s="4" t="str" cm="1">
        <f t="array" ref="F386">_xlfn.IFS('ProductSprint Backlog'!$F386="", "", AND('ProductSprint Backlog'!$J386&gt;F$2,'ProductSprint Backlog'!$I386&lt;=F$2), 'ProductSprint Backlog'!$F386 / MAX(1, 'ProductSprint Backlog'!$J386-'ProductSprint Backlog'!$I386), AND('ProductSprint Backlog'!$J386=F$2,'ProductSprint Backlog'!$I386=F$2), 'ProductSprint Backlog'!$F386, TRUE, 0)</f>
        <v/>
      </c>
      <c r="G386" s="4" t="str" cm="1">
        <f t="array" ref="G386">_xlfn.IFS('ProductSprint Backlog'!$F386="", "", AND('ProductSprint Backlog'!$J386&gt;G$2,'ProductSprint Backlog'!$I386&lt;=G$2), 'ProductSprint Backlog'!$F386 / MAX(1, 'ProductSprint Backlog'!$J386-'ProductSprint Backlog'!$I386), AND('ProductSprint Backlog'!$J386=G$2,'ProductSprint Backlog'!$I386=G$2), 'ProductSprint Backlog'!$F386, TRUE, 0)</f>
        <v/>
      </c>
      <c r="H386" s="4" t="str" cm="1">
        <f t="array" ref="H386">_xlfn.IFS('ProductSprint Backlog'!$F386="", "", AND('ProductSprint Backlog'!$J386&gt;H$2,'ProductSprint Backlog'!$I386&lt;=H$2), 'ProductSprint Backlog'!$F386 / MAX(1, 'ProductSprint Backlog'!$J386-'ProductSprint Backlog'!$I386), AND('ProductSprint Backlog'!$J386=H$2,'ProductSprint Backlog'!$I386=H$2), 'ProductSprint Backlog'!$F386, TRUE, 0)</f>
        <v/>
      </c>
      <c r="I386" s="4" t="str" cm="1">
        <f t="array" ref="I386">_xlfn.IFS('ProductSprint Backlog'!$F386="", "", AND('ProductSprint Backlog'!$J386&gt;I$2,'ProductSprint Backlog'!$I386&lt;=I$2), 'ProductSprint Backlog'!$F386 / MAX(1, 'ProductSprint Backlog'!$J386-'ProductSprint Backlog'!$I386), AND('ProductSprint Backlog'!$J386=I$2,'ProductSprint Backlog'!$I386=I$2), 'ProductSprint Backlog'!$F386, TRUE, 0)</f>
        <v/>
      </c>
      <c r="J386" s="4" t="str" cm="1">
        <f t="array" ref="J386">_xlfn.IFS('ProductSprint Backlog'!$F386="", "", AND('ProductSprint Backlog'!$J386&gt;J$2,'ProductSprint Backlog'!$I386&lt;=J$2), 'ProductSprint Backlog'!$F386 / MAX(1, 'ProductSprint Backlog'!$J386-'ProductSprint Backlog'!$I386), AND('ProductSprint Backlog'!$J386=J$2,'ProductSprint Backlog'!$I386=J$2), 'ProductSprint Backlog'!$F386, TRUE, 0)</f>
        <v/>
      </c>
      <c r="K386" s="4" t="str" cm="1">
        <f t="array" ref="K386">_xlfn.IFS('ProductSprint Backlog'!$F386="", "", AND('ProductSprint Backlog'!$J386&gt;K$2,'ProductSprint Backlog'!$I386&lt;=K$2), 'ProductSprint Backlog'!$F386 / MAX(1, 'ProductSprint Backlog'!$J386-'ProductSprint Backlog'!$I386), AND('ProductSprint Backlog'!$J386=K$2,'ProductSprint Backlog'!$I386=K$2), 'ProductSprint Backlog'!$F386, TRUE, 0)</f>
        <v/>
      </c>
      <c r="L386" s="4" t="str" cm="1">
        <f t="array" ref="L386">_xlfn.IFS('ProductSprint Backlog'!$F386="", "", AND('ProductSprint Backlog'!$J386&gt;L$2,'ProductSprint Backlog'!$I386&lt;=L$2), 'ProductSprint Backlog'!$F386 / MAX(1, 'ProductSprint Backlog'!$J386-'ProductSprint Backlog'!$I386), AND('ProductSprint Backlog'!$J386=L$2,'ProductSprint Backlog'!$I386=L$2), 'ProductSprint Backlog'!$F386, TRUE, 0)</f>
        <v/>
      </c>
      <c r="M386" s="4" t="str" cm="1">
        <f t="array" ref="M386">_xlfn.IFS('ProductSprint Backlog'!$F386="", "", AND('ProductSprint Backlog'!$J386&gt;M$2,'ProductSprint Backlog'!$I386&lt;=M$2), 'ProductSprint Backlog'!$F386 / MAX(1, 'ProductSprint Backlog'!$J386-'ProductSprint Backlog'!$I386), AND('ProductSprint Backlog'!$J386=M$2,'ProductSprint Backlog'!$I386=M$2), 'ProductSprint Backlog'!$F386, TRUE, 0)</f>
        <v/>
      </c>
      <c r="N386" s="4" t="str" cm="1">
        <f t="array" ref="N386">_xlfn.IFS('ProductSprint Backlog'!$F386="", "", AND('ProductSprint Backlog'!$J386&gt;N$2,'ProductSprint Backlog'!$I386&lt;=N$2), 'ProductSprint Backlog'!$F386 / MAX(1, 'ProductSprint Backlog'!$J386-'ProductSprint Backlog'!$I386), AND('ProductSprint Backlog'!$J386=N$2,'ProductSprint Backlog'!$I386=N$2), 'ProductSprint Backlog'!$F386, TRUE, 0)</f>
        <v/>
      </c>
      <c r="O386" s="4" t="str" cm="1">
        <f t="array" ref="O386">_xlfn.IFS('ProductSprint Backlog'!$F386="", "", AND('ProductSprint Backlog'!$J386&gt;O$2,'ProductSprint Backlog'!$I386&lt;=O$2), 'ProductSprint Backlog'!$F386 / MAX(1, 'ProductSprint Backlog'!$J386-'ProductSprint Backlog'!$I386), AND('ProductSprint Backlog'!$J386=O$2,'ProductSprint Backlog'!$I386=O$2), 'ProductSprint Backlog'!$F386, TRUE, 0)</f>
        <v/>
      </c>
      <c r="P386" s="4" t="str" cm="1">
        <f t="array" ref="P386">_xlfn.IFS('ProductSprint Backlog'!$F386="", "", AND('ProductSprint Backlog'!$J386&gt;P$2,'ProductSprint Backlog'!$I386&lt;=P$2), 'ProductSprint Backlog'!$F386 / MAX(1, 'ProductSprint Backlog'!$J386-'ProductSprint Backlog'!$I386), AND('ProductSprint Backlog'!$J386=P$2,'ProductSprint Backlog'!$I386=P$2), 'ProductSprint Backlog'!$F386, TRUE, 0)</f>
        <v/>
      </c>
      <c r="Q386" s="4" t="str" cm="1">
        <f t="array" ref="Q386">_xlfn.IFS('ProductSprint Backlog'!$F386="", "", AND('ProductSprint Backlog'!$J386&gt;Q$2,'ProductSprint Backlog'!$I386&lt;=Q$2), 'ProductSprint Backlog'!$F386 / MAX(1, 'ProductSprint Backlog'!$J386-'ProductSprint Backlog'!$I386), AND('ProductSprint Backlog'!$J386=Q$2,'ProductSprint Backlog'!$I386=Q$2), 'ProductSprint Backlog'!$F386, TRUE, 0)</f>
        <v/>
      </c>
    </row>
    <row r="387" spans="2:17" x14ac:dyDescent="0.2">
      <c r="B387" s="4" t="str" cm="1">
        <f t="array" ref="B387">_xlfn.IFS('ProductSprint Backlog'!$F387="", "", AND('ProductSprint Backlog'!$J387&gt;B$2,'ProductSprint Backlog'!$I387&lt;=B$2), 'ProductSprint Backlog'!$F387 / MAX(1, 'ProductSprint Backlog'!$J387-'ProductSprint Backlog'!$I387), AND('ProductSprint Backlog'!$J387=B$2,'ProductSprint Backlog'!$I387=B$2), 'ProductSprint Backlog'!$F387, TRUE, 0)</f>
        <v/>
      </c>
      <c r="C387" s="4" t="str" cm="1">
        <f t="array" ref="C387">_xlfn.IFS('ProductSprint Backlog'!$F387="", "", AND('ProductSprint Backlog'!$J387&gt;C$2,'ProductSprint Backlog'!$I387&lt;=C$2), 'ProductSprint Backlog'!$F387 / MAX(1, 'ProductSprint Backlog'!$J387-'ProductSprint Backlog'!$I387), AND('ProductSprint Backlog'!$J387=C$2,'ProductSprint Backlog'!$I387=C$2), 'ProductSprint Backlog'!$F387, TRUE, 0)</f>
        <v/>
      </c>
      <c r="D387" s="4" t="str" cm="1">
        <f t="array" ref="D387">_xlfn.IFS('ProductSprint Backlog'!$F387="", "", AND('ProductSprint Backlog'!$J387&gt;D$2,'ProductSprint Backlog'!$I387&lt;=D$2), 'ProductSprint Backlog'!$F387 / MAX(1, 'ProductSprint Backlog'!$J387-'ProductSprint Backlog'!$I387), AND('ProductSprint Backlog'!$J387=D$2,'ProductSprint Backlog'!$I387=D$2), 'ProductSprint Backlog'!$F387, TRUE, 0)</f>
        <v/>
      </c>
      <c r="E387" s="4" t="str" cm="1">
        <f t="array" ref="E387">_xlfn.IFS('ProductSprint Backlog'!$F387="", "", AND('ProductSprint Backlog'!$J387&gt;E$2,'ProductSprint Backlog'!$I387&lt;=E$2), 'ProductSprint Backlog'!$F387 / MAX(1, 'ProductSprint Backlog'!$J387-'ProductSprint Backlog'!$I387), AND('ProductSprint Backlog'!$J387=E$2,'ProductSprint Backlog'!$I387=E$2), 'ProductSprint Backlog'!$F387, TRUE, 0)</f>
        <v/>
      </c>
      <c r="F387" s="4" t="str" cm="1">
        <f t="array" ref="F387">_xlfn.IFS('ProductSprint Backlog'!$F387="", "", AND('ProductSprint Backlog'!$J387&gt;F$2,'ProductSprint Backlog'!$I387&lt;=F$2), 'ProductSprint Backlog'!$F387 / MAX(1, 'ProductSprint Backlog'!$J387-'ProductSprint Backlog'!$I387), AND('ProductSprint Backlog'!$J387=F$2,'ProductSprint Backlog'!$I387=F$2), 'ProductSprint Backlog'!$F387, TRUE, 0)</f>
        <v/>
      </c>
      <c r="G387" s="4" t="str" cm="1">
        <f t="array" ref="G387">_xlfn.IFS('ProductSprint Backlog'!$F387="", "", AND('ProductSprint Backlog'!$J387&gt;G$2,'ProductSprint Backlog'!$I387&lt;=G$2), 'ProductSprint Backlog'!$F387 / MAX(1, 'ProductSprint Backlog'!$J387-'ProductSprint Backlog'!$I387), AND('ProductSprint Backlog'!$J387=G$2,'ProductSprint Backlog'!$I387=G$2), 'ProductSprint Backlog'!$F387, TRUE, 0)</f>
        <v/>
      </c>
      <c r="H387" s="4" t="str" cm="1">
        <f t="array" ref="H387">_xlfn.IFS('ProductSprint Backlog'!$F387="", "", AND('ProductSprint Backlog'!$J387&gt;H$2,'ProductSprint Backlog'!$I387&lt;=H$2), 'ProductSprint Backlog'!$F387 / MAX(1, 'ProductSprint Backlog'!$J387-'ProductSprint Backlog'!$I387), AND('ProductSprint Backlog'!$J387=H$2,'ProductSprint Backlog'!$I387=H$2), 'ProductSprint Backlog'!$F387, TRUE, 0)</f>
        <v/>
      </c>
      <c r="I387" s="4" t="str" cm="1">
        <f t="array" ref="I387">_xlfn.IFS('ProductSprint Backlog'!$F387="", "", AND('ProductSprint Backlog'!$J387&gt;I$2,'ProductSprint Backlog'!$I387&lt;=I$2), 'ProductSprint Backlog'!$F387 / MAX(1, 'ProductSprint Backlog'!$J387-'ProductSprint Backlog'!$I387), AND('ProductSprint Backlog'!$J387=I$2,'ProductSprint Backlog'!$I387=I$2), 'ProductSprint Backlog'!$F387, TRUE, 0)</f>
        <v/>
      </c>
      <c r="J387" s="4" t="str" cm="1">
        <f t="array" ref="J387">_xlfn.IFS('ProductSprint Backlog'!$F387="", "", AND('ProductSprint Backlog'!$J387&gt;J$2,'ProductSprint Backlog'!$I387&lt;=J$2), 'ProductSprint Backlog'!$F387 / MAX(1, 'ProductSprint Backlog'!$J387-'ProductSprint Backlog'!$I387), AND('ProductSprint Backlog'!$J387=J$2,'ProductSprint Backlog'!$I387=J$2), 'ProductSprint Backlog'!$F387, TRUE, 0)</f>
        <v/>
      </c>
      <c r="K387" s="4" t="str" cm="1">
        <f t="array" ref="K387">_xlfn.IFS('ProductSprint Backlog'!$F387="", "", AND('ProductSprint Backlog'!$J387&gt;K$2,'ProductSprint Backlog'!$I387&lt;=K$2), 'ProductSprint Backlog'!$F387 / MAX(1, 'ProductSprint Backlog'!$J387-'ProductSprint Backlog'!$I387), AND('ProductSprint Backlog'!$J387=K$2,'ProductSprint Backlog'!$I387=K$2), 'ProductSprint Backlog'!$F387, TRUE, 0)</f>
        <v/>
      </c>
      <c r="L387" s="4" t="str" cm="1">
        <f t="array" ref="L387">_xlfn.IFS('ProductSprint Backlog'!$F387="", "", AND('ProductSprint Backlog'!$J387&gt;L$2,'ProductSprint Backlog'!$I387&lt;=L$2), 'ProductSprint Backlog'!$F387 / MAX(1, 'ProductSprint Backlog'!$J387-'ProductSprint Backlog'!$I387), AND('ProductSprint Backlog'!$J387=L$2,'ProductSprint Backlog'!$I387=L$2), 'ProductSprint Backlog'!$F387, TRUE, 0)</f>
        <v/>
      </c>
      <c r="M387" s="4" t="str" cm="1">
        <f t="array" ref="M387">_xlfn.IFS('ProductSprint Backlog'!$F387="", "", AND('ProductSprint Backlog'!$J387&gt;M$2,'ProductSprint Backlog'!$I387&lt;=M$2), 'ProductSprint Backlog'!$F387 / MAX(1, 'ProductSprint Backlog'!$J387-'ProductSprint Backlog'!$I387), AND('ProductSprint Backlog'!$J387=M$2,'ProductSprint Backlog'!$I387=M$2), 'ProductSprint Backlog'!$F387, TRUE, 0)</f>
        <v/>
      </c>
      <c r="N387" s="4" t="str" cm="1">
        <f t="array" ref="N387">_xlfn.IFS('ProductSprint Backlog'!$F387="", "", AND('ProductSprint Backlog'!$J387&gt;N$2,'ProductSprint Backlog'!$I387&lt;=N$2), 'ProductSprint Backlog'!$F387 / MAX(1, 'ProductSprint Backlog'!$J387-'ProductSprint Backlog'!$I387), AND('ProductSprint Backlog'!$J387=N$2,'ProductSprint Backlog'!$I387=N$2), 'ProductSprint Backlog'!$F387, TRUE, 0)</f>
        <v/>
      </c>
      <c r="O387" s="4" t="str" cm="1">
        <f t="array" ref="O387">_xlfn.IFS('ProductSprint Backlog'!$F387="", "", AND('ProductSprint Backlog'!$J387&gt;O$2,'ProductSprint Backlog'!$I387&lt;=O$2), 'ProductSprint Backlog'!$F387 / MAX(1, 'ProductSprint Backlog'!$J387-'ProductSprint Backlog'!$I387), AND('ProductSprint Backlog'!$J387=O$2,'ProductSprint Backlog'!$I387=O$2), 'ProductSprint Backlog'!$F387, TRUE, 0)</f>
        <v/>
      </c>
      <c r="P387" s="4" t="str" cm="1">
        <f t="array" ref="P387">_xlfn.IFS('ProductSprint Backlog'!$F387="", "", AND('ProductSprint Backlog'!$J387&gt;P$2,'ProductSprint Backlog'!$I387&lt;=P$2), 'ProductSprint Backlog'!$F387 / MAX(1, 'ProductSprint Backlog'!$J387-'ProductSprint Backlog'!$I387), AND('ProductSprint Backlog'!$J387=P$2,'ProductSprint Backlog'!$I387=P$2), 'ProductSprint Backlog'!$F387, TRUE, 0)</f>
        <v/>
      </c>
      <c r="Q387" s="4" t="str" cm="1">
        <f t="array" ref="Q387">_xlfn.IFS('ProductSprint Backlog'!$F387="", "", AND('ProductSprint Backlog'!$J387&gt;Q$2,'ProductSprint Backlog'!$I387&lt;=Q$2), 'ProductSprint Backlog'!$F387 / MAX(1, 'ProductSprint Backlog'!$J387-'ProductSprint Backlog'!$I387), AND('ProductSprint Backlog'!$J387=Q$2,'ProductSprint Backlog'!$I387=Q$2), 'ProductSprint Backlog'!$F387, TRUE, 0)</f>
        <v/>
      </c>
    </row>
    <row r="388" spans="2:17" x14ac:dyDescent="0.2">
      <c r="B388" s="4" t="str" cm="1">
        <f t="array" ref="B388">_xlfn.IFS('ProductSprint Backlog'!$F388="", "", AND('ProductSprint Backlog'!$J388&gt;B$2,'ProductSprint Backlog'!$I388&lt;=B$2), 'ProductSprint Backlog'!$F388 / MAX(1, 'ProductSprint Backlog'!$J388-'ProductSprint Backlog'!$I388), AND('ProductSprint Backlog'!$J388=B$2,'ProductSprint Backlog'!$I388=B$2), 'ProductSprint Backlog'!$F388, TRUE, 0)</f>
        <v/>
      </c>
      <c r="C388" s="4" t="str" cm="1">
        <f t="array" ref="C388">_xlfn.IFS('ProductSprint Backlog'!$F388="", "", AND('ProductSprint Backlog'!$J388&gt;C$2,'ProductSprint Backlog'!$I388&lt;=C$2), 'ProductSprint Backlog'!$F388 / MAX(1, 'ProductSprint Backlog'!$J388-'ProductSprint Backlog'!$I388), AND('ProductSprint Backlog'!$J388=C$2,'ProductSprint Backlog'!$I388=C$2), 'ProductSprint Backlog'!$F388, TRUE, 0)</f>
        <v/>
      </c>
      <c r="D388" s="4" t="str" cm="1">
        <f t="array" ref="D388">_xlfn.IFS('ProductSprint Backlog'!$F388="", "", AND('ProductSprint Backlog'!$J388&gt;D$2,'ProductSprint Backlog'!$I388&lt;=D$2), 'ProductSprint Backlog'!$F388 / MAX(1, 'ProductSprint Backlog'!$J388-'ProductSprint Backlog'!$I388), AND('ProductSprint Backlog'!$J388=D$2,'ProductSprint Backlog'!$I388=D$2), 'ProductSprint Backlog'!$F388, TRUE, 0)</f>
        <v/>
      </c>
      <c r="E388" s="4" t="str" cm="1">
        <f t="array" ref="E388">_xlfn.IFS('ProductSprint Backlog'!$F388="", "", AND('ProductSprint Backlog'!$J388&gt;E$2,'ProductSprint Backlog'!$I388&lt;=E$2), 'ProductSprint Backlog'!$F388 / MAX(1, 'ProductSprint Backlog'!$J388-'ProductSprint Backlog'!$I388), AND('ProductSprint Backlog'!$J388=E$2,'ProductSprint Backlog'!$I388=E$2), 'ProductSprint Backlog'!$F388, TRUE, 0)</f>
        <v/>
      </c>
      <c r="F388" s="4" t="str" cm="1">
        <f t="array" ref="F388">_xlfn.IFS('ProductSprint Backlog'!$F388="", "", AND('ProductSprint Backlog'!$J388&gt;F$2,'ProductSprint Backlog'!$I388&lt;=F$2), 'ProductSprint Backlog'!$F388 / MAX(1, 'ProductSprint Backlog'!$J388-'ProductSprint Backlog'!$I388), AND('ProductSprint Backlog'!$J388=F$2,'ProductSprint Backlog'!$I388=F$2), 'ProductSprint Backlog'!$F388, TRUE, 0)</f>
        <v/>
      </c>
      <c r="G388" s="4" t="str" cm="1">
        <f t="array" ref="G388">_xlfn.IFS('ProductSprint Backlog'!$F388="", "", AND('ProductSprint Backlog'!$J388&gt;G$2,'ProductSprint Backlog'!$I388&lt;=G$2), 'ProductSprint Backlog'!$F388 / MAX(1, 'ProductSprint Backlog'!$J388-'ProductSprint Backlog'!$I388), AND('ProductSprint Backlog'!$J388=G$2,'ProductSprint Backlog'!$I388=G$2), 'ProductSprint Backlog'!$F388, TRUE, 0)</f>
        <v/>
      </c>
      <c r="H388" s="4" t="str" cm="1">
        <f t="array" ref="H388">_xlfn.IFS('ProductSprint Backlog'!$F388="", "", AND('ProductSprint Backlog'!$J388&gt;H$2,'ProductSprint Backlog'!$I388&lt;=H$2), 'ProductSprint Backlog'!$F388 / MAX(1, 'ProductSprint Backlog'!$J388-'ProductSprint Backlog'!$I388), AND('ProductSprint Backlog'!$J388=H$2,'ProductSprint Backlog'!$I388=H$2), 'ProductSprint Backlog'!$F388, TRUE, 0)</f>
        <v/>
      </c>
      <c r="I388" s="4" t="str" cm="1">
        <f t="array" ref="I388">_xlfn.IFS('ProductSprint Backlog'!$F388="", "", AND('ProductSprint Backlog'!$J388&gt;I$2,'ProductSprint Backlog'!$I388&lt;=I$2), 'ProductSprint Backlog'!$F388 / MAX(1, 'ProductSprint Backlog'!$J388-'ProductSprint Backlog'!$I388), AND('ProductSprint Backlog'!$J388=I$2,'ProductSprint Backlog'!$I388=I$2), 'ProductSprint Backlog'!$F388, TRUE, 0)</f>
        <v/>
      </c>
      <c r="J388" s="4" t="str" cm="1">
        <f t="array" ref="J388">_xlfn.IFS('ProductSprint Backlog'!$F388="", "", AND('ProductSprint Backlog'!$J388&gt;J$2,'ProductSprint Backlog'!$I388&lt;=J$2), 'ProductSprint Backlog'!$F388 / MAX(1, 'ProductSprint Backlog'!$J388-'ProductSprint Backlog'!$I388), AND('ProductSprint Backlog'!$J388=J$2,'ProductSprint Backlog'!$I388=J$2), 'ProductSprint Backlog'!$F388, TRUE, 0)</f>
        <v/>
      </c>
      <c r="K388" s="4" t="str" cm="1">
        <f t="array" ref="K388">_xlfn.IFS('ProductSprint Backlog'!$F388="", "", AND('ProductSprint Backlog'!$J388&gt;K$2,'ProductSprint Backlog'!$I388&lt;=K$2), 'ProductSprint Backlog'!$F388 / MAX(1, 'ProductSprint Backlog'!$J388-'ProductSprint Backlog'!$I388), AND('ProductSprint Backlog'!$J388=K$2,'ProductSprint Backlog'!$I388=K$2), 'ProductSprint Backlog'!$F388, TRUE, 0)</f>
        <v/>
      </c>
      <c r="L388" s="4" t="str" cm="1">
        <f t="array" ref="L388">_xlfn.IFS('ProductSprint Backlog'!$F388="", "", AND('ProductSprint Backlog'!$J388&gt;L$2,'ProductSprint Backlog'!$I388&lt;=L$2), 'ProductSprint Backlog'!$F388 / MAX(1, 'ProductSprint Backlog'!$J388-'ProductSprint Backlog'!$I388), AND('ProductSprint Backlog'!$J388=L$2,'ProductSprint Backlog'!$I388=L$2), 'ProductSprint Backlog'!$F388, TRUE, 0)</f>
        <v/>
      </c>
      <c r="M388" s="4" t="str" cm="1">
        <f t="array" ref="M388">_xlfn.IFS('ProductSprint Backlog'!$F388="", "", AND('ProductSprint Backlog'!$J388&gt;M$2,'ProductSprint Backlog'!$I388&lt;=M$2), 'ProductSprint Backlog'!$F388 / MAX(1, 'ProductSprint Backlog'!$J388-'ProductSprint Backlog'!$I388), AND('ProductSprint Backlog'!$J388=M$2,'ProductSprint Backlog'!$I388=M$2), 'ProductSprint Backlog'!$F388, TRUE, 0)</f>
        <v/>
      </c>
      <c r="N388" s="4" t="str" cm="1">
        <f t="array" ref="N388">_xlfn.IFS('ProductSprint Backlog'!$F388="", "", AND('ProductSprint Backlog'!$J388&gt;N$2,'ProductSprint Backlog'!$I388&lt;=N$2), 'ProductSprint Backlog'!$F388 / MAX(1, 'ProductSprint Backlog'!$J388-'ProductSprint Backlog'!$I388), AND('ProductSprint Backlog'!$J388=N$2,'ProductSprint Backlog'!$I388=N$2), 'ProductSprint Backlog'!$F388, TRUE, 0)</f>
        <v/>
      </c>
      <c r="O388" s="4" t="str" cm="1">
        <f t="array" ref="O388">_xlfn.IFS('ProductSprint Backlog'!$F388="", "", AND('ProductSprint Backlog'!$J388&gt;O$2,'ProductSprint Backlog'!$I388&lt;=O$2), 'ProductSprint Backlog'!$F388 / MAX(1, 'ProductSprint Backlog'!$J388-'ProductSprint Backlog'!$I388), AND('ProductSprint Backlog'!$J388=O$2,'ProductSprint Backlog'!$I388=O$2), 'ProductSprint Backlog'!$F388, TRUE, 0)</f>
        <v/>
      </c>
      <c r="P388" s="4" t="str" cm="1">
        <f t="array" ref="P388">_xlfn.IFS('ProductSprint Backlog'!$F388="", "", AND('ProductSprint Backlog'!$J388&gt;P$2,'ProductSprint Backlog'!$I388&lt;=P$2), 'ProductSprint Backlog'!$F388 / MAX(1, 'ProductSprint Backlog'!$J388-'ProductSprint Backlog'!$I388), AND('ProductSprint Backlog'!$J388=P$2,'ProductSprint Backlog'!$I388=P$2), 'ProductSprint Backlog'!$F388, TRUE, 0)</f>
        <v/>
      </c>
      <c r="Q388" s="4" t="str" cm="1">
        <f t="array" ref="Q388">_xlfn.IFS('ProductSprint Backlog'!$F388="", "", AND('ProductSprint Backlog'!$J388&gt;Q$2,'ProductSprint Backlog'!$I388&lt;=Q$2), 'ProductSprint Backlog'!$F388 / MAX(1, 'ProductSprint Backlog'!$J388-'ProductSprint Backlog'!$I388), AND('ProductSprint Backlog'!$J388=Q$2,'ProductSprint Backlog'!$I388=Q$2), 'ProductSprint Backlog'!$F388, TRUE, 0)</f>
        <v/>
      </c>
    </row>
    <row r="389" spans="2:17" x14ac:dyDescent="0.2">
      <c r="B389" s="4" t="str" cm="1">
        <f t="array" ref="B389">_xlfn.IFS('ProductSprint Backlog'!$F389="", "", AND('ProductSprint Backlog'!$J389&gt;B$2,'ProductSprint Backlog'!$I389&lt;=B$2), 'ProductSprint Backlog'!$F389 / MAX(1, 'ProductSprint Backlog'!$J389-'ProductSprint Backlog'!$I389), AND('ProductSprint Backlog'!$J389=B$2,'ProductSprint Backlog'!$I389=B$2), 'ProductSprint Backlog'!$F389, TRUE, 0)</f>
        <v/>
      </c>
      <c r="C389" s="4" t="str" cm="1">
        <f t="array" ref="C389">_xlfn.IFS('ProductSprint Backlog'!$F389="", "", AND('ProductSprint Backlog'!$J389&gt;C$2,'ProductSprint Backlog'!$I389&lt;=C$2), 'ProductSprint Backlog'!$F389 / MAX(1, 'ProductSprint Backlog'!$J389-'ProductSprint Backlog'!$I389), AND('ProductSprint Backlog'!$J389=C$2,'ProductSprint Backlog'!$I389=C$2), 'ProductSprint Backlog'!$F389, TRUE, 0)</f>
        <v/>
      </c>
      <c r="D389" s="4" t="str" cm="1">
        <f t="array" ref="D389">_xlfn.IFS('ProductSprint Backlog'!$F389="", "", AND('ProductSprint Backlog'!$J389&gt;D$2,'ProductSprint Backlog'!$I389&lt;=D$2), 'ProductSprint Backlog'!$F389 / MAX(1, 'ProductSprint Backlog'!$J389-'ProductSprint Backlog'!$I389), AND('ProductSprint Backlog'!$J389=D$2,'ProductSprint Backlog'!$I389=D$2), 'ProductSprint Backlog'!$F389, TRUE, 0)</f>
        <v/>
      </c>
      <c r="E389" s="4" t="str" cm="1">
        <f t="array" ref="E389">_xlfn.IFS('ProductSprint Backlog'!$F389="", "", AND('ProductSprint Backlog'!$J389&gt;E$2,'ProductSprint Backlog'!$I389&lt;=E$2), 'ProductSprint Backlog'!$F389 / MAX(1, 'ProductSprint Backlog'!$J389-'ProductSprint Backlog'!$I389), AND('ProductSprint Backlog'!$J389=E$2,'ProductSprint Backlog'!$I389=E$2), 'ProductSprint Backlog'!$F389, TRUE, 0)</f>
        <v/>
      </c>
      <c r="F389" s="4" t="str" cm="1">
        <f t="array" ref="F389">_xlfn.IFS('ProductSprint Backlog'!$F389="", "", AND('ProductSprint Backlog'!$J389&gt;F$2,'ProductSprint Backlog'!$I389&lt;=F$2), 'ProductSprint Backlog'!$F389 / MAX(1, 'ProductSprint Backlog'!$J389-'ProductSprint Backlog'!$I389), AND('ProductSprint Backlog'!$J389=F$2,'ProductSprint Backlog'!$I389=F$2), 'ProductSprint Backlog'!$F389, TRUE, 0)</f>
        <v/>
      </c>
      <c r="G389" s="4" t="str" cm="1">
        <f t="array" ref="G389">_xlfn.IFS('ProductSprint Backlog'!$F389="", "", AND('ProductSprint Backlog'!$J389&gt;G$2,'ProductSprint Backlog'!$I389&lt;=G$2), 'ProductSprint Backlog'!$F389 / MAX(1, 'ProductSprint Backlog'!$J389-'ProductSprint Backlog'!$I389), AND('ProductSprint Backlog'!$J389=G$2,'ProductSprint Backlog'!$I389=G$2), 'ProductSprint Backlog'!$F389, TRUE, 0)</f>
        <v/>
      </c>
      <c r="H389" s="4" t="str" cm="1">
        <f t="array" ref="H389">_xlfn.IFS('ProductSprint Backlog'!$F389="", "", AND('ProductSprint Backlog'!$J389&gt;H$2,'ProductSprint Backlog'!$I389&lt;=H$2), 'ProductSprint Backlog'!$F389 / MAX(1, 'ProductSprint Backlog'!$J389-'ProductSprint Backlog'!$I389), AND('ProductSprint Backlog'!$J389=H$2,'ProductSprint Backlog'!$I389=H$2), 'ProductSprint Backlog'!$F389, TRUE, 0)</f>
        <v/>
      </c>
      <c r="I389" s="4" t="str" cm="1">
        <f t="array" ref="I389">_xlfn.IFS('ProductSprint Backlog'!$F389="", "", AND('ProductSprint Backlog'!$J389&gt;I$2,'ProductSprint Backlog'!$I389&lt;=I$2), 'ProductSprint Backlog'!$F389 / MAX(1, 'ProductSprint Backlog'!$J389-'ProductSprint Backlog'!$I389), AND('ProductSprint Backlog'!$J389=I$2,'ProductSprint Backlog'!$I389=I$2), 'ProductSprint Backlog'!$F389, TRUE, 0)</f>
        <v/>
      </c>
      <c r="J389" s="4" t="str" cm="1">
        <f t="array" ref="J389">_xlfn.IFS('ProductSprint Backlog'!$F389="", "", AND('ProductSprint Backlog'!$J389&gt;J$2,'ProductSprint Backlog'!$I389&lt;=J$2), 'ProductSprint Backlog'!$F389 / MAX(1, 'ProductSprint Backlog'!$J389-'ProductSprint Backlog'!$I389), AND('ProductSprint Backlog'!$J389=J$2,'ProductSprint Backlog'!$I389=J$2), 'ProductSprint Backlog'!$F389, TRUE, 0)</f>
        <v/>
      </c>
      <c r="K389" s="4" t="str" cm="1">
        <f t="array" ref="K389">_xlfn.IFS('ProductSprint Backlog'!$F389="", "", AND('ProductSprint Backlog'!$J389&gt;K$2,'ProductSprint Backlog'!$I389&lt;=K$2), 'ProductSprint Backlog'!$F389 / MAX(1, 'ProductSprint Backlog'!$J389-'ProductSprint Backlog'!$I389), AND('ProductSprint Backlog'!$J389=K$2,'ProductSprint Backlog'!$I389=K$2), 'ProductSprint Backlog'!$F389, TRUE, 0)</f>
        <v/>
      </c>
      <c r="L389" s="4" t="str" cm="1">
        <f t="array" ref="L389">_xlfn.IFS('ProductSprint Backlog'!$F389="", "", AND('ProductSprint Backlog'!$J389&gt;L$2,'ProductSprint Backlog'!$I389&lt;=L$2), 'ProductSprint Backlog'!$F389 / MAX(1, 'ProductSprint Backlog'!$J389-'ProductSprint Backlog'!$I389), AND('ProductSprint Backlog'!$J389=L$2,'ProductSprint Backlog'!$I389=L$2), 'ProductSprint Backlog'!$F389, TRUE, 0)</f>
        <v/>
      </c>
      <c r="M389" s="4" t="str" cm="1">
        <f t="array" ref="M389">_xlfn.IFS('ProductSprint Backlog'!$F389="", "", AND('ProductSprint Backlog'!$J389&gt;M$2,'ProductSprint Backlog'!$I389&lt;=M$2), 'ProductSprint Backlog'!$F389 / MAX(1, 'ProductSprint Backlog'!$J389-'ProductSprint Backlog'!$I389), AND('ProductSprint Backlog'!$J389=M$2,'ProductSprint Backlog'!$I389=M$2), 'ProductSprint Backlog'!$F389, TRUE, 0)</f>
        <v/>
      </c>
      <c r="N389" s="4" t="str" cm="1">
        <f t="array" ref="N389">_xlfn.IFS('ProductSprint Backlog'!$F389="", "", AND('ProductSprint Backlog'!$J389&gt;N$2,'ProductSprint Backlog'!$I389&lt;=N$2), 'ProductSprint Backlog'!$F389 / MAX(1, 'ProductSprint Backlog'!$J389-'ProductSprint Backlog'!$I389), AND('ProductSprint Backlog'!$J389=N$2,'ProductSprint Backlog'!$I389=N$2), 'ProductSprint Backlog'!$F389, TRUE, 0)</f>
        <v/>
      </c>
      <c r="O389" s="4" t="str" cm="1">
        <f t="array" ref="O389">_xlfn.IFS('ProductSprint Backlog'!$F389="", "", AND('ProductSprint Backlog'!$J389&gt;O$2,'ProductSprint Backlog'!$I389&lt;=O$2), 'ProductSprint Backlog'!$F389 / MAX(1, 'ProductSprint Backlog'!$J389-'ProductSprint Backlog'!$I389), AND('ProductSprint Backlog'!$J389=O$2,'ProductSprint Backlog'!$I389=O$2), 'ProductSprint Backlog'!$F389, TRUE, 0)</f>
        <v/>
      </c>
      <c r="P389" s="4" t="str" cm="1">
        <f t="array" ref="P389">_xlfn.IFS('ProductSprint Backlog'!$F389="", "", AND('ProductSprint Backlog'!$J389&gt;P$2,'ProductSprint Backlog'!$I389&lt;=P$2), 'ProductSprint Backlog'!$F389 / MAX(1, 'ProductSprint Backlog'!$J389-'ProductSprint Backlog'!$I389), AND('ProductSprint Backlog'!$J389=P$2,'ProductSprint Backlog'!$I389=P$2), 'ProductSprint Backlog'!$F389, TRUE, 0)</f>
        <v/>
      </c>
      <c r="Q389" s="4" t="str" cm="1">
        <f t="array" ref="Q389">_xlfn.IFS('ProductSprint Backlog'!$F389="", "", AND('ProductSprint Backlog'!$J389&gt;Q$2,'ProductSprint Backlog'!$I389&lt;=Q$2), 'ProductSprint Backlog'!$F389 / MAX(1, 'ProductSprint Backlog'!$J389-'ProductSprint Backlog'!$I389), AND('ProductSprint Backlog'!$J389=Q$2,'ProductSprint Backlog'!$I389=Q$2), 'ProductSprint Backlog'!$F389, TRUE, 0)</f>
        <v/>
      </c>
    </row>
    <row r="390" spans="2:17" x14ac:dyDescent="0.2">
      <c r="B390" s="4" t="str" cm="1">
        <f t="array" ref="B390">_xlfn.IFS('ProductSprint Backlog'!$F390="", "", AND('ProductSprint Backlog'!$J390&gt;B$2,'ProductSprint Backlog'!$I390&lt;=B$2), 'ProductSprint Backlog'!$F390 / MAX(1, 'ProductSprint Backlog'!$J390-'ProductSprint Backlog'!$I390), AND('ProductSprint Backlog'!$J390=B$2,'ProductSprint Backlog'!$I390=B$2), 'ProductSprint Backlog'!$F390, TRUE, 0)</f>
        <v/>
      </c>
      <c r="C390" s="4" t="str" cm="1">
        <f t="array" ref="C390">_xlfn.IFS('ProductSprint Backlog'!$F390="", "", AND('ProductSprint Backlog'!$J390&gt;C$2,'ProductSprint Backlog'!$I390&lt;=C$2), 'ProductSprint Backlog'!$F390 / MAX(1, 'ProductSprint Backlog'!$J390-'ProductSprint Backlog'!$I390), AND('ProductSprint Backlog'!$J390=C$2,'ProductSprint Backlog'!$I390=C$2), 'ProductSprint Backlog'!$F390, TRUE, 0)</f>
        <v/>
      </c>
      <c r="D390" s="4" t="str" cm="1">
        <f t="array" ref="D390">_xlfn.IFS('ProductSprint Backlog'!$F390="", "", AND('ProductSprint Backlog'!$J390&gt;D$2,'ProductSprint Backlog'!$I390&lt;=D$2), 'ProductSprint Backlog'!$F390 / MAX(1, 'ProductSprint Backlog'!$J390-'ProductSprint Backlog'!$I390), AND('ProductSprint Backlog'!$J390=D$2,'ProductSprint Backlog'!$I390=D$2), 'ProductSprint Backlog'!$F390, TRUE, 0)</f>
        <v/>
      </c>
      <c r="E390" s="4" t="str" cm="1">
        <f t="array" ref="E390">_xlfn.IFS('ProductSprint Backlog'!$F390="", "", AND('ProductSprint Backlog'!$J390&gt;E$2,'ProductSprint Backlog'!$I390&lt;=E$2), 'ProductSprint Backlog'!$F390 / MAX(1, 'ProductSprint Backlog'!$J390-'ProductSprint Backlog'!$I390), AND('ProductSprint Backlog'!$J390=E$2,'ProductSprint Backlog'!$I390=E$2), 'ProductSprint Backlog'!$F390, TRUE, 0)</f>
        <v/>
      </c>
      <c r="F390" s="4" t="str" cm="1">
        <f t="array" ref="F390">_xlfn.IFS('ProductSprint Backlog'!$F390="", "", AND('ProductSprint Backlog'!$J390&gt;F$2,'ProductSprint Backlog'!$I390&lt;=F$2), 'ProductSprint Backlog'!$F390 / MAX(1, 'ProductSprint Backlog'!$J390-'ProductSprint Backlog'!$I390), AND('ProductSprint Backlog'!$J390=F$2,'ProductSprint Backlog'!$I390=F$2), 'ProductSprint Backlog'!$F390, TRUE, 0)</f>
        <v/>
      </c>
      <c r="G390" s="4" t="str" cm="1">
        <f t="array" ref="G390">_xlfn.IFS('ProductSprint Backlog'!$F390="", "", AND('ProductSprint Backlog'!$J390&gt;G$2,'ProductSprint Backlog'!$I390&lt;=G$2), 'ProductSprint Backlog'!$F390 / MAX(1, 'ProductSprint Backlog'!$J390-'ProductSprint Backlog'!$I390), AND('ProductSprint Backlog'!$J390=G$2,'ProductSprint Backlog'!$I390=G$2), 'ProductSprint Backlog'!$F390, TRUE, 0)</f>
        <v/>
      </c>
      <c r="H390" s="4" t="str" cm="1">
        <f t="array" ref="H390">_xlfn.IFS('ProductSprint Backlog'!$F390="", "", AND('ProductSprint Backlog'!$J390&gt;H$2,'ProductSprint Backlog'!$I390&lt;=H$2), 'ProductSprint Backlog'!$F390 / MAX(1, 'ProductSprint Backlog'!$J390-'ProductSprint Backlog'!$I390), AND('ProductSprint Backlog'!$J390=H$2,'ProductSprint Backlog'!$I390=H$2), 'ProductSprint Backlog'!$F390, TRUE, 0)</f>
        <v/>
      </c>
      <c r="I390" s="4" t="str" cm="1">
        <f t="array" ref="I390">_xlfn.IFS('ProductSprint Backlog'!$F390="", "", AND('ProductSprint Backlog'!$J390&gt;I$2,'ProductSprint Backlog'!$I390&lt;=I$2), 'ProductSprint Backlog'!$F390 / MAX(1, 'ProductSprint Backlog'!$J390-'ProductSprint Backlog'!$I390), AND('ProductSprint Backlog'!$J390=I$2,'ProductSprint Backlog'!$I390=I$2), 'ProductSprint Backlog'!$F390, TRUE, 0)</f>
        <v/>
      </c>
      <c r="J390" s="4" t="str" cm="1">
        <f t="array" ref="J390">_xlfn.IFS('ProductSprint Backlog'!$F390="", "", AND('ProductSprint Backlog'!$J390&gt;J$2,'ProductSprint Backlog'!$I390&lt;=J$2), 'ProductSprint Backlog'!$F390 / MAX(1, 'ProductSprint Backlog'!$J390-'ProductSprint Backlog'!$I390), AND('ProductSprint Backlog'!$J390=J$2,'ProductSprint Backlog'!$I390=J$2), 'ProductSprint Backlog'!$F390, TRUE, 0)</f>
        <v/>
      </c>
      <c r="K390" s="4" t="str" cm="1">
        <f t="array" ref="K390">_xlfn.IFS('ProductSprint Backlog'!$F390="", "", AND('ProductSprint Backlog'!$J390&gt;K$2,'ProductSprint Backlog'!$I390&lt;=K$2), 'ProductSprint Backlog'!$F390 / MAX(1, 'ProductSprint Backlog'!$J390-'ProductSprint Backlog'!$I390), AND('ProductSprint Backlog'!$J390=K$2,'ProductSprint Backlog'!$I390=K$2), 'ProductSprint Backlog'!$F390, TRUE, 0)</f>
        <v/>
      </c>
      <c r="L390" s="4" t="str" cm="1">
        <f t="array" ref="L390">_xlfn.IFS('ProductSprint Backlog'!$F390="", "", AND('ProductSprint Backlog'!$J390&gt;L$2,'ProductSprint Backlog'!$I390&lt;=L$2), 'ProductSprint Backlog'!$F390 / MAX(1, 'ProductSprint Backlog'!$J390-'ProductSprint Backlog'!$I390), AND('ProductSprint Backlog'!$J390=L$2,'ProductSprint Backlog'!$I390=L$2), 'ProductSprint Backlog'!$F390, TRUE, 0)</f>
        <v/>
      </c>
      <c r="M390" s="4" t="str" cm="1">
        <f t="array" ref="M390">_xlfn.IFS('ProductSprint Backlog'!$F390="", "", AND('ProductSprint Backlog'!$J390&gt;M$2,'ProductSprint Backlog'!$I390&lt;=M$2), 'ProductSprint Backlog'!$F390 / MAX(1, 'ProductSprint Backlog'!$J390-'ProductSprint Backlog'!$I390), AND('ProductSprint Backlog'!$J390=M$2,'ProductSprint Backlog'!$I390=M$2), 'ProductSprint Backlog'!$F390, TRUE, 0)</f>
        <v/>
      </c>
      <c r="N390" s="4" t="str" cm="1">
        <f t="array" ref="N390">_xlfn.IFS('ProductSprint Backlog'!$F390="", "", AND('ProductSprint Backlog'!$J390&gt;N$2,'ProductSprint Backlog'!$I390&lt;=N$2), 'ProductSprint Backlog'!$F390 / MAX(1, 'ProductSprint Backlog'!$J390-'ProductSprint Backlog'!$I390), AND('ProductSprint Backlog'!$J390=N$2,'ProductSprint Backlog'!$I390=N$2), 'ProductSprint Backlog'!$F390, TRUE, 0)</f>
        <v/>
      </c>
      <c r="O390" s="4" t="str" cm="1">
        <f t="array" ref="O390">_xlfn.IFS('ProductSprint Backlog'!$F390="", "", AND('ProductSprint Backlog'!$J390&gt;O$2,'ProductSprint Backlog'!$I390&lt;=O$2), 'ProductSprint Backlog'!$F390 / MAX(1, 'ProductSprint Backlog'!$J390-'ProductSprint Backlog'!$I390), AND('ProductSprint Backlog'!$J390=O$2,'ProductSprint Backlog'!$I390=O$2), 'ProductSprint Backlog'!$F390, TRUE, 0)</f>
        <v/>
      </c>
      <c r="P390" s="4" t="str" cm="1">
        <f t="array" ref="P390">_xlfn.IFS('ProductSprint Backlog'!$F390="", "", AND('ProductSprint Backlog'!$J390&gt;P$2,'ProductSprint Backlog'!$I390&lt;=P$2), 'ProductSprint Backlog'!$F390 / MAX(1, 'ProductSprint Backlog'!$J390-'ProductSprint Backlog'!$I390), AND('ProductSprint Backlog'!$J390=P$2,'ProductSprint Backlog'!$I390=P$2), 'ProductSprint Backlog'!$F390, TRUE, 0)</f>
        <v/>
      </c>
      <c r="Q390" s="4" t="str" cm="1">
        <f t="array" ref="Q390">_xlfn.IFS('ProductSprint Backlog'!$F390="", "", AND('ProductSprint Backlog'!$J390&gt;Q$2,'ProductSprint Backlog'!$I390&lt;=Q$2), 'ProductSprint Backlog'!$F390 / MAX(1, 'ProductSprint Backlog'!$J390-'ProductSprint Backlog'!$I390), AND('ProductSprint Backlog'!$J390=Q$2,'ProductSprint Backlog'!$I390=Q$2), 'ProductSprint Backlog'!$F390, TRUE, 0)</f>
        <v/>
      </c>
    </row>
    <row r="391" spans="2:17" x14ac:dyDescent="0.2">
      <c r="B391" s="4" t="str" cm="1">
        <f t="array" ref="B391">_xlfn.IFS('ProductSprint Backlog'!$F391="", "", AND('ProductSprint Backlog'!$J391&gt;B$2,'ProductSprint Backlog'!$I391&lt;=B$2), 'ProductSprint Backlog'!$F391 / MAX(1, 'ProductSprint Backlog'!$J391-'ProductSprint Backlog'!$I391), AND('ProductSprint Backlog'!$J391=B$2,'ProductSprint Backlog'!$I391=B$2), 'ProductSprint Backlog'!$F391, TRUE, 0)</f>
        <v/>
      </c>
      <c r="C391" s="4" t="str" cm="1">
        <f t="array" ref="C391">_xlfn.IFS('ProductSprint Backlog'!$F391="", "", AND('ProductSprint Backlog'!$J391&gt;C$2,'ProductSprint Backlog'!$I391&lt;=C$2), 'ProductSprint Backlog'!$F391 / MAX(1, 'ProductSprint Backlog'!$J391-'ProductSprint Backlog'!$I391), AND('ProductSprint Backlog'!$J391=C$2,'ProductSprint Backlog'!$I391=C$2), 'ProductSprint Backlog'!$F391, TRUE, 0)</f>
        <v/>
      </c>
      <c r="D391" s="4" t="str" cm="1">
        <f t="array" ref="D391">_xlfn.IFS('ProductSprint Backlog'!$F391="", "", AND('ProductSprint Backlog'!$J391&gt;D$2,'ProductSprint Backlog'!$I391&lt;=D$2), 'ProductSprint Backlog'!$F391 / MAX(1, 'ProductSprint Backlog'!$J391-'ProductSprint Backlog'!$I391), AND('ProductSprint Backlog'!$J391=D$2,'ProductSprint Backlog'!$I391=D$2), 'ProductSprint Backlog'!$F391, TRUE, 0)</f>
        <v/>
      </c>
      <c r="E391" s="4" t="str" cm="1">
        <f t="array" ref="E391">_xlfn.IFS('ProductSprint Backlog'!$F391="", "", AND('ProductSprint Backlog'!$J391&gt;E$2,'ProductSprint Backlog'!$I391&lt;=E$2), 'ProductSprint Backlog'!$F391 / MAX(1, 'ProductSprint Backlog'!$J391-'ProductSprint Backlog'!$I391), AND('ProductSprint Backlog'!$J391=E$2,'ProductSprint Backlog'!$I391=E$2), 'ProductSprint Backlog'!$F391, TRUE, 0)</f>
        <v/>
      </c>
      <c r="F391" s="4" t="str" cm="1">
        <f t="array" ref="F391">_xlfn.IFS('ProductSprint Backlog'!$F391="", "", AND('ProductSprint Backlog'!$J391&gt;F$2,'ProductSprint Backlog'!$I391&lt;=F$2), 'ProductSprint Backlog'!$F391 / MAX(1, 'ProductSprint Backlog'!$J391-'ProductSprint Backlog'!$I391), AND('ProductSprint Backlog'!$J391=F$2,'ProductSprint Backlog'!$I391=F$2), 'ProductSprint Backlog'!$F391, TRUE, 0)</f>
        <v/>
      </c>
      <c r="G391" s="4" t="str" cm="1">
        <f t="array" ref="G391">_xlfn.IFS('ProductSprint Backlog'!$F391="", "", AND('ProductSprint Backlog'!$J391&gt;G$2,'ProductSprint Backlog'!$I391&lt;=G$2), 'ProductSprint Backlog'!$F391 / MAX(1, 'ProductSprint Backlog'!$J391-'ProductSprint Backlog'!$I391), AND('ProductSprint Backlog'!$J391=G$2,'ProductSprint Backlog'!$I391=G$2), 'ProductSprint Backlog'!$F391, TRUE, 0)</f>
        <v/>
      </c>
      <c r="H391" s="4" t="str" cm="1">
        <f t="array" ref="H391">_xlfn.IFS('ProductSprint Backlog'!$F391="", "", AND('ProductSprint Backlog'!$J391&gt;H$2,'ProductSprint Backlog'!$I391&lt;=H$2), 'ProductSprint Backlog'!$F391 / MAX(1, 'ProductSprint Backlog'!$J391-'ProductSprint Backlog'!$I391), AND('ProductSprint Backlog'!$J391=H$2,'ProductSprint Backlog'!$I391=H$2), 'ProductSprint Backlog'!$F391, TRUE, 0)</f>
        <v/>
      </c>
      <c r="I391" s="4" t="str" cm="1">
        <f t="array" ref="I391">_xlfn.IFS('ProductSprint Backlog'!$F391="", "", AND('ProductSprint Backlog'!$J391&gt;I$2,'ProductSprint Backlog'!$I391&lt;=I$2), 'ProductSprint Backlog'!$F391 / MAX(1, 'ProductSprint Backlog'!$J391-'ProductSprint Backlog'!$I391), AND('ProductSprint Backlog'!$J391=I$2,'ProductSprint Backlog'!$I391=I$2), 'ProductSprint Backlog'!$F391, TRUE, 0)</f>
        <v/>
      </c>
      <c r="J391" s="4" t="str" cm="1">
        <f t="array" ref="J391">_xlfn.IFS('ProductSprint Backlog'!$F391="", "", AND('ProductSprint Backlog'!$J391&gt;J$2,'ProductSprint Backlog'!$I391&lt;=J$2), 'ProductSprint Backlog'!$F391 / MAX(1, 'ProductSprint Backlog'!$J391-'ProductSprint Backlog'!$I391), AND('ProductSprint Backlog'!$J391=J$2,'ProductSprint Backlog'!$I391=J$2), 'ProductSprint Backlog'!$F391, TRUE, 0)</f>
        <v/>
      </c>
      <c r="K391" s="4" t="str" cm="1">
        <f t="array" ref="K391">_xlfn.IFS('ProductSprint Backlog'!$F391="", "", AND('ProductSprint Backlog'!$J391&gt;K$2,'ProductSprint Backlog'!$I391&lt;=K$2), 'ProductSprint Backlog'!$F391 / MAX(1, 'ProductSprint Backlog'!$J391-'ProductSprint Backlog'!$I391), AND('ProductSprint Backlog'!$J391=K$2,'ProductSprint Backlog'!$I391=K$2), 'ProductSprint Backlog'!$F391, TRUE, 0)</f>
        <v/>
      </c>
      <c r="L391" s="4" t="str" cm="1">
        <f t="array" ref="L391">_xlfn.IFS('ProductSprint Backlog'!$F391="", "", AND('ProductSprint Backlog'!$J391&gt;L$2,'ProductSprint Backlog'!$I391&lt;=L$2), 'ProductSprint Backlog'!$F391 / MAX(1, 'ProductSprint Backlog'!$J391-'ProductSprint Backlog'!$I391), AND('ProductSprint Backlog'!$J391=L$2,'ProductSprint Backlog'!$I391=L$2), 'ProductSprint Backlog'!$F391, TRUE, 0)</f>
        <v/>
      </c>
      <c r="M391" s="4" t="str" cm="1">
        <f t="array" ref="M391">_xlfn.IFS('ProductSprint Backlog'!$F391="", "", AND('ProductSprint Backlog'!$J391&gt;M$2,'ProductSprint Backlog'!$I391&lt;=M$2), 'ProductSprint Backlog'!$F391 / MAX(1, 'ProductSprint Backlog'!$J391-'ProductSprint Backlog'!$I391), AND('ProductSprint Backlog'!$J391=M$2,'ProductSprint Backlog'!$I391=M$2), 'ProductSprint Backlog'!$F391, TRUE, 0)</f>
        <v/>
      </c>
      <c r="N391" s="4" t="str" cm="1">
        <f t="array" ref="N391">_xlfn.IFS('ProductSprint Backlog'!$F391="", "", AND('ProductSprint Backlog'!$J391&gt;N$2,'ProductSprint Backlog'!$I391&lt;=N$2), 'ProductSprint Backlog'!$F391 / MAX(1, 'ProductSprint Backlog'!$J391-'ProductSprint Backlog'!$I391), AND('ProductSprint Backlog'!$J391=N$2,'ProductSprint Backlog'!$I391=N$2), 'ProductSprint Backlog'!$F391, TRUE, 0)</f>
        <v/>
      </c>
      <c r="O391" s="4" t="str" cm="1">
        <f t="array" ref="O391">_xlfn.IFS('ProductSprint Backlog'!$F391="", "", AND('ProductSprint Backlog'!$J391&gt;O$2,'ProductSprint Backlog'!$I391&lt;=O$2), 'ProductSprint Backlog'!$F391 / MAX(1, 'ProductSprint Backlog'!$J391-'ProductSprint Backlog'!$I391), AND('ProductSprint Backlog'!$J391=O$2,'ProductSprint Backlog'!$I391=O$2), 'ProductSprint Backlog'!$F391, TRUE, 0)</f>
        <v/>
      </c>
      <c r="P391" s="4" t="str" cm="1">
        <f t="array" ref="P391">_xlfn.IFS('ProductSprint Backlog'!$F391="", "", AND('ProductSprint Backlog'!$J391&gt;P$2,'ProductSprint Backlog'!$I391&lt;=P$2), 'ProductSprint Backlog'!$F391 / MAX(1, 'ProductSprint Backlog'!$J391-'ProductSprint Backlog'!$I391), AND('ProductSprint Backlog'!$J391=P$2,'ProductSprint Backlog'!$I391=P$2), 'ProductSprint Backlog'!$F391, TRUE, 0)</f>
        <v/>
      </c>
      <c r="Q391" s="4" t="str" cm="1">
        <f t="array" ref="Q391">_xlfn.IFS('ProductSprint Backlog'!$F391="", "", AND('ProductSprint Backlog'!$J391&gt;Q$2,'ProductSprint Backlog'!$I391&lt;=Q$2), 'ProductSprint Backlog'!$F391 / MAX(1, 'ProductSprint Backlog'!$J391-'ProductSprint Backlog'!$I391), AND('ProductSprint Backlog'!$J391=Q$2,'ProductSprint Backlog'!$I391=Q$2), 'ProductSprint Backlog'!$F391, TRUE, 0)</f>
        <v/>
      </c>
    </row>
    <row r="392" spans="2:17" x14ac:dyDescent="0.2">
      <c r="B392" s="4" t="str" cm="1">
        <f t="array" ref="B392">_xlfn.IFS('ProductSprint Backlog'!$F392="", "", AND('ProductSprint Backlog'!$J392&gt;B$2,'ProductSprint Backlog'!$I392&lt;=B$2), 'ProductSprint Backlog'!$F392 / MAX(1, 'ProductSprint Backlog'!$J392-'ProductSprint Backlog'!$I392), AND('ProductSprint Backlog'!$J392=B$2,'ProductSprint Backlog'!$I392=B$2), 'ProductSprint Backlog'!$F392, TRUE, 0)</f>
        <v/>
      </c>
      <c r="C392" s="4" t="str" cm="1">
        <f t="array" ref="C392">_xlfn.IFS('ProductSprint Backlog'!$F392="", "", AND('ProductSprint Backlog'!$J392&gt;C$2,'ProductSprint Backlog'!$I392&lt;=C$2), 'ProductSprint Backlog'!$F392 / MAX(1, 'ProductSprint Backlog'!$J392-'ProductSprint Backlog'!$I392), AND('ProductSprint Backlog'!$J392=C$2,'ProductSprint Backlog'!$I392=C$2), 'ProductSprint Backlog'!$F392, TRUE, 0)</f>
        <v/>
      </c>
      <c r="D392" s="4" t="str" cm="1">
        <f t="array" ref="D392">_xlfn.IFS('ProductSprint Backlog'!$F392="", "", AND('ProductSprint Backlog'!$J392&gt;D$2,'ProductSprint Backlog'!$I392&lt;=D$2), 'ProductSprint Backlog'!$F392 / MAX(1, 'ProductSprint Backlog'!$J392-'ProductSprint Backlog'!$I392), AND('ProductSprint Backlog'!$J392=D$2,'ProductSprint Backlog'!$I392=D$2), 'ProductSprint Backlog'!$F392, TRUE, 0)</f>
        <v/>
      </c>
      <c r="E392" s="4" t="str" cm="1">
        <f t="array" ref="E392">_xlfn.IFS('ProductSprint Backlog'!$F392="", "", AND('ProductSprint Backlog'!$J392&gt;E$2,'ProductSprint Backlog'!$I392&lt;=E$2), 'ProductSprint Backlog'!$F392 / MAX(1, 'ProductSprint Backlog'!$J392-'ProductSprint Backlog'!$I392), AND('ProductSprint Backlog'!$J392=E$2,'ProductSprint Backlog'!$I392=E$2), 'ProductSprint Backlog'!$F392, TRUE, 0)</f>
        <v/>
      </c>
      <c r="F392" s="4" t="str" cm="1">
        <f t="array" ref="F392">_xlfn.IFS('ProductSprint Backlog'!$F392="", "", AND('ProductSprint Backlog'!$J392&gt;F$2,'ProductSprint Backlog'!$I392&lt;=F$2), 'ProductSprint Backlog'!$F392 / MAX(1, 'ProductSprint Backlog'!$J392-'ProductSprint Backlog'!$I392), AND('ProductSprint Backlog'!$J392=F$2,'ProductSprint Backlog'!$I392=F$2), 'ProductSprint Backlog'!$F392, TRUE, 0)</f>
        <v/>
      </c>
      <c r="G392" s="4" t="str" cm="1">
        <f t="array" ref="G392">_xlfn.IFS('ProductSprint Backlog'!$F392="", "", AND('ProductSprint Backlog'!$J392&gt;G$2,'ProductSprint Backlog'!$I392&lt;=G$2), 'ProductSprint Backlog'!$F392 / MAX(1, 'ProductSprint Backlog'!$J392-'ProductSprint Backlog'!$I392), AND('ProductSprint Backlog'!$J392=G$2,'ProductSprint Backlog'!$I392=G$2), 'ProductSprint Backlog'!$F392, TRUE, 0)</f>
        <v/>
      </c>
      <c r="H392" s="4" t="str" cm="1">
        <f t="array" ref="H392">_xlfn.IFS('ProductSprint Backlog'!$F392="", "", AND('ProductSprint Backlog'!$J392&gt;H$2,'ProductSprint Backlog'!$I392&lt;=H$2), 'ProductSprint Backlog'!$F392 / MAX(1, 'ProductSprint Backlog'!$J392-'ProductSprint Backlog'!$I392), AND('ProductSprint Backlog'!$J392=H$2,'ProductSprint Backlog'!$I392=H$2), 'ProductSprint Backlog'!$F392, TRUE, 0)</f>
        <v/>
      </c>
      <c r="I392" s="4" t="str" cm="1">
        <f t="array" ref="I392">_xlfn.IFS('ProductSprint Backlog'!$F392="", "", AND('ProductSprint Backlog'!$J392&gt;I$2,'ProductSprint Backlog'!$I392&lt;=I$2), 'ProductSprint Backlog'!$F392 / MAX(1, 'ProductSprint Backlog'!$J392-'ProductSprint Backlog'!$I392), AND('ProductSprint Backlog'!$J392=I$2,'ProductSprint Backlog'!$I392=I$2), 'ProductSprint Backlog'!$F392, TRUE, 0)</f>
        <v/>
      </c>
      <c r="J392" s="4" t="str" cm="1">
        <f t="array" ref="J392">_xlfn.IFS('ProductSprint Backlog'!$F392="", "", AND('ProductSprint Backlog'!$J392&gt;J$2,'ProductSprint Backlog'!$I392&lt;=J$2), 'ProductSprint Backlog'!$F392 / MAX(1, 'ProductSprint Backlog'!$J392-'ProductSprint Backlog'!$I392), AND('ProductSprint Backlog'!$J392=J$2,'ProductSprint Backlog'!$I392=J$2), 'ProductSprint Backlog'!$F392, TRUE, 0)</f>
        <v/>
      </c>
      <c r="K392" s="4" t="str" cm="1">
        <f t="array" ref="K392">_xlfn.IFS('ProductSprint Backlog'!$F392="", "", AND('ProductSprint Backlog'!$J392&gt;K$2,'ProductSprint Backlog'!$I392&lt;=K$2), 'ProductSprint Backlog'!$F392 / MAX(1, 'ProductSprint Backlog'!$J392-'ProductSprint Backlog'!$I392), AND('ProductSprint Backlog'!$J392=K$2,'ProductSprint Backlog'!$I392=K$2), 'ProductSprint Backlog'!$F392, TRUE, 0)</f>
        <v/>
      </c>
      <c r="L392" s="4" t="str" cm="1">
        <f t="array" ref="L392">_xlfn.IFS('ProductSprint Backlog'!$F392="", "", AND('ProductSprint Backlog'!$J392&gt;L$2,'ProductSprint Backlog'!$I392&lt;=L$2), 'ProductSprint Backlog'!$F392 / MAX(1, 'ProductSprint Backlog'!$J392-'ProductSprint Backlog'!$I392), AND('ProductSprint Backlog'!$J392=L$2,'ProductSprint Backlog'!$I392=L$2), 'ProductSprint Backlog'!$F392, TRUE, 0)</f>
        <v/>
      </c>
      <c r="M392" s="4" t="str" cm="1">
        <f t="array" ref="M392">_xlfn.IFS('ProductSprint Backlog'!$F392="", "", AND('ProductSprint Backlog'!$J392&gt;M$2,'ProductSprint Backlog'!$I392&lt;=M$2), 'ProductSprint Backlog'!$F392 / MAX(1, 'ProductSprint Backlog'!$J392-'ProductSprint Backlog'!$I392), AND('ProductSprint Backlog'!$J392=M$2,'ProductSprint Backlog'!$I392=M$2), 'ProductSprint Backlog'!$F392, TRUE, 0)</f>
        <v/>
      </c>
      <c r="N392" s="4" t="str" cm="1">
        <f t="array" ref="N392">_xlfn.IFS('ProductSprint Backlog'!$F392="", "", AND('ProductSprint Backlog'!$J392&gt;N$2,'ProductSprint Backlog'!$I392&lt;=N$2), 'ProductSprint Backlog'!$F392 / MAX(1, 'ProductSprint Backlog'!$J392-'ProductSprint Backlog'!$I392), AND('ProductSprint Backlog'!$J392=N$2,'ProductSprint Backlog'!$I392=N$2), 'ProductSprint Backlog'!$F392, TRUE, 0)</f>
        <v/>
      </c>
      <c r="O392" s="4" t="str" cm="1">
        <f t="array" ref="O392">_xlfn.IFS('ProductSprint Backlog'!$F392="", "", AND('ProductSprint Backlog'!$J392&gt;O$2,'ProductSprint Backlog'!$I392&lt;=O$2), 'ProductSprint Backlog'!$F392 / MAX(1, 'ProductSprint Backlog'!$J392-'ProductSprint Backlog'!$I392), AND('ProductSprint Backlog'!$J392=O$2,'ProductSprint Backlog'!$I392=O$2), 'ProductSprint Backlog'!$F392, TRUE, 0)</f>
        <v/>
      </c>
      <c r="P392" s="4" t="str" cm="1">
        <f t="array" ref="P392">_xlfn.IFS('ProductSprint Backlog'!$F392="", "", AND('ProductSprint Backlog'!$J392&gt;P$2,'ProductSprint Backlog'!$I392&lt;=P$2), 'ProductSprint Backlog'!$F392 / MAX(1, 'ProductSprint Backlog'!$J392-'ProductSprint Backlog'!$I392), AND('ProductSprint Backlog'!$J392=P$2,'ProductSprint Backlog'!$I392=P$2), 'ProductSprint Backlog'!$F392, TRUE, 0)</f>
        <v/>
      </c>
      <c r="Q392" s="4" t="str" cm="1">
        <f t="array" ref="Q392">_xlfn.IFS('ProductSprint Backlog'!$F392="", "", AND('ProductSprint Backlog'!$J392&gt;Q$2,'ProductSprint Backlog'!$I392&lt;=Q$2), 'ProductSprint Backlog'!$F392 / MAX(1, 'ProductSprint Backlog'!$J392-'ProductSprint Backlog'!$I392), AND('ProductSprint Backlog'!$J392=Q$2,'ProductSprint Backlog'!$I392=Q$2), 'ProductSprint Backlog'!$F392, TRUE, 0)</f>
        <v/>
      </c>
    </row>
    <row r="393" spans="2:17" x14ac:dyDescent="0.2">
      <c r="B393" s="4" t="str" cm="1">
        <f t="array" ref="B393">_xlfn.IFS('ProductSprint Backlog'!$F393="", "", AND('ProductSprint Backlog'!$J393&gt;B$2,'ProductSprint Backlog'!$I393&lt;=B$2), 'ProductSprint Backlog'!$F393 / MAX(1, 'ProductSprint Backlog'!$J393-'ProductSprint Backlog'!$I393), AND('ProductSprint Backlog'!$J393=B$2,'ProductSprint Backlog'!$I393=B$2), 'ProductSprint Backlog'!$F393, TRUE, 0)</f>
        <v/>
      </c>
      <c r="C393" s="4" t="str" cm="1">
        <f t="array" ref="C393">_xlfn.IFS('ProductSprint Backlog'!$F393="", "", AND('ProductSprint Backlog'!$J393&gt;C$2,'ProductSprint Backlog'!$I393&lt;=C$2), 'ProductSprint Backlog'!$F393 / MAX(1, 'ProductSprint Backlog'!$J393-'ProductSprint Backlog'!$I393), AND('ProductSprint Backlog'!$J393=C$2,'ProductSprint Backlog'!$I393=C$2), 'ProductSprint Backlog'!$F393, TRUE, 0)</f>
        <v/>
      </c>
      <c r="D393" s="4" t="str" cm="1">
        <f t="array" ref="D393">_xlfn.IFS('ProductSprint Backlog'!$F393="", "", AND('ProductSprint Backlog'!$J393&gt;D$2,'ProductSprint Backlog'!$I393&lt;=D$2), 'ProductSprint Backlog'!$F393 / MAX(1, 'ProductSprint Backlog'!$J393-'ProductSprint Backlog'!$I393), AND('ProductSprint Backlog'!$J393=D$2,'ProductSprint Backlog'!$I393=D$2), 'ProductSprint Backlog'!$F393, TRUE, 0)</f>
        <v/>
      </c>
      <c r="E393" s="4" t="str" cm="1">
        <f t="array" ref="E393">_xlfn.IFS('ProductSprint Backlog'!$F393="", "", AND('ProductSprint Backlog'!$J393&gt;E$2,'ProductSprint Backlog'!$I393&lt;=E$2), 'ProductSprint Backlog'!$F393 / MAX(1, 'ProductSprint Backlog'!$J393-'ProductSprint Backlog'!$I393), AND('ProductSprint Backlog'!$J393=E$2,'ProductSprint Backlog'!$I393=E$2), 'ProductSprint Backlog'!$F393, TRUE, 0)</f>
        <v/>
      </c>
      <c r="F393" s="4" t="str" cm="1">
        <f t="array" ref="F393">_xlfn.IFS('ProductSprint Backlog'!$F393="", "", AND('ProductSprint Backlog'!$J393&gt;F$2,'ProductSprint Backlog'!$I393&lt;=F$2), 'ProductSprint Backlog'!$F393 / MAX(1, 'ProductSprint Backlog'!$J393-'ProductSprint Backlog'!$I393), AND('ProductSprint Backlog'!$J393=F$2,'ProductSprint Backlog'!$I393=F$2), 'ProductSprint Backlog'!$F393, TRUE, 0)</f>
        <v/>
      </c>
      <c r="G393" s="4" t="str" cm="1">
        <f t="array" ref="G393">_xlfn.IFS('ProductSprint Backlog'!$F393="", "", AND('ProductSprint Backlog'!$J393&gt;G$2,'ProductSprint Backlog'!$I393&lt;=G$2), 'ProductSprint Backlog'!$F393 / MAX(1, 'ProductSprint Backlog'!$J393-'ProductSprint Backlog'!$I393), AND('ProductSprint Backlog'!$J393=G$2,'ProductSprint Backlog'!$I393=G$2), 'ProductSprint Backlog'!$F393, TRUE, 0)</f>
        <v/>
      </c>
      <c r="H393" s="4" t="str" cm="1">
        <f t="array" ref="H393">_xlfn.IFS('ProductSprint Backlog'!$F393="", "", AND('ProductSprint Backlog'!$J393&gt;H$2,'ProductSprint Backlog'!$I393&lt;=H$2), 'ProductSprint Backlog'!$F393 / MAX(1, 'ProductSprint Backlog'!$J393-'ProductSprint Backlog'!$I393), AND('ProductSprint Backlog'!$J393=H$2,'ProductSprint Backlog'!$I393=H$2), 'ProductSprint Backlog'!$F393, TRUE, 0)</f>
        <v/>
      </c>
      <c r="I393" s="4" t="str" cm="1">
        <f t="array" ref="I393">_xlfn.IFS('ProductSprint Backlog'!$F393="", "", AND('ProductSprint Backlog'!$J393&gt;I$2,'ProductSprint Backlog'!$I393&lt;=I$2), 'ProductSprint Backlog'!$F393 / MAX(1, 'ProductSprint Backlog'!$J393-'ProductSprint Backlog'!$I393), AND('ProductSprint Backlog'!$J393=I$2,'ProductSprint Backlog'!$I393=I$2), 'ProductSprint Backlog'!$F393, TRUE, 0)</f>
        <v/>
      </c>
      <c r="J393" s="4" t="str" cm="1">
        <f t="array" ref="J393">_xlfn.IFS('ProductSprint Backlog'!$F393="", "", AND('ProductSprint Backlog'!$J393&gt;J$2,'ProductSprint Backlog'!$I393&lt;=J$2), 'ProductSprint Backlog'!$F393 / MAX(1, 'ProductSprint Backlog'!$J393-'ProductSprint Backlog'!$I393), AND('ProductSprint Backlog'!$J393=J$2,'ProductSprint Backlog'!$I393=J$2), 'ProductSprint Backlog'!$F393, TRUE, 0)</f>
        <v/>
      </c>
      <c r="K393" s="4" t="str" cm="1">
        <f t="array" ref="K393">_xlfn.IFS('ProductSprint Backlog'!$F393="", "", AND('ProductSprint Backlog'!$J393&gt;K$2,'ProductSprint Backlog'!$I393&lt;=K$2), 'ProductSprint Backlog'!$F393 / MAX(1, 'ProductSprint Backlog'!$J393-'ProductSprint Backlog'!$I393), AND('ProductSprint Backlog'!$J393=K$2,'ProductSprint Backlog'!$I393=K$2), 'ProductSprint Backlog'!$F393, TRUE, 0)</f>
        <v/>
      </c>
      <c r="L393" s="4" t="str" cm="1">
        <f t="array" ref="L393">_xlfn.IFS('ProductSprint Backlog'!$F393="", "", AND('ProductSprint Backlog'!$J393&gt;L$2,'ProductSprint Backlog'!$I393&lt;=L$2), 'ProductSprint Backlog'!$F393 / MAX(1, 'ProductSprint Backlog'!$J393-'ProductSprint Backlog'!$I393), AND('ProductSprint Backlog'!$J393=L$2,'ProductSprint Backlog'!$I393=L$2), 'ProductSprint Backlog'!$F393, TRUE, 0)</f>
        <v/>
      </c>
      <c r="M393" s="4" t="str" cm="1">
        <f t="array" ref="M393">_xlfn.IFS('ProductSprint Backlog'!$F393="", "", AND('ProductSprint Backlog'!$J393&gt;M$2,'ProductSprint Backlog'!$I393&lt;=M$2), 'ProductSprint Backlog'!$F393 / MAX(1, 'ProductSprint Backlog'!$J393-'ProductSprint Backlog'!$I393), AND('ProductSprint Backlog'!$J393=M$2,'ProductSprint Backlog'!$I393=M$2), 'ProductSprint Backlog'!$F393, TRUE, 0)</f>
        <v/>
      </c>
      <c r="N393" s="4" t="str" cm="1">
        <f t="array" ref="N393">_xlfn.IFS('ProductSprint Backlog'!$F393="", "", AND('ProductSprint Backlog'!$J393&gt;N$2,'ProductSprint Backlog'!$I393&lt;=N$2), 'ProductSprint Backlog'!$F393 / MAX(1, 'ProductSprint Backlog'!$J393-'ProductSprint Backlog'!$I393), AND('ProductSprint Backlog'!$J393=N$2,'ProductSprint Backlog'!$I393=N$2), 'ProductSprint Backlog'!$F393, TRUE, 0)</f>
        <v/>
      </c>
      <c r="O393" s="4" t="str" cm="1">
        <f t="array" ref="O393">_xlfn.IFS('ProductSprint Backlog'!$F393="", "", AND('ProductSprint Backlog'!$J393&gt;O$2,'ProductSprint Backlog'!$I393&lt;=O$2), 'ProductSprint Backlog'!$F393 / MAX(1, 'ProductSprint Backlog'!$J393-'ProductSprint Backlog'!$I393), AND('ProductSprint Backlog'!$J393=O$2,'ProductSprint Backlog'!$I393=O$2), 'ProductSprint Backlog'!$F393, TRUE, 0)</f>
        <v/>
      </c>
      <c r="P393" s="4" t="str" cm="1">
        <f t="array" ref="P393">_xlfn.IFS('ProductSprint Backlog'!$F393="", "", AND('ProductSprint Backlog'!$J393&gt;P$2,'ProductSprint Backlog'!$I393&lt;=P$2), 'ProductSprint Backlog'!$F393 / MAX(1, 'ProductSprint Backlog'!$J393-'ProductSprint Backlog'!$I393), AND('ProductSprint Backlog'!$J393=P$2,'ProductSprint Backlog'!$I393=P$2), 'ProductSprint Backlog'!$F393, TRUE, 0)</f>
        <v/>
      </c>
      <c r="Q393" s="4" t="str" cm="1">
        <f t="array" ref="Q393">_xlfn.IFS('ProductSprint Backlog'!$F393="", "", AND('ProductSprint Backlog'!$J393&gt;Q$2,'ProductSprint Backlog'!$I393&lt;=Q$2), 'ProductSprint Backlog'!$F393 / MAX(1, 'ProductSprint Backlog'!$J393-'ProductSprint Backlog'!$I393), AND('ProductSprint Backlog'!$J393=Q$2,'ProductSprint Backlog'!$I393=Q$2), 'ProductSprint Backlog'!$F393, TRUE, 0)</f>
        <v/>
      </c>
    </row>
    <row r="394" spans="2:17" x14ac:dyDescent="0.2">
      <c r="B394" s="4" t="str" cm="1">
        <f t="array" ref="B394">_xlfn.IFS('ProductSprint Backlog'!$F394="", "", AND('ProductSprint Backlog'!$J394&gt;B$2,'ProductSprint Backlog'!$I394&lt;=B$2), 'ProductSprint Backlog'!$F394 / MAX(1, 'ProductSprint Backlog'!$J394-'ProductSprint Backlog'!$I394), AND('ProductSprint Backlog'!$J394=B$2,'ProductSprint Backlog'!$I394=B$2), 'ProductSprint Backlog'!$F394, TRUE, 0)</f>
        <v/>
      </c>
      <c r="C394" s="4" t="str" cm="1">
        <f t="array" ref="C394">_xlfn.IFS('ProductSprint Backlog'!$F394="", "", AND('ProductSprint Backlog'!$J394&gt;C$2,'ProductSprint Backlog'!$I394&lt;=C$2), 'ProductSprint Backlog'!$F394 / MAX(1, 'ProductSprint Backlog'!$J394-'ProductSprint Backlog'!$I394), AND('ProductSprint Backlog'!$J394=C$2,'ProductSprint Backlog'!$I394=C$2), 'ProductSprint Backlog'!$F394, TRUE, 0)</f>
        <v/>
      </c>
      <c r="D394" s="4" t="str" cm="1">
        <f t="array" ref="D394">_xlfn.IFS('ProductSprint Backlog'!$F394="", "", AND('ProductSprint Backlog'!$J394&gt;D$2,'ProductSprint Backlog'!$I394&lt;=D$2), 'ProductSprint Backlog'!$F394 / MAX(1, 'ProductSprint Backlog'!$J394-'ProductSprint Backlog'!$I394), AND('ProductSprint Backlog'!$J394=D$2,'ProductSprint Backlog'!$I394=D$2), 'ProductSprint Backlog'!$F394, TRUE, 0)</f>
        <v/>
      </c>
      <c r="E394" s="4" t="str" cm="1">
        <f t="array" ref="E394">_xlfn.IFS('ProductSprint Backlog'!$F394="", "", AND('ProductSprint Backlog'!$J394&gt;E$2,'ProductSprint Backlog'!$I394&lt;=E$2), 'ProductSprint Backlog'!$F394 / MAX(1, 'ProductSprint Backlog'!$J394-'ProductSprint Backlog'!$I394), AND('ProductSprint Backlog'!$J394=E$2,'ProductSprint Backlog'!$I394=E$2), 'ProductSprint Backlog'!$F394, TRUE, 0)</f>
        <v/>
      </c>
      <c r="F394" s="4" t="str" cm="1">
        <f t="array" ref="F394">_xlfn.IFS('ProductSprint Backlog'!$F394="", "", AND('ProductSprint Backlog'!$J394&gt;F$2,'ProductSprint Backlog'!$I394&lt;=F$2), 'ProductSprint Backlog'!$F394 / MAX(1, 'ProductSprint Backlog'!$J394-'ProductSprint Backlog'!$I394), AND('ProductSprint Backlog'!$J394=F$2,'ProductSprint Backlog'!$I394=F$2), 'ProductSprint Backlog'!$F394, TRUE, 0)</f>
        <v/>
      </c>
      <c r="G394" s="4" t="str" cm="1">
        <f t="array" ref="G394">_xlfn.IFS('ProductSprint Backlog'!$F394="", "", AND('ProductSprint Backlog'!$J394&gt;G$2,'ProductSprint Backlog'!$I394&lt;=G$2), 'ProductSprint Backlog'!$F394 / MAX(1, 'ProductSprint Backlog'!$J394-'ProductSprint Backlog'!$I394), AND('ProductSprint Backlog'!$J394=G$2,'ProductSprint Backlog'!$I394=G$2), 'ProductSprint Backlog'!$F394, TRUE, 0)</f>
        <v/>
      </c>
      <c r="H394" s="4" t="str" cm="1">
        <f t="array" ref="H394">_xlfn.IFS('ProductSprint Backlog'!$F394="", "", AND('ProductSprint Backlog'!$J394&gt;H$2,'ProductSprint Backlog'!$I394&lt;=H$2), 'ProductSprint Backlog'!$F394 / MAX(1, 'ProductSprint Backlog'!$J394-'ProductSprint Backlog'!$I394), AND('ProductSprint Backlog'!$J394=H$2,'ProductSprint Backlog'!$I394=H$2), 'ProductSprint Backlog'!$F394, TRUE, 0)</f>
        <v/>
      </c>
      <c r="I394" s="4" t="str" cm="1">
        <f t="array" ref="I394">_xlfn.IFS('ProductSprint Backlog'!$F394="", "", AND('ProductSprint Backlog'!$J394&gt;I$2,'ProductSprint Backlog'!$I394&lt;=I$2), 'ProductSprint Backlog'!$F394 / MAX(1, 'ProductSprint Backlog'!$J394-'ProductSprint Backlog'!$I394), AND('ProductSprint Backlog'!$J394=I$2,'ProductSprint Backlog'!$I394=I$2), 'ProductSprint Backlog'!$F394, TRUE, 0)</f>
        <v/>
      </c>
      <c r="J394" s="4" t="str" cm="1">
        <f t="array" ref="J394">_xlfn.IFS('ProductSprint Backlog'!$F394="", "", AND('ProductSprint Backlog'!$J394&gt;J$2,'ProductSprint Backlog'!$I394&lt;=J$2), 'ProductSprint Backlog'!$F394 / MAX(1, 'ProductSprint Backlog'!$J394-'ProductSprint Backlog'!$I394), AND('ProductSprint Backlog'!$J394=J$2,'ProductSprint Backlog'!$I394=J$2), 'ProductSprint Backlog'!$F394, TRUE, 0)</f>
        <v/>
      </c>
      <c r="K394" s="4" t="str" cm="1">
        <f t="array" ref="K394">_xlfn.IFS('ProductSprint Backlog'!$F394="", "", AND('ProductSprint Backlog'!$J394&gt;K$2,'ProductSprint Backlog'!$I394&lt;=K$2), 'ProductSprint Backlog'!$F394 / MAX(1, 'ProductSprint Backlog'!$J394-'ProductSprint Backlog'!$I394), AND('ProductSprint Backlog'!$J394=K$2,'ProductSprint Backlog'!$I394=K$2), 'ProductSprint Backlog'!$F394, TRUE, 0)</f>
        <v/>
      </c>
      <c r="L394" s="4" t="str" cm="1">
        <f t="array" ref="L394">_xlfn.IFS('ProductSprint Backlog'!$F394="", "", AND('ProductSprint Backlog'!$J394&gt;L$2,'ProductSprint Backlog'!$I394&lt;=L$2), 'ProductSprint Backlog'!$F394 / MAX(1, 'ProductSprint Backlog'!$J394-'ProductSprint Backlog'!$I394), AND('ProductSprint Backlog'!$J394=L$2,'ProductSprint Backlog'!$I394=L$2), 'ProductSprint Backlog'!$F394, TRUE, 0)</f>
        <v/>
      </c>
      <c r="M394" s="4" t="str" cm="1">
        <f t="array" ref="M394">_xlfn.IFS('ProductSprint Backlog'!$F394="", "", AND('ProductSprint Backlog'!$J394&gt;M$2,'ProductSprint Backlog'!$I394&lt;=M$2), 'ProductSprint Backlog'!$F394 / MAX(1, 'ProductSprint Backlog'!$J394-'ProductSprint Backlog'!$I394), AND('ProductSprint Backlog'!$J394=M$2,'ProductSprint Backlog'!$I394=M$2), 'ProductSprint Backlog'!$F394, TRUE, 0)</f>
        <v/>
      </c>
      <c r="N394" s="4" t="str" cm="1">
        <f t="array" ref="N394">_xlfn.IFS('ProductSprint Backlog'!$F394="", "", AND('ProductSprint Backlog'!$J394&gt;N$2,'ProductSprint Backlog'!$I394&lt;=N$2), 'ProductSprint Backlog'!$F394 / MAX(1, 'ProductSprint Backlog'!$J394-'ProductSprint Backlog'!$I394), AND('ProductSprint Backlog'!$J394=N$2,'ProductSprint Backlog'!$I394=N$2), 'ProductSprint Backlog'!$F394, TRUE, 0)</f>
        <v/>
      </c>
      <c r="O394" s="4" t="str" cm="1">
        <f t="array" ref="O394">_xlfn.IFS('ProductSprint Backlog'!$F394="", "", AND('ProductSprint Backlog'!$J394&gt;O$2,'ProductSprint Backlog'!$I394&lt;=O$2), 'ProductSprint Backlog'!$F394 / MAX(1, 'ProductSprint Backlog'!$J394-'ProductSprint Backlog'!$I394), AND('ProductSprint Backlog'!$J394=O$2,'ProductSprint Backlog'!$I394=O$2), 'ProductSprint Backlog'!$F394, TRUE, 0)</f>
        <v/>
      </c>
      <c r="P394" s="4" t="str" cm="1">
        <f t="array" ref="P394">_xlfn.IFS('ProductSprint Backlog'!$F394="", "", AND('ProductSprint Backlog'!$J394&gt;P$2,'ProductSprint Backlog'!$I394&lt;=P$2), 'ProductSprint Backlog'!$F394 / MAX(1, 'ProductSprint Backlog'!$J394-'ProductSprint Backlog'!$I394), AND('ProductSprint Backlog'!$J394=P$2,'ProductSprint Backlog'!$I394=P$2), 'ProductSprint Backlog'!$F394, TRUE, 0)</f>
        <v/>
      </c>
      <c r="Q394" s="4" t="str" cm="1">
        <f t="array" ref="Q394">_xlfn.IFS('ProductSprint Backlog'!$F394="", "", AND('ProductSprint Backlog'!$J394&gt;Q$2,'ProductSprint Backlog'!$I394&lt;=Q$2), 'ProductSprint Backlog'!$F394 / MAX(1, 'ProductSprint Backlog'!$J394-'ProductSprint Backlog'!$I394), AND('ProductSprint Backlog'!$J394=Q$2,'ProductSprint Backlog'!$I394=Q$2), 'ProductSprint Backlog'!$F394, TRUE, 0)</f>
        <v/>
      </c>
    </row>
    <row r="395" spans="2:17" x14ac:dyDescent="0.2">
      <c r="B395" s="4" t="str" cm="1">
        <f t="array" ref="B395">_xlfn.IFS('ProductSprint Backlog'!$F395="", "", AND('ProductSprint Backlog'!$J395&gt;B$2,'ProductSprint Backlog'!$I395&lt;=B$2), 'ProductSprint Backlog'!$F395 / MAX(1, 'ProductSprint Backlog'!$J395-'ProductSprint Backlog'!$I395), AND('ProductSprint Backlog'!$J395=B$2,'ProductSprint Backlog'!$I395=B$2), 'ProductSprint Backlog'!$F395, TRUE, 0)</f>
        <v/>
      </c>
      <c r="C395" s="4" t="str" cm="1">
        <f t="array" ref="C395">_xlfn.IFS('ProductSprint Backlog'!$F395="", "", AND('ProductSprint Backlog'!$J395&gt;C$2,'ProductSprint Backlog'!$I395&lt;=C$2), 'ProductSprint Backlog'!$F395 / MAX(1, 'ProductSprint Backlog'!$J395-'ProductSprint Backlog'!$I395), AND('ProductSprint Backlog'!$J395=C$2,'ProductSprint Backlog'!$I395=C$2), 'ProductSprint Backlog'!$F395, TRUE, 0)</f>
        <v/>
      </c>
      <c r="D395" s="4" t="str" cm="1">
        <f t="array" ref="D395">_xlfn.IFS('ProductSprint Backlog'!$F395="", "", AND('ProductSprint Backlog'!$J395&gt;D$2,'ProductSprint Backlog'!$I395&lt;=D$2), 'ProductSprint Backlog'!$F395 / MAX(1, 'ProductSprint Backlog'!$J395-'ProductSprint Backlog'!$I395), AND('ProductSprint Backlog'!$J395=D$2,'ProductSprint Backlog'!$I395=D$2), 'ProductSprint Backlog'!$F395, TRUE, 0)</f>
        <v/>
      </c>
      <c r="E395" s="4" t="str" cm="1">
        <f t="array" ref="E395">_xlfn.IFS('ProductSprint Backlog'!$F395="", "", AND('ProductSprint Backlog'!$J395&gt;E$2,'ProductSprint Backlog'!$I395&lt;=E$2), 'ProductSprint Backlog'!$F395 / MAX(1, 'ProductSprint Backlog'!$J395-'ProductSprint Backlog'!$I395), AND('ProductSprint Backlog'!$J395=E$2,'ProductSprint Backlog'!$I395=E$2), 'ProductSprint Backlog'!$F395, TRUE, 0)</f>
        <v/>
      </c>
      <c r="F395" s="4" t="str" cm="1">
        <f t="array" ref="F395">_xlfn.IFS('ProductSprint Backlog'!$F395="", "", AND('ProductSprint Backlog'!$J395&gt;F$2,'ProductSprint Backlog'!$I395&lt;=F$2), 'ProductSprint Backlog'!$F395 / MAX(1, 'ProductSprint Backlog'!$J395-'ProductSprint Backlog'!$I395), AND('ProductSprint Backlog'!$J395=F$2,'ProductSprint Backlog'!$I395=F$2), 'ProductSprint Backlog'!$F395, TRUE, 0)</f>
        <v/>
      </c>
      <c r="G395" s="4" t="str" cm="1">
        <f t="array" ref="G395">_xlfn.IFS('ProductSprint Backlog'!$F395="", "", AND('ProductSprint Backlog'!$J395&gt;G$2,'ProductSprint Backlog'!$I395&lt;=G$2), 'ProductSprint Backlog'!$F395 / MAX(1, 'ProductSprint Backlog'!$J395-'ProductSprint Backlog'!$I395), AND('ProductSprint Backlog'!$J395=G$2,'ProductSprint Backlog'!$I395=G$2), 'ProductSprint Backlog'!$F395, TRUE, 0)</f>
        <v/>
      </c>
      <c r="H395" s="4" t="str" cm="1">
        <f t="array" ref="H395">_xlfn.IFS('ProductSprint Backlog'!$F395="", "", AND('ProductSprint Backlog'!$J395&gt;H$2,'ProductSprint Backlog'!$I395&lt;=H$2), 'ProductSprint Backlog'!$F395 / MAX(1, 'ProductSprint Backlog'!$J395-'ProductSprint Backlog'!$I395), AND('ProductSprint Backlog'!$J395=H$2,'ProductSprint Backlog'!$I395=H$2), 'ProductSprint Backlog'!$F395, TRUE, 0)</f>
        <v/>
      </c>
      <c r="I395" s="4" t="str" cm="1">
        <f t="array" ref="I395">_xlfn.IFS('ProductSprint Backlog'!$F395="", "", AND('ProductSprint Backlog'!$J395&gt;I$2,'ProductSprint Backlog'!$I395&lt;=I$2), 'ProductSprint Backlog'!$F395 / MAX(1, 'ProductSprint Backlog'!$J395-'ProductSprint Backlog'!$I395), AND('ProductSprint Backlog'!$J395=I$2,'ProductSprint Backlog'!$I395=I$2), 'ProductSprint Backlog'!$F395, TRUE, 0)</f>
        <v/>
      </c>
      <c r="J395" s="4" t="str" cm="1">
        <f t="array" ref="J395">_xlfn.IFS('ProductSprint Backlog'!$F395="", "", AND('ProductSprint Backlog'!$J395&gt;J$2,'ProductSprint Backlog'!$I395&lt;=J$2), 'ProductSprint Backlog'!$F395 / MAX(1, 'ProductSprint Backlog'!$J395-'ProductSprint Backlog'!$I395), AND('ProductSprint Backlog'!$J395=J$2,'ProductSprint Backlog'!$I395=J$2), 'ProductSprint Backlog'!$F395, TRUE, 0)</f>
        <v/>
      </c>
      <c r="K395" s="4" t="str" cm="1">
        <f t="array" ref="K395">_xlfn.IFS('ProductSprint Backlog'!$F395="", "", AND('ProductSprint Backlog'!$J395&gt;K$2,'ProductSprint Backlog'!$I395&lt;=K$2), 'ProductSprint Backlog'!$F395 / MAX(1, 'ProductSprint Backlog'!$J395-'ProductSprint Backlog'!$I395), AND('ProductSprint Backlog'!$J395=K$2,'ProductSprint Backlog'!$I395=K$2), 'ProductSprint Backlog'!$F395, TRUE, 0)</f>
        <v/>
      </c>
      <c r="L395" s="4" t="str" cm="1">
        <f t="array" ref="L395">_xlfn.IFS('ProductSprint Backlog'!$F395="", "", AND('ProductSprint Backlog'!$J395&gt;L$2,'ProductSprint Backlog'!$I395&lt;=L$2), 'ProductSprint Backlog'!$F395 / MAX(1, 'ProductSprint Backlog'!$J395-'ProductSprint Backlog'!$I395), AND('ProductSprint Backlog'!$J395=L$2,'ProductSprint Backlog'!$I395=L$2), 'ProductSprint Backlog'!$F395, TRUE, 0)</f>
        <v/>
      </c>
      <c r="M395" s="4" t="str" cm="1">
        <f t="array" ref="M395">_xlfn.IFS('ProductSprint Backlog'!$F395="", "", AND('ProductSprint Backlog'!$J395&gt;M$2,'ProductSprint Backlog'!$I395&lt;=M$2), 'ProductSprint Backlog'!$F395 / MAX(1, 'ProductSprint Backlog'!$J395-'ProductSprint Backlog'!$I395), AND('ProductSprint Backlog'!$J395=M$2,'ProductSprint Backlog'!$I395=M$2), 'ProductSprint Backlog'!$F395, TRUE, 0)</f>
        <v/>
      </c>
      <c r="N395" s="4" t="str" cm="1">
        <f t="array" ref="N395">_xlfn.IFS('ProductSprint Backlog'!$F395="", "", AND('ProductSprint Backlog'!$J395&gt;N$2,'ProductSprint Backlog'!$I395&lt;=N$2), 'ProductSprint Backlog'!$F395 / MAX(1, 'ProductSprint Backlog'!$J395-'ProductSprint Backlog'!$I395), AND('ProductSprint Backlog'!$J395=N$2,'ProductSprint Backlog'!$I395=N$2), 'ProductSprint Backlog'!$F395, TRUE, 0)</f>
        <v/>
      </c>
      <c r="O395" s="4" t="str" cm="1">
        <f t="array" ref="O395">_xlfn.IFS('ProductSprint Backlog'!$F395="", "", AND('ProductSprint Backlog'!$J395&gt;O$2,'ProductSprint Backlog'!$I395&lt;=O$2), 'ProductSprint Backlog'!$F395 / MAX(1, 'ProductSprint Backlog'!$J395-'ProductSprint Backlog'!$I395), AND('ProductSprint Backlog'!$J395=O$2,'ProductSprint Backlog'!$I395=O$2), 'ProductSprint Backlog'!$F395, TRUE, 0)</f>
        <v/>
      </c>
      <c r="P395" s="4" t="str" cm="1">
        <f t="array" ref="P395">_xlfn.IFS('ProductSprint Backlog'!$F395="", "", AND('ProductSprint Backlog'!$J395&gt;P$2,'ProductSprint Backlog'!$I395&lt;=P$2), 'ProductSprint Backlog'!$F395 / MAX(1, 'ProductSprint Backlog'!$J395-'ProductSprint Backlog'!$I395), AND('ProductSprint Backlog'!$J395=P$2,'ProductSprint Backlog'!$I395=P$2), 'ProductSprint Backlog'!$F395, TRUE, 0)</f>
        <v/>
      </c>
      <c r="Q395" s="4" t="str" cm="1">
        <f t="array" ref="Q395">_xlfn.IFS('ProductSprint Backlog'!$F395="", "", AND('ProductSprint Backlog'!$J395&gt;Q$2,'ProductSprint Backlog'!$I395&lt;=Q$2), 'ProductSprint Backlog'!$F395 / MAX(1, 'ProductSprint Backlog'!$J395-'ProductSprint Backlog'!$I395), AND('ProductSprint Backlog'!$J395=Q$2,'ProductSprint Backlog'!$I395=Q$2), 'ProductSprint Backlog'!$F395, TRUE, 0)</f>
        <v/>
      </c>
    </row>
    <row r="396" spans="2:17" x14ac:dyDescent="0.2">
      <c r="B396" s="4" t="str" cm="1">
        <f t="array" ref="B396">_xlfn.IFS('ProductSprint Backlog'!$F396="", "", AND('ProductSprint Backlog'!$J396&gt;B$2,'ProductSprint Backlog'!$I396&lt;=B$2), 'ProductSprint Backlog'!$F396 / MAX(1, 'ProductSprint Backlog'!$J396-'ProductSprint Backlog'!$I396), AND('ProductSprint Backlog'!$J396=B$2,'ProductSprint Backlog'!$I396=B$2), 'ProductSprint Backlog'!$F396, TRUE, 0)</f>
        <v/>
      </c>
      <c r="C396" s="4" t="str" cm="1">
        <f t="array" ref="C396">_xlfn.IFS('ProductSprint Backlog'!$F396="", "", AND('ProductSprint Backlog'!$J396&gt;C$2,'ProductSprint Backlog'!$I396&lt;=C$2), 'ProductSprint Backlog'!$F396 / MAX(1, 'ProductSprint Backlog'!$J396-'ProductSprint Backlog'!$I396), AND('ProductSprint Backlog'!$J396=C$2,'ProductSprint Backlog'!$I396=C$2), 'ProductSprint Backlog'!$F396, TRUE, 0)</f>
        <v/>
      </c>
      <c r="D396" s="4" t="str" cm="1">
        <f t="array" ref="D396">_xlfn.IFS('ProductSprint Backlog'!$F396="", "", AND('ProductSprint Backlog'!$J396&gt;D$2,'ProductSprint Backlog'!$I396&lt;=D$2), 'ProductSprint Backlog'!$F396 / MAX(1, 'ProductSprint Backlog'!$J396-'ProductSprint Backlog'!$I396), AND('ProductSprint Backlog'!$J396=D$2,'ProductSprint Backlog'!$I396=D$2), 'ProductSprint Backlog'!$F396, TRUE, 0)</f>
        <v/>
      </c>
      <c r="E396" s="4" t="str" cm="1">
        <f t="array" ref="E396">_xlfn.IFS('ProductSprint Backlog'!$F396="", "", AND('ProductSprint Backlog'!$J396&gt;E$2,'ProductSprint Backlog'!$I396&lt;=E$2), 'ProductSprint Backlog'!$F396 / MAX(1, 'ProductSprint Backlog'!$J396-'ProductSprint Backlog'!$I396), AND('ProductSprint Backlog'!$J396=E$2,'ProductSprint Backlog'!$I396=E$2), 'ProductSprint Backlog'!$F396, TRUE, 0)</f>
        <v/>
      </c>
      <c r="F396" s="4" t="str" cm="1">
        <f t="array" ref="F396">_xlfn.IFS('ProductSprint Backlog'!$F396="", "", AND('ProductSprint Backlog'!$J396&gt;F$2,'ProductSprint Backlog'!$I396&lt;=F$2), 'ProductSprint Backlog'!$F396 / MAX(1, 'ProductSprint Backlog'!$J396-'ProductSprint Backlog'!$I396), AND('ProductSprint Backlog'!$J396=F$2,'ProductSprint Backlog'!$I396=F$2), 'ProductSprint Backlog'!$F396, TRUE, 0)</f>
        <v/>
      </c>
      <c r="G396" s="4" t="str" cm="1">
        <f t="array" ref="G396">_xlfn.IFS('ProductSprint Backlog'!$F396="", "", AND('ProductSprint Backlog'!$J396&gt;G$2,'ProductSprint Backlog'!$I396&lt;=G$2), 'ProductSprint Backlog'!$F396 / MAX(1, 'ProductSprint Backlog'!$J396-'ProductSprint Backlog'!$I396), AND('ProductSprint Backlog'!$J396=G$2,'ProductSprint Backlog'!$I396=G$2), 'ProductSprint Backlog'!$F396, TRUE, 0)</f>
        <v/>
      </c>
      <c r="H396" s="4" t="str" cm="1">
        <f t="array" ref="H396">_xlfn.IFS('ProductSprint Backlog'!$F396="", "", AND('ProductSprint Backlog'!$J396&gt;H$2,'ProductSprint Backlog'!$I396&lt;=H$2), 'ProductSprint Backlog'!$F396 / MAX(1, 'ProductSprint Backlog'!$J396-'ProductSprint Backlog'!$I396), AND('ProductSprint Backlog'!$J396=H$2,'ProductSprint Backlog'!$I396=H$2), 'ProductSprint Backlog'!$F396, TRUE, 0)</f>
        <v/>
      </c>
      <c r="I396" s="4" t="str" cm="1">
        <f t="array" ref="I396">_xlfn.IFS('ProductSprint Backlog'!$F396="", "", AND('ProductSprint Backlog'!$J396&gt;I$2,'ProductSprint Backlog'!$I396&lt;=I$2), 'ProductSprint Backlog'!$F396 / MAX(1, 'ProductSprint Backlog'!$J396-'ProductSprint Backlog'!$I396), AND('ProductSprint Backlog'!$J396=I$2,'ProductSprint Backlog'!$I396=I$2), 'ProductSprint Backlog'!$F396, TRUE, 0)</f>
        <v/>
      </c>
      <c r="J396" s="4" t="str" cm="1">
        <f t="array" ref="J396">_xlfn.IFS('ProductSprint Backlog'!$F396="", "", AND('ProductSprint Backlog'!$J396&gt;J$2,'ProductSprint Backlog'!$I396&lt;=J$2), 'ProductSprint Backlog'!$F396 / MAX(1, 'ProductSprint Backlog'!$J396-'ProductSprint Backlog'!$I396), AND('ProductSprint Backlog'!$J396=J$2,'ProductSprint Backlog'!$I396=J$2), 'ProductSprint Backlog'!$F396, TRUE, 0)</f>
        <v/>
      </c>
      <c r="K396" s="4" t="str" cm="1">
        <f t="array" ref="K396">_xlfn.IFS('ProductSprint Backlog'!$F396="", "", AND('ProductSprint Backlog'!$J396&gt;K$2,'ProductSprint Backlog'!$I396&lt;=K$2), 'ProductSprint Backlog'!$F396 / MAX(1, 'ProductSprint Backlog'!$J396-'ProductSprint Backlog'!$I396), AND('ProductSprint Backlog'!$J396=K$2,'ProductSprint Backlog'!$I396=K$2), 'ProductSprint Backlog'!$F396, TRUE, 0)</f>
        <v/>
      </c>
      <c r="L396" s="4" t="str" cm="1">
        <f t="array" ref="L396">_xlfn.IFS('ProductSprint Backlog'!$F396="", "", AND('ProductSprint Backlog'!$J396&gt;L$2,'ProductSprint Backlog'!$I396&lt;=L$2), 'ProductSprint Backlog'!$F396 / MAX(1, 'ProductSprint Backlog'!$J396-'ProductSprint Backlog'!$I396), AND('ProductSprint Backlog'!$J396=L$2,'ProductSprint Backlog'!$I396=L$2), 'ProductSprint Backlog'!$F396, TRUE, 0)</f>
        <v/>
      </c>
      <c r="M396" s="4" t="str" cm="1">
        <f t="array" ref="M396">_xlfn.IFS('ProductSprint Backlog'!$F396="", "", AND('ProductSprint Backlog'!$J396&gt;M$2,'ProductSprint Backlog'!$I396&lt;=M$2), 'ProductSprint Backlog'!$F396 / MAX(1, 'ProductSprint Backlog'!$J396-'ProductSprint Backlog'!$I396), AND('ProductSprint Backlog'!$J396=M$2,'ProductSprint Backlog'!$I396=M$2), 'ProductSprint Backlog'!$F396, TRUE, 0)</f>
        <v/>
      </c>
      <c r="N396" s="4" t="str" cm="1">
        <f t="array" ref="N396">_xlfn.IFS('ProductSprint Backlog'!$F396="", "", AND('ProductSprint Backlog'!$J396&gt;N$2,'ProductSprint Backlog'!$I396&lt;=N$2), 'ProductSprint Backlog'!$F396 / MAX(1, 'ProductSprint Backlog'!$J396-'ProductSprint Backlog'!$I396), AND('ProductSprint Backlog'!$J396=N$2,'ProductSprint Backlog'!$I396=N$2), 'ProductSprint Backlog'!$F396, TRUE, 0)</f>
        <v/>
      </c>
      <c r="O396" s="4" t="str" cm="1">
        <f t="array" ref="O396">_xlfn.IFS('ProductSprint Backlog'!$F396="", "", AND('ProductSprint Backlog'!$J396&gt;O$2,'ProductSprint Backlog'!$I396&lt;=O$2), 'ProductSprint Backlog'!$F396 / MAX(1, 'ProductSprint Backlog'!$J396-'ProductSprint Backlog'!$I396), AND('ProductSprint Backlog'!$J396=O$2,'ProductSprint Backlog'!$I396=O$2), 'ProductSprint Backlog'!$F396, TRUE, 0)</f>
        <v/>
      </c>
      <c r="P396" s="4" t="str" cm="1">
        <f t="array" ref="P396">_xlfn.IFS('ProductSprint Backlog'!$F396="", "", AND('ProductSprint Backlog'!$J396&gt;P$2,'ProductSprint Backlog'!$I396&lt;=P$2), 'ProductSprint Backlog'!$F396 / MAX(1, 'ProductSprint Backlog'!$J396-'ProductSprint Backlog'!$I396), AND('ProductSprint Backlog'!$J396=P$2,'ProductSprint Backlog'!$I396=P$2), 'ProductSprint Backlog'!$F396, TRUE, 0)</f>
        <v/>
      </c>
      <c r="Q396" s="4" t="str" cm="1">
        <f t="array" ref="Q396">_xlfn.IFS('ProductSprint Backlog'!$F396="", "", AND('ProductSprint Backlog'!$J396&gt;Q$2,'ProductSprint Backlog'!$I396&lt;=Q$2), 'ProductSprint Backlog'!$F396 / MAX(1, 'ProductSprint Backlog'!$J396-'ProductSprint Backlog'!$I396), AND('ProductSprint Backlog'!$J396=Q$2,'ProductSprint Backlog'!$I396=Q$2), 'ProductSprint Backlog'!$F396, TRUE, 0)</f>
        <v/>
      </c>
    </row>
    <row r="397" spans="2:17" x14ac:dyDescent="0.2">
      <c r="B397" s="4" t="str" cm="1">
        <f t="array" ref="B397">_xlfn.IFS('ProductSprint Backlog'!$F397="", "", AND('ProductSprint Backlog'!$J397&gt;B$2,'ProductSprint Backlog'!$I397&lt;=B$2), 'ProductSprint Backlog'!$F397 / MAX(1, 'ProductSprint Backlog'!$J397-'ProductSprint Backlog'!$I397), AND('ProductSprint Backlog'!$J397=B$2,'ProductSprint Backlog'!$I397=B$2), 'ProductSprint Backlog'!$F397, TRUE, 0)</f>
        <v/>
      </c>
      <c r="C397" s="4" t="str" cm="1">
        <f t="array" ref="C397">_xlfn.IFS('ProductSprint Backlog'!$F397="", "", AND('ProductSprint Backlog'!$J397&gt;C$2,'ProductSprint Backlog'!$I397&lt;=C$2), 'ProductSprint Backlog'!$F397 / MAX(1, 'ProductSprint Backlog'!$J397-'ProductSprint Backlog'!$I397), AND('ProductSprint Backlog'!$J397=C$2,'ProductSprint Backlog'!$I397=C$2), 'ProductSprint Backlog'!$F397, TRUE, 0)</f>
        <v/>
      </c>
      <c r="D397" s="4" t="str" cm="1">
        <f t="array" ref="D397">_xlfn.IFS('ProductSprint Backlog'!$F397="", "", AND('ProductSprint Backlog'!$J397&gt;D$2,'ProductSprint Backlog'!$I397&lt;=D$2), 'ProductSprint Backlog'!$F397 / MAX(1, 'ProductSprint Backlog'!$J397-'ProductSprint Backlog'!$I397), AND('ProductSprint Backlog'!$J397=D$2,'ProductSprint Backlog'!$I397=D$2), 'ProductSprint Backlog'!$F397, TRUE, 0)</f>
        <v/>
      </c>
      <c r="E397" s="4" t="str" cm="1">
        <f t="array" ref="E397">_xlfn.IFS('ProductSprint Backlog'!$F397="", "", AND('ProductSprint Backlog'!$J397&gt;E$2,'ProductSprint Backlog'!$I397&lt;=E$2), 'ProductSprint Backlog'!$F397 / MAX(1, 'ProductSprint Backlog'!$J397-'ProductSprint Backlog'!$I397), AND('ProductSprint Backlog'!$J397=E$2,'ProductSprint Backlog'!$I397=E$2), 'ProductSprint Backlog'!$F397, TRUE, 0)</f>
        <v/>
      </c>
      <c r="F397" s="4" t="str" cm="1">
        <f t="array" ref="F397">_xlfn.IFS('ProductSprint Backlog'!$F397="", "", AND('ProductSprint Backlog'!$J397&gt;F$2,'ProductSprint Backlog'!$I397&lt;=F$2), 'ProductSprint Backlog'!$F397 / MAX(1, 'ProductSprint Backlog'!$J397-'ProductSprint Backlog'!$I397), AND('ProductSprint Backlog'!$J397=F$2,'ProductSprint Backlog'!$I397=F$2), 'ProductSprint Backlog'!$F397, TRUE, 0)</f>
        <v/>
      </c>
      <c r="G397" s="4" t="str" cm="1">
        <f t="array" ref="G397">_xlfn.IFS('ProductSprint Backlog'!$F397="", "", AND('ProductSprint Backlog'!$J397&gt;G$2,'ProductSprint Backlog'!$I397&lt;=G$2), 'ProductSprint Backlog'!$F397 / MAX(1, 'ProductSprint Backlog'!$J397-'ProductSprint Backlog'!$I397), AND('ProductSprint Backlog'!$J397=G$2,'ProductSprint Backlog'!$I397=G$2), 'ProductSprint Backlog'!$F397, TRUE, 0)</f>
        <v/>
      </c>
      <c r="H397" s="4" t="str" cm="1">
        <f t="array" ref="H397">_xlfn.IFS('ProductSprint Backlog'!$F397="", "", AND('ProductSprint Backlog'!$J397&gt;H$2,'ProductSprint Backlog'!$I397&lt;=H$2), 'ProductSprint Backlog'!$F397 / MAX(1, 'ProductSprint Backlog'!$J397-'ProductSprint Backlog'!$I397), AND('ProductSprint Backlog'!$J397=H$2,'ProductSprint Backlog'!$I397=H$2), 'ProductSprint Backlog'!$F397, TRUE, 0)</f>
        <v/>
      </c>
      <c r="I397" s="4" t="str" cm="1">
        <f t="array" ref="I397">_xlfn.IFS('ProductSprint Backlog'!$F397="", "", AND('ProductSprint Backlog'!$J397&gt;I$2,'ProductSprint Backlog'!$I397&lt;=I$2), 'ProductSprint Backlog'!$F397 / MAX(1, 'ProductSprint Backlog'!$J397-'ProductSprint Backlog'!$I397), AND('ProductSprint Backlog'!$J397=I$2,'ProductSprint Backlog'!$I397=I$2), 'ProductSprint Backlog'!$F397, TRUE, 0)</f>
        <v/>
      </c>
      <c r="J397" s="4" t="str" cm="1">
        <f t="array" ref="J397">_xlfn.IFS('ProductSprint Backlog'!$F397="", "", AND('ProductSprint Backlog'!$J397&gt;J$2,'ProductSprint Backlog'!$I397&lt;=J$2), 'ProductSprint Backlog'!$F397 / MAX(1, 'ProductSprint Backlog'!$J397-'ProductSprint Backlog'!$I397), AND('ProductSprint Backlog'!$J397=J$2,'ProductSprint Backlog'!$I397=J$2), 'ProductSprint Backlog'!$F397, TRUE, 0)</f>
        <v/>
      </c>
      <c r="K397" s="4" t="str" cm="1">
        <f t="array" ref="K397">_xlfn.IFS('ProductSprint Backlog'!$F397="", "", AND('ProductSprint Backlog'!$J397&gt;K$2,'ProductSprint Backlog'!$I397&lt;=K$2), 'ProductSprint Backlog'!$F397 / MAX(1, 'ProductSprint Backlog'!$J397-'ProductSprint Backlog'!$I397), AND('ProductSprint Backlog'!$J397=K$2,'ProductSprint Backlog'!$I397=K$2), 'ProductSprint Backlog'!$F397, TRUE, 0)</f>
        <v/>
      </c>
      <c r="L397" s="4" t="str" cm="1">
        <f t="array" ref="L397">_xlfn.IFS('ProductSprint Backlog'!$F397="", "", AND('ProductSprint Backlog'!$J397&gt;L$2,'ProductSprint Backlog'!$I397&lt;=L$2), 'ProductSprint Backlog'!$F397 / MAX(1, 'ProductSprint Backlog'!$J397-'ProductSprint Backlog'!$I397), AND('ProductSprint Backlog'!$J397=L$2,'ProductSprint Backlog'!$I397=L$2), 'ProductSprint Backlog'!$F397, TRUE, 0)</f>
        <v/>
      </c>
      <c r="M397" s="4" t="str" cm="1">
        <f t="array" ref="M397">_xlfn.IFS('ProductSprint Backlog'!$F397="", "", AND('ProductSprint Backlog'!$J397&gt;M$2,'ProductSprint Backlog'!$I397&lt;=M$2), 'ProductSprint Backlog'!$F397 / MAX(1, 'ProductSprint Backlog'!$J397-'ProductSprint Backlog'!$I397), AND('ProductSprint Backlog'!$J397=M$2,'ProductSprint Backlog'!$I397=M$2), 'ProductSprint Backlog'!$F397, TRUE, 0)</f>
        <v/>
      </c>
      <c r="N397" s="4" t="str" cm="1">
        <f t="array" ref="N397">_xlfn.IFS('ProductSprint Backlog'!$F397="", "", AND('ProductSprint Backlog'!$J397&gt;N$2,'ProductSprint Backlog'!$I397&lt;=N$2), 'ProductSprint Backlog'!$F397 / MAX(1, 'ProductSprint Backlog'!$J397-'ProductSprint Backlog'!$I397), AND('ProductSprint Backlog'!$J397=N$2,'ProductSprint Backlog'!$I397=N$2), 'ProductSprint Backlog'!$F397, TRUE, 0)</f>
        <v/>
      </c>
      <c r="O397" s="4" t="str" cm="1">
        <f t="array" ref="O397">_xlfn.IFS('ProductSprint Backlog'!$F397="", "", AND('ProductSprint Backlog'!$J397&gt;O$2,'ProductSprint Backlog'!$I397&lt;=O$2), 'ProductSprint Backlog'!$F397 / MAX(1, 'ProductSprint Backlog'!$J397-'ProductSprint Backlog'!$I397), AND('ProductSprint Backlog'!$J397=O$2,'ProductSprint Backlog'!$I397=O$2), 'ProductSprint Backlog'!$F397, TRUE, 0)</f>
        <v/>
      </c>
      <c r="P397" s="4" t="str" cm="1">
        <f t="array" ref="P397">_xlfn.IFS('ProductSprint Backlog'!$F397="", "", AND('ProductSprint Backlog'!$J397&gt;P$2,'ProductSprint Backlog'!$I397&lt;=P$2), 'ProductSprint Backlog'!$F397 / MAX(1, 'ProductSprint Backlog'!$J397-'ProductSprint Backlog'!$I397), AND('ProductSprint Backlog'!$J397=P$2,'ProductSprint Backlog'!$I397=P$2), 'ProductSprint Backlog'!$F397, TRUE, 0)</f>
        <v/>
      </c>
      <c r="Q397" s="4" t="str" cm="1">
        <f t="array" ref="Q397">_xlfn.IFS('ProductSprint Backlog'!$F397="", "", AND('ProductSprint Backlog'!$J397&gt;Q$2,'ProductSprint Backlog'!$I397&lt;=Q$2), 'ProductSprint Backlog'!$F397 / MAX(1, 'ProductSprint Backlog'!$J397-'ProductSprint Backlog'!$I397), AND('ProductSprint Backlog'!$J397=Q$2,'ProductSprint Backlog'!$I397=Q$2), 'ProductSprint Backlog'!$F397, TRUE, 0)</f>
        <v/>
      </c>
    </row>
    <row r="398" spans="2:17" x14ac:dyDescent="0.2">
      <c r="B398" s="4" t="str" cm="1">
        <f t="array" ref="B398">_xlfn.IFS('ProductSprint Backlog'!$F398="", "", AND('ProductSprint Backlog'!$J398&gt;B$2,'ProductSprint Backlog'!$I398&lt;=B$2), 'ProductSprint Backlog'!$F398 / MAX(1, 'ProductSprint Backlog'!$J398-'ProductSprint Backlog'!$I398), AND('ProductSprint Backlog'!$J398=B$2,'ProductSprint Backlog'!$I398=B$2), 'ProductSprint Backlog'!$F398, TRUE, 0)</f>
        <v/>
      </c>
      <c r="C398" s="4" t="str" cm="1">
        <f t="array" ref="C398">_xlfn.IFS('ProductSprint Backlog'!$F398="", "", AND('ProductSprint Backlog'!$J398&gt;C$2,'ProductSprint Backlog'!$I398&lt;=C$2), 'ProductSprint Backlog'!$F398 / MAX(1, 'ProductSprint Backlog'!$J398-'ProductSprint Backlog'!$I398), AND('ProductSprint Backlog'!$J398=C$2,'ProductSprint Backlog'!$I398=C$2), 'ProductSprint Backlog'!$F398, TRUE, 0)</f>
        <v/>
      </c>
      <c r="D398" s="4" t="str" cm="1">
        <f t="array" ref="D398">_xlfn.IFS('ProductSprint Backlog'!$F398="", "", AND('ProductSprint Backlog'!$J398&gt;D$2,'ProductSprint Backlog'!$I398&lt;=D$2), 'ProductSprint Backlog'!$F398 / MAX(1, 'ProductSprint Backlog'!$J398-'ProductSprint Backlog'!$I398), AND('ProductSprint Backlog'!$J398=D$2,'ProductSprint Backlog'!$I398=D$2), 'ProductSprint Backlog'!$F398, TRUE, 0)</f>
        <v/>
      </c>
      <c r="E398" s="4" t="str" cm="1">
        <f t="array" ref="E398">_xlfn.IFS('ProductSprint Backlog'!$F398="", "", AND('ProductSprint Backlog'!$J398&gt;E$2,'ProductSprint Backlog'!$I398&lt;=E$2), 'ProductSprint Backlog'!$F398 / MAX(1, 'ProductSprint Backlog'!$J398-'ProductSprint Backlog'!$I398), AND('ProductSprint Backlog'!$J398=E$2,'ProductSprint Backlog'!$I398=E$2), 'ProductSprint Backlog'!$F398, TRUE, 0)</f>
        <v/>
      </c>
      <c r="F398" s="4" t="str" cm="1">
        <f t="array" ref="F398">_xlfn.IFS('ProductSprint Backlog'!$F398="", "", AND('ProductSprint Backlog'!$J398&gt;F$2,'ProductSprint Backlog'!$I398&lt;=F$2), 'ProductSprint Backlog'!$F398 / MAX(1, 'ProductSprint Backlog'!$J398-'ProductSprint Backlog'!$I398), AND('ProductSprint Backlog'!$J398=F$2,'ProductSprint Backlog'!$I398=F$2), 'ProductSprint Backlog'!$F398, TRUE, 0)</f>
        <v/>
      </c>
      <c r="G398" s="4" t="str" cm="1">
        <f t="array" ref="G398">_xlfn.IFS('ProductSprint Backlog'!$F398="", "", AND('ProductSprint Backlog'!$J398&gt;G$2,'ProductSprint Backlog'!$I398&lt;=G$2), 'ProductSprint Backlog'!$F398 / MAX(1, 'ProductSprint Backlog'!$J398-'ProductSprint Backlog'!$I398), AND('ProductSprint Backlog'!$J398=G$2,'ProductSprint Backlog'!$I398=G$2), 'ProductSprint Backlog'!$F398, TRUE, 0)</f>
        <v/>
      </c>
      <c r="H398" s="4" t="str" cm="1">
        <f t="array" ref="H398">_xlfn.IFS('ProductSprint Backlog'!$F398="", "", AND('ProductSprint Backlog'!$J398&gt;H$2,'ProductSprint Backlog'!$I398&lt;=H$2), 'ProductSprint Backlog'!$F398 / MAX(1, 'ProductSprint Backlog'!$J398-'ProductSprint Backlog'!$I398), AND('ProductSprint Backlog'!$J398=H$2,'ProductSprint Backlog'!$I398=H$2), 'ProductSprint Backlog'!$F398, TRUE, 0)</f>
        <v/>
      </c>
      <c r="I398" s="4" t="str" cm="1">
        <f t="array" ref="I398">_xlfn.IFS('ProductSprint Backlog'!$F398="", "", AND('ProductSprint Backlog'!$J398&gt;I$2,'ProductSprint Backlog'!$I398&lt;=I$2), 'ProductSprint Backlog'!$F398 / MAX(1, 'ProductSprint Backlog'!$J398-'ProductSprint Backlog'!$I398), AND('ProductSprint Backlog'!$J398=I$2,'ProductSprint Backlog'!$I398=I$2), 'ProductSprint Backlog'!$F398, TRUE, 0)</f>
        <v/>
      </c>
      <c r="J398" s="4" t="str" cm="1">
        <f t="array" ref="J398">_xlfn.IFS('ProductSprint Backlog'!$F398="", "", AND('ProductSprint Backlog'!$J398&gt;J$2,'ProductSprint Backlog'!$I398&lt;=J$2), 'ProductSprint Backlog'!$F398 / MAX(1, 'ProductSprint Backlog'!$J398-'ProductSprint Backlog'!$I398), AND('ProductSprint Backlog'!$J398=J$2,'ProductSprint Backlog'!$I398=J$2), 'ProductSprint Backlog'!$F398, TRUE, 0)</f>
        <v/>
      </c>
      <c r="K398" s="4" t="str" cm="1">
        <f t="array" ref="K398">_xlfn.IFS('ProductSprint Backlog'!$F398="", "", AND('ProductSprint Backlog'!$J398&gt;K$2,'ProductSprint Backlog'!$I398&lt;=K$2), 'ProductSprint Backlog'!$F398 / MAX(1, 'ProductSprint Backlog'!$J398-'ProductSprint Backlog'!$I398), AND('ProductSprint Backlog'!$J398=K$2,'ProductSprint Backlog'!$I398=K$2), 'ProductSprint Backlog'!$F398, TRUE, 0)</f>
        <v/>
      </c>
      <c r="L398" s="4" t="str" cm="1">
        <f t="array" ref="L398">_xlfn.IFS('ProductSprint Backlog'!$F398="", "", AND('ProductSprint Backlog'!$J398&gt;L$2,'ProductSprint Backlog'!$I398&lt;=L$2), 'ProductSprint Backlog'!$F398 / MAX(1, 'ProductSprint Backlog'!$J398-'ProductSprint Backlog'!$I398), AND('ProductSprint Backlog'!$J398=L$2,'ProductSprint Backlog'!$I398=L$2), 'ProductSprint Backlog'!$F398, TRUE, 0)</f>
        <v/>
      </c>
      <c r="M398" s="4" t="str" cm="1">
        <f t="array" ref="M398">_xlfn.IFS('ProductSprint Backlog'!$F398="", "", AND('ProductSprint Backlog'!$J398&gt;M$2,'ProductSprint Backlog'!$I398&lt;=M$2), 'ProductSprint Backlog'!$F398 / MAX(1, 'ProductSprint Backlog'!$J398-'ProductSprint Backlog'!$I398), AND('ProductSprint Backlog'!$J398=M$2,'ProductSprint Backlog'!$I398=M$2), 'ProductSprint Backlog'!$F398, TRUE, 0)</f>
        <v/>
      </c>
      <c r="N398" s="4" t="str" cm="1">
        <f t="array" ref="N398">_xlfn.IFS('ProductSprint Backlog'!$F398="", "", AND('ProductSprint Backlog'!$J398&gt;N$2,'ProductSprint Backlog'!$I398&lt;=N$2), 'ProductSprint Backlog'!$F398 / MAX(1, 'ProductSprint Backlog'!$J398-'ProductSprint Backlog'!$I398), AND('ProductSprint Backlog'!$J398=N$2,'ProductSprint Backlog'!$I398=N$2), 'ProductSprint Backlog'!$F398, TRUE, 0)</f>
        <v/>
      </c>
      <c r="O398" s="4" t="str" cm="1">
        <f t="array" ref="O398">_xlfn.IFS('ProductSprint Backlog'!$F398="", "", AND('ProductSprint Backlog'!$J398&gt;O$2,'ProductSprint Backlog'!$I398&lt;=O$2), 'ProductSprint Backlog'!$F398 / MAX(1, 'ProductSprint Backlog'!$J398-'ProductSprint Backlog'!$I398), AND('ProductSprint Backlog'!$J398=O$2,'ProductSprint Backlog'!$I398=O$2), 'ProductSprint Backlog'!$F398, TRUE, 0)</f>
        <v/>
      </c>
      <c r="P398" s="4" t="str" cm="1">
        <f t="array" ref="P398">_xlfn.IFS('ProductSprint Backlog'!$F398="", "", AND('ProductSprint Backlog'!$J398&gt;P$2,'ProductSprint Backlog'!$I398&lt;=P$2), 'ProductSprint Backlog'!$F398 / MAX(1, 'ProductSprint Backlog'!$J398-'ProductSprint Backlog'!$I398), AND('ProductSprint Backlog'!$J398=P$2,'ProductSprint Backlog'!$I398=P$2), 'ProductSprint Backlog'!$F398, TRUE, 0)</f>
        <v/>
      </c>
      <c r="Q398" s="4" t="str" cm="1">
        <f t="array" ref="Q398">_xlfn.IFS('ProductSprint Backlog'!$F398="", "", AND('ProductSprint Backlog'!$J398&gt;Q$2,'ProductSprint Backlog'!$I398&lt;=Q$2), 'ProductSprint Backlog'!$F398 / MAX(1, 'ProductSprint Backlog'!$J398-'ProductSprint Backlog'!$I398), AND('ProductSprint Backlog'!$J398=Q$2,'ProductSprint Backlog'!$I398=Q$2), 'ProductSprint Backlog'!$F398, TRUE, 0)</f>
        <v/>
      </c>
    </row>
    <row r="399" spans="2:17" x14ac:dyDescent="0.2">
      <c r="B399" s="4" t="str" cm="1">
        <f t="array" ref="B399">_xlfn.IFS('ProductSprint Backlog'!$F399="", "", AND('ProductSprint Backlog'!$J399&gt;B$2,'ProductSprint Backlog'!$I399&lt;=B$2), 'ProductSprint Backlog'!$F399 / MAX(1, 'ProductSprint Backlog'!$J399-'ProductSprint Backlog'!$I399), AND('ProductSprint Backlog'!$J399=B$2,'ProductSprint Backlog'!$I399=B$2), 'ProductSprint Backlog'!$F399, TRUE, 0)</f>
        <v/>
      </c>
      <c r="C399" s="4" t="str" cm="1">
        <f t="array" ref="C399">_xlfn.IFS('ProductSprint Backlog'!$F399="", "", AND('ProductSprint Backlog'!$J399&gt;C$2,'ProductSprint Backlog'!$I399&lt;=C$2), 'ProductSprint Backlog'!$F399 / MAX(1, 'ProductSprint Backlog'!$J399-'ProductSprint Backlog'!$I399), AND('ProductSprint Backlog'!$J399=C$2,'ProductSprint Backlog'!$I399=C$2), 'ProductSprint Backlog'!$F399, TRUE, 0)</f>
        <v/>
      </c>
      <c r="D399" s="4" t="str" cm="1">
        <f t="array" ref="D399">_xlfn.IFS('ProductSprint Backlog'!$F399="", "", AND('ProductSprint Backlog'!$J399&gt;D$2,'ProductSprint Backlog'!$I399&lt;=D$2), 'ProductSprint Backlog'!$F399 / MAX(1, 'ProductSprint Backlog'!$J399-'ProductSprint Backlog'!$I399), AND('ProductSprint Backlog'!$J399=D$2,'ProductSprint Backlog'!$I399=D$2), 'ProductSprint Backlog'!$F399, TRUE, 0)</f>
        <v/>
      </c>
      <c r="E399" s="4" t="str" cm="1">
        <f t="array" ref="E399">_xlfn.IFS('ProductSprint Backlog'!$F399="", "", AND('ProductSprint Backlog'!$J399&gt;E$2,'ProductSprint Backlog'!$I399&lt;=E$2), 'ProductSprint Backlog'!$F399 / MAX(1, 'ProductSprint Backlog'!$J399-'ProductSprint Backlog'!$I399), AND('ProductSprint Backlog'!$J399=E$2,'ProductSprint Backlog'!$I399=E$2), 'ProductSprint Backlog'!$F399, TRUE, 0)</f>
        <v/>
      </c>
      <c r="F399" s="4" t="str" cm="1">
        <f t="array" ref="F399">_xlfn.IFS('ProductSprint Backlog'!$F399="", "", AND('ProductSprint Backlog'!$J399&gt;F$2,'ProductSprint Backlog'!$I399&lt;=F$2), 'ProductSprint Backlog'!$F399 / MAX(1, 'ProductSprint Backlog'!$J399-'ProductSprint Backlog'!$I399), AND('ProductSprint Backlog'!$J399=F$2,'ProductSprint Backlog'!$I399=F$2), 'ProductSprint Backlog'!$F399, TRUE, 0)</f>
        <v/>
      </c>
      <c r="G399" s="4" t="str" cm="1">
        <f t="array" ref="G399">_xlfn.IFS('ProductSprint Backlog'!$F399="", "", AND('ProductSprint Backlog'!$J399&gt;G$2,'ProductSprint Backlog'!$I399&lt;=G$2), 'ProductSprint Backlog'!$F399 / MAX(1, 'ProductSprint Backlog'!$J399-'ProductSprint Backlog'!$I399), AND('ProductSprint Backlog'!$J399=G$2,'ProductSprint Backlog'!$I399=G$2), 'ProductSprint Backlog'!$F399, TRUE, 0)</f>
        <v/>
      </c>
      <c r="H399" s="4" t="str" cm="1">
        <f t="array" ref="H399">_xlfn.IFS('ProductSprint Backlog'!$F399="", "", AND('ProductSprint Backlog'!$J399&gt;H$2,'ProductSprint Backlog'!$I399&lt;=H$2), 'ProductSprint Backlog'!$F399 / MAX(1, 'ProductSprint Backlog'!$J399-'ProductSprint Backlog'!$I399), AND('ProductSprint Backlog'!$J399=H$2,'ProductSprint Backlog'!$I399=H$2), 'ProductSprint Backlog'!$F399, TRUE, 0)</f>
        <v/>
      </c>
      <c r="I399" s="4" t="str" cm="1">
        <f t="array" ref="I399">_xlfn.IFS('ProductSprint Backlog'!$F399="", "", AND('ProductSprint Backlog'!$J399&gt;I$2,'ProductSprint Backlog'!$I399&lt;=I$2), 'ProductSprint Backlog'!$F399 / MAX(1, 'ProductSprint Backlog'!$J399-'ProductSprint Backlog'!$I399), AND('ProductSprint Backlog'!$J399=I$2,'ProductSprint Backlog'!$I399=I$2), 'ProductSprint Backlog'!$F399, TRUE, 0)</f>
        <v/>
      </c>
      <c r="J399" s="4" t="str" cm="1">
        <f t="array" ref="J399">_xlfn.IFS('ProductSprint Backlog'!$F399="", "", AND('ProductSprint Backlog'!$J399&gt;J$2,'ProductSprint Backlog'!$I399&lt;=J$2), 'ProductSprint Backlog'!$F399 / MAX(1, 'ProductSprint Backlog'!$J399-'ProductSprint Backlog'!$I399), AND('ProductSprint Backlog'!$J399=J$2,'ProductSprint Backlog'!$I399=J$2), 'ProductSprint Backlog'!$F399, TRUE, 0)</f>
        <v/>
      </c>
      <c r="K399" s="4" t="str" cm="1">
        <f t="array" ref="K399">_xlfn.IFS('ProductSprint Backlog'!$F399="", "", AND('ProductSprint Backlog'!$J399&gt;K$2,'ProductSprint Backlog'!$I399&lt;=K$2), 'ProductSprint Backlog'!$F399 / MAX(1, 'ProductSprint Backlog'!$J399-'ProductSprint Backlog'!$I399), AND('ProductSprint Backlog'!$J399=K$2,'ProductSprint Backlog'!$I399=K$2), 'ProductSprint Backlog'!$F399, TRUE, 0)</f>
        <v/>
      </c>
      <c r="L399" s="4" t="str" cm="1">
        <f t="array" ref="L399">_xlfn.IFS('ProductSprint Backlog'!$F399="", "", AND('ProductSprint Backlog'!$J399&gt;L$2,'ProductSprint Backlog'!$I399&lt;=L$2), 'ProductSprint Backlog'!$F399 / MAX(1, 'ProductSprint Backlog'!$J399-'ProductSprint Backlog'!$I399), AND('ProductSprint Backlog'!$J399=L$2,'ProductSprint Backlog'!$I399=L$2), 'ProductSprint Backlog'!$F399, TRUE, 0)</f>
        <v/>
      </c>
      <c r="M399" s="4" t="str" cm="1">
        <f t="array" ref="M399">_xlfn.IFS('ProductSprint Backlog'!$F399="", "", AND('ProductSprint Backlog'!$J399&gt;M$2,'ProductSprint Backlog'!$I399&lt;=M$2), 'ProductSprint Backlog'!$F399 / MAX(1, 'ProductSprint Backlog'!$J399-'ProductSprint Backlog'!$I399), AND('ProductSprint Backlog'!$J399=M$2,'ProductSprint Backlog'!$I399=M$2), 'ProductSprint Backlog'!$F399, TRUE, 0)</f>
        <v/>
      </c>
      <c r="N399" s="4" t="str" cm="1">
        <f t="array" ref="N399">_xlfn.IFS('ProductSprint Backlog'!$F399="", "", AND('ProductSprint Backlog'!$J399&gt;N$2,'ProductSprint Backlog'!$I399&lt;=N$2), 'ProductSprint Backlog'!$F399 / MAX(1, 'ProductSprint Backlog'!$J399-'ProductSprint Backlog'!$I399), AND('ProductSprint Backlog'!$J399=N$2,'ProductSprint Backlog'!$I399=N$2), 'ProductSprint Backlog'!$F399, TRUE, 0)</f>
        <v/>
      </c>
      <c r="O399" s="4" t="str" cm="1">
        <f t="array" ref="O399">_xlfn.IFS('ProductSprint Backlog'!$F399="", "", AND('ProductSprint Backlog'!$J399&gt;O$2,'ProductSprint Backlog'!$I399&lt;=O$2), 'ProductSprint Backlog'!$F399 / MAX(1, 'ProductSprint Backlog'!$J399-'ProductSprint Backlog'!$I399), AND('ProductSprint Backlog'!$J399=O$2,'ProductSprint Backlog'!$I399=O$2), 'ProductSprint Backlog'!$F399, TRUE, 0)</f>
        <v/>
      </c>
      <c r="P399" s="4" t="str" cm="1">
        <f t="array" ref="P399">_xlfn.IFS('ProductSprint Backlog'!$F399="", "", AND('ProductSprint Backlog'!$J399&gt;P$2,'ProductSprint Backlog'!$I399&lt;=P$2), 'ProductSprint Backlog'!$F399 / MAX(1, 'ProductSprint Backlog'!$J399-'ProductSprint Backlog'!$I399), AND('ProductSprint Backlog'!$J399=P$2,'ProductSprint Backlog'!$I399=P$2), 'ProductSprint Backlog'!$F399, TRUE, 0)</f>
        <v/>
      </c>
      <c r="Q399" s="4" t="str" cm="1">
        <f t="array" ref="Q399">_xlfn.IFS('ProductSprint Backlog'!$F399="", "", AND('ProductSprint Backlog'!$J399&gt;Q$2,'ProductSprint Backlog'!$I399&lt;=Q$2), 'ProductSprint Backlog'!$F399 / MAX(1, 'ProductSprint Backlog'!$J399-'ProductSprint Backlog'!$I399), AND('ProductSprint Backlog'!$J399=Q$2,'ProductSprint Backlog'!$I399=Q$2), 'ProductSprint Backlog'!$F399, TRUE, 0)</f>
        <v/>
      </c>
    </row>
    <row r="400" spans="2:17" x14ac:dyDescent="0.2">
      <c r="B400" s="4" t="str" cm="1">
        <f t="array" ref="B400">_xlfn.IFS('ProductSprint Backlog'!$F400="", "", AND('ProductSprint Backlog'!$J400&gt;B$2,'ProductSprint Backlog'!$I400&lt;=B$2), 'ProductSprint Backlog'!$F400 / MAX(1, 'ProductSprint Backlog'!$J400-'ProductSprint Backlog'!$I400), AND('ProductSprint Backlog'!$J400=B$2,'ProductSprint Backlog'!$I400=B$2), 'ProductSprint Backlog'!$F400, TRUE, 0)</f>
        <v/>
      </c>
      <c r="C400" s="4" t="str" cm="1">
        <f t="array" ref="C400">_xlfn.IFS('ProductSprint Backlog'!$F400="", "", AND('ProductSprint Backlog'!$J400&gt;C$2,'ProductSprint Backlog'!$I400&lt;=C$2), 'ProductSprint Backlog'!$F400 / MAX(1, 'ProductSprint Backlog'!$J400-'ProductSprint Backlog'!$I400), AND('ProductSprint Backlog'!$J400=C$2,'ProductSprint Backlog'!$I400=C$2), 'ProductSprint Backlog'!$F400, TRUE, 0)</f>
        <v/>
      </c>
      <c r="D400" s="4" t="str" cm="1">
        <f t="array" ref="D400">_xlfn.IFS('ProductSprint Backlog'!$F400="", "", AND('ProductSprint Backlog'!$J400&gt;D$2,'ProductSprint Backlog'!$I400&lt;=D$2), 'ProductSprint Backlog'!$F400 / MAX(1, 'ProductSprint Backlog'!$J400-'ProductSprint Backlog'!$I400), AND('ProductSprint Backlog'!$J400=D$2,'ProductSprint Backlog'!$I400=D$2), 'ProductSprint Backlog'!$F400, TRUE, 0)</f>
        <v/>
      </c>
      <c r="E400" s="4" t="str" cm="1">
        <f t="array" ref="E400">_xlfn.IFS('ProductSprint Backlog'!$F400="", "", AND('ProductSprint Backlog'!$J400&gt;E$2,'ProductSprint Backlog'!$I400&lt;=E$2), 'ProductSprint Backlog'!$F400 / MAX(1, 'ProductSprint Backlog'!$J400-'ProductSprint Backlog'!$I400), AND('ProductSprint Backlog'!$J400=E$2,'ProductSprint Backlog'!$I400=E$2), 'ProductSprint Backlog'!$F400, TRUE, 0)</f>
        <v/>
      </c>
      <c r="F400" s="4" t="str" cm="1">
        <f t="array" ref="F400">_xlfn.IFS('ProductSprint Backlog'!$F400="", "", AND('ProductSprint Backlog'!$J400&gt;F$2,'ProductSprint Backlog'!$I400&lt;=F$2), 'ProductSprint Backlog'!$F400 / MAX(1, 'ProductSprint Backlog'!$J400-'ProductSprint Backlog'!$I400), AND('ProductSprint Backlog'!$J400=F$2,'ProductSprint Backlog'!$I400=F$2), 'ProductSprint Backlog'!$F400, TRUE, 0)</f>
        <v/>
      </c>
      <c r="G400" s="4" t="str" cm="1">
        <f t="array" ref="G400">_xlfn.IFS('ProductSprint Backlog'!$F400="", "", AND('ProductSprint Backlog'!$J400&gt;G$2,'ProductSprint Backlog'!$I400&lt;=G$2), 'ProductSprint Backlog'!$F400 / MAX(1, 'ProductSprint Backlog'!$J400-'ProductSprint Backlog'!$I400), AND('ProductSprint Backlog'!$J400=G$2,'ProductSprint Backlog'!$I400=G$2), 'ProductSprint Backlog'!$F400, TRUE, 0)</f>
        <v/>
      </c>
      <c r="H400" s="4" t="str" cm="1">
        <f t="array" ref="H400">_xlfn.IFS('ProductSprint Backlog'!$F400="", "", AND('ProductSprint Backlog'!$J400&gt;H$2,'ProductSprint Backlog'!$I400&lt;=H$2), 'ProductSprint Backlog'!$F400 / MAX(1, 'ProductSprint Backlog'!$J400-'ProductSprint Backlog'!$I400), AND('ProductSprint Backlog'!$J400=H$2,'ProductSprint Backlog'!$I400=H$2), 'ProductSprint Backlog'!$F400, TRUE, 0)</f>
        <v/>
      </c>
      <c r="I400" s="4" t="str" cm="1">
        <f t="array" ref="I400">_xlfn.IFS('ProductSprint Backlog'!$F400="", "", AND('ProductSprint Backlog'!$J400&gt;I$2,'ProductSprint Backlog'!$I400&lt;=I$2), 'ProductSprint Backlog'!$F400 / MAX(1, 'ProductSprint Backlog'!$J400-'ProductSprint Backlog'!$I400), AND('ProductSprint Backlog'!$J400=I$2,'ProductSprint Backlog'!$I400=I$2), 'ProductSprint Backlog'!$F400, TRUE, 0)</f>
        <v/>
      </c>
      <c r="J400" s="4" t="str" cm="1">
        <f t="array" ref="J400">_xlfn.IFS('ProductSprint Backlog'!$F400="", "", AND('ProductSprint Backlog'!$J400&gt;J$2,'ProductSprint Backlog'!$I400&lt;=J$2), 'ProductSprint Backlog'!$F400 / MAX(1, 'ProductSprint Backlog'!$J400-'ProductSprint Backlog'!$I400), AND('ProductSprint Backlog'!$J400=J$2,'ProductSprint Backlog'!$I400=J$2), 'ProductSprint Backlog'!$F400, TRUE, 0)</f>
        <v/>
      </c>
      <c r="K400" s="4" t="str" cm="1">
        <f t="array" ref="K400">_xlfn.IFS('ProductSprint Backlog'!$F400="", "", AND('ProductSprint Backlog'!$J400&gt;K$2,'ProductSprint Backlog'!$I400&lt;=K$2), 'ProductSprint Backlog'!$F400 / MAX(1, 'ProductSprint Backlog'!$J400-'ProductSprint Backlog'!$I400), AND('ProductSprint Backlog'!$J400=K$2,'ProductSprint Backlog'!$I400=K$2), 'ProductSprint Backlog'!$F400, TRUE, 0)</f>
        <v/>
      </c>
      <c r="L400" s="4" t="str" cm="1">
        <f t="array" ref="L400">_xlfn.IFS('ProductSprint Backlog'!$F400="", "", AND('ProductSprint Backlog'!$J400&gt;L$2,'ProductSprint Backlog'!$I400&lt;=L$2), 'ProductSprint Backlog'!$F400 / MAX(1, 'ProductSprint Backlog'!$J400-'ProductSprint Backlog'!$I400), AND('ProductSprint Backlog'!$J400=L$2,'ProductSprint Backlog'!$I400=L$2), 'ProductSprint Backlog'!$F400, TRUE, 0)</f>
        <v/>
      </c>
      <c r="M400" s="4" t="str" cm="1">
        <f t="array" ref="M400">_xlfn.IFS('ProductSprint Backlog'!$F400="", "", AND('ProductSprint Backlog'!$J400&gt;M$2,'ProductSprint Backlog'!$I400&lt;=M$2), 'ProductSprint Backlog'!$F400 / MAX(1, 'ProductSprint Backlog'!$J400-'ProductSprint Backlog'!$I400), AND('ProductSprint Backlog'!$J400=M$2,'ProductSprint Backlog'!$I400=M$2), 'ProductSprint Backlog'!$F400, TRUE, 0)</f>
        <v/>
      </c>
      <c r="N400" s="4" t="str" cm="1">
        <f t="array" ref="N400">_xlfn.IFS('ProductSprint Backlog'!$F400="", "", AND('ProductSprint Backlog'!$J400&gt;N$2,'ProductSprint Backlog'!$I400&lt;=N$2), 'ProductSprint Backlog'!$F400 / MAX(1, 'ProductSprint Backlog'!$J400-'ProductSprint Backlog'!$I400), AND('ProductSprint Backlog'!$J400=N$2,'ProductSprint Backlog'!$I400=N$2), 'ProductSprint Backlog'!$F400, TRUE, 0)</f>
        <v/>
      </c>
      <c r="O400" s="4" t="str" cm="1">
        <f t="array" ref="O400">_xlfn.IFS('ProductSprint Backlog'!$F400="", "", AND('ProductSprint Backlog'!$J400&gt;O$2,'ProductSprint Backlog'!$I400&lt;=O$2), 'ProductSprint Backlog'!$F400 / MAX(1, 'ProductSprint Backlog'!$J400-'ProductSprint Backlog'!$I400), AND('ProductSprint Backlog'!$J400=O$2,'ProductSprint Backlog'!$I400=O$2), 'ProductSprint Backlog'!$F400, TRUE, 0)</f>
        <v/>
      </c>
      <c r="P400" s="4" t="str" cm="1">
        <f t="array" ref="P400">_xlfn.IFS('ProductSprint Backlog'!$F400="", "", AND('ProductSprint Backlog'!$J400&gt;P$2,'ProductSprint Backlog'!$I400&lt;=P$2), 'ProductSprint Backlog'!$F400 / MAX(1, 'ProductSprint Backlog'!$J400-'ProductSprint Backlog'!$I400), AND('ProductSprint Backlog'!$J400=P$2,'ProductSprint Backlog'!$I400=P$2), 'ProductSprint Backlog'!$F400, TRUE, 0)</f>
        <v/>
      </c>
      <c r="Q400" s="4" t="str" cm="1">
        <f t="array" ref="Q400">_xlfn.IFS('ProductSprint Backlog'!$F400="", "", AND('ProductSprint Backlog'!$J400&gt;Q$2,'ProductSprint Backlog'!$I400&lt;=Q$2), 'ProductSprint Backlog'!$F400 / MAX(1, 'ProductSprint Backlog'!$J400-'ProductSprint Backlog'!$I400), AND('ProductSprint Backlog'!$J400=Q$2,'ProductSprint Backlog'!$I400=Q$2), 'ProductSprint Backlog'!$F400, TRUE, 0)</f>
        <v/>
      </c>
    </row>
    <row r="401" spans="2:17" x14ac:dyDescent="0.2">
      <c r="B401" s="4" t="str" cm="1">
        <f t="array" ref="B401">_xlfn.IFS('ProductSprint Backlog'!$F401="", "", AND('ProductSprint Backlog'!$J401&gt;B$2,'ProductSprint Backlog'!$I401&lt;=B$2), 'ProductSprint Backlog'!$F401 / MAX(1, 'ProductSprint Backlog'!$J401-'ProductSprint Backlog'!$I401), AND('ProductSprint Backlog'!$J401=B$2,'ProductSprint Backlog'!$I401=B$2), 'ProductSprint Backlog'!$F401, TRUE, 0)</f>
        <v/>
      </c>
      <c r="C401" s="4" t="str" cm="1">
        <f t="array" ref="C401">_xlfn.IFS('ProductSprint Backlog'!$F401="", "", AND('ProductSprint Backlog'!$J401&gt;C$2,'ProductSprint Backlog'!$I401&lt;=C$2), 'ProductSprint Backlog'!$F401 / MAX(1, 'ProductSprint Backlog'!$J401-'ProductSprint Backlog'!$I401), AND('ProductSprint Backlog'!$J401=C$2,'ProductSprint Backlog'!$I401=C$2), 'ProductSprint Backlog'!$F401, TRUE, 0)</f>
        <v/>
      </c>
      <c r="D401" s="4" t="str" cm="1">
        <f t="array" ref="D401">_xlfn.IFS('ProductSprint Backlog'!$F401="", "", AND('ProductSprint Backlog'!$J401&gt;D$2,'ProductSprint Backlog'!$I401&lt;=D$2), 'ProductSprint Backlog'!$F401 / MAX(1, 'ProductSprint Backlog'!$J401-'ProductSprint Backlog'!$I401), AND('ProductSprint Backlog'!$J401=D$2,'ProductSprint Backlog'!$I401=D$2), 'ProductSprint Backlog'!$F401, TRUE, 0)</f>
        <v/>
      </c>
      <c r="E401" s="4" t="str" cm="1">
        <f t="array" ref="E401">_xlfn.IFS('ProductSprint Backlog'!$F401="", "", AND('ProductSprint Backlog'!$J401&gt;E$2,'ProductSprint Backlog'!$I401&lt;=E$2), 'ProductSprint Backlog'!$F401 / MAX(1, 'ProductSprint Backlog'!$J401-'ProductSprint Backlog'!$I401), AND('ProductSprint Backlog'!$J401=E$2,'ProductSprint Backlog'!$I401=E$2), 'ProductSprint Backlog'!$F401, TRUE, 0)</f>
        <v/>
      </c>
      <c r="F401" s="4" t="str" cm="1">
        <f t="array" ref="F401">_xlfn.IFS('ProductSprint Backlog'!$F401="", "", AND('ProductSprint Backlog'!$J401&gt;F$2,'ProductSprint Backlog'!$I401&lt;=F$2), 'ProductSprint Backlog'!$F401 / MAX(1, 'ProductSprint Backlog'!$J401-'ProductSprint Backlog'!$I401), AND('ProductSprint Backlog'!$J401=F$2,'ProductSprint Backlog'!$I401=F$2), 'ProductSprint Backlog'!$F401, TRUE, 0)</f>
        <v/>
      </c>
      <c r="G401" s="4" t="str" cm="1">
        <f t="array" ref="G401">_xlfn.IFS('ProductSprint Backlog'!$F401="", "", AND('ProductSprint Backlog'!$J401&gt;G$2,'ProductSprint Backlog'!$I401&lt;=G$2), 'ProductSprint Backlog'!$F401 / MAX(1, 'ProductSprint Backlog'!$J401-'ProductSprint Backlog'!$I401), AND('ProductSprint Backlog'!$J401=G$2,'ProductSprint Backlog'!$I401=G$2), 'ProductSprint Backlog'!$F401, TRUE, 0)</f>
        <v/>
      </c>
      <c r="H401" s="4" t="str" cm="1">
        <f t="array" ref="H401">_xlfn.IFS('ProductSprint Backlog'!$F401="", "", AND('ProductSprint Backlog'!$J401&gt;H$2,'ProductSprint Backlog'!$I401&lt;=H$2), 'ProductSprint Backlog'!$F401 / MAX(1, 'ProductSprint Backlog'!$J401-'ProductSprint Backlog'!$I401), AND('ProductSprint Backlog'!$J401=H$2,'ProductSprint Backlog'!$I401=H$2), 'ProductSprint Backlog'!$F401, TRUE, 0)</f>
        <v/>
      </c>
      <c r="I401" s="4" t="str" cm="1">
        <f t="array" ref="I401">_xlfn.IFS('ProductSprint Backlog'!$F401="", "", AND('ProductSprint Backlog'!$J401&gt;I$2,'ProductSprint Backlog'!$I401&lt;=I$2), 'ProductSprint Backlog'!$F401 / MAX(1, 'ProductSprint Backlog'!$J401-'ProductSprint Backlog'!$I401), AND('ProductSprint Backlog'!$J401=I$2,'ProductSprint Backlog'!$I401=I$2), 'ProductSprint Backlog'!$F401, TRUE, 0)</f>
        <v/>
      </c>
      <c r="J401" s="4" t="str" cm="1">
        <f t="array" ref="J401">_xlfn.IFS('ProductSprint Backlog'!$F401="", "", AND('ProductSprint Backlog'!$J401&gt;J$2,'ProductSprint Backlog'!$I401&lt;=J$2), 'ProductSprint Backlog'!$F401 / MAX(1, 'ProductSprint Backlog'!$J401-'ProductSprint Backlog'!$I401), AND('ProductSprint Backlog'!$J401=J$2,'ProductSprint Backlog'!$I401=J$2), 'ProductSprint Backlog'!$F401, TRUE, 0)</f>
        <v/>
      </c>
      <c r="K401" s="4" t="str" cm="1">
        <f t="array" ref="K401">_xlfn.IFS('ProductSprint Backlog'!$F401="", "", AND('ProductSprint Backlog'!$J401&gt;K$2,'ProductSprint Backlog'!$I401&lt;=K$2), 'ProductSprint Backlog'!$F401 / MAX(1, 'ProductSprint Backlog'!$J401-'ProductSprint Backlog'!$I401), AND('ProductSprint Backlog'!$J401=K$2,'ProductSprint Backlog'!$I401=K$2), 'ProductSprint Backlog'!$F401, TRUE, 0)</f>
        <v/>
      </c>
      <c r="L401" s="4" t="str" cm="1">
        <f t="array" ref="L401">_xlfn.IFS('ProductSprint Backlog'!$F401="", "", AND('ProductSprint Backlog'!$J401&gt;L$2,'ProductSprint Backlog'!$I401&lt;=L$2), 'ProductSprint Backlog'!$F401 / MAX(1, 'ProductSprint Backlog'!$J401-'ProductSprint Backlog'!$I401), AND('ProductSprint Backlog'!$J401=L$2,'ProductSprint Backlog'!$I401=L$2), 'ProductSprint Backlog'!$F401, TRUE, 0)</f>
        <v/>
      </c>
      <c r="M401" s="4" t="str" cm="1">
        <f t="array" ref="M401">_xlfn.IFS('ProductSprint Backlog'!$F401="", "", AND('ProductSprint Backlog'!$J401&gt;M$2,'ProductSprint Backlog'!$I401&lt;=M$2), 'ProductSprint Backlog'!$F401 / MAX(1, 'ProductSprint Backlog'!$J401-'ProductSprint Backlog'!$I401), AND('ProductSprint Backlog'!$J401=M$2,'ProductSprint Backlog'!$I401=M$2), 'ProductSprint Backlog'!$F401, TRUE, 0)</f>
        <v/>
      </c>
      <c r="N401" s="4" t="str" cm="1">
        <f t="array" ref="N401">_xlfn.IFS('ProductSprint Backlog'!$F401="", "", AND('ProductSprint Backlog'!$J401&gt;N$2,'ProductSprint Backlog'!$I401&lt;=N$2), 'ProductSprint Backlog'!$F401 / MAX(1, 'ProductSprint Backlog'!$J401-'ProductSprint Backlog'!$I401), AND('ProductSprint Backlog'!$J401=N$2,'ProductSprint Backlog'!$I401=N$2), 'ProductSprint Backlog'!$F401, TRUE, 0)</f>
        <v/>
      </c>
      <c r="O401" s="4" t="str" cm="1">
        <f t="array" ref="O401">_xlfn.IFS('ProductSprint Backlog'!$F401="", "", AND('ProductSprint Backlog'!$J401&gt;O$2,'ProductSprint Backlog'!$I401&lt;=O$2), 'ProductSprint Backlog'!$F401 / MAX(1, 'ProductSprint Backlog'!$J401-'ProductSprint Backlog'!$I401), AND('ProductSprint Backlog'!$J401=O$2,'ProductSprint Backlog'!$I401=O$2), 'ProductSprint Backlog'!$F401, TRUE, 0)</f>
        <v/>
      </c>
      <c r="P401" s="4" t="str" cm="1">
        <f t="array" ref="P401">_xlfn.IFS('ProductSprint Backlog'!$F401="", "", AND('ProductSprint Backlog'!$J401&gt;P$2,'ProductSprint Backlog'!$I401&lt;=P$2), 'ProductSprint Backlog'!$F401 / MAX(1, 'ProductSprint Backlog'!$J401-'ProductSprint Backlog'!$I401), AND('ProductSprint Backlog'!$J401=P$2,'ProductSprint Backlog'!$I401=P$2), 'ProductSprint Backlog'!$F401, TRUE, 0)</f>
        <v/>
      </c>
      <c r="Q401" s="4" t="str" cm="1">
        <f t="array" ref="Q401">_xlfn.IFS('ProductSprint Backlog'!$F401="", "", AND('ProductSprint Backlog'!$J401&gt;Q$2,'ProductSprint Backlog'!$I401&lt;=Q$2), 'ProductSprint Backlog'!$F401 / MAX(1, 'ProductSprint Backlog'!$J401-'ProductSprint Backlog'!$I401), AND('ProductSprint Backlog'!$J401=Q$2,'ProductSprint Backlog'!$I401=Q$2), 'ProductSprint Backlog'!$F401, TRUE, 0)</f>
        <v/>
      </c>
    </row>
    <row r="402" spans="2:17" x14ac:dyDescent="0.2">
      <c r="B402" s="4" t="str" cm="1">
        <f t="array" ref="B402">_xlfn.IFS('ProductSprint Backlog'!$F402="", "", AND('ProductSprint Backlog'!$J402&gt;B$2,'ProductSprint Backlog'!$I402&lt;=B$2), 'ProductSprint Backlog'!$F402 / MAX(1, 'ProductSprint Backlog'!$J402-'ProductSprint Backlog'!$I402), AND('ProductSprint Backlog'!$J402=B$2,'ProductSprint Backlog'!$I402=B$2), 'ProductSprint Backlog'!$F402, TRUE, 0)</f>
        <v/>
      </c>
      <c r="C402" s="4" t="str" cm="1">
        <f t="array" ref="C402">_xlfn.IFS('ProductSprint Backlog'!$F402="", "", AND('ProductSprint Backlog'!$J402&gt;C$2,'ProductSprint Backlog'!$I402&lt;=C$2), 'ProductSprint Backlog'!$F402 / MAX(1, 'ProductSprint Backlog'!$J402-'ProductSprint Backlog'!$I402), AND('ProductSprint Backlog'!$J402=C$2,'ProductSprint Backlog'!$I402=C$2), 'ProductSprint Backlog'!$F402, TRUE, 0)</f>
        <v/>
      </c>
      <c r="D402" s="4" t="str" cm="1">
        <f t="array" ref="D402">_xlfn.IFS('ProductSprint Backlog'!$F402="", "", AND('ProductSprint Backlog'!$J402&gt;D$2,'ProductSprint Backlog'!$I402&lt;=D$2), 'ProductSprint Backlog'!$F402 / MAX(1, 'ProductSprint Backlog'!$J402-'ProductSprint Backlog'!$I402), AND('ProductSprint Backlog'!$J402=D$2,'ProductSprint Backlog'!$I402=D$2), 'ProductSprint Backlog'!$F402, TRUE, 0)</f>
        <v/>
      </c>
      <c r="E402" s="4" t="str" cm="1">
        <f t="array" ref="E402">_xlfn.IFS('ProductSprint Backlog'!$F402="", "", AND('ProductSprint Backlog'!$J402&gt;E$2,'ProductSprint Backlog'!$I402&lt;=E$2), 'ProductSprint Backlog'!$F402 / MAX(1, 'ProductSprint Backlog'!$J402-'ProductSprint Backlog'!$I402), AND('ProductSprint Backlog'!$J402=E$2,'ProductSprint Backlog'!$I402=E$2), 'ProductSprint Backlog'!$F402, TRUE, 0)</f>
        <v/>
      </c>
      <c r="F402" s="4" t="str" cm="1">
        <f t="array" ref="F402">_xlfn.IFS('ProductSprint Backlog'!$F402="", "", AND('ProductSprint Backlog'!$J402&gt;F$2,'ProductSprint Backlog'!$I402&lt;=F$2), 'ProductSprint Backlog'!$F402 / MAX(1, 'ProductSprint Backlog'!$J402-'ProductSprint Backlog'!$I402), AND('ProductSprint Backlog'!$J402=F$2,'ProductSprint Backlog'!$I402=F$2), 'ProductSprint Backlog'!$F402, TRUE, 0)</f>
        <v/>
      </c>
      <c r="G402" s="4" t="str" cm="1">
        <f t="array" ref="G402">_xlfn.IFS('ProductSprint Backlog'!$F402="", "", AND('ProductSprint Backlog'!$J402&gt;G$2,'ProductSprint Backlog'!$I402&lt;=G$2), 'ProductSprint Backlog'!$F402 / MAX(1, 'ProductSprint Backlog'!$J402-'ProductSprint Backlog'!$I402), AND('ProductSprint Backlog'!$J402=G$2,'ProductSprint Backlog'!$I402=G$2), 'ProductSprint Backlog'!$F402, TRUE, 0)</f>
        <v/>
      </c>
      <c r="H402" s="4" t="str" cm="1">
        <f t="array" ref="H402">_xlfn.IFS('ProductSprint Backlog'!$F402="", "", AND('ProductSprint Backlog'!$J402&gt;H$2,'ProductSprint Backlog'!$I402&lt;=H$2), 'ProductSprint Backlog'!$F402 / MAX(1, 'ProductSprint Backlog'!$J402-'ProductSprint Backlog'!$I402), AND('ProductSprint Backlog'!$J402=H$2,'ProductSprint Backlog'!$I402=H$2), 'ProductSprint Backlog'!$F402, TRUE, 0)</f>
        <v/>
      </c>
      <c r="I402" s="4" t="str" cm="1">
        <f t="array" ref="I402">_xlfn.IFS('ProductSprint Backlog'!$F402="", "", AND('ProductSprint Backlog'!$J402&gt;I$2,'ProductSprint Backlog'!$I402&lt;=I$2), 'ProductSprint Backlog'!$F402 / MAX(1, 'ProductSprint Backlog'!$J402-'ProductSprint Backlog'!$I402), AND('ProductSprint Backlog'!$J402=I$2,'ProductSprint Backlog'!$I402=I$2), 'ProductSprint Backlog'!$F402, TRUE, 0)</f>
        <v/>
      </c>
      <c r="J402" s="4" t="str" cm="1">
        <f t="array" ref="J402">_xlfn.IFS('ProductSprint Backlog'!$F402="", "", AND('ProductSprint Backlog'!$J402&gt;J$2,'ProductSprint Backlog'!$I402&lt;=J$2), 'ProductSprint Backlog'!$F402 / MAX(1, 'ProductSprint Backlog'!$J402-'ProductSprint Backlog'!$I402), AND('ProductSprint Backlog'!$J402=J$2,'ProductSprint Backlog'!$I402=J$2), 'ProductSprint Backlog'!$F402, TRUE, 0)</f>
        <v/>
      </c>
      <c r="K402" s="4" t="str" cm="1">
        <f t="array" ref="K402">_xlfn.IFS('ProductSprint Backlog'!$F402="", "", AND('ProductSprint Backlog'!$J402&gt;K$2,'ProductSprint Backlog'!$I402&lt;=K$2), 'ProductSprint Backlog'!$F402 / MAX(1, 'ProductSprint Backlog'!$J402-'ProductSprint Backlog'!$I402), AND('ProductSprint Backlog'!$J402=K$2,'ProductSprint Backlog'!$I402=K$2), 'ProductSprint Backlog'!$F402, TRUE, 0)</f>
        <v/>
      </c>
      <c r="L402" s="4" t="str" cm="1">
        <f t="array" ref="L402">_xlfn.IFS('ProductSprint Backlog'!$F402="", "", AND('ProductSprint Backlog'!$J402&gt;L$2,'ProductSprint Backlog'!$I402&lt;=L$2), 'ProductSprint Backlog'!$F402 / MAX(1, 'ProductSprint Backlog'!$J402-'ProductSprint Backlog'!$I402), AND('ProductSprint Backlog'!$J402=L$2,'ProductSprint Backlog'!$I402=L$2), 'ProductSprint Backlog'!$F402, TRUE, 0)</f>
        <v/>
      </c>
      <c r="M402" s="4" t="str" cm="1">
        <f t="array" ref="M402">_xlfn.IFS('ProductSprint Backlog'!$F402="", "", AND('ProductSprint Backlog'!$J402&gt;M$2,'ProductSprint Backlog'!$I402&lt;=M$2), 'ProductSprint Backlog'!$F402 / MAX(1, 'ProductSprint Backlog'!$J402-'ProductSprint Backlog'!$I402), AND('ProductSprint Backlog'!$J402=M$2,'ProductSprint Backlog'!$I402=M$2), 'ProductSprint Backlog'!$F402, TRUE, 0)</f>
        <v/>
      </c>
      <c r="N402" s="4" t="str" cm="1">
        <f t="array" ref="N402">_xlfn.IFS('ProductSprint Backlog'!$F402="", "", AND('ProductSprint Backlog'!$J402&gt;N$2,'ProductSprint Backlog'!$I402&lt;=N$2), 'ProductSprint Backlog'!$F402 / MAX(1, 'ProductSprint Backlog'!$J402-'ProductSprint Backlog'!$I402), AND('ProductSprint Backlog'!$J402=N$2,'ProductSprint Backlog'!$I402=N$2), 'ProductSprint Backlog'!$F402, TRUE, 0)</f>
        <v/>
      </c>
      <c r="O402" s="4" t="str" cm="1">
        <f t="array" ref="O402">_xlfn.IFS('ProductSprint Backlog'!$F402="", "", AND('ProductSprint Backlog'!$J402&gt;O$2,'ProductSprint Backlog'!$I402&lt;=O$2), 'ProductSprint Backlog'!$F402 / MAX(1, 'ProductSprint Backlog'!$J402-'ProductSprint Backlog'!$I402), AND('ProductSprint Backlog'!$J402=O$2,'ProductSprint Backlog'!$I402=O$2), 'ProductSprint Backlog'!$F402, TRUE, 0)</f>
        <v/>
      </c>
      <c r="P402" s="4" t="str" cm="1">
        <f t="array" ref="P402">_xlfn.IFS('ProductSprint Backlog'!$F402="", "", AND('ProductSprint Backlog'!$J402&gt;P$2,'ProductSprint Backlog'!$I402&lt;=P$2), 'ProductSprint Backlog'!$F402 / MAX(1, 'ProductSprint Backlog'!$J402-'ProductSprint Backlog'!$I402), AND('ProductSprint Backlog'!$J402=P$2,'ProductSprint Backlog'!$I402=P$2), 'ProductSprint Backlog'!$F402, TRUE, 0)</f>
        <v/>
      </c>
      <c r="Q402" s="4" t="str" cm="1">
        <f t="array" ref="Q402">_xlfn.IFS('ProductSprint Backlog'!$F402="", "", AND('ProductSprint Backlog'!$J402&gt;Q$2,'ProductSprint Backlog'!$I402&lt;=Q$2), 'ProductSprint Backlog'!$F402 / MAX(1, 'ProductSprint Backlog'!$J402-'ProductSprint Backlog'!$I402), AND('ProductSprint Backlog'!$J402=Q$2,'ProductSprint Backlog'!$I402=Q$2), 'ProductSprint Backlog'!$F402, TRUE, 0)</f>
        <v/>
      </c>
    </row>
    <row r="403" spans="2:17" x14ac:dyDescent="0.2">
      <c r="B403" s="4" t="str" cm="1">
        <f t="array" ref="B403">_xlfn.IFS('ProductSprint Backlog'!$F403="", "", AND('ProductSprint Backlog'!$J403&gt;B$2,'ProductSprint Backlog'!$I403&lt;=B$2), 'ProductSprint Backlog'!$F403 / MAX(1, 'ProductSprint Backlog'!$J403-'ProductSprint Backlog'!$I403), AND('ProductSprint Backlog'!$J403=B$2,'ProductSprint Backlog'!$I403=B$2), 'ProductSprint Backlog'!$F403, TRUE, 0)</f>
        <v/>
      </c>
      <c r="C403" s="4" t="str" cm="1">
        <f t="array" ref="C403">_xlfn.IFS('ProductSprint Backlog'!$F403="", "", AND('ProductSprint Backlog'!$J403&gt;C$2,'ProductSprint Backlog'!$I403&lt;=C$2), 'ProductSprint Backlog'!$F403 / MAX(1, 'ProductSprint Backlog'!$J403-'ProductSprint Backlog'!$I403), AND('ProductSprint Backlog'!$J403=C$2,'ProductSprint Backlog'!$I403=C$2), 'ProductSprint Backlog'!$F403, TRUE, 0)</f>
        <v/>
      </c>
      <c r="D403" s="4" t="str" cm="1">
        <f t="array" ref="D403">_xlfn.IFS('ProductSprint Backlog'!$F403="", "", AND('ProductSprint Backlog'!$J403&gt;D$2,'ProductSprint Backlog'!$I403&lt;=D$2), 'ProductSprint Backlog'!$F403 / MAX(1, 'ProductSprint Backlog'!$J403-'ProductSprint Backlog'!$I403), AND('ProductSprint Backlog'!$J403=D$2,'ProductSprint Backlog'!$I403=D$2), 'ProductSprint Backlog'!$F403, TRUE, 0)</f>
        <v/>
      </c>
      <c r="E403" s="4" t="str" cm="1">
        <f t="array" ref="E403">_xlfn.IFS('ProductSprint Backlog'!$F403="", "", AND('ProductSprint Backlog'!$J403&gt;E$2,'ProductSprint Backlog'!$I403&lt;=E$2), 'ProductSprint Backlog'!$F403 / MAX(1, 'ProductSprint Backlog'!$J403-'ProductSprint Backlog'!$I403), AND('ProductSprint Backlog'!$J403=E$2,'ProductSprint Backlog'!$I403=E$2), 'ProductSprint Backlog'!$F403, TRUE, 0)</f>
        <v/>
      </c>
      <c r="F403" s="4" t="str" cm="1">
        <f t="array" ref="F403">_xlfn.IFS('ProductSprint Backlog'!$F403="", "", AND('ProductSprint Backlog'!$J403&gt;F$2,'ProductSprint Backlog'!$I403&lt;=F$2), 'ProductSprint Backlog'!$F403 / MAX(1, 'ProductSprint Backlog'!$J403-'ProductSprint Backlog'!$I403), AND('ProductSprint Backlog'!$J403=F$2,'ProductSprint Backlog'!$I403=F$2), 'ProductSprint Backlog'!$F403, TRUE, 0)</f>
        <v/>
      </c>
      <c r="G403" s="4" t="str" cm="1">
        <f t="array" ref="G403">_xlfn.IFS('ProductSprint Backlog'!$F403="", "", AND('ProductSprint Backlog'!$J403&gt;G$2,'ProductSprint Backlog'!$I403&lt;=G$2), 'ProductSprint Backlog'!$F403 / MAX(1, 'ProductSprint Backlog'!$J403-'ProductSprint Backlog'!$I403), AND('ProductSprint Backlog'!$J403=G$2,'ProductSprint Backlog'!$I403=G$2), 'ProductSprint Backlog'!$F403, TRUE, 0)</f>
        <v/>
      </c>
      <c r="H403" s="4" t="str" cm="1">
        <f t="array" ref="H403">_xlfn.IFS('ProductSprint Backlog'!$F403="", "", AND('ProductSprint Backlog'!$J403&gt;H$2,'ProductSprint Backlog'!$I403&lt;=H$2), 'ProductSprint Backlog'!$F403 / MAX(1, 'ProductSprint Backlog'!$J403-'ProductSprint Backlog'!$I403), AND('ProductSprint Backlog'!$J403=H$2,'ProductSprint Backlog'!$I403=H$2), 'ProductSprint Backlog'!$F403, TRUE, 0)</f>
        <v/>
      </c>
      <c r="I403" s="4" t="str" cm="1">
        <f t="array" ref="I403">_xlfn.IFS('ProductSprint Backlog'!$F403="", "", AND('ProductSprint Backlog'!$J403&gt;I$2,'ProductSprint Backlog'!$I403&lt;=I$2), 'ProductSprint Backlog'!$F403 / MAX(1, 'ProductSprint Backlog'!$J403-'ProductSprint Backlog'!$I403), AND('ProductSprint Backlog'!$J403=I$2,'ProductSprint Backlog'!$I403=I$2), 'ProductSprint Backlog'!$F403, TRUE, 0)</f>
        <v/>
      </c>
      <c r="J403" s="4" t="str" cm="1">
        <f t="array" ref="J403">_xlfn.IFS('ProductSprint Backlog'!$F403="", "", AND('ProductSprint Backlog'!$J403&gt;J$2,'ProductSprint Backlog'!$I403&lt;=J$2), 'ProductSprint Backlog'!$F403 / MAX(1, 'ProductSprint Backlog'!$J403-'ProductSprint Backlog'!$I403), AND('ProductSprint Backlog'!$J403=J$2,'ProductSprint Backlog'!$I403=J$2), 'ProductSprint Backlog'!$F403, TRUE, 0)</f>
        <v/>
      </c>
      <c r="K403" s="4" t="str" cm="1">
        <f t="array" ref="K403">_xlfn.IFS('ProductSprint Backlog'!$F403="", "", AND('ProductSprint Backlog'!$J403&gt;K$2,'ProductSprint Backlog'!$I403&lt;=K$2), 'ProductSprint Backlog'!$F403 / MAX(1, 'ProductSprint Backlog'!$J403-'ProductSprint Backlog'!$I403), AND('ProductSprint Backlog'!$J403=K$2,'ProductSprint Backlog'!$I403=K$2), 'ProductSprint Backlog'!$F403, TRUE, 0)</f>
        <v/>
      </c>
      <c r="L403" s="4" t="str" cm="1">
        <f t="array" ref="L403">_xlfn.IFS('ProductSprint Backlog'!$F403="", "", AND('ProductSprint Backlog'!$J403&gt;L$2,'ProductSprint Backlog'!$I403&lt;=L$2), 'ProductSprint Backlog'!$F403 / MAX(1, 'ProductSprint Backlog'!$J403-'ProductSprint Backlog'!$I403), AND('ProductSprint Backlog'!$J403=L$2,'ProductSprint Backlog'!$I403=L$2), 'ProductSprint Backlog'!$F403, TRUE, 0)</f>
        <v/>
      </c>
      <c r="M403" s="4" t="str" cm="1">
        <f t="array" ref="M403">_xlfn.IFS('ProductSprint Backlog'!$F403="", "", AND('ProductSprint Backlog'!$J403&gt;M$2,'ProductSprint Backlog'!$I403&lt;=M$2), 'ProductSprint Backlog'!$F403 / MAX(1, 'ProductSprint Backlog'!$J403-'ProductSprint Backlog'!$I403), AND('ProductSprint Backlog'!$J403=M$2,'ProductSprint Backlog'!$I403=M$2), 'ProductSprint Backlog'!$F403, TRUE, 0)</f>
        <v/>
      </c>
      <c r="N403" s="4" t="str" cm="1">
        <f t="array" ref="N403">_xlfn.IFS('ProductSprint Backlog'!$F403="", "", AND('ProductSprint Backlog'!$J403&gt;N$2,'ProductSprint Backlog'!$I403&lt;=N$2), 'ProductSprint Backlog'!$F403 / MAX(1, 'ProductSprint Backlog'!$J403-'ProductSprint Backlog'!$I403), AND('ProductSprint Backlog'!$J403=N$2,'ProductSprint Backlog'!$I403=N$2), 'ProductSprint Backlog'!$F403, TRUE, 0)</f>
        <v/>
      </c>
      <c r="O403" s="4" t="str" cm="1">
        <f t="array" ref="O403">_xlfn.IFS('ProductSprint Backlog'!$F403="", "", AND('ProductSprint Backlog'!$J403&gt;O$2,'ProductSprint Backlog'!$I403&lt;=O$2), 'ProductSprint Backlog'!$F403 / MAX(1, 'ProductSprint Backlog'!$J403-'ProductSprint Backlog'!$I403), AND('ProductSprint Backlog'!$J403=O$2,'ProductSprint Backlog'!$I403=O$2), 'ProductSprint Backlog'!$F403, TRUE, 0)</f>
        <v/>
      </c>
      <c r="P403" s="4" t="str" cm="1">
        <f t="array" ref="P403">_xlfn.IFS('ProductSprint Backlog'!$F403="", "", AND('ProductSprint Backlog'!$J403&gt;P$2,'ProductSprint Backlog'!$I403&lt;=P$2), 'ProductSprint Backlog'!$F403 / MAX(1, 'ProductSprint Backlog'!$J403-'ProductSprint Backlog'!$I403), AND('ProductSprint Backlog'!$J403=P$2,'ProductSprint Backlog'!$I403=P$2), 'ProductSprint Backlog'!$F403, TRUE, 0)</f>
        <v/>
      </c>
      <c r="Q403" s="4" t="str" cm="1">
        <f t="array" ref="Q403">_xlfn.IFS('ProductSprint Backlog'!$F403="", "", AND('ProductSprint Backlog'!$J403&gt;Q$2,'ProductSprint Backlog'!$I403&lt;=Q$2), 'ProductSprint Backlog'!$F403 / MAX(1, 'ProductSprint Backlog'!$J403-'ProductSprint Backlog'!$I403), AND('ProductSprint Backlog'!$J403=Q$2,'ProductSprint Backlog'!$I403=Q$2), 'ProductSprint Backlog'!$F403, TRUE, 0)</f>
        <v/>
      </c>
    </row>
    <row r="404" spans="2:17" x14ac:dyDescent="0.2">
      <c r="B404" s="4" t="str" cm="1">
        <f t="array" ref="B404">_xlfn.IFS('ProductSprint Backlog'!$F404="", "", AND('ProductSprint Backlog'!$J404&gt;B$2,'ProductSprint Backlog'!$I404&lt;=B$2), 'ProductSprint Backlog'!$F404 / MAX(1, 'ProductSprint Backlog'!$J404-'ProductSprint Backlog'!$I404), AND('ProductSprint Backlog'!$J404=B$2,'ProductSprint Backlog'!$I404=B$2), 'ProductSprint Backlog'!$F404, TRUE, 0)</f>
        <v/>
      </c>
      <c r="C404" s="4" t="str" cm="1">
        <f t="array" ref="C404">_xlfn.IFS('ProductSprint Backlog'!$F404="", "", AND('ProductSprint Backlog'!$J404&gt;C$2,'ProductSprint Backlog'!$I404&lt;=C$2), 'ProductSprint Backlog'!$F404 / MAX(1, 'ProductSprint Backlog'!$J404-'ProductSprint Backlog'!$I404), AND('ProductSprint Backlog'!$J404=C$2,'ProductSprint Backlog'!$I404=C$2), 'ProductSprint Backlog'!$F404, TRUE, 0)</f>
        <v/>
      </c>
      <c r="D404" s="4" t="str" cm="1">
        <f t="array" ref="D404">_xlfn.IFS('ProductSprint Backlog'!$F404="", "", AND('ProductSprint Backlog'!$J404&gt;D$2,'ProductSprint Backlog'!$I404&lt;=D$2), 'ProductSprint Backlog'!$F404 / MAX(1, 'ProductSprint Backlog'!$J404-'ProductSprint Backlog'!$I404), AND('ProductSprint Backlog'!$J404=D$2,'ProductSprint Backlog'!$I404=D$2), 'ProductSprint Backlog'!$F404, TRUE, 0)</f>
        <v/>
      </c>
      <c r="E404" s="4" t="str" cm="1">
        <f t="array" ref="E404">_xlfn.IFS('ProductSprint Backlog'!$F404="", "", AND('ProductSprint Backlog'!$J404&gt;E$2,'ProductSprint Backlog'!$I404&lt;=E$2), 'ProductSprint Backlog'!$F404 / MAX(1, 'ProductSprint Backlog'!$J404-'ProductSprint Backlog'!$I404), AND('ProductSprint Backlog'!$J404=E$2,'ProductSprint Backlog'!$I404=E$2), 'ProductSprint Backlog'!$F404, TRUE, 0)</f>
        <v/>
      </c>
      <c r="F404" s="4" t="str" cm="1">
        <f t="array" ref="F404">_xlfn.IFS('ProductSprint Backlog'!$F404="", "", AND('ProductSprint Backlog'!$J404&gt;F$2,'ProductSprint Backlog'!$I404&lt;=F$2), 'ProductSprint Backlog'!$F404 / MAX(1, 'ProductSprint Backlog'!$J404-'ProductSprint Backlog'!$I404), AND('ProductSprint Backlog'!$J404=F$2,'ProductSprint Backlog'!$I404=F$2), 'ProductSprint Backlog'!$F404, TRUE, 0)</f>
        <v/>
      </c>
      <c r="G404" s="4" t="str" cm="1">
        <f t="array" ref="G404">_xlfn.IFS('ProductSprint Backlog'!$F404="", "", AND('ProductSprint Backlog'!$J404&gt;G$2,'ProductSprint Backlog'!$I404&lt;=G$2), 'ProductSprint Backlog'!$F404 / MAX(1, 'ProductSprint Backlog'!$J404-'ProductSprint Backlog'!$I404), AND('ProductSprint Backlog'!$J404=G$2,'ProductSprint Backlog'!$I404=G$2), 'ProductSprint Backlog'!$F404, TRUE, 0)</f>
        <v/>
      </c>
      <c r="H404" s="4" t="str" cm="1">
        <f t="array" ref="H404">_xlfn.IFS('ProductSprint Backlog'!$F404="", "", AND('ProductSprint Backlog'!$J404&gt;H$2,'ProductSprint Backlog'!$I404&lt;=H$2), 'ProductSprint Backlog'!$F404 / MAX(1, 'ProductSprint Backlog'!$J404-'ProductSprint Backlog'!$I404), AND('ProductSprint Backlog'!$J404=H$2,'ProductSprint Backlog'!$I404=H$2), 'ProductSprint Backlog'!$F404, TRUE, 0)</f>
        <v/>
      </c>
      <c r="I404" s="4" t="str" cm="1">
        <f t="array" ref="I404">_xlfn.IFS('ProductSprint Backlog'!$F404="", "", AND('ProductSprint Backlog'!$J404&gt;I$2,'ProductSprint Backlog'!$I404&lt;=I$2), 'ProductSprint Backlog'!$F404 / MAX(1, 'ProductSprint Backlog'!$J404-'ProductSprint Backlog'!$I404), AND('ProductSprint Backlog'!$J404=I$2,'ProductSprint Backlog'!$I404=I$2), 'ProductSprint Backlog'!$F404, TRUE, 0)</f>
        <v/>
      </c>
      <c r="J404" s="4" t="str" cm="1">
        <f t="array" ref="J404">_xlfn.IFS('ProductSprint Backlog'!$F404="", "", AND('ProductSprint Backlog'!$J404&gt;J$2,'ProductSprint Backlog'!$I404&lt;=J$2), 'ProductSprint Backlog'!$F404 / MAX(1, 'ProductSprint Backlog'!$J404-'ProductSprint Backlog'!$I404), AND('ProductSprint Backlog'!$J404=J$2,'ProductSprint Backlog'!$I404=J$2), 'ProductSprint Backlog'!$F404, TRUE, 0)</f>
        <v/>
      </c>
      <c r="K404" s="4" t="str" cm="1">
        <f t="array" ref="K404">_xlfn.IFS('ProductSprint Backlog'!$F404="", "", AND('ProductSprint Backlog'!$J404&gt;K$2,'ProductSprint Backlog'!$I404&lt;=K$2), 'ProductSprint Backlog'!$F404 / MAX(1, 'ProductSprint Backlog'!$J404-'ProductSprint Backlog'!$I404), AND('ProductSprint Backlog'!$J404=K$2,'ProductSprint Backlog'!$I404=K$2), 'ProductSprint Backlog'!$F404, TRUE, 0)</f>
        <v/>
      </c>
      <c r="L404" s="4" t="str" cm="1">
        <f t="array" ref="L404">_xlfn.IFS('ProductSprint Backlog'!$F404="", "", AND('ProductSprint Backlog'!$J404&gt;L$2,'ProductSprint Backlog'!$I404&lt;=L$2), 'ProductSprint Backlog'!$F404 / MAX(1, 'ProductSprint Backlog'!$J404-'ProductSprint Backlog'!$I404), AND('ProductSprint Backlog'!$J404=L$2,'ProductSprint Backlog'!$I404=L$2), 'ProductSprint Backlog'!$F404, TRUE, 0)</f>
        <v/>
      </c>
      <c r="M404" s="4" t="str" cm="1">
        <f t="array" ref="M404">_xlfn.IFS('ProductSprint Backlog'!$F404="", "", AND('ProductSprint Backlog'!$J404&gt;M$2,'ProductSprint Backlog'!$I404&lt;=M$2), 'ProductSprint Backlog'!$F404 / MAX(1, 'ProductSprint Backlog'!$J404-'ProductSprint Backlog'!$I404), AND('ProductSprint Backlog'!$J404=M$2,'ProductSprint Backlog'!$I404=M$2), 'ProductSprint Backlog'!$F404, TRUE, 0)</f>
        <v/>
      </c>
      <c r="N404" s="4" t="str" cm="1">
        <f t="array" ref="N404">_xlfn.IFS('ProductSprint Backlog'!$F404="", "", AND('ProductSprint Backlog'!$J404&gt;N$2,'ProductSprint Backlog'!$I404&lt;=N$2), 'ProductSprint Backlog'!$F404 / MAX(1, 'ProductSprint Backlog'!$J404-'ProductSprint Backlog'!$I404), AND('ProductSprint Backlog'!$J404=N$2,'ProductSprint Backlog'!$I404=N$2), 'ProductSprint Backlog'!$F404, TRUE, 0)</f>
        <v/>
      </c>
      <c r="O404" s="4" t="str" cm="1">
        <f t="array" ref="O404">_xlfn.IFS('ProductSprint Backlog'!$F404="", "", AND('ProductSprint Backlog'!$J404&gt;O$2,'ProductSprint Backlog'!$I404&lt;=O$2), 'ProductSprint Backlog'!$F404 / MAX(1, 'ProductSprint Backlog'!$J404-'ProductSprint Backlog'!$I404), AND('ProductSprint Backlog'!$J404=O$2,'ProductSprint Backlog'!$I404=O$2), 'ProductSprint Backlog'!$F404, TRUE, 0)</f>
        <v/>
      </c>
      <c r="P404" s="4" t="str" cm="1">
        <f t="array" ref="P404">_xlfn.IFS('ProductSprint Backlog'!$F404="", "", AND('ProductSprint Backlog'!$J404&gt;P$2,'ProductSprint Backlog'!$I404&lt;=P$2), 'ProductSprint Backlog'!$F404 / MAX(1, 'ProductSprint Backlog'!$J404-'ProductSprint Backlog'!$I404), AND('ProductSprint Backlog'!$J404=P$2,'ProductSprint Backlog'!$I404=P$2), 'ProductSprint Backlog'!$F404, TRUE, 0)</f>
        <v/>
      </c>
      <c r="Q404" s="4" t="str" cm="1">
        <f t="array" ref="Q404">_xlfn.IFS('ProductSprint Backlog'!$F404="", "", AND('ProductSprint Backlog'!$J404&gt;Q$2,'ProductSprint Backlog'!$I404&lt;=Q$2), 'ProductSprint Backlog'!$F404 / MAX(1, 'ProductSprint Backlog'!$J404-'ProductSprint Backlog'!$I404), AND('ProductSprint Backlog'!$J404=Q$2,'ProductSprint Backlog'!$I404=Q$2), 'ProductSprint Backlog'!$F404, TRUE, 0)</f>
        <v/>
      </c>
    </row>
    <row r="405" spans="2:17" x14ac:dyDescent="0.2">
      <c r="B405" s="4" t="str" cm="1">
        <f t="array" ref="B405">_xlfn.IFS('ProductSprint Backlog'!$F405="", "", AND('ProductSprint Backlog'!$J405&gt;B$2,'ProductSprint Backlog'!$I405&lt;=B$2), 'ProductSprint Backlog'!$F405 / MAX(1, 'ProductSprint Backlog'!$J405-'ProductSprint Backlog'!$I405), AND('ProductSprint Backlog'!$J405=B$2,'ProductSprint Backlog'!$I405=B$2), 'ProductSprint Backlog'!$F405, TRUE, 0)</f>
        <v/>
      </c>
      <c r="C405" s="4" t="str" cm="1">
        <f t="array" ref="C405">_xlfn.IFS('ProductSprint Backlog'!$F405="", "", AND('ProductSprint Backlog'!$J405&gt;C$2,'ProductSprint Backlog'!$I405&lt;=C$2), 'ProductSprint Backlog'!$F405 / MAX(1, 'ProductSprint Backlog'!$J405-'ProductSprint Backlog'!$I405), AND('ProductSprint Backlog'!$J405=C$2,'ProductSprint Backlog'!$I405=C$2), 'ProductSprint Backlog'!$F405, TRUE, 0)</f>
        <v/>
      </c>
      <c r="D405" s="4" t="str" cm="1">
        <f t="array" ref="D405">_xlfn.IFS('ProductSprint Backlog'!$F405="", "", AND('ProductSprint Backlog'!$J405&gt;D$2,'ProductSprint Backlog'!$I405&lt;=D$2), 'ProductSprint Backlog'!$F405 / MAX(1, 'ProductSprint Backlog'!$J405-'ProductSprint Backlog'!$I405), AND('ProductSprint Backlog'!$J405=D$2,'ProductSprint Backlog'!$I405=D$2), 'ProductSprint Backlog'!$F405, TRUE, 0)</f>
        <v/>
      </c>
      <c r="E405" s="4" t="str" cm="1">
        <f t="array" ref="E405">_xlfn.IFS('ProductSprint Backlog'!$F405="", "", AND('ProductSprint Backlog'!$J405&gt;E$2,'ProductSprint Backlog'!$I405&lt;=E$2), 'ProductSprint Backlog'!$F405 / MAX(1, 'ProductSprint Backlog'!$J405-'ProductSprint Backlog'!$I405), AND('ProductSprint Backlog'!$J405=E$2,'ProductSprint Backlog'!$I405=E$2), 'ProductSprint Backlog'!$F405, TRUE, 0)</f>
        <v/>
      </c>
      <c r="F405" s="4" t="str" cm="1">
        <f t="array" ref="F405">_xlfn.IFS('ProductSprint Backlog'!$F405="", "", AND('ProductSprint Backlog'!$J405&gt;F$2,'ProductSprint Backlog'!$I405&lt;=F$2), 'ProductSprint Backlog'!$F405 / MAX(1, 'ProductSprint Backlog'!$J405-'ProductSprint Backlog'!$I405), AND('ProductSprint Backlog'!$J405=F$2,'ProductSprint Backlog'!$I405=F$2), 'ProductSprint Backlog'!$F405, TRUE, 0)</f>
        <v/>
      </c>
      <c r="G405" s="4" t="str" cm="1">
        <f t="array" ref="G405">_xlfn.IFS('ProductSprint Backlog'!$F405="", "", AND('ProductSprint Backlog'!$J405&gt;G$2,'ProductSprint Backlog'!$I405&lt;=G$2), 'ProductSprint Backlog'!$F405 / MAX(1, 'ProductSprint Backlog'!$J405-'ProductSprint Backlog'!$I405), AND('ProductSprint Backlog'!$J405=G$2,'ProductSprint Backlog'!$I405=G$2), 'ProductSprint Backlog'!$F405, TRUE, 0)</f>
        <v/>
      </c>
      <c r="H405" s="4" t="str" cm="1">
        <f t="array" ref="H405">_xlfn.IFS('ProductSprint Backlog'!$F405="", "", AND('ProductSprint Backlog'!$J405&gt;H$2,'ProductSprint Backlog'!$I405&lt;=H$2), 'ProductSprint Backlog'!$F405 / MAX(1, 'ProductSprint Backlog'!$J405-'ProductSprint Backlog'!$I405), AND('ProductSprint Backlog'!$J405=H$2,'ProductSprint Backlog'!$I405=H$2), 'ProductSprint Backlog'!$F405, TRUE, 0)</f>
        <v/>
      </c>
      <c r="I405" s="4" t="str" cm="1">
        <f t="array" ref="I405">_xlfn.IFS('ProductSprint Backlog'!$F405="", "", AND('ProductSprint Backlog'!$J405&gt;I$2,'ProductSprint Backlog'!$I405&lt;=I$2), 'ProductSprint Backlog'!$F405 / MAX(1, 'ProductSprint Backlog'!$J405-'ProductSprint Backlog'!$I405), AND('ProductSprint Backlog'!$J405=I$2,'ProductSprint Backlog'!$I405=I$2), 'ProductSprint Backlog'!$F405, TRUE, 0)</f>
        <v/>
      </c>
      <c r="J405" s="4" t="str" cm="1">
        <f t="array" ref="J405">_xlfn.IFS('ProductSprint Backlog'!$F405="", "", AND('ProductSprint Backlog'!$J405&gt;J$2,'ProductSprint Backlog'!$I405&lt;=J$2), 'ProductSprint Backlog'!$F405 / MAX(1, 'ProductSprint Backlog'!$J405-'ProductSprint Backlog'!$I405), AND('ProductSprint Backlog'!$J405=J$2,'ProductSprint Backlog'!$I405=J$2), 'ProductSprint Backlog'!$F405, TRUE, 0)</f>
        <v/>
      </c>
      <c r="K405" s="4" t="str" cm="1">
        <f t="array" ref="K405">_xlfn.IFS('ProductSprint Backlog'!$F405="", "", AND('ProductSprint Backlog'!$J405&gt;K$2,'ProductSprint Backlog'!$I405&lt;=K$2), 'ProductSprint Backlog'!$F405 / MAX(1, 'ProductSprint Backlog'!$J405-'ProductSprint Backlog'!$I405), AND('ProductSprint Backlog'!$J405=K$2,'ProductSprint Backlog'!$I405=K$2), 'ProductSprint Backlog'!$F405, TRUE, 0)</f>
        <v/>
      </c>
      <c r="L405" s="4" t="str" cm="1">
        <f t="array" ref="L405">_xlfn.IFS('ProductSprint Backlog'!$F405="", "", AND('ProductSprint Backlog'!$J405&gt;L$2,'ProductSprint Backlog'!$I405&lt;=L$2), 'ProductSprint Backlog'!$F405 / MAX(1, 'ProductSprint Backlog'!$J405-'ProductSprint Backlog'!$I405), AND('ProductSprint Backlog'!$J405=L$2,'ProductSprint Backlog'!$I405=L$2), 'ProductSprint Backlog'!$F405, TRUE, 0)</f>
        <v/>
      </c>
      <c r="M405" s="4" t="str" cm="1">
        <f t="array" ref="M405">_xlfn.IFS('ProductSprint Backlog'!$F405="", "", AND('ProductSprint Backlog'!$J405&gt;M$2,'ProductSprint Backlog'!$I405&lt;=M$2), 'ProductSprint Backlog'!$F405 / MAX(1, 'ProductSprint Backlog'!$J405-'ProductSprint Backlog'!$I405), AND('ProductSprint Backlog'!$J405=M$2,'ProductSprint Backlog'!$I405=M$2), 'ProductSprint Backlog'!$F405, TRUE, 0)</f>
        <v/>
      </c>
      <c r="N405" s="4" t="str" cm="1">
        <f t="array" ref="N405">_xlfn.IFS('ProductSprint Backlog'!$F405="", "", AND('ProductSprint Backlog'!$J405&gt;N$2,'ProductSprint Backlog'!$I405&lt;=N$2), 'ProductSprint Backlog'!$F405 / MAX(1, 'ProductSprint Backlog'!$J405-'ProductSprint Backlog'!$I405), AND('ProductSprint Backlog'!$J405=N$2,'ProductSprint Backlog'!$I405=N$2), 'ProductSprint Backlog'!$F405, TRUE, 0)</f>
        <v/>
      </c>
      <c r="O405" s="4" t="str" cm="1">
        <f t="array" ref="O405">_xlfn.IFS('ProductSprint Backlog'!$F405="", "", AND('ProductSprint Backlog'!$J405&gt;O$2,'ProductSprint Backlog'!$I405&lt;=O$2), 'ProductSprint Backlog'!$F405 / MAX(1, 'ProductSprint Backlog'!$J405-'ProductSprint Backlog'!$I405), AND('ProductSprint Backlog'!$J405=O$2,'ProductSprint Backlog'!$I405=O$2), 'ProductSprint Backlog'!$F405, TRUE, 0)</f>
        <v/>
      </c>
      <c r="P405" s="4" t="str" cm="1">
        <f t="array" ref="P405">_xlfn.IFS('ProductSprint Backlog'!$F405="", "", AND('ProductSprint Backlog'!$J405&gt;P$2,'ProductSprint Backlog'!$I405&lt;=P$2), 'ProductSprint Backlog'!$F405 / MAX(1, 'ProductSprint Backlog'!$J405-'ProductSprint Backlog'!$I405), AND('ProductSprint Backlog'!$J405=P$2,'ProductSprint Backlog'!$I405=P$2), 'ProductSprint Backlog'!$F405, TRUE, 0)</f>
        <v/>
      </c>
      <c r="Q405" s="4" t="str" cm="1">
        <f t="array" ref="Q405">_xlfn.IFS('ProductSprint Backlog'!$F405="", "", AND('ProductSprint Backlog'!$J405&gt;Q$2,'ProductSprint Backlog'!$I405&lt;=Q$2), 'ProductSprint Backlog'!$F405 / MAX(1, 'ProductSprint Backlog'!$J405-'ProductSprint Backlog'!$I405), AND('ProductSprint Backlog'!$J405=Q$2,'ProductSprint Backlog'!$I405=Q$2), 'ProductSprint Backlog'!$F405, TRUE, 0)</f>
        <v/>
      </c>
    </row>
    <row r="406" spans="2:17" x14ac:dyDescent="0.2">
      <c r="B406" s="4" t="str" cm="1">
        <f t="array" ref="B406">_xlfn.IFS('ProductSprint Backlog'!$F406="", "", AND('ProductSprint Backlog'!$J406&gt;B$2,'ProductSprint Backlog'!$I406&lt;=B$2), 'ProductSprint Backlog'!$F406 / MAX(1, 'ProductSprint Backlog'!$J406-'ProductSprint Backlog'!$I406), AND('ProductSprint Backlog'!$J406=B$2,'ProductSprint Backlog'!$I406=B$2), 'ProductSprint Backlog'!$F406, TRUE, 0)</f>
        <v/>
      </c>
      <c r="C406" s="4" t="str" cm="1">
        <f t="array" ref="C406">_xlfn.IFS('ProductSprint Backlog'!$F406="", "", AND('ProductSprint Backlog'!$J406&gt;C$2,'ProductSprint Backlog'!$I406&lt;=C$2), 'ProductSprint Backlog'!$F406 / MAX(1, 'ProductSprint Backlog'!$J406-'ProductSprint Backlog'!$I406), AND('ProductSprint Backlog'!$J406=C$2,'ProductSprint Backlog'!$I406=C$2), 'ProductSprint Backlog'!$F406, TRUE, 0)</f>
        <v/>
      </c>
      <c r="D406" s="4" t="str" cm="1">
        <f t="array" ref="D406">_xlfn.IFS('ProductSprint Backlog'!$F406="", "", AND('ProductSprint Backlog'!$J406&gt;D$2,'ProductSprint Backlog'!$I406&lt;=D$2), 'ProductSprint Backlog'!$F406 / MAX(1, 'ProductSprint Backlog'!$J406-'ProductSprint Backlog'!$I406), AND('ProductSprint Backlog'!$J406=D$2,'ProductSprint Backlog'!$I406=D$2), 'ProductSprint Backlog'!$F406, TRUE, 0)</f>
        <v/>
      </c>
      <c r="E406" s="4" t="str" cm="1">
        <f t="array" ref="E406">_xlfn.IFS('ProductSprint Backlog'!$F406="", "", AND('ProductSprint Backlog'!$J406&gt;E$2,'ProductSprint Backlog'!$I406&lt;=E$2), 'ProductSprint Backlog'!$F406 / MAX(1, 'ProductSprint Backlog'!$J406-'ProductSprint Backlog'!$I406), AND('ProductSprint Backlog'!$J406=E$2,'ProductSprint Backlog'!$I406=E$2), 'ProductSprint Backlog'!$F406, TRUE, 0)</f>
        <v/>
      </c>
      <c r="F406" s="4" t="str" cm="1">
        <f t="array" ref="F406">_xlfn.IFS('ProductSprint Backlog'!$F406="", "", AND('ProductSprint Backlog'!$J406&gt;F$2,'ProductSprint Backlog'!$I406&lt;=F$2), 'ProductSprint Backlog'!$F406 / MAX(1, 'ProductSprint Backlog'!$J406-'ProductSprint Backlog'!$I406), AND('ProductSprint Backlog'!$J406=F$2,'ProductSprint Backlog'!$I406=F$2), 'ProductSprint Backlog'!$F406, TRUE, 0)</f>
        <v/>
      </c>
      <c r="G406" s="4" t="str" cm="1">
        <f t="array" ref="G406">_xlfn.IFS('ProductSprint Backlog'!$F406="", "", AND('ProductSprint Backlog'!$J406&gt;G$2,'ProductSprint Backlog'!$I406&lt;=G$2), 'ProductSprint Backlog'!$F406 / MAX(1, 'ProductSprint Backlog'!$J406-'ProductSprint Backlog'!$I406), AND('ProductSprint Backlog'!$J406=G$2,'ProductSprint Backlog'!$I406=G$2), 'ProductSprint Backlog'!$F406, TRUE, 0)</f>
        <v/>
      </c>
      <c r="H406" s="4" t="str" cm="1">
        <f t="array" ref="H406">_xlfn.IFS('ProductSprint Backlog'!$F406="", "", AND('ProductSprint Backlog'!$J406&gt;H$2,'ProductSprint Backlog'!$I406&lt;=H$2), 'ProductSprint Backlog'!$F406 / MAX(1, 'ProductSprint Backlog'!$J406-'ProductSprint Backlog'!$I406), AND('ProductSprint Backlog'!$J406=H$2,'ProductSprint Backlog'!$I406=H$2), 'ProductSprint Backlog'!$F406, TRUE, 0)</f>
        <v/>
      </c>
      <c r="I406" s="4" t="str" cm="1">
        <f t="array" ref="I406">_xlfn.IFS('ProductSprint Backlog'!$F406="", "", AND('ProductSprint Backlog'!$J406&gt;I$2,'ProductSprint Backlog'!$I406&lt;=I$2), 'ProductSprint Backlog'!$F406 / MAX(1, 'ProductSprint Backlog'!$J406-'ProductSprint Backlog'!$I406), AND('ProductSprint Backlog'!$J406=I$2,'ProductSprint Backlog'!$I406=I$2), 'ProductSprint Backlog'!$F406, TRUE, 0)</f>
        <v/>
      </c>
      <c r="J406" s="4" t="str" cm="1">
        <f t="array" ref="J406">_xlfn.IFS('ProductSprint Backlog'!$F406="", "", AND('ProductSprint Backlog'!$J406&gt;J$2,'ProductSprint Backlog'!$I406&lt;=J$2), 'ProductSprint Backlog'!$F406 / MAX(1, 'ProductSprint Backlog'!$J406-'ProductSprint Backlog'!$I406), AND('ProductSprint Backlog'!$J406=J$2,'ProductSprint Backlog'!$I406=J$2), 'ProductSprint Backlog'!$F406, TRUE, 0)</f>
        <v/>
      </c>
      <c r="K406" s="4" t="str" cm="1">
        <f t="array" ref="K406">_xlfn.IFS('ProductSprint Backlog'!$F406="", "", AND('ProductSprint Backlog'!$J406&gt;K$2,'ProductSprint Backlog'!$I406&lt;=K$2), 'ProductSprint Backlog'!$F406 / MAX(1, 'ProductSprint Backlog'!$J406-'ProductSprint Backlog'!$I406), AND('ProductSprint Backlog'!$J406=K$2,'ProductSprint Backlog'!$I406=K$2), 'ProductSprint Backlog'!$F406, TRUE, 0)</f>
        <v/>
      </c>
      <c r="L406" s="4" t="str" cm="1">
        <f t="array" ref="L406">_xlfn.IFS('ProductSprint Backlog'!$F406="", "", AND('ProductSprint Backlog'!$J406&gt;L$2,'ProductSprint Backlog'!$I406&lt;=L$2), 'ProductSprint Backlog'!$F406 / MAX(1, 'ProductSprint Backlog'!$J406-'ProductSprint Backlog'!$I406), AND('ProductSprint Backlog'!$J406=L$2,'ProductSprint Backlog'!$I406=L$2), 'ProductSprint Backlog'!$F406, TRUE, 0)</f>
        <v/>
      </c>
      <c r="M406" s="4" t="str" cm="1">
        <f t="array" ref="M406">_xlfn.IFS('ProductSprint Backlog'!$F406="", "", AND('ProductSprint Backlog'!$J406&gt;M$2,'ProductSprint Backlog'!$I406&lt;=M$2), 'ProductSprint Backlog'!$F406 / MAX(1, 'ProductSprint Backlog'!$J406-'ProductSprint Backlog'!$I406), AND('ProductSprint Backlog'!$J406=M$2,'ProductSprint Backlog'!$I406=M$2), 'ProductSprint Backlog'!$F406, TRUE, 0)</f>
        <v/>
      </c>
      <c r="N406" s="4" t="str" cm="1">
        <f t="array" ref="N406">_xlfn.IFS('ProductSprint Backlog'!$F406="", "", AND('ProductSprint Backlog'!$J406&gt;N$2,'ProductSprint Backlog'!$I406&lt;=N$2), 'ProductSprint Backlog'!$F406 / MAX(1, 'ProductSprint Backlog'!$J406-'ProductSprint Backlog'!$I406), AND('ProductSprint Backlog'!$J406=N$2,'ProductSprint Backlog'!$I406=N$2), 'ProductSprint Backlog'!$F406, TRUE, 0)</f>
        <v/>
      </c>
      <c r="O406" s="4" t="str" cm="1">
        <f t="array" ref="O406">_xlfn.IFS('ProductSprint Backlog'!$F406="", "", AND('ProductSprint Backlog'!$J406&gt;O$2,'ProductSprint Backlog'!$I406&lt;=O$2), 'ProductSprint Backlog'!$F406 / MAX(1, 'ProductSprint Backlog'!$J406-'ProductSprint Backlog'!$I406), AND('ProductSprint Backlog'!$J406=O$2,'ProductSprint Backlog'!$I406=O$2), 'ProductSprint Backlog'!$F406, TRUE, 0)</f>
        <v/>
      </c>
      <c r="P406" s="4" t="str" cm="1">
        <f t="array" ref="P406">_xlfn.IFS('ProductSprint Backlog'!$F406="", "", AND('ProductSprint Backlog'!$J406&gt;P$2,'ProductSprint Backlog'!$I406&lt;=P$2), 'ProductSprint Backlog'!$F406 / MAX(1, 'ProductSprint Backlog'!$J406-'ProductSprint Backlog'!$I406), AND('ProductSprint Backlog'!$J406=P$2,'ProductSprint Backlog'!$I406=P$2), 'ProductSprint Backlog'!$F406, TRUE, 0)</f>
        <v/>
      </c>
      <c r="Q406" s="4" t="str" cm="1">
        <f t="array" ref="Q406">_xlfn.IFS('ProductSprint Backlog'!$F406="", "", AND('ProductSprint Backlog'!$J406&gt;Q$2,'ProductSprint Backlog'!$I406&lt;=Q$2), 'ProductSprint Backlog'!$F406 / MAX(1, 'ProductSprint Backlog'!$J406-'ProductSprint Backlog'!$I406), AND('ProductSprint Backlog'!$J406=Q$2,'ProductSprint Backlog'!$I406=Q$2), 'ProductSprint Backlog'!$F406, TRUE, 0)</f>
        <v/>
      </c>
    </row>
    <row r="407" spans="2:17" x14ac:dyDescent="0.2">
      <c r="B407" s="4" t="str" cm="1">
        <f t="array" ref="B407">_xlfn.IFS('ProductSprint Backlog'!$F407="", "", AND('ProductSprint Backlog'!$J407&gt;B$2,'ProductSprint Backlog'!$I407&lt;=B$2), 'ProductSprint Backlog'!$F407 / MAX(1, 'ProductSprint Backlog'!$J407-'ProductSprint Backlog'!$I407), AND('ProductSprint Backlog'!$J407=B$2,'ProductSprint Backlog'!$I407=B$2), 'ProductSprint Backlog'!$F407, TRUE, 0)</f>
        <v/>
      </c>
      <c r="C407" s="4" t="str" cm="1">
        <f t="array" ref="C407">_xlfn.IFS('ProductSprint Backlog'!$F407="", "", AND('ProductSprint Backlog'!$J407&gt;C$2,'ProductSprint Backlog'!$I407&lt;=C$2), 'ProductSprint Backlog'!$F407 / MAX(1, 'ProductSprint Backlog'!$J407-'ProductSprint Backlog'!$I407), AND('ProductSprint Backlog'!$J407=C$2,'ProductSprint Backlog'!$I407=C$2), 'ProductSprint Backlog'!$F407, TRUE, 0)</f>
        <v/>
      </c>
      <c r="D407" s="4" t="str" cm="1">
        <f t="array" ref="D407">_xlfn.IFS('ProductSprint Backlog'!$F407="", "", AND('ProductSprint Backlog'!$J407&gt;D$2,'ProductSprint Backlog'!$I407&lt;=D$2), 'ProductSprint Backlog'!$F407 / MAX(1, 'ProductSprint Backlog'!$J407-'ProductSprint Backlog'!$I407), AND('ProductSprint Backlog'!$J407=D$2,'ProductSprint Backlog'!$I407=D$2), 'ProductSprint Backlog'!$F407, TRUE, 0)</f>
        <v/>
      </c>
      <c r="E407" s="4" t="str" cm="1">
        <f t="array" ref="E407">_xlfn.IFS('ProductSprint Backlog'!$F407="", "", AND('ProductSprint Backlog'!$J407&gt;E$2,'ProductSprint Backlog'!$I407&lt;=E$2), 'ProductSprint Backlog'!$F407 / MAX(1, 'ProductSprint Backlog'!$J407-'ProductSprint Backlog'!$I407), AND('ProductSprint Backlog'!$J407=E$2,'ProductSprint Backlog'!$I407=E$2), 'ProductSprint Backlog'!$F407, TRUE, 0)</f>
        <v/>
      </c>
      <c r="F407" s="4" t="str" cm="1">
        <f t="array" ref="F407">_xlfn.IFS('ProductSprint Backlog'!$F407="", "", AND('ProductSprint Backlog'!$J407&gt;F$2,'ProductSprint Backlog'!$I407&lt;=F$2), 'ProductSprint Backlog'!$F407 / MAX(1, 'ProductSprint Backlog'!$J407-'ProductSprint Backlog'!$I407), AND('ProductSprint Backlog'!$J407=F$2,'ProductSprint Backlog'!$I407=F$2), 'ProductSprint Backlog'!$F407, TRUE, 0)</f>
        <v/>
      </c>
      <c r="G407" s="4" t="str" cm="1">
        <f t="array" ref="G407">_xlfn.IFS('ProductSprint Backlog'!$F407="", "", AND('ProductSprint Backlog'!$J407&gt;G$2,'ProductSprint Backlog'!$I407&lt;=G$2), 'ProductSprint Backlog'!$F407 / MAX(1, 'ProductSprint Backlog'!$J407-'ProductSprint Backlog'!$I407), AND('ProductSprint Backlog'!$J407=G$2,'ProductSprint Backlog'!$I407=G$2), 'ProductSprint Backlog'!$F407, TRUE, 0)</f>
        <v/>
      </c>
      <c r="H407" s="4" t="str" cm="1">
        <f t="array" ref="H407">_xlfn.IFS('ProductSprint Backlog'!$F407="", "", AND('ProductSprint Backlog'!$J407&gt;H$2,'ProductSprint Backlog'!$I407&lt;=H$2), 'ProductSprint Backlog'!$F407 / MAX(1, 'ProductSprint Backlog'!$J407-'ProductSprint Backlog'!$I407), AND('ProductSprint Backlog'!$J407=H$2,'ProductSprint Backlog'!$I407=H$2), 'ProductSprint Backlog'!$F407, TRUE, 0)</f>
        <v/>
      </c>
      <c r="I407" s="4" t="str" cm="1">
        <f t="array" ref="I407">_xlfn.IFS('ProductSprint Backlog'!$F407="", "", AND('ProductSprint Backlog'!$J407&gt;I$2,'ProductSprint Backlog'!$I407&lt;=I$2), 'ProductSprint Backlog'!$F407 / MAX(1, 'ProductSprint Backlog'!$J407-'ProductSprint Backlog'!$I407), AND('ProductSprint Backlog'!$J407=I$2,'ProductSprint Backlog'!$I407=I$2), 'ProductSprint Backlog'!$F407, TRUE, 0)</f>
        <v/>
      </c>
      <c r="J407" s="4" t="str" cm="1">
        <f t="array" ref="J407">_xlfn.IFS('ProductSprint Backlog'!$F407="", "", AND('ProductSprint Backlog'!$J407&gt;J$2,'ProductSprint Backlog'!$I407&lt;=J$2), 'ProductSprint Backlog'!$F407 / MAX(1, 'ProductSprint Backlog'!$J407-'ProductSprint Backlog'!$I407), AND('ProductSprint Backlog'!$J407=J$2,'ProductSprint Backlog'!$I407=J$2), 'ProductSprint Backlog'!$F407, TRUE, 0)</f>
        <v/>
      </c>
      <c r="K407" s="4" t="str" cm="1">
        <f t="array" ref="K407">_xlfn.IFS('ProductSprint Backlog'!$F407="", "", AND('ProductSprint Backlog'!$J407&gt;K$2,'ProductSprint Backlog'!$I407&lt;=K$2), 'ProductSprint Backlog'!$F407 / MAX(1, 'ProductSprint Backlog'!$J407-'ProductSprint Backlog'!$I407), AND('ProductSprint Backlog'!$J407=K$2,'ProductSprint Backlog'!$I407=K$2), 'ProductSprint Backlog'!$F407, TRUE, 0)</f>
        <v/>
      </c>
      <c r="L407" s="4" t="str" cm="1">
        <f t="array" ref="L407">_xlfn.IFS('ProductSprint Backlog'!$F407="", "", AND('ProductSprint Backlog'!$J407&gt;L$2,'ProductSprint Backlog'!$I407&lt;=L$2), 'ProductSprint Backlog'!$F407 / MAX(1, 'ProductSprint Backlog'!$J407-'ProductSprint Backlog'!$I407), AND('ProductSprint Backlog'!$J407=L$2,'ProductSprint Backlog'!$I407=L$2), 'ProductSprint Backlog'!$F407, TRUE, 0)</f>
        <v/>
      </c>
      <c r="M407" s="4" t="str" cm="1">
        <f t="array" ref="M407">_xlfn.IFS('ProductSprint Backlog'!$F407="", "", AND('ProductSprint Backlog'!$J407&gt;M$2,'ProductSprint Backlog'!$I407&lt;=M$2), 'ProductSprint Backlog'!$F407 / MAX(1, 'ProductSprint Backlog'!$J407-'ProductSprint Backlog'!$I407), AND('ProductSprint Backlog'!$J407=M$2,'ProductSprint Backlog'!$I407=M$2), 'ProductSprint Backlog'!$F407, TRUE, 0)</f>
        <v/>
      </c>
      <c r="N407" s="4" t="str" cm="1">
        <f t="array" ref="N407">_xlfn.IFS('ProductSprint Backlog'!$F407="", "", AND('ProductSprint Backlog'!$J407&gt;N$2,'ProductSprint Backlog'!$I407&lt;=N$2), 'ProductSprint Backlog'!$F407 / MAX(1, 'ProductSprint Backlog'!$J407-'ProductSprint Backlog'!$I407), AND('ProductSprint Backlog'!$J407=N$2,'ProductSprint Backlog'!$I407=N$2), 'ProductSprint Backlog'!$F407, TRUE, 0)</f>
        <v/>
      </c>
      <c r="O407" s="4" t="str" cm="1">
        <f t="array" ref="O407">_xlfn.IFS('ProductSprint Backlog'!$F407="", "", AND('ProductSprint Backlog'!$J407&gt;O$2,'ProductSprint Backlog'!$I407&lt;=O$2), 'ProductSprint Backlog'!$F407 / MAX(1, 'ProductSprint Backlog'!$J407-'ProductSprint Backlog'!$I407), AND('ProductSprint Backlog'!$J407=O$2,'ProductSprint Backlog'!$I407=O$2), 'ProductSprint Backlog'!$F407, TRUE, 0)</f>
        <v/>
      </c>
      <c r="P407" s="4" t="str" cm="1">
        <f t="array" ref="P407">_xlfn.IFS('ProductSprint Backlog'!$F407="", "", AND('ProductSprint Backlog'!$J407&gt;P$2,'ProductSprint Backlog'!$I407&lt;=P$2), 'ProductSprint Backlog'!$F407 / MAX(1, 'ProductSprint Backlog'!$J407-'ProductSprint Backlog'!$I407), AND('ProductSprint Backlog'!$J407=P$2,'ProductSprint Backlog'!$I407=P$2), 'ProductSprint Backlog'!$F407, TRUE, 0)</f>
        <v/>
      </c>
      <c r="Q407" s="4" t="str" cm="1">
        <f t="array" ref="Q407">_xlfn.IFS('ProductSprint Backlog'!$F407="", "", AND('ProductSprint Backlog'!$J407&gt;Q$2,'ProductSprint Backlog'!$I407&lt;=Q$2), 'ProductSprint Backlog'!$F407 / MAX(1, 'ProductSprint Backlog'!$J407-'ProductSprint Backlog'!$I407), AND('ProductSprint Backlog'!$J407=Q$2,'ProductSprint Backlog'!$I407=Q$2), 'ProductSprint Backlog'!$F407, TRUE, 0)</f>
        <v/>
      </c>
    </row>
    <row r="408" spans="2:17" x14ac:dyDescent="0.2">
      <c r="B408" s="4" t="str" cm="1">
        <f t="array" ref="B408">_xlfn.IFS('ProductSprint Backlog'!$F408="", "", AND('ProductSprint Backlog'!$J408&gt;B$2,'ProductSprint Backlog'!$I408&lt;=B$2), 'ProductSprint Backlog'!$F408 / MAX(1, 'ProductSprint Backlog'!$J408-'ProductSprint Backlog'!$I408), AND('ProductSprint Backlog'!$J408=B$2,'ProductSprint Backlog'!$I408=B$2), 'ProductSprint Backlog'!$F408, TRUE, 0)</f>
        <v/>
      </c>
      <c r="C408" s="4" t="str" cm="1">
        <f t="array" ref="C408">_xlfn.IFS('ProductSprint Backlog'!$F408="", "", AND('ProductSprint Backlog'!$J408&gt;C$2,'ProductSprint Backlog'!$I408&lt;=C$2), 'ProductSprint Backlog'!$F408 / MAX(1, 'ProductSprint Backlog'!$J408-'ProductSprint Backlog'!$I408), AND('ProductSprint Backlog'!$J408=C$2,'ProductSprint Backlog'!$I408=C$2), 'ProductSprint Backlog'!$F408, TRUE, 0)</f>
        <v/>
      </c>
      <c r="D408" s="4" t="str" cm="1">
        <f t="array" ref="D408">_xlfn.IFS('ProductSprint Backlog'!$F408="", "", AND('ProductSprint Backlog'!$J408&gt;D$2,'ProductSprint Backlog'!$I408&lt;=D$2), 'ProductSprint Backlog'!$F408 / MAX(1, 'ProductSprint Backlog'!$J408-'ProductSprint Backlog'!$I408), AND('ProductSprint Backlog'!$J408=D$2,'ProductSprint Backlog'!$I408=D$2), 'ProductSprint Backlog'!$F408, TRUE, 0)</f>
        <v/>
      </c>
      <c r="E408" s="4" t="str" cm="1">
        <f t="array" ref="E408">_xlfn.IFS('ProductSprint Backlog'!$F408="", "", AND('ProductSprint Backlog'!$J408&gt;E$2,'ProductSprint Backlog'!$I408&lt;=E$2), 'ProductSprint Backlog'!$F408 / MAX(1, 'ProductSprint Backlog'!$J408-'ProductSprint Backlog'!$I408), AND('ProductSprint Backlog'!$J408=E$2,'ProductSprint Backlog'!$I408=E$2), 'ProductSprint Backlog'!$F408, TRUE, 0)</f>
        <v/>
      </c>
      <c r="F408" s="4" t="str" cm="1">
        <f t="array" ref="F408">_xlfn.IFS('ProductSprint Backlog'!$F408="", "", AND('ProductSprint Backlog'!$J408&gt;F$2,'ProductSprint Backlog'!$I408&lt;=F$2), 'ProductSprint Backlog'!$F408 / MAX(1, 'ProductSprint Backlog'!$J408-'ProductSprint Backlog'!$I408), AND('ProductSprint Backlog'!$J408=F$2,'ProductSprint Backlog'!$I408=F$2), 'ProductSprint Backlog'!$F408, TRUE, 0)</f>
        <v/>
      </c>
      <c r="G408" s="4" t="str" cm="1">
        <f t="array" ref="G408">_xlfn.IFS('ProductSprint Backlog'!$F408="", "", AND('ProductSprint Backlog'!$J408&gt;G$2,'ProductSprint Backlog'!$I408&lt;=G$2), 'ProductSprint Backlog'!$F408 / MAX(1, 'ProductSprint Backlog'!$J408-'ProductSprint Backlog'!$I408), AND('ProductSprint Backlog'!$J408=G$2,'ProductSprint Backlog'!$I408=G$2), 'ProductSprint Backlog'!$F408, TRUE, 0)</f>
        <v/>
      </c>
      <c r="H408" s="4" t="str" cm="1">
        <f t="array" ref="H408">_xlfn.IFS('ProductSprint Backlog'!$F408="", "", AND('ProductSprint Backlog'!$J408&gt;H$2,'ProductSprint Backlog'!$I408&lt;=H$2), 'ProductSprint Backlog'!$F408 / MAX(1, 'ProductSprint Backlog'!$J408-'ProductSprint Backlog'!$I408), AND('ProductSprint Backlog'!$J408=H$2,'ProductSprint Backlog'!$I408=H$2), 'ProductSprint Backlog'!$F408, TRUE, 0)</f>
        <v/>
      </c>
      <c r="I408" s="4" t="str" cm="1">
        <f t="array" ref="I408">_xlfn.IFS('ProductSprint Backlog'!$F408="", "", AND('ProductSprint Backlog'!$J408&gt;I$2,'ProductSprint Backlog'!$I408&lt;=I$2), 'ProductSprint Backlog'!$F408 / MAX(1, 'ProductSprint Backlog'!$J408-'ProductSprint Backlog'!$I408), AND('ProductSprint Backlog'!$J408=I$2,'ProductSprint Backlog'!$I408=I$2), 'ProductSprint Backlog'!$F408, TRUE, 0)</f>
        <v/>
      </c>
      <c r="J408" s="4" t="str" cm="1">
        <f t="array" ref="J408">_xlfn.IFS('ProductSprint Backlog'!$F408="", "", AND('ProductSprint Backlog'!$J408&gt;J$2,'ProductSprint Backlog'!$I408&lt;=J$2), 'ProductSprint Backlog'!$F408 / MAX(1, 'ProductSprint Backlog'!$J408-'ProductSprint Backlog'!$I408), AND('ProductSprint Backlog'!$J408=J$2,'ProductSprint Backlog'!$I408=J$2), 'ProductSprint Backlog'!$F408, TRUE, 0)</f>
        <v/>
      </c>
      <c r="K408" s="4" t="str" cm="1">
        <f t="array" ref="K408">_xlfn.IFS('ProductSprint Backlog'!$F408="", "", AND('ProductSprint Backlog'!$J408&gt;K$2,'ProductSprint Backlog'!$I408&lt;=K$2), 'ProductSprint Backlog'!$F408 / MAX(1, 'ProductSprint Backlog'!$J408-'ProductSprint Backlog'!$I408), AND('ProductSprint Backlog'!$J408=K$2,'ProductSprint Backlog'!$I408=K$2), 'ProductSprint Backlog'!$F408, TRUE, 0)</f>
        <v/>
      </c>
      <c r="L408" s="4" t="str" cm="1">
        <f t="array" ref="L408">_xlfn.IFS('ProductSprint Backlog'!$F408="", "", AND('ProductSprint Backlog'!$J408&gt;L$2,'ProductSprint Backlog'!$I408&lt;=L$2), 'ProductSprint Backlog'!$F408 / MAX(1, 'ProductSprint Backlog'!$J408-'ProductSprint Backlog'!$I408), AND('ProductSprint Backlog'!$J408=L$2,'ProductSprint Backlog'!$I408=L$2), 'ProductSprint Backlog'!$F408, TRUE, 0)</f>
        <v/>
      </c>
      <c r="M408" s="4" t="str" cm="1">
        <f t="array" ref="M408">_xlfn.IFS('ProductSprint Backlog'!$F408="", "", AND('ProductSprint Backlog'!$J408&gt;M$2,'ProductSprint Backlog'!$I408&lt;=M$2), 'ProductSprint Backlog'!$F408 / MAX(1, 'ProductSprint Backlog'!$J408-'ProductSprint Backlog'!$I408), AND('ProductSprint Backlog'!$J408=M$2,'ProductSprint Backlog'!$I408=M$2), 'ProductSprint Backlog'!$F408, TRUE, 0)</f>
        <v/>
      </c>
      <c r="N408" s="4" t="str" cm="1">
        <f t="array" ref="N408">_xlfn.IFS('ProductSprint Backlog'!$F408="", "", AND('ProductSprint Backlog'!$J408&gt;N$2,'ProductSprint Backlog'!$I408&lt;=N$2), 'ProductSprint Backlog'!$F408 / MAX(1, 'ProductSprint Backlog'!$J408-'ProductSprint Backlog'!$I408), AND('ProductSprint Backlog'!$J408=N$2,'ProductSprint Backlog'!$I408=N$2), 'ProductSprint Backlog'!$F408, TRUE, 0)</f>
        <v/>
      </c>
      <c r="O408" s="4" t="str" cm="1">
        <f t="array" ref="O408">_xlfn.IFS('ProductSprint Backlog'!$F408="", "", AND('ProductSprint Backlog'!$J408&gt;O$2,'ProductSprint Backlog'!$I408&lt;=O$2), 'ProductSprint Backlog'!$F408 / MAX(1, 'ProductSprint Backlog'!$J408-'ProductSprint Backlog'!$I408), AND('ProductSprint Backlog'!$J408=O$2,'ProductSprint Backlog'!$I408=O$2), 'ProductSprint Backlog'!$F408, TRUE, 0)</f>
        <v/>
      </c>
      <c r="P408" s="4" t="str" cm="1">
        <f t="array" ref="P408">_xlfn.IFS('ProductSprint Backlog'!$F408="", "", AND('ProductSprint Backlog'!$J408&gt;P$2,'ProductSprint Backlog'!$I408&lt;=P$2), 'ProductSprint Backlog'!$F408 / MAX(1, 'ProductSprint Backlog'!$J408-'ProductSprint Backlog'!$I408), AND('ProductSprint Backlog'!$J408=P$2,'ProductSprint Backlog'!$I408=P$2), 'ProductSprint Backlog'!$F408, TRUE, 0)</f>
        <v/>
      </c>
      <c r="Q408" s="4" t="str" cm="1">
        <f t="array" ref="Q408">_xlfn.IFS('ProductSprint Backlog'!$F408="", "", AND('ProductSprint Backlog'!$J408&gt;Q$2,'ProductSprint Backlog'!$I408&lt;=Q$2), 'ProductSprint Backlog'!$F408 / MAX(1, 'ProductSprint Backlog'!$J408-'ProductSprint Backlog'!$I408), AND('ProductSprint Backlog'!$J408=Q$2,'ProductSprint Backlog'!$I408=Q$2), 'ProductSprint Backlog'!$F408, TRUE, 0)</f>
        <v/>
      </c>
    </row>
    <row r="409" spans="2:17" x14ac:dyDescent="0.2">
      <c r="B409" s="4" t="str" cm="1">
        <f t="array" ref="B409">_xlfn.IFS('ProductSprint Backlog'!$F409="", "", AND('ProductSprint Backlog'!$J409&gt;B$2,'ProductSprint Backlog'!$I409&lt;=B$2), 'ProductSprint Backlog'!$F409 / MAX(1, 'ProductSprint Backlog'!$J409-'ProductSprint Backlog'!$I409), AND('ProductSprint Backlog'!$J409=B$2,'ProductSprint Backlog'!$I409=B$2), 'ProductSprint Backlog'!$F409, TRUE, 0)</f>
        <v/>
      </c>
      <c r="C409" s="4" t="str" cm="1">
        <f t="array" ref="C409">_xlfn.IFS('ProductSprint Backlog'!$F409="", "", AND('ProductSprint Backlog'!$J409&gt;C$2,'ProductSprint Backlog'!$I409&lt;=C$2), 'ProductSprint Backlog'!$F409 / MAX(1, 'ProductSprint Backlog'!$J409-'ProductSprint Backlog'!$I409), AND('ProductSprint Backlog'!$J409=C$2,'ProductSprint Backlog'!$I409=C$2), 'ProductSprint Backlog'!$F409, TRUE, 0)</f>
        <v/>
      </c>
      <c r="D409" s="4" t="str" cm="1">
        <f t="array" ref="D409">_xlfn.IFS('ProductSprint Backlog'!$F409="", "", AND('ProductSprint Backlog'!$J409&gt;D$2,'ProductSprint Backlog'!$I409&lt;=D$2), 'ProductSprint Backlog'!$F409 / MAX(1, 'ProductSprint Backlog'!$J409-'ProductSprint Backlog'!$I409), AND('ProductSprint Backlog'!$J409=D$2,'ProductSprint Backlog'!$I409=D$2), 'ProductSprint Backlog'!$F409, TRUE, 0)</f>
        <v/>
      </c>
      <c r="E409" s="4" t="str" cm="1">
        <f t="array" ref="E409">_xlfn.IFS('ProductSprint Backlog'!$F409="", "", AND('ProductSprint Backlog'!$J409&gt;E$2,'ProductSprint Backlog'!$I409&lt;=E$2), 'ProductSprint Backlog'!$F409 / MAX(1, 'ProductSprint Backlog'!$J409-'ProductSprint Backlog'!$I409), AND('ProductSprint Backlog'!$J409=E$2,'ProductSprint Backlog'!$I409=E$2), 'ProductSprint Backlog'!$F409, TRUE, 0)</f>
        <v/>
      </c>
      <c r="F409" s="4" t="str" cm="1">
        <f t="array" ref="F409">_xlfn.IFS('ProductSprint Backlog'!$F409="", "", AND('ProductSprint Backlog'!$J409&gt;F$2,'ProductSprint Backlog'!$I409&lt;=F$2), 'ProductSprint Backlog'!$F409 / MAX(1, 'ProductSprint Backlog'!$J409-'ProductSprint Backlog'!$I409), AND('ProductSprint Backlog'!$J409=F$2,'ProductSprint Backlog'!$I409=F$2), 'ProductSprint Backlog'!$F409, TRUE, 0)</f>
        <v/>
      </c>
      <c r="G409" s="4" t="str" cm="1">
        <f t="array" ref="G409">_xlfn.IFS('ProductSprint Backlog'!$F409="", "", AND('ProductSprint Backlog'!$J409&gt;G$2,'ProductSprint Backlog'!$I409&lt;=G$2), 'ProductSprint Backlog'!$F409 / MAX(1, 'ProductSprint Backlog'!$J409-'ProductSprint Backlog'!$I409), AND('ProductSprint Backlog'!$J409=G$2,'ProductSprint Backlog'!$I409=G$2), 'ProductSprint Backlog'!$F409, TRUE, 0)</f>
        <v/>
      </c>
      <c r="H409" s="4" t="str" cm="1">
        <f t="array" ref="H409">_xlfn.IFS('ProductSprint Backlog'!$F409="", "", AND('ProductSprint Backlog'!$J409&gt;H$2,'ProductSprint Backlog'!$I409&lt;=H$2), 'ProductSprint Backlog'!$F409 / MAX(1, 'ProductSprint Backlog'!$J409-'ProductSprint Backlog'!$I409), AND('ProductSprint Backlog'!$J409=H$2,'ProductSprint Backlog'!$I409=H$2), 'ProductSprint Backlog'!$F409, TRUE, 0)</f>
        <v/>
      </c>
      <c r="I409" s="4" t="str" cm="1">
        <f t="array" ref="I409">_xlfn.IFS('ProductSprint Backlog'!$F409="", "", AND('ProductSprint Backlog'!$J409&gt;I$2,'ProductSprint Backlog'!$I409&lt;=I$2), 'ProductSprint Backlog'!$F409 / MAX(1, 'ProductSprint Backlog'!$J409-'ProductSprint Backlog'!$I409), AND('ProductSprint Backlog'!$J409=I$2,'ProductSprint Backlog'!$I409=I$2), 'ProductSprint Backlog'!$F409, TRUE, 0)</f>
        <v/>
      </c>
      <c r="J409" s="4" t="str" cm="1">
        <f t="array" ref="J409">_xlfn.IFS('ProductSprint Backlog'!$F409="", "", AND('ProductSprint Backlog'!$J409&gt;J$2,'ProductSprint Backlog'!$I409&lt;=J$2), 'ProductSprint Backlog'!$F409 / MAX(1, 'ProductSprint Backlog'!$J409-'ProductSprint Backlog'!$I409), AND('ProductSprint Backlog'!$J409=J$2,'ProductSprint Backlog'!$I409=J$2), 'ProductSprint Backlog'!$F409, TRUE, 0)</f>
        <v/>
      </c>
      <c r="K409" s="4" t="str" cm="1">
        <f t="array" ref="K409">_xlfn.IFS('ProductSprint Backlog'!$F409="", "", AND('ProductSprint Backlog'!$J409&gt;K$2,'ProductSprint Backlog'!$I409&lt;=K$2), 'ProductSprint Backlog'!$F409 / MAX(1, 'ProductSprint Backlog'!$J409-'ProductSprint Backlog'!$I409), AND('ProductSprint Backlog'!$J409=K$2,'ProductSprint Backlog'!$I409=K$2), 'ProductSprint Backlog'!$F409, TRUE, 0)</f>
        <v/>
      </c>
      <c r="L409" s="4" t="str" cm="1">
        <f t="array" ref="L409">_xlfn.IFS('ProductSprint Backlog'!$F409="", "", AND('ProductSprint Backlog'!$J409&gt;L$2,'ProductSprint Backlog'!$I409&lt;=L$2), 'ProductSprint Backlog'!$F409 / MAX(1, 'ProductSprint Backlog'!$J409-'ProductSprint Backlog'!$I409), AND('ProductSprint Backlog'!$J409=L$2,'ProductSprint Backlog'!$I409=L$2), 'ProductSprint Backlog'!$F409, TRUE, 0)</f>
        <v/>
      </c>
      <c r="M409" s="4" t="str" cm="1">
        <f t="array" ref="M409">_xlfn.IFS('ProductSprint Backlog'!$F409="", "", AND('ProductSprint Backlog'!$J409&gt;M$2,'ProductSprint Backlog'!$I409&lt;=M$2), 'ProductSprint Backlog'!$F409 / MAX(1, 'ProductSprint Backlog'!$J409-'ProductSprint Backlog'!$I409), AND('ProductSprint Backlog'!$J409=M$2,'ProductSprint Backlog'!$I409=M$2), 'ProductSprint Backlog'!$F409, TRUE, 0)</f>
        <v/>
      </c>
      <c r="N409" s="4" t="str" cm="1">
        <f t="array" ref="N409">_xlfn.IFS('ProductSprint Backlog'!$F409="", "", AND('ProductSprint Backlog'!$J409&gt;N$2,'ProductSprint Backlog'!$I409&lt;=N$2), 'ProductSprint Backlog'!$F409 / MAX(1, 'ProductSprint Backlog'!$J409-'ProductSprint Backlog'!$I409), AND('ProductSprint Backlog'!$J409=N$2,'ProductSprint Backlog'!$I409=N$2), 'ProductSprint Backlog'!$F409, TRUE, 0)</f>
        <v/>
      </c>
      <c r="O409" s="4" t="str" cm="1">
        <f t="array" ref="O409">_xlfn.IFS('ProductSprint Backlog'!$F409="", "", AND('ProductSprint Backlog'!$J409&gt;O$2,'ProductSprint Backlog'!$I409&lt;=O$2), 'ProductSprint Backlog'!$F409 / MAX(1, 'ProductSprint Backlog'!$J409-'ProductSprint Backlog'!$I409), AND('ProductSprint Backlog'!$J409=O$2,'ProductSprint Backlog'!$I409=O$2), 'ProductSprint Backlog'!$F409, TRUE, 0)</f>
        <v/>
      </c>
      <c r="P409" s="4" t="str" cm="1">
        <f t="array" ref="P409">_xlfn.IFS('ProductSprint Backlog'!$F409="", "", AND('ProductSprint Backlog'!$J409&gt;P$2,'ProductSprint Backlog'!$I409&lt;=P$2), 'ProductSprint Backlog'!$F409 / MAX(1, 'ProductSprint Backlog'!$J409-'ProductSprint Backlog'!$I409), AND('ProductSprint Backlog'!$J409=P$2,'ProductSprint Backlog'!$I409=P$2), 'ProductSprint Backlog'!$F409, TRUE, 0)</f>
        <v/>
      </c>
      <c r="Q409" s="4" t="str" cm="1">
        <f t="array" ref="Q409">_xlfn.IFS('ProductSprint Backlog'!$F409="", "", AND('ProductSprint Backlog'!$J409&gt;Q$2,'ProductSprint Backlog'!$I409&lt;=Q$2), 'ProductSprint Backlog'!$F409 / MAX(1, 'ProductSprint Backlog'!$J409-'ProductSprint Backlog'!$I409), AND('ProductSprint Backlog'!$J409=Q$2,'ProductSprint Backlog'!$I409=Q$2), 'ProductSprint Backlog'!$F409, TRUE, 0)</f>
        <v/>
      </c>
    </row>
    <row r="410" spans="2:17" x14ac:dyDescent="0.2">
      <c r="B410" s="4" t="str" cm="1">
        <f t="array" ref="B410">_xlfn.IFS('ProductSprint Backlog'!$F410="", "", AND('ProductSprint Backlog'!$J410&gt;B$2,'ProductSprint Backlog'!$I410&lt;=B$2), 'ProductSprint Backlog'!$F410 / MAX(1, 'ProductSprint Backlog'!$J410-'ProductSprint Backlog'!$I410), AND('ProductSprint Backlog'!$J410=B$2,'ProductSprint Backlog'!$I410=B$2), 'ProductSprint Backlog'!$F410, TRUE, 0)</f>
        <v/>
      </c>
      <c r="C410" s="4" t="str" cm="1">
        <f t="array" ref="C410">_xlfn.IFS('ProductSprint Backlog'!$F410="", "", AND('ProductSprint Backlog'!$J410&gt;C$2,'ProductSprint Backlog'!$I410&lt;=C$2), 'ProductSprint Backlog'!$F410 / MAX(1, 'ProductSprint Backlog'!$J410-'ProductSprint Backlog'!$I410), AND('ProductSprint Backlog'!$J410=C$2,'ProductSprint Backlog'!$I410=C$2), 'ProductSprint Backlog'!$F410, TRUE, 0)</f>
        <v/>
      </c>
      <c r="D410" s="4" t="str" cm="1">
        <f t="array" ref="D410">_xlfn.IFS('ProductSprint Backlog'!$F410="", "", AND('ProductSprint Backlog'!$J410&gt;D$2,'ProductSprint Backlog'!$I410&lt;=D$2), 'ProductSprint Backlog'!$F410 / MAX(1, 'ProductSprint Backlog'!$J410-'ProductSprint Backlog'!$I410), AND('ProductSprint Backlog'!$J410=D$2,'ProductSprint Backlog'!$I410=D$2), 'ProductSprint Backlog'!$F410, TRUE, 0)</f>
        <v/>
      </c>
      <c r="E410" s="4" t="str" cm="1">
        <f t="array" ref="E410">_xlfn.IFS('ProductSprint Backlog'!$F410="", "", AND('ProductSprint Backlog'!$J410&gt;E$2,'ProductSprint Backlog'!$I410&lt;=E$2), 'ProductSprint Backlog'!$F410 / MAX(1, 'ProductSprint Backlog'!$J410-'ProductSprint Backlog'!$I410), AND('ProductSprint Backlog'!$J410=E$2,'ProductSprint Backlog'!$I410=E$2), 'ProductSprint Backlog'!$F410, TRUE, 0)</f>
        <v/>
      </c>
      <c r="F410" s="4" t="str" cm="1">
        <f t="array" ref="F410">_xlfn.IFS('ProductSprint Backlog'!$F410="", "", AND('ProductSprint Backlog'!$J410&gt;F$2,'ProductSprint Backlog'!$I410&lt;=F$2), 'ProductSprint Backlog'!$F410 / MAX(1, 'ProductSprint Backlog'!$J410-'ProductSprint Backlog'!$I410), AND('ProductSprint Backlog'!$J410=F$2,'ProductSprint Backlog'!$I410=F$2), 'ProductSprint Backlog'!$F410, TRUE, 0)</f>
        <v/>
      </c>
      <c r="G410" s="4" t="str" cm="1">
        <f t="array" ref="G410">_xlfn.IFS('ProductSprint Backlog'!$F410="", "", AND('ProductSprint Backlog'!$J410&gt;G$2,'ProductSprint Backlog'!$I410&lt;=G$2), 'ProductSprint Backlog'!$F410 / MAX(1, 'ProductSprint Backlog'!$J410-'ProductSprint Backlog'!$I410), AND('ProductSprint Backlog'!$J410=G$2,'ProductSprint Backlog'!$I410=G$2), 'ProductSprint Backlog'!$F410, TRUE, 0)</f>
        <v/>
      </c>
      <c r="H410" s="4" t="str" cm="1">
        <f t="array" ref="H410">_xlfn.IFS('ProductSprint Backlog'!$F410="", "", AND('ProductSprint Backlog'!$J410&gt;H$2,'ProductSprint Backlog'!$I410&lt;=H$2), 'ProductSprint Backlog'!$F410 / MAX(1, 'ProductSprint Backlog'!$J410-'ProductSprint Backlog'!$I410), AND('ProductSprint Backlog'!$J410=H$2,'ProductSprint Backlog'!$I410=H$2), 'ProductSprint Backlog'!$F410, TRUE, 0)</f>
        <v/>
      </c>
      <c r="I410" s="4" t="str" cm="1">
        <f t="array" ref="I410">_xlfn.IFS('ProductSprint Backlog'!$F410="", "", AND('ProductSprint Backlog'!$J410&gt;I$2,'ProductSprint Backlog'!$I410&lt;=I$2), 'ProductSprint Backlog'!$F410 / MAX(1, 'ProductSprint Backlog'!$J410-'ProductSprint Backlog'!$I410), AND('ProductSprint Backlog'!$J410=I$2,'ProductSprint Backlog'!$I410=I$2), 'ProductSprint Backlog'!$F410, TRUE, 0)</f>
        <v/>
      </c>
      <c r="J410" s="4" t="str" cm="1">
        <f t="array" ref="J410">_xlfn.IFS('ProductSprint Backlog'!$F410="", "", AND('ProductSprint Backlog'!$J410&gt;J$2,'ProductSprint Backlog'!$I410&lt;=J$2), 'ProductSprint Backlog'!$F410 / MAX(1, 'ProductSprint Backlog'!$J410-'ProductSprint Backlog'!$I410), AND('ProductSprint Backlog'!$J410=J$2,'ProductSprint Backlog'!$I410=J$2), 'ProductSprint Backlog'!$F410, TRUE, 0)</f>
        <v/>
      </c>
      <c r="K410" s="4" t="str" cm="1">
        <f t="array" ref="K410">_xlfn.IFS('ProductSprint Backlog'!$F410="", "", AND('ProductSprint Backlog'!$J410&gt;K$2,'ProductSprint Backlog'!$I410&lt;=K$2), 'ProductSprint Backlog'!$F410 / MAX(1, 'ProductSprint Backlog'!$J410-'ProductSprint Backlog'!$I410), AND('ProductSprint Backlog'!$J410=K$2,'ProductSprint Backlog'!$I410=K$2), 'ProductSprint Backlog'!$F410, TRUE, 0)</f>
        <v/>
      </c>
      <c r="L410" s="4" t="str" cm="1">
        <f t="array" ref="L410">_xlfn.IFS('ProductSprint Backlog'!$F410="", "", AND('ProductSprint Backlog'!$J410&gt;L$2,'ProductSprint Backlog'!$I410&lt;=L$2), 'ProductSprint Backlog'!$F410 / MAX(1, 'ProductSprint Backlog'!$J410-'ProductSprint Backlog'!$I410), AND('ProductSprint Backlog'!$J410=L$2,'ProductSprint Backlog'!$I410=L$2), 'ProductSprint Backlog'!$F410, TRUE, 0)</f>
        <v/>
      </c>
      <c r="M410" s="4" t="str" cm="1">
        <f t="array" ref="M410">_xlfn.IFS('ProductSprint Backlog'!$F410="", "", AND('ProductSprint Backlog'!$J410&gt;M$2,'ProductSprint Backlog'!$I410&lt;=M$2), 'ProductSprint Backlog'!$F410 / MAX(1, 'ProductSprint Backlog'!$J410-'ProductSprint Backlog'!$I410), AND('ProductSprint Backlog'!$J410=M$2,'ProductSprint Backlog'!$I410=M$2), 'ProductSprint Backlog'!$F410, TRUE, 0)</f>
        <v/>
      </c>
      <c r="N410" s="4" t="str" cm="1">
        <f t="array" ref="N410">_xlfn.IFS('ProductSprint Backlog'!$F410="", "", AND('ProductSprint Backlog'!$J410&gt;N$2,'ProductSprint Backlog'!$I410&lt;=N$2), 'ProductSprint Backlog'!$F410 / MAX(1, 'ProductSprint Backlog'!$J410-'ProductSprint Backlog'!$I410), AND('ProductSprint Backlog'!$J410=N$2,'ProductSprint Backlog'!$I410=N$2), 'ProductSprint Backlog'!$F410, TRUE, 0)</f>
        <v/>
      </c>
      <c r="O410" s="4" t="str" cm="1">
        <f t="array" ref="O410">_xlfn.IFS('ProductSprint Backlog'!$F410="", "", AND('ProductSprint Backlog'!$J410&gt;O$2,'ProductSprint Backlog'!$I410&lt;=O$2), 'ProductSprint Backlog'!$F410 / MAX(1, 'ProductSprint Backlog'!$J410-'ProductSprint Backlog'!$I410), AND('ProductSprint Backlog'!$J410=O$2,'ProductSprint Backlog'!$I410=O$2), 'ProductSprint Backlog'!$F410, TRUE, 0)</f>
        <v/>
      </c>
      <c r="P410" s="4" t="str" cm="1">
        <f t="array" ref="P410">_xlfn.IFS('ProductSprint Backlog'!$F410="", "", AND('ProductSprint Backlog'!$J410&gt;P$2,'ProductSprint Backlog'!$I410&lt;=P$2), 'ProductSprint Backlog'!$F410 / MAX(1, 'ProductSprint Backlog'!$J410-'ProductSprint Backlog'!$I410), AND('ProductSprint Backlog'!$J410=P$2,'ProductSprint Backlog'!$I410=P$2), 'ProductSprint Backlog'!$F410, TRUE, 0)</f>
        <v/>
      </c>
      <c r="Q410" s="4" t="str" cm="1">
        <f t="array" ref="Q410">_xlfn.IFS('ProductSprint Backlog'!$F410="", "", AND('ProductSprint Backlog'!$J410&gt;Q$2,'ProductSprint Backlog'!$I410&lt;=Q$2), 'ProductSprint Backlog'!$F410 / MAX(1, 'ProductSprint Backlog'!$J410-'ProductSprint Backlog'!$I410), AND('ProductSprint Backlog'!$J410=Q$2,'ProductSprint Backlog'!$I410=Q$2), 'ProductSprint Backlog'!$F410, TRUE, 0)</f>
        <v/>
      </c>
    </row>
    <row r="411" spans="2:17" x14ac:dyDescent="0.2">
      <c r="B411" s="4" t="str" cm="1">
        <f t="array" ref="B411">_xlfn.IFS('ProductSprint Backlog'!$F411="", "", AND('ProductSprint Backlog'!$J411&gt;B$2,'ProductSprint Backlog'!$I411&lt;=B$2), 'ProductSprint Backlog'!$F411 / MAX(1, 'ProductSprint Backlog'!$J411-'ProductSprint Backlog'!$I411), AND('ProductSprint Backlog'!$J411=B$2,'ProductSprint Backlog'!$I411=B$2), 'ProductSprint Backlog'!$F411, TRUE, 0)</f>
        <v/>
      </c>
      <c r="C411" s="4" t="str" cm="1">
        <f t="array" ref="C411">_xlfn.IFS('ProductSprint Backlog'!$F411="", "", AND('ProductSprint Backlog'!$J411&gt;C$2,'ProductSprint Backlog'!$I411&lt;=C$2), 'ProductSprint Backlog'!$F411 / MAX(1, 'ProductSprint Backlog'!$J411-'ProductSprint Backlog'!$I411), AND('ProductSprint Backlog'!$J411=C$2,'ProductSprint Backlog'!$I411=C$2), 'ProductSprint Backlog'!$F411, TRUE, 0)</f>
        <v/>
      </c>
      <c r="D411" s="4" t="str" cm="1">
        <f t="array" ref="D411">_xlfn.IFS('ProductSprint Backlog'!$F411="", "", AND('ProductSprint Backlog'!$J411&gt;D$2,'ProductSprint Backlog'!$I411&lt;=D$2), 'ProductSprint Backlog'!$F411 / MAX(1, 'ProductSprint Backlog'!$J411-'ProductSprint Backlog'!$I411), AND('ProductSprint Backlog'!$J411=D$2,'ProductSprint Backlog'!$I411=D$2), 'ProductSprint Backlog'!$F411, TRUE, 0)</f>
        <v/>
      </c>
      <c r="E411" s="4" t="str" cm="1">
        <f t="array" ref="E411">_xlfn.IFS('ProductSprint Backlog'!$F411="", "", AND('ProductSprint Backlog'!$J411&gt;E$2,'ProductSprint Backlog'!$I411&lt;=E$2), 'ProductSprint Backlog'!$F411 / MAX(1, 'ProductSprint Backlog'!$J411-'ProductSprint Backlog'!$I411), AND('ProductSprint Backlog'!$J411=E$2,'ProductSprint Backlog'!$I411=E$2), 'ProductSprint Backlog'!$F411, TRUE, 0)</f>
        <v/>
      </c>
      <c r="F411" s="4" t="str" cm="1">
        <f t="array" ref="F411">_xlfn.IFS('ProductSprint Backlog'!$F411="", "", AND('ProductSprint Backlog'!$J411&gt;F$2,'ProductSprint Backlog'!$I411&lt;=F$2), 'ProductSprint Backlog'!$F411 / MAX(1, 'ProductSprint Backlog'!$J411-'ProductSprint Backlog'!$I411), AND('ProductSprint Backlog'!$J411=F$2,'ProductSprint Backlog'!$I411=F$2), 'ProductSprint Backlog'!$F411, TRUE, 0)</f>
        <v/>
      </c>
      <c r="G411" s="4" t="str" cm="1">
        <f t="array" ref="G411">_xlfn.IFS('ProductSprint Backlog'!$F411="", "", AND('ProductSprint Backlog'!$J411&gt;G$2,'ProductSprint Backlog'!$I411&lt;=G$2), 'ProductSprint Backlog'!$F411 / MAX(1, 'ProductSprint Backlog'!$J411-'ProductSprint Backlog'!$I411), AND('ProductSprint Backlog'!$J411=G$2,'ProductSprint Backlog'!$I411=G$2), 'ProductSprint Backlog'!$F411, TRUE, 0)</f>
        <v/>
      </c>
      <c r="H411" s="4" t="str" cm="1">
        <f t="array" ref="H411">_xlfn.IFS('ProductSprint Backlog'!$F411="", "", AND('ProductSprint Backlog'!$J411&gt;H$2,'ProductSprint Backlog'!$I411&lt;=H$2), 'ProductSprint Backlog'!$F411 / MAX(1, 'ProductSprint Backlog'!$J411-'ProductSprint Backlog'!$I411), AND('ProductSprint Backlog'!$J411=H$2,'ProductSprint Backlog'!$I411=H$2), 'ProductSprint Backlog'!$F411, TRUE, 0)</f>
        <v/>
      </c>
      <c r="I411" s="4" t="str" cm="1">
        <f t="array" ref="I411">_xlfn.IFS('ProductSprint Backlog'!$F411="", "", AND('ProductSprint Backlog'!$J411&gt;I$2,'ProductSprint Backlog'!$I411&lt;=I$2), 'ProductSprint Backlog'!$F411 / MAX(1, 'ProductSprint Backlog'!$J411-'ProductSprint Backlog'!$I411), AND('ProductSprint Backlog'!$J411=I$2,'ProductSprint Backlog'!$I411=I$2), 'ProductSprint Backlog'!$F411, TRUE, 0)</f>
        <v/>
      </c>
      <c r="J411" s="4" t="str" cm="1">
        <f t="array" ref="J411">_xlfn.IFS('ProductSprint Backlog'!$F411="", "", AND('ProductSprint Backlog'!$J411&gt;J$2,'ProductSprint Backlog'!$I411&lt;=J$2), 'ProductSprint Backlog'!$F411 / MAX(1, 'ProductSprint Backlog'!$J411-'ProductSprint Backlog'!$I411), AND('ProductSprint Backlog'!$J411=J$2,'ProductSprint Backlog'!$I411=J$2), 'ProductSprint Backlog'!$F411, TRUE, 0)</f>
        <v/>
      </c>
      <c r="K411" s="4" t="str" cm="1">
        <f t="array" ref="K411">_xlfn.IFS('ProductSprint Backlog'!$F411="", "", AND('ProductSprint Backlog'!$J411&gt;K$2,'ProductSprint Backlog'!$I411&lt;=K$2), 'ProductSprint Backlog'!$F411 / MAX(1, 'ProductSprint Backlog'!$J411-'ProductSprint Backlog'!$I411), AND('ProductSprint Backlog'!$J411=K$2,'ProductSprint Backlog'!$I411=K$2), 'ProductSprint Backlog'!$F411, TRUE, 0)</f>
        <v/>
      </c>
      <c r="L411" s="4" t="str" cm="1">
        <f t="array" ref="L411">_xlfn.IFS('ProductSprint Backlog'!$F411="", "", AND('ProductSprint Backlog'!$J411&gt;L$2,'ProductSprint Backlog'!$I411&lt;=L$2), 'ProductSprint Backlog'!$F411 / MAX(1, 'ProductSprint Backlog'!$J411-'ProductSprint Backlog'!$I411), AND('ProductSprint Backlog'!$J411=L$2,'ProductSprint Backlog'!$I411=L$2), 'ProductSprint Backlog'!$F411, TRUE, 0)</f>
        <v/>
      </c>
      <c r="M411" s="4" t="str" cm="1">
        <f t="array" ref="M411">_xlfn.IFS('ProductSprint Backlog'!$F411="", "", AND('ProductSprint Backlog'!$J411&gt;M$2,'ProductSprint Backlog'!$I411&lt;=M$2), 'ProductSprint Backlog'!$F411 / MAX(1, 'ProductSprint Backlog'!$J411-'ProductSprint Backlog'!$I411), AND('ProductSprint Backlog'!$J411=M$2,'ProductSprint Backlog'!$I411=M$2), 'ProductSprint Backlog'!$F411, TRUE, 0)</f>
        <v/>
      </c>
      <c r="N411" s="4" t="str" cm="1">
        <f t="array" ref="N411">_xlfn.IFS('ProductSprint Backlog'!$F411="", "", AND('ProductSprint Backlog'!$J411&gt;N$2,'ProductSprint Backlog'!$I411&lt;=N$2), 'ProductSprint Backlog'!$F411 / MAX(1, 'ProductSprint Backlog'!$J411-'ProductSprint Backlog'!$I411), AND('ProductSprint Backlog'!$J411=N$2,'ProductSprint Backlog'!$I411=N$2), 'ProductSprint Backlog'!$F411, TRUE, 0)</f>
        <v/>
      </c>
      <c r="O411" s="4" t="str" cm="1">
        <f t="array" ref="O411">_xlfn.IFS('ProductSprint Backlog'!$F411="", "", AND('ProductSprint Backlog'!$J411&gt;O$2,'ProductSprint Backlog'!$I411&lt;=O$2), 'ProductSprint Backlog'!$F411 / MAX(1, 'ProductSprint Backlog'!$J411-'ProductSprint Backlog'!$I411), AND('ProductSprint Backlog'!$J411=O$2,'ProductSprint Backlog'!$I411=O$2), 'ProductSprint Backlog'!$F411, TRUE, 0)</f>
        <v/>
      </c>
      <c r="P411" s="4" t="str" cm="1">
        <f t="array" ref="P411">_xlfn.IFS('ProductSprint Backlog'!$F411="", "", AND('ProductSprint Backlog'!$J411&gt;P$2,'ProductSprint Backlog'!$I411&lt;=P$2), 'ProductSprint Backlog'!$F411 / MAX(1, 'ProductSprint Backlog'!$J411-'ProductSprint Backlog'!$I411), AND('ProductSprint Backlog'!$J411=P$2,'ProductSprint Backlog'!$I411=P$2), 'ProductSprint Backlog'!$F411, TRUE, 0)</f>
        <v/>
      </c>
      <c r="Q411" s="4" t="str" cm="1">
        <f t="array" ref="Q411">_xlfn.IFS('ProductSprint Backlog'!$F411="", "", AND('ProductSprint Backlog'!$J411&gt;Q$2,'ProductSprint Backlog'!$I411&lt;=Q$2), 'ProductSprint Backlog'!$F411 / MAX(1, 'ProductSprint Backlog'!$J411-'ProductSprint Backlog'!$I411), AND('ProductSprint Backlog'!$J411=Q$2,'ProductSprint Backlog'!$I411=Q$2), 'ProductSprint Backlog'!$F411, TRUE, 0)</f>
        <v/>
      </c>
    </row>
    <row r="412" spans="2:17" x14ac:dyDescent="0.2">
      <c r="B412" s="4" t="str" cm="1">
        <f t="array" ref="B412">_xlfn.IFS('ProductSprint Backlog'!$F412="", "", AND('ProductSprint Backlog'!$J412&gt;B$2,'ProductSprint Backlog'!$I412&lt;=B$2), 'ProductSprint Backlog'!$F412 / MAX(1, 'ProductSprint Backlog'!$J412-'ProductSprint Backlog'!$I412), AND('ProductSprint Backlog'!$J412=B$2,'ProductSprint Backlog'!$I412=B$2), 'ProductSprint Backlog'!$F412, TRUE, 0)</f>
        <v/>
      </c>
      <c r="C412" s="4" t="str" cm="1">
        <f t="array" ref="C412">_xlfn.IFS('ProductSprint Backlog'!$F412="", "", AND('ProductSprint Backlog'!$J412&gt;C$2,'ProductSprint Backlog'!$I412&lt;=C$2), 'ProductSprint Backlog'!$F412 / MAX(1, 'ProductSprint Backlog'!$J412-'ProductSprint Backlog'!$I412), AND('ProductSprint Backlog'!$J412=C$2,'ProductSprint Backlog'!$I412=C$2), 'ProductSprint Backlog'!$F412, TRUE, 0)</f>
        <v/>
      </c>
      <c r="D412" s="4" t="str" cm="1">
        <f t="array" ref="D412">_xlfn.IFS('ProductSprint Backlog'!$F412="", "", AND('ProductSprint Backlog'!$J412&gt;D$2,'ProductSprint Backlog'!$I412&lt;=D$2), 'ProductSprint Backlog'!$F412 / MAX(1, 'ProductSprint Backlog'!$J412-'ProductSprint Backlog'!$I412), AND('ProductSprint Backlog'!$J412=D$2,'ProductSprint Backlog'!$I412=D$2), 'ProductSprint Backlog'!$F412, TRUE, 0)</f>
        <v/>
      </c>
      <c r="E412" s="4" t="str" cm="1">
        <f t="array" ref="E412">_xlfn.IFS('ProductSprint Backlog'!$F412="", "", AND('ProductSprint Backlog'!$J412&gt;E$2,'ProductSprint Backlog'!$I412&lt;=E$2), 'ProductSprint Backlog'!$F412 / MAX(1, 'ProductSprint Backlog'!$J412-'ProductSprint Backlog'!$I412), AND('ProductSprint Backlog'!$J412=E$2,'ProductSprint Backlog'!$I412=E$2), 'ProductSprint Backlog'!$F412, TRUE, 0)</f>
        <v/>
      </c>
      <c r="F412" s="4" t="str" cm="1">
        <f t="array" ref="F412">_xlfn.IFS('ProductSprint Backlog'!$F412="", "", AND('ProductSprint Backlog'!$J412&gt;F$2,'ProductSprint Backlog'!$I412&lt;=F$2), 'ProductSprint Backlog'!$F412 / MAX(1, 'ProductSprint Backlog'!$J412-'ProductSprint Backlog'!$I412), AND('ProductSprint Backlog'!$J412=F$2,'ProductSprint Backlog'!$I412=F$2), 'ProductSprint Backlog'!$F412, TRUE, 0)</f>
        <v/>
      </c>
      <c r="G412" s="4" t="str" cm="1">
        <f t="array" ref="G412">_xlfn.IFS('ProductSprint Backlog'!$F412="", "", AND('ProductSprint Backlog'!$J412&gt;G$2,'ProductSprint Backlog'!$I412&lt;=G$2), 'ProductSprint Backlog'!$F412 / MAX(1, 'ProductSprint Backlog'!$J412-'ProductSprint Backlog'!$I412), AND('ProductSprint Backlog'!$J412=G$2,'ProductSprint Backlog'!$I412=G$2), 'ProductSprint Backlog'!$F412, TRUE, 0)</f>
        <v/>
      </c>
      <c r="H412" s="4" t="str" cm="1">
        <f t="array" ref="H412">_xlfn.IFS('ProductSprint Backlog'!$F412="", "", AND('ProductSprint Backlog'!$J412&gt;H$2,'ProductSprint Backlog'!$I412&lt;=H$2), 'ProductSprint Backlog'!$F412 / MAX(1, 'ProductSprint Backlog'!$J412-'ProductSprint Backlog'!$I412), AND('ProductSprint Backlog'!$J412=H$2,'ProductSprint Backlog'!$I412=H$2), 'ProductSprint Backlog'!$F412, TRUE, 0)</f>
        <v/>
      </c>
      <c r="I412" s="4" t="str" cm="1">
        <f t="array" ref="I412">_xlfn.IFS('ProductSprint Backlog'!$F412="", "", AND('ProductSprint Backlog'!$J412&gt;I$2,'ProductSprint Backlog'!$I412&lt;=I$2), 'ProductSprint Backlog'!$F412 / MAX(1, 'ProductSprint Backlog'!$J412-'ProductSprint Backlog'!$I412), AND('ProductSprint Backlog'!$J412=I$2,'ProductSprint Backlog'!$I412=I$2), 'ProductSprint Backlog'!$F412, TRUE, 0)</f>
        <v/>
      </c>
      <c r="J412" s="4" t="str" cm="1">
        <f t="array" ref="J412">_xlfn.IFS('ProductSprint Backlog'!$F412="", "", AND('ProductSprint Backlog'!$J412&gt;J$2,'ProductSprint Backlog'!$I412&lt;=J$2), 'ProductSprint Backlog'!$F412 / MAX(1, 'ProductSprint Backlog'!$J412-'ProductSprint Backlog'!$I412), AND('ProductSprint Backlog'!$J412=J$2,'ProductSprint Backlog'!$I412=J$2), 'ProductSprint Backlog'!$F412, TRUE, 0)</f>
        <v/>
      </c>
      <c r="K412" s="4" t="str" cm="1">
        <f t="array" ref="K412">_xlfn.IFS('ProductSprint Backlog'!$F412="", "", AND('ProductSprint Backlog'!$J412&gt;K$2,'ProductSprint Backlog'!$I412&lt;=K$2), 'ProductSprint Backlog'!$F412 / MAX(1, 'ProductSprint Backlog'!$J412-'ProductSprint Backlog'!$I412), AND('ProductSprint Backlog'!$J412=K$2,'ProductSprint Backlog'!$I412=K$2), 'ProductSprint Backlog'!$F412, TRUE, 0)</f>
        <v/>
      </c>
      <c r="L412" s="4" t="str" cm="1">
        <f t="array" ref="L412">_xlfn.IFS('ProductSprint Backlog'!$F412="", "", AND('ProductSprint Backlog'!$J412&gt;L$2,'ProductSprint Backlog'!$I412&lt;=L$2), 'ProductSprint Backlog'!$F412 / MAX(1, 'ProductSprint Backlog'!$J412-'ProductSprint Backlog'!$I412), AND('ProductSprint Backlog'!$J412=L$2,'ProductSprint Backlog'!$I412=L$2), 'ProductSprint Backlog'!$F412, TRUE, 0)</f>
        <v/>
      </c>
      <c r="M412" s="4" t="str" cm="1">
        <f t="array" ref="M412">_xlfn.IFS('ProductSprint Backlog'!$F412="", "", AND('ProductSprint Backlog'!$J412&gt;M$2,'ProductSprint Backlog'!$I412&lt;=M$2), 'ProductSprint Backlog'!$F412 / MAX(1, 'ProductSprint Backlog'!$J412-'ProductSprint Backlog'!$I412), AND('ProductSprint Backlog'!$J412=M$2,'ProductSprint Backlog'!$I412=M$2), 'ProductSprint Backlog'!$F412, TRUE, 0)</f>
        <v/>
      </c>
      <c r="N412" s="4" t="str" cm="1">
        <f t="array" ref="N412">_xlfn.IFS('ProductSprint Backlog'!$F412="", "", AND('ProductSprint Backlog'!$J412&gt;N$2,'ProductSprint Backlog'!$I412&lt;=N$2), 'ProductSprint Backlog'!$F412 / MAX(1, 'ProductSprint Backlog'!$J412-'ProductSprint Backlog'!$I412), AND('ProductSprint Backlog'!$J412=N$2,'ProductSprint Backlog'!$I412=N$2), 'ProductSprint Backlog'!$F412, TRUE, 0)</f>
        <v/>
      </c>
      <c r="O412" s="4" t="str" cm="1">
        <f t="array" ref="O412">_xlfn.IFS('ProductSprint Backlog'!$F412="", "", AND('ProductSprint Backlog'!$J412&gt;O$2,'ProductSprint Backlog'!$I412&lt;=O$2), 'ProductSprint Backlog'!$F412 / MAX(1, 'ProductSprint Backlog'!$J412-'ProductSprint Backlog'!$I412), AND('ProductSprint Backlog'!$J412=O$2,'ProductSprint Backlog'!$I412=O$2), 'ProductSprint Backlog'!$F412, TRUE, 0)</f>
        <v/>
      </c>
      <c r="P412" s="4" t="str" cm="1">
        <f t="array" ref="P412">_xlfn.IFS('ProductSprint Backlog'!$F412="", "", AND('ProductSprint Backlog'!$J412&gt;P$2,'ProductSprint Backlog'!$I412&lt;=P$2), 'ProductSprint Backlog'!$F412 / MAX(1, 'ProductSprint Backlog'!$J412-'ProductSprint Backlog'!$I412), AND('ProductSprint Backlog'!$J412=P$2,'ProductSprint Backlog'!$I412=P$2), 'ProductSprint Backlog'!$F412, TRUE, 0)</f>
        <v/>
      </c>
      <c r="Q412" s="4" t="str" cm="1">
        <f t="array" ref="Q412">_xlfn.IFS('ProductSprint Backlog'!$F412="", "", AND('ProductSprint Backlog'!$J412&gt;Q$2,'ProductSprint Backlog'!$I412&lt;=Q$2), 'ProductSprint Backlog'!$F412 / MAX(1, 'ProductSprint Backlog'!$J412-'ProductSprint Backlog'!$I412), AND('ProductSprint Backlog'!$J412=Q$2,'ProductSprint Backlog'!$I412=Q$2), 'ProductSprint Backlog'!$F412, TRUE, 0)</f>
        <v/>
      </c>
    </row>
    <row r="413" spans="2:17" x14ac:dyDescent="0.2">
      <c r="B413" s="4" t="str" cm="1">
        <f t="array" ref="B413">_xlfn.IFS('ProductSprint Backlog'!$F413="", "", AND('ProductSprint Backlog'!$J413&gt;B$2,'ProductSprint Backlog'!$I413&lt;=B$2), 'ProductSprint Backlog'!$F413 / MAX(1, 'ProductSprint Backlog'!$J413-'ProductSprint Backlog'!$I413), AND('ProductSprint Backlog'!$J413=B$2,'ProductSprint Backlog'!$I413=B$2), 'ProductSprint Backlog'!$F413, TRUE, 0)</f>
        <v/>
      </c>
      <c r="C413" s="4" t="str" cm="1">
        <f t="array" ref="C413">_xlfn.IFS('ProductSprint Backlog'!$F413="", "", AND('ProductSprint Backlog'!$J413&gt;C$2,'ProductSprint Backlog'!$I413&lt;=C$2), 'ProductSprint Backlog'!$F413 / MAX(1, 'ProductSprint Backlog'!$J413-'ProductSprint Backlog'!$I413), AND('ProductSprint Backlog'!$J413=C$2,'ProductSprint Backlog'!$I413=C$2), 'ProductSprint Backlog'!$F413, TRUE, 0)</f>
        <v/>
      </c>
      <c r="D413" s="4" t="str" cm="1">
        <f t="array" ref="D413">_xlfn.IFS('ProductSprint Backlog'!$F413="", "", AND('ProductSprint Backlog'!$J413&gt;D$2,'ProductSprint Backlog'!$I413&lt;=D$2), 'ProductSprint Backlog'!$F413 / MAX(1, 'ProductSprint Backlog'!$J413-'ProductSprint Backlog'!$I413), AND('ProductSprint Backlog'!$J413=D$2,'ProductSprint Backlog'!$I413=D$2), 'ProductSprint Backlog'!$F413, TRUE, 0)</f>
        <v/>
      </c>
      <c r="E413" s="4" t="str" cm="1">
        <f t="array" ref="E413">_xlfn.IFS('ProductSprint Backlog'!$F413="", "", AND('ProductSprint Backlog'!$J413&gt;E$2,'ProductSprint Backlog'!$I413&lt;=E$2), 'ProductSprint Backlog'!$F413 / MAX(1, 'ProductSprint Backlog'!$J413-'ProductSprint Backlog'!$I413), AND('ProductSprint Backlog'!$J413=E$2,'ProductSprint Backlog'!$I413=E$2), 'ProductSprint Backlog'!$F413, TRUE, 0)</f>
        <v/>
      </c>
      <c r="F413" s="4" t="str" cm="1">
        <f t="array" ref="F413">_xlfn.IFS('ProductSprint Backlog'!$F413="", "", AND('ProductSprint Backlog'!$J413&gt;F$2,'ProductSprint Backlog'!$I413&lt;=F$2), 'ProductSprint Backlog'!$F413 / MAX(1, 'ProductSprint Backlog'!$J413-'ProductSprint Backlog'!$I413), AND('ProductSprint Backlog'!$J413=F$2,'ProductSprint Backlog'!$I413=F$2), 'ProductSprint Backlog'!$F413, TRUE, 0)</f>
        <v/>
      </c>
      <c r="G413" s="4" t="str" cm="1">
        <f t="array" ref="G413">_xlfn.IFS('ProductSprint Backlog'!$F413="", "", AND('ProductSprint Backlog'!$J413&gt;G$2,'ProductSprint Backlog'!$I413&lt;=G$2), 'ProductSprint Backlog'!$F413 / MAX(1, 'ProductSprint Backlog'!$J413-'ProductSprint Backlog'!$I413), AND('ProductSprint Backlog'!$J413=G$2,'ProductSprint Backlog'!$I413=G$2), 'ProductSprint Backlog'!$F413, TRUE, 0)</f>
        <v/>
      </c>
      <c r="H413" s="4" t="str" cm="1">
        <f t="array" ref="H413">_xlfn.IFS('ProductSprint Backlog'!$F413="", "", AND('ProductSprint Backlog'!$J413&gt;H$2,'ProductSprint Backlog'!$I413&lt;=H$2), 'ProductSprint Backlog'!$F413 / MAX(1, 'ProductSprint Backlog'!$J413-'ProductSprint Backlog'!$I413), AND('ProductSprint Backlog'!$J413=H$2,'ProductSprint Backlog'!$I413=H$2), 'ProductSprint Backlog'!$F413, TRUE, 0)</f>
        <v/>
      </c>
      <c r="I413" s="4" t="str" cm="1">
        <f t="array" ref="I413">_xlfn.IFS('ProductSprint Backlog'!$F413="", "", AND('ProductSprint Backlog'!$J413&gt;I$2,'ProductSprint Backlog'!$I413&lt;=I$2), 'ProductSprint Backlog'!$F413 / MAX(1, 'ProductSprint Backlog'!$J413-'ProductSprint Backlog'!$I413), AND('ProductSprint Backlog'!$J413=I$2,'ProductSprint Backlog'!$I413=I$2), 'ProductSprint Backlog'!$F413, TRUE, 0)</f>
        <v/>
      </c>
      <c r="J413" s="4" t="str" cm="1">
        <f t="array" ref="J413">_xlfn.IFS('ProductSprint Backlog'!$F413="", "", AND('ProductSprint Backlog'!$J413&gt;J$2,'ProductSprint Backlog'!$I413&lt;=J$2), 'ProductSprint Backlog'!$F413 / MAX(1, 'ProductSprint Backlog'!$J413-'ProductSprint Backlog'!$I413), AND('ProductSprint Backlog'!$J413=J$2,'ProductSprint Backlog'!$I413=J$2), 'ProductSprint Backlog'!$F413, TRUE, 0)</f>
        <v/>
      </c>
      <c r="K413" s="4" t="str" cm="1">
        <f t="array" ref="K413">_xlfn.IFS('ProductSprint Backlog'!$F413="", "", AND('ProductSprint Backlog'!$J413&gt;K$2,'ProductSprint Backlog'!$I413&lt;=K$2), 'ProductSprint Backlog'!$F413 / MAX(1, 'ProductSprint Backlog'!$J413-'ProductSprint Backlog'!$I413), AND('ProductSprint Backlog'!$J413=K$2,'ProductSprint Backlog'!$I413=K$2), 'ProductSprint Backlog'!$F413, TRUE, 0)</f>
        <v/>
      </c>
      <c r="L413" s="4" t="str" cm="1">
        <f t="array" ref="L413">_xlfn.IFS('ProductSprint Backlog'!$F413="", "", AND('ProductSprint Backlog'!$J413&gt;L$2,'ProductSprint Backlog'!$I413&lt;=L$2), 'ProductSprint Backlog'!$F413 / MAX(1, 'ProductSprint Backlog'!$J413-'ProductSprint Backlog'!$I413), AND('ProductSprint Backlog'!$J413=L$2,'ProductSprint Backlog'!$I413=L$2), 'ProductSprint Backlog'!$F413, TRUE, 0)</f>
        <v/>
      </c>
      <c r="M413" s="4" t="str" cm="1">
        <f t="array" ref="M413">_xlfn.IFS('ProductSprint Backlog'!$F413="", "", AND('ProductSprint Backlog'!$J413&gt;M$2,'ProductSprint Backlog'!$I413&lt;=M$2), 'ProductSprint Backlog'!$F413 / MAX(1, 'ProductSprint Backlog'!$J413-'ProductSprint Backlog'!$I413), AND('ProductSprint Backlog'!$J413=M$2,'ProductSprint Backlog'!$I413=M$2), 'ProductSprint Backlog'!$F413, TRUE, 0)</f>
        <v/>
      </c>
      <c r="N413" s="4" t="str" cm="1">
        <f t="array" ref="N413">_xlfn.IFS('ProductSprint Backlog'!$F413="", "", AND('ProductSprint Backlog'!$J413&gt;N$2,'ProductSprint Backlog'!$I413&lt;=N$2), 'ProductSprint Backlog'!$F413 / MAX(1, 'ProductSprint Backlog'!$J413-'ProductSprint Backlog'!$I413), AND('ProductSprint Backlog'!$J413=N$2,'ProductSprint Backlog'!$I413=N$2), 'ProductSprint Backlog'!$F413, TRUE, 0)</f>
        <v/>
      </c>
      <c r="O413" s="4" t="str" cm="1">
        <f t="array" ref="O413">_xlfn.IFS('ProductSprint Backlog'!$F413="", "", AND('ProductSprint Backlog'!$J413&gt;O$2,'ProductSprint Backlog'!$I413&lt;=O$2), 'ProductSprint Backlog'!$F413 / MAX(1, 'ProductSprint Backlog'!$J413-'ProductSprint Backlog'!$I413), AND('ProductSprint Backlog'!$J413=O$2,'ProductSprint Backlog'!$I413=O$2), 'ProductSprint Backlog'!$F413, TRUE, 0)</f>
        <v/>
      </c>
      <c r="P413" s="4" t="str" cm="1">
        <f t="array" ref="P413">_xlfn.IFS('ProductSprint Backlog'!$F413="", "", AND('ProductSprint Backlog'!$J413&gt;P$2,'ProductSprint Backlog'!$I413&lt;=P$2), 'ProductSprint Backlog'!$F413 / MAX(1, 'ProductSprint Backlog'!$J413-'ProductSprint Backlog'!$I413), AND('ProductSprint Backlog'!$J413=P$2,'ProductSprint Backlog'!$I413=P$2), 'ProductSprint Backlog'!$F413, TRUE, 0)</f>
        <v/>
      </c>
      <c r="Q413" s="4" t="str" cm="1">
        <f t="array" ref="Q413">_xlfn.IFS('ProductSprint Backlog'!$F413="", "", AND('ProductSprint Backlog'!$J413&gt;Q$2,'ProductSprint Backlog'!$I413&lt;=Q$2), 'ProductSprint Backlog'!$F413 / MAX(1, 'ProductSprint Backlog'!$J413-'ProductSprint Backlog'!$I413), AND('ProductSprint Backlog'!$J413=Q$2,'ProductSprint Backlog'!$I413=Q$2), 'ProductSprint Backlog'!$F413, TRUE, 0)</f>
        <v/>
      </c>
    </row>
    <row r="414" spans="2:17" x14ac:dyDescent="0.2">
      <c r="B414" s="4" t="str" cm="1">
        <f t="array" ref="B414">_xlfn.IFS('ProductSprint Backlog'!$F414="", "", AND('ProductSprint Backlog'!$J414&gt;B$2,'ProductSprint Backlog'!$I414&lt;=B$2), 'ProductSprint Backlog'!$F414 / MAX(1, 'ProductSprint Backlog'!$J414-'ProductSprint Backlog'!$I414), AND('ProductSprint Backlog'!$J414=B$2,'ProductSprint Backlog'!$I414=B$2), 'ProductSprint Backlog'!$F414, TRUE, 0)</f>
        <v/>
      </c>
      <c r="C414" s="4" t="str" cm="1">
        <f t="array" ref="C414">_xlfn.IFS('ProductSprint Backlog'!$F414="", "", AND('ProductSprint Backlog'!$J414&gt;C$2,'ProductSprint Backlog'!$I414&lt;=C$2), 'ProductSprint Backlog'!$F414 / MAX(1, 'ProductSprint Backlog'!$J414-'ProductSprint Backlog'!$I414), AND('ProductSprint Backlog'!$J414=C$2,'ProductSprint Backlog'!$I414=C$2), 'ProductSprint Backlog'!$F414, TRUE, 0)</f>
        <v/>
      </c>
      <c r="D414" s="4" t="str" cm="1">
        <f t="array" ref="D414">_xlfn.IFS('ProductSprint Backlog'!$F414="", "", AND('ProductSprint Backlog'!$J414&gt;D$2,'ProductSprint Backlog'!$I414&lt;=D$2), 'ProductSprint Backlog'!$F414 / MAX(1, 'ProductSprint Backlog'!$J414-'ProductSprint Backlog'!$I414), AND('ProductSprint Backlog'!$J414=D$2,'ProductSprint Backlog'!$I414=D$2), 'ProductSprint Backlog'!$F414, TRUE, 0)</f>
        <v/>
      </c>
      <c r="E414" s="4" t="str" cm="1">
        <f t="array" ref="E414">_xlfn.IFS('ProductSprint Backlog'!$F414="", "", AND('ProductSprint Backlog'!$J414&gt;E$2,'ProductSprint Backlog'!$I414&lt;=E$2), 'ProductSprint Backlog'!$F414 / MAX(1, 'ProductSprint Backlog'!$J414-'ProductSprint Backlog'!$I414), AND('ProductSprint Backlog'!$J414=E$2,'ProductSprint Backlog'!$I414=E$2), 'ProductSprint Backlog'!$F414, TRUE, 0)</f>
        <v/>
      </c>
      <c r="F414" s="4" t="str" cm="1">
        <f t="array" ref="F414">_xlfn.IFS('ProductSprint Backlog'!$F414="", "", AND('ProductSprint Backlog'!$J414&gt;F$2,'ProductSprint Backlog'!$I414&lt;=F$2), 'ProductSprint Backlog'!$F414 / MAX(1, 'ProductSprint Backlog'!$J414-'ProductSprint Backlog'!$I414), AND('ProductSprint Backlog'!$J414=F$2,'ProductSprint Backlog'!$I414=F$2), 'ProductSprint Backlog'!$F414, TRUE, 0)</f>
        <v/>
      </c>
      <c r="G414" s="4" t="str" cm="1">
        <f t="array" ref="G414">_xlfn.IFS('ProductSprint Backlog'!$F414="", "", AND('ProductSprint Backlog'!$J414&gt;G$2,'ProductSprint Backlog'!$I414&lt;=G$2), 'ProductSprint Backlog'!$F414 / MAX(1, 'ProductSprint Backlog'!$J414-'ProductSprint Backlog'!$I414), AND('ProductSprint Backlog'!$J414=G$2,'ProductSprint Backlog'!$I414=G$2), 'ProductSprint Backlog'!$F414, TRUE, 0)</f>
        <v/>
      </c>
      <c r="H414" s="4" t="str" cm="1">
        <f t="array" ref="H414">_xlfn.IFS('ProductSprint Backlog'!$F414="", "", AND('ProductSprint Backlog'!$J414&gt;H$2,'ProductSprint Backlog'!$I414&lt;=H$2), 'ProductSprint Backlog'!$F414 / MAX(1, 'ProductSprint Backlog'!$J414-'ProductSprint Backlog'!$I414), AND('ProductSprint Backlog'!$J414=H$2,'ProductSprint Backlog'!$I414=H$2), 'ProductSprint Backlog'!$F414, TRUE, 0)</f>
        <v/>
      </c>
      <c r="I414" s="4" t="str" cm="1">
        <f t="array" ref="I414">_xlfn.IFS('ProductSprint Backlog'!$F414="", "", AND('ProductSprint Backlog'!$J414&gt;I$2,'ProductSprint Backlog'!$I414&lt;=I$2), 'ProductSprint Backlog'!$F414 / MAX(1, 'ProductSprint Backlog'!$J414-'ProductSprint Backlog'!$I414), AND('ProductSprint Backlog'!$J414=I$2,'ProductSprint Backlog'!$I414=I$2), 'ProductSprint Backlog'!$F414, TRUE, 0)</f>
        <v/>
      </c>
      <c r="J414" s="4" t="str" cm="1">
        <f t="array" ref="J414">_xlfn.IFS('ProductSprint Backlog'!$F414="", "", AND('ProductSprint Backlog'!$J414&gt;J$2,'ProductSprint Backlog'!$I414&lt;=J$2), 'ProductSprint Backlog'!$F414 / MAX(1, 'ProductSprint Backlog'!$J414-'ProductSprint Backlog'!$I414), AND('ProductSprint Backlog'!$J414=J$2,'ProductSprint Backlog'!$I414=J$2), 'ProductSprint Backlog'!$F414, TRUE, 0)</f>
        <v/>
      </c>
      <c r="K414" s="4" t="str" cm="1">
        <f t="array" ref="K414">_xlfn.IFS('ProductSprint Backlog'!$F414="", "", AND('ProductSprint Backlog'!$J414&gt;K$2,'ProductSprint Backlog'!$I414&lt;=K$2), 'ProductSprint Backlog'!$F414 / MAX(1, 'ProductSprint Backlog'!$J414-'ProductSprint Backlog'!$I414), AND('ProductSprint Backlog'!$J414=K$2,'ProductSprint Backlog'!$I414=K$2), 'ProductSprint Backlog'!$F414, TRUE, 0)</f>
        <v/>
      </c>
      <c r="L414" s="4" t="str" cm="1">
        <f t="array" ref="L414">_xlfn.IFS('ProductSprint Backlog'!$F414="", "", AND('ProductSprint Backlog'!$J414&gt;L$2,'ProductSprint Backlog'!$I414&lt;=L$2), 'ProductSprint Backlog'!$F414 / MAX(1, 'ProductSprint Backlog'!$J414-'ProductSprint Backlog'!$I414), AND('ProductSprint Backlog'!$J414=L$2,'ProductSprint Backlog'!$I414=L$2), 'ProductSprint Backlog'!$F414, TRUE, 0)</f>
        <v/>
      </c>
      <c r="M414" s="4" t="str" cm="1">
        <f t="array" ref="M414">_xlfn.IFS('ProductSprint Backlog'!$F414="", "", AND('ProductSprint Backlog'!$J414&gt;M$2,'ProductSprint Backlog'!$I414&lt;=M$2), 'ProductSprint Backlog'!$F414 / MAX(1, 'ProductSprint Backlog'!$J414-'ProductSprint Backlog'!$I414), AND('ProductSprint Backlog'!$J414=M$2,'ProductSprint Backlog'!$I414=M$2), 'ProductSprint Backlog'!$F414, TRUE, 0)</f>
        <v/>
      </c>
      <c r="N414" s="4" t="str" cm="1">
        <f t="array" ref="N414">_xlfn.IFS('ProductSprint Backlog'!$F414="", "", AND('ProductSprint Backlog'!$J414&gt;N$2,'ProductSprint Backlog'!$I414&lt;=N$2), 'ProductSprint Backlog'!$F414 / MAX(1, 'ProductSprint Backlog'!$J414-'ProductSprint Backlog'!$I414), AND('ProductSprint Backlog'!$J414=N$2,'ProductSprint Backlog'!$I414=N$2), 'ProductSprint Backlog'!$F414, TRUE, 0)</f>
        <v/>
      </c>
      <c r="O414" s="4" t="str" cm="1">
        <f t="array" ref="O414">_xlfn.IFS('ProductSprint Backlog'!$F414="", "", AND('ProductSprint Backlog'!$J414&gt;O$2,'ProductSprint Backlog'!$I414&lt;=O$2), 'ProductSprint Backlog'!$F414 / MAX(1, 'ProductSprint Backlog'!$J414-'ProductSprint Backlog'!$I414), AND('ProductSprint Backlog'!$J414=O$2,'ProductSprint Backlog'!$I414=O$2), 'ProductSprint Backlog'!$F414, TRUE, 0)</f>
        <v/>
      </c>
      <c r="P414" s="4" t="str" cm="1">
        <f t="array" ref="P414">_xlfn.IFS('ProductSprint Backlog'!$F414="", "", AND('ProductSprint Backlog'!$J414&gt;P$2,'ProductSprint Backlog'!$I414&lt;=P$2), 'ProductSprint Backlog'!$F414 / MAX(1, 'ProductSprint Backlog'!$J414-'ProductSprint Backlog'!$I414), AND('ProductSprint Backlog'!$J414=P$2,'ProductSprint Backlog'!$I414=P$2), 'ProductSprint Backlog'!$F414, TRUE, 0)</f>
        <v/>
      </c>
      <c r="Q414" s="4" t="str" cm="1">
        <f t="array" ref="Q414">_xlfn.IFS('ProductSprint Backlog'!$F414="", "", AND('ProductSprint Backlog'!$J414&gt;Q$2,'ProductSprint Backlog'!$I414&lt;=Q$2), 'ProductSprint Backlog'!$F414 / MAX(1, 'ProductSprint Backlog'!$J414-'ProductSprint Backlog'!$I414), AND('ProductSprint Backlog'!$J414=Q$2,'ProductSprint Backlog'!$I414=Q$2), 'ProductSprint Backlog'!$F414, TRUE, 0)</f>
        <v/>
      </c>
    </row>
    <row r="415" spans="2:17" x14ac:dyDescent="0.2">
      <c r="B415" s="4" t="str" cm="1">
        <f t="array" ref="B415">_xlfn.IFS('ProductSprint Backlog'!$F415="", "", AND('ProductSprint Backlog'!$J415&gt;B$2,'ProductSprint Backlog'!$I415&lt;=B$2), 'ProductSprint Backlog'!$F415 / MAX(1, 'ProductSprint Backlog'!$J415-'ProductSprint Backlog'!$I415), AND('ProductSprint Backlog'!$J415=B$2,'ProductSprint Backlog'!$I415=B$2), 'ProductSprint Backlog'!$F415, TRUE, 0)</f>
        <v/>
      </c>
      <c r="C415" s="4" t="str" cm="1">
        <f t="array" ref="C415">_xlfn.IFS('ProductSprint Backlog'!$F415="", "", AND('ProductSprint Backlog'!$J415&gt;C$2,'ProductSprint Backlog'!$I415&lt;=C$2), 'ProductSprint Backlog'!$F415 / MAX(1, 'ProductSprint Backlog'!$J415-'ProductSprint Backlog'!$I415), AND('ProductSprint Backlog'!$J415=C$2,'ProductSprint Backlog'!$I415=C$2), 'ProductSprint Backlog'!$F415, TRUE, 0)</f>
        <v/>
      </c>
      <c r="D415" s="4" t="str" cm="1">
        <f t="array" ref="D415">_xlfn.IFS('ProductSprint Backlog'!$F415="", "", AND('ProductSprint Backlog'!$J415&gt;D$2,'ProductSprint Backlog'!$I415&lt;=D$2), 'ProductSprint Backlog'!$F415 / MAX(1, 'ProductSprint Backlog'!$J415-'ProductSprint Backlog'!$I415), AND('ProductSprint Backlog'!$J415=D$2,'ProductSprint Backlog'!$I415=D$2), 'ProductSprint Backlog'!$F415, TRUE, 0)</f>
        <v/>
      </c>
      <c r="E415" s="4" t="str" cm="1">
        <f t="array" ref="E415">_xlfn.IFS('ProductSprint Backlog'!$F415="", "", AND('ProductSprint Backlog'!$J415&gt;E$2,'ProductSprint Backlog'!$I415&lt;=E$2), 'ProductSprint Backlog'!$F415 / MAX(1, 'ProductSprint Backlog'!$J415-'ProductSprint Backlog'!$I415), AND('ProductSprint Backlog'!$J415=E$2,'ProductSprint Backlog'!$I415=E$2), 'ProductSprint Backlog'!$F415, TRUE, 0)</f>
        <v/>
      </c>
      <c r="F415" s="4" t="str" cm="1">
        <f t="array" ref="F415">_xlfn.IFS('ProductSprint Backlog'!$F415="", "", AND('ProductSprint Backlog'!$J415&gt;F$2,'ProductSprint Backlog'!$I415&lt;=F$2), 'ProductSprint Backlog'!$F415 / MAX(1, 'ProductSprint Backlog'!$J415-'ProductSprint Backlog'!$I415), AND('ProductSprint Backlog'!$J415=F$2,'ProductSprint Backlog'!$I415=F$2), 'ProductSprint Backlog'!$F415, TRUE, 0)</f>
        <v/>
      </c>
      <c r="G415" s="4" t="str" cm="1">
        <f t="array" ref="G415">_xlfn.IFS('ProductSprint Backlog'!$F415="", "", AND('ProductSprint Backlog'!$J415&gt;G$2,'ProductSprint Backlog'!$I415&lt;=G$2), 'ProductSprint Backlog'!$F415 / MAX(1, 'ProductSprint Backlog'!$J415-'ProductSprint Backlog'!$I415), AND('ProductSprint Backlog'!$J415=G$2,'ProductSprint Backlog'!$I415=G$2), 'ProductSprint Backlog'!$F415, TRUE, 0)</f>
        <v/>
      </c>
      <c r="H415" s="4" t="str" cm="1">
        <f t="array" ref="H415">_xlfn.IFS('ProductSprint Backlog'!$F415="", "", AND('ProductSprint Backlog'!$J415&gt;H$2,'ProductSprint Backlog'!$I415&lt;=H$2), 'ProductSprint Backlog'!$F415 / MAX(1, 'ProductSprint Backlog'!$J415-'ProductSprint Backlog'!$I415), AND('ProductSprint Backlog'!$J415=H$2,'ProductSprint Backlog'!$I415=H$2), 'ProductSprint Backlog'!$F415, TRUE, 0)</f>
        <v/>
      </c>
      <c r="I415" s="4" t="str" cm="1">
        <f t="array" ref="I415">_xlfn.IFS('ProductSprint Backlog'!$F415="", "", AND('ProductSprint Backlog'!$J415&gt;I$2,'ProductSprint Backlog'!$I415&lt;=I$2), 'ProductSprint Backlog'!$F415 / MAX(1, 'ProductSprint Backlog'!$J415-'ProductSprint Backlog'!$I415), AND('ProductSprint Backlog'!$J415=I$2,'ProductSprint Backlog'!$I415=I$2), 'ProductSprint Backlog'!$F415, TRUE, 0)</f>
        <v/>
      </c>
      <c r="J415" s="4" t="str" cm="1">
        <f t="array" ref="J415">_xlfn.IFS('ProductSprint Backlog'!$F415="", "", AND('ProductSprint Backlog'!$J415&gt;J$2,'ProductSprint Backlog'!$I415&lt;=J$2), 'ProductSprint Backlog'!$F415 / MAX(1, 'ProductSprint Backlog'!$J415-'ProductSprint Backlog'!$I415), AND('ProductSprint Backlog'!$J415=J$2,'ProductSprint Backlog'!$I415=J$2), 'ProductSprint Backlog'!$F415, TRUE, 0)</f>
        <v/>
      </c>
      <c r="K415" s="4" t="str" cm="1">
        <f t="array" ref="K415">_xlfn.IFS('ProductSprint Backlog'!$F415="", "", AND('ProductSprint Backlog'!$J415&gt;K$2,'ProductSprint Backlog'!$I415&lt;=K$2), 'ProductSprint Backlog'!$F415 / MAX(1, 'ProductSprint Backlog'!$J415-'ProductSprint Backlog'!$I415), AND('ProductSprint Backlog'!$J415=K$2,'ProductSprint Backlog'!$I415=K$2), 'ProductSprint Backlog'!$F415, TRUE, 0)</f>
        <v/>
      </c>
      <c r="L415" s="4" t="str" cm="1">
        <f t="array" ref="L415">_xlfn.IFS('ProductSprint Backlog'!$F415="", "", AND('ProductSprint Backlog'!$J415&gt;L$2,'ProductSprint Backlog'!$I415&lt;=L$2), 'ProductSprint Backlog'!$F415 / MAX(1, 'ProductSprint Backlog'!$J415-'ProductSprint Backlog'!$I415), AND('ProductSprint Backlog'!$J415=L$2,'ProductSprint Backlog'!$I415=L$2), 'ProductSprint Backlog'!$F415, TRUE, 0)</f>
        <v/>
      </c>
      <c r="M415" s="4" t="str" cm="1">
        <f t="array" ref="M415">_xlfn.IFS('ProductSprint Backlog'!$F415="", "", AND('ProductSprint Backlog'!$J415&gt;M$2,'ProductSprint Backlog'!$I415&lt;=M$2), 'ProductSprint Backlog'!$F415 / MAX(1, 'ProductSprint Backlog'!$J415-'ProductSprint Backlog'!$I415), AND('ProductSprint Backlog'!$J415=M$2,'ProductSprint Backlog'!$I415=M$2), 'ProductSprint Backlog'!$F415, TRUE, 0)</f>
        <v/>
      </c>
      <c r="N415" s="4" t="str" cm="1">
        <f t="array" ref="N415">_xlfn.IFS('ProductSprint Backlog'!$F415="", "", AND('ProductSprint Backlog'!$J415&gt;N$2,'ProductSprint Backlog'!$I415&lt;=N$2), 'ProductSprint Backlog'!$F415 / MAX(1, 'ProductSprint Backlog'!$J415-'ProductSprint Backlog'!$I415), AND('ProductSprint Backlog'!$J415=N$2,'ProductSprint Backlog'!$I415=N$2), 'ProductSprint Backlog'!$F415, TRUE, 0)</f>
        <v/>
      </c>
      <c r="O415" s="4" t="str" cm="1">
        <f t="array" ref="O415">_xlfn.IFS('ProductSprint Backlog'!$F415="", "", AND('ProductSprint Backlog'!$J415&gt;O$2,'ProductSprint Backlog'!$I415&lt;=O$2), 'ProductSprint Backlog'!$F415 / MAX(1, 'ProductSprint Backlog'!$J415-'ProductSprint Backlog'!$I415), AND('ProductSprint Backlog'!$J415=O$2,'ProductSprint Backlog'!$I415=O$2), 'ProductSprint Backlog'!$F415, TRUE, 0)</f>
        <v/>
      </c>
      <c r="P415" s="4" t="str" cm="1">
        <f t="array" ref="P415">_xlfn.IFS('ProductSprint Backlog'!$F415="", "", AND('ProductSprint Backlog'!$J415&gt;P$2,'ProductSprint Backlog'!$I415&lt;=P$2), 'ProductSprint Backlog'!$F415 / MAX(1, 'ProductSprint Backlog'!$J415-'ProductSprint Backlog'!$I415), AND('ProductSprint Backlog'!$J415=P$2,'ProductSprint Backlog'!$I415=P$2), 'ProductSprint Backlog'!$F415, TRUE, 0)</f>
        <v/>
      </c>
      <c r="Q415" s="4" t="str" cm="1">
        <f t="array" ref="Q415">_xlfn.IFS('ProductSprint Backlog'!$F415="", "", AND('ProductSprint Backlog'!$J415&gt;Q$2,'ProductSprint Backlog'!$I415&lt;=Q$2), 'ProductSprint Backlog'!$F415 / MAX(1, 'ProductSprint Backlog'!$J415-'ProductSprint Backlog'!$I415), AND('ProductSprint Backlog'!$J415=Q$2,'ProductSprint Backlog'!$I415=Q$2), 'ProductSprint Backlog'!$F415, TRUE, 0)</f>
        <v/>
      </c>
    </row>
    <row r="416" spans="2:17" x14ac:dyDescent="0.2">
      <c r="B416" s="4" t="str" cm="1">
        <f t="array" ref="B416">_xlfn.IFS('ProductSprint Backlog'!$F416="", "", AND('ProductSprint Backlog'!$J416&gt;B$2,'ProductSprint Backlog'!$I416&lt;=B$2), 'ProductSprint Backlog'!$F416 / MAX(1, 'ProductSprint Backlog'!$J416-'ProductSprint Backlog'!$I416), AND('ProductSprint Backlog'!$J416=B$2,'ProductSprint Backlog'!$I416=B$2), 'ProductSprint Backlog'!$F416, TRUE, 0)</f>
        <v/>
      </c>
      <c r="C416" s="4" t="str" cm="1">
        <f t="array" ref="C416">_xlfn.IFS('ProductSprint Backlog'!$F416="", "", AND('ProductSprint Backlog'!$J416&gt;C$2,'ProductSprint Backlog'!$I416&lt;=C$2), 'ProductSprint Backlog'!$F416 / MAX(1, 'ProductSprint Backlog'!$J416-'ProductSprint Backlog'!$I416), AND('ProductSprint Backlog'!$J416=C$2,'ProductSprint Backlog'!$I416=C$2), 'ProductSprint Backlog'!$F416, TRUE, 0)</f>
        <v/>
      </c>
      <c r="D416" s="4" t="str" cm="1">
        <f t="array" ref="D416">_xlfn.IFS('ProductSprint Backlog'!$F416="", "", AND('ProductSprint Backlog'!$J416&gt;D$2,'ProductSprint Backlog'!$I416&lt;=D$2), 'ProductSprint Backlog'!$F416 / MAX(1, 'ProductSprint Backlog'!$J416-'ProductSprint Backlog'!$I416), AND('ProductSprint Backlog'!$J416=D$2,'ProductSprint Backlog'!$I416=D$2), 'ProductSprint Backlog'!$F416, TRUE, 0)</f>
        <v/>
      </c>
      <c r="E416" s="4" t="str" cm="1">
        <f t="array" ref="E416">_xlfn.IFS('ProductSprint Backlog'!$F416="", "", AND('ProductSprint Backlog'!$J416&gt;E$2,'ProductSprint Backlog'!$I416&lt;=E$2), 'ProductSprint Backlog'!$F416 / MAX(1, 'ProductSprint Backlog'!$J416-'ProductSprint Backlog'!$I416), AND('ProductSprint Backlog'!$J416=E$2,'ProductSprint Backlog'!$I416=E$2), 'ProductSprint Backlog'!$F416, TRUE, 0)</f>
        <v/>
      </c>
      <c r="F416" s="4" t="str" cm="1">
        <f t="array" ref="F416">_xlfn.IFS('ProductSprint Backlog'!$F416="", "", AND('ProductSprint Backlog'!$J416&gt;F$2,'ProductSprint Backlog'!$I416&lt;=F$2), 'ProductSprint Backlog'!$F416 / MAX(1, 'ProductSprint Backlog'!$J416-'ProductSprint Backlog'!$I416), AND('ProductSprint Backlog'!$J416=F$2,'ProductSprint Backlog'!$I416=F$2), 'ProductSprint Backlog'!$F416, TRUE, 0)</f>
        <v/>
      </c>
      <c r="G416" s="4" t="str" cm="1">
        <f t="array" ref="G416">_xlfn.IFS('ProductSprint Backlog'!$F416="", "", AND('ProductSprint Backlog'!$J416&gt;G$2,'ProductSprint Backlog'!$I416&lt;=G$2), 'ProductSprint Backlog'!$F416 / MAX(1, 'ProductSprint Backlog'!$J416-'ProductSprint Backlog'!$I416), AND('ProductSprint Backlog'!$J416=G$2,'ProductSprint Backlog'!$I416=G$2), 'ProductSprint Backlog'!$F416, TRUE, 0)</f>
        <v/>
      </c>
      <c r="H416" s="4" t="str" cm="1">
        <f t="array" ref="H416">_xlfn.IFS('ProductSprint Backlog'!$F416="", "", AND('ProductSprint Backlog'!$J416&gt;H$2,'ProductSprint Backlog'!$I416&lt;=H$2), 'ProductSprint Backlog'!$F416 / MAX(1, 'ProductSprint Backlog'!$J416-'ProductSprint Backlog'!$I416), AND('ProductSprint Backlog'!$J416=H$2,'ProductSprint Backlog'!$I416=H$2), 'ProductSprint Backlog'!$F416, TRUE, 0)</f>
        <v/>
      </c>
      <c r="I416" s="4" t="str" cm="1">
        <f t="array" ref="I416">_xlfn.IFS('ProductSprint Backlog'!$F416="", "", AND('ProductSprint Backlog'!$J416&gt;I$2,'ProductSprint Backlog'!$I416&lt;=I$2), 'ProductSprint Backlog'!$F416 / MAX(1, 'ProductSprint Backlog'!$J416-'ProductSprint Backlog'!$I416), AND('ProductSprint Backlog'!$J416=I$2,'ProductSprint Backlog'!$I416=I$2), 'ProductSprint Backlog'!$F416, TRUE, 0)</f>
        <v/>
      </c>
      <c r="J416" s="4" t="str" cm="1">
        <f t="array" ref="J416">_xlfn.IFS('ProductSprint Backlog'!$F416="", "", AND('ProductSprint Backlog'!$J416&gt;J$2,'ProductSprint Backlog'!$I416&lt;=J$2), 'ProductSprint Backlog'!$F416 / MAX(1, 'ProductSprint Backlog'!$J416-'ProductSprint Backlog'!$I416), AND('ProductSprint Backlog'!$J416=J$2,'ProductSprint Backlog'!$I416=J$2), 'ProductSprint Backlog'!$F416, TRUE, 0)</f>
        <v/>
      </c>
      <c r="K416" s="4" t="str" cm="1">
        <f t="array" ref="K416">_xlfn.IFS('ProductSprint Backlog'!$F416="", "", AND('ProductSprint Backlog'!$J416&gt;K$2,'ProductSprint Backlog'!$I416&lt;=K$2), 'ProductSprint Backlog'!$F416 / MAX(1, 'ProductSprint Backlog'!$J416-'ProductSprint Backlog'!$I416), AND('ProductSprint Backlog'!$J416=K$2,'ProductSprint Backlog'!$I416=K$2), 'ProductSprint Backlog'!$F416, TRUE, 0)</f>
        <v/>
      </c>
      <c r="L416" s="4" t="str" cm="1">
        <f t="array" ref="L416">_xlfn.IFS('ProductSprint Backlog'!$F416="", "", AND('ProductSprint Backlog'!$J416&gt;L$2,'ProductSprint Backlog'!$I416&lt;=L$2), 'ProductSprint Backlog'!$F416 / MAX(1, 'ProductSprint Backlog'!$J416-'ProductSprint Backlog'!$I416), AND('ProductSprint Backlog'!$J416=L$2,'ProductSprint Backlog'!$I416=L$2), 'ProductSprint Backlog'!$F416, TRUE, 0)</f>
        <v/>
      </c>
      <c r="M416" s="4" t="str" cm="1">
        <f t="array" ref="M416">_xlfn.IFS('ProductSprint Backlog'!$F416="", "", AND('ProductSprint Backlog'!$J416&gt;M$2,'ProductSprint Backlog'!$I416&lt;=M$2), 'ProductSprint Backlog'!$F416 / MAX(1, 'ProductSprint Backlog'!$J416-'ProductSprint Backlog'!$I416), AND('ProductSprint Backlog'!$J416=M$2,'ProductSprint Backlog'!$I416=M$2), 'ProductSprint Backlog'!$F416, TRUE, 0)</f>
        <v/>
      </c>
      <c r="N416" s="4" t="str" cm="1">
        <f t="array" ref="N416">_xlfn.IFS('ProductSprint Backlog'!$F416="", "", AND('ProductSprint Backlog'!$J416&gt;N$2,'ProductSprint Backlog'!$I416&lt;=N$2), 'ProductSprint Backlog'!$F416 / MAX(1, 'ProductSprint Backlog'!$J416-'ProductSprint Backlog'!$I416), AND('ProductSprint Backlog'!$J416=N$2,'ProductSprint Backlog'!$I416=N$2), 'ProductSprint Backlog'!$F416, TRUE, 0)</f>
        <v/>
      </c>
      <c r="O416" s="4" t="str" cm="1">
        <f t="array" ref="O416">_xlfn.IFS('ProductSprint Backlog'!$F416="", "", AND('ProductSprint Backlog'!$J416&gt;O$2,'ProductSprint Backlog'!$I416&lt;=O$2), 'ProductSprint Backlog'!$F416 / MAX(1, 'ProductSprint Backlog'!$J416-'ProductSprint Backlog'!$I416), AND('ProductSprint Backlog'!$J416=O$2,'ProductSprint Backlog'!$I416=O$2), 'ProductSprint Backlog'!$F416, TRUE, 0)</f>
        <v/>
      </c>
      <c r="P416" s="4" t="str" cm="1">
        <f t="array" ref="P416">_xlfn.IFS('ProductSprint Backlog'!$F416="", "", AND('ProductSprint Backlog'!$J416&gt;P$2,'ProductSprint Backlog'!$I416&lt;=P$2), 'ProductSprint Backlog'!$F416 / MAX(1, 'ProductSprint Backlog'!$J416-'ProductSprint Backlog'!$I416), AND('ProductSprint Backlog'!$J416=P$2,'ProductSprint Backlog'!$I416=P$2), 'ProductSprint Backlog'!$F416, TRUE, 0)</f>
        <v/>
      </c>
      <c r="Q416" s="4" t="str" cm="1">
        <f t="array" ref="Q416">_xlfn.IFS('ProductSprint Backlog'!$F416="", "", AND('ProductSprint Backlog'!$J416&gt;Q$2,'ProductSprint Backlog'!$I416&lt;=Q$2), 'ProductSprint Backlog'!$F416 / MAX(1, 'ProductSprint Backlog'!$J416-'ProductSprint Backlog'!$I416), AND('ProductSprint Backlog'!$J416=Q$2,'ProductSprint Backlog'!$I416=Q$2), 'ProductSprint Backlog'!$F416, TRUE, 0)</f>
        <v/>
      </c>
    </row>
    <row r="417" spans="2:17" x14ac:dyDescent="0.2">
      <c r="B417" s="4" t="str" cm="1">
        <f t="array" ref="B417">_xlfn.IFS('ProductSprint Backlog'!$F417="", "", AND('ProductSprint Backlog'!$J417&gt;B$2,'ProductSprint Backlog'!$I417&lt;=B$2), 'ProductSprint Backlog'!$F417 / MAX(1, 'ProductSprint Backlog'!$J417-'ProductSprint Backlog'!$I417), AND('ProductSprint Backlog'!$J417=B$2,'ProductSprint Backlog'!$I417=B$2), 'ProductSprint Backlog'!$F417, TRUE, 0)</f>
        <v/>
      </c>
      <c r="C417" s="4" t="str" cm="1">
        <f t="array" ref="C417">_xlfn.IFS('ProductSprint Backlog'!$F417="", "", AND('ProductSprint Backlog'!$J417&gt;C$2,'ProductSprint Backlog'!$I417&lt;=C$2), 'ProductSprint Backlog'!$F417 / MAX(1, 'ProductSprint Backlog'!$J417-'ProductSprint Backlog'!$I417), AND('ProductSprint Backlog'!$J417=C$2,'ProductSprint Backlog'!$I417=C$2), 'ProductSprint Backlog'!$F417, TRUE, 0)</f>
        <v/>
      </c>
      <c r="D417" s="4" t="str" cm="1">
        <f t="array" ref="D417">_xlfn.IFS('ProductSprint Backlog'!$F417="", "", AND('ProductSprint Backlog'!$J417&gt;D$2,'ProductSprint Backlog'!$I417&lt;=D$2), 'ProductSprint Backlog'!$F417 / MAX(1, 'ProductSprint Backlog'!$J417-'ProductSprint Backlog'!$I417), AND('ProductSprint Backlog'!$J417=D$2,'ProductSprint Backlog'!$I417=D$2), 'ProductSprint Backlog'!$F417, TRUE, 0)</f>
        <v/>
      </c>
      <c r="E417" s="4" t="str" cm="1">
        <f t="array" ref="E417">_xlfn.IFS('ProductSprint Backlog'!$F417="", "", AND('ProductSprint Backlog'!$J417&gt;E$2,'ProductSprint Backlog'!$I417&lt;=E$2), 'ProductSprint Backlog'!$F417 / MAX(1, 'ProductSprint Backlog'!$J417-'ProductSprint Backlog'!$I417), AND('ProductSprint Backlog'!$J417=E$2,'ProductSprint Backlog'!$I417=E$2), 'ProductSprint Backlog'!$F417, TRUE, 0)</f>
        <v/>
      </c>
      <c r="F417" s="4" t="str" cm="1">
        <f t="array" ref="F417">_xlfn.IFS('ProductSprint Backlog'!$F417="", "", AND('ProductSprint Backlog'!$J417&gt;F$2,'ProductSprint Backlog'!$I417&lt;=F$2), 'ProductSprint Backlog'!$F417 / MAX(1, 'ProductSprint Backlog'!$J417-'ProductSprint Backlog'!$I417), AND('ProductSprint Backlog'!$J417=F$2,'ProductSprint Backlog'!$I417=F$2), 'ProductSprint Backlog'!$F417, TRUE, 0)</f>
        <v/>
      </c>
      <c r="G417" s="4" t="str" cm="1">
        <f t="array" ref="G417">_xlfn.IFS('ProductSprint Backlog'!$F417="", "", AND('ProductSprint Backlog'!$J417&gt;G$2,'ProductSprint Backlog'!$I417&lt;=G$2), 'ProductSprint Backlog'!$F417 / MAX(1, 'ProductSprint Backlog'!$J417-'ProductSprint Backlog'!$I417), AND('ProductSprint Backlog'!$J417=G$2,'ProductSprint Backlog'!$I417=G$2), 'ProductSprint Backlog'!$F417, TRUE, 0)</f>
        <v/>
      </c>
      <c r="H417" s="4" t="str" cm="1">
        <f t="array" ref="H417">_xlfn.IFS('ProductSprint Backlog'!$F417="", "", AND('ProductSprint Backlog'!$J417&gt;H$2,'ProductSprint Backlog'!$I417&lt;=H$2), 'ProductSprint Backlog'!$F417 / MAX(1, 'ProductSprint Backlog'!$J417-'ProductSprint Backlog'!$I417), AND('ProductSprint Backlog'!$J417=H$2,'ProductSprint Backlog'!$I417=H$2), 'ProductSprint Backlog'!$F417, TRUE, 0)</f>
        <v/>
      </c>
      <c r="I417" s="4" t="str" cm="1">
        <f t="array" ref="I417">_xlfn.IFS('ProductSprint Backlog'!$F417="", "", AND('ProductSprint Backlog'!$J417&gt;I$2,'ProductSprint Backlog'!$I417&lt;=I$2), 'ProductSprint Backlog'!$F417 / MAX(1, 'ProductSprint Backlog'!$J417-'ProductSprint Backlog'!$I417), AND('ProductSprint Backlog'!$J417=I$2,'ProductSprint Backlog'!$I417=I$2), 'ProductSprint Backlog'!$F417, TRUE, 0)</f>
        <v/>
      </c>
      <c r="J417" s="4" t="str" cm="1">
        <f t="array" ref="J417">_xlfn.IFS('ProductSprint Backlog'!$F417="", "", AND('ProductSprint Backlog'!$J417&gt;J$2,'ProductSprint Backlog'!$I417&lt;=J$2), 'ProductSprint Backlog'!$F417 / MAX(1, 'ProductSprint Backlog'!$J417-'ProductSprint Backlog'!$I417), AND('ProductSprint Backlog'!$J417=J$2,'ProductSprint Backlog'!$I417=J$2), 'ProductSprint Backlog'!$F417, TRUE, 0)</f>
        <v/>
      </c>
      <c r="K417" s="4" t="str" cm="1">
        <f t="array" ref="K417">_xlfn.IFS('ProductSprint Backlog'!$F417="", "", AND('ProductSprint Backlog'!$J417&gt;K$2,'ProductSprint Backlog'!$I417&lt;=K$2), 'ProductSprint Backlog'!$F417 / MAX(1, 'ProductSprint Backlog'!$J417-'ProductSprint Backlog'!$I417), AND('ProductSprint Backlog'!$J417=K$2,'ProductSprint Backlog'!$I417=K$2), 'ProductSprint Backlog'!$F417, TRUE, 0)</f>
        <v/>
      </c>
      <c r="L417" s="4" t="str" cm="1">
        <f t="array" ref="L417">_xlfn.IFS('ProductSprint Backlog'!$F417="", "", AND('ProductSprint Backlog'!$J417&gt;L$2,'ProductSprint Backlog'!$I417&lt;=L$2), 'ProductSprint Backlog'!$F417 / MAX(1, 'ProductSprint Backlog'!$J417-'ProductSprint Backlog'!$I417), AND('ProductSprint Backlog'!$J417=L$2,'ProductSprint Backlog'!$I417=L$2), 'ProductSprint Backlog'!$F417, TRUE, 0)</f>
        <v/>
      </c>
      <c r="M417" s="4" t="str" cm="1">
        <f t="array" ref="M417">_xlfn.IFS('ProductSprint Backlog'!$F417="", "", AND('ProductSprint Backlog'!$J417&gt;M$2,'ProductSprint Backlog'!$I417&lt;=M$2), 'ProductSprint Backlog'!$F417 / MAX(1, 'ProductSprint Backlog'!$J417-'ProductSprint Backlog'!$I417), AND('ProductSprint Backlog'!$J417=M$2,'ProductSprint Backlog'!$I417=M$2), 'ProductSprint Backlog'!$F417, TRUE, 0)</f>
        <v/>
      </c>
      <c r="N417" s="4" t="str" cm="1">
        <f t="array" ref="N417">_xlfn.IFS('ProductSprint Backlog'!$F417="", "", AND('ProductSprint Backlog'!$J417&gt;N$2,'ProductSprint Backlog'!$I417&lt;=N$2), 'ProductSprint Backlog'!$F417 / MAX(1, 'ProductSprint Backlog'!$J417-'ProductSprint Backlog'!$I417), AND('ProductSprint Backlog'!$J417=N$2,'ProductSprint Backlog'!$I417=N$2), 'ProductSprint Backlog'!$F417, TRUE, 0)</f>
        <v/>
      </c>
      <c r="O417" s="4" t="str" cm="1">
        <f t="array" ref="O417">_xlfn.IFS('ProductSprint Backlog'!$F417="", "", AND('ProductSprint Backlog'!$J417&gt;O$2,'ProductSprint Backlog'!$I417&lt;=O$2), 'ProductSprint Backlog'!$F417 / MAX(1, 'ProductSprint Backlog'!$J417-'ProductSprint Backlog'!$I417), AND('ProductSprint Backlog'!$J417=O$2,'ProductSprint Backlog'!$I417=O$2), 'ProductSprint Backlog'!$F417, TRUE, 0)</f>
        <v/>
      </c>
      <c r="P417" s="4" t="str" cm="1">
        <f t="array" ref="P417">_xlfn.IFS('ProductSprint Backlog'!$F417="", "", AND('ProductSprint Backlog'!$J417&gt;P$2,'ProductSprint Backlog'!$I417&lt;=P$2), 'ProductSprint Backlog'!$F417 / MAX(1, 'ProductSprint Backlog'!$J417-'ProductSprint Backlog'!$I417), AND('ProductSprint Backlog'!$J417=P$2,'ProductSprint Backlog'!$I417=P$2), 'ProductSprint Backlog'!$F417, TRUE, 0)</f>
        <v/>
      </c>
      <c r="Q417" s="4" t="str" cm="1">
        <f t="array" ref="Q417">_xlfn.IFS('ProductSprint Backlog'!$F417="", "", AND('ProductSprint Backlog'!$J417&gt;Q$2,'ProductSprint Backlog'!$I417&lt;=Q$2), 'ProductSprint Backlog'!$F417 / MAX(1, 'ProductSprint Backlog'!$J417-'ProductSprint Backlog'!$I417), AND('ProductSprint Backlog'!$J417=Q$2,'ProductSprint Backlog'!$I417=Q$2), 'ProductSprint Backlog'!$F417, TRUE, 0)</f>
        <v/>
      </c>
    </row>
    <row r="418" spans="2:17" x14ac:dyDescent="0.2">
      <c r="B418" s="4" t="str" cm="1">
        <f t="array" ref="B418">_xlfn.IFS('ProductSprint Backlog'!$F418="", "", AND('ProductSprint Backlog'!$J418&gt;B$2,'ProductSprint Backlog'!$I418&lt;=B$2), 'ProductSprint Backlog'!$F418 / MAX(1, 'ProductSprint Backlog'!$J418-'ProductSprint Backlog'!$I418), AND('ProductSprint Backlog'!$J418=B$2,'ProductSprint Backlog'!$I418=B$2), 'ProductSprint Backlog'!$F418, TRUE, 0)</f>
        <v/>
      </c>
      <c r="C418" s="4" t="str" cm="1">
        <f t="array" ref="C418">_xlfn.IFS('ProductSprint Backlog'!$F418="", "", AND('ProductSprint Backlog'!$J418&gt;C$2,'ProductSprint Backlog'!$I418&lt;=C$2), 'ProductSprint Backlog'!$F418 / MAX(1, 'ProductSprint Backlog'!$J418-'ProductSprint Backlog'!$I418), AND('ProductSprint Backlog'!$J418=C$2,'ProductSprint Backlog'!$I418=C$2), 'ProductSprint Backlog'!$F418, TRUE, 0)</f>
        <v/>
      </c>
      <c r="D418" s="4" t="str" cm="1">
        <f t="array" ref="D418">_xlfn.IFS('ProductSprint Backlog'!$F418="", "", AND('ProductSprint Backlog'!$J418&gt;D$2,'ProductSprint Backlog'!$I418&lt;=D$2), 'ProductSprint Backlog'!$F418 / MAX(1, 'ProductSprint Backlog'!$J418-'ProductSprint Backlog'!$I418), AND('ProductSprint Backlog'!$J418=D$2,'ProductSprint Backlog'!$I418=D$2), 'ProductSprint Backlog'!$F418, TRUE, 0)</f>
        <v/>
      </c>
      <c r="E418" s="4" t="str" cm="1">
        <f t="array" ref="E418">_xlfn.IFS('ProductSprint Backlog'!$F418="", "", AND('ProductSprint Backlog'!$J418&gt;E$2,'ProductSprint Backlog'!$I418&lt;=E$2), 'ProductSprint Backlog'!$F418 / MAX(1, 'ProductSprint Backlog'!$J418-'ProductSprint Backlog'!$I418), AND('ProductSprint Backlog'!$J418=E$2,'ProductSprint Backlog'!$I418=E$2), 'ProductSprint Backlog'!$F418, TRUE, 0)</f>
        <v/>
      </c>
      <c r="F418" s="4" t="str" cm="1">
        <f t="array" ref="F418">_xlfn.IFS('ProductSprint Backlog'!$F418="", "", AND('ProductSprint Backlog'!$J418&gt;F$2,'ProductSprint Backlog'!$I418&lt;=F$2), 'ProductSprint Backlog'!$F418 / MAX(1, 'ProductSprint Backlog'!$J418-'ProductSprint Backlog'!$I418), AND('ProductSprint Backlog'!$J418=F$2,'ProductSprint Backlog'!$I418=F$2), 'ProductSprint Backlog'!$F418, TRUE, 0)</f>
        <v/>
      </c>
      <c r="G418" s="4" t="str" cm="1">
        <f t="array" ref="G418">_xlfn.IFS('ProductSprint Backlog'!$F418="", "", AND('ProductSprint Backlog'!$J418&gt;G$2,'ProductSprint Backlog'!$I418&lt;=G$2), 'ProductSprint Backlog'!$F418 / MAX(1, 'ProductSprint Backlog'!$J418-'ProductSprint Backlog'!$I418), AND('ProductSprint Backlog'!$J418=G$2,'ProductSprint Backlog'!$I418=G$2), 'ProductSprint Backlog'!$F418, TRUE, 0)</f>
        <v/>
      </c>
      <c r="H418" s="4" t="str" cm="1">
        <f t="array" ref="H418">_xlfn.IFS('ProductSprint Backlog'!$F418="", "", AND('ProductSprint Backlog'!$J418&gt;H$2,'ProductSprint Backlog'!$I418&lt;=H$2), 'ProductSprint Backlog'!$F418 / MAX(1, 'ProductSprint Backlog'!$J418-'ProductSprint Backlog'!$I418), AND('ProductSprint Backlog'!$J418=H$2,'ProductSprint Backlog'!$I418=H$2), 'ProductSprint Backlog'!$F418, TRUE, 0)</f>
        <v/>
      </c>
      <c r="I418" s="4" t="str" cm="1">
        <f t="array" ref="I418">_xlfn.IFS('ProductSprint Backlog'!$F418="", "", AND('ProductSprint Backlog'!$J418&gt;I$2,'ProductSprint Backlog'!$I418&lt;=I$2), 'ProductSprint Backlog'!$F418 / MAX(1, 'ProductSprint Backlog'!$J418-'ProductSprint Backlog'!$I418), AND('ProductSprint Backlog'!$J418=I$2,'ProductSprint Backlog'!$I418=I$2), 'ProductSprint Backlog'!$F418, TRUE, 0)</f>
        <v/>
      </c>
      <c r="J418" s="4" t="str" cm="1">
        <f t="array" ref="J418">_xlfn.IFS('ProductSprint Backlog'!$F418="", "", AND('ProductSprint Backlog'!$J418&gt;J$2,'ProductSprint Backlog'!$I418&lt;=J$2), 'ProductSprint Backlog'!$F418 / MAX(1, 'ProductSprint Backlog'!$J418-'ProductSprint Backlog'!$I418), AND('ProductSprint Backlog'!$J418=J$2,'ProductSprint Backlog'!$I418=J$2), 'ProductSprint Backlog'!$F418, TRUE, 0)</f>
        <v/>
      </c>
      <c r="K418" s="4" t="str" cm="1">
        <f t="array" ref="K418">_xlfn.IFS('ProductSprint Backlog'!$F418="", "", AND('ProductSprint Backlog'!$J418&gt;K$2,'ProductSprint Backlog'!$I418&lt;=K$2), 'ProductSprint Backlog'!$F418 / MAX(1, 'ProductSprint Backlog'!$J418-'ProductSprint Backlog'!$I418), AND('ProductSprint Backlog'!$J418=K$2,'ProductSprint Backlog'!$I418=K$2), 'ProductSprint Backlog'!$F418, TRUE, 0)</f>
        <v/>
      </c>
      <c r="L418" s="4" t="str" cm="1">
        <f t="array" ref="L418">_xlfn.IFS('ProductSprint Backlog'!$F418="", "", AND('ProductSprint Backlog'!$J418&gt;L$2,'ProductSprint Backlog'!$I418&lt;=L$2), 'ProductSprint Backlog'!$F418 / MAX(1, 'ProductSprint Backlog'!$J418-'ProductSprint Backlog'!$I418), AND('ProductSprint Backlog'!$J418=L$2,'ProductSprint Backlog'!$I418=L$2), 'ProductSprint Backlog'!$F418, TRUE, 0)</f>
        <v/>
      </c>
      <c r="M418" s="4" t="str" cm="1">
        <f t="array" ref="M418">_xlfn.IFS('ProductSprint Backlog'!$F418="", "", AND('ProductSprint Backlog'!$J418&gt;M$2,'ProductSprint Backlog'!$I418&lt;=M$2), 'ProductSprint Backlog'!$F418 / MAX(1, 'ProductSprint Backlog'!$J418-'ProductSprint Backlog'!$I418), AND('ProductSprint Backlog'!$J418=M$2,'ProductSprint Backlog'!$I418=M$2), 'ProductSprint Backlog'!$F418, TRUE, 0)</f>
        <v/>
      </c>
      <c r="N418" s="4" t="str" cm="1">
        <f t="array" ref="N418">_xlfn.IFS('ProductSprint Backlog'!$F418="", "", AND('ProductSprint Backlog'!$J418&gt;N$2,'ProductSprint Backlog'!$I418&lt;=N$2), 'ProductSprint Backlog'!$F418 / MAX(1, 'ProductSprint Backlog'!$J418-'ProductSprint Backlog'!$I418), AND('ProductSprint Backlog'!$J418=N$2,'ProductSprint Backlog'!$I418=N$2), 'ProductSprint Backlog'!$F418, TRUE, 0)</f>
        <v/>
      </c>
      <c r="O418" s="4" t="str" cm="1">
        <f t="array" ref="O418">_xlfn.IFS('ProductSprint Backlog'!$F418="", "", AND('ProductSprint Backlog'!$J418&gt;O$2,'ProductSprint Backlog'!$I418&lt;=O$2), 'ProductSprint Backlog'!$F418 / MAX(1, 'ProductSprint Backlog'!$J418-'ProductSprint Backlog'!$I418), AND('ProductSprint Backlog'!$J418=O$2,'ProductSprint Backlog'!$I418=O$2), 'ProductSprint Backlog'!$F418, TRUE, 0)</f>
        <v/>
      </c>
      <c r="P418" s="4" t="str" cm="1">
        <f t="array" ref="P418">_xlfn.IFS('ProductSprint Backlog'!$F418="", "", AND('ProductSprint Backlog'!$J418&gt;P$2,'ProductSprint Backlog'!$I418&lt;=P$2), 'ProductSprint Backlog'!$F418 / MAX(1, 'ProductSprint Backlog'!$J418-'ProductSprint Backlog'!$I418), AND('ProductSprint Backlog'!$J418=P$2,'ProductSprint Backlog'!$I418=P$2), 'ProductSprint Backlog'!$F418, TRUE, 0)</f>
        <v/>
      </c>
      <c r="Q418" s="4" t="str" cm="1">
        <f t="array" ref="Q418">_xlfn.IFS('ProductSprint Backlog'!$F418="", "", AND('ProductSprint Backlog'!$J418&gt;Q$2,'ProductSprint Backlog'!$I418&lt;=Q$2), 'ProductSprint Backlog'!$F418 / MAX(1, 'ProductSprint Backlog'!$J418-'ProductSprint Backlog'!$I418), AND('ProductSprint Backlog'!$J418=Q$2,'ProductSprint Backlog'!$I418=Q$2), 'ProductSprint Backlog'!$F418, TRUE, 0)</f>
        <v/>
      </c>
    </row>
    <row r="419" spans="2:17" x14ac:dyDescent="0.2">
      <c r="B419" s="4" t="str" cm="1">
        <f t="array" ref="B419">_xlfn.IFS('ProductSprint Backlog'!$F419="", "", AND('ProductSprint Backlog'!$J419&gt;B$2,'ProductSprint Backlog'!$I419&lt;=B$2), 'ProductSprint Backlog'!$F419 / MAX(1, 'ProductSprint Backlog'!$J419-'ProductSprint Backlog'!$I419), AND('ProductSprint Backlog'!$J419=B$2,'ProductSprint Backlog'!$I419=B$2), 'ProductSprint Backlog'!$F419, TRUE, 0)</f>
        <v/>
      </c>
      <c r="C419" s="4" t="str" cm="1">
        <f t="array" ref="C419">_xlfn.IFS('ProductSprint Backlog'!$F419="", "", AND('ProductSprint Backlog'!$J419&gt;C$2,'ProductSprint Backlog'!$I419&lt;=C$2), 'ProductSprint Backlog'!$F419 / MAX(1, 'ProductSprint Backlog'!$J419-'ProductSprint Backlog'!$I419), AND('ProductSprint Backlog'!$J419=C$2,'ProductSprint Backlog'!$I419=C$2), 'ProductSprint Backlog'!$F419, TRUE, 0)</f>
        <v/>
      </c>
      <c r="D419" s="4" t="str" cm="1">
        <f t="array" ref="D419">_xlfn.IFS('ProductSprint Backlog'!$F419="", "", AND('ProductSprint Backlog'!$J419&gt;D$2,'ProductSprint Backlog'!$I419&lt;=D$2), 'ProductSprint Backlog'!$F419 / MAX(1, 'ProductSprint Backlog'!$J419-'ProductSprint Backlog'!$I419), AND('ProductSprint Backlog'!$J419=D$2,'ProductSprint Backlog'!$I419=D$2), 'ProductSprint Backlog'!$F419, TRUE, 0)</f>
        <v/>
      </c>
      <c r="E419" s="4" t="str" cm="1">
        <f t="array" ref="E419">_xlfn.IFS('ProductSprint Backlog'!$F419="", "", AND('ProductSprint Backlog'!$J419&gt;E$2,'ProductSprint Backlog'!$I419&lt;=E$2), 'ProductSprint Backlog'!$F419 / MAX(1, 'ProductSprint Backlog'!$J419-'ProductSprint Backlog'!$I419), AND('ProductSprint Backlog'!$J419=E$2,'ProductSprint Backlog'!$I419=E$2), 'ProductSprint Backlog'!$F419, TRUE, 0)</f>
        <v/>
      </c>
      <c r="F419" s="4" t="str" cm="1">
        <f t="array" ref="F419">_xlfn.IFS('ProductSprint Backlog'!$F419="", "", AND('ProductSprint Backlog'!$J419&gt;F$2,'ProductSprint Backlog'!$I419&lt;=F$2), 'ProductSprint Backlog'!$F419 / MAX(1, 'ProductSprint Backlog'!$J419-'ProductSprint Backlog'!$I419), AND('ProductSprint Backlog'!$J419=F$2,'ProductSprint Backlog'!$I419=F$2), 'ProductSprint Backlog'!$F419, TRUE, 0)</f>
        <v/>
      </c>
      <c r="G419" s="4" t="str" cm="1">
        <f t="array" ref="G419">_xlfn.IFS('ProductSprint Backlog'!$F419="", "", AND('ProductSprint Backlog'!$J419&gt;G$2,'ProductSprint Backlog'!$I419&lt;=G$2), 'ProductSprint Backlog'!$F419 / MAX(1, 'ProductSprint Backlog'!$J419-'ProductSprint Backlog'!$I419), AND('ProductSprint Backlog'!$J419=G$2,'ProductSprint Backlog'!$I419=G$2), 'ProductSprint Backlog'!$F419, TRUE, 0)</f>
        <v/>
      </c>
      <c r="H419" s="4" t="str" cm="1">
        <f t="array" ref="H419">_xlfn.IFS('ProductSprint Backlog'!$F419="", "", AND('ProductSprint Backlog'!$J419&gt;H$2,'ProductSprint Backlog'!$I419&lt;=H$2), 'ProductSprint Backlog'!$F419 / MAX(1, 'ProductSprint Backlog'!$J419-'ProductSprint Backlog'!$I419), AND('ProductSprint Backlog'!$J419=H$2,'ProductSprint Backlog'!$I419=H$2), 'ProductSprint Backlog'!$F419, TRUE, 0)</f>
        <v/>
      </c>
      <c r="I419" s="4" t="str" cm="1">
        <f t="array" ref="I419">_xlfn.IFS('ProductSprint Backlog'!$F419="", "", AND('ProductSprint Backlog'!$J419&gt;I$2,'ProductSprint Backlog'!$I419&lt;=I$2), 'ProductSprint Backlog'!$F419 / MAX(1, 'ProductSprint Backlog'!$J419-'ProductSprint Backlog'!$I419), AND('ProductSprint Backlog'!$J419=I$2,'ProductSprint Backlog'!$I419=I$2), 'ProductSprint Backlog'!$F419, TRUE, 0)</f>
        <v/>
      </c>
      <c r="J419" s="4" t="str" cm="1">
        <f t="array" ref="J419">_xlfn.IFS('ProductSprint Backlog'!$F419="", "", AND('ProductSprint Backlog'!$J419&gt;J$2,'ProductSprint Backlog'!$I419&lt;=J$2), 'ProductSprint Backlog'!$F419 / MAX(1, 'ProductSprint Backlog'!$J419-'ProductSprint Backlog'!$I419), AND('ProductSprint Backlog'!$J419=J$2,'ProductSprint Backlog'!$I419=J$2), 'ProductSprint Backlog'!$F419, TRUE, 0)</f>
        <v/>
      </c>
      <c r="K419" s="4" t="str" cm="1">
        <f t="array" ref="K419">_xlfn.IFS('ProductSprint Backlog'!$F419="", "", AND('ProductSprint Backlog'!$J419&gt;K$2,'ProductSprint Backlog'!$I419&lt;=K$2), 'ProductSprint Backlog'!$F419 / MAX(1, 'ProductSprint Backlog'!$J419-'ProductSprint Backlog'!$I419), AND('ProductSprint Backlog'!$J419=K$2,'ProductSprint Backlog'!$I419=K$2), 'ProductSprint Backlog'!$F419, TRUE, 0)</f>
        <v/>
      </c>
      <c r="L419" s="4" t="str" cm="1">
        <f t="array" ref="L419">_xlfn.IFS('ProductSprint Backlog'!$F419="", "", AND('ProductSprint Backlog'!$J419&gt;L$2,'ProductSprint Backlog'!$I419&lt;=L$2), 'ProductSprint Backlog'!$F419 / MAX(1, 'ProductSprint Backlog'!$J419-'ProductSprint Backlog'!$I419), AND('ProductSprint Backlog'!$J419=L$2,'ProductSprint Backlog'!$I419=L$2), 'ProductSprint Backlog'!$F419, TRUE, 0)</f>
        <v/>
      </c>
      <c r="M419" s="4" t="str" cm="1">
        <f t="array" ref="M419">_xlfn.IFS('ProductSprint Backlog'!$F419="", "", AND('ProductSprint Backlog'!$J419&gt;M$2,'ProductSprint Backlog'!$I419&lt;=M$2), 'ProductSprint Backlog'!$F419 / MAX(1, 'ProductSprint Backlog'!$J419-'ProductSprint Backlog'!$I419), AND('ProductSprint Backlog'!$J419=M$2,'ProductSprint Backlog'!$I419=M$2), 'ProductSprint Backlog'!$F419, TRUE, 0)</f>
        <v/>
      </c>
      <c r="N419" s="4" t="str" cm="1">
        <f t="array" ref="N419">_xlfn.IFS('ProductSprint Backlog'!$F419="", "", AND('ProductSprint Backlog'!$J419&gt;N$2,'ProductSprint Backlog'!$I419&lt;=N$2), 'ProductSprint Backlog'!$F419 / MAX(1, 'ProductSprint Backlog'!$J419-'ProductSprint Backlog'!$I419), AND('ProductSprint Backlog'!$J419=N$2,'ProductSprint Backlog'!$I419=N$2), 'ProductSprint Backlog'!$F419, TRUE, 0)</f>
        <v/>
      </c>
      <c r="O419" s="4" t="str" cm="1">
        <f t="array" ref="O419">_xlfn.IFS('ProductSprint Backlog'!$F419="", "", AND('ProductSprint Backlog'!$J419&gt;O$2,'ProductSprint Backlog'!$I419&lt;=O$2), 'ProductSprint Backlog'!$F419 / MAX(1, 'ProductSprint Backlog'!$J419-'ProductSprint Backlog'!$I419), AND('ProductSprint Backlog'!$J419=O$2,'ProductSprint Backlog'!$I419=O$2), 'ProductSprint Backlog'!$F419, TRUE, 0)</f>
        <v/>
      </c>
      <c r="P419" s="4" t="str" cm="1">
        <f t="array" ref="P419">_xlfn.IFS('ProductSprint Backlog'!$F419="", "", AND('ProductSprint Backlog'!$J419&gt;P$2,'ProductSprint Backlog'!$I419&lt;=P$2), 'ProductSprint Backlog'!$F419 / MAX(1, 'ProductSprint Backlog'!$J419-'ProductSprint Backlog'!$I419), AND('ProductSprint Backlog'!$J419=P$2,'ProductSprint Backlog'!$I419=P$2), 'ProductSprint Backlog'!$F419, TRUE, 0)</f>
        <v/>
      </c>
      <c r="Q419" s="4" t="str" cm="1">
        <f t="array" ref="Q419">_xlfn.IFS('ProductSprint Backlog'!$F419="", "", AND('ProductSprint Backlog'!$J419&gt;Q$2,'ProductSprint Backlog'!$I419&lt;=Q$2), 'ProductSprint Backlog'!$F419 / MAX(1, 'ProductSprint Backlog'!$J419-'ProductSprint Backlog'!$I419), AND('ProductSprint Backlog'!$J419=Q$2,'ProductSprint Backlog'!$I419=Q$2), 'ProductSprint Backlog'!$F419, TRUE, 0)</f>
        <v/>
      </c>
    </row>
    <row r="420" spans="2:17" x14ac:dyDescent="0.2">
      <c r="B420" s="4" t="str" cm="1">
        <f t="array" ref="B420">_xlfn.IFS('ProductSprint Backlog'!$F420="", "", AND('ProductSprint Backlog'!$J420&gt;B$2,'ProductSprint Backlog'!$I420&lt;=B$2), 'ProductSprint Backlog'!$F420 / MAX(1, 'ProductSprint Backlog'!$J420-'ProductSprint Backlog'!$I420), AND('ProductSprint Backlog'!$J420=B$2,'ProductSprint Backlog'!$I420=B$2), 'ProductSprint Backlog'!$F420, TRUE, 0)</f>
        <v/>
      </c>
      <c r="C420" s="4" t="str" cm="1">
        <f t="array" ref="C420">_xlfn.IFS('ProductSprint Backlog'!$F420="", "", AND('ProductSprint Backlog'!$J420&gt;C$2,'ProductSprint Backlog'!$I420&lt;=C$2), 'ProductSprint Backlog'!$F420 / MAX(1, 'ProductSprint Backlog'!$J420-'ProductSprint Backlog'!$I420), AND('ProductSprint Backlog'!$J420=C$2,'ProductSprint Backlog'!$I420=C$2), 'ProductSprint Backlog'!$F420, TRUE, 0)</f>
        <v/>
      </c>
      <c r="D420" s="4" t="str" cm="1">
        <f t="array" ref="D420">_xlfn.IFS('ProductSprint Backlog'!$F420="", "", AND('ProductSprint Backlog'!$J420&gt;D$2,'ProductSprint Backlog'!$I420&lt;=D$2), 'ProductSprint Backlog'!$F420 / MAX(1, 'ProductSprint Backlog'!$J420-'ProductSprint Backlog'!$I420), AND('ProductSprint Backlog'!$J420=D$2,'ProductSprint Backlog'!$I420=D$2), 'ProductSprint Backlog'!$F420, TRUE, 0)</f>
        <v/>
      </c>
      <c r="E420" s="4" t="str" cm="1">
        <f t="array" ref="E420">_xlfn.IFS('ProductSprint Backlog'!$F420="", "", AND('ProductSprint Backlog'!$J420&gt;E$2,'ProductSprint Backlog'!$I420&lt;=E$2), 'ProductSprint Backlog'!$F420 / MAX(1, 'ProductSprint Backlog'!$J420-'ProductSprint Backlog'!$I420), AND('ProductSprint Backlog'!$J420=E$2,'ProductSprint Backlog'!$I420=E$2), 'ProductSprint Backlog'!$F420, TRUE, 0)</f>
        <v/>
      </c>
      <c r="F420" s="4" t="str" cm="1">
        <f t="array" ref="F420">_xlfn.IFS('ProductSprint Backlog'!$F420="", "", AND('ProductSprint Backlog'!$J420&gt;F$2,'ProductSprint Backlog'!$I420&lt;=F$2), 'ProductSprint Backlog'!$F420 / MAX(1, 'ProductSprint Backlog'!$J420-'ProductSprint Backlog'!$I420), AND('ProductSprint Backlog'!$J420=F$2,'ProductSprint Backlog'!$I420=F$2), 'ProductSprint Backlog'!$F420, TRUE, 0)</f>
        <v/>
      </c>
      <c r="G420" s="4" t="str" cm="1">
        <f t="array" ref="G420">_xlfn.IFS('ProductSprint Backlog'!$F420="", "", AND('ProductSprint Backlog'!$J420&gt;G$2,'ProductSprint Backlog'!$I420&lt;=G$2), 'ProductSprint Backlog'!$F420 / MAX(1, 'ProductSprint Backlog'!$J420-'ProductSprint Backlog'!$I420), AND('ProductSprint Backlog'!$J420=G$2,'ProductSprint Backlog'!$I420=G$2), 'ProductSprint Backlog'!$F420, TRUE, 0)</f>
        <v/>
      </c>
      <c r="H420" s="4" t="str" cm="1">
        <f t="array" ref="H420">_xlfn.IFS('ProductSprint Backlog'!$F420="", "", AND('ProductSprint Backlog'!$J420&gt;H$2,'ProductSprint Backlog'!$I420&lt;=H$2), 'ProductSprint Backlog'!$F420 / MAX(1, 'ProductSprint Backlog'!$J420-'ProductSprint Backlog'!$I420), AND('ProductSprint Backlog'!$J420=H$2,'ProductSprint Backlog'!$I420=H$2), 'ProductSprint Backlog'!$F420, TRUE, 0)</f>
        <v/>
      </c>
      <c r="I420" s="4" t="str" cm="1">
        <f t="array" ref="I420">_xlfn.IFS('ProductSprint Backlog'!$F420="", "", AND('ProductSprint Backlog'!$J420&gt;I$2,'ProductSprint Backlog'!$I420&lt;=I$2), 'ProductSprint Backlog'!$F420 / MAX(1, 'ProductSprint Backlog'!$J420-'ProductSprint Backlog'!$I420), AND('ProductSprint Backlog'!$J420=I$2,'ProductSprint Backlog'!$I420=I$2), 'ProductSprint Backlog'!$F420, TRUE, 0)</f>
        <v/>
      </c>
      <c r="J420" s="4" t="str" cm="1">
        <f t="array" ref="J420">_xlfn.IFS('ProductSprint Backlog'!$F420="", "", AND('ProductSprint Backlog'!$J420&gt;J$2,'ProductSprint Backlog'!$I420&lt;=J$2), 'ProductSprint Backlog'!$F420 / MAX(1, 'ProductSprint Backlog'!$J420-'ProductSprint Backlog'!$I420), AND('ProductSprint Backlog'!$J420=J$2,'ProductSprint Backlog'!$I420=J$2), 'ProductSprint Backlog'!$F420, TRUE, 0)</f>
        <v/>
      </c>
      <c r="K420" s="4" t="str" cm="1">
        <f t="array" ref="K420">_xlfn.IFS('ProductSprint Backlog'!$F420="", "", AND('ProductSprint Backlog'!$J420&gt;K$2,'ProductSprint Backlog'!$I420&lt;=K$2), 'ProductSprint Backlog'!$F420 / MAX(1, 'ProductSprint Backlog'!$J420-'ProductSprint Backlog'!$I420), AND('ProductSprint Backlog'!$J420=K$2,'ProductSprint Backlog'!$I420=K$2), 'ProductSprint Backlog'!$F420, TRUE, 0)</f>
        <v/>
      </c>
      <c r="L420" s="4" t="str" cm="1">
        <f t="array" ref="L420">_xlfn.IFS('ProductSprint Backlog'!$F420="", "", AND('ProductSprint Backlog'!$J420&gt;L$2,'ProductSprint Backlog'!$I420&lt;=L$2), 'ProductSprint Backlog'!$F420 / MAX(1, 'ProductSprint Backlog'!$J420-'ProductSprint Backlog'!$I420), AND('ProductSprint Backlog'!$J420=L$2,'ProductSprint Backlog'!$I420=L$2), 'ProductSprint Backlog'!$F420, TRUE, 0)</f>
        <v/>
      </c>
      <c r="M420" s="4" t="str" cm="1">
        <f t="array" ref="M420">_xlfn.IFS('ProductSprint Backlog'!$F420="", "", AND('ProductSprint Backlog'!$J420&gt;M$2,'ProductSprint Backlog'!$I420&lt;=M$2), 'ProductSprint Backlog'!$F420 / MAX(1, 'ProductSprint Backlog'!$J420-'ProductSprint Backlog'!$I420), AND('ProductSprint Backlog'!$J420=M$2,'ProductSprint Backlog'!$I420=M$2), 'ProductSprint Backlog'!$F420, TRUE, 0)</f>
        <v/>
      </c>
      <c r="N420" s="4" t="str" cm="1">
        <f t="array" ref="N420">_xlfn.IFS('ProductSprint Backlog'!$F420="", "", AND('ProductSprint Backlog'!$J420&gt;N$2,'ProductSprint Backlog'!$I420&lt;=N$2), 'ProductSprint Backlog'!$F420 / MAX(1, 'ProductSprint Backlog'!$J420-'ProductSprint Backlog'!$I420), AND('ProductSprint Backlog'!$J420=N$2,'ProductSprint Backlog'!$I420=N$2), 'ProductSprint Backlog'!$F420, TRUE, 0)</f>
        <v/>
      </c>
      <c r="O420" s="4" t="str" cm="1">
        <f t="array" ref="O420">_xlfn.IFS('ProductSprint Backlog'!$F420="", "", AND('ProductSprint Backlog'!$J420&gt;O$2,'ProductSprint Backlog'!$I420&lt;=O$2), 'ProductSprint Backlog'!$F420 / MAX(1, 'ProductSprint Backlog'!$J420-'ProductSprint Backlog'!$I420), AND('ProductSprint Backlog'!$J420=O$2,'ProductSprint Backlog'!$I420=O$2), 'ProductSprint Backlog'!$F420, TRUE, 0)</f>
        <v/>
      </c>
      <c r="P420" s="4" t="str" cm="1">
        <f t="array" ref="P420">_xlfn.IFS('ProductSprint Backlog'!$F420="", "", AND('ProductSprint Backlog'!$J420&gt;P$2,'ProductSprint Backlog'!$I420&lt;=P$2), 'ProductSprint Backlog'!$F420 / MAX(1, 'ProductSprint Backlog'!$J420-'ProductSprint Backlog'!$I420), AND('ProductSprint Backlog'!$J420=P$2,'ProductSprint Backlog'!$I420=P$2), 'ProductSprint Backlog'!$F420, TRUE, 0)</f>
        <v/>
      </c>
      <c r="Q420" s="4" t="str" cm="1">
        <f t="array" ref="Q420">_xlfn.IFS('ProductSprint Backlog'!$F420="", "", AND('ProductSprint Backlog'!$J420&gt;Q$2,'ProductSprint Backlog'!$I420&lt;=Q$2), 'ProductSprint Backlog'!$F420 / MAX(1, 'ProductSprint Backlog'!$J420-'ProductSprint Backlog'!$I420), AND('ProductSprint Backlog'!$J420=Q$2,'ProductSprint Backlog'!$I420=Q$2), 'ProductSprint Backlog'!$F420, TRUE, 0)</f>
        <v/>
      </c>
    </row>
    <row r="421" spans="2:17" x14ac:dyDescent="0.2">
      <c r="B421" s="4" t="str" cm="1">
        <f t="array" ref="B421">_xlfn.IFS('ProductSprint Backlog'!$F421="", "", AND('ProductSprint Backlog'!$J421&gt;B$2,'ProductSprint Backlog'!$I421&lt;=B$2), 'ProductSprint Backlog'!$F421 / MAX(1, 'ProductSprint Backlog'!$J421-'ProductSprint Backlog'!$I421), AND('ProductSprint Backlog'!$J421=B$2,'ProductSprint Backlog'!$I421=B$2), 'ProductSprint Backlog'!$F421, TRUE, 0)</f>
        <v/>
      </c>
      <c r="C421" s="4" t="str" cm="1">
        <f t="array" ref="C421">_xlfn.IFS('ProductSprint Backlog'!$F421="", "", AND('ProductSprint Backlog'!$J421&gt;C$2,'ProductSprint Backlog'!$I421&lt;=C$2), 'ProductSprint Backlog'!$F421 / MAX(1, 'ProductSprint Backlog'!$J421-'ProductSprint Backlog'!$I421), AND('ProductSprint Backlog'!$J421=C$2,'ProductSprint Backlog'!$I421=C$2), 'ProductSprint Backlog'!$F421, TRUE, 0)</f>
        <v/>
      </c>
      <c r="D421" s="4" t="str" cm="1">
        <f t="array" ref="D421">_xlfn.IFS('ProductSprint Backlog'!$F421="", "", AND('ProductSprint Backlog'!$J421&gt;D$2,'ProductSprint Backlog'!$I421&lt;=D$2), 'ProductSprint Backlog'!$F421 / MAX(1, 'ProductSprint Backlog'!$J421-'ProductSprint Backlog'!$I421), AND('ProductSprint Backlog'!$J421=D$2,'ProductSprint Backlog'!$I421=D$2), 'ProductSprint Backlog'!$F421, TRUE, 0)</f>
        <v/>
      </c>
      <c r="E421" s="4" t="str" cm="1">
        <f t="array" ref="E421">_xlfn.IFS('ProductSprint Backlog'!$F421="", "", AND('ProductSprint Backlog'!$J421&gt;E$2,'ProductSprint Backlog'!$I421&lt;=E$2), 'ProductSprint Backlog'!$F421 / MAX(1, 'ProductSprint Backlog'!$J421-'ProductSprint Backlog'!$I421), AND('ProductSprint Backlog'!$J421=E$2,'ProductSprint Backlog'!$I421=E$2), 'ProductSprint Backlog'!$F421, TRUE, 0)</f>
        <v/>
      </c>
      <c r="F421" s="4" t="str" cm="1">
        <f t="array" ref="F421">_xlfn.IFS('ProductSprint Backlog'!$F421="", "", AND('ProductSprint Backlog'!$J421&gt;F$2,'ProductSprint Backlog'!$I421&lt;=F$2), 'ProductSprint Backlog'!$F421 / MAX(1, 'ProductSprint Backlog'!$J421-'ProductSprint Backlog'!$I421), AND('ProductSprint Backlog'!$J421=F$2,'ProductSprint Backlog'!$I421=F$2), 'ProductSprint Backlog'!$F421, TRUE, 0)</f>
        <v/>
      </c>
      <c r="G421" s="4" t="str" cm="1">
        <f t="array" ref="G421">_xlfn.IFS('ProductSprint Backlog'!$F421="", "", AND('ProductSprint Backlog'!$J421&gt;G$2,'ProductSprint Backlog'!$I421&lt;=G$2), 'ProductSprint Backlog'!$F421 / MAX(1, 'ProductSprint Backlog'!$J421-'ProductSprint Backlog'!$I421), AND('ProductSprint Backlog'!$J421=G$2,'ProductSprint Backlog'!$I421=G$2), 'ProductSprint Backlog'!$F421, TRUE, 0)</f>
        <v/>
      </c>
      <c r="H421" s="4" t="str" cm="1">
        <f t="array" ref="H421">_xlfn.IFS('ProductSprint Backlog'!$F421="", "", AND('ProductSprint Backlog'!$J421&gt;H$2,'ProductSprint Backlog'!$I421&lt;=H$2), 'ProductSprint Backlog'!$F421 / MAX(1, 'ProductSprint Backlog'!$J421-'ProductSprint Backlog'!$I421), AND('ProductSprint Backlog'!$J421=H$2,'ProductSprint Backlog'!$I421=H$2), 'ProductSprint Backlog'!$F421, TRUE, 0)</f>
        <v/>
      </c>
      <c r="I421" s="4" t="str" cm="1">
        <f t="array" ref="I421">_xlfn.IFS('ProductSprint Backlog'!$F421="", "", AND('ProductSprint Backlog'!$J421&gt;I$2,'ProductSprint Backlog'!$I421&lt;=I$2), 'ProductSprint Backlog'!$F421 / MAX(1, 'ProductSprint Backlog'!$J421-'ProductSprint Backlog'!$I421), AND('ProductSprint Backlog'!$J421=I$2,'ProductSprint Backlog'!$I421=I$2), 'ProductSprint Backlog'!$F421, TRUE, 0)</f>
        <v/>
      </c>
      <c r="J421" s="4" t="str" cm="1">
        <f t="array" ref="J421">_xlfn.IFS('ProductSprint Backlog'!$F421="", "", AND('ProductSprint Backlog'!$J421&gt;J$2,'ProductSprint Backlog'!$I421&lt;=J$2), 'ProductSprint Backlog'!$F421 / MAX(1, 'ProductSprint Backlog'!$J421-'ProductSprint Backlog'!$I421), AND('ProductSprint Backlog'!$J421=J$2,'ProductSprint Backlog'!$I421=J$2), 'ProductSprint Backlog'!$F421, TRUE, 0)</f>
        <v/>
      </c>
      <c r="K421" s="4" t="str" cm="1">
        <f t="array" ref="K421">_xlfn.IFS('ProductSprint Backlog'!$F421="", "", AND('ProductSprint Backlog'!$J421&gt;K$2,'ProductSprint Backlog'!$I421&lt;=K$2), 'ProductSprint Backlog'!$F421 / MAX(1, 'ProductSprint Backlog'!$J421-'ProductSprint Backlog'!$I421), AND('ProductSprint Backlog'!$J421=K$2,'ProductSprint Backlog'!$I421=K$2), 'ProductSprint Backlog'!$F421, TRUE, 0)</f>
        <v/>
      </c>
      <c r="L421" s="4" t="str" cm="1">
        <f t="array" ref="L421">_xlfn.IFS('ProductSprint Backlog'!$F421="", "", AND('ProductSprint Backlog'!$J421&gt;L$2,'ProductSprint Backlog'!$I421&lt;=L$2), 'ProductSprint Backlog'!$F421 / MAX(1, 'ProductSprint Backlog'!$J421-'ProductSprint Backlog'!$I421), AND('ProductSprint Backlog'!$J421=L$2,'ProductSprint Backlog'!$I421=L$2), 'ProductSprint Backlog'!$F421, TRUE, 0)</f>
        <v/>
      </c>
      <c r="M421" s="4" t="str" cm="1">
        <f t="array" ref="M421">_xlfn.IFS('ProductSprint Backlog'!$F421="", "", AND('ProductSprint Backlog'!$J421&gt;M$2,'ProductSprint Backlog'!$I421&lt;=M$2), 'ProductSprint Backlog'!$F421 / MAX(1, 'ProductSprint Backlog'!$J421-'ProductSprint Backlog'!$I421), AND('ProductSprint Backlog'!$J421=M$2,'ProductSprint Backlog'!$I421=M$2), 'ProductSprint Backlog'!$F421, TRUE, 0)</f>
        <v/>
      </c>
      <c r="N421" s="4" t="str" cm="1">
        <f t="array" ref="N421">_xlfn.IFS('ProductSprint Backlog'!$F421="", "", AND('ProductSprint Backlog'!$J421&gt;N$2,'ProductSprint Backlog'!$I421&lt;=N$2), 'ProductSprint Backlog'!$F421 / MAX(1, 'ProductSprint Backlog'!$J421-'ProductSprint Backlog'!$I421), AND('ProductSprint Backlog'!$J421=N$2,'ProductSprint Backlog'!$I421=N$2), 'ProductSprint Backlog'!$F421, TRUE, 0)</f>
        <v/>
      </c>
      <c r="O421" s="4" t="str" cm="1">
        <f t="array" ref="O421">_xlfn.IFS('ProductSprint Backlog'!$F421="", "", AND('ProductSprint Backlog'!$J421&gt;O$2,'ProductSprint Backlog'!$I421&lt;=O$2), 'ProductSprint Backlog'!$F421 / MAX(1, 'ProductSprint Backlog'!$J421-'ProductSprint Backlog'!$I421), AND('ProductSprint Backlog'!$J421=O$2,'ProductSprint Backlog'!$I421=O$2), 'ProductSprint Backlog'!$F421, TRUE, 0)</f>
        <v/>
      </c>
      <c r="P421" s="4" t="str" cm="1">
        <f t="array" ref="P421">_xlfn.IFS('ProductSprint Backlog'!$F421="", "", AND('ProductSprint Backlog'!$J421&gt;P$2,'ProductSprint Backlog'!$I421&lt;=P$2), 'ProductSprint Backlog'!$F421 / MAX(1, 'ProductSprint Backlog'!$J421-'ProductSprint Backlog'!$I421), AND('ProductSprint Backlog'!$J421=P$2,'ProductSprint Backlog'!$I421=P$2), 'ProductSprint Backlog'!$F421, TRUE, 0)</f>
        <v/>
      </c>
      <c r="Q421" s="4" t="str" cm="1">
        <f t="array" ref="Q421">_xlfn.IFS('ProductSprint Backlog'!$F421="", "", AND('ProductSprint Backlog'!$J421&gt;Q$2,'ProductSprint Backlog'!$I421&lt;=Q$2), 'ProductSprint Backlog'!$F421 / MAX(1, 'ProductSprint Backlog'!$J421-'ProductSprint Backlog'!$I421), AND('ProductSprint Backlog'!$J421=Q$2,'ProductSprint Backlog'!$I421=Q$2), 'ProductSprint Backlog'!$F421, TRUE, 0)</f>
        <v/>
      </c>
    </row>
    <row r="422" spans="2:17" x14ac:dyDescent="0.2">
      <c r="B422" s="4" t="str" cm="1">
        <f t="array" ref="B422">_xlfn.IFS('ProductSprint Backlog'!$F422="", "", AND('ProductSprint Backlog'!$J422&gt;B$2,'ProductSprint Backlog'!$I422&lt;=B$2), 'ProductSprint Backlog'!$F422 / MAX(1, 'ProductSprint Backlog'!$J422-'ProductSprint Backlog'!$I422), AND('ProductSprint Backlog'!$J422=B$2,'ProductSprint Backlog'!$I422=B$2), 'ProductSprint Backlog'!$F422, TRUE, 0)</f>
        <v/>
      </c>
      <c r="C422" s="4" t="str" cm="1">
        <f t="array" ref="C422">_xlfn.IFS('ProductSprint Backlog'!$F422="", "", AND('ProductSprint Backlog'!$J422&gt;C$2,'ProductSprint Backlog'!$I422&lt;=C$2), 'ProductSprint Backlog'!$F422 / MAX(1, 'ProductSprint Backlog'!$J422-'ProductSprint Backlog'!$I422), AND('ProductSprint Backlog'!$J422=C$2,'ProductSprint Backlog'!$I422=C$2), 'ProductSprint Backlog'!$F422, TRUE, 0)</f>
        <v/>
      </c>
      <c r="D422" s="4" t="str" cm="1">
        <f t="array" ref="D422">_xlfn.IFS('ProductSprint Backlog'!$F422="", "", AND('ProductSprint Backlog'!$J422&gt;D$2,'ProductSprint Backlog'!$I422&lt;=D$2), 'ProductSprint Backlog'!$F422 / MAX(1, 'ProductSprint Backlog'!$J422-'ProductSprint Backlog'!$I422), AND('ProductSprint Backlog'!$J422=D$2,'ProductSprint Backlog'!$I422=D$2), 'ProductSprint Backlog'!$F422, TRUE, 0)</f>
        <v/>
      </c>
      <c r="E422" s="4" t="str" cm="1">
        <f t="array" ref="E422">_xlfn.IFS('ProductSprint Backlog'!$F422="", "", AND('ProductSprint Backlog'!$J422&gt;E$2,'ProductSprint Backlog'!$I422&lt;=E$2), 'ProductSprint Backlog'!$F422 / MAX(1, 'ProductSprint Backlog'!$J422-'ProductSprint Backlog'!$I422), AND('ProductSprint Backlog'!$J422=E$2,'ProductSprint Backlog'!$I422=E$2), 'ProductSprint Backlog'!$F422, TRUE, 0)</f>
        <v/>
      </c>
      <c r="F422" s="4" t="str" cm="1">
        <f t="array" ref="F422">_xlfn.IFS('ProductSprint Backlog'!$F422="", "", AND('ProductSprint Backlog'!$J422&gt;F$2,'ProductSprint Backlog'!$I422&lt;=F$2), 'ProductSprint Backlog'!$F422 / MAX(1, 'ProductSprint Backlog'!$J422-'ProductSprint Backlog'!$I422), AND('ProductSprint Backlog'!$J422=F$2,'ProductSprint Backlog'!$I422=F$2), 'ProductSprint Backlog'!$F422, TRUE, 0)</f>
        <v/>
      </c>
      <c r="G422" s="4" t="str" cm="1">
        <f t="array" ref="G422">_xlfn.IFS('ProductSprint Backlog'!$F422="", "", AND('ProductSprint Backlog'!$J422&gt;G$2,'ProductSprint Backlog'!$I422&lt;=G$2), 'ProductSprint Backlog'!$F422 / MAX(1, 'ProductSprint Backlog'!$J422-'ProductSprint Backlog'!$I422), AND('ProductSprint Backlog'!$J422=G$2,'ProductSprint Backlog'!$I422=G$2), 'ProductSprint Backlog'!$F422, TRUE, 0)</f>
        <v/>
      </c>
      <c r="H422" s="4" t="str" cm="1">
        <f t="array" ref="H422">_xlfn.IFS('ProductSprint Backlog'!$F422="", "", AND('ProductSprint Backlog'!$J422&gt;H$2,'ProductSprint Backlog'!$I422&lt;=H$2), 'ProductSprint Backlog'!$F422 / MAX(1, 'ProductSprint Backlog'!$J422-'ProductSprint Backlog'!$I422), AND('ProductSprint Backlog'!$J422=H$2,'ProductSprint Backlog'!$I422=H$2), 'ProductSprint Backlog'!$F422, TRUE, 0)</f>
        <v/>
      </c>
      <c r="I422" s="4" t="str" cm="1">
        <f t="array" ref="I422">_xlfn.IFS('ProductSprint Backlog'!$F422="", "", AND('ProductSprint Backlog'!$J422&gt;I$2,'ProductSprint Backlog'!$I422&lt;=I$2), 'ProductSprint Backlog'!$F422 / MAX(1, 'ProductSprint Backlog'!$J422-'ProductSprint Backlog'!$I422), AND('ProductSprint Backlog'!$J422=I$2,'ProductSprint Backlog'!$I422=I$2), 'ProductSprint Backlog'!$F422, TRUE, 0)</f>
        <v/>
      </c>
      <c r="J422" s="4" t="str" cm="1">
        <f t="array" ref="J422">_xlfn.IFS('ProductSprint Backlog'!$F422="", "", AND('ProductSprint Backlog'!$J422&gt;J$2,'ProductSprint Backlog'!$I422&lt;=J$2), 'ProductSprint Backlog'!$F422 / MAX(1, 'ProductSprint Backlog'!$J422-'ProductSprint Backlog'!$I422), AND('ProductSprint Backlog'!$J422=J$2,'ProductSprint Backlog'!$I422=J$2), 'ProductSprint Backlog'!$F422, TRUE, 0)</f>
        <v/>
      </c>
      <c r="K422" s="4" t="str" cm="1">
        <f t="array" ref="K422">_xlfn.IFS('ProductSprint Backlog'!$F422="", "", AND('ProductSprint Backlog'!$J422&gt;K$2,'ProductSprint Backlog'!$I422&lt;=K$2), 'ProductSprint Backlog'!$F422 / MAX(1, 'ProductSprint Backlog'!$J422-'ProductSprint Backlog'!$I422), AND('ProductSprint Backlog'!$J422=K$2,'ProductSprint Backlog'!$I422=K$2), 'ProductSprint Backlog'!$F422, TRUE, 0)</f>
        <v/>
      </c>
      <c r="L422" s="4" t="str" cm="1">
        <f t="array" ref="L422">_xlfn.IFS('ProductSprint Backlog'!$F422="", "", AND('ProductSprint Backlog'!$J422&gt;L$2,'ProductSprint Backlog'!$I422&lt;=L$2), 'ProductSprint Backlog'!$F422 / MAX(1, 'ProductSprint Backlog'!$J422-'ProductSprint Backlog'!$I422), AND('ProductSprint Backlog'!$J422=L$2,'ProductSprint Backlog'!$I422=L$2), 'ProductSprint Backlog'!$F422, TRUE, 0)</f>
        <v/>
      </c>
      <c r="M422" s="4" t="str" cm="1">
        <f t="array" ref="M422">_xlfn.IFS('ProductSprint Backlog'!$F422="", "", AND('ProductSprint Backlog'!$J422&gt;M$2,'ProductSprint Backlog'!$I422&lt;=M$2), 'ProductSprint Backlog'!$F422 / MAX(1, 'ProductSprint Backlog'!$J422-'ProductSprint Backlog'!$I422), AND('ProductSprint Backlog'!$J422=M$2,'ProductSprint Backlog'!$I422=M$2), 'ProductSprint Backlog'!$F422, TRUE, 0)</f>
        <v/>
      </c>
      <c r="N422" s="4" t="str" cm="1">
        <f t="array" ref="N422">_xlfn.IFS('ProductSprint Backlog'!$F422="", "", AND('ProductSprint Backlog'!$J422&gt;N$2,'ProductSprint Backlog'!$I422&lt;=N$2), 'ProductSprint Backlog'!$F422 / MAX(1, 'ProductSprint Backlog'!$J422-'ProductSprint Backlog'!$I422), AND('ProductSprint Backlog'!$J422=N$2,'ProductSprint Backlog'!$I422=N$2), 'ProductSprint Backlog'!$F422, TRUE, 0)</f>
        <v/>
      </c>
      <c r="O422" s="4" t="str" cm="1">
        <f t="array" ref="O422">_xlfn.IFS('ProductSprint Backlog'!$F422="", "", AND('ProductSprint Backlog'!$J422&gt;O$2,'ProductSprint Backlog'!$I422&lt;=O$2), 'ProductSprint Backlog'!$F422 / MAX(1, 'ProductSprint Backlog'!$J422-'ProductSprint Backlog'!$I422), AND('ProductSprint Backlog'!$J422=O$2,'ProductSprint Backlog'!$I422=O$2), 'ProductSprint Backlog'!$F422, TRUE, 0)</f>
        <v/>
      </c>
      <c r="P422" s="4" t="str" cm="1">
        <f t="array" ref="P422">_xlfn.IFS('ProductSprint Backlog'!$F422="", "", AND('ProductSprint Backlog'!$J422&gt;P$2,'ProductSprint Backlog'!$I422&lt;=P$2), 'ProductSprint Backlog'!$F422 / MAX(1, 'ProductSprint Backlog'!$J422-'ProductSprint Backlog'!$I422), AND('ProductSprint Backlog'!$J422=P$2,'ProductSprint Backlog'!$I422=P$2), 'ProductSprint Backlog'!$F422, TRUE, 0)</f>
        <v/>
      </c>
      <c r="Q422" s="4" t="str" cm="1">
        <f t="array" ref="Q422">_xlfn.IFS('ProductSprint Backlog'!$F422="", "", AND('ProductSprint Backlog'!$J422&gt;Q$2,'ProductSprint Backlog'!$I422&lt;=Q$2), 'ProductSprint Backlog'!$F422 / MAX(1, 'ProductSprint Backlog'!$J422-'ProductSprint Backlog'!$I422), AND('ProductSprint Backlog'!$J422=Q$2,'ProductSprint Backlog'!$I422=Q$2), 'ProductSprint Backlog'!$F422, TRUE, 0)</f>
        <v/>
      </c>
    </row>
    <row r="423" spans="2:17" x14ac:dyDescent="0.2">
      <c r="B423" s="4" t="str" cm="1">
        <f t="array" ref="B423">_xlfn.IFS('ProductSprint Backlog'!$F423="", "", AND('ProductSprint Backlog'!$J423&gt;B$2,'ProductSprint Backlog'!$I423&lt;=B$2), 'ProductSprint Backlog'!$F423 / MAX(1, 'ProductSprint Backlog'!$J423-'ProductSprint Backlog'!$I423), AND('ProductSprint Backlog'!$J423=B$2,'ProductSprint Backlog'!$I423=B$2), 'ProductSprint Backlog'!$F423, TRUE, 0)</f>
        <v/>
      </c>
      <c r="C423" s="4" t="str" cm="1">
        <f t="array" ref="C423">_xlfn.IFS('ProductSprint Backlog'!$F423="", "", AND('ProductSprint Backlog'!$J423&gt;C$2,'ProductSprint Backlog'!$I423&lt;=C$2), 'ProductSprint Backlog'!$F423 / MAX(1, 'ProductSprint Backlog'!$J423-'ProductSprint Backlog'!$I423), AND('ProductSprint Backlog'!$J423=C$2,'ProductSprint Backlog'!$I423=C$2), 'ProductSprint Backlog'!$F423, TRUE, 0)</f>
        <v/>
      </c>
      <c r="D423" s="4" t="str" cm="1">
        <f t="array" ref="D423">_xlfn.IFS('ProductSprint Backlog'!$F423="", "", AND('ProductSprint Backlog'!$J423&gt;D$2,'ProductSprint Backlog'!$I423&lt;=D$2), 'ProductSprint Backlog'!$F423 / MAX(1, 'ProductSprint Backlog'!$J423-'ProductSprint Backlog'!$I423), AND('ProductSprint Backlog'!$J423=D$2,'ProductSprint Backlog'!$I423=D$2), 'ProductSprint Backlog'!$F423, TRUE, 0)</f>
        <v/>
      </c>
      <c r="E423" s="4" t="str" cm="1">
        <f t="array" ref="E423">_xlfn.IFS('ProductSprint Backlog'!$F423="", "", AND('ProductSprint Backlog'!$J423&gt;E$2,'ProductSprint Backlog'!$I423&lt;=E$2), 'ProductSprint Backlog'!$F423 / MAX(1, 'ProductSprint Backlog'!$J423-'ProductSprint Backlog'!$I423), AND('ProductSprint Backlog'!$J423=E$2,'ProductSprint Backlog'!$I423=E$2), 'ProductSprint Backlog'!$F423, TRUE, 0)</f>
        <v/>
      </c>
      <c r="F423" s="4" t="str" cm="1">
        <f t="array" ref="F423">_xlfn.IFS('ProductSprint Backlog'!$F423="", "", AND('ProductSprint Backlog'!$J423&gt;F$2,'ProductSprint Backlog'!$I423&lt;=F$2), 'ProductSprint Backlog'!$F423 / MAX(1, 'ProductSprint Backlog'!$J423-'ProductSprint Backlog'!$I423), AND('ProductSprint Backlog'!$J423=F$2,'ProductSprint Backlog'!$I423=F$2), 'ProductSprint Backlog'!$F423, TRUE, 0)</f>
        <v/>
      </c>
      <c r="G423" s="4" t="str" cm="1">
        <f t="array" ref="G423">_xlfn.IFS('ProductSprint Backlog'!$F423="", "", AND('ProductSprint Backlog'!$J423&gt;G$2,'ProductSprint Backlog'!$I423&lt;=G$2), 'ProductSprint Backlog'!$F423 / MAX(1, 'ProductSprint Backlog'!$J423-'ProductSprint Backlog'!$I423), AND('ProductSprint Backlog'!$J423=G$2,'ProductSprint Backlog'!$I423=G$2), 'ProductSprint Backlog'!$F423, TRUE, 0)</f>
        <v/>
      </c>
      <c r="H423" s="4" t="str" cm="1">
        <f t="array" ref="H423">_xlfn.IFS('ProductSprint Backlog'!$F423="", "", AND('ProductSprint Backlog'!$J423&gt;H$2,'ProductSprint Backlog'!$I423&lt;=H$2), 'ProductSprint Backlog'!$F423 / MAX(1, 'ProductSprint Backlog'!$J423-'ProductSprint Backlog'!$I423), AND('ProductSprint Backlog'!$J423=H$2,'ProductSprint Backlog'!$I423=H$2), 'ProductSprint Backlog'!$F423, TRUE, 0)</f>
        <v/>
      </c>
      <c r="I423" s="4" t="str" cm="1">
        <f t="array" ref="I423">_xlfn.IFS('ProductSprint Backlog'!$F423="", "", AND('ProductSprint Backlog'!$J423&gt;I$2,'ProductSprint Backlog'!$I423&lt;=I$2), 'ProductSprint Backlog'!$F423 / MAX(1, 'ProductSprint Backlog'!$J423-'ProductSprint Backlog'!$I423), AND('ProductSprint Backlog'!$J423=I$2,'ProductSprint Backlog'!$I423=I$2), 'ProductSprint Backlog'!$F423, TRUE, 0)</f>
        <v/>
      </c>
      <c r="J423" s="4" t="str" cm="1">
        <f t="array" ref="J423">_xlfn.IFS('ProductSprint Backlog'!$F423="", "", AND('ProductSprint Backlog'!$J423&gt;J$2,'ProductSprint Backlog'!$I423&lt;=J$2), 'ProductSprint Backlog'!$F423 / MAX(1, 'ProductSprint Backlog'!$J423-'ProductSprint Backlog'!$I423), AND('ProductSprint Backlog'!$J423=J$2,'ProductSprint Backlog'!$I423=J$2), 'ProductSprint Backlog'!$F423, TRUE, 0)</f>
        <v/>
      </c>
      <c r="K423" s="4" t="str" cm="1">
        <f t="array" ref="K423">_xlfn.IFS('ProductSprint Backlog'!$F423="", "", AND('ProductSprint Backlog'!$J423&gt;K$2,'ProductSprint Backlog'!$I423&lt;=K$2), 'ProductSprint Backlog'!$F423 / MAX(1, 'ProductSprint Backlog'!$J423-'ProductSprint Backlog'!$I423), AND('ProductSprint Backlog'!$J423=K$2,'ProductSprint Backlog'!$I423=K$2), 'ProductSprint Backlog'!$F423, TRUE, 0)</f>
        <v/>
      </c>
      <c r="L423" s="4" t="str" cm="1">
        <f t="array" ref="L423">_xlfn.IFS('ProductSprint Backlog'!$F423="", "", AND('ProductSprint Backlog'!$J423&gt;L$2,'ProductSprint Backlog'!$I423&lt;=L$2), 'ProductSprint Backlog'!$F423 / MAX(1, 'ProductSprint Backlog'!$J423-'ProductSprint Backlog'!$I423), AND('ProductSprint Backlog'!$J423=L$2,'ProductSprint Backlog'!$I423=L$2), 'ProductSprint Backlog'!$F423, TRUE, 0)</f>
        <v/>
      </c>
      <c r="M423" s="4" t="str" cm="1">
        <f t="array" ref="M423">_xlfn.IFS('ProductSprint Backlog'!$F423="", "", AND('ProductSprint Backlog'!$J423&gt;M$2,'ProductSprint Backlog'!$I423&lt;=M$2), 'ProductSprint Backlog'!$F423 / MAX(1, 'ProductSprint Backlog'!$J423-'ProductSprint Backlog'!$I423), AND('ProductSprint Backlog'!$J423=M$2,'ProductSprint Backlog'!$I423=M$2), 'ProductSprint Backlog'!$F423, TRUE, 0)</f>
        <v/>
      </c>
      <c r="N423" s="4" t="str" cm="1">
        <f t="array" ref="N423">_xlfn.IFS('ProductSprint Backlog'!$F423="", "", AND('ProductSprint Backlog'!$J423&gt;N$2,'ProductSprint Backlog'!$I423&lt;=N$2), 'ProductSprint Backlog'!$F423 / MAX(1, 'ProductSprint Backlog'!$J423-'ProductSprint Backlog'!$I423), AND('ProductSprint Backlog'!$J423=N$2,'ProductSprint Backlog'!$I423=N$2), 'ProductSprint Backlog'!$F423, TRUE, 0)</f>
        <v/>
      </c>
      <c r="O423" s="4" t="str" cm="1">
        <f t="array" ref="O423">_xlfn.IFS('ProductSprint Backlog'!$F423="", "", AND('ProductSprint Backlog'!$J423&gt;O$2,'ProductSprint Backlog'!$I423&lt;=O$2), 'ProductSprint Backlog'!$F423 / MAX(1, 'ProductSprint Backlog'!$J423-'ProductSprint Backlog'!$I423), AND('ProductSprint Backlog'!$J423=O$2,'ProductSprint Backlog'!$I423=O$2), 'ProductSprint Backlog'!$F423, TRUE, 0)</f>
        <v/>
      </c>
      <c r="P423" s="4" t="str" cm="1">
        <f t="array" ref="P423">_xlfn.IFS('ProductSprint Backlog'!$F423="", "", AND('ProductSprint Backlog'!$J423&gt;P$2,'ProductSprint Backlog'!$I423&lt;=P$2), 'ProductSprint Backlog'!$F423 / MAX(1, 'ProductSprint Backlog'!$J423-'ProductSprint Backlog'!$I423), AND('ProductSprint Backlog'!$J423=P$2,'ProductSprint Backlog'!$I423=P$2), 'ProductSprint Backlog'!$F423, TRUE, 0)</f>
        <v/>
      </c>
      <c r="Q423" s="4" t="str" cm="1">
        <f t="array" ref="Q423">_xlfn.IFS('ProductSprint Backlog'!$F423="", "", AND('ProductSprint Backlog'!$J423&gt;Q$2,'ProductSprint Backlog'!$I423&lt;=Q$2), 'ProductSprint Backlog'!$F423 / MAX(1, 'ProductSprint Backlog'!$J423-'ProductSprint Backlog'!$I423), AND('ProductSprint Backlog'!$J423=Q$2,'ProductSprint Backlog'!$I423=Q$2), 'ProductSprint Backlog'!$F423, TRUE, 0)</f>
        <v/>
      </c>
    </row>
    <row r="424" spans="2:17" x14ac:dyDescent="0.2">
      <c r="B424" s="4" t="str" cm="1">
        <f t="array" ref="B424">_xlfn.IFS('ProductSprint Backlog'!$F424="", "", AND('ProductSprint Backlog'!$J424&gt;B$2,'ProductSprint Backlog'!$I424&lt;=B$2), 'ProductSprint Backlog'!$F424 / MAX(1, 'ProductSprint Backlog'!$J424-'ProductSprint Backlog'!$I424), AND('ProductSprint Backlog'!$J424=B$2,'ProductSprint Backlog'!$I424=B$2), 'ProductSprint Backlog'!$F424, TRUE, 0)</f>
        <v/>
      </c>
      <c r="C424" s="4" t="str" cm="1">
        <f t="array" ref="C424">_xlfn.IFS('ProductSprint Backlog'!$F424="", "", AND('ProductSprint Backlog'!$J424&gt;C$2,'ProductSprint Backlog'!$I424&lt;=C$2), 'ProductSprint Backlog'!$F424 / MAX(1, 'ProductSprint Backlog'!$J424-'ProductSprint Backlog'!$I424), AND('ProductSprint Backlog'!$J424=C$2,'ProductSprint Backlog'!$I424=C$2), 'ProductSprint Backlog'!$F424, TRUE, 0)</f>
        <v/>
      </c>
      <c r="D424" s="4" t="str" cm="1">
        <f t="array" ref="D424">_xlfn.IFS('ProductSprint Backlog'!$F424="", "", AND('ProductSprint Backlog'!$J424&gt;D$2,'ProductSprint Backlog'!$I424&lt;=D$2), 'ProductSprint Backlog'!$F424 / MAX(1, 'ProductSprint Backlog'!$J424-'ProductSprint Backlog'!$I424), AND('ProductSprint Backlog'!$J424=D$2,'ProductSprint Backlog'!$I424=D$2), 'ProductSprint Backlog'!$F424, TRUE, 0)</f>
        <v/>
      </c>
      <c r="E424" s="4" t="str" cm="1">
        <f t="array" ref="E424">_xlfn.IFS('ProductSprint Backlog'!$F424="", "", AND('ProductSprint Backlog'!$J424&gt;E$2,'ProductSprint Backlog'!$I424&lt;=E$2), 'ProductSprint Backlog'!$F424 / MAX(1, 'ProductSprint Backlog'!$J424-'ProductSprint Backlog'!$I424), AND('ProductSprint Backlog'!$J424=E$2,'ProductSprint Backlog'!$I424=E$2), 'ProductSprint Backlog'!$F424, TRUE, 0)</f>
        <v/>
      </c>
      <c r="F424" s="4" t="str" cm="1">
        <f t="array" ref="F424">_xlfn.IFS('ProductSprint Backlog'!$F424="", "", AND('ProductSprint Backlog'!$J424&gt;F$2,'ProductSprint Backlog'!$I424&lt;=F$2), 'ProductSprint Backlog'!$F424 / MAX(1, 'ProductSprint Backlog'!$J424-'ProductSprint Backlog'!$I424), AND('ProductSprint Backlog'!$J424=F$2,'ProductSprint Backlog'!$I424=F$2), 'ProductSprint Backlog'!$F424, TRUE, 0)</f>
        <v/>
      </c>
      <c r="G424" s="4" t="str" cm="1">
        <f t="array" ref="G424">_xlfn.IFS('ProductSprint Backlog'!$F424="", "", AND('ProductSprint Backlog'!$J424&gt;G$2,'ProductSprint Backlog'!$I424&lt;=G$2), 'ProductSprint Backlog'!$F424 / MAX(1, 'ProductSprint Backlog'!$J424-'ProductSprint Backlog'!$I424), AND('ProductSprint Backlog'!$J424=G$2,'ProductSprint Backlog'!$I424=G$2), 'ProductSprint Backlog'!$F424, TRUE, 0)</f>
        <v/>
      </c>
      <c r="H424" s="4" t="str" cm="1">
        <f t="array" ref="H424">_xlfn.IFS('ProductSprint Backlog'!$F424="", "", AND('ProductSprint Backlog'!$J424&gt;H$2,'ProductSprint Backlog'!$I424&lt;=H$2), 'ProductSprint Backlog'!$F424 / MAX(1, 'ProductSprint Backlog'!$J424-'ProductSprint Backlog'!$I424), AND('ProductSprint Backlog'!$J424=H$2,'ProductSprint Backlog'!$I424=H$2), 'ProductSprint Backlog'!$F424, TRUE, 0)</f>
        <v/>
      </c>
      <c r="I424" s="4" t="str" cm="1">
        <f t="array" ref="I424">_xlfn.IFS('ProductSprint Backlog'!$F424="", "", AND('ProductSprint Backlog'!$J424&gt;I$2,'ProductSprint Backlog'!$I424&lt;=I$2), 'ProductSprint Backlog'!$F424 / MAX(1, 'ProductSprint Backlog'!$J424-'ProductSprint Backlog'!$I424), AND('ProductSprint Backlog'!$J424=I$2,'ProductSprint Backlog'!$I424=I$2), 'ProductSprint Backlog'!$F424, TRUE, 0)</f>
        <v/>
      </c>
      <c r="J424" s="4" t="str" cm="1">
        <f t="array" ref="J424">_xlfn.IFS('ProductSprint Backlog'!$F424="", "", AND('ProductSprint Backlog'!$J424&gt;J$2,'ProductSprint Backlog'!$I424&lt;=J$2), 'ProductSprint Backlog'!$F424 / MAX(1, 'ProductSprint Backlog'!$J424-'ProductSprint Backlog'!$I424), AND('ProductSprint Backlog'!$J424=J$2,'ProductSprint Backlog'!$I424=J$2), 'ProductSprint Backlog'!$F424, TRUE, 0)</f>
        <v/>
      </c>
      <c r="K424" s="4" t="str" cm="1">
        <f t="array" ref="K424">_xlfn.IFS('ProductSprint Backlog'!$F424="", "", AND('ProductSprint Backlog'!$J424&gt;K$2,'ProductSprint Backlog'!$I424&lt;=K$2), 'ProductSprint Backlog'!$F424 / MAX(1, 'ProductSprint Backlog'!$J424-'ProductSprint Backlog'!$I424), AND('ProductSprint Backlog'!$J424=K$2,'ProductSprint Backlog'!$I424=K$2), 'ProductSprint Backlog'!$F424, TRUE, 0)</f>
        <v/>
      </c>
      <c r="L424" s="4" t="str" cm="1">
        <f t="array" ref="L424">_xlfn.IFS('ProductSprint Backlog'!$F424="", "", AND('ProductSprint Backlog'!$J424&gt;L$2,'ProductSprint Backlog'!$I424&lt;=L$2), 'ProductSprint Backlog'!$F424 / MAX(1, 'ProductSprint Backlog'!$J424-'ProductSprint Backlog'!$I424), AND('ProductSprint Backlog'!$J424=L$2,'ProductSprint Backlog'!$I424=L$2), 'ProductSprint Backlog'!$F424, TRUE, 0)</f>
        <v/>
      </c>
      <c r="M424" s="4" t="str" cm="1">
        <f t="array" ref="M424">_xlfn.IFS('ProductSprint Backlog'!$F424="", "", AND('ProductSprint Backlog'!$J424&gt;M$2,'ProductSprint Backlog'!$I424&lt;=M$2), 'ProductSprint Backlog'!$F424 / MAX(1, 'ProductSprint Backlog'!$J424-'ProductSprint Backlog'!$I424), AND('ProductSprint Backlog'!$J424=M$2,'ProductSprint Backlog'!$I424=M$2), 'ProductSprint Backlog'!$F424, TRUE, 0)</f>
        <v/>
      </c>
      <c r="N424" s="4" t="str" cm="1">
        <f t="array" ref="N424">_xlfn.IFS('ProductSprint Backlog'!$F424="", "", AND('ProductSprint Backlog'!$J424&gt;N$2,'ProductSprint Backlog'!$I424&lt;=N$2), 'ProductSprint Backlog'!$F424 / MAX(1, 'ProductSprint Backlog'!$J424-'ProductSprint Backlog'!$I424), AND('ProductSprint Backlog'!$J424=N$2,'ProductSprint Backlog'!$I424=N$2), 'ProductSprint Backlog'!$F424, TRUE, 0)</f>
        <v/>
      </c>
      <c r="O424" s="4" t="str" cm="1">
        <f t="array" ref="O424">_xlfn.IFS('ProductSprint Backlog'!$F424="", "", AND('ProductSprint Backlog'!$J424&gt;O$2,'ProductSprint Backlog'!$I424&lt;=O$2), 'ProductSprint Backlog'!$F424 / MAX(1, 'ProductSprint Backlog'!$J424-'ProductSprint Backlog'!$I424), AND('ProductSprint Backlog'!$J424=O$2,'ProductSprint Backlog'!$I424=O$2), 'ProductSprint Backlog'!$F424, TRUE, 0)</f>
        <v/>
      </c>
      <c r="P424" s="4" t="str" cm="1">
        <f t="array" ref="P424">_xlfn.IFS('ProductSprint Backlog'!$F424="", "", AND('ProductSprint Backlog'!$J424&gt;P$2,'ProductSprint Backlog'!$I424&lt;=P$2), 'ProductSprint Backlog'!$F424 / MAX(1, 'ProductSprint Backlog'!$J424-'ProductSprint Backlog'!$I424), AND('ProductSprint Backlog'!$J424=P$2,'ProductSprint Backlog'!$I424=P$2), 'ProductSprint Backlog'!$F424, TRUE, 0)</f>
        <v/>
      </c>
      <c r="Q424" s="4" t="str" cm="1">
        <f t="array" ref="Q424">_xlfn.IFS('ProductSprint Backlog'!$F424="", "", AND('ProductSprint Backlog'!$J424&gt;Q$2,'ProductSprint Backlog'!$I424&lt;=Q$2), 'ProductSprint Backlog'!$F424 / MAX(1, 'ProductSprint Backlog'!$J424-'ProductSprint Backlog'!$I424), AND('ProductSprint Backlog'!$J424=Q$2,'ProductSprint Backlog'!$I424=Q$2), 'ProductSprint Backlog'!$F424, TRUE, 0)</f>
        <v/>
      </c>
    </row>
    <row r="425" spans="2:17" x14ac:dyDescent="0.2">
      <c r="B425" s="4" t="str" cm="1">
        <f t="array" ref="B425">_xlfn.IFS('ProductSprint Backlog'!$F425="", "", AND('ProductSprint Backlog'!$J425&gt;B$2,'ProductSprint Backlog'!$I425&lt;=B$2), 'ProductSprint Backlog'!$F425 / MAX(1, 'ProductSprint Backlog'!$J425-'ProductSprint Backlog'!$I425), AND('ProductSprint Backlog'!$J425=B$2,'ProductSprint Backlog'!$I425=B$2), 'ProductSprint Backlog'!$F425, TRUE, 0)</f>
        <v/>
      </c>
      <c r="C425" s="4" t="str" cm="1">
        <f t="array" ref="C425">_xlfn.IFS('ProductSprint Backlog'!$F425="", "", AND('ProductSprint Backlog'!$J425&gt;C$2,'ProductSprint Backlog'!$I425&lt;=C$2), 'ProductSprint Backlog'!$F425 / MAX(1, 'ProductSprint Backlog'!$J425-'ProductSprint Backlog'!$I425), AND('ProductSprint Backlog'!$J425=C$2,'ProductSprint Backlog'!$I425=C$2), 'ProductSprint Backlog'!$F425, TRUE, 0)</f>
        <v/>
      </c>
      <c r="D425" s="4" t="str" cm="1">
        <f t="array" ref="D425">_xlfn.IFS('ProductSprint Backlog'!$F425="", "", AND('ProductSprint Backlog'!$J425&gt;D$2,'ProductSprint Backlog'!$I425&lt;=D$2), 'ProductSprint Backlog'!$F425 / MAX(1, 'ProductSprint Backlog'!$J425-'ProductSprint Backlog'!$I425), AND('ProductSprint Backlog'!$J425=D$2,'ProductSprint Backlog'!$I425=D$2), 'ProductSprint Backlog'!$F425, TRUE, 0)</f>
        <v/>
      </c>
      <c r="E425" s="4" t="str" cm="1">
        <f t="array" ref="E425">_xlfn.IFS('ProductSprint Backlog'!$F425="", "", AND('ProductSprint Backlog'!$J425&gt;E$2,'ProductSprint Backlog'!$I425&lt;=E$2), 'ProductSprint Backlog'!$F425 / MAX(1, 'ProductSprint Backlog'!$J425-'ProductSprint Backlog'!$I425), AND('ProductSprint Backlog'!$J425=E$2,'ProductSprint Backlog'!$I425=E$2), 'ProductSprint Backlog'!$F425, TRUE, 0)</f>
        <v/>
      </c>
      <c r="F425" s="4" t="str" cm="1">
        <f t="array" ref="F425">_xlfn.IFS('ProductSprint Backlog'!$F425="", "", AND('ProductSprint Backlog'!$J425&gt;F$2,'ProductSprint Backlog'!$I425&lt;=F$2), 'ProductSprint Backlog'!$F425 / MAX(1, 'ProductSprint Backlog'!$J425-'ProductSprint Backlog'!$I425), AND('ProductSprint Backlog'!$J425=F$2,'ProductSprint Backlog'!$I425=F$2), 'ProductSprint Backlog'!$F425, TRUE, 0)</f>
        <v/>
      </c>
      <c r="G425" s="4" t="str" cm="1">
        <f t="array" ref="G425">_xlfn.IFS('ProductSprint Backlog'!$F425="", "", AND('ProductSprint Backlog'!$J425&gt;G$2,'ProductSprint Backlog'!$I425&lt;=G$2), 'ProductSprint Backlog'!$F425 / MAX(1, 'ProductSprint Backlog'!$J425-'ProductSprint Backlog'!$I425), AND('ProductSprint Backlog'!$J425=G$2,'ProductSprint Backlog'!$I425=G$2), 'ProductSprint Backlog'!$F425, TRUE, 0)</f>
        <v/>
      </c>
      <c r="H425" s="4" t="str" cm="1">
        <f t="array" ref="H425">_xlfn.IFS('ProductSprint Backlog'!$F425="", "", AND('ProductSprint Backlog'!$J425&gt;H$2,'ProductSprint Backlog'!$I425&lt;=H$2), 'ProductSprint Backlog'!$F425 / MAX(1, 'ProductSprint Backlog'!$J425-'ProductSprint Backlog'!$I425), AND('ProductSprint Backlog'!$J425=H$2,'ProductSprint Backlog'!$I425=H$2), 'ProductSprint Backlog'!$F425, TRUE, 0)</f>
        <v/>
      </c>
      <c r="I425" s="4" t="str" cm="1">
        <f t="array" ref="I425">_xlfn.IFS('ProductSprint Backlog'!$F425="", "", AND('ProductSprint Backlog'!$J425&gt;I$2,'ProductSprint Backlog'!$I425&lt;=I$2), 'ProductSprint Backlog'!$F425 / MAX(1, 'ProductSprint Backlog'!$J425-'ProductSprint Backlog'!$I425), AND('ProductSprint Backlog'!$J425=I$2,'ProductSprint Backlog'!$I425=I$2), 'ProductSprint Backlog'!$F425, TRUE, 0)</f>
        <v/>
      </c>
      <c r="J425" s="4" t="str" cm="1">
        <f t="array" ref="J425">_xlfn.IFS('ProductSprint Backlog'!$F425="", "", AND('ProductSprint Backlog'!$J425&gt;J$2,'ProductSprint Backlog'!$I425&lt;=J$2), 'ProductSprint Backlog'!$F425 / MAX(1, 'ProductSprint Backlog'!$J425-'ProductSprint Backlog'!$I425), AND('ProductSprint Backlog'!$J425=J$2,'ProductSprint Backlog'!$I425=J$2), 'ProductSprint Backlog'!$F425, TRUE, 0)</f>
        <v/>
      </c>
      <c r="K425" s="4" t="str" cm="1">
        <f t="array" ref="K425">_xlfn.IFS('ProductSprint Backlog'!$F425="", "", AND('ProductSprint Backlog'!$J425&gt;K$2,'ProductSprint Backlog'!$I425&lt;=K$2), 'ProductSprint Backlog'!$F425 / MAX(1, 'ProductSprint Backlog'!$J425-'ProductSprint Backlog'!$I425), AND('ProductSprint Backlog'!$J425=K$2,'ProductSprint Backlog'!$I425=K$2), 'ProductSprint Backlog'!$F425, TRUE, 0)</f>
        <v/>
      </c>
      <c r="L425" s="4" t="str" cm="1">
        <f t="array" ref="L425">_xlfn.IFS('ProductSprint Backlog'!$F425="", "", AND('ProductSprint Backlog'!$J425&gt;L$2,'ProductSprint Backlog'!$I425&lt;=L$2), 'ProductSprint Backlog'!$F425 / MAX(1, 'ProductSprint Backlog'!$J425-'ProductSprint Backlog'!$I425), AND('ProductSprint Backlog'!$J425=L$2,'ProductSprint Backlog'!$I425=L$2), 'ProductSprint Backlog'!$F425, TRUE, 0)</f>
        <v/>
      </c>
      <c r="M425" s="4" t="str" cm="1">
        <f t="array" ref="M425">_xlfn.IFS('ProductSprint Backlog'!$F425="", "", AND('ProductSprint Backlog'!$J425&gt;M$2,'ProductSprint Backlog'!$I425&lt;=M$2), 'ProductSprint Backlog'!$F425 / MAX(1, 'ProductSprint Backlog'!$J425-'ProductSprint Backlog'!$I425), AND('ProductSprint Backlog'!$J425=M$2,'ProductSprint Backlog'!$I425=M$2), 'ProductSprint Backlog'!$F425, TRUE, 0)</f>
        <v/>
      </c>
      <c r="N425" s="4" t="str" cm="1">
        <f t="array" ref="N425">_xlfn.IFS('ProductSprint Backlog'!$F425="", "", AND('ProductSprint Backlog'!$J425&gt;N$2,'ProductSprint Backlog'!$I425&lt;=N$2), 'ProductSprint Backlog'!$F425 / MAX(1, 'ProductSprint Backlog'!$J425-'ProductSprint Backlog'!$I425), AND('ProductSprint Backlog'!$J425=N$2,'ProductSprint Backlog'!$I425=N$2), 'ProductSprint Backlog'!$F425, TRUE, 0)</f>
        <v/>
      </c>
      <c r="O425" s="4" t="str" cm="1">
        <f t="array" ref="O425">_xlfn.IFS('ProductSprint Backlog'!$F425="", "", AND('ProductSprint Backlog'!$J425&gt;O$2,'ProductSprint Backlog'!$I425&lt;=O$2), 'ProductSprint Backlog'!$F425 / MAX(1, 'ProductSprint Backlog'!$J425-'ProductSprint Backlog'!$I425), AND('ProductSprint Backlog'!$J425=O$2,'ProductSprint Backlog'!$I425=O$2), 'ProductSprint Backlog'!$F425, TRUE, 0)</f>
        <v/>
      </c>
      <c r="P425" s="4" t="str" cm="1">
        <f t="array" ref="P425">_xlfn.IFS('ProductSprint Backlog'!$F425="", "", AND('ProductSprint Backlog'!$J425&gt;P$2,'ProductSprint Backlog'!$I425&lt;=P$2), 'ProductSprint Backlog'!$F425 / MAX(1, 'ProductSprint Backlog'!$J425-'ProductSprint Backlog'!$I425), AND('ProductSprint Backlog'!$J425=P$2,'ProductSprint Backlog'!$I425=P$2), 'ProductSprint Backlog'!$F425, TRUE, 0)</f>
        <v/>
      </c>
      <c r="Q425" s="4" t="str" cm="1">
        <f t="array" ref="Q425">_xlfn.IFS('ProductSprint Backlog'!$F425="", "", AND('ProductSprint Backlog'!$J425&gt;Q$2,'ProductSprint Backlog'!$I425&lt;=Q$2), 'ProductSprint Backlog'!$F425 / MAX(1, 'ProductSprint Backlog'!$J425-'ProductSprint Backlog'!$I425), AND('ProductSprint Backlog'!$J425=Q$2,'ProductSprint Backlog'!$I425=Q$2), 'ProductSprint Backlog'!$F425, TRUE, 0)</f>
        <v/>
      </c>
    </row>
    <row r="426" spans="2:17" x14ac:dyDescent="0.2">
      <c r="B426" s="4" t="str" cm="1">
        <f t="array" ref="B426">_xlfn.IFS('ProductSprint Backlog'!$F426="", "", AND('ProductSprint Backlog'!$J426&gt;B$2,'ProductSprint Backlog'!$I426&lt;=B$2), 'ProductSprint Backlog'!$F426 / MAX(1, 'ProductSprint Backlog'!$J426-'ProductSprint Backlog'!$I426), AND('ProductSprint Backlog'!$J426=B$2,'ProductSprint Backlog'!$I426=B$2), 'ProductSprint Backlog'!$F426, TRUE, 0)</f>
        <v/>
      </c>
      <c r="C426" s="4" t="str" cm="1">
        <f t="array" ref="C426">_xlfn.IFS('ProductSprint Backlog'!$F426="", "", AND('ProductSprint Backlog'!$J426&gt;C$2,'ProductSprint Backlog'!$I426&lt;=C$2), 'ProductSprint Backlog'!$F426 / MAX(1, 'ProductSprint Backlog'!$J426-'ProductSprint Backlog'!$I426), AND('ProductSprint Backlog'!$J426=C$2,'ProductSprint Backlog'!$I426=C$2), 'ProductSprint Backlog'!$F426, TRUE, 0)</f>
        <v/>
      </c>
      <c r="D426" s="4" t="str" cm="1">
        <f t="array" ref="D426">_xlfn.IFS('ProductSprint Backlog'!$F426="", "", AND('ProductSprint Backlog'!$J426&gt;D$2,'ProductSprint Backlog'!$I426&lt;=D$2), 'ProductSprint Backlog'!$F426 / MAX(1, 'ProductSprint Backlog'!$J426-'ProductSprint Backlog'!$I426), AND('ProductSprint Backlog'!$J426=D$2,'ProductSprint Backlog'!$I426=D$2), 'ProductSprint Backlog'!$F426, TRUE, 0)</f>
        <v/>
      </c>
      <c r="E426" s="4" t="str" cm="1">
        <f t="array" ref="E426">_xlfn.IFS('ProductSprint Backlog'!$F426="", "", AND('ProductSprint Backlog'!$J426&gt;E$2,'ProductSprint Backlog'!$I426&lt;=E$2), 'ProductSprint Backlog'!$F426 / MAX(1, 'ProductSprint Backlog'!$J426-'ProductSprint Backlog'!$I426), AND('ProductSprint Backlog'!$J426=E$2,'ProductSprint Backlog'!$I426=E$2), 'ProductSprint Backlog'!$F426, TRUE, 0)</f>
        <v/>
      </c>
      <c r="F426" s="4" t="str" cm="1">
        <f t="array" ref="F426">_xlfn.IFS('ProductSprint Backlog'!$F426="", "", AND('ProductSprint Backlog'!$J426&gt;F$2,'ProductSprint Backlog'!$I426&lt;=F$2), 'ProductSprint Backlog'!$F426 / MAX(1, 'ProductSprint Backlog'!$J426-'ProductSprint Backlog'!$I426), AND('ProductSprint Backlog'!$J426=F$2,'ProductSprint Backlog'!$I426=F$2), 'ProductSprint Backlog'!$F426, TRUE, 0)</f>
        <v/>
      </c>
      <c r="G426" s="4" t="str" cm="1">
        <f t="array" ref="G426">_xlfn.IFS('ProductSprint Backlog'!$F426="", "", AND('ProductSprint Backlog'!$J426&gt;G$2,'ProductSprint Backlog'!$I426&lt;=G$2), 'ProductSprint Backlog'!$F426 / MAX(1, 'ProductSprint Backlog'!$J426-'ProductSprint Backlog'!$I426), AND('ProductSprint Backlog'!$J426=G$2,'ProductSprint Backlog'!$I426=G$2), 'ProductSprint Backlog'!$F426, TRUE, 0)</f>
        <v/>
      </c>
      <c r="H426" s="4" t="str" cm="1">
        <f t="array" ref="H426">_xlfn.IFS('ProductSprint Backlog'!$F426="", "", AND('ProductSprint Backlog'!$J426&gt;H$2,'ProductSprint Backlog'!$I426&lt;=H$2), 'ProductSprint Backlog'!$F426 / MAX(1, 'ProductSprint Backlog'!$J426-'ProductSprint Backlog'!$I426), AND('ProductSprint Backlog'!$J426=H$2,'ProductSprint Backlog'!$I426=H$2), 'ProductSprint Backlog'!$F426, TRUE, 0)</f>
        <v/>
      </c>
      <c r="I426" s="4" t="str" cm="1">
        <f t="array" ref="I426">_xlfn.IFS('ProductSprint Backlog'!$F426="", "", AND('ProductSprint Backlog'!$J426&gt;I$2,'ProductSprint Backlog'!$I426&lt;=I$2), 'ProductSprint Backlog'!$F426 / MAX(1, 'ProductSprint Backlog'!$J426-'ProductSprint Backlog'!$I426), AND('ProductSprint Backlog'!$J426=I$2,'ProductSprint Backlog'!$I426=I$2), 'ProductSprint Backlog'!$F426, TRUE, 0)</f>
        <v/>
      </c>
      <c r="J426" s="4" t="str" cm="1">
        <f t="array" ref="J426">_xlfn.IFS('ProductSprint Backlog'!$F426="", "", AND('ProductSprint Backlog'!$J426&gt;J$2,'ProductSprint Backlog'!$I426&lt;=J$2), 'ProductSprint Backlog'!$F426 / MAX(1, 'ProductSprint Backlog'!$J426-'ProductSprint Backlog'!$I426), AND('ProductSprint Backlog'!$J426=J$2,'ProductSprint Backlog'!$I426=J$2), 'ProductSprint Backlog'!$F426, TRUE, 0)</f>
        <v/>
      </c>
      <c r="K426" s="4" t="str" cm="1">
        <f t="array" ref="K426">_xlfn.IFS('ProductSprint Backlog'!$F426="", "", AND('ProductSprint Backlog'!$J426&gt;K$2,'ProductSprint Backlog'!$I426&lt;=K$2), 'ProductSprint Backlog'!$F426 / MAX(1, 'ProductSprint Backlog'!$J426-'ProductSprint Backlog'!$I426), AND('ProductSprint Backlog'!$J426=K$2,'ProductSprint Backlog'!$I426=K$2), 'ProductSprint Backlog'!$F426, TRUE, 0)</f>
        <v/>
      </c>
      <c r="L426" s="4" t="str" cm="1">
        <f t="array" ref="L426">_xlfn.IFS('ProductSprint Backlog'!$F426="", "", AND('ProductSprint Backlog'!$J426&gt;L$2,'ProductSprint Backlog'!$I426&lt;=L$2), 'ProductSprint Backlog'!$F426 / MAX(1, 'ProductSprint Backlog'!$J426-'ProductSprint Backlog'!$I426), AND('ProductSprint Backlog'!$J426=L$2,'ProductSprint Backlog'!$I426=L$2), 'ProductSprint Backlog'!$F426, TRUE, 0)</f>
        <v/>
      </c>
      <c r="M426" s="4" t="str" cm="1">
        <f t="array" ref="M426">_xlfn.IFS('ProductSprint Backlog'!$F426="", "", AND('ProductSprint Backlog'!$J426&gt;M$2,'ProductSprint Backlog'!$I426&lt;=M$2), 'ProductSprint Backlog'!$F426 / MAX(1, 'ProductSprint Backlog'!$J426-'ProductSprint Backlog'!$I426), AND('ProductSprint Backlog'!$J426=M$2,'ProductSprint Backlog'!$I426=M$2), 'ProductSprint Backlog'!$F426, TRUE, 0)</f>
        <v/>
      </c>
      <c r="N426" s="4" t="str" cm="1">
        <f t="array" ref="N426">_xlfn.IFS('ProductSprint Backlog'!$F426="", "", AND('ProductSprint Backlog'!$J426&gt;N$2,'ProductSprint Backlog'!$I426&lt;=N$2), 'ProductSprint Backlog'!$F426 / MAX(1, 'ProductSprint Backlog'!$J426-'ProductSprint Backlog'!$I426), AND('ProductSprint Backlog'!$J426=N$2,'ProductSprint Backlog'!$I426=N$2), 'ProductSprint Backlog'!$F426, TRUE, 0)</f>
        <v/>
      </c>
      <c r="O426" s="4" t="str" cm="1">
        <f t="array" ref="O426">_xlfn.IFS('ProductSprint Backlog'!$F426="", "", AND('ProductSprint Backlog'!$J426&gt;O$2,'ProductSprint Backlog'!$I426&lt;=O$2), 'ProductSprint Backlog'!$F426 / MAX(1, 'ProductSprint Backlog'!$J426-'ProductSprint Backlog'!$I426), AND('ProductSprint Backlog'!$J426=O$2,'ProductSprint Backlog'!$I426=O$2), 'ProductSprint Backlog'!$F426, TRUE, 0)</f>
        <v/>
      </c>
      <c r="P426" s="4" t="str" cm="1">
        <f t="array" ref="P426">_xlfn.IFS('ProductSprint Backlog'!$F426="", "", AND('ProductSprint Backlog'!$J426&gt;P$2,'ProductSprint Backlog'!$I426&lt;=P$2), 'ProductSprint Backlog'!$F426 / MAX(1, 'ProductSprint Backlog'!$J426-'ProductSprint Backlog'!$I426), AND('ProductSprint Backlog'!$J426=P$2,'ProductSprint Backlog'!$I426=P$2), 'ProductSprint Backlog'!$F426, TRUE, 0)</f>
        <v/>
      </c>
      <c r="Q426" s="4" t="str" cm="1">
        <f t="array" ref="Q426">_xlfn.IFS('ProductSprint Backlog'!$F426="", "", AND('ProductSprint Backlog'!$J426&gt;Q$2,'ProductSprint Backlog'!$I426&lt;=Q$2), 'ProductSprint Backlog'!$F426 / MAX(1, 'ProductSprint Backlog'!$J426-'ProductSprint Backlog'!$I426), AND('ProductSprint Backlog'!$J426=Q$2,'ProductSprint Backlog'!$I426=Q$2), 'ProductSprint Backlog'!$F426, TRUE, 0)</f>
        <v/>
      </c>
    </row>
    <row r="427" spans="2:17" x14ac:dyDescent="0.2">
      <c r="B427" s="4" t="str" cm="1">
        <f t="array" ref="B427">_xlfn.IFS('ProductSprint Backlog'!$F427="", "", AND('ProductSprint Backlog'!$J427&gt;B$2,'ProductSprint Backlog'!$I427&lt;=B$2), 'ProductSprint Backlog'!$F427 / MAX(1, 'ProductSprint Backlog'!$J427-'ProductSprint Backlog'!$I427), AND('ProductSprint Backlog'!$J427=B$2,'ProductSprint Backlog'!$I427=B$2), 'ProductSprint Backlog'!$F427, TRUE, 0)</f>
        <v/>
      </c>
      <c r="C427" s="4" t="str" cm="1">
        <f t="array" ref="C427">_xlfn.IFS('ProductSprint Backlog'!$F427="", "", AND('ProductSprint Backlog'!$J427&gt;C$2,'ProductSprint Backlog'!$I427&lt;=C$2), 'ProductSprint Backlog'!$F427 / MAX(1, 'ProductSprint Backlog'!$J427-'ProductSprint Backlog'!$I427), AND('ProductSprint Backlog'!$J427=C$2,'ProductSprint Backlog'!$I427=C$2), 'ProductSprint Backlog'!$F427, TRUE, 0)</f>
        <v/>
      </c>
      <c r="D427" s="4" t="str" cm="1">
        <f t="array" ref="D427">_xlfn.IFS('ProductSprint Backlog'!$F427="", "", AND('ProductSprint Backlog'!$J427&gt;D$2,'ProductSprint Backlog'!$I427&lt;=D$2), 'ProductSprint Backlog'!$F427 / MAX(1, 'ProductSprint Backlog'!$J427-'ProductSprint Backlog'!$I427), AND('ProductSprint Backlog'!$J427=D$2,'ProductSprint Backlog'!$I427=D$2), 'ProductSprint Backlog'!$F427, TRUE, 0)</f>
        <v/>
      </c>
      <c r="E427" s="4" t="str" cm="1">
        <f t="array" ref="E427">_xlfn.IFS('ProductSprint Backlog'!$F427="", "", AND('ProductSprint Backlog'!$J427&gt;E$2,'ProductSprint Backlog'!$I427&lt;=E$2), 'ProductSprint Backlog'!$F427 / MAX(1, 'ProductSprint Backlog'!$J427-'ProductSprint Backlog'!$I427), AND('ProductSprint Backlog'!$J427=E$2,'ProductSprint Backlog'!$I427=E$2), 'ProductSprint Backlog'!$F427, TRUE, 0)</f>
        <v/>
      </c>
      <c r="F427" s="4" t="str" cm="1">
        <f t="array" ref="F427">_xlfn.IFS('ProductSprint Backlog'!$F427="", "", AND('ProductSprint Backlog'!$J427&gt;F$2,'ProductSprint Backlog'!$I427&lt;=F$2), 'ProductSprint Backlog'!$F427 / MAX(1, 'ProductSprint Backlog'!$J427-'ProductSprint Backlog'!$I427), AND('ProductSprint Backlog'!$J427=F$2,'ProductSprint Backlog'!$I427=F$2), 'ProductSprint Backlog'!$F427, TRUE, 0)</f>
        <v/>
      </c>
      <c r="G427" s="4" t="str" cm="1">
        <f t="array" ref="G427">_xlfn.IFS('ProductSprint Backlog'!$F427="", "", AND('ProductSprint Backlog'!$J427&gt;G$2,'ProductSprint Backlog'!$I427&lt;=G$2), 'ProductSprint Backlog'!$F427 / MAX(1, 'ProductSprint Backlog'!$J427-'ProductSprint Backlog'!$I427), AND('ProductSprint Backlog'!$J427=G$2,'ProductSprint Backlog'!$I427=G$2), 'ProductSprint Backlog'!$F427, TRUE, 0)</f>
        <v/>
      </c>
      <c r="H427" s="4" t="str" cm="1">
        <f t="array" ref="H427">_xlfn.IFS('ProductSprint Backlog'!$F427="", "", AND('ProductSprint Backlog'!$J427&gt;H$2,'ProductSprint Backlog'!$I427&lt;=H$2), 'ProductSprint Backlog'!$F427 / MAX(1, 'ProductSprint Backlog'!$J427-'ProductSprint Backlog'!$I427), AND('ProductSprint Backlog'!$J427=H$2,'ProductSprint Backlog'!$I427=H$2), 'ProductSprint Backlog'!$F427, TRUE, 0)</f>
        <v/>
      </c>
      <c r="I427" s="4" t="str" cm="1">
        <f t="array" ref="I427">_xlfn.IFS('ProductSprint Backlog'!$F427="", "", AND('ProductSprint Backlog'!$J427&gt;I$2,'ProductSprint Backlog'!$I427&lt;=I$2), 'ProductSprint Backlog'!$F427 / MAX(1, 'ProductSprint Backlog'!$J427-'ProductSprint Backlog'!$I427), AND('ProductSprint Backlog'!$J427=I$2,'ProductSprint Backlog'!$I427=I$2), 'ProductSprint Backlog'!$F427, TRUE, 0)</f>
        <v/>
      </c>
      <c r="J427" s="4" t="str" cm="1">
        <f t="array" ref="J427">_xlfn.IFS('ProductSprint Backlog'!$F427="", "", AND('ProductSprint Backlog'!$J427&gt;J$2,'ProductSprint Backlog'!$I427&lt;=J$2), 'ProductSprint Backlog'!$F427 / MAX(1, 'ProductSprint Backlog'!$J427-'ProductSprint Backlog'!$I427), AND('ProductSprint Backlog'!$J427=J$2,'ProductSprint Backlog'!$I427=J$2), 'ProductSprint Backlog'!$F427, TRUE, 0)</f>
        <v/>
      </c>
      <c r="K427" s="4" t="str" cm="1">
        <f t="array" ref="K427">_xlfn.IFS('ProductSprint Backlog'!$F427="", "", AND('ProductSprint Backlog'!$J427&gt;K$2,'ProductSprint Backlog'!$I427&lt;=K$2), 'ProductSprint Backlog'!$F427 / MAX(1, 'ProductSprint Backlog'!$J427-'ProductSprint Backlog'!$I427), AND('ProductSprint Backlog'!$J427=K$2,'ProductSprint Backlog'!$I427=K$2), 'ProductSprint Backlog'!$F427, TRUE, 0)</f>
        <v/>
      </c>
      <c r="L427" s="4" t="str" cm="1">
        <f t="array" ref="L427">_xlfn.IFS('ProductSprint Backlog'!$F427="", "", AND('ProductSprint Backlog'!$J427&gt;L$2,'ProductSprint Backlog'!$I427&lt;=L$2), 'ProductSprint Backlog'!$F427 / MAX(1, 'ProductSprint Backlog'!$J427-'ProductSprint Backlog'!$I427), AND('ProductSprint Backlog'!$J427=L$2,'ProductSprint Backlog'!$I427=L$2), 'ProductSprint Backlog'!$F427, TRUE, 0)</f>
        <v/>
      </c>
      <c r="M427" s="4" t="str" cm="1">
        <f t="array" ref="M427">_xlfn.IFS('ProductSprint Backlog'!$F427="", "", AND('ProductSprint Backlog'!$J427&gt;M$2,'ProductSprint Backlog'!$I427&lt;=M$2), 'ProductSprint Backlog'!$F427 / MAX(1, 'ProductSprint Backlog'!$J427-'ProductSprint Backlog'!$I427), AND('ProductSprint Backlog'!$J427=M$2,'ProductSprint Backlog'!$I427=M$2), 'ProductSprint Backlog'!$F427, TRUE, 0)</f>
        <v/>
      </c>
      <c r="N427" s="4" t="str" cm="1">
        <f t="array" ref="N427">_xlfn.IFS('ProductSprint Backlog'!$F427="", "", AND('ProductSprint Backlog'!$J427&gt;N$2,'ProductSprint Backlog'!$I427&lt;=N$2), 'ProductSprint Backlog'!$F427 / MAX(1, 'ProductSprint Backlog'!$J427-'ProductSprint Backlog'!$I427), AND('ProductSprint Backlog'!$J427=N$2,'ProductSprint Backlog'!$I427=N$2), 'ProductSprint Backlog'!$F427, TRUE, 0)</f>
        <v/>
      </c>
      <c r="O427" s="4" t="str" cm="1">
        <f t="array" ref="O427">_xlfn.IFS('ProductSprint Backlog'!$F427="", "", AND('ProductSprint Backlog'!$J427&gt;O$2,'ProductSprint Backlog'!$I427&lt;=O$2), 'ProductSprint Backlog'!$F427 / MAX(1, 'ProductSprint Backlog'!$J427-'ProductSprint Backlog'!$I427), AND('ProductSprint Backlog'!$J427=O$2,'ProductSprint Backlog'!$I427=O$2), 'ProductSprint Backlog'!$F427, TRUE, 0)</f>
        <v/>
      </c>
      <c r="P427" s="4" t="str" cm="1">
        <f t="array" ref="P427">_xlfn.IFS('ProductSprint Backlog'!$F427="", "", AND('ProductSprint Backlog'!$J427&gt;P$2,'ProductSprint Backlog'!$I427&lt;=P$2), 'ProductSprint Backlog'!$F427 / MAX(1, 'ProductSprint Backlog'!$J427-'ProductSprint Backlog'!$I427), AND('ProductSprint Backlog'!$J427=P$2,'ProductSprint Backlog'!$I427=P$2), 'ProductSprint Backlog'!$F427, TRUE, 0)</f>
        <v/>
      </c>
      <c r="Q427" s="4" t="str" cm="1">
        <f t="array" ref="Q427">_xlfn.IFS('ProductSprint Backlog'!$F427="", "", AND('ProductSprint Backlog'!$J427&gt;Q$2,'ProductSprint Backlog'!$I427&lt;=Q$2), 'ProductSprint Backlog'!$F427 / MAX(1, 'ProductSprint Backlog'!$J427-'ProductSprint Backlog'!$I427), AND('ProductSprint Backlog'!$J427=Q$2,'ProductSprint Backlog'!$I427=Q$2), 'ProductSprint Backlog'!$F427, TRUE, 0)</f>
        <v/>
      </c>
    </row>
    <row r="428" spans="2:17" x14ac:dyDescent="0.2">
      <c r="B428" s="4" t="str" cm="1">
        <f t="array" ref="B428">_xlfn.IFS('ProductSprint Backlog'!$F428="", "", AND('ProductSprint Backlog'!$J428&gt;B$2,'ProductSprint Backlog'!$I428&lt;=B$2), 'ProductSprint Backlog'!$F428 / MAX(1, 'ProductSprint Backlog'!$J428-'ProductSprint Backlog'!$I428), AND('ProductSprint Backlog'!$J428=B$2,'ProductSprint Backlog'!$I428=B$2), 'ProductSprint Backlog'!$F428, TRUE, 0)</f>
        <v/>
      </c>
      <c r="C428" s="4" t="str" cm="1">
        <f t="array" ref="C428">_xlfn.IFS('ProductSprint Backlog'!$F428="", "", AND('ProductSprint Backlog'!$J428&gt;C$2,'ProductSprint Backlog'!$I428&lt;=C$2), 'ProductSprint Backlog'!$F428 / MAX(1, 'ProductSprint Backlog'!$J428-'ProductSprint Backlog'!$I428), AND('ProductSprint Backlog'!$J428=C$2,'ProductSprint Backlog'!$I428=C$2), 'ProductSprint Backlog'!$F428, TRUE, 0)</f>
        <v/>
      </c>
      <c r="D428" s="4" t="str" cm="1">
        <f t="array" ref="D428">_xlfn.IFS('ProductSprint Backlog'!$F428="", "", AND('ProductSprint Backlog'!$J428&gt;D$2,'ProductSprint Backlog'!$I428&lt;=D$2), 'ProductSprint Backlog'!$F428 / MAX(1, 'ProductSprint Backlog'!$J428-'ProductSprint Backlog'!$I428), AND('ProductSprint Backlog'!$J428=D$2,'ProductSprint Backlog'!$I428=D$2), 'ProductSprint Backlog'!$F428, TRUE, 0)</f>
        <v/>
      </c>
      <c r="E428" s="4" t="str" cm="1">
        <f t="array" ref="E428">_xlfn.IFS('ProductSprint Backlog'!$F428="", "", AND('ProductSprint Backlog'!$J428&gt;E$2,'ProductSprint Backlog'!$I428&lt;=E$2), 'ProductSprint Backlog'!$F428 / MAX(1, 'ProductSprint Backlog'!$J428-'ProductSprint Backlog'!$I428), AND('ProductSprint Backlog'!$J428=E$2,'ProductSprint Backlog'!$I428=E$2), 'ProductSprint Backlog'!$F428, TRUE, 0)</f>
        <v/>
      </c>
      <c r="F428" s="4" t="str" cm="1">
        <f t="array" ref="F428">_xlfn.IFS('ProductSprint Backlog'!$F428="", "", AND('ProductSprint Backlog'!$J428&gt;F$2,'ProductSprint Backlog'!$I428&lt;=F$2), 'ProductSprint Backlog'!$F428 / MAX(1, 'ProductSprint Backlog'!$J428-'ProductSprint Backlog'!$I428), AND('ProductSprint Backlog'!$J428=F$2,'ProductSprint Backlog'!$I428=F$2), 'ProductSprint Backlog'!$F428, TRUE, 0)</f>
        <v/>
      </c>
      <c r="G428" s="4" t="str" cm="1">
        <f t="array" ref="G428">_xlfn.IFS('ProductSprint Backlog'!$F428="", "", AND('ProductSprint Backlog'!$J428&gt;G$2,'ProductSprint Backlog'!$I428&lt;=G$2), 'ProductSprint Backlog'!$F428 / MAX(1, 'ProductSprint Backlog'!$J428-'ProductSprint Backlog'!$I428), AND('ProductSprint Backlog'!$J428=G$2,'ProductSprint Backlog'!$I428=G$2), 'ProductSprint Backlog'!$F428, TRUE, 0)</f>
        <v/>
      </c>
      <c r="H428" s="4" t="str" cm="1">
        <f t="array" ref="H428">_xlfn.IFS('ProductSprint Backlog'!$F428="", "", AND('ProductSprint Backlog'!$J428&gt;H$2,'ProductSprint Backlog'!$I428&lt;=H$2), 'ProductSprint Backlog'!$F428 / MAX(1, 'ProductSprint Backlog'!$J428-'ProductSprint Backlog'!$I428), AND('ProductSprint Backlog'!$J428=H$2,'ProductSprint Backlog'!$I428=H$2), 'ProductSprint Backlog'!$F428, TRUE, 0)</f>
        <v/>
      </c>
      <c r="I428" s="4" t="str" cm="1">
        <f t="array" ref="I428">_xlfn.IFS('ProductSprint Backlog'!$F428="", "", AND('ProductSprint Backlog'!$J428&gt;I$2,'ProductSprint Backlog'!$I428&lt;=I$2), 'ProductSprint Backlog'!$F428 / MAX(1, 'ProductSprint Backlog'!$J428-'ProductSprint Backlog'!$I428), AND('ProductSprint Backlog'!$J428=I$2,'ProductSprint Backlog'!$I428=I$2), 'ProductSprint Backlog'!$F428, TRUE, 0)</f>
        <v/>
      </c>
      <c r="J428" s="4" t="str" cm="1">
        <f t="array" ref="J428">_xlfn.IFS('ProductSprint Backlog'!$F428="", "", AND('ProductSprint Backlog'!$J428&gt;J$2,'ProductSprint Backlog'!$I428&lt;=J$2), 'ProductSprint Backlog'!$F428 / MAX(1, 'ProductSprint Backlog'!$J428-'ProductSprint Backlog'!$I428), AND('ProductSprint Backlog'!$J428=J$2,'ProductSprint Backlog'!$I428=J$2), 'ProductSprint Backlog'!$F428, TRUE, 0)</f>
        <v/>
      </c>
      <c r="K428" s="4" t="str" cm="1">
        <f t="array" ref="K428">_xlfn.IFS('ProductSprint Backlog'!$F428="", "", AND('ProductSprint Backlog'!$J428&gt;K$2,'ProductSprint Backlog'!$I428&lt;=K$2), 'ProductSprint Backlog'!$F428 / MAX(1, 'ProductSprint Backlog'!$J428-'ProductSprint Backlog'!$I428), AND('ProductSprint Backlog'!$J428=K$2,'ProductSprint Backlog'!$I428=K$2), 'ProductSprint Backlog'!$F428, TRUE, 0)</f>
        <v/>
      </c>
      <c r="L428" s="4" t="str" cm="1">
        <f t="array" ref="L428">_xlfn.IFS('ProductSprint Backlog'!$F428="", "", AND('ProductSprint Backlog'!$J428&gt;L$2,'ProductSprint Backlog'!$I428&lt;=L$2), 'ProductSprint Backlog'!$F428 / MAX(1, 'ProductSprint Backlog'!$J428-'ProductSprint Backlog'!$I428), AND('ProductSprint Backlog'!$J428=L$2,'ProductSprint Backlog'!$I428=L$2), 'ProductSprint Backlog'!$F428, TRUE, 0)</f>
        <v/>
      </c>
      <c r="M428" s="4" t="str" cm="1">
        <f t="array" ref="M428">_xlfn.IFS('ProductSprint Backlog'!$F428="", "", AND('ProductSprint Backlog'!$J428&gt;M$2,'ProductSprint Backlog'!$I428&lt;=M$2), 'ProductSprint Backlog'!$F428 / MAX(1, 'ProductSprint Backlog'!$J428-'ProductSprint Backlog'!$I428), AND('ProductSprint Backlog'!$J428=M$2,'ProductSprint Backlog'!$I428=M$2), 'ProductSprint Backlog'!$F428, TRUE, 0)</f>
        <v/>
      </c>
      <c r="N428" s="4" t="str" cm="1">
        <f t="array" ref="N428">_xlfn.IFS('ProductSprint Backlog'!$F428="", "", AND('ProductSprint Backlog'!$J428&gt;N$2,'ProductSprint Backlog'!$I428&lt;=N$2), 'ProductSprint Backlog'!$F428 / MAX(1, 'ProductSprint Backlog'!$J428-'ProductSprint Backlog'!$I428), AND('ProductSprint Backlog'!$J428=N$2,'ProductSprint Backlog'!$I428=N$2), 'ProductSprint Backlog'!$F428, TRUE, 0)</f>
        <v/>
      </c>
      <c r="O428" s="4" t="str" cm="1">
        <f t="array" ref="O428">_xlfn.IFS('ProductSprint Backlog'!$F428="", "", AND('ProductSprint Backlog'!$J428&gt;O$2,'ProductSprint Backlog'!$I428&lt;=O$2), 'ProductSprint Backlog'!$F428 / MAX(1, 'ProductSprint Backlog'!$J428-'ProductSprint Backlog'!$I428), AND('ProductSprint Backlog'!$J428=O$2,'ProductSprint Backlog'!$I428=O$2), 'ProductSprint Backlog'!$F428, TRUE, 0)</f>
        <v/>
      </c>
      <c r="P428" s="4" t="str" cm="1">
        <f t="array" ref="P428">_xlfn.IFS('ProductSprint Backlog'!$F428="", "", AND('ProductSprint Backlog'!$J428&gt;P$2,'ProductSprint Backlog'!$I428&lt;=P$2), 'ProductSprint Backlog'!$F428 / MAX(1, 'ProductSprint Backlog'!$J428-'ProductSprint Backlog'!$I428), AND('ProductSprint Backlog'!$J428=P$2,'ProductSprint Backlog'!$I428=P$2), 'ProductSprint Backlog'!$F428, TRUE, 0)</f>
        <v/>
      </c>
      <c r="Q428" s="4" t="str" cm="1">
        <f t="array" ref="Q428">_xlfn.IFS('ProductSprint Backlog'!$F428="", "", AND('ProductSprint Backlog'!$J428&gt;Q$2,'ProductSprint Backlog'!$I428&lt;=Q$2), 'ProductSprint Backlog'!$F428 / MAX(1, 'ProductSprint Backlog'!$J428-'ProductSprint Backlog'!$I428), AND('ProductSprint Backlog'!$J428=Q$2,'ProductSprint Backlog'!$I428=Q$2), 'ProductSprint Backlog'!$F428, TRUE, 0)</f>
        <v/>
      </c>
    </row>
    <row r="429" spans="2:17" x14ac:dyDescent="0.2">
      <c r="B429" s="4" t="str" cm="1">
        <f t="array" ref="B429">_xlfn.IFS('ProductSprint Backlog'!$F429="", "", AND('ProductSprint Backlog'!$J429&gt;B$2,'ProductSprint Backlog'!$I429&lt;=B$2), 'ProductSprint Backlog'!$F429 / MAX(1, 'ProductSprint Backlog'!$J429-'ProductSprint Backlog'!$I429), AND('ProductSprint Backlog'!$J429=B$2,'ProductSprint Backlog'!$I429=B$2), 'ProductSprint Backlog'!$F429, TRUE, 0)</f>
        <v/>
      </c>
      <c r="C429" s="4" t="str" cm="1">
        <f t="array" ref="C429">_xlfn.IFS('ProductSprint Backlog'!$F429="", "", AND('ProductSprint Backlog'!$J429&gt;C$2,'ProductSprint Backlog'!$I429&lt;=C$2), 'ProductSprint Backlog'!$F429 / MAX(1, 'ProductSprint Backlog'!$J429-'ProductSprint Backlog'!$I429), AND('ProductSprint Backlog'!$J429=C$2,'ProductSprint Backlog'!$I429=C$2), 'ProductSprint Backlog'!$F429, TRUE, 0)</f>
        <v/>
      </c>
      <c r="D429" s="4" t="str" cm="1">
        <f t="array" ref="D429">_xlfn.IFS('ProductSprint Backlog'!$F429="", "", AND('ProductSprint Backlog'!$J429&gt;D$2,'ProductSprint Backlog'!$I429&lt;=D$2), 'ProductSprint Backlog'!$F429 / MAX(1, 'ProductSprint Backlog'!$J429-'ProductSprint Backlog'!$I429), AND('ProductSprint Backlog'!$J429=D$2,'ProductSprint Backlog'!$I429=D$2), 'ProductSprint Backlog'!$F429, TRUE, 0)</f>
        <v/>
      </c>
      <c r="E429" s="4" t="str" cm="1">
        <f t="array" ref="E429">_xlfn.IFS('ProductSprint Backlog'!$F429="", "", AND('ProductSprint Backlog'!$J429&gt;E$2,'ProductSprint Backlog'!$I429&lt;=E$2), 'ProductSprint Backlog'!$F429 / MAX(1, 'ProductSprint Backlog'!$J429-'ProductSprint Backlog'!$I429), AND('ProductSprint Backlog'!$J429=E$2,'ProductSprint Backlog'!$I429=E$2), 'ProductSprint Backlog'!$F429, TRUE, 0)</f>
        <v/>
      </c>
      <c r="F429" s="4" t="str" cm="1">
        <f t="array" ref="F429">_xlfn.IFS('ProductSprint Backlog'!$F429="", "", AND('ProductSprint Backlog'!$J429&gt;F$2,'ProductSprint Backlog'!$I429&lt;=F$2), 'ProductSprint Backlog'!$F429 / MAX(1, 'ProductSprint Backlog'!$J429-'ProductSprint Backlog'!$I429), AND('ProductSprint Backlog'!$J429=F$2,'ProductSprint Backlog'!$I429=F$2), 'ProductSprint Backlog'!$F429, TRUE, 0)</f>
        <v/>
      </c>
      <c r="G429" s="4" t="str" cm="1">
        <f t="array" ref="G429">_xlfn.IFS('ProductSprint Backlog'!$F429="", "", AND('ProductSprint Backlog'!$J429&gt;G$2,'ProductSprint Backlog'!$I429&lt;=G$2), 'ProductSprint Backlog'!$F429 / MAX(1, 'ProductSprint Backlog'!$J429-'ProductSprint Backlog'!$I429), AND('ProductSprint Backlog'!$J429=G$2,'ProductSprint Backlog'!$I429=G$2), 'ProductSprint Backlog'!$F429, TRUE, 0)</f>
        <v/>
      </c>
      <c r="H429" s="4" t="str" cm="1">
        <f t="array" ref="H429">_xlfn.IFS('ProductSprint Backlog'!$F429="", "", AND('ProductSprint Backlog'!$J429&gt;H$2,'ProductSprint Backlog'!$I429&lt;=H$2), 'ProductSprint Backlog'!$F429 / MAX(1, 'ProductSprint Backlog'!$J429-'ProductSprint Backlog'!$I429), AND('ProductSprint Backlog'!$J429=H$2,'ProductSprint Backlog'!$I429=H$2), 'ProductSprint Backlog'!$F429, TRUE, 0)</f>
        <v/>
      </c>
      <c r="I429" s="4" t="str" cm="1">
        <f t="array" ref="I429">_xlfn.IFS('ProductSprint Backlog'!$F429="", "", AND('ProductSprint Backlog'!$J429&gt;I$2,'ProductSprint Backlog'!$I429&lt;=I$2), 'ProductSprint Backlog'!$F429 / MAX(1, 'ProductSprint Backlog'!$J429-'ProductSprint Backlog'!$I429), AND('ProductSprint Backlog'!$J429=I$2,'ProductSprint Backlog'!$I429=I$2), 'ProductSprint Backlog'!$F429, TRUE, 0)</f>
        <v/>
      </c>
      <c r="J429" s="4" t="str" cm="1">
        <f t="array" ref="J429">_xlfn.IFS('ProductSprint Backlog'!$F429="", "", AND('ProductSprint Backlog'!$J429&gt;J$2,'ProductSprint Backlog'!$I429&lt;=J$2), 'ProductSprint Backlog'!$F429 / MAX(1, 'ProductSprint Backlog'!$J429-'ProductSprint Backlog'!$I429), AND('ProductSprint Backlog'!$J429=J$2,'ProductSprint Backlog'!$I429=J$2), 'ProductSprint Backlog'!$F429, TRUE, 0)</f>
        <v/>
      </c>
      <c r="K429" s="4" t="str" cm="1">
        <f t="array" ref="K429">_xlfn.IFS('ProductSprint Backlog'!$F429="", "", AND('ProductSprint Backlog'!$J429&gt;K$2,'ProductSprint Backlog'!$I429&lt;=K$2), 'ProductSprint Backlog'!$F429 / MAX(1, 'ProductSprint Backlog'!$J429-'ProductSprint Backlog'!$I429), AND('ProductSprint Backlog'!$J429=K$2,'ProductSprint Backlog'!$I429=K$2), 'ProductSprint Backlog'!$F429, TRUE, 0)</f>
        <v/>
      </c>
      <c r="L429" s="4" t="str" cm="1">
        <f t="array" ref="L429">_xlfn.IFS('ProductSprint Backlog'!$F429="", "", AND('ProductSprint Backlog'!$J429&gt;L$2,'ProductSprint Backlog'!$I429&lt;=L$2), 'ProductSprint Backlog'!$F429 / MAX(1, 'ProductSprint Backlog'!$J429-'ProductSprint Backlog'!$I429), AND('ProductSprint Backlog'!$J429=L$2,'ProductSprint Backlog'!$I429=L$2), 'ProductSprint Backlog'!$F429, TRUE, 0)</f>
        <v/>
      </c>
      <c r="M429" s="4" t="str" cm="1">
        <f t="array" ref="M429">_xlfn.IFS('ProductSprint Backlog'!$F429="", "", AND('ProductSprint Backlog'!$J429&gt;M$2,'ProductSprint Backlog'!$I429&lt;=M$2), 'ProductSprint Backlog'!$F429 / MAX(1, 'ProductSprint Backlog'!$J429-'ProductSprint Backlog'!$I429), AND('ProductSprint Backlog'!$J429=M$2,'ProductSprint Backlog'!$I429=M$2), 'ProductSprint Backlog'!$F429, TRUE, 0)</f>
        <v/>
      </c>
      <c r="N429" s="4" t="str" cm="1">
        <f t="array" ref="N429">_xlfn.IFS('ProductSprint Backlog'!$F429="", "", AND('ProductSprint Backlog'!$J429&gt;N$2,'ProductSprint Backlog'!$I429&lt;=N$2), 'ProductSprint Backlog'!$F429 / MAX(1, 'ProductSprint Backlog'!$J429-'ProductSprint Backlog'!$I429), AND('ProductSprint Backlog'!$J429=N$2,'ProductSprint Backlog'!$I429=N$2), 'ProductSprint Backlog'!$F429, TRUE, 0)</f>
        <v/>
      </c>
      <c r="O429" s="4" t="str" cm="1">
        <f t="array" ref="O429">_xlfn.IFS('ProductSprint Backlog'!$F429="", "", AND('ProductSprint Backlog'!$J429&gt;O$2,'ProductSprint Backlog'!$I429&lt;=O$2), 'ProductSprint Backlog'!$F429 / MAX(1, 'ProductSprint Backlog'!$J429-'ProductSprint Backlog'!$I429), AND('ProductSprint Backlog'!$J429=O$2,'ProductSprint Backlog'!$I429=O$2), 'ProductSprint Backlog'!$F429, TRUE, 0)</f>
        <v/>
      </c>
      <c r="P429" s="4" t="str" cm="1">
        <f t="array" ref="P429">_xlfn.IFS('ProductSprint Backlog'!$F429="", "", AND('ProductSprint Backlog'!$J429&gt;P$2,'ProductSprint Backlog'!$I429&lt;=P$2), 'ProductSprint Backlog'!$F429 / MAX(1, 'ProductSprint Backlog'!$J429-'ProductSprint Backlog'!$I429), AND('ProductSprint Backlog'!$J429=P$2,'ProductSprint Backlog'!$I429=P$2), 'ProductSprint Backlog'!$F429, TRUE, 0)</f>
        <v/>
      </c>
      <c r="Q429" s="4" t="str" cm="1">
        <f t="array" ref="Q429">_xlfn.IFS('ProductSprint Backlog'!$F429="", "", AND('ProductSprint Backlog'!$J429&gt;Q$2,'ProductSprint Backlog'!$I429&lt;=Q$2), 'ProductSprint Backlog'!$F429 / MAX(1, 'ProductSprint Backlog'!$J429-'ProductSprint Backlog'!$I429), AND('ProductSprint Backlog'!$J429=Q$2,'ProductSprint Backlog'!$I429=Q$2), 'ProductSprint Backlog'!$F429, TRUE, 0)</f>
        <v/>
      </c>
    </row>
    <row r="430" spans="2:17" x14ac:dyDescent="0.2">
      <c r="B430" s="4" t="str" cm="1">
        <f t="array" ref="B430">_xlfn.IFS('ProductSprint Backlog'!$F430="", "", AND('ProductSprint Backlog'!$J430&gt;B$2,'ProductSprint Backlog'!$I430&lt;=B$2), 'ProductSprint Backlog'!$F430 / MAX(1, 'ProductSprint Backlog'!$J430-'ProductSprint Backlog'!$I430), AND('ProductSprint Backlog'!$J430=B$2,'ProductSprint Backlog'!$I430=B$2), 'ProductSprint Backlog'!$F430, TRUE, 0)</f>
        <v/>
      </c>
      <c r="C430" s="4" t="str" cm="1">
        <f t="array" ref="C430">_xlfn.IFS('ProductSprint Backlog'!$F430="", "", AND('ProductSprint Backlog'!$J430&gt;C$2,'ProductSprint Backlog'!$I430&lt;=C$2), 'ProductSprint Backlog'!$F430 / MAX(1, 'ProductSprint Backlog'!$J430-'ProductSprint Backlog'!$I430), AND('ProductSprint Backlog'!$J430=C$2,'ProductSprint Backlog'!$I430=C$2), 'ProductSprint Backlog'!$F430, TRUE, 0)</f>
        <v/>
      </c>
      <c r="D430" s="4" t="str" cm="1">
        <f t="array" ref="D430">_xlfn.IFS('ProductSprint Backlog'!$F430="", "", AND('ProductSprint Backlog'!$J430&gt;D$2,'ProductSprint Backlog'!$I430&lt;=D$2), 'ProductSprint Backlog'!$F430 / MAX(1, 'ProductSprint Backlog'!$J430-'ProductSprint Backlog'!$I430), AND('ProductSprint Backlog'!$J430=D$2,'ProductSprint Backlog'!$I430=D$2), 'ProductSprint Backlog'!$F430, TRUE, 0)</f>
        <v/>
      </c>
      <c r="E430" s="4" t="str" cm="1">
        <f t="array" ref="E430">_xlfn.IFS('ProductSprint Backlog'!$F430="", "", AND('ProductSprint Backlog'!$J430&gt;E$2,'ProductSprint Backlog'!$I430&lt;=E$2), 'ProductSprint Backlog'!$F430 / MAX(1, 'ProductSprint Backlog'!$J430-'ProductSprint Backlog'!$I430), AND('ProductSprint Backlog'!$J430=E$2,'ProductSprint Backlog'!$I430=E$2), 'ProductSprint Backlog'!$F430, TRUE, 0)</f>
        <v/>
      </c>
      <c r="F430" s="4" t="str" cm="1">
        <f t="array" ref="F430">_xlfn.IFS('ProductSprint Backlog'!$F430="", "", AND('ProductSprint Backlog'!$J430&gt;F$2,'ProductSprint Backlog'!$I430&lt;=F$2), 'ProductSprint Backlog'!$F430 / MAX(1, 'ProductSprint Backlog'!$J430-'ProductSprint Backlog'!$I430), AND('ProductSprint Backlog'!$J430=F$2,'ProductSprint Backlog'!$I430=F$2), 'ProductSprint Backlog'!$F430, TRUE, 0)</f>
        <v/>
      </c>
      <c r="G430" s="4" t="str" cm="1">
        <f t="array" ref="G430">_xlfn.IFS('ProductSprint Backlog'!$F430="", "", AND('ProductSprint Backlog'!$J430&gt;G$2,'ProductSprint Backlog'!$I430&lt;=G$2), 'ProductSprint Backlog'!$F430 / MAX(1, 'ProductSprint Backlog'!$J430-'ProductSprint Backlog'!$I430), AND('ProductSprint Backlog'!$J430=G$2,'ProductSprint Backlog'!$I430=G$2), 'ProductSprint Backlog'!$F430, TRUE, 0)</f>
        <v/>
      </c>
      <c r="H430" s="4" t="str" cm="1">
        <f t="array" ref="H430">_xlfn.IFS('ProductSprint Backlog'!$F430="", "", AND('ProductSprint Backlog'!$J430&gt;H$2,'ProductSprint Backlog'!$I430&lt;=H$2), 'ProductSprint Backlog'!$F430 / MAX(1, 'ProductSprint Backlog'!$J430-'ProductSprint Backlog'!$I430), AND('ProductSprint Backlog'!$J430=H$2,'ProductSprint Backlog'!$I430=H$2), 'ProductSprint Backlog'!$F430, TRUE, 0)</f>
        <v/>
      </c>
      <c r="I430" s="4" t="str" cm="1">
        <f t="array" ref="I430">_xlfn.IFS('ProductSprint Backlog'!$F430="", "", AND('ProductSprint Backlog'!$J430&gt;I$2,'ProductSprint Backlog'!$I430&lt;=I$2), 'ProductSprint Backlog'!$F430 / MAX(1, 'ProductSprint Backlog'!$J430-'ProductSprint Backlog'!$I430), AND('ProductSprint Backlog'!$J430=I$2,'ProductSprint Backlog'!$I430=I$2), 'ProductSprint Backlog'!$F430, TRUE, 0)</f>
        <v/>
      </c>
      <c r="J430" s="4" t="str" cm="1">
        <f t="array" ref="J430">_xlfn.IFS('ProductSprint Backlog'!$F430="", "", AND('ProductSprint Backlog'!$J430&gt;J$2,'ProductSprint Backlog'!$I430&lt;=J$2), 'ProductSprint Backlog'!$F430 / MAX(1, 'ProductSprint Backlog'!$J430-'ProductSprint Backlog'!$I430), AND('ProductSprint Backlog'!$J430=J$2,'ProductSprint Backlog'!$I430=J$2), 'ProductSprint Backlog'!$F430, TRUE, 0)</f>
        <v/>
      </c>
      <c r="K430" s="4" t="str" cm="1">
        <f t="array" ref="K430">_xlfn.IFS('ProductSprint Backlog'!$F430="", "", AND('ProductSprint Backlog'!$J430&gt;K$2,'ProductSprint Backlog'!$I430&lt;=K$2), 'ProductSprint Backlog'!$F430 / MAX(1, 'ProductSprint Backlog'!$J430-'ProductSprint Backlog'!$I430), AND('ProductSprint Backlog'!$J430=K$2,'ProductSprint Backlog'!$I430=K$2), 'ProductSprint Backlog'!$F430, TRUE, 0)</f>
        <v/>
      </c>
      <c r="L430" s="4" t="str" cm="1">
        <f t="array" ref="L430">_xlfn.IFS('ProductSprint Backlog'!$F430="", "", AND('ProductSprint Backlog'!$J430&gt;L$2,'ProductSprint Backlog'!$I430&lt;=L$2), 'ProductSprint Backlog'!$F430 / MAX(1, 'ProductSprint Backlog'!$J430-'ProductSprint Backlog'!$I430), AND('ProductSprint Backlog'!$J430=L$2,'ProductSprint Backlog'!$I430=L$2), 'ProductSprint Backlog'!$F430, TRUE, 0)</f>
        <v/>
      </c>
      <c r="M430" s="4" t="str" cm="1">
        <f t="array" ref="M430">_xlfn.IFS('ProductSprint Backlog'!$F430="", "", AND('ProductSprint Backlog'!$J430&gt;M$2,'ProductSprint Backlog'!$I430&lt;=M$2), 'ProductSprint Backlog'!$F430 / MAX(1, 'ProductSprint Backlog'!$J430-'ProductSprint Backlog'!$I430), AND('ProductSprint Backlog'!$J430=M$2,'ProductSprint Backlog'!$I430=M$2), 'ProductSprint Backlog'!$F430, TRUE, 0)</f>
        <v/>
      </c>
      <c r="N430" s="4" t="str" cm="1">
        <f t="array" ref="N430">_xlfn.IFS('ProductSprint Backlog'!$F430="", "", AND('ProductSprint Backlog'!$J430&gt;N$2,'ProductSprint Backlog'!$I430&lt;=N$2), 'ProductSprint Backlog'!$F430 / MAX(1, 'ProductSprint Backlog'!$J430-'ProductSprint Backlog'!$I430), AND('ProductSprint Backlog'!$J430=N$2,'ProductSprint Backlog'!$I430=N$2), 'ProductSprint Backlog'!$F430, TRUE, 0)</f>
        <v/>
      </c>
      <c r="O430" s="4" t="str" cm="1">
        <f t="array" ref="O430">_xlfn.IFS('ProductSprint Backlog'!$F430="", "", AND('ProductSprint Backlog'!$J430&gt;O$2,'ProductSprint Backlog'!$I430&lt;=O$2), 'ProductSprint Backlog'!$F430 / MAX(1, 'ProductSprint Backlog'!$J430-'ProductSprint Backlog'!$I430), AND('ProductSprint Backlog'!$J430=O$2,'ProductSprint Backlog'!$I430=O$2), 'ProductSprint Backlog'!$F430, TRUE, 0)</f>
        <v/>
      </c>
      <c r="P430" s="4" t="str" cm="1">
        <f t="array" ref="P430">_xlfn.IFS('ProductSprint Backlog'!$F430="", "", AND('ProductSprint Backlog'!$J430&gt;P$2,'ProductSprint Backlog'!$I430&lt;=P$2), 'ProductSprint Backlog'!$F430 / MAX(1, 'ProductSprint Backlog'!$J430-'ProductSprint Backlog'!$I430), AND('ProductSprint Backlog'!$J430=P$2,'ProductSprint Backlog'!$I430=P$2), 'ProductSprint Backlog'!$F430, TRUE, 0)</f>
        <v/>
      </c>
      <c r="Q430" s="4" t="str" cm="1">
        <f t="array" ref="Q430">_xlfn.IFS('ProductSprint Backlog'!$F430="", "", AND('ProductSprint Backlog'!$J430&gt;Q$2,'ProductSprint Backlog'!$I430&lt;=Q$2), 'ProductSprint Backlog'!$F430 / MAX(1, 'ProductSprint Backlog'!$J430-'ProductSprint Backlog'!$I430), AND('ProductSprint Backlog'!$J430=Q$2,'ProductSprint Backlog'!$I430=Q$2), 'ProductSprint Backlog'!$F430, TRUE, 0)</f>
        <v/>
      </c>
    </row>
    <row r="431" spans="2:17" x14ac:dyDescent="0.2">
      <c r="B431" s="4" t="str" cm="1">
        <f t="array" ref="B431">_xlfn.IFS('ProductSprint Backlog'!$F431="", "", AND('ProductSprint Backlog'!$J431&gt;B$2,'ProductSprint Backlog'!$I431&lt;=B$2), 'ProductSprint Backlog'!$F431 / MAX(1, 'ProductSprint Backlog'!$J431-'ProductSprint Backlog'!$I431), AND('ProductSprint Backlog'!$J431=B$2,'ProductSprint Backlog'!$I431=B$2), 'ProductSprint Backlog'!$F431, TRUE, 0)</f>
        <v/>
      </c>
      <c r="C431" s="4" t="str" cm="1">
        <f t="array" ref="C431">_xlfn.IFS('ProductSprint Backlog'!$F431="", "", AND('ProductSprint Backlog'!$J431&gt;C$2,'ProductSprint Backlog'!$I431&lt;=C$2), 'ProductSprint Backlog'!$F431 / MAX(1, 'ProductSprint Backlog'!$J431-'ProductSprint Backlog'!$I431), AND('ProductSprint Backlog'!$J431=C$2,'ProductSprint Backlog'!$I431=C$2), 'ProductSprint Backlog'!$F431, TRUE, 0)</f>
        <v/>
      </c>
      <c r="D431" s="4" t="str" cm="1">
        <f t="array" ref="D431">_xlfn.IFS('ProductSprint Backlog'!$F431="", "", AND('ProductSprint Backlog'!$J431&gt;D$2,'ProductSprint Backlog'!$I431&lt;=D$2), 'ProductSprint Backlog'!$F431 / MAX(1, 'ProductSprint Backlog'!$J431-'ProductSprint Backlog'!$I431), AND('ProductSprint Backlog'!$J431=D$2,'ProductSprint Backlog'!$I431=D$2), 'ProductSprint Backlog'!$F431, TRUE, 0)</f>
        <v/>
      </c>
      <c r="E431" s="4" t="str" cm="1">
        <f t="array" ref="E431">_xlfn.IFS('ProductSprint Backlog'!$F431="", "", AND('ProductSprint Backlog'!$J431&gt;E$2,'ProductSprint Backlog'!$I431&lt;=E$2), 'ProductSprint Backlog'!$F431 / MAX(1, 'ProductSprint Backlog'!$J431-'ProductSprint Backlog'!$I431), AND('ProductSprint Backlog'!$J431=E$2,'ProductSprint Backlog'!$I431=E$2), 'ProductSprint Backlog'!$F431, TRUE, 0)</f>
        <v/>
      </c>
      <c r="F431" s="4" t="str" cm="1">
        <f t="array" ref="F431">_xlfn.IFS('ProductSprint Backlog'!$F431="", "", AND('ProductSprint Backlog'!$J431&gt;F$2,'ProductSprint Backlog'!$I431&lt;=F$2), 'ProductSprint Backlog'!$F431 / MAX(1, 'ProductSprint Backlog'!$J431-'ProductSprint Backlog'!$I431), AND('ProductSprint Backlog'!$J431=F$2,'ProductSprint Backlog'!$I431=F$2), 'ProductSprint Backlog'!$F431, TRUE, 0)</f>
        <v/>
      </c>
      <c r="G431" s="4" t="str" cm="1">
        <f t="array" ref="G431">_xlfn.IFS('ProductSprint Backlog'!$F431="", "", AND('ProductSprint Backlog'!$J431&gt;G$2,'ProductSprint Backlog'!$I431&lt;=G$2), 'ProductSprint Backlog'!$F431 / MAX(1, 'ProductSprint Backlog'!$J431-'ProductSprint Backlog'!$I431), AND('ProductSprint Backlog'!$J431=G$2,'ProductSprint Backlog'!$I431=G$2), 'ProductSprint Backlog'!$F431, TRUE, 0)</f>
        <v/>
      </c>
      <c r="H431" s="4" t="str" cm="1">
        <f t="array" ref="H431">_xlfn.IFS('ProductSprint Backlog'!$F431="", "", AND('ProductSprint Backlog'!$J431&gt;H$2,'ProductSprint Backlog'!$I431&lt;=H$2), 'ProductSprint Backlog'!$F431 / MAX(1, 'ProductSprint Backlog'!$J431-'ProductSprint Backlog'!$I431), AND('ProductSprint Backlog'!$J431=H$2,'ProductSprint Backlog'!$I431=H$2), 'ProductSprint Backlog'!$F431, TRUE, 0)</f>
        <v/>
      </c>
      <c r="I431" s="4" t="str" cm="1">
        <f t="array" ref="I431">_xlfn.IFS('ProductSprint Backlog'!$F431="", "", AND('ProductSprint Backlog'!$J431&gt;I$2,'ProductSprint Backlog'!$I431&lt;=I$2), 'ProductSprint Backlog'!$F431 / MAX(1, 'ProductSprint Backlog'!$J431-'ProductSprint Backlog'!$I431), AND('ProductSprint Backlog'!$J431=I$2,'ProductSprint Backlog'!$I431=I$2), 'ProductSprint Backlog'!$F431, TRUE, 0)</f>
        <v/>
      </c>
      <c r="J431" s="4" t="str" cm="1">
        <f t="array" ref="J431">_xlfn.IFS('ProductSprint Backlog'!$F431="", "", AND('ProductSprint Backlog'!$J431&gt;J$2,'ProductSprint Backlog'!$I431&lt;=J$2), 'ProductSprint Backlog'!$F431 / MAX(1, 'ProductSprint Backlog'!$J431-'ProductSprint Backlog'!$I431), AND('ProductSprint Backlog'!$J431=J$2,'ProductSprint Backlog'!$I431=J$2), 'ProductSprint Backlog'!$F431, TRUE, 0)</f>
        <v/>
      </c>
      <c r="K431" s="4" t="str" cm="1">
        <f t="array" ref="K431">_xlfn.IFS('ProductSprint Backlog'!$F431="", "", AND('ProductSprint Backlog'!$J431&gt;K$2,'ProductSprint Backlog'!$I431&lt;=K$2), 'ProductSprint Backlog'!$F431 / MAX(1, 'ProductSprint Backlog'!$J431-'ProductSprint Backlog'!$I431), AND('ProductSprint Backlog'!$J431=K$2,'ProductSprint Backlog'!$I431=K$2), 'ProductSprint Backlog'!$F431, TRUE, 0)</f>
        <v/>
      </c>
      <c r="L431" s="4" t="str" cm="1">
        <f t="array" ref="L431">_xlfn.IFS('ProductSprint Backlog'!$F431="", "", AND('ProductSprint Backlog'!$J431&gt;L$2,'ProductSprint Backlog'!$I431&lt;=L$2), 'ProductSprint Backlog'!$F431 / MAX(1, 'ProductSprint Backlog'!$J431-'ProductSprint Backlog'!$I431), AND('ProductSprint Backlog'!$J431=L$2,'ProductSprint Backlog'!$I431=L$2), 'ProductSprint Backlog'!$F431, TRUE, 0)</f>
        <v/>
      </c>
      <c r="M431" s="4" t="str" cm="1">
        <f t="array" ref="M431">_xlfn.IFS('ProductSprint Backlog'!$F431="", "", AND('ProductSprint Backlog'!$J431&gt;M$2,'ProductSprint Backlog'!$I431&lt;=M$2), 'ProductSprint Backlog'!$F431 / MAX(1, 'ProductSprint Backlog'!$J431-'ProductSprint Backlog'!$I431), AND('ProductSprint Backlog'!$J431=M$2,'ProductSprint Backlog'!$I431=M$2), 'ProductSprint Backlog'!$F431, TRUE, 0)</f>
        <v/>
      </c>
      <c r="N431" s="4" t="str" cm="1">
        <f t="array" ref="N431">_xlfn.IFS('ProductSprint Backlog'!$F431="", "", AND('ProductSprint Backlog'!$J431&gt;N$2,'ProductSprint Backlog'!$I431&lt;=N$2), 'ProductSprint Backlog'!$F431 / MAX(1, 'ProductSprint Backlog'!$J431-'ProductSprint Backlog'!$I431), AND('ProductSprint Backlog'!$J431=N$2,'ProductSprint Backlog'!$I431=N$2), 'ProductSprint Backlog'!$F431, TRUE, 0)</f>
        <v/>
      </c>
      <c r="O431" s="4" t="str" cm="1">
        <f t="array" ref="O431">_xlfn.IFS('ProductSprint Backlog'!$F431="", "", AND('ProductSprint Backlog'!$J431&gt;O$2,'ProductSprint Backlog'!$I431&lt;=O$2), 'ProductSprint Backlog'!$F431 / MAX(1, 'ProductSprint Backlog'!$J431-'ProductSprint Backlog'!$I431), AND('ProductSprint Backlog'!$J431=O$2,'ProductSprint Backlog'!$I431=O$2), 'ProductSprint Backlog'!$F431, TRUE, 0)</f>
        <v/>
      </c>
      <c r="P431" s="4" t="str" cm="1">
        <f t="array" ref="P431">_xlfn.IFS('ProductSprint Backlog'!$F431="", "", AND('ProductSprint Backlog'!$J431&gt;P$2,'ProductSprint Backlog'!$I431&lt;=P$2), 'ProductSprint Backlog'!$F431 / MAX(1, 'ProductSprint Backlog'!$J431-'ProductSprint Backlog'!$I431), AND('ProductSprint Backlog'!$J431=P$2,'ProductSprint Backlog'!$I431=P$2), 'ProductSprint Backlog'!$F431, TRUE, 0)</f>
        <v/>
      </c>
      <c r="Q431" s="4" t="str" cm="1">
        <f t="array" ref="Q431">_xlfn.IFS('ProductSprint Backlog'!$F431="", "", AND('ProductSprint Backlog'!$J431&gt;Q$2,'ProductSprint Backlog'!$I431&lt;=Q$2), 'ProductSprint Backlog'!$F431 / MAX(1, 'ProductSprint Backlog'!$J431-'ProductSprint Backlog'!$I431), AND('ProductSprint Backlog'!$J431=Q$2,'ProductSprint Backlog'!$I431=Q$2), 'ProductSprint Backlog'!$F431, TRUE, 0)</f>
        <v/>
      </c>
    </row>
    <row r="432" spans="2:17" x14ac:dyDescent="0.2">
      <c r="B432" s="4" t="str" cm="1">
        <f t="array" ref="B432">_xlfn.IFS('ProductSprint Backlog'!$F432="", "", AND('ProductSprint Backlog'!$J432&gt;B$2,'ProductSprint Backlog'!$I432&lt;=B$2), 'ProductSprint Backlog'!$F432 / MAX(1, 'ProductSprint Backlog'!$J432-'ProductSprint Backlog'!$I432), AND('ProductSprint Backlog'!$J432=B$2,'ProductSprint Backlog'!$I432=B$2), 'ProductSprint Backlog'!$F432, TRUE, 0)</f>
        <v/>
      </c>
      <c r="C432" s="4" t="str" cm="1">
        <f t="array" ref="C432">_xlfn.IFS('ProductSprint Backlog'!$F432="", "", AND('ProductSprint Backlog'!$J432&gt;C$2,'ProductSprint Backlog'!$I432&lt;=C$2), 'ProductSprint Backlog'!$F432 / MAX(1, 'ProductSprint Backlog'!$J432-'ProductSprint Backlog'!$I432), AND('ProductSprint Backlog'!$J432=C$2,'ProductSprint Backlog'!$I432=C$2), 'ProductSprint Backlog'!$F432, TRUE, 0)</f>
        <v/>
      </c>
      <c r="D432" s="4" t="str" cm="1">
        <f t="array" ref="D432">_xlfn.IFS('ProductSprint Backlog'!$F432="", "", AND('ProductSprint Backlog'!$J432&gt;D$2,'ProductSprint Backlog'!$I432&lt;=D$2), 'ProductSprint Backlog'!$F432 / MAX(1, 'ProductSprint Backlog'!$J432-'ProductSprint Backlog'!$I432), AND('ProductSprint Backlog'!$J432=D$2,'ProductSprint Backlog'!$I432=D$2), 'ProductSprint Backlog'!$F432, TRUE, 0)</f>
        <v/>
      </c>
      <c r="E432" s="4" t="str" cm="1">
        <f t="array" ref="E432">_xlfn.IFS('ProductSprint Backlog'!$F432="", "", AND('ProductSprint Backlog'!$J432&gt;E$2,'ProductSprint Backlog'!$I432&lt;=E$2), 'ProductSprint Backlog'!$F432 / MAX(1, 'ProductSprint Backlog'!$J432-'ProductSprint Backlog'!$I432), AND('ProductSprint Backlog'!$J432=E$2,'ProductSprint Backlog'!$I432=E$2), 'ProductSprint Backlog'!$F432, TRUE, 0)</f>
        <v/>
      </c>
      <c r="F432" s="4" t="str" cm="1">
        <f t="array" ref="F432">_xlfn.IFS('ProductSprint Backlog'!$F432="", "", AND('ProductSprint Backlog'!$J432&gt;F$2,'ProductSprint Backlog'!$I432&lt;=F$2), 'ProductSprint Backlog'!$F432 / MAX(1, 'ProductSprint Backlog'!$J432-'ProductSprint Backlog'!$I432), AND('ProductSprint Backlog'!$J432=F$2,'ProductSprint Backlog'!$I432=F$2), 'ProductSprint Backlog'!$F432, TRUE, 0)</f>
        <v/>
      </c>
      <c r="G432" s="4" t="str" cm="1">
        <f t="array" ref="G432">_xlfn.IFS('ProductSprint Backlog'!$F432="", "", AND('ProductSprint Backlog'!$J432&gt;G$2,'ProductSprint Backlog'!$I432&lt;=G$2), 'ProductSprint Backlog'!$F432 / MAX(1, 'ProductSprint Backlog'!$J432-'ProductSprint Backlog'!$I432), AND('ProductSprint Backlog'!$J432=G$2,'ProductSprint Backlog'!$I432=G$2), 'ProductSprint Backlog'!$F432, TRUE, 0)</f>
        <v/>
      </c>
      <c r="H432" s="4" t="str" cm="1">
        <f t="array" ref="H432">_xlfn.IFS('ProductSprint Backlog'!$F432="", "", AND('ProductSprint Backlog'!$J432&gt;H$2,'ProductSprint Backlog'!$I432&lt;=H$2), 'ProductSprint Backlog'!$F432 / MAX(1, 'ProductSprint Backlog'!$J432-'ProductSprint Backlog'!$I432), AND('ProductSprint Backlog'!$J432=H$2,'ProductSprint Backlog'!$I432=H$2), 'ProductSprint Backlog'!$F432, TRUE, 0)</f>
        <v/>
      </c>
      <c r="I432" s="4" t="str" cm="1">
        <f t="array" ref="I432">_xlfn.IFS('ProductSprint Backlog'!$F432="", "", AND('ProductSprint Backlog'!$J432&gt;I$2,'ProductSprint Backlog'!$I432&lt;=I$2), 'ProductSprint Backlog'!$F432 / MAX(1, 'ProductSprint Backlog'!$J432-'ProductSprint Backlog'!$I432), AND('ProductSprint Backlog'!$J432=I$2,'ProductSprint Backlog'!$I432=I$2), 'ProductSprint Backlog'!$F432, TRUE, 0)</f>
        <v/>
      </c>
      <c r="J432" s="4" t="str" cm="1">
        <f t="array" ref="J432">_xlfn.IFS('ProductSprint Backlog'!$F432="", "", AND('ProductSprint Backlog'!$J432&gt;J$2,'ProductSprint Backlog'!$I432&lt;=J$2), 'ProductSprint Backlog'!$F432 / MAX(1, 'ProductSprint Backlog'!$J432-'ProductSprint Backlog'!$I432), AND('ProductSprint Backlog'!$J432=J$2,'ProductSprint Backlog'!$I432=J$2), 'ProductSprint Backlog'!$F432, TRUE, 0)</f>
        <v/>
      </c>
      <c r="K432" s="4" t="str" cm="1">
        <f t="array" ref="K432">_xlfn.IFS('ProductSprint Backlog'!$F432="", "", AND('ProductSprint Backlog'!$J432&gt;K$2,'ProductSprint Backlog'!$I432&lt;=K$2), 'ProductSprint Backlog'!$F432 / MAX(1, 'ProductSprint Backlog'!$J432-'ProductSprint Backlog'!$I432), AND('ProductSprint Backlog'!$J432=K$2,'ProductSprint Backlog'!$I432=K$2), 'ProductSprint Backlog'!$F432, TRUE, 0)</f>
        <v/>
      </c>
      <c r="L432" s="4" t="str" cm="1">
        <f t="array" ref="L432">_xlfn.IFS('ProductSprint Backlog'!$F432="", "", AND('ProductSprint Backlog'!$J432&gt;L$2,'ProductSprint Backlog'!$I432&lt;=L$2), 'ProductSprint Backlog'!$F432 / MAX(1, 'ProductSprint Backlog'!$J432-'ProductSprint Backlog'!$I432), AND('ProductSprint Backlog'!$J432=L$2,'ProductSprint Backlog'!$I432=L$2), 'ProductSprint Backlog'!$F432, TRUE, 0)</f>
        <v/>
      </c>
      <c r="M432" s="4" t="str" cm="1">
        <f t="array" ref="M432">_xlfn.IFS('ProductSprint Backlog'!$F432="", "", AND('ProductSprint Backlog'!$J432&gt;M$2,'ProductSprint Backlog'!$I432&lt;=M$2), 'ProductSprint Backlog'!$F432 / MAX(1, 'ProductSprint Backlog'!$J432-'ProductSprint Backlog'!$I432), AND('ProductSprint Backlog'!$J432=M$2,'ProductSprint Backlog'!$I432=M$2), 'ProductSprint Backlog'!$F432, TRUE, 0)</f>
        <v/>
      </c>
      <c r="N432" s="4" t="str" cm="1">
        <f t="array" ref="N432">_xlfn.IFS('ProductSprint Backlog'!$F432="", "", AND('ProductSprint Backlog'!$J432&gt;N$2,'ProductSprint Backlog'!$I432&lt;=N$2), 'ProductSprint Backlog'!$F432 / MAX(1, 'ProductSprint Backlog'!$J432-'ProductSprint Backlog'!$I432), AND('ProductSprint Backlog'!$J432=N$2,'ProductSprint Backlog'!$I432=N$2), 'ProductSprint Backlog'!$F432, TRUE, 0)</f>
        <v/>
      </c>
      <c r="O432" s="4" t="str" cm="1">
        <f t="array" ref="O432">_xlfn.IFS('ProductSprint Backlog'!$F432="", "", AND('ProductSprint Backlog'!$J432&gt;O$2,'ProductSprint Backlog'!$I432&lt;=O$2), 'ProductSprint Backlog'!$F432 / MAX(1, 'ProductSprint Backlog'!$J432-'ProductSprint Backlog'!$I432), AND('ProductSprint Backlog'!$J432=O$2,'ProductSprint Backlog'!$I432=O$2), 'ProductSprint Backlog'!$F432, TRUE, 0)</f>
        <v/>
      </c>
      <c r="P432" s="4" t="str" cm="1">
        <f t="array" ref="P432">_xlfn.IFS('ProductSprint Backlog'!$F432="", "", AND('ProductSprint Backlog'!$J432&gt;P$2,'ProductSprint Backlog'!$I432&lt;=P$2), 'ProductSprint Backlog'!$F432 / MAX(1, 'ProductSprint Backlog'!$J432-'ProductSprint Backlog'!$I432), AND('ProductSprint Backlog'!$J432=P$2,'ProductSprint Backlog'!$I432=P$2), 'ProductSprint Backlog'!$F432, TRUE, 0)</f>
        <v/>
      </c>
      <c r="Q432" s="4" t="str" cm="1">
        <f t="array" ref="Q432">_xlfn.IFS('ProductSprint Backlog'!$F432="", "", AND('ProductSprint Backlog'!$J432&gt;Q$2,'ProductSprint Backlog'!$I432&lt;=Q$2), 'ProductSprint Backlog'!$F432 / MAX(1, 'ProductSprint Backlog'!$J432-'ProductSprint Backlog'!$I432), AND('ProductSprint Backlog'!$J432=Q$2,'ProductSprint Backlog'!$I432=Q$2), 'ProductSprint Backlog'!$F432, TRUE, 0)</f>
        <v/>
      </c>
    </row>
    <row r="433" spans="2:17" x14ac:dyDescent="0.2">
      <c r="B433" s="4" t="str" cm="1">
        <f t="array" ref="B433">_xlfn.IFS('ProductSprint Backlog'!$F433="", "", AND('ProductSprint Backlog'!$J433&gt;B$2,'ProductSprint Backlog'!$I433&lt;=B$2), 'ProductSprint Backlog'!$F433 / MAX(1, 'ProductSprint Backlog'!$J433-'ProductSprint Backlog'!$I433), AND('ProductSprint Backlog'!$J433=B$2,'ProductSprint Backlog'!$I433=B$2), 'ProductSprint Backlog'!$F433, TRUE, 0)</f>
        <v/>
      </c>
      <c r="C433" s="4" t="str" cm="1">
        <f t="array" ref="C433">_xlfn.IFS('ProductSprint Backlog'!$F433="", "", AND('ProductSprint Backlog'!$J433&gt;C$2,'ProductSprint Backlog'!$I433&lt;=C$2), 'ProductSprint Backlog'!$F433 / MAX(1, 'ProductSprint Backlog'!$J433-'ProductSprint Backlog'!$I433), AND('ProductSprint Backlog'!$J433=C$2,'ProductSprint Backlog'!$I433=C$2), 'ProductSprint Backlog'!$F433, TRUE, 0)</f>
        <v/>
      </c>
      <c r="D433" s="4" t="str" cm="1">
        <f t="array" ref="D433">_xlfn.IFS('ProductSprint Backlog'!$F433="", "", AND('ProductSprint Backlog'!$J433&gt;D$2,'ProductSprint Backlog'!$I433&lt;=D$2), 'ProductSprint Backlog'!$F433 / MAX(1, 'ProductSprint Backlog'!$J433-'ProductSprint Backlog'!$I433), AND('ProductSprint Backlog'!$J433=D$2,'ProductSprint Backlog'!$I433=D$2), 'ProductSprint Backlog'!$F433, TRUE, 0)</f>
        <v/>
      </c>
      <c r="E433" s="4" t="str" cm="1">
        <f t="array" ref="E433">_xlfn.IFS('ProductSprint Backlog'!$F433="", "", AND('ProductSprint Backlog'!$J433&gt;E$2,'ProductSprint Backlog'!$I433&lt;=E$2), 'ProductSprint Backlog'!$F433 / MAX(1, 'ProductSprint Backlog'!$J433-'ProductSprint Backlog'!$I433), AND('ProductSprint Backlog'!$J433=E$2,'ProductSprint Backlog'!$I433=E$2), 'ProductSprint Backlog'!$F433, TRUE, 0)</f>
        <v/>
      </c>
      <c r="F433" s="4" t="str" cm="1">
        <f t="array" ref="F433">_xlfn.IFS('ProductSprint Backlog'!$F433="", "", AND('ProductSprint Backlog'!$J433&gt;F$2,'ProductSprint Backlog'!$I433&lt;=F$2), 'ProductSprint Backlog'!$F433 / MAX(1, 'ProductSprint Backlog'!$J433-'ProductSprint Backlog'!$I433), AND('ProductSprint Backlog'!$J433=F$2,'ProductSprint Backlog'!$I433=F$2), 'ProductSprint Backlog'!$F433, TRUE, 0)</f>
        <v/>
      </c>
      <c r="G433" s="4" t="str" cm="1">
        <f t="array" ref="G433">_xlfn.IFS('ProductSprint Backlog'!$F433="", "", AND('ProductSprint Backlog'!$J433&gt;G$2,'ProductSprint Backlog'!$I433&lt;=G$2), 'ProductSprint Backlog'!$F433 / MAX(1, 'ProductSprint Backlog'!$J433-'ProductSprint Backlog'!$I433), AND('ProductSprint Backlog'!$J433=G$2,'ProductSprint Backlog'!$I433=G$2), 'ProductSprint Backlog'!$F433, TRUE, 0)</f>
        <v/>
      </c>
      <c r="H433" s="4" t="str" cm="1">
        <f t="array" ref="H433">_xlfn.IFS('ProductSprint Backlog'!$F433="", "", AND('ProductSprint Backlog'!$J433&gt;H$2,'ProductSprint Backlog'!$I433&lt;=H$2), 'ProductSprint Backlog'!$F433 / MAX(1, 'ProductSprint Backlog'!$J433-'ProductSprint Backlog'!$I433), AND('ProductSprint Backlog'!$J433=H$2,'ProductSprint Backlog'!$I433=H$2), 'ProductSprint Backlog'!$F433, TRUE, 0)</f>
        <v/>
      </c>
      <c r="I433" s="4" t="str" cm="1">
        <f t="array" ref="I433">_xlfn.IFS('ProductSprint Backlog'!$F433="", "", AND('ProductSprint Backlog'!$J433&gt;I$2,'ProductSprint Backlog'!$I433&lt;=I$2), 'ProductSprint Backlog'!$F433 / MAX(1, 'ProductSprint Backlog'!$J433-'ProductSprint Backlog'!$I433), AND('ProductSprint Backlog'!$J433=I$2,'ProductSprint Backlog'!$I433=I$2), 'ProductSprint Backlog'!$F433, TRUE, 0)</f>
        <v/>
      </c>
      <c r="J433" s="4" t="str" cm="1">
        <f t="array" ref="J433">_xlfn.IFS('ProductSprint Backlog'!$F433="", "", AND('ProductSprint Backlog'!$J433&gt;J$2,'ProductSprint Backlog'!$I433&lt;=J$2), 'ProductSprint Backlog'!$F433 / MAX(1, 'ProductSprint Backlog'!$J433-'ProductSprint Backlog'!$I433), AND('ProductSprint Backlog'!$J433=J$2,'ProductSprint Backlog'!$I433=J$2), 'ProductSprint Backlog'!$F433, TRUE, 0)</f>
        <v/>
      </c>
      <c r="K433" s="4" t="str" cm="1">
        <f t="array" ref="K433">_xlfn.IFS('ProductSprint Backlog'!$F433="", "", AND('ProductSprint Backlog'!$J433&gt;K$2,'ProductSprint Backlog'!$I433&lt;=K$2), 'ProductSprint Backlog'!$F433 / MAX(1, 'ProductSprint Backlog'!$J433-'ProductSprint Backlog'!$I433), AND('ProductSprint Backlog'!$J433=K$2,'ProductSprint Backlog'!$I433=K$2), 'ProductSprint Backlog'!$F433, TRUE, 0)</f>
        <v/>
      </c>
      <c r="L433" s="4" t="str" cm="1">
        <f t="array" ref="L433">_xlfn.IFS('ProductSprint Backlog'!$F433="", "", AND('ProductSprint Backlog'!$J433&gt;L$2,'ProductSprint Backlog'!$I433&lt;=L$2), 'ProductSprint Backlog'!$F433 / MAX(1, 'ProductSprint Backlog'!$J433-'ProductSprint Backlog'!$I433), AND('ProductSprint Backlog'!$J433=L$2,'ProductSprint Backlog'!$I433=L$2), 'ProductSprint Backlog'!$F433, TRUE, 0)</f>
        <v/>
      </c>
      <c r="M433" s="4" t="str" cm="1">
        <f t="array" ref="M433">_xlfn.IFS('ProductSprint Backlog'!$F433="", "", AND('ProductSprint Backlog'!$J433&gt;M$2,'ProductSprint Backlog'!$I433&lt;=M$2), 'ProductSprint Backlog'!$F433 / MAX(1, 'ProductSprint Backlog'!$J433-'ProductSprint Backlog'!$I433), AND('ProductSprint Backlog'!$J433=M$2,'ProductSprint Backlog'!$I433=M$2), 'ProductSprint Backlog'!$F433, TRUE, 0)</f>
        <v/>
      </c>
      <c r="N433" s="4" t="str" cm="1">
        <f t="array" ref="N433">_xlfn.IFS('ProductSprint Backlog'!$F433="", "", AND('ProductSprint Backlog'!$J433&gt;N$2,'ProductSprint Backlog'!$I433&lt;=N$2), 'ProductSprint Backlog'!$F433 / MAX(1, 'ProductSprint Backlog'!$J433-'ProductSprint Backlog'!$I433), AND('ProductSprint Backlog'!$J433=N$2,'ProductSprint Backlog'!$I433=N$2), 'ProductSprint Backlog'!$F433, TRUE, 0)</f>
        <v/>
      </c>
      <c r="O433" s="4" t="str" cm="1">
        <f t="array" ref="O433">_xlfn.IFS('ProductSprint Backlog'!$F433="", "", AND('ProductSprint Backlog'!$J433&gt;O$2,'ProductSprint Backlog'!$I433&lt;=O$2), 'ProductSprint Backlog'!$F433 / MAX(1, 'ProductSprint Backlog'!$J433-'ProductSprint Backlog'!$I433), AND('ProductSprint Backlog'!$J433=O$2,'ProductSprint Backlog'!$I433=O$2), 'ProductSprint Backlog'!$F433, TRUE, 0)</f>
        <v/>
      </c>
      <c r="P433" s="4" t="str" cm="1">
        <f t="array" ref="P433">_xlfn.IFS('ProductSprint Backlog'!$F433="", "", AND('ProductSprint Backlog'!$J433&gt;P$2,'ProductSprint Backlog'!$I433&lt;=P$2), 'ProductSprint Backlog'!$F433 / MAX(1, 'ProductSprint Backlog'!$J433-'ProductSprint Backlog'!$I433), AND('ProductSprint Backlog'!$J433=P$2,'ProductSprint Backlog'!$I433=P$2), 'ProductSprint Backlog'!$F433, TRUE, 0)</f>
        <v/>
      </c>
      <c r="Q433" s="4" t="str" cm="1">
        <f t="array" ref="Q433">_xlfn.IFS('ProductSprint Backlog'!$F433="", "", AND('ProductSprint Backlog'!$J433&gt;Q$2,'ProductSprint Backlog'!$I433&lt;=Q$2), 'ProductSprint Backlog'!$F433 / MAX(1, 'ProductSprint Backlog'!$J433-'ProductSprint Backlog'!$I433), AND('ProductSprint Backlog'!$J433=Q$2,'ProductSprint Backlog'!$I433=Q$2), 'ProductSprint Backlog'!$F433, TRUE, 0)</f>
        <v/>
      </c>
    </row>
    <row r="434" spans="2:17" x14ac:dyDescent="0.2">
      <c r="B434" s="4" t="str" cm="1">
        <f t="array" ref="B434">_xlfn.IFS('ProductSprint Backlog'!$F434="", "", AND('ProductSprint Backlog'!$J434&gt;B$2,'ProductSprint Backlog'!$I434&lt;=B$2), 'ProductSprint Backlog'!$F434 / MAX(1, 'ProductSprint Backlog'!$J434-'ProductSprint Backlog'!$I434), AND('ProductSprint Backlog'!$J434=B$2,'ProductSprint Backlog'!$I434=B$2), 'ProductSprint Backlog'!$F434, TRUE, 0)</f>
        <v/>
      </c>
      <c r="C434" s="4" t="str" cm="1">
        <f t="array" ref="C434">_xlfn.IFS('ProductSprint Backlog'!$F434="", "", AND('ProductSprint Backlog'!$J434&gt;C$2,'ProductSprint Backlog'!$I434&lt;=C$2), 'ProductSprint Backlog'!$F434 / MAX(1, 'ProductSprint Backlog'!$J434-'ProductSprint Backlog'!$I434), AND('ProductSprint Backlog'!$J434=C$2,'ProductSprint Backlog'!$I434=C$2), 'ProductSprint Backlog'!$F434, TRUE, 0)</f>
        <v/>
      </c>
      <c r="D434" s="4" t="str" cm="1">
        <f t="array" ref="D434">_xlfn.IFS('ProductSprint Backlog'!$F434="", "", AND('ProductSprint Backlog'!$J434&gt;D$2,'ProductSprint Backlog'!$I434&lt;=D$2), 'ProductSprint Backlog'!$F434 / MAX(1, 'ProductSprint Backlog'!$J434-'ProductSprint Backlog'!$I434), AND('ProductSprint Backlog'!$J434=D$2,'ProductSprint Backlog'!$I434=D$2), 'ProductSprint Backlog'!$F434, TRUE, 0)</f>
        <v/>
      </c>
      <c r="E434" s="4" t="str" cm="1">
        <f t="array" ref="E434">_xlfn.IFS('ProductSprint Backlog'!$F434="", "", AND('ProductSprint Backlog'!$J434&gt;E$2,'ProductSprint Backlog'!$I434&lt;=E$2), 'ProductSprint Backlog'!$F434 / MAX(1, 'ProductSprint Backlog'!$J434-'ProductSprint Backlog'!$I434), AND('ProductSprint Backlog'!$J434=E$2,'ProductSprint Backlog'!$I434=E$2), 'ProductSprint Backlog'!$F434, TRUE, 0)</f>
        <v/>
      </c>
      <c r="F434" s="4" t="str" cm="1">
        <f t="array" ref="F434">_xlfn.IFS('ProductSprint Backlog'!$F434="", "", AND('ProductSprint Backlog'!$J434&gt;F$2,'ProductSprint Backlog'!$I434&lt;=F$2), 'ProductSprint Backlog'!$F434 / MAX(1, 'ProductSprint Backlog'!$J434-'ProductSprint Backlog'!$I434), AND('ProductSprint Backlog'!$J434=F$2,'ProductSprint Backlog'!$I434=F$2), 'ProductSprint Backlog'!$F434, TRUE, 0)</f>
        <v/>
      </c>
      <c r="G434" s="4" t="str" cm="1">
        <f t="array" ref="G434">_xlfn.IFS('ProductSprint Backlog'!$F434="", "", AND('ProductSprint Backlog'!$J434&gt;G$2,'ProductSprint Backlog'!$I434&lt;=G$2), 'ProductSprint Backlog'!$F434 / MAX(1, 'ProductSprint Backlog'!$J434-'ProductSprint Backlog'!$I434), AND('ProductSprint Backlog'!$J434=G$2,'ProductSprint Backlog'!$I434=G$2), 'ProductSprint Backlog'!$F434, TRUE, 0)</f>
        <v/>
      </c>
      <c r="H434" s="4" t="str" cm="1">
        <f t="array" ref="H434">_xlfn.IFS('ProductSprint Backlog'!$F434="", "", AND('ProductSprint Backlog'!$J434&gt;H$2,'ProductSprint Backlog'!$I434&lt;=H$2), 'ProductSprint Backlog'!$F434 / MAX(1, 'ProductSprint Backlog'!$J434-'ProductSprint Backlog'!$I434), AND('ProductSprint Backlog'!$J434=H$2,'ProductSprint Backlog'!$I434=H$2), 'ProductSprint Backlog'!$F434, TRUE, 0)</f>
        <v/>
      </c>
      <c r="I434" s="4" t="str" cm="1">
        <f t="array" ref="I434">_xlfn.IFS('ProductSprint Backlog'!$F434="", "", AND('ProductSprint Backlog'!$J434&gt;I$2,'ProductSprint Backlog'!$I434&lt;=I$2), 'ProductSprint Backlog'!$F434 / MAX(1, 'ProductSprint Backlog'!$J434-'ProductSprint Backlog'!$I434), AND('ProductSprint Backlog'!$J434=I$2,'ProductSprint Backlog'!$I434=I$2), 'ProductSprint Backlog'!$F434, TRUE, 0)</f>
        <v/>
      </c>
      <c r="J434" s="4" t="str" cm="1">
        <f t="array" ref="J434">_xlfn.IFS('ProductSprint Backlog'!$F434="", "", AND('ProductSprint Backlog'!$J434&gt;J$2,'ProductSprint Backlog'!$I434&lt;=J$2), 'ProductSprint Backlog'!$F434 / MAX(1, 'ProductSprint Backlog'!$J434-'ProductSprint Backlog'!$I434), AND('ProductSprint Backlog'!$J434=J$2,'ProductSprint Backlog'!$I434=J$2), 'ProductSprint Backlog'!$F434, TRUE, 0)</f>
        <v/>
      </c>
      <c r="K434" s="4" t="str" cm="1">
        <f t="array" ref="K434">_xlfn.IFS('ProductSprint Backlog'!$F434="", "", AND('ProductSprint Backlog'!$J434&gt;K$2,'ProductSprint Backlog'!$I434&lt;=K$2), 'ProductSprint Backlog'!$F434 / MAX(1, 'ProductSprint Backlog'!$J434-'ProductSprint Backlog'!$I434), AND('ProductSprint Backlog'!$J434=K$2,'ProductSprint Backlog'!$I434=K$2), 'ProductSprint Backlog'!$F434, TRUE, 0)</f>
        <v/>
      </c>
      <c r="L434" s="4" t="str" cm="1">
        <f t="array" ref="L434">_xlfn.IFS('ProductSprint Backlog'!$F434="", "", AND('ProductSprint Backlog'!$J434&gt;L$2,'ProductSprint Backlog'!$I434&lt;=L$2), 'ProductSprint Backlog'!$F434 / MAX(1, 'ProductSprint Backlog'!$J434-'ProductSprint Backlog'!$I434), AND('ProductSprint Backlog'!$J434=L$2,'ProductSprint Backlog'!$I434=L$2), 'ProductSprint Backlog'!$F434, TRUE, 0)</f>
        <v/>
      </c>
      <c r="M434" s="4" t="str" cm="1">
        <f t="array" ref="M434">_xlfn.IFS('ProductSprint Backlog'!$F434="", "", AND('ProductSprint Backlog'!$J434&gt;M$2,'ProductSprint Backlog'!$I434&lt;=M$2), 'ProductSprint Backlog'!$F434 / MAX(1, 'ProductSprint Backlog'!$J434-'ProductSprint Backlog'!$I434), AND('ProductSprint Backlog'!$J434=M$2,'ProductSprint Backlog'!$I434=M$2), 'ProductSprint Backlog'!$F434, TRUE, 0)</f>
        <v/>
      </c>
      <c r="N434" s="4" t="str" cm="1">
        <f t="array" ref="N434">_xlfn.IFS('ProductSprint Backlog'!$F434="", "", AND('ProductSprint Backlog'!$J434&gt;N$2,'ProductSprint Backlog'!$I434&lt;=N$2), 'ProductSprint Backlog'!$F434 / MAX(1, 'ProductSprint Backlog'!$J434-'ProductSprint Backlog'!$I434), AND('ProductSprint Backlog'!$J434=N$2,'ProductSprint Backlog'!$I434=N$2), 'ProductSprint Backlog'!$F434, TRUE, 0)</f>
        <v/>
      </c>
      <c r="O434" s="4" t="str" cm="1">
        <f t="array" ref="O434">_xlfn.IFS('ProductSprint Backlog'!$F434="", "", AND('ProductSprint Backlog'!$J434&gt;O$2,'ProductSprint Backlog'!$I434&lt;=O$2), 'ProductSprint Backlog'!$F434 / MAX(1, 'ProductSprint Backlog'!$J434-'ProductSprint Backlog'!$I434), AND('ProductSprint Backlog'!$J434=O$2,'ProductSprint Backlog'!$I434=O$2), 'ProductSprint Backlog'!$F434, TRUE, 0)</f>
        <v/>
      </c>
      <c r="P434" s="4" t="str" cm="1">
        <f t="array" ref="P434">_xlfn.IFS('ProductSprint Backlog'!$F434="", "", AND('ProductSprint Backlog'!$J434&gt;P$2,'ProductSprint Backlog'!$I434&lt;=P$2), 'ProductSprint Backlog'!$F434 / MAX(1, 'ProductSprint Backlog'!$J434-'ProductSprint Backlog'!$I434), AND('ProductSprint Backlog'!$J434=P$2,'ProductSprint Backlog'!$I434=P$2), 'ProductSprint Backlog'!$F434, TRUE, 0)</f>
        <v/>
      </c>
      <c r="Q434" s="4" t="str" cm="1">
        <f t="array" ref="Q434">_xlfn.IFS('ProductSprint Backlog'!$F434="", "", AND('ProductSprint Backlog'!$J434&gt;Q$2,'ProductSprint Backlog'!$I434&lt;=Q$2), 'ProductSprint Backlog'!$F434 / MAX(1, 'ProductSprint Backlog'!$J434-'ProductSprint Backlog'!$I434), AND('ProductSprint Backlog'!$J434=Q$2,'ProductSprint Backlog'!$I434=Q$2), 'ProductSprint Backlog'!$F434, TRUE, 0)</f>
        <v/>
      </c>
    </row>
    <row r="435" spans="2:17" x14ac:dyDescent="0.2">
      <c r="B435" s="4" t="str" cm="1">
        <f t="array" ref="B435">_xlfn.IFS('ProductSprint Backlog'!$F435="", "", AND('ProductSprint Backlog'!$J435&gt;B$2,'ProductSprint Backlog'!$I435&lt;=B$2), 'ProductSprint Backlog'!$F435 / MAX(1, 'ProductSprint Backlog'!$J435-'ProductSprint Backlog'!$I435), AND('ProductSprint Backlog'!$J435=B$2,'ProductSprint Backlog'!$I435=B$2), 'ProductSprint Backlog'!$F435, TRUE, 0)</f>
        <v/>
      </c>
      <c r="C435" s="4" t="str" cm="1">
        <f t="array" ref="C435">_xlfn.IFS('ProductSprint Backlog'!$F435="", "", AND('ProductSprint Backlog'!$J435&gt;C$2,'ProductSprint Backlog'!$I435&lt;=C$2), 'ProductSprint Backlog'!$F435 / MAX(1, 'ProductSprint Backlog'!$J435-'ProductSprint Backlog'!$I435), AND('ProductSprint Backlog'!$J435=C$2,'ProductSprint Backlog'!$I435=C$2), 'ProductSprint Backlog'!$F435, TRUE, 0)</f>
        <v/>
      </c>
      <c r="D435" s="4" t="str" cm="1">
        <f t="array" ref="D435">_xlfn.IFS('ProductSprint Backlog'!$F435="", "", AND('ProductSprint Backlog'!$J435&gt;D$2,'ProductSprint Backlog'!$I435&lt;=D$2), 'ProductSprint Backlog'!$F435 / MAX(1, 'ProductSprint Backlog'!$J435-'ProductSprint Backlog'!$I435), AND('ProductSprint Backlog'!$J435=D$2,'ProductSprint Backlog'!$I435=D$2), 'ProductSprint Backlog'!$F435, TRUE, 0)</f>
        <v/>
      </c>
      <c r="E435" s="4" t="str" cm="1">
        <f t="array" ref="E435">_xlfn.IFS('ProductSprint Backlog'!$F435="", "", AND('ProductSprint Backlog'!$J435&gt;E$2,'ProductSprint Backlog'!$I435&lt;=E$2), 'ProductSprint Backlog'!$F435 / MAX(1, 'ProductSprint Backlog'!$J435-'ProductSprint Backlog'!$I435), AND('ProductSprint Backlog'!$J435=E$2,'ProductSprint Backlog'!$I435=E$2), 'ProductSprint Backlog'!$F435, TRUE, 0)</f>
        <v/>
      </c>
      <c r="F435" s="4" t="str" cm="1">
        <f t="array" ref="F435">_xlfn.IFS('ProductSprint Backlog'!$F435="", "", AND('ProductSprint Backlog'!$J435&gt;F$2,'ProductSprint Backlog'!$I435&lt;=F$2), 'ProductSprint Backlog'!$F435 / MAX(1, 'ProductSprint Backlog'!$J435-'ProductSprint Backlog'!$I435), AND('ProductSprint Backlog'!$J435=F$2,'ProductSprint Backlog'!$I435=F$2), 'ProductSprint Backlog'!$F435, TRUE, 0)</f>
        <v/>
      </c>
      <c r="G435" s="4" t="str" cm="1">
        <f t="array" ref="G435">_xlfn.IFS('ProductSprint Backlog'!$F435="", "", AND('ProductSprint Backlog'!$J435&gt;G$2,'ProductSprint Backlog'!$I435&lt;=G$2), 'ProductSprint Backlog'!$F435 / MAX(1, 'ProductSprint Backlog'!$J435-'ProductSprint Backlog'!$I435), AND('ProductSprint Backlog'!$J435=G$2,'ProductSprint Backlog'!$I435=G$2), 'ProductSprint Backlog'!$F435, TRUE, 0)</f>
        <v/>
      </c>
      <c r="H435" s="4" t="str" cm="1">
        <f t="array" ref="H435">_xlfn.IFS('ProductSprint Backlog'!$F435="", "", AND('ProductSprint Backlog'!$J435&gt;H$2,'ProductSprint Backlog'!$I435&lt;=H$2), 'ProductSprint Backlog'!$F435 / MAX(1, 'ProductSprint Backlog'!$J435-'ProductSprint Backlog'!$I435), AND('ProductSprint Backlog'!$J435=H$2,'ProductSprint Backlog'!$I435=H$2), 'ProductSprint Backlog'!$F435, TRUE, 0)</f>
        <v/>
      </c>
      <c r="I435" s="4" t="str" cm="1">
        <f t="array" ref="I435">_xlfn.IFS('ProductSprint Backlog'!$F435="", "", AND('ProductSprint Backlog'!$J435&gt;I$2,'ProductSprint Backlog'!$I435&lt;=I$2), 'ProductSprint Backlog'!$F435 / MAX(1, 'ProductSprint Backlog'!$J435-'ProductSprint Backlog'!$I435), AND('ProductSprint Backlog'!$J435=I$2,'ProductSprint Backlog'!$I435=I$2), 'ProductSprint Backlog'!$F435, TRUE, 0)</f>
        <v/>
      </c>
      <c r="J435" s="4" t="str" cm="1">
        <f t="array" ref="J435">_xlfn.IFS('ProductSprint Backlog'!$F435="", "", AND('ProductSprint Backlog'!$J435&gt;J$2,'ProductSprint Backlog'!$I435&lt;=J$2), 'ProductSprint Backlog'!$F435 / MAX(1, 'ProductSprint Backlog'!$J435-'ProductSprint Backlog'!$I435), AND('ProductSprint Backlog'!$J435=J$2,'ProductSprint Backlog'!$I435=J$2), 'ProductSprint Backlog'!$F435, TRUE, 0)</f>
        <v/>
      </c>
      <c r="K435" s="4" t="str" cm="1">
        <f t="array" ref="K435">_xlfn.IFS('ProductSprint Backlog'!$F435="", "", AND('ProductSprint Backlog'!$J435&gt;K$2,'ProductSprint Backlog'!$I435&lt;=K$2), 'ProductSprint Backlog'!$F435 / MAX(1, 'ProductSprint Backlog'!$J435-'ProductSprint Backlog'!$I435), AND('ProductSprint Backlog'!$J435=K$2,'ProductSprint Backlog'!$I435=K$2), 'ProductSprint Backlog'!$F435, TRUE, 0)</f>
        <v/>
      </c>
      <c r="L435" s="4" t="str" cm="1">
        <f t="array" ref="L435">_xlfn.IFS('ProductSprint Backlog'!$F435="", "", AND('ProductSprint Backlog'!$J435&gt;L$2,'ProductSprint Backlog'!$I435&lt;=L$2), 'ProductSprint Backlog'!$F435 / MAX(1, 'ProductSprint Backlog'!$J435-'ProductSprint Backlog'!$I435), AND('ProductSprint Backlog'!$J435=L$2,'ProductSprint Backlog'!$I435=L$2), 'ProductSprint Backlog'!$F435, TRUE, 0)</f>
        <v/>
      </c>
      <c r="M435" s="4" t="str" cm="1">
        <f t="array" ref="M435">_xlfn.IFS('ProductSprint Backlog'!$F435="", "", AND('ProductSprint Backlog'!$J435&gt;M$2,'ProductSprint Backlog'!$I435&lt;=M$2), 'ProductSprint Backlog'!$F435 / MAX(1, 'ProductSprint Backlog'!$J435-'ProductSprint Backlog'!$I435), AND('ProductSprint Backlog'!$J435=M$2,'ProductSprint Backlog'!$I435=M$2), 'ProductSprint Backlog'!$F435, TRUE, 0)</f>
        <v/>
      </c>
      <c r="N435" s="4" t="str" cm="1">
        <f t="array" ref="N435">_xlfn.IFS('ProductSprint Backlog'!$F435="", "", AND('ProductSprint Backlog'!$J435&gt;N$2,'ProductSprint Backlog'!$I435&lt;=N$2), 'ProductSprint Backlog'!$F435 / MAX(1, 'ProductSprint Backlog'!$J435-'ProductSprint Backlog'!$I435), AND('ProductSprint Backlog'!$J435=N$2,'ProductSprint Backlog'!$I435=N$2), 'ProductSprint Backlog'!$F435, TRUE, 0)</f>
        <v/>
      </c>
      <c r="O435" s="4" t="str" cm="1">
        <f t="array" ref="O435">_xlfn.IFS('ProductSprint Backlog'!$F435="", "", AND('ProductSprint Backlog'!$J435&gt;O$2,'ProductSprint Backlog'!$I435&lt;=O$2), 'ProductSprint Backlog'!$F435 / MAX(1, 'ProductSprint Backlog'!$J435-'ProductSprint Backlog'!$I435), AND('ProductSprint Backlog'!$J435=O$2,'ProductSprint Backlog'!$I435=O$2), 'ProductSprint Backlog'!$F435, TRUE, 0)</f>
        <v/>
      </c>
      <c r="P435" s="4" t="str" cm="1">
        <f t="array" ref="P435">_xlfn.IFS('ProductSprint Backlog'!$F435="", "", AND('ProductSprint Backlog'!$J435&gt;P$2,'ProductSprint Backlog'!$I435&lt;=P$2), 'ProductSprint Backlog'!$F435 / MAX(1, 'ProductSprint Backlog'!$J435-'ProductSprint Backlog'!$I435), AND('ProductSprint Backlog'!$J435=P$2,'ProductSprint Backlog'!$I435=P$2), 'ProductSprint Backlog'!$F435, TRUE, 0)</f>
        <v/>
      </c>
      <c r="Q435" s="4" t="str" cm="1">
        <f t="array" ref="Q435">_xlfn.IFS('ProductSprint Backlog'!$F435="", "", AND('ProductSprint Backlog'!$J435&gt;Q$2,'ProductSprint Backlog'!$I435&lt;=Q$2), 'ProductSprint Backlog'!$F435 / MAX(1, 'ProductSprint Backlog'!$J435-'ProductSprint Backlog'!$I435), AND('ProductSprint Backlog'!$J435=Q$2,'ProductSprint Backlog'!$I435=Q$2), 'ProductSprint Backlog'!$F435, TRUE, 0)</f>
        <v/>
      </c>
    </row>
    <row r="436" spans="2:17" x14ac:dyDescent="0.2">
      <c r="B436" s="4" t="str" cm="1">
        <f t="array" ref="B436">_xlfn.IFS('ProductSprint Backlog'!$F436="", "", AND('ProductSprint Backlog'!$J436&gt;B$2,'ProductSprint Backlog'!$I436&lt;=B$2), 'ProductSprint Backlog'!$F436 / MAX(1, 'ProductSprint Backlog'!$J436-'ProductSprint Backlog'!$I436), AND('ProductSprint Backlog'!$J436=B$2,'ProductSprint Backlog'!$I436=B$2), 'ProductSprint Backlog'!$F436, TRUE, 0)</f>
        <v/>
      </c>
      <c r="C436" s="4" t="str" cm="1">
        <f t="array" ref="C436">_xlfn.IFS('ProductSprint Backlog'!$F436="", "", AND('ProductSprint Backlog'!$J436&gt;C$2,'ProductSprint Backlog'!$I436&lt;=C$2), 'ProductSprint Backlog'!$F436 / MAX(1, 'ProductSprint Backlog'!$J436-'ProductSprint Backlog'!$I436), AND('ProductSprint Backlog'!$J436=C$2,'ProductSprint Backlog'!$I436=C$2), 'ProductSprint Backlog'!$F436, TRUE, 0)</f>
        <v/>
      </c>
      <c r="D436" s="4" t="str" cm="1">
        <f t="array" ref="D436">_xlfn.IFS('ProductSprint Backlog'!$F436="", "", AND('ProductSprint Backlog'!$J436&gt;D$2,'ProductSprint Backlog'!$I436&lt;=D$2), 'ProductSprint Backlog'!$F436 / MAX(1, 'ProductSprint Backlog'!$J436-'ProductSprint Backlog'!$I436), AND('ProductSprint Backlog'!$J436=D$2,'ProductSprint Backlog'!$I436=D$2), 'ProductSprint Backlog'!$F436, TRUE, 0)</f>
        <v/>
      </c>
      <c r="E436" s="4" t="str" cm="1">
        <f t="array" ref="E436">_xlfn.IFS('ProductSprint Backlog'!$F436="", "", AND('ProductSprint Backlog'!$J436&gt;E$2,'ProductSprint Backlog'!$I436&lt;=E$2), 'ProductSprint Backlog'!$F436 / MAX(1, 'ProductSprint Backlog'!$J436-'ProductSprint Backlog'!$I436), AND('ProductSprint Backlog'!$J436=E$2,'ProductSprint Backlog'!$I436=E$2), 'ProductSprint Backlog'!$F436, TRUE, 0)</f>
        <v/>
      </c>
      <c r="F436" s="4" t="str" cm="1">
        <f t="array" ref="F436">_xlfn.IFS('ProductSprint Backlog'!$F436="", "", AND('ProductSprint Backlog'!$J436&gt;F$2,'ProductSprint Backlog'!$I436&lt;=F$2), 'ProductSprint Backlog'!$F436 / MAX(1, 'ProductSprint Backlog'!$J436-'ProductSprint Backlog'!$I436), AND('ProductSprint Backlog'!$J436=F$2,'ProductSprint Backlog'!$I436=F$2), 'ProductSprint Backlog'!$F436, TRUE, 0)</f>
        <v/>
      </c>
      <c r="G436" s="4" t="str" cm="1">
        <f t="array" ref="G436">_xlfn.IFS('ProductSprint Backlog'!$F436="", "", AND('ProductSprint Backlog'!$J436&gt;G$2,'ProductSprint Backlog'!$I436&lt;=G$2), 'ProductSprint Backlog'!$F436 / MAX(1, 'ProductSprint Backlog'!$J436-'ProductSprint Backlog'!$I436), AND('ProductSprint Backlog'!$J436=G$2,'ProductSprint Backlog'!$I436=G$2), 'ProductSprint Backlog'!$F436, TRUE, 0)</f>
        <v/>
      </c>
      <c r="H436" s="4" t="str" cm="1">
        <f t="array" ref="H436">_xlfn.IFS('ProductSprint Backlog'!$F436="", "", AND('ProductSprint Backlog'!$J436&gt;H$2,'ProductSprint Backlog'!$I436&lt;=H$2), 'ProductSprint Backlog'!$F436 / MAX(1, 'ProductSprint Backlog'!$J436-'ProductSprint Backlog'!$I436), AND('ProductSprint Backlog'!$J436=H$2,'ProductSprint Backlog'!$I436=H$2), 'ProductSprint Backlog'!$F436, TRUE, 0)</f>
        <v/>
      </c>
      <c r="I436" s="4" t="str" cm="1">
        <f t="array" ref="I436">_xlfn.IFS('ProductSprint Backlog'!$F436="", "", AND('ProductSprint Backlog'!$J436&gt;I$2,'ProductSprint Backlog'!$I436&lt;=I$2), 'ProductSprint Backlog'!$F436 / MAX(1, 'ProductSprint Backlog'!$J436-'ProductSprint Backlog'!$I436), AND('ProductSprint Backlog'!$J436=I$2,'ProductSprint Backlog'!$I436=I$2), 'ProductSprint Backlog'!$F436, TRUE, 0)</f>
        <v/>
      </c>
      <c r="J436" s="4" t="str" cm="1">
        <f t="array" ref="J436">_xlfn.IFS('ProductSprint Backlog'!$F436="", "", AND('ProductSprint Backlog'!$J436&gt;J$2,'ProductSprint Backlog'!$I436&lt;=J$2), 'ProductSprint Backlog'!$F436 / MAX(1, 'ProductSprint Backlog'!$J436-'ProductSprint Backlog'!$I436), AND('ProductSprint Backlog'!$J436=J$2,'ProductSprint Backlog'!$I436=J$2), 'ProductSprint Backlog'!$F436, TRUE, 0)</f>
        <v/>
      </c>
      <c r="K436" s="4" t="str" cm="1">
        <f t="array" ref="K436">_xlfn.IFS('ProductSprint Backlog'!$F436="", "", AND('ProductSprint Backlog'!$J436&gt;K$2,'ProductSprint Backlog'!$I436&lt;=K$2), 'ProductSprint Backlog'!$F436 / MAX(1, 'ProductSprint Backlog'!$J436-'ProductSprint Backlog'!$I436), AND('ProductSprint Backlog'!$J436=K$2,'ProductSprint Backlog'!$I436=K$2), 'ProductSprint Backlog'!$F436, TRUE, 0)</f>
        <v/>
      </c>
      <c r="L436" s="4" t="str" cm="1">
        <f t="array" ref="L436">_xlfn.IFS('ProductSprint Backlog'!$F436="", "", AND('ProductSprint Backlog'!$J436&gt;L$2,'ProductSprint Backlog'!$I436&lt;=L$2), 'ProductSprint Backlog'!$F436 / MAX(1, 'ProductSprint Backlog'!$J436-'ProductSprint Backlog'!$I436), AND('ProductSprint Backlog'!$J436=L$2,'ProductSprint Backlog'!$I436=L$2), 'ProductSprint Backlog'!$F436, TRUE, 0)</f>
        <v/>
      </c>
      <c r="M436" s="4" t="str" cm="1">
        <f t="array" ref="M436">_xlfn.IFS('ProductSprint Backlog'!$F436="", "", AND('ProductSprint Backlog'!$J436&gt;M$2,'ProductSprint Backlog'!$I436&lt;=M$2), 'ProductSprint Backlog'!$F436 / MAX(1, 'ProductSprint Backlog'!$J436-'ProductSprint Backlog'!$I436), AND('ProductSprint Backlog'!$J436=M$2,'ProductSprint Backlog'!$I436=M$2), 'ProductSprint Backlog'!$F436, TRUE, 0)</f>
        <v/>
      </c>
      <c r="N436" s="4" t="str" cm="1">
        <f t="array" ref="N436">_xlfn.IFS('ProductSprint Backlog'!$F436="", "", AND('ProductSprint Backlog'!$J436&gt;N$2,'ProductSprint Backlog'!$I436&lt;=N$2), 'ProductSprint Backlog'!$F436 / MAX(1, 'ProductSprint Backlog'!$J436-'ProductSprint Backlog'!$I436), AND('ProductSprint Backlog'!$J436=N$2,'ProductSprint Backlog'!$I436=N$2), 'ProductSprint Backlog'!$F436, TRUE, 0)</f>
        <v/>
      </c>
      <c r="O436" s="4" t="str" cm="1">
        <f t="array" ref="O436">_xlfn.IFS('ProductSprint Backlog'!$F436="", "", AND('ProductSprint Backlog'!$J436&gt;O$2,'ProductSprint Backlog'!$I436&lt;=O$2), 'ProductSprint Backlog'!$F436 / MAX(1, 'ProductSprint Backlog'!$J436-'ProductSprint Backlog'!$I436), AND('ProductSprint Backlog'!$J436=O$2,'ProductSprint Backlog'!$I436=O$2), 'ProductSprint Backlog'!$F436, TRUE, 0)</f>
        <v/>
      </c>
      <c r="P436" s="4" t="str" cm="1">
        <f t="array" ref="P436">_xlfn.IFS('ProductSprint Backlog'!$F436="", "", AND('ProductSprint Backlog'!$J436&gt;P$2,'ProductSprint Backlog'!$I436&lt;=P$2), 'ProductSprint Backlog'!$F436 / MAX(1, 'ProductSprint Backlog'!$J436-'ProductSprint Backlog'!$I436), AND('ProductSprint Backlog'!$J436=P$2,'ProductSprint Backlog'!$I436=P$2), 'ProductSprint Backlog'!$F436, TRUE, 0)</f>
        <v/>
      </c>
      <c r="Q436" s="4" t="str" cm="1">
        <f t="array" ref="Q436">_xlfn.IFS('ProductSprint Backlog'!$F436="", "", AND('ProductSprint Backlog'!$J436&gt;Q$2,'ProductSprint Backlog'!$I436&lt;=Q$2), 'ProductSprint Backlog'!$F436 / MAX(1, 'ProductSprint Backlog'!$J436-'ProductSprint Backlog'!$I436), AND('ProductSprint Backlog'!$J436=Q$2,'ProductSprint Backlog'!$I436=Q$2), 'ProductSprint Backlog'!$F436, TRUE, 0)</f>
        <v/>
      </c>
    </row>
    <row r="437" spans="2:17" x14ac:dyDescent="0.2">
      <c r="B437" s="4" t="str" cm="1">
        <f t="array" ref="B437">_xlfn.IFS('ProductSprint Backlog'!$F437="", "", AND('ProductSprint Backlog'!$J437&gt;B$2,'ProductSprint Backlog'!$I437&lt;=B$2), 'ProductSprint Backlog'!$F437 / MAX(1, 'ProductSprint Backlog'!$J437-'ProductSprint Backlog'!$I437), AND('ProductSprint Backlog'!$J437=B$2,'ProductSprint Backlog'!$I437=B$2), 'ProductSprint Backlog'!$F437, TRUE, 0)</f>
        <v/>
      </c>
      <c r="C437" s="4" t="str" cm="1">
        <f t="array" ref="C437">_xlfn.IFS('ProductSprint Backlog'!$F437="", "", AND('ProductSprint Backlog'!$J437&gt;C$2,'ProductSprint Backlog'!$I437&lt;=C$2), 'ProductSprint Backlog'!$F437 / MAX(1, 'ProductSprint Backlog'!$J437-'ProductSprint Backlog'!$I437), AND('ProductSprint Backlog'!$J437=C$2,'ProductSprint Backlog'!$I437=C$2), 'ProductSprint Backlog'!$F437, TRUE, 0)</f>
        <v/>
      </c>
      <c r="D437" s="4" t="str" cm="1">
        <f t="array" ref="D437">_xlfn.IFS('ProductSprint Backlog'!$F437="", "", AND('ProductSprint Backlog'!$J437&gt;D$2,'ProductSprint Backlog'!$I437&lt;=D$2), 'ProductSprint Backlog'!$F437 / MAX(1, 'ProductSprint Backlog'!$J437-'ProductSprint Backlog'!$I437), AND('ProductSprint Backlog'!$J437=D$2,'ProductSprint Backlog'!$I437=D$2), 'ProductSprint Backlog'!$F437, TRUE, 0)</f>
        <v/>
      </c>
      <c r="E437" s="4" t="str" cm="1">
        <f t="array" ref="E437">_xlfn.IFS('ProductSprint Backlog'!$F437="", "", AND('ProductSprint Backlog'!$J437&gt;E$2,'ProductSprint Backlog'!$I437&lt;=E$2), 'ProductSprint Backlog'!$F437 / MAX(1, 'ProductSprint Backlog'!$J437-'ProductSprint Backlog'!$I437), AND('ProductSprint Backlog'!$J437=E$2,'ProductSprint Backlog'!$I437=E$2), 'ProductSprint Backlog'!$F437, TRUE, 0)</f>
        <v/>
      </c>
      <c r="F437" s="4" t="str" cm="1">
        <f t="array" ref="F437">_xlfn.IFS('ProductSprint Backlog'!$F437="", "", AND('ProductSprint Backlog'!$J437&gt;F$2,'ProductSprint Backlog'!$I437&lt;=F$2), 'ProductSprint Backlog'!$F437 / MAX(1, 'ProductSprint Backlog'!$J437-'ProductSprint Backlog'!$I437), AND('ProductSprint Backlog'!$J437=F$2,'ProductSprint Backlog'!$I437=F$2), 'ProductSprint Backlog'!$F437, TRUE, 0)</f>
        <v/>
      </c>
      <c r="G437" s="4" t="str" cm="1">
        <f t="array" ref="G437">_xlfn.IFS('ProductSprint Backlog'!$F437="", "", AND('ProductSprint Backlog'!$J437&gt;G$2,'ProductSprint Backlog'!$I437&lt;=G$2), 'ProductSprint Backlog'!$F437 / MAX(1, 'ProductSprint Backlog'!$J437-'ProductSprint Backlog'!$I437), AND('ProductSprint Backlog'!$J437=G$2,'ProductSprint Backlog'!$I437=G$2), 'ProductSprint Backlog'!$F437, TRUE, 0)</f>
        <v/>
      </c>
      <c r="H437" s="4" t="str" cm="1">
        <f t="array" ref="H437">_xlfn.IFS('ProductSprint Backlog'!$F437="", "", AND('ProductSprint Backlog'!$J437&gt;H$2,'ProductSprint Backlog'!$I437&lt;=H$2), 'ProductSprint Backlog'!$F437 / MAX(1, 'ProductSprint Backlog'!$J437-'ProductSprint Backlog'!$I437), AND('ProductSprint Backlog'!$J437=H$2,'ProductSprint Backlog'!$I437=H$2), 'ProductSprint Backlog'!$F437, TRUE, 0)</f>
        <v/>
      </c>
      <c r="I437" s="4" t="str" cm="1">
        <f t="array" ref="I437">_xlfn.IFS('ProductSprint Backlog'!$F437="", "", AND('ProductSprint Backlog'!$J437&gt;I$2,'ProductSprint Backlog'!$I437&lt;=I$2), 'ProductSprint Backlog'!$F437 / MAX(1, 'ProductSprint Backlog'!$J437-'ProductSprint Backlog'!$I437), AND('ProductSprint Backlog'!$J437=I$2,'ProductSprint Backlog'!$I437=I$2), 'ProductSprint Backlog'!$F437, TRUE, 0)</f>
        <v/>
      </c>
      <c r="J437" s="4" t="str" cm="1">
        <f t="array" ref="J437">_xlfn.IFS('ProductSprint Backlog'!$F437="", "", AND('ProductSprint Backlog'!$J437&gt;J$2,'ProductSprint Backlog'!$I437&lt;=J$2), 'ProductSprint Backlog'!$F437 / MAX(1, 'ProductSprint Backlog'!$J437-'ProductSprint Backlog'!$I437), AND('ProductSprint Backlog'!$J437=J$2,'ProductSprint Backlog'!$I437=J$2), 'ProductSprint Backlog'!$F437, TRUE, 0)</f>
        <v/>
      </c>
      <c r="K437" s="4" t="str" cm="1">
        <f t="array" ref="K437">_xlfn.IFS('ProductSprint Backlog'!$F437="", "", AND('ProductSprint Backlog'!$J437&gt;K$2,'ProductSprint Backlog'!$I437&lt;=K$2), 'ProductSprint Backlog'!$F437 / MAX(1, 'ProductSprint Backlog'!$J437-'ProductSprint Backlog'!$I437), AND('ProductSprint Backlog'!$J437=K$2,'ProductSprint Backlog'!$I437=K$2), 'ProductSprint Backlog'!$F437, TRUE, 0)</f>
        <v/>
      </c>
      <c r="L437" s="4" t="str" cm="1">
        <f t="array" ref="L437">_xlfn.IFS('ProductSprint Backlog'!$F437="", "", AND('ProductSprint Backlog'!$J437&gt;L$2,'ProductSprint Backlog'!$I437&lt;=L$2), 'ProductSprint Backlog'!$F437 / MAX(1, 'ProductSprint Backlog'!$J437-'ProductSprint Backlog'!$I437), AND('ProductSprint Backlog'!$J437=L$2,'ProductSprint Backlog'!$I437=L$2), 'ProductSprint Backlog'!$F437, TRUE, 0)</f>
        <v/>
      </c>
      <c r="M437" s="4" t="str" cm="1">
        <f t="array" ref="M437">_xlfn.IFS('ProductSprint Backlog'!$F437="", "", AND('ProductSprint Backlog'!$J437&gt;M$2,'ProductSprint Backlog'!$I437&lt;=M$2), 'ProductSprint Backlog'!$F437 / MAX(1, 'ProductSprint Backlog'!$J437-'ProductSprint Backlog'!$I437), AND('ProductSprint Backlog'!$J437=M$2,'ProductSprint Backlog'!$I437=M$2), 'ProductSprint Backlog'!$F437, TRUE, 0)</f>
        <v/>
      </c>
      <c r="N437" s="4" t="str" cm="1">
        <f t="array" ref="N437">_xlfn.IFS('ProductSprint Backlog'!$F437="", "", AND('ProductSprint Backlog'!$J437&gt;N$2,'ProductSprint Backlog'!$I437&lt;=N$2), 'ProductSprint Backlog'!$F437 / MAX(1, 'ProductSprint Backlog'!$J437-'ProductSprint Backlog'!$I437), AND('ProductSprint Backlog'!$J437=N$2,'ProductSprint Backlog'!$I437=N$2), 'ProductSprint Backlog'!$F437, TRUE, 0)</f>
        <v/>
      </c>
      <c r="O437" s="4" t="str" cm="1">
        <f t="array" ref="O437">_xlfn.IFS('ProductSprint Backlog'!$F437="", "", AND('ProductSprint Backlog'!$J437&gt;O$2,'ProductSprint Backlog'!$I437&lt;=O$2), 'ProductSprint Backlog'!$F437 / MAX(1, 'ProductSprint Backlog'!$J437-'ProductSprint Backlog'!$I437), AND('ProductSprint Backlog'!$J437=O$2,'ProductSprint Backlog'!$I437=O$2), 'ProductSprint Backlog'!$F437, TRUE, 0)</f>
        <v/>
      </c>
      <c r="P437" s="4" t="str" cm="1">
        <f t="array" ref="P437">_xlfn.IFS('ProductSprint Backlog'!$F437="", "", AND('ProductSprint Backlog'!$J437&gt;P$2,'ProductSprint Backlog'!$I437&lt;=P$2), 'ProductSprint Backlog'!$F437 / MAX(1, 'ProductSprint Backlog'!$J437-'ProductSprint Backlog'!$I437), AND('ProductSprint Backlog'!$J437=P$2,'ProductSprint Backlog'!$I437=P$2), 'ProductSprint Backlog'!$F437, TRUE, 0)</f>
        <v/>
      </c>
      <c r="Q437" s="4" t="str" cm="1">
        <f t="array" ref="Q437">_xlfn.IFS('ProductSprint Backlog'!$F437="", "", AND('ProductSprint Backlog'!$J437&gt;Q$2,'ProductSprint Backlog'!$I437&lt;=Q$2), 'ProductSprint Backlog'!$F437 / MAX(1, 'ProductSprint Backlog'!$J437-'ProductSprint Backlog'!$I437), AND('ProductSprint Backlog'!$J437=Q$2,'ProductSprint Backlog'!$I437=Q$2), 'ProductSprint Backlog'!$F437, TRUE, 0)</f>
        <v/>
      </c>
    </row>
    <row r="438" spans="2:17" x14ac:dyDescent="0.2">
      <c r="B438" s="4" t="str" cm="1">
        <f t="array" ref="B438">_xlfn.IFS('ProductSprint Backlog'!$F438="", "", AND('ProductSprint Backlog'!$J438&gt;B$2,'ProductSprint Backlog'!$I438&lt;=B$2), 'ProductSprint Backlog'!$F438 / MAX(1, 'ProductSprint Backlog'!$J438-'ProductSprint Backlog'!$I438), AND('ProductSprint Backlog'!$J438=B$2,'ProductSprint Backlog'!$I438=B$2), 'ProductSprint Backlog'!$F438, TRUE, 0)</f>
        <v/>
      </c>
      <c r="C438" s="4" t="str" cm="1">
        <f t="array" ref="C438">_xlfn.IFS('ProductSprint Backlog'!$F438="", "", AND('ProductSprint Backlog'!$J438&gt;C$2,'ProductSprint Backlog'!$I438&lt;=C$2), 'ProductSprint Backlog'!$F438 / MAX(1, 'ProductSprint Backlog'!$J438-'ProductSprint Backlog'!$I438), AND('ProductSprint Backlog'!$J438=C$2,'ProductSprint Backlog'!$I438=C$2), 'ProductSprint Backlog'!$F438, TRUE, 0)</f>
        <v/>
      </c>
      <c r="D438" s="4" t="str" cm="1">
        <f t="array" ref="D438">_xlfn.IFS('ProductSprint Backlog'!$F438="", "", AND('ProductSprint Backlog'!$J438&gt;D$2,'ProductSprint Backlog'!$I438&lt;=D$2), 'ProductSprint Backlog'!$F438 / MAX(1, 'ProductSprint Backlog'!$J438-'ProductSprint Backlog'!$I438), AND('ProductSprint Backlog'!$J438=D$2,'ProductSprint Backlog'!$I438=D$2), 'ProductSprint Backlog'!$F438, TRUE, 0)</f>
        <v/>
      </c>
      <c r="E438" s="4" t="str" cm="1">
        <f t="array" ref="E438">_xlfn.IFS('ProductSprint Backlog'!$F438="", "", AND('ProductSprint Backlog'!$J438&gt;E$2,'ProductSprint Backlog'!$I438&lt;=E$2), 'ProductSprint Backlog'!$F438 / MAX(1, 'ProductSprint Backlog'!$J438-'ProductSprint Backlog'!$I438), AND('ProductSprint Backlog'!$J438=E$2,'ProductSprint Backlog'!$I438=E$2), 'ProductSprint Backlog'!$F438, TRUE, 0)</f>
        <v/>
      </c>
      <c r="F438" s="4" t="str" cm="1">
        <f t="array" ref="F438">_xlfn.IFS('ProductSprint Backlog'!$F438="", "", AND('ProductSprint Backlog'!$J438&gt;F$2,'ProductSprint Backlog'!$I438&lt;=F$2), 'ProductSprint Backlog'!$F438 / MAX(1, 'ProductSprint Backlog'!$J438-'ProductSprint Backlog'!$I438), AND('ProductSprint Backlog'!$J438=F$2,'ProductSprint Backlog'!$I438=F$2), 'ProductSprint Backlog'!$F438, TRUE, 0)</f>
        <v/>
      </c>
      <c r="G438" s="4" t="str" cm="1">
        <f t="array" ref="G438">_xlfn.IFS('ProductSprint Backlog'!$F438="", "", AND('ProductSprint Backlog'!$J438&gt;G$2,'ProductSprint Backlog'!$I438&lt;=G$2), 'ProductSprint Backlog'!$F438 / MAX(1, 'ProductSprint Backlog'!$J438-'ProductSprint Backlog'!$I438), AND('ProductSprint Backlog'!$J438=G$2,'ProductSprint Backlog'!$I438=G$2), 'ProductSprint Backlog'!$F438, TRUE, 0)</f>
        <v/>
      </c>
      <c r="H438" s="4" t="str" cm="1">
        <f t="array" ref="H438">_xlfn.IFS('ProductSprint Backlog'!$F438="", "", AND('ProductSprint Backlog'!$J438&gt;H$2,'ProductSprint Backlog'!$I438&lt;=H$2), 'ProductSprint Backlog'!$F438 / MAX(1, 'ProductSprint Backlog'!$J438-'ProductSprint Backlog'!$I438), AND('ProductSprint Backlog'!$J438=H$2,'ProductSprint Backlog'!$I438=H$2), 'ProductSprint Backlog'!$F438, TRUE, 0)</f>
        <v/>
      </c>
      <c r="I438" s="4" t="str" cm="1">
        <f t="array" ref="I438">_xlfn.IFS('ProductSprint Backlog'!$F438="", "", AND('ProductSprint Backlog'!$J438&gt;I$2,'ProductSprint Backlog'!$I438&lt;=I$2), 'ProductSprint Backlog'!$F438 / MAX(1, 'ProductSprint Backlog'!$J438-'ProductSprint Backlog'!$I438), AND('ProductSprint Backlog'!$J438=I$2,'ProductSprint Backlog'!$I438=I$2), 'ProductSprint Backlog'!$F438, TRUE, 0)</f>
        <v/>
      </c>
      <c r="J438" s="4" t="str" cm="1">
        <f t="array" ref="J438">_xlfn.IFS('ProductSprint Backlog'!$F438="", "", AND('ProductSprint Backlog'!$J438&gt;J$2,'ProductSprint Backlog'!$I438&lt;=J$2), 'ProductSprint Backlog'!$F438 / MAX(1, 'ProductSprint Backlog'!$J438-'ProductSprint Backlog'!$I438), AND('ProductSprint Backlog'!$J438=J$2,'ProductSprint Backlog'!$I438=J$2), 'ProductSprint Backlog'!$F438, TRUE, 0)</f>
        <v/>
      </c>
      <c r="K438" s="4" t="str" cm="1">
        <f t="array" ref="K438">_xlfn.IFS('ProductSprint Backlog'!$F438="", "", AND('ProductSprint Backlog'!$J438&gt;K$2,'ProductSprint Backlog'!$I438&lt;=K$2), 'ProductSprint Backlog'!$F438 / MAX(1, 'ProductSprint Backlog'!$J438-'ProductSprint Backlog'!$I438), AND('ProductSprint Backlog'!$J438=K$2,'ProductSprint Backlog'!$I438=K$2), 'ProductSprint Backlog'!$F438, TRUE, 0)</f>
        <v/>
      </c>
      <c r="L438" s="4" t="str" cm="1">
        <f t="array" ref="L438">_xlfn.IFS('ProductSprint Backlog'!$F438="", "", AND('ProductSprint Backlog'!$J438&gt;L$2,'ProductSprint Backlog'!$I438&lt;=L$2), 'ProductSprint Backlog'!$F438 / MAX(1, 'ProductSprint Backlog'!$J438-'ProductSprint Backlog'!$I438), AND('ProductSprint Backlog'!$J438=L$2,'ProductSprint Backlog'!$I438=L$2), 'ProductSprint Backlog'!$F438, TRUE, 0)</f>
        <v/>
      </c>
      <c r="M438" s="4" t="str" cm="1">
        <f t="array" ref="M438">_xlfn.IFS('ProductSprint Backlog'!$F438="", "", AND('ProductSprint Backlog'!$J438&gt;M$2,'ProductSprint Backlog'!$I438&lt;=M$2), 'ProductSprint Backlog'!$F438 / MAX(1, 'ProductSprint Backlog'!$J438-'ProductSprint Backlog'!$I438), AND('ProductSprint Backlog'!$J438=M$2,'ProductSprint Backlog'!$I438=M$2), 'ProductSprint Backlog'!$F438, TRUE, 0)</f>
        <v/>
      </c>
      <c r="N438" s="4" t="str" cm="1">
        <f t="array" ref="N438">_xlfn.IFS('ProductSprint Backlog'!$F438="", "", AND('ProductSprint Backlog'!$J438&gt;N$2,'ProductSprint Backlog'!$I438&lt;=N$2), 'ProductSprint Backlog'!$F438 / MAX(1, 'ProductSprint Backlog'!$J438-'ProductSprint Backlog'!$I438), AND('ProductSprint Backlog'!$J438=N$2,'ProductSprint Backlog'!$I438=N$2), 'ProductSprint Backlog'!$F438, TRUE, 0)</f>
        <v/>
      </c>
      <c r="O438" s="4" t="str" cm="1">
        <f t="array" ref="O438">_xlfn.IFS('ProductSprint Backlog'!$F438="", "", AND('ProductSprint Backlog'!$J438&gt;O$2,'ProductSprint Backlog'!$I438&lt;=O$2), 'ProductSprint Backlog'!$F438 / MAX(1, 'ProductSprint Backlog'!$J438-'ProductSprint Backlog'!$I438), AND('ProductSprint Backlog'!$J438=O$2,'ProductSprint Backlog'!$I438=O$2), 'ProductSprint Backlog'!$F438, TRUE, 0)</f>
        <v/>
      </c>
      <c r="P438" s="4" t="str" cm="1">
        <f t="array" ref="P438">_xlfn.IFS('ProductSprint Backlog'!$F438="", "", AND('ProductSprint Backlog'!$J438&gt;P$2,'ProductSprint Backlog'!$I438&lt;=P$2), 'ProductSprint Backlog'!$F438 / MAX(1, 'ProductSprint Backlog'!$J438-'ProductSprint Backlog'!$I438), AND('ProductSprint Backlog'!$J438=P$2,'ProductSprint Backlog'!$I438=P$2), 'ProductSprint Backlog'!$F438, TRUE, 0)</f>
        <v/>
      </c>
      <c r="Q438" s="4" t="str" cm="1">
        <f t="array" ref="Q438">_xlfn.IFS('ProductSprint Backlog'!$F438="", "", AND('ProductSprint Backlog'!$J438&gt;Q$2,'ProductSprint Backlog'!$I438&lt;=Q$2), 'ProductSprint Backlog'!$F438 / MAX(1, 'ProductSprint Backlog'!$J438-'ProductSprint Backlog'!$I438), AND('ProductSprint Backlog'!$J438=Q$2,'ProductSprint Backlog'!$I438=Q$2), 'ProductSprint Backlog'!$F438, TRUE, 0)</f>
        <v/>
      </c>
    </row>
    <row r="439" spans="2:17" x14ac:dyDescent="0.2">
      <c r="B439" s="4" t="str" cm="1">
        <f t="array" ref="B439">_xlfn.IFS('ProductSprint Backlog'!$F439="", "", AND('ProductSprint Backlog'!$J439&gt;B$2,'ProductSprint Backlog'!$I439&lt;=B$2), 'ProductSprint Backlog'!$F439 / MAX(1, 'ProductSprint Backlog'!$J439-'ProductSprint Backlog'!$I439), AND('ProductSprint Backlog'!$J439=B$2,'ProductSprint Backlog'!$I439=B$2), 'ProductSprint Backlog'!$F439, TRUE, 0)</f>
        <v/>
      </c>
      <c r="C439" s="4" t="str" cm="1">
        <f t="array" ref="C439">_xlfn.IFS('ProductSprint Backlog'!$F439="", "", AND('ProductSprint Backlog'!$J439&gt;C$2,'ProductSprint Backlog'!$I439&lt;=C$2), 'ProductSprint Backlog'!$F439 / MAX(1, 'ProductSprint Backlog'!$J439-'ProductSprint Backlog'!$I439), AND('ProductSprint Backlog'!$J439=C$2,'ProductSprint Backlog'!$I439=C$2), 'ProductSprint Backlog'!$F439, TRUE, 0)</f>
        <v/>
      </c>
      <c r="D439" s="4" t="str" cm="1">
        <f t="array" ref="D439">_xlfn.IFS('ProductSprint Backlog'!$F439="", "", AND('ProductSprint Backlog'!$J439&gt;D$2,'ProductSprint Backlog'!$I439&lt;=D$2), 'ProductSprint Backlog'!$F439 / MAX(1, 'ProductSprint Backlog'!$J439-'ProductSprint Backlog'!$I439), AND('ProductSprint Backlog'!$J439=D$2,'ProductSprint Backlog'!$I439=D$2), 'ProductSprint Backlog'!$F439, TRUE, 0)</f>
        <v/>
      </c>
      <c r="E439" s="4" t="str" cm="1">
        <f t="array" ref="E439">_xlfn.IFS('ProductSprint Backlog'!$F439="", "", AND('ProductSprint Backlog'!$J439&gt;E$2,'ProductSprint Backlog'!$I439&lt;=E$2), 'ProductSprint Backlog'!$F439 / MAX(1, 'ProductSprint Backlog'!$J439-'ProductSprint Backlog'!$I439), AND('ProductSprint Backlog'!$J439=E$2,'ProductSprint Backlog'!$I439=E$2), 'ProductSprint Backlog'!$F439, TRUE, 0)</f>
        <v/>
      </c>
      <c r="F439" s="4" t="str" cm="1">
        <f t="array" ref="F439">_xlfn.IFS('ProductSprint Backlog'!$F439="", "", AND('ProductSprint Backlog'!$J439&gt;F$2,'ProductSprint Backlog'!$I439&lt;=F$2), 'ProductSprint Backlog'!$F439 / MAX(1, 'ProductSprint Backlog'!$J439-'ProductSprint Backlog'!$I439), AND('ProductSprint Backlog'!$J439=F$2,'ProductSprint Backlog'!$I439=F$2), 'ProductSprint Backlog'!$F439, TRUE, 0)</f>
        <v/>
      </c>
      <c r="G439" s="4" t="str" cm="1">
        <f t="array" ref="G439">_xlfn.IFS('ProductSprint Backlog'!$F439="", "", AND('ProductSprint Backlog'!$J439&gt;G$2,'ProductSprint Backlog'!$I439&lt;=G$2), 'ProductSprint Backlog'!$F439 / MAX(1, 'ProductSprint Backlog'!$J439-'ProductSprint Backlog'!$I439), AND('ProductSprint Backlog'!$J439=G$2,'ProductSprint Backlog'!$I439=G$2), 'ProductSprint Backlog'!$F439, TRUE, 0)</f>
        <v/>
      </c>
      <c r="H439" s="4" t="str" cm="1">
        <f t="array" ref="H439">_xlfn.IFS('ProductSprint Backlog'!$F439="", "", AND('ProductSprint Backlog'!$J439&gt;H$2,'ProductSprint Backlog'!$I439&lt;=H$2), 'ProductSprint Backlog'!$F439 / MAX(1, 'ProductSprint Backlog'!$J439-'ProductSprint Backlog'!$I439), AND('ProductSprint Backlog'!$J439=H$2,'ProductSprint Backlog'!$I439=H$2), 'ProductSprint Backlog'!$F439, TRUE, 0)</f>
        <v/>
      </c>
      <c r="I439" s="4" t="str" cm="1">
        <f t="array" ref="I439">_xlfn.IFS('ProductSprint Backlog'!$F439="", "", AND('ProductSprint Backlog'!$J439&gt;I$2,'ProductSprint Backlog'!$I439&lt;=I$2), 'ProductSprint Backlog'!$F439 / MAX(1, 'ProductSprint Backlog'!$J439-'ProductSprint Backlog'!$I439), AND('ProductSprint Backlog'!$J439=I$2,'ProductSprint Backlog'!$I439=I$2), 'ProductSprint Backlog'!$F439, TRUE, 0)</f>
        <v/>
      </c>
      <c r="J439" s="4" t="str" cm="1">
        <f t="array" ref="J439">_xlfn.IFS('ProductSprint Backlog'!$F439="", "", AND('ProductSprint Backlog'!$J439&gt;J$2,'ProductSprint Backlog'!$I439&lt;=J$2), 'ProductSprint Backlog'!$F439 / MAX(1, 'ProductSprint Backlog'!$J439-'ProductSprint Backlog'!$I439), AND('ProductSprint Backlog'!$J439=J$2,'ProductSprint Backlog'!$I439=J$2), 'ProductSprint Backlog'!$F439, TRUE, 0)</f>
        <v/>
      </c>
      <c r="K439" s="4" t="str" cm="1">
        <f t="array" ref="K439">_xlfn.IFS('ProductSprint Backlog'!$F439="", "", AND('ProductSprint Backlog'!$J439&gt;K$2,'ProductSprint Backlog'!$I439&lt;=K$2), 'ProductSprint Backlog'!$F439 / MAX(1, 'ProductSprint Backlog'!$J439-'ProductSprint Backlog'!$I439), AND('ProductSprint Backlog'!$J439=K$2,'ProductSprint Backlog'!$I439=K$2), 'ProductSprint Backlog'!$F439, TRUE, 0)</f>
        <v/>
      </c>
      <c r="L439" s="4" t="str" cm="1">
        <f t="array" ref="L439">_xlfn.IFS('ProductSprint Backlog'!$F439="", "", AND('ProductSprint Backlog'!$J439&gt;L$2,'ProductSprint Backlog'!$I439&lt;=L$2), 'ProductSprint Backlog'!$F439 / MAX(1, 'ProductSprint Backlog'!$J439-'ProductSprint Backlog'!$I439), AND('ProductSprint Backlog'!$J439=L$2,'ProductSprint Backlog'!$I439=L$2), 'ProductSprint Backlog'!$F439, TRUE, 0)</f>
        <v/>
      </c>
      <c r="M439" s="4" t="str" cm="1">
        <f t="array" ref="M439">_xlfn.IFS('ProductSprint Backlog'!$F439="", "", AND('ProductSprint Backlog'!$J439&gt;M$2,'ProductSprint Backlog'!$I439&lt;=M$2), 'ProductSprint Backlog'!$F439 / MAX(1, 'ProductSprint Backlog'!$J439-'ProductSprint Backlog'!$I439), AND('ProductSprint Backlog'!$J439=M$2,'ProductSprint Backlog'!$I439=M$2), 'ProductSprint Backlog'!$F439, TRUE, 0)</f>
        <v/>
      </c>
      <c r="N439" s="4" t="str" cm="1">
        <f t="array" ref="N439">_xlfn.IFS('ProductSprint Backlog'!$F439="", "", AND('ProductSprint Backlog'!$J439&gt;N$2,'ProductSprint Backlog'!$I439&lt;=N$2), 'ProductSprint Backlog'!$F439 / MAX(1, 'ProductSprint Backlog'!$J439-'ProductSprint Backlog'!$I439), AND('ProductSprint Backlog'!$J439=N$2,'ProductSprint Backlog'!$I439=N$2), 'ProductSprint Backlog'!$F439, TRUE, 0)</f>
        <v/>
      </c>
      <c r="O439" s="4" t="str" cm="1">
        <f t="array" ref="O439">_xlfn.IFS('ProductSprint Backlog'!$F439="", "", AND('ProductSprint Backlog'!$J439&gt;O$2,'ProductSprint Backlog'!$I439&lt;=O$2), 'ProductSprint Backlog'!$F439 / MAX(1, 'ProductSprint Backlog'!$J439-'ProductSprint Backlog'!$I439), AND('ProductSprint Backlog'!$J439=O$2,'ProductSprint Backlog'!$I439=O$2), 'ProductSprint Backlog'!$F439, TRUE, 0)</f>
        <v/>
      </c>
      <c r="P439" s="4" t="str" cm="1">
        <f t="array" ref="P439">_xlfn.IFS('ProductSprint Backlog'!$F439="", "", AND('ProductSprint Backlog'!$J439&gt;P$2,'ProductSprint Backlog'!$I439&lt;=P$2), 'ProductSprint Backlog'!$F439 / MAX(1, 'ProductSprint Backlog'!$J439-'ProductSprint Backlog'!$I439), AND('ProductSprint Backlog'!$J439=P$2,'ProductSprint Backlog'!$I439=P$2), 'ProductSprint Backlog'!$F439, TRUE, 0)</f>
        <v/>
      </c>
      <c r="Q439" s="4" t="str" cm="1">
        <f t="array" ref="Q439">_xlfn.IFS('ProductSprint Backlog'!$F439="", "", AND('ProductSprint Backlog'!$J439&gt;Q$2,'ProductSprint Backlog'!$I439&lt;=Q$2), 'ProductSprint Backlog'!$F439 / MAX(1, 'ProductSprint Backlog'!$J439-'ProductSprint Backlog'!$I439), AND('ProductSprint Backlog'!$J439=Q$2,'ProductSprint Backlog'!$I439=Q$2), 'ProductSprint Backlog'!$F439, TRUE, 0)</f>
        <v/>
      </c>
    </row>
    <row r="440" spans="2:17" x14ac:dyDescent="0.2">
      <c r="B440" s="4" t="str" cm="1">
        <f t="array" ref="B440">_xlfn.IFS('ProductSprint Backlog'!$F440="", "", AND('ProductSprint Backlog'!$J440&gt;B$2,'ProductSprint Backlog'!$I440&lt;=B$2), 'ProductSprint Backlog'!$F440 / MAX(1, 'ProductSprint Backlog'!$J440-'ProductSprint Backlog'!$I440), AND('ProductSprint Backlog'!$J440=B$2,'ProductSprint Backlog'!$I440=B$2), 'ProductSprint Backlog'!$F440, TRUE, 0)</f>
        <v/>
      </c>
      <c r="C440" s="4" t="str" cm="1">
        <f t="array" ref="C440">_xlfn.IFS('ProductSprint Backlog'!$F440="", "", AND('ProductSprint Backlog'!$J440&gt;C$2,'ProductSprint Backlog'!$I440&lt;=C$2), 'ProductSprint Backlog'!$F440 / MAX(1, 'ProductSprint Backlog'!$J440-'ProductSprint Backlog'!$I440), AND('ProductSprint Backlog'!$J440=C$2,'ProductSprint Backlog'!$I440=C$2), 'ProductSprint Backlog'!$F440, TRUE, 0)</f>
        <v/>
      </c>
      <c r="D440" s="4" t="str" cm="1">
        <f t="array" ref="D440">_xlfn.IFS('ProductSprint Backlog'!$F440="", "", AND('ProductSprint Backlog'!$J440&gt;D$2,'ProductSprint Backlog'!$I440&lt;=D$2), 'ProductSprint Backlog'!$F440 / MAX(1, 'ProductSprint Backlog'!$J440-'ProductSprint Backlog'!$I440), AND('ProductSprint Backlog'!$J440=D$2,'ProductSprint Backlog'!$I440=D$2), 'ProductSprint Backlog'!$F440, TRUE, 0)</f>
        <v/>
      </c>
      <c r="E440" s="4" t="str" cm="1">
        <f t="array" ref="E440">_xlfn.IFS('ProductSprint Backlog'!$F440="", "", AND('ProductSprint Backlog'!$J440&gt;E$2,'ProductSprint Backlog'!$I440&lt;=E$2), 'ProductSprint Backlog'!$F440 / MAX(1, 'ProductSprint Backlog'!$J440-'ProductSprint Backlog'!$I440), AND('ProductSprint Backlog'!$J440=E$2,'ProductSprint Backlog'!$I440=E$2), 'ProductSprint Backlog'!$F440, TRUE, 0)</f>
        <v/>
      </c>
      <c r="F440" s="4" t="str" cm="1">
        <f t="array" ref="F440">_xlfn.IFS('ProductSprint Backlog'!$F440="", "", AND('ProductSprint Backlog'!$J440&gt;F$2,'ProductSprint Backlog'!$I440&lt;=F$2), 'ProductSprint Backlog'!$F440 / MAX(1, 'ProductSprint Backlog'!$J440-'ProductSprint Backlog'!$I440), AND('ProductSprint Backlog'!$J440=F$2,'ProductSprint Backlog'!$I440=F$2), 'ProductSprint Backlog'!$F440, TRUE, 0)</f>
        <v/>
      </c>
      <c r="G440" s="4" t="str" cm="1">
        <f t="array" ref="G440">_xlfn.IFS('ProductSprint Backlog'!$F440="", "", AND('ProductSprint Backlog'!$J440&gt;G$2,'ProductSprint Backlog'!$I440&lt;=G$2), 'ProductSprint Backlog'!$F440 / MAX(1, 'ProductSprint Backlog'!$J440-'ProductSprint Backlog'!$I440), AND('ProductSprint Backlog'!$J440=G$2,'ProductSprint Backlog'!$I440=G$2), 'ProductSprint Backlog'!$F440, TRUE, 0)</f>
        <v/>
      </c>
      <c r="H440" s="4" t="str" cm="1">
        <f t="array" ref="H440">_xlfn.IFS('ProductSprint Backlog'!$F440="", "", AND('ProductSprint Backlog'!$J440&gt;H$2,'ProductSprint Backlog'!$I440&lt;=H$2), 'ProductSprint Backlog'!$F440 / MAX(1, 'ProductSprint Backlog'!$J440-'ProductSprint Backlog'!$I440), AND('ProductSprint Backlog'!$J440=H$2,'ProductSprint Backlog'!$I440=H$2), 'ProductSprint Backlog'!$F440, TRUE, 0)</f>
        <v/>
      </c>
      <c r="I440" s="4" t="str" cm="1">
        <f t="array" ref="I440">_xlfn.IFS('ProductSprint Backlog'!$F440="", "", AND('ProductSprint Backlog'!$J440&gt;I$2,'ProductSprint Backlog'!$I440&lt;=I$2), 'ProductSprint Backlog'!$F440 / MAX(1, 'ProductSprint Backlog'!$J440-'ProductSprint Backlog'!$I440), AND('ProductSprint Backlog'!$J440=I$2,'ProductSprint Backlog'!$I440=I$2), 'ProductSprint Backlog'!$F440, TRUE, 0)</f>
        <v/>
      </c>
      <c r="J440" s="4" t="str" cm="1">
        <f t="array" ref="J440">_xlfn.IFS('ProductSprint Backlog'!$F440="", "", AND('ProductSprint Backlog'!$J440&gt;J$2,'ProductSprint Backlog'!$I440&lt;=J$2), 'ProductSprint Backlog'!$F440 / MAX(1, 'ProductSprint Backlog'!$J440-'ProductSprint Backlog'!$I440), AND('ProductSprint Backlog'!$J440=J$2,'ProductSprint Backlog'!$I440=J$2), 'ProductSprint Backlog'!$F440, TRUE, 0)</f>
        <v/>
      </c>
      <c r="K440" s="4" t="str" cm="1">
        <f t="array" ref="K440">_xlfn.IFS('ProductSprint Backlog'!$F440="", "", AND('ProductSprint Backlog'!$J440&gt;K$2,'ProductSprint Backlog'!$I440&lt;=K$2), 'ProductSprint Backlog'!$F440 / MAX(1, 'ProductSprint Backlog'!$J440-'ProductSprint Backlog'!$I440), AND('ProductSprint Backlog'!$J440=K$2,'ProductSprint Backlog'!$I440=K$2), 'ProductSprint Backlog'!$F440, TRUE, 0)</f>
        <v/>
      </c>
      <c r="L440" s="4" t="str" cm="1">
        <f t="array" ref="L440">_xlfn.IFS('ProductSprint Backlog'!$F440="", "", AND('ProductSprint Backlog'!$J440&gt;L$2,'ProductSprint Backlog'!$I440&lt;=L$2), 'ProductSprint Backlog'!$F440 / MAX(1, 'ProductSprint Backlog'!$J440-'ProductSprint Backlog'!$I440), AND('ProductSprint Backlog'!$J440=L$2,'ProductSprint Backlog'!$I440=L$2), 'ProductSprint Backlog'!$F440, TRUE, 0)</f>
        <v/>
      </c>
      <c r="M440" s="4" t="str" cm="1">
        <f t="array" ref="M440">_xlfn.IFS('ProductSprint Backlog'!$F440="", "", AND('ProductSprint Backlog'!$J440&gt;M$2,'ProductSprint Backlog'!$I440&lt;=M$2), 'ProductSprint Backlog'!$F440 / MAX(1, 'ProductSprint Backlog'!$J440-'ProductSprint Backlog'!$I440), AND('ProductSprint Backlog'!$J440=M$2,'ProductSprint Backlog'!$I440=M$2), 'ProductSprint Backlog'!$F440, TRUE, 0)</f>
        <v/>
      </c>
      <c r="N440" s="4" t="str" cm="1">
        <f t="array" ref="N440">_xlfn.IFS('ProductSprint Backlog'!$F440="", "", AND('ProductSprint Backlog'!$J440&gt;N$2,'ProductSprint Backlog'!$I440&lt;=N$2), 'ProductSprint Backlog'!$F440 / MAX(1, 'ProductSprint Backlog'!$J440-'ProductSprint Backlog'!$I440), AND('ProductSprint Backlog'!$J440=N$2,'ProductSprint Backlog'!$I440=N$2), 'ProductSprint Backlog'!$F440, TRUE, 0)</f>
        <v/>
      </c>
      <c r="O440" s="4" t="str" cm="1">
        <f t="array" ref="O440">_xlfn.IFS('ProductSprint Backlog'!$F440="", "", AND('ProductSprint Backlog'!$J440&gt;O$2,'ProductSprint Backlog'!$I440&lt;=O$2), 'ProductSprint Backlog'!$F440 / MAX(1, 'ProductSprint Backlog'!$J440-'ProductSprint Backlog'!$I440), AND('ProductSprint Backlog'!$J440=O$2,'ProductSprint Backlog'!$I440=O$2), 'ProductSprint Backlog'!$F440, TRUE, 0)</f>
        <v/>
      </c>
      <c r="P440" s="4" t="str" cm="1">
        <f t="array" ref="P440">_xlfn.IFS('ProductSprint Backlog'!$F440="", "", AND('ProductSprint Backlog'!$J440&gt;P$2,'ProductSprint Backlog'!$I440&lt;=P$2), 'ProductSprint Backlog'!$F440 / MAX(1, 'ProductSprint Backlog'!$J440-'ProductSprint Backlog'!$I440), AND('ProductSprint Backlog'!$J440=P$2,'ProductSprint Backlog'!$I440=P$2), 'ProductSprint Backlog'!$F440, TRUE, 0)</f>
        <v/>
      </c>
      <c r="Q440" s="4" t="str" cm="1">
        <f t="array" ref="Q440">_xlfn.IFS('ProductSprint Backlog'!$F440="", "", AND('ProductSprint Backlog'!$J440&gt;Q$2,'ProductSprint Backlog'!$I440&lt;=Q$2), 'ProductSprint Backlog'!$F440 / MAX(1, 'ProductSprint Backlog'!$J440-'ProductSprint Backlog'!$I440), AND('ProductSprint Backlog'!$J440=Q$2,'ProductSprint Backlog'!$I440=Q$2), 'ProductSprint Backlog'!$F440, TRUE, 0)</f>
        <v/>
      </c>
    </row>
    <row r="441" spans="2:17" x14ac:dyDescent="0.2">
      <c r="B441" s="4" t="str" cm="1">
        <f t="array" ref="B441">_xlfn.IFS('ProductSprint Backlog'!$F441="", "", AND('ProductSprint Backlog'!$J441&gt;B$2,'ProductSprint Backlog'!$I441&lt;=B$2), 'ProductSprint Backlog'!$F441 / MAX(1, 'ProductSprint Backlog'!$J441-'ProductSprint Backlog'!$I441), AND('ProductSprint Backlog'!$J441=B$2,'ProductSprint Backlog'!$I441=B$2), 'ProductSprint Backlog'!$F441, TRUE, 0)</f>
        <v/>
      </c>
      <c r="C441" s="4" t="str" cm="1">
        <f t="array" ref="C441">_xlfn.IFS('ProductSprint Backlog'!$F441="", "", AND('ProductSprint Backlog'!$J441&gt;C$2,'ProductSprint Backlog'!$I441&lt;=C$2), 'ProductSprint Backlog'!$F441 / MAX(1, 'ProductSprint Backlog'!$J441-'ProductSprint Backlog'!$I441), AND('ProductSprint Backlog'!$J441=C$2,'ProductSprint Backlog'!$I441=C$2), 'ProductSprint Backlog'!$F441, TRUE, 0)</f>
        <v/>
      </c>
      <c r="D441" s="4" t="str" cm="1">
        <f t="array" ref="D441">_xlfn.IFS('ProductSprint Backlog'!$F441="", "", AND('ProductSprint Backlog'!$J441&gt;D$2,'ProductSprint Backlog'!$I441&lt;=D$2), 'ProductSprint Backlog'!$F441 / MAX(1, 'ProductSprint Backlog'!$J441-'ProductSprint Backlog'!$I441), AND('ProductSprint Backlog'!$J441=D$2,'ProductSprint Backlog'!$I441=D$2), 'ProductSprint Backlog'!$F441, TRUE, 0)</f>
        <v/>
      </c>
      <c r="E441" s="4" t="str" cm="1">
        <f t="array" ref="E441">_xlfn.IFS('ProductSprint Backlog'!$F441="", "", AND('ProductSprint Backlog'!$J441&gt;E$2,'ProductSprint Backlog'!$I441&lt;=E$2), 'ProductSprint Backlog'!$F441 / MAX(1, 'ProductSprint Backlog'!$J441-'ProductSprint Backlog'!$I441), AND('ProductSprint Backlog'!$J441=E$2,'ProductSprint Backlog'!$I441=E$2), 'ProductSprint Backlog'!$F441, TRUE, 0)</f>
        <v/>
      </c>
      <c r="F441" s="4" t="str" cm="1">
        <f t="array" ref="F441">_xlfn.IFS('ProductSprint Backlog'!$F441="", "", AND('ProductSprint Backlog'!$J441&gt;F$2,'ProductSprint Backlog'!$I441&lt;=F$2), 'ProductSprint Backlog'!$F441 / MAX(1, 'ProductSprint Backlog'!$J441-'ProductSprint Backlog'!$I441), AND('ProductSprint Backlog'!$J441=F$2,'ProductSprint Backlog'!$I441=F$2), 'ProductSprint Backlog'!$F441, TRUE, 0)</f>
        <v/>
      </c>
      <c r="G441" s="4" t="str" cm="1">
        <f t="array" ref="G441">_xlfn.IFS('ProductSprint Backlog'!$F441="", "", AND('ProductSprint Backlog'!$J441&gt;G$2,'ProductSprint Backlog'!$I441&lt;=G$2), 'ProductSprint Backlog'!$F441 / MAX(1, 'ProductSprint Backlog'!$J441-'ProductSprint Backlog'!$I441), AND('ProductSprint Backlog'!$J441=G$2,'ProductSprint Backlog'!$I441=G$2), 'ProductSprint Backlog'!$F441, TRUE, 0)</f>
        <v/>
      </c>
      <c r="H441" s="4" t="str" cm="1">
        <f t="array" ref="H441">_xlfn.IFS('ProductSprint Backlog'!$F441="", "", AND('ProductSprint Backlog'!$J441&gt;H$2,'ProductSprint Backlog'!$I441&lt;=H$2), 'ProductSprint Backlog'!$F441 / MAX(1, 'ProductSprint Backlog'!$J441-'ProductSprint Backlog'!$I441), AND('ProductSprint Backlog'!$J441=H$2,'ProductSprint Backlog'!$I441=H$2), 'ProductSprint Backlog'!$F441, TRUE, 0)</f>
        <v/>
      </c>
      <c r="I441" s="4" t="str" cm="1">
        <f t="array" ref="I441">_xlfn.IFS('ProductSprint Backlog'!$F441="", "", AND('ProductSprint Backlog'!$J441&gt;I$2,'ProductSprint Backlog'!$I441&lt;=I$2), 'ProductSprint Backlog'!$F441 / MAX(1, 'ProductSprint Backlog'!$J441-'ProductSprint Backlog'!$I441), AND('ProductSprint Backlog'!$J441=I$2,'ProductSprint Backlog'!$I441=I$2), 'ProductSprint Backlog'!$F441, TRUE, 0)</f>
        <v/>
      </c>
      <c r="J441" s="4" t="str" cm="1">
        <f t="array" ref="J441">_xlfn.IFS('ProductSprint Backlog'!$F441="", "", AND('ProductSprint Backlog'!$J441&gt;J$2,'ProductSprint Backlog'!$I441&lt;=J$2), 'ProductSprint Backlog'!$F441 / MAX(1, 'ProductSprint Backlog'!$J441-'ProductSprint Backlog'!$I441), AND('ProductSprint Backlog'!$J441=J$2,'ProductSprint Backlog'!$I441=J$2), 'ProductSprint Backlog'!$F441, TRUE, 0)</f>
        <v/>
      </c>
      <c r="K441" s="4" t="str" cm="1">
        <f t="array" ref="K441">_xlfn.IFS('ProductSprint Backlog'!$F441="", "", AND('ProductSprint Backlog'!$J441&gt;K$2,'ProductSprint Backlog'!$I441&lt;=K$2), 'ProductSprint Backlog'!$F441 / MAX(1, 'ProductSprint Backlog'!$J441-'ProductSprint Backlog'!$I441), AND('ProductSprint Backlog'!$J441=K$2,'ProductSprint Backlog'!$I441=K$2), 'ProductSprint Backlog'!$F441, TRUE, 0)</f>
        <v/>
      </c>
      <c r="L441" s="4" t="str" cm="1">
        <f t="array" ref="L441">_xlfn.IFS('ProductSprint Backlog'!$F441="", "", AND('ProductSprint Backlog'!$J441&gt;L$2,'ProductSprint Backlog'!$I441&lt;=L$2), 'ProductSprint Backlog'!$F441 / MAX(1, 'ProductSprint Backlog'!$J441-'ProductSprint Backlog'!$I441), AND('ProductSprint Backlog'!$J441=L$2,'ProductSprint Backlog'!$I441=L$2), 'ProductSprint Backlog'!$F441, TRUE, 0)</f>
        <v/>
      </c>
      <c r="M441" s="4" t="str" cm="1">
        <f t="array" ref="M441">_xlfn.IFS('ProductSprint Backlog'!$F441="", "", AND('ProductSprint Backlog'!$J441&gt;M$2,'ProductSprint Backlog'!$I441&lt;=M$2), 'ProductSprint Backlog'!$F441 / MAX(1, 'ProductSprint Backlog'!$J441-'ProductSprint Backlog'!$I441), AND('ProductSprint Backlog'!$J441=M$2,'ProductSprint Backlog'!$I441=M$2), 'ProductSprint Backlog'!$F441, TRUE, 0)</f>
        <v/>
      </c>
      <c r="N441" s="4" t="str" cm="1">
        <f t="array" ref="N441">_xlfn.IFS('ProductSprint Backlog'!$F441="", "", AND('ProductSprint Backlog'!$J441&gt;N$2,'ProductSprint Backlog'!$I441&lt;=N$2), 'ProductSprint Backlog'!$F441 / MAX(1, 'ProductSprint Backlog'!$J441-'ProductSprint Backlog'!$I441), AND('ProductSprint Backlog'!$J441=N$2,'ProductSprint Backlog'!$I441=N$2), 'ProductSprint Backlog'!$F441, TRUE, 0)</f>
        <v/>
      </c>
      <c r="O441" s="4" t="str" cm="1">
        <f t="array" ref="O441">_xlfn.IFS('ProductSprint Backlog'!$F441="", "", AND('ProductSprint Backlog'!$J441&gt;O$2,'ProductSprint Backlog'!$I441&lt;=O$2), 'ProductSprint Backlog'!$F441 / MAX(1, 'ProductSprint Backlog'!$J441-'ProductSprint Backlog'!$I441), AND('ProductSprint Backlog'!$J441=O$2,'ProductSprint Backlog'!$I441=O$2), 'ProductSprint Backlog'!$F441, TRUE, 0)</f>
        <v/>
      </c>
      <c r="P441" s="4" t="str" cm="1">
        <f t="array" ref="P441">_xlfn.IFS('ProductSprint Backlog'!$F441="", "", AND('ProductSprint Backlog'!$J441&gt;P$2,'ProductSprint Backlog'!$I441&lt;=P$2), 'ProductSprint Backlog'!$F441 / MAX(1, 'ProductSprint Backlog'!$J441-'ProductSprint Backlog'!$I441), AND('ProductSprint Backlog'!$J441=P$2,'ProductSprint Backlog'!$I441=P$2), 'ProductSprint Backlog'!$F441, TRUE, 0)</f>
        <v/>
      </c>
      <c r="Q441" s="4" t="str" cm="1">
        <f t="array" ref="Q441">_xlfn.IFS('ProductSprint Backlog'!$F441="", "", AND('ProductSprint Backlog'!$J441&gt;Q$2,'ProductSprint Backlog'!$I441&lt;=Q$2), 'ProductSprint Backlog'!$F441 / MAX(1, 'ProductSprint Backlog'!$J441-'ProductSprint Backlog'!$I441), AND('ProductSprint Backlog'!$J441=Q$2,'ProductSprint Backlog'!$I441=Q$2), 'ProductSprint Backlog'!$F441, TRUE, 0)</f>
        <v/>
      </c>
    </row>
    <row r="442" spans="2:17" x14ac:dyDescent="0.2">
      <c r="B442" s="4" t="str" cm="1">
        <f t="array" ref="B442">_xlfn.IFS('ProductSprint Backlog'!$F442="", "", AND('ProductSprint Backlog'!$J442&gt;B$2,'ProductSprint Backlog'!$I442&lt;=B$2), 'ProductSprint Backlog'!$F442 / MAX(1, 'ProductSprint Backlog'!$J442-'ProductSprint Backlog'!$I442), AND('ProductSprint Backlog'!$J442=B$2,'ProductSprint Backlog'!$I442=B$2), 'ProductSprint Backlog'!$F442, TRUE, 0)</f>
        <v/>
      </c>
      <c r="C442" s="4" t="str" cm="1">
        <f t="array" ref="C442">_xlfn.IFS('ProductSprint Backlog'!$F442="", "", AND('ProductSprint Backlog'!$J442&gt;C$2,'ProductSprint Backlog'!$I442&lt;=C$2), 'ProductSprint Backlog'!$F442 / MAX(1, 'ProductSprint Backlog'!$J442-'ProductSprint Backlog'!$I442), AND('ProductSprint Backlog'!$J442=C$2,'ProductSprint Backlog'!$I442=C$2), 'ProductSprint Backlog'!$F442, TRUE, 0)</f>
        <v/>
      </c>
      <c r="D442" s="4" t="str" cm="1">
        <f t="array" ref="D442">_xlfn.IFS('ProductSprint Backlog'!$F442="", "", AND('ProductSprint Backlog'!$J442&gt;D$2,'ProductSprint Backlog'!$I442&lt;=D$2), 'ProductSprint Backlog'!$F442 / MAX(1, 'ProductSprint Backlog'!$J442-'ProductSprint Backlog'!$I442), AND('ProductSprint Backlog'!$J442=D$2,'ProductSprint Backlog'!$I442=D$2), 'ProductSprint Backlog'!$F442, TRUE, 0)</f>
        <v/>
      </c>
      <c r="E442" s="4" t="str" cm="1">
        <f t="array" ref="E442">_xlfn.IFS('ProductSprint Backlog'!$F442="", "", AND('ProductSprint Backlog'!$J442&gt;E$2,'ProductSprint Backlog'!$I442&lt;=E$2), 'ProductSprint Backlog'!$F442 / MAX(1, 'ProductSprint Backlog'!$J442-'ProductSprint Backlog'!$I442), AND('ProductSprint Backlog'!$J442=E$2,'ProductSprint Backlog'!$I442=E$2), 'ProductSprint Backlog'!$F442, TRUE, 0)</f>
        <v/>
      </c>
      <c r="F442" s="4" t="str" cm="1">
        <f t="array" ref="F442">_xlfn.IFS('ProductSprint Backlog'!$F442="", "", AND('ProductSprint Backlog'!$J442&gt;F$2,'ProductSprint Backlog'!$I442&lt;=F$2), 'ProductSprint Backlog'!$F442 / MAX(1, 'ProductSprint Backlog'!$J442-'ProductSprint Backlog'!$I442), AND('ProductSprint Backlog'!$J442=F$2,'ProductSprint Backlog'!$I442=F$2), 'ProductSprint Backlog'!$F442, TRUE, 0)</f>
        <v/>
      </c>
      <c r="G442" s="4" t="str" cm="1">
        <f t="array" ref="G442">_xlfn.IFS('ProductSprint Backlog'!$F442="", "", AND('ProductSprint Backlog'!$J442&gt;G$2,'ProductSprint Backlog'!$I442&lt;=G$2), 'ProductSprint Backlog'!$F442 / MAX(1, 'ProductSprint Backlog'!$J442-'ProductSprint Backlog'!$I442), AND('ProductSprint Backlog'!$J442=G$2,'ProductSprint Backlog'!$I442=G$2), 'ProductSprint Backlog'!$F442, TRUE, 0)</f>
        <v/>
      </c>
      <c r="H442" s="4" t="str" cm="1">
        <f t="array" ref="H442">_xlfn.IFS('ProductSprint Backlog'!$F442="", "", AND('ProductSprint Backlog'!$J442&gt;H$2,'ProductSprint Backlog'!$I442&lt;=H$2), 'ProductSprint Backlog'!$F442 / MAX(1, 'ProductSprint Backlog'!$J442-'ProductSprint Backlog'!$I442), AND('ProductSprint Backlog'!$J442=H$2,'ProductSprint Backlog'!$I442=H$2), 'ProductSprint Backlog'!$F442, TRUE, 0)</f>
        <v/>
      </c>
      <c r="I442" s="4" t="str" cm="1">
        <f t="array" ref="I442">_xlfn.IFS('ProductSprint Backlog'!$F442="", "", AND('ProductSprint Backlog'!$J442&gt;I$2,'ProductSprint Backlog'!$I442&lt;=I$2), 'ProductSprint Backlog'!$F442 / MAX(1, 'ProductSprint Backlog'!$J442-'ProductSprint Backlog'!$I442), AND('ProductSprint Backlog'!$J442=I$2,'ProductSprint Backlog'!$I442=I$2), 'ProductSprint Backlog'!$F442, TRUE, 0)</f>
        <v/>
      </c>
      <c r="J442" s="4" t="str" cm="1">
        <f t="array" ref="J442">_xlfn.IFS('ProductSprint Backlog'!$F442="", "", AND('ProductSprint Backlog'!$J442&gt;J$2,'ProductSprint Backlog'!$I442&lt;=J$2), 'ProductSprint Backlog'!$F442 / MAX(1, 'ProductSprint Backlog'!$J442-'ProductSprint Backlog'!$I442), AND('ProductSprint Backlog'!$J442=J$2,'ProductSprint Backlog'!$I442=J$2), 'ProductSprint Backlog'!$F442, TRUE, 0)</f>
        <v/>
      </c>
      <c r="K442" s="4" t="str" cm="1">
        <f t="array" ref="K442">_xlfn.IFS('ProductSprint Backlog'!$F442="", "", AND('ProductSprint Backlog'!$J442&gt;K$2,'ProductSprint Backlog'!$I442&lt;=K$2), 'ProductSprint Backlog'!$F442 / MAX(1, 'ProductSprint Backlog'!$J442-'ProductSprint Backlog'!$I442), AND('ProductSprint Backlog'!$J442=K$2,'ProductSprint Backlog'!$I442=K$2), 'ProductSprint Backlog'!$F442, TRUE, 0)</f>
        <v/>
      </c>
      <c r="L442" s="4" t="str" cm="1">
        <f t="array" ref="L442">_xlfn.IFS('ProductSprint Backlog'!$F442="", "", AND('ProductSprint Backlog'!$J442&gt;L$2,'ProductSprint Backlog'!$I442&lt;=L$2), 'ProductSprint Backlog'!$F442 / MAX(1, 'ProductSprint Backlog'!$J442-'ProductSprint Backlog'!$I442), AND('ProductSprint Backlog'!$J442=L$2,'ProductSprint Backlog'!$I442=L$2), 'ProductSprint Backlog'!$F442, TRUE, 0)</f>
        <v/>
      </c>
      <c r="M442" s="4" t="str" cm="1">
        <f t="array" ref="M442">_xlfn.IFS('ProductSprint Backlog'!$F442="", "", AND('ProductSprint Backlog'!$J442&gt;M$2,'ProductSprint Backlog'!$I442&lt;=M$2), 'ProductSprint Backlog'!$F442 / MAX(1, 'ProductSprint Backlog'!$J442-'ProductSprint Backlog'!$I442), AND('ProductSprint Backlog'!$J442=M$2,'ProductSprint Backlog'!$I442=M$2), 'ProductSprint Backlog'!$F442, TRUE, 0)</f>
        <v/>
      </c>
      <c r="N442" s="4" t="str" cm="1">
        <f t="array" ref="N442">_xlfn.IFS('ProductSprint Backlog'!$F442="", "", AND('ProductSprint Backlog'!$J442&gt;N$2,'ProductSprint Backlog'!$I442&lt;=N$2), 'ProductSprint Backlog'!$F442 / MAX(1, 'ProductSprint Backlog'!$J442-'ProductSprint Backlog'!$I442), AND('ProductSprint Backlog'!$J442=N$2,'ProductSprint Backlog'!$I442=N$2), 'ProductSprint Backlog'!$F442, TRUE, 0)</f>
        <v/>
      </c>
      <c r="O442" s="4" t="str" cm="1">
        <f t="array" ref="O442">_xlfn.IFS('ProductSprint Backlog'!$F442="", "", AND('ProductSprint Backlog'!$J442&gt;O$2,'ProductSprint Backlog'!$I442&lt;=O$2), 'ProductSprint Backlog'!$F442 / MAX(1, 'ProductSprint Backlog'!$J442-'ProductSprint Backlog'!$I442), AND('ProductSprint Backlog'!$J442=O$2,'ProductSprint Backlog'!$I442=O$2), 'ProductSprint Backlog'!$F442, TRUE, 0)</f>
        <v/>
      </c>
      <c r="P442" s="4" t="str" cm="1">
        <f t="array" ref="P442">_xlfn.IFS('ProductSprint Backlog'!$F442="", "", AND('ProductSprint Backlog'!$J442&gt;P$2,'ProductSprint Backlog'!$I442&lt;=P$2), 'ProductSprint Backlog'!$F442 / MAX(1, 'ProductSprint Backlog'!$J442-'ProductSprint Backlog'!$I442), AND('ProductSprint Backlog'!$J442=P$2,'ProductSprint Backlog'!$I442=P$2), 'ProductSprint Backlog'!$F442, TRUE, 0)</f>
        <v/>
      </c>
      <c r="Q442" s="4" t="str" cm="1">
        <f t="array" ref="Q442">_xlfn.IFS('ProductSprint Backlog'!$F442="", "", AND('ProductSprint Backlog'!$J442&gt;Q$2,'ProductSprint Backlog'!$I442&lt;=Q$2), 'ProductSprint Backlog'!$F442 / MAX(1, 'ProductSprint Backlog'!$J442-'ProductSprint Backlog'!$I442), AND('ProductSprint Backlog'!$J442=Q$2,'ProductSprint Backlog'!$I442=Q$2), 'ProductSprint Backlog'!$F442, TRUE, 0)</f>
        <v/>
      </c>
    </row>
    <row r="443" spans="2:17" x14ac:dyDescent="0.2">
      <c r="B443" s="4" t="str" cm="1">
        <f t="array" ref="B443">_xlfn.IFS('ProductSprint Backlog'!$F443="", "", AND('ProductSprint Backlog'!$J443&gt;B$2,'ProductSprint Backlog'!$I443&lt;=B$2), 'ProductSprint Backlog'!$F443 / MAX(1, 'ProductSprint Backlog'!$J443-'ProductSprint Backlog'!$I443), AND('ProductSprint Backlog'!$J443=B$2,'ProductSprint Backlog'!$I443=B$2), 'ProductSprint Backlog'!$F443, TRUE, 0)</f>
        <v/>
      </c>
      <c r="C443" s="4" t="str" cm="1">
        <f t="array" ref="C443">_xlfn.IFS('ProductSprint Backlog'!$F443="", "", AND('ProductSprint Backlog'!$J443&gt;C$2,'ProductSprint Backlog'!$I443&lt;=C$2), 'ProductSprint Backlog'!$F443 / MAX(1, 'ProductSprint Backlog'!$J443-'ProductSprint Backlog'!$I443), AND('ProductSprint Backlog'!$J443=C$2,'ProductSprint Backlog'!$I443=C$2), 'ProductSprint Backlog'!$F443, TRUE, 0)</f>
        <v/>
      </c>
      <c r="D443" s="4" t="str" cm="1">
        <f t="array" ref="D443">_xlfn.IFS('ProductSprint Backlog'!$F443="", "", AND('ProductSprint Backlog'!$J443&gt;D$2,'ProductSprint Backlog'!$I443&lt;=D$2), 'ProductSprint Backlog'!$F443 / MAX(1, 'ProductSprint Backlog'!$J443-'ProductSprint Backlog'!$I443), AND('ProductSprint Backlog'!$J443=D$2,'ProductSprint Backlog'!$I443=D$2), 'ProductSprint Backlog'!$F443, TRUE, 0)</f>
        <v/>
      </c>
      <c r="E443" s="4" t="str" cm="1">
        <f t="array" ref="E443">_xlfn.IFS('ProductSprint Backlog'!$F443="", "", AND('ProductSprint Backlog'!$J443&gt;E$2,'ProductSprint Backlog'!$I443&lt;=E$2), 'ProductSprint Backlog'!$F443 / MAX(1, 'ProductSprint Backlog'!$J443-'ProductSprint Backlog'!$I443), AND('ProductSprint Backlog'!$J443=E$2,'ProductSprint Backlog'!$I443=E$2), 'ProductSprint Backlog'!$F443, TRUE, 0)</f>
        <v/>
      </c>
      <c r="F443" s="4" t="str" cm="1">
        <f t="array" ref="F443">_xlfn.IFS('ProductSprint Backlog'!$F443="", "", AND('ProductSprint Backlog'!$J443&gt;F$2,'ProductSprint Backlog'!$I443&lt;=F$2), 'ProductSprint Backlog'!$F443 / MAX(1, 'ProductSprint Backlog'!$J443-'ProductSprint Backlog'!$I443), AND('ProductSprint Backlog'!$J443=F$2,'ProductSprint Backlog'!$I443=F$2), 'ProductSprint Backlog'!$F443, TRUE, 0)</f>
        <v/>
      </c>
      <c r="G443" s="4" t="str" cm="1">
        <f t="array" ref="G443">_xlfn.IFS('ProductSprint Backlog'!$F443="", "", AND('ProductSprint Backlog'!$J443&gt;G$2,'ProductSprint Backlog'!$I443&lt;=G$2), 'ProductSprint Backlog'!$F443 / MAX(1, 'ProductSprint Backlog'!$J443-'ProductSprint Backlog'!$I443), AND('ProductSprint Backlog'!$J443=G$2,'ProductSprint Backlog'!$I443=G$2), 'ProductSprint Backlog'!$F443, TRUE, 0)</f>
        <v/>
      </c>
      <c r="H443" s="4" t="str" cm="1">
        <f t="array" ref="H443">_xlfn.IFS('ProductSprint Backlog'!$F443="", "", AND('ProductSprint Backlog'!$J443&gt;H$2,'ProductSprint Backlog'!$I443&lt;=H$2), 'ProductSprint Backlog'!$F443 / MAX(1, 'ProductSprint Backlog'!$J443-'ProductSprint Backlog'!$I443), AND('ProductSprint Backlog'!$J443=H$2,'ProductSprint Backlog'!$I443=H$2), 'ProductSprint Backlog'!$F443, TRUE, 0)</f>
        <v/>
      </c>
      <c r="I443" s="4" t="str" cm="1">
        <f t="array" ref="I443">_xlfn.IFS('ProductSprint Backlog'!$F443="", "", AND('ProductSprint Backlog'!$J443&gt;I$2,'ProductSprint Backlog'!$I443&lt;=I$2), 'ProductSprint Backlog'!$F443 / MAX(1, 'ProductSprint Backlog'!$J443-'ProductSprint Backlog'!$I443), AND('ProductSprint Backlog'!$J443=I$2,'ProductSprint Backlog'!$I443=I$2), 'ProductSprint Backlog'!$F443, TRUE, 0)</f>
        <v/>
      </c>
      <c r="J443" s="4" t="str" cm="1">
        <f t="array" ref="J443">_xlfn.IFS('ProductSprint Backlog'!$F443="", "", AND('ProductSprint Backlog'!$J443&gt;J$2,'ProductSprint Backlog'!$I443&lt;=J$2), 'ProductSprint Backlog'!$F443 / MAX(1, 'ProductSprint Backlog'!$J443-'ProductSprint Backlog'!$I443), AND('ProductSprint Backlog'!$J443=J$2,'ProductSprint Backlog'!$I443=J$2), 'ProductSprint Backlog'!$F443, TRUE, 0)</f>
        <v/>
      </c>
      <c r="K443" s="4" t="str" cm="1">
        <f t="array" ref="K443">_xlfn.IFS('ProductSprint Backlog'!$F443="", "", AND('ProductSprint Backlog'!$J443&gt;K$2,'ProductSprint Backlog'!$I443&lt;=K$2), 'ProductSprint Backlog'!$F443 / MAX(1, 'ProductSprint Backlog'!$J443-'ProductSprint Backlog'!$I443), AND('ProductSprint Backlog'!$J443=K$2,'ProductSprint Backlog'!$I443=K$2), 'ProductSprint Backlog'!$F443, TRUE, 0)</f>
        <v/>
      </c>
      <c r="L443" s="4" t="str" cm="1">
        <f t="array" ref="L443">_xlfn.IFS('ProductSprint Backlog'!$F443="", "", AND('ProductSprint Backlog'!$J443&gt;L$2,'ProductSprint Backlog'!$I443&lt;=L$2), 'ProductSprint Backlog'!$F443 / MAX(1, 'ProductSprint Backlog'!$J443-'ProductSprint Backlog'!$I443), AND('ProductSprint Backlog'!$J443=L$2,'ProductSprint Backlog'!$I443=L$2), 'ProductSprint Backlog'!$F443, TRUE, 0)</f>
        <v/>
      </c>
      <c r="M443" s="4" t="str" cm="1">
        <f t="array" ref="M443">_xlfn.IFS('ProductSprint Backlog'!$F443="", "", AND('ProductSprint Backlog'!$J443&gt;M$2,'ProductSprint Backlog'!$I443&lt;=M$2), 'ProductSprint Backlog'!$F443 / MAX(1, 'ProductSprint Backlog'!$J443-'ProductSprint Backlog'!$I443), AND('ProductSprint Backlog'!$J443=M$2,'ProductSprint Backlog'!$I443=M$2), 'ProductSprint Backlog'!$F443, TRUE, 0)</f>
        <v/>
      </c>
      <c r="N443" s="4" t="str" cm="1">
        <f t="array" ref="N443">_xlfn.IFS('ProductSprint Backlog'!$F443="", "", AND('ProductSprint Backlog'!$J443&gt;N$2,'ProductSprint Backlog'!$I443&lt;=N$2), 'ProductSprint Backlog'!$F443 / MAX(1, 'ProductSprint Backlog'!$J443-'ProductSprint Backlog'!$I443), AND('ProductSprint Backlog'!$J443=N$2,'ProductSprint Backlog'!$I443=N$2), 'ProductSprint Backlog'!$F443, TRUE, 0)</f>
        <v/>
      </c>
      <c r="O443" s="4" t="str" cm="1">
        <f t="array" ref="O443">_xlfn.IFS('ProductSprint Backlog'!$F443="", "", AND('ProductSprint Backlog'!$J443&gt;O$2,'ProductSprint Backlog'!$I443&lt;=O$2), 'ProductSprint Backlog'!$F443 / MAX(1, 'ProductSprint Backlog'!$J443-'ProductSprint Backlog'!$I443), AND('ProductSprint Backlog'!$J443=O$2,'ProductSprint Backlog'!$I443=O$2), 'ProductSprint Backlog'!$F443, TRUE, 0)</f>
        <v/>
      </c>
      <c r="P443" s="4" t="str" cm="1">
        <f t="array" ref="P443">_xlfn.IFS('ProductSprint Backlog'!$F443="", "", AND('ProductSprint Backlog'!$J443&gt;P$2,'ProductSprint Backlog'!$I443&lt;=P$2), 'ProductSprint Backlog'!$F443 / MAX(1, 'ProductSprint Backlog'!$J443-'ProductSprint Backlog'!$I443), AND('ProductSprint Backlog'!$J443=P$2,'ProductSprint Backlog'!$I443=P$2), 'ProductSprint Backlog'!$F443, TRUE, 0)</f>
        <v/>
      </c>
      <c r="Q443" s="4" t="str" cm="1">
        <f t="array" ref="Q443">_xlfn.IFS('ProductSprint Backlog'!$F443="", "", AND('ProductSprint Backlog'!$J443&gt;Q$2,'ProductSprint Backlog'!$I443&lt;=Q$2), 'ProductSprint Backlog'!$F443 / MAX(1, 'ProductSprint Backlog'!$J443-'ProductSprint Backlog'!$I443), AND('ProductSprint Backlog'!$J443=Q$2,'ProductSprint Backlog'!$I443=Q$2), 'ProductSprint Backlog'!$F443, TRUE, 0)</f>
        <v/>
      </c>
    </row>
    <row r="444" spans="2:17" x14ac:dyDescent="0.2">
      <c r="B444" s="4" t="str" cm="1">
        <f t="array" ref="B444">_xlfn.IFS('ProductSprint Backlog'!$F444="", "", AND('ProductSprint Backlog'!$J444&gt;B$2,'ProductSprint Backlog'!$I444&lt;=B$2), 'ProductSprint Backlog'!$F444 / MAX(1, 'ProductSprint Backlog'!$J444-'ProductSprint Backlog'!$I444), AND('ProductSprint Backlog'!$J444=B$2,'ProductSprint Backlog'!$I444=B$2), 'ProductSprint Backlog'!$F444, TRUE, 0)</f>
        <v/>
      </c>
      <c r="C444" s="4" t="str" cm="1">
        <f t="array" ref="C444">_xlfn.IFS('ProductSprint Backlog'!$F444="", "", AND('ProductSprint Backlog'!$J444&gt;C$2,'ProductSprint Backlog'!$I444&lt;=C$2), 'ProductSprint Backlog'!$F444 / MAX(1, 'ProductSprint Backlog'!$J444-'ProductSprint Backlog'!$I444), AND('ProductSprint Backlog'!$J444=C$2,'ProductSprint Backlog'!$I444=C$2), 'ProductSprint Backlog'!$F444, TRUE, 0)</f>
        <v/>
      </c>
      <c r="D444" s="4" t="str" cm="1">
        <f t="array" ref="D444">_xlfn.IFS('ProductSprint Backlog'!$F444="", "", AND('ProductSprint Backlog'!$J444&gt;D$2,'ProductSprint Backlog'!$I444&lt;=D$2), 'ProductSprint Backlog'!$F444 / MAX(1, 'ProductSprint Backlog'!$J444-'ProductSprint Backlog'!$I444), AND('ProductSprint Backlog'!$J444=D$2,'ProductSprint Backlog'!$I444=D$2), 'ProductSprint Backlog'!$F444, TRUE, 0)</f>
        <v/>
      </c>
      <c r="E444" s="4" t="str" cm="1">
        <f t="array" ref="E444">_xlfn.IFS('ProductSprint Backlog'!$F444="", "", AND('ProductSprint Backlog'!$J444&gt;E$2,'ProductSprint Backlog'!$I444&lt;=E$2), 'ProductSprint Backlog'!$F444 / MAX(1, 'ProductSprint Backlog'!$J444-'ProductSprint Backlog'!$I444), AND('ProductSprint Backlog'!$J444=E$2,'ProductSprint Backlog'!$I444=E$2), 'ProductSprint Backlog'!$F444, TRUE, 0)</f>
        <v/>
      </c>
      <c r="F444" s="4" t="str" cm="1">
        <f t="array" ref="F444">_xlfn.IFS('ProductSprint Backlog'!$F444="", "", AND('ProductSprint Backlog'!$J444&gt;F$2,'ProductSprint Backlog'!$I444&lt;=F$2), 'ProductSprint Backlog'!$F444 / MAX(1, 'ProductSprint Backlog'!$J444-'ProductSprint Backlog'!$I444), AND('ProductSprint Backlog'!$J444=F$2,'ProductSprint Backlog'!$I444=F$2), 'ProductSprint Backlog'!$F444, TRUE, 0)</f>
        <v/>
      </c>
      <c r="G444" s="4" t="str" cm="1">
        <f t="array" ref="G444">_xlfn.IFS('ProductSprint Backlog'!$F444="", "", AND('ProductSprint Backlog'!$J444&gt;G$2,'ProductSprint Backlog'!$I444&lt;=G$2), 'ProductSprint Backlog'!$F444 / MAX(1, 'ProductSprint Backlog'!$J444-'ProductSprint Backlog'!$I444), AND('ProductSprint Backlog'!$J444=G$2,'ProductSprint Backlog'!$I444=G$2), 'ProductSprint Backlog'!$F444, TRUE, 0)</f>
        <v/>
      </c>
      <c r="H444" s="4" t="str" cm="1">
        <f t="array" ref="H444">_xlfn.IFS('ProductSprint Backlog'!$F444="", "", AND('ProductSprint Backlog'!$J444&gt;H$2,'ProductSprint Backlog'!$I444&lt;=H$2), 'ProductSprint Backlog'!$F444 / MAX(1, 'ProductSprint Backlog'!$J444-'ProductSprint Backlog'!$I444), AND('ProductSprint Backlog'!$J444=H$2,'ProductSprint Backlog'!$I444=H$2), 'ProductSprint Backlog'!$F444, TRUE, 0)</f>
        <v/>
      </c>
      <c r="I444" s="4" t="str" cm="1">
        <f t="array" ref="I444">_xlfn.IFS('ProductSprint Backlog'!$F444="", "", AND('ProductSprint Backlog'!$J444&gt;I$2,'ProductSprint Backlog'!$I444&lt;=I$2), 'ProductSprint Backlog'!$F444 / MAX(1, 'ProductSprint Backlog'!$J444-'ProductSprint Backlog'!$I444), AND('ProductSprint Backlog'!$J444=I$2,'ProductSprint Backlog'!$I444=I$2), 'ProductSprint Backlog'!$F444, TRUE, 0)</f>
        <v/>
      </c>
      <c r="J444" s="4" t="str" cm="1">
        <f t="array" ref="J444">_xlfn.IFS('ProductSprint Backlog'!$F444="", "", AND('ProductSprint Backlog'!$J444&gt;J$2,'ProductSprint Backlog'!$I444&lt;=J$2), 'ProductSprint Backlog'!$F444 / MAX(1, 'ProductSprint Backlog'!$J444-'ProductSprint Backlog'!$I444), AND('ProductSprint Backlog'!$J444=J$2,'ProductSprint Backlog'!$I444=J$2), 'ProductSprint Backlog'!$F444, TRUE, 0)</f>
        <v/>
      </c>
      <c r="K444" s="4" t="str" cm="1">
        <f t="array" ref="K444">_xlfn.IFS('ProductSprint Backlog'!$F444="", "", AND('ProductSprint Backlog'!$J444&gt;K$2,'ProductSprint Backlog'!$I444&lt;=K$2), 'ProductSprint Backlog'!$F444 / MAX(1, 'ProductSprint Backlog'!$J444-'ProductSprint Backlog'!$I444), AND('ProductSprint Backlog'!$J444=K$2,'ProductSprint Backlog'!$I444=K$2), 'ProductSprint Backlog'!$F444, TRUE, 0)</f>
        <v/>
      </c>
      <c r="L444" s="4" t="str" cm="1">
        <f t="array" ref="L444">_xlfn.IFS('ProductSprint Backlog'!$F444="", "", AND('ProductSprint Backlog'!$J444&gt;L$2,'ProductSprint Backlog'!$I444&lt;=L$2), 'ProductSprint Backlog'!$F444 / MAX(1, 'ProductSprint Backlog'!$J444-'ProductSprint Backlog'!$I444), AND('ProductSprint Backlog'!$J444=L$2,'ProductSprint Backlog'!$I444=L$2), 'ProductSprint Backlog'!$F444, TRUE, 0)</f>
        <v/>
      </c>
      <c r="M444" s="4" t="str" cm="1">
        <f t="array" ref="M444">_xlfn.IFS('ProductSprint Backlog'!$F444="", "", AND('ProductSprint Backlog'!$J444&gt;M$2,'ProductSprint Backlog'!$I444&lt;=M$2), 'ProductSprint Backlog'!$F444 / MAX(1, 'ProductSprint Backlog'!$J444-'ProductSprint Backlog'!$I444), AND('ProductSprint Backlog'!$J444=M$2,'ProductSprint Backlog'!$I444=M$2), 'ProductSprint Backlog'!$F444, TRUE, 0)</f>
        <v/>
      </c>
      <c r="N444" s="4" t="str" cm="1">
        <f t="array" ref="N444">_xlfn.IFS('ProductSprint Backlog'!$F444="", "", AND('ProductSprint Backlog'!$J444&gt;N$2,'ProductSprint Backlog'!$I444&lt;=N$2), 'ProductSprint Backlog'!$F444 / MAX(1, 'ProductSprint Backlog'!$J444-'ProductSprint Backlog'!$I444), AND('ProductSprint Backlog'!$J444=N$2,'ProductSprint Backlog'!$I444=N$2), 'ProductSprint Backlog'!$F444, TRUE, 0)</f>
        <v/>
      </c>
      <c r="O444" s="4" t="str" cm="1">
        <f t="array" ref="O444">_xlfn.IFS('ProductSprint Backlog'!$F444="", "", AND('ProductSprint Backlog'!$J444&gt;O$2,'ProductSprint Backlog'!$I444&lt;=O$2), 'ProductSprint Backlog'!$F444 / MAX(1, 'ProductSprint Backlog'!$J444-'ProductSprint Backlog'!$I444), AND('ProductSprint Backlog'!$J444=O$2,'ProductSprint Backlog'!$I444=O$2), 'ProductSprint Backlog'!$F444, TRUE, 0)</f>
        <v/>
      </c>
      <c r="P444" s="4" t="str" cm="1">
        <f t="array" ref="P444">_xlfn.IFS('ProductSprint Backlog'!$F444="", "", AND('ProductSprint Backlog'!$J444&gt;P$2,'ProductSprint Backlog'!$I444&lt;=P$2), 'ProductSprint Backlog'!$F444 / MAX(1, 'ProductSprint Backlog'!$J444-'ProductSprint Backlog'!$I444), AND('ProductSprint Backlog'!$J444=P$2,'ProductSprint Backlog'!$I444=P$2), 'ProductSprint Backlog'!$F444, TRUE, 0)</f>
        <v/>
      </c>
      <c r="Q444" s="4" t="str" cm="1">
        <f t="array" ref="Q444">_xlfn.IFS('ProductSprint Backlog'!$F444="", "", AND('ProductSprint Backlog'!$J444&gt;Q$2,'ProductSprint Backlog'!$I444&lt;=Q$2), 'ProductSprint Backlog'!$F444 / MAX(1, 'ProductSprint Backlog'!$J444-'ProductSprint Backlog'!$I444), AND('ProductSprint Backlog'!$J444=Q$2,'ProductSprint Backlog'!$I444=Q$2), 'ProductSprint Backlog'!$F444, TRUE, 0)</f>
        <v/>
      </c>
    </row>
    <row r="445" spans="2:17" x14ac:dyDescent="0.2">
      <c r="B445" s="4" t="str" cm="1">
        <f t="array" ref="B445">_xlfn.IFS('ProductSprint Backlog'!$F445="", "", AND('ProductSprint Backlog'!$J445&gt;B$2,'ProductSprint Backlog'!$I445&lt;=B$2), 'ProductSprint Backlog'!$F445 / MAX(1, 'ProductSprint Backlog'!$J445-'ProductSprint Backlog'!$I445), AND('ProductSprint Backlog'!$J445=B$2,'ProductSprint Backlog'!$I445=B$2), 'ProductSprint Backlog'!$F445, TRUE, 0)</f>
        <v/>
      </c>
      <c r="C445" s="4" t="str" cm="1">
        <f t="array" ref="C445">_xlfn.IFS('ProductSprint Backlog'!$F445="", "", AND('ProductSprint Backlog'!$J445&gt;C$2,'ProductSprint Backlog'!$I445&lt;=C$2), 'ProductSprint Backlog'!$F445 / MAX(1, 'ProductSprint Backlog'!$J445-'ProductSprint Backlog'!$I445), AND('ProductSprint Backlog'!$J445=C$2,'ProductSprint Backlog'!$I445=C$2), 'ProductSprint Backlog'!$F445, TRUE, 0)</f>
        <v/>
      </c>
      <c r="D445" s="4" t="str" cm="1">
        <f t="array" ref="D445">_xlfn.IFS('ProductSprint Backlog'!$F445="", "", AND('ProductSprint Backlog'!$J445&gt;D$2,'ProductSprint Backlog'!$I445&lt;=D$2), 'ProductSprint Backlog'!$F445 / MAX(1, 'ProductSprint Backlog'!$J445-'ProductSprint Backlog'!$I445), AND('ProductSprint Backlog'!$J445=D$2,'ProductSprint Backlog'!$I445=D$2), 'ProductSprint Backlog'!$F445, TRUE, 0)</f>
        <v/>
      </c>
      <c r="E445" s="4" t="str" cm="1">
        <f t="array" ref="E445">_xlfn.IFS('ProductSprint Backlog'!$F445="", "", AND('ProductSprint Backlog'!$J445&gt;E$2,'ProductSprint Backlog'!$I445&lt;=E$2), 'ProductSprint Backlog'!$F445 / MAX(1, 'ProductSprint Backlog'!$J445-'ProductSprint Backlog'!$I445), AND('ProductSprint Backlog'!$J445=E$2,'ProductSprint Backlog'!$I445=E$2), 'ProductSprint Backlog'!$F445, TRUE, 0)</f>
        <v/>
      </c>
      <c r="F445" s="4" t="str" cm="1">
        <f t="array" ref="F445">_xlfn.IFS('ProductSprint Backlog'!$F445="", "", AND('ProductSprint Backlog'!$J445&gt;F$2,'ProductSprint Backlog'!$I445&lt;=F$2), 'ProductSprint Backlog'!$F445 / MAX(1, 'ProductSprint Backlog'!$J445-'ProductSprint Backlog'!$I445), AND('ProductSprint Backlog'!$J445=F$2,'ProductSprint Backlog'!$I445=F$2), 'ProductSprint Backlog'!$F445, TRUE, 0)</f>
        <v/>
      </c>
      <c r="G445" s="4" t="str" cm="1">
        <f t="array" ref="G445">_xlfn.IFS('ProductSprint Backlog'!$F445="", "", AND('ProductSprint Backlog'!$J445&gt;G$2,'ProductSprint Backlog'!$I445&lt;=G$2), 'ProductSprint Backlog'!$F445 / MAX(1, 'ProductSprint Backlog'!$J445-'ProductSprint Backlog'!$I445), AND('ProductSprint Backlog'!$J445=G$2,'ProductSprint Backlog'!$I445=G$2), 'ProductSprint Backlog'!$F445, TRUE, 0)</f>
        <v/>
      </c>
      <c r="H445" s="4" t="str" cm="1">
        <f t="array" ref="H445">_xlfn.IFS('ProductSprint Backlog'!$F445="", "", AND('ProductSprint Backlog'!$J445&gt;H$2,'ProductSprint Backlog'!$I445&lt;=H$2), 'ProductSprint Backlog'!$F445 / MAX(1, 'ProductSprint Backlog'!$J445-'ProductSprint Backlog'!$I445), AND('ProductSprint Backlog'!$J445=H$2,'ProductSprint Backlog'!$I445=H$2), 'ProductSprint Backlog'!$F445, TRUE, 0)</f>
        <v/>
      </c>
      <c r="I445" s="4" t="str" cm="1">
        <f t="array" ref="I445">_xlfn.IFS('ProductSprint Backlog'!$F445="", "", AND('ProductSprint Backlog'!$J445&gt;I$2,'ProductSprint Backlog'!$I445&lt;=I$2), 'ProductSprint Backlog'!$F445 / MAX(1, 'ProductSprint Backlog'!$J445-'ProductSprint Backlog'!$I445), AND('ProductSprint Backlog'!$J445=I$2,'ProductSprint Backlog'!$I445=I$2), 'ProductSprint Backlog'!$F445, TRUE, 0)</f>
        <v/>
      </c>
      <c r="J445" s="4" t="str" cm="1">
        <f t="array" ref="J445">_xlfn.IFS('ProductSprint Backlog'!$F445="", "", AND('ProductSprint Backlog'!$J445&gt;J$2,'ProductSprint Backlog'!$I445&lt;=J$2), 'ProductSprint Backlog'!$F445 / MAX(1, 'ProductSprint Backlog'!$J445-'ProductSprint Backlog'!$I445), AND('ProductSprint Backlog'!$J445=J$2,'ProductSprint Backlog'!$I445=J$2), 'ProductSprint Backlog'!$F445, TRUE, 0)</f>
        <v/>
      </c>
      <c r="K445" s="4" t="str" cm="1">
        <f t="array" ref="K445">_xlfn.IFS('ProductSprint Backlog'!$F445="", "", AND('ProductSprint Backlog'!$J445&gt;K$2,'ProductSprint Backlog'!$I445&lt;=K$2), 'ProductSprint Backlog'!$F445 / MAX(1, 'ProductSprint Backlog'!$J445-'ProductSprint Backlog'!$I445), AND('ProductSprint Backlog'!$J445=K$2,'ProductSprint Backlog'!$I445=K$2), 'ProductSprint Backlog'!$F445, TRUE, 0)</f>
        <v/>
      </c>
      <c r="L445" s="4" t="str" cm="1">
        <f t="array" ref="L445">_xlfn.IFS('ProductSprint Backlog'!$F445="", "", AND('ProductSprint Backlog'!$J445&gt;L$2,'ProductSprint Backlog'!$I445&lt;=L$2), 'ProductSprint Backlog'!$F445 / MAX(1, 'ProductSprint Backlog'!$J445-'ProductSprint Backlog'!$I445), AND('ProductSprint Backlog'!$J445=L$2,'ProductSprint Backlog'!$I445=L$2), 'ProductSprint Backlog'!$F445, TRUE, 0)</f>
        <v/>
      </c>
      <c r="M445" s="4" t="str" cm="1">
        <f t="array" ref="M445">_xlfn.IFS('ProductSprint Backlog'!$F445="", "", AND('ProductSprint Backlog'!$J445&gt;M$2,'ProductSprint Backlog'!$I445&lt;=M$2), 'ProductSprint Backlog'!$F445 / MAX(1, 'ProductSprint Backlog'!$J445-'ProductSprint Backlog'!$I445), AND('ProductSprint Backlog'!$J445=M$2,'ProductSprint Backlog'!$I445=M$2), 'ProductSprint Backlog'!$F445, TRUE, 0)</f>
        <v/>
      </c>
      <c r="N445" s="4" t="str" cm="1">
        <f t="array" ref="N445">_xlfn.IFS('ProductSprint Backlog'!$F445="", "", AND('ProductSprint Backlog'!$J445&gt;N$2,'ProductSprint Backlog'!$I445&lt;=N$2), 'ProductSprint Backlog'!$F445 / MAX(1, 'ProductSprint Backlog'!$J445-'ProductSprint Backlog'!$I445), AND('ProductSprint Backlog'!$J445=N$2,'ProductSprint Backlog'!$I445=N$2), 'ProductSprint Backlog'!$F445, TRUE, 0)</f>
        <v/>
      </c>
      <c r="O445" s="4" t="str" cm="1">
        <f t="array" ref="O445">_xlfn.IFS('ProductSprint Backlog'!$F445="", "", AND('ProductSprint Backlog'!$J445&gt;O$2,'ProductSprint Backlog'!$I445&lt;=O$2), 'ProductSprint Backlog'!$F445 / MAX(1, 'ProductSprint Backlog'!$J445-'ProductSprint Backlog'!$I445), AND('ProductSprint Backlog'!$J445=O$2,'ProductSprint Backlog'!$I445=O$2), 'ProductSprint Backlog'!$F445, TRUE, 0)</f>
        <v/>
      </c>
      <c r="P445" s="4" t="str" cm="1">
        <f t="array" ref="P445">_xlfn.IFS('ProductSprint Backlog'!$F445="", "", AND('ProductSprint Backlog'!$J445&gt;P$2,'ProductSprint Backlog'!$I445&lt;=P$2), 'ProductSprint Backlog'!$F445 / MAX(1, 'ProductSprint Backlog'!$J445-'ProductSprint Backlog'!$I445), AND('ProductSprint Backlog'!$J445=P$2,'ProductSprint Backlog'!$I445=P$2), 'ProductSprint Backlog'!$F445, TRUE, 0)</f>
        <v/>
      </c>
      <c r="Q445" s="4" t="str" cm="1">
        <f t="array" ref="Q445">_xlfn.IFS('ProductSprint Backlog'!$F445="", "", AND('ProductSprint Backlog'!$J445&gt;Q$2,'ProductSprint Backlog'!$I445&lt;=Q$2), 'ProductSprint Backlog'!$F445 / MAX(1, 'ProductSprint Backlog'!$J445-'ProductSprint Backlog'!$I445), AND('ProductSprint Backlog'!$J445=Q$2,'ProductSprint Backlog'!$I445=Q$2), 'ProductSprint Backlog'!$F445, TRUE, 0)</f>
        <v/>
      </c>
    </row>
    <row r="446" spans="2:17" x14ac:dyDescent="0.2">
      <c r="B446" s="4" t="str" cm="1">
        <f t="array" ref="B446">_xlfn.IFS('ProductSprint Backlog'!$F446="", "", AND('ProductSprint Backlog'!$J446&gt;B$2,'ProductSprint Backlog'!$I446&lt;=B$2), 'ProductSprint Backlog'!$F446 / MAX(1, 'ProductSprint Backlog'!$J446-'ProductSprint Backlog'!$I446), AND('ProductSprint Backlog'!$J446=B$2,'ProductSprint Backlog'!$I446=B$2), 'ProductSprint Backlog'!$F446, TRUE, 0)</f>
        <v/>
      </c>
      <c r="C446" s="4" t="str" cm="1">
        <f t="array" ref="C446">_xlfn.IFS('ProductSprint Backlog'!$F446="", "", AND('ProductSprint Backlog'!$J446&gt;C$2,'ProductSprint Backlog'!$I446&lt;=C$2), 'ProductSprint Backlog'!$F446 / MAX(1, 'ProductSprint Backlog'!$J446-'ProductSprint Backlog'!$I446), AND('ProductSprint Backlog'!$J446=C$2,'ProductSprint Backlog'!$I446=C$2), 'ProductSprint Backlog'!$F446, TRUE, 0)</f>
        <v/>
      </c>
      <c r="D446" s="4" t="str" cm="1">
        <f t="array" ref="D446">_xlfn.IFS('ProductSprint Backlog'!$F446="", "", AND('ProductSprint Backlog'!$J446&gt;D$2,'ProductSprint Backlog'!$I446&lt;=D$2), 'ProductSprint Backlog'!$F446 / MAX(1, 'ProductSprint Backlog'!$J446-'ProductSprint Backlog'!$I446), AND('ProductSprint Backlog'!$J446=D$2,'ProductSprint Backlog'!$I446=D$2), 'ProductSprint Backlog'!$F446, TRUE, 0)</f>
        <v/>
      </c>
      <c r="E446" s="4" t="str" cm="1">
        <f t="array" ref="E446">_xlfn.IFS('ProductSprint Backlog'!$F446="", "", AND('ProductSprint Backlog'!$J446&gt;E$2,'ProductSprint Backlog'!$I446&lt;=E$2), 'ProductSprint Backlog'!$F446 / MAX(1, 'ProductSprint Backlog'!$J446-'ProductSprint Backlog'!$I446), AND('ProductSprint Backlog'!$J446=E$2,'ProductSprint Backlog'!$I446=E$2), 'ProductSprint Backlog'!$F446, TRUE, 0)</f>
        <v/>
      </c>
      <c r="F446" s="4" t="str" cm="1">
        <f t="array" ref="F446">_xlfn.IFS('ProductSprint Backlog'!$F446="", "", AND('ProductSprint Backlog'!$J446&gt;F$2,'ProductSprint Backlog'!$I446&lt;=F$2), 'ProductSprint Backlog'!$F446 / MAX(1, 'ProductSprint Backlog'!$J446-'ProductSprint Backlog'!$I446), AND('ProductSprint Backlog'!$J446=F$2,'ProductSprint Backlog'!$I446=F$2), 'ProductSprint Backlog'!$F446, TRUE, 0)</f>
        <v/>
      </c>
      <c r="G446" s="4" t="str" cm="1">
        <f t="array" ref="G446">_xlfn.IFS('ProductSprint Backlog'!$F446="", "", AND('ProductSprint Backlog'!$J446&gt;G$2,'ProductSprint Backlog'!$I446&lt;=G$2), 'ProductSprint Backlog'!$F446 / MAX(1, 'ProductSprint Backlog'!$J446-'ProductSprint Backlog'!$I446), AND('ProductSprint Backlog'!$J446=G$2,'ProductSprint Backlog'!$I446=G$2), 'ProductSprint Backlog'!$F446, TRUE, 0)</f>
        <v/>
      </c>
      <c r="H446" s="4" t="str" cm="1">
        <f t="array" ref="H446">_xlfn.IFS('ProductSprint Backlog'!$F446="", "", AND('ProductSprint Backlog'!$J446&gt;H$2,'ProductSprint Backlog'!$I446&lt;=H$2), 'ProductSprint Backlog'!$F446 / MAX(1, 'ProductSprint Backlog'!$J446-'ProductSprint Backlog'!$I446), AND('ProductSprint Backlog'!$J446=H$2,'ProductSprint Backlog'!$I446=H$2), 'ProductSprint Backlog'!$F446, TRUE, 0)</f>
        <v/>
      </c>
      <c r="I446" s="4" t="str" cm="1">
        <f t="array" ref="I446">_xlfn.IFS('ProductSprint Backlog'!$F446="", "", AND('ProductSprint Backlog'!$J446&gt;I$2,'ProductSprint Backlog'!$I446&lt;=I$2), 'ProductSprint Backlog'!$F446 / MAX(1, 'ProductSprint Backlog'!$J446-'ProductSprint Backlog'!$I446), AND('ProductSprint Backlog'!$J446=I$2,'ProductSprint Backlog'!$I446=I$2), 'ProductSprint Backlog'!$F446, TRUE, 0)</f>
        <v/>
      </c>
      <c r="J446" s="4" t="str" cm="1">
        <f t="array" ref="J446">_xlfn.IFS('ProductSprint Backlog'!$F446="", "", AND('ProductSprint Backlog'!$J446&gt;J$2,'ProductSprint Backlog'!$I446&lt;=J$2), 'ProductSprint Backlog'!$F446 / MAX(1, 'ProductSprint Backlog'!$J446-'ProductSprint Backlog'!$I446), AND('ProductSprint Backlog'!$J446=J$2,'ProductSprint Backlog'!$I446=J$2), 'ProductSprint Backlog'!$F446, TRUE, 0)</f>
        <v/>
      </c>
      <c r="K446" s="4" t="str" cm="1">
        <f t="array" ref="K446">_xlfn.IFS('ProductSprint Backlog'!$F446="", "", AND('ProductSprint Backlog'!$J446&gt;K$2,'ProductSprint Backlog'!$I446&lt;=K$2), 'ProductSprint Backlog'!$F446 / MAX(1, 'ProductSprint Backlog'!$J446-'ProductSprint Backlog'!$I446), AND('ProductSprint Backlog'!$J446=K$2,'ProductSprint Backlog'!$I446=K$2), 'ProductSprint Backlog'!$F446, TRUE, 0)</f>
        <v/>
      </c>
      <c r="L446" s="4" t="str" cm="1">
        <f t="array" ref="L446">_xlfn.IFS('ProductSprint Backlog'!$F446="", "", AND('ProductSprint Backlog'!$J446&gt;L$2,'ProductSprint Backlog'!$I446&lt;=L$2), 'ProductSprint Backlog'!$F446 / MAX(1, 'ProductSprint Backlog'!$J446-'ProductSprint Backlog'!$I446), AND('ProductSprint Backlog'!$J446=L$2,'ProductSprint Backlog'!$I446=L$2), 'ProductSprint Backlog'!$F446, TRUE, 0)</f>
        <v/>
      </c>
      <c r="M446" s="4" t="str" cm="1">
        <f t="array" ref="M446">_xlfn.IFS('ProductSprint Backlog'!$F446="", "", AND('ProductSprint Backlog'!$J446&gt;M$2,'ProductSprint Backlog'!$I446&lt;=M$2), 'ProductSprint Backlog'!$F446 / MAX(1, 'ProductSprint Backlog'!$J446-'ProductSprint Backlog'!$I446), AND('ProductSprint Backlog'!$J446=M$2,'ProductSprint Backlog'!$I446=M$2), 'ProductSprint Backlog'!$F446, TRUE, 0)</f>
        <v/>
      </c>
      <c r="N446" s="4" t="str" cm="1">
        <f t="array" ref="N446">_xlfn.IFS('ProductSprint Backlog'!$F446="", "", AND('ProductSprint Backlog'!$J446&gt;N$2,'ProductSprint Backlog'!$I446&lt;=N$2), 'ProductSprint Backlog'!$F446 / MAX(1, 'ProductSprint Backlog'!$J446-'ProductSprint Backlog'!$I446), AND('ProductSprint Backlog'!$J446=N$2,'ProductSprint Backlog'!$I446=N$2), 'ProductSprint Backlog'!$F446, TRUE, 0)</f>
        <v/>
      </c>
      <c r="O446" s="4" t="str" cm="1">
        <f t="array" ref="O446">_xlfn.IFS('ProductSprint Backlog'!$F446="", "", AND('ProductSprint Backlog'!$J446&gt;O$2,'ProductSprint Backlog'!$I446&lt;=O$2), 'ProductSprint Backlog'!$F446 / MAX(1, 'ProductSprint Backlog'!$J446-'ProductSprint Backlog'!$I446), AND('ProductSprint Backlog'!$J446=O$2,'ProductSprint Backlog'!$I446=O$2), 'ProductSprint Backlog'!$F446, TRUE, 0)</f>
        <v/>
      </c>
      <c r="P446" s="4" t="str" cm="1">
        <f t="array" ref="P446">_xlfn.IFS('ProductSprint Backlog'!$F446="", "", AND('ProductSprint Backlog'!$J446&gt;P$2,'ProductSprint Backlog'!$I446&lt;=P$2), 'ProductSprint Backlog'!$F446 / MAX(1, 'ProductSprint Backlog'!$J446-'ProductSprint Backlog'!$I446), AND('ProductSprint Backlog'!$J446=P$2,'ProductSprint Backlog'!$I446=P$2), 'ProductSprint Backlog'!$F446, TRUE, 0)</f>
        <v/>
      </c>
      <c r="Q446" s="4" t="str" cm="1">
        <f t="array" ref="Q446">_xlfn.IFS('ProductSprint Backlog'!$F446="", "", AND('ProductSprint Backlog'!$J446&gt;Q$2,'ProductSprint Backlog'!$I446&lt;=Q$2), 'ProductSprint Backlog'!$F446 / MAX(1, 'ProductSprint Backlog'!$J446-'ProductSprint Backlog'!$I446), AND('ProductSprint Backlog'!$J446=Q$2,'ProductSprint Backlog'!$I446=Q$2), 'ProductSprint Backlog'!$F446, TRUE, 0)</f>
        <v/>
      </c>
    </row>
    <row r="447" spans="2:17" x14ac:dyDescent="0.2">
      <c r="B447" s="4" t="str" cm="1">
        <f t="array" ref="B447">_xlfn.IFS('ProductSprint Backlog'!$F447="", "", AND('ProductSprint Backlog'!$J447&gt;B$2,'ProductSprint Backlog'!$I447&lt;=B$2), 'ProductSprint Backlog'!$F447 / MAX(1, 'ProductSprint Backlog'!$J447-'ProductSprint Backlog'!$I447), AND('ProductSprint Backlog'!$J447=B$2,'ProductSprint Backlog'!$I447=B$2), 'ProductSprint Backlog'!$F447, TRUE, 0)</f>
        <v/>
      </c>
      <c r="C447" s="4" t="str" cm="1">
        <f t="array" ref="C447">_xlfn.IFS('ProductSprint Backlog'!$F447="", "", AND('ProductSprint Backlog'!$J447&gt;C$2,'ProductSprint Backlog'!$I447&lt;=C$2), 'ProductSprint Backlog'!$F447 / MAX(1, 'ProductSprint Backlog'!$J447-'ProductSprint Backlog'!$I447), AND('ProductSprint Backlog'!$J447=C$2,'ProductSprint Backlog'!$I447=C$2), 'ProductSprint Backlog'!$F447, TRUE, 0)</f>
        <v/>
      </c>
      <c r="D447" s="4" t="str" cm="1">
        <f t="array" ref="D447">_xlfn.IFS('ProductSprint Backlog'!$F447="", "", AND('ProductSprint Backlog'!$J447&gt;D$2,'ProductSprint Backlog'!$I447&lt;=D$2), 'ProductSprint Backlog'!$F447 / MAX(1, 'ProductSprint Backlog'!$J447-'ProductSprint Backlog'!$I447), AND('ProductSprint Backlog'!$J447=D$2,'ProductSprint Backlog'!$I447=D$2), 'ProductSprint Backlog'!$F447, TRUE, 0)</f>
        <v/>
      </c>
      <c r="E447" s="4" t="str" cm="1">
        <f t="array" ref="E447">_xlfn.IFS('ProductSprint Backlog'!$F447="", "", AND('ProductSprint Backlog'!$J447&gt;E$2,'ProductSprint Backlog'!$I447&lt;=E$2), 'ProductSprint Backlog'!$F447 / MAX(1, 'ProductSprint Backlog'!$J447-'ProductSprint Backlog'!$I447), AND('ProductSprint Backlog'!$J447=E$2,'ProductSprint Backlog'!$I447=E$2), 'ProductSprint Backlog'!$F447, TRUE, 0)</f>
        <v/>
      </c>
      <c r="F447" s="4" t="str" cm="1">
        <f t="array" ref="F447">_xlfn.IFS('ProductSprint Backlog'!$F447="", "", AND('ProductSprint Backlog'!$J447&gt;F$2,'ProductSprint Backlog'!$I447&lt;=F$2), 'ProductSprint Backlog'!$F447 / MAX(1, 'ProductSprint Backlog'!$J447-'ProductSprint Backlog'!$I447), AND('ProductSprint Backlog'!$J447=F$2,'ProductSprint Backlog'!$I447=F$2), 'ProductSprint Backlog'!$F447, TRUE, 0)</f>
        <v/>
      </c>
      <c r="G447" s="4" t="str" cm="1">
        <f t="array" ref="G447">_xlfn.IFS('ProductSprint Backlog'!$F447="", "", AND('ProductSprint Backlog'!$J447&gt;G$2,'ProductSprint Backlog'!$I447&lt;=G$2), 'ProductSprint Backlog'!$F447 / MAX(1, 'ProductSprint Backlog'!$J447-'ProductSprint Backlog'!$I447), AND('ProductSprint Backlog'!$J447=G$2,'ProductSprint Backlog'!$I447=G$2), 'ProductSprint Backlog'!$F447, TRUE, 0)</f>
        <v/>
      </c>
      <c r="H447" s="4" t="str" cm="1">
        <f t="array" ref="H447">_xlfn.IFS('ProductSprint Backlog'!$F447="", "", AND('ProductSprint Backlog'!$J447&gt;H$2,'ProductSprint Backlog'!$I447&lt;=H$2), 'ProductSprint Backlog'!$F447 / MAX(1, 'ProductSprint Backlog'!$J447-'ProductSprint Backlog'!$I447), AND('ProductSprint Backlog'!$J447=H$2,'ProductSprint Backlog'!$I447=H$2), 'ProductSprint Backlog'!$F447, TRUE, 0)</f>
        <v/>
      </c>
      <c r="I447" s="4" t="str" cm="1">
        <f t="array" ref="I447">_xlfn.IFS('ProductSprint Backlog'!$F447="", "", AND('ProductSprint Backlog'!$J447&gt;I$2,'ProductSprint Backlog'!$I447&lt;=I$2), 'ProductSprint Backlog'!$F447 / MAX(1, 'ProductSprint Backlog'!$J447-'ProductSprint Backlog'!$I447), AND('ProductSprint Backlog'!$J447=I$2,'ProductSprint Backlog'!$I447=I$2), 'ProductSprint Backlog'!$F447, TRUE, 0)</f>
        <v/>
      </c>
      <c r="J447" s="4" t="str" cm="1">
        <f t="array" ref="J447">_xlfn.IFS('ProductSprint Backlog'!$F447="", "", AND('ProductSprint Backlog'!$J447&gt;J$2,'ProductSprint Backlog'!$I447&lt;=J$2), 'ProductSprint Backlog'!$F447 / MAX(1, 'ProductSprint Backlog'!$J447-'ProductSprint Backlog'!$I447), AND('ProductSprint Backlog'!$J447=J$2,'ProductSprint Backlog'!$I447=J$2), 'ProductSprint Backlog'!$F447, TRUE, 0)</f>
        <v/>
      </c>
      <c r="K447" s="4" t="str" cm="1">
        <f t="array" ref="K447">_xlfn.IFS('ProductSprint Backlog'!$F447="", "", AND('ProductSprint Backlog'!$J447&gt;K$2,'ProductSprint Backlog'!$I447&lt;=K$2), 'ProductSprint Backlog'!$F447 / MAX(1, 'ProductSprint Backlog'!$J447-'ProductSprint Backlog'!$I447), AND('ProductSprint Backlog'!$J447=K$2,'ProductSprint Backlog'!$I447=K$2), 'ProductSprint Backlog'!$F447, TRUE, 0)</f>
        <v/>
      </c>
      <c r="L447" s="4" t="str" cm="1">
        <f t="array" ref="L447">_xlfn.IFS('ProductSprint Backlog'!$F447="", "", AND('ProductSprint Backlog'!$J447&gt;L$2,'ProductSprint Backlog'!$I447&lt;=L$2), 'ProductSprint Backlog'!$F447 / MAX(1, 'ProductSprint Backlog'!$J447-'ProductSprint Backlog'!$I447), AND('ProductSprint Backlog'!$J447=L$2,'ProductSprint Backlog'!$I447=L$2), 'ProductSprint Backlog'!$F447, TRUE, 0)</f>
        <v/>
      </c>
      <c r="M447" s="4" t="str" cm="1">
        <f t="array" ref="M447">_xlfn.IFS('ProductSprint Backlog'!$F447="", "", AND('ProductSprint Backlog'!$J447&gt;M$2,'ProductSprint Backlog'!$I447&lt;=M$2), 'ProductSprint Backlog'!$F447 / MAX(1, 'ProductSprint Backlog'!$J447-'ProductSprint Backlog'!$I447), AND('ProductSprint Backlog'!$J447=M$2,'ProductSprint Backlog'!$I447=M$2), 'ProductSprint Backlog'!$F447, TRUE, 0)</f>
        <v/>
      </c>
      <c r="N447" s="4" t="str" cm="1">
        <f t="array" ref="N447">_xlfn.IFS('ProductSprint Backlog'!$F447="", "", AND('ProductSprint Backlog'!$J447&gt;N$2,'ProductSprint Backlog'!$I447&lt;=N$2), 'ProductSprint Backlog'!$F447 / MAX(1, 'ProductSprint Backlog'!$J447-'ProductSprint Backlog'!$I447), AND('ProductSprint Backlog'!$J447=N$2,'ProductSprint Backlog'!$I447=N$2), 'ProductSprint Backlog'!$F447, TRUE, 0)</f>
        <v/>
      </c>
      <c r="O447" s="4" t="str" cm="1">
        <f t="array" ref="O447">_xlfn.IFS('ProductSprint Backlog'!$F447="", "", AND('ProductSprint Backlog'!$J447&gt;O$2,'ProductSprint Backlog'!$I447&lt;=O$2), 'ProductSprint Backlog'!$F447 / MAX(1, 'ProductSprint Backlog'!$J447-'ProductSprint Backlog'!$I447), AND('ProductSprint Backlog'!$J447=O$2,'ProductSprint Backlog'!$I447=O$2), 'ProductSprint Backlog'!$F447, TRUE, 0)</f>
        <v/>
      </c>
      <c r="P447" s="4" t="str" cm="1">
        <f t="array" ref="P447">_xlfn.IFS('ProductSprint Backlog'!$F447="", "", AND('ProductSprint Backlog'!$J447&gt;P$2,'ProductSprint Backlog'!$I447&lt;=P$2), 'ProductSprint Backlog'!$F447 / MAX(1, 'ProductSprint Backlog'!$J447-'ProductSprint Backlog'!$I447), AND('ProductSprint Backlog'!$J447=P$2,'ProductSprint Backlog'!$I447=P$2), 'ProductSprint Backlog'!$F447, TRUE, 0)</f>
        <v/>
      </c>
      <c r="Q447" s="4" t="str" cm="1">
        <f t="array" ref="Q447">_xlfn.IFS('ProductSprint Backlog'!$F447="", "", AND('ProductSprint Backlog'!$J447&gt;Q$2,'ProductSprint Backlog'!$I447&lt;=Q$2), 'ProductSprint Backlog'!$F447 / MAX(1, 'ProductSprint Backlog'!$J447-'ProductSprint Backlog'!$I447), AND('ProductSprint Backlog'!$J447=Q$2,'ProductSprint Backlog'!$I447=Q$2), 'ProductSprint Backlog'!$F447, TRUE, 0)</f>
        <v/>
      </c>
    </row>
    <row r="448" spans="2:17" x14ac:dyDescent="0.2">
      <c r="B448" s="4" t="str" cm="1">
        <f t="array" ref="B448">_xlfn.IFS('ProductSprint Backlog'!$F448="", "", AND('ProductSprint Backlog'!$J448&gt;B$2,'ProductSprint Backlog'!$I448&lt;=B$2), 'ProductSprint Backlog'!$F448 / MAX(1, 'ProductSprint Backlog'!$J448-'ProductSprint Backlog'!$I448), AND('ProductSprint Backlog'!$J448=B$2,'ProductSprint Backlog'!$I448=B$2), 'ProductSprint Backlog'!$F448, TRUE, 0)</f>
        <v/>
      </c>
      <c r="C448" s="4" t="str" cm="1">
        <f t="array" ref="C448">_xlfn.IFS('ProductSprint Backlog'!$F448="", "", AND('ProductSprint Backlog'!$J448&gt;C$2,'ProductSprint Backlog'!$I448&lt;=C$2), 'ProductSprint Backlog'!$F448 / MAX(1, 'ProductSprint Backlog'!$J448-'ProductSprint Backlog'!$I448), AND('ProductSprint Backlog'!$J448=C$2,'ProductSprint Backlog'!$I448=C$2), 'ProductSprint Backlog'!$F448, TRUE, 0)</f>
        <v/>
      </c>
      <c r="D448" s="4" t="str" cm="1">
        <f t="array" ref="D448">_xlfn.IFS('ProductSprint Backlog'!$F448="", "", AND('ProductSprint Backlog'!$J448&gt;D$2,'ProductSprint Backlog'!$I448&lt;=D$2), 'ProductSprint Backlog'!$F448 / MAX(1, 'ProductSprint Backlog'!$J448-'ProductSprint Backlog'!$I448), AND('ProductSprint Backlog'!$J448=D$2,'ProductSprint Backlog'!$I448=D$2), 'ProductSprint Backlog'!$F448, TRUE, 0)</f>
        <v/>
      </c>
      <c r="E448" s="4" t="str" cm="1">
        <f t="array" ref="E448">_xlfn.IFS('ProductSprint Backlog'!$F448="", "", AND('ProductSprint Backlog'!$J448&gt;E$2,'ProductSprint Backlog'!$I448&lt;=E$2), 'ProductSprint Backlog'!$F448 / MAX(1, 'ProductSprint Backlog'!$J448-'ProductSprint Backlog'!$I448), AND('ProductSprint Backlog'!$J448=E$2,'ProductSprint Backlog'!$I448=E$2), 'ProductSprint Backlog'!$F448, TRUE, 0)</f>
        <v/>
      </c>
      <c r="F448" s="4" t="str" cm="1">
        <f t="array" ref="F448">_xlfn.IFS('ProductSprint Backlog'!$F448="", "", AND('ProductSprint Backlog'!$J448&gt;F$2,'ProductSprint Backlog'!$I448&lt;=F$2), 'ProductSprint Backlog'!$F448 / MAX(1, 'ProductSprint Backlog'!$J448-'ProductSprint Backlog'!$I448), AND('ProductSprint Backlog'!$J448=F$2,'ProductSprint Backlog'!$I448=F$2), 'ProductSprint Backlog'!$F448, TRUE, 0)</f>
        <v/>
      </c>
      <c r="G448" s="4" t="str" cm="1">
        <f t="array" ref="G448">_xlfn.IFS('ProductSprint Backlog'!$F448="", "", AND('ProductSprint Backlog'!$J448&gt;G$2,'ProductSprint Backlog'!$I448&lt;=G$2), 'ProductSprint Backlog'!$F448 / MAX(1, 'ProductSprint Backlog'!$J448-'ProductSprint Backlog'!$I448), AND('ProductSprint Backlog'!$J448=G$2,'ProductSprint Backlog'!$I448=G$2), 'ProductSprint Backlog'!$F448, TRUE, 0)</f>
        <v/>
      </c>
      <c r="H448" s="4" t="str" cm="1">
        <f t="array" ref="H448">_xlfn.IFS('ProductSprint Backlog'!$F448="", "", AND('ProductSprint Backlog'!$J448&gt;H$2,'ProductSprint Backlog'!$I448&lt;=H$2), 'ProductSprint Backlog'!$F448 / MAX(1, 'ProductSprint Backlog'!$J448-'ProductSprint Backlog'!$I448), AND('ProductSprint Backlog'!$J448=H$2,'ProductSprint Backlog'!$I448=H$2), 'ProductSprint Backlog'!$F448, TRUE, 0)</f>
        <v/>
      </c>
      <c r="I448" s="4" t="str" cm="1">
        <f t="array" ref="I448">_xlfn.IFS('ProductSprint Backlog'!$F448="", "", AND('ProductSprint Backlog'!$J448&gt;I$2,'ProductSprint Backlog'!$I448&lt;=I$2), 'ProductSprint Backlog'!$F448 / MAX(1, 'ProductSprint Backlog'!$J448-'ProductSprint Backlog'!$I448), AND('ProductSprint Backlog'!$J448=I$2,'ProductSprint Backlog'!$I448=I$2), 'ProductSprint Backlog'!$F448, TRUE, 0)</f>
        <v/>
      </c>
      <c r="J448" s="4" t="str" cm="1">
        <f t="array" ref="J448">_xlfn.IFS('ProductSprint Backlog'!$F448="", "", AND('ProductSprint Backlog'!$J448&gt;J$2,'ProductSprint Backlog'!$I448&lt;=J$2), 'ProductSprint Backlog'!$F448 / MAX(1, 'ProductSprint Backlog'!$J448-'ProductSprint Backlog'!$I448), AND('ProductSprint Backlog'!$J448=J$2,'ProductSprint Backlog'!$I448=J$2), 'ProductSprint Backlog'!$F448, TRUE, 0)</f>
        <v/>
      </c>
      <c r="K448" s="4" t="str" cm="1">
        <f t="array" ref="K448">_xlfn.IFS('ProductSprint Backlog'!$F448="", "", AND('ProductSprint Backlog'!$J448&gt;K$2,'ProductSprint Backlog'!$I448&lt;=K$2), 'ProductSprint Backlog'!$F448 / MAX(1, 'ProductSprint Backlog'!$J448-'ProductSprint Backlog'!$I448), AND('ProductSprint Backlog'!$J448=K$2,'ProductSprint Backlog'!$I448=K$2), 'ProductSprint Backlog'!$F448, TRUE, 0)</f>
        <v/>
      </c>
      <c r="L448" s="4" t="str" cm="1">
        <f t="array" ref="L448">_xlfn.IFS('ProductSprint Backlog'!$F448="", "", AND('ProductSprint Backlog'!$J448&gt;L$2,'ProductSprint Backlog'!$I448&lt;=L$2), 'ProductSprint Backlog'!$F448 / MAX(1, 'ProductSprint Backlog'!$J448-'ProductSprint Backlog'!$I448), AND('ProductSprint Backlog'!$J448=L$2,'ProductSprint Backlog'!$I448=L$2), 'ProductSprint Backlog'!$F448, TRUE, 0)</f>
        <v/>
      </c>
      <c r="M448" s="4" t="str" cm="1">
        <f t="array" ref="M448">_xlfn.IFS('ProductSprint Backlog'!$F448="", "", AND('ProductSprint Backlog'!$J448&gt;M$2,'ProductSprint Backlog'!$I448&lt;=M$2), 'ProductSprint Backlog'!$F448 / MAX(1, 'ProductSprint Backlog'!$J448-'ProductSprint Backlog'!$I448), AND('ProductSprint Backlog'!$J448=M$2,'ProductSprint Backlog'!$I448=M$2), 'ProductSprint Backlog'!$F448, TRUE, 0)</f>
        <v/>
      </c>
      <c r="N448" s="4" t="str" cm="1">
        <f t="array" ref="N448">_xlfn.IFS('ProductSprint Backlog'!$F448="", "", AND('ProductSprint Backlog'!$J448&gt;N$2,'ProductSprint Backlog'!$I448&lt;=N$2), 'ProductSprint Backlog'!$F448 / MAX(1, 'ProductSprint Backlog'!$J448-'ProductSprint Backlog'!$I448), AND('ProductSprint Backlog'!$J448=N$2,'ProductSprint Backlog'!$I448=N$2), 'ProductSprint Backlog'!$F448, TRUE, 0)</f>
        <v/>
      </c>
      <c r="O448" s="4" t="str" cm="1">
        <f t="array" ref="O448">_xlfn.IFS('ProductSprint Backlog'!$F448="", "", AND('ProductSprint Backlog'!$J448&gt;O$2,'ProductSprint Backlog'!$I448&lt;=O$2), 'ProductSprint Backlog'!$F448 / MAX(1, 'ProductSprint Backlog'!$J448-'ProductSprint Backlog'!$I448), AND('ProductSprint Backlog'!$J448=O$2,'ProductSprint Backlog'!$I448=O$2), 'ProductSprint Backlog'!$F448, TRUE, 0)</f>
        <v/>
      </c>
      <c r="P448" s="4" t="str" cm="1">
        <f t="array" ref="P448">_xlfn.IFS('ProductSprint Backlog'!$F448="", "", AND('ProductSprint Backlog'!$J448&gt;P$2,'ProductSprint Backlog'!$I448&lt;=P$2), 'ProductSprint Backlog'!$F448 / MAX(1, 'ProductSprint Backlog'!$J448-'ProductSprint Backlog'!$I448), AND('ProductSprint Backlog'!$J448=P$2,'ProductSprint Backlog'!$I448=P$2), 'ProductSprint Backlog'!$F448, TRUE, 0)</f>
        <v/>
      </c>
      <c r="Q448" s="4" t="str" cm="1">
        <f t="array" ref="Q448">_xlfn.IFS('ProductSprint Backlog'!$F448="", "", AND('ProductSprint Backlog'!$J448&gt;Q$2,'ProductSprint Backlog'!$I448&lt;=Q$2), 'ProductSprint Backlog'!$F448 / MAX(1, 'ProductSprint Backlog'!$J448-'ProductSprint Backlog'!$I448), AND('ProductSprint Backlog'!$J448=Q$2,'ProductSprint Backlog'!$I448=Q$2), 'ProductSprint Backlog'!$F448, TRUE, 0)</f>
        <v/>
      </c>
    </row>
    <row r="449" spans="2:17" x14ac:dyDescent="0.2">
      <c r="B449" s="4" t="str" cm="1">
        <f t="array" ref="B449">_xlfn.IFS('ProductSprint Backlog'!$F449="", "", AND('ProductSprint Backlog'!$J449&gt;B$2,'ProductSprint Backlog'!$I449&lt;=B$2), 'ProductSprint Backlog'!$F449 / MAX(1, 'ProductSprint Backlog'!$J449-'ProductSprint Backlog'!$I449), AND('ProductSprint Backlog'!$J449=B$2,'ProductSprint Backlog'!$I449=B$2), 'ProductSprint Backlog'!$F449, TRUE, 0)</f>
        <v/>
      </c>
      <c r="C449" s="4" t="str" cm="1">
        <f t="array" ref="C449">_xlfn.IFS('ProductSprint Backlog'!$F449="", "", AND('ProductSprint Backlog'!$J449&gt;C$2,'ProductSprint Backlog'!$I449&lt;=C$2), 'ProductSprint Backlog'!$F449 / MAX(1, 'ProductSprint Backlog'!$J449-'ProductSprint Backlog'!$I449), AND('ProductSprint Backlog'!$J449=C$2,'ProductSprint Backlog'!$I449=C$2), 'ProductSprint Backlog'!$F449, TRUE, 0)</f>
        <v/>
      </c>
      <c r="D449" s="4" t="str" cm="1">
        <f t="array" ref="D449">_xlfn.IFS('ProductSprint Backlog'!$F449="", "", AND('ProductSprint Backlog'!$J449&gt;D$2,'ProductSprint Backlog'!$I449&lt;=D$2), 'ProductSprint Backlog'!$F449 / MAX(1, 'ProductSprint Backlog'!$J449-'ProductSprint Backlog'!$I449), AND('ProductSprint Backlog'!$J449=D$2,'ProductSprint Backlog'!$I449=D$2), 'ProductSprint Backlog'!$F449, TRUE, 0)</f>
        <v/>
      </c>
      <c r="E449" s="4" t="str" cm="1">
        <f t="array" ref="E449">_xlfn.IFS('ProductSprint Backlog'!$F449="", "", AND('ProductSprint Backlog'!$J449&gt;E$2,'ProductSprint Backlog'!$I449&lt;=E$2), 'ProductSprint Backlog'!$F449 / MAX(1, 'ProductSprint Backlog'!$J449-'ProductSprint Backlog'!$I449), AND('ProductSprint Backlog'!$J449=E$2,'ProductSprint Backlog'!$I449=E$2), 'ProductSprint Backlog'!$F449, TRUE, 0)</f>
        <v/>
      </c>
      <c r="F449" s="4" t="str" cm="1">
        <f t="array" ref="F449">_xlfn.IFS('ProductSprint Backlog'!$F449="", "", AND('ProductSprint Backlog'!$J449&gt;F$2,'ProductSprint Backlog'!$I449&lt;=F$2), 'ProductSprint Backlog'!$F449 / MAX(1, 'ProductSprint Backlog'!$J449-'ProductSprint Backlog'!$I449), AND('ProductSprint Backlog'!$J449=F$2,'ProductSprint Backlog'!$I449=F$2), 'ProductSprint Backlog'!$F449, TRUE, 0)</f>
        <v/>
      </c>
      <c r="G449" s="4" t="str" cm="1">
        <f t="array" ref="G449">_xlfn.IFS('ProductSprint Backlog'!$F449="", "", AND('ProductSprint Backlog'!$J449&gt;G$2,'ProductSprint Backlog'!$I449&lt;=G$2), 'ProductSprint Backlog'!$F449 / MAX(1, 'ProductSprint Backlog'!$J449-'ProductSprint Backlog'!$I449), AND('ProductSprint Backlog'!$J449=G$2,'ProductSprint Backlog'!$I449=G$2), 'ProductSprint Backlog'!$F449, TRUE, 0)</f>
        <v/>
      </c>
      <c r="H449" s="4" t="str" cm="1">
        <f t="array" ref="H449">_xlfn.IFS('ProductSprint Backlog'!$F449="", "", AND('ProductSprint Backlog'!$J449&gt;H$2,'ProductSprint Backlog'!$I449&lt;=H$2), 'ProductSprint Backlog'!$F449 / MAX(1, 'ProductSprint Backlog'!$J449-'ProductSprint Backlog'!$I449), AND('ProductSprint Backlog'!$J449=H$2,'ProductSprint Backlog'!$I449=H$2), 'ProductSprint Backlog'!$F449, TRUE, 0)</f>
        <v/>
      </c>
      <c r="I449" s="4" t="str" cm="1">
        <f t="array" ref="I449">_xlfn.IFS('ProductSprint Backlog'!$F449="", "", AND('ProductSprint Backlog'!$J449&gt;I$2,'ProductSprint Backlog'!$I449&lt;=I$2), 'ProductSprint Backlog'!$F449 / MAX(1, 'ProductSprint Backlog'!$J449-'ProductSprint Backlog'!$I449), AND('ProductSprint Backlog'!$J449=I$2,'ProductSprint Backlog'!$I449=I$2), 'ProductSprint Backlog'!$F449, TRUE, 0)</f>
        <v/>
      </c>
      <c r="J449" s="4" t="str" cm="1">
        <f t="array" ref="J449">_xlfn.IFS('ProductSprint Backlog'!$F449="", "", AND('ProductSprint Backlog'!$J449&gt;J$2,'ProductSprint Backlog'!$I449&lt;=J$2), 'ProductSprint Backlog'!$F449 / MAX(1, 'ProductSprint Backlog'!$J449-'ProductSprint Backlog'!$I449), AND('ProductSprint Backlog'!$J449=J$2,'ProductSprint Backlog'!$I449=J$2), 'ProductSprint Backlog'!$F449, TRUE, 0)</f>
        <v/>
      </c>
      <c r="K449" s="4" t="str" cm="1">
        <f t="array" ref="K449">_xlfn.IFS('ProductSprint Backlog'!$F449="", "", AND('ProductSprint Backlog'!$J449&gt;K$2,'ProductSprint Backlog'!$I449&lt;=K$2), 'ProductSprint Backlog'!$F449 / MAX(1, 'ProductSprint Backlog'!$J449-'ProductSprint Backlog'!$I449), AND('ProductSprint Backlog'!$J449=K$2,'ProductSprint Backlog'!$I449=K$2), 'ProductSprint Backlog'!$F449, TRUE, 0)</f>
        <v/>
      </c>
      <c r="L449" s="4" t="str" cm="1">
        <f t="array" ref="L449">_xlfn.IFS('ProductSprint Backlog'!$F449="", "", AND('ProductSprint Backlog'!$J449&gt;L$2,'ProductSprint Backlog'!$I449&lt;=L$2), 'ProductSprint Backlog'!$F449 / MAX(1, 'ProductSprint Backlog'!$J449-'ProductSprint Backlog'!$I449), AND('ProductSprint Backlog'!$J449=L$2,'ProductSprint Backlog'!$I449=L$2), 'ProductSprint Backlog'!$F449, TRUE, 0)</f>
        <v/>
      </c>
      <c r="M449" s="4" t="str" cm="1">
        <f t="array" ref="M449">_xlfn.IFS('ProductSprint Backlog'!$F449="", "", AND('ProductSprint Backlog'!$J449&gt;M$2,'ProductSprint Backlog'!$I449&lt;=M$2), 'ProductSprint Backlog'!$F449 / MAX(1, 'ProductSprint Backlog'!$J449-'ProductSprint Backlog'!$I449), AND('ProductSprint Backlog'!$J449=M$2,'ProductSprint Backlog'!$I449=M$2), 'ProductSprint Backlog'!$F449, TRUE, 0)</f>
        <v/>
      </c>
      <c r="N449" s="4" t="str" cm="1">
        <f t="array" ref="N449">_xlfn.IFS('ProductSprint Backlog'!$F449="", "", AND('ProductSprint Backlog'!$J449&gt;N$2,'ProductSprint Backlog'!$I449&lt;=N$2), 'ProductSprint Backlog'!$F449 / MAX(1, 'ProductSprint Backlog'!$J449-'ProductSprint Backlog'!$I449), AND('ProductSprint Backlog'!$J449=N$2,'ProductSprint Backlog'!$I449=N$2), 'ProductSprint Backlog'!$F449, TRUE, 0)</f>
        <v/>
      </c>
      <c r="O449" s="4" t="str" cm="1">
        <f t="array" ref="O449">_xlfn.IFS('ProductSprint Backlog'!$F449="", "", AND('ProductSprint Backlog'!$J449&gt;O$2,'ProductSprint Backlog'!$I449&lt;=O$2), 'ProductSprint Backlog'!$F449 / MAX(1, 'ProductSprint Backlog'!$J449-'ProductSprint Backlog'!$I449), AND('ProductSprint Backlog'!$J449=O$2,'ProductSprint Backlog'!$I449=O$2), 'ProductSprint Backlog'!$F449, TRUE, 0)</f>
        <v/>
      </c>
      <c r="P449" s="4" t="str" cm="1">
        <f t="array" ref="P449">_xlfn.IFS('ProductSprint Backlog'!$F449="", "", AND('ProductSprint Backlog'!$J449&gt;P$2,'ProductSprint Backlog'!$I449&lt;=P$2), 'ProductSprint Backlog'!$F449 / MAX(1, 'ProductSprint Backlog'!$J449-'ProductSprint Backlog'!$I449), AND('ProductSprint Backlog'!$J449=P$2,'ProductSprint Backlog'!$I449=P$2), 'ProductSprint Backlog'!$F449, TRUE, 0)</f>
        <v/>
      </c>
      <c r="Q449" s="4" t="str" cm="1">
        <f t="array" ref="Q449">_xlfn.IFS('ProductSprint Backlog'!$F449="", "", AND('ProductSprint Backlog'!$J449&gt;Q$2,'ProductSprint Backlog'!$I449&lt;=Q$2), 'ProductSprint Backlog'!$F449 / MAX(1, 'ProductSprint Backlog'!$J449-'ProductSprint Backlog'!$I449), AND('ProductSprint Backlog'!$J449=Q$2,'ProductSprint Backlog'!$I449=Q$2), 'ProductSprint Backlog'!$F449, TRUE, 0)</f>
        <v/>
      </c>
    </row>
    <row r="450" spans="2:17" x14ac:dyDescent="0.2">
      <c r="B450" s="4" t="str" cm="1">
        <f t="array" ref="B450">_xlfn.IFS('ProductSprint Backlog'!$F450="", "", AND('ProductSprint Backlog'!$J450&gt;B$2,'ProductSprint Backlog'!$I450&lt;=B$2), 'ProductSprint Backlog'!$F450 / MAX(1, 'ProductSprint Backlog'!$J450-'ProductSprint Backlog'!$I450), AND('ProductSprint Backlog'!$J450=B$2,'ProductSprint Backlog'!$I450=B$2), 'ProductSprint Backlog'!$F450, TRUE, 0)</f>
        <v/>
      </c>
      <c r="C450" s="4" t="str" cm="1">
        <f t="array" ref="C450">_xlfn.IFS('ProductSprint Backlog'!$F450="", "", AND('ProductSprint Backlog'!$J450&gt;C$2,'ProductSprint Backlog'!$I450&lt;=C$2), 'ProductSprint Backlog'!$F450 / MAX(1, 'ProductSprint Backlog'!$J450-'ProductSprint Backlog'!$I450), AND('ProductSprint Backlog'!$J450=C$2,'ProductSprint Backlog'!$I450=C$2), 'ProductSprint Backlog'!$F450, TRUE, 0)</f>
        <v/>
      </c>
      <c r="D450" s="4" t="str" cm="1">
        <f t="array" ref="D450">_xlfn.IFS('ProductSprint Backlog'!$F450="", "", AND('ProductSprint Backlog'!$J450&gt;D$2,'ProductSprint Backlog'!$I450&lt;=D$2), 'ProductSprint Backlog'!$F450 / MAX(1, 'ProductSprint Backlog'!$J450-'ProductSprint Backlog'!$I450), AND('ProductSprint Backlog'!$J450=D$2,'ProductSprint Backlog'!$I450=D$2), 'ProductSprint Backlog'!$F450, TRUE, 0)</f>
        <v/>
      </c>
      <c r="E450" s="4" t="str" cm="1">
        <f t="array" ref="E450">_xlfn.IFS('ProductSprint Backlog'!$F450="", "", AND('ProductSprint Backlog'!$J450&gt;E$2,'ProductSprint Backlog'!$I450&lt;=E$2), 'ProductSprint Backlog'!$F450 / MAX(1, 'ProductSprint Backlog'!$J450-'ProductSprint Backlog'!$I450), AND('ProductSprint Backlog'!$J450=E$2,'ProductSprint Backlog'!$I450=E$2), 'ProductSprint Backlog'!$F450, TRUE, 0)</f>
        <v/>
      </c>
      <c r="F450" s="4" t="str" cm="1">
        <f t="array" ref="F450">_xlfn.IFS('ProductSprint Backlog'!$F450="", "", AND('ProductSprint Backlog'!$J450&gt;F$2,'ProductSprint Backlog'!$I450&lt;=F$2), 'ProductSprint Backlog'!$F450 / MAX(1, 'ProductSprint Backlog'!$J450-'ProductSprint Backlog'!$I450), AND('ProductSprint Backlog'!$J450=F$2,'ProductSprint Backlog'!$I450=F$2), 'ProductSprint Backlog'!$F450, TRUE, 0)</f>
        <v/>
      </c>
      <c r="G450" s="4" t="str" cm="1">
        <f t="array" ref="G450">_xlfn.IFS('ProductSprint Backlog'!$F450="", "", AND('ProductSprint Backlog'!$J450&gt;G$2,'ProductSprint Backlog'!$I450&lt;=G$2), 'ProductSprint Backlog'!$F450 / MAX(1, 'ProductSprint Backlog'!$J450-'ProductSprint Backlog'!$I450), AND('ProductSprint Backlog'!$J450=G$2,'ProductSprint Backlog'!$I450=G$2), 'ProductSprint Backlog'!$F450, TRUE, 0)</f>
        <v/>
      </c>
      <c r="H450" s="4" t="str" cm="1">
        <f t="array" ref="H450">_xlfn.IFS('ProductSprint Backlog'!$F450="", "", AND('ProductSprint Backlog'!$J450&gt;H$2,'ProductSprint Backlog'!$I450&lt;=H$2), 'ProductSprint Backlog'!$F450 / MAX(1, 'ProductSprint Backlog'!$J450-'ProductSprint Backlog'!$I450), AND('ProductSprint Backlog'!$J450=H$2,'ProductSprint Backlog'!$I450=H$2), 'ProductSprint Backlog'!$F450, TRUE, 0)</f>
        <v/>
      </c>
      <c r="I450" s="4" t="str" cm="1">
        <f t="array" ref="I450">_xlfn.IFS('ProductSprint Backlog'!$F450="", "", AND('ProductSprint Backlog'!$J450&gt;I$2,'ProductSprint Backlog'!$I450&lt;=I$2), 'ProductSprint Backlog'!$F450 / MAX(1, 'ProductSprint Backlog'!$J450-'ProductSprint Backlog'!$I450), AND('ProductSprint Backlog'!$J450=I$2,'ProductSprint Backlog'!$I450=I$2), 'ProductSprint Backlog'!$F450, TRUE, 0)</f>
        <v/>
      </c>
      <c r="J450" s="4" t="str" cm="1">
        <f t="array" ref="J450">_xlfn.IFS('ProductSprint Backlog'!$F450="", "", AND('ProductSprint Backlog'!$J450&gt;J$2,'ProductSprint Backlog'!$I450&lt;=J$2), 'ProductSprint Backlog'!$F450 / MAX(1, 'ProductSprint Backlog'!$J450-'ProductSprint Backlog'!$I450), AND('ProductSprint Backlog'!$J450=J$2,'ProductSprint Backlog'!$I450=J$2), 'ProductSprint Backlog'!$F450, TRUE, 0)</f>
        <v/>
      </c>
      <c r="K450" s="4" t="str" cm="1">
        <f t="array" ref="K450">_xlfn.IFS('ProductSprint Backlog'!$F450="", "", AND('ProductSprint Backlog'!$J450&gt;K$2,'ProductSprint Backlog'!$I450&lt;=K$2), 'ProductSprint Backlog'!$F450 / MAX(1, 'ProductSprint Backlog'!$J450-'ProductSprint Backlog'!$I450), AND('ProductSprint Backlog'!$J450=K$2,'ProductSprint Backlog'!$I450=K$2), 'ProductSprint Backlog'!$F450, TRUE, 0)</f>
        <v/>
      </c>
      <c r="L450" s="4" t="str" cm="1">
        <f t="array" ref="L450">_xlfn.IFS('ProductSprint Backlog'!$F450="", "", AND('ProductSprint Backlog'!$J450&gt;L$2,'ProductSprint Backlog'!$I450&lt;=L$2), 'ProductSprint Backlog'!$F450 / MAX(1, 'ProductSprint Backlog'!$J450-'ProductSprint Backlog'!$I450), AND('ProductSprint Backlog'!$J450=L$2,'ProductSprint Backlog'!$I450=L$2), 'ProductSprint Backlog'!$F450, TRUE, 0)</f>
        <v/>
      </c>
      <c r="M450" s="4" t="str" cm="1">
        <f t="array" ref="M450">_xlfn.IFS('ProductSprint Backlog'!$F450="", "", AND('ProductSprint Backlog'!$J450&gt;M$2,'ProductSprint Backlog'!$I450&lt;=M$2), 'ProductSprint Backlog'!$F450 / MAX(1, 'ProductSprint Backlog'!$J450-'ProductSprint Backlog'!$I450), AND('ProductSprint Backlog'!$J450=M$2,'ProductSprint Backlog'!$I450=M$2), 'ProductSprint Backlog'!$F450, TRUE, 0)</f>
        <v/>
      </c>
      <c r="N450" s="4" t="str" cm="1">
        <f t="array" ref="N450">_xlfn.IFS('ProductSprint Backlog'!$F450="", "", AND('ProductSprint Backlog'!$J450&gt;N$2,'ProductSprint Backlog'!$I450&lt;=N$2), 'ProductSprint Backlog'!$F450 / MAX(1, 'ProductSprint Backlog'!$J450-'ProductSprint Backlog'!$I450), AND('ProductSprint Backlog'!$J450=N$2,'ProductSprint Backlog'!$I450=N$2), 'ProductSprint Backlog'!$F450, TRUE, 0)</f>
        <v/>
      </c>
      <c r="O450" s="4" t="str" cm="1">
        <f t="array" ref="O450">_xlfn.IFS('ProductSprint Backlog'!$F450="", "", AND('ProductSprint Backlog'!$J450&gt;O$2,'ProductSprint Backlog'!$I450&lt;=O$2), 'ProductSprint Backlog'!$F450 / MAX(1, 'ProductSprint Backlog'!$J450-'ProductSprint Backlog'!$I450), AND('ProductSprint Backlog'!$J450=O$2,'ProductSprint Backlog'!$I450=O$2), 'ProductSprint Backlog'!$F450, TRUE, 0)</f>
        <v/>
      </c>
      <c r="P450" s="4" t="str" cm="1">
        <f t="array" ref="P450">_xlfn.IFS('ProductSprint Backlog'!$F450="", "", AND('ProductSprint Backlog'!$J450&gt;P$2,'ProductSprint Backlog'!$I450&lt;=P$2), 'ProductSprint Backlog'!$F450 / MAX(1, 'ProductSprint Backlog'!$J450-'ProductSprint Backlog'!$I450), AND('ProductSprint Backlog'!$J450=P$2,'ProductSprint Backlog'!$I450=P$2), 'ProductSprint Backlog'!$F450, TRUE, 0)</f>
        <v/>
      </c>
      <c r="Q450" s="4" t="str" cm="1">
        <f t="array" ref="Q450">_xlfn.IFS('ProductSprint Backlog'!$F450="", "", AND('ProductSprint Backlog'!$J450&gt;Q$2,'ProductSprint Backlog'!$I450&lt;=Q$2), 'ProductSprint Backlog'!$F450 / MAX(1, 'ProductSprint Backlog'!$J450-'ProductSprint Backlog'!$I450), AND('ProductSprint Backlog'!$J450=Q$2,'ProductSprint Backlog'!$I450=Q$2), 'ProductSprint Backlog'!$F450, TRUE, 0)</f>
        <v/>
      </c>
    </row>
    <row r="451" spans="2:17" x14ac:dyDescent="0.2">
      <c r="B451" s="4" t="str" cm="1">
        <f t="array" ref="B451">_xlfn.IFS('ProductSprint Backlog'!$F451="", "", AND('ProductSprint Backlog'!$J451&gt;B$2,'ProductSprint Backlog'!$I451&lt;=B$2), 'ProductSprint Backlog'!$F451 / MAX(1, 'ProductSprint Backlog'!$J451-'ProductSprint Backlog'!$I451), AND('ProductSprint Backlog'!$J451=B$2,'ProductSprint Backlog'!$I451=B$2), 'ProductSprint Backlog'!$F451, TRUE, 0)</f>
        <v/>
      </c>
      <c r="C451" s="4" t="str" cm="1">
        <f t="array" ref="C451">_xlfn.IFS('ProductSprint Backlog'!$F451="", "", AND('ProductSprint Backlog'!$J451&gt;C$2,'ProductSprint Backlog'!$I451&lt;=C$2), 'ProductSprint Backlog'!$F451 / MAX(1, 'ProductSprint Backlog'!$J451-'ProductSprint Backlog'!$I451), AND('ProductSprint Backlog'!$J451=C$2,'ProductSprint Backlog'!$I451=C$2), 'ProductSprint Backlog'!$F451, TRUE, 0)</f>
        <v/>
      </c>
      <c r="D451" s="4" t="str" cm="1">
        <f t="array" ref="D451">_xlfn.IFS('ProductSprint Backlog'!$F451="", "", AND('ProductSprint Backlog'!$J451&gt;D$2,'ProductSprint Backlog'!$I451&lt;=D$2), 'ProductSprint Backlog'!$F451 / MAX(1, 'ProductSprint Backlog'!$J451-'ProductSprint Backlog'!$I451), AND('ProductSprint Backlog'!$J451=D$2,'ProductSprint Backlog'!$I451=D$2), 'ProductSprint Backlog'!$F451, TRUE, 0)</f>
        <v/>
      </c>
      <c r="E451" s="4" t="str" cm="1">
        <f t="array" ref="E451">_xlfn.IFS('ProductSprint Backlog'!$F451="", "", AND('ProductSprint Backlog'!$J451&gt;E$2,'ProductSprint Backlog'!$I451&lt;=E$2), 'ProductSprint Backlog'!$F451 / MAX(1, 'ProductSprint Backlog'!$J451-'ProductSprint Backlog'!$I451), AND('ProductSprint Backlog'!$J451=E$2,'ProductSprint Backlog'!$I451=E$2), 'ProductSprint Backlog'!$F451, TRUE, 0)</f>
        <v/>
      </c>
      <c r="F451" s="4" t="str" cm="1">
        <f t="array" ref="F451">_xlfn.IFS('ProductSprint Backlog'!$F451="", "", AND('ProductSprint Backlog'!$J451&gt;F$2,'ProductSprint Backlog'!$I451&lt;=F$2), 'ProductSprint Backlog'!$F451 / MAX(1, 'ProductSprint Backlog'!$J451-'ProductSprint Backlog'!$I451), AND('ProductSprint Backlog'!$J451=F$2,'ProductSprint Backlog'!$I451=F$2), 'ProductSprint Backlog'!$F451, TRUE, 0)</f>
        <v/>
      </c>
      <c r="G451" s="4" t="str" cm="1">
        <f t="array" ref="G451">_xlfn.IFS('ProductSprint Backlog'!$F451="", "", AND('ProductSprint Backlog'!$J451&gt;G$2,'ProductSprint Backlog'!$I451&lt;=G$2), 'ProductSprint Backlog'!$F451 / MAX(1, 'ProductSprint Backlog'!$J451-'ProductSprint Backlog'!$I451), AND('ProductSprint Backlog'!$J451=G$2,'ProductSprint Backlog'!$I451=G$2), 'ProductSprint Backlog'!$F451, TRUE, 0)</f>
        <v/>
      </c>
      <c r="H451" s="4" t="str" cm="1">
        <f t="array" ref="H451">_xlfn.IFS('ProductSprint Backlog'!$F451="", "", AND('ProductSprint Backlog'!$J451&gt;H$2,'ProductSprint Backlog'!$I451&lt;=H$2), 'ProductSprint Backlog'!$F451 / MAX(1, 'ProductSprint Backlog'!$J451-'ProductSprint Backlog'!$I451), AND('ProductSprint Backlog'!$J451=H$2,'ProductSprint Backlog'!$I451=H$2), 'ProductSprint Backlog'!$F451, TRUE, 0)</f>
        <v/>
      </c>
      <c r="I451" s="4" t="str" cm="1">
        <f t="array" ref="I451">_xlfn.IFS('ProductSprint Backlog'!$F451="", "", AND('ProductSprint Backlog'!$J451&gt;I$2,'ProductSprint Backlog'!$I451&lt;=I$2), 'ProductSprint Backlog'!$F451 / MAX(1, 'ProductSprint Backlog'!$J451-'ProductSprint Backlog'!$I451), AND('ProductSprint Backlog'!$J451=I$2,'ProductSprint Backlog'!$I451=I$2), 'ProductSprint Backlog'!$F451, TRUE, 0)</f>
        <v/>
      </c>
      <c r="J451" s="4" t="str" cm="1">
        <f t="array" ref="J451">_xlfn.IFS('ProductSprint Backlog'!$F451="", "", AND('ProductSprint Backlog'!$J451&gt;J$2,'ProductSprint Backlog'!$I451&lt;=J$2), 'ProductSprint Backlog'!$F451 / MAX(1, 'ProductSprint Backlog'!$J451-'ProductSprint Backlog'!$I451), AND('ProductSprint Backlog'!$J451=J$2,'ProductSprint Backlog'!$I451=J$2), 'ProductSprint Backlog'!$F451, TRUE, 0)</f>
        <v/>
      </c>
      <c r="K451" s="4" t="str" cm="1">
        <f t="array" ref="K451">_xlfn.IFS('ProductSprint Backlog'!$F451="", "", AND('ProductSprint Backlog'!$J451&gt;K$2,'ProductSprint Backlog'!$I451&lt;=K$2), 'ProductSprint Backlog'!$F451 / MAX(1, 'ProductSprint Backlog'!$J451-'ProductSprint Backlog'!$I451), AND('ProductSprint Backlog'!$J451=K$2,'ProductSprint Backlog'!$I451=K$2), 'ProductSprint Backlog'!$F451, TRUE, 0)</f>
        <v/>
      </c>
      <c r="L451" s="4" t="str" cm="1">
        <f t="array" ref="L451">_xlfn.IFS('ProductSprint Backlog'!$F451="", "", AND('ProductSprint Backlog'!$J451&gt;L$2,'ProductSprint Backlog'!$I451&lt;=L$2), 'ProductSprint Backlog'!$F451 / MAX(1, 'ProductSprint Backlog'!$J451-'ProductSprint Backlog'!$I451), AND('ProductSprint Backlog'!$J451=L$2,'ProductSprint Backlog'!$I451=L$2), 'ProductSprint Backlog'!$F451, TRUE, 0)</f>
        <v/>
      </c>
      <c r="M451" s="4" t="str" cm="1">
        <f t="array" ref="M451">_xlfn.IFS('ProductSprint Backlog'!$F451="", "", AND('ProductSprint Backlog'!$J451&gt;M$2,'ProductSprint Backlog'!$I451&lt;=M$2), 'ProductSprint Backlog'!$F451 / MAX(1, 'ProductSprint Backlog'!$J451-'ProductSprint Backlog'!$I451), AND('ProductSprint Backlog'!$J451=M$2,'ProductSprint Backlog'!$I451=M$2), 'ProductSprint Backlog'!$F451, TRUE, 0)</f>
        <v/>
      </c>
      <c r="N451" s="4" t="str" cm="1">
        <f t="array" ref="N451">_xlfn.IFS('ProductSprint Backlog'!$F451="", "", AND('ProductSprint Backlog'!$J451&gt;N$2,'ProductSprint Backlog'!$I451&lt;=N$2), 'ProductSprint Backlog'!$F451 / MAX(1, 'ProductSprint Backlog'!$J451-'ProductSprint Backlog'!$I451), AND('ProductSprint Backlog'!$J451=N$2,'ProductSprint Backlog'!$I451=N$2), 'ProductSprint Backlog'!$F451, TRUE, 0)</f>
        <v/>
      </c>
      <c r="O451" s="4" t="str" cm="1">
        <f t="array" ref="O451">_xlfn.IFS('ProductSprint Backlog'!$F451="", "", AND('ProductSprint Backlog'!$J451&gt;O$2,'ProductSprint Backlog'!$I451&lt;=O$2), 'ProductSprint Backlog'!$F451 / MAX(1, 'ProductSprint Backlog'!$J451-'ProductSprint Backlog'!$I451), AND('ProductSprint Backlog'!$J451=O$2,'ProductSprint Backlog'!$I451=O$2), 'ProductSprint Backlog'!$F451, TRUE, 0)</f>
        <v/>
      </c>
      <c r="P451" s="4" t="str" cm="1">
        <f t="array" ref="P451">_xlfn.IFS('ProductSprint Backlog'!$F451="", "", AND('ProductSprint Backlog'!$J451&gt;P$2,'ProductSprint Backlog'!$I451&lt;=P$2), 'ProductSprint Backlog'!$F451 / MAX(1, 'ProductSprint Backlog'!$J451-'ProductSprint Backlog'!$I451), AND('ProductSprint Backlog'!$J451=P$2,'ProductSprint Backlog'!$I451=P$2), 'ProductSprint Backlog'!$F451, TRUE, 0)</f>
        <v/>
      </c>
      <c r="Q451" s="4" t="str" cm="1">
        <f t="array" ref="Q451">_xlfn.IFS('ProductSprint Backlog'!$F451="", "", AND('ProductSprint Backlog'!$J451&gt;Q$2,'ProductSprint Backlog'!$I451&lt;=Q$2), 'ProductSprint Backlog'!$F451 / MAX(1, 'ProductSprint Backlog'!$J451-'ProductSprint Backlog'!$I451), AND('ProductSprint Backlog'!$J451=Q$2,'ProductSprint Backlog'!$I451=Q$2), 'ProductSprint Backlog'!$F451, TRUE, 0)</f>
        <v/>
      </c>
    </row>
    <row r="452" spans="2:17" x14ac:dyDescent="0.2">
      <c r="B452" s="4" t="str" cm="1">
        <f t="array" ref="B452">_xlfn.IFS('ProductSprint Backlog'!$F452="", "", AND('ProductSprint Backlog'!$J452&gt;B$2,'ProductSprint Backlog'!$I452&lt;=B$2), 'ProductSprint Backlog'!$F452 / MAX(1, 'ProductSprint Backlog'!$J452-'ProductSprint Backlog'!$I452), AND('ProductSprint Backlog'!$J452=B$2,'ProductSprint Backlog'!$I452=B$2), 'ProductSprint Backlog'!$F452, TRUE, 0)</f>
        <v/>
      </c>
      <c r="C452" s="4" t="str" cm="1">
        <f t="array" ref="C452">_xlfn.IFS('ProductSprint Backlog'!$F452="", "", AND('ProductSprint Backlog'!$J452&gt;C$2,'ProductSprint Backlog'!$I452&lt;=C$2), 'ProductSprint Backlog'!$F452 / MAX(1, 'ProductSprint Backlog'!$J452-'ProductSprint Backlog'!$I452), AND('ProductSprint Backlog'!$J452=C$2,'ProductSprint Backlog'!$I452=C$2), 'ProductSprint Backlog'!$F452, TRUE, 0)</f>
        <v/>
      </c>
      <c r="D452" s="4" t="str" cm="1">
        <f t="array" ref="D452">_xlfn.IFS('ProductSprint Backlog'!$F452="", "", AND('ProductSprint Backlog'!$J452&gt;D$2,'ProductSprint Backlog'!$I452&lt;=D$2), 'ProductSprint Backlog'!$F452 / MAX(1, 'ProductSprint Backlog'!$J452-'ProductSprint Backlog'!$I452), AND('ProductSprint Backlog'!$J452=D$2,'ProductSprint Backlog'!$I452=D$2), 'ProductSprint Backlog'!$F452, TRUE, 0)</f>
        <v/>
      </c>
      <c r="E452" s="4" t="str" cm="1">
        <f t="array" ref="E452">_xlfn.IFS('ProductSprint Backlog'!$F452="", "", AND('ProductSprint Backlog'!$J452&gt;E$2,'ProductSprint Backlog'!$I452&lt;=E$2), 'ProductSprint Backlog'!$F452 / MAX(1, 'ProductSprint Backlog'!$J452-'ProductSprint Backlog'!$I452), AND('ProductSprint Backlog'!$J452=E$2,'ProductSprint Backlog'!$I452=E$2), 'ProductSprint Backlog'!$F452, TRUE, 0)</f>
        <v/>
      </c>
      <c r="F452" s="4" t="str" cm="1">
        <f t="array" ref="F452">_xlfn.IFS('ProductSprint Backlog'!$F452="", "", AND('ProductSprint Backlog'!$J452&gt;F$2,'ProductSprint Backlog'!$I452&lt;=F$2), 'ProductSprint Backlog'!$F452 / MAX(1, 'ProductSprint Backlog'!$J452-'ProductSprint Backlog'!$I452), AND('ProductSprint Backlog'!$J452=F$2,'ProductSprint Backlog'!$I452=F$2), 'ProductSprint Backlog'!$F452, TRUE, 0)</f>
        <v/>
      </c>
      <c r="G452" s="4" t="str" cm="1">
        <f t="array" ref="G452">_xlfn.IFS('ProductSprint Backlog'!$F452="", "", AND('ProductSprint Backlog'!$J452&gt;G$2,'ProductSprint Backlog'!$I452&lt;=G$2), 'ProductSprint Backlog'!$F452 / MAX(1, 'ProductSprint Backlog'!$J452-'ProductSprint Backlog'!$I452), AND('ProductSprint Backlog'!$J452=G$2,'ProductSprint Backlog'!$I452=G$2), 'ProductSprint Backlog'!$F452, TRUE, 0)</f>
        <v/>
      </c>
      <c r="H452" s="4" t="str" cm="1">
        <f t="array" ref="H452">_xlfn.IFS('ProductSprint Backlog'!$F452="", "", AND('ProductSprint Backlog'!$J452&gt;H$2,'ProductSprint Backlog'!$I452&lt;=H$2), 'ProductSprint Backlog'!$F452 / MAX(1, 'ProductSprint Backlog'!$J452-'ProductSprint Backlog'!$I452), AND('ProductSprint Backlog'!$J452=H$2,'ProductSprint Backlog'!$I452=H$2), 'ProductSprint Backlog'!$F452, TRUE, 0)</f>
        <v/>
      </c>
      <c r="I452" s="4" t="str" cm="1">
        <f t="array" ref="I452">_xlfn.IFS('ProductSprint Backlog'!$F452="", "", AND('ProductSprint Backlog'!$J452&gt;I$2,'ProductSprint Backlog'!$I452&lt;=I$2), 'ProductSprint Backlog'!$F452 / MAX(1, 'ProductSprint Backlog'!$J452-'ProductSprint Backlog'!$I452), AND('ProductSprint Backlog'!$J452=I$2,'ProductSprint Backlog'!$I452=I$2), 'ProductSprint Backlog'!$F452, TRUE, 0)</f>
        <v/>
      </c>
      <c r="J452" s="4" t="str" cm="1">
        <f t="array" ref="J452">_xlfn.IFS('ProductSprint Backlog'!$F452="", "", AND('ProductSprint Backlog'!$J452&gt;J$2,'ProductSprint Backlog'!$I452&lt;=J$2), 'ProductSprint Backlog'!$F452 / MAX(1, 'ProductSprint Backlog'!$J452-'ProductSprint Backlog'!$I452), AND('ProductSprint Backlog'!$J452=J$2,'ProductSprint Backlog'!$I452=J$2), 'ProductSprint Backlog'!$F452, TRUE, 0)</f>
        <v/>
      </c>
      <c r="K452" s="4" t="str" cm="1">
        <f t="array" ref="K452">_xlfn.IFS('ProductSprint Backlog'!$F452="", "", AND('ProductSprint Backlog'!$J452&gt;K$2,'ProductSprint Backlog'!$I452&lt;=K$2), 'ProductSprint Backlog'!$F452 / MAX(1, 'ProductSprint Backlog'!$J452-'ProductSprint Backlog'!$I452), AND('ProductSprint Backlog'!$J452=K$2,'ProductSprint Backlog'!$I452=K$2), 'ProductSprint Backlog'!$F452, TRUE, 0)</f>
        <v/>
      </c>
      <c r="L452" s="4" t="str" cm="1">
        <f t="array" ref="L452">_xlfn.IFS('ProductSprint Backlog'!$F452="", "", AND('ProductSprint Backlog'!$J452&gt;L$2,'ProductSprint Backlog'!$I452&lt;=L$2), 'ProductSprint Backlog'!$F452 / MAX(1, 'ProductSprint Backlog'!$J452-'ProductSprint Backlog'!$I452), AND('ProductSprint Backlog'!$J452=L$2,'ProductSprint Backlog'!$I452=L$2), 'ProductSprint Backlog'!$F452, TRUE, 0)</f>
        <v/>
      </c>
      <c r="M452" s="4" t="str" cm="1">
        <f t="array" ref="M452">_xlfn.IFS('ProductSprint Backlog'!$F452="", "", AND('ProductSprint Backlog'!$J452&gt;M$2,'ProductSprint Backlog'!$I452&lt;=M$2), 'ProductSprint Backlog'!$F452 / MAX(1, 'ProductSprint Backlog'!$J452-'ProductSprint Backlog'!$I452), AND('ProductSprint Backlog'!$J452=M$2,'ProductSprint Backlog'!$I452=M$2), 'ProductSprint Backlog'!$F452, TRUE, 0)</f>
        <v/>
      </c>
      <c r="N452" s="4" t="str" cm="1">
        <f t="array" ref="N452">_xlfn.IFS('ProductSprint Backlog'!$F452="", "", AND('ProductSprint Backlog'!$J452&gt;N$2,'ProductSprint Backlog'!$I452&lt;=N$2), 'ProductSprint Backlog'!$F452 / MAX(1, 'ProductSprint Backlog'!$J452-'ProductSprint Backlog'!$I452), AND('ProductSprint Backlog'!$J452=N$2,'ProductSprint Backlog'!$I452=N$2), 'ProductSprint Backlog'!$F452, TRUE, 0)</f>
        <v/>
      </c>
      <c r="O452" s="4" t="str" cm="1">
        <f t="array" ref="O452">_xlfn.IFS('ProductSprint Backlog'!$F452="", "", AND('ProductSprint Backlog'!$J452&gt;O$2,'ProductSprint Backlog'!$I452&lt;=O$2), 'ProductSprint Backlog'!$F452 / MAX(1, 'ProductSprint Backlog'!$J452-'ProductSprint Backlog'!$I452), AND('ProductSprint Backlog'!$J452=O$2,'ProductSprint Backlog'!$I452=O$2), 'ProductSprint Backlog'!$F452, TRUE, 0)</f>
        <v/>
      </c>
      <c r="P452" s="4" t="str" cm="1">
        <f t="array" ref="P452">_xlfn.IFS('ProductSprint Backlog'!$F452="", "", AND('ProductSprint Backlog'!$J452&gt;P$2,'ProductSprint Backlog'!$I452&lt;=P$2), 'ProductSprint Backlog'!$F452 / MAX(1, 'ProductSprint Backlog'!$J452-'ProductSprint Backlog'!$I452), AND('ProductSprint Backlog'!$J452=P$2,'ProductSprint Backlog'!$I452=P$2), 'ProductSprint Backlog'!$F452, TRUE, 0)</f>
        <v/>
      </c>
      <c r="Q452" s="4" t="str" cm="1">
        <f t="array" ref="Q452">_xlfn.IFS('ProductSprint Backlog'!$F452="", "", AND('ProductSprint Backlog'!$J452&gt;Q$2,'ProductSprint Backlog'!$I452&lt;=Q$2), 'ProductSprint Backlog'!$F452 / MAX(1, 'ProductSprint Backlog'!$J452-'ProductSprint Backlog'!$I452), AND('ProductSprint Backlog'!$J452=Q$2,'ProductSprint Backlog'!$I452=Q$2), 'ProductSprint Backlog'!$F452, TRUE, 0)</f>
        <v/>
      </c>
    </row>
    <row r="453" spans="2:17" x14ac:dyDescent="0.2">
      <c r="B453" s="4" t="str" cm="1">
        <f t="array" ref="B453">_xlfn.IFS('ProductSprint Backlog'!$F453="", "", AND('ProductSprint Backlog'!$J453&gt;B$2,'ProductSprint Backlog'!$I453&lt;=B$2), 'ProductSprint Backlog'!$F453 / MAX(1, 'ProductSprint Backlog'!$J453-'ProductSprint Backlog'!$I453), AND('ProductSprint Backlog'!$J453=B$2,'ProductSprint Backlog'!$I453=B$2), 'ProductSprint Backlog'!$F453, TRUE, 0)</f>
        <v/>
      </c>
      <c r="C453" s="4" t="str" cm="1">
        <f t="array" ref="C453">_xlfn.IFS('ProductSprint Backlog'!$F453="", "", AND('ProductSprint Backlog'!$J453&gt;C$2,'ProductSprint Backlog'!$I453&lt;=C$2), 'ProductSprint Backlog'!$F453 / MAX(1, 'ProductSprint Backlog'!$J453-'ProductSprint Backlog'!$I453), AND('ProductSprint Backlog'!$J453=C$2,'ProductSprint Backlog'!$I453=C$2), 'ProductSprint Backlog'!$F453, TRUE, 0)</f>
        <v/>
      </c>
      <c r="D453" s="4" t="str" cm="1">
        <f t="array" ref="D453">_xlfn.IFS('ProductSprint Backlog'!$F453="", "", AND('ProductSprint Backlog'!$J453&gt;D$2,'ProductSprint Backlog'!$I453&lt;=D$2), 'ProductSprint Backlog'!$F453 / MAX(1, 'ProductSprint Backlog'!$J453-'ProductSprint Backlog'!$I453), AND('ProductSprint Backlog'!$J453=D$2,'ProductSprint Backlog'!$I453=D$2), 'ProductSprint Backlog'!$F453, TRUE, 0)</f>
        <v/>
      </c>
      <c r="E453" s="4" t="str" cm="1">
        <f t="array" ref="E453">_xlfn.IFS('ProductSprint Backlog'!$F453="", "", AND('ProductSprint Backlog'!$J453&gt;E$2,'ProductSprint Backlog'!$I453&lt;=E$2), 'ProductSprint Backlog'!$F453 / MAX(1, 'ProductSprint Backlog'!$J453-'ProductSprint Backlog'!$I453), AND('ProductSprint Backlog'!$J453=E$2,'ProductSprint Backlog'!$I453=E$2), 'ProductSprint Backlog'!$F453, TRUE, 0)</f>
        <v/>
      </c>
      <c r="F453" s="4" t="str" cm="1">
        <f t="array" ref="F453">_xlfn.IFS('ProductSprint Backlog'!$F453="", "", AND('ProductSprint Backlog'!$J453&gt;F$2,'ProductSprint Backlog'!$I453&lt;=F$2), 'ProductSprint Backlog'!$F453 / MAX(1, 'ProductSprint Backlog'!$J453-'ProductSprint Backlog'!$I453), AND('ProductSprint Backlog'!$J453=F$2,'ProductSprint Backlog'!$I453=F$2), 'ProductSprint Backlog'!$F453, TRUE, 0)</f>
        <v/>
      </c>
      <c r="G453" s="4" t="str" cm="1">
        <f t="array" ref="G453">_xlfn.IFS('ProductSprint Backlog'!$F453="", "", AND('ProductSprint Backlog'!$J453&gt;G$2,'ProductSprint Backlog'!$I453&lt;=G$2), 'ProductSprint Backlog'!$F453 / MAX(1, 'ProductSprint Backlog'!$J453-'ProductSprint Backlog'!$I453), AND('ProductSprint Backlog'!$J453=G$2,'ProductSprint Backlog'!$I453=G$2), 'ProductSprint Backlog'!$F453, TRUE, 0)</f>
        <v/>
      </c>
      <c r="H453" s="4" t="str" cm="1">
        <f t="array" ref="H453">_xlfn.IFS('ProductSprint Backlog'!$F453="", "", AND('ProductSprint Backlog'!$J453&gt;H$2,'ProductSprint Backlog'!$I453&lt;=H$2), 'ProductSprint Backlog'!$F453 / MAX(1, 'ProductSprint Backlog'!$J453-'ProductSprint Backlog'!$I453), AND('ProductSprint Backlog'!$J453=H$2,'ProductSprint Backlog'!$I453=H$2), 'ProductSprint Backlog'!$F453, TRUE, 0)</f>
        <v/>
      </c>
      <c r="I453" s="4" t="str" cm="1">
        <f t="array" ref="I453">_xlfn.IFS('ProductSprint Backlog'!$F453="", "", AND('ProductSprint Backlog'!$J453&gt;I$2,'ProductSprint Backlog'!$I453&lt;=I$2), 'ProductSprint Backlog'!$F453 / MAX(1, 'ProductSprint Backlog'!$J453-'ProductSprint Backlog'!$I453), AND('ProductSprint Backlog'!$J453=I$2,'ProductSprint Backlog'!$I453=I$2), 'ProductSprint Backlog'!$F453, TRUE, 0)</f>
        <v/>
      </c>
      <c r="J453" s="4" t="str" cm="1">
        <f t="array" ref="J453">_xlfn.IFS('ProductSprint Backlog'!$F453="", "", AND('ProductSprint Backlog'!$J453&gt;J$2,'ProductSprint Backlog'!$I453&lt;=J$2), 'ProductSprint Backlog'!$F453 / MAX(1, 'ProductSprint Backlog'!$J453-'ProductSprint Backlog'!$I453), AND('ProductSprint Backlog'!$J453=J$2,'ProductSprint Backlog'!$I453=J$2), 'ProductSprint Backlog'!$F453, TRUE, 0)</f>
        <v/>
      </c>
      <c r="K453" s="4" t="str" cm="1">
        <f t="array" ref="K453">_xlfn.IFS('ProductSprint Backlog'!$F453="", "", AND('ProductSprint Backlog'!$J453&gt;K$2,'ProductSprint Backlog'!$I453&lt;=K$2), 'ProductSprint Backlog'!$F453 / MAX(1, 'ProductSprint Backlog'!$J453-'ProductSprint Backlog'!$I453), AND('ProductSprint Backlog'!$J453=K$2,'ProductSprint Backlog'!$I453=K$2), 'ProductSprint Backlog'!$F453, TRUE, 0)</f>
        <v/>
      </c>
      <c r="L453" s="4" t="str" cm="1">
        <f t="array" ref="L453">_xlfn.IFS('ProductSprint Backlog'!$F453="", "", AND('ProductSprint Backlog'!$J453&gt;L$2,'ProductSprint Backlog'!$I453&lt;=L$2), 'ProductSprint Backlog'!$F453 / MAX(1, 'ProductSprint Backlog'!$J453-'ProductSprint Backlog'!$I453), AND('ProductSprint Backlog'!$J453=L$2,'ProductSprint Backlog'!$I453=L$2), 'ProductSprint Backlog'!$F453, TRUE, 0)</f>
        <v/>
      </c>
      <c r="M453" s="4" t="str" cm="1">
        <f t="array" ref="M453">_xlfn.IFS('ProductSprint Backlog'!$F453="", "", AND('ProductSprint Backlog'!$J453&gt;M$2,'ProductSprint Backlog'!$I453&lt;=M$2), 'ProductSprint Backlog'!$F453 / MAX(1, 'ProductSprint Backlog'!$J453-'ProductSprint Backlog'!$I453), AND('ProductSprint Backlog'!$J453=M$2,'ProductSprint Backlog'!$I453=M$2), 'ProductSprint Backlog'!$F453, TRUE, 0)</f>
        <v/>
      </c>
      <c r="N453" s="4" t="str" cm="1">
        <f t="array" ref="N453">_xlfn.IFS('ProductSprint Backlog'!$F453="", "", AND('ProductSprint Backlog'!$J453&gt;N$2,'ProductSprint Backlog'!$I453&lt;=N$2), 'ProductSprint Backlog'!$F453 / MAX(1, 'ProductSprint Backlog'!$J453-'ProductSprint Backlog'!$I453), AND('ProductSprint Backlog'!$J453=N$2,'ProductSprint Backlog'!$I453=N$2), 'ProductSprint Backlog'!$F453, TRUE, 0)</f>
        <v/>
      </c>
      <c r="O453" s="4" t="str" cm="1">
        <f t="array" ref="O453">_xlfn.IFS('ProductSprint Backlog'!$F453="", "", AND('ProductSprint Backlog'!$J453&gt;O$2,'ProductSprint Backlog'!$I453&lt;=O$2), 'ProductSprint Backlog'!$F453 / MAX(1, 'ProductSprint Backlog'!$J453-'ProductSprint Backlog'!$I453), AND('ProductSprint Backlog'!$J453=O$2,'ProductSprint Backlog'!$I453=O$2), 'ProductSprint Backlog'!$F453, TRUE, 0)</f>
        <v/>
      </c>
      <c r="P453" s="4" t="str" cm="1">
        <f t="array" ref="P453">_xlfn.IFS('ProductSprint Backlog'!$F453="", "", AND('ProductSprint Backlog'!$J453&gt;P$2,'ProductSprint Backlog'!$I453&lt;=P$2), 'ProductSprint Backlog'!$F453 / MAX(1, 'ProductSprint Backlog'!$J453-'ProductSprint Backlog'!$I453), AND('ProductSprint Backlog'!$J453=P$2,'ProductSprint Backlog'!$I453=P$2), 'ProductSprint Backlog'!$F453, TRUE, 0)</f>
        <v/>
      </c>
      <c r="Q453" s="4" t="str" cm="1">
        <f t="array" ref="Q453">_xlfn.IFS('ProductSprint Backlog'!$F453="", "", AND('ProductSprint Backlog'!$J453&gt;Q$2,'ProductSprint Backlog'!$I453&lt;=Q$2), 'ProductSprint Backlog'!$F453 / MAX(1, 'ProductSprint Backlog'!$J453-'ProductSprint Backlog'!$I453), AND('ProductSprint Backlog'!$J453=Q$2,'ProductSprint Backlog'!$I453=Q$2), 'ProductSprint Backlog'!$F453, TRUE, 0)</f>
        <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T30"/>
  <sheetViews>
    <sheetView topLeftCell="A4" workbookViewId="0"/>
  </sheetViews>
  <sheetFormatPr baseColWidth="10" defaultColWidth="12.5703125" defaultRowHeight="15.75" customHeight="1" x14ac:dyDescent="0.2"/>
  <cols>
    <col min="1" max="1" width="27.28515625" customWidth="1"/>
  </cols>
  <sheetData>
    <row r="1" spans="1:20" x14ac:dyDescent="0.2">
      <c r="A1" s="4" t="s">
        <v>461</v>
      </c>
      <c r="D1" s="47">
        <v>45875</v>
      </c>
      <c r="E1" s="42">
        <v>45892</v>
      </c>
      <c r="F1" s="4">
        <f>E1-D1</f>
        <v>17</v>
      </c>
    </row>
    <row r="3" spans="1:20" x14ac:dyDescent="0.2">
      <c r="A3" s="4" t="s">
        <v>462</v>
      </c>
    </row>
    <row r="4" spans="1:20" x14ac:dyDescent="0.2">
      <c r="B4" s="47">
        <v>45875</v>
      </c>
      <c r="C4" s="47">
        <v>45876</v>
      </c>
      <c r="D4" s="47">
        <v>45877</v>
      </c>
      <c r="E4" s="47">
        <v>45878</v>
      </c>
      <c r="F4" s="47">
        <v>45879</v>
      </c>
      <c r="G4" s="47">
        <v>45880</v>
      </c>
      <c r="H4" s="47">
        <v>45881</v>
      </c>
      <c r="I4" s="47">
        <v>45882</v>
      </c>
      <c r="J4" s="47">
        <v>45883</v>
      </c>
      <c r="K4" s="47">
        <v>45884</v>
      </c>
      <c r="L4" s="47">
        <v>45885</v>
      </c>
      <c r="M4" s="47">
        <v>45886</v>
      </c>
      <c r="N4" s="47">
        <v>45887</v>
      </c>
      <c r="O4" s="47">
        <v>45888</v>
      </c>
      <c r="P4" s="47">
        <v>45889</v>
      </c>
      <c r="Q4" s="47">
        <v>45890</v>
      </c>
      <c r="R4" s="47">
        <v>45891</v>
      </c>
      <c r="S4" s="47">
        <v>45892</v>
      </c>
    </row>
    <row r="5" spans="1:20" x14ac:dyDescent="0.2">
      <c r="B5" s="4" t="s">
        <v>463</v>
      </c>
      <c r="C5" s="4" t="s">
        <v>464</v>
      </c>
      <c r="D5" s="4" t="s">
        <v>465</v>
      </c>
      <c r="E5" s="4" t="s">
        <v>466</v>
      </c>
      <c r="F5" s="4" t="s">
        <v>467</v>
      </c>
      <c r="G5" s="4" t="s">
        <v>468</v>
      </c>
      <c r="H5" s="4" t="s">
        <v>469</v>
      </c>
      <c r="I5" s="4" t="s">
        <v>470</v>
      </c>
      <c r="J5" s="4" t="s">
        <v>471</v>
      </c>
      <c r="K5" s="4" t="s">
        <v>509</v>
      </c>
      <c r="L5" s="4" t="s">
        <v>510</v>
      </c>
      <c r="M5" s="4" t="s">
        <v>511</v>
      </c>
      <c r="N5" s="4" t="s">
        <v>512</v>
      </c>
      <c r="O5" s="4" t="s">
        <v>513</v>
      </c>
      <c r="P5" s="4" t="s">
        <v>514</v>
      </c>
      <c r="Q5" s="4" t="s">
        <v>515</v>
      </c>
      <c r="R5" s="4" t="s">
        <v>516</v>
      </c>
      <c r="S5" s="4" t="s">
        <v>517</v>
      </c>
    </row>
    <row r="6" spans="1:20" x14ac:dyDescent="0.2">
      <c r="A6" s="4" t="s">
        <v>472</v>
      </c>
      <c r="B6" s="48">
        <v>0</v>
      </c>
      <c r="C6" s="48">
        <f>'Registro de HH INC2'!C11</f>
        <v>4</v>
      </c>
      <c r="D6" s="48">
        <f>'Registro de HH INC2'!D11</f>
        <v>11</v>
      </c>
      <c r="E6" s="48">
        <f>'Registro de HH INC2'!E11</f>
        <v>14</v>
      </c>
      <c r="F6" s="48">
        <f>'Registro de HH INC2'!F11</f>
        <v>14</v>
      </c>
      <c r="G6" s="48">
        <f>'Registro de HH INC2'!G11</f>
        <v>25</v>
      </c>
      <c r="H6" s="48">
        <f>'Registro de HH INC2'!H11</f>
        <v>33</v>
      </c>
      <c r="I6" s="48">
        <f>'Registro de HH INC2'!I11</f>
        <v>42</v>
      </c>
      <c r="J6" s="48">
        <f>'Registro de HH INC2'!J11</f>
        <v>48</v>
      </c>
      <c r="K6" s="48">
        <f>'Registro de HH INC2'!K11</f>
        <v>53</v>
      </c>
      <c r="L6" s="48">
        <f>'Registro de HH INC2'!L11</f>
        <v>53</v>
      </c>
      <c r="M6" s="48">
        <f>'Registro de HH INC2'!M11</f>
        <v>56</v>
      </c>
      <c r="N6" s="48">
        <f>'Registro de HH INC2'!N11</f>
        <v>60</v>
      </c>
      <c r="O6" s="48">
        <f>'Registro de HH INC2'!O11</f>
        <v>64</v>
      </c>
      <c r="P6" s="48">
        <f>'Registro de HH INC2'!P11</f>
        <v>67</v>
      </c>
      <c r="Q6" s="48">
        <f>'Registro de HH INC2'!Q11</f>
        <v>70</v>
      </c>
      <c r="R6" s="48">
        <f>'Registro de HH INC2'!R11</f>
        <v>70</v>
      </c>
      <c r="S6" s="48">
        <f>'Registro de HH INC2'!S11</f>
        <v>74</v>
      </c>
    </row>
    <row r="7" spans="1:20" x14ac:dyDescent="0.2">
      <c r="A7" s="4" t="s">
        <v>473</v>
      </c>
      <c r="B7" s="48">
        <v>0</v>
      </c>
      <c r="C7" s="48">
        <f>SUM('Aux Esfuerzo Estimado INC2 SPT1'!B3:B1000)</f>
        <v>5.7333333333333325</v>
      </c>
      <c r="D7" s="48">
        <f>SUM('Aux Esfuerzo Estimado INC2 SPT1'!C3:C1000)+C7</f>
        <v>11.466666666666665</v>
      </c>
      <c r="E7" s="48">
        <f>SUM('Aux Esfuerzo Estimado INC2 SPT1'!D3:D1000)+D7</f>
        <v>17.199999999999996</v>
      </c>
      <c r="F7" s="48">
        <f>SUM('Aux Esfuerzo Estimado INC2 SPT1'!E3:E1000)+E7</f>
        <v>20.266666666666662</v>
      </c>
      <c r="G7" s="48">
        <f>SUM('Aux Esfuerzo Estimado INC2 SPT1'!F3:F1000)+F7</f>
        <v>24.333333333333329</v>
      </c>
      <c r="H7" s="48">
        <f>SUM('Aux Esfuerzo Estimado INC2 SPT1'!G3:G1000)+G7</f>
        <v>31.066666666666663</v>
      </c>
      <c r="I7" s="48">
        <f>SUM('Aux Esfuerzo Estimado INC2 SPT1'!H3:H1000)+H7</f>
        <v>34.133333333333333</v>
      </c>
      <c r="J7" s="48">
        <f>SUM('Aux Esfuerzo Estimado INC2 SPT1'!I3:I1000)+I7</f>
        <v>41.033333333333331</v>
      </c>
      <c r="K7" s="48">
        <f>SUM('Aux Esfuerzo Estimado INC2 SPT1'!J3:J1000)+J7</f>
        <v>46.93333333333333</v>
      </c>
      <c r="L7" s="48">
        <f>SUM('Aux Esfuerzo Estimado INC2 SPT1'!K3:K1000)+K7</f>
        <v>50.43333333333333</v>
      </c>
      <c r="M7" s="48">
        <f>SUM('Aux Esfuerzo Estimado INC2 SPT1'!L3:L1000)+L7</f>
        <v>56.533333333333331</v>
      </c>
      <c r="N7" s="48">
        <f>SUM('Aux Esfuerzo Estimado INC2 SPT1'!M3:M1000)+M7</f>
        <v>61.966666666666669</v>
      </c>
      <c r="O7" s="48">
        <f>SUM('Aux Esfuerzo Estimado INC2 SPT1'!N3:N1000)+N7</f>
        <v>68.566666666666663</v>
      </c>
      <c r="P7" s="48">
        <f>SUM('Aux Esfuerzo Estimado INC2 SPT1'!O3:O1000)+O7</f>
        <v>80.333333333333329</v>
      </c>
      <c r="Q7" s="48">
        <f>SUM('Aux Esfuerzo Estimado INC2 SPT1'!P3:P1000)+P7</f>
        <v>82</v>
      </c>
      <c r="R7" s="48">
        <f>SUM('Aux Esfuerzo Estimado INC2 SPT1'!Q3:Q1000)+Q7</f>
        <v>82</v>
      </c>
      <c r="S7" s="48">
        <f>SUM('Aux Esfuerzo Estimado INC2 SPT1'!R3:R1000)+R7</f>
        <v>82</v>
      </c>
      <c r="T7" s="48"/>
    </row>
    <row r="9" spans="1:20" x14ac:dyDescent="0.2">
      <c r="A9" s="4" t="s">
        <v>474</v>
      </c>
    </row>
    <row r="10" spans="1:20" x14ac:dyDescent="0.2">
      <c r="B10" s="47">
        <v>45876</v>
      </c>
      <c r="C10" s="47">
        <v>45877</v>
      </c>
      <c r="D10" s="47">
        <v>45878</v>
      </c>
      <c r="E10" s="47">
        <v>45879</v>
      </c>
      <c r="F10" s="47">
        <v>45880</v>
      </c>
      <c r="G10" s="47">
        <v>45881</v>
      </c>
      <c r="H10" s="47">
        <v>45882</v>
      </c>
      <c r="I10" s="47">
        <v>45883</v>
      </c>
      <c r="J10" s="47">
        <v>45884</v>
      </c>
      <c r="K10" s="47">
        <v>45885</v>
      </c>
      <c r="L10" s="47">
        <v>45886</v>
      </c>
      <c r="M10" s="47">
        <v>45887</v>
      </c>
      <c r="N10" s="47">
        <v>45888</v>
      </c>
      <c r="O10" s="47">
        <v>45889</v>
      </c>
      <c r="P10" s="47">
        <v>45890</v>
      </c>
      <c r="Q10" s="47">
        <v>45891</v>
      </c>
      <c r="R10" s="47">
        <v>45892</v>
      </c>
      <c r="S10" s="47">
        <v>45893</v>
      </c>
    </row>
    <row r="11" spans="1:20" x14ac:dyDescent="0.2">
      <c r="B11" s="4" t="s">
        <v>463</v>
      </c>
      <c r="C11" s="4" t="s">
        <v>464</v>
      </c>
      <c r="D11" s="4" t="s">
        <v>465</v>
      </c>
      <c r="E11" s="4" t="s">
        <v>466</v>
      </c>
      <c r="F11" s="4" t="s">
        <v>467</v>
      </c>
      <c r="G11" s="4" t="s">
        <v>468</v>
      </c>
      <c r="H11" s="4" t="s">
        <v>469</v>
      </c>
      <c r="I11" s="4" t="s">
        <v>470</v>
      </c>
      <c r="J11" s="4" t="s">
        <v>471</v>
      </c>
      <c r="K11" s="4" t="s">
        <v>509</v>
      </c>
      <c r="L11" s="4" t="s">
        <v>510</v>
      </c>
      <c r="M11" s="4" t="s">
        <v>511</v>
      </c>
      <c r="N11" s="4" t="s">
        <v>512</v>
      </c>
      <c r="O11" s="4" t="s">
        <v>513</v>
      </c>
      <c r="P11" s="4" t="s">
        <v>514</v>
      </c>
      <c r="Q11" s="4" t="s">
        <v>515</v>
      </c>
      <c r="R11" s="4" t="s">
        <v>516</v>
      </c>
      <c r="S11" s="4" t="s">
        <v>517</v>
      </c>
    </row>
    <row r="12" spans="1:20" x14ac:dyDescent="0.2">
      <c r="A12" s="4" t="s">
        <v>475</v>
      </c>
      <c r="B12" s="48">
        <f>SUM('ProductSprint Backlog'!M86:M166)</f>
        <v>74</v>
      </c>
      <c r="C12" s="48">
        <f>B12-'Registro de HH INC2'!C10</f>
        <v>70</v>
      </c>
      <c r="D12" s="48">
        <f>C12-'Registro de HH INC2'!D10</f>
        <v>63</v>
      </c>
      <c r="E12" s="48">
        <f>D12-'Registro de HH INC2'!E10</f>
        <v>60</v>
      </c>
      <c r="F12" s="48">
        <f>E12-'Registro de HH INC2'!F10</f>
        <v>60</v>
      </c>
      <c r="G12" s="48">
        <f>F12-'Registro de HH INC2'!G10</f>
        <v>49</v>
      </c>
      <c r="H12" s="48">
        <f>G12-'Registro de HH INC2'!H10</f>
        <v>41</v>
      </c>
      <c r="I12" s="48">
        <f>H12-'Registro de HH INC2'!I10</f>
        <v>32</v>
      </c>
      <c r="J12" s="48">
        <f>I12-'Registro de HH INC2'!J10</f>
        <v>26</v>
      </c>
      <c r="K12" s="48">
        <f>J12-'Registro de HH INC2'!K10</f>
        <v>21</v>
      </c>
      <c r="L12" s="48">
        <f>K12-'Registro de HH INC2'!L10</f>
        <v>21</v>
      </c>
      <c r="M12" s="48">
        <f>L12-'Registro de HH INC2'!M10</f>
        <v>18</v>
      </c>
      <c r="N12" s="48">
        <f>M12-'Registro de HH INC2'!N10</f>
        <v>14</v>
      </c>
      <c r="O12" s="48">
        <f>N12-'Registro de HH INC2'!O10</f>
        <v>10</v>
      </c>
      <c r="P12" s="48">
        <f>O12-'Registro de HH INC2'!P10</f>
        <v>7</v>
      </c>
      <c r="Q12" s="48">
        <f>P12-'Registro de HH INC2'!Q10</f>
        <v>4</v>
      </c>
      <c r="R12" s="48">
        <f>Q12-'Registro de HH INC2'!R10</f>
        <v>4</v>
      </c>
      <c r="S12" s="48">
        <f>R12-'Registro de HH INC2'!S10</f>
        <v>0</v>
      </c>
    </row>
    <row r="13" spans="1:20" x14ac:dyDescent="0.2">
      <c r="A13" s="4" t="s">
        <v>476</v>
      </c>
      <c r="B13" s="48">
        <f>SUM('ProductSprint Backlog'!F86:F166)</f>
        <v>82</v>
      </c>
      <c r="C13" s="48">
        <f>B13-SUM('Aux Esfuerzo Estimado INC2 SPT1'!B3:B1000)</f>
        <v>76.266666666666666</v>
      </c>
      <c r="D13" s="48">
        <f>C13-SUM('Aux Esfuerzo Estimado INC2 SPT1'!C3:C1000)</f>
        <v>70.533333333333331</v>
      </c>
      <c r="E13" s="48">
        <f>D13-SUM('Aux Esfuerzo Estimado INC2 SPT1'!D3:D1000)</f>
        <v>64.8</v>
      </c>
      <c r="F13" s="48">
        <f>E13-SUM('Aux Esfuerzo Estimado INC2 SPT1'!E3:E1000)</f>
        <v>61.733333333333327</v>
      </c>
      <c r="G13" s="48">
        <f>F13-SUM('Aux Esfuerzo Estimado INC2 SPT1'!F3:F1000)</f>
        <v>57.666666666666657</v>
      </c>
      <c r="H13" s="48">
        <f>G13-SUM('Aux Esfuerzo Estimado INC2 SPT1'!G3:G1000)</f>
        <v>50.933333333333323</v>
      </c>
      <c r="I13" s="48">
        <f>H13-SUM('Aux Esfuerzo Estimado INC2 SPT1'!H3:H1000)</f>
        <v>47.866666666666653</v>
      </c>
      <c r="J13" s="48">
        <f>I13-SUM('Aux Esfuerzo Estimado INC2 SPT1'!I3:I1000)</f>
        <v>40.966666666666654</v>
      </c>
      <c r="K13" s="48">
        <f>J13-SUM('Aux Esfuerzo Estimado INC2 SPT1'!J3:J1000)</f>
        <v>35.066666666666656</v>
      </c>
      <c r="L13" s="48">
        <f>K13-SUM('Aux Esfuerzo Estimado INC2 SPT1'!K3:K1000)</f>
        <v>31.566666666666656</v>
      </c>
      <c r="M13" s="48">
        <f>L13-SUM('Aux Esfuerzo Estimado INC2 SPT1'!L3:L1000)</f>
        <v>25.466666666666654</v>
      </c>
      <c r="N13" s="48">
        <f>M13-SUM('Aux Esfuerzo Estimado INC2 SPT1'!M3:M1000)</f>
        <v>20.033333333333321</v>
      </c>
      <c r="O13" s="48">
        <f>N13-SUM('Aux Esfuerzo Estimado INC2 SPT1'!N3:N1000)</f>
        <v>13.433333333333319</v>
      </c>
      <c r="P13" s="48">
        <f>O13-SUM('Aux Esfuerzo Estimado INC2 SPT1'!O3:O1000)</f>
        <v>1.6666666666666519</v>
      </c>
      <c r="Q13" s="48">
        <f>P13-SUM('Aux Esfuerzo Estimado INC2 SPT1'!P3:P1000)</f>
        <v>-1.4654943925052066E-14</v>
      </c>
      <c r="R13" s="48">
        <f>Q13-SUM('Aux Esfuerzo Estimado INC2 SPT1'!Q3:Q1000)</f>
        <v>-1.4654943925052066E-14</v>
      </c>
      <c r="S13" s="48">
        <f>R13-SUM('Aux Esfuerzo Estimado INC2 SPT1'!R3:R1000)</f>
        <v>-1.4654943925052066E-14</v>
      </c>
    </row>
    <row r="17" spans="1:19" x14ac:dyDescent="0.2">
      <c r="A17" s="4" t="s">
        <v>518</v>
      </c>
      <c r="D17" s="47">
        <v>45900</v>
      </c>
      <c r="E17" s="42">
        <v>45917</v>
      </c>
      <c r="F17" s="4">
        <f>E17-D17</f>
        <v>17</v>
      </c>
    </row>
    <row r="20" spans="1:19" x14ac:dyDescent="0.2">
      <c r="A20" s="4" t="s">
        <v>462</v>
      </c>
    </row>
    <row r="21" spans="1:19" x14ac:dyDescent="0.2">
      <c r="B21" s="47">
        <v>45901</v>
      </c>
      <c r="C21" s="47">
        <v>45902</v>
      </c>
      <c r="D21" s="47">
        <v>45903</v>
      </c>
      <c r="E21" s="47">
        <v>45904</v>
      </c>
      <c r="F21" s="47">
        <v>45905</v>
      </c>
      <c r="G21" s="47">
        <v>45906</v>
      </c>
      <c r="H21" s="47">
        <v>45907</v>
      </c>
      <c r="I21" s="47">
        <v>45908</v>
      </c>
      <c r="J21" s="47">
        <v>45909</v>
      </c>
      <c r="K21" s="47">
        <v>45910</v>
      </c>
      <c r="L21" s="47">
        <v>45911</v>
      </c>
      <c r="M21" s="47">
        <v>45912</v>
      </c>
      <c r="N21" s="47">
        <v>45913</v>
      </c>
      <c r="O21" s="47">
        <v>45914</v>
      </c>
      <c r="P21" s="47">
        <v>45915</v>
      </c>
      <c r="Q21" s="47">
        <v>45916</v>
      </c>
      <c r="R21" s="47">
        <v>45917</v>
      </c>
    </row>
    <row r="22" spans="1:19" x14ac:dyDescent="0.2">
      <c r="B22" s="4" t="s">
        <v>463</v>
      </c>
      <c r="C22" s="4" t="s">
        <v>464</v>
      </c>
      <c r="D22" s="4" t="s">
        <v>465</v>
      </c>
      <c r="E22" s="4" t="s">
        <v>466</v>
      </c>
      <c r="F22" s="4" t="s">
        <v>467</v>
      </c>
      <c r="G22" s="4" t="s">
        <v>468</v>
      </c>
      <c r="H22" s="4" t="s">
        <v>469</v>
      </c>
      <c r="I22" s="4" t="s">
        <v>470</v>
      </c>
      <c r="J22" s="4" t="s">
        <v>471</v>
      </c>
      <c r="K22" s="4" t="s">
        <v>509</v>
      </c>
      <c r="L22" s="4" t="s">
        <v>510</v>
      </c>
      <c r="M22" s="4" t="s">
        <v>511</v>
      </c>
      <c r="N22" s="4" t="s">
        <v>512</v>
      </c>
      <c r="O22" s="4" t="s">
        <v>513</v>
      </c>
      <c r="P22" s="4" t="s">
        <v>514</v>
      </c>
      <c r="Q22" s="4" t="s">
        <v>515</v>
      </c>
      <c r="R22" s="4" t="s">
        <v>516</v>
      </c>
      <c r="S22" s="4" t="s">
        <v>517</v>
      </c>
    </row>
    <row r="23" spans="1:19" x14ac:dyDescent="0.2">
      <c r="A23" s="4" t="s">
        <v>472</v>
      </c>
      <c r="B23" s="48">
        <v>0</v>
      </c>
      <c r="C23" s="48">
        <f>'Registro de HH INC2'!D23</f>
        <v>2</v>
      </c>
      <c r="D23" s="48">
        <f>'Registro de HH INC2'!E23</f>
        <v>4</v>
      </c>
      <c r="E23" s="48">
        <f>'Registro de HH INC2'!F23</f>
        <v>8</v>
      </c>
      <c r="F23" s="48">
        <f>'Registro de HH INC2'!G23</f>
        <v>14</v>
      </c>
      <c r="G23" s="48">
        <f>'Registro de HH INC2'!H23</f>
        <v>19</v>
      </c>
      <c r="H23" s="48">
        <f>'Registro de HH INC2'!I23</f>
        <v>22</v>
      </c>
      <c r="I23" s="48">
        <f>'Registro de HH INC2'!J23</f>
        <v>33</v>
      </c>
      <c r="J23" s="48">
        <f>'Registro de HH INC2'!K23</f>
        <v>43</v>
      </c>
      <c r="K23" s="48">
        <f>'Registro de HH INC2'!L23</f>
        <v>43</v>
      </c>
      <c r="L23" s="48">
        <f>'Registro de HH INC2'!M23</f>
        <v>45</v>
      </c>
      <c r="M23" s="48">
        <f>'Registro de HH INC2'!N23</f>
        <v>51</v>
      </c>
      <c r="N23" s="48">
        <f>'Registro de HH INC2'!O23</f>
        <v>56</v>
      </c>
      <c r="O23" s="48">
        <f>'Registro de HH INC2'!P23</f>
        <v>65</v>
      </c>
      <c r="P23" s="48">
        <f>'Registro de HH INC2'!Q23</f>
        <v>73</v>
      </c>
      <c r="Q23" s="48">
        <f>'Registro de HH INC2'!R23</f>
        <v>79</v>
      </c>
      <c r="R23" s="48">
        <f>'Registro de HH INC2'!S23</f>
        <v>79</v>
      </c>
    </row>
    <row r="24" spans="1:19" x14ac:dyDescent="0.2">
      <c r="A24" s="4" t="s">
        <v>473</v>
      </c>
      <c r="B24" s="48">
        <v>0</v>
      </c>
      <c r="C24" s="48">
        <f>SUM('Aux Esfuerzo Estimado INC2 SPT2'!B3:B1000)</f>
        <v>5.8714285714285737</v>
      </c>
      <c r="D24" s="48">
        <f>SUM('Aux Esfuerzo Estimado INC2 SPT2'!C3:C1000)+C24</f>
        <v>11.742857142857147</v>
      </c>
      <c r="E24" s="48">
        <f>SUM('Aux Esfuerzo Estimado INC2 SPT2'!D3:D1000)+D24</f>
        <v>17.614285714285721</v>
      </c>
      <c r="F24" s="48">
        <f>SUM('Aux Esfuerzo Estimado INC2 SPT2'!E3:E1000)+E24</f>
        <v>21.485714285714295</v>
      </c>
      <c r="G24" s="48">
        <f>SUM('Aux Esfuerzo Estimado INC2 SPT2'!F3:F1000)+F24</f>
        <v>26.857142857142868</v>
      </c>
      <c r="H24" s="48">
        <f>SUM('Aux Esfuerzo Estimado INC2 SPT2'!G3:G1000)+G24</f>
        <v>31.761904761904773</v>
      </c>
      <c r="I24" s="48">
        <f>SUM('Aux Esfuerzo Estimado INC2 SPT2'!H3:H1000)+H24</f>
        <v>39.000000000000014</v>
      </c>
      <c r="J24" s="48">
        <f>SUM('Aux Esfuerzo Estimado INC2 SPT2'!I3:I1000)+I24</f>
        <v>42.666666666666679</v>
      </c>
      <c r="K24" s="48">
        <f>SUM('Aux Esfuerzo Estimado INC2 SPT2'!J3:J1000)+J24</f>
        <v>48.571428571428584</v>
      </c>
      <c r="L24" s="48">
        <f>SUM('Aux Esfuerzo Estimado INC2 SPT2'!K3:K1000)+K24</f>
        <v>54.142857142857153</v>
      </c>
      <c r="M24" s="48">
        <f>SUM('Aux Esfuerzo Estimado INC2 SPT2'!L3:L1000)+L24</f>
        <v>59.64761904761906</v>
      </c>
      <c r="N24" s="48">
        <f>SUM('Aux Esfuerzo Estimado INC2 SPT2'!M3:M1000)+M24</f>
        <v>63.152380952380966</v>
      </c>
      <c r="O24" s="48">
        <f>SUM('Aux Esfuerzo Estimado INC2 SPT2'!N3:N1000)+N24</f>
        <v>68.323809523809544</v>
      </c>
      <c r="P24" s="48">
        <f>SUM('Aux Esfuerzo Estimado INC2 SPT2'!O3:O1000)+O24</f>
        <v>74.661904761904779</v>
      </c>
      <c r="Q24" s="48">
        <f>SUM('Aux Esfuerzo Estimado INC2 SPT2'!P3:P1000)+P24</f>
        <v>81.000000000000014</v>
      </c>
      <c r="R24" s="48">
        <f>SUM('Aux Esfuerzo Estimado INC2 SPT2'!Q3:Q1000)+Q24</f>
        <v>81.000000000000014</v>
      </c>
      <c r="S24" s="48">
        <f>SUM('Aux Esfuerzo Estimado INC2 SPT2'!R3:R1000)+R24</f>
        <v>81.000000000000014</v>
      </c>
    </row>
    <row r="26" spans="1:19" x14ac:dyDescent="0.2">
      <c r="A26" s="4" t="s">
        <v>474</v>
      </c>
    </row>
    <row r="27" spans="1:19" x14ac:dyDescent="0.2">
      <c r="B27" s="47">
        <v>45901</v>
      </c>
      <c r="C27" s="47">
        <v>45902</v>
      </c>
      <c r="D27" s="47">
        <v>45903</v>
      </c>
      <c r="E27" s="47">
        <v>45904</v>
      </c>
      <c r="F27" s="47">
        <v>45905</v>
      </c>
      <c r="G27" s="47">
        <v>45906</v>
      </c>
      <c r="H27" s="47">
        <v>45907</v>
      </c>
      <c r="I27" s="47">
        <v>45908</v>
      </c>
      <c r="J27" s="47">
        <v>45909</v>
      </c>
      <c r="K27" s="47">
        <v>45910</v>
      </c>
      <c r="L27" s="47">
        <v>45911</v>
      </c>
      <c r="M27" s="47">
        <v>45912</v>
      </c>
      <c r="N27" s="47">
        <v>45913</v>
      </c>
      <c r="O27" s="47">
        <v>45914</v>
      </c>
      <c r="P27" s="47">
        <v>45915</v>
      </c>
      <c r="Q27" s="47">
        <v>45916</v>
      </c>
      <c r="R27" s="47">
        <v>45917</v>
      </c>
    </row>
    <row r="28" spans="1:19" x14ac:dyDescent="0.2">
      <c r="B28" s="4" t="s">
        <v>463</v>
      </c>
      <c r="C28" s="4" t="s">
        <v>464</v>
      </c>
      <c r="D28" s="4" t="s">
        <v>465</v>
      </c>
      <c r="E28" s="4" t="s">
        <v>466</v>
      </c>
      <c r="F28" s="4" t="s">
        <v>467</v>
      </c>
      <c r="G28" s="4" t="s">
        <v>468</v>
      </c>
      <c r="H28" s="4" t="s">
        <v>469</v>
      </c>
      <c r="I28" s="4" t="s">
        <v>470</v>
      </c>
      <c r="J28" s="4" t="s">
        <v>471</v>
      </c>
      <c r="K28" s="4" t="s">
        <v>509</v>
      </c>
      <c r="L28" s="4" t="s">
        <v>510</v>
      </c>
      <c r="M28" s="4" t="s">
        <v>511</v>
      </c>
      <c r="N28" s="4" t="s">
        <v>512</v>
      </c>
      <c r="O28" s="4" t="s">
        <v>513</v>
      </c>
      <c r="P28" s="4" t="s">
        <v>514</v>
      </c>
      <c r="Q28" s="4" t="s">
        <v>515</v>
      </c>
      <c r="R28" s="4" t="s">
        <v>516</v>
      </c>
      <c r="S28" s="4" t="s">
        <v>517</v>
      </c>
    </row>
    <row r="29" spans="1:19" x14ac:dyDescent="0.2">
      <c r="A29" s="4" t="s">
        <v>475</v>
      </c>
      <c r="B29" s="48">
        <f>SUM('ProductSprint Backlog'!M168:M238)</f>
        <v>79</v>
      </c>
      <c r="C29" s="48">
        <f>B29-'Registro de HH INC2'!D22</f>
        <v>77</v>
      </c>
      <c r="D29" s="48">
        <f>C29-'Registro de HH INC2'!E22</f>
        <v>75</v>
      </c>
      <c r="E29" s="48">
        <f>D29-'Registro de HH INC2'!F22</f>
        <v>71</v>
      </c>
      <c r="F29" s="48">
        <f>E29-'Registro de HH INC2'!G22</f>
        <v>65</v>
      </c>
      <c r="G29" s="48">
        <f>F29-'Registro de HH INC2'!H22</f>
        <v>60</v>
      </c>
      <c r="H29" s="48">
        <f>G29-'Registro de HH INC2'!I22</f>
        <v>57</v>
      </c>
      <c r="I29" s="48">
        <f>H29-'Registro de HH INC2'!J22</f>
        <v>46</v>
      </c>
      <c r="J29" s="48">
        <f>I29-'Registro de HH INC2'!K22</f>
        <v>36</v>
      </c>
      <c r="K29" s="48">
        <f>J29-'Registro de HH INC2'!L22</f>
        <v>36</v>
      </c>
      <c r="L29" s="48">
        <f>K29-'Registro de HH INC2'!M22</f>
        <v>34</v>
      </c>
      <c r="M29" s="48">
        <f>L29-'Registro de HH INC2'!N22</f>
        <v>28</v>
      </c>
      <c r="N29" s="48">
        <f>M29-'Registro de HH INC2'!O22</f>
        <v>23</v>
      </c>
      <c r="O29" s="48">
        <f>N29-'Registro de HH INC2'!P22</f>
        <v>14</v>
      </c>
      <c r="P29" s="48">
        <f>O29-'Registro de HH INC2'!Q22</f>
        <v>6</v>
      </c>
      <c r="Q29" s="48">
        <f>P29-'Registro de HH INC2'!R22</f>
        <v>0</v>
      </c>
      <c r="R29" s="48">
        <f>Q29-'Registro de HH INC2'!S22</f>
        <v>0</v>
      </c>
      <c r="S29" s="48">
        <f>R29-'Registro de HH INC2'!T22</f>
        <v>0</v>
      </c>
    </row>
    <row r="30" spans="1:19" x14ac:dyDescent="0.2">
      <c r="A30" s="4" t="s">
        <v>476</v>
      </c>
      <c r="B30" s="48">
        <f>SUM('ProductSprint Backlog'!F168:F238)</f>
        <v>81</v>
      </c>
      <c r="C30" s="48">
        <f>B30-SUM('Aux Esfuerzo Estimado INC2 SPT2'!B3:B1000)</f>
        <v>75.128571428571433</v>
      </c>
      <c r="D30" s="48">
        <f>C30-SUM('Aux Esfuerzo Estimado INC2 SPT2'!C3:C1000)</f>
        <v>69.257142857142867</v>
      </c>
      <c r="E30" s="48">
        <f>D30-SUM('Aux Esfuerzo Estimado INC2 SPT2'!D3:D1000)</f>
        <v>63.385714285714293</v>
      </c>
      <c r="F30" s="48">
        <f>E30-SUM('Aux Esfuerzo Estimado INC2 SPT2'!E3:E1000)</f>
        <v>59.51428571428572</v>
      </c>
      <c r="G30" s="48">
        <f>F30-SUM('Aux Esfuerzo Estimado INC2 SPT2'!F3:F1000)</f>
        <v>54.142857142857146</v>
      </c>
      <c r="H30" s="48">
        <f>G30-SUM('Aux Esfuerzo Estimado INC2 SPT2'!G3:G1000)</f>
        <v>49.238095238095241</v>
      </c>
      <c r="I30" s="48">
        <f>H30-SUM('Aux Esfuerzo Estimado INC2 SPT2'!H3:H1000)</f>
        <v>42</v>
      </c>
      <c r="J30" s="48">
        <f>I30-SUM('Aux Esfuerzo Estimado INC2 SPT2'!I3:I1000)</f>
        <v>38.333333333333336</v>
      </c>
      <c r="K30" s="48">
        <f>J30-SUM('Aux Esfuerzo Estimado INC2 SPT2'!J3:J1000)</f>
        <v>32.428571428571431</v>
      </c>
      <c r="L30" s="48">
        <f>K30-SUM('Aux Esfuerzo Estimado INC2 SPT2'!K3:K1000)</f>
        <v>26.857142857142858</v>
      </c>
      <c r="M30" s="48">
        <f>L30-SUM('Aux Esfuerzo Estimado INC2 SPT2'!L3:L1000)</f>
        <v>21.352380952380951</v>
      </c>
      <c r="N30" s="48">
        <f>M30-SUM('Aux Esfuerzo Estimado INC2 SPT2'!M3:M1000)</f>
        <v>17.847619047619045</v>
      </c>
      <c r="O30" s="48">
        <f>N30-SUM('Aux Esfuerzo Estimado INC2 SPT2'!N3:N1000)</f>
        <v>12.67619047619047</v>
      </c>
      <c r="P30" s="48">
        <f>O30-SUM('Aux Esfuerzo Estimado INC2 SPT2'!O3:O1000)</f>
        <v>6.3380952380952298</v>
      </c>
      <c r="Q30" s="48">
        <f>P30-SUM('Aux Esfuerzo Estimado INC2 SPT2'!P3:P1000)</f>
        <v>-1.0658141036401503E-14</v>
      </c>
      <c r="R30" s="48">
        <f>Q30-SUM('Aux Esfuerzo Estimado INC2 SPT2'!Q3:Q1000)</f>
        <v>-1.0658141036401503E-14</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W23"/>
  <sheetViews>
    <sheetView workbookViewId="0"/>
  </sheetViews>
  <sheetFormatPr baseColWidth="10" defaultColWidth="12.5703125" defaultRowHeight="15.75" customHeight="1" x14ac:dyDescent="0.2"/>
  <cols>
    <col min="2" max="16" width="9.28515625" customWidth="1"/>
    <col min="17" max="19" width="8.5703125" customWidth="1"/>
    <col min="20" max="23" width="8.42578125" customWidth="1"/>
  </cols>
  <sheetData>
    <row r="1" spans="1:23" x14ac:dyDescent="0.2">
      <c r="A1" s="4" t="s">
        <v>477</v>
      </c>
    </row>
    <row r="2" spans="1:23" x14ac:dyDescent="0.2">
      <c r="B2" s="4" t="s">
        <v>478</v>
      </c>
      <c r="C2" s="4" t="s">
        <v>479</v>
      </c>
      <c r="D2" s="4" t="s">
        <v>480</v>
      </c>
      <c r="E2" s="4" t="s">
        <v>481</v>
      </c>
      <c r="F2" s="4" t="s">
        <v>482</v>
      </c>
      <c r="G2" s="4" t="s">
        <v>483</v>
      </c>
      <c r="H2" s="4" t="s">
        <v>484</v>
      </c>
      <c r="I2" s="4" t="s">
        <v>485</v>
      </c>
      <c r="J2" s="4" t="s">
        <v>486</v>
      </c>
      <c r="K2" s="4" t="s">
        <v>487</v>
      </c>
      <c r="L2" s="4" t="s">
        <v>502</v>
      </c>
      <c r="M2" s="4" t="s">
        <v>503</v>
      </c>
      <c r="N2" s="4" t="s">
        <v>504</v>
      </c>
      <c r="O2" s="4" t="s">
        <v>505</v>
      </c>
      <c r="P2" s="4" t="s">
        <v>506</v>
      </c>
      <c r="Q2" s="4" t="s">
        <v>507</v>
      </c>
      <c r="R2" s="4" t="s">
        <v>508</v>
      </c>
      <c r="S2" s="4" t="s">
        <v>519</v>
      </c>
    </row>
    <row r="3" spans="1:23" x14ac:dyDescent="0.2">
      <c r="A3" s="4" t="s">
        <v>488</v>
      </c>
      <c r="B3" s="42">
        <v>45875</v>
      </c>
      <c r="C3" s="42">
        <v>45876</v>
      </c>
      <c r="D3" s="42">
        <v>45877</v>
      </c>
      <c r="E3" s="42">
        <v>45878</v>
      </c>
      <c r="F3" s="42">
        <v>45879</v>
      </c>
      <c r="G3" s="42">
        <v>45880</v>
      </c>
      <c r="H3" s="42">
        <v>45881</v>
      </c>
      <c r="I3" s="42">
        <v>45882</v>
      </c>
      <c r="J3" s="42">
        <v>45883</v>
      </c>
      <c r="K3" s="42">
        <v>45884</v>
      </c>
      <c r="L3" s="42">
        <v>45885</v>
      </c>
      <c r="M3" s="42">
        <v>45886</v>
      </c>
      <c r="N3" s="42">
        <v>45887</v>
      </c>
      <c r="O3" s="42">
        <v>45888</v>
      </c>
      <c r="P3" s="42">
        <v>45889</v>
      </c>
      <c r="Q3" s="42">
        <v>45890</v>
      </c>
      <c r="R3" s="42">
        <v>45891</v>
      </c>
      <c r="S3" s="42">
        <v>45892</v>
      </c>
      <c r="T3" s="42">
        <v>45893</v>
      </c>
      <c r="U3" s="42">
        <v>45894</v>
      </c>
      <c r="V3" s="42">
        <v>45895</v>
      </c>
      <c r="W3" s="42">
        <v>45896</v>
      </c>
    </row>
    <row r="4" spans="1:23" x14ac:dyDescent="0.2">
      <c r="A4" s="4" t="s">
        <v>489</v>
      </c>
      <c r="D4" s="4">
        <v>1</v>
      </c>
      <c r="G4" s="4">
        <v>4</v>
      </c>
      <c r="H4" s="4">
        <v>3</v>
      </c>
      <c r="I4" s="4">
        <v>4</v>
      </c>
      <c r="J4" s="4">
        <v>3</v>
      </c>
      <c r="K4" s="4">
        <v>1</v>
      </c>
    </row>
    <row r="5" spans="1:23" x14ac:dyDescent="0.2">
      <c r="A5" s="4" t="s">
        <v>490</v>
      </c>
      <c r="B5" s="4"/>
      <c r="C5" s="4">
        <v>2</v>
      </c>
      <c r="G5" s="4">
        <v>3</v>
      </c>
      <c r="K5" s="4">
        <v>1</v>
      </c>
    </row>
    <row r="6" spans="1:23" x14ac:dyDescent="0.2">
      <c r="A6" s="4" t="s">
        <v>491</v>
      </c>
      <c r="B6" s="4"/>
      <c r="C6" s="4">
        <v>2</v>
      </c>
      <c r="D6" s="4">
        <v>5</v>
      </c>
      <c r="E6" s="4">
        <v>3</v>
      </c>
      <c r="S6" s="4">
        <v>4</v>
      </c>
    </row>
    <row r="7" spans="1:23" x14ac:dyDescent="0.2">
      <c r="A7" s="4" t="s">
        <v>492</v>
      </c>
      <c r="D7" s="4">
        <v>1</v>
      </c>
      <c r="G7" s="4">
        <v>4</v>
      </c>
      <c r="H7" s="4">
        <v>3</v>
      </c>
      <c r="I7" s="4">
        <v>4</v>
      </c>
      <c r="J7" s="4">
        <v>3</v>
      </c>
      <c r="K7" s="4">
        <v>1</v>
      </c>
    </row>
    <row r="8" spans="1:23" x14ac:dyDescent="0.2">
      <c r="A8" s="4" t="s">
        <v>493</v>
      </c>
      <c r="H8" s="4">
        <v>2</v>
      </c>
      <c r="I8" s="4">
        <v>1</v>
      </c>
      <c r="K8" s="4">
        <v>2</v>
      </c>
      <c r="M8" s="4">
        <v>3</v>
      </c>
      <c r="N8" s="4">
        <v>2</v>
      </c>
      <c r="O8" s="4">
        <v>2</v>
      </c>
    </row>
    <row r="9" spans="1:23" x14ac:dyDescent="0.2">
      <c r="A9" s="4" t="s">
        <v>494</v>
      </c>
      <c r="N9" s="4">
        <v>2</v>
      </c>
      <c r="O9" s="4">
        <v>2</v>
      </c>
      <c r="P9" s="4">
        <v>3</v>
      </c>
      <c r="Q9" s="4">
        <v>3</v>
      </c>
    </row>
    <row r="10" spans="1:23" x14ac:dyDescent="0.2">
      <c r="A10" s="4" t="s">
        <v>495</v>
      </c>
      <c r="C10" s="4">
        <f t="shared" ref="C10:S10" si="0">SUM(C4:C9)</f>
        <v>4</v>
      </c>
      <c r="D10" s="4">
        <f t="shared" si="0"/>
        <v>7</v>
      </c>
      <c r="E10" s="4">
        <f t="shared" si="0"/>
        <v>3</v>
      </c>
      <c r="F10" s="4">
        <f t="shared" si="0"/>
        <v>0</v>
      </c>
      <c r="G10" s="4">
        <f t="shared" si="0"/>
        <v>11</v>
      </c>
      <c r="H10" s="4">
        <f t="shared" si="0"/>
        <v>8</v>
      </c>
      <c r="I10" s="4">
        <f t="shared" si="0"/>
        <v>9</v>
      </c>
      <c r="J10" s="4">
        <f t="shared" si="0"/>
        <v>6</v>
      </c>
      <c r="K10" s="4">
        <f t="shared" si="0"/>
        <v>5</v>
      </c>
      <c r="L10" s="4">
        <f t="shared" si="0"/>
        <v>0</v>
      </c>
      <c r="M10" s="4">
        <f t="shared" si="0"/>
        <v>3</v>
      </c>
      <c r="N10" s="4">
        <f t="shared" si="0"/>
        <v>4</v>
      </c>
      <c r="O10" s="4">
        <f t="shared" si="0"/>
        <v>4</v>
      </c>
      <c r="P10" s="4">
        <f t="shared" si="0"/>
        <v>3</v>
      </c>
      <c r="Q10" s="4">
        <f t="shared" si="0"/>
        <v>3</v>
      </c>
      <c r="R10" s="4">
        <f t="shared" si="0"/>
        <v>0</v>
      </c>
      <c r="S10" s="4">
        <f t="shared" si="0"/>
        <v>4</v>
      </c>
    </row>
    <row r="11" spans="1:23" x14ac:dyDescent="0.2">
      <c r="A11" s="4" t="s">
        <v>496</v>
      </c>
      <c r="B11" s="4">
        <f>SUM(B4:B9)</f>
        <v>0</v>
      </c>
      <c r="C11" s="4">
        <f t="shared" ref="C11:S11" si="1">SUM(C4:C9)+B11</f>
        <v>4</v>
      </c>
      <c r="D11" s="4">
        <f t="shared" si="1"/>
        <v>11</v>
      </c>
      <c r="E11" s="4">
        <f t="shared" si="1"/>
        <v>14</v>
      </c>
      <c r="F11" s="4">
        <f t="shared" si="1"/>
        <v>14</v>
      </c>
      <c r="G11" s="4">
        <f t="shared" si="1"/>
        <v>25</v>
      </c>
      <c r="H11" s="4">
        <f t="shared" si="1"/>
        <v>33</v>
      </c>
      <c r="I11" s="4">
        <f t="shared" si="1"/>
        <v>42</v>
      </c>
      <c r="J11" s="4">
        <f t="shared" si="1"/>
        <v>48</v>
      </c>
      <c r="K11" s="4">
        <f t="shared" si="1"/>
        <v>53</v>
      </c>
      <c r="L11" s="4">
        <f t="shared" si="1"/>
        <v>53</v>
      </c>
      <c r="M11" s="4">
        <f t="shared" si="1"/>
        <v>56</v>
      </c>
      <c r="N11" s="4">
        <f t="shared" si="1"/>
        <v>60</v>
      </c>
      <c r="O11" s="4">
        <f t="shared" si="1"/>
        <v>64</v>
      </c>
      <c r="P11" s="4">
        <f t="shared" si="1"/>
        <v>67</v>
      </c>
      <c r="Q11" s="4">
        <f t="shared" si="1"/>
        <v>70</v>
      </c>
      <c r="R11" s="4">
        <f t="shared" si="1"/>
        <v>70</v>
      </c>
      <c r="S11" s="4">
        <f t="shared" si="1"/>
        <v>74</v>
      </c>
    </row>
    <row r="13" spans="1:23" x14ac:dyDescent="0.2">
      <c r="A13" s="4" t="s">
        <v>520</v>
      </c>
    </row>
    <row r="14" spans="1:23" x14ac:dyDescent="0.2">
      <c r="C14" s="4" t="s">
        <v>479</v>
      </c>
      <c r="D14" s="4" t="s">
        <v>480</v>
      </c>
      <c r="E14" s="4" t="s">
        <v>481</v>
      </c>
      <c r="F14" s="4" t="s">
        <v>482</v>
      </c>
      <c r="G14" s="4" t="s">
        <v>483</v>
      </c>
      <c r="H14" s="4" t="s">
        <v>484</v>
      </c>
      <c r="I14" s="4" t="s">
        <v>485</v>
      </c>
      <c r="J14" s="4" t="s">
        <v>486</v>
      </c>
      <c r="K14" s="4" t="s">
        <v>487</v>
      </c>
      <c r="L14" s="4" t="s">
        <v>502</v>
      </c>
      <c r="M14" s="4" t="s">
        <v>503</v>
      </c>
      <c r="N14" s="4" t="s">
        <v>504</v>
      </c>
      <c r="O14" s="4" t="s">
        <v>505</v>
      </c>
      <c r="P14" s="4" t="s">
        <v>506</v>
      </c>
      <c r="Q14" s="4" t="s">
        <v>507</v>
      </c>
      <c r="R14" s="4" t="s">
        <v>508</v>
      </c>
      <c r="S14" s="4" t="s">
        <v>519</v>
      </c>
      <c r="T14" s="4" t="s">
        <v>521</v>
      </c>
    </row>
    <row r="15" spans="1:23" x14ac:dyDescent="0.2">
      <c r="A15" s="4" t="s">
        <v>488</v>
      </c>
      <c r="B15" s="42"/>
      <c r="C15" s="42">
        <v>45901</v>
      </c>
      <c r="D15" s="42">
        <v>45902</v>
      </c>
      <c r="E15" s="42">
        <v>45903</v>
      </c>
      <c r="F15" s="42">
        <v>45904</v>
      </c>
      <c r="G15" s="42">
        <v>45905</v>
      </c>
      <c r="H15" s="42">
        <v>45906</v>
      </c>
      <c r="I15" s="42">
        <v>45907</v>
      </c>
      <c r="J15" s="42">
        <v>45908</v>
      </c>
      <c r="K15" s="42">
        <v>45909</v>
      </c>
      <c r="L15" s="42">
        <v>45910</v>
      </c>
      <c r="M15" s="42">
        <v>45911</v>
      </c>
      <c r="N15" s="42">
        <v>45912</v>
      </c>
      <c r="O15" s="42">
        <v>45913</v>
      </c>
      <c r="P15" s="42">
        <v>45914</v>
      </c>
      <c r="Q15" s="42">
        <v>45915</v>
      </c>
      <c r="R15" s="42">
        <v>45916</v>
      </c>
      <c r="S15" s="42">
        <v>45917</v>
      </c>
      <c r="T15" s="42">
        <v>45918</v>
      </c>
      <c r="U15" s="42">
        <v>45919</v>
      </c>
    </row>
    <row r="16" spans="1:23" x14ac:dyDescent="0.2">
      <c r="A16" s="4" t="s">
        <v>489</v>
      </c>
      <c r="C16" s="4">
        <v>0</v>
      </c>
      <c r="H16" s="4">
        <v>5</v>
      </c>
      <c r="J16" s="4">
        <v>3</v>
      </c>
      <c r="K16" s="4">
        <v>2</v>
      </c>
      <c r="N16" s="4">
        <v>3</v>
      </c>
      <c r="P16" s="4">
        <v>4</v>
      </c>
    </row>
    <row r="17" spans="1:20" x14ac:dyDescent="0.2">
      <c r="A17" s="4" t="s">
        <v>490</v>
      </c>
      <c r="C17" s="4"/>
      <c r="F17" s="4">
        <v>1</v>
      </c>
      <c r="G17" s="4">
        <v>3</v>
      </c>
      <c r="K17" s="4">
        <v>5</v>
      </c>
      <c r="O17" s="4">
        <v>3</v>
      </c>
    </row>
    <row r="18" spans="1:20" x14ac:dyDescent="0.2">
      <c r="A18" s="4" t="s">
        <v>491</v>
      </c>
      <c r="J18" s="4">
        <v>8</v>
      </c>
      <c r="Q18" s="4">
        <v>6</v>
      </c>
      <c r="R18" s="4">
        <v>5</v>
      </c>
    </row>
    <row r="19" spans="1:20" x14ac:dyDescent="0.2">
      <c r="A19" s="4" t="s">
        <v>492</v>
      </c>
      <c r="C19" s="4"/>
      <c r="D19" s="4">
        <v>2</v>
      </c>
      <c r="E19" s="4">
        <v>2</v>
      </c>
      <c r="F19" s="4">
        <v>3</v>
      </c>
      <c r="G19" s="4">
        <v>3</v>
      </c>
      <c r="I19" s="4">
        <v>3</v>
      </c>
      <c r="K19" s="4">
        <v>3</v>
      </c>
      <c r="M19" s="4">
        <v>2</v>
      </c>
      <c r="P19" s="4">
        <v>2</v>
      </c>
    </row>
    <row r="20" spans="1:20" x14ac:dyDescent="0.2">
      <c r="A20" s="4" t="s">
        <v>493</v>
      </c>
      <c r="N20" s="4">
        <v>3</v>
      </c>
      <c r="O20" s="4">
        <v>2</v>
      </c>
      <c r="P20" s="4">
        <v>3</v>
      </c>
      <c r="Q20" s="4">
        <v>2</v>
      </c>
      <c r="R20" s="4">
        <v>1</v>
      </c>
    </row>
    <row r="21" spans="1:20" x14ac:dyDescent="0.2">
      <c r="A21" s="4" t="s">
        <v>494</v>
      </c>
    </row>
    <row r="22" spans="1:20" x14ac:dyDescent="0.2">
      <c r="A22" s="4" t="s">
        <v>495</v>
      </c>
      <c r="D22" s="4">
        <f t="shared" ref="D22:T22" si="2">SUM(D16:D21)</f>
        <v>2</v>
      </c>
      <c r="E22" s="4">
        <f t="shared" si="2"/>
        <v>2</v>
      </c>
      <c r="F22" s="4">
        <f t="shared" si="2"/>
        <v>4</v>
      </c>
      <c r="G22" s="4">
        <f t="shared" si="2"/>
        <v>6</v>
      </c>
      <c r="H22" s="4">
        <f t="shared" si="2"/>
        <v>5</v>
      </c>
      <c r="I22" s="4">
        <f t="shared" si="2"/>
        <v>3</v>
      </c>
      <c r="J22" s="4">
        <f t="shared" si="2"/>
        <v>11</v>
      </c>
      <c r="K22" s="4">
        <f t="shared" si="2"/>
        <v>10</v>
      </c>
      <c r="L22" s="4">
        <f t="shared" si="2"/>
        <v>0</v>
      </c>
      <c r="M22" s="4">
        <f t="shared" si="2"/>
        <v>2</v>
      </c>
      <c r="N22" s="4">
        <f t="shared" si="2"/>
        <v>6</v>
      </c>
      <c r="O22" s="4">
        <f t="shared" si="2"/>
        <v>5</v>
      </c>
      <c r="P22" s="4">
        <f t="shared" si="2"/>
        <v>9</v>
      </c>
      <c r="Q22" s="4">
        <f t="shared" si="2"/>
        <v>8</v>
      </c>
      <c r="R22" s="4">
        <f t="shared" si="2"/>
        <v>6</v>
      </c>
      <c r="S22" s="4">
        <f t="shared" si="2"/>
        <v>0</v>
      </c>
      <c r="T22" s="4">
        <f t="shared" si="2"/>
        <v>0</v>
      </c>
    </row>
    <row r="23" spans="1:20" x14ac:dyDescent="0.2">
      <c r="A23" s="4" t="s">
        <v>496</v>
      </c>
      <c r="C23" s="4">
        <f>SUM(C16:C21)</f>
        <v>0</v>
      </c>
      <c r="D23" s="4">
        <f>SUM(D16:D21)+B23</f>
        <v>2</v>
      </c>
      <c r="E23" s="4">
        <f t="shared" ref="E23:T23" si="3">SUM(E16:E21)+D23</f>
        <v>4</v>
      </c>
      <c r="F23" s="4">
        <f t="shared" si="3"/>
        <v>8</v>
      </c>
      <c r="G23" s="4">
        <f t="shared" si="3"/>
        <v>14</v>
      </c>
      <c r="H23" s="4">
        <f t="shared" si="3"/>
        <v>19</v>
      </c>
      <c r="I23" s="4">
        <f t="shared" si="3"/>
        <v>22</v>
      </c>
      <c r="J23" s="4">
        <f t="shared" si="3"/>
        <v>33</v>
      </c>
      <c r="K23" s="4">
        <f t="shared" si="3"/>
        <v>43</v>
      </c>
      <c r="L23" s="4">
        <f t="shared" si="3"/>
        <v>43</v>
      </c>
      <c r="M23" s="4">
        <f t="shared" si="3"/>
        <v>45</v>
      </c>
      <c r="N23" s="4">
        <f t="shared" si="3"/>
        <v>51</v>
      </c>
      <c r="O23" s="4">
        <f t="shared" si="3"/>
        <v>56</v>
      </c>
      <c r="P23" s="4">
        <f t="shared" si="3"/>
        <v>65</v>
      </c>
      <c r="Q23" s="4">
        <f t="shared" si="3"/>
        <v>73</v>
      </c>
      <c r="R23" s="4">
        <f t="shared" si="3"/>
        <v>79</v>
      </c>
      <c r="S23" s="4">
        <f t="shared" si="3"/>
        <v>79</v>
      </c>
      <c r="T23" s="4">
        <f t="shared" si="3"/>
        <v>79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P109"/>
  <sheetViews>
    <sheetView workbookViewId="0"/>
  </sheetViews>
  <sheetFormatPr baseColWidth="10" defaultColWidth="12.5703125" defaultRowHeight="15.75" customHeight="1" x14ac:dyDescent="0.2"/>
  <cols>
    <col min="1" max="1" width="43.7109375" customWidth="1"/>
    <col min="2" max="15" width="8.42578125" customWidth="1"/>
  </cols>
  <sheetData>
    <row r="1" spans="1:16" ht="4.5" customHeight="1" x14ac:dyDescent="0.2">
      <c r="B1" s="31"/>
      <c r="C1" s="31"/>
      <c r="D1" s="31"/>
      <c r="E1" s="31"/>
      <c r="F1" s="31"/>
      <c r="G1" s="31"/>
      <c r="H1" s="31"/>
      <c r="I1" s="31"/>
      <c r="J1" s="31"/>
      <c r="K1" s="31"/>
      <c r="L1" s="31"/>
      <c r="M1" s="31"/>
      <c r="N1" s="31"/>
      <c r="O1" s="31"/>
    </row>
    <row r="2" spans="1:16" ht="36" customHeight="1" x14ac:dyDescent="0.2">
      <c r="B2" s="49">
        <v>45901</v>
      </c>
      <c r="C2" s="49">
        <v>45902</v>
      </c>
      <c r="D2" s="49">
        <v>45903</v>
      </c>
      <c r="E2" s="49">
        <v>45904</v>
      </c>
      <c r="F2" s="49">
        <v>45905</v>
      </c>
      <c r="G2" s="49">
        <v>45906</v>
      </c>
      <c r="H2" s="49">
        <v>45907</v>
      </c>
      <c r="I2" s="49">
        <v>45908</v>
      </c>
      <c r="J2" s="49">
        <v>45909</v>
      </c>
      <c r="K2" s="49">
        <v>45910</v>
      </c>
      <c r="L2" s="49">
        <v>45911</v>
      </c>
      <c r="M2" s="49">
        <v>45912</v>
      </c>
      <c r="N2" s="49">
        <v>45913</v>
      </c>
      <c r="O2" s="49">
        <v>45914</v>
      </c>
      <c r="P2" s="49">
        <v>45915</v>
      </c>
    </row>
    <row r="3" spans="1:16" ht="12.75" x14ac:dyDescent="0.2">
      <c r="A3" s="50" t="s">
        <v>497</v>
      </c>
      <c r="B3" s="51">
        <f>COUNTIFS('ProductSprint Backlog'!$D$168:$D$238,"&lt;&gt;",'ProductSprint Backlog'!$L$168:$L$238,"&gt;"&amp;DATEVALUE(B2))</f>
        <v>0</v>
      </c>
      <c r="C3" s="51">
        <f>COUNTIFS('ProductSprint Backlog'!$D$168:$D$238,"&lt;&gt;",'ProductSprint Backlog'!$L$168:$L$238,"&gt;"&amp;DATEVALUE(C2))</f>
        <v>0</v>
      </c>
      <c r="D3" s="51">
        <f>COUNTIFS('ProductSprint Backlog'!$D$168:$D$238,"&lt;&gt;",'ProductSprint Backlog'!$L$168:$L$238,"&gt;"&amp;DATEVALUE(D2))</f>
        <v>0</v>
      </c>
      <c r="E3" s="51">
        <f>COUNTIFS('ProductSprint Backlog'!$D$168:$D$238,"&lt;&gt;",'ProductSprint Backlog'!$L$168:$L$238,"&gt;"&amp;DATEVALUE(E2))</f>
        <v>0</v>
      </c>
      <c r="F3" s="51">
        <f>COUNTIFS('ProductSprint Backlog'!$D$168:$D$238,"&lt;&gt;",'ProductSprint Backlog'!$L$168:$L$238,"&gt;"&amp;DATEVALUE(F2))</f>
        <v>0</v>
      </c>
      <c r="G3" s="51">
        <f>COUNTIFS('ProductSprint Backlog'!$D$168:$D$238,"&lt;&gt;",'ProductSprint Backlog'!$L$168:$L$238,"&gt;"&amp;DATEVALUE(G2))</f>
        <v>0</v>
      </c>
      <c r="H3" s="51">
        <f>COUNTIFS('ProductSprint Backlog'!$D$168:$D$238,"&lt;&gt;",'ProductSprint Backlog'!$L$168:$L$238,"&gt;"&amp;DATEVALUE(H2))</f>
        <v>0</v>
      </c>
      <c r="I3" s="51">
        <f>COUNTIFS('ProductSprint Backlog'!$D$168:$D$238,"&lt;&gt;",'ProductSprint Backlog'!$L$168:$L$238,"&gt;"&amp;DATEVALUE(I2))</f>
        <v>0</v>
      </c>
      <c r="J3" s="51">
        <f>COUNTIFS('ProductSprint Backlog'!$D$168:$D$238,"&lt;&gt;",'ProductSprint Backlog'!$L$168:$L$238,"&gt;"&amp;DATEVALUE(J2))</f>
        <v>0</v>
      </c>
      <c r="K3" s="51">
        <f>COUNTIFS('ProductSprint Backlog'!$D$168:$D$238,"&lt;&gt;",'ProductSprint Backlog'!$L$168:$L$238,"&gt;"&amp;DATEVALUE(K2))</f>
        <v>0</v>
      </c>
      <c r="L3" s="51">
        <f>COUNTIFS('ProductSprint Backlog'!$D$168:$D$238,"&lt;&gt;",'ProductSprint Backlog'!$L$168:$L$238,"&gt;"&amp;DATEVALUE(L2))</f>
        <v>0</v>
      </c>
      <c r="M3" s="51">
        <f>COUNTIFS('ProductSprint Backlog'!$D$168:$D$238,"&lt;&gt;",'ProductSprint Backlog'!$L$168:$L$238,"&gt;"&amp;DATEVALUE(M2))</f>
        <v>0</v>
      </c>
      <c r="N3" s="51">
        <f>COUNTIFS('ProductSprint Backlog'!$D$168:$D$238,"&lt;&gt;",'ProductSprint Backlog'!$L$168:$L$238,"&gt;"&amp;DATEVALUE(N2))</f>
        <v>0</v>
      </c>
      <c r="O3" s="51">
        <f>COUNTIFS('ProductSprint Backlog'!$D$168:$D$238,"&lt;&gt;",'ProductSprint Backlog'!$L$168:$L$238,"&gt;"&amp;DATEVALUE(O2))</f>
        <v>0</v>
      </c>
      <c r="P3" s="51">
        <f>COUNTIFS('ProductSprint Backlog'!$D$168:$D$238,"&lt;&gt;",'ProductSprint Backlog'!$L$168:$L$238,"&gt;"&amp;DATEVALUE(P2))</f>
        <v>0</v>
      </c>
    </row>
    <row r="4" spans="1:16" ht="15.75" customHeight="1" x14ac:dyDescent="0.2">
      <c r="A4" s="61"/>
      <c r="B4" s="61"/>
      <c r="C4" s="61"/>
      <c r="D4" s="61"/>
      <c r="E4" s="61"/>
      <c r="F4" s="61"/>
      <c r="G4" s="61"/>
      <c r="H4" s="61"/>
      <c r="I4" s="61"/>
      <c r="J4" s="61"/>
      <c r="K4" s="61"/>
      <c r="L4" s="61"/>
      <c r="M4" s="61"/>
      <c r="N4" s="61"/>
      <c r="O4" s="61"/>
    </row>
    <row r="5" spans="1:16" ht="15.75" customHeight="1" x14ac:dyDescent="0.2">
      <c r="A5" s="61"/>
      <c r="B5" s="61"/>
      <c r="C5" s="61"/>
      <c r="D5" s="61"/>
      <c r="E5" s="61"/>
      <c r="F5" s="61"/>
      <c r="G5" s="61"/>
      <c r="H5" s="61"/>
      <c r="I5" s="61"/>
      <c r="J5" s="61"/>
      <c r="K5" s="61"/>
      <c r="L5" s="61"/>
      <c r="M5" s="61"/>
      <c r="N5" s="61"/>
      <c r="O5" s="61"/>
    </row>
    <row r="6" spans="1:16" ht="12.75" x14ac:dyDescent="0.2">
      <c r="A6" s="50" t="s">
        <v>498</v>
      </c>
      <c r="B6" s="70" t="s">
        <v>499</v>
      </c>
      <c r="C6" s="71"/>
      <c r="D6" s="71"/>
      <c r="E6" s="71"/>
      <c r="F6" s="71"/>
      <c r="G6" s="71"/>
      <c r="H6" s="71"/>
      <c r="I6" s="71"/>
      <c r="J6" s="71"/>
      <c r="K6" s="71"/>
      <c r="L6" s="71"/>
      <c r="M6" s="71"/>
      <c r="N6" s="71"/>
      <c r="O6" s="71"/>
      <c r="P6" s="72"/>
    </row>
    <row r="7" spans="1:16" ht="38.25" x14ac:dyDescent="0.2">
      <c r="A7" s="17" t="s">
        <v>247</v>
      </c>
      <c r="B7" s="51">
        <f>IF('ProductSprint Backlog'!$L168&gt;B$2,'ProductSprint Backlog'!$M168,0)</f>
        <v>1</v>
      </c>
      <c r="C7" s="51">
        <f>IF('ProductSprint Backlog'!$L168&gt;C$2,'ProductSprint Backlog'!$M168,0)</f>
        <v>0</v>
      </c>
      <c r="D7" s="51">
        <f>IF('ProductSprint Backlog'!$L168&gt;D$2,'ProductSprint Backlog'!$M168,0)</f>
        <v>0</v>
      </c>
      <c r="E7" s="51">
        <f>IF('ProductSprint Backlog'!$L168&gt;E$2,'ProductSprint Backlog'!$M168,0)</f>
        <v>0</v>
      </c>
      <c r="F7" s="51">
        <f>IF('ProductSprint Backlog'!$L168&gt;F$2,'ProductSprint Backlog'!$M168,0)</f>
        <v>0</v>
      </c>
      <c r="G7" s="51">
        <f>IF('ProductSprint Backlog'!$L168&gt;G$2,'ProductSprint Backlog'!$M168,0)</f>
        <v>0</v>
      </c>
      <c r="H7" s="51">
        <f>IF('ProductSprint Backlog'!$L168&gt;H$2,'ProductSprint Backlog'!$M168,0)</f>
        <v>0</v>
      </c>
      <c r="I7" s="51">
        <f>IF('ProductSprint Backlog'!$L168&gt;I$2,'ProductSprint Backlog'!$M168,0)</f>
        <v>0</v>
      </c>
      <c r="J7" s="51">
        <f>IF('ProductSprint Backlog'!$L168&gt;J$2,'ProductSprint Backlog'!$M168,0)</f>
        <v>0</v>
      </c>
      <c r="K7" s="51">
        <f>IF('ProductSprint Backlog'!$L168&gt;K$2,'ProductSprint Backlog'!$M168,0)</f>
        <v>0</v>
      </c>
      <c r="L7" s="51">
        <f>IF('ProductSprint Backlog'!$L168&gt;L$2,'ProductSprint Backlog'!$M168,0)</f>
        <v>0</v>
      </c>
      <c r="M7" s="51">
        <f>IF('ProductSprint Backlog'!$L168&gt;M$2,'ProductSprint Backlog'!$M168,0)</f>
        <v>0</v>
      </c>
      <c r="N7" s="51">
        <f>IF('ProductSprint Backlog'!$L168&gt;N$2,'ProductSprint Backlog'!$M168,0)</f>
        <v>0</v>
      </c>
      <c r="O7" s="51">
        <f>IF('ProductSprint Backlog'!$L168&gt;O$2,'ProductSprint Backlog'!$M168,0)</f>
        <v>0</v>
      </c>
      <c r="P7" s="51">
        <f>IF('ProductSprint Backlog'!$L168&gt;P$2,'ProductSprint Backlog'!$M168,0)</f>
        <v>0</v>
      </c>
    </row>
    <row r="8" spans="1:16" ht="25.5" x14ac:dyDescent="0.2">
      <c r="A8" s="17" t="s">
        <v>249</v>
      </c>
      <c r="B8" s="51">
        <f>IF('ProductSprint Backlog'!$L169&gt;B$2,'ProductSprint Backlog'!$M169,0)</f>
        <v>1</v>
      </c>
      <c r="C8" s="51">
        <f>IF('ProductSprint Backlog'!$L169&gt;C$2,'ProductSprint Backlog'!$M169,0)</f>
        <v>0</v>
      </c>
      <c r="D8" s="51">
        <f>IF('ProductSprint Backlog'!$L169&gt;D$2,'ProductSprint Backlog'!$M169,0)</f>
        <v>0</v>
      </c>
      <c r="E8" s="51">
        <f>IF('ProductSprint Backlog'!$L169&gt;E$2,'ProductSprint Backlog'!$M169,0)</f>
        <v>0</v>
      </c>
      <c r="F8" s="51">
        <f>IF('ProductSprint Backlog'!$L169&gt;F$2,'ProductSprint Backlog'!$M169,0)</f>
        <v>0</v>
      </c>
      <c r="G8" s="51">
        <f>IF('ProductSprint Backlog'!$L169&gt;G$2,'ProductSprint Backlog'!$M169,0)</f>
        <v>0</v>
      </c>
      <c r="H8" s="51">
        <f>IF('ProductSprint Backlog'!$L169&gt;H$2,'ProductSprint Backlog'!$M169,0)</f>
        <v>0</v>
      </c>
      <c r="I8" s="51">
        <f>IF('ProductSprint Backlog'!$L169&gt;I$2,'ProductSprint Backlog'!$M169,0)</f>
        <v>0</v>
      </c>
      <c r="J8" s="51">
        <f>IF('ProductSprint Backlog'!$L169&gt;J$2,'ProductSprint Backlog'!$M169,0)</f>
        <v>0</v>
      </c>
      <c r="K8" s="51">
        <f>IF('ProductSprint Backlog'!$L169&gt;K$2,'ProductSprint Backlog'!$M169,0)</f>
        <v>0</v>
      </c>
      <c r="L8" s="51">
        <f>IF('ProductSprint Backlog'!$L169&gt;L$2,'ProductSprint Backlog'!$M169,0)</f>
        <v>0</v>
      </c>
      <c r="M8" s="51">
        <f>IF('ProductSprint Backlog'!$L169&gt;M$2,'ProductSprint Backlog'!$M169,0)</f>
        <v>0</v>
      </c>
      <c r="N8" s="51">
        <f>IF('ProductSprint Backlog'!$L169&gt;N$2,'ProductSprint Backlog'!$M169,0)</f>
        <v>0</v>
      </c>
      <c r="O8" s="51">
        <f>IF('ProductSprint Backlog'!$L169&gt;O$2,'ProductSprint Backlog'!$M169,0)</f>
        <v>0</v>
      </c>
      <c r="P8" s="51">
        <f>IF('ProductSprint Backlog'!$L169&gt;P$2,'ProductSprint Backlog'!$M169,0)</f>
        <v>0</v>
      </c>
    </row>
    <row r="9" spans="1:16" ht="25.5" x14ac:dyDescent="0.2">
      <c r="A9" s="17" t="s">
        <v>251</v>
      </c>
      <c r="B9" s="51">
        <f>IF('ProductSprint Backlog'!$L170&gt;B$2,'ProductSprint Backlog'!$M170,0)</f>
        <v>0.5</v>
      </c>
      <c r="C9" s="51">
        <f>IF('ProductSprint Backlog'!$L170&gt;C$2,'ProductSprint Backlog'!$M170,0)</f>
        <v>0</v>
      </c>
      <c r="D9" s="51">
        <f>IF('ProductSprint Backlog'!$L170&gt;D$2,'ProductSprint Backlog'!$M170,0)</f>
        <v>0</v>
      </c>
      <c r="E9" s="51">
        <f>IF('ProductSprint Backlog'!$L170&gt;E$2,'ProductSprint Backlog'!$M170,0)</f>
        <v>0</v>
      </c>
      <c r="F9" s="51">
        <f>IF('ProductSprint Backlog'!$L170&gt;F$2,'ProductSprint Backlog'!$M170,0)</f>
        <v>0</v>
      </c>
      <c r="G9" s="51">
        <f>IF('ProductSprint Backlog'!$L170&gt;G$2,'ProductSprint Backlog'!$M170,0)</f>
        <v>0</v>
      </c>
      <c r="H9" s="51">
        <f>IF('ProductSprint Backlog'!$L170&gt;H$2,'ProductSprint Backlog'!$M170,0)</f>
        <v>0</v>
      </c>
      <c r="I9" s="51">
        <f>IF('ProductSprint Backlog'!$L170&gt;I$2,'ProductSprint Backlog'!$M170,0)</f>
        <v>0</v>
      </c>
      <c r="J9" s="51">
        <f>IF('ProductSprint Backlog'!$L170&gt;J$2,'ProductSprint Backlog'!$M170,0)</f>
        <v>0</v>
      </c>
      <c r="K9" s="51">
        <f>IF('ProductSprint Backlog'!$L170&gt;K$2,'ProductSprint Backlog'!$M170,0)</f>
        <v>0</v>
      </c>
      <c r="L9" s="51">
        <f>IF('ProductSprint Backlog'!$L170&gt;L$2,'ProductSprint Backlog'!$M170,0)</f>
        <v>0</v>
      </c>
      <c r="M9" s="51">
        <f>IF('ProductSprint Backlog'!$L170&gt;M$2,'ProductSprint Backlog'!$M170,0)</f>
        <v>0</v>
      </c>
      <c r="N9" s="51">
        <f>IF('ProductSprint Backlog'!$L170&gt;N$2,'ProductSprint Backlog'!$M170,0)</f>
        <v>0</v>
      </c>
      <c r="O9" s="51">
        <f>IF('ProductSprint Backlog'!$L170&gt;O$2,'ProductSprint Backlog'!$M170,0)</f>
        <v>0</v>
      </c>
      <c r="P9" s="51">
        <f>IF('ProductSprint Backlog'!$L170&gt;P$2,'ProductSprint Backlog'!$M170,0)</f>
        <v>0</v>
      </c>
    </row>
    <row r="10" spans="1:16" ht="25.5" x14ac:dyDescent="0.2">
      <c r="A10" s="17" t="s">
        <v>254</v>
      </c>
      <c r="B10" s="51">
        <f>IF('ProductSprint Backlog'!$L171&gt;B$2,'ProductSprint Backlog'!$M171,0)</f>
        <v>1</v>
      </c>
      <c r="C10" s="51">
        <f>IF('ProductSprint Backlog'!$L171&gt;C$2,'ProductSprint Backlog'!$M171,0)</f>
        <v>0</v>
      </c>
      <c r="D10" s="51">
        <f>IF('ProductSprint Backlog'!$L171&gt;D$2,'ProductSprint Backlog'!$M171,0)</f>
        <v>0</v>
      </c>
      <c r="E10" s="51">
        <f>IF('ProductSprint Backlog'!$L171&gt;E$2,'ProductSprint Backlog'!$M171,0)</f>
        <v>0</v>
      </c>
      <c r="F10" s="51">
        <f>IF('ProductSprint Backlog'!$L171&gt;F$2,'ProductSprint Backlog'!$M171,0)</f>
        <v>0</v>
      </c>
      <c r="G10" s="51">
        <f>IF('ProductSprint Backlog'!$L171&gt;G$2,'ProductSprint Backlog'!$M171,0)</f>
        <v>0</v>
      </c>
      <c r="H10" s="51">
        <f>IF('ProductSprint Backlog'!$L171&gt;H$2,'ProductSprint Backlog'!$M171,0)</f>
        <v>0</v>
      </c>
      <c r="I10" s="51">
        <f>IF('ProductSprint Backlog'!$L171&gt;I$2,'ProductSprint Backlog'!$M171,0)</f>
        <v>0</v>
      </c>
      <c r="J10" s="51">
        <f>IF('ProductSprint Backlog'!$L171&gt;J$2,'ProductSprint Backlog'!$M171,0)</f>
        <v>0</v>
      </c>
      <c r="K10" s="51">
        <f>IF('ProductSprint Backlog'!$L171&gt;K$2,'ProductSprint Backlog'!$M171,0)</f>
        <v>0</v>
      </c>
      <c r="L10" s="51">
        <f>IF('ProductSprint Backlog'!$L171&gt;L$2,'ProductSprint Backlog'!$M171,0)</f>
        <v>0</v>
      </c>
      <c r="M10" s="51">
        <f>IF('ProductSprint Backlog'!$L171&gt;M$2,'ProductSprint Backlog'!$M171,0)</f>
        <v>0</v>
      </c>
      <c r="N10" s="51">
        <f>IF('ProductSprint Backlog'!$L171&gt;N$2,'ProductSprint Backlog'!$M171,0)</f>
        <v>0</v>
      </c>
      <c r="O10" s="51">
        <f>IF('ProductSprint Backlog'!$L171&gt;O$2,'ProductSprint Backlog'!$M171,0)</f>
        <v>0</v>
      </c>
      <c r="P10" s="51">
        <f>IF('ProductSprint Backlog'!$L171&gt;P$2,'ProductSprint Backlog'!$M171,0)</f>
        <v>0</v>
      </c>
    </row>
    <row r="11" spans="1:16" ht="25.5" x14ac:dyDescent="0.2">
      <c r="A11" s="17" t="s">
        <v>212</v>
      </c>
      <c r="B11" s="51">
        <f>IF('ProductSprint Backlog'!$L172&gt;B$2,'ProductSprint Backlog'!$M172,0)</f>
        <v>1</v>
      </c>
      <c r="C11" s="51">
        <f>IF('ProductSprint Backlog'!$L172&gt;C$2,'ProductSprint Backlog'!$M172,0)</f>
        <v>0</v>
      </c>
      <c r="D11" s="51">
        <f>IF('ProductSprint Backlog'!$L172&gt;D$2,'ProductSprint Backlog'!$M172,0)</f>
        <v>0</v>
      </c>
      <c r="E11" s="51">
        <f>IF('ProductSprint Backlog'!$L172&gt;E$2,'ProductSprint Backlog'!$M172,0)</f>
        <v>0</v>
      </c>
      <c r="F11" s="51">
        <f>IF('ProductSprint Backlog'!$L172&gt;F$2,'ProductSprint Backlog'!$M172,0)</f>
        <v>0</v>
      </c>
      <c r="G11" s="51">
        <f>IF('ProductSprint Backlog'!$L172&gt;G$2,'ProductSprint Backlog'!$M172,0)</f>
        <v>0</v>
      </c>
      <c r="H11" s="51">
        <f>IF('ProductSprint Backlog'!$L172&gt;H$2,'ProductSprint Backlog'!$M172,0)</f>
        <v>0</v>
      </c>
      <c r="I11" s="51">
        <f>IF('ProductSprint Backlog'!$L172&gt;I$2,'ProductSprint Backlog'!$M172,0)</f>
        <v>0</v>
      </c>
      <c r="J11" s="51">
        <f>IF('ProductSprint Backlog'!$L172&gt;J$2,'ProductSprint Backlog'!$M172,0)</f>
        <v>0</v>
      </c>
      <c r="K11" s="51">
        <f>IF('ProductSprint Backlog'!$L172&gt;K$2,'ProductSprint Backlog'!$M172,0)</f>
        <v>0</v>
      </c>
      <c r="L11" s="51">
        <f>IF('ProductSprint Backlog'!$L172&gt;L$2,'ProductSprint Backlog'!$M172,0)</f>
        <v>0</v>
      </c>
      <c r="M11" s="51">
        <f>IF('ProductSprint Backlog'!$L172&gt;M$2,'ProductSprint Backlog'!$M172,0)</f>
        <v>0</v>
      </c>
      <c r="N11" s="51">
        <f>IF('ProductSprint Backlog'!$L172&gt;N$2,'ProductSprint Backlog'!$M172,0)</f>
        <v>0</v>
      </c>
      <c r="O11" s="51">
        <f>IF('ProductSprint Backlog'!$L172&gt;O$2,'ProductSprint Backlog'!$M172,0)</f>
        <v>0</v>
      </c>
      <c r="P11" s="51">
        <f>IF('ProductSprint Backlog'!$L172&gt;P$2,'ProductSprint Backlog'!$M172,0)</f>
        <v>0</v>
      </c>
    </row>
    <row r="12" spans="1:16" ht="25.5" x14ac:dyDescent="0.2">
      <c r="A12" s="17" t="s">
        <v>214</v>
      </c>
      <c r="B12" s="51">
        <f>IF('ProductSprint Backlog'!$L173&gt;B$2,'ProductSprint Backlog'!$M173,0)</f>
        <v>0.5</v>
      </c>
      <c r="C12" s="51">
        <f>IF('ProductSprint Backlog'!$L173&gt;C$2,'ProductSprint Backlog'!$M173,0)</f>
        <v>0</v>
      </c>
      <c r="D12" s="51">
        <f>IF('ProductSprint Backlog'!$L173&gt;D$2,'ProductSprint Backlog'!$M173,0)</f>
        <v>0</v>
      </c>
      <c r="E12" s="51">
        <f>IF('ProductSprint Backlog'!$L173&gt;E$2,'ProductSprint Backlog'!$M173,0)</f>
        <v>0</v>
      </c>
      <c r="F12" s="51">
        <f>IF('ProductSprint Backlog'!$L173&gt;F$2,'ProductSprint Backlog'!$M173,0)</f>
        <v>0</v>
      </c>
      <c r="G12" s="51">
        <f>IF('ProductSprint Backlog'!$L173&gt;G$2,'ProductSprint Backlog'!$M173,0)</f>
        <v>0</v>
      </c>
      <c r="H12" s="51">
        <f>IF('ProductSprint Backlog'!$L173&gt;H$2,'ProductSprint Backlog'!$M173,0)</f>
        <v>0</v>
      </c>
      <c r="I12" s="51">
        <f>IF('ProductSprint Backlog'!$L173&gt;I$2,'ProductSprint Backlog'!$M173,0)</f>
        <v>0</v>
      </c>
      <c r="J12" s="51">
        <f>IF('ProductSprint Backlog'!$L173&gt;J$2,'ProductSprint Backlog'!$M173,0)</f>
        <v>0</v>
      </c>
      <c r="K12" s="51">
        <f>IF('ProductSprint Backlog'!$L173&gt;K$2,'ProductSprint Backlog'!$M173,0)</f>
        <v>0</v>
      </c>
      <c r="L12" s="51">
        <f>IF('ProductSprint Backlog'!$L173&gt;L$2,'ProductSprint Backlog'!$M173,0)</f>
        <v>0</v>
      </c>
      <c r="M12" s="51">
        <f>IF('ProductSprint Backlog'!$L173&gt;M$2,'ProductSprint Backlog'!$M173,0)</f>
        <v>0</v>
      </c>
      <c r="N12" s="51">
        <f>IF('ProductSprint Backlog'!$L173&gt;N$2,'ProductSprint Backlog'!$M173,0)</f>
        <v>0</v>
      </c>
      <c r="O12" s="51">
        <f>IF('ProductSprint Backlog'!$L173&gt;O$2,'ProductSprint Backlog'!$M173,0)</f>
        <v>0</v>
      </c>
      <c r="P12" s="51">
        <f>IF('ProductSprint Backlog'!$L173&gt;P$2,'ProductSprint Backlog'!$M173,0)</f>
        <v>0</v>
      </c>
    </row>
    <row r="13" spans="1:16" ht="25.5" x14ac:dyDescent="0.2">
      <c r="A13" s="17" t="s">
        <v>255</v>
      </c>
      <c r="B13" s="51">
        <f>IF('ProductSprint Backlog'!$L174&gt;B$2,'ProductSprint Backlog'!$M174,0)</f>
        <v>0.5</v>
      </c>
      <c r="C13" s="51">
        <f>IF('ProductSprint Backlog'!$L174&gt;C$2,'ProductSprint Backlog'!$M174,0)</f>
        <v>0</v>
      </c>
      <c r="D13" s="51">
        <f>IF('ProductSprint Backlog'!$L174&gt;D$2,'ProductSprint Backlog'!$M174,0)</f>
        <v>0</v>
      </c>
      <c r="E13" s="51">
        <f>IF('ProductSprint Backlog'!$L174&gt;E$2,'ProductSprint Backlog'!$M174,0)</f>
        <v>0</v>
      </c>
      <c r="F13" s="51">
        <f>IF('ProductSprint Backlog'!$L174&gt;F$2,'ProductSprint Backlog'!$M174,0)</f>
        <v>0</v>
      </c>
      <c r="G13" s="51">
        <f>IF('ProductSprint Backlog'!$L174&gt;G$2,'ProductSprint Backlog'!$M174,0)</f>
        <v>0</v>
      </c>
      <c r="H13" s="51">
        <f>IF('ProductSprint Backlog'!$L174&gt;H$2,'ProductSprint Backlog'!$M174,0)</f>
        <v>0</v>
      </c>
      <c r="I13" s="51">
        <f>IF('ProductSprint Backlog'!$L174&gt;I$2,'ProductSprint Backlog'!$M174,0)</f>
        <v>0</v>
      </c>
      <c r="J13" s="51">
        <f>IF('ProductSprint Backlog'!$L174&gt;J$2,'ProductSprint Backlog'!$M174,0)</f>
        <v>0</v>
      </c>
      <c r="K13" s="51">
        <f>IF('ProductSprint Backlog'!$L174&gt;K$2,'ProductSprint Backlog'!$M174,0)</f>
        <v>0</v>
      </c>
      <c r="L13" s="51">
        <f>IF('ProductSprint Backlog'!$L174&gt;L$2,'ProductSprint Backlog'!$M174,0)</f>
        <v>0</v>
      </c>
      <c r="M13" s="51">
        <f>IF('ProductSprint Backlog'!$L174&gt;M$2,'ProductSprint Backlog'!$M174,0)</f>
        <v>0</v>
      </c>
      <c r="N13" s="51">
        <f>IF('ProductSprint Backlog'!$L174&gt;N$2,'ProductSprint Backlog'!$M174,0)</f>
        <v>0</v>
      </c>
      <c r="O13" s="51">
        <f>IF('ProductSprint Backlog'!$L174&gt;O$2,'ProductSprint Backlog'!$M174,0)</f>
        <v>0</v>
      </c>
      <c r="P13" s="51">
        <f>IF('ProductSprint Backlog'!$L174&gt;P$2,'ProductSprint Backlog'!$M174,0)</f>
        <v>0</v>
      </c>
    </row>
    <row r="14" spans="1:16" ht="25.5" x14ac:dyDescent="0.2">
      <c r="A14" s="17" t="s">
        <v>258</v>
      </c>
      <c r="B14" s="51">
        <f>IF('ProductSprint Backlog'!$L175&gt;B$2,'ProductSprint Backlog'!$M175,0)</f>
        <v>0.5</v>
      </c>
      <c r="C14" s="51">
        <f>IF('ProductSprint Backlog'!$L175&gt;C$2,'ProductSprint Backlog'!$M175,0)</f>
        <v>0.5</v>
      </c>
      <c r="D14" s="51">
        <f>IF('ProductSprint Backlog'!$L175&gt;D$2,'ProductSprint Backlog'!$M175,0)</f>
        <v>0</v>
      </c>
      <c r="E14" s="51">
        <f>IF('ProductSprint Backlog'!$L175&gt;E$2,'ProductSprint Backlog'!$M175,0)</f>
        <v>0</v>
      </c>
      <c r="F14" s="51">
        <f>IF('ProductSprint Backlog'!$L175&gt;F$2,'ProductSprint Backlog'!$M175,0)</f>
        <v>0</v>
      </c>
      <c r="G14" s="51">
        <f>IF('ProductSprint Backlog'!$L175&gt;G$2,'ProductSprint Backlog'!$M175,0)</f>
        <v>0</v>
      </c>
      <c r="H14" s="51">
        <f>IF('ProductSprint Backlog'!$L175&gt;H$2,'ProductSprint Backlog'!$M175,0)</f>
        <v>0</v>
      </c>
      <c r="I14" s="51">
        <f>IF('ProductSprint Backlog'!$L175&gt;I$2,'ProductSprint Backlog'!$M175,0)</f>
        <v>0</v>
      </c>
      <c r="J14" s="51">
        <f>IF('ProductSprint Backlog'!$L175&gt;J$2,'ProductSprint Backlog'!$M175,0)</f>
        <v>0</v>
      </c>
      <c r="K14" s="51">
        <f>IF('ProductSprint Backlog'!$L175&gt;K$2,'ProductSprint Backlog'!$M175,0)</f>
        <v>0</v>
      </c>
      <c r="L14" s="51">
        <f>IF('ProductSprint Backlog'!$L175&gt;L$2,'ProductSprint Backlog'!$M175,0)</f>
        <v>0</v>
      </c>
      <c r="M14" s="51">
        <f>IF('ProductSprint Backlog'!$L175&gt;M$2,'ProductSprint Backlog'!$M175,0)</f>
        <v>0</v>
      </c>
      <c r="N14" s="51">
        <f>IF('ProductSprint Backlog'!$L175&gt;N$2,'ProductSprint Backlog'!$M175,0)</f>
        <v>0</v>
      </c>
      <c r="O14" s="51">
        <f>IF('ProductSprint Backlog'!$L175&gt;O$2,'ProductSprint Backlog'!$M175,0)</f>
        <v>0</v>
      </c>
      <c r="P14" s="51">
        <f>IF('ProductSprint Backlog'!$L175&gt;P$2,'ProductSprint Backlog'!$M175,0)</f>
        <v>0</v>
      </c>
    </row>
    <row r="15" spans="1:16" ht="25.5" x14ac:dyDescent="0.2">
      <c r="A15" s="17" t="s">
        <v>260</v>
      </c>
      <c r="B15" s="51">
        <f>IF('ProductSprint Backlog'!$L176&gt;B$2,'ProductSprint Backlog'!$M176,0)</f>
        <v>0.5</v>
      </c>
      <c r="C15" s="51">
        <f>IF('ProductSprint Backlog'!$L176&gt;C$2,'ProductSprint Backlog'!$M176,0)</f>
        <v>0.5</v>
      </c>
      <c r="D15" s="51">
        <f>IF('ProductSprint Backlog'!$L176&gt;D$2,'ProductSprint Backlog'!$M176,0)</f>
        <v>0</v>
      </c>
      <c r="E15" s="51">
        <f>IF('ProductSprint Backlog'!$L176&gt;E$2,'ProductSprint Backlog'!$M176,0)</f>
        <v>0</v>
      </c>
      <c r="F15" s="51">
        <f>IF('ProductSprint Backlog'!$L176&gt;F$2,'ProductSprint Backlog'!$M176,0)</f>
        <v>0</v>
      </c>
      <c r="G15" s="51">
        <f>IF('ProductSprint Backlog'!$L176&gt;G$2,'ProductSprint Backlog'!$M176,0)</f>
        <v>0</v>
      </c>
      <c r="H15" s="51">
        <f>IF('ProductSprint Backlog'!$L176&gt;H$2,'ProductSprint Backlog'!$M176,0)</f>
        <v>0</v>
      </c>
      <c r="I15" s="51">
        <f>IF('ProductSprint Backlog'!$L176&gt;I$2,'ProductSprint Backlog'!$M176,0)</f>
        <v>0</v>
      </c>
      <c r="J15" s="51">
        <f>IF('ProductSprint Backlog'!$L176&gt;J$2,'ProductSprint Backlog'!$M176,0)</f>
        <v>0</v>
      </c>
      <c r="K15" s="51">
        <f>IF('ProductSprint Backlog'!$L176&gt;K$2,'ProductSprint Backlog'!$M176,0)</f>
        <v>0</v>
      </c>
      <c r="L15" s="51">
        <f>IF('ProductSprint Backlog'!$L176&gt;L$2,'ProductSprint Backlog'!$M176,0)</f>
        <v>0</v>
      </c>
      <c r="M15" s="51">
        <f>IF('ProductSprint Backlog'!$L176&gt;M$2,'ProductSprint Backlog'!$M176,0)</f>
        <v>0</v>
      </c>
      <c r="N15" s="51">
        <f>IF('ProductSprint Backlog'!$L176&gt;N$2,'ProductSprint Backlog'!$M176,0)</f>
        <v>0</v>
      </c>
      <c r="O15" s="51">
        <f>IF('ProductSprint Backlog'!$L176&gt;O$2,'ProductSprint Backlog'!$M176,0)</f>
        <v>0</v>
      </c>
      <c r="P15" s="51">
        <f>IF('ProductSprint Backlog'!$L176&gt;P$2,'ProductSprint Backlog'!$M176,0)</f>
        <v>0</v>
      </c>
    </row>
    <row r="16" spans="1:16" ht="51" x14ac:dyDescent="0.2">
      <c r="A16" s="17" t="s">
        <v>263</v>
      </c>
      <c r="B16" s="51">
        <f>IF('ProductSprint Backlog'!$L177&gt;B$2,'ProductSprint Backlog'!$M177,0)</f>
        <v>1</v>
      </c>
      <c r="C16" s="51">
        <f>IF('ProductSprint Backlog'!$L177&gt;C$2,'ProductSprint Backlog'!$M177,0)</f>
        <v>1</v>
      </c>
      <c r="D16" s="51">
        <f>IF('ProductSprint Backlog'!$L177&gt;D$2,'ProductSprint Backlog'!$M177,0)</f>
        <v>1</v>
      </c>
      <c r="E16" s="51">
        <f>IF('ProductSprint Backlog'!$L177&gt;E$2,'ProductSprint Backlog'!$M177,0)</f>
        <v>1</v>
      </c>
      <c r="F16" s="51">
        <f>IF('ProductSprint Backlog'!$L177&gt;F$2,'ProductSprint Backlog'!$M177,0)</f>
        <v>1</v>
      </c>
      <c r="G16" s="51">
        <f>IF('ProductSprint Backlog'!$L177&gt;G$2,'ProductSprint Backlog'!$M177,0)</f>
        <v>1</v>
      </c>
      <c r="H16" s="51">
        <f>IF('ProductSprint Backlog'!$L177&gt;H$2,'ProductSprint Backlog'!$M177,0)</f>
        <v>1</v>
      </c>
      <c r="I16" s="51">
        <f>IF('ProductSprint Backlog'!$L177&gt;I$2,'ProductSprint Backlog'!$M177,0)</f>
        <v>0</v>
      </c>
      <c r="J16" s="51">
        <f>IF('ProductSprint Backlog'!$L177&gt;J$2,'ProductSprint Backlog'!$M177,0)</f>
        <v>0</v>
      </c>
      <c r="K16" s="51">
        <f>IF('ProductSprint Backlog'!$L177&gt;K$2,'ProductSprint Backlog'!$M177,0)</f>
        <v>0</v>
      </c>
      <c r="L16" s="51">
        <f>IF('ProductSprint Backlog'!$L177&gt;L$2,'ProductSprint Backlog'!$M177,0)</f>
        <v>0</v>
      </c>
      <c r="M16" s="51">
        <f>IF('ProductSprint Backlog'!$L177&gt;M$2,'ProductSprint Backlog'!$M177,0)</f>
        <v>0</v>
      </c>
      <c r="N16" s="51">
        <f>IF('ProductSprint Backlog'!$L177&gt;N$2,'ProductSprint Backlog'!$M177,0)</f>
        <v>0</v>
      </c>
      <c r="O16" s="51">
        <f>IF('ProductSprint Backlog'!$L177&gt;O$2,'ProductSprint Backlog'!$M177,0)</f>
        <v>0</v>
      </c>
      <c r="P16" s="51">
        <f>IF('ProductSprint Backlog'!$L177&gt;P$2,'ProductSprint Backlog'!$M177,0)</f>
        <v>0</v>
      </c>
    </row>
    <row r="17" spans="1:16" ht="25.5" x14ac:dyDescent="0.2">
      <c r="A17" s="17" t="s">
        <v>265</v>
      </c>
      <c r="B17" s="51">
        <f>IF('ProductSprint Backlog'!$L178&gt;B$2,'ProductSprint Backlog'!$M178,0)</f>
        <v>1</v>
      </c>
      <c r="C17" s="51">
        <f>IF('ProductSprint Backlog'!$L178&gt;C$2,'ProductSprint Backlog'!$M178,0)</f>
        <v>1</v>
      </c>
      <c r="D17" s="51">
        <f>IF('ProductSprint Backlog'!$L178&gt;D$2,'ProductSprint Backlog'!$M178,0)</f>
        <v>1</v>
      </c>
      <c r="E17" s="51">
        <f>IF('ProductSprint Backlog'!$L178&gt;E$2,'ProductSprint Backlog'!$M178,0)</f>
        <v>1</v>
      </c>
      <c r="F17" s="51">
        <f>IF('ProductSprint Backlog'!$L178&gt;F$2,'ProductSprint Backlog'!$M178,0)</f>
        <v>1</v>
      </c>
      <c r="G17" s="51">
        <f>IF('ProductSprint Backlog'!$L178&gt;G$2,'ProductSprint Backlog'!$M178,0)</f>
        <v>1</v>
      </c>
      <c r="H17" s="51">
        <f>IF('ProductSprint Backlog'!$L178&gt;H$2,'ProductSprint Backlog'!$M178,0)</f>
        <v>1</v>
      </c>
      <c r="I17" s="51">
        <f>IF('ProductSprint Backlog'!$L178&gt;I$2,'ProductSprint Backlog'!$M178,0)</f>
        <v>0</v>
      </c>
      <c r="J17" s="51">
        <f>IF('ProductSprint Backlog'!$L178&gt;J$2,'ProductSprint Backlog'!$M178,0)</f>
        <v>0</v>
      </c>
      <c r="K17" s="51">
        <f>IF('ProductSprint Backlog'!$L178&gt;K$2,'ProductSprint Backlog'!$M178,0)</f>
        <v>0</v>
      </c>
      <c r="L17" s="51">
        <f>IF('ProductSprint Backlog'!$L178&gt;L$2,'ProductSprint Backlog'!$M178,0)</f>
        <v>0</v>
      </c>
      <c r="M17" s="51">
        <f>IF('ProductSprint Backlog'!$L178&gt;M$2,'ProductSprint Backlog'!$M178,0)</f>
        <v>0</v>
      </c>
      <c r="N17" s="51">
        <f>IF('ProductSprint Backlog'!$L178&gt;N$2,'ProductSprint Backlog'!$M178,0)</f>
        <v>0</v>
      </c>
      <c r="O17" s="51">
        <f>IF('ProductSprint Backlog'!$L178&gt;O$2,'ProductSprint Backlog'!$M178,0)</f>
        <v>0</v>
      </c>
      <c r="P17" s="51">
        <f>IF('ProductSprint Backlog'!$L178&gt;P$2,'ProductSprint Backlog'!$M178,0)</f>
        <v>0</v>
      </c>
    </row>
    <row r="18" spans="1:16" ht="25.5" x14ac:dyDescent="0.2">
      <c r="A18" s="17" t="s">
        <v>267</v>
      </c>
      <c r="B18" s="51">
        <f>IF('ProductSprint Backlog'!$L179&gt;B$2,'ProductSprint Backlog'!$M179,0)</f>
        <v>1</v>
      </c>
      <c r="C18" s="51">
        <f>IF('ProductSprint Backlog'!$L179&gt;C$2,'ProductSprint Backlog'!$M179,0)</f>
        <v>1</v>
      </c>
      <c r="D18" s="51">
        <f>IF('ProductSprint Backlog'!$L179&gt;D$2,'ProductSprint Backlog'!$M179,0)</f>
        <v>1</v>
      </c>
      <c r="E18" s="51">
        <f>IF('ProductSprint Backlog'!$L179&gt;E$2,'ProductSprint Backlog'!$M179,0)</f>
        <v>1</v>
      </c>
      <c r="F18" s="51">
        <f>IF('ProductSprint Backlog'!$L179&gt;F$2,'ProductSprint Backlog'!$M179,0)</f>
        <v>1</v>
      </c>
      <c r="G18" s="51">
        <f>IF('ProductSprint Backlog'!$L179&gt;G$2,'ProductSprint Backlog'!$M179,0)</f>
        <v>1</v>
      </c>
      <c r="H18" s="51">
        <f>IF('ProductSprint Backlog'!$L179&gt;H$2,'ProductSprint Backlog'!$M179,0)</f>
        <v>1</v>
      </c>
      <c r="I18" s="51">
        <f>IF('ProductSprint Backlog'!$L179&gt;I$2,'ProductSprint Backlog'!$M179,0)</f>
        <v>0</v>
      </c>
      <c r="J18" s="51">
        <f>IF('ProductSprint Backlog'!$L179&gt;J$2,'ProductSprint Backlog'!$M179,0)</f>
        <v>0</v>
      </c>
      <c r="K18" s="51">
        <f>IF('ProductSprint Backlog'!$L179&gt;K$2,'ProductSprint Backlog'!$M179,0)</f>
        <v>0</v>
      </c>
      <c r="L18" s="51">
        <f>IF('ProductSprint Backlog'!$L179&gt;L$2,'ProductSprint Backlog'!$M179,0)</f>
        <v>0</v>
      </c>
      <c r="M18" s="51">
        <f>IF('ProductSprint Backlog'!$L179&gt;M$2,'ProductSprint Backlog'!$M179,0)</f>
        <v>0</v>
      </c>
      <c r="N18" s="51">
        <f>IF('ProductSprint Backlog'!$L179&gt;N$2,'ProductSprint Backlog'!$M179,0)</f>
        <v>0</v>
      </c>
      <c r="O18" s="51">
        <f>IF('ProductSprint Backlog'!$L179&gt;O$2,'ProductSprint Backlog'!$M179,0)</f>
        <v>0</v>
      </c>
      <c r="P18" s="51">
        <f>IF('ProductSprint Backlog'!$L179&gt;P$2,'ProductSprint Backlog'!$M179,0)</f>
        <v>0</v>
      </c>
    </row>
    <row r="19" spans="1:16" ht="38.25" x14ac:dyDescent="0.2">
      <c r="A19" s="17" t="s">
        <v>269</v>
      </c>
      <c r="B19" s="51">
        <f>IF('ProductSprint Backlog'!$L180&gt;B$2,'ProductSprint Backlog'!$M180,0)</f>
        <v>1</v>
      </c>
      <c r="C19" s="51">
        <f>IF('ProductSprint Backlog'!$L180&gt;C$2,'ProductSprint Backlog'!$M180,0)</f>
        <v>1</v>
      </c>
      <c r="D19" s="51">
        <f>IF('ProductSprint Backlog'!$L180&gt;D$2,'ProductSprint Backlog'!$M180,0)</f>
        <v>1</v>
      </c>
      <c r="E19" s="51">
        <f>IF('ProductSprint Backlog'!$L180&gt;E$2,'ProductSprint Backlog'!$M180,0)</f>
        <v>1</v>
      </c>
      <c r="F19" s="51">
        <f>IF('ProductSprint Backlog'!$L180&gt;F$2,'ProductSprint Backlog'!$M180,0)</f>
        <v>1</v>
      </c>
      <c r="G19" s="51">
        <f>IF('ProductSprint Backlog'!$L180&gt;G$2,'ProductSprint Backlog'!$M180,0)</f>
        <v>1</v>
      </c>
      <c r="H19" s="51">
        <f>IF('ProductSprint Backlog'!$L180&gt;H$2,'ProductSprint Backlog'!$M180,0)</f>
        <v>1</v>
      </c>
      <c r="I19" s="51">
        <f>IF('ProductSprint Backlog'!$L180&gt;I$2,'ProductSprint Backlog'!$M180,0)</f>
        <v>0</v>
      </c>
      <c r="J19" s="51">
        <f>IF('ProductSprint Backlog'!$L180&gt;J$2,'ProductSprint Backlog'!$M180,0)</f>
        <v>0</v>
      </c>
      <c r="K19" s="51">
        <f>IF('ProductSprint Backlog'!$L180&gt;K$2,'ProductSprint Backlog'!$M180,0)</f>
        <v>0</v>
      </c>
      <c r="L19" s="51">
        <f>IF('ProductSprint Backlog'!$L180&gt;L$2,'ProductSprint Backlog'!$M180,0)</f>
        <v>0</v>
      </c>
      <c r="M19" s="51">
        <f>IF('ProductSprint Backlog'!$L180&gt;M$2,'ProductSprint Backlog'!$M180,0)</f>
        <v>0</v>
      </c>
      <c r="N19" s="51">
        <f>IF('ProductSprint Backlog'!$L180&gt;N$2,'ProductSprint Backlog'!$M180,0)</f>
        <v>0</v>
      </c>
      <c r="O19" s="51">
        <f>IF('ProductSprint Backlog'!$L180&gt;O$2,'ProductSprint Backlog'!$M180,0)</f>
        <v>0</v>
      </c>
      <c r="P19" s="51">
        <f>IF('ProductSprint Backlog'!$L180&gt;P$2,'ProductSprint Backlog'!$M180,0)</f>
        <v>0</v>
      </c>
    </row>
    <row r="20" spans="1:16" ht="51" x14ac:dyDescent="0.2">
      <c r="A20" s="17" t="s">
        <v>272</v>
      </c>
      <c r="B20" s="51">
        <f>IF('ProductSprint Backlog'!$L181&gt;B$2,'ProductSprint Backlog'!$M181,0)</f>
        <v>1</v>
      </c>
      <c r="C20" s="51">
        <f>IF('ProductSprint Backlog'!$L181&gt;C$2,'ProductSprint Backlog'!$M181,0)</f>
        <v>1</v>
      </c>
      <c r="D20" s="51">
        <f>IF('ProductSprint Backlog'!$L181&gt;D$2,'ProductSprint Backlog'!$M181,0)</f>
        <v>1</v>
      </c>
      <c r="E20" s="51">
        <f>IF('ProductSprint Backlog'!$L181&gt;E$2,'ProductSprint Backlog'!$M181,0)</f>
        <v>1</v>
      </c>
      <c r="F20" s="51">
        <f>IF('ProductSprint Backlog'!$L181&gt;F$2,'ProductSprint Backlog'!$M181,0)</f>
        <v>1</v>
      </c>
      <c r="G20" s="51">
        <f>IF('ProductSprint Backlog'!$L181&gt;G$2,'ProductSprint Backlog'!$M181,0)</f>
        <v>1</v>
      </c>
      <c r="H20" s="51">
        <f>IF('ProductSprint Backlog'!$L181&gt;H$2,'ProductSprint Backlog'!$M181,0)</f>
        <v>1</v>
      </c>
      <c r="I20" s="51">
        <f>IF('ProductSprint Backlog'!$L181&gt;I$2,'ProductSprint Backlog'!$M181,0)</f>
        <v>1</v>
      </c>
      <c r="J20" s="51">
        <f>IF('ProductSprint Backlog'!$L181&gt;J$2,'ProductSprint Backlog'!$M181,0)</f>
        <v>1</v>
      </c>
      <c r="K20" s="51">
        <f>IF('ProductSprint Backlog'!$L181&gt;K$2,'ProductSprint Backlog'!$M181,0)</f>
        <v>1</v>
      </c>
      <c r="L20" s="51">
        <f>IF('ProductSprint Backlog'!$L181&gt;L$2,'ProductSprint Backlog'!$M181,0)</f>
        <v>1</v>
      </c>
      <c r="M20" s="51">
        <f>IF('ProductSprint Backlog'!$L181&gt;M$2,'ProductSprint Backlog'!$M181,0)</f>
        <v>1</v>
      </c>
      <c r="N20" s="51">
        <f>IF('ProductSprint Backlog'!$L181&gt;N$2,'ProductSprint Backlog'!$M181,0)</f>
        <v>0</v>
      </c>
      <c r="O20" s="51">
        <f>IF('ProductSprint Backlog'!$L181&gt;O$2,'ProductSprint Backlog'!$M181,0)</f>
        <v>0</v>
      </c>
      <c r="P20" s="51">
        <f>IF('ProductSprint Backlog'!$L181&gt;P$2,'ProductSprint Backlog'!$M181,0)</f>
        <v>0</v>
      </c>
    </row>
    <row r="21" spans="1:16" ht="25.5" x14ac:dyDescent="0.2">
      <c r="A21" s="17" t="s">
        <v>274</v>
      </c>
      <c r="B21" s="51">
        <f>IF('ProductSprint Backlog'!$L182&gt;B$2,'ProductSprint Backlog'!$M182,0)</f>
        <v>1</v>
      </c>
      <c r="C21" s="51">
        <f>IF('ProductSprint Backlog'!$L182&gt;C$2,'ProductSprint Backlog'!$M182,0)</f>
        <v>1</v>
      </c>
      <c r="D21" s="51">
        <f>IF('ProductSprint Backlog'!$L182&gt;D$2,'ProductSprint Backlog'!$M182,0)</f>
        <v>1</v>
      </c>
      <c r="E21" s="51">
        <f>IF('ProductSprint Backlog'!$L182&gt;E$2,'ProductSprint Backlog'!$M182,0)</f>
        <v>1</v>
      </c>
      <c r="F21" s="51">
        <f>IF('ProductSprint Backlog'!$L182&gt;F$2,'ProductSprint Backlog'!$M182,0)</f>
        <v>1</v>
      </c>
      <c r="G21" s="51">
        <f>IF('ProductSprint Backlog'!$L182&gt;G$2,'ProductSprint Backlog'!$M182,0)</f>
        <v>1</v>
      </c>
      <c r="H21" s="51">
        <f>IF('ProductSprint Backlog'!$L182&gt;H$2,'ProductSprint Backlog'!$M182,0)</f>
        <v>1</v>
      </c>
      <c r="I21" s="51">
        <f>IF('ProductSprint Backlog'!$L182&gt;I$2,'ProductSprint Backlog'!$M182,0)</f>
        <v>1</v>
      </c>
      <c r="J21" s="51">
        <f>IF('ProductSprint Backlog'!$L182&gt;J$2,'ProductSprint Backlog'!$M182,0)</f>
        <v>1</v>
      </c>
      <c r="K21" s="51">
        <f>IF('ProductSprint Backlog'!$L182&gt;K$2,'ProductSprint Backlog'!$M182,0)</f>
        <v>1</v>
      </c>
      <c r="L21" s="51">
        <f>IF('ProductSprint Backlog'!$L182&gt;L$2,'ProductSprint Backlog'!$M182,0)</f>
        <v>1</v>
      </c>
      <c r="M21" s="51">
        <f>IF('ProductSprint Backlog'!$L182&gt;M$2,'ProductSprint Backlog'!$M182,0)</f>
        <v>1</v>
      </c>
      <c r="N21" s="51">
        <f>IF('ProductSprint Backlog'!$L182&gt;N$2,'ProductSprint Backlog'!$M182,0)</f>
        <v>0</v>
      </c>
      <c r="O21" s="51">
        <f>IF('ProductSprint Backlog'!$L182&gt;O$2,'ProductSprint Backlog'!$M182,0)</f>
        <v>0</v>
      </c>
      <c r="P21" s="51">
        <f>IF('ProductSprint Backlog'!$L182&gt;P$2,'ProductSprint Backlog'!$M182,0)</f>
        <v>0</v>
      </c>
    </row>
    <row r="22" spans="1:16" ht="38.25" x14ac:dyDescent="0.2">
      <c r="A22" s="17" t="s">
        <v>276</v>
      </c>
      <c r="B22" s="51">
        <f>IF('ProductSprint Backlog'!$L183&gt;B$2,'ProductSprint Backlog'!$M183,0)</f>
        <v>1</v>
      </c>
      <c r="C22" s="51">
        <f>IF('ProductSprint Backlog'!$L183&gt;C$2,'ProductSprint Backlog'!$M183,0)</f>
        <v>1</v>
      </c>
      <c r="D22" s="51">
        <f>IF('ProductSprint Backlog'!$L183&gt;D$2,'ProductSprint Backlog'!$M183,0)</f>
        <v>1</v>
      </c>
      <c r="E22" s="51">
        <f>IF('ProductSprint Backlog'!$L183&gt;E$2,'ProductSprint Backlog'!$M183,0)</f>
        <v>1</v>
      </c>
      <c r="F22" s="51">
        <f>IF('ProductSprint Backlog'!$L183&gt;F$2,'ProductSprint Backlog'!$M183,0)</f>
        <v>1</v>
      </c>
      <c r="G22" s="51">
        <f>IF('ProductSprint Backlog'!$L183&gt;G$2,'ProductSprint Backlog'!$M183,0)</f>
        <v>1</v>
      </c>
      <c r="H22" s="51">
        <f>IF('ProductSprint Backlog'!$L183&gt;H$2,'ProductSprint Backlog'!$M183,0)</f>
        <v>1</v>
      </c>
      <c r="I22" s="51">
        <f>IF('ProductSprint Backlog'!$L183&gt;I$2,'ProductSprint Backlog'!$M183,0)</f>
        <v>1</v>
      </c>
      <c r="J22" s="51">
        <f>IF('ProductSprint Backlog'!$L183&gt;J$2,'ProductSprint Backlog'!$M183,0)</f>
        <v>1</v>
      </c>
      <c r="K22" s="51">
        <f>IF('ProductSprint Backlog'!$L183&gt;K$2,'ProductSprint Backlog'!$M183,0)</f>
        <v>1</v>
      </c>
      <c r="L22" s="51">
        <f>IF('ProductSprint Backlog'!$L183&gt;L$2,'ProductSprint Backlog'!$M183,0)</f>
        <v>1</v>
      </c>
      <c r="M22" s="51">
        <f>IF('ProductSprint Backlog'!$L183&gt;M$2,'ProductSprint Backlog'!$M183,0)</f>
        <v>1</v>
      </c>
      <c r="N22" s="51">
        <f>IF('ProductSprint Backlog'!$L183&gt;N$2,'ProductSprint Backlog'!$M183,0)</f>
        <v>0</v>
      </c>
      <c r="O22" s="51">
        <f>IF('ProductSprint Backlog'!$L183&gt;O$2,'ProductSprint Backlog'!$M183,0)</f>
        <v>0</v>
      </c>
      <c r="P22" s="51">
        <f>IF('ProductSprint Backlog'!$L183&gt;P$2,'ProductSprint Backlog'!$M183,0)</f>
        <v>0</v>
      </c>
    </row>
    <row r="23" spans="1:16" ht="25.5" x14ac:dyDescent="0.2">
      <c r="A23" s="17" t="s">
        <v>278</v>
      </c>
      <c r="B23" s="51">
        <f>IF('ProductSprint Backlog'!$L184&gt;B$2,'ProductSprint Backlog'!$M184,0)</f>
        <v>1</v>
      </c>
      <c r="C23" s="51">
        <f>IF('ProductSprint Backlog'!$L184&gt;C$2,'ProductSprint Backlog'!$M184,0)</f>
        <v>1</v>
      </c>
      <c r="D23" s="51">
        <f>IF('ProductSprint Backlog'!$L184&gt;D$2,'ProductSprint Backlog'!$M184,0)</f>
        <v>1</v>
      </c>
      <c r="E23" s="51">
        <f>IF('ProductSprint Backlog'!$L184&gt;E$2,'ProductSprint Backlog'!$M184,0)</f>
        <v>1</v>
      </c>
      <c r="F23" s="51">
        <f>IF('ProductSprint Backlog'!$L184&gt;F$2,'ProductSprint Backlog'!$M184,0)</f>
        <v>1</v>
      </c>
      <c r="G23" s="51">
        <f>IF('ProductSprint Backlog'!$L184&gt;G$2,'ProductSprint Backlog'!$M184,0)</f>
        <v>1</v>
      </c>
      <c r="H23" s="51">
        <f>IF('ProductSprint Backlog'!$L184&gt;H$2,'ProductSprint Backlog'!$M184,0)</f>
        <v>1</v>
      </c>
      <c r="I23" s="51">
        <f>IF('ProductSprint Backlog'!$L184&gt;I$2,'ProductSprint Backlog'!$M184,0)</f>
        <v>1</v>
      </c>
      <c r="J23" s="51">
        <f>IF('ProductSprint Backlog'!$L184&gt;J$2,'ProductSprint Backlog'!$M184,0)</f>
        <v>1</v>
      </c>
      <c r="K23" s="51">
        <f>IF('ProductSprint Backlog'!$L184&gt;K$2,'ProductSprint Backlog'!$M184,0)</f>
        <v>1</v>
      </c>
      <c r="L23" s="51">
        <f>IF('ProductSprint Backlog'!$L184&gt;L$2,'ProductSprint Backlog'!$M184,0)</f>
        <v>1</v>
      </c>
      <c r="M23" s="51">
        <f>IF('ProductSprint Backlog'!$L184&gt;M$2,'ProductSprint Backlog'!$M184,0)</f>
        <v>1</v>
      </c>
      <c r="N23" s="51">
        <f>IF('ProductSprint Backlog'!$L184&gt;N$2,'ProductSprint Backlog'!$M184,0)</f>
        <v>0</v>
      </c>
      <c r="O23" s="51">
        <f>IF('ProductSprint Backlog'!$L184&gt;O$2,'ProductSprint Backlog'!$M184,0)</f>
        <v>0</v>
      </c>
      <c r="P23" s="51">
        <f>IF('ProductSprint Backlog'!$L184&gt;P$2,'ProductSprint Backlog'!$M184,0)</f>
        <v>0</v>
      </c>
    </row>
    <row r="24" spans="1:16" ht="25.5" x14ac:dyDescent="0.2">
      <c r="A24" s="17" t="s">
        <v>280</v>
      </c>
      <c r="B24" s="51">
        <f>IF('ProductSprint Backlog'!$L185&gt;B$2,'ProductSprint Backlog'!$M185,0)</f>
        <v>1</v>
      </c>
      <c r="C24" s="51">
        <f>IF('ProductSprint Backlog'!$L185&gt;C$2,'ProductSprint Backlog'!$M185,0)</f>
        <v>1</v>
      </c>
      <c r="D24" s="51">
        <f>IF('ProductSprint Backlog'!$L185&gt;D$2,'ProductSprint Backlog'!$M185,0)</f>
        <v>1</v>
      </c>
      <c r="E24" s="51">
        <f>IF('ProductSprint Backlog'!$L185&gt;E$2,'ProductSprint Backlog'!$M185,0)</f>
        <v>1</v>
      </c>
      <c r="F24" s="51">
        <f>IF('ProductSprint Backlog'!$L185&gt;F$2,'ProductSprint Backlog'!$M185,0)</f>
        <v>1</v>
      </c>
      <c r="G24" s="51">
        <f>IF('ProductSprint Backlog'!$L185&gt;G$2,'ProductSprint Backlog'!$M185,0)</f>
        <v>1</v>
      </c>
      <c r="H24" s="51">
        <f>IF('ProductSprint Backlog'!$L185&gt;H$2,'ProductSprint Backlog'!$M185,0)</f>
        <v>1</v>
      </c>
      <c r="I24" s="51">
        <f>IF('ProductSprint Backlog'!$L185&gt;I$2,'ProductSprint Backlog'!$M185,0)</f>
        <v>1</v>
      </c>
      <c r="J24" s="51">
        <f>IF('ProductSprint Backlog'!$L185&gt;J$2,'ProductSprint Backlog'!$M185,0)</f>
        <v>1</v>
      </c>
      <c r="K24" s="51">
        <f>IF('ProductSprint Backlog'!$L185&gt;K$2,'ProductSprint Backlog'!$M185,0)</f>
        <v>1</v>
      </c>
      <c r="L24" s="51">
        <f>IF('ProductSprint Backlog'!$L185&gt;L$2,'ProductSprint Backlog'!$M185,0)</f>
        <v>1</v>
      </c>
      <c r="M24" s="51">
        <f>IF('ProductSprint Backlog'!$L185&gt;M$2,'ProductSprint Backlog'!$M185,0)</f>
        <v>1</v>
      </c>
      <c r="N24" s="51">
        <f>IF('ProductSprint Backlog'!$L185&gt;N$2,'ProductSprint Backlog'!$M185,0)</f>
        <v>0</v>
      </c>
      <c r="O24" s="51">
        <f>IF('ProductSprint Backlog'!$L185&gt;O$2,'ProductSprint Backlog'!$M185,0)</f>
        <v>0</v>
      </c>
      <c r="P24" s="51">
        <f>IF('ProductSprint Backlog'!$L185&gt;P$2,'ProductSprint Backlog'!$M185,0)</f>
        <v>0</v>
      </c>
    </row>
    <row r="25" spans="1:16" ht="51" x14ac:dyDescent="0.2">
      <c r="A25" s="17" t="s">
        <v>283</v>
      </c>
      <c r="B25" s="51">
        <f>IF('ProductSprint Backlog'!$L186&gt;B$2,'ProductSprint Backlog'!$M186,0)</f>
        <v>2</v>
      </c>
      <c r="C25" s="51">
        <f>IF('ProductSprint Backlog'!$L186&gt;C$2,'ProductSprint Backlog'!$M186,0)</f>
        <v>2</v>
      </c>
      <c r="D25" s="51">
        <f>IF('ProductSprint Backlog'!$L186&gt;D$2,'ProductSprint Backlog'!$M186,0)</f>
        <v>2</v>
      </c>
      <c r="E25" s="51">
        <f>IF('ProductSprint Backlog'!$L186&gt;E$2,'ProductSprint Backlog'!$M186,0)</f>
        <v>2</v>
      </c>
      <c r="F25" s="51">
        <f>IF('ProductSprint Backlog'!$L186&gt;F$2,'ProductSprint Backlog'!$M186,0)</f>
        <v>2</v>
      </c>
      <c r="G25" s="51">
        <f>IF('ProductSprint Backlog'!$L186&gt;G$2,'ProductSprint Backlog'!$M186,0)</f>
        <v>2</v>
      </c>
      <c r="H25" s="51">
        <f>IF('ProductSprint Backlog'!$L186&gt;H$2,'ProductSprint Backlog'!$M186,0)</f>
        <v>0</v>
      </c>
      <c r="I25" s="51">
        <f>IF('ProductSprint Backlog'!$L186&gt;I$2,'ProductSprint Backlog'!$M186,0)</f>
        <v>0</v>
      </c>
      <c r="J25" s="51">
        <f>IF('ProductSprint Backlog'!$L186&gt;J$2,'ProductSprint Backlog'!$M186,0)</f>
        <v>0</v>
      </c>
      <c r="K25" s="51">
        <f>IF('ProductSprint Backlog'!$L186&gt;K$2,'ProductSprint Backlog'!$M186,0)</f>
        <v>0</v>
      </c>
      <c r="L25" s="51">
        <f>IF('ProductSprint Backlog'!$L186&gt;L$2,'ProductSprint Backlog'!$M186,0)</f>
        <v>0</v>
      </c>
      <c r="M25" s="51">
        <f>IF('ProductSprint Backlog'!$L186&gt;M$2,'ProductSprint Backlog'!$M186,0)</f>
        <v>0</v>
      </c>
      <c r="N25" s="51">
        <f>IF('ProductSprint Backlog'!$L186&gt;N$2,'ProductSprint Backlog'!$M186,0)</f>
        <v>0</v>
      </c>
      <c r="O25" s="51">
        <f>IF('ProductSprint Backlog'!$L186&gt;O$2,'ProductSprint Backlog'!$M186,0)</f>
        <v>0</v>
      </c>
      <c r="P25" s="51">
        <f>IF('ProductSprint Backlog'!$L186&gt;P$2,'ProductSprint Backlog'!$M186,0)</f>
        <v>0</v>
      </c>
    </row>
    <row r="26" spans="1:16" ht="38.25" x14ac:dyDescent="0.2">
      <c r="A26" s="17" t="s">
        <v>285</v>
      </c>
      <c r="B26" s="51">
        <f>IF('ProductSprint Backlog'!$L187&gt;B$2,'ProductSprint Backlog'!$M187,0)</f>
        <v>2</v>
      </c>
      <c r="C26" s="51">
        <f>IF('ProductSprint Backlog'!$L187&gt;C$2,'ProductSprint Backlog'!$M187,0)</f>
        <v>2</v>
      </c>
      <c r="D26" s="51">
        <f>IF('ProductSprint Backlog'!$L187&gt;D$2,'ProductSprint Backlog'!$M187,0)</f>
        <v>2</v>
      </c>
      <c r="E26" s="51">
        <f>IF('ProductSprint Backlog'!$L187&gt;E$2,'ProductSprint Backlog'!$M187,0)</f>
        <v>2</v>
      </c>
      <c r="F26" s="51">
        <f>IF('ProductSprint Backlog'!$L187&gt;F$2,'ProductSprint Backlog'!$M187,0)</f>
        <v>2</v>
      </c>
      <c r="G26" s="51">
        <f>IF('ProductSprint Backlog'!$L187&gt;G$2,'ProductSprint Backlog'!$M187,0)</f>
        <v>2</v>
      </c>
      <c r="H26" s="51">
        <f>IF('ProductSprint Backlog'!$L187&gt;H$2,'ProductSprint Backlog'!$M187,0)</f>
        <v>0</v>
      </c>
      <c r="I26" s="51">
        <f>IF('ProductSprint Backlog'!$L187&gt;I$2,'ProductSprint Backlog'!$M187,0)</f>
        <v>0</v>
      </c>
      <c r="J26" s="51">
        <f>IF('ProductSprint Backlog'!$L187&gt;J$2,'ProductSprint Backlog'!$M187,0)</f>
        <v>0</v>
      </c>
      <c r="K26" s="51">
        <f>IF('ProductSprint Backlog'!$L187&gt;K$2,'ProductSprint Backlog'!$M187,0)</f>
        <v>0</v>
      </c>
      <c r="L26" s="51">
        <f>IF('ProductSprint Backlog'!$L187&gt;L$2,'ProductSprint Backlog'!$M187,0)</f>
        <v>0</v>
      </c>
      <c r="M26" s="51">
        <f>IF('ProductSprint Backlog'!$L187&gt;M$2,'ProductSprint Backlog'!$M187,0)</f>
        <v>0</v>
      </c>
      <c r="N26" s="51">
        <f>IF('ProductSprint Backlog'!$L187&gt;N$2,'ProductSprint Backlog'!$M187,0)</f>
        <v>0</v>
      </c>
      <c r="O26" s="51">
        <f>IF('ProductSprint Backlog'!$L187&gt;O$2,'ProductSprint Backlog'!$M187,0)</f>
        <v>0</v>
      </c>
      <c r="P26" s="51">
        <f>IF('ProductSprint Backlog'!$L187&gt;P$2,'ProductSprint Backlog'!$M187,0)</f>
        <v>0</v>
      </c>
    </row>
    <row r="27" spans="1:16" ht="25.5" x14ac:dyDescent="0.2">
      <c r="A27" s="17" t="s">
        <v>287</v>
      </c>
      <c r="B27" s="51">
        <f>IF('ProductSprint Backlog'!$L188&gt;B$2,'ProductSprint Backlog'!$M188,0)</f>
        <v>1</v>
      </c>
      <c r="C27" s="51">
        <f>IF('ProductSprint Backlog'!$L188&gt;C$2,'ProductSprint Backlog'!$M188,0)</f>
        <v>1</v>
      </c>
      <c r="D27" s="51">
        <f>IF('ProductSprint Backlog'!$L188&gt;D$2,'ProductSprint Backlog'!$M188,0)</f>
        <v>1</v>
      </c>
      <c r="E27" s="51">
        <f>IF('ProductSprint Backlog'!$L188&gt;E$2,'ProductSprint Backlog'!$M188,0)</f>
        <v>1</v>
      </c>
      <c r="F27" s="51">
        <f>IF('ProductSprint Backlog'!$L188&gt;F$2,'ProductSprint Backlog'!$M188,0)</f>
        <v>1</v>
      </c>
      <c r="G27" s="51">
        <f>IF('ProductSprint Backlog'!$L188&gt;G$2,'ProductSprint Backlog'!$M188,0)</f>
        <v>1</v>
      </c>
      <c r="H27" s="51">
        <f>IF('ProductSprint Backlog'!$L188&gt;H$2,'ProductSprint Backlog'!$M188,0)</f>
        <v>0</v>
      </c>
      <c r="I27" s="51">
        <f>IF('ProductSprint Backlog'!$L188&gt;I$2,'ProductSprint Backlog'!$M188,0)</f>
        <v>0</v>
      </c>
      <c r="J27" s="51">
        <f>IF('ProductSprint Backlog'!$L188&gt;J$2,'ProductSprint Backlog'!$M188,0)</f>
        <v>0</v>
      </c>
      <c r="K27" s="51">
        <f>IF('ProductSprint Backlog'!$L188&gt;K$2,'ProductSprint Backlog'!$M188,0)</f>
        <v>0</v>
      </c>
      <c r="L27" s="51">
        <f>IF('ProductSprint Backlog'!$L188&gt;L$2,'ProductSprint Backlog'!$M188,0)</f>
        <v>0</v>
      </c>
      <c r="M27" s="51">
        <f>IF('ProductSprint Backlog'!$L188&gt;M$2,'ProductSprint Backlog'!$M188,0)</f>
        <v>0</v>
      </c>
      <c r="N27" s="51">
        <f>IF('ProductSprint Backlog'!$L188&gt;N$2,'ProductSprint Backlog'!$M188,0)</f>
        <v>0</v>
      </c>
      <c r="O27" s="51">
        <f>IF('ProductSprint Backlog'!$L188&gt;O$2,'ProductSprint Backlog'!$M188,0)</f>
        <v>0</v>
      </c>
      <c r="P27" s="51">
        <f>IF('ProductSprint Backlog'!$L188&gt;P$2,'ProductSprint Backlog'!$M188,0)</f>
        <v>0</v>
      </c>
    </row>
    <row r="28" spans="1:16" ht="51" x14ac:dyDescent="0.2">
      <c r="A28" s="17" t="s">
        <v>288</v>
      </c>
      <c r="B28" s="51">
        <f>IF('ProductSprint Backlog'!$L189&gt;B$2,'ProductSprint Backlog'!$M189,0)</f>
        <v>2</v>
      </c>
      <c r="C28" s="51">
        <f>IF('ProductSprint Backlog'!$L189&gt;C$2,'ProductSprint Backlog'!$M189,0)</f>
        <v>2</v>
      </c>
      <c r="D28" s="51">
        <f>IF('ProductSprint Backlog'!$L189&gt;D$2,'ProductSprint Backlog'!$M189,0)</f>
        <v>2</v>
      </c>
      <c r="E28" s="51">
        <f>IF('ProductSprint Backlog'!$L189&gt;E$2,'ProductSprint Backlog'!$M189,0)</f>
        <v>2</v>
      </c>
      <c r="F28" s="51">
        <f>IF('ProductSprint Backlog'!$L189&gt;F$2,'ProductSprint Backlog'!$M189,0)</f>
        <v>2</v>
      </c>
      <c r="G28" s="51">
        <f>IF('ProductSprint Backlog'!$L189&gt;G$2,'ProductSprint Backlog'!$M189,0)</f>
        <v>2</v>
      </c>
      <c r="H28" s="51">
        <f>IF('ProductSprint Backlog'!$L189&gt;H$2,'ProductSprint Backlog'!$M189,0)</f>
        <v>0</v>
      </c>
      <c r="I28" s="51">
        <f>IF('ProductSprint Backlog'!$L189&gt;I$2,'ProductSprint Backlog'!$M189,0)</f>
        <v>0</v>
      </c>
      <c r="J28" s="51">
        <f>IF('ProductSprint Backlog'!$L189&gt;J$2,'ProductSprint Backlog'!$M189,0)</f>
        <v>0</v>
      </c>
      <c r="K28" s="51">
        <f>IF('ProductSprint Backlog'!$L189&gt;K$2,'ProductSprint Backlog'!$M189,0)</f>
        <v>0</v>
      </c>
      <c r="L28" s="51">
        <f>IF('ProductSprint Backlog'!$L189&gt;L$2,'ProductSprint Backlog'!$M189,0)</f>
        <v>0</v>
      </c>
      <c r="M28" s="51">
        <f>IF('ProductSprint Backlog'!$L189&gt;M$2,'ProductSprint Backlog'!$M189,0)</f>
        <v>0</v>
      </c>
      <c r="N28" s="51">
        <f>IF('ProductSprint Backlog'!$L189&gt;N$2,'ProductSprint Backlog'!$M189,0)</f>
        <v>0</v>
      </c>
      <c r="O28" s="51">
        <f>IF('ProductSprint Backlog'!$L189&gt;O$2,'ProductSprint Backlog'!$M189,0)</f>
        <v>0</v>
      </c>
      <c r="P28" s="51">
        <f>IF('ProductSprint Backlog'!$L189&gt;P$2,'ProductSprint Backlog'!$M189,0)</f>
        <v>0</v>
      </c>
    </row>
    <row r="29" spans="1:16" ht="63.75" x14ac:dyDescent="0.2">
      <c r="A29" s="17" t="s">
        <v>291</v>
      </c>
      <c r="B29" s="51">
        <f>IF('ProductSprint Backlog'!$L190&gt;B$2,'ProductSprint Backlog'!$M190,0)</f>
        <v>2</v>
      </c>
      <c r="C29" s="51">
        <f>IF('ProductSprint Backlog'!$L190&gt;C$2,'ProductSprint Backlog'!$M190,0)</f>
        <v>2</v>
      </c>
      <c r="D29" s="51">
        <f>IF('ProductSprint Backlog'!$L190&gt;D$2,'ProductSprint Backlog'!$M190,0)</f>
        <v>2</v>
      </c>
      <c r="E29" s="51">
        <f>IF('ProductSprint Backlog'!$L190&gt;E$2,'ProductSprint Backlog'!$M190,0)</f>
        <v>2</v>
      </c>
      <c r="F29" s="51">
        <f>IF('ProductSprint Backlog'!$L190&gt;F$2,'ProductSprint Backlog'!$M190,0)</f>
        <v>2</v>
      </c>
      <c r="G29" s="51">
        <f>IF('ProductSprint Backlog'!$L190&gt;G$2,'ProductSprint Backlog'!$M190,0)</f>
        <v>2</v>
      </c>
      <c r="H29" s="51">
        <f>IF('ProductSprint Backlog'!$L190&gt;H$2,'ProductSprint Backlog'!$M190,0)</f>
        <v>2</v>
      </c>
      <c r="I29" s="51">
        <f>IF('ProductSprint Backlog'!$L190&gt;I$2,'ProductSprint Backlog'!$M190,0)</f>
        <v>2</v>
      </c>
      <c r="J29" s="51">
        <f>IF('ProductSprint Backlog'!$L190&gt;J$2,'ProductSprint Backlog'!$M190,0)</f>
        <v>2</v>
      </c>
      <c r="K29" s="51">
        <f>IF('ProductSprint Backlog'!$L190&gt;K$2,'ProductSprint Backlog'!$M190,0)</f>
        <v>2</v>
      </c>
      <c r="L29" s="51">
        <f>IF('ProductSprint Backlog'!$L190&gt;L$2,'ProductSprint Backlog'!$M190,0)</f>
        <v>2</v>
      </c>
      <c r="M29" s="51">
        <f>IF('ProductSprint Backlog'!$L190&gt;M$2,'ProductSprint Backlog'!$M190,0)</f>
        <v>2</v>
      </c>
      <c r="N29" s="51">
        <f>IF('ProductSprint Backlog'!$L190&gt;N$2,'ProductSprint Backlog'!$M190,0)</f>
        <v>2</v>
      </c>
      <c r="O29" s="51">
        <f>IF('ProductSprint Backlog'!$L190&gt;O$2,'ProductSprint Backlog'!$M190,0)</f>
        <v>0</v>
      </c>
      <c r="P29" s="51">
        <f>IF('ProductSprint Backlog'!$L190&gt;P$2,'ProductSprint Backlog'!$M190,0)</f>
        <v>0</v>
      </c>
    </row>
    <row r="30" spans="1:16" ht="51" x14ac:dyDescent="0.2">
      <c r="A30" s="17" t="s">
        <v>293</v>
      </c>
      <c r="B30" s="51">
        <f>IF('ProductSprint Backlog'!$L191&gt;B$2,'ProductSprint Backlog'!$M191,0)</f>
        <v>2</v>
      </c>
      <c r="C30" s="51">
        <f>IF('ProductSprint Backlog'!$L191&gt;C$2,'ProductSprint Backlog'!$M191,0)</f>
        <v>2</v>
      </c>
      <c r="D30" s="51">
        <f>IF('ProductSprint Backlog'!$L191&gt;D$2,'ProductSprint Backlog'!$M191,0)</f>
        <v>2</v>
      </c>
      <c r="E30" s="51">
        <f>IF('ProductSprint Backlog'!$L191&gt;E$2,'ProductSprint Backlog'!$M191,0)</f>
        <v>2</v>
      </c>
      <c r="F30" s="51">
        <f>IF('ProductSprint Backlog'!$L191&gt;F$2,'ProductSprint Backlog'!$M191,0)</f>
        <v>2</v>
      </c>
      <c r="G30" s="51">
        <f>IF('ProductSprint Backlog'!$L191&gt;G$2,'ProductSprint Backlog'!$M191,0)</f>
        <v>2</v>
      </c>
      <c r="H30" s="51">
        <f>IF('ProductSprint Backlog'!$L191&gt;H$2,'ProductSprint Backlog'!$M191,0)</f>
        <v>2</v>
      </c>
      <c r="I30" s="51">
        <f>IF('ProductSprint Backlog'!$L191&gt;I$2,'ProductSprint Backlog'!$M191,0)</f>
        <v>2</v>
      </c>
      <c r="J30" s="51">
        <f>IF('ProductSprint Backlog'!$L191&gt;J$2,'ProductSprint Backlog'!$M191,0)</f>
        <v>2</v>
      </c>
      <c r="K30" s="51">
        <f>IF('ProductSprint Backlog'!$L191&gt;K$2,'ProductSprint Backlog'!$M191,0)</f>
        <v>2</v>
      </c>
      <c r="L30" s="51">
        <f>IF('ProductSprint Backlog'!$L191&gt;L$2,'ProductSprint Backlog'!$M191,0)</f>
        <v>2</v>
      </c>
      <c r="M30" s="51">
        <f>IF('ProductSprint Backlog'!$L191&gt;M$2,'ProductSprint Backlog'!$M191,0)</f>
        <v>2</v>
      </c>
      <c r="N30" s="51">
        <f>IF('ProductSprint Backlog'!$L191&gt;N$2,'ProductSprint Backlog'!$M191,0)</f>
        <v>2</v>
      </c>
      <c r="O30" s="51">
        <f>IF('ProductSprint Backlog'!$L191&gt;O$2,'ProductSprint Backlog'!$M191,0)</f>
        <v>0</v>
      </c>
      <c r="P30" s="51">
        <f>IF('ProductSprint Backlog'!$L191&gt;P$2,'ProductSprint Backlog'!$M191,0)</f>
        <v>0</v>
      </c>
    </row>
    <row r="31" spans="1:16" ht="25.5" x14ac:dyDescent="0.2">
      <c r="A31" s="17" t="s">
        <v>295</v>
      </c>
      <c r="B31" s="51">
        <f>IF('ProductSprint Backlog'!$L192&gt;B$2,'ProductSprint Backlog'!$M192,0)</f>
        <v>1</v>
      </c>
      <c r="C31" s="51">
        <f>IF('ProductSprint Backlog'!$L192&gt;C$2,'ProductSprint Backlog'!$M192,0)</f>
        <v>1</v>
      </c>
      <c r="D31" s="51">
        <f>IF('ProductSprint Backlog'!$L192&gt;D$2,'ProductSprint Backlog'!$M192,0)</f>
        <v>1</v>
      </c>
      <c r="E31" s="51">
        <f>IF('ProductSprint Backlog'!$L192&gt;E$2,'ProductSprint Backlog'!$M192,0)</f>
        <v>1</v>
      </c>
      <c r="F31" s="51">
        <f>IF('ProductSprint Backlog'!$L192&gt;F$2,'ProductSprint Backlog'!$M192,0)</f>
        <v>1</v>
      </c>
      <c r="G31" s="51">
        <f>IF('ProductSprint Backlog'!$L192&gt;G$2,'ProductSprint Backlog'!$M192,0)</f>
        <v>1</v>
      </c>
      <c r="H31" s="51">
        <f>IF('ProductSprint Backlog'!$L192&gt;H$2,'ProductSprint Backlog'!$M192,0)</f>
        <v>1</v>
      </c>
      <c r="I31" s="51">
        <f>IF('ProductSprint Backlog'!$L192&gt;I$2,'ProductSprint Backlog'!$M192,0)</f>
        <v>1</v>
      </c>
      <c r="J31" s="51">
        <f>IF('ProductSprint Backlog'!$L192&gt;J$2,'ProductSprint Backlog'!$M192,0)</f>
        <v>1</v>
      </c>
      <c r="K31" s="51">
        <f>IF('ProductSprint Backlog'!$L192&gt;K$2,'ProductSprint Backlog'!$M192,0)</f>
        <v>1</v>
      </c>
      <c r="L31" s="51">
        <f>IF('ProductSprint Backlog'!$L192&gt;L$2,'ProductSprint Backlog'!$M192,0)</f>
        <v>1</v>
      </c>
      <c r="M31" s="51">
        <f>IF('ProductSprint Backlog'!$L192&gt;M$2,'ProductSprint Backlog'!$M192,0)</f>
        <v>1</v>
      </c>
      <c r="N31" s="51">
        <f>IF('ProductSprint Backlog'!$L192&gt;N$2,'ProductSprint Backlog'!$M192,0)</f>
        <v>1</v>
      </c>
      <c r="O31" s="51">
        <f>IF('ProductSprint Backlog'!$L192&gt;O$2,'ProductSprint Backlog'!$M192,0)</f>
        <v>0</v>
      </c>
      <c r="P31" s="51">
        <f>IF('ProductSprint Backlog'!$L192&gt;P$2,'ProductSprint Backlog'!$M192,0)</f>
        <v>0</v>
      </c>
    </row>
    <row r="32" spans="1:16" ht="25.5" x14ac:dyDescent="0.2">
      <c r="A32" s="17" t="s">
        <v>298</v>
      </c>
      <c r="B32" s="51">
        <f>IF('ProductSprint Backlog'!$L193&gt;B$2,'ProductSprint Backlog'!$M193,0)</f>
        <v>3</v>
      </c>
      <c r="C32" s="51">
        <f>IF('ProductSprint Backlog'!$L193&gt;C$2,'ProductSprint Backlog'!$M193,0)</f>
        <v>3</v>
      </c>
      <c r="D32" s="51">
        <f>IF('ProductSprint Backlog'!$L193&gt;D$2,'ProductSprint Backlog'!$M193,0)</f>
        <v>3</v>
      </c>
      <c r="E32" s="51">
        <f>IF('ProductSprint Backlog'!$L193&gt;E$2,'ProductSprint Backlog'!$M193,0)</f>
        <v>3</v>
      </c>
      <c r="F32" s="51">
        <f>IF('ProductSprint Backlog'!$L193&gt;F$2,'ProductSprint Backlog'!$M193,0)</f>
        <v>3</v>
      </c>
      <c r="G32" s="51">
        <f>IF('ProductSprint Backlog'!$L193&gt;G$2,'ProductSprint Backlog'!$M193,0)</f>
        <v>3</v>
      </c>
      <c r="H32" s="51">
        <f>IF('ProductSprint Backlog'!$L193&gt;H$2,'ProductSprint Backlog'!$M193,0)</f>
        <v>3</v>
      </c>
      <c r="I32" s="51">
        <f>IF('ProductSprint Backlog'!$L193&gt;I$2,'ProductSprint Backlog'!$M193,0)</f>
        <v>3</v>
      </c>
      <c r="J32" s="51">
        <f>IF('ProductSprint Backlog'!$L193&gt;J$2,'ProductSprint Backlog'!$M193,0)</f>
        <v>3</v>
      </c>
      <c r="K32" s="51">
        <f>IF('ProductSprint Backlog'!$L193&gt;K$2,'ProductSprint Backlog'!$M193,0)</f>
        <v>3</v>
      </c>
      <c r="L32" s="51">
        <f>IF('ProductSprint Backlog'!$L193&gt;L$2,'ProductSprint Backlog'!$M193,0)</f>
        <v>3</v>
      </c>
      <c r="M32" s="51">
        <f>IF('ProductSprint Backlog'!$L193&gt;M$2,'ProductSprint Backlog'!$M193,0)</f>
        <v>3</v>
      </c>
      <c r="N32" s="51">
        <f>IF('ProductSprint Backlog'!$L193&gt;N$2,'ProductSprint Backlog'!$M193,0)</f>
        <v>3</v>
      </c>
      <c r="O32" s="51">
        <f>IF('ProductSprint Backlog'!$L193&gt;O$2,'ProductSprint Backlog'!$M193,0)</f>
        <v>3</v>
      </c>
      <c r="P32" s="51">
        <f>IF('ProductSprint Backlog'!$L193&gt;P$2,'ProductSprint Backlog'!$M193,0)</f>
        <v>0</v>
      </c>
    </row>
    <row r="33" spans="1:16" ht="38.25" x14ac:dyDescent="0.2">
      <c r="A33" s="17" t="s">
        <v>300</v>
      </c>
      <c r="B33" s="51">
        <f>IF('ProductSprint Backlog'!$L194&gt;B$2,'ProductSprint Backlog'!$M194,0)</f>
        <v>1</v>
      </c>
      <c r="C33" s="51">
        <f>IF('ProductSprint Backlog'!$L194&gt;C$2,'ProductSprint Backlog'!$M194,0)</f>
        <v>1</v>
      </c>
      <c r="D33" s="51">
        <f>IF('ProductSprint Backlog'!$L194&gt;D$2,'ProductSprint Backlog'!$M194,0)</f>
        <v>1</v>
      </c>
      <c r="E33" s="51">
        <f>IF('ProductSprint Backlog'!$L194&gt;E$2,'ProductSprint Backlog'!$M194,0)</f>
        <v>1</v>
      </c>
      <c r="F33" s="51">
        <f>IF('ProductSprint Backlog'!$L194&gt;F$2,'ProductSprint Backlog'!$M194,0)</f>
        <v>1</v>
      </c>
      <c r="G33" s="51">
        <f>IF('ProductSprint Backlog'!$L194&gt;G$2,'ProductSprint Backlog'!$M194,0)</f>
        <v>1</v>
      </c>
      <c r="H33" s="51">
        <f>IF('ProductSprint Backlog'!$L194&gt;H$2,'ProductSprint Backlog'!$M194,0)</f>
        <v>1</v>
      </c>
      <c r="I33" s="51">
        <f>IF('ProductSprint Backlog'!$L194&gt;I$2,'ProductSprint Backlog'!$M194,0)</f>
        <v>1</v>
      </c>
      <c r="J33" s="51">
        <f>IF('ProductSprint Backlog'!$L194&gt;J$2,'ProductSprint Backlog'!$M194,0)</f>
        <v>1</v>
      </c>
      <c r="K33" s="51">
        <f>IF('ProductSprint Backlog'!$L194&gt;K$2,'ProductSprint Backlog'!$M194,0)</f>
        <v>1</v>
      </c>
      <c r="L33" s="51">
        <f>IF('ProductSprint Backlog'!$L194&gt;L$2,'ProductSprint Backlog'!$M194,0)</f>
        <v>1</v>
      </c>
      <c r="M33" s="51">
        <f>IF('ProductSprint Backlog'!$L194&gt;M$2,'ProductSprint Backlog'!$M194,0)</f>
        <v>1</v>
      </c>
      <c r="N33" s="51">
        <f>IF('ProductSprint Backlog'!$L194&gt;N$2,'ProductSprint Backlog'!$M194,0)</f>
        <v>1</v>
      </c>
      <c r="O33" s="51">
        <f>IF('ProductSprint Backlog'!$L194&gt;O$2,'ProductSprint Backlog'!$M194,0)</f>
        <v>1</v>
      </c>
      <c r="P33" s="51">
        <f>IF('ProductSprint Backlog'!$L194&gt;P$2,'ProductSprint Backlog'!$M194,0)</f>
        <v>0</v>
      </c>
    </row>
    <row r="34" spans="1:16" ht="25.5" x14ac:dyDescent="0.2">
      <c r="A34" s="17" t="s">
        <v>302</v>
      </c>
      <c r="B34" s="51">
        <f>IF('ProductSprint Backlog'!$L195&gt;B$2,'ProductSprint Backlog'!$M195,0)</f>
        <v>2</v>
      </c>
      <c r="C34" s="51">
        <f>IF('ProductSprint Backlog'!$L195&gt;C$2,'ProductSprint Backlog'!$M195,0)</f>
        <v>2</v>
      </c>
      <c r="D34" s="51">
        <f>IF('ProductSprint Backlog'!$L195&gt;D$2,'ProductSprint Backlog'!$M195,0)</f>
        <v>2</v>
      </c>
      <c r="E34" s="51">
        <f>IF('ProductSprint Backlog'!$L195&gt;E$2,'ProductSprint Backlog'!$M195,0)</f>
        <v>2</v>
      </c>
      <c r="F34" s="51">
        <f>IF('ProductSprint Backlog'!$L195&gt;F$2,'ProductSprint Backlog'!$M195,0)</f>
        <v>2</v>
      </c>
      <c r="G34" s="51">
        <f>IF('ProductSprint Backlog'!$L195&gt;G$2,'ProductSprint Backlog'!$M195,0)</f>
        <v>2</v>
      </c>
      <c r="H34" s="51">
        <f>IF('ProductSprint Backlog'!$L195&gt;H$2,'ProductSprint Backlog'!$M195,0)</f>
        <v>2</v>
      </c>
      <c r="I34" s="51">
        <f>IF('ProductSprint Backlog'!$L195&gt;I$2,'ProductSprint Backlog'!$M195,0)</f>
        <v>2</v>
      </c>
      <c r="J34" s="51">
        <f>IF('ProductSprint Backlog'!$L195&gt;J$2,'ProductSprint Backlog'!$M195,0)</f>
        <v>2</v>
      </c>
      <c r="K34" s="51">
        <f>IF('ProductSprint Backlog'!$L195&gt;K$2,'ProductSprint Backlog'!$M195,0)</f>
        <v>2</v>
      </c>
      <c r="L34" s="51">
        <f>IF('ProductSprint Backlog'!$L195&gt;L$2,'ProductSprint Backlog'!$M195,0)</f>
        <v>2</v>
      </c>
      <c r="M34" s="51">
        <f>IF('ProductSprint Backlog'!$L195&gt;M$2,'ProductSprint Backlog'!$M195,0)</f>
        <v>2</v>
      </c>
      <c r="N34" s="51">
        <f>IF('ProductSprint Backlog'!$L195&gt;N$2,'ProductSprint Backlog'!$M195,0)</f>
        <v>2</v>
      </c>
      <c r="O34" s="51">
        <f>IF('ProductSprint Backlog'!$L195&gt;O$2,'ProductSprint Backlog'!$M195,0)</f>
        <v>2</v>
      </c>
      <c r="P34" s="51">
        <f>IF('ProductSprint Backlog'!$L195&gt;P$2,'ProductSprint Backlog'!$M195,0)</f>
        <v>0</v>
      </c>
    </row>
    <row r="35" spans="1:16" ht="38.25" x14ac:dyDescent="0.2">
      <c r="A35" s="17" t="s">
        <v>304</v>
      </c>
      <c r="B35" s="51">
        <f>IF('ProductSprint Backlog'!$L196&gt;B$2,'ProductSprint Backlog'!$M196,0)</f>
        <v>1</v>
      </c>
      <c r="C35" s="51">
        <f>IF('ProductSprint Backlog'!$L196&gt;C$2,'ProductSprint Backlog'!$M196,0)</f>
        <v>1</v>
      </c>
      <c r="D35" s="51">
        <f>IF('ProductSprint Backlog'!$L196&gt;D$2,'ProductSprint Backlog'!$M196,0)</f>
        <v>1</v>
      </c>
      <c r="E35" s="51">
        <f>IF('ProductSprint Backlog'!$L196&gt;E$2,'ProductSprint Backlog'!$M196,0)</f>
        <v>1</v>
      </c>
      <c r="F35" s="51">
        <f>IF('ProductSprint Backlog'!$L196&gt;F$2,'ProductSprint Backlog'!$M196,0)</f>
        <v>1</v>
      </c>
      <c r="G35" s="51">
        <f>IF('ProductSprint Backlog'!$L196&gt;G$2,'ProductSprint Backlog'!$M196,0)</f>
        <v>1</v>
      </c>
      <c r="H35" s="51">
        <f>IF('ProductSprint Backlog'!$L196&gt;H$2,'ProductSprint Backlog'!$M196,0)</f>
        <v>1</v>
      </c>
      <c r="I35" s="51">
        <f>IF('ProductSprint Backlog'!$L196&gt;I$2,'ProductSprint Backlog'!$M196,0)</f>
        <v>1</v>
      </c>
      <c r="J35" s="51">
        <f>IF('ProductSprint Backlog'!$L196&gt;J$2,'ProductSprint Backlog'!$M196,0)</f>
        <v>1</v>
      </c>
      <c r="K35" s="51">
        <f>IF('ProductSprint Backlog'!$L196&gt;K$2,'ProductSprint Backlog'!$M196,0)</f>
        <v>1</v>
      </c>
      <c r="L35" s="51">
        <f>IF('ProductSprint Backlog'!$L196&gt;L$2,'ProductSprint Backlog'!$M196,0)</f>
        <v>1</v>
      </c>
      <c r="M35" s="51">
        <f>IF('ProductSprint Backlog'!$L196&gt;M$2,'ProductSprint Backlog'!$M196,0)</f>
        <v>1</v>
      </c>
      <c r="N35" s="51">
        <f>IF('ProductSprint Backlog'!$L196&gt;N$2,'ProductSprint Backlog'!$M196,0)</f>
        <v>1</v>
      </c>
      <c r="O35" s="51">
        <f>IF('ProductSprint Backlog'!$L196&gt;O$2,'ProductSprint Backlog'!$M196,0)</f>
        <v>1</v>
      </c>
      <c r="P35" s="51">
        <f>IF('ProductSprint Backlog'!$L196&gt;P$2,'ProductSprint Backlog'!$M196,0)</f>
        <v>0</v>
      </c>
    </row>
    <row r="36" spans="1:16" ht="76.5" x14ac:dyDescent="0.2">
      <c r="A36" s="17" t="s">
        <v>306</v>
      </c>
      <c r="B36" s="51">
        <f>IF('ProductSprint Backlog'!$L197&gt;B$2,'ProductSprint Backlog'!$M197,0)</f>
        <v>3</v>
      </c>
      <c r="C36" s="51">
        <f>IF('ProductSprint Backlog'!$L197&gt;C$2,'ProductSprint Backlog'!$M197,0)</f>
        <v>3</v>
      </c>
      <c r="D36" s="51">
        <f>IF('ProductSprint Backlog'!$L197&gt;D$2,'ProductSprint Backlog'!$M197,0)</f>
        <v>3</v>
      </c>
      <c r="E36" s="51">
        <f>IF('ProductSprint Backlog'!$L197&gt;E$2,'ProductSprint Backlog'!$M197,0)</f>
        <v>3</v>
      </c>
      <c r="F36" s="51">
        <f>IF('ProductSprint Backlog'!$L197&gt;F$2,'ProductSprint Backlog'!$M197,0)</f>
        <v>0</v>
      </c>
      <c r="G36" s="51">
        <f>IF('ProductSprint Backlog'!$L197&gt;G$2,'ProductSprint Backlog'!$M197,0)</f>
        <v>0</v>
      </c>
      <c r="H36" s="51">
        <f>IF('ProductSprint Backlog'!$L197&gt;H$2,'ProductSprint Backlog'!$M197,0)</f>
        <v>0</v>
      </c>
      <c r="I36" s="51">
        <f>IF('ProductSprint Backlog'!$L197&gt;I$2,'ProductSprint Backlog'!$M197,0)</f>
        <v>0</v>
      </c>
      <c r="J36" s="51">
        <f>IF('ProductSprint Backlog'!$L197&gt;J$2,'ProductSprint Backlog'!$M197,0)</f>
        <v>0</v>
      </c>
      <c r="K36" s="51">
        <f>IF('ProductSprint Backlog'!$L197&gt;K$2,'ProductSprint Backlog'!$M197,0)</f>
        <v>0</v>
      </c>
      <c r="L36" s="51">
        <f>IF('ProductSprint Backlog'!$L197&gt;L$2,'ProductSprint Backlog'!$M197,0)</f>
        <v>0</v>
      </c>
      <c r="M36" s="51">
        <f>IF('ProductSprint Backlog'!$L197&gt;M$2,'ProductSprint Backlog'!$M197,0)</f>
        <v>0</v>
      </c>
      <c r="N36" s="51">
        <f>IF('ProductSprint Backlog'!$L197&gt;N$2,'ProductSprint Backlog'!$M197,0)</f>
        <v>0</v>
      </c>
      <c r="O36" s="51">
        <f>IF('ProductSprint Backlog'!$L197&gt;O$2,'ProductSprint Backlog'!$M197,0)</f>
        <v>0</v>
      </c>
      <c r="P36" s="51">
        <f>IF('ProductSprint Backlog'!$L197&gt;P$2,'ProductSprint Backlog'!$M197,0)</f>
        <v>0</v>
      </c>
    </row>
    <row r="37" spans="1:16" ht="25.5" x14ac:dyDescent="0.2">
      <c r="A37" s="17" t="s">
        <v>308</v>
      </c>
      <c r="B37" s="51">
        <f>IF('ProductSprint Backlog'!$L198&gt;B$2,'ProductSprint Backlog'!$M198,0)</f>
        <v>2</v>
      </c>
      <c r="C37" s="51">
        <f>IF('ProductSprint Backlog'!$L198&gt;C$2,'ProductSprint Backlog'!$M198,0)</f>
        <v>2</v>
      </c>
      <c r="D37" s="51">
        <f>IF('ProductSprint Backlog'!$L198&gt;D$2,'ProductSprint Backlog'!$M198,0)</f>
        <v>2</v>
      </c>
      <c r="E37" s="51">
        <f>IF('ProductSprint Backlog'!$L198&gt;E$2,'ProductSprint Backlog'!$M198,0)</f>
        <v>2</v>
      </c>
      <c r="F37" s="51">
        <f>IF('ProductSprint Backlog'!$L198&gt;F$2,'ProductSprint Backlog'!$M198,0)</f>
        <v>0</v>
      </c>
      <c r="G37" s="51">
        <f>IF('ProductSprint Backlog'!$L198&gt;G$2,'ProductSprint Backlog'!$M198,0)</f>
        <v>0</v>
      </c>
      <c r="H37" s="51">
        <f>IF('ProductSprint Backlog'!$L198&gt;H$2,'ProductSprint Backlog'!$M198,0)</f>
        <v>0</v>
      </c>
      <c r="I37" s="51">
        <f>IF('ProductSprint Backlog'!$L198&gt;I$2,'ProductSprint Backlog'!$M198,0)</f>
        <v>0</v>
      </c>
      <c r="J37" s="51">
        <f>IF('ProductSprint Backlog'!$L198&gt;J$2,'ProductSprint Backlog'!$M198,0)</f>
        <v>0</v>
      </c>
      <c r="K37" s="51">
        <f>IF('ProductSprint Backlog'!$L198&gt;K$2,'ProductSprint Backlog'!$M198,0)</f>
        <v>0</v>
      </c>
      <c r="L37" s="51">
        <f>IF('ProductSprint Backlog'!$L198&gt;L$2,'ProductSprint Backlog'!$M198,0)</f>
        <v>0</v>
      </c>
      <c r="M37" s="51">
        <f>IF('ProductSprint Backlog'!$L198&gt;M$2,'ProductSprint Backlog'!$M198,0)</f>
        <v>0</v>
      </c>
      <c r="N37" s="51">
        <f>IF('ProductSprint Backlog'!$L198&gt;N$2,'ProductSprint Backlog'!$M198,0)</f>
        <v>0</v>
      </c>
      <c r="O37" s="51">
        <f>IF('ProductSprint Backlog'!$L198&gt;O$2,'ProductSprint Backlog'!$M198,0)</f>
        <v>0</v>
      </c>
      <c r="P37" s="51">
        <f>IF('ProductSprint Backlog'!$L198&gt;P$2,'ProductSprint Backlog'!$M198,0)</f>
        <v>0</v>
      </c>
    </row>
    <row r="38" spans="1:16" ht="38.25" x14ac:dyDescent="0.2">
      <c r="A38" s="17" t="s">
        <v>311</v>
      </c>
      <c r="B38" s="51">
        <f>IF('ProductSprint Backlog'!$L199&gt;B$2,'ProductSprint Backlog'!$M199,0)</f>
        <v>1</v>
      </c>
      <c r="C38" s="51">
        <f>IF('ProductSprint Backlog'!$L199&gt;C$2,'ProductSprint Backlog'!$M199,0)</f>
        <v>1</v>
      </c>
      <c r="D38" s="51">
        <f>IF('ProductSprint Backlog'!$L199&gt;D$2,'ProductSprint Backlog'!$M199,0)</f>
        <v>1</v>
      </c>
      <c r="E38" s="51">
        <f>IF('ProductSprint Backlog'!$L199&gt;E$2,'ProductSprint Backlog'!$M199,0)</f>
        <v>1</v>
      </c>
      <c r="F38" s="51">
        <f>IF('ProductSprint Backlog'!$L199&gt;F$2,'ProductSprint Backlog'!$M199,0)</f>
        <v>1</v>
      </c>
      <c r="G38" s="51">
        <f>IF('ProductSprint Backlog'!$L199&gt;G$2,'ProductSprint Backlog'!$M199,0)</f>
        <v>1</v>
      </c>
      <c r="H38" s="51">
        <f>IF('ProductSprint Backlog'!$L199&gt;H$2,'ProductSprint Backlog'!$M199,0)</f>
        <v>0</v>
      </c>
      <c r="I38" s="51">
        <f>IF('ProductSprint Backlog'!$L199&gt;I$2,'ProductSprint Backlog'!$M199,0)</f>
        <v>0</v>
      </c>
      <c r="J38" s="51">
        <f>IF('ProductSprint Backlog'!$L199&gt;J$2,'ProductSprint Backlog'!$M199,0)</f>
        <v>0</v>
      </c>
      <c r="K38" s="51">
        <f>IF('ProductSprint Backlog'!$L199&gt;K$2,'ProductSprint Backlog'!$M199,0)</f>
        <v>0</v>
      </c>
      <c r="L38" s="51">
        <f>IF('ProductSprint Backlog'!$L199&gt;L$2,'ProductSprint Backlog'!$M199,0)</f>
        <v>0</v>
      </c>
      <c r="M38" s="51">
        <f>IF('ProductSprint Backlog'!$L199&gt;M$2,'ProductSprint Backlog'!$M199,0)</f>
        <v>0</v>
      </c>
      <c r="N38" s="51">
        <f>IF('ProductSprint Backlog'!$L199&gt;N$2,'ProductSprint Backlog'!$M199,0)</f>
        <v>0</v>
      </c>
      <c r="O38" s="51">
        <f>IF('ProductSprint Backlog'!$L199&gt;O$2,'ProductSprint Backlog'!$M199,0)</f>
        <v>0</v>
      </c>
      <c r="P38" s="51">
        <f>IF('ProductSprint Backlog'!$L199&gt;P$2,'ProductSprint Backlog'!$M199,0)</f>
        <v>0</v>
      </c>
    </row>
    <row r="39" spans="1:16" ht="25.5" x14ac:dyDescent="0.2">
      <c r="A39" s="17" t="s">
        <v>313</v>
      </c>
      <c r="B39" s="51">
        <f>IF('ProductSprint Backlog'!$L200&gt;B$2,'ProductSprint Backlog'!$M200,0)</f>
        <v>1</v>
      </c>
      <c r="C39" s="51">
        <f>IF('ProductSprint Backlog'!$L200&gt;C$2,'ProductSprint Backlog'!$M200,0)</f>
        <v>1</v>
      </c>
      <c r="D39" s="51">
        <f>IF('ProductSprint Backlog'!$L200&gt;D$2,'ProductSprint Backlog'!$M200,0)</f>
        <v>1</v>
      </c>
      <c r="E39" s="51">
        <f>IF('ProductSprint Backlog'!$L200&gt;E$2,'ProductSprint Backlog'!$M200,0)</f>
        <v>1</v>
      </c>
      <c r="F39" s="51">
        <f>IF('ProductSprint Backlog'!$L200&gt;F$2,'ProductSprint Backlog'!$M200,0)</f>
        <v>1</v>
      </c>
      <c r="G39" s="51">
        <f>IF('ProductSprint Backlog'!$L200&gt;G$2,'ProductSprint Backlog'!$M200,0)</f>
        <v>1</v>
      </c>
      <c r="H39" s="51">
        <f>IF('ProductSprint Backlog'!$L200&gt;H$2,'ProductSprint Backlog'!$M200,0)</f>
        <v>0</v>
      </c>
      <c r="I39" s="51">
        <f>IF('ProductSprint Backlog'!$L200&gt;I$2,'ProductSprint Backlog'!$M200,0)</f>
        <v>0</v>
      </c>
      <c r="J39" s="51">
        <f>IF('ProductSprint Backlog'!$L200&gt;J$2,'ProductSprint Backlog'!$M200,0)</f>
        <v>0</v>
      </c>
      <c r="K39" s="51">
        <f>IF('ProductSprint Backlog'!$L200&gt;K$2,'ProductSprint Backlog'!$M200,0)</f>
        <v>0</v>
      </c>
      <c r="L39" s="51">
        <f>IF('ProductSprint Backlog'!$L200&gt;L$2,'ProductSprint Backlog'!$M200,0)</f>
        <v>0</v>
      </c>
      <c r="M39" s="51">
        <f>IF('ProductSprint Backlog'!$L200&gt;M$2,'ProductSprint Backlog'!$M200,0)</f>
        <v>0</v>
      </c>
      <c r="N39" s="51">
        <f>IF('ProductSprint Backlog'!$L200&gt;N$2,'ProductSprint Backlog'!$M200,0)</f>
        <v>0</v>
      </c>
      <c r="O39" s="51">
        <f>IF('ProductSprint Backlog'!$L200&gt;O$2,'ProductSprint Backlog'!$M200,0)</f>
        <v>0</v>
      </c>
      <c r="P39" s="51">
        <f>IF('ProductSprint Backlog'!$L200&gt;P$2,'ProductSprint Backlog'!$M200,0)</f>
        <v>0</v>
      </c>
    </row>
    <row r="40" spans="1:16" ht="25.5" x14ac:dyDescent="0.2">
      <c r="A40" s="17" t="s">
        <v>315</v>
      </c>
      <c r="B40" s="51">
        <f>IF('ProductSprint Backlog'!$L201&gt;B$2,'ProductSprint Backlog'!$M201,0)</f>
        <v>1</v>
      </c>
      <c r="C40" s="51">
        <f>IF('ProductSprint Backlog'!$L201&gt;C$2,'ProductSprint Backlog'!$M201,0)</f>
        <v>1</v>
      </c>
      <c r="D40" s="51">
        <f>IF('ProductSprint Backlog'!$L201&gt;D$2,'ProductSprint Backlog'!$M201,0)</f>
        <v>1</v>
      </c>
      <c r="E40" s="51">
        <f>IF('ProductSprint Backlog'!$L201&gt;E$2,'ProductSprint Backlog'!$M201,0)</f>
        <v>1</v>
      </c>
      <c r="F40" s="51">
        <f>IF('ProductSprint Backlog'!$L201&gt;F$2,'ProductSprint Backlog'!$M201,0)</f>
        <v>1</v>
      </c>
      <c r="G40" s="51">
        <f>IF('ProductSprint Backlog'!$L201&gt;G$2,'ProductSprint Backlog'!$M201,0)</f>
        <v>1</v>
      </c>
      <c r="H40" s="51">
        <f>IF('ProductSprint Backlog'!$L201&gt;H$2,'ProductSprint Backlog'!$M201,0)</f>
        <v>0</v>
      </c>
      <c r="I40" s="51">
        <f>IF('ProductSprint Backlog'!$L201&gt;I$2,'ProductSprint Backlog'!$M201,0)</f>
        <v>0</v>
      </c>
      <c r="J40" s="51">
        <f>IF('ProductSprint Backlog'!$L201&gt;J$2,'ProductSprint Backlog'!$M201,0)</f>
        <v>0</v>
      </c>
      <c r="K40" s="51">
        <f>IF('ProductSprint Backlog'!$L201&gt;K$2,'ProductSprint Backlog'!$M201,0)</f>
        <v>0</v>
      </c>
      <c r="L40" s="51">
        <f>IF('ProductSprint Backlog'!$L201&gt;L$2,'ProductSprint Backlog'!$M201,0)</f>
        <v>0</v>
      </c>
      <c r="M40" s="51">
        <f>IF('ProductSprint Backlog'!$L201&gt;M$2,'ProductSprint Backlog'!$M201,0)</f>
        <v>0</v>
      </c>
      <c r="N40" s="51">
        <f>IF('ProductSprint Backlog'!$L201&gt;N$2,'ProductSprint Backlog'!$M201,0)</f>
        <v>0</v>
      </c>
      <c r="O40" s="51">
        <f>IF('ProductSprint Backlog'!$L201&gt;O$2,'ProductSprint Backlog'!$M201,0)</f>
        <v>0</v>
      </c>
      <c r="P40" s="51">
        <f>IF('ProductSprint Backlog'!$L201&gt;P$2,'ProductSprint Backlog'!$M201,0)</f>
        <v>0</v>
      </c>
    </row>
    <row r="41" spans="1:16" ht="38.25" x14ac:dyDescent="0.2">
      <c r="A41" s="17" t="s">
        <v>318</v>
      </c>
      <c r="B41" s="51">
        <f>IF('ProductSprint Backlog'!$L202&gt;B$2,'ProductSprint Backlog'!$M202,0)</f>
        <v>1</v>
      </c>
      <c r="C41" s="51">
        <f>IF('ProductSprint Backlog'!$L202&gt;C$2,'ProductSprint Backlog'!$M202,0)</f>
        <v>1</v>
      </c>
      <c r="D41" s="51">
        <f>IF('ProductSprint Backlog'!$L202&gt;D$2,'ProductSprint Backlog'!$M202,0)</f>
        <v>1</v>
      </c>
      <c r="E41" s="51">
        <f>IF('ProductSprint Backlog'!$L202&gt;E$2,'ProductSprint Backlog'!$M202,0)</f>
        <v>1</v>
      </c>
      <c r="F41" s="51">
        <f>IF('ProductSprint Backlog'!$L202&gt;F$2,'ProductSprint Backlog'!$M202,0)</f>
        <v>1</v>
      </c>
      <c r="G41" s="51">
        <f>IF('ProductSprint Backlog'!$L202&gt;G$2,'ProductSprint Backlog'!$M202,0)</f>
        <v>1</v>
      </c>
      <c r="H41" s="51">
        <f>IF('ProductSprint Backlog'!$L202&gt;H$2,'ProductSprint Backlog'!$M202,0)</f>
        <v>1</v>
      </c>
      <c r="I41" s="51">
        <f>IF('ProductSprint Backlog'!$L202&gt;I$2,'ProductSprint Backlog'!$M202,0)</f>
        <v>1</v>
      </c>
      <c r="J41" s="51">
        <f>IF('ProductSprint Backlog'!$L202&gt;J$2,'ProductSprint Backlog'!$M202,0)</f>
        <v>1</v>
      </c>
      <c r="K41" s="51">
        <f>IF('ProductSprint Backlog'!$L202&gt;K$2,'ProductSprint Backlog'!$M202,0)</f>
        <v>1</v>
      </c>
      <c r="L41" s="51">
        <f>IF('ProductSprint Backlog'!$L202&gt;L$2,'ProductSprint Backlog'!$M202,0)</f>
        <v>0</v>
      </c>
      <c r="M41" s="51">
        <f>IF('ProductSprint Backlog'!$L202&gt;M$2,'ProductSprint Backlog'!$M202,0)</f>
        <v>0</v>
      </c>
      <c r="N41" s="51">
        <f>IF('ProductSprint Backlog'!$L202&gt;N$2,'ProductSprint Backlog'!$M202,0)</f>
        <v>0</v>
      </c>
      <c r="O41" s="51">
        <f>IF('ProductSprint Backlog'!$L202&gt;O$2,'ProductSprint Backlog'!$M202,0)</f>
        <v>0</v>
      </c>
      <c r="P41" s="51">
        <f>IF('ProductSprint Backlog'!$L202&gt;P$2,'ProductSprint Backlog'!$M202,0)</f>
        <v>0</v>
      </c>
    </row>
    <row r="42" spans="1:16" ht="38.25" x14ac:dyDescent="0.2">
      <c r="A42" s="17" t="s">
        <v>320</v>
      </c>
      <c r="B42" s="51">
        <f>IF('ProductSprint Backlog'!$L203&gt;B$2,'ProductSprint Backlog'!$M203,0)</f>
        <v>1</v>
      </c>
      <c r="C42" s="51">
        <f>IF('ProductSprint Backlog'!$L203&gt;C$2,'ProductSprint Backlog'!$M203,0)</f>
        <v>1</v>
      </c>
      <c r="D42" s="51">
        <f>IF('ProductSprint Backlog'!$L203&gt;D$2,'ProductSprint Backlog'!$M203,0)</f>
        <v>1</v>
      </c>
      <c r="E42" s="51">
        <f>IF('ProductSprint Backlog'!$L203&gt;E$2,'ProductSprint Backlog'!$M203,0)</f>
        <v>1</v>
      </c>
      <c r="F42" s="51">
        <f>IF('ProductSprint Backlog'!$L203&gt;F$2,'ProductSprint Backlog'!$M203,0)</f>
        <v>1</v>
      </c>
      <c r="G42" s="51">
        <f>IF('ProductSprint Backlog'!$L203&gt;G$2,'ProductSprint Backlog'!$M203,0)</f>
        <v>1</v>
      </c>
      <c r="H42" s="51">
        <f>IF('ProductSprint Backlog'!$L203&gt;H$2,'ProductSprint Backlog'!$M203,0)</f>
        <v>1</v>
      </c>
      <c r="I42" s="51">
        <f>IF('ProductSprint Backlog'!$L203&gt;I$2,'ProductSprint Backlog'!$M203,0)</f>
        <v>1</v>
      </c>
      <c r="J42" s="51">
        <f>IF('ProductSprint Backlog'!$L203&gt;J$2,'ProductSprint Backlog'!$M203,0)</f>
        <v>1</v>
      </c>
      <c r="K42" s="51">
        <f>IF('ProductSprint Backlog'!$L203&gt;K$2,'ProductSprint Backlog'!$M203,0)</f>
        <v>1</v>
      </c>
      <c r="L42" s="51">
        <f>IF('ProductSprint Backlog'!$L203&gt;L$2,'ProductSprint Backlog'!$M203,0)</f>
        <v>0</v>
      </c>
      <c r="M42" s="51">
        <f>IF('ProductSprint Backlog'!$L203&gt;M$2,'ProductSprint Backlog'!$M203,0)</f>
        <v>0</v>
      </c>
      <c r="N42" s="51">
        <f>IF('ProductSprint Backlog'!$L203&gt;N$2,'ProductSprint Backlog'!$M203,0)</f>
        <v>0</v>
      </c>
      <c r="O42" s="51">
        <f>IF('ProductSprint Backlog'!$L203&gt;O$2,'ProductSprint Backlog'!$M203,0)</f>
        <v>0</v>
      </c>
      <c r="P42" s="51">
        <f>IF('ProductSprint Backlog'!$L203&gt;P$2,'ProductSprint Backlog'!$M203,0)</f>
        <v>0</v>
      </c>
    </row>
    <row r="43" spans="1:16" ht="38.25" x14ac:dyDescent="0.2">
      <c r="A43" s="17" t="s">
        <v>322</v>
      </c>
      <c r="B43" s="51">
        <f>IF('ProductSprint Backlog'!$L204&gt;B$2,'ProductSprint Backlog'!$M204,0)</f>
        <v>1</v>
      </c>
      <c r="C43" s="51">
        <f>IF('ProductSprint Backlog'!$L204&gt;C$2,'ProductSprint Backlog'!$M204,0)</f>
        <v>1</v>
      </c>
      <c r="D43" s="51">
        <f>IF('ProductSprint Backlog'!$L204&gt;D$2,'ProductSprint Backlog'!$M204,0)</f>
        <v>1</v>
      </c>
      <c r="E43" s="51">
        <f>IF('ProductSprint Backlog'!$L204&gt;E$2,'ProductSprint Backlog'!$M204,0)</f>
        <v>1</v>
      </c>
      <c r="F43" s="51">
        <f>IF('ProductSprint Backlog'!$L204&gt;F$2,'ProductSprint Backlog'!$M204,0)</f>
        <v>1</v>
      </c>
      <c r="G43" s="51">
        <f>IF('ProductSprint Backlog'!$L204&gt;G$2,'ProductSprint Backlog'!$M204,0)</f>
        <v>1</v>
      </c>
      <c r="H43" s="51">
        <f>IF('ProductSprint Backlog'!$L204&gt;H$2,'ProductSprint Backlog'!$M204,0)</f>
        <v>1</v>
      </c>
      <c r="I43" s="51">
        <f>IF('ProductSprint Backlog'!$L204&gt;I$2,'ProductSprint Backlog'!$M204,0)</f>
        <v>1</v>
      </c>
      <c r="J43" s="51">
        <f>IF('ProductSprint Backlog'!$L204&gt;J$2,'ProductSprint Backlog'!$M204,0)</f>
        <v>1</v>
      </c>
      <c r="K43" s="51">
        <f>IF('ProductSprint Backlog'!$L204&gt;K$2,'ProductSprint Backlog'!$M204,0)</f>
        <v>1</v>
      </c>
      <c r="L43" s="51">
        <f>IF('ProductSprint Backlog'!$L204&gt;L$2,'ProductSprint Backlog'!$M204,0)</f>
        <v>0</v>
      </c>
      <c r="M43" s="51">
        <f>IF('ProductSprint Backlog'!$L204&gt;M$2,'ProductSprint Backlog'!$M204,0)</f>
        <v>0</v>
      </c>
      <c r="N43" s="51">
        <f>IF('ProductSprint Backlog'!$L204&gt;N$2,'ProductSprint Backlog'!$M204,0)</f>
        <v>0</v>
      </c>
      <c r="O43" s="51">
        <f>IF('ProductSprint Backlog'!$L204&gt;O$2,'ProductSprint Backlog'!$M204,0)</f>
        <v>0</v>
      </c>
      <c r="P43" s="51">
        <f>IF('ProductSprint Backlog'!$L204&gt;P$2,'ProductSprint Backlog'!$M204,0)</f>
        <v>0</v>
      </c>
    </row>
    <row r="44" spans="1:16" ht="25.5" x14ac:dyDescent="0.2">
      <c r="A44" s="17" t="s">
        <v>76</v>
      </c>
      <c r="B44" s="51">
        <f>IF('ProductSprint Backlog'!$L205&gt;B$2,'ProductSprint Backlog'!$M205,0)</f>
        <v>1</v>
      </c>
      <c r="C44" s="51">
        <f>IF('ProductSprint Backlog'!$L205&gt;C$2,'ProductSprint Backlog'!$M205,0)</f>
        <v>1</v>
      </c>
      <c r="D44" s="51">
        <f>IF('ProductSprint Backlog'!$L205&gt;D$2,'ProductSprint Backlog'!$M205,0)</f>
        <v>1</v>
      </c>
      <c r="E44" s="51">
        <f>IF('ProductSprint Backlog'!$L205&gt;E$2,'ProductSprint Backlog'!$M205,0)</f>
        <v>1</v>
      </c>
      <c r="F44" s="51">
        <f>IF('ProductSprint Backlog'!$L205&gt;F$2,'ProductSprint Backlog'!$M205,0)</f>
        <v>1</v>
      </c>
      <c r="G44" s="51">
        <f>IF('ProductSprint Backlog'!$L205&gt;G$2,'ProductSprint Backlog'!$M205,0)</f>
        <v>1</v>
      </c>
      <c r="H44" s="51">
        <f>IF('ProductSprint Backlog'!$L205&gt;H$2,'ProductSprint Backlog'!$M205,0)</f>
        <v>1</v>
      </c>
      <c r="I44" s="51">
        <f>IF('ProductSprint Backlog'!$L205&gt;I$2,'ProductSprint Backlog'!$M205,0)</f>
        <v>1</v>
      </c>
      <c r="J44" s="51">
        <f>IF('ProductSprint Backlog'!$L205&gt;J$2,'ProductSprint Backlog'!$M205,0)</f>
        <v>1</v>
      </c>
      <c r="K44" s="51">
        <f>IF('ProductSprint Backlog'!$L205&gt;K$2,'ProductSprint Backlog'!$M205,0)</f>
        <v>1</v>
      </c>
      <c r="L44" s="51">
        <f>IF('ProductSprint Backlog'!$L205&gt;L$2,'ProductSprint Backlog'!$M205,0)</f>
        <v>1</v>
      </c>
      <c r="M44" s="51">
        <f>IF('ProductSprint Backlog'!$L205&gt;M$2,'ProductSprint Backlog'!$M205,0)</f>
        <v>1</v>
      </c>
      <c r="N44" s="51">
        <f>IF('ProductSprint Backlog'!$L205&gt;N$2,'ProductSprint Backlog'!$M205,0)</f>
        <v>0</v>
      </c>
      <c r="O44" s="51">
        <f>IF('ProductSprint Backlog'!$L205&gt;O$2,'ProductSprint Backlog'!$M205,0)</f>
        <v>0</v>
      </c>
      <c r="P44" s="51">
        <f>IF('ProductSprint Backlog'!$L205&gt;P$2,'ProductSprint Backlog'!$M205,0)</f>
        <v>0</v>
      </c>
    </row>
    <row r="45" spans="1:16" ht="25.5" x14ac:dyDescent="0.2">
      <c r="A45" s="17" t="s">
        <v>79</v>
      </c>
      <c r="B45" s="51">
        <f>IF('ProductSprint Backlog'!$L206&gt;B$2,'ProductSprint Backlog'!$M206,0)</f>
        <v>1</v>
      </c>
      <c r="C45" s="51">
        <f>IF('ProductSprint Backlog'!$L206&gt;C$2,'ProductSprint Backlog'!$M206,0)</f>
        <v>1</v>
      </c>
      <c r="D45" s="51">
        <f>IF('ProductSprint Backlog'!$L206&gt;D$2,'ProductSprint Backlog'!$M206,0)</f>
        <v>1</v>
      </c>
      <c r="E45" s="51">
        <f>IF('ProductSprint Backlog'!$L206&gt;E$2,'ProductSprint Backlog'!$M206,0)</f>
        <v>1</v>
      </c>
      <c r="F45" s="51">
        <f>IF('ProductSprint Backlog'!$L206&gt;F$2,'ProductSprint Backlog'!$M206,0)</f>
        <v>1</v>
      </c>
      <c r="G45" s="51">
        <f>IF('ProductSprint Backlog'!$L206&gt;G$2,'ProductSprint Backlog'!$M206,0)</f>
        <v>1</v>
      </c>
      <c r="H45" s="51">
        <f>IF('ProductSprint Backlog'!$L206&gt;H$2,'ProductSprint Backlog'!$M206,0)</f>
        <v>1</v>
      </c>
      <c r="I45" s="51">
        <f>IF('ProductSprint Backlog'!$L206&gt;I$2,'ProductSprint Backlog'!$M206,0)</f>
        <v>1</v>
      </c>
      <c r="J45" s="51">
        <f>IF('ProductSprint Backlog'!$L206&gt;J$2,'ProductSprint Backlog'!$M206,0)</f>
        <v>1</v>
      </c>
      <c r="K45" s="51">
        <f>IF('ProductSprint Backlog'!$L206&gt;K$2,'ProductSprint Backlog'!$M206,0)</f>
        <v>1</v>
      </c>
      <c r="L45" s="51">
        <f>IF('ProductSprint Backlog'!$L206&gt;L$2,'ProductSprint Backlog'!$M206,0)</f>
        <v>1</v>
      </c>
      <c r="M45" s="51">
        <f>IF('ProductSprint Backlog'!$L206&gt;M$2,'ProductSprint Backlog'!$M206,0)</f>
        <v>1</v>
      </c>
      <c r="N45" s="51">
        <f>IF('ProductSprint Backlog'!$L206&gt;N$2,'ProductSprint Backlog'!$M206,0)</f>
        <v>0</v>
      </c>
      <c r="O45" s="51">
        <f>IF('ProductSprint Backlog'!$L206&gt;O$2,'ProductSprint Backlog'!$M206,0)</f>
        <v>0</v>
      </c>
      <c r="P45" s="51">
        <f>IF('ProductSprint Backlog'!$L206&gt;P$2,'ProductSprint Backlog'!$M206,0)</f>
        <v>0</v>
      </c>
    </row>
    <row r="46" spans="1:16" ht="38.25" x14ac:dyDescent="0.2">
      <c r="A46" s="17" t="s">
        <v>81</v>
      </c>
      <c r="B46" s="51">
        <f>IF('ProductSprint Backlog'!$L207&gt;B$2,'ProductSprint Backlog'!$M207,0)</f>
        <v>1</v>
      </c>
      <c r="C46" s="51">
        <f>IF('ProductSprint Backlog'!$L207&gt;C$2,'ProductSprint Backlog'!$M207,0)</f>
        <v>1</v>
      </c>
      <c r="D46" s="51">
        <f>IF('ProductSprint Backlog'!$L207&gt;D$2,'ProductSprint Backlog'!$M207,0)</f>
        <v>1</v>
      </c>
      <c r="E46" s="51">
        <f>IF('ProductSprint Backlog'!$L207&gt;E$2,'ProductSprint Backlog'!$M207,0)</f>
        <v>1</v>
      </c>
      <c r="F46" s="51">
        <f>IF('ProductSprint Backlog'!$L207&gt;F$2,'ProductSprint Backlog'!$M207,0)</f>
        <v>1</v>
      </c>
      <c r="G46" s="51">
        <f>IF('ProductSprint Backlog'!$L207&gt;G$2,'ProductSprint Backlog'!$M207,0)</f>
        <v>1</v>
      </c>
      <c r="H46" s="51">
        <f>IF('ProductSprint Backlog'!$L207&gt;H$2,'ProductSprint Backlog'!$M207,0)</f>
        <v>1</v>
      </c>
      <c r="I46" s="51">
        <f>IF('ProductSprint Backlog'!$L207&gt;I$2,'ProductSprint Backlog'!$M207,0)</f>
        <v>1</v>
      </c>
      <c r="J46" s="51">
        <f>IF('ProductSprint Backlog'!$L207&gt;J$2,'ProductSprint Backlog'!$M207,0)</f>
        <v>1</v>
      </c>
      <c r="K46" s="51">
        <f>IF('ProductSprint Backlog'!$L207&gt;K$2,'ProductSprint Backlog'!$M207,0)</f>
        <v>1</v>
      </c>
      <c r="L46" s="51">
        <f>IF('ProductSprint Backlog'!$L207&gt;L$2,'ProductSprint Backlog'!$M207,0)</f>
        <v>1</v>
      </c>
      <c r="M46" s="51">
        <f>IF('ProductSprint Backlog'!$L207&gt;M$2,'ProductSprint Backlog'!$M207,0)</f>
        <v>1</v>
      </c>
      <c r="N46" s="51">
        <f>IF('ProductSprint Backlog'!$L207&gt;N$2,'ProductSprint Backlog'!$M207,0)</f>
        <v>0</v>
      </c>
      <c r="O46" s="51">
        <f>IF('ProductSprint Backlog'!$L207&gt;O$2,'ProductSprint Backlog'!$M207,0)</f>
        <v>0</v>
      </c>
      <c r="P46" s="51">
        <f>IF('ProductSprint Backlog'!$L207&gt;P$2,'ProductSprint Backlog'!$M207,0)</f>
        <v>0</v>
      </c>
    </row>
    <row r="47" spans="1:16" ht="25.5" x14ac:dyDescent="0.2">
      <c r="A47" s="17" t="s">
        <v>83</v>
      </c>
      <c r="B47" s="51">
        <f>IF('ProductSprint Backlog'!$L208&gt;B$2,'ProductSprint Backlog'!$M208,0)</f>
        <v>1</v>
      </c>
      <c r="C47" s="51">
        <f>IF('ProductSprint Backlog'!$L208&gt;C$2,'ProductSprint Backlog'!$M208,0)</f>
        <v>1</v>
      </c>
      <c r="D47" s="51">
        <f>IF('ProductSprint Backlog'!$L208&gt;D$2,'ProductSprint Backlog'!$M208,0)</f>
        <v>1</v>
      </c>
      <c r="E47" s="51">
        <f>IF('ProductSprint Backlog'!$L208&gt;E$2,'ProductSprint Backlog'!$M208,0)</f>
        <v>1</v>
      </c>
      <c r="F47" s="51">
        <f>IF('ProductSprint Backlog'!$L208&gt;F$2,'ProductSprint Backlog'!$M208,0)</f>
        <v>1</v>
      </c>
      <c r="G47" s="51">
        <f>IF('ProductSprint Backlog'!$L208&gt;G$2,'ProductSprint Backlog'!$M208,0)</f>
        <v>1</v>
      </c>
      <c r="H47" s="51">
        <f>IF('ProductSprint Backlog'!$L208&gt;H$2,'ProductSprint Backlog'!$M208,0)</f>
        <v>1</v>
      </c>
      <c r="I47" s="51">
        <f>IF('ProductSprint Backlog'!$L208&gt;I$2,'ProductSprint Backlog'!$M208,0)</f>
        <v>1</v>
      </c>
      <c r="J47" s="51">
        <f>IF('ProductSprint Backlog'!$L208&gt;J$2,'ProductSprint Backlog'!$M208,0)</f>
        <v>1</v>
      </c>
      <c r="K47" s="51">
        <f>IF('ProductSprint Backlog'!$L208&gt;K$2,'ProductSprint Backlog'!$M208,0)</f>
        <v>1</v>
      </c>
      <c r="L47" s="51">
        <f>IF('ProductSprint Backlog'!$L208&gt;L$2,'ProductSprint Backlog'!$M208,0)</f>
        <v>1</v>
      </c>
      <c r="M47" s="51">
        <f>IF('ProductSprint Backlog'!$L208&gt;M$2,'ProductSprint Backlog'!$M208,0)</f>
        <v>1</v>
      </c>
      <c r="N47" s="51">
        <f>IF('ProductSprint Backlog'!$L208&gt;N$2,'ProductSprint Backlog'!$M208,0)</f>
        <v>0</v>
      </c>
      <c r="O47" s="51">
        <f>IF('ProductSprint Backlog'!$L208&gt;O$2,'ProductSprint Backlog'!$M208,0)</f>
        <v>0</v>
      </c>
      <c r="P47" s="51">
        <f>IF('ProductSprint Backlog'!$L208&gt;P$2,'ProductSprint Backlog'!$M208,0)</f>
        <v>0</v>
      </c>
    </row>
    <row r="48" spans="1:16" ht="38.25" x14ac:dyDescent="0.2">
      <c r="A48" s="17" t="s">
        <v>325</v>
      </c>
      <c r="B48" s="51">
        <f>IF('ProductSprint Backlog'!$L209&gt;B$2,'ProductSprint Backlog'!$M209,0)</f>
        <v>1</v>
      </c>
      <c r="C48" s="51">
        <f>IF('ProductSprint Backlog'!$L209&gt;C$2,'ProductSprint Backlog'!$M209,0)</f>
        <v>1</v>
      </c>
      <c r="D48" s="51">
        <f>IF('ProductSprint Backlog'!$L209&gt;D$2,'ProductSprint Backlog'!$M209,0)</f>
        <v>1</v>
      </c>
      <c r="E48" s="51">
        <f>IF('ProductSprint Backlog'!$L209&gt;E$2,'ProductSprint Backlog'!$M209,0)</f>
        <v>1</v>
      </c>
      <c r="F48" s="51">
        <f>IF('ProductSprint Backlog'!$L209&gt;F$2,'ProductSprint Backlog'!$M209,0)</f>
        <v>1</v>
      </c>
      <c r="G48" s="51">
        <f>IF('ProductSprint Backlog'!$L209&gt;G$2,'ProductSprint Backlog'!$M209,0)</f>
        <v>1</v>
      </c>
      <c r="H48" s="51">
        <f>IF('ProductSprint Backlog'!$L209&gt;H$2,'ProductSprint Backlog'!$M209,0)</f>
        <v>1</v>
      </c>
      <c r="I48" s="51">
        <f>IF('ProductSprint Backlog'!$L209&gt;I$2,'ProductSprint Backlog'!$M209,0)</f>
        <v>1</v>
      </c>
      <c r="J48" s="51">
        <f>IF('ProductSprint Backlog'!$L209&gt;J$2,'ProductSprint Backlog'!$M209,0)</f>
        <v>1</v>
      </c>
      <c r="K48" s="51">
        <f>IF('ProductSprint Backlog'!$L209&gt;K$2,'ProductSprint Backlog'!$M209,0)</f>
        <v>1</v>
      </c>
      <c r="L48" s="51">
        <f>IF('ProductSprint Backlog'!$L209&gt;L$2,'ProductSprint Backlog'!$M209,0)</f>
        <v>1</v>
      </c>
      <c r="M48" s="51">
        <f>IF('ProductSprint Backlog'!$L209&gt;M$2,'ProductSprint Backlog'!$M209,0)</f>
        <v>1</v>
      </c>
      <c r="N48" s="51">
        <f>IF('ProductSprint Backlog'!$L209&gt;N$2,'ProductSprint Backlog'!$M209,0)</f>
        <v>0</v>
      </c>
      <c r="O48" s="51">
        <f>IF('ProductSprint Backlog'!$L209&gt;O$2,'ProductSprint Backlog'!$M209,0)</f>
        <v>0</v>
      </c>
      <c r="P48" s="51">
        <f>IF('ProductSprint Backlog'!$L209&gt;P$2,'ProductSprint Backlog'!$M209,0)</f>
        <v>0</v>
      </c>
    </row>
    <row r="49" spans="1:16" ht="38.25" x14ac:dyDescent="0.2">
      <c r="A49" s="17" t="s">
        <v>328</v>
      </c>
      <c r="B49" s="51">
        <f>IF('ProductSprint Backlog'!$L210&gt;B$2,'ProductSprint Backlog'!$M210,0)</f>
        <v>0.5</v>
      </c>
      <c r="C49" s="51">
        <f>IF('ProductSprint Backlog'!$L210&gt;C$2,'ProductSprint Backlog'!$M210,0)</f>
        <v>0</v>
      </c>
      <c r="D49" s="51">
        <f>IF('ProductSprint Backlog'!$L210&gt;D$2,'ProductSprint Backlog'!$M210,0)</f>
        <v>0</v>
      </c>
      <c r="E49" s="51">
        <f>IF('ProductSprint Backlog'!$L210&gt;E$2,'ProductSprint Backlog'!$M210,0)</f>
        <v>0</v>
      </c>
      <c r="F49" s="51">
        <f>IF('ProductSprint Backlog'!$L210&gt;F$2,'ProductSprint Backlog'!$M210,0)</f>
        <v>0</v>
      </c>
      <c r="G49" s="51">
        <f>IF('ProductSprint Backlog'!$L210&gt;G$2,'ProductSprint Backlog'!$M210,0)</f>
        <v>0</v>
      </c>
      <c r="H49" s="51">
        <f>IF('ProductSprint Backlog'!$L210&gt;H$2,'ProductSprint Backlog'!$M210,0)</f>
        <v>0</v>
      </c>
      <c r="I49" s="51">
        <f>IF('ProductSprint Backlog'!$L210&gt;I$2,'ProductSprint Backlog'!$M210,0)</f>
        <v>0</v>
      </c>
      <c r="J49" s="51">
        <f>IF('ProductSprint Backlog'!$L210&gt;J$2,'ProductSprint Backlog'!$M210,0)</f>
        <v>0</v>
      </c>
      <c r="K49" s="51">
        <f>IF('ProductSprint Backlog'!$L210&gt;K$2,'ProductSprint Backlog'!$M210,0)</f>
        <v>0</v>
      </c>
      <c r="L49" s="51">
        <f>IF('ProductSprint Backlog'!$L210&gt;L$2,'ProductSprint Backlog'!$M210,0)</f>
        <v>0</v>
      </c>
      <c r="M49" s="51">
        <f>IF('ProductSprint Backlog'!$L210&gt;M$2,'ProductSprint Backlog'!$M210,0)</f>
        <v>0</v>
      </c>
      <c r="N49" s="51">
        <f>IF('ProductSprint Backlog'!$L210&gt;N$2,'ProductSprint Backlog'!$M210,0)</f>
        <v>0</v>
      </c>
      <c r="O49" s="51">
        <f>IF('ProductSprint Backlog'!$L210&gt;O$2,'ProductSprint Backlog'!$M210,0)</f>
        <v>0</v>
      </c>
      <c r="P49" s="51">
        <f>IF('ProductSprint Backlog'!$L210&gt;P$2,'ProductSprint Backlog'!$M210,0)</f>
        <v>0</v>
      </c>
    </row>
    <row r="50" spans="1:16" ht="25.5" x14ac:dyDescent="0.2">
      <c r="A50" s="17" t="s">
        <v>330</v>
      </c>
      <c r="B50" s="51">
        <f>IF('ProductSprint Backlog'!$L211&gt;B$2,'ProductSprint Backlog'!$M211,0)</f>
        <v>0.5</v>
      </c>
      <c r="C50" s="51">
        <f>IF('ProductSprint Backlog'!$L211&gt;C$2,'ProductSprint Backlog'!$M211,0)</f>
        <v>0</v>
      </c>
      <c r="D50" s="51">
        <f>IF('ProductSprint Backlog'!$L211&gt;D$2,'ProductSprint Backlog'!$M211,0)</f>
        <v>0</v>
      </c>
      <c r="E50" s="51">
        <f>IF('ProductSprint Backlog'!$L211&gt;E$2,'ProductSprint Backlog'!$M211,0)</f>
        <v>0</v>
      </c>
      <c r="F50" s="51">
        <f>IF('ProductSprint Backlog'!$L211&gt;F$2,'ProductSprint Backlog'!$M211,0)</f>
        <v>0</v>
      </c>
      <c r="G50" s="51">
        <f>IF('ProductSprint Backlog'!$L211&gt;G$2,'ProductSprint Backlog'!$M211,0)</f>
        <v>0</v>
      </c>
      <c r="H50" s="51">
        <f>IF('ProductSprint Backlog'!$L211&gt;H$2,'ProductSprint Backlog'!$M211,0)</f>
        <v>0</v>
      </c>
      <c r="I50" s="51">
        <f>IF('ProductSprint Backlog'!$L211&gt;I$2,'ProductSprint Backlog'!$M211,0)</f>
        <v>0</v>
      </c>
      <c r="J50" s="51">
        <f>IF('ProductSprint Backlog'!$L211&gt;J$2,'ProductSprint Backlog'!$M211,0)</f>
        <v>0</v>
      </c>
      <c r="K50" s="51">
        <f>IF('ProductSprint Backlog'!$L211&gt;K$2,'ProductSprint Backlog'!$M211,0)</f>
        <v>0</v>
      </c>
      <c r="L50" s="51">
        <f>IF('ProductSprint Backlog'!$L211&gt;L$2,'ProductSprint Backlog'!$M211,0)</f>
        <v>0</v>
      </c>
      <c r="M50" s="51">
        <f>IF('ProductSprint Backlog'!$L211&gt;M$2,'ProductSprint Backlog'!$M211,0)</f>
        <v>0</v>
      </c>
      <c r="N50" s="51">
        <f>IF('ProductSprint Backlog'!$L211&gt;N$2,'ProductSprint Backlog'!$M211,0)</f>
        <v>0</v>
      </c>
      <c r="O50" s="51">
        <f>IF('ProductSprint Backlog'!$L211&gt;O$2,'ProductSprint Backlog'!$M211,0)</f>
        <v>0</v>
      </c>
      <c r="P50" s="51">
        <f>IF('ProductSprint Backlog'!$L211&gt;P$2,'ProductSprint Backlog'!$M211,0)</f>
        <v>0</v>
      </c>
    </row>
    <row r="51" spans="1:16" ht="38.25" x14ac:dyDescent="0.2">
      <c r="A51" s="17" t="s">
        <v>332</v>
      </c>
      <c r="B51" s="51">
        <f>IF('ProductSprint Backlog'!$L212&gt;B$2,'ProductSprint Backlog'!$M212,0)</f>
        <v>0.5</v>
      </c>
      <c r="C51" s="51">
        <f>IF('ProductSprint Backlog'!$L212&gt;C$2,'ProductSprint Backlog'!$M212,0)</f>
        <v>0</v>
      </c>
      <c r="D51" s="51">
        <f>IF('ProductSprint Backlog'!$L212&gt;D$2,'ProductSprint Backlog'!$M212,0)</f>
        <v>0</v>
      </c>
      <c r="E51" s="51">
        <f>IF('ProductSprint Backlog'!$L212&gt;E$2,'ProductSprint Backlog'!$M212,0)</f>
        <v>0</v>
      </c>
      <c r="F51" s="51">
        <f>IF('ProductSprint Backlog'!$L212&gt;F$2,'ProductSprint Backlog'!$M212,0)</f>
        <v>0</v>
      </c>
      <c r="G51" s="51">
        <f>IF('ProductSprint Backlog'!$L212&gt;G$2,'ProductSprint Backlog'!$M212,0)</f>
        <v>0</v>
      </c>
      <c r="H51" s="51">
        <f>IF('ProductSprint Backlog'!$L212&gt;H$2,'ProductSprint Backlog'!$M212,0)</f>
        <v>0</v>
      </c>
      <c r="I51" s="51">
        <f>IF('ProductSprint Backlog'!$L212&gt;I$2,'ProductSprint Backlog'!$M212,0)</f>
        <v>0</v>
      </c>
      <c r="J51" s="51">
        <f>IF('ProductSprint Backlog'!$L212&gt;J$2,'ProductSprint Backlog'!$M212,0)</f>
        <v>0</v>
      </c>
      <c r="K51" s="51">
        <f>IF('ProductSprint Backlog'!$L212&gt;K$2,'ProductSprint Backlog'!$M212,0)</f>
        <v>0</v>
      </c>
      <c r="L51" s="51">
        <f>IF('ProductSprint Backlog'!$L212&gt;L$2,'ProductSprint Backlog'!$M212,0)</f>
        <v>0</v>
      </c>
      <c r="M51" s="51">
        <f>IF('ProductSprint Backlog'!$L212&gt;M$2,'ProductSprint Backlog'!$M212,0)</f>
        <v>0</v>
      </c>
      <c r="N51" s="51">
        <f>IF('ProductSprint Backlog'!$L212&gt;N$2,'ProductSprint Backlog'!$M212,0)</f>
        <v>0</v>
      </c>
      <c r="O51" s="51">
        <f>IF('ProductSprint Backlog'!$L212&gt;O$2,'ProductSprint Backlog'!$M212,0)</f>
        <v>0</v>
      </c>
      <c r="P51" s="51">
        <f>IF('ProductSprint Backlog'!$L212&gt;P$2,'ProductSprint Backlog'!$M212,0)</f>
        <v>0</v>
      </c>
    </row>
    <row r="52" spans="1:16" ht="25.5" x14ac:dyDescent="0.2">
      <c r="A52" s="17" t="s">
        <v>254</v>
      </c>
      <c r="B52" s="51">
        <f>IF('ProductSprint Backlog'!$L213&gt;B$2,'ProductSprint Backlog'!$M213,0)</f>
        <v>0.5</v>
      </c>
      <c r="C52" s="51">
        <f>IF('ProductSprint Backlog'!$L213&gt;C$2,'ProductSprint Backlog'!$M213,0)</f>
        <v>0.5</v>
      </c>
      <c r="D52" s="51">
        <f>IF('ProductSprint Backlog'!$L213&gt;D$2,'ProductSprint Backlog'!$M213,0)</f>
        <v>0.5</v>
      </c>
      <c r="E52" s="51">
        <f>IF('ProductSprint Backlog'!$L213&gt;E$2,'ProductSprint Backlog'!$M213,0)</f>
        <v>0</v>
      </c>
      <c r="F52" s="51">
        <f>IF('ProductSprint Backlog'!$L213&gt;F$2,'ProductSprint Backlog'!$M213,0)</f>
        <v>0</v>
      </c>
      <c r="G52" s="51">
        <f>IF('ProductSprint Backlog'!$L213&gt;G$2,'ProductSprint Backlog'!$M213,0)</f>
        <v>0</v>
      </c>
      <c r="H52" s="51">
        <f>IF('ProductSprint Backlog'!$L213&gt;H$2,'ProductSprint Backlog'!$M213,0)</f>
        <v>0</v>
      </c>
      <c r="I52" s="51">
        <f>IF('ProductSprint Backlog'!$L213&gt;I$2,'ProductSprint Backlog'!$M213,0)</f>
        <v>0</v>
      </c>
      <c r="J52" s="51">
        <f>IF('ProductSprint Backlog'!$L213&gt;J$2,'ProductSprint Backlog'!$M213,0)</f>
        <v>0</v>
      </c>
      <c r="K52" s="51">
        <f>IF('ProductSprint Backlog'!$L213&gt;K$2,'ProductSprint Backlog'!$M213,0)</f>
        <v>0</v>
      </c>
      <c r="L52" s="51">
        <f>IF('ProductSprint Backlog'!$L213&gt;L$2,'ProductSprint Backlog'!$M213,0)</f>
        <v>0</v>
      </c>
      <c r="M52" s="51">
        <f>IF('ProductSprint Backlog'!$L213&gt;M$2,'ProductSprint Backlog'!$M213,0)</f>
        <v>0</v>
      </c>
      <c r="N52" s="51">
        <f>IF('ProductSprint Backlog'!$L213&gt;N$2,'ProductSprint Backlog'!$M213,0)</f>
        <v>0</v>
      </c>
      <c r="O52" s="51">
        <f>IF('ProductSprint Backlog'!$L213&gt;O$2,'ProductSprint Backlog'!$M213,0)</f>
        <v>0</v>
      </c>
      <c r="P52" s="51">
        <f>IF('ProductSprint Backlog'!$L213&gt;P$2,'ProductSprint Backlog'!$M213,0)</f>
        <v>0</v>
      </c>
    </row>
    <row r="53" spans="1:16" ht="25.5" x14ac:dyDescent="0.2">
      <c r="A53" s="17" t="s">
        <v>212</v>
      </c>
      <c r="B53" s="51">
        <f>IF('ProductSprint Backlog'!$L214&gt;B$2,'ProductSprint Backlog'!$M214,0)</f>
        <v>0.5</v>
      </c>
      <c r="C53" s="51">
        <f>IF('ProductSprint Backlog'!$L214&gt;C$2,'ProductSprint Backlog'!$M214,0)</f>
        <v>0.5</v>
      </c>
      <c r="D53" s="51">
        <f>IF('ProductSprint Backlog'!$L214&gt;D$2,'ProductSprint Backlog'!$M214,0)</f>
        <v>0.5</v>
      </c>
      <c r="E53" s="51">
        <f>IF('ProductSprint Backlog'!$L214&gt;E$2,'ProductSprint Backlog'!$M214,0)</f>
        <v>0</v>
      </c>
      <c r="F53" s="51">
        <f>IF('ProductSprint Backlog'!$L214&gt;F$2,'ProductSprint Backlog'!$M214,0)</f>
        <v>0</v>
      </c>
      <c r="G53" s="51">
        <f>IF('ProductSprint Backlog'!$L214&gt;G$2,'ProductSprint Backlog'!$M214,0)</f>
        <v>0</v>
      </c>
      <c r="H53" s="51">
        <f>IF('ProductSprint Backlog'!$L214&gt;H$2,'ProductSprint Backlog'!$M214,0)</f>
        <v>0</v>
      </c>
      <c r="I53" s="51">
        <f>IF('ProductSprint Backlog'!$L214&gt;I$2,'ProductSprint Backlog'!$M214,0)</f>
        <v>0</v>
      </c>
      <c r="J53" s="51">
        <f>IF('ProductSprint Backlog'!$L214&gt;J$2,'ProductSprint Backlog'!$M214,0)</f>
        <v>0</v>
      </c>
      <c r="K53" s="51">
        <f>IF('ProductSprint Backlog'!$L214&gt;K$2,'ProductSprint Backlog'!$M214,0)</f>
        <v>0</v>
      </c>
      <c r="L53" s="51">
        <f>IF('ProductSprint Backlog'!$L214&gt;L$2,'ProductSprint Backlog'!$M214,0)</f>
        <v>0</v>
      </c>
      <c r="M53" s="51">
        <f>IF('ProductSprint Backlog'!$L214&gt;M$2,'ProductSprint Backlog'!$M214,0)</f>
        <v>0</v>
      </c>
      <c r="N53" s="51">
        <f>IF('ProductSprint Backlog'!$L214&gt;N$2,'ProductSprint Backlog'!$M214,0)</f>
        <v>0</v>
      </c>
      <c r="O53" s="51">
        <f>IF('ProductSprint Backlog'!$L214&gt;O$2,'ProductSprint Backlog'!$M214,0)</f>
        <v>0</v>
      </c>
      <c r="P53" s="51">
        <f>IF('ProductSprint Backlog'!$L214&gt;P$2,'ProductSprint Backlog'!$M214,0)</f>
        <v>0</v>
      </c>
    </row>
    <row r="54" spans="1:16" ht="38.25" x14ac:dyDescent="0.2">
      <c r="A54" s="17" t="s">
        <v>335</v>
      </c>
      <c r="B54" s="51">
        <f>IF('ProductSprint Backlog'!$L215&gt;B$2,'ProductSprint Backlog'!$M215,0)</f>
        <v>2</v>
      </c>
      <c r="C54" s="51">
        <f>IF('ProductSprint Backlog'!$L215&gt;C$2,'ProductSprint Backlog'!$M215,0)</f>
        <v>2</v>
      </c>
      <c r="D54" s="51">
        <f>IF('ProductSprint Backlog'!$L215&gt;D$2,'ProductSprint Backlog'!$M215,0)</f>
        <v>2</v>
      </c>
      <c r="E54" s="51">
        <f>IF('ProductSprint Backlog'!$L215&gt;E$2,'ProductSprint Backlog'!$M215,0)</f>
        <v>0</v>
      </c>
      <c r="F54" s="51">
        <f>IF('ProductSprint Backlog'!$L215&gt;F$2,'ProductSprint Backlog'!$M215,0)</f>
        <v>0</v>
      </c>
      <c r="G54" s="51">
        <f>IF('ProductSprint Backlog'!$L215&gt;G$2,'ProductSprint Backlog'!$M215,0)</f>
        <v>0</v>
      </c>
      <c r="H54" s="51">
        <f>IF('ProductSprint Backlog'!$L215&gt;H$2,'ProductSprint Backlog'!$M215,0)</f>
        <v>0</v>
      </c>
      <c r="I54" s="51">
        <f>IF('ProductSprint Backlog'!$L215&gt;I$2,'ProductSprint Backlog'!$M215,0)</f>
        <v>0</v>
      </c>
      <c r="J54" s="51">
        <f>IF('ProductSprint Backlog'!$L215&gt;J$2,'ProductSprint Backlog'!$M215,0)</f>
        <v>0</v>
      </c>
      <c r="K54" s="51">
        <f>IF('ProductSprint Backlog'!$L215&gt;K$2,'ProductSprint Backlog'!$M215,0)</f>
        <v>0</v>
      </c>
      <c r="L54" s="51">
        <f>IF('ProductSprint Backlog'!$L215&gt;L$2,'ProductSprint Backlog'!$M215,0)</f>
        <v>0</v>
      </c>
      <c r="M54" s="51">
        <f>IF('ProductSprint Backlog'!$L215&gt;M$2,'ProductSprint Backlog'!$M215,0)</f>
        <v>0</v>
      </c>
      <c r="N54" s="51">
        <f>IF('ProductSprint Backlog'!$L215&gt;N$2,'ProductSprint Backlog'!$M215,0)</f>
        <v>0</v>
      </c>
      <c r="O54" s="51">
        <f>IF('ProductSprint Backlog'!$L215&gt;O$2,'ProductSprint Backlog'!$M215,0)</f>
        <v>0</v>
      </c>
      <c r="P54" s="51">
        <f>IF('ProductSprint Backlog'!$L215&gt;P$2,'ProductSprint Backlog'!$M215,0)</f>
        <v>0</v>
      </c>
    </row>
    <row r="55" spans="1:16" ht="25.5" x14ac:dyDescent="0.2">
      <c r="A55" s="17" t="s">
        <v>214</v>
      </c>
      <c r="B55" s="51">
        <f>IF('ProductSprint Backlog'!$L216&gt;B$2,'ProductSprint Backlog'!$M216,0)</f>
        <v>0.5</v>
      </c>
      <c r="C55" s="51">
        <f>IF('ProductSprint Backlog'!$L216&gt;C$2,'ProductSprint Backlog'!$M216,0)</f>
        <v>0.5</v>
      </c>
      <c r="D55" s="51">
        <f>IF('ProductSprint Backlog'!$L216&gt;D$2,'ProductSprint Backlog'!$M216,0)</f>
        <v>0.5</v>
      </c>
      <c r="E55" s="51">
        <f>IF('ProductSprint Backlog'!$L216&gt;E$2,'ProductSprint Backlog'!$M216,0)</f>
        <v>0</v>
      </c>
      <c r="F55" s="51">
        <f>IF('ProductSprint Backlog'!$L216&gt;F$2,'ProductSprint Backlog'!$M216,0)</f>
        <v>0</v>
      </c>
      <c r="G55" s="51">
        <f>IF('ProductSprint Backlog'!$L216&gt;G$2,'ProductSprint Backlog'!$M216,0)</f>
        <v>0</v>
      </c>
      <c r="H55" s="51">
        <f>IF('ProductSprint Backlog'!$L216&gt;H$2,'ProductSprint Backlog'!$M216,0)</f>
        <v>0</v>
      </c>
      <c r="I55" s="51">
        <f>IF('ProductSprint Backlog'!$L216&gt;I$2,'ProductSprint Backlog'!$M216,0)</f>
        <v>0</v>
      </c>
      <c r="J55" s="51">
        <f>IF('ProductSprint Backlog'!$L216&gt;J$2,'ProductSprint Backlog'!$M216,0)</f>
        <v>0</v>
      </c>
      <c r="K55" s="51">
        <f>IF('ProductSprint Backlog'!$L216&gt;K$2,'ProductSprint Backlog'!$M216,0)</f>
        <v>0</v>
      </c>
      <c r="L55" s="51">
        <f>IF('ProductSprint Backlog'!$L216&gt;L$2,'ProductSprint Backlog'!$M216,0)</f>
        <v>0</v>
      </c>
      <c r="M55" s="51">
        <f>IF('ProductSprint Backlog'!$L216&gt;M$2,'ProductSprint Backlog'!$M216,0)</f>
        <v>0</v>
      </c>
      <c r="N55" s="51">
        <f>IF('ProductSprint Backlog'!$L216&gt;N$2,'ProductSprint Backlog'!$M216,0)</f>
        <v>0</v>
      </c>
      <c r="O55" s="51">
        <f>IF('ProductSprint Backlog'!$L216&gt;O$2,'ProductSprint Backlog'!$M216,0)</f>
        <v>0</v>
      </c>
      <c r="P55" s="51">
        <f>IF('ProductSprint Backlog'!$L216&gt;P$2,'ProductSprint Backlog'!$M216,0)</f>
        <v>0</v>
      </c>
    </row>
    <row r="56" spans="1:16" ht="25.5" x14ac:dyDescent="0.2">
      <c r="A56" s="17" t="s">
        <v>258</v>
      </c>
      <c r="B56" s="51">
        <f>IF('ProductSprint Backlog'!$L217&gt;B$2,'ProductSprint Backlog'!$M217,0)</f>
        <v>0.5</v>
      </c>
      <c r="C56" s="51">
        <f>IF('ProductSprint Backlog'!$L217&gt;C$2,'ProductSprint Backlog'!$M217,0)</f>
        <v>0.5</v>
      </c>
      <c r="D56" s="51">
        <f>IF('ProductSprint Backlog'!$L217&gt;D$2,'ProductSprint Backlog'!$M217,0)</f>
        <v>0.5</v>
      </c>
      <c r="E56" s="51">
        <f>IF('ProductSprint Backlog'!$L217&gt;E$2,'ProductSprint Backlog'!$M217,0)</f>
        <v>0.5</v>
      </c>
      <c r="F56" s="51">
        <f>IF('ProductSprint Backlog'!$L217&gt;F$2,'ProductSprint Backlog'!$M217,0)</f>
        <v>0.5</v>
      </c>
      <c r="G56" s="51">
        <f>IF('ProductSprint Backlog'!$L217&gt;G$2,'ProductSprint Backlog'!$M217,0)</f>
        <v>0.5</v>
      </c>
      <c r="H56" s="51">
        <f>IF('ProductSprint Backlog'!$L217&gt;H$2,'ProductSprint Backlog'!$M217,0)</f>
        <v>0.5</v>
      </c>
      <c r="I56" s="51">
        <f>IF('ProductSprint Backlog'!$L217&gt;I$2,'ProductSprint Backlog'!$M217,0)</f>
        <v>0</v>
      </c>
      <c r="J56" s="51">
        <f>IF('ProductSprint Backlog'!$L217&gt;J$2,'ProductSprint Backlog'!$M217,0)</f>
        <v>0</v>
      </c>
      <c r="K56" s="51">
        <f>IF('ProductSprint Backlog'!$L217&gt;K$2,'ProductSprint Backlog'!$M217,0)</f>
        <v>0</v>
      </c>
      <c r="L56" s="51">
        <f>IF('ProductSprint Backlog'!$L217&gt;L$2,'ProductSprint Backlog'!$M217,0)</f>
        <v>0</v>
      </c>
      <c r="M56" s="51">
        <f>IF('ProductSprint Backlog'!$L217&gt;M$2,'ProductSprint Backlog'!$M217,0)</f>
        <v>0</v>
      </c>
      <c r="N56" s="51">
        <f>IF('ProductSprint Backlog'!$L217&gt;N$2,'ProductSprint Backlog'!$M217,0)</f>
        <v>0</v>
      </c>
      <c r="O56" s="51">
        <f>IF('ProductSprint Backlog'!$L217&gt;O$2,'ProductSprint Backlog'!$M217,0)</f>
        <v>0</v>
      </c>
      <c r="P56" s="51">
        <f>IF('ProductSprint Backlog'!$L217&gt;P$2,'ProductSprint Backlog'!$M217,0)</f>
        <v>0</v>
      </c>
    </row>
    <row r="57" spans="1:16" ht="25.5" x14ac:dyDescent="0.2">
      <c r="A57" s="17" t="s">
        <v>260</v>
      </c>
      <c r="B57" s="51">
        <f>IF('ProductSprint Backlog'!$L218&gt;B$2,'ProductSprint Backlog'!$M218,0)</f>
        <v>0.5</v>
      </c>
      <c r="C57" s="51">
        <f>IF('ProductSprint Backlog'!$L218&gt;C$2,'ProductSprint Backlog'!$M218,0)</f>
        <v>0.5</v>
      </c>
      <c r="D57" s="51">
        <f>IF('ProductSprint Backlog'!$L218&gt;D$2,'ProductSprint Backlog'!$M218,0)</f>
        <v>0.5</v>
      </c>
      <c r="E57" s="51">
        <f>IF('ProductSprint Backlog'!$L218&gt;E$2,'ProductSprint Backlog'!$M218,0)</f>
        <v>0.5</v>
      </c>
      <c r="F57" s="51">
        <f>IF('ProductSprint Backlog'!$L218&gt;F$2,'ProductSprint Backlog'!$M218,0)</f>
        <v>0.5</v>
      </c>
      <c r="G57" s="51">
        <f>IF('ProductSprint Backlog'!$L218&gt;G$2,'ProductSprint Backlog'!$M218,0)</f>
        <v>0.5</v>
      </c>
      <c r="H57" s="51">
        <f>IF('ProductSprint Backlog'!$L218&gt;H$2,'ProductSprint Backlog'!$M218,0)</f>
        <v>0.5</v>
      </c>
      <c r="I57" s="51">
        <f>IF('ProductSprint Backlog'!$L218&gt;I$2,'ProductSprint Backlog'!$M218,0)</f>
        <v>0</v>
      </c>
      <c r="J57" s="51">
        <f>IF('ProductSprint Backlog'!$L218&gt;J$2,'ProductSprint Backlog'!$M218,0)</f>
        <v>0</v>
      </c>
      <c r="K57" s="51">
        <f>IF('ProductSprint Backlog'!$L218&gt;K$2,'ProductSprint Backlog'!$M218,0)</f>
        <v>0</v>
      </c>
      <c r="L57" s="51">
        <f>IF('ProductSprint Backlog'!$L218&gt;L$2,'ProductSprint Backlog'!$M218,0)</f>
        <v>0</v>
      </c>
      <c r="M57" s="51">
        <f>IF('ProductSprint Backlog'!$L218&gt;M$2,'ProductSprint Backlog'!$M218,0)</f>
        <v>0</v>
      </c>
      <c r="N57" s="51">
        <f>IF('ProductSprint Backlog'!$L218&gt;N$2,'ProductSprint Backlog'!$M218,0)</f>
        <v>0</v>
      </c>
      <c r="O57" s="51">
        <f>IF('ProductSprint Backlog'!$L218&gt;O$2,'ProductSprint Backlog'!$M218,0)</f>
        <v>0</v>
      </c>
      <c r="P57" s="51">
        <f>IF('ProductSprint Backlog'!$L218&gt;P$2,'ProductSprint Backlog'!$M218,0)</f>
        <v>0</v>
      </c>
    </row>
    <row r="58" spans="1:16" ht="25.5" x14ac:dyDescent="0.2">
      <c r="A58" s="17" t="s">
        <v>338</v>
      </c>
      <c r="B58" s="51">
        <f>IF('ProductSprint Backlog'!$L219&gt;B$2,'ProductSprint Backlog'!$M219,0)</f>
        <v>0.5</v>
      </c>
      <c r="C58" s="51">
        <f>IF('ProductSprint Backlog'!$L219&gt;C$2,'ProductSprint Backlog'!$M219,0)</f>
        <v>0.5</v>
      </c>
      <c r="D58" s="51">
        <f>IF('ProductSprint Backlog'!$L219&gt;D$2,'ProductSprint Backlog'!$M219,0)</f>
        <v>0.5</v>
      </c>
      <c r="E58" s="51">
        <f>IF('ProductSprint Backlog'!$L219&gt;E$2,'ProductSprint Backlog'!$M219,0)</f>
        <v>0.5</v>
      </c>
      <c r="F58" s="51">
        <f>IF('ProductSprint Backlog'!$L219&gt;F$2,'ProductSprint Backlog'!$M219,0)</f>
        <v>0.5</v>
      </c>
      <c r="G58" s="51">
        <f>IF('ProductSprint Backlog'!$L219&gt;G$2,'ProductSprint Backlog'!$M219,0)</f>
        <v>0.5</v>
      </c>
      <c r="H58" s="51">
        <f>IF('ProductSprint Backlog'!$L219&gt;H$2,'ProductSprint Backlog'!$M219,0)</f>
        <v>0.5</v>
      </c>
      <c r="I58" s="51">
        <f>IF('ProductSprint Backlog'!$L219&gt;I$2,'ProductSprint Backlog'!$M219,0)</f>
        <v>0</v>
      </c>
      <c r="J58" s="51">
        <f>IF('ProductSprint Backlog'!$L219&gt;J$2,'ProductSprint Backlog'!$M219,0)</f>
        <v>0</v>
      </c>
      <c r="K58" s="51">
        <f>IF('ProductSprint Backlog'!$L219&gt;K$2,'ProductSprint Backlog'!$M219,0)</f>
        <v>0</v>
      </c>
      <c r="L58" s="51">
        <f>IF('ProductSprint Backlog'!$L219&gt;L$2,'ProductSprint Backlog'!$M219,0)</f>
        <v>0</v>
      </c>
      <c r="M58" s="51">
        <f>IF('ProductSprint Backlog'!$L219&gt;M$2,'ProductSprint Backlog'!$M219,0)</f>
        <v>0</v>
      </c>
      <c r="N58" s="51">
        <f>IF('ProductSprint Backlog'!$L219&gt;N$2,'ProductSprint Backlog'!$M219,0)</f>
        <v>0</v>
      </c>
      <c r="O58" s="51">
        <f>IF('ProductSprint Backlog'!$L219&gt;O$2,'ProductSprint Backlog'!$M219,0)</f>
        <v>0</v>
      </c>
      <c r="P58" s="51">
        <f>IF('ProductSprint Backlog'!$L219&gt;P$2,'ProductSprint Backlog'!$M219,0)</f>
        <v>0</v>
      </c>
    </row>
    <row r="59" spans="1:16" ht="51" x14ac:dyDescent="0.2">
      <c r="A59" s="17" t="s">
        <v>341</v>
      </c>
      <c r="B59" s="51">
        <f>IF('ProductSprint Backlog'!$L220&gt;B$2,'ProductSprint Backlog'!$M220,0)</f>
        <v>1</v>
      </c>
      <c r="C59" s="51">
        <f>IF('ProductSprint Backlog'!$L220&gt;C$2,'ProductSprint Backlog'!$M220,0)</f>
        <v>1</v>
      </c>
      <c r="D59" s="51">
        <f>IF('ProductSprint Backlog'!$L220&gt;D$2,'ProductSprint Backlog'!$M220,0)</f>
        <v>1</v>
      </c>
      <c r="E59" s="51">
        <f>IF('ProductSprint Backlog'!$L220&gt;E$2,'ProductSprint Backlog'!$M220,0)</f>
        <v>0</v>
      </c>
      <c r="F59" s="51">
        <f>IF('ProductSprint Backlog'!$L220&gt;F$2,'ProductSprint Backlog'!$M220,0)</f>
        <v>0</v>
      </c>
      <c r="G59" s="51">
        <f>IF('ProductSprint Backlog'!$L220&gt;G$2,'ProductSprint Backlog'!$M220,0)</f>
        <v>0</v>
      </c>
      <c r="H59" s="51">
        <f>IF('ProductSprint Backlog'!$L220&gt;H$2,'ProductSprint Backlog'!$M220,0)</f>
        <v>0</v>
      </c>
      <c r="I59" s="51">
        <f>IF('ProductSprint Backlog'!$L220&gt;I$2,'ProductSprint Backlog'!$M220,0)</f>
        <v>0</v>
      </c>
      <c r="J59" s="51">
        <f>IF('ProductSprint Backlog'!$L220&gt;J$2,'ProductSprint Backlog'!$M220,0)</f>
        <v>0</v>
      </c>
      <c r="K59" s="51">
        <f>IF('ProductSprint Backlog'!$L220&gt;K$2,'ProductSprint Backlog'!$M220,0)</f>
        <v>0</v>
      </c>
      <c r="L59" s="51">
        <f>IF('ProductSprint Backlog'!$L220&gt;L$2,'ProductSprint Backlog'!$M220,0)</f>
        <v>0</v>
      </c>
      <c r="M59" s="51">
        <f>IF('ProductSprint Backlog'!$L220&gt;M$2,'ProductSprint Backlog'!$M220,0)</f>
        <v>0</v>
      </c>
      <c r="N59" s="51">
        <f>IF('ProductSprint Backlog'!$L220&gt;N$2,'ProductSprint Backlog'!$M220,0)</f>
        <v>0</v>
      </c>
      <c r="O59" s="51">
        <f>IF('ProductSprint Backlog'!$L220&gt;O$2,'ProductSprint Backlog'!$M220,0)</f>
        <v>0</v>
      </c>
      <c r="P59" s="51">
        <f>IF('ProductSprint Backlog'!$L220&gt;P$2,'ProductSprint Backlog'!$M220,0)</f>
        <v>0</v>
      </c>
    </row>
    <row r="60" spans="1:16" ht="38.25" x14ac:dyDescent="0.2">
      <c r="A60" s="17" t="s">
        <v>343</v>
      </c>
      <c r="B60" s="51">
        <f>IF('ProductSprint Backlog'!$L221&gt;B$2,'ProductSprint Backlog'!$M221,0)</f>
        <v>1</v>
      </c>
      <c r="C60" s="51">
        <f>IF('ProductSprint Backlog'!$L221&gt;C$2,'ProductSprint Backlog'!$M221,0)</f>
        <v>1</v>
      </c>
      <c r="D60" s="51">
        <f>IF('ProductSprint Backlog'!$L221&gt;D$2,'ProductSprint Backlog'!$M221,0)</f>
        <v>1</v>
      </c>
      <c r="E60" s="51">
        <f>IF('ProductSprint Backlog'!$L221&gt;E$2,'ProductSprint Backlog'!$M221,0)</f>
        <v>0</v>
      </c>
      <c r="F60" s="51">
        <f>IF('ProductSprint Backlog'!$L221&gt;F$2,'ProductSprint Backlog'!$M221,0)</f>
        <v>0</v>
      </c>
      <c r="G60" s="51">
        <f>IF('ProductSprint Backlog'!$L221&gt;G$2,'ProductSprint Backlog'!$M221,0)</f>
        <v>0</v>
      </c>
      <c r="H60" s="51">
        <f>IF('ProductSprint Backlog'!$L221&gt;H$2,'ProductSprint Backlog'!$M221,0)</f>
        <v>0</v>
      </c>
      <c r="I60" s="51">
        <f>IF('ProductSprint Backlog'!$L221&gt;I$2,'ProductSprint Backlog'!$M221,0)</f>
        <v>0</v>
      </c>
      <c r="J60" s="51">
        <f>IF('ProductSprint Backlog'!$L221&gt;J$2,'ProductSprint Backlog'!$M221,0)</f>
        <v>0</v>
      </c>
      <c r="K60" s="51">
        <f>IF('ProductSprint Backlog'!$L221&gt;K$2,'ProductSprint Backlog'!$M221,0)</f>
        <v>0</v>
      </c>
      <c r="L60" s="51">
        <f>IF('ProductSprint Backlog'!$L221&gt;L$2,'ProductSprint Backlog'!$M221,0)</f>
        <v>0</v>
      </c>
      <c r="M60" s="51">
        <f>IF('ProductSprint Backlog'!$L221&gt;M$2,'ProductSprint Backlog'!$M221,0)</f>
        <v>0</v>
      </c>
      <c r="N60" s="51">
        <f>IF('ProductSprint Backlog'!$L221&gt;N$2,'ProductSprint Backlog'!$M221,0)</f>
        <v>0</v>
      </c>
      <c r="O60" s="51">
        <f>IF('ProductSprint Backlog'!$L221&gt;O$2,'ProductSprint Backlog'!$M221,0)</f>
        <v>0</v>
      </c>
      <c r="P60" s="51">
        <f>IF('ProductSprint Backlog'!$L221&gt;P$2,'ProductSprint Backlog'!$M221,0)</f>
        <v>0</v>
      </c>
    </row>
    <row r="61" spans="1:16" ht="38.25" x14ac:dyDescent="0.2">
      <c r="A61" s="17" t="s">
        <v>345</v>
      </c>
      <c r="B61" s="51">
        <f>IF('ProductSprint Backlog'!$L222&gt;B$2,'ProductSprint Backlog'!$M222,0)</f>
        <v>1</v>
      </c>
      <c r="C61" s="51">
        <f>IF('ProductSprint Backlog'!$L222&gt;C$2,'ProductSprint Backlog'!$M222,0)</f>
        <v>1</v>
      </c>
      <c r="D61" s="51">
        <f>IF('ProductSprint Backlog'!$L222&gt;D$2,'ProductSprint Backlog'!$M222,0)</f>
        <v>1</v>
      </c>
      <c r="E61" s="51">
        <f>IF('ProductSprint Backlog'!$L222&gt;E$2,'ProductSprint Backlog'!$M222,0)</f>
        <v>0</v>
      </c>
      <c r="F61" s="51">
        <f>IF('ProductSprint Backlog'!$L222&gt;F$2,'ProductSprint Backlog'!$M222,0)</f>
        <v>0</v>
      </c>
      <c r="G61" s="51">
        <f>IF('ProductSprint Backlog'!$L222&gt;G$2,'ProductSprint Backlog'!$M222,0)</f>
        <v>0</v>
      </c>
      <c r="H61" s="51">
        <f>IF('ProductSprint Backlog'!$L222&gt;H$2,'ProductSprint Backlog'!$M222,0)</f>
        <v>0</v>
      </c>
      <c r="I61" s="51">
        <f>IF('ProductSprint Backlog'!$L222&gt;I$2,'ProductSprint Backlog'!$M222,0)</f>
        <v>0</v>
      </c>
      <c r="J61" s="51">
        <f>IF('ProductSprint Backlog'!$L222&gt;J$2,'ProductSprint Backlog'!$M222,0)</f>
        <v>0</v>
      </c>
      <c r="K61" s="51">
        <f>IF('ProductSprint Backlog'!$L222&gt;K$2,'ProductSprint Backlog'!$M222,0)</f>
        <v>0</v>
      </c>
      <c r="L61" s="51">
        <f>IF('ProductSprint Backlog'!$L222&gt;L$2,'ProductSprint Backlog'!$M222,0)</f>
        <v>0</v>
      </c>
      <c r="M61" s="51">
        <f>IF('ProductSprint Backlog'!$L222&gt;M$2,'ProductSprint Backlog'!$M222,0)</f>
        <v>0</v>
      </c>
      <c r="N61" s="51">
        <f>IF('ProductSprint Backlog'!$L222&gt;N$2,'ProductSprint Backlog'!$M222,0)</f>
        <v>0</v>
      </c>
      <c r="O61" s="51">
        <f>IF('ProductSprint Backlog'!$L222&gt;O$2,'ProductSprint Backlog'!$M222,0)</f>
        <v>0</v>
      </c>
      <c r="P61" s="51">
        <f>IF('ProductSprint Backlog'!$L222&gt;P$2,'ProductSprint Backlog'!$M222,0)</f>
        <v>0</v>
      </c>
    </row>
    <row r="62" spans="1:16" ht="25.5" x14ac:dyDescent="0.2">
      <c r="A62" s="17" t="s">
        <v>347</v>
      </c>
      <c r="B62" s="51">
        <f>IF('ProductSprint Backlog'!$L223&gt;B$2,'ProductSprint Backlog'!$M223,0)</f>
        <v>1</v>
      </c>
      <c r="C62" s="51">
        <f>IF('ProductSprint Backlog'!$L223&gt;C$2,'ProductSprint Backlog'!$M223,0)</f>
        <v>1</v>
      </c>
      <c r="D62" s="51">
        <f>IF('ProductSprint Backlog'!$L223&gt;D$2,'ProductSprint Backlog'!$M223,0)</f>
        <v>1</v>
      </c>
      <c r="E62" s="51">
        <f>IF('ProductSprint Backlog'!$L223&gt;E$2,'ProductSprint Backlog'!$M223,0)</f>
        <v>0</v>
      </c>
      <c r="F62" s="51">
        <f>IF('ProductSprint Backlog'!$L223&gt;F$2,'ProductSprint Backlog'!$M223,0)</f>
        <v>0</v>
      </c>
      <c r="G62" s="51">
        <f>IF('ProductSprint Backlog'!$L223&gt;G$2,'ProductSprint Backlog'!$M223,0)</f>
        <v>0</v>
      </c>
      <c r="H62" s="51">
        <f>IF('ProductSprint Backlog'!$L223&gt;H$2,'ProductSprint Backlog'!$M223,0)</f>
        <v>0</v>
      </c>
      <c r="I62" s="51">
        <f>IF('ProductSprint Backlog'!$L223&gt;I$2,'ProductSprint Backlog'!$M223,0)</f>
        <v>0</v>
      </c>
      <c r="J62" s="51">
        <f>IF('ProductSprint Backlog'!$L223&gt;J$2,'ProductSprint Backlog'!$M223,0)</f>
        <v>0</v>
      </c>
      <c r="K62" s="51">
        <f>IF('ProductSprint Backlog'!$L223&gt;K$2,'ProductSprint Backlog'!$M223,0)</f>
        <v>0</v>
      </c>
      <c r="L62" s="51">
        <f>IF('ProductSprint Backlog'!$L223&gt;L$2,'ProductSprint Backlog'!$M223,0)</f>
        <v>0</v>
      </c>
      <c r="M62" s="51">
        <f>IF('ProductSprint Backlog'!$L223&gt;M$2,'ProductSprint Backlog'!$M223,0)</f>
        <v>0</v>
      </c>
      <c r="N62" s="51">
        <f>IF('ProductSprint Backlog'!$L223&gt;N$2,'ProductSprint Backlog'!$M223,0)</f>
        <v>0</v>
      </c>
      <c r="O62" s="51">
        <f>IF('ProductSprint Backlog'!$L223&gt;O$2,'ProductSprint Backlog'!$M223,0)</f>
        <v>0</v>
      </c>
      <c r="P62" s="51">
        <f>IF('ProductSprint Backlog'!$L223&gt;P$2,'ProductSprint Backlog'!$M223,0)</f>
        <v>0</v>
      </c>
    </row>
    <row r="63" spans="1:16" ht="63.75" x14ac:dyDescent="0.2">
      <c r="A63" s="17" t="s">
        <v>350</v>
      </c>
      <c r="B63" s="51">
        <f>IF('ProductSprint Backlog'!$L224&gt;B$2,'ProductSprint Backlog'!$M224,0)</f>
        <v>2</v>
      </c>
      <c r="C63" s="51">
        <f>IF('ProductSprint Backlog'!$L224&gt;C$2,'ProductSprint Backlog'!$M224,0)</f>
        <v>2</v>
      </c>
      <c r="D63" s="51">
        <f>IF('ProductSprint Backlog'!$L224&gt;D$2,'ProductSprint Backlog'!$M224,0)</f>
        <v>2</v>
      </c>
      <c r="E63" s="51">
        <f>IF('ProductSprint Backlog'!$L224&gt;E$2,'ProductSprint Backlog'!$M224,0)</f>
        <v>2</v>
      </c>
      <c r="F63" s="51">
        <f>IF('ProductSprint Backlog'!$L224&gt;F$2,'ProductSprint Backlog'!$M224,0)</f>
        <v>2</v>
      </c>
      <c r="G63" s="51">
        <f>IF('ProductSprint Backlog'!$L224&gt;G$2,'ProductSprint Backlog'!$M224,0)</f>
        <v>2</v>
      </c>
      <c r="H63" s="51">
        <f>IF('ProductSprint Backlog'!$L224&gt;H$2,'ProductSprint Backlog'!$M224,0)</f>
        <v>2</v>
      </c>
      <c r="I63" s="51">
        <f>IF('ProductSprint Backlog'!$L224&gt;I$2,'ProductSprint Backlog'!$M224,0)</f>
        <v>0</v>
      </c>
      <c r="J63" s="51">
        <f>IF('ProductSprint Backlog'!$L224&gt;J$2,'ProductSprint Backlog'!$M224,0)</f>
        <v>0</v>
      </c>
      <c r="K63" s="51">
        <f>IF('ProductSprint Backlog'!$L224&gt;K$2,'ProductSprint Backlog'!$M224,0)</f>
        <v>0</v>
      </c>
      <c r="L63" s="51">
        <f>IF('ProductSprint Backlog'!$L224&gt;L$2,'ProductSprint Backlog'!$M224,0)</f>
        <v>0</v>
      </c>
      <c r="M63" s="51">
        <f>IF('ProductSprint Backlog'!$L224&gt;M$2,'ProductSprint Backlog'!$M224,0)</f>
        <v>0</v>
      </c>
      <c r="N63" s="51">
        <f>IF('ProductSprint Backlog'!$L224&gt;N$2,'ProductSprint Backlog'!$M224,0)</f>
        <v>0</v>
      </c>
      <c r="O63" s="51">
        <f>IF('ProductSprint Backlog'!$L224&gt;O$2,'ProductSprint Backlog'!$M224,0)</f>
        <v>0</v>
      </c>
      <c r="P63" s="51">
        <f>IF('ProductSprint Backlog'!$L224&gt;P$2,'ProductSprint Backlog'!$M224,0)</f>
        <v>0</v>
      </c>
    </row>
    <row r="64" spans="1:16" ht="25.5" x14ac:dyDescent="0.2">
      <c r="A64" s="17" t="s">
        <v>352</v>
      </c>
      <c r="B64" s="51">
        <f>IF('ProductSprint Backlog'!$L225&gt;B$2,'ProductSprint Backlog'!$M225,0)</f>
        <v>0.5</v>
      </c>
      <c r="C64" s="51">
        <f>IF('ProductSprint Backlog'!$L225&gt;C$2,'ProductSprint Backlog'!$M225,0)</f>
        <v>0.5</v>
      </c>
      <c r="D64" s="51">
        <f>IF('ProductSprint Backlog'!$L225&gt;D$2,'ProductSprint Backlog'!$M225,0)</f>
        <v>0.5</v>
      </c>
      <c r="E64" s="51">
        <f>IF('ProductSprint Backlog'!$L225&gt;E$2,'ProductSprint Backlog'!$M225,0)</f>
        <v>0.5</v>
      </c>
      <c r="F64" s="51">
        <f>IF('ProductSprint Backlog'!$L225&gt;F$2,'ProductSprint Backlog'!$M225,0)</f>
        <v>0.5</v>
      </c>
      <c r="G64" s="51">
        <f>IF('ProductSprint Backlog'!$L225&gt;G$2,'ProductSprint Backlog'!$M225,0)</f>
        <v>0.5</v>
      </c>
      <c r="H64" s="51">
        <f>IF('ProductSprint Backlog'!$L225&gt;H$2,'ProductSprint Backlog'!$M225,0)</f>
        <v>0.5</v>
      </c>
      <c r="I64" s="51">
        <f>IF('ProductSprint Backlog'!$L225&gt;I$2,'ProductSprint Backlog'!$M225,0)</f>
        <v>0</v>
      </c>
      <c r="J64" s="51">
        <f>IF('ProductSprint Backlog'!$L225&gt;J$2,'ProductSprint Backlog'!$M225,0)</f>
        <v>0</v>
      </c>
      <c r="K64" s="51">
        <f>IF('ProductSprint Backlog'!$L225&gt;K$2,'ProductSprint Backlog'!$M225,0)</f>
        <v>0</v>
      </c>
      <c r="L64" s="51">
        <f>IF('ProductSprint Backlog'!$L225&gt;L$2,'ProductSprint Backlog'!$M225,0)</f>
        <v>0</v>
      </c>
      <c r="M64" s="51">
        <f>IF('ProductSprint Backlog'!$L225&gt;M$2,'ProductSprint Backlog'!$M225,0)</f>
        <v>0</v>
      </c>
      <c r="N64" s="51">
        <f>IF('ProductSprint Backlog'!$L225&gt;N$2,'ProductSprint Backlog'!$M225,0)</f>
        <v>0</v>
      </c>
      <c r="O64" s="51">
        <f>IF('ProductSprint Backlog'!$L225&gt;O$2,'ProductSprint Backlog'!$M225,0)</f>
        <v>0</v>
      </c>
      <c r="P64" s="51">
        <f>IF('ProductSprint Backlog'!$L225&gt;P$2,'ProductSprint Backlog'!$M225,0)</f>
        <v>0</v>
      </c>
    </row>
    <row r="65" spans="1:16" ht="25.5" x14ac:dyDescent="0.2">
      <c r="A65" s="17" t="s">
        <v>354</v>
      </c>
      <c r="B65" s="51">
        <f>IF('ProductSprint Backlog'!$L226&gt;B$2,'ProductSprint Backlog'!$M226,0)</f>
        <v>1</v>
      </c>
      <c r="C65" s="51">
        <f>IF('ProductSprint Backlog'!$L226&gt;C$2,'ProductSprint Backlog'!$M226,0)</f>
        <v>1</v>
      </c>
      <c r="D65" s="51">
        <f>IF('ProductSprint Backlog'!$L226&gt;D$2,'ProductSprint Backlog'!$M226,0)</f>
        <v>1</v>
      </c>
      <c r="E65" s="51">
        <f>IF('ProductSprint Backlog'!$L226&gt;E$2,'ProductSprint Backlog'!$M226,0)</f>
        <v>1</v>
      </c>
      <c r="F65" s="51">
        <f>IF('ProductSprint Backlog'!$L226&gt;F$2,'ProductSprint Backlog'!$M226,0)</f>
        <v>1</v>
      </c>
      <c r="G65" s="51">
        <f>IF('ProductSprint Backlog'!$L226&gt;G$2,'ProductSprint Backlog'!$M226,0)</f>
        <v>1</v>
      </c>
      <c r="H65" s="51">
        <f>IF('ProductSprint Backlog'!$L226&gt;H$2,'ProductSprint Backlog'!$M226,0)</f>
        <v>1</v>
      </c>
      <c r="I65" s="51">
        <f>IF('ProductSprint Backlog'!$L226&gt;I$2,'ProductSprint Backlog'!$M226,0)</f>
        <v>0</v>
      </c>
      <c r="J65" s="51">
        <f>IF('ProductSprint Backlog'!$L226&gt;J$2,'ProductSprint Backlog'!$M226,0)</f>
        <v>0</v>
      </c>
      <c r="K65" s="51">
        <f>IF('ProductSprint Backlog'!$L226&gt;K$2,'ProductSprint Backlog'!$M226,0)</f>
        <v>0</v>
      </c>
      <c r="L65" s="51">
        <f>IF('ProductSprint Backlog'!$L226&gt;L$2,'ProductSprint Backlog'!$M226,0)</f>
        <v>0</v>
      </c>
      <c r="M65" s="51">
        <f>IF('ProductSprint Backlog'!$L226&gt;M$2,'ProductSprint Backlog'!$M226,0)</f>
        <v>0</v>
      </c>
      <c r="N65" s="51">
        <f>IF('ProductSprint Backlog'!$L226&gt;N$2,'ProductSprint Backlog'!$M226,0)</f>
        <v>0</v>
      </c>
      <c r="O65" s="51">
        <f>IF('ProductSprint Backlog'!$L226&gt;O$2,'ProductSprint Backlog'!$M226,0)</f>
        <v>0</v>
      </c>
      <c r="P65" s="51">
        <f>IF('ProductSprint Backlog'!$L226&gt;P$2,'ProductSprint Backlog'!$M226,0)</f>
        <v>0</v>
      </c>
    </row>
    <row r="66" spans="1:16" ht="25.5" x14ac:dyDescent="0.2">
      <c r="A66" s="17" t="s">
        <v>79</v>
      </c>
      <c r="B66" s="51">
        <f>IF('ProductSprint Backlog'!$L227&gt;B$2,'ProductSprint Backlog'!$M227,0)</f>
        <v>1</v>
      </c>
      <c r="C66" s="51">
        <f>IF('ProductSprint Backlog'!$L227&gt;C$2,'ProductSprint Backlog'!$M227,0)</f>
        <v>1</v>
      </c>
      <c r="D66" s="51">
        <f>IF('ProductSprint Backlog'!$L227&gt;D$2,'ProductSprint Backlog'!$M227,0)</f>
        <v>1</v>
      </c>
      <c r="E66" s="51">
        <f>IF('ProductSprint Backlog'!$L227&gt;E$2,'ProductSprint Backlog'!$M227,0)</f>
        <v>1</v>
      </c>
      <c r="F66" s="51">
        <f>IF('ProductSprint Backlog'!$L227&gt;F$2,'ProductSprint Backlog'!$M227,0)</f>
        <v>1</v>
      </c>
      <c r="G66" s="51">
        <f>IF('ProductSprint Backlog'!$L227&gt;G$2,'ProductSprint Backlog'!$M227,0)</f>
        <v>1</v>
      </c>
      <c r="H66" s="51">
        <f>IF('ProductSprint Backlog'!$L227&gt;H$2,'ProductSprint Backlog'!$M227,0)</f>
        <v>1</v>
      </c>
      <c r="I66" s="51">
        <f>IF('ProductSprint Backlog'!$L227&gt;I$2,'ProductSprint Backlog'!$M227,0)</f>
        <v>1</v>
      </c>
      <c r="J66" s="51">
        <f>IF('ProductSprint Backlog'!$L227&gt;J$2,'ProductSprint Backlog'!$M227,0)</f>
        <v>1</v>
      </c>
      <c r="K66" s="51">
        <f>IF('ProductSprint Backlog'!$L227&gt;K$2,'ProductSprint Backlog'!$M227,0)</f>
        <v>1</v>
      </c>
      <c r="L66" s="51">
        <f>IF('ProductSprint Backlog'!$L227&gt;L$2,'ProductSprint Backlog'!$M227,0)</f>
        <v>1</v>
      </c>
      <c r="M66" s="51">
        <f>IF('ProductSprint Backlog'!$L227&gt;M$2,'ProductSprint Backlog'!$M227,0)</f>
        <v>1</v>
      </c>
      <c r="N66" s="51">
        <f>IF('ProductSprint Backlog'!$L227&gt;N$2,'ProductSprint Backlog'!$M227,0)</f>
        <v>0</v>
      </c>
      <c r="O66" s="51">
        <f>IF('ProductSprint Backlog'!$L227&gt;O$2,'ProductSprint Backlog'!$M227,0)</f>
        <v>0</v>
      </c>
      <c r="P66" s="51">
        <f>IF('ProductSprint Backlog'!$L227&gt;P$2,'ProductSprint Backlog'!$M227,0)</f>
        <v>0</v>
      </c>
    </row>
    <row r="67" spans="1:16" ht="38.25" x14ac:dyDescent="0.2">
      <c r="A67" s="17" t="s">
        <v>81</v>
      </c>
      <c r="B67" s="51">
        <f>IF('ProductSprint Backlog'!$L228&gt;B$2,'ProductSprint Backlog'!$M228,0)</f>
        <v>1</v>
      </c>
      <c r="C67" s="51">
        <f>IF('ProductSprint Backlog'!$L228&gt;C$2,'ProductSprint Backlog'!$M228,0)</f>
        <v>1</v>
      </c>
      <c r="D67" s="51">
        <f>IF('ProductSprint Backlog'!$L228&gt;D$2,'ProductSprint Backlog'!$M228,0)</f>
        <v>1</v>
      </c>
      <c r="E67" s="51">
        <f>IF('ProductSprint Backlog'!$L228&gt;E$2,'ProductSprint Backlog'!$M228,0)</f>
        <v>1</v>
      </c>
      <c r="F67" s="51">
        <f>IF('ProductSprint Backlog'!$L228&gt;F$2,'ProductSprint Backlog'!$M228,0)</f>
        <v>1</v>
      </c>
      <c r="G67" s="51">
        <f>IF('ProductSprint Backlog'!$L228&gt;G$2,'ProductSprint Backlog'!$M228,0)</f>
        <v>1</v>
      </c>
      <c r="H67" s="51">
        <f>IF('ProductSprint Backlog'!$L228&gt;H$2,'ProductSprint Backlog'!$M228,0)</f>
        <v>1</v>
      </c>
      <c r="I67" s="51">
        <f>IF('ProductSprint Backlog'!$L228&gt;I$2,'ProductSprint Backlog'!$M228,0)</f>
        <v>1</v>
      </c>
      <c r="J67" s="51">
        <f>IF('ProductSprint Backlog'!$L228&gt;J$2,'ProductSprint Backlog'!$M228,0)</f>
        <v>1</v>
      </c>
      <c r="K67" s="51">
        <f>IF('ProductSprint Backlog'!$L228&gt;K$2,'ProductSprint Backlog'!$M228,0)</f>
        <v>1</v>
      </c>
      <c r="L67" s="51">
        <f>IF('ProductSprint Backlog'!$L228&gt;L$2,'ProductSprint Backlog'!$M228,0)</f>
        <v>1</v>
      </c>
      <c r="M67" s="51">
        <f>IF('ProductSprint Backlog'!$L228&gt;M$2,'ProductSprint Backlog'!$M228,0)</f>
        <v>1</v>
      </c>
      <c r="N67" s="51">
        <f>IF('ProductSprint Backlog'!$L228&gt;N$2,'ProductSprint Backlog'!$M228,0)</f>
        <v>0</v>
      </c>
      <c r="O67" s="51">
        <f>IF('ProductSprint Backlog'!$L228&gt;O$2,'ProductSprint Backlog'!$M228,0)</f>
        <v>0</v>
      </c>
      <c r="P67" s="51">
        <f>IF('ProductSprint Backlog'!$L228&gt;P$2,'ProductSprint Backlog'!$M228,0)</f>
        <v>0</v>
      </c>
    </row>
    <row r="68" spans="1:16" ht="38.25" x14ac:dyDescent="0.2">
      <c r="A68" s="17" t="s">
        <v>357</v>
      </c>
      <c r="B68" s="51">
        <f>IF('ProductSprint Backlog'!$L229&gt;B$2,'ProductSprint Backlog'!$M229,0)</f>
        <v>0.5</v>
      </c>
      <c r="C68" s="51">
        <f>IF('ProductSprint Backlog'!$L229&gt;C$2,'ProductSprint Backlog'!$M229,0)</f>
        <v>0.5</v>
      </c>
      <c r="D68" s="51">
        <f>IF('ProductSprint Backlog'!$L229&gt;D$2,'ProductSprint Backlog'!$M229,0)</f>
        <v>0.5</v>
      </c>
      <c r="E68" s="51">
        <f>IF('ProductSprint Backlog'!$L229&gt;E$2,'ProductSprint Backlog'!$M229,0)</f>
        <v>0.5</v>
      </c>
      <c r="F68" s="51">
        <f>IF('ProductSprint Backlog'!$L229&gt;F$2,'ProductSprint Backlog'!$M229,0)</f>
        <v>0.5</v>
      </c>
      <c r="G68" s="51">
        <f>IF('ProductSprint Backlog'!$L229&gt;G$2,'ProductSprint Backlog'!$M229,0)</f>
        <v>0.5</v>
      </c>
      <c r="H68" s="51">
        <f>IF('ProductSprint Backlog'!$L229&gt;H$2,'ProductSprint Backlog'!$M229,0)</f>
        <v>0.5</v>
      </c>
      <c r="I68" s="51">
        <f>IF('ProductSprint Backlog'!$L229&gt;I$2,'ProductSprint Backlog'!$M229,0)</f>
        <v>0.5</v>
      </c>
      <c r="J68" s="51">
        <f>IF('ProductSprint Backlog'!$L229&gt;J$2,'ProductSprint Backlog'!$M229,0)</f>
        <v>0.5</v>
      </c>
      <c r="K68" s="51">
        <f>IF('ProductSprint Backlog'!$L229&gt;K$2,'ProductSprint Backlog'!$M229,0)</f>
        <v>0.5</v>
      </c>
      <c r="L68" s="51">
        <f>IF('ProductSprint Backlog'!$L229&gt;L$2,'ProductSprint Backlog'!$M229,0)</f>
        <v>0.5</v>
      </c>
      <c r="M68" s="51">
        <f>IF('ProductSprint Backlog'!$L229&gt;M$2,'ProductSprint Backlog'!$M229,0)</f>
        <v>0.5</v>
      </c>
      <c r="N68" s="51">
        <f>IF('ProductSprint Backlog'!$L229&gt;N$2,'ProductSprint Backlog'!$M229,0)</f>
        <v>0</v>
      </c>
      <c r="O68" s="51">
        <f>IF('ProductSprint Backlog'!$L229&gt;O$2,'ProductSprint Backlog'!$M229,0)</f>
        <v>0</v>
      </c>
      <c r="P68" s="51">
        <f>IF('ProductSprint Backlog'!$L229&gt;P$2,'ProductSprint Backlog'!$M229,0)</f>
        <v>0</v>
      </c>
    </row>
    <row r="69" spans="1:16" ht="38.25" x14ac:dyDescent="0.2">
      <c r="A69" s="17" t="s">
        <v>359</v>
      </c>
      <c r="B69" s="51">
        <f>IF('ProductSprint Backlog'!$L230&gt;B$2,'ProductSprint Backlog'!$M230,0)</f>
        <v>1</v>
      </c>
      <c r="C69" s="51">
        <f>IF('ProductSprint Backlog'!$L230&gt;C$2,'ProductSprint Backlog'!$M230,0)</f>
        <v>1</v>
      </c>
      <c r="D69" s="51">
        <f>IF('ProductSprint Backlog'!$L230&gt;D$2,'ProductSprint Backlog'!$M230,0)</f>
        <v>1</v>
      </c>
      <c r="E69" s="51">
        <f>IF('ProductSprint Backlog'!$L230&gt;E$2,'ProductSprint Backlog'!$M230,0)</f>
        <v>1</v>
      </c>
      <c r="F69" s="51">
        <f>IF('ProductSprint Backlog'!$L230&gt;F$2,'ProductSprint Backlog'!$M230,0)</f>
        <v>1</v>
      </c>
      <c r="G69" s="51">
        <f>IF('ProductSprint Backlog'!$L230&gt;G$2,'ProductSprint Backlog'!$M230,0)</f>
        <v>1</v>
      </c>
      <c r="H69" s="51">
        <f>IF('ProductSprint Backlog'!$L230&gt;H$2,'ProductSprint Backlog'!$M230,0)</f>
        <v>1</v>
      </c>
      <c r="I69" s="51">
        <f>IF('ProductSprint Backlog'!$L230&gt;I$2,'ProductSprint Backlog'!$M230,0)</f>
        <v>1</v>
      </c>
      <c r="J69" s="51">
        <f>IF('ProductSprint Backlog'!$L230&gt;J$2,'ProductSprint Backlog'!$M230,0)</f>
        <v>1</v>
      </c>
      <c r="K69" s="51">
        <f>IF('ProductSprint Backlog'!$L230&gt;K$2,'ProductSprint Backlog'!$M230,0)</f>
        <v>1</v>
      </c>
      <c r="L69" s="51">
        <f>IF('ProductSprint Backlog'!$L230&gt;L$2,'ProductSprint Backlog'!$M230,0)</f>
        <v>1</v>
      </c>
      <c r="M69" s="51">
        <f>IF('ProductSprint Backlog'!$L230&gt;M$2,'ProductSprint Backlog'!$M230,0)</f>
        <v>1</v>
      </c>
      <c r="N69" s="51">
        <f>IF('ProductSprint Backlog'!$L230&gt;N$2,'ProductSprint Backlog'!$M230,0)</f>
        <v>0</v>
      </c>
      <c r="O69" s="51">
        <f>IF('ProductSprint Backlog'!$L230&gt;O$2,'ProductSprint Backlog'!$M230,0)</f>
        <v>0</v>
      </c>
      <c r="P69" s="51">
        <f>IF('ProductSprint Backlog'!$L230&gt;P$2,'ProductSprint Backlog'!$M230,0)</f>
        <v>0</v>
      </c>
    </row>
    <row r="70" spans="1:16" ht="51" x14ac:dyDescent="0.2">
      <c r="A70" s="17" t="s">
        <v>362</v>
      </c>
      <c r="B70" s="51">
        <f>IF('ProductSprint Backlog'!$L231&gt;B$2,'ProductSprint Backlog'!$M231,0)</f>
        <v>2</v>
      </c>
      <c r="C70" s="51">
        <f>IF('ProductSprint Backlog'!$L231&gt;C$2,'ProductSprint Backlog'!$M231,0)</f>
        <v>2</v>
      </c>
      <c r="D70" s="51">
        <f>IF('ProductSprint Backlog'!$L231&gt;D$2,'ProductSprint Backlog'!$M231,0)</f>
        <v>2</v>
      </c>
      <c r="E70" s="51">
        <f>IF('ProductSprint Backlog'!$L231&gt;E$2,'ProductSprint Backlog'!$M231,0)</f>
        <v>2</v>
      </c>
      <c r="F70" s="51">
        <f>IF('ProductSprint Backlog'!$L231&gt;F$2,'ProductSprint Backlog'!$M231,0)</f>
        <v>2</v>
      </c>
      <c r="G70" s="51">
        <f>IF('ProductSprint Backlog'!$L231&gt;G$2,'ProductSprint Backlog'!$M231,0)</f>
        <v>2</v>
      </c>
      <c r="H70" s="51">
        <f>IF('ProductSprint Backlog'!$L231&gt;H$2,'ProductSprint Backlog'!$M231,0)</f>
        <v>2</v>
      </c>
      <c r="I70" s="51">
        <f>IF('ProductSprint Backlog'!$L231&gt;I$2,'ProductSprint Backlog'!$M231,0)</f>
        <v>2</v>
      </c>
      <c r="J70" s="51">
        <f>IF('ProductSprint Backlog'!$L231&gt;J$2,'ProductSprint Backlog'!$M231,0)</f>
        <v>2</v>
      </c>
      <c r="K70" s="51">
        <f>IF('ProductSprint Backlog'!$L231&gt;K$2,'ProductSprint Backlog'!$M231,0)</f>
        <v>2</v>
      </c>
      <c r="L70" s="51">
        <f>IF('ProductSprint Backlog'!$L231&gt;L$2,'ProductSprint Backlog'!$M231,0)</f>
        <v>2</v>
      </c>
      <c r="M70" s="51">
        <f>IF('ProductSprint Backlog'!$L231&gt;M$2,'ProductSprint Backlog'!$M231,0)</f>
        <v>2</v>
      </c>
      <c r="N70" s="51">
        <f>IF('ProductSprint Backlog'!$L231&gt;N$2,'ProductSprint Backlog'!$M231,0)</f>
        <v>0</v>
      </c>
      <c r="O70" s="51">
        <f>IF('ProductSprint Backlog'!$L231&gt;O$2,'ProductSprint Backlog'!$M231,0)</f>
        <v>0</v>
      </c>
      <c r="P70" s="51">
        <f>IF('ProductSprint Backlog'!$L231&gt;P$2,'ProductSprint Backlog'!$M231,0)</f>
        <v>0</v>
      </c>
    </row>
    <row r="71" spans="1:16" ht="51" x14ac:dyDescent="0.2">
      <c r="A71" s="17" t="s">
        <v>364</v>
      </c>
      <c r="B71" s="51">
        <f>IF('ProductSprint Backlog'!$L232&gt;B$2,'ProductSprint Backlog'!$M232,0)</f>
        <v>2</v>
      </c>
      <c r="C71" s="51">
        <f>IF('ProductSprint Backlog'!$L232&gt;C$2,'ProductSprint Backlog'!$M232,0)</f>
        <v>2</v>
      </c>
      <c r="D71" s="51">
        <f>IF('ProductSprint Backlog'!$L232&gt;D$2,'ProductSprint Backlog'!$M232,0)</f>
        <v>2</v>
      </c>
      <c r="E71" s="51">
        <f>IF('ProductSprint Backlog'!$L232&gt;E$2,'ProductSprint Backlog'!$M232,0)</f>
        <v>2</v>
      </c>
      <c r="F71" s="51">
        <f>IF('ProductSprint Backlog'!$L232&gt;F$2,'ProductSprint Backlog'!$M232,0)</f>
        <v>2</v>
      </c>
      <c r="G71" s="51">
        <f>IF('ProductSprint Backlog'!$L232&gt;G$2,'ProductSprint Backlog'!$M232,0)</f>
        <v>2</v>
      </c>
      <c r="H71" s="51">
        <f>IF('ProductSprint Backlog'!$L232&gt;H$2,'ProductSprint Backlog'!$M232,0)</f>
        <v>2</v>
      </c>
      <c r="I71" s="51">
        <f>IF('ProductSprint Backlog'!$L232&gt;I$2,'ProductSprint Backlog'!$M232,0)</f>
        <v>2</v>
      </c>
      <c r="J71" s="51">
        <f>IF('ProductSprint Backlog'!$L232&gt;J$2,'ProductSprint Backlog'!$M232,0)</f>
        <v>2</v>
      </c>
      <c r="K71" s="51">
        <f>IF('ProductSprint Backlog'!$L232&gt;K$2,'ProductSprint Backlog'!$M232,0)</f>
        <v>2</v>
      </c>
      <c r="L71" s="51">
        <f>IF('ProductSprint Backlog'!$L232&gt;L$2,'ProductSprint Backlog'!$M232,0)</f>
        <v>2</v>
      </c>
      <c r="M71" s="51">
        <f>IF('ProductSprint Backlog'!$L232&gt;M$2,'ProductSprint Backlog'!$M232,0)</f>
        <v>2</v>
      </c>
      <c r="N71" s="51">
        <f>IF('ProductSprint Backlog'!$L232&gt;N$2,'ProductSprint Backlog'!$M232,0)</f>
        <v>0</v>
      </c>
      <c r="O71" s="51">
        <f>IF('ProductSprint Backlog'!$L232&gt;O$2,'ProductSprint Backlog'!$M232,0)</f>
        <v>0</v>
      </c>
      <c r="P71" s="51">
        <f>IF('ProductSprint Backlog'!$L232&gt;P$2,'ProductSprint Backlog'!$M232,0)</f>
        <v>0</v>
      </c>
    </row>
    <row r="72" spans="1:16" ht="38.25" x14ac:dyDescent="0.2">
      <c r="A72" s="17" t="s">
        <v>366</v>
      </c>
      <c r="B72" s="51">
        <f>IF('ProductSprint Backlog'!$L233&gt;B$2,'ProductSprint Backlog'!$M233,0)</f>
        <v>1</v>
      </c>
      <c r="C72" s="51">
        <f>IF('ProductSprint Backlog'!$L233&gt;C$2,'ProductSprint Backlog'!$M233,0)</f>
        <v>1</v>
      </c>
      <c r="D72" s="51">
        <f>IF('ProductSprint Backlog'!$L233&gt;D$2,'ProductSprint Backlog'!$M233,0)</f>
        <v>1</v>
      </c>
      <c r="E72" s="51">
        <f>IF('ProductSprint Backlog'!$L233&gt;E$2,'ProductSprint Backlog'!$M233,0)</f>
        <v>1</v>
      </c>
      <c r="F72" s="51">
        <f>IF('ProductSprint Backlog'!$L233&gt;F$2,'ProductSprint Backlog'!$M233,0)</f>
        <v>1</v>
      </c>
      <c r="G72" s="51">
        <f>IF('ProductSprint Backlog'!$L233&gt;G$2,'ProductSprint Backlog'!$M233,0)</f>
        <v>1</v>
      </c>
      <c r="H72" s="51">
        <f>IF('ProductSprint Backlog'!$L233&gt;H$2,'ProductSprint Backlog'!$M233,0)</f>
        <v>1</v>
      </c>
      <c r="I72" s="51">
        <f>IF('ProductSprint Backlog'!$L233&gt;I$2,'ProductSprint Backlog'!$M233,0)</f>
        <v>1</v>
      </c>
      <c r="J72" s="51">
        <f>IF('ProductSprint Backlog'!$L233&gt;J$2,'ProductSprint Backlog'!$M233,0)</f>
        <v>1</v>
      </c>
      <c r="K72" s="51">
        <f>IF('ProductSprint Backlog'!$L233&gt;K$2,'ProductSprint Backlog'!$M233,0)</f>
        <v>1</v>
      </c>
      <c r="L72" s="51">
        <f>IF('ProductSprint Backlog'!$L233&gt;L$2,'ProductSprint Backlog'!$M233,0)</f>
        <v>1</v>
      </c>
      <c r="M72" s="51">
        <f>IF('ProductSprint Backlog'!$L233&gt;M$2,'ProductSprint Backlog'!$M233,0)</f>
        <v>1</v>
      </c>
      <c r="N72" s="51">
        <f>IF('ProductSprint Backlog'!$L233&gt;N$2,'ProductSprint Backlog'!$M233,0)</f>
        <v>0</v>
      </c>
      <c r="O72" s="51">
        <f>IF('ProductSprint Backlog'!$L233&gt;O$2,'ProductSprint Backlog'!$M233,0)</f>
        <v>0</v>
      </c>
      <c r="P72" s="51">
        <f>IF('ProductSprint Backlog'!$L233&gt;P$2,'ProductSprint Backlog'!$M233,0)</f>
        <v>0</v>
      </c>
    </row>
    <row r="73" spans="1:16" ht="51" x14ac:dyDescent="0.2">
      <c r="A73" s="17" t="s">
        <v>368</v>
      </c>
      <c r="B73" s="51">
        <f>IF('ProductSprint Backlog'!$L234&gt;B$2,'ProductSprint Backlog'!$M234,0)</f>
        <v>1</v>
      </c>
      <c r="C73" s="51">
        <f>IF('ProductSprint Backlog'!$L234&gt;C$2,'ProductSprint Backlog'!$M234,0)</f>
        <v>1</v>
      </c>
      <c r="D73" s="51">
        <f>IF('ProductSprint Backlog'!$L234&gt;D$2,'ProductSprint Backlog'!$M234,0)</f>
        <v>1</v>
      </c>
      <c r="E73" s="51">
        <f>IF('ProductSprint Backlog'!$L234&gt;E$2,'ProductSprint Backlog'!$M234,0)</f>
        <v>1</v>
      </c>
      <c r="F73" s="51">
        <f>IF('ProductSprint Backlog'!$L234&gt;F$2,'ProductSprint Backlog'!$M234,0)</f>
        <v>1</v>
      </c>
      <c r="G73" s="51">
        <f>IF('ProductSprint Backlog'!$L234&gt;G$2,'ProductSprint Backlog'!$M234,0)</f>
        <v>1</v>
      </c>
      <c r="H73" s="51">
        <f>IF('ProductSprint Backlog'!$L234&gt;H$2,'ProductSprint Backlog'!$M234,0)</f>
        <v>1</v>
      </c>
      <c r="I73" s="51">
        <f>IF('ProductSprint Backlog'!$L234&gt;I$2,'ProductSprint Backlog'!$M234,0)</f>
        <v>1</v>
      </c>
      <c r="J73" s="51">
        <f>IF('ProductSprint Backlog'!$L234&gt;J$2,'ProductSprint Backlog'!$M234,0)</f>
        <v>1</v>
      </c>
      <c r="K73" s="51">
        <f>IF('ProductSprint Backlog'!$L234&gt;K$2,'ProductSprint Backlog'!$M234,0)</f>
        <v>1</v>
      </c>
      <c r="L73" s="51">
        <f>IF('ProductSprint Backlog'!$L234&gt;L$2,'ProductSprint Backlog'!$M234,0)</f>
        <v>1</v>
      </c>
      <c r="M73" s="51">
        <f>IF('ProductSprint Backlog'!$L234&gt;M$2,'ProductSprint Backlog'!$M234,0)</f>
        <v>1</v>
      </c>
      <c r="N73" s="51">
        <f>IF('ProductSprint Backlog'!$L234&gt;N$2,'ProductSprint Backlog'!$M234,0)</f>
        <v>0</v>
      </c>
      <c r="O73" s="51">
        <f>IF('ProductSprint Backlog'!$L234&gt;O$2,'ProductSprint Backlog'!$M234,0)</f>
        <v>0</v>
      </c>
      <c r="P73" s="51">
        <f>IF('ProductSprint Backlog'!$L234&gt;P$2,'ProductSprint Backlog'!$M234,0)</f>
        <v>0</v>
      </c>
    </row>
    <row r="74" spans="1:16" ht="51" x14ac:dyDescent="0.2">
      <c r="A74" s="17" t="s">
        <v>371</v>
      </c>
      <c r="B74" s="51">
        <f>IF('ProductSprint Backlog'!$L235&gt;B$2,'ProductSprint Backlog'!$M235,0)</f>
        <v>2</v>
      </c>
      <c r="C74" s="51">
        <f>IF('ProductSprint Backlog'!$L235&gt;C$2,'ProductSprint Backlog'!$M235,0)</f>
        <v>2</v>
      </c>
      <c r="D74" s="51">
        <f>IF('ProductSprint Backlog'!$L235&gt;D$2,'ProductSprint Backlog'!$M235,0)</f>
        <v>2</v>
      </c>
      <c r="E74" s="51">
        <f>IF('ProductSprint Backlog'!$L235&gt;E$2,'ProductSprint Backlog'!$M235,0)</f>
        <v>2</v>
      </c>
      <c r="F74" s="51">
        <f>IF('ProductSprint Backlog'!$L235&gt;F$2,'ProductSprint Backlog'!$M235,0)</f>
        <v>2</v>
      </c>
      <c r="G74" s="51">
        <f>IF('ProductSprint Backlog'!$L235&gt;G$2,'ProductSprint Backlog'!$M235,0)</f>
        <v>2</v>
      </c>
      <c r="H74" s="51">
        <f>IF('ProductSprint Backlog'!$L235&gt;H$2,'ProductSprint Backlog'!$M235,0)</f>
        <v>2</v>
      </c>
      <c r="I74" s="51">
        <f>IF('ProductSprint Backlog'!$L235&gt;I$2,'ProductSprint Backlog'!$M235,0)</f>
        <v>2</v>
      </c>
      <c r="J74" s="51">
        <f>IF('ProductSprint Backlog'!$L235&gt;J$2,'ProductSprint Backlog'!$M235,0)</f>
        <v>2</v>
      </c>
      <c r="K74" s="51">
        <f>IF('ProductSprint Backlog'!$L235&gt;K$2,'ProductSprint Backlog'!$M235,0)</f>
        <v>2</v>
      </c>
      <c r="L74" s="51">
        <f>IF('ProductSprint Backlog'!$L235&gt;L$2,'ProductSprint Backlog'!$M235,0)</f>
        <v>2</v>
      </c>
      <c r="M74" s="51">
        <f>IF('ProductSprint Backlog'!$L235&gt;M$2,'ProductSprint Backlog'!$M235,0)</f>
        <v>2</v>
      </c>
      <c r="N74" s="51">
        <f>IF('ProductSprint Backlog'!$L235&gt;N$2,'ProductSprint Backlog'!$M235,0)</f>
        <v>2</v>
      </c>
      <c r="O74" s="51">
        <f>IF('ProductSprint Backlog'!$L235&gt;O$2,'ProductSprint Backlog'!$M235,0)</f>
        <v>2</v>
      </c>
      <c r="P74" s="51">
        <f>IF('ProductSprint Backlog'!$L235&gt;P$2,'ProductSprint Backlog'!$M235,0)</f>
        <v>0</v>
      </c>
    </row>
    <row r="75" spans="1:16" ht="51" x14ac:dyDescent="0.2">
      <c r="A75" s="17" t="s">
        <v>373</v>
      </c>
      <c r="B75" s="51">
        <f>IF('ProductSprint Backlog'!$L236&gt;B$2,'ProductSprint Backlog'!$M236,0)</f>
        <v>1</v>
      </c>
      <c r="C75" s="51">
        <f>IF('ProductSprint Backlog'!$L236&gt;C$2,'ProductSprint Backlog'!$M236,0)</f>
        <v>1</v>
      </c>
      <c r="D75" s="51">
        <f>IF('ProductSprint Backlog'!$L236&gt;D$2,'ProductSprint Backlog'!$M236,0)</f>
        <v>1</v>
      </c>
      <c r="E75" s="51">
        <f>IF('ProductSprint Backlog'!$L236&gt;E$2,'ProductSprint Backlog'!$M236,0)</f>
        <v>1</v>
      </c>
      <c r="F75" s="51">
        <f>IF('ProductSprint Backlog'!$L236&gt;F$2,'ProductSprint Backlog'!$M236,0)</f>
        <v>1</v>
      </c>
      <c r="G75" s="51">
        <f>IF('ProductSprint Backlog'!$L236&gt;G$2,'ProductSprint Backlog'!$M236,0)</f>
        <v>1</v>
      </c>
      <c r="H75" s="51">
        <f>IF('ProductSprint Backlog'!$L236&gt;H$2,'ProductSprint Backlog'!$M236,0)</f>
        <v>1</v>
      </c>
      <c r="I75" s="51">
        <f>IF('ProductSprint Backlog'!$L236&gt;I$2,'ProductSprint Backlog'!$M236,0)</f>
        <v>1</v>
      </c>
      <c r="J75" s="51">
        <f>IF('ProductSprint Backlog'!$L236&gt;J$2,'ProductSprint Backlog'!$M236,0)</f>
        <v>1</v>
      </c>
      <c r="K75" s="51">
        <f>IF('ProductSprint Backlog'!$L236&gt;K$2,'ProductSprint Backlog'!$M236,0)</f>
        <v>1</v>
      </c>
      <c r="L75" s="51">
        <f>IF('ProductSprint Backlog'!$L236&gt;L$2,'ProductSprint Backlog'!$M236,0)</f>
        <v>1</v>
      </c>
      <c r="M75" s="51">
        <f>IF('ProductSprint Backlog'!$L236&gt;M$2,'ProductSprint Backlog'!$M236,0)</f>
        <v>1</v>
      </c>
      <c r="N75" s="51">
        <f>IF('ProductSprint Backlog'!$L236&gt;N$2,'ProductSprint Backlog'!$M236,0)</f>
        <v>1</v>
      </c>
      <c r="O75" s="51">
        <f>IF('ProductSprint Backlog'!$L236&gt;O$2,'ProductSprint Backlog'!$M236,0)</f>
        <v>1</v>
      </c>
      <c r="P75" s="51">
        <f>IF('ProductSprint Backlog'!$L236&gt;P$2,'ProductSprint Backlog'!$M236,0)</f>
        <v>0</v>
      </c>
    </row>
    <row r="76" spans="1:16" ht="51" x14ac:dyDescent="0.2">
      <c r="A76" s="17" t="s">
        <v>374</v>
      </c>
      <c r="B76" s="51">
        <f>IF('ProductSprint Backlog'!$L237&gt;B$2,'ProductSprint Backlog'!$M237,0)</f>
        <v>1</v>
      </c>
      <c r="C76" s="51">
        <f>IF('ProductSprint Backlog'!$L237&gt;C$2,'ProductSprint Backlog'!$M237,0)</f>
        <v>1</v>
      </c>
      <c r="D76" s="51">
        <f>IF('ProductSprint Backlog'!$L237&gt;D$2,'ProductSprint Backlog'!$M237,0)</f>
        <v>1</v>
      </c>
      <c r="E76" s="51">
        <f>IF('ProductSprint Backlog'!$L237&gt;E$2,'ProductSprint Backlog'!$M237,0)</f>
        <v>1</v>
      </c>
      <c r="F76" s="51">
        <f>IF('ProductSprint Backlog'!$L237&gt;F$2,'ProductSprint Backlog'!$M237,0)</f>
        <v>1</v>
      </c>
      <c r="G76" s="51">
        <f>IF('ProductSprint Backlog'!$L237&gt;G$2,'ProductSprint Backlog'!$M237,0)</f>
        <v>1</v>
      </c>
      <c r="H76" s="51">
        <f>IF('ProductSprint Backlog'!$L237&gt;H$2,'ProductSprint Backlog'!$M237,0)</f>
        <v>1</v>
      </c>
      <c r="I76" s="51">
        <f>IF('ProductSprint Backlog'!$L237&gt;I$2,'ProductSprint Backlog'!$M237,0)</f>
        <v>1</v>
      </c>
      <c r="J76" s="51">
        <f>IF('ProductSprint Backlog'!$L237&gt;J$2,'ProductSprint Backlog'!$M237,0)</f>
        <v>1</v>
      </c>
      <c r="K76" s="51">
        <f>IF('ProductSprint Backlog'!$L237&gt;K$2,'ProductSprint Backlog'!$M237,0)</f>
        <v>1</v>
      </c>
      <c r="L76" s="51">
        <f>IF('ProductSprint Backlog'!$L237&gt;L$2,'ProductSprint Backlog'!$M237,0)</f>
        <v>1</v>
      </c>
      <c r="M76" s="51">
        <f>IF('ProductSprint Backlog'!$L237&gt;M$2,'ProductSprint Backlog'!$M237,0)</f>
        <v>1</v>
      </c>
      <c r="N76" s="51">
        <f>IF('ProductSprint Backlog'!$L237&gt;N$2,'ProductSprint Backlog'!$M237,0)</f>
        <v>1</v>
      </c>
      <c r="O76" s="51">
        <f>IF('ProductSprint Backlog'!$L237&gt;O$2,'ProductSprint Backlog'!$M237,0)</f>
        <v>1</v>
      </c>
      <c r="P76" s="51">
        <f>IF('ProductSprint Backlog'!$L237&gt;P$2,'ProductSprint Backlog'!$M237,0)</f>
        <v>0</v>
      </c>
    </row>
    <row r="77" spans="1:16" ht="38.25" x14ac:dyDescent="0.2">
      <c r="A77" s="17" t="s">
        <v>375</v>
      </c>
      <c r="B77" s="51">
        <f>IF('ProductSprint Backlog'!$L238&gt;B$2,'ProductSprint Backlog'!$M238,0)</f>
        <v>1</v>
      </c>
      <c r="C77" s="51">
        <f>IF('ProductSprint Backlog'!$L238&gt;C$2,'ProductSprint Backlog'!$M238,0)</f>
        <v>1</v>
      </c>
      <c r="D77" s="51">
        <f>IF('ProductSprint Backlog'!$L238&gt;D$2,'ProductSprint Backlog'!$M238,0)</f>
        <v>1</v>
      </c>
      <c r="E77" s="51">
        <f>IF('ProductSprint Backlog'!$L238&gt;E$2,'ProductSprint Backlog'!$M238,0)</f>
        <v>1</v>
      </c>
      <c r="F77" s="51">
        <f>IF('ProductSprint Backlog'!$L238&gt;F$2,'ProductSprint Backlog'!$M238,0)</f>
        <v>1</v>
      </c>
      <c r="G77" s="51">
        <f>IF('ProductSprint Backlog'!$L238&gt;G$2,'ProductSprint Backlog'!$M238,0)</f>
        <v>1</v>
      </c>
      <c r="H77" s="51">
        <f>IF('ProductSprint Backlog'!$L238&gt;H$2,'ProductSprint Backlog'!$M238,0)</f>
        <v>1</v>
      </c>
      <c r="I77" s="51">
        <f>IF('ProductSprint Backlog'!$L238&gt;I$2,'ProductSprint Backlog'!$M238,0)</f>
        <v>1</v>
      </c>
      <c r="J77" s="51">
        <f>IF('ProductSprint Backlog'!$L238&gt;J$2,'ProductSprint Backlog'!$M238,0)</f>
        <v>1</v>
      </c>
      <c r="K77" s="51">
        <f>IF('ProductSprint Backlog'!$L238&gt;K$2,'ProductSprint Backlog'!$M238,0)</f>
        <v>1</v>
      </c>
      <c r="L77" s="51">
        <f>IF('ProductSprint Backlog'!$L238&gt;L$2,'ProductSprint Backlog'!$M238,0)</f>
        <v>1</v>
      </c>
      <c r="M77" s="51">
        <f>IF('ProductSprint Backlog'!$L238&gt;M$2,'ProductSprint Backlog'!$M238,0)</f>
        <v>1</v>
      </c>
      <c r="N77" s="51">
        <f>IF('ProductSprint Backlog'!$L238&gt;N$2,'ProductSprint Backlog'!$M238,0)</f>
        <v>1</v>
      </c>
      <c r="O77" s="51">
        <f>IF('ProductSprint Backlog'!$L238&gt;O$2,'ProductSprint Backlog'!$M238,0)</f>
        <v>1</v>
      </c>
      <c r="P77" s="51">
        <f>IF('ProductSprint Backlog'!$L238&gt;P$2,'ProductSprint Backlog'!$M238,0)</f>
        <v>0</v>
      </c>
    </row>
    <row r="78" spans="1:16" ht="12.75" x14ac:dyDescent="0.2">
      <c r="A78" s="17"/>
      <c r="B78" s="51"/>
      <c r="C78" s="51"/>
      <c r="D78" s="51"/>
      <c r="E78" s="51"/>
      <c r="F78" s="51"/>
      <c r="G78" s="51"/>
      <c r="H78" s="51"/>
      <c r="I78" s="51"/>
      <c r="J78" s="51"/>
      <c r="K78" s="51"/>
      <c r="L78" s="51"/>
      <c r="M78" s="51"/>
      <c r="N78" s="51"/>
      <c r="O78" s="51"/>
      <c r="P78" s="51"/>
    </row>
    <row r="79" spans="1:16" ht="12.75" x14ac:dyDescent="0.2">
      <c r="A79" s="17"/>
      <c r="B79" s="51"/>
      <c r="C79" s="51"/>
      <c r="D79" s="51"/>
      <c r="E79" s="51"/>
      <c r="F79" s="51"/>
      <c r="G79" s="51"/>
      <c r="H79" s="51"/>
      <c r="I79" s="51"/>
      <c r="J79" s="51"/>
      <c r="K79" s="51"/>
      <c r="L79" s="51"/>
      <c r="M79" s="51"/>
      <c r="N79" s="51"/>
      <c r="O79" s="51"/>
      <c r="P79" s="51"/>
    </row>
    <row r="80" spans="1:16" ht="12.75" x14ac:dyDescent="0.2">
      <c r="A80" s="21"/>
      <c r="B80" s="51"/>
      <c r="C80" s="51"/>
      <c r="D80" s="51"/>
      <c r="E80" s="51"/>
      <c r="F80" s="51"/>
      <c r="G80" s="51"/>
      <c r="H80" s="51"/>
      <c r="I80" s="51"/>
      <c r="J80" s="51"/>
      <c r="K80" s="51"/>
      <c r="L80" s="51"/>
      <c r="M80" s="51"/>
      <c r="N80" s="51"/>
      <c r="O80" s="51"/>
      <c r="P80" s="51"/>
    </row>
    <row r="81" spans="1:16" ht="12.75" x14ac:dyDescent="0.2">
      <c r="A81" s="17"/>
      <c r="B81" s="51"/>
      <c r="C81" s="51"/>
      <c r="D81" s="51"/>
      <c r="E81" s="51"/>
      <c r="F81" s="51"/>
      <c r="G81" s="51"/>
      <c r="H81" s="51"/>
      <c r="I81" s="51"/>
      <c r="J81" s="51"/>
      <c r="K81" s="51"/>
      <c r="L81" s="51"/>
      <c r="M81" s="51"/>
      <c r="N81" s="51"/>
      <c r="O81" s="51"/>
      <c r="P81" s="51"/>
    </row>
    <row r="82" spans="1:16" ht="12.75" x14ac:dyDescent="0.2">
      <c r="A82" s="17"/>
      <c r="B82" s="51"/>
      <c r="C82" s="51"/>
      <c r="D82" s="51"/>
      <c r="E82" s="51"/>
      <c r="F82" s="51"/>
      <c r="G82" s="51"/>
      <c r="H82" s="51"/>
      <c r="I82" s="51"/>
      <c r="J82" s="51"/>
      <c r="K82" s="51"/>
      <c r="L82" s="51"/>
      <c r="M82" s="51"/>
      <c r="N82" s="51"/>
      <c r="O82" s="51"/>
      <c r="P82" s="51"/>
    </row>
    <row r="83" spans="1:16" ht="12.75" x14ac:dyDescent="0.2">
      <c r="A83" s="17"/>
      <c r="B83" s="51"/>
      <c r="C83" s="51"/>
      <c r="D83" s="51"/>
      <c r="E83" s="51"/>
      <c r="F83" s="51"/>
      <c r="G83" s="51"/>
      <c r="H83" s="51"/>
      <c r="I83" s="51"/>
      <c r="J83" s="51"/>
      <c r="K83" s="51"/>
      <c r="L83" s="51"/>
      <c r="M83" s="51"/>
      <c r="N83" s="51"/>
      <c r="O83" s="51"/>
      <c r="P83" s="51"/>
    </row>
    <row r="84" spans="1:16" ht="12.75" x14ac:dyDescent="0.2">
      <c r="A84" s="17"/>
      <c r="B84" s="51"/>
      <c r="C84" s="51"/>
      <c r="D84" s="51"/>
      <c r="E84" s="51"/>
      <c r="F84" s="51"/>
      <c r="G84" s="51"/>
      <c r="H84" s="51"/>
      <c r="I84" s="51"/>
      <c r="J84" s="51"/>
      <c r="K84" s="51"/>
      <c r="L84" s="51"/>
      <c r="M84" s="51"/>
      <c r="N84" s="51"/>
      <c r="O84" s="51"/>
      <c r="P84" s="51"/>
    </row>
    <row r="85" spans="1:16" ht="12.75" x14ac:dyDescent="0.2">
      <c r="A85" s="17"/>
      <c r="B85" s="51"/>
      <c r="C85" s="51"/>
      <c r="D85" s="51"/>
      <c r="E85" s="51"/>
      <c r="F85" s="51"/>
      <c r="G85" s="51"/>
      <c r="H85" s="51"/>
      <c r="I85" s="51"/>
      <c r="J85" s="51"/>
      <c r="K85" s="51"/>
      <c r="L85" s="51"/>
      <c r="M85" s="51"/>
      <c r="N85" s="51"/>
      <c r="O85" s="51"/>
      <c r="P85" s="51"/>
    </row>
    <row r="86" spans="1:16" ht="12.75" x14ac:dyDescent="0.2">
      <c r="A86" s="18"/>
      <c r="B86" s="51"/>
      <c r="C86" s="51"/>
      <c r="D86" s="51"/>
      <c r="E86" s="51"/>
      <c r="F86" s="51"/>
      <c r="G86" s="51"/>
      <c r="H86" s="51"/>
      <c r="I86" s="51"/>
      <c r="J86" s="51"/>
      <c r="K86" s="51"/>
      <c r="L86" s="51"/>
      <c r="M86" s="51"/>
      <c r="N86" s="51"/>
      <c r="O86" s="51"/>
      <c r="P86" s="51"/>
    </row>
    <row r="87" spans="1:16" ht="12.75" x14ac:dyDescent="0.2">
      <c r="A87" s="52"/>
      <c r="B87" s="51"/>
      <c r="C87" s="51"/>
      <c r="D87" s="51"/>
      <c r="E87" s="51"/>
      <c r="F87" s="51"/>
      <c r="G87" s="51"/>
      <c r="H87" s="51"/>
      <c r="I87" s="51"/>
      <c r="J87" s="51"/>
      <c r="K87" s="51"/>
      <c r="L87" s="51"/>
      <c r="M87" s="51"/>
      <c r="N87" s="51"/>
      <c r="O87" s="51"/>
      <c r="P87" s="51"/>
    </row>
    <row r="88" spans="1:16" ht="12.75" x14ac:dyDescent="0.2">
      <c r="A88" s="31"/>
      <c r="B88" s="51"/>
      <c r="C88" s="51"/>
      <c r="D88" s="51"/>
      <c r="E88" s="51"/>
      <c r="F88" s="51"/>
      <c r="G88" s="51"/>
      <c r="H88" s="51"/>
      <c r="I88" s="51"/>
      <c r="J88" s="51"/>
      <c r="K88" s="51"/>
      <c r="L88" s="51"/>
      <c r="M88" s="51"/>
      <c r="N88" s="51"/>
      <c r="O88" s="51"/>
      <c r="P88" s="51"/>
    </row>
    <row r="89" spans="1:16" ht="12.75" x14ac:dyDescent="0.2">
      <c r="B89" s="51"/>
      <c r="C89" s="51"/>
      <c r="D89" s="51"/>
      <c r="E89" s="51"/>
      <c r="F89" s="51"/>
      <c r="G89" s="51"/>
      <c r="H89" s="51"/>
      <c r="I89" s="51"/>
      <c r="J89" s="51"/>
      <c r="K89" s="51"/>
      <c r="L89" s="51"/>
      <c r="M89" s="51"/>
      <c r="N89" s="51"/>
      <c r="O89" s="51"/>
      <c r="P89" s="51"/>
    </row>
    <row r="90" spans="1:16" ht="12.75" x14ac:dyDescent="0.2">
      <c r="B90" s="51"/>
      <c r="C90" s="51"/>
      <c r="D90" s="51"/>
      <c r="E90" s="51"/>
      <c r="F90" s="51"/>
      <c r="G90" s="51"/>
      <c r="H90" s="51"/>
      <c r="I90" s="51"/>
      <c r="J90" s="51"/>
      <c r="K90" s="51"/>
      <c r="L90" s="51"/>
      <c r="M90" s="51"/>
      <c r="N90" s="51"/>
      <c r="O90" s="51"/>
      <c r="P90" s="51"/>
    </row>
    <row r="91" spans="1:16" ht="12.75" x14ac:dyDescent="0.2">
      <c r="B91" s="51"/>
      <c r="C91" s="51"/>
      <c r="D91" s="51"/>
      <c r="E91" s="51"/>
      <c r="F91" s="51"/>
      <c r="G91" s="51"/>
      <c r="H91" s="51"/>
      <c r="I91" s="51"/>
      <c r="J91" s="51"/>
      <c r="K91" s="51"/>
      <c r="L91" s="51"/>
      <c r="M91" s="51"/>
      <c r="N91" s="51"/>
      <c r="O91" s="51"/>
      <c r="P91" s="51"/>
    </row>
    <row r="92" spans="1:16" ht="12.75" x14ac:dyDescent="0.2">
      <c r="B92" s="51"/>
      <c r="C92" s="51"/>
      <c r="D92" s="51"/>
      <c r="E92" s="51"/>
      <c r="F92" s="51"/>
      <c r="G92" s="51"/>
      <c r="H92" s="51"/>
      <c r="I92" s="51"/>
      <c r="J92" s="51"/>
      <c r="K92" s="51"/>
      <c r="L92" s="51"/>
      <c r="M92" s="51"/>
      <c r="N92" s="51"/>
      <c r="O92" s="51"/>
      <c r="P92" s="51"/>
    </row>
    <row r="93" spans="1:16" ht="12.75" x14ac:dyDescent="0.2">
      <c r="B93" s="51"/>
      <c r="C93" s="51"/>
      <c r="D93" s="51"/>
      <c r="E93" s="51"/>
      <c r="F93" s="51"/>
      <c r="G93" s="51"/>
      <c r="H93" s="51"/>
      <c r="I93" s="51"/>
      <c r="J93" s="51"/>
      <c r="K93" s="51"/>
      <c r="L93" s="51"/>
      <c r="M93" s="51"/>
      <c r="N93" s="51"/>
      <c r="O93" s="51"/>
      <c r="P93" s="51"/>
    </row>
    <row r="94" spans="1:16" ht="12.75" x14ac:dyDescent="0.2">
      <c r="B94" s="51"/>
      <c r="C94" s="51"/>
      <c r="D94" s="51"/>
      <c r="E94" s="51"/>
      <c r="F94" s="51"/>
      <c r="G94" s="51"/>
      <c r="H94" s="51"/>
      <c r="I94" s="51"/>
      <c r="J94" s="51"/>
      <c r="K94" s="51"/>
      <c r="L94" s="51"/>
      <c r="M94" s="51"/>
      <c r="N94" s="51"/>
      <c r="O94" s="51"/>
      <c r="P94" s="51"/>
    </row>
    <row r="95" spans="1:16" ht="12.75" x14ac:dyDescent="0.2">
      <c r="B95" s="53"/>
      <c r="C95" s="53"/>
      <c r="D95" s="53"/>
      <c r="E95" s="53"/>
      <c r="F95" s="53"/>
      <c r="G95" s="53"/>
      <c r="H95" s="53"/>
      <c r="I95" s="53"/>
      <c r="J95" s="53"/>
      <c r="K95" s="53"/>
      <c r="L95" s="53"/>
      <c r="M95" s="53"/>
      <c r="N95" s="53"/>
      <c r="O95" s="53"/>
      <c r="P95" s="53"/>
    </row>
    <row r="96" spans="1:16" ht="12.75" x14ac:dyDescent="0.2">
      <c r="B96" s="53"/>
      <c r="C96" s="53"/>
      <c r="D96" s="53"/>
      <c r="E96" s="53"/>
      <c r="F96" s="53"/>
      <c r="G96" s="53"/>
      <c r="H96" s="53"/>
      <c r="I96" s="53"/>
      <c r="J96" s="53"/>
      <c r="K96" s="53"/>
      <c r="L96" s="53"/>
      <c r="M96" s="53"/>
      <c r="N96" s="53"/>
      <c r="O96" s="53"/>
      <c r="P96" s="53"/>
    </row>
    <row r="97" spans="2:16" ht="12.75" x14ac:dyDescent="0.2">
      <c r="B97" s="53"/>
      <c r="C97" s="53"/>
      <c r="D97" s="53"/>
      <c r="E97" s="53"/>
      <c r="F97" s="53"/>
      <c r="G97" s="53"/>
      <c r="H97" s="53"/>
      <c r="I97" s="53"/>
      <c r="J97" s="53"/>
      <c r="K97" s="53"/>
      <c r="L97" s="53"/>
      <c r="M97" s="53"/>
      <c r="N97" s="53"/>
      <c r="O97" s="53"/>
      <c r="P97" s="53"/>
    </row>
    <row r="98" spans="2:16" ht="12.75" x14ac:dyDescent="0.2">
      <c r="B98" s="53"/>
      <c r="C98" s="53"/>
      <c r="D98" s="53"/>
      <c r="E98" s="53"/>
      <c r="F98" s="53"/>
      <c r="G98" s="53"/>
      <c r="H98" s="53"/>
      <c r="I98" s="53"/>
      <c r="J98" s="53"/>
      <c r="K98" s="53"/>
      <c r="L98" s="53"/>
      <c r="M98" s="53"/>
      <c r="N98" s="53"/>
      <c r="O98" s="53"/>
      <c r="P98" s="53"/>
    </row>
    <row r="99" spans="2:16" ht="12.75" x14ac:dyDescent="0.2">
      <c r="B99" s="53"/>
      <c r="C99" s="53"/>
      <c r="D99" s="53"/>
      <c r="E99" s="53"/>
      <c r="F99" s="53"/>
      <c r="G99" s="53"/>
      <c r="H99" s="53"/>
      <c r="I99" s="53"/>
      <c r="J99" s="53"/>
      <c r="K99" s="53"/>
      <c r="L99" s="53"/>
      <c r="M99" s="53"/>
      <c r="N99" s="53"/>
      <c r="O99" s="53"/>
      <c r="P99" s="53"/>
    </row>
    <row r="100" spans="2:16" ht="12.75" x14ac:dyDescent="0.2">
      <c r="B100" s="53"/>
      <c r="C100" s="53"/>
      <c r="D100" s="53"/>
      <c r="E100" s="53"/>
      <c r="F100" s="53"/>
      <c r="G100" s="53"/>
      <c r="H100" s="53"/>
      <c r="I100" s="53"/>
      <c r="J100" s="53"/>
      <c r="K100" s="53"/>
      <c r="L100" s="53"/>
      <c r="M100" s="53"/>
      <c r="N100" s="53"/>
      <c r="O100" s="53"/>
      <c r="P100" s="53"/>
    </row>
    <row r="101" spans="2:16" ht="12.75" x14ac:dyDescent="0.2">
      <c r="B101" s="53"/>
      <c r="C101" s="53"/>
      <c r="D101" s="53"/>
      <c r="E101" s="53"/>
      <c r="F101" s="53"/>
      <c r="G101" s="53"/>
      <c r="H101" s="53"/>
      <c r="I101" s="53"/>
      <c r="J101" s="53"/>
      <c r="K101" s="53"/>
      <c r="L101" s="53"/>
      <c r="M101" s="53"/>
      <c r="N101" s="53"/>
      <c r="O101" s="53"/>
      <c r="P101" s="53"/>
    </row>
    <row r="102" spans="2:16" ht="12.75" x14ac:dyDescent="0.2">
      <c r="B102" s="53"/>
      <c r="C102" s="53"/>
      <c r="D102" s="53"/>
      <c r="E102" s="53"/>
      <c r="F102" s="53"/>
      <c r="G102" s="53"/>
      <c r="H102" s="53"/>
      <c r="I102" s="53"/>
      <c r="J102" s="53"/>
      <c r="K102" s="53"/>
      <c r="L102" s="53"/>
      <c r="M102" s="53"/>
      <c r="N102" s="53"/>
      <c r="O102" s="53"/>
      <c r="P102" s="53"/>
    </row>
    <row r="103" spans="2:16" ht="12.75" x14ac:dyDescent="0.2">
      <c r="B103" s="53"/>
      <c r="C103" s="53"/>
      <c r="D103" s="53"/>
      <c r="E103" s="53"/>
      <c r="F103" s="53"/>
      <c r="G103" s="53"/>
      <c r="H103" s="53"/>
      <c r="I103" s="53"/>
      <c r="J103" s="53"/>
      <c r="K103" s="53"/>
      <c r="L103" s="53"/>
      <c r="M103" s="53"/>
      <c r="N103" s="53"/>
      <c r="O103" s="53"/>
      <c r="P103" s="53"/>
    </row>
    <row r="104" spans="2:16" ht="12.75" x14ac:dyDescent="0.2">
      <c r="B104" s="53"/>
      <c r="C104" s="53"/>
      <c r="D104" s="53"/>
      <c r="E104" s="53"/>
      <c r="F104" s="53"/>
      <c r="G104" s="53"/>
      <c r="H104" s="53"/>
      <c r="I104" s="53"/>
      <c r="J104" s="53"/>
      <c r="K104" s="53"/>
      <c r="L104" s="53"/>
      <c r="M104" s="53"/>
      <c r="N104" s="53"/>
      <c r="O104" s="53"/>
      <c r="P104" s="53"/>
    </row>
    <row r="105" spans="2:16" ht="12.75" x14ac:dyDescent="0.2">
      <c r="B105" s="53"/>
      <c r="C105" s="53"/>
      <c r="D105" s="53"/>
      <c r="E105" s="53"/>
      <c r="F105" s="53"/>
      <c r="G105" s="53"/>
      <c r="H105" s="53"/>
      <c r="I105" s="53"/>
      <c r="J105" s="53"/>
      <c r="K105" s="53"/>
      <c r="L105" s="53"/>
      <c r="M105" s="53"/>
      <c r="N105" s="53"/>
      <c r="O105" s="53"/>
      <c r="P105" s="53"/>
    </row>
    <row r="106" spans="2:16" ht="12.75" x14ac:dyDescent="0.2">
      <c r="B106" s="53"/>
      <c r="C106" s="53"/>
      <c r="D106" s="53"/>
      <c r="E106" s="53"/>
      <c r="F106" s="53"/>
      <c r="G106" s="53"/>
      <c r="H106" s="53"/>
      <c r="I106" s="53"/>
      <c r="J106" s="53"/>
      <c r="K106" s="53"/>
      <c r="L106" s="53"/>
      <c r="M106" s="53"/>
      <c r="N106" s="53"/>
      <c r="O106" s="53"/>
      <c r="P106" s="53"/>
    </row>
    <row r="107" spans="2:16" ht="12.75" x14ac:dyDescent="0.2">
      <c r="B107" s="53"/>
      <c r="C107" s="53"/>
      <c r="D107" s="53"/>
      <c r="E107" s="53"/>
      <c r="F107" s="53"/>
      <c r="G107" s="53"/>
      <c r="H107" s="53"/>
      <c r="I107" s="53"/>
      <c r="J107" s="53"/>
      <c r="K107" s="53"/>
      <c r="L107" s="53"/>
      <c r="M107" s="53"/>
      <c r="N107" s="53"/>
      <c r="O107" s="53"/>
      <c r="P107" s="53"/>
    </row>
    <row r="108" spans="2:16" ht="12.75" x14ac:dyDescent="0.2">
      <c r="B108" s="53"/>
      <c r="C108" s="53"/>
      <c r="D108" s="53"/>
      <c r="E108" s="53"/>
      <c r="F108" s="53"/>
      <c r="G108" s="53"/>
      <c r="H108" s="53"/>
      <c r="I108" s="53"/>
      <c r="J108" s="53"/>
      <c r="K108" s="53"/>
      <c r="L108" s="53"/>
      <c r="M108" s="53"/>
      <c r="N108" s="53"/>
      <c r="O108" s="53"/>
      <c r="P108" s="53"/>
    </row>
    <row r="109" spans="2:16" ht="12.75" x14ac:dyDescent="0.2">
      <c r="B109" s="53"/>
      <c r="C109" s="53"/>
      <c r="D109" s="53"/>
      <c r="E109" s="53"/>
      <c r="F109" s="53"/>
      <c r="G109" s="53"/>
      <c r="H109" s="53"/>
      <c r="I109" s="53"/>
      <c r="J109" s="53"/>
      <c r="K109" s="53"/>
      <c r="L109" s="53"/>
      <c r="M109" s="53"/>
      <c r="N109" s="53"/>
      <c r="O109" s="53"/>
      <c r="P109" s="53"/>
    </row>
  </sheetData>
  <mergeCells count="2">
    <mergeCell ref="A4:O5"/>
    <mergeCell ref="B6:P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U109"/>
  <sheetViews>
    <sheetView topLeftCell="A3" workbookViewId="0"/>
  </sheetViews>
  <sheetFormatPr baseColWidth="10" defaultColWidth="12.5703125" defaultRowHeight="15.75" customHeight="1" x14ac:dyDescent="0.2"/>
  <cols>
    <col min="1" max="1" width="43.7109375" customWidth="1"/>
    <col min="2" max="15" width="8.42578125" customWidth="1"/>
  </cols>
  <sheetData>
    <row r="1" spans="1:21" ht="4.5" customHeight="1" x14ac:dyDescent="0.2">
      <c r="B1" s="31"/>
      <c r="C1" s="31"/>
      <c r="D1" s="31"/>
      <c r="E1" s="31"/>
      <c r="F1" s="31"/>
      <c r="G1" s="31"/>
      <c r="H1" s="31"/>
      <c r="I1" s="31"/>
      <c r="J1" s="31"/>
      <c r="K1" s="31"/>
      <c r="L1" s="31"/>
      <c r="M1" s="31"/>
      <c r="N1" s="31"/>
      <c r="O1" s="31"/>
    </row>
    <row r="2" spans="1:21" ht="36" customHeight="1" x14ac:dyDescent="0.2">
      <c r="B2" s="49">
        <v>45875</v>
      </c>
      <c r="C2" s="49">
        <v>45876</v>
      </c>
      <c r="D2" s="49">
        <v>45877</v>
      </c>
      <c r="E2" s="49">
        <v>45878</v>
      </c>
      <c r="F2" s="49">
        <v>45879</v>
      </c>
      <c r="G2" s="49">
        <v>45880</v>
      </c>
      <c r="H2" s="49">
        <v>45881</v>
      </c>
      <c r="I2" s="49">
        <v>45882</v>
      </c>
      <c r="J2" s="49">
        <v>45883</v>
      </c>
      <c r="K2" s="49">
        <v>45884</v>
      </c>
      <c r="L2" s="49">
        <v>45885</v>
      </c>
      <c r="M2" s="49">
        <v>45886</v>
      </c>
      <c r="N2" s="49">
        <v>45887</v>
      </c>
      <c r="O2" s="49">
        <v>45888</v>
      </c>
      <c r="P2" s="49">
        <v>45889</v>
      </c>
      <c r="Q2" s="49">
        <v>45890</v>
      </c>
      <c r="R2" s="49">
        <v>45891</v>
      </c>
      <c r="S2" s="49">
        <v>45892</v>
      </c>
      <c r="T2" s="54"/>
      <c r="U2" s="54"/>
    </row>
    <row r="3" spans="1:21" ht="12.75" x14ac:dyDescent="0.2">
      <c r="A3" s="50" t="s">
        <v>497</v>
      </c>
      <c r="B3" s="51">
        <f>COUNTIFS('ProductSprint Backlog'!$D$86:$D$166,"&lt;&gt;",'ProductSprint Backlog'!$L$86:$L$166,"&gt;"&amp;DATEVALUE(B2))</f>
        <v>0</v>
      </c>
      <c r="C3" s="51">
        <f>COUNTIFS('ProductSprint Backlog'!$D$86:$D$166,"&lt;&gt;",'ProductSprint Backlog'!$L$86:$L$166,"&gt;"&amp;DATEVALUE(C2))</f>
        <v>0</v>
      </c>
      <c r="D3" s="51">
        <f>COUNTIFS('ProductSprint Backlog'!$D$86:$D$166,"&lt;&gt;",'ProductSprint Backlog'!$L$86:$L$166,"&gt;"&amp;DATEVALUE(D2))</f>
        <v>0</v>
      </c>
      <c r="E3" s="51">
        <f>COUNTIFS('ProductSprint Backlog'!$D$86:$D$166,"&lt;&gt;",'ProductSprint Backlog'!$L$86:$L$166,"&gt;"&amp;DATEVALUE(E2))</f>
        <v>0</v>
      </c>
      <c r="F3" s="51">
        <f>COUNTIFS('ProductSprint Backlog'!$D$86:$D$166,"&lt;&gt;",'ProductSprint Backlog'!$L$86:$L$166,"&gt;"&amp;DATEVALUE(F2))</f>
        <v>0</v>
      </c>
      <c r="G3" s="51">
        <f>COUNTIFS('ProductSprint Backlog'!$D$86:$D$166,"&lt;&gt;",'ProductSprint Backlog'!$L$86:$L$166,"&gt;"&amp;DATEVALUE(G2))</f>
        <v>0</v>
      </c>
      <c r="H3" s="51">
        <f>COUNTIFS('ProductSprint Backlog'!$D$86:$D$166,"&lt;&gt;",'ProductSprint Backlog'!$L$86:$L$166,"&gt;"&amp;DATEVALUE(H2))</f>
        <v>0</v>
      </c>
      <c r="I3" s="51">
        <f>COUNTIFS('ProductSprint Backlog'!$D$86:$D$166,"&lt;&gt;",'ProductSprint Backlog'!$L$86:$L$166,"&gt;"&amp;DATEVALUE(I2))</f>
        <v>0</v>
      </c>
      <c r="J3" s="51">
        <f>COUNTIFS('ProductSprint Backlog'!$D$86:$D$166,"&lt;&gt;",'ProductSprint Backlog'!$L$86:$L$166,"&gt;"&amp;DATEVALUE(J2))</f>
        <v>0</v>
      </c>
      <c r="K3" s="51">
        <f>COUNTIFS('ProductSprint Backlog'!$D$86:$D$166,"&lt;&gt;",'ProductSprint Backlog'!$L$86:$L$166,"&gt;"&amp;DATEVALUE(K2))</f>
        <v>0</v>
      </c>
      <c r="L3" s="51">
        <f>COUNTIFS('ProductSprint Backlog'!$D$86:$D$166,"&lt;&gt;",'ProductSprint Backlog'!$L$86:$L$166,"&gt;"&amp;DATEVALUE(L2))</f>
        <v>0</v>
      </c>
      <c r="M3" s="51">
        <f>COUNTIFS('ProductSprint Backlog'!$D$86:$D$166,"&lt;&gt;",'ProductSprint Backlog'!$L$86:$L$166,"&gt;"&amp;DATEVALUE(M2))</f>
        <v>0</v>
      </c>
      <c r="N3" s="51">
        <f>COUNTIFS('ProductSprint Backlog'!$D$86:$D$166,"&lt;&gt;",'ProductSprint Backlog'!$L$86:$L$166,"&gt;"&amp;DATEVALUE(N2))</f>
        <v>0</v>
      </c>
      <c r="O3" s="51">
        <f>COUNTIFS('ProductSprint Backlog'!$D$86:$D$166,"&lt;&gt;",'ProductSprint Backlog'!$L$86:$L$166,"&gt;"&amp;DATEVALUE(O2))</f>
        <v>0</v>
      </c>
      <c r="P3" s="51">
        <f>COUNTIFS('ProductSprint Backlog'!$D$86:$D$166,"&lt;&gt;",'ProductSprint Backlog'!$L$86:$L$166,"&gt;"&amp;DATEVALUE(P2))</f>
        <v>0</v>
      </c>
      <c r="Q3" s="51">
        <f>COUNTIFS('ProductSprint Backlog'!$D$86:$D$166,"&lt;&gt;",'ProductSprint Backlog'!$L$86:$L$166,"&gt;"&amp;DATEVALUE(Q2))</f>
        <v>0</v>
      </c>
      <c r="R3" s="51">
        <f>COUNTIFS('ProductSprint Backlog'!$D$86:$D$166,"&lt;&gt;",'ProductSprint Backlog'!$L$86:$L$166,"&gt;"&amp;DATEVALUE(R2))</f>
        <v>0</v>
      </c>
      <c r="S3" s="51">
        <f>COUNTIFS('ProductSprint Backlog'!$D$86:$D$166,"&lt;&gt;",'ProductSprint Backlog'!$L$86:$L$166,"&gt;"&amp;DATEVALUE(S2))</f>
        <v>0</v>
      </c>
      <c r="T3" s="53"/>
      <c r="U3" s="53"/>
    </row>
    <row r="4" spans="1:21" ht="15.75" customHeight="1" x14ac:dyDescent="0.2">
      <c r="A4" s="61"/>
      <c r="B4" s="61"/>
      <c r="C4" s="61"/>
      <c r="D4" s="61"/>
      <c r="E4" s="61"/>
      <c r="F4" s="61"/>
      <c r="G4" s="61"/>
      <c r="H4" s="61"/>
      <c r="I4" s="61"/>
      <c r="J4" s="61"/>
      <c r="K4" s="61"/>
      <c r="L4" s="61"/>
      <c r="M4" s="61"/>
      <c r="N4" s="61"/>
      <c r="O4" s="61"/>
    </row>
    <row r="5" spans="1:21" ht="15.75" customHeight="1" x14ac:dyDescent="0.2">
      <c r="A5" s="61"/>
      <c r="B5" s="61"/>
      <c r="C5" s="61"/>
      <c r="D5" s="61"/>
      <c r="E5" s="61"/>
      <c r="F5" s="61"/>
      <c r="G5" s="61"/>
      <c r="H5" s="61"/>
      <c r="I5" s="61"/>
      <c r="J5" s="61"/>
      <c r="K5" s="61"/>
      <c r="L5" s="61"/>
      <c r="M5" s="61"/>
      <c r="N5" s="61"/>
      <c r="O5" s="61"/>
    </row>
    <row r="6" spans="1:21" ht="12.75" x14ac:dyDescent="0.2">
      <c r="A6" s="50" t="s">
        <v>498</v>
      </c>
      <c r="B6" s="70" t="s">
        <v>499</v>
      </c>
      <c r="C6" s="71"/>
      <c r="D6" s="71"/>
      <c r="E6" s="71"/>
      <c r="F6" s="71"/>
      <c r="G6" s="71"/>
      <c r="H6" s="71"/>
      <c r="I6" s="71"/>
      <c r="J6" s="71"/>
      <c r="K6" s="71"/>
      <c r="L6" s="71"/>
      <c r="M6" s="71"/>
      <c r="N6" s="71"/>
      <c r="O6" s="71"/>
      <c r="P6" s="71"/>
      <c r="Q6" s="71"/>
      <c r="R6" s="71"/>
      <c r="S6" s="72"/>
      <c r="T6" s="55"/>
      <c r="U6" s="55"/>
    </row>
    <row r="7" spans="1:21" ht="51" x14ac:dyDescent="0.2">
      <c r="A7" s="17" t="s">
        <v>522</v>
      </c>
      <c r="B7" s="51">
        <f>IF('ProductSprint Backlog'!$L86&gt;B$2,'ProductSprint Backlog'!$M86,0)</f>
        <v>0.5</v>
      </c>
      <c r="C7" s="51">
        <f>IF('ProductSprint Backlog'!$L86&gt;C$2,'ProductSprint Backlog'!$M86,0)</f>
        <v>0.5</v>
      </c>
      <c r="D7" s="51">
        <f>IF('ProductSprint Backlog'!$L86&gt;D$2,'ProductSprint Backlog'!$M86,0)</f>
        <v>0.5</v>
      </c>
      <c r="E7" s="51">
        <f>IF('ProductSprint Backlog'!$L86&gt;E$2,'ProductSprint Backlog'!$M86,0)</f>
        <v>0.5</v>
      </c>
      <c r="F7" s="51">
        <f>IF('ProductSprint Backlog'!$L86&gt;F$2,'ProductSprint Backlog'!$M86,0)</f>
        <v>0.5</v>
      </c>
      <c r="G7" s="51">
        <f>IF('ProductSprint Backlog'!$L86&gt;G$2,'ProductSprint Backlog'!$M86,0)</f>
        <v>0.5</v>
      </c>
      <c r="H7" s="51">
        <f>IF('ProductSprint Backlog'!$L86&gt;H$2,'ProductSprint Backlog'!$M86,0)</f>
        <v>0.5</v>
      </c>
      <c r="I7" s="51">
        <f>IF('ProductSprint Backlog'!$L86&gt;I$2,'ProductSprint Backlog'!$M86,0)</f>
        <v>0</v>
      </c>
      <c r="J7" s="51">
        <f>IF('ProductSprint Backlog'!$L86&gt;J$2,'ProductSprint Backlog'!$M86,0)</f>
        <v>0</v>
      </c>
      <c r="K7" s="51">
        <f>IF('ProductSprint Backlog'!$L86&gt;K$2,'ProductSprint Backlog'!$M86,0)</f>
        <v>0</v>
      </c>
      <c r="L7" s="51">
        <f>IF('ProductSprint Backlog'!$L86&gt;L$2,'ProductSprint Backlog'!$M86,0)</f>
        <v>0</v>
      </c>
      <c r="M7" s="51">
        <f>IF('ProductSprint Backlog'!$L86&gt;M$2,'ProductSprint Backlog'!$M86,0)</f>
        <v>0</v>
      </c>
      <c r="N7" s="51">
        <f>IF('ProductSprint Backlog'!$L86&gt;N$2,'ProductSprint Backlog'!$M86,0)</f>
        <v>0</v>
      </c>
      <c r="O7" s="51">
        <f>IF('ProductSprint Backlog'!$L86&gt;O$2,'ProductSprint Backlog'!$M86,0)</f>
        <v>0</v>
      </c>
      <c r="P7" s="51">
        <f>IF('ProductSprint Backlog'!$L86&gt;P$2,'ProductSprint Backlog'!$M86,0)</f>
        <v>0</v>
      </c>
      <c r="Q7" s="51">
        <f>IF('ProductSprint Backlog'!$L86&gt;Q$2,'ProductSprint Backlog'!$M86,0)</f>
        <v>0</v>
      </c>
      <c r="R7" s="51">
        <f>IF('ProductSprint Backlog'!$L86&gt;R$2,'ProductSprint Backlog'!$M86,0)</f>
        <v>0</v>
      </c>
      <c r="S7" s="51">
        <f>IF('ProductSprint Backlog'!$L86&gt;S$2,'ProductSprint Backlog'!$M86,0)</f>
        <v>0</v>
      </c>
      <c r="T7" s="53"/>
      <c r="U7" s="53"/>
    </row>
    <row r="8" spans="1:21" ht="25.5" x14ac:dyDescent="0.2">
      <c r="A8" s="17" t="s">
        <v>157</v>
      </c>
      <c r="B8" s="51">
        <f>IF('ProductSprint Backlog'!$L87&gt;B$2,'ProductSprint Backlog'!$M87,0)</f>
        <v>1</v>
      </c>
      <c r="C8" s="51">
        <f>IF('ProductSprint Backlog'!$L87&gt;C$2,'ProductSprint Backlog'!$M87,0)</f>
        <v>1</v>
      </c>
      <c r="D8" s="51">
        <f>IF('ProductSprint Backlog'!$L87&gt;D$2,'ProductSprint Backlog'!$M87,0)</f>
        <v>1</v>
      </c>
      <c r="E8" s="51">
        <f>IF('ProductSprint Backlog'!$L87&gt;E$2,'ProductSprint Backlog'!$M87,0)</f>
        <v>1</v>
      </c>
      <c r="F8" s="51">
        <f>IF('ProductSprint Backlog'!$L87&gt;F$2,'ProductSprint Backlog'!$M87,0)</f>
        <v>1</v>
      </c>
      <c r="G8" s="51">
        <f>IF('ProductSprint Backlog'!$L87&gt;G$2,'ProductSprint Backlog'!$M87,0)</f>
        <v>1</v>
      </c>
      <c r="H8" s="51">
        <f>IF('ProductSprint Backlog'!$L87&gt;H$2,'ProductSprint Backlog'!$M87,0)</f>
        <v>1</v>
      </c>
      <c r="I8" s="51">
        <f>IF('ProductSprint Backlog'!$L87&gt;I$2,'ProductSprint Backlog'!$M87,0)</f>
        <v>0</v>
      </c>
      <c r="J8" s="51">
        <f>IF('ProductSprint Backlog'!$L87&gt;J$2,'ProductSprint Backlog'!$M87,0)</f>
        <v>0</v>
      </c>
      <c r="K8" s="51">
        <f>IF('ProductSprint Backlog'!$L87&gt;K$2,'ProductSprint Backlog'!$M87,0)</f>
        <v>0</v>
      </c>
      <c r="L8" s="51">
        <f>IF('ProductSprint Backlog'!$L87&gt;L$2,'ProductSprint Backlog'!$M87,0)</f>
        <v>0</v>
      </c>
      <c r="M8" s="51">
        <f>IF('ProductSprint Backlog'!$L87&gt;M$2,'ProductSprint Backlog'!$M87,0)</f>
        <v>0</v>
      </c>
      <c r="N8" s="51">
        <f>IF('ProductSprint Backlog'!$L87&gt;N$2,'ProductSprint Backlog'!$M87,0)</f>
        <v>0</v>
      </c>
      <c r="O8" s="51">
        <f>IF('ProductSprint Backlog'!$L87&gt;O$2,'ProductSprint Backlog'!$M87,0)</f>
        <v>0</v>
      </c>
      <c r="P8" s="51">
        <f>IF('ProductSprint Backlog'!$L87&gt;P$2,'ProductSprint Backlog'!$M87,0)</f>
        <v>0</v>
      </c>
      <c r="Q8" s="51">
        <f>IF('ProductSprint Backlog'!$L87&gt;Q$2,'ProductSprint Backlog'!$M87,0)</f>
        <v>0</v>
      </c>
      <c r="R8" s="51">
        <f>IF('ProductSprint Backlog'!$L87&gt;R$2,'ProductSprint Backlog'!$M87,0)</f>
        <v>0</v>
      </c>
      <c r="S8" s="51">
        <f>IF('ProductSprint Backlog'!$L87&gt;S$2,'ProductSprint Backlog'!$M87,0)</f>
        <v>0</v>
      </c>
      <c r="T8" s="53"/>
      <c r="U8" s="53"/>
    </row>
    <row r="9" spans="1:21" ht="25.5" x14ac:dyDescent="0.2">
      <c r="A9" s="17" t="s">
        <v>159</v>
      </c>
      <c r="B9" s="51">
        <f>IF('ProductSprint Backlog'!$L88&gt;B$2,'ProductSprint Backlog'!$M88,0)</f>
        <v>0.5</v>
      </c>
      <c r="C9" s="51">
        <f>IF('ProductSprint Backlog'!$L88&gt;C$2,'ProductSprint Backlog'!$M88,0)</f>
        <v>0.5</v>
      </c>
      <c r="D9" s="51">
        <f>IF('ProductSprint Backlog'!$L88&gt;D$2,'ProductSprint Backlog'!$M88,0)</f>
        <v>0.5</v>
      </c>
      <c r="E9" s="51">
        <f>IF('ProductSprint Backlog'!$L88&gt;E$2,'ProductSprint Backlog'!$M88,0)</f>
        <v>0.5</v>
      </c>
      <c r="F9" s="51">
        <f>IF('ProductSprint Backlog'!$L88&gt;F$2,'ProductSprint Backlog'!$M88,0)</f>
        <v>0.5</v>
      </c>
      <c r="G9" s="51">
        <f>IF('ProductSprint Backlog'!$L88&gt;G$2,'ProductSprint Backlog'!$M88,0)</f>
        <v>0.5</v>
      </c>
      <c r="H9" s="51">
        <f>IF('ProductSprint Backlog'!$L88&gt;H$2,'ProductSprint Backlog'!$M88,0)</f>
        <v>0.5</v>
      </c>
      <c r="I9" s="51">
        <f>IF('ProductSprint Backlog'!$L88&gt;I$2,'ProductSprint Backlog'!$M88,0)</f>
        <v>0</v>
      </c>
      <c r="J9" s="51">
        <f>IF('ProductSprint Backlog'!$L88&gt;J$2,'ProductSprint Backlog'!$M88,0)</f>
        <v>0</v>
      </c>
      <c r="K9" s="51">
        <f>IF('ProductSprint Backlog'!$L88&gt;K$2,'ProductSprint Backlog'!$M88,0)</f>
        <v>0</v>
      </c>
      <c r="L9" s="51">
        <f>IF('ProductSprint Backlog'!$L88&gt;L$2,'ProductSprint Backlog'!$M88,0)</f>
        <v>0</v>
      </c>
      <c r="M9" s="51">
        <f>IF('ProductSprint Backlog'!$L88&gt;M$2,'ProductSprint Backlog'!$M88,0)</f>
        <v>0</v>
      </c>
      <c r="N9" s="51">
        <f>IF('ProductSprint Backlog'!$L88&gt;N$2,'ProductSprint Backlog'!$M88,0)</f>
        <v>0</v>
      </c>
      <c r="O9" s="51">
        <f>IF('ProductSprint Backlog'!$L88&gt;O$2,'ProductSprint Backlog'!$M88,0)</f>
        <v>0</v>
      </c>
      <c r="P9" s="51">
        <f>IF('ProductSprint Backlog'!$L88&gt;P$2,'ProductSprint Backlog'!$M88,0)</f>
        <v>0</v>
      </c>
      <c r="Q9" s="51">
        <f>IF('ProductSprint Backlog'!$L88&gt;Q$2,'ProductSprint Backlog'!$M88,0)</f>
        <v>0</v>
      </c>
      <c r="R9" s="51">
        <f>IF('ProductSprint Backlog'!$L88&gt;R$2,'ProductSprint Backlog'!$M88,0)</f>
        <v>0</v>
      </c>
      <c r="S9" s="51">
        <f>IF('ProductSprint Backlog'!$L88&gt;S$2,'ProductSprint Backlog'!$M88,0)</f>
        <v>0</v>
      </c>
      <c r="T9" s="53"/>
      <c r="U9" s="53"/>
    </row>
    <row r="10" spans="1:21" ht="12.75" x14ac:dyDescent="0.2">
      <c r="A10" s="17" t="s">
        <v>161</v>
      </c>
      <c r="B10" s="51">
        <f>IF('ProductSprint Backlog'!$L89&gt;B$2,'ProductSprint Backlog'!$M89,0)</f>
        <v>1</v>
      </c>
      <c r="C10" s="51">
        <f>IF('ProductSprint Backlog'!$L89&gt;C$2,'ProductSprint Backlog'!$M89,0)</f>
        <v>1</v>
      </c>
      <c r="D10" s="51">
        <f>IF('ProductSprint Backlog'!$L89&gt;D$2,'ProductSprint Backlog'!$M89,0)</f>
        <v>1</v>
      </c>
      <c r="E10" s="51">
        <f>IF('ProductSprint Backlog'!$L89&gt;E$2,'ProductSprint Backlog'!$M89,0)</f>
        <v>1</v>
      </c>
      <c r="F10" s="51">
        <f>IF('ProductSprint Backlog'!$L89&gt;F$2,'ProductSprint Backlog'!$M89,0)</f>
        <v>1</v>
      </c>
      <c r="G10" s="51">
        <f>IF('ProductSprint Backlog'!$L89&gt;G$2,'ProductSprint Backlog'!$M89,0)</f>
        <v>1</v>
      </c>
      <c r="H10" s="51">
        <f>IF('ProductSprint Backlog'!$L89&gt;H$2,'ProductSprint Backlog'!$M89,0)</f>
        <v>1</v>
      </c>
      <c r="I10" s="51">
        <f>IF('ProductSprint Backlog'!$L89&gt;I$2,'ProductSprint Backlog'!$M89,0)</f>
        <v>0</v>
      </c>
      <c r="J10" s="51">
        <f>IF('ProductSprint Backlog'!$L89&gt;J$2,'ProductSprint Backlog'!$M89,0)</f>
        <v>0</v>
      </c>
      <c r="K10" s="51">
        <f>IF('ProductSprint Backlog'!$L89&gt;K$2,'ProductSprint Backlog'!$M89,0)</f>
        <v>0</v>
      </c>
      <c r="L10" s="51">
        <f>IF('ProductSprint Backlog'!$L89&gt;L$2,'ProductSprint Backlog'!$M89,0)</f>
        <v>0</v>
      </c>
      <c r="M10" s="51">
        <f>IF('ProductSprint Backlog'!$L89&gt;M$2,'ProductSprint Backlog'!$M89,0)</f>
        <v>0</v>
      </c>
      <c r="N10" s="51">
        <f>IF('ProductSprint Backlog'!$L89&gt;N$2,'ProductSprint Backlog'!$M89,0)</f>
        <v>0</v>
      </c>
      <c r="O10" s="51">
        <f>IF('ProductSprint Backlog'!$L89&gt;O$2,'ProductSprint Backlog'!$M89,0)</f>
        <v>0</v>
      </c>
      <c r="P10" s="51">
        <f>IF('ProductSprint Backlog'!$L89&gt;P$2,'ProductSprint Backlog'!$M89,0)</f>
        <v>0</v>
      </c>
      <c r="Q10" s="51">
        <f>IF('ProductSprint Backlog'!$L89&gt;Q$2,'ProductSprint Backlog'!$M89,0)</f>
        <v>0</v>
      </c>
      <c r="R10" s="51">
        <f>IF('ProductSprint Backlog'!$L89&gt;R$2,'ProductSprint Backlog'!$M89,0)</f>
        <v>0</v>
      </c>
      <c r="S10" s="51">
        <f>IF('ProductSprint Backlog'!$L89&gt;S$2,'ProductSprint Backlog'!$M89,0)</f>
        <v>0</v>
      </c>
      <c r="T10" s="53"/>
      <c r="U10" s="53"/>
    </row>
    <row r="11" spans="1:21" ht="38.25" x14ac:dyDescent="0.2">
      <c r="A11" s="17" t="s">
        <v>163</v>
      </c>
      <c r="B11" s="51">
        <f>IF('ProductSprint Backlog'!$L90&gt;B$2,'ProductSprint Backlog'!$M90,0)</f>
        <v>0.5</v>
      </c>
      <c r="C11" s="51">
        <f>IF('ProductSprint Backlog'!$L90&gt;C$2,'ProductSprint Backlog'!$M90,0)</f>
        <v>0.5</v>
      </c>
      <c r="D11" s="51">
        <f>IF('ProductSprint Backlog'!$L90&gt;D$2,'ProductSprint Backlog'!$M90,0)</f>
        <v>0.5</v>
      </c>
      <c r="E11" s="51">
        <f>IF('ProductSprint Backlog'!$L90&gt;E$2,'ProductSprint Backlog'!$M90,0)</f>
        <v>0.5</v>
      </c>
      <c r="F11" s="51">
        <f>IF('ProductSprint Backlog'!$L90&gt;F$2,'ProductSprint Backlog'!$M90,0)</f>
        <v>0.5</v>
      </c>
      <c r="G11" s="51">
        <f>IF('ProductSprint Backlog'!$L90&gt;G$2,'ProductSprint Backlog'!$M90,0)</f>
        <v>0.5</v>
      </c>
      <c r="H11" s="51">
        <f>IF('ProductSprint Backlog'!$L90&gt;H$2,'ProductSprint Backlog'!$M90,0)</f>
        <v>0.5</v>
      </c>
      <c r="I11" s="51">
        <f>IF('ProductSprint Backlog'!$L90&gt;I$2,'ProductSprint Backlog'!$M90,0)</f>
        <v>0</v>
      </c>
      <c r="J11" s="51">
        <f>IF('ProductSprint Backlog'!$L90&gt;J$2,'ProductSprint Backlog'!$M90,0)</f>
        <v>0</v>
      </c>
      <c r="K11" s="51">
        <f>IF('ProductSprint Backlog'!$L90&gt;K$2,'ProductSprint Backlog'!$M90,0)</f>
        <v>0</v>
      </c>
      <c r="L11" s="51">
        <f>IF('ProductSprint Backlog'!$L90&gt;L$2,'ProductSprint Backlog'!$M90,0)</f>
        <v>0</v>
      </c>
      <c r="M11" s="51">
        <f>IF('ProductSprint Backlog'!$L90&gt;M$2,'ProductSprint Backlog'!$M90,0)</f>
        <v>0</v>
      </c>
      <c r="N11" s="51">
        <f>IF('ProductSprint Backlog'!$L90&gt;N$2,'ProductSprint Backlog'!$M90,0)</f>
        <v>0</v>
      </c>
      <c r="O11" s="51">
        <f>IF('ProductSprint Backlog'!$L90&gt;O$2,'ProductSprint Backlog'!$M90,0)</f>
        <v>0</v>
      </c>
      <c r="P11" s="51">
        <f>IF('ProductSprint Backlog'!$L90&gt;P$2,'ProductSprint Backlog'!$M90,0)</f>
        <v>0</v>
      </c>
      <c r="Q11" s="51">
        <f>IF('ProductSprint Backlog'!$L90&gt;Q$2,'ProductSprint Backlog'!$M90,0)</f>
        <v>0</v>
      </c>
      <c r="R11" s="51">
        <f>IF('ProductSprint Backlog'!$L90&gt;R$2,'ProductSprint Backlog'!$M90,0)</f>
        <v>0</v>
      </c>
      <c r="S11" s="51">
        <f>IF('ProductSprint Backlog'!$L90&gt;S$2,'ProductSprint Backlog'!$M90,0)</f>
        <v>0</v>
      </c>
      <c r="T11" s="53"/>
      <c r="U11" s="53"/>
    </row>
    <row r="12" spans="1:21" ht="51" x14ac:dyDescent="0.2">
      <c r="A12" s="17" t="s">
        <v>166</v>
      </c>
      <c r="B12" s="51">
        <f>IF('ProductSprint Backlog'!$L91&gt;B$2,'ProductSprint Backlog'!$M91,0)</f>
        <v>0.5</v>
      </c>
      <c r="C12" s="51">
        <f>IF('ProductSprint Backlog'!$L91&gt;C$2,'ProductSprint Backlog'!$M91,0)</f>
        <v>0.5</v>
      </c>
      <c r="D12" s="51">
        <f>IF('ProductSprint Backlog'!$L91&gt;D$2,'ProductSprint Backlog'!$M91,0)</f>
        <v>0.5</v>
      </c>
      <c r="E12" s="51">
        <f>IF('ProductSprint Backlog'!$L91&gt;E$2,'ProductSprint Backlog'!$M91,0)</f>
        <v>0.5</v>
      </c>
      <c r="F12" s="51">
        <f>IF('ProductSprint Backlog'!$L91&gt;F$2,'ProductSprint Backlog'!$M91,0)</f>
        <v>0.5</v>
      </c>
      <c r="G12" s="51">
        <f>IF('ProductSprint Backlog'!$L91&gt;G$2,'ProductSprint Backlog'!$M91,0)</f>
        <v>0.5</v>
      </c>
      <c r="H12" s="51">
        <f>IF('ProductSprint Backlog'!$L91&gt;H$2,'ProductSprint Backlog'!$M91,0)</f>
        <v>0.5</v>
      </c>
      <c r="I12" s="51">
        <f>IF('ProductSprint Backlog'!$L91&gt;I$2,'ProductSprint Backlog'!$M91,0)</f>
        <v>0.5</v>
      </c>
      <c r="J12" s="51">
        <f>IF('ProductSprint Backlog'!$L91&gt;J$2,'ProductSprint Backlog'!$M91,0)</f>
        <v>0.5</v>
      </c>
      <c r="K12" s="51">
        <f>IF('ProductSprint Backlog'!$L91&gt;K$2,'ProductSprint Backlog'!$M91,0)</f>
        <v>0</v>
      </c>
      <c r="L12" s="51">
        <f>IF('ProductSprint Backlog'!$L91&gt;L$2,'ProductSprint Backlog'!$M91,0)</f>
        <v>0</v>
      </c>
      <c r="M12" s="51">
        <f>IF('ProductSprint Backlog'!$L91&gt;M$2,'ProductSprint Backlog'!$M91,0)</f>
        <v>0</v>
      </c>
      <c r="N12" s="51">
        <f>IF('ProductSprint Backlog'!$L91&gt;N$2,'ProductSprint Backlog'!$M91,0)</f>
        <v>0</v>
      </c>
      <c r="O12" s="51">
        <f>IF('ProductSprint Backlog'!$L91&gt;O$2,'ProductSprint Backlog'!$M91,0)</f>
        <v>0</v>
      </c>
      <c r="P12" s="51">
        <f>IF('ProductSprint Backlog'!$L91&gt;P$2,'ProductSprint Backlog'!$M91,0)</f>
        <v>0</v>
      </c>
      <c r="Q12" s="51">
        <f>IF('ProductSprint Backlog'!$L91&gt;Q$2,'ProductSprint Backlog'!$M91,0)</f>
        <v>0</v>
      </c>
      <c r="R12" s="51">
        <f>IF('ProductSprint Backlog'!$L91&gt;R$2,'ProductSprint Backlog'!$M91,0)</f>
        <v>0</v>
      </c>
      <c r="S12" s="51">
        <f>IF('ProductSprint Backlog'!$L91&gt;S$2,'ProductSprint Backlog'!$M91,0)</f>
        <v>0</v>
      </c>
      <c r="T12" s="53"/>
      <c r="U12" s="53"/>
    </row>
    <row r="13" spans="1:21" ht="51" x14ac:dyDescent="0.2">
      <c r="A13" s="17" t="s">
        <v>168</v>
      </c>
      <c r="B13" s="51">
        <f>IF('ProductSprint Backlog'!$L92&gt;B$2,'ProductSprint Backlog'!$M92,0)</f>
        <v>0.5</v>
      </c>
      <c r="C13" s="51">
        <f>IF('ProductSprint Backlog'!$L92&gt;C$2,'ProductSprint Backlog'!$M92,0)</f>
        <v>0.5</v>
      </c>
      <c r="D13" s="51">
        <f>IF('ProductSprint Backlog'!$L92&gt;D$2,'ProductSprint Backlog'!$M92,0)</f>
        <v>0.5</v>
      </c>
      <c r="E13" s="51">
        <f>IF('ProductSprint Backlog'!$L92&gt;E$2,'ProductSprint Backlog'!$M92,0)</f>
        <v>0.5</v>
      </c>
      <c r="F13" s="51">
        <f>IF('ProductSprint Backlog'!$L92&gt;F$2,'ProductSprint Backlog'!$M92,0)</f>
        <v>0.5</v>
      </c>
      <c r="G13" s="51">
        <f>IF('ProductSprint Backlog'!$L92&gt;G$2,'ProductSprint Backlog'!$M92,0)</f>
        <v>0.5</v>
      </c>
      <c r="H13" s="51">
        <f>IF('ProductSprint Backlog'!$L92&gt;H$2,'ProductSprint Backlog'!$M92,0)</f>
        <v>0.5</v>
      </c>
      <c r="I13" s="51">
        <f>IF('ProductSprint Backlog'!$L92&gt;I$2,'ProductSprint Backlog'!$M92,0)</f>
        <v>0.5</v>
      </c>
      <c r="J13" s="51">
        <f>IF('ProductSprint Backlog'!$L92&gt;J$2,'ProductSprint Backlog'!$M92,0)</f>
        <v>0.5</v>
      </c>
      <c r="K13" s="51">
        <f>IF('ProductSprint Backlog'!$L92&gt;K$2,'ProductSprint Backlog'!$M92,0)</f>
        <v>0</v>
      </c>
      <c r="L13" s="51">
        <f>IF('ProductSprint Backlog'!$L92&gt;L$2,'ProductSprint Backlog'!$M92,0)</f>
        <v>0</v>
      </c>
      <c r="M13" s="51">
        <f>IF('ProductSprint Backlog'!$L92&gt;M$2,'ProductSprint Backlog'!$M92,0)</f>
        <v>0</v>
      </c>
      <c r="N13" s="51">
        <f>IF('ProductSprint Backlog'!$L92&gt;N$2,'ProductSprint Backlog'!$M92,0)</f>
        <v>0</v>
      </c>
      <c r="O13" s="51">
        <f>IF('ProductSprint Backlog'!$L92&gt;O$2,'ProductSprint Backlog'!$M92,0)</f>
        <v>0</v>
      </c>
      <c r="P13" s="51">
        <f>IF('ProductSprint Backlog'!$L92&gt;P$2,'ProductSprint Backlog'!$M92,0)</f>
        <v>0</v>
      </c>
      <c r="Q13" s="51">
        <f>IF('ProductSprint Backlog'!$L92&gt;Q$2,'ProductSprint Backlog'!$M92,0)</f>
        <v>0</v>
      </c>
      <c r="R13" s="51">
        <f>IF('ProductSprint Backlog'!$L92&gt;R$2,'ProductSprint Backlog'!$M92,0)</f>
        <v>0</v>
      </c>
      <c r="S13" s="51">
        <f>IF('ProductSprint Backlog'!$L92&gt;S$2,'ProductSprint Backlog'!$M92,0)</f>
        <v>0</v>
      </c>
      <c r="T13" s="53"/>
      <c r="U13" s="53"/>
    </row>
    <row r="14" spans="1:21" ht="25.5" x14ac:dyDescent="0.2">
      <c r="A14" s="17" t="s">
        <v>170</v>
      </c>
      <c r="B14" s="51">
        <f>IF('ProductSprint Backlog'!$L93&gt;B$2,'ProductSprint Backlog'!$M93,0)</f>
        <v>0.5</v>
      </c>
      <c r="C14" s="51">
        <f>IF('ProductSprint Backlog'!$L93&gt;C$2,'ProductSprint Backlog'!$M93,0)</f>
        <v>0.5</v>
      </c>
      <c r="D14" s="51">
        <f>IF('ProductSprint Backlog'!$L93&gt;D$2,'ProductSprint Backlog'!$M93,0)</f>
        <v>0.5</v>
      </c>
      <c r="E14" s="51">
        <f>IF('ProductSprint Backlog'!$L93&gt;E$2,'ProductSprint Backlog'!$M93,0)</f>
        <v>0.5</v>
      </c>
      <c r="F14" s="51">
        <f>IF('ProductSprint Backlog'!$L93&gt;F$2,'ProductSprint Backlog'!$M93,0)</f>
        <v>0.5</v>
      </c>
      <c r="G14" s="51">
        <f>IF('ProductSprint Backlog'!$L93&gt;G$2,'ProductSprint Backlog'!$M93,0)</f>
        <v>0.5</v>
      </c>
      <c r="H14" s="51">
        <f>IF('ProductSprint Backlog'!$L93&gt;H$2,'ProductSprint Backlog'!$M93,0)</f>
        <v>0.5</v>
      </c>
      <c r="I14" s="51">
        <f>IF('ProductSprint Backlog'!$L93&gt;I$2,'ProductSprint Backlog'!$M93,0)</f>
        <v>0.5</v>
      </c>
      <c r="J14" s="51">
        <f>IF('ProductSprint Backlog'!$L93&gt;J$2,'ProductSprint Backlog'!$M93,0)</f>
        <v>0.5</v>
      </c>
      <c r="K14" s="51">
        <f>IF('ProductSprint Backlog'!$L93&gt;K$2,'ProductSprint Backlog'!$M93,0)</f>
        <v>0</v>
      </c>
      <c r="L14" s="51">
        <f>IF('ProductSprint Backlog'!$L93&gt;L$2,'ProductSprint Backlog'!$M93,0)</f>
        <v>0</v>
      </c>
      <c r="M14" s="51">
        <f>IF('ProductSprint Backlog'!$L93&gt;M$2,'ProductSprint Backlog'!$M93,0)</f>
        <v>0</v>
      </c>
      <c r="N14" s="51">
        <f>IF('ProductSprint Backlog'!$L93&gt;N$2,'ProductSprint Backlog'!$M93,0)</f>
        <v>0</v>
      </c>
      <c r="O14" s="51">
        <f>IF('ProductSprint Backlog'!$L93&gt;O$2,'ProductSprint Backlog'!$M93,0)</f>
        <v>0</v>
      </c>
      <c r="P14" s="51">
        <f>IF('ProductSprint Backlog'!$L93&gt;P$2,'ProductSprint Backlog'!$M93,0)</f>
        <v>0</v>
      </c>
      <c r="Q14" s="51">
        <f>IF('ProductSprint Backlog'!$L93&gt;Q$2,'ProductSprint Backlog'!$M93,0)</f>
        <v>0</v>
      </c>
      <c r="R14" s="51">
        <f>IF('ProductSprint Backlog'!$L93&gt;R$2,'ProductSprint Backlog'!$M93,0)</f>
        <v>0</v>
      </c>
      <c r="S14" s="51">
        <f>IF('ProductSprint Backlog'!$L93&gt;S$2,'ProductSprint Backlog'!$M93,0)</f>
        <v>0</v>
      </c>
      <c r="T14" s="53"/>
      <c r="U14" s="53"/>
    </row>
    <row r="15" spans="1:21" ht="12.75" x14ac:dyDescent="0.2">
      <c r="A15" s="17" t="s">
        <v>161</v>
      </c>
      <c r="B15" s="51">
        <f>IF('ProductSprint Backlog'!$L94&gt;B$2,'ProductSprint Backlog'!$M94,0)</f>
        <v>0.5</v>
      </c>
      <c r="C15" s="51">
        <f>IF('ProductSprint Backlog'!$L94&gt;C$2,'ProductSprint Backlog'!$M94,0)</f>
        <v>0.5</v>
      </c>
      <c r="D15" s="51">
        <f>IF('ProductSprint Backlog'!$L94&gt;D$2,'ProductSprint Backlog'!$M94,0)</f>
        <v>0.5</v>
      </c>
      <c r="E15" s="51">
        <f>IF('ProductSprint Backlog'!$L94&gt;E$2,'ProductSprint Backlog'!$M94,0)</f>
        <v>0.5</v>
      </c>
      <c r="F15" s="51">
        <f>IF('ProductSprint Backlog'!$L94&gt;F$2,'ProductSprint Backlog'!$M94,0)</f>
        <v>0.5</v>
      </c>
      <c r="G15" s="51">
        <f>IF('ProductSprint Backlog'!$L94&gt;G$2,'ProductSprint Backlog'!$M94,0)</f>
        <v>0.5</v>
      </c>
      <c r="H15" s="51">
        <f>IF('ProductSprint Backlog'!$L94&gt;H$2,'ProductSprint Backlog'!$M94,0)</f>
        <v>0.5</v>
      </c>
      <c r="I15" s="51">
        <f>IF('ProductSprint Backlog'!$L94&gt;I$2,'ProductSprint Backlog'!$M94,0)</f>
        <v>0.5</v>
      </c>
      <c r="J15" s="51">
        <f>IF('ProductSprint Backlog'!$L94&gt;J$2,'ProductSprint Backlog'!$M94,0)</f>
        <v>0.5</v>
      </c>
      <c r="K15" s="51">
        <f>IF('ProductSprint Backlog'!$L94&gt;K$2,'ProductSprint Backlog'!$M94,0)</f>
        <v>0</v>
      </c>
      <c r="L15" s="51">
        <f>IF('ProductSprint Backlog'!$L94&gt;L$2,'ProductSprint Backlog'!$M94,0)</f>
        <v>0</v>
      </c>
      <c r="M15" s="51">
        <f>IF('ProductSprint Backlog'!$L94&gt;M$2,'ProductSprint Backlog'!$M94,0)</f>
        <v>0</v>
      </c>
      <c r="N15" s="51">
        <f>IF('ProductSprint Backlog'!$L94&gt;N$2,'ProductSprint Backlog'!$M94,0)</f>
        <v>0</v>
      </c>
      <c r="O15" s="51">
        <f>IF('ProductSprint Backlog'!$L94&gt;O$2,'ProductSprint Backlog'!$M94,0)</f>
        <v>0</v>
      </c>
      <c r="P15" s="51">
        <f>IF('ProductSprint Backlog'!$L94&gt;P$2,'ProductSprint Backlog'!$M94,0)</f>
        <v>0</v>
      </c>
      <c r="Q15" s="51">
        <f>IF('ProductSprint Backlog'!$L94&gt;Q$2,'ProductSprint Backlog'!$M94,0)</f>
        <v>0</v>
      </c>
      <c r="R15" s="51">
        <f>IF('ProductSprint Backlog'!$L94&gt;R$2,'ProductSprint Backlog'!$M94,0)</f>
        <v>0</v>
      </c>
      <c r="S15" s="51">
        <f>IF('ProductSprint Backlog'!$L94&gt;S$2,'ProductSprint Backlog'!$M94,0)</f>
        <v>0</v>
      </c>
      <c r="T15" s="53"/>
      <c r="U15" s="53"/>
    </row>
    <row r="16" spans="1:21" ht="38.25" x14ac:dyDescent="0.2">
      <c r="A16" s="17" t="s">
        <v>163</v>
      </c>
      <c r="B16" s="51">
        <f>IF('ProductSprint Backlog'!$L95&gt;B$2,'ProductSprint Backlog'!$M95,0)</f>
        <v>0.5</v>
      </c>
      <c r="C16" s="51">
        <f>IF('ProductSprint Backlog'!$L95&gt;C$2,'ProductSprint Backlog'!$M95,0)</f>
        <v>0.5</v>
      </c>
      <c r="D16" s="51">
        <f>IF('ProductSprint Backlog'!$L95&gt;D$2,'ProductSprint Backlog'!$M95,0)</f>
        <v>0.5</v>
      </c>
      <c r="E16" s="51">
        <f>IF('ProductSprint Backlog'!$L95&gt;E$2,'ProductSprint Backlog'!$M95,0)</f>
        <v>0.5</v>
      </c>
      <c r="F16" s="51">
        <f>IF('ProductSprint Backlog'!$L95&gt;F$2,'ProductSprint Backlog'!$M95,0)</f>
        <v>0.5</v>
      </c>
      <c r="G16" s="51">
        <f>IF('ProductSprint Backlog'!$L95&gt;G$2,'ProductSprint Backlog'!$M95,0)</f>
        <v>0.5</v>
      </c>
      <c r="H16" s="51">
        <f>IF('ProductSprint Backlog'!$L95&gt;H$2,'ProductSprint Backlog'!$M95,0)</f>
        <v>0.5</v>
      </c>
      <c r="I16" s="51">
        <f>IF('ProductSprint Backlog'!$L95&gt;I$2,'ProductSprint Backlog'!$M95,0)</f>
        <v>0.5</v>
      </c>
      <c r="J16" s="51">
        <f>IF('ProductSprint Backlog'!$L95&gt;J$2,'ProductSprint Backlog'!$M95,0)</f>
        <v>0.5</v>
      </c>
      <c r="K16" s="51">
        <f>IF('ProductSprint Backlog'!$L95&gt;K$2,'ProductSprint Backlog'!$M95,0)</f>
        <v>0</v>
      </c>
      <c r="L16" s="51">
        <f>IF('ProductSprint Backlog'!$L95&gt;L$2,'ProductSprint Backlog'!$M95,0)</f>
        <v>0</v>
      </c>
      <c r="M16" s="51">
        <f>IF('ProductSprint Backlog'!$L95&gt;M$2,'ProductSprint Backlog'!$M95,0)</f>
        <v>0</v>
      </c>
      <c r="N16" s="51">
        <f>IF('ProductSprint Backlog'!$L95&gt;N$2,'ProductSprint Backlog'!$M95,0)</f>
        <v>0</v>
      </c>
      <c r="O16" s="51">
        <f>IF('ProductSprint Backlog'!$L95&gt;O$2,'ProductSprint Backlog'!$M95,0)</f>
        <v>0</v>
      </c>
      <c r="P16" s="51">
        <f>IF('ProductSprint Backlog'!$L95&gt;P$2,'ProductSprint Backlog'!$M95,0)</f>
        <v>0</v>
      </c>
      <c r="Q16" s="51">
        <f>IF('ProductSprint Backlog'!$L95&gt;Q$2,'ProductSprint Backlog'!$M95,0)</f>
        <v>0</v>
      </c>
      <c r="R16" s="51">
        <f>IF('ProductSprint Backlog'!$L95&gt;R$2,'ProductSprint Backlog'!$M95,0)</f>
        <v>0</v>
      </c>
      <c r="S16" s="51">
        <f>IF('ProductSprint Backlog'!$L95&gt;S$2,'ProductSprint Backlog'!$M95,0)</f>
        <v>0</v>
      </c>
      <c r="T16" s="53"/>
      <c r="U16" s="53"/>
    </row>
    <row r="17" spans="1:21" ht="12.75" x14ac:dyDescent="0.2">
      <c r="A17" s="31"/>
      <c r="B17" s="51"/>
      <c r="C17" s="51"/>
      <c r="D17" s="51"/>
      <c r="E17" s="51"/>
      <c r="F17" s="51"/>
      <c r="G17" s="51"/>
      <c r="H17" s="51"/>
      <c r="I17" s="51"/>
      <c r="J17" s="51"/>
      <c r="K17" s="51"/>
      <c r="L17" s="51"/>
      <c r="M17" s="51"/>
      <c r="N17" s="51"/>
      <c r="O17" s="51"/>
      <c r="P17" s="51"/>
      <c r="Q17" s="51"/>
      <c r="R17" s="51"/>
      <c r="S17" s="51"/>
      <c r="T17" s="53"/>
      <c r="U17" s="53"/>
    </row>
    <row r="18" spans="1:21" ht="51" x14ac:dyDescent="0.2">
      <c r="A18" s="17" t="s">
        <v>172</v>
      </c>
      <c r="B18" s="51">
        <f>IF('ProductSprint Backlog'!$L97&gt;B$2,'ProductSprint Backlog'!$M97,0)</f>
        <v>0.5</v>
      </c>
      <c r="C18" s="51">
        <f>IF('ProductSprint Backlog'!$L97&gt;C$2,'ProductSprint Backlog'!$M97,0)</f>
        <v>0.5</v>
      </c>
      <c r="D18" s="51">
        <f>IF('ProductSprint Backlog'!$L97&gt;D$2,'ProductSprint Backlog'!$M97,0)</f>
        <v>0.5</v>
      </c>
      <c r="E18" s="51">
        <f>IF('ProductSprint Backlog'!$L97&gt;E$2,'ProductSprint Backlog'!$M97,0)</f>
        <v>0.5</v>
      </c>
      <c r="F18" s="51">
        <f>IF('ProductSprint Backlog'!$L97&gt;F$2,'ProductSprint Backlog'!$M97,0)</f>
        <v>0.5</v>
      </c>
      <c r="G18" s="51">
        <f>IF('ProductSprint Backlog'!$L97&gt;G$2,'ProductSprint Backlog'!$M97,0)</f>
        <v>0.5</v>
      </c>
      <c r="H18" s="51">
        <f>IF('ProductSprint Backlog'!$L97&gt;H$2,'ProductSprint Backlog'!$M97,0)</f>
        <v>0.5</v>
      </c>
      <c r="I18" s="51">
        <f>IF('ProductSprint Backlog'!$L97&gt;I$2,'ProductSprint Backlog'!$M97,0)</f>
        <v>0.5</v>
      </c>
      <c r="J18" s="51">
        <f>IF('ProductSprint Backlog'!$L97&gt;J$2,'ProductSprint Backlog'!$M97,0)</f>
        <v>0.5</v>
      </c>
      <c r="K18" s="51">
        <f>IF('ProductSprint Backlog'!$L97&gt;K$2,'ProductSprint Backlog'!$M97,0)</f>
        <v>0.5</v>
      </c>
      <c r="L18" s="51">
        <f>IF('ProductSprint Backlog'!$L97&gt;L$2,'ProductSprint Backlog'!$M97,0)</f>
        <v>0.5</v>
      </c>
      <c r="M18" s="51">
        <f>IF('ProductSprint Backlog'!$L97&gt;M$2,'ProductSprint Backlog'!$M97,0)</f>
        <v>0.5</v>
      </c>
      <c r="N18" s="51">
        <f>IF('ProductSprint Backlog'!$L97&gt;N$2,'ProductSprint Backlog'!$M97,0)</f>
        <v>0</v>
      </c>
      <c r="O18" s="51">
        <f>IF('ProductSprint Backlog'!$L97&gt;O$2,'ProductSprint Backlog'!$M97,0)</f>
        <v>0</v>
      </c>
      <c r="P18" s="51">
        <f>IF('ProductSprint Backlog'!$L97&gt;P$2,'ProductSprint Backlog'!$M97,0)</f>
        <v>0</v>
      </c>
      <c r="Q18" s="51">
        <f>IF('ProductSprint Backlog'!$L97&gt;Q$2,'ProductSprint Backlog'!$M97,0)</f>
        <v>0</v>
      </c>
      <c r="R18" s="51">
        <f>IF('ProductSprint Backlog'!$L97&gt;R$2,'ProductSprint Backlog'!$M97,0)</f>
        <v>0</v>
      </c>
      <c r="S18" s="51">
        <f>IF('ProductSprint Backlog'!$L97&gt;S$2,'ProductSprint Backlog'!$M97,0)</f>
        <v>0</v>
      </c>
      <c r="T18" s="53"/>
      <c r="U18" s="53"/>
    </row>
    <row r="19" spans="1:21" ht="51" x14ac:dyDescent="0.2">
      <c r="A19" s="17" t="s">
        <v>174</v>
      </c>
      <c r="B19" s="51">
        <f>IF('ProductSprint Backlog'!$L98&gt;B$2,'ProductSprint Backlog'!$M98,0)</f>
        <v>1</v>
      </c>
      <c r="C19" s="51">
        <f>IF('ProductSprint Backlog'!$L98&gt;C$2,'ProductSprint Backlog'!$M98,0)</f>
        <v>1</v>
      </c>
      <c r="D19" s="51">
        <f>IF('ProductSprint Backlog'!$L98&gt;D$2,'ProductSprint Backlog'!$M98,0)</f>
        <v>1</v>
      </c>
      <c r="E19" s="51">
        <f>IF('ProductSprint Backlog'!$L98&gt;E$2,'ProductSprint Backlog'!$M98,0)</f>
        <v>1</v>
      </c>
      <c r="F19" s="51">
        <f>IF('ProductSprint Backlog'!$L98&gt;F$2,'ProductSprint Backlog'!$M98,0)</f>
        <v>1</v>
      </c>
      <c r="G19" s="51">
        <f>IF('ProductSprint Backlog'!$L98&gt;G$2,'ProductSprint Backlog'!$M98,0)</f>
        <v>1</v>
      </c>
      <c r="H19" s="51">
        <f>IF('ProductSprint Backlog'!$L98&gt;H$2,'ProductSprint Backlog'!$M98,0)</f>
        <v>1</v>
      </c>
      <c r="I19" s="51">
        <f>IF('ProductSprint Backlog'!$L98&gt;I$2,'ProductSprint Backlog'!$M98,0)</f>
        <v>1</v>
      </c>
      <c r="J19" s="51">
        <f>IF('ProductSprint Backlog'!$L98&gt;J$2,'ProductSprint Backlog'!$M98,0)</f>
        <v>1</v>
      </c>
      <c r="K19" s="51">
        <f>IF('ProductSprint Backlog'!$L98&gt;K$2,'ProductSprint Backlog'!$M98,0)</f>
        <v>1</v>
      </c>
      <c r="L19" s="51">
        <f>IF('ProductSprint Backlog'!$L98&gt;L$2,'ProductSprint Backlog'!$M98,0)</f>
        <v>1</v>
      </c>
      <c r="M19" s="51">
        <f>IF('ProductSprint Backlog'!$L98&gt;M$2,'ProductSprint Backlog'!$M98,0)</f>
        <v>1</v>
      </c>
      <c r="N19" s="51">
        <f>IF('ProductSprint Backlog'!$L98&gt;N$2,'ProductSprint Backlog'!$M98,0)</f>
        <v>0</v>
      </c>
      <c r="O19" s="51">
        <f>IF('ProductSprint Backlog'!$L98&gt;O$2,'ProductSprint Backlog'!$M98,0)</f>
        <v>0</v>
      </c>
      <c r="P19" s="51">
        <f>IF('ProductSprint Backlog'!$L98&gt;P$2,'ProductSprint Backlog'!$M98,0)</f>
        <v>0</v>
      </c>
      <c r="Q19" s="51">
        <f>IF('ProductSprint Backlog'!$L98&gt;Q$2,'ProductSprint Backlog'!$M98,0)</f>
        <v>0</v>
      </c>
      <c r="R19" s="51">
        <f>IF('ProductSprint Backlog'!$L98&gt;R$2,'ProductSprint Backlog'!$M98,0)</f>
        <v>0</v>
      </c>
      <c r="S19" s="51">
        <f>IF('ProductSprint Backlog'!$L98&gt;S$2,'ProductSprint Backlog'!$M98,0)</f>
        <v>0</v>
      </c>
      <c r="T19" s="53"/>
      <c r="U19" s="53"/>
    </row>
    <row r="20" spans="1:21" ht="25.5" x14ac:dyDescent="0.2">
      <c r="A20" s="17" t="s">
        <v>175</v>
      </c>
      <c r="B20" s="51">
        <f>IF('ProductSprint Backlog'!$L99&gt;B$2,'ProductSprint Backlog'!$M99,0)</f>
        <v>0.5</v>
      </c>
      <c r="C20" s="51">
        <f>IF('ProductSprint Backlog'!$L99&gt;C$2,'ProductSprint Backlog'!$M99,0)</f>
        <v>0.5</v>
      </c>
      <c r="D20" s="51">
        <f>IF('ProductSprint Backlog'!$L99&gt;D$2,'ProductSprint Backlog'!$M99,0)</f>
        <v>0.5</v>
      </c>
      <c r="E20" s="51">
        <f>IF('ProductSprint Backlog'!$L99&gt;E$2,'ProductSprint Backlog'!$M99,0)</f>
        <v>0.5</v>
      </c>
      <c r="F20" s="51">
        <f>IF('ProductSprint Backlog'!$L99&gt;F$2,'ProductSprint Backlog'!$M99,0)</f>
        <v>0.5</v>
      </c>
      <c r="G20" s="51">
        <f>IF('ProductSprint Backlog'!$L99&gt;G$2,'ProductSprint Backlog'!$M99,0)</f>
        <v>0.5</v>
      </c>
      <c r="H20" s="51">
        <f>IF('ProductSprint Backlog'!$L99&gt;H$2,'ProductSprint Backlog'!$M99,0)</f>
        <v>0.5</v>
      </c>
      <c r="I20" s="51">
        <f>IF('ProductSprint Backlog'!$L99&gt;I$2,'ProductSprint Backlog'!$M99,0)</f>
        <v>0.5</v>
      </c>
      <c r="J20" s="51">
        <f>IF('ProductSprint Backlog'!$L99&gt;J$2,'ProductSprint Backlog'!$M99,0)</f>
        <v>0.5</v>
      </c>
      <c r="K20" s="51">
        <f>IF('ProductSprint Backlog'!$L99&gt;K$2,'ProductSprint Backlog'!$M99,0)</f>
        <v>0.5</v>
      </c>
      <c r="L20" s="51">
        <f>IF('ProductSprint Backlog'!$L99&gt;L$2,'ProductSprint Backlog'!$M99,0)</f>
        <v>0.5</v>
      </c>
      <c r="M20" s="51">
        <f>IF('ProductSprint Backlog'!$L99&gt;M$2,'ProductSprint Backlog'!$M99,0)</f>
        <v>0.5</v>
      </c>
      <c r="N20" s="51">
        <f>IF('ProductSprint Backlog'!$L99&gt;N$2,'ProductSprint Backlog'!$M99,0)</f>
        <v>0</v>
      </c>
      <c r="O20" s="51">
        <f>IF('ProductSprint Backlog'!$L99&gt;O$2,'ProductSprint Backlog'!$M99,0)</f>
        <v>0</v>
      </c>
      <c r="P20" s="51">
        <f>IF('ProductSprint Backlog'!$L99&gt;P$2,'ProductSprint Backlog'!$M99,0)</f>
        <v>0</v>
      </c>
      <c r="Q20" s="51">
        <f>IF('ProductSprint Backlog'!$L99&gt;Q$2,'ProductSprint Backlog'!$M99,0)</f>
        <v>0</v>
      </c>
      <c r="R20" s="51">
        <f>IF('ProductSprint Backlog'!$L99&gt;R$2,'ProductSprint Backlog'!$M99,0)</f>
        <v>0</v>
      </c>
      <c r="S20" s="51">
        <f>IF('ProductSprint Backlog'!$L99&gt;S$2,'ProductSprint Backlog'!$M99,0)</f>
        <v>0</v>
      </c>
      <c r="T20" s="53"/>
      <c r="U20" s="53"/>
    </row>
    <row r="21" spans="1:21" ht="12.75" x14ac:dyDescent="0.2">
      <c r="A21" s="17" t="s">
        <v>161</v>
      </c>
      <c r="B21" s="51">
        <f>IF('ProductSprint Backlog'!$L100&gt;B$2,'ProductSprint Backlog'!$M100,0)</f>
        <v>1</v>
      </c>
      <c r="C21" s="51">
        <f>IF('ProductSprint Backlog'!$L100&gt;C$2,'ProductSprint Backlog'!$M100,0)</f>
        <v>1</v>
      </c>
      <c r="D21" s="51">
        <f>IF('ProductSprint Backlog'!$L100&gt;D$2,'ProductSprint Backlog'!$M100,0)</f>
        <v>1</v>
      </c>
      <c r="E21" s="51">
        <f>IF('ProductSprint Backlog'!$L100&gt;E$2,'ProductSprint Backlog'!$M100,0)</f>
        <v>1</v>
      </c>
      <c r="F21" s="51">
        <f>IF('ProductSprint Backlog'!$L100&gt;F$2,'ProductSprint Backlog'!$M100,0)</f>
        <v>1</v>
      </c>
      <c r="G21" s="51">
        <f>IF('ProductSprint Backlog'!$L100&gt;G$2,'ProductSprint Backlog'!$M100,0)</f>
        <v>1</v>
      </c>
      <c r="H21" s="51">
        <f>IF('ProductSprint Backlog'!$L100&gt;H$2,'ProductSprint Backlog'!$M100,0)</f>
        <v>1</v>
      </c>
      <c r="I21" s="51">
        <f>IF('ProductSprint Backlog'!$L100&gt;I$2,'ProductSprint Backlog'!$M100,0)</f>
        <v>1</v>
      </c>
      <c r="J21" s="51">
        <f>IF('ProductSprint Backlog'!$L100&gt;J$2,'ProductSprint Backlog'!$M100,0)</f>
        <v>1</v>
      </c>
      <c r="K21" s="51">
        <f>IF('ProductSprint Backlog'!$L100&gt;K$2,'ProductSprint Backlog'!$M100,0)</f>
        <v>1</v>
      </c>
      <c r="L21" s="51">
        <f>IF('ProductSprint Backlog'!$L100&gt;L$2,'ProductSprint Backlog'!$M100,0)</f>
        <v>1</v>
      </c>
      <c r="M21" s="51">
        <f>IF('ProductSprint Backlog'!$L100&gt;M$2,'ProductSprint Backlog'!$M100,0)</f>
        <v>1</v>
      </c>
      <c r="N21" s="51">
        <f>IF('ProductSprint Backlog'!$L100&gt;N$2,'ProductSprint Backlog'!$M100,0)</f>
        <v>0</v>
      </c>
      <c r="O21" s="51">
        <f>IF('ProductSprint Backlog'!$L100&gt;O$2,'ProductSprint Backlog'!$M100,0)</f>
        <v>0</v>
      </c>
      <c r="P21" s="51">
        <f>IF('ProductSprint Backlog'!$L100&gt;P$2,'ProductSprint Backlog'!$M100,0)</f>
        <v>0</v>
      </c>
      <c r="Q21" s="51">
        <f>IF('ProductSprint Backlog'!$L100&gt;Q$2,'ProductSprint Backlog'!$M100,0)</f>
        <v>0</v>
      </c>
      <c r="R21" s="51">
        <f>IF('ProductSprint Backlog'!$L100&gt;R$2,'ProductSprint Backlog'!$M100,0)</f>
        <v>0</v>
      </c>
      <c r="S21" s="51">
        <f>IF('ProductSprint Backlog'!$L100&gt;S$2,'ProductSprint Backlog'!$M100,0)</f>
        <v>0</v>
      </c>
      <c r="T21" s="53"/>
      <c r="U21" s="53"/>
    </row>
    <row r="22" spans="1:21" ht="38.25" x14ac:dyDescent="0.2">
      <c r="A22" s="17" t="s">
        <v>163</v>
      </c>
      <c r="B22" s="51">
        <f>IF('ProductSprint Backlog'!$L101&gt;B$2,'ProductSprint Backlog'!$M101,0)</f>
        <v>0.5</v>
      </c>
      <c r="C22" s="51">
        <f>IF('ProductSprint Backlog'!$L101&gt;C$2,'ProductSprint Backlog'!$M101,0)</f>
        <v>0.5</v>
      </c>
      <c r="D22" s="51">
        <f>IF('ProductSprint Backlog'!$L101&gt;D$2,'ProductSprint Backlog'!$M101,0)</f>
        <v>0.5</v>
      </c>
      <c r="E22" s="51">
        <f>IF('ProductSprint Backlog'!$L101&gt;E$2,'ProductSprint Backlog'!$M101,0)</f>
        <v>0.5</v>
      </c>
      <c r="F22" s="51">
        <f>IF('ProductSprint Backlog'!$L101&gt;F$2,'ProductSprint Backlog'!$M101,0)</f>
        <v>0.5</v>
      </c>
      <c r="G22" s="51">
        <f>IF('ProductSprint Backlog'!$L101&gt;G$2,'ProductSprint Backlog'!$M101,0)</f>
        <v>0.5</v>
      </c>
      <c r="H22" s="51">
        <f>IF('ProductSprint Backlog'!$L101&gt;H$2,'ProductSprint Backlog'!$M101,0)</f>
        <v>0.5</v>
      </c>
      <c r="I22" s="51">
        <f>IF('ProductSprint Backlog'!$L101&gt;I$2,'ProductSprint Backlog'!$M101,0)</f>
        <v>0.5</v>
      </c>
      <c r="J22" s="51">
        <f>IF('ProductSprint Backlog'!$L101&gt;J$2,'ProductSprint Backlog'!$M101,0)</f>
        <v>0.5</v>
      </c>
      <c r="K22" s="51">
        <f>IF('ProductSprint Backlog'!$L101&gt;K$2,'ProductSprint Backlog'!$M101,0)</f>
        <v>0.5</v>
      </c>
      <c r="L22" s="51">
        <f>IF('ProductSprint Backlog'!$L101&gt;L$2,'ProductSprint Backlog'!$M101,0)</f>
        <v>0.5</v>
      </c>
      <c r="M22" s="51">
        <f>IF('ProductSprint Backlog'!$L101&gt;M$2,'ProductSprint Backlog'!$M101,0)</f>
        <v>0.5</v>
      </c>
      <c r="N22" s="51">
        <f>IF('ProductSprint Backlog'!$L101&gt;N$2,'ProductSprint Backlog'!$M101,0)</f>
        <v>0</v>
      </c>
      <c r="O22" s="51">
        <f>IF('ProductSprint Backlog'!$L101&gt;O$2,'ProductSprint Backlog'!$M101,0)</f>
        <v>0</v>
      </c>
      <c r="P22" s="51">
        <f>IF('ProductSprint Backlog'!$L101&gt;P$2,'ProductSprint Backlog'!$M101,0)</f>
        <v>0</v>
      </c>
      <c r="Q22" s="51">
        <f>IF('ProductSprint Backlog'!$L101&gt;Q$2,'ProductSprint Backlog'!$M101,0)</f>
        <v>0</v>
      </c>
      <c r="R22" s="51">
        <f>IF('ProductSprint Backlog'!$L101&gt;R$2,'ProductSprint Backlog'!$M101,0)</f>
        <v>0</v>
      </c>
      <c r="S22" s="51">
        <f>IF('ProductSprint Backlog'!$L101&gt;S$2,'ProductSprint Backlog'!$M101,0)</f>
        <v>0</v>
      </c>
      <c r="T22" s="53"/>
      <c r="U22" s="53"/>
    </row>
    <row r="23" spans="1:21" ht="63.75" x14ac:dyDescent="0.2">
      <c r="A23" s="17" t="s">
        <v>177</v>
      </c>
      <c r="B23" s="51">
        <f>IF('ProductSprint Backlog'!$L102&gt;B$2,'ProductSprint Backlog'!$M102,0)</f>
        <v>0.5</v>
      </c>
      <c r="C23" s="51">
        <f>IF('ProductSprint Backlog'!$L102&gt;C$2,'ProductSprint Backlog'!$M102,0)</f>
        <v>0.5</v>
      </c>
      <c r="D23" s="51">
        <f>IF('ProductSprint Backlog'!$L102&gt;D$2,'ProductSprint Backlog'!$M102,0)</f>
        <v>0.5</v>
      </c>
      <c r="E23" s="51">
        <f>IF('ProductSprint Backlog'!$L102&gt;E$2,'ProductSprint Backlog'!$M102,0)</f>
        <v>0.5</v>
      </c>
      <c r="F23" s="51">
        <f>IF('ProductSprint Backlog'!$L102&gt;F$2,'ProductSprint Backlog'!$M102,0)</f>
        <v>0.5</v>
      </c>
      <c r="G23" s="51">
        <f>IF('ProductSprint Backlog'!$L102&gt;G$2,'ProductSprint Backlog'!$M102,0)</f>
        <v>0.5</v>
      </c>
      <c r="H23" s="51">
        <f>IF('ProductSprint Backlog'!$L102&gt;H$2,'ProductSprint Backlog'!$M102,0)</f>
        <v>0.5</v>
      </c>
      <c r="I23" s="51">
        <f>IF('ProductSprint Backlog'!$L102&gt;I$2,'ProductSprint Backlog'!$M102,0)</f>
        <v>0.5</v>
      </c>
      <c r="J23" s="51">
        <f>IF('ProductSprint Backlog'!$L102&gt;J$2,'ProductSprint Backlog'!$M102,0)</f>
        <v>0.5</v>
      </c>
      <c r="K23" s="51">
        <f>IF('ProductSprint Backlog'!$L102&gt;K$2,'ProductSprint Backlog'!$M102,0)</f>
        <v>0.5</v>
      </c>
      <c r="L23" s="51">
        <f>IF('ProductSprint Backlog'!$L102&gt;L$2,'ProductSprint Backlog'!$M102,0)</f>
        <v>0.5</v>
      </c>
      <c r="M23" s="51">
        <f>IF('ProductSprint Backlog'!$L102&gt;M$2,'ProductSprint Backlog'!$M102,0)</f>
        <v>0.5</v>
      </c>
      <c r="N23" s="51">
        <f>IF('ProductSprint Backlog'!$L102&gt;N$2,'ProductSprint Backlog'!$M102,0)</f>
        <v>0.5</v>
      </c>
      <c r="O23" s="51">
        <f>IF('ProductSprint Backlog'!$L102&gt;O$2,'ProductSprint Backlog'!$M102,0)</f>
        <v>0</v>
      </c>
      <c r="P23" s="51">
        <f>IF('ProductSprint Backlog'!$L102&gt;P$2,'ProductSprint Backlog'!$M102,0)</f>
        <v>0</v>
      </c>
      <c r="Q23" s="51">
        <f>IF('ProductSprint Backlog'!$L102&gt;Q$2,'ProductSprint Backlog'!$M102,0)</f>
        <v>0</v>
      </c>
      <c r="R23" s="51">
        <f>IF('ProductSprint Backlog'!$L102&gt;R$2,'ProductSprint Backlog'!$M102,0)</f>
        <v>0</v>
      </c>
      <c r="S23" s="51">
        <f>IF('ProductSprint Backlog'!$L102&gt;S$2,'ProductSprint Backlog'!$M102,0)</f>
        <v>0</v>
      </c>
      <c r="T23" s="53"/>
      <c r="U23" s="53"/>
    </row>
    <row r="24" spans="1:21" ht="51" x14ac:dyDescent="0.2">
      <c r="A24" s="17" t="s">
        <v>174</v>
      </c>
      <c r="B24" s="51">
        <f>IF('ProductSprint Backlog'!$L103&gt;B$2,'ProductSprint Backlog'!$M103,0)</f>
        <v>0.5</v>
      </c>
      <c r="C24" s="51">
        <f>IF('ProductSprint Backlog'!$L103&gt;C$2,'ProductSprint Backlog'!$M103,0)</f>
        <v>0.5</v>
      </c>
      <c r="D24" s="51">
        <f>IF('ProductSprint Backlog'!$L103&gt;D$2,'ProductSprint Backlog'!$M103,0)</f>
        <v>0.5</v>
      </c>
      <c r="E24" s="51">
        <f>IF('ProductSprint Backlog'!$L103&gt;E$2,'ProductSprint Backlog'!$M103,0)</f>
        <v>0.5</v>
      </c>
      <c r="F24" s="51">
        <f>IF('ProductSprint Backlog'!$L103&gt;F$2,'ProductSprint Backlog'!$M103,0)</f>
        <v>0.5</v>
      </c>
      <c r="G24" s="51">
        <f>IF('ProductSprint Backlog'!$L103&gt;G$2,'ProductSprint Backlog'!$M103,0)</f>
        <v>0.5</v>
      </c>
      <c r="H24" s="51">
        <f>IF('ProductSprint Backlog'!$L103&gt;H$2,'ProductSprint Backlog'!$M103,0)</f>
        <v>0.5</v>
      </c>
      <c r="I24" s="51">
        <f>IF('ProductSprint Backlog'!$L103&gt;I$2,'ProductSprint Backlog'!$M103,0)</f>
        <v>0.5</v>
      </c>
      <c r="J24" s="51">
        <f>IF('ProductSprint Backlog'!$L103&gt;J$2,'ProductSprint Backlog'!$M103,0)</f>
        <v>0.5</v>
      </c>
      <c r="K24" s="51">
        <f>IF('ProductSprint Backlog'!$L103&gt;K$2,'ProductSprint Backlog'!$M103,0)</f>
        <v>0.5</v>
      </c>
      <c r="L24" s="51">
        <f>IF('ProductSprint Backlog'!$L103&gt;L$2,'ProductSprint Backlog'!$M103,0)</f>
        <v>0.5</v>
      </c>
      <c r="M24" s="51">
        <f>IF('ProductSprint Backlog'!$L103&gt;M$2,'ProductSprint Backlog'!$M103,0)</f>
        <v>0.5</v>
      </c>
      <c r="N24" s="51">
        <f>IF('ProductSprint Backlog'!$L103&gt;N$2,'ProductSprint Backlog'!$M103,0)</f>
        <v>0.5</v>
      </c>
      <c r="O24" s="51">
        <f>IF('ProductSprint Backlog'!$L103&gt;O$2,'ProductSprint Backlog'!$M103,0)</f>
        <v>0</v>
      </c>
      <c r="P24" s="51">
        <f>IF('ProductSprint Backlog'!$L103&gt;P$2,'ProductSprint Backlog'!$M103,0)</f>
        <v>0</v>
      </c>
      <c r="Q24" s="51">
        <f>IF('ProductSprint Backlog'!$L103&gt;Q$2,'ProductSprint Backlog'!$M103,0)</f>
        <v>0</v>
      </c>
      <c r="R24" s="51">
        <f>IF('ProductSprint Backlog'!$L103&gt;R$2,'ProductSprint Backlog'!$M103,0)</f>
        <v>0</v>
      </c>
      <c r="S24" s="51">
        <f>IF('ProductSprint Backlog'!$L103&gt;S$2,'ProductSprint Backlog'!$M103,0)</f>
        <v>0</v>
      </c>
      <c r="T24" s="53"/>
      <c r="U24" s="53"/>
    </row>
    <row r="25" spans="1:21" ht="25.5" x14ac:dyDescent="0.2">
      <c r="A25" s="17" t="s">
        <v>179</v>
      </c>
      <c r="B25" s="51">
        <f>IF('ProductSprint Backlog'!$L104&gt;B$2,'ProductSprint Backlog'!$M104,0)</f>
        <v>0.5</v>
      </c>
      <c r="C25" s="51">
        <f>IF('ProductSprint Backlog'!$L104&gt;C$2,'ProductSprint Backlog'!$M104,0)</f>
        <v>0.5</v>
      </c>
      <c r="D25" s="51">
        <f>IF('ProductSprint Backlog'!$L104&gt;D$2,'ProductSprint Backlog'!$M104,0)</f>
        <v>0.5</v>
      </c>
      <c r="E25" s="51">
        <f>IF('ProductSprint Backlog'!$L104&gt;E$2,'ProductSprint Backlog'!$M104,0)</f>
        <v>0.5</v>
      </c>
      <c r="F25" s="51">
        <f>IF('ProductSprint Backlog'!$L104&gt;F$2,'ProductSprint Backlog'!$M104,0)</f>
        <v>0.5</v>
      </c>
      <c r="G25" s="51">
        <f>IF('ProductSprint Backlog'!$L104&gt;G$2,'ProductSprint Backlog'!$M104,0)</f>
        <v>0.5</v>
      </c>
      <c r="H25" s="51">
        <f>IF('ProductSprint Backlog'!$L104&gt;H$2,'ProductSprint Backlog'!$M104,0)</f>
        <v>0.5</v>
      </c>
      <c r="I25" s="51">
        <f>IF('ProductSprint Backlog'!$L104&gt;I$2,'ProductSprint Backlog'!$M104,0)</f>
        <v>0.5</v>
      </c>
      <c r="J25" s="51">
        <f>IF('ProductSprint Backlog'!$L104&gt;J$2,'ProductSprint Backlog'!$M104,0)</f>
        <v>0.5</v>
      </c>
      <c r="K25" s="51">
        <f>IF('ProductSprint Backlog'!$L104&gt;K$2,'ProductSprint Backlog'!$M104,0)</f>
        <v>0.5</v>
      </c>
      <c r="L25" s="51">
        <f>IF('ProductSprint Backlog'!$L104&gt;L$2,'ProductSprint Backlog'!$M104,0)</f>
        <v>0.5</v>
      </c>
      <c r="M25" s="51">
        <f>IF('ProductSprint Backlog'!$L104&gt;M$2,'ProductSprint Backlog'!$M104,0)</f>
        <v>0.5</v>
      </c>
      <c r="N25" s="51">
        <f>IF('ProductSprint Backlog'!$L104&gt;N$2,'ProductSprint Backlog'!$M104,0)</f>
        <v>0.5</v>
      </c>
      <c r="O25" s="51">
        <f>IF('ProductSprint Backlog'!$L104&gt;O$2,'ProductSprint Backlog'!$M104,0)</f>
        <v>0</v>
      </c>
      <c r="P25" s="51">
        <f>IF('ProductSprint Backlog'!$L104&gt;P$2,'ProductSprint Backlog'!$M104,0)</f>
        <v>0</v>
      </c>
      <c r="Q25" s="51">
        <f>IF('ProductSprint Backlog'!$L104&gt;Q$2,'ProductSprint Backlog'!$M104,0)</f>
        <v>0</v>
      </c>
      <c r="R25" s="51">
        <f>IF('ProductSprint Backlog'!$L104&gt;R$2,'ProductSprint Backlog'!$M104,0)</f>
        <v>0</v>
      </c>
      <c r="S25" s="51">
        <f>IF('ProductSprint Backlog'!$L104&gt;S$2,'ProductSprint Backlog'!$M104,0)</f>
        <v>0</v>
      </c>
      <c r="T25" s="53"/>
      <c r="U25" s="53"/>
    </row>
    <row r="26" spans="1:21" ht="12.75" x14ac:dyDescent="0.2">
      <c r="A26" s="17" t="s">
        <v>161</v>
      </c>
      <c r="B26" s="51">
        <f>IF('ProductSprint Backlog'!$L105&gt;B$2,'ProductSprint Backlog'!$M105,0)</f>
        <v>0.5</v>
      </c>
      <c r="C26" s="51">
        <f>IF('ProductSprint Backlog'!$L105&gt;C$2,'ProductSprint Backlog'!$M105,0)</f>
        <v>0.5</v>
      </c>
      <c r="D26" s="51">
        <f>IF('ProductSprint Backlog'!$L105&gt;D$2,'ProductSprint Backlog'!$M105,0)</f>
        <v>0.5</v>
      </c>
      <c r="E26" s="51">
        <f>IF('ProductSprint Backlog'!$L105&gt;E$2,'ProductSprint Backlog'!$M105,0)</f>
        <v>0.5</v>
      </c>
      <c r="F26" s="51">
        <f>IF('ProductSprint Backlog'!$L105&gt;F$2,'ProductSprint Backlog'!$M105,0)</f>
        <v>0.5</v>
      </c>
      <c r="G26" s="51">
        <f>IF('ProductSprint Backlog'!$L105&gt;G$2,'ProductSprint Backlog'!$M105,0)</f>
        <v>0.5</v>
      </c>
      <c r="H26" s="51">
        <f>IF('ProductSprint Backlog'!$L105&gt;H$2,'ProductSprint Backlog'!$M105,0)</f>
        <v>0.5</v>
      </c>
      <c r="I26" s="51">
        <f>IF('ProductSprint Backlog'!$L105&gt;I$2,'ProductSprint Backlog'!$M105,0)</f>
        <v>0.5</v>
      </c>
      <c r="J26" s="51">
        <f>IF('ProductSprint Backlog'!$L105&gt;J$2,'ProductSprint Backlog'!$M105,0)</f>
        <v>0.5</v>
      </c>
      <c r="K26" s="51">
        <f>IF('ProductSprint Backlog'!$L105&gt;K$2,'ProductSprint Backlog'!$M105,0)</f>
        <v>0.5</v>
      </c>
      <c r="L26" s="51">
        <f>IF('ProductSprint Backlog'!$L105&gt;L$2,'ProductSprint Backlog'!$M105,0)</f>
        <v>0.5</v>
      </c>
      <c r="M26" s="51">
        <f>IF('ProductSprint Backlog'!$L105&gt;M$2,'ProductSprint Backlog'!$M105,0)</f>
        <v>0.5</v>
      </c>
      <c r="N26" s="51">
        <f>IF('ProductSprint Backlog'!$L105&gt;N$2,'ProductSprint Backlog'!$M105,0)</f>
        <v>0.5</v>
      </c>
      <c r="O26" s="51">
        <f>IF('ProductSprint Backlog'!$L105&gt;O$2,'ProductSprint Backlog'!$M105,0)</f>
        <v>0</v>
      </c>
      <c r="P26" s="51">
        <f>IF('ProductSprint Backlog'!$L105&gt;P$2,'ProductSprint Backlog'!$M105,0)</f>
        <v>0</v>
      </c>
      <c r="Q26" s="51">
        <f>IF('ProductSprint Backlog'!$L105&gt;Q$2,'ProductSprint Backlog'!$M105,0)</f>
        <v>0</v>
      </c>
      <c r="R26" s="51">
        <f>IF('ProductSprint Backlog'!$L105&gt;R$2,'ProductSprint Backlog'!$M105,0)</f>
        <v>0</v>
      </c>
      <c r="S26" s="51">
        <f>IF('ProductSprint Backlog'!$L105&gt;S$2,'ProductSprint Backlog'!$M105,0)</f>
        <v>0</v>
      </c>
      <c r="T26" s="53"/>
      <c r="U26" s="53"/>
    </row>
    <row r="27" spans="1:21" ht="38.25" x14ac:dyDescent="0.2">
      <c r="A27" s="17" t="s">
        <v>163</v>
      </c>
      <c r="B27" s="51">
        <f>IF('ProductSprint Backlog'!$L106&gt;B$2,'ProductSprint Backlog'!$M106,0)</f>
        <v>0.5</v>
      </c>
      <c r="C27" s="51">
        <f>IF('ProductSprint Backlog'!$L106&gt;C$2,'ProductSprint Backlog'!$M106,0)</f>
        <v>0.5</v>
      </c>
      <c r="D27" s="51">
        <f>IF('ProductSprint Backlog'!$L106&gt;D$2,'ProductSprint Backlog'!$M106,0)</f>
        <v>0.5</v>
      </c>
      <c r="E27" s="51">
        <f>IF('ProductSprint Backlog'!$L106&gt;E$2,'ProductSprint Backlog'!$M106,0)</f>
        <v>0.5</v>
      </c>
      <c r="F27" s="51">
        <f>IF('ProductSprint Backlog'!$L106&gt;F$2,'ProductSprint Backlog'!$M106,0)</f>
        <v>0.5</v>
      </c>
      <c r="G27" s="51">
        <f>IF('ProductSprint Backlog'!$L106&gt;G$2,'ProductSprint Backlog'!$M106,0)</f>
        <v>0.5</v>
      </c>
      <c r="H27" s="51">
        <f>IF('ProductSprint Backlog'!$L106&gt;H$2,'ProductSprint Backlog'!$M106,0)</f>
        <v>0.5</v>
      </c>
      <c r="I27" s="51">
        <f>IF('ProductSprint Backlog'!$L106&gt;I$2,'ProductSprint Backlog'!$M106,0)</f>
        <v>0.5</v>
      </c>
      <c r="J27" s="51">
        <f>IF('ProductSprint Backlog'!$L106&gt;J$2,'ProductSprint Backlog'!$M106,0)</f>
        <v>0.5</v>
      </c>
      <c r="K27" s="51">
        <f>IF('ProductSprint Backlog'!$L106&gt;K$2,'ProductSprint Backlog'!$M106,0)</f>
        <v>0.5</v>
      </c>
      <c r="L27" s="51">
        <f>IF('ProductSprint Backlog'!$L106&gt;L$2,'ProductSprint Backlog'!$M106,0)</f>
        <v>0.5</v>
      </c>
      <c r="M27" s="51">
        <f>IF('ProductSprint Backlog'!$L106&gt;M$2,'ProductSprint Backlog'!$M106,0)</f>
        <v>0.5</v>
      </c>
      <c r="N27" s="51">
        <f>IF('ProductSprint Backlog'!$L106&gt;N$2,'ProductSprint Backlog'!$M106,0)</f>
        <v>0.5</v>
      </c>
      <c r="O27" s="51">
        <f>IF('ProductSprint Backlog'!$L106&gt;O$2,'ProductSprint Backlog'!$M106,0)</f>
        <v>0</v>
      </c>
      <c r="P27" s="51">
        <f>IF('ProductSprint Backlog'!$L106&gt;P$2,'ProductSprint Backlog'!$M106,0)</f>
        <v>0</v>
      </c>
      <c r="Q27" s="51">
        <f>IF('ProductSprint Backlog'!$L106&gt;Q$2,'ProductSprint Backlog'!$M106,0)</f>
        <v>0</v>
      </c>
      <c r="R27" s="51">
        <f>IF('ProductSprint Backlog'!$L106&gt;R$2,'ProductSprint Backlog'!$M106,0)</f>
        <v>0</v>
      </c>
      <c r="S27" s="51">
        <f>IF('ProductSprint Backlog'!$L106&gt;S$2,'ProductSprint Backlog'!$M106,0)</f>
        <v>0</v>
      </c>
      <c r="T27" s="53"/>
      <c r="U27" s="53"/>
    </row>
    <row r="28" spans="1:21" ht="12.75" x14ac:dyDescent="0.2">
      <c r="A28" s="21"/>
      <c r="B28" s="51"/>
      <c r="C28" s="51"/>
      <c r="D28" s="51"/>
      <c r="E28" s="51"/>
      <c r="F28" s="51"/>
      <c r="G28" s="51"/>
      <c r="H28" s="51"/>
      <c r="I28" s="51"/>
      <c r="J28" s="51"/>
      <c r="K28" s="51"/>
      <c r="L28" s="51"/>
      <c r="M28" s="51"/>
      <c r="N28" s="51"/>
      <c r="O28" s="51"/>
      <c r="P28" s="51"/>
      <c r="Q28" s="51"/>
      <c r="R28" s="51"/>
      <c r="S28" s="51"/>
      <c r="T28" s="53"/>
      <c r="U28" s="53"/>
    </row>
    <row r="29" spans="1:21" ht="38.25" x14ac:dyDescent="0.2">
      <c r="A29" s="17" t="s">
        <v>181</v>
      </c>
      <c r="B29" s="51">
        <f>IF('ProductSprint Backlog'!$L108&gt;B$2,'ProductSprint Backlog'!$M108,0)</f>
        <v>2</v>
      </c>
      <c r="C29" s="51">
        <f>IF('ProductSprint Backlog'!$L108&gt;C$2,'ProductSprint Backlog'!$M108,0)</f>
        <v>2</v>
      </c>
      <c r="D29" s="51">
        <f>IF('ProductSprint Backlog'!$L108&gt;D$2,'ProductSprint Backlog'!$M108,0)</f>
        <v>2</v>
      </c>
      <c r="E29" s="51">
        <f>IF('ProductSprint Backlog'!$L108&gt;E$2,'ProductSprint Backlog'!$M108,0)</f>
        <v>2</v>
      </c>
      <c r="F29" s="51">
        <f>IF('ProductSprint Backlog'!$L108&gt;F$2,'ProductSprint Backlog'!$M108,0)</f>
        <v>2</v>
      </c>
      <c r="G29" s="51">
        <f>IF('ProductSprint Backlog'!$L108&gt;G$2,'ProductSprint Backlog'!$M108,0)</f>
        <v>2</v>
      </c>
      <c r="H29" s="51">
        <f>IF('ProductSprint Backlog'!$L108&gt;H$2,'ProductSprint Backlog'!$M108,0)</f>
        <v>2</v>
      </c>
      <c r="I29" s="51">
        <f>IF('ProductSprint Backlog'!$L108&gt;I$2,'ProductSprint Backlog'!$M108,0)</f>
        <v>2</v>
      </c>
      <c r="J29" s="51">
        <f>IF('ProductSprint Backlog'!$L108&gt;J$2,'ProductSprint Backlog'!$M108,0)</f>
        <v>2</v>
      </c>
      <c r="K29" s="51">
        <f>IF('ProductSprint Backlog'!$L108&gt;K$2,'ProductSprint Backlog'!$M108,0)</f>
        <v>2</v>
      </c>
      <c r="L29" s="51">
        <f>IF('ProductSprint Backlog'!$L108&gt;L$2,'ProductSprint Backlog'!$M108,0)</f>
        <v>2</v>
      </c>
      <c r="M29" s="51">
        <f>IF('ProductSprint Backlog'!$L108&gt;M$2,'ProductSprint Backlog'!$M108,0)</f>
        <v>2</v>
      </c>
      <c r="N29" s="51">
        <f>IF('ProductSprint Backlog'!$L108&gt;N$2,'ProductSprint Backlog'!$M108,0)</f>
        <v>2</v>
      </c>
      <c r="O29" s="51">
        <f>IF('ProductSprint Backlog'!$L108&gt;O$2,'ProductSprint Backlog'!$M108,0)</f>
        <v>0</v>
      </c>
      <c r="P29" s="51">
        <f>IF('ProductSprint Backlog'!$L108&gt;P$2,'ProductSprint Backlog'!$M108,0)</f>
        <v>0</v>
      </c>
      <c r="Q29" s="51">
        <f>IF('ProductSprint Backlog'!$L108&gt;Q$2,'ProductSprint Backlog'!$M108,0)</f>
        <v>0</v>
      </c>
      <c r="R29" s="51">
        <f>IF('ProductSprint Backlog'!$L108&gt;R$2,'ProductSprint Backlog'!$M108,0)</f>
        <v>0</v>
      </c>
      <c r="S29" s="51">
        <f>IF('ProductSprint Backlog'!$L108&gt;S$2,'ProductSprint Backlog'!$M108,0)</f>
        <v>0</v>
      </c>
      <c r="T29" s="53"/>
      <c r="U29" s="53"/>
    </row>
    <row r="30" spans="1:21" ht="38.25" x14ac:dyDescent="0.2">
      <c r="A30" s="17" t="s">
        <v>184</v>
      </c>
      <c r="B30" s="51">
        <f>IF('ProductSprint Backlog'!$L109&gt;B$2,'ProductSprint Backlog'!$M109,0)</f>
        <v>1</v>
      </c>
      <c r="C30" s="51">
        <f>IF('ProductSprint Backlog'!$L109&gt;C$2,'ProductSprint Backlog'!$M109,0)</f>
        <v>1</v>
      </c>
      <c r="D30" s="51">
        <f>IF('ProductSprint Backlog'!$L109&gt;D$2,'ProductSprint Backlog'!$M109,0)</f>
        <v>1</v>
      </c>
      <c r="E30" s="51">
        <f>IF('ProductSprint Backlog'!$L109&gt;E$2,'ProductSprint Backlog'!$M109,0)</f>
        <v>1</v>
      </c>
      <c r="F30" s="51">
        <f>IF('ProductSprint Backlog'!$L109&gt;F$2,'ProductSprint Backlog'!$M109,0)</f>
        <v>1</v>
      </c>
      <c r="G30" s="51">
        <f>IF('ProductSprint Backlog'!$L109&gt;G$2,'ProductSprint Backlog'!$M109,0)</f>
        <v>1</v>
      </c>
      <c r="H30" s="51">
        <f>IF('ProductSprint Backlog'!$L109&gt;H$2,'ProductSprint Backlog'!$M109,0)</f>
        <v>1</v>
      </c>
      <c r="I30" s="51">
        <f>IF('ProductSprint Backlog'!$L109&gt;I$2,'ProductSprint Backlog'!$M109,0)</f>
        <v>1</v>
      </c>
      <c r="J30" s="51">
        <f>IF('ProductSprint Backlog'!$L109&gt;J$2,'ProductSprint Backlog'!$M109,0)</f>
        <v>1</v>
      </c>
      <c r="K30" s="51">
        <f>IF('ProductSprint Backlog'!$L109&gt;K$2,'ProductSprint Backlog'!$M109,0)</f>
        <v>1</v>
      </c>
      <c r="L30" s="51">
        <f>IF('ProductSprint Backlog'!$L109&gt;L$2,'ProductSprint Backlog'!$M109,0)</f>
        <v>1</v>
      </c>
      <c r="M30" s="51">
        <f>IF('ProductSprint Backlog'!$L109&gt;M$2,'ProductSprint Backlog'!$M109,0)</f>
        <v>1</v>
      </c>
      <c r="N30" s="51">
        <f>IF('ProductSprint Backlog'!$L109&gt;N$2,'ProductSprint Backlog'!$M109,0)</f>
        <v>1</v>
      </c>
      <c r="O30" s="51">
        <f>IF('ProductSprint Backlog'!$L109&gt;O$2,'ProductSprint Backlog'!$M109,0)</f>
        <v>0</v>
      </c>
      <c r="P30" s="51">
        <f>IF('ProductSprint Backlog'!$L109&gt;P$2,'ProductSprint Backlog'!$M109,0)</f>
        <v>0</v>
      </c>
      <c r="Q30" s="51">
        <f>IF('ProductSprint Backlog'!$L109&gt;Q$2,'ProductSprint Backlog'!$M109,0)</f>
        <v>0</v>
      </c>
      <c r="R30" s="51">
        <f>IF('ProductSprint Backlog'!$L109&gt;R$2,'ProductSprint Backlog'!$M109,0)</f>
        <v>0</v>
      </c>
      <c r="S30" s="51">
        <f>IF('ProductSprint Backlog'!$L109&gt;S$2,'ProductSprint Backlog'!$M109,0)</f>
        <v>0</v>
      </c>
      <c r="T30" s="53"/>
      <c r="U30" s="53"/>
    </row>
    <row r="31" spans="1:21" ht="25.5" x14ac:dyDescent="0.2">
      <c r="A31" s="17" t="s">
        <v>186</v>
      </c>
      <c r="B31" s="51">
        <f>IF('ProductSprint Backlog'!$L110&gt;B$2,'ProductSprint Backlog'!$M110,0)</f>
        <v>1</v>
      </c>
      <c r="C31" s="51">
        <f>IF('ProductSprint Backlog'!$L110&gt;C$2,'ProductSprint Backlog'!$M110,0)</f>
        <v>1</v>
      </c>
      <c r="D31" s="51">
        <f>IF('ProductSprint Backlog'!$L110&gt;D$2,'ProductSprint Backlog'!$M110,0)</f>
        <v>1</v>
      </c>
      <c r="E31" s="51">
        <f>IF('ProductSprint Backlog'!$L110&gt;E$2,'ProductSprint Backlog'!$M110,0)</f>
        <v>1</v>
      </c>
      <c r="F31" s="51">
        <f>IF('ProductSprint Backlog'!$L110&gt;F$2,'ProductSprint Backlog'!$M110,0)</f>
        <v>1</v>
      </c>
      <c r="G31" s="51">
        <f>IF('ProductSprint Backlog'!$L110&gt;G$2,'ProductSprint Backlog'!$M110,0)</f>
        <v>1</v>
      </c>
      <c r="H31" s="51">
        <f>IF('ProductSprint Backlog'!$L110&gt;H$2,'ProductSprint Backlog'!$M110,0)</f>
        <v>1</v>
      </c>
      <c r="I31" s="51">
        <f>IF('ProductSprint Backlog'!$L110&gt;I$2,'ProductSprint Backlog'!$M110,0)</f>
        <v>1</v>
      </c>
      <c r="J31" s="51">
        <f>IF('ProductSprint Backlog'!$L110&gt;J$2,'ProductSprint Backlog'!$M110,0)</f>
        <v>1</v>
      </c>
      <c r="K31" s="51">
        <f>IF('ProductSprint Backlog'!$L110&gt;K$2,'ProductSprint Backlog'!$M110,0)</f>
        <v>1</v>
      </c>
      <c r="L31" s="51">
        <f>IF('ProductSprint Backlog'!$L110&gt;L$2,'ProductSprint Backlog'!$M110,0)</f>
        <v>1</v>
      </c>
      <c r="M31" s="51">
        <f>IF('ProductSprint Backlog'!$L110&gt;M$2,'ProductSprint Backlog'!$M110,0)</f>
        <v>1</v>
      </c>
      <c r="N31" s="51">
        <f>IF('ProductSprint Backlog'!$L110&gt;N$2,'ProductSprint Backlog'!$M110,0)</f>
        <v>1</v>
      </c>
      <c r="O31" s="51">
        <f>IF('ProductSprint Backlog'!$L110&gt;O$2,'ProductSprint Backlog'!$M110,0)</f>
        <v>0</v>
      </c>
      <c r="P31" s="51">
        <f>IF('ProductSprint Backlog'!$L110&gt;P$2,'ProductSprint Backlog'!$M110,0)</f>
        <v>0</v>
      </c>
      <c r="Q31" s="51">
        <f>IF('ProductSprint Backlog'!$L110&gt;Q$2,'ProductSprint Backlog'!$M110,0)</f>
        <v>0</v>
      </c>
      <c r="R31" s="51">
        <f>IF('ProductSprint Backlog'!$L110&gt;R$2,'ProductSprint Backlog'!$M110,0)</f>
        <v>0</v>
      </c>
      <c r="S31" s="51">
        <f>IF('ProductSprint Backlog'!$L110&gt;S$2,'ProductSprint Backlog'!$M110,0)</f>
        <v>0</v>
      </c>
      <c r="T31" s="53"/>
      <c r="U31" s="53"/>
    </row>
    <row r="32" spans="1:21" ht="38.25" x14ac:dyDescent="0.2">
      <c r="A32" s="17" t="s">
        <v>189</v>
      </c>
      <c r="B32" s="51">
        <f>IF('ProductSprint Backlog'!$L111&gt;B$2,'ProductSprint Backlog'!$M111,0)</f>
        <v>1</v>
      </c>
      <c r="C32" s="51">
        <f>IF('ProductSprint Backlog'!$L111&gt;C$2,'ProductSprint Backlog'!$M111,0)</f>
        <v>1</v>
      </c>
      <c r="D32" s="51">
        <f>IF('ProductSprint Backlog'!$L111&gt;D$2,'ProductSprint Backlog'!$M111,0)</f>
        <v>1</v>
      </c>
      <c r="E32" s="51">
        <f>IF('ProductSprint Backlog'!$L111&gt;E$2,'ProductSprint Backlog'!$M111,0)</f>
        <v>1</v>
      </c>
      <c r="F32" s="51">
        <f>IF('ProductSprint Backlog'!$L111&gt;F$2,'ProductSprint Backlog'!$M111,0)</f>
        <v>1</v>
      </c>
      <c r="G32" s="51">
        <f>IF('ProductSprint Backlog'!$L111&gt;G$2,'ProductSprint Backlog'!$M111,0)</f>
        <v>1</v>
      </c>
      <c r="H32" s="51">
        <f>IF('ProductSprint Backlog'!$L111&gt;H$2,'ProductSprint Backlog'!$M111,0)</f>
        <v>1</v>
      </c>
      <c r="I32" s="51">
        <f>IF('ProductSprint Backlog'!$L111&gt;I$2,'ProductSprint Backlog'!$M111,0)</f>
        <v>1</v>
      </c>
      <c r="J32" s="51">
        <f>IF('ProductSprint Backlog'!$L111&gt;J$2,'ProductSprint Backlog'!$M111,0)</f>
        <v>1</v>
      </c>
      <c r="K32" s="51">
        <f>IF('ProductSprint Backlog'!$L111&gt;K$2,'ProductSprint Backlog'!$M111,0)</f>
        <v>1</v>
      </c>
      <c r="L32" s="51">
        <f>IF('ProductSprint Backlog'!$L111&gt;L$2,'ProductSprint Backlog'!$M111,0)</f>
        <v>1</v>
      </c>
      <c r="M32" s="51">
        <f>IF('ProductSprint Backlog'!$L111&gt;M$2,'ProductSprint Backlog'!$M111,0)</f>
        <v>1</v>
      </c>
      <c r="N32" s="51">
        <f>IF('ProductSprint Backlog'!$L111&gt;N$2,'ProductSprint Backlog'!$M111,0)</f>
        <v>1</v>
      </c>
      <c r="O32" s="51">
        <f>IF('ProductSprint Backlog'!$L111&gt;O$2,'ProductSprint Backlog'!$M111,0)</f>
        <v>1</v>
      </c>
      <c r="P32" s="51">
        <f>IF('ProductSprint Backlog'!$L111&gt;P$2,'ProductSprint Backlog'!$M111,0)</f>
        <v>0</v>
      </c>
      <c r="Q32" s="51">
        <f>IF('ProductSprint Backlog'!$L111&gt;Q$2,'ProductSprint Backlog'!$M111,0)</f>
        <v>0</v>
      </c>
      <c r="R32" s="51">
        <f>IF('ProductSprint Backlog'!$L111&gt;R$2,'ProductSprint Backlog'!$M111,0)</f>
        <v>0</v>
      </c>
      <c r="S32" s="51">
        <f>IF('ProductSprint Backlog'!$L111&gt;S$2,'ProductSprint Backlog'!$M111,0)</f>
        <v>0</v>
      </c>
      <c r="T32" s="53"/>
      <c r="U32" s="53"/>
    </row>
    <row r="33" spans="1:21" ht="38.25" x14ac:dyDescent="0.2">
      <c r="A33" s="17" t="s">
        <v>190</v>
      </c>
      <c r="B33" s="51">
        <f>IF('ProductSprint Backlog'!$L112&gt;B$2,'ProductSprint Backlog'!$M112,0)</f>
        <v>1</v>
      </c>
      <c r="C33" s="51">
        <f>IF('ProductSprint Backlog'!$L112&gt;C$2,'ProductSprint Backlog'!$M112,0)</f>
        <v>1</v>
      </c>
      <c r="D33" s="51">
        <f>IF('ProductSprint Backlog'!$L112&gt;D$2,'ProductSprint Backlog'!$M112,0)</f>
        <v>1</v>
      </c>
      <c r="E33" s="51">
        <f>IF('ProductSprint Backlog'!$L112&gt;E$2,'ProductSprint Backlog'!$M112,0)</f>
        <v>1</v>
      </c>
      <c r="F33" s="51">
        <f>IF('ProductSprint Backlog'!$L112&gt;F$2,'ProductSprint Backlog'!$M112,0)</f>
        <v>1</v>
      </c>
      <c r="G33" s="51">
        <f>IF('ProductSprint Backlog'!$L112&gt;G$2,'ProductSprint Backlog'!$M112,0)</f>
        <v>1</v>
      </c>
      <c r="H33" s="51">
        <f>IF('ProductSprint Backlog'!$L112&gt;H$2,'ProductSprint Backlog'!$M112,0)</f>
        <v>1</v>
      </c>
      <c r="I33" s="51">
        <f>IF('ProductSprint Backlog'!$L112&gt;I$2,'ProductSprint Backlog'!$M112,0)</f>
        <v>1</v>
      </c>
      <c r="J33" s="51">
        <f>IF('ProductSprint Backlog'!$L112&gt;J$2,'ProductSprint Backlog'!$M112,0)</f>
        <v>1</v>
      </c>
      <c r="K33" s="51">
        <f>IF('ProductSprint Backlog'!$L112&gt;K$2,'ProductSprint Backlog'!$M112,0)</f>
        <v>1</v>
      </c>
      <c r="L33" s="51">
        <f>IF('ProductSprint Backlog'!$L112&gt;L$2,'ProductSprint Backlog'!$M112,0)</f>
        <v>1</v>
      </c>
      <c r="M33" s="51">
        <f>IF('ProductSprint Backlog'!$L112&gt;M$2,'ProductSprint Backlog'!$M112,0)</f>
        <v>1</v>
      </c>
      <c r="N33" s="51">
        <f>IF('ProductSprint Backlog'!$L112&gt;N$2,'ProductSprint Backlog'!$M112,0)</f>
        <v>1</v>
      </c>
      <c r="O33" s="51">
        <f>IF('ProductSprint Backlog'!$L112&gt;O$2,'ProductSprint Backlog'!$M112,0)</f>
        <v>1</v>
      </c>
      <c r="P33" s="51">
        <f>IF('ProductSprint Backlog'!$L112&gt;P$2,'ProductSprint Backlog'!$M112,0)</f>
        <v>0</v>
      </c>
      <c r="Q33" s="51">
        <f>IF('ProductSprint Backlog'!$L112&gt;Q$2,'ProductSprint Backlog'!$M112,0)</f>
        <v>0</v>
      </c>
      <c r="R33" s="51">
        <f>IF('ProductSprint Backlog'!$L112&gt;R$2,'ProductSprint Backlog'!$M112,0)</f>
        <v>0</v>
      </c>
      <c r="S33" s="51">
        <f>IF('ProductSprint Backlog'!$L112&gt;S$2,'ProductSprint Backlog'!$M112,0)</f>
        <v>0</v>
      </c>
      <c r="T33" s="53"/>
      <c r="U33" s="53"/>
    </row>
    <row r="34" spans="1:21" ht="25.5" x14ac:dyDescent="0.2">
      <c r="A34" s="17" t="s">
        <v>186</v>
      </c>
      <c r="B34" s="51">
        <f>IF('ProductSprint Backlog'!$L113&gt;B$2,'ProductSprint Backlog'!$M113,0)</f>
        <v>1</v>
      </c>
      <c r="C34" s="51">
        <f>IF('ProductSprint Backlog'!$L113&gt;C$2,'ProductSprint Backlog'!$M113,0)</f>
        <v>1</v>
      </c>
      <c r="D34" s="51">
        <f>IF('ProductSprint Backlog'!$L113&gt;D$2,'ProductSprint Backlog'!$M113,0)</f>
        <v>1</v>
      </c>
      <c r="E34" s="51">
        <f>IF('ProductSprint Backlog'!$L113&gt;E$2,'ProductSprint Backlog'!$M113,0)</f>
        <v>1</v>
      </c>
      <c r="F34" s="51">
        <f>IF('ProductSprint Backlog'!$L113&gt;F$2,'ProductSprint Backlog'!$M113,0)</f>
        <v>1</v>
      </c>
      <c r="G34" s="51">
        <f>IF('ProductSprint Backlog'!$L113&gt;G$2,'ProductSprint Backlog'!$M113,0)</f>
        <v>1</v>
      </c>
      <c r="H34" s="51">
        <f>IF('ProductSprint Backlog'!$L113&gt;H$2,'ProductSprint Backlog'!$M113,0)</f>
        <v>1</v>
      </c>
      <c r="I34" s="51">
        <f>IF('ProductSprint Backlog'!$L113&gt;I$2,'ProductSprint Backlog'!$M113,0)</f>
        <v>1</v>
      </c>
      <c r="J34" s="51">
        <f>IF('ProductSprint Backlog'!$L113&gt;J$2,'ProductSprint Backlog'!$M113,0)</f>
        <v>1</v>
      </c>
      <c r="K34" s="51">
        <f>IF('ProductSprint Backlog'!$L113&gt;K$2,'ProductSprint Backlog'!$M113,0)</f>
        <v>1</v>
      </c>
      <c r="L34" s="51">
        <f>IF('ProductSprint Backlog'!$L113&gt;L$2,'ProductSprint Backlog'!$M113,0)</f>
        <v>1</v>
      </c>
      <c r="M34" s="51">
        <f>IF('ProductSprint Backlog'!$L113&gt;M$2,'ProductSprint Backlog'!$M113,0)</f>
        <v>1</v>
      </c>
      <c r="N34" s="51">
        <f>IF('ProductSprint Backlog'!$L113&gt;N$2,'ProductSprint Backlog'!$M113,0)</f>
        <v>1</v>
      </c>
      <c r="O34" s="51">
        <f>IF('ProductSprint Backlog'!$L113&gt;O$2,'ProductSprint Backlog'!$M113,0)</f>
        <v>1</v>
      </c>
      <c r="P34" s="51">
        <f>IF('ProductSprint Backlog'!$L113&gt;P$2,'ProductSprint Backlog'!$M113,0)</f>
        <v>0</v>
      </c>
      <c r="Q34" s="51">
        <f>IF('ProductSprint Backlog'!$L113&gt;Q$2,'ProductSprint Backlog'!$M113,0)</f>
        <v>0</v>
      </c>
      <c r="R34" s="51">
        <f>IF('ProductSprint Backlog'!$L113&gt;R$2,'ProductSprint Backlog'!$M113,0)</f>
        <v>0</v>
      </c>
      <c r="S34" s="51">
        <f>IF('ProductSprint Backlog'!$L113&gt;S$2,'ProductSprint Backlog'!$M113,0)</f>
        <v>0</v>
      </c>
      <c r="T34" s="53"/>
      <c r="U34" s="53"/>
    </row>
    <row r="35" spans="1:21" ht="51" x14ac:dyDescent="0.2">
      <c r="A35" s="17" t="s">
        <v>192</v>
      </c>
      <c r="B35" s="51">
        <f>IF('ProductSprint Backlog'!$L114&gt;B$2,'ProductSprint Backlog'!$M114,0)</f>
        <v>1</v>
      </c>
      <c r="C35" s="51">
        <f>IF('ProductSprint Backlog'!$L114&gt;C$2,'ProductSprint Backlog'!$M114,0)</f>
        <v>1</v>
      </c>
      <c r="D35" s="51">
        <f>IF('ProductSprint Backlog'!$L114&gt;D$2,'ProductSprint Backlog'!$M114,0)</f>
        <v>1</v>
      </c>
      <c r="E35" s="51">
        <f>IF('ProductSprint Backlog'!$L114&gt;E$2,'ProductSprint Backlog'!$M114,0)</f>
        <v>1</v>
      </c>
      <c r="F35" s="51">
        <f>IF('ProductSprint Backlog'!$L114&gt;F$2,'ProductSprint Backlog'!$M114,0)</f>
        <v>1</v>
      </c>
      <c r="G35" s="51">
        <f>IF('ProductSprint Backlog'!$L114&gt;G$2,'ProductSprint Backlog'!$M114,0)</f>
        <v>1</v>
      </c>
      <c r="H35" s="51">
        <f>IF('ProductSprint Backlog'!$L114&gt;H$2,'ProductSprint Backlog'!$M114,0)</f>
        <v>1</v>
      </c>
      <c r="I35" s="51">
        <f>IF('ProductSprint Backlog'!$L114&gt;I$2,'ProductSprint Backlog'!$M114,0)</f>
        <v>1</v>
      </c>
      <c r="J35" s="51">
        <f>IF('ProductSprint Backlog'!$L114&gt;J$2,'ProductSprint Backlog'!$M114,0)</f>
        <v>1</v>
      </c>
      <c r="K35" s="51">
        <f>IF('ProductSprint Backlog'!$L114&gt;K$2,'ProductSprint Backlog'!$M114,0)</f>
        <v>1</v>
      </c>
      <c r="L35" s="51">
        <f>IF('ProductSprint Backlog'!$L114&gt;L$2,'ProductSprint Backlog'!$M114,0)</f>
        <v>1</v>
      </c>
      <c r="M35" s="51">
        <f>IF('ProductSprint Backlog'!$L114&gt;M$2,'ProductSprint Backlog'!$M114,0)</f>
        <v>1</v>
      </c>
      <c r="N35" s="51">
        <f>IF('ProductSprint Backlog'!$L114&gt;N$2,'ProductSprint Backlog'!$M114,0)</f>
        <v>1</v>
      </c>
      <c r="O35" s="51">
        <f>IF('ProductSprint Backlog'!$L114&gt;O$2,'ProductSprint Backlog'!$M114,0)</f>
        <v>1</v>
      </c>
      <c r="P35" s="51">
        <f>IF('ProductSprint Backlog'!$L114&gt;P$2,'ProductSprint Backlog'!$M114,0)</f>
        <v>1</v>
      </c>
      <c r="Q35" s="51">
        <f>IF('ProductSprint Backlog'!$L114&gt;Q$2,'ProductSprint Backlog'!$M114,0)</f>
        <v>0</v>
      </c>
      <c r="R35" s="51">
        <f>IF('ProductSprint Backlog'!$L114&gt;R$2,'ProductSprint Backlog'!$M114,0)</f>
        <v>0</v>
      </c>
      <c r="S35" s="51">
        <f>IF('ProductSprint Backlog'!$L114&gt;S$2,'ProductSprint Backlog'!$M114,0)</f>
        <v>0</v>
      </c>
      <c r="T35" s="53"/>
      <c r="U35" s="53"/>
    </row>
    <row r="36" spans="1:21" ht="38.25" x14ac:dyDescent="0.2">
      <c r="A36" s="17" t="s">
        <v>193</v>
      </c>
      <c r="B36" s="51">
        <f>IF('ProductSprint Backlog'!$L115&gt;B$2,'ProductSprint Backlog'!$M115,0)</f>
        <v>1</v>
      </c>
      <c r="C36" s="51">
        <f>IF('ProductSprint Backlog'!$L115&gt;C$2,'ProductSprint Backlog'!$M115,0)</f>
        <v>1</v>
      </c>
      <c r="D36" s="51">
        <f>IF('ProductSprint Backlog'!$L115&gt;D$2,'ProductSprint Backlog'!$M115,0)</f>
        <v>1</v>
      </c>
      <c r="E36" s="51">
        <f>IF('ProductSprint Backlog'!$L115&gt;E$2,'ProductSprint Backlog'!$M115,0)</f>
        <v>1</v>
      </c>
      <c r="F36" s="51">
        <f>IF('ProductSprint Backlog'!$L115&gt;F$2,'ProductSprint Backlog'!$M115,0)</f>
        <v>1</v>
      </c>
      <c r="G36" s="51">
        <f>IF('ProductSprint Backlog'!$L115&gt;G$2,'ProductSprint Backlog'!$M115,0)</f>
        <v>1</v>
      </c>
      <c r="H36" s="51">
        <f>IF('ProductSprint Backlog'!$L115&gt;H$2,'ProductSprint Backlog'!$M115,0)</f>
        <v>1</v>
      </c>
      <c r="I36" s="51">
        <f>IF('ProductSprint Backlog'!$L115&gt;I$2,'ProductSprint Backlog'!$M115,0)</f>
        <v>1</v>
      </c>
      <c r="J36" s="51">
        <f>IF('ProductSprint Backlog'!$L115&gt;J$2,'ProductSprint Backlog'!$M115,0)</f>
        <v>1</v>
      </c>
      <c r="K36" s="51">
        <f>IF('ProductSprint Backlog'!$L115&gt;K$2,'ProductSprint Backlog'!$M115,0)</f>
        <v>1</v>
      </c>
      <c r="L36" s="51">
        <f>IF('ProductSprint Backlog'!$L115&gt;L$2,'ProductSprint Backlog'!$M115,0)</f>
        <v>1</v>
      </c>
      <c r="M36" s="51">
        <f>IF('ProductSprint Backlog'!$L115&gt;M$2,'ProductSprint Backlog'!$M115,0)</f>
        <v>1</v>
      </c>
      <c r="N36" s="51">
        <f>IF('ProductSprint Backlog'!$L115&gt;N$2,'ProductSprint Backlog'!$M115,0)</f>
        <v>1</v>
      </c>
      <c r="O36" s="51">
        <f>IF('ProductSprint Backlog'!$L115&gt;O$2,'ProductSprint Backlog'!$M115,0)</f>
        <v>1</v>
      </c>
      <c r="P36" s="51">
        <f>IF('ProductSprint Backlog'!$L115&gt;P$2,'ProductSprint Backlog'!$M115,0)</f>
        <v>1</v>
      </c>
      <c r="Q36" s="51">
        <f>IF('ProductSprint Backlog'!$L115&gt;Q$2,'ProductSprint Backlog'!$M115,0)</f>
        <v>0</v>
      </c>
      <c r="R36" s="51">
        <f>IF('ProductSprint Backlog'!$L115&gt;R$2,'ProductSprint Backlog'!$M115,0)</f>
        <v>0</v>
      </c>
      <c r="S36" s="51">
        <f>IF('ProductSprint Backlog'!$L115&gt;S$2,'ProductSprint Backlog'!$M115,0)</f>
        <v>0</v>
      </c>
      <c r="T36" s="53"/>
      <c r="U36" s="53"/>
    </row>
    <row r="37" spans="1:21" ht="25.5" x14ac:dyDescent="0.2">
      <c r="A37" s="17" t="s">
        <v>186</v>
      </c>
      <c r="B37" s="51">
        <f>IF('ProductSprint Backlog'!$L116&gt;B$2,'ProductSprint Backlog'!$M116,0)</f>
        <v>1</v>
      </c>
      <c r="C37" s="51">
        <f>IF('ProductSprint Backlog'!$L116&gt;C$2,'ProductSprint Backlog'!$M116,0)</f>
        <v>1</v>
      </c>
      <c r="D37" s="51">
        <f>IF('ProductSprint Backlog'!$L116&gt;D$2,'ProductSprint Backlog'!$M116,0)</f>
        <v>1</v>
      </c>
      <c r="E37" s="51">
        <f>IF('ProductSprint Backlog'!$L116&gt;E$2,'ProductSprint Backlog'!$M116,0)</f>
        <v>1</v>
      </c>
      <c r="F37" s="51">
        <f>IF('ProductSprint Backlog'!$L116&gt;F$2,'ProductSprint Backlog'!$M116,0)</f>
        <v>1</v>
      </c>
      <c r="G37" s="51">
        <f>IF('ProductSprint Backlog'!$L116&gt;G$2,'ProductSprint Backlog'!$M116,0)</f>
        <v>1</v>
      </c>
      <c r="H37" s="51">
        <f>IF('ProductSprint Backlog'!$L116&gt;H$2,'ProductSprint Backlog'!$M116,0)</f>
        <v>1</v>
      </c>
      <c r="I37" s="51">
        <f>IF('ProductSprint Backlog'!$L116&gt;I$2,'ProductSprint Backlog'!$M116,0)</f>
        <v>1</v>
      </c>
      <c r="J37" s="51">
        <f>IF('ProductSprint Backlog'!$L116&gt;J$2,'ProductSprint Backlog'!$M116,0)</f>
        <v>1</v>
      </c>
      <c r="K37" s="51">
        <f>IF('ProductSprint Backlog'!$L116&gt;K$2,'ProductSprint Backlog'!$M116,0)</f>
        <v>1</v>
      </c>
      <c r="L37" s="51">
        <f>IF('ProductSprint Backlog'!$L116&gt;L$2,'ProductSprint Backlog'!$M116,0)</f>
        <v>1</v>
      </c>
      <c r="M37" s="51">
        <f>IF('ProductSprint Backlog'!$L116&gt;M$2,'ProductSprint Backlog'!$M116,0)</f>
        <v>1</v>
      </c>
      <c r="N37" s="51">
        <f>IF('ProductSprint Backlog'!$L116&gt;N$2,'ProductSprint Backlog'!$M116,0)</f>
        <v>1</v>
      </c>
      <c r="O37" s="51">
        <f>IF('ProductSprint Backlog'!$L116&gt;O$2,'ProductSprint Backlog'!$M116,0)</f>
        <v>1</v>
      </c>
      <c r="P37" s="51">
        <f>IF('ProductSprint Backlog'!$L116&gt;P$2,'ProductSprint Backlog'!$M116,0)</f>
        <v>1</v>
      </c>
      <c r="Q37" s="51">
        <f>IF('ProductSprint Backlog'!$L116&gt;Q$2,'ProductSprint Backlog'!$M116,0)</f>
        <v>0</v>
      </c>
      <c r="R37" s="51">
        <f>IF('ProductSprint Backlog'!$L116&gt;R$2,'ProductSprint Backlog'!$M116,0)</f>
        <v>0</v>
      </c>
      <c r="S37" s="51">
        <f>IF('ProductSprint Backlog'!$L116&gt;S$2,'ProductSprint Backlog'!$M116,0)</f>
        <v>0</v>
      </c>
      <c r="T37" s="53"/>
      <c r="U37" s="53"/>
    </row>
    <row r="38" spans="1:21" ht="12.75" x14ac:dyDescent="0.2">
      <c r="A38" s="21"/>
      <c r="B38" s="51"/>
      <c r="C38" s="51"/>
      <c r="D38" s="51"/>
      <c r="E38" s="51"/>
      <c r="F38" s="51"/>
      <c r="G38" s="51"/>
      <c r="H38" s="51"/>
      <c r="I38" s="51"/>
      <c r="J38" s="51"/>
      <c r="K38" s="51"/>
      <c r="L38" s="51"/>
      <c r="M38" s="51"/>
      <c r="N38" s="51"/>
      <c r="O38" s="51"/>
      <c r="P38" s="51"/>
      <c r="Q38" s="51"/>
      <c r="R38" s="51"/>
      <c r="S38" s="51"/>
      <c r="T38" s="53"/>
      <c r="U38" s="53"/>
    </row>
    <row r="39" spans="1:21" ht="25.5" x14ac:dyDescent="0.2">
      <c r="A39" s="17" t="s">
        <v>195</v>
      </c>
      <c r="B39" s="51">
        <f>IF('ProductSprint Backlog'!$L118&gt;B$2,'ProductSprint Backlog'!$M118,0)</f>
        <v>1</v>
      </c>
      <c r="C39" s="51">
        <f>IF('ProductSprint Backlog'!$L118&gt;C$2,'ProductSprint Backlog'!$M118,0)</f>
        <v>1</v>
      </c>
      <c r="D39" s="51">
        <f>IF('ProductSprint Backlog'!$L118&gt;D$2,'ProductSprint Backlog'!$M118,0)</f>
        <v>1</v>
      </c>
      <c r="E39" s="51">
        <f>IF('ProductSprint Backlog'!$L118&gt;E$2,'ProductSprint Backlog'!$M118,0)</f>
        <v>1</v>
      </c>
      <c r="F39" s="51">
        <f>IF('ProductSprint Backlog'!$L118&gt;F$2,'ProductSprint Backlog'!$M118,0)</f>
        <v>1</v>
      </c>
      <c r="G39" s="51">
        <f>IF('ProductSprint Backlog'!$L118&gt;G$2,'ProductSprint Backlog'!$M118,0)</f>
        <v>0</v>
      </c>
      <c r="H39" s="51">
        <f>IF('ProductSprint Backlog'!$L118&gt;H$2,'ProductSprint Backlog'!$M118,0)</f>
        <v>0</v>
      </c>
      <c r="I39" s="51">
        <f>IF('ProductSprint Backlog'!$L118&gt;I$2,'ProductSprint Backlog'!$M118,0)</f>
        <v>0</v>
      </c>
      <c r="J39" s="51">
        <f>IF('ProductSprint Backlog'!$L118&gt;J$2,'ProductSprint Backlog'!$M118,0)</f>
        <v>0</v>
      </c>
      <c r="K39" s="51">
        <f>IF('ProductSprint Backlog'!$L118&gt;K$2,'ProductSprint Backlog'!$M118,0)</f>
        <v>0</v>
      </c>
      <c r="L39" s="51">
        <f>IF('ProductSprint Backlog'!$L118&gt;L$2,'ProductSprint Backlog'!$M118,0)</f>
        <v>0</v>
      </c>
      <c r="M39" s="51">
        <f>IF('ProductSprint Backlog'!$L118&gt;M$2,'ProductSprint Backlog'!$M118,0)</f>
        <v>0</v>
      </c>
      <c r="N39" s="51">
        <f>IF('ProductSprint Backlog'!$L118&gt;N$2,'ProductSprint Backlog'!$M118,0)</f>
        <v>0</v>
      </c>
      <c r="O39" s="51">
        <f>IF('ProductSprint Backlog'!$L118&gt;O$2,'ProductSprint Backlog'!$M118,0)</f>
        <v>0</v>
      </c>
      <c r="P39" s="51">
        <f>IF('ProductSprint Backlog'!$L118&gt;P$2,'ProductSprint Backlog'!$M118,0)</f>
        <v>0</v>
      </c>
      <c r="Q39" s="51">
        <f>IF('ProductSprint Backlog'!$L118&gt;Q$2,'ProductSprint Backlog'!$M118,0)</f>
        <v>0</v>
      </c>
      <c r="R39" s="51">
        <f>IF('ProductSprint Backlog'!$L118&gt;R$2,'ProductSprint Backlog'!$M118,0)</f>
        <v>0</v>
      </c>
      <c r="S39" s="51">
        <f>IF('ProductSprint Backlog'!$L118&gt;S$2,'ProductSprint Backlog'!$M118,0)</f>
        <v>0</v>
      </c>
      <c r="T39" s="53"/>
      <c r="U39" s="53"/>
    </row>
    <row r="40" spans="1:21" ht="51" x14ac:dyDescent="0.2">
      <c r="A40" s="17" t="s">
        <v>197</v>
      </c>
      <c r="B40" s="51">
        <f>IF('ProductSprint Backlog'!$L119&gt;B$2,'ProductSprint Backlog'!$M119,0)</f>
        <v>1</v>
      </c>
      <c r="C40" s="51">
        <f>IF('ProductSprint Backlog'!$L119&gt;C$2,'ProductSprint Backlog'!$M119,0)</f>
        <v>1</v>
      </c>
      <c r="D40" s="51">
        <f>IF('ProductSprint Backlog'!$L119&gt;D$2,'ProductSprint Backlog'!$M119,0)</f>
        <v>1</v>
      </c>
      <c r="E40" s="51">
        <f>IF('ProductSprint Backlog'!$L119&gt;E$2,'ProductSprint Backlog'!$M119,0)</f>
        <v>1</v>
      </c>
      <c r="F40" s="51">
        <f>IF('ProductSprint Backlog'!$L119&gt;F$2,'ProductSprint Backlog'!$M119,0)</f>
        <v>1</v>
      </c>
      <c r="G40" s="51">
        <f>IF('ProductSprint Backlog'!$L119&gt;G$2,'ProductSprint Backlog'!$M119,0)</f>
        <v>0</v>
      </c>
      <c r="H40" s="51">
        <f>IF('ProductSprint Backlog'!$L119&gt;H$2,'ProductSprint Backlog'!$M119,0)</f>
        <v>0</v>
      </c>
      <c r="I40" s="51">
        <f>IF('ProductSprint Backlog'!$L119&gt;I$2,'ProductSprint Backlog'!$M119,0)</f>
        <v>0</v>
      </c>
      <c r="J40" s="51">
        <f>IF('ProductSprint Backlog'!$L119&gt;J$2,'ProductSprint Backlog'!$M119,0)</f>
        <v>0</v>
      </c>
      <c r="K40" s="51">
        <f>IF('ProductSprint Backlog'!$L119&gt;K$2,'ProductSprint Backlog'!$M119,0)</f>
        <v>0</v>
      </c>
      <c r="L40" s="51">
        <f>IF('ProductSprint Backlog'!$L119&gt;L$2,'ProductSprint Backlog'!$M119,0)</f>
        <v>0</v>
      </c>
      <c r="M40" s="51">
        <f>IF('ProductSprint Backlog'!$L119&gt;M$2,'ProductSprint Backlog'!$M119,0)</f>
        <v>0</v>
      </c>
      <c r="N40" s="51">
        <f>IF('ProductSprint Backlog'!$L119&gt;N$2,'ProductSprint Backlog'!$M119,0)</f>
        <v>0</v>
      </c>
      <c r="O40" s="51">
        <f>IF('ProductSprint Backlog'!$L119&gt;O$2,'ProductSprint Backlog'!$M119,0)</f>
        <v>0</v>
      </c>
      <c r="P40" s="51">
        <f>IF('ProductSprint Backlog'!$L119&gt;P$2,'ProductSprint Backlog'!$M119,0)</f>
        <v>0</v>
      </c>
      <c r="Q40" s="51">
        <f>IF('ProductSprint Backlog'!$L119&gt;Q$2,'ProductSprint Backlog'!$M119,0)</f>
        <v>0</v>
      </c>
      <c r="R40" s="51">
        <f>IF('ProductSprint Backlog'!$L119&gt;R$2,'ProductSprint Backlog'!$M119,0)</f>
        <v>0</v>
      </c>
      <c r="S40" s="51">
        <f>IF('ProductSprint Backlog'!$L119&gt;S$2,'ProductSprint Backlog'!$M119,0)</f>
        <v>0</v>
      </c>
      <c r="T40" s="53"/>
      <c r="U40" s="53"/>
    </row>
    <row r="41" spans="1:21" ht="25.5" x14ac:dyDescent="0.2">
      <c r="A41" s="17" t="s">
        <v>199</v>
      </c>
      <c r="B41" s="51">
        <f>IF('ProductSprint Backlog'!$L120&gt;B$2,'ProductSprint Backlog'!$M120,0)</f>
        <v>1</v>
      </c>
      <c r="C41" s="51">
        <f>IF('ProductSprint Backlog'!$L120&gt;C$2,'ProductSprint Backlog'!$M120,0)</f>
        <v>1</v>
      </c>
      <c r="D41" s="51">
        <f>IF('ProductSprint Backlog'!$L120&gt;D$2,'ProductSprint Backlog'!$M120,0)</f>
        <v>1</v>
      </c>
      <c r="E41" s="51">
        <f>IF('ProductSprint Backlog'!$L120&gt;E$2,'ProductSprint Backlog'!$M120,0)</f>
        <v>1</v>
      </c>
      <c r="F41" s="51">
        <f>IF('ProductSprint Backlog'!$L120&gt;F$2,'ProductSprint Backlog'!$M120,0)</f>
        <v>1</v>
      </c>
      <c r="G41" s="51">
        <f>IF('ProductSprint Backlog'!$L120&gt;G$2,'ProductSprint Backlog'!$M120,0)</f>
        <v>0</v>
      </c>
      <c r="H41" s="51">
        <f>IF('ProductSprint Backlog'!$L120&gt;H$2,'ProductSprint Backlog'!$M120,0)</f>
        <v>0</v>
      </c>
      <c r="I41" s="51">
        <f>IF('ProductSprint Backlog'!$L120&gt;I$2,'ProductSprint Backlog'!$M120,0)</f>
        <v>0</v>
      </c>
      <c r="J41" s="51">
        <f>IF('ProductSprint Backlog'!$L120&gt;J$2,'ProductSprint Backlog'!$M120,0)</f>
        <v>0</v>
      </c>
      <c r="K41" s="51">
        <f>IF('ProductSprint Backlog'!$L120&gt;K$2,'ProductSprint Backlog'!$M120,0)</f>
        <v>0</v>
      </c>
      <c r="L41" s="51">
        <f>IF('ProductSprint Backlog'!$L120&gt;L$2,'ProductSprint Backlog'!$M120,0)</f>
        <v>0</v>
      </c>
      <c r="M41" s="51">
        <f>IF('ProductSprint Backlog'!$L120&gt;M$2,'ProductSprint Backlog'!$M120,0)</f>
        <v>0</v>
      </c>
      <c r="N41" s="51">
        <f>IF('ProductSprint Backlog'!$L120&gt;N$2,'ProductSprint Backlog'!$M120,0)</f>
        <v>0</v>
      </c>
      <c r="O41" s="51">
        <f>IF('ProductSprint Backlog'!$L120&gt;O$2,'ProductSprint Backlog'!$M120,0)</f>
        <v>0</v>
      </c>
      <c r="P41" s="51">
        <f>IF('ProductSprint Backlog'!$L120&gt;P$2,'ProductSprint Backlog'!$M120,0)</f>
        <v>0</v>
      </c>
      <c r="Q41" s="51">
        <f>IF('ProductSprint Backlog'!$L120&gt;Q$2,'ProductSprint Backlog'!$M120,0)</f>
        <v>0</v>
      </c>
      <c r="R41" s="51">
        <f>IF('ProductSprint Backlog'!$L120&gt;R$2,'ProductSprint Backlog'!$M120,0)</f>
        <v>0</v>
      </c>
      <c r="S41" s="51">
        <f>IF('ProductSprint Backlog'!$L120&gt;S$2,'ProductSprint Backlog'!$M120,0)</f>
        <v>0</v>
      </c>
      <c r="T41" s="53"/>
      <c r="U41" s="53"/>
    </row>
    <row r="42" spans="1:21" ht="25.5" x14ac:dyDescent="0.2">
      <c r="A42" s="17" t="s">
        <v>195</v>
      </c>
      <c r="B42" s="51">
        <f>IF('ProductSprint Backlog'!$L121&gt;B$2,'ProductSprint Backlog'!$M121,0)</f>
        <v>1</v>
      </c>
      <c r="C42" s="51">
        <f>IF('ProductSprint Backlog'!$L121&gt;C$2,'ProductSprint Backlog'!$M121,0)</f>
        <v>1</v>
      </c>
      <c r="D42" s="51">
        <f>IF('ProductSprint Backlog'!$L121&gt;D$2,'ProductSprint Backlog'!$M121,0)</f>
        <v>1</v>
      </c>
      <c r="E42" s="51">
        <f>IF('ProductSprint Backlog'!$L121&gt;E$2,'ProductSprint Backlog'!$M121,0)</f>
        <v>1</v>
      </c>
      <c r="F42" s="51">
        <f>IF('ProductSprint Backlog'!$L121&gt;F$2,'ProductSprint Backlog'!$M121,0)</f>
        <v>1</v>
      </c>
      <c r="G42" s="51">
        <f>IF('ProductSprint Backlog'!$L121&gt;G$2,'ProductSprint Backlog'!$M121,0)</f>
        <v>1</v>
      </c>
      <c r="H42" s="51">
        <f>IF('ProductSprint Backlog'!$L121&gt;H$2,'ProductSprint Backlog'!$M121,0)</f>
        <v>1</v>
      </c>
      <c r="I42" s="51">
        <f>IF('ProductSprint Backlog'!$L121&gt;I$2,'ProductSprint Backlog'!$M121,0)</f>
        <v>1</v>
      </c>
      <c r="J42" s="51">
        <f>IF('ProductSprint Backlog'!$L121&gt;J$2,'ProductSprint Backlog'!$M121,0)</f>
        <v>1</v>
      </c>
      <c r="K42" s="51">
        <f>IF('ProductSprint Backlog'!$L121&gt;K$2,'ProductSprint Backlog'!$M121,0)</f>
        <v>0</v>
      </c>
      <c r="L42" s="51">
        <f>IF('ProductSprint Backlog'!$L121&gt;L$2,'ProductSprint Backlog'!$M121,0)</f>
        <v>0</v>
      </c>
      <c r="M42" s="51">
        <f>IF('ProductSprint Backlog'!$L121&gt;M$2,'ProductSprint Backlog'!$M121,0)</f>
        <v>0</v>
      </c>
      <c r="N42" s="51">
        <f>IF('ProductSprint Backlog'!$L121&gt;N$2,'ProductSprint Backlog'!$M121,0)</f>
        <v>0</v>
      </c>
      <c r="O42" s="51">
        <f>IF('ProductSprint Backlog'!$L121&gt;O$2,'ProductSprint Backlog'!$M121,0)</f>
        <v>0</v>
      </c>
      <c r="P42" s="51">
        <f>IF('ProductSprint Backlog'!$L121&gt;P$2,'ProductSprint Backlog'!$M121,0)</f>
        <v>0</v>
      </c>
      <c r="Q42" s="51">
        <f>IF('ProductSprint Backlog'!$L121&gt;Q$2,'ProductSprint Backlog'!$M121,0)</f>
        <v>0</v>
      </c>
      <c r="R42" s="51">
        <f>IF('ProductSprint Backlog'!$L121&gt;R$2,'ProductSprint Backlog'!$M121,0)</f>
        <v>0</v>
      </c>
      <c r="S42" s="51">
        <f>IF('ProductSprint Backlog'!$L121&gt;S$2,'ProductSprint Backlog'!$M121,0)</f>
        <v>0</v>
      </c>
      <c r="T42" s="53"/>
      <c r="U42" s="53"/>
    </row>
    <row r="43" spans="1:21" ht="51" x14ac:dyDescent="0.2">
      <c r="A43" s="17" t="s">
        <v>197</v>
      </c>
      <c r="B43" s="51">
        <f>IF('ProductSprint Backlog'!$L122&gt;B$2,'ProductSprint Backlog'!$M122,0)</f>
        <v>1</v>
      </c>
      <c r="C43" s="51">
        <f>IF('ProductSprint Backlog'!$L122&gt;C$2,'ProductSprint Backlog'!$M122,0)</f>
        <v>1</v>
      </c>
      <c r="D43" s="51">
        <f>IF('ProductSprint Backlog'!$L122&gt;D$2,'ProductSprint Backlog'!$M122,0)</f>
        <v>1</v>
      </c>
      <c r="E43" s="51">
        <f>IF('ProductSprint Backlog'!$L122&gt;E$2,'ProductSprint Backlog'!$M122,0)</f>
        <v>1</v>
      </c>
      <c r="F43" s="51">
        <f>IF('ProductSprint Backlog'!$L122&gt;F$2,'ProductSprint Backlog'!$M122,0)</f>
        <v>1</v>
      </c>
      <c r="G43" s="51">
        <f>IF('ProductSprint Backlog'!$L122&gt;G$2,'ProductSprint Backlog'!$M122,0)</f>
        <v>1</v>
      </c>
      <c r="H43" s="51">
        <f>IF('ProductSprint Backlog'!$L122&gt;H$2,'ProductSprint Backlog'!$M122,0)</f>
        <v>1</v>
      </c>
      <c r="I43" s="51">
        <f>IF('ProductSprint Backlog'!$L122&gt;I$2,'ProductSprint Backlog'!$M122,0)</f>
        <v>1</v>
      </c>
      <c r="J43" s="51">
        <f>IF('ProductSprint Backlog'!$L122&gt;J$2,'ProductSprint Backlog'!$M122,0)</f>
        <v>1</v>
      </c>
      <c r="K43" s="51">
        <f>IF('ProductSprint Backlog'!$L122&gt;K$2,'ProductSprint Backlog'!$M122,0)</f>
        <v>0</v>
      </c>
      <c r="L43" s="51">
        <f>IF('ProductSprint Backlog'!$L122&gt;L$2,'ProductSprint Backlog'!$M122,0)</f>
        <v>0</v>
      </c>
      <c r="M43" s="51">
        <f>IF('ProductSprint Backlog'!$L122&gt;M$2,'ProductSprint Backlog'!$M122,0)</f>
        <v>0</v>
      </c>
      <c r="N43" s="51">
        <f>IF('ProductSprint Backlog'!$L122&gt;N$2,'ProductSprint Backlog'!$M122,0)</f>
        <v>0</v>
      </c>
      <c r="O43" s="51">
        <f>IF('ProductSprint Backlog'!$L122&gt;O$2,'ProductSprint Backlog'!$M122,0)</f>
        <v>0</v>
      </c>
      <c r="P43" s="51">
        <f>IF('ProductSprint Backlog'!$L122&gt;P$2,'ProductSprint Backlog'!$M122,0)</f>
        <v>0</v>
      </c>
      <c r="Q43" s="51">
        <f>IF('ProductSprint Backlog'!$L122&gt;Q$2,'ProductSprint Backlog'!$M122,0)</f>
        <v>0</v>
      </c>
      <c r="R43" s="51">
        <f>IF('ProductSprint Backlog'!$L122&gt;R$2,'ProductSprint Backlog'!$M122,0)</f>
        <v>0</v>
      </c>
      <c r="S43" s="51">
        <f>IF('ProductSprint Backlog'!$L122&gt;S$2,'ProductSprint Backlog'!$M122,0)</f>
        <v>0</v>
      </c>
      <c r="T43" s="53"/>
      <c r="U43" s="53"/>
    </row>
    <row r="44" spans="1:21" ht="25.5" x14ac:dyDescent="0.2">
      <c r="A44" s="17" t="s">
        <v>199</v>
      </c>
      <c r="B44" s="51">
        <f>IF('ProductSprint Backlog'!$L123&gt;B$2,'ProductSprint Backlog'!$M123,0)</f>
        <v>1</v>
      </c>
      <c r="C44" s="51">
        <f>IF('ProductSprint Backlog'!$L123&gt;C$2,'ProductSprint Backlog'!$M123,0)</f>
        <v>1</v>
      </c>
      <c r="D44" s="51">
        <f>IF('ProductSprint Backlog'!$L123&gt;D$2,'ProductSprint Backlog'!$M123,0)</f>
        <v>1</v>
      </c>
      <c r="E44" s="51">
        <f>IF('ProductSprint Backlog'!$L123&gt;E$2,'ProductSprint Backlog'!$M123,0)</f>
        <v>1</v>
      </c>
      <c r="F44" s="51">
        <f>IF('ProductSprint Backlog'!$L123&gt;F$2,'ProductSprint Backlog'!$M123,0)</f>
        <v>1</v>
      </c>
      <c r="G44" s="51">
        <f>IF('ProductSprint Backlog'!$L123&gt;G$2,'ProductSprint Backlog'!$M123,0)</f>
        <v>1</v>
      </c>
      <c r="H44" s="51">
        <f>IF('ProductSprint Backlog'!$L123&gt;H$2,'ProductSprint Backlog'!$M123,0)</f>
        <v>1</v>
      </c>
      <c r="I44" s="51">
        <f>IF('ProductSprint Backlog'!$L123&gt;I$2,'ProductSprint Backlog'!$M123,0)</f>
        <v>1</v>
      </c>
      <c r="J44" s="51">
        <f>IF('ProductSprint Backlog'!$L123&gt;J$2,'ProductSprint Backlog'!$M123,0)</f>
        <v>1</v>
      </c>
      <c r="K44" s="51">
        <f>IF('ProductSprint Backlog'!$L123&gt;K$2,'ProductSprint Backlog'!$M123,0)</f>
        <v>0</v>
      </c>
      <c r="L44" s="51">
        <f>IF('ProductSprint Backlog'!$L123&gt;L$2,'ProductSprint Backlog'!$M123,0)</f>
        <v>0</v>
      </c>
      <c r="M44" s="51">
        <f>IF('ProductSprint Backlog'!$L123&gt;M$2,'ProductSprint Backlog'!$M123,0)</f>
        <v>0</v>
      </c>
      <c r="N44" s="51">
        <f>IF('ProductSprint Backlog'!$L123&gt;N$2,'ProductSprint Backlog'!$M123,0)</f>
        <v>0</v>
      </c>
      <c r="O44" s="51">
        <f>IF('ProductSprint Backlog'!$L123&gt;O$2,'ProductSprint Backlog'!$M123,0)</f>
        <v>0</v>
      </c>
      <c r="P44" s="51">
        <f>IF('ProductSprint Backlog'!$L123&gt;P$2,'ProductSprint Backlog'!$M123,0)</f>
        <v>0</v>
      </c>
      <c r="Q44" s="51">
        <f>IF('ProductSprint Backlog'!$L123&gt;Q$2,'ProductSprint Backlog'!$M123,0)</f>
        <v>0</v>
      </c>
      <c r="R44" s="51">
        <f>IF('ProductSprint Backlog'!$L123&gt;R$2,'ProductSprint Backlog'!$M123,0)</f>
        <v>0</v>
      </c>
      <c r="S44" s="51">
        <f>IF('ProductSprint Backlog'!$L123&gt;S$2,'ProductSprint Backlog'!$M123,0)</f>
        <v>0</v>
      </c>
      <c r="T44" s="53"/>
      <c r="U44" s="53"/>
    </row>
    <row r="45" spans="1:21" ht="12.75" x14ac:dyDescent="0.2">
      <c r="A45" s="21"/>
      <c r="B45" s="51"/>
      <c r="C45" s="51"/>
      <c r="D45" s="51"/>
      <c r="E45" s="51"/>
      <c r="F45" s="51"/>
      <c r="G45" s="51"/>
      <c r="H45" s="51"/>
      <c r="I45" s="51"/>
      <c r="J45" s="51"/>
      <c r="K45" s="51"/>
      <c r="L45" s="51"/>
      <c r="M45" s="51"/>
      <c r="N45" s="51"/>
      <c r="O45" s="51"/>
      <c r="P45" s="51"/>
      <c r="Q45" s="51"/>
      <c r="R45" s="51"/>
      <c r="S45" s="51"/>
      <c r="T45" s="53"/>
      <c r="U45" s="53"/>
    </row>
    <row r="46" spans="1:21" ht="51" x14ac:dyDescent="0.2">
      <c r="A46" s="17" t="s">
        <v>523</v>
      </c>
      <c r="B46" s="51">
        <f>IF('ProductSprint Backlog'!$L125&gt;B$2,'ProductSprint Backlog'!$M125,0)</f>
        <v>2</v>
      </c>
      <c r="C46" s="51">
        <f>IF('ProductSprint Backlog'!$L125&gt;C$2,'ProductSprint Backlog'!$M125,0)</f>
        <v>2</v>
      </c>
      <c r="D46" s="51">
        <f>IF('ProductSprint Backlog'!$L125&gt;D$2,'ProductSprint Backlog'!$M125,0)</f>
        <v>2</v>
      </c>
      <c r="E46" s="51">
        <f>IF('ProductSprint Backlog'!$L125&gt;E$2,'ProductSprint Backlog'!$M125,0)</f>
        <v>2</v>
      </c>
      <c r="F46" s="51">
        <f>IF('ProductSprint Backlog'!$L125&gt;F$2,'ProductSprint Backlog'!$M125,0)</f>
        <v>0</v>
      </c>
      <c r="G46" s="51">
        <f>IF('ProductSprint Backlog'!$L125&gt;G$2,'ProductSprint Backlog'!$M125,0)</f>
        <v>0</v>
      </c>
      <c r="H46" s="51">
        <f>IF('ProductSprint Backlog'!$L125&gt;H$2,'ProductSprint Backlog'!$M125,0)</f>
        <v>0</v>
      </c>
      <c r="I46" s="51">
        <f>IF('ProductSprint Backlog'!$L125&gt;I$2,'ProductSprint Backlog'!$M125,0)</f>
        <v>0</v>
      </c>
      <c r="J46" s="51">
        <f>IF('ProductSprint Backlog'!$L125&gt;J$2,'ProductSprint Backlog'!$M125,0)</f>
        <v>0</v>
      </c>
      <c r="K46" s="51">
        <f>IF('ProductSprint Backlog'!$L125&gt;K$2,'ProductSprint Backlog'!$M125,0)</f>
        <v>0</v>
      </c>
      <c r="L46" s="51">
        <f>IF('ProductSprint Backlog'!$L125&gt;L$2,'ProductSprint Backlog'!$M125,0)</f>
        <v>0</v>
      </c>
      <c r="M46" s="51">
        <f>IF('ProductSprint Backlog'!$L125&gt;M$2,'ProductSprint Backlog'!$M125,0)</f>
        <v>0</v>
      </c>
      <c r="N46" s="51">
        <f>IF('ProductSprint Backlog'!$L125&gt;N$2,'ProductSprint Backlog'!$M125,0)</f>
        <v>0</v>
      </c>
      <c r="O46" s="51">
        <f>IF('ProductSprint Backlog'!$L125&gt;O$2,'ProductSprint Backlog'!$M125,0)</f>
        <v>0</v>
      </c>
      <c r="P46" s="51">
        <f>IF('ProductSprint Backlog'!$L125&gt;P$2,'ProductSprint Backlog'!$M125,0)</f>
        <v>0</v>
      </c>
      <c r="Q46" s="51">
        <f>IF('ProductSprint Backlog'!$L125&gt;Q$2,'ProductSprint Backlog'!$M125,0)</f>
        <v>0</v>
      </c>
      <c r="R46" s="51">
        <f>IF('ProductSprint Backlog'!$L125&gt;R$2,'ProductSprint Backlog'!$M125,0)</f>
        <v>0</v>
      </c>
      <c r="S46" s="51">
        <f>IF('ProductSprint Backlog'!$L125&gt;S$2,'ProductSprint Backlog'!$M125,0)</f>
        <v>0</v>
      </c>
      <c r="T46" s="53"/>
      <c r="U46" s="53"/>
    </row>
    <row r="47" spans="1:21" ht="38.25" x14ac:dyDescent="0.2">
      <c r="A47" s="17" t="s">
        <v>205</v>
      </c>
      <c r="B47" s="51">
        <f>IF('ProductSprint Backlog'!$L126&gt;B$2,'ProductSprint Backlog'!$M126,0)</f>
        <v>2</v>
      </c>
      <c r="C47" s="51">
        <f>IF('ProductSprint Backlog'!$L126&gt;C$2,'ProductSprint Backlog'!$M126,0)</f>
        <v>2</v>
      </c>
      <c r="D47" s="51">
        <f>IF('ProductSprint Backlog'!$L126&gt;D$2,'ProductSprint Backlog'!$M126,0)</f>
        <v>2</v>
      </c>
      <c r="E47" s="51">
        <f>IF('ProductSprint Backlog'!$L126&gt;E$2,'ProductSprint Backlog'!$M126,0)</f>
        <v>2</v>
      </c>
      <c r="F47" s="51">
        <f>IF('ProductSprint Backlog'!$L126&gt;F$2,'ProductSprint Backlog'!$M126,0)</f>
        <v>0</v>
      </c>
      <c r="G47" s="51">
        <f>IF('ProductSprint Backlog'!$L126&gt;G$2,'ProductSprint Backlog'!$M126,0)</f>
        <v>0</v>
      </c>
      <c r="H47" s="51">
        <f>IF('ProductSprint Backlog'!$L126&gt;H$2,'ProductSprint Backlog'!$M126,0)</f>
        <v>0</v>
      </c>
      <c r="I47" s="51">
        <f>IF('ProductSprint Backlog'!$L126&gt;I$2,'ProductSprint Backlog'!$M126,0)</f>
        <v>0</v>
      </c>
      <c r="J47" s="51">
        <f>IF('ProductSprint Backlog'!$L126&gt;J$2,'ProductSprint Backlog'!$M126,0)</f>
        <v>0</v>
      </c>
      <c r="K47" s="51">
        <f>IF('ProductSprint Backlog'!$L126&gt;K$2,'ProductSprint Backlog'!$M126,0)</f>
        <v>0</v>
      </c>
      <c r="L47" s="51">
        <f>IF('ProductSprint Backlog'!$L126&gt;L$2,'ProductSprint Backlog'!$M126,0)</f>
        <v>0</v>
      </c>
      <c r="M47" s="51">
        <f>IF('ProductSprint Backlog'!$L126&gt;M$2,'ProductSprint Backlog'!$M126,0)</f>
        <v>0</v>
      </c>
      <c r="N47" s="51">
        <f>IF('ProductSprint Backlog'!$L126&gt;N$2,'ProductSprint Backlog'!$M126,0)</f>
        <v>0</v>
      </c>
      <c r="O47" s="51">
        <f>IF('ProductSprint Backlog'!$L126&gt;O$2,'ProductSprint Backlog'!$M126,0)</f>
        <v>0</v>
      </c>
      <c r="P47" s="51">
        <f>IF('ProductSprint Backlog'!$L126&gt;P$2,'ProductSprint Backlog'!$M126,0)</f>
        <v>0</v>
      </c>
      <c r="Q47" s="51">
        <f>IF('ProductSprint Backlog'!$L126&gt;Q$2,'ProductSprint Backlog'!$M126,0)</f>
        <v>0</v>
      </c>
      <c r="R47" s="51">
        <f>IF('ProductSprint Backlog'!$L126&gt;R$2,'ProductSprint Backlog'!$M126,0)</f>
        <v>0</v>
      </c>
      <c r="S47" s="51">
        <f>IF('ProductSprint Backlog'!$L126&gt;S$2,'ProductSprint Backlog'!$M126,0)</f>
        <v>0</v>
      </c>
      <c r="T47" s="53"/>
      <c r="U47" s="53"/>
    </row>
    <row r="48" spans="1:21" ht="25.5" x14ac:dyDescent="0.2">
      <c r="A48" s="17" t="s">
        <v>207</v>
      </c>
      <c r="B48" s="51">
        <f>IF('ProductSprint Backlog'!$L127&gt;B$2,'ProductSprint Backlog'!$M127,0)</f>
        <v>1</v>
      </c>
      <c r="C48" s="51">
        <f>IF('ProductSprint Backlog'!$L127&gt;C$2,'ProductSprint Backlog'!$M127,0)</f>
        <v>1</v>
      </c>
      <c r="D48" s="51">
        <f>IF('ProductSprint Backlog'!$L127&gt;D$2,'ProductSprint Backlog'!$M127,0)</f>
        <v>1</v>
      </c>
      <c r="E48" s="51">
        <f>IF('ProductSprint Backlog'!$L127&gt;E$2,'ProductSprint Backlog'!$M127,0)</f>
        <v>1</v>
      </c>
      <c r="F48" s="51">
        <f>IF('ProductSprint Backlog'!$L127&gt;F$2,'ProductSprint Backlog'!$M127,0)</f>
        <v>0</v>
      </c>
      <c r="G48" s="51">
        <f>IF('ProductSprint Backlog'!$L127&gt;G$2,'ProductSprint Backlog'!$M127,0)</f>
        <v>0</v>
      </c>
      <c r="H48" s="51">
        <f>IF('ProductSprint Backlog'!$L127&gt;H$2,'ProductSprint Backlog'!$M127,0)</f>
        <v>0</v>
      </c>
      <c r="I48" s="51">
        <f>IF('ProductSprint Backlog'!$L127&gt;I$2,'ProductSprint Backlog'!$M127,0)</f>
        <v>0</v>
      </c>
      <c r="J48" s="51">
        <f>IF('ProductSprint Backlog'!$L127&gt;J$2,'ProductSprint Backlog'!$M127,0)</f>
        <v>0</v>
      </c>
      <c r="K48" s="51">
        <f>IF('ProductSprint Backlog'!$L127&gt;K$2,'ProductSprint Backlog'!$M127,0)</f>
        <v>0</v>
      </c>
      <c r="L48" s="51">
        <f>IF('ProductSprint Backlog'!$L127&gt;L$2,'ProductSprint Backlog'!$M127,0)</f>
        <v>0</v>
      </c>
      <c r="M48" s="51">
        <f>IF('ProductSprint Backlog'!$L127&gt;M$2,'ProductSprint Backlog'!$M127,0)</f>
        <v>0</v>
      </c>
      <c r="N48" s="51">
        <f>IF('ProductSprint Backlog'!$L127&gt;N$2,'ProductSprint Backlog'!$M127,0)</f>
        <v>0</v>
      </c>
      <c r="O48" s="51">
        <f>IF('ProductSprint Backlog'!$L127&gt;O$2,'ProductSprint Backlog'!$M127,0)</f>
        <v>0</v>
      </c>
      <c r="P48" s="51">
        <f>IF('ProductSprint Backlog'!$L127&gt;P$2,'ProductSprint Backlog'!$M127,0)</f>
        <v>0</v>
      </c>
      <c r="Q48" s="51">
        <f>IF('ProductSprint Backlog'!$L127&gt;Q$2,'ProductSprint Backlog'!$M127,0)</f>
        <v>0</v>
      </c>
      <c r="R48" s="51">
        <f>IF('ProductSprint Backlog'!$L127&gt;R$2,'ProductSprint Backlog'!$M127,0)</f>
        <v>0</v>
      </c>
      <c r="S48" s="51">
        <f>IF('ProductSprint Backlog'!$L127&gt;S$2,'ProductSprint Backlog'!$M127,0)</f>
        <v>0</v>
      </c>
      <c r="T48" s="53"/>
      <c r="U48" s="53"/>
    </row>
    <row r="49" spans="1:21" ht="12.75" x14ac:dyDescent="0.2">
      <c r="A49" s="21"/>
      <c r="B49" s="51">
        <f>IF('ProductSprint Backlog'!$L128&gt;B$2,'ProductSprint Backlog'!$M128,0)</f>
        <v>0</v>
      </c>
      <c r="C49" s="51">
        <f>IF('ProductSprint Backlog'!$L128&gt;C$2,'ProductSprint Backlog'!$M128,0)</f>
        <v>0</v>
      </c>
      <c r="D49" s="51">
        <f>IF('ProductSprint Backlog'!$L128&gt;D$2,'ProductSprint Backlog'!$M128,0)</f>
        <v>0</v>
      </c>
      <c r="E49" s="51">
        <f>IF('ProductSprint Backlog'!$L128&gt;E$2,'ProductSprint Backlog'!$M128,0)</f>
        <v>0</v>
      </c>
      <c r="F49" s="51">
        <f>IF('ProductSprint Backlog'!$L128&gt;F$2,'ProductSprint Backlog'!$M128,0)</f>
        <v>0</v>
      </c>
      <c r="G49" s="51">
        <f>IF('ProductSprint Backlog'!$L128&gt;G$2,'ProductSprint Backlog'!$M128,0)</f>
        <v>0</v>
      </c>
      <c r="H49" s="51">
        <f>IF('ProductSprint Backlog'!$L128&gt;H$2,'ProductSprint Backlog'!$M128,0)</f>
        <v>0</v>
      </c>
      <c r="I49" s="51">
        <f>IF('ProductSprint Backlog'!$L128&gt;I$2,'ProductSprint Backlog'!$M128,0)</f>
        <v>0</v>
      </c>
      <c r="J49" s="51">
        <f>IF('ProductSprint Backlog'!$L128&gt;J$2,'ProductSprint Backlog'!$M128,0)</f>
        <v>0</v>
      </c>
      <c r="K49" s="51">
        <f>IF('ProductSprint Backlog'!$L128&gt;K$2,'ProductSprint Backlog'!$M128,0)</f>
        <v>0</v>
      </c>
      <c r="L49" s="51">
        <f>IF('ProductSprint Backlog'!$L128&gt;L$2,'ProductSprint Backlog'!$M128,0)</f>
        <v>0</v>
      </c>
      <c r="M49" s="51">
        <f>IF('ProductSprint Backlog'!$L128&gt;M$2,'ProductSprint Backlog'!$M128,0)</f>
        <v>0</v>
      </c>
      <c r="N49" s="51">
        <f>IF('ProductSprint Backlog'!$L128&gt;N$2,'ProductSprint Backlog'!$M128,0)</f>
        <v>0</v>
      </c>
      <c r="O49" s="51">
        <f>IF('ProductSprint Backlog'!$L128&gt;O$2,'ProductSprint Backlog'!$M128,0)</f>
        <v>0</v>
      </c>
      <c r="P49" s="51">
        <f>IF('ProductSprint Backlog'!$L128&gt;P$2,'ProductSprint Backlog'!$M128,0)</f>
        <v>0</v>
      </c>
      <c r="Q49" s="51">
        <f>IF('ProductSprint Backlog'!$L128&gt;Q$2,'ProductSprint Backlog'!$M128,0)</f>
        <v>0</v>
      </c>
      <c r="R49" s="51">
        <f>IF('ProductSprint Backlog'!$L128&gt;R$2,'ProductSprint Backlog'!$M128,0)</f>
        <v>0</v>
      </c>
      <c r="S49" s="51">
        <f>IF('ProductSprint Backlog'!$L128&gt;S$2,'ProductSprint Backlog'!$M128,0)</f>
        <v>0</v>
      </c>
      <c r="T49" s="53"/>
      <c r="U49" s="53"/>
    </row>
    <row r="50" spans="1:21" ht="38.25" x14ac:dyDescent="0.2">
      <c r="A50" s="17" t="s">
        <v>210</v>
      </c>
      <c r="B50" s="51">
        <f>IF('ProductSprint Backlog'!$L129&gt;B$2,'ProductSprint Backlog'!$M129,0)</f>
        <v>0</v>
      </c>
      <c r="C50" s="51">
        <f>IF('ProductSprint Backlog'!$L129&gt;C$2,'ProductSprint Backlog'!$M129,0)</f>
        <v>0</v>
      </c>
      <c r="D50" s="51">
        <f>IF('ProductSprint Backlog'!$L129&gt;D$2,'ProductSprint Backlog'!$M129,0)</f>
        <v>0</v>
      </c>
      <c r="E50" s="51">
        <f>IF('ProductSprint Backlog'!$L129&gt;E$2,'ProductSprint Backlog'!$M129,0)</f>
        <v>0</v>
      </c>
      <c r="F50" s="51">
        <f>IF('ProductSprint Backlog'!$L129&gt;F$2,'ProductSprint Backlog'!$M129,0)</f>
        <v>0</v>
      </c>
      <c r="G50" s="51">
        <f>IF('ProductSprint Backlog'!$L129&gt;G$2,'ProductSprint Backlog'!$M129,0)</f>
        <v>0</v>
      </c>
      <c r="H50" s="51">
        <f>IF('ProductSprint Backlog'!$L129&gt;H$2,'ProductSprint Backlog'!$M129,0)</f>
        <v>0</v>
      </c>
      <c r="I50" s="51">
        <f>IF('ProductSprint Backlog'!$L129&gt;I$2,'ProductSprint Backlog'!$M129,0)</f>
        <v>0</v>
      </c>
      <c r="J50" s="51">
        <f>IF('ProductSprint Backlog'!$L129&gt;J$2,'ProductSprint Backlog'!$M129,0)</f>
        <v>0</v>
      </c>
      <c r="K50" s="51">
        <f>IF('ProductSprint Backlog'!$L129&gt;K$2,'ProductSprint Backlog'!$M129,0)</f>
        <v>0</v>
      </c>
      <c r="L50" s="51">
        <f>IF('ProductSprint Backlog'!$L129&gt;L$2,'ProductSprint Backlog'!$M129,0)</f>
        <v>0</v>
      </c>
      <c r="M50" s="51">
        <f>IF('ProductSprint Backlog'!$L129&gt;M$2,'ProductSprint Backlog'!$M129,0)</f>
        <v>0</v>
      </c>
      <c r="N50" s="51">
        <f>IF('ProductSprint Backlog'!$L129&gt;N$2,'ProductSprint Backlog'!$M129,0)</f>
        <v>0</v>
      </c>
      <c r="O50" s="51">
        <f>IF('ProductSprint Backlog'!$L129&gt;O$2,'ProductSprint Backlog'!$M129,0)</f>
        <v>0</v>
      </c>
      <c r="P50" s="51">
        <f>IF('ProductSprint Backlog'!$L129&gt;P$2,'ProductSprint Backlog'!$M129,0)</f>
        <v>0</v>
      </c>
      <c r="Q50" s="51">
        <f>IF('ProductSprint Backlog'!$L129&gt;Q$2,'ProductSprint Backlog'!$M129,0)</f>
        <v>0</v>
      </c>
      <c r="R50" s="51">
        <f>IF('ProductSprint Backlog'!$L129&gt;R$2,'ProductSprint Backlog'!$M129,0)</f>
        <v>0</v>
      </c>
      <c r="S50" s="51">
        <f>IF('ProductSprint Backlog'!$L129&gt;S$2,'ProductSprint Backlog'!$M129,0)</f>
        <v>0</v>
      </c>
      <c r="T50" s="53"/>
      <c r="U50" s="53"/>
    </row>
    <row r="51" spans="1:21" ht="25.5" x14ac:dyDescent="0.2">
      <c r="A51" s="17" t="s">
        <v>212</v>
      </c>
      <c r="B51" s="51">
        <f>IF('ProductSprint Backlog'!$L130&gt;B$2,'ProductSprint Backlog'!$M130,0)</f>
        <v>0</v>
      </c>
      <c r="C51" s="51">
        <f>IF('ProductSprint Backlog'!$L130&gt;C$2,'ProductSprint Backlog'!$M130,0)</f>
        <v>0</v>
      </c>
      <c r="D51" s="51">
        <f>IF('ProductSprint Backlog'!$L130&gt;D$2,'ProductSprint Backlog'!$M130,0)</f>
        <v>0</v>
      </c>
      <c r="E51" s="51">
        <f>IF('ProductSprint Backlog'!$L130&gt;E$2,'ProductSprint Backlog'!$M130,0)</f>
        <v>0</v>
      </c>
      <c r="F51" s="51">
        <f>IF('ProductSprint Backlog'!$L130&gt;F$2,'ProductSprint Backlog'!$M130,0)</f>
        <v>0</v>
      </c>
      <c r="G51" s="51">
        <f>IF('ProductSprint Backlog'!$L130&gt;G$2,'ProductSprint Backlog'!$M130,0)</f>
        <v>0</v>
      </c>
      <c r="H51" s="51">
        <f>IF('ProductSprint Backlog'!$L130&gt;H$2,'ProductSprint Backlog'!$M130,0)</f>
        <v>0</v>
      </c>
      <c r="I51" s="51">
        <f>IF('ProductSprint Backlog'!$L130&gt;I$2,'ProductSprint Backlog'!$M130,0)</f>
        <v>0</v>
      </c>
      <c r="J51" s="51">
        <f>IF('ProductSprint Backlog'!$L130&gt;J$2,'ProductSprint Backlog'!$M130,0)</f>
        <v>0</v>
      </c>
      <c r="K51" s="51">
        <f>IF('ProductSprint Backlog'!$L130&gt;K$2,'ProductSprint Backlog'!$M130,0)</f>
        <v>0</v>
      </c>
      <c r="L51" s="51">
        <f>IF('ProductSprint Backlog'!$L130&gt;L$2,'ProductSprint Backlog'!$M130,0)</f>
        <v>0</v>
      </c>
      <c r="M51" s="51">
        <f>IF('ProductSprint Backlog'!$L130&gt;M$2,'ProductSprint Backlog'!$M130,0)</f>
        <v>0</v>
      </c>
      <c r="N51" s="51">
        <f>IF('ProductSprint Backlog'!$L130&gt;N$2,'ProductSprint Backlog'!$M130,0)</f>
        <v>0</v>
      </c>
      <c r="O51" s="51">
        <f>IF('ProductSprint Backlog'!$L130&gt;O$2,'ProductSprint Backlog'!$M130,0)</f>
        <v>0</v>
      </c>
      <c r="P51" s="51">
        <f>IF('ProductSprint Backlog'!$L130&gt;P$2,'ProductSprint Backlog'!$M130,0)</f>
        <v>0</v>
      </c>
      <c r="Q51" s="51">
        <f>IF('ProductSprint Backlog'!$L130&gt;Q$2,'ProductSprint Backlog'!$M130,0)</f>
        <v>0</v>
      </c>
      <c r="R51" s="51">
        <f>IF('ProductSprint Backlog'!$L130&gt;R$2,'ProductSprint Backlog'!$M130,0)</f>
        <v>0</v>
      </c>
      <c r="S51" s="51">
        <f>IF('ProductSprint Backlog'!$L130&gt;S$2,'ProductSprint Backlog'!$M130,0)</f>
        <v>0</v>
      </c>
      <c r="T51" s="53"/>
      <c r="U51" s="53"/>
    </row>
    <row r="52" spans="1:21" ht="25.5" x14ac:dyDescent="0.2">
      <c r="A52" s="17" t="s">
        <v>214</v>
      </c>
      <c r="B52" s="51">
        <f>IF('ProductSprint Backlog'!$L131&gt;B$2,'ProductSprint Backlog'!$M131,0)</f>
        <v>0</v>
      </c>
      <c r="C52" s="51">
        <f>IF('ProductSprint Backlog'!$L131&gt;C$2,'ProductSprint Backlog'!$M131,0)</f>
        <v>0</v>
      </c>
      <c r="D52" s="51">
        <f>IF('ProductSprint Backlog'!$L131&gt;D$2,'ProductSprint Backlog'!$M131,0)</f>
        <v>0</v>
      </c>
      <c r="E52" s="51">
        <f>IF('ProductSprint Backlog'!$L131&gt;E$2,'ProductSprint Backlog'!$M131,0)</f>
        <v>0</v>
      </c>
      <c r="F52" s="51">
        <f>IF('ProductSprint Backlog'!$L131&gt;F$2,'ProductSprint Backlog'!$M131,0)</f>
        <v>0</v>
      </c>
      <c r="G52" s="51">
        <f>IF('ProductSprint Backlog'!$L131&gt;G$2,'ProductSprint Backlog'!$M131,0)</f>
        <v>0</v>
      </c>
      <c r="H52" s="51">
        <f>IF('ProductSprint Backlog'!$L131&gt;H$2,'ProductSprint Backlog'!$M131,0)</f>
        <v>0</v>
      </c>
      <c r="I52" s="51">
        <f>IF('ProductSprint Backlog'!$L131&gt;I$2,'ProductSprint Backlog'!$M131,0)</f>
        <v>0</v>
      </c>
      <c r="J52" s="51">
        <f>IF('ProductSprint Backlog'!$L131&gt;J$2,'ProductSprint Backlog'!$M131,0)</f>
        <v>0</v>
      </c>
      <c r="K52" s="51">
        <f>IF('ProductSprint Backlog'!$L131&gt;K$2,'ProductSprint Backlog'!$M131,0)</f>
        <v>0</v>
      </c>
      <c r="L52" s="51">
        <f>IF('ProductSprint Backlog'!$L131&gt;L$2,'ProductSprint Backlog'!$M131,0)</f>
        <v>0</v>
      </c>
      <c r="M52" s="51">
        <f>IF('ProductSprint Backlog'!$L131&gt;M$2,'ProductSprint Backlog'!$M131,0)</f>
        <v>0</v>
      </c>
      <c r="N52" s="51">
        <f>IF('ProductSprint Backlog'!$L131&gt;N$2,'ProductSprint Backlog'!$M131,0)</f>
        <v>0</v>
      </c>
      <c r="O52" s="51">
        <f>IF('ProductSprint Backlog'!$L131&gt;O$2,'ProductSprint Backlog'!$M131,0)</f>
        <v>0</v>
      </c>
      <c r="P52" s="51">
        <f>IF('ProductSprint Backlog'!$L131&gt;P$2,'ProductSprint Backlog'!$M131,0)</f>
        <v>0</v>
      </c>
      <c r="Q52" s="51">
        <f>IF('ProductSprint Backlog'!$L131&gt;Q$2,'ProductSprint Backlog'!$M131,0)</f>
        <v>0</v>
      </c>
      <c r="R52" s="51">
        <f>IF('ProductSprint Backlog'!$L131&gt;R$2,'ProductSprint Backlog'!$M131,0)</f>
        <v>0</v>
      </c>
      <c r="S52" s="51">
        <f>IF('ProductSprint Backlog'!$L131&gt;S$2,'ProductSprint Backlog'!$M131,0)</f>
        <v>0</v>
      </c>
      <c r="T52" s="53"/>
      <c r="U52" s="53"/>
    </row>
    <row r="53" spans="1:21" ht="38.25" x14ac:dyDescent="0.2">
      <c r="A53" s="17" t="s">
        <v>217</v>
      </c>
      <c r="B53" s="51">
        <f>IF('ProductSprint Backlog'!$L132&gt;B$2,'ProductSprint Backlog'!$M132,0)</f>
        <v>1</v>
      </c>
      <c r="C53" s="51">
        <f>IF('ProductSprint Backlog'!$L132&gt;C$2,'ProductSprint Backlog'!$M132,0)</f>
        <v>1</v>
      </c>
      <c r="D53" s="51">
        <f>IF('ProductSprint Backlog'!$L132&gt;D$2,'ProductSprint Backlog'!$M132,0)</f>
        <v>1</v>
      </c>
      <c r="E53" s="51">
        <f>IF('ProductSprint Backlog'!$L132&gt;E$2,'ProductSprint Backlog'!$M132,0)</f>
        <v>1</v>
      </c>
      <c r="F53" s="51">
        <f>IF('ProductSprint Backlog'!$L132&gt;F$2,'ProductSprint Backlog'!$M132,0)</f>
        <v>1</v>
      </c>
      <c r="G53" s="51">
        <f>IF('ProductSprint Backlog'!$L132&gt;G$2,'ProductSprint Backlog'!$M132,0)</f>
        <v>1</v>
      </c>
      <c r="H53" s="51">
        <f>IF('ProductSprint Backlog'!$L132&gt;H$2,'ProductSprint Backlog'!$M132,0)</f>
        <v>1</v>
      </c>
      <c r="I53" s="51">
        <f>IF('ProductSprint Backlog'!$L132&gt;I$2,'ProductSprint Backlog'!$M132,0)</f>
        <v>0</v>
      </c>
      <c r="J53" s="51">
        <f>IF('ProductSprint Backlog'!$L132&gt;J$2,'ProductSprint Backlog'!$M132,0)</f>
        <v>0</v>
      </c>
      <c r="K53" s="51">
        <f>IF('ProductSprint Backlog'!$L132&gt;K$2,'ProductSprint Backlog'!$M132,0)</f>
        <v>0</v>
      </c>
      <c r="L53" s="51">
        <f>IF('ProductSprint Backlog'!$L132&gt;L$2,'ProductSprint Backlog'!$M132,0)</f>
        <v>0</v>
      </c>
      <c r="M53" s="51">
        <f>IF('ProductSprint Backlog'!$L132&gt;M$2,'ProductSprint Backlog'!$M132,0)</f>
        <v>0</v>
      </c>
      <c r="N53" s="51">
        <f>IF('ProductSprint Backlog'!$L132&gt;N$2,'ProductSprint Backlog'!$M132,0)</f>
        <v>0</v>
      </c>
      <c r="O53" s="51">
        <f>IF('ProductSprint Backlog'!$L132&gt;O$2,'ProductSprint Backlog'!$M132,0)</f>
        <v>0</v>
      </c>
      <c r="P53" s="51">
        <f>IF('ProductSprint Backlog'!$L132&gt;P$2,'ProductSprint Backlog'!$M132,0)</f>
        <v>0</v>
      </c>
      <c r="Q53" s="51">
        <f>IF('ProductSprint Backlog'!$L132&gt;Q$2,'ProductSprint Backlog'!$M132,0)</f>
        <v>0</v>
      </c>
      <c r="R53" s="51">
        <f>IF('ProductSprint Backlog'!$L132&gt;R$2,'ProductSprint Backlog'!$M132,0)</f>
        <v>0</v>
      </c>
      <c r="S53" s="51">
        <f>IF('ProductSprint Backlog'!$L132&gt;S$2,'ProductSprint Backlog'!$M132,0)</f>
        <v>0</v>
      </c>
      <c r="T53" s="53"/>
      <c r="U53" s="53"/>
    </row>
    <row r="54" spans="1:21" ht="25.5" x14ac:dyDescent="0.2">
      <c r="A54" s="17" t="s">
        <v>212</v>
      </c>
      <c r="B54" s="51">
        <f>IF('ProductSprint Backlog'!$L133&gt;B$2,'ProductSprint Backlog'!$M133,0)</f>
        <v>0.5</v>
      </c>
      <c r="C54" s="51">
        <f>IF('ProductSprint Backlog'!$L133&gt;C$2,'ProductSprint Backlog'!$M133,0)</f>
        <v>0.5</v>
      </c>
      <c r="D54" s="51">
        <f>IF('ProductSprint Backlog'!$L133&gt;D$2,'ProductSprint Backlog'!$M133,0)</f>
        <v>0.5</v>
      </c>
      <c r="E54" s="51">
        <f>IF('ProductSprint Backlog'!$L133&gt;E$2,'ProductSprint Backlog'!$M133,0)</f>
        <v>0.5</v>
      </c>
      <c r="F54" s="51">
        <f>IF('ProductSprint Backlog'!$L133&gt;F$2,'ProductSprint Backlog'!$M133,0)</f>
        <v>0.5</v>
      </c>
      <c r="G54" s="51">
        <f>IF('ProductSprint Backlog'!$L133&gt;G$2,'ProductSprint Backlog'!$M133,0)</f>
        <v>0.5</v>
      </c>
      <c r="H54" s="51">
        <f>IF('ProductSprint Backlog'!$L133&gt;H$2,'ProductSprint Backlog'!$M133,0)</f>
        <v>0.5</v>
      </c>
      <c r="I54" s="51">
        <f>IF('ProductSprint Backlog'!$L133&gt;I$2,'ProductSprint Backlog'!$M133,0)</f>
        <v>0</v>
      </c>
      <c r="J54" s="51">
        <f>IF('ProductSprint Backlog'!$L133&gt;J$2,'ProductSprint Backlog'!$M133,0)</f>
        <v>0</v>
      </c>
      <c r="K54" s="51">
        <f>IF('ProductSprint Backlog'!$L133&gt;K$2,'ProductSprint Backlog'!$M133,0)</f>
        <v>0</v>
      </c>
      <c r="L54" s="51">
        <f>IF('ProductSprint Backlog'!$L133&gt;L$2,'ProductSprint Backlog'!$M133,0)</f>
        <v>0</v>
      </c>
      <c r="M54" s="51">
        <f>IF('ProductSprint Backlog'!$L133&gt;M$2,'ProductSprint Backlog'!$M133,0)</f>
        <v>0</v>
      </c>
      <c r="N54" s="51">
        <f>IF('ProductSprint Backlog'!$L133&gt;N$2,'ProductSprint Backlog'!$M133,0)</f>
        <v>0</v>
      </c>
      <c r="O54" s="51">
        <f>IF('ProductSprint Backlog'!$L133&gt;O$2,'ProductSprint Backlog'!$M133,0)</f>
        <v>0</v>
      </c>
      <c r="P54" s="51">
        <f>IF('ProductSprint Backlog'!$L133&gt;P$2,'ProductSprint Backlog'!$M133,0)</f>
        <v>0</v>
      </c>
      <c r="Q54" s="51">
        <f>IF('ProductSprint Backlog'!$L133&gt;Q$2,'ProductSprint Backlog'!$M133,0)</f>
        <v>0</v>
      </c>
      <c r="R54" s="51">
        <f>IF('ProductSprint Backlog'!$L133&gt;R$2,'ProductSprint Backlog'!$M133,0)</f>
        <v>0</v>
      </c>
      <c r="S54" s="51">
        <f>IF('ProductSprint Backlog'!$L133&gt;S$2,'ProductSprint Backlog'!$M133,0)</f>
        <v>0</v>
      </c>
      <c r="T54" s="53"/>
      <c r="U54" s="53"/>
    </row>
    <row r="55" spans="1:21" ht="25.5" x14ac:dyDescent="0.2">
      <c r="A55" s="17" t="s">
        <v>214</v>
      </c>
      <c r="B55" s="51">
        <f>IF('ProductSprint Backlog'!$L134&gt;B$2,'ProductSprint Backlog'!$M134,0)</f>
        <v>0.5</v>
      </c>
      <c r="C55" s="51">
        <f>IF('ProductSprint Backlog'!$L134&gt;C$2,'ProductSprint Backlog'!$M134,0)</f>
        <v>0.5</v>
      </c>
      <c r="D55" s="51">
        <f>IF('ProductSprint Backlog'!$L134&gt;D$2,'ProductSprint Backlog'!$M134,0)</f>
        <v>0.5</v>
      </c>
      <c r="E55" s="51">
        <f>IF('ProductSprint Backlog'!$L134&gt;E$2,'ProductSprint Backlog'!$M134,0)</f>
        <v>0.5</v>
      </c>
      <c r="F55" s="51">
        <f>IF('ProductSprint Backlog'!$L134&gt;F$2,'ProductSprint Backlog'!$M134,0)</f>
        <v>0.5</v>
      </c>
      <c r="G55" s="51">
        <f>IF('ProductSprint Backlog'!$L134&gt;G$2,'ProductSprint Backlog'!$M134,0)</f>
        <v>0.5</v>
      </c>
      <c r="H55" s="51">
        <f>IF('ProductSprint Backlog'!$L134&gt;H$2,'ProductSprint Backlog'!$M134,0)</f>
        <v>0.5</v>
      </c>
      <c r="I55" s="51">
        <f>IF('ProductSprint Backlog'!$L134&gt;I$2,'ProductSprint Backlog'!$M134,0)</f>
        <v>0</v>
      </c>
      <c r="J55" s="51">
        <f>IF('ProductSprint Backlog'!$L134&gt;J$2,'ProductSprint Backlog'!$M134,0)</f>
        <v>0</v>
      </c>
      <c r="K55" s="51">
        <f>IF('ProductSprint Backlog'!$L134&gt;K$2,'ProductSprint Backlog'!$M134,0)</f>
        <v>0</v>
      </c>
      <c r="L55" s="51">
        <f>IF('ProductSprint Backlog'!$L134&gt;L$2,'ProductSprint Backlog'!$M134,0)</f>
        <v>0</v>
      </c>
      <c r="M55" s="51">
        <f>IF('ProductSprint Backlog'!$L134&gt;M$2,'ProductSprint Backlog'!$M134,0)</f>
        <v>0</v>
      </c>
      <c r="N55" s="51">
        <f>IF('ProductSprint Backlog'!$L134&gt;N$2,'ProductSprint Backlog'!$M134,0)</f>
        <v>0</v>
      </c>
      <c r="O55" s="51">
        <f>IF('ProductSprint Backlog'!$L134&gt;O$2,'ProductSprint Backlog'!$M134,0)</f>
        <v>0</v>
      </c>
      <c r="P55" s="51">
        <f>IF('ProductSprint Backlog'!$L134&gt;P$2,'ProductSprint Backlog'!$M134,0)</f>
        <v>0</v>
      </c>
      <c r="Q55" s="51">
        <f>IF('ProductSprint Backlog'!$L134&gt;Q$2,'ProductSprint Backlog'!$M134,0)</f>
        <v>0</v>
      </c>
      <c r="R55" s="51">
        <f>IF('ProductSprint Backlog'!$L134&gt;R$2,'ProductSprint Backlog'!$M134,0)</f>
        <v>0</v>
      </c>
      <c r="S55" s="51">
        <f>IF('ProductSprint Backlog'!$L134&gt;S$2,'ProductSprint Backlog'!$M134,0)</f>
        <v>0</v>
      </c>
      <c r="T55" s="53"/>
      <c r="U55" s="53"/>
    </row>
    <row r="56" spans="1:21" ht="38.25" x14ac:dyDescent="0.2">
      <c r="A56" s="17" t="s">
        <v>220</v>
      </c>
      <c r="B56" s="51">
        <f>IF('ProductSprint Backlog'!$L135&gt;B$2,'ProductSprint Backlog'!$M135,0)</f>
        <v>1</v>
      </c>
      <c r="C56" s="51">
        <f>IF('ProductSprint Backlog'!$L135&gt;C$2,'ProductSprint Backlog'!$M135,0)</f>
        <v>1</v>
      </c>
      <c r="D56" s="51">
        <f>IF('ProductSprint Backlog'!$L135&gt;D$2,'ProductSprint Backlog'!$M135,0)</f>
        <v>1</v>
      </c>
      <c r="E56" s="51">
        <f>IF('ProductSprint Backlog'!$L135&gt;E$2,'ProductSprint Backlog'!$M135,0)</f>
        <v>1</v>
      </c>
      <c r="F56" s="51">
        <f>IF('ProductSprint Backlog'!$L135&gt;F$2,'ProductSprint Backlog'!$M135,0)</f>
        <v>1</v>
      </c>
      <c r="G56" s="51">
        <f>IF('ProductSprint Backlog'!$L135&gt;G$2,'ProductSprint Backlog'!$M135,0)</f>
        <v>1</v>
      </c>
      <c r="H56" s="51">
        <f>IF('ProductSprint Backlog'!$L135&gt;H$2,'ProductSprint Backlog'!$M135,0)</f>
        <v>1</v>
      </c>
      <c r="I56" s="51">
        <f>IF('ProductSprint Backlog'!$L135&gt;I$2,'ProductSprint Backlog'!$M135,0)</f>
        <v>1</v>
      </c>
      <c r="J56" s="51">
        <f>IF('ProductSprint Backlog'!$L135&gt;J$2,'ProductSprint Backlog'!$M135,0)</f>
        <v>0</v>
      </c>
      <c r="K56" s="51">
        <f>IF('ProductSprint Backlog'!$L135&gt;K$2,'ProductSprint Backlog'!$M135,0)</f>
        <v>0</v>
      </c>
      <c r="L56" s="51">
        <f>IF('ProductSprint Backlog'!$L135&gt;L$2,'ProductSprint Backlog'!$M135,0)</f>
        <v>0</v>
      </c>
      <c r="M56" s="51">
        <f>IF('ProductSprint Backlog'!$L135&gt;M$2,'ProductSprint Backlog'!$M135,0)</f>
        <v>0</v>
      </c>
      <c r="N56" s="51">
        <f>IF('ProductSprint Backlog'!$L135&gt;N$2,'ProductSprint Backlog'!$M135,0)</f>
        <v>0</v>
      </c>
      <c r="O56" s="51">
        <f>IF('ProductSprint Backlog'!$L135&gt;O$2,'ProductSprint Backlog'!$M135,0)</f>
        <v>0</v>
      </c>
      <c r="P56" s="51">
        <f>IF('ProductSprint Backlog'!$L135&gt;P$2,'ProductSprint Backlog'!$M135,0)</f>
        <v>0</v>
      </c>
      <c r="Q56" s="51">
        <f>IF('ProductSprint Backlog'!$L135&gt;Q$2,'ProductSprint Backlog'!$M135,0)</f>
        <v>0</v>
      </c>
      <c r="R56" s="51">
        <f>IF('ProductSprint Backlog'!$L135&gt;R$2,'ProductSprint Backlog'!$M135,0)</f>
        <v>0</v>
      </c>
      <c r="S56" s="51">
        <f>IF('ProductSprint Backlog'!$L135&gt;S$2,'ProductSprint Backlog'!$M135,0)</f>
        <v>0</v>
      </c>
      <c r="T56" s="53"/>
      <c r="U56" s="53"/>
    </row>
    <row r="57" spans="1:21" ht="25.5" x14ac:dyDescent="0.2">
      <c r="A57" s="17" t="s">
        <v>212</v>
      </c>
      <c r="B57" s="51">
        <f>IF('ProductSprint Backlog'!$L136&gt;B$2,'ProductSprint Backlog'!$M136,0)</f>
        <v>1</v>
      </c>
      <c r="C57" s="51">
        <f>IF('ProductSprint Backlog'!$L136&gt;C$2,'ProductSprint Backlog'!$M136,0)</f>
        <v>1</v>
      </c>
      <c r="D57" s="51">
        <f>IF('ProductSprint Backlog'!$L136&gt;D$2,'ProductSprint Backlog'!$M136,0)</f>
        <v>1</v>
      </c>
      <c r="E57" s="51">
        <f>IF('ProductSprint Backlog'!$L136&gt;E$2,'ProductSprint Backlog'!$M136,0)</f>
        <v>1</v>
      </c>
      <c r="F57" s="51">
        <f>IF('ProductSprint Backlog'!$L136&gt;F$2,'ProductSprint Backlog'!$M136,0)</f>
        <v>1</v>
      </c>
      <c r="G57" s="51">
        <f>IF('ProductSprint Backlog'!$L136&gt;G$2,'ProductSprint Backlog'!$M136,0)</f>
        <v>1</v>
      </c>
      <c r="H57" s="51">
        <f>IF('ProductSprint Backlog'!$L136&gt;H$2,'ProductSprint Backlog'!$M136,0)</f>
        <v>1</v>
      </c>
      <c r="I57" s="51">
        <f>IF('ProductSprint Backlog'!$L136&gt;I$2,'ProductSprint Backlog'!$M136,0)</f>
        <v>1</v>
      </c>
      <c r="J57" s="51">
        <f>IF('ProductSprint Backlog'!$L136&gt;J$2,'ProductSprint Backlog'!$M136,0)</f>
        <v>0</v>
      </c>
      <c r="K57" s="51">
        <f>IF('ProductSprint Backlog'!$L136&gt;K$2,'ProductSprint Backlog'!$M136,0)</f>
        <v>0</v>
      </c>
      <c r="L57" s="51">
        <f>IF('ProductSprint Backlog'!$L136&gt;L$2,'ProductSprint Backlog'!$M136,0)</f>
        <v>0</v>
      </c>
      <c r="M57" s="51">
        <f>IF('ProductSprint Backlog'!$L136&gt;M$2,'ProductSprint Backlog'!$M136,0)</f>
        <v>0</v>
      </c>
      <c r="N57" s="51">
        <f>IF('ProductSprint Backlog'!$L136&gt;N$2,'ProductSprint Backlog'!$M136,0)</f>
        <v>0</v>
      </c>
      <c r="O57" s="51">
        <f>IF('ProductSprint Backlog'!$L136&gt;O$2,'ProductSprint Backlog'!$M136,0)</f>
        <v>0</v>
      </c>
      <c r="P57" s="51">
        <f>IF('ProductSprint Backlog'!$L136&gt;P$2,'ProductSprint Backlog'!$M136,0)</f>
        <v>0</v>
      </c>
      <c r="Q57" s="51">
        <f>IF('ProductSprint Backlog'!$L136&gt;Q$2,'ProductSprint Backlog'!$M136,0)</f>
        <v>0</v>
      </c>
      <c r="R57" s="51">
        <f>IF('ProductSprint Backlog'!$L136&gt;R$2,'ProductSprint Backlog'!$M136,0)</f>
        <v>0</v>
      </c>
      <c r="S57" s="51">
        <f>IF('ProductSprint Backlog'!$L136&gt;S$2,'ProductSprint Backlog'!$M136,0)</f>
        <v>0</v>
      </c>
      <c r="T57" s="53"/>
      <c r="U57" s="53"/>
    </row>
    <row r="58" spans="1:21" ht="25.5" x14ac:dyDescent="0.2">
      <c r="A58" s="17" t="s">
        <v>214</v>
      </c>
      <c r="B58" s="51">
        <f>IF('ProductSprint Backlog'!$L137&gt;B$2,'ProductSprint Backlog'!$M137,0)</f>
        <v>1</v>
      </c>
      <c r="C58" s="51">
        <f>IF('ProductSprint Backlog'!$L137&gt;C$2,'ProductSprint Backlog'!$M137,0)</f>
        <v>1</v>
      </c>
      <c r="D58" s="51">
        <f>IF('ProductSprint Backlog'!$L137&gt;D$2,'ProductSprint Backlog'!$M137,0)</f>
        <v>1</v>
      </c>
      <c r="E58" s="51">
        <f>IF('ProductSprint Backlog'!$L137&gt;E$2,'ProductSprint Backlog'!$M137,0)</f>
        <v>1</v>
      </c>
      <c r="F58" s="51">
        <f>IF('ProductSprint Backlog'!$L137&gt;F$2,'ProductSprint Backlog'!$M137,0)</f>
        <v>1</v>
      </c>
      <c r="G58" s="51">
        <f>IF('ProductSprint Backlog'!$L137&gt;G$2,'ProductSprint Backlog'!$M137,0)</f>
        <v>1</v>
      </c>
      <c r="H58" s="51">
        <f>IF('ProductSprint Backlog'!$L137&gt;H$2,'ProductSprint Backlog'!$M137,0)</f>
        <v>1</v>
      </c>
      <c r="I58" s="51">
        <f>IF('ProductSprint Backlog'!$L137&gt;I$2,'ProductSprint Backlog'!$M137,0)</f>
        <v>1</v>
      </c>
      <c r="J58" s="51">
        <f>IF('ProductSprint Backlog'!$L137&gt;J$2,'ProductSprint Backlog'!$M137,0)</f>
        <v>0</v>
      </c>
      <c r="K58" s="51">
        <f>IF('ProductSprint Backlog'!$L137&gt;K$2,'ProductSprint Backlog'!$M137,0)</f>
        <v>0</v>
      </c>
      <c r="L58" s="51">
        <f>IF('ProductSprint Backlog'!$L137&gt;L$2,'ProductSprint Backlog'!$M137,0)</f>
        <v>0</v>
      </c>
      <c r="M58" s="51">
        <f>IF('ProductSprint Backlog'!$L137&gt;M$2,'ProductSprint Backlog'!$M137,0)</f>
        <v>0</v>
      </c>
      <c r="N58" s="51">
        <f>IF('ProductSprint Backlog'!$L137&gt;N$2,'ProductSprint Backlog'!$M137,0)</f>
        <v>0</v>
      </c>
      <c r="O58" s="51">
        <f>IF('ProductSprint Backlog'!$L137&gt;O$2,'ProductSprint Backlog'!$M137,0)</f>
        <v>0</v>
      </c>
      <c r="P58" s="51">
        <f>IF('ProductSprint Backlog'!$L137&gt;P$2,'ProductSprint Backlog'!$M137,0)</f>
        <v>0</v>
      </c>
      <c r="Q58" s="51">
        <f>IF('ProductSprint Backlog'!$L137&gt;Q$2,'ProductSprint Backlog'!$M137,0)</f>
        <v>0</v>
      </c>
      <c r="R58" s="51">
        <f>IF('ProductSprint Backlog'!$L137&gt;R$2,'ProductSprint Backlog'!$M137,0)</f>
        <v>0</v>
      </c>
      <c r="S58" s="51">
        <f>IF('ProductSprint Backlog'!$L137&gt;S$2,'ProductSprint Backlog'!$M137,0)</f>
        <v>0</v>
      </c>
      <c r="T58" s="53"/>
      <c r="U58" s="53"/>
    </row>
    <row r="59" spans="1:21" ht="38.25" x14ac:dyDescent="0.2">
      <c r="A59" s="17" t="s">
        <v>222</v>
      </c>
      <c r="B59" s="51">
        <f>IF('ProductSprint Backlog'!$L138&gt;B$2,'ProductSprint Backlog'!$M138,0)</f>
        <v>1</v>
      </c>
      <c r="C59" s="51">
        <f>IF('ProductSprint Backlog'!$L138&gt;C$2,'ProductSprint Backlog'!$M138,0)</f>
        <v>1</v>
      </c>
      <c r="D59" s="51">
        <f>IF('ProductSprint Backlog'!$L138&gt;D$2,'ProductSprint Backlog'!$M138,0)</f>
        <v>1</v>
      </c>
      <c r="E59" s="51">
        <f>IF('ProductSprint Backlog'!$L138&gt;E$2,'ProductSprint Backlog'!$M138,0)</f>
        <v>1</v>
      </c>
      <c r="F59" s="51">
        <f>IF('ProductSprint Backlog'!$L138&gt;F$2,'ProductSprint Backlog'!$M138,0)</f>
        <v>1</v>
      </c>
      <c r="G59" s="51">
        <f>IF('ProductSprint Backlog'!$L138&gt;G$2,'ProductSprint Backlog'!$M138,0)</f>
        <v>1</v>
      </c>
      <c r="H59" s="51">
        <f>IF('ProductSprint Backlog'!$L138&gt;H$2,'ProductSprint Backlog'!$M138,0)</f>
        <v>1</v>
      </c>
      <c r="I59" s="51">
        <f>IF('ProductSprint Backlog'!$L138&gt;I$2,'ProductSprint Backlog'!$M138,0)</f>
        <v>1</v>
      </c>
      <c r="J59" s="51">
        <f>IF('ProductSprint Backlog'!$L138&gt;J$2,'ProductSprint Backlog'!$M138,0)</f>
        <v>0</v>
      </c>
      <c r="K59" s="51">
        <f>IF('ProductSprint Backlog'!$L138&gt;K$2,'ProductSprint Backlog'!$M138,0)</f>
        <v>0</v>
      </c>
      <c r="L59" s="51">
        <f>IF('ProductSprint Backlog'!$L138&gt;L$2,'ProductSprint Backlog'!$M138,0)</f>
        <v>0</v>
      </c>
      <c r="M59" s="51">
        <f>IF('ProductSprint Backlog'!$L138&gt;M$2,'ProductSprint Backlog'!$M138,0)</f>
        <v>0</v>
      </c>
      <c r="N59" s="51">
        <f>IF('ProductSprint Backlog'!$L138&gt;N$2,'ProductSprint Backlog'!$M138,0)</f>
        <v>0</v>
      </c>
      <c r="O59" s="51">
        <f>IF('ProductSprint Backlog'!$L138&gt;O$2,'ProductSprint Backlog'!$M138,0)</f>
        <v>0</v>
      </c>
      <c r="P59" s="51">
        <f>IF('ProductSprint Backlog'!$L138&gt;P$2,'ProductSprint Backlog'!$M138,0)</f>
        <v>0</v>
      </c>
      <c r="Q59" s="51">
        <f>IF('ProductSprint Backlog'!$L138&gt;Q$2,'ProductSprint Backlog'!$M138,0)</f>
        <v>0</v>
      </c>
      <c r="R59" s="51">
        <f>IF('ProductSprint Backlog'!$L138&gt;R$2,'ProductSprint Backlog'!$M138,0)</f>
        <v>0</v>
      </c>
      <c r="S59" s="51">
        <f>IF('ProductSprint Backlog'!$L138&gt;S$2,'ProductSprint Backlog'!$M138,0)</f>
        <v>0</v>
      </c>
      <c r="T59" s="53"/>
      <c r="U59" s="53"/>
    </row>
    <row r="60" spans="1:21" ht="25.5" x14ac:dyDescent="0.2">
      <c r="A60" s="17" t="s">
        <v>212</v>
      </c>
      <c r="B60" s="51">
        <f>IF('ProductSprint Backlog'!$L139&gt;B$2,'ProductSprint Backlog'!$M139,0)</f>
        <v>1</v>
      </c>
      <c r="C60" s="51">
        <f>IF('ProductSprint Backlog'!$L139&gt;C$2,'ProductSprint Backlog'!$M139,0)</f>
        <v>1</v>
      </c>
      <c r="D60" s="51">
        <f>IF('ProductSprint Backlog'!$L139&gt;D$2,'ProductSprint Backlog'!$M139,0)</f>
        <v>1</v>
      </c>
      <c r="E60" s="51">
        <f>IF('ProductSprint Backlog'!$L139&gt;E$2,'ProductSprint Backlog'!$M139,0)</f>
        <v>1</v>
      </c>
      <c r="F60" s="51">
        <f>IF('ProductSprint Backlog'!$L139&gt;F$2,'ProductSprint Backlog'!$M139,0)</f>
        <v>1</v>
      </c>
      <c r="G60" s="51">
        <f>IF('ProductSprint Backlog'!$L139&gt;G$2,'ProductSprint Backlog'!$M139,0)</f>
        <v>1</v>
      </c>
      <c r="H60" s="51">
        <f>IF('ProductSprint Backlog'!$L139&gt;H$2,'ProductSprint Backlog'!$M139,0)</f>
        <v>1</v>
      </c>
      <c r="I60" s="51">
        <f>IF('ProductSprint Backlog'!$L139&gt;I$2,'ProductSprint Backlog'!$M139,0)</f>
        <v>1</v>
      </c>
      <c r="J60" s="51">
        <f>IF('ProductSprint Backlog'!$L139&gt;J$2,'ProductSprint Backlog'!$M139,0)</f>
        <v>0</v>
      </c>
      <c r="K60" s="51">
        <f>IF('ProductSprint Backlog'!$L139&gt;K$2,'ProductSprint Backlog'!$M139,0)</f>
        <v>0</v>
      </c>
      <c r="L60" s="51">
        <f>IF('ProductSprint Backlog'!$L139&gt;L$2,'ProductSprint Backlog'!$M139,0)</f>
        <v>0</v>
      </c>
      <c r="M60" s="51">
        <f>IF('ProductSprint Backlog'!$L139&gt;M$2,'ProductSprint Backlog'!$M139,0)</f>
        <v>0</v>
      </c>
      <c r="N60" s="51">
        <f>IF('ProductSprint Backlog'!$L139&gt;N$2,'ProductSprint Backlog'!$M139,0)</f>
        <v>0</v>
      </c>
      <c r="O60" s="51">
        <f>IF('ProductSprint Backlog'!$L139&gt;O$2,'ProductSprint Backlog'!$M139,0)</f>
        <v>0</v>
      </c>
      <c r="P60" s="51">
        <f>IF('ProductSprint Backlog'!$L139&gt;P$2,'ProductSprint Backlog'!$M139,0)</f>
        <v>0</v>
      </c>
      <c r="Q60" s="51">
        <f>IF('ProductSprint Backlog'!$L139&gt;Q$2,'ProductSprint Backlog'!$M139,0)</f>
        <v>0</v>
      </c>
      <c r="R60" s="51">
        <f>IF('ProductSprint Backlog'!$L139&gt;R$2,'ProductSprint Backlog'!$M139,0)</f>
        <v>0</v>
      </c>
      <c r="S60" s="51">
        <f>IF('ProductSprint Backlog'!$L139&gt;S$2,'ProductSprint Backlog'!$M139,0)</f>
        <v>0</v>
      </c>
      <c r="T60" s="53"/>
      <c r="U60" s="53"/>
    </row>
    <row r="61" spans="1:21" ht="25.5" x14ac:dyDescent="0.2">
      <c r="A61" s="17" t="s">
        <v>214</v>
      </c>
      <c r="B61" s="51">
        <f>IF('ProductSprint Backlog'!$L140&gt;B$2,'ProductSprint Backlog'!$M140,0)</f>
        <v>1</v>
      </c>
      <c r="C61" s="51">
        <f>IF('ProductSprint Backlog'!$L140&gt;C$2,'ProductSprint Backlog'!$M140,0)</f>
        <v>1</v>
      </c>
      <c r="D61" s="51">
        <f>IF('ProductSprint Backlog'!$L140&gt;D$2,'ProductSprint Backlog'!$M140,0)</f>
        <v>1</v>
      </c>
      <c r="E61" s="51">
        <f>IF('ProductSprint Backlog'!$L140&gt;E$2,'ProductSprint Backlog'!$M140,0)</f>
        <v>1</v>
      </c>
      <c r="F61" s="51">
        <f>IF('ProductSprint Backlog'!$L140&gt;F$2,'ProductSprint Backlog'!$M140,0)</f>
        <v>1</v>
      </c>
      <c r="G61" s="51">
        <f>IF('ProductSprint Backlog'!$L140&gt;G$2,'ProductSprint Backlog'!$M140,0)</f>
        <v>1</v>
      </c>
      <c r="H61" s="51">
        <f>IF('ProductSprint Backlog'!$L140&gt;H$2,'ProductSprint Backlog'!$M140,0)</f>
        <v>1</v>
      </c>
      <c r="I61" s="51">
        <f>IF('ProductSprint Backlog'!$L140&gt;I$2,'ProductSprint Backlog'!$M140,0)</f>
        <v>1</v>
      </c>
      <c r="J61" s="51">
        <f>IF('ProductSprint Backlog'!$L140&gt;J$2,'ProductSprint Backlog'!$M140,0)</f>
        <v>0</v>
      </c>
      <c r="K61" s="51">
        <f>IF('ProductSprint Backlog'!$L140&gt;K$2,'ProductSprint Backlog'!$M140,0)</f>
        <v>0</v>
      </c>
      <c r="L61" s="51">
        <f>IF('ProductSprint Backlog'!$L140&gt;L$2,'ProductSprint Backlog'!$M140,0)</f>
        <v>0</v>
      </c>
      <c r="M61" s="51">
        <f>IF('ProductSprint Backlog'!$L140&gt;M$2,'ProductSprint Backlog'!$M140,0)</f>
        <v>0</v>
      </c>
      <c r="N61" s="51">
        <f>IF('ProductSprint Backlog'!$L140&gt;N$2,'ProductSprint Backlog'!$M140,0)</f>
        <v>0</v>
      </c>
      <c r="O61" s="51">
        <f>IF('ProductSprint Backlog'!$L140&gt;O$2,'ProductSprint Backlog'!$M140,0)</f>
        <v>0</v>
      </c>
      <c r="P61" s="51">
        <f>IF('ProductSprint Backlog'!$L140&gt;P$2,'ProductSprint Backlog'!$M140,0)</f>
        <v>0</v>
      </c>
      <c r="Q61" s="51">
        <f>IF('ProductSprint Backlog'!$L140&gt;Q$2,'ProductSprint Backlog'!$M140,0)</f>
        <v>0</v>
      </c>
      <c r="R61" s="51">
        <f>IF('ProductSprint Backlog'!$L140&gt;R$2,'ProductSprint Backlog'!$M140,0)</f>
        <v>0</v>
      </c>
      <c r="S61" s="51">
        <f>IF('ProductSprint Backlog'!$L140&gt;S$2,'ProductSprint Backlog'!$M140,0)</f>
        <v>0</v>
      </c>
      <c r="T61" s="53"/>
      <c r="U61" s="53"/>
    </row>
    <row r="62" spans="1:21" ht="38.25" x14ac:dyDescent="0.2">
      <c r="A62" s="17" t="s">
        <v>224</v>
      </c>
      <c r="B62" s="51">
        <f>IF('ProductSprint Backlog'!$L141&gt;B$2,'ProductSprint Backlog'!$M141,0)</f>
        <v>1</v>
      </c>
      <c r="C62" s="51">
        <f>IF('ProductSprint Backlog'!$L141&gt;C$2,'ProductSprint Backlog'!$M141,0)</f>
        <v>1</v>
      </c>
      <c r="D62" s="51">
        <f>IF('ProductSprint Backlog'!$L141&gt;D$2,'ProductSprint Backlog'!$M141,0)</f>
        <v>1</v>
      </c>
      <c r="E62" s="51">
        <f>IF('ProductSprint Backlog'!$L141&gt;E$2,'ProductSprint Backlog'!$M141,0)</f>
        <v>1</v>
      </c>
      <c r="F62" s="51">
        <f>IF('ProductSprint Backlog'!$L141&gt;F$2,'ProductSprint Backlog'!$M141,0)</f>
        <v>1</v>
      </c>
      <c r="G62" s="51">
        <f>IF('ProductSprint Backlog'!$L141&gt;G$2,'ProductSprint Backlog'!$M141,0)</f>
        <v>1</v>
      </c>
      <c r="H62" s="51">
        <f>IF('ProductSprint Backlog'!$L141&gt;H$2,'ProductSprint Backlog'!$M141,0)</f>
        <v>1</v>
      </c>
      <c r="I62" s="51">
        <f>IF('ProductSprint Backlog'!$L141&gt;I$2,'ProductSprint Backlog'!$M141,0)</f>
        <v>1</v>
      </c>
      <c r="J62" s="51">
        <f>IF('ProductSprint Backlog'!$L141&gt;J$2,'ProductSprint Backlog'!$M141,0)</f>
        <v>1</v>
      </c>
      <c r="K62" s="51">
        <f>IF('ProductSprint Backlog'!$L141&gt;K$2,'ProductSprint Backlog'!$M141,0)</f>
        <v>0</v>
      </c>
      <c r="L62" s="51">
        <f>IF('ProductSprint Backlog'!$L141&gt;L$2,'ProductSprint Backlog'!$M141,0)</f>
        <v>0</v>
      </c>
      <c r="M62" s="51">
        <f>IF('ProductSprint Backlog'!$L141&gt;M$2,'ProductSprint Backlog'!$M141,0)</f>
        <v>0</v>
      </c>
      <c r="N62" s="51">
        <f>IF('ProductSprint Backlog'!$L141&gt;N$2,'ProductSprint Backlog'!$M141,0)</f>
        <v>0</v>
      </c>
      <c r="O62" s="51">
        <f>IF('ProductSprint Backlog'!$L141&gt;O$2,'ProductSprint Backlog'!$M141,0)</f>
        <v>0</v>
      </c>
      <c r="P62" s="51">
        <f>IF('ProductSprint Backlog'!$L141&gt;P$2,'ProductSprint Backlog'!$M141,0)</f>
        <v>0</v>
      </c>
      <c r="Q62" s="51">
        <f>IF('ProductSprint Backlog'!$L141&gt;Q$2,'ProductSprint Backlog'!$M141,0)</f>
        <v>0</v>
      </c>
      <c r="R62" s="51">
        <f>IF('ProductSprint Backlog'!$L141&gt;R$2,'ProductSprint Backlog'!$M141,0)</f>
        <v>0</v>
      </c>
      <c r="S62" s="51">
        <f>IF('ProductSprint Backlog'!$L141&gt;S$2,'ProductSprint Backlog'!$M141,0)</f>
        <v>0</v>
      </c>
      <c r="T62" s="53"/>
      <c r="U62" s="53"/>
    </row>
    <row r="63" spans="1:21" ht="25.5" x14ac:dyDescent="0.2">
      <c r="A63" s="17" t="s">
        <v>212</v>
      </c>
      <c r="B63" s="51">
        <f>IF('ProductSprint Backlog'!$L142&gt;B$2,'ProductSprint Backlog'!$M142,0)</f>
        <v>1</v>
      </c>
      <c r="C63" s="51">
        <f>IF('ProductSprint Backlog'!$L142&gt;C$2,'ProductSprint Backlog'!$M142,0)</f>
        <v>1</v>
      </c>
      <c r="D63" s="51">
        <f>IF('ProductSprint Backlog'!$L142&gt;D$2,'ProductSprint Backlog'!$M142,0)</f>
        <v>1</v>
      </c>
      <c r="E63" s="51">
        <f>IF('ProductSprint Backlog'!$L142&gt;E$2,'ProductSprint Backlog'!$M142,0)</f>
        <v>1</v>
      </c>
      <c r="F63" s="51">
        <f>IF('ProductSprint Backlog'!$L142&gt;F$2,'ProductSprint Backlog'!$M142,0)</f>
        <v>1</v>
      </c>
      <c r="G63" s="51">
        <f>IF('ProductSprint Backlog'!$L142&gt;G$2,'ProductSprint Backlog'!$M142,0)</f>
        <v>1</v>
      </c>
      <c r="H63" s="51">
        <f>IF('ProductSprint Backlog'!$L142&gt;H$2,'ProductSprint Backlog'!$M142,0)</f>
        <v>1</v>
      </c>
      <c r="I63" s="51">
        <f>IF('ProductSprint Backlog'!$L142&gt;I$2,'ProductSprint Backlog'!$M142,0)</f>
        <v>1</v>
      </c>
      <c r="J63" s="51">
        <f>IF('ProductSprint Backlog'!$L142&gt;J$2,'ProductSprint Backlog'!$M142,0)</f>
        <v>1</v>
      </c>
      <c r="K63" s="51">
        <f>IF('ProductSprint Backlog'!$L142&gt;K$2,'ProductSprint Backlog'!$M142,0)</f>
        <v>0</v>
      </c>
      <c r="L63" s="51">
        <f>IF('ProductSprint Backlog'!$L142&gt;L$2,'ProductSprint Backlog'!$M142,0)</f>
        <v>0</v>
      </c>
      <c r="M63" s="51">
        <f>IF('ProductSprint Backlog'!$L142&gt;M$2,'ProductSprint Backlog'!$M142,0)</f>
        <v>0</v>
      </c>
      <c r="N63" s="51">
        <f>IF('ProductSprint Backlog'!$L142&gt;N$2,'ProductSprint Backlog'!$M142,0)</f>
        <v>0</v>
      </c>
      <c r="O63" s="51">
        <f>IF('ProductSprint Backlog'!$L142&gt;O$2,'ProductSprint Backlog'!$M142,0)</f>
        <v>0</v>
      </c>
      <c r="P63" s="51">
        <f>IF('ProductSprint Backlog'!$L142&gt;P$2,'ProductSprint Backlog'!$M142,0)</f>
        <v>0</v>
      </c>
      <c r="Q63" s="51">
        <f>IF('ProductSprint Backlog'!$L142&gt;Q$2,'ProductSprint Backlog'!$M142,0)</f>
        <v>0</v>
      </c>
      <c r="R63" s="51">
        <f>IF('ProductSprint Backlog'!$L142&gt;R$2,'ProductSprint Backlog'!$M142,0)</f>
        <v>0</v>
      </c>
      <c r="S63" s="51">
        <f>IF('ProductSprint Backlog'!$L142&gt;S$2,'ProductSprint Backlog'!$M142,0)</f>
        <v>0</v>
      </c>
      <c r="T63" s="53"/>
      <c r="U63" s="53"/>
    </row>
    <row r="64" spans="1:21" ht="25.5" x14ac:dyDescent="0.2">
      <c r="A64" s="17" t="s">
        <v>214</v>
      </c>
      <c r="B64" s="51">
        <f>IF('ProductSprint Backlog'!$L143&gt;B$2,'ProductSprint Backlog'!$M143,0)</f>
        <v>1</v>
      </c>
      <c r="C64" s="51">
        <f>IF('ProductSprint Backlog'!$L143&gt;C$2,'ProductSprint Backlog'!$M143,0)</f>
        <v>1</v>
      </c>
      <c r="D64" s="51">
        <f>IF('ProductSprint Backlog'!$L143&gt;D$2,'ProductSprint Backlog'!$M143,0)</f>
        <v>1</v>
      </c>
      <c r="E64" s="51">
        <f>IF('ProductSprint Backlog'!$L143&gt;E$2,'ProductSprint Backlog'!$M143,0)</f>
        <v>1</v>
      </c>
      <c r="F64" s="51">
        <f>IF('ProductSprint Backlog'!$L143&gt;F$2,'ProductSprint Backlog'!$M143,0)</f>
        <v>1</v>
      </c>
      <c r="G64" s="51">
        <f>IF('ProductSprint Backlog'!$L143&gt;G$2,'ProductSprint Backlog'!$M143,0)</f>
        <v>1</v>
      </c>
      <c r="H64" s="51">
        <f>IF('ProductSprint Backlog'!$L143&gt;H$2,'ProductSprint Backlog'!$M143,0)</f>
        <v>1</v>
      </c>
      <c r="I64" s="51">
        <f>IF('ProductSprint Backlog'!$L143&gt;I$2,'ProductSprint Backlog'!$M143,0)</f>
        <v>1</v>
      </c>
      <c r="J64" s="51">
        <f>IF('ProductSprint Backlog'!$L143&gt;J$2,'ProductSprint Backlog'!$M143,0)</f>
        <v>1</v>
      </c>
      <c r="K64" s="51">
        <f>IF('ProductSprint Backlog'!$L143&gt;K$2,'ProductSprint Backlog'!$M143,0)</f>
        <v>0</v>
      </c>
      <c r="L64" s="51">
        <f>IF('ProductSprint Backlog'!$L143&gt;L$2,'ProductSprint Backlog'!$M143,0)</f>
        <v>0</v>
      </c>
      <c r="M64" s="51">
        <f>IF('ProductSprint Backlog'!$L143&gt;M$2,'ProductSprint Backlog'!$M143,0)</f>
        <v>0</v>
      </c>
      <c r="N64" s="51">
        <f>IF('ProductSprint Backlog'!$L143&gt;N$2,'ProductSprint Backlog'!$M143,0)</f>
        <v>0</v>
      </c>
      <c r="O64" s="51">
        <f>IF('ProductSprint Backlog'!$L143&gt;O$2,'ProductSprint Backlog'!$M143,0)</f>
        <v>0</v>
      </c>
      <c r="P64" s="51">
        <f>IF('ProductSprint Backlog'!$L143&gt;P$2,'ProductSprint Backlog'!$M143,0)</f>
        <v>0</v>
      </c>
      <c r="Q64" s="51">
        <f>IF('ProductSprint Backlog'!$L143&gt;Q$2,'ProductSprint Backlog'!$M143,0)</f>
        <v>0</v>
      </c>
      <c r="R64" s="51">
        <f>IF('ProductSprint Backlog'!$L143&gt;R$2,'ProductSprint Backlog'!$M143,0)</f>
        <v>0</v>
      </c>
      <c r="S64" s="51">
        <f>IF('ProductSprint Backlog'!$L143&gt;S$2,'ProductSprint Backlog'!$M143,0)</f>
        <v>0</v>
      </c>
      <c r="T64" s="53"/>
      <c r="U64" s="53"/>
    </row>
    <row r="65" spans="1:21" ht="38.25" x14ac:dyDescent="0.2">
      <c r="A65" s="17" t="s">
        <v>210</v>
      </c>
      <c r="B65" s="51">
        <f>IF('ProductSprint Backlog'!$L144&gt;B$2,'ProductSprint Backlog'!$M144,0)</f>
        <v>1</v>
      </c>
      <c r="C65" s="51">
        <f>IF('ProductSprint Backlog'!$L144&gt;C$2,'ProductSprint Backlog'!$M144,0)</f>
        <v>1</v>
      </c>
      <c r="D65" s="51">
        <f>IF('ProductSprint Backlog'!$L144&gt;D$2,'ProductSprint Backlog'!$M144,0)</f>
        <v>1</v>
      </c>
      <c r="E65" s="51">
        <f>IF('ProductSprint Backlog'!$L144&gt;E$2,'ProductSprint Backlog'!$M144,0)</f>
        <v>1</v>
      </c>
      <c r="F65" s="51">
        <f>IF('ProductSprint Backlog'!$L144&gt;F$2,'ProductSprint Backlog'!$M144,0)</f>
        <v>1</v>
      </c>
      <c r="G65" s="51">
        <f>IF('ProductSprint Backlog'!$L144&gt;G$2,'ProductSprint Backlog'!$M144,0)</f>
        <v>0</v>
      </c>
      <c r="H65" s="51">
        <f>IF('ProductSprint Backlog'!$L144&gt;H$2,'ProductSprint Backlog'!$M144,0)</f>
        <v>0</v>
      </c>
      <c r="I65" s="51">
        <f>IF('ProductSprint Backlog'!$L144&gt;I$2,'ProductSprint Backlog'!$M144,0)</f>
        <v>0</v>
      </c>
      <c r="J65" s="51">
        <f>IF('ProductSprint Backlog'!$L144&gt;J$2,'ProductSprint Backlog'!$M144,0)</f>
        <v>0</v>
      </c>
      <c r="K65" s="51">
        <f>IF('ProductSprint Backlog'!$L144&gt;K$2,'ProductSprint Backlog'!$M144,0)</f>
        <v>0</v>
      </c>
      <c r="L65" s="51">
        <f>IF('ProductSprint Backlog'!$L144&gt;L$2,'ProductSprint Backlog'!$M144,0)</f>
        <v>0</v>
      </c>
      <c r="M65" s="51">
        <f>IF('ProductSprint Backlog'!$L144&gt;M$2,'ProductSprint Backlog'!$M144,0)</f>
        <v>0</v>
      </c>
      <c r="N65" s="51">
        <f>IF('ProductSprint Backlog'!$L144&gt;N$2,'ProductSprint Backlog'!$M144,0)</f>
        <v>0</v>
      </c>
      <c r="O65" s="51">
        <f>IF('ProductSprint Backlog'!$L144&gt;O$2,'ProductSprint Backlog'!$M144,0)</f>
        <v>0</v>
      </c>
      <c r="P65" s="51">
        <f>IF('ProductSprint Backlog'!$L144&gt;P$2,'ProductSprint Backlog'!$M144,0)</f>
        <v>0</v>
      </c>
      <c r="Q65" s="51">
        <f>IF('ProductSprint Backlog'!$L144&gt;Q$2,'ProductSprint Backlog'!$M144,0)</f>
        <v>0</v>
      </c>
      <c r="R65" s="51">
        <f>IF('ProductSprint Backlog'!$L144&gt;R$2,'ProductSprint Backlog'!$M144,0)</f>
        <v>0</v>
      </c>
      <c r="S65" s="51">
        <f>IF('ProductSprint Backlog'!$L144&gt;S$2,'ProductSprint Backlog'!$M144,0)</f>
        <v>0</v>
      </c>
      <c r="T65" s="53"/>
      <c r="U65" s="53"/>
    </row>
    <row r="66" spans="1:21" ht="25.5" x14ac:dyDescent="0.2">
      <c r="A66" s="17" t="s">
        <v>212</v>
      </c>
      <c r="B66" s="51">
        <f>IF('ProductSprint Backlog'!$L145&gt;B$2,'ProductSprint Backlog'!$M145,0)</f>
        <v>1</v>
      </c>
      <c r="C66" s="51">
        <f>IF('ProductSprint Backlog'!$L145&gt;C$2,'ProductSprint Backlog'!$M145,0)</f>
        <v>1</v>
      </c>
      <c r="D66" s="51">
        <f>IF('ProductSprint Backlog'!$L145&gt;D$2,'ProductSprint Backlog'!$M145,0)</f>
        <v>1</v>
      </c>
      <c r="E66" s="51">
        <f>IF('ProductSprint Backlog'!$L145&gt;E$2,'ProductSprint Backlog'!$M145,0)</f>
        <v>1</v>
      </c>
      <c r="F66" s="51">
        <f>IF('ProductSprint Backlog'!$L145&gt;F$2,'ProductSprint Backlog'!$M145,0)</f>
        <v>1</v>
      </c>
      <c r="G66" s="51">
        <f>IF('ProductSprint Backlog'!$L145&gt;G$2,'ProductSprint Backlog'!$M145,0)</f>
        <v>0</v>
      </c>
      <c r="H66" s="51">
        <f>IF('ProductSprint Backlog'!$L145&gt;H$2,'ProductSprint Backlog'!$M145,0)</f>
        <v>0</v>
      </c>
      <c r="I66" s="51">
        <f>IF('ProductSprint Backlog'!$L145&gt;I$2,'ProductSprint Backlog'!$M145,0)</f>
        <v>0</v>
      </c>
      <c r="J66" s="51">
        <f>IF('ProductSprint Backlog'!$L145&gt;J$2,'ProductSprint Backlog'!$M145,0)</f>
        <v>0</v>
      </c>
      <c r="K66" s="51">
        <f>IF('ProductSprint Backlog'!$L145&gt;K$2,'ProductSprint Backlog'!$M145,0)</f>
        <v>0</v>
      </c>
      <c r="L66" s="51">
        <f>IF('ProductSprint Backlog'!$L145&gt;L$2,'ProductSprint Backlog'!$M145,0)</f>
        <v>0</v>
      </c>
      <c r="M66" s="51">
        <f>IF('ProductSprint Backlog'!$L145&gt;M$2,'ProductSprint Backlog'!$M145,0)</f>
        <v>0</v>
      </c>
      <c r="N66" s="51">
        <f>IF('ProductSprint Backlog'!$L145&gt;N$2,'ProductSprint Backlog'!$M145,0)</f>
        <v>0</v>
      </c>
      <c r="O66" s="51">
        <f>IF('ProductSprint Backlog'!$L145&gt;O$2,'ProductSprint Backlog'!$M145,0)</f>
        <v>0</v>
      </c>
      <c r="P66" s="51">
        <f>IF('ProductSprint Backlog'!$L145&gt;P$2,'ProductSprint Backlog'!$M145,0)</f>
        <v>0</v>
      </c>
      <c r="Q66" s="51">
        <f>IF('ProductSprint Backlog'!$L145&gt;Q$2,'ProductSprint Backlog'!$M145,0)</f>
        <v>0</v>
      </c>
      <c r="R66" s="51">
        <f>IF('ProductSprint Backlog'!$L145&gt;R$2,'ProductSprint Backlog'!$M145,0)</f>
        <v>0</v>
      </c>
      <c r="S66" s="51">
        <f>IF('ProductSprint Backlog'!$L145&gt;S$2,'ProductSprint Backlog'!$M145,0)</f>
        <v>0</v>
      </c>
      <c r="T66" s="53"/>
      <c r="U66" s="53"/>
    </row>
    <row r="67" spans="1:21" ht="25.5" x14ac:dyDescent="0.2">
      <c r="A67" s="17" t="s">
        <v>214</v>
      </c>
      <c r="B67" s="51">
        <f>IF('ProductSprint Backlog'!$L146&gt;B$2,'ProductSprint Backlog'!$M146,0)</f>
        <v>1</v>
      </c>
      <c r="C67" s="51">
        <f>IF('ProductSprint Backlog'!$L146&gt;C$2,'ProductSprint Backlog'!$M146,0)</f>
        <v>1</v>
      </c>
      <c r="D67" s="51">
        <f>IF('ProductSprint Backlog'!$L146&gt;D$2,'ProductSprint Backlog'!$M146,0)</f>
        <v>1</v>
      </c>
      <c r="E67" s="51">
        <f>IF('ProductSprint Backlog'!$L146&gt;E$2,'ProductSprint Backlog'!$M146,0)</f>
        <v>1</v>
      </c>
      <c r="F67" s="51">
        <f>IF('ProductSprint Backlog'!$L146&gt;F$2,'ProductSprint Backlog'!$M146,0)</f>
        <v>1</v>
      </c>
      <c r="G67" s="51">
        <f>IF('ProductSprint Backlog'!$L146&gt;G$2,'ProductSprint Backlog'!$M146,0)</f>
        <v>0</v>
      </c>
      <c r="H67" s="51">
        <f>IF('ProductSprint Backlog'!$L146&gt;H$2,'ProductSprint Backlog'!$M146,0)</f>
        <v>0</v>
      </c>
      <c r="I67" s="51">
        <f>IF('ProductSprint Backlog'!$L146&gt;I$2,'ProductSprint Backlog'!$M146,0)</f>
        <v>0</v>
      </c>
      <c r="J67" s="51">
        <f>IF('ProductSprint Backlog'!$L146&gt;J$2,'ProductSprint Backlog'!$M146,0)</f>
        <v>0</v>
      </c>
      <c r="K67" s="51">
        <f>IF('ProductSprint Backlog'!$L146&gt;K$2,'ProductSprint Backlog'!$M146,0)</f>
        <v>0</v>
      </c>
      <c r="L67" s="51">
        <f>IF('ProductSprint Backlog'!$L146&gt;L$2,'ProductSprint Backlog'!$M146,0)</f>
        <v>0</v>
      </c>
      <c r="M67" s="51">
        <f>IF('ProductSprint Backlog'!$L146&gt;M$2,'ProductSprint Backlog'!$M146,0)</f>
        <v>0</v>
      </c>
      <c r="N67" s="51">
        <f>IF('ProductSprint Backlog'!$L146&gt;N$2,'ProductSprint Backlog'!$M146,0)</f>
        <v>0</v>
      </c>
      <c r="O67" s="51">
        <f>IF('ProductSprint Backlog'!$L146&gt;O$2,'ProductSprint Backlog'!$M146,0)</f>
        <v>0</v>
      </c>
      <c r="P67" s="51">
        <f>IF('ProductSprint Backlog'!$L146&gt;P$2,'ProductSprint Backlog'!$M146,0)</f>
        <v>0</v>
      </c>
      <c r="Q67" s="51">
        <f>IF('ProductSprint Backlog'!$L146&gt;Q$2,'ProductSprint Backlog'!$M146,0)</f>
        <v>0</v>
      </c>
      <c r="R67" s="51">
        <f>IF('ProductSprint Backlog'!$L146&gt;R$2,'ProductSprint Backlog'!$M146,0)</f>
        <v>0</v>
      </c>
      <c r="S67" s="51">
        <f>IF('ProductSprint Backlog'!$L146&gt;S$2,'ProductSprint Backlog'!$M146,0)</f>
        <v>0</v>
      </c>
      <c r="T67" s="53"/>
      <c r="U67" s="53"/>
    </row>
    <row r="68" spans="1:21" ht="38.25" x14ac:dyDescent="0.2">
      <c r="A68" s="17" t="s">
        <v>217</v>
      </c>
      <c r="B68" s="51">
        <f>IF('ProductSprint Backlog'!$L147&gt;B$2,'ProductSprint Backlog'!$M147,0)</f>
        <v>0.5</v>
      </c>
      <c r="C68" s="51">
        <f>IF('ProductSprint Backlog'!$L147&gt;C$2,'ProductSprint Backlog'!$M147,0)</f>
        <v>0.5</v>
      </c>
      <c r="D68" s="51">
        <f>IF('ProductSprint Backlog'!$L147&gt;D$2,'ProductSprint Backlog'!$M147,0)</f>
        <v>0.5</v>
      </c>
      <c r="E68" s="51">
        <f>IF('ProductSprint Backlog'!$L147&gt;E$2,'ProductSprint Backlog'!$M147,0)</f>
        <v>0.5</v>
      </c>
      <c r="F68" s="51">
        <f>IF('ProductSprint Backlog'!$L147&gt;F$2,'ProductSprint Backlog'!$M147,0)</f>
        <v>0.5</v>
      </c>
      <c r="G68" s="51">
        <f>IF('ProductSprint Backlog'!$L147&gt;G$2,'ProductSprint Backlog'!$M147,0)</f>
        <v>0.5</v>
      </c>
      <c r="H68" s="51">
        <f>IF('ProductSprint Backlog'!$L147&gt;H$2,'ProductSprint Backlog'!$M147,0)</f>
        <v>0</v>
      </c>
      <c r="I68" s="51">
        <f>IF('ProductSprint Backlog'!$L147&gt;I$2,'ProductSprint Backlog'!$M147,0)</f>
        <v>0</v>
      </c>
      <c r="J68" s="51">
        <f>IF('ProductSprint Backlog'!$L147&gt;J$2,'ProductSprint Backlog'!$M147,0)</f>
        <v>0</v>
      </c>
      <c r="K68" s="51">
        <f>IF('ProductSprint Backlog'!$L147&gt;K$2,'ProductSprint Backlog'!$M147,0)</f>
        <v>0</v>
      </c>
      <c r="L68" s="51">
        <f>IF('ProductSprint Backlog'!$L147&gt;L$2,'ProductSprint Backlog'!$M147,0)</f>
        <v>0</v>
      </c>
      <c r="M68" s="51">
        <f>IF('ProductSprint Backlog'!$L147&gt;M$2,'ProductSprint Backlog'!$M147,0)</f>
        <v>0</v>
      </c>
      <c r="N68" s="51">
        <f>IF('ProductSprint Backlog'!$L147&gt;N$2,'ProductSprint Backlog'!$M147,0)</f>
        <v>0</v>
      </c>
      <c r="O68" s="51">
        <f>IF('ProductSprint Backlog'!$L147&gt;O$2,'ProductSprint Backlog'!$M147,0)</f>
        <v>0</v>
      </c>
      <c r="P68" s="51">
        <f>IF('ProductSprint Backlog'!$L147&gt;P$2,'ProductSprint Backlog'!$M147,0)</f>
        <v>0</v>
      </c>
      <c r="Q68" s="51">
        <f>IF('ProductSprint Backlog'!$L147&gt;Q$2,'ProductSprint Backlog'!$M147,0)</f>
        <v>0</v>
      </c>
      <c r="R68" s="51">
        <f>IF('ProductSprint Backlog'!$L147&gt;R$2,'ProductSprint Backlog'!$M147,0)</f>
        <v>0</v>
      </c>
      <c r="S68" s="51">
        <f>IF('ProductSprint Backlog'!$L147&gt;S$2,'ProductSprint Backlog'!$M147,0)</f>
        <v>0</v>
      </c>
      <c r="T68" s="53"/>
      <c r="U68" s="53"/>
    </row>
    <row r="69" spans="1:21" ht="25.5" x14ac:dyDescent="0.2">
      <c r="A69" s="17" t="s">
        <v>212</v>
      </c>
      <c r="B69" s="51">
        <f>IF('ProductSprint Backlog'!$L148&gt;B$2,'ProductSprint Backlog'!$M148,0)</f>
        <v>0.5</v>
      </c>
      <c r="C69" s="51">
        <f>IF('ProductSprint Backlog'!$L148&gt;C$2,'ProductSprint Backlog'!$M148,0)</f>
        <v>0.5</v>
      </c>
      <c r="D69" s="51">
        <f>IF('ProductSprint Backlog'!$L148&gt;D$2,'ProductSprint Backlog'!$M148,0)</f>
        <v>0.5</v>
      </c>
      <c r="E69" s="51">
        <f>IF('ProductSprint Backlog'!$L148&gt;E$2,'ProductSprint Backlog'!$M148,0)</f>
        <v>0.5</v>
      </c>
      <c r="F69" s="51">
        <f>IF('ProductSprint Backlog'!$L148&gt;F$2,'ProductSprint Backlog'!$M148,0)</f>
        <v>0.5</v>
      </c>
      <c r="G69" s="51">
        <f>IF('ProductSprint Backlog'!$L148&gt;G$2,'ProductSprint Backlog'!$M148,0)</f>
        <v>0.5</v>
      </c>
      <c r="H69" s="51">
        <f>IF('ProductSprint Backlog'!$L148&gt;H$2,'ProductSprint Backlog'!$M148,0)</f>
        <v>0</v>
      </c>
      <c r="I69" s="51">
        <f>IF('ProductSprint Backlog'!$L148&gt;I$2,'ProductSprint Backlog'!$M148,0)</f>
        <v>0</v>
      </c>
      <c r="J69" s="51">
        <f>IF('ProductSprint Backlog'!$L148&gt;J$2,'ProductSprint Backlog'!$M148,0)</f>
        <v>0</v>
      </c>
      <c r="K69" s="51">
        <f>IF('ProductSprint Backlog'!$L148&gt;K$2,'ProductSprint Backlog'!$M148,0)</f>
        <v>0</v>
      </c>
      <c r="L69" s="51">
        <f>IF('ProductSprint Backlog'!$L148&gt;L$2,'ProductSprint Backlog'!$M148,0)</f>
        <v>0</v>
      </c>
      <c r="M69" s="51">
        <f>IF('ProductSprint Backlog'!$L148&gt;M$2,'ProductSprint Backlog'!$M148,0)</f>
        <v>0</v>
      </c>
      <c r="N69" s="51">
        <f>IF('ProductSprint Backlog'!$L148&gt;N$2,'ProductSprint Backlog'!$M148,0)</f>
        <v>0</v>
      </c>
      <c r="O69" s="51">
        <f>IF('ProductSprint Backlog'!$L148&gt;O$2,'ProductSprint Backlog'!$M148,0)</f>
        <v>0</v>
      </c>
      <c r="P69" s="51">
        <f>IF('ProductSprint Backlog'!$L148&gt;P$2,'ProductSprint Backlog'!$M148,0)</f>
        <v>0</v>
      </c>
      <c r="Q69" s="51">
        <f>IF('ProductSprint Backlog'!$L148&gt;Q$2,'ProductSprint Backlog'!$M148,0)</f>
        <v>0</v>
      </c>
      <c r="R69" s="51">
        <f>IF('ProductSprint Backlog'!$L148&gt;R$2,'ProductSprint Backlog'!$M148,0)</f>
        <v>0</v>
      </c>
      <c r="S69" s="51">
        <f>IF('ProductSprint Backlog'!$L148&gt;S$2,'ProductSprint Backlog'!$M148,0)</f>
        <v>0</v>
      </c>
      <c r="T69" s="53"/>
      <c r="U69" s="53"/>
    </row>
    <row r="70" spans="1:21" ht="25.5" x14ac:dyDescent="0.2">
      <c r="A70" s="17" t="s">
        <v>214</v>
      </c>
      <c r="B70" s="51">
        <f>IF('ProductSprint Backlog'!$L149&gt;B$2,'ProductSprint Backlog'!$M149,0)</f>
        <v>0.5</v>
      </c>
      <c r="C70" s="51">
        <f>IF('ProductSprint Backlog'!$L149&gt;C$2,'ProductSprint Backlog'!$M149,0)</f>
        <v>0.5</v>
      </c>
      <c r="D70" s="51">
        <f>IF('ProductSprint Backlog'!$L149&gt;D$2,'ProductSprint Backlog'!$M149,0)</f>
        <v>0.5</v>
      </c>
      <c r="E70" s="51">
        <f>IF('ProductSprint Backlog'!$L149&gt;E$2,'ProductSprint Backlog'!$M149,0)</f>
        <v>0.5</v>
      </c>
      <c r="F70" s="51">
        <f>IF('ProductSprint Backlog'!$L149&gt;F$2,'ProductSprint Backlog'!$M149,0)</f>
        <v>0.5</v>
      </c>
      <c r="G70" s="51">
        <f>IF('ProductSprint Backlog'!$L149&gt;G$2,'ProductSprint Backlog'!$M149,0)</f>
        <v>0.5</v>
      </c>
      <c r="H70" s="51">
        <f>IF('ProductSprint Backlog'!$L149&gt;H$2,'ProductSprint Backlog'!$M149,0)</f>
        <v>0</v>
      </c>
      <c r="I70" s="51">
        <f>IF('ProductSprint Backlog'!$L149&gt;I$2,'ProductSprint Backlog'!$M149,0)</f>
        <v>0</v>
      </c>
      <c r="J70" s="51">
        <f>IF('ProductSprint Backlog'!$L149&gt;J$2,'ProductSprint Backlog'!$M149,0)</f>
        <v>0</v>
      </c>
      <c r="K70" s="51">
        <f>IF('ProductSprint Backlog'!$L149&gt;K$2,'ProductSprint Backlog'!$M149,0)</f>
        <v>0</v>
      </c>
      <c r="L70" s="51">
        <f>IF('ProductSprint Backlog'!$L149&gt;L$2,'ProductSprint Backlog'!$M149,0)</f>
        <v>0</v>
      </c>
      <c r="M70" s="51">
        <f>IF('ProductSprint Backlog'!$L149&gt;M$2,'ProductSprint Backlog'!$M149,0)</f>
        <v>0</v>
      </c>
      <c r="N70" s="51">
        <f>IF('ProductSprint Backlog'!$L149&gt;N$2,'ProductSprint Backlog'!$M149,0)</f>
        <v>0</v>
      </c>
      <c r="O70" s="51">
        <f>IF('ProductSprint Backlog'!$L149&gt;O$2,'ProductSprint Backlog'!$M149,0)</f>
        <v>0</v>
      </c>
      <c r="P70" s="51">
        <f>IF('ProductSprint Backlog'!$L149&gt;P$2,'ProductSprint Backlog'!$M149,0)</f>
        <v>0</v>
      </c>
      <c r="Q70" s="51">
        <f>IF('ProductSprint Backlog'!$L149&gt;Q$2,'ProductSprint Backlog'!$M149,0)</f>
        <v>0</v>
      </c>
      <c r="R70" s="51">
        <f>IF('ProductSprint Backlog'!$L149&gt;R$2,'ProductSprint Backlog'!$M149,0)</f>
        <v>0</v>
      </c>
      <c r="S70" s="51">
        <f>IF('ProductSprint Backlog'!$L149&gt;S$2,'ProductSprint Backlog'!$M149,0)</f>
        <v>0</v>
      </c>
      <c r="T70" s="53"/>
      <c r="U70" s="53"/>
    </row>
    <row r="71" spans="1:21" ht="38.25" x14ac:dyDescent="0.2">
      <c r="A71" s="17" t="s">
        <v>220</v>
      </c>
      <c r="B71" s="51">
        <f>IF('ProductSprint Backlog'!$L150&gt;B$2,'ProductSprint Backlog'!$M150,0)</f>
        <v>0.5</v>
      </c>
      <c r="C71" s="51">
        <f>IF('ProductSprint Backlog'!$L150&gt;C$2,'ProductSprint Backlog'!$M150,0)</f>
        <v>0.5</v>
      </c>
      <c r="D71" s="51">
        <f>IF('ProductSprint Backlog'!$L150&gt;D$2,'ProductSprint Backlog'!$M150,0)</f>
        <v>0.5</v>
      </c>
      <c r="E71" s="51">
        <f>IF('ProductSprint Backlog'!$L150&gt;E$2,'ProductSprint Backlog'!$M150,0)</f>
        <v>0.5</v>
      </c>
      <c r="F71" s="51">
        <f>IF('ProductSprint Backlog'!$L150&gt;F$2,'ProductSprint Backlog'!$M150,0)</f>
        <v>0.5</v>
      </c>
      <c r="G71" s="51">
        <f>IF('ProductSprint Backlog'!$L150&gt;G$2,'ProductSprint Backlog'!$M150,0)</f>
        <v>0.5</v>
      </c>
      <c r="H71" s="51">
        <f>IF('ProductSprint Backlog'!$L150&gt;H$2,'ProductSprint Backlog'!$M150,0)</f>
        <v>0</v>
      </c>
      <c r="I71" s="51">
        <f>IF('ProductSprint Backlog'!$L150&gt;I$2,'ProductSprint Backlog'!$M150,0)</f>
        <v>0</v>
      </c>
      <c r="J71" s="51">
        <f>IF('ProductSprint Backlog'!$L150&gt;J$2,'ProductSprint Backlog'!$M150,0)</f>
        <v>0</v>
      </c>
      <c r="K71" s="51">
        <f>IF('ProductSprint Backlog'!$L150&gt;K$2,'ProductSprint Backlog'!$M150,0)</f>
        <v>0</v>
      </c>
      <c r="L71" s="51">
        <f>IF('ProductSprint Backlog'!$L150&gt;L$2,'ProductSprint Backlog'!$M150,0)</f>
        <v>0</v>
      </c>
      <c r="M71" s="51">
        <f>IF('ProductSprint Backlog'!$L150&gt;M$2,'ProductSprint Backlog'!$M150,0)</f>
        <v>0</v>
      </c>
      <c r="N71" s="51">
        <f>IF('ProductSprint Backlog'!$L150&gt;N$2,'ProductSprint Backlog'!$M150,0)</f>
        <v>0</v>
      </c>
      <c r="O71" s="51">
        <f>IF('ProductSprint Backlog'!$L150&gt;O$2,'ProductSprint Backlog'!$M150,0)</f>
        <v>0</v>
      </c>
      <c r="P71" s="51">
        <f>IF('ProductSprint Backlog'!$L150&gt;P$2,'ProductSprint Backlog'!$M150,0)</f>
        <v>0</v>
      </c>
      <c r="Q71" s="51">
        <f>IF('ProductSprint Backlog'!$L150&gt;Q$2,'ProductSprint Backlog'!$M150,0)</f>
        <v>0</v>
      </c>
      <c r="R71" s="51">
        <f>IF('ProductSprint Backlog'!$L150&gt;R$2,'ProductSprint Backlog'!$M150,0)</f>
        <v>0</v>
      </c>
      <c r="S71" s="51">
        <f>IF('ProductSprint Backlog'!$L150&gt;S$2,'ProductSprint Backlog'!$M150,0)</f>
        <v>0</v>
      </c>
      <c r="T71" s="53"/>
      <c r="U71" s="53"/>
    </row>
    <row r="72" spans="1:21" ht="25.5" x14ac:dyDescent="0.2">
      <c r="A72" s="17" t="s">
        <v>212</v>
      </c>
      <c r="B72" s="51">
        <f>IF('ProductSprint Backlog'!$L151&gt;B$2,'ProductSprint Backlog'!$M151,0)</f>
        <v>0.5</v>
      </c>
      <c r="C72" s="51">
        <f>IF('ProductSprint Backlog'!$L151&gt;C$2,'ProductSprint Backlog'!$M151,0)</f>
        <v>0.5</v>
      </c>
      <c r="D72" s="51">
        <f>IF('ProductSprint Backlog'!$L151&gt;D$2,'ProductSprint Backlog'!$M151,0)</f>
        <v>0.5</v>
      </c>
      <c r="E72" s="51">
        <f>IF('ProductSprint Backlog'!$L151&gt;E$2,'ProductSprint Backlog'!$M151,0)</f>
        <v>0.5</v>
      </c>
      <c r="F72" s="51">
        <f>IF('ProductSprint Backlog'!$L151&gt;F$2,'ProductSprint Backlog'!$M151,0)</f>
        <v>0.5</v>
      </c>
      <c r="G72" s="51">
        <f>IF('ProductSprint Backlog'!$L151&gt;G$2,'ProductSprint Backlog'!$M151,0)</f>
        <v>0.5</v>
      </c>
      <c r="H72" s="51">
        <f>IF('ProductSprint Backlog'!$L151&gt;H$2,'ProductSprint Backlog'!$M151,0)</f>
        <v>0</v>
      </c>
      <c r="I72" s="51">
        <f>IF('ProductSprint Backlog'!$L151&gt;I$2,'ProductSprint Backlog'!$M151,0)</f>
        <v>0</v>
      </c>
      <c r="J72" s="51">
        <f>IF('ProductSprint Backlog'!$L151&gt;J$2,'ProductSprint Backlog'!$M151,0)</f>
        <v>0</v>
      </c>
      <c r="K72" s="51">
        <f>IF('ProductSprint Backlog'!$L151&gt;K$2,'ProductSprint Backlog'!$M151,0)</f>
        <v>0</v>
      </c>
      <c r="L72" s="51">
        <f>IF('ProductSprint Backlog'!$L151&gt;L$2,'ProductSprint Backlog'!$M151,0)</f>
        <v>0</v>
      </c>
      <c r="M72" s="51">
        <f>IF('ProductSprint Backlog'!$L151&gt;M$2,'ProductSprint Backlog'!$M151,0)</f>
        <v>0</v>
      </c>
      <c r="N72" s="51">
        <f>IF('ProductSprint Backlog'!$L151&gt;N$2,'ProductSprint Backlog'!$M151,0)</f>
        <v>0</v>
      </c>
      <c r="O72" s="51">
        <f>IF('ProductSprint Backlog'!$L151&gt;O$2,'ProductSprint Backlog'!$M151,0)</f>
        <v>0</v>
      </c>
      <c r="P72" s="51">
        <f>IF('ProductSprint Backlog'!$L151&gt;P$2,'ProductSprint Backlog'!$M151,0)</f>
        <v>0</v>
      </c>
      <c r="Q72" s="51">
        <f>IF('ProductSprint Backlog'!$L151&gt;Q$2,'ProductSprint Backlog'!$M151,0)</f>
        <v>0</v>
      </c>
      <c r="R72" s="51">
        <f>IF('ProductSprint Backlog'!$L151&gt;R$2,'ProductSprint Backlog'!$M151,0)</f>
        <v>0</v>
      </c>
      <c r="S72" s="51">
        <f>IF('ProductSprint Backlog'!$L151&gt;S$2,'ProductSprint Backlog'!$M151,0)</f>
        <v>0</v>
      </c>
      <c r="T72" s="53"/>
      <c r="U72" s="53"/>
    </row>
    <row r="73" spans="1:21" ht="25.5" x14ac:dyDescent="0.2">
      <c r="A73" s="17" t="s">
        <v>214</v>
      </c>
      <c r="B73" s="51">
        <f>IF('ProductSprint Backlog'!$L152&gt;B$2,'ProductSprint Backlog'!$M152,0)</f>
        <v>0.5</v>
      </c>
      <c r="C73" s="51">
        <f>IF('ProductSprint Backlog'!$L152&gt;C$2,'ProductSprint Backlog'!$M152,0)</f>
        <v>0.5</v>
      </c>
      <c r="D73" s="51">
        <f>IF('ProductSprint Backlog'!$L152&gt;D$2,'ProductSprint Backlog'!$M152,0)</f>
        <v>0.5</v>
      </c>
      <c r="E73" s="51">
        <f>IF('ProductSprint Backlog'!$L152&gt;E$2,'ProductSprint Backlog'!$M152,0)</f>
        <v>0.5</v>
      </c>
      <c r="F73" s="51">
        <f>IF('ProductSprint Backlog'!$L152&gt;F$2,'ProductSprint Backlog'!$M152,0)</f>
        <v>0.5</v>
      </c>
      <c r="G73" s="51">
        <f>IF('ProductSprint Backlog'!$L152&gt;G$2,'ProductSprint Backlog'!$M152,0)</f>
        <v>0.5</v>
      </c>
      <c r="H73" s="51">
        <f>IF('ProductSprint Backlog'!$L152&gt;H$2,'ProductSprint Backlog'!$M152,0)</f>
        <v>0</v>
      </c>
      <c r="I73" s="51">
        <f>IF('ProductSprint Backlog'!$L152&gt;I$2,'ProductSprint Backlog'!$M152,0)</f>
        <v>0</v>
      </c>
      <c r="J73" s="51">
        <f>IF('ProductSprint Backlog'!$L152&gt;J$2,'ProductSprint Backlog'!$M152,0)</f>
        <v>0</v>
      </c>
      <c r="K73" s="51">
        <f>IF('ProductSprint Backlog'!$L152&gt;K$2,'ProductSprint Backlog'!$M152,0)</f>
        <v>0</v>
      </c>
      <c r="L73" s="51">
        <f>IF('ProductSprint Backlog'!$L152&gt;L$2,'ProductSprint Backlog'!$M152,0)</f>
        <v>0</v>
      </c>
      <c r="M73" s="51">
        <f>IF('ProductSprint Backlog'!$L152&gt;M$2,'ProductSprint Backlog'!$M152,0)</f>
        <v>0</v>
      </c>
      <c r="N73" s="51">
        <f>IF('ProductSprint Backlog'!$L152&gt;N$2,'ProductSprint Backlog'!$M152,0)</f>
        <v>0</v>
      </c>
      <c r="O73" s="51">
        <f>IF('ProductSprint Backlog'!$L152&gt;O$2,'ProductSprint Backlog'!$M152,0)</f>
        <v>0</v>
      </c>
      <c r="P73" s="51">
        <f>IF('ProductSprint Backlog'!$L152&gt;P$2,'ProductSprint Backlog'!$M152,0)</f>
        <v>0</v>
      </c>
      <c r="Q73" s="51">
        <f>IF('ProductSprint Backlog'!$L152&gt;Q$2,'ProductSprint Backlog'!$M152,0)</f>
        <v>0</v>
      </c>
      <c r="R73" s="51">
        <f>IF('ProductSprint Backlog'!$L152&gt;R$2,'ProductSprint Backlog'!$M152,0)</f>
        <v>0</v>
      </c>
      <c r="S73" s="51">
        <f>IF('ProductSprint Backlog'!$L152&gt;S$2,'ProductSprint Backlog'!$M152,0)</f>
        <v>0</v>
      </c>
      <c r="T73" s="53"/>
      <c r="U73" s="53"/>
    </row>
    <row r="74" spans="1:21" ht="38.25" x14ac:dyDescent="0.2">
      <c r="A74" s="17" t="s">
        <v>222</v>
      </c>
      <c r="B74" s="51">
        <f>IF('ProductSprint Backlog'!$L153&gt;B$2,'ProductSprint Backlog'!$M153,0)</f>
        <v>1</v>
      </c>
      <c r="C74" s="51">
        <f>IF('ProductSprint Backlog'!$L153&gt;C$2,'ProductSprint Backlog'!$M153,0)</f>
        <v>1</v>
      </c>
      <c r="D74" s="51">
        <f>IF('ProductSprint Backlog'!$L153&gt;D$2,'ProductSprint Backlog'!$M153,0)</f>
        <v>1</v>
      </c>
      <c r="E74" s="51">
        <f>IF('ProductSprint Backlog'!$L153&gt;E$2,'ProductSprint Backlog'!$M153,0)</f>
        <v>1</v>
      </c>
      <c r="F74" s="51">
        <f>IF('ProductSprint Backlog'!$L153&gt;F$2,'ProductSprint Backlog'!$M153,0)</f>
        <v>1</v>
      </c>
      <c r="G74" s="51">
        <f>IF('ProductSprint Backlog'!$L153&gt;G$2,'ProductSprint Backlog'!$M153,0)</f>
        <v>1</v>
      </c>
      <c r="H74" s="51">
        <f>IF('ProductSprint Backlog'!$L153&gt;H$2,'ProductSprint Backlog'!$M153,0)</f>
        <v>1</v>
      </c>
      <c r="I74" s="51">
        <f>IF('ProductSprint Backlog'!$L153&gt;I$2,'ProductSprint Backlog'!$M153,0)</f>
        <v>0</v>
      </c>
      <c r="J74" s="51">
        <f>IF('ProductSprint Backlog'!$L153&gt;J$2,'ProductSprint Backlog'!$M153,0)</f>
        <v>0</v>
      </c>
      <c r="K74" s="51">
        <f>IF('ProductSprint Backlog'!$L153&gt;K$2,'ProductSprint Backlog'!$M153,0)</f>
        <v>0</v>
      </c>
      <c r="L74" s="51">
        <f>IF('ProductSprint Backlog'!$L153&gt;L$2,'ProductSprint Backlog'!$M153,0)</f>
        <v>0</v>
      </c>
      <c r="M74" s="51">
        <f>IF('ProductSprint Backlog'!$L153&gt;M$2,'ProductSprint Backlog'!$M153,0)</f>
        <v>0</v>
      </c>
      <c r="N74" s="51">
        <f>IF('ProductSprint Backlog'!$L153&gt;N$2,'ProductSprint Backlog'!$M153,0)</f>
        <v>0</v>
      </c>
      <c r="O74" s="51">
        <f>IF('ProductSprint Backlog'!$L153&gt;O$2,'ProductSprint Backlog'!$M153,0)</f>
        <v>0</v>
      </c>
      <c r="P74" s="51">
        <f>IF('ProductSprint Backlog'!$L153&gt;P$2,'ProductSprint Backlog'!$M153,0)</f>
        <v>0</v>
      </c>
      <c r="Q74" s="51">
        <f>IF('ProductSprint Backlog'!$L153&gt;Q$2,'ProductSprint Backlog'!$M153,0)</f>
        <v>0</v>
      </c>
      <c r="R74" s="51">
        <f>IF('ProductSprint Backlog'!$L153&gt;R$2,'ProductSprint Backlog'!$M153,0)</f>
        <v>0</v>
      </c>
      <c r="S74" s="51">
        <f>IF('ProductSprint Backlog'!$L153&gt;S$2,'ProductSprint Backlog'!$M153,0)</f>
        <v>0</v>
      </c>
      <c r="T74" s="53"/>
      <c r="U74" s="53"/>
    </row>
    <row r="75" spans="1:21" ht="25.5" x14ac:dyDescent="0.2">
      <c r="A75" s="17" t="s">
        <v>212</v>
      </c>
      <c r="B75" s="51">
        <f>IF('ProductSprint Backlog'!$L154&gt;B$2,'ProductSprint Backlog'!$M154,0)</f>
        <v>1</v>
      </c>
      <c r="C75" s="51">
        <f>IF('ProductSprint Backlog'!$L154&gt;C$2,'ProductSprint Backlog'!$M154,0)</f>
        <v>1</v>
      </c>
      <c r="D75" s="51">
        <f>IF('ProductSprint Backlog'!$L154&gt;D$2,'ProductSprint Backlog'!$M154,0)</f>
        <v>1</v>
      </c>
      <c r="E75" s="51">
        <f>IF('ProductSprint Backlog'!$L154&gt;E$2,'ProductSprint Backlog'!$M154,0)</f>
        <v>1</v>
      </c>
      <c r="F75" s="51">
        <f>IF('ProductSprint Backlog'!$L154&gt;F$2,'ProductSprint Backlog'!$M154,0)</f>
        <v>1</v>
      </c>
      <c r="G75" s="51">
        <f>IF('ProductSprint Backlog'!$L154&gt;G$2,'ProductSprint Backlog'!$M154,0)</f>
        <v>1</v>
      </c>
      <c r="H75" s="51">
        <f>IF('ProductSprint Backlog'!$L154&gt;H$2,'ProductSprint Backlog'!$M154,0)</f>
        <v>1</v>
      </c>
      <c r="I75" s="51">
        <f>IF('ProductSprint Backlog'!$L154&gt;I$2,'ProductSprint Backlog'!$M154,0)</f>
        <v>0</v>
      </c>
      <c r="J75" s="51">
        <f>IF('ProductSprint Backlog'!$L154&gt;J$2,'ProductSprint Backlog'!$M154,0)</f>
        <v>0</v>
      </c>
      <c r="K75" s="51">
        <f>IF('ProductSprint Backlog'!$L154&gt;K$2,'ProductSprint Backlog'!$M154,0)</f>
        <v>0</v>
      </c>
      <c r="L75" s="51">
        <f>IF('ProductSprint Backlog'!$L154&gt;L$2,'ProductSprint Backlog'!$M154,0)</f>
        <v>0</v>
      </c>
      <c r="M75" s="51">
        <f>IF('ProductSprint Backlog'!$L154&gt;M$2,'ProductSprint Backlog'!$M154,0)</f>
        <v>0</v>
      </c>
      <c r="N75" s="51">
        <f>IF('ProductSprint Backlog'!$L154&gt;N$2,'ProductSprint Backlog'!$M154,0)</f>
        <v>0</v>
      </c>
      <c r="O75" s="51">
        <f>IF('ProductSprint Backlog'!$L154&gt;O$2,'ProductSprint Backlog'!$M154,0)</f>
        <v>0</v>
      </c>
      <c r="P75" s="51">
        <f>IF('ProductSprint Backlog'!$L154&gt;P$2,'ProductSprint Backlog'!$M154,0)</f>
        <v>0</v>
      </c>
      <c r="Q75" s="51">
        <f>IF('ProductSprint Backlog'!$L154&gt;Q$2,'ProductSprint Backlog'!$M154,0)</f>
        <v>0</v>
      </c>
      <c r="R75" s="51">
        <f>IF('ProductSprint Backlog'!$L154&gt;R$2,'ProductSprint Backlog'!$M154,0)</f>
        <v>0</v>
      </c>
      <c r="S75" s="51">
        <f>IF('ProductSprint Backlog'!$L154&gt;S$2,'ProductSprint Backlog'!$M154,0)</f>
        <v>0</v>
      </c>
      <c r="T75" s="53"/>
      <c r="U75" s="53"/>
    </row>
    <row r="76" spans="1:21" ht="25.5" x14ac:dyDescent="0.2">
      <c r="A76" s="17" t="s">
        <v>214</v>
      </c>
      <c r="B76" s="51">
        <f>IF('ProductSprint Backlog'!$L155&gt;B$2,'ProductSprint Backlog'!$M155,0)</f>
        <v>0.5</v>
      </c>
      <c r="C76" s="51">
        <f>IF('ProductSprint Backlog'!$L155&gt;C$2,'ProductSprint Backlog'!$M155,0)</f>
        <v>0.5</v>
      </c>
      <c r="D76" s="51">
        <f>IF('ProductSprint Backlog'!$L155&gt;D$2,'ProductSprint Backlog'!$M155,0)</f>
        <v>0.5</v>
      </c>
      <c r="E76" s="51">
        <f>IF('ProductSprint Backlog'!$L155&gt;E$2,'ProductSprint Backlog'!$M155,0)</f>
        <v>0.5</v>
      </c>
      <c r="F76" s="51">
        <f>IF('ProductSprint Backlog'!$L155&gt;F$2,'ProductSprint Backlog'!$M155,0)</f>
        <v>0.5</v>
      </c>
      <c r="G76" s="51">
        <f>IF('ProductSprint Backlog'!$L155&gt;G$2,'ProductSprint Backlog'!$M155,0)</f>
        <v>0.5</v>
      </c>
      <c r="H76" s="51">
        <f>IF('ProductSprint Backlog'!$L155&gt;H$2,'ProductSprint Backlog'!$M155,0)</f>
        <v>0.5</v>
      </c>
      <c r="I76" s="51">
        <f>IF('ProductSprint Backlog'!$L155&gt;I$2,'ProductSprint Backlog'!$M155,0)</f>
        <v>0</v>
      </c>
      <c r="J76" s="51">
        <f>IF('ProductSprint Backlog'!$L155&gt;J$2,'ProductSprint Backlog'!$M155,0)</f>
        <v>0</v>
      </c>
      <c r="K76" s="51">
        <f>IF('ProductSprint Backlog'!$L155&gt;K$2,'ProductSprint Backlog'!$M155,0)</f>
        <v>0</v>
      </c>
      <c r="L76" s="51">
        <f>IF('ProductSprint Backlog'!$L155&gt;L$2,'ProductSprint Backlog'!$M155,0)</f>
        <v>0</v>
      </c>
      <c r="M76" s="51">
        <f>IF('ProductSprint Backlog'!$L155&gt;M$2,'ProductSprint Backlog'!$M155,0)</f>
        <v>0</v>
      </c>
      <c r="N76" s="51">
        <f>IF('ProductSprint Backlog'!$L155&gt;N$2,'ProductSprint Backlog'!$M155,0)</f>
        <v>0</v>
      </c>
      <c r="O76" s="51">
        <f>IF('ProductSprint Backlog'!$L155&gt;O$2,'ProductSprint Backlog'!$M155,0)</f>
        <v>0</v>
      </c>
      <c r="P76" s="51">
        <f>IF('ProductSprint Backlog'!$L155&gt;P$2,'ProductSprint Backlog'!$M155,0)</f>
        <v>0</v>
      </c>
      <c r="Q76" s="51">
        <f>IF('ProductSprint Backlog'!$L155&gt;Q$2,'ProductSprint Backlog'!$M155,0)</f>
        <v>0</v>
      </c>
      <c r="R76" s="51">
        <f>IF('ProductSprint Backlog'!$L155&gt;R$2,'ProductSprint Backlog'!$M155,0)</f>
        <v>0</v>
      </c>
      <c r="S76" s="51">
        <f>IF('ProductSprint Backlog'!$L155&gt;S$2,'ProductSprint Backlog'!$M155,0)</f>
        <v>0</v>
      </c>
      <c r="T76" s="53"/>
      <c r="U76" s="53"/>
    </row>
    <row r="77" spans="1:21" ht="38.25" x14ac:dyDescent="0.2">
      <c r="A77" s="17" t="s">
        <v>224</v>
      </c>
      <c r="B77" s="51">
        <f>IF('ProductSprint Backlog'!$L156&gt;B$2,'ProductSprint Backlog'!$M156,0)</f>
        <v>1</v>
      </c>
      <c r="C77" s="51">
        <f>IF('ProductSprint Backlog'!$L156&gt;C$2,'ProductSprint Backlog'!$M156,0)</f>
        <v>1</v>
      </c>
      <c r="D77" s="51">
        <f>IF('ProductSprint Backlog'!$L156&gt;D$2,'ProductSprint Backlog'!$M156,0)</f>
        <v>1</v>
      </c>
      <c r="E77" s="51">
        <f>IF('ProductSprint Backlog'!$L156&gt;E$2,'ProductSprint Backlog'!$M156,0)</f>
        <v>1</v>
      </c>
      <c r="F77" s="51">
        <f>IF('ProductSprint Backlog'!$L156&gt;F$2,'ProductSprint Backlog'!$M156,0)</f>
        <v>1</v>
      </c>
      <c r="G77" s="51">
        <f>IF('ProductSprint Backlog'!$L156&gt;G$2,'ProductSprint Backlog'!$M156,0)</f>
        <v>1</v>
      </c>
      <c r="H77" s="51">
        <f>IF('ProductSprint Backlog'!$L156&gt;H$2,'ProductSprint Backlog'!$M156,0)</f>
        <v>1</v>
      </c>
      <c r="I77" s="51">
        <f>IF('ProductSprint Backlog'!$L156&gt;I$2,'ProductSprint Backlog'!$M156,0)</f>
        <v>0</v>
      </c>
      <c r="J77" s="51">
        <f>IF('ProductSprint Backlog'!$L156&gt;J$2,'ProductSprint Backlog'!$M156,0)</f>
        <v>0</v>
      </c>
      <c r="K77" s="51">
        <f>IF('ProductSprint Backlog'!$L156&gt;K$2,'ProductSprint Backlog'!$M156,0)</f>
        <v>0</v>
      </c>
      <c r="L77" s="51">
        <f>IF('ProductSprint Backlog'!$L156&gt;L$2,'ProductSprint Backlog'!$M156,0)</f>
        <v>0</v>
      </c>
      <c r="M77" s="51">
        <f>IF('ProductSprint Backlog'!$L156&gt;M$2,'ProductSprint Backlog'!$M156,0)</f>
        <v>0</v>
      </c>
      <c r="N77" s="51">
        <f>IF('ProductSprint Backlog'!$L156&gt;N$2,'ProductSprint Backlog'!$M156,0)</f>
        <v>0</v>
      </c>
      <c r="O77" s="51">
        <f>IF('ProductSprint Backlog'!$L156&gt;O$2,'ProductSprint Backlog'!$M156,0)</f>
        <v>0</v>
      </c>
      <c r="P77" s="51">
        <f>IF('ProductSprint Backlog'!$L156&gt;P$2,'ProductSprint Backlog'!$M156,0)</f>
        <v>0</v>
      </c>
      <c r="Q77" s="51">
        <f>IF('ProductSprint Backlog'!$L156&gt;Q$2,'ProductSprint Backlog'!$M156,0)</f>
        <v>0</v>
      </c>
      <c r="R77" s="51">
        <f>IF('ProductSprint Backlog'!$L156&gt;R$2,'ProductSprint Backlog'!$M156,0)</f>
        <v>0</v>
      </c>
      <c r="S77" s="51">
        <f>IF('ProductSprint Backlog'!$L156&gt;S$2,'ProductSprint Backlog'!$M156,0)</f>
        <v>0</v>
      </c>
      <c r="T77" s="53"/>
      <c r="U77" s="53"/>
    </row>
    <row r="78" spans="1:21" ht="25.5" x14ac:dyDescent="0.2">
      <c r="A78" s="17" t="s">
        <v>212</v>
      </c>
      <c r="B78" s="51">
        <f>IF('ProductSprint Backlog'!$L157&gt;B$2,'ProductSprint Backlog'!$M157,0)</f>
        <v>1</v>
      </c>
      <c r="C78" s="51">
        <f>IF('ProductSprint Backlog'!$L157&gt;C$2,'ProductSprint Backlog'!$M157,0)</f>
        <v>1</v>
      </c>
      <c r="D78" s="51">
        <f>IF('ProductSprint Backlog'!$L157&gt;D$2,'ProductSprint Backlog'!$M157,0)</f>
        <v>1</v>
      </c>
      <c r="E78" s="51">
        <f>IF('ProductSprint Backlog'!$L157&gt;E$2,'ProductSprint Backlog'!$M157,0)</f>
        <v>1</v>
      </c>
      <c r="F78" s="51">
        <f>IF('ProductSprint Backlog'!$L157&gt;F$2,'ProductSprint Backlog'!$M157,0)</f>
        <v>1</v>
      </c>
      <c r="G78" s="51">
        <f>IF('ProductSprint Backlog'!$L157&gt;G$2,'ProductSprint Backlog'!$M157,0)</f>
        <v>1</v>
      </c>
      <c r="H78" s="51">
        <f>IF('ProductSprint Backlog'!$L157&gt;H$2,'ProductSprint Backlog'!$M157,0)</f>
        <v>1</v>
      </c>
      <c r="I78" s="51">
        <f>IF('ProductSprint Backlog'!$L157&gt;I$2,'ProductSprint Backlog'!$M157,0)</f>
        <v>0</v>
      </c>
      <c r="J78" s="51">
        <f>IF('ProductSprint Backlog'!$L157&gt;J$2,'ProductSprint Backlog'!$M157,0)</f>
        <v>0</v>
      </c>
      <c r="K78" s="51">
        <f>IF('ProductSprint Backlog'!$L157&gt;K$2,'ProductSprint Backlog'!$M157,0)</f>
        <v>0</v>
      </c>
      <c r="L78" s="51">
        <f>IF('ProductSprint Backlog'!$L157&gt;L$2,'ProductSprint Backlog'!$M157,0)</f>
        <v>0</v>
      </c>
      <c r="M78" s="51">
        <f>IF('ProductSprint Backlog'!$L157&gt;M$2,'ProductSprint Backlog'!$M157,0)</f>
        <v>0</v>
      </c>
      <c r="N78" s="51">
        <f>IF('ProductSprint Backlog'!$L157&gt;N$2,'ProductSprint Backlog'!$M157,0)</f>
        <v>0</v>
      </c>
      <c r="O78" s="51">
        <f>IF('ProductSprint Backlog'!$L157&gt;O$2,'ProductSprint Backlog'!$M157,0)</f>
        <v>0</v>
      </c>
      <c r="P78" s="51">
        <f>IF('ProductSprint Backlog'!$L157&gt;P$2,'ProductSprint Backlog'!$M157,0)</f>
        <v>0</v>
      </c>
      <c r="Q78" s="51">
        <f>IF('ProductSprint Backlog'!$L157&gt;Q$2,'ProductSprint Backlog'!$M157,0)</f>
        <v>0</v>
      </c>
      <c r="R78" s="51">
        <f>IF('ProductSprint Backlog'!$L157&gt;R$2,'ProductSprint Backlog'!$M157,0)</f>
        <v>0</v>
      </c>
      <c r="S78" s="51">
        <f>IF('ProductSprint Backlog'!$L157&gt;S$2,'ProductSprint Backlog'!$M157,0)</f>
        <v>0</v>
      </c>
      <c r="T78" s="53"/>
      <c r="U78" s="53"/>
    </row>
    <row r="79" spans="1:21" ht="25.5" x14ac:dyDescent="0.2">
      <c r="A79" s="17" t="s">
        <v>214</v>
      </c>
      <c r="B79" s="51">
        <f>IF('ProductSprint Backlog'!$L158&gt;B$2,'ProductSprint Backlog'!$M158,0)</f>
        <v>0.5</v>
      </c>
      <c r="C79" s="51">
        <f>IF('ProductSprint Backlog'!$L158&gt;C$2,'ProductSprint Backlog'!$M158,0)</f>
        <v>0.5</v>
      </c>
      <c r="D79" s="51">
        <f>IF('ProductSprint Backlog'!$L158&gt;D$2,'ProductSprint Backlog'!$M158,0)</f>
        <v>0.5</v>
      </c>
      <c r="E79" s="51">
        <f>IF('ProductSprint Backlog'!$L158&gt;E$2,'ProductSprint Backlog'!$M158,0)</f>
        <v>0.5</v>
      </c>
      <c r="F79" s="51">
        <f>IF('ProductSprint Backlog'!$L158&gt;F$2,'ProductSprint Backlog'!$M158,0)</f>
        <v>0.5</v>
      </c>
      <c r="G79" s="51">
        <f>IF('ProductSprint Backlog'!$L158&gt;G$2,'ProductSprint Backlog'!$M158,0)</f>
        <v>0.5</v>
      </c>
      <c r="H79" s="51">
        <f>IF('ProductSprint Backlog'!$L158&gt;H$2,'ProductSprint Backlog'!$M158,0)</f>
        <v>0.5</v>
      </c>
      <c r="I79" s="51">
        <f>IF('ProductSprint Backlog'!$L158&gt;I$2,'ProductSprint Backlog'!$M158,0)</f>
        <v>0</v>
      </c>
      <c r="J79" s="51">
        <f>IF('ProductSprint Backlog'!$L158&gt;J$2,'ProductSprint Backlog'!$M158,0)</f>
        <v>0</v>
      </c>
      <c r="K79" s="51">
        <f>IF('ProductSprint Backlog'!$L158&gt;K$2,'ProductSprint Backlog'!$M158,0)</f>
        <v>0</v>
      </c>
      <c r="L79" s="51">
        <f>IF('ProductSprint Backlog'!$L158&gt;L$2,'ProductSprint Backlog'!$M158,0)</f>
        <v>0</v>
      </c>
      <c r="M79" s="51">
        <f>IF('ProductSprint Backlog'!$L158&gt;M$2,'ProductSprint Backlog'!$M158,0)</f>
        <v>0</v>
      </c>
      <c r="N79" s="51">
        <f>IF('ProductSprint Backlog'!$L158&gt;N$2,'ProductSprint Backlog'!$M158,0)</f>
        <v>0</v>
      </c>
      <c r="O79" s="51">
        <f>IF('ProductSprint Backlog'!$L158&gt;O$2,'ProductSprint Backlog'!$M158,0)</f>
        <v>0</v>
      </c>
      <c r="P79" s="51">
        <f>IF('ProductSprint Backlog'!$L158&gt;P$2,'ProductSprint Backlog'!$M158,0)</f>
        <v>0</v>
      </c>
      <c r="Q79" s="51">
        <f>IF('ProductSprint Backlog'!$L158&gt;Q$2,'ProductSprint Backlog'!$M158,0)</f>
        <v>0</v>
      </c>
      <c r="R79" s="51">
        <f>IF('ProductSprint Backlog'!$L158&gt;R$2,'ProductSprint Backlog'!$M158,0)</f>
        <v>0</v>
      </c>
      <c r="S79" s="51">
        <f>IF('ProductSprint Backlog'!$L158&gt;S$2,'ProductSprint Backlog'!$M158,0)</f>
        <v>0</v>
      </c>
      <c r="T79" s="53"/>
      <c r="U79" s="53"/>
    </row>
    <row r="80" spans="1:21" ht="12.75" x14ac:dyDescent="0.2">
      <c r="A80" s="21"/>
      <c r="B80" s="51"/>
      <c r="C80" s="51"/>
      <c r="D80" s="51"/>
      <c r="E80" s="51"/>
      <c r="F80" s="51"/>
      <c r="G80" s="51"/>
      <c r="H80" s="51"/>
      <c r="I80" s="51"/>
      <c r="J80" s="51"/>
      <c r="K80" s="51"/>
      <c r="L80" s="51"/>
      <c r="M80" s="51"/>
      <c r="N80" s="51"/>
      <c r="O80" s="51"/>
      <c r="P80" s="51"/>
      <c r="Q80" s="51"/>
      <c r="R80" s="51"/>
      <c r="S80" s="51"/>
      <c r="T80" s="53"/>
      <c r="U80" s="53"/>
    </row>
    <row r="81" spans="1:21" ht="63.75" x14ac:dyDescent="0.2">
      <c r="A81" s="17" t="s">
        <v>231</v>
      </c>
      <c r="B81" s="51">
        <f>IF('ProductSprint Backlog'!$L160&gt;B$2,'ProductSprint Backlog'!$M160,0)</f>
        <v>3</v>
      </c>
      <c r="C81" s="51">
        <f>IF('ProductSprint Backlog'!$L160&gt;C$2,'ProductSprint Backlog'!$M160,0)</f>
        <v>3</v>
      </c>
      <c r="D81" s="51">
        <f>IF('ProductSprint Backlog'!$L160&gt;D$2,'ProductSprint Backlog'!$M160,0)</f>
        <v>3</v>
      </c>
      <c r="E81" s="51">
        <f>IF('ProductSprint Backlog'!$L160&gt;E$2,'ProductSprint Backlog'!$M160,0)</f>
        <v>3</v>
      </c>
      <c r="F81" s="51">
        <f>IF('ProductSprint Backlog'!$L160&gt;F$2,'ProductSprint Backlog'!$M160,0)</f>
        <v>3</v>
      </c>
      <c r="G81" s="51">
        <f>IF('ProductSprint Backlog'!$L160&gt;G$2,'ProductSprint Backlog'!$M160,0)</f>
        <v>3</v>
      </c>
      <c r="H81" s="51">
        <f>IF('ProductSprint Backlog'!$L160&gt;H$2,'ProductSprint Backlog'!$M160,0)</f>
        <v>3</v>
      </c>
      <c r="I81" s="51">
        <f>IF('ProductSprint Backlog'!$L160&gt;I$2,'ProductSprint Backlog'!$M160,0)</f>
        <v>3</v>
      </c>
      <c r="J81" s="51">
        <f>IF('ProductSprint Backlog'!$L160&gt;J$2,'ProductSprint Backlog'!$M160,0)</f>
        <v>3</v>
      </c>
      <c r="K81" s="51">
        <f>IF('ProductSprint Backlog'!$L160&gt;K$2,'ProductSprint Backlog'!$M160,0)</f>
        <v>3</v>
      </c>
      <c r="L81" s="51">
        <f>IF('ProductSprint Backlog'!$L160&gt;L$2,'ProductSprint Backlog'!$M160,0)</f>
        <v>3</v>
      </c>
      <c r="M81" s="51">
        <f>IF('ProductSprint Backlog'!$L160&gt;M$2,'ProductSprint Backlog'!$M160,0)</f>
        <v>3</v>
      </c>
      <c r="N81" s="51">
        <f>IF('ProductSprint Backlog'!$L160&gt;N$2,'ProductSprint Backlog'!$M160,0)</f>
        <v>3</v>
      </c>
      <c r="O81" s="51">
        <f>IF('ProductSprint Backlog'!$L160&gt;O$2,'ProductSprint Backlog'!$M160,0)</f>
        <v>3</v>
      </c>
      <c r="P81" s="51">
        <f>IF('ProductSprint Backlog'!$L160&gt;P$2,'ProductSprint Backlog'!$M160,0)</f>
        <v>3</v>
      </c>
      <c r="Q81" s="51">
        <f>IF('ProductSprint Backlog'!$L160&gt;Q$2,'ProductSprint Backlog'!$M160,0)</f>
        <v>3</v>
      </c>
      <c r="R81" s="51">
        <f>IF('ProductSprint Backlog'!$L160&gt;R$2,'ProductSprint Backlog'!$M160,0)</f>
        <v>3</v>
      </c>
      <c r="S81" s="51">
        <f>IF('ProductSprint Backlog'!$L160&gt;S$2,'ProductSprint Backlog'!$M160,0)</f>
        <v>0</v>
      </c>
      <c r="T81" s="53"/>
      <c r="U81" s="53"/>
    </row>
    <row r="82" spans="1:21" ht="25.5" x14ac:dyDescent="0.2">
      <c r="A82" s="17" t="s">
        <v>233</v>
      </c>
      <c r="B82" s="51">
        <f>IF('ProductSprint Backlog'!$L161&gt;B$2,'ProductSprint Backlog'!$M161,0)</f>
        <v>2</v>
      </c>
      <c r="C82" s="51">
        <f>IF('ProductSprint Backlog'!$L161&gt;C$2,'ProductSprint Backlog'!$M161,0)</f>
        <v>2</v>
      </c>
      <c r="D82" s="51">
        <f>IF('ProductSprint Backlog'!$L161&gt;D$2,'ProductSprint Backlog'!$M161,0)</f>
        <v>2</v>
      </c>
      <c r="E82" s="51">
        <f>IF('ProductSprint Backlog'!$L161&gt;E$2,'ProductSprint Backlog'!$M161,0)</f>
        <v>2</v>
      </c>
      <c r="F82" s="51">
        <f>IF('ProductSprint Backlog'!$L161&gt;F$2,'ProductSprint Backlog'!$M161,0)</f>
        <v>2</v>
      </c>
      <c r="G82" s="51">
        <f>IF('ProductSprint Backlog'!$L161&gt;G$2,'ProductSprint Backlog'!$M161,0)</f>
        <v>2</v>
      </c>
      <c r="H82" s="51">
        <f>IF('ProductSprint Backlog'!$L161&gt;H$2,'ProductSprint Backlog'!$M161,0)</f>
        <v>2</v>
      </c>
      <c r="I82" s="51">
        <f>IF('ProductSprint Backlog'!$L161&gt;I$2,'ProductSprint Backlog'!$M161,0)</f>
        <v>2</v>
      </c>
      <c r="J82" s="51">
        <f>IF('ProductSprint Backlog'!$L161&gt;J$2,'ProductSprint Backlog'!$M161,0)</f>
        <v>2</v>
      </c>
      <c r="K82" s="51">
        <f>IF('ProductSprint Backlog'!$L161&gt;K$2,'ProductSprint Backlog'!$M161,0)</f>
        <v>2</v>
      </c>
      <c r="L82" s="51">
        <f>IF('ProductSprint Backlog'!$L161&gt;L$2,'ProductSprint Backlog'!$M161,0)</f>
        <v>2</v>
      </c>
      <c r="M82" s="51">
        <f>IF('ProductSprint Backlog'!$L161&gt;M$2,'ProductSprint Backlog'!$M161,0)</f>
        <v>2</v>
      </c>
      <c r="N82" s="51">
        <f>IF('ProductSprint Backlog'!$L161&gt;N$2,'ProductSprint Backlog'!$M161,0)</f>
        <v>2</v>
      </c>
      <c r="O82" s="51">
        <f>IF('ProductSprint Backlog'!$L161&gt;O$2,'ProductSprint Backlog'!$M161,0)</f>
        <v>2</v>
      </c>
      <c r="P82" s="51">
        <f>IF('ProductSprint Backlog'!$L161&gt;P$2,'ProductSprint Backlog'!$M161,0)</f>
        <v>2</v>
      </c>
      <c r="Q82" s="51">
        <f>IF('ProductSprint Backlog'!$L161&gt;Q$2,'ProductSprint Backlog'!$M161,0)</f>
        <v>2</v>
      </c>
      <c r="R82" s="51">
        <f>IF('ProductSprint Backlog'!$L161&gt;R$2,'ProductSprint Backlog'!$M161,0)</f>
        <v>2</v>
      </c>
      <c r="S82" s="51">
        <f>IF('ProductSprint Backlog'!$L161&gt;S$2,'ProductSprint Backlog'!$M161,0)</f>
        <v>0</v>
      </c>
      <c r="T82" s="53"/>
      <c r="U82" s="53"/>
    </row>
    <row r="83" spans="1:21" ht="25.5" x14ac:dyDescent="0.2">
      <c r="A83" s="17" t="s">
        <v>235</v>
      </c>
      <c r="B83" s="51">
        <f>IF('ProductSprint Backlog'!$L162&gt;B$2,'ProductSprint Backlog'!$M162,0)</f>
        <v>2</v>
      </c>
      <c r="C83" s="51">
        <f>IF('ProductSprint Backlog'!$L162&gt;C$2,'ProductSprint Backlog'!$M162,0)</f>
        <v>2</v>
      </c>
      <c r="D83" s="51">
        <f>IF('ProductSprint Backlog'!$L162&gt;D$2,'ProductSprint Backlog'!$M162,0)</f>
        <v>2</v>
      </c>
      <c r="E83" s="51">
        <f>IF('ProductSprint Backlog'!$L162&gt;E$2,'ProductSprint Backlog'!$M162,0)</f>
        <v>2</v>
      </c>
      <c r="F83" s="51">
        <f>IF('ProductSprint Backlog'!$L162&gt;F$2,'ProductSprint Backlog'!$M162,0)</f>
        <v>2</v>
      </c>
      <c r="G83" s="51">
        <f>IF('ProductSprint Backlog'!$L162&gt;G$2,'ProductSprint Backlog'!$M162,0)</f>
        <v>2</v>
      </c>
      <c r="H83" s="51">
        <f>IF('ProductSprint Backlog'!$L162&gt;H$2,'ProductSprint Backlog'!$M162,0)</f>
        <v>2</v>
      </c>
      <c r="I83" s="51">
        <f>IF('ProductSprint Backlog'!$L162&gt;I$2,'ProductSprint Backlog'!$M162,0)</f>
        <v>2</v>
      </c>
      <c r="J83" s="51">
        <f>IF('ProductSprint Backlog'!$L162&gt;J$2,'ProductSprint Backlog'!$M162,0)</f>
        <v>2</v>
      </c>
      <c r="K83" s="51">
        <f>IF('ProductSprint Backlog'!$L162&gt;K$2,'ProductSprint Backlog'!$M162,0)</f>
        <v>2</v>
      </c>
      <c r="L83" s="51">
        <f>IF('ProductSprint Backlog'!$L162&gt;L$2,'ProductSprint Backlog'!$M162,0)</f>
        <v>2</v>
      </c>
      <c r="M83" s="51">
        <f>IF('ProductSprint Backlog'!$L162&gt;M$2,'ProductSprint Backlog'!$M162,0)</f>
        <v>2</v>
      </c>
      <c r="N83" s="51">
        <f>IF('ProductSprint Backlog'!$L162&gt;N$2,'ProductSprint Backlog'!$M162,0)</f>
        <v>2</v>
      </c>
      <c r="O83" s="51">
        <f>IF('ProductSprint Backlog'!$L162&gt;O$2,'ProductSprint Backlog'!$M162,0)</f>
        <v>2</v>
      </c>
      <c r="P83" s="51">
        <f>IF('ProductSprint Backlog'!$L162&gt;P$2,'ProductSprint Backlog'!$M162,0)</f>
        <v>2</v>
      </c>
      <c r="Q83" s="51">
        <f>IF('ProductSprint Backlog'!$L162&gt;Q$2,'ProductSprint Backlog'!$M162,0)</f>
        <v>2</v>
      </c>
      <c r="R83" s="51">
        <f>IF('ProductSprint Backlog'!$L162&gt;R$2,'ProductSprint Backlog'!$M162,0)</f>
        <v>2</v>
      </c>
      <c r="S83" s="51">
        <f>IF('ProductSprint Backlog'!$L162&gt;S$2,'ProductSprint Backlog'!$M162,0)</f>
        <v>0</v>
      </c>
      <c r="T83" s="53"/>
      <c r="U83" s="53"/>
    </row>
    <row r="84" spans="1:21" ht="25.5" x14ac:dyDescent="0.2">
      <c r="A84" s="17" t="s">
        <v>237</v>
      </c>
      <c r="B84" s="51">
        <f>IF('ProductSprint Backlog'!$L163&gt;B$2,'ProductSprint Backlog'!$M163,0)</f>
        <v>2</v>
      </c>
      <c r="C84" s="51">
        <f>IF('ProductSprint Backlog'!$L163&gt;C$2,'ProductSprint Backlog'!$M163,0)</f>
        <v>2</v>
      </c>
      <c r="D84" s="51">
        <f>IF('ProductSprint Backlog'!$L163&gt;D$2,'ProductSprint Backlog'!$M163,0)</f>
        <v>2</v>
      </c>
      <c r="E84" s="51">
        <f>IF('ProductSprint Backlog'!$L163&gt;E$2,'ProductSprint Backlog'!$M163,0)</f>
        <v>2</v>
      </c>
      <c r="F84" s="51">
        <f>IF('ProductSprint Backlog'!$L163&gt;F$2,'ProductSprint Backlog'!$M163,0)</f>
        <v>2</v>
      </c>
      <c r="G84" s="51">
        <f>IF('ProductSprint Backlog'!$L163&gt;G$2,'ProductSprint Backlog'!$M163,0)</f>
        <v>2</v>
      </c>
      <c r="H84" s="51">
        <f>IF('ProductSprint Backlog'!$L163&gt;H$2,'ProductSprint Backlog'!$M163,0)</f>
        <v>2</v>
      </c>
      <c r="I84" s="51">
        <f>IF('ProductSprint Backlog'!$L163&gt;I$2,'ProductSprint Backlog'!$M163,0)</f>
        <v>2</v>
      </c>
      <c r="J84" s="51">
        <f>IF('ProductSprint Backlog'!$L163&gt;J$2,'ProductSprint Backlog'!$M163,0)</f>
        <v>2</v>
      </c>
      <c r="K84" s="51">
        <f>IF('ProductSprint Backlog'!$L163&gt;K$2,'ProductSprint Backlog'!$M163,0)</f>
        <v>2</v>
      </c>
      <c r="L84" s="51">
        <f>IF('ProductSprint Backlog'!$L163&gt;L$2,'ProductSprint Backlog'!$M163,0)</f>
        <v>2</v>
      </c>
      <c r="M84" s="51">
        <f>IF('ProductSprint Backlog'!$L163&gt;M$2,'ProductSprint Backlog'!$M163,0)</f>
        <v>2</v>
      </c>
      <c r="N84" s="51">
        <f>IF('ProductSprint Backlog'!$L163&gt;N$2,'ProductSprint Backlog'!$M163,0)</f>
        <v>2</v>
      </c>
      <c r="O84" s="51">
        <f>IF('ProductSprint Backlog'!$L163&gt;O$2,'ProductSprint Backlog'!$M163,0)</f>
        <v>2</v>
      </c>
      <c r="P84" s="51">
        <f>IF('ProductSprint Backlog'!$L163&gt;P$2,'ProductSprint Backlog'!$M163,0)</f>
        <v>2</v>
      </c>
      <c r="Q84" s="51">
        <f>IF('ProductSprint Backlog'!$L163&gt;Q$2,'ProductSprint Backlog'!$M163,0)</f>
        <v>2</v>
      </c>
      <c r="R84" s="51">
        <f>IF('ProductSprint Backlog'!$L163&gt;R$2,'ProductSprint Backlog'!$M163,0)</f>
        <v>2</v>
      </c>
      <c r="S84" s="51">
        <f>IF('ProductSprint Backlog'!$L163&gt;S$2,'ProductSprint Backlog'!$M163,0)</f>
        <v>0</v>
      </c>
      <c r="T84" s="53"/>
      <c r="U84" s="53"/>
    </row>
    <row r="85" spans="1:21" ht="38.25" x14ac:dyDescent="0.2">
      <c r="A85" s="17" t="s">
        <v>240</v>
      </c>
      <c r="B85" s="51">
        <f>IF('ProductSprint Backlog'!$L164&gt;B$2,'ProductSprint Backlog'!$M164,0)</f>
        <v>1</v>
      </c>
      <c r="C85" s="51">
        <f>IF('ProductSprint Backlog'!$L164&gt;C$2,'ProductSprint Backlog'!$M164,0)</f>
        <v>1</v>
      </c>
      <c r="D85" s="51">
        <f>IF('ProductSprint Backlog'!$L164&gt;D$2,'ProductSprint Backlog'!$M164,0)</f>
        <v>1</v>
      </c>
      <c r="E85" s="51">
        <f>IF('ProductSprint Backlog'!$L164&gt;E$2,'ProductSprint Backlog'!$M164,0)</f>
        <v>1</v>
      </c>
      <c r="F85" s="51">
        <f>IF('ProductSprint Backlog'!$L164&gt;F$2,'ProductSprint Backlog'!$M164,0)</f>
        <v>1</v>
      </c>
      <c r="G85" s="51">
        <f>IF('ProductSprint Backlog'!$L164&gt;G$2,'ProductSprint Backlog'!$M164,0)</f>
        <v>1</v>
      </c>
      <c r="H85" s="51">
        <f>IF('ProductSprint Backlog'!$L164&gt;H$2,'ProductSprint Backlog'!$M164,0)</f>
        <v>1</v>
      </c>
      <c r="I85" s="51">
        <f>IF('ProductSprint Backlog'!$L164&gt;I$2,'ProductSprint Backlog'!$M164,0)</f>
        <v>1</v>
      </c>
      <c r="J85" s="51">
        <f>IF('ProductSprint Backlog'!$L164&gt;J$2,'ProductSprint Backlog'!$M164,0)</f>
        <v>1</v>
      </c>
      <c r="K85" s="51">
        <f>IF('ProductSprint Backlog'!$L164&gt;K$2,'ProductSprint Backlog'!$M164,0)</f>
        <v>0</v>
      </c>
      <c r="L85" s="51">
        <f>IF('ProductSprint Backlog'!$L164&gt;L$2,'ProductSprint Backlog'!$M164,0)</f>
        <v>0</v>
      </c>
      <c r="M85" s="51">
        <f>IF('ProductSprint Backlog'!$L164&gt;M$2,'ProductSprint Backlog'!$M164,0)</f>
        <v>0</v>
      </c>
      <c r="N85" s="51">
        <f>IF('ProductSprint Backlog'!$L164&gt;N$2,'ProductSprint Backlog'!$M164,0)</f>
        <v>0</v>
      </c>
      <c r="O85" s="51">
        <f>IF('ProductSprint Backlog'!$L164&gt;O$2,'ProductSprint Backlog'!$M164,0)</f>
        <v>0</v>
      </c>
      <c r="P85" s="51">
        <f>IF('ProductSprint Backlog'!$L164&gt;P$2,'ProductSprint Backlog'!$M164,0)</f>
        <v>0</v>
      </c>
      <c r="Q85" s="51">
        <f>IF('ProductSprint Backlog'!$L164&gt;Q$2,'ProductSprint Backlog'!$M164,0)</f>
        <v>0</v>
      </c>
      <c r="R85" s="51">
        <f>IF('ProductSprint Backlog'!$L164&gt;R$2,'ProductSprint Backlog'!$M164,0)</f>
        <v>0</v>
      </c>
      <c r="S85" s="51">
        <f>IF('ProductSprint Backlog'!$L164&gt;S$2,'ProductSprint Backlog'!$M164,0)</f>
        <v>0</v>
      </c>
      <c r="T85" s="53"/>
      <c r="U85" s="53"/>
    </row>
    <row r="86" spans="1:21" ht="12.75" x14ac:dyDescent="0.2">
      <c r="A86" s="18" t="s">
        <v>242</v>
      </c>
      <c r="B86" s="51">
        <f>IF('ProductSprint Backlog'!$L165&gt;B$2,'ProductSprint Backlog'!$M165,0)</f>
        <v>3</v>
      </c>
      <c r="C86" s="51">
        <f>IF('ProductSprint Backlog'!$L165&gt;C$2,'ProductSprint Backlog'!$M165,0)</f>
        <v>3</v>
      </c>
      <c r="D86" s="51">
        <f>IF('ProductSprint Backlog'!$L165&gt;D$2,'ProductSprint Backlog'!$M165,0)</f>
        <v>3</v>
      </c>
      <c r="E86" s="51">
        <f>IF('ProductSprint Backlog'!$L165&gt;E$2,'ProductSprint Backlog'!$M165,0)</f>
        <v>3</v>
      </c>
      <c r="F86" s="51">
        <f>IF('ProductSprint Backlog'!$L165&gt;F$2,'ProductSprint Backlog'!$M165,0)</f>
        <v>3</v>
      </c>
      <c r="G86" s="51">
        <f>IF('ProductSprint Backlog'!$L165&gt;G$2,'ProductSprint Backlog'!$M165,0)</f>
        <v>3</v>
      </c>
      <c r="H86" s="51">
        <f>IF('ProductSprint Backlog'!$L165&gt;H$2,'ProductSprint Backlog'!$M165,0)</f>
        <v>3</v>
      </c>
      <c r="I86" s="51">
        <f>IF('ProductSprint Backlog'!$L165&gt;I$2,'ProductSprint Backlog'!$M165,0)</f>
        <v>3</v>
      </c>
      <c r="J86" s="51">
        <f>IF('ProductSprint Backlog'!$L165&gt;J$2,'ProductSprint Backlog'!$M165,0)</f>
        <v>3</v>
      </c>
      <c r="K86" s="51">
        <f>IF('ProductSprint Backlog'!$L165&gt;K$2,'ProductSprint Backlog'!$M165,0)</f>
        <v>0</v>
      </c>
      <c r="L86" s="51">
        <f>IF('ProductSprint Backlog'!$L165&gt;L$2,'ProductSprint Backlog'!$M165,0)</f>
        <v>0</v>
      </c>
      <c r="M86" s="51">
        <f>IF('ProductSprint Backlog'!$L165&gt;M$2,'ProductSprint Backlog'!$M165,0)</f>
        <v>0</v>
      </c>
      <c r="N86" s="51">
        <f>IF('ProductSprint Backlog'!$L165&gt;N$2,'ProductSprint Backlog'!$M165,0)</f>
        <v>0</v>
      </c>
      <c r="O86" s="51">
        <f>IF('ProductSprint Backlog'!$L165&gt;O$2,'ProductSprint Backlog'!$M165,0)</f>
        <v>0</v>
      </c>
      <c r="P86" s="51">
        <f>IF('ProductSprint Backlog'!$L165&gt;P$2,'ProductSprint Backlog'!$M165,0)</f>
        <v>0</v>
      </c>
      <c r="Q86" s="51">
        <f>IF('ProductSprint Backlog'!$L165&gt;Q$2,'ProductSprint Backlog'!$M165,0)</f>
        <v>0</v>
      </c>
      <c r="R86" s="51">
        <f>IF('ProductSprint Backlog'!$L165&gt;R$2,'ProductSprint Backlog'!$M165,0)</f>
        <v>0</v>
      </c>
      <c r="S86" s="51">
        <f>IF('ProductSprint Backlog'!$L165&gt;S$2,'ProductSprint Backlog'!$M165,0)</f>
        <v>0</v>
      </c>
      <c r="T86" s="53"/>
      <c r="U86" s="53"/>
    </row>
    <row r="87" spans="1:21" ht="38.25" x14ac:dyDescent="0.2">
      <c r="A87" s="52" t="s">
        <v>244</v>
      </c>
      <c r="B87" s="56">
        <f>IF('ProductSprint Backlog'!$L166&gt;B$2,'ProductSprint Backlog'!$M166,0)</f>
        <v>1</v>
      </c>
      <c r="C87" s="56">
        <f>IF('ProductSprint Backlog'!$L166&gt;C$2,'ProductSprint Backlog'!$M166,0)</f>
        <v>1</v>
      </c>
      <c r="D87" s="56">
        <f>IF('ProductSprint Backlog'!$L166&gt;D$2,'ProductSprint Backlog'!$M166,0)</f>
        <v>1</v>
      </c>
      <c r="E87" s="56">
        <f>IF('ProductSprint Backlog'!$L166&gt;E$2,'ProductSprint Backlog'!$M166,0)</f>
        <v>1</v>
      </c>
      <c r="F87" s="56">
        <f>IF('ProductSprint Backlog'!$L166&gt;F$2,'ProductSprint Backlog'!$M166,0)</f>
        <v>1</v>
      </c>
      <c r="G87" s="56">
        <f>IF('ProductSprint Backlog'!$L166&gt;G$2,'ProductSprint Backlog'!$M166,0)</f>
        <v>1</v>
      </c>
      <c r="H87" s="56">
        <f>IF('ProductSprint Backlog'!$L166&gt;H$2,'ProductSprint Backlog'!$M166,0)</f>
        <v>1</v>
      </c>
      <c r="I87" s="56">
        <f>IF('ProductSprint Backlog'!$L166&gt;I$2,'ProductSprint Backlog'!$M166,0)</f>
        <v>1</v>
      </c>
      <c r="J87" s="56">
        <f>IF('ProductSprint Backlog'!$L166&gt;J$2,'ProductSprint Backlog'!$M166,0)</f>
        <v>1</v>
      </c>
      <c r="K87" s="56">
        <f>IF('ProductSprint Backlog'!$L166&gt;K$2,'ProductSprint Backlog'!$M166,0)</f>
        <v>0</v>
      </c>
      <c r="L87" s="56">
        <f>IF('ProductSprint Backlog'!$L166&gt;L$2,'ProductSprint Backlog'!$M166,0)</f>
        <v>0</v>
      </c>
      <c r="M87" s="56">
        <f>IF('ProductSprint Backlog'!$L166&gt;M$2,'ProductSprint Backlog'!$M166,0)</f>
        <v>0</v>
      </c>
      <c r="N87" s="56">
        <f>IF('ProductSprint Backlog'!$L166&gt;N$2,'ProductSprint Backlog'!$M166,0)</f>
        <v>0</v>
      </c>
      <c r="O87" s="56">
        <f>IF('ProductSprint Backlog'!$L166&gt;O$2,'ProductSprint Backlog'!$M166,0)</f>
        <v>0</v>
      </c>
      <c r="P87" s="56">
        <f>IF('ProductSprint Backlog'!$L166&gt;P$2,'ProductSprint Backlog'!$M166,0)</f>
        <v>0</v>
      </c>
      <c r="Q87" s="56">
        <f>IF('ProductSprint Backlog'!$L166&gt;Q$2,'ProductSprint Backlog'!$M166,0)</f>
        <v>0</v>
      </c>
      <c r="R87" s="56">
        <f>IF('ProductSprint Backlog'!$L166&gt;R$2,'ProductSprint Backlog'!$M166,0)</f>
        <v>0</v>
      </c>
      <c r="S87" s="56">
        <f>IF('ProductSprint Backlog'!$L166&gt;S$2,'ProductSprint Backlog'!$M166,0)</f>
        <v>0</v>
      </c>
      <c r="T87" s="53"/>
      <c r="U87" s="53"/>
    </row>
    <row r="88" spans="1:21" ht="12.75" x14ac:dyDescent="0.2">
      <c r="A88" s="31"/>
      <c r="B88" s="53"/>
      <c r="C88" s="53"/>
      <c r="D88" s="53"/>
      <c r="E88" s="53"/>
      <c r="F88" s="53"/>
      <c r="G88" s="53"/>
      <c r="H88" s="53"/>
      <c r="I88" s="53"/>
      <c r="J88" s="53"/>
      <c r="K88" s="53"/>
      <c r="L88" s="53"/>
      <c r="M88" s="53"/>
      <c r="N88" s="53"/>
      <c r="O88" s="53"/>
      <c r="P88" s="53"/>
      <c r="Q88" s="53"/>
      <c r="R88" s="53"/>
      <c r="S88" s="53"/>
      <c r="T88" s="53"/>
      <c r="U88" s="53"/>
    </row>
    <row r="89" spans="1:21" ht="12.75" x14ac:dyDescent="0.2">
      <c r="B89" s="53"/>
      <c r="C89" s="53"/>
      <c r="D89" s="53"/>
      <c r="E89" s="53"/>
      <c r="F89" s="53"/>
      <c r="G89" s="53"/>
      <c r="H89" s="53"/>
      <c r="I89" s="53"/>
      <c r="J89" s="53"/>
      <c r="K89" s="53"/>
      <c r="L89" s="53"/>
      <c r="M89" s="53"/>
      <c r="N89" s="53"/>
      <c r="O89" s="53"/>
      <c r="P89" s="53"/>
      <c r="Q89" s="53"/>
      <c r="R89" s="53"/>
      <c r="S89" s="53"/>
      <c r="T89" s="53"/>
      <c r="U89" s="53"/>
    </row>
    <row r="90" spans="1:21" ht="12.75" x14ac:dyDescent="0.2">
      <c r="B90" s="53"/>
      <c r="C90" s="53"/>
      <c r="D90" s="53"/>
      <c r="E90" s="53"/>
      <c r="F90" s="53"/>
      <c r="G90" s="53"/>
      <c r="H90" s="53"/>
      <c r="I90" s="53"/>
      <c r="J90" s="53"/>
      <c r="K90" s="53"/>
      <c r="L90" s="53"/>
      <c r="M90" s="53"/>
      <c r="N90" s="53"/>
      <c r="O90" s="53"/>
      <c r="P90" s="53"/>
      <c r="Q90" s="53"/>
      <c r="R90" s="53"/>
      <c r="S90" s="53"/>
      <c r="T90" s="53"/>
      <c r="U90" s="53"/>
    </row>
    <row r="91" spans="1:21" ht="12.75" x14ac:dyDescent="0.2">
      <c r="B91" s="53"/>
      <c r="C91" s="53"/>
      <c r="D91" s="53"/>
      <c r="E91" s="53"/>
      <c r="F91" s="53"/>
      <c r="G91" s="53"/>
      <c r="H91" s="53"/>
      <c r="I91" s="53"/>
      <c r="J91" s="53"/>
      <c r="K91" s="53"/>
      <c r="L91" s="53"/>
      <c r="M91" s="53"/>
      <c r="N91" s="53"/>
      <c r="O91" s="53"/>
      <c r="P91" s="53"/>
      <c r="Q91" s="53"/>
      <c r="R91" s="53"/>
      <c r="S91" s="53"/>
      <c r="T91" s="53"/>
      <c r="U91" s="53"/>
    </row>
    <row r="92" spans="1:21" ht="12.75" x14ac:dyDescent="0.2">
      <c r="B92" s="53"/>
      <c r="C92" s="53"/>
      <c r="D92" s="53"/>
      <c r="E92" s="53"/>
      <c r="F92" s="53"/>
      <c r="G92" s="53"/>
      <c r="H92" s="53"/>
      <c r="I92" s="53"/>
      <c r="J92" s="53"/>
      <c r="K92" s="53"/>
      <c r="L92" s="53"/>
      <c r="M92" s="53"/>
      <c r="N92" s="53"/>
      <c r="O92" s="53"/>
      <c r="P92" s="53"/>
      <c r="Q92" s="53"/>
      <c r="R92" s="53"/>
      <c r="S92" s="53"/>
      <c r="T92" s="53"/>
      <c r="U92" s="53"/>
    </row>
    <row r="93" spans="1:21" ht="12.75" x14ac:dyDescent="0.2">
      <c r="B93" s="53"/>
      <c r="C93" s="53"/>
      <c r="D93" s="53"/>
      <c r="E93" s="53"/>
      <c r="F93" s="53"/>
      <c r="G93" s="53"/>
      <c r="H93" s="53"/>
      <c r="I93" s="53"/>
      <c r="J93" s="53"/>
      <c r="K93" s="53"/>
      <c r="L93" s="53"/>
      <c r="M93" s="53"/>
      <c r="N93" s="53"/>
      <c r="O93" s="53"/>
      <c r="P93" s="53"/>
      <c r="Q93" s="53"/>
      <c r="R93" s="53"/>
      <c r="S93" s="53"/>
      <c r="T93" s="53"/>
      <c r="U93" s="53"/>
    </row>
    <row r="94" spans="1:21" ht="12.75" x14ac:dyDescent="0.2">
      <c r="B94" s="53"/>
      <c r="C94" s="53"/>
      <c r="D94" s="53"/>
      <c r="E94" s="53"/>
      <c r="F94" s="53"/>
      <c r="G94" s="53"/>
      <c r="H94" s="53"/>
      <c r="I94" s="53"/>
      <c r="J94" s="53"/>
      <c r="K94" s="53"/>
      <c r="L94" s="53"/>
      <c r="M94" s="53"/>
      <c r="N94" s="53"/>
      <c r="O94" s="53"/>
      <c r="P94" s="53"/>
      <c r="Q94" s="53"/>
      <c r="R94" s="53"/>
      <c r="S94" s="53"/>
      <c r="T94" s="53"/>
      <c r="U94" s="53"/>
    </row>
    <row r="95" spans="1:21" ht="12.75" x14ac:dyDescent="0.2">
      <c r="B95" s="53"/>
      <c r="C95" s="53"/>
      <c r="D95" s="53"/>
      <c r="E95" s="53"/>
      <c r="F95" s="53"/>
      <c r="G95" s="53"/>
      <c r="H95" s="53"/>
      <c r="I95" s="53"/>
      <c r="J95" s="53"/>
      <c r="K95" s="53"/>
      <c r="L95" s="53"/>
      <c r="M95" s="53"/>
      <c r="N95" s="53"/>
      <c r="O95" s="53"/>
      <c r="P95" s="53"/>
      <c r="Q95" s="53"/>
      <c r="R95" s="53"/>
      <c r="S95" s="53"/>
      <c r="T95" s="53"/>
      <c r="U95" s="53"/>
    </row>
    <row r="96" spans="1:21" ht="12.75" x14ac:dyDescent="0.2">
      <c r="B96" s="53"/>
      <c r="C96" s="53"/>
      <c r="D96" s="53"/>
      <c r="E96" s="53"/>
      <c r="F96" s="53"/>
      <c r="G96" s="53"/>
      <c r="H96" s="53"/>
      <c r="I96" s="53"/>
      <c r="J96" s="53"/>
      <c r="K96" s="53"/>
      <c r="L96" s="53"/>
      <c r="M96" s="53"/>
      <c r="N96" s="53"/>
      <c r="O96" s="53"/>
      <c r="P96" s="53"/>
      <c r="Q96" s="53"/>
      <c r="R96" s="53"/>
      <c r="S96" s="53"/>
      <c r="T96" s="53"/>
      <c r="U96" s="53"/>
    </row>
    <row r="97" spans="2:21" ht="12.75" x14ac:dyDescent="0.2">
      <c r="B97" s="53"/>
      <c r="C97" s="53"/>
      <c r="D97" s="53"/>
      <c r="E97" s="53"/>
      <c r="F97" s="53"/>
      <c r="G97" s="53"/>
      <c r="H97" s="53"/>
      <c r="I97" s="53"/>
      <c r="J97" s="53"/>
      <c r="K97" s="53"/>
      <c r="L97" s="53"/>
      <c r="M97" s="53"/>
      <c r="N97" s="53"/>
      <c r="O97" s="53"/>
      <c r="P97" s="53"/>
      <c r="Q97" s="53"/>
      <c r="R97" s="53"/>
      <c r="S97" s="53"/>
      <c r="T97" s="53"/>
      <c r="U97" s="53"/>
    </row>
    <row r="98" spans="2:21" ht="12.75" x14ac:dyDescent="0.2">
      <c r="B98" s="53"/>
      <c r="C98" s="53"/>
      <c r="D98" s="53"/>
      <c r="E98" s="53"/>
      <c r="F98" s="53"/>
      <c r="G98" s="53"/>
      <c r="H98" s="53"/>
      <c r="I98" s="53"/>
      <c r="J98" s="53"/>
      <c r="K98" s="53"/>
      <c r="L98" s="53"/>
      <c r="M98" s="53"/>
      <c r="N98" s="53"/>
      <c r="O98" s="53"/>
      <c r="P98" s="53"/>
      <c r="Q98" s="53"/>
      <c r="R98" s="53"/>
      <c r="S98" s="53"/>
      <c r="T98" s="53"/>
      <c r="U98" s="53"/>
    </row>
    <row r="99" spans="2:21" ht="12.75" x14ac:dyDescent="0.2">
      <c r="B99" s="53"/>
      <c r="C99" s="53"/>
      <c r="D99" s="53"/>
      <c r="E99" s="53"/>
      <c r="F99" s="53"/>
      <c r="G99" s="53"/>
      <c r="H99" s="53"/>
      <c r="I99" s="53"/>
      <c r="J99" s="53"/>
      <c r="K99" s="53"/>
      <c r="L99" s="53"/>
      <c r="M99" s="53"/>
      <c r="N99" s="53"/>
      <c r="O99" s="53"/>
      <c r="P99" s="53"/>
      <c r="Q99" s="53"/>
      <c r="R99" s="53"/>
      <c r="S99" s="53"/>
      <c r="T99" s="53"/>
      <c r="U99" s="53"/>
    </row>
    <row r="100" spans="2:21" ht="12.75" x14ac:dyDescent="0.2">
      <c r="B100" s="53"/>
      <c r="C100" s="53"/>
      <c r="D100" s="53"/>
      <c r="E100" s="53"/>
      <c r="F100" s="53"/>
      <c r="G100" s="53"/>
      <c r="H100" s="53"/>
      <c r="I100" s="53"/>
      <c r="J100" s="53"/>
      <c r="K100" s="53"/>
      <c r="L100" s="53"/>
      <c r="M100" s="53"/>
      <c r="N100" s="53"/>
      <c r="O100" s="53"/>
      <c r="P100" s="53"/>
      <c r="Q100" s="53"/>
      <c r="R100" s="53"/>
      <c r="S100" s="53"/>
      <c r="T100" s="53"/>
      <c r="U100" s="53"/>
    </row>
    <row r="101" spans="2:21" ht="12.75" x14ac:dyDescent="0.2">
      <c r="B101" s="53"/>
      <c r="C101" s="53"/>
      <c r="D101" s="53"/>
      <c r="E101" s="53"/>
      <c r="F101" s="53"/>
      <c r="G101" s="53"/>
      <c r="H101" s="53"/>
      <c r="I101" s="53"/>
      <c r="J101" s="53"/>
      <c r="K101" s="53"/>
      <c r="L101" s="53"/>
      <c r="M101" s="53"/>
      <c r="N101" s="53"/>
      <c r="O101" s="53"/>
      <c r="P101" s="53"/>
      <c r="Q101" s="53"/>
      <c r="R101" s="53"/>
      <c r="S101" s="53"/>
      <c r="T101" s="53"/>
      <c r="U101" s="53"/>
    </row>
    <row r="102" spans="2:21" ht="12.75" x14ac:dyDescent="0.2">
      <c r="B102" s="53"/>
      <c r="C102" s="53"/>
      <c r="D102" s="53"/>
      <c r="E102" s="53"/>
      <c r="F102" s="53"/>
      <c r="G102" s="53"/>
      <c r="H102" s="53"/>
      <c r="I102" s="53"/>
      <c r="J102" s="53"/>
      <c r="K102" s="53"/>
      <c r="L102" s="53"/>
      <c r="M102" s="53"/>
      <c r="N102" s="53"/>
      <c r="O102" s="53"/>
      <c r="P102" s="53"/>
      <c r="Q102" s="53"/>
      <c r="R102" s="53"/>
      <c r="S102" s="53"/>
      <c r="T102" s="53"/>
      <c r="U102" s="53"/>
    </row>
    <row r="103" spans="2:21" ht="12.75" x14ac:dyDescent="0.2">
      <c r="B103" s="53"/>
      <c r="C103" s="53"/>
      <c r="D103" s="53"/>
      <c r="E103" s="53"/>
      <c r="F103" s="53"/>
      <c r="G103" s="53"/>
      <c r="H103" s="53"/>
      <c r="I103" s="53"/>
      <c r="J103" s="53"/>
      <c r="K103" s="53"/>
      <c r="L103" s="53"/>
      <c r="M103" s="53"/>
      <c r="N103" s="53"/>
      <c r="O103" s="53"/>
      <c r="P103" s="53"/>
      <c r="Q103" s="53"/>
      <c r="R103" s="53"/>
      <c r="S103" s="53"/>
      <c r="T103" s="53"/>
      <c r="U103" s="53"/>
    </row>
    <row r="104" spans="2:21" ht="12.75" x14ac:dyDescent="0.2">
      <c r="B104" s="53"/>
      <c r="C104" s="53"/>
      <c r="D104" s="53"/>
      <c r="E104" s="53"/>
      <c r="F104" s="53"/>
      <c r="G104" s="53"/>
      <c r="H104" s="53"/>
      <c r="I104" s="53"/>
      <c r="J104" s="53"/>
      <c r="K104" s="53"/>
      <c r="L104" s="53"/>
      <c r="M104" s="53"/>
      <c r="N104" s="53"/>
      <c r="O104" s="53"/>
      <c r="P104" s="53"/>
      <c r="Q104" s="53"/>
      <c r="R104" s="53"/>
      <c r="S104" s="53"/>
      <c r="T104" s="53"/>
      <c r="U104" s="53"/>
    </row>
    <row r="105" spans="2:21" ht="12.75" x14ac:dyDescent="0.2">
      <c r="B105" s="53"/>
      <c r="C105" s="53"/>
      <c r="D105" s="53"/>
      <c r="E105" s="53"/>
      <c r="F105" s="53"/>
      <c r="G105" s="53"/>
      <c r="H105" s="53"/>
      <c r="I105" s="53"/>
      <c r="J105" s="53"/>
      <c r="K105" s="53"/>
      <c r="L105" s="53"/>
      <c r="M105" s="53"/>
      <c r="N105" s="53"/>
      <c r="O105" s="53"/>
      <c r="P105" s="53"/>
      <c r="Q105" s="53"/>
      <c r="R105" s="53"/>
      <c r="S105" s="53"/>
      <c r="T105" s="53"/>
      <c r="U105" s="53"/>
    </row>
    <row r="106" spans="2:21" ht="12.75" x14ac:dyDescent="0.2">
      <c r="B106" s="53"/>
      <c r="C106" s="53"/>
      <c r="D106" s="53"/>
      <c r="E106" s="53"/>
      <c r="F106" s="53"/>
      <c r="G106" s="53"/>
      <c r="H106" s="53"/>
      <c r="I106" s="53"/>
      <c r="J106" s="53"/>
      <c r="K106" s="53"/>
      <c r="L106" s="53"/>
      <c r="M106" s="53"/>
      <c r="N106" s="53"/>
      <c r="O106" s="53"/>
      <c r="P106" s="53"/>
      <c r="Q106" s="53"/>
      <c r="R106" s="53"/>
      <c r="S106" s="53"/>
      <c r="T106" s="53"/>
      <c r="U106" s="53"/>
    </row>
    <row r="107" spans="2:21" ht="12.75" x14ac:dyDescent="0.2">
      <c r="B107" s="53"/>
      <c r="C107" s="53"/>
      <c r="D107" s="53"/>
      <c r="E107" s="53"/>
      <c r="F107" s="53"/>
      <c r="G107" s="53"/>
      <c r="H107" s="53"/>
      <c r="I107" s="53"/>
      <c r="J107" s="53"/>
      <c r="K107" s="53"/>
      <c r="L107" s="53"/>
      <c r="M107" s="53"/>
      <c r="N107" s="53"/>
      <c r="O107" s="53"/>
      <c r="P107" s="53"/>
      <c r="Q107" s="53"/>
      <c r="R107" s="53"/>
      <c r="S107" s="53"/>
      <c r="T107" s="53"/>
      <c r="U107" s="53"/>
    </row>
    <row r="108" spans="2:21" ht="12.75" x14ac:dyDescent="0.2">
      <c r="B108" s="53"/>
      <c r="C108" s="53"/>
      <c r="D108" s="53"/>
      <c r="E108" s="53"/>
      <c r="F108" s="53"/>
      <c r="G108" s="53"/>
      <c r="H108" s="53"/>
      <c r="I108" s="53"/>
      <c r="J108" s="53"/>
      <c r="K108" s="53"/>
      <c r="L108" s="53"/>
      <c r="M108" s="53"/>
      <c r="N108" s="53"/>
      <c r="O108" s="53"/>
      <c r="P108" s="53"/>
      <c r="Q108" s="53"/>
      <c r="R108" s="53"/>
      <c r="S108" s="53"/>
      <c r="T108" s="53"/>
      <c r="U108" s="53"/>
    </row>
    <row r="109" spans="2:21" ht="12.75" x14ac:dyDescent="0.2">
      <c r="B109" s="53"/>
      <c r="C109" s="53"/>
      <c r="D109" s="53"/>
      <c r="E109" s="53"/>
      <c r="F109" s="53"/>
      <c r="G109" s="53"/>
      <c r="H109" s="53"/>
      <c r="I109" s="53"/>
      <c r="J109" s="53"/>
      <c r="K109" s="53"/>
      <c r="L109" s="53"/>
      <c r="M109" s="53"/>
      <c r="N109" s="53"/>
      <c r="O109" s="53"/>
      <c r="P109" s="53"/>
      <c r="Q109" s="53"/>
      <c r="R109" s="53"/>
      <c r="S109" s="53"/>
      <c r="T109" s="53"/>
      <c r="U109" s="53"/>
    </row>
  </sheetData>
  <mergeCells count="2">
    <mergeCell ref="A4:O5"/>
    <mergeCell ref="B6:S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P16"/>
  <sheetViews>
    <sheetView workbookViewId="0">
      <selection activeCell="O7" sqref="O7"/>
    </sheetView>
  </sheetViews>
  <sheetFormatPr baseColWidth="10" defaultColWidth="12.5703125" defaultRowHeight="15.75" customHeight="1" x14ac:dyDescent="0.2"/>
  <cols>
    <col min="1" max="1" width="28.140625" customWidth="1"/>
    <col min="2" max="14" width="9.5703125" customWidth="1"/>
    <col min="15" max="15" width="12.7109375" customWidth="1"/>
    <col min="16" max="16" width="9.5703125" customWidth="1"/>
  </cols>
  <sheetData>
    <row r="1" spans="1:16" x14ac:dyDescent="0.2">
      <c r="A1" s="4" t="s">
        <v>524</v>
      </c>
      <c r="D1" s="47">
        <v>45806</v>
      </c>
      <c r="E1" s="42">
        <v>45819</v>
      </c>
      <c r="F1" s="4">
        <f>E1-D1</f>
        <v>13</v>
      </c>
    </row>
    <row r="4" spans="1:16" x14ac:dyDescent="0.2">
      <c r="B4" s="47">
        <v>45806</v>
      </c>
      <c r="C4" s="47">
        <v>45807</v>
      </c>
      <c r="D4" s="47">
        <v>45808</v>
      </c>
      <c r="E4" s="47">
        <v>45809</v>
      </c>
      <c r="F4" s="47">
        <v>45810</v>
      </c>
      <c r="G4" s="47">
        <v>45811</v>
      </c>
      <c r="H4" s="47">
        <v>45812</v>
      </c>
      <c r="I4" s="47">
        <v>45813</v>
      </c>
      <c r="J4" s="47">
        <v>45814</v>
      </c>
      <c r="K4" s="47">
        <v>45815</v>
      </c>
      <c r="L4" s="47">
        <v>45816</v>
      </c>
      <c r="M4" s="47">
        <v>45817</v>
      </c>
      <c r="N4" s="47">
        <v>45818</v>
      </c>
      <c r="O4" s="47">
        <v>45819</v>
      </c>
      <c r="P4" s="47"/>
    </row>
    <row r="5" spans="1:16" x14ac:dyDescent="0.2">
      <c r="B5" s="4" t="s">
        <v>525</v>
      </c>
      <c r="C5" s="4" t="s">
        <v>526</v>
      </c>
      <c r="D5" s="4" t="s">
        <v>527</v>
      </c>
      <c r="E5" s="4" t="s">
        <v>528</v>
      </c>
      <c r="F5" s="4" t="s">
        <v>529</v>
      </c>
      <c r="G5" s="4" t="s">
        <v>530</v>
      </c>
      <c r="H5" s="4" t="s">
        <v>531</v>
      </c>
      <c r="I5" s="4" t="s">
        <v>532</v>
      </c>
      <c r="J5" s="4" t="s">
        <v>533</v>
      </c>
      <c r="K5" s="4" t="s">
        <v>534</v>
      </c>
      <c r="L5" s="4" t="s">
        <v>535</v>
      </c>
      <c r="M5" s="4" t="s">
        <v>536</v>
      </c>
      <c r="N5" s="4" t="s">
        <v>537</v>
      </c>
      <c r="O5" s="4" t="s">
        <v>538</v>
      </c>
    </row>
    <row r="6" spans="1:16" x14ac:dyDescent="0.2">
      <c r="A6" s="4" t="s">
        <v>472</v>
      </c>
      <c r="B6" s="48">
        <v>0</v>
      </c>
      <c r="C6" s="48">
        <f>SUM('Auxiliar EsfuerzoDia'!B3:B84)</f>
        <v>1.75</v>
      </c>
      <c r="D6" s="48">
        <f>SUM('Auxiliar EsfuerzoDia'!C3:C84)+C6</f>
        <v>4.5</v>
      </c>
      <c r="E6" s="48">
        <f>SUM('Auxiliar EsfuerzoDia'!D3:D84)+D6</f>
        <v>10.166666666666666</v>
      </c>
      <c r="F6" s="48">
        <f>SUM('Auxiliar EsfuerzoDia'!E3:E84)+E6</f>
        <v>19.333333333333332</v>
      </c>
      <c r="G6" s="48">
        <f>SUM('Auxiliar EsfuerzoDia'!F3:F84)+F6</f>
        <v>34</v>
      </c>
      <c r="H6" s="48">
        <f>SUM('Auxiliar EsfuerzoDia'!G3:G84)+G6</f>
        <v>50.666666666666671</v>
      </c>
      <c r="I6" s="48">
        <f>SUM('Auxiliar EsfuerzoDia'!H3:H84)+H6</f>
        <v>63.416666666666671</v>
      </c>
      <c r="J6" s="48">
        <f>SUM('Auxiliar EsfuerzoDia'!I3:I84)+I6</f>
        <v>72.833333333333343</v>
      </c>
      <c r="K6" s="48">
        <f>SUM('Auxiliar EsfuerzoDia'!J3:J84)+J6</f>
        <v>88.583333333333343</v>
      </c>
      <c r="L6" s="48">
        <f>SUM('Auxiliar EsfuerzoDia'!K3:K84)+K6</f>
        <v>104.25000000000001</v>
      </c>
      <c r="M6" s="48">
        <f>SUM('Auxiliar EsfuerzoDia'!L3:L84)+L6</f>
        <v>118.00000000000001</v>
      </c>
      <c r="N6" s="48">
        <f>SUM('Auxiliar EsfuerzoDia'!M3:M84)+M6</f>
        <v>122.50000000000001</v>
      </c>
      <c r="O6" s="48">
        <f>SUM('Auxiliar EsfuerzoDia'!N3:N84)+N6</f>
        <v>126.50000000000001</v>
      </c>
      <c r="P6" s="57"/>
    </row>
    <row r="7" spans="1:16" x14ac:dyDescent="0.2">
      <c r="A7" s="4" t="s">
        <v>473</v>
      </c>
      <c r="B7" s="48">
        <v>0</v>
      </c>
      <c r="C7" s="48">
        <f>SUM('Auxiliar Esfuerzo Estimado'!B3:B84)</f>
        <v>3.5000000000000004</v>
      </c>
      <c r="D7" s="48">
        <f>SUM('Auxiliar Esfuerzo Estimado'!C3:C84)+C7</f>
        <v>8</v>
      </c>
      <c r="E7" s="48">
        <f>SUM('Auxiliar Esfuerzo Estimado'!D3:D84)+D7</f>
        <v>16.350000000000001</v>
      </c>
      <c r="F7" s="48">
        <f>SUM('Auxiliar Esfuerzo Estimado'!E3:E84)+E7</f>
        <v>24.700000000000003</v>
      </c>
      <c r="G7" s="48">
        <f>SUM('Auxiliar Esfuerzo Estimado'!F3:F84)+F7</f>
        <v>47.05</v>
      </c>
      <c r="H7" s="48">
        <f>SUM('Auxiliar Esfuerzo Estimado'!G3:G84)+G7</f>
        <v>65.066666666666663</v>
      </c>
      <c r="I7" s="48">
        <f>SUM('Auxiliar Esfuerzo Estimado'!H3:H84)+H7</f>
        <v>82.833333333333329</v>
      </c>
      <c r="J7" s="48">
        <f>SUM('Auxiliar Esfuerzo Estimado'!I3:I84)+I7</f>
        <v>99.899999999999991</v>
      </c>
      <c r="K7" s="48">
        <f>SUM('Auxiliar Esfuerzo Estimado'!J3:J84)+J7</f>
        <v>112.3</v>
      </c>
      <c r="L7" s="48">
        <f>SUM('Auxiliar Esfuerzo Estimado'!K3:K84)+K7</f>
        <v>122.7</v>
      </c>
      <c r="M7" s="48">
        <f>SUM('Auxiliar Esfuerzo Estimado'!L3:L84)+L7</f>
        <v>133.1</v>
      </c>
      <c r="N7" s="48">
        <f>SUM('Auxiliar Esfuerzo Estimado'!M3:M84)+M7</f>
        <v>143</v>
      </c>
      <c r="O7" s="48">
        <f>SUM('Auxiliar Esfuerzo Estimado'!N3:N84)+N7</f>
        <v>143</v>
      </c>
    </row>
    <row r="13" spans="1:16" x14ac:dyDescent="0.2">
      <c r="B13" s="47">
        <v>45806</v>
      </c>
      <c r="C13" s="47">
        <v>45807</v>
      </c>
      <c r="D13" s="47">
        <v>45808</v>
      </c>
      <c r="E13" s="47">
        <v>45809</v>
      </c>
      <c r="F13" s="47">
        <v>45810</v>
      </c>
      <c r="G13" s="47">
        <v>45811</v>
      </c>
      <c r="H13" s="47">
        <v>45812</v>
      </c>
      <c r="I13" s="47">
        <v>45813</v>
      </c>
      <c r="J13" s="47">
        <v>45814</v>
      </c>
      <c r="K13" s="47">
        <v>45815</v>
      </c>
      <c r="L13" s="47">
        <v>45816</v>
      </c>
      <c r="M13" s="47">
        <v>45817</v>
      </c>
      <c r="N13" s="47">
        <v>45818</v>
      </c>
      <c r="O13" s="47">
        <v>45819</v>
      </c>
    </row>
    <row r="14" spans="1:16" x14ac:dyDescent="0.2">
      <c r="B14" s="4" t="s">
        <v>525</v>
      </c>
      <c r="C14" s="4" t="s">
        <v>526</v>
      </c>
      <c r="D14" s="4" t="s">
        <v>527</v>
      </c>
      <c r="E14" s="4" t="s">
        <v>528</v>
      </c>
      <c r="F14" s="4" t="s">
        <v>529</v>
      </c>
      <c r="G14" s="4" t="s">
        <v>530</v>
      </c>
      <c r="H14" s="4" t="s">
        <v>531</v>
      </c>
      <c r="I14" s="4" t="s">
        <v>532</v>
      </c>
      <c r="J14" s="4" t="s">
        <v>533</v>
      </c>
      <c r="K14" s="4" t="s">
        <v>534</v>
      </c>
      <c r="L14" s="4" t="s">
        <v>535</v>
      </c>
      <c r="M14" s="4" t="s">
        <v>536</v>
      </c>
      <c r="N14" s="4" t="s">
        <v>537</v>
      </c>
      <c r="O14" s="4" t="s">
        <v>538</v>
      </c>
    </row>
    <row r="15" spans="1:16" x14ac:dyDescent="0.2">
      <c r="A15" s="4" t="s">
        <v>475</v>
      </c>
      <c r="B15" s="48">
        <f>126.5-B6</f>
        <v>126.5</v>
      </c>
      <c r="C15" s="48">
        <f>B15-SUM('Auxiliar EsfuerzoDia'!B3:B84)</f>
        <v>124.75</v>
      </c>
      <c r="D15" s="48">
        <f>C15-SUM('Auxiliar EsfuerzoDia'!C3:C84)</f>
        <v>122</v>
      </c>
      <c r="E15" s="48">
        <f>D15-SUM('Auxiliar EsfuerzoDia'!D3:D84)</f>
        <v>116.33333333333333</v>
      </c>
      <c r="F15" s="48">
        <f>E15-SUM('Auxiliar EsfuerzoDia'!E3:E84)</f>
        <v>107.16666666666666</v>
      </c>
      <c r="G15" s="48">
        <f>F15-SUM('Auxiliar EsfuerzoDia'!F3:F84)</f>
        <v>92.499999999999986</v>
      </c>
      <c r="H15" s="48">
        <f>G15-SUM('Auxiliar EsfuerzoDia'!G3:G84)</f>
        <v>75.833333333333314</v>
      </c>
      <c r="I15" s="48">
        <f>H15-SUM('Auxiliar EsfuerzoDia'!H3:H84)</f>
        <v>63.083333333333314</v>
      </c>
      <c r="J15" s="48">
        <f>I15-SUM('Auxiliar EsfuerzoDia'!I3:I84)</f>
        <v>53.66666666666665</v>
      </c>
      <c r="K15" s="48">
        <f>J15-SUM('Auxiliar EsfuerzoDia'!J3:J84)</f>
        <v>37.91666666666665</v>
      </c>
      <c r="L15" s="48">
        <f>K15-SUM('Auxiliar EsfuerzoDia'!K3:K84)</f>
        <v>22.249999999999986</v>
      </c>
      <c r="M15" s="48">
        <f>L15-SUM('Auxiliar EsfuerzoDia'!L3:L84)</f>
        <v>8.4999999999999858</v>
      </c>
      <c r="N15" s="48">
        <f>M15-SUM('Auxiliar EsfuerzoDia'!M3:M84)</f>
        <v>3.9999999999999858</v>
      </c>
      <c r="O15" s="48">
        <f>N15-SUM('Auxiliar EsfuerzoDia'!N3:N84)</f>
        <v>-1.4210854715202004E-14</v>
      </c>
    </row>
    <row r="16" spans="1:16" x14ac:dyDescent="0.2">
      <c r="A16" s="4" t="s">
        <v>476</v>
      </c>
      <c r="B16" s="48">
        <f>143-B7</f>
        <v>143</v>
      </c>
      <c r="C16" s="48">
        <f>B16-SUM('Auxiliar Esfuerzo Estimado'!B3:B84)</f>
        <v>139.5</v>
      </c>
      <c r="D16" s="48">
        <f>C16-SUM('Auxiliar Esfuerzo Estimado'!C3:C84)</f>
        <v>135</v>
      </c>
      <c r="E16" s="48">
        <f>D16-SUM('Auxiliar Esfuerzo Estimado'!D3:D84)</f>
        <v>126.65</v>
      </c>
      <c r="F16" s="48">
        <f>E16-SUM('Auxiliar Esfuerzo Estimado'!E3:E84)</f>
        <v>118.30000000000001</v>
      </c>
      <c r="G16" s="48">
        <f>F16-SUM('Auxiliar Esfuerzo Estimado'!F3:F84)</f>
        <v>95.950000000000017</v>
      </c>
      <c r="H16" s="48">
        <f>G16-SUM('Auxiliar Esfuerzo Estimado'!G3:G84)</f>
        <v>77.933333333333351</v>
      </c>
      <c r="I16" s="48">
        <f>H16-SUM('Auxiliar Esfuerzo Estimado'!H3:H84)</f>
        <v>60.166666666666686</v>
      </c>
      <c r="J16" s="48">
        <f>I16-SUM('Auxiliar Esfuerzo Estimado'!I3:I84)</f>
        <v>43.100000000000023</v>
      </c>
      <c r="K16" s="48">
        <f>J16-SUM('Auxiliar Esfuerzo Estimado'!J3:J84)</f>
        <v>30.700000000000024</v>
      </c>
      <c r="L16" s="48">
        <f>K16-SUM('Auxiliar Esfuerzo Estimado'!K3:K84)</f>
        <v>20.300000000000026</v>
      </c>
      <c r="M16" s="48">
        <f>L16-SUM('Auxiliar Esfuerzo Estimado'!L3:L84)</f>
        <v>9.9000000000000252</v>
      </c>
      <c r="N16" s="48">
        <f>M16-SUM('Auxiliar Esfuerzo Estimado'!M3:M84)</f>
        <v>2.4868995751603507E-14</v>
      </c>
      <c r="O16" s="48">
        <f>N16-SUM('Auxiliar Esfuerzo Estimado'!N3:N84)</f>
        <v>2.4868995751603507E-14</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O89"/>
  <sheetViews>
    <sheetView workbookViewId="0"/>
  </sheetViews>
  <sheetFormatPr baseColWidth="10" defaultColWidth="12.5703125" defaultRowHeight="15.75" customHeight="1" x14ac:dyDescent="0.2"/>
  <cols>
    <col min="1" max="1" width="43.7109375" customWidth="1"/>
    <col min="2" max="15" width="8.42578125" customWidth="1"/>
  </cols>
  <sheetData>
    <row r="1" spans="1:15" ht="4.5" customHeight="1" x14ac:dyDescent="0.2">
      <c r="B1" s="31"/>
      <c r="C1" s="31"/>
      <c r="D1" s="31"/>
      <c r="E1" s="31"/>
      <c r="F1" s="31"/>
      <c r="G1" s="31"/>
      <c r="H1" s="31"/>
      <c r="I1" s="31"/>
      <c r="J1" s="31"/>
      <c r="K1" s="31"/>
      <c r="L1" s="31"/>
      <c r="M1" s="31"/>
      <c r="N1" s="31"/>
      <c r="O1" s="31"/>
    </row>
    <row r="2" spans="1:15" ht="36" customHeight="1" x14ac:dyDescent="0.2">
      <c r="B2" s="58">
        <v>45806</v>
      </c>
      <c r="C2" s="58">
        <v>45807</v>
      </c>
      <c r="D2" s="58">
        <v>45808</v>
      </c>
      <c r="E2" s="58">
        <v>45809</v>
      </c>
      <c r="F2" s="58">
        <v>45810</v>
      </c>
      <c r="G2" s="58">
        <v>45811</v>
      </c>
      <c r="H2" s="58">
        <v>45812</v>
      </c>
      <c r="I2" s="58">
        <v>45813</v>
      </c>
      <c r="J2" s="58">
        <v>45814</v>
      </c>
      <c r="K2" s="58">
        <v>45815</v>
      </c>
      <c r="L2" s="58">
        <v>45816</v>
      </c>
      <c r="M2" s="58">
        <v>45817</v>
      </c>
      <c r="N2" s="58">
        <v>45818</v>
      </c>
      <c r="O2" s="58">
        <v>45819</v>
      </c>
    </row>
    <row r="3" spans="1:15" ht="12.75" x14ac:dyDescent="0.2">
      <c r="A3" s="50" t="s">
        <v>497</v>
      </c>
      <c r="B3" s="51">
        <f>COUNTIFS('ProductSprint Backlog'!$D$3:$D$84,"&lt;&gt;",'ProductSprint Backlog'!$L$3:$L$84,"&gt;"&amp;DATEVALUE(B2))</f>
        <v>0</v>
      </c>
      <c r="C3" s="51">
        <f>COUNTIFS('ProductSprint Backlog'!$D$3:$D$84,"&lt;&gt;",'ProductSprint Backlog'!$L$3:$L$84,"&gt;"&amp;DATEVALUE(C2))</f>
        <v>0</v>
      </c>
      <c r="D3" s="51">
        <f>COUNTIFS('ProductSprint Backlog'!$D$3:$D$84,"&lt;&gt;",'ProductSprint Backlog'!$L$3:$L$84,"&gt;"&amp;DATEVALUE(D2))</f>
        <v>0</v>
      </c>
      <c r="E3" s="51">
        <f>COUNTIFS('ProductSprint Backlog'!$D$3:$D$84,"&lt;&gt;",'ProductSprint Backlog'!$L$3:$L$84,"&gt;"&amp;DATEVALUE(E2))</f>
        <v>0</v>
      </c>
      <c r="F3" s="51">
        <f>COUNTIFS('ProductSprint Backlog'!$D$3:$D$84,"&lt;&gt;",'ProductSprint Backlog'!$L$3:$L$84,"&gt;"&amp;DATEVALUE(F2))</f>
        <v>0</v>
      </c>
      <c r="G3" s="51">
        <f>COUNTIFS('ProductSprint Backlog'!$D$3:$D$84,"&lt;&gt;",'ProductSprint Backlog'!$L$3:$L$84,"&gt;"&amp;DATEVALUE(G2))</f>
        <v>0</v>
      </c>
      <c r="H3" s="51">
        <f>COUNTIFS('ProductSprint Backlog'!$D$3:$D$84,"&lt;&gt;",'ProductSprint Backlog'!$L$3:$L$84,"&gt;"&amp;DATEVALUE(H2))</f>
        <v>0</v>
      </c>
      <c r="I3" s="51">
        <f>COUNTIFS('ProductSprint Backlog'!$D$3:$D$84,"&lt;&gt;",'ProductSprint Backlog'!$L$3:$L$84,"&gt;"&amp;DATEVALUE(I2))</f>
        <v>0</v>
      </c>
      <c r="J3" s="51">
        <f>COUNTIFS('ProductSprint Backlog'!$D$3:$D$84,"&lt;&gt;",'ProductSprint Backlog'!$L$3:$L$84,"&gt;"&amp;DATEVALUE(J2))</f>
        <v>0</v>
      </c>
      <c r="K3" s="51">
        <f>COUNTIFS('ProductSprint Backlog'!$D$3:$D$84,"&lt;&gt;",'ProductSprint Backlog'!$L$3:$L$84,"&gt;"&amp;DATEVALUE(K2))</f>
        <v>0</v>
      </c>
      <c r="L3" s="51">
        <f>COUNTIFS('ProductSprint Backlog'!$D$3:$D$84,"&lt;&gt;",'ProductSprint Backlog'!$L$3:$L$84,"&gt;"&amp;DATEVALUE(L2))</f>
        <v>0</v>
      </c>
      <c r="M3" s="51">
        <f>COUNTIFS('ProductSprint Backlog'!$D$3:$D$84,"&lt;&gt;",'ProductSprint Backlog'!$L$3:$L$84,"&gt;"&amp;DATEVALUE(M2))</f>
        <v>0</v>
      </c>
      <c r="N3" s="51">
        <f>COUNTIFS('ProductSprint Backlog'!$D$3:$D$84,"&lt;&gt;",'ProductSprint Backlog'!$L$3:$L$84,"&gt;"&amp;DATEVALUE(N2))</f>
        <v>0</v>
      </c>
      <c r="O3" s="51">
        <f>COUNTIFS('ProductSprint Backlog'!$D$3:$D$84,"&lt;&gt;",'ProductSprint Backlog'!$L$3:$L$84,"&gt;"&amp;DATEVALUE(O2))</f>
        <v>0</v>
      </c>
    </row>
    <row r="4" spans="1:15" ht="12.75" x14ac:dyDescent="0.2">
      <c r="A4" s="50" t="s">
        <v>539</v>
      </c>
      <c r="B4" s="59">
        <f>SUMIF('ProductSprint Backlog'!$J$3:$J$84,"&gt;"&amp;DATEVALUE(B2),'ProductSprint Backlog'!$F$3:$F$84)</f>
        <v>0</v>
      </c>
      <c r="C4" s="51">
        <f>SUMIF('ProductSprint Backlog'!$J$3:$J$84,"&gt;"&amp;DATEVALUE(C2),'ProductSprint Backlog'!$F$3:$F$84)</f>
        <v>0</v>
      </c>
      <c r="D4" s="51">
        <f>SUMIF('ProductSprint Backlog'!$J$3:$J$84,"&gt;"&amp;DATEVALUE(D2),'ProductSprint Backlog'!$F$3:$F$84)</f>
        <v>0</v>
      </c>
      <c r="E4" s="51">
        <f>SUMIF('ProductSprint Backlog'!$J$3:$J$84,"&gt;"&amp;DATEVALUE(E2),'ProductSprint Backlog'!$F$3:$F$84)</f>
        <v>0</v>
      </c>
      <c r="F4" s="51">
        <f>SUMIF('ProductSprint Backlog'!$J$3:$J$84,"&gt;"&amp;DATEVALUE(F2),'ProductSprint Backlog'!$F$3:$F$84)</f>
        <v>0</v>
      </c>
      <c r="G4" s="51">
        <f>SUMIF('ProductSprint Backlog'!$J$3:$J$84,"&gt;"&amp;DATEVALUE(G2),'ProductSprint Backlog'!$F$3:$F$84)</f>
        <v>0</v>
      </c>
      <c r="H4" s="51">
        <f>SUMIF('ProductSprint Backlog'!$J$3:$J$84,"&gt;"&amp;DATEVALUE(H2),'ProductSprint Backlog'!$F$3:$F$84)</f>
        <v>0</v>
      </c>
      <c r="I4" s="51">
        <f>SUMIF('ProductSprint Backlog'!$J$3:$J$84,"&gt;"&amp;DATEVALUE(I2),'ProductSprint Backlog'!$F$3:$F$84)</f>
        <v>0</v>
      </c>
      <c r="J4" s="51">
        <f>SUMIF('ProductSprint Backlog'!$J$3:$J$84,"&gt;"&amp;DATEVALUE(J2),'ProductSprint Backlog'!$F$3:$F$84)</f>
        <v>0</v>
      </c>
      <c r="K4" s="51">
        <f>SUMIF('ProductSprint Backlog'!$J$3:$J$84,"&gt;"&amp;DATEVALUE(K2),'ProductSprint Backlog'!$F$3:$F$84)</f>
        <v>0</v>
      </c>
      <c r="L4" s="51">
        <f>SUMIF('ProductSprint Backlog'!$J$3:$J$84,"&gt;"&amp;DATEVALUE(L2),'ProductSprint Backlog'!$F$3:$F$84)</f>
        <v>0</v>
      </c>
      <c r="M4" s="51">
        <f>SUMIF('ProductSprint Backlog'!$J$3:$J$84,"&gt;"&amp;DATEVALUE(M2),'ProductSprint Backlog'!$F$3:$F$84)</f>
        <v>0</v>
      </c>
      <c r="N4" s="51">
        <f>SUMIF('ProductSprint Backlog'!$J$3:$J$84,"&gt;"&amp;DATEVALUE(N2),'ProductSprint Backlog'!$F$3:$F$84)</f>
        <v>0</v>
      </c>
      <c r="O4" s="51">
        <f>SUMIF('ProductSprint Backlog'!$J$3:$J$84,"&gt;"&amp;DATEVALUE(O2),'ProductSprint Backlog'!$F$3:$F$84)</f>
        <v>0</v>
      </c>
    </row>
    <row r="5" spans="1:15" ht="15.75" customHeight="1" x14ac:dyDescent="0.2">
      <c r="A5" s="61"/>
      <c r="B5" s="61"/>
      <c r="C5" s="61"/>
      <c r="D5" s="61"/>
      <c r="E5" s="61"/>
      <c r="F5" s="61"/>
      <c r="G5" s="61"/>
      <c r="H5" s="61"/>
      <c r="I5" s="61"/>
      <c r="J5" s="61"/>
      <c r="K5" s="61"/>
      <c r="L5" s="61"/>
      <c r="M5" s="61"/>
      <c r="N5" s="61"/>
      <c r="O5" s="61"/>
    </row>
    <row r="6" spans="1:15" ht="15.75" customHeight="1" x14ac:dyDescent="0.2">
      <c r="A6" s="61"/>
      <c r="B6" s="61"/>
      <c r="C6" s="61"/>
      <c r="D6" s="61"/>
      <c r="E6" s="61"/>
      <c r="F6" s="61"/>
      <c r="G6" s="61"/>
      <c r="H6" s="61"/>
      <c r="I6" s="61"/>
      <c r="J6" s="61"/>
      <c r="K6" s="61"/>
      <c r="L6" s="61"/>
      <c r="M6" s="61"/>
      <c r="N6" s="61"/>
      <c r="O6" s="61"/>
    </row>
    <row r="7" spans="1:15" ht="12.75" x14ac:dyDescent="0.2">
      <c r="A7" s="50" t="s">
        <v>498</v>
      </c>
      <c r="B7" s="70" t="s">
        <v>499</v>
      </c>
      <c r="C7" s="71"/>
      <c r="D7" s="71"/>
      <c r="E7" s="71"/>
      <c r="F7" s="71"/>
      <c r="G7" s="71"/>
      <c r="H7" s="71"/>
      <c r="I7" s="71"/>
      <c r="J7" s="71"/>
      <c r="K7" s="71"/>
      <c r="L7" s="71"/>
      <c r="M7" s="71"/>
      <c r="N7" s="71"/>
      <c r="O7" s="72"/>
    </row>
    <row r="8" spans="1:15" ht="12.75" x14ac:dyDescent="0.2">
      <c r="A8" s="17" t="s">
        <v>21</v>
      </c>
      <c r="B8" s="51">
        <f>IF('ProductSprint Backlog'!$L3&gt;B$2,'ProductSprint Backlog'!$M3,0)</f>
        <v>4.5</v>
      </c>
      <c r="C8" s="51">
        <f>IF('ProductSprint Backlog'!$L3&gt;C$2,'ProductSprint Backlog'!$M3,0)</f>
        <v>4.5</v>
      </c>
      <c r="D8" s="51">
        <f>IF('ProductSprint Backlog'!$L3&gt;D$2,'ProductSprint Backlog'!$M3,0)</f>
        <v>4.5</v>
      </c>
      <c r="E8" s="51">
        <f>IF('ProductSprint Backlog'!$L3&gt;E$2,'ProductSprint Backlog'!$M3,0)</f>
        <v>4.5</v>
      </c>
      <c r="F8" s="51">
        <f>IF('ProductSprint Backlog'!$L3&gt;F$2,'ProductSprint Backlog'!$M3,0)</f>
        <v>4.5</v>
      </c>
      <c r="G8" s="51">
        <f>IF('ProductSprint Backlog'!$L3&gt;G$2,'ProductSprint Backlog'!$M3,0)</f>
        <v>4.5</v>
      </c>
      <c r="H8" s="51">
        <f>IF('ProductSprint Backlog'!$L3&gt;H$2,'ProductSprint Backlog'!$M3,0)</f>
        <v>0</v>
      </c>
      <c r="I8" s="51">
        <f>IF('ProductSprint Backlog'!$L3&gt;I$2,'ProductSprint Backlog'!$M3,0)</f>
        <v>0</v>
      </c>
      <c r="J8" s="51">
        <f>IF('ProductSprint Backlog'!$L3&gt;J$2,'ProductSprint Backlog'!$M3,0)</f>
        <v>0</v>
      </c>
      <c r="K8" s="51">
        <f>IF('ProductSprint Backlog'!$L3&gt;K$2,'ProductSprint Backlog'!$M3,0)</f>
        <v>0</v>
      </c>
      <c r="L8" s="51">
        <f>IF('ProductSprint Backlog'!$L3&gt;L$2,'ProductSprint Backlog'!$M3,0)</f>
        <v>0</v>
      </c>
      <c r="M8" s="51">
        <f>IF('ProductSprint Backlog'!$L3&gt;M$2,'ProductSprint Backlog'!$M3,0)</f>
        <v>0</v>
      </c>
      <c r="N8" s="51">
        <f>IF('ProductSprint Backlog'!$L3&gt;N$2,'ProductSprint Backlog'!$M3,0)</f>
        <v>0</v>
      </c>
      <c r="O8" s="51">
        <f>IF('ProductSprint Backlog'!$L3&gt;O$2,'ProductSprint Backlog'!$M3,0)</f>
        <v>0</v>
      </c>
    </row>
    <row r="9" spans="1:15" ht="25.5" x14ac:dyDescent="0.2">
      <c r="A9" s="17" t="s">
        <v>25</v>
      </c>
      <c r="B9" s="51">
        <f>IF('ProductSprint Backlog'!$L4&gt;B$2,'ProductSprint Backlog'!$M4,0)</f>
        <v>2</v>
      </c>
      <c r="C9" s="51">
        <f>IF('ProductSprint Backlog'!$L4&gt;C$2,'ProductSprint Backlog'!$M4,0)</f>
        <v>2</v>
      </c>
      <c r="D9" s="51">
        <f>IF('ProductSprint Backlog'!$L4&gt;D$2,'ProductSprint Backlog'!$M4,0)</f>
        <v>2</v>
      </c>
      <c r="E9" s="51">
        <f>IF('ProductSprint Backlog'!$L4&gt;E$2,'ProductSprint Backlog'!$M4,0)</f>
        <v>2</v>
      </c>
      <c r="F9" s="51">
        <f>IF('ProductSprint Backlog'!$L4&gt;F$2,'ProductSprint Backlog'!$M4,0)</f>
        <v>2</v>
      </c>
      <c r="G9" s="51">
        <f>IF('ProductSprint Backlog'!$L4&gt;G$2,'ProductSprint Backlog'!$M4,0)</f>
        <v>2</v>
      </c>
      <c r="H9" s="51">
        <f>IF('ProductSprint Backlog'!$L4&gt;H$2,'ProductSprint Backlog'!$M4,0)</f>
        <v>2</v>
      </c>
      <c r="I9" s="51">
        <f>IF('ProductSprint Backlog'!$L4&gt;I$2,'ProductSprint Backlog'!$M4,0)</f>
        <v>0</v>
      </c>
      <c r="J9" s="51">
        <f>IF('ProductSprint Backlog'!$L4&gt;J$2,'ProductSprint Backlog'!$M4,0)</f>
        <v>0</v>
      </c>
      <c r="K9" s="51">
        <f>IF('ProductSprint Backlog'!$L4&gt;K$2,'ProductSprint Backlog'!$M4,0)</f>
        <v>0</v>
      </c>
      <c r="L9" s="51">
        <f>IF('ProductSprint Backlog'!$L4&gt;L$2,'ProductSprint Backlog'!$M4,0)</f>
        <v>0</v>
      </c>
      <c r="M9" s="51">
        <f>IF('ProductSprint Backlog'!$L4&gt;M$2,'ProductSprint Backlog'!$M4,0)</f>
        <v>0</v>
      </c>
      <c r="N9" s="51">
        <f>IF('ProductSprint Backlog'!$L4&gt;N$2,'ProductSprint Backlog'!$M4,0)</f>
        <v>0</v>
      </c>
      <c r="O9" s="51">
        <f>IF('ProductSprint Backlog'!$L4&gt;O$2,'ProductSprint Backlog'!$M4,0)</f>
        <v>0</v>
      </c>
    </row>
    <row r="10" spans="1:15" ht="12.75" x14ac:dyDescent="0.2">
      <c r="A10" s="17" t="s">
        <v>27</v>
      </c>
      <c r="B10" s="51">
        <f>IF('ProductSprint Backlog'!$L5&gt;B$2,'ProductSprint Backlog'!$M5,0)</f>
        <v>1.5</v>
      </c>
      <c r="C10" s="51">
        <f>IF('ProductSprint Backlog'!$L5&gt;C$2,'ProductSprint Backlog'!$M5,0)</f>
        <v>1.5</v>
      </c>
      <c r="D10" s="51">
        <f>IF('ProductSprint Backlog'!$L5&gt;D$2,'ProductSprint Backlog'!$M5,0)</f>
        <v>1.5</v>
      </c>
      <c r="E10" s="51">
        <f>IF('ProductSprint Backlog'!$L5&gt;E$2,'ProductSprint Backlog'!$M5,0)</f>
        <v>1.5</v>
      </c>
      <c r="F10" s="51">
        <f>IF('ProductSprint Backlog'!$L5&gt;F$2,'ProductSprint Backlog'!$M5,0)</f>
        <v>1.5</v>
      </c>
      <c r="G10" s="51">
        <f>IF('ProductSprint Backlog'!$L5&gt;G$2,'ProductSprint Backlog'!$M5,0)</f>
        <v>1.5</v>
      </c>
      <c r="H10" s="51">
        <f>IF('ProductSprint Backlog'!$L5&gt;H$2,'ProductSprint Backlog'!$M5,0)</f>
        <v>0</v>
      </c>
      <c r="I10" s="51">
        <f>IF('ProductSprint Backlog'!$L5&gt;I$2,'ProductSprint Backlog'!$M5,0)</f>
        <v>0</v>
      </c>
      <c r="J10" s="51">
        <f>IF('ProductSprint Backlog'!$L5&gt;J$2,'ProductSprint Backlog'!$M5,0)</f>
        <v>0</v>
      </c>
      <c r="K10" s="51">
        <f>IF('ProductSprint Backlog'!$L5&gt;K$2,'ProductSprint Backlog'!$M5,0)</f>
        <v>0</v>
      </c>
      <c r="L10" s="51">
        <f>IF('ProductSprint Backlog'!$L5&gt;L$2,'ProductSprint Backlog'!$M5,0)</f>
        <v>0</v>
      </c>
      <c r="M10" s="51">
        <f>IF('ProductSprint Backlog'!$L5&gt;M$2,'ProductSprint Backlog'!$M5,0)</f>
        <v>0</v>
      </c>
      <c r="N10" s="51">
        <f>IF('ProductSprint Backlog'!$L5&gt;N$2,'ProductSprint Backlog'!$M5,0)</f>
        <v>0</v>
      </c>
      <c r="O10" s="51">
        <f>IF('ProductSprint Backlog'!$L5&gt;O$2,'ProductSprint Backlog'!$M5,0)</f>
        <v>0</v>
      </c>
    </row>
    <row r="11" spans="1:15" ht="12.75" x14ac:dyDescent="0.2">
      <c r="A11" s="17" t="s">
        <v>29</v>
      </c>
      <c r="B11" s="51">
        <f>IF('ProductSprint Backlog'!$L6&gt;B$2,'ProductSprint Backlog'!$M6,0)</f>
        <v>2</v>
      </c>
      <c r="C11" s="51">
        <f>IF('ProductSprint Backlog'!$L6&gt;C$2,'ProductSprint Backlog'!$M6,0)</f>
        <v>2</v>
      </c>
      <c r="D11" s="51">
        <f>IF('ProductSprint Backlog'!$L6&gt;D$2,'ProductSprint Backlog'!$M6,0)</f>
        <v>2</v>
      </c>
      <c r="E11" s="51">
        <f>IF('ProductSprint Backlog'!$L6&gt;E$2,'ProductSprint Backlog'!$M6,0)</f>
        <v>2</v>
      </c>
      <c r="F11" s="51">
        <f>IF('ProductSprint Backlog'!$L6&gt;F$2,'ProductSprint Backlog'!$M6,0)</f>
        <v>2</v>
      </c>
      <c r="G11" s="51">
        <f>IF('ProductSprint Backlog'!$L6&gt;G$2,'ProductSprint Backlog'!$M6,0)</f>
        <v>2</v>
      </c>
      <c r="H11" s="51">
        <f>IF('ProductSprint Backlog'!$L6&gt;H$2,'ProductSprint Backlog'!$M6,0)</f>
        <v>2</v>
      </c>
      <c r="I11" s="51">
        <f>IF('ProductSprint Backlog'!$L6&gt;I$2,'ProductSprint Backlog'!$M6,0)</f>
        <v>2</v>
      </c>
      <c r="J11" s="51">
        <f>IF('ProductSprint Backlog'!$L6&gt;J$2,'ProductSprint Backlog'!$M6,0)</f>
        <v>2</v>
      </c>
      <c r="K11" s="51">
        <f>IF('ProductSprint Backlog'!$L6&gt;K$2,'ProductSprint Backlog'!$M6,0)</f>
        <v>2</v>
      </c>
      <c r="L11" s="51">
        <f>IF('ProductSprint Backlog'!$L6&gt;L$2,'ProductSprint Backlog'!$M6,0)</f>
        <v>0</v>
      </c>
      <c r="M11" s="51">
        <f>IF('ProductSprint Backlog'!$L6&gt;M$2,'ProductSprint Backlog'!$M6,0)</f>
        <v>0</v>
      </c>
      <c r="N11" s="51">
        <f>IF('ProductSprint Backlog'!$L6&gt;N$2,'ProductSprint Backlog'!$M6,0)</f>
        <v>0</v>
      </c>
      <c r="O11" s="51">
        <f>IF('ProductSprint Backlog'!$L6&gt;O$2,'ProductSprint Backlog'!$M6,0)</f>
        <v>0</v>
      </c>
    </row>
    <row r="12" spans="1:15" ht="12.75" x14ac:dyDescent="0.2">
      <c r="A12" s="18"/>
      <c r="B12" s="73"/>
      <c r="C12" s="71"/>
      <c r="D12" s="71"/>
      <c r="E12" s="71"/>
      <c r="F12" s="71"/>
      <c r="G12" s="71"/>
      <c r="H12" s="71"/>
      <c r="I12" s="71"/>
      <c r="J12" s="71"/>
      <c r="K12" s="71"/>
      <c r="L12" s="71"/>
      <c r="M12" s="71"/>
      <c r="N12" s="71"/>
      <c r="O12" s="72"/>
    </row>
    <row r="13" spans="1:15" ht="12.75" x14ac:dyDescent="0.2">
      <c r="A13" s="17" t="s">
        <v>32</v>
      </c>
      <c r="B13" s="51">
        <f>IF('ProductSprint Backlog'!$L8&gt;B$2,'ProductSprint Backlog'!$M8,0)</f>
        <v>1.5</v>
      </c>
      <c r="C13" s="51">
        <f>IF('ProductSprint Backlog'!$L8&gt;C$2,'ProductSprint Backlog'!$M8,0)</f>
        <v>1.5</v>
      </c>
      <c r="D13" s="51">
        <f>IF('ProductSprint Backlog'!$L8&gt;D$2,'ProductSprint Backlog'!$M8,0)</f>
        <v>1.5</v>
      </c>
      <c r="E13" s="51">
        <f>IF('ProductSprint Backlog'!$L8&gt;E$2,'ProductSprint Backlog'!$M8,0)</f>
        <v>1.5</v>
      </c>
      <c r="F13" s="51">
        <f>IF('ProductSprint Backlog'!$L8&gt;F$2,'ProductSprint Backlog'!$M8,0)</f>
        <v>1.5</v>
      </c>
      <c r="G13" s="51">
        <f>IF('ProductSprint Backlog'!$L8&gt;G$2,'ProductSprint Backlog'!$M8,0)</f>
        <v>1.5</v>
      </c>
      <c r="H13" s="51">
        <f>IF('ProductSprint Backlog'!$L8&gt;H$2,'ProductSprint Backlog'!$M8,0)</f>
        <v>0</v>
      </c>
      <c r="I13" s="51">
        <f>IF('ProductSprint Backlog'!$L8&gt;I$2,'ProductSprint Backlog'!$M8,0)</f>
        <v>0</v>
      </c>
      <c r="J13" s="51">
        <f>IF('ProductSprint Backlog'!$L8&gt;J$2,'ProductSprint Backlog'!$M8,0)</f>
        <v>0</v>
      </c>
      <c r="K13" s="51">
        <f>IF('ProductSprint Backlog'!$L8&gt;K$2,'ProductSprint Backlog'!$M8,0)</f>
        <v>0</v>
      </c>
      <c r="L13" s="51">
        <f>IF('ProductSprint Backlog'!$L8&gt;L$2,'ProductSprint Backlog'!$M8,0)</f>
        <v>0</v>
      </c>
      <c r="M13" s="51">
        <f>IF('ProductSprint Backlog'!$L8&gt;M$2,'ProductSprint Backlog'!$M8,0)</f>
        <v>0</v>
      </c>
      <c r="N13" s="51">
        <f>IF('ProductSprint Backlog'!$L8&gt;N$2,'ProductSprint Backlog'!$M8,0)</f>
        <v>0</v>
      </c>
      <c r="O13" s="51">
        <f>IF('ProductSprint Backlog'!$L8&gt;O$2,'ProductSprint Backlog'!$M8,0)</f>
        <v>0</v>
      </c>
    </row>
    <row r="14" spans="1:15" ht="25.5" x14ac:dyDescent="0.2">
      <c r="A14" s="17" t="s">
        <v>34</v>
      </c>
      <c r="B14" s="51">
        <f>IF('ProductSprint Backlog'!$L9&gt;B$2,'ProductSprint Backlog'!$M9,0)</f>
        <v>1</v>
      </c>
      <c r="C14" s="51">
        <f>IF('ProductSprint Backlog'!$L9&gt;C$2,'ProductSprint Backlog'!$M9,0)</f>
        <v>1</v>
      </c>
      <c r="D14" s="51">
        <f>IF('ProductSprint Backlog'!$L9&gt;D$2,'ProductSprint Backlog'!$M9,0)</f>
        <v>1</v>
      </c>
      <c r="E14" s="51">
        <f>IF('ProductSprint Backlog'!$L9&gt;E$2,'ProductSprint Backlog'!$M9,0)</f>
        <v>1</v>
      </c>
      <c r="F14" s="51">
        <f>IF('ProductSprint Backlog'!$L9&gt;F$2,'ProductSprint Backlog'!$M9,0)</f>
        <v>1</v>
      </c>
      <c r="G14" s="51">
        <f>IF('ProductSprint Backlog'!$L9&gt;G$2,'ProductSprint Backlog'!$M9,0)</f>
        <v>1</v>
      </c>
      <c r="H14" s="51">
        <f>IF('ProductSprint Backlog'!$L9&gt;H$2,'ProductSprint Backlog'!$M9,0)</f>
        <v>1</v>
      </c>
      <c r="I14" s="51">
        <f>IF('ProductSprint Backlog'!$L9&gt;I$2,'ProductSprint Backlog'!$M9,0)</f>
        <v>0</v>
      </c>
      <c r="J14" s="51">
        <f>IF('ProductSprint Backlog'!$L9&gt;J$2,'ProductSprint Backlog'!$M9,0)</f>
        <v>0</v>
      </c>
      <c r="K14" s="51">
        <f>IF('ProductSprint Backlog'!$L9&gt;K$2,'ProductSprint Backlog'!$M9,0)</f>
        <v>0</v>
      </c>
      <c r="L14" s="51">
        <f>IF('ProductSprint Backlog'!$L9&gt;L$2,'ProductSprint Backlog'!$M9,0)</f>
        <v>0</v>
      </c>
      <c r="M14" s="51">
        <f>IF('ProductSprint Backlog'!$L9&gt;M$2,'ProductSprint Backlog'!$M9,0)</f>
        <v>0</v>
      </c>
      <c r="N14" s="51">
        <f>IF('ProductSprint Backlog'!$L9&gt;N$2,'ProductSprint Backlog'!$M9,0)</f>
        <v>0</v>
      </c>
      <c r="O14" s="51">
        <f>IF('ProductSprint Backlog'!$L9&gt;O$2,'ProductSprint Backlog'!$M9,0)</f>
        <v>0</v>
      </c>
    </row>
    <row r="15" spans="1:15" ht="12.75" x14ac:dyDescent="0.2">
      <c r="A15" s="17" t="s">
        <v>36</v>
      </c>
      <c r="B15" s="51">
        <f>IF('ProductSprint Backlog'!$L10&gt;B$2,'ProductSprint Backlog'!$M10,0)</f>
        <v>3</v>
      </c>
      <c r="C15" s="51">
        <f>IF('ProductSprint Backlog'!$L10&gt;C$2,'ProductSprint Backlog'!$M10,0)</f>
        <v>3</v>
      </c>
      <c r="D15" s="51">
        <f>IF('ProductSprint Backlog'!$L10&gt;D$2,'ProductSprint Backlog'!$M10,0)</f>
        <v>3</v>
      </c>
      <c r="E15" s="51">
        <f>IF('ProductSprint Backlog'!$L10&gt;E$2,'ProductSprint Backlog'!$M10,0)</f>
        <v>3</v>
      </c>
      <c r="F15" s="51">
        <f>IF('ProductSprint Backlog'!$L10&gt;F$2,'ProductSprint Backlog'!$M10,0)</f>
        <v>3</v>
      </c>
      <c r="G15" s="51">
        <f>IF('ProductSprint Backlog'!$L10&gt;G$2,'ProductSprint Backlog'!$M10,0)</f>
        <v>3</v>
      </c>
      <c r="H15" s="51">
        <f>IF('ProductSprint Backlog'!$L10&gt;H$2,'ProductSprint Backlog'!$M10,0)</f>
        <v>3</v>
      </c>
      <c r="I15" s="51">
        <f>IF('ProductSprint Backlog'!$L10&gt;I$2,'ProductSprint Backlog'!$M10,0)</f>
        <v>0</v>
      </c>
      <c r="J15" s="51">
        <f>IF('ProductSprint Backlog'!$L10&gt;J$2,'ProductSprint Backlog'!$M10,0)</f>
        <v>0</v>
      </c>
      <c r="K15" s="51">
        <f>IF('ProductSprint Backlog'!$L10&gt;K$2,'ProductSprint Backlog'!$M10,0)</f>
        <v>0</v>
      </c>
      <c r="L15" s="51">
        <f>IF('ProductSprint Backlog'!$L10&gt;L$2,'ProductSprint Backlog'!$M10,0)</f>
        <v>0</v>
      </c>
      <c r="M15" s="51">
        <f>IF('ProductSprint Backlog'!$L10&gt;M$2,'ProductSprint Backlog'!$M10,0)</f>
        <v>0</v>
      </c>
      <c r="N15" s="51">
        <f>IF('ProductSprint Backlog'!$L10&gt;N$2,'ProductSprint Backlog'!$M10,0)</f>
        <v>0</v>
      </c>
      <c r="O15" s="51">
        <f>IF('ProductSprint Backlog'!$L10&gt;O$2,'ProductSprint Backlog'!$M10,0)</f>
        <v>0</v>
      </c>
    </row>
    <row r="16" spans="1:15" ht="12.75" x14ac:dyDescent="0.2">
      <c r="A16" s="17" t="s">
        <v>38</v>
      </c>
      <c r="B16" s="51">
        <f>IF('ProductSprint Backlog'!$L11&gt;B$2,'ProductSprint Backlog'!$M11,0)</f>
        <v>3</v>
      </c>
      <c r="C16" s="51">
        <f>IF('ProductSprint Backlog'!$L11&gt;C$2,'ProductSprint Backlog'!$M11,0)</f>
        <v>3</v>
      </c>
      <c r="D16" s="51">
        <f>IF('ProductSprint Backlog'!$L11&gt;D$2,'ProductSprint Backlog'!$M11,0)</f>
        <v>3</v>
      </c>
      <c r="E16" s="51">
        <f>IF('ProductSprint Backlog'!$L11&gt;E$2,'ProductSprint Backlog'!$M11,0)</f>
        <v>3</v>
      </c>
      <c r="F16" s="51">
        <f>IF('ProductSprint Backlog'!$L11&gt;F$2,'ProductSprint Backlog'!$M11,0)</f>
        <v>3</v>
      </c>
      <c r="G16" s="51">
        <f>IF('ProductSprint Backlog'!$L11&gt;G$2,'ProductSprint Backlog'!$M11,0)</f>
        <v>3</v>
      </c>
      <c r="H16" s="51">
        <f>IF('ProductSprint Backlog'!$L11&gt;H$2,'ProductSprint Backlog'!$M11,0)</f>
        <v>3</v>
      </c>
      <c r="I16" s="51">
        <f>IF('ProductSprint Backlog'!$L11&gt;I$2,'ProductSprint Backlog'!$M11,0)</f>
        <v>3</v>
      </c>
      <c r="J16" s="51">
        <f>IF('ProductSprint Backlog'!$L11&gt;J$2,'ProductSprint Backlog'!$M11,0)</f>
        <v>0</v>
      </c>
      <c r="K16" s="51">
        <f>IF('ProductSprint Backlog'!$L11&gt;K$2,'ProductSprint Backlog'!$M11,0)</f>
        <v>0</v>
      </c>
      <c r="L16" s="51">
        <f>IF('ProductSprint Backlog'!$L11&gt;L$2,'ProductSprint Backlog'!$M11,0)</f>
        <v>0</v>
      </c>
      <c r="M16" s="51">
        <f>IF('ProductSprint Backlog'!$L11&gt;M$2,'ProductSprint Backlog'!$M11,0)</f>
        <v>0</v>
      </c>
      <c r="N16" s="51">
        <f>IF('ProductSprint Backlog'!$L11&gt;N$2,'ProductSprint Backlog'!$M11,0)</f>
        <v>0</v>
      </c>
      <c r="O16" s="51">
        <f>IF('ProductSprint Backlog'!$L11&gt;O$2,'ProductSprint Backlog'!$M11,0)</f>
        <v>0</v>
      </c>
    </row>
    <row r="17" spans="1:15" ht="25.5" x14ac:dyDescent="0.2">
      <c r="A17" s="17" t="s">
        <v>40</v>
      </c>
      <c r="B17" s="51">
        <f>IF('ProductSprint Backlog'!$L12&gt;B$2,'ProductSprint Backlog'!$M12,0)</f>
        <v>2</v>
      </c>
      <c r="C17" s="51">
        <f>IF('ProductSprint Backlog'!$L12&gt;C$2,'ProductSprint Backlog'!$M12,0)</f>
        <v>2</v>
      </c>
      <c r="D17" s="51">
        <f>IF('ProductSprint Backlog'!$L12&gt;D$2,'ProductSprint Backlog'!$M12,0)</f>
        <v>2</v>
      </c>
      <c r="E17" s="51">
        <f>IF('ProductSprint Backlog'!$L12&gt;E$2,'ProductSprint Backlog'!$M12,0)</f>
        <v>2</v>
      </c>
      <c r="F17" s="51">
        <f>IF('ProductSprint Backlog'!$L12&gt;F$2,'ProductSprint Backlog'!$M12,0)</f>
        <v>2</v>
      </c>
      <c r="G17" s="51">
        <f>IF('ProductSprint Backlog'!$L12&gt;G$2,'ProductSprint Backlog'!$M12,0)</f>
        <v>2</v>
      </c>
      <c r="H17" s="51">
        <f>IF('ProductSprint Backlog'!$L12&gt;H$2,'ProductSprint Backlog'!$M12,0)</f>
        <v>2</v>
      </c>
      <c r="I17" s="51">
        <f>IF('ProductSprint Backlog'!$L12&gt;I$2,'ProductSprint Backlog'!$M12,0)</f>
        <v>2</v>
      </c>
      <c r="J17" s="51">
        <f>IF('ProductSprint Backlog'!$L12&gt;J$2,'ProductSprint Backlog'!$M12,0)</f>
        <v>2</v>
      </c>
      <c r="K17" s="51">
        <f>IF('ProductSprint Backlog'!$L12&gt;K$2,'ProductSprint Backlog'!$M12,0)</f>
        <v>0</v>
      </c>
      <c r="L17" s="51">
        <f>IF('ProductSprint Backlog'!$L12&gt;L$2,'ProductSprint Backlog'!$M12,0)</f>
        <v>0</v>
      </c>
      <c r="M17" s="51">
        <f>IF('ProductSprint Backlog'!$L12&gt;M$2,'ProductSprint Backlog'!$M12,0)</f>
        <v>0</v>
      </c>
      <c r="N17" s="51">
        <f>IF('ProductSprint Backlog'!$L12&gt;N$2,'ProductSprint Backlog'!$M12,0)</f>
        <v>0</v>
      </c>
      <c r="O17" s="51">
        <f>IF('ProductSprint Backlog'!$L12&gt;O$2,'ProductSprint Backlog'!$M12,0)</f>
        <v>0</v>
      </c>
    </row>
    <row r="18" spans="1:15" ht="12.75" x14ac:dyDescent="0.2">
      <c r="A18" s="17"/>
      <c r="B18" s="73"/>
      <c r="C18" s="71"/>
      <c r="D18" s="71"/>
      <c r="E18" s="71"/>
      <c r="F18" s="71"/>
      <c r="G18" s="71"/>
      <c r="H18" s="71"/>
      <c r="I18" s="71"/>
      <c r="J18" s="71"/>
      <c r="K18" s="71"/>
      <c r="L18" s="71"/>
      <c r="M18" s="71"/>
      <c r="N18" s="71"/>
      <c r="O18" s="72"/>
    </row>
    <row r="19" spans="1:15" ht="12.75" x14ac:dyDescent="0.2">
      <c r="A19" s="17" t="s">
        <v>43</v>
      </c>
      <c r="B19" s="51">
        <f>IF('ProductSprint Backlog'!$L14&gt;B$2,'ProductSprint Backlog'!$M14,0)</f>
        <v>1</v>
      </c>
      <c r="C19" s="51">
        <f>IF('ProductSprint Backlog'!$L14&gt;C$2,'ProductSprint Backlog'!$M14,0)</f>
        <v>1</v>
      </c>
      <c r="D19" s="51">
        <f>IF('ProductSprint Backlog'!$L14&gt;D$2,'ProductSprint Backlog'!$M14,0)</f>
        <v>1</v>
      </c>
      <c r="E19" s="51">
        <f>IF('ProductSprint Backlog'!$L14&gt;E$2,'ProductSprint Backlog'!$M14,0)</f>
        <v>1</v>
      </c>
      <c r="F19" s="51">
        <f>IF('ProductSprint Backlog'!$L14&gt;F$2,'ProductSprint Backlog'!$M14,0)</f>
        <v>1</v>
      </c>
      <c r="G19" s="51">
        <f>IF('ProductSprint Backlog'!$L14&gt;G$2,'ProductSprint Backlog'!$M14,0)</f>
        <v>1</v>
      </c>
      <c r="H19" s="51">
        <f>IF('ProductSprint Backlog'!$L14&gt;H$2,'ProductSprint Backlog'!$M14,0)</f>
        <v>1</v>
      </c>
      <c r="I19" s="51">
        <f>IF('ProductSprint Backlog'!$L14&gt;I$2,'ProductSprint Backlog'!$M14,0)</f>
        <v>1</v>
      </c>
      <c r="J19" s="51">
        <f>IF('ProductSprint Backlog'!$L14&gt;J$2,'ProductSprint Backlog'!$M14,0)</f>
        <v>1</v>
      </c>
      <c r="K19" s="51">
        <f>IF('ProductSprint Backlog'!$L14&gt;K$2,'ProductSprint Backlog'!$M14,0)</f>
        <v>1</v>
      </c>
      <c r="L19" s="51">
        <f>IF('ProductSprint Backlog'!$L14&gt;L$2,'ProductSprint Backlog'!$M14,0)</f>
        <v>0</v>
      </c>
      <c r="M19" s="51">
        <f>IF('ProductSprint Backlog'!$L14&gt;M$2,'ProductSprint Backlog'!$M14,0)</f>
        <v>0</v>
      </c>
      <c r="N19" s="51">
        <f>IF('ProductSprint Backlog'!$L14&gt;N$2,'ProductSprint Backlog'!$M14,0)</f>
        <v>0</v>
      </c>
      <c r="O19" s="51">
        <f>IF('ProductSprint Backlog'!$L14&gt;O$2,'ProductSprint Backlog'!$M14,0)</f>
        <v>0</v>
      </c>
    </row>
    <row r="20" spans="1:15" ht="12.75" x14ac:dyDescent="0.2">
      <c r="A20" s="17" t="s">
        <v>45</v>
      </c>
      <c r="B20" s="51">
        <f>IF('ProductSprint Backlog'!$L15&gt;B$2,'ProductSprint Backlog'!$M15,0)</f>
        <v>4.5</v>
      </c>
      <c r="C20" s="51">
        <f>IF('ProductSprint Backlog'!$L15&gt;C$2,'ProductSprint Backlog'!$M15,0)</f>
        <v>4.5</v>
      </c>
      <c r="D20" s="51">
        <f>IF('ProductSprint Backlog'!$L15&gt;D$2,'ProductSprint Backlog'!$M15,0)</f>
        <v>4.5</v>
      </c>
      <c r="E20" s="51">
        <f>IF('ProductSprint Backlog'!$L15&gt;E$2,'ProductSprint Backlog'!$M15,0)</f>
        <v>4.5</v>
      </c>
      <c r="F20" s="51">
        <f>IF('ProductSprint Backlog'!$L15&gt;F$2,'ProductSprint Backlog'!$M15,0)</f>
        <v>4.5</v>
      </c>
      <c r="G20" s="51">
        <f>IF('ProductSprint Backlog'!$L15&gt;G$2,'ProductSprint Backlog'!$M15,0)</f>
        <v>4.5</v>
      </c>
      <c r="H20" s="51">
        <f>IF('ProductSprint Backlog'!$L15&gt;H$2,'ProductSprint Backlog'!$M15,0)</f>
        <v>4.5</v>
      </c>
      <c r="I20" s="51">
        <f>IF('ProductSprint Backlog'!$L15&gt;I$2,'ProductSprint Backlog'!$M15,0)</f>
        <v>4.5</v>
      </c>
      <c r="J20" s="51">
        <f>IF('ProductSprint Backlog'!$L15&gt;J$2,'ProductSprint Backlog'!$M15,0)</f>
        <v>4.5</v>
      </c>
      <c r="K20" s="51">
        <f>IF('ProductSprint Backlog'!$L15&gt;K$2,'ProductSprint Backlog'!$M15,0)</f>
        <v>4.5</v>
      </c>
      <c r="L20" s="51">
        <f>IF('ProductSprint Backlog'!$L15&gt;L$2,'ProductSprint Backlog'!$M15,0)</f>
        <v>4.5</v>
      </c>
      <c r="M20" s="51">
        <f>IF('ProductSprint Backlog'!$L15&gt;M$2,'ProductSprint Backlog'!$M15,0)</f>
        <v>0</v>
      </c>
      <c r="N20" s="51">
        <f>IF('ProductSprint Backlog'!$L15&gt;N$2,'ProductSprint Backlog'!$M15,0)</f>
        <v>0</v>
      </c>
      <c r="O20" s="51">
        <f>IF('ProductSprint Backlog'!$L15&gt;O$2,'ProductSprint Backlog'!$M15,0)</f>
        <v>0</v>
      </c>
    </row>
    <row r="21" spans="1:15" ht="12.75" x14ac:dyDescent="0.2">
      <c r="A21" s="17" t="s">
        <v>47</v>
      </c>
      <c r="B21" s="51">
        <f>IF('ProductSprint Backlog'!$L16&gt;B$2,'ProductSprint Backlog'!$M16,0)</f>
        <v>2</v>
      </c>
      <c r="C21" s="51">
        <f>IF('ProductSprint Backlog'!$L16&gt;C$2,'ProductSprint Backlog'!$M16,0)</f>
        <v>2</v>
      </c>
      <c r="D21" s="51">
        <f>IF('ProductSprint Backlog'!$L16&gt;D$2,'ProductSprint Backlog'!$M16,0)</f>
        <v>2</v>
      </c>
      <c r="E21" s="51">
        <f>IF('ProductSprint Backlog'!$L16&gt;E$2,'ProductSprint Backlog'!$M16,0)</f>
        <v>2</v>
      </c>
      <c r="F21" s="51">
        <f>IF('ProductSprint Backlog'!$L16&gt;F$2,'ProductSprint Backlog'!$M16,0)</f>
        <v>2</v>
      </c>
      <c r="G21" s="51">
        <f>IF('ProductSprint Backlog'!$L16&gt;G$2,'ProductSprint Backlog'!$M16,0)</f>
        <v>2</v>
      </c>
      <c r="H21" s="51">
        <f>IF('ProductSprint Backlog'!$L16&gt;H$2,'ProductSprint Backlog'!$M16,0)</f>
        <v>2</v>
      </c>
      <c r="I21" s="51">
        <f>IF('ProductSprint Backlog'!$L16&gt;I$2,'ProductSprint Backlog'!$M16,0)</f>
        <v>2</v>
      </c>
      <c r="J21" s="51">
        <f>IF('ProductSprint Backlog'!$L16&gt;J$2,'ProductSprint Backlog'!$M16,0)</f>
        <v>2</v>
      </c>
      <c r="K21" s="51">
        <f>IF('ProductSprint Backlog'!$L16&gt;K$2,'ProductSprint Backlog'!$M16,0)</f>
        <v>2</v>
      </c>
      <c r="L21" s="51">
        <f>IF('ProductSprint Backlog'!$L16&gt;L$2,'ProductSprint Backlog'!$M16,0)</f>
        <v>2</v>
      </c>
      <c r="M21" s="51">
        <f>IF('ProductSprint Backlog'!$L16&gt;M$2,'ProductSprint Backlog'!$M16,0)</f>
        <v>2</v>
      </c>
      <c r="N21" s="51">
        <f>IF('ProductSprint Backlog'!$L16&gt;N$2,'ProductSprint Backlog'!$M16,0)</f>
        <v>0</v>
      </c>
      <c r="O21" s="51">
        <f>IF('ProductSprint Backlog'!$L16&gt;O$2,'ProductSprint Backlog'!$M16,0)</f>
        <v>0</v>
      </c>
    </row>
    <row r="22" spans="1:15" ht="12.75" x14ac:dyDescent="0.2">
      <c r="A22" s="17" t="s">
        <v>49</v>
      </c>
      <c r="B22" s="51">
        <f>IF('ProductSprint Backlog'!$L17&gt;B$2,'ProductSprint Backlog'!$M17,0)</f>
        <v>1</v>
      </c>
      <c r="C22" s="51">
        <f>IF('ProductSprint Backlog'!$L17&gt;C$2,'ProductSprint Backlog'!$M17,0)</f>
        <v>1</v>
      </c>
      <c r="D22" s="51">
        <f>IF('ProductSprint Backlog'!$L17&gt;D$2,'ProductSprint Backlog'!$M17,0)</f>
        <v>1</v>
      </c>
      <c r="E22" s="51">
        <f>IF('ProductSprint Backlog'!$L17&gt;E$2,'ProductSprint Backlog'!$M17,0)</f>
        <v>1</v>
      </c>
      <c r="F22" s="51">
        <f>IF('ProductSprint Backlog'!$L17&gt;F$2,'ProductSprint Backlog'!$M17,0)</f>
        <v>1</v>
      </c>
      <c r="G22" s="51">
        <f>IF('ProductSprint Backlog'!$L17&gt;G$2,'ProductSprint Backlog'!$M17,0)</f>
        <v>1</v>
      </c>
      <c r="H22" s="51">
        <f>IF('ProductSprint Backlog'!$L17&gt;H$2,'ProductSprint Backlog'!$M17,0)</f>
        <v>1</v>
      </c>
      <c r="I22" s="51">
        <f>IF('ProductSprint Backlog'!$L17&gt;I$2,'ProductSprint Backlog'!$M17,0)</f>
        <v>1</v>
      </c>
      <c r="J22" s="51">
        <f>IF('ProductSprint Backlog'!$L17&gt;J$2,'ProductSprint Backlog'!$M17,0)</f>
        <v>1</v>
      </c>
      <c r="K22" s="51">
        <f>IF('ProductSprint Backlog'!$L17&gt;K$2,'ProductSprint Backlog'!$M17,0)</f>
        <v>1</v>
      </c>
      <c r="L22" s="51">
        <f>IF('ProductSprint Backlog'!$L17&gt;L$2,'ProductSprint Backlog'!$M17,0)</f>
        <v>1</v>
      </c>
      <c r="M22" s="51">
        <f>IF('ProductSprint Backlog'!$L17&gt;M$2,'ProductSprint Backlog'!$M17,0)</f>
        <v>1</v>
      </c>
      <c r="N22" s="51">
        <f>IF('ProductSprint Backlog'!$L17&gt;N$2,'ProductSprint Backlog'!$M17,0)</f>
        <v>1</v>
      </c>
      <c r="O22" s="51">
        <f>IF('ProductSprint Backlog'!$L17&gt;O$2,'ProductSprint Backlog'!$M17,0)</f>
        <v>0</v>
      </c>
    </row>
    <row r="23" spans="1:15" ht="12.75" x14ac:dyDescent="0.2">
      <c r="A23" s="18"/>
      <c r="B23" s="73"/>
      <c r="C23" s="71"/>
      <c r="D23" s="71"/>
      <c r="E23" s="71"/>
      <c r="F23" s="71"/>
      <c r="G23" s="71"/>
      <c r="H23" s="71"/>
      <c r="I23" s="71"/>
      <c r="J23" s="71"/>
      <c r="K23" s="71"/>
      <c r="L23" s="71"/>
      <c r="M23" s="71"/>
      <c r="N23" s="71"/>
      <c r="O23" s="72"/>
    </row>
    <row r="24" spans="1:15" ht="38.25" x14ac:dyDescent="0.2">
      <c r="A24" s="17" t="s">
        <v>52</v>
      </c>
      <c r="B24" s="51">
        <f>IF('ProductSprint Backlog'!$L19&gt;B$2,'ProductSprint Backlog'!$M19,0)</f>
        <v>5.5</v>
      </c>
      <c r="C24" s="51">
        <f>IF('ProductSprint Backlog'!$L19&gt;C$2,'ProductSprint Backlog'!$M19,0)</f>
        <v>5.5</v>
      </c>
      <c r="D24" s="51">
        <f>IF('ProductSprint Backlog'!$L19&gt;D$2,'ProductSprint Backlog'!$M19,0)</f>
        <v>5.5</v>
      </c>
      <c r="E24" s="51">
        <f>IF('ProductSprint Backlog'!$L19&gt;E$2,'ProductSprint Backlog'!$M19,0)</f>
        <v>5.5</v>
      </c>
      <c r="F24" s="51">
        <f>IF('ProductSprint Backlog'!$L19&gt;F$2,'ProductSprint Backlog'!$M19,0)</f>
        <v>5.5</v>
      </c>
      <c r="G24" s="51">
        <f>IF('ProductSprint Backlog'!$L19&gt;G$2,'ProductSprint Backlog'!$M19,0)</f>
        <v>5.5</v>
      </c>
      <c r="H24" s="51">
        <f>IF('ProductSprint Backlog'!$L19&gt;H$2,'ProductSprint Backlog'!$M19,0)</f>
        <v>5.5</v>
      </c>
      <c r="I24" s="51">
        <f>IF('ProductSprint Backlog'!$L19&gt;I$2,'ProductSprint Backlog'!$M19,0)</f>
        <v>5.5</v>
      </c>
      <c r="J24" s="51">
        <f>IF('ProductSprint Backlog'!$L19&gt;J$2,'ProductSprint Backlog'!$M19,0)</f>
        <v>0</v>
      </c>
      <c r="K24" s="51">
        <f>IF('ProductSprint Backlog'!$L19&gt;K$2,'ProductSprint Backlog'!$M19,0)</f>
        <v>0</v>
      </c>
      <c r="L24" s="51">
        <f>IF('ProductSprint Backlog'!$L19&gt;L$2,'ProductSprint Backlog'!$M19,0)</f>
        <v>0</v>
      </c>
      <c r="M24" s="51">
        <f>IF('ProductSprint Backlog'!$L19&gt;M$2,'ProductSprint Backlog'!$M19,0)</f>
        <v>0</v>
      </c>
      <c r="N24" s="51">
        <f>IF('ProductSprint Backlog'!$L19&gt;N$2,'ProductSprint Backlog'!$M19,0)</f>
        <v>0</v>
      </c>
      <c r="O24" s="51">
        <f>IF('ProductSprint Backlog'!$L19&gt;O$2,'ProductSprint Backlog'!$M19,0)</f>
        <v>0</v>
      </c>
    </row>
    <row r="25" spans="1:15" ht="25.5" x14ac:dyDescent="0.2">
      <c r="A25" s="17" t="s">
        <v>55</v>
      </c>
      <c r="B25" s="51">
        <f>IF('ProductSprint Backlog'!$L20&gt;B$2,'ProductSprint Backlog'!$M20,0)</f>
        <v>2</v>
      </c>
      <c r="C25" s="51">
        <f>IF('ProductSprint Backlog'!$L20&gt;C$2,'ProductSprint Backlog'!$M20,0)</f>
        <v>2</v>
      </c>
      <c r="D25" s="51">
        <f>IF('ProductSprint Backlog'!$L20&gt;D$2,'ProductSprint Backlog'!$M20,0)</f>
        <v>2</v>
      </c>
      <c r="E25" s="51">
        <f>IF('ProductSprint Backlog'!$L20&gt;E$2,'ProductSprint Backlog'!$M20,0)</f>
        <v>2</v>
      </c>
      <c r="F25" s="51">
        <f>IF('ProductSprint Backlog'!$L20&gt;F$2,'ProductSprint Backlog'!$M20,0)</f>
        <v>0</v>
      </c>
      <c r="G25" s="51">
        <f>IF('ProductSprint Backlog'!$L20&gt;G$2,'ProductSprint Backlog'!$M20,0)</f>
        <v>0</v>
      </c>
      <c r="H25" s="51">
        <f>IF('ProductSprint Backlog'!$L20&gt;H$2,'ProductSprint Backlog'!$M20,0)</f>
        <v>0</v>
      </c>
      <c r="I25" s="51">
        <f>IF('ProductSprint Backlog'!$L20&gt;I$2,'ProductSprint Backlog'!$M20,0)</f>
        <v>0</v>
      </c>
      <c r="J25" s="51">
        <f>IF('ProductSprint Backlog'!$L20&gt;J$2,'ProductSprint Backlog'!$M20,0)</f>
        <v>0</v>
      </c>
      <c r="K25" s="51">
        <f>IF('ProductSprint Backlog'!$L20&gt;K$2,'ProductSprint Backlog'!$M20,0)</f>
        <v>0</v>
      </c>
      <c r="L25" s="51">
        <f>IF('ProductSprint Backlog'!$L20&gt;L$2,'ProductSprint Backlog'!$M20,0)</f>
        <v>0</v>
      </c>
      <c r="M25" s="51">
        <f>IF('ProductSprint Backlog'!$L20&gt;M$2,'ProductSprint Backlog'!$M20,0)</f>
        <v>0</v>
      </c>
      <c r="N25" s="51">
        <f>IF('ProductSprint Backlog'!$L20&gt;N$2,'ProductSprint Backlog'!$M20,0)</f>
        <v>0</v>
      </c>
      <c r="O25" s="51">
        <f>IF('ProductSprint Backlog'!$L20&gt;O$2,'ProductSprint Backlog'!$M20,0)</f>
        <v>0</v>
      </c>
    </row>
    <row r="26" spans="1:15" ht="25.5" x14ac:dyDescent="0.2">
      <c r="A26" s="17" t="s">
        <v>57</v>
      </c>
      <c r="B26" s="51">
        <f>IF('ProductSprint Backlog'!$L21&gt;B$2,'ProductSprint Backlog'!$M21,0)</f>
        <v>3</v>
      </c>
      <c r="C26" s="51">
        <f>IF('ProductSprint Backlog'!$L21&gt;C$2,'ProductSprint Backlog'!$M21,0)</f>
        <v>3</v>
      </c>
      <c r="D26" s="51">
        <f>IF('ProductSprint Backlog'!$L21&gt;D$2,'ProductSprint Backlog'!$M21,0)</f>
        <v>3</v>
      </c>
      <c r="E26" s="51">
        <f>IF('ProductSprint Backlog'!$L21&gt;E$2,'ProductSprint Backlog'!$M21,0)</f>
        <v>3</v>
      </c>
      <c r="F26" s="51">
        <f>IF('ProductSprint Backlog'!$L21&gt;F$2,'ProductSprint Backlog'!$M21,0)</f>
        <v>3</v>
      </c>
      <c r="G26" s="51">
        <f>IF('ProductSprint Backlog'!$L21&gt;G$2,'ProductSprint Backlog'!$M21,0)</f>
        <v>3</v>
      </c>
      <c r="H26" s="51">
        <f>IF('ProductSprint Backlog'!$L21&gt;H$2,'ProductSprint Backlog'!$M21,0)</f>
        <v>0</v>
      </c>
      <c r="I26" s="51">
        <f>IF('ProductSprint Backlog'!$L21&gt;I$2,'ProductSprint Backlog'!$M21,0)</f>
        <v>0</v>
      </c>
      <c r="J26" s="51">
        <f>IF('ProductSprint Backlog'!$L21&gt;J$2,'ProductSprint Backlog'!$M21,0)</f>
        <v>0</v>
      </c>
      <c r="K26" s="51">
        <f>IF('ProductSprint Backlog'!$L21&gt;K$2,'ProductSprint Backlog'!$M21,0)</f>
        <v>0</v>
      </c>
      <c r="L26" s="51">
        <f>IF('ProductSprint Backlog'!$L21&gt;L$2,'ProductSprint Backlog'!$M21,0)</f>
        <v>0</v>
      </c>
      <c r="M26" s="51">
        <f>IF('ProductSprint Backlog'!$L21&gt;M$2,'ProductSprint Backlog'!$M21,0)</f>
        <v>0</v>
      </c>
      <c r="N26" s="51">
        <f>IF('ProductSprint Backlog'!$L21&gt;N$2,'ProductSprint Backlog'!$M21,0)</f>
        <v>0</v>
      </c>
      <c r="O26" s="51">
        <f>IF('ProductSprint Backlog'!$L21&gt;O$2,'ProductSprint Backlog'!$M21,0)</f>
        <v>0</v>
      </c>
    </row>
    <row r="27" spans="1:15" ht="25.5" x14ac:dyDescent="0.2">
      <c r="A27" s="17" t="s">
        <v>59</v>
      </c>
      <c r="B27" s="51">
        <f>IF('ProductSprint Backlog'!$L22&gt;B$2,'ProductSprint Backlog'!$M22,0)</f>
        <v>2</v>
      </c>
      <c r="C27" s="51">
        <f>IF('ProductSprint Backlog'!$L22&gt;C$2,'ProductSprint Backlog'!$M22,0)</f>
        <v>2</v>
      </c>
      <c r="D27" s="51">
        <f>IF('ProductSprint Backlog'!$L22&gt;D$2,'ProductSprint Backlog'!$M22,0)</f>
        <v>2</v>
      </c>
      <c r="E27" s="51">
        <f>IF('ProductSprint Backlog'!$L22&gt;E$2,'ProductSprint Backlog'!$M22,0)</f>
        <v>2</v>
      </c>
      <c r="F27" s="51">
        <f>IF('ProductSprint Backlog'!$L22&gt;F$2,'ProductSprint Backlog'!$M22,0)</f>
        <v>2</v>
      </c>
      <c r="G27" s="51">
        <f>IF('ProductSprint Backlog'!$L22&gt;G$2,'ProductSprint Backlog'!$M22,0)</f>
        <v>2</v>
      </c>
      <c r="H27" s="51">
        <f>IF('ProductSprint Backlog'!$L22&gt;H$2,'ProductSprint Backlog'!$M22,0)</f>
        <v>2</v>
      </c>
      <c r="I27" s="51">
        <f>IF('ProductSprint Backlog'!$L22&gt;I$2,'ProductSprint Backlog'!$M22,0)</f>
        <v>2</v>
      </c>
      <c r="J27" s="51">
        <f>IF('ProductSprint Backlog'!$L22&gt;J$2,'ProductSprint Backlog'!$M22,0)</f>
        <v>0</v>
      </c>
      <c r="K27" s="51">
        <f>IF('ProductSprint Backlog'!$L22&gt;K$2,'ProductSprint Backlog'!$M22,0)</f>
        <v>0</v>
      </c>
      <c r="L27" s="51">
        <f>IF('ProductSprint Backlog'!$L22&gt;L$2,'ProductSprint Backlog'!$M22,0)</f>
        <v>0</v>
      </c>
      <c r="M27" s="51">
        <f>IF('ProductSprint Backlog'!$L22&gt;M$2,'ProductSprint Backlog'!$M22,0)</f>
        <v>0</v>
      </c>
      <c r="N27" s="51">
        <f>IF('ProductSprint Backlog'!$L22&gt;N$2,'ProductSprint Backlog'!$M22,0)</f>
        <v>0</v>
      </c>
      <c r="O27" s="51">
        <f>IF('ProductSprint Backlog'!$L22&gt;O$2,'ProductSprint Backlog'!$M22,0)</f>
        <v>0</v>
      </c>
    </row>
    <row r="28" spans="1:15" ht="12.75" x14ac:dyDescent="0.2">
      <c r="A28" s="18"/>
      <c r="B28" s="73"/>
      <c r="C28" s="71"/>
      <c r="D28" s="71"/>
      <c r="E28" s="71"/>
      <c r="F28" s="71"/>
      <c r="G28" s="71"/>
      <c r="H28" s="71"/>
      <c r="I28" s="71"/>
      <c r="J28" s="71"/>
      <c r="K28" s="71"/>
      <c r="L28" s="71"/>
      <c r="M28" s="71"/>
      <c r="N28" s="71"/>
      <c r="O28" s="72"/>
    </row>
    <row r="29" spans="1:15" ht="25.5" x14ac:dyDescent="0.2">
      <c r="A29" s="17" t="s">
        <v>540</v>
      </c>
      <c r="B29" s="51">
        <f>IF('ProductSprint Backlog'!$L24&gt;B$2,'ProductSprint Backlog'!$M24,0)</f>
        <v>1</v>
      </c>
      <c r="C29" s="51">
        <f>IF('ProductSprint Backlog'!$L24&gt;C$2,'ProductSprint Backlog'!$M24,0)</f>
        <v>1</v>
      </c>
      <c r="D29" s="51">
        <f>IF('ProductSprint Backlog'!$L24&gt;D$2,'ProductSprint Backlog'!$M24,0)</f>
        <v>1</v>
      </c>
      <c r="E29" s="51">
        <f>IF('ProductSprint Backlog'!$L24&gt;E$2,'ProductSprint Backlog'!$M24,0)</f>
        <v>0</v>
      </c>
      <c r="F29" s="51">
        <f>IF('ProductSprint Backlog'!$L24&gt;F$2,'ProductSprint Backlog'!$M24,0)</f>
        <v>0</v>
      </c>
      <c r="G29" s="51">
        <f>IF('ProductSprint Backlog'!$L24&gt;G$2,'ProductSprint Backlog'!$M24,0)</f>
        <v>0</v>
      </c>
      <c r="H29" s="51">
        <f>IF('ProductSprint Backlog'!$L24&gt;H$2,'ProductSprint Backlog'!$M24,0)</f>
        <v>0</v>
      </c>
      <c r="I29" s="51">
        <f>IF('ProductSprint Backlog'!$L24&gt;I$2,'ProductSprint Backlog'!$M24,0)</f>
        <v>0</v>
      </c>
      <c r="J29" s="51">
        <f>IF('ProductSprint Backlog'!$L24&gt;J$2,'ProductSprint Backlog'!$M24,0)</f>
        <v>0</v>
      </c>
      <c r="K29" s="51">
        <f>IF('ProductSprint Backlog'!$L24&gt;K$2,'ProductSprint Backlog'!$M24,0)</f>
        <v>0</v>
      </c>
      <c r="L29" s="51">
        <f>IF('ProductSprint Backlog'!$L24&gt;L$2,'ProductSprint Backlog'!$M24,0)</f>
        <v>0</v>
      </c>
      <c r="M29" s="51">
        <f>IF('ProductSprint Backlog'!$L24&gt;M$2,'ProductSprint Backlog'!$M24,0)</f>
        <v>0</v>
      </c>
      <c r="N29" s="51">
        <f>IF('ProductSprint Backlog'!$L24&gt;N$2,'ProductSprint Backlog'!$M24,0)</f>
        <v>0</v>
      </c>
      <c r="O29" s="51">
        <f>IF('ProductSprint Backlog'!$L24&gt;O$2,'ProductSprint Backlog'!$M24,0)</f>
        <v>0</v>
      </c>
    </row>
    <row r="30" spans="1:15" ht="38.25" x14ac:dyDescent="0.2">
      <c r="A30" s="17" t="s">
        <v>64</v>
      </c>
      <c r="B30" s="51">
        <f>IF('ProductSprint Backlog'!$L25&gt;B$2,'ProductSprint Backlog'!$M25,0)</f>
        <v>3.5</v>
      </c>
      <c r="C30" s="51">
        <f>IF('ProductSprint Backlog'!$L25&gt;C$2,'ProductSprint Backlog'!$M25,0)</f>
        <v>3.5</v>
      </c>
      <c r="D30" s="51">
        <f>IF('ProductSprint Backlog'!$L25&gt;D$2,'ProductSprint Backlog'!$M25,0)</f>
        <v>3.5</v>
      </c>
      <c r="E30" s="51">
        <f>IF('ProductSprint Backlog'!$L25&gt;E$2,'ProductSprint Backlog'!$M25,0)</f>
        <v>3.5</v>
      </c>
      <c r="F30" s="51">
        <f>IF('ProductSprint Backlog'!$L25&gt;F$2,'ProductSprint Backlog'!$M25,0)</f>
        <v>3.5</v>
      </c>
      <c r="G30" s="51">
        <f>IF('ProductSprint Backlog'!$L25&gt;G$2,'ProductSprint Backlog'!$M25,0)</f>
        <v>3.5</v>
      </c>
      <c r="H30" s="51">
        <f>IF('ProductSprint Backlog'!$L25&gt;H$2,'ProductSprint Backlog'!$M25,0)</f>
        <v>0</v>
      </c>
      <c r="I30" s="51">
        <f>IF('ProductSprint Backlog'!$L25&gt;I$2,'ProductSprint Backlog'!$M25,0)</f>
        <v>0</v>
      </c>
      <c r="J30" s="51">
        <f>IF('ProductSprint Backlog'!$L25&gt;J$2,'ProductSprint Backlog'!$M25,0)</f>
        <v>0</v>
      </c>
      <c r="K30" s="51">
        <f>IF('ProductSprint Backlog'!$L25&gt;K$2,'ProductSprint Backlog'!$M25,0)</f>
        <v>0</v>
      </c>
      <c r="L30" s="51">
        <f>IF('ProductSprint Backlog'!$L25&gt;L$2,'ProductSprint Backlog'!$M25,0)</f>
        <v>0</v>
      </c>
      <c r="M30" s="51">
        <f>IF('ProductSprint Backlog'!$L25&gt;M$2,'ProductSprint Backlog'!$M25,0)</f>
        <v>0</v>
      </c>
      <c r="N30" s="51">
        <f>IF('ProductSprint Backlog'!$L25&gt;N$2,'ProductSprint Backlog'!$M25,0)</f>
        <v>0</v>
      </c>
      <c r="O30" s="51">
        <f>IF('ProductSprint Backlog'!$L25&gt;O$2,'ProductSprint Backlog'!$M25,0)</f>
        <v>0</v>
      </c>
    </row>
    <row r="31" spans="1:15" ht="25.5" x14ac:dyDescent="0.2">
      <c r="A31" s="17" t="s">
        <v>66</v>
      </c>
      <c r="B31" s="51">
        <f>IF('ProductSprint Backlog'!$L26&gt;B$2,'ProductSprint Backlog'!$M26,0)</f>
        <v>1</v>
      </c>
      <c r="C31" s="51">
        <f>IF('ProductSprint Backlog'!$L26&gt;C$2,'ProductSprint Backlog'!$M26,0)</f>
        <v>1</v>
      </c>
      <c r="D31" s="51">
        <f>IF('ProductSprint Backlog'!$L26&gt;D$2,'ProductSprint Backlog'!$M26,0)</f>
        <v>1</v>
      </c>
      <c r="E31" s="51">
        <f>IF('ProductSprint Backlog'!$L26&gt;E$2,'ProductSprint Backlog'!$M26,0)</f>
        <v>1</v>
      </c>
      <c r="F31" s="51">
        <f>IF('ProductSprint Backlog'!$L26&gt;F$2,'ProductSprint Backlog'!$M26,0)</f>
        <v>1</v>
      </c>
      <c r="G31" s="51">
        <f>IF('ProductSprint Backlog'!$L26&gt;G$2,'ProductSprint Backlog'!$M26,0)</f>
        <v>1</v>
      </c>
      <c r="H31" s="51">
        <f>IF('ProductSprint Backlog'!$L26&gt;H$2,'ProductSprint Backlog'!$M26,0)</f>
        <v>1</v>
      </c>
      <c r="I31" s="51">
        <f>IF('ProductSprint Backlog'!$L26&gt;I$2,'ProductSprint Backlog'!$M26,0)</f>
        <v>1</v>
      </c>
      <c r="J31" s="51">
        <f>IF('ProductSprint Backlog'!$L26&gt;J$2,'ProductSprint Backlog'!$M26,0)</f>
        <v>0</v>
      </c>
      <c r="K31" s="51">
        <f>IF('ProductSprint Backlog'!$L26&gt;K$2,'ProductSprint Backlog'!$M26,0)</f>
        <v>0</v>
      </c>
      <c r="L31" s="51">
        <f>IF('ProductSprint Backlog'!$L26&gt;L$2,'ProductSprint Backlog'!$M26,0)</f>
        <v>0</v>
      </c>
      <c r="M31" s="51">
        <f>IF('ProductSprint Backlog'!$L26&gt;M$2,'ProductSprint Backlog'!$M26,0)</f>
        <v>0</v>
      </c>
      <c r="N31" s="51">
        <f>IF('ProductSprint Backlog'!$L26&gt;N$2,'ProductSprint Backlog'!$M26,0)</f>
        <v>0</v>
      </c>
      <c r="O31" s="51">
        <f>IF('ProductSprint Backlog'!$L26&gt;O$2,'ProductSprint Backlog'!$M26,0)</f>
        <v>0</v>
      </c>
    </row>
    <row r="32" spans="1:15" ht="12.75" x14ac:dyDescent="0.2">
      <c r="A32" s="18"/>
      <c r="B32" s="73"/>
      <c r="C32" s="71"/>
      <c r="D32" s="71"/>
      <c r="E32" s="71"/>
      <c r="F32" s="71"/>
      <c r="G32" s="71"/>
      <c r="H32" s="71"/>
      <c r="I32" s="71"/>
      <c r="J32" s="71"/>
      <c r="K32" s="71"/>
      <c r="L32" s="71"/>
      <c r="M32" s="71"/>
      <c r="N32" s="71"/>
      <c r="O32" s="72"/>
    </row>
    <row r="33" spans="1:15" ht="25.5" x14ac:dyDescent="0.2">
      <c r="A33" s="17" t="s">
        <v>69</v>
      </c>
      <c r="B33" s="51">
        <f>IF('ProductSprint Backlog'!$L28&gt;B$2,'ProductSprint Backlog'!$M28,0)</f>
        <v>1</v>
      </c>
      <c r="C33" s="51">
        <f>IF('ProductSprint Backlog'!$L28&gt;C$2,'ProductSprint Backlog'!$M28,0)</f>
        <v>1</v>
      </c>
      <c r="D33" s="51">
        <f>IF('ProductSprint Backlog'!$L28&gt;D$2,'ProductSprint Backlog'!$M28,0)</f>
        <v>1</v>
      </c>
      <c r="E33" s="51">
        <f>IF('ProductSprint Backlog'!$L28&gt;E$2,'ProductSprint Backlog'!$M28,0)</f>
        <v>1</v>
      </c>
      <c r="F33" s="51">
        <f>IF('ProductSprint Backlog'!$L28&gt;F$2,'ProductSprint Backlog'!$M28,0)</f>
        <v>1</v>
      </c>
      <c r="G33" s="51">
        <f>IF('ProductSprint Backlog'!$L28&gt;G$2,'ProductSprint Backlog'!$M28,0)</f>
        <v>1</v>
      </c>
      <c r="H33" s="51">
        <f>IF('ProductSprint Backlog'!$L28&gt;H$2,'ProductSprint Backlog'!$M28,0)</f>
        <v>1</v>
      </c>
      <c r="I33" s="51">
        <f>IF('ProductSprint Backlog'!$L28&gt;I$2,'ProductSprint Backlog'!$M28,0)</f>
        <v>1</v>
      </c>
      <c r="J33" s="51">
        <f>IF('ProductSprint Backlog'!$L28&gt;J$2,'ProductSprint Backlog'!$M28,0)</f>
        <v>1</v>
      </c>
      <c r="K33" s="51">
        <f>IF('ProductSprint Backlog'!$L28&gt;K$2,'ProductSprint Backlog'!$M28,0)</f>
        <v>1</v>
      </c>
      <c r="L33" s="51">
        <f>IF('ProductSprint Backlog'!$L28&gt;L$2,'ProductSprint Backlog'!$M28,0)</f>
        <v>0</v>
      </c>
      <c r="M33" s="51">
        <f>IF('ProductSprint Backlog'!$L28&gt;M$2,'ProductSprint Backlog'!$M28,0)</f>
        <v>0</v>
      </c>
      <c r="N33" s="51">
        <f>IF('ProductSprint Backlog'!$L28&gt;N$2,'ProductSprint Backlog'!$M28,0)</f>
        <v>0</v>
      </c>
      <c r="O33" s="51">
        <f>IF('ProductSprint Backlog'!$L28&gt;O$2,'ProductSprint Backlog'!$M28,0)</f>
        <v>0</v>
      </c>
    </row>
    <row r="34" spans="1:15" ht="38.25" x14ac:dyDescent="0.2">
      <c r="A34" s="17" t="s">
        <v>71</v>
      </c>
      <c r="B34" s="51">
        <f>IF('ProductSprint Backlog'!$L29&gt;B$2,'ProductSprint Backlog'!$M29,0)</f>
        <v>0.5</v>
      </c>
      <c r="C34" s="51">
        <f>IF('ProductSprint Backlog'!$L29&gt;C$2,'ProductSprint Backlog'!$M29,0)</f>
        <v>0.5</v>
      </c>
      <c r="D34" s="51">
        <f>IF('ProductSprint Backlog'!$L29&gt;D$2,'ProductSprint Backlog'!$M29,0)</f>
        <v>0.5</v>
      </c>
      <c r="E34" s="51">
        <f>IF('ProductSprint Backlog'!$L29&gt;E$2,'ProductSprint Backlog'!$M29,0)</f>
        <v>0.5</v>
      </c>
      <c r="F34" s="51">
        <f>IF('ProductSprint Backlog'!$L29&gt;F$2,'ProductSprint Backlog'!$M29,0)</f>
        <v>0.5</v>
      </c>
      <c r="G34" s="51">
        <f>IF('ProductSprint Backlog'!$L29&gt;G$2,'ProductSprint Backlog'!$M29,0)</f>
        <v>0.5</v>
      </c>
      <c r="H34" s="51">
        <f>IF('ProductSprint Backlog'!$L29&gt;H$2,'ProductSprint Backlog'!$M29,0)</f>
        <v>0.5</v>
      </c>
      <c r="I34" s="51">
        <f>IF('ProductSprint Backlog'!$L29&gt;I$2,'ProductSprint Backlog'!$M29,0)</f>
        <v>0.5</v>
      </c>
      <c r="J34" s="51">
        <f>IF('ProductSprint Backlog'!$L29&gt;J$2,'ProductSprint Backlog'!$M29,0)</f>
        <v>0.5</v>
      </c>
      <c r="K34" s="51">
        <f>IF('ProductSprint Backlog'!$L29&gt;K$2,'ProductSprint Backlog'!$M29,0)</f>
        <v>0</v>
      </c>
      <c r="L34" s="51">
        <f>IF('ProductSprint Backlog'!$L29&gt;L$2,'ProductSprint Backlog'!$M29,0)</f>
        <v>0</v>
      </c>
      <c r="M34" s="51">
        <f>IF('ProductSprint Backlog'!$L29&gt;M$2,'ProductSprint Backlog'!$M29,0)</f>
        <v>0</v>
      </c>
      <c r="N34" s="51">
        <f>IF('ProductSprint Backlog'!$L29&gt;N$2,'ProductSprint Backlog'!$M29,0)</f>
        <v>0</v>
      </c>
      <c r="O34" s="51">
        <f>IF('ProductSprint Backlog'!$L29&gt;O$2,'ProductSprint Backlog'!$M29,0)</f>
        <v>0</v>
      </c>
    </row>
    <row r="35" spans="1:15" ht="25.5" x14ac:dyDescent="0.2">
      <c r="A35" s="17" t="s">
        <v>73</v>
      </c>
      <c r="B35" s="51">
        <f>IF('ProductSprint Backlog'!$L30&gt;B$2,'ProductSprint Backlog'!$M30,0)</f>
        <v>1</v>
      </c>
      <c r="C35" s="51">
        <f>IF('ProductSprint Backlog'!$L30&gt;C$2,'ProductSprint Backlog'!$M30,0)</f>
        <v>1</v>
      </c>
      <c r="D35" s="51">
        <f>IF('ProductSprint Backlog'!$L30&gt;D$2,'ProductSprint Backlog'!$M30,0)</f>
        <v>1</v>
      </c>
      <c r="E35" s="51">
        <f>IF('ProductSprint Backlog'!$L30&gt;E$2,'ProductSprint Backlog'!$M30,0)</f>
        <v>1</v>
      </c>
      <c r="F35" s="51">
        <f>IF('ProductSprint Backlog'!$L30&gt;F$2,'ProductSprint Backlog'!$M30,0)</f>
        <v>1</v>
      </c>
      <c r="G35" s="51">
        <f>IF('ProductSprint Backlog'!$L30&gt;G$2,'ProductSprint Backlog'!$M30,0)</f>
        <v>1</v>
      </c>
      <c r="H35" s="51">
        <f>IF('ProductSprint Backlog'!$L30&gt;H$2,'ProductSprint Backlog'!$M30,0)</f>
        <v>1</v>
      </c>
      <c r="I35" s="51">
        <f>IF('ProductSprint Backlog'!$L30&gt;I$2,'ProductSprint Backlog'!$M30,0)</f>
        <v>1</v>
      </c>
      <c r="J35" s="51">
        <f>IF('ProductSprint Backlog'!$L30&gt;J$2,'ProductSprint Backlog'!$M30,0)</f>
        <v>1</v>
      </c>
      <c r="K35" s="51">
        <f>IF('ProductSprint Backlog'!$L30&gt;K$2,'ProductSprint Backlog'!$M30,0)</f>
        <v>1</v>
      </c>
      <c r="L35" s="51">
        <f>IF('ProductSprint Backlog'!$L30&gt;L$2,'ProductSprint Backlog'!$M30,0)</f>
        <v>0</v>
      </c>
      <c r="M35" s="51">
        <f>IF('ProductSprint Backlog'!$L30&gt;M$2,'ProductSprint Backlog'!$M30,0)</f>
        <v>0</v>
      </c>
      <c r="N35" s="51">
        <f>IF('ProductSprint Backlog'!$L30&gt;N$2,'ProductSprint Backlog'!$M30,0)</f>
        <v>0</v>
      </c>
      <c r="O35" s="51">
        <f>IF('ProductSprint Backlog'!$L30&gt;O$2,'ProductSprint Backlog'!$M30,0)</f>
        <v>0</v>
      </c>
    </row>
    <row r="36" spans="1:15" ht="12.75" x14ac:dyDescent="0.2">
      <c r="A36" s="18"/>
      <c r="B36" s="73"/>
      <c r="C36" s="71"/>
      <c r="D36" s="71"/>
      <c r="E36" s="71"/>
      <c r="F36" s="71"/>
      <c r="G36" s="71"/>
      <c r="H36" s="71"/>
      <c r="I36" s="71"/>
      <c r="J36" s="71"/>
      <c r="K36" s="71"/>
      <c r="L36" s="71"/>
      <c r="M36" s="71"/>
      <c r="N36" s="71"/>
      <c r="O36" s="72"/>
    </row>
    <row r="37" spans="1:15" ht="25.5" x14ac:dyDescent="0.2">
      <c r="A37" s="17" t="s">
        <v>76</v>
      </c>
      <c r="B37" s="51">
        <f>IF('ProductSprint Backlog'!$L32&gt;B$2,'ProductSprint Backlog'!$M32,0)</f>
        <v>3</v>
      </c>
      <c r="C37" s="51">
        <f>IF('ProductSprint Backlog'!$L32&gt;C$2,'ProductSprint Backlog'!$M32,0)</f>
        <v>3</v>
      </c>
      <c r="D37" s="51">
        <f>IF('ProductSprint Backlog'!$L32&gt;D$2,'ProductSprint Backlog'!$M32,0)</f>
        <v>3</v>
      </c>
      <c r="E37" s="51">
        <f>IF('ProductSprint Backlog'!$L32&gt;E$2,'ProductSprint Backlog'!$M32,0)</f>
        <v>3</v>
      </c>
      <c r="F37" s="51">
        <f>IF('ProductSprint Backlog'!$L32&gt;F$2,'ProductSprint Backlog'!$M32,0)</f>
        <v>0</v>
      </c>
      <c r="G37" s="51">
        <f>IF('ProductSprint Backlog'!$L32&gt;G$2,'ProductSprint Backlog'!$M32,0)</f>
        <v>0</v>
      </c>
      <c r="H37" s="51">
        <f>IF('ProductSprint Backlog'!$L32&gt;H$2,'ProductSprint Backlog'!$M32,0)</f>
        <v>0</v>
      </c>
      <c r="I37" s="51">
        <f>IF('ProductSprint Backlog'!$L32&gt;I$2,'ProductSprint Backlog'!$M32,0)</f>
        <v>0</v>
      </c>
      <c r="J37" s="51">
        <f>IF('ProductSprint Backlog'!$L32&gt;J$2,'ProductSprint Backlog'!$M32,0)</f>
        <v>0</v>
      </c>
      <c r="K37" s="51">
        <f>IF('ProductSprint Backlog'!$L32&gt;K$2,'ProductSprint Backlog'!$M32,0)</f>
        <v>0</v>
      </c>
      <c r="L37" s="51">
        <f>IF('ProductSprint Backlog'!$L32&gt;L$2,'ProductSprint Backlog'!$M32,0)</f>
        <v>0</v>
      </c>
      <c r="M37" s="51">
        <f>IF('ProductSprint Backlog'!$L32&gt;M$2,'ProductSprint Backlog'!$M32,0)</f>
        <v>0</v>
      </c>
      <c r="N37" s="51">
        <f>IF('ProductSprint Backlog'!$L32&gt;N$2,'ProductSprint Backlog'!$M32,0)</f>
        <v>0</v>
      </c>
      <c r="O37" s="51">
        <f>IF('ProductSprint Backlog'!$L32&gt;O$2,'ProductSprint Backlog'!$M32,0)</f>
        <v>0</v>
      </c>
    </row>
    <row r="38" spans="1:15" ht="25.5" x14ac:dyDescent="0.2">
      <c r="A38" s="17" t="s">
        <v>79</v>
      </c>
      <c r="B38" s="51">
        <f>IF('ProductSprint Backlog'!$L33&gt;B$2,'ProductSprint Backlog'!$M33,0)</f>
        <v>2</v>
      </c>
      <c r="C38" s="51">
        <f>IF('ProductSprint Backlog'!$L33&gt;C$2,'ProductSprint Backlog'!$M33,0)</f>
        <v>2</v>
      </c>
      <c r="D38" s="51">
        <f>IF('ProductSprint Backlog'!$L33&gt;D$2,'ProductSprint Backlog'!$M33,0)</f>
        <v>2</v>
      </c>
      <c r="E38" s="51">
        <f>IF('ProductSprint Backlog'!$L33&gt;E$2,'ProductSprint Backlog'!$M33,0)</f>
        <v>2</v>
      </c>
      <c r="F38" s="51">
        <f>IF('ProductSprint Backlog'!$L33&gt;F$2,'ProductSprint Backlog'!$M33,0)</f>
        <v>0</v>
      </c>
      <c r="G38" s="51">
        <f>IF('ProductSprint Backlog'!$L33&gt;G$2,'ProductSprint Backlog'!$M33,0)</f>
        <v>0</v>
      </c>
      <c r="H38" s="51">
        <f>IF('ProductSprint Backlog'!$L33&gt;H$2,'ProductSprint Backlog'!$M33,0)</f>
        <v>0</v>
      </c>
      <c r="I38" s="51">
        <f>IF('ProductSprint Backlog'!$L33&gt;I$2,'ProductSprint Backlog'!$M33,0)</f>
        <v>0</v>
      </c>
      <c r="J38" s="51">
        <f>IF('ProductSprint Backlog'!$L33&gt;J$2,'ProductSprint Backlog'!$M33,0)</f>
        <v>0</v>
      </c>
      <c r="K38" s="51">
        <f>IF('ProductSprint Backlog'!$L33&gt;K$2,'ProductSprint Backlog'!$M33,0)</f>
        <v>0</v>
      </c>
      <c r="L38" s="51">
        <f>IF('ProductSprint Backlog'!$L33&gt;L$2,'ProductSprint Backlog'!$M33,0)</f>
        <v>0</v>
      </c>
      <c r="M38" s="51">
        <f>IF('ProductSprint Backlog'!$L33&gt;M$2,'ProductSprint Backlog'!$M33,0)</f>
        <v>0</v>
      </c>
      <c r="N38" s="51">
        <f>IF('ProductSprint Backlog'!$L33&gt;N$2,'ProductSprint Backlog'!$M33,0)</f>
        <v>0</v>
      </c>
      <c r="O38" s="51">
        <f>IF('ProductSprint Backlog'!$L33&gt;O$2,'ProductSprint Backlog'!$M33,0)</f>
        <v>0</v>
      </c>
    </row>
    <row r="39" spans="1:15" ht="38.25" x14ac:dyDescent="0.2">
      <c r="A39" s="17" t="s">
        <v>81</v>
      </c>
      <c r="B39" s="51">
        <f>IF('ProductSprint Backlog'!$L34&gt;B$2,'ProductSprint Backlog'!$M34,0)</f>
        <v>1</v>
      </c>
      <c r="C39" s="51">
        <f>IF('ProductSprint Backlog'!$L34&gt;C$2,'ProductSprint Backlog'!$M34,0)</f>
        <v>1</v>
      </c>
      <c r="D39" s="51">
        <f>IF('ProductSprint Backlog'!$L34&gt;D$2,'ProductSprint Backlog'!$M34,0)</f>
        <v>1</v>
      </c>
      <c r="E39" s="51">
        <f>IF('ProductSprint Backlog'!$L34&gt;E$2,'ProductSprint Backlog'!$M34,0)</f>
        <v>1</v>
      </c>
      <c r="F39" s="51">
        <f>IF('ProductSprint Backlog'!$L34&gt;F$2,'ProductSprint Backlog'!$M34,0)</f>
        <v>1</v>
      </c>
      <c r="G39" s="51">
        <f>IF('ProductSprint Backlog'!$L34&gt;G$2,'ProductSprint Backlog'!$M34,0)</f>
        <v>0</v>
      </c>
      <c r="H39" s="51">
        <f>IF('ProductSprint Backlog'!$L34&gt;H$2,'ProductSprint Backlog'!$M34,0)</f>
        <v>0</v>
      </c>
      <c r="I39" s="51">
        <f>IF('ProductSprint Backlog'!$L34&gt;I$2,'ProductSprint Backlog'!$M34,0)</f>
        <v>0</v>
      </c>
      <c r="J39" s="51">
        <f>IF('ProductSprint Backlog'!$L34&gt;J$2,'ProductSprint Backlog'!$M34,0)</f>
        <v>0</v>
      </c>
      <c r="K39" s="51">
        <f>IF('ProductSprint Backlog'!$L34&gt;K$2,'ProductSprint Backlog'!$M34,0)</f>
        <v>0</v>
      </c>
      <c r="L39" s="51">
        <f>IF('ProductSprint Backlog'!$L34&gt;L$2,'ProductSprint Backlog'!$M34,0)</f>
        <v>0</v>
      </c>
      <c r="M39" s="51">
        <f>IF('ProductSprint Backlog'!$L34&gt;M$2,'ProductSprint Backlog'!$M34,0)</f>
        <v>0</v>
      </c>
      <c r="N39" s="51">
        <f>IF('ProductSprint Backlog'!$L34&gt;N$2,'ProductSprint Backlog'!$M34,0)</f>
        <v>0</v>
      </c>
      <c r="O39" s="51">
        <f>IF('ProductSprint Backlog'!$L34&gt;O$2,'ProductSprint Backlog'!$M34,0)</f>
        <v>0</v>
      </c>
    </row>
    <row r="40" spans="1:15" ht="25.5" x14ac:dyDescent="0.2">
      <c r="A40" s="17" t="s">
        <v>83</v>
      </c>
      <c r="B40" s="51">
        <f>IF('ProductSprint Backlog'!$L35&gt;B$2,'ProductSprint Backlog'!$M35,0)</f>
        <v>1</v>
      </c>
      <c r="C40" s="51">
        <f>IF('ProductSprint Backlog'!$L35&gt;C$2,'ProductSprint Backlog'!$M35,0)</f>
        <v>1</v>
      </c>
      <c r="D40" s="51">
        <f>IF('ProductSprint Backlog'!$L35&gt;D$2,'ProductSprint Backlog'!$M35,0)</f>
        <v>1</v>
      </c>
      <c r="E40" s="51">
        <f>IF('ProductSprint Backlog'!$L35&gt;E$2,'ProductSprint Backlog'!$M35,0)</f>
        <v>1</v>
      </c>
      <c r="F40" s="51">
        <f>IF('ProductSprint Backlog'!$L35&gt;F$2,'ProductSprint Backlog'!$M35,0)</f>
        <v>1</v>
      </c>
      <c r="G40" s="51">
        <f>IF('ProductSprint Backlog'!$L35&gt;G$2,'ProductSprint Backlog'!$M35,0)</f>
        <v>0</v>
      </c>
      <c r="H40" s="51">
        <f>IF('ProductSprint Backlog'!$L35&gt;H$2,'ProductSprint Backlog'!$M35,0)</f>
        <v>0</v>
      </c>
      <c r="I40" s="51">
        <f>IF('ProductSprint Backlog'!$L35&gt;I$2,'ProductSprint Backlog'!$M35,0)</f>
        <v>0</v>
      </c>
      <c r="J40" s="51">
        <f>IF('ProductSprint Backlog'!$L35&gt;J$2,'ProductSprint Backlog'!$M35,0)</f>
        <v>0</v>
      </c>
      <c r="K40" s="51">
        <f>IF('ProductSprint Backlog'!$L35&gt;K$2,'ProductSprint Backlog'!$M35,0)</f>
        <v>0</v>
      </c>
      <c r="L40" s="51">
        <f>IF('ProductSprint Backlog'!$L35&gt;L$2,'ProductSprint Backlog'!$M35,0)</f>
        <v>0</v>
      </c>
      <c r="M40" s="51">
        <f>IF('ProductSprint Backlog'!$L35&gt;M$2,'ProductSprint Backlog'!$M35,0)</f>
        <v>0</v>
      </c>
      <c r="N40" s="51">
        <f>IF('ProductSprint Backlog'!$L35&gt;N$2,'ProductSprint Backlog'!$M35,0)</f>
        <v>0</v>
      </c>
      <c r="O40" s="51">
        <f>IF('ProductSprint Backlog'!$L35&gt;O$2,'ProductSprint Backlog'!$M35,0)</f>
        <v>0</v>
      </c>
    </row>
    <row r="41" spans="1:15" ht="12.75" x14ac:dyDescent="0.2">
      <c r="A41" s="18"/>
      <c r="B41" s="73"/>
      <c r="C41" s="71"/>
      <c r="D41" s="71"/>
      <c r="E41" s="71"/>
      <c r="F41" s="71"/>
      <c r="G41" s="71"/>
      <c r="H41" s="71"/>
      <c r="I41" s="71"/>
      <c r="J41" s="71"/>
      <c r="K41" s="71"/>
      <c r="L41" s="71"/>
      <c r="M41" s="71"/>
      <c r="N41" s="71"/>
      <c r="O41" s="72"/>
    </row>
    <row r="42" spans="1:15" ht="12.75" x14ac:dyDescent="0.2">
      <c r="A42" s="17" t="s">
        <v>86</v>
      </c>
      <c r="B42" s="51">
        <f>IF('ProductSprint Backlog'!$L37&gt;B$2,'ProductSprint Backlog'!$M37,0)</f>
        <v>2</v>
      </c>
      <c r="C42" s="51">
        <f>IF('ProductSprint Backlog'!$L37&gt;C$2,'ProductSprint Backlog'!$M37,0)</f>
        <v>2</v>
      </c>
      <c r="D42" s="51">
        <f>IF('ProductSprint Backlog'!$L37&gt;D$2,'ProductSprint Backlog'!$M37,0)</f>
        <v>2</v>
      </c>
      <c r="E42" s="51">
        <f>IF('ProductSprint Backlog'!$L37&gt;E$2,'ProductSprint Backlog'!$M37,0)</f>
        <v>2</v>
      </c>
      <c r="F42" s="51">
        <f>IF('ProductSprint Backlog'!$L37&gt;F$2,'ProductSprint Backlog'!$M37,0)</f>
        <v>0</v>
      </c>
      <c r="G42" s="51">
        <f>IF('ProductSprint Backlog'!$L37&gt;G$2,'ProductSprint Backlog'!$M37,0)</f>
        <v>0</v>
      </c>
      <c r="H42" s="51">
        <f>IF('ProductSprint Backlog'!$L37&gt;H$2,'ProductSprint Backlog'!$M37,0)</f>
        <v>0</v>
      </c>
      <c r="I42" s="51">
        <f>IF('ProductSprint Backlog'!$L37&gt;I$2,'ProductSprint Backlog'!$M37,0)</f>
        <v>0</v>
      </c>
      <c r="J42" s="51">
        <f>IF('ProductSprint Backlog'!$L37&gt;J$2,'ProductSprint Backlog'!$M37,0)</f>
        <v>0</v>
      </c>
      <c r="K42" s="51">
        <f>IF('ProductSprint Backlog'!$L37&gt;K$2,'ProductSprint Backlog'!$M37,0)</f>
        <v>0</v>
      </c>
      <c r="L42" s="51">
        <f>IF('ProductSprint Backlog'!$L37&gt;L$2,'ProductSprint Backlog'!$M37,0)</f>
        <v>0</v>
      </c>
      <c r="M42" s="51">
        <f>IF('ProductSprint Backlog'!$L37&gt;M$2,'ProductSprint Backlog'!$M37,0)</f>
        <v>0</v>
      </c>
      <c r="N42" s="51">
        <f>IF('ProductSprint Backlog'!$L37&gt;N$2,'ProductSprint Backlog'!$M37,0)</f>
        <v>0</v>
      </c>
      <c r="O42" s="51">
        <f>IF('ProductSprint Backlog'!$L37&gt;O$2,'ProductSprint Backlog'!$M37,0)</f>
        <v>0</v>
      </c>
    </row>
    <row r="43" spans="1:15" ht="25.5" x14ac:dyDescent="0.2">
      <c r="A43" s="17" t="s">
        <v>87</v>
      </c>
      <c r="B43" s="51">
        <f>IF('ProductSprint Backlog'!$L38&gt;B$2,'ProductSprint Backlog'!$M38,0)</f>
        <v>1</v>
      </c>
      <c r="C43" s="51">
        <f>IF('ProductSprint Backlog'!$L38&gt;C$2,'ProductSprint Backlog'!$M38,0)</f>
        <v>1</v>
      </c>
      <c r="D43" s="51">
        <f>IF('ProductSprint Backlog'!$L38&gt;D$2,'ProductSprint Backlog'!$M38,0)</f>
        <v>1</v>
      </c>
      <c r="E43" s="51">
        <f>IF('ProductSprint Backlog'!$L38&gt;E$2,'ProductSprint Backlog'!$M38,0)</f>
        <v>1</v>
      </c>
      <c r="F43" s="51">
        <f>IF('ProductSprint Backlog'!$L38&gt;F$2,'ProductSprint Backlog'!$M38,0)</f>
        <v>1</v>
      </c>
      <c r="G43" s="51">
        <f>IF('ProductSprint Backlog'!$L38&gt;G$2,'ProductSprint Backlog'!$M38,0)</f>
        <v>0</v>
      </c>
      <c r="H43" s="51">
        <f>IF('ProductSprint Backlog'!$L38&gt;H$2,'ProductSprint Backlog'!$M38,0)</f>
        <v>0</v>
      </c>
      <c r="I43" s="51">
        <f>IF('ProductSprint Backlog'!$L38&gt;I$2,'ProductSprint Backlog'!$M38,0)</f>
        <v>0</v>
      </c>
      <c r="J43" s="51">
        <f>IF('ProductSprint Backlog'!$L38&gt;J$2,'ProductSprint Backlog'!$M38,0)</f>
        <v>0</v>
      </c>
      <c r="K43" s="51">
        <f>IF('ProductSprint Backlog'!$L38&gt;K$2,'ProductSprint Backlog'!$M38,0)</f>
        <v>0</v>
      </c>
      <c r="L43" s="51">
        <f>IF('ProductSprint Backlog'!$L38&gt;L$2,'ProductSprint Backlog'!$M38,0)</f>
        <v>0</v>
      </c>
      <c r="M43" s="51">
        <f>IF('ProductSprint Backlog'!$L38&gt;M$2,'ProductSprint Backlog'!$M38,0)</f>
        <v>0</v>
      </c>
      <c r="N43" s="51">
        <f>IF('ProductSprint Backlog'!$L38&gt;N$2,'ProductSprint Backlog'!$M38,0)</f>
        <v>0</v>
      </c>
      <c r="O43" s="51">
        <f>IF('ProductSprint Backlog'!$L38&gt;O$2,'ProductSprint Backlog'!$M38,0)</f>
        <v>0</v>
      </c>
    </row>
    <row r="44" spans="1:15" ht="38.25" x14ac:dyDescent="0.2">
      <c r="A44" s="17" t="s">
        <v>88</v>
      </c>
      <c r="B44" s="51">
        <f>IF('ProductSprint Backlog'!$L39&gt;B$2,'ProductSprint Backlog'!$M39,0)</f>
        <v>1</v>
      </c>
      <c r="C44" s="51">
        <f>IF('ProductSprint Backlog'!$L39&gt;C$2,'ProductSprint Backlog'!$M39,0)</f>
        <v>1</v>
      </c>
      <c r="D44" s="51">
        <f>IF('ProductSprint Backlog'!$L39&gt;D$2,'ProductSprint Backlog'!$M39,0)</f>
        <v>1</v>
      </c>
      <c r="E44" s="51">
        <f>IF('ProductSprint Backlog'!$L39&gt;E$2,'ProductSprint Backlog'!$M39,0)</f>
        <v>1</v>
      </c>
      <c r="F44" s="51">
        <f>IF('ProductSprint Backlog'!$L39&gt;F$2,'ProductSprint Backlog'!$M39,0)</f>
        <v>1</v>
      </c>
      <c r="G44" s="51">
        <f>IF('ProductSprint Backlog'!$L39&gt;G$2,'ProductSprint Backlog'!$M39,0)</f>
        <v>0</v>
      </c>
      <c r="H44" s="51">
        <f>IF('ProductSprint Backlog'!$L39&gt;H$2,'ProductSprint Backlog'!$M39,0)</f>
        <v>0</v>
      </c>
      <c r="I44" s="51">
        <f>IF('ProductSprint Backlog'!$L39&gt;I$2,'ProductSprint Backlog'!$M39,0)</f>
        <v>0</v>
      </c>
      <c r="J44" s="51">
        <f>IF('ProductSprint Backlog'!$L39&gt;J$2,'ProductSprint Backlog'!$M39,0)</f>
        <v>0</v>
      </c>
      <c r="K44" s="51">
        <f>IF('ProductSprint Backlog'!$L39&gt;K$2,'ProductSprint Backlog'!$M39,0)</f>
        <v>0</v>
      </c>
      <c r="L44" s="51">
        <f>IF('ProductSprint Backlog'!$L39&gt;L$2,'ProductSprint Backlog'!$M39,0)</f>
        <v>0</v>
      </c>
      <c r="M44" s="51">
        <f>IF('ProductSprint Backlog'!$L39&gt;M$2,'ProductSprint Backlog'!$M39,0)</f>
        <v>0</v>
      </c>
      <c r="N44" s="51">
        <f>IF('ProductSprint Backlog'!$L39&gt;N$2,'ProductSprint Backlog'!$M39,0)</f>
        <v>0</v>
      </c>
      <c r="O44" s="51">
        <f>IF('ProductSprint Backlog'!$L39&gt;O$2,'ProductSprint Backlog'!$M39,0)</f>
        <v>0</v>
      </c>
    </row>
    <row r="45" spans="1:15" ht="25.5" x14ac:dyDescent="0.2">
      <c r="A45" s="17" t="s">
        <v>83</v>
      </c>
      <c r="B45" s="51">
        <f>IF('ProductSprint Backlog'!$L40&gt;B$2,'ProductSprint Backlog'!$M40,0)</f>
        <v>1</v>
      </c>
      <c r="C45" s="51">
        <f>IF('ProductSprint Backlog'!$L40&gt;C$2,'ProductSprint Backlog'!$M40,0)</f>
        <v>1</v>
      </c>
      <c r="D45" s="51">
        <f>IF('ProductSprint Backlog'!$L40&gt;D$2,'ProductSprint Backlog'!$M40,0)</f>
        <v>1</v>
      </c>
      <c r="E45" s="51">
        <f>IF('ProductSprint Backlog'!$L40&gt;E$2,'ProductSprint Backlog'!$M40,0)</f>
        <v>1</v>
      </c>
      <c r="F45" s="51">
        <f>IF('ProductSprint Backlog'!$L40&gt;F$2,'ProductSprint Backlog'!$M40,0)</f>
        <v>1</v>
      </c>
      <c r="G45" s="51">
        <f>IF('ProductSprint Backlog'!$L40&gt;G$2,'ProductSprint Backlog'!$M40,0)</f>
        <v>0</v>
      </c>
      <c r="H45" s="51">
        <f>IF('ProductSprint Backlog'!$L40&gt;H$2,'ProductSprint Backlog'!$M40,0)</f>
        <v>0</v>
      </c>
      <c r="I45" s="51">
        <f>IF('ProductSprint Backlog'!$L40&gt;I$2,'ProductSprint Backlog'!$M40,0)</f>
        <v>0</v>
      </c>
      <c r="J45" s="51">
        <f>IF('ProductSprint Backlog'!$L40&gt;J$2,'ProductSprint Backlog'!$M40,0)</f>
        <v>0</v>
      </c>
      <c r="K45" s="51">
        <f>IF('ProductSprint Backlog'!$L40&gt;K$2,'ProductSprint Backlog'!$M40,0)</f>
        <v>0</v>
      </c>
      <c r="L45" s="51">
        <f>IF('ProductSprint Backlog'!$L40&gt;L$2,'ProductSprint Backlog'!$M40,0)</f>
        <v>0</v>
      </c>
      <c r="M45" s="51">
        <f>IF('ProductSprint Backlog'!$L40&gt;M$2,'ProductSprint Backlog'!$M40,0)</f>
        <v>0</v>
      </c>
      <c r="N45" s="51">
        <f>IF('ProductSprint Backlog'!$L40&gt;N$2,'ProductSprint Backlog'!$M40,0)</f>
        <v>0</v>
      </c>
      <c r="O45" s="51">
        <f>IF('ProductSprint Backlog'!$L40&gt;O$2,'ProductSprint Backlog'!$M40,0)</f>
        <v>0</v>
      </c>
    </row>
    <row r="46" spans="1:15" ht="12.75" x14ac:dyDescent="0.2">
      <c r="A46" s="18"/>
      <c r="B46" s="73"/>
      <c r="C46" s="71"/>
      <c r="D46" s="71"/>
      <c r="E46" s="71"/>
      <c r="F46" s="71"/>
      <c r="G46" s="71"/>
      <c r="H46" s="71"/>
      <c r="I46" s="71"/>
      <c r="J46" s="71"/>
      <c r="K46" s="71"/>
      <c r="L46" s="71"/>
      <c r="M46" s="71"/>
      <c r="N46" s="71"/>
      <c r="O46" s="72"/>
    </row>
    <row r="47" spans="1:15" ht="25.5" x14ac:dyDescent="0.2">
      <c r="A47" s="17" t="s">
        <v>90</v>
      </c>
      <c r="B47" s="51">
        <f>IF('ProductSprint Backlog'!$L42&gt;B$2,'ProductSprint Backlog'!$M42,0)</f>
        <v>1</v>
      </c>
      <c r="C47" s="51">
        <f>IF('ProductSprint Backlog'!$L42&gt;C$2,'ProductSprint Backlog'!$M42,0)</f>
        <v>1</v>
      </c>
      <c r="D47" s="51">
        <f>IF('ProductSprint Backlog'!$L42&gt;D$2,'ProductSprint Backlog'!$M42,0)</f>
        <v>1</v>
      </c>
      <c r="E47" s="51">
        <f>IF('ProductSprint Backlog'!$L42&gt;E$2,'ProductSprint Backlog'!$M42,0)</f>
        <v>1</v>
      </c>
      <c r="F47" s="51">
        <f>IF('ProductSprint Backlog'!$L42&gt;F$2,'ProductSprint Backlog'!$M42,0)</f>
        <v>1</v>
      </c>
      <c r="G47" s="51">
        <f>IF('ProductSprint Backlog'!$L42&gt;G$2,'ProductSprint Backlog'!$M42,0)</f>
        <v>1</v>
      </c>
      <c r="H47" s="51">
        <f>IF('ProductSprint Backlog'!$L42&gt;H$2,'ProductSprint Backlog'!$M42,0)</f>
        <v>1</v>
      </c>
      <c r="I47" s="51">
        <f>IF('ProductSprint Backlog'!$L42&gt;I$2,'ProductSprint Backlog'!$M42,0)</f>
        <v>1</v>
      </c>
      <c r="J47" s="51">
        <f>IF('ProductSprint Backlog'!$L42&gt;J$2,'ProductSprint Backlog'!$M42,0)</f>
        <v>1</v>
      </c>
      <c r="K47" s="51">
        <f>IF('ProductSprint Backlog'!$L42&gt;K$2,'ProductSprint Backlog'!$M42,0)</f>
        <v>1</v>
      </c>
      <c r="L47" s="51">
        <f>IF('ProductSprint Backlog'!$L42&gt;L$2,'ProductSprint Backlog'!$M42,0)</f>
        <v>1</v>
      </c>
      <c r="M47" s="51">
        <f>IF('ProductSprint Backlog'!$L42&gt;M$2,'ProductSprint Backlog'!$M42,0)</f>
        <v>0</v>
      </c>
      <c r="N47" s="51">
        <f>IF('ProductSprint Backlog'!$L42&gt;N$2,'ProductSprint Backlog'!$M42,0)</f>
        <v>0</v>
      </c>
      <c r="O47" s="51">
        <f>IF('ProductSprint Backlog'!$L42&gt;O$2,'ProductSprint Backlog'!$M42,0)</f>
        <v>0</v>
      </c>
    </row>
    <row r="48" spans="1:15" ht="25.5" x14ac:dyDescent="0.2">
      <c r="A48" s="17" t="s">
        <v>93</v>
      </c>
      <c r="B48" s="51">
        <f>IF('ProductSprint Backlog'!$L43&gt;B$2,'ProductSprint Backlog'!$M43,0)</f>
        <v>4</v>
      </c>
      <c r="C48" s="51">
        <f>IF('ProductSprint Backlog'!$L43&gt;C$2,'ProductSprint Backlog'!$M43,0)</f>
        <v>4</v>
      </c>
      <c r="D48" s="51">
        <f>IF('ProductSprint Backlog'!$L43&gt;D$2,'ProductSprint Backlog'!$M43,0)</f>
        <v>4</v>
      </c>
      <c r="E48" s="51">
        <f>IF('ProductSprint Backlog'!$L43&gt;E$2,'ProductSprint Backlog'!$M43,0)</f>
        <v>4</v>
      </c>
      <c r="F48" s="51">
        <f>IF('ProductSprint Backlog'!$L43&gt;F$2,'ProductSprint Backlog'!$M43,0)</f>
        <v>4</v>
      </c>
      <c r="G48" s="51">
        <f>IF('ProductSprint Backlog'!$L43&gt;G$2,'ProductSprint Backlog'!$M43,0)</f>
        <v>4</v>
      </c>
      <c r="H48" s="51">
        <f>IF('ProductSprint Backlog'!$L43&gt;H$2,'ProductSprint Backlog'!$M43,0)</f>
        <v>4</v>
      </c>
      <c r="I48" s="51">
        <f>IF('ProductSprint Backlog'!$L43&gt;I$2,'ProductSprint Backlog'!$M43,0)</f>
        <v>4</v>
      </c>
      <c r="J48" s="51">
        <f>IF('ProductSprint Backlog'!$L43&gt;J$2,'ProductSprint Backlog'!$M43,0)</f>
        <v>4</v>
      </c>
      <c r="K48" s="51">
        <f>IF('ProductSprint Backlog'!$L43&gt;K$2,'ProductSprint Backlog'!$M43,0)</f>
        <v>4</v>
      </c>
      <c r="L48" s="51">
        <f>IF('ProductSprint Backlog'!$L43&gt;L$2,'ProductSprint Backlog'!$M43,0)</f>
        <v>4</v>
      </c>
      <c r="M48" s="51">
        <f>IF('ProductSprint Backlog'!$L43&gt;M$2,'ProductSprint Backlog'!$M43,0)</f>
        <v>4</v>
      </c>
      <c r="N48" s="51">
        <f>IF('ProductSprint Backlog'!$L43&gt;N$2,'ProductSprint Backlog'!$M43,0)</f>
        <v>0</v>
      </c>
      <c r="O48" s="51">
        <f>IF('ProductSprint Backlog'!$L43&gt;O$2,'ProductSprint Backlog'!$M43,0)</f>
        <v>0</v>
      </c>
    </row>
    <row r="49" spans="1:15" ht="12.75" x14ac:dyDescent="0.2">
      <c r="A49" s="18"/>
      <c r="B49" s="73"/>
      <c r="C49" s="71"/>
      <c r="D49" s="71"/>
      <c r="E49" s="71"/>
      <c r="F49" s="71"/>
      <c r="G49" s="71"/>
      <c r="H49" s="71"/>
      <c r="I49" s="71"/>
      <c r="J49" s="71"/>
      <c r="K49" s="71"/>
      <c r="L49" s="71"/>
      <c r="M49" s="71"/>
      <c r="N49" s="71"/>
      <c r="O49" s="72"/>
    </row>
    <row r="50" spans="1:15" ht="25.5" x14ac:dyDescent="0.2">
      <c r="A50" s="17" t="s">
        <v>96</v>
      </c>
      <c r="B50" s="51">
        <f>IF('ProductSprint Backlog'!$L45&gt;B$2,'ProductSprint Backlog'!$M45,0)</f>
        <v>1</v>
      </c>
      <c r="C50" s="51">
        <f>IF('ProductSprint Backlog'!$L45&gt;C$2,'ProductSprint Backlog'!$M45,0)</f>
        <v>1</v>
      </c>
      <c r="D50" s="51">
        <f>IF('ProductSprint Backlog'!$L45&gt;D$2,'ProductSprint Backlog'!$M45,0)</f>
        <v>1</v>
      </c>
      <c r="E50" s="51">
        <f>IF('ProductSprint Backlog'!$L45&gt;E$2,'ProductSprint Backlog'!$M45,0)</f>
        <v>1</v>
      </c>
      <c r="F50" s="51">
        <f>IF('ProductSprint Backlog'!$L45&gt;F$2,'ProductSprint Backlog'!$M45,0)</f>
        <v>1</v>
      </c>
      <c r="G50" s="51">
        <f>IF('ProductSprint Backlog'!$L45&gt;G$2,'ProductSprint Backlog'!$M45,0)</f>
        <v>1</v>
      </c>
      <c r="H50" s="51">
        <f>IF('ProductSprint Backlog'!$L45&gt;H$2,'ProductSprint Backlog'!$M45,0)</f>
        <v>1</v>
      </c>
      <c r="I50" s="51">
        <f>IF('ProductSprint Backlog'!$L45&gt;I$2,'ProductSprint Backlog'!$M45,0)</f>
        <v>1</v>
      </c>
      <c r="J50" s="51">
        <f>IF('ProductSprint Backlog'!$L45&gt;J$2,'ProductSprint Backlog'!$M45,0)</f>
        <v>1</v>
      </c>
      <c r="K50" s="51">
        <f>IF('ProductSprint Backlog'!$L45&gt;K$2,'ProductSprint Backlog'!$M45,0)</f>
        <v>1</v>
      </c>
      <c r="L50" s="51">
        <f>IF('ProductSprint Backlog'!$L45&gt;L$2,'ProductSprint Backlog'!$M45,0)</f>
        <v>1</v>
      </c>
      <c r="M50" s="51">
        <f>IF('ProductSprint Backlog'!$L45&gt;M$2,'ProductSprint Backlog'!$M45,0)</f>
        <v>0</v>
      </c>
      <c r="N50" s="51">
        <f>IF('ProductSprint Backlog'!$L45&gt;N$2,'ProductSprint Backlog'!$M45,0)</f>
        <v>0</v>
      </c>
      <c r="O50" s="51">
        <f>IF('ProductSprint Backlog'!$L45&gt;O$2,'ProductSprint Backlog'!$M45,0)</f>
        <v>0</v>
      </c>
    </row>
    <row r="51" spans="1:15" ht="25.5" x14ac:dyDescent="0.2">
      <c r="A51" s="17" t="s">
        <v>99</v>
      </c>
      <c r="B51" s="51">
        <f>IF('ProductSprint Backlog'!$L46&gt;B$2,'ProductSprint Backlog'!$M46,0)</f>
        <v>3</v>
      </c>
      <c r="C51" s="51">
        <f>IF('ProductSprint Backlog'!$L46&gt;C$2,'ProductSprint Backlog'!$M46,0)</f>
        <v>3</v>
      </c>
      <c r="D51" s="51">
        <f>IF('ProductSprint Backlog'!$L46&gt;D$2,'ProductSprint Backlog'!$M46,0)</f>
        <v>3</v>
      </c>
      <c r="E51" s="51">
        <f>IF('ProductSprint Backlog'!$L46&gt;E$2,'ProductSprint Backlog'!$M46,0)</f>
        <v>3</v>
      </c>
      <c r="F51" s="51">
        <f>IF('ProductSprint Backlog'!$L46&gt;F$2,'ProductSprint Backlog'!$M46,0)</f>
        <v>3</v>
      </c>
      <c r="G51" s="51">
        <f>IF('ProductSprint Backlog'!$L46&gt;G$2,'ProductSprint Backlog'!$M46,0)</f>
        <v>3</v>
      </c>
      <c r="H51" s="51">
        <f>IF('ProductSprint Backlog'!$L46&gt;H$2,'ProductSprint Backlog'!$M46,0)</f>
        <v>3</v>
      </c>
      <c r="I51" s="51">
        <f>IF('ProductSprint Backlog'!$L46&gt;I$2,'ProductSprint Backlog'!$M46,0)</f>
        <v>3</v>
      </c>
      <c r="J51" s="51">
        <f>IF('ProductSprint Backlog'!$L46&gt;J$2,'ProductSprint Backlog'!$M46,0)</f>
        <v>3</v>
      </c>
      <c r="K51" s="51">
        <f>IF('ProductSprint Backlog'!$L46&gt;K$2,'ProductSprint Backlog'!$M46,0)</f>
        <v>3</v>
      </c>
      <c r="L51" s="51">
        <f>IF('ProductSprint Backlog'!$L46&gt;L$2,'ProductSprint Backlog'!$M46,0)</f>
        <v>3</v>
      </c>
      <c r="M51" s="51">
        <f>IF('ProductSprint Backlog'!$L46&gt;M$2,'ProductSprint Backlog'!$M46,0)</f>
        <v>3</v>
      </c>
      <c r="N51" s="51">
        <f>IF('ProductSprint Backlog'!$L46&gt;N$2,'ProductSprint Backlog'!$M46,0)</f>
        <v>0</v>
      </c>
      <c r="O51" s="51">
        <f>IF('ProductSprint Backlog'!$L46&gt;O$2,'ProductSprint Backlog'!$M46,0)</f>
        <v>0</v>
      </c>
    </row>
    <row r="52" spans="1:15" ht="12.75" x14ac:dyDescent="0.2">
      <c r="A52" s="18"/>
      <c r="B52" s="73"/>
      <c r="C52" s="71"/>
      <c r="D52" s="71"/>
      <c r="E52" s="71"/>
      <c r="F52" s="71"/>
      <c r="G52" s="71"/>
      <c r="H52" s="71"/>
      <c r="I52" s="71"/>
      <c r="J52" s="71"/>
      <c r="K52" s="71"/>
      <c r="L52" s="71"/>
      <c r="M52" s="71"/>
      <c r="N52" s="71"/>
      <c r="O52" s="72"/>
    </row>
    <row r="53" spans="1:15" ht="25.5" x14ac:dyDescent="0.2">
      <c r="A53" s="17" t="s">
        <v>90</v>
      </c>
      <c r="B53" s="51">
        <f>IF('ProductSprint Backlog'!$L48&gt;B$2,'ProductSprint Backlog'!$M48,0)</f>
        <v>0.5</v>
      </c>
      <c r="C53" s="51">
        <f>IF('ProductSprint Backlog'!$L48&gt;C$2,'ProductSprint Backlog'!$M48,0)</f>
        <v>0.5</v>
      </c>
      <c r="D53" s="51">
        <f>IF('ProductSprint Backlog'!$L48&gt;D$2,'ProductSprint Backlog'!$M48,0)</f>
        <v>0.5</v>
      </c>
      <c r="E53" s="51">
        <f>IF('ProductSprint Backlog'!$L48&gt;E$2,'ProductSprint Backlog'!$M48,0)</f>
        <v>0.5</v>
      </c>
      <c r="F53" s="51">
        <f>IF('ProductSprint Backlog'!$L48&gt;F$2,'ProductSprint Backlog'!$M48,0)</f>
        <v>0.5</v>
      </c>
      <c r="G53" s="51">
        <f>IF('ProductSprint Backlog'!$L48&gt;G$2,'ProductSprint Backlog'!$M48,0)</f>
        <v>0.5</v>
      </c>
      <c r="H53" s="51">
        <f>IF('ProductSprint Backlog'!$L48&gt;H$2,'ProductSprint Backlog'!$M48,0)</f>
        <v>0.5</v>
      </c>
      <c r="I53" s="51">
        <f>IF('ProductSprint Backlog'!$L48&gt;I$2,'ProductSprint Backlog'!$M48,0)</f>
        <v>0.5</v>
      </c>
      <c r="J53" s="51">
        <f>IF('ProductSprint Backlog'!$L48&gt;J$2,'ProductSprint Backlog'!$M48,0)</f>
        <v>0.5</v>
      </c>
      <c r="K53" s="51">
        <f>IF('ProductSprint Backlog'!$L48&gt;K$2,'ProductSprint Backlog'!$M48,0)</f>
        <v>0.5</v>
      </c>
      <c r="L53" s="51">
        <f>IF('ProductSprint Backlog'!$L48&gt;L$2,'ProductSprint Backlog'!$M48,0)</f>
        <v>0</v>
      </c>
      <c r="M53" s="51">
        <f>IF('ProductSprint Backlog'!$L48&gt;M$2,'ProductSprint Backlog'!$M48,0)</f>
        <v>0</v>
      </c>
      <c r="N53" s="51">
        <f>IF('ProductSprint Backlog'!$L48&gt;N$2,'ProductSprint Backlog'!$M48,0)</f>
        <v>0</v>
      </c>
      <c r="O53" s="51">
        <f>IF('ProductSprint Backlog'!$L48&gt;O$2,'ProductSprint Backlog'!$M48,0)</f>
        <v>0</v>
      </c>
    </row>
    <row r="54" spans="1:15" ht="25.5" x14ac:dyDescent="0.2">
      <c r="A54" s="17" t="s">
        <v>93</v>
      </c>
      <c r="B54" s="51">
        <f>IF('ProductSprint Backlog'!$L49&gt;B$2,'ProductSprint Backlog'!$M49,0)</f>
        <v>3</v>
      </c>
      <c r="C54" s="51">
        <f>IF('ProductSprint Backlog'!$L49&gt;C$2,'ProductSprint Backlog'!$M49,0)</f>
        <v>3</v>
      </c>
      <c r="D54" s="51">
        <f>IF('ProductSprint Backlog'!$L49&gt;D$2,'ProductSprint Backlog'!$M49,0)</f>
        <v>3</v>
      </c>
      <c r="E54" s="51">
        <f>IF('ProductSprint Backlog'!$L49&gt;E$2,'ProductSprint Backlog'!$M49,0)</f>
        <v>3</v>
      </c>
      <c r="F54" s="51">
        <f>IF('ProductSprint Backlog'!$L49&gt;F$2,'ProductSprint Backlog'!$M49,0)</f>
        <v>3</v>
      </c>
      <c r="G54" s="51">
        <f>IF('ProductSprint Backlog'!$L49&gt;G$2,'ProductSprint Backlog'!$M49,0)</f>
        <v>3</v>
      </c>
      <c r="H54" s="51">
        <f>IF('ProductSprint Backlog'!$L49&gt;H$2,'ProductSprint Backlog'!$M49,0)</f>
        <v>3</v>
      </c>
      <c r="I54" s="51">
        <f>IF('ProductSprint Backlog'!$L49&gt;I$2,'ProductSprint Backlog'!$M49,0)</f>
        <v>3</v>
      </c>
      <c r="J54" s="51">
        <f>IF('ProductSprint Backlog'!$L49&gt;J$2,'ProductSprint Backlog'!$M49,0)</f>
        <v>3</v>
      </c>
      <c r="K54" s="51">
        <f>IF('ProductSprint Backlog'!$L49&gt;K$2,'ProductSprint Backlog'!$M49,0)</f>
        <v>3</v>
      </c>
      <c r="L54" s="51">
        <f>IF('ProductSprint Backlog'!$L49&gt;L$2,'ProductSprint Backlog'!$M49,0)</f>
        <v>3</v>
      </c>
      <c r="M54" s="51">
        <f>IF('ProductSprint Backlog'!$L49&gt;M$2,'ProductSprint Backlog'!$M49,0)</f>
        <v>3</v>
      </c>
      <c r="N54" s="51">
        <f>IF('ProductSprint Backlog'!$L49&gt;N$2,'ProductSprint Backlog'!$M49,0)</f>
        <v>3</v>
      </c>
      <c r="O54" s="51">
        <f>IF('ProductSprint Backlog'!$L49&gt;O$2,'ProductSprint Backlog'!$M49,0)</f>
        <v>0</v>
      </c>
    </row>
    <row r="55" spans="1:15" ht="12.75" x14ac:dyDescent="0.2">
      <c r="A55" s="18"/>
      <c r="B55" s="73"/>
      <c r="C55" s="71"/>
      <c r="D55" s="71"/>
      <c r="E55" s="71"/>
      <c r="F55" s="71"/>
      <c r="G55" s="71"/>
      <c r="H55" s="71"/>
      <c r="I55" s="71"/>
      <c r="J55" s="71"/>
      <c r="K55" s="71"/>
      <c r="L55" s="71"/>
      <c r="M55" s="71"/>
      <c r="N55" s="71"/>
      <c r="O55" s="72"/>
    </row>
    <row r="56" spans="1:15" ht="25.5" x14ac:dyDescent="0.2">
      <c r="A56" s="17" t="s">
        <v>96</v>
      </c>
      <c r="B56" s="51">
        <f>IF('ProductSprint Backlog'!$L51&gt;B$2,'ProductSprint Backlog'!$M51,0)</f>
        <v>0.5</v>
      </c>
      <c r="C56" s="51">
        <f>IF('ProductSprint Backlog'!$L51&gt;C$2,'ProductSprint Backlog'!$M51,0)</f>
        <v>0.5</v>
      </c>
      <c r="D56" s="51">
        <f>IF('ProductSprint Backlog'!$L51&gt;D$2,'ProductSprint Backlog'!$M51,0)</f>
        <v>0.5</v>
      </c>
      <c r="E56" s="51">
        <f>IF('ProductSprint Backlog'!$L51&gt;E$2,'ProductSprint Backlog'!$M51,0)</f>
        <v>0.5</v>
      </c>
      <c r="F56" s="51">
        <f>IF('ProductSprint Backlog'!$L51&gt;F$2,'ProductSprint Backlog'!$M51,0)</f>
        <v>0.5</v>
      </c>
      <c r="G56" s="51">
        <f>IF('ProductSprint Backlog'!$L51&gt;G$2,'ProductSprint Backlog'!$M51,0)</f>
        <v>0.5</v>
      </c>
      <c r="H56" s="51">
        <f>IF('ProductSprint Backlog'!$L51&gt;H$2,'ProductSprint Backlog'!$M51,0)</f>
        <v>0.5</v>
      </c>
      <c r="I56" s="51">
        <f>IF('ProductSprint Backlog'!$L51&gt;I$2,'ProductSprint Backlog'!$M51,0)</f>
        <v>0.5</v>
      </c>
      <c r="J56" s="51">
        <f>IF('ProductSprint Backlog'!$L51&gt;J$2,'ProductSprint Backlog'!$M51,0)</f>
        <v>0.5</v>
      </c>
      <c r="K56" s="51">
        <f>IF('ProductSprint Backlog'!$L51&gt;K$2,'ProductSprint Backlog'!$M51,0)</f>
        <v>0.5</v>
      </c>
      <c r="L56" s="51">
        <f>IF('ProductSprint Backlog'!$L51&gt;L$2,'ProductSprint Backlog'!$M51,0)</f>
        <v>0</v>
      </c>
      <c r="M56" s="51">
        <f>IF('ProductSprint Backlog'!$L51&gt;M$2,'ProductSprint Backlog'!$M51,0)</f>
        <v>0</v>
      </c>
      <c r="N56" s="51">
        <f>IF('ProductSprint Backlog'!$L51&gt;N$2,'ProductSprint Backlog'!$M51,0)</f>
        <v>0</v>
      </c>
      <c r="O56" s="51">
        <f>IF('ProductSprint Backlog'!$L51&gt;O$2,'ProductSprint Backlog'!$M51,0)</f>
        <v>0</v>
      </c>
    </row>
    <row r="57" spans="1:15" ht="25.5" x14ac:dyDescent="0.2">
      <c r="A57" s="17" t="s">
        <v>99</v>
      </c>
      <c r="B57" s="51">
        <f>IF('ProductSprint Backlog'!$L52&gt;B$2,'ProductSprint Backlog'!$M52,0)</f>
        <v>2</v>
      </c>
      <c r="C57" s="51">
        <f>IF('ProductSprint Backlog'!$L52&gt;C$2,'ProductSprint Backlog'!$M52,0)</f>
        <v>2</v>
      </c>
      <c r="D57" s="51">
        <f>IF('ProductSprint Backlog'!$L52&gt;D$2,'ProductSprint Backlog'!$M52,0)</f>
        <v>2</v>
      </c>
      <c r="E57" s="51">
        <f>IF('ProductSprint Backlog'!$L52&gt;E$2,'ProductSprint Backlog'!$M52,0)</f>
        <v>2</v>
      </c>
      <c r="F57" s="51">
        <f>IF('ProductSprint Backlog'!$L52&gt;F$2,'ProductSprint Backlog'!$M52,0)</f>
        <v>2</v>
      </c>
      <c r="G57" s="51">
        <f>IF('ProductSprint Backlog'!$L52&gt;G$2,'ProductSprint Backlog'!$M52,0)</f>
        <v>2</v>
      </c>
      <c r="H57" s="51">
        <f>IF('ProductSprint Backlog'!$L52&gt;H$2,'ProductSprint Backlog'!$M52,0)</f>
        <v>2</v>
      </c>
      <c r="I57" s="51">
        <f>IF('ProductSprint Backlog'!$L52&gt;I$2,'ProductSprint Backlog'!$M52,0)</f>
        <v>2</v>
      </c>
      <c r="J57" s="51">
        <f>IF('ProductSprint Backlog'!$L52&gt;J$2,'ProductSprint Backlog'!$M52,0)</f>
        <v>2</v>
      </c>
      <c r="K57" s="51">
        <f>IF('ProductSprint Backlog'!$L52&gt;K$2,'ProductSprint Backlog'!$M52,0)</f>
        <v>2</v>
      </c>
      <c r="L57" s="51">
        <f>IF('ProductSprint Backlog'!$L52&gt;L$2,'ProductSprint Backlog'!$M52,0)</f>
        <v>2</v>
      </c>
      <c r="M57" s="51">
        <f>IF('ProductSprint Backlog'!$L52&gt;M$2,'ProductSprint Backlog'!$M52,0)</f>
        <v>0</v>
      </c>
      <c r="N57" s="51">
        <f>IF('ProductSprint Backlog'!$L52&gt;N$2,'ProductSprint Backlog'!$M52,0)</f>
        <v>0</v>
      </c>
      <c r="O57" s="51">
        <f>IF('ProductSprint Backlog'!$L52&gt;O$2,'ProductSprint Backlog'!$M52,0)</f>
        <v>0</v>
      </c>
    </row>
    <row r="58" spans="1:15" ht="12.75" x14ac:dyDescent="0.2">
      <c r="A58" s="18"/>
      <c r="B58" s="73"/>
      <c r="C58" s="71"/>
      <c r="D58" s="71"/>
      <c r="E58" s="71"/>
      <c r="F58" s="71"/>
      <c r="G58" s="71"/>
      <c r="H58" s="71"/>
      <c r="I58" s="71"/>
      <c r="J58" s="71"/>
      <c r="K58" s="71"/>
      <c r="L58" s="71"/>
      <c r="M58" s="71"/>
      <c r="N58" s="71"/>
      <c r="O58" s="72"/>
    </row>
    <row r="59" spans="1:15" ht="25.5" x14ac:dyDescent="0.2">
      <c r="A59" s="17" t="s">
        <v>104</v>
      </c>
      <c r="B59" s="51">
        <f>IF('ProductSprint Backlog'!$L54&gt;B$2,'ProductSprint Backlog'!$M54,0)</f>
        <v>6</v>
      </c>
      <c r="C59" s="51">
        <f>IF('ProductSprint Backlog'!$L54&gt;C$2,'ProductSprint Backlog'!$M54,0)</f>
        <v>6</v>
      </c>
      <c r="D59" s="51">
        <f>IF('ProductSprint Backlog'!$L54&gt;D$2,'ProductSprint Backlog'!$M54,0)</f>
        <v>6</v>
      </c>
      <c r="E59" s="51">
        <f>IF('ProductSprint Backlog'!$L54&gt;E$2,'ProductSprint Backlog'!$M54,0)</f>
        <v>6</v>
      </c>
      <c r="F59" s="51">
        <f>IF('ProductSprint Backlog'!$L54&gt;F$2,'ProductSprint Backlog'!$M54,0)</f>
        <v>6</v>
      </c>
      <c r="G59" s="51">
        <f>IF('ProductSprint Backlog'!$L54&gt;G$2,'ProductSprint Backlog'!$M54,0)</f>
        <v>6</v>
      </c>
      <c r="H59" s="51">
        <f>IF('ProductSprint Backlog'!$L54&gt;H$2,'ProductSprint Backlog'!$M54,0)</f>
        <v>6</v>
      </c>
      <c r="I59" s="51">
        <f>IF('ProductSprint Backlog'!$L54&gt;I$2,'ProductSprint Backlog'!$M54,0)</f>
        <v>6</v>
      </c>
      <c r="J59" s="51">
        <f>IF('ProductSprint Backlog'!$L54&gt;J$2,'ProductSprint Backlog'!$M54,0)</f>
        <v>0</v>
      </c>
      <c r="K59" s="51">
        <f>IF('ProductSprint Backlog'!$L54&gt;K$2,'ProductSprint Backlog'!$M54,0)</f>
        <v>0</v>
      </c>
      <c r="L59" s="51">
        <f>IF('ProductSprint Backlog'!$L54&gt;L$2,'ProductSprint Backlog'!$M54,0)</f>
        <v>0</v>
      </c>
      <c r="M59" s="51">
        <f>IF('ProductSprint Backlog'!$L54&gt;M$2,'ProductSprint Backlog'!$M54,0)</f>
        <v>0</v>
      </c>
      <c r="N59" s="51">
        <f>IF('ProductSprint Backlog'!$L54&gt;N$2,'ProductSprint Backlog'!$M54,0)</f>
        <v>0</v>
      </c>
      <c r="O59" s="51">
        <f>IF('ProductSprint Backlog'!$L54&gt;O$2,'ProductSprint Backlog'!$M54,0)</f>
        <v>0</v>
      </c>
    </row>
    <row r="60" spans="1:15" ht="25.5" x14ac:dyDescent="0.2">
      <c r="A60" s="17" t="s">
        <v>106</v>
      </c>
      <c r="B60" s="51">
        <f>IF('ProductSprint Backlog'!$L55&gt;B$2,'ProductSprint Backlog'!$M55,0)</f>
        <v>4</v>
      </c>
      <c r="C60" s="51">
        <f>IF('ProductSprint Backlog'!$L55&gt;C$2,'ProductSprint Backlog'!$M55,0)</f>
        <v>4</v>
      </c>
      <c r="D60" s="51">
        <f>IF('ProductSprint Backlog'!$L55&gt;D$2,'ProductSprint Backlog'!$M55,0)</f>
        <v>4</v>
      </c>
      <c r="E60" s="51">
        <f>IF('ProductSprint Backlog'!$L55&gt;E$2,'ProductSprint Backlog'!$M55,0)</f>
        <v>4</v>
      </c>
      <c r="F60" s="51">
        <f>IF('ProductSprint Backlog'!$L55&gt;F$2,'ProductSprint Backlog'!$M55,0)</f>
        <v>4</v>
      </c>
      <c r="G60" s="51">
        <f>IF('ProductSprint Backlog'!$L55&gt;G$2,'ProductSprint Backlog'!$M55,0)</f>
        <v>4</v>
      </c>
      <c r="H60" s="51">
        <f>IF('ProductSprint Backlog'!$L55&gt;H$2,'ProductSprint Backlog'!$M55,0)</f>
        <v>4</v>
      </c>
      <c r="I60" s="51">
        <f>IF('ProductSprint Backlog'!$L55&gt;I$2,'ProductSprint Backlog'!$M55,0)</f>
        <v>4</v>
      </c>
      <c r="J60" s="51">
        <f>IF('ProductSprint Backlog'!$L55&gt;J$2,'ProductSprint Backlog'!$M55,0)</f>
        <v>4</v>
      </c>
      <c r="K60" s="51">
        <f>IF('ProductSprint Backlog'!$L55&gt;K$2,'ProductSprint Backlog'!$M55,0)</f>
        <v>0</v>
      </c>
      <c r="L60" s="51">
        <f>IF('ProductSprint Backlog'!$L55&gt;L$2,'ProductSprint Backlog'!$M55,0)</f>
        <v>0</v>
      </c>
      <c r="M60" s="51">
        <f>IF('ProductSprint Backlog'!$L55&gt;M$2,'ProductSprint Backlog'!$M55,0)</f>
        <v>0</v>
      </c>
      <c r="N60" s="51">
        <f>IF('ProductSprint Backlog'!$L55&gt;N$2,'ProductSprint Backlog'!$M55,0)</f>
        <v>0</v>
      </c>
      <c r="O60" s="51">
        <f>IF('ProductSprint Backlog'!$L55&gt;O$2,'ProductSprint Backlog'!$M55,0)</f>
        <v>0</v>
      </c>
    </row>
    <row r="61" spans="1:15" ht="25.5" x14ac:dyDescent="0.2">
      <c r="A61" s="17" t="s">
        <v>108</v>
      </c>
      <c r="B61" s="51">
        <f>IF('ProductSprint Backlog'!$L56&gt;B$2,'ProductSprint Backlog'!$M56,0)</f>
        <v>2</v>
      </c>
      <c r="C61" s="51">
        <f>IF('ProductSprint Backlog'!$L56&gt;C$2,'ProductSprint Backlog'!$M56,0)</f>
        <v>2</v>
      </c>
      <c r="D61" s="51">
        <f>IF('ProductSprint Backlog'!$L56&gt;D$2,'ProductSprint Backlog'!$M56,0)</f>
        <v>2</v>
      </c>
      <c r="E61" s="51">
        <f>IF('ProductSprint Backlog'!$L56&gt;E$2,'ProductSprint Backlog'!$M56,0)</f>
        <v>2</v>
      </c>
      <c r="F61" s="51">
        <f>IF('ProductSprint Backlog'!$L56&gt;F$2,'ProductSprint Backlog'!$M56,0)</f>
        <v>2</v>
      </c>
      <c r="G61" s="51">
        <f>IF('ProductSprint Backlog'!$L56&gt;G$2,'ProductSprint Backlog'!$M56,0)</f>
        <v>2</v>
      </c>
      <c r="H61" s="51">
        <f>IF('ProductSprint Backlog'!$L56&gt;H$2,'ProductSprint Backlog'!$M56,0)</f>
        <v>2</v>
      </c>
      <c r="I61" s="51">
        <f>IF('ProductSprint Backlog'!$L56&gt;I$2,'ProductSprint Backlog'!$M56,0)</f>
        <v>2</v>
      </c>
      <c r="J61" s="51">
        <f>IF('ProductSprint Backlog'!$L56&gt;J$2,'ProductSprint Backlog'!$M56,0)</f>
        <v>0</v>
      </c>
      <c r="K61" s="51">
        <f>IF('ProductSprint Backlog'!$L56&gt;K$2,'ProductSprint Backlog'!$M56,0)</f>
        <v>0</v>
      </c>
      <c r="L61" s="51">
        <f>IF('ProductSprint Backlog'!$L56&gt;L$2,'ProductSprint Backlog'!$M56,0)</f>
        <v>0</v>
      </c>
      <c r="M61" s="51">
        <f>IF('ProductSprint Backlog'!$L56&gt;M$2,'ProductSprint Backlog'!$M56,0)</f>
        <v>0</v>
      </c>
      <c r="N61" s="51">
        <f>IF('ProductSprint Backlog'!$L56&gt;N$2,'ProductSprint Backlog'!$M56,0)</f>
        <v>0</v>
      </c>
      <c r="O61" s="51">
        <f>IF('ProductSprint Backlog'!$L56&gt;O$2,'ProductSprint Backlog'!$M56,0)</f>
        <v>0</v>
      </c>
    </row>
    <row r="62" spans="1:15" ht="25.5" x14ac:dyDescent="0.2">
      <c r="A62" s="17" t="s">
        <v>110</v>
      </c>
      <c r="B62" s="51">
        <f>IF('ProductSprint Backlog'!$L57&gt;B$2,'ProductSprint Backlog'!$M57,0)</f>
        <v>2</v>
      </c>
      <c r="C62" s="51">
        <f>IF('ProductSprint Backlog'!$L57&gt;C$2,'ProductSprint Backlog'!$M57,0)</f>
        <v>2</v>
      </c>
      <c r="D62" s="51">
        <f>IF('ProductSprint Backlog'!$L57&gt;D$2,'ProductSprint Backlog'!$M57,0)</f>
        <v>2</v>
      </c>
      <c r="E62" s="51">
        <f>IF('ProductSprint Backlog'!$L57&gt;E$2,'ProductSprint Backlog'!$M57,0)</f>
        <v>2</v>
      </c>
      <c r="F62" s="51">
        <f>IF('ProductSprint Backlog'!$L57&gt;F$2,'ProductSprint Backlog'!$M57,0)</f>
        <v>2</v>
      </c>
      <c r="G62" s="51">
        <f>IF('ProductSprint Backlog'!$L57&gt;G$2,'ProductSprint Backlog'!$M57,0)</f>
        <v>2</v>
      </c>
      <c r="H62" s="51">
        <f>IF('ProductSprint Backlog'!$L57&gt;H$2,'ProductSprint Backlog'!$M57,0)</f>
        <v>2</v>
      </c>
      <c r="I62" s="51">
        <f>IF('ProductSprint Backlog'!$L57&gt;I$2,'ProductSprint Backlog'!$M57,0)</f>
        <v>2</v>
      </c>
      <c r="J62" s="51">
        <f>IF('ProductSprint Backlog'!$L57&gt;J$2,'ProductSprint Backlog'!$M57,0)</f>
        <v>2</v>
      </c>
      <c r="K62" s="51">
        <f>IF('ProductSprint Backlog'!$L57&gt;K$2,'ProductSprint Backlog'!$M57,0)</f>
        <v>0</v>
      </c>
      <c r="L62" s="51">
        <f>IF('ProductSprint Backlog'!$L57&gt;L$2,'ProductSprint Backlog'!$M57,0)</f>
        <v>0</v>
      </c>
      <c r="M62" s="51">
        <f>IF('ProductSprint Backlog'!$L57&gt;M$2,'ProductSprint Backlog'!$M57,0)</f>
        <v>0</v>
      </c>
      <c r="N62" s="51">
        <f>IF('ProductSprint Backlog'!$L57&gt;N$2,'ProductSprint Backlog'!$M57,0)</f>
        <v>0</v>
      </c>
      <c r="O62" s="51">
        <f>IF('ProductSprint Backlog'!$L57&gt;O$2,'ProductSprint Backlog'!$M57,0)</f>
        <v>0</v>
      </c>
    </row>
    <row r="63" spans="1:15" ht="12.75" x14ac:dyDescent="0.2">
      <c r="A63" s="17" t="s">
        <v>112</v>
      </c>
      <c r="B63" s="51">
        <f>IF('ProductSprint Backlog'!$L58&gt;B$2,'ProductSprint Backlog'!$M58,0)</f>
        <v>3</v>
      </c>
      <c r="C63" s="51">
        <f>IF('ProductSprint Backlog'!$L58&gt;C$2,'ProductSprint Backlog'!$M58,0)</f>
        <v>3</v>
      </c>
      <c r="D63" s="51">
        <f>IF('ProductSprint Backlog'!$L58&gt;D$2,'ProductSprint Backlog'!$M58,0)</f>
        <v>3</v>
      </c>
      <c r="E63" s="51">
        <f>IF('ProductSprint Backlog'!$L58&gt;E$2,'ProductSprint Backlog'!$M58,0)</f>
        <v>3</v>
      </c>
      <c r="F63" s="51">
        <f>IF('ProductSprint Backlog'!$L58&gt;F$2,'ProductSprint Backlog'!$M58,0)</f>
        <v>3</v>
      </c>
      <c r="G63" s="51">
        <f>IF('ProductSprint Backlog'!$L58&gt;G$2,'ProductSprint Backlog'!$M58,0)</f>
        <v>3</v>
      </c>
      <c r="H63" s="51">
        <f>IF('ProductSprint Backlog'!$L58&gt;H$2,'ProductSprint Backlog'!$M58,0)</f>
        <v>3</v>
      </c>
      <c r="I63" s="51">
        <f>IF('ProductSprint Backlog'!$L58&gt;I$2,'ProductSprint Backlog'!$M58,0)</f>
        <v>3</v>
      </c>
      <c r="J63" s="51">
        <f>IF('ProductSprint Backlog'!$L58&gt;J$2,'ProductSprint Backlog'!$M58,0)</f>
        <v>3</v>
      </c>
      <c r="K63" s="51">
        <f>IF('ProductSprint Backlog'!$L58&gt;K$2,'ProductSprint Backlog'!$M58,0)</f>
        <v>3</v>
      </c>
      <c r="L63" s="51">
        <f>IF('ProductSprint Backlog'!$L58&gt;L$2,'ProductSprint Backlog'!$M58,0)</f>
        <v>0</v>
      </c>
      <c r="M63" s="51">
        <f>IF('ProductSprint Backlog'!$L58&gt;M$2,'ProductSprint Backlog'!$M58,0)</f>
        <v>0</v>
      </c>
      <c r="N63" s="51">
        <f>IF('ProductSprint Backlog'!$L58&gt;N$2,'ProductSprint Backlog'!$M58,0)</f>
        <v>0</v>
      </c>
      <c r="O63" s="51">
        <f>IF('ProductSprint Backlog'!$L58&gt;O$2,'ProductSprint Backlog'!$M58,0)</f>
        <v>0</v>
      </c>
    </row>
    <row r="64" spans="1:15" ht="12.75" x14ac:dyDescent="0.2">
      <c r="A64" s="18"/>
      <c r="B64" s="73"/>
      <c r="C64" s="71"/>
      <c r="D64" s="71"/>
      <c r="E64" s="71"/>
      <c r="F64" s="71"/>
      <c r="G64" s="71"/>
      <c r="H64" s="71"/>
      <c r="I64" s="71"/>
      <c r="J64" s="71"/>
      <c r="K64" s="71"/>
      <c r="L64" s="71"/>
      <c r="M64" s="71"/>
      <c r="N64" s="71"/>
      <c r="O64" s="72"/>
    </row>
    <row r="65" spans="1:15" ht="25.5" x14ac:dyDescent="0.2">
      <c r="A65" s="17" t="s">
        <v>541</v>
      </c>
      <c r="B65" s="51">
        <f>IF('ProductSprint Backlog'!$L60&gt;B$2,'ProductSprint Backlog'!$M60,0)</f>
        <v>1</v>
      </c>
      <c r="C65" s="51">
        <f>IF('ProductSprint Backlog'!$L60&gt;C$2,'ProductSprint Backlog'!$M60,0)</f>
        <v>1</v>
      </c>
      <c r="D65" s="51">
        <f>IF('ProductSprint Backlog'!$L60&gt;D$2,'ProductSprint Backlog'!$M60,0)</f>
        <v>1</v>
      </c>
      <c r="E65" s="51">
        <f>IF('ProductSprint Backlog'!$L60&gt;E$2,'ProductSprint Backlog'!$M60,0)</f>
        <v>1</v>
      </c>
      <c r="F65" s="51">
        <f>IF('ProductSprint Backlog'!$L60&gt;F$2,'ProductSprint Backlog'!$M60,0)</f>
        <v>1</v>
      </c>
      <c r="G65" s="51">
        <f>IF('ProductSprint Backlog'!$L60&gt;G$2,'ProductSprint Backlog'!$M60,0)</f>
        <v>1</v>
      </c>
      <c r="H65" s="51">
        <f>IF('ProductSprint Backlog'!$L60&gt;H$2,'ProductSprint Backlog'!$M60,0)</f>
        <v>1</v>
      </c>
      <c r="I65" s="51">
        <f>IF('ProductSprint Backlog'!$L60&gt;I$2,'ProductSprint Backlog'!$M60,0)</f>
        <v>1</v>
      </c>
      <c r="J65" s="51">
        <f>IF('ProductSprint Backlog'!$L60&gt;J$2,'ProductSprint Backlog'!$M60,0)</f>
        <v>1</v>
      </c>
      <c r="K65" s="51">
        <f>IF('ProductSprint Backlog'!$L60&gt;K$2,'ProductSprint Backlog'!$M60,0)</f>
        <v>1</v>
      </c>
      <c r="L65" s="51">
        <f>IF('ProductSprint Backlog'!$L60&gt;L$2,'ProductSprint Backlog'!$M60,0)</f>
        <v>0</v>
      </c>
      <c r="M65" s="51">
        <f>IF('ProductSprint Backlog'!$L60&gt;M$2,'ProductSprint Backlog'!$M60,0)</f>
        <v>0</v>
      </c>
      <c r="N65" s="51">
        <f>IF('ProductSprint Backlog'!$L60&gt;N$2,'ProductSprint Backlog'!$M60,0)</f>
        <v>0</v>
      </c>
      <c r="O65" s="51">
        <f>IF('ProductSprint Backlog'!$L60&gt;O$2,'ProductSprint Backlog'!$M60,0)</f>
        <v>0</v>
      </c>
    </row>
    <row r="66" spans="1:15" ht="12.75" x14ac:dyDescent="0.2">
      <c r="A66" s="17" t="s">
        <v>117</v>
      </c>
      <c r="B66" s="51">
        <f>IF('ProductSprint Backlog'!$L61&gt;B$2,'ProductSprint Backlog'!$M61,0)</f>
        <v>1</v>
      </c>
      <c r="C66" s="51">
        <f>IF('ProductSprint Backlog'!$L61&gt;C$2,'ProductSprint Backlog'!$M61,0)</f>
        <v>1</v>
      </c>
      <c r="D66" s="51">
        <f>IF('ProductSprint Backlog'!$L61&gt;D$2,'ProductSprint Backlog'!$M61,0)</f>
        <v>1</v>
      </c>
      <c r="E66" s="51">
        <f>IF('ProductSprint Backlog'!$L61&gt;E$2,'ProductSprint Backlog'!$M61,0)</f>
        <v>1</v>
      </c>
      <c r="F66" s="51">
        <f>IF('ProductSprint Backlog'!$L61&gt;F$2,'ProductSprint Backlog'!$M61,0)</f>
        <v>1</v>
      </c>
      <c r="G66" s="51">
        <f>IF('ProductSprint Backlog'!$L61&gt;G$2,'ProductSprint Backlog'!$M61,0)</f>
        <v>1</v>
      </c>
      <c r="H66" s="51">
        <f>IF('ProductSprint Backlog'!$L61&gt;H$2,'ProductSprint Backlog'!$M61,0)</f>
        <v>1</v>
      </c>
      <c r="I66" s="51">
        <f>IF('ProductSprint Backlog'!$L61&gt;I$2,'ProductSprint Backlog'!$M61,0)</f>
        <v>1</v>
      </c>
      <c r="J66" s="51">
        <f>IF('ProductSprint Backlog'!$L61&gt;J$2,'ProductSprint Backlog'!$M61,0)</f>
        <v>1</v>
      </c>
      <c r="K66" s="51">
        <f>IF('ProductSprint Backlog'!$L61&gt;K$2,'ProductSprint Backlog'!$M61,0)</f>
        <v>0</v>
      </c>
      <c r="L66" s="51">
        <f>IF('ProductSprint Backlog'!$L61&gt;L$2,'ProductSprint Backlog'!$M61,0)</f>
        <v>0</v>
      </c>
      <c r="M66" s="51">
        <f>IF('ProductSprint Backlog'!$L61&gt;M$2,'ProductSprint Backlog'!$M61,0)</f>
        <v>0</v>
      </c>
      <c r="N66" s="51">
        <f>IF('ProductSprint Backlog'!$L61&gt;N$2,'ProductSprint Backlog'!$M61,0)</f>
        <v>0</v>
      </c>
      <c r="O66" s="51">
        <f>IF('ProductSprint Backlog'!$L61&gt;O$2,'ProductSprint Backlog'!$M61,0)</f>
        <v>0</v>
      </c>
    </row>
    <row r="67" spans="1:15" ht="25.5" x14ac:dyDescent="0.2">
      <c r="A67" s="17" t="s">
        <v>119</v>
      </c>
      <c r="B67" s="51">
        <f>IF('ProductSprint Backlog'!$L62&gt;B$2,'ProductSprint Backlog'!$M62,0)</f>
        <v>2</v>
      </c>
      <c r="C67" s="51">
        <f>IF('ProductSprint Backlog'!$L62&gt;C$2,'ProductSprint Backlog'!$M62,0)</f>
        <v>2</v>
      </c>
      <c r="D67" s="51">
        <f>IF('ProductSprint Backlog'!$L62&gt;D$2,'ProductSprint Backlog'!$M62,0)</f>
        <v>2</v>
      </c>
      <c r="E67" s="51">
        <f>IF('ProductSprint Backlog'!$L62&gt;E$2,'ProductSprint Backlog'!$M62,0)</f>
        <v>2</v>
      </c>
      <c r="F67" s="51">
        <f>IF('ProductSprint Backlog'!$L62&gt;F$2,'ProductSprint Backlog'!$M62,0)</f>
        <v>2</v>
      </c>
      <c r="G67" s="51">
        <f>IF('ProductSprint Backlog'!$L62&gt;G$2,'ProductSprint Backlog'!$M62,0)</f>
        <v>2</v>
      </c>
      <c r="H67" s="51">
        <f>IF('ProductSprint Backlog'!$L62&gt;H$2,'ProductSprint Backlog'!$M62,0)</f>
        <v>2</v>
      </c>
      <c r="I67" s="51">
        <f>IF('ProductSprint Backlog'!$L62&gt;I$2,'ProductSprint Backlog'!$M62,0)</f>
        <v>2</v>
      </c>
      <c r="J67" s="51">
        <f>IF('ProductSprint Backlog'!$L62&gt;J$2,'ProductSprint Backlog'!$M62,0)</f>
        <v>2</v>
      </c>
      <c r="K67" s="51">
        <f>IF('ProductSprint Backlog'!$L62&gt;K$2,'ProductSprint Backlog'!$M62,0)</f>
        <v>2</v>
      </c>
      <c r="L67" s="51">
        <f>IF('ProductSprint Backlog'!$L62&gt;L$2,'ProductSprint Backlog'!$M62,0)</f>
        <v>0</v>
      </c>
      <c r="M67" s="51">
        <f>IF('ProductSprint Backlog'!$L62&gt;M$2,'ProductSprint Backlog'!$M62,0)</f>
        <v>0</v>
      </c>
      <c r="N67" s="51">
        <f>IF('ProductSprint Backlog'!$L62&gt;N$2,'ProductSprint Backlog'!$M62,0)</f>
        <v>0</v>
      </c>
      <c r="O67" s="51">
        <f>IF('ProductSprint Backlog'!$L62&gt;O$2,'ProductSprint Backlog'!$M62,0)</f>
        <v>0</v>
      </c>
    </row>
    <row r="68" spans="1:15" ht="25.5" x14ac:dyDescent="0.2">
      <c r="A68" s="17" t="s">
        <v>121</v>
      </c>
      <c r="B68" s="51">
        <f>IF('ProductSprint Backlog'!$L63&gt;B$2,'ProductSprint Backlog'!$M63,0)</f>
        <v>1</v>
      </c>
      <c r="C68" s="51">
        <f>IF('ProductSprint Backlog'!$L63&gt;C$2,'ProductSprint Backlog'!$M63,0)</f>
        <v>1</v>
      </c>
      <c r="D68" s="51">
        <f>IF('ProductSprint Backlog'!$L63&gt;D$2,'ProductSprint Backlog'!$M63,0)</f>
        <v>1</v>
      </c>
      <c r="E68" s="51">
        <f>IF('ProductSprint Backlog'!$L63&gt;E$2,'ProductSprint Backlog'!$M63,0)</f>
        <v>1</v>
      </c>
      <c r="F68" s="51">
        <f>IF('ProductSprint Backlog'!$L63&gt;F$2,'ProductSprint Backlog'!$M63,0)</f>
        <v>1</v>
      </c>
      <c r="G68" s="51">
        <f>IF('ProductSprint Backlog'!$L63&gt;G$2,'ProductSprint Backlog'!$M63,0)</f>
        <v>1</v>
      </c>
      <c r="H68" s="51">
        <f>IF('ProductSprint Backlog'!$L63&gt;H$2,'ProductSprint Backlog'!$M63,0)</f>
        <v>1</v>
      </c>
      <c r="I68" s="51">
        <f>IF('ProductSprint Backlog'!$L63&gt;I$2,'ProductSprint Backlog'!$M63,0)</f>
        <v>1</v>
      </c>
      <c r="J68" s="51">
        <f>IF('ProductSprint Backlog'!$L63&gt;J$2,'ProductSprint Backlog'!$M63,0)</f>
        <v>1</v>
      </c>
      <c r="K68" s="51">
        <f>IF('ProductSprint Backlog'!$L63&gt;K$2,'ProductSprint Backlog'!$M63,0)</f>
        <v>0</v>
      </c>
      <c r="L68" s="51">
        <f>IF('ProductSprint Backlog'!$L63&gt;L$2,'ProductSprint Backlog'!$M63,0)</f>
        <v>0</v>
      </c>
      <c r="M68" s="51">
        <f>IF('ProductSprint Backlog'!$L63&gt;M$2,'ProductSprint Backlog'!$M63,0)</f>
        <v>0</v>
      </c>
      <c r="N68" s="51">
        <f>IF('ProductSprint Backlog'!$L63&gt;N$2,'ProductSprint Backlog'!$M63,0)</f>
        <v>0</v>
      </c>
      <c r="O68" s="51">
        <f>IF('ProductSprint Backlog'!$L63&gt;O$2,'ProductSprint Backlog'!$M63,0)</f>
        <v>0</v>
      </c>
    </row>
    <row r="69" spans="1:15" ht="25.5" x14ac:dyDescent="0.2">
      <c r="A69" s="17" t="s">
        <v>123</v>
      </c>
      <c r="B69" s="51">
        <f>IF('ProductSprint Backlog'!$L64&gt;B$2,'ProductSprint Backlog'!$M64,0)</f>
        <v>1</v>
      </c>
      <c r="C69" s="51">
        <f>IF('ProductSprint Backlog'!$L64&gt;C$2,'ProductSprint Backlog'!$M64,0)</f>
        <v>1</v>
      </c>
      <c r="D69" s="51">
        <f>IF('ProductSprint Backlog'!$L64&gt;D$2,'ProductSprint Backlog'!$M64,0)</f>
        <v>1</v>
      </c>
      <c r="E69" s="51">
        <f>IF('ProductSprint Backlog'!$L64&gt;E$2,'ProductSprint Backlog'!$M64,0)</f>
        <v>1</v>
      </c>
      <c r="F69" s="51">
        <f>IF('ProductSprint Backlog'!$L64&gt;F$2,'ProductSprint Backlog'!$M64,0)</f>
        <v>1</v>
      </c>
      <c r="G69" s="51">
        <f>IF('ProductSprint Backlog'!$L64&gt;G$2,'ProductSprint Backlog'!$M64,0)</f>
        <v>1</v>
      </c>
      <c r="H69" s="51">
        <f>IF('ProductSprint Backlog'!$L64&gt;H$2,'ProductSprint Backlog'!$M64,0)</f>
        <v>1</v>
      </c>
      <c r="I69" s="51">
        <f>IF('ProductSprint Backlog'!$L64&gt;I$2,'ProductSprint Backlog'!$M64,0)</f>
        <v>1</v>
      </c>
      <c r="J69" s="51">
        <f>IF('ProductSprint Backlog'!$L64&gt;J$2,'ProductSprint Backlog'!$M64,0)</f>
        <v>1</v>
      </c>
      <c r="K69" s="51">
        <f>IF('ProductSprint Backlog'!$L64&gt;K$2,'ProductSprint Backlog'!$M64,0)</f>
        <v>1</v>
      </c>
      <c r="L69" s="51">
        <f>IF('ProductSprint Backlog'!$L64&gt;L$2,'ProductSprint Backlog'!$M64,0)</f>
        <v>1</v>
      </c>
      <c r="M69" s="51">
        <f>IF('ProductSprint Backlog'!$L64&gt;M$2,'ProductSprint Backlog'!$M64,0)</f>
        <v>0</v>
      </c>
      <c r="N69" s="51">
        <f>IF('ProductSprint Backlog'!$L64&gt;N$2,'ProductSprint Backlog'!$M64,0)</f>
        <v>0</v>
      </c>
      <c r="O69" s="51">
        <f>IF('ProductSprint Backlog'!$L64&gt;O$2,'ProductSprint Backlog'!$M64,0)</f>
        <v>0</v>
      </c>
    </row>
    <row r="70" spans="1:15" ht="12.75" x14ac:dyDescent="0.2">
      <c r="A70" s="17" t="s">
        <v>125</v>
      </c>
      <c r="B70" s="51">
        <f>IF('ProductSprint Backlog'!$L65&gt;B$2,'ProductSprint Backlog'!$M65,0)</f>
        <v>1</v>
      </c>
      <c r="C70" s="51">
        <f>IF('ProductSprint Backlog'!$L65&gt;C$2,'ProductSprint Backlog'!$M65,0)</f>
        <v>1</v>
      </c>
      <c r="D70" s="51">
        <f>IF('ProductSprint Backlog'!$L65&gt;D$2,'ProductSprint Backlog'!$M65,0)</f>
        <v>1</v>
      </c>
      <c r="E70" s="51">
        <f>IF('ProductSprint Backlog'!$L65&gt;E$2,'ProductSprint Backlog'!$M65,0)</f>
        <v>1</v>
      </c>
      <c r="F70" s="51">
        <f>IF('ProductSprint Backlog'!$L65&gt;F$2,'ProductSprint Backlog'!$M65,0)</f>
        <v>1</v>
      </c>
      <c r="G70" s="51">
        <f>IF('ProductSprint Backlog'!$L65&gt;G$2,'ProductSprint Backlog'!$M65,0)</f>
        <v>1</v>
      </c>
      <c r="H70" s="51">
        <f>IF('ProductSprint Backlog'!$L65&gt;H$2,'ProductSprint Backlog'!$M65,0)</f>
        <v>1</v>
      </c>
      <c r="I70" s="51">
        <f>IF('ProductSprint Backlog'!$L65&gt;I$2,'ProductSprint Backlog'!$M65,0)</f>
        <v>1</v>
      </c>
      <c r="J70" s="51">
        <f>IF('ProductSprint Backlog'!$L65&gt;J$2,'ProductSprint Backlog'!$M65,0)</f>
        <v>1</v>
      </c>
      <c r="K70" s="51">
        <f>IF('ProductSprint Backlog'!$L65&gt;K$2,'ProductSprint Backlog'!$M65,0)</f>
        <v>1</v>
      </c>
      <c r="L70" s="51">
        <f>IF('ProductSprint Backlog'!$L65&gt;L$2,'ProductSprint Backlog'!$M65,0)</f>
        <v>1</v>
      </c>
      <c r="M70" s="51">
        <f>IF('ProductSprint Backlog'!$L65&gt;M$2,'ProductSprint Backlog'!$M65,0)</f>
        <v>0</v>
      </c>
      <c r="N70" s="51">
        <f>IF('ProductSprint Backlog'!$L65&gt;N$2,'ProductSprint Backlog'!$M65,0)</f>
        <v>0</v>
      </c>
      <c r="O70" s="51">
        <f>IF('ProductSprint Backlog'!$L65&gt;O$2,'ProductSprint Backlog'!$M65,0)</f>
        <v>0</v>
      </c>
    </row>
    <row r="71" spans="1:15" ht="12.75" x14ac:dyDescent="0.2">
      <c r="A71" s="18"/>
      <c r="B71" s="73"/>
      <c r="C71" s="71"/>
      <c r="D71" s="71"/>
      <c r="E71" s="71"/>
      <c r="F71" s="71"/>
      <c r="G71" s="71"/>
      <c r="H71" s="71"/>
      <c r="I71" s="71"/>
      <c r="J71" s="71"/>
      <c r="K71" s="71"/>
      <c r="L71" s="71"/>
      <c r="M71" s="71"/>
      <c r="N71" s="71"/>
      <c r="O71" s="72"/>
    </row>
    <row r="72" spans="1:15" ht="12.75" x14ac:dyDescent="0.2">
      <c r="A72" s="17" t="s">
        <v>128</v>
      </c>
      <c r="B72" s="51">
        <f>IF('ProductSprint Backlog'!$L67&gt;B$2,'ProductSprint Backlog'!$M67,0)</f>
        <v>5</v>
      </c>
      <c r="C72" s="51">
        <f>IF('ProductSprint Backlog'!$L67&gt;C$2,'ProductSprint Backlog'!$M67,0)</f>
        <v>5</v>
      </c>
      <c r="D72" s="51">
        <f>IF('ProductSprint Backlog'!$L67&gt;D$2,'ProductSprint Backlog'!$M67,0)</f>
        <v>5</v>
      </c>
      <c r="E72" s="51">
        <f>IF('ProductSprint Backlog'!$L67&gt;E$2,'ProductSprint Backlog'!$M67,0)</f>
        <v>5</v>
      </c>
      <c r="F72" s="51">
        <f>IF('ProductSprint Backlog'!$L67&gt;F$2,'ProductSprint Backlog'!$M67,0)</f>
        <v>5</v>
      </c>
      <c r="G72" s="51">
        <f>IF('ProductSprint Backlog'!$L67&gt;G$2,'ProductSprint Backlog'!$M67,0)</f>
        <v>0</v>
      </c>
      <c r="H72" s="51">
        <f>IF('ProductSprint Backlog'!$L67&gt;H$2,'ProductSprint Backlog'!$M67,0)</f>
        <v>0</v>
      </c>
      <c r="I72" s="51">
        <f>IF('ProductSprint Backlog'!$L67&gt;I$2,'ProductSprint Backlog'!$M67,0)</f>
        <v>0</v>
      </c>
      <c r="J72" s="51">
        <f>IF('ProductSprint Backlog'!$L67&gt;J$2,'ProductSprint Backlog'!$M67,0)</f>
        <v>0</v>
      </c>
      <c r="K72" s="51">
        <f>IF('ProductSprint Backlog'!$L67&gt;K$2,'ProductSprint Backlog'!$M67,0)</f>
        <v>0</v>
      </c>
      <c r="L72" s="51">
        <f>IF('ProductSprint Backlog'!$L67&gt;L$2,'ProductSprint Backlog'!$M67,0)</f>
        <v>0</v>
      </c>
      <c r="M72" s="51">
        <f>IF('ProductSprint Backlog'!$L67&gt;M$2,'ProductSprint Backlog'!$M67,0)</f>
        <v>0</v>
      </c>
      <c r="N72" s="51">
        <f>IF('ProductSprint Backlog'!$L67&gt;N$2,'ProductSprint Backlog'!$M67,0)</f>
        <v>0</v>
      </c>
      <c r="O72" s="51">
        <f>IF('ProductSprint Backlog'!$L67&gt;O$2,'ProductSprint Backlog'!$M67,0)</f>
        <v>0</v>
      </c>
    </row>
    <row r="73" spans="1:15" ht="25.5" x14ac:dyDescent="0.2">
      <c r="A73" s="17" t="s">
        <v>129</v>
      </c>
      <c r="B73" s="51">
        <f>IF('ProductSprint Backlog'!$L68&gt;B$2,'ProductSprint Backlog'!$M68,0)</f>
        <v>3.5</v>
      </c>
      <c r="C73" s="51">
        <f>IF('ProductSprint Backlog'!$L68&gt;C$2,'ProductSprint Backlog'!$M68,0)</f>
        <v>3.5</v>
      </c>
      <c r="D73" s="51">
        <f>IF('ProductSprint Backlog'!$L68&gt;D$2,'ProductSprint Backlog'!$M68,0)</f>
        <v>3.5</v>
      </c>
      <c r="E73" s="51">
        <f>IF('ProductSprint Backlog'!$L68&gt;E$2,'ProductSprint Backlog'!$M68,0)</f>
        <v>3.5</v>
      </c>
      <c r="F73" s="51">
        <f>IF('ProductSprint Backlog'!$L68&gt;F$2,'ProductSprint Backlog'!$M68,0)</f>
        <v>3.5</v>
      </c>
      <c r="G73" s="51">
        <f>IF('ProductSprint Backlog'!$L68&gt;G$2,'ProductSprint Backlog'!$M68,0)</f>
        <v>3.5</v>
      </c>
      <c r="H73" s="51">
        <f>IF('ProductSprint Backlog'!$L68&gt;H$2,'ProductSprint Backlog'!$M68,0)</f>
        <v>0</v>
      </c>
      <c r="I73" s="51">
        <f>IF('ProductSprint Backlog'!$L68&gt;I$2,'ProductSprint Backlog'!$M68,0)</f>
        <v>0</v>
      </c>
      <c r="J73" s="51">
        <f>IF('ProductSprint Backlog'!$L68&gt;J$2,'ProductSprint Backlog'!$M68,0)</f>
        <v>0</v>
      </c>
      <c r="K73" s="51">
        <f>IF('ProductSprint Backlog'!$L68&gt;K$2,'ProductSprint Backlog'!$M68,0)</f>
        <v>0</v>
      </c>
      <c r="L73" s="51">
        <f>IF('ProductSprint Backlog'!$L68&gt;L$2,'ProductSprint Backlog'!$M68,0)</f>
        <v>0</v>
      </c>
      <c r="M73" s="51">
        <f>IF('ProductSprint Backlog'!$L68&gt;M$2,'ProductSprint Backlog'!$M68,0)</f>
        <v>0</v>
      </c>
      <c r="N73" s="51">
        <f>IF('ProductSprint Backlog'!$L68&gt;N$2,'ProductSprint Backlog'!$M68,0)</f>
        <v>0</v>
      </c>
      <c r="O73" s="51">
        <f>IF('ProductSprint Backlog'!$L68&gt;O$2,'ProductSprint Backlog'!$M68,0)</f>
        <v>0</v>
      </c>
    </row>
    <row r="74" spans="1:15" ht="25.5" x14ac:dyDescent="0.2">
      <c r="A74" s="17" t="s">
        <v>130</v>
      </c>
      <c r="B74" s="51">
        <f>IF('ProductSprint Backlog'!$L69&gt;B$2,'ProductSprint Backlog'!$M69,0)</f>
        <v>2.5</v>
      </c>
      <c r="C74" s="51">
        <f>IF('ProductSprint Backlog'!$L69&gt;C$2,'ProductSprint Backlog'!$M69,0)</f>
        <v>2.5</v>
      </c>
      <c r="D74" s="51">
        <f>IF('ProductSprint Backlog'!$L69&gt;D$2,'ProductSprint Backlog'!$M69,0)</f>
        <v>2.5</v>
      </c>
      <c r="E74" s="51">
        <f>IF('ProductSprint Backlog'!$L69&gt;E$2,'ProductSprint Backlog'!$M69,0)</f>
        <v>2.5</v>
      </c>
      <c r="F74" s="51">
        <f>IF('ProductSprint Backlog'!$L69&gt;F$2,'ProductSprint Backlog'!$M69,0)</f>
        <v>2.5</v>
      </c>
      <c r="G74" s="51">
        <f>IF('ProductSprint Backlog'!$L69&gt;G$2,'ProductSprint Backlog'!$M69,0)</f>
        <v>2.5</v>
      </c>
      <c r="H74" s="51">
        <f>IF('ProductSprint Backlog'!$L69&gt;H$2,'ProductSprint Backlog'!$M69,0)</f>
        <v>0</v>
      </c>
      <c r="I74" s="51">
        <f>IF('ProductSprint Backlog'!$L69&gt;I$2,'ProductSprint Backlog'!$M69,0)</f>
        <v>0</v>
      </c>
      <c r="J74" s="51">
        <f>IF('ProductSprint Backlog'!$L69&gt;J$2,'ProductSprint Backlog'!$M69,0)</f>
        <v>0</v>
      </c>
      <c r="K74" s="51">
        <f>IF('ProductSprint Backlog'!$L69&gt;K$2,'ProductSprint Backlog'!$M69,0)</f>
        <v>0</v>
      </c>
      <c r="L74" s="51">
        <f>IF('ProductSprint Backlog'!$L69&gt;L$2,'ProductSprint Backlog'!$M69,0)</f>
        <v>0</v>
      </c>
      <c r="M74" s="51">
        <f>IF('ProductSprint Backlog'!$L69&gt;M$2,'ProductSprint Backlog'!$M69,0)</f>
        <v>0</v>
      </c>
      <c r="N74" s="51">
        <f>IF('ProductSprint Backlog'!$L69&gt;N$2,'ProductSprint Backlog'!$M69,0)</f>
        <v>0</v>
      </c>
      <c r="O74" s="51">
        <f>IF('ProductSprint Backlog'!$L69&gt;O$2,'ProductSprint Backlog'!$M69,0)</f>
        <v>0</v>
      </c>
    </row>
    <row r="75" spans="1:15" ht="12.75" x14ac:dyDescent="0.2">
      <c r="A75" s="17" t="s">
        <v>132</v>
      </c>
      <c r="B75" s="51">
        <f>IF('ProductSprint Backlog'!$L70&gt;B$2,'ProductSprint Backlog'!$M70,0)</f>
        <v>1</v>
      </c>
      <c r="C75" s="51">
        <f>IF('ProductSprint Backlog'!$L70&gt;C$2,'ProductSprint Backlog'!$M70,0)</f>
        <v>1</v>
      </c>
      <c r="D75" s="51">
        <f>IF('ProductSprint Backlog'!$L70&gt;D$2,'ProductSprint Backlog'!$M70,0)</f>
        <v>1</v>
      </c>
      <c r="E75" s="51">
        <f>IF('ProductSprint Backlog'!$L70&gt;E$2,'ProductSprint Backlog'!$M70,0)</f>
        <v>1</v>
      </c>
      <c r="F75" s="51">
        <f>IF('ProductSprint Backlog'!$L70&gt;F$2,'ProductSprint Backlog'!$M70,0)</f>
        <v>1</v>
      </c>
      <c r="G75" s="51">
        <f>IF('ProductSprint Backlog'!$L70&gt;G$2,'ProductSprint Backlog'!$M70,0)</f>
        <v>1</v>
      </c>
      <c r="H75" s="51">
        <f>IF('ProductSprint Backlog'!$L70&gt;H$2,'ProductSprint Backlog'!$M70,0)</f>
        <v>1</v>
      </c>
      <c r="I75" s="51">
        <f>IF('ProductSprint Backlog'!$L70&gt;I$2,'ProductSprint Backlog'!$M70,0)</f>
        <v>0</v>
      </c>
      <c r="J75" s="51">
        <f>IF('ProductSprint Backlog'!$L70&gt;J$2,'ProductSprint Backlog'!$M70,0)</f>
        <v>0</v>
      </c>
      <c r="K75" s="51">
        <f>IF('ProductSprint Backlog'!$L70&gt;K$2,'ProductSprint Backlog'!$M70,0)</f>
        <v>0</v>
      </c>
      <c r="L75" s="51">
        <f>IF('ProductSprint Backlog'!$L70&gt;L$2,'ProductSprint Backlog'!$M70,0)</f>
        <v>0</v>
      </c>
      <c r="M75" s="51">
        <f>IF('ProductSprint Backlog'!$L70&gt;M$2,'ProductSprint Backlog'!$M70,0)</f>
        <v>0</v>
      </c>
      <c r="N75" s="51">
        <f>IF('ProductSprint Backlog'!$L70&gt;N$2,'ProductSprint Backlog'!$M70,0)</f>
        <v>0</v>
      </c>
      <c r="O75" s="51">
        <f>IF('ProductSprint Backlog'!$L70&gt;O$2,'ProductSprint Backlog'!$M70,0)</f>
        <v>0</v>
      </c>
    </row>
    <row r="76" spans="1:15" ht="25.5" x14ac:dyDescent="0.2">
      <c r="A76" s="17" t="s">
        <v>134</v>
      </c>
      <c r="B76" s="51">
        <f>IF('ProductSprint Backlog'!$L71&gt;B$2,'ProductSprint Backlog'!$M71,0)</f>
        <v>1.5</v>
      </c>
      <c r="C76" s="51">
        <f>IF('ProductSprint Backlog'!$L71&gt;C$2,'ProductSprint Backlog'!$M71,0)</f>
        <v>1.5</v>
      </c>
      <c r="D76" s="51">
        <f>IF('ProductSprint Backlog'!$L71&gt;D$2,'ProductSprint Backlog'!$M71,0)</f>
        <v>1.5</v>
      </c>
      <c r="E76" s="51">
        <f>IF('ProductSprint Backlog'!$L71&gt;E$2,'ProductSprint Backlog'!$M71,0)</f>
        <v>1.5</v>
      </c>
      <c r="F76" s="51">
        <f>IF('ProductSprint Backlog'!$L71&gt;F$2,'ProductSprint Backlog'!$M71,0)</f>
        <v>1.5</v>
      </c>
      <c r="G76" s="51">
        <f>IF('ProductSprint Backlog'!$L71&gt;G$2,'ProductSprint Backlog'!$M71,0)</f>
        <v>1.5</v>
      </c>
      <c r="H76" s="51">
        <f>IF('ProductSprint Backlog'!$L71&gt;H$2,'ProductSprint Backlog'!$M71,0)</f>
        <v>0</v>
      </c>
      <c r="I76" s="51">
        <f>IF('ProductSprint Backlog'!$L71&gt;I$2,'ProductSprint Backlog'!$M71,0)</f>
        <v>0</v>
      </c>
      <c r="J76" s="51">
        <f>IF('ProductSprint Backlog'!$L71&gt;J$2,'ProductSprint Backlog'!$M71,0)</f>
        <v>0</v>
      </c>
      <c r="K76" s="51">
        <f>IF('ProductSprint Backlog'!$L71&gt;K$2,'ProductSprint Backlog'!$M71,0)</f>
        <v>0</v>
      </c>
      <c r="L76" s="51">
        <f>IF('ProductSprint Backlog'!$L71&gt;L$2,'ProductSprint Backlog'!$M71,0)</f>
        <v>0</v>
      </c>
      <c r="M76" s="51">
        <f>IF('ProductSprint Backlog'!$L71&gt;M$2,'ProductSprint Backlog'!$M71,0)</f>
        <v>0</v>
      </c>
      <c r="N76" s="51">
        <f>IF('ProductSprint Backlog'!$L71&gt;N$2,'ProductSprint Backlog'!$M71,0)</f>
        <v>0</v>
      </c>
      <c r="O76" s="51">
        <f>IF('ProductSprint Backlog'!$L71&gt;O$2,'ProductSprint Backlog'!$M71,0)</f>
        <v>0</v>
      </c>
    </row>
    <row r="77" spans="1:15" ht="12.75" x14ac:dyDescent="0.2">
      <c r="A77" s="17" t="s">
        <v>135</v>
      </c>
      <c r="B77" s="51">
        <f>IF('ProductSprint Backlog'!$L72&gt;B$2,'ProductSprint Backlog'!$M72,0)</f>
        <v>1.5</v>
      </c>
      <c r="C77" s="51">
        <f>IF('ProductSprint Backlog'!$L72&gt;C$2,'ProductSprint Backlog'!$M72,0)</f>
        <v>1.5</v>
      </c>
      <c r="D77" s="51">
        <f>IF('ProductSprint Backlog'!$L72&gt;D$2,'ProductSprint Backlog'!$M72,0)</f>
        <v>1.5</v>
      </c>
      <c r="E77" s="51">
        <f>IF('ProductSprint Backlog'!$L72&gt;E$2,'ProductSprint Backlog'!$M72,0)</f>
        <v>1.5</v>
      </c>
      <c r="F77" s="51">
        <f>IF('ProductSprint Backlog'!$L72&gt;F$2,'ProductSprint Backlog'!$M72,0)</f>
        <v>1.5</v>
      </c>
      <c r="G77" s="51">
        <f>IF('ProductSprint Backlog'!$L72&gt;G$2,'ProductSprint Backlog'!$M72,0)</f>
        <v>1.5</v>
      </c>
      <c r="H77" s="51">
        <f>IF('ProductSprint Backlog'!$L72&gt;H$2,'ProductSprint Backlog'!$M72,0)</f>
        <v>1.5</v>
      </c>
      <c r="I77" s="51">
        <f>IF('ProductSprint Backlog'!$L72&gt;I$2,'ProductSprint Backlog'!$M72,0)</f>
        <v>0</v>
      </c>
      <c r="J77" s="51">
        <f>IF('ProductSprint Backlog'!$L72&gt;J$2,'ProductSprint Backlog'!$M72,0)</f>
        <v>0</v>
      </c>
      <c r="K77" s="51">
        <f>IF('ProductSprint Backlog'!$L72&gt;K$2,'ProductSprint Backlog'!$M72,0)</f>
        <v>0</v>
      </c>
      <c r="L77" s="51">
        <f>IF('ProductSprint Backlog'!$L72&gt;L$2,'ProductSprint Backlog'!$M72,0)</f>
        <v>0</v>
      </c>
      <c r="M77" s="51">
        <f>IF('ProductSprint Backlog'!$L72&gt;M$2,'ProductSprint Backlog'!$M72,0)</f>
        <v>0</v>
      </c>
      <c r="N77" s="51">
        <f>IF('ProductSprint Backlog'!$L72&gt;N$2,'ProductSprint Backlog'!$M72,0)</f>
        <v>0</v>
      </c>
      <c r="O77" s="51">
        <f>IF('ProductSprint Backlog'!$L72&gt;O$2,'ProductSprint Backlog'!$M72,0)</f>
        <v>0</v>
      </c>
    </row>
    <row r="78" spans="1:15" ht="12.75" x14ac:dyDescent="0.2">
      <c r="A78" s="18"/>
      <c r="B78" s="73"/>
      <c r="C78" s="71"/>
      <c r="D78" s="71"/>
      <c r="E78" s="71"/>
      <c r="F78" s="71"/>
      <c r="G78" s="71"/>
      <c r="H78" s="71"/>
      <c r="I78" s="71"/>
      <c r="J78" s="71"/>
      <c r="K78" s="71"/>
      <c r="L78" s="71"/>
      <c r="M78" s="71"/>
      <c r="N78" s="71"/>
      <c r="O78" s="72"/>
    </row>
    <row r="79" spans="1:15" ht="25.5" x14ac:dyDescent="0.2">
      <c r="A79" s="17" t="s">
        <v>541</v>
      </c>
      <c r="B79" s="51">
        <f>IF('ProductSprint Backlog'!$L74&gt;B$2,'ProductSprint Backlog'!$M74,0)</f>
        <v>0.5</v>
      </c>
      <c r="C79" s="51">
        <f>IF('ProductSprint Backlog'!$L74&gt;C$2,'ProductSprint Backlog'!$M74,0)</f>
        <v>0.5</v>
      </c>
      <c r="D79" s="51">
        <f>IF('ProductSprint Backlog'!$L74&gt;D$2,'ProductSprint Backlog'!$M74,0)</f>
        <v>0.5</v>
      </c>
      <c r="E79" s="51">
        <f>IF('ProductSprint Backlog'!$L74&gt;E$2,'ProductSprint Backlog'!$M74,0)</f>
        <v>0.5</v>
      </c>
      <c r="F79" s="51">
        <f>IF('ProductSprint Backlog'!$L74&gt;F$2,'ProductSprint Backlog'!$M74,0)</f>
        <v>0.5</v>
      </c>
      <c r="G79" s="51">
        <f>IF('ProductSprint Backlog'!$L74&gt;G$2,'ProductSprint Backlog'!$M74,0)</f>
        <v>0.5</v>
      </c>
      <c r="H79" s="51">
        <f>IF('ProductSprint Backlog'!$L74&gt;H$2,'ProductSprint Backlog'!$M74,0)</f>
        <v>0.5</v>
      </c>
      <c r="I79" s="51">
        <f>IF('ProductSprint Backlog'!$L74&gt;I$2,'ProductSprint Backlog'!$M74,0)</f>
        <v>0.5</v>
      </c>
      <c r="J79" s="51">
        <f>IF('ProductSprint Backlog'!$L74&gt;J$2,'ProductSprint Backlog'!$M74,0)</f>
        <v>0</v>
      </c>
      <c r="K79" s="51">
        <f>IF('ProductSprint Backlog'!$L74&gt;K$2,'ProductSprint Backlog'!$M74,0)</f>
        <v>0</v>
      </c>
      <c r="L79" s="51">
        <f>IF('ProductSprint Backlog'!$L74&gt;L$2,'ProductSprint Backlog'!$M74,0)</f>
        <v>0</v>
      </c>
      <c r="M79" s="51">
        <f>IF('ProductSprint Backlog'!$L74&gt;M$2,'ProductSprint Backlog'!$M74,0)</f>
        <v>0</v>
      </c>
      <c r="N79" s="51">
        <f>IF('ProductSprint Backlog'!$L74&gt;N$2,'ProductSprint Backlog'!$M74,0)</f>
        <v>0</v>
      </c>
      <c r="O79" s="51">
        <f>IF('ProductSprint Backlog'!$L74&gt;O$2,'ProductSprint Backlog'!$M74,0)</f>
        <v>0</v>
      </c>
    </row>
    <row r="80" spans="1:15" ht="25.5" x14ac:dyDescent="0.2">
      <c r="A80" s="17" t="s">
        <v>139</v>
      </c>
      <c r="B80" s="51">
        <f>IF('ProductSprint Backlog'!$L75&gt;B$2,'ProductSprint Backlog'!$M75,0)</f>
        <v>1.5</v>
      </c>
      <c r="C80" s="51">
        <f>IF('ProductSprint Backlog'!$L75&gt;C$2,'ProductSprint Backlog'!$M75,0)</f>
        <v>1.5</v>
      </c>
      <c r="D80" s="51">
        <f>IF('ProductSprint Backlog'!$L75&gt;D$2,'ProductSprint Backlog'!$M75,0)</f>
        <v>1.5</v>
      </c>
      <c r="E80" s="51">
        <f>IF('ProductSprint Backlog'!$L75&gt;E$2,'ProductSprint Backlog'!$M75,0)</f>
        <v>1.5</v>
      </c>
      <c r="F80" s="51">
        <f>IF('ProductSprint Backlog'!$L75&gt;F$2,'ProductSprint Backlog'!$M75,0)</f>
        <v>1.5</v>
      </c>
      <c r="G80" s="51">
        <f>IF('ProductSprint Backlog'!$L75&gt;G$2,'ProductSprint Backlog'!$M75,0)</f>
        <v>1.5</v>
      </c>
      <c r="H80" s="51">
        <f>IF('ProductSprint Backlog'!$L75&gt;H$2,'ProductSprint Backlog'!$M75,0)</f>
        <v>1.5</v>
      </c>
      <c r="I80" s="51">
        <f>IF('ProductSprint Backlog'!$L75&gt;I$2,'ProductSprint Backlog'!$M75,0)</f>
        <v>1.5</v>
      </c>
      <c r="J80" s="51">
        <f>IF('ProductSprint Backlog'!$L75&gt;J$2,'ProductSprint Backlog'!$M75,0)</f>
        <v>1.5</v>
      </c>
      <c r="K80" s="51">
        <f>IF('ProductSprint Backlog'!$L75&gt;K$2,'ProductSprint Backlog'!$M75,0)</f>
        <v>0</v>
      </c>
      <c r="L80" s="51">
        <f>IF('ProductSprint Backlog'!$L75&gt;L$2,'ProductSprint Backlog'!$M75,0)</f>
        <v>0</v>
      </c>
      <c r="M80" s="51">
        <f>IF('ProductSprint Backlog'!$L75&gt;M$2,'ProductSprint Backlog'!$M75,0)</f>
        <v>0</v>
      </c>
      <c r="N80" s="51">
        <f>IF('ProductSprint Backlog'!$L75&gt;N$2,'ProductSprint Backlog'!$M75,0)</f>
        <v>0</v>
      </c>
      <c r="O80" s="51">
        <f>IF('ProductSprint Backlog'!$L75&gt;O$2,'ProductSprint Backlog'!$M75,0)</f>
        <v>0</v>
      </c>
    </row>
    <row r="81" spans="1:15" ht="25.5" x14ac:dyDescent="0.2">
      <c r="A81" s="17" t="s">
        <v>141</v>
      </c>
      <c r="B81" s="51">
        <f>IF('ProductSprint Backlog'!$L76&gt;B$2,'ProductSprint Backlog'!$M76,0)</f>
        <v>0.5</v>
      </c>
      <c r="C81" s="51">
        <f>IF('ProductSprint Backlog'!$L76&gt;C$2,'ProductSprint Backlog'!$M76,0)</f>
        <v>0.5</v>
      </c>
      <c r="D81" s="51">
        <f>IF('ProductSprint Backlog'!$L76&gt;D$2,'ProductSprint Backlog'!$M76,0)</f>
        <v>0.5</v>
      </c>
      <c r="E81" s="51">
        <f>IF('ProductSprint Backlog'!$L76&gt;E$2,'ProductSprint Backlog'!$M76,0)</f>
        <v>0.5</v>
      </c>
      <c r="F81" s="51">
        <f>IF('ProductSprint Backlog'!$L76&gt;F$2,'ProductSprint Backlog'!$M76,0)</f>
        <v>0.5</v>
      </c>
      <c r="G81" s="51">
        <f>IF('ProductSprint Backlog'!$L76&gt;G$2,'ProductSprint Backlog'!$M76,0)</f>
        <v>0.5</v>
      </c>
      <c r="H81" s="51">
        <f>IF('ProductSprint Backlog'!$L76&gt;H$2,'ProductSprint Backlog'!$M76,0)</f>
        <v>0.5</v>
      </c>
      <c r="I81" s="51">
        <f>IF('ProductSprint Backlog'!$L76&gt;I$2,'ProductSprint Backlog'!$M76,0)</f>
        <v>0.5</v>
      </c>
      <c r="J81" s="51">
        <f>IF('ProductSprint Backlog'!$L76&gt;J$2,'ProductSprint Backlog'!$M76,0)</f>
        <v>0</v>
      </c>
      <c r="K81" s="51">
        <f>IF('ProductSprint Backlog'!$L76&gt;K$2,'ProductSprint Backlog'!$M76,0)</f>
        <v>0</v>
      </c>
      <c r="L81" s="51">
        <f>IF('ProductSprint Backlog'!$L76&gt;L$2,'ProductSprint Backlog'!$M76,0)</f>
        <v>0</v>
      </c>
      <c r="M81" s="51">
        <f>IF('ProductSprint Backlog'!$L76&gt;M$2,'ProductSprint Backlog'!$M76,0)</f>
        <v>0</v>
      </c>
      <c r="N81" s="51">
        <f>IF('ProductSprint Backlog'!$L76&gt;N$2,'ProductSprint Backlog'!$M76,0)</f>
        <v>0</v>
      </c>
      <c r="O81" s="51">
        <f>IF('ProductSprint Backlog'!$L76&gt;O$2,'ProductSprint Backlog'!$M76,0)</f>
        <v>0</v>
      </c>
    </row>
    <row r="82" spans="1:15" ht="25.5" x14ac:dyDescent="0.2">
      <c r="A82" s="17" t="s">
        <v>123</v>
      </c>
      <c r="B82" s="51">
        <f>IF('ProductSprint Backlog'!$L77&gt;B$2,'ProductSprint Backlog'!$M77,0)</f>
        <v>1.5</v>
      </c>
      <c r="C82" s="51">
        <f>IF('ProductSprint Backlog'!$L77&gt;C$2,'ProductSprint Backlog'!$M77,0)</f>
        <v>1.5</v>
      </c>
      <c r="D82" s="51">
        <f>IF('ProductSprint Backlog'!$L77&gt;D$2,'ProductSprint Backlog'!$M77,0)</f>
        <v>1.5</v>
      </c>
      <c r="E82" s="51">
        <f>IF('ProductSprint Backlog'!$L77&gt;E$2,'ProductSprint Backlog'!$M77,0)</f>
        <v>1.5</v>
      </c>
      <c r="F82" s="51">
        <f>IF('ProductSprint Backlog'!$L77&gt;F$2,'ProductSprint Backlog'!$M77,0)</f>
        <v>1.5</v>
      </c>
      <c r="G82" s="51">
        <f>IF('ProductSprint Backlog'!$L77&gt;G$2,'ProductSprint Backlog'!$M77,0)</f>
        <v>1.5</v>
      </c>
      <c r="H82" s="51">
        <f>IF('ProductSprint Backlog'!$L77&gt;H$2,'ProductSprint Backlog'!$M77,0)</f>
        <v>1.5</v>
      </c>
      <c r="I82" s="51">
        <f>IF('ProductSprint Backlog'!$L77&gt;I$2,'ProductSprint Backlog'!$M77,0)</f>
        <v>1.5</v>
      </c>
      <c r="J82" s="51">
        <f>IF('ProductSprint Backlog'!$L77&gt;J$2,'ProductSprint Backlog'!$M77,0)</f>
        <v>1.5</v>
      </c>
      <c r="K82" s="51">
        <f>IF('ProductSprint Backlog'!$L77&gt;K$2,'ProductSprint Backlog'!$M77,0)</f>
        <v>0</v>
      </c>
      <c r="L82" s="51">
        <f>IF('ProductSprint Backlog'!$L77&gt;L$2,'ProductSprint Backlog'!$M77,0)</f>
        <v>0</v>
      </c>
      <c r="M82" s="51">
        <f>IF('ProductSprint Backlog'!$L77&gt;M$2,'ProductSprint Backlog'!$M77,0)</f>
        <v>0</v>
      </c>
      <c r="N82" s="51">
        <f>IF('ProductSprint Backlog'!$L77&gt;N$2,'ProductSprint Backlog'!$M77,0)</f>
        <v>0</v>
      </c>
      <c r="O82" s="51">
        <f>IF('ProductSprint Backlog'!$L77&gt;O$2,'ProductSprint Backlog'!$M77,0)</f>
        <v>0</v>
      </c>
    </row>
    <row r="83" spans="1:15" ht="12.75" x14ac:dyDescent="0.2">
      <c r="A83" s="17" t="s">
        <v>125</v>
      </c>
      <c r="B83" s="51">
        <f>IF('ProductSprint Backlog'!$L78&gt;B$2,'ProductSprint Backlog'!$M78,0)</f>
        <v>0.5</v>
      </c>
      <c r="C83" s="51">
        <f>IF('ProductSprint Backlog'!$L78&gt;C$2,'ProductSprint Backlog'!$M78,0)</f>
        <v>0.5</v>
      </c>
      <c r="D83" s="51">
        <f>IF('ProductSprint Backlog'!$L78&gt;D$2,'ProductSprint Backlog'!$M78,0)</f>
        <v>0.5</v>
      </c>
      <c r="E83" s="51">
        <f>IF('ProductSprint Backlog'!$L78&gt;E$2,'ProductSprint Backlog'!$M78,0)</f>
        <v>0.5</v>
      </c>
      <c r="F83" s="51">
        <f>IF('ProductSprint Backlog'!$L78&gt;F$2,'ProductSprint Backlog'!$M78,0)</f>
        <v>0.5</v>
      </c>
      <c r="G83" s="51">
        <f>IF('ProductSprint Backlog'!$L78&gt;G$2,'ProductSprint Backlog'!$M78,0)</f>
        <v>0.5</v>
      </c>
      <c r="H83" s="51">
        <f>IF('ProductSprint Backlog'!$L78&gt;H$2,'ProductSprint Backlog'!$M78,0)</f>
        <v>0.5</v>
      </c>
      <c r="I83" s="51">
        <f>IF('ProductSprint Backlog'!$L78&gt;I$2,'ProductSprint Backlog'!$M78,0)</f>
        <v>0.5</v>
      </c>
      <c r="J83" s="51">
        <f>IF('ProductSprint Backlog'!$L78&gt;J$2,'ProductSprint Backlog'!$M78,0)</f>
        <v>0.5</v>
      </c>
      <c r="K83" s="51">
        <f>IF('ProductSprint Backlog'!$L78&gt;K$2,'ProductSprint Backlog'!$M78,0)</f>
        <v>0</v>
      </c>
      <c r="L83" s="51">
        <f>IF('ProductSprint Backlog'!$L78&gt;L$2,'ProductSprint Backlog'!$M78,0)</f>
        <v>0</v>
      </c>
      <c r="M83" s="51">
        <f>IF('ProductSprint Backlog'!$L78&gt;M$2,'ProductSprint Backlog'!$M78,0)</f>
        <v>0</v>
      </c>
      <c r="N83" s="51">
        <f>IF('ProductSprint Backlog'!$L78&gt;N$2,'ProductSprint Backlog'!$M78,0)</f>
        <v>0</v>
      </c>
      <c r="O83" s="51">
        <f>IF('ProductSprint Backlog'!$L78&gt;O$2,'ProductSprint Backlog'!$M78,0)</f>
        <v>0</v>
      </c>
    </row>
    <row r="84" spans="1:15" ht="12.75" x14ac:dyDescent="0.2">
      <c r="A84" s="18"/>
      <c r="B84" s="73"/>
      <c r="C84" s="71"/>
      <c r="D84" s="71"/>
      <c r="E84" s="71"/>
      <c r="F84" s="71"/>
      <c r="G84" s="71"/>
      <c r="H84" s="71"/>
      <c r="I84" s="71"/>
      <c r="J84" s="71"/>
      <c r="K84" s="71"/>
      <c r="L84" s="71"/>
      <c r="M84" s="71"/>
      <c r="N84" s="71"/>
      <c r="O84" s="72"/>
    </row>
    <row r="85" spans="1:15" ht="25.5" x14ac:dyDescent="0.2">
      <c r="A85" s="17" t="s">
        <v>144</v>
      </c>
      <c r="B85" s="51">
        <f>IF('ProductSprint Backlog'!$L80&gt;B$2,'ProductSprint Backlog'!$M80,0)</f>
        <v>1.5</v>
      </c>
      <c r="C85" s="51">
        <f>IF('ProductSprint Backlog'!$L80&gt;C$2,'ProductSprint Backlog'!$M80,0)</f>
        <v>1.5</v>
      </c>
      <c r="D85" s="51">
        <f>IF('ProductSprint Backlog'!$L80&gt;D$2,'ProductSprint Backlog'!$M80,0)</f>
        <v>1.5</v>
      </c>
      <c r="E85" s="51">
        <f>IF('ProductSprint Backlog'!$L80&gt;E$2,'ProductSprint Backlog'!$M80,0)</f>
        <v>1.5</v>
      </c>
      <c r="F85" s="51">
        <f>IF('ProductSprint Backlog'!$L80&gt;F$2,'ProductSprint Backlog'!$M80,0)</f>
        <v>1.5</v>
      </c>
      <c r="G85" s="51">
        <f>IF('ProductSprint Backlog'!$L80&gt;G$2,'ProductSprint Backlog'!$M80,0)</f>
        <v>1.5</v>
      </c>
      <c r="H85" s="51">
        <f>IF('ProductSprint Backlog'!$L80&gt;H$2,'ProductSprint Backlog'!$M80,0)</f>
        <v>1.5</v>
      </c>
      <c r="I85" s="51">
        <f>IF('ProductSprint Backlog'!$L80&gt;I$2,'ProductSprint Backlog'!$M80,0)</f>
        <v>1.5</v>
      </c>
      <c r="J85" s="51">
        <f>IF('ProductSprint Backlog'!$L80&gt;J$2,'ProductSprint Backlog'!$M80,0)</f>
        <v>1.5</v>
      </c>
      <c r="K85" s="51">
        <f>IF('ProductSprint Backlog'!$L80&gt;K$2,'ProductSprint Backlog'!$M80,0)</f>
        <v>0</v>
      </c>
      <c r="L85" s="51">
        <f>IF('ProductSprint Backlog'!$L80&gt;L$2,'ProductSprint Backlog'!$M80,0)</f>
        <v>0</v>
      </c>
      <c r="M85" s="51">
        <f>IF('ProductSprint Backlog'!$L80&gt;M$2,'ProductSprint Backlog'!$M80,0)</f>
        <v>0</v>
      </c>
      <c r="N85" s="51">
        <f>IF('ProductSprint Backlog'!$L80&gt;N$2,'ProductSprint Backlog'!$M80,0)</f>
        <v>0</v>
      </c>
      <c r="O85" s="51">
        <f>IF('ProductSprint Backlog'!$L80&gt;O$2,'ProductSprint Backlog'!$M80,0)</f>
        <v>0</v>
      </c>
    </row>
    <row r="86" spans="1:15" ht="38.25" x14ac:dyDescent="0.2">
      <c r="A86" s="17" t="s">
        <v>146</v>
      </c>
      <c r="B86" s="51">
        <f>IF('ProductSprint Backlog'!$L81&gt;B$2,'ProductSprint Backlog'!$M81,0)</f>
        <v>1</v>
      </c>
      <c r="C86" s="51">
        <f>IF('ProductSprint Backlog'!$L81&gt;C$2,'ProductSprint Backlog'!$M81,0)</f>
        <v>1</v>
      </c>
      <c r="D86" s="51">
        <f>IF('ProductSprint Backlog'!$L81&gt;D$2,'ProductSprint Backlog'!$M81,0)</f>
        <v>1</v>
      </c>
      <c r="E86" s="51">
        <f>IF('ProductSprint Backlog'!$L81&gt;E$2,'ProductSprint Backlog'!$M81,0)</f>
        <v>1</v>
      </c>
      <c r="F86" s="51">
        <f>IF('ProductSprint Backlog'!$L81&gt;F$2,'ProductSprint Backlog'!$M81,0)</f>
        <v>1</v>
      </c>
      <c r="G86" s="51">
        <f>IF('ProductSprint Backlog'!$L81&gt;G$2,'ProductSprint Backlog'!$M81,0)</f>
        <v>1</v>
      </c>
      <c r="H86" s="51">
        <f>IF('ProductSprint Backlog'!$L81&gt;H$2,'ProductSprint Backlog'!$M81,0)</f>
        <v>1</v>
      </c>
      <c r="I86" s="51">
        <f>IF('ProductSprint Backlog'!$L81&gt;I$2,'ProductSprint Backlog'!$M81,0)</f>
        <v>1</v>
      </c>
      <c r="J86" s="51">
        <f>IF('ProductSprint Backlog'!$L81&gt;J$2,'ProductSprint Backlog'!$M81,0)</f>
        <v>1</v>
      </c>
      <c r="K86" s="51">
        <f>IF('ProductSprint Backlog'!$L81&gt;K$2,'ProductSprint Backlog'!$M81,0)</f>
        <v>0</v>
      </c>
      <c r="L86" s="51">
        <f>IF('ProductSprint Backlog'!$L81&gt;L$2,'ProductSprint Backlog'!$M81,0)</f>
        <v>0</v>
      </c>
      <c r="M86" s="51">
        <f>IF('ProductSprint Backlog'!$L81&gt;M$2,'ProductSprint Backlog'!$M81,0)</f>
        <v>0</v>
      </c>
      <c r="N86" s="51">
        <f>IF('ProductSprint Backlog'!$L81&gt;N$2,'ProductSprint Backlog'!$M81,0)</f>
        <v>0</v>
      </c>
      <c r="O86" s="51">
        <f>IF('ProductSprint Backlog'!$L81&gt;O$2,'ProductSprint Backlog'!$M81,0)</f>
        <v>0</v>
      </c>
    </row>
    <row r="87" spans="1:15" ht="51" x14ac:dyDescent="0.2">
      <c r="A87" s="17" t="s">
        <v>148</v>
      </c>
      <c r="B87" s="51">
        <f>IF('ProductSprint Backlog'!$L82&gt;B$2,'ProductSprint Backlog'!$M82,0)</f>
        <v>2.5</v>
      </c>
      <c r="C87" s="51">
        <f>IF('ProductSprint Backlog'!$L82&gt;C$2,'ProductSprint Backlog'!$M82,0)</f>
        <v>2.5</v>
      </c>
      <c r="D87" s="51">
        <f>IF('ProductSprint Backlog'!$L82&gt;D$2,'ProductSprint Backlog'!$M82,0)</f>
        <v>2.5</v>
      </c>
      <c r="E87" s="51">
        <f>IF('ProductSprint Backlog'!$L82&gt;E$2,'ProductSprint Backlog'!$M82,0)</f>
        <v>2.5</v>
      </c>
      <c r="F87" s="51">
        <f>IF('ProductSprint Backlog'!$L82&gt;F$2,'ProductSprint Backlog'!$M82,0)</f>
        <v>2.5</v>
      </c>
      <c r="G87" s="51">
        <f>IF('ProductSprint Backlog'!$L82&gt;G$2,'ProductSprint Backlog'!$M82,0)</f>
        <v>2.5</v>
      </c>
      <c r="H87" s="51">
        <f>IF('ProductSprint Backlog'!$L82&gt;H$2,'ProductSprint Backlog'!$M82,0)</f>
        <v>2.5</v>
      </c>
      <c r="I87" s="51">
        <f>IF('ProductSprint Backlog'!$L82&gt;I$2,'ProductSprint Backlog'!$M82,0)</f>
        <v>2.5</v>
      </c>
      <c r="J87" s="51">
        <f>IF('ProductSprint Backlog'!$L82&gt;J$2,'ProductSprint Backlog'!$M82,0)</f>
        <v>2.5</v>
      </c>
      <c r="K87" s="51">
        <f>IF('ProductSprint Backlog'!$L82&gt;K$2,'ProductSprint Backlog'!$M82,0)</f>
        <v>2.5</v>
      </c>
      <c r="L87" s="51">
        <f>IF('ProductSprint Backlog'!$L82&gt;L$2,'ProductSprint Backlog'!$M82,0)</f>
        <v>0</v>
      </c>
      <c r="M87" s="51">
        <f>IF('ProductSprint Backlog'!$L82&gt;M$2,'ProductSprint Backlog'!$M82,0)</f>
        <v>0</v>
      </c>
      <c r="N87" s="51">
        <f>IF('ProductSprint Backlog'!$L82&gt;N$2,'ProductSprint Backlog'!$M82,0)</f>
        <v>0</v>
      </c>
      <c r="O87" s="51">
        <f>IF('ProductSprint Backlog'!$L82&gt;O$2,'ProductSprint Backlog'!$M82,0)</f>
        <v>0</v>
      </c>
    </row>
    <row r="88" spans="1:15" ht="25.5" x14ac:dyDescent="0.2">
      <c r="A88" s="17" t="s">
        <v>150</v>
      </c>
      <c r="B88" s="51">
        <f>IF('ProductSprint Backlog'!$L83&gt;B$2,'ProductSprint Backlog'!$M83,0)</f>
        <v>1</v>
      </c>
      <c r="C88" s="51">
        <f>IF('ProductSprint Backlog'!$L83&gt;C$2,'ProductSprint Backlog'!$M83,0)</f>
        <v>1</v>
      </c>
      <c r="D88" s="51">
        <f>IF('ProductSprint Backlog'!$L83&gt;D$2,'ProductSprint Backlog'!$M83,0)</f>
        <v>1</v>
      </c>
      <c r="E88" s="51">
        <f>IF('ProductSprint Backlog'!$L83&gt;E$2,'ProductSprint Backlog'!$M83,0)</f>
        <v>1</v>
      </c>
      <c r="F88" s="51">
        <f>IF('ProductSprint Backlog'!$L83&gt;F$2,'ProductSprint Backlog'!$M83,0)</f>
        <v>1</v>
      </c>
      <c r="G88" s="51">
        <f>IF('ProductSprint Backlog'!$L83&gt;G$2,'ProductSprint Backlog'!$M83,0)</f>
        <v>1</v>
      </c>
      <c r="H88" s="51">
        <f>IF('ProductSprint Backlog'!$L83&gt;H$2,'ProductSprint Backlog'!$M83,0)</f>
        <v>1</v>
      </c>
      <c r="I88" s="51">
        <f>IF('ProductSprint Backlog'!$L83&gt;I$2,'ProductSprint Backlog'!$M83,0)</f>
        <v>1</v>
      </c>
      <c r="J88" s="51">
        <f>IF('ProductSprint Backlog'!$L83&gt;J$2,'ProductSprint Backlog'!$M83,0)</f>
        <v>1</v>
      </c>
      <c r="K88" s="51">
        <f>IF('ProductSprint Backlog'!$L83&gt;K$2,'ProductSprint Backlog'!$M83,0)</f>
        <v>1</v>
      </c>
      <c r="L88" s="51">
        <f>IF('ProductSprint Backlog'!$L83&gt;L$2,'ProductSprint Backlog'!$M83,0)</f>
        <v>1</v>
      </c>
      <c r="M88" s="51">
        <f>IF('ProductSprint Backlog'!$L83&gt;M$2,'ProductSprint Backlog'!$M83,0)</f>
        <v>0</v>
      </c>
      <c r="N88" s="51">
        <f>IF('ProductSprint Backlog'!$L83&gt;N$2,'ProductSprint Backlog'!$M83,0)</f>
        <v>0</v>
      </c>
      <c r="O88" s="51">
        <f>IF('ProductSprint Backlog'!$L83&gt;O$2,'ProductSprint Backlog'!$M83,0)</f>
        <v>0</v>
      </c>
    </row>
    <row r="89" spans="1:15" ht="25.5" x14ac:dyDescent="0.2">
      <c r="A89" s="17" t="s">
        <v>152</v>
      </c>
      <c r="B89" s="51">
        <f>IF('ProductSprint Backlog'!$L84&gt;B$2,'ProductSprint Backlog'!$M84,0)</f>
        <v>0.5</v>
      </c>
      <c r="C89" s="51">
        <f>IF('ProductSprint Backlog'!$L84&gt;C$2,'ProductSprint Backlog'!$M84,0)</f>
        <v>0.5</v>
      </c>
      <c r="D89" s="51">
        <f>IF('ProductSprint Backlog'!$L84&gt;D$2,'ProductSprint Backlog'!$M84,0)</f>
        <v>0.5</v>
      </c>
      <c r="E89" s="51">
        <f>IF('ProductSprint Backlog'!$L84&gt;E$2,'ProductSprint Backlog'!$M84,0)</f>
        <v>0.5</v>
      </c>
      <c r="F89" s="51">
        <f>IF('ProductSprint Backlog'!$L84&gt;F$2,'ProductSprint Backlog'!$M84,0)</f>
        <v>0.5</v>
      </c>
      <c r="G89" s="51">
        <f>IF('ProductSprint Backlog'!$L84&gt;G$2,'ProductSprint Backlog'!$M84,0)</f>
        <v>0.5</v>
      </c>
      <c r="H89" s="51">
        <f>IF('ProductSprint Backlog'!$L84&gt;H$2,'ProductSprint Backlog'!$M84,0)</f>
        <v>0.5</v>
      </c>
      <c r="I89" s="51">
        <f>IF('ProductSprint Backlog'!$L84&gt;I$2,'ProductSprint Backlog'!$M84,0)</f>
        <v>0.5</v>
      </c>
      <c r="J89" s="51">
        <f>IF('ProductSprint Backlog'!$L84&gt;J$2,'ProductSprint Backlog'!$M84,0)</f>
        <v>0.5</v>
      </c>
      <c r="K89" s="51">
        <f>IF('ProductSprint Backlog'!$L84&gt;K$2,'ProductSprint Backlog'!$M84,0)</f>
        <v>0.5</v>
      </c>
      <c r="L89" s="51">
        <f>IF('ProductSprint Backlog'!$L84&gt;L$2,'ProductSprint Backlog'!$M84,0)</f>
        <v>0.5</v>
      </c>
      <c r="M89" s="51">
        <f>IF('ProductSprint Backlog'!$L84&gt;M$2,'ProductSprint Backlog'!$M84,0)</f>
        <v>0</v>
      </c>
      <c r="N89" s="51">
        <f>IF('ProductSprint Backlog'!$L84&gt;N$2,'ProductSprint Backlog'!$M84,0)</f>
        <v>0</v>
      </c>
      <c r="O89" s="51">
        <f>IF('ProductSprint Backlog'!$L84&gt;O$2,'ProductSprint Backlog'!$M84,0)</f>
        <v>0</v>
      </c>
    </row>
  </sheetData>
  <mergeCells count="18">
    <mergeCell ref="B84:O84"/>
    <mergeCell ref="B36:O36"/>
    <mergeCell ref="B41:O41"/>
    <mergeCell ref="B46:O46"/>
    <mergeCell ref="B49:O49"/>
    <mergeCell ref="B52:O52"/>
    <mergeCell ref="B55:O55"/>
    <mergeCell ref="B58:O58"/>
    <mergeCell ref="B28:O28"/>
    <mergeCell ref="B32:O32"/>
    <mergeCell ref="B64:O64"/>
    <mergeCell ref="B71:O71"/>
    <mergeCell ref="B78:O78"/>
    <mergeCell ref="A5:O6"/>
    <mergeCell ref="B7:O7"/>
    <mergeCell ref="B12:O12"/>
    <mergeCell ref="B18:O18"/>
    <mergeCell ref="B23:O2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B1:Q245"/>
  <sheetViews>
    <sheetView topLeftCell="A3" workbookViewId="0">
      <selection activeCell="A3" sqref="A3"/>
    </sheetView>
  </sheetViews>
  <sheetFormatPr baseColWidth="10" defaultColWidth="12.5703125" defaultRowHeight="15.75" customHeight="1" x14ac:dyDescent="0.2"/>
  <sheetData>
    <row r="1" spans="2:17" x14ac:dyDescent="0.2">
      <c r="B1" s="4" t="s">
        <v>479</v>
      </c>
      <c r="C1" s="4" t="s">
        <v>480</v>
      </c>
      <c r="D1" s="4" t="s">
        <v>481</v>
      </c>
      <c r="E1" s="4" t="s">
        <v>482</v>
      </c>
      <c r="F1" s="4" t="s">
        <v>483</v>
      </c>
      <c r="G1" s="4" t="s">
        <v>484</v>
      </c>
      <c r="H1" s="4" t="s">
        <v>485</v>
      </c>
      <c r="I1" s="4" t="s">
        <v>486</v>
      </c>
      <c r="J1" s="4" t="s">
        <v>487</v>
      </c>
      <c r="K1" s="4" t="s">
        <v>502</v>
      </c>
      <c r="L1" s="4" t="s">
        <v>503</v>
      </c>
      <c r="M1" s="4" t="s">
        <v>504</v>
      </c>
      <c r="N1" s="4" t="s">
        <v>505</v>
      </c>
      <c r="O1" s="4" t="s">
        <v>506</v>
      </c>
      <c r="P1" s="4" t="s">
        <v>507</v>
      </c>
      <c r="Q1" s="4" t="s">
        <v>508</v>
      </c>
    </row>
    <row r="2" spans="2:17" x14ac:dyDescent="0.2">
      <c r="B2" s="47">
        <v>45901</v>
      </c>
      <c r="C2" s="47">
        <v>45902</v>
      </c>
      <c r="D2" s="47">
        <v>45903</v>
      </c>
      <c r="E2" s="47">
        <v>45904</v>
      </c>
      <c r="F2" s="47">
        <v>45905</v>
      </c>
      <c r="G2" s="47">
        <v>45906</v>
      </c>
      <c r="H2" s="47">
        <v>45907</v>
      </c>
      <c r="I2" s="47">
        <v>45908</v>
      </c>
      <c r="J2" s="47">
        <v>45909</v>
      </c>
      <c r="K2" s="47">
        <v>45910</v>
      </c>
      <c r="L2" s="47">
        <v>45911</v>
      </c>
      <c r="M2" s="47">
        <v>45912</v>
      </c>
      <c r="N2" s="47">
        <v>45913</v>
      </c>
      <c r="O2" s="47">
        <v>45914</v>
      </c>
      <c r="P2" s="47">
        <v>45915</v>
      </c>
      <c r="Q2" s="47">
        <v>45916</v>
      </c>
    </row>
    <row r="3" spans="2:17" x14ac:dyDescent="0.2">
      <c r="B3" s="4" cm="1">
        <f t="array" ref="B3">_xlfn.IFS('ProductSprint Backlog'!$F3="", "", AND('ProductSprint Backlog'!$J3&gt;B$2,'ProductSprint Backlog'!$I3&lt;=B$2), 'ProductSprint Backlog'!$F3 / MAX(1, 'ProductSprint Backlog'!$J3-'ProductSprint Backlog'!$I3), AND('ProductSprint Backlog'!$J3=B$2,'ProductSprint Backlog'!$I3=B$2), 'ProductSprint Backlog'!$F3, TRUE, 0)</f>
        <v>0</v>
      </c>
      <c r="C3" s="4" cm="1">
        <f t="array" ref="C3">_xlfn.IFS('ProductSprint Backlog'!$F3="", "", AND('ProductSprint Backlog'!$J3&gt;C$2,'ProductSprint Backlog'!$I3&lt;=C$2), 'ProductSprint Backlog'!$F3 / MAX(1, 'ProductSprint Backlog'!$J3-'ProductSprint Backlog'!$I3), AND('ProductSprint Backlog'!$J3=C$2,'ProductSprint Backlog'!$I3=C$2), 'ProductSprint Backlog'!$F3, TRUE, 0)</f>
        <v>0</v>
      </c>
      <c r="D3" s="4" cm="1">
        <f t="array" ref="D3">_xlfn.IFS('ProductSprint Backlog'!$F3="", "", AND('ProductSprint Backlog'!$J3&gt;D$2,'ProductSprint Backlog'!$I3&lt;=D$2), 'ProductSprint Backlog'!$F3 / MAX(1, 'ProductSprint Backlog'!$J3-'ProductSprint Backlog'!$I3), AND('ProductSprint Backlog'!$J3=D$2,'ProductSprint Backlog'!$I3=D$2), 'ProductSprint Backlog'!$F3, TRUE, 0)</f>
        <v>0</v>
      </c>
      <c r="E3" s="4" cm="1">
        <f t="array" ref="E3">_xlfn.IFS('ProductSprint Backlog'!$F3="", "", AND('ProductSprint Backlog'!$J3&gt;E$2,'ProductSprint Backlog'!$I3&lt;=E$2), 'ProductSprint Backlog'!$F3 / MAX(1, 'ProductSprint Backlog'!$J3-'ProductSprint Backlog'!$I3), AND('ProductSprint Backlog'!$J3=E$2,'ProductSprint Backlog'!$I3=E$2), 'ProductSprint Backlog'!$F3, TRUE, 0)</f>
        <v>0</v>
      </c>
      <c r="F3" s="4" cm="1">
        <f t="array" ref="F3">_xlfn.IFS('ProductSprint Backlog'!$F3="", "", AND('ProductSprint Backlog'!$J3&gt;F$2,'ProductSprint Backlog'!$I3&lt;=F$2), 'ProductSprint Backlog'!$F3 / MAX(1, 'ProductSprint Backlog'!$J3-'ProductSprint Backlog'!$I3), AND('ProductSprint Backlog'!$J3=F$2,'ProductSprint Backlog'!$I3=F$2), 'ProductSprint Backlog'!$F3, TRUE, 0)</f>
        <v>0</v>
      </c>
      <c r="G3" s="4" cm="1">
        <f t="array" ref="G3">_xlfn.IFS('ProductSprint Backlog'!$F3="", "", AND('ProductSprint Backlog'!$J3&gt;G$2,'ProductSprint Backlog'!$I3&lt;=G$2), 'ProductSprint Backlog'!$F3 / MAX(1, 'ProductSprint Backlog'!$J3-'ProductSprint Backlog'!$I3), AND('ProductSprint Backlog'!$J3=G$2,'ProductSprint Backlog'!$I3=G$2), 'ProductSprint Backlog'!$F3, TRUE, 0)</f>
        <v>0</v>
      </c>
      <c r="H3" s="4" cm="1">
        <f t="array" ref="H3">_xlfn.IFS('ProductSprint Backlog'!$F3="", "", AND('ProductSprint Backlog'!$J3&gt;H$2,'ProductSprint Backlog'!$I3&lt;=H$2), 'ProductSprint Backlog'!$F3 / MAX(1, 'ProductSprint Backlog'!$J3-'ProductSprint Backlog'!$I3), AND('ProductSprint Backlog'!$J3=H$2,'ProductSprint Backlog'!$I3=H$2), 'ProductSprint Backlog'!$F3, TRUE, 0)</f>
        <v>0</v>
      </c>
      <c r="I3" s="4" cm="1">
        <f t="array" ref="I3">_xlfn.IFS('ProductSprint Backlog'!$F3="", "", AND('ProductSprint Backlog'!$J3&gt;I$2,'ProductSprint Backlog'!$I3&lt;=I$2), 'ProductSprint Backlog'!$F3 / MAX(1, 'ProductSprint Backlog'!$J3-'ProductSprint Backlog'!$I3), AND('ProductSprint Backlog'!$J3=I$2,'ProductSprint Backlog'!$I3=I$2), 'ProductSprint Backlog'!$F3, TRUE, 0)</f>
        <v>0</v>
      </c>
      <c r="J3" s="4" cm="1">
        <f t="array" ref="J3">_xlfn.IFS('ProductSprint Backlog'!$F3="", "", AND('ProductSprint Backlog'!$J3&gt;J$2,'ProductSprint Backlog'!$I3&lt;=J$2), 'ProductSprint Backlog'!$F3 / MAX(1, 'ProductSprint Backlog'!$J3-'ProductSprint Backlog'!$I3), AND('ProductSprint Backlog'!$J3=J$2,'ProductSprint Backlog'!$I3=J$2), 'ProductSprint Backlog'!$F3, TRUE, 0)</f>
        <v>0</v>
      </c>
      <c r="K3" s="4" cm="1">
        <f t="array" ref="K3">_xlfn.IFS('ProductSprint Backlog'!$F3="", "", AND('ProductSprint Backlog'!$J3&gt;K$2,'ProductSprint Backlog'!$I3&lt;=K$2), 'ProductSprint Backlog'!$F3 / MAX(1, 'ProductSprint Backlog'!$J3-'ProductSprint Backlog'!$I3), AND('ProductSprint Backlog'!$J3=K$2,'ProductSprint Backlog'!$I3=K$2), 'ProductSprint Backlog'!$F3, TRUE, 0)</f>
        <v>0</v>
      </c>
      <c r="L3" s="4" cm="1">
        <f t="array" ref="L3">_xlfn.IFS('ProductSprint Backlog'!$F3="", "", AND('ProductSprint Backlog'!$J3&gt;L$2,'ProductSprint Backlog'!$I3&lt;=L$2), 'ProductSprint Backlog'!$F3 / MAX(1, 'ProductSprint Backlog'!$J3-'ProductSprint Backlog'!$I3), AND('ProductSprint Backlog'!$J3=L$2,'ProductSprint Backlog'!$I3=L$2), 'ProductSprint Backlog'!$F3, TRUE, 0)</f>
        <v>0</v>
      </c>
      <c r="M3" s="4" cm="1">
        <f t="array" ref="M3">_xlfn.IFS('ProductSprint Backlog'!$F3="", "", AND('ProductSprint Backlog'!$J3&gt;M$2,'ProductSprint Backlog'!$I3&lt;=M$2), 'ProductSprint Backlog'!$F3 / MAX(1, 'ProductSprint Backlog'!$J3-'ProductSprint Backlog'!$I3), AND('ProductSprint Backlog'!$J3=M$2,'ProductSprint Backlog'!$I3=M$2), 'ProductSprint Backlog'!$F3, TRUE, 0)</f>
        <v>0</v>
      </c>
      <c r="N3" s="4" cm="1">
        <f t="array" ref="N3">_xlfn.IFS('ProductSprint Backlog'!$F3="", "", AND('ProductSprint Backlog'!$J3&gt;N$2,'ProductSprint Backlog'!$I3&lt;=N$2), 'ProductSprint Backlog'!$F3 / MAX(1, 'ProductSprint Backlog'!$J3-'ProductSprint Backlog'!$I3), AND('ProductSprint Backlog'!$J3=N$2,'ProductSprint Backlog'!$I3=N$2), 'ProductSprint Backlog'!$F3, TRUE, 0)</f>
        <v>0</v>
      </c>
      <c r="O3" s="4" cm="1">
        <f t="array" ref="O3">_xlfn.IFS('ProductSprint Backlog'!$F3="", "", AND('ProductSprint Backlog'!$J3&gt;O$2,'ProductSprint Backlog'!$I3&lt;=O$2), 'ProductSprint Backlog'!$F3 / MAX(1, 'ProductSprint Backlog'!$J3-'ProductSprint Backlog'!$I3), AND('ProductSprint Backlog'!$J3=O$2,'ProductSprint Backlog'!$I3=O$2), 'ProductSprint Backlog'!$F3, TRUE, 0)</f>
        <v>0</v>
      </c>
      <c r="P3" s="4" cm="1">
        <f t="array" ref="P3">_xlfn.IFS('ProductSprint Backlog'!$F3="", "", AND('ProductSprint Backlog'!$J3&gt;P$2,'ProductSprint Backlog'!$I3&lt;=P$2), 'ProductSprint Backlog'!$F3 / MAX(1, 'ProductSprint Backlog'!$J3-'ProductSprint Backlog'!$I3), AND('ProductSprint Backlog'!$J3=P$2,'ProductSprint Backlog'!$I3=P$2), 'ProductSprint Backlog'!$F3, TRUE, 0)</f>
        <v>0</v>
      </c>
      <c r="Q3" s="4" cm="1">
        <f t="array" ref="Q3">_xlfn.IFS('ProductSprint Backlog'!$F3="", "", AND('ProductSprint Backlog'!$J3&gt;Q$2,'ProductSprint Backlog'!$I3&lt;=Q$2), 'ProductSprint Backlog'!$F3 / MAX(1, 'ProductSprint Backlog'!$J3-'ProductSprint Backlog'!$I3), AND('ProductSprint Backlog'!$J3=Q$2,'ProductSprint Backlog'!$I3=Q$2), 'ProductSprint Backlog'!$F3, TRUE, 0)</f>
        <v>0</v>
      </c>
    </row>
    <row r="4" spans="2:17" x14ac:dyDescent="0.2">
      <c r="B4" s="4" cm="1">
        <f t="array" ref="B4">_xlfn.IFS('ProductSprint Backlog'!$F4="", "", AND('ProductSprint Backlog'!$J4&gt;B$2,'ProductSprint Backlog'!$I4&lt;=B$2), 'ProductSprint Backlog'!$F4 / MAX(1, 'ProductSprint Backlog'!$J4-'ProductSprint Backlog'!$I4), AND('ProductSprint Backlog'!$J4=B$2,'ProductSprint Backlog'!$I4=B$2), 'ProductSprint Backlog'!$F4, TRUE, 0)</f>
        <v>0</v>
      </c>
      <c r="C4" s="4" cm="1">
        <f t="array" ref="C4">_xlfn.IFS('ProductSprint Backlog'!$F4="", "", AND('ProductSprint Backlog'!$J4&gt;C$2,'ProductSprint Backlog'!$I4&lt;=C$2), 'ProductSprint Backlog'!$F4 / MAX(1, 'ProductSprint Backlog'!$J4-'ProductSprint Backlog'!$I4), AND('ProductSprint Backlog'!$J4=C$2,'ProductSprint Backlog'!$I4=C$2), 'ProductSprint Backlog'!$F4, TRUE, 0)</f>
        <v>0</v>
      </c>
      <c r="D4" s="4" cm="1">
        <f t="array" ref="D4">_xlfn.IFS('ProductSprint Backlog'!$F4="", "", AND('ProductSprint Backlog'!$J4&gt;D$2,'ProductSprint Backlog'!$I4&lt;=D$2), 'ProductSprint Backlog'!$F4 / MAX(1, 'ProductSprint Backlog'!$J4-'ProductSprint Backlog'!$I4), AND('ProductSprint Backlog'!$J4=D$2,'ProductSprint Backlog'!$I4=D$2), 'ProductSprint Backlog'!$F4, TRUE, 0)</f>
        <v>0</v>
      </c>
      <c r="E4" s="4" cm="1">
        <f t="array" ref="E4">_xlfn.IFS('ProductSprint Backlog'!$F4="", "", AND('ProductSprint Backlog'!$J4&gt;E$2,'ProductSprint Backlog'!$I4&lt;=E$2), 'ProductSprint Backlog'!$F4 / MAX(1, 'ProductSprint Backlog'!$J4-'ProductSprint Backlog'!$I4), AND('ProductSprint Backlog'!$J4=E$2,'ProductSprint Backlog'!$I4=E$2), 'ProductSprint Backlog'!$F4, TRUE, 0)</f>
        <v>0</v>
      </c>
      <c r="F4" s="4" cm="1">
        <f t="array" ref="F4">_xlfn.IFS('ProductSprint Backlog'!$F4="", "", AND('ProductSprint Backlog'!$J4&gt;F$2,'ProductSprint Backlog'!$I4&lt;=F$2), 'ProductSprint Backlog'!$F4 / MAX(1, 'ProductSprint Backlog'!$J4-'ProductSprint Backlog'!$I4), AND('ProductSprint Backlog'!$J4=F$2,'ProductSprint Backlog'!$I4=F$2), 'ProductSprint Backlog'!$F4, TRUE, 0)</f>
        <v>0</v>
      </c>
      <c r="G4" s="4" cm="1">
        <f t="array" ref="G4">_xlfn.IFS('ProductSprint Backlog'!$F4="", "", AND('ProductSprint Backlog'!$J4&gt;G$2,'ProductSprint Backlog'!$I4&lt;=G$2), 'ProductSprint Backlog'!$F4 / MAX(1, 'ProductSprint Backlog'!$J4-'ProductSprint Backlog'!$I4), AND('ProductSprint Backlog'!$J4=G$2,'ProductSprint Backlog'!$I4=G$2), 'ProductSprint Backlog'!$F4, TRUE, 0)</f>
        <v>0</v>
      </c>
      <c r="H4" s="4" cm="1">
        <f t="array" ref="H4">_xlfn.IFS('ProductSprint Backlog'!$F4="", "", AND('ProductSprint Backlog'!$J4&gt;H$2,'ProductSprint Backlog'!$I4&lt;=H$2), 'ProductSprint Backlog'!$F4 / MAX(1, 'ProductSprint Backlog'!$J4-'ProductSprint Backlog'!$I4), AND('ProductSprint Backlog'!$J4=H$2,'ProductSprint Backlog'!$I4=H$2), 'ProductSprint Backlog'!$F4, TRUE, 0)</f>
        <v>0</v>
      </c>
      <c r="I4" s="4" cm="1">
        <f t="array" ref="I4">_xlfn.IFS('ProductSprint Backlog'!$F4="", "", AND('ProductSprint Backlog'!$J4&gt;I$2,'ProductSprint Backlog'!$I4&lt;=I$2), 'ProductSprint Backlog'!$F4 / MAX(1, 'ProductSprint Backlog'!$J4-'ProductSprint Backlog'!$I4), AND('ProductSprint Backlog'!$J4=I$2,'ProductSprint Backlog'!$I4=I$2), 'ProductSprint Backlog'!$F4, TRUE, 0)</f>
        <v>0</v>
      </c>
      <c r="J4" s="4" cm="1">
        <f t="array" ref="J4">_xlfn.IFS('ProductSprint Backlog'!$F4="", "", AND('ProductSprint Backlog'!$J4&gt;J$2,'ProductSprint Backlog'!$I4&lt;=J$2), 'ProductSprint Backlog'!$F4 / MAX(1, 'ProductSprint Backlog'!$J4-'ProductSprint Backlog'!$I4), AND('ProductSprint Backlog'!$J4=J$2,'ProductSprint Backlog'!$I4=J$2), 'ProductSprint Backlog'!$F4, TRUE, 0)</f>
        <v>0</v>
      </c>
      <c r="K4" s="4" cm="1">
        <f t="array" ref="K4">_xlfn.IFS('ProductSprint Backlog'!$F4="", "", AND('ProductSprint Backlog'!$J4&gt;K$2,'ProductSprint Backlog'!$I4&lt;=K$2), 'ProductSprint Backlog'!$F4 / MAX(1, 'ProductSprint Backlog'!$J4-'ProductSprint Backlog'!$I4), AND('ProductSprint Backlog'!$J4=K$2,'ProductSprint Backlog'!$I4=K$2), 'ProductSprint Backlog'!$F4, TRUE, 0)</f>
        <v>0</v>
      </c>
      <c r="L4" s="4" cm="1">
        <f t="array" ref="L4">_xlfn.IFS('ProductSprint Backlog'!$F4="", "", AND('ProductSprint Backlog'!$J4&gt;L$2,'ProductSprint Backlog'!$I4&lt;=L$2), 'ProductSprint Backlog'!$F4 / MAX(1, 'ProductSprint Backlog'!$J4-'ProductSprint Backlog'!$I4), AND('ProductSprint Backlog'!$J4=L$2,'ProductSprint Backlog'!$I4=L$2), 'ProductSprint Backlog'!$F4, TRUE, 0)</f>
        <v>0</v>
      </c>
      <c r="M4" s="4" cm="1">
        <f t="array" ref="M4">_xlfn.IFS('ProductSprint Backlog'!$F4="", "", AND('ProductSprint Backlog'!$J4&gt;M$2,'ProductSprint Backlog'!$I4&lt;=M$2), 'ProductSprint Backlog'!$F4 / MAX(1, 'ProductSprint Backlog'!$J4-'ProductSprint Backlog'!$I4), AND('ProductSprint Backlog'!$J4=M$2,'ProductSprint Backlog'!$I4=M$2), 'ProductSprint Backlog'!$F4, TRUE, 0)</f>
        <v>0</v>
      </c>
      <c r="N4" s="4" cm="1">
        <f t="array" ref="N4">_xlfn.IFS('ProductSprint Backlog'!$F4="", "", AND('ProductSprint Backlog'!$J4&gt;N$2,'ProductSprint Backlog'!$I4&lt;=N$2), 'ProductSprint Backlog'!$F4 / MAX(1, 'ProductSprint Backlog'!$J4-'ProductSprint Backlog'!$I4), AND('ProductSprint Backlog'!$J4=N$2,'ProductSprint Backlog'!$I4=N$2), 'ProductSprint Backlog'!$F4, TRUE, 0)</f>
        <v>0</v>
      </c>
      <c r="O4" s="4" cm="1">
        <f t="array" ref="O4">_xlfn.IFS('ProductSprint Backlog'!$F4="", "", AND('ProductSprint Backlog'!$J4&gt;O$2,'ProductSprint Backlog'!$I4&lt;=O$2), 'ProductSprint Backlog'!$F4 / MAX(1, 'ProductSprint Backlog'!$J4-'ProductSprint Backlog'!$I4), AND('ProductSprint Backlog'!$J4=O$2,'ProductSprint Backlog'!$I4=O$2), 'ProductSprint Backlog'!$F4, TRUE, 0)</f>
        <v>0</v>
      </c>
      <c r="P4" s="4" cm="1">
        <f t="array" ref="P4">_xlfn.IFS('ProductSprint Backlog'!$F4="", "", AND('ProductSprint Backlog'!$J4&gt;P$2,'ProductSprint Backlog'!$I4&lt;=P$2), 'ProductSprint Backlog'!$F4 / MAX(1, 'ProductSprint Backlog'!$J4-'ProductSprint Backlog'!$I4), AND('ProductSprint Backlog'!$J4=P$2,'ProductSprint Backlog'!$I4=P$2), 'ProductSprint Backlog'!$F4, TRUE, 0)</f>
        <v>0</v>
      </c>
      <c r="Q4" s="4" cm="1">
        <f t="array" ref="Q4">_xlfn.IFS('ProductSprint Backlog'!$F4="", "", AND('ProductSprint Backlog'!$J4&gt;Q$2,'ProductSprint Backlog'!$I4&lt;=Q$2), 'ProductSprint Backlog'!$F4 / MAX(1, 'ProductSprint Backlog'!$J4-'ProductSprint Backlog'!$I4), AND('ProductSprint Backlog'!$J4=Q$2,'ProductSprint Backlog'!$I4=Q$2), 'ProductSprint Backlog'!$F4, TRUE, 0)</f>
        <v>0</v>
      </c>
    </row>
    <row r="5" spans="2:17" x14ac:dyDescent="0.2">
      <c r="B5" s="4" cm="1">
        <f t="array" ref="B5">_xlfn.IFS('ProductSprint Backlog'!$F5="", "", AND('ProductSprint Backlog'!$J5&gt;B$2,'ProductSprint Backlog'!$I5&lt;=B$2), 'ProductSprint Backlog'!$F5 / MAX(1, 'ProductSprint Backlog'!$J5-'ProductSprint Backlog'!$I5), AND('ProductSprint Backlog'!$J5=B$2,'ProductSprint Backlog'!$I5=B$2), 'ProductSprint Backlog'!$F5, TRUE, 0)</f>
        <v>0</v>
      </c>
      <c r="C5" s="4" cm="1">
        <f t="array" ref="C5">_xlfn.IFS('ProductSprint Backlog'!$F5="", "", AND('ProductSprint Backlog'!$J5&gt;C$2,'ProductSprint Backlog'!$I5&lt;=C$2), 'ProductSprint Backlog'!$F5 / MAX(1, 'ProductSprint Backlog'!$J5-'ProductSprint Backlog'!$I5), AND('ProductSprint Backlog'!$J5=C$2,'ProductSprint Backlog'!$I5=C$2), 'ProductSprint Backlog'!$F5, TRUE, 0)</f>
        <v>0</v>
      </c>
      <c r="D5" s="4" cm="1">
        <f t="array" ref="D5">_xlfn.IFS('ProductSprint Backlog'!$F5="", "", AND('ProductSprint Backlog'!$J5&gt;D$2,'ProductSprint Backlog'!$I5&lt;=D$2), 'ProductSprint Backlog'!$F5 / MAX(1, 'ProductSprint Backlog'!$J5-'ProductSprint Backlog'!$I5), AND('ProductSprint Backlog'!$J5=D$2,'ProductSprint Backlog'!$I5=D$2), 'ProductSprint Backlog'!$F5, TRUE, 0)</f>
        <v>0</v>
      </c>
      <c r="E5" s="4" cm="1">
        <f t="array" ref="E5">_xlfn.IFS('ProductSprint Backlog'!$F5="", "", AND('ProductSprint Backlog'!$J5&gt;E$2,'ProductSprint Backlog'!$I5&lt;=E$2), 'ProductSprint Backlog'!$F5 / MAX(1, 'ProductSprint Backlog'!$J5-'ProductSprint Backlog'!$I5), AND('ProductSprint Backlog'!$J5=E$2,'ProductSprint Backlog'!$I5=E$2), 'ProductSprint Backlog'!$F5, TRUE, 0)</f>
        <v>0</v>
      </c>
      <c r="F5" s="4" cm="1">
        <f t="array" ref="F5">_xlfn.IFS('ProductSprint Backlog'!$F5="", "", AND('ProductSprint Backlog'!$J5&gt;F$2,'ProductSprint Backlog'!$I5&lt;=F$2), 'ProductSprint Backlog'!$F5 / MAX(1, 'ProductSprint Backlog'!$J5-'ProductSprint Backlog'!$I5), AND('ProductSprint Backlog'!$J5=F$2,'ProductSprint Backlog'!$I5=F$2), 'ProductSprint Backlog'!$F5, TRUE, 0)</f>
        <v>0</v>
      </c>
      <c r="G5" s="4" cm="1">
        <f t="array" ref="G5">_xlfn.IFS('ProductSprint Backlog'!$F5="", "", AND('ProductSprint Backlog'!$J5&gt;G$2,'ProductSprint Backlog'!$I5&lt;=G$2), 'ProductSprint Backlog'!$F5 / MAX(1, 'ProductSprint Backlog'!$J5-'ProductSprint Backlog'!$I5), AND('ProductSprint Backlog'!$J5=G$2,'ProductSprint Backlog'!$I5=G$2), 'ProductSprint Backlog'!$F5, TRUE, 0)</f>
        <v>0</v>
      </c>
      <c r="H5" s="4" cm="1">
        <f t="array" ref="H5">_xlfn.IFS('ProductSprint Backlog'!$F5="", "", AND('ProductSprint Backlog'!$J5&gt;H$2,'ProductSprint Backlog'!$I5&lt;=H$2), 'ProductSprint Backlog'!$F5 / MAX(1, 'ProductSprint Backlog'!$J5-'ProductSprint Backlog'!$I5), AND('ProductSprint Backlog'!$J5=H$2,'ProductSprint Backlog'!$I5=H$2), 'ProductSprint Backlog'!$F5, TRUE, 0)</f>
        <v>0</v>
      </c>
      <c r="I5" s="4" cm="1">
        <f t="array" ref="I5">_xlfn.IFS('ProductSprint Backlog'!$F5="", "", AND('ProductSprint Backlog'!$J5&gt;I$2,'ProductSprint Backlog'!$I5&lt;=I$2), 'ProductSprint Backlog'!$F5 / MAX(1, 'ProductSprint Backlog'!$J5-'ProductSprint Backlog'!$I5), AND('ProductSprint Backlog'!$J5=I$2,'ProductSprint Backlog'!$I5=I$2), 'ProductSprint Backlog'!$F5, TRUE, 0)</f>
        <v>0</v>
      </c>
      <c r="J5" s="4" cm="1">
        <f t="array" ref="J5">_xlfn.IFS('ProductSprint Backlog'!$F5="", "", AND('ProductSprint Backlog'!$J5&gt;J$2,'ProductSprint Backlog'!$I5&lt;=J$2), 'ProductSprint Backlog'!$F5 / MAX(1, 'ProductSprint Backlog'!$J5-'ProductSprint Backlog'!$I5), AND('ProductSprint Backlog'!$J5=J$2,'ProductSprint Backlog'!$I5=J$2), 'ProductSprint Backlog'!$F5, TRUE, 0)</f>
        <v>0</v>
      </c>
      <c r="K5" s="4" cm="1">
        <f t="array" ref="K5">_xlfn.IFS('ProductSprint Backlog'!$F5="", "", AND('ProductSprint Backlog'!$J5&gt;K$2,'ProductSprint Backlog'!$I5&lt;=K$2), 'ProductSprint Backlog'!$F5 / MAX(1, 'ProductSprint Backlog'!$J5-'ProductSprint Backlog'!$I5), AND('ProductSprint Backlog'!$J5=K$2,'ProductSprint Backlog'!$I5=K$2), 'ProductSprint Backlog'!$F5, TRUE, 0)</f>
        <v>0</v>
      </c>
      <c r="L5" s="4" cm="1">
        <f t="array" ref="L5">_xlfn.IFS('ProductSprint Backlog'!$F5="", "", AND('ProductSprint Backlog'!$J5&gt;L$2,'ProductSprint Backlog'!$I5&lt;=L$2), 'ProductSprint Backlog'!$F5 / MAX(1, 'ProductSprint Backlog'!$J5-'ProductSprint Backlog'!$I5), AND('ProductSprint Backlog'!$J5=L$2,'ProductSprint Backlog'!$I5=L$2), 'ProductSprint Backlog'!$F5, TRUE, 0)</f>
        <v>0</v>
      </c>
      <c r="M5" s="4" cm="1">
        <f t="array" ref="M5">_xlfn.IFS('ProductSprint Backlog'!$F5="", "", AND('ProductSprint Backlog'!$J5&gt;M$2,'ProductSprint Backlog'!$I5&lt;=M$2), 'ProductSprint Backlog'!$F5 / MAX(1, 'ProductSprint Backlog'!$J5-'ProductSprint Backlog'!$I5), AND('ProductSprint Backlog'!$J5=M$2,'ProductSprint Backlog'!$I5=M$2), 'ProductSprint Backlog'!$F5, TRUE, 0)</f>
        <v>0</v>
      </c>
      <c r="N5" s="4" cm="1">
        <f t="array" ref="N5">_xlfn.IFS('ProductSprint Backlog'!$F5="", "", AND('ProductSprint Backlog'!$J5&gt;N$2,'ProductSprint Backlog'!$I5&lt;=N$2), 'ProductSprint Backlog'!$F5 / MAX(1, 'ProductSprint Backlog'!$J5-'ProductSprint Backlog'!$I5), AND('ProductSprint Backlog'!$J5=N$2,'ProductSprint Backlog'!$I5=N$2), 'ProductSprint Backlog'!$F5, TRUE, 0)</f>
        <v>0</v>
      </c>
      <c r="O5" s="4" cm="1">
        <f t="array" ref="O5">_xlfn.IFS('ProductSprint Backlog'!$F5="", "", AND('ProductSprint Backlog'!$J5&gt;O$2,'ProductSprint Backlog'!$I5&lt;=O$2), 'ProductSprint Backlog'!$F5 / MAX(1, 'ProductSprint Backlog'!$J5-'ProductSprint Backlog'!$I5), AND('ProductSprint Backlog'!$J5=O$2,'ProductSprint Backlog'!$I5=O$2), 'ProductSprint Backlog'!$F5, TRUE, 0)</f>
        <v>0</v>
      </c>
      <c r="P5" s="4" cm="1">
        <f t="array" ref="P5">_xlfn.IFS('ProductSprint Backlog'!$F5="", "", AND('ProductSprint Backlog'!$J5&gt;P$2,'ProductSprint Backlog'!$I5&lt;=P$2), 'ProductSprint Backlog'!$F5 / MAX(1, 'ProductSprint Backlog'!$J5-'ProductSprint Backlog'!$I5), AND('ProductSprint Backlog'!$J5=P$2,'ProductSprint Backlog'!$I5=P$2), 'ProductSprint Backlog'!$F5, TRUE, 0)</f>
        <v>0</v>
      </c>
      <c r="Q5" s="4" cm="1">
        <f t="array" ref="Q5">_xlfn.IFS('ProductSprint Backlog'!$F5="", "", AND('ProductSprint Backlog'!$J5&gt;Q$2,'ProductSprint Backlog'!$I5&lt;=Q$2), 'ProductSprint Backlog'!$F5 / MAX(1, 'ProductSprint Backlog'!$J5-'ProductSprint Backlog'!$I5), AND('ProductSprint Backlog'!$J5=Q$2,'ProductSprint Backlog'!$I5=Q$2), 'ProductSprint Backlog'!$F5, TRUE, 0)</f>
        <v>0</v>
      </c>
    </row>
    <row r="6" spans="2:17" x14ac:dyDescent="0.2">
      <c r="B6" s="4" cm="1">
        <f t="array" ref="B6">_xlfn.IFS('ProductSprint Backlog'!$F6="", "", AND('ProductSprint Backlog'!$J6&gt;B$2,'ProductSprint Backlog'!$I6&lt;=B$2), 'ProductSprint Backlog'!$F6 / MAX(1, 'ProductSprint Backlog'!$J6-'ProductSprint Backlog'!$I6), AND('ProductSprint Backlog'!$J6=B$2,'ProductSprint Backlog'!$I6=B$2), 'ProductSprint Backlog'!$F6, TRUE, 0)</f>
        <v>0</v>
      </c>
      <c r="C6" s="4" cm="1">
        <f t="array" ref="C6">_xlfn.IFS('ProductSprint Backlog'!$F6="", "", AND('ProductSprint Backlog'!$J6&gt;C$2,'ProductSprint Backlog'!$I6&lt;=C$2), 'ProductSprint Backlog'!$F6 / MAX(1, 'ProductSprint Backlog'!$J6-'ProductSprint Backlog'!$I6), AND('ProductSprint Backlog'!$J6=C$2,'ProductSprint Backlog'!$I6=C$2), 'ProductSprint Backlog'!$F6, TRUE, 0)</f>
        <v>0</v>
      </c>
      <c r="D6" s="4" cm="1">
        <f t="array" ref="D6">_xlfn.IFS('ProductSprint Backlog'!$F6="", "", AND('ProductSprint Backlog'!$J6&gt;D$2,'ProductSprint Backlog'!$I6&lt;=D$2), 'ProductSprint Backlog'!$F6 / MAX(1, 'ProductSprint Backlog'!$J6-'ProductSprint Backlog'!$I6), AND('ProductSprint Backlog'!$J6=D$2,'ProductSprint Backlog'!$I6=D$2), 'ProductSprint Backlog'!$F6, TRUE, 0)</f>
        <v>0</v>
      </c>
      <c r="E6" s="4" cm="1">
        <f t="array" ref="E6">_xlfn.IFS('ProductSprint Backlog'!$F6="", "", AND('ProductSprint Backlog'!$J6&gt;E$2,'ProductSprint Backlog'!$I6&lt;=E$2), 'ProductSprint Backlog'!$F6 / MAX(1, 'ProductSprint Backlog'!$J6-'ProductSprint Backlog'!$I6), AND('ProductSprint Backlog'!$J6=E$2,'ProductSprint Backlog'!$I6=E$2), 'ProductSprint Backlog'!$F6, TRUE, 0)</f>
        <v>0</v>
      </c>
      <c r="F6" s="4" cm="1">
        <f t="array" ref="F6">_xlfn.IFS('ProductSprint Backlog'!$F6="", "", AND('ProductSprint Backlog'!$J6&gt;F$2,'ProductSprint Backlog'!$I6&lt;=F$2), 'ProductSprint Backlog'!$F6 / MAX(1, 'ProductSprint Backlog'!$J6-'ProductSprint Backlog'!$I6), AND('ProductSprint Backlog'!$J6=F$2,'ProductSprint Backlog'!$I6=F$2), 'ProductSprint Backlog'!$F6, TRUE, 0)</f>
        <v>0</v>
      </c>
      <c r="G6" s="4" cm="1">
        <f t="array" ref="G6">_xlfn.IFS('ProductSprint Backlog'!$F6="", "", AND('ProductSprint Backlog'!$J6&gt;G$2,'ProductSprint Backlog'!$I6&lt;=G$2), 'ProductSprint Backlog'!$F6 / MAX(1, 'ProductSprint Backlog'!$J6-'ProductSprint Backlog'!$I6), AND('ProductSprint Backlog'!$J6=G$2,'ProductSprint Backlog'!$I6=G$2), 'ProductSprint Backlog'!$F6, TRUE, 0)</f>
        <v>0</v>
      </c>
      <c r="H6" s="4" cm="1">
        <f t="array" ref="H6">_xlfn.IFS('ProductSprint Backlog'!$F6="", "", AND('ProductSprint Backlog'!$J6&gt;H$2,'ProductSprint Backlog'!$I6&lt;=H$2), 'ProductSprint Backlog'!$F6 / MAX(1, 'ProductSprint Backlog'!$J6-'ProductSprint Backlog'!$I6), AND('ProductSprint Backlog'!$J6=H$2,'ProductSprint Backlog'!$I6=H$2), 'ProductSprint Backlog'!$F6, TRUE, 0)</f>
        <v>0</v>
      </c>
      <c r="I6" s="4" cm="1">
        <f t="array" ref="I6">_xlfn.IFS('ProductSprint Backlog'!$F6="", "", AND('ProductSprint Backlog'!$J6&gt;I$2,'ProductSprint Backlog'!$I6&lt;=I$2), 'ProductSprint Backlog'!$F6 / MAX(1, 'ProductSprint Backlog'!$J6-'ProductSprint Backlog'!$I6), AND('ProductSprint Backlog'!$J6=I$2,'ProductSprint Backlog'!$I6=I$2), 'ProductSprint Backlog'!$F6, TRUE, 0)</f>
        <v>0</v>
      </c>
      <c r="J6" s="4" cm="1">
        <f t="array" ref="J6">_xlfn.IFS('ProductSprint Backlog'!$F6="", "", AND('ProductSprint Backlog'!$J6&gt;J$2,'ProductSprint Backlog'!$I6&lt;=J$2), 'ProductSprint Backlog'!$F6 / MAX(1, 'ProductSprint Backlog'!$J6-'ProductSprint Backlog'!$I6), AND('ProductSprint Backlog'!$J6=J$2,'ProductSprint Backlog'!$I6=J$2), 'ProductSprint Backlog'!$F6, TRUE, 0)</f>
        <v>0</v>
      </c>
      <c r="K6" s="4" cm="1">
        <f t="array" ref="K6">_xlfn.IFS('ProductSprint Backlog'!$F6="", "", AND('ProductSprint Backlog'!$J6&gt;K$2,'ProductSprint Backlog'!$I6&lt;=K$2), 'ProductSprint Backlog'!$F6 / MAX(1, 'ProductSprint Backlog'!$J6-'ProductSprint Backlog'!$I6), AND('ProductSprint Backlog'!$J6=K$2,'ProductSprint Backlog'!$I6=K$2), 'ProductSprint Backlog'!$F6, TRUE, 0)</f>
        <v>0</v>
      </c>
      <c r="L6" s="4" cm="1">
        <f t="array" ref="L6">_xlfn.IFS('ProductSprint Backlog'!$F6="", "", AND('ProductSprint Backlog'!$J6&gt;L$2,'ProductSprint Backlog'!$I6&lt;=L$2), 'ProductSprint Backlog'!$F6 / MAX(1, 'ProductSprint Backlog'!$J6-'ProductSprint Backlog'!$I6), AND('ProductSprint Backlog'!$J6=L$2,'ProductSprint Backlog'!$I6=L$2), 'ProductSprint Backlog'!$F6, TRUE, 0)</f>
        <v>0</v>
      </c>
      <c r="M6" s="4" cm="1">
        <f t="array" ref="M6">_xlfn.IFS('ProductSprint Backlog'!$F6="", "", AND('ProductSprint Backlog'!$J6&gt;M$2,'ProductSprint Backlog'!$I6&lt;=M$2), 'ProductSprint Backlog'!$F6 / MAX(1, 'ProductSprint Backlog'!$J6-'ProductSprint Backlog'!$I6), AND('ProductSprint Backlog'!$J6=M$2,'ProductSprint Backlog'!$I6=M$2), 'ProductSprint Backlog'!$F6, TRUE, 0)</f>
        <v>0</v>
      </c>
      <c r="N6" s="4" cm="1">
        <f t="array" ref="N6">_xlfn.IFS('ProductSprint Backlog'!$F6="", "", AND('ProductSprint Backlog'!$J6&gt;N$2,'ProductSprint Backlog'!$I6&lt;=N$2), 'ProductSprint Backlog'!$F6 / MAX(1, 'ProductSprint Backlog'!$J6-'ProductSprint Backlog'!$I6), AND('ProductSprint Backlog'!$J6=N$2,'ProductSprint Backlog'!$I6=N$2), 'ProductSprint Backlog'!$F6, TRUE, 0)</f>
        <v>0</v>
      </c>
      <c r="O6" s="4" cm="1">
        <f t="array" ref="O6">_xlfn.IFS('ProductSprint Backlog'!$F6="", "", AND('ProductSprint Backlog'!$J6&gt;O$2,'ProductSprint Backlog'!$I6&lt;=O$2), 'ProductSprint Backlog'!$F6 / MAX(1, 'ProductSprint Backlog'!$J6-'ProductSprint Backlog'!$I6), AND('ProductSprint Backlog'!$J6=O$2,'ProductSprint Backlog'!$I6=O$2), 'ProductSprint Backlog'!$F6, TRUE, 0)</f>
        <v>0</v>
      </c>
      <c r="P6" s="4" cm="1">
        <f t="array" ref="P6">_xlfn.IFS('ProductSprint Backlog'!$F6="", "", AND('ProductSprint Backlog'!$J6&gt;P$2,'ProductSprint Backlog'!$I6&lt;=P$2), 'ProductSprint Backlog'!$F6 / MAX(1, 'ProductSprint Backlog'!$J6-'ProductSprint Backlog'!$I6), AND('ProductSprint Backlog'!$J6=P$2,'ProductSprint Backlog'!$I6=P$2), 'ProductSprint Backlog'!$F6, TRUE, 0)</f>
        <v>0</v>
      </c>
      <c r="Q6" s="4" cm="1">
        <f t="array" ref="Q6">_xlfn.IFS('ProductSprint Backlog'!$F6="", "", AND('ProductSprint Backlog'!$J6&gt;Q$2,'ProductSprint Backlog'!$I6&lt;=Q$2), 'ProductSprint Backlog'!$F6 / MAX(1, 'ProductSprint Backlog'!$J6-'ProductSprint Backlog'!$I6), AND('ProductSprint Backlog'!$J6=Q$2,'ProductSprint Backlog'!$I6=Q$2), 'ProductSprint Backlog'!$F6, TRUE, 0)</f>
        <v>0</v>
      </c>
    </row>
    <row r="7" spans="2:17" x14ac:dyDescent="0.2">
      <c r="B7" s="4" t="str" cm="1">
        <f t="array" ref="B7">_xlfn.IFS('ProductSprint Backlog'!$F7="", "", AND('ProductSprint Backlog'!$J7&gt;B$2,'ProductSprint Backlog'!$I7&lt;=B$2), 'ProductSprint Backlog'!$F7 / MAX(1, 'ProductSprint Backlog'!$J7-'ProductSprint Backlog'!$I7), AND('ProductSprint Backlog'!$J7=B$2,'ProductSprint Backlog'!$I7=B$2), 'ProductSprint Backlog'!$F7, TRUE, 0)</f>
        <v/>
      </c>
      <c r="C7" s="4" t="str" cm="1">
        <f t="array" ref="C7">_xlfn.IFS('ProductSprint Backlog'!$F7="", "", AND('ProductSprint Backlog'!$J7&gt;C$2,'ProductSprint Backlog'!$I7&lt;=C$2), 'ProductSprint Backlog'!$F7 / MAX(1, 'ProductSprint Backlog'!$J7-'ProductSprint Backlog'!$I7), AND('ProductSprint Backlog'!$J7=C$2,'ProductSprint Backlog'!$I7=C$2), 'ProductSprint Backlog'!$F7, TRUE, 0)</f>
        <v/>
      </c>
      <c r="D7" s="4" t="str" cm="1">
        <f t="array" ref="D7">_xlfn.IFS('ProductSprint Backlog'!$F7="", "", AND('ProductSprint Backlog'!$J7&gt;D$2,'ProductSprint Backlog'!$I7&lt;=D$2), 'ProductSprint Backlog'!$F7 / MAX(1, 'ProductSprint Backlog'!$J7-'ProductSprint Backlog'!$I7), AND('ProductSprint Backlog'!$J7=D$2,'ProductSprint Backlog'!$I7=D$2), 'ProductSprint Backlog'!$F7, TRUE, 0)</f>
        <v/>
      </c>
      <c r="E7" s="4" t="str" cm="1">
        <f t="array" ref="E7">_xlfn.IFS('ProductSprint Backlog'!$F7="", "", AND('ProductSprint Backlog'!$J7&gt;E$2,'ProductSprint Backlog'!$I7&lt;=E$2), 'ProductSprint Backlog'!$F7 / MAX(1, 'ProductSprint Backlog'!$J7-'ProductSprint Backlog'!$I7), AND('ProductSprint Backlog'!$J7=E$2,'ProductSprint Backlog'!$I7=E$2), 'ProductSprint Backlog'!$F7, TRUE, 0)</f>
        <v/>
      </c>
      <c r="F7" s="4" t="str" cm="1">
        <f t="array" ref="F7">_xlfn.IFS('ProductSprint Backlog'!$F7="", "", AND('ProductSprint Backlog'!$J7&gt;F$2,'ProductSprint Backlog'!$I7&lt;=F$2), 'ProductSprint Backlog'!$F7 / MAX(1, 'ProductSprint Backlog'!$J7-'ProductSprint Backlog'!$I7), AND('ProductSprint Backlog'!$J7=F$2,'ProductSprint Backlog'!$I7=F$2), 'ProductSprint Backlog'!$F7, TRUE, 0)</f>
        <v/>
      </c>
      <c r="G7" s="4" t="str" cm="1">
        <f t="array" ref="G7">_xlfn.IFS('ProductSprint Backlog'!$F7="", "", AND('ProductSprint Backlog'!$J7&gt;G$2,'ProductSprint Backlog'!$I7&lt;=G$2), 'ProductSprint Backlog'!$F7 / MAX(1, 'ProductSprint Backlog'!$J7-'ProductSprint Backlog'!$I7), AND('ProductSprint Backlog'!$J7=G$2,'ProductSprint Backlog'!$I7=G$2), 'ProductSprint Backlog'!$F7, TRUE, 0)</f>
        <v/>
      </c>
      <c r="H7" s="4" t="str" cm="1">
        <f t="array" ref="H7">_xlfn.IFS('ProductSprint Backlog'!$F7="", "", AND('ProductSprint Backlog'!$J7&gt;H$2,'ProductSprint Backlog'!$I7&lt;=H$2), 'ProductSprint Backlog'!$F7 / MAX(1, 'ProductSprint Backlog'!$J7-'ProductSprint Backlog'!$I7), AND('ProductSprint Backlog'!$J7=H$2,'ProductSprint Backlog'!$I7=H$2), 'ProductSprint Backlog'!$F7, TRUE, 0)</f>
        <v/>
      </c>
      <c r="I7" s="4" t="str" cm="1">
        <f t="array" ref="I7">_xlfn.IFS('ProductSprint Backlog'!$F7="", "", AND('ProductSprint Backlog'!$J7&gt;I$2,'ProductSprint Backlog'!$I7&lt;=I$2), 'ProductSprint Backlog'!$F7 / MAX(1, 'ProductSprint Backlog'!$J7-'ProductSprint Backlog'!$I7), AND('ProductSprint Backlog'!$J7=I$2,'ProductSprint Backlog'!$I7=I$2), 'ProductSprint Backlog'!$F7, TRUE, 0)</f>
        <v/>
      </c>
      <c r="J7" s="4" t="str" cm="1">
        <f t="array" ref="J7">_xlfn.IFS('ProductSprint Backlog'!$F7="", "", AND('ProductSprint Backlog'!$J7&gt;J$2,'ProductSprint Backlog'!$I7&lt;=J$2), 'ProductSprint Backlog'!$F7 / MAX(1, 'ProductSprint Backlog'!$J7-'ProductSprint Backlog'!$I7), AND('ProductSprint Backlog'!$J7=J$2,'ProductSprint Backlog'!$I7=J$2), 'ProductSprint Backlog'!$F7, TRUE, 0)</f>
        <v/>
      </c>
      <c r="K7" s="4" t="str" cm="1">
        <f t="array" ref="K7">_xlfn.IFS('ProductSprint Backlog'!$F7="", "", AND('ProductSprint Backlog'!$J7&gt;K$2,'ProductSprint Backlog'!$I7&lt;=K$2), 'ProductSprint Backlog'!$F7 / MAX(1, 'ProductSprint Backlog'!$J7-'ProductSprint Backlog'!$I7), AND('ProductSprint Backlog'!$J7=K$2,'ProductSprint Backlog'!$I7=K$2), 'ProductSprint Backlog'!$F7, TRUE, 0)</f>
        <v/>
      </c>
      <c r="L7" s="4" t="str" cm="1">
        <f t="array" ref="L7">_xlfn.IFS('ProductSprint Backlog'!$F7="", "", AND('ProductSprint Backlog'!$J7&gt;L$2,'ProductSprint Backlog'!$I7&lt;=L$2), 'ProductSprint Backlog'!$F7 / MAX(1, 'ProductSprint Backlog'!$J7-'ProductSprint Backlog'!$I7), AND('ProductSprint Backlog'!$J7=L$2,'ProductSprint Backlog'!$I7=L$2), 'ProductSprint Backlog'!$F7, TRUE, 0)</f>
        <v/>
      </c>
      <c r="M7" s="4" t="str" cm="1">
        <f t="array" ref="M7">_xlfn.IFS('ProductSprint Backlog'!$F7="", "", AND('ProductSprint Backlog'!$J7&gt;M$2,'ProductSprint Backlog'!$I7&lt;=M$2), 'ProductSprint Backlog'!$F7 / MAX(1, 'ProductSprint Backlog'!$J7-'ProductSprint Backlog'!$I7), AND('ProductSprint Backlog'!$J7=M$2,'ProductSprint Backlog'!$I7=M$2), 'ProductSprint Backlog'!$F7, TRUE, 0)</f>
        <v/>
      </c>
      <c r="N7" s="4" t="str" cm="1">
        <f t="array" ref="N7">_xlfn.IFS('ProductSprint Backlog'!$F7="", "", AND('ProductSprint Backlog'!$J7&gt;N$2,'ProductSprint Backlog'!$I7&lt;=N$2), 'ProductSprint Backlog'!$F7 / MAX(1, 'ProductSprint Backlog'!$J7-'ProductSprint Backlog'!$I7), AND('ProductSprint Backlog'!$J7=N$2,'ProductSprint Backlog'!$I7=N$2), 'ProductSprint Backlog'!$F7, TRUE, 0)</f>
        <v/>
      </c>
      <c r="O7" s="4" t="str" cm="1">
        <f t="array" ref="O7">_xlfn.IFS('ProductSprint Backlog'!$F7="", "", AND('ProductSprint Backlog'!$J7&gt;O$2,'ProductSprint Backlog'!$I7&lt;=O$2), 'ProductSprint Backlog'!$F7 / MAX(1, 'ProductSprint Backlog'!$J7-'ProductSprint Backlog'!$I7), AND('ProductSprint Backlog'!$J7=O$2,'ProductSprint Backlog'!$I7=O$2), 'ProductSprint Backlog'!$F7, TRUE, 0)</f>
        <v/>
      </c>
      <c r="P7" s="4" t="str" cm="1">
        <f t="array" ref="P7">_xlfn.IFS('ProductSprint Backlog'!$F7="", "", AND('ProductSprint Backlog'!$J7&gt;P$2,'ProductSprint Backlog'!$I7&lt;=P$2), 'ProductSprint Backlog'!$F7 / MAX(1, 'ProductSprint Backlog'!$J7-'ProductSprint Backlog'!$I7), AND('ProductSprint Backlog'!$J7=P$2,'ProductSprint Backlog'!$I7=P$2), 'ProductSprint Backlog'!$F7, TRUE, 0)</f>
        <v/>
      </c>
      <c r="Q7" s="4" t="str" cm="1">
        <f t="array" ref="Q7">_xlfn.IFS('ProductSprint Backlog'!$F7="", "", AND('ProductSprint Backlog'!$J7&gt;Q$2,'ProductSprint Backlog'!$I7&lt;=Q$2), 'ProductSprint Backlog'!$F7 / MAX(1, 'ProductSprint Backlog'!$J7-'ProductSprint Backlog'!$I7), AND('ProductSprint Backlog'!$J7=Q$2,'ProductSprint Backlog'!$I7=Q$2), 'ProductSprint Backlog'!$F7, TRUE, 0)</f>
        <v/>
      </c>
    </row>
    <row r="8" spans="2:17" x14ac:dyDescent="0.2">
      <c r="B8" s="4" cm="1">
        <f t="array" ref="B8">_xlfn.IFS('ProductSprint Backlog'!$F8="", "", AND('ProductSprint Backlog'!$J8&gt;B$2,'ProductSprint Backlog'!$I8&lt;=B$2), 'ProductSprint Backlog'!$F8 / MAX(1, 'ProductSprint Backlog'!$J8-'ProductSprint Backlog'!$I8), AND('ProductSprint Backlog'!$J8=B$2,'ProductSprint Backlog'!$I8=B$2), 'ProductSprint Backlog'!$F8, TRUE, 0)</f>
        <v>0</v>
      </c>
      <c r="C8" s="4" cm="1">
        <f t="array" ref="C8">_xlfn.IFS('ProductSprint Backlog'!$F8="", "", AND('ProductSprint Backlog'!$J8&gt;C$2,'ProductSprint Backlog'!$I8&lt;=C$2), 'ProductSprint Backlog'!$F8 / MAX(1, 'ProductSprint Backlog'!$J8-'ProductSprint Backlog'!$I8), AND('ProductSprint Backlog'!$J8=C$2,'ProductSprint Backlog'!$I8=C$2), 'ProductSprint Backlog'!$F8, TRUE, 0)</f>
        <v>0</v>
      </c>
      <c r="D8" s="4" cm="1">
        <f t="array" ref="D8">_xlfn.IFS('ProductSprint Backlog'!$F8="", "", AND('ProductSprint Backlog'!$J8&gt;D$2,'ProductSprint Backlog'!$I8&lt;=D$2), 'ProductSprint Backlog'!$F8 / MAX(1, 'ProductSprint Backlog'!$J8-'ProductSprint Backlog'!$I8), AND('ProductSprint Backlog'!$J8=D$2,'ProductSprint Backlog'!$I8=D$2), 'ProductSprint Backlog'!$F8, TRUE, 0)</f>
        <v>0</v>
      </c>
      <c r="E8" s="4" cm="1">
        <f t="array" ref="E8">_xlfn.IFS('ProductSprint Backlog'!$F8="", "", AND('ProductSprint Backlog'!$J8&gt;E$2,'ProductSprint Backlog'!$I8&lt;=E$2), 'ProductSprint Backlog'!$F8 / MAX(1, 'ProductSprint Backlog'!$J8-'ProductSprint Backlog'!$I8), AND('ProductSprint Backlog'!$J8=E$2,'ProductSprint Backlog'!$I8=E$2), 'ProductSprint Backlog'!$F8, TRUE, 0)</f>
        <v>0</v>
      </c>
      <c r="F8" s="4" cm="1">
        <f t="array" ref="F8">_xlfn.IFS('ProductSprint Backlog'!$F8="", "", AND('ProductSprint Backlog'!$J8&gt;F$2,'ProductSprint Backlog'!$I8&lt;=F$2), 'ProductSprint Backlog'!$F8 / MAX(1, 'ProductSprint Backlog'!$J8-'ProductSprint Backlog'!$I8), AND('ProductSprint Backlog'!$J8=F$2,'ProductSprint Backlog'!$I8=F$2), 'ProductSprint Backlog'!$F8, TRUE, 0)</f>
        <v>0</v>
      </c>
      <c r="G8" s="4" cm="1">
        <f t="array" ref="G8">_xlfn.IFS('ProductSprint Backlog'!$F8="", "", AND('ProductSprint Backlog'!$J8&gt;G$2,'ProductSprint Backlog'!$I8&lt;=G$2), 'ProductSprint Backlog'!$F8 / MAX(1, 'ProductSprint Backlog'!$J8-'ProductSprint Backlog'!$I8), AND('ProductSprint Backlog'!$J8=G$2,'ProductSprint Backlog'!$I8=G$2), 'ProductSprint Backlog'!$F8, TRUE, 0)</f>
        <v>0</v>
      </c>
      <c r="H8" s="4" cm="1">
        <f t="array" ref="H8">_xlfn.IFS('ProductSprint Backlog'!$F8="", "", AND('ProductSprint Backlog'!$J8&gt;H$2,'ProductSprint Backlog'!$I8&lt;=H$2), 'ProductSprint Backlog'!$F8 / MAX(1, 'ProductSprint Backlog'!$J8-'ProductSprint Backlog'!$I8), AND('ProductSprint Backlog'!$J8=H$2,'ProductSprint Backlog'!$I8=H$2), 'ProductSprint Backlog'!$F8, TRUE, 0)</f>
        <v>0</v>
      </c>
      <c r="I8" s="4" cm="1">
        <f t="array" ref="I8">_xlfn.IFS('ProductSprint Backlog'!$F8="", "", AND('ProductSprint Backlog'!$J8&gt;I$2,'ProductSprint Backlog'!$I8&lt;=I$2), 'ProductSprint Backlog'!$F8 / MAX(1, 'ProductSprint Backlog'!$J8-'ProductSprint Backlog'!$I8), AND('ProductSprint Backlog'!$J8=I$2,'ProductSprint Backlog'!$I8=I$2), 'ProductSprint Backlog'!$F8, TRUE, 0)</f>
        <v>0</v>
      </c>
      <c r="J8" s="4" cm="1">
        <f t="array" ref="J8">_xlfn.IFS('ProductSprint Backlog'!$F8="", "", AND('ProductSprint Backlog'!$J8&gt;J$2,'ProductSprint Backlog'!$I8&lt;=J$2), 'ProductSprint Backlog'!$F8 / MAX(1, 'ProductSprint Backlog'!$J8-'ProductSprint Backlog'!$I8), AND('ProductSprint Backlog'!$J8=J$2,'ProductSprint Backlog'!$I8=J$2), 'ProductSprint Backlog'!$F8, TRUE, 0)</f>
        <v>0</v>
      </c>
      <c r="K8" s="4" cm="1">
        <f t="array" ref="K8">_xlfn.IFS('ProductSprint Backlog'!$F8="", "", AND('ProductSprint Backlog'!$J8&gt;K$2,'ProductSprint Backlog'!$I8&lt;=K$2), 'ProductSprint Backlog'!$F8 / MAX(1, 'ProductSprint Backlog'!$J8-'ProductSprint Backlog'!$I8), AND('ProductSprint Backlog'!$J8=K$2,'ProductSprint Backlog'!$I8=K$2), 'ProductSprint Backlog'!$F8, TRUE, 0)</f>
        <v>0</v>
      </c>
      <c r="L8" s="4" cm="1">
        <f t="array" ref="L8">_xlfn.IFS('ProductSprint Backlog'!$F8="", "", AND('ProductSprint Backlog'!$J8&gt;L$2,'ProductSprint Backlog'!$I8&lt;=L$2), 'ProductSprint Backlog'!$F8 / MAX(1, 'ProductSprint Backlog'!$J8-'ProductSprint Backlog'!$I8), AND('ProductSprint Backlog'!$J8=L$2,'ProductSprint Backlog'!$I8=L$2), 'ProductSprint Backlog'!$F8, TRUE, 0)</f>
        <v>0</v>
      </c>
      <c r="M8" s="4" cm="1">
        <f t="array" ref="M8">_xlfn.IFS('ProductSprint Backlog'!$F8="", "", AND('ProductSprint Backlog'!$J8&gt;M$2,'ProductSprint Backlog'!$I8&lt;=M$2), 'ProductSprint Backlog'!$F8 / MAX(1, 'ProductSprint Backlog'!$J8-'ProductSprint Backlog'!$I8), AND('ProductSprint Backlog'!$J8=M$2,'ProductSprint Backlog'!$I8=M$2), 'ProductSprint Backlog'!$F8, TRUE, 0)</f>
        <v>0</v>
      </c>
      <c r="N8" s="4" cm="1">
        <f t="array" ref="N8">_xlfn.IFS('ProductSprint Backlog'!$F8="", "", AND('ProductSprint Backlog'!$J8&gt;N$2,'ProductSprint Backlog'!$I8&lt;=N$2), 'ProductSprint Backlog'!$F8 / MAX(1, 'ProductSprint Backlog'!$J8-'ProductSprint Backlog'!$I8), AND('ProductSprint Backlog'!$J8=N$2,'ProductSprint Backlog'!$I8=N$2), 'ProductSprint Backlog'!$F8, TRUE, 0)</f>
        <v>0</v>
      </c>
      <c r="O8" s="4" cm="1">
        <f t="array" ref="O8">_xlfn.IFS('ProductSprint Backlog'!$F8="", "", AND('ProductSprint Backlog'!$J8&gt;O$2,'ProductSprint Backlog'!$I8&lt;=O$2), 'ProductSprint Backlog'!$F8 / MAX(1, 'ProductSprint Backlog'!$J8-'ProductSprint Backlog'!$I8), AND('ProductSprint Backlog'!$J8=O$2,'ProductSprint Backlog'!$I8=O$2), 'ProductSprint Backlog'!$F8, TRUE, 0)</f>
        <v>0</v>
      </c>
      <c r="P8" s="4" cm="1">
        <f t="array" ref="P8">_xlfn.IFS('ProductSprint Backlog'!$F8="", "", AND('ProductSprint Backlog'!$J8&gt;P$2,'ProductSprint Backlog'!$I8&lt;=P$2), 'ProductSprint Backlog'!$F8 / MAX(1, 'ProductSprint Backlog'!$J8-'ProductSprint Backlog'!$I8), AND('ProductSprint Backlog'!$J8=P$2,'ProductSprint Backlog'!$I8=P$2), 'ProductSprint Backlog'!$F8, TRUE, 0)</f>
        <v>0</v>
      </c>
      <c r="Q8" s="4" cm="1">
        <f t="array" ref="Q8">_xlfn.IFS('ProductSprint Backlog'!$F8="", "", AND('ProductSprint Backlog'!$J8&gt;Q$2,'ProductSprint Backlog'!$I8&lt;=Q$2), 'ProductSprint Backlog'!$F8 / MAX(1, 'ProductSprint Backlog'!$J8-'ProductSprint Backlog'!$I8), AND('ProductSprint Backlog'!$J8=Q$2,'ProductSprint Backlog'!$I8=Q$2), 'ProductSprint Backlog'!$F8, TRUE, 0)</f>
        <v>0</v>
      </c>
    </row>
    <row r="9" spans="2:17" x14ac:dyDescent="0.2">
      <c r="B9" s="4" cm="1">
        <f t="array" ref="B9">_xlfn.IFS('ProductSprint Backlog'!$F9="", "", AND('ProductSprint Backlog'!$J9&gt;B$2,'ProductSprint Backlog'!$I9&lt;=B$2), 'ProductSprint Backlog'!$F9 / MAX(1, 'ProductSprint Backlog'!$J9-'ProductSprint Backlog'!$I9), AND('ProductSprint Backlog'!$J9=B$2,'ProductSprint Backlog'!$I9=B$2), 'ProductSprint Backlog'!$F9, TRUE, 0)</f>
        <v>0</v>
      </c>
      <c r="C9" s="4" cm="1">
        <f t="array" ref="C9">_xlfn.IFS('ProductSprint Backlog'!$F9="", "", AND('ProductSprint Backlog'!$J9&gt;C$2,'ProductSprint Backlog'!$I9&lt;=C$2), 'ProductSprint Backlog'!$F9 / MAX(1, 'ProductSprint Backlog'!$J9-'ProductSprint Backlog'!$I9), AND('ProductSprint Backlog'!$J9=C$2,'ProductSprint Backlog'!$I9=C$2), 'ProductSprint Backlog'!$F9, TRUE, 0)</f>
        <v>0</v>
      </c>
      <c r="D9" s="4" cm="1">
        <f t="array" ref="D9">_xlfn.IFS('ProductSprint Backlog'!$F9="", "", AND('ProductSprint Backlog'!$J9&gt;D$2,'ProductSprint Backlog'!$I9&lt;=D$2), 'ProductSprint Backlog'!$F9 / MAX(1, 'ProductSprint Backlog'!$J9-'ProductSprint Backlog'!$I9), AND('ProductSprint Backlog'!$J9=D$2,'ProductSprint Backlog'!$I9=D$2), 'ProductSprint Backlog'!$F9, TRUE, 0)</f>
        <v>0</v>
      </c>
      <c r="E9" s="4" cm="1">
        <f t="array" ref="E9">_xlfn.IFS('ProductSprint Backlog'!$F9="", "", AND('ProductSprint Backlog'!$J9&gt;E$2,'ProductSprint Backlog'!$I9&lt;=E$2), 'ProductSprint Backlog'!$F9 / MAX(1, 'ProductSprint Backlog'!$J9-'ProductSprint Backlog'!$I9), AND('ProductSprint Backlog'!$J9=E$2,'ProductSprint Backlog'!$I9=E$2), 'ProductSprint Backlog'!$F9, TRUE, 0)</f>
        <v>0</v>
      </c>
      <c r="F9" s="4" cm="1">
        <f t="array" ref="F9">_xlfn.IFS('ProductSprint Backlog'!$F9="", "", AND('ProductSprint Backlog'!$J9&gt;F$2,'ProductSprint Backlog'!$I9&lt;=F$2), 'ProductSprint Backlog'!$F9 / MAX(1, 'ProductSprint Backlog'!$J9-'ProductSprint Backlog'!$I9), AND('ProductSprint Backlog'!$J9=F$2,'ProductSprint Backlog'!$I9=F$2), 'ProductSprint Backlog'!$F9, TRUE, 0)</f>
        <v>0</v>
      </c>
      <c r="G9" s="4" cm="1">
        <f t="array" ref="G9">_xlfn.IFS('ProductSprint Backlog'!$F9="", "", AND('ProductSprint Backlog'!$J9&gt;G$2,'ProductSprint Backlog'!$I9&lt;=G$2), 'ProductSprint Backlog'!$F9 / MAX(1, 'ProductSprint Backlog'!$J9-'ProductSprint Backlog'!$I9), AND('ProductSprint Backlog'!$J9=G$2,'ProductSprint Backlog'!$I9=G$2), 'ProductSprint Backlog'!$F9, TRUE, 0)</f>
        <v>0</v>
      </c>
      <c r="H9" s="4" cm="1">
        <f t="array" ref="H9">_xlfn.IFS('ProductSprint Backlog'!$F9="", "", AND('ProductSprint Backlog'!$J9&gt;H$2,'ProductSprint Backlog'!$I9&lt;=H$2), 'ProductSprint Backlog'!$F9 / MAX(1, 'ProductSprint Backlog'!$J9-'ProductSprint Backlog'!$I9), AND('ProductSprint Backlog'!$J9=H$2,'ProductSprint Backlog'!$I9=H$2), 'ProductSprint Backlog'!$F9, TRUE, 0)</f>
        <v>0</v>
      </c>
      <c r="I9" s="4" cm="1">
        <f t="array" ref="I9">_xlfn.IFS('ProductSprint Backlog'!$F9="", "", AND('ProductSprint Backlog'!$J9&gt;I$2,'ProductSprint Backlog'!$I9&lt;=I$2), 'ProductSprint Backlog'!$F9 / MAX(1, 'ProductSprint Backlog'!$J9-'ProductSprint Backlog'!$I9), AND('ProductSprint Backlog'!$J9=I$2,'ProductSprint Backlog'!$I9=I$2), 'ProductSprint Backlog'!$F9, TRUE, 0)</f>
        <v>0</v>
      </c>
      <c r="J9" s="4" cm="1">
        <f t="array" ref="J9">_xlfn.IFS('ProductSprint Backlog'!$F9="", "", AND('ProductSprint Backlog'!$J9&gt;J$2,'ProductSprint Backlog'!$I9&lt;=J$2), 'ProductSprint Backlog'!$F9 / MAX(1, 'ProductSprint Backlog'!$J9-'ProductSprint Backlog'!$I9), AND('ProductSprint Backlog'!$J9=J$2,'ProductSprint Backlog'!$I9=J$2), 'ProductSprint Backlog'!$F9, TRUE, 0)</f>
        <v>0</v>
      </c>
      <c r="K9" s="4" cm="1">
        <f t="array" ref="K9">_xlfn.IFS('ProductSprint Backlog'!$F9="", "", AND('ProductSprint Backlog'!$J9&gt;K$2,'ProductSprint Backlog'!$I9&lt;=K$2), 'ProductSprint Backlog'!$F9 / MAX(1, 'ProductSprint Backlog'!$J9-'ProductSprint Backlog'!$I9), AND('ProductSprint Backlog'!$J9=K$2,'ProductSprint Backlog'!$I9=K$2), 'ProductSprint Backlog'!$F9, TRUE, 0)</f>
        <v>0</v>
      </c>
      <c r="L9" s="4" cm="1">
        <f t="array" ref="L9">_xlfn.IFS('ProductSprint Backlog'!$F9="", "", AND('ProductSprint Backlog'!$J9&gt;L$2,'ProductSprint Backlog'!$I9&lt;=L$2), 'ProductSprint Backlog'!$F9 / MAX(1, 'ProductSprint Backlog'!$J9-'ProductSprint Backlog'!$I9), AND('ProductSprint Backlog'!$J9=L$2,'ProductSprint Backlog'!$I9=L$2), 'ProductSprint Backlog'!$F9, TRUE, 0)</f>
        <v>0</v>
      </c>
      <c r="M9" s="4" cm="1">
        <f t="array" ref="M9">_xlfn.IFS('ProductSprint Backlog'!$F9="", "", AND('ProductSprint Backlog'!$J9&gt;M$2,'ProductSprint Backlog'!$I9&lt;=M$2), 'ProductSprint Backlog'!$F9 / MAX(1, 'ProductSprint Backlog'!$J9-'ProductSprint Backlog'!$I9), AND('ProductSprint Backlog'!$J9=M$2,'ProductSprint Backlog'!$I9=M$2), 'ProductSprint Backlog'!$F9, TRUE, 0)</f>
        <v>0</v>
      </c>
      <c r="N9" s="4" cm="1">
        <f t="array" ref="N9">_xlfn.IFS('ProductSprint Backlog'!$F9="", "", AND('ProductSprint Backlog'!$J9&gt;N$2,'ProductSprint Backlog'!$I9&lt;=N$2), 'ProductSprint Backlog'!$F9 / MAX(1, 'ProductSprint Backlog'!$J9-'ProductSprint Backlog'!$I9), AND('ProductSprint Backlog'!$J9=N$2,'ProductSprint Backlog'!$I9=N$2), 'ProductSprint Backlog'!$F9, TRUE, 0)</f>
        <v>0</v>
      </c>
      <c r="O9" s="4" cm="1">
        <f t="array" ref="O9">_xlfn.IFS('ProductSprint Backlog'!$F9="", "", AND('ProductSprint Backlog'!$J9&gt;O$2,'ProductSprint Backlog'!$I9&lt;=O$2), 'ProductSprint Backlog'!$F9 / MAX(1, 'ProductSprint Backlog'!$J9-'ProductSprint Backlog'!$I9), AND('ProductSprint Backlog'!$J9=O$2,'ProductSprint Backlog'!$I9=O$2), 'ProductSprint Backlog'!$F9, TRUE, 0)</f>
        <v>0</v>
      </c>
      <c r="P9" s="4" cm="1">
        <f t="array" ref="P9">_xlfn.IFS('ProductSprint Backlog'!$F9="", "", AND('ProductSprint Backlog'!$J9&gt;P$2,'ProductSprint Backlog'!$I9&lt;=P$2), 'ProductSprint Backlog'!$F9 / MAX(1, 'ProductSprint Backlog'!$J9-'ProductSprint Backlog'!$I9), AND('ProductSprint Backlog'!$J9=P$2,'ProductSprint Backlog'!$I9=P$2), 'ProductSprint Backlog'!$F9, TRUE, 0)</f>
        <v>0</v>
      </c>
      <c r="Q9" s="4" cm="1">
        <f t="array" ref="Q9">_xlfn.IFS('ProductSprint Backlog'!$F9="", "", AND('ProductSprint Backlog'!$J9&gt;Q$2,'ProductSprint Backlog'!$I9&lt;=Q$2), 'ProductSprint Backlog'!$F9 / MAX(1, 'ProductSprint Backlog'!$J9-'ProductSprint Backlog'!$I9), AND('ProductSprint Backlog'!$J9=Q$2,'ProductSprint Backlog'!$I9=Q$2), 'ProductSprint Backlog'!$F9, TRUE, 0)</f>
        <v>0</v>
      </c>
    </row>
    <row r="10" spans="2:17" x14ac:dyDescent="0.2">
      <c r="B10" s="4" cm="1">
        <f t="array" ref="B10">_xlfn.IFS('ProductSprint Backlog'!$F10="", "", AND('ProductSprint Backlog'!$J10&gt;B$2,'ProductSprint Backlog'!$I10&lt;=B$2), 'ProductSprint Backlog'!$F10 / MAX(1, 'ProductSprint Backlog'!$J10-'ProductSprint Backlog'!$I10), AND('ProductSprint Backlog'!$J10=B$2,'ProductSprint Backlog'!$I10=B$2), 'ProductSprint Backlog'!$F10, TRUE, 0)</f>
        <v>0</v>
      </c>
      <c r="C10" s="4" cm="1">
        <f t="array" ref="C10">_xlfn.IFS('ProductSprint Backlog'!$F10="", "", AND('ProductSprint Backlog'!$J10&gt;C$2,'ProductSprint Backlog'!$I10&lt;=C$2), 'ProductSprint Backlog'!$F10 / MAX(1, 'ProductSprint Backlog'!$J10-'ProductSprint Backlog'!$I10), AND('ProductSprint Backlog'!$J10=C$2,'ProductSprint Backlog'!$I10=C$2), 'ProductSprint Backlog'!$F10, TRUE, 0)</f>
        <v>0</v>
      </c>
      <c r="D10" s="4" cm="1">
        <f t="array" ref="D10">_xlfn.IFS('ProductSprint Backlog'!$F10="", "", AND('ProductSprint Backlog'!$J10&gt;D$2,'ProductSprint Backlog'!$I10&lt;=D$2), 'ProductSprint Backlog'!$F10 / MAX(1, 'ProductSprint Backlog'!$J10-'ProductSprint Backlog'!$I10), AND('ProductSprint Backlog'!$J10=D$2,'ProductSprint Backlog'!$I10=D$2), 'ProductSprint Backlog'!$F10, TRUE, 0)</f>
        <v>0</v>
      </c>
      <c r="E10" s="4" cm="1">
        <f t="array" ref="E10">_xlfn.IFS('ProductSprint Backlog'!$F10="", "", AND('ProductSprint Backlog'!$J10&gt;E$2,'ProductSprint Backlog'!$I10&lt;=E$2), 'ProductSprint Backlog'!$F10 / MAX(1, 'ProductSprint Backlog'!$J10-'ProductSprint Backlog'!$I10), AND('ProductSprint Backlog'!$J10=E$2,'ProductSprint Backlog'!$I10=E$2), 'ProductSprint Backlog'!$F10, TRUE, 0)</f>
        <v>0</v>
      </c>
      <c r="F10" s="4" cm="1">
        <f t="array" ref="F10">_xlfn.IFS('ProductSprint Backlog'!$F10="", "", AND('ProductSprint Backlog'!$J10&gt;F$2,'ProductSprint Backlog'!$I10&lt;=F$2), 'ProductSprint Backlog'!$F10 / MAX(1, 'ProductSprint Backlog'!$J10-'ProductSprint Backlog'!$I10), AND('ProductSprint Backlog'!$J10=F$2,'ProductSprint Backlog'!$I10=F$2), 'ProductSprint Backlog'!$F10, TRUE, 0)</f>
        <v>0</v>
      </c>
      <c r="G10" s="4" cm="1">
        <f t="array" ref="G10">_xlfn.IFS('ProductSprint Backlog'!$F10="", "", AND('ProductSprint Backlog'!$J10&gt;G$2,'ProductSprint Backlog'!$I10&lt;=G$2), 'ProductSprint Backlog'!$F10 / MAX(1, 'ProductSprint Backlog'!$J10-'ProductSprint Backlog'!$I10), AND('ProductSprint Backlog'!$J10=G$2,'ProductSprint Backlog'!$I10=G$2), 'ProductSprint Backlog'!$F10, TRUE, 0)</f>
        <v>0</v>
      </c>
      <c r="H10" s="4" cm="1">
        <f t="array" ref="H10">_xlfn.IFS('ProductSprint Backlog'!$F10="", "", AND('ProductSprint Backlog'!$J10&gt;H$2,'ProductSprint Backlog'!$I10&lt;=H$2), 'ProductSprint Backlog'!$F10 / MAX(1, 'ProductSprint Backlog'!$J10-'ProductSprint Backlog'!$I10), AND('ProductSprint Backlog'!$J10=H$2,'ProductSprint Backlog'!$I10=H$2), 'ProductSprint Backlog'!$F10, TRUE, 0)</f>
        <v>0</v>
      </c>
      <c r="I10" s="4" cm="1">
        <f t="array" ref="I10">_xlfn.IFS('ProductSprint Backlog'!$F10="", "", AND('ProductSprint Backlog'!$J10&gt;I$2,'ProductSprint Backlog'!$I10&lt;=I$2), 'ProductSprint Backlog'!$F10 / MAX(1, 'ProductSprint Backlog'!$J10-'ProductSprint Backlog'!$I10), AND('ProductSprint Backlog'!$J10=I$2,'ProductSprint Backlog'!$I10=I$2), 'ProductSprint Backlog'!$F10, TRUE, 0)</f>
        <v>0</v>
      </c>
      <c r="J10" s="4" cm="1">
        <f t="array" ref="J10">_xlfn.IFS('ProductSprint Backlog'!$F10="", "", AND('ProductSprint Backlog'!$J10&gt;J$2,'ProductSprint Backlog'!$I10&lt;=J$2), 'ProductSprint Backlog'!$F10 / MAX(1, 'ProductSprint Backlog'!$J10-'ProductSprint Backlog'!$I10), AND('ProductSprint Backlog'!$J10=J$2,'ProductSprint Backlog'!$I10=J$2), 'ProductSprint Backlog'!$F10, TRUE, 0)</f>
        <v>0</v>
      </c>
      <c r="K10" s="4" cm="1">
        <f t="array" ref="K10">_xlfn.IFS('ProductSprint Backlog'!$F10="", "", AND('ProductSprint Backlog'!$J10&gt;K$2,'ProductSprint Backlog'!$I10&lt;=K$2), 'ProductSprint Backlog'!$F10 / MAX(1, 'ProductSprint Backlog'!$J10-'ProductSprint Backlog'!$I10), AND('ProductSprint Backlog'!$J10=K$2,'ProductSprint Backlog'!$I10=K$2), 'ProductSprint Backlog'!$F10, TRUE, 0)</f>
        <v>0</v>
      </c>
      <c r="L10" s="4" cm="1">
        <f t="array" ref="L10">_xlfn.IFS('ProductSprint Backlog'!$F10="", "", AND('ProductSprint Backlog'!$J10&gt;L$2,'ProductSprint Backlog'!$I10&lt;=L$2), 'ProductSprint Backlog'!$F10 / MAX(1, 'ProductSprint Backlog'!$J10-'ProductSprint Backlog'!$I10), AND('ProductSprint Backlog'!$J10=L$2,'ProductSprint Backlog'!$I10=L$2), 'ProductSprint Backlog'!$F10, TRUE, 0)</f>
        <v>0</v>
      </c>
      <c r="M10" s="4" cm="1">
        <f t="array" ref="M10">_xlfn.IFS('ProductSprint Backlog'!$F10="", "", AND('ProductSprint Backlog'!$J10&gt;M$2,'ProductSprint Backlog'!$I10&lt;=M$2), 'ProductSprint Backlog'!$F10 / MAX(1, 'ProductSprint Backlog'!$J10-'ProductSprint Backlog'!$I10), AND('ProductSprint Backlog'!$J10=M$2,'ProductSprint Backlog'!$I10=M$2), 'ProductSprint Backlog'!$F10, TRUE, 0)</f>
        <v>0</v>
      </c>
      <c r="N10" s="4" cm="1">
        <f t="array" ref="N10">_xlfn.IFS('ProductSprint Backlog'!$F10="", "", AND('ProductSprint Backlog'!$J10&gt;N$2,'ProductSprint Backlog'!$I10&lt;=N$2), 'ProductSprint Backlog'!$F10 / MAX(1, 'ProductSprint Backlog'!$J10-'ProductSprint Backlog'!$I10), AND('ProductSprint Backlog'!$J10=N$2,'ProductSprint Backlog'!$I10=N$2), 'ProductSprint Backlog'!$F10, TRUE, 0)</f>
        <v>0</v>
      </c>
      <c r="O10" s="4" cm="1">
        <f t="array" ref="O10">_xlfn.IFS('ProductSprint Backlog'!$F10="", "", AND('ProductSprint Backlog'!$J10&gt;O$2,'ProductSprint Backlog'!$I10&lt;=O$2), 'ProductSprint Backlog'!$F10 / MAX(1, 'ProductSprint Backlog'!$J10-'ProductSprint Backlog'!$I10), AND('ProductSprint Backlog'!$J10=O$2,'ProductSprint Backlog'!$I10=O$2), 'ProductSprint Backlog'!$F10, TRUE, 0)</f>
        <v>0</v>
      </c>
      <c r="P10" s="4" cm="1">
        <f t="array" ref="P10">_xlfn.IFS('ProductSprint Backlog'!$F10="", "", AND('ProductSprint Backlog'!$J10&gt;P$2,'ProductSprint Backlog'!$I10&lt;=P$2), 'ProductSprint Backlog'!$F10 / MAX(1, 'ProductSprint Backlog'!$J10-'ProductSprint Backlog'!$I10), AND('ProductSprint Backlog'!$J10=P$2,'ProductSprint Backlog'!$I10=P$2), 'ProductSprint Backlog'!$F10, TRUE, 0)</f>
        <v>0</v>
      </c>
      <c r="Q10" s="4" cm="1">
        <f t="array" ref="Q10">_xlfn.IFS('ProductSprint Backlog'!$F10="", "", AND('ProductSprint Backlog'!$J10&gt;Q$2,'ProductSprint Backlog'!$I10&lt;=Q$2), 'ProductSprint Backlog'!$F10 / MAX(1, 'ProductSprint Backlog'!$J10-'ProductSprint Backlog'!$I10), AND('ProductSprint Backlog'!$J10=Q$2,'ProductSprint Backlog'!$I10=Q$2), 'ProductSprint Backlog'!$F10, TRUE, 0)</f>
        <v>0</v>
      </c>
    </row>
    <row r="11" spans="2:17" x14ac:dyDescent="0.2">
      <c r="B11" s="4" cm="1">
        <f t="array" ref="B11">_xlfn.IFS('ProductSprint Backlog'!$F11="", "", AND('ProductSprint Backlog'!$J11&gt;B$2,'ProductSprint Backlog'!$I11&lt;=B$2), 'ProductSprint Backlog'!$F11 / MAX(1, 'ProductSprint Backlog'!$J11-'ProductSprint Backlog'!$I11), AND('ProductSprint Backlog'!$J11=B$2,'ProductSprint Backlog'!$I11=B$2), 'ProductSprint Backlog'!$F11, TRUE, 0)</f>
        <v>0</v>
      </c>
      <c r="C11" s="4" cm="1">
        <f t="array" ref="C11">_xlfn.IFS('ProductSprint Backlog'!$F11="", "", AND('ProductSprint Backlog'!$J11&gt;C$2,'ProductSprint Backlog'!$I11&lt;=C$2), 'ProductSprint Backlog'!$F11 / MAX(1, 'ProductSprint Backlog'!$J11-'ProductSprint Backlog'!$I11), AND('ProductSprint Backlog'!$J11=C$2,'ProductSprint Backlog'!$I11=C$2), 'ProductSprint Backlog'!$F11, TRUE, 0)</f>
        <v>0</v>
      </c>
      <c r="D11" s="4" cm="1">
        <f t="array" ref="D11">_xlfn.IFS('ProductSprint Backlog'!$F11="", "", AND('ProductSprint Backlog'!$J11&gt;D$2,'ProductSprint Backlog'!$I11&lt;=D$2), 'ProductSprint Backlog'!$F11 / MAX(1, 'ProductSprint Backlog'!$J11-'ProductSprint Backlog'!$I11), AND('ProductSprint Backlog'!$J11=D$2,'ProductSprint Backlog'!$I11=D$2), 'ProductSprint Backlog'!$F11, TRUE, 0)</f>
        <v>0</v>
      </c>
      <c r="E11" s="4" cm="1">
        <f t="array" ref="E11">_xlfn.IFS('ProductSprint Backlog'!$F11="", "", AND('ProductSprint Backlog'!$J11&gt;E$2,'ProductSprint Backlog'!$I11&lt;=E$2), 'ProductSprint Backlog'!$F11 / MAX(1, 'ProductSprint Backlog'!$J11-'ProductSprint Backlog'!$I11), AND('ProductSprint Backlog'!$J11=E$2,'ProductSprint Backlog'!$I11=E$2), 'ProductSprint Backlog'!$F11, TRUE, 0)</f>
        <v>0</v>
      </c>
      <c r="F11" s="4" cm="1">
        <f t="array" ref="F11">_xlfn.IFS('ProductSprint Backlog'!$F11="", "", AND('ProductSprint Backlog'!$J11&gt;F$2,'ProductSprint Backlog'!$I11&lt;=F$2), 'ProductSprint Backlog'!$F11 / MAX(1, 'ProductSprint Backlog'!$J11-'ProductSprint Backlog'!$I11), AND('ProductSprint Backlog'!$J11=F$2,'ProductSprint Backlog'!$I11=F$2), 'ProductSprint Backlog'!$F11, TRUE, 0)</f>
        <v>0</v>
      </c>
      <c r="G11" s="4" cm="1">
        <f t="array" ref="G11">_xlfn.IFS('ProductSprint Backlog'!$F11="", "", AND('ProductSprint Backlog'!$J11&gt;G$2,'ProductSprint Backlog'!$I11&lt;=G$2), 'ProductSprint Backlog'!$F11 / MAX(1, 'ProductSprint Backlog'!$J11-'ProductSprint Backlog'!$I11), AND('ProductSprint Backlog'!$J11=G$2,'ProductSprint Backlog'!$I11=G$2), 'ProductSprint Backlog'!$F11, TRUE, 0)</f>
        <v>0</v>
      </c>
      <c r="H11" s="4" cm="1">
        <f t="array" ref="H11">_xlfn.IFS('ProductSprint Backlog'!$F11="", "", AND('ProductSprint Backlog'!$J11&gt;H$2,'ProductSprint Backlog'!$I11&lt;=H$2), 'ProductSprint Backlog'!$F11 / MAX(1, 'ProductSprint Backlog'!$J11-'ProductSprint Backlog'!$I11), AND('ProductSprint Backlog'!$J11=H$2,'ProductSprint Backlog'!$I11=H$2), 'ProductSprint Backlog'!$F11, TRUE, 0)</f>
        <v>0</v>
      </c>
      <c r="I11" s="4" cm="1">
        <f t="array" ref="I11">_xlfn.IFS('ProductSprint Backlog'!$F11="", "", AND('ProductSprint Backlog'!$J11&gt;I$2,'ProductSprint Backlog'!$I11&lt;=I$2), 'ProductSprint Backlog'!$F11 / MAX(1, 'ProductSprint Backlog'!$J11-'ProductSprint Backlog'!$I11), AND('ProductSprint Backlog'!$J11=I$2,'ProductSprint Backlog'!$I11=I$2), 'ProductSprint Backlog'!$F11, TRUE, 0)</f>
        <v>0</v>
      </c>
      <c r="J11" s="4" cm="1">
        <f t="array" ref="J11">_xlfn.IFS('ProductSprint Backlog'!$F11="", "", AND('ProductSprint Backlog'!$J11&gt;J$2,'ProductSprint Backlog'!$I11&lt;=J$2), 'ProductSprint Backlog'!$F11 / MAX(1, 'ProductSprint Backlog'!$J11-'ProductSprint Backlog'!$I11), AND('ProductSprint Backlog'!$J11=J$2,'ProductSprint Backlog'!$I11=J$2), 'ProductSprint Backlog'!$F11, TRUE, 0)</f>
        <v>0</v>
      </c>
      <c r="K11" s="4" cm="1">
        <f t="array" ref="K11">_xlfn.IFS('ProductSprint Backlog'!$F11="", "", AND('ProductSprint Backlog'!$J11&gt;K$2,'ProductSprint Backlog'!$I11&lt;=K$2), 'ProductSprint Backlog'!$F11 / MAX(1, 'ProductSprint Backlog'!$J11-'ProductSprint Backlog'!$I11), AND('ProductSprint Backlog'!$J11=K$2,'ProductSprint Backlog'!$I11=K$2), 'ProductSprint Backlog'!$F11, TRUE, 0)</f>
        <v>0</v>
      </c>
      <c r="L11" s="4" cm="1">
        <f t="array" ref="L11">_xlfn.IFS('ProductSprint Backlog'!$F11="", "", AND('ProductSprint Backlog'!$J11&gt;L$2,'ProductSprint Backlog'!$I11&lt;=L$2), 'ProductSprint Backlog'!$F11 / MAX(1, 'ProductSprint Backlog'!$J11-'ProductSprint Backlog'!$I11), AND('ProductSprint Backlog'!$J11=L$2,'ProductSprint Backlog'!$I11=L$2), 'ProductSprint Backlog'!$F11, TRUE, 0)</f>
        <v>0</v>
      </c>
      <c r="M11" s="4" cm="1">
        <f t="array" ref="M11">_xlfn.IFS('ProductSprint Backlog'!$F11="", "", AND('ProductSprint Backlog'!$J11&gt;M$2,'ProductSprint Backlog'!$I11&lt;=M$2), 'ProductSprint Backlog'!$F11 / MAX(1, 'ProductSprint Backlog'!$J11-'ProductSprint Backlog'!$I11), AND('ProductSprint Backlog'!$J11=M$2,'ProductSprint Backlog'!$I11=M$2), 'ProductSprint Backlog'!$F11, TRUE, 0)</f>
        <v>0</v>
      </c>
      <c r="N11" s="4" cm="1">
        <f t="array" ref="N11">_xlfn.IFS('ProductSprint Backlog'!$F11="", "", AND('ProductSprint Backlog'!$J11&gt;N$2,'ProductSprint Backlog'!$I11&lt;=N$2), 'ProductSprint Backlog'!$F11 / MAX(1, 'ProductSprint Backlog'!$J11-'ProductSprint Backlog'!$I11), AND('ProductSprint Backlog'!$J11=N$2,'ProductSprint Backlog'!$I11=N$2), 'ProductSprint Backlog'!$F11, TRUE, 0)</f>
        <v>0</v>
      </c>
      <c r="O11" s="4" cm="1">
        <f t="array" ref="O11">_xlfn.IFS('ProductSprint Backlog'!$F11="", "", AND('ProductSprint Backlog'!$J11&gt;O$2,'ProductSprint Backlog'!$I11&lt;=O$2), 'ProductSprint Backlog'!$F11 / MAX(1, 'ProductSprint Backlog'!$J11-'ProductSprint Backlog'!$I11), AND('ProductSprint Backlog'!$J11=O$2,'ProductSprint Backlog'!$I11=O$2), 'ProductSprint Backlog'!$F11, TRUE, 0)</f>
        <v>0</v>
      </c>
      <c r="P11" s="4" cm="1">
        <f t="array" ref="P11">_xlfn.IFS('ProductSprint Backlog'!$F11="", "", AND('ProductSprint Backlog'!$J11&gt;P$2,'ProductSprint Backlog'!$I11&lt;=P$2), 'ProductSprint Backlog'!$F11 / MAX(1, 'ProductSprint Backlog'!$J11-'ProductSprint Backlog'!$I11), AND('ProductSprint Backlog'!$J11=P$2,'ProductSprint Backlog'!$I11=P$2), 'ProductSprint Backlog'!$F11, TRUE, 0)</f>
        <v>0</v>
      </c>
      <c r="Q11" s="4" cm="1">
        <f t="array" ref="Q11">_xlfn.IFS('ProductSprint Backlog'!$F11="", "", AND('ProductSprint Backlog'!$J11&gt;Q$2,'ProductSprint Backlog'!$I11&lt;=Q$2), 'ProductSprint Backlog'!$F11 / MAX(1, 'ProductSprint Backlog'!$J11-'ProductSprint Backlog'!$I11), AND('ProductSprint Backlog'!$J11=Q$2,'ProductSprint Backlog'!$I11=Q$2), 'ProductSprint Backlog'!$F11, TRUE, 0)</f>
        <v>0</v>
      </c>
    </row>
    <row r="12" spans="2:17" x14ac:dyDescent="0.2">
      <c r="B12" s="4" cm="1">
        <f t="array" ref="B12">_xlfn.IFS('ProductSprint Backlog'!$F12="", "", AND('ProductSprint Backlog'!$J12&gt;B$2,'ProductSprint Backlog'!$I12&lt;=B$2), 'ProductSprint Backlog'!$F12 / MAX(1, 'ProductSprint Backlog'!$J12-'ProductSprint Backlog'!$I12), AND('ProductSprint Backlog'!$J12=B$2,'ProductSprint Backlog'!$I12=B$2), 'ProductSprint Backlog'!$F12, TRUE, 0)</f>
        <v>0</v>
      </c>
      <c r="C12" s="4" cm="1">
        <f t="array" ref="C12">_xlfn.IFS('ProductSprint Backlog'!$F12="", "", AND('ProductSprint Backlog'!$J12&gt;C$2,'ProductSprint Backlog'!$I12&lt;=C$2), 'ProductSprint Backlog'!$F12 / MAX(1, 'ProductSprint Backlog'!$J12-'ProductSprint Backlog'!$I12), AND('ProductSprint Backlog'!$J12=C$2,'ProductSprint Backlog'!$I12=C$2), 'ProductSprint Backlog'!$F12, TRUE, 0)</f>
        <v>0</v>
      </c>
      <c r="D12" s="4" cm="1">
        <f t="array" ref="D12">_xlfn.IFS('ProductSprint Backlog'!$F12="", "", AND('ProductSprint Backlog'!$J12&gt;D$2,'ProductSprint Backlog'!$I12&lt;=D$2), 'ProductSprint Backlog'!$F12 / MAX(1, 'ProductSprint Backlog'!$J12-'ProductSprint Backlog'!$I12), AND('ProductSprint Backlog'!$J12=D$2,'ProductSprint Backlog'!$I12=D$2), 'ProductSprint Backlog'!$F12, TRUE, 0)</f>
        <v>0</v>
      </c>
      <c r="E12" s="4" cm="1">
        <f t="array" ref="E12">_xlfn.IFS('ProductSprint Backlog'!$F12="", "", AND('ProductSprint Backlog'!$J12&gt;E$2,'ProductSprint Backlog'!$I12&lt;=E$2), 'ProductSprint Backlog'!$F12 / MAX(1, 'ProductSprint Backlog'!$J12-'ProductSprint Backlog'!$I12), AND('ProductSprint Backlog'!$J12=E$2,'ProductSprint Backlog'!$I12=E$2), 'ProductSprint Backlog'!$F12, TRUE, 0)</f>
        <v>0</v>
      </c>
      <c r="F12" s="4" cm="1">
        <f t="array" ref="F12">_xlfn.IFS('ProductSprint Backlog'!$F12="", "", AND('ProductSprint Backlog'!$J12&gt;F$2,'ProductSprint Backlog'!$I12&lt;=F$2), 'ProductSprint Backlog'!$F12 / MAX(1, 'ProductSprint Backlog'!$J12-'ProductSprint Backlog'!$I12), AND('ProductSprint Backlog'!$J12=F$2,'ProductSprint Backlog'!$I12=F$2), 'ProductSprint Backlog'!$F12, TRUE, 0)</f>
        <v>0</v>
      </c>
      <c r="G12" s="4" cm="1">
        <f t="array" ref="G12">_xlfn.IFS('ProductSprint Backlog'!$F12="", "", AND('ProductSprint Backlog'!$J12&gt;G$2,'ProductSprint Backlog'!$I12&lt;=G$2), 'ProductSprint Backlog'!$F12 / MAX(1, 'ProductSprint Backlog'!$J12-'ProductSprint Backlog'!$I12), AND('ProductSprint Backlog'!$J12=G$2,'ProductSprint Backlog'!$I12=G$2), 'ProductSprint Backlog'!$F12, TRUE, 0)</f>
        <v>0</v>
      </c>
      <c r="H12" s="4" cm="1">
        <f t="array" ref="H12">_xlfn.IFS('ProductSprint Backlog'!$F12="", "", AND('ProductSprint Backlog'!$J12&gt;H$2,'ProductSprint Backlog'!$I12&lt;=H$2), 'ProductSprint Backlog'!$F12 / MAX(1, 'ProductSprint Backlog'!$J12-'ProductSprint Backlog'!$I12), AND('ProductSprint Backlog'!$J12=H$2,'ProductSprint Backlog'!$I12=H$2), 'ProductSprint Backlog'!$F12, TRUE, 0)</f>
        <v>0</v>
      </c>
      <c r="I12" s="4" cm="1">
        <f t="array" ref="I12">_xlfn.IFS('ProductSprint Backlog'!$F12="", "", AND('ProductSprint Backlog'!$J12&gt;I$2,'ProductSprint Backlog'!$I12&lt;=I$2), 'ProductSprint Backlog'!$F12 / MAX(1, 'ProductSprint Backlog'!$J12-'ProductSprint Backlog'!$I12), AND('ProductSprint Backlog'!$J12=I$2,'ProductSprint Backlog'!$I12=I$2), 'ProductSprint Backlog'!$F12, TRUE, 0)</f>
        <v>0</v>
      </c>
      <c r="J12" s="4" cm="1">
        <f t="array" ref="J12">_xlfn.IFS('ProductSprint Backlog'!$F12="", "", AND('ProductSprint Backlog'!$J12&gt;J$2,'ProductSprint Backlog'!$I12&lt;=J$2), 'ProductSprint Backlog'!$F12 / MAX(1, 'ProductSprint Backlog'!$J12-'ProductSprint Backlog'!$I12), AND('ProductSprint Backlog'!$J12=J$2,'ProductSprint Backlog'!$I12=J$2), 'ProductSprint Backlog'!$F12, TRUE, 0)</f>
        <v>0</v>
      </c>
      <c r="K12" s="4" cm="1">
        <f t="array" ref="K12">_xlfn.IFS('ProductSprint Backlog'!$F12="", "", AND('ProductSprint Backlog'!$J12&gt;K$2,'ProductSprint Backlog'!$I12&lt;=K$2), 'ProductSprint Backlog'!$F12 / MAX(1, 'ProductSprint Backlog'!$J12-'ProductSprint Backlog'!$I12), AND('ProductSprint Backlog'!$J12=K$2,'ProductSprint Backlog'!$I12=K$2), 'ProductSprint Backlog'!$F12, TRUE, 0)</f>
        <v>0</v>
      </c>
      <c r="L12" s="4" cm="1">
        <f t="array" ref="L12">_xlfn.IFS('ProductSprint Backlog'!$F12="", "", AND('ProductSprint Backlog'!$J12&gt;L$2,'ProductSprint Backlog'!$I12&lt;=L$2), 'ProductSprint Backlog'!$F12 / MAX(1, 'ProductSprint Backlog'!$J12-'ProductSprint Backlog'!$I12), AND('ProductSprint Backlog'!$J12=L$2,'ProductSprint Backlog'!$I12=L$2), 'ProductSprint Backlog'!$F12, TRUE, 0)</f>
        <v>0</v>
      </c>
      <c r="M12" s="4" cm="1">
        <f t="array" ref="M12">_xlfn.IFS('ProductSprint Backlog'!$F12="", "", AND('ProductSprint Backlog'!$J12&gt;M$2,'ProductSprint Backlog'!$I12&lt;=M$2), 'ProductSprint Backlog'!$F12 / MAX(1, 'ProductSprint Backlog'!$J12-'ProductSprint Backlog'!$I12), AND('ProductSprint Backlog'!$J12=M$2,'ProductSprint Backlog'!$I12=M$2), 'ProductSprint Backlog'!$F12, TRUE, 0)</f>
        <v>0</v>
      </c>
      <c r="N12" s="4" cm="1">
        <f t="array" ref="N12">_xlfn.IFS('ProductSprint Backlog'!$F12="", "", AND('ProductSprint Backlog'!$J12&gt;N$2,'ProductSprint Backlog'!$I12&lt;=N$2), 'ProductSprint Backlog'!$F12 / MAX(1, 'ProductSprint Backlog'!$J12-'ProductSprint Backlog'!$I12), AND('ProductSprint Backlog'!$J12=N$2,'ProductSprint Backlog'!$I12=N$2), 'ProductSprint Backlog'!$F12, TRUE, 0)</f>
        <v>0</v>
      </c>
      <c r="O12" s="4" cm="1">
        <f t="array" ref="O12">_xlfn.IFS('ProductSprint Backlog'!$F12="", "", AND('ProductSprint Backlog'!$J12&gt;O$2,'ProductSprint Backlog'!$I12&lt;=O$2), 'ProductSprint Backlog'!$F12 / MAX(1, 'ProductSprint Backlog'!$J12-'ProductSprint Backlog'!$I12), AND('ProductSprint Backlog'!$J12=O$2,'ProductSprint Backlog'!$I12=O$2), 'ProductSprint Backlog'!$F12, TRUE, 0)</f>
        <v>0</v>
      </c>
      <c r="P12" s="4" cm="1">
        <f t="array" ref="P12">_xlfn.IFS('ProductSprint Backlog'!$F12="", "", AND('ProductSprint Backlog'!$J12&gt;P$2,'ProductSprint Backlog'!$I12&lt;=P$2), 'ProductSprint Backlog'!$F12 / MAX(1, 'ProductSprint Backlog'!$J12-'ProductSprint Backlog'!$I12), AND('ProductSprint Backlog'!$J12=P$2,'ProductSprint Backlog'!$I12=P$2), 'ProductSprint Backlog'!$F12, TRUE, 0)</f>
        <v>0</v>
      </c>
      <c r="Q12" s="4" cm="1">
        <f t="array" ref="Q12">_xlfn.IFS('ProductSprint Backlog'!$F12="", "", AND('ProductSprint Backlog'!$J12&gt;Q$2,'ProductSprint Backlog'!$I12&lt;=Q$2), 'ProductSprint Backlog'!$F12 / MAX(1, 'ProductSprint Backlog'!$J12-'ProductSprint Backlog'!$I12), AND('ProductSprint Backlog'!$J12=Q$2,'ProductSprint Backlog'!$I12=Q$2), 'ProductSprint Backlog'!$F12, TRUE, 0)</f>
        <v>0</v>
      </c>
    </row>
    <row r="13" spans="2:17" x14ac:dyDescent="0.2">
      <c r="B13" s="4" t="str" cm="1">
        <f t="array" ref="B13">_xlfn.IFS('ProductSprint Backlog'!$F13="", "", AND('ProductSprint Backlog'!$J13&gt;B$2,'ProductSprint Backlog'!$I13&lt;=B$2), 'ProductSprint Backlog'!$F13 / MAX(1, 'ProductSprint Backlog'!$J13-'ProductSprint Backlog'!$I13), AND('ProductSprint Backlog'!$J13=B$2,'ProductSprint Backlog'!$I13=B$2), 'ProductSprint Backlog'!$F13, TRUE, 0)</f>
        <v/>
      </c>
      <c r="C13" s="4" t="str" cm="1">
        <f t="array" ref="C13">_xlfn.IFS('ProductSprint Backlog'!$F13="", "", AND('ProductSprint Backlog'!$J13&gt;C$2,'ProductSprint Backlog'!$I13&lt;=C$2), 'ProductSprint Backlog'!$F13 / MAX(1, 'ProductSprint Backlog'!$J13-'ProductSprint Backlog'!$I13), AND('ProductSprint Backlog'!$J13=C$2,'ProductSprint Backlog'!$I13=C$2), 'ProductSprint Backlog'!$F13, TRUE, 0)</f>
        <v/>
      </c>
      <c r="D13" s="4" t="str" cm="1">
        <f t="array" ref="D13">_xlfn.IFS('ProductSprint Backlog'!$F13="", "", AND('ProductSprint Backlog'!$J13&gt;D$2,'ProductSprint Backlog'!$I13&lt;=D$2), 'ProductSprint Backlog'!$F13 / MAX(1, 'ProductSprint Backlog'!$J13-'ProductSprint Backlog'!$I13), AND('ProductSprint Backlog'!$J13=D$2,'ProductSprint Backlog'!$I13=D$2), 'ProductSprint Backlog'!$F13, TRUE, 0)</f>
        <v/>
      </c>
      <c r="E13" s="4" t="str" cm="1">
        <f t="array" ref="E13">_xlfn.IFS('ProductSprint Backlog'!$F13="", "", AND('ProductSprint Backlog'!$J13&gt;E$2,'ProductSprint Backlog'!$I13&lt;=E$2), 'ProductSprint Backlog'!$F13 / MAX(1, 'ProductSprint Backlog'!$J13-'ProductSprint Backlog'!$I13), AND('ProductSprint Backlog'!$J13=E$2,'ProductSprint Backlog'!$I13=E$2), 'ProductSprint Backlog'!$F13, TRUE, 0)</f>
        <v/>
      </c>
      <c r="F13" s="4" t="str" cm="1">
        <f t="array" ref="F13">_xlfn.IFS('ProductSprint Backlog'!$F13="", "", AND('ProductSprint Backlog'!$J13&gt;F$2,'ProductSprint Backlog'!$I13&lt;=F$2), 'ProductSprint Backlog'!$F13 / MAX(1, 'ProductSprint Backlog'!$J13-'ProductSprint Backlog'!$I13), AND('ProductSprint Backlog'!$J13=F$2,'ProductSprint Backlog'!$I13=F$2), 'ProductSprint Backlog'!$F13, TRUE, 0)</f>
        <v/>
      </c>
      <c r="G13" s="4" t="str" cm="1">
        <f t="array" ref="G13">_xlfn.IFS('ProductSprint Backlog'!$F13="", "", AND('ProductSprint Backlog'!$J13&gt;G$2,'ProductSprint Backlog'!$I13&lt;=G$2), 'ProductSprint Backlog'!$F13 / MAX(1, 'ProductSprint Backlog'!$J13-'ProductSprint Backlog'!$I13), AND('ProductSprint Backlog'!$J13=G$2,'ProductSprint Backlog'!$I13=G$2), 'ProductSprint Backlog'!$F13, TRUE, 0)</f>
        <v/>
      </c>
      <c r="H13" s="4" t="str" cm="1">
        <f t="array" ref="H13">_xlfn.IFS('ProductSprint Backlog'!$F13="", "", AND('ProductSprint Backlog'!$J13&gt;H$2,'ProductSprint Backlog'!$I13&lt;=H$2), 'ProductSprint Backlog'!$F13 / MAX(1, 'ProductSprint Backlog'!$J13-'ProductSprint Backlog'!$I13), AND('ProductSprint Backlog'!$J13=H$2,'ProductSprint Backlog'!$I13=H$2), 'ProductSprint Backlog'!$F13, TRUE, 0)</f>
        <v/>
      </c>
      <c r="I13" s="4" t="str" cm="1">
        <f t="array" ref="I13">_xlfn.IFS('ProductSprint Backlog'!$F13="", "", AND('ProductSprint Backlog'!$J13&gt;I$2,'ProductSprint Backlog'!$I13&lt;=I$2), 'ProductSprint Backlog'!$F13 / MAX(1, 'ProductSprint Backlog'!$J13-'ProductSprint Backlog'!$I13), AND('ProductSprint Backlog'!$J13=I$2,'ProductSprint Backlog'!$I13=I$2), 'ProductSprint Backlog'!$F13, TRUE, 0)</f>
        <v/>
      </c>
      <c r="J13" s="4" t="str" cm="1">
        <f t="array" ref="J13">_xlfn.IFS('ProductSprint Backlog'!$F13="", "", AND('ProductSprint Backlog'!$J13&gt;J$2,'ProductSprint Backlog'!$I13&lt;=J$2), 'ProductSprint Backlog'!$F13 / MAX(1, 'ProductSprint Backlog'!$J13-'ProductSprint Backlog'!$I13), AND('ProductSprint Backlog'!$J13=J$2,'ProductSprint Backlog'!$I13=J$2), 'ProductSprint Backlog'!$F13, TRUE, 0)</f>
        <v/>
      </c>
      <c r="K13" s="4" t="str" cm="1">
        <f t="array" ref="K13">_xlfn.IFS('ProductSprint Backlog'!$F13="", "", AND('ProductSprint Backlog'!$J13&gt;K$2,'ProductSprint Backlog'!$I13&lt;=K$2), 'ProductSprint Backlog'!$F13 / MAX(1, 'ProductSprint Backlog'!$J13-'ProductSprint Backlog'!$I13), AND('ProductSprint Backlog'!$J13=K$2,'ProductSprint Backlog'!$I13=K$2), 'ProductSprint Backlog'!$F13, TRUE, 0)</f>
        <v/>
      </c>
      <c r="L13" s="4" t="str" cm="1">
        <f t="array" ref="L13">_xlfn.IFS('ProductSprint Backlog'!$F13="", "", AND('ProductSprint Backlog'!$J13&gt;L$2,'ProductSprint Backlog'!$I13&lt;=L$2), 'ProductSprint Backlog'!$F13 / MAX(1, 'ProductSprint Backlog'!$J13-'ProductSprint Backlog'!$I13), AND('ProductSprint Backlog'!$J13=L$2,'ProductSprint Backlog'!$I13=L$2), 'ProductSprint Backlog'!$F13, TRUE, 0)</f>
        <v/>
      </c>
      <c r="M13" s="4" t="str" cm="1">
        <f t="array" ref="M13">_xlfn.IFS('ProductSprint Backlog'!$F13="", "", AND('ProductSprint Backlog'!$J13&gt;M$2,'ProductSprint Backlog'!$I13&lt;=M$2), 'ProductSprint Backlog'!$F13 / MAX(1, 'ProductSprint Backlog'!$J13-'ProductSprint Backlog'!$I13), AND('ProductSprint Backlog'!$J13=M$2,'ProductSprint Backlog'!$I13=M$2), 'ProductSprint Backlog'!$F13, TRUE, 0)</f>
        <v/>
      </c>
      <c r="N13" s="4" t="str" cm="1">
        <f t="array" ref="N13">_xlfn.IFS('ProductSprint Backlog'!$F13="", "", AND('ProductSprint Backlog'!$J13&gt;N$2,'ProductSprint Backlog'!$I13&lt;=N$2), 'ProductSprint Backlog'!$F13 / MAX(1, 'ProductSprint Backlog'!$J13-'ProductSprint Backlog'!$I13), AND('ProductSprint Backlog'!$J13=N$2,'ProductSprint Backlog'!$I13=N$2), 'ProductSprint Backlog'!$F13, TRUE, 0)</f>
        <v/>
      </c>
      <c r="O13" s="4" t="str" cm="1">
        <f t="array" ref="O13">_xlfn.IFS('ProductSprint Backlog'!$F13="", "", AND('ProductSprint Backlog'!$J13&gt;O$2,'ProductSprint Backlog'!$I13&lt;=O$2), 'ProductSprint Backlog'!$F13 / MAX(1, 'ProductSprint Backlog'!$J13-'ProductSprint Backlog'!$I13), AND('ProductSprint Backlog'!$J13=O$2,'ProductSprint Backlog'!$I13=O$2), 'ProductSprint Backlog'!$F13, TRUE, 0)</f>
        <v/>
      </c>
      <c r="P13" s="4" t="str" cm="1">
        <f t="array" ref="P13">_xlfn.IFS('ProductSprint Backlog'!$F13="", "", AND('ProductSprint Backlog'!$J13&gt;P$2,'ProductSprint Backlog'!$I13&lt;=P$2), 'ProductSprint Backlog'!$F13 / MAX(1, 'ProductSprint Backlog'!$J13-'ProductSprint Backlog'!$I13), AND('ProductSprint Backlog'!$J13=P$2,'ProductSprint Backlog'!$I13=P$2), 'ProductSprint Backlog'!$F13, TRUE, 0)</f>
        <v/>
      </c>
      <c r="Q13" s="4" t="str" cm="1">
        <f t="array" ref="Q13">_xlfn.IFS('ProductSprint Backlog'!$F13="", "", AND('ProductSprint Backlog'!$J13&gt;Q$2,'ProductSprint Backlog'!$I13&lt;=Q$2), 'ProductSprint Backlog'!$F13 / MAX(1, 'ProductSprint Backlog'!$J13-'ProductSprint Backlog'!$I13), AND('ProductSprint Backlog'!$J13=Q$2,'ProductSprint Backlog'!$I13=Q$2), 'ProductSprint Backlog'!$F13, TRUE, 0)</f>
        <v/>
      </c>
    </row>
    <row r="14" spans="2:17" x14ac:dyDescent="0.2">
      <c r="B14" s="4" cm="1">
        <f t="array" ref="B14">_xlfn.IFS('ProductSprint Backlog'!$F14="", "", AND('ProductSprint Backlog'!$J14&gt;B$2,'ProductSprint Backlog'!$I14&lt;=B$2), 'ProductSprint Backlog'!$F14 / MAX(1, 'ProductSprint Backlog'!$J14-'ProductSprint Backlog'!$I14), AND('ProductSprint Backlog'!$J14=B$2,'ProductSprint Backlog'!$I14=B$2), 'ProductSprint Backlog'!$F14, TRUE, 0)</f>
        <v>0</v>
      </c>
      <c r="C14" s="4" cm="1">
        <f t="array" ref="C14">_xlfn.IFS('ProductSprint Backlog'!$F14="", "", AND('ProductSprint Backlog'!$J14&gt;C$2,'ProductSprint Backlog'!$I14&lt;=C$2), 'ProductSprint Backlog'!$F14 / MAX(1, 'ProductSprint Backlog'!$J14-'ProductSprint Backlog'!$I14), AND('ProductSprint Backlog'!$J14=C$2,'ProductSprint Backlog'!$I14=C$2), 'ProductSprint Backlog'!$F14, TRUE, 0)</f>
        <v>0</v>
      </c>
      <c r="D14" s="4" cm="1">
        <f t="array" ref="D14">_xlfn.IFS('ProductSprint Backlog'!$F14="", "", AND('ProductSprint Backlog'!$J14&gt;D$2,'ProductSprint Backlog'!$I14&lt;=D$2), 'ProductSprint Backlog'!$F14 / MAX(1, 'ProductSprint Backlog'!$J14-'ProductSprint Backlog'!$I14), AND('ProductSprint Backlog'!$J14=D$2,'ProductSprint Backlog'!$I14=D$2), 'ProductSprint Backlog'!$F14, TRUE, 0)</f>
        <v>0</v>
      </c>
      <c r="E14" s="4" cm="1">
        <f t="array" ref="E14">_xlfn.IFS('ProductSprint Backlog'!$F14="", "", AND('ProductSprint Backlog'!$J14&gt;E$2,'ProductSprint Backlog'!$I14&lt;=E$2), 'ProductSprint Backlog'!$F14 / MAX(1, 'ProductSprint Backlog'!$J14-'ProductSprint Backlog'!$I14), AND('ProductSprint Backlog'!$J14=E$2,'ProductSprint Backlog'!$I14=E$2), 'ProductSprint Backlog'!$F14, TRUE, 0)</f>
        <v>0</v>
      </c>
      <c r="F14" s="4" cm="1">
        <f t="array" ref="F14">_xlfn.IFS('ProductSprint Backlog'!$F14="", "", AND('ProductSprint Backlog'!$J14&gt;F$2,'ProductSprint Backlog'!$I14&lt;=F$2), 'ProductSprint Backlog'!$F14 / MAX(1, 'ProductSprint Backlog'!$J14-'ProductSprint Backlog'!$I14), AND('ProductSprint Backlog'!$J14=F$2,'ProductSprint Backlog'!$I14=F$2), 'ProductSprint Backlog'!$F14, TRUE, 0)</f>
        <v>0</v>
      </c>
      <c r="G14" s="4" cm="1">
        <f t="array" ref="G14">_xlfn.IFS('ProductSprint Backlog'!$F14="", "", AND('ProductSprint Backlog'!$J14&gt;G$2,'ProductSprint Backlog'!$I14&lt;=G$2), 'ProductSprint Backlog'!$F14 / MAX(1, 'ProductSprint Backlog'!$J14-'ProductSprint Backlog'!$I14), AND('ProductSprint Backlog'!$J14=G$2,'ProductSprint Backlog'!$I14=G$2), 'ProductSprint Backlog'!$F14, TRUE, 0)</f>
        <v>0</v>
      </c>
      <c r="H14" s="4" cm="1">
        <f t="array" ref="H14">_xlfn.IFS('ProductSprint Backlog'!$F14="", "", AND('ProductSprint Backlog'!$J14&gt;H$2,'ProductSprint Backlog'!$I14&lt;=H$2), 'ProductSprint Backlog'!$F14 / MAX(1, 'ProductSprint Backlog'!$J14-'ProductSprint Backlog'!$I14), AND('ProductSprint Backlog'!$J14=H$2,'ProductSprint Backlog'!$I14=H$2), 'ProductSprint Backlog'!$F14, TRUE, 0)</f>
        <v>0</v>
      </c>
      <c r="I14" s="4" cm="1">
        <f t="array" ref="I14">_xlfn.IFS('ProductSprint Backlog'!$F14="", "", AND('ProductSprint Backlog'!$J14&gt;I$2,'ProductSprint Backlog'!$I14&lt;=I$2), 'ProductSprint Backlog'!$F14 / MAX(1, 'ProductSprint Backlog'!$J14-'ProductSprint Backlog'!$I14), AND('ProductSprint Backlog'!$J14=I$2,'ProductSprint Backlog'!$I14=I$2), 'ProductSprint Backlog'!$F14, TRUE, 0)</f>
        <v>0</v>
      </c>
      <c r="J14" s="4" cm="1">
        <f t="array" ref="J14">_xlfn.IFS('ProductSprint Backlog'!$F14="", "", AND('ProductSprint Backlog'!$J14&gt;J$2,'ProductSprint Backlog'!$I14&lt;=J$2), 'ProductSprint Backlog'!$F14 / MAX(1, 'ProductSprint Backlog'!$J14-'ProductSprint Backlog'!$I14), AND('ProductSprint Backlog'!$J14=J$2,'ProductSprint Backlog'!$I14=J$2), 'ProductSprint Backlog'!$F14, TRUE, 0)</f>
        <v>0</v>
      </c>
      <c r="K14" s="4" cm="1">
        <f t="array" ref="K14">_xlfn.IFS('ProductSprint Backlog'!$F14="", "", AND('ProductSprint Backlog'!$J14&gt;K$2,'ProductSprint Backlog'!$I14&lt;=K$2), 'ProductSprint Backlog'!$F14 / MAX(1, 'ProductSprint Backlog'!$J14-'ProductSprint Backlog'!$I14), AND('ProductSprint Backlog'!$J14=K$2,'ProductSprint Backlog'!$I14=K$2), 'ProductSprint Backlog'!$F14, TRUE, 0)</f>
        <v>0</v>
      </c>
      <c r="L14" s="4" cm="1">
        <f t="array" ref="L14">_xlfn.IFS('ProductSprint Backlog'!$F14="", "", AND('ProductSprint Backlog'!$J14&gt;L$2,'ProductSprint Backlog'!$I14&lt;=L$2), 'ProductSprint Backlog'!$F14 / MAX(1, 'ProductSprint Backlog'!$J14-'ProductSprint Backlog'!$I14), AND('ProductSprint Backlog'!$J14=L$2,'ProductSprint Backlog'!$I14=L$2), 'ProductSprint Backlog'!$F14, TRUE, 0)</f>
        <v>0</v>
      </c>
      <c r="M14" s="4" cm="1">
        <f t="array" ref="M14">_xlfn.IFS('ProductSprint Backlog'!$F14="", "", AND('ProductSprint Backlog'!$J14&gt;M$2,'ProductSprint Backlog'!$I14&lt;=M$2), 'ProductSprint Backlog'!$F14 / MAX(1, 'ProductSprint Backlog'!$J14-'ProductSprint Backlog'!$I14), AND('ProductSprint Backlog'!$J14=M$2,'ProductSprint Backlog'!$I14=M$2), 'ProductSprint Backlog'!$F14, TRUE, 0)</f>
        <v>0</v>
      </c>
      <c r="N14" s="4" cm="1">
        <f t="array" ref="N14">_xlfn.IFS('ProductSprint Backlog'!$F14="", "", AND('ProductSprint Backlog'!$J14&gt;N$2,'ProductSprint Backlog'!$I14&lt;=N$2), 'ProductSprint Backlog'!$F14 / MAX(1, 'ProductSprint Backlog'!$J14-'ProductSprint Backlog'!$I14), AND('ProductSprint Backlog'!$J14=N$2,'ProductSprint Backlog'!$I14=N$2), 'ProductSprint Backlog'!$F14, TRUE, 0)</f>
        <v>0</v>
      </c>
      <c r="O14" s="4" cm="1">
        <f t="array" ref="O14">_xlfn.IFS('ProductSprint Backlog'!$F14="", "", AND('ProductSprint Backlog'!$J14&gt;O$2,'ProductSprint Backlog'!$I14&lt;=O$2), 'ProductSprint Backlog'!$F14 / MAX(1, 'ProductSprint Backlog'!$J14-'ProductSprint Backlog'!$I14), AND('ProductSprint Backlog'!$J14=O$2,'ProductSprint Backlog'!$I14=O$2), 'ProductSprint Backlog'!$F14, TRUE, 0)</f>
        <v>0</v>
      </c>
      <c r="P14" s="4" cm="1">
        <f t="array" ref="P14">_xlfn.IFS('ProductSprint Backlog'!$F14="", "", AND('ProductSprint Backlog'!$J14&gt;P$2,'ProductSprint Backlog'!$I14&lt;=P$2), 'ProductSprint Backlog'!$F14 / MAX(1, 'ProductSprint Backlog'!$J14-'ProductSprint Backlog'!$I14), AND('ProductSprint Backlog'!$J14=P$2,'ProductSprint Backlog'!$I14=P$2), 'ProductSprint Backlog'!$F14, TRUE, 0)</f>
        <v>0</v>
      </c>
      <c r="Q14" s="4" cm="1">
        <f t="array" ref="Q14">_xlfn.IFS('ProductSprint Backlog'!$F14="", "", AND('ProductSprint Backlog'!$J14&gt;Q$2,'ProductSprint Backlog'!$I14&lt;=Q$2), 'ProductSprint Backlog'!$F14 / MAX(1, 'ProductSprint Backlog'!$J14-'ProductSprint Backlog'!$I14), AND('ProductSprint Backlog'!$J14=Q$2,'ProductSprint Backlog'!$I14=Q$2), 'ProductSprint Backlog'!$F14, TRUE, 0)</f>
        <v>0</v>
      </c>
    </row>
    <row r="15" spans="2:17" x14ac:dyDescent="0.2">
      <c r="B15" s="4" cm="1">
        <f t="array" ref="B15">_xlfn.IFS('ProductSprint Backlog'!$F15="", "", AND('ProductSprint Backlog'!$J15&gt;B$2,'ProductSprint Backlog'!$I15&lt;=B$2), 'ProductSprint Backlog'!$F15 / MAX(1, 'ProductSprint Backlog'!$J15-'ProductSprint Backlog'!$I15), AND('ProductSprint Backlog'!$J15=B$2,'ProductSprint Backlog'!$I15=B$2), 'ProductSprint Backlog'!$F15, TRUE, 0)</f>
        <v>0</v>
      </c>
      <c r="C15" s="4" cm="1">
        <f t="array" ref="C15">_xlfn.IFS('ProductSprint Backlog'!$F15="", "", AND('ProductSprint Backlog'!$J15&gt;C$2,'ProductSprint Backlog'!$I15&lt;=C$2), 'ProductSprint Backlog'!$F15 / MAX(1, 'ProductSprint Backlog'!$J15-'ProductSprint Backlog'!$I15), AND('ProductSprint Backlog'!$J15=C$2,'ProductSprint Backlog'!$I15=C$2), 'ProductSprint Backlog'!$F15, TRUE, 0)</f>
        <v>0</v>
      </c>
      <c r="D15" s="4" cm="1">
        <f t="array" ref="D15">_xlfn.IFS('ProductSprint Backlog'!$F15="", "", AND('ProductSprint Backlog'!$J15&gt;D$2,'ProductSprint Backlog'!$I15&lt;=D$2), 'ProductSprint Backlog'!$F15 / MAX(1, 'ProductSprint Backlog'!$J15-'ProductSprint Backlog'!$I15), AND('ProductSprint Backlog'!$J15=D$2,'ProductSprint Backlog'!$I15=D$2), 'ProductSprint Backlog'!$F15, TRUE, 0)</f>
        <v>0</v>
      </c>
      <c r="E15" s="4" cm="1">
        <f t="array" ref="E15">_xlfn.IFS('ProductSprint Backlog'!$F15="", "", AND('ProductSprint Backlog'!$J15&gt;E$2,'ProductSprint Backlog'!$I15&lt;=E$2), 'ProductSprint Backlog'!$F15 / MAX(1, 'ProductSprint Backlog'!$J15-'ProductSprint Backlog'!$I15), AND('ProductSprint Backlog'!$J15=E$2,'ProductSprint Backlog'!$I15=E$2), 'ProductSprint Backlog'!$F15, TRUE, 0)</f>
        <v>0</v>
      </c>
      <c r="F15" s="4" cm="1">
        <f t="array" ref="F15">_xlfn.IFS('ProductSprint Backlog'!$F15="", "", AND('ProductSprint Backlog'!$J15&gt;F$2,'ProductSprint Backlog'!$I15&lt;=F$2), 'ProductSprint Backlog'!$F15 / MAX(1, 'ProductSprint Backlog'!$J15-'ProductSprint Backlog'!$I15), AND('ProductSprint Backlog'!$J15=F$2,'ProductSprint Backlog'!$I15=F$2), 'ProductSprint Backlog'!$F15, TRUE, 0)</f>
        <v>0</v>
      </c>
      <c r="G15" s="4" cm="1">
        <f t="array" ref="G15">_xlfn.IFS('ProductSprint Backlog'!$F15="", "", AND('ProductSprint Backlog'!$J15&gt;G$2,'ProductSprint Backlog'!$I15&lt;=G$2), 'ProductSprint Backlog'!$F15 / MAX(1, 'ProductSprint Backlog'!$J15-'ProductSprint Backlog'!$I15), AND('ProductSprint Backlog'!$J15=G$2,'ProductSprint Backlog'!$I15=G$2), 'ProductSprint Backlog'!$F15, TRUE, 0)</f>
        <v>0</v>
      </c>
      <c r="H15" s="4" cm="1">
        <f t="array" ref="H15">_xlfn.IFS('ProductSprint Backlog'!$F15="", "", AND('ProductSprint Backlog'!$J15&gt;H$2,'ProductSprint Backlog'!$I15&lt;=H$2), 'ProductSprint Backlog'!$F15 / MAX(1, 'ProductSprint Backlog'!$J15-'ProductSprint Backlog'!$I15), AND('ProductSprint Backlog'!$J15=H$2,'ProductSprint Backlog'!$I15=H$2), 'ProductSprint Backlog'!$F15, TRUE, 0)</f>
        <v>0</v>
      </c>
      <c r="I15" s="4" cm="1">
        <f t="array" ref="I15">_xlfn.IFS('ProductSprint Backlog'!$F15="", "", AND('ProductSprint Backlog'!$J15&gt;I$2,'ProductSprint Backlog'!$I15&lt;=I$2), 'ProductSprint Backlog'!$F15 / MAX(1, 'ProductSprint Backlog'!$J15-'ProductSprint Backlog'!$I15), AND('ProductSprint Backlog'!$J15=I$2,'ProductSprint Backlog'!$I15=I$2), 'ProductSprint Backlog'!$F15, TRUE, 0)</f>
        <v>0</v>
      </c>
      <c r="J15" s="4" cm="1">
        <f t="array" ref="J15">_xlfn.IFS('ProductSprint Backlog'!$F15="", "", AND('ProductSprint Backlog'!$J15&gt;J$2,'ProductSprint Backlog'!$I15&lt;=J$2), 'ProductSprint Backlog'!$F15 / MAX(1, 'ProductSprint Backlog'!$J15-'ProductSprint Backlog'!$I15), AND('ProductSprint Backlog'!$J15=J$2,'ProductSprint Backlog'!$I15=J$2), 'ProductSprint Backlog'!$F15, TRUE, 0)</f>
        <v>0</v>
      </c>
      <c r="K15" s="4" cm="1">
        <f t="array" ref="K15">_xlfn.IFS('ProductSprint Backlog'!$F15="", "", AND('ProductSprint Backlog'!$J15&gt;K$2,'ProductSprint Backlog'!$I15&lt;=K$2), 'ProductSprint Backlog'!$F15 / MAX(1, 'ProductSprint Backlog'!$J15-'ProductSprint Backlog'!$I15), AND('ProductSprint Backlog'!$J15=K$2,'ProductSprint Backlog'!$I15=K$2), 'ProductSprint Backlog'!$F15, TRUE, 0)</f>
        <v>0</v>
      </c>
      <c r="L15" s="4" cm="1">
        <f t="array" ref="L15">_xlfn.IFS('ProductSprint Backlog'!$F15="", "", AND('ProductSprint Backlog'!$J15&gt;L$2,'ProductSprint Backlog'!$I15&lt;=L$2), 'ProductSprint Backlog'!$F15 / MAX(1, 'ProductSprint Backlog'!$J15-'ProductSprint Backlog'!$I15), AND('ProductSprint Backlog'!$J15=L$2,'ProductSprint Backlog'!$I15=L$2), 'ProductSprint Backlog'!$F15, TRUE, 0)</f>
        <v>0</v>
      </c>
      <c r="M15" s="4" cm="1">
        <f t="array" ref="M15">_xlfn.IFS('ProductSprint Backlog'!$F15="", "", AND('ProductSprint Backlog'!$J15&gt;M$2,'ProductSprint Backlog'!$I15&lt;=M$2), 'ProductSprint Backlog'!$F15 / MAX(1, 'ProductSprint Backlog'!$J15-'ProductSprint Backlog'!$I15), AND('ProductSprint Backlog'!$J15=M$2,'ProductSprint Backlog'!$I15=M$2), 'ProductSprint Backlog'!$F15, TRUE, 0)</f>
        <v>0</v>
      </c>
      <c r="N15" s="4" cm="1">
        <f t="array" ref="N15">_xlfn.IFS('ProductSprint Backlog'!$F15="", "", AND('ProductSprint Backlog'!$J15&gt;N$2,'ProductSprint Backlog'!$I15&lt;=N$2), 'ProductSprint Backlog'!$F15 / MAX(1, 'ProductSprint Backlog'!$J15-'ProductSprint Backlog'!$I15), AND('ProductSprint Backlog'!$J15=N$2,'ProductSprint Backlog'!$I15=N$2), 'ProductSprint Backlog'!$F15, TRUE, 0)</f>
        <v>0</v>
      </c>
      <c r="O15" s="4" cm="1">
        <f t="array" ref="O15">_xlfn.IFS('ProductSprint Backlog'!$F15="", "", AND('ProductSprint Backlog'!$J15&gt;O$2,'ProductSprint Backlog'!$I15&lt;=O$2), 'ProductSprint Backlog'!$F15 / MAX(1, 'ProductSprint Backlog'!$J15-'ProductSprint Backlog'!$I15), AND('ProductSprint Backlog'!$J15=O$2,'ProductSprint Backlog'!$I15=O$2), 'ProductSprint Backlog'!$F15, TRUE, 0)</f>
        <v>0</v>
      </c>
      <c r="P15" s="4" cm="1">
        <f t="array" ref="P15">_xlfn.IFS('ProductSprint Backlog'!$F15="", "", AND('ProductSprint Backlog'!$J15&gt;P$2,'ProductSprint Backlog'!$I15&lt;=P$2), 'ProductSprint Backlog'!$F15 / MAX(1, 'ProductSprint Backlog'!$J15-'ProductSprint Backlog'!$I15), AND('ProductSprint Backlog'!$J15=P$2,'ProductSprint Backlog'!$I15=P$2), 'ProductSprint Backlog'!$F15, TRUE, 0)</f>
        <v>0</v>
      </c>
      <c r="Q15" s="4" cm="1">
        <f t="array" ref="Q15">_xlfn.IFS('ProductSprint Backlog'!$F15="", "", AND('ProductSprint Backlog'!$J15&gt;Q$2,'ProductSprint Backlog'!$I15&lt;=Q$2), 'ProductSprint Backlog'!$F15 / MAX(1, 'ProductSprint Backlog'!$J15-'ProductSprint Backlog'!$I15), AND('ProductSprint Backlog'!$J15=Q$2,'ProductSprint Backlog'!$I15=Q$2), 'ProductSprint Backlog'!$F15, TRUE, 0)</f>
        <v>0</v>
      </c>
    </row>
    <row r="16" spans="2:17" x14ac:dyDescent="0.2">
      <c r="B16" s="4" cm="1">
        <f t="array" ref="B16">_xlfn.IFS('ProductSprint Backlog'!$F16="", "", AND('ProductSprint Backlog'!$J16&gt;B$2,'ProductSprint Backlog'!$I16&lt;=B$2), 'ProductSprint Backlog'!$F16 / MAX(1, 'ProductSprint Backlog'!$J16-'ProductSprint Backlog'!$I16), AND('ProductSprint Backlog'!$J16=B$2,'ProductSprint Backlog'!$I16=B$2), 'ProductSprint Backlog'!$F16, TRUE, 0)</f>
        <v>0</v>
      </c>
      <c r="C16" s="4" cm="1">
        <f t="array" ref="C16">_xlfn.IFS('ProductSprint Backlog'!$F16="", "", AND('ProductSprint Backlog'!$J16&gt;C$2,'ProductSprint Backlog'!$I16&lt;=C$2), 'ProductSprint Backlog'!$F16 / MAX(1, 'ProductSprint Backlog'!$J16-'ProductSprint Backlog'!$I16), AND('ProductSprint Backlog'!$J16=C$2,'ProductSprint Backlog'!$I16=C$2), 'ProductSprint Backlog'!$F16, TRUE, 0)</f>
        <v>0</v>
      </c>
      <c r="D16" s="4" cm="1">
        <f t="array" ref="D16">_xlfn.IFS('ProductSprint Backlog'!$F16="", "", AND('ProductSprint Backlog'!$J16&gt;D$2,'ProductSprint Backlog'!$I16&lt;=D$2), 'ProductSprint Backlog'!$F16 / MAX(1, 'ProductSprint Backlog'!$J16-'ProductSprint Backlog'!$I16), AND('ProductSprint Backlog'!$J16=D$2,'ProductSprint Backlog'!$I16=D$2), 'ProductSprint Backlog'!$F16, TRUE, 0)</f>
        <v>0</v>
      </c>
      <c r="E16" s="4" cm="1">
        <f t="array" ref="E16">_xlfn.IFS('ProductSprint Backlog'!$F16="", "", AND('ProductSprint Backlog'!$J16&gt;E$2,'ProductSprint Backlog'!$I16&lt;=E$2), 'ProductSprint Backlog'!$F16 / MAX(1, 'ProductSprint Backlog'!$J16-'ProductSprint Backlog'!$I16), AND('ProductSprint Backlog'!$J16=E$2,'ProductSprint Backlog'!$I16=E$2), 'ProductSprint Backlog'!$F16, TRUE, 0)</f>
        <v>0</v>
      </c>
      <c r="F16" s="4" cm="1">
        <f t="array" ref="F16">_xlfn.IFS('ProductSprint Backlog'!$F16="", "", AND('ProductSprint Backlog'!$J16&gt;F$2,'ProductSprint Backlog'!$I16&lt;=F$2), 'ProductSprint Backlog'!$F16 / MAX(1, 'ProductSprint Backlog'!$J16-'ProductSprint Backlog'!$I16), AND('ProductSprint Backlog'!$J16=F$2,'ProductSprint Backlog'!$I16=F$2), 'ProductSprint Backlog'!$F16, TRUE, 0)</f>
        <v>0</v>
      </c>
      <c r="G16" s="4" cm="1">
        <f t="array" ref="G16">_xlfn.IFS('ProductSprint Backlog'!$F16="", "", AND('ProductSprint Backlog'!$J16&gt;G$2,'ProductSprint Backlog'!$I16&lt;=G$2), 'ProductSprint Backlog'!$F16 / MAX(1, 'ProductSprint Backlog'!$J16-'ProductSprint Backlog'!$I16), AND('ProductSprint Backlog'!$J16=G$2,'ProductSprint Backlog'!$I16=G$2), 'ProductSprint Backlog'!$F16, TRUE, 0)</f>
        <v>0</v>
      </c>
      <c r="H16" s="4" cm="1">
        <f t="array" ref="H16">_xlfn.IFS('ProductSprint Backlog'!$F16="", "", AND('ProductSprint Backlog'!$J16&gt;H$2,'ProductSprint Backlog'!$I16&lt;=H$2), 'ProductSprint Backlog'!$F16 / MAX(1, 'ProductSprint Backlog'!$J16-'ProductSprint Backlog'!$I16), AND('ProductSprint Backlog'!$J16=H$2,'ProductSprint Backlog'!$I16=H$2), 'ProductSprint Backlog'!$F16, TRUE, 0)</f>
        <v>0</v>
      </c>
      <c r="I16" s="4" cm="1">
        <f t="array" ref="I16">_xlfn.IFS('ProductSprint Backlog'!$F16="", "", AND('ProductSprint Backlog'!$J16&gt;I$2,'ProductSprint Backlog'!$I16&lt;=I$2), 'ProductSprint Backlog'!$F16 / MAX(1, 'ProductSprint Backlog'!$J16-'ProductSprint Backlog'!$I16), AND('ProductSprint Backlog'!$J16=I$2,'ProductSprint Backlog'!$I16=I$2), 'ProductSprint Backlog'!$F16, TRUE, 0)</f>
        <v>0</v>
      </c>
      <c r="J16" s="4" cm="1">
        <f t="array" ref="J16">_xlfn.IFS('ProductSprint Backlog'!$F16="", "", AND('ProductSprint Backlog'!$J16&gt;J$2,'ProductSprint Backlog'!$I16&lt;=J$2), 'ProductSprint Backlog'!$F16 / MAX(1, 'ProductSprint Backlog'!$J16-'ProductSprint Backlog'!$I16), AND('ProductSprint Backlog'!$J16=J$2,'ProductSprint Backlog'!$I16=J$2), 'ProductSprint Backlog'!$F16, TRUE, 0)</f>
        <v>0</v>
      </c>
      <c r="K16" s="4" cm="1">
        <f t="array" ref="K16">_xlfn.IFS('ProductSprint Backlog'!$F16="", "", AND('ProductSprint Backlog'!$J16&gt;K$2,'ProductSprint Backlog'!$I16&lt;=K$2), 'ProductSprint Backlog'!$F16 / MAX(1, 'ProductSprint Backlog'!$J16-'ProductSprint Backlog'!$I16), AND('ProductSprint Backlog'!$J16=K$2,'ProductSprint Backlog'!$I16=K$2), 'ProductSprint Backlog'!$F16, TRUE, 0)</f>
        <v>0</v>
      </c>
      <c r="L16" s="4" cm="1">
        <f t="array" ref="L16">_xlfn.IFS('ProductSprint Backlog'!$F16="", "", AND('ProductSprint Backlog'!$J16&gt;L$2,'ProductSprint Backlog'!$I16&lt;=L$2), 'ProductSprint Backlog'!$F16 / MAX(1, 'ProductSprint Backlog'!$J16-'ProductSprint Backlog'!$I16), AND('ProductSprint Backlog'!$J16=L$2,'ProductSprint Backlog'!$I16=L$2), 'ProductSprint Backlog'!$F16, TRUE, 0)</f>
        <v>0</v>
      </c>
      <c r="M16" s="4" cm="1">
        <f t="array" ref="M16">_xlfn.IFS('ProductSprint Backlog'!$F16="", "", AND('ProductSprint Backlog'!$J16&gt;M$2,'ProductSprint Backlog'!$I16&lt;=M$2), 'ProductSprint Backlog'!$F16 / MAX(1, 'ProductSprint Backlog'!$J16-'ProductSprint Backlog'!$I16), AND('ProductSprint Backlog'!$J16=M$2,'ProductSprint Backlog'!$I16=M$2), 'ProductSprint Backlog'!$F16, TRUE, 0)</f>
        <v>0</v>
      </c>
      <c r="N16" s="4" cm="1">
        <f t="array" ref="N16">_xlfn.IFS('ProductSprint Backlog'!$F16="", "", AND('ProductSprint Backlog'!$J16&gt;N$2,'ProductSprint Backlog'!$I16&lt;=N$2), 'ProductSprint Backlog'!$F16 / MAX(1, 'ProductSprint Backlog'!$J16-'ProductSprint Backlog'!$I16), AND('ProductSprint Backlog'!$J16=N$2,'ProductSprint Backlog'!$I16=N$2), 'ProductSprint Backlog'!$F16, TRUE, 0)</f>
        <v>0</v>
      </c>
      <c r="O16" s="4" cm="1">
        <f t="array" ref="O16">_xlfn.IFS('ProductSprint Backlog'!$F16="", "", AND('ProductSprint Backlog'!$J16&gt;O$2,'ProductSprint Backlog'!$I16&lt;=O$2), 'ProductSprint Backlog'!$F16 / MAX(1, 'ProductSprint Backlog'!$J16-'ProductSprint Backlog'!$I16), AND('ProductSprint Backlog'!$J16=O$2,'ProductSprint Backlog'!$I16=O$2), 'ProductSprint Backlog'!$F16, TRUE, 0)</f>
        <v>0</v>
      </c>
      <c r="P16" s="4" cm="1">
        <f t="array" ref="P16">_xlfn.IFS('ProductSprint Backlog'!$F16="", "", AND('ProductSprint Backlog'!$J16&gt;P$2,'ProductSprint Backlog'!$I16&lt;=P$2), 'ProductSprint Backlog'!$F16 / MAX(1, 'ProductSprint Backlog'!$J16-'ProductSprint Backlog'!$I16), AND('ProductSprint Backlog'!$J16=P$2,'ProductSprint Backlog'!$I16=P$2), 'ProductSprint Backlog'!$F16, TRUE, 0)</f>
        <v>0</v>
      </c>
      <c r="Q16" s="4" cm="1">
        <f t="array" ref="Q16">_xlfn.IFS('ProductSprint Backlog'!$F16="", "", AND('ProductSprint Backlog'!$J16&gt;Q$2,'ProductSprint Backlog'!$I16&lt;=Q$2), 'ProductSprint Backlog'!$F16 / MAX(1, 'ProductSprint Backlog'!$J16-'ProductSprint Backlog'!$I16), AND('ProductSprint Backlog'!$J16=Q$2,'ProductSprint Backlog'!$I16=Q$2), 'ProductSprint Backlog'!$F16, TRUE, 0)</f>
        <v>0</v>
      </c>
    </row>
    <row r="17" spans="2:17" x14ac:dyDescent="0.2">
      <c r="B17" s="4" cm="1">
        <f t="array" ref="B17">_xlfn.IFS('ProductSprint Backlog'!$F17="", "", AND('ProductSprint Backlog'!$J17&gt;B$2,'ProductSprint Backlog'!$I17&lt;=B$2), 'ProductSprint Backlog'!$F17 / MAX(1, 'ProductSprint Backlog'!$J17-'ProductSprint Backlog'!$I17), AND('ProductSprint Backlog'!$J17=B$2,'ProductSprint Backlog'!$I17=B$2), 'ProductSprint Backlog'!$F17, TRUE, 0)</f>
        <v>0</v>
      </c>
      <c r="C17" s="4" cm="1">
        <f t="array" ref="C17">_xlfn.IFS('ProductSprint Backlog'!$F17="", "", AND('ProductSprint Backlog'!$J17&gt;C$2,'ProductSprint Backlog'!$I17&lt;=C$2), 'ProductSprint Backlog'!$F17 / MAX(1, 'ProductSprint Backlog'!$J17-'ProductSprint Backlog'!$I17), AND('ProductSprint Backlog'!$J17=C$2,'ProductSprint Backlog'!$I17=C$2), 'ProductSprint Backlog'!$F17, TRUE, 0)</f>
        <v>0</v>
      </c>
      <c r="D17" s="4" cm="1">
        <f t="array" ref="D17">_xlfn.IFS('ProductSprint Backlog'!$F17="", "", AND('ProductSprint Backlog'!$J17&gt;D$2,'ProductSprint Backlog'!$I17&lt;=D$2), 'ProductSprint Backlog'!$F17 / MAX(1, 'ProductSprint Backlog'!$J17-'ProductSprint Backlog'!$I17), AND('ProductSprint Backlog'!$J17=D$2,'ProductSprint Backlog'!$I17=D$2), 'ProductSprint Backlog'!$F17, TRUE, 0)</f>
        <v>0</v>
      </c>
      <c r="E17" s="4" cm="1">
        <f t="array" ref="E17">_xlfn.IFS('ProductSprint Backlog'!$F17="", "", AND('ProductSprint Backlog'!$J17&gt;E$2,'ProductSprint Backlog'!$I17&lt;=E$2), 'ProductSprint Backlog'!$F17 / MAX(1, 'ProductSprint Backlog'!$J17-'ProductSprint Backlog'!$I17), AND('ProductSprint Backlog'!$J17=E$2,'ProductSprint Backlog'!$I17=E$2), 'ProductSprint Backlog'!$F17, TRUE, 0)</f>
        <v>0</v>
      </c>
      <c r="F17" s="4" cm="1">
        <f t="array" ref="F17">_xlfn.IFS('ProductSprint Backlog'!$F17="", "", AND('ProductSprint Backlog'!$J17&gt;F$2,'ProductSprint Backlog'!$I17&lt;=F$2), 'ProductSprint Backlog'!$F17 / MAX(1, 'ProductSprint Backlog'!$J17-'ProductSprint Backlog'!$I17), AND('ProductSprint Backlog'!$J17=F$2,'ProductSprint Backlog'!$I17=F$2), 'ProductSprint Backlog'!$F17, TRUE, 0)</f>
        <v>0</v>
      </c>
      <c r="G17" s="4" cm="1">
        <f t="array" ref="G17">_xlfn.IFS('ProductSprint Backlog'!$F17="", "", AND('ProductSprint Backlog'!$J17&gt;G$2,'ProductSprint Backlog'!$I17&lt;=G$2), 'ProductSprint Backlog'!$F17 / MAX(1, 'ProductSprint Backlog'!$J17-'ProductSprint Backlog'!$I17), AND('ProductSprint Backlog'!$J17=G$2,'ProductSprint Backlog'!$I17=G$2), 'ProductSprint Backlog'!$F17, TRUE, 0)</f>
        <v>0</v>
      </c>
      <c r="H17" s="4" cm="1">
        <f t="array" ref="H17">_xlfn.IFS('ProductSprint Backlog'!$F17="", "", AND('ProductSprint Backlog'!$J17&gt;H$2,'ProductSprint Backlog'!$I17&lt;=H$2), 'ProductSprint Backlog'!$F17 / MAX(1, 'ProductSprint Backlog'!$J17-'ProductSprint Backlog'!$I17), AND('ProductSprint Backlog'!$J17=H$2,'ProductSprint Backlog'!$I17=H$2), 'ProductSprint Backlog'!$F17, TRUE, 0)</f>
        <v>0</v>
      </c>
      <c r="I17" s="4" cm="1">
        <f t="array" ref="I17">_xlfn.IFS('ProductSprint Backlog'!$F17="", "", AND('ProductSprint Backlog'!$J17&gt;I$2,'ProductSprint Backlog'!$I17&lt;=I$2), 'ProductSprint Backlog'!$F17 / MAX(1, 'ProductSprint Backlog'!$J17-'ProductSprint Backlog'!$I17), AND('ProductSprint Backlog'!$J17=I$2,'ProductSprint Backlog'!$I17=I$2), 'ProductSprint Backlog'!$F17, TRUE, 0)</f>
        <v>0</v>
      </c>
      <c r="J17" s="4" cm="1">
        <f t="array" ref="J17">_xlfn.IFS('ProductSprint Backlog'!$F17="", "", AND('ProductSprint Backlog'!$J17&gt;J$2,'ProductSprint Backlog'!$I17&lt;=J$2), 'ProductSprint Backlog'!$F17 / MAX(1, 'ProductSprint Backlog'!$J17-'ProductSprint Backlog'!$I17), AND('ProductSprint Backlog'!$J17=J$2,'ProductSprint Backlog'!$I17=J$2), 'ProductSprint Backlog'!$F17, TRUE, 0)</f>
        <v>0</v>
      </c>
      <c r="K17" s="4" cm="1">
        <f t="array" ref="K17">_xlfn.IFS('ProductSprint Backlog'!$F17="", "", AND('ProductSprint Backlog'!$J17&gt;K$2,'ProductSprint Backlog'!$I17&lt;=K$2), 'ProductSprint Backlog'!$F17 / MAX(1, 'ProductSprint Backlog'!$J17-'ProductSprint Backlog'!$I17), AND('ProductSprint Backlog'!$J17=K$2,'ProductSprint Backlog'!$I17=K$2), 'ProductSprint Backlog'!$F17, TRUE, 0)</f>
        <v>0</v>
      </c>
      <c r="L17" s="4" cm="1">
        <f t="array" ref="L17">_xlfn.IFS('ProductSprint Backlog'!$F17="", "", AND('ProductSprint Backlog'!$J17&gt;L$2,'ProductSprint Backlog'!$I17&lt;=L$2), 'ProductSprint Backlog'!$F17 / MAX(1, 'ProductSprint Backlog'!$J17-'ProductSprint Backlog'!$I17), AND('ProductSprint Backlog'!$J17=L$2,'ProductSprint Backlog'!$I17=L$2), 'ProductSprint Backlog'!$F17, TRUE, 0)</f>
        <v>0</v>
      </c>
      <c r="M17" s="4" cm="1">
        <f t="array" ref="M17">_xlfn.IFS('ProductSprint Backlog'!$F17="", "", AND('ProductSprint Backlog'!$J17&gt;M$2,'ProductSprint Backlog'!$I17&lt;=M$2), 'ProductSprint Backlog'!$F17 / MAX(1, 'ProductSprint Backlog'!$J17-'ProductSprint Backlog'!$I17), AND('ProductSprint Backlog'!$J17=M$2,'ProductSprint Backlog'!$I17=M$2), 'ProductSprint Backlog'!$F17, TRUE, 0)</f>
        <v>0</v>
      </c>
      <c r="N17" s="4" cm="1">
        <f t="array" ref="N17">_xlfn.IFS('ProductSprint Backlog'!$F17="", "", AND('ProductSprint Backlog'!$J17&gt;N$2,'ProductSprint Backlog'!$I17&lt;=N$2), 'ProductSprint Backlog'!$F17 / MAX(1, 'ProductSprint Backlog'!$J17-'ProductSprint Backlog'!$I17), AND('ProductSprint Backlog'!$J17=N$2,'ProductSprint Backlog'!$I17=N$2), 'ProductSprint Backlog'!$F17, TRUE, 0)</f>
        <v>0</v>
      </c>
      <c r="O17" s="4" cm="1">
        <f t="array" ref="O17">_xlfn.IFS('ProductSprint Backlog'!$F17="", "", AND('ProductSprint Backlog'!$J17&gt;O$2,'ProductSprint Backlog'!$I17&lt;=O$2), 'ProductSprint Backlog'!$F17 / MAX(1, 'ProductSprint Backlog'!$J17-'ProductSprint Backlog'!$I17), AND('ProductSprint Backlog'!$J17=O$2,'ProductSprint Backlog'!$I17=O$2), 'ProductSprint Backlog'!$F17, TRUE, 0)</f>
        <v>0</v>
      </c>
      <c r="P17" s="4" cm="1">
        <f t="array" ref="P17">_xlfn.IFS('ProductSprint Backlog'!$F17="", "", AND('ProductSprint Backlog'!$J17&gt;P$2,'ProductSprint Backlog'!$I17&lt;=P$2), 'ProductSprint Backlog'!$F17 / MAX(1, 'ProductSprint Backlog'!$J17-'ProductSprint Backlog'!$I17), AND('ProductSprint Backlog'!$J17=P$2,'ProductSprint Backlog'!$I17=P$2), 'ProductSprint Backlog'!$F17, TRUE, 0)</f>
        <v>0</v>
      </c>
      <c r="Q17" s="4" cm="1">
        <f t="array" ref="Q17">_xlfn.IFS('ProductSprint Backlog'!$F17="", "", AND('ProductSprint Backlog'!$J17&gt;Q$2,'ProductSprint Backlog'!$I17&lt;=Q$2), 'ProductSprint Backlog'!$F17 / MAX(1, 'ProductSprint Backlog'!$J17-'ProductSprint Backlog'!$I17), AND('ProductSprint Backlog'!$J17=Q$2,'ProductSprint Backlog'!$I17=Q$2), 'ProductSprint Backlog'!$F17, TRUE, 0)</f>
        <v>0</v>
      </c>
    </row>
    <row r="18" spans="2:17" x14ac:dyDescent="0.2">
      <c r="B18" s="4" t="str" cm="1">
        <f t="array" ref="B18">_xlfn.IFS('ProductSprint Backlog'!$F18="", "", AND('ProductSprint Backlog'!$J18&gt;B$2,'ProductSprint Backlog'!$I18&lt;=B$2), 'ProductSprint Backlog'!$F18 / MAX(1, 'ProductSprint Backlog'!$J18-'ProductSprint Backlog'!$I18), AND('ProductSprint Backlog'!$J18=B$2,'ProductSprint Backlog'!$I18=B$2), 'ProductSprint Backlog'!$F18, TRUE, 0)</f>
        <v/>
      </c>
      <c r="C18" s="4" t="str" cm="1">
        <f t="array" ref="C18">_xlfn.IFS('ProductSprint Backlog'!$F18="", "", AND('ProductSprint Backlog'!$J18&gt;C$2,'ProductSprint Backlog'!$I18&lt;=C$2), 'ProductSprint Backlog'!$F18 / MAX(1, 'ProductSprint Backlog'!$J18-'ProductSprint Backlog'!$I18), AND('ProductSprint Backlog'!$J18=C$2,'ProductSprint Backlog'!$I18=C$2), 'ProductSprint Backlog'!$F18, TRUE, 0)</f>
        <v/>
      </c>
      <c r="D18" s="4" t="str" cm="1">
        <f t="array" ref="D18">_xlfn.IFS('ProductSprint Backlog'!$F18="", "", AND('ProductSprint Backlog'!$J18&gt;D$2,'ProductSprint Backlog'!$I18&lt;=D$2), 'ProductSprint Backlog'!$F18 / MAX(1, 'ProductSprint Backlog'!$J18-'ProductSprint Backlog'!$I18), AND('ProductSprint Backlog'!$J18=D$2,'ProductSprint Backlog'!$I18=D$2), 'ProductSprint Backlog'!$F18, TRUE, 0)</f>
        <v/>
      </c>
      <c r="E18" s="4" t="str" cm="1">
        <f t="array" ref="E18">_xlfn.IFS('ProductSprint Backlog'!$F18="", "", AND('ProductSprint Backlog'!$J18&gt;E$2,'ProductSprint Backlog'!$I18&lt;=E$2), 'ProductSprint Backlog'!$F18 / MAX(1, 'ProductSprint Backlog'!$J18-'ProductSprint Backlog'!$I18), AND('ProductSprint Backlog'!$J18=E$2,'ProductSprint Backlog'!$I18=E$2), 'ProductSprint Backlog'!$F18, TRUE, 0)</f>
        <v/>
      </c>
      <c r="F18" s="4" t="str" cm="1">
        <f t="array" ref="F18">_xlfn.IFS('ProductSprint Backlog'!$F18="", "", AND('ProductSprint Backlog'!$J18&gt;F$2,'ProductSprint Backlog'!$I18&lt;=F$2), 'ProductSprint Backlog'!$F18 / MAX(1, 'ProductSprint Backlog'!$J18-'ProductSprint Backlog'!$I18), AND('ProductSprint Backlog'!$J18=F$2,'ProductSprint Backlog'!$I18=F$2), 'ProductSprint Backlog'!$F18, TRUE, 0)</f>
        <v/>
      </c>
      <c r="G18" s="4" t="str" cm="1">
        <f t="array" ref="G18">_xlfn.IFS('ProductSprint Backlog'!$F18="", "", AND('ProductSprint Backlog'!$J18&gt;G$2,'ProductSprint Backlog'!$I18&lt;=G$2), 'ProductSprint Backlog'!$F18 / MAX(1, 'ProductSprint Backlog'!$J18-'ProductSprint Backlog'!$I18), AND('ProductSprint Backlog'!$J18=G$2,'ProductSprint Backlog'!$I18=G$2), 'ProductSprint Backlog'!$F18, TRUE, 0)</f>
        <v/>
      </c>
      <c r="H18" s="4" t="str" cm="1">
        <f t="array" ref="H18">_xlfn.IFS('ProductSprint Backlog'!$F18="", "", AND('ProductSprint Backlog'!$J18&gt;H$2,'ProductSprint Backlog'!$I18&lt;=H$2), 'ProductSprint Backlog'!$F18 / MAX(1, 'ProductSprint Backlog'!$J18-'ProductSprint Backlog'!$I18), AND('ProductSprint Backlog'!$J18=H$2,'ProductSprint Backlog'!$I18=H$2), 'ProductSprint Backlog'!$F18, TRUE, 0)</f>
        <v/>
      </c>
      <c r="I18" s="4" t="str" cm="1">
        <f t="array" ref="I18">_xlfn.IFS('ProductSprint Backlog'!$F18="", "", AND('ProductSprint Backlog'!$J18&gt;I$2,'ProductSprint Backlog'!$I18&lt;=I$2), 'ProductSprint Backlog'!$F18 / MAX(1, 'ProductSprint Backlog'!$J18-'ProductSprint Backlog'!$I18), AND('ProductSprint Backlog'!$J18=I$2,'ProductSprint Backlog'!$I18=I$2), 'ProductSprint Backlog'!$F18, TRUE, 0)</f>
        <v/>
      </c>
      <c r="J18" s="4" t="str" cm="1">
        <f t="array" ref="J18">_xlfn.IFS('ProductSprint Backlog'!$F18="", "", AND('ProductSprint Backlog'!$J18&gt;J$2,'ProductSprint Backlog'!$I18&lt;=J$2), 'ProductSprint Backlog'!$F18 / MAX(1, 'ProductSprint Backlog'!$J18-'ProductSprint Backlog'!$I18), AND('ProductSprint Backlog'!$J18=J$2,'ProductSprint Backlog'!$I18=J$2), 'ProductSprint Backlog'!$F18, TRUE, 0)</f>
        <v/>
      </c>
      <c r="K18" s="4" t="str" cm="1">
        <f t="array" ref="K18">_xlfn.IFS('ProductSprint Backlog'!$F18="", "", AND('ProductSprint Backlog'!$J18&gt;K$2,'ProductSprint Backlog'!$I18&lt;=K$2), 'ProductSprint Backlog'!$F18 / MAX(1, 'ProductSprint Backlog'!$J18-'ProductSprint Backlog'!$I18), AND('ProductSprint Backlog'!$J18=K$2,'ProductSprint Backlog'!$I18=K$2), 'ProductSprint Backlog'!$F18, TRUE, 0)</f>
        <v/>
      </c>
      <c r="L18" s="4" t="str" cm="1">
        <f t="array" ref="L18">_xlfn.IFS('ProductSprint Backlog'!$F18="", "", AND('ProductSprint Backlog'!$J18&gt;L$2,'ProductSprint Backlog'!$I18&lt;=L$2), 'ProductSprint Backlog'!$F18 / MAX(1, 'ProductSprint Backlog'!$J18-'ProductSprint Backlog'!$I18), AND('ProductSprint Backlog'!$J18=L$2,'ProductSprint Backlog'!$I18=L$2), 'ProductSprint Backlog'!$F18, TRUE, 0)</f>
        <v/>
      </c>
      <c r="M18" s="4" t="str" cm="1">
        <f t="array" ref="M18">_xlfn.IFS('ProductSprint Backlog'!$F18="", "", AND('ProductSprint Backlog'!$J18&gt;M$2,'ProductSprint Backlog'!$I18&lt;=M$2), 'ProductSprint Backlog'!$F18 / MAX(1, 'ProductSprint Backlog'!$J18-'ProductSprint Backlog'!$I18), AND('ProductSprint Backlog'!$J18=M$2,'ProductSprint Backlog'!$I18=M$2), 'ProductSprint Backlog'!$F18, TRUE, 0)</f>
        <v/>
      </c>
      <c r="N18" s="4" t="str" cm="1">
        <f t="array" ref="N18">_xlfn.IFS('ProductSprint Backlog'!$F18="", "", AND('ProductSprint Backlog'!$J18&gt;N$2,'ProductSprint Backlog'!$I18&lt;=N$2), 'ProductSprint Backlog'!$F18 / MAX(1, 'ProductSprint Backlog'!$J18-'ProductSprint Backlog'!$I18), AND('ProductSprint Backlog'!$J18=N$2,'ProductSprint Backlog'!$I18=N$2), 'ProductSprint Backlog'!$F18, TRUE, 0)</f>
        <v/>
      </c>
      <c r="O18" s="4" t="str" cm="1">
        <f t="array" ref="O18">_xlfn.IFS('ProductSprint Backlog'!$F18="", "", AND('ProductSprint Backlog'!$J18&gt;O$2,'ProductSprint Backlog'!$I18&lt;=O$2), 'ProductSprint Backlog'!$F18 / MAX(1, 'ProductSprint Backlog'!$J18-'ProductSprint Backlog'!$I18), AND('ProductSprint Backlog'!$J18=O$2,'ProductSprint Backlog'!$I18=O$2), 'ProductSprint Backlog'!$F18, TRUE, 0)</f>
        <v/>
      </c>
      <c r="P18" s="4" t="str" cm="1">
        <f t="array" ref="P18">_xlfn.IFS('ProductSprint Backlog'!$F18="", "", AND('ProductSprint Backlog'!$J18&gt;P$2,'ProductSprint Backlog'!$I18&lt;=P$2), 'ProductSprint Backlog'!$F18 / MAX(1, 'ProductSprint Backlog'!$J18-'ProductSprint Backlog'!$I18), AND('ProductSprint Backlog'!$J18=P$2,'ProductSprint Backlog'!$I18=P$2), 'ProductSprint Backlog'!$F18, TRUE, 0)</f>
        <v/>
      </c>
      <c r="Q18" s="4" t="str" cm="1">
        <f t="array" ref="Q18">_xlfn.IFS('ProductSprint Backlog'!$F18="", "", AND('ProductSprint Backlog'!$J18&gt;Q$2,'ProductSprint Backlog'!$I18&lt;=Q$2), 'ProductSprint Backlog'!$F18 / MAX(1, 'ProductSprint Backlog'!$J18-'ProductSprint Backlog'!$I18), AND('ProductSprint Backlog'!$J18=Q$2,'ProductSprint Backlog'!$I18=Q$2), 'ProductSprint Backlog'!$F18, TRUE, 0)</f>
        <v/>
      </c>
    </row>
    <row r="19" spans="2:17" x14ac:dyDescent="0.2">
      <c r="B19" s="4" cm="1">
        <f t="array" ref="B19">_xlfn.IFS('ProductSprint Backlog'!$F19="", "", AND('ProductSprint Backlog'!$J19&gt;B$2,'ProductSprint Backlog'!$I19&lt;=B$2), 'ProductSprint Backlog'!$F19 / MAX(1, 'ProductSprint Backlog'!$J19-'ProductSprint Backlog'!$I19), AND('ProductSprint Backlog'!$J19=B$2,'ProductSprint Backlog'!$I19=B$2), 'ProductSprint Backlog'!$F19, TRUE, 0)</f>
        <v>0</v>
      </c>
      <c r="C19" s="4" cm="1">
        <f t="array" ref="C19">_xlfn.IFS('ProductSprint Backlog'!$F19="", "", AND('ProductSprint Backlog'!$J19&gt;C$2,'ProductSprint Backlog'!$I19&lt;=C$2), 'ProductSprint Backlog'!$F19 / MAX(1, 'ProductSprint Backlog'!$J19-'ProductSprint Backlog'!$I19), AND('ProductSprint Backlog'!$J19=C$2,'ProductSprint Backlog'!$I19=C$2), 'ProductSprint Backlog'!$F19, TRUE, 0)</f>
        <v>0</v>
      </c>
      <c r="D19" s="4" cm="1">
        <f t="array" ref="D19">_xlfn.IFS('ProductSprint Backlog'!$F19="", "", AND('ProductSprint Backlog'!$J19&gt;D$2,'ProductSprint Backlog'!$I19&lt;=D$2), 'ProductSprint Backlog'!$F19 / MAX(1, 'ProductSprint Backlog'!$J19-'ProductSprint Backlog'!$I19), AND('ProductSprint Backlog'!$J19=D$2,'ProductSprint Backlog'!$I19=D$2), 'ProductSprint Backlog'!$F19, TRUE, 0)</f>
        <v>0</v>
      </c>
      <c r="E19" s="4" cm="1">
        <f t="array" ref="E19">_xlfn.IFS('ProductSprint Backlog'!$F19="", "", AND('ProductSprint Backlog'!$J19&gt;E$2,'ProductSprint Backlog'!$I19&lt;=E$2), 'ProductSprint Backlog'!$F19 / MAX(1, 'ProductSprint Backlog'!$J19-'ProductSprint Backlog'!$I19), AND('ProductSprint Backlog'!$J19=E$2,'ProductSprint Backlog'!$I19=E$2), 'ProductSprint Backlog'!$F19, TRUE, 0)</f>
        <v>0</v>
      </c>
      <c r="F19" s="4" cm="1">
        <f t="array" ref="F19">_xlfn.IFS('ProductSprint Backlog'!$F19="", "", AND('ProductSprint Backlog'!$J19&gt;F$2,'ProductSprint Backlog'!$I19&lt;=F$2), 'ProductSprint Backlog'!$F19 / MAX(1, 'ProductSprint Backlog'!$J19-'ProductSprint Backlog'!$I19), AND('ProductSprint Backlog'!$J19=F$2,'ProductSprint Backlog'!$I19=F$2), 'ProductSprint Backlog'!$F19, TRUE, 0)</f>
        <v>0</v>
      </c>
      <c r="G19" s="4" cm="1">
        <f t="array" ref="G19">_xlfn.IFS('ProductSprint Backlog'!$F19="", "", AND('ProductSprint Backlog'!$J19&gt;G$2,'ProductSprint Backlog'!$I19&lt;=G$2), 'ProductSprint Backlog'!$F19 / MAX(1, 'ProductSprint Backlog'!$J19-'ProductSprint Backlog'!$I19), AND('ProductSprint Backlog'!$J19=G$2,'ProductSprint Backlog'!$I19=G$2), 'ProductSprint Backlog'!$F19, TRUE, 0)</f>
        <v>0</v>
      </c>
      <c r="H19" s="4" cm="1">
        <f t="array" ref="H19">_xlfn.IFS('ProductSprint Backlog'!$F19="", "", AND('ProductSprint Backlog'!$J19&gt;H$2,'ProductSprint Backlog'!$I19&lt;=H$2), 'ProductSprint Backlog'!$F19 / MAX(1, 'ProductSprint Backlog'!$J19-'ProductSprint Backlog'!$I19), AND('ProductSprint Backlog'!$J19=H$2,'ProductSprint Backlog'!$I19=H$2), 'ProductSprint Backlog'!$F19, TRUE, 0)</f>
        <v>0</v>
      </c>
      <c r="I19" s="4" cm="1">
        <f t="array" ref="I19">_xlfn.IFS('ProductSprint Backlog'!$F19="", "", AND('ProductSprint Backlog'!$J19&gt;I$2,'ProductSprint Backlog'!$I19&lt;=I$2), 'ProductSprint Backlog'!$F19 / MAX(1, 'ProductSprint Backlog'!$J19-'ProductSprint Backlog'!$I19), AND('ProductSprint Backlog'!$J19=I$2,'ProductSprint Backlog'!$I19=I$2), 'ProductSprint Backlog'!$F19, TRUE, 0)</f>
        <v>0</v>
      </c>
      <c r="J19" s="4" cm="1">
        <f t="array" ref="J19">_xlfn.IFS('ProductSprint Backlog'!$F19="", "", AND('ProductSprint Backlog'!$J19&gt;J$2,'ProductSprint Backlog'!$I19&lt;=J$2), 'ProductSprint Backlog'!$F19 / MAX(1, 'ProductSprint Backlog'!$J19-'ProductSprint Backlog'!$I19), AND('ProductSprint Backlog'!$J19=J$2,'ProductSprint Backlog'!$I19=J$2), 'ProductSprint Backlog'!$F19, TRUE, 0)</f>
        <v>0</v>
      </c>
      <c r="K19" s="4" cm="1">
        <f t="array" ref="K19">_xlfn.IFS('ProductSprint Backlog'!$F19="", "", AND('ProductSprint Backlog'!$J19&gt;K$2,'ProductSprint Backlog'!$I19&lt;=K$2), 'ProductSprint Backlog'!$F19 / MAX(1, 'ProductSprint Backlog'!$J19-'ProductSprint Backlog'!$I19), AND('ProductSprint Backlog'!$J19=K$2,'ProductSprint Backlog'!$I19=K$2), 'ProductSprint Backlog'!$F19, TRUE, 0)</f>
        <v>0</v>
      </c>
      <c r="L19" s="4" cm="1">
        <f t="array" ref="L19">_xlfn.IFS('ProductSprint Backlog'!$F19="", "", AND('ProductSprint Backlog'!$J19&gt;L$2,'ProductSprint Backlog'!$I19&lt;=L$2), 'ProductSprint Backlog'!$F19 / MAX(1, 'ProductSprint Backlog'!$J19-'ProductSprint Backlog'!$I19), AND('ProductSprint Backlog'!$J19=L$2,'ProductSprint Backlog'!$I19=L$2), 'ProductSprint Backlog'!$F19, TRUE, 0)</f>
        <v>0</v>
      </c>
      <c r="M19" s="4" cm="1">
        <f t="array" ref="M19">_xlfn.IFS('ProductSprint Backlog'!$F19="", "", AND('ProductSprint Backlog'!$J19&gt;M$2,'ProductSprint Backlog'!$I19&lt;=M$2), 'ProductSprint Backlog'!$F19 / MAX(1, 'ProductSprint Backlog'!$J19-'ProductSprint Backlog'!$I19), AND('ProductSprint Backlog'!$J19=M$2,'ProductSprint Backlog'!$I19=M$2), 'ProductSprint Backlog'!$F19, TRUE, 0)</f>
        <v>0</v>
      </c>
      <c r="N19" s="4" cm="1">
        <f t="array" ref="N19">_xlfn.IFS('ProductSprint Backlog'!$F19="", "", AND('ProductSprint Backlog'!$J19&gt;N$2,'ProductSprint Backlog'!$I19&lt;=N$2), 'ProductSprint Backlog'!$F19 / MAX(1, 'ProductSprint Backlog'!$J19-'ProductSprint Backlog'!$I19), AND('ProductSprint Backlog'!$J19=N$2,'ProductSprint Backlog'!$I19=N$2), 'ProductSprint Backlog'!$F19, TRUE, 0)</f>
        <v>0</v>
      </c>
      <c r="O19" s="4" cm="1">
        <f t="array" ref="O19">_xlfn.IFS('ProductSprint Backlog'!$F19="", "", AND('ProductSprint Backlog'!$J19&gt;O$2,'ProductSprint Backlog'!$I19&lt;=O$2), 'ProductSprint Backlog'!$F19 / MAX(1, 'ProductSprint Backlog'!$J19-'ProductSprint Backlog'!$I19), AND('ProductSprint Backlog'!$J19=O$2,'ProductSprint Backlog'!$I19=O$2), 'ProductSprint Backlog'!$F19, TRUE, 0)</f>
        <v>0</v>
      </c>
      <c r="P19" s="4" cm="1">
        <f t="array" ref="P19">_xlfn.IFS('ProductSprint Backlog'!$F19="", "", AND('ProductSprint Backlog'!$J19&gt;P$2,'ProductSprint Backlog'!$I19&lt;=P$2), 'ProductSprint Backlog'!$F19 / MAX(1, 'ProductSprint Backlog'!$J19-'ProductSprint Backlog'!$I19), AND('ProductSprint Backlog'!$J19=P$2,'ProductSprint Backlog'!$I19=P$2), 'ProductSprint Backlog'!$F19, TRUE, 0)</f>
        <v>0</v>
      </c>
      <c r="Q19" s="4" cm="1">
        <f t="array" ref="Q19">_xlfn.IFS('ProductSprint Backlog'!$F19="", "", AND('ProductSprint Backlog'!$J19&gt;Q$2,'ProductSprint Backlog'!$I19&lt;=Q$2), 'ProductSprint Backlog'!$F19 / MAX(1, 'ProductSprint Backlog'!$J19-'ProductSprint Backlog'!$I19), AND('ProductSprint Backlog'!$J19=Q$2,'ProductSprint Backlog'!$I19=Q$2), 'ProductSprint Backlog'!$F19, TRUE, 0)</f>
        <v>0</v>
      </c>
    </row>
    <row r="20" spans="2:17" x14ac:dyDescent="0.2">
      <c r="B20" s="4" cm="1">
        <f t="array" ref="B20">_xlfn.IFS('ProductSprint Backlog'!$F20="", "", AND('ProductSprint Backlog'!$J20&gt;B$2,'ProductSprint Backlog'!$I20&lt;=B$2), 'ProductSprint Backlog'!$F20 / MAX(1, 'ProductSprint Backlog'!$J20-'ProductSprint Backlog'!$I20), AND('ProductSprint Backlog'!$J20=B$2,'ProductSprint Backlog'!$I20=B$2), 'ProductSprint Backlog'!$F20, TRUE, 0)</f>
        <v>0</v>
      </c>
      <c r="C20" s="4" cm="1">
        <f t="array" ref="C20">_xlfn.IFS('ProductSprint Backlog'!$F20="", "", AND('ProductSprint Backlog'!$J20&gt;C$2,'ProductSprint Backlog'!$I20&lt;=C$2), 'ProductSprint Backlog'!$F20 / MAX(1, 'ProductSprint Backlog'!$J20-'ProductSprint Backlog'!$I20), AND('ProductSprint Backlog'!$J20=C$2,'ProductSprint Backlog'!$I20=C$2), 'ProductSprint Backlog'!$F20, TRUE, 0)</f>
        <v>0</v>
      </c>
      <c r="D20" s="4" cm="1">
        <f t="array" ref="D20">_xlfn.IFS('ProductSprint Backlog'!$F20="", "", AND('ProductSprint Backlog'!$J20&gt;D$2,'ProductSprint Backlog'!$I20&lt;=D$2), 'ProductSprint Backlog'!$F20 / MAX(1, 'ProductSprint Backlog'!$J20-'ProductSprint Backlog'!$I20), AND('ProductSprint Backlog'!$J20=D$2,'ProductSprint Backlog'!$I20=D$2), 'ProductSprint Backlog'!$F20, TRUE, 0)</f>
        <v>0</v>
      </c>
      <c r="E20" s="4" cm="1">
        <f t="array" ref="E20">_xlfn.IFS('ProductSprint Backlog'!$F20="", "", AND('ProductSprint Backlog'!$J20&gt;E$2,'ProductSprint Backlog'!$I20&lt;=E$2), 'ProductSprint Backlog'!$F20 / MAX(1, 'ProductSprint Backlog'!$J20-'ProductSprint Backlog'!$I20), AND('ProductSprint Backlog'!$J20=E$2,'ProductSprint Backlog'!$I20=E$2), 'ProductSprint Backlog'!$F20, TRUE, 0)</f>
        <v>0</v>
      </c>
      <c r="F20" s="4" cm="1">
        <f t="array" ref="F20">_xlfn.IFS('ProductSprint Backlog'!$F20="", "", AND('ProductSprint Backlog'!$J20&gt;F$2,'ProductSprint Backlog'!$I20&lt;=F$2), 'ProductSprint Backlog'!$F20 / MAX(1, 'ProductSprint Backlog'!$J20-'ProductSprint Backlog'!$I20), AND('ProductSprint Backlog'!$J20=F$2,'ProductSprint Backlog'!$I20=F$2), 'ProductSprint Backlog'!$F20, TRUE, 0)</f>
        <v>0</v>
      </c>
      <c r="G20" s="4" cm="1">
        <f t="array" ref="G20">_xlfn.IFS('ProductSprint Backlog'!$F20="", "", AND('ProductSprint Backlog'!$J20&gt;G$2,'ProductSprint Backlog'!$I20&lt;=G$2), 'ProductSprint Backlog'!$F20 / MAX(1, 'ProductSprint Backlog'!$J20-'ProductSprint Backlog'!$I20), AND('ProductSprint Backlog'!$J20=G$2,'ProductSprint Backlog'!$I20=G$2), 'ProductSprint Backlog'!$F20, TRUE, 0)</f>
        <v>0</v>
      </c>
      <c r="H20" s="4" cm="1">
        <f t="array" ref="H20">_xlfn.IFS('ProductSprint Backlog'!$F20="", "", AND('ProductSprint Backlog'!$J20&gt;H$2,'ProductSprint Backlog'!$I20&lt;=H$2), 'ProductSprint Backlog'!$F20 / MAX(1, 'ProductSprint Backlog'!$J20-'ProductSprint Backlog'!$I20), AND('ProductSprint Backlog'!$J20=H$2,'ProductSprint Backlog'!$I20=H$2), 'ProductSprint Backlog'!$F20, TRUE, 0)</f>
        <v>0</v>
      </c>
      <c r="I20" s="4" cm="1">
        <f t="array" ref="I20">_xlfn.IFS('ProductSprint Backlog'!$F20="", "", AND('ProductSprint Backlog'!$J20&gt;I$2,'ProductSprint Backlog'!$I20&lt;=I$2), 'ProductSprint Backlog'!$F20 / MAX(1, 'ProductSprint Backlog'!$J20-'ProductSprint Backlog'!$I20), AND('ProductSprint Backlog'!$J20=I$2,'ProductSprint Backlog'!$I20=I$2), 'ProductSprint Backlog'!$F20, TRUE, 0)</f>
        <v>0</v>
      </c>
      <c r="J20" s="4" cm="1">
        <f t="array" ref="J20">_xlfn.IFS('ProductSprint Backlog'!$F20="", "", AND('ProductSprint Backlog'!$J20&gt;J$2,'ProductSprint Backlog'!$I20&lt;=J$2), 'ProductSprint Backlog'!$F20 / MAX(1, 'ProductSprint Backlog'!$J20-'ProductSprint Backlog'!$I20), AND('ProductSprint Backlog'!$J20=J$2,'ProductSprint Backlog'!$I20=J$2), 'ProductSprint Backlog'!$F20, TRUE, 0)</f>
        <v>0</v>
      </c>
      <c r="K20" s="4" cm="1">
        <f t="array" ref="K20">_xlfn.IFS('ProductSprint Backlog'!$F20="", "", AND('ProductSprint Backlog'!$J20&gt;K$2,'ProductSprint Backlog'!$I20&lt;=K$2), 'ProductSprint Backlog'!$F20 / MAX(1, 'ProductSprint Backlog'!$J20-'ProductSprint Backlog'!$I20), AND('ProductSprint Backlog'!$J20=K$2,'ProductSprint Backlog'!$I20=K$2), 'ProductSprint Backlog'!$F20, TRUE, 0)</f>
        <v>0</v>
      </c>
      <c r="L20" s="4" cm="1">
        <f t="array" ref="L20">_xlfn.IFS('ProductSprint Backlog'!$F20="", "", AND('ProductSprint Backlog'!$J20&gt;L$2,'ProductSprint Backlog'!$I20&lt;=L$2), 'ProductSprint Backlog'!$F20 / MAX(1, 'ProductSprint Backlog'!$J20-'ProductSprint Backlog'!$I20), AND('ProductSprint Backlog'!$J20=L$2,'ProductSprint Backlog'!$I20=L$2), 'ProductSprint Backlog'!$F20, TRUE, 0)</f>
        <v>0</v>
      </c>
      <c r="M20" s="4" cm="1">
        <f t="array" ref="M20">_xlfn.IFS('ProductSprint Backlog'!$F20="", "", AND('ProductSprint Backlog'!$J20&gt;M$2,'ProductSprint Backlog'!$I20&lt;=M$2), 'ProductSprint Backlog'!$F20 / MAX(1, 'ProductSprint Backlog'!$J20-'ProductSprint Backlog'!$I20), AND('ProductSprint Backlog'!$J20=M$2,'ProductSprint Backlog'!$I20=M$2), 'ProductSprint Backlog'!$F20, TRUE, 0)</f>
        <v>0</v>
      </c>
      <c r="N20" s="4" cm="1">
        <f t="array" ref="N20">_xlfn.IFS('ProductSprint Backlog'!$F20="", "", AND('ProductSprint Backlog'!$J20&gt;N$2,'ProductSprint Backlog'!$I20&lt;=N$2), 'ProductSprint Backlog'!$F20 / MAX(1, 'ProductSprint Backlog'!$J20-'ProductSprint Backlog'!$I20), AND('ProductSprint Backlog'!$J20=N$2,'ProductSprint Backlog'!$I20=N$2), 'ProductSprint Backlog'!$F20, TRUE, 0)</f>
        <v>0</v>
      </c>
      <c r="O20" s="4" cm="1">
        <f t="array" ref="O20">_xlfn.IFS('ProductSprint Backlog'!$F20="", "", AND('ProductSprint Backlog'!$J20&gt;O$2,'ProductSprint Backlog'!$I20&lt;=O$2), 'ProductSprint Backlog'!$F20 / MAX(1, 'ProductSprint Backlog'!$J20-'ProductSprint Backlog'!$I20), AND('ProductSprint Backlog'!$J20=O$2,'ProductSprint Backlog'!$I20=O$2), 'ProductSprint Backlog'!$F20, TRUE, 0)</f>
        <v>0</v>
      </c>
      <c r="P20" s="4" cm="1">
        <f t="array" ref="P20">_xlfn.IFS('ProductSprint Backlog'!$F20="", "", AND('ProductSprint Backlog'!$J20&gt;P$2,'ProductSprint Backlog'!$I20&lt;=P$2), 'ProductSprint Backlog'!$F20 / MAX(1, 'ProductSprint Backlog'!$J20-'ProductSprint Backlog'!$I20), AND('ProductSprint Backlog'!$J20=P$2,'ProductSprint Backlog'!$I20=P$2), 'ProductSprint Backlog'!$F20, TRUE, 0)</f>
        <v>0</v>
      </c>
      <c r="Q20" s="4" cm="1">
        <f t="array" ref="Q20">_xlfn.IFS('ProductSprint Backlog'!$F20="", "", AND('ProductSprint Backlog'!$J20&gt;Q$2,'ProductSprint Backlog'!$I20&lt;=Q$2), 'ProductSprint Backlog'!$F20 / MAX(1, 'ProductSprint Backlog'!$J20-'ProductSprint Backlog'!$I20), AND('ProductSprint Backlog'!$J20=Q$2,'ProductSprint Backlog'!$I20=Q$2), 'ProductSprint Backlog'!$F20, TRUE, 0)</f>
        <v>0</v>
      </c>
    </row>
    <row r="21" spans="2:17" x14ac:dyDescent="0.2">
      <c r="B21" s="4" cm="1">
        <f t="array" ref="B21">_xlfn.IFS('ProductSprint Backlog'!$F21="", "", AND('ProductSprint Backlog'!$J21&gt;B$2,'ProductSprint Backlog'!$I21&lt;=B$2), 'ProductSprint Backlog'!$F21 / MAX(1, 'ProductSprint Backlog'!$J21-'ProductSprint Backlog'!$I21), AND('ProductSprint Backlog'!$J21=B$2,'ProductSprint Backlog'!$I21=B$2), 'ProductSprint Backlog'!$F21, TRUE, 0)</f>
        <v>0</v>
      </c>
      <c r="C21" s="4" cm="1">
        <f t="array" ref="C21">_xlfn.IFS('ProductSprint Backlog'!$F21="", "", AND('ProductSprint Backlog'!$J21&gt;C$2,'ProductSprint Backlog'!$I21&lt;=C$2), 'ProductSprint Backlog'!$F21 / MAX(1, 'ProductSprint Backlog'!$J21-'ProductSprint Backlog'!$I21), AND('ProductSprint Backlog'!$J21=C$2,'ProductSprint Backlog'!$I21=C$2), 'ProductSprint Backlog'!$F21, TRUE, 0)</f>
        <v>0</v>
      </c>
      <c r="D21" s="4" cm="1">
        <f t="array" ref="D21">_xlfn.IFS('ProductSprint Backlog'!$F21="", "", AND('ProductSprint Backlog'!$J21&gt;D$2,'ProductSprint Backlog'!$I21&lt;=D$2), 'ProductSprint Backlog'!$F21 / MAX(1, 'ProductSprint Backlog'!$J21-'ProductSprint Backlog'!$I21), AND('ProductSprint Backlog'!$J21=D$2,'ProductSprint Backlog'!$I21=D$2), 'ProductSprint Backlog'!$F21, TRUE, 0)</f>
        <v>0</v>
      </c>
      <c r="E21" s="4" cm="1">
        <f t="array" ref="E21">_xlfn.IFS('ProductSprint Backlog'!$F21="", "", AND('ProductSprint Backlog'!$J21&gt;E$2,'ProductSprint Backlog'!$I21&lt;=E$2), 'ProductSprint Backlog'!$F21 / MAX(1, 'ProductSprint Backlog'!$J21-'ProductSprint Backlog'!$I21), AND('ProductSprint Backlog'!$J21=E$2,'ProductSprint Backlog'!$I21=E$2), 'ProductSprint Backlog'!$F21, TRUE, 0)</f>
        <v>0</v>
      </c>
      <c r="F21" s="4" cm="1">
        <f t="array" ref="F21">_xlfn.IFS('ProductSprint Backlog'!$F21="", "", AND('ProductSprint Backlog'!$J21&gt;F$2,'ProductSprint Backlog'!$I21&lt;=F$2), 'ProductSprint Backlog'!$F21 / MAX(1, 'ProductSprint Backlog'!$J21-'ProductSprint Backlog'!$I21), AND('ProductSprint Backlog'!$J21=F$2,'ProductSprint Backlog'!$I21=F$2), 'ProductSprint Backlog'!$F21, TRUE, 0)</f>
        <v>0</v>
      </c>
      <c r="G21" s="4" cm="1">
        <f t="array" ref="G21">_xlfn.IFS('ProductSprint Backlog'!$F21="", "", AND('ProductSprint Backlog'!$J21&gt;G$2,'ProductSprint Backlog'!$I21&lt;=G$2), 'ProductSprint Backlog'!$F21 / MAX(1, 'ProductSprint Backlog'!$J21-'ProductSprint Backlog'!$I21), AND('ProductSprint Backlog'!$J21=G$2,'ProductSprint Backlog'!$I21=G$2), 'ProductSprint Backlog'!$F21, TRUE, 0)</f>
        <v>0</v>
      </c>
      <c r="H21" s="4" cm="1">
        <f t="array" ref="H21">_xlfn.IFS('ProductSprint Backlog'!$F21="", "", AND('ProductSprint Backlog'!$J21&gt;H$2,'ProductSprint Backlog'!$I21&lt;=H$2), 'ProductSprint Backlog'!$F21 / MAX(1, 'ProductSprint Backlog'!$J21-'ProductSprint Backlog'!$I21), AND('ProductSprint Backlog'!$J21=H$2,'ProductSprint Backlog'!$I21=H$2), 'ProductSprint Backlog'!$F21, TRUE, 0)</f>
        <v>0</v>
      </c>
      <c r="I21" s="4" cm="1">
        <f t="array" ref="I21">_xlfn.IFS('ProductSprint Backlog'!$F21="", "", AND('ProductSprint Backlog'!$J21&gt;I$2,'ProductSprint Backlog'!$I21&lt;=I$2), 'ProductSprint Backlog'!$F21 / MAX(1, 'ProductSprint Backlog'!$J21-'ProductSprint Backlog'!$I21), AND('ProductSprint Backlog'!$J21=I$2,'ProductSprint Backlog'!$I21=I$2), 'ProductSprint Backlog'!$F21, TRUE, 0)</f>
        <v>0</v>
      </c>
      <c r="J21" s="4" cm="1">
        <f t="array" ref="J21">_xlfn.IFS('ProductSprint Backlog'!$F21="", "", AND('ProductSprint Backlog'!$J21&gt;J$2,'ProductSprint Backlog'!$I21&lt;=J$2), 'ProductSprint Backlog'!$F21 / MAX(1, 'ProductSprint Backlog'!$J21-'ProductSprint Backlog'!$I21), AND('ProductSprint Backlog'!$J21=J$2,'ProductSprint Backlog'!$I21=J$2), 'ProductSprint Backlog'!$F21, TRUE, 0)</f>
        <v>0</v>
      </c>
      <c r="K21" s="4" cm="1">
        <f t="array" ref="K21">_xlfn.IFS('ProductSprint Backlog'!$F21="", "", AND('ProductSprint Backlog'!$J21&gt;K$2,'ProductSprint Backlog'!$I21&lt;=K$2), 'ProductSprint Backlog'!$F21 / MAX(1, 'ProductSprint Backlog'!$J21-'ProductSprint Backlog'!$I21), AND('ProductSprint Backlog'!$J21=K$2,'ProductSprint Backlog'!$I21=K$2), 'ProductSprint Backlog'!$F21, TRUE, 0)</f>
        <v>0</v>
      </c>
      <c r="L21" s="4" cm="1">
        <f t="array" ref="L21">_xlfn.IFS('ProductSprint Backlog'!$F21="", "", AND('ProductSprint Backlog'!$J21&gt;L$2,'ProductSprint Backlog'!$I21&lt;=L$2), 'ProductSprint Backlog'!$F21 / MAX(1, 'ProductSprint Backlog'!$J21-'ProductSprint Backlog'!$I21), AND('ProductSprint Backlog'!$J21=L$2,'ProductSprint Backlog'!$I21=L$2), 'ProductSprint Backlog'!$F21, TRUE, 0)</f>
        <v>0</v>
      </c>
      <c r="M21" s="4" cm="1">
        <f t="array" ref="M21">_xlfn.IFS('ProductSprint Backlog'!$F21="", "", AND('ProductSprint Backlog'!$J21&gt;M$2,'ProductSprint Backlog'!$I21&lt;=M$2), 'ProductSprint Backlog'!$F21 / MAX(1, 'ProductSprint Backlog'!$J21-'ProductSprint Backlog'!$I21), AND('ProductSprint Backlog'!$J21=M$2,'ProductSprint Backlog'!$I21=M$2), 'ProductSprint Backlog'!$F21, TRUE, 0)</f>
        <v>0</v>
      </c>
      <c r="N21" s="4" cm="1">
        <f t="array" ref="N21">_xlfn.IFS('ProductSprint Backlog'!$F21="", "", AND('ProductSprint Backlog'!$J21&gt;N$2,'ProductSprint Backlog'!$I21&lt;=N$2), 'ProductSprint Backlog'!$F21 / MAX(1, 'ProductSprint Backlog'!$J21-'ProductSprint Backlog'!$I21), AND('ProductSprint Backlog'!$J21=N$2,'ProductSprint Backlog'!$I21=N$2), 'ProductSprint Backlog'!$F21, TRUE, 0)</f>
        <v>0</v>
      </c>
      <c r="O21" s="4" cm="1">
        <f t="array" ref="O21">_xlfn.IFS('ProductSprint Backlog'!$F21="", "", AND('ProductSprint Backlog'!$J21&gt;O$2,'ProductSprint Backlog'!$I21&lt;=O$2), 'ProductSprint Backlog'!$F21 / MAX(1, 'ProductSprint Backlog'!$J21-'ProductSprint Backlog'!$I21), AND('ProductSprint Backlog'!$J21=O$2,'ProductSprint Backlog'!$I21=O$2), 'ProductSprint Backlog'!$F21, TRUE, 0)</f>
        <v>0</v>
      </c>
      <c r="P21" s="4" cm="1">
        <f t="array" ref="P21">_xlfn.IFS('ProductSprint Backlog'!$F21="", "", AND('ProductSprint Backlog'!$J21&gt;P$2,'ProductSprint Backlog'!$I21&lt;=P$2), 'ProductSprint Backlog'!$F21 / MAX(1, 'ProductSprint Backlog'!$J21-'ProductSprint Backlog'!$I21), AND('ProductSprint Backlog'!$J21=P$2,'ProductSprint Backlog'!$I21=P$2), 'ProductSprint Backlog'!$F21, TRUE, 0)</f>
        <v>0</v>
      </c>
      <c r="Q21" s="4" cm="1">
        <f t="array" ref="Q21">_xlfn.IFS('ProductSprint Backlog'!$F21="", "", AND('ProductSprint Backlog'!$J21&gt;Q$2,'ProductSprint Backlog'!$I21&lt;=Q$2), 'ProductSprint Backlog'!$F21 / MAX(1, 'ProductSprint Backlog'!$J21-'ProductSprint Backlog'!$I21), AND('ProductSprint Backlog'!$J21=Q$2,'ProductSprint Backlog'!$I21=Q$2), 'ProductSprint Backlog'!$F21, TRUE, 0)</f>
        <v>0</v>
      </c>
    </row>
    <row r="22" spans="2:17" x14ac:dyDescent="0.2">
      <c r="B22" s="4" cm="1">
        <f t="array" ref="B22">_xlfn.IFS('ProductSprint Backlog'!$F22="", "", AND('ProductSprint Backlog'!$J22&gt;B$2,'ProductSprint Backlog'!$I22&lt;=B$2), 'ProductSprint Backlog'!$F22 / MAX(1, 'ProductSprint Backlog'!$J22-'ProductSprint Backlog'!$I22), AND('ProductSprint Backlog'!$J22=B$2,'ProductSprint Backlog'!$I22=B$2), 'ProductSprint Backlog'!$F22, TRUE, 0)</f>
        <v>0</v>
      </c>
      <c r="C22" s="4" cm="1">
        <f t="array" ref="C22">_xlfn.IFS('ProductSprint Backlog'!$F22="", "", AND('ProductSprint Backlog'!$J22&gt;C$2,'ProductSprint Backlog'!$I22&lt;=C$2), 'ProductSprint Backlog'!$F22 / MAX(1, 'ProductSprint Backlog'!$J22-'ProductSprint Backlog'!$I22), AND('ProductSprint Backlog'!$J22=C$2,'ProductSprint Backlog'!$I22=C$2), 'ProductSprint Backlog'!$F22, TRUE, 0)</f>
        <v>0</v>
      </c>
      <c r="D22" s="4" cm="1">
        <f t="array" ref="D22">_xlfn.IFS('ProductSprint Backlog'!$F22="", "", AND('ProductSprint Backlog'!$J22&gt;D$2,'ProductSprint Backlog'!$I22&lt;=D$2), 'ProductSprint Backlog'!$F22 / MAX(1, 'ProductSprint Backlog'!$J22-'ProductSprint Backlog'!$I22), AND('ProductSprint Backlog'!$J22=D$2,'ProductSprint Backlog'!$I22=D$2), 'ProductSprint Backlog'!$F22, TRUE, 0)</f>
        <v>0</v>
      </c>
      <c r="E22" s="4" cm="1">
        <f t="array" ref="E22">_xlfn.IFS('ProductSprint Backlog'!$F22="", "", AND('ProductSprint Backlog'!$J22&gt;E$2,'ProductSprint Backlog'!$I22&lt;=E$2), 'ProductSprint Backlog'!$F22 / MAX(1, 'ProductSprint Backlog'!$J22-'ProductSprint Backlog'!$I22), AND('ProductSprint Backlog'!$J22=E$2,'ProductSprint Backlog'!$I22=E$2), 'ProductSprint Backlog'!$F22, TRUE, 0)</f>
        <v>0</v>
      </c>
      <c r="F22" s="4" cm="1">
        <f t="array" ref="F22">_xlfn.IFS('ProductSprint Backlog'!$F22="", "", AND('ProductSprint Backlog'!$J22&gt;F$2,'ProductSprint Backlog'!$I22&lt;=F$2), 'ProductSprint Backlog'!$F22 / MAX(1, 'ProductSprint Backlog'!$J22-'ProductSprint Backlog'!$I22), AND('ProductSprint Backlog'!$J22=F$2,'ProductSprint Backlog'!$I22=F$2), 'ProductSprint Backlog'!$F22, TRUE, 0)</f>
        <v>0</v>
      </c>
      <c r="G22" s="4" cm="1">
        <f t="array" ref="G22">_xlfn.IFS('ProductSprint Backlog'!$F22="", "", AND('ProductSprint Backlog'!$J22&gt;G$2,'ProductSprint Backlog'!$I22&lt;=G$2), 'ProductSprint Backlog'!$F22 / MAX(1, 'ProductSprint Backlog'!$J22-'ProductSprint Backlog'!$I22), AND('ProductSprint Backlog'!$J22=G$2,'ProductSprint Backlog'!$I22=G$2), 'ProductSprint Backlog'!$F22, TRUE, 0)</f>
        <v>0</v>
      </c>
      <c r="H22" s="4" cm="1">
        <f t="array" ref="H22">_xlfn.IFS('ProductSprint Backlog'!$F22="", "", AND('ProductSprint Backlog'!$J22&gt;H$2,'ProductSprint Backlog'!$I22&lt;=H$2), 'ProductSprint Backlog'!$F22 / MAX(1, 'ProductSprint Backlog'!$J22-'ProductSprint Backlog'!$I22), AND('ProductSprint Backlog'!$J22=H$2,'ProductSprint Backlog'!$I22=H$2), 'ProductSprint Backlog'!$F22, TRUE, 0)</f>
        <v>0</v>
      </c>
      <c r="I22" s="4" cm="1">
        <f t="array" ref="I22">_xlfn.IFS('ProductSprint Backlog'!$F22="", "", AND('ProductSprint Backlog'!$J22&gt;I$2,'ProductSprint Backlog'!$I22&lt;=I$2), 'ProductSprint Backlog'!$F22 / MAX(1, 'ProductSprint Backlog'!$J22-'ProductSprint Backlog'!$I22), AND('ProductSprint Backlog'!$J22=I$2,'ProductSprint Backlog'!$I22=I$2), 'ProductSprint Backlog'!$F22, TRUE, 0)</f>
        <v>0</v>
      </c>
      <c r="J22" s="4" cm="1">
        <f t="array" ref="J22">_xlfn.IFS('ProductSprint Backlog'!$F22="", "", AND('ProductSprint Backlog'!$J22&gt;J$2,'ProductSprint Backlog'!$I22&lt;=J$2), 'ProductSprint Backlog'!$F22 / MAX(1, 'ProductSprint Backlog'!$J22-'ProductSprint Backlog'!$I22), AND('ProductSprint Backlog'!$J22=J$2,'ProductSprint Backlog'!$I22=J$2), 'ProductSprint Backlog'!$F22, TRUE, 0)</f>
        <v>0</v>
      </c>
      <c r="K22" s="4" cm="1">
        <f t="array" ref="K22">_xlfn.IFS('ProductSprint Backlog'!$F22="", "", AND('ProductSprint Backlog'!$J22&gt;K$2,'ProductSprint Backlog'!$I22&lt;=K$2), 'ProductSprint Backlog'!$F22 / MAX(1, 'ProductSprint Backlog'!$J22-'ProductSprint Backlog'!$I22), AND('ProductSprint Backlog'!$J22=K$2,'ProductSprint Backlog'!$I22=K$2), 'ProductSprint Backlog'!$F22, TRUE, 0)</f>
        <v>0</v>
      </c>
      <c r="L22" s="4" cm="1">
        <f t="array" ref="L22">_xlfn.IFS('ProductSprint Backlog'!$F22="", "", AND('ProductSprint Backlog'!$J22&gt;L$2,'ProductSprint Backlog'!$I22&lt;=L$2), 'ProductSprint Backlog'!$F22 / MAX(1, 'ProductSprint Backlog'!$J22-'ProductSprint Backlog'!$I22), AND('ProductSprint Backlog'!$J22=L$2,'ProductSprint Backlog'!$I22=L$2), 'ProductSprint Backlog'!$F22, TRUE, 0)</f>
        <v>0</v>
      </c>
      <c r="M22" s="4" cm="1">
        <f t="array" ref="M22">_xlfn.IFS('ProductSprint Backlog'!$F22="", "", AND('ProductSprint Backlog'!$J22&gt;M$2,'ProductSprint Backlog'!$I22&lt;=M$2), 'ProductSprint Backlog'!$F22 / MAX(1, 'ProductSprint Backlog'!$J22-'ProductSprint Backlog'!$I22), AND('ProductSprint Backlog'!$J22=M$2,'ProductSprint Backlog'!$I22=M$2), 'ProductSprint Backlog'!$F22, TRUE, 0)</f>
        <v>0</v>
      </c>
      <c r="N22" s="4" cm="1">
        <f t="array" ref="N22">_xlfn.IFS('ProductSprint Backlog'!$F22="", "", AND('ProductSprint Backlog'!$J22&gt;N$2,'ProductSprint Backlog'!$I22&lt;=N$2), 'ProductSprint Backlog'!$F22 / MAX(1, 'ProductSprint Backlog'!$J22-'ProductSprint Backlog'!$I22), AND('ProductSprint Backlog'!$J22=N$2,'ProductSprint Backlog'!$I22=N$2), 'ProductSprint Backlog'!$F22, TRUE, 0)</f>
        <v>0</v>
      </c>
      <c r="O22" s="4" cm="1">
        <f t="array" ref="O22">_xlfn.IFS('ProductSprint Backlog'!$F22="", "", AND('ProductSprint Backlog'!$J22&gt;O$2,'ProductSprint Backlog'!$I22&lt;=O$2), 'ProductSprint Backlog'!$F22 / MAX(1, 'ProductSprint Backlog'!$J22-'ProductSprint Backlog'!$I22), AND('ProductSprint Backlog'!$J22=O$2,'ProductSprint Backlog'!$I22=O$2), 'ProductSprint Backlog'!$F22, TRUE, 0)</f>
        <v>0</v>
      </c>
      <c r="P22" s="4" cm="1">
        <f t="array" ref="P22">_xlfn.IFS('ProductSprint Backlog'!$F22="", "", AND('ProductSprint Backlog'!$J22&gt;P$2,'ProductSprint Backlog'!$I22&lt;=P$2), 'ProductSprint Backlog'!$F22 / MAX(1, 'ProductSprint Backlog'!$J22-'ProductSprint Backlog'!$I22), AND('ProductSprint Backlog'!$J22=P$2,'ProductSprint Backlog'!$I22=P$2), 'ProductSprint Backlog'!$F22, TRUE, 0)</f>
        <v>0</v>
      </c>
      <c r="Q22" s="4" cm="1">
        <f t="array" ref="Q22">_xlfn.IFS('ProductSprint Backlog'!$F22="", "", AND('ProductSprint Backlog'!$J22&gt;Q$2,'ProductSprint Backlog'!$I22&lt;=Q$2), 'ProductSprint Backlog'!$F22 / MAX(1, 'ProductSprint Backlog'!$J22-'ProductSprint Backlog'!$I22), AND('ProductSprint Backlog'!$J22=Q$2,'ProductSprint Backlog'!$I22=Q$2), 'ProductSprint Backlog'!$F22, TRUE, 0)</f>
        <v>0</v>
      </c>
    </row>
    <row r="23" spans="2:17" x14ac:dyDescent="0.2">
      <c r="B23" s="4" t="str" cm="1">
        <f t="array" ref="B23">_xlfn.IFS('ProductSprint Backlog'!$F23="", "", AND('ProductSprint Backlog'!$J23&gt;B$2,'ProductSprint Backlog'!$I23&lt;=B$2), 'ProductSprint Backlog'!$F23 / MAX(1, 'ProductSprint Backlog'!$J23-'ProductSprint Backlog'!$I23), AND('ProductSprint Backlog'!$J23=B$2,'ProductSprint Backlog'!$I23=B$2), 'ProductSprint Backlog'!$F23, TRUE, 0)</f>
        <v/>
      </c>
      <c r="C23" s="4" t="str" cm="1">
        <f t="array" ref="C23">_xlfn.IFS('ProductSprint Backlog'!$F23="", "", AND('ProductSprint Backlog'!$J23&gt;C$2,'ProductSprint Backlog'!$I23&lt;=C$2), 'ProductSprint Backlog'!$F23 / MAX(1, 'ProductSprint Backlog'!$J23-'ProductSprint Backlog'!$I23), AND('ProductSprint Backlog'!$J23=C$2,'ProductSprint Backlog'!$I23=C$2), 'ProductSprint Backlog'!$F23, TRUE, 0)</f>
        <v/>
      </c>
      <c r="D23" s="4" t="str" cm="1">
        <f t="array" ref="D23">_xlfn.IFS('ProductSprint Backlog'!$F23="", "", AND('ProductSprint Backlog'!$J23&gt;D$2,'ProductSprint Backlog'!$I23&lt;=D$2), 'ProductSprint Backlog'!$F23 / MAX(1, 'ProductSprint Backlog'!$J23-'ProductSprint Backlog'!$I23), AND('ProductSprint Backlog'!$J23=D$2,'ProductSprint Backlog'!$I23=D$2), 'ProductSprint Backlog'!$F23, TRUE, 0)</f>
        <v/>
      </c>
      <c r="E23" s="4" t="str" cm="1">
        <f t="array" ref="E23">_xlfn.IFS('ProductSprint Backlog'!$F23="", "", AND('ProductSprint Backlog'!$J23&gt;E$2,'ProductSprint Backlog'!$I23&lt;=E$2), 'ProductSprint Backlog'!$F23 / MAX(1, 'ProductSprint Backlog'!$J23-'ProductSprint Backlog'!$I23), AND('ProductSprint Backlog'!$J23=E$2,'ProductSprint Backlog'!$I23=E$2), 'ProductSprint Backlog'!$F23, TRUE, 0)</f>
        <v/>
      </c>
      <c r="F23" s="4" t="str" cm="1">
        <f t="array" ref="F23">_xlfn.IFS('ProductSprint Backlog'!$F23="", "", AND('ProductSprint Backlog'!$J23&gt;F$2,'ProductSprint Backlog'!$I23&lt;=F$2), 'ProductSprint Backlog'!$F23 / MAX(1, 'ProductSprint Backlog'!$J23-'ProductSprint Backlog'!$I23), AND('ProductSprint Backlog'!$J23=F$2,'ProductSprint Backlog'!$I23=F$2), 'ProductSprint Backlog'!$F23, TRUE, 0)</f>
        <v/>
      </c>
      <c r="G23" s="4" t="str" cm="1">
        <f t="array" ref="G23">_xlfn.IFS('ProductSprint Backlog'!$F23="", "", AND('ProductSprint Backlog'!$J23&gt;G$2,'ProductSprint Backlog'!$I23&lt;=G$2), 'ProductSprint Backlog'!$F23 / MAX(1, 'ProductSprint Backlog'!$J23-'ProductSprint Backlog'!$I23), AND('ProductSprint Backlog'!$J23=G$2,'ProductSprint Backlog'!$I23=G$2), 'ProductSprint Backlog'!$F23, TRUE, 0)</f>
        <v/>
      </c>
      <c r="H23" s="4" t="str" cm="1">
        <f t="array" ref="H23">_xlfn.IFS('ProductSprint Backlog'!$F23="", "", AND('ProductSprint Backlog'!$J23&gt;H$2,'ProductSprint Backlog'!$I23&lt;=H$2), 'ProductSprint Backlog'!$F23 / MAX(1, 'ProductSprint Backlog'!$J23-'ProductSprint Backlog'!$I23), AND('ProductSprint Backlog'!$J23=H$2,'ProductSprint Backlog'!$I23=H$2), 'ProductSprint Backlog'!$F23, TRUE, 0)</f>
        <v/>
      </c>
      <c r="I23" s="4" t="str" cm="1">
        <f t="array" ref="I23">_xlfn.IFS('ProductSprint Backlog'!$F23="", "", AND('ProductSprint Backlog'!$J23&gt;I$2,'ProductSprint Backlog'!$I23&lt;=I$2), 'ProductSprint Backlog'!$F23 / MAX(1, 'ProductSprint Backlog'!$J23-'ProductSprint Backlog'!$I23), AND('ProductSprint Backlog'!$J23=I$2,'ProductSprint Backlog'!$I23=I$2), 'ProductSprint Backlog'!$F23, TRUE, 0)</f>
        <v/>
      </c>
      <c r="J23" s="4" t="str" cm="1">
        <f t="array" ref="J23">_xlfn.IFS('ProductSprint Backlog'!$F23="", "", AND('ProductSprint Backlog'!$J23&gt;J$2,'ProductSprint Backlog'!$I23&lt;=J$2), 'ProductSprint Backlog'!$F23 / MAX(1, 'ProductSprint Backlog'!$J23-'ProductSprint Backlog'!$I23), AND('ProductSprint Backlog'!$J23=J$2,'ProductSprint Backlog'!$I23=J$2), 'ProductSprint Backlog'!$F23, TRUE, 0)</f>
        <v/>
      </c>
      <c r="K23" s="4" t="str" cm="1">
        <f t="array" ref="K23">_xlfn.IFS('ProductSprint Backlog'!$F23="", "", AND('ProductSprint Backlog'!$J23&gt;K$2,'ProductSprint Backlog'!$I23&lt;=K$2), 'ProductSprint Backlog'!$F23 / MAX(1, 'ProductSprint Backlog'!$J23-'ProductSprint Backlog'!$I23), AND('ProductSprint Backlog'!$J23=K$2,'ProductSprint Backlog'!$I23=K$2), 'ProductSprint Backlog'!$F23, TRUE, 0)</f>
        <v/>
      </c>
      <c r="L23" s="4" t="str" cm="1">
        <f t="array" ref="L23">_xlfn.IFS('ProductSprint Backlog'!$F23="", "", AND('ProductSprint Backlog'!$J23&gt;L$2,'ProductSprint Backlog'!$I23&lt;=L$2), 'ProductSprint Backlog'!$F23 / MAX(1, 'ProductSprint Backlog'!$J23-'ProductSprint Backlog'!$I23), AND('ProductSprint Backlog'!$J23=L$2,'ProductSprint Backlog'!$I23=L$2), 'ProductSprint Backlog'!$F23, TRUE, 0)</f>
        <v/>
      </c>
      <c r="M23" s="4" t="str" cm="1">
        <f t="array" ref="M23">_xlfn.IFS('ProductSprint Backlog'!$F23="", "", AND('ProductSprint Backlog'!$J23&gt;M$2,'ProductSprint Backlog'!$I23&lt;=M$2), 'ProductSprint Backlog'!$F23 / MAX(1, 'ProductSprint Backlog'!$J23-'ProductSprint Backlog'!$I23), AND('ProductSprint Backlog'!$J23=M$2,'ProductSprint Backlog'!$I23=M$2), 'ProductSprint Backlog'!$F23, TRUE, 0)</f>
        <v/>
      </c>
      <c r="N23" s="4" t="str" cm="1">
        <f t="array" ref="N23">_xlfn.IFS('ProductSprint Backlog'!$F23="", "", AND('ProductSprint Backlog'!$J23&gt;N$2,'ProductSprint Backlog'!$I23&lt;=N$2), 'ProductSprint Backlog'!$F23 / MAX(1, 'ProductSprint Backlog'!$J23-'ProductSprint Backlog'!$I23), AND('ProductSprint Backlog'!$J23=N$2,'ProductSprint Backlog'!$I23=N$2), 'ProductSprint Backlog'!$F23, TRUE, 0)</f>
        <v/>
      </c>
      <c r="O23" s="4" t="str" cm="1">
        <f t="array" ref="O23">_xlfn.IFS('ProductSprint Backlog'!$F23="", "", AND('ProductSprint Backlog'!$J23&gt;O$2,'ProductSprint Backlog'!$I23&lt;=O$2), 'ProductSprint Backlog'!$F23 / MAX(1, 'ProductSprint Backlog'!$J23-'ProductSprint Backlog'!$I23), AND('ProductSprint Backlog'!$J23=O$2,'ProductSprint Backlog'!$I23=O$2), 'ProductSprint Backlog'!$F23, TRUE, 0)</f>
        <v/>
      </c>
      <c r="P23" s="4" t="str" cm="1">
        <f t="array" ref="P23">_xlfn.IFS('ProductSprint Backlog'!$F23="", "", AND('ProductSprint Backlog'!$J23&gt;P$2,'ProductSprint Backlog'!$I23&lt;=P$2), 'ProductSprint Backlog'!$F23 / MAX(1, 'ProductSprint Backlog'!$J23-'ProductSprint Backlog'!$I23), AND('ProductSprint Backlog'!$J23=P$2,'ProductSprint Backlog'!$I23=P$2), 'ProductSprint Backlog'!$F23, TRUE, 0)</f>
        <v/>
      </c>
      <c r="Q23" s="4" t="str" cm="1">
        <f t="array" ref="Q23">_xlfn.IFS('ProductSprint Backlog'!$F23="", "", AND('ProductSprint Backlog'!$J23&gt;Q$2,'ProductSprint Backlog'!$I23&lt;=Q$2), 'ProductSprint Backlog'!$F23 / MAX(1, 'ProductSprint Backlog'!$J23-'ProductSprint Backlog'!$I23), AND('ProductSprint Backlog'!$J23=Q$2,'ProductSprint Backlog'!$I23=Q$2), 'ProductSprint Backlog'!$F23, TRUE, 0)</f>
        <v/>
      </c>
    </row>
    <row r="24" spans="2:17" x14ac:dyDescent="0.2">
      <c r="B24" s="4" cm="1">
        <f t="array" ref="B24">_xlfn.IFS('ProductSprint Backlog'!$F24="", "", AND('ProductSprint Backlog'!$J24&gt;B$2,'ProductSprint Backlog'!$I24&lt;=B$2), 'ProductSprint Backlog'!$F24 / MAX(1, 'ProductSprint Backlog'!$J24-'ProductSprint Backlog'!$I24), AND('ProductSprint Backlog'!$J24=B$2,'ProductSprint Backlog'!$I24=B$2), 'ProductSprint Backlog'!$F24, TRUE, 0)</f>
        <v>0</v>
      </c>
      <c r="C24" s="4" cm="1">
        <f t="array" ref="C24">_xlfn.IFS('ProductSprint Backlog'!$F24="", "", AND('ProductSprint Backlog'!$J24&gt;C$2,'ProductSprint Backlog'!$I24&lt;=C$2), 'ProductSprint Backlog'!$F24 / MAX(1, 'ProductSprint Backlog'!$J24-'ProductSprint Backlog'!$I24), AND('ProductSprint Backlog'!$J24=C$2,'ProductSprint Backlog'!$I24=C$2), 'ProductSprint Backlog'!$F24, TRUE, 0)</f>
        <v>0</v>
      </c>
      <c r="D24" s="4" cm="1">
        <f t="array" ref="D24">_xlfn.IFS('ProductSprint Backlog'!$F24="", "", AND('ProductSprint Backlog'!$J24&gt;D$2,'ProductSprint Backlog'!$I24&lt;=D$2), 'ProductSprint Backlog'!$F24 / MAX(1, 'ProductSprint Backlog'!$J24-'ProductSprint Backlog'!$I24), AND('ProductSprint Backlog'!$J24=D$2,'ProductSprint Backlog'!$I24=D$2), 'ProductSprint Backlog'!$F24, TRUE, 0)</f>
        <v>0</v>
      </c>
      <c r="E24" s="4" cm="1">
        <f t="array" ref="E24">_xlfn.IFS('ProductSprint Backlog'!$F24="", "", AND('ProductSprint Backlog'!$J24&gt;E$2,'ProductSprint Backlog'!$I24&lt;=E$2), 'ProductSprint Backlog'!$F24 / MAX(1, 'ProductSprint Backlog'!$J24-'ProductSprint Backlog'!$I24), AND('ProductSprint Backlog'!$J24=E$2,'ProductSprint Backlog'!$I24=E$2), 'ProductSprint Backlog'!$F24, TRUE, 0)</f>
        <v>0</v>
      </c>
      <c r="F24" s="4" cm="1">
        <f t="array" ref="F24">_xlfn.IFS('ProductSprint Backlog'!$F24="", "", AND('ProductSprint Backlog'!$J24&gt;F$2,'ProductSprint Backlog'!$I24&lt;=F$2), 'ProductSprint Backlog'!$F24 / MAX(1, 'ProductSprint Backlog'!$J24-'ProductSprint Backlog'!$I24), AND('ProductSprint Backlog'!$J24=F$2,'ProductSprint Backlog'!$I24=F$2), 'ProductSprint Backlog'!$F24, TRUE, 0)</f>
        <v>0</v>
      </c>
      <c r="G24" s="4" cm="1">
        <f t="array" ref="G24">_xlfn.IFS('ProductSprint Backlog'!$F24="", "", AND('ProductSprint Backlog'!$J24&gt;G$2,'ProductSprint Backlog'!$I24&lt;=G$2), 'ProductSprint Backlog'!$F24 / MAX(1, 'ProductSprint Backlog'!$J24-'ProductSprint Backlog'!$I24), AND('ProductSprint Backlog'!$J24=G$2,'ProductSprint Backlog'!$I24=G$2), 'ProductSprint Backlog'!$F24, TRUE, 0)</f>
        <v>0</v>
      </c>
      <c r="H24" s="4" cm="1">
        <f t="array" ref="H24">_xlfn.IFS('ProductSprint Backlog'!$F24="", "", AND('ProductSprint Backlog'!$J24&gt;H$2,'ProductSprint Backlog'!$I24&lt;=H$2), 'ProductSprint Backlog'!$F24 / MAX(1, 'ProductSprint Backlog'!$J24-'ProductSprint Backlog'!$I24), AND('ProductSprint Backlog'!$J24=H$2,'ProductSprint Backlog'!$I24=H$2), 'ProductSprint Backlog'!$F24, TRUE, 0)</f>
        <v>0</v>
      </c>
      <c r="I24" s="4" cm="1">
        <f t="array" ref="I24">_xlfn.IFS('ProductSprint Backlog'!$F24="", "", AND('ProductSprint Backlog'!$J24&gt;I$2,'ProductSprint Backlog'!$I24&lt;=I$2), 'ProductSprint Backlog'!$F24 / MAX(1, 'ProductSprint Backlog'!$J24-'ProductSprint Backlog'!$I24), AND('ProductSprint Backlog'!$J24=I$2,'ProductSprint Backlog'!$I24=I$2), 'ProductSprint Backlog'!$F24, TRUE, 0)</f>
        <v>0</v>
      </c>
      <c r="J24" s="4" cm="1">
        <f t="array" ref="J24">_xlfn.IFS('ProductSprint Backlog'!$F24="", "", AND('ProductSprint Backlog'!$J24&gt;J$2,'ProductSprint Backlog'!$I24&lt;=J$2), 'ProductSprint Backlog'!$F24 / MAX(1, 'ProductSprint Backlog'!$J24-'ProductSprint Backlog'!$I24), AND('ProductSprint Backlog'!$J24=J$2,'ProductSprint Backlog'!$I24=J$2), 'ProductSprint Backlog'!$F24, TRUE, 0)</f>
        <v>0</v>
      </c>
      <c r="K24" s="4" cm="1">
        <f t="array" ref="K24">_xlfn.IFS('ProductSprint Backlog'!$F24="", "", AND('ProductSprint Backlog'!$J24&gt;K$2,'ProductSprint Backlog'!$I24&lt;=K$2), 'ProductSprint Backlog'!$F24 / MAX(1, 'ProductSprint Backlog'!$J24-'ProductSprint Backlog'!$I24), AND('ProductSprint Backlog'!$J24=K$2,'ProductSprint Backlog'!$I24=K$2), 'ProductSprint Backlog'!$F24, TRUE, 0)</f>
        <v>0</v>
      </c>
      <c r="L24" s="4" cm="1">
        <f t="array" ref="L24">_xlfn.IFS('ProductSprint Backlog'!$F24="", "", AND('ProductSprint Backlog'!$J24&gt;L$2,'ProductSprint Backlog'!$I24&lt;=L$2), 'ProductSprint Backlog'!$F24 / MAX(1, 'ProductSprint Backlog'!$J24-'ProductSprint Backlog'!$I24), AND('ProductSprint Backlog'!$J24=L$2,'ProductSprint Backlog'!$I24=L$2), 'ProductSprint Backlog'!$F24, TRUE, 0)</f>
        <v>0</v>
      </c>
      <c r="M24" s="4" cm="1">
        <f t="array" ref="M24">_xlfn.IFS('ProductSprint Backlog'!$F24="", "", AND('ProductSprint Backlog'!$J24&gt;M$2,'ProductSprint Backlog'!$I24&lt;=M$2), 'ProductSprint Backlog'!$F24 / MAX(1, 'ProductSprint Backlog'!$J24-'ProductSprint Backlog'!$I24), AND('ProductSprint Backlog'!$J24=M$2,'ProductSprint Backlog'!$I24=M$2), 'ProductSprint Backlog'!$F24, TRUE, 0)</f>
        <v>0</v>
      </c>
      <c r="N24" s="4" cm="1">
        <f t="array" ref="N24">_xlfn.IFS('ProductSprint Backlog'!$F24="", "", AND('ProductSprint Backlog'!$J24&gt;N$2,'ProductSprint Backlog'!$I24&lt;=N$2), 'ProductSprint Backlog'!$F24 / MAX(1, 'ProductSprint Backlog'!$J24-'ProductSprint Backlog'!$I24), AND('ProductSprint Backlog'!$J24=N$2,'ProductSprint Backlog'!$I24=N$2), 'ProductSprint Backlog'!$F24, TRUE, 0)</f>
        <v>0</v>
      </c>
      <c r="O24" s="4" cm="1">
        <f t="array" ref="O24">_xlfn.IFS('ProductSprint Backlog'!$F24="", "", AND('ProductSprint Backlog'!$J24&gt;O$2,'ProductSprint Backlog'!$I24&lt;=O$2), 'ProductSprint Backlog'!$F24 / MAX(1, 'ProductSprint Backlog'!$J24-'ProductSprint Backlog'!$I24), AND('ProductSprint Backlog'!$J24=O$2,'ProductSprint Backlog'!$I24=O$2), 'ProductSprint Backlog'!$F24, TRUE, 0)</f>
        <v>0</v>
      </c>
      <c r="P24" s="4" cm="1">
        <f t="array" ref="P24">_xlfn.IFS('ProductSprint Backlog'!$F24="", "", AND('ProductSprint Backlog'!$J24&gt;P$2,'ProductSprint Backlog'!$I24&lt;=P$2), 'ProductSprint Backlog'!$F24 / MAX(1, 'ProductSprint Backlog'!$J24-'ProductSprint Backlog'!$I24), AND('ProductSprint Backlog'!$J24=P$2,'ProductSprint Backlog'!$I24=P$2), 'ProductSprint Backlog'!$F24, TRUE, 0)</f>
        <v>0</v>
      </c>
      <c r="Q24" s="4" cm="1">
        <f t="array" ref="Q24">_xlfn.IFS('ProductSprint Backlog'!$F24="", "", AND('ProductSprint Backlog'!$J24&gt;Q$2,'ProductSprint Backlog'!$I24&lt;=Q$2), 'ProductSprint Backlog'!$F24 / MAX(1, 'ProductSprint Backlog'!$J24-'ProductSprint Backlog'!$I24), AND('ProductSprint Backlog'!$J24=Q$2,'ProductSprint Backlog'!$I24=Q$2), 'ProductSprint Backlog'!$F24, TRUE, 0)</f>
        <v>0</v>
      </c>
    </row>
    <row r="25" spans="2:17" x14ac:dyDescent="0.2">
      <c r="B25" s="4" cm="1">
        <f t="array" ref="B25">_xlfn.IFS('ProductSprint Backlog'!$F25="", "", AND('ProductSprint Backlog'!$J25&gt;B$2,'ProductSprint Backlog'!$I25&lt;=B$2), 'ProductSprint Backlog'!$F25 / MAX(1, 'ProductSprint Backlog'!$J25-'ProductSprint Backlog'!$I25), AND('ProductSprint Backlog'!$J25=B$2,'ProductSprint Backlog'!$I25=B$2), 'ProductSprint Backlog'!$F25, TRUE, 0)</f>
        <v>0</v>
      </c>
      <c r="C25" s="4" cm="1">
        <f t="array" ref="C25">_xlfn.IFS('ProductSprint Backlog'!$F25="", "", AND('ProductSprint Backlog'!$J25&gt;C$2,'ProductSprint Backlog'!$I25&lt;=C$2), 'ProductSprint Backlog'!$F25 / MAX(1, 'ProductSprint Backlog'!$J25-'ProductSprint Backlog'!$I25), AND('ProductSprint Backlog'!$J25=C$2,'ProductSprint Backlog'!$I25=C$2), 'ProductSprint Backlog'!$F25, TRUE, 0)</f>
        <v>0</v>
      </c>
      <c r="D25" s="4" cm="1">
        <f t="array" ref="D25">_xlfn.IFS('ProductSprint Backlog'!$F25="", "", AND('ProductSprint Backlog'!$J25&gt;D$2,'ProductSprint Backlog'!$I25&lt;=D$2), 'ProductSprint Backlog'!$F25 / MAX(1, 'ProductSprint Backlog'!$J25-'ProductSprint Backlog'!$I25), AND('ProductSprint Backlog'!$J25=D$2,'ProductSprint Backlog'!$I25=D$2), 'ProductSprint Backlog'!$F25, TRUE, 0)</f>
        <v>0</v>
      </c>
      <c r="E25" s="4" cm="1">
        <f t="array" ref="E25">_xlfn.IFS('ProductSprint Backlog'!$F25="", "", AND('ProductSprint Backlog'!$J25&gt;E$2,'ProductSprint Backlog'!$I25&lt;=E$2), 'ProductSprint Backlog'!$F25 / MAX(1, 'ProductSprint Backlog'!$J25-'ProductSprint Backlog'!$I25), AND('ProductSprint Backlog'!$J25=E$2,'ProductSprint Backlog'!$I25=E$2), 'ProductSprint Backlog'!$F25, TRUE, 0)</f>
        <v>0</v>
      </c>
      <c r="F25" s="4" cm="1">
        <f t="array" ref="F25">_xlfn.IFS('ProductSprint Backlog'!$F25="", "", AND('ProductSprint Backlog'!$J25&gt;F$2,'ProductSprint Backlog'!$I25&lt;=F$2), 'ProductSprint Backlog'!$F25 / MAX(1, 'ProductSprint Backlog'!$J25-'ProductSprint Backlog'!$I25), AND('ProductSprint Backlog'!$J25=F$2,'ProductSprint Backlog'!$I25=F$2), 'ProductSprint Backlog'!$F25, TRUE, 0)</f>
        <v>0</v>
      </c>
      <c r="G25" s="4" cm="1">
        <f t="array" ref="G25">_xlfn.IFS('ProductSprint Backlog'!$F25="", "", AND('ProductSprint Backlog'!$J25&gt;G$2,'ProductSprint Backlog'!$I25&lt;=G$2), 'ProductSprint Backlog'!$F25 / MAX(1, 'ProductSprint Backlog'!$J25-'ProductSprint Backlog'!$I25), AND('ProductSprint Backlog'!$J25=G$2,'ProductSprint Backlog'!$I25=G$2), 'ProductSprint Backlog'!$F25, TRUE, 0)</f>
        <v>0</v>
      </c>
      <c r="H25" s="4" cm="1">
        <f t="array" ref="H25">_xlfn.IFS('ProductSprint Backlog'!$F25="", "", AND('ProductSprint Backlog'!$J25&gt;H$2,'ProductSprint Backlog'!$I25&lt;=H$2), 'ProductSprint Backlog'!$F25 / MAX(1, 'ProductSprint Backlog'!$J25-'ProductSprint Backlog'!$I25), AND('ProductSprint Backlog'!$J25=H$2,'ProductSprint Backlog'!$I25=H$2), 'ProductSprint Backlog'!$F25, TRUE, 0)</f>
        <v>0</v>
      </c>
      <c r="I25" s="4" cm="1">
        <f t="array" ref="I25">_xlfn.IFS('ProductSprint Backlog'!$F25="", "", AND('ProductSprint Backlog'!$J25&gt;I$2,'ProductSprint Backlog'!$I25&lt;=I$2), 'ProductSprint Backlog'!$F25 / MAX(1, 'ProductSprint Backlog'!$J25-'ProductSprint Backlog'!$I25), AND('ProductSprint Backlog'!$J25=I$2,'ProductSprint Backlog'!$I25=I$2), 'ProductSprint Backlog'!$F25, TRUE, 0)</f>
        <v>0</v>
      </c>
      <c r="J25" s="4" cm="1">
        <f t="array" ref="J25">_xlfn.IFS('ProductSprint Backlog'!$F25="", "", AND('ProductSprint Backlog'!$J25&gt;J$2,'ProductSprint Backlog'!$I25&lt;=J$2), 'ProductSprint Backlog'!$F25 / MAX(1, 'ProductSprint Backlog'!$J25-'ProductSprint Backlog'!$I25), AND('ProductSprint Backlog'!$J25=J$2,'ProductSprint Backlog'!$I25=J$2), 'ProductSprint Backlog'!$F25, TRUE, 0)</f>
        <v>0</v>
      </c>
      <c r="K25" s="4" cm="1">
        <f t="array" ref="K25">_xlfn.IFS('ProductSprint Backlog'!$F25="", "", AND('ProductSprint Backlog'!$J25&gt;K$2,'ProductSprint Backlog'!$I25&lt;=K$2), 'ProductSprint Backlog'!$F25 / MAX(1, 'ProductSprint Backlog'!$J25-'ProductSprint Backlog'!$I25), AND('ProductSprint Backlog'!$J25=K$2,'ProductSprint Backlog'!$I25=K$2), 'ProductSprint Backlog'!$F25, TRUE, 0)</f>
        <v>0</v>
      </c>
      <c r="L25" s="4" cm="1">
        <f t="array" ref="L25">_xlfn.IFS('ProductSprint Backlog'!$F25="", "", AND('ProductSprint Backlog'!$J25&gt;L$2,'ProductSprint Backlog'!$I25&lt;=L$2), 'ProductSprint Backlog'!$F25 / MAX(1, 'ProductSprint Backlog'!$J25-'ProductSprint Backlog'!$I25), AND('ProductSprint Backlog'!$J25=L$2,'ProductSprint Backlog'!$I25=L$2), 'ProductSprint Backlog'!$F25, TRUE, 0)</f>
        <v>0</v>
      </c>
      <c r="M25" s="4" cm="1">
        <f t="array" ref="M25">_xlfn.IFS('ProductSprint Backlog'!$F25="", "", AND('ProductSprint Backlog'!$J25&gt;M$2,'ProductSprint Backlog'!$I25&lt;=M$2), 'ProductSprint Backlog'!$F25 / MAX(1, 'ProductSprint Backlog'!$J25-'ProductSprint Backlog'!$I25), AND('ProductSprint Backlog'!$J25=M$2,'ProductSprint Backlog'!$I25=M$2), 'ProductSprint Backlog'!$F25, TRUE, 0)</f>
        <v>0</v>
      </c>
      <c r="N25" s="4" cm="1">
        <f t="array" ref="N25">_xlfn.IFS('ProductSprint Backlog'!$F25="", "", AND('ProductSprint Backlog'!$J25&gt;N$2,'ProductSprint Backlog'!$I25&lt;=N$2), 'ProductSprint Backlog'!$F25 / MAX(1, 'ProductSprint Backlog'!$J25-'ProductSprint Backlog'!$I25), AND('ProductSprint Backlog'!$J25=N$2,'ProductSprint Backlog'!$I25=N$2), 'ProductSprint Backlog'!$F25, TRUE, 0)</f>
        <v>0</v>
      </c>
      <c r="O25" s="4" cm="1">
        <f t="array" ref="O25">_xlfn.IFS('ProductSprint Backlog'!$F25="", "", AND('ProductSprint Backlog'!$J25&gt;O$2,'ProductSprint Backlog'!$I25&lt;=O$2), 'ProductSprint Backlog'!$F25 / MAX(1, 'ProductSprint Backlog'!$J25-'ProductSprint Backlog'!$I25), AND('ProductSprint Backlog'!$J25=O$2,'ProductSprint Backlog'!$I25=O$2), 'ProductSprint Backlog'!$F25, TRUE, 0)</f>
        <v>0</v>
      </c>
      <c r="P25" s="4" cm="1">
        <f t="array" ref="P25">_xlfn.IFS('ProductSprint Backlog'!$F25="", "", AND('ProductSprint Backlog'!$J25&gt;P$2,'ProductSprint Backlog'!$I25&lt;=P$2), 'ProductSprint Backlog'!$F25 / MAX(1, 'ProductSprint Backlog'!$J25-'ProductSprint Backlog'!$I25), AND('ProductSprint Backlog'!$J25=P$2,'ProductSprint Backlog'!$I25=P$2), 'ProductSprint Backlog'!$F25, TRUE, 0)</f>
        <v>0</v>
      </c>
      <c r="Q25" s="4" cm="1">
        <f t="array" ref="Q25">_xlfn.IFS('ProductSprint Backlog'!$F25="", "", AND('ProductSprint Backlog'!$J25&gt;Q$2,'ProductSprint Backlog'!$I25&lt;=Q$2), 'ProductSprint Backlog'!$F25 / MAX(1, 'ProductSprint Backlog'!$J25-'ProductSprint Backlog'!$I25), AND('ProductSprint Backlog'!$J25=Q$2,'ProductSprint Backlog'!$I25=Q$2), 'ProductSprint Backlog'!$F25, TRUE, 0)</f>
        <v>0</v>
      </c>
    </row>
    <row r="26" spans="2:17" x14ac:dyDescent="0.2">
      <c r="B26" s="4" cm="1">
        <f t="array" ref="B26">_xlfn.IFS('ProductSprint Backlog'!$F26="", "", AND('ProductSprint Backlog'!$J26&gt;B$2,'ProductSprint Backlog'!$I26&lt;=B$2), 'ProductSprint Backlog'!$F26 / MAX(1, 'ProductSprint Backlog'!$J26-'ProductSprint Backlog'!$I26), AND('ProductSprint Backlog'!$J26=B$2,'ProductSprint Backlog'!$I26=B$2), 'ProductSprint Backlog'!$F26, TRUE, 0)</f>
        <v>0</v>
      </c>
      <c r="C26" s="4" cm="1">
        <f t="array" ref="C26">_xlfn.IFS('ProductSprint Backlog'!$F26="", "", AND('ProductSprint Backlog'!$J26&gt;C$2,'ProductSprint Backlog'!$I26&lt;=C$2), 'ProductSprint Backlog'!$F26 / MAX(1, 'ProductSprint Backlog'!$J26-'ProductSprint Backlog'!$I26), AND('ProductSprint Backlog'!$J26=C$2,'ProductSprint Backlog'!$I26=C$2), 'ProductSprint Backlog'!$F26, TRUE, 0)</f>
        <v>0</v>
      </c>
      <c r="D26" s="4" cm="1">
        <f t="array" ref="D26">_xlfn.IFS('ProductSprint Backlog'!$F26="", "", AND('ProductSprint Backlog'!$J26&gt;D$2,'ProductSprint Backlog'!$I26&lt;=D$2), 'ProductSprint Backlog'!$F26 / MAX(1, 'ProductSprint Backlog'!$J26-'ProductSprint Backlog'!$I26), AND('ProductSprint Backlog'!$J26=D$2,'ProductSprint Backlog'!$I26=D$2), 'ProductSprint Backlog'!$F26, TRUE, 0)</f>
        <v>0</v>
      </c>
      <c r="E26" s="4" cm="1">
        <f t="array" ref="E26">_xlfn.IFS('ProductSprint Backlog'!$F26="", "", AND('ProductSprint Backlog'!$J26&gt;E$2,'ProductSprint Backlog'!$I26&lt;=E$2), 'ProductSprint Backlog'!$F26 / MAX(1, 'ProductSprint Backlog'!$J26-'ProductSprint Backlog'!$I26), AND('ProductSprint Backlog'!$J26=E$2,'ProductSprint Backlog'!$I26=E$2), 'ProductSprint Backlog'!$F26, TRUE, 0)</f>
        <v>0</v>
      </c>
      <c r="F26" s="4" cm="1">
        <f t="array" ref="F26">_xlfn.IFS('ProductSprint Backlog'!$F26="", "", AND('ProductSprint Backlog'!$J26&gt;F$2,'ProductSprint Backlog'!$I26&lt;=F$2), 'ProductSprint Backlog'!$F26 / MAX(1, 'ProductSprint Backlog'!$J26-'ProductSprint Backlog'!$I26), AND('ProductSprint Backlog'!$J26=F$2,'ProductSprint Backlog'!$I26=F$2), 'ProductSprint Backlog'!$F26, TRUE, 0)</f>
        <v>0</v>
      </c>
      <c r="G26" s="4" cm="1">
        <f t="array" ref="G26">_xlfn.IFS('ProductSprint Backlog'!$F26="", "", AND('ProductSprint Backlog'!$J26&gt;G$2,'ProductSprint Backlog'!$I26&lt;=G$2), 'ProductSprint Backlog'!$F26 / MAX(1, 'ProductSprint Backlog'!$J26-'ProductSprint Backlog'!$I26), AND('ProductSprint Backlog'!$J26=G$2,'ProductSprint Backlog'!$I26=G$2), 'ProductSprint Backlog'!$F26, TRUE, 0)</f>
        <v>0</v>
      </c>
      <c r="H26" s="4" cm="1">
        <f t="array" ref="H26">_xlfn.IFS('ProductSprint Backlog'!$F26="", "", AND('ProductSprint Backlog'!$J26&gt;H$2,'ProductSprint Backlog'!$I26&lt;=H$2), 'ProductSprint Backlog'!$F26 / MAX(1, 'ProductSprint Backlog'!$J26-'ProductSprint Backlog'!$I26), AND('ProductSprint Backlog'!$J26=H$2,'ProductSprint Backlog'!$I26=H$2), 'ProductSprint Backlog'!$F26, TRUE, 0)</f>
        <v>0</v>
      </c>
      <c r="I26" s="4" cm="1">
        <f t="array" ref="I26">_xlfn.IFS('ProductSprint Backlog'!$F26="", "", AND('ProductSprint Backlog'!$J26&gt;I$2,'ProductSprint Backlog'!$I26&lt;=I$2), 'ProductSprint Backlog'!$F26 / MAX(1, 'ProductSprint Backlog'!$J26-'ProductSprint Backlog'!$I26), AND('ProductSprint Backlog'!$J26=I$2,'ProductSprint Backlog'!$I26=I$2), 'ProductSprint Backlog'!$F26, TRUE, 0)</f>
        <v>0</v>
      </c>
      <c r="J26" s="4" cm="1">
        <f t="array" ref="J26">_xlfn.IFS('ProductSprint Backlog'!$F26="", "", AND('ProductSprint Backlog'!$J26&gt;J$2,'ProductSprint Backlog'!$I26&lt;=J$2), 'ProductSprint Backlog'!$F26 / MAX(1, 'ProductSprint Backlog'!$J26-'ProductSprint Backlog'!$I26), AND('ProductSprint Backlog'!$J26=J$2,'ProductSprint Backlog'!$I26=J$2), 'ProductSprint Backlog'!$F26, TRUE, 0)</f>
        <v>0</v>
      </c>
      <c r="K26" s="4" cm="1">
        <f t="array" ref="K26">_xlfn.IFS('ProductSprint Backlog'!$F26="", "", AND('ProductSprint Backlog'!$J26&gt;K$2,'ProductSprint Backlog'!$I26&lt;=K$2), 'ProductSprint Backlog'!$F26 / MAX(1, 'ProductSprint Backlog'!$J26-'ProductSprint Backlog'!$I26), AND('ProductSprint Backlog'!$J26=K$2,'ProductSprint Backlog'!$I26=K$2), 'ProductSprint Backlog'!$F26, TRUE, 0)</f>
        <v>0</v>
      </c>
      <c r="L26" s="4" cm="1">
        <f t="array" ref="L26">_xlfn.IFS('ProductSprint Backlog'!$F26="", "", AND('ProductSprint Backlog'!$J26&gt;L$2,'ProductSprint Backlog'!$I26&lt;=L$2), 'ProductSprint Backlog'!$F26 / MAX(1, 'ProductSprint Backlog'!$J26-'ProductSprint Backlog'!$I26), AND('ProductSprint Backlog'!$J26=L$2,'ProductSprint Backlog'!$I26=L$2), 'ProductSprint Backlog'!$F26, TRUE, 0)</f>
        <v>0</v>
      </c>
      <c r="M26" s="4" cm="1">
        <f t="array" ref="M26">_xlfn.IFS('ProductSprint Backlog'!$F26="", "", AND('ProductSprint Backlog'!$J26&gt;M$2,'ProductSprint Backlog'!$I26&lt;=M$2), 'ProductSprint Backlog'!$F26 / MAX(1, 'ProductSprint Backlog'!$J26-'ProductSprint Backlog'!$I26), AND('ProductSprint Backlog'!$J26=M$2,'ProductSprint Backlog'!$I26=M$2), 'ProductSprint Backlog'!$F26, TRUE, 0)</f>
        <v>0</v>
      </c>
      <c r="N26" s="4" cm="1">
        <f t="array" ref="N26">_xlfn.IFS('ProductSprint Backlog'!$F26="", "", AND('ProductSprint Backlog'!$J26&gt;N$2,'ProductSprint Backlog'!$I26&lt;=N$2), 'ProductSprint Backlog'!$F26 / MAX(1, 'ProductSprint Backlog'!$J26-'ProductSprint Backlog'!$I26), AND('ProductSprint Backlog'!$J26=N$2,'ProductSprint Backlog'!$I26=N$2), 'ProductSprint Backlog'!$F26, TRUE, 0)</f>
        <v>0</v>
      </c>
      <c r="O26" s="4" cm="1">
        <f t="array" ref="O26">_xlfn.IFS('ProductSprint Backlog'!$F26="", "", AND('ProductSprint Backlog'!$J26&gt;O$2,'ProductSprint Backlog'!$I26&lt;=O$2), 'ProductSprint Backlog'!$F26 / MAX(1, 'ProductSprint Backlog'!$J26-'ProductSprint Backlog'!$I26), AND('ProductSprint Backlog'!$J26=O$2,'ProductSprint Backlog'!$I26=O$2), 'ProductSprint Backlog'!$F26, TRUE, 0)</f>
        <v>0</v>
      </c>
      <c r="P26" s="4" cm="1">
        <f t="array" ref="P26">_xlfn.IFS('ProductSprint Backlog'!$F26="", "", AND('ProductSprint Backlog'!$J26&gt;P$2,'ProductSprint Backlog'!$I26&lt;=P$2), 'ProductSprint Backlog'!$F26 / MAX(1, 'ProductSprint Backlog'!$J26-'ProductSprint Backlog'!$I26), AND('ProductSprint Backlog'!$J26=P$2,'ProductSprint Backlog'!$I26=P$2), 'ProductSprint Backlog'!$F26, TRUE, 0)</f>
        <v>0</v>
      </c>
      <c r="Q26" s="4" cm="1">
        <f t="array" ref="Q26">_xlfn.IFS('ProductSprint Backlog'!$F26="", "", AND('ProductSprint Backlog'!$J26&gt;Q$2,'ProductSprint Backlog'!$I26&lt;=Q$2), 'ProductSprint Backlog'!$F26 / MAX(1, 'ProductSprint Backlog'!$J26-'ProductSprint Backlog'!$I26), AND('ProductSprint Backlog'!$J26=Q$2,'ProductSprint Backlog'!$I26=Q$2), 'ProductSprint Backlog'!$F26, TRUE, 0)</f>
        <v>0</v>
      </c>
    </row>
    <row r="27" spans="2:17" x14ac:dyDescent="0.2">
      <c r="B27" s="4" t="str" cm="1">
        <f t="array" ref="B27">_xlfn.IFS('ProductSprint Backlog'!$F27="", "", AND('ProductSprint Backlog'!$J27&gt;B$2,'ProductSprint Backlog'!$I27&lt;=B$2), 'ProductSprint Backlog'!$F27 / MAX(1, 'ProductSprint Backlog'!$J27-'ProductSprint Backlog'!$I27), AND('ProductSprint Backlog'!$J27=B$2,'ProductSprint Backlog'!$I27=B$2), 'ProductSprint Backlog'!$F27, TRUE, 0)</f>
        <v/>
      </c>
      <c r="C27" s="4" t="str" cm="1">
        <f t="array" ref="C27">_xlfn.IFS('ProductSprint Backlog'!$F27="", "", AND('ProductSprint Backlog'!$J27&gt;C$2,'ProductSprint Backlog'!$I27&lt;=C$2), 'ProductSprint Backlog'!$F27 / MAX(1, 'ProductSprint Backlog'!$J27-'ProductSprint Backlog'!$I27), AND('ProductSprint Backlog'!$J27=C$2,'ProductSprint Backlog'!$I27=C$2), 'ProductSprint Backlog'!$F27, TRUE, 0)</f>
        <v/>
      </c>
      <c r="D27" s="4" t="str" cm="1">
        <f t="array" ref="D27">_xlfn.IFS('ProductSprint Backlog'!$F27="", "", AND('ProductSprint Backlog'!$J27&gt;D$2,'ProductSprint Backlog'!$I27&lt;=D$2), 'ProductSprint Backlog'!$F27 / MAX(1, 'ProductSprint Backlog'!$J27-'ProductSprint Backlog'!$I27), AND('ProductSprint Backlog'!$J27=D$2,'ProductSprint Backlog'!$I27=D$2), 'ProductSprint Backlog'!$F27, TRUE, 0)</f>
        <v/>
      </c>
      <c r="E27" s="4" t="str" cm="1">
        <f t="array" ref="E27">_xlfn.IFS('ProductSprint Backlog'!$F27="", "", AND('ProductSprint Backlog'!$J27&gt;E$2,'ProductSprint Backlog'!$I27&lt;=E$2), 'ProductSprint Backlog'!$F27 / MAX(1, 'ProductSprint Backlog'!$J27-'ProductSprint Backlog'!$I27), AND('ProductSprint Backlog'!$J27=E$2,'ProductSprint Backlog'!$I27=E$2), 'ProductSprint Backlog'!$F27, TRUE, 0)</f>
        <v/>
      </c>
      <c r="F27" s="4" t="str" cm="1">
        <f t="array" ref="F27">_xlfn.IFS('ProductSprint Backlog'!$F27="", "", AND('ProductSprint Backlog'!$J27&gt;F$2,'ProductSprint Backlog'!$I27&lt;=F$2), 'ProductSprint Backlog'!$F27 / MAX(1, 'ProductSprint Backlog'!$J27-'ProductSprint Backlog'!$I27), AND('ProductSprint Backlog'!$J27=F$2,'ProductSprint Backlog'!$I27=F$2), 'ProductSprint Backlog'!$F27, TRUE, 0)</f>
        <v/>
      </c>
      <c r="G27" s="4" t="str" cm="1">
        <f t="array" ref="G27">_xlfn.IFS('ProductSprint Backlog'!$F27="", "", AND('ProductSprint Backlog'!$J27&gt;G$2,'ProductSprint Backlog'!$I27&lt;=G$2), 'ProductSprint Backlog'!$F27 / MAX(1, 'ProductSprint Backlog'!$J27-'ProductSprint Backlog'!$I27), AND('ProductSprint Backlog'!$J27=G$2,'ProductSprint Backlog'!$I27=G$2), 'ProductSprint Backlog'!$F27, TRUE, 0)</f>
        <v/>
      </c>
      <c r="H27" s="4" t="str" cm="1">
        <f t="array" ref="H27">_xlfn.IFS('ProductSprint Backlog'!$F27="", "", AND('ProductSprint Backlog'!$J27&gt;H$2,'ProductSprint Backlog'!$I27&lt;=H$2), 'ProductSprint Backlog'!$F27 / MAX(1, 'ProductSprint Backlog'!$J27-'ProductSprint Backlog'!$I27), AND('ProductSprint Backlog'!$J27=H$2,'ProductSprint Backlog'!$I27=H$2), 'ProductSprint Backlog'!$F27, TRUE, 0)</f>
        <v/>
      </c>
      <c r="I27" s="4" t="str" cm="1">
        <f t="array" ref="I27">_xlfn.IFS('ProductSprint Backlog'!$F27="", "", AND('ProductSprint Backlog'!$J27&gt;I$2,'ProductSprint Backlog'!$I27&lt;=I$2), 'ProductSprint Backlog'!$F27 / MAX(1, 'ProductSprint Backlog'!$J27-'ProductSprint Backlog'!$I27), AND('ProductSprint Backlog'!$J27=I$2,'ProductSprint Backlog'!$I27=I$2), 'ProductSprint Backlog'!$F27, TRUE, 0)</f>
        <v/>
      </c>
      <c r="J27" s="4" t="str" cm="1">
        <f t="array" ref="J27">_xlfn.IFS('ProductSprint Backlog'!$F27="", "", AND('ProductSprint Backlog'!$J27&gt;J$2,'ProductSprint Backlog'!$I27&lt;=J$2), 'ProductSprint Backlog'!$F27 / MAX(1, 'ProductSprint Backlog'!$J27-'ProductSprint Backlog'!$I27), AND('ProductSprint Backlog'!$J27=J$2,'ProductSprint Backlog'!$I27=J$2), 'ProductSprint Backlog'!$F27, TRUE, 0)</f>
        <v/>
      </c>
      <c r="K27" s="4" t="str" cm="1">
        <f t="array" ref="K27">_xlfn.IFS('ProductSprint Backlog'!$F27="", "", AND('ProductSprint Backlog'!$J27&gt;K$2,'ProductSprint Backlog'!$I27&lt;=K$2), 'ProductSprint Backlog'!$F27 / MAX(1, 'ProductSprint Backlog'!$J27-'ProductSprint Backlog'!$I27), AND('ProductSprint Backlog'!$J27=K$2,'ProductSprint Backlog'!$I27=K$2), 'ProductSprint Backlog'!$F27, TRUE, 0)</f>
        <v/>
      </c>
      <c r="L27" s="4" t="str" cm="1">
        <f t="array" ref="L27">_xlfn.IFS('ProductSprint Backlog'!$F27="", "", AND('ProductSprint Backlog'!$J27&gt;L$2,'ProductSprint Backlog'!$I27&lt;=L$2), 'ProductSprint Backlog'!$F27 / MAX(1, 'ProductSprint Backlog'!$J27-'ProductSprint Backlog'!$I27), AND('ProductSprint Backlog'!$J27=L$2,'ProductSprint Backlog'!$I27=L$2), 'ProductSprint Backlog'!$F27, TRUE, 0)</f>
        <v/>
      </c>
      <c r="M27" s="4" t="str" cm="1">
        <f t="array" ref="M27">_xlfn.IFS('ProductSprint Backlog'!$F27="", "", AND('ProductSprint Backlog'!$J27&gt;M$2,'ProductSprint Backlog'!$I27&lt;=M$2), 'ProductSprint Backlog'!$F27 / MAX(1, 'ProductSprint Backlog'!$J27-'ProductSprint Backlog'!$I27), AND('ProductSprint Backlog'!$J27=M$2,'ProductSprint Backlog'!$I27=M$2), 'ProductSprint Backlog'!$F27, TRUE, 0)</f>
        <v/>
      </c>
      <c r="N27" s="4" t="str" cm="1">
        <f t="array" ref="N27">_xlfn.IFS('ProductSprint Backlog'!$F27="", "", AND('ProductSprint Backlog'!$J27&gt;N$2,'ProductSprint Backlog'!$I27&lt;=N$2), 'ProductSprint Backlog'!$F27 / MAX(1, 'ProductSprint Backlog'!$J27-'ProductSprint Backlog'!$I27), AND('ProductSprint Backlog'!$J27=N$2,'ProductSprint Backlog'!$I27=N$2), 'ProductSprint Backlog'!$F27, TRUE, 0)</f>
        <v/>
      </c>
      <c r="O27" s="4" t="str" cm="1">
        <f t="array" ref="O27">_xlfn.IFS('ProductSprint Backlog'!$F27="", "", AND('ProductSprint Backlog'!$J27&gt;O$2,'ProductSprint Backlog'!$I27&lt;=O$2), 'ProductSprint Backlog'!$F27 / MAX(1, 'ProductSprint Backlog'!$J27-'ProductSprint Backlog'!$I27), AND('ProductSprint Backlog'!$J27=O$2,'ProductSprint Backlog'!$I27=O$2), 'ProductSprint Backlog'!$F27, TRUE, 0)</f>
        <v/>
      </c>
      <c r="P27" s="4" t="str" cm="1">
        <f t="array" ref="P27">_xlfn.IFS('ProductSprint Backlog'!$F27="", "", AND('ProductSprint Backlog'!$J27&gt;P$2,'ProductSprint Backlog'!$I27&lt;=P$2), 'ProductSprint Backlog'!$F27 / MAX(1, 'ProductSprint Backlog'!$J27-'ProductSprint Backlog'!$I27), AND('ProductSprint Backlog'!$J27=P$2,'ProductSprint Backlog'!$I27=P$2), 'ProductSprint Backlog'!$F27, TRUE, 0)</f>
        <v/>
      </c>
      <c r="Q27" s="4" t="str" cm="1">
        <f t="array" ref="Q27">_xlfn.IFS('ProductSprint Backlog'!$F27="", "", AND('ProductSprint Backlog'!$J27&gt;Q$2,'ProductSprint Backlog'!$I27&lt;=Q$2), 'ProductSprint Backlog'!$F27 / MAX(1, 'ProductSprint Backlog'!$J27-'ProductSprint Backlog'!$I27), AND('ProductSprint Backlog'!$J27=Q$2,'ProductSprint Backlog'!$I27=Q$2), 'ProductSprint Backlog'!$F27, TRUE, 0)</f>
        <v/>
      </c>
    </row>
    <row r="28" spans="2:17" x14ac:dyDescent="0.2">
      <c r="B28" s="4" cm="1">
        <f t="array" ref="B28">_xlfn.IFS('ProductSprint Backlog'!$F28="", "", AND('ProductSprint Backlog'!$J28&gt;B$2,'ProductSprint Backlog'!$I28&lt;=B$2), 'ProductSprint Backlog'!$F28 / MAX(1, 'ProductSprint Backlog'!$J28-'ProductSprint Backlog'!$I28), AND('ProductSprint Backlog'!$J28=B$2,'ProductSprint Backlog'!$I28=B$2), 'ProductSprint Backlog'!$F28, TRUE, 0)</f>
        <v>0</v>
      </c>
      <c r="C28" s="4" cm="1">
        <f t="array" ref="C28">_xlfn.IFS('ProductSprint Backlog'!$F28="", "", AND('ProductSprint Backlog'!$J28&gt;C$2,'ProductSprint Backlog'!$I28&lt;=C$2), 'ProductSprint Backlog'!$F28 / MAX(1, 'ProductSprint Backlog'!$J28-'ProductSprint Backlog'!$I28), AND('ProductSprint Backlog'!$J28=C$2,'ProductSprint Backlog'!$I28=C$2), 'ProductSprint Backlog'!$F28, TRUE, 0)</f>
        <v>0</v>
      </c>
      <c r="D28" s="4" cm="1">
        <f t="array" ref="D28">_xlfn.IFS('ProductSprint Backlog'!$F28="", "", AND('ProductSprint Backlog'!$J28&gt;D$2,'ProductSprint Backlog'!$I28&lt;=D$2), 'ProductSprint Backlog'!$F28 / MAX(1, 'ProductSprint Backlog'!$J28-'ProductSprint Backlog'!$I28), AND('ProductSprint Backlog'!$J28=D$2,'ProductSprint Backlog'!$I28=D$2), 'ProductSprint Backlog'!$F28, TRUE, 0)</f>
        <v>0</v>
      </c>
      <c r="E28" s="4" cm="1">
        <f t="array" ref="E28">_xlfn.IFS('ProductSprint Backlog'!$F28="", "", AND('ProductSprint Backlog'!$J28&gt;E$2,'ProductSprint Backlog'!$I28&lt;=E$2), 'ProductSprint Backlog'!$F28 / MAX(1, 'ProductSprint Backlog'!$J28-'ProductSprint Backlog'!$I28), AND('ProductSprint Backlog'!$J28=E$2,'ProductSprint Backlog'!$I28=E$2), 'ProductSprint Backlog'!$F28, TRUE, 0)</f>
        <v>0</v>
      </c>
      <c r="F28" s="4" cm="1">
        <f t="array" ref="F28">_xlfn.IFS('ProductSprint Backlog'!$F28="", "", AND('ProductSprint Backlog'!$J28&gt;F$2,'ProductSprint Backlog'!$I28&lt;=F$2), 'ProductSprint Backlog'!$F28 / MAX(1, 'ProductSprint Backlog'!$J28-'ProductSprint Backlog'!$I28), AND('ProductSprint Backlog'!$J28=F$2,'ProductSprint Backlog'!$I28=F$2), 'ProductSprint Backlog'!$F28, TRUE, 0)</f>
        <v>0</v>
      </c>
      <c r="G28" s="4" cm="1">
        <f t="array" ref="G28">_xlfn.IFS('ProductSprint Backlog'!$F28="", "", AND('ProductSprint Backlog'!$J28&gt;G$2,'ProductSprint Backlog'!$I28&lt;=G$2), 'ProductSprint Backlog'!$F28 / MAX(1, 'ProductSprint Backlog'!$J28-'ProductSprint Backlog'!$I28), AND('ProductSprint Backlog'!$J28=G$2,'ProductSprint Backlog'!$I28=G$2), 'ProductSprint Backlog'!$F28, TRUE, 0)</f>
        <v>0</v>
      </c>
      <c r="H28" s="4" cm="1">
        <f t="array" ref="H28">_xlfn.IFS('ProductSprint Backlog'!$F28="", "", AND('ProductSprint Backlog'!$J28&gt;H$2,'ProductSprint Backlog'!$I28&lt;=H$2), 'ProductSprint Backlog'!$F28 / MAX(1, 'ProductSprint Backlog'!$J28-'ProductSprint Backlog'!$I28), AND('ProductSprint Backlog'!$J28=H$2,'ProductSprint Backlog'!$I28=H$2), 'ProductSprint Backlog'!$F28, TRUE, 0)</f>
        <v>0</v>
      </c>
      <c r="I28" s="4" cm="1">
        <f t="array" ref="I28">_xlfn.IFS('ProductSprint Backlog'!$F28="", "", AND('ProductSprint Backlog'!$J28&gt;I$2,'ProductSprint Backlog'!$I28&lt;=I$2), 'ProductSprint Backlog'!$F28 / MAX(1, 'ProductSprint Backlog'!$J28-'ProductSprint Backlog'!$I28), AND('ProductSprint Backlog'!$J28=I$2,'ProductSprint Backlog'!$I28=I$2), 'ProductSprint Backlog'!$F28, TRUE, 0)</f>
        <v>0</v>
      </c>
      <c r="J28" s="4" cm="1">
        <f t="array" ref="J28">_xlfn.IFS('ProductSprint Backlog'!$F28="", "", AND('ProductSprint Backlog'!$J28&gt;J$2,'ProductSprint Backlog'!$I28&lt;=J$2), 'ProductSprint Backlog'!$F28 / MAX(1, 'ProductSprint Backlog'!$J28-'ProductSprint Backlog'!$I28), AND('ProductSprint Backlog'!$J28=J$2,'ProductSprint Backlog'!$I28=J$2), 'ProductSprint Backlog'!$F28, TRUE, 0)</f>
        <v>0</v>
      </c>
      <c r="K28" s="4" cm="1">
        <f t="array" ref="K28">_xlfn.IFS('ProductSprint Backlog'!$F28="", "", AND('ProductSprint Backlog'!$J28&gt;K$2,'ProductSprint Backlog'!$I28&lt;=K$2), 'ProductSprint Backlog'!$F28 / MAX(1, 'ProductSprint Backlog'!$J28-'ProductSprint Backlog'!$I28), AND('ProductSprint Backlog'!$J28=K$2,'ProductSprint Backlog'!$I28=K$2), 'ProductSprint Backlog'!$F28, TRUE, 0)</f>
        <v>0</v>
      </c>
      <c r="L28" s="4" cm="1">
        <f t="array" ref="L28">_xlfn.IFS('ProductSprint Backlog'!$F28="", "", AND('ProductSprint Backlog'!$J28&gt;L$2,'ProductSprint Backlog'!$I28&lt;=L$2), 'ProductSprint Backlog'!$F28 / MAX(1, 'ProductSprint Backlog'!$J28-'ProductSprint Backlog'!$I28), AND('ProductSprint Backlog'!$J28=L$2,'ProductSprint Backlog'!$I28=L$2), 'ProductSprint Backlog'!$F28, TRUE, 0)</f>
        <v>0</v>
      </c>
      <c r="M28" s="4" cm="1">
        <f t="array" ref="M28">_xlfn.IFS('ProductSprint Backlog'!$F28="", "", AND('ProductSprint Backlog'!$J28&gt;M$2,'ProductSprint Backlog'!$I28&lt;=M$2), 'ProductSprint Backlog'!$F28 / MAX(1, 'ProductSprint Backlog'!$J28-'ProductSprint Backlog'!$I28), AND('ProductSprint Backlog'!$J28=M$2,'ProductSprint Backlog'!$I28=M$2), 'ProductSprint Backlog'!$F28, TRUE, 0)</f>
        <v>0</v>
      </c>
      <c r="N28" s="4" cm="1">
        <f t="array" ref="N28">_xlfn.IFS('ProductSprint Backlog'!$F28="", "", AND('ProductSprint Backlog'!$J28&gt;N$2,'ProductSprint Backlog'!$I28&lt;=N$2), 'ProductSprint Backlog'!$F28 / MAX(1, 'ProductSprint Backlog'!$J28-'ProductSprint Backlog'!$I28), AND('ProductSprint Backlog'!$J28=N$2,'ProductSprint Backlog'!$I28=N$2), 'ProductSprint Backlog'!$F28, TRUE, 0)</f>
        <v>0</v>
      </c>
      <c r="O28" s="4" cm="1">
        <f t="array" ref="O28">_xlfn.IFS('ProductSprint Backlog'!$F28="", "", AND('ProductSprint Backlog'!$J28&gt;O$2,'ProductSprint Backlog'!$I28&lt;=O$2), 'ProductSprint Backlog'!$F28 / MAX(1, 'ProductSprint Backlog'!$J28-'ProductSprint Backlog'!$I28), AND('ProductSprint Backlog'!$J28=O$2,'ProductSprint Backlog'!$I28=O$2), 'ProductSprint Backlog'!$F28, TRUE, 0)</f>
        <v>0</v>
      </c>
      <c r="P28" s="4" cm="1">
        <f t="array" ref="P28">_xlfn.IFS('ProductSprint Backlog'!$F28="", "", AND('ProductSprint Backlog'!$J28&gt;P$2,'ProductSprint Backlog'!$I28&lt;=P$2), 'ProductSprint Backlog'!$F28 / MAX(1, 'ProductSprint Backlog'!$J28-'ProductSprint Backlog'!$I28), AND('ProductSprint Backlog'!$J28=P$2,'ProductSprint Backlog'!$I28=P$2), 'ProductSprint Backlog'!$F28, TRUE, 0)</f>
        <v>0</v>
      </c>
      <c r="Q28" s="4" cm="1">
        <f t="array" ref="Q28">_xlfn.IFS('ProductSprint Backlog'!$F28="", "", AND('ProductSprint Backlog'!$J28&gt;Q$2,'ProductSprint Backlog'!$I28&lt;=Q$2), 'ProductSprint Backlog'!$F28 / MAX(1, 'ProductSprint Backlog'!$J28-'ProductSprint Backlog'!$I28), AND('ProductSprint Backlog'!$J28=Q$2,'ProductSprint Backlog'!$I28=Q$2), 'ProductSprint Backlog'!$F28, TRUE, 0)</f>
        <v>0</v>
      </c>
    </row>
    <row r="29" spans="2:17" x14ac:dyDescent="0.2">
      <c r="B29" s="4" cm="1">
        <f t="array" ref="B29">_xlfn.IFS('ProductSprint Backlog'!$F29="", "", AND('ProductSprint Backlog'!$J29&gt;B$2,'ProductSprint Backlog'!$I29&lt;=B$2), 'ProductSprint Backlog'!$F29 / MAX(1, 'ProductSprint Backlog'!$J29-'ProductSprint Backlog'!$I29), AND('ProductSprint Backlog'!$J29=B$2,'ProductSprint Backlog'!$I29=B$2), 'ProductSprint Backlog'!$F29, TRUE, 0)</f>
        <v>0</v>
      </c>
      <c r="C29" s="4" cm="1">
        <f t="array" ref="C29">_xlfn.IFS('ProductSprint Backlog'!$F29="", "", AND('ProductSprint Backlog'!$J29&gt;C$2,'ProductSprint Backlog'!$I29&lt;=C$2), 'ProductSprint Backlog'!$F29 / MAX(1, 'ProductSprint Backlog'!$J29-'ProductSprint Backlog'!$I29), AND('ProductSprint Backlog'!$J29=C$2,'ProductSprint Backlog'!$I29=C$2), 'ProductSprint Backlog'!$F29, TRUE, 0)</f>
        <v>0</v>
      </c>
      <c r="D29" s="4" cm="1">
        <f t="array" ref="D29">_xlfn.IFS('ProductSprint Backlog'!$F29="", "", AND('ProductSprint Backlog'!$J29&gt;D$2,'ProductSprint Backlog'!$I29&lt;=D$2), 'ProductSprint Backlog'!$F29 / MAX(1, 'ProductSprint Backlog'!$J29-'ProductSprint Backlog'!$I29), AND('ProductSprint Backlog'!$J29=D$2,'ProductSprint Backlog'!$I29=D$2), 'ProductSprint Backlog'!$F29, TRUE, 0)</f>
        <v>0</v>
      </c>
      <c r="E29" s="4" cm="1">
        <f t="array" ref="E29">_xlfn.IFS('ProductSprint Backlog'!$F29="", "", AND('ProductSprint Backlog'!$J29&gt;E$2,'ProductSprint Backlog'!$I29&lt;=E$2), 'ProductSprint Backlog'!$F29 / MAX(1, 'ProductSprint Backlog'!$J29-'ProductSprint Backlog'!$I29), AND('ProductSprint Backlog'!$J29=E$2,'ProductSprint Backlog'!$I29=E$2), 'ProductSprint Backlog'!$F29, TRUE, 0)</f>
        <v>0</v>
      </c>
      <c r="F29" s="4" cm="1">
        <f t="array" ref="F29">_xlfn.IFS('ProductSprint Backlog'!$F29="", "", AND('ProductSprint Backlog'!$J29&gt;F$2,'ProductSprint Backlog'!$I29&lt;=F$2), 'ProductSprint Backlog'!$F29 / MAX(1, 'ProductSprint Backlog'!$J29-'ProductSprint Backlog'!$I29), AND('ProductSprint Backlog'!$J29=F$2,'ProductSprint Backlog'!$I29=F$2), 'ProductSprint Backlog'!$F29, TRUE, 0)</f>
        <v>0</v>
      </c>
      <c r="G29" s="4" cm="1">
        <f t="array" ref="G29">_xlfn.IFS('ProductSprint Backlog'!$F29="", "", AND('ProductSprint Backlog'!$J29&gt;G$2,'ProductSprint Backlog'!$I29&lt;=G$2), 'ProductSprint Backlog'!$F29 / MAX(1, 'ProductSprint Backlog'!$J29-'ProductSprint Backlog'!$I29), AND('ProductSprint Backlog'!$J29=G$2,'ProductSprint Backlog'!$I29=G$2), 'ProductSprint Backlog'!$F29, TRUE, 0)</f>
        <v>0</v>
      </c>
      <c r="H29" s="4" cm="1">
        <f t="array" ref="H29">_xlfn.IFS('ProductSprint Backlog'!$F29="", "", AND('ProductSprint Backlog'!$J29&gt;H$2,'ProductSprint Backlog'!$I29&lt;=H$2), 'ProductSprint Backlog'!$F29 / MAX(1, 'ProductSprint Backlog'!$J29-'ProductSprint Backlog'!$I29), AND('ProductSprint Backlog'!$J29=H$2,'ProductSprint Backlog'!$I29=H$2), 'ProductSprint Backlog'!$F29, TRUE, 0)</f>
        <v>0</v>
      </c>
      <c r="I29" s="4" cm="1">
        <f t="array" ref="I29">_xlfn.IFS('ProductSprint Backlog'!$F29="", "", AND('ProductSprint Backlog'!$J29&gt;I$2,'ProductSprint Backlog'!$I29&lt;=I$2), 'ProductSprint Backlog'!$F29 / MAX(1, 'ProductSprint Backlog'!$J29-'ProductSprint Backlog'!$I29), AND('ProductSprint Backlog'!$J29=I$2,'ProductSprint Backlog'!$I29=I$2), 'ProductSprint Backlog'!$F29, TRUE, 0)</f>
        <v>0</v>
      </c>
      <c r="J29" s="4" cm="1">
        <f t="array" ref="J29">_xlfn.IFS('ProductSprint Backlog'!$F29="", "", AND('ProductSprint Backlog'!$J29&gt;J$2,'ProductSprint Backlog'!$I29&lt;=J$2), 'ProductSprint Backlog'!$F29 / MAX(1, 'ProductSprint Backlog'!$J29-'ProductSprint Backlog'!$I29), AND('ProductSprint Backlog'!$J29=J$2,'ProductSprint Backlog'!$I29=J$2), 'ProductSprint Backlog'!$F29, TRUE, 0)</f>
        <v>0</v>
      </c>
      <c r="K29" s="4" cm="1">
        <f t="array" ref="K29">_xlfn.IFS('ProductSprint Backlog'!$F29="", "", AND('ProductSprint Backlog'!$J29&gt;K$2,'ProductSprint Backlog'!$I29&lt;=K$2), 'ProductSprint Backlog'!$F29 / MAX(1, 'ProductSprint Backlog'!$J29-'ProductSprint Backlog'!$I29), AND('ProductSprint Backlog'!$J29=K$2,'ProductSprint Backlog'!$I29=K$2), 'ProductSprint Backlog'!$F29, TRUE, 0)</f>
        <v>0</v>
      </c>
      <c r="L29" s="4" cm="1">
        <f t="array" ref="L29">_xlfn.IFS('ProductSprint Backlog'!$F29="", "", AND('ProductSprint Backlog'!$J29&gt;L$2,'ProductSprint Backlog'!$I29&lt;=L$2), 'ProductSprint Backlog'!$F29 / MAX(1, 'ProductSprint Backlog'!$J29-'ProductSprint Backlog'!$I29), AND('ProductSprint Backlog'!$J29=L$2,'ProductSprint Backlog'!$I29=L$2), 'ProductSprint Backlog'!$F29, TRUE, 0)</f>
        <v>0</v>
      </c>
      <c r="M29" s="4" cm="1">
        <f t="array" ref="M29">_xlfn.IFS('ProductSprint Backlog'!$F29="", "", AND('ProductSprint Backlog'!$J29&gt;M$2,'ProductSprint Backlog'!$I29&lt;=M$2), 'ProductSprint Backlog'!$F29 / MAX(1, 'ProductSprint Backlog'!$J29-'ProductSprint Backlog'!$I29), AND('ProductSprint Backlog'!$J29=M$2,'ProductSprint Backlog'!$I29=M$2), 'ProductSprint Backlog'!$F29, TRUE, 0)</f>
        <v>0</v>
      </c>
      <c r="N29" s="4" cm="1">
        <f t="array" ref="N29">_xlfn.IFS('ProductSprint Backlog'!$F29="", "", AND('ProductSprint Backlog'!$J29&gt;N$2,'ProductSprint Backlog'!$I29&lt;=N$2), 'ProductSprint Backlog'!$F29 / MAX(1, 'ProductSprint Backlog'!$J29-'ProductSprint Backlog'!$I29), AND('ProductSprint Backlog'!$J29=N$2,'ProductSprint Backlog'!$I29=N$2), 'ProductSprint Backlog'!$F29, TRUE, 0)</f>
        <v>0</v>
      </c>
      <c r="O29" s="4" cm="1">
        <f t="array" ref="O29">_xlfn.IFS('ProductSprint Backlog'!$F29="", "", AND('ProductSprint Backlog'!$J29&gt;O$2,'ProductSprint Backlog'!$I29&lt;=O$2), 'ProductSprint Backlog'!$F29 / MAX(1, 'ProductSprint Backlog'!$J29-'ProductSprint Backlog'!$I29), AND('ProductSprint Backlog'!$J29=O$2,'ProductSprint Backlog'!$I29=O$2), 'ProductSprint Backlog'!$F29, TRUE, 0)</f>
        <v>0</v>
      </c>
      <c r="P29" s="4" cm="1">
        <f t="array" ref="P29">_xlfn.IFS('ProductSprint Backlog'!$F29="", "", AND('ProductSprint Backlog'!$J29&gt;P$2,'ProductSprint Backlog'!$I29&lt;=P$2), 'ProductSprint Backlog'!$F29 / MAX(1, 'ProductSprint Backlog'!$J29-'ProductSprint Backlog'!$I29), AND('ProductSprint Backlog'!$J29=P$2,'ProductSprint Backlog'!$I29=P$2), 'ProductSprint Backlog'!$F29, TRUE, 0)</f>
        <v>0</v>
      </c>
      <c r="Q29" s="4" cm="1">
        <f t="array" ref="Q29">_xlfn.IFS('ProductSprint Backlog'!$F29="", "", AND('ProductSprint Backlog'!$J29&gt;Q$2,'ProductSprint Backlog'!$I29&lt;=Q$2), 'ProductSprint Backlog'!$F29 / MAX(1, 'ProductSprint Backlog'!$J29-'ProductSprint Backlog'!$I29), AND('ProductSprint Backlog'!$J29=Q$2,'ProductSprint Backlog'!$I29=Q$2), 'ProductSprint Backlog'!$F29, TRUE, 0)</f>
        <v>0</v>
      </c>
    </row>
    <row r="30" spans="2:17" x14ac:dyDescent="0.2">
      <c r="B30" s="4" cm="1">
        <f t="array" ref="B30">_xlfn.IFS('ProductSprint Backlog'!$F30="", "", AND('ProductSprint Backlog'!$J30&gt;B$2,'ProductSprint Backlog'!$I30&lt;=B$2), 'ProductSprint Backlog'!$F30 / MAX(1, 'ProductSprint Backlog'!$J30-'ProductSprint Backlog'!$I30), AND('ProductSprint Backlog'!$J30=B$2,'ProductSprint Backlog'!$I30=B$2), 'ProductSprint Backlog'!$F30, TRUE, 0)</f>
        <v>0</v>
      </c>
      <c r="C30" s="4" cm="1">
        <f t="array" ref="C30">_xlfn.IFS('ProductSprint Backlog'!$F30="", "", AND('ProductSprint Backlog'!$J30&gt;C$2,'ProductSprint Backlog'!$I30&lt;=C$2), 'ProductSprint Backlog'!$F30 / MAX(1, 'ProductSprint Backlog'!$J30-'ProductSprint Backlog'!$I30), AND('ProductSprint Backlog'!$J30=C$2,'ProductSprint Backlog'!$I30=C$2), 'ProductSprint Backlog'!$F30, TRUE, 0)</f>
        <v>0</v>
      </c>
      <c r="D30" s="4" cm="1">
        <f t="array" ref="D30">_xlfn.IFS('ProductSprint Backlog'!$F30="", "", AND('ProductSprint Backlog'!$J30&gt;D$2,'ProductSprint Backlog'!$I30&lt;=D$2), 'ProductSprint Backlog'!$F30 / MAX(1, 'ProductSprint Backlog'!$J30-'ProductSprint Backlog'!$I30), AND('ProductSprint Backlog'!$J30=D$2,'ProductSprint Backlog'!$I30=D$2), 'ProductSprint Backlog'!$F30, TRUE, 0)</f>
        <v>0</v>
      </c>
      <c r="E30" s="4" cm="1">
        <f t="array" ref="E30">_xlfn.IFS('ProductSprint Backlog'!$F30="", "", AND('ProductSprint Backlog'!$J30&gt;E$2,'ProductSprint Backlog'!$I30&lt;=E$2), 'ProductSprint Backlog'!$F30 / MAX(1, 'ProductSprint Backlog'!$J30-'ProductSprint Backlog'!$I30), AND('ProductSprint Backlog'!$J30=E$2,'ProductSprint Backlog'!$I30=E$2), 'ProductSprint Backlog'!$F30, TRUE, 0)</f>
        <v>0</v>
      </c>
      <c r="F30" s="4" cm="1">
        <f t="array" ref="F30">_xlfn.IFS('ProductSprint Backlog'!$F30="", "", AND('ProductSprint Backlog'!$J30&gt;F$2,'ProductSprint Backlog'!$I30&lt;=F$2), 'ProductSprint Backlog'!$F30 / MAX(1, 'ProductSprint Backlog'!$J30-'ProductSprint Backlog'!$I30), AND('ProductSprint Backlog'!$J30=F$2,'ProductSprint Backlog'!$I30=F$2), 'ProductSprint Backlog'!$F30, TRUE, 0)</f>
        <v>0</v>
      </c>
      <c r="G30" s="4" cm="1">
        <f t="array" ref="G30">_xlfn.IFS('ProductSprint Backlog'!$F30="", "", AND('ProductSprint Backlog'!$J30&gt;G$2,'ProductSprint Backlog'!$I30&lt;=G$2), 'ProductSprint Backlog'!$F30 / MAX(1, 'ProductSprint Backlog'!$J30-'ProductSprint Backlog'!$I30), AND('ProductSprint Backlog'!$J30=G$2,'ProductSprint Backlog'!$I30=G$2), 'ProductSprint Backlog'!$F30, TRUE, 0)</f>
        <v>0</v>
      </c>
      <c r="H30" s="4" cm="1">
        <f t="array" ref="H30">_xlfn.IFS('ProductSprint Backlog'!$F30="", "", AND('ProductSprint Backlog'!$J30&gt;H$2,'ProductSprint Backlog'!$I30&lt;=H$2), 'ProductSprint Backlog'!$F30 / MAX(1, 'ProductSprint Backlog'!$J30-'ProductSprint Backlog'!$I30), AND('ProductSprint Backlog'!$J30=H$2,'ProductSprint Backlog'!$I30=H$2), 'ProductSprint Backlog'!$F30, TRUE, 0)</f>
        <v>0</v>
      </c>
      <c r="I30" s="4" cm="1">
        <f t="array" ref="I30">_xlfn.IFS('ProductSprint Backlog'!$F30="", "", AND('ProductSprint Backlog'!$J30&gt;I$2,'ProductSprint Backlog'!$I30&lt;=I$2), 'ProductSprint Backlog'!$F30 / MAX(1, 'ProductSprint Backlog'!$J30-'ProductSprint Backlog'!$I30), AND('ProductSprint Backlog'!$J30=I$2,'ProductSprint Backlog'!$I30=I$2), 'ProductSprint Backlog'!$F30, TRUE, 0)</f>
        <v>0</v>
      </c>
      <c r="J30" s="4" cm="1">
        <f t="array" ref="J30">_xlfn.IFS('ProductSprint Backlog'!$F30="", "", AND('ProductSprint Backlog'!$J30&gt;J$2,'ProductSprint Backlog'!$I30&lt;=J$2), 'ProductSprint Backlog'!$F30 / MAX(1, 'ProductSprint Backlog'!$J30-'ProductSprint Backlog'!$I30), AND('ProductSprint Backlog'!$J30=J$2,'ProductSprint Backlog'!$I30=J$2), 'ProductSprint Backlog'!$F30, TRUE, 0)</f>
        <v>0</v>
      </c>
      <c r="K30" s="4" cm="1">
        <f t="array" ref="K30">_xlfn.IFS('ProductSprint Backlog'!$F30="", "", AND('ProductSprint Backlog'!$J30&gt;K$2,'ProductSprint Backlog'!$I30&lt;=K$2), 'ProductSprint Backlog'!$F30 / MAX(1, 'ProductSprint Backlog'!$J30-'ProductSprint Backlog'!$I30), AND('ProductSprint Backlog'!$J30=K$2,'ProductSprint Backlog'!$I30=K$2), 'ProductSprint Backlog'!$F30, TRUE, 0)</f>
        <v>0</v>
      </c>
      <c r="L30" s="4" cm="1">
        <f t="array" ref="L30">_xlfn.IFS('ProductSprint Backlog'!$F30="", "", AND('ProductSprint Backlog'!$J30&gt;L$2,'ProductSprint Backlog'!$I30&lt;=L$2), 'ProductSprint Backlog'!$F30 / MAX(1, 'ProductSprint Backlog'!$J30-'ProductSprint Backlog'!$I30), AND('ProductSprint Backlog'!$J30=L$2,'ProductSprint Backlog'!$I30=L$2), 'ProductSprint Backlog'!$F30, TRUE, 0)</f>
        <v>0</v>
      </c>
      <c r="M30" s="4" cm="1">
        <f t="array" ref="M30">_xlfn.IFS('ProductSprint Backlog'!$F30="", "", AND('ProductSprint Backlog'!$J30&gt;M$2,'ProductSprint Backlog'!$I30&lt;=M$2), 'ProductSprint Backlog'!$F30 / MAX(1, 'ProductSprint Backlog'!$J30-'ProductSprint Backlog'!$I30), AND('ProductSprint Backlog'!$J30=M$2,'ProductSprint Backlog'!$I30=M$2), 'ProductSprint Backlog'!$F30, TRUE, 0)</f>
        <v>0</v>
      </c>
      <c r="N30" s="4" cm="1">
        <f t="array" ref="N30">_xlfn.IFS('ProductSprint Backlog'!$F30="", "", AND('ProductSprint Backlog'!$J30&gt;N$2,'ProductSprint Backlog'!$I30&lt;=N$2), 'ProductSprint Backlog'!$F30 / MAX(1, 'ProductSprint Backlog'!$J30-'ProductSprint Backlog'!$I30), AND('ProductSprint Backlog'!$J30=N$2,'ProductSprint Backlog'!$I30=N$2), 'ProductSprint Backlog'!$F30, TRUE, 0)</f>
        <v>0</v>
      </c>
      <c r="O30" s="4" cm="1">
        <f t="array" ref="O30">_xlfn.IFS('ProductSprint Backlog'!$F30="", "", AND('ProductSprint Backlog'!$J30&gt;O$2,'ProductSprint Backlog'!$I30&lt;=O$2), 'ProductSprint Backlog'!$F30 / MAX(1, 'ProductSprint Backlog'!$J30-'ProductSprint Backlog'!$I30), AND('ProductSprint Backlog'!$J30=O$2,'ProductSprint Backlog'!$I30=O$2), 'ProductSprint Backlog'!$F30, TRUE, 0)</f>
        <v>0</v>
      </c>
      <c r="P30" s="4" cm="1">
        <f t="array" ref="P30">_xlfn.IFS('ProductSprint Backlog'!$F30="", "", AND('ProductSprint Backlog'!$J30&gt;P$2,'ProductSprint Backlog'!$I30&lt;=P$2), 'ProductSprint Backlog'!$F30 / MAX(1, 'ProductSprint Backlog'!$J30-'ProductSprint Backlog'!$I30), AND('ProductSprint Backlog'!$J30=P$2,'ProductSprint Backlog'!$I30=P$2), 'ProductSprint Backlog'!$F30, TRUE, 0)</f>
        <v>0</v>
      </c>
      <c r="Q30" s="4" cm="1">
        <f t="array" ref="Q30">_xlfn.IFS('ProductSprint Backlog'!$F30="", "", AND('ProductSprint Backlog'!$J30&gt;Q$2,'ProductSprint Backlog'!$I30&lt;=Q$2), 'ProductSprint Backlog'!$F30 / MAX(1, 'ProductSprint Backlog'!$J30-'ProductSprint Backlog'!$I30), AND('ProductSprint Backlog'!$J30=Q$2,'ProductSprint Backlog'!$I30=Q$2), 'ProductSprint Backlog'!$F30, TRUE, 0)</f>
        <v>0</v>
      </c>
    </row>
    <row r="31" spans="2:17" x14ac:dyDescent="0.2">
      <c r="B31" s="4" t="str" cm="1">
        <f t="array" ref="B31">_xlfn.IFS('ProductSprint Backlog'!$F31="", "", AND('ProductSprint Backlog'!$J31&gt;B$2,'ProductSprint Backlog'!$I31&lt;=B$2), 'ProductSprint Backlog'!$F31 / MAX(1, 'ProductSprint Backlog'!$J31-'ProductSprint Backlog'!$I31), AND('ProductSprint Backlog'!$J31=B$2,'ProductSprint Backlog'!$I31=B$2), 'ProductSprint Backlog'!$F31, TRUE, 0)</f>
        <v/>
      </c>
      <c r="C31" s="4" t="str" cm="1">
        <f t="array" ref="C31">_xlfn.IFS('ProductSprint Backlog'!$F31="", "", AND('ProductSprint Backlog'!$J31&gt;C$2,'ProductSprint Backlog'!$I31&lt;=C$2), 'ProductSprint Backlog'!$F31 / MAX(1, 'ProductSprint Backlog'!$J31-'ProductSprint Backlog'!$I31), AND('ProductSprint Backlog'!$J31=C$2,'ProductSprint Backlog'!$I31=C$2), 'ProductSprint Backlog'!$F31, TRUE, 0)</f>
        <v/>
      </c>
      <c r="D31" s="4" t="str" cm="1">
        <f t="array" ref="D31">_xlfn.IFS('ProductSprint Backlog'!$F31="", "", AND('ProductSprint Backlog'!$J31&gt;D$2,'ProductSprint Backlog'!$I31&lt;=D$2), 'ProductSprint Backlog'!$F31 / MAX(1, 'ProductSprint Backlog'!$J31-'ProductSprint Backlog'!$I31), AND('ProductSprint Backlog'!$J31=D$2,'ProductSprint Backlog'!$I31=D$2), 'ProductSprint Backlog'!$F31, TRUE, 0)</f>
        <v/>
      </c>
      <c r="E31" s="4" t="str" cm="1">
        <f t="array" ref="E31">_xlfn.IFS('ProductSprint Backlog'!$F31="", "", AND('ProductSprint Backlog'!$J31&gt;E$2,'ProductSprint Backlog'!$I31&lt;=E$2), 'ProductSprint Backlog'!$F31 / MAX(1, 'ProductSprint Backlog'!$J31-'ProductSprint Backlog'!$I31), AND('ProductSprint Backlog'!$J31=E$2,'ProductSprint Backlog'!$I31=E$2), 'ProductSprint Backlog'!$F31, TRUE, 0)</f>
        <v/>
      </c>
      <c r="F31" s="4" t="str" cm="1">
        <f t="array" ref="F31">_xlfn.IFS('ProductSprint Backlog'!$F31="", "", AND('ProductSprint Backlog'!$J31&gt;F$2,'ProductSprint Backlog'!$I31&lt;=F$2), 'ProductSprint Backlog'!$F31 / MAX(1, 'ProductSprint Backlog'!$J31-'ProductSprint Backlog'!$I31), AND('ProductSprint Backlog'!$J31=F$2,'ProductSprint Backlog'!$I31=F$2), 'ProductSprint Backlog'!$F31, TRUE, 0)</f>
        <v/>
      </c>
      <c r="G31" s="4" t="str" cm="1">
        <f t="array" ref="G31">_xlfn.IFS('ProductSprint Backlog'!$F31="", "", AND('ProductSprint Backlog'!$J31&gt;G$2,'ProductSprint Backlog'!$I31&lt;=G$2), 'ProductSprint Backlog'!$F31 / MAX(1, 'ProductSprint Backlog'!$J31-'ProductSprint Backlog'!$I31), AND('ProductSprint Backlog'!$J31=G$2,'ProductSprint Backlog'!$I31=G$2), 'ProductSprint Backlog'!$F31, TRUE, 0)</f>
        <v/>
      </c>
      <c r="H31" s="4" t="str" cm="1">
        <f t="array" ref="H31">_xlfn.IFS('ProductSprint Backlog'!$F31="", "", AND('ProductSprint Backlog'!$J31&gt;H$2,'ProductSprint Backlog'!$I31&lt;=H$2), 'ProductSprint Backlog'!$F31 / MAX(1, 'ProductSprint Backlog'!$J31-'ProductSprint Backlog'!$I31), AND('ProductSprint Backlog'!$J31=H$2,'ProductSprint Backlog'!$I31=H$2), 'ProductSprint Backlog'!$F31, TRUE, 0)</f>
        <v/>
      </c>
      <c r="I31" s="4" t="str" cm="1">
        <f t="array" ref="I31">_xlfn.IFS('ProductSprint Backlog'!$F31="", "", AND('ProductSprint Backlog'!$J31&gt;I$2,'ProductSprint Backlog'!$I31&lt;=I$2), 'ProductSprint Backlog'!$F31 / MAX(1, 'ProductSprint Backlog'!$J31-'ProductSprint Backlog'!$I31), AND('ProductSprint Backlog'!$J31=I$2,'ProductSprint Backlog'!$I31=I$2), 'ProductSprint Backlog'!$F31, TRUE, 0)</f>
        <v/>
      </c>
      <c r="J31" s="4" t="str" cm="1">
        <f t="array" ref="J31">_xlfn.IFS('ProductSprint Backlog'!$F31="", "", AND('ProductSprint Backlog'!$J31&gt;J$2,'ProductSprint Backlog'!$I31&lt;=J$2), 'ProductSprint Backlog'!$F31 / MAX(1, 'ProductSprint Backlog'!$J31-'ProductSprint Backlog'!$I31), AND('ProductSprint Backlog'!$J31=J$2,'ProductSprint Backlog'!$I31=J$2), 'ProductSprint Backlog'!$F31, TRUE, 0)</f>
        <v/>
      </c>
      <c r="K31" s="4" t="str" cm="1">
        <f t="array" ref="K31">_xlfn.IFS('ProductSprint Backlog'!$F31="", "", AND('ProductSprint Backlog'!$J31&gt;K$2,'ProductSprint Backlog'!$I31&lt;=K$2), 'ProductSprint Backlog'!$F31 / MAX(1, 'ProductSprint Backlog'!$J31-'ProductSprint Backlog'!$I31), AND('ProductSprint Backlog'!$J31=K$2,'ProductSprint Backlog'!$I31=K$2), 'ProductSprint Backlog'!$F31, TRUE, 0)</f>
        <v/>
      </c>
      <c r="L31" s="4" t="str" cm="1">
        <f t="array" ref="L31">_xlfn.IFS('ProductSprint Backlog'!$F31="", "", AND('ProductSprint Backlog'!$J31&gt;L$2,'ProductSprint Backlog'!$I31&lt;=L$2), 'ProductSprint Backlog'!$F31 / MAX(1, 'ProductSprint Backlog'!$J31-'ProductSprint Backlog'!$I31), AND('ProductSprint Backlog'!$J31=L$2,'ProductSprint Backlog'!$I31=L$2), 'ProductSprint Backlog'!$F31, TRUE, 0)</f>
        <v/>
      </c>
      <c r="M31" s="4" t="str" cm="1">
        <f t="array" ref="M31">_xlfn.IFS('ProductSprint Backlog'!$F31="", "", AND('ProductSprint Backlog'!$J31&gt;M$2,'ProductSprint Backlog'!$I31&lt;=M$2), 'ProductSprint Backlog'!$F31 / MAX(1, 'ProductSprint Backlog'!$J31-'ProductSprint Backlog'!$I31), AND('ProductSprint Backlog'!$J31=M$2,'ProductSprint Backlog'!$I31=M$2), 'ProductSprint Backlog'!$F31, TRUE, 0)</f>
        <v/>
      </c>
      <c r="N31" s="4" t="str" cm="1">
        <f t="array" ref="N31">_xlfn.IFS('ProductSprint Backlog'!$F31="", "", AND('ProductSprint Backlog'!$J31&gt;N$2,'ProductSprint Backlog'!$I31&lt;=N$2), 'ProductSprint Backlog'!$F31 / MAX(1, 'ProductSprint Backlog'!$J31-'ProductSprint Backlog'!$I31), AND('ProductSprint Backlog'!$J31=N$2,'ProductSprint Backlog'!$I31=N$2), 'ProductSprint Backlog'!$F31, TRUE, 0)</f>
        <v/>
      </c>
      <c r="O31" s="4" t="str" cm="1">
        <f t="array" ref="O31">_xlfn.IFS('ProductSprint Backlog'!$F31="", "", AND('ProductSprint Backlog'!$J31&gt;O$2,'ProductSprint Backlog'!$I31&lt;=O$2), 'ProductSprint Backlog'!$F31 / MAX(1, 'ProductSprint Backlog'!$J31-'ProductSprint Backlog'!$I31), AND('ProductSprint Backlog'!$J31=O$2,'ProductSprint Backlog'!$I31=O$2), 'ProductSprint Backlog'!$F31, TRUE, 0)</f>
        <v/>
      </c>
      <c r="P31" s="4" t="str" cm="1">
        <f t="array" ref="P31">_xlfn.IFS('ProductSprint Backlog'!$F31="", "", AND('ProductSprint Backlog'!$J31&gt;P$2,'ProductSprint Backlog'!$I31&lt;=P$2), 'ProductSprint Backlog'!$F31 / MAX(1, 'ProductSprint Backlog'!$J31-'ProductSprint Backlog'!$I31), AND('ProductSprint Backlog'!$J31=P$2,'ProductSprint Backlog'!$I31=P$2), 'ProductSprint Backlog'!$F31, TRUE, 0)</f>
        <v/>
      </c>
      <c r="Q31" s="4" t="str" cm="1">
        <f t="array" ref="Q31">_xlfn.IFS('ProductSprint Backlog'!$F31="", "", AND('ProductSprint Backlog'!$J31&gt;Q$2,'ProductSprint Backlog'!$I31&lt;=Q$2), 'ProductSprint Backlog'!$F31 / MAX(1, 'ProductSprint Backlog'!$J31-'ProductSprint Backlog'!$I31), AND('ProductSprint Backlog'!$J31=Q$2,'ProductSprint Backlog'!$I31=Q$2), 'ProductSprint Backlog'!$F31, TRUE, 0)</f>
        <v/>
      </c>
    </row>
    <row r="32" spans="2:17" x14ac:dyDescent="0.2">
      <c r="B32" s="4" cm="1">
        <f t="array" ref="B32">_xlfn.IFS('ProductSprint Backlog'!$F32="", "", AND('ProductSprint Backlog'!$J32&gt;B$2,'ProductSprint Backlog'!$I32&lt;=B$2), 'ProductSprint Backlog'!$F32 / MAX(1, 'ProductSprint Backlog'!$J32-'ProductSprint Backlog'!$I32), AND('ProductSprint Backlog'!$J32=B$2,'ProductSprint Backlog'!$I32=B$2), 'ProductSprint Backlog'!$F32, TRUE, 0)</f>
        <v>0</v>
      </c>
      <c r="C32" s="4" cm="1">
        <f t="array" ref="C32">_xlfn.IFS('ProductSprint Backlog'!$F32="", "", AND('ProductSprint Backlog'!$J32&gt;C$2,'ProductSprint Backlog'!$I32&lt;=C$2), 'ProductSprint Backlog'!$F32 / MAX(1, 'ProductSprint Backlog'!$J32-'ProductSprint Backlog'!$I32), AND('ProductSprint Backlog'!$J32=C$2,'ProductSprint Backlog'!$I32=C$2), 'ProductSprint Backlog'!$F32, TRUE, 0)</f>
        <v>0</v>
      </c>
      <c r="D32" s="4" cm="1">
        <f t="array" ref="D32">_xlfn.IFS('ProductSprint Backlog'!$F32="", "", AND('ProductSprint Backlog'!$J32&gt;D$2,'ProductSprint Backlog'!$I32&lt;=D$2), 'ProductSprint Backlog'!$F32 / MAX(1, 'ProductSprint Backlog'!$J32-'ProductSprint Backlog'!$I32), AND('ProductSprint Backlog'!$J32=D$2,'ProductSprint Backlog'!$I32=D$2), 'ProductSprint Backlog'!$F32, TRUE, 0)</f>
        <v>0</v>
      </c>
      <c r="E32" s="4" cm="1">
        <f t="array" ref="E32">_xlfn.IFS('ProductSprint Backlog'!$F32="", "", AND('ProductSprint Backlog'!$J32&gt;E$2,'ProductSprint Backlog'!$I32&lt;=E$2), 'ProductSprint Backlog'!$F32 / MAX(1, 'ProductSprint Backlog'!$J32-'ProductSprint Backlog'!$I32), AND('ProductSprint Backlog'!$J32=E$2,'ProductSprint Backlog'!$I32=E$2), 'ProductSprint Backlog'!$F32, TRUE, 0)</f>
        <v>0</v>
      </c>
      <c r="F32" s="4" cm="1">
        <f t="array" ref="F32">_xlfn.IFS('ProductSprint Backlog'!$F32="", "", AND('ProductSprint Backlog'!$J32&gt;F$2,'ProductSprint Backlog'!$I32&lt;=F$2), 'ProductSprint Backlog'!$F32 / MAX(1, 'ProductSprint Backlog'!$J32-'ProductSprint Backlog'!$I32), AND('ProductSprint Backlog'!$J32=F$2,'ProductSprint Backlog'!$I32=F$2), 'ProductSprint Backlog'!$F32, TRUE, 0)</f>
        <v>0</v>
      </c>
      <c r="G32" s="4" cm="1">
        <f t="array" ref="G32">_xlfn.IFS('ProductSprint Backlog'!$F32="", "", AND('ProductSprint Backlog'!$J32&gt;G$2,'ProductSprint Backlog'!$I32&lt;=G$2), 'ProductSprint Backlog'!$F32 / MAX(1, 'ProductSprint Backlog'!$J32-'ProductSprint Backlog'!$I32), AND('ProductSprint Backlog'!$J32=G$2,'ProductSprint Backlog'!$I32=G$2), 'ProductSprint Backlog'!$F32, TRUE, 0)</f>
        <v>0</v>
      </c>
      <c r="H32" s="4" cm="1">
        <f t="array" ref="H32">_xlfn.IFS('ProductSprint Backlog'!$F32="", "", AND('ProductSprint Backlog'!$J32&gt;H$2,'ProductSprint Backlog'!$I32&lt;=H$2), 'ProductSprint Backlog'!$F32 / MAX(1, 'ProductSprint Backlog'!$J32-'ProductSprint Backlog'!$I32), AND('ProductSprint Backlog'!$J32=H$2,'ProductSprint Backlog'!$I32=H$2), 'ProductSprint Backlog'!$F32, TRUE, 0)</f>
        <v>0</v>
      </c>
      <c r="I32" s="4" cm="1">
        <f t="array" ref="I32">_xlfn.IFS('ProductSprint Backlog'!$F32="", "", AND('ProductSprint Backlog'!$J32&gt;I$2,'ProductSprint Backlog'!$I32&lt;=I$2), 'ProductSprint Backlog'!$F32 / MAX(1, 'ProductSprint Backlog'!$J32-'ProductSprint Backlog'!$I32), AND('ProductSprint Backlog'!$J32=I$2,'ProductSprint Backlog'!$I32=I$2), 'ProductSprint Backlog'!$F32, TRUE, 0)</f>
        <v>0</v>
      </c>
      <c r="J32" s="4" cm="1">
        <f t="array" ref="J32">_xlfn.IFS('ProductSprint Backlog'!$F32="", "", AND('ProductSprint Backlog'!$J32&gt;J$2,'ProductSprint Backlog'!$I32&lt;=J$2), 'ProductSprint Backlog'!$F32 / MAX(1, 'ProductSprint Backlog'!$J32-'ProductSprint Backlog'!$I32), AND('ProductSprint Backlog'!$J32=J$2,'ProductSprint Backlog'!$I32=J$2), 'ProductSprint Backlog'!$F32, TRUE, 0)</f>
        <v>0</v>
      </c>
      <c r="K32" s="4" cm="1">
        <f t="array" ref="K32">_xlfn.IFS('ProductSprint Backlog'!$F32="", "", AND('ProductSprint Backlog'!$J32&gt;K$2,'ProductSprint Backlog'!$I32&lt;=K$2), 'ProductSprint Backlog'!$F32 / MAX(1, 'ProductSprint Backlog'!$J32-'ProductSprint Backlog'!$I32), AND('ProductSprint Backlog'!$J32=K$2,'ProductSprint Backlog'!$I32=K$2), 'ProductSprint Backlog'!$F32, TRUE, 0)</f>
        <v>0</v>
      </c>
      <c r="L32" s="4" cm="1">
        <f t="array" ref="L32">_xlfn.IFS('ProductSprint Backlog'!$F32="", "", AND('ProductSprint Backlog'!$J32&gt;L$2,'ProductSprint Backlog'!$I32&lt;=L$2), 'ProductSprint Backlog'!$F32 / MAX(1, 'ProductSprint Backlog'!$J32-'ProductSprint Backlog'!$I32), AND('ProductSprint Backlog'!$J32=L$2,'ProductSprint Backlog'!$I32=L$2), 'ProductSprint Backlog'!$F32, TRUE, 0)</f>
        <v>0</v>
      </c>
      <c r="M32" s="4" cm="1">
        <f t="array" ref="M32">_xlfn.IFS('ProductSprint Backlog'!$F32="", "", AND('ProductSprint Backlog'!$J32&gt;M$2,'ProductSprint Backlog'!$I32&lt;=M$2), 'ProductSprint Backlog'!$F32 / MAX(1, 'ProductSprint Backlog'!$J32-'ProductSprint Backlog'!$I32), AND('ProductSprint Backlog'!$J32=M$2,'ProductSprint Backlog'!$I32=M$2), 'ProductSprint Backlog'!$F32, TRUE, 0)</f>
        <v>0</v>
      </c>
      <c r="N32" s="4" cm="1">
        <f t="array" ref="N32">_xlfn.IFS('ProductSprint Backlog'!$F32="", "", AND('ProductSprint Backlog'!$J32&gt;N$2,'ProductSprint Backlog'!$I32&lt;=N$2), 'ProductSprint Backlog'!$F32 / MAX(1, 'ProductSprint Backlog'!$J32-'ProductSprint Backlog'!$I32), AND('ProductSprint Backlog'!$J32=N$2,'ProductSprint Backlog'!$I32=N$2), 'ProductSprint Backlog'!$F32, TRUE, 0)</f>
        <v>0</v>
      </c>
      <c r="O32" s="4" cm="1">
        <f t="array" ref="O32">_xlfn.IFS('ProductSprint Backlog'!$F32="", "", AND('ProductSprint Backlog'!$J32&gt;O$2,'ProductSprint Backlog'!$I32&lt;=O$2), 'ProductSprint Backlog'!$F32 / MAX(1, 'ProductSprint Backlog'!$J32-'ProductSprint Backlog'!$I32), AND('ProductSprint Backlog'!$J32=O$2,'ProductSprint Backlog'!$I32=O$2), 'ProductSprint Backlog'!$F32, TRUE, 0)</f>
        <v>0</v>
      </c>
      <c r="P32" s="4" cm="1">
        <f t="array" ref="P32">_xlfn.IFS('ProductSprint Backlog'!$F32="", "", AND('ProductSprint Backlog'!$J32&gt;P$2,'ProductSprint Backlog'!$I32&lt;=P$2), 'ProductSprint Backlog'!$F32 / MAX(1, 'ProductSprint Backlog'!$J32-'ProductSprint Backlog'!$I32), AND('ProductSprint Backlog'!$J32=P$2,'ProductSprint Backlog'!$I32=P$2), 'ProductSprint Backlog'!$F32, TRUE, 0)</f>
        <v>0</v>
      </c>
      <c r="Q32" s="4" cm="1">
        <f t="array" ref="Q32">_xlfn.IFS('ProductSprint Backlog'!$F32="", "", AND('ProductSprint Backlog'!$J32&gt;Q$2,'ProductSprint Backlog'!$I32&lt;=Q$2), 'ProductSprint Backlog'!$F32 / MAX(1, 'ProductSprint Backlog'!$J32-'ProductSprint Backlog'!$I32), AND('ProductSprint Backlog'!$J32=Q$2,'ProductSprint Backlog'!$I32=Q$2), 'ProductSprint Backlog'!$F32, TRUE, 0)</f>
        <v>0</v>
      </c>
    </row>
    <row r="33" spans="2:17" x14ac:dyDescent="0.2">
      <c r="B33" s="4" cm="1">
        <f t="array" ref="B33">_xlfn.IFS('ProductSprint Backlog'!$F33="", "", AND('ProductSprint Backlog'!$J33&gt;B$2,'ProductSprint Backlog'!$I33&lt;=B$2), 'ProductSprint Backlog'!$F33 / MAX(1, 'ProductSprint Backlog'!$J33-'ProductSprint Backlog'!$I33), AND('ProductSprint Backlog'!$J33=B$2,'ProductSprint Backlog'!$I33=B$2), 'ProductSprint Backlog'!$F33, TRUE, 0)</f>
        <v>0</v>
      </c>
      <c r="C33" s="4" cm="1">
        <f t="array" ref="C33">_xlfn.IFS('ProductSprint Backlog'!$F33="", "", AND('ProductSprint Backlog'!$J33&gt;C$2,'ProductSprint Backlog'!$I33&lt;=C$2), 'ProductSprint Backlog'!$F33 / MAX(1, 'ProductSprint Backlog'!$J33-'ProductSprint Backlog'!$I33), AND('ProductSprint Backlog'!$J33=C$2,'ProductSprint Backlog'!$I33=C$2), 'ProductSprint Backlog'!$F33, TRUE, 0)</f>
        <v>0</v>
      </c>
      <c r="D33" s="4" cm="1">
        <f t="array" ref="D33">_xlfn.IFS('ProductSprint Backlog'!$F33="", "", AND('ProductSprint Backlog'!$J33&gt;D$2,'ProductSprint Backlog'!$I33&lt;=D$2), 'ProductSprint Backlog'!$F33 / MAX(1, 'ProductSprint Backlog'!$J33-'ProductSprint Backlog'!$I33), AND('ProductSprint Backlog'!$J33=D$2,'ProductSprint Backlog'!$I33=D$2), 'ProductSprint Backlog'!$F33, TRUE, 0)</f>
        <v>0</v>
      </c>
      <c r="E33" s="4" cm="1">
        <f t="array" ref="E33">_xlfn.IFS('ProductSprint Backlog'!$F33="", "", AND('ProductSprint Backlog'!$J33&gt;E$2,'ProductSprint Backlog'!$I33&lt;=E$2), 'ProductSprint Backlog'!$F33 / MAX(1, 'ProductSprint Backlog'!$J33-'ProductSprint Backlog'!$I33), AND('ProductSprint Backlog'!$J33=E$2,'ProductSprint Backlog'!$I33=E$2), 'ProductSprint Backlog'!$F33, TRUE, 0)</f>
        <v>0</v>
      </c>
      <c r="F33" s="4" cm="1">
        <f t="array" ref="F33">_xlfn.IFS('ProductSprint Backlog'!$F33="", "", AND('ProductSprint Backlog'!$J33&gt;F$2,'ProductSprint Backlog'!$I33&lt;=F$2), 'ProductSprint Backlog'!$F33 / MAX(1, 'ProductSprint Backlog'!$J33-'ProductSprint Backlog'!$I33), AND('ProductSprint Backlog'!$J33=F$2,'ProductSprint Backlog'!$I33=F$2), 'ProductSprint Backlog'!$F33, TRUE, 0)</f>
        <v>0</v>
      </c>
      <c r="G33" s="4" cm="1">
        <f t="array" ref="G33">_xlfn.IFS('ProductSprint Backlog'!$F33="", "", AND('ProductSprint Backlog'!$J33&gt;G$2,'ProductSprint Backlog'!$I33&lt;=G$2), 'ProductSprint Backlog'!$F33 / MAX(1, 'ProductSprint Backlog'!$J33-'ProductSprint Backlog'!$I33), AND('ProductSprint Backlog'!$J33=G$2,'ProductSprint Backlog'!$I33=G$2), 'ProductSprint Backlog'!$F33, TRUE, 0)</f>
        <v>0</v>
      </c>
      <c r="H33" s="4" cm="1">
        <f t="array" ref="H33">_xlfn.IFS('ProductSprint Backlog'!$F33="", "", AND('ProductSprint Backlog'!$J33&gt;H$2,'ProductSprint Backlog'!$I33&lt;=H$2), 'ProductSprint Backlog'!$F33 / MAX(1, 'ProductSprint Backlog'!$J33-'ProductSprint Backlog'!$I33), AND('ProductSprint Backlog'!$J33=H$2,'ProductSprint Backlog'!$I33=H$2), 'ProductSprint Backlog'!$F33, TRUE, 0)</f>
        <v>0</v>
      </c>
      <c r="I33" s="4" cm="1">
        <f t="array" ref="I33">_xlfn.IFS('ProductSprint Backlog'!$F33="", "", AND('ProductSprint Backlog'!$J33&gt;I$2,'ProductSprint Backlog'!$I33&lt;=I$2), 'ProductSprint Backlog'!$F33 / MAX(1, 'ProductSprint Backlog'!$J33-'ProductSprint Backlog'!$I33), AND('ProductSprint Backlog'!$J33=I$2,'ProductSprint Backlog'!$I33=I$2), 'ProductSprint Backlog'!$F33, TRUE, 0)</f>
        <v>0</v>
      </c>
      <c r="J33" s="4" cm="1">
        <f t="array" ref="J33">_xlfn.IFS('ProductSprint Backlog'!$F33="", "", AND('ProductSprint Backlog'!$J33&gt;J$2,'ProductSprint Backlog'!$I33&lt;=J$2), 'ProductSprint Backlog'!$F33 / MAX(1, 'ProductSprint Backlog'!$J33-'ProductSprint Backlog'!$I33), AND('ProductSprint Backlog'!$J33=J$2,'ProductSprint Backlog'!$I33=J$2), 'ProductSprint Backlog'!$F33, TRUE, 0)</f>
        <v>0</v>
      </c>
      <c r="K33" s="4" cm="1">
        <f t="array" ref="K33">_xlfn.IFS('ProductSprint Backlog'!$F33="", "", AND('ProductSprint Backlog'!$J33&gt;K$2,'ProductSprint Backlog'!$I33&lt;=K$2), 'ProductSprint Backlog'!$F33 / MAX(1, 'ProductSprint Backlog'!$J33-'ProductSprint Backlog'!$I33), AND('ProductSprint Backlog'!$J33=K$2,'ProductSprint Backlog'!$I33=K$2), 'ProductSprint Backlog'!$F33, TRUE, 0)</f>
        <v>0</v>
      </c>
      <c r="L33" s="4" cm="1">
        <f t="array" ref="L33">_xlfn.IFS('ProductSprint Backlog'!$F33="", "", AND('ProductSprint Backlog'!$J33&gt;L$2,'ProductSprint Backlog'!$I33&lt;=L$2), 'ProductSprint Backlog'!$F33 / MAX(1, 'ProductSprint Backlog'!$J33-'ProductSprint Backlog'!$I33), AND('ProductSprint Backlog'!$J33=L$2,'ProductSprint Backlog'!$I33=L$2), 'ProductSprint Backlog'!$F33, TRUE, 0)</f>
        <v>0</v>
      </c>
      <c r="M33" s="4" cm="1">
        <f t="array" ref="M33">_xlfn.IFS('ProductSprint Backlog'!$F33="", "", AND('ProductSprint Backlog'!$J33&gt;M$2,'ProductSprint Backlog'!$I33&lt;=M$2), 'ProductSprint Backlog'!$F33 / MAX(1, 'ProductSprint Backlog'!$J33-'ProductSprint Backlog'!$I33), AND('ProductSprint Backlog'!$J33=M$2,'ProductSprint Backlog'!$I33=M$2), 'ProductSprint Backlog'!$F33, TRUE, 0)</f>
        <v>0</v>
      </c>
      <c r="N33" s="4" cm="1">
        <f t="array" ref="N33">_xlfn.IFS('ProductSprint Backlog'!$F33="", "", AND('ProductSprint Backlog'!$J33&gt;N$2,'ProductSprint Backlog'!$I33&lt;=N$2), 'ProductSprint Backlog'!$F33 / MAX(1, 'ProductSprint Backlog'!$J33-'ProductSprint Backlog'!$I33), AND('ProductSprint Backlog'!$J33=N$2,'ProductSprint Backlog'!$I33=N$2), 'ProductSprint Backlog'!$F33, TRUE, 0)</f>
        <v>0</v>
      </c>
      <c r="O33" s="4" cm="1">
        <f t="array" ref="O33">_xlfn.IFS('ProductSprint Backlog'!$F33="", "", AND('ProductSprint Backlog'!$J33&gt;O$2,'ProductSprint Backlog'!$I33&lt;=O$2), 'ProductSprint Backlog'!$F33 / MAX(1, 'ProductSprint Backlog'!$J33-'ProductSprint Backlog'!$I33), AND('ProductSprint Backlog'!$J33=O$2,'ProductSprint Backlog'!$I33=O$2), 'ProductSprint Backlog'!$F33, TRUE, 0)</f>
        <v>0</v>
      </c>
      <c r="P33" s="4" cm="1">
        <f t="array" ref="P33">_xlfn.IFS('ProductSprint Backlog'!$F33="", "", AND('ProductSprint Backlog'!$J33&gt;P$2,'ProductSprint Backlog'!$I33&lt;=P$2), 'ProductSprint Backlog'!$F33 / MAX(1, 'ProductSprint Backlog'!$J33-'ProductSprint Backlog'!$I33), AND('ProductSprint Backlog'!$J33=P$2,'ProductSprint Backlog'!$I33=P$2), 'ProductSprint Backlog'!$F33, TRUE, 0)</f>
        <v>0</v>
      </c>
      <c r="Q33" s="4" cm="1">
        <f t="array" ref="Q33">_xlfn.IFS('ProductSprint Backlog'!$F33="", "", AND('ProductSprint Backlog'!$J33&gt;Q$2,'ProductSprint Backlog'!$I33&lt;=Q$2), 'ProductSprint Backlog'!$F33 / MAX(1, 'ProductSprint Backlog'!$J33-'ProductSprint Backlog'!$I33), AND('ProductSprint Backlog'!$J33=Q$2,'ProductSprint Backlog'!$I33=Q$2), 'ProductSprint Backlog'!$F33, TRUE, 0)</f>
        <v>0</v>
      </c>
    </row>
    <row r="34" spans="2:17" x14ac:dyDescent="0.2">
      <c r="B34" s="4" cm="1">
        <f t="array" ref="B34">_xlfn.IFS('ProductSprint Backlog'!$F34="", "", AND('ProductSprint Backlog'!$J34&gt;B$2,'ProductSprint Backlog'!$I34&lt;=B$2), 'ProductSprint Backlog'!$F34 / MAX(1, 'ProductSprint Backlog'!$J34-'ProductSprint Backlog'!$I34), AND('ProductSprint Backlog'!$J34=B$2,'ProductSprint Backlog'!$I34=B$2), 'ProductSprint Backlog'!$F34, TRUE, 0)</f>
        <v>0</v>
      </c>
      <c r="C34" s="4" cm="1">
        <f t="array" ref="C34">_xlfn.IFS('ProductSprint Backlog'!$F34="", "", AND('ProductSprint Backlog'!$J34&gt;C$2,'ProductSprint Backlog'!$I34&lt;=C$2), 'ProductSprint Backlog'!$F34 / MAX(1, 'ProductSprint Backlog'!$J34-'ProductSprint Backlog'!$I34), AND('ProductSprint Backlog'!$J34=C$2,'ProductSprint Backlog'!$I34=C$2), 'ProductSprint Backlog'!$F34, TRUE, 0)</f>
        <v>0</v>
      </c>
      <c r="D34" s="4" cm="1">
        <f t="array" ref="D34">_xlfn.IFS('ProductSprint Backlog'!$F34="", "", AND('ProductSprint Backlog'!$J34&gt;D$2,'ProductSprint Backlog'!$I34&lt;=D$2), 'ProductSprint Backlog'!$F34 / MAX(1, 'ProductSprint Backlog'!$J34-'ProductSprint Backlog'!$I34), AND('ProductSprint Backlog'!$J34=D$2,'ProductSprint Backlog'!$I34=D$2), 'ProductSprint Backlog'!$F34, TRUE, 0)</f>
        <v>0</v>
      </c>
      <c r="E34" s="4" cm="1">
        <f t="array" ref="E34">_xlfn.IFS('ProductSprint Backlog'!$F34="", "", AND('ProductSprint Backlog'!$J34&gt;E$2,'ProductSprint Backlog'!$I34&lt;=E$2), 'ProductSprint Backlog'!$F34 / MAX(1, 'ProductSprint Backlog'!$J34-'ProductSprint Backlog'!$I34), AND('ProductSprint Backlog'!$J34=E$2,'ProductSprint Backlog'!$I34=E$2), 'ProductSprint Backlog'!$F34, TRUE, 0)</f>
        <v>0</v>
      </c>
      <c r="F34" s="4" cm="1">
        <f t="array" ref="F34">_xlfn.IFS('ProductSprint Backlog'!$F34="", "", AND('ProductSprint Backlog'!$J34&gt;F$2,'ProductSprint Backlog'!$I34&lt;=F$2), 'ProductSprint Backlog'!$F34 / MAX(1, 'ProductSprint Backlog'!$J34-'ProductSprint Backlog'!$I34), AND('ProductSprint Backlog'!$J34=F$2,'ProductSprint Backlog'!$I34=F$2), 'ProductSprint Backlog'!$F34, TRUE, 0)</f>
        <v>0</v>
      </c>
      <c r="G34" s="4" cm="1">
        <f t="array" ref="G34">_xlfn.IFS('ProductSprint Backlog'!$F34="", "", AND('ProductSprint Backlog'!$J34&gt;G$2,'ProductSprint Backlog'!$I34&lt;=G$2), 'ProductSprint Backlog'!$F34 / MAX(1, 'ProductSprint Backlog'!$J34-'ProductSprint Backlog'!$I34), AND('ProductSprint Backlog'!$J34=G$2,'ProductSprint Backlog'!$I34=G$2), 'ProductSprint Backlog'!$F34, TRUE, 0)</f>
        <v>0</v>
      </c>
      <c r="H34" s="4" cm="1">
        <f t="array" ref="H34">_xlfn.IFS('ProductSprint Backlog'!$F34="", "", AND('ProductSprint Backlog'!$J34&gt;H$2,'ProductSprint Backlog'!$I34&lt;=H$2), 'ProductSprint Backlog'!$F34 / MAX(1, 'ProductSprint Backlog'!$J34-'ProductSprint Backlog'!$I34), AND('ProductSprint Backlog'!$J34=H$2,'ProductSprint Backlog'!$I34=H$2), 'ProductSprint Backlog'!$F34, TRUE, 0)</f>
        <v>0</v>
      </c>
      <c r="I34" s="4" cm="1">
        <f t="array" ref="I34">_xlfn.IFS('ProductSprint Backlog'!$F34="", "", AND('ProductSprint Backlog'!$J34&gt;I$2,'ProductSprint Backlog'!$I34&lt;=I$2), 'ProductSprint Backlog'!$F34 / MAX(1, 'ProductSprint Backlog'!$J34-'ProductSprint Backlog'!$I34), AND('ProductSprint Backlog'!$J34=I$2,'ProductSprint Backlog'!$I34=I$2), 'ProductSprint Backlog'!$F34, TRUE, 0)</f>
        <v>0</v>
      </c>
      <c r="J34" s="4" cm="1">
        <f t="array" ref="J34">_xlfn.IFS('ProductSprint Backlog'!$F34="", "", AND('ProductSprint Backlog'!$J34&gt;J$2,'ProductSprint Backlog'!$I34&lt;=J$2), 'ProductSprint Backlog'!$F34 / MAX(1, 'ProductSprint Backlog'!$J34-'ProductSprint Backlog'!$I34), AND('ProductSprint Backlog'!$J34=J$2,'ProductSprint Backlog'!$I34=J$2), 'ProductSprint Backlog'!$F34, TRUE, 0)</f>
        <v>0</v>
      </c>
      <c r="K34" s="4" cm="1">
        <f t="array" ref="K34">_xlfn.IFS('ProductSprint Backlog'!$F34="", "", AND('ProductSprint Backlog'!$J34&gt;K$2,'ProductSprint Backlog'!$I34&lt;=K$2), 'ProductSprint Backlog'!$F34 / MAX(1, 'ProductSprint Backlog'!$J34-'ProductSprint Backlog'!$I34), AND('ProductSprint Backlog'!$J34=K$2,'ProductSprint Backlog'!$I34=K$2), 'ProductSprint Backlog'!$F34, TRUE, 0)</f>
        <v>0</v>
      </c>
      <c r="L34" s="4" cm="1">
        <f t="array" ref="L34">_xlfn.IFS('ProductSprint Backlog'!$F34="", "", AND('ProductSprint Backlog'!$J34&gt;L$2,'ProductSprint Backlog'!$I34&lt;=L$2), 'ProductSprint Backlog'!$F34 / MAX(1, 'ProductSprint Backlog'!$J34-'ProductSprint Backlog'!$I34), AND('ProductSprint Backlog'!$J34=L$2,'ProductSprint Backlog'!$I34=L$2), 'ProductSprint Backlog'!$F34, TRUE, 0)</f>
        <v>0</v>
      </c>
      <c r="M34" s="4" cm="1">
        <f t="array" ref="M34">_xlfn.IFS('ProductSprint Backlog'!$F34="", "", AND('ProductSprint Backlog'!$J34&gt;M$2,'ProductSprint Backlog'!$I34&lt;=M$2), 'ProductSprint Backlog'!$F34 / MAX(1, 'ProductSprint Backlog'!$J34-'ProductSprint Backlog'!$I34), AND('ProductSprint Backlog'!$J34=M$2,'ProductSprint Backlog'!$I34=M$2), 'ProductSprint Backlog'!$F34, TRUE, 0)</f>
        <v>0</v>
      </c>
      <c r="N34" s="4" cm="1">
        <f t="array" ref="N34">_xlfn.IFS('ProductSprint Backlog'!$F34="", "", AND('ProductSprint Backlog'!$J34&gt;N$2,'ProductSprint Backlog'!$I34&lt;=N$2), 'ProductSprint Backlog'!$F34 / MAX(1, 'ProductSprint Backlog'!$J34-'ProductSprint Backlog'!$I34), AND('ProductSprint Backlog'!$J34=N$2,'ProductSprint Backlog'!$I34=N$2), 'ProductSprint Backlog'!$F34, TRUE, 0)</f>
        <v>0</v>
      </c>
      <c r="O34" s="4" cm="1">
        <f t="array" ref="O34">_xlfn.IFS('ProductSprint Backlog'!$F34="", "", AND('ProductSprint Backlog'!$J34&gt;O$2,'ProductSprint Backlog'!$I34&lt;=O$2), 'ProductSprint Backlog'!$F34 / MAX(1, 'ProductSprint Backlog'!$J34-'ProductSprint Backlog'!$I34), AND('ProductSprint Backlog'!$J34=O$2,'ProductSprint Backlog'!$I34=O$2), 'ProductSprint Backlog'!$F34, TRUE, 0)</f>
        <v>0</v>
      </c>
      <c r="P34" s="4" cm="1">
        <f t="array" ref="P34">_xlfn.IFS('ProductSprint Backlog'!$F34="", "", AND('ProductSprint Backlog'!$J34&gt;P$2,'ProductSprint Backlog'!$I34&lt;=P$2), 'ProductSprint Backlog'!$F34 / MAX(1, 'ProductSprint Backlog'!$J34-'ProductSprint Backlog'!$I34), AND('ProductSprint Backlog'!$J34=P$2,'ProductSprint Backlog'!$I34=P$2), 'ProductSprint Backlog'!$F34, TRUE, 0)</f>
        <v>0</v>
      </c>
      <c r="Q34" s="4" cm="1">
        <f t="array" ref="Q34">_xlfn.IFS('ProductSprint Backlog'!$F34="", "", AND('ProductSprint Backlog'!$J34&gt;Q$2,'ProductSprint Backlog'!$I34&lt;=Q$2), 'ProductSprint Backlog'!$F34 / MAX(1, 'ProductSprint Backlog'!$J34-'ProductSprint Backlog'!$I34), AND('ProductSprint Backlog'!$J34=Q$2,'ProductSprint Backlog'!$I34=Q$2), 'ProductSprint Backlog'!$F34, TRUE, 0)</f>
        <v>0</v>
      </c>
    </row>
    <row r="35" spans="2:17" x14ac:dyDescent="0.2">
      <c r="B35" s="4" cm="1">
        <f t="array" ref="B35">_xlfn.IFS('ProductSprint Backlog'!$F35="", "", AND('ProductSprint Backlog'!$J35&gt;B$2,'ProductSprint Backlog'!$I35&lt;=B$2), 'ProductSprint Backlog'!$F35 / MAX(1, 'ProductSprint Backlog'!$J35-'ProductSprint Backlog'!$I35), AND('ProductSprint Backlog'!$J35=B$2,'ProductSprint Backlog'!$I35=B$2), 'ProductSprint Backlog'!$F35, TRUE, 0)</f>
        <v>0</v>
      </c>
      <c r="C35" s="4" cm="1">
        <f t="array" ref="C35">_xlfn.IFS('ProductSprint Backlog'!$F35="", "", AND('ProductSprint Backlog'!$J35&gt;C$2,'ProductSprint Backlog'!$I35&lt;=C$2), 'ProductSprint Backlog'!$F35 / MAX(1, 'ProductSprint Backlog'!$J35-'ProductSprint Backlog'!$I35), AND('ProductSprint Backlog'!$J35=C$2,'ProductSprint Backlog'!$I35=C$2), 'ProductSprint Backlog'!$F35, TRUE, 0)</f>
        <v>0</v>
      </c>
      <c r="D35" s="4" cm="1">
        <f t="array" ref="D35">_xlfn.IFS('ProductSprint Backlog'!$F35="", "", AND('ProductSprint Backlog'!$J35&gt;D$2,'ProductSprint Backlog'!$I35&lt;=D$2), 'ProductSprint Backlog'!$F35 / MAX(1, 'ProductSprint Backlog'!$J35-'ProductSprint Backlog'!$I35), AND('ProductSprint Backlog'!$J35=D$2,'ProductSprint Backlog'!$I35=D$2), 'ProductSprint Backlog'!$F35, TRUE, 0)</f>
        <v>0</v>
      </c>
      <c r="E35" s="4" cm="1">
        <f t="array" ref="E35">_xlfn.IFS('ProductSprint Backlog'!$F35="", "", AND('ProductSprint Backlog'!$J35&gt;E$2,'ProductSprint Backlog'!$I35&lt;=E$2), 'ProductSprint Backlog'!$F35 / MAX(1, 'ProductSprint Backlog'!$J35-'ProductSprint Backlog'!$I35), AND('ProductSprint Backlog'!$J35=E$2,'ProductSprint Backlog'!$I35=E$2), 'ProductSprint Backlog'!$F35, TRUE, 0)</f>
        <v>0</v>
      </c>
      <c r="F35" s="4" cm="1">
        <f t="array" ref="F35">_xlfn.IFS('ProductSprint Backlog'!$F35="", "", AND('ProductSprint Backlog'!$J35&gt;F$2,'ProductSprint Backlog'!$I35&lt;=F$2), 'ProductSprint Backlog'!$F35 / MAX(1, 'ProductSprint Backlog'!$J35-'ProductSprint Backlog'!$I35), AND('ProductSprint Backlog'!$J35=F$2,'ProductSprint Backlog'!$I35=F$2), 'ProductSprint Backlog'!$F35, TRUE, 0)</f>
        <v>0</v>
      </c>
      <c r="G35" s="4" cm="1">
        <f t="array" ref="G35">_xlfn.IFS('ProductSprint Backlog'!$F35="", "", AND('ProductSprint Backlog'!$J35&gt;G$2,'ProductSprint Backlog'!$I35&lt;=G$2), 'ProductSprint Backlog'!$F35 / MAX(1, 'ProductSprint Backlog'!$J35-'ProductSprint Backlog'!$I35), AND('ProductSprint Backlog'!$J35=G$2,'ProductSprint Backlog'!$I35=G$2), 'ProductSprint Backlog'!$F35, TRUE, 0)</f>
        <v>0</v>
      </c>
      <c r="H35" s="4" cm="1">
        <f t="array" ref="H35">_xlfn.IFS('ProductSprint Backlog'!$F35="", "", AND('ProductSprint Backlog'!$J35&gt;H$2,'ProductSprint Backlog'!$I35&lt;=H$2), 'ProductSprint Backlog'!$F35 / MAX(1, 'ProductSprint Backlog'!$J35-'ProductSprint Backlog'!$I35), AND('ProductSprint Backlog'!$J35=H$2,'ProductSprint Backlog'!$I35=H$2), 'ProductSprint Backlog'!$F35, TRUE, 0)</f>
        <v>0</v>
      </c>
      <c r="I35" s="4" cm="1">
        <f t="array" ref="I35">_xlfn.IFS('ProductSprint Backlog'!$F35="", "", AND('ProductSprint Backlog'!$J35&gt;I$2,'ProductSprint Backlog'!$I35&lt;=I$2), 'ProductSprint Backlog'!$F35 / MAX(1, 'ProductSprint Backlog'!$J35-'ProductSprint Backlog'!$I35), AND('ProductSprint Backlog'!$J35=I$2,'ProductSprint Backlog'!$I35=I$2), 'ProductSprint Backlog'!$F35, TRUE, 0)</f>
        <v>0</v>
      </c>
      <c r="J35" s="4" cm="1">
        <f t="array" ref="J35">_xlfn.IFS('ProductSprint Backlog'!$F35="", "", AND('ProductSprint Backlog'!$J35&gt;J$2,'ProductSprint Backlog'!$I35&lt;=J$2), 'ProductSprint Backlog'!$F35 / MAX(1, 'ProductSprint Backlog'!$J35-'ProductSprint Backlog'!$I35), AND('ProductSprint Backlog'!$J35=J$2,'ProductSprint Backlog'!$I35=J$2), 'ProductSprint Backlog'!$F35, TRUE, 0)</f>
        <v>0</v>
      </c>
      <c r="K35" s="4" cm="1">
        <f t="array" ref="K35">_xlfn.IFS('ProductSprint Backlog'!$F35="", "", AND('ProductSprint Backlog'!$J35&gt;K$2,'ProductSprint Backlog'!$I35&lt;=K$2), 'ProductSprint Backlog'!$F35 / MAX(1, 'ProductSprint Backlog'!$J35-'ProductSprint Backlog'!$I35), AND('ProductSprint Backlog'!$J35=K$2,'ProductSprint Backlog'!$I35=K$2), 'ProductSprint Backlog'!$F35, TRUE, 0)</f>
        <v>0</v>
      </c>
      <c r="L35" s="4" cm="1">
        <f t="array" ref="L35">_xlfn.IFS('ProductSprint Backlog'!$F35="", "", AND('ProductSprint Backlog'!$J35&gt;L$2,'ProductSprint Backlog'!$I35&lt;=L$2), 'ProductSprint Backlog'!$F35 / MAX(1, 'ProductSprint Backlog'!$J35-'ProductSprint Backlog'!$I35), AND('ProductSprint Backlog'!$J35=L$2,'ProductSprint Backlog'!$I35=L$2), 'ProductSprint Backlog'!$F35, TRUE, 0)</f>
        <v>0</v>
      </c>
      <c r="M35" s="4" cm="1">
        <f t="array" ref="M35">_xlfn.IFS('ProductSprint Backlog'!$F35="", "", AND('ProductSprint Backlog'!$J35&gt;M$2,'ProductSprint Backlog'!$I35&lt;=M$2), 'ProductSprint Backlog'!$F35 / MAX(1, 'ProductSprint Backlog'!$J35-'ProductSprint Backlog'!$I35), AND('ProductSprint Backlog'!$J35=M$2,'ProductSprint Backlog'!$I35=M$2), 'ProductSprint Backlog'!$F35, TRUE, 0)</f>
        <v>0</v>
      </c>
      <c r="N35" s="4" cm="1">
        <f t="array" ref="N35">_xlfn.IFS('ProductSprint Backlog'!$F35="", "", AND('ProductSprint Backlog'!$J35&gt;N$2,'ProductSprint Backlog'!$I35&lt;=N$2), 'ProductSprint Backlog'!$F35 / MAX(1, 'ProductSprint Backlog'!$J35-'ProductSprint Backlog'!$I35), AND('ProductSprint Backlog'!$J35=N$2,'ProductSprint Backlog'!$I35=N$2), 'ProductSprint Backlog'!$F35, TRUE, 0)</f>
        <v>0</v>
      </c>
      <c r="O35" s="4" cm="1">
        <f t="array" ref="O35">_xlfn.IFS('ProductSprint Backlog'!$F35="", "", AND('ProductSprint Backlog'!$J35&gt;O$2,'ProductSprint Backlog'!$I35&lt;=O$2), 'ProductSprint Backlog'!$F35 / MAX(1, 'ProductSprint Backlog'!$J35-'ProductSprint Backlog'!$I35), AND('ProductSprint Backlog'!$J35=O$2,'ProductSprint Backlog'!$I35=O$2), 'ProductSprint Backlog'!$F35, TRUE, 0)</f>
        <v>0</v>
      </c>
      <c r="P35" s="4" cm="1">
        <f t="array" ref="P35">_xlfn.IFS('ProductSprint Backlog'!$F35="", "", AND('ProductSprint Backlog'!$J35&gt;P$2,'ProductSprint Backlog'!$I35&lt;=P$2), 'ProductSprint Backlog'!$F35 / MAX(1, 'ProductSprint Backlog'!$J35-'ProductSprint Backlog'!$I35), AND('ProductSprint Backlog'!$J35=P$2,'ProductSprint Backlog'!$I35=P$2), 'ProductSprint Backlog'!$F35, TRUE, 0)</f>
        <v>0</v>
      </c>
      <c r="Q35" s="4" cm="1">
        <f t="array" ref="Q35">_xlfn.IFS('ProductSprint Backlog'!$F35="", "", AND('ProductSprint Backlog'!$J35&gt;Q$2,'ProductSprint Backlog'!$I35&lt;=Q$2), 'ProductSprint Backlog'!$F35 / MAX(1, 'ProductSprint Backlog'!$J35-'ProductSprint Backlog'!$I35), AND('ProductSprint Backlog'!$J35=Q$2,'ProductSprint Backlog'!$I35=Q$2), 'ProductSprint Backlog'!$F35, TRUE, 0)</f>
        <v>0</v>
      </c>
    </row>
    <row r="36" spans="2:17" x14ac:dyDescent="0.2">
      <c r="B36" s="4" t="str" cm="1">
        <f t="array" ref="B36">_xlfn.IFS('ProductSprint Backlog'!$F36="", "", AND('ProductSprint Backlog'!$J36&gt;B$2,'ProductSprint Backlog'!$I36&lt;=B$2), 'ProductSprint Backlog'!$F36 / MAX(1, 'ProductSprint Backlog'!$J36-'ProductSprint Backlog'!$I36), AND('ProductSprint Backlog'!$J36=B$2,'ProductSprint Backlog'!$I36=B$2), 'ProductSprint Backlog'!$F36, TRUE, 0)</f>
        <v/>
      </c>
      <c r="C36" s="4" t="str" cm="1">
        <f t="array" ref="C36">_xlfn.IFS('ProductSprint Backlog'!$F36="", "", AND('ProductSprint Backlog'!$J36&gt;C$2,'ProductSprint Backlog'!$I36&lt;=C$2), 'ProductSprint Backlog'!$F36 / MAX(1, 'ProductSprint Backlog'!$J36-'ProductSprint Backlog'!$I36), AND('ProductSprint Backlog'!$J36=C$2,'ProductSprint Backlog'!$I36=C$2), 'ProductSprint Backlog'!$F36, TRUE, 0)</f>
        <v/>
      </c>
      <c r="D36" s="4" t="str" cm="1">
        <f t="array" ref="D36">_xlfn.IFS('ProductSprint Backlog'!$F36="", "", AND('ProductSprint Backlog'!$J36&gt;D$2,'ProductSprint Backlog'!$I36&lt;=D$2), 'ProductSprint Backlog'!$F36 / MAX(1, 'ProductSprint Backlog'!$J36-'ProductSprint Backlog'!$I36), AND('ProductSprint Backlog'!$J36=D$2,'ProductSprint Backlog'!$I36=D$2), 'ProductSprint Backlog'!$F36, TRUE, 0)</f>
        <v/>
      </c>
      <c r="E36" s="4" t="str" cm="1">
        <f t="array" ref="E36">_xlfn.IFS('ProductSprint Backlog'!$F36="", "", AND('ProductSprint Backlog'!$J36&gt;E$2,'ProductSprint Backlog'!$I36&lt;=E$2), 'ProductSprint Backlog'!$F36 / MAX(1, 'ProductSprint Backlog'!$J36-'ProductSprint Backlog'!$I36), AND('ProductSprint Backlog'!$J36=E$2,'ProductSprint Backlog'!$I36=E$2), 'ProductSprint Backlog'!$F36, TRUE, 0)</f>
        <v/>
      </c>
      <c r="F36" s="4" t="str" cm="1">
        <f t="array" ref="F36">_xlfn.IFS('ProductSprint Backlog'!$F36="", "", AND('ProductSprint Backlog'!$J36&gt;F$2,'ProductSprint Backlog'!$I36&lt;=F$2), 'ProductSprint Backlog'!$F36 / MAX(1, 'ProductSprint Backlog'!$J36-'ProductSprint Backlog'!$I36), AND('ProductSprint Backlog'!$J36=F$2,'ProductSprint Backlog'!$I36=F$2), 'ProductSprint Backlog'!$F36, TRUE, 0)</f>
        <v/>
      </c>
      <c r="G36" s="4" t="str" cm="1">
        <f t="array" ref="G36">_xlfn.IFS('ProductSprint Backlog'!$F36="", "", AND('ProductSprint Backlog'!$J36&gt;G$2,'ProductSprint Backlog'!$I36&lt;=G$2), 'ProductSprint Backlog'!$F36 / MAX(1, 'ProductSprint Backlog'!$J36-'ProductSprint Backlog'!$I36), AND('ProductSprint Backlog'!$J36=G$2,'ProductSprint Backlog'!$I36=G$2), 'ProductSprint Backlog'!$F36, TRUE, 0)</f>
        <v/>
      </c>
      <c r="H36" s="4" t="str" cm="1">
        <f t="array" ref="H36">_xlfn.IFS('ProductSprint Backlog'!$F36="", "", AND('ProductSprint Backlog'!$J36&gt;H$2,'ProductSprint Backlog'!$I36&lt;=H$2), 'ProductSprint Backlog'!$F36 / MAX(1, 'ProductSprint Backlog'!$J36-'ProductSprint Backlog'!$I36), AND('ProductSprint Backlog'!$J36=H$2,'ProductSprint Backlog'!$I36=H$2), 'ProductSprint Backlog'!$F36, TRUE, 0)</f>
        <v/>
      </c>
      <c r="I36" s="4" t="str" cm="1">
        <f t="array" ref="I36">_xlfn.IFS('ProductSprint Backlog'!$F36="", "", AND('ProductSprint Backlog'!$J36&gt;I$2,'ProductSprint Backlog'!$I36&lt;=I$2), 'ProductSprint Backlog'!$F36 / MAX(1, 'ProductSprint Backlog'!$J36-'ProductSprint Backlog'!$I36), AND('ProductSprint Backlog'!$J36=I$2,'ProductSprint Backlog'!$I36=I$2), 'ProductSprint Backlog'!$F36, TRUE, 0)</f>
        <v/>
      </c>
      <c r="J36" s="4" t="str" cm="1">
        <f t="array" ref="J36">_xlfn.IFS('ProductSprint Backlog'!$F36="", "", AND('ProductSprint Backlog'!$J36&gt;J$2,'ProductSprint Backlog'!$I36&lt;=J$2), 'ProductSprint Backlog'!$F36 / MAX(1, 'ProductSprint Backlog'!$J36-'ProductSprint Backlog'!$I36), AND('ProductSprint Backlog'!$J36=J$2,'ProductSprint Backlog'!$I36=J$2), 'ProductSprint Backlog'!$F36, TRUE, 0)</f>
        <v/>
      </c>
      <c r="K36" s="4" t="str" cm="1">
        <f t="array" ref="K36">_xlfn.IFS('ProductSprint Backlog'!$F36="", "", AND('ProductSprint Backlog'!$J36&gt;K$2,'ProductSprint Backlog'!$I36&lt;=K$2), 'ProductSprint Backlog'!$F36 / MAX(1, 'ProductSprint Backlog'!$J36-'ProductSprint Backlog'!$I36), AND('ProductSprint Backlog'!$J36=K$2,'ProductSprint Backlog'!$I36=K$2), 'ProductSprint Backlog'!$F36, TRUE, 0)</f>
        <v/>
      </c>
      <c r="L36" s="4" t="str" cm="1">
        <f t="array" ref="L36">_xlfn.IFS('ProductSprint Backlog'!$F36="", "", AND('ProductSprint Backlog'!$J36&gt;L$2,'ProductSprint Backlog'!$I36&lt;=L$2), 'ProductSprint Backlog'!$F36 / MAX(1, 'ProductSprint Backlog'!$J36-'ProductSprint Backlog'!$I36), AND('ProductSprint Backlog'!$J36=L$2,'ProductSprint Backlog'!$I36=L$2), 'ProductSprint Backlog'!$F36, TRUE, 0)</f>
        <v/>
      </c>
      <c r="M36" s="4" t="str" cm="1">
        <f t="array" ref="M36">_xlfn.IFS('ProductSprint Backlog'!$F36="", "", AND('ProductSprint Backlog'!$J36&gt;M$2,'ProductSprint Backlog'!$I36&lt;=M$2), 'ProductSprint Backlog'!$F36 / MAX(1, 'ProductSprint Backlog'!$J36-'ProductSprint Backlog'!$I36), AND('ProductSprint Backlog'!$J36=M$2,'ProductSprint Backlog'!$I36=M$2), 'ProductSprint Backlog'!$F36, TRUE, 0)</f>
        <v/>
      </c>
      <c r="N36" s="4" t="str" cm="1">
        <f t="array" ref="N36">_xlfn.IFS('ProductSprint Backlog'!$F36="", "", AND('ProductSprint Backlog'!$J36&gt;N$2,'ProductSprint Backlog'!$I36&lt;=N$2), 'ProductSprint Backlog'!$F36 / MAX(1, 'ProductSprint Backlog'!$J36-'ProductSprint Backlog'!$I36), AND('ProductSprint Backlog'!$J36=N$2,'ProductSprint Backlog'!$I36=N$2), 'ProductSprint Backlog'!$F36, TRUE, 0)</f>
        <v/>
      </c>
      <c r="O36" s="4" t="str" cm="1">
        <f t="array" ref="O36">_xlfn.IFS('ProductSprint Backlog'!$F36="", "", AND('ProductSprint Backlog'!$J36&gt;O$2,'ProductSprint Backlog'!$I36&lt;=O$2), 'ProductSprint Backlog'!$F36 / MAX(1, 'ProductSprint Backlog'!$J36-'ProductSprint Backlog'!$I36), AND('ProductSprint Backlog'!$J36=O$2,'ProductSprint Backlog'!$I36=O$2), 'ProductSprint Backlog'!$F36, TRUE, 0)</f>
        <v/>
      </c>
      <c r="P36" s="4" t="str" cm="1">
        <f t="array" ref="P36">_xlfn.IFS('ProductSprint Backlog'!$F36="", "", AND('ProductSprint Backlog'!$J36&gt;P$2,'ProductSprint Backlog'!$I36&lt;=P$2), 'ProductSprint Backlog'!$F36 / MAX(1, 'ProductSprint Backlog'!$J36-'ProductSprint Backlog'!$I36), AND('ProductSprint Backlog'!$J36=P$2,'ProductSprint Backlog'!$I36=P$2), 'ProductSprint Backlog'!$F36, TRUE, 0)</f>
        <v/>
      </c>
      <c r="Q36" s="4" t="str" cm="1">
        <f t="array" ref="Q36">_xlfn.IFS('ProductSprint Backlog'!$F36="", "", AND('ProductSprint Backlog'!$J36&gt;Q$2,'ProductSprint Backlog'!$I36&lt;=Q$2), 'ProductSprint Backlog'!$F36 / MAX(1, 'ProductSprint Backlog'!$J36-'ProductSprint Backlog'!$I36), AND('ProductSprint Backlog'!$J36=Q$2,'ProductSprint Backlog'!$I36=Q$2), 'ProductSprint Backlog'!$F36, TRUE, 0)</f>
        <v/>
      </c>
    </row>
    <row r="37" spans="2:17" x14ac:dyDescent="0.2">
      <c r="B37" s="4" cm="1">
        <f t="array" ref="B37">_xlfn.IFS('ProductSprint Backlog'!$F37="", "", AND('ProductSprint Backlog'!$J37&gt;B$2,'ProductSprint Backlog'!$I37&lt;=B$2), 'ProductSprint Backlog'!$F37 / MAX(1, 'ProductSprint Backlog'!$J37-'ProductSprint Backlog'!$I37), AND('ProductSprint Backlog'!$J37=B$2,'ProductSprint Backlog'!$I37=B$2), 'ProductSprint Backlog'!$F37, TRUE, 0)</f>
        <v>0</v>
      </c>
      <c r="C37" s="4" cm="1">
        <f t="array" ref="C37">_xlfn.IFS('ProductSprint Backlog'!$F37="", "", AND('ProductSprint Backlog'!$J37&gt;C$2,'ProductSprint Backlog'!$I37&lt;=C$2), 'ProductSprint Backlog'!$F37 / MAX(1, 'ProductSprint Backlog'!$J37-'ProductSprint Backlog'!$I37), AND('ProductSprint Backlog'!$J37=C$2,'ProductSprint Backlog'!$I37=C$2), 'ProductSprint Backlog'!$F37, TRUE, 0)</f>
        <v>0</v>
      </c>
      <c r="D37" s="4" cm="1">
        <f t="array" ref="D37">_xlfn.IFS('ProductSprint Backlog'!$F37="", "", AND('ProductSprint Backlog'!$J37&gt;D$2,'ProductSprint Backlog'!$I37&lt;=D$2), 'ProductSprint Backlog'!$F37 / MAX(1, 'ProductSprint Backlog'!$J37-'ProductSprint Backlog'!$I37), AND('ProductSprint Backlog'!$J37=D$2,'ProductSprint Backlog'!$I37=D$2), 'ProductSprint Backlog'!$F37, TRUE, 0)</f>
        <v>0</v>
      </c>
      <c r="E37" s="4" cm="1">
        <f t="array" ref="E37">_xlfn.IFS('ProductSprint Backlog'!$F37="", "", AND('ProductSprint Backlog'!$J37&gt;E$2,'ProductSprint Backlog'!$I37&lt;=E$2), 'ProductSprint Backlog'!$F37 / MAX(1, 'ProductSprint Backlog'!$J37-'ProductSprint Backlog'!$I37), AND('ProductSprint Backlog'!$J37=E$2,'ProductSprint Backlog'!$I37=E$2), 'ProductSprint Backlog'!$F37, TRUE, 0)</f>
        <v>0</v>
      </c>
      <c r="F37" s="4" cm="1">
        <f t="array" ref="F37">_xlfn.IFS('ProductSprint Backlog'!$F37="", "", AND('ProductSprint Backlog'!$J37&gt;F$2,'ProductSprint Backlog'!$I37&lt;=F$2), 'ProductSprint Backlog'!$F37 / MAX(1, 'ProductSprint Backlog'!$J37-'ProductSprint Backlog'!$I37), AND('ProductSprint Backlog'!$J37=F$2,'ProductSprint Backlog'!$I37=F$2), 'ProductSprint Backlog'!$F37, TRUE, 0)</f>
        <v>0</v>
      </c>
      <c r="G37" s="4" cm="1">
        <f t="array" ref="G37">_xlfn.IFS('ProductSprint Backlog'!$F37="", "", AND('ProductSprint Backlog'!$J37&gt;G$2,'ProductSprint Backlog'!$I37&lt;=G$2), 'ProductSprint Backlog'!$F37 / MAX(1, 'ProductSprint Backlog'!$J37-'ProductSprint Backlog'!$I37), AND('ProductSprint Backlog'!$J37=G$2,'ProductSprint Backlog'!$I37=G$2), 'ProductSprint Backlog'!$F37, TRUE, 0)</f>
        <v>0</v>
      </c>
      <c r="H37" s="4" cm="1">
        <f t="array" ref="H37">_xlfn.IFS('ProductSprint Backlog'!$F37="", "", AND('ProductSprint Backlog'!$J37&gt;H$2,'ProductSprint Backlog'!$I37&lt;=H$2), 'ProductSprint Backlog'!$F37 / MAX(1, 'ProductSprint Backlog'!$J37-'ProductSprint Backlog'!$I37), AND('ProductSprint Backlog'!$J37=H$2,'ProductSprint Backlog'!$I37=H$2), 'ProductSprint Backlog'!$F37, TRUE, 0)</f>
        <v>0</v>
      </c>
      <c r="I37" s="4" cm="1">
        <f t="array" ref="I37">_xlfn.IFS('ProductSprint Backlog'!$F37="", "", AND('ProductSprint Backlog'!$J37&gt;I$2,'ProductSprint Backlog'!$I37&lt;=I$2), 'ProductSprint Backlog'!$F37 / MAX(1, 'ProductSprint Backlog'!$J37-'ProductSprint Backlog'!$I37), AND('ProductSprint Backlog'!$J37=I$2,'ProductSprint Backlog'!$I37=I$2), 'ProductSprint Backlog'!$F37, TRUE, 0)</f>
        <v>0</v>
      </c>
      <c r="J37" s="4" cm="1">
        <f t="array" ref="J37">_xlfn.IFS('ProductSprint Backlog'!$F37="", "", AND('ProductSprint Backlog'!$J37&gt;J$2,'ProductSprint Backlog'!$I37&lt;=J$2), 'ProductSprint Backlog'!$F37 / MAX(1, 'ProductSprint Backlog'!$J37-'ProductSprint Backlog'!$I37), AND('ProductSprint Backlog'!$J37=J$2,'ProductSprint Backlog'!$I37=J$2), 'ProductSprint Backlog'!$F37, TRUE, 0)</f>
        <v>0</v>
      </c>
      <c r="K37" s="4" cm="1">
        <f t="array" ref="K37">_xlfn.IFS('ProductSprint Backlog'!$F37="", "", AND('ProductSprint Backlog'!$J37&gt;K$2,'ProductSprint Backlog'!$I37&lt;=K$2), 'ProductSprint Backlog'!$F37 / MAX(1, 'ProductSprint Backlog'!$J37-'ProductSprint Backlog'!$I37), AND('ProductSprint Backlog'!$J37=K$2,'ProductSprint Backlog'!$I37=K$2), 'ProductSprint Backlog'!$F37, TRUE, 0)</f>
        <v>0</v>
      </c>
      <c r="L37" s="4" cm="1">
        <f t="array" ref="L37">_xlfn.IFS('ProductSprint Backlog'!$F37="", "", AND('ProductSprint Backlog'!$J37&gt;L$2,'ProductSprint Backlog'!$I37&lt;=L$2), 'ProductSprint Backlog'!$F37 / MAX(1, 'ProductSprint Backlog'!$J37-'ProductSprint Backlog'!$I37), AND('ProductSprint Backlog'!$J37=L$2,'ProductSprint Backlog'!$I37=L$2), 'ProductSprint Backlog'!$F37, TRUE, 0)</f>
        <v>0</v>
      </c>
      <c r="M37" s="4" cm="1">
        <f t="array" ref="M37">_xlfn.IFS('ProductSprint Backlog'!$F37="", "", AND('ProductSprint Backlog'!$J37&gt;M$2,'ProductSprint Backlog'!$I37&lt;=M$2), 'ProductSprint Backlog'!$F37 / MAX(1, 'ProductSprint Backlog'!$J37-'ProductSprint Backlog'!$I37), AND('ProductSprint Backlog'!$J37=M$2,'ProductSprint Backlog'!$I37=M$2), 'ProductSprint Backlog'!$F37, TRUE, 0)</f>
        <v>0</v>
      </c>
      <c r="N37" s="4" cm="1">
        <f t="array" ref="N37">_xlfn.IFS('ProductSprint Backlog'!$F37="", "", AND('ProductSprint Backlog'!$J37&gt;N$2,'ProductSprint Backlog'!$I37&lt;=N$2), 'ProductSprint Backlog'!$F37 / MAX(1, 'ProductSprint Backlog'!$J37-'ProductSprint Backlog'!$I37), AND('ProductSprint Backlog'!$J37=N$2,'ProductSprint Backlog'!$I37=N$2), 'ProductSprint Backlog'!$F37, TRUE, 0)</f>
        <v>0</v>
      </c>
      <c r="O37" s="4" cm="1">
        <f t="array" ref="O37">_xlfn.IFS('ProductSprint Backlog'!$F37="", "", AND('ProductSprint Backlog'!$J37&gt;O$2,'ProductSprint Backlog'!$I37&lt;=O$2), 'ProductSprint Backlog'!$F37 / MAX(1, 'ProductSprint Backlog'!$J37-'ProductSprint Backlog'!$I37), AND('ProductSprint Backlog'!$J37=O$2,'ProductSprint Backlog'!$I37=O$2), 'ProductSprint Backlog'!$F37, TRUE, 0)</f>
        <v>0</v>
      </c>
      <c r="P37" s="4" cm="1">
        <f t="array" ref="P37">_xlfn.IFS('ProductSprint Backlog'!$F37="", "", AND('ProductSprint Backlog'!$J37&gt;P$2,'ProductSprint Backlog'!$I37&lt;=P$2), 'ProductSprint Backlog'!$F37 / MAX(1, 'ProductSprint Backlog'!$J37-'ProductSprint Backlog'!$I37), AND('ProductSprint Backlog'!$J37=P$2,'ProductSprint Backlog'!$I37=P$2), 'ProductSprint Backlog'!$F37, TRUE, 0)</f>
        <v>0</v>
      </c>
      <c r="Q37" s="4" cm="1">
        <f t="array" ref="Q37">_xlfn.IFS('ProductSprint Backlog'!$F37="", "", AND('ProductSprint Backlog'!$J37&gt;Q$2,'ProductSprint Backlog'!$I37&lt;=Q$2), 'ProductSprint Backlog'!$F37 / MAX(1, 'ProductSprint Backlog'!$J37-'ProductSprint Backlog'!$I37), AND('ProductSprint Backlog'!$J37=Q$2,'ProductSprint Backlog'!$I37=Q$2), 'ProductSprint Backlog'!$F37, TRUE, 0)</f>
        <v>0</v>
      </c>
    </row>
    <row r="38" spans="2:17" x14ac:dyDescent="0.2">
      <c r="B38" s="4" cm="1">
        <f t="array" ref="B38">_xlfn.IFS('ProductSprint Backlog'!$F38="", "", AND('ProductSprint Backlog'!$J38&gt;B$2,'ProductSprint Backlog'!$I38&lt;=B$2), 'ProductSprint Backlog'!$F38 / MAX(1, 'ProductSprint Backlog'!$J38-'ProductSprint Backlog'!$I38), AND('ProductSprint Backlog'!$J38=B$2,'ProductSprint Backlog'!$I38=B$2), 'ProductSprint Backlog'!$F38, TRUE, 0)</f>
        <v>0</v>
      </c>
      <c r="C38" s="4" cm="1">
        <f t="array" ref="C38">_xlfn.IFS('ProductSprint Backlog'!$F38="", "", AND('ProductSprint Backlog'!$J38&gt;C$2,'ProductSprint Backlog'!$I38&lt;=C$2), 'ProductSprint Backlog'!$F38 / MAX(1, 'ProductSprint Backlog'!$J38-'ProductSprint Backlog'!$I38), AND('ProductSprint Backlog'!$J38=C$2,'ProductSprint Backlog'!$I38=C$2), 'ProductSprint Backlog'!$F38, TRUE, 0)</f>
        <v>0</v>
      </c>
      <c r="D38" s="4" cm="1">
        <f t="array" ref="D38">_xlfn.IFS('ProductSprint Backlog'!$F38="", "", AND('ProductSprint Backlog'!$J38&gt;D$2,'ProductSprint Backlog'!$I38&lt;=D$2), 'ProductSprint Backlog'!$F38 / MAX(1, 'ProductSprint Backlog'!$J38-'ProductSprint Backlog'!$I38), AND('ProductSprint Backlog'!$J38=D$2,'ProductSprint Backlog'!$I38=D$2), 'ProductSprint Backlog'!$F38, TRUE, 0)</f>
        <v>0</v>
      </c>
      <c r="E38" s="4" cm="1">
        <f t="array" ref="E38">_xlfn.IFS('ProductSprint Backlog'!$F38="", "", AND('ProductSprint Backlog'!$J38&gt;E$2,'ProductSprint Backlog'!$I38&lt;=E$2), 'ProductSprint Backlog'!$F38 / MAX(1, 'ProductSprint Backlog'!$J38-'ProductSprint Backlog'!$I38), AND('ProductSprint Backlog'!$J38=E$2,'ProductSprint Backlog'!$I38=E$2), 'ProductSprint Backlog'!$F38, TRUE, 0)</f>
        <v>0</v>
      </c>
      <c r="F38" s="4" cm="1">
        <f t="array" ref="F38">_xlfn.IFS('ProductSprint Backlog'!$F38="", "", AND('ProductSprint Backlog'!$J38&gt;F$2,'ProductSprint Backlog'!$I38&lt;=F$2), 'ProductSprint Backlog'!$F38 / MAX(1, 'ProductSprint Backlog'!$J38-'ProductSprint Backlog'!$I38), AND('ProductSprint Backlog'!$J38=F$2,'ProductSprint Backlog'!$I38=F$2), 'ProductSprint Backlog'!$F38, TRUE, 0)</f>
        <v>0</v>
      </c>
      <c r="G38" s="4" cm="1">
        <f t="array" ref="G38">_xlfn.IFS('ProductSprint Backlog'!$F38="", "", AND('ProductSprint Backlog'!$J38&gt;G$2,'ProductSprint Backlog'!$I38&lt;=G$2), 'ProductSprint Backlog'!$F38 / MAX(1, 'ProductSprint Backlog'!$J38-'ProductSprint Backlog'!$I38), AND('ProductSprint Backlog'!$J38=G$2,'ProductSprint Backlog'!$I38=G$2), 'ProductSprint Backlog'!$F38, TRUE, 0)</f>
        <v>0</v>
      </c>
      <c r="H38" s="4" cm="1">
        <f t="array" ref="H38">_xlfn.IFS('ProductSprint Backlog'!$F38="", "", AND('ProductSprint Backlog'!$J38&gt;H$2,'ProductSprint Backlog'!$I38&lt;=H$2), 'ProductSprint Backlog'!$F38 / MAX(1, 'ProductSprint Backlog'!$J38-'ProductSprint Backlog'!$I38), AND('ProductSprint Backlog'!$J38=H$2,'ProductSprint Backlog'!$I38=H$2), 'ProductSprint Backlog'!$F38, TRUE, 0)</f>
        <v>0</v>
      </c>
      <c r="I38" s="4" cm="1">
        <f t="array" ref="I38">_xlfn.IFS('ProductSprint Backlog'!$F38="", "", AND('ProductSprint Backlog'!$J38&gt;I$2,'ProductSprint Backlog'!$I38&lt;=I$2), 'ProductSprint Backlog'!$F38 / MAX(1, 'ProductSprint Backlog'!$J38-'ProductSprint Backlog'!$I38), AND('ProductSprint Backlog'!$J38=I$2,'ProductSprint Backlog'!$I38=I$2), 'ProductSprint Backlog'!$F38, TRUE, 0)</f>
        <v>0</v>
      </c>
      <c r="J38" s="4" cm="1">
        <f t="array" ref="J38">_xlfn.IFS('ProductSprint Backlog'!$F38="", "", AND('ProductSprint Backlog'!$J38&gt;J$2,'ProductSprint Backlog'!$I38&lt;=J$2), 'ProductSprint Backlog'!$F38 / MAX(1, 'ProductSprint Backlog'!$J38-'ProductSprint Backlog'!$I38), AND('ProductSprint Backlog'!$J38=J$2,'ProductSprint Backlog'!$I38=J$2), 'ProductSprint Backlog'!$F38, TRUE, 0)</f>
        <v>0</v>
      </c>
      <c r="K38" s="4" cm="1">
        <f t="array" ref="K38">_xlfn.IFS('ProductSprint Backlog'!$F38="", "", AND('ProductSprint Backlog'!$J38&gt;K$2,'ProductSprint Backlog'!$I38&lt;=K$2), 'ProductSprint Backlog'!$F38 / MAX(1, 'ProductSprint Backlog'!$J38-'ProductSprint Backlog'!$I38), AND('ProductSprint Backlog'!$J38=K$2,'ProductSprint Backlog'!$I38=K$2), 'ProductSprint Backlog'!$F38, TRUE, 0)</f>
        <v>0</v>
      </c>
      <c r="L38" s="4" cm="1">
        <f t="array" ref="L38">_xlfn.IFS('ProductSprint Backlog'!$F38="", "", AND('ProductSprint Backlog'!$J38&gt;L$2,'ProductSprint Backlog'!$I38&lt;=L$2), 'ProductSprint Backlog'!$F38 / MAX(1, 'ProductSprint Backlog'!$J38-'ProductSprint Backlog'!$I38), AND('ProductSprint Backlog'!$J38=L$2,'ProductSprint Backlog'!$I38=L$2), 'ProductSprint Backlog'!$F38, TRUE, 0)</f>
        <v>0</v>
      </c>
      <c r="M38" s="4" cm="1">
        <f t="array" ref="M38">_xlfn.IFS('ProductSprint Backlog'!$F38="", "", AND('ProductSprint Backlog'!$J38&gt;M$2,'ProductSprint Backlog'!$I38&lt;=M$2), 'ProductSprint Backlog'!$F38 / MAX(1, 'ProductSprint Backlog'!$J38-'ProductSprint Backlog'!$I38), AND('ProductSprint Backlog'!$J38=M$2,'ProductSprint Backlog'!$I38=M$2), 'ProductSprint Backlog'!$F38, TRUE, 0)</f>
        <v>0</v>
      </c>
      <c r="N38" s="4" cm="1">
        <f t="array" ref="N38">_xlfn.IFS('ProductSprint Backlog'!$F38="", "", AND('ProductSprint Backlog'!$J38&gt;N$2,'ProductSprint Backlog'!$I38&lt;=N$2), 'ProductSprint Backlog'!$F38 / MAX(1, 'ProductSprint Backlog'!$J38-'ProductSprint Backlog'!$I38), AND('ProductSprint Backlog'!$J38=N$2,'ProductSprint Backlog'!$I38=N$2), 'ProductSprint Backlog'!$F38, TRUE, 0)</f>
        <v>0</v>
      </c>
      <c r="O38" s="4" cm="1">
        <f t="array" ref="O38">_xlfn.IFS('ProductSprint Backlog'!$F38="", "", AND('ProductSprint Backlog'!$J38&gt;O$2,'ProductSprint Backlog'!$I38&lt;=O$2), 'ProductSprint Backlog'!$F38 / MAX(1, 'ProductSprint Backlog'!$J38-'ProductSprint Backlog'!$I38), AND('ProductSprint Backlog'!$J38=O$2,'ProductSprint Backlog'!$I38=O$2), 'ProductSprint Backlog'!$F38, TRUE, 0)</f>
        <v>0</v>
      </c>
      <c r="P38" s="4" cm="1">
        <f t="array" ref="P38">_xlfn.IFS('ProductSprint Backlog'!$F38="", "", AND('ProductSprint Backlog'!$J38&gt;P$2,'ProductSprint Backlog'!$I38&lt;=P$2), 'ProductSprint Backlog'!$F38 / MAX(1, 'ProductSprint Backlog'!$J38-'ProductSprint Backlog'!$I38), AND('ProductSprint Backlog'!$J38=P$2,'ProductSprint Backlog'!$I38=P$2), 'ProductSprint Backlog'!$F38, TRUE, 0)</f>
        <v>0</v>
      </c>
      <c r="Q38" s="4" cm="1">
        <f t="array" ref="Q38">_xlfn.IFS('ProductSprint Backlog'!$F38="", "", AND('ProductSprint Backlog'!$J38&gt;Q$2,'ProductSprint Backlog'!$I38&lt;=Q$2), 'ProductSprint Backlog'!$F38 / MAX(1, 'ProductSprint Backlog'!$J38-'ProductSprint Backlog'!$I38), AND('ProductSprint Backlog'!$J38=Q$2,'ProductSprint Backlog'!$I38=Q$2), 'ProductSprint Backlog'!$F38, TRUE, 0)</f>
        <v>0</v>
      </c>
    </row>
    <row r="39" spans="2:17" x14ac:dyDescent="0.2">
      <c r="B39" s="4" cm="1">
        <f t="array" ref="B39">_xlfn.IFS('ProductSprint Backlog'!$F39="", "", AND('ProductSprint Backlog'!$J39&gt;B$2,'ProductSprint Backlog'!$I39&lt;=B$2), 'ProductSprint Backlog'!$F39 / MAX(1, 'ProductSprint Backlog'!$J39-'ProductSprint Backlog'!$I39), AND('ProductSprint Backlog'!$J39=B$2,'ProductSprint Backlog'!$I39=B$2), 'ProductSprint Backlog'!$F39, TRUE, 0)</f>
        <v>0</v>
      </c>
      <c r="C39" s="4" cm="1">
        <f t="array" ref="C39">_xlfn.IFS('ProductSprint Backlog'!$F39="", "", AND('ProductSprint Backlog'!$J39&gt;C$2,'ProductSprint Backlog'!$I39&lt;=C$2), 'ProductSprint Backlog'!$F39 / MAX(1, 'ProductSprint Backlog'!$J39-'ProductSprint Backlog'!$I39), AND('ProductSprint Backlog'!$J39=C$2,'ProductSprint Backlog'!$I39=C$2), 'ProductSprint Backlog'!$F39, TRUE, 0)</f>
        <v>0</v>
      </c>
      <c r="D39" s="4" cm="1">
        <f t="array" ref="D39">_xlfn.IFS('ProductSprint Backlog'!$F39="", "", AND('ProductSprint Backlog'!$J39&gt;D$2,'ProductSprint Backlog'!$I39&lt;=D$2), 'ProductSprint Backlog'!$F39 / MAX(1, 'ProductSprint Backlog'!$J39-'ProductSprint Backlog'!$I39), AND('ProductSprint Backlog'!$J39=D$2,'ProductSprint Backlog'!$I39=D$2), 'ProductSprint Backlog'!$F39, TRUE, 0)</f>
        <v>0</v>
      </c>
      <c r="E39" s="4" cm="1">
        <f t="array" ref="E39">_xlfn.IFS('ProductSprint Backlog'!$F39="", "", AND('ProductSprint Backlog'!$J39&gt;E$2,'ProductSprint Backlog'!$I39&lt;=E$2), 'ProductSprint Backlog'!$F39 / MAX(1, 'ProductSprint Backlog'!$J39-'ProductSprint Backlog'!$I39), AND('ProductSprint Backlog'!$J39=E$2,'ProductSprint Backlog'!$I39=E$2), 'ProductSprint Backlog'!$F39, TRUE, 0)</f>
        <v>0</v>
      </c>
      <c r="F39" s="4" cm="1">
        <f t="array" ref="F39">_xlfn.IFS('ProductSprint Backlog'!$F39="", "", AND('ProductSprint Backlog'!$J39&gt;F$2,'ProductSprint Backlog'!$I39&lt;=F$2), 'ProductSprint Backlog'!$F39 / MAX(1, 'ProductSprint Backlog'!$J39-'ProductSprint Backlog'!$I39), AND('ProductSprint Backlog'!$J39=F$2,'ProductSprint Backlog'!$I39=F$2), 'ProductSprint Backlog'!$F39, TRUE, 0)</f>
        <v>0</v>
      </c>
      <c r="G39" s="4" cm="1">
        <f t="array" ref="G39">_xlfn.IFS('ProductSprint Backlog'!$F39="", "", AND('ProductSprint Backlog'!$J39&gt;G$2,'ProductSprint Backlog'!$I39&lt;=G$2), 'ProductSprint Backlog'!$F39 / MAX(1, 'ProductSprint Backlog'!$J39-'ProductSprint Backlog'!$I39), AND('ProductSprint Backlog'!$J39=G$2,'ProductSprint Backlog'!$I39=G$2), 'ProductSprint Backlog'!$F39, TRUE, 0)</f>
        <v>0</v>
      </c>
      <c r="H39" s="4" cm="1">
        <f t="array" ref="H39">_xlfn.IFS('ProductSprint Backlog'!$F39="", "", AND('ProductSprint Backlog'!$J39&gt;H$2,'ProductSprint Backlog'!$I39&lt;=H$2), 'ProductSprint Backlog'!$F39 / MAX(1, 'ProductSprint Backlog'!$J39-'ProductSprint Backlog'!$I39), AND('ProductSprint Backlog'!$J39=H$2,'ProductSprint Backlog'!$I39=H$2), 'ProductSprint Backlog'!$F39, TRUE, 0)</f>
        <v>0</v>
      </c>
      <c r="I39" s="4" cm="1">
        <f t="array" ref="I39">_xlfn.IFS('ProductSprint Backlog'!$F39="", "", AND('ProductSprint Backlog'!$J39&gt;I$2,'ProductSprint Backlog'!$I39&lt;=I$2), 'ProductSprint Backlog'!$F39 / MAX(1, 'ProductSprint Backlog'!$J39-'ProductSprint Backlog'!$I39), AND('ProductSprint Backlog'!$J39=I$2,'ProductSprint Backlog'!$I39=I$2), 'ProductSprint Backlog'!$F39, TRUE, 0)</f>
        <v>0</v>
      </c>
      <c r="J39" s="4" cm="1">
        <f t="array" ref="J39">_xlfn.IFS('ProductSprint Backlog'!$F39="", "", AND('ProductSprint Backlog'!$J39&gt;J$2,'ProductSprint Backlog'!$I39&lt;=J$2), 'ProductSprint Backlog'!$F39 / MAX(1, 'ProductSprint Backlog'!$J39-'ProductSprint Backlog'!$I39), AND('ProductSprint Backlog'!$J39=J$2,'ProductSprint Backlog'!$I39=J$2), 'ProductSprint Backlog'!$F39, TRUE, 0)</f>
        <v>0</v>
      </c>
      <c r="K39" s="4" cm="1">
        <f t="array" ref="K39">_xlfn.IFS('ProductSprint Backlog'!$F39="", "", AND('ProductSprint Backlog'!$J39&gt;K$2,'ProductSprint Backlog'!$I39&lt;=K$2), 'ProductSprint Backlog'!$F39 / MAX(1, 'ProductSprint Backlog'!$J39-'ProductSprint Backlog'!$I39), AND('ProductSprint Backlog'!$J39=K$2,'ProductSprint Backlog'!$I39=K$2), 'ProductSprint Backlog'!$F39, TRUE, 0)</f>
        <v>0</v>
      </c>
      <c r="L39" s="4" cm="1">
        <f t="array" ref="L39">_xlfn.IFS('ProductSprint Backlog'!$F39="", "", AND('ProductSprint Backlog'!$J39&gt;L$2,'ProductSprint Backlog'!$I39&lt;=L$2), 'ProductSprint Backlog'!$F39 / MAX(1, 'ProductSprint Backlog'!$J39-'ProductSprint Backlog'!$I39), AND('ProductSprint Backlog'!$J39=L$2,'ProductSprint Backlog'!$I39=L$2), 'ProductSprint Backlog'!$F39, TRUE, 0)</f>
        <v>0</v>
      </c>
      <c r="M39" s="4" cm="1">
        <f t="array" ref="M39">_xlfn.IFS('ProductSprint Backlog'!$F39="", "", AND('ProductSprint Backlog'!$J39&gt;M$2,'ProductSprint Backlog'!$I39&lt;=M$2), 'ProductSprint Backlog'!$F39 / MAX(1, 'ProductSprint Backlog'!$J39-'ProductSprint Backlog'!$I39), AND('ProductSprint Backlog'!$J39=M$2,'ProductSprint Backlog'!$I39=M$2), 'ProductSprint Backlog'!$F39, TRUE, 0)</f>
        <v>0</v>
      </c>
      <c r="N39" s="4" cm="1">
        <f t="array" ref="N39">_xlfn.IFS('ProductSprint Backlog'!$F39="", "", AND('ProductSprint Backlog'!$J39&gt;N$2,'ProductSprint Backlog'!$I39&lt;=N$2), 'ProductSprint Backlog'!$F39 / MAX(1, 'ProductSprint Backlog'!$J39-'ProductSprint Backlog'!$I39), AND('ProductSprint Backlog'!$J39=N$2,'ProductSprint Backlog'!$I39=N$2), 'ProductSprint Backlog'!$F39, TRUE, 0)</f>
        <v>0</v>
      </c>
      <c r="O39" s="4" cm="1">
        <f t="array" ref="O39">_xlfn.IFS('ProductSprint Backlog'!$F39="", "", AND('ProductSprint Backlog'!$J39&gt;O$2,'ProductSprint Backlog'!$I39&lt;=O$2), 'ProductSprint Backlog'!$F39 / MAX(1, 'ProductSprint Backlog'!$J39-'ProductSprint Backlog'!$I39), AND('ProductSprint Backlog'!$J39=O$2,'ProductSprint Backlog'!$I39=O$2), 'ProductSprint Backlog'!$F39, TRUE, 0)</f>
        <v>0</v>
      </c>
      <c r="P39" s="4" cm="1">
        <f t="array" ref="P39">_xlfn.IFS('ProductSprint Backlog'!$F39="", "", AND('ProductSprint Backlog'!$J39&gt;P$2,'ProductSprint Backlog'!$I39&lt;=P$2), 'ProductSprint Backlog'!$F39 / MAX(1, 'ProductSprint Backlog'!$J39-'ProductSprint Backlog'!$I39), AND('ProductSprint Backlog'!$J39=P$2,'ProductSprint Backlog'!$I39=P$2), 'ProductSprint Backlog'!$F39, TRUE, 0)</f>
        <v>0</v>
      </c>
      <c r="Q39" s="4" cm="1">
        <f t="array" ref="Q39">_xlfn.IFS('ProductSprint Backlog'!$F39="", "", AND('ProductSprint Backlog'!$J39&gt;Q$2,'ProductSprint Backlog'!$I39&lt;=Q$2), 'ProductSprint Backlog'!$F39 / MAX(1, 'ProductSprint Backlog'!$J39-'ProductSprint Backlog'!$I39), AND('ProductSprint Backlog'!$J39=Q$2,'ProductSprint Backlog'!$I39=Q$2), 'ProductSprint Backlog'!$F39, TRUE, 0)</f>
        <v>0</v>
      </c>
    </row>
    <row r="40" spans="2:17" x14ac:dyDescent="0.2">
      <c r="B40" s="4" cm="1">
        <f t="array" ref="B40">_xlfn.IFS('ProductSprint Backlog'!$F40="", "", AND('ProductSprint Backlog'!$J40&gt;B$2,'ProductSprint Backlog'!$I40&lt;=B$2), 'ProductSprint Backlog'!$F40 / MAX(1, 'ProductSprint Backlog'!$J40-'ProductSprint Backlog'!$I40), AND('ProductSprint Backlog'!$J40=B$2,'ProductSprint Backlog'!$I40=B$2), 'ProductSprint Backlog'!$F40, TRUE, 0)</f>
        <v>0</v>
      </c>
      <c r="C40" s="4" cm="1">
        <f t="array" ref="C40">_xlfn.IFS('ProductSprint Backlog'!$F40="", "", AND('ProductSprint Backlog'!$J40&gt;C$2,'ProductSprint Backlog'!$I40&lt;=C$2), 'ProductSprint Backlog'!$F40 / MAX(1, 'ProductSprint Backlog'!$J40-'ProductSprint Backlog'!$I40), AND('ProductSprint Backlog'!$J40=C$2,'ProductSprint Backlog'!$I40=C$2), 'ProductSprint Backlog'!$F40, TRUE, 0)</f>
        <v>0</v>
      </c>
      <c r="D40" s="4" cm="1">
        <f t="array" ref="D40">_xlfn.IFS('ProductSprint Backlog'!$F40="", "", AND('ProductSprint Backlog'!$J40&gt;D$2,'ProductSprint Backlog'!$I40&lt;=D$2), 'ProductSprint Backlog'!$F40 / MAX(1, 'ProductSprint Backlog'!$J40-'ProductSprint Backlog'!$I40), AND('ProductSprint Backlog'!$J40=D$2,'ProductSprint Backlog'!$I40=D$2), 'ProductSprint Backlog'!$F40, TRUE, 0)</f>
        <v>0</v>
      </c>
      <c r="E40" s="4" cm="1">
        <f t="array" ref="E40">_xlfn.IFS('ProductSprint Backlog'!$F40="", "", AND('ProductSprint Backlog'!$J40&gt;E$2,'ProductSprint Backlog'!$I40&lt;=E$2), 'ProductSprint Backlog'!$F40 / MAX(1, 'ProductSprint Backlog'!$J40-'ProductSprint Backlog'!$I40), AND('ProductSprint Backlog'!$J40=E$2,'ProductSprint Backlog'!$I40=E$2), 'ProductSprint Backlog'!$F40, TRUE, 0)</f>
        <v>0</v>
      </c>
      <c r="F40" s="4" cm="1">
        <f t="array" ref="F40">_xlfn.IFS('ProductSprint Backlog'!$F40="", "", AND('ProductSprint Backlog'!$J40&gt;F$2,'ProductSprint Backlog'!$I40&lt;=F$2), 'ProductSprint Backlog'!$F40 / MAX(1, 'ProductSprint Backlog'!$J40-'ProductSprint Backlog'!$I40), AND('ProductSprint Backlog'!$J40=F$2,'ProductSprint Backlog'!$I40=F$2), 'ProductSprint Backlog'!$F40, TRUE, 0)</f>
        <v>0</v>
      </c>
      <c r="G40" s="4" cm="1">
        <f t="array" ref="G40">_xlfn.IFS('ProductSprint Backlog'!$F40="", "", AND('ProductSprint Backlog'!$J40&gt;G$2,'ProductSprint Backlog'!$I40&lt;=G$2), 'ProductSprint Backlog'!$F40 / MAX(1, 'ProductSprint Backlog'!$J40-'ProductSprint Backlog'!$I40), AND('ProductSprint Backlog'!$J40=G$2,'ProductSprint Backlog'!$I40=G$2), 'ProductSprint Backlog'!$F40, TRUE, 0)</f>
        <v>0</v>
      </c>
      <c r="H40" s="4" cm="1">
        <f t="array" ref="H40">_xlfn.IFS('ProductSprint Backlog'!$F40="", "", AND('ProductSprint Backlog'!$J40&gt;H$2,'ProductSprint Backlog'!$I40&lt;=H$2), 'ProductSprint Backlog'!$F40 / MAX(1, 'ProductSprint Backlog'!$J40-'ProductSprint Backlog'!$I40), AND('ProductSprint Backlog'!$J40=H$2,'ProductSprint Backlog'!$I40=H$2), 'ProductSprint Backlog'!$F40, TRUE, 0)</f>
        <v>0</v>
      </c>
      <c r="I40" s="4" cm="1">
        <f t="array" ref="I40">_xlfn.IFS('ProductSprint Backlog'!$F40="", "", AND('ProductSprint Backlog'!$J40&gt;I$2,'ProductSprint Backlog'!$I40&lt;=I$2), 'ProductSprint Backlog'!$F40 / MAX(1, 'ProductSprint Backlog'!$J40-'ProductSprint Backlog'!$I40), AND('ProductSprint Backlog'!$J40=I$2,'ProductSprint Backlog'!$I40=I$2), 'ProductSprint Backlog'!$F40, TRUE, 0)</f>
        <v>0</v>
      </c>
      <c r="J40" s="4" cm="1">
        <f t="array" ref="J40">_xlfn.IFS('ProductSprint Backlog'!$F40="", "", AND('ProductSprint Backlog'!$J40&gt;J$2,'ProductSprint Backlog'!$I40&lt;=J$2), 'ProductSprint Backlog'!$F40 / MAX(1, 'ProductSprint Backlog'!$J40-'ProductSprint Backlog'!$I40), AND('ProductSprint Backlog'!$J40=J$2,'ProductSprint Backlog'!$I40=J$2), 'ProductSprint Backlog'!$F40, TRUE, 0)</f>
        <v>0</v>
      </c>
      <c r="K40" s="4" cm="1">
        <f t="array" ref="K40">_xlfn.IFS('ProductSprint Backlog'!$F40="", "", AND('ProductSprint Backlog'!$J40&gt;K$2,'ProductSprint Backlog'!$I40&lt;=K$2), 'ProductSprint Backlog'!$F40 / MAX(1, 'ProductSprint Backlog'!$J40-'ProductSprint Backlog'!$I40), AND('ProductSprint Backlog'!$J40=K$2,'ProductSprint Backlog'!$I40=K$2), 'ProductSprint Backlog'!$F40, TRUE, 0)</f>
        <v>0</v>
      </c>
      <c r="L40" s="4" cm="1">
        <f t="array" ref="L40">_xlfn.IFS('ProductSprint Backlog'!$F40="", "", AND('ProductSprint Backlog'!$J40&gt;L$2,'ProductSprint Backlog'!$I40&lt;=L$2), 'ProductSprint Backlog'!$F40 / MAX(1, 'ProductSprint Backlog'!$J40-'ProductSprint Backlog'!$I40), AND('ProductSprint Backlog'!$J40=L$2,'ProductSprint Backlog'!$I40=L$2), 'ProductSprint Backlog'!$F40, TRUE, 0)</f>
        <v>0</v>
      </c>
      <c r="M40" s="4" cm="1">
        <f t="array" ref="M40">_xlfn.IFS('ProductSprint Backlog'!$F40="", "", AND('ProductSprint Backlog'!$J40&gt;M$2,'ProductSprint Backlog'!$I40&lt;=M$2), 'ProductSprint Backlog'!$F40 / MAX(1, 'ProductSprint Backlog'!$J40-'ProductSprint Backlog'!$I40), AND('ProductSprint Backlog'!$J40=M$2,'ProductSprint Backlog'!$I40=M$2), 'ProductSprint Backlog'!$F40, TRUE, 0)</f>
        <v>0</v>
      </c>
      <c r="N40" s="4" cm="1">
        <f t="array" ref="N40">_xlfn.IFS('ProductSprint Backlog'!$F40="", "", AND('ProductSprint Backlog'!$J40&gt;N$2,'ProductSprint Backlog'!$I40&lt;=N$2), 'ProductSprint Backlog'!$F40 / MAX(1, 'ProductSprint Backlog'!$J40-'ProductSprint Backlog'!$I40), AND('ProductSprint Backlog'!$J40=N$2,'ProductSprint Backlog'!$I40=N$2), 'ProductSprint Backlog'!$F40, TRUE, 0)</f>
        <v>0</v>
      </c>
      <c r="O40" s="4" cm="1">
        <f t="array" ref="O40">_xlfn.IFS('ProductSprint Backlog'!$F40="", "", AND('ProductSprint Backlog'!$J40&gt;O$2,'ProductSprint Backlog'!$I40&lt;=O$2), 'ProductSprint Backlog'!$F40 / MAX(1, 'ProductSprint Backlog'!$J40-'ProductSprint Backlog'!$I40), AND('ProductSprint Backlog'!$J40=O$2,'ProductSprint Backlog'!$I40=O$2), 'ProductSprint Backlog'!$F40, TRUE, 0)</f>
        <v>0</v>
      </c>
      <c r="P40" s="4" cm="1">
        <f t="array" ref="P40">_xlfn.IFS('ProductSprint Backlog'!$F40="", "", AND('ProductSprint Backlog'!$J40&gt;P$2,'ProductSprint Backlog'!$I40&lt;=P$2), 'ProductSprint Backlog'!$F40 / MAX(1, 'ProductSprint Backlog'!$J40-'ProductSprint Backlog'!$I40), AND('ProductSprint Backlog'!$J40=P$2,'ProductSprint Backlog'!$I40=P$2), 'ProductSprint Backlog'!$F40, TRUE, 0)</f>
        <v>0</v>
      </c>
      <c r="Q40" s="4" cm="1">
        <f t="array" ref="Q40">_xlfn.IFS('ProductSprint Backlog'!$F40="", "", AND('ProductSprint Backlog'!$J40&gt;Q$2,'ProductSprint Backlog'!$I40&lt;=Q$2), 'ProductSprint Backlog'!$F40 / MAX(1, 'ProductSprint Backlog'!$J40-'ProductSprint Backlog'!$I40), AND('ProductSprint Backlog'!$J40=Q$2,'ProductSprint Backlog'!$I40=Q$2), 'ProductSprint Backlog'!$F40, TRUE, 0)</f>
        <v>0</v>
      </c>
    </row>
    <row r="41" spans="2:17" x14ac:dyDescent="0.2">
      <c r="B41" s="4" t="str" cm="1">
        <f t="array" ref="B41">_xlfn.IFS('ProductSprint Backlog'!$F41="", "", AND('ProductSprint Backlog'!$J41&gt;B$2,'ProductSprint Backlog'!$I41&lt;=B$2), 'ProductSprint Backlog'!$F41 / MAX(1, 'ProductSprint Backlog'!$J41-'ProductSprint Backlog'!$I41), AND('ProductSprint Backlog'!$J41=B$2,'ProductSprint Backlog'!$I41=B$2), 'ProductSprint Backlog'!$F41, TRUE, 0)</f>
        <v/>
      </c>
      <c r="C41" s="4" t="str" cm="1">
        <f t="array" ref="C41">_xlfn.IFS('ProductSprint Backlog'!$F41="", "", AND('ProductSprint Backlog'!$J41&gt;C$2,'ProductSprint Backlog'!$I41&lt;=C$2), 'ProductSprint Backlog'!$F41 / MAX(1, 'ProductSprint Backlog'!$J41-'ProductSprint Backlog'!$I41), AND('ProductSprint Backlog'!$J41=C$2,'ProductSprint Backlog'!$I41=C$2), 'ProductSprint Backlog'!$F41, TRUE, 0)</f>
        <v/>
      </c>
      <c r="D41" s="4" t="str" cm="1">
        <f t="array" ref="D41">_xlfn.IFS('ProductSprint Backlog'!$F41="", "", AND('ProductSprint Backlog'!$J41&gt;D$2,'ProductSprint Backlog'!$I41&lt;=D$2), 'ProductSprint Backlog'!$F41 / MAX(1, 'ProductSprint Backlog'!$J41-'ProductSprint Backlog'!$I41), AND('ProductSprint Backlog'!$J41=D$2,'ProductSprint Backlog'!$I41=D$2), 'ProductSprint Backlog'!$F41, TRUE, 0)</f>
        <v/>
      </c>
      <c r="E41" s="4" t="str" cm="1">
        <f t="array" ref="E41">_xlfn.IFS('ProductSprint Backlog'!$F41="", "", AND('ProductSprint Backlog'!$J41&gt;E$2,'ProductSprint Backlog'!$I41&lt;=E$2), 'ProductSprint Backlog'!$F41 / MAX(1, 'ProductSprint Backlog'!$J41-'ProductSprint Backlog'!$I41), AND('ProductSprint Backlog'!$J41=E$2,'ProductSprint Backlog'!$I41=E$2), 'ProductSprint Backlog'!$F41, TRUE, 0)</f>
        <v/>
      </c>
      <c r="F41" s="4" t="str" cm="1">
        <f t="array" ref="F41">_xlfn.IFS('ProductSprint Backlog'!$F41="", "", AND('ProductSprint Backlog'!$J41&gt;F$2,'ProductSprint Backlog'!$I41&lt;=F$2), 'ProductSprint Backlog'!$F41 / MAX(1, 'ProductSprint Backlog'!$J41-'ProductSprint Backlog'!$I41), AND('ProductSprint Backlog'!$J41=F$2,'ProductSprint Backlog'!$I41=F$2), 'ProductSprint Backlog'!$F41, TRUE, 0)</f>
        <v/>
      </c>
      <c r="G41" s="4" t="str" cm="1">
        <f t="array" ref="G41">_xlfn.IFS('ProductSprint Backlog'!$F41="", "", AND('ProductSprint Backlog'!$J41&gt;G$2,'ProductSprint Backlog'!$I41&lt;=G$2), 'ProductSprint Backlog'!$F41 / MAX(1, 'ProductSprint Backlog'!$J41-'ProductSprint Backlog'!$I41), AND('ProductSprint Backlog'!$J41=G$2,'ProductSprint Backlog'!$I41=G$2), 'ProductSprint Backlog'!$F41, TRUE, 0)</f>
        <v/>
      </c>
      <c r="H41" s="4" t="str" cm="1">
        <f t="array" ref="H41">_xlfn.IFS('ProductSprint Backlog'!$F41="", "", AND('ProductSprint Backlog'!$J41&gt;H$2,'ProductSprint Backlog'!$I41&lt;=H$2), 'ProductSprint Backlog'!$F41 / MAX(1, 'ProductSprint Backlog'!$J41-'ProductSprint Backlog'!$I41), AND('ProductSprint Backlog'!$J41=H$2,'ProductSprint Backlog'!$I41=H$2), 'ProductSprint Backlog'!$F41, TRUE, 0)</f>
        <v/>
      </c>
      <c r="I41" s="4" t="str" cm="1">
        <f t="array" ref="I41">_xlfn.IFS('ProductSprint Backlog'!$F41="", "", AND('ProductSprint Backlog'!$J41&gt;I$2,'ProductSprint Backlog'!$I41&lt;=I$2), 'ProductSprint Backlog'!$F41 / MAX(1, 'ProductSprint Backlog'!$J41-'ProductSprint Backlog'!$I41), AND('ProductSprint Backlog'!$J41=I$2,'ProductSprint Backlog'!$I41=I$2), 'ProductSprint Backlog'!$F41, TRUE, 0)</f>
        <v/>
      </c>
      <c r="J41" s="4" t="str" cm="1">
        <f t="array" ref="J41">_xlfn.IFS('ProductSprint Backlog'!$F41="", "", AND('ProductSprint Backlog'!$J41&gt;J$2,'ProductSprint Backlog'!$I41&lt;=J$2), 'ProductSprint Backlog'!$F41 / MAX(1, 'ProductSprint Backlog'!$J41-'ProductSprint Backlog'!$I41), AND('ProductSprint Backlog'!$J41=J$2,'ProductSprint Backlog'!$I41=J$2), 'ProductSprint Backlog'!$F41, TRUE, 0)</f>
        <v/>
      </c>
      <c r="K41" s="4" t="str" cm="1">
        <f t="array" ref="K41">_xlfn.IFS('ProductSprint Backlog'!$F41="", "", AND('ProductSprint Backlog'!$J41&gt;K$2,'ProductSprint Backlog'!$I41&lt;=K$2), 'ProductSprint Backlog'!$F41 / MAX(1, 'ProductSprint Backlog'!$J41-'ProductSprint Backlog'!$I41), AND('ProductSprint Backlog'!$J41=K$2,'ProductSprint Backlog'!$I41=K$2), 'ProductSprint Backlog'!$F41, TRUE, 0)</f>
        <v/>
      </c>
      <c r="L41" s="4" t="str" cm="1">
        <f t="array" ref="L41">_xlfn.IFS('ProductSprint Backlog'!$F41="", "", AND('ProductSprint Backlog'!$J41&gt;L$2,'ProductSprint Backlog'!$I41&lt;=L$2), 'ProductSprint Backlog'!$F41 / MAX(1, 'ProductSprint Backlog'!$J41-'ProductSprint Backlog'!$I41), AND('ProductSprint Backlog'!$J41=L$2,'ProductSprint Backlog'!$I41=L$2), 'ProductSprint Backlog'!$F41, TRUE, 0)</f>
        <v/>
      </c>
      <c r="M41" s="4" t="str" cm="1">
        <f t="array" ref="M41">_xlfn.IFS('ProductSprint Backlog'!$F41="", "", AND('ProductSprint Backlog'!$J41&gt;M$2,'ProductSprint Backlog'!$I41&lt;=M$2), 'ProductSprint Backlog'!$F41 / MAX(1, 'ProductSprint Backlog'!$J41-'ProductSprint Backlog'!$I41), AND('ProductSprint Backlog'!$J41=M$2,'ProductSprint Backlog'!$I41=M$2), 'ProductSprint Backlog'!$F41, TRUE, 0)</f>
        <v/>
      </c>
      <c r="N41" s="4" t="str" cm="1">
        <f t="array" ref="N41">_xlfn.IFS('ProductSprint Backlog'!$F41="", "", AND('ProductSprint Backlog'!$J41&gt;N$2,'ProductSprint Backlog'!$I41&lt;=N$2), 'ProductSprint Backlog'!$F41 / MAX(1, 'ProductSprint Backlog'!$J41-'ProductSprint Backlog'!$I41), AND('ProductSprint Backlog'!$J41=N$2,'ProductSprint Backlog'!$I41=N$2), 'ProductSprint Backlog'!$F41, TRUE, 0)</f>
        <v/>
      </c>
      <c r="O41" s="4" t="str" cm="1">
        <f t="array" ref="O41">_xlfn.IFS('ProductSprint Backlog'!$F41="", "", AND('ProductSprint Backlog'!$J41&gt;O$2,'ProductSprint Backlog'!$I41&lt;=O$2), 'ProductSprint Backlog'!$F41 / MAX(1, 'ProductSprint Backlog'!$J41-'ProductSprint Backlog'!$I41), AND('ProductSprint Backlog'!$J41=O$2,'ProductSprint Backlog'!$I41=O$2), 'ProductSprint Backlog'!$F41, TRUE, 0)</f>
        <v/>
      </c>
      <c r="P41" s="4" t="str" cm="1">
        <f t="array" ref="P41">_xlfn.IFS('ProductSprint Backlog'!$F41="", "", AND('ProductSprint Backlog'!$J41&gt;P$2,'ProductSprint Backlog'!$I41&lt;=P$2), 'ProductSprint Backlog'!$F41 / MAX(1, 'ProductSprint Backlog'!$J41-'ProductSprint Backlog'!$I41), AND('ProductSprint Backlog'!$J41=P$2,'ProductSprint Backlog'!$I41=P$2), 'ProductSprint Backlog'!$F41, TRUE, 0)</f>
        <v/>
      </c>
      <c r="Q41" s="4" t="str" cm="1">
        <f t="array" ref="Q41">_xlfn.IFS('ProductSprint Backlog'!$F41="", "", AND('ProductSprint Backlog'!$J41&gt;Q$2,'ProductSprint Backlog'!$I41&lt;=Q$2), 'ProductSprint Backlog'!$F41 / MAX(1, 'ProductSprint Backlog'!$J41-'ProductSprint Backlog'!$I41), AND('ProductSprint Backlog'!$J41=Q$2,'ProductSprint Backlog'!$I41=Q$2), 'ProductSprint Backlog'!$F41, TRUE, 0)</f>
        <v/>
      </c>
    </row>
    <row r="42" spans="2:17" x14ac:dyDescent="0.2">
      <c r="B42" s="4" cm="1">
        <f t="array" ref="B42">_xlfn.IFS('ProductSprint Backlog'!$F42="", "", AND('ProductSprint Backlog'!$J42&gt;B$2,'ProductSprint Backlog'!$I42&lt;=B$2), 'ProductSprint Backlog'!$F42 / MAX(1, 'ProductSprint Backlog'!$J42-'ProductSprint Backlog'!$I42), AND('ProductSprint Backlog'!$J42=B$2,'ProductSprint Backlog'!$I42=B$2), 'ProductSprint Backlog'!$F42, TRUE, 0)</f>
        <v>0</v>
      </c>
      <c r="C42" s="4" cm="1">
        <f t="array" ref="C42">_xlfn.IFS('ProductSprint Backlog'!$F42="", "", AND('ProductSprint Backlog'!$J42&gt;C$2,'ProductSprint Backlog'!$I42&lt;=C$2), 'ProductSprint Backlog'!$F42 / MAX(1, 'ProductSprint Backlog'!$J42-'ProductSprint Backlog'!$I42), AND('ProductSprint Backlog'!$J42=C$2,'ProductSprint Backlog'!$I42=C$2), 'ProductSprint Backlog'!$F42, TRUE, 0)</f>
        <v>0</v>
      </c>
      <c r="D42" s="4" cm="1">
        <f t="array" ref="D42">_xlfn.IFS('ProductSprint Backlog'!$F42="", "", AND('ProductSprint Backlog'!$J42&gt;D$2,'ProductSprint Backlog'!$I42&lt;=D$2), 'ProductSprint Backlog'!$F42 / MAX(1, 'ProductSprint Backlog'!$J42-'ProductSprint Backlog'!$I42), AND('ProductSprint Backlog'!$J42=D$2,'ProductSprint Backlog'!$I42=D$2), 'ProductSprint Backlog'!$F42, TRUE, 0)</f>
        <v>0</v>
      </c>
      <c r="E42" s="4" cm="1">
        <f t="array" ref="E42">_xlfn.IFS('ProductSprint Backlog'!$F42="", "", AND('ProductSprint Backlog'!$J42&gt;E$2,'ProductSprint Backlog'!$I42&lt;=E$2), 'ProductSprint Backlog'!$F42 / MAX(1, 'ProductSprint Backlog'!$J42-'ProductSprint Backlog'!$I42), AND('ProductSprint Backlog'!$J42=E$2,'ProductSprint Backlog'!$I42=E$2), 'ProductSprint Backlog'!$F42, TRUE, 0)</f>
        <v>0</v>
      </c>
      <c r="F42" s="4" cm="1">
        <f t="array" ref="F42">_xlfn.IFS('ProductSprint Backlog'!$F42="", "", AND('ProductSprint Backlog'!$J42&gt;F$2,'ProductSprint Backlog'!$I42&lt;=F$2), 'ProductSprint Backlog'!$F42 / MAX(1, 'ProductSprint Backlog'!$J42-'ProductSprint Backlog'!$I42), AND('ProductSprint Backlog'!$J42=F$2,'ProductSprint Backlog'!$I42=F$2), 'ProductSprint Backlog'!$F42, TRUE, 0)</f>
        <v>0</v>
      </c>
      <c r="G42" s="4" cm="1">
        <f t="array" ref="G42">_xlfn.IFS('ProductSprint Backlog'!$F42="", "", AND('ProductSprint Backlog'!$J42&gt;G$2,'ProductSprint Backlog'!$I42&lt;=G$2), 'ProductSprint Backlog'!$F42 / MAX(1, 'ProductSprint Backlog'!$J42-'ProductSprint Backlog'!$I42), AND('ProductSprint Backlog'!$J42=G$2,'ProductSprint Backlog'!$I42=G$2), 'ProductSprint Backlog'!$F42, TRUE, 0)</f>
        <v>0</v>
      </c>
      <c r="H42" s="4" cm="1">
        <f t="array" ref="H42">_xlfn.IFS('ProductSprint Backlog'!$F42="", "", AND('ProductSprint Backlog'!$J42&gt;H$2,'ProductSprint Backlog'!$I42&lt;=H$2), 'ProductSprint Backlog'!$F42 / MAX(1, 'ProductSprint Backlog'!$J42-'ProductSprint Backlog'!$I42), AND('ProductSprint Backlog'!$J42=H$2,'ProductSprint Backlog'!$I42=H$2), 'ProductSprint Backlog'!$F42, TRUE, 0)</f>
        <v>0</v>
      </c>
      <c r="I42" s="4" cm="1">
        <f t="array" ref="I42">_xlfn.IFS('ProductSprint Backlog'!$F42="", "", AND('ProductSprint Backlog'!$J42&gt;I$2,'ProductSprint Backlog'!$I42&lt;=I$2), 'ProductSprint Backlog'!$F42 / MAX(1, 'ProductSprint Backlog'!$J42-'ProductSprint Backlog'!$I42), AND('ProductSprint Backlog'!$J42=I$2,'ProductSprint Backlog'!$I42=I$2), 'ProductSprint Backlog'!$F42, TRUE, 0)</f>
        <v>0</v>
      </c>
      <c r="J42" s="4" cm="1">
        <f t="array" ref="J42">_xlfn.IFS('ProductSprint Backlog'!$F42="", "", AND('ProductSprint Backlog'!$J42&gt;J$2,'ProductSprint Backlog'!$I42&lt;=J$2), 'ProductSprint Backlog'!$F42 / MAX(1, 'ProductSprint Backlog'!$J42-'ProductSprint Backlog'!$I42), AND('ProductSprint Backlog'!$J42=J$2,'ProductSprint Backlog'!$I42=J$2), 'ProductSprint Backlog'!$F42, TRUE, 0)</f>
        <v>0</v>
      </c>
      <c r="K42" s="4" cm="1">
        <f t="array" ref="K42">_xlfn.IFS('ProductSprint Backlog'!$F42="", "", AND('ProductSprint Backlog'!$J42&gt;K$2,'ProductSprint Backlog'!$I42&lt;=K$2), 'ProductSprint Backlog'!$F42 / MAX(1, 'ProductSprint Backlog'!$J42-'ProductSprint Backlog'!$I42), AND('ProductSprint Backlog'!$J42=K$2,'ProductSprint Backlog'!$I42=K$2), 'ProductSprint Backlog'!$F42, TRUE, 0)</f>
        <v>0</v>
      </c>
      <c r="L42" s="4" cm="1">
        <f t="array" ref="L42">_xlfn.IFS('ProductSprint Backlog'!$F42="", "", AND('ProductSprint Backlog'!$J42&gt;L$2,'ProductSprint Backlog'!$I42&lt;=L$2), 'ProductSprint Backlog'!$F42 / MAX(1, 'ProductSprint Backlog'!$J42-'ProductSprint Backlog'!$I42), AND('ProductSprint Backlog'!$J42=L$2,'ProductSprint Backlog'!$I42=L$2), 'ProductSprint Backlog'!$F42, TRUE, 0)</f>
        <v>0</v>
      </c>
      <c r="M42" s="4" cm="1">
        <f t="array" ref="M42">_xlfn.IFS('ProductSprint Backlog'!$F42="", "", AND('ProductSprint Backlog'!$J42&gt;M$2,'ProductSprint Backlog'!$I42&lt;=M$2), 'ProductSprint Backlog'!$F42 / MAX(1, 'ProductSprint Backlog'!$J42-'ProductSprint Backlog'!$I42), AND('ProductSprint Backlog'!$J42=M$2,'ProductSprint Backlog'!$I42=M$2), 'ProductSprint Backlog'!$F42, TRUE, 0)</f>
        <v>0</v>
      </c>
      <c r="N42" s="4" cm="1">
        <f t="array" ref="N42">_xlfn.IFS('ProductSprint Backlog'!$F42="", "", AND('ProductSprint Backlog'!$J42&gt;N$2,'ProductSprint Backlog'!$I42&lt;=N$2), 'ProductSprint Backlog'!$F42 / MAX(1, 'ProductSprint Backlog'!$J42-'ProductSprint Backlog'!$I42), AND('ProductSprint Backlog'!$J42=N$2,'ProductSprint Backlog'!$I42=N$2), 'ProductSprint Backlog'!$F42, TRUE, 0)</f>
        <v>0</v>
      </c>
      <c r="O42" s="4" cm="1">
        <f t="array" ref="O42">_xlfn.IFS('ProductSprint Backlog'!$F42="", "", AND('ProductSprint Backlog'!$J42&gt;O$2,'ProductSprint Backlog'!$I42&lt;=O$2), 'ProductSprint Backlog'!$F42 / MAX(1, 'ProductSprint Backlog'!$J42-'ProductSprint Backlog'!$I42), AND('ProductSprint Backlog'!$J42=O$2,'ProductSprint Backlog'!$I42=O$2), 'ProductSprint Backlog'!$F42, TRUE, 0)</f>
        <v>0</v>
      </c>
      <c r="P42" s="4" cm="1">
        <f t="array" ref="P42">_xlfn.IFS('ProductSprint Backlog'!$F42="", "", AND('ProductSprint Backlog'!$J42&gt;P$2,'ProductSprint Backlog'!$I42&lt;=P$2), 'ProductSprint Backlog'!$F42 / MAX(1, 'ProductSprint Backlog'!$J42-'ProductSprint Backlog'!$I42), AND('ProductSprint Backlog'!$J42=P$2,'ProductSprint Backlog'!$I42=P$2), 'ProductSprint Backlog'!$F42, TRUE, 0)</f>
        <v>0</v>
      </c>
      <c r="Q42" s="4" cm="1">
        <f t="array" ref="Q42">_xlfn.IFS('ProductSprint Backlog'!$F42="", "", AND('ProductSprint Backlog'!$J42&gt;Q$2,'ProductSprint Backlog'!$I42&lt;=Q$2), 'ProductSprint Backlog'!$F42 / MAX(1, 'ProductSprint Backlog'!$J42-'ProductSprint Backlog'!$I42), AND('ProductSprint Backlog'!$J42=Q$2,'ProductSprint Backlog'!$I42=Q$2), 'ProductSprint Backlog'!$F42, TRUE, 0)</f>
        <v>0</v>
      </c>
    </row>
    <row r="43" spans="2:17" x14ac:dyDescent="0.2">
      <c r="B43" s="4" cm="1">
        <f t="array" ref="B43">_xlfn.IFS('ProductSprint Backlog'!$F43="", "", AND('ProductSprint Backlog'!$J43&gt;B$2,'ProductSprint Backlog'!$I43&lt;=B$2), 'ProductSprint Backlog'!$F43 / MAX(1, 'ProductSprint Backlog'!$J43-'ProductSprint Backlog'!$I43), AND('ProductSprint Backlog'!$J43=B$2,'ProductSprint Backlog'!$I43=B$2), 'ProductSprint Backlog'!$F43, TRUE, 0)</f>
        <v>0</v>
      </c>
      <c r="C43" s="4" cm="1">
        <f t="array" ref="C43">_xlfn.IFS('ProductSprint Backlog'!$F43="", "", AND('ProductSprint Backlog'!$J43&gt;C$2,'ProductSprint Backlog'!$I43&lt;=C$2), 'ProductSprint Backlog'!$F43 / MAX(1, 'ProductSprint Backlog'!$J43-'ProductSprint Backlog'!$I43), AND('ProductSprint Backlog'!$J43=C$2,'ProductSprint Backlog'!$I43=C$2), 'ProductSprint Backlog'!$F43, TRUE, 0)</f>
        <v>0</v>
      </c>
      <c r="D43" s="4" cm="1">
        <f t="array" ref="D43">_xlfn.IFS('ProductSprint Backlog'!$F43="", "", AND('ProductSprint Backlog'!$J43&gt;D$2,'ProductSprint Backlog'!$I43&lt;=D$2), 'ProductSprint Backlog'!$F43 / MAX(1, 'ProductSprint Backlog'!$J43-'ProductSprint Backlog'!$I43), AND('ProductSprint Backlog'!$J43=D$2,'ProductSprint Backlog'!$I43=D$2), 'ProductSprint Backlog'!$F43, TRUE, 0)</f>
        <v>0</v>
      </c>
      <c r="E43" s="4" cm="1">
        <f t="array" ref="E43">_xlfn.IFS('ProductSprint Backlog'!$F43="", "", AND('ProductSprint Backlog'!$J43&gt;E$2,'ProductSprint Backlog'!$I43&lt;=E$2), 'ProductSprint Backlog'!$F43 / MAX(1, 'ProductSprint Backlog'!$J43-'ProductSprint Backlog'!$I43), AND('ProductSprint Backlog'!$J43=E$2,'ProductSprint Backlog'!$I43=E$2), 'ProductSprint Backlog'!$F43, TRUE, 0)</f>
        <v>0</v>
      </c>
      <c r="F43" s="4" cm="1">
        <f t="array" ref="F43">_xlfn.IFS('ProductSprint Backlog'!$F43="", "", AND('ProductSprint Backlog'!$J43&gt;F$2,'ProductSprint Backlog'!$I43&lt;=F$2), 'ProductSprint Backlog'!$F43 / MAX(1, 'ProductSprint Backlog'!$J43-'ProductSprint Backlog'!$I43), AND('ProductSprint Backlog'!$J43=F$2,'ProductSprint Backlog'!$I43=F$2), 'ProductSprint Backlog'!$F43, TRUE, 0)</f>
        <v>0</v>
      </c>
      <c r="G43" s="4" cm="1">
        <f t="array" ref="G43">_xlfn.IFS('ProductSprint Backlog'!$F43="", "", AND('ProductSprint Backlog'!$J43&gt;G$2,'ProductSprint Backlog'!$I43&lt;=G$2), 'ProductSprint Backlog'!$F43 / MAX(1, 'ProductSprint Backlog'!$J43-'ProductSprint Backlog'!$I43), AND('ProductSprint Backlog'!$J43=G$2,'ProductSprint Backlog'!$I43=G$2), 'ProductSprint Backlog'!$F43, TRUE, 0)</f>
        <v>0</v>
      </c>
      <c r="H43" s="4" cm="1">
        <f t="array" ref="H43">_xlfn.IFS('ProductSprint Backlog'!$F43="", "", AND('ProductSprint Backlog'!$J43&gt;H$2,'ProductSprint Backlog'!$I43&lt;=H$2), 'ProductSprint Backlog'!$F43 / MAX(1, 'ProductSprint Backlog'!$J43-'ProductSprint Backlog'!$I43), AND('ProductSprint Backlog'!$J43=H$2,'ProductSprint Backlog'!$I43=H$2), 'ProductSprint Backlog'!$F43, TRUE, 0)</f>
        <v>0</v>
      </c>
      <c r="I43" s="4" cm="1">
        <f t="array" ref="I43">_xlfn.IFS('ProductSprint Backlog'!$F43="", "", AND('ProductSprint Backlog'!$J43&gt;I$2,'ProductSprint Backlog'!$I43&lt;=I$2), 'ProductSprint Backlog'!$F43 / MAX(1, 'ProductSprint Backlog'!$J43-'ProductSprint Backlog'!$I43), AND('ProductSprint Backlog'!$J43=I$2,'ProductSprint Backlog'!$I43=I$2), 'ProductSprint Backlog'!$F43, TRUE, 0)</f>
        <v>0</v>
      </c>
      <c r="J43" s="4" cm="1">
        <f t="array" ref="J43">_xlfn.IFS('ProductSprint Backlog'!$F43="", "", AND('ProductSprint Backlog'!$J43&gt;J$2,'ProductSprint Backlog'!$I43&lt;=J$2), 'ProductSprint Backlog'!$F43 / MAX(1, 'ProductSprint Backlog'!$J43-'ProductSprint Backlog'!$I43), AND('ProductSprint Backlog'!$J43=J$2,'ProductSprint Backlog'!$I43=J$2), 'ProductSprint Backlog'!$F43, TRUE, 0)</f>
        <v>0</v>
      </c>
      <c r="K43" s="4" cm="1">
        <f t="array" ref="K43">_xlfn.IFS('ProductSprint Backlog'!$F43="", "", AND('ProductSprint Backlog'!$J43&gt;K$2,'ProductSprint Backlog'!$I43&lt;=K$2), 'ProductSprint Backlog'!$F43 / MAX(1, 'ProductSprint Backlog'!$J43-'ProductSprint Backlog'!$I43), AND('ProductSprint Backlog'!$J43=K$2,'ProductSprint Backlog'!$I43=K$2), 'ProductSprint Backlog'!$F43, TRUE, 0)</f>
        <v>0</v>
      </c>
      <c r="L43" s="4" cm="1">
        <f t="array" ref="L43">_xlfn.IFS('ProductSprint Backlog'!$F43="", "", AND('ProductSprint Backlog'!$J43&gt;L$2,'ProductSprint Backlog'!$I43&lt;=L$2), 'ProductSprint Backlog'!$F43 / MAX(1, 'ProductSprint Backlog'!$J43-'ProductSprint Backlog'!$I43), AND('ProductSprint Backlog'!$J43=L$2,'ProductSprint Backlog'!$I43=L$2), 'ProductSprint Backlog'!$F43, TRUE, 0)</f>
        <v>0</v>
      </c>
      <c r="M43" s="4" cm="1">
        <f t="array" ref="M43">_xlfn.IFS('ProductSprint Backlog'!$F43="", "", AND('ProductSprint Backlog'!$J43&gt;M$2,'ProductSprint Backlog'!$I43&lt;=M$2), 'ProductSprint Backlog'!$F43 / MAX(1, 'ProductSprint Backlog'!$J43-'ProductSprint Backlog'!$I43), AND('ProductSprint Backlog'!$J43=M$2,'ProductSprint Backlog'!$I43=M$2), 'ProductSprint Backlog'!$F43, TRUE, 0)</f>
        <v>0</v>
      </c>
      <c r="N43" s="4" cm="1">
        <f t="array" ref="N43">_xlfn.IFS('ProductSprint Backlog'!$F43="", "", AND('ProductSprint Backlog'!$J43&gt;N$2,'ProductSprint Backlog'!$I43&lt;=N$2), 'ProductSprint Backlog'!$F43 / MAX(1, 'ProductSprint Backlog'!$J43-'ProductSprint Backlog'!$I43), AND('ProductSprint Backlog'!$J43=N$2,'ProductSprint Backlog'!$I43=N$2), 'ProductSprint Backlog'!$F43, TRUE, 0)</f>
        <v>0</v>
      </c>
      <c r="O43" s="4" cm="1">
        <f t="array" ref="O43">_xlfn.IFS('ProductSprint Backlog'!$F43="", "", AND('ProductSprint Backlog'!$J43&gt;O$2,'ProductSprint Backlog'!$I43&lt;=O$2), 'ProductSprint Backlog'!$F43 / MAX(1, 'ProductSprint Backlog'!$J43-'ProductSprint Backlog'!$I43), AND('ProductSprint Backlog'!$J43=O$2,'ProductSprint Backlog'!$I43=O$2), 'ProductSprint Backlog'!$F43, TRUE, 0)</f>
        <v>0</v>
      </c>
      <c r="P43" s="4" cm="1">
        <f t="array" ref="P43">_xlfn.IFS('ProductSprint Backlog'!$F43="", "", AND('ProductSprint Backlog'!$J43&gt;P$2,'ProductSprint Backlog'!$I43&lt;=P$2), 'ProductSprint Backlog'!$F43 / MAX(1, 'ProductSprint Backlog'!$J43-'ProductSprint Backlog'!$I43), AND('ProductSprint Backlog'!$J43=P$2,'ProductSprint Backlog'!$I43=P$2), 'ProductSprint Backlog'!$F43, TRUE, 0)</f>
        <v>0</v>
      </c>
      <c r="Q43" s="4" cm="1">
        <f t="array" ref="Q43">_xlfn.IFS('ProductSprint Backlog'!$F43="", "", AND('ProductSprint Backlog'!$J43&gt;Q$2,'ProductSprint Backlog'!$I43&lt;=Q$2), 'ProductSprint Backlog'!$F43 / MAX(1, 'ProductSprint Backlog'!$J43-'ProductSprint Backlog'!$I43), AND('ProductSprint Backlog'!$J43=Q$2,'ProductSprint Backlog'!$I43=Q$2), 'ProductSprint Backlog'!$F43, TRUE, 0)</f>
        <v>0</v>
      </c>
    </row>
    <row r="44" spans="2:17" x14ac:dyDescent="0.2">
      <c r="B44" s="4" t="str" cm="1">
        <f t="array" ref="B44">_xlfn.IFS('ProductSprint Backlog'!$F44="", "", AND('ProductSprint Backlog'!$J44&gt;B$2,'ProductSprint Backlog'!$I44&lt;=B$2), 'ProductSprint Backlog'!$F44 / MAX(1, 'ProductSprint Backlog'!$J44-'ProductSprint Backlog'!$I44), AND('ProductSprint Backlog'!$J44=B$2,'ProductSprint Backlog'!$I44=B$2), 'ProductSprint Backlog'!$F44, TRUE, 0)</f>
        <v/>
      </c>
      <c r="C44" s="4" t="str" cm="1">
        <f t="array" ref="C44">_xlfn.IFS('ProductSprint Backlog'!$F44="", "", AND('ProductSprint Backlog'!$J44&gt;C$2,'ProductSprint Backlog'!$I44&lt;=C$2), 'ProductSprint Backlog'!$F44 / MAX(1, 'ProductSprint Backlog'!$J44-'ProductSprint Backlog'!$I44), AND('ProductSprint Backlog'!$J44=C$2,'ProductSprint Backlog'!$I44=C$2), 'ProductSprint Backlog'!$F44, TRUE, 0)</f>
        <v/>
      </c>
      <c r="D44" s="4" t="str" cm="1">
        <f t="array" ref="D44">_xlfn.IFS('ProductSprint Backlog'!$F44="", "", AND('ProductSprint Backlog'!$J44&gt;D$2,'ProductSprint Backlog'!$I44&lt;=D$2), 'ProductSprint Backlog'!$F44 / MAX(1, 'ProductSprint Backlog'!$J44-'ProductSprint Backlog'!$I44), AND('ProductSprint Backlog'!$J44=D$2,'ProductSprint Backlog'!$I44=D$2), 'ProductSprint Backlog'!$F44, TRUE, 0)</f>
        <v/>
      </c>
      <c r="E44" s="4" t="str" cm="1">
        <f t="array" ref="E44">_xlfn.IFS('ProductSprint Backlog'!$F44="", "", AND('ProductSprint Backlog'!$J44&gt;E$2,'ProductSprint Backlog'!$I44&lt;=E$2), 'ProductSprint Backlog'!$F44 / MAX(1, 'ProductSprint Backlog'!$J44-'ProductSprint Backlog'!$I44), AND('ProductSprint Backlog'!$J44=E$2,'ProductSprint Backlog'!$I44=E$2), 'ProductSprint Backlog'!$F44, TRUE, 0)</f>
        <v/>
      </c>
      <c r="F44" s="4" t="str" cm="1">
        <f t="array" ref="F44">_xlfn.IFS('ProductSprint Backlog'!$F44="", "", AND('ProductSprint Backlog'!$J44&gt;F$2,'ProductSprint Backlog'!$I44&lt;=F$2), 'ProductSprint Backlog'!$F44 / MAX(1, 'ProductSprint Backlog'!$J44-'ProductSprint Backlog'!$I44), AND('ProductSprint Backlog'!$J44=F$2,'ProductSprint Backlog'!$I44=F$2), 'ProductSprint Backlog'!$F44, TRUE, 0)</f>
        <v/>
      </c>
      <c r="G44" s="4" t="str" cm="1">
        <f t="array" ref="G44">_xlfn.IFS('ProductSprint Backlog'!$F44="", "", AND('ProductSprint Backlog'!$J44&gt;G$2,'ProductSprint Backlog'!$I44&lt;=G$2), 'ProductSprint Backlog'!$F44 / MAX(1, 'ProductSprint Backlog'!$J44-'ProductSprint Backlog'!$I44), AND('ProductSprint Backlog'!$J44=G$2,'ProductSprint Backlog'!$I44=G$2), 'ProductSprint Backlog'!$F44, TRUE, 0)</f>
        <v/>
      </c>
      <c r="H44" s="4" t="str" cm="1">
        <f t="array" ref="H44">_xlfn.IFS('ProductSprint Backlog'!$F44="", "", AND('ProductSprint Backlog'!$J44&gt;H$2,'ProductSprint Backlog'!$I44&lt;=H$2), 'ProductSprint Backlog'!$F44 / MAX(1, 'ProductSprint Backlog'!$J44-'ProductSprint Backlog'!$I44), AND('ProductSprint Backlog'!$J44=H$2,'ProductSprint Backlog'!$I44=H$2), 'ProductSprint Backlog'!$F44, TRUE, 0)</f>
        <v/>
      </c>
      <c r="I44" s="4" t="str" cm="1">
        <f t="array" ref="I44">_xlfn.IFS('ProductSprint Backlog'!$F44="", "", AND('ProductSprint Backlog'!$J44&gt;I$2,'ProductSprint Backlog'!$I44&lt;=I$2), 'ProductSprint Backlog'!$F44 / MAX(1, 'ProductSprint Backlog'!$J44-'ProductSprint Backlog'!$I44), AND('ProductSprint Backlog'!$J44=I$2,'ProductSprint Backlog'!$I44=I$2), 'ProductSprint Backlog'!$F44, TRUE, 0)</f>
        <v/>
      </c>
      <c r="J44" s="4" t="str" cm="1">
        <f t="array" ref="J44">_xlfn.IFS('ProductSprint Backlog'!$F44="", "", AND('ProductSprint Backlog'!$J44&gt;J$2,'ProductSprint Backlog'!$I44&lt;=J$2), 'ProductSprint Backlog'!$F44 / MAX(1, 'ProductSprint Backlog'!$J44-'ProductSprint Backlog'!$I44), AND('ProductSprint Backlog'!$J44=J$2,'ProductSprint Backlog'!$I44=J$2), 'ProductSprint Backlog'!$F44, TRUE, 0)</f>
        <v/>
      </c>
      <c r="K44" s="4" t="str" cm="1">
        <f t="array" ref="K44">_xlfn.IFS('ProductSprint Backlog'!$F44="", "", AND('ProductSprint Backlog'!$J44&gt;K$2,'ProductSprint Backlog'!$I44&lt;=K$2), 'ProductSprint Backlog'!$F44 / MAX(1, 'ProductSprint Backlog'!$J44-'ProductSprint Backlog'!$I44), AND('ProductSprint Backlog'!$J44=K$2,'ProductSprint Backlog'!$I44=K$2), 'ProductSprint Backlog'!$F44, TRUE, 0)</f>
        <v/>
      </c>
      <c r="L44" s="4" t="str" cm="1">
        <f t="array" ref="L44">_xlfn.IFS('ProductSprint Backlog'!$F44="", "", AND('ProductSprint Backlog'!$J44&gt;L$2,'ProductSprint Backlog'!$I44&lt;=L$2), 'ProductSprint Backlog'!$F44 / MAX(1, 'ProductSprint Backlog'!$J44-'ProductSprint Backlog'!$I44), AND('ProductSprint Backlog'!$J44=L$2,'ProductSprint Backlog'!$I44=L$2), 'ProductSprint Backlog'!$F44, TRUE, 0)</f>
        <v/>
      </c>
      <c r="M44" s="4" t="str" cm="1">
        <f t="array" ref="M44">_xlfn.IFS('ProductSprint Backlog'!$F44="", "", AND('ProductSprint Backlog'!$J44&gt;M$2,'ProductSprint Backlog'!$I44&lt;=M$2), 'ProductSprint Backlog'!$F44 / MAX(1, 'ProductSprint Backlog'!$J44-'ProductSprint Backlog'!$I44), AND('ProductSprint Backlog'!$J44=M$2,'ProductSprint Backlog'!$I44=M$2), 'ProductSprint Backlog'!$F44, TRUE, 0)</f>
        <v/>
      </c>
      <c r="N44" s="4" t="str" cm="1">
        <f t="array" ref="N44">_xlfn.IFS('ProductSprint Backlog'!$F44="", "", AND('ProductSprint Backlog'!$J44&gt;N$2,'ProductSprint Backlog'!$I44&lt;=N$2), 'ProductSprint Backlog'!$F44 / MAX(1, 'ProductSprint Backlog'!$J44-'ProductSprint Backlog'!$I44), AND('ProductSprint Backlog'!$J44=N$2,'ProductSprint Backlog'!$I44=N$2), 'ProductSprint Backlog'!$F44, TRUE, 0)</f>
        <v/>
      </c>
      <c r="O44" s="4" t="str" cm="1">
        <f t="array" ref="O44">_xlfn.IFS('ProductSprint Backlog'!$F44="", "", AND('ProductSprint Backlog'!$J44&gt;O$2,'ProductSprint Backlog'!$I44&lt;=O$2), 'ProductSprint Backlog'!$F44 / MAX(1, 'ProductSprint Backlog'!$J44-'ProductSprint Backlog'!$I44), AND('ProductSprint Backlog'!$J44=O$2,'ProductSprint Backlog'!$I44=O$2), 'ProductSprint Backlog'!$F44, TRUE, 0)</f>
        <v/>
      </c>
      <c r="P44" s="4" t="str" cm="1">
        <f t="array" ref="P44">_xlfn.IFS('ProductSprint Backlog'!$F44="", "", AND('ProductSprint Backlog'!$J44&gt;P$2,'ProductSprint Backlog'!$I44&lt;=P$2), 'ProductSprint Backlog'!$F44 / MAX(1, 'ProductSprint Backlog'!$J44-'ProductSprint Backlog'!$I44), AND('ProductSprint Backlog'!$J44=P$2,'ProductSprint Backlog'!$I44=P$2), 'ProductSprint Backlog'!$F44, TRUE, 0)</f>
        <v/>
      </c>
      <c r="Q44" s="4" t="str" cm="1">
        <f t="array" ref="Q44">_xlfn.IFS('ProductSprint Backlog'!$F44="", "", AND('ProductSprint Backlog'!$J44&gt;Q$2,'ProductSprint Backlog'!$I44&lt;=Q$2), 'ProductSprint Backlog'!$F44 / MAX(1, 'ProductSprint Backlog'!$J44-'ProductSprint Backlog'!$I44), AND('ProductSprint Backlog'!$J44=Q$2,'ProductSprint Backlog'!$I44=Q$2), 'ProductSprint Backlog'!$F44, TRUE, 0)</f>
        <v/>
      </c>
    </row>
    <row r="45" spans="2:17" x14ac:dyDescent="0.2">
      <c r="B45" s="4" cm="1">
        <f t="array" ref="B45">_xlfn.IFS('ProductSprint Backlog'!$F45="", "", AND('ProductSprint Backlog'!$J45&gt;B$2,'ProductSprint Backlog'!$I45&lt;=B$2), 'ProductSprint Backlog'!$F45 / MAX(1, 'ProductSprint Backlog'!$J45-'ProductSprint Backlog'!$I45), AND('ProductSprint Backlog'!$J45=B$2,'ProductSprint Backlog'!$I45=B$2), 'ProductSprint Backlog'!$F45, TRUE, 0)</f>
        <v>0</v>
      </c>
      <c r="C45" s="4" cm="1">
        <f t="array" ref="C45">_xlfn.IFS('ProductSprint Backlog'!$F45="", "", AND('ProductSprint Backlog'!$J45&gt;C$2,'ProductSprint Backlog'!$I45&lt;=C$2), 'ProductSprint Backlog'!$F45 / MAX(1, 'ProductSprint Backlog'!$J45-'ProductSprint Backlog'!$I45), AND('ProductSprint Backlog'!$J45=C$2,'ProductSprint Backlog'!$I45=C$2), 'ProductSprint Backlog'!$F45, TRUE, 0)</f>
        <v>0</v>
      </c>
      <c r="D45" s="4" cm="1">
        <f t="array" ref="D45">_xlfn.IFS('ProductSprint Backlog'!$F45="", "", AND('ProductSprint Backlog'!$J45&gt;D$2,'ProductSprint Backlog'!$I45&lt;=D$2), 'ProductSprint Backlog'!$F45 / MAX(1, 'ProductSprint Backlog'!$J45-'ProductSprint Backlog'!$I45), AND('ProductSprint Backlog'!$J45=D$2,'ProductSprint Backlog'!$I45=D$2), 'ProductSprint Backlog'!$F45, TRUE, 0)</f>
        <v>0</v>
      </c>
      <c r="E45" s="4" cm="1">
        <f t="array" ref="E45">_xlfn.IFS('ProductSprint Backlog'!$F45="", "", AND('ProductSprint Backlog'!$J45&gt;E$2,'ProductSprint Backlog'!$I45&lt;=E$2), 'ProductSprint Backlog'!$F45 / MAX(1, 'ProductSprint Backlog'!$J45-'ProductSprint Backlog'!$I45), AND('ProductSprint Backlog'!$J45=E$2,'ProductSprint Backlog'!$I45=E$2), 'ProductSprint Backlog'!$F45, TRUE, 0)</f>
        <v>0</v>
      </c>
      <c r="F45" s="4" cm="1">
        <f t="array" ref="F45">_xlfn.IFS('ProductSprint Backlog'!$F45="", "", AND('ProductSprint Backlog'!$J45&gt;F$2,'ProductSprint Backlog'!$I45&lt;=F$2), 'ProductSprint Backlog'!$F45 / MAX(1, 'ProductSprint Backlog'!$J45-'ProductSprint Backlog'!$I45), AND('ProductSprint Backlog'!$J45=F$2,'ProductSprint Backlog'!$I45=F$2), 'ProductSprint Backlog'!$F45, TRUE, 0)</f>
        <v>0</v>
      </c>
      <c r="G45" s="4" cm="1">
        <f t="array" ref="G45">_xlfn.IFS('ProductSprint Backlog'!$F45="", "", AND('ProductSprint Backlog'!$J45&gt;G$2,'ProductSprint Backlog'!$I45&lt;=G$2), 'ProductSprint Backlog'!$F45 / MAX(1, 'ProductSprint Backlog'!$J45-'ProductSprint Backlog'!$I45), AND('ProductSprint Backlog'!$J45=G$2,'ProductSprint Backlog'!$I45=G$2), 'ProductSprint Backlog'!$F45, TRUE, 0)</f>
        <v>0</v>
      </c>
      <c r="H45" s="4" cm="1">
        <f t="array" ref="H45">_xlfn.IFS('ProductSprint Backlog'!$F45="", "", AND('ProductSprint Backlog'!$J45&gt;H$2,'ProductSprint Backlog'!$I45&lt;=H$2), 'ProductSprint Backlog'!$F45 / MAX(1, 'ProductSprint Backlog'!$J45-'ProductSprint Backlog'!$I45), AND('ProductSprint Backlog'!$J45=H$2,'ProductSprint Backlog'!$I45=H$2), 'ProductSprint Backlog'!$F45, TRUE, 0)</f>
        <v>0</v>
      </c>
      <c r="I45" s="4" cm="1">
        <f t="array" ref="I45">_xlfn.IFS('ProductSprint Backlog'!$F45="", "", AND('ProductSprint Backlog'!$J45&gt;I$2,'ProductSprint Backlog'!$I45&lt;=I$2), 'ProductSprint Backlog'!$F45 / MAX(1, 'ProductSprint Backlog'!$J45-'ProductSprint Backlog'!$I45), AND('ProductSprint Backlog'!$J45=I$2,'ProductSprint Backlog'!$I45=I$2), 'ProductSprint Backlog'!$F45, TRUE, 0)</f>
        <v>0</v>
      </c>
      <c r="J45" s="4" cm="1">
        <f t="array" ref="J45">_xlfn.IFS('ProductSprint Backlog'!$F45="", "", AND('ProductSprint Backlog'!$J45&gt;J$2,'ProductSprint Backlog'!$I45&lt;=J$2), 'ProductSprint Backlog'!$F45 / MAX(1, 'ProductSprint Backlog'!$J45-'ProductSprint Backlog'!$I45), AND('ProductSprint Backlog'!$J45=J$2,'ProductSprint Backlog'!$I45=J$2), 'ProductSprint Backlog'!$F45, TRUE, 0)</f>
        <v>0</v>
      </c>
      <c r="K45" s="4" cm="1">
        <f t="array" ref="K45">_xlfn.IFS('ProductSprint Backlog'!$F45="", "", AND('ProductSprint Backlog'!$J45&gt;K$2,'ProductSprint Backlog'!$I45&lt;=K$2), 'ProductSprint Backlog'!$F45 / MAX(1, 'ProductSprint Backlog'!$J45-'ProductSprint Backlog'!$I45), AND('ProductSprint Backlog'!$J45=K$2,'ProductSprint Backlog'!$I45=K$2), 'ProductSprint Backlog'!$F45, TRUE, 0)</f>
        <v>0</v>
      </c>
      <c r="L45" s="4" cm="1">
        <f t="array" ref="L45">_xlfn.IFS('ProductSprint Backlog'!$F45="", "", AND('ProductSprint Backlog'!$J45&gt;L$2,'ProductSprint Backlog'!$I45&lt;=L$2), 'ProductSprint Backlog'!$F45 / MAX(1, 'ProductSprint Backlog'!$J45-'ProductSprint Backlog'!$I45), AND('ProductSprint Backlog'!$J45=L$2,'ProductSprint Backlog'!$I45=L$2), 'ProductSprint Backlog'!$F45, TRUE, 0)</f>
        <v>0</v>
      </c>
      <c r="M45" s="4" cm="1">
        <f t="array" ref="M45">_xlfn.IFS('ProductSprint Backlog'!$F45="", "", AND('ProductSprint Backlog'!$J45&gt;M$2,'ProductSprint Backlog'!$I45&lt;=M$2), 'ProductSprint Backlog'!$F45 / MAX(1, 'ProductSprint Backlog'!$J45-'ProductSprint Backlog'!$I45), AND('ProductSprint Backlog'!$J45=M$2,'ProductSprint Backlog'!$I45=M$2), 'ProductSprint Backlog'!$F45, TRUE, 0)</f>
        <v>0</v>
      </c>
      <c r="N45" s="4" cm="1">
        <f t="array" ref="N45">_xlfn.IFS('ProductSprint Backlog'!$F45="", "", AND('ProductSprint Backlog'!$J45&gt;N$2,'ProductSprint Backlog'!$I45&lt;=N$2), 'ProductSprint Backlog'!$F45 / MAX(1, 'ProductSprint Backlog'!$J45-'ProductSprint Backlog'!$I45), AND('ProductSprint Backlog'!$J45=N$2,'ProductSprint Backlog'!$I45=N$2), 'ProductSprint Backlog'!$F45, TRUE, 0)</f>
        <v>0</v>
      </c>
      <c r="O45" s="4" cm="1">
        <f t="array" ref="O45">_xlfn.IFS('ProductSprint Backlog'!$F45="", "", AND('ProductSprint Backlog'!$J45&gt;O$2,'ProductSprint Backlog'!$I45&lt;=O$2), 'ProductSprint Backlog'!$F45 / MAX(1, 'ProductSprint Backlog'!$J45-'ProductSprint Backlog'!$I45), AND('ProductSprint Backlog'!$J45=O$2,'ProductSprint Backlog'!$I45=O$2), 'ProductSprint Backlog'!$F45, TRUE, 0)</f>
        <v>0</v>
      </c>
      <c r="P45" s="4" cm="1">
        <f t="array" ref="P45">_xlfn.IFS('ProductSprint Backlog'!$F45="", "", AND('ProductSprint Backlog'!$J45&gt;P$2,'ProductSprint Backlog'!$I45&lt;=P$2), 'ProductSprint Backlog'!$F45 / MAX(1, 'ProductSprint Backlog'!$J45-'ProductSprint Backlog'!$I45), AND('ProductSprint Backlog'!$J45=P$2,'ProductSprint Backlog'!$I45=P$2), 'ProductSprint Backlog'!$F45, TRUE, 0)</f>
        <v>0</v>
      </c>
      <c r="Q45" s="4" cm="1">
        <f t="array" ref="Q45">_xlfn.IFS('ProductSprint Backlog'!$F45="", "", AND('ProductSprint Backlog'!$J45&gt;Q$2,'ProductSprint Backlog'!$I45&lt;=Q$2), 'ProductSprint Backlog'!$F45 / MAX(1, 'ProductSprint Backlog'!$J45-'ProductSprint Backlog'!$I45), AND('ProductSprint Backlog'!$J45=Q$2,'ProductSprint Backlog'!$I45=Q$2), 'ProductSprint Backlog'!$F45, TRUE, 0)</f>
        <v>0</v>
      </c>
    </row>
    <row r="46" spans="2:17" x14ac:dyDescent="0.2">
      <c r="B46" s="4" cm="1">
        <f t="array" ref="B46">_xlfn.IFS('ProductSprint Backlog'!$F46="", "", AND('ProductSprint Backlog'!$J46&gt;B$2,'ProductSprint Backlog'!$I46&lt;=B$2), 'ProductSprint Backlog'!$F46 / MAX(1, 'ProductSprint Backlog'!$J46-'ProductSprint Backlog'!$I46), AND('ProductSprint Backlog'!$J46=B$2,'ProductSprint Backlog'!$I46=B$2), 'ProductSprint Backlog'!$F46, TRUE, 0)</f>
        <v>0</v>
      </c>
      <c r="C46" s="4" cm="1">
        <f t="array" ref="C46">_xlfn.IFS('ProductSprint Backlog'!$F46="", "", AND('ProductSprint Backlog'!$J46&gt;C$2,'ProductSprint Backlog'!$I46&lt;=C$2), 'ProductSprint Backlog'!$F46 / MAX(1, 'ProductSprint Backlog'!$J46-'ProductSprint Backlog'!$I46), AND('ProductSprint Backlog'!$J46=C$2,'ProductSprint Backlog'!$I46=C$2), 'ProductSprint Backlog'!$F46, TRUE, 0)</f>
        <v>0</v>
      </c>
      <c r="D46" s="4" cm="1">
        <f t="array" ref="D46">_xlfn.IFS('ProductSprint Backlog'!$F46="", "", AND('ProductSprint Backlog'!$J46&gt;D$2,'ProductSprint Backlog'!$I46&lt;=D$2), 'ProductSprint Backlog'!$F46 / MAX(1, 'ProductSprint Backlog'!$J46-'ProductSprint Backlog'!$I46), AND('ProductSprint Backlog'!$J46=D$2,'ProductSprint Backlog'!$I46=D$2), 'ProductSprint Backlog'!$F46, TRUE, 0)</f>
        <v>0</v>
      </c>
      <c r="E46" s="4" cm="1">
        <f t="array" ref="E46">_xlfn.IFS('ProductSprint Backlog'!$F46="", "", AND('ProductSprint Backlog'!$J46&gt;E$2,'ProductSprint Backlog'!$I46&lt;=E$2), 'ProductSprint Backlog'!$F46 / MAX(1, 'ProductSprint Backlog'!$J46-'ProductSprint Backlog'!$I46), AND('ProductSprint Backlog'!$J46=E$2,'ProductSprint Backlog'!$I46=E$2), 'ProductSprint Backlog'!$F46, TRUE, 0)</f>
        <v>0</v>
      </c>
      <c r="F46" s="4" cm="1">
        <f t="array" ref="F46">_xlfn.IFS('ProductSprint Backlog'!$F46="", "", AND('ProductSprint Backlog'!$J46&gt;F$2,'ProductSprint Backlog'!$I46&lt;=F$2), 'ProductSprint Backlog'!$F46 / MAX(1, 'ProductSprint Backlog'!$J46-'ProductSprint Backlog'!$I46), AND('ProductSprint Backlog'!$J46=F$2,'ProductSprint Backlog'!$I46=F$2), 'ProductSprint Backlog'!$F46, TRUE, 0)</f>
        <v>0</v>
      </c>
      <c r="G46" s="4" cm="1">
        <f t="array" ref="G46">_xlfn.IFS('ProductSprint Backlog'!$F46="", "", AND('ProductSprint Backlog'!$J46&gt;G$2,'ProductSprint Backlog'!$I46&lt;=G$2), 'ProductSprint Backlog'!$F46 / MAX(1, 'ProductSprint Backlog'!$J46-'ProductSprint Backlog'!$I46), AND('ProductSprint Backlog'!$J46=G$2,'ProductSprint Backlog'!$I46=G$2), 'ProductSprint Backlog'!$F46, TRUE, 0)</f>
        <v>0</v>
      </c>
      <c r="H46" s="4" cm="1">
        <f t="array" ref="H46">_xlfn.IFS('ProductSprint Backlog'!$F46="", "", AND('ProductSprint Backlog'!$J46&gt;H$2,'ProductSprint Backlog'!$I46&lt;=H$2), 'ProductSprint Backlog'!$F46 / MAX(1, 'ProductSprint Backlog'!$J46-'ProductSprint Backlog'!$I46), AND('ProductSprint Backlog'!$J46=H$2,'ProductSprint Backlog'!$I46=H$2), 'ProductSprint Backlog'!$F46, TRUE, 0)</f>
        <v>0</v>
      </c>
      <c r="I46" s="4" cm="1">
        <f t="array" ref="I46">_xlfn.IFS('ProductSprint Backlog'!$F46="", "", AND('ProductSprint Backlog'!$J46&gt;I$2,'ProductSprint Backlog'!$I46&lt;=I$2), 'ProductSprint Backlog'!$F46 / MAX(1, 'ProductSprint Backlog'!$J46-'ProductSprint Backlog'!$I46), AND('ProductSprint Backlog'!$J46=I$2,'ProductSprint Backlog'!$I46=I$2), 'ProductSprint Backlog'!$F46, TRUE, 0)</f>
        <v>0</v>
      </c>
      <c r="J46" s="4" cm="1">
        <f t="array" ref="J46">_xlfn.IFS('ProductSprint Backlog'!$F46="", "", AND('ProductSprint Backlog'!$J46&gt;J$2,'ProductSprint Backlog'!$I46&lt;=J$2), 'ProductSprint Backlog'!$F46 / MAX(1, 'ProductSprint Backlog'!$J46-'ProductSprint Backlog'!$I46), AND('ProductSprint Backlog'!$J46=J$2,'ProductSprint Backlog'!$I46=J$2), 'ProductSprint Backlog'!$F46, TRUE, 0)</f>
        <v>0</v>
      </c>
      <c r="K46" s="4" cm="1">
        <f t="array" ref="K46">_xlfn.IFS('ProductSprint Backlog'!$F46="", "", AND('ProductSprint Backlog'!$J46&gt;K$2,'ProductSprint Backlog'!$I46&lt;=K$2), 'ProductSprint Backlog'!$F46 / MAX(1, 'ProductSprint Backlog'!$J46-'ProductSprint Backlog'!$I46), AND('ProductSprint Backlog'!$J46=K$2,'ProductSprint Backlog'!$I46=K$2), 'ProductSprint Backlog'!$F46, TRUE, 0)</f>
        <v>0</v>
      </c>
      <c r="L46" s="4" cm="1">
        <f t="array" ref="L46">_xlfn.IFS('ProductSprint Backlog'!$F46="", "", AND('ProductSprint Backlog'!$J46&gt;L$2,'ProductSprint Backlog'!$I46&lt;=L$2), 'ProductSprint Backlog'!$F46 / MAX(1, 'ProductSprint Backlog'!$J46-'ProductSprint Backlog'!$I46), AND('ProductSprint Backlog'!$J46=L$2,'ProductSprint Backlog'!$I46=L$2), 'ProductSprint Backlog'!$F46, TRUE, 0)</f>
        <v>0</v>
      </c>
      <c r="M46" s="4" cm="1">
        <f t="array" ref="M46">_xlfn.IFS('ProductSprint Backlog'!$F46="", "", AND('ProductSprint Backlog'!$J46&gt;M$2,'ProductSprint Backlog'!$I46&lt;=M$2), 'ProductSprint Backlog'!$F46 / MAX(1, 'ProductSprint Backlog'!$J46-'ProductSprint Backlog'!$I46), AND('ProductSprint Backlog'!$J46=M$2,'ProductSprint Backlog'!$I46=M$2), 'ProductSprint Backlog'!$F46, TRUE, 0)</f>
        <v>0</v>
      </c>
      <c r="N46" s="4" cm="1">
        <f t="array" ref="N46">_xlfn.IFS('ProductSprint Backlog'!$F46="", "", AND('ProductSprint Backlog'!$J46&gt;N$2,'ProductSprint Backlog'!$I46&lt;=N$2), 'ProductSprint Backlog'!$F46 / MAX(1, 'ProductSprint Backlog'!$J46-'ProductSprint Backlog'!$I46), AND('ProductSprint Backlog'!$J46=N$2,'ProductSprint Backlog'!$I46=N$2), 'ProductSprint Backlog'!$F46, TRUE, 0)</f>
        <v>0</v>
      </c>
      <c r="O46" s="4" cm="1">
        <f t="array" ref="O46">_xlfn.IFS('ProductSprint Backlog'!$F46="", "", AND('ProductSprint Backlog'!$J46&gt;O$2,'ProductSprint Backlog'!$I46&lt;=O$2), 'ProductSprint Backlog'!$F46 / MAX(1, 'ProductSprint Backlog'!$J46-'ProductSprint Backlog'!$I46), AND('ProductSprint Backlog'!$J46=O$2,'ProductSprint Backlog'!$I46=O$2), 'ProductSprint Backlog'!$F46, TRUE, 0)</f>
        <v>0</v>
      </c>
      <c r="P46" s="4" cm="1">
        <f t="array" ref="P46">_xlfn.IFS('ProductSprint Backlog'!$F46="", "", AND('ProductSprint Backlog'!$J46&gt;P$2,'ProductSprint Backlog'!$I46&lt;=P$2), 'ProductSprint Backlog'!$F46 / MAX(1, 'ProductSprint Backlog'!$J46-'ProductSprint Backlog'!$I46), AND('ProductSprint Backlog'!$J46=P$2,'ProductSprint Backlog'!$I46=P$2), 'ProductSprint Backlog'!$F46, TRUE, 0)</f>
        <v>0</v>
      </c>
      <c r="Q46" s="4" cm="1">
        <f t="array" ref="Q46">_xlfn.IFS('ProductSprint Backlog'!$F46="", "", AND('ProductSprint Backlog'!$J46&gt;Q$2,'ProductSprint Backlog'!$I46&lt;=Q$2), 'ProductSprint Backlog'!$F46 / MAX(1, 'ProductSprint Backlog'!$J46-'ProductSprint Backlog'!$I46), AND('ProductSprint Backlog'!$J46=Q$2,'ProductSprint Backlog'!$I46=Q$2), 'ProductSprint Backlog'!$F46, TRUE, 0)</f>
        <v>0</v>
      </c>
    </row>
    <row r="47" spans="2:17" x14ac:dyDescent="0.2">
      <c r="B47" s="4" t="str" cm="1">
        <f t="array" ref="B47">_xlfn.IFS('ProductSprint Backlog'!$F47="", "", AND('ProductSprint Backlog'!$J47&gt;B$2,'ProductSprint Backlog'!$I47&lt;=B$2), 'ProductSprint Backlog'!$F47 / MAX(1, 'ProductSprint Backlog'!$J47-'ProductSprint Backlog'!$I47), AND('ProductSprint Backlog'!$J47=B$2,'ProductSprint Backlog'!$I47=B$2), 'ProductSprint Backlog'!$F47, TRUE, 0)</f>
        <v/>
      </c>
      <c r="C47" s="4" t="str" cm="1">
        <f t="array" ref="C47">_xlfn.IFS('ProductSprint Backlog'!$F47="", "", AND('ProductSprint Backlog'!$J47&gt;C$2,'ProductSprint Backlog'!$I47&lt;=C$2), 'ProductSprint Backlog'!$F47 / MAX(1, 'ProductSprint Backlog'!$J47-'ProductSprint Backlog'!$I47), AND('ProductSprint Backlog'!$J47=C$2,'ProductSprint Backlog'!$I47=C$2), 'ProductSprint Backlog'!$F47, TRUE, 0)</f>
        <v/>
      </c>
      <c r="D47" s="4" t="str" cm="1">
        <f t="array" ref="D47">_xlfn.IFS('ProductSprint Backlog'!$F47="", "", AND('ProductSprint Backlog'!$J47&gt;D$2,'ProductSprint Backlog'!$I47&lt;=D$2), 'ProductSprint Backlog'!$F47 / MAX(1, 'ProductSprint Backlog'!$J47-'ProductSprint Backlog'!$I47), AND('ProductSprint Backlog'!$J47=D$2,'ProductSprint Backlog'!$I47=D$2), 'ProductSprint Backlog'!$F47, TRUE, 0)</f>
        <v/>
      </c>
      <c r="E47" s="4" t="str" cm="1">
        <f t="array" ref="E47">_xlfn.IFS('ProductSprint Backlog'!$F47="", "", AND('ProductSprint Backlog'!$J47&gt;E$2,'ProductSprint Backlog'!$I47&lt;=E$2), 'ProductSprint Backlog'!$F47 / MAX(1, 'ProductSprint Backlog'!$J47-'ProductSprint Backlog'!$I47), AND('ProductSprint Backlog'!$J47=E$2,'ProductSprint Backlog'!$I47=E$2), 'ProductSprint Backlog'!$F47, TRUE, 0)</f>
        <v/>
      </c>
      <c r="F47" s="4" t="str" cm="1">
        <f t="array" ref="F47">_xlfn.IFS('ProductSprint Backlog'!$F47="", "", AND('ProductSprint Backlog'!$J47&gt;F$2,'ProductSprint Backlog'!$I47&lt;=F$2), 'ProductSprint Backlog'!$F47 / MAX(1, 'ProductSprint Backlog'!$J47-'ProductSprint Backlog'!$I47), AND('ProductSprint Backlog'!$J47=F$2,'ProductSprint Backlog'!$I47=F$2), 'ProductSprint Backlog'!$F47, TRUE, 0)</f>
        <v/>
      </c>
      <c r="G47" s="4" t="str" cm="1">
        <f t="array" ref="G47">_xlfn.IFS('ProductSprint Backlog'!$F47="", "", AND('ProductSprint Backlog'!$J47&gt;G$2,'ProductSprint Backlog'!$I47&lt;=G$2), 'ProductSprint Backlog'!$F47 / MAX(1, 'ProductSprint Backlog'!$J47-'ProductSprint Backlog'!$I47), AND('ProductSprint Backlog'!$J47=G$2,'ProductSprint Backlog'!$I47=G$2), 'ProductSprint Backlog'!$F47, TRUE, 0)</f>
        <v/>
      </c>
      <c r="H47" s="4" t="str" cm="1">
        <f t="array" ref="H47">_xlfn.IFS('ProductSprint Backlog'!$F47="", "", AND('ProductSprint Backlog'!$J47&gt;H$2,'ProductSprint Backlog'!$I47&lt;=H$2), 'ProductSprint Backlog'!$F47 / MAX(1, 'ProductSprint Backlog'!$J47-'ProductSprint Backlog'!$I47), AND('ProductSprint Backlog'!$J47=H$2,'ProductSprint Backlog'!$I47=H$2), 'ProductSprint Backlog'!$F47, TRUE, 0)</f>
        <v/>
      </c>
      <c r="I47" s="4" t="str" cm="1">
        <f t="array" ref="I47">_xlfn.IFS('ProductSprint Backlog'!$F47="", "", AND('ProductSprint Backlog'!$J47&gt;I$2,'ProductSprint Backlog'!$I47&lt;=I$2), 'ProductSprint Backlog'!$F47 / MAX(1, 'ProductSprint Backlog'!$J47-'ProductSprint Backlog'!$I47), AND('ProductSprint Backlog'!$J47=I$2,'ProductSprint Backlog'!$I47=I$2), 'ProductSprint Backlog'!$F47, TRUE, 0)</f>
        <v/>
      </c>
      <c r="J47" s="4" t="str" cm="1">
        <f t="array" ref="J47">_xlfn.IFS('ProductSprint Backlog'!$F47="", "", AND('ProductSprint Backlog'!$J47&gt;J$2,'ProductSprint Backlog'!$I47&lt;=J$2), 'ProductSprint Backlog'!$F47 / MAX(1, 'ProductSprint Backlog'!$J47-'ProductSprint Backlog'!$I47), AND('ProductSprint Backlog'!$J47=J$2,'ProductSprint Backlog'!$I47=J$2), 'ProductSprint Backlog'!$F47, TRUE, 0)</f>
        <v/>
      </c>
      <c r="K47" s="4" t="str" cm="1">
        <f t="array" ref="K47">_xlfn.IFS('ProductSprint Backlog'!$F47="", "", AND('ProductSprint Backlog'!$J47&gt;K$2,'ProductSprint Backlog'!$I47&lt;=K$2), 'ProductSprint Backlog'!$F47 / MAX(1, 'ProductSprint Backlog'!$J47-'ProductSprint Backlog'!$I47), AND('ProductSprint Backlog'!$J47=K$2,'ProductSprint Backlog'!$I47=K$2), 'ProductSprint Backlog'!$F47, TRUE, 0)</f>
        <v/>
      </c>
      <c r="L47" s="4" t="str" cm="1">
        <f t="array" ref="L47">_xlfn.IFS('ProductSprint Backlog'!$F47="", "", AND('ProductSprint Backlog'!$J47&gt;L$2,'ProductSprint Backlog'!$I47&lt;=L$2), 'ProductSprint Backlog'!$F47 / MAX(1, 'ProductSprint Backlog'!$J47-'ProductSprint Backlog'!$I47), AND('ProductSprint Backlog'!$J47=L$2,'ProductSprint Backlog'!$I47=L$2), 'ProductSprint Backlog'!$F47, TRUE, 0)</f>
        <v/>
      </c>
      <c r="M47" s="4" t="str" cm="1">
        <f t="array" ref="M47">_xlfn.IFS('ProductSprint Backlog'!$F47="", "", AND('ProductSprint Backlog'!$J47&gt;M$2,'ProductSprint Backlog'!$I47&lt;=M$2), 'ProductSprint Backlog'!$F47 / MAX(1, 'ProductSprint Backlog'!$J47-'ProductSprint Backlog'!$I47), AND('ProductSprint Backlog'!$J47=M$2,'ProductSprint Backlog'!$I47=M$2), 'ProductSprint Backlog'!$F47, TRUE, 0)</f>
        <v/>
      </c>
      <c r="N47" s="4" t="str" cm="1">
        <f t="array" ref="N47">_xlfn.IFS('ProductSprint Backlog'!$F47="", "", AND('ProductSprint Backlog'!$J47&gt;N$2,'ProductSprint Backlog'!$I47&lt;=N$2), 'ProductSprint Backlog'!$F47 / MAX(1, 'ProductSprint Backlog'!$J47-'ProductSprint Backlog'!$I47), AND('ProductSprint Backlog'!$J47=N$2,'ProductSprint Backlog'!$I47=N$2), 'ProductSprint Backlog'!$F47, TRUE, 0)</f>
        <v/>
      </c>
      <c r="O47" s="4" t="str" cm="1">
        <f t="array" ref="O47">_xlfn.IFS('ProductSprint Backlog'!$F47="", "", AND('ProductSprint Backlog'!$J47&gt;O$2,'ProductSprint Backlog'!$I47&lt;=O$2), 'ProductSprint Backlog'!$F47 / MAX(1, 'ProductSprint Backlog'!$J47-'ProductSprint Backlog'!$I47), AND('ProductSprint Backlog'!$J47=O$2,'ProductSprint Backlog'!$I47=O$2), 'ProductSprint Backlog'!$F47, TRUE, 0)</f>
        <v/>
      </c>
      <c r="P47" s="4" t="str" cm="1">
        <f t="array" ref="P47">_xlfn.IFS('ProductSprint Backlog'!$F47="", "", AND('ProductSprint Backlog'!$J47&gt;P$2,'ProductSprint Backlog'!$I47&lt;=P$2), 'ProductSprint Backlog'!$F47 / MAX(1, 'ProductSprint Backlog'!$J47-'ProductSprint Backlog'!$I47), AND('ProductSprint Backlog'!$J47=P$2,'ProductSprint Backlog'!$I47=P$2), 'ProductSprint Backlog'!$F47, TRUE, 0)</f>
        <v/>
      </c>
      <c r="Q47" s="4" t="str" cm="1">
        <f t="array" ref="Q47">_xlfn.IFS('ProductSprint Backlog'!$F47="", "", AND('ProductSprint Backlog'!$J47&gt;Q$2,'ProductSprint Backlog'!$I47&lt;=Q$2), 'ProductSprint Backlog'!$F47 / MAX(1, 'ProductSprint Backlog'!$J47-'ProductSprint Backlog'!$I47), AND('ProductSprint Backlog'!$J47=Q$2,'ProductSprint Backlog'!$I47=Q$2), 'ProductSprint Backlog'!$F47, TRUE, 0)</f>
        <v/>
      </c>
    </row>
    <row r="48" spans="2:17" x14ac:dyDescent="0.2">
      <c r="B48" s="4" cm="1">
        <f t="array" ref="B48">_xlfn.IFS('ProductSprint Backlog'!$F48="", "", AND('ProductSprint Backlog'!$J48&gt;B$2,'ProductSprint Backlog'!$I48&lt;=B$2), 'ProductSprint Backlog'!$F48 / MAX(1, 'ProductSprint Backlog'!$J48-'ProductSprint Backlog'!$I48), AND('ProductSprint Backlog'!$J48=B$2,'ProductSprint Backlog'!$I48=B$2), 'ProductSprint Backlog'!$F48, TRUE, 0)</f>
        <v>0</v>
      </c>
      <c r="C48" s="4" cm="1">
        <f t="array" ref="C48">_xlfn.IFS('ProductSprint Backlog'!$F48="", "", AND('ProductSprint Backlog'!$J48&gt;C$2,'ProductSprint Backlog'!$I48&lt;=C$2), 'ProductSprint Backlog'!$F48 / MAX(1, 'ProductSprint Backlog'!$J48-'ProductSprint Backlog'!$I48), AND('ProductSprint Backlog'!$J48=C$2,'ProductSprint Backlog'!$I48=C$2), 'ProductSprint Backlog'!$F48, TRUE, 0)</f>
        <v>0</v>
      </c>
      <c r="D48" s="4" cm="1">
        <f t="array" ref="D48">_xlfn.IFS('ProductSprint Backlog'!$F48="", "", AND('ProductSprint Backlog'!$J48&gt;D$2,'ProductSprint Backlog'!$I48&lt;=D$2), 'ProductSprint Backlog'!$F48 / MAX(1, 'ProductSprint Backlog'!$J48-'ProductSprint Backlog'!$I48), AND('ProductSprint Backlog'!$J48=D$2,'ProductSprint Backlog'!$I48=D$2), 'ProductSprint Backlog'!$F48, TRUE, 0)</f>
        <v>0</v>
      </c>
      <c r="E48" s="4" cm="1">
        <f t="array" ref="E48">_xlfn.IFS('ProductSprint Backlog'!$F48="", "", AND('ProductSprint Backlog'!$J48&gt;E$2,'ProductSprint Backlog'!$I48&lt;=E$2), 'ProductSprint Backlog'!$F48 / MAX(1, 'ProductSprint Backlog'!$J48-'ProductSprint Backlog'!$I48), AND('ProductSprint Backlog'!$J48=E$2,'ProductSprint Backlog'!$I48=E$2), 'ProductSprint Backlog'!$F48, TRUE, 0)</f>
        <v>0</v>
      </c>
      <c r="F48" s="4" cm="1">
        <f t="array" ref="F48">_xlfn.IFS('ProductSprint Backlog'!$F48="", "", AND('ProductSprint Backlog'!$J48&gt;F$2,'ProductSprint Backlog'!$I48&lt;=F$2), 'ProductSprint Backlog'!$F48 / MAX(1, 'ProductSprint Backlog'!$J48-'ProductSprint Backlog'!$I48), AND('ProductSprint Backlog'!$J48=F$2,'ProductSprint Backlog'!$I48=F$2), 'ProductSprint Backlog'!$F48, TRUE, 0)</f>
        <v>0</v>
      </c>
      <c r="G48" s="4" cm="1">
        <f t="array" ref="G48">_xlfn.IFS('ProductSprint Backlog'!$F48="", "", AND('ProductSprint Backlog'!$J48&gt;G$2,'ProductSprint Backlog'!$I48&lt;=G$2), 'ProductSprint Backlog'!$F48 / MAX(1, 'ProductSprint Backlog'!$J48-'ProductSprint Backlog'!$I48), AND('ProductSprint Backlog'!$J48=G$2,'ProductSprint Backlog'!$I48=G$2), 'ProductSprint Backlog'!$F48, TRUE, 0)</f>
        <v>0</v>
      </c>
      <c r="H48" s="4" cm="1">
        <f t="array" ref="H48">_xlfn.IFS('ProductSprint Backlog'!$F48="", "", AND('ProductSprint Backlog'!$J48&gt;H$2,'ProductSprint Backlog'!$I48&lt;=H$2), 'ProductSprint Backlog'!$F48 / MAX(1, 'ProductSprint Backlog'!$J48-'ProductSprint Backlog'!$I48), AND('ProductSprint Backlog'!$J48=H$2,'ProductSprint Backlog'!$I48=H$2), 'ProductSprint Backlog'!$F48, TRUE, 0)</f>
        <v>0</v>
      </c>
      <c r="I48" s="4" cm="1">
        <f t="array" ref="I48">_xlfn.IFS('ProductSprint Backlog'!$F48="", "", AND('ProductSprint Backlog'!$J48&gt;I$2,'ProductSprint Backlog'!$I48&lt;=I$2), 'ProductSprint Backlog'!$F48 / MAX(1, 'ProductSprint Backlog'!$J48-'ProductSprint Backlog'!$I48), AND('ProductSprint Backlog'!$J48=I$2,'ProductSprint Backlog'!$I48=I$2), 'ProductSprint Backlog'!$F48, TRUE, 0)</f>
        <v>0</v>
      </c>
      <c r="J48" s="4" cm="1">
        <f t="array" ref="J48">_xlfn.IFS('ProductSprint Backlog'!$F48="", "", AND('ProductSprint Backlog'!$J48&gt;J$2,'ProductSprint Backlog'!$I48&lt;=J$2), 'ProductSprint Backlog'!$F48 / MAX(1, 'ProductSprint Backlog'!$J48-'ProductSprint Backlog'!$I48), AND('ProductSprint Backlog'!$J48=J$2,'ProductSprint Backlog'!$I48=J$2), 'ProductSprint Backlog'!$F48, TRUE, 0)</f>
        <v>0</v>
      </c>
      <c r="K48" s="4" cm="1">
        <f t="array" ref="K48">_xlfn.IFS('ProductSprint Backlog'!$F48="", "", AND('ProductSprint Backlog'!$J48&gt;K$2,'ProductSprint Backlog'!$I48&lt;=K$2), 'ProductSprint Backlog'!$F48 / MAX(1, 'ProductSprint Backlog'!$J48-'ProductSprint Backlog'!$I48), AND('ProductSprint Backlog'!$J48=K$2,'ProductSprint Backlog'!$I48=K$2), 'ProductSprint Backlog'!$F48, TRUE, 0)</f>
        <v>0</v>
      </c>
      <c r="L48" s="4" cm="1">
        <f t="array" ref="L48">_xlfn.IFS('ProductSprint Backlog'!$F48="", "", AND('ProductSprint Backlog'!$J48&gt;L$2,'ProductSprint Backlog'!$I48&lt;=L$2), 'ProductSprint Backlog'!$F48 / MAX(1, 'ProductSprint Backlog'!$J48-'ProductSprint Backlog'!$I48), AND('ProductSprint Backlog'!$J48=L$2,'ProductSprint Backlog'!$I48=L$2), 'ProductSprint Backlog'!$F48, TRUE, 0)</f>
        <v>0</v>
      </c>
      <c r="M48" s="4" cm="1">
        <f t="array" ref="M48">_xlfn.IFS('ProductSprint Backlog'!$F48="", "", AND('ProductSprint Backlog'!$J48&gt;M$2,'ProductSprint Backlog'!$I48&lt;=M$2), 'ProductSprint Backlog'!$F48 / MAX(1, 'ProductSprint Backlog'!$J48-'ProductSprint Backlog'!$I48), AND('ProductSprint Backlog'!$J48=M$2,'ProductSprint Backlog'!$I48=M$2), 'ProductSprint Backlog'!$F48, TRUE, 0)</f>
        <v>0</v>
      </c>
      <c r="N48" s="4" cm="1">
        <f t="array" ref="N48">_xlfn.IFS('ProductSprint Backlog'!$F48="", "", AND('ProductSprint Backlog'!$J48&gt;N$2,'ProductSprint Backlog'!$I48&lt;=N$2), 'ProductSprint Backlog'!$F48 / MAX(1, 'ProductSprint Backlog'!$J48-'ProductSprint Backlog'!$I48), AND('ProductSprint Backlog'!$J48=N$2,'ProductSprint Backlog'!$I48=N$2), 'ProductSprint Backlog'!$F48, TRUE, 0)</f>
        <v>0</v>
      </c>
      <c r="O48" s="4" cm="1">
        <f t="array" ref="O48">_xlfn.IFS('ProductSprint Backlog'!$F48="", "", AND('ProductSprint Backlog'!$J48&gt;O$2,'ProductSprint Backlog'!$I48&lt;=O$2), 'ProductSprint Backlog'!$F48 / MAX(1, 'ProductSprint Backlog'!$J48-'ProductSprint Backlog'!$I48), AND('ProductSprint Backlog'!$J48=O$2,'ProductSprint Backlog'!$I48=O$2), 'ProductSprint Backlog'!$F48, TRUE, 0)</f>
        <v>0</v>
      </c>
      <c r="P48" s="4" cm="1">
        <f t="array" ref="P48">_xlfn.IFS('ProductSprint Backlog'!$F48="", "", AND('ProductSprint Backlog'!$J48&gt;P$2,'ProductSprint Backlog'!$I48&lt;=P$2), 'ProductSprint Backlog'!$F48 / MAX(1, 'ProductSprint Backlog'!$J48-'ProductSprint Backlog'!$I48), AND('ProductSprint Backlog'!$J48=P$2,'ProductSprint Backlog'!$I48=P$2), 'ProductSprint Backlog'!$F48, TRUE, 0)</f>
        <v>0</v>
      </c>
      <c r="Q48" s="4" cm="1">
        <f t="array" ref="Q48">_xlfn.IFS('ProductSprint Backlog'!$F48="", "", AND('ProductSprint Backlog'!$J48&gt;Q$2,'ProductSprint Backlog'!$I48&lt;=Q$2), 'ProductSprint Backlog'!$F48 / MAX(1, 'ProductSprint Backlog'!$J48-'ProductSprint Backlog'!$I48), AND('ProductSprint Backlog'!$J48=Q$2,'ProductSprint Backlog'!$I48=Q$2), 'ProductSprint Backlog'!$F48, TRUE, 0)</f>
        <v>0</v>
      </c>
    </row>
    <row r="49" spans="2:17" x14ac:dyDescent="0.2">
      <c r="B49" s="4" cm="1">
        <f t="array" ref="B49">_xlfn.IFS('ProductSprint Backlog'!$F49="", "", AND('ProductSprint Backlog'!$J49&gt;B$2,'ProductSprint Backlog'!$I49&lt;=B$2), 'ProductSprint Backlog'!$F49 / MAX(1, 'ProductSprint Backlog'!$J49-'ProductSprint Backlog'!$I49), AND('ProductSprint Backlog'!$J49=B$2,'ProductSprint Backlog'!$I49=B$2), 'ProductSprint Backlog'!$F49, TRUE, 0)</f>
        <v>0</v>
      </c>
      <c r="C49" s="4" cm="1">
        <f t="array" ref="C49">_xlfn.IFS('ProductSprint Backlog'!$F49="", "", AND('ProductSprint Backlog'!$J49&gt;C$2,'ProductSprint Backlog'!$I49&lt;=C$2), 'ProductSprint Backlog'!$F49 / MAX(1, 'ProductSprint Backlog'!$J49-'ProductSprint Backlog'!$I49), AND('ProductSprint Backlog'!$J49=C$2,'ProductSprint Backlog'!$I49=C$2), 'ProductSprint Backlog'!$F49, TRUE, 0)</f>
        <v>0</v>
      </c>
      <c r="D49" s="4" cm="1">
        <f t="array" ref="D49">_xlfn.IFS('ProductSprint Backlog'!$F49="", "", AND('ProductSprint Backlog'!$J49&gt;D$2,'ProductSprint Backlog'!$I49&lt;=D$2), 'ProductSprint Backlog'!$F49 / MAX(1, 'ProductSprint Backlog'!$J49-'ProductSprint Backlog'!$I49), AND('ProductSprint Backlog'!$J49=D$2,'ProductSprint Backlog'!$I49=D$2), 'ProductSprint Backlog'!$F49, TRUE, 0)</f>
        <v>0</v>
      </c>
      <c r="E49" s="4" cm="1">
        <f t="array" ref="E49">_xlfn.IFS('ProductSprint Backlog'!$F49="", "", AND('ProductSprint Backlog'!$J49&gt;E$2,'ProductSprint Backlog'!$I49&lt;=E$2), 'ProductSprint Backlog'!$F49 / MAX(1, 'ProductSprint Backlog'!$J49-'ProductSprint Backlog'!$I49), AND('ProductSprint Backlog'!$J49=E$2,'ProductSprint Backlog'!$I49=E$2), 'ProductSprint Backlog'!$F49, TRUE, 0)</f>
        <v>0</v>
      </c>
      <c r="F49" s="4" cm="1">
        <f t="array" ref="F49">_xlfn.IFS('ProductSprint Backlog'!$F49="", "", AND('ProductSprint Backlog'!$J49&gt;F$2,'ProductSprint Backlog'!$I49&lt;=F$2), 'ProductSprint Backlog'!$F49 / MAX(1, 'ProductSprint Backlog'!$J49-'ProductSprint Backlog'!$I49), AND('ProductSprint Backlog'!$J49=F$2,'ProductSprint Backlog'!$I49=F$2), 'ProductSprint Backlog'!$F49, TRUE, 0)</f>
        <v>0</v>
      </c>
      <c r="G49" s="4" cm="1">
        <f t="array" ref="G49">_xlfn.IFS('ProductSprint Backlog'!$F49="", "", AND('ProductSprint Backlog'!$J49&gt;G$2,'ProductSprint Backlog'!$I49&lt;=G$2), 'ProductSprint Backlog'!$F49 / MAX(1, 'ProductSprint Backlog'!$J49-'ProductSprint Backlog'!$I49), AND('ProductSprint Backlog'!$J49=G$2,'ProductSprint Backlog'!$I49=G$2), 'ProductSprint Backlog'!$F49, TRUE, 0)</f>
        <v>0</v>
      </c>
      <c r="H49" s="4" cm="1">
        <f t="array" ref="H49">_xlfn.IFS('ProductSprint Backlog'!$F49="", "", AND('ProductSprint Backlog'!$J49&gt;H$2,'ProductSprint Backlog'!$I49&lt;=H$2), 'ProductSprint Backlog'!$F49 / MAX(1, 'ProductSprint Backlog'!$J49-'ProductSprint Backlog'!$I49), AND('ProductSprint Backlog'!$J49=H$2,'ProductSprint Backlog'!$I49=H$2), 'ProductSprint Backlog'!$F49, TRUE, 0)</f>
        <v>0</v>
      </c>
      <c r="I49" s="4" cm="1">
        <f t="array" ref="I49">_xlfn.IFS('ProductSprint Backlog'!$F49="", "", AND('ProductSprint Backlog'!$J49&gt;I$2,'ProductSprint Backlog'!$I49&lt;=I$2), 'ProductSprint Backlog'!$F49 / MAX(1, 'ProductSprint Backlog'!$J49-'ProductSprint Backlog'!$I49), AND('ProductSprint Backlog'!$J49=I$2,'ProductSprint Backlog'!$I49=I$2), 'ProductSprint Backlog'!$F49, TRUE, 0)</f>
        <v>0</v>
      </c>
      <c r="J49" s="4" cm="1">
        <f t="array" ref="J49">_xlfn.IFS('ProductSprint Backlog'!$F49="", "", AND('ProductSprint Backlog'!$J49&gt;J$2,'ProductSprint Backlog'!$I49&lt;=J$2), 'ProductSprint Backlog'!$F49 / MAX(1, 'ProductSprint Backlog'!$J49-'ProductSprint Backlog'!$I49), AND('ProductSprint Backlog'!$J49=J$2,'ProductSprint Backlog'!$I49=J$2), 'ProductSprint Backlog'!$F49, TRUE, 0)</f>
        <v>0</v>
      </c>
      <c r="K49" s="4" cm="1">
        <f t="array" ref="K49">_xlfn.IFS('ProductSprint Backlog'!$F49="", "", AND('ProductSprint Backlog'!$J49&gt;K$2,'ProductSprint Backlog'!$I49&lt;=K$2), 'ProductSprint Backlog'!$F49 / MAX(1, 'ProductSprint Backlog'!$J49-'ProductSprint Backlog'!$I49), AND('ProductSprint Backlog'!$J49=K$2,'ProductSprint Backlog'!$I49=K$2), 'ProductSprint Backlog'!$F49, TRUE, 0)</f>
        <v>0</v>
      </c>
      <c r="L49" s="4" cm="1">
        <f t="array" ref="L49">_xlfn.IFS('ProductSprint Backlog'!$F49="", "", AND('ProductSprint Backlog'!$J49&gt;L$2,'ProductSprint Backlog'!$I49&lt;=L$2), 'ProductSprint Backlog'!$F49 / MAX(1, 'ProductSprint Backlog'!$J49-'ProductSprint Backlog'!$I49), AND('ProductSprint Backlog'!$J49=L$2,'ProductSprint Backlog'!$I49=L$2), 'ProductSprint Backlog'!$F49, TRUE, 0)</f>
        <v>0</v>
      </c>
      <c r="M49" s="4" cm="1">
        <f t="array" ref="M49">_xlfn.IFS('ProductSprint Backlog'!$F49="", "", AND('ProductSprint Backlog'!$J49&gt;M$2,'ProductSprint Backlog'!$I49&lt;=M$2), 'ProductSprint Backlog'!$F49 / MAX(1, 'ProductSprint Backlog'!$J49-'ProductSprint Backlog'!$I49), AND('ProductSprint Backlog'!$J49=M$2,'ProductSprint Backlog'!$I49=M$2), 'ProductSprint Backlog'!$F49, TRUE, 0)</f>
        <v>0</v>
      </c>
      <c r="N49" s="4" cm="1">
        <f t="array" ref="N49">_xlfn.IFS('ProductSprint Backlog'!$F49="", "", AND('ProductSprint Backlog'!$J49&gt;N$2,'ProductSprint Backlog'!$I49&lt;=N$2), 'ProductSprint Backlog'!$F49 / MAX(1, 'ProductSprint Backlog'!$J49-'ProductSprint Backlog'!$I49), AND('ProductSprint Backlog'!$J49=N$2,'ProductSprint Backlog'!$I49=N$2), 'ProductSprint Backlog'!$F49, TRUE, 0)</f>
        <v>0</v>
      </c>
      <c r="O49" s="4" cm="1">
        <f t="array" ref="O49">_xlfn.IFS('ProductSprint Backlog'!$F49="", "", AND('ProductSprint Backlog'!$J49&gt;O$2,'ProductSprint Backlog'!$I49&lt;=O$2), 'ProductSprint Backlog'!$F49 / MAX(1, 'ProductSprint Backlog'!$J49-'ProductSprint Backlog'!$I49), AND('ProductSprint Backlog'!$J49=O$2,'ProductSprint Backlog'!$I49=O$2), 'ProductSprint Backlog'!$F49, TRUE, 0)</f>
        <v>0</v>
      </c>
      <c r="P49" s="4" cm="1">
        <f t="array" ref="P49">_xlfn.IFS('ProductSprint Backlog'!$F49="", "", AND('ProductSprint Backlog'!$J49&gt;P$2,'ProductSprint Backlog'!$I49&lt;=P$2), 'ProductSprint Backlog'!$F49 / MAX(1, 'ProductSprint Backlog'!$J49-'ProductSprint Backlog'!$I49), AND('ProductSprint Backlog'!$J49=P$2,'ProductSprint Backlog'!$I49=P$2), 'ProductSprint Backlog'!$F49, TRUE, 0)</f>
        <v>0</v>
      </c>
      <c r="Q49" s="4" cm="1">
        <f t="array" ref="Q49">_xlfn.IFS('ProductSprint Backlog'!$F49="", "", AND('ProductSprint Backlog'!$J49&gt;Q$2,'ProductSprint Backlog'!$I49&lt;=Q$2), 'ProductSprint Backlog'!$F49 / MAX(1, 'ProductSprint Backlog'!$J49-'ProductSprint Backlog'!$I49), AND('ProductSprint Backlog'!$J49=Q$2,'ProductSprint Backlog'!$I49=Q$2), 'ProductSprint Backlog'!$F49, TRUE, 0)</f>
        <v>0</v>
      </c>
    </row>
    <row r="50" spans="2:17" x14ac:dyDescent="0.2">
      <c r="B50" s="4" t="str" cm="1">
        <f t="array" ref="B50">_xlfn.IFS('ProductSprint Backlog'!$F50="", "", AND('ProductSprint Backlog'!$J50&gt;B$2,'ProductSprint Backlog'!$I50&lt;=B$2), 'ProductSprint Backlog'!$F50 / MAX(1, 'ProductSprint Backlog'!$J50-'ProductSprint Backlog'!$I50), AND('ProductSprint Backlog'!$J50=B$2,'ProductSprint Backlog'!$I50=B$2), 'ProductSprint Backlog'!$F50, TRUE, 0)</f>
        <v/>
      </c>
      <c r="C50" s="4" t="str" cm="1">
        <f t="array" ref="C50">_xlfn.IFS('ProductSprint Backlog'!$F50="", "", AND('ProductSprint Backlog'!$J50&gt;C$2,'ProductSprint Backlog'!$I50&lt;=C$2), 'ProductSprint Backlog'!$F50 / MAX(1, 'ProductSprint Backlog'!$J50-'ProductSprint Backlog'!$I50), AND('ProductSprint Backlog'!$J50=C$2,'ProductSprint Backlog'!$I50=C$2), 'ProductSprint Backlog'!$F50, TRUE, 0)</f>
        <v/>
      </c>
      <c r="D50" s="4" t="str" cm="1">
        <f t="array" ref="D50">_xlfn.IFS('ProductSprint Backlog'!$F50="", "", AND('ProductSprint Backlog'!$J50&gt;D$2,'ProductSprint Backlog'!$I50&lt;=D$2), 'ProductSprint Backlog'!$F50 / MAX(1, 'ProductSprint Backlog'!$J50-'ProductSprint Backlog'!$I50), AND('ProductSprint Backlog'!$J50=D$2,'ProductSprint Backlog'!$I50=D$2), 'ProductSprint Backlog'!$F50, TRUE, 0)</f>
        <v/>
      </c>
      <c r="E50" s="4" t="str" cm="1">
        <f t="array" ref="E50">_xlfn.IFS('ProductSprint Backlog'!$F50="", "", AND('ProductSprint Backlog'!$J50&gt;E$2,'ProductSprint Backlog'!$I50&lt;=E$2), 'ProductSprint Backlog'!$F50 / MAX(1, 'ProductSprint Backlog'!$J50-'ProductSprint Backlog'!$I50), AND('ProductSprint Backlog'!$J50=E$2,'ProductSprint Backlog'!$I50=E$2), 'ProductSprint Backlog'!$F50, TRUE, 0)</f>
        <v/>
      </c>
      <c r="F50" s="4" t="str" cm="1">
        <f t="array" ref="F50">_xlfn.IFS('ProductSprint Backlog'!$F50="", "", AND('ProductSprint Backlog'!$J50&gt;F$2,'ProductSprint Backlog'!$I50&lt;=F$2), 'ProductSprint Backlog'!$F50 / MAX(1, 'ProductSprint Backlog'!$J50-'ProductSprint Backlog'!$I50), AND('ProductSprint Backlog'!$J50=F$2,'ProductSprint Backlog'!$I50=F$2), 'ProductSprint Backlog'!$F50, TRUE, 0)</f>
        <v/>
      </c>
      <c r="G50" s="4" t="str" cm="1">
        <f t="array" ref="G50">_xlfn.IFS('ProductSprint Backlog'!$F50="", "", AND('ProductSprint Backlog'!$J50&gt;G$2,'ProductSprint Backlog'!$I50&lt;=G$2), 'ProductSprint Backlog'!$F50 / MAX(1, 'ProductSprint Backlog'!$J50-'ProductSprint Backlog'!$I50), AND('ProductSprint Backlog'!$J50=G$2,'ProductSprint Backlog'!$I50=G$2), 'ProductSprint Backlog'!$F50, TRUE, 0)</f>
        <v/>
      </c>
      <c r="H50" s="4" t="str" cm="1">
        <f t="array" ref="H50">_xlfn.IFS('ProductSprint Backlog'!$F50="", "", AND('ProductSprint Backlog'!$J50&gt;H$2,'ProductSprint Backlog'!$I50&lt;=H$2), 'ProductSprint Backlog'!$F50 / MAX(1, 'ProductSprint Backlog'!$J50-'ProductSprint Backlog'!$I50), AND('ProductSprint Backlog'!$J50=H$2,'ProductSprint Backlog'!$I50=H$2), 'ProductSprint Backlog'!$F50, TRUE, 0)</f>
        <v/>
      </c>
      <c r="I50" s="4" t="str" cm="1">
        <f t="array" ref="I50">_xlfn.IFS('ProductSprint Backlog'!$F50="", "", AND('ProductSprint Backlog'!$J50&gt;I$2,'ProductSprint Backlog'!$I50&lt;=I$2), 'ProductSprint Backlog'!$F50 / MAX(1, 'ProductSprint Backlog'!$J50-'ProductSprint Backlog'!$I50), AND('ProductSprint Backlog'!$J50=I$2,'ProductSprint Backlog'!$I50=I$2), 'ProductSprint Backlog'!$F50, TRUE, 0)</f>
        <v/>
      </c>
      <c r="J50" s="4" t="str" cm="1">
        <f t="array" ref="J50">_xlfn.IFS('ProductSprint Backlog'!$F50="", "", AND('ProductSprint Backlog'!$J50&gt;J$2,'ProductSprint Backlog'!$I50&lt;=J$2), 'ProductSprint Backlog'!$F50 / MAX(1, 'ProductSprint Backlog'!$J50-'ProductSprint Backlog'!$I50), AND('ProductSprint Backlog'!$J50=J$2,'ProductSprint Backlog'!$I50=J$2), 'ProductSprint Backlog'!$F50, TRUE, 0)</f>
        <v/>
      </c>
      <c r="K50" s="4" t="str" cm="1">
        <f t="array" ref="K50">_xlfn.IFS('ProductSprint Backlog'!$F50="", "", AND('ProductSprint Backlog'!$J50&gt;K$2,'ProductSprint Backlog'!$I50&lt;=K$2), 'ProductSprint Backlog'!$F50 / MAX(1, 'ProductSprint Backlog'!$J50-'ProductSprint Backlog'!$I50), AND('ProductSprint Backlog'!$J50=K$2,'ProductSprint Backlog'!$I50=K$2), 'ProductSprint Backlog'!$F50, TRUE, 0)</f>
        <v/>
      </c>
      <c r="L50" s="4" t="str" cm="1">
        <f t="array" ref="L50">_xlfn.IFS('ProductSprint Backlog'!$F50="", "", AND('ProductSprint Backlog'!$J50&gt;L$2,'ProductSprint Backlog'!$I50&lt;=L$2), 'ProductSprint Backlog'!$F50 / MAX(1, 'ProductSprint Backlog'!$J50-'ProductSprint Backlog'!$I50), AND('ProductSprint Backlog'!$J50=L$2,'ProductSprint Backlog'!$I50=L$2), 'ProductSprint Backlog'!$F50, TRUE, 0)</f>
        <v/>
      </c>
      <c r="M50" s="4" t="str" cm="1">
        <f t="array" ref="M50">_xlfn.IFS('ProductSprint Backlog'!$F50="", "", AND('ProductSprint Backlog'!$J50&gt;M$2,'ProductSprint Backlog'!$I50&lt;=M$2), 'ProductSprint Backlog'!$F50 / MAX(1, 'ProductSprint Backlog'!$J50-'ProductSprint Backlog'!$I50), AND('ProductSprint Backlog'!$J50=M$2,'ProductSprint Backlog'!$I50=M$2), 'ProductSprint Backlog'!$F50, TRUE, 0)</f>
        <v/>
      </c>
      <c r="N50" s="4" t="str" cm="1">
        <f t="array" ref="N50">_xlfn.IFS('ProductSprint Backlog'!$F50="", "", AND('ProductSprint Backlog'!$J50&gt;N$2,'ProductSprint Backlog'!$I50&lt;=N$2), 'ProductSprint Backlog'!$F50 / MAX(1, 'ProductSprint Backlog'!$J50-'ProductSprint Backlog'!$I50), AND('ProductSprint Backlog'!$J50=N$2,'ProductSprint Backlog'!$I50=N$2), 'ProductSprint Backlog'!$F50, TRUE, 0)</f>
        <v/>
      </c>
      <c r="O50" s="4" t="str" cm="1">
        <f t="array" ref="O50">_xlfn.IFS('ProductSprint Backlog'!$F50="", "", AND('ProductSprint Backlog'!$J50&gt;O$2,'ProductSprint Backlog'!$I50&lt;=O$2), 'ProductSprint Backlog'!$F50 / MAX(1, 'ProductSprint Backlog'!$J50-'ProductSprint Backlog'!$I50), AND('ProductSprint Backlog'!$J50=O$2,'ProductSprint Backlog'!$I50=O$2), 'ProductSprint Backlog'!$F50, TRUE, 0)</f>
        <v/>
      </c>
      <c r="P50" s="4" t="str" cm="1">
        <f t="array" ref="P50">_xlfn.IFS('ProductSprint Backlog'!$F50="", "", AND('ProductSprint Backlog'!$J50&gt;P$2,'ProductSprint Backlog'!$I50&lt;=P$2), 'ProductSprint Backlog'!$F50 / MAX(1, 'ProductSprint Backlog'!$J50-'ProductSprint Backlog'!$I50), AND('ProductSprint Backlog'!$J50=P$2,'ProductSprint Backlog'!$I50=P$2), 'ProductSprint Backlog'!$F50, TRUE, 0)</f>
        <v/>
      </c>
      <c r="Q50" s="4" t="str" cm="1">
        <f t="array" ref="Q50">_xlfn.IFS('ProductSprint Backlog'!$F50="", "", AND('ProductSprint Backlog'!$J50&gt;Q$2,'ProductSprint Backlog'!$I50&lt;=Q$2), 'ProductSprint Backlog'!$F50 / MAX(1, 'ProductSprint Backlog'!$J50-'ProductSprint Backlog'!$I50), AND('ProductSprint Backlog'!$J50=Q$2,'ProductSprint Backlog'!$I50=Q$2), 'ProductSprint Backlog'!$F50, TRUE, 0)</f>
        <v/>
      </c>
    </row>
    <row r="51" spans="2:17" x14ac:dyDescent="0.2">
      <c r="B51" s="4" cm="1">
        <f t="array" ref="B51">_xlfn.IFS('ProductSprint Backlog'!$F51="", "", AND('ProductSprint Backlog'!$J51&gt;B$2,'ProductSprint Backlog'!$I51&lt;=B$2), 'ProductSprint Backlog'!$F51 / MAX(1, 'ProductSprint Backlog'!$J51-'ProductSprint Backlog'!$I51), AND('ProductSprint Backlog'!$J51=B$2,'ProductSprint Backlog'!$I51=B$2), 'ProductSprint Backlog'!$F51, TRUE, 0)</f>
        <v>0</v>
      </c>
      <c r="C51" s="4" cm="1">
        <f t="array" ref="C51">_xlfn.IFS('ProductSprint Backlog'!$F51="", "", AND('ProductSprint Backlog'!$J51&gt;C$2,'ProductSprint Backlog'!$I51&lt;=C$2), 'ProductSprint Backlog'!$F51 / MAX(1, 'ProductSprint Backlog'!$J51-'ProductSprint Backlog'!$I51), AND('ProductSprint Backlog'!$J51=C$2,'ProductSprint Backlog'!$I51=C$2), 'ProductSprint Backlog'!$F51, TRUE, 0)</f>
        <v>0</v>
      </c>
      <c r="D51" s="4" cm="1">
        <f t="array" ref="D51">_xlfn.IFS('ProductSprint Backlog'!$F51="", "", AND('ProductSprint Backlog'!$J51&gt;D$2,'ProductSprint Backlog'!$I51&lt;=D$2), 'ProductSprint Backlog'!$F51 / MAX(1, 'ProductSprint Backlog'!$J51-'ProductSprint Backlog'!$I51), AND('ProductSprint Backlog'!$J51=D$2,'ProductSprint Backlog'!$I51=D$2), 'ProductSprint Backlog'!$F51, TRUE, 0)</f>
        <v>0</v>
      </c>
      <c r="E51" s="4" cm="1">
        <f t="array" ref="E51">_xlfn.IFS('ProductSprint Backlog'!$F51="", "", AND('ProductSprint Backlog'!$J51&gt;E$2,'ProductSprint Backlog'!$I51&lt;=E$2), 'ProductSprint Backlog'!$F51 / MAX(1, 'ProductSprint Backlog'!$J51-'ProductSprint Backlog'!$I51), AND('ProductSprint Backlog'!$J51=E$2,'ProductSprint Backlog'!$I51=E$2), 'ProductSprint Backlog'!$F51, TRUE, 0)</f>
        <v>0</v>
      </c>
      <c r="F51" s="4" cm="1">
        <f t="array" ref="F51">_xlfn.IFS('ProductSprint Backlog'!$F51="", "", AND('ProductSprint Backlog'!$J51&gt;F$2,'ProductSprint Backlog'!$I51&lt;=F$2), 'ProductSprint Backlog'!$F51 / MAX(1, 'ProductSprint Backlog'!$J51-'ProductSprint Backlog'!$I51), AND('ProductSprint Backlog'!$J51=F$2,'ProductSprint Backlog'!$I51=F$2), 'ProductSprint Backlog'!$F51, TRUE, 0)</f>
        <v>0</v>
      </c>
      <c r="G51" s="4" cm="1">
        <f t="array" ref="G51">_xlfn.IFS('ProductSprint Backlog'!$F51="", "", AND('ProductSprint Backlog'!$J51&gt;G$2,'ProductSprint Backlog'!$I51&lt;=G$2), 'ProductSprint Backlog'!$F51 / MAX(1, 'ProductSprint Backlog'!$J51-'ProductSprint Backlog'!$I51), AND('ProductSprint Backlog'!$J51=G$2,'ProductSprint Backlog'!$I51=G$2), 'ProductSprint Backlog'!$F51, TRUE, 0)</f>
        <v>0</v>
      </c>
      <c r="H51" s="4" cm="1">
        <f t="array" ref="H51">_xlfn.IFS('ProductSprint Backlog'!$F51="", "", AND('ProductSprint Backlog'!$J51&gt;H$2,'ProductSprint Backlog'!$I51&lt;=H$2), 'ProductSprint Backlog'!$F51 / MAX(1, 'ProductSprint Backlog'!$J51-'ProductSprint Backlog'!$I51), AND('ProductSprint Backlog'!$J51=H$2,'ProductSprint Backlog'!$I51=H$2), 'ProductSprint Backlog'!$F51, TRUE, 0)</f>
        <v>0</v>
      </c>
      <c r="I51" s="4" cm="1">
        <f t="array" ref="I51">_xlfn.IFS('ProductSprint Backlog'!$F51="", "", AND('ProductSprint Backlog'!$J51&gt;I$2,'ProductSprint Backlog'!$I51&lt;=I$2), 'ProductSprint Backlog'!$F51 / MAX(1, 'ProductSprint Backlog'!$J51-'ProductSprint Backlog'!$I51), AND('ProductSprint Backlog'!$J51=I$2,'ProductSprint Backlog'!$I51=I$2), 'ProductSprint Backlog'!$F51, TRUE, 0)</f>
        <v>0</v>
      </c>
      <c r="J51" s="4" cm="1">
        <f t="array" ref="J51">_xlfn.IFS('ProductSprint Backlog'!$F51="", "", AND('ProductSprint Backlog'!$J51&gt;J$2,'ProductSprint Backlog'!$I51&lt;=J$2), 'ProductSprint Backlog'!$F51 / MAX(1, 'ProductSprint Backlog'!$J51-'ProductSprint Backlog'!$I51), AND('ProductSprint Backlog'!$J51=J$2,'ProductSprint Backlog'!$I51=J$2), 'ProductSprint Backlog'!$F51, TRUE, 0)</f>
        <v>0</v>
      </c>
      <c r="K51" s="4" cm="1">
        <f t="array" ref="K51">_xlfn.IFS('ProductSprint Backlog'!$F51="", "", AND('ProductSprint Backlog'!$J51&gt;K$2,'ProductSprint Backlog'!$I51&lt;=K$2), 'ProductSprint Backlog'!$F51 / MAX(1, 'ProductSprint Backlog'!$J51-'ProductSprint Backlog'!$I51), AND('ProductSprint Backlog'!$J51=K$2,'ProductSprint Backlog'!$I51=K$2), 'ProductSprint Backlog'!$F51, TRUE, 0)</f>
        <v>0</v>
      </c>
      <c r="L51" s="4" cm="1">
        <f t="array" ref="L51">_xlfn.IFS('ProductSprint Backlog'!$F51="", "", AND('ProductSprint Backlog'!$J51&gt;L$2,'ProductSprint Backlog'!$I51&lt;=L$2), 'ProductSprint Backlog'!$F51 / MAX(1, 'ProductSprint Backlog'!$J51-'ProductSprint Backlog'!$I51), AND('ProductSprint Backlog'!$J51=L$2,'ProductSprint Backlog'!$I51=L$2), 'ProductSprint Backlog'!$F51, TRUE, 0)</f>
        <v>0</v>
      </c>
      <c r="M51" s="4" cm="1">
        <f t="array" ref="M51">_xlfn.IFS('ProductSprint Backlog'!$F51="", "", AND('ProductSprint Backlog'!$J51&gt;M$2,'ProductSprint Backlog'!$I51&lt;=M$2), 'ProductSprint Backlog'!$F51 / MAX(1, 'ProductSprint Backlog'!$J51-'ProductSprint Backlog'!$I51), AND('ProductSprint Backlog'!$J51=M$2,'ProductSprint Backlog'!$I51=M$2), 'ProductSprint Backlog'!$F51, TRUE, 0)</f>
        <v>0</v>
      </c>
      <c r="N51" s="4" cm="1">
        <f t="array" ref="N51">_xlfn.IFS('ProductSprint Backlog'!$F51="", "", AND('ProductSprint Backlog'!$J51&gt;N$2,'ProductSprint Backlog'!$I51&lt;=N$2), 'ProductSprint Backlog'!$F51 / MAX(1, 'ProductSprint Backlog'!$J51-'ProductSprint Backlog'!$I51), AND('ProductSprint Backlog'!$J51=N$2,'ProductSprint Backlog'!$I51=N$2), 'ProductSprint Backlog'!$F51, TRUE, 0)</f>
        <v>0</v>
      </c>
      <c r="O51" s="4" cm="1">
        <f t="array" ref="O51">_xlfn.IFS('ProductSprint Backlog'!$F51="", "", AND('ProductSprint Backlog'!$J51&gt;O$2,'ProductSprint Backlog'!$I51&lt;=O$2), 'ProductSprint Backlog'!$F51 / MAX(1, 'ProductSprint Backlog'!$J51-'ProductSprint Backlog'!$I51), AND('ProductSprint Backlog'!$J51=O$2,'ProductSprint Backlog'!$I51=O$2), 'ProductSprint Backlog'!$F51, TRUE, 0)</f>
        <v>0</v>
      </c>
      <c r="P51" s="4" cm="1">
        <f t="array" ref="P51">_xlfn.IFS('ProductSprint Backlog'!$F51="", "", AND('ProductSprint Backlog'!$J51&gt;P$2,'ProductSprint Backlog'!$I51&lt;=P$2), 'ProductSprint Backlog'!$F51 / MAX(1, 'ProductSprint Backlog'!$J51-'ProductSprint Backlog'!$I51), AND('ProductSprint Backlog'!$J51=P$2,'ProductSprint Backlog'!$I51=P$2), 'ProductSprint Backlog'!$F51, TRUE, 0)</f>
        <v>0</v>
      </c>
      <c r="Q51" s="4" cm="1">
        <f t="array" ref="Q51">_xlfn.IFS('ProductSprint Backlog'!$F51="", "", AND('ProductSprint Backlog'!$J51&gt;Q$2,'ProductSprint Backlog'!$I51&lt;=Q$2), 'ProductSprint Backlog'!$F51 / MAX(1, 'ProductSprint Backlog'!$J51-'ProductSprint Backlog'!$I51), AND('ProductSprint Backlog'!$J51=Q$2,'ProductSprint Backlog'!$I51=Q$2), 'ProductSprint Backlog'!$F51, TRUE, 0)</f>
        <v>0</v>
      </c>
    </row>
    <row r="52" spans="2:17" x14ac:dyDescent="0.2">
      <c r="B52" s="4" cm="1">
        <f t="array" ref="B52">_xlfn.IFS('ProductSprint Backlog'!$F52="", "", AND('ProductSprint Backlog'!$J52&gt;B$2,'ProductSprint Backlog'!$I52&lt;=B$2), 'ProductSprint Backlog'!$F52 / MAX(1, 'ProductSprint Backlog'!$J52-'ProductSprint Backlog'!$I52), AND('ProductSprint Backlog'!$J52=B$2,'ProductSprint Backlog'!$I52=B$2), 'ProductSprint Backlog'!$F52, TRUE, 0)</f>
        <v>0</v>
      </c>
      <c r="C52" s="4" cm="1">
        <f t="array" ref="C52">_xlfn.IFS('ProductSprint Backlog'!$F52="", "", AND('ProductSprint Backlog'!$J52&gt;C$2,'ProductSprint Backlog'!$I52&lt;=C$2), 'ProductSprint Backlog'!$F52 / MAX(1, 'ProductSprint Backlog'!$J52-'ProductSprint Backlog'!$I52), AND('ProductSprint Backlog'!$J52=C$2,'ProductSprint Backlog'!$I52=C$2), 'ProductSprint Backlog'!$F52, TRUE, 0)</f>
        <v>0</v>
      </c>
      <c r="D52" s="4" cm="1">
        <f t="array" ref="D52">_xlfn.IFS('ProductSprint Backlog'!$F52="", "", AND('ProductSprint Backlog'!$J52&gt;D$2,'ProductSprint Backlog'!$I52&lt;=D$2), 'ProductSprint Backlog'!$F52 / MAX(1, 'ProductSprint Backlog'!$J52-'ProductSprint Backlog'!$I52), AND('ProductSprint Backlog'!$J52=D$2,'ProductSprint Backlog'!$I52=D$2), 'ProductSprint Backlog'!$F52, TRUE, 0)</f>
        <v>0</v>
      </c>
      <c r="E52" s="4" cm="1">
        <f t="array" ref="E52">_xlfn.IFS('ProductSprint Backlog'!$F52="", "", AND('ProductSprint Backlog'!$J52&gt;E$2,'ProductSprint Backlog'!$I52&lt;=E$2), 'ProductSprint Backlog'!$F52 / MAX(1, 'ProductSprint Backlog'!$J52-'ProductSprint Backlog'!$I52), AND('ProductSprint Backlog'!$J52=E$2,'ProductSprint Backlog'!$I52=E$2), 'ProductSprint Backlog'!$F52, TRUE, 0)</f>
        <v>0</v>
      </c>
      <c r="F52" s="4" cm="1">
        <f t="array" ref="F52">_xlfn.IFS('ProductSprint Backlog'!$F52="", "", AND('ProductSprint Backlog'!$J52&gt;F$2,'ProductSprint Backlog'!$I52&lt;=F$2), 'ProductSprint Backlog'!$F52 / MAX(1, 'ProductSprint Backlog'!$J52-'ProductSprint Backlog'!$I52), AND('ProductSprint Backlog'!$J52=F$2,'ProductSprint Backlog'!$I52=F$2), 'ProductSprint Backlog'!$F52, TRUE, 0)</f>
        <v>0</v>
      </c>
      <c r="G52" s="4" cm="1">
        <f t="array" ref="G52">_xlfn.IFS('ProductSprint Backlog'!$F52="", "", AND('ProductSprint Backlog'!$J52&gt;G$2,'ProductSprint Backlog'!$I52&lt;=G$2), 'ProductSprint Backlog'!$F52 / MAX(1, 'ProductSprint Backlog'!$J52-'ProductSprint Backlog'!$I52), AND('ProductSprint Backlog'!$J52=G$2,'ProductSprint Backlog'!$I52=G$2), 'ProductSprint Backlog'!$F52, TRUE, 0)</f>
        <v>0</v>
      </c>
      <c r="H52" s="4" cm="1">
        <f t="array" ref="H52">_xlfn.IFS('ProductSprint Backlog'!$F52="", "", AND('ProductSprint Backlog'!$J52&gt;H$2,'ProductSprint Backlog'!$I52&lt;=H$2), 'ProductSprint Backlog'!$F52 / MAX(1, 'ProductSprint Backlog'!$J52-'ProductSprint Backlog'!$I52), AND('ProductSprint Backlog'!$J52=H$2,'ProductSprint Backlog'!$I52=H$2), 'ProductSprint Backlog'!$F52, TRUE, 0)</f>
        <v>0</v>
      </c>
      <c r="I52" s="4" cm="1">
        <f t="array" ref="I52">_xlfn.IFS('ProductSprint Backlog'!$F52="", "", AND('ProductSprint Backlog'!$J52&gt;I$2,'ProductSprint Backlog'!$I52&lt;=I$2), 'ProductSprint Backlog'!$F52 / MAX(1, 'ProductSprint Backlog'!$J52-'ProductSprint Backlog'!$I52), AND('ProductSprint Backlog'!$J52=I$2,'ProductSprint Backlog'!$I52=I$2), 'ProductSprint Backlog'!$F52, TRUE, 0)</f>
        <v>0</v>
      </c>
      <c r="J52" s="4" cm="1">
        <f t="array" ref="J52">_xlfn.IFS('ProductSprint Backlog'!$F52="", "", AND('ProductSprint Backlog'!$J52&gt;J$2,'ProductSprint Backlog'!$I52&lt;=J$2), 'ProductSprint Backlog'!$F52 / MAX(1, 'ProductSprint Backlog'!$J52-'ProductSprint Backlog'!$I52), AND('ProductSprint Backlog'!$J52=J$2,'ProductSprint Backlog'!$I52=J$2), 'ProductSprint Backlog'!$F52, TRUE, 0)</f>
        <v>0</v>
      </c>
      <c r="K52" s="4" cm="1">
        <f t="array" ref="K52">_xlfn.IFS('ProductSprint Backlog'!$F52="", "", AND('ProductSprint Backlog'!$J52&gt;K$2,'ProductSprint Backlog'!$I52&lt;=K$2), 'ProductSprint Backlog'!$F52 / MAX(1, 'ProductSprint Backlog'!$J52-'ProductSprint Backlog'!$I52), AND('ProductSprint Backlog'!$J52=K$2,'ProductSprint Backlog'!$I52=K$2), 'ProductSprint Backlog'!$F52, TRUE, 0)</f>
        <v>0</v>
      </c>
      <c r="L52" s="4" cm="1">
        <f t="array" ref="L52">_xlfn.IFS('ProductSprint Backlog'!$F52="", "", AND('ProductSprint Backlog'!$J52&gt;L$2,'ProductSprint Backlog'!$I52&lt;=L$2), 'ProductSprint Backlog'!$F52 / MAX(1, 'ProductSprint Backlog'!$J52-'ProductSprint Backlog'!$I52), AND('ProductSprint Backlog'!$J52=L$2,'ProductSprint Backlog'!$I52=L$2), 'ProductSprint Backlog'!$F52, TRUE, 0)</f>
        <v>0</v>
      </c>
      <c r="M52" s="4" cm="1">
        <f t="array" ref="M52">_xlfn.IFS('ProductSprint Backlog'!$F52="", "", AND('ProductSprint Backlog'!$J52&gt;M$2,'ProductSprint Backlog'!$I52&lt;=M$2), 'ProductSprint Backlog'!$F52 / MAX(1, 'ProductSprint Backlog'!$J52-'ProductSprint Backlog'!$I52), AND('ProductSprint Backlog'!$J52=M$2,'ProductSprint Backlog'!$I52=M$2), 'ProductSprint Backlog'!$F52, TRUE, 0)</f>
        <v>0</v>
      </c>
      <c r="N52" s="4" cm="1">
        <f t="array" ref="N52">_xlfn.IFS('ProductSprint Backlog'!$F52="", "", AND('ProductSprint Backlog'!$J52&gt;N$2,'ProductSprint Backlog'!$I52&lt;=N$2), 'ProductSprint Backlog'!$F52 / MAX(1, 'ProductSprint Backlog'!$J52-'ProductSprint Backlog'!$I52), AND('ProductSprint Backlog'!$J52=N$2,'ProductSprint Backlog'!$I52=N$2), 'ProductSprint Backlog'!$F52, TRUE, 0)</f>
        <v>0</v>
      </c>
      <c r="O52" s="4" cm="1">
        <f t="array" ref="O52">_xlfn.IFS('ProductSprint Backlog'!$F52="", "", AND('ProductSprint Backlog'!$J52&gt;O$2,'ProductSprint Backlog'!$I52&lt;=O$2), 'ProductSprint Backlog'!$F52 / MAX(1, 'ProductSprint Backlog'!$J52-'ProductSprint Backlog'!$I52), AND('ProductSprint Backlog'!$J52=O$2,'ProductSprint Backlog'!$I52=O$2), 'ProductSprint Backlog'!$F52, TRUE, 0)</f>
        <v>0</v>
      </c>
      <c r="P52" s="4" cm="1">
        <f t="array" ref="P52">_xlfn.IFS('ProductSprint Backlog'!$F52="", "", AND('ProductSprint Backlog'!$J52&gt;P$2,'ProductSprint Backlog'!$I52&lt;=P$2), 'ProductSprint Backlog'!$F52 / MAX(1, 'ProductSprint Backlog'!$J52-'ProductSprint Backlog'!$I52), AND('ProductSprint Backlog'!$J52=P$2,'ProductSprint Backlog'!$I52=P$2), 'ProductSprint Backlog'!$F52, TRUE, 0)</f>
        <v>0</v>
      </c>
      <c r="Q52" s="4" cm="1">
        <f t="array" ref="Q52">_xlfn.IFS('ProductSprint Backlog'!$F52="", "", AND('ProductSprint Backlog'!$J52&gt;Q$2,'ProductSprint Backlog'!$I52&lt;=Q$2), 'ProductSprint Backlog'!$F52 / MAX(1, 'ProductSprint Backlog'!$J52-'ProductSprint Backlog'!$I52), AND('ProductSprint Backlog'!$J52=Q$2,'ProductSprint Backlog'!$I52=Q$2), 'ProductSprint Backlog'!$F52, TRUE, 0)</f>
        <v>0</v>
      </c>
    </row>
    <row r="53" spans="2:17" x14ac:dyDescent="0.2">
      <c r="B53" s="4" t="str" cm="1">
        <f t="array" ref="B53">_xlfn.IFS('ProductSprint Backlog'!$F53="", "", AND('ProductSprint Backlog'!$J53&gt;B$2,'ProductSprint Backlog'!$I53&lt;=B$2), 'ProductSprint Backlog'!$F53 / MAX(1, 'ProductSprint Backlog'!$J53-'ProductSprint Backlog'!$I53), AND('ProductSprint Backlog'!$J53=B$2,'ProductSprint Backlog'!$I53=B$2), 'ProductSprint Backlog'!$F53, TRUE, 0)</f>
        <v/>
      </c>
      <c r="C53" s="4" t="str" cm="1">
        <f t="array" ref="C53">_xlfn.IFS('ProductSprint Backlog'!$F53="", "", AND('ProductSprint Backlog'!$J53&gt;C$2,'ProductSprint Backlog'!$I53&lt;=C$2), 'ProductSprint Backlog'!$F53 / MAX(1, 'ProductSprint Backlog'!$J53-'ProductSprint Backlog'!$I53), AND('ProductSprint Backlog'!$J53=C$2,'ProductSprint Backlog'!$I53=C$2), 'ProductSprint Backlog'!$F53, TRUE, 0)</f>
        <v/>
      </c>
      <c r="D53" s="4" t="str" cm="1">
        <f t="array" ref="D53">_xlfn.IFS('ProductSprint Backlog'!$F53="", "", AND('ProductSprint Backlog'!$J53&gt;D$2,'ProductSprint Backlog'!$I53&lt;=D$2), 'ProductSprint Backlog'!$F53 / MAX(1, 'ProductSprint Backlog'!$J53-'ProductSprint Backlog'!$I53), AND('ProductSprint Backlog'!$J53=D$2,'ProductSprint Backlog'!$I53=D$2), 'ProductSprint Backlog'!$F53, TRUE, 0)</f>
        <v/>
      </c>
      <c r="E53" s="4" t="str" cm="1">
        <f t="array" ref="E53">_xlfn.IFS('ProductSprint Backlog'!$F53="", "", AND('ProductSprint Backlog'!$J53&gt;E$2,'ProductSprint Backlog'!$I53&lt;=E$2), 'ProductSprint Backlog'!$F53 / MAX(1, 'ProductSprint Backlog'!$J53-'ProductSprint Backlog'!$I53), AND('ProductSprint Backlog'!$J53=E$2,'ProductSprint Backlog'!$I53=E$2), 'ProductSprint Backlog'!$F53, TRUE, 0)</f>
        <v/>
      </c>
      <c r="F53" s="4" t="str" cm="1">
        <f t="array" ref="F53">_xlfn.IFS('ProductSprint Backlog'!$F53="", "", AND('ProductSprint Backlog'!$J53&gt;F$2,'ProductSprint Backlog'!$I53&lt;=F$2), 'ProductSprint Backlog'!$F53 / MAX(1, 'ProductSprint Backlog'!$J53-'ProductSprint Backlog'!$I53), AND('ProductSprint Backlog'!$J53=F$2,'ProductSprint Backlog'!$I53=F$2), 'ProductSprint Backlog'!$F53, TRUE, 0)</f>
        <v/>
      </c>
      <c r="G53" s="4" t="str" cm="1">
        <f t="array" ref="G53">_xlfn.IFS('ProductSprint Backlog'!$F53="", "", AND('ProductSprint Backlog'!$J53&gt;G$2,'ProductSprint Backlog'!$I53&lt;=G$2), 'ProductSprint Backlog'!$F53 / MAX(1, 'ProductSprint Backlog'!$J53-'ProductSprint Backlog'!$I53), AND('ProductSprint Backlog'!$J53=G$2,'ProductSprint Backlog'!$I53=G$2), 'ProductSprint Backlog'!$F53, TRUE, 0)</f>
        <v/>
      </c>
      <c r="H53" s="4" t="str" cm="1">
        <f t="array" ref="H53">_xlfn.IFS('ProductSprint Backlog'!$F53="", "", AND('ProductSprint Backlog'!$J53&gt;H$2,'ProductSprint Backlog'!$I53&lt;=H$2), 'ProductSprint Backlog'!$F53 / MAX(1, 'ProductSprint Backlog'!$J53-'ProductSprint Backlog'!$I53), AND('ProductSprint Backlog'!$J53=H$2,'ProductSprint Backlog'!$I53=H$2), 'ProductSprint Backlog'!$F53, TRUE, 0)</f>
        <v/>
      </c>
      <c r="I53" s="4" t="str" cm="1">
        <f t="array" ref="I53">_xlfn.IFS('ProductSprint Backlog'!$F53="", "", AND('ProductSprint Backlog'!$J53&gt;I$2,'ProductSprint Backlog'!$I53&lt;=I$2), 'ProductSprint Backlog'!$F53 / MAX(1, 'ProductSprint Backlog'!$J53-'ProductSprint Backlog'!$I53), AND('ProductSprint Backlog'!$J53=I$2,'ProductSprint Backlog'!$I53=I$2), 'ProductSprint Backlog'!$F53, TRUE, 0)</f>
        <v/>
      </c>
      <c r="J53" s="4" t="str" cm="1">
        <f t="array" ref="J53">_xlfn.IFS('ProductSprint Backlog'!$F53="", "", AND('ProductSprint Backlog'!$J53&gt;J$2,'ProductSprint Backlog'!$I53&lt;=J$2), 'ProductSprint Backlog'!$F53 / MAX(1, 'ProductSprint Backlog'!$J53-'ProductSprint Backlog'!$I53), AND('ProductSprint Backlog'!$J53=J$2,'ProductSprint Backlog'!$I53=J$2), 'ProductSprint Backlog'!$F53, TRUE, 0)</f>
        <v/>
      </c>
      <c r="K53" s="4" t="str" cm="1">
        <f t="array" ref="K53">_xlfn.IFS('ProductSprint Backlog'!$F53="", "", AND('ProductSprint Backlog'!$J53&gt;K$2,'ProductSprint Backlog'!$I53&lt;=K$2), 'ProductSprint Backlog'!$F53 / MAX(1, 'ProductSprint Backlog'!$J53-'ProductSprint Backlog'!$I53), AND('ProductSprint Backlog'!$J53=K$2,'ProductSprint Backlog'!$I53=K$2), 'ProductSprint Backlog'!$F53, TRUE, 0)</f>
        <v/>
      </c>
      <c r="L53" s="4" t="str" cm="1">
        <f t="array" ref="L53">_xlfn.IFS('ProductSprint Backlog'!$F53="", "", AND('ProductSprint Backlog'!$J53&gt;L$2,'ProductSprint Backlog'!$I53&lt;=L$2), 'ProductSprint Backlog'!$F53 / MAX(1, 'ProductSprint Backlog'!$J53-'ProductSprint Backlog'!$I53), AND('ProductSprint Backlog'!$J53=L$2,'ProductSprint Backlog'!$I53=L$2), 'ProductSprint Backlog'!$F53, TRUE, 0)</f>
        <v/>
      </c>
      <c r="M53" s="4" t="str" cm="1">
        <f t="array" ref="M53">_xlfn.IFS('ProductSprint Backlog'!$F53="", "", AND('ProductSprint Backlog'!$J53&gt;M$2,'ProductSprint Backlog'!$I53&lt;=M$2), 'ProductSprint Backlog'!$F53 / MAX(1, 'ProductSprint Backlog'!$J53-'ProductSprint Backlog'!$I53), AND('ProductSprint Backlog'!$J53=M$2,'ProductSprint Backlog'!$I53=M$2), 'ProductSprint Backlog'!$F53, TRUE, 0)</f>
        <v/>
      </c>
      <c r="N53" s="4" t="str" cm="1">
        <f t="array" ref="N53">_xlfn.IFS('ProductSprint Backlog'!$F53="", "", AND('ProductSprint Backlog'!$J53&gt;N$2,'ProductSprint Backlog'!$I53&lt;=N$2), 'ProductSprint Backlog'!$F53 / MAX(1, 'ProductSprint Backlog'!$J53-'ProductSprint Backlog'!$I53), AND('ProductSprint Backlog'!$J53=N$2,'ProductSprint Backlog'!$I53=N$2), 'ProductSprint Backlog'!$F53, TRUE, 0)</f>
        <v/>
      </c>
      <c r="O53" s="4" t="str" cm="1">
        <f t="array" ref="O53">_xlfn.IFS('ProductSprint Backlog'!$F53="", "", AND('ProductSprint Backlog'!$J53&gt;O$2,'ProductSprint Backlog'!$I53&lt;=O$2), 'ProductSprint Backlog'!$F53 / MAX(1, 'ProductSprint Backlog'!$J53-'ProductSprint Backlog'!$I53), AND('ProductSprint Backlog'!$J53=O$2,'ProductSprint Backlog'!$I53=O$2), 'ProductSprint Backlog'!$F53, TRUE, 0)</f>
        <v/>
      </c>
      <c r="P53" s="4" t="str" cm="1">
        <f t="array" ref="P53">_xlfn.IFS('ProductSprint Backlog'!$F53="", "", AND('ProductSprint Backlog'!$J53&gt;P$2,'ProductSprint Backlog'!$I53&lt;=P$2), 'ProductSprint Backlog'!$F53 / MAX(1, 'ProductSprint Backlog'!$J53-'ProductSprint Backlog'!$I53), AND('ProductSprint Backlog'!$J53=P$2,'ProductSprint Backlog'!$I53=P$2), 'ProductSprint Backlog'!$F53, TRUE, 0)</f>
        <v/>
      </c>
      <c r="Q53" s="4" t="str" cm="1">
        <f t="array" ref="Q53">_xlfn.IFS('ProductSprint Backlog'!$F53="", "", AND('ProductSprint Backlog'!$J53&gt;Q$2,'ProductSprint Backlog'!$I53&lt;=Q$2), 'ProductSprint Backlog'!$F53 / MAX(1, 'ProductSprint Backlog'!$J53-'ProductSprint Backlog'!$I53), AND('ProductSprint Backlog'!$J53=Q$2,'ProductSprint Backlog'!$I53=Q$2), 'ProductSprint Backlog'!$F53, TRUE, 0)</f>
        <v/>
      </c>
    </row>
    <row r="54" spans="2:17" x14ac:dyDescent="0.2">
      <c r="B54" s="4" cm="1">
        <f t="array" ref="B54">_xlfn.IFS('ProductSprint Backlog'!$F54="", "", AND('ProductSprint Backlog'!$J54&gt;B$2,'ProductSprint Backlog'!$I54&lt;=B$2), 'ProductSprint Backlog'!$F54 / MAX(1, 'ProductSprint Backlog'!$J54-'ProductSprint Backlog'!$I54), AND('ProductSprint Backlog'!$J54=B$2,'ProductSprint Backlog'!$I54=B$2), 'ProductSprint Backlog'!$F54, TRUE, 0)</f>
        <v>0</v>
      </c>
      <c r="C54" s="4" cm="1">
        <f t="array" ref="C54">_xlfn.IFS('ProductSprint Backlog'!$F54="", "", AND('ProductSprint Backlog'!$J54&gt;C$2,'ProductSprint Backlog'!$I54&lt;=C$2), 'ProductSprint Backlog'!$F54 / MAX(1, 'ProductSprint Backlog'!$J54-'ProductSprint Backlog'!$I54), AND('ProductSprint Backlog'!$J54=C$2,'ProductSprint Backlog'!$I54=C$2), 'ProductSprint Backlog'!$F54, TRUE, 0)</f>
        <v>0</v>
      </c>
      <c r="D54" s="4" cm="1">
        <f t="array" ref="D54">_xlfn.IFS('ProductSprint Backlog'!$F54="", "", AND('ProductSprint Backlog'!$J54&gt;D$2,'ProductSprint Backlog'!$I54&lt;=D$2), 'ProductSprint Backlog'!$F54 / MAX(1, 'ProductSprint Backlog'!$J54-'ProductSprint Backlog'!$I54), AND('ProductSprint Backlog'!$J54=D$2,'ProductSprint Backlog'!$I54=D$2), 'ProductSprint Backlog'!$F54, TRUE, 0)</f>
        <v>0</v>
      </c>
      <c r="E54" s="4" cm="1">
        <f t="array" ref="E54">_xlfn.IFS('ProductSprint Backlog'!$F54="", "", AND('ProductSprint Backlog'!$J54&gt;E$2,'ProductSprint Backlog'!$I54&lt;=E$2), 'ProductSprint Backlog'!$F54 / MAX(1, 'ProductSprint Backlog'!$J54-'ProductSprint Backlog'!$I54), AND('ProductSprint Backlog'!$J54=E$2,'ProductSprint Backlog'!$I54=E$2), 'ProductSprint Backlog'!$F54, TRUE, 0)</f>
        <v>0</v>
      </c>
      <c r="F54" s="4" cm="1">
        <f t="array" ref="F54">_xlfn.IFS('ProductSprint Backlog'!$F54="", "", AND('ProductSprint Backlog'!$J54&gt;F$2,'ProductSprint Backlog'!$I54&lt;=F$2), 'ProductSprint Backlog'!$F54 / MAX(1, 'ProductSprint Backlog'!$J54-'ProductSprint Backlog'!$I54), AND('ProductSprint Backlog'!$J54=F$2,'ProductSprint Backlog'!$I54=F$2), 'ProductSprint Backlog'!$F54, TRUE, 0)</f>
        <v>0</v>
      </c>
      <c r="G54" s="4" cm="1">
        <f t="array" ref="G54">_xlfn.IFS('ProductSprint Backlog'!$F54="", "", AND('ProductSprint Backlog'!$J54&gt;G$2,'ProductSprint Backlog'!$I54&lt;=G$2), 'ProductSprint Backlog'!$F54 / MAX(1, 'ProductSprint Backlog'!$J54-'ProductSprint Backlog'!$I54), AND('ProductSprint Backlog'!$J54=G$2,'ProductSprint Backlog'!$I54=G$2), 'ProductSprint Backlog'!$F54, TRUE, 0)</f>
        <v>0</v>
      </c>
      <c r="H54" s="4" cm="1">
        <f t="array" ref="H54">_xlfn.IFS('ProductSprint Backlog'!$F54="", "", AND('ProductSprint Backlog'!$J54&gt;H$2,'ProductSprint Backlog'!$I54&lt;=H$2), 'ProductSprint Backlog'!$F54 / MAX(1, 'ProductSprint Backlog'!$J54-'ProductSprint Backlog'!$I54), AND('ProductSprint Backlog'!$J54=H$2,'ProductSprint Backlog'!$I54=H$2), 'ProductSprint Backlog'!$F54, TRUE, 0)</f>
        <v>0</v>
      </c>
      <c r="I54" s="4" cm="1">
        <f t="array" ref="I54">_xlfn.IFS('ProductSprint Backlog'!$F54="", "", AND('ProductSprint Backlog'!$J54&gt;I$2,'ProductSprint Backlog'!$I54&lt;=I$2), 'ProductSprint Backlog'!$F54 / MAX(1, 'ProductSprint Backlog'!$J54-'ProductSprint Backlog'!$I54), AND('ProductSprint Backlog'!$J54=I$2,'ProductSprint Backlog'!$I54=I$2), 'ProductSprint Backlog'!$F54, TRUE, 0)</f>
        <v>0</v>
      </c>
      <c r="J54" s="4" cm="1">
        <f t="array" ref="J54">_xlfn.IFS('ProductSprint Backlog'!$F54="", "", AND('ProductSprint Backlog'!$J54&gt;J$2,'ProductSprint Backlog'!$I54&lt;=J$2), 'ProductSprint Backlog'!$F54 / MAX(1, 'ProductSprint Backlog'!$J54-'ProductSprint Backlog'!$I54), AND('ProductSprint Backlog'!$J54=J$2,'ProductSprint Backlog'!$I54=J$2), 'ProductSprint Backlog'!$F54, TRUE, 0)</f>
        <v>0</v>
      </c>
      <c r="K54" s="4" cm="1">
        <f t="array" ref="K54">_xlfn.IFS('ProductSprint Backlog'!$F54="", "", AND('ProductSprint Backlog'!$J54&gt;K$2,'ProductSprint Backlog'!$I54&lt;=K$2), 'ProductSprint Backlog'!$F54 / MAX(1, 'ProductSprint Backlog'!$J54-'ProductSprint Backlog'!$I54), AND('ProductSprint Backlog'!$J54=K$2,'ProductSprint Backlog'!$I54=K$2), 'ProductSprint Backlog'!$F54, TRUE, 0)</f>
        <v>0</v>
      </c>
      <c r="L54" s="4" cm="1">
        <f t="array" ref="L54">_xlfn.IFS('ProductSprint Backlog'!$F54="", "", AND('ProductSprint Backlog'!$J54&gt;L$2,'ProductSprint Backlog'!$I54&lt;=L$2), 'ProductSprint Backlog'!$F54 / MAX(1, 'ProductSprint Backlog'!$J54-'ProductSprint Backlog'!$I54), AND('ProductSprint Backlog'!$J54=L$2,'ProductSprint Backlog'!$I54=L$2), 'ProductSprint Backlog'!$F54, TRUE, 0)</f>
        <v>0</v>
      </c>
      <c r="M54" s="4" cm="1">
        <f t="array" ref="M54">_xlfn.IFS('ProductSprint Backlog'!$F54="", "", AND('ProductSprint Backlog'!$J54&gt;M$2,'ProductSprint Backlog'!$I54&lt;=M$2), 'ProductSprint Backlog'!$F54 / MAX(1, 'ProductSprint Backlog'!$J54-'ProductSprint Backlog'!$I54), AND('ProductSprint Backlog'!$J54=M$2,'ProductSprint Backlog'!$I54=M$2), 'ProductSprint Backlog'!$F54, TRUE, 0)</f>
        <v>0</v>
      </c>
      <c r="N54" s="4" cm="1">
        <f t="array" ref="N54">_xlfn.IFS('ProductSprint Backlog'!$F54="", "", AND('ProductSprint Backlog'!$J54&gt;N$2,'ProductSprint Backlog'!$I54&lt;=N$2), 'ProductSprint Backlog'!$F54 / MAX(1, 'ProductSprint Backlog'!$J54-'ProductSprint Backlog'!$I54), AND('ProductSprint Backlog'!$J54=N$2,'ProductSprint Backlog'!$I54=N$2), 'ProductSprint Backlog'!$F54, TRUE, 0)</f>
        <v>0</v>
      </c>
      <c r="O54" s="4" cm="1">
        <f t="array" ref="O54">_xlfn.IFS('ProductSprint Backlog'!$F54="", "", AND('ProductSprint Backlog'!$J54&gt;O$2,'ProductSprint Backlog'!$I54&lt;=O$2), 'ProductSprint Backlog'!$F54 / MAX(1, 'ProductSprint Backlog'!$J54-'ProductSprint Backlog'!$I54), AND('ProductSprint Backlog'!$J54=O$2,'ProductSprint Backlog'!$I54=O$2), 'ProductSprint Backlog'!$F54, TRUE, 0)</f>
        <v>0</v>
      </c>
      <c r="P54" s="4" cm="1">
        <f t="array" ref="P54">_xlfn.IFS('ProductSprint Backlog'!$F54="", "", AND('ProductSprint Backlog'!$J54&gt;P$2,'ProductSprint Backlog'!$I54&lt;=P$2), 'ProductSprint Backlog'!$F54 / MAX(1, 'ProductSprint Backlog'!$J54-'ProductSprint Backlog'!$I54), AND('ProductSprint Backlog'!$J54=P$2,'ProductSprint Backlog'!$I54=P$2), 'ProductSprint Backlog'!$F54, TRUE, 0)</f>
        <v>0</v>
      </c>
      <c r="Q54" s="4" cm="1">
        <f t="array" ref="Q54">_xlfn.IFS('ProductSprint Backlog'!$F54="", "", AND('ProductSprint Backlog'!$J54&gt;Q$2,'ProductSprint Backlog'!$I54&lt;=Q$2), 'ProductSprint Backlog'!$F54 / MAX(1, 'ProductSprint Backlog'!$J54-'ProductSprint Backlog'!$I54), AND('ProductSprint Backlog'!$J54=Q$2,'ProductSprint Backlog'!$I54=Q$2), 'ProductSprint Backlog'!$F54, TRUE, 0)</f>
        <v>0</v>
      </c>
    </row>
    <row r="55" spans="2:17" x14ac:dyDescent="0.2">
      <c r="B55" s="4" cm="1">
        <f t="array" ref="B55">_xlfn.IFS('ProductSprint Backlog'!$F55="", "", AND('ProductSprint Backlog'!$J55&gt;B$2,'ProductSprint Backlog'!$I55&lt;=B$2), 'ProductSprint Backlog'!$F55 / MAX(1, 'ProductSprint Backlog'!$J55-'ProductSprint Backlog'!$I55), AND('ProductSprint Backlog'!$J55=B$2,'ProductSprint Backlog'!$I55=B$2), 'ProductSprint Backlog'!$F55, TRUE, 0)</f>
        <v>0</v>
      </c>
      <c r="C55" s="4" cm="1">
        <f t="array" ref="C55">_xlfn.IFS('ProductSprint Backlog'!$F55="", "", AND('ProductSprint Backlog'!$J55&gt;C$2,'ProductSprint Backlog'!$I55&lt;=C$2), 'ProductSprint Backlog'!$F55 / MAX(1, 'ProductSprint Backlog'!$J55-'ProductSprint Backlog'!$I55), AND('ProductSprint Backlog'!$J55=C$2,'ProductSprint Backlog'!$I55=C$2), 'ProductSprint Backlog'!$F55, TRUE, 0)</f>
        <v>0</v>
      </c>
      <c r="D55" s="4" cm="1">
        <f t="array" ref="D55">_xlfn.IFS('ProductSprint Backlog'!$F55="", "", AND('ProductSprint Backlog'!$J55&gt;D$2,'ProductSprint Backlog'!$I55&lt;=D$2), 'ProductSprint Backlog'!$F55 / MAX(1, 'ProductSprint Backlog'!$J55-'ProductSprint Backlog'!$I55), AND('ProductSprint Backlog'!$J55=D$2,'ProductSprint Backlog'!$I55=D$2), 'ProductSprint Backlog'!$F55, TRUE, 0)</f>
        <v>0</v>
      </c>
      <c r="E55" s="4" cm="1">
        <f t="array" ref="E55">_xlfn.IFS('ProductSprint Backlog'!$F55="", "", AND('ProductSprint Backlog'!$J55&gt;E$2,'ProductSprint Backlog'!$I55&lt;=E$2), 'ProductSprint Backlog'!$F55 / MAX(1, 'ProductSprint Backlog'!$J55-'ProductSprint Backlog'!$I55), AND('ProductSprint Backlog'!$J55=E$2,'ProductSprint Backlog'!$I55=E$2), 'ProductSprint Backlog'!$F55, TRUE, 0)</f>
        <v>0</v>
      </c>
      <c r="F55" s="4" cm="1">
        <f t="array" ref="F55">_xlfn.IFS('ProductSprint Backlog'!$F55="", "", AND('ProductSprint Backlog'!$J55&gt;F$2,'ProductSprint Backlog'!$I55&lt;=F$2), 'ProductSprint Backlog'!$F55 / MAX(1, 'ProductSprint Backlog'!$J55-'ProductSprint Backlog'!$I55), AND('ProductSprint Backlog'!$J55=F$2,'ProductSprint Backlog'!$I55=F$2), 'ProductSprint Backlog'!$F55, TRUE, 0)</f>
        <v>0</v>
      </c>
      <c r="G55" s="4" cm="1">
        <f t="array" ref="G55">_xlfn.IFS('ProductSprint Backlog'!$F55="", "", AND('ProductSprint Backlog'!$J55&gt;G$2,'ProductSprint Backlog'!$I55&lt;=G$2), 'ProductSprint Backlog'!$F55 / MAX(1, 'ProductSprint Backlog'!$J55-'ProductSprint Backlog'!$I55), AND('ProductSprint Backlog'!$J55=G$2,'ProductSprint Backlog'!$I55=G$2), 'ProductSprint Backlog'!$F55, TRUE, 0)</f>
        <v>0</v>
      </c>
      <c r="H55" s="4" cm="1">
        <f t="array" ref="H55">_xlfn.IFS('ProductSprint Backlog'!$F55="", "", AND('ProductSprint Backlog'!$J55&gt;H$2,'ProductSprint Backlog'!$I55&lt;=H$2), 'ProductSprint Backlog'!$F55 / MAX(1, 'ProductSprint Backlog'!$J55-'ProductSprint Backlog'!$I55), AND('ProductSprint Backlog'!$J55=H$2,'ProductSprint Backlog'!$I55=H$2), 'ProductSprint Backlog'!$F55, TRUE, 0)</f>
        <v>0</v>
      </c>
      <c r="I55" s="4" cm="1">
        <f t="array" ref="I55">_xlfn.IFS('ProductSprint Backlog'!$F55="", "", AND('ProductSprint Backlog'!$J55&gt;I$2,'ProductSprint Backlog'!$I55&lt;=I$2), 'ProductSprint Backlog'!$F55 / MAX(1, 'ProductSprint Backlog'!$J55-'ProductSprint Backlog'!$I55), AND('ProductSprint Backlog'!$J55=I$2,'ProductSprint Backlog'!$I55=I$2), 'ProductSprint Backlog'!$F55, TRUE, 0)</f>
        <v>0</v>
      </c>
      <c r="J55" s="4" cm="1">
        <f t="array" ref="J55">_xlfn.IFS('ProductSprint Backlog'!$F55="", "", AND('ProductSprint Backlog'!$J55&gt;J$2,'ProductSprint Backlog'!$I55&lt;=J$2), 'ProductSprint Backlog'!$F55 / MAX(1, 'ProductSprint Backlog'!$J55-'ProductSprint Backlog'!$I55), AND('ProductSprint Backlog'!$J55=J$2,'ProductSprint Backlog'!$I55=J$2), 'ProductSprint Backlog'!$F55, TRUE, 0)</f>
        <v>0</v>
      </c>
      <c r="K55" s="4" cm="1">
        <f t="array" ref="K55">_xlfn.IFS('ProductSprint Backlog'!$F55="", "", AND('ProductSprint Backlog'!$J55&gt;K$2,'ProductSprint Backlog'!$I55&lt;=K$2), 'ProductSprint Backlog'!$F55 / MAX(1, 'ProductSprint Backlog'!$J55-'ProductSprint Backlog'!$I55), AND('ProductSprint Backlog'!$J55=K$2,'ProductSprint Backlog'!$I55=K$2), 'ProductSprint Backlog'!$F55, TRUE, 0)</f>
        <v>0</v>
      </c>
      <c r="L55" s="4" cm="1">
        <f t="array" ref="L55">_xlfn.IFS('ProductSprint Backlog'!$F55="", "", AND('ProductSprint Backlog'!$J55&gt;L$2,'ProductSprint Backlog'!$I55&lt;=L$2), 'ProductSprint Backlog'!$F55 / MAX(1, 'ProductSprint Backlog'!$J55-'ProductSprint Backlog'!$I55), AND('ProductSprint Backlog'!$J55=L$2,'ProductSprint Backlog'!$I55=L$2), 'ProductSprint Backlog'!$F55, TRUE, 0)</f>
        <v>0</v>
      </c>
      <c r="M55" s="4" cm="1">
        <f t="array" ref="M55">_xlfn.IFS('ProductSprint Backlog'!$F55="", "", AND('ProductSprint Backlog'!$J55&gt;M$2,'ProductSprint Backlog'!$I55&lt;=M$2), 'ProductSprint Backlog'!$F55 / MAX(1, 'ProductSprint Backlog'!$J55-'ProductSprint Backlog'!$I55), AND('ProductSprint Backlog'!$J55=M$2,'ProductSprint Backlog'!$I55=M$2), 'ProductSprint Backlog'!$F55, TRUE, 0)</f>
        <v>0</v>
      </c>
      <c r="N55" s="4" cm="1">
        <f t="array" ref="N55">_xlfn.IFS('ProductSprint Backlog'!$F55="", "", AND('ProductSprint Backlog'!$J55&gt;N$2,'ProductSprint Backlog'!$I55&lt;=N$2), 'ProductSprint Backlog'!$F55 / MAX(1, 'ProductSprint Backlog'!$J55-'ProductSprint Backlog'!$I55), AND('ProductSprint Backlog'!$J55=N$2,'ProductSprint Backlog'!$I55=N$2), 'ProductSprint Backlog'!$F55, TRUE, 0)</f>
        <v>0</v>
      </c>
      <c r="O55" s="4" cm="1">
        <f t="array" ref="O55">_xlfn.IFS('ProductSprint Backlog'!$F55="", "", AND('ProductSprint Backlog'!$J55&gt;O$2,'ProductSprint Backlog'!$I55&lt;=O$2), 'ProductSprint Backlog'!$F55 / MAX(1, 'ProductSprint Backlog'!$J55-'ProductSprint Backlog'!$I55), AND('ProductSprint Backlog'!$J55=O$2,'ProductSprint Backlog'!$I55=O$2), 'ProductSprint Backlog'!$F55, TRUE, 0)</f>
        <v>0</v>
      </c>
      <c r="P55" s="4" cm="1">
        <f t="array" ref="P55">_xlfn.IFS('ProductSprint Backlog'!$F55="", "", AND('ProductSprint Backlog'!$J55&gt;P$2,'ProductSprint Backlog'!$I55&lt;=P$2), 'ProductSprint Backlog'!$F55 / MAX(1, 'ProductSprint Backlog'!$J55-'ProductSprint Backlog'!$I55), AND('ProductSprint Backlog'!$J55=P$2,'ProductSprint Backlog'!$I55=P$2), 'ProductSprint Backlog'!$F55, TRUE, 0)</f>
        <v>0</v>
      </c>
      <c r="Q55" s="4" cm="1">
        <f t="array" ref="Q55">_xlfn.IFS('ProductSprint Backlog'!$F55="", "", AND('ProductSprint Backlog'!$J55&gt;Q$2,'ProductSprint Backlog'!$I55&lt;=Q$2), 'ProductSprint Backlog'!$F55 / MAX(1, 'ProductSprint Backlog'!$J55-'ProductSprint Backlog'!$I55), AND('ProductSprint Backlog'!$J55=Q$2,'ProductSprint Backlog'!$I55=Q$2), 'ProductSprint Backlog'!$F55, TRUE, 0)</f>
        <v>0</v>
      </c>
    </row>
    <row r="56" spans="2:17" x14ac:dyDescent="0.2">
      <c r="B56" s="4" cm="1">
        <f t="array" ref="B56">_xlfn.IFS('ProductSprint Backlog'!$F56="", "", AND('ProductSprint Backlog'!$J56&gt;B$2,'ProductSprint Backlog'!$I56&lt;=B$2), 'ProductSprint Backlog'!$F56 / MAX(1, 'ProductSprint Backlog'!$J56-'ProductSprint Backlog'!$I56), AND('ProductSprint Backlog'!$J56=B$2,'ProductSprint Backlog'!$I56=B$2), 'ProductSprint Backlog'!$F56, TRUE, 0)</f>
        <v>0</v>
      </c>
      <c r="C56" s="4" cm="1">
        <f t="array" ref="C56">_xlfn.IFS('ProductSprint Backlog'!$F56="", "", AND('ProductSprint Backlog'!$J56&gt;C$2,'ProductSprint Backlog'!$I56&lt;=C$2), 'ProductSprint Backlog'!$F56 / MAX(1, 'ProductSprint Backlog'!$J56-'ProductSprint Backlog'!$I56), AND('ProductSprint Backlog'!$J56=C$2,'ProductSprint Backlog'!$I56=C$2), 'ProductSprint Backlog'!$F56, TRUE, 0)</f>
        <v>0</v>
      </c>
      <c r="D56" s="4" cm="1">
        <f t="array" ref="D56">_xlfn.IFS('ProductSprint Backlog'!$F56="", "", AND('ProductSprint Backlog'!$J56&gt;D$2,'ProductSprint Backlog'!$I56&lt;=D$2), 'ProductSprint Backlog'!$F56 / MAX(1, 'ProductSprint Backlog'!$J56-'ProductSprint Backlog'!$I56), AND('ProductSprint Backlog'!$J56=D$2,'ProductSprint Backlog'!$I56=D$2), 'ProductSprint Backlog'!$F56, TRUE, 0)</f>
        <v>0</v>
      </c>
      <c r="E56" s="4" cm="1">
        <f t="array" ref="E56">_xlfn.IFS('ProductSprint Backlog'!$F56="", "", AND('ProductSprint Backlog'!$J56&gt;E$2,'ProductSprint Backlog'!$I56&lt;=E$2), 'ProductSprint Backlog'!$F56 / MAX(1, 'ProductSprint Backlog'!$J56-'ProductSprint Backlog'!$I56), AND('ProductSprint Backlog'!$J56=E$2,'ProductSprint Backlog'!$I56=E$2), 'ProductSprint Backlog'!$F56, TRUE, 0)</f>
        <v>0</v>
      </c>
      <c r="F56" s="4" cm="1">
        <f t="array" ref="F56">_xlfn.IFS('ProductSprint Backlog'!$F56="", "", AND('ProductSprint Backlog'!$J56&gt;F$2,'ProductSprint Backlog'!$I56&lt;=F$2), 'ProductSprint Backlog'!$F56 / MAX(1, 'ProductSprint Backlog'!$J56-'ProductSprint Backlog'!$I56), AND('ProductSprint Backlog'!$J56=F$2,'ProductSprint Backlog'!$I56=F$2), 'ProductSprint Backlog'!$F56, TRUE, 0)</f>
        <v>0</v>
      </c>
      <c r="G56" s="4" cm="1">
        <f t="array" ref="G56">_xlfn.IFS('ProductSprint Backlog'!$F56="", "", AND('ProductSprint Backlog'!$J56&gt;G$2,'ProductSprint Backlog'!$I56&lt;=G$2), 'ProductSprint Backlog'!$F56 / MAX(1, 'ProductSprint Backlog'!$J56-'ProductSprint Backlog'!$I56), AND('ProductSprint Backlog'!$J56=G$2,'ProductSprint Backlog'!$I56=G$2), 'ProductSprint Backlog'!$F56, TRUE, 0)</f>
        <v>0</v>
      </c>
      <c r="H56" s="4" cm="1">
        <f t="array" ref="H56">_xlfn.IFS('ProductSprint Backlog'!$F56="", "", AND('ProductSprint Backlog'!$J56&gt;H$2,'ProductSprint Backlog'!$I56&lt;=H$2), 'ProductSprint Backlog'!$F56 / MAX(1, 'ProductSprint Backlog'!$J56-'ProductSprint Backlog'!$I56), AND('ProductSprint Backlog'!$J56=H$2,'ProductSprint Backlog'!$I56=H$2), 'ProductSprint Backlog'!$F56, TRUE, 0)</f>
        <v>0</v>
      </c>
      <c r="I56" s="4" cm="1">
        <f t="array" ref="I56">_xlfn.IFS('ProductSprint Backlog'!$F56="", "", AND('ProductSprint Backlog'!$J56&gt;I$2,'ProductSprint Backlog'!$I56&lt;=I$2), 'ProductSprint Backlog'!$F56 / MAX(1, 'ProductSprint Backlog'!$J56-'ProductSprint Backlog'!$I56), AND('ProductSprint Backlog'!$J56=I$2,'ProductSprint Backlog'!$I56=I$2), 'ProductSprint Backlog'!$F56, TRUE, 0)</f>
        <v>0</v>
      </c>
      <c r="J56" s="4" cm="1">
        <f t="array" ref="J56">_xlfn.IFS('ProductSprint Backlog'!$F56="", "", AND('ProductSprint Backlog'!$J56&gt;J$2,'ProductSprint Backlog'!$I56&lt;=J$2), 'ProductSprint Backlog'!$F56 / MAX(1, 'ProductSprint Backlog'!$J56-'ProductSprint Backlog'!$I56), AND('ProductSprint Backlog'!$J56=J$2,'ProductSprint Backlog'!$I56=J$2), 'ProductSprint Backlog'!$F56, TRUE, 0)</f>
        <v>0</v>
      </c>
      <c r="K56" s="4" cm="1">
        <f t="array" ref="K56">_xlfn.IFS('ProductSprint Backlog'!$F56="", "", AND('ProductSprint Backlog'!$J56&gt;K$2,'ProductSprint Backlog'!$I56&lt;=K$2), 'ProductSprint Backlog'!$F56 / MAX(1, 'ProductSprint Backlog'!$J56-'ProductSprint Backlog'!$I56), AND('ProductSprint Backlog'!$J56=K$2,'ProductSprint Backlog'!$I56=K$2), 'ProductSprint Backlog'!$F56, TRUE, 0)</f>
        <v>0</v>
      </c>
      <c r="L56" s="4" cm="1">
        <f t="array" ref="L56">_xlfn.IFS('ProductSprint Backlog'!$F56="", "", AND('ProductSprint Backlog'!$J56&gt;L$2,'ProductSprint Backlog'!$I56&lt;=L$2), 'ProductSprint Backlog'!$F56 / MAX(1, 'ProductSprint Backlog'!$J56-'ProductSprint Backlog'!$I56), AND('ProductSprint Backlog'!$J56=L$2,'ProductSprint Backlog'!$I56=L$2), 'ProductSprint Backlog'!$F56, TRUE, 0)</f>
        <v>0</v>
      </c>
      <c r="M56" s="4" cm="1">
        <f t="array" ref="M56">_xlfn.IFS('ProductSprint Backlog'!$F56="", "", AND('ProductSprint Backlog'!$J56&gt;M$2,'ProductSprint Backlog'!$I56&lt;=M$2), 'ProductSprint Backlog'!$F56 / MAX(1, 'ProductSprint Backlog'!$J56-'ProductSprint Backlog'!$I56), AND('ProductSprint Backlog'!$J56=M$2,'ProductSprint Backlog'!$I56=M$2), 'ProductSprint Backlog'!$F56, TRUE, 0)</f>
        <v>0</v>
      </c>
      <c r="N56" s="4" cm="1">
        <f t="array" ref="N56">_xlfn.IFS('ProductSprint Backlog'!$F56="", "", AND('ProductSprint Backlog'!$J56&gt;N$2,'ProductSprint Backlog'!$I56&lt;=N$2), 'ProductSprint Backlog'!$F56 / MAX(1, 'ProductSprint Backlog'!$J56-'ProductSprint Backlog'!$I56), AND('ProductSprint Backlog'!$J56=N$2,'ProductSprint Backlog'!$I56=N$2), 'ProductSprint Backlog'!$F56, TRUE, 0)</f>
        <v>0</v>
      </c>
      <c r="O56" s="4" cm="1">
        <f t="array" ref="O56">_xlfn.IFS('ProductSprint Backlog'!$F56="", "", AND('ProductSprint Backlog'!$J56&gt;O$2,'ProductSprint Backlog'!$I56&lt;=O$2), 'ProductSprint Backlog'!$F56 / MAX(1, 'ProductSprint Backlog'!$J56-'ProductSprint Backlog'!$I56), AND('ProductSprint Backlog'!$J56=O$2,'ProductSprint Backlog'!$I56=O$2), 'ProductSprint Backlog'!$F56, TRUE, 0)</f>
        <v>0</v>
      </c>
      <c r="P56" s="4" cm="1">
        <f t="array" ref="P56">_xlfn.IFS('ProductSprint Backlog'!$F56="", "", AND('ProductSprint Backlog'!$J56&gt;P$2,'ProductSprint Backlog'!$I56&lt;=P$2), 'ProductSprint Backlog'!$F56 / MAX(1, 'ProductSprint Backlog'!$J56-'ProductSprint Backlog'!$I56), AND('ProductSprint Backlog'!$J56=P$2,'ProductSprint Backlog'!$I56=P$2), 'ProductSprint Backlog'!$F56, TRUE, 0)</f>
        <v>0</v>
      </c>
      <c r="Q56" s="4" cm="1">
        <f t="array" ref="Q56">_xlfn.IFS('ProductSprint Backlog'!$F56="", "", AND('ProductSprint Backlog'!$J56&gt;Q$2,'ProductSprint Backlog'!$I56&lt;=Q$2), 'ProductSprint Backlog'!$F56 / MAX(1, 'ProductSprint Backlog'!$J56-'ProductSprint Backlog'!$I56), AND('ProductSprint Backlog'!$J56=Q$2,'ProductSprint Backlog'!$I56=Q$2), 'ProductSprint Backlog'!$F56, TRUE, 0)</f>
        <v>0</v>
      </c>
    </row>
    <row r="57" spans="2:17" x14ac:dyDescent="0.2">
      <c r="B57" s="4" cm="1">
        <f t="array" ref="B57">_xlfn.IFS('ProductSprint Backlog'!$F57="", "", AND('ProductSprint Backlog'!$J57&gt;B$2,'ProductSprint Backlog'!$I57&lt;=B$2), 'ProductSprint Backlog'!$F57 / MAX(1, 'ProductSprint Backlog'!$J57-'ProductSprint Backlog'!$I57), AND('ProductSprint Backlog'!$J57=B$2,'ProductSprint Backlog'!$I57=B$2), 'ProductSprint Backlog'!$F57, TRUE, 0)</f>
        <v>0</v>
      </c>
      <c r="C57" s="4" cm="1">
        <f t="array" ref="C57">_xlfn.IFS('ProductSprint Backlog'!$F57="", "", AND('ProductSprint Backlog'!$J57&gt;C$2,'ProductSprint Backlog'!$I57&lt;=C$2), 'ProductSprint Backlog'!$F57 / MAX(1, 'ProductSprint Backlog'!$J57-'ProductSprint Backlog'!$I57), AND('ProductSprint Backlog'!$J57=C$2,'ProductSprint Backlog'!$I57=C$2), 'ProductSprint Backlog'!$F57, TRUE, 0)</f>
        <v>0</v>
      </c>
      <c r="D57" s="4" cm="1">
        <f t="array" ref="D57">_xlfn.IFS('ProductSprint Backlog'!$F57="", "", AND('ProductSprint Backlog'!$J57&gt;D$2,'ProductSprint Backlog'!$I57&lt;=D$2), 'ProductSprint Backlog'!$F57 / MAX(1, 'ProductSprint Backlog'!$J57-'ProductSprint Backlog'!$I57), AND('ProductSprint Backlog'!$J57=D$2,'ProductSprint Backlog'!$I57=D$2), 'ProductSprint Backlog'!$F57, TRUE, 0)</f>
        <v>0</v>
      </c>
      <c r="E57" s="4" cm="1">
        <f t="array" ref="E57">_xlfn.IFS('ProductSprint Backlog'!$F57="", "", AND('ProductSprint Backlog'!$J57&gt;E$2,'ProductSprint Backlog'!$I57&lt;=E$2), 'ProductSprint Backlog'!$F57 / MAX(1, 'ProductSprint Backlog'!$J57-'ProductSprint Backlog'!$I57), AND('ProductSprint Backlog'!$J57=E$2,'ProductSprint Backlog'!$I57=E$2), 'ProductSprint Backlog'!$F57, TRUE, 0)</f>
        <v>0</v>
      </c>
      <c r="F57" s="4" cm="1">
        <f t="array" ref="F57">_xlfn.IFS('ProductSprint Backlog'!$F57="", "", AND('ProductSprint Backlog'!$J57&gt;F$2,'ProductSprint Backlog'!$I57&lt;=F$2), 'ProductSprint Backlog'!$F57 / MAX(1, 'ProductSprint Backlog'!$J57-'ProductSprint Backlog'!$I57), AND('ProductSprint Backlog'!$J57=F$2,'ProductSprint Backlog'!$I57=F$2), 'ProductSprint Backlog'!$F57, TRUE, 0)</f>
        <v>0</v>
      </c>
      <c r="G57" s="4" cm="1">
        <f t="array" ref="G57">_xlfn.IFS('ProductSprint Backlog'!$F57="", "", AND('ProductSprint Backlog'!$J57&gt;G$2,'ProductSprint Backlog'!$I57&lt;=G$2), 'ProductSprint Backlog'!$F57 / MAX(1, 'ProductSprint Backlog'!$J57-'ProductSprint Backlog'!$I57), AND('ProductSprint Backlog'!$J57=G$2,'ProductSprint Backlog'!$I57=G$2), 'ProductSprint Backlog'!$F57, TRUE, 0)</f>
        <v>0</v>
      </c>
      <c r="H57" s="4" cm="1">
        <f t="array" ref="H57">_xlfn.IFS('ProductSprint Backlog'!$F57="", "", AND('ProductSprint Backlog'!$J57&gt;H$2,'ProductSprint Backlog'!$I57&lt;=H$2), 'ProductSprint Backlog'!$F57 / MAX(1, 'ProductSprint Backlog'!$J57-'ProductSprint Backlog'!$I57), AND('ProductSprint Backlog'!$J57=H$2,'ProductSprint Backlog'!$I57=H$2), 'ProductSprint Backlog'!$F57, TRUE, 0)</f>
        <v>0</v>
      </c>
      <c r="I57" s="4" cm="1">
        <f t="array" ref="I57">_xlfn.IFS('ProductSprint Backlog'!$F57="", "", AND('ProductSprint Backlog'!$J57&gt;I$2,'ProductSprint Backlog'!$I57&lt;=I$2), 'ProductSprint Backlog'!$F57 / MAX(1, 'ProductSprint Backlog'!$J57-'ProductSprint Backlog'!$I57), AND('ProductSprint Backlog'!$J57=I$2,'ProductSprint Backlog'!$I57=I$2), 'ProductSprint Backlog'!$F57, TRUE, 0)</f>
        <v>0</v>
      </c>
      <c r="J57" s="4" cm="1">
        <f t="array" ref="J57">_xlfn.IFS('ProductSprint Backlog'!$F57="", "", AND('ProductSprint Backlog'!$J57&gt;J$2,'ProductSprint Backlog'!$I57&lt;=J$2), 'ProductSprint Backlog'!$F57 / MAX(1, 'ProductSprint Backlog'!$J57-'ProductSprint Backlog'!$I57), AND('ProductSprint Backlog'!$J57=J$2,'ProductSprint Backlog'!$I57=J$2), 'ProductSprint Backlog'!$F57, TRUE, 0)</f>
        <v>0</v>
      </c>
      <c r="K57" s="4" cm="1">
        <f t="array" ref="K57">_xlfn.IFS('ProductSprint Backlog'!$F57="", "", AND('ProductSprint Backlog'!$J57&gt;K$2,'ProductSprint Backlog'!$I57&lt;=K$2), 'ProductSprint Backlog'!$F57 / MAX(1, 'ProductSprint Backlog'!$J57-'ProductSprint Backlog'!$I57), AND('ProductSprint Backlog'!$J57=K$2,'ProductSprint Backlog'!$I57=K$2), 'ProductSprint Backlog'!$F57, TRUE, 0)</f>
        <v>0</v>
      </c>
      <c r="L57" s="4" cm="1">
        <f t="array" ref="L57">_xlfn.IFS('ProductSprint Backlog'!$F57="", "", AND('ProductSprint Backlog'!$J57&gt;L$2,'ProductSprint Backlog'!$I57&lt;=L$2), 'ProductSprint Backlog'!$F57 / MAX(1, 'ProductSprint Backlog'!$J57-'ProductSprint Backlog'!$I57), AND('ProductSprint Backlog'!$J57=L$2,'ProductSprint Backlog'!$I57=L$2), 'ProductSprint Backlog'!$F57, TRUE, 0)</f>
        <v>0</v>
      </c>
      <c r="M57" s="4" cm="1">
        <f t="array" ref="M57">_xlfn.IFS('ProductSprint Backlog'!$F57="", "", AND('ProductSprint Backlog'!$J57&gt;M$2,'ProductSprint Backlog'!$I57&lt;=M$2), 'ProductSprint Backlog'!$F57 / MAX(1, 'ProductSprint Backlog'!$J57-'ProductSprint Backlog'!$I57), AND('ProductSprint Backlog'!$J57=M$2,'ProductSprint Backlog'!$I57=M$2), 'ProductSprint Backlog'!$F57, TRUE, 0)</f>
        <v>0</v>
      </c>
      <c r="N57" s="4" cm="1">
        <f t="array" ref="N57">_xlfn.IFS('ProductSprint Backlog'!$F57="", "", AND('ProductSprint Backlog'!$J57&gt;N$2,'ProductSprint Backlog'!$I57&lt;=N$2), 'ProductSprint Backlog'!$F57 / MAX(1, 'ProductSprint Backlog'!$J57-'ProductSprint Backlog'!$I57), AND('ProductSprint Backlog'!$J57=N$2,'ProductSprint Backlog'!$I57=N$2), 'ProductSprint Backlog'!$F57, TRUE, 0)</f>
        <v>0</v>
      </c>
      <c r="O57" s="4" cm="1">
        <f t="array" ref="O57">_xlfn.IFS('ProductSprint Backlog'!$F57="", "", AND('ProductSprint Backlog'!$J57&gt;O$2,'ProductSprint Backlog'!$I57&lt;=O$2), 'ProductSprint Backlog'!$F57 / MAX(1, 'ProductSprint Backlog'!$J57-'ProductSprint Backlog'!$I57), AND('ProductSprint Backlog'!$J57=O$2,'ProductSprint Backlog'!$I57=O$2), 'ProductSprint Backlog'!$F57, TRUE, 0)</f>
        <v>0</v>
      </c>
      <c r="P57" s="4" cm="1">
        <f t="array" ref="P57">_xlfn.IFS('ProductSprint Backlog'!$F57="", "", AND('ProductSprint Backlog'!$J57&gt;P$2,'ProductSprint Backlog'!$I57&lt;=P$2), 'ProductSprint Backlog'!$F57 / MAX(1, 'ProductSprint Backlog'!$J57-'ProductSprint Backlog'!$I57), AND('ProductSprint Backlog'!$J57=P$2,'ProductSprint Backlog'!$I57=P$2), 'ProductSprint Backlog'!$F57, TRUE, 0)</f>
        <v>0</v>
      </c>
      <c r="Q57" s="4" cm="1">
        <f t="array" ref="Q57">_xlfn.IFS('ProductSprint Backlog'!$F57="", "", AND('ProductSprint Backlog'!$J57&gt;Q$2,'ProductSprint Backlog'!$I57&lt;=Q$2), 'ProductSprint Backlog'!$F57 / MAX(1, 'ProductSprint Backlog'!$J57-'ProductSprint Backlog'!$I57), AND('ProductSprint Backlog'!$J57=Q$2,'ProductSprint Backlog'!$I57=Q$2), 'ProductSprint Backlog'!$F57, TRUE, 0)</f>
        <v>0</v>
      </c>
    </row>
    <row r="58" spans="2:17" x14ac:dyDescent="0.2">
      <c r="B58" s="4" cm="1">
        <f t="array" ref="B58">_xlfn.IFS('ProductSprint Backlog'!$F58="", "", AND('ProductSprint Backlog'!$J58&gt;B$2,'ProductSprint Backlog'!$I58&lt;=B$2), 'ProductSprint Backlog'!$F58 / MAX(1, 'ProductSprint Backlog'!$J58-'ProductSprint Backlog'!$I58), AND('ProductSprint Backlog'!$J58=B$2,'ProductSprint Backlog'!$I58=B$2), 'ProductSprint Backlog'!$F58, TRUE, 0)</f>
        <v>0</v>
      </c>
      <c r="C58" s="4" cm="1">
        <f t="array" ref="C58">_xlfn.IFS('ProductSprint Backlog'!$F58="", "", AND('ProductSprint Backlog'!$J58&gt;C$2,'ProductSprint Backlog'!$I58&lt;=C$2), 'ProductSprint Backlog'!$F58 / MAX(1, 'ProductSprint Backlog'!$J58-'ProductSprint Backlog'!$I58), AND('ProductSprint Backlog'!$J58=C$2,'ProductSprint Backlog'!$I58=C$2), 'ProductSprint Backlog'!$F58, TRUE, 0)</f>
        <v>0</v>
      </c>
      <c r="D58" s="4" cm="1">
        <f t="array" ref="D58">_xlfn.IFS('ProductSprint Backlog'!$F58="", "", AND('ProductSprint Backlog'!$J58&gt;D$2,'ProductSprint Backlog'!$I58&lt;=D$2), 'ProductSprint Backlog'!$F58 / MAX(1, 'ProductSprint Backlog'!$J58-'ProductSprint Backlog'!$I58), AND('ProductSprint Backlog'!$J58=D$2,'ProductSprint Backlog'!$I58=D$2), 'ProductSprint Backlog'!$F58, TRUE, 0)</f>
        <v>0</v>
      </c>
      <c r="E58" s="4" cm="1">
        <f t="array" ref="E58">_xlfn.IFS('ProductSprint Backlog'!$F58="", "", AND('ProductSprint Backlog'!$J58&gt;E$2,'ProductSprint Backlog'!$I58&lt;=E$2), 'ProductSprint Backlog'!$F58 / MAX(1, 'ProductSprint Backlog'!$J58-'ProductSprint Backlog'!$I58), AND('ProductSprint Backlog'!$J58=E$2,'ProductSprint Backlog'!$I58=E$2), 'ProductSprint Backlog'!$F58, TRUE, 0)</f>
        <v>0</v>
      </c>
      <c r="F58" s="4" cm="1">
        <f t="array" ref="F58">_xlfn.IFS('ProductSprint Backlog'!$F58="", "", AND('ProductSprint Backlog'!$J58&gt;F$2,'ProductSprint Backlog'!$I58&lt;=F$2), 'ProductSprint Backlog'!$F58 / MAX(1, 'ProductSprint Backlog'!$J58-'ProductSprint Backlog'!$I58), AND('ProductSprint Backlog'!$J58=F$2,'ProductSprint Backlog'!$I58=F$2), 'ProductSprint Backlog'!$F58, TRUE, 0)</f>
        <v>0</v>
      </c>
      <c r="G58" s="4" cm="1">
        <f t="array" ref="G58">_xlfn.IFS('ProductSprint Backlog'!$F58="", "", AND('ProductSprint Backlog'!$J58&gt;G$2,'ProductSprint Backlog'!$I58&lt;=G$2), 'ProductSprint Backlog'!$F58 / MAX(1, 'ProductSprint Backlog'!$J58-'ProductSprint Backlog'!$I58), AND('ProductSprint Backlog'!$J58=G$2,'ProductSprint Backlog'!$I58=G$2), 'ProductSprint Backlog'!$F58, TRUE, 0)</f>
        <v>0</v>
      </c>
      <c r="H58" s="4" cm="1">
        <f t="array" ref="H58">_xlfn.IFS('ProductSprint Backlog'!$F58="", "", AND('ProductSprint Backlog'!$J58&gt;H$2,'ProductSprint Backlog'!$I58&lt;=H$2), 'ProductSprint Backlog'!$F58 / MAX(1, 'ProductSprint Backlog'!$J58-'ProductSprint Backlog'!$I58), AND('ProductSprint Backlog'!$J58=H$2,'ProductSprint Backlog'!$I58=H$2), 'ProductSprint Backlog'!$F58, TRUE, 0)</f>
        <v>0</v>
      </c>
      <c r="I58" s="4" cm="1">
        <f t="array" ref="I58">_xlfn.IFS('ProductSprint Backlog'!$F58="", "", AND('ProductSprint Backlog'!$J58&gt;I$2,'ProductSprint Backlog'!$I58&lt;=I$2), 'ProductSprint Backlog'!$F58 / MAX(1, 'ProductSprint Backlog'!$J58-'ProductSprint Backlog'!$I58), AND('ProductSprint Backlog'!$J58=I$2,'ProductSprint Backlog'!$I58=I$2), 'ProductSprint Backlog'!$F58, TRUE, 0)</f>
        <v>0</v>
      </c>
      <c r="J58" s="4" cm="1">
        <f t="array" ref="J58">_xlfn.IFS('ProductSprint Backlog'!$F58="", "", AND('ProductSprint Backlog'!$J58&gt;J$2,'ProductSprint Backlog'!$I58&lt;=J$2), 'ProductSprint Backlog'!$F58 / MAX(1, 'ProductSprint Backlog'!$J58-'ProductSprint Backlog'!$I58), AND('ProductSprint Backlog'!$J58=J$2,'ProductSprint Backlog'!$I58=J$2), 'ProductSprint Backlog'!$F58, TRUE, 0)</f>
        <v>0</v>
      </c>
      <c r="K58" s="4" cm="1">
        <f t="array" ref="K58">_xlfn.IFS('ProductSprint Backlog'!$F58="", "", AND('ProductSprint Backlog'!$J58&gt;K$2,'ProductSprint Backlog'!$I58&lt;=K$2), 'ProductSprint Backlog'!$F58 / MAX(1, 'ProductSprint Backlog'!$J58-'ProductSprint Backlog'!$I58), AND('ProductSprint Backlog'!$J58=K$2,'ProductSprint Backlog'!$I58=K$2), 'ProductSprint Backlog'!$F58, TRUE, 0)</f>
        <v>0</v>
      </c>
      <c r="L58" s="4" cm="1">
        <f t="array" ref="L58">_xlfn.IFS('ProductSprint Backlog'!$F58="", "", AND('ProductSprint Backlog'!$J58&gt;L$2,'ProductSprint Backlog'!$I58&lt;=L$2), 'ProductSprint Backlog'!$F58 / MAX(1, 'ProductSprint Backlog'!$J58-'ProductSprint Backlog'!$I58), AND('ProductSprint Backlog'!$J58=L$2,'ProductSprint Backlog'!$I58=L$2), 'ProductSprint Backlog'!$F58, TRUE, 0)</f>
        <v>0</v>
      </c>
      <c r="M58" s="4" cm="1">
        <f t="array" ref="M58">_xlfn.IFS('ProductSprint Backlog'!$F58="", "", AND('ProductSprint Backlog'!$J58&gt;M$2,'ProductSprint Backlog'!$I58&lt;=M$2), 'ProductSprint Backlog'!$F58 / MAX(1, 'ProductSprint Backlog'!$J58-'ProductSprint Backlog'!$I58), AND('ProductSprint Backlog'!$J58=M$2,'ProductSprint Backlog'!$I58=M$2), 'ProductSprint Backlog'!$F58, TRUE, 0)</f>
        <v>0</v>
      </c>
      <c r="N58" s="4" cm="1">
        <f t="array" ref="N58">_xlfn.IFS('ProductSprint Backlog'!$F58="", "", AND('ProductSprint Backlog'!$J58&gt;N$2,'ProductSprint Backlog'!$I58&lt;=N$2), 'ProductSprint Backlog'!$F58 / MAX(1, 'ProductSprint Backlog'!$J58-'ProductSprint Backlog'!$I58), AND('ProductSprint Backlog'!$J58=N$2,'ProductSprint Backlog'!$I58=N$2), 'ProductSprint Backlog'!$F58, TRUE, 0)</f>
        <v>0</v>
      </c>
      <c r="O58" s="4" cm="1">
        <f t="array" ref="O58">_xlfn.IFS('ProductSprint Backlog'!$F58="", "", AND('ProductSprint Backlog'!$J58&gt;O$2,'ProductSprint Backlog'!$I58&lt;=O$2), 'ProductSprint Backlog'!$F58 / MAX(1, 'ProductSprint Backlog'!$J58-'ProductSprint Backlog'!$I58), AND('ProductSprint Backlog'!$J58=O$2,'ProductSprint Backlog'!$I58=O$2), 'ProductSprint Backlog'!$F58, TRUE, 0)</f>
        <v>0</v>
      </c>
      <c r="P58" s="4" cm="1">
        <f t="array" ref="P58">_xlfn.IFS('ProductSprint Backlog'!$F58="", "", AND('ProductSprint Backlog'!$J58&gt;P$2,'ProductSprint Backlog'!$I58&lt;=P$2), 'ProductSprint Backlog'!$F58 / MAX(1, 'ProductSprint Backlog'!$J58-'ProductSprint Backlog'!$I58), AND('ProductSprint Backlog'!$J58=P$2,'ProductSprint Backlog'!$I58=P$2), 'ProductSprint Backlog'!$F58, TRUE, 0)</f>
        <v>0</v>
      </c>
      <c r="Q58" s="4" cm="1">
        <f t="array" ref="Q58">_xlfn.IFS('ProductSprint Backlog'!$F58="", "", AND('ProductSprint Backlog'!$J58&gt;Q$2,'ProductSprint Backlog'!$I58&lt;=Q$2), 'ProductSprint Backlog'!$F58 / MAX(1, 'ProductSprint Backlog'!$J58-'ProductSprint Backlog'!$I58), AND('ProductSprint Backlog'!$J58=Q$2,'ProductSprint Backlog'!$I58=Q$2), 'ProductSprint Backlog'!$F58, TRUE, 0)</f>
        <v>0</v>
      </c>
    </row>
    <row r="59" spans="2:17" x14ac:dyDescent="0.2">
      <c r="B59" s="4" t="str" cm="1">
        <f t="array" ref="B59">_xlfn.IFS('ProductSprint Backlog'!$F59="", "", AND('ProductSprint Backlog'!$J59&gt;B$2,'ProductSprint Backlog'!$I59&lt;=B$2), 'ProductSprint Backlog'!$F59 / MAX(1, 'ProductSprint Backlog'!$J59-'ProductSprint Backlog'!$I59), AND('ProductSprint Backlog'!$J59=B$2,'ProductSprint Backlog'!$I59=B$2), 'ProductSprint Backlog'!$F59, TRUE, 0)</f>
        <v/>
      </c>
      <c r="C59" s="4" t="str" cm="1">
        <f t="array" ref="C59">_xlfn.IFS('ProductSprint Backlog'!$F59="", "", AND('ProductSprint Backlog'!$J59&gt;C$2,'ProductSprint Backlog'!$I59&lt;=C$2), 'ProductSprint Backlog'!$F59 / MAX(1, 'ProductSprint Backlog'!$J59-'ProductSprint Backlog'!$I59), AND('ProductSprint Backlog'!$J59=C$2,'ProductSprint Backlog'!$I59=C$2), 'ProductSprint Backlog'!$F59, TRUE, 0)</f>
        <v/>
      </c>
      <c r="D59" s="4" t="str" cm="1">
        <f t="array" ref="D59">_xlfn.IFS('ProductSprint Backlog'!$F59="", "", AND('ProductSprint Backlog'!$J59&gt;D$2,'ProductSprint Backlog'!$I59&lt;=D$2), 'ProductSprint Backlog'!$F59 / MAX(1, 'ProductSprint Backlog'!$J59-'ProductSprint Backlog'!$I59), AND('ProductSprint Backlog'!$J59=D$2,'ProductSprint Backlog'!$I59=D$2), 'ProductSprint Backlog'!$F59, TRUE, 0)</f>
        <v/>
      </c>
      <c r="E59" s="4" t="str" cm="1">
        <f t="array" ref="E59">_xlfn.IFS('ProductSprint Backlog'!$F59="", "", AND('ProductSprint Backlog'!$J59&gt;E$2,'ProductSprint Backlog'!$I59&lt;=E$2), 'ProductSprint Backlog'!$F59 / MAX(1, 'ProductSprint Backlog'!$J59-'ProductSprint Backlog'!$I59), AND('ProductSprint Backlog'!$J59=E$2,'ProductSprint Backlog'!$I59=E$2), 'ProductSprint Backlog'!$F59, TRUE, 0)</f>
        <v/>
      </c>
      <c r="F59" s="4" t="str" cm="1">
        <f t="array" ref="F59">_xlfn.IFS('ProductSprint Backlog'!$F59="", "", AND('ProductSprint Backlog'!$J59&gt;F$2,'ProductSprint Backlog'!$I59&lt;=F$2), 'ProductSprint Backlog'!$F59 / MAX(1, 'ProductSprint Backlog'!$J59-'ProductSprint Backlog'!$I59), AND('ProductSprint Backlog'!$J59=F$2,'ProductSprint Backlog'!$I59=F$2), 'ProductSprint Backlog'!$F59, TRUE, 0)</f>
        <v/>
      </c>
      <c r="G59" s="4" t="str" cm="1">
        <f t="array" ref="G59">_xlfn.IFS('ProductSprint Backlog'!$F59="", "", AND('ProductSprint Backlog'!$J59&gt;G$2,'ProductSprint Backlog'!$I59&lt;=G$2), 'ProductSprint Backlog'!$F59 / MAX(1, 'ProductSprint Backlog'!$J59-'ProductSprint Backlog'!$I59), AND('ProductSprint Backlog'!$J59=G$2,'ProductSprint Backlog'!$I59=G$2), 'ProductSprint Backlog'!$F59, TRUE, 0)</f>
        <v/>
      </c>
      <c r="H59" s="4" t="str" cm="1">
        <f t="array" ref="H59">_xlfn.IFS('ProductSprint Backlog'!$F59="", "", AND('ProductSprint Backlog'!$J59&gt;H$2,'ProductSprint Backlog'!$I59&lt;=H$2), 'ProductSprint Backlog'!$F59 / MAX(1, 'ProductSprint Backlog'!$J59-'ProductSprint Backlog'!$I59), AND('ProductSprint Backlog'!$J59=H$2,'ProductSprint Backlog'!$I59=H$2), 'ProductSprint Backlog'!$F59, TRUE, 0)</f>
        <v/>
      </c>
      <c r="I59" s="4" t="str" cm="1">
        <f t="array" ref="I59">_xlfn.IFS('ProductSprint Backlog'!$F59="", "", AND('ProductSprint Backlog'!$J59&gt;I$2,'ProductSprint Backlog'!$I59&lt;=I$2), 'ProductSprint Backlog'!$F59 / MAX(1, 'ProductSprint Backlog'!$J59-'ProductSprint Backlog'!$I59), AND('ProductSprint Backlog'!$J59=I$2,'ProductSprint Backlog'!$I59=I$2), 'ProductSprint Backlog'!$F59, TRUE, 0)</f>
        <v/>
      </c>
      <c r="J59" s="4" t="str" cm="1">
        <f t="array" ref="J59">_xlfn.IFS('ProductSprint Backlog'!$F59="", "", AND('ProductSprint Backlog'!$J59&gt;J$2,'ProductSprint Backlog'!$I59&lt;=J$2), 'ProductSprint Backlog'!$F59 / MAX(1, 'ProductSprint Backlog'!$J59-'ProductSprint Backlog'!$I59), AND('ProductSprint Backlog'!$J59=J$2,'ProductSprint Backlog'!$I59=J$2), 'ProductSprint Backlog'!$F59, TRUE, 0)</f>
        <v/>
      </c>
      <c r="K59" s="4" t="str" cm="1">
        <f t="array" ref="K59">_xlfn.IFS('ProductSprint Backlog'!$F59="", "", AND('ProductSprint Backlog'!$J59&gt;K$2,'ProductSprint Backlog'!$I59&lt;=K$2), 'ProductSprint Backlog'!$F59 / MAX(1, 'ProductSprint Backlog'!$J59-'ProductSprint Backlog'!$I59), AND('ProductSprint Backlog'!$J59=K$2,'ProductSprint Backlog'!$I59=K$2), 'ProductSprint Backlog'!$F59, TRUE, 0)</f>
        <v/>
      </c>
      <c r="L59" s="4" t="str" cm="1">
        <f t="array" ref="L59">_xlfn.IFS('ProductSprint Backlog'!$F59="", "", AND('ProductSprint Backlog'!$J59&gt;L$2,'ProductSprint Backlog'!$I59&lt;=L$2), 'ProductSprint Backlog'!$F59 / MAX(1, 'ProductSprint Backlog'!$J59-'ProductSprint Backlog'!$I59), AND('ProductSprint Backlog'!$J59=L$2,'ProductSprint Backlog'!$I59=L$2), 'ProductSprint Backlog'!$F59, TRUE, 0)</f>
        <v/>
      </c>
      <c r="M59" s="4" t="str" cm="1">
        <f t="array" ref="M59">_xlfn.IFS('ProductSprint Backlog'!$F59="", "", AND('ProductSprint Backlog'!$J59&gt;M$2,'ProductSprint Backlog'!$I59&lt;=M$2), 'ProductSprint Backlog'!$F59 / MAX(1, 'ProductSprint Backlog'!$J59-'ProductSprint Backlog'!$I59), AND('ProductSprint Backlog'!$J59=M$2,'ProductSprint Backlog'!$I59=M$2), 'ProductSprint Backlog'!$F59, TRUE, 0)</f>
        <v/>
      </c>
      <c r="N59" s="4" t="str" cm="1">
        <f t="array" ref="N59">_xlfn.IFS('ProductSprint Backlog'!$F59="", "", AND('ProductSprint Backlog'!$J59&gt;N$2,'ProductSprint Backlog'!$I59&lt;=N$2), 'ProductSprint Backlog'!$F59 / MAX(1, 'ProductSprint Backlog'!$J59-'ProductSprint Backlog'!$I59), AND('ProductSprint Backlog'!$J59=N$2,'ProductSprint Backlog'!$I59=N$2), 'ProductSprint Backlog'!$F59, TRUE, 0)</f>
        <v/>
      </c>
      <c r="O59" s="4" t="str" cm="1">
        <f t="array" ref="O59">_xlfn.IFS('ProductSprint Backlog'!$F59="", "", AND('ProductSprint Backlog'!$J59&gt;O$2,'ProductSprint Backlog'!$I59&lt;=O$2), 'ProductSprint Backlog'!$F59 / MAX(1, 'ProductSprint Backlog'!$J59-'ProductSprint Backlog'!$I59), AND('ProductSprint Backlog'!$J59=O$2,'ProductSprint Backlog'!$I59=O$2), 'ProductSprint Backlog'!$F59, TRUE, 0)</f>
        <v/>
      </c>
      <c r="P59" s="4" t="str" cm="1">
        <f t="array" ref="P59">_xlfn.IFS('ProductSprint Backlog'!$F59="", "", AND('ProductSprint Backlog'!$J59&gt;P$2,'ProductSprint Backlog'!$I59&lt;=P$2), 'ProductSprint Backlog'!$F59 / MAX(1, 'ProductSprint Backlog'!$J59-'ProductSprint Backlog'!$I59), AND('ProductSprint Backlog'!$J59=P$2,'ProductSprint Backlog'!$I59=P$2), 'ProductSprint Backlog'!$F59, TRUE, 0)</f>
        <v/>
      </c>
      <c r="Q59" s="4" t="str" cm="1">
        <f t="array" ref="Q59">_xlfn.IFS('ProductSprint Backlog'!$F59="", "", AND('ProductSprint Backlog'!$J59&gt;Q$2,'ProductSprint Backlog'!$I59&lt;=Q$2), 'ProductSprint Backlog'!$F59 / MAX(1, 'ProductSprint Backlog'!$J59-'ProductSprint Backlog'!$I59), AND('ProductSprint Backlog'!$J59=Q$2,'ProductSprint Backlog'!$I59=Q$2), 'ProductSprint Backlog'!$F59, TRUE, 0)</f>
        <v/>
      </c>
    </row>
    <row r="60" spans="2:17" x14ac:dyDescent="0.2">
      <c r="B60" s="4" cm="1">
        <f t="array" ref="B60">_xlfn.IFS('ProductSprint Backlog'!$F60="", "", AND('ProductSprint Backlog'!$J60&gt;B$2,'ProductSprint Backlog'!$I60&lt;=B$2), 'ProductSprint Backlog'!$F60 / MAX(1, 'ProductSprint Backlog'!$J60-'ProductSprint Backlog'!$I60), AND('ProductSprint Backlog'!$J60=B$2,'ProductSprint Backlog'!$I60=B$2), 'ProductSprint Backlog'!$F60, TRUE, 0)</f>
        <v>0</v>
      </c>
      <c r="C60" s="4" cm="1">
        <f t="array" ref="C60">_xlfn.IFS('ProductSprint Backlog'!$F60="", "", AND('ProductSprint Backlog'!$J60&gt;C$2,'ProductSprint Backlog'!$I60&lt;=C$2), 'ProductSprint Backlog'!$F60 / MAX(1, 'ProductSprint Backlog'!$J60-'ProductSprint Backlog'!$I60), AND('ProductSprint Backlog'!$J60=C$2,'ProductSprint Backlog'!$I60=C$2), 'ProductSprint Backlog'!$F60, TRUE, 0)</f>
        <v>0</v>
      </c>
      <c r="D60" s="4" cm="1">
        <f t="array" ref="D60">_xlfn.IFS('ProductSprint Backlog'!$F60="", "", AND('ProductSprint Backlog'!$J60&gt;D$2,'ProductSprint Backlog'!$I60&lt;=D$2), 'ProductSprint Backlog'!$F60 / MAX(1, 'ProductSprint Backlog'!$J60-'ProductSprint Backlog'!$I60), AND('ProductSprint Backlog'!$J60=D$2,'ProductSprint Backlog'!$I60=D$2), 'ProductSprint Backlog'!$F60, TRUE, 0)</f>
        <v>0</v>
      </c>
      <c r="E60" s="4" cm="1">
        <f t="array" ref="E60">_xlfn.IFS('ProductSprint Backlog'!$F60="", "", AND('ProductSprint Backlog'!$J60&gt;E$2,'ProductSprint Backlog'!$I60&lt;=E$2), 'ProductSprint Backlog'!$F60 / MAX(1, 'ProductSprint Backlog'!$J60-'ProductSprint Backlog'!$I60), AND('ProductSprint Backlog'!$J60=E$2,'ProductSprint Backlog'!$I60=E$2), 'ProductSprint Backlog'!$F60, TRUE, 0)</f>
        <v>0</v>
      </c>
      <c r="F60" s="4" cm="1">
        <f t="array" ref="F60">_xlfn.IFS('ProductSprint Backlog'!$F60="", "", AND('ProductSprint Backlog'!$J60&gt;F$2,'ProductSprint Backlog'!$I60&lt;=F$2), 'ProductSprint Backlog'!$F60 / MAX(1, 'ProductSprint Backlog'!$J60-'ProductSprint Backlog'!$I60), AND('ProductSprint Backlog'!$J60=F$2,'ProductSprint Backlog'!$I60=F$2), 'ProductSprint Backlog'!$F60, TRUE, 0)</f>
        <v>0</v>
      </c>
      <c r="G60" s="4" cm="1">
        <f t="array" ref="G60">_xlfn.IFS('ProductSprint Backlog'!$F60="", "", AND('ProductSprint Backlog'!$J60&gt;G$2,'ProductSprint Backlog'!$I60&lt;=G$2), 'ProductSprint Backlog'!$F60 / MAX(1, 'ProductSprint Backlog'!$J60-'ProductSprint Backlog'!$I60), AND('ProductSprint Backlog'!$J60=G$2,'ProductSprint Backlog'!$I60=G$2), 'ProductSprint Backlog'!$F60, TRUE, 0)</f>
        <v>0</v>
      </c>
      <c r="H60" s="4" cm="1">
        <f t="array" ref="H60">_xlfn.IFS('ProductSprint Backlog'!$F60="", "", AND('ProductSprint Backlog'!$J60&gt;H$2,'ProductSprint Backlog'!$I60&lt;=H$2), 'ProductSprint Backlog'!$F60 / MAX(1, 'ProductSprint Backlog'!$J60-'ProductSprint Backlog'!$I60), AND('ProductSprint Backlog'!$J60=H$2,'ProductSprint Backlog'!$I60=H$2), 'ProductSprint Backlog'!$F60, TRUE, 0)</f>
        <v>0</v>
      </c>
      <c r="I60" s="4" cm="1">
        <f t="array" ref="I60">_xlfn.IFS('ProductSprint Backlog'!$F60="", "", AND('ProductSprint Backlog'!$J60&gt;I$2,'ProductSprint Backlog'!$I60&lt;=I$2), 'ProductSprint Backlog'!$F60 / MAX(1, 'ProductSprint Backlog'!$J60-'ProductSprint Backlog'!$I60), AND('ProductSprint Backlog'!$J60=I$2,'ProductSprint Backlog'!$I60=I$2), 'ProductSprint Backlog'!$F60, TRUE, 0)</f>
        <v>0</v>
      </c>
      <c r="J60" s="4" cm="1">
        <f t="array" ref="J60">_xlfn.IFS('ProductSprint Backlog'!$F60="", "", AND('ProductSprint Backlog'!$J60&gt;J$2,'ProductSprint Backlog'!$I60&lt;=J$2), 'ProductSprint Backlog'!$F60 / MAX(1, 'ProductSprint Backlog'!$J60-'ProductSprint Backlog'!$I60), AND('ProductSprint Backlog'!$J60=J$2,'ProductSprint Backlog'!$I60=J$2), 'ProductSprint Backlog'!$F60, TRUE, 0)</f>
        <v>0</v>
      </c>
      <c r="K60" s="4" cm="1">
        <f t="array" ref="K60">_xlfn.IFS('ProductSprint Backlog'!$F60="", "", AND('ProductSprint Backlog'!$J60&gt;K$2,'ProductSprint Backlog'!$I60&lt;=K$2), 'ProductSprint Backlog'!$F60 / MAX(1, 'ProductSprint Backlog'!$J60-'ProductSprint Backlog'!$I60), AND('ProductSprint Backlog'!$J60=K$2,'ProductSprint Backlog'!$I60=K$2), 'ProductSprint Backlog'!$F60, TRUE, 0)</f>
        <v>0</v>
      </c>
      <c r="L60" s="4" cm="1">
        <f t="array" ref="L60">_xlfn.IFS('ProductSprint Backlog'!$F60="", "", AND('ProductSprint Backlog'!$J60&gt;L$2,'ProductSprint Backlog'!$I60&lt;=L$2), 'ProductSprint Backlog'!$F60 / MAX(1, 'ProductSprint Backlog'!$J60-'ProductSprint Backlog'!$I60), AND('ProductSprint Backlog'!$J60=L$2,'ProductSprint Backlog'!$I60=L$2), 'ProductSprint Backlog'!$F60, TRUE, 0)</f>
        <v>0</v>
      </c>
      <c r="M60" s="4" cm="1">
        <f t="array" ref="M60">_xlfn.IFS('ProductSprint Backlog'!$F60="", "", AND('ProductSprint Backlog'!$J60&gt;M$2,'ProductSprint Backlog'!$I60&lt;=M$2), 'ProductSprint Backlog'!$F60 / MAX(1, 'ProductSprint Backlog'!$J60-'ProductSprint Backlog'!$I60), AND('ProductSprint Backlog'!$J60=M$2,'ProductSprint Backlog'!$I60=M$2), 'ProductSprint Backlog'!$F60, TRUE, 0)</f>
        <v>0</v>
      </c>
      <c r="N60" s="4" cm="1">
        <f t="array" ref="N60">_xlfn.IFS('ProductSprint Backlog'!$F60="", "", AND('ProductSprint Backlog'!$J60&gt;N$2,'ProductSprint Backlog'!$I60&lt;=N$2), 'ProductSprint Backlog'!$F60 / MAX(1, 'ProductSprint Backlog'!$J60-'ProductSprint Backlog'!$I60), AND('ProductSprint Backlog'!$J60=N$2,'ProductSprint Backlog'!$I60=N$2), 'ProductSprint Backlog'!$F60, TRUE, 0)</f>
        <v>0</v>
      </c>
      <c r="O60" s="4" cm="1">
        <f t="array" ref="O60">_xlfn.IFS('ProductSprint Backlog'!$F60="", "", AND('ProductSprint Backlog'!$J60&gt;O$2,'ProductSprint Backlog'!$I60&lt;=O$2), 'ProductSprint Backlog'!$F60 / MAX(1, 'ProductSprint Backlog'!$J60-'ProductSprint Backlog'!$I60), AND('ProductSprint Backlog'!$J60=O$2,'ProductSprint Backlog'!$I60=O$2), 'ProductSprint Backlog'!$F60, TRUE, 0)</f>
        <v>0</v>
      </c>
      <c r="P60" s="4" cm="1">
        <f t="array" ref="P60">_xlfn.IFS('ProductSprint Backlog'!$F60="", "", AND('ProductSprint Backlog'!$J60&gt;P$2,'ProductSprint Backlog'!$I60&lt;=P$2), 'ProductSprint Backlog'!$F60 / MAX(1, 'ProductSprint Backlog'!$J60-'ProductSprint Backlog'!$I60), AND('ProductSprint Backlog'!$J60=P$2,'ProductSprint Backlog'!$I60=P$2), 'ProductSprint Backlog'!$F60, TRUE, 0)</f>
        <v>0</v>
      </c>
      <c r="Q60" s="4" cm="1">
        <f t="array" ref="Q60">_xlfn.IFS('ProductSprint Backlog'!$F60="", "", AND('ProductSprint Backlog'!$J60&gt;Q$2,'ProductSprint Backlog'!$I60&lt;=Q$2), 'ProductSprint Backlog'!$F60 / MAX(1, 'ProductSprint Backlog'!$J60-'ProductSprint Backlog'!$I60), AND('ProductSprint Backlog'!$J60=Q$2,'ProductSprint Backlog'!$I60=Q$2), 'ProductSprint Backlog'!$F60, TRUE, 0)</f>
        <v>0</v>
      </c>
    </row>
    <row r="61" spans="2:17" x14ac:dyDescent="0.2">
      <c r="B61" s="4" cm="1">
        <f t="array" ref="B61">_xlfn.IFS('ProductSprint Backlog'!$F61="", "", AND('ProductSprint Backlog'!$J61&gt;B$2,'ProductSprint Backlog'!$I61&lt;=B$2), 'ProductSprint Backlog'!$F61 / MAX(1, 'ProductSprint Backlog'!$J61-'ProductSprint Backlog'!$I61), AND('ProductSprint Backlog'!$J61=B$2,'ProductSprint Backlog'!$I61=B$2), 'ProductSprint Backlog'!$F61, TRUE, 0)</f>
        <v>0</v>
      </c>
      <c r="C61" s="4" cm="1">
        <f t="array" ref="C61">_xlfn.IFS('ProductSprint Backlog'!$F61="", "", AND('ProductSprint Backlog'!$J61&gt;C$2,'ProductSprint Backlog'!$I61&lt;=C$2), 'ProductSprint Backlog'!$F61 / MAX(1, 'ProductSprint Backlog'!$J61-'ProductSprint Backlog'!$I61), AND('ProductSprint Backlog'!$J61=C$2,'ProductSprint Backlog'!$I61=C$2), 'ProductSprint Backlog'!$F61, TRUE, 0)</f>
        <v>0</v>
      </c>
      <c r="D61" s="4" cm="1">
        <f t="array" ref="D61">_xlfn.IFS('ProductSprint Backlog'!$F61="", "", AND('ProductSprint Backlog'!$J61&gt;D$2,'ProductSprint Backlog'!$I61&lt;=D$2), 'ProductSprint Backlog'!$F61 / MAX(1, 'ProductSprint Backlog'!$J61-'ProductSprint Backlog'!$I61), AND('ProductSprint Backlog'!$J61=D$2,'ProductSprint Backlog'!$I61=D$2), 'ProductSprint Backlog'!$F61, TRUE, 0)</f>
        <v>0</v>
      </c>
      <c r="E61" s="4" cm="1">
        <f t="array" ref="E61">_xlfn.IFS('ProductSprint Backlog'!$F61="", "", AND('ProductSprint Backlog'!$J61&gt;E$2,'ProductSprint Backlog'!$I61&lt;=E$2), 'ProductSprint Backlog'!$F61 / MAX(1, 'ProductSprint Backlog'!$J61-'ProductSprint Backlog'!$I61), AND('ProductSprint Backlog'!$J61=E$2,'ProductSprint Backlog'!$I61=E$2), 'ProductSprint Backlog'!$F61, TRUE, 0)</f>
        <v>0</v>
      </c>
      <c r="F61" s="4" cm="1">
        <f t="array" ref="F61">_xlfn.IFS('ProductSprint Backlog'!$F61="", "", AND('ProductSprint Backlog'!$J61&gt;F$2,'ProductSprint Backlog'!$I61&lt;=F$2), 'ProductSprint Backlog'!$F61 / MAX(1, 'ProductSprint Backlog'!$J61-'ProductSprint Backlog'!$I61), AND('ProductSprint Backlog'!$J61=F$2,'ProductSprint Backlog'!$I61=F$2), 'ProductSprint Backlog'!$F61, TRUE, 0)</f>
        <v>0</v>
      </c>
      <c r="G61" s="4" cm="1">
        <f t="array" ref="G61">_xlfn.IFS('ProductSprint Backlog'!$F61="", "", AND('ProductSprint Backlog'!$J61&gt;G$2,'ProductSprint Backlog'!$I61&lt;=G$2), 'ProductSprint Backlog'!$F61 / MAX(1, 'ProductSprint Backlog'!$J61-'ProductSprint Backlog'!$I61), AND('ProductSprint Backlog'!$J61=G$2,'ProductSprint Backlog'!$I61=G$2), 'ProductSprint Backlog'!$F61, TRUE, 0)</f>
        <v>0</v>
      </c>
      <c r="H61" s="4" cm="1">
        <f t="array" ref="H61">_xlfn.IFS('ProductSprint Backlog'!$F61="", "", AND('ProductSprint Backlog'!$J61&gt;H$2,'ProductSprint Backlog'!$I61&lt;=H$2), 'ProductSprint Backlog'!$F61 / MAX(1, 'ProductSprint Backlog'!$J61-'ProductSprint Backlog'!$I61), AND('ProductSprint Backlog'!$J61=H$2,'ProductSprint Backlog'!$I61=H$2), 'ProductSprint Backlog'!$F61, TRUE, 0)</f>
        <v>0</v>
      </c>
      <c r="I61" s="4" cm="1">
        <f t="array" ref="I61">_xlfn.IFS('ProductSprint Backlog'!$F61="", "", AND('ProductSprint Backlog'!$J61&gt;I$2,'ProductSprint Backlog'!$I61&lt;=I$2), 'ProductSprint Backlog'!$F61 / MAX(1, 'ProductSprint Backlog'!$J61-'ProductSprint Backlog'!$I61), AND('ProductSprint Backlog'!$J61=I$2,'ProductSprint Backlog'!$I61=I$2), 'ProductSprint Backlog'!$F61, TRUE, 0)</f>
        <v>0</v>
      </c>
      <c r="J61" s="4" cm="1">
        <f t="array" ref="J61">_xlfn.IFS('ProductSprint Backlog'!$F61="", "", AND('ProductSprint Backlog'!$J61&gt;J$2,'ProductSprint Backlog'!$I61&lt;=J$2), 'ProductSprint Backlog'!$F61 / MAX(1, 'ProductSprint Backlog'!$J61-'ProductSprint Backlog'!$I61), AND('ProductSprint Backlog'!$J61=J$2,'ProductSprint Backlog'!$I61=J$2), 'ProductSprint Backlog'!$F61, TRUE, 0)</f>
        <v>0</v>
      </c>
      <c r="K61" s="4" cm="1">
        <f t="array" ref="K61">_xlfn.IFS('ProductSprint Backlog'!$F61="", "", AND('ProductSprint Backlog'!$J61&gt;K$2,'ProductSprint Backlog'!$I61&lt;=K$2), 'ProductSprint Backlog'!$F61 / MAX(1, 'ProductSprint Backlog'!$J61-'ProductSprint Backlog'!$I61), AND('ProductSprint Backlog'!$J61=K$2,'ProductSprint Backlog'!$I61=K$2), 'ProductSprint Backlog'!$F61, TRUE, 0)</f>
        <v>0</v>
      </c>
      <c r="L61" s="4" cm="1">
        <f t="array" ref="L61">_xlfn.IFS('ProductSprint Backlog'!$F61="", "", AND('ProductSprint Backlog'!$J61&gt;L$2,'ProductSprint Backlog'!$I61&lt;=L$2), 'ProductSprint Backlog'!$F61 / MAX(1, 'ProductSprint Backlog'!$J61-'ProductSprint Backlog'!$I61), AND('ProductSprint Backlog'!$J61=L$2,'ProductSprint Backlog'!$I61=L$2), 'ProductSprint Backlog'!$F61, TRUE, 0)</f>
        <v>0</v>
      </c>
      <c r="M61" s="4" cm="1">
        <f t="array" ref="M61">_xlfn.IFS('ProductSprint Backlog'!$F61="", "", AND('ProductSprint Backlog'!$J61&gt;M$2,'ProductSprint Backlog'!$I61&lt;=M$2), 'ProductSprint Backlog'!$F61 / MAX(1, 'ProductSprint Backlog'!$J61-'ProductSprint Backlog'!$I61), AND('ProductSprint Backlog'!$J61=M$2,'ProductSprint Backlog'!$I61=M$2), 'ProductSprint Backlog'!$F61, TRUE, 0)</f>
        <v>0</v>
      </c>
      <c r="N61" s="4" cm="1">
        <f t="array" ref="N61">_xlfn.IFS('ProductSprint Backlog'!$F61="", "", AND('ProductSprint Backlog'!$J61&gt;N$2,'ProductSprint Backlog'!$I61&lt;=N$2), 'ProductSprint Backlog'!$F61 / MAX(1, 'ProductSprint Backlog'!$J61-'ProductSprint Backlog'!$I61), AND('ProductSprint Backlog'!$J61=N$2,'ProductSprint Backlog'!$I61=N$2), 'ProductSprint Backlog'!$F61, TRUE, 0)</f>
        <v>0</v>
      </c>
      <c r="O61" s="4" cm="1">
        <f t="array" ref="O61">_xlfn.IFS('ProductSprint Backlog'!$F61="", "", AND('ProductSprint Backlog'!$J61&gt;O$2,'ProductSprint Backlog'!$I61&lt;=O$2), 'ProductSprint Backlog'!$F61 / MAX(1, 'ProductSprint Backlog'!$J61-'ProductSprint Backlog'!$I61), AND('ProductSprint Backlog'!$J61=O$2,'ProductSprint Backlog'!$I61=O$2), 'ProductSprint Backlog'!$F61, TRUE, 0)</f>
        <v>0</v>
      </c>
      <c r="P61" s="4" cm="1">
        <f t="array" ref="P61">_xlfn.IFS('ProductSprint Backlog'!$F61="", "", AND('ProductSprint Backlog'!$J61&gt;P$2,'ProductSprint Backlog'!$I61&lt;=P$2), 'ProductSprint Backlog'!$F61 / MAX(1, 'ProductSprint Backlog'!$J61-'ProductSprint Backlog'!$I61), AND('ProductSprint Backlog'!$J61=P$2,'ProductSprint Backlog'!$I61=P$2), 'ProductSprint Backlog'!$F61, TRUE, 0)</f>
        <v>0</v>
      </c>
      <c r="Q61" s="4" cm="1">
        <f t="array" ref="Q61">_xlfn.IFS('ProductSprint Backlog'!$F61="", "", AND('ProductSprint Backlog'!$J61&gt;Q$2,'ProductSprint Backlog'!$I61&lt;=Q$2), 'ProductSprint Backlog'!$F61 / MAX(1, 'ProductSprint Backlog'!$J61-'ProductSprint Backlog'!$I61), AND('ProductSprint Backlog'!$J61=Q$2,'ProductSprint Backlog'!$I61=Q$2), 'ProductSprint Backlog'!$F61, TRUE, 0)</f>
        <v>0</v>
      </c>
    </row>
    <row r="62" spans="2:17" x14ac:dyDescent="0.2">
      <c r="B62" s="4" cm="1">
        <f t="array" ref="B62">_xlfn.IFS('ProductSprint Backlog'!$F62="", "", AND('ProductSprint Backlog'!$J62&gt;B$2,'ProductSprint Backlog'!$I62&lt;=B$2), 'ProductSprint Backlog'!$F62 / MAX(1, 'ProductSprint Backlog'!$J62-'ProductSprint Backlog'!$I62), AND('ProductSprint Backlog'!$J62=B$2,'ProductSprint Backlog'!$I62=B$2), 'ProductSprint Backlog'!$F62, TRUE, 0)</f>
        <v>0</v>
      </c>
      <c r="C62" s="4" cm="1">
        <f t="array" ref="C62">_xlfn.IFS('ProductSprint Backlog'!$F62="", "", AND('ProductSprint Backlog'!$J62&gt;C$2,'ProductSprint Backlog'!$I62&lt;=C$2), 'ProductSprint Backlog'!$F62 / MAX(1, 'ProductSprint Backlog'!$J62-'ProductSprint Backlog'!$I62), AND('ProductSprint Backlog'!$J62=C$2,'ProductSprint Backlog'!$I62=C$2), 'ProductSprint Backlog'!$F62, TRUE, 0)</f>
        <v>0</v>
      </c>
      <c r="D62" s="4" cm="1">
        <f t="array" ref="D62">_xlfn.IFS('ProductSprint Backlog'!$F62="", "", AND('ProductSprint Backlog'!$J62&gt;D$2,'ProductSprint Backlog'!$I62&lt;=D$2), 'ProductSprint Backlog'!$F62 / MAX(1, 'ProductSprint Backlog'!$J62-'ProductSprint Backlog'!$I62), AND('ProductSprint Backlog'!$J62=D$2,'ProductSprint Backlog'!$I62=D$2), 'ProductSprint Backlog'!$F62, TRUE, 0)</f>
        <v>0</v>
      </c>
      <c r="E62" s="4" cm="1">
        <f t="array" ref="E62">_xlfn.IFS('ProductSprint Backlog'!$F62="", "", AND('ProductSprint Backlog'!$J62&gt;E$2,'ProductSprint Backlog'!$I62&lt;=E$2), 'ProductSprint Backlog'!$F62 / MAX(1, 'ProductSprint Backlog'!$J62-'ProductSprint Backlog'!$I62), AND('ProductSprint Backlog'!$J62=E$2,'ProductSprint Backlog'!$I62=E$2), 'ProductSprint Backlog'!$F62, TRUE, 0)</f>
        <v>0</v>
      </c>
      <c r="F62" s="4" cm="1">
        <f t="array" ref="F62">_xlfn.IFS('ProductSprint Backlog'!$F62="", "", AND('ProductSprint Backlog'!$J62&gt;F$2,'ProductSprint Backlog'!$I62&lt;=F$2), 'ProductSprint Backlog'!$F62 / MAX(1, 'ProductSprint Backlog'!$J62-'ProductSprint Backlog'!$I62), AND('ProductSprint Backlog'!$J62=F$2,'ProductSprint Backlog'!$I62=F$2), 'ProductSprint Backlog'!$F62, TRUE, 0)</f>
        <v>0</v>
      </c>
      <c r="G62" s="4" cm="1">
        <f t="array" ref="G62">_xlfn.IFS('ProductSprint Backlog'!$F62="", "", AND('ProductSprint Backlog'!$J62&gt;G$2,'ProductSprint Backlog'!$I62&lt;=G$2), 'ProductSprint Backlog'!$F62 / MAX(1, 'ProductSprint Backlog'!$J62-'ProductSprint Backlog'!$I62), AND('ProductSprint Backlog'!$J62=G$2,'ProductSprint Backlog'!$I62=G$2), 'ProductSprint Backlog'!$F62, TRUE, 0)</f>
        <v>0</v>
      </c>
      <c r="H62" s="4" cm="1">
        <f t="array" ref="H62">_xlfn.IFS('ProductSprint Backlog'!$F62="", "", AND('ProductSprint Backlog'!$J62&gt;H$2,'ProductSprint Backlog'!$I62&lt;=H$2), 'ProductSprint Backlog'!$F62 / MAX(1, 'ProductSprint Backlog'!$J62-'ProductSprint Backlog'!$I62), AND('ProductSprint Backlog'!$J62=H$2,'ProductSprint Backlog'!$I62=H$2), 'ProductSprint Backlog'!$F62, TRUE, 0)</f>
        <v>0</v>
      </c>
      <c r="I62" s="4" cm="1">
        <f t="array" ref="I62">_xlfn.IFS('ProductSprint Backlog'!$F62="", "", AND('ProductSprint Backlog'!$J62&gt;I$2,'ProductSprint Backlog'!$I62&lt;=I$2), 'ProductSprint Backlog'!$F62 / MAX(1, 'ProductSprint Backlog'!$J62-'ProductSprint Backlog'!$I62), AND('ProductSprint Backlog'!$J62=I$2,'ProductSprint Backlog'!$I62=I$2), 'ProductSprint Backlog'!$F62, TRUE, 0)</f>
        <v>0</v>
      </c>
      <c r="J62" s="4" cm="1">
        <f t="array" ref="J62">_xlfn.IFS('ProductSprint Backlog'!$F62="", "", AND('ProductSprint Backlog'!$J62&gt;J$2,'ProductSprint Backlog'!$I62&lt;=J$2), 'ProductSprint Backlog'!$F62 / MAX(1, 'ProductSprint Backlog'!$J62-'ProductSprint Backlog'!$I62), AND('ProductSprint Backlog'!$J62=J$2,'ProductSprint Backlog'!$I62=J$2), 'ProductSprint Backlog'!$F62, TRUE, 0)</f>
        <v>0</v>
      </c>
      <c r="K62" s="4" cm="1">
        <f t="array" ref="K62">_xlfn.IFS('ProductSprint Backlog'!$F62="", "", AND('ProductSprint Backlog'!$J62&gt;K$2,'ProductSprint Backlog'!$I62&lt;=K$2), 'ProductSprint Backlog'!$F62 / MAX(1, 'ProductSprint Backlog'!$J62-'ProductSprint Backlog'!$I62), AND('ProductSprint Backlog'!$J62=K$2,'ProductSprint Backlog'!$I62=K$2), 'ProductSprint Backlog'!$F62, TRUE, 0)</f>
        <v>0</v>
      </c>
      <c r="L62" s="4" cm="1">
        <f t="array" ref="L62">_xlfn.IFS('ProductSprint Backlog'!$F62="", "", AND('ProductSprint Backlog'!$J62&gt;L$2,'ProductSprint Backlog'!$I62&lt;=L$2), 'ProductSprint Backlog'!$F62 / MAX(1, 'ProductSprint Backlog'!$J62-'ProductSprint Backlog'!$I62), AND('ProductSprint Backlog'!$J62=L$2,'ProductSprint Backlog'!$I62=L$2), 'ProductSprint Backlog'!$F62, TRUE, 0)</f>
        <v>0</v>
      </c>
      <c r="M62" s="4" cm="1">
        <f t="array" ref="M62">_xlfn.IFS('ProductSprint Backlog'!$F62="", "", AND('ProductSprint Backlog'!$J62&gt;M$2,'ProductSprint Backlog'!$I62&lt;=M$2), 'ProductSprint Backlog'!$F62 / MAX(1, 'ProductSprint Backlog'!$J62-'ProductSprint Backlog'!$I62), AND('ProductSprint Backlog'!$J62=M$2,'ProductSprint Backlog'!$I62=M$2), 'ProductSprint Backlog'!$F62, TRUE, 0)</f>
        <v>0</v>
      </c>
      <c r="N62" s="4" cm="1">
        <f t="array" ref="N62">_xlfn.IFS('ProductSprint Backlog'!$F62="", "", AND('ProductSprint Backlog'!$J62&gt;N$2,'ProductSprint Backlog'!$I62&lt;=N$2), 'ProductSprint Backlog'!$F62 / MAX(1, 'ProductSprint Backlog'!$J62-'ProductSprint Backlog'!$I62), AND('ProductSprint Backlog'!$J62=N$2,'ProductSprint Backlog'!$I62=N$2), 'ProductSprint Backlog'!$F62, TRUE, 0)</f>
        <v>0</v>
      </c>
      <c r="O62" s="4" cm="1">
        <f t="array" ref="O62">_xlfn.IFS('ProductSprint Backlog'!$F62="", "", AND('ProductSprint Backlog'!$J62&gt;O$2,'ProductSprint Backlog'!$I62&lt;=O$2), 'ProductSprint Backlog'!$F62 / MAX(1, 'ProductSprint Backlog'!$J62-'ProductSprint Backlog'!$I62), AND('ProductSprint Backlog'!$J62=O$2,'ProductSprint Backlog'!$I62=O$2), 'ProductSprint Backlog'!$F62, TRUE, 0)</f>
        <v>0</v>
      </c>
      <c r="P62" s="4" cm="1">
        <f t="array" ref="P62">_xlfn.IFS('ProductSprint Backlog'!$F62="", "", AND('ProductSprint Backlog'!$J62&gt;P$2,'ProductSprint Backlog'!$I62&lt;=P$2), 'ProductSprint Backlog'!$F62 / MAX(1, 'ProductSprint Backlog'!$J62-'ProductSprint Backlog'!$I62), AND('ProductSprint Backlog'!$J62=P$2,'ProductSprint Backlog'!$I62=P$2), 'ProductSprint Backlog'!$F62, TRUE, 0)</f>
        <v>0</v>
      </c>
      <c r="Q62" s="4" cm="1">
        <f t="array" ref="Q62">_xlfn.IFS('ProductSprint Backlog'!$F62="", "", AND('ProductSprint Backlog'!$J62&gt;Q$2,'ProductSprint Backlog'!$I62&lt;=Q$2), 'ProductSprint Backlog'!$F62 / MAX(1, 'ProductSprint Backlog'!$J62-'ProductSprint Backlog'!$I62), AND('ProductSprint Backlog'!$J62=Q$2,'ProductSprint Backlog'!$I62=Q$2), 'ProductSprint Backlog'!$F62, TRUE, 0)</f>
        <v>0</v>
      </c>
    </row>
    <row r="63" spans="2:17" x14ac:dyDescent="0.2">
      <c r="B63" s="4" cm="1">
        <f t="array" ref="B63">_xlfn.IFS('ProductSprint Backlog'!$F63="", "", AND('ProductSprint Backlog'!$J63&gt;B$2,'ProductSprint Backlog'!$I63&lt;=B$2), 'ProductSprint Backlog'!$F63 / MAX(1, 'ProductSprint Backlog'!$J63-'ProductSprint Backlog'!$I63), AND('ProductSprint Backlog'!$J63=B$2,'ProductSprint Backlog'!$I63=B$2), 'ProductSprint Backlog'!$F63, TRUE, 0)</f>
        <v>0</v>
      </c>
      <c r="C63" s="4" cm="1">
        <f t="array" ref="C63">_xlfn.IFS('ProductSprint Backlog'!$F63="", "", AND('ProductSprint Backlog'!$J63&gt;C$2,'ProductSprint Backlog'!$I63&lt;=C$2), 'ProductSprint Backlog'!$F63 / MAX(1, 'ProductSprint Backlog'!$J63-'ProductSprint Backlog'!$I63), AND('ProductSprint Backlog'!$J63=C$2,'ProductSprint Backlog'!$I63=C$2), 'ProductSprint Backlog'!$F63, TRUE, 0)</f>
        <v>0</v>
      </c>
      <c r="D63" s="4" cm="1">
        <f t="array" ref="D63">_xlfn.IFS('ProductSprint Backlog'!$F63="", "", AND('ProductSprint Backlog'!$J63&gt;D$2,'ProductSprint Backlog'!$I63&lt;=D$2), 'ProductSprint Backlog'!$F63 / MAX(1, 'ProductSprint Backlog'!$J63-'ProductSprint Backlog'!$I63), AND('ProductSprint Backlog'!$J63=D$2,'ProductSprint Backlog'!$I63=D$2), 'ProductSprint Backlog'!$F63, TRUE, 0)</f>
        <v>0</v>
      </c>
      <c r="E63" s="4" cm="1">
        <f t="array" ref="E63">_xlfn.IFS('ProductSprint Backlog'!$F63="", "", AND('ProductSprint Backlog'!$J63&gt;E$2,'ProductSprint Backlog'!$I63&lt;=E$2), 'ProductSprint Backlog'!$F63 / MAX(1, 'ProductSprint Backlog'!$J63-'ProductSprint Backlog'!$I63), AND('ProductSprint Backlog'!$J63=E$2,'ProductSprint Backlog'!$I63=E$2), 'ProductSprint Backlog'!$F63, TRUE, 0)</f>
        <v>0</v>
      </c>
      <c r="F63" s="4" cm="1">
        <f t="array" ref="F63">_xlfn.IFS('ProductSprint Backlog'!$F63="", "", AND('ProductSprint Backlog'!$J63&gt;F$2,'ProductSprint Backlog'!$I63&lt;=F$2), 'ProductSprint Backlog'!$F63 / MAX(1, 'ProductSprint Backlog'!$J63-'ProductSprint Backlog'!$I63), AND('ProductSprint Backlog'!$J63=F$2,'ProductSprint Backlog'!$I63=F$2), 'ProductSprint Backlog'!$F63, TRUE, 0)</f>
        <v>0</v>
      </c>
      <c r="G63" s="4" cm="1">
        <f t="array" ref="G63">_xlfn.IFS('ProductSprint Backlog'!$F63="", "", AND('ProductSprint Backlog'!$J63&gt;G$2,'ProductSprint Backlog'!$I63&lt;=G$2), 'ProductSprint Backlog'!$F63 / MAX(1, 'ProductSprint Backlog'!$J63-'ProductSprint Backlog'!$I63), AND('ProductSprint Backlog'!$J63=G$2,'ProductSprint Backlog'!$I63=G$2), 'ProductSprint Backlog'!$F63, TRUE, 0)</f>
        <v>0</v>
      </c>
      <c r="H63" s="4" cm="1">
        <f t="array" ref="H63">_xlfn.IFS('ProductSprint Backlog'!$F63="", "", AND('ProductSprint Backlog'!$J63&gt;H$2,'ProductSprint Backlog'!$I63&lt;=H$2), 'ProductSprint Backlog'!$F63 / MAX(1, 'ProductSprint Backlog'!$J63-'ProductSprint Backlog'!$I63), AND('ProductSprint Backlog'!$J63=H$2,'ProductSprint Backlog'!$I63=H$2), 'ProductSprint Backlog'!$F63, TRUE, 0)</f>
        <v>0</v>
      </c>
      <c r="I63" s="4" cm="1">
        <f t="array" ref="I63">_xlfn.IFS('ProductSprint Backlog'!$F63="", "", AND('ProductSprint Backlog'!$J63&gt;I$2,'ProductSprint Backlog'!$I63&lt;=I$2), 'ProductSprint Backlog'!$F63 / MAX(1, 'ProductSprint Backlog'!$J63-'ProductSprint Backlog'!$I63), AND('ProductSprint Backlog'!$J63=I$2,'ProductSprint Backlog'!$I63=I$2), 'ProductSprint Backlog'!$F63, TRUE, 0)</f>
        <v>0</v>
      </c>
      <c r="J63" s="4" cm="1">
        <f t="array" ref="J63">_xlfn.IFS('ProductSprint Backlog'!$F63="", "", AND('ProductSprint Backlog'!$J63&gt;J$2,'ProductSprint Backlog'!$I63&lt;=J$2), 'ProductSprint Backlog'!$F63 / MAX(1, 'ProductSprint Backlog'!$J63-'ProductSprint Backlog'!$I63), AND('ProductSprint Backlog'!$J63=J$2,'ProductSprint Backlog'!$I63=J$2), 'ProductSprint Backlog'!$F63, TRUE, 0)</f>
        <v>0</v>
      </c>
      <c r="K63" s="4" cm="1">
        <f t="array" ref="K63">_xlfn.IFS('ProductSprint Backlog'!$F63="", "", AND('ProductSprint Backlog'!$J63&gt;K$2,'ProductSprint Backlog'!$I63&lt;=K$2), 'ProductSprint Backlog'!$F63 / MAX(1, 'ProductSprint Backlog'!$J63-'ProductSprint Backlog'!$I63), AND('ProductSprint Backlog'!$J63=K$2,'ProductSprint Backlog'!$I63=K$2), 'ProductSprint Backlog'!$F63, TRUE, 0)</f>
        <v>0</v>
      </c>
      <c r="L63" s="4" cm="1">
        <f t="array" ref="L63">_xlfn.IFS('ProductSprint Backlog'!$F63="", "", AND('ProductSprint Backlog'!$J63&gt;L$2,'ProductSprint Backlog'!$I63&lt;=L$2), 'ProductSprint Backlog'!$F63 / MAX(1, 'ProductSprint Backlog'!$J63-'ProductSprint Backlog'!$I63), AND('ProductSprint Backlog'!$J63=L$2,'ProductSprint Backlog'!$I63=L$2), 'ProductSprint Backlog'!$F63, TRUE, 0)</f>
        <v>0</v>
      </c>
      <c r="M63" s="4" cm="1">
        <f t="array" ref="M63">_xlfn.IFS('ProductSprint Backlog'!$F63="", "", AND('ProductSprint Backlog'!$J63&gt;M$2,'ProductSprint Backlog'!$I63&lt;=M$2), 'ProductSprint Backlog'!$F63 / MAX(1, 'ProductSprint Backlog'!$J63-'ProductSprint Backlog'!$I63), AND('ProductSprint Backlog'!$J63=M$2,'ProductSprint Backlog'!$I63=M$2), 'ProductSprint Backlog'!$F63, TRUE, 0)</f>
        <v>0</v>
      </c>
      <c r="N63" s="4" cm="1">
        <f t="array" ref="N63">_xlfn.IFS('ProductSprint Backlog'!$F63="", "", AND('ProductSprint Backlog'!$J63&gt;N$2,'ProductSprint Backlog'!$I63&lt;=N$2), 'ProductSprint Backlog'!$F63 / MAX(1, 'ProductSprint Backlog'!$J63-'ProductSprint Backlog'!$I63), AND('ProductSprint Backlog'!$J63=N$2,'ProductSprint Backlog'!$I63=N$2), 'ProductSprint Backlog'!$F63, TRUE, 0)</f>
        <v>0</v>
      </c>
      <c r="O63" s="4" cm="1">
        <f t="array" ref="O63">_xlfn.IFS('ProductSprint Backlog'!$F63="", "", AND('ProductSprint Backlog'!$J63&gt;O$2,'ProductSprint Backlog'!$I63&lt;=O$2), 'ProductSprint Backlog'!$F63 / MAX(1, 'ProductSprint Backlog'!$J63-'ProductSprint Backlog'!$I63), AND('ProductSprint Backlog'!$J63=O$2,'ProductSprint Backlog'!$I63=O$2), 'ProductSprint Backlog'!$F63, TRUE, 0)</f>
        <v>0</v>
      </c>
      <c r="P63" s="4" cm="1">
        <f t="array" ref="P63">_xlfn.IFS('ProductSprint Backlog'!$F63="", "", AND('ProductSprint Backlog'!$J63&gt;P$2,'ProductSprint Backlog'!$I63&lt;=P$2), 'ProductSprint Backlog'!$F63 / MAX(1, 'ProductSprint Backlog'!$J63-'ProductSprint Backlog'!$I63), AND('ProductSprint Backlog'!$J63=P$2,'ProductSprint Backlog'!$I63=P$2), 'ProductSprint Backlog'!$F63, TRUE, 0)</f>
        <v>0</v>
      </c>
      <c r="Q63" s="4" cm="1">
        <f t="array" ref="Q63">_xlfn.IFS('ProductSprint Backlog'!$F63="", "", AND('ProductSprint Backlog'!$J63&gt;Q$2,'ProductSprint Backlog'!$I63&lt;=Q$2), 'ProductSprint Backlog'!$F63 / MAX(1, 'ProductSprint Backlog'!$J63-'ProductSprint Backlog'!$I63), AND('ProductSprint Backlog'!$J63=Q$2,'ProductSprint Backlog'!$I63=Q$2), 'ProductSprint Backlog'!$F63, TRUE, 0)</f>
        <v>0</v>
      </c>
    </row>
    <row r="64" spans="2:17" x14ac:dyDescent="0.2">
      <c r="B64" s="4" cm="1">
        <f t="array" ref="B64">_xlfn.IFS('ProductSprint Backlog'!$F64="", "", AND('ProductSprint Backlog'!$J64&gt;B$2,'ProductSprint Backlog'!$I64&lt;=B$2), 'ProductSprint Backlog'!$F64 / MAX(1, 'ProductSprint Backlog'!$J64-'ProductSprint Backlog'!$I64), AND('ProductSprint Backlog'!$J64=B$2,'ProductSprint Backlog'!$I64=B$2), 'ProductSprint Backlog'!$F64, TRUE, 0)</f>
        <v>0</v>
      </c>
      <c r="C64" s="4" cm="1">
        <f t="array" ref="C64">_xlfn.IFS('ProductSprint Backlog'!$F64="", "", AND('ProductSprint Backlog'!$J64&gt;C$2,'ProductSprint Backlog'!$I64&lt;=C$2), 'ProductSprint Backlog'!$F64 / MAX(1, 'ProductSprint Backlog'!$J64-'ProductSprint Backlog'!$I64), AND('ProductSprint Backlog'!$J64=C$2,'ProductSprint Backlog'!$I64=C$2), 'ProductSprint Backlog'!$F64, TRUE, 0)</f>
        <v>0</v>
      </c>
      <c r="D64" s="4" cm="1">
        <f t="array" ref="D64">_xlfn.IFS('ProductSprint Backlog'!$F64="", "", AND('ProductSprint Backlog'!$J64&gt;D$2,'ProductSprint Backlog'!$I64&lt;=D$2), 'ProductSprint Backlog'!$F64 / MAX(1, 'ProductSprint Backlog'!$J64-'ProductSprint Backlog'!$I64), AND('ProductSprint Backlog'!$J64=D$2,'ProductSprint Backlog'!$I64=D$2), 'ProductSprint Backlog'!$F64, TRUE, 0)</f>
        <v>0</v>
      </c>
      <c r="E64" s="4" cm="1">
        <f t="array" ref="E64">_xlfn.IFS('ProductSprint Backlog'!$F64="", "", AND('ProductSprint Backlog'!$J64&gt;E$2,'ProductSprint Backlog'!$I64&lt;=E$2), 'ProductSprint Backlog'!$F64 / MAX(1, 'ProductSprint Backlog'!$J64-'ProductSprint Backlog'!$I64), AND('ProductSprint Backlog'!$J64=E$2,'ProductSprint Backlog'!$I64=E$2), 'ProductSprint Backlog'!$F64, TRUE, 0)</f>
        <v>0</v>
      </c>
      <c r="F64" s="4" cm="1">
        <f t="array" ref="F64">_xlfn.IFS('ProductSprint Backlog'!$F64="", "", AND('ProductSprint Backlog'!$J64&gt;F$2,'ProductSprint Backlog'!$I64&lt;=F$2), 'ProductSprint Backlog'!$F64 / MAX(1, 'ProductSprint Backlog'!$J64-'ProductSprint Backlog'!$I64), AND('ProductSprint Backlog'!$J64=F$2,'ProductSprint Backlog'!$I64=F$2), 'ProductSprint Backlog'!$F64, TRUE, 0)</f>
        <v>0</v>
      </c>
      <c r="G64" s="4" cm="1">
        <f t="array" ref="G64">_xlfn.IFS('ProductSprint Backlog'!$F64="", "", AND('ProductSprint Backlog'!$J64&gt;G$2,'ProductSprint Backlog'!$I64&lt;=G$2), 'ProductSprint Backlog'!$F64 / MAX(1, 'ProductSprint Backlog'!$J64-'ProductSprint Backlog'!$I64), AND('ProductSprint Backlog'!$J64=G$2,'ProductSprint Backlog'!$I64=G$2), 'ProductSprint Backlog'!$F64, TRUE, 0)</f>
        <v>0</v>
      </c>
      <c r="H64" s="4" cm="1">
        <f t="array" ref="H64">_xlfn.IFS('ProductSprint Backlog'!$F64="", "", AND('ProductSprint Backlog'!$J64&gt;H$2,'ProductSprint Backlog'!$I64&lt;=H$2), 'ProductSprint Backlog'!$F64 / MAX(1, 'ProductSprint Backlog'!$J64-'ProductSprint Backlog'!$I64), AND('ProductSprint Backlog'!$J64=H$2,'ProductSprint Backlog'!$I64=H$2), 'ProductSprint Backlog'!$F64, TRUE, 0)</f>
        <v>0</v>
      </c>
      <c r="I64" s="4" cm="1">
        <f t="array" ref="I64">_xlfn.IFS('ProductSprint Backlog'!$F64="", "", AND('ProductSprint Backlog'!$J64&gt;I$2,'ProductSprint Backlog'!$I64&lt;=I$2), 'ProductSprint Backlog'!$F64 / MAX(1, 'ProductSprint Backlog'!$J64-'ProductSprint Backlog'!$I64), AND('ProductSprint Backlog'!$J64=I$2,'ProductSprint Backlog'!$I64=I$2), 'ProductSprint Backlog'!$F64, TRUE, 0)</f>
        <v>0</v>
      </c>
      <c r="J64" s="4" cm="1">
        <f t="array" ref="J64">_xlfn.IFS('ProductSprint Backlog'!$F64="", "", AND('ProductSprint Backlog'!$J64&gt;J$2,'ProductSprint Backlog'!$I64&lt;=J$2), 'ProductSprint Backlog'!$F64 / MAX(1, 'ProductSprint Backlog'!$J64-'ProductSprint Backlog'!$I64), AND('ProductSprint Backlog'!$J64=J$2,'ProductSprint Backlog'!$I64=J$2), 'ProductSprint Backlog'!$F64, TRUE, 0)</f>
        <v>0</v>
      </c>
      <c r="K64" s="4" cm="1">
        <f t="array" ref="K64">_xlfn.IFS('ProductSprint Backlog'!$F64="", "", AND('ProductSprint Backlog'!$J64&gt;K$2,'ProductSprint Backlog'!$I64&lt;=K$2), 'ProductSprint Backlog'!$F64 / MAX(1, 'ProductSprint Backlog'!$J64-'ProductSprint Backlog'!$I64), AND('ProductSprint Backlog'!$J64=K$2,'ProductSprint Backlog'!$I64=K$2), 'ProductSprint Backlog'!$F64, TRUE, 0)</f>
        <v>0</v>
      </c>
      <c r="L64" s="4" cm="1">
        <f t="array" ref="L64">_xlfn.IFS('ProductSprint Backlog'!$F64="", "", AND('ProductSprint Backlog'!$J64&gt;L$2,'ProductSprint Backlog'!$I64&lt;=L$2), 'ProductSprint Backlog'!$F64 / MAX(1, 'ProductSprint Backlog'!$J64-'ProductSprint Backlog'!$I64), AND('ProductSprint Backlog'!$J64=L$2,'ProductSprint Backlog'!$I64=L$2), 'ProductSprint Backlog'!$F64, TRUE, 0)</f>
        <v>0</v>
      </c>
      <c r="M64" s="4" cm="1">
        <f t="array" ref="M64">_xlfn.IFS('ProductSprint Backlog'!$F64="", "", AND('ProductSprint Backlog'!$J64&gt;M$2,'ProductSprint Backlog'!$I64&lt;=M$2), 'ProductSprint Backlog'!$F64 / MAX(1, 'ProductSprint Backlog'!$J64-'ProductSprint Backlog'!$I64), AND('ProductSprint Backlog'!$J64=M$2,'ProductSprint Backlog'!$I64=M$2), 'ProductSprint Backlog'!$F64, TRUE, 0)</f>
        <v>0</v>
      </c>
      <c r="N64" s="4" cm="1">
        <f t="array" ref="N64">_xlfn.IFS('ProductSprint Backlog'!$F64="", "", AND('ProductSprint Backlog'!$J64&gt;N$2,'ProductSprint Backlog'!$I64&lt;=N$2), 'ProductSprint Backlog'!$F64 / MAX(1, 'ProductSprint Backlog'!$J64-'ProductSprint Backlog'!$I64), AND('ProductSprint Backlog'!$J64=N$2,'ProductSprint Backlog'!$I64=N$2), 'ProductSprint Backlog'!$F64, TRUE, 0)</f>
        <v>0</v>
      </c>
      <c r="O64" s="4" cm="1">
        <f t="array" ref="O64">_xlfn.IFS('ProductSprint Backlog'!$F64="", "", AND('ProductSprint Backlog'!$J64&gt;O$2,'ProductSprint Backlog'!$I64&lt;=O$2), 'ProductSprint Backlog'!$F64 / MAX(1, 'ProductSprint Backlog'!$J64-'ProductSprint Backlog'!$I64), AND('ProductSprint Backlog'!$J64=O$2,'ProductSprint Backlog'!$I64=O$2), 'ProductSprint Backlog'!$F64, TRUE, 0)</f>
        <v>0</v>
      </c>
      <c r="P64" s="4" cm="1">
        <f t="array" ref="P64">_xlfn.IFS('ProductSprint Backlog'!$F64="", "", AND('ProductSprint Backlog'!$J64&gt;P$2,'ProductSprint Backlog'!$I64&lt;=P$2), 'ProductSprint Backlog'!$F64 / MAX(1, 'ProductSprint Backlog'!$J64-'ProductSprint Backlog'!$I64), AND('ProductSprint Backlog'!$J64=P$2,'ProductSprint Backlog'!$I64=P$2), 'ProductSprint Backlog'!$F64, TRUE, 0)</f>
        <v>0</v>
      </c>
      <c r="Q64" s="4" cm="1">
        <f t="array" ref="Q64">_xlfn.IFS('ProductSprint Backlog'!$F64="", "", AND('ProductSprint Backlog'!$J64&gt;Q$2,'ProductSprint Backlog'!$I64&lt;=Q$2), 'ProductSprint Backlog'!$F64 / MAX(1, 'ProductSprint Backlog'!$J64-'ProductSprint Backlog'!$I64), AND('ProductSprint Backlog'!$J64=Q$2,'ProductSprint Backlog'!$I64=Q$2), 'ProductSprint Backlog'!$F64, TRUE, 0)</f>
        <v>0</v>
      </c>
    </row>
    <row r="65" spans="2:17" x14ac:dyDescent="0.2">
      <c r="B65" s="4" cm="1">
        <f t="array" ref="B65">_xlfn.IFS('ProductSprint Backlog'!$F65="", "", AND('ProductSprint Backlog'!$J65&gt;B$2,'ProductSprint Backlog'!$I65&lt;=B$2), 'ProductSprint Backlog'!$F65 / MAX(1, 'ProductSprint Backlog'!$J65-'ProductSprint Backlog'!$I65), AND('ProductSprint Backlog'!$J65=B$2,'ProductSprint Backlog'!$I65=B$2), 'ProductSprint Backlog'!$F65, TRUE, 0)</f>
        <v>0</v>
      </c>
      <c r="C65" s="4" cm="1">
        <f t="array" ref="C65">_xlfn.IFS('ProductSprint Backlog'!$F65="", "", AND('ProductSprint Backlog'!$J65&gt;C$2,'ProductSprint Backlog'!$I65&lt;=C$2), 'ProductSprint Backlog'!$F65 / MAX(1, 'ProductSprint Backlog'!$J65-'ProductSprint Backlog'!$I65), AND('ProductSprint Backlog'!$J65=C$2,'ProductSprint Backlog'!$I65=C$2), 'ProductSprint Backlog'!$F65, TRUE, 0)</f>
        <v>0</v>
      </c>
      <c r="D65" s="4" cm="1">
        <f t="array" ref="D65">_xlfn.IFS('ProductSprint Backlog'!$F65="", "", AND('ProductSprint Backlog'!$J65&gt;D$2,'ProductSprint Backlog'!$I65&lt;=D$2), 'ProductSprint Backlog'!$F65 / MAX(1, 'ProductSprint Backlog'!$J65-'ProductSprint Backlog'!$I65), AND('ProductSprint Backlog'!$J65=D$2,'ProductSprint Backlog'!$I65=D$2), 'ProductSprint Backlog'!$F65, TRUE, 0)</f>
        <v>0</v>
      </c>
      <c r="E65" s="4" cm="1">
        <f t="array" ref="E65">_xlfn.IFS('ProductSprint Backlog'!$F65="", "", AND('ProductSprint Backlog'!$J65&gt;E$2,'ProductSprint Backlog'!$I65&lt;=E$2), 'ProductSprint Backlog'!$F65 / MAX(1, 'ProductSprint Backlog'!$J65-'ProductSprint Backlog'!$I65), AND('ProductSprint Backlog'!$J65=E$2,'ProductSprint Backlog'!$I65=E$2), 'ProductSprint Backlog'!$F65, TRUE, 0)</f>
        <v>0</v>
      </c>
      <c r="F65" s="4" cm="1">
        <f t="array" ref="F65">_xlfn.IFS('ProductSprint Backlog'!$F65="", "", AND('ProductSprint Backlog'!$J65&gt;F$2,'ProductSprint Backlog'!$I65&lt;=F$2), 'ProductSprint Backlog'!$F65 / MAX(1, 'ProductSprint Backlog'!$J65-'ProductSprint Backlog'!$I65), AND('ProductSprint Backlog'!$J65=F$2,'ProductSprint Backlog'!$I65=F$2), 'ProductSprint Backlog'!$F65, TRUE, 0)</f>
        <v>0</v>
      </c>
      <c r="G65" s="4" cm="1">
        <f t="array" ref="G65">_xlfn.IFS('ProductSprint Backlog'!$F65="", "", AND('ProductSprint Backlog'!$J65&gt;G$2,'ProductSprint Backlog'!$I65&lt;=G$2), 'ProductSprint Backlog'!$F65 / MAX(1, 'ProductSprint Backlog'!$J65-'ProductSprint Backlog'!$I65), AND('ProductSprint Backlog'!$J65=G$2,'ProductSprint Backlog'!$I65=G$2), 'ProductSprint Backlog'!$F65, TRUE, 0)</f>
        <v>0</v>
      </c>
      <c r="H65" s="4" cm="1">
        <f t="array" ref="H65">_xlfn.IFS('ProductSprint Backlog'!$F65="", "", AND('ProductSprint Backlog'!$J65&gt;H$2,'ProductSprint Backlog'!$I65&lt;=H$2), 'ProductSprint Backlog'!$F65 / MAX(1, 'ProductSprint Backlog'!$J65-'ProductSprint Backlog'!$I65), AND('ProductSprint Backlog'!$J65=H$2,'ProductSprint Backlog'!$I65=H$2), 'ProductSprint Backlog'!$F65, TRUE, 0)</f>
        <v>0</v>
      </c>
      <c r="I65" s="4" cm="1">
        <f t="array" ref="I65">_xlfn.IFS('ProductSprint Backlog'!$F65="", "", AND('ProductSprint Backlog'!$J65&gt;I$2,'ProductSprint Backlog'!$I65&lt;=I$2), 'ProductSprint Backlog'!$F65 / MAX(1, 'ProductSprint Backlog'!$J65-'ProductSprint Backlog'!$I65), AND('ProductSprint Backlog'!$J65=I$2,'ProductSprint Backlog'!$I65=I$2), 'ProductSprint Backlog'!$F65, TRUE, 0)</f>
        <v>0</v>
      </c>
      <c r="J65" s="4" cm="1">
        <f t="array" ref="J65">_xlfn.IFS('ProductSprint Backlog'!$F65="", "", AND('ProductSprint Backlog'!$J65&gt;J$2,'ProductSprint Backlog'!$I65&lt;=J$2), 'ProductSprint Backlog'!$F65 / MAX(1, 'ProductSprint Backlog'!$J65-'ProductSprint Backlog'!$I65), AND('ProductSprint Backlog'!$J65=J$2,'ProductSprint Backlog'!$I65=J$2), 'ProductSprint Backlog'!$F65, TRUE, 0)</f>
        <v>0</v>
      </c>
      <c r="K65" s="4" cm="1">
        <f t="array" ref="K65">_xlfn.IFS('ProductSprint Backlog'!$F65="", "", AND('ProductSprint Backlog'!$J65&gt;K$2,'ProductSprint Backlog'!$I65&lt;=K$2), 'ProductSprint Backlog'!$F65 / MAX(1, 'ProductSprint Backlog'!$J65-'ProductSprint Backlog'!$I65), AND('ProductSprint Backlog'!$J65=K$2,'ProductSprint Backlog'!$I65=K$2), 'ProductSprint Backlog'!$F65, TRUE, 0)</f>
        <v>0</v>
      </c>
      <c r="L65" s="4" cm="1">
        <f t="array" ref="L65">_xlfn.IFS('ProductSprint Backlog'!$F65="", "", AND('ProductSprint Backlog'!$J65&gt;L$2,'ProductSprint Backlog'!$I65&lt;=L$2), 'ProductSprint Backlog'!$F65 / MAX(1, 'ProductSprint Backlog'!$J65-'ProductSprint Backlog'!$I65), AND('ProductSprint Backlog'!$J65=L$2,'ProductSprint Backlog'!$I65=L$2), 'ProductSprint Backlog'!$F65, TRUE, 0)</f>
        <v>0</v>
      </c>
      <c r="M65" s="4" cm="1">
        <f t="array" ref="M65">_xlfn.IFS('ProductSprint Backlog'!$F65="", "", AND('ProductSprint Backlog'!$J65&gt;M$2,'ProductSprint Backlog'!$I65&lt;=M$2), 'ProductSprint Backlog'!$F65 / MAX(1, 'ProductSprint Backlog'!$J65-'ProductSprint Backlog'!$I65), AND('ProductSprint Backlog'!$J65=M$2,'ProductSprint Backlog'!$I65=M$2), 'ProductSprint Backlog'!$F65, TRUE, 0)</f>
        <v>0</v>
      </c>
      <c r="N65" s="4" cm="1">
        <f t="array" ref="N65">_xlfn.IFS('ProductSprint Backlog'!$F65="", "", AND('ProductSprint Backlog'!$J65&gt;N$2,'ProductSprint Backlog'!$I65&lt;=N$2), 'ProductSprint Backlog'!$F65 / MAX(1, 'ProductSprint Backlog'!$J65-'ProductSprint Backlog'!$I65), AND('ProductSprint Backlog'!$J65=N$2,'ProductSprint Backlog'!$I65=N$2), 'ProductSprint Backlog'!$F65, TRUE, 0)</f>
        <v>0</v>
      </c>
      <c r="O65" s="4" cm="1">
        <f t="array" ref="O65">_xlfn.IFS('ProductSprint Backlog'!$F65="", "", AND('ProductSprint Backlog'!$J65&gt;O$2,'ProductSprint Backlog'!$I65&lt;=O$2), 'ProductSprint Backlog'!$F65 / MAX(1, 'ProductSprint Backlog'!$J65-'ProductSprint Backlog'!$I65), AND('ProductSprint Backlog'!$J65=O$2,'ProductSprint Backlog'!$I65=O$2), 'ProductSprint Backlog'!$F65, TRUE, 0)</f>
        <v>0</v>
      </c>
      <c r="P65" s="4" cm="1">
        <f t="array" ref="P65">_xlfn.IFS('ProductSprint Backlog'!$F65="", "", AND('ProductSprint Backlog'!$J65&gt;P$2,'ProductSprint Backlog'!$I65&lt;=P$2), 'ProductSprint Backlog'!$F65 / MAX(1, 'ProductSprint Backlog'!$J65-'ProductSprint Backlog'!$I65), AND('ProductSprint Backlog'!$J65=P$2,'ProductSprint Backlog'!$I65=P$2), 'ProductSprint Backlog'!$F65, TRUE, 0)</f>
        <v>0</v>
      </c>
      <c r="Q65" s="4" cm="1">
        <f t="array" ref="Q65">_xlfn.IFS('ProductSprint Backlog'!$F65="", "", AND('ProductSprint Backlog'!$J65&gt;Q$2,'ProductSprint Backlog'!$I65&lt;=Q$2), 'ProductSprint Backlog'!$F65 / MAX(1, 'ProductSprint Backlog'!$J65-'ProductSprint Backlog'!$I65), AND('ProductSprint Backlog'!$J65=Q$2,'ProductSprint Backlog'!$I65=Q$2), 'ProductSprint Backlog'!$F65, TRUE, 0)</f>
        <v>0</v>
      </c>
    </row>
    <row r="66" spans="2:17" x14ac:dyDescent="0.2">
      <c r="B66" s="4" t="str" cm="1">
        <f t="array" ref="B66">_xlfn.IFS('ProductSprint Backlog'!$F66="", "", AND('ProductSprint Backlog'!$J66&gt;B$2,'ProductSprint Backlog'!$I66&lt;=B$2), 'ProductSprint Backlog'!$F66 / MAX(1, 'ProductSprint Backlog'!$J66-'ProductSprint Backlog'!$I66), AND('ProductSprint Backlog'!$J66=B$2,'ProductSprint Backlog'!$I66=B$2), 'ProductSprint Backlog'!$F66, TRUE, 0)</f>
        <v/>
      </c>
      <c r="C66" s="4" t="str" cm="1">
        <f t="array" ref="C66">_xlfn.IFS('ProductSprint Backlog'!$F66="", "", AND('ProductSprint Backlog'!$J66&gt;C$2,'ProductSprint Backlog'!$I66&lt;=C$2), 'ProductSprint Backlog'!$F66 / MAX(1, 'ProductSprint Backlog'!$J66-'ProductSprint Backlog'!$I66), AND('ProductSprint Backlog'!$J66=C$2,'ProductSprint Backlog'!$I66=C$2), 'ProductSprint Backlog'!$F66, TRUE, 0)</f>
        <v/>
      </c>
      <c r="D66" s="4" t="str" cm="1">
        <f t="array" ref="D66">_xlfn.IFS('ProductSprint Backlog'!$F66="", "", AND('ProductSprint Backlog'!$J66&gt;D$2,'ProductSprint Backlog'!$I66&lt;=D$2), 'ProductSprint Backlog'!$F66 / MAX(1, 'ProductSprint Backlog'!$J66-'ProductSprint Backlog'!$I66), AND('ProductSprint Backlog'!$J66=D$2,'ProductSprint Backlog'!$I66=D$2), 'ProductSprint Backlog'!$F66, TRUE, 0)</f>
        <v/>
      </c>
      <c r="E66" s="4" t="str" cm="1">
        <f t="array" ref="E66">_xlfn.IFS('ProductSprint Backlog'!$F66="", "", AND('ProductSprint Backlog'!$J66&gt;E$2,'ProductSprint Backlog'!$I66&lt;=E$2), 'ProductSprint Backlog'!$F66 / MAX(1, 'ProductSprint Backlog'!$J66-'ProductSprint Backlog'!$I66), AND('ProductSprint Backlog'!$J66=E$2,'ProductSprint Backlog'!$I66=E$2), 'ProductSprint Backlog'!$F66, TRUE, 0)</f>
        <v/>
      </c>
      <c r="F66" s="4" t="str" cm="1">
        <f t="array" ref="F66">_xlfn.IFS('ProductSprint Backlog'!$F66="", "", AND('ProductSprint Backlog'!$J66&gt;F$2,'ProductSprint Backlog'!$I66&lt;=F$2), 'ProductSprint Backlog'!$F66 / MAX(1, 'ProductSprint Backlog'!$J66-'ProductSprint Backlog'!$I66), AND('ProductSprint Backlog'!$J66=F$2,'ProductSprint Backlog'!$I66=F$2), 'ProductSprint Backlog'!$F66, TRUE, 0)</f>
        <v/>
      </c>
      <c r="G66" s="4" t="str" cm="1">
        <f t="array" ref="G66">_xlfn.IFS('ProductSprint Backlog'!$F66="", "", AND('ProductSprint Backlog'!$J66&gt;G$2,'ProductSprint Backlog'!$I66&lt;=G$2), 'ProductSprint Backlog'!$F66 / MAX(1, 'ProductSprint Backlog'!$J66-'ProductSprint Backlog'!$I66), AND('ProductSprint Backlog'!$J66=G$2,'ProductSprint Backlog'!$I66=G$2), 'ProductSprint Backlog'!$F66, TRUE, 0)</f>
        <v/>
      </c>
      <c r="H66" s="4" t="str" cm="1">
        <f t="array" ref="H66">_xlfn.IFS('ProductSprint Backlog'!$F66="", "", AND('ProductSprint Backlog'!$J66&gt;H$2,'ProductSprint Backlog'!$I66&lt;=H$2), 'ProductSprint Backlog'!$F66 / MAX(1, 'ProductSprint Backlog'!$J66-'ProductSprint Backlog'!$I66), AND('ProductSprint Backlog'!$J66=H$2,'ProductSprint Backlog'!$I66=H$2), 'ProductSprint Backlog'!$F66, TRUE, 0)</f>
        <v/>
      </c>
      <c r="I66" s="4" t="str" cm="1">
        <f t="array" ref="I66">_xlfn.IFS('ProductSprint Backlog'!$F66="", "", AND('ProductSprint Backlog'!$J66&gt;I$2,'ProductSprint Backlog'!$I66&lt;=I$2), 'ProductSprint Backlog'!$F66 / MAX(1, 'ProductSprint Backlog'!$J66-'ProductSprint Backlog'!$I66), AND('ProductSprint Backlog'!$J66=I$2,'ProductSprint Backlog'!$I66=I$2), 'ProductSprint Backlog'!$F66, TRUE, 0)</f>
        <v/>
      </c>
      <c r="J66" s="4" t="str" cm="1">
        <f t="array" ref="J66">_xlfn.IFS('ProductSprint Backlog'!$F66="", "", AND('ProductSprint Backlog'!$J66&gt;J$2,'ProductSprint Backlog'!$I66&lt;=J$2), 'ProductSprint Backlog'!$F66 / MAX(1, 'ProductSprint Backlog'!$J66-'ProductSprint Backlog'!$I66), AND('ProductSprint Backlog'!$J66=J$2,'ProductSprint Backlog'!$I66=J$2), 'ProductSprint Backlog'!$F66, TRUE, 0)</f>
        <v/>
      </c>
      <c r="K66" s="4" t="str" cm="1">
        <f t="array" ref="K66">_xlfn.IFS('ProductSprint Backlog'!$F66="", "", AND('ProductSprint Backlog'!$J66&gt;K$2,'ProductSprint Backlog'!$I66&lt;=K$2), 'ProductSprint Backlog'!$F66 / MAX(1, 'ProductSprint Backlog'!$J66-'ProductSprint Backlog'!$I66), AND('ProductSprint Backlog'!$J66=K$2,'ProductSprint Backlog'!$I66=K$2), 'ProductSprint Backlog'!$F66, TRUE, 0)</f>
        <v/>
      </c>
      <c r="L66" s="4" t="str" cm="1">
        <f t="array" ref="L66">_xlfn.IFS('ProductSprint Backlog'!$F66="", "", AND('ProductSprint Backlog'!$J66&gt;L$2,'ProductSprint Backlog'!$I66&lt;=L$2), 'ProductSprint Backlog'!$F66 / MAX(1, 'ProductSprint Backlog'!$J66-'ProductSprint Backlog'!$I66), AND('ProductSprint Backlog'!$J66=L$2,'ProductSprint Backlog'!$I66=L$2), 'ProductSprint Backlog'!$F66, TRUE, 0)</f>
        <v/>
      </c>
      <c r="M66" s="4" t="str" cm="1">
        <f t="array" ref="M66">_xlfn.IFS('ProductSprint Backlog'!$F66="", "", AND('ProductSprint Backlog'!$J66&gt;M$2,'ProductSprint Backlog'!$I66&lt;=M$2), 'ProductSprint Backlog'!$F66 / MAX(1, 'ProductSprint Backlog'!$J66-'ProductSprint Backlog'!$I66), AND('ProductSprint Backlog'!$J66=M$2,'ProductSprint Backlog'!$I66=M$2), 'ProductSprint Backlog'!$F66, TRUE, 0)</f>
        <v/>
      </c>
      <c r="N66" s="4" t="str" cm="1">
        <f t="array" ref="N66">_xlfn.IFS('ProductSprint Backlog'!$F66="", "", AND('ProductSprint Backlog'!$J66&gt;N$2,'ProductSprint Backlog'!$I66&lt;=N$2), 'ProductSprint Backlog'!$F66 / MAX(1, 'ProductSprint Backlog'!$J66-'ProductSprint Backlog'!$I66), AND('ProductSprint Backlog'!$J66=N$2,'ProductSprint Backlog'!$I66=N$2), 'ProductSprint Backlog'!$F66, TRUE, 0)</f>
        <v/>
      </c>
      <c r="O66" s="4" t="str" cm="1">
        <f t="array" ref="O66">_xlfn.IFS('ProductSprint Backlog'!$F66="", "", AND('ProductSprint Backlog'!$J66&gt;O$2,'ProductSprint Backlog'!$I66&lt;=O$2), 'ProductSprint Backlog'!$F66 / MAX(1, 'ProductSprint Backlog'!$J66-'ProductSprint Backlog'!$I66), AND('ProductSprint Backlog'!$J66=O$2,'ProductSprint Backlog'!$I66=O$2), 'ProductSprint Backlog'!$F66, TRUE, 0)</f>
        <v/>
      </c>
      <c r="P66" s="4" t="str" cm="1">
        <f t="array" ref="P66">_xlfn.IFS('ProductSprint Backlog'!$F66="", "", AND('ProductSprint Backlog'!$J66&gt;P$2,'ProductSprint Backlog'!$I66&lt;=P$2), 'ProductSprint Backlog'!$F66 / MAX(1, 'ProductSprint Backlog'!$J66-'ProductSprint Backlog'!$I66), AND('ProductSprint Backlog'!$J66=P$2,'ProductSprint Backlog'!$I66=P$2), 'ProductSprint Backlog'!$F66, TRUE, 0)</f>
        <v/>
      </c>
      <c r="Q66" s="4" t="str" cm="1">
        <f t="array" ref="Q66">_xlfn.IFS('ProductSprint Backlog'!$F66="", "", AND('ProductSprint Backlog'!$J66&gt;Q$2,'ProductSprint Backlog'!$I66&lt;=Q$2), 'ProductSprint Backlog'!$F66 / MAX(1, 'ProductSprint Backlog'!$J66-'ProductSprint Backlog'!$I66), AND('ProductSprint Backlog'!$J66=Q$2,'ProductSprint Backlog'!$I66=Q$2), 'ProductSprint Backlog'!$F66, TRUE, 0)</f>
        <v/>
      </c>
    </row>
    <row r="67" spans="2:17" x14ac:dyDescent="0.2">
      <c r="B67" s="4" cm="1">
        <f t="array" ref="B67">_xlfn.IFS('ProductSprint Backlog'!$F67="", "", AND('ProductSprint Backlog'!$J67&gt;B$2,'ProductSprint Backlog'!$I67&lt;=B$2), 'ProductSprint Backlog'!$F67 / MAX(1, 'ProductSprint Backlog'!$J67-'ProductSprint Backlog'!$I67), AND('ProductSprint Backlog'!$J67=B$2,'ProductSprint Backlog'!$I67=B$2), 'ProductSprint Backlog'!$F67, TRUE, 0)</f>
        <v>0</v>
      </c>
      <c r="C67" s="4" cm="1">
        <f t="array" ref="C67">_xlfn.IFS('ProductSprint Backlog'!$F67="", "", AND('ProductSprint Backlog'!$J67&gt;C$2,'ProductSprint Backlog'!$I67&lt;=C$2), 'ProductSprint Backlog'!$F67 / MAX(1, 'ProductSprint Backlog'!$J67-'ProductSprint Backlog'!$I67), AND('ProductSprint Backlog'!$J67=C$2,'ProductSprint Backlog'!$I67=C$2), 'ProductSprint Backlog'!$F67, TRUE, 0)</f>
        <v>0</v>
      </c>
      <c r="D67" s="4" cm="1">
        <f t="array" ref="D67">_xlfn.IFS('ProductSprint Backlog'!$F67="", "", AND('ProductSprint Backlog'!$J67&gt;D$2,'ProductSprint Backlog'!$I67&lt;=D$2), 'ProductSprint Backlog'!$F67 / MAX(1, 'ProductSprint Backlog'!$J67-'ProductSprint Backlog'!$I67), AND('ProductSprint Backlog'!$J67=D$2,'ProductSprint Backlog'!$I67=D$2), 'ProductSprint Backlog'!$F67, TRUE, 0)</f>
        <v>0</v>
      </c>
      <c r="E67" s="4" cm="1">
        <f t="array" ref="E67">_xlfn.IFS('ProductSprint Backlog'!$F67="", "", AND('ProductSprint Backlog'!$J67&gt;E$2,'ProductSprint Backlog'!$I67&lt;=E$2), 'ProductSprint Backlog'!$F67 / MAX(1, 'ProductSprint Backlog'!$J67-'ProductSprint Backlog'!$I67), AND('ProductSprint Backlog'!$J67=E$2,'ProductSprint Backlog'!$I67=E$2), 'ProductSprint Backlog'!$F67, TRUE, 0)</f>
        <v>0</v>
      </c>
      <c r="F67" s="4" cm="1">
        <f t="array" ref="F67">_xlfn.IFS('ProductSprint Backlog'!$F67="", "", AND('ProductSprint Backlog'!$J67&gt;F$2,'ProductSprint Backlog'!$I67&lt;=F$2), 'ProductSprint Backlog'!$F67 / MAX(1, 'ProductSprint Backlog'!$J67-'ProductSprint Backlog'!$I67), AND('ProductSprint Backlog'!$J67=F$2,'ProductSprint Backlog'!$I67=F$2), 'ProductSprint Backlog'!$F67, TRUE, 0)</f>
        <v>0</v>
      </c>
      <c r="G67" s="4" cm="1">
        <f t="array" ref="G67">_xlfn.IFS('ProductSprint Backlog'!$F67="", "", AND('ProductSprint Backlog'!$J67&gt;G$2,'ProductSprint Backlog'!$I67&lt;=G$2), 'ProductSprint Backlog'!$F67 / MAX(1, 'ProductSprint Backlog'!$J67-'ProductSprint Backlog'!$I67), AND('ProductSprint Backlog'!$J67=G$2,'ProductSprint Backlog'!$I67=G$2), 'ProductSprint Backlog'!$F67, TRUE, 0)</f>
        <v>0</v>
      </c>
      <c r="H67" s="4" cm="1">
        <f t="array" ref="H67">_xlfn.IFS('ProductSprint Backlog'!$F67="", "", AND('ProductSprint Backlog'!$J67&gt;H$2,'ProductSprint Backlog'!$I67&lt;=H$2), 'ProductSprint Backlog'!$F67 / MAX(1, 'ProductSprint Backlog'!$J67-'ProductSprint Backlog'!$I67), AND('ProductSprint Backlog'!$J67=H$2,'ProductSprint Backlog'!$I67=H$2), 'ProductSprint Backlog'!$F67, TRUE, 0)</f>
        <v>0</v>
      </c>
      <c r="I67" s="4" cm="1">
        <f t="array" ref="I67">_xlfn.IFS('ProductSprint Backlog'!$F67="", "", AND('ProductSprint Backlog'!$J67&gt;I$2,'ProductSprint Backlog'!$I67&lt;=I$2), 'ProductSprint Backlog'!$F67 / MAX(1, 'ProductSprint Backlog'!$J67-'ProductSprint Backlog'!$I67), AND('ProductSprint Backlog'!$J67=I$2,'ProductSprint Backlog'!$I67=I$2), 'ProductSprint Backlog'!$F67, TRUE, 0)</f>
        <v>0</v>
      </c>
      <c r="J67" s="4" cm="1">
        <f t="array" ref="J67">_xlfn.IFS('ProductSprint Backlog'!$F67="", "", AND('ProductSprint Backlog'!$J67&gt;J$2,'ProductSprint Backlog'!$I67&lt;=J$2), 'ProductSprint Backlog'!$F67 / MAX(1, 'ProductSprint Backlog'!$J67-'ProductSprint Backlog'!$I67), AND('ProductSprint Backlog'!$J67=J$2,'ProductSprint Backlog'!$I67=J$2), 'ProductSprint Backlog'!$F67, TRUE, 0)</f>
        <v>0</v>
      </c>
      <c r="K67" s="4" cm="1">
        <f t="array" ref="K67">_xlfn.IFS('ProductSprint Backlog'!$F67="", "", AND('ProductSprint Backlog'!$J67&gt;K$2,'ProductSprint Backlog'!$I67&lt;=K$2), 'ProductSprint Backlog'!$F67 / MAX(1, 'ProductSprint Backlog'!$J67-'ProductSprint Backlog'!$I67), AND('ProductSprint Backlog'!$J67=K$2,'ProductSprint Backlog'!$I67=K$2), 'ProductSprint Backlog'!$F67, TRUE, 0)</f>
        <v>0</v>
      </c>
      <c r="L67" s="4" cm="1">
        <f t="array" ref="L67">_xlfn.IFS('ProductSprint Backlog'!$F67="", "", AND('ProductSprint Backlog'!$J67&gt;L$2,'ProductSprint Backlog'!$I67&lt;=L$2), 'ProductSprint Backlog'!$F67 / MAX(1, 'ProductSprint Backlog'!$J67-'ProductSprint Backlog'!$I67), AND('ProductSprint Backlog'!$J67=L$2,'ProductSprint Backlog'!$I67=L$2), 'ProductSprint Backlog'!$F67, TRUE, 0)</f>
        <v>0</v>
      </c>
      <c r="M67" s="4" cm="1">
        <f t="array" ref="M67">_xlfn.IFS('ProductSprint Backlog'!$F67="", "", AND('ProductSprint Backlog'!$J67&gt;M$2,'ProductSprint Backlog'!$I67&lt;=M$2), 'ProductSprint Backlog'!$F67 / MAX(1, 'ProductSprint Backlog'!$J67-'ProductSprint Backlog'!$I67), AND('ProductSprint Backlog'!$J67=M$2,'ProductSprint Backlog'!$I67=M$2), 'ProductSprint Backlog'!$F67, TRUE, 0)</f>
        <v>0</v>
      </c>
      <c r="N67" s="4" cm="1">
        <f t="array" ref="N67">_xlfn.IFS('ProductSprint Backlog'!$F67="", "", AND('ProductSprint Backlog'!$J67&gt;N$2,'ProductSprint Backlog'!$I67&lt;=N$2), 'ProductSprint Backlog'!$F67 / MAX(1, 'ProductSprint Backlog'!$J67-'ProductSprint Backlog'!$I67), AND('ProductSprint Backlog'!$J67=N$2,'ProductSprint Backlog'!$I67=N$2), 'ProductSprint Backlog'!$F67, TRUE, 0)</f>
        <v>0</v>
      </c>
      <c r="O67" s="4" cm="1">
        <f t="array" ref="O67">_xlfn.IFS('ProductSprint Backlog'!$F67="", "", AND('ProductSprint Backlog'!$J67&gt;O$2,'ProductSprint Backlog'!$I67&lt;=O$2), 'ProductSprint Backlog'!$F67 / MAX(1, 'ProductSprint Backlog'!$J67-'ProductSprint Backlog'!$I67), AND('ProductSprint Backlog'!$J67=O$2,'ProductSprint Backlog'!$I67=O$2), 'ProductSprint Backlog'!$F67, TRUE, 0)</f>
        <v>0</v>
      </c>
      <c r="P67" s="4" cm="1">
        <f t="array" ref="P67">_xlfn.IFS('ProductSprint Backlog'!$F67="", "", AND('ProductSprint Backlog'!$J67&gt;P$2,'ProductSprint Backlog'!$I67&lt;=P$2), 'ProductSprint Backlog'!$F67 / MAX(1, 'ProductSprint Backlog'!$J67-'ProductSprint Backlog'!$I67), AND('ProductSprint Backlog'!$J67=P$2,'ProductSprint Backlog'!$I67=P$2), 'ProductSprint Backlog'!$F67, TRUE, 0)</f>
        <v>0</v>
      </c>
      <c r="Q67" s="4" cm="1">
        <f t="array" ref="Q67">_xlfn.IFS('ProductSprint Backlog'!$F67="", "", AND('ProductSprint Backlog'!$J67&gt;Q$2,'ProductSprint Backlog'!$I67&lt;=Q$2), 'ProductSprint Backlog'!$F67 / MAX(1, 'ProductSprint Backlog'!$J67-'ProductSprint Backlog'!$I67), AND('ProductSprint Backlog'!$J67=Q$2,'ProductSprint Backlog'!$I67=Q$2), 'ProductSprint Backlog'!$F67, TRUE, 0)</f>
        <v>0</v>
      </c>
    </row>
    <row r="68" spans="2:17" x14ac:dyDescent="0.2">
      <c r="B68" s="4" cm="1">
        <f t="array" ref="B68">_xlfn.IFS('ProductSprint Backlog'!$F68="", "", AND('ProductSprint Backlog'!$J68&gt;B$2,'ProductSprint Backlog'!$I68&lt;=B$2), 'ProductSprint Backlog'!$F68 / MAX(1, 'ProductSprint Backlog'!$J68-'ProductSprint Backlog'!$I68), AND('ProductSprint Backlog'!$J68=B$2,'ProductSprint Backlog'!$I68=B$2), 'ProductSprint Backlog'!$F68, TRUE, 0)</f>
        <v>0</v>
      </c>
      <c r="C68" s="4" cm="1">
        <f t="array" ref="C68">_xlfn.IFS('ProductSprint Backlog'!$F68="", "", AND('ProductSprint Backlog'!$J68&gt;C$2,'ProductSprint Backlog'!$I68&lt;=C$2), 'ProductSprint Backlog'!$F68 / MAX(1, 'ProductSprint Backlog'!$J68-'ProductSprint Backlog'!$I68), AND('ProductSprint Backlog'!$J68=C$2,'ProductSprint Backlog'!$I68=C$2), 'ProductSprint Backlog'!$F68, TRUE, 0)</f>
        <v>0</v>
      </c>
      <c r="D68" s="4" cm="1">
        <f t="array" ref="D68">_xlfn.IFS('ProductSprint Backlog'!$F68="", "", AND('ProductSprint Backlog'!$J68&gt;D$2,'ProductSprint Backlog'!$I68&lt;=D$2), 'ProductSprint Backlog'!$F68 / MAX(1, 'ProductSprint Backlog'!$J68-'ProductSprint Backlog'!$I68), AND('ProductSprint Backlog'!$J68=D$2,'ProductSprint Backlog'!$I68=D$2), 'ProductSprint Backlog'!$F68, TRUE, 0)</f>
        <v>0</v>
      </c>
      <c r="E68" s="4" cm="1">
        <f t="array" ref="E68">_xlfn.IFS('ProductSprint Backlog'!$F68="", "", AND('ProductSprint Backlog'!$J68&gt;E$2,'ProductSprint Backlog'!$I68&lt;=E$2), 'ProductSprint Backlog'!$F68 / MAX(1, 'ProductSprint Backlog'!$J68-'ProductSprint Backlog'!$I68), AND('ProductSprint Backlog'!$J68=E$2,'ProductSprint Backlog'!$I68=E$2), 'ProductSprint Backlog'!$F68, TRUE, 0)</f>
        <v>0</v>
      </c>
      <c r="F68" s="4" cm="1">
        <f t="array" ref="F68">_xlfn.IFS('ProductSprint Backlog'!$F68="", "", AND('ProductSprint Backlog'!$J68&gt;F$2,'ProductSprint Backlog'!$I68&lt;=F$2), 'ProductSprint Backlog'!$F68 / MAX(1, 'ProductSprint Backlog'!$J68-'ProductSprint Backlog'!$I68), AND('ProductSprint Backlog'!$J68=F$2,'ProductSprint Backlog'!$I68=F$2), 'ProductSprint Backlog'!$F68, TRUE, 0)</f>
        <v>0</v>
      </c>
      <c r="G68" s="4" cm="1">
        <f t="array" ref="G68">_xlfn.IFS('ProductSprint Backlog'!$F68="", "", AND('ProductSprint Backlog'!$J68&gt;G$2,'ProductSprint Backlog'!$I68&lt;=G$2), 'ProductSprint Backlog'!$F68 / MAX(1, 'ProductSprint Backlog'!$J68-'ProductSprint Backlog'!$I68), AND('ProductSprint Backlog'!$J68=G$2,'ProductSprint Backlog'!$I68=G$2), 'ProductSprint Backlog'!$F68, TRUE, 0)</f>
        <v>0</v>
      </c>
      <c r="H68" s="4" cm="1">
        <f t="array" ref="H68">_xlfn.IFS('ProductSprint Backlog'!$F68="", "", AND('ProductSprint Backlog'!$J68&gt;H$2,'ProductSprint Backlog'!$I68&lt;=H$2), 'ProductSprint Backlog'!$F68 / MAX(1, 'ProductSprint Backlog'!$J68-'ProductSprint Backlog'!$I68), AND('ProductSprint Backlog'!$J68=H$2,'ProductSprint Backlog'!$I68=H$2), 'ProductSprint Backlog'!$F68, TRUE, 0)</f>
        <v>0</v>
      </c>
      <c r="I68" s="4" cm="1">
        <f t="array" ref="I68">_xlfn.IFS('ProductSprint Backlog'!$F68="", "", AND('ProductSprint Backlog'!$J68&gt;I$2,'ProductSprint Backlog'!$I68&lt;=I$2), 'ProductSprint Backlog'!$F68 / MAX(1, 'ProductSprint Backlog'!$J68-'ProductSprint Backlog'!$I68), AND('ProductSprint Backlog'!$J68=I$2,'ProductSprint Backlog'!$I68=I$2), 'ProductSprint Backlog'!$F68, TRUE, 0)</f>
        <v>0</v>
      </c>
      <c r="J68" s="4" cm="1">
        <f t="array" ref="J68">_xlfn.IFS('ProductSprint Backlog'!$F68="", "", AND('ProductSprint Backlog'!$J68&gt;J$2,'ProductSprint Backlog'!$I68&lt;=J$2), 'ProductSprint Backlog'!$F68 / MAX(1, 'ProductSprint Backlog'!$J68-'ProductSprint Backlog'!$I68), AND('ProductSprint Backlog'!$J68=J$2,'ProductSprint Backlog'!$I68=J$2), 'ProductSprint Backlog'!$F68, TRUE, 0)</f>
        <v>0</v>
      </c>
      <c r="K68" s="4" cm="1">
        <f t="array" ref="K68">_xlfn.IFS('ProductSprint Backlog'!$F68="", "", AND('ProductSprint Backlog'!$J68&gt;K$2,'ProductSprint Backlog'!$I68&lt;=K$2), 'ProductSprint Backlog'!$F68 / MAX(1, 'ProductSprint Backlog'!$J68-'ProductSprint Backlog'!$I68), AND('ProductSprint Backlog'!$J68=K$2,'ProductSprint Backlog'!$I68=K$2), 'ProductSprint Backlog'!$F68, TRUE, 0)</f>
        <v>0</v>
      </c>
      <c r="L68" s="4" cm="1">
        <f t="array" ref="L68">_xlfn.IFS('ProductSprint Backlog'!$F68="", "", AND('ProductSprint Backlog'!$J68&gt;L$2,'ProductSprint Backlog'!$I68&lt;=L$2), 'ProductSprint Backlog'!$F68 / MAX(1, 'ProductSprint Backlog'!$J68-'ProductSprint Backlog'!$I68), AND('ProductSprint Backlog'!$J68=L$2,'ProductSprint Backlog'!$I68=L$2), 'ProductSprint Backlog'!$F68, TRUE, 0)</f>
        <v>0</v>
      </c>
      <c r="M68" s="4" cm="1">
        <f t="array" ref="M68">_xlfn.IFS('ProductSprint Backlog'!$F68="", "", AND('ProductSprint Backlog'!$J68&gt;M$2,'ProductSprint Backlog'!$I68&lt;=M$2), 'ProductSprint Backlog'!$F68 / MAX(1, 'ProductSprint Backlog'!$J68-'ProductSprint Backlog'!$I68), AND('ProductSprint Backlog'!$J68=M$2,'ProductSprint Backlog'!$I68=M$2), 'ProductSprint Backlog'!$F68, TRUE, 0)</f>
        <v>0</v>
      </c>
      <c r="N68" s="4" cm="1">
        <f t="array" ref="N68">_xlfn.IFS('ProductSprint Backlog'!$F68="", "", AND('ProductSprint Backlog'!$J68&gt;N$2,'ProductSprint Backlog'!$I68&lt;=N$2), 'ProductSprint Backlog'!$F68 / MAX(1, 'ProductSprint Backlog'!$J68-'ProductSprint Backlog'!$I68), AND('ProductSprint Backlog'!$J68=N$2,'ProductSprint Backlog'!$I68=N$2), 'ProductSprint Backlog'!$F68, TRUE, 0)</f>
        <v>0</v>
      </c>
      <c r="O68" s="4" cm="1">
        <f t="array" ref="O68">_xlfn.IFS('ProductSprint Backlog'!$F68="", "", AND('ProductSprint Backlog'!$J68&gt;O$2,'ProductSprint Backlog'!$I68&lt;=O$2), 'ProductSprint Backlog'!$F68 / MAX(1, 'ProductSprint Backlog'!$J68-'ProductSprint Backlog'!$I68), AND('ProductSprint Backlog'!$J68=O$2,'ProductSprint Backlog'!$I68=O$2), 'ProductSprint Backlog'!$F68, TRUE, 0)</f>
        <v>0</v>
      </c>
      <c r="P68" s="4" cm="1">
        <f t="array" ref="P68">_xlfn.IFS('ProductSprint Backlog'!$F68="", "", AND('ProductSprint Backlog'!$J68&gt;P$2,'ProductSprint Backlog'!$I68&lt;=P$2), 'ProductSprint Backlog'!$F68 / MAX(1, 'ProductSprint Backlog'!$J68-'ProductSprint Backlog'!$I68), AND('ProductSprint Backlog'!$J68=P$2,'ProductSprint Backlog'!$I68=P$2), 'ProductSprint Backlog'!$F68, TRUE, 0)</f>
        <v>0</v>
      </c>
      <c r="Q68" s="4" cm="1">
        <f t="array" ref="Q68">_xlfn.IFS('ProductSprint Backlog'!$F68="", "", AND('ProductSprint Backlog'!$J68&gt;Q$2,'ProductSprint Backlog'!$I68&lt;=Q$2), 'ProductSprint Backlog'!$F68 / MAX(1, 'ProductSprint Backlog'!$J68-'ProductSprint Backlog'!$I68), AND('ProductSprint Backlog'!$J68=Q$2,'ProductSprint Backlog'!$I68=Q$2), 'ProductSprint Backlog'!$F68, TRUE, 0)</f>
        <v>0</v>
      </c>
    </row>
    <row r="69" spans="2:17" x14ac:dyDescent="0.2">
      <c r="B69" s="4" cm="1">
        <f t="array" ref="B69">_xlfn.IFS('ProductSprint Backlog'!$F69="", "", AND('ProductSprint Backlog'!$J69&gt;B$2,'ProductSprint Backlog'!$I69&lt;=B$2), 'ProductSprint Backlog'!$F69 / MAX(1, 'ProductSprint Backlog'!$J69-'ProductSprint Backlog'!$I69), AND('ProductSprint Backlog'!$J69=B$2,'ProductSprint Backlog'!$I69=B$2), 'ProductSprint Backlog'!$F69, TRUE, 0)</f>
        <v>0</v>
      </c>
      <c r="C69" s="4" cm="1">
        <f t="array" ref="C69">_xlfn.IFS('ProductSprint Backlog'!$F69="", "", AND('ProductSprint Backlog'!$J69&gt;C$2,'ProductSprint Backlog'!$I69&lt;=C$2), 'ProductSprint Backlog'!$F69 / MAX(1, 'ProductSprint Backlog'!$J69-'ProductSprint Backlog'!$I69), AND('ProductSprint Backlog'!$J69=C$2,'ProductSprint Backlog'!$I69=C$2), 'ProductSprint Backlog'!$F69, TRUE, 0)</f>
        <v>0</v>
      </c>
      <c r="D69" s="4" cm="1">
        <f t="array" ref="D69">_xlfn.IFS('ProductSprint Backlog'!$F69="", "", AND('ProductSprint Backlog'!$J69&gt;D$2,'ProductSprint Backlog'!$I69&lt;=D$2), 'ProductSprint Backlog'!$F69 / MAX(1, 'ProductSprint Backlog'!$J69-'ProductSprint Backlog'!$I69), AND('ProductSprint Backlog'!$J69=D$2,'ProductSprint Backlog'!$I69=D$2), 'ProductSprint Backlog'!$F69, TRUE, 0)</f>
        <v>0</v>
      </c>
      <c r="E69" s="4" cm="1">
        <f t="array" ref="E69">_xlfn.IFS('ProductSprint Backlog'!$F69="", "", AND('ProductSprint Backlog'!$J69&gt;E$2,'ProductSprint Backlog'!$I69&lt;=E$2), 'ProductSprint Backlog'!$F69 / MAX(1, 'ProductSprint Backlog'!$J69-'ProductSprint Backlog'!$I69), AND('ProductSprint Backlog'!$J69=E$2,'ProductSprint Backlog'!$I69=E$2), 'ProductSprint Backlog'!$F69, TRUE, 0)</f>
        <v>0</v>
      </c>
      <c r="F69" s="4" cm="1">
        <f t="array" ref="F69">_xlfn.IFS('ProductSprint Backlog'!$F69="", "", AND('ProductSprint Backlog'!$J69&gt;F$2,'ProductSprint Backlog'!$I69&lt;=F$2), 'ProductSprint Backlog'!$F69 / MAX(1, 'ProductSprint Backlog'!$J69-'ProductSprint Backlog'!$I69), AND('ProductSprint Backlog'!$J69=F$2,'ProductSprint Backlog'!$I69=F$2), 'ProductSprint Backlog'!$F69, TRUE, 0)</f>
        <v>0</v>
      </c>
      <c r="G69" s="4" cm="1">
        <f t="array" ref="G69">_xlfn.IFS('ProductSprint Backlog'!$F69="", "", AND('ProductSprint Backlog'!$J69&gt;G$2,'ProductSprint Backlog'!$I69&lt;=G$2), 'ProductSprint Backlog'!$F69 / MAX(1, 'ProductSprint Backlog'!$J69-'ProductSprint Backlog'!$I69), AND('ProductSprint Backlog'!$J69=G$2,'ProductSprint Backlog'!$I69=G$2), 'ProductSprint Backlog'!$F69, TRUE, 0)</f>
        <v>0</v>
      </c>
      <c r="H69" s="4" cm="1">
        <f t="array" ref="H69">_xlfn.IFS('ProductSprint Backlog'!$F69="", "", AND('ProductSprint Backlog'!$J69&gt;H$2,'ProductSprint Backlog'!$I69&lt;=H$2), 'ProductSprint Backlog'!$F69 / MAX(1, 'ProductSprint Backlog'!$J69-'ProductSprint Backlog'!$I69), AND('ProductSprint Backlog'!$J69=H$2,'ProductSprint Backlog'!$I69=H$2), 'ProductSprint Backlog'!$F69, TRUE, 0)</f>
        <v>0</v>
      </c>
      <c r="I69" s="4" cm="1">
        <f t="array" ref="I69">_xlfn.IFS('ProductSprint Backlog'!$F69="", "", AND('ProductSprint Backlog'!$J69&gt;I$2,'ProductSprint Backlog'!$I69&lt;=I$2), 'ProductSprint Backlog'!$F69 / MAX(1, 'ProductSprint Backlog'!$J69-'ProductSprint Backlog'!$I69), AND('ProductSprint Backlog'!$J69=I$2,'ProductSprint Backlog'!$I69=I$2), 'ProductSprint Backlog'!$F69, TRUE, 0)</f>
        <v>0</v>
      </c>
      <c r="J69" s="4" cm="1">
        <f t="array" ref="J69">_xlfn.IFS('ProductSprint Backlog'!$F69="", "", AND('ProductSprint Backlog'!$J69&gt;J$2,'ProductSprint Backlog'!$I69&lt;=J$2), 'ProductSprint Backlog'!$F69 / MAX(1, 'ProductSprint Backlog'!$J69-'ProductSprint Backlog'!$I69), AND('ProductSprint Backlog'!$J69=J$2,'ProductSprint Backlog'!$I69=J$2), 'ProductSprint Backlog'!$F69, TRUE, 0)</f>
        <v>0</v>
      </c>
      <c r="K69" s="4" cm="1">
        <f t="array" ref="K69">_xlfn.IFS('ProductSprint Backlog'!$F69="", "", AND('ProductSprint Backlog'!$J69&gt;K$2,'ProductSprint Backlog'!$I69&lt;=K$2), 'ProductSprint Backlog'!$F69 / MAX(1, 'ProductSprint Backlog'!$J69-'ProductSprint Backlog'!$I69), AND('ProductSprint Backlog'!$J69=K$2,'ProductSprint Backlog'!$I69=K$2), 'ProductSprint Backlog'!$F69, TRUE, 0)</f>
        <v>0</v>
      </c>
      <c r="L69" s="4" cm="1">
        <f t="array" ref="L69">_xlfn.IFS('ProductSprint Backlog'!$F69="", "", AND('ProductSprint Backlog'!$J69&gt;L$2,'ProductSprint Backlog'!$I69&lt;=L$2), 'ProductSprint Backlog'!$F69 / MAX(1, 'ProductSprint Backlog'!$J69-'ProductSprint Backlog'!$I69), AND('ProductSprint Backlog'!$J69=L$2,'ProductSprint Backlog'!$I69=L$2), 'ProductSprint Backlog'!$F69, TRUE, 0)</f>
        <v>0</v>
      </c>
      <c r="M69" s="4" cm="1">
        <f t="array" ref="M69">_xlfn.IFS('ProductSprint Backlog'!$F69="", "", AND('ProductSprint Backlog'!$J69&gt;M$2,'ProductSprint Backlog'!$I69&lt;=M$2), 'ProductSprint Backlog'!$F69 / MAX(1, 'ProductSprint Backlog'!$J69-'ProductSprint Backlog'!$I69), AND('ProductSprint Backlog'!$J69=M$2,'ProductSprint Backlog'!$I69=M$2), 'ProductSprint Backlog'!$F69, TRUE, 0)</f>
        <v>0</v>
      </c>
      <c r="N69" s="4" cm="1">
        <f t="array" ref="N69">_xlfn.IFS('ProductSprint Backlog'!$F69="", "", AND('ProductSprint Backlog'!$J69&gt;N$2,'ProductSprint Backlog'!$I69&lt;=N$2), 'ProductSprint Backlog'!$F69 / MAX(1, 'ProductSprint Backlog'!$J69-'ProductSprint Backlog'!$I69), AND('ProductSprint Backlog'!$J69=N$2,'ProductSprint Backlog'!$I69=N$2), 'ProductSprint Backlog'!$F69, TRUE, 0)</f>
        <v>0</v>
      </c>
      <c r="O69" s="4" cm="1">
        <f t="array" ref="O69">_xlfn.IFS('ProductSprint Backlog'!$F69="", "", AND('ProductSprint Backlog'!$J69&gt;O$2,'ProductSprint Backlog'!$I69&lt;=O$2), 'ProductSprint Backlog'!$F69 / MAX(1, 'ProductSprint Backlog'!$J69-'ProductSprint Backlog'!$I69), AND('ProductSprint Backlog'!$J69=O$2,'ProductSprint Backlog'!$I69=O$2), 'ProductSprint Backlog'!$F69, TRUE, 0)</f>
        <v>0</v>
      </c>
      <c r="P69" s="4" cm="1">
        <f t="array" ref="P69">_xlfn.IFS('ProductSprint Backlog'!$F69="", "", AND('ProductSprint Backlog'!$J69&gt;P$2,'ProductSprint Backlog'!$I69&lt;=P$2), 'ProductSprint Backlog'!$F69 / MAX(1, 'ProductSprint Backlog'!$J69-'ProductSprint Backlog'!$I69), AND('ProductSprint Backlog'!$J69=P$2,'ProductSprint Backlog'!$I69=P$2), 'ProductSprint Backlog'!$F69, TRUE, 0)</f>
        <v>0</v>
      </c>
      <c r="Q69" s="4" cm="1">
        <f t="array" ref="Q69">_xlfn.IFS('ProductSprint Backlog'!$F69="", "", AND('ProductSprint Backlog'!$J69&gt;Q$2,'ProductSprint Backlog'!$I69&lt;=Q$2), 'ProductSprint Backlog'!$F69 / MAX(1, 'ProductSprint Backlog'!$J69-'ProductSprint Backlog'!$I69), AND('ProductSprint Backlog'!$J69=Q$2,'ProductSprint Backlog'!$I69=Q$2), 'ProductSprint Backlog'!$F69, TRUE, 0)</f>
        <v>0</v>
      </c>
    </row>
    <row r="70" spans="2:17" x14ac:dyDescent="0.2">
      <c r="B70" s="4" cm="1">
        <f t="array" ref="B70">_xlfn.IFS('ProductSprint Backlog'!$F70="", "", AND('ProductSprint Backlog'!$J70&gt;B$2,'ProductSprint Backlog'!$I70&lt;=B$2), 'ProductSprint Backlog'!$F70 / MAX(1, 'ProductSprint Backlog'!$J70-'ProductSprint Backlog'!$I70), AND('ProductSprint Backlog'!$J70=B$2,'ProductSprint Backlog'!$I70=B$2), 'ProductSprint Backlog'!$F70, TRUE, 0)</f>
        <v>0</v>
      </c>
      <c r="C70" s="4" cm="1">
        <f t="array" ref="C70">_xlfn.IFS('ProductSprint Backlog'!$F70="", "", AND('ProductSprint Backlog'!$J70&gt;C$2,'ProductSprint Backlog'!$I70&lt;=C$2), 'ProductSprint Backlog'!$F70 / MAX(1, 'ProductSprint Backlog'!$J70-'ProductSprint Backlog'!$I70), AND('ProductSprint Backlog'!$J70=C$2,'ProductSprint Backlog'!$I70=C$2), 'ProductSprint Backlog'!$F70, TRUE, 0)</f>
        <v>0</v>
      </c>
      <c r="D70" s="4" cm="1">
        <f t="array" ref="D70">_xlfn.IFS('ProductSprint Backlog'!$F70="", "", AND('ProductSprint Backlog'!$J70&gt;D$2,'ProductSprint Backlog'!$I70&lt;=D$2), 'ProductSprint Backlog'!$F70 / MAX(1, 'ProductSprint Backlog'!$J70-'ProductSprint Backlog'!$I70), AND('ProductSprint Backlog'!$J70=D$2,'ProductSprint Backlog'!$I70=D$2), 'ProductSprint Backlog'!$F70, TRUE, 0)</f>
        <v>0</v>
      </c>
      <c r="E70" s="4" cm="1">
        <f t="array" ref="E70">_xlfn.IFS('ProductSprint Backlog'!$F70="", "", AND('ProductSprint Backlog'!$J70&gt;E$2,'ProductSprint Backlog'!$I70&lt;=E$2), 'ProductSprint Backlog'!$F70 / MAX(1, 'ProductSprint Backlog'!$J70-'ProductSprint Backlog'!$I70), AND('ProductSprint Backlog'!$J70=E$2,'ProductSprint Backlog'!$I70=E$2), 'ProductSprint Backlog'!$F70, TRUE, 0)</f>
        <v>0</v>
      </c>
      <c r="F70" s="4" cm="1">
        <f t="array" ref="F70">_xlfn.IFS('ProductSprint Backlog'!$F70="", "", AND('ProductSprint Backlog'!$J70&gt;F$2,'ProductSprint Backlog'!$I70&lt;=F$2), 'ProductSprint Backlog'!$F70 / MAX(1, 'ProductSprint Backlog'!$J70-'ProductSprint Backlog'!$I70), AND('ProductSprint Backlog'!$J70=F$2,'ProductSprint Backlog'!$I70=F$2), 'ProductSprint Backlog'!$F70, TRUE, 0)</f>
        <v>0</v>
      </c>
      <c r="G70" s="4" cm="1">
        <f t="array" ref="G70">_xlfn.IFS('ProductSprint Backlog'!$F70="", "", AND('ProductSprint Backlog'!$J70&gt;G$2,'ProductSprint Backlog'!$I70&lt;=G$2), 'ProductSprint Backlog'!$F70 / MAX(1, 'ProductSprint Backlog'!$J70-'ProductSprint Backlog'!$I70), AND('ProductSprint Backlog'!$J70=G$2,'ProductSprint Backlog'!$I70=G$2), 'ProductSprint Backlog'!$F70, TRUE, 0)</f>
        <v>0</v>
      </c>
      <c r="H70" s="4" cm="1">
        <f t="array" ref="H70">_xlfn.IFS('ProductSprint Backlog'!$F70="", "", AND('ProductSprint Backlog'!$J70&gt;H$2,'ProductSprint Backlog'!$I70&lt;=H$2), 'ProductSprint Backlog'!$F70 / MAX(1, 'ProductSprint Backlog'!$J70-'ProductSprint Backlog'!$I70), AND('ProductSprint Backlog'!$J70=H$2,'ProductSprint Backlog'!$I70=H$2), 'ProductSprint Backlog'!$F70, TRUE, 0)</f>
        <v>0</v>
      </c>
      <c r="I70" s="4" cm="1">
        <f t="array" ref="I70">_xlfn.IFS('ProductSprint Backlog'!$F70="", "", AND('ProductSprint Backlog'!$J70&gt;I$2,'ProductSprint Backlog'!$I70&lt;=I$2), 'ProductSprint Backlog'!$F70 / MAX(1, 'ProductSprint Backlog'!$J70-'ProductSprint Backlog'!$I70), AND('ProductSprint Backlog'!$J70=I$2,'ProductSprint Backlog'!$I70=I$2), 'ProductSprint Backlog'!$F70, TRUE, 0)</f>
        <v>0</v>
      </c>
      <c r="J70" s="4" cm="1">
        <f t="array" ref="J70">_xlfn.IFS('ProductSprint Backlog'!$F70="", "", AND('ProductSprint Backlog'!$J70&gt;J$2,'ProductSprint Backlog'!$I70&lt;=J$2), 'ProductSprint Backlog'!$F70 / MAX(1, 'ProductSprint Backlog'!$J70-'ProductSprint Backlog'!$I70), AND('ProductSprint Backlog'!$J70=J$2,'ProductSprint Backlog'!$I70=J$2), 'ProductSprint Backlog'!$F70, TRUE, 0)</f>
        <v>0</v>
      </c>
      <c r="K70" s="4" cm="1">
        <f t="array" ref="K70">_xlfn.IFS('ProductSprint Backlog'!$F70="", "", AND('ProductSprint Backlog'!$J70&gt;K$2,'ProductSprint Backlog'!$I70&lt;=K$2), 'ProductSprint Backlog'!$F70 / MAX(1, 'ProductSprint Backlog'!$J70-'ProductSprint Backlog'!$I70), AND('ProductSprint Backlog'!$J70=K$2,'ProductSprint Backlog'!$I70=K$2), 'ProductSprint Backlog'!$F70, TRUE, 0)</f>
        <v>0</v>
      </c>
      <c r="L70" s="4" cm="1">
        <f t="array" ref="L70">_xlfn.IFS('ProductSprint Backlog'!$F70="", "", AND('ProductSprint Backlog'!$J70&gt;L$2,'ProductSprint Backlog'!$I70&lt;=L$2), 'ProductSprint Backlog'!$F70 / MAX(1, 'ProductSprint Backlog'!$J70-'ProductSprint Backlog'!$I70), AND('ProductSprint Backlog'!$J70=L$2,'ProductSprint Backlog'!$I70=L$2), 'ProductSprint Backlog'!$F70, TRUE, 0)</f>
        <v>0</v>
      </c>
      <c r="M70" s="4" cm="1">
        <f t="array" ref="M70">_xlfn.IFS('ProductSprint Backlog'!$F70="", "", AND('ProductSprint Backlog'!$J70&gt;M$2,'ProductSprint Backlog'!$I70&lt;=M$2), 'ProductSprint Backlog'!$F70 / MAX(1, 'ProductSprint Backlog'!$J70-'ProductSprint Backlog'!$I70), AND('ProductSprint Backlog'!$J70=M$2,'ProductSprint Backlog'!$I70=M$2), 'ProductSprint Backlog'!$F70, TRUE, 0)</f>
        <v>0</v>
      </c>
      <c r="N70" s="4" cm="1">
        <f t="array" ref="N70">_xlfn.IFS('ProductSprint Backlog'!$F70="", "", AND('ProductSprint Backlog'!$J70&gt;N$2,'ProductSprint Backlog'!$I70&lt;=N$2), 'ProductSprint Backlog'!$F70 / MAX(1, 'ProductSprint Backlog'!$J70-'ProductSprint Backlog'!$I70), AND('ProductSprint Backlog'!$J70=N$2,'ProductSprint Backlog'!$I70=N$2), 'ProductSprint Backlog'!$F70, TRUE, 0)</f>
        <v>0</v>
      </c>
      <c r="O70" s="4" cm="1">
        <f t="array" ref="O70">_xlfn.IFS('ProductSprint Backlog'!$F70="", "", AND('ProductSprint Backlog'!$J70&gt;O$2,'ProductSprint Backlog'!$I70&lt;=O$2), 'ProductSprint Backlog'!$F70 / MAX(1, 'ProductSprint Backlog'!$J70-'ProductSprint Backlog'!$I70), AND('ProductSprint Backlog'!$J70=O$2,'ProductSprint Backlog'!$I70=O$2), 'ProductSprint Backlog'!$F70, TRUE, 0)</f>
        <v>0</v>
      </c>
      <c r="P70" s="4" cm="1">
        <f t="array" ref="P70">_xlfn.IFS('ProductSprint Backlog'!$F70="", "", AND('ProductSprint Backlog'!$J70&gt;P$2,'ProductSprint Backlog'!$I70&lt;=P$2), 'ProductSprint Backlog'!$F70 / MAX(1, 'ProductSprint Backlog'!$J70-'ProductSprint Backlog'!$I70), AND('ProductSprint Backlog'!$J70=P$2,'ProductSprint Backlog'!$I70=P$2), 'ProductSprint Backlog'!$F70, TRUE, 0)</f>
        <v>0</v>
      </c>
      <c r="Q70" s="4" cm="1">
        <f t="array" ref="Q70">_xlfn.IFS('ProductSprint Backlog'!$F70="", "", AND('ProductSprint Backlog'!$J70&gt;Q$2,'ProductSprint Backlog'!$I70&lt;=Q$2), 'ProductSprint Backlog'!$F70 / MAX(1, 'ProductSprint Backlog'!$J70-'ProductSprint Backlog'!$I70), AND('ProductSprint Backlog'!$J70=Q$2,'ProductSprint Backlog'!$I70=Q$2), 'ProductSprint Backlog'!$F70, TRUE, 0)</f>
        <v>0</v>
      </c>
    </row>
    <row r="71" spans="2:17" x14ac:dyDescent="0.2">
      <c r="B71" s="4" cm="1">
        <f t="array" ref="B71">_xlfn.IFS('ProductSprint Backlog'!$F71="", "", AND('ProductSprint Backlog'!$J71&gt;B$2,'ProductSprint Backlog'!$I71&lt;=B$2), 'ProductSprint Backlog'!$F71 / MAX(1, 'ProductSprint Backlog'!$J71-'ProductSprint Backlog'!$I71), AND('ProductSprint Backlog'!$J71=B$2,'ProductSprint Backlog'!$I71=B$2), 'ProductSprint Backlog'!$F71, TRUE, 0)</f>
        <v>0</v>
      </c>
      <c r="C71" s="4" cm="1">
        <f t="array" ref="C71">_xlfn.IFS('ProductSprint Backlog'!$F71="", "", AND('ProductSprint Backlog'!$J71&gt;C$2,'ProductSprint Backlog'!$I71&lt;=C$2), 'ProductSprint Backlog'!$F71 / MAX(1, 'ProductSprint Backlog'!$J71-'ProductSprint Backlog'!$I71), AND('ProductSprint Backlog'!$J71=C$2,'ProductSprint Backlog'!$I71=C$2), 'ProductSprint Backlog'!$F71, TRUE, 0)</f>
        <v>0</v>
      </c>
      <c r="D71" s="4" cm="1">
        <f t="array" ref="D71">_xlfn.IFS('ProductSprint Backlog'!$F71="", "", AND('ProductSprint Backlog'!$J71&gt;D$2,'ProductSprint Backlog'!$I71&lt;=D$2), 'ProductSprint Backlog'!$F71 / MAX(1, 'ProductSprint Backlog'!$J71-'ProductSprint Backlog'!$I71), AND('ProductSprint Backlog'!$J71=D$2,'ProductSprint Backlog'!$I71=D$2), 'ProductSprint Backlog'!$F71, TRUE, 0)</f>
        <v>0</v>
      </c>
      <c r="E71" s="4" cm="1">
        <f t="array" ref="E71">_xlfn.IFS('ProductSprint Backlog'!$F71="", "", AND('ProductSprint Backlog'!$J71&gt;E$2,'ProductSprint Backlog'!$I71&lt;=E$2), 'ProductSprint Backlog'!$F71 / MAX(1, 'ProductSprint Backlog'!$J71-'ProductSprint Backlog'!$I71), AND('ProductSprint Backlog'!$J71=E$2,'ProductSprint Backlog'!$I71=E$2), 'ProductSprint Backlog'!$F71, TRUE, 0)</f>
        <v>0</v>
      </c>
      <c r="F71" s="4" cm="1">
        <f t="array" ref="F71">_xlfn.IFS('ProductSprint Backlog'!$F71="", "", AND('ProductSprint Backlog'!$J71&gt;F$2,'ProductSprint Backlog'!$I71&lt;=F$2), 'ProductSprint Backlog'!$F71 / MAX(1, 'ProductSprint Backlog'!$J71-'ProductSprint Backlog'!$I71), AND('ProductSprint Backlog'!$J71=F$2,'ProductSprint Backlog'!$I71=F$2), 'ProductSprint Backlog'!$F71, TRUE, 0)</f>
        <v>0</v>
      </c>
      <c r="G71" s="4" cm="1">
        <f t="array" ref="G71">_xlfn.IFS('ProductSprint Backlog'!$F71="", "", AND('ProductSprint Backlog'!$J71&gt;G$2,'ProductSprint Backlog'!$I71&lt;=G$2), 'ProductSprint Backlog'!$F71 / MAX(1, 'ProductSprint Backlog'!$J71-'ProductSprint Backlog'!$I71), AND('ProductSprint Backlog'!$J71=G$2,'ProductSprint Backlog'!$I71=G$2), 'ProductSprint Backlog'!$F71, TRUE, 0)</f>
        <v>0</v>
      </c>
      <c r="H71" s="4" cm="1">
        <f t="array" ref="H71">_xlfn.IFS('ProductSprint Backlog'!$F71="", "", AND('ProductSprint Backlog'!$J71&gt;H$2,'ProductSprint Backlog'!$I71&lt;=H$2), 'ProductSprint Backlog'!$F71 / MAX(1, 'ProductSprint Backlog'!$J71-'ProductSprint Backlog'!$I71), AND('ProductSprint Backlog'!$J71=H$2,'ProductSprint Backlog'!$I71=H$2), 'ProductSprint Backlog'!$F71, TRUE, 0)</f>
        <v>0</v>
      </c>
      <c r="I71" s="4" cm="1">
        <f t="array" ref="I71">_xlfn.IFS('ProductSprint Backlog'!$F71="", "", AND('ProductSprint Backlog'!$J71&gt;I$2,'ProductSprint Backlog'!$I71&lt;=I$2), 'ProductSprint Backlog'!$F71 / MAX(1, 'ProductSprint Backlog'!$J71-'ProductSprint Backlog'!$I71), AND('ProductSprint Backlog'!$J71=I$2,'ProductSprint Backlog'!$I71=I$2), 'ProductSprint Backlog'!$F71, TRUE, 0)</f>
        <v>0</v>
      </c>
      <c r="J71" s="4" cm="1">
        <f t="array" ref="J71">_xlfn.IFS('ProductSprint Backlog'!$F71="", "", AND('ProductSprint Backlog'!$J71&gt;J$2,'ProductSprint Backlog'!$I71&lt;=J$2), 'ProductSprint Backlog'!$F71 / MAX(1, 'ProductSprint Backlog'!$J71-'ProductSprint Backlog'!$I71), AND('ProductSprint Backlog'!$J71=J$2,'ProductSprint Backlog'!$I71=J$2), 'ProductSprint Backlog'!$F71, TRUE, 0)</f>
        <v>0</v>
      </c>
      <c r="K71" s="4" cm="1">
        <f t="array" ref="K71">_xlfn.IFS('ProductSprint Backlog'!$F71="", "", AND('ProductSprint Backlog'!$J71&gt;K$2,'ProductSprint Backlog'!$I71&lt;=K$2), 'ProductSprint Backlog'!$F71 / MAX(1, 'ProductSprint Backlog'!$J71-'ProductSprint Backlog'!$I71), AND('ProductSprint Backlog'!$J71=K$2,'ProductSprint Backlog'!$I71=K$2), 'ProductSprint Backlog'!$F71, TRUE, 0)</f>
        <v>0</v>
      </c>
      <c r="L71" s="4" cm="1">
        <f t="array" ref="L71">_xlfn.IFS('ProductSprint Backlog'!$F71="", "", AND('ProductSprint Backlog'!$J71&gt;L$2,'ProductSprint Backlog'!$I71&lt;=L$2), 'ProductSprint Backlog'!$F71 / MAX(1, 'ProductSprint Backlog'!$J71-'ProductSprint Backlog'!$I71), AND('ProductSprint Backlog'!$J71=L$2,'ProductSprint Backlog'!$I71=L$2), 'ProductSprint Backlog'!$F71, TRUE, 0)</f>
        <v>0</v>
      </c>
      <c r="M71" s="4" cm="1">
        <f t="array" ref="M71">_xlfn.IFS('ProductSprint Backlog'!$F71="", "", AND('ProductSprint Backlog'!$J71&gt;M$2,'ProductSprint Backlog'!$I71&lt;=M$2), 'ProductSprint Backlog'!$F71 / MAX(1, 'ProductSprint Backlog'!$J71-'ProductSprint Backlog'!$I71), AND('ProductSprint Backlog'!$J71=M$2,'ProductSprint Backlog'!$I71=M$2), 'ProductSprint Backlog'!$F71, TRUE, 0)</f>
        <v>0</v>
      </c>
      <c r="N71" s="4" cm="1">
        <f t="array" ref="N71">_xlfn.IFS('ProductSprint Backlog'!$F71="", "", AND('ProductSprint Backlog'!$J71&gt;N$2,'ProductSprint Backlog'!$I71&lt;=N$2), 'ProductSprint Backlog'!$F71 / MAX(1, 'ProductSprint Backlog'!$J71-'ProductSprint Backlog'!$I71), AND('ProductSprint Backlog'!$J71=N$2,'ProductSprint Backlog'!$I71=N$2), 'ProductSprint Backlog'!$F71, TRUE, 0)</f>
        <v>0</v>
      </c>
      <c r="O71" s="4" cm="1">
        <f t="array" ref="O71">_xlfn.IFS('ProductSprint Backlog'!$F71="", "", AND('ProductSprint Backlog'!$J71&gt;O$2,'ProductSprint Backlog'!$I71&lt;=O$2), 'ProductSprint Backlog'!$F71 / MAX(1, 'ProductSprint Backlog'!$J71-'ProductSprint Backlog'!$I71), AND('ProductSprint Backlog'!$J71=O$2,'ProductSprint Backlog'!$I71=O$2), 'ProductSprint Backlog'!$F71, TRUE, 0)</f>
        <v>0</v>
      </c>
      <c r="P71" s="4" cm="1">
        <f t="array" ref="P71">_xlfn.IFS('ProductSprint Backlog'!$F71="", "", AND('ProductSprint Backlog'!$J71&gt;P$2,'ProductSprint Backlog'!$I71&lt;=P$2), 'ProductSprint Backlog'!$F71 / MAX(1, 'ProductSprint Backlog'!$J71-'ProductSprint Backlog'!$I71), AND('ProductSprint Backlog'!$J71=P$2,'ProductSprint Backlog'!$I71=P$2), 'ProductSprint Backlog'!$F71, TRUE, 0)</f>
        <v>0</v>
      </c>
      <c r="Q71" s="4" cm="1">
        <f t="array" ref="Q71">_xlfn.IFS('ProductSprint Backlog'!$F71="", "", AND('ProductSprint Backlog'!$J71&gt;Q$2,'ProductSprint Backlog'!$I71&lt;=Q$2), 'ProductSprint Backlog'!$F71 / MAX(1, 'ProductSprint Backlog'!$J71-'ProductSprint Backlog'!$I71), AND('ProductSprint Backlog'!$J71=Q$2,'ProductSprint Backlog'!$I71=Q$2), 'ProductSprint Backlog'!$F71, TRUE, 0)</f>
        <v>0</v>
      </c>
    </row>
    <row r="72" spans="2:17" x14ac:dyDescent="0.2">
      <c r="B72" s="4" cm="1">
        <f t="array" ref="B72">_xlfn.IFS('ProductSprint Backlog'!$F72="", "", AND('ProductSprint Backlog'!$J72&gt;B$2,'ProductSprint Backlog'!$I72&lt;=B$2), 'ProductSprint Backlog'!$F72 / MAX(1, 'ProductSprint Backlog'!$J72-'ProductSprint Backlog'!$I72), AND('ProductSprint Backlog'!$J72=B$2,'ProductSprint Backlog'!$I72=B$2), 'ProductSprint Backlog'!$F72, TRUE, 0)</f>
        <v>0</v>
      </c>
      <c r="C72" s="4" cm="1">
        <f t="array" ref="C72">_xlfn.IFS('ProductSprint Backlog'!$F72="", "", AND('ProductSprint Backlog'!$J72&gt;C$2,'ProductSprint Backlog'!$I72&lt;=C$2), 'ProductSprint Backlog'!$F72 / MAX(1, 'ProductSprint Backlog'!$J72-'ProductSprint Backlog'!$I72), AND('ProductSprint Backlog'!$J72=C$2,'ProductSprint Backlog'!$I72=C$2), 'ProductSprint Backlog'!$F72, TRUE, 0)</f>
        <v>0</v>
      </c>
      <c r="D72" s="4" cm="1">
        <f t="array" ref="D72">_xlfn.IFS('ProductSprint Backlog'!$F72="", "", AND('ProductSprint Backlog'!$J72&gt;D$2,'ProductSprint Backlog'!$I72&lt;=D$2), 'ProductSprint Backlog'!$F72 / MAX(1, 'ProductSprint Backlog'!$J72-'ProductSprint Backlog'!$I72), AND('ProductSprint Backlog'!$J72=D$2,'ProductSprint Backlog'!$I72=D$2), 'ProductSprint Backlog'!$F72, TRUE, 0)</f>
        <v>0</v>
      </c>
      <c r="E72" s="4" cm="1">
        <f t="array" ref="E72">_xlfn.IFS('ProductSprint Backlog'!$F72="", "", AND('ProductSprint Backlog'!$J72&gt;E$2,'ProductSprint Backlog'!$I72&lt;=E$2), 'ProductSprint Backlog'!$F72 / MAX(1, 'ProductSprint Backlog'!$J72-'ProductSprint Backlog'!$I72), AND('ProductSprint Backlog'!$J72=E$2,'ProductSprint Backlog'!$I72=E$2), 'ProductSprint Backlog'!$F72, TRUE, 0)</f>
        <v>0</v>
      </c>
      <c r="F72" s="4" cm="1">
        <f t="array" ref="F72">_xlfn.IFS('ProductSprint Backlog'!$F72="", "", AND('ProductSprint Backlog'!$J72&gt;F$2,'ProductSprint Backlog'!$I72&lt;=F$2), 'ProductSprint Backlog'!$F72 / MAX(1, 'ProductSprint Backlog'!$J72-'ProductSprint Backlog'!$I72), AND('ProductSprint Backlog'!$J72=F$2,'ProductSprint Backlog'!$I72=F$2), 'ProductSprint Backlog'!$F72, TRUE, 0)</f>
        <v>0</v>
      </c>
      <c r="G72" s="4" cm="1">
        <f t="array" ref="G72">_xlfn.IFS('ProductSprint Backlog'!$F72="", "", AND('ProductSprint Backlog'!$J72&gt;G$2,'ProductSprint Backlog'!$I72&lt;=G$2), 'ProductSprint Backlog'!$F72 / MAX(1, 'ProductSprint Backlog'!$J72-'ProductSprint Backlog'!$I72), AND('ProductSprint Backlog'!$J72=G$2,'ProductSprint Backlog'!$I72=G$2), 'ProductSprint Backlog'!$F72, TRUE, 0)</f>
        <v>0</v>
      </c>
      <c r="H72" s="4" cm="1">
        <f t="array" ref="H72">_xlfn.IFS('ProductSprint Backlog'!$F72="", "", AND('ProductSprint Backlog'!$J72&gt;H$2,'ProductSprint Backlog'!$I72&lt;=H$2), 'ProductSprint Backlog'!$F72 / MAX(1, 'ProductSprint Backlog'!$J72-'ProductSprint Backlog'!$I72), AND('ProductSprint Backlog'!$J72=H$2,'ProductSprint Backlog'!$I72=H$2), 'ProductSprint Backlog'!$F72, TRUE, 0)</f>
        <v>0</v>
      </c>
      <c r="I72" s="4" cm="1">
        <f t="array" ref="I72">_xlfn.IFS('ProductSprint Backlog'!$F72="", "", AND('ProductSprint Backlog'!$J72&gt;I$2,'ProductSprint Backlog'!$I72&lt;=I$2), 'ProductSprint Backlog'!$F72 / MAX(1, 'ProductSprint Backlog'!$J72-'ProductSprint Backlog'!$I72), AND('ProductSprint Backlog'!$J72=I$2,'ProductSprint Backlog'!$I72=I$2), 'ProductSprint Backlog'!$F72, TRUE, 0)</f>
        <v>0</v>
      </c>
      <c r="J72" s="4" cm="1">
        <f t="array" ref="J72">_xlfn.IFS('ProductSprint Backlog'!$F72="", "", AND('ProductSprint Backlog'!$J72&gt;J$2,'ProductSprint Backlog'!$I72&lt;=J$2), 'ProductSprint Backlog'!$F72 / MAX(1, 'ProductSprint Backlog'!$J72-'ProductSprint Backlog'!$I72), AND('ProductSprint Backlog'!$J72=J$2,'ProductSprint Backlog'!$I72=J$2), 'ProductSprint Backlog'!$F72, TRUE, 0)</f>
        <v>0</v>
      </c>
      <c r="K72" s="4" cm="1">
        <f t="array" ref="K72">_xlfn.IFS('ProductSprint Backlog'!$F72="", "", AND('ProductSprint Backlog'!$J72&gt;K$2,'ProductSprint Backlog'!$I72&lt;=K$2), 'ProductSprint Backlog'!$F72 / MAX(1, 'ProductSprint Backlog'!$J72-'ProductSprint Backlog'!$I72), AND('ProductSprint Backlog'!$J72=K$2,'ProductSprint Backlog'!$I72=K$2), 'ProductSprint Backlog'!$F72, TRUE, 0)</f>
        <v>0</v>
      </c>
      <c r="L72" s="4" cm="1">
        <f t="array" ref="L72">_xlfn.IFS('ProductSprint Backlog'!$F72="", "", AND('ProductSprint Backlog'!$J72&gt;L$2,'ProductSprint Backlog'!$I72&lt;=L$2), 'ProductSprint Backlog'!$F72 / MAX(1, 'ProductSprint Backlog'!$J72-'ProductSprint Backlog'!$I72), AND('ProductSprint Backlog'!$J72=L$2,'ProductSprint Backlog'!$I72=L$2), 'ProductSprint Backlog'!$F72, TRUE, 0)</f>
        <v>0</v>
      </c>
      <c r="M72" s="4" cm="1">
        <f t="array" ref="M72">_xlfn.IFS('ProductSprint Backlog'!$F72="", "", AND('ProductSprint Backlog'!$J72&gt;M$2,'ProductSprint Backlog'!$I72&lt;=M$2), 'ProductSprint Backlog'!$F72 / MAX(1, 'ProductSprint Backlog'!$J72-'ProductSprint Backlog'!$I72), AND('ProductSprint Backlog'!$J72=M$2,'ProductSprint Backlog'!$I72=M$2), 'ProductSprint Backlog'!$F72, TRUE, 0)</f>
        <v>0</v>
      </c>
      <c r="N72" s="4" cm="1">
        <f t="array" ref="N72">_xlfn.IFS('ProductSprint Backlog'!$F72="", "", AND('ProductSprint Backlog'!$J72&gt;N$2,'ProductSprint Backlog'!$I72&lt;=N$2), 'ProductSprint Backlog'!$F72 / MAX(1, 'ProductSprint Backlog'!$J72-'ProductSprint Backlog'!$I72), AND('ProductSprint Backlog'!$J72=N$2,'ProductSprint Backlog'!$I72=N$2), 'ProductSprint Backlog'!$F72, TRUE, 0)</f>
        <v>0</v>
      </c>
      <c r="O72" s="4" cm="1">
        <f t="array" ref="O72">_xlfn.IFS('ProductSprint Backlog'!$F72="", "", AND('ProductSprint Backlog'!$J72&gt;O$2,'ProductSprint Backlog'!$I72&lt;=O$2), 'ProductSprint Backlog'!$F72 / MAX(1, 'ProductSprint Backlog'!$J72-'ProductSprint Backlog'!$I72), AND('ProductSprint Backlog'!$J72=O$2,'ProductSprint Backlog'!$I72=O$2), 'ProductSprint Backlog'!$F72, TRUE, 0)</f>
        <v>0</v>
      </c>
      <c r="P72" s="4" cm="1">
        <f t="array" ref="P72">_xlfn.IFS('ProductSprint Backlog'!$F72="", "", AND('ProductSprint Backlog'!$J72&gt;P$2,'ProductSprint Backlog'!$I72&lt;=P$2), 'ProductSprint Backlog'!$F72 / MAX(1, 'ProductSprint Backlog'!$J72-'ProductSprint Backlog'!$I72), AND('ProductSprint Backlog'!$J72=P$2,'ProductSprint Backlog'!$I72=P$2), 'ProductSprint Backlog'!$F72, TRUE, 0)</f>
        <v>0</v>
      </c>
      <c r="Q72" s="4" cm="1">
        <f t="array" ref="Q72">_xlfn.IFS('ProductSprint Backlog'!$F72="", "", AND('ProductSprint Backlog'!$J72&gt;Q$2,'ProductSprint Backlog'!$I72&lt;=Q$2), 'ProductSprint Backlog'!$F72 / MAX(1, 'ProductSprint Backlog'!$J72-'ProductSprint Backlog'!$I72), AND('ProductSprint Backlog'!$J72=Q$2,'ProductSprint Backlog'!$I72=Q$2), 'ProductSprint Backlog'!$F72, TRUE, 0)</f>
        <v>0</v>
      </c>
    </row>
    <row r="73" spans="2:17" x14ac:dyDescent="0.2">
      <c r="B73" s="4" t="str" cm="1">
        <f t="array" ref="B73">_xlfn.IFS('ProductSprint Backlog'!$F73="", "", AND('ProductSprint Backlog'!$J73&gt;B$2,'ProductSprint Backlog'!$I73&lt;=B$2), 'ProductSprint Backlog'!$F73 / MAX(1, 'ProductSprint Backlog'!$J73-'ProductSprint Backlog'!$I73), AND('ProductSprint Backlog'!$J73=B$2,'ProductSprint Backlog'!$I73=B$2), 'ProductSprint Backlog'!$F73, TRUE, 0)</f>
        <v/>
      </c>
      <c r="C73" s="4" t="str" cm="1">
        <f t="array" ref="C73">_xlfn.IFS('ProductSprint Backlog'!$F73="", "", AND('ProductSprint Backlog'!$J73&gt;C$2,'ProductSprint Backlog'!$I73&lt;=C$2), 'ProductSprint Backlog'!$F73 / MAX(1, 'ProductSprint Backlog'!$J73-'ProductSprint Backlog'!$I73), AND('ProductSprint Backlog'!$J73=C$2,'ProductSprint Backlog'!$I73=C$2), 'ProductSprint Backlog'!$F73, TRUE, 0)</f>
        <v/>
      </c>
      <c r="D73" s="4" t="str" cm="1">
        <f t="array" ref="D73">_xlfn.IFS('ProductSprint Backlog'!$F73="", "", AND('ProductSprint Backlog'!$J73&gt;D$2,'ProductSprint Backlog'!$I73&lt;=D$2), 'ProductSprint Backlog'!$F73 / MAX(1, 'ProductSprint Backlog'!$J73-'ProductSprint Backlog'!$I73), AND('ProductSprint Backlog'!$J73=D$2,'ProductSprint Backlog'!$I73=D$2), 'ProductSprint Backlog'!$F73, TRUE, 0)</f>
        <v/>
      </c>
      <c r="E73" s="4" t="str" cm="1">
        <f t="array" ref="E73">_xlfn.IFS('ProductSprint Backlog'!$F73="", "", AND('ProductSprint Backlog'!$J73&gt;E$2,'ProductSprint Backlog'!$I73&lt;=E$2), 'ProductSprint Backlog'!$F73 / MAX(1, 'ProductSprint Backlog'!$J73-'ProductSprint Backlog'!$I73), AND('ProductSprint Backlog'!$J73=E$2,'ProductSprint Backlog'!$I73=E$2), 'ProductSprint Backlog'!$F73, TRUE, 0)</f>
        <v/>
      </c>
      <c r="F73" s="4" t="str" cm="1">
        <f t="array" ref="F73">_xlfn.IFS('ProductSprint Backlog'!$F73="", "", AND('ProductSprint Backlog'!$J73&gt;F$2,'ProductSprint Backlog'!$I73&lt;=F$2), 'ProductSprint Backlog'!$F73 / MAX(1, 'ProductSprint Backlog'!$J73-'ProductSprint Backlog'!$I73), AND('ProductSprint Backlog'!$J73=F$2,'ProductSprint Backlog'!$I73=F$2), 'ProductSprint Backlog'!$F73, TRUE, 0)</f>
        <v/>
      </c>
      <c r="G73" s="4" t="str" cm="1">
        <f t="array" ref="G73">_xlfn.IFS('ProductSprint Backlog'!$F73="", "", AND('ProductSprint Backlog'!$J73&gt;G$2,'ProductSprint Backlog'!$I73&lt;=G$2), 'ProductSprint Backlog'!$F73 / MAX(1, 'ProductSprint Backlog'!$J73-'ProductSprint Backlog'!$I73), AND('ProductSprint Backlog'!$J73=G$2,'ProductSprint Backlog'!$I73=G$2), 'ProductSprint Backlog'!$F73, TRUE, 0)</f>
        <v/>
      </c>
      <c r="H73" s="4" t="str" cm="1">
        <f t="array" ref="H73">_xlfn.IFS('ProductSprint Backlog'!$F73="", "", AND('ProductSprint Backlog'!$J73&gt;H$2,'ProductSprint Backlog'!$I73&lt;=H$2), 'ProductSprint Backlog'!$F73 / MAX(1, 'ProductSprint Backlog'!$J73-'ProductSprint Backlog'!$I73), AND('ProductSprint Backlog'!$J73=H$2,'ProductSprint Backlog'!$I73=H$2), 'ProductSprint Backlog'!$F73, TRUE, 0)</f>
        <v/>
      </c>
      <c r="I73" s="4" t="str" cm="1">
        <f t="array" ref="I73">_xlfn.IFS('ProductSprint Backlog'!$F73="", "", AND('ProductSprint Backlog'!$J73&gt;I$2,'ProductSprint Backlog'!$I73&lt;=I$2), 'ProductSprint Backlog'!$F73 / MAX(1, 'ProductSprint Backlog'!$J73-'ProductSprint Backlog'!$I73), AND('ProductSprint Backlog'!$J73=I$2,'ProductSprint Backlog'!$I73=I$2), 'ProductSprint Backlog'!$F73, TRUE, 0)</f>
        <v/>
      </c>
      <c r="J73" s="4" t="str" cm="1">
        <f t="array" ref="J73">_xlfn.IFS('ProductSprint Backlog'!$F73="", "", AND('ProductSprint Backlog'!$J73&gt;J$2,'ProductSprint Backlog'!$I73&lt;=J$2), 'ProductSprint Backlog'!$F73 / MAX(1, 'ProductSprint Backlog'!$J73-'ProductSprint Backlog'!$I73), AND('ProductSprint Backlog'!$J73=J$2,'ProductSprint Backlog'!$I73=J$2), 'ProductSprint Backlog'!$F73, TRUE, 0)</f>
        <v/>
      </c>
      <c r="K73" s="4" t="str" cm="1">
        <f t="array" ref="K73">_xlfn.IFS('ProductSprint Backlog'!$F73="", "", AND('ProductSprint Backlog'!$J73&gt;K$2,'ProductSprint Backlog'!$I73&lt;=K$2), 'ProductSprint Backlog'!$F73 / MAX(1, 'ProductSprint Backlog'!$J73-'ProductSprint Backlog'!$I73), AND('ProductSprint Backlog'!$J73=K$2,'ProductSprint Backlog'!$I73=K$2), 'ProductSprint Backlog'!$F73, TRUE, 0)</f>
        <v/>
      </c>
      <c r="L73" s="4" t="str" cm="1">
        <f t="array" ref="L73">_xlfn.IFS('ProductSprint Backlog'!$F73="", "", AND('ProductSprint Backlog'!$J73&gt;L$2,'ProductSprint Backlog'!$I73&lt;=L$2), 'ProductSprint Backlog'!$F73 / MAX(1, 'ProductSprint Backlog'!$J73-'ProductSprint Backlog'!$I73), AND('ProductSprint Backlog'!$J73=L$2,'ProductSprint Backlog'!$I73=L$2), 'ProductSprint Backlog'!$F73, TRUE, 0)</f>
        <v/>
      </c>
      <c r="M73" s="4" t="str" cm="1">
        <f t="array" ref="M73">_xlfn.IFS('ProductSprint Backlog'!$F73="", "", AND('ProductSprint Backlog'!$J73&gt;M$2,'ProductSprint Backlog'!$I73&lt;=M$2), 'ProductSprint Backlog'!$F73 / MAX(1, 'ProductSprint Backlog'!$J73-'ProductSprint Backlog'!$I73), AND('ProductSprint Backlog'!$J73=M$2,'ProductSprint Backlog'!$I73=M$2), 'ProductSprint Backlog'!$F73, TRUE, 0)</f>
        <v/>
      </c>
      <c r="N73" s="4" t="str" cm="1">
        <f t="array" ref="N73">_xlfn.IFS('ProductSprint Backlog'!$F73="", "", AND('ProductSprint Backlog'!$J73&gt;N$2,'ProductSprint Backlog'!$I73&lt;=N$2), 'ProductSprint Backlog'!$F73 / MAX(1, 'ProductSprint Backlog'!$J73-'ProductSprint Backlog'!$I73), AND('ProductSprint Backlog'!$J73=N$2,'ProductSprint Backlog'!$I73=N$2), 'ProductSprint Backlog'!$F73, TRUE, 0)</f>
        <v/>
      </c>
      <c r="O73" s="4" t="str" cm="1">
        <f t="array" ref="O73">_xlfn.IFS('ProductSprint Backlog'!$F73="", "", AND('ProductSprint Backlog'!$J73&gt;O$2,'ProductSprint Backlog'!$I73&lt;=O$2), 'ProductSprint Backlog'!$F73 / MAX(1, 'ProductSprint Backlog'!$J73-'ProductSprint Backlog'!$I73), AND('ProductSprint Backlog'!$J73=O$2,'ProductSprint Backlog'!$I73=O$2), 'ProductSprint Backlog'!$F73, TRUE, 0)</f>
        <v/>
      </c>
      <c r="P73" s="4" t="str" cm="1">
        <f t="array" ref="P73">_xlfn.IFS('ProductSprint Backlog'!$F73="", "", AND('ProductSprint Backlog'!$J73&gt;P$2,'ProductSprint Backlog'!$I73&lt;=P$2), 'ProductSprint Backlog'!$F73 / MAX(1, 'ProductSprint Backlog'!$J73-'ProductSprint Backlog'!$I73), AND('ProductSprint Backlog'!$J73=P$2,'ProductSprint Backlog'!$I73=P$2), 'ProductSprint Backlog'!$F73, TRUE, 0)</f>
        <v/>
      </c>
      <c r="Q73" s="4" t="str" cm="1">
        <f t="array" ref="Q73">_xlfn.IFS('ProductSprint Backlog'!$F73="", "", AND('ProductSprint Backlog'!$J73&gt;Q$2,'ProductSprint Backlog'!$I73&lt;=Q$2), 'ProductSprint Backlog'!$F73 / MAX(1, 'ProductSprint Backlog'!$J73-'ProductSprint Backlog'!$I73), AND('ProductSprint Backlog'!$J73=Q$2,'ProductSprint Backlog'!$I73=Q$2), 'ProductSprint Backlog'!$F73, TRUE, 0)</f>
        <v/>
      </c>
    </row>
    <row r="74" spans="2:17" x14ac:dyDescent="0.2">
      <c r="B74" s="4" cm="1">
        <f t="array" ref="B74">_xlfn.IFS('ProductSprint Backlog'!$F74="", "", AND('ProductSprint Backlog'!$J74&gt;B$2,'ProductSprint Backlog'!$I74&lt;=B$2), 'ProductSprint Backlog'!$F74 / MAX(1, 'ProductSprint Backlog'!$J74-'ProductSprint Backlog'!$I74), AND('ProductSprint Backlog'!$J74=B$2,'ProductSprint Backlog'!$I74=B$2), 'ProductSprint Backlog'!$F74, TRUE, 0)</f>
        <v>0</v>
      </c>
      <c r="C74" s="4" cm="1">
        <f t="array" ref="C74">_xlfn.IFS('ProductSprint Backlog'!$F74="", "", AND('ProductSprint Backlog'!$J74&gt;C$2,'ProductSprint Backlog'!$I74&lt;=C$2), 'ProductSprint Backlog'!$F74 / MAX(1, 'ProductSprint Backlog'!$J74-'ProductSprint Backlog'!$I74), AND('ProductSprint Backlog'!$J74=C$2,'ProductSprint Backlog'!$I74=C$2), 'ProductSprint Backlog'!$F74, TRUE, 0)</f>
        <v>0</v>
      </c>
      <c r="D74" s="4" cm="1">
        <f t="array" ref="D74">_xlfn.IFS('ProductSprint Backlog'!$F74="", "", AND('ProductSprint Backlog'!$J74&gt;D$2,'ProductSprint Backlog'!$I74&lt;=D$2), 'ProductSprint Backlog'!$F74 / MAX(1, 'ProductSprint Backlog'!$J74-'ProductSprint Backlog'!$I74), AND('ProductSprint Backlog'!$J74=D$2,'ProductSprint Backlog'!$I74=D$2), 'ProductSprint Backlog'!$F74, TRUE, 0)</f>
        <v>0</v>
      </c>
      <c r="E74" s="4" cm="1">
        <f t="array" ref="E74">_xlfn.IFS('ProductSprint Backlog'!$F74="", "", AND('ProductSprint Backlog'!$J74&gt;E$2,'ProductSprint Backlog'!$I74&lt;=E$2), 'ProductSprint Backlog'!$F74 / MAX(1, 'ProductSprint Backlog'!$J74-'ProductSprint Backlog'!$I74), AND('ProductSprint Backlog'!$J74=E$2,'ProductSprint Backlog'!$I74=E$2), 'ProductSprint Backlog'!$F74, TRUE, 0)</f>
        <v>0</v>
      </c>
      <c r="F74" s="4" cm="1">
        <f t="array" ref="F74">_xlfn.IFS('ProductSprint Backlog'!$F74="", "", AND('ProductSprint Backlog'!$J74&gt;F$2,'ProductSprint Backlog'!$I74&lt;=F$2), 'ProductSprint Backlog'!$F74 / MAX(1, 'ProductSprint Backlog'!$J74-'ProductSprint Backlog'!$I74), AND('ProductSprint Backlog'!$J74=F$2,'ProductSprint Backlog'!$I74=F$2), 'ProductSprint Backlog'!$F74, TRUE, 0)</f>
        <v>0</v>
      </c>
      <c r="G74" s="4" cm="1">
        <f t="array" ref="G74">_xlfn.IFS('ProductSprint Backlog'!$F74="", "", AND('ProductSprint Backlog'!$J74&gt;G$2,'ProductSprint Backlog'!$I74&lt;=G$2), 'ProductSprint Backlog'!$F74 / MAX(1, 'ProductSprint Backlog'!$J74-'ProductSprint Backlog'!$I74), AND('ProductSprint Backlog'!$J74=G$2,'ProductSprint Backlog'!$I74=G$2), 'ProductSprint Backlog'!$F74, TRUE, 0)</f>
        <v>0</v>
      </c>
      <c r="H74" s="4" cm="1">
        <f t="array" ref="H74">_xlfn.IFS('ProductSprint Backlog'!$F74="", "", AND('ProductSprint Backlog'!$J74&gt;H$2,'ProductSprint Backlog'!$I74&lt;=H$2), 'ProductSprint Backlog'!$F74 / MAX(1, 'ProductSprint Backlog'!$J74-'ProductSprint Backlog'!$I74), AND('ProductSprint Backlog'!$J74=H$2,'ProductSprint Backlog'!$I74=H$2), 'ProductSprint Backlog'!$F74, TRUE, 0)</f>
        <v>0</v>
      </c>
      <c r="I74" s="4" cm="1">
        <f t="array" ref="I74">_xlfn.IFS('ProductSprint Backlog'!$F74="", "", AND('ProductSprint Backlog'!$J74&gt;I$2,'ProductSprint Backlog'!$I74&lt;=I$2), 'ProductSprint Backlog'!$F74 / MAX(1, 'ProductSprint Backlog'!$J74-'ProductSprint Backlog'!$I74), AND('ProductSprint Backlog'!$J74=I$2,'ProductSprint Backlog'!$I74=I$2), 'ProductSprint Backlog'!$F74, TRUE, 0)</f>
        <v>0</v>
      </c>
      <c r="J74" s="4" cm="1">
        <f t="array" ref="J74">_xlfn.IFS('ProductSprint Backlog'!$F74="", "", AND('ProductSprint Backlog'!$J74&gt;J$2,'ProductSprint Backlog'!$I74&lt;=J$2), 'ProductSprint Backlog'!$F74 / MAX(1, 'ProductSprint Backlog'!$J74-'ProductSprint Backlog'!$I74), AND('ProductSprint Backlog'!$J74=J$2,'ProductSprint Backlog'!$I74=J$2), 'ProductSprint Backlog'!$F74, TRUE, 0)</f>
        <v>0</v>
      </c>
      <c r="K74" s="4" cm="1">
        <f t="array" ref="K74">_xlfn.IFS('ProductSprint Backlog'!$F74="", "", AND('ProductSprint Backlog'!$J74&gt;K$2,'ProductSprint Backlog'!$I74&lt;=K$2), 'ProductSprint Backlog'!$F74 / MAX(1, 'ProductSprint Backlog'!$J74-'ProductSprint Backlog'!$I74), AND('ProductSprint Backlog'!$J74=K$2,'ProductSprint Backlog'!$I74=K$2), 'ProductSprint Backlog'!$F74, TRUE, 0)</f>
        <v>0</v>
      </c>
      <c r="L74" s="4" cm="1">
        <f t="array" ref="L74">_xlfn.IFS('ProductSprint Backlog'!$F74="", "", AND('ProductSprint Backlog'!$J74&gt;L$2,'ProductSprint Backlog'!$I74&lt;=L$2), 'ProductSprint Backlog'!$F74 / MAX(1, 'ProductSprint Backlog'!$J74-'ProductSprint Backlog'!$I74), AND('ProductSprint Backlog'!$J74=L$2,'ProductSprint Backlog'!$I74=L$2), 'ProductSprint Backlog'!$F74, TRUE, 0)</f>
        <v>0</v>
      </c>
      <c r="M74" s="4" cm="1">
        <f t="array" ref="M74">_xlfn.IFS('ProductSprint Backlog'!$F74="", "", AND('ProductSprint Backlog'!$J74&gt;M$2,'ProductSprint Backlog'!$I74&lt;=M$2), 'ProductSprint Backlog'!$F74 / MAX(1, 'ProductSprint Backlog'!$J74-'ProductSprint Backlog'!$I74), AND('ProductSprint Backlog'!$J74=M$2,'ProductSprint Backlog'!$I74=M$2), 'ProductSprint Backlog'!$F74, TRUE, 0)</f>
        <v>0</v>
      </c>
      <c r="N74" s="4" cm="1">
        <f t="array" ref="N74">_xlfn.IFS('ProductSprint Backlog'!$F74="", "", AND('ProductSprint Backlog'!$J74&gt;N$2,'ProductSprint Backlog'!$I74&lt;=N$2), 'ProductSprint Backlog'!$F74 / MAX(1, 'ProductSprint Backlog'!$J74-'ProductSprint Backlog'!$I74), AND('ProductSprint Backlog'!$J74=N$2,'ProductSprint Backlog'!$I74=N$2), 'ProductSprint Backlog'!$F74, TRUE, 0)</f>
        <v>0</v>
      </c>
      <c r="O74" s="4" cm="1">
        <f t="array" ref="O74">_xlfn.IFS('ProductSprint Backlog'!$F74="", "", AND('ProductSprint Backlog'!$J74&gt;O$2,'ProductSprint Backlog'!$I74&lt;=O$2), 'ProductSprint Backlog'!$F74 / MAX(1, 'ProductSprint Backlog'!$J74-'ProductSprint Backlog'!$I74), AND('ProductSprint Backlog'!$J74=O$2,'ProductSprint Backlog'!$I74=O$2), 'ProductSprint Backlog'!$F74, TRUE, 0)</f>
        <v>0</v>
      </c>
      <c r="P74" s="4" cm="1">
        <f t="array" ref="P74">_xlfn.IFS('ProductSprint Backlog'!$F74="", "", AND('ProductSprint Backlog'!$J74&gt;P$2,'ProductSprint Backlog'!$I74&lt;=P$2), 'ProductSprint Backlog'!$F74 / MAX(1, 'ProductSprint Backlog'!$J74-'ProductSprint Backlog'!$I74), AND('ProductSprint Backlog'!$J74=P$2,'ProductSprint Backlog'!$I74=P$2), 'ProductSprint Backlog'!$F74, TRUE, 0)</f>
        <v>0</v>
      </c>
      <c r="Q74" s="4" cm="1">
        <f t="array" ref="Q74">_xlfn.IFS('ProductSprint Backlog'!$F74="", "", AND('ProductSprint Backlog'!$J74&gt;Q$2,'ProductSprint Backlog'!$I74&lt;=Q$2), 'ProductSprint Backlog'!$F74 / MAX(1, 'ProductSprint Backlog'!$J74-'ProductSprint Backlog'!$I74), AND('ProductSprint Backlog'!$J74=Q$2,'ProductSprint Backlog'!$I74=Q$2), 'ProductSprint Backlog'!$F74, TRUE, 0)</f>
        <v>0</v>
      </c>
    </row>
    <row r="75" spans="2:17" x14ac:dyDescent="0.2">
      <c r="B75" s="4" cm="1">
        <f t="array" ref="B75">_xlfn.IFS('ProductSprint Backlog'!$F75="", "", AND('ProductSprint Backlog'!$J75&gt;B$2,'ProductSprint Backlog'!$I75&lt;=B$2), 'ProductSprint Backlog'!$F75 / MAX(1, 'ProductSprint Backlog'!$J75-'ProductSprint Backlog'!$I75), AND('ProductSprint Backlog'!$J75=B$2,'ProductSprint Backlog'!$I75=B$2), 'ProductSprint Backlog'!$F75, TRUE, 0)</f>
        <v>0</v>
      </c>
      <c r="C75" s="4" cm="1">
        <f t="array" ref="C75">_xlfn.IFS('ProductSprint Backlog'!$F75="", "", AND('ProductSprint Backlog'!$J75&gt;C$2,'ProductSprint Backlog'!$I75&lt;=C$2), 'ProductSprint Backlog'!$F75 / MAX(1, 'ProductSprint Backlog'!$J75-'ProductSprint Backlog'!$I75), AND('ProductSprint Backlog'!$J75=C$2,'ProductSprint Backlog'!$I75=C$2), 'ProductSprint Backlog'!$F75, TRUE, 0)</f>
        <v>0</v>
      </c>
      <c r="D75" s="4" cm="1">
        <f t="array" ref="D75">_xlfn.IFS('ProductSprint Backlog'!$F75="", "", AND('ProductSprint Backlog'!$J75&gt;D$2,'ProductSprint Backlog'!$I75&lt;=D$2), 'ProductSprint Backlog'!$F75 / MAX(1, 'ProductSprint Backlog'!$J75-'ProductSprint Backlog'!$I75), AND('ProductSprint Backlog'!$J75=D$2,'ProductSprint Backlog'!$I75=D$2), 'ProductSprint Backlog'!$F75, TRUE, 0)</f>
        <v>0</v>
      </c>
      <c r="E75" s="4" cm="1">
        <f t="array" ref="E75">_xlfn.IFS('ProductSprint Backlog'!$F75="", "", AND('ProductSprint Backlog'!$J75&gt;E$2,'ProductSprint Backlog'!$I75&lt;=E$2), 'ProductSprint Backlog'!$F75 / MAX(1, 'ProductSprint Backlog'!$J75-'ProductSprint Backlog'!$I75), AND('ProductSprint Backlog'!$J75=E$2,'ProductSprint Backlog'!$I75=E$2), 'ProductSprint Backlog'!$F75, TRUE, 0)</f>
        <v>0</v>
      </c>
      <c r="F75" s="4" cm="1">
        <f t="array" ref="F75">_xlfn.IFS('ProductSprint Backlog'!$F75="", "", AND('ProductSprint Backlog'!$J75&gt;F$2,'ProductSprint Backlog'!$I75&lt;=F$2), 'ProductSprint Backlog'!$F75 / MAX(1, 'ProductSprint Backlog'!$J75-'ProductSprint Backlog'!$I75), AND('ProductSprint Backlog'!$J75=F$2,'ProductSprint Backlog'!$I75=F$2), 'ProductSprint Backlog'!$F75, TRUE, 0)</f>
        <v>0</v>
      </c>
      <c r="G75" s="4" cm="1">
        <f t="array" ref="G75">_xlfn.IFS('ProductSprint Backlog'!$F75="", "", AND('ProductSprint Backlog'!$J75&gt;G$2,'ProductSprint Backlog'!$I75&lt;=G$2), 'ProductSprint Backlog'!$F75 / MAX(1, 'ProductSprint Backlog'!$J75-'ProductSprint Backlog'!$I75), AND('ProductSprint Backlog'!$J75=G$2,'ProductSprint Backlog'!$I75=G$2), 'ProductSprint Backlog'!$F75, TRUE, 0)</f>
        <v>0</v>
      </c>
      <c r="H75" s="4" cm="1">
        <f t="array" ref="H75">_xlfn.IFS('ProductSprint Backlog'!$F75="", "", AND('ProductSprint Backlog'!$J75&gt;H$2,'ProductSprint Backlog'!$I75&lt;=H$2), 'ProductSprint Backlog'!$F75 / MAX(1, 'ProductSprint Backlog'!$J75-'ProductSprint Backlog'!$I75), AND('ProductSprint Backlog'!$J75=H$2,'ProductSprint Backlog'!$I75=H$2), 'ProductSprint Backlog'!$F75, TRUE, 0)</f>
        <v>0</v>
      </c>
      <c r="I75" s="4" cm="1">
        <f t="array" ref="I75">_xlfn.IFS('ProductSprint Backlog'!$F75="", "", AND('ProductSprint Backlog'!$J75&gt;I$2,'ProductSprint Backlog'!$I75&lt;=I$2), 'ProductSprint Backlog'!$F75 / MAX(1, 'ProductSprint Backlog'!$J75-'ProductSprint Backlog'!$I75), AND('ProductSprint Backlog'!$J75=I$2,'ProductSprint Backlog'!$I75=I$2), 'ProductSprint Backlog'!$F75, TRUE, 0)</f>
        <v>0</v>
      </c>
      <c r="J75" s="4" cm="1">
        <f t="array" ref="J75">_xlfn.IFS('ProductSprint Backlog'!$F75="", "", AND('ProductSprint Backlog'!$J75&gt;J$2,'ProductSprint Backlog'!$I75&lt;=J$2), 'ProductSprint Backlog'!$F75 / MAX(1, 'ProductSprint Backlog'!$J75-'ProductSprint Backlog'!$I75), AND('ProductSprint Backlog'!$J75=J$2,'ProductSprint Backlog'!$I75=J$2), 'ProductSprint Backlog'!$F75, TRUE, 0)</f>
        <v>0</v>
      </c>
      <c r="K75" s="4" cm="1">
        <f t="array" ref="K75">_xlfn.IFS('ProductSprint Backlog'!$F75="", "", AND('ProductSprint Backlog'!$J75&gt;K$2,'ProductSprint Backlog'!$I75&lt;=K$2), 'ProductSprint Backlog'!$F75 / MAX(1, 'ProductSprint Backlog'!$J75-'ProductSprint Backlog'!$I75), AND('ProductSprint Backlog'!$J75=K$2,'ProductSprint Backlog'!$I75=K$2), 'ProductSprint Backlog'!$F75, TRUE, 0)</f>
        <v>0</v>
      </c>
      <c r="L75" s="4" cm="1">
        <f t="array" ref="L75">_xlfn.IFS('ProductSprint Backlog'!$F75="", "", AND('ProductSprint Backlog'!$J75&gt;L$2,'ProductSprint Backlog'!$I75&lt;=L$2), 'ProductSprint Backlog'!$F75 / MAX(1, 'ProductSprint Backlog'!$J75-'ProductSprint Backlog'!$I75), AND('ProductSprint Backlog'!$J75=L$2,'ProductSprint Backlog'!$I75=L$2), 'ProductSprint Backlog'!$F75, TRUE, 0)</f>
        <v>0</v>
      </c>
      <c r="M75" s="4" cm="1">
        <f t="array" ref="M75">_xlfn.IFS('ProductSprint Backlog'!$F75="", "", AND('ProductSprint Backlog'!$J75&gt;M$2,'ProductSprint Backlog'!$I75&lt;=M$2), 'ProductSprint Backlog'!$F75 / MAX(1, 'ProductSprint Backlog'!$J75-'ProductSprint Backlog'!$I75), AND('ProductSprint Backlog'!$J75=M$2,'ProductSprint Backlog'!$I75=M$2), 'ProductSprint Backlog'!$F75, TRUE, 0)</f>
        <v>0</v>
      </c>
      <c r="N75" s="4" cm="1">
        <f t="array" ref="N75">_xlfn.IFS('ProductSprint Backlog'!$F75="", "", AND('ProductSprint Backlog'!$J75&gt;N$2,'ProductSprint Backlog'!$I75&lt;=N$2), 'ProductSprint Backlog'!$F75 / MAX(1, 'ProductSprint Backlog'!$J75-'ProductSprint Backlog'!$I75), AND('ProductSprint Backlog'!$J75=N$2,'ProductSprint Backlog'!$I75=N$2), 'ProductSprint Backlog'!$F75, TRUE, 0)</f>
        <v>0</v>
      </c>
      <c r="O75" s="4" cm="1">
        <f t="array" ref="O75">_xlfn.IFS('ProductSprint Backlog'!$F75="", "", AND('ProductSprint Backlog'!$J75&gt;O$2,'ProductSprint Backlog'!$I75&lt;=O$2), 'ProductSprint Backlog'!$F75 / MAX(1, 'ProductSprint Backlog'!$J75-'ProductSprint Backlog'!$I75), AND('ProductSprint Backlog'!$J75=O$2,'ProductSprint Backlog'!$I75=O$2), 'ProductSprint Backlog'!$F75, TRUE, 0)</f>
        <v>0</v>
      </c>
      <c r="P75" s="4" cm="1">
        <f t="array" ref="P75">_xlfn.IFS('ProductSprint Backlog'!$F75="", "", AND('ProductSprint Backlog'!$J75&gt;P$2,'ProductSprint Backlog'!$I75&lt;=P$2), 'ProductSprint Backlog'!$F75 / MAX(1, 'ProductSprint Backlog'!$J75-'ProductSprint Backlog'!$I75), AND('ProductSprint Backlog'!$J75=P$2,'ProductSprint Backlog'!$I75=P$2), 'ProductSprint Backlog'!$F75, TRUE, 0)</f>
        <v>0</v>
      </c>
      <c r="Q75" s="4" cm="1">
        <f t="array" ref="Q75">_xlfn.IFS('ProductSprint Backlog'!$F75="", "", AND('ProductSprint Backlog'!$J75&gt;Q$2,'ProductSprint Backlog'!$I75&lt;=Q$2), 'ProductSprint Backlog'!$F75 / MAX(1, 'ProductSprint Backlog'!$J75-'ProductSprint Backlog'!$I75), AND('ProductSprint Backlog'!$J75=Q$2,'ProductSprint Backlog'!$I75=Q$2), 'ProductSprint Backlog'!$F75, TRUE, 0)</f>
        <v>0</v>
      </c>
    </row>
    <row r="76" spans="2:17" x14ac:dyDescent="0.2">
      <c r="B76" s="4" cm="1">
        <f t="array" ref="B76">_xlfn.IFS('ProductSprint Backlog'!$F76="", "", AND('ProductSprint Backlog'!$J76&gt;B$2,'ProductSprint Backlog'!$I76&lt;=B$2), 'ProductSprint Backlog'!$F76 / MAX(1, 'ProductSprint Backlog'!$J76-'ProductSprint Backlog'!$I76), AND('ProductSprint Backlog'!$J76=B$2,'ProductSprint Backlog'!$I76=B$2), 'ProductSprint Backlog'!$F76, TRUE, 0)</f>
        <v>0</v>
      </c>
      <c r="C76" s="4" cm="1">
        <f t="array" ref="C76">_xlfn.IFS('ProductSprint Backlog'!$F76="", "", AND('ProductSprint Backlog'!$J76&gt;C$2,'ProductSprint Backlog'!$I76&lt;=C$2), 'ProductSprint Backlog'!$F76 / MAX(1, 'ProductSprint Backlog'!$J76-'ProductSprint Backlog'!$I76), AND('ProductSprint Backlog'!$J76=C$2,'ProductSprint Backlog'!$I76=C$2), 'ProductSprint Backlog'!$F76, TRUE, 0)</f>
        <v>0</v>
      </c>
      <c r="D76" s="4" cm="1">
        <f t="array" ref="D76">_xlfn.IFS('ProductSprint Backlog'!$F76="", "", AND('ProductSprint Backlog'!$J76&gt;D$2,'ProductSprint Backlog'!$I76&lt;=D$2), 'ProductSprint Backlog'!$F76 / MAX(1, 'ProductSprint Backlog'!$J76-'ProductSprint Backlog'!$I76), AND('ProductSprint Backlog'!$J76=D$2,'ProductSprint Backlog'!$I76=D$2), 'ProductSprint Backlog'!$F76, TRUE, 0)</f>
        <v>0</v>
      </c>
      <c r="E76" s="4" cm="1">
        <f t="array" ref="E76">_xlfn.IFS('ProductSprint Backlog'!$F76="", "", AND('ProductSprint Backlog'!$J76&gt;E$2,'ProductSprint Backlog'!$I76&lt;=E$2), 'ProductSprint Backlog'!$F76 / MAX(1, 'ProductSprint Backlog'!$J76-'ProductSprint Backlog'!$I76), AND('ProductSprint Backlog'!$J76=E$2,'ProductSprint Backlog'!$I76=E$2), 'ProductSprint Backlog'!$F76, TRUE, 0)</f>
        <v>0</v>
      </c>
      <c r="F76" s="4" cm="1">
        <f t="array" ref="F76">_xlfn.IFS('ProductSprint Backlog'!$F76="", "", AND('ProductSprint Backlog'!$J76&gt;F$2,'ProductSprint Backlog'!$I76&lt;=F$2), 'ProductSprint Backlog'!$F76 / MAX(1, 'ProductSprint Backlog'!$J76-'ProductSprint Backlog'!$I76), AND('ProductSprint Backlog'!$J76=F$2,'ProductSprint Backlog'!$I76=F$2), 'ProductSprint Backlog'!$F76, TRUE, 0)</f>
        <v>0</v>
      </c>
      <c r="G76" s="4" cm="1">
        <f t="array" ref="G76">_xlfn.IFS('ProductSprint Backlog'!$F76="", "", AND('ProductSprint Backlog'!$J76&gt;G$2,'ProductSprint Backlog'!$I76&lt;=G$2), 'ProductSprint Backlog'!$F76 / MAX(1, 'ProductSprint Backlog'!$J76-'ProductSprint Backlog'!$I76), AND('ProductSprint Backlog'!$J76=G$2,'ProductSprint Backlog'!$I76=G$2), 'ProductSprint Backlog'!$F76, TRUE, 0)</f>
        <v>0</v>
      </c>
      <c r="H76" s="4" cm="1">
        <f t="array" ref="H76">_xlfn.IFS('ProductSprint Backlog'!$F76="", "", AND('ProductSprint Backlog'!$J76&gt;H$2,'ProductSprint Backlog'!$I76&lt;=H$2), 'ProductSprint Backlog'!$F76 / MAX(1, 'ProductSprint Backlog'!$J76-'ProductSprint Backlog'!$I76), AND('ProductSprint Backlog'!$J76=H$2,'ProductSprint Backlog'!$I76=H$2), 'ProductSprint Backlog'!$F76, TRUE, 0)</f>
        <v>0</v>
      </c>
      <c r="I76" s="4" cm="1">
        <f t="array" ref="I76">_xlfn.IFS('ProductSprint Backlog'!$F76="", "", AND('ProductSprint Backlog'!$J76&gt;I$2,'ProductSprint Backlog'!$I76&lt;=I$2), 'ProductSprint Backlog'!$F76 / MAX(1, 'ProductSprint Backlog'!$J76-'ProductSprint Backlog'!$I76), AND('ProductSprint Backlog'!$J76=I$2,'ProductSprint Backlog'!$I76=I$2), 'ProductSprint Backlog'!$F76, TRUE, 0)</f>
        <v>0</v>
      </c>
      <c r="J76" s="4" cm="1">
        <f t="array" ref="J76">_xlfn.IFS('ProductSprint Backlog'!$F76="", "", AND('ProductSprint Backlog'!$J76&gt;J$2,'ProductSprint Backlog'!$I76&lt;=J$2), 'ProductSprint Backlog'!$F76 / MAX(1, 'ProductSprint Backlog'!$J76-'ProductSprint Backlog'!$I76), AND('ProductSprint Backlog'!$J76=J$2,'ProductSprint Backlog'!$I76=J$2), 'ProductSprint Backlog'!$F76, TRUE, 0)</f>
        <v>0</v>
      </c>
      <c r="K76" s="4" cm="1">
        <f t="array" ref="K76">_xlfn.IFS('ProductSprint Backlog'!$F76="", "", AND('ProductSprint Backlog'!$J76&gt;K$2,'ProductSprint Backlog'!$I76&lt;=K$2), 'ProductSprint Backlog'!$F76 / MAX(1, 'ProductSprint Backlog'!$J76-'ProductSprint Backlog'!$I76), AND('ProductSprint Backlog'!$J76=K$2,'ProductSprint Backlog'!$I76=K$2), 'ProductSprint Backlog'!$F76, TRUE, 0)</f>
        <v>0</v>
      </c>
      <c r="L76" s="4" cm="1">
        <f t="array" ref="L76">_xlfn.IFS('ProductSprint Backlog'!$F76="", "", AND('ProductSprint Backlog'!$J76&gt;L$2,'ProductSprint Backlog'!$I76&lt;=L$2), 'ProductSprint Backlog'!$F76 / MAX(1, 'ProductSprint Backlog'!$J76-'ProductSprint Backlog'!$I76), AND('ProductSprint Backlog'!$J76=L$2,'ProductSprint Backlog'!$I76=L$2), 'ProductSprint Backlog'!$F76, TRUE, 0)</f>
        <v>0</v>
      </c>
      <c r="M76" s="4" cm="1">
        <f t="array" ref="M76">_xlfn.IFS('ProductSprint Backlog'!$F76="", "", AND('ProductSprint Backlog'!$J76&gt;M$2,'ProductSprint Backlog'!$I76&lt;=M$2), 'ProductSprint Backlog'!$F76 / MAX(1, 'ProductSprint Backlog'!$J76-'ProductSprint Backlog'!$I76), AND('ProductSprint Backlog'!$J76=M$2,'ProductSprint Backlog'!$I76=M$2), 'ProductSprint Backlog'!$F76, TRUE, 0)</f>
        <v>0</v>
      </c>
      <c r="N76" s="4" cm="1">
        <f t="array" ref="N76">_xlfn.IFS('ProductSprint Backlog'!$F76="", "", AND('ProductSprint Backlog'!$J76&gt;N$2,'ProductSprint Backlog'!$I76&lt;=N$2), 'ProductSprint Backlog'!$F76 / MAX(1, 'ProductSprint Backlog'!$J76-'ProductSprint Backlog'!$I76), AND('ProductSprint Backlog'!$J76=N$2,'ProductSprint Backlog'!$I76=N$2), 'ProductSprint Backlog'!$F76, TRUE, 0)</f>
        <v>0</v>
      </c>
      <c r="O76" s="4" cm="1">
        <f t="array" ref="O76">_xlfn.IFS('ProductSprint Backlog'!$F76="", "", AND('ProductSprint Backlog'!$J76&gt;O$2,'ProductSprint Backlog'!$I76&lt;=O$2), 'ProductSprint Backlog'!$F76 / MAX(1, 'ProductSprint Backlog'!$J76-'ProductSprint Backlog'!$I76), AND('ProductSprint Backlog'!$J76=O$2,'ProductSprint Backlog'!$I76=O$2), 'ProductSprint Backlog'!$F76, TRUE, 0)</f>
        <v>0</v>
      </c>
      <c r="P76" s="4" cm="1">
        <f t="array" ref="P76">_xlfn.IFS('ProductSprint Backlog'!$F76="", "", AND('ProductSprint Backlog'!$J76&gt;P$2,'ProductSprint Backlog'!$I76&lt;=P$2), 'ProductSprint Backlog'!$F76 / MAX(1, 'ProductSprint Backlog'!$J76-'ProductSprint Backlog'!$I76), AND('ProductSprint Backlog'!$J76=P$2,'ProductSprint Backlog'!$I76=P$2), 'ProductSprint Backlog'!$F76, TRUE, 0)</f>
        <v>0</v>
      </c>
      <c r="Q76" s="4" cm="1">
        <f t="array" ref="Q76">_xlfn.IFS('ProductSprint Backlog'!$F76="", "", AND('ProductSprint Backlog'!$J76&gt;Q$2,'ProductSprint Backlog'!$I76&lt;=Q$2), 'ProductSprint Backlog'!$F76 / MAX(1, 'ProductSprint Backlog'!$J76-'ProductSprint Backlog'!$I76), AND('ProductSprint Backlog'!$J76=Q$2,'ProductSprint Backlog'!$I76=Q$2), 'ProductSprint Backlog'!$F76, TRUE, 0)</f>
        <v>0</v>
      </c>
    </row>
    <row r="77" spans="2:17" x14ac:dyDescent="0.2">
      <c r="B77" s="4" cm="1">
        <f t="array" ref="B77">_xlfn.IFS('ProductSprint Backlog'!$F77="", "", AND('ProductSprint Backlog'!$J77&gt;B$2,'ProductSprint Backlog'!$I77&lt;=B$2), 'ProductSprint Backlog'!$F77 / MAX(1, 'ProductSprint Backlog'!$J77-'ProductSprint Backlog'!$I77), AND('ProductSprint Backlog'!$J77=B$2,'ProductSprint Backlog'!$I77=B$2), 'ProductSprint Backlog'!$F77, TRUE, 0)</f>
        <v>0</v>
      </c>
      <c r="C77" s="4" cm="1">
        <f t="array" ref="C77">_xlfn.IFS('ProductSprint Backlog'!$F77="", "", AND('ProductSprint Backlog'!$J77&gt;C$2,'ProductSprint Backlog'!$I77&lt;=C$2), 'ProductSprint Backlog'!$F77 / MAX(1, 'ProductSprint Backlog'!$J77-'ProductSprint Backlog'!$I77), AND('ProductSprint Backlog'!$J77=C$2,'ProductSprint Backlog'!$I77=C$2), 'ProductSprint Backlog'!$F77, TRUE, 0)</f>
        <v>0</v>
      </c>
      <c r="D77" s="4" cm="1">
        <f t="array" ref="D77">_xlfn.IFS('ProductSprint Backlog'!$F77="", "", AND('ProductSprint Backlog'!$J77&gt;D$2,'ProductSprint Backlog'!$I77&lt;=D$2), 'ProductSprint Backlog'!$F77 / MAX(1, 'ProductSprint Backlog'!$J77-'ProductSprint Backlog'!$I77), AND('ProductSprint Backlog'!$J77=D$2,'ProductSprint Backlog'!$I77=D$2), 'ProductSprint Backlog'!$F77, TRUE, 0)</f>
        <v>0</v>
      </c>
      <c r="E77" s="4" cm="1">
        <f t="array" ref="E77">_xlfn.IFS('ProductSprint Backlog'!$F77="", "", AND('ProductSprint Backlog'!$J77&gt;E$2,'ProductSprint Backlog'!$I77&lt;=E$2), 'ProductSprint Backlog'!$F77 / MAX(1, 'ProductSprint Backlog'!$J77-'ProductSprint Backlog'!$I77), AND('ProductSprint Backlog'!$J77=E$2,'ProductSprint Backlog'!$I77=E$2), 'ProductSprint Backlog'!$F77, TRUE, 0)</f>
        <v>0</v>
      </c>
      <c r="F77" s="4" cm="1">
        <f t="array" ref="F77">_xlfn.IFS('ProductSprint Backlog'!$F77="", "", AND('ProductSprint Backlog'!$J77&gt;F$2,'ProductSprint Backlog'!$I77&lt;=F$2), 'ProductSprint Backlog'!$F77 / MAX(1, 'ProductSprint Backlog'!$J77-'ProductSprint Backlog'!$I77), AND('ProductSprint Backlog'!$J77=F$2,'ProductSprint Backlog'!$I77=F$2), 'ProductSprint Backlog'!$F77, TRUE, 0)</f>
        <v>0</v>
      </c>
      <c r="G77" s="4" cm="1">
        <f t="array" ref="G77">_xlfn.IFS('ProductSprint Backlog'!$F77="", "", AND('ProductSprint Backlog'!$J77&gt;G$2,'ProductSprint Backlog'!$I77&lt;=G$2), 'ProductSprint Backlog'!$F77 / MAX(1, 'ProductSprint Backlog'!$J77-'ProductSprint Backlog'!$I77), AND('ProductSprint Backlog'!$J77=G$2,'ProductSprint Backlog'!$I77=G$2), 'ProductSprint Backlog'!$F77, TRUE, 0)</f>
        <v>0</v>
      </c>
      <c r="H77" s="4" cm="1">
        <f t="array" ref="H77">_xlfn.IFS('ProductSprint Backlog'!$F77="", "", AND('ProductSprint Backlog'!$J77&gt;H$2,'ProductSprint Backlog'!$I77&lt;=H$2), 'ProductSprint Backlog'!$F77 / MAX(1, 'ProductSprint Backlog'!$J77-'ProductSprint Backlog'!$I77), AND('ProductSprint Backlog'!$J77=H$2,'ProductSprint Backlog'!$I77=H$2), 'ProductSprint Backlog'!$F77, TRUE, 0)</f>
        <v>0</v>
      </c>
      <c r="I77" s="4" cm="1">
        <f t="array" ref="I77">_xlfn.IFS('ProductSprint Backlog'!$F77="", "", AND('ProductSprint Backlog'!$J77&gt;I$2,'ProductSprint Backlog'!$I77&lt;=I$2), 'ProductSprint Backlog'!$F77 / MAX(1, 'ProductSprint Backlog'!$J77-'ProductSprint Backlog'!$I77), AND('ProductSprint Backlog'!$J77=I$2,'ProductSprint Backlog'!$I77=I$2), 'ProductSprint Backlog'!$F77, TRUE, 0)</f>
        <v>0</v>
      </c>
      <c r="J77" s="4" cm="1">
        <f t="array" ref="J77">_xlfn.IFS('ProductSprint Backlog'!$F77="", "", AND('ProductSprint Backlog'!$J77&gt;J$2,'ProductSprint Backlog'!$I77&lt;=J$2), 'ProductSprint Backlog'!$F77 / MAX(1, 'ProductSprint Backlog'!$J77-'ProductSprint Backlog'!$I77), AND('ProductSprint Backlog'!$J77=J$2,'ProductSprint Backlog'!$I77=J$2), 'ProductSprint Backlog'!$F77, TRUE, 0)</f>
        <v>0</v>
      </c>
      <c r="K77" s="4" cm="1">
        <f t="array" ref="K77">_xlfn.IFS('ProductSprint Backlog'!$F77="", "", AND('ProductSprint Backlog'!$J77&gt;K$2,'ProductSprint Backlog'!$I77&lt;=K$2), 'ProductSprint Backlog'!$F77 / MAX(1, 'ProductSprint Backlog'!$J77-'ProductSprint Backlog'!$I77), AND('ProductSprint Backlog'!$J77=K$2,'ProductSprint Backlog'!$I77=K$2), 'ProductSprint Backlog'!$F77, TRUE, 0)</f>
        <v>0</v>
      </c>
      <c r="L77" s="4" cm="1">
        <f t="array" ref="L77">_xlfn.IFS('ProductSprint Backlog'!$F77="", "", AND('ProductSprint Backlog'!$J77&gt;L$2,'ProductSprint Backlog'!$I77&lt;=L$2), 'ProductSprint Backlog'!$F77 / MAX(1, 'ProductSprint Backlog'!$J77-'ProductSprint Backlog'!$I77), AND('ProductSprint Backlog'!$J77=L$2,'ProductSprint Backlog'!$I77=L$2), 'ProductSprint Backlog'!$F77, TRUE, 0)</f>
        <v>0</v>
      </c>
      <c r="M77" s="4" cm="1">
        <f t="array" ref="M77">_xlfn.IFS('ProductSprint Backlog'!$F77="", "", AND('ProductSprint Backlog'!$J77&gt;M$2,'ProductSprint Backlog'!$I77&lt;=M$2), 'ProductSprint Backlog'!$F77 / MAX(1, 'ProductSprint Backlog'!$J77-'ProductSprint Backlog'!$I77), AND('ProductSprint Backlog'!$J77=M$2,'ProductSprint Backlog'!$I77=M$2), 'ProductSprint Backlog'!$F77, TRUE, 0)</f>
        <v>0</v>
      </c>
      <c r="N77" s="4" cm="1">
        <f t="array" ref="N77">_xlfn.IFS('ProductSprint Backlog'!$F77="", "", AND('ProductSprint Backlog'!$J77&gt;N$2,'ProductSprint Backlog'!$I77&lt;=N$2), 'ProductSprint Backlog'!$F77 / MAX(1, 'ProductSprint Backlog'!$J77-'ProductSprint Backlog'!$I77), AND('ProductSprint Backlog'!$J77=N$2,'ProductSprint Backlog'!$I77=N$2), 'ProductSprint Backlog'!$F77, TRUE, 0)</f>
        <v>0</v>
      </c>
      <c r="O77" s="4" cm="1">
        <f t="array" ref="O77">_xlfn.IFS('ProductSprint Backlog'!$F77="", "", AND('ProductSprint Backlog'!$J77&gt;O$2,'ProductSprint Backlog'!$I77&lt;=O$2), 'ProductSprint Backlog'!$F77 / MAX(1, 'ProductSprint Backlog'!$J77-'ProductSprint Backlog'!$I77), AND('ProductSprint Backlog'!$J77=O$2,'ProductSprint Backlog'!$I77=O$2), 'ProductSprint Backlog'!$F77, TRUE, 0)</f>
        <v>0</v>
      </c>
      <c r="P77" s="4" cm="1">
        <f t="array" ref="P77">_xlfn.IFS('ProductSprint Backlog'!$F77="", "", AND('ProductSprint Backlog'!$J77&gt;P$2,'ProductSprint Backlog'!$I77&lt;=P$2), 'ProductSprint Backlog'!$F77 / MAX(1, 'ProductSprint Backlog'!$J77-'ProductSprint Backlog'!$I77), AND('ProductSprint Backlog'!$J77=P$2,'ProductSprint Backlog'!$I77=P$2), 'ProductSprint Backlog'!$F77, TRUE, 0)</f>
        <v>0</v>
      </c>
      <c r="Q77" s="4" cm="1">
        <f t="array" ref="Q77">_xlfn.IFS('ProductSprint Backlog'!$F77="", "", AND('ProductSprint Backlog'!$J77&gt;Q$2,'ProductSprint Backlog'!$I77&lt;=Q$2), 'ProductSprint Backlog'!$F77 / MAX(1, 'ProductSprint Backlog'!$J77-'ProductSprint Backlog'!$I77), AND('ProductSprint Backlog'!$J77=Q$2,'ProductSprint Backlog'!$I77=Q$2), 'ProductSprint Backlog'!$F77, TRUE, 0)</f>
        <v>0</v>
      </c>
    </row>
    <row r="78" spans="2:17" x14ac:dyDescent="0.2">
      <c r="B78" s="4" cm="1">
        <f t="array" ref="B78">_xlfn.IFS('ProductSprint Backlog'!$F78="", "", AND('ProductSprint Backlog'!$J78&gt;B$2,'ProductSprint Backlog'!$I78&lt;=B$2), 'ProductSprint Backlog'!$F78 / MAX(1, 'ProductSprint Backlog'!$J78-'ProductSprint Backlog'!$I78), AND('ProductSprint Backlog'!$J78=B$2,'ProductSprint Backlog'!$I78=B$2), 'ProductSprint Backlog'!$F78, TRUE, 0)</f>
        <v>0</v>
      </c>
      <c r="C78" s="4" cm="1">
        <f t="array" ref="C78">_xlfn.IFS('ProductSprint Backlog'!$F78="", "", AND('ProductSprint Backlog'!$J78&gt;C$2,'ProductSprint Backlog'!$I78&lt;=C$2), 'ProductSprint Backlog'!$F78 / MAX(1, 'ProductSprint Backlog'!$J78-'ProductSprint Backlog'!$I78), AND('ProductSprint Backlog'!$J78=C$2,'ProductSprint Backlog'!$I78=C$2), 'ProductSprint Backlog'!$F78, TRUE, 0)</f>
        <v>0</v>
      </c>
      <c r="D78" s="4" cm="1">
        <f t="array" ref="D78">_xlfn.IFS('ProductSprint Backlog'!$F78="", "", AND('ProductSprint Backlog'!$J78&gt;D$2,'ProductSprint Backlog'!$I78&lt;=D$2), 'ProductSprint Backlog'!$F78 / MAX(1, 'ProductSprint Backlog'!$J78-'ProductSprint Backlog'!$I78), AND('ProductSprint Backlog'!$J78=D$2,'ProductSprint Backlog'!$I78=D$2), 'ProductSprint Backlog'!$F78, TRUE, 0)</f>
        <v>0</v>
      </c>
      <c r="E78" s="4" cm="1">
        <f t="array" ref="E78">_xlfn.IFS('ProductSprint Backlog'!$F78="", "", AND('ProductSprint Backlog'!$J78&gt;E$2,'ProductSprint Backlog'!$I78&lt;=E$2), 'ProductSprint Backlog'!$F78 / MAX(1, 'ProductSprint Backlog'!$J78-'ProductSprint Backlog'!$I78), AND('ProductSprint Backlog'!$J78=E$2,'ProductSprint Backlog'!$I78=E$2), 'ProductSprint Backlog'!$F78, TRUE, 0)</f>
        <v>0</v>
      </c>
      <c r="F78" s="4" cm="1">
        <f t="array" ref="F78">_xlfn.IFS('ProductSprint Backlog'!$F78="", "", AND('ProductSprint Backlog'!$J78&gt;F$2,'ProductSprint Backlog'!$I78&lt;=F$2), 'ProductSprint Backlog'!$F78 / MAX(1, 'ProductSprint Backlog'!$J78-'ProductSprint Backlog'!$I78), AND('ProductSprint Backlog'!$J78=F$2,'ProductSprint Backlog'!$I78=F$2), 'ProductSprint Backlog'!$F78, TRUE, 0)</f>
        <v>0</v>
      </c>
      <c r="G78" s="4" cm="1">
        <f t="array" ref="G78">_xlfn.IFS('ProductSprint Backlog'!$F78="", "", AND('ProductSprint Backlog'!$J78&gt;G$2,'ProductSprint Backlog'!$I78&lt;=G$2), 'ProductSprint Backlog'!$F78 / MAX(1, 'ProductSprint Backlog'!$J78-'ProductSprint Backlog'!$I78), AND('ProductSprint Backlog'!$J78=G$2,'ProductSprint Backlog'!$I78=G$2), 'ProductSprint Backlog'!$F78, TRUE, 0)</f>
        <v>0</v>
      </c>
      <c r="H78" s="4" cm="1">
        <f t="array" ref="H78">_xlfn.IFS('ProductSprint Backlog'!$F78="", "", AND('ProductSprint Backlog'!$J78&gt;H$2,'ProductSprint Backlog'!$I78&lt;=H$2), 'ProductSprint Backlog'!$F78 / MAX(1, 'ProductSprint Backlog'!$J78-'ProductSprint Backlog'!$I78), AND('ProductSprint Backlog'!$J78=H$2,'ProductSprint Backlog'!$I78=H$2), 'ProductSprint Backlog'!$F78, TRUE, 0)</f>
        <v>0</v>
      </c>
      <c r="I78" s="4" cm="1">
        <f t="array" ref="I78">_xlfn.IFS('ProductSprint Backlog'!$F78="", "", AND('ProductSprint Backlog'!$J78&gt;I$2,'ProductSprint Backlog'!$I78&lt;=I$2), 'ProductSprint Backlog'!$F78 / MAX(1, 'ProductSprint Backlog'!$J78-'ProductSprint Backlog'!$I78), AND('ProductSprint Backlog'!$J78=I$2,'ProductSprint Backlog'!$I78=I$2), 'ProductSprint Backlog'!$F78, TRUE, 0)</f>
        <v>0</v>
      </c>
      <c r="J78" s="4" cm="1">
        <f t="array" ref="J78">_xlfn.IFS('ProductSprint Backlog'!$F78="", "", AND('ProductSprint Backlog'!$J78&gt;J$2,'ProductSprint Backlog'!$I78&lt;=J$2), 'ProductSprint Backlog'!$F78 / MAX(1, 'ProductSprint Backlog'!$J78-'ProductSprint Backlog'!$I78), AND('ProductSprint Backlog'!$J78=J$2,'ProductSprint Backlog'!$I78=J$2), 'ProductSprint Backlog'!$F78, TRUE, 0)</f>
        <v>0</v>
      </c>
      <c r="K78" s="4" cm="1">
        <f t="array" ref="K78">_xlfn.IFS('ProductSprint Backlog'!$F78="", "", AND('ProductSprint Backlog'!$J78&gt;K$2,'ProductSprint Backlog'!$I78&lt;=K$2), 'ProductSprint Backlog'!$F78 / MAX(1, 'ProductSprint Backlog'!$J78-'ProductSprint Backlog'!$I78), AND('ProductSprint Backlog'!$J78=K$2,'ProductSprint Backlog'!$I78=K$2), 'ProductSprint Backlog'!$F78, TRUE, 0)</f>
        <v>0</v>
      </c>
      <c r="L78" s="4" cm="1">
        <f t="array" ref="L78">_xlfn.IFS('ProductSprint Backlog'!$F78="", "", AND('ProductSprint Backlog'!$J78&gt;L$2,'ProductSprint Backlog'!$I78&lt;=L$2), 'ProductSprint Backlog'!$F78 / MAX(1, 'ProductSprint Backlog'!$J78-'ProductSprint Backlog'!$I78), AND('ProductSprint Backlog'!$J78=L$2,'ProductSprint Backlog'!$I78=L$2), 'ProductSprint Backlog'!$F78, TRUE, 0)</f>
        <v>0</v>
      </c>
      <c r="M78" s="4" cm="1">
        <f t="array" ref="M78">_xlfn.IFS('ProductSprint Backlog'!$F78="", "", AND('ProductSprint Backlog'!$J78&gt;M$2,'ProductSprint Backlog'!$I78&lt;=M$2), 'ProductSprint Backlog'!$F78 / MAX(1, 'ProductSprint Backlog'!$J78-'ProductSprint Backlog'!$I78), AND('ProductSprint Backlog'!$J78=M$2,'ProductSprint Backlog'!$I78=M$2), 'ProductSprint Backlog'!$F78, TRUE, 0)</f>
        <v>0</v>
      </c>
      <c r="N78" s="4" cm="1">
        <f t="array" ref="N78">_xlfn.IFS('ProductSprint Backlog'!$F78="", "", AND('ProductSprint Backlog'!$J78&gt;N$2,'ProductSprint Backlog'!$I78&lt;=N$2), 'ProductSprint Backlog'!$F78 / MAX(1, 'ProductSprint Backlog'!$J78-'ProductSprint Backlog'!$I78), AND('ProductSprint Backlog'!$J78=N$2,'ProductSprint Backlog'!$I78=N$2), 'ProductSprint Backlog'!$F78, TRUE, 0)</f>
        <v>0</v>
      </c>
      <c r="O78" s="4" cm="1">
        <f t="array" ref="O78">_xlfn.IFS('ProductSprint Backlog'!$F78="", "", AND('ProductSprint Backlog'!$J78&gt;O$2,'ProductSprint Backlog'!$I78&lt;=O$2), 'ProductSprint Backlog'!$F78 / MAX(1, 'ProductSprint Backlog'!$J78-'ProductSprint Backlog'!$I78), AND('ProductSprint Backlog'!$J78=O$2,'ProductSprint Backlog'!$I78=O$2), 'ProductSprint Backlog'!$F78, TRUE, 0)</f>
        <v>0</v>
      </c>
      <c r="P78" s="4" cm="1">
        <f t="array" ref="P78">_xlfn.IFS('ProductSprint Backlog'!$F78="", "", AND('ProductSprint Backlog'!$J78&gt;P$2,'ProductSprint Backlog'!$I78&lt;=P$2), 'ProductSprint Backlog'!$F78 / MAX(1, 'ProductSprint Backlog'!$J78-'ProductSprint Backlog'!$I78), AND('ProductSprint Backlog'!$J78=P$2,'ProductSprint Backlog'!$I78=P$2), 'ProductSprint Backlog'!$F78, TRUE, 0)</f>
        <v>0</v>
      </c>
      <c r="Q78" s="4" cm="1">
        <f t="array" ref="Q78">_xlfn.IFS('ProductSprint Backlog'!$F78="", "", AND('ProductSprint Backlog'!$J78&gt;Q$2,'ProductSprint Backlog'!$I78&lt;=Q$2), 'ProductSprint Backlog'!$F78 / MAX(1, 'ProductSprint Backlog'!$J78-'ProductSprint Backlog'!$I78), AND('ProductSprint Backlog'!$J78=Q$2,'ProductSprint Backlog'!$I78=Q$2), 'ProductSprint Backlog'!$F78, TRUE, 0)</f>
        <v>0</v>
      </c>
    </row>
    <row r="79" spans="2:17" x14ac:dyDescent="0.2">
      <c r="B79" s="4" t="str" cm="1">
        <f t="array" ref="B79">_xlfn.IFS('ProductSprint Backlog'!$F79="", "", AND('ProductSprint Backlog'!$J79&gt;B$2,'ProductSprint Backlog'!$I79&lt;=B$2), 'ProductSprint Backlog'!$F79 / MAX(1, 'ProductSprint Backlog'!$J79-'ProductSprint Backlog'!$I79), AND('ProductSprint Backlog'!$J79=B$2,'ProductSprint Backlog'!$I79=B$2), 'ProductSprint Backlog'!$F79, TRUE, 0)</f>
        <v/>
      </c>
      <c r="C79" s="4" t="str" cm="1">
        <f t="array" ref="C79">_xlfn.IFS('ProductSprint Backlog'!$F79="", "", AND('ProductSprint Backlog'!$J79&gt;C$2,'ProductSprint Backlog'!$I79&lt;=C$2), 'ProductSprint Backlog'!$F79 / MAX(1, 'ProductSprint Backlog'!$J79-'ProductSprint Backlog'!$I79), AND('ProductSprint Backlog'!$J79=C$2,'ProductSprint Backlog'!$I79=C$2), 'ProductSprint Backlog'!$F79, TRUE, 0)</f>
        <v/>
      </c>
      <c r="D79" s="4" t="str" cm="1">
        <f t="array" ref="D79">_xlfn.IFS('ProductSprint Backlog'!$F79="", "", AND('ProductSprint Backlog'!$J79&gt;D$2,'ProductSprint Backlog'!$I79&lt;=D$2), 'ProductSprint Backlog'!$F79 / MAX(1, 'ProductSprint Backlog'!$J79-'ProductSprint Backlog'!$I79), AND('ProductSprint Backlog'!$J79=D$2,'ProductSprint Backlog'!$I79=D$2), 'ProductSprint Backlog'!$F79, TRUE, 0)</f>
        <v/>
      </c>
      <c r="E79" s="4" t="str" cm="1">
        <f t="array" ref="E79">_xlfn.IFS('ProductSprint Backlog'!$F79="", "", AND('ProductSprint Backlog'!$J79&gt;E$2,'ProductSprint Backlog'!$I79&lt;=E$2), 'ProductSprint Backlog'!$F79 / MAX(1, 'ProductSprint Backlog'!$J79-'ProductSprint Backlog'!$I79), AND('ProductSprint Backlog'!$J79=E$2,'ProductSprint Backlog'!$I79=E$2), 'ProductSprint Backlog'!$F79, TRUE, 0)</f>
        <v/>
      </c>
      <c r="F79" s="4" t="str" cm="1">
        <f t="array" ref="F79">_xlfn.IFS('ProductSprint Backlog'!$F79="", "", AND('ProductSprint Backlog'!$J79&gt;F$2,'ProductSprint Backlog'!$I79&lt;=F$2), 'ProductSprint Backlog'!$F79 / MAX(1, 'ProductSprint Backlog'!$J79-'ProductSprint Backlog'!$I79), AND('ProductSprint Backlog'!$J79=F$2,'ProductSprint Backlog'!$I79=F$2), 'ProductSprint Backlog'!$F79, TRUE, 0)</f>
        <v/>
      </c>
      <c r="G79" s="4" t="str" cm="1">
        <f t="array" ref="G79">_xlfn.IFS('ProductSprint Backlog'!$F79="", "", AND('ProductSprint Backlog'!$J79&gt;G$2,'ProductSprint Backlog'!$I79&lt;=G$2), 'ProductSprint Backlog'!$F79 / MAX(1, 'ProductSprint Backlog'!$J79-'ProductSprint Backlog'!$I79), AND('ProductSprint Backlog'!$J79=G$2,'ProductSprint Backlog'!$I79=G$2), 'ProductSprint Backlog'!$F79, TRUE, 0)</f>
        <v/>
      </c>
      <c r="H79" s="4" t="str" cm="1">
        <f t="array" ref="H79">_xlfn.IFS('ProductSprint Backlog'!$F79="", "", AND('ProductSprint Backlog'!$J79&gt;H$2,'ProductSprint Backlog'!$I79&lt;=H$2), 'ProductSprint Backlog'!$F79 / MAX(1, 'ProductSprint Backlog'!$J79-'ProductSprint Backlog'!$I79), AND('ProductSprint Backlog'!$J79=H$2,'ProductSprint Backlog'!$I79=H$2), 'ProductSprint Backlog'!$F79, TRUE, 0)</f>
        <v/>
      </c>
      <c r="I79" s="4" t="str" cm="1">
        <f t="array" ref="I79">_xlfn.IFS('ProductSprint Backlog'!$F79="", "", AND('ProductSprint Backlog'!$J79&gt;I$2,'ProductSprint Backlog'!$I79&lt;=I$2), 'ProductSprint Backlog'!$F79 / MAX(1, 'ProductSprint Backlog'!$J79-'ProductSprint Backlog'!$I79), AND('ProductSprint Backlog'!$J79=I$2,'ProductSprint Backlog'!$I79=I$2), 'ProductSprint Backlog'!$F79, TRUE, 0)</f>
        <v/>
      </c>
      <c r="J79" s="4" t="str" cm="1">
        <f t="array" ref="J79">_xlfn.IFS('ProductSprint Backlog'!$F79="", "", AND('ProductSprint Backlog'!$J79&gt;J$2,'ProductSprint Backlog'!$I79&lt;=J$2), 'ProductSprint Backlog'!$F79 / MAX(1, 'ProductSprint Backlog'!$J79-'ProductSprint Backlog'!$I79), AND('ProductSprint Backlog'!$J79=J$2,'ProductSprint Backlog'!$I79=J$2), 'ProductSprint Backlog'!$F79, TRUE, 0)</f>
        <v/>
      </c>
      <c r="K79" s="4" t="str" cm="1">
        <f t="array" ref="K79">_xlfn.IFS('ProductSprint Backlog'!$F79="", "", AND('ProductSprint Backlog'!$J79&gt;K$2,'ProductSprint Backlog'!$I79&lt;=K$2), 'ProductSprint Backlog'!$F79 / MAX(1, 'ProductSprint Backlog'!$J79-'ProductSprint Backlog'!$I79), AND('ProductSprint Backlog'!$J79=K$2,'ProductSprint Backlog'!$I79=K$2), 'ProductSprint Backlog'!$F79, TRUE, 0)</f>
        <v/>
      </c>
      <c r="L79" s="4" t="str" cm="1">
        <f t="array" ref="L79">_xlfn.IFS('ProductSprint Backlog'!$F79="", "", AND('ProductSprint Backlog'!$J79&gt;L$2,'ProductSprint Backlog'!$I79&lt;=L$2), 'ProductSprint Backlog'!$F79 / MAX(1, 'ProductSprint Backlog'!$J79-'ProductSprint Backlog'!$I79), AND('ProductSprint Backlog'!$J79=L$2,'ProductSprint Backlog'!$I79=L$2), 'ProductSprint Backlog'!$F79, TRUE, 0)</f>
        <v/>
      </c>
      <c r="M79" s="4" t="str" cm="1">
        <f t="array" ref="M79">_xlfn.IFS('ProductSprint Backlog'!$F79="", "", AND('ProductSprint Backlog'!$J79&gt;M$2,'ProductSprint Backlog'!$I79&lt;=M$2), 'ProductSprint Backlog'!$F79 / MAX(1, 'ProductSprint Backlog'!$J79-'ProductSprint Backlog'!$I79), AND('ProductSprint Backlog'!$J79=M$2,'ProductSprint Backlog'!$I79=M$2), 'ProductSprint Backlog'!$F79, TRUE, 0)</f>
        <v/>
      </c>
      <c r="N79" s="4" t="str" cm="1">
        <f t="array" ref="N79">_xlfn.IFS('ProductSprint Backlog'!$F79="", "", AND('ProductSprint Backlog'!$J79&gt;N$2,'ProductSprint Backlog'!$I79&lt;=N$2), 'ProductSprint Backlog'!$F79 / MAX(1, 'ProductSprint Backlog'!$J79-'ProductSprint Backlog'!$I79), AND('ProductSprint Backlog'!$J79=N$2,'ProductSprint Backlog'!$I79=N$2), 'ProductSprint Backlog'!$F79, TRUE, 0)</f>
        <v/>
      </c>
      <c r="O79" s="4" t="str" cm="1">
        <f t="array" ref="O79">_xlfn.IFS('ProductSprint Backlog'!$F79="", "", AND('ProductSprint Backlog'!$J79&gt;O$2,'ProductSprint Backlog'!$I79&lt;=O$2), 'ProductSprint Backlog'!$F79 / MAX(1, 'ProductSprint Backlog'!$J79-'ProductSprint Backlog'!$I79), AND('ProductSprint Backlog'!$J79=O$2,'ProductSprint Backlog'!$I79=O$2), 'ProductSprint Backlog'!$F79, TRUE, 0)</f>
        <v/>
      </c>
      <c r="P79" s="4" t="str" cm="1">
        <f t="array" ref="P79">_xlfn.IFS('ProductSprint Backlog'!$F79="", "", AND('ProductSprint Backlog'!$J79&gt;P$2,'ProductSprint Backlog'!$I79&lt;=P$2), 'ProductSprint Backlog'!$F79 / MAX(1, 'ProductSprint Backlog'!$J79-'ProductSprint Backlog'!$I79), AND('ProductSprint Backlog'!$J79=P$2,'ProductSprint Backlog'!$I79=P$2), 'ProductSprint Backlog'!$F79, TRUE, 0)</f>
        <v/>
      </c>
      <c r="Q79" s="4" t="str" cm="1">
        <f t="array" ref="Q79">_xlfn.IFS('ProductSprint Backlog'!$F79="", "", AND('ProductSprint Backlog'!$J79&gt;Q$2,'ProductSprint Backlog'!$I79&lt;=Q$2), 'ProductSprint Backlog'!$F79 / MAX(1, 'ProductSprint Backlog'!$J79-'ProductSprint Backlog'!$I79), AND('ProductSprint Backlog'!$J79=Q$2,'ProductSprint Backlog'!$I79=Q$2), 'ProductSprint Backlog'!$F79, TRUE, 0)</f>
        <v/>
      </c>
    </row>
    <row r="80" spans="2:17" x14ac:dyDescent="0.2">
      <c r="B80" s="4" cm="1">
        <f t="array" ref="B80">_xlfn.IFS('ProductSprint Backlog'!$F80="", "", AND('ProductSprint Backlog'!$J80&gt;B$2,'ProductSprint Backlog'!$I80&lt;=B$2), 'ProductSprint Backlog'!$F80 / MAX(1, 'ProductSprint Backlog'!$J80-'ProductSprint Backlog'!$I80), AND('ProductSprint Backlog'!$J80=B$2,'ProductSprint Backlog'!$I80=B$2), 'ProductSprint Backlog'!$F80, TRUE, 0)</f>
        <v>0</v>
      </c>
      <c r="C80" s="4" cm="1">
        <f t="array" ref="C80">_xlfn.IFS('ProductSprint Backlog'!$F80="", "", AND('ProductSprint Backlog'!$J80&gt;C$2,'ProductSprint Backlog'!$I80&lt;=C$2), 'ProductSprint Backlog'!$F80 / MAX(1, 'ProductSprint Backlog'!$J80-'ProductSprint Backlog'!$I80), AND('ProductSprint Backlog'!$J80=C$2,'ProductSprint Backlog'!$I80=C$2), 'ProductSprint Backlog'!$F80, TRUE, 0)</f>
        <v>0</v>
      </c>
      <c r="D80" s="4" cm="1">
        <f t="array" ref="D80">_xlfn.IFS('ProductSprint Backlog'!$F80="", "", AND('ProductSprint Backlog'!$J80&gt;D$2,'ProductSprint Backlog'!$I80&lt;=D$2), 'ProductSprint Backlog'!$F80 / MAX(1, 'ProductSprint Backlog'!$J80-'ProductSprint Backlog'!$I80), AND('ProductSprint Backlog'!$J80=D$2,'ProductSprint Backlog'!$I80=D$2), 'ProductSprint Backlog'!$F80, TRUE, 0)</f>
        <v>0</v>
      </c>
      <c r="E80" s="4" cm="1">
        <f t="array" ref="E80">_xlfn.IFS('ProductSprint Backlog'!$F80="", "", AND('ProductSprint Backlog'!$J80&gt;E$2,'ProductSprint Backlog'!$I80&lt;=E$2), 'ProductSprint Backlog'!$F80 / MAX(1, 'ProductSprint Backlog'!$J80-'ProductSprint Backlog'!$I80), AND('ProductSprint Backlog'!$J80=E$2,'ProductSprint Backlog'!$I80=E$2), 'ProductSprint Backlog'!$F80, TRUE, 0)</f>
        <v>0</v>
      </c>
      <c r="F80" s="4" cm="1">
        <f t="array" ref="F80">_xlfn.IFS('ProductSprint Backlog'!$F80="", "", AND('ProductSprint Backlog'!$J80&gt;F$2,'ProductSprint Backlog'!$I80&lt;=F$2), 'ProductSprint Backlog'!$F80 / MAX(1, 'ProductSprint Backlog'!$J80-'ProductSprint Backlog'!$I80), AND('ProductSprint Backlog'!$J80=F$2,'ProductSprint Backlog'!$I80=F$2), 'ProductSprint Backlog'!$F80, TRUE, 0)</f>
        <v>0</v>
      </c>
      <c r="G80" s="4" cm="1">
        <f t="array" ref="G80">_xlfn.IFS('ProductSprint Backlog'!$F80="", "", AND('ProductSprint Backlog'!$J80&gt;G$2,'ProductSprint Backlog'!$I80&lt;=G$2), 'ProductSprint Backlog'!$F80 / MAX(1, 'ProductSprint Backlog'!$J80-'ProductSprint Backlog'!$I80), AND('ProductSprint Backlog'!$J80=G$2,'ProductSprint Backlog'!$I80=G$2), 'ProductSprint Backlog'!$F80, TRUE, 0)</f>
        <v>0</v>
      </c>
      <c r="H80" s="4" cm="1">
        <f t="array" ref="H80">_xlfn.IFS('ProductSprint Backlog'!$F80="", "", AND('ProductSprint Backlog'!$J80&gt;H$2,'ProductSprint Backlog'!$I80&lt;=H$2), 'ProductSprint Backlog'!$F80 / MAX(1, 'ProductSprint Backlog'!$J80-'ProductSprint Backlog'!$I80), AND('ProductSprint Backlog'!$J80=H$2,'ProductSprint Backlog'!$I80=H$2), 'ProductSprint Backlog'!$F80, TRUE, 0)</f>
        <v>0</v>
      </c>
      <c r="I80" s="4" cm="1">
        <f t="array" ref="I80">_xlfn.IFS('ProductSprint Backlog'!$F80="", "", AND('ProductSprint Backlog'!$J80&gt;I$2,'ProductSprint Backlog'!$I80&lt;=I$2), 'ProductSprint Backlog'!$F80 / MAX(1, 'ProductSprint Backlog'!$J80-'ProductSprint Backlog'!$I80), AND('ProductSprint Backlog'!$J80=I$2,'ProductSprint Backlog'!$I80=I$2), 'ProductSprint Backlog'!$F80, TRUE, 0)</f>
        <v>0</v>
      </c>
      <c r="J80" s="4" cm="1">
        <f t="array" ref="J80">_xlfn.IFS('ProductSprint Backlog'!$F80="", "", AND('ProductSprint Backlog'!$J80&gt;J$2,'ProductSprint Backlog'!$I80&lt;=J$2), 'ProductSprint Backlog'!$F80 / MAX(1, 'ProductSprint Backlog'!$J80-'ProductSprint Backlog'!$I80), AND('ProductSprint Backlog'!$J80=J$2,'ProductSprint Backlog'!$I80=J$2), 'ProductSprint Backlog'!$F80, TRUE, 0)</f>
        <v>0</v>
      </c>
      <c r="K80" s="4" cm="1">
        <f t="array" ref="K80">_xlfn.IFS('ProductSprint Backlog'!$F80="", "", AND('ProductSprint Backlog'!$J80&gt;K$2,'ProductSprint Backlog'!$I80&lt;=K$2), 'ProductSprint Backlog'!$F80 / MAX(1, 'ProductSprint Backlog'!$J80-'ProductSprint Backlog'!$I80), AND('ProductSprint Backlog'!$J80=K$2,'ProductSprint Backlog'!$I80=K$2), 'ProductSprint Backlog'!$F80, TRUE, 0)</f>
        <v>0</v>
      </c>
      <c r="L80" s="4" cm="1">
        <f t="array" ref="L80">_xlfn.IFS('ProductSprint Backlog'!$F80="", "", AND('ProductSprint Backlog'!$J80&gt;L$2,'ProductSprint Backlog'!$I80&lt;=L$2), 'ProductSprint Backlog'!$F80 / MAX(1, 'ProductSprint Backlog'!$J80-'ProductSprint Backlog'!$I80), AND('ProductSprint Backlog'!$J80=L$2,'ProductSprint Backlog'!$I80=L$2), 'ProductSprint Backlog'!$F80, TRUE, 0)</f>
        <v>0</v>
      </c>
      <c r="M80" s="4" cm="1">
        <f t="array" ref="M80">_xlfn.IFS('ProductSprint Backlog'!$F80="", "", AND('ProductSprint Backlog'!$J80&gt;M$2,'ProductSprint Backlog'!$I80&lt;=M$2), 'ProductSprint Backlog'!$F80 / MAX(1, 'ProductSprint Backlog'!$J80-'ProductSprint Backlog'!$I80), AND('ProductSprint Backlog'!$J80=M$2,'ProductSprint Backlog'!$I80=M$2), 'ProductSprint Backlog'!$F80, TRUE, 0)</f>
        <v>0</v>
      </c>
      <c r="N80" s="4" cm="1">
        <f t="array" ref="N80">_xlfn.IFS('ProductSprint Backlog'!$F80="", "", AND('ProductSprint Backlog'!$J80&gt;N$2,'ProductSprint Backlog'!$I80&lt;=N$2), 'ProductSprint Backlog'!$F80 / MAX(1, 'ProductSprint Backlog'!$J80-'ProductSprint Backlog'!$I80), AND('ProductSprint Backlog'!$J80=N$2,'ProductSprint Backlog'!$I80=N$2), 'ProductSprint Backlog'!$F80, TRUE, 0)</f>
        <v>0</v>
      </c>
      <c r="O80" s="4" cm="1">
        <f t="array" ref="O80">_xlfn.IFS('ProductSprint Backlog'!$F80="", "", AND('ProductSprint Backlog'!$J80&gt;O$2,'ProductSprint Backlog'!$I80&lt;=O$2), 'ProductSprint Backlog'!$F80 / MAX(1, 'ProductSprint Backlog'!$J80-'ProductSprint Backlog'!$I80), AND('ProductSprint Backlog'!$J80=O$2,'ProductSprint Backlog'!$I80=O$2), 'ProductSprint Backlog'!$F80, TRUE, 0)</f>
        <v>0</v>
      </c>
      <c r="P80" s="4" cm="1">
        <f t="array" ref="P80">_xlfn.IFS('ProductSprint Backlog'!$F80="", "", AND('ProductSprint Backlog'!$J80&gt;P$2,'ProductSprint Backlog'!$I80&lt;=P$2), 'ProductSprint Backlog'!$F80 / MAX(1, 'ProductSprint Backlog'!$J80-'ProductSprint Backlog'!$I80), AND('ProductSprint Backlog'!$J80=P$2,'ProductSprint Backlog'!$I80=P$2), 'ProductSprint Backlog'!$F80, TRUE, 0)</f>
        <v>0</v>
      </c>
      <c r="Q80" s="4" cm="1">
        <f t="array" ref="Q80">_xlfn.IFS('ProductSprint Backlog'!$F80="", "", AND('ProductSprint Backlog'!$J80&gt;Q$2,'ProductSprint Backlog'!$I80&lt;=Q$2), 'ProductSprint Backlog'!$F80 / MAX(1, 'ProductSprint Backlog'!$J80-'ProductSprint Backlog'!$I80), AND('ProductSprint Backlog'!$J80=Q$2,'ProductSprint Backlog'!$I80=Q$2), 'ProductSprint Backlog'!$F80, TRUE, 0)</f>
        <v>0</v>
      </c>
    </row>
    <row r="81" spans="2:17" x14ac:dyDescent="0.2">
      <c r="B81" s="4" cm="1">
        <f t="array" ref="B81">_xlfn.IFS('ProductSprint Backlog'!$F81="", "", AND('ProductSprint Backlog'!$J81&gt;B$2,'ProductSprint Backlog'!$I81&lt;=B$2), 'ProductSprint Backlog'!$F81 / MAX(1, 'ProductSprint Backlog'!$J81-'ProductSprint Backlog'!$I81), AND('ProductSprint Backlog'!$J81=B$2,'ProductSprint Backlog'!$I81=B$2), 'ProductSprint Backlog'!$F81, TRUE, 0)</f>
        <v>0</v>
      </c>
      <c r="C81" s="4" cm="1">
        <f t="array" ref="C81">_xlfn.IFS('ProductSprint Backlog'!$F81="", "", AND('ProductSprint Backlog'!$J81&gt;C$2,'ProductSprint Backlog'!$I81&lt;=C$2), 'ProductSprint Backlog'!$F81 / MAX(1, 'ProductSprint Backlog'!$J81-'ProductSprint Backlog'!$I81), AND('ProductSprint Backlog'!$J81=C$2,'ProductSprint Backlog'!$I81=C$2), 'ProductSprint Backlog'!$F81, TRUE, 0)</f>
        <v>0</v>
      </c>
      <c r="D81" s="4" cm="1">
        <f t="array" ref="D81">_xlfn.IFS('ProductSprint Backlog'!$F81="", "", AND('ProductSprint Backlog'!$J81&gt;D$2,'ProductSprint Backlog'!$I81&lt;=D$2), 'ProductSprint Backlog'!$F81 / MAX(1, 'ProductSprint Backlog'!$J81-'ProductSprint Backlog'!$I81), AND('ProductSprint Backlog'!$J81=D$2,'ProductSprint Backlog'!$I81=D$2), 'ProductSprint Backlog'!$F81, TRUE, 0)</f>
        <v>0</v>
      </c>
      <c r="E81" s="4" cm="1">
        <f t="array" ref="E81">_xlfn.IFS('ProductSprint Backlog'!$F81="", "", AND('ProductSprint Backlog'!$J81&gt;E$2,'ProductSprint Backlog'!$I81&lt;=E$2), 'ProductSprint Backlog'!$F81 / MAX(1, 'ProductSprint Backlog'!$J81-'ProductSprint Backlog'!$I81), AND('ProductSprint Backlog'!$J81=E$2,'ProductSprint Backlog'!$I81=E$2), 'ProductSprint Backlog'!$F81, TRUE, 0)</f>
        <v>0</v>
      </c>
      <c r="F81" s="4" cm="1">
        <f t="array" ref="F81">_xlfn.IFS('ProductSprint Backlog'!$F81="", "", AND('ProductSprint Backlog'!$J81&gt;F$2,'ProductSprint Backlog'!$I81&lt;=F$2), 'ProductSprint Backlog'!$F81 / MAX(1, 'ProductSprint Backlog'!$J81-'ProductSprint Backlog'!$I81), AND('ProductSprint Backlog'!$J81=F$2,'ProductSprint Backlog'!$I81=F$2), 'ProductSprint Backlog'!$F81, TRUE, 0)</f>
        <v>0</v>
      </c>
      <c r="G81" s="4" cm="1">
        <f t="array" ref="G81">_xlfn.IFS('ProductSprint Backlog'!$F81="", "", AND('ProductSprint Backlog'!$J81&gt;G$2,'ProductSprint Backlog'!$I81&lt;=G$2), 'ProductSprint Backlog'!$F81 / MAX(1, 'ProductSprint Backlog'!$J81-'ProductSprint Backlog'!$I81), AND('ProductSprint Backlog'!$J81=G$2,'ProductSprint Backlog'!$I81=G$2), 'ProductSprint Backlog'!$F81, TRUE, 0)</f>
        <v>0</v>
      </c>
      <c r="H81" s="4" cm="1">
        <f t="array" ref="H81">_xlfn.IFS('ProductSprint Backlog'!$F81="", "", AND('ProductSprint Backlog'!$J81&gt;H$2,'ProductSprint Backlog'!$I81&lt;=H$2), 'ProductSprint Backlog'!$F81 / MAX(1, 'ProductSprint Backlog'!$J81-'ProductSprint Backlog'!$I81), AND('ProductSprint Backlog'!$J81=H$2,'ProductSprint Backlog'!$I81=H$2), 'ProductSprint Backlog'!$F81, TRUE, 0)</f>
        <v>0</v>
      </c>
      <c r="I81" s="4" cm="1">
        <f t="array" ref="I81">_xlfn.IFS('ProductSprint Backlog'!$F81="", "", AND('ProductSprint Backlog'!$J81&gt;I$2,'ProductSprint Backlog'!$I81&lt;=I$2), 'ProductSprint Backlog'!$F81 / MAX(1, 'ProductSprint Backlog'!$J81-'ProductSprint Backlog'!$I81), AND('ProductSprint Backlog'!$J81=I$2,'ProductSprint Backlog'!$I81=I$2), 'ProductSprint Backlog'!$F81, TRUE, 0)</f>
        <v>0</v>
      </c>
      <c r="J81" s="4" cm="1">
        <f t="array" ref="J81">_xlfn.IFS('ProductSprint Backlog'!$F81="", "", AND('ProductSprint Backlog'!$J81&gt;J$2,'ProductSprint Backlog'!$I81&lt;=J$2), 'ProductSprint Backlog'!$F81 / MAX(1, 'ProductSprint Backlog'!$J81-'ProductSprint Backlog'!$I81), AND('ProductSprint Backlog'!$J81=J$2,'ProductSprint Backlog'!$I81=J$2), 'ProductSprint Backlog'!$F81, TRUE, 0)</f>
        <v>0</v>
      </c>
      <c r="K81" s="4" cm="1">
        <f t="array" ref="K81">_xlfn.IFS('ProductSprint Backlog'!$F81="", "", AND('ProductSprint Backlog'!$J81&gt;K$2,'ProductSprint Backlog'!$I81&lt;=K$2), 'ProductSprint Backlog'!$F81 / MAX(1, 'ProductSprint Backlog'!$J81-'ProductSprint Backlog'!$I81), AND('ProductSprint Backlog'!$J81=K$2,'ProductSprint Backlog'!$I81=K$2), 'ProductSprint Backlog'!$F81, TRUE, 0)</f>
        <v>0</v>
      </c>
      <c r="L81" s="4" cm="1">
        <f t="array" ref="L81">_xlfn.IFS('ProductSprint Backlog'!$F81="", "", AND('ProductSprint Backlog'!$J81&gt;L$2,'ProductSprint Backlog'!$I81&lt;=L$2), 'ProductSprint Backlog'!$F81 / MAX(1, 'ProductSprint Backlog'!$J81-'ProductSprint Backlog'!$I81), AND('ProductSprint Backlog'!$J81=L$2,'ProductSprint Backlog'!$I81=L$2), 'ProductSprint Backlog'!$F81, TRUE, 0)</f>
        <v>0</v>
      </c>
      <c r="M81" s="4" cm="1">
        <f t="array" ref="M81">_xlfn.IFS('ProductSprint Backlog'!$F81="", "", AND('ProductSprint Backlog'!$J81&gt;M$2,'ProductSprint Backlog'!$I81&lt;=M$2), 'ProductSprint Backlog'!$F81 / MAX(1, 'ProductSprint Backlog'!$J81-'ProductSprint Backlog'!$I81), AND('ProductSprint Backlog'!$J81=M$2,'ProductSprint Backlog'!$I81=M$2), 'ProductSprint Backlog'!$F81, TRUE, 0)</f>
        <v>0</v>
      </c>
      <c r="N81" s="4" cm="1">
        <f t="array" ref="N81">_xlfn.IFS('ProductSprint Backlog'!$F81="", "", AND('ProductSprint Backlog'!$J81&gt;N$2,'ProductSprint Backlog'!$I81&lt;=N$2), 'ProductSprint Backlog'!$F81 / MAX(1, 'ProductSprint Backlog'!$J81-'ProductSprint Backlog'!$I81), AND('ProductSprint Backlog'!$J81=N$2,'ProductSprint Backlog'!$I81=N$2), 'ProductSprint Backlog'!$F81, TRUE, 0)</f>
        <v>0</v>
      </c>
      <c r="O81" s="4" cm="1">
        <f t="array" ref="O81">_xlfn.IFS('ProductSprint Backlog'!$F81="", "", AND('ProductSprint Backlog'!$J81&gt;O$2,'ProductSprint Backlog'!$I81&lt;=O$2), 'ProductSprint Backlog'!$F81 / MAX(1, 'ProductSprint Backlog'!$J81-'ProductSprint Backlog'!$I81), AND('ProductSprint Backlog'!$J81=O$2,'ProductSprint Backlog'!$I81=O$2), 'ProductSprint Backlog'!$F81, TRUE, 0)</f>
        <v>0</v>
      </c>
      <c r="P81" s="4" cm="1">
        <f t="array" ref="P81">_xlfn.IFS('ProductSprint Backlog'!$F81="", "", AND('ProductSprint Backlog'!$J81&gt;P$2,'ProductSprint Backlog'!$I81&lt;=P$2), 'ProductSprint Backlog'!$F81 / MAX(1, 'ProductSprint Backlog'!$J81-'ProductSprint Backlog'!$I81), AND('ProductSprint Backlog'!$J81=P$2,'ProductSprint Backlog'!$I81=P$2), 'ProductSprint Backlog'!$F81, TRUE, 0)</f>
        <v>0</v>
      </c>
      <c r="Q81" s="4" cm="1">
        <f t="array" ref="Q81">_xlfn.IFS('ProductSprint Backlog'!$F81="", "", AND('ProductSprint Backlog'!$J81&gt;Q$2,'ProductSprint Backlog'!$I81&lt;=Q$2), 'ProductSprint Backlog'!$F81 / MAX(1, 'ProductSprint Backlog'!$J81-'ProductSprint Backlog'!$I81), AND('ProductSprint Backlog'!$J81=Q$2,'ProductSprint Backlog'!$I81=Q$2), 'ProductSprint Backlog'!$F81, TRUE, 0)</f>
        <v>0</v>
      </c>
    </row>
    <row r="82" spans="2:17" x14ac:dyDescent="0.2">
      <c r="B82" s="4" cm="1">
        <f t="array" ref="B82">_xlfn.IFS('ProductSprint Backlog'!$F82="", "", AND('ProductSprint Backlog'!$J82&gt;B$2,'ProductSprint Backlog'!$I82&lt;=B$2), 'ProductSprint Backlog'!$F82 / MAX(1, 'ProductSprint Backlog'!$J82-'ProductSprint Backlog'!$I82), AND('ProductSprint Backlog'!$J82=B$2,'ProductSprint Backlog'!$I82=B$2), 'ProductSprint Backlog'!$F82, TRUE, 0)</f>
        <v>0</v>
      </c>
      <c r="C82" s="4" cm="1">
        <f t="array" ref="C82">_xlfn.IFS('ProductSprint Backlog'!$F82="", "", AND('ProductSprint Backlog'!$J82&gt;C$2,'ProductSprint Backlog'!$I82&lt;=C$2), 'ProductSprint Backlog'!$F82 / MAX(1, 'ProductSprint Backlog'!$J82-'ProductSprint Backlog'!$I82), AND('ProductSprint Backlog'!$J82=C$2,'ProductSprint Backlog'!$I82=C$2), 'ProductSprint Backlog'!$F82, TRUE, 0)</f>
        <v>0</v>
      </c>
      <c r="D82" s="4" cm="1">
        <f t="array" ref="D82">_xlfn.IFS('ProductSprint Backlog'!$F82="", "", AND('ProductSprint Backlog'!$J82&gt;D$2,'ProductSprint Backlog'!$I82&lt;=D$2), 'ProductSprint Backlog'!$F82 / MAX(1, 'ProductSprint Backlog'!$J82-'ProductSprint Backlog'!$I82), AND('ProductSprint Backlog'!$J82=D$2,'ProductSprint Backlog'!$I82=D$2), 'ProductSprint Backlog'!$F82, TRUE, 0)</f>
        <v>0</v>
      </c>
      <c r="E82" s="4" cm="1">
        <f t="array" ref="E82">_xlfn.IFS('ProductSprint Backlog'!$F82="", "", AND('ProductSprint Backlog'!$J82&gt;E$2,'ProductSprint Backlog'!$I82&lt;=E$2), 'ProductSprint Backlog'!$F82 / MAX(1, 'ProductSprint Backlog'!$J82-'ProductSprint Backlog'!$I82), AND('ProductSprint Backlog'!$J82=E$2,'ProductSprint Backlog'!$I82=E$2), 'ProductSprint Backlog'!$F82, TRUE, 0)</f>
        <v>0</v>
      </c>
      <c r="F82" s="4" cm="1">
        <f t="array" ref="F82">_xlfn.IFS('ProductSprint Backlog'!$F82="", "", AND('ProductSprint Backlog'!$J82&gt;F$2,'ProductSprint Backlog'!$I82&lt;=F$2), 'ProductSprint Backlog'!$F82 / MAX(1, 'ProductSprint Backlog'!$J82-'ProductSprint Backlog'!$I82), AND('ProductSprint Backlog'!$J82=F$2,'ProductSprint Backlog'!$I82=F$2), 'ProductSprint Backlog'!$F82, TRUE, 0)</f>
        <v>0</v>
      </c>
      <c r="G82" s="4" cm="1">
        <f t="array" ref="G82">_xlfn.IFS('ProductSprint Backlog'!$F82="", "", AND('ProductSprint Backlog'!$J82&gt;G$2,'ProductSprint Backlog'!$I82&lt;=G$2), 'ProductSprint Backlog'!$F82 / MAX(1, 'ProductSprint Backlog'!$J82-'ProductSprint Backlog'!$I82), AND('ProductSprint Backlog'!$J82=G$2,'ProductSprint Backlog'!$I82=G$2), 'ProductSprint Backlog'!$F82, TRUE, 0)</f>
        <v>0</v>
      </c>
      <c r="H82" s="4" cm="1">
        <f t="array" ref="H82">_xlfn.IFS('ProductSprint Backlog'!$F82="", "", AND('ProductSprint Backlog'!$J82&gt;H$2,'ProductSprint Backlog'!$I82&lt;=H$2), 'ProductSprint Backlog'!$F82 / MAX(1, 'ProductSprint Backlog'!$J82-'ProductSprint Backlog'!$I82), AND('ProductSprint Backlog'!$J82=H$2,'ProductSprint Backlog'!$I82=H$2), 'ProductSprint Backlog'!$F82, TRUE, 0)</f>
        <v>0</v>
      </c>
      <c r="I82" s="4" cm="1">
        <f t="array" ref="I82">_xlfn.IFS('ProductSprint Backlog'!$F82="", "", AND('ProductSprint Backlog'!$J82&gt;I$2,'ProductSprint Backlog'!$I82&lt;=I$2), 'ProductSprint Backlog'!$F82 / MAX(1, 'ProductSprint Backlog'!$J82-'ProductSprint Backlog'!$I82), AND('ProductSprint Backlog'!$J82=I$2,'ProductSprint Backlog'!$I82=I$2), 'ProductSprint Backlog'!$F82, TRUE, 0)</f>
        <v>0</v>
      </c>
      <c r="J82" s="4" cm="1">
        <f t="array" ref="J82">_xlfn.IFS('ProductSprint Backlog'!$F82="", "", AND('ProductSprint Backlog'!$J82&gt;J$2,'ProductSprint Backlog'!$I82&lt;=J$2), 'ProductSprint Backlog'!$F82 / MAX(1, 'ProductSprint Backlog'!$J82-'ProductSprint Backlog'!$I82), AND('ProductSprint Backlog'!$J82=J$2,'ProductSprint Backlog'!$I82=J$2), 'ProductSprint Backlog'!$F82, TRUE, 0)</f>
        <v>0</v>
      </c>
      <c r="K82" s="4" cm="1">
        <f t="array" ref="K82">_xlfn.IFS('ProductSprint Backlog'!$F82="", "", AND('ProductSprint Backlog'!$J82&gt;K$2,'ProductSprint Backlog'!$I82&lt;=K$2), 'ProductSprint Backlog'!$F82 / MAX(1, 'ProductSprint Backlog'!$J82-'ProductSprint Backlog'!$I82), AND('ProductSprint Backlog'!$J82=K$2,'ProductSprint Backlog'!$I82=K$2), 'ProductSprint Backlog'!$F82, TRUE, 0)</f>
        <v>0</v>
      </c>
      <c r="L82" s="4" cm="1">
        <f t="array" ref="L82">_xlfn.IFS('ProductSprint Backlog'!$F82="", "", AND('ProductSprint Backlog'!$J82&gt;L$2,'ProductSprint Backlog'!$I82&lt;=L$2), 'ProductSprint Backlog'!$F82 / MAX(1, 'ProductSprint Backlog'!$J82-'ProductSprint Backlog'!$I82), AND('ProductSprint Backlog'!$J82=L$2,'ProductSprint Backlog'!$I82=L$2), 'ProductSprint Backlog'!$F82, TRUE, 0)</f>
        <v>0</v>
      </c>
      <c r="M82" s="4" cm="1">
        <f t="array" ref="M82">_xlfn.IFS('ProductSprint Backlog'!$F82="", "", AND('ProductSprint Backlog'!$J82&gt;M$2,'ProductSprint Backlog'!$I82&lt;=M$2), 'ProductSprint Backlog'!$F82 / MAX(1, 'ProductSprint Backlog'!$J82-'ProductSprint Backlog'!$I82), AND('ProductSprint Backlog'!$J82=M$2,'ProductSprint Backlog'!$I82=M$2), 'ProductSprint Backlog'!$F82, TRUE, 0)</f>
        <v>0</v>
      </c>
      <c r="N82" s="4" cm="1">
        <f t="array" ref="N82">_xlfn.IFS('ProductSprint Backlog'!$F82="", "", AND('ProductSprint Backlog'!$J82&gt;N$2,'ProductSprint Backlog'!$I82&lt;=N$2), 'ProductSprint Backlog'!$F82 / MAX(1, 'ProductSprint Backlog'!$J82-'ProductSprint Backlog'!$I82), AND('ProductSprint Backlog'!$J82=N$2,'ProductSprint Backlog'!$I82=N$2), 'ProductSprint Backlog'!$F82, TRUE, 0)</f>
        <v>0</v>
      </c>
      <c r="O82" s="4" cm="1">
        <f t="array" ref="O82">_xlfn.IFS('ProductSprint Backlog'!$F82="", "", AND('ProductSprint Backlog'!$J82&gt;O$2,'ProductSprint Backlog'!$I82&lt;=O$2), 'ProductSprint Backlog'!$F82 / MAX(1, 'ProductSprint Backlog'!$J82-'ProductSprint Backlog'!$I82), AND('ProductSprint Backlog'!$J82=O$2,'ProductSprint Backlog'!$I82=O$2), 'ProductSprint Backlog'!$F82, TRUE, 0)</f>
        <v>0</v>
      </c>
      <c r="P82" s="4" cm="1">
        <f t="array" ref="P82">_xlfn.IFS('ProductSprint Backlog'!$F82="", "", AND('ProductSprint Backlog'!$J82&gt;P$2,'ProductSprint Backlog'!$I82&lt;=P$2), 'ProductSprint Backlog'!$F82 / MAX(1, 'ProductSprint Backlog'!$J82-'ProductSprint Backlog'!$I82), AND('ProductSprint Backlog'!$J82=P$2,'ProductSprint Backlog'!$I82=P$2), 'ProductSprint Backlog'!$F82, TRUE, 0)</f>
        <v>0</v>
      </c>
      <c r="Q82" s="4" cm="1">
        <f t="array" ref="Q82">_xlfn.IFS('ProductSprint Backlog'!$F82="", "", AND('ProductSprint Backlog'!$J82&gt;Q$2,'ProductSprint Backlog'!$I82&lt;=Q$2), 'ProductSprint Backlog'!$F82 / MAX(1, 'ProductSprint Backlog'!$J82-'ProductSprint Backlog'!$I82), AND('ProductSprint Backlog'!$J82=Q$2,'ProductSprint Backlog'!$I82=Q$2), 'ProductSprint Backlog'!$F82, TRUE, 0)</f>
        <v>0</v>
      </c>
    </row>
    <row r="83" spans="2:17" x14ac:dyDescent="0.2">
      <c r="B83" s="4" cm="1">
        <f t="array" ref="B83">_xlfn.IFS('ProductSprint Backlog'!$F83="", "", AND('ProductSprint Backlog'!$J83&gt;B$2,'ProductSprint Backlog'!$I83&lt;=B$2), 'ProductSprint Backlog'!$F83 / MAX(1, 'ProductSprint Backlog'!$J83-'ProductSprint Backlog'!$I83), AND('ProductSprint Backlog'!$J83=B$2,'ProductSprint Backlog'!$I83=B$2), 'ProductSprint Backlog'!$F83, TRUE, 0)</f>
        <v>0</v>
      </c>
      <c r="C83" s="4" cm="1">
        <f t="array" ref="C83">_xlfn.IFS('ProductSprint Backlog'!$F83="", "", AND('ProductSprint Backlog'!$J83&gt;C$2,'ProductSprint Backlog'!$I83&lt;=C$2), 'ProductSprint Backlog'!$F83 / MAX(1, 'ProductSprint Backlog'!$J83-'ProductSprint Backlog'!$I83), AND('ProductSprint Backlog'!$J83=C$2,'ProductSprint Backlog'!$I83=C$2), 'ProductSprint Backlog'!$F83, TRUE, 0)</f>
        <v>0</v>
      </c>
      <c r="D83" s="4" cm="1">
        <f t="array" ref="D83">_xlfn.IFS('ProductSprint Backlog'!$F83="", "", AND('ProductSprint Backlog'!$J83&gt;D$2,'ProductSprint Backlog'!$I83&lt;=D$2), 'ProductSprint Backlog'!$F83 / MAX(1, 'ProductSprint Backlog'!$J83-'ProductSprint Backlog'!$I83), AND('ProductSprint Backlog'!$J83=D$2,'ProductSprint Backlog'!$I83=D$2), 'ProductSprint Backlog'!$F83, TRUE, 0)</f>
        <v>0</v>
      </c>
      <c r="E83" s="4" cm="1">
        <f t="array" ref="E83">_xlfn.IFS('ProductSprint Backlog'!$F83="", "", AND('ProductSprint Backlog'!$J83&gt;E$2,'ProductSprint Backlog'!$I83&lt;=E$2), 'ProductSprint Backlog'!$F83 / MAX(1, 'ProductSprint Backlog'!$J83-'ProductSprint Backlog'!$I83), AND('ProductSprint Backlog'!$J83=E$2,'ProductSprint Backlog'!$I83=E$2), 'ProductSprint Backlog'!$F83, TRUE, 0)</f>
        <v>0</v>
      </c>
      <c r="F83" s="4" cm="1">
        <f t="array" ref="F83">_xlfn.IFS('ProductSprint Backlog'!$F83="", "", AND('ProductSprint Backlog'!$J83&gt;F$2,'ProductSprint Backlog'!$I83&lt;=F$2), 'ProductSprint Backlog'!$F83 / MAX(1, 'ProductSprint Backlog'!$J83-'ProductSprint Backlog'!$I83), AND('ProductSprint Backlog'!$J83=F$2,'ProductSprint Backlog'!$I83=F$2), 'ProductSprint Backlog'!$F83, TRUE, 0)</f>
        <v>0</v>
      </c>
      <c r="G83" s="4" cm="1">
        <f t="array" ref="G83">_xlfn.IFS('ProductSprint Backlog'!$F83="", "", AND('ProductSprint Backlog'!$J83&gt;G$2,'ProductSprint Backlog'!$I83&lt;=G$2), 'ProductSprint Backlog'!$F83 / MAX(1, 'ProductSprint Backlog'!$J83-'ProductSprint Backlog'!$I83), AND('ProductSprint Backlog'!$J83=G$2,'ProductSprint Backlog'!$I83=G$2), 'ProductSprint Backlog'!$F83, TRUE, 0)</f>
        <v>0</v>
      </c>
      <c r="H83" s="4" cm="1">
        <f t="array" ref="H83">_xlfn.IFS('ProductSprint Backlog'!$F83="", "", AND('ProductSprint Backlog'!$J83&gt;H$2,'ProductSprint Backlog'!$I83&lt;=H$2), 'ProductSprint Backlog'!$F83 / MAX(1, 'ProductSprint Backlog'!$J83-'ProductSprint Backlog'!$I83), AND('ProductSprint Backlog'!$J83=H$2,'ProductSprint Backlog'!$I83=H$2), 'ProductSprint Backlog'!$F83, TRUE, 0)</f>
        <v>0</v>
      </c>
      <c r="I83" s="4" cm="1">
        <f t="array" ref="I83">_xlfn.IFS('ProductSprint Backlog'!$F83="", "", AND('ProductSprint Backlog'!$J83&gt;I$2,'ProductSprint Backlog'!$I83&lt;=I$2), 'ProductSprint Backlog'!$F83 / MAX(1, 'ProductSprint Backlog'!$J83-'ProductSprint Backlog'!$I83), AND('ProductSprint Backlog'!$J83=I$2,'ProductSprint Backlog'!$I83=I$2), 'ProductSprint Backlog'!$F83, TRUE, 0)</f>
        <v>0</v>
      </c>
      <c r="J83" s="4" cm="1">
        <f t="array" ref="J83">_xlfn.IFS('ProductSprint Backlog'!$F83="", "", AND('ProductSprint Backlog'!$J83&gt;J$2,'ProductSprint Backlog'!$I83&lt;=J$2), 'ProductSprint Backlog'!$F83 / MAX(1, 'ProductSprint Backlog'!$J83-'ProductSprint Backlog'!$I83), AND('ProductSprint Backlog'!$J83=J$2,'ProductSprint Backlog'!$I83=J$2), 'ProductSprint Backlog'!$F83, TRUE, 0)</f>
        <v>0</v>
      </c>
      <c r="K83" s="4" cm="1">
        <f t="array" ref="K83">_xlfn.IFS('ProductSprint Backlog'!$F83="", "", AND('ProductSprint Backlog'!$J83&gt;K$2,'ProductSprint Backlog'!$I83&lt;=K$2), 'ProductSprint Backlog'!$F83 / MAX(1, 'ProductSprint Backlog'!$J83-'ProductSprint Backlog'!$I83), AND('ProductSprint Backlog'!$J83=K$2,'ProductSprint Backlog'!$I83=K$2), 'ProductSprint Backlog'!$F83, TRUE, 0)</f>
        <v>0</v>
      </c>
      <c r="L83" s="4" cm="1">
        <f t="array" ref="L83">_xlfn.IFS('ProductSprint Backlog'!$F83="", "", AND('ProductSprint Backlog'!$J83&gt;L$2,'ProductSprint Backlog'!$I83&lt;=L$2), 'ProductSprint Backlog'!$F83 / MAX(1, 'ProductSprint Backlog'!$J83-'ProductSprint Backlog'!$I83), AND('ProductSprint Backlog'!$J83=L$2,'ProductSprint Backlog'!$I83=L$2), 'ProductSprint Backlog'!$F83, TRUE, 0)</f>
        <v>0</v>
      </c>
      <c r="M83" s="4" cm="1">
        <f t="array" ref="M83">_xlfn.IFS('ProductSprint Backlog'!$F83="", "", AND('ProductSprint Backlog'!$J83&gt;M$2,'ProductSprint Backlog'!$I83&lt;=M$2), 'ProductSprint Backlog'!$F83 / MAX(1, 'ProductSprint Backlog'!$J83-'ProductSprint Backlog'!$I83), AND('ProductSprint Backlog'!$J83=M$2,'ProductSprint Backlog'!$I83=M$2), 'ProductSprint Backlog'!$F83, TRUE, 0)</f>
        <v>0</v>
      </c>
      <c r="N83" s="4" cm="1">
        <f t="array" ref="N83">_xlfn.IFS('ProductSprint Backlog'!$F83="", "", AND('ProductSprint Backlog'!$J83&gt;N$2,'ProductSprint Backlog'!$I83&lt;=N$2), 'ProductSprint Backlog'!$F83 / MAX(1, 'ProductSprint Backlog'!$J83-'ProductSprint Backlog'!$I83), AND('ProductSprint Backlog'!$J83=N$2,'ProductSprint Backlog'!$I83=N$2), 'ProductSprint Backlog'!$F83, TRUE, 0)</f>
        <v>0</v>
      </c>
      <c r="O83" s="4" cm="1">
        <f t="array" ref="O83">_xlfn.IFS('ProductSprint Backlog'!$F83="", "", AND('ProductSprint Backlog'!$J83&gt;O$2,'ProductSprint Backlog'!$I83&lt;=O$2), 'ProductSprint Backlog'!$F83 / MAX(1, 'ProductSprint Backlog'!$J83-'ProductSprint Backlog'!$I83), AND('ProductSprint Backlog'!$J83=O$2,'ProductSprint Backlog'!$I83=O$2), 'ProductSprint Backlog'!$F83, TRUE, 0)</f>
        <v>0</v>
      </c>
      <c r="P83" s="4" cm="1">
        <f t="array" ref="P83">_xlfn.IFS('ProductSprint Backlog'!$F83="", "", AND('ProductSprint Backlog'!$J83&gt;P$2,'ProductSprint Backlog'!$I83&lt;=P$2), 'ProductSprint Backlog'!$F83 / MAX(1, 'ProductSprint Backlog'!$J83-'ProductSprint Backlog'!$I83), AND('ProductSprint Backlog'!$J83=P$2,'ProductSprint Backlog'!$I83=P$2), 'ProductSprint Backlog'!$F83, TRUE, 0)</f>
        <v>0</v>
      </c>
      <c r="Q83" s="4" cm="1">
        <f t="array" ref="Q83">_xlfn.IFS('ProductSprint Backlog'!$F83="", "", AND('ProductSprint Backlog'!$J83&gt;Q$2,'ProductSprint Backlog'!$I83&lt;=Q$2), 'ProductSprint Backlog'!$F83 / MAX(1, 'ProductSprint Backlog'!$J83-'ProductSprint Backlog'!$I83), AND('ProductSprint Backlog'!$J83=Q$2,'ProductSprint Backlog'!$I83=Q$2), 'ProductSprint Backlog'!$F83, TRUE, 0)</f>
        <v>0</v>
      </c>
    </row>
    <row r="84" spans="2:17" x14ac:dyDescent="0.2">
      <c r="B84" s="4" cm="1">
        <f t="array" ref="B84">_xlfn.IFS('ProductSprint Backlog'!$F84="", "", AND('ProductSprint Backlog'!$J84&gt;B$2,'ProductSprint Backlog'!$I84&lt;=B$2), 'ProductSprint Backlog'!$F84 / MAX(1, 'ProductSprint Backlog'!$J84-'ProductSprint Backlog'!$I84), AND('ProductSprint Backlog'!$J84=B$2,'ProductSprint Backlog'!$I84=B$2), 'ProductSprint Backlog'!$F84, TRUE, 0)</f>
        <v>0</v>
      </c>
      <c r="C84" s="4" cm="1">
        <f t="array" ref="C84">_xlfn.IFS('ProductSprint Backlog'!$F84="", "", AND('ProductSprint Backlog'!$J84&gt;C$2,'ProductSprint Backlog'!$I84&lt;=C$2), 'ProductSprint Backlog'!$F84 / MAX(1, 'ProductSprint Backlog'!$J84-'ProductSprint Backlog'!$I84), AND('ProductSprint Backlog'!$J84=C$2,'ProductSprint Backlog'!$I84=C$2), 'ProductSprint Backlog'!$F84, TRUE, 0)</f>
        <v>0</v>
      </c>
      <c r="D84" s="4" cm="1">
        <f t="array" ref="D84">_xlfn.IFS('ProductSprint Backlog'!$F84="", "", AND('ProductSprint Backlog'!$J84&gt;D$2,'ProductSprint Backlog'!$I84&lt;=D$2), 'ProductSprint Backlog'!$F84 / MAX(1, 'ProductSprint Backlog'!$J84-'ProductSprint Backlog'!$I84), AND('ProductSprint Backlog'!$J84=D$2,'ProductSprint Backlog'!$I84=D$2), 'ProductSprint Backlog'!$F84, TRUE, 0)</f>
        <v>0</v>
      </c>
      <c r="E84" s="4" cm="1">
        <f t="array" ref="E84">_xlfn.IFS('ProductSprint Backlog'!$F84="", "", AND('ProductSprint Backlog'!$J84&gt;E$2,'ProductSprint Backlog'!$I84&lt;=E$2), 'ProductSprint Backlog'!$F84 / MAX(1, 'ProductSprint Backlog'!$J84-'ProductSprint Backlog'!$I84), AND('ProductSprint Backlog'!$J84=E$2,'ProductSprint Backlog'!$I84=E$2), 'ProductSprint Backlog'!$F84, TRUE, 0)</f>
        <v>0</v>
      </c>
      <c r="F84" s="4" cm="1">
        <f t="array" ref="F84">_xlfn.IFS('ProductSprint Backlog'!$F84="", "", AND('ProductSprint Backlog'!$J84&gt;F$2,'ProductSprint Backlog'!$I84&lt;=F$2), 'ProductSprint Backlog'!$F84 / MAX(1, 'ProductSprint Backlog'!$J84-'ProductSprint Backlog'!$I84), AND('ProductSprint Backlog'!$J84=F$2,'ProductSprint Backlog'!$I84=F$2), 'ProductSprint Backlog'!$F84, TRUE, 0)</f>
        <v>0</v>
      </c>
      <c r="G84" s="4" cm="1">
        <f t="array" ref="G84">_xlfn.IFS('ProductSprint Backlog'!$F84="", "", AND('ProductSprint Backlog'!$J84&gt;G$2,'ProductSprint Backlog'!$I84&lt;=G$2), 'ProductSprint Backlog'!$F84 / MAX(1, 'ProductSprint Backlog'!$J84-'ProductSprint Backlog'!$I84), AND('ProductSprint Backlog'!$J84=G$2,'ProductSprint Backlog'!$I84=G$2), 'ProductSprint Backlog'!$F84, TRUE, 0)</f>
        <v>0</v>
      </c>
      <c r="H84" s="4" cm="1">
        <f t="array" ref="H84">_xlfn.IFS('ProductSprint Backlog'!$F84="", "", AND('ProductSprint Backlog'!$J84&gt;H$2,'ProductSprint Backlog'!$I84&lt;=H$2), 'ProductSprint Backlog'!$F84 / MAX(1, 'ProductSprint Backlog'!$J84-'ProductSprint Backlog'!$I84), AND('ProductSprint Backlog'!$J84=H$2,'ProductSprint Backlog'!$I84=H$2), 'ProductSprint Backlog'!$F84, TRUE, 0)</f>
        <v>0</v>
      </c>
      <c r="I84" s="4" cm="1">
        <f t="array" ref="I84">_xlfn.IFS('ProductSprint Backlog'!$F84="", "", AND('ProductSprint Backlog'!$J84&gt;I$2,'ProductSprint Backlog'!$I84&lt;=I$2), 'ProductSprint Backlog'!$F84 / MAX(1, 'ProductSprint Backlog'!$J84-'ProductSprint Backlog'!$I84), AND('ProductSprint Backlog'!$J84=I$2,'ProductSprint Backlog'!$I84=I$2), 'ProductSprint Backlog'!$F84, TRUE, 0)</f>
        <v>0</v>
      </c>
      <c r="J84" s="4" cm="1">
        <f t="array" ref="J84">_xlfn.IFS('ProductSprint Backlog'!$F84="", "", AND('ProductSprint Backlog'!$J84&gt;J$2,'ProductSprint Backlog'!$I84&lt;=J$2), 'ProductSprint Backlog'!$F84 / MAX(1, 'ProductSprint Backlog'!$J84-'ProductSprint Backlog'!$I84), AND('ProductSprint Backlog'!$J84=J$2,'ProductSprint Backlog'!$I84=J$2), 'ProductSprint Backlog'!$F84, TRUE, 0)</f>
        <v>0</v>
      </c>
      <c r="K84" s="4" cm="1">
        <f t="array" ref="K84">_xlfn.IFS('ProductSprint Backlog'!$F84="", "", AND('ProductSprint Backlog'!$J84&gt;K$2,'ProductSprint Backlog'!$I84&lt;=K$2), 'ProductSprint Backlog'!$F84 / MAX(1, 'ProductSprint Backlog'!$J84-'ProductSprint Backlog'!$I84), AND('ProductSprint Backlog'!$J84=K$2,'ProductSprint Backlog'!$I84=K$2), 'ProductSprint Backlog'!$F84, TRUE, 0)</f>
        <v>0</v>
      </c>
      <c r="L84" s="4" cm="1">
        <f t="array" ref="L84">_xlfn.IFS('ProductSprint Backlog'!$F84="", "", AND('ProductSprint Backlog'!$J84&gt;L$2,'ProductSprint Backlog'!$I84&lt;=L$2), 'ProductSprint Backlog'!$F84 / MAX(1, 'ProductSprint Backlog'!$J84-'ProductSprint Backlog'!$I84), AND('ProductSprint Backlog'!$J84=L$2,'ProductSprint Backlog'!$I84=L$2), 'ProductSprint Backlog'!$F84, TRUE, 0)</f>
        <v>0</v>
      </c>
      <c r="M84" s="4" cm="1">
        <f t="array" ref="M84">_xlfn.IFS('ProductSprint Backlog'!$F84="", "", AND('ProductSprint Backlog'!$J84&gt;M$2,'ProductSprint Backlog'!$I84&lt;=M$2), 'ProductSprint Backlog'!$F84 / MAX(1, 'ProductSprint Backlog'!$J84-'ProductSprint Backlog'!$I84), AND('ProductSprint Backlog'!$J84=M$2,'ProductSprint Backlog'!$I84=M$2), 'ProductSprint Backlog'!$F84, TRUE, 0)</f>
        <v>0</v>
      </c>
      <c r="N84" s="4" cm="1">
        <f t="array" ref="N84">_xlfn.IFS('ProductSprint Backlog'!$F84="", "", AND('ProductSprint Backlog'!$J84&gt;N$2,'ProductSprint Backlog'!$I84&lt;=N$2), 'ProductSprint Backlog'!$F84 / MAX(1, 'ProductSprint Backlog'!$J84-'ProductSprint Backlog'!$I84), AND('ProductSprint Backlog'!$J84=N$2,'ProductSprint Backlog'!$I84=N$2), 'ProductSprint Backlog'!$F84, TRUE, 0)</f>
        <v>0</v>
      </c>
      <c r="O84" s="4" cm="1">
        <f t="array" ref="O84">_xlfn.IFS('ProductSprint Backlog'!$F84="", "", AND('ProductSprint Backlog'!$J84&gt;O$2,'ProductSprint Backlog'!$I84&lt;=O$2), 'ProductSprint Backlog'!$F84 / MAX(1, 'ProductSprint Backlog'!$J84-'ProductSprint Backlog'!$I84), AND('ProductSprint Backlog'!$J84=O$2,'ProductSprint Backlog'!$I84=O$2), 'ProductSprint Backlog'!$F84, TRUE, 0)</f>
        <v>0</v>
      </c>
      <c r="P84" s="4" cm="1">
        <f t="array" ref="P84">_xlfn.IFS('ProductSprint Backlog'!$F84="", "", AND('ProductSprint Backlog'!$J84&gt;P$2,'ProductSprint Backlog'!$I84&lt;=P$2), 'ProductSprint Backlog'!$F84 / MAX(1, 'ProductSprint Backlog'!$J84-'ProductSprint Backlog'!$I84), AND('ProductSprint Backlog'!$J84=P$2,'ProductSprint Backlog'!$I84=P$2), 'ProductSprint Backlog'!$F84, TRUE, 0)</f>
        <v>0</v>
      </c>
      <c r="Q84" s="4" cm="1">
        <f t="array" ref="Q84">_xlfn.IFS('ProductSprint Backlog'!$F84="", "", AND('ProductSprint Backlog'!$J84&gt;Q$2,'ProductSprint Backlog'!$I84&lt;=Q$2), 'ProductSprint Backlog'!$F84 / MAX(1, 'ProductSprint Backlog'!$J84-'ProductSprint Backlog'!$I84), AND('ProductSprint Backlog'!$J84=Q$2,'ProductSprint Backlog'!$I84=Q$2), 'ProductSprint Backlog'!$F84, TRUE, 0)</f>
        <v>0</v>
      </c>
    </row>
    <row r="85" spans="2:17" x14ac:dyDescent="0.2">
      <c r="B85" s="4" t="str" cm="1">
        <f t="array" ref="B85">_xlfn.IFS('ProductSprint Backlog'!$F85="", "", AND('ProductSprint Backlog'!$J85&gt;B$2,'ProductSprint Backlog'!$I85&lt;=B$2), 'ProductSprint Backlog'!$F85 / MAX(1, 'ProductSprint Backlog'!$J85-'ProductSprint Backlog'!$I85), AND('ProductSprint Backlog'!$J85=B$2,'ProductSprint Backlog'!$I85=B$2), 'ProductSprint Backlog'!$F85, TRUE, 0)</f>
        <v/>
      </c>
      <c r="C85" s="4" t="str" cm="1">
        <f t="array" ref="C85">_xlfn.IFS('ProductSprint Backlog'!$F85="", "", AND('ProductSprint Backlog'!$J85&gt;C$2,'ProductSprint Backlog'!$I85&lt;=C$2), 'ProductSprint Backlog'!$F85 / MAX(1, 'ProductSprint Backlog'!$J85-'ProductSprint Backlog'!$I85), AND('ProductSprint Backlog'!$J85=C$2,'ProductSprint Backlog'!$I85=C$2), 'ProductSprint Backlog'!$F85, TRUE, 0)</f>
        <v/>
      </c>
      <c r="D85" s="4" t="str" cm="1">
        <f t="array" ref="D85">_xlfn.IFS('ProductSprint Backlog'!$F85="", "", AND('ProductSprint Backlog'!$J85&gt;D$2,'ProductSprint Backlog'!$I85&lt;=D$2), 'ProductSprint Backlog'!$F85 / MAX(1, 'ProductSprint Backlog'!$J85-'ProductSprint Backlog'!$I85), AND('ProductSprint Backlog'!$J85=D$2,'ProductSprint Backlog'!$I85=D$2), 'ProductSprint Backlog'!$F85, TRUE, 0)</f>
        <v/>
      </c>
      <c r="E85" s="4" t="str" cm="1">
        <f t="array" ref="E85">_xlfn.IFS('ProductSprint Backlog'!$F85="", "", AND('ProductSprint Backlog'!$J85&gt;E$2,'ProductSprint Backlog'!$I85&lt;=E$2), 'ProductSprint Backlog'!$F85 / MAX(1, 'ProductSprint Backlog'!$J85-'ProductSprint Backlog'!$I85), AND('ProductSprint Backlog'!$J85=E$2,'ProductSprint Backlog'!$I85=E$2), 'ProductSprint Backlog'!$F85, TRUE, 0)</f>
        <v/>
      </c>
      <c r="F85" s="4" t="str" cm="1">
        <f t="array" ref="F85">_xlfn.IFS('ProductSprint Backlog'!$F85="", "", AND('ProductSprint Backlog'!$J85&gt;F$2,'ProductSprint Backlog'!$I85&lt;=F$2), 'ProductSprint Backlog'!$F85 / MAX(1, 'ProductSprint Backlog'!$J85-'ProductSprint Backlog'!$I85), AND('ProductSprint Backlog'!$J85=F$2,'ProductSprint Backlog'!$I85=F$2), 'ProductSprint Backlog'!$F85, TRUE, 0)</f>
        <v/>
      </c>
      <c r="G85" s="4" t="str" cm="1">
        <f t="array" ref="G85">_xlfn.IFS('ProductSprint Backlog'!$F85="", "", AND('ProductSprint Backlog'!$J85&gt;G$2,'ProductSprint Backlog'!$I85&lt;=G$2), 'ProductSprint Backlog'!$F85 / MAX(1, 'ProductSprint Backlog'!$J85-'ProductSprint Backlog'!$I85), AND('ProductSprint Backlog'!$J85=G$2,'ProductSprint Backlog'!$I85=G$2), 'ProductSprint Backlog'!$F85, TRUE, 0)</f>
        <v/>
      </c>
      <c r="H85" s="4" t="str" cm="1">
        <f t="array" ref="H85">_xlfn.IFS('ProductSprint Backlog'!$F85="", "", AND('ProductSprint Backlog'!$J85&gt;H$2,'ProductSprint Backlog'!$I85&lt;=H$2), 'ProductSprint Backlog'!$F85 / MAX(1, 'ProductSprint Backlog'!$J85-'ProductSprint Backlog'!$I85), AND('ProductSprint Backlog'!$J85=H$2,'ProductSprint Backlog'!$I85=H$2), 'ProductSprint Backlog'!$F85, TRUE, 0)</f>
        <v/>
      </c>
      <c r="I85" s="4" t="str" cm="1">
        <f t="array" ref="I85">_xlfn.IFS('ProductSprint Backlog'!$F85="", "", AND('ProductSprint Backlog'!$J85&gt;I$2,'ProductSprint Backlog'!$I85&lt;=I$2), 'ProductSprint Backlog'!$F85 / MAX(1, 'ProductSprint Backlog'!$J85-'ProductSprint Backlog'!$I85), AND('ProductSprint Backlog'!$J85=I$2,'ProductSprint Backlog'!$I85=I$2), 'ProductSprint Backlog'!$F85, TRUE, 0)</f>
        <v/>
      </c>
      <c r="J85" s="4" t="str" cm="1">
        <f t="array" ref="J85">_xlfn.IFS('ProductSprint Backlog'!$F85="", "", AND('ProductSprint Backlog'!$J85&gt;J$2,'ProductSprint Backlog'!$I85&lt;=J$2), 'ProductSprint Backlog'!$F85 / MAX(1, 'ProductSprint Backlog'!$J85-'ProductSprint Backlog'!$I85), AND('ProductSprint Backlog'!$J85=J$2,'ProductSprint Backlog'!$I85=J$2), 'ProductSprint Backlog'!$F85, TRUE, 0)</f>
        <v/>
      </c>
      <c r="K85" s="4" t="str" cm="1">
        <f t="array" ref="K85">_xlfn.IFS('ProductSprint Backlog'!$F85="", "", AND('ProductSprint Backlog'!$J85&gt;K$2,'ProductSprint Backlog'!$I85&lt;=K$2), 'ProductSprint Backlog'!$F85 / MAX(1, 'ProductSprint Backlog'!$J85-'ProductSprint Backlog'!$I85), AND('ProductSprint Backlog'!$J85=K$2,'ProductSprint Backlog'!$I85=K$2), 'ProductSprint Backlog'!$F85, TRUE, 0)</f>
        <v/>
      </c>
      <c r="L85" s="4" t="str" cm="1">
        <f t="array" ref="L85">_xlfn.IFS('ProductSprint Backlog'!$F85="", "", AND('ProductSprint Backlog'!$J85&gt;L$2,'ProductSprint Backlog'!$I85&lt;=L$2), 'ProductSprint Backlog'!$F85 / MAX(1, 'ProductSprint Backlog'!$J85-'ProductSprint Backlog'!$I85), AND('ProductSprint Backlog'!$J85=L$2,'ProductSprint Backlog'!$I85=L$2), 'ProductSprint Backlog'!$F85, TRUE, 0)</f>
        <v/>
      </c>
      <c r="M85" s="4" t="str" cm="1">
        <f t="array" ref="M85">_xlfn.IFS('ProductSprint Backlog'!$F85="", "", AND('ProductSprint Backlog'!$J85&gt;M$2,'ProductSprint Backlog'!$I85&lt;=M$2), 'ProductSprint Backlog'!$F85 / MAX(1, 'ProductSprint Backlog'!$J85-'ProductSprint Backlog'!$I85), AND('ProductSprint Backlog'!$J85=M$2,'ProductSprint Backlog'!$I85=M$2), 'ProductSprint Backlog'!$F85, TRUE, 0)</f>
        <v/>
      </c>
      <c r="N85" s="4" t="str" cm="1">
        <f t="array" ref="N85">_xlfn.IFS('ProductSprint Backlog'!$F85="", "", AND('ProductSprint Backlog'!$J85&gt;N$2,'ProductSprint Backlog'!$I85&lt;=N$2), 'ProductSprint Backlog'!$F85 / MAX(1, 'ProductSprint Backlog'!$J85-'ProductSprint Backlog'!$I85), AND('ProductSprint Backlog'!$J85=N$2,'ProductSprint Backlog'!$I85=N$2), 'ProductSprint Backlog'!$F85, TRUE, 0)</f>
        <v/>
      </c>
      <c r="O85" s="4" t="str" cm="1">
        <f t="array" ref="O85">_xlfn.IFS('ProductSprint Backlog'!$F85="", "", AND('ProductSprint Backlog'!$J85&gt;O$2,'ProductSprint Backlog'!$I85&lt;=O$2), 'ProductSprint Backlog'!$F85 / MAX(1, 'ProductSprint Backlog'!$J85-'ProductSprint Backlog'!$I85), AND('ProductSprint Backlog'!$J85=O$2,'ProductSprint Backlog'!$I85=O$2), 'ProductSprint Backlog'!$F85, TRUE, 0)</f>
        <v/>
      </c>
      <c r="P85" s="4" t="str" cm="1">
        <f t="array" ref="P85">_xlfn.IFS('ProductSprint Backlog'!$F85="", "", AND('ProductSprint Backlog'!$J85&gt;P$2,'ProductSprint Backlog'!$I85&lt;=P$2), 'ProductSprint Backlog'!$F85 / MAX(1, 'ProductSprint Backlog'!$J85-'ProductSprint Backlog'!$I85), AND('ProductSprint Backlog'!$J85=P$2,'ProductSprint Backlog'!$I85=P$2), 'ProductSprint Backlog'!$F85, TRUE, 0)</f>
        <v/>
      </c>
      <c r="Q85" s="4" t="str" cm="1">
        <f t="array" ref="Q85">_xlfn.IFS('ProductSprint Backlog'!$F85="", "", AND('ProductSprint Backlog'!$J85&gt;Q$2,'ProductSprint Backlog'!$I85&lt;=Q$2), 'ProductSprint Backlog'!$F85 / MAX(1, 'ProductSprint Backlog'!$J85-'ProductSprint Backlog'!$I85), AND('ProductSprint Backlog'!$J85=Q$2,'ProductSprint Backlog'!$I85=Q$2), 'ProductSprint Backlog'!$F85, TRUE, 0)</f>
        <v/>
      </c>
    </row>
    <row r="86" spans="2:17" x14ac:dyDescent="0.2">
      <c r="B86" s="4" cm="1">
        <f t="array" ref="B86">_xlfn.IFS('ProductSprint Backlog'!$F86="", "", AND('ProductSprint Backlog'!$J86&gt;B$2,'ProductSprint Backlog'!$I86&lt;=B$2), 'ProductSprint Backlog'!$F86 / MAX(1, 'ProductSprint Backlog'!$J86-'ProductSprint Backlog'!$I86), AND('ProductSprint Backlog'!$J86=B$2,'ProductSprint Backlog'!$I86=B$2), 'ProductSprint Backlog'!$F86, TRUE, 0)</f>
        <v>0</v>
      </c>
      <c r="C86" s="4" cm="1">
        <f t="array" ref="C86">_xlfn.IFS('ProductSprint Backlog'!$F86="", "", AND('ProductSprint Backlog'!$J86&gt;C$2,'ProductSprint Backlog'!$I86&lt;=C$2), 'ProductSprint Backlog'!$F86 / MAX(1, 'ProductSprint Backlog'!$J86-'ProductSprint Backlog'!$I86), AND('ProductSprint Backlog'!$J86=C$2,'ProductSprint Backlog'!$I86=C$2), 'ProductSprint Backlog'!$F86, TRUE, 0)</f>
        <v>0</v>
      </c>
      <c r="D86" s="4" cm="1">
        <f t="array" ref="D86">_xlfn.IFS('ProductSprint Backlog'!$F86="", "", AND('ProductSprint Backlog'!$J86&gt;D$2,'ProductSprint Backlog'!$I86&lt;=D$2), 'ProductSprint Backlog'!$F86 / MAX(1, 'ProductSprint Backlog'!$J86-'ProductSprint Backlog'!$I86), AND('ProductSprint Backlog'!$J86=D$2,'ProductSprint Backlog'!$I86=D$2), 'ProductSprint Backlog'!$F86, TRUE, 0)</f>
        <v>0</v>
      </c>
      <c r="E86" s="4" cm="1">
        <f t="array" ref="E86">_xlfn.IFS('ProductSprint Backlog'!$F86="", "", AND('ProductSprint Backlog'!$J86&gt;E$2,'ProductSprint Backlog'!$I86&lt;=E$2), 'ProductSprint Backlog'!$F86 / MAX(1, 'ProductSprint Backlog'!$J86-'ProductSprint Backlog'!$I86), AND('ProductSprint Backlog'!$J86=E$2,'ProductSprint Backlog'!$I86=E$2), 'ProductSprint Backlog'!$F86, TRUE, 0)</f>
        <v>0</v>
      </c>
      <c r="F86" s="4" cm="1">
        <f t="array" ref="F86">_xlfn.IFS('ProductSprint Backlog'!$F86="", "", AND('ProductSprint Backlog'!$J86&gt;F$2,'ProductSprint Backlog'!$I86&lt;=F$2), 'ProductSprint Backlog'!$F86 / MAX(1, 'ProductSprint Backlog'!$J86-'ProductSprint Backlog'!$I86), AND('ProductSprint Backlog'!$J86=F$2,'ProductSprint Backlog'!$I86=F$2), 'ProductSprint Backlog'!$F86, TRUE, 0)</f>
        <v>0</v>
      </c>
      <c r="G86" s="4" cm="1">
        <f t="array" ref="G86">_xlfn.IFS('ProductSprint Backlog'!$F86="", "", AND('ProductSprint Backlog'!$J86&gt;G$2,'ProductSprint Backlog'!$I86&lt;=G$2), 'ProductSprint Backlog'!$F86 / MAX(1, 'ProductSprint Backlog'!$J86-'ProductSprint Backlog'!$I86), AND('ProductSprint Backlog'!$J86=G$2,'ProductSprint Backlog'!$I86=G$2), 'ProductSprint Backlog'!$F86, TRUE, 0)</f>
        <v>0</v>
      </c>
      <c r="H86" s="4" cm="1">
        <f t="array" ref="H86">_xlfn.IFS('ProductSprint Backlog'!$F86="", "", AND('ProductSprint Backlog'!$J86&gt;H$2,'ProductSprint Backlog'!$I86&lt;=H$2), 'ProductSprint Backlog'!$F86 / MAX(1, 'ProductSprint Backlog'!$J86-'ProductSprint Backlog'!$I86), AND('ProductSprint Backlog'!$J86=H$2,'ProductSprint Backlog'!$I86=H$2), 'ProductSprint Backlog'!$F86, TRUE, 0)</f>
        <v>0</v>
      </c>
      <c r="I86" s="4" cm="1">
        <f t="array" ref="I86">_xlfn.IFS('ProductSprint Backlog'!$F86="", "", AND('ProductSprint Backlog'!$J86&gt;I$2,'ProductSprint Backlog'!$I86&lt;=I$2), 'ProductSprint Backlog'!$F86 / MAX(1, 'ProductSprint Backlog'!$J86-'ProductSprint Backlog'!$I86), AND('ProductSprint Backlog'!$J86=I$2,'ProductSprint Backlog'!$I86=I$2), 'ProductSprint Backlog'!$F86, TRUE, 0)</f>
        <v>0</v>
      </c>
      <c r="J86" s="4" cm="1">
        <f t="array" ref="J86">_xlfn.IFS('ProductSprint Backlog'!$F86="", "", AND('ProductSprint Backlog'!$J86&gt;J$2,'ProductSprint Backlog'!$I86&lt;=J$2), 'ProductSprint Backlog'!$F86 / MAX(1, 'ProductSprint Backlog'!$J86-'ProductSprint Backlog'!$I86), AND('ProductSprint Backlog'!$J86=J$2,'ProductSprint Backlog'!$I86=J$2), 'ProductSprint Backlog'!$F86, TRUE, 0)</f>
        <v>0</v>
      </c>
      <c r="K86" s="4" cm="1">
        <f t="array" ref="K86">_xlfn.IFS('ProductSprint Backlog'!$F86="", "", AND('ProductSprint Backlog'!$J86&gt;K$2,'ProductSprint Backlog'!$I86&lt;=K$2), 'ProductSprint Backlog'!$F86 / MAX(1, 'ProductSprint Backlog'!$J86-'ProductSprint Backlog'!$I86), AND('ProductSprint Backlog'!$J86=K$2,'ProductSprint Backlog'!$I86=K$2), 'ProductSprint Backlog'!$F86, TRUE, 0)</f>
        <v>0</v>
      </c>
      <c r="L86" s="4" cm="1">
        <f t="array" ref="L86">_xlfn.IFS('ProductSprint Backlog'!$F86="", "", AND('ProductSprint Backlog'!$J86&gt;L$2,'ProductSprint Backlog'!$I86&lt;=L$2), 'ProductSprint Backlog'!$F86 / MAX(1, 'ProductSprint Backlog'!$J86-'ProductSprint Backlog'!$I86), AND('ProductSprint Backlog'!$J86=L$2,'ProductSprint Backlog'!$I86=L$2), 'ProductSprint Backlog'!$F86, TRUE, 0)</f>
        <v>0</v>
      </c>
      <c r="M86" s="4" cm="1">
        <f t="array" ref="M86">_xlfn.IFS('ProductSprint Backlog'!$F86="", "", AND('ProductSprint Backlog'!$J86&gt;M$2,'ProductSprint Backlog'!$I86&lt;=M$2), 'ProductSprint Backlog'!$F86 / MAX(1, 'ProductSprint Backlog'!$J86-'ProductSprint Backlog'!$I86), AND('ProductSprint Backlog'!$J86=M$2,'ProductSprint Backlog'!$I86=M$2), 'ProductSprint Backlog'!$F86, TRUE, 0)</f>
        <v>0</v>
      </c>
      <c r="N86" s="4" cm="1">
        <f t="array" ref="N86">_xlfn.IFS('ProductSprint Backlog'!$F86="", "", AND('ProductSprint Backlog'!$J86&gt;N$2,'ProductSprint Backlog'!$I86&lt;=N$2), 'ProductSprint Backlog'!$F86 / MAX(1, 'ProductSprint Backlog'!$J86-'ProductSprint Backlog'!$I86), AND('ProductSprint Backlog'!$J86=N$2,'ProductSprint Backlog'!$I86=N$2), 'ProductSprint Backlog'!$F86, TRUE, 0)</f>
        <v>0</v>
      </c>
      <c r="O86" s="4" cm="1">
        <f t="array" ref="O86">_xlfn.IFS('ProductSprint Backlog'!$F86="", "", AND('ProductSprint Backlog'!$J86&gt;O$2,'ProductSprint Backlog'!$I86&lt;=O$2), 'ProductSprint Backlog'!$F86 / MAX(1, 'ProductSprint Backlog'!$J86-'ProductSprint Backlog'!$I86), AND('ProductSprint Backlog'!$J86=O$2,'ProductSprint Backlog'!$I86=O$2), 'ProductSprint Backlog'!$F86, TRUE, 0)</f>
        <v>0</v>
      </c>
      <c r="P86" s="4" cm="1">
        <f t="array" ref="P86">_xlfn.IFS('ProductSprint Backlog'!$F86="", "", AND('ProductSprint Backlog'!$J86&gt;P$2,'ProductSprint Backlog'!$I86&lt;=P$2), 'ProductSprint Backlog'!$F86 / MAX(1, 'ProductSprint Backlog'!$J86-'ProductSprint Backlog'!$I86), AND('ProductSprint Backlog'!$J86=P$2,'ProductSprint Backlog'!$I86=P$2), 'ProductSprint Backlog'!$F86, TRUE, 0)</f>
        <v>0</v>
      </c>
      <c r="Q86" s="4" cm="1">
        <f t="array" ref="Q86">_xlfn.IFS('ProductSprint Backlog'!$F86="", "", AND('ProductSprint Backlog'!$J86&gt;Q$2,'ProductSprint Backlog'!$I86&lt;=Q$2), 'ProductSprint Backlog'!$F86 / MAX(1, 'ProductSprint Backlog'!$J86-'ProductSprint Backlog'!$I86), AND('ProductSprint Backlog'!$J86=Q$2,'ProductSprint Backlog'!$I86=Q$2), 'ProductSprint Backlog'!$F86, TRUE, 0)</f>
        <v>0</v>
      </c>
    </row>
    <row r="87" spans="2:17" x14ac:dyDescent="0.2">
      <c r="B87" s="4" cm="1">
        <f t="array" ref="B87">_xlfn.IFS('ProductSprint Backlog'!$F87="", "", AND('ProductSprint Backlog'!$J87&gt;B$2,'ProductSprint Backlog'!$I87&lt;=B$2), 'ProductSprint Backlog'!$F87 / MAX(1, 'ProductSprint Backlog'!$J87-'ProductSprint Backlog'!$I87), AND('ProductSprint Backlog'!$J87=B$2,'ProductSprint Backlog'!$I87=B$2), 'ProductSprint Backlog'!$F87, TRUE, 0)</f>
        <v>0</v>
      </c>
      <c r="C87" s="4" cm="1">
        <f t="array" ref="C87">_xlfn.IFS('ProductSprint Backlog'!$F87="", "", AND('ProductSprint Backlog'!$J87&gt;C$2,'ProductSprint Backlog'!$I87&lt;=C$2), 'ProductSprint Backlog'!$F87 / MAX(1, 'ProductSprint Backlog'!$J87-'ProductSprint Backlog'!$I87), AND('ProductSprint Backlog'!$J87=C$2,'ProductSprint Backlog'!$I87=C$2), 'ProductSprint Backlog'!$F87, TRUE, 0)</f>
        <v>0</v>
      </c>
      <c r="D87" s="4" cm="1">
        <f t="array" ref="D87">_xlfn.IFS('ProductSprint Backlog'!$F87="", "", AND('ProductSprint Backlog'!$J87&gt;D$2,'ProductSprint Backlog'!$I87&lt;=D$2), 'ProductSprint Backlog'!$F87 / MAX(1, 'ProductSprint Backlog'!$J87-'ProductSprint Backlog'!$I87), AND('ProductSprint Backlog'!$J87=D$2,'ProductSprint Backlog'!$I87=D$2), 'ProductSprint Backlog'!$F87, TRUE, 0)</f>
        <v>0</v>
      </c>
      <c r="E87" s="4" cm="1">
        <f t="array" ref="E87">_xlfn.IFS('ProductSprint Backlog'!$F87="", "", AND('ProductSprint Backlog'!$J87&gt;E$2,'ProductSprint Backlog'!$I87&lt;=E$2), 'ProductSprint Backlog'!$F87 / MAX(1, 'ProductSprint Backlog'!$J87-'ProductSprint Backlog'!$I87), AND('ProductSprint Backlog'!$J87=E$2,'ProductSprint Backlog'!$I87=E$2), 'ProductSprint Backlog'!$F87, TRUE, 0)</f>
        <v>0</v>
      </c>
      <c r="F87" s="4" cm="1">
        <f t="array" ref="F87">_xlfn.IFS('ProductSprint Backlog'!$F87="", "", AND('ProductSprint Backlog'!$J87&gt;F$2,'ProductSprint Backlog'!$I87&lt;=F$2), 'ProductSprint Backlog'!$F87 / MAX(1, 'ProductSprint Backlog'!$J87-'ProductSprint Backlog'!$I87), AND('ProductSprint Backlog'!$J87=F$2,'ProductSprint Backlog'!$I87=F$2), 'ProductSprint Backlog'!$F87, TRUE, 0)</f>
        <v>0</v>
      </c>
      <c r="G87" s="4" cm="1">
        <f t="array" ref="G87">_xlfn.IFS('ProductSprint Backlog'!$F87="", "", AND('ProductSprint Backlog'!$J87&gt;G$2,'ProductSprint Backlog'!$I87&lt;=G$2), 'ProductSprint Backlog'!$F87 / MAX(1, 'ProductSprint Backlog'!$J87-'ProductSprint Backlog'!$I87), AND('ProductSprint Backlog'!$J87=G$2,'ProductSprint Backlog'!$I87=G$2), 'ProductSprint Backlog'!$F87, TRUE, 0)</f>
        <v>0</v>
      </c>
      <c r="H87" s="4" cm="1">
        <f t="array" ref="H87">_xlfn.IFS('ProductSprint Backlog'!$F87="", "", AND('ProductSprint Backlog'!$J87&gt;H$2,'ProductSprint Backlog'!$I87&lt;=H$2), 'ProductSprint Backlog'!$F87 / MAX(1, 'ProductSprint Backlog'!$J87-'ProductSprint Backlog'!$I87), AND('ProductSprint Backlog'!$J87=H$2,'ProductSprint Backlog'!$I87=H$2), 'ProductSprint Backlog'!$F87, TRUE, 0)</f>
        <v>0</v>
      </c>
      <c r="I87" s="4" cm="1">
        <f t="array" ref="I87">_xlfn.IFS('ProductSprint Backlog'!$F87="", "", AND('ProductSprint Backlog'!$J87&gt;I$2,'ProductSprint Backlog'!$I87&lt;=I$2), 'ProductSprint Backlog'!$F87 / MAX(1, 'ProductSprint Backlog'!$J87-'ProductSprint Backlog'!$I87), AND('ProductSprint Backlog'!$J87=I$2,'ProductSprint Backlog'!$I87=I$2), 'ProductSprint Backlog'!$F87, TRUE, 0)</f>
        <v>0</v>
      </c>
      <c r="J87" s="4" cm="1">
        <f t="array" ref="J87">_xlfn.IFS('ProductSprint Backlog'!$F87="", "", AND('ProductSprint Backlog'!$J87&gt;J$2,'ProductSprint Backlog'!$I87&lt;=J$2), 'ProductSprint Backlog'!$F87 / MAX(1, 'ProductSprint Backlog'!$J87-'ProductSprint Backlog'!$I87), AND('ProductSprint Backlog'!$J87=J$2,'ProductSprint Backlog'!$I87=J$2), 'ProductSprint Backlog'!$F87, TRUE, 0)</f>
        <v>0</v>
      </c>
      <c r="K87" s="4" cm="1">
        <f t="array" ref="K87">_xlfn.IFS('ProductSprint Backlog'!$F87="", "", AND('ProductSprint Backlog'!$J87&gt;K$2,'ProductSprint Backlog'!$I87&lt;=K$2), 'ProductSprint Backlog'!$F87 / MAX(1, 'ProductSprint Backlog'!$J87-'ProductSprint Backlog'!$I87), AND('ProductSprint Backlog'!$J87=K$2,'ProductSprint Backlog'!$I87=K$2), 'ProductSprint Backlog'!$F87, TRUE, 0)</f>
        <v>0</v>
      </c>
      <c r="L87" s="4" cm="1">
        <f t="array" ref="L87">_xlfn.IFS('ProductSprint Backlog'!$F87="", "", AND('ProductSprint Backlog'!$J87&gt;L$2,'ProductSprint Backlog'!$I87&lt;=L$2), 'ProductSprint Backlog'!$F87 / MAX(1, 'ProductSprint Backlog'!$J87-'ProductSprint Backlog'!$I87), AND('ProductSprint Backlog'!$J87=L$2,'ProductSprint Backlog'!$I87=L$2), 'ProductSprint Backlog'!$F87, TRUE, 0)</f>
        <v>0</v>
      </c>
      <c r="M87" s="4" cm="1">
        <f t="array" ref="M87">_xlfn.IFS('ProductSprint Backlog'!$F87="", "", AND('ProductSprint Backlog'!$J87&gt;M$2,'ProductSprint Backlog'!$I87&lt;=M$2), 'ProductSprint Backlog'!$F87 / MAX(1, 'ProductSprint Backlog'!$J87-'ProductSprint Backlog'!$I87), AND('ProductSprint Backlog'!$J87=M$2,'ProductSprint Backlog'!$I87=M$2), 'ProductSprint Backlog'!$F87, TRUE, 0)</f>
        <v>0</v>
      </c>
      <c r="N87" s="4" cm="1">
        <f t="array" ref="N87">_xlfn.IFS('ProductSprint Backlog'!$F87="", "", AND('ProductSprint Backlog'!$J87&gt;N$2,'ProductSprint Backlog'!$I87&lt;=N$2), 'ProductSprint Backlog'!$F87 / MAX(1, 'ProductSprint Backlog'!$J87-'ProductSprint Backlog'!$I87), AND('ProductSprint Backlog'!$J87=N$2,'ProductSprint Backlog'!$I87=N$2), 'ProductSprint Backlog'!$F87, TRUE, 0)</f>
        <v>0</v>
      </c>
      <c r="O87" s="4" cm="1">
        <f t="array" ref="O87">_xlfn.IFS('ProductSprint Backlog'!$F87="", "", AND('ProductSprint Backlog'!$J87&gt;O$2,'ProductSprint Backlog'!$I87&lt;=O$2), 'ProductSprint Backlog'!$F87 / MAX(1, 'ProductSprint Backlog'!$J87-'ProductSprint Backlog'!$I87), AND('ProductSprint Backlog'!$J87=O$2,'ProductSprint Backlog'!$I87=O$2), 'ProductSprint Backlog'!$F87, TRUE, 0)</f>
        <v>0</v>
      </c>
      <c r="P87" s="4" cm="1">
        <f t="array" ref="P87">_xlfn.IFS('ProductSprint Backlog'!$F87="", "", AND('ProductSprint Backlog'!$J87&gt;P$2,'ProductSprint Backlog'!$I87&lt;=P$2), 'ProductSprint Backlog'!$F87 / MAX(1, 'ProductSprint Backlog'!$J87-'ProductSprint Backlog'!$I87), AND('ProductSprint Backlog'!$J87=P$2,'ProductSprint Backlog'!$I87=P$2), 'ProductSprint Backlog'!$F87, TRUE, 0)</f>
        <v>0</v>
      </c>
      <c r="Q87" s="4" cm="1">
        <f t="array" ref="Q87">_xlfn.IFS('ProductSprint Backlog'!$F87="", "", AND('ProductSprint Backlog'!$J87&gt;Q$2,'ProductSprint Backlog'!$I87&lt;=Q$2), 'ProductSprint Backlog'!$F87 / MAX(1, 'ProductSprint Backlog'!$J87-'ProductSprint Backlog'!$I87), AND('ProductSprint Backlog'!$J87=Q$2,'ProductSprint Backlog'!$I87=Q$2), 'ProductSprint Backlog'!$F87, TRUE, 0)</f>
        <v>0</v>
      </c>
    </row>
    <row r="88" spans="2:17" x14ac:dyDescent="0.2">
      <c r="B88" s="4" cm="1">
        <f t="array" ref="B88">_xlfn.IFS('ProductSprint Backlog'!$F88="", "", AND('ProductSprint Backlog'!$J88&gt;B$2,'ProductSprint Backlog'!$I88&lt;=B$2), 'ProductSprint Backlog'!$F88 / MAX(1, 'ProductSprint Backlog'!$J88-'ProductSprint Backlog'!$I88), AND('ProductSprint Backlog'!$J88=B$2,'ProductSprint Backlog'!$I88=B$2), 'ProductSprint Backlog'!$F88, TRUE, 0)</f>
        <v>0</v>
      </c>
      <c r="C88" s="4" cm="1">
        <f t="array" ref="C88">_xlfn.IFS('ProductSprint Backlog'!$F88="", "", AND('ProductSprint Backlog'!$J88&gt;C$2,'ProductSprint Backlog'!$I88&lt;=C$2), 'ProductSprint Backlog'!$F88 / MAX(1, 'ProductSprint Backlog'!$J88-'ProductSprint Backlog'!$I88), AND('ProductSprint Backlog'!$J88=C$2,'ProductSprint Backlog'!$I88=C$2), 'ProductSprint Backlog'!$F88, TRUE, 0)</f>
        <v>0</v>
      </c>
      <c r="D88" s="4" cm="1">
        <f t="array" ref="D88">_xlfn.IFS('ProductSprint Backlog'!$F88="", "", AND('ProductSprint Backlog'!$J88&gt;D$2,'ProductSprint Backlog'!$I88&lt;=D$2), 'ProductSprint Backlog'!$F88 / MAX(1, 'ProductSprint Backlog'!$J88-'ProductSprint Backlog'!$I88), AND('ProductSprint Backlog'!$J88=D$2,'ProductSprint Backlog'!$I88=D$2), 'ProductSprint Backlog'!$F88, TRUE, 0)</f>
        <v>0</v>
      </c>
      <c r="E88" s="4" cm="1">
        <f t="array" ref="E88">_xlfn.IFS('ProductSprint Backlog'!$F88="", "", AND('ProductSprint Backlog'!$J88&gt;E$2,'ProductSprint Backlog'!$I88&lt;=E$2), 'ProductSprint Backlog'!$F88 / MAX(1, 'ProductSprint Backlog'!$J88-'ProductSprint Backlog'!$I88), AND('ProductSprint Backlog'!$J88=E$2,'ProductSprint Backlog'!$I88=E$2), 'ProductSprint Backlog'!$F88, TRUE, 0)</f>
        <v>0</v>
      </c>
      <c r="F88" s="4" cm="1">
        <f t="array" ref="F88">_xlfn.IFS('ProductSprint Backlog'!$F88="", "", AND('ProductSprint Backlog'!$J88&gt;F$2,'ProductSprint Backlog'!$I88&lt;=F$2), 'ProductSprint Backlog'!$F88 / MAX(1, 'ProductSprint Backlog'!$J88-'ProductSprint Backlog'!$I88), AND('ProductSprint Backlog'!$J88=F$2,'ProductSprint Backlog'!$I88=F$2), 'ProductSprint Backlog'!$F88, TRUE, 0)</f>
        <v>0</v>
      </c>
      <c r="G88" s="4" cm="1">
        <f t="array" ref="G88">_xlfn.IFS('ProductSprint Backlog'!$F88="", "", AND('ProductSprint Backlog'!$J88&gt;G$2,'ProductSprint Backlog'!$I88&lt;=G$2), 'ProductSprint Backlog'!$F88 / MAX(1, 'ProductSprint Backlog'!$J88-'ProductSprint Backlog'!$I88), AND('ProductSprint Backlog'!$J88=G$2,'ProductSprint Backlog'!$I88=G$2), 'ProductSprint Backlog'!$F88, TRUE, 0)</f>
        <v>0</v>
      </c>
      <c r="H88" s="4" cm="1">
        <f t="array" ref="H88">_xlfn.IFS('ProductSprint Backlog'!$F88="", "", AND('ProductSprint Backlog'!$J88&gt;H$2,'ProductSprint Backlog'!$I88&lt;=H$2), 'ProductSprint Backlog'!$F88 / MAX(1, 'ProductSprint Backlog'!$J88-'ProductSprint Backlog'!$I88), AND('ProductSprint Backlog'!$J88=H$2,'ProductSprint Backlog'!$I88=H$2), 'ProductSprint Backlog'!$F88, TRUE, 0)</f>
        <v>0</v>
      </c>
      <c r="I88" s="4" cm="1">
        <f t="array" ref="I88">_xlfn.IFS('ProductSprint Backlog'!$F88="", "", AND('ProductSprint Backlog'!$J88&gt;I$2,'ProductSprint Backlog'!$I88&lt;=I$2), 'ProductSprint Backlog'!$F88 / MAX(1, 'ProductSprint Backlog'!$J88-'ProductSprint Backlog'!$I88), AND('ProductSprint Backlog'!$J88=I$2,'ProductSprint Backlog'!$I88=I$2), 'ProductSprint Backlog'!$F88, TRUE, 0)</f>
        <v>0</v>
      </c>
      <c r="J88" s="4" cm="1">
        <f t="array" ref="J88">_xlfn.IFS('ProductSprint Backlog'!$F88="", "", AND('ProductSprint Backlog'!$J88&gt;J$2,'ProductSprint Backlog'!$I88&lt;=J$2), 'ProductSprint Backlog'!$F88 / MAX(1, 'ProductSprint Backlog'!$J88-'ProductSprint Backlog'!$I88), AND('ProductSprint Backlog'!$J88=J$2,'ProductSprint Backlog'!$I88=J$2), 'ProductSprint Backlog'!$F88, TRUE, 0)</f>
        <v>0</v>
      </c>
      <c r="K88" s="4" cm="1">
        <f t="array" ref="K88">_xlfn.IFS('ProductSprint Backlog'!$F88="", "", AND('ProductSprint Backlog'!$J88&gt;K$2,'ProductSprint Backlog'!$I88&lt;=K$2), 'ProductSprint Backlog'!$F88 / MAX(1, 'ProductSprint Backlog'!$J88-'ProductSprint Backlog'!$I88), AND('ProductSprint Backlog'!$J88=K$2,'ProductSprint Backlog'!$I88=K$2), 'ProductSprint Backlog'!$F88, TRUE, 0)</f>
        <v>0</v>
      </c>
      <c r="L88" s="4" cm="1">
        <f t="array" ref="L88">_xlfn.IFS('ProductSprint Backlog'!$F88="", "", AND('ProductSprint Backlog'!$J88&gt;L$2,'ProductSprint Backlog'!$I88&lt;=L$2), 'ProductSprint Backlog'!$F88 / MAX(1, 'ProductSprint Backlog'!$J88-'ProductSprint Backlog'!$I88), AND('ProductSprint Backlog'!$J88=L$2,'ProductSprint Backlog'!$I88=L$2), 'ProductSprint Backlog'!$F88, TRUE, 0)</f>
        <v>0</v>
      </c>
      <c r="M88" s="4" cm="1">
        <f t="array" ref="M88">_xlfn.IFS('ProductSprint Backlog'!$F88="", "", AND('ProductSprint Backlog'!$J88&gt;M$2,'ProductSprint Backlog'!$I88&lt;=M$2), 'ProductSprint Backlog'!$F88 / MAX(1, 'ProductSprint Backlog'!$J88-'ProductSprint Backlog'!$I88), AND('ProductSprint Backlog'!$J88=M$2,'ProductSprint Backlog'!$I88=M$2), 'ProductSprint Backlog'!$F88, TRUE, 0)</f>
        <v>0</v>
      </c>
      <c r="N88" s="4" cm="1">
        <f t="array" ref="N88">_xlfn.IFS('ProductSprint Backlog'!$F88="", "", AND('ProductSprint Backlog'!$J88&gt;N$2,'ProductSprint Backlog'!$I88&lt;=N$2), 'ProductSprint Backlog'!$F88 / MAX(1, 'ProductSprint Backlog'!$J88-'ProductSprint Backlog'!$I88), AND('ProductSprint Backlog'!$J88=N$2,'ProductSprint Backlog'!$I88=N$2), 'ProductSprint Backlog'!$F88, TRUE, 0)</f>
        <v>0</v>
      </c>
      <c r="O88" s="4" cm="1">
        <f t="array" ref="O88">_xlfn.IFS('ProductSprint Backlog'!$F88="", "", AND('ProductSprint Backlog'!$J88&gt;O$2,'ProductSprint Backlog'!$I88&lt;=O$2), 'ProductSprint Backlog'!$F88 / MAX(1, 'ProductSprint Backlog'!$J88-'ProductSprint Backlog'!$I88), AND('ProductSprint Backlog'!$J88=O$2,'ProductSprint Backlog'!$I88=O$2), 'ProductSprint Backlog'!$F88, TRUE, 0)</f>
        <v>0</v>
      </c>
      <c r="P88" s="4" cm="1">
        <f t="array" ref="P88">_xlfn.IFS('ProductSprint Backlog'!$F88="", "", AND('ProductSprint Backlog'!$J88&gt;P$2,'ProductSprint Backlog'!$I88&lt;=P$2), 'ProductSprint Backlog'!$F88 / MAX(1, 'ProductSprint Backlog'!$J88-'ProductSprint Backlog'!$I88), AND('ProductSprint Backlog'!$J88=P$2,'ProductSprint Backlog'!$I88=P$2), 'ProductSprint Backlog'!$F88, TRUE, 0)</f>
        <v>0</v>
      </c>
      <c r="Q88" s="4" cm="1">
        <f t="array" ref="Q88">_xlfn.IFS('ProductSprint Backlog'!$F88="", "", AND('ProductSprint Backlog'!$J88&gt;Q$2,'ProductSprint Backlog'!$I88&lt;=Q$2), 'ProductSprint Backlog'!$F88 / MAX(1, 'ProductSprint Backlog'!$J88-'ProductSprint Backlog'!$I88), AND('ProductSprint Backlog'!$J88=Q$2,'ProductSprint Backlog'!$I88=Q$2), 'ProductSprint Backlog'!$F88, TRUE, 0)</f>
        <v>0</v>
      </c>
    </row>
    <row r="89" spans="2:17" x14ac:dyDescent="0.2">
      <c r="B89" s="4" cm="1">
        <f t="array" ref="B89">_xlfn.IFS('ProductSprint Backlog'!$F89="", "", AND('ProductSprint Backlog'!$J89&gt;B$2,'ProductSprint Backlog'!$I89&lt;=B$2), 'ProductSprint Backlog'!$F89 / MAX(1, 'ProductSprint Backlog'!$J89-'ProductSprint Backlog'!$I89), AND('ProductSprint Backlog'!$J89=B$2,'ProductSprint Backlog'!$I89=B$2), 'ProductSprint Backlog'!$F89, TRUE, 0)</f>
        <v>0</v>
      </c>
      <c r="C89" s="4" cm="1">
        <f t="array" ref="C89">_xlfn.IFS('ProductSprint Backlog'!$F89="", "", AND('ProductSprint Backlog'!$J89&gt;C$2,'ProductSprint Backlog'!$I89&lt;=C$2), 'ProductSprint Backlog'!$F89 / MAX(1, 'ProductSprint Backlog'!$J89-'ProductSprint Backlog'!$I89), AND('ProductSprint Backlog'!$J89=C$2,'ProductSprint Backlog'!$I89=C$2), 'ProductSprint Backlog'!$F89, TRUE, 0)</f>
        <v>0</v>
      </c>
      <c r="D89" s="4" cm="1">
        <f t="array" ref="D89">_xlfn.IFS('ProductSprint Backlog'!$F89="", "", AND('ProductSprint Backlog'!$J89&gt;D$2,'ProductSprint Backlog'!$I89&lt;=D$2), 'ProductSprint Backlog'!$F89 / MAX(1, 'ProductSprint Backlog'!$J89-'ProductSprint Backlog'!$I89), AND('ProductSprint Backlog'!$J89=D$2,'ProductSprint Backlog'!$I89=D$2), 'ProductSprint Backlog'!$F89, TRUE, 0)</f>
        <v>0</v>
      </c>
      <c r="E89" s="4" cm="1">
        <f t="array" ref="E89">_xlfn.IFS('ProductSprint Backlog'!$F89="", "", AND('ProductSprint Backlog'!$J89&gt;E$2,'ProductSprint Backlog'!$I89&lt;=E$2), 'ProductSprint Backlog'!$F89 / MAX(1, 'ProductSprint Backlog'!$J89-'ProductSprint Backlog'!$I89), AND('ProductSprint Backlog'!$J89=E$2,'ProductSprint Backlog'!$I89=E$2), 'ProductSprint Backlog'!$F89, TRUE, 0)</f>
        <v>0</v>
      </c>
      <c r="F89" s="4" cm="1">
        <f t="array" ref="F89">_xlfn.IFS('ProductSprint Backlog'!$F89="", "", AND('ProductSprint Backlog'!$J89&gt;F$2,'ProductSprint Backlog'!$I89&lt;=F$2), 'ProductSprint Backlog'!$F89 / MAX(1, 'ProductSprint Backlog'!$J89-'ProductSprint Backlog'!$I89), AND('ProductSprint Backlog'!$J89=F$2,'ProductSprint Backlog'!$I89=F$2), 'ProductSprint Backlog'!$F89, TRUE, 0)</f>
        <v>0</v>
      </c>
      <c r="G89" s="4" cm="1">
        <f t="array" ref="G89">_xlfn.IFS('ProductSprint Backlog'!$F89="", "", AND('ProductSprint Backlog'!$J89&gt;G$2,'ProductSprint Backlog'!$I89&lt;=G$2), 'ProductSprint Backlog'!$F89 / MAX(1, 'ProductSprint Backlog'!$J89-'ProductSprint Backlog'!$I89), AND('ProductSprint Backlog'!$J89=G$2,'ProductSprint Backlog'!$I89=G$2), 'ProductSprint Backlog'!$F89, TRUE, 0)</f>
        <v>0</v>
      </c>
      <c r="H89" s="4" cm="1">
        <f t="array" ref="H89">_xlfn.IFS('ProductSprint Backlog'!$F89="", "", AND('ProductSprint Backlog'!$J89&gt;H$2,'ProductSprint Backlog'!$I89&lt;=H$2), 'ProductSprint Backlog'!$F89 / MAX(1, 'ProductSprint Backlog'!$J89-'ProductSprint Backlog'!$I89), AND('ProductSprint Backlog'!$J89=H$2,'ProductSprint Backlog'!$I89=H$2), 'ProductSprint Backlog'!$F89, TRUE, 0)</f>
        <v>0</v>
      </c>
      <c r="I89" s="4" cm="1">
        <f t="array" ref="I89">_xlfn.IFS('ProductSprint Backlog'!$F89="", "", AND('ProductSprint Backlog'!$J89&gt;I$2,'ProductSprint Backlog'!$I89&lt;=I$2), 'ProductSprint Backlog'!$F89 / MAX(1, 'ProductSprint Backlog'!$J89-'ProductSprint Backlog'!$I89), AND('ProductSprint Backlog'!$J89=I$2,'ProductSprint Backlog'!$I89=I$2), 'ProductSprint Backlog'!$F89, TRUE, 0)</f>
        <v>0</v>
      </c>
      <c r="J89" s="4" cm="1">
        <f t="array" ref="J89">_xlfn.IFS('ProductSprint Backlog'!$F89="", "", AND('ProductSprint Backlog'!$J89&gt;J$2,'ProductSprint Backlog'!$I89&lt;=J$2), 'ProductSprint Backlog'!$F89 / MAX(1, 'ProductSprint Backlog'!$J89-'ProductSprint Backlog'!$I89), AND('ProductSprint Backlog'!$J89=J$2,'ProductSprint Backlog'!$I89=J$2), 'ProductSprint Backlog'!$F89, TRUE, 0)</f>
        <v>0</v>
      </c>
      <c r="K89" s="4" cm="1">
        <f t="array" ref="K89">_xlfn.IFS('ProductSprint Backlog'!$F89="", "", AND('ProductSprint Backlog'!$J89&gt;K$2,'ProductSprint Backlog'!$I89&lt;=K$2), 'ProductSprint Backlog'!$F89 / MAX(1, 'ProductSprint Backlog'!$J89-'ProductSprint Backlog'!$I89), AND('ProductSprint Backlog'!$J89=K$2,'ProductSprint Backlog'!$I89=K$2), 'ProductSprint Backlog'!$F89, TRUE, 0)</f>
        <v>0</v>
      </c>
      <c r="L89" s="4" cm="1">
        <f t="array" ref="L89">_xlfn.IFS('ProductSprint Backlog'!$F89="", "", AND('ProductSprint Backlog'!$J89&gt;L$2,'ProductSprint Backlog'!$I89&lt;=L$2), 'ProductSprint Backlog'!$F89 / MAX(1, 'ProductSprint Backlog'!$J89-'ProductSprint Backlog'!$I89), AND('ProductSprint Backlog'!$J89=L$2,'ProductSprint Backlog'!$I89=L$2), 'ProductSprint Backlog'!$F89, TRUE, 0)</f>
        <v>0</v>
      </c>
      <c r="M89" s="4" cm="1">
        <f t="array" ref="M89">_xlfn.IFS('ProductSprint Backlog'!$F89="", "", AND('ProductSprint Backlog'!$J89&gt;M$2,'ProductSprint Backlog'!$I89&lt;=M$2), 'ProductSprint Backlog'!$F89 / MAX(1, 'ProductSprint Backlog'!$J89-'ProductSprint Backlog'!$I89), AND('ProductSprint Backlog'!$J89=M$2,'ProductSprint Backlog'!$I89=M$2), 'ProductSprint Backlog'!$F89, TRUE, 0)</f>
        <v>0</v>
      </c>
      <c r="N89" s="4" cm="1">
        <f t="array" ref="N89">_xlfn.IFS('ProductSprint Backlog'!$F89="", "", AND('ProductSprint Backlog'!$J89&gt;N$2,'ProductSprint Backlog'!$I89&lt;=N$2), 'ProductSprint Backlog'!$F89 / MAX(1, 'ProductSprint Backlog'!$J89-'ProductSprint Backlog'!$I89), AND('ProductSprint Backlog'!$J89=N$2,'ProductSprint Backlog'!$I89=N$2), 'ProductSprint Backlog'!$F89, TRUE, 0)</f>
        <v>0</v>
      </c>
      <c r="O89" s="4" cm="1">
        <f t="array" ref="O89">_xlfn.IFS('ProductSprint Backlog'!$F89="", "", AND('ProductSprint Backlog'!$J89&gt;O$2,'ProductSprint Backlog'!$I89&lt;=O$2), 'ProductSprint Backlog'!$F89 / MAX(1, 'ProductSprint Backlog'!$J89-'ProductSprint Backlog'!$I89), AND('ProductSprint Backlog'!$J89=O$2,'ProductSprint Backlog'!$I89=O$2), 'ProductSprint Backlog'!$F89, TRUE, 0)</f>
        <v>0</v>
      </c>
      <c r="P89" s="4" cm="1">
        <f t="array" ref="P89">_xlfn.IFS('ProductSprint Backlog'!$F89="", "", AND('ProductSprint Backlog'!$J89&gt;P$2,'ProductSprint Backlog'!$I89&lt;=P$2), 'ProductSprint Backlog'!$F89 / MAX(1, 'ProductSprint Backlog'!$J89-'ProductSprint Backlog'!$I89), AND('ProductSprint Backlog'!$J89=P$2,'ProductSprint Backlog'!$I89=P$2), 'ProductSprint Backlog'!$F89, TRUE, 0)</f>
        <v>0</v>
      </c>
      <c r="Q89" s="4" cm="1">
        <f t="array" ref="Q89">_xlfn.IFS('ProductSprint Backlog'!$F89="", "", AND('ProductSprint Backlog'!$J89&gt;Q$2,'ProductSprint Backlog'!$I89&lt;=Q$2), 'ProductSprint Backlog'!$F89 / MAX(1, 'ProductSprint Backlog'!$J89-'ProductSprint Backlog'!$I89), AND('ProductSprint Backlog'!$J89=Q$2,'ProductSprint Backlog'!$I89=Q$2), 'ProductSprint Backlog'!$F89, TRUE, 0)</f>
        <v>0</v>
      </c>
    </row>
    <row r="90" spans="2:17" x14ac:dyDescent="0.2">
      <c r="B90" s="4" cm="1">
        <f t="array" ref="B90">_xlfn.IFS('ProductSprint Backlog'!$F90="", "", AND('ProductSprint Backlog'!$J90&gt;B$2,'ProductSprint Backlog'!$I90&lt;=B$2), 'ProductSprint Backlog'!$F90 / MAX(1, 'ProductSprint Backlog'!$J90-'ProductSprint Backlog'!$I90), AND('ProductSprint Backlog'!$J90=B$2,'ProductSprint Backlog'!$I90=B$2), 'ProductSprint Backlog'!$F90, TRUE, 0)</f>
        <v>0</v>
      </c>
      <c r="C90" s="4" cm="1">
        <f t="array" ref="C90">_xlfn.IFS('ProductSprint Backlog'!$F90="", "", AND('ProductSprint Backlog'!$J90&gt;C$2,'ProductSprint Backlog'!$I90&lt;=C$2), 'ProductSprint Backlog'!$F90 / MAX(1, 'ProductSprint Backlog'!$J90-'ProductSprint Backlog'!$I90), AND('ProductSprint Backlog'!$J90=C$2,'ProductSprint Backlog'!$I90=C$2), 'ProductSprint Backlog'!$F90, TRUE, 0)</f>
        <v>0</v>
      </c>
      <c r="D90" s="4" cm="1">
        <f t="array" ref="D90">_xlfn.IFS('ProductSprint Backlog'!$F90="", "", AND('ProductSprint Backlog'!$J90&gt;D$2,'ProductSprint Backlog'!$I90&lt;=D$2), 'ProductSprint Backlog'!$F90 / MAX(1, 'ProductSprint Backlog'!$J90-'ProductSprint Backlog'!$I90), AND('ProductSprint Backlog'!$J90=D$2,'ProductSprint Backlog'!$I90=D$2), 'ProductSprint Backlog'!$F90, TRUE, 0)</f>
        <v>0</v>
      </c>
      <c r="E90" s="4" cm="1">
        <f t="array" ref="E90">_xlfn.IFS('ProductSprint Backlog'!$F90="", "", AND('ProductSprint Backlog'!$J90&gt;E$2,'ProductSprint Backlog'!$I90&lt;=E$2), 'ProductSprint Backlog'!$F90 / MAX(1, 'ProductSprint Backlog'!$J90-'ProductSprint Backlog'!$I90), AND('ProductSprint Backlog'!$J90=E$2,'ProductSprint Backlog'!$I90=E$2), 'ProductSprint Backlog'!$F90, TRUE, 0)</f>
        <v>0</v>
      </c>
      <c r="F90" s="4" cm="1">
        <f t="array" ref="F90">_xlfn.IFS('ProductSprint Backlog'!$F90="", "", AND('ProductSprint Backlog'!$J90&gt;F$2,'ProductSprint Backlog'!$I90&lt;=F$2), 'ProductSprint Backlog'!$F90 / MAX(1, 'ProductSprint Backlog'!$J90-'ProductSprint Backlog'!$I90), AND('ProductSprint Backlog'!$J90=F$2,'ProductSprint Backlog'!$I90=F$2), 'ProductSprint Backlog'!$F90, TRUE, 0)</f>
        <v>0</v>
      </c>
      <c r="G90" s="4" cm="1">
        <f t="array" ref="G90">_xlfn.IFS('ProductSprint Backlog'!$F90="", "", AND('ProductSprint Backlog'!$J90&gt;G$2,'ProductSprint Backlog'!$I90&lt;=G$2), 'ProductSprint Backlog'!$F90 / MAX(1, 'ProductSprint Backlog'!$J90-'ProductSprint Backlog'!$I90), AND('ProductSprint Backlog'!$J90=G$2,'ProductSprint Backlog'!$I90=G$2), 'ProductSprint Backlog'!$F90, TRUE, 0)</f>
        <v>0</v>
      </c>
      <c r="H90" s="4" cm="1">
        <f t="array" ref="H90">_xlfn.IFS('ProductSprint Backlog'!$F90="", "", AND('ProductSprint Backlog'!$J90&gt;H$2,'ProductSprint Backlog'!$I90&lt;=H$2), 'ProductSprint Backlog'!$F90 / MAX(1, 'ProductSprint Backlog'!$J90-'ProductSprint Backlog'!$I90), AND('ProductSprint Backlog'!$J90=H$2,'ProductSprint Backlog'!$I90=H$2), 'ProductSprint Backlog'!$F90, TRUE, 0)</f>
        <v>0</v>
      </c>
      <c r="I90" s="4" cm="1">
        <f t="array" ref="I90">_xlfn.IFS('ProductSprint Backlog'!$F90="", "", AND('ProductSprint Backlog'!$J90&gt;I$2,'ProductSprint Backlog'!$I90&lt;=I$2), 'ProductSprint Backlog'!$F90 / MAX(1, 'ProductSprint Backlog'!$J90-'ProductSprint Backlog'!$I90), AND('ProductSprint Backlog'!$J90=I$2,'ProductSprint Backlog'!$I90=I$2), 'ProductSprint Backlog'!$F90, TRUE, 0)</f>
        <v>0</v>
      </c>
      <c r="J90" s="4" cm="1">
        <f t="array" ref="J90">_xlfn.IFS('ProductSprint Backlog'!$F90="", "", AND('ProductSprint Backlog'!$J90&gt;J$2,'ProductSprint Backlog'!$I90&lt;=J$2), 'ProductSprint Backlog'!$F90 / MAX(1, 'ProductSprint Backlog'!$J90-'ProductSprint Backlog'!$I90), AND('ProductSprint Backlog'!$J90=J$2,'ProductSprint Backlog'!$I90=J$2), 'ProductSprint Backlog'!$F90, TRUE, 0)</f>
        <v>0</v>
      </c>
      <c r="K90" s="4" cm="1">
        <f t="array" ref="K90">_xlfn.IFS('ProductSprint Backlog'!$F90="", "", AND('ProductSprint Backlog'!$J90&gt;K$2,'ProductSprint Backlog'!$I90&lt;=K$2), 'ProductSprint Backlog'!$F90 / MAX(1, 'ProductSprint Backlog'!$J90-'ProductSprint Backlog'!$I90), AND('ProductSprint Backlog'!$J90=K$2,'ProductSprint Backlog'!$I90=K$2), 'ProductSprint Backlog'!$F90, TRUE, 0)</f>
        <v>0</v>
      </c>
      <c r="L90" s="4" cm="1">
        <f t="array" ref="L90">_xlfn.IFS('ProductSprint Backlog'!$F90="", "", AND('ProductSprint Backlog'!$J90&gt;L$2,'ProductSprint Backlog'!$I90&lt;=L$2), 'ProductSprint Backlog'!$F90 / MAX(1, 'ProductSprint Backlog'!$J90-'ProductSprint Backlog'!$I90), AND('ProductSprint Backlog'!$J90=L$2,'ProductSprint Backlog'!$I90=L$2), 'ProductSprint Backlog'!$F90, TRUE, 0)</f>
        <v>0</v>
      </c>
      <c r="M90" s="4" cm="1">
        <f t="array" ref="M90">_xlfn.IFS('ProductSprint Backlog'!$F90="", "", AND('ProductSprint Backlog'!$J90&gt;M$2,'ProductSprint Backlog'!$I90&lt;=M$2), 'ProductSprint Backlog'!$F90 / MAX(1, 'ProductSprint Backlog'!$J90-'ProductSprint Backlog'!$I90), AND('ProductSprint Backlog'!$J90=M$2,'ProductSprint Backlog'!$I90=M$2), 'ProductSprint Backlog'!$F90, TRUE, 0)</f>
        <v>0</v>
      </c>
      <c r="N90" s="4" cm="1">
        <f t="array" ref="N90">_xlfn.IFS('ProductSprint Backlog'!$F90="", "", AND('ProductSprint Backlog'!$J90&gt;N$2,'ProductSprint Backlog'!$I90&lt;=N$2), 'ProductSprint Backlog'!$F90 / MAX(1, 'ProductSprint Backlog'!$J90-'ProductSprint Backlog'!$I90), AND('ProductSprint Backlog'!$J90=N$2,'ProductSprint Backlog'!$I90=N$2), 'ProductSprint Backlog'!$F90, TRUE, 0)</f>
        <v>0</v>
      </c>
      <c r="O90" s="4" cm="1">
        <f t="array" ref="O90">_xlfn.IFS('ProductSprint Backlog'!$F90="", "", AND('ProductSprint Backlog'!$J90&gt;O$2,'ProductSprint Backlog'!$I90&lt;=O$2), 'ProductSprint Backlog'!$F90 / MAX(1, 'ProductSprint Backlog'!$J90-'ProductSprint Backlog'!$I90), AND('ProductSprint Backlog'!$J90=O$2,'ProductSprint Backlog'!$I90=O$2), 'ProductSprint Backlog'!$F90, TRUE, 0)</f>
        <v>0</v>
      </c>
      <c r="P90" s="4" cm="1">
        <f t="array" ref="P90">_xlfn.IFS('ProductSprint Backlog'!$F90="", "", AND('ProductSprint Backlog'!$J90&gt;P$2,'ProductSprint Backlog'!$I90&lt;=P$2), 'ProductSprint Backlog'!$F90 / MAX(1, 'ProductSprint Backlog'!$J90-'ProductSprint Backlog'!$I90), AND('ProductSprint Backlog'!$J90=P$2,'ProductSprint Backlog'!$I90=P$2), 'ProductSprint Backlog'!$F90, TRUE, 0)</f>
        <v>0</v>
      </c>
      <c r="Q90" s="4" cm="1">
        <f t="array" ref="Q90">_xlfn.IFS('ProductSprint Backlog'!$F90="", "", AND('ProductSprint Backlog'!$J90&gt;Q$2,'ProductSprint Backlog'!$I90&lt;=Q$2), 'ProductSprint Backlog'!$F90 / MAX(1, 'ProductSprint Backlog'!$J90-'ProductSprint Backlog'!$I90), AND('ProductSprint Backlog'!$J90=Q$2,'ProductSprint Backlog'!$I90=Q$2), 'ProductSprint Backlog'!$F90, TRUE, 0)</f>
        <v>0</v>
      </c>
    </row>
    <row r="91" spans="2:17" x14ac:dyDescent="0.2">
      <c r="B91" s="4" cm="1">
        <f t="array" ref="B91">_xlfn.IFS('ProductSprint Backlog'!$F91="", "", AND('ProductSprint Backlog'!$J91&gt;B$2,'ProductSprint Backlog'!$I91&lt;=B$2), 'ProductSprint Backlog'!$F91 / MAX(1, 'ProductSprint Backlog'!$J91-'ProductSprint Backlog'!$I91), AND('ProductSprint Backlog'!$J91=B$2,'ProductSprint Backlog'!$I91=B$2), 'ProductSprint Backlog'!$F91, TRUE, 0)</f>
        <v>0</v>
      </c>
      <c r="C91" s="4" cm="1">
        <f t="array" ref="C91">_xlfn.IFS('ProductSprint Backlog'!$F91="", "", AND('ProductSprint Backlog'!$J91&gt;C$2,'ProductSprint Backlog'!$I91&lt;=C$2), 'ProductSprint Backlog'!$F91 / MAX(1, 'ProductSprint Backlog'!$J91-'ProductSprint Backlog'!$I91), AND('ProductSprint Backlog'!$J91=C$2,'ProductSprint Backlog'!$I91=C$2), 'ProductSprint Backlog'!$F91, TRUE, 0)</f>
        <v>0</v>
      </c>
      <c r="D91" s="4" cm="1">
        <f t="array" ref="D91">_xlfn.IFS('ProductSprint Backlog'!$F91="", "", AND('ProductSprint Backlog'!$J91&gt;D$2,'ProductSprint Backlog'!$I91&lt;=D$2), 'ProductSprint Backlog'!$F91 / MAX(1, 'ProductSprint Backlog'!$J91-'ProductSprint Backlog'!$I91), AND('ProductSprint Backlog'!$J91=D$2,'ProductSprint Backlog'!$I91=D$2), 'ProductSprint Backlog'!$F91, TRUE, 0)</f>
        <v>0</v>
      </c>
      <c r="E91" s="4" cm="1">
        <f t="array" ref="E91">_xlfn.IFS('ProductSprint Backlog'!$F91="", "", AND('ProductSprint Backlog'!$J91&gt;E$2,'ProductSprint Backlog'!$I91&lt;=E$2), 'ProductSprint Backlog'!$F91 / MAX(1, 'ProductSprint Backlog'!$J91-'ProductSprint Backlog'!$I91), AND('ProductSprint Backlog'!$J91=E$2,'ProductSprint Backlog'!$I91=E$2), 'ProductSprint Backlog'!$F91, TRUE, 0)</f>
        <v>0</v>
      </c>
      <c r="F91" s="4" cm="1">
        <f t="array" ref="F91">_xlfn.IFS('ProductSprint Backlog'!$F91="", "", AND('ProductSprint Backlog'!$J91&gt;F$2,'ProductSprint Backlog'!$I91&lt;=F$2), 'ProductSprint Backlog'!$F91 / MAX(1, 'ProductSprint Backlog'!$J91-'ProductSprint Backlog'!$I91), AND('ProductSprint Backlog'!$J91=F$2,'ProductSprint Backlog'!$I91=F$2), 'ProductSprint Backlog'!$F91, TRUE, 0)</f>
        <v>0</v>
      </c>
      <c r="G91" s="4" cm="1">
        <f t="array" ref="G91">_xlfn.IFS('ProductSprint Backlog'!$F91="", "", AND('ProductSprint Backlog'!$J91&gt;G$2,'ProductSprint Backlog'!$I91&lt;=G$2), 'ProductSprint Backlog'!$F91 / MAX(1, 'ProductSprint Backlog'!$J91-'ProductSprint Backlog'!$I91), AND('ProductSprint Backlog'!$J91=G$2,'ProductSprint Backlog'!$I91=G$2), 'ProductSprint Backlog'!$F91, TRUE, 0)</f>
        <v>0</v>
      </c>
      <c r="H91" s="4" cm="1">
        <f t="array" ref="H91">_xlfn.IFS('ProductSprint Backlog'!$F91="", "", AND('ProductSprint Backlog'!$J91&gt;H$2,'ProductSprint Backlog'!$I91&lt;=H$2), 'ProductSprint Backlog'!$F91 / MAX(1, 'ProductSprint Backlog'!$J91-'ProductSprint Backlog'!$I91), AND('ProductSprint Backlog'!$J91=H$2,'ProductSprint Backlog'!$I91=H$2), 'ProductSprint Backlog'!$F91, TRUE, 0)</f>
        <v>0</v>
      </c>
      <c r="I91" s="4" cm="1">
        <f t="array" ref="I91">_xlfn.IFS('ProductSprint Backlog'!$F91="", "", AND('ProductSprint Backlog'!$J91&gt;I$2,'ProductSprint Backlog'!$I91&lt;=I$2), 'ProductSprint Backlog'!$F91 / MAX(1, 'ProductSprint Backlog'!$J91-'ProductSprint Backlog'!$I91), AND('ProductSprint Backlog'!$J91=I$2,'ProductSprint Backlog'!$I91=I$2), 'ProductSprint Backlog'!$F91, TRUE, 0)</f>
        <v>0</v>
      </c>
      <c r="J91" s="4" cm="1">
        <f t="array" ref="J91">_xlfn.IFS('ProductSprint Backlog'!$F91="", "", AND('ProductSprint Backlog'!$J91&gt;J$2,'ProductSprint Backlog'!$I91&lt;=J$2), 'ProductSprint Backlog'!$F91 / MAX(1, 'ProductSprint Backlog'!$J91-'ProductSprint Backlog'!$I91), AND('ProductSprint Backlog'!$J91=J$2,'ProductSprint Backlog'!$I91=J$2), 'ProductSprint Backlog'!$F91, TRUE, 0)</f>
        <v>0</v>
      </c>
      <c r="K91" s="4" cm="1">
        <f t="array" ref="K91">_xlfn.IFS('ProductSprint Backlog'!$F91="", "", AND('ProductSprint Backlog'!$J91&gt;K$2,'ProductSprint Backlog'!$I91&lt;=K$2), 'ProductSprint Backlog'!$F91 / MAX(1, 'ProductSprint Backlog'!$J91-'ProductSprint Backlog'!$I91), AND('ProductSprint Backlog'!$J91=K$2,'ProductSprint Backlog'!$I91=K$2), 'ProductSprint Backlog'!$F91, TRUE, 0)</f>
        <v>0</v>
      </c>
      <c r="L91" s="4" cm="1">
        <f t="array" ref="L91">_xlfn.IFS('ProductSprint Backlog'!$F91="", "", AND('ProductSprint Backlog'!$J91&gt;L$2,'ProductSprint Backlog'!$I91&lt;=L$2), 'ProductSprint Backlog'!$F91 / MAX(1, 'ProductSprint Backlog'!$J91-'ProductSprint Backlog'!$I91), AND('ProductSprint Backlog'!$J91=L$2,'ProductSprint Backlog'!$I91=L$2), 'ProductSprint Backlog'!$F91, TRUE, 0)</f>
        <v>0</v>
      </c>
      <c r="M91" s="4" cm="1">
        <f t="array" ref="M91">_xlfn.IFS('ProductSprint Backlog'!$F91="", "", AND('ProductSprint Backlog'!$J91&gt;M$2,'ProductSprint Backlog'!$I91&lt;=M$2), 'ProductSprint Backlog'!$F91 / MAX(1, 'ProductSprint Backlog'!$J91-'ProductSprint Backlog'!$I91), AND('ProductSprint Backlog'!$J91=M$2,'ProductSprint Backlog'!$I91=M$2), 'ProductSprint Backlog'!$F91, TRUE, 0)</f>
        <v>0</v>
      </c>
      <c r="N91" s="4" cm="1">
        <f t="array" ref="N91">_xlfn.IFS('ProductSprint Backlog'!$F91="", "", AND('ProductSprint Backlog'!$J91&gt;N$2,'ProductSprint Backlog'!$I91&lt;=N$2), 'ProductSprint Backlog'!$F91 / MAX(1, 'ProductSprint Backlog'!$J91-'ProductSprint Backlog'!$I91), AND('ProductSprint Backlog'!$J91=N$2,'ProductSprint Backlog'!$I91=N$2), 'ProductSprint Backlog'!$F91, TRUE, 0)</f>
        <v>0</v>
      </c>
      <c r="O91" s="4" cm="1">
        <f t="array" ref="O91">_xlfn.IFS('ProductSprint Backlog'!$F91="", "", AND('ProductSprint Backlog'!$J91&gt;O$2,'ProductSprint Backlog'!$I91&lt;=O$2), 'ProductSprint Backlog'!$F91 / MAX(1, 'ProductSprint Backlog'!$J91-'ProductSprint Backlog'!$I91), AND('ProductSprint Backlog'!$J91=O$2,'ProductSprint Backlog'!$I91=O$2), 'ProductSprint Backlog'!$F91, TRUE, 0)</f>
        <v>0</v>
      </c>
      <c r="P91" s="4" cm="1">
        <f t="array" ref="P91">_xlfn.IFS('ProductSprint Backlog'!$F91="", "", AND('ProductSprint Backlog'!$J91&gt;P$2,'ProductSprint Backlog'!$I91&lt;=P$2), 'ProductSprint Backlog'!$F91 / MAX(1, 'ProductSprint Backlog'!$J91-'ProductSprint Backlog'!$I91), AND('ProductSprint Backlog'!$J91=P$2,'ProductSprint Backlog'!$I91=P$2), 'ProductSprint Backlog'!$F91, TRUE, 0)</f>
        <v>0</v>
      </c>
      <c r="Q91" s="4" cm="1">
        <f t="array" ref="Q91">_xlfn.IFS('ProductSprint Backlog'!$F91="", "", AND('ProductSprint Backlog'!$J91&gt;Q$2,'ProductSprint Backlog'!$I91&lt;=Q$2), 'ProductSprint Backlog'!$F91 / MAX(1, 'ProductSprint Backlog'!$J91-'ProductSprint Backlog'!$I91), AND('ProductSprint Backlog'!$J91=Q$2,'ProductSprint Backlog'!$I91=Q$2), 'ProductSprint Backlog'!$F91, TRUE, 0)</f>
        <v>0</v>
      </c>
    </row>
    <row r="92" spans="2:17" x14ac:dyDescent="0.2">
      <c r="B92" s="4" cm="1">
        <f t="array" ref="B92">_xlfn.IFS('ProductSprint Backlog'!$F92="", "", AND('ProductSprint Backlog'!$J92&gt;B$2,'ProductSprint Backlog'!$I92&lt;=B$2), 'ProductSprint Backlog'!$F92 / MAX(1, 'ProductSprint Backlog'!$J92-'ProductSprint Backlog'!$I92), AND('ProductSprint Backlog'!$J92=B$2,'ProductSprint Backlog'!$I92=B$2), 'ProductSprint Backlog'!$F92, TRUE, 0)</f>
        <v>0</v>
      </c>
      <c r="C92" s="4" cm="1">
        <f t="array" ref="C92">_xlfn.IFS('ProductSprint Backlog'!$F92="", "", AND('ProductSprint Backlog'!$J92&gt;C$2,'ProductSprint Backlog'!$I92&lt;=C$2), 'ProductSprint Backlog'!$F92 / MAX(1, 'ProductSprint Backlog'!$J92-'ProductSprint Backlog'!$I92), AND('ProductSprint Backlog'!$J92=C$2,'ProductSprint Backlog'!$I92=C$2), 'ProductSprint Backlog'!$F92, TRUE, 0)</f>
        <v>0</v>
      </c>
      <c r="D92" s="4" cm="1">
        <f t="array" ref="D92">_xlfn.IFS('ProductSprint Backlog'!$F92="", "", AND('ProductSprint Backlog'!$J92&gt;D$2,'ProductSprint Backlog'!$I92&lt;=D$2), 'ProductSprint Backlog'!$F92 / MAX(1, 'ProductSprint Backlog'!$J92-'ProductSprint Backlog'!$I92), AND('ProductSprint Backlog'!$J92=D$2,'ProductSprint Backlog'!$I92=D$2), 'ProductSprint Backlog'!$F92, TRUE, 0)</f>
        <v>0</v>
      </c>
      <c r="E92" s="4" cm="1">
        <f t="array" ref="E92">_xlfn.IFS('ProductSprint Backlog'!$F92="", "", AND('ProductSprint Backlog'!$J92&gt;E$2,'ProductSprint Backlog'!$I92&lt;=E$2), 'ProductSprint Backlog'!$F92 / MAX(1, 'ProductSprint Backlog'!$J92-'ProductSprint Backlog'!$I92), AND('ProductSprint Backlog'!$J92=E$2,'ProductSprint Backlog'!$I92=E$2), 'ProductSprint Backlog'!$F92, TRUE, 0)</f>
        <v>0</v>
      </c>
      <c r="F92" s="4" cm="1">
        <f t="array" ref="F92">_xlfn.IFS('ProductSprint Backlog'!$F92="", "", AND('ProductSprint Backlog'!$J92&gt;F$2,'ProductSprint Backlog'!$I92&lt;=F$2), 'ProductSprint Backlog'!$F92 / MAX(1, 'ProductSprint Backlog'!$J92-'ProductSprint Backlog'!$I92), AND('ProductSprint Backlog'!$J92=F$2,'ProductSprint Backlog'!$I92=F$2), 'ProductSprint Backlog'!$F92, TRUE, 0)</f>
        <v>0</v>
      </c>
      <c r="G92" s="4" cm="1">
        <f t="array" ref="G92">_xlfn.IFS('ProductSprint Backlog'!$F92="", "", AND('ProductSprint Backlog'!$J92&gt;G$2,'ProductSprint Backlog'!$I92&lt;=G$2), 'ProductSprint Backlog'!$F92 / MAX(1, 'ProductSprint Backlog'!$J92-'ProductSprint Backlog'!$I92), AND('ProductSprint Backlog'!$J92=G$2,'ProductSprint Backlog'!$I92=G$2), 'ProductSprint Backlog'!$F92, TRUE, 0)</f>
        <v>0</v>
      </c>
      <c r="H92" s="4" cm="1">
        <f t="array" ref="H92">_xlfn.IFS('ProductSprint Backlog'!$F92="", "", AND('ProductSprint Backlog'!$J92&gt;H$2,'ProductSprint Backlog'!$I92&lt;=H$2), 'ProductSprint Backlog'!$F92 / MAX(1, 'ProductSprint Backlog'!$J92-'ProductSprint Backlog'!$I92), AND('ProductSprint Backlog'!$J92=H$2,'ProductSprint Backlog'!$I92=H$2), 'ProductSprint Backlog'!$F92, TRUE, 0)</f>
        <v>0</v>
      </c>
      <c r="I92" s="4" cm="1">
        <f t="array" ref="I92">_xlfn.IFS('ProductSprint Backlog'!$F92="", "", AND('ProductSprint Backlog'!$J92&gt;I$2,'ProductSprint Backlog'!$I92&lt;=I$2), 'ProductSprint Backlog'!$F92 / MAX(1, 'ProductSprint Backlog'!$J92-'ProductSprint Backlog'!$I92), AND('ProductSprint Backlog'!$J92=I$2,'ProductSprint Backlog'!$I92=I$2), 'ProductSprint Backlog'!$F92, TRUE, 0)</f>
        <v>0</v>
      </c>
      <c r="J92" s="4" cm="1">
        <f t="array" ref="J92">_xlfn.IFS('ProductSprint Backlog'!$F92="", "", AND('ProductSprint Backlog'!$J92&gt;J$2,'ProductSprint Backlog'!$I92&lt;=J$2), 'ProductSprint Backlog'!$F92 / MAX(1, 'ProductSprint Backlog'!$J92-'ProductSprint Backlog'!$I92), AND('ProductSprint Backlog'!$J92=J$2,'ProductSprint Backlog'!$I92=J$2), 'ProductSprint Backlog'!$F92, TRUE, 0)</f>
        <v>0</v>
      </c>
      <c r="K92" s="4" cm="1">
        <f t="array" ref="K92">_xlfn.IFS('ProductSprint Backlog'!$F92="", "", AND('ProductSprint Backlog'!$J92&gt;K$2,'ProductSprint Backlog'!$I92&lt;=K$2), 'ProductSprint Backlog'!$F92 / MAX(1, 'ProductSprint Backlog'!$J92-'ProductSprint Backlog'!$I92), AND('ProductSprint Backlog'!$J92=K$2,'ProductSprint Backlog'!$I92=K$2), 'ProductSprint Backlog'!$F92, TRUE, 0)</f>
        <v>0</v>
      </c>
      <c r="L92" s="4" cm="1">
        <f t="array" ref="L92">_xlfn.IFS('ProductSprint Backlog'!$F92="", "", AND('ProductSprint Backlog'!$J92&gt;L$2,'ProductSprint Backlog'!$I92&lt;=L$2), 'ProductSprint Backlog'!$F92 / MAX(1, 'ProductSprint Backlog'!$J92-'ProductSprint Backlog'!$I92), AND('ProductSprint Backlog'!$J92=L$2,'ProductSprint Backlog'!$I92=L$2), 'ProductSprint Backlog'!$F92, TRUE, 0)</f>
        <v>0</v>
      </c>
      <c r="M92" s="4" cm="1">
        <f t="array" ref="M92">_xlfn.IFS('ProductSprint Backlog'!$F92="", "", AND('ProductSprint Backlog'!$J92&gt;M$2,'ProductSprint Backlog'!$I92&lt;=M$2), 'ProductSprint Backlog'!$F92 / MAX(1, 'ProductSprint Backlog'!$J92-'ProductSprint Backlog'!$I92), AND('ProductSprint Backlog'!$J92=M$2,'ProductSprint Backlog'!$I92=M$2), 'ProductSprint Backlog'!$F92, TRUE, 0)</f>
        <v>0</v>
      </c>
      <c r="N92" s="4" cm="1">
        <f t="array" ref="N92">_xlfn.IFS('ProductSprint Backlog'!$F92="", "", AND('ProductSprint Backlog'!$J92&gt;N$2,'ProductSprint Backlog'!$I92&lt;=N$2), 'ProductSprint Backlog'!$F92 / MAX(1, 'ProductSprint Backlog'!$J92-'ProductSprint Backlog'!$I92), AND('ProductSprint Backlog'!$J92=N$2,'ProductSprint Backlog'!$I92=N$2), 'ProductSprint Backlog'!$F92, TRUE, 0)</f>
        <v>0</v>
      </c>
      <c r="O92" s="4" cm="1">
        <f t="array" ref="O92">_xlfn.IFS('ProductSprint Backlog'!$F92="", "", AND('ProductSprint Backlog'!$J92&gt;O$2,'ProductSprint Backlog'!$I92&lt;=O$2), 'ProductSprint Backlog'!$F92 / MAX(1, 'ProductSprint Backlog'!$J92-'ProductSprint Backlog'!$I92), AND('ProductSprint Backlog'!$J92=O$2,'ProductSprint Backlog'!$I92=O$2), 'ProductSprint Backlog'!$F92, TRUE, 0)</f>
        <v>0</v>
      </c>
      <c r="P92" s="4" cm="1">
        <f t="array" ref="P92">_xlfn.IFS('ProductSprint Backlog'!$F92="", "", AND('ProductSprint Backlog'!$J92&gt;P$2,'ProductSprint Backlog'!$I92&lt;=P$2), 'ProductSprint Backlog'!$F92 / MAX(1, 'ProductSprint Backlog'!$J92-'ProductSprint Backlog'!$I92), AND('ProductSprint Backlog'!$J92=P$2,'ProductSprint Backlog'!$I92=P$2), 'ProductSprint Backlog'!$F92, TRUE, 0)</f>
        <v>0</v>
      </c>
      <c r="Q92" s="4" cm="1">
        <f t="array" ref="Q92">_xlfn.IFS('ProductSprint Backlog'!$F92="", "", AND('ProductSprint Backlog'!$J92&gt;Q$2,'ProductSprint Backlog'!$I92&lt;=Q$2), 'ProductSprint Backlog'!$F92 / MAX(1, 'ProductSprint Backlog'!$J92-'ProductSprint Backlog'!$I92), AND('ProductSprint Backlog'!$J92=Q$2,'ProductSprint Backlog'!$I92=Q$2), 'ProductSprint Backlog'!$F92, TRUE, 0)</f>
        <v>0</v>
      </c>
    </row>
    <row r="93" spans="2:17" x14ac:dyDescent="0.2">
      <c r="B93" s="4" cm="1">
        <f t="array" ref="B93">_xlfn.IFS('ProductSprint Backlog'!$F93="", "", AND('ProductSprint Backlog'!$J93&gt;B$2,'ProductSprint Backlog'!$I93&lt;=B$2), 'ProductSprint Backlog'!$F93 / MAX(1, 'ProductSprint Backlog'!$J93-'ProductSprint Backlog'!$I93), AND('ProductSprint Backlog'!$J93=B$2,'ProductSprint Backlog'!$I93=B$2), 'ProductSprint Backlog'!$F93, TRUE, 0)</f>
        <v>0</v>
      </c>
      <c r="C93" s="4" cm="1">
        <f t="array" ref="C93">_xlfn.IFS('ProductSprint Backlog'!$F93="", "", AND('ProductSprint Backlog'!$J93&gt;C$2,'ProductSprint Backlog'!$I93&lt;=C$2), 'ProductSprint Backlog'!$F93 / MAX(1, 'ProductSprint Backlog'!$J93-'ProductSprint Backlog'!$I93), AND('ProductSprint Backlog'!$J93=C$2,'ProductSprint Backlog'!$I93=C$2), 'ProductSprint Backlog'!$F93, TRUE, 0)</f>
        <v>0</v>
      </c>
      <c r="D93" s="4" cm="1">
        <f t="array" ref="D93">_xlfn.IFS('ProductSprint Backlog'!$F93="", "", AND('ProductSprint Backlog'!$J93&gt;D$2,'ProductSprint Backlog'!$I93&lt;=D$2), 'ProductSprint Backlog'!$F93 / MAX(1, 'ProductSprint Backlog'!$J93-'ProductSprint Backlog'!$I93), AND('ProductSprint Backlog'!$J93=D$2,'ProductSprint Backlog'!$I93=D$2), 'ProductSprint Backlog'!$F93, TRUE, 0)</f>
        <v>0</v>
      </c>
      <c r="E93" s="4" cm="1">
        <f t="array" ref="E93">_xlfn.IFS('ProductSprint Backlog'!$F93="", "", AND('ProductSprint Backlog'!$J93&gt;E$2,'ProductSprint Backlog'!$I93&lt;=E$2), 'ProductSprint Backlog'!$F93 / MAX(1, 'ProductSprint Backlog'!$J93-'ProductSprint Backlog'!$I93), AND('ProductSprint Backlog'!$J93=E$2,'ProductSprint Backlog'!$I93=E$2), 'ProductSprint Backlog'!$F93, TRUE, 0)</f>
        <v>0</v>
      </c>
      <c r="F93" s="4" cm="1">
        <f t="array" ref="F93">_xlfn.IFS('ProductSprint Backlog'!$F93="", "", AND('ProductSprint Backlog'!$J93&gt;F$2,'ProductSprint Backlog'!$I93&lt;=F$2), 'ProductSprint Backlog'!$F93 / MAX(1, 'ProductSprint Backlog'!$J93-'ProductSprint Backlog'!$I93), AND('ProductSprint Backlog'!$J93=F$2,'ProductSprint Backlog'!$I93=F$2), 'ProductSprint Backlog'!$F93, TRUE, 0)</f>
        <v>0</v>
      </c>
      <c r="G93" s="4" cm="1">
        <f t="array" ref="G93">_xlfn.IFS('ProductSprint Backlog'!$F93="", "", AND('ProductSprint Backlog'!$J93&gt;G$2,'ProductSprint Backlog'!$I93&lt;=G$2), 'ProductSprint Backlog'!$F93 / MAX(1, 'ProductSprint Backlog'!$J93-'ProductSprint Backlog'!$I93), AND('ProductSprint Backlog'!$J93=G$2,'ProductSprint Backlog'!$I93=G$2), 'ProductSprint Backlog'!$F93, TRUE, 0)</f>
        <v>0</v>
      </c>
      <c r="H93" s="4" cm="1">
        <f t="array" ref="H93">_xlfn.IFS('ProductSprint Backlog'!$F93="", "", AND('ProductSprint Backlog'!$J93&gt;H$2,'ProductSprint Backlog'!$I93&lt;=H$2), 'ProductSprint Backlog'!$F93 / MAX(1, 'ProductSprint Backlog'!$J93-'ProductSprint Backlog'!$I93), AND('ProductSprint Backlog'!$J93=H$2,'ProductSprint Backlog'!$I93=H$2), 'ProductSprint Backlog'!$F93, TRUE, 0)</f>
        <v>0</v>
      </c>
      <c r="I93" s="4" cm="1">
        <f t="array" ref="I93">_xlfn.IFS('ProductSprint Backlog'!$F93="", "", AND('ProductSprint Backlog'!$J93&gt;I$2,'ProductSprint Backlog'!$I93&lt;=I$2), 'ProductSprint Backlog'!$F93 / MAX(1, 'ProductSprint Backlog'!$J93-'ProductSprint Backlog'!$I93), AND('ProductSprint Backlog'!$J93=I$2,'ProductSprint Backlog'!$I93=I$2), 'ProductSprint Backlog'!$F93, TRUE, 0)</f>
        <v>0</v>
      </c>
      <c r="J93" s="4" cm="1">
        <f t="array" ref="J93">_xlfn.IFS('ProductSprint Backlog'!$F93="", "", AND('ProductSprint Backlog'!$J93&gt;J$2,'ProductSprint Backlog'!$I93&lt;=J$2), 'ProductSprint Backlog'!$F93 / MAX(1, 'ProductSprint Backlog'!$J93-'ProductSprint Backlog'!$I93), AND('ProductSprint Backlog'!$J93=J$2,'ProductSprint Backlog'!$I93=J$2), 'ProductSprint Backlog'!$F93, TRUE, 0)</f>
        <v>0</v>
      </c>
      <c r="K93" s="4" cm="1">
        <f t="array" ref="K93">_xlfn.IFS('ProductSprint Backlog'!$F93="", "", AND('ProductSprint Backlog'!$J93&gt;K$2,'ProductSprint Backlog'!$I93&lt;=K$2), 'ProductSprint Backlog'!$F93 / MAX(1, 'ProductSprint Backlog'!$J93-'ProductSprint Backlog'!$I93), AND('ProductSprint Backlog'!$J93=K$2,'ProductSprint Backlog'!$I93=K$2), 'ProductSprint Backlog'!$F93, TRUE, 0)</f>
        <v>0</v>
      </c>
      <c r="L93" s="4" cm="1">
        <f t="array" ref="L93">_xlfn.IFS('ProductSprint Backlog'!$F93="", "", AND('ProductSprint Backlog'!$J93&gt;L$2,'ProductSprint Backlog'!$I93&lt;=L$2), 'ProductSprint Backlog'!$F93 / MAX(1, 'ProductSprint Backlog'!$J93-'ProductSprint Backlog'!$I93), AND('ProductSprint Backlog'!$J93=L$2,'ProductSprint Backlog'!$I93=L$2), 'ProductSprint Backlog'!$F93, TRUE, 0)</f>
        <v>0</v>
      </c>
      <c r="M93" s="4" cm="1">
        <f t="array" ref="M93">_xlfn.IFS('ProductSprint Backlog'!$F93="", "", AND('ProductSprint Backlog'!$J93&gt;M$2,'ProductSprint Backlog'!$I93&lt;=M$2), 'ProductSprint Backlog'!$F93 / MAX(1, 'ProductSprint Backlog'!$J93-'ProductSprint Backlog'!$I93), AND('ProductSprint Backlog'!$J93=M$2,'ProductSprint Backlog'!$I93=M$2), 'ProductSprint Backlog'!$F93, TRUE, 0)</f>
        <v>0</v>
      </c>
      <c r="N93" s="4" cm="1">
        <f t="array" ref="N93">_xlfn.IFS('ProductSprint Backlog'!$F93="", "", AND('ProductSprint Backlog'!$J93&gt;N$2,'ProductSprint Backlog'!$I93&lt;=N$2), 'ProductSprint Backlog'!$F93 / MAX(1, 'ProductSprint Backlog'!$J93-'ProductSprint Backlog'!$I93), AND('ProductSprint Backlog'!$J93=N$2,'ProductSprint Backlog'!$I93=N$2), 'ProductSprint Backlog'!$F93, TRUE, 0)</f>
        <v>0</v>
      </c>
      <c r="O93" s="4" cm="1">
        <f t="array" ref="O93">_xlfn.IFS('ProductSprint Backlog'!$F93="", "", AND('ProductSprint Backlog'!$J93&gt;O$2,'ProductSprint Backlog'!$I93&lt;=O$2), 'ProductSprint Backlog'!$F93 / MAX(1, 'ProductSprint Backlog'!$J93-'ProductSprint Backlog'!$I93), AND('ProductSprint Backlog'!$J93=O$2,'ProductSprint Backlog'!$I93=O$2), 'ProductSprint Backlog'!$F93, TRUE, 0)</f>
        <v>0</v>
      </c>
      <c r="P93" s="4" cm="1">
        <f t="array" ref="P93">_xlfn.IFS('ProductSprint Backlog'!$F93="", "", AND('ProductSprint Backlog'!$J93&gt;P$2,'ProductSprint Backlog'!$I93&lt;=P$2), 'ProductSprint Backlog'!$F93 / MAX(1, 'ProductSprint Backlog'!$J93-'ProductSprint Backlog'!$I93), AND('ProductSprint Backlog'!$J93=P$2,'ProductSprint Backlog'!$I93=P$2), 'ProductSprint Backlog'!$F93, TRUE, 0)</f>
        <v>0</v>
      </c>
      <c r="Q93" s="4" cm="1">
        <f t="array" ref="Q93">_xlfn.IFS('ProductSprint Backlog'!$F93="", "", AND('ProductSprint Backlog'!$J93&gt;Q$2,'ProductSprint Backlog'!$I93&lt;=Q$2), 'ProductSprint Backlog'!$F93 / MAX(1, 'ProductSprint Backlog'!$J93-'ProductSprint Backlog'!$I93), AND('ProductSprint Backlog'!$J93=Q$2,'ProductSprint Backlog'!$I93=Q$2), 'ProductSprint Backlog'!$F93, TRUE, 0)</f>
        <v>0</v>
      </c>
    </row>
    <row r="94" spans="2:17" x14ac:dyDescent="0.2">
      <c r="B94" s="4" cm="1">
        <f t="array" ref="B94">_xlfn.IFS('ProductSprint Backlog'!$F94="", "", AND('ProductSprint Backlog'!$J94&gt;B$2,'ProductSprint Backlog'!$I94&lt;=B$2), 'ProductSprint Backlog'!$F94 / MAX(1, 'ProductSprint Backlog'!$J94-'ProductSprint Backlog'!$I94), AND('ProductSprint Backlog'!$J94=B$2,'ProductSprint Backlog'!$I94=B$2), 'ProductSprint Backlog'!$F94, TRUE, 0)</f>
        <v>0</v>
      </c>
      <c r="C94" s="4" cm="1">
        <f t="array" ref="C94">_xlfn.IFS('ProductSprint Backlog'!$F94="", "", AND('ProductSprint Backlog'!$J94&gt;C$2,'ProductSprint Backlog'!$I94&lt;=C$2), 'ProductSprint Backlog'!$F94 / MAX(1, 'ProductSprint Backlog'!$J94-'ProductSprint Backlog'!$I94), AND('ProductSprint Backlog'!$J94=C$2,'ProductSprint Backlog'!$I94=C$2), 'ProductSprint Backlog'!$F94, TRUE, 0)</f>
        <v>0</v>
      </c>
      <c r="D94" s="4" cm="1">
        <f t="array" ref="D94">_xlfn.IFS('ProductSprint Backlog'!$F94="", "", AND('ProductSprint Backlog'!$J94&gt;D$2,'ProductSprint Backlog'!$I94&lt;=D$2), 'ProductSprint Backlog'!$F94 / MAX(1, 'ProductSprint Backlog'!$J94-'ProductSprint Backlog'!$I94), AND('ProductSprint Backlog'!$J94=D$2,'ProductSprint Backlog'!$I94=D$2), 'ProductSprint Backlog'!$F94, TRUE, 0)</f>
        <v>0</v>
      </c>
      <c r="E94" s="4" cm="1">
        <f t="array" ref="E94">_xlfn.IFS('ProductSprint Backlog'!$F94="", "", AND('ProductSprint Backlog'!$J94&gt;E$2,'ProductSprint Backlog'!$I94&lt;=E$2), 'ProductSprint Backlog'!$F94 / MAX(1, 'ProductSprint Backlog'!$J94-'ProductSprint Backlog'!$I94), AND('ProductSprint Backlog'!$J94=E$2,'ProductSprint Backlog'!$I94=E$2), 'ProductSprint Backlog'!$F94, TRUE, 0)</f>
        <v>0</v>
      </c>
      <c r="F94" s="4" cm="1">
        <f t="array" ref="F94">_xlfn.IFS('ProductSprint Backlog'!$F94="", "", AND('ProductSprint Backlog'!$J94&gt;F$2,'ProductSprint Backlog'!$I94&lt;=F$2), 'ProductSprint Backlog'!$F94 / MAX(1, 'ProductSprint Backlog'!$J94-'ProductSprint Backlog'!$I94), AND('ProductSprint Backlog'!$J94=F$2,'ProductSprint Backlog'!$I94=F$2), 'ProductSprint Backlog'!$F94, TRUE, 0)</f>
        <v>0</v>
      </c>
      <c r="G94" s="4" cm="1">
        <f t="array" ref="G94">_xlfn.IFS('ProductSprint Backlog'!$F94="", "", AND('ProductSprint Backlog'!$J94&gt;G$2,'ProductSprint Backlog'!$I94&lt;=G$2), 'ProductSprint Backlog'!$F94 / MAX(1, 'ProductSprint Backlog'!$J94-'ProductSprint Backlog'!$I94), AND('ProductSprint Backlog'!$J94=G$2,'ProductSprint Backlog'!$I94=G$2), 'ProductSprint Backlog'!$F94, TRUE, 0)</f>
        <v>0</v>
      </c>
      <c r="H94" s="4" cm="1">
        <f t="array" ref="H94">_xlfn.IFS('ProductSprint Backlog'!$F94="", "", AND('ProductSprint Backlog'!$J94&gt;H$2,'ProductSprint Backlog'!$I94&lt;=H$2), 'ProductSprint Backlog'!$F94 / MAX(1, 'ProductSprint Backlog'!$J94-'ProductSprint Backlog'!$I94), AND('ProductSprint Backlog'!$J94=H$2,'ProductSprint Backlog'!$I94=H$2), 'ProductSprint Backlog'!$F94, TRUE, 0)</f>
        <v>0</v>
      </c>
      <c r="I94" s="4" cm="1">
        <f t="array" ref="I94">_xlfn.IFS('ProductSprint Backlog'!$F94="", "", AND('ProductSprint Backlog'!$J94&gt;I$2,'ProductSprint Backlog'!$I94&lt;=I$2), 'ProductSprint Backlog'!$F94 / MAX(1, 'ProductSprint Backlog'!$J94-'ProductSprint Backlog'!$I94), AND('ProductSprint Backlog'!$J94=I$2,'ProductSprint Backlog'!$I94=I$2), 'ProductSprint Backlog'!$F94, TRUE, 0)</f>
        <v>0</v>
      </c>
      <c r="J94" s="4" cm="1">
        <f t="array" ref="J94">_xlfn.IFS('ProductSprint Backlog'!$F94="", "", AND('ProductSprint Backlog'!$J94&gt;J$2,'ProductSprint Backlog'!$I94&lt;=J$2), 'ProductSprint Backlog'!$F94 / MAX(1, 'ProductSprint Backlog'!$J94-'ProductSprint Backlog'!$I94), AND('ProductSprint Backlog'!$J94=J$2,'ProductSprint Backlog'!$I94=J$2), 'ProductSprint Backlog'!$F94, TRUE, 0)</f>
        <v>0</v>
      </c>
      <c r="K94" s="4" cm="1">
        <f t="array" ref="K94">_xlfn.IFS('ProductSprint Backlog'!$F94="", "", AND('ProductSprint Backlog'!$J94&gt;K$2,'ProductSprint Backlog'!$I94&lt;=K$2), 'ProductSprint Backlog'!$F94 / MAX(1, 'ProductSprint Backlog'!$J94-'ProductSprint Backlog'!$I94), AND('ProductSprint Backlog'!$J94=K$2,'ProductSprint Backlog'!$I94=K$2), 'ProductSprint Backlog'!$F94, TRUE, 0)</f>
        <v>0</v>
      </c>
      <c r="L94" s="4" cm="1">
        <f t="array" ref="L94">_xlfn.IFS('ProductSprint Backlog'!$F94="", "", AND('ProductSprint Backlog'!$J94&gt;L$2,'ProductSprint Backlog'!$I94&lt;=L$2), 'ProductSprint Backlog'!$F94 / MAX(1, 'ProductSprint Backlog'!$J94-'ProductSprint Backlog'!$I94), AND('ProductSprint Backlog'!$J94=L$2,'ProductSprint Backlog'!$I94=L$2), 'ProductSprint Backlog'!$F94, TRUE, 0)</f>
        <v>0</v>
      </c>
      <c r="M94" s="4" cm="1">
        <f t="array" ref="M94">_xlfn.IFS('ProductSprint Backlog'!$F94="", "", AND('ProductSprint Backlog'!$J94&gt;M$2,'ProductSprint Backlog'!$I94&lt;=M$2), 'ProductSprint Backlog'!$F94 / MAX(1, 'ProductSprint Backlog'!$J94-'ProductSprint Backlog'!$I94), AND('ProductSprint Backlog'!$J94=M$2,'ProductSprint Backlog'!$I94=M$2), 'ProductSprint Backlog'!$F94, TRUE, 0)</f>
        <v>0</v>
      </c>
      <c r="N94" s="4" cm="1">
        <f t="array" ref="N94">_xlfn.IFS('ProductSprint Backlog'!$F94="", "", AND('ProductSprint Backlog'!$J94&gt;N$2,'ProductSprint Backlog'!$I94&lt;=N$2), 'ProductSprint Backlog'!$F94 / MAX(1, 'ProductSprint Backlog'!$J94-'ProductSprint Backlog'!$I94), AND('ProductSprint Backlog'!$J94=N$2,'ProductSprint Backlog'!$I94=N$2), 'ProductSprint Backlog'!$F94, TRUE, 0)</f>
        <v>0</v>
      </c>
      <c r="O94" s="4" cm="1">
        <f t="array" ref="O94">_xlfn.IFS('ProductSprint Backlog'!$F94="", "", AND('ProductSprint Backlog'!$J94&gt;O$2,'ProductSprint Backlog'!$I94&lt;=O$2), 'ProductSprint Backlog'!$F94 / MAX(1, 'ProductSprint Backlog'!$J94-'ProductSprint Backlog'!$I94), AND('ProductSprint Backlog'!$J94=O$2,'ProductSprint Backlog'!$I94=O$2), 'ProductSprint Backlog'!$F94, TRUE, 0)</f>
        <v>0</v>
      </c>
      <c r="P94" s="4" cm="1">
        <f t="array" ref="P94">_xlfn.IFS('ProductSprint Backlog'!$F94="", "", AND('ProductSprint Backlog'!$J94&gt;P$2,'ProductSprint Backlog'!$I94&lt;=P$2), 'ProductSprint Backlog'!$F94 / MAX(1, 'ProductSprint Backlog'!$J94-'ProductSprint Backlog'!$I94), AND('ProductSprint Backlog'!$J94=P$2,'ProductSprint Backlog'!$I94=P$2), 'ProductSprint Backlog'!$F94, TRUE, 0)</f>
        <v>0</v>
      </c>
      <c r="Q94" s="4" cm="1">
        <f t="array" ref="Q94">_xlfn.IFS('ProductSprint Backlog'!$F94="", "", AND('ProductSprint Backlog'!$J94&gt;Q$2,'ProductSprint Backlog'!$I94&lt;=Q$2), 'ProductSprint Backlog'!$F94 / MAX(1, 'ProductSprint Backlog'!$J94-'ProductSprint Backlog'!$I94), AND('ProductSprint Backlog'!$J94=Q$2,'ProductSprint Backlog'!$I94=Q$2), 'ProductSprint Backlog'!$F94, TRUE, 0)</f>
        <v>0</v>
      </c>
    </row>
    <row r="95" spans="2:17" x14ac:dyDescent="0.2">
      <c r="B95" s="4" cm="1">
        <f t="array" ref="B95">_xlfn.IFS('ProductSprint Backlog'!$F95="", "", AND('ProductSprint Backlog'!$J95&gt;B$2,'ProductSprint Backlog'!$I95&lt;=B$2), 'ProductSprint Backlog'!$F95 / MAX(1, 'ProductSprint Backlog'!$J95-'ProductSprint Backlog'!$I95), AND('ProductSprint Backlog'!$J95=B$2,'ProductSprint Backlog'!$I95=B$2), 'ProductSprint Backlog'!$F95, TRUE, 0)</f>
        <v>0</v>
      </c>
      <c r="C95" s="4" cm="1">
        <f t="array" ref="C95">_xlfn.IFS('ProductSprint Backlog'!$F95="", "", AND('ProductSprint Backlog'!$J95&gt;C$2,'ProductSprint Backlog'!$I95&lt;=C$2), 'ProductSprint Backlog'!$F95 / MAX(1, 'ProductSprint Backlog'!$J95-'ProductSprint Backlog'!$I95), AND('ProductSprint Backlog'!$J95=C$2,'ProductSprint Backlog'!$I95=C$2), 'ProductSprint Backlog'!$F95, TRUE, 0)</f>
        <v>0</v>
      </c>
      <c r="D95" s="4" cm="1">
        <f t="array" ref="D95">_xlfn.IFS('ProductSprint Backlog'!$F95="", "", AND('ProductSprint Backlog'!$J95&gt;D$2,'ProductSprint Backlog'!$I95&lt;=D$2), 'ProductSprint Backlog'!$F95 / MAX(1, 'ProductSprint Backlog'!$J95-'ProductSprint Backlog'!$I95), AND('ProductSprint Backlog'!$J95=D$2,'ProductSprint Backlog'!$I95=D$2), 'ProductSprint Backlog'!$F95, TRUE, 0)</f>
        <v>0</v>
      </c>
      <c r="E95" s="4" cm="1">
        <f t="array" ref="E95">_xlfn.IFS('ProductSprint Backlog'!$F95="", "", AND('ProductSprint Backlog'!$J95&gt;E$2,'ProductSprint Backlog'!$I95&lt;=E$2), 'ProductSprint Backlog'!$F95 / MAX(1, 'ProductSprint Backlog'!$J95-'ProductSprint Backlog'!$I95), AND('ProductSprint Backlog'!$J95=E$2,'ProductSprint Backlog'!$I95=E$2), 'ProductSprint Backlog'!$F95, TRUE, 0)</f>
        <v>0</v>
      </c>
      <c r="F95" s="4" cm="1">
        <f t="array" ref="F95">_xlfn.IFS('ProductSprint Backlog'!$F95="", "", AND('ProductSprint Backlog'!$J95&gt;F$2,'ProductSprint Backlog'!$I95&lt;=F$2), 'ProductSprint Backlog'!$F95 / MAX(1, 'ProductSprint Backlog'!$J95-'ProductSprint Backlog'!$I95), AND('ProductSprint Backlog'!$J95=F$2,'ProductSprint Backlog'!$I95=F$2), 'ProductSprint Backlog'!$F95, TRUE, 0)</f>
        <v>0</v>
      </c>
      <c r="G95" s="4" cm="1">
        <f t="array" ref="G95">_xlfn.IFS('ProductSprint Backlog'!$F95="", "", AND('ProductSprint Backlog'!$J95&gt;G$2,'ProductSprint Backlog'!$I95&lt;=G$2), 'ProductSprint Backlog'!$F95 / MAX(1, 'ProductSprint Backlog'!$J95-'ProductSprint Backlog'!$I95), AND('ProductSprint Backlog'!$J95=G$2,'ProductSprint Backlog'!$I95=G$2), 'ProductSprint Backlog'!$F95, TRUE, 0)</f>
        <v>0</v>
      </c>
      <c r="H95" s="4" cm="1">
        <f t="array" ref="H95">_xlfn.IFS('ProductSprint Backlog'!$F95="", "", AND('ProductSprint Backlog'!$J95&gt;H$2,'ProductSprint Backlog'!$I95&lt;=H$2), 'ProductSprint Backlog'!$F95 / MAX(1, 'ProductSprint Backlog'!$J95-'ProductSprint Backlog'!$I95), AND('ProductSprint Backlog'!$J95=H$2,'ProductSprint Backlog'!$I95=H$2), 'ProductSprint Backlog'!$F95, TRUE, 0)</f>
        <v>0</v>
      </c>
      <c r="I95" s="4" cm="1">
        <f t="array" ref="I95">_xlfn.IFS('ProductSprint Backlog'!$F95="", "", AND('ProductSprint Backlog'!$J95&gt;I$2,'ProductSprint Backlog'!$I95&lt;=I$2), 'ProductSprint Backlog'!$F95 / MAX(1, 'ProductSprint Backlog'!$J95-'ProductSprint Backlog'!$I95), AND('ProductSprint Backlog'!$J95=I$2,'ProductSprint Backlog'!$I95=I$2), 'ProductSprint Backlog'!$F95, TRUE, 0)</f>
        <v>0</v>
      </c>
      <c r="J95" s="4" cm="1">
        <f t="array" ref="J95">_xlfn.IFS('ProductSprint Backlog'!$F95="", "", AND('ProductSprint Backlog'!$J95&gt;J$2,'ProductSprint Backlog'!$I95&lt;=J$2), 'ProductSprint Backlog'!$F95 / MAX(1, 'ProductSprint Backlog'!$J95-'ProductSprint Backlog'!$I95), AND('ProductSprint Backlog'!$J95=J$2,'ProductSprint Backlog'!$I95=J$2), 'ProductSprint Backlog'!$F95, TRUE, 0)</f>
        <v>0</v>
      </c>
      <c r="K95" s="4" cm="1">
        <f t="array" ref="K95">_xlfn.IFS('ProductSprint Backlog'!$F95="", "", AND('ProductSprint Backlog'!$J95&gt;K$2,'ProductSprint Backlog'!$I95&lt;=K$2), 'ProductSprint Backlog'!$F95 / MAX(1, 'ProductSprint Backlog'!$J95-'ProductSprint Backlog'!$I95), AND('ProductSprint Backlog'!$J95=K$2,'ProductSprint Backlog'!$I95=K$2), 'ProductSprint Backlog'!$F95, TRUE, 0)</f>
        <v>0</v>
      </c>
      <c r="L95" s="4" cm="1">
        <f t="array" ref="L95">_xlfn.IFS('ProductSprint Backlog'!$F95="", "", AND('ProductSprint Backlog'!$J95&gt;L$2,'ProductSprint Backlog'!$I95&lt;=L$2), 'ProductSprint Backlog'!$F95 / MAX(1, 'ProductSprint Backlog'!$J95-'ProductSprint Backlog'!$I95), AND('ProductSprint Backlog'!$J95=L$2,'ProductSprint Backlog'!$I95=L$2), 'ProductSprint Backlog'!$F95, TRUE, 0)</f>
        <v>0</v>
      </c>
      <c r="M95" s="4" cm="1">
        <f t="array" ref="M95">_xlfn.IFS('ProductSprint Backlog'!$F95="", "", AND('ProductSprint Backlog'!$J95&gt;M$2,'ProductSprint Backlog'!$I95&lt;=M$2), 'ProductSprint Backlog'!$F95 / MAX(1, 'ProductSprint Backlog'!$J95-'ProductSprint Backlog'!$I95), AND('ProductSprint Backlog'!$J95=M$2,'ProductSprint Backlog'!$I95=M$2), 'ProductSprint Backlog'!$F95, TRUE, 0)</f>
        <v>0</v>
      </c>
      <c r="N95" s="4" cm="1">
        <f t="array" ref="N95">_xlfn.IFS('ProductSprint Backlog'!$F95="", "", AND('ProductSprint Backlog'!$J95&gt;N$2,'ProductSprint Backlog'!$I95&lt;=N$2), 'ProductSprint Backlog'!$F95 / MAX(1, 'ProductSprint Backlog'!$J95-'ProductSprint Backlog'!$I95), AND('ProductSprint Backlog'!$J95=N$2,'ProductSprint Backlog'!$I95=N$2), 'ProductSprint Backlog'!$F95, TRUE, 0)</f>
        <v>0</v>
      </c>
      <c r="O95" s="4" cm="1">
        <f t="array" ref="O95">_xlfn.IFS('ProductSprint Backlog'!$F95="", "", AND('ProductSprint Backlog'!$J95&gt;O$2,'ProductSprint Backlog'!$I95&lt;=O$2), 'ProductSprint Backlog'!$F95 / MAX(1, 'ProductSprint Backlog'!$J95-'ProductSprint Backlog'!$I95), AND('ProductSprint Backlog'!$J95=O$2,'ProductSprint Backlog'!$I95=O$2), 'ProductSprint Backlog'!$F95, TRUE, 0)</f>
        <v>0</v>
      </c>
      <c r="P95" s="4" cm="1">
        <f t="array" ref="P95">_xlfn.IFS('ProductSprint Backlog'!$F95="", "", AND('ProductSprint Backlog'!$J95&gt;P$2,'ProductSprint Backlog'!$I95&lt;=P$2), 'ProductSprint Backlog'!$F95 / MAX(1, 'ProductSprint Backlog'!$J95-'ProductSprint Backlog'!$I95), AND('ProductSprint Backlog'!$J95=P$2,'ProductSprint Backlog'!$I95=P$2), 'ProductSprint Backlog'!$F95, TRUE, 0)</f>
        <v>0</v>
      </c>
      <c r="Q95" s="4" cm="1">
        <f t="array" ref="Q95">_xlfn.IFS('ProductSprint Backlog'!$F95="", "", AND('ProductSprint Backlog'!$J95&gt;Q$2,'ProductSprint Backlog'!$I95&lt;=Q$2), 'ProductSprint Backlog'!$F95 / MAX(1, 'ProductSprint Backlog'!$J95-'ProductSprint Backlog'!$I95), AND('ProductSprint Backlog'!$J95=Q$2,'ProductSprint Backlog'!$I95=Q$2), 'ProductSprint Backlog'!$F95, TRUE, 0)</f>
        <v>0</v>
      </c>
    </row>
    <row r="96" spans="2:17" x14ac:dyDescent="0.2">
      <c r="B96" s="4" t="str" cm="1">
        <f t="array" ref="B96">_xlfn.IFS('ProductSprint Backlog'!$F96="", "", AND('ProductSprint Backlog'!$J96&gt;B$2,'ProductSprint Backlog'!$I96&lt;=B$2), 'ProductSprint Backlog'!$F96 / MAX(1, 'ProductSprint Backlog'!$J96-'ProductSprint Backlog'!$I96), AND('ProductSprint Backlog'!$J96=B$2,'ProductSprint Backlog'!$I96=B$2), 'ProductSprint Backlog'!$F96, TRUE, 0)</f>
        <v/>
      </c>
      <c r="C96" s="4" t="str" cm="1">
        <f t="array" ref="C96">_xlfn.IFS('ProductSprint Backlog'!$F96="", "", AND('ProductSprint Backlog'!$J96&gt;C$2,'ProductSprint Backlog'!$I96&lt;=C$2), 'ProductSprint Backlog'!$F96 / MAX(1, 'ProductSprint Backlog'!$J96-'ProductSprint Backlog'!$I96), AND('ProductSprint Backlog'!$J96=C$2,'ProductSprint Backlog'!$I96=C$2), 'ProductSprint Backlog'!$F96, TRUE, 0)</f>
        <v/>
      </c>
      <c r="D96" s="4" t="str" cm="1">
        <f t="array" ref="D96">_xlfn.IFS('ProductSprint Backlog'!$F96="", "", AND('ProductSprint Backlog'!$J96&gt;D$2,'ProductSprint Backlog'!$I96&lt;=D$2), 'ProductSprint Backlog'!$F96 / MAX(1, 'ProductSprint Backlog'!$J96-'ProductSprint Backlog'!$I96), AND('ProductSprint Backlog'!$J96=D$2,'ProductSprint Backlog'!$I96=D$2), 'ProductSprint Backlog'!$F96, TRUE, 0)</f>
        <v/>
      </c>
      <c r="E96" s="4" t="str" cm="1">
        <f t="array" ref="E96">_xlfn.IFS('ProductSprint Backlog'!$F96="", "", AND('ProductSprint Backlog'!$J96&gt;E$2,'ProductSprint Backlog'!$I96&lt;=E$2), 'ProductSprint Backlog'!$F96 / MAX(1, 'ProductSprint Backlog'!$J96-'ProductSprint Backlog'!$I96), AND('ProductSprint Backlog'!$J96=E$2,'ProductSprint Backlog'!$I96=E$2), 'ProductSprint Backlog'!$F96, TRUE, 0)</f>
        <v/>
      </c>
      <c r="F96" s="4" t="str" cm="1">
        <f t="array" ref="F96">_xlfn.IFS('ProductSprint Backlog'!$F96="", "", AND('ProductSprint Backlog'!$J96&gt;F$2,'ProductSprint Backlog'!$I96&lt;=F$2), 'ProductSprint Backlog'!$F96 / MAX(1, 'ProductSprint Backlog'!$J96-'ProductSprint Backlog'!$I96), AND('ProductSprint Backlog'!$J96=F$2,'ProductSprint Backlog'!$I96=F$2), 'ProductSprint Backlog'!$F96, TRUE, 0)</f>
        <v/>
      </c>
      <c r="G96" s="4" t="str" cm="1">
        <f t="array" ref="G96">_xlfn.IFS('ProductSprint Backlog'!$F96="", "", AND('ProductSprint Backlog'!$J96&gt;G$2,'ProductSprint Backlog'!$I96&lt;=G$2), 'ProductSprint Backlog'!$F96 / MAX(1, 'ProductSprint Backlog'!$J96-'ProductSprint Backlog'!$I96), AND('ProductSprint Backlog'!$J96=G$2,'ProductSprint Backlog'!$I96=G$2), 'ProductSprint Backlog'!$F96, TRUE, 0)</f>
        <v/>
      </c>
      <c r="H96" s="4" t="str" cm="1">
        <f t="array" ref="H96">_xlfn.IFS('ProductSprint Backlog'!$F96="", "", AND('ProductSprint Backlog'!$J96&gt;H$2,'ProductSprint Backlog'!$I96&lt;=H$2), 'ProductSprint Backlog'!$F96 / MAX(1, 'ProductSprint Backlog'!$J96-'ProductSprint Backlog'!$I96), AND('ProductSprint Backlog'!$J96=H$2,'ProductSprint Backlog'!$I96=H$2), 'ProductSprint Backlog'!$F96, TRUE, 0)</f>
        <v/>
      </c>
      <c r="I96" s="4" t="str" cm="1">
        <f t="array" ref="I96">_xlfn.IFS('ProductSprint Backlog'!$F96="", "", AND('ProductSprint Backlog'!$J96&gt;I$2,'ProductSprint Backlog'!$I96&lt;=I$2), 'ProductSprint Backlog'!$F96 / MAX(1, 'ProductSprint Backlog'!$J96-'ProductSprint Backlog'!$I96), AND('ProductSprint Backlog'!$J96=I$2,'ProductSprint Backlog'!$I96=I$2), 'ProductSprint Backlog'!$F96, TRUE, 0)</f>
        <v/>
      </c>
      <c r="J96" s="4" t="str" cm="1">
        <f t="array" ref="J96">_xlfn.IFS('ProductSprint Backlog'!$F96="", "", AND('ProductSprint Backlog'!$J96&gt;J$2,'ProductSprint Backlog'!$I96&lt;=J$2), 'ProductSprint Backlog'!$F96 / MAX(1, 'ProductSprint Backlog'!$J96-'ProductSprint Backlog'!$I96), AND('ProductSprint Backlog'!$J96=J$2,'ProductSprint Backlog'!$I96=J$2), 'ProductSprint Backlog'!$F96, TRUE, 0)</f>
        <v/>
      </c>
      <c r="K96" s="4" t="str" cm="1">
        <f t="array" ref="K96">_xlfn.IFS('ProductSprint Backlog'!$F96="", "", AND('ProductSprint Backlog'!$J96&gt;K$2,'ProductSprint Backlog'!$I96&lt;=K$2), 'ProductSprint Backlog'!$F96 / MAX(1, 'ProductSprint Backlog'!$J96-'ProductSprint Backlog'!$I96), AND('ProductSprint Backlog'!$J96=K$2,'ProductSprint Backlog'!$I96=K$2), 'ProductSprint Backlog'!$F96, TRUE, 0)</f>
        <v/>
      </c>
      <c r="L96" s="4" t="str" cm="1">
        <f t="array" ref="L96">_xlfn.IFS('ProductSprint Backlog'!$F96="", "", AND('ProductSprint Backlog'!$J96&gt;L$2,'ProductSprint Backlog'!$I96&lt;=L$2), 'ProductSprint Backlog'!$F96 / MAX(1, 'ProductSprint Backlog'!$J96-'ProductSprint Backlog'!$I96), AND('ProductSprint Backlog'!$J96=L$2,'ProductSprint Backlog'!$I96=L$2), 'ProductSprint Backlog'!$F96, TRUE, 0)</f>
        <v/>
      </c>
      <c r="M96" s="4" t="str" cm="1">
        <f t="array" ref="M96">_xlfn.IFS('ProductSprint Backlog'!$F96="", "", AND('ProductSprint Backlog'!$J96&gt;M$2,'ProductSprint Backlog'!$I96&lt;=M$2), 'ProductSprint Backlog'!$F96 / MAX(1, 'ProductSprint Backlog'!$J96-'ProductSprint Backlog'!$I96), AND('ProductSprint Backlog'!$J96=M$2,'ProductSprint Backlog'!$I96=M$2), 'ProductSprint Backlog'!$F96, TRUE, 0)</f>
        <v/>
      </c>
      <c r="N96" s="4" t="str" cm="1">
        <f t="array" ref="N96">_xlfn.IFS('ProductSprint Backlog'!$F96="", "", AND('ProductSprint Backlog'!$J96&gt;N$2,'ProductSprint Backlog'!$I96&lt;=N$2), 'ProductSprint Backlog'!$F96 / MAX(1, 'ProductSprint Backlog'!$J96-'ProductSprint Backlog'!$I96), AND('ProductSprint Backlog'!$J96=N$2,'ProductSprint Backlog'!$I96=N$2), 'ProductSprint Backlog'!$F96, TRUE, 0)</f>
        <v/>
      </c>
      <c r="O96" s="4" t="str" cm="1">
        <f t="array" ref="O96">_xlfn.IFS('ProductSprint Backlog'!$F96="", "", AND('ProductSprint Backlog'!$J96&gt;O$2,'ProductSprint Backlog'!$I96&lt;=O$2), 'ProductSprint Backlog'!$F96 / MAX(1, 'ProductSprint Backlog'!$J96-'ProductSprint Backlog'!$I96), AND('ProductSprint Backlog'!$J96=O$2,'ProductSprint Backlog'!$I96=O$2), 'ProductSprint Backlog'!$F96, TRUE, 0)</f>
        <v/>
      </c>
      <c r="P96" s="4" t="str" cm="1">
        <f t="array" ref="P96">_xlfn.IFS('ProductSprint Backlog'!$F96="", "", AND('ProductSprint Backlog'!$J96&gt;P$2,'ProductSprint Backlog'!$I96&lt;=P$2), 'ProductSprint Backlog'!$F96 / MAX(1, 'ProductSprint Backlog'!$J96-'ProductSprint Backlog'!$I96), AND('ProductSprint Backlog'!$J96=P$2,'ProductSprint Backlog'!$I96=P$2), 'ProductSprint Backlog'!$F96, TRUE, 0)</f>
        <v/>
      </c>
      <c r="Q96" s="4" t="str" cm="1">
        <f t="array" ref="Q96">_xlfn.IFS('ProductSprint Backlog'!$F96="", "", AND('ProductSprint Backlog'!$J96&gt;Q$2,'ProductSprint Backlog'!$I96&lt;=Q$2), 'ProductSprint Backlog'!$F96 / MAX(1, 'ProductSprint Backlog'!$J96-'ProductSprint Backlog'!$I96), AND('ProductSprint Backlog'!$J96=Q$2,'ProductSprint Backlog'!$I96=Q$2), 'ProductSprint Backlog'!$F96, TRUE, 0)</f>
        <v/>
      </c>
    </row>
    <row r="97" spans="2:17" x14ac:dyDescent="0.2">
      <c r="B97" s="4" cm="1">
        <f t="array" ref="B97">_xlfn.IFS('ProductSprint Backlog'!$F97="", "", AND('ProductSprint Backlog'!$J97&gt;B$2,'ProductSprint Backlog'!$I97&lt;=B$2), 'ProductSprint Backlog'!$F97 / MAX(1, 'ProductSprint Backlog'!$J97-'ProductSprint Backlog'!$I97), AND('ProductSprint Backlog'!$J97=B$2,'ProductSprint Backlog'!$I97=B$2), 'ProductSprint Backlog'!$F97, TRUE, 0)</f>
        <v>0</v>
      </c>
      <c r="C97" s="4" cm="1">
        <f t="array" ref="C97">_xlfn.IFS('ProductSprint Backlog'!$F97="", "", AND('ProductSprint Backlog'!$J97&gt;C$2,'ProductSprint Backlog'!$I97&lt;=C$2), 'ProductSprint Backlog'!$F97 / MAX(1, 'ProductSprint Backlog'!$J97-'ProductSprint Backlog'!$I97), AND('ProductSprint Backlog'!$J97=C$2,'ProductSprint Backlog'!$I97=C$2), 'ProductSprint Backlog'!$F97, TRUE, 0)</f>
        <v>0</v>
      </c>
      <c r="D97" s="4" cm="1">
        <f t="array" ref="D97">_xlfn.IFS('ProductSprint Backlog'!$F97="", "", AND('ProductSprint Backlog'!$J97&gt;D$2,'ProductSprint Backlog'!$I97&lt;=D$2), 'ProductSprint Backlog'!$F97 / MAX(1, 'ProductSprint Backlog'!$J97-'ProductSprint Backlog'!$I97), AND('ProductSprint Backlog'!$J97=D$2,'ProductSprint Backlog'!$I97=D$2), 'ProductSprint Backlog'!$F97, TRUE, 0)</f>
        <v>0</v>
      </c>
      <c r="E97" s="4" cm="1">
        <f t="array" ref="E97">_xlfn.IFS('ProductSprint Backlog'!$F97="", "", AND('ProductSprint Backlog'!$J97&gt;E$2,'ProductSprint Backlog'!$I97&lt;=E$2), 'ProductSprint Backlog'!$F97 / MAX(1, 'ProductSprint Backlog'!$J97-'ProductSprint Backlog'!$I97), AND('ProductSprint Backlog'!$J97=E$2,'ProductSprint Backlog'!$I97=E$2), 'ProductSprint Backlog'!$F97, TRUE, 0)</f>
        <v>0</v>
      </c>
      <c r="F97" s="4" cm="1">
        <f t="array" ref="F97">_xlfn.IFS('ProductSprint Backlog'!$F97="", "", AND('ProductSprint Backlog'!$J97&gt;F$2,'ProductSprint Backlog'!$I97&lt;=F$2), 'ProductSprint Backlog'!$F97 / MAX(1, 'ProductSprint Backlog'!$J97-'ProductSprint Backlog'!$I97), AND('ProductSprint Backlog'!$J97=F$2,'ProductSprint Backlog'!$I97=F$2), 'ProductSprint Backlog'!$F97, TRUE, 0)</f>
        <v>0</v>
      </c>
      <c r="G97" s="4" cm="1">
        <f t="array" ref="G97">_xlfn.IFS('ProductSprint Backlog'!$F97="", "", AND('ProductSprint Backlog'!$J97&gt;G$2,'ProductSprint Backlog'!$I97&lt;=G$2), 'ProductSprint Backlog'!$F97 / MAX(1, 'ProductSprint Backlog'!$J97-'ProductSprint Backlog'!$I97), AND('ProductSprint Backlog'!$J97=G$2,'ProductSprint Backlog'!$I97=G$2), 'ProductSprint Backlog'!$F97, TRUE, 0)</f>
        <v>0</v>
      </c>
      <c r="H97" s="4" cm="1">
        <f t="array" ref="H97">_xlfn.IFS('ProductSprint Backlog'!$F97="", "", AND('ProductSprint Backlog'!$J97&gt;H$2,'ProductSprint Backlog'!$I97&lt;=H$2), 'ProductSprint Backlog'!$F97 / MAX(1, 'ProductSprint Backlog'!$J97-'ProductSprint Backlog'!$I97), AND('ProductSprint Backlog'!$J97=H$2,'ProductSprint Backlog'!$I97=H$2), 'ProductSprint Backlog'!$F97, TRUE, 0)</f>
        <v>0</v>
      </c>
      <c r="I97" s="4" cm="1">
        <f t="array" ref="I97">_xlfn.IFS('ProductSprint Backlog'!$F97="", "", AND('ProductSprint Backlog'!$J97&gt;I$2,'ProductSprint Backlog'!$I97&lt;=I$2), 'ProductSprint Backlog'!$F97 / MAX(1, 'ProductSprint Backlog'!$J97-'ProductSprint Backlog'!$I97), AND('ProductSprint Backlog'!$J97=I$2,'ProductSprint Backlog'!$I97=I$2), 'ProductSprint Backlog'!$F97, TRUE, 0)</f>
        <v>0</v>
      </c>
      <c r="J97" s="4" cm="1">
        <f t="array" ref="J97">_xlfn.IFS('ProductSprint Backlog'!$F97="", "", AND('ProductSprint Backlog'!$J97&gt;J$2,'ProductSprint Backlog'!$I97&lt;=J$2), 'ProductSprint Backlog'!$F97 / MAX(1, 'ProductSprint Backlog'!$J97-'ProductSprint Backlog'!$I97), AND('ProductSprint Backlog'!$J97=J$2,'ProductSprint Backlog'!$I97=J$2), 'ProductSprint Backlog'!$F97, TRUE, 0)</f>
        <v>0</v>
      </c>
      <c r="K97" s="4" cm="1">
        <f t="array" ref="K97">_xlfn.IFS('ProductSprint Backlog'!$F97="", "", AND('ProductSprint Backlog'!$J97&gt;K$2,'ProductSprint Backlog'!$I97&lt;=K$2), 'ProductSprint Backlog'!$F97 / MAX(1, 'ProductSprint Backlog'!$J97-'ProductSprint Backlog'!$I97), AND('ProductSprint Backlog'!$J97=K$2,'ProductSprint Backlog'!$I97=K$2), 'ProductSprint Backlog'!$F97, TRUE, 0)</f>
        <v>0</v>
      </c>
      <c r="L97" s="4" cm="1">
        <f t="array" ref="L97">_xlfn.IFS('ProductSprint Backlog'!$F97="", "", AND('ProductSprint Backlog'!$J97&gt;L$2,'ProductSprint Backlog'!$I97&lt;=L$2), 'ProductSprint Backlog'!$F97 / MAX(1, 'ProductSprint Backlog'!$J97-'ProductSprint Backlog'!$I97), AND('ProductSprint Backlog'!$J97=L$2,'ProductSprint Backlog'!$I97=L$2), 'ProductSprint Backlog'!$F97, TRUE, 0)</f>
        <v>0</v>
      </c>
      <c r="M97" s="4" cm="1">
        <f t="array" ref="M97">_xlfn.IFS('ProductSprint Backlog'!$F97="", "", AND('ProductSprint Backlog'!$J97&gt;M$2,'ProductSprint Backlog'!$I97&lt;=M$2), 'ProductSprint Backlog'!$F97 / MAX(1, 'ProductSprint Backlog'!$J97-'ProductSprint Backlog'!$I97), AND('ProductSprint Backlog'!$J97=M$2,'ProductSprint Backlog'!$I97=M$2), 'ProductSprint Backlog'!$F97, TRUE, 0)</f>
        <v>0</v>
      </c>
      <c r="N97" s="4" cm="1">
        <f t="array" ref="N97">_xlfn.IFS('ProductSprint Backlog'!$F97="", "", AND('ProductSprint Backlog'!$J97&gt;N$2,'ProductSprint Backlog'!$I97&lt;=N$2), 'ProductSprint Backlog'!$F97 / MAX(1, 'ProductSprint Backlog'!$J97-'ProductSprint Backlog'!$I97), AND('ProductSprint Backlog'!$J97=N$2,'ProductSprint Backlog'!$I97=N$2), 'ProductSprint Backlog'!$F97, TRUE, 0)</f>
        <v>0</v>
      </c>
      <c r="O97" s="4" cm="1">
        <f t="array" ref="O97">_xlfn.IFS('ProductSprint Backlog'!$F97="", "", AND('ProductSprint Backlog'!$J97&gt;O$2,'ProductSprint Backlog'!$I97&lt;=O$2), 'ProductSprint Backlog'!$F97 / MAX(1, 'ProductSprint Backlog'!$J97-'ProductSprint Backlog'!$I97), AND('ProductSprint Backlog'!$J97=O$2,'ProductSprint Backlog'!$I97=O$2), 'ProductSprint Backlog'!$F97, TRUE, 0)</f>
        <v>0</v>
      </c>
      <c r="P97" s="4" cm="1">
        <f t="array" ref="P97">_xlfn.IFS('ProductSprint Backlog'!$F97="", "", AND('ProductSprint Backlog'!$J97&gt;P$2,'ProductSprint Backlog'!$I97&lt;=P$2), 'ProductSprint Backlog'!$F97 / MAX(1, 'ProductSprint Backlog'!$J97-'ProductSprint Backlog'!$I97), AND('ProductSprint Backlog'!$J97=P$2,'ProductSprint Backlog'!$I97=P$2), 'ProductSprint Backlog'!$F97, TRUE, 0)</f>
        <v>0</v>
      </c>
      <c r="Q97" s="4" cm="1">
        <f t="array" ref="Q97">_xlfn.IFS('ProductSprint Backlog'!$F97="", "", AND('ProductSprint Backlog'!$J97&gt;Q$2,'ProductSprint Backlog'!$I97&lt;=Q$2), 'ProductSprint Backlog'!$F97 / MAX(1, 'ProductSprint Backlog'!$J97-'ProductSprint Backlog'!$I97), AND('ProductSprint Backlog'!$J97=Q$2,'ProductSprint Backlog'!$I97=Q$2), 'ProductSprint Backlog'!$F97, TRUE, 0)</f>
        <v>0</v>
      </c>
    </row>
    <row r="98" spans="2:17" x14ac:dyDescent="0.2">
      <c r="B98" s="4" cm="1">
        <f t="array" ref="B98">_xlfn.IFS('ProductSprint Backlog'!$F98="", "", AND('ProductSprint Backlog'!$J98&gt;B$2,'ProductSprint Backlog'!$I98&lt;=B$2), 'ProductSprint Backlog'!$F98 / MAX(1, 'ProductSprint Backlog'!$J98-'ProductSprint Backlog'!$I98), AND('ProductSprint Backlog'!$J98=B$2,'ProductSprint Backlog'!$I98=B$2), 'ProductSprint Backlog'!$F98, TRUE, 0)</f>
        <v>0</v>
      </c>
      <c r="C98" s="4" cm="1">
        <f t="array" ref="C98">_xlfn.IFS('ProductSprint Backlog'!$F98="", "", AND('ProductSprint Backlog'!$J98&gt;C$2,'ProductSprint Backlog'!$I98&lt;=C$2), 'ProductSprint Backlog'!$F98 / MAX(1, 'ProductSprint Backlog'!$J98-'ProductSprint Backlog'!$I98), AND('ProductSprint Backlog'!$J98=C$2,'ProductSprint Backlog'!$I98=C$2), 'ProductSprint Backlog'!$F98, TRUE, 0)</f>
        <v>0</v>
      </c>
      <c r="D98" s="4" cm="1">
        <f t="array" ref="D98">_xlfn.IFS('ProductSprint Backlog'!$F98="", "", AND('ProductSprint Backlog'!$J98&gt;D$2,'ProductSprint Backlog'!$I98&lt;=D$2), 'ProductSprint Backlog'!$F98 / MAX(1, 'ProductSprint Backlog'!$J98-'ProductSprint Backlog'!$I98), AND('ProductSprint Backlog'!$J98=D$2,'ProductSprint Backlog'!$I98=D$2), 'ProductSprint Backlog'!$F98, TRUE, 0)</f>
        <v>0</v>
      </c>
      <c r="E98" s="4" cm="1">
        <f t="array" ref="E98">_xlfn.IFS('ProductSprint Backlog'!$F98="", "", AND('ProductSprint Backlog'!$J98&gt;E$2,'ProductSprint Backlog'!$I98&lt;=E$2), 'ProductSprint Backlog'!$F98 / MAX(1, 'ProductSprint Backlog'!$J98-'ProductSprint Backlog'!$I98), AND('ProductSprint Backlog'!$J98=E$2,'ProductSprint Backlog'!$I98=E$2), 'ProductSprint Backlog'!$F98, TRUE, 0)</f>
        <v>0</v>
      </c>
      <c r="F98" s="4" cm="1">
        <f t="array" ref="F98">_xlfn.IFS('ProductSprint Backlog'!$F98="", "", AND('ProductSprint Backlog'!$J98&gt;F$2,'ProductSprint Backlog'!$I98&lt;=F$2), 'ProductSprint Backlog'!$F98 / MAX(1, 'ProductSprint Backlog'!$J98-'ProductSprint Backlog'!$I98), AND('ProductSprint Backlog'!$J98=F$2,'ProductSprint Backlog'!$I98=F$2), 'ProductSprint Backlog'!$F98, TRUE, 0)</f>
        <v>0</v>
      </c>
      <c r="G98" s="4" cm="1">
        <f t="array" ref="G98">_xlfn.IFS('ProductSprint Backlog'!$F98="", "", AND('ProductSprint Backlog'!$J98&gt;G$2,'ProductSprint Backlog'!$I98&lt;=G$2), 'ProductSprint Backlog'!$F98 / MAX(1, 'ProductSprint Backlog'!$J98-'ProductSprint Backlog'!$I98), AND('ProductSprint Backlog'!$J98=G$2,'ProductSprint Backlog'!$I98=G$2), 'ProductSprint Backlog'!$F98, TRUE, 0)</f>
        <v>0</v>
      </c>
      <c r="H98" s="4" cm="1">
        <f t="array" ref="H98">_xlfn.IFS('ProductSprint Backlog'!$F98="", "", AND('ProductSprint Backlog'!$J98&gt;H$2,'ProductSprint Backlog'!$I98&lt;=H$2), 'ProductSprint Backlog'!$F98 / MAX(1, 'ProductSprint Backlog'!$J98-'ProductSprint Backlog'!$I98), AND('ProductSprint Backlog'!$J98=H$2,'ProductSprint Backlog'!$I98=H$2), 'ProductSprint Backlog'!$F98, TRUE, 0)</f>
        <v>0</v>
      </c>
      <c r="I98" s="4" cm="1">
        <f t="array" ref="I98">_xlfn.IFS('ProductSprint Backlog'!$F98="", "", AND('ProductSprint Backlog'!$J98&gt;I$2,'ProductSprint Backlog'!$I98&lt;=I$2), 'ProductSprint Backlog'!$F98 / MAX(1, 'ProductSprint Backlog'!$J98-'ProductSprint Backlog'!$I98), AND('ProductSprint Backlog'!$J98=I$2,'ProductSprint Backlog'!$I98=I$2), 'ProductSprint Backlog'!$F98, TRUE, 0)</f>
        <v>0</v>
      </c>
      <c r="J98" s="4" cm="1">
        <f t="array" ref="J98">_xlfn.IFS('ProductSprint Backlog'!$F98="", "", AND('ProductSprint Backlog'!$J98&gt;J$2,'ProductSprint Backlog'!$I98&lt;=J$2), 'ProductSprint Backlog'!$F98 / MAX(1, 'ProductSprint Backlog'!$J98-'ProductSprint Backlog'!$I98), AND('ProductSprint Backlog'!$J98=J$2,'ProductSprint Backlog'!$I98=J$2), 'ProductSprint Backlog'!$F98, TRUE, 0)</f>
        <v>0</v>
      </c>
      <c r="K98" s="4" cm="1">
        <f t="array" ref="K98">_xlfn.IFS('ProductSprint Backlog'!$F98="", "", AND('ProductSprint Backlog'!$J98&gt;K$2,'ProductSprint Backlog'!$I98&lt;=K$2), 'ProductSprint Backlog'!$F98 / MAX(1, 'ProductSprint Backlog'!$J98-'ProductSprint Backlog'!$I98), AND('ProductSprint Backlog'!$J98=K$2,'ProductSprint Backlog'!$I98=K$2), 'ProductSprint Backlog'!$F98, TRUE, 0)</f>
        <v>0</v>
      </c>
      <c r="L98" s="4" cm="1">
        <f t="array" ref="L98">_xlfn.IFS('ProductSprint Backlog'!$F98="", "", AND('ProductSprint Backlog'!$J98&gt;L$2,'ProductSprint Backlog'!$I98&lt;=L$2), 'ProductSprint Backlog'!$F98 / MAX(1, 'ProductSprint Backlog'!$J98-'ProductSprint Backlog'!$I98), AND('ProductSprint Backlog'!$J98=L$2,'ProductSprint Backlog'!$I98=L$2), 'ProductSprint Backlog'!$F98, TRUE, 0)</f>
        <v>0</v>
      </c>
      <c r="M98" s="4" cm="1">
        <f t="array" ref="M98">_xlfn.IFS('ProductSprint Backlog'!$F98="", "", AND('ProductSprint Backlog'!$J98&gt;M$2,'ProductSprint Backlog'!$I98&lt;=M$2), 'ProductSprint Backlog'!$F98 / MAX(1, 'ProductSprint Backlog'!$J98-'ProductSprint Backlog'!$I98), AND('ProductSprint Backlog'!$J98=M$2,'ProductSprint Backlog'!$I98=M$2), 'ProductSprint Backlog'!$F98, TRUE, 0)</f>
        <v>0</v>
      </c>
      <c r="N98" s="4" cm="1">
        <f t="array" ref="N98">_xlfn.IFS('ProductSprint Backlog'!$F98="", "", AND('ProductSprint Backlog'!$J98&gt;N$2,'ProductSprint Backlog'!$I98&lt;=N$2), 'ProductSprint Backlog'!$F98 / MAX(1, 'ProductSprint Backlog'!$J98-'ProductSprint Backlog'!$I98), AND('ProductSprint Backlog'!$J98=N$2,'ProductSprint Backlog'!$I98=N$2), 'ProductSprint Backlog'!$F98, TRUE, 0)</f>
        <v>0</v>
      </c>
      <c r="O98" s="4" cm="1">
        <f t="array" ref="O98">_xlfn.IFS('ProductSprint Backlog'!$F98="", "", AND('ProductSprint Backlog'!$J98&gt;O$2,'ProductSprint Backlog'!$I98&lt;=O$2), 'ProductSprint Backlog'!$F98 / MAX(1, 'ProductSprint Backlog'!$J98-'ProductSprint Backlog'!$I98), AND('ProductSprint Backlog'!$J98=O$2,'ProductSprint Backlog'!$I98=O$2), 'ProductSprint Backlog'!$F98, TRUE, 0)</f>
        <v>0</v>
      </c>
      <c r="P98" s="4" cm="1">
        <f t="array" ref="P98">_xlfn.IFS('ProductSprint Backlog'!$F98="", "", AND('ProductSprint Backlog'!$J98&gt;P$2,'ProductSprint Backlog'!$I98&lt;=P$2), 'ProductSprint Backlog'!$F98 / MAX(1, 'ProductSprint Backlog'!$J98-'ProductSprint Backlog'!$I98), AND('ProductSprint Backlog'!$J98=P$2,'ProductSprint Backlog'!$I98=P$2), 'ProductSprint Backlog'!$F98, TRUE, 0)</f>
        <v>0</v>
      </c>
      <c r="Q98" s="4" cm="1">
        <f t="array" ref="Q98">_xlfn.IFS('ProductSprint Backlog'!$F98="", "", AND('ProductSprint Backlog'!$J98&gt;Q$2,'ProductSprint Backlog'!$I98&lt;=Q$2), 'ProductSprint Backlog'!$F98 / MAX(1, 'ProductSprint Backlog'!$J98-'ProductSprint Backlog'!$I98), AND('ProductSprint Backlog'!$J98=Q$2,'ProductSprint Backlog'!$I98=Q$2), 'ProductSprint Backlog'!$F98, TRUE, 0)</f>
        <v>0</v>
      </c>
    </row>
    <row r="99" spans="2:17" x14ac:dyDescent="0.2">
      <c r="B99" s="4" cm="1">
        <f t="array" ref="B99">_xlfn.IFS('ProductSprint Backlog'!$F99="", "", AND('ProductSprint Backlog'!$J99&gt;B$2,'ProductSprint Backlog'!$I99&lt;=B$2), 'ProductSprint Backlog'!$F99 / MAX(1, 'ProductSprint Backlog'!$J99-'ProductSprint Backlog'!$I99), AND('ProductSprint Backlog'!$J99=B$2,'ProductSprint Backlog'!$I99=B$2), 'ProductSprint Backlog'!$F99, TRUE, 0)</f>
        <v>0</v>
      </c>
      <c r="C99" s="4" cm="1">
        <f t="array" ref="C99">_xlfn.IFS('ProductSprint Backlog'!$F99="", "", AND('ProductSprint Backlog'!$J99&gt;C$2,'ProductSprint Backlog'!$I99&lt;=C$2), 'ProductSprint Backlog'!$F99 / MAX(1, 'ProductSprint Backlog'!$J99-'ProductSprint Backlog'!$I99), AND('ProductSprint Backlog'!$J99=C$2,'ProductSprint Backlog'!$I99=C$2), 'ProductSprint Backlog'!$F99, TRUE, 0)</f>
        <v>0</v>
      </c>
      <c r="D99" s="4" cm="1">
        <f t="array" ref="D99">_xlfn.IFS('ProductSprint Backlog'!$F99="", "", AND('ProductSprint Backlog'!$J99&gt;D$2,'ProductSprint Backlog'!$I99&lt;=D$2), 'ProductSprint Backlog'!$F99 / MAX(1, 'ProductSprint Backlog'!$J99-'ProductSprint Backlog'!$I99), AND('ProductSprint Backlog'!$J99=D$2,'ProductSprint Backlog'!$I99=D$2), 'ProductSprint Backlog'!$F99, TRUE, 0)</f>
        <v>0</v>
      </c>
      <c r="E99" s="4" cm="1">
        <f t="array" ref="E99">_xlfn.IFS('ProductSprint Backlog'!$F99="", "", AND('ProductSprint Backlog'!$J99&gt;E$2,'ProductSprint Backlog'!$I99&lt;=E$2), 'ProductSprint Backlog'!$F99 / MAX(1, 'ProductSprint Backlog'!$J99-'ProductSprint Backlog'!$I99), AND('ProductSprint Backlog'!$J99=E$2,'ProductSprint Backlog'!$I99=E$2), 'ProductSprint Backlog'!$F99, TRUE, 0)</f>
        <v>0</v>
      </c>
      <c r="F99" s="4" cm="1">
        <f t="array" ref="F99">_xlfn.IFS('ProductSprint Backlog'!$F99="", "", AND('ProductSprint Backlog'!$J99&gt;F$2,'ProductSprint Backlog'!$I99&lt;=F$2), 'ProductSprint Backlog'!$F99 / MAX(1, 'ProductSprint Backlog'!$J99-'ProductSprint Backlog'!$I99), AND('ProductSprint Backlog'!$J99=F$2,'ProductSprint Backlog'!$I99=F$2), 'ProductSprint Backlog'!$F99, TRUE, 0)</f>
        <v>0</v>
      </c>
      <c r="G99" s="4" cm="1">
        <f t="array" ref="G99">_xlfn.IFS('ProductSprint Backlog'!$F99="", "", AND('ProductSprint Backlog'!$J99&gt;G$2,'ProductSprint Backlog'!$I99&lt;=G$2), 'ProductSprint Backlog'!$F99 / MAX(1, 'ProductSprint Backlog'!$J99-'ProductSprint Backlog'!$I99), AND('ProductSprint Backlog'!$J99=G$2,'ProductSprint Backlog'!$I99=G$2), 'ProductSprint Backlog'!$F99, TRUE, 0)</f>
        <v>0</v>
      </c>
      <c r="H99" s="4" cm="1">
        <f t="array" ref="H99">_xlfn.IFS('ProductSprint Backlog'!$F99="", "", AND('ProductSprint Backlog'!$J99&gt;H$2,'ProductSprint Backlog'!$I99&lt;=H$2), 'ProductSprint Backlog'!$F99 / MAX(1, 'ProductSprint Backlog'!$J99-'ProductSprint Backlog'!$I99), AND('ProductSprint Backlog'!$J99=H$2,'ProductSprint Backlog'!$I99=H$2), 'ProductSprint Backlog'!$F99, TRUE, 0)</f>
        <v>0</v>
      </c>
      <c r="I99" s="4" cm="1">
        <f t="array" ref="I99">_xlfn.IFS('ProductSprint Backlog'!$F99="", "", AND('ProductSprint Backlog'!$J99&gt;I$2,'ProductSprint Backlog'!$I99&lt;=I$2), 'ProductSprint Backlog'!$F99 / MAX(1, 'ProductSprint Backlog'!$J99-'ProductSprint Backlog'!$I99), AND('ProductSprint Backlog'!$J99=I$2,'ProductSprint Backlog'!$I99=I$2), 'ProductSprint Backlog'!$F99, TRUE, 0)</f>
        <v>0</v>
      </c>
      <c r="J99" s="4" cm="1">
        <f t="array" ref="J99">_xlfn.IFS('ProductSprint Backlog'!$F99="", "", AND('ProductSprint Backlog'!$J99&gt;J$2,'ProductSprint Backlog'!$I99&lt;=J$2), 'ProductSprint Backlog'!$F99 / MAX(1, 'ProductSprint Backlog'!$J99-'ProductSprint Backlog'!$I99), AND('ProductSprint Backlog'!$J99=J$2,'ProductSprint Backlog'!$I99=J$2), 'ProductSprint Backlog'!$F99, TRUE, 0)</f>
        <v>0</v>
      </c>
      <c r="K99" s="4" cm="1">
        <f t="array" ref="K99">_xlfn.IFS('ProductSprint Backlog'!$F99="", "", AND('ProductSprint Backlog'!$J99&gt;K$2,'ProductSprint Backlog'!$I99&lt;=K$2), 'ProductSprint Backlog'!$F99 / MAX(1, 'ProductSprint Backlog'!$J99-'ProductSprint Backlog'!$I99), AND('ProductSprint Backlog'!$J99=K$2,'ProductSprint Backlog'!$I99=K$2), 'ProductSprint Backlog'!$F99, TRUE, 0)</f>
        <v>0</v>
      </c>
      <c r="L99" s="4" cm="1">
        <f t="array" ref="L99">_xlfn.IFS('ProductSprint Backlog'!$F99="", "", AND('ProductSprint Backlog'!$J99&gt;L$2,'ProductSprint Backlog'!$I99&lt;=L$2), 'ProductSprint Backlog'!$F99 / MAX(1, 'ProductSprint Backlog'!$J99-'ProductSprint Backlog'!$I99), AND('ProductSprint Backlog'!$J99=L$2,'ProductSprint Backlog'!$I99=L$2), 'ProductSprint Backlog'!$F99, TRUE, 0)</f>
        <v>0</v>
      </c>
      <c r="M99" s="4" cm="1">
        <f t="array" ref="M99">_xlfn.IFS('ProductSprint Backlog'!$F99="", "", AND('ProductSprint Backlog'!$J99&gt;M$2,'ProductSprint Backlog'!$I99&lt;=M$2), 'ProductSprint Backlog'!$F99 / MAX(1, 'ProductSprint Backlog'!$J99-'ProductSprint Backlog'!$I99), AND('ProductSprint Backlog'!$J99=M$2,'ProductSprint Backlog'!$I99=M$2), 'ProductSprint Backlog'!$F99, TRUE, 0)</f>
        <v>0</v>
      </c>
      <c r="N99" s="4" cm="1">
        <f t="array" ref="N99">_xlfn.IFS('ProductSprint Backlog'!$F99="", "", AND('ProductSprint Backlog'!$J99&gt;N$2,'ProductSprint Backlog'!$I99&lt;=N$2), 'ProductSprint Backlog'!$F99 / MAX(1, 'ProductSprint Backlog'!$J99-'ProductSprint Backlog'!$I99), AND('ProductSprint Backlog'!$J99=N$2,'ProductSprint Backlog'!$I99=N$2), 'ProductSprint Backlog'!$F99, TRUE, 0)</f>
        <v>0</v>
      </c>
      <c r="O99" s="4" cm="1">
        <f t="array" ref="O99">_xlfn.IFS('ProductSprint Backlog'!$F99="", "", AND('ProductSprint Backlog'!$J99&gt;O$2,'ProductSprint Backlog'!$I99&lt;=O$2), 'ProductSprint Backlog'!$F99 / MAX(1, 'ProductSprint Backlog'!$J99-'ProductSprint Backlog'!$I99), AND('ProductSprint Backlog'!$J99=O$2,'ProductSprint Backlog'!$I99=O$2), 'ProductSprint Backlog'!$F99, TRUE, 0)</f>
        <v>0</v>
      </c>
      <c r="P99" s="4" cm="1">
        <f t="array" ref="P99">_xlfn.IFS('ProductSprint Backlog'!$F99="", "", AND('ProductSprint Backlog'!$J99&gt;P$2,'ProductSprint Backlog'!$I99&lt;=P$2), 'ProductSprint Backlog'!$F99 / MAX(1, 'ProductSprint Backlog'!$J99-'ProductSprint Backlog'!$I99), AND('ProductSprint Backlog'!$J99=P$2,'ProductSprint Backlog'!$I99=P$2), 'ProductSprint Backlog'!$F99, TRUE, 0)</f>
        <v>0</v>
      </c>
      <c r="Q99" s="4" cm="1">
        <f t="array" ref="Q99">_xlfn.IFS('ProductSprint Backlog'!$F99="", "", AND('ProductSprint Backlog'!$J99&gt;Q$2,'ProductSprint Backlog'!$I99&lt;=Q$2), 'ProductSprint Backlog'!$F99 / MAX(1, 'ProductSprint Backlog'!$J99-'ProductSprint Backlog'!$I99), AND('ProductSprint Backlog'!$J99=Q$2,'ProductSprint Backlog'!$I99=Q$2), 'ProductSprint Backlog'!$F99, TRUE, 0)</f>
        <v>0</v>
      </c>
    </row>
    <row r="100" spans="2:17" x14ac:dyDescent="0.2">
      <c r="B100" s="4" cm="1">
        <f t="array" ref="B100">_xlfn.IFS('ProductSprint Backlog'!$F100="", "", AND('ProductSprint Backlog'!$J100&gt;B$2,'ProductSprint Backlog'!$I100&lt;=B$2), 'ProductSprint Backlog'!$F100 / MAX(1, 'ProductSprint Backlog'!$J100-'ProductSprint Backlog'!$I100), AND('ProductSprint Backlog'!$J100=B$2,'ProductSprint Backlog'!$I100=B$2), 'ProductSprint Backlog'!$F100, TRUE, 0)</f>
        <v>0</v>
      </c>
      <c r="C100" s="4" cm="1">
        <f t="array" ref="C100">_xlfn.IFS('ProductSprint Backlog'!$F100="", "", AND('ProductSprint Backlog'!$J100&gt;C$2,'ProductSprint Backlog'!$I100&lt;=C$2), 'ProductSprint Backlog'!$F100 / MAX(1, 'ProductSprint Backlog'!$J100-'ProductSprint Backlog'!$I100), AND('ProductSprint Backlog'!$J100=C$2,'ProductSprint Backlog'!$I100=C$2), 'ProductSprint Backlog'!$F100, TRUE, 0)</f>
        <v>0</v>
      </c>
      <c r="D100" s="4" cm="1">
        <f t="array" ref="D100">_xlfn.IFS('ProductSprint Backlog'!$F100="", "", AND('ProductSprint Backlog'!$J100&gt;D$2,'ProductSprint Backlog'!$I100&lt;=D$2), 'ProductSprint Backlog'!$F100 / MAX(1, 'ProductSprint Backlog'!$J100-'ProductSprint Backlog'!$I100), AND('ProductSprint Backlog'!$J100=D$2,'ProductSprint Backlog'!$I100=D$2), 'ProductSprint Backlog'!$F100, TRUE, 0)</f>
        <v>0</v>
      </c>
      <c r="E100" s="4" cm="1">
        <f t="array" ref="E100">_xlfn.IFS('ProductSprint Backlog'!$F100="", "", AND('ProductSprint Backlog'!$J100&gt;E$2,'ProductSprint Backlog'!$I100&lt;=E$2), 'ProductSprint Backlog'!$F100 / MAX(1, 'ProductSprint Backlog'!$J100-'ProductSprint Backlog'!$I100), AND('ProductSprint Backlog'!$J100=E$2,'ProductSprint Backlog'!$I100=E$2), 'ProductSprint Backlog'!$F100, TRUE, 0)</f>
        <v>0</v>
      </c>
      <c r="F100" s="4" cm="1">
        <f t="array" ref="F100">_xlfn.IFS('ProductSprint Backlog'!$F100="", "", AND('ProductSprint Backlog'!$J100&gt;F$2,'ProductSprint Backlog'!$I100&lt;=F$2), 'ProductSprint Backlog'!$F100 / MAX(1, 'ProductSprint Backlog'!$J100-'ProductSprint Backlog'!$I100), AND('ProductSprint Backlog'!$J100=F$2,'ProductSprint Backlog'!$I100=F$2), 'ProductSprint Backlog'!$F100, TRUE, 0)</f>
        <v>0</v>
      </c>
      <c r="G100" s="4" cm="1">
        <f t="array" ref="G100">_xlfn.IFS('ProductSprint Backlog'!$F100="", "", AND('ProductSprint Backlog'!$J100&gt;G$2,'ProductSprint Backlog'!$I100&lt;=G$2), 'ProductSprint Backlog'!$F100 / MAX(1, 'ProductSprint Backlog'!$J100-'ProductSprint Backlog'!$I100), AND('ProductSprint Backlog'!$J100=G$2,'ProductSprint Backlog'!$I100=G$2), 'ProductSprint Backlog'!$F100, TRUE, 0)</f>
        <v>0</v>
      </c>
      <c r="H100" s="4" cm="1">
        <f t="array" ref="H100">_xlfn.IFS('ProductSprint Backlog'!$F100="", "", AND('ProductSprint Backlog'!$J100&gt;H$2,'ProductSprint Backlog'!$I100&lt;=H$2), 'ProductSprint Backlog'!$F100 / MAX(1, 'ProductSprint Backlog'!$J100-'ProductSprint Backlog'!$I100), AND('ProductSprint Backlog'!$J100=H$2,'ProductSprint Backlog'!$I100=H$2), 'ProductSprint Backlog'!$F100, TRUE, 0)</f>
        <v>0</v>
      </c>
      <c r="I100" s="4" cm="1">
        <f t="array" ref="I100">_xlfn.IFS('ProductSprint Backlog'!$F100="", "", AND('ProductSprint Backlog'!$J100&gt;I$2,'ProductSprint Backlog'!$I100&lt;=I$2), 'ProductSprint Backlog'!$F100 / MAX(1, 'ProductSprint Backlog'!$J100-'ProductSprint Backlog'!$I100), AND('ProductSprint Backlog'!$J100=I$2,'ProductSprint Backlog'!$I100=I$2), 'ProductSprint Backlog'!$F100, TRUE, 0)</f>
        <v>0</v>
      </c>
      <c r="J100" s="4" cm="1">
        <f t="array" ref="J100">_xlfn.IFS('ProductSprint Backlog'!$F100="", "", AND('ProductSprint Backlog'!$J100&gt;J$2,'ProductSprint Backlog'!$I100&lt;=J$2), 'ProductSprint Backlog'!$F100 / MAX(1, 'ProductSprint Backlog'!$J100-'ProductSprint Backlog'!$I100), AND('ProductSprint Backlog'!$J100=J$2,'ProductSprint Backlog'!$I100=J$2), 'ProductSprint Backlog'!$F100, TRUE, 0)</f>
        <v>0</v>
      </c>
      <c r="K100" s="4" cm="1">
        <f t="array" ref="K100">_xlfn.IFS('ProductSprint Backlog'!$F100="", "", AND('ProductSprint Backlog'!$J100&gt;K$2,'ProductSprint Backlog'!$I100&lt;=K$2), 'ProductSprint Backlog'!$F100 / MAX(1, 'ProductSprint Backlog'!$J100-'ProductSprint Backlog'!$I100), AND('ProductSprint Backlog'!$J100=K$2,'ProductSprint Backlog'!$I100=K$2), 'ProductSprint Backlog'!$F100, TRUE, 0)</f>
        <v>0</v>
      </c>
      <c r="L100" s="4" cm="1">
        <f t="array" ref="L100">_xlfn.IFS('ProductSprint Backlog'!$F100="", "", AND('ProductSprint Backlog'!$J100&gt;L$2,'ProductSprint Backlog'!$I100&lt;=L$2), 'ProductSprint Backlog'!$F100 / MAX(1, 'ProductSprint Backlog'!$J100-'ProductSprint Backlog'!$I100), AND('ProductSprint Backlog'!$J100=L$2,'ProductSprint Backlog'!$I100=L$2), 'ProductSprint Backlog'!$F100, TRUE, 0)</f>
        <v>0</v>
      </c>
      <c r="M100" s="4" cm="1">
        <f t="array" ref="M100">_xlfn.IFS('ProductSprint Backlog'!$F100="", "", AND('ProductSprint Backlog'!$J100&gt;M$2,'ProductSprint Backlog'!$I100&lt;=M$2), 'ProductSprint Backlog'!$F100 / MAX(1, 'ProductSprint Backlog'!$J100-'ProductSprint Backlog'!$I100), AND('ProductSprint Backlog'!$J100=M$2,'ProductSprint Backlog'!$I100=M$2), 'ProductSprint Backlog'!$F100, TRUE, 0)</f>
        <v>0</v>
      </c>
      <c r="N100" s="4" cm="1">
        <f t="array" ref="N100">_xlfn.IFS('ProductSprint Backlog'!$F100="", "", AND('ProductSprint Backlog'!$J100&gt;N$2,'ProductSprint Backlog'!$I100&lt;=N$2), 'ProductSprint Backlog'!$F100 / MAX(1, 'ProductSprint Backlog'!$J100-'ProductSprint Backlog'!$I100), AND('ProductSprint Backlog'!$J100=N$2,'ProductSprint Backlog'!$I100=N$2), 'ProductSprint Backlog'!$F100, TRUE, 0)</f>
        <v>0</v>
      </c>
      <c r="O100" s="4" cm="1">
        <f t="array" ref="O100">_xlfn.IFS('ProductSprint Backlog'!$F100="", "", AND('ProductSprint Backlog'!$J100&gt;O$2,'ProductSprint Backlog'!$I100&lt;=O$2), 'ProductSprint Backlog'!$F100 / MAX(1, 'ProductSprint Backlog'!$J100-'ProductSprint Backlog'!$I100), AND('ProductSprint Backlog'!$J100=O$2,'ProductSprint Backlog'!$I100=O$2), 'ProductSprint Backlog'!$F100, TRUE, 0)</f>
        <v>0</v>
      </c>
      <c r="P100" s="4" cm="1">
        <f t="array" ref="P100">_xlfn.IFS('ProductSprint Backlog'!$F100="", "", AND('ProductSprint Backlog'!$J100&gt;P$2,'ProductSprint Backlog'!$I100&lt;=P$2), 'ProductSprint Backlog'!$F100 / MAX(1, 'ProductSprint Backlog'!$J100-'ProductSprint Backlog'!$I100), AND('ProductSprint Backlog'!$J100=P$2,'ProductSprint Backlog'!$I100=P$2), 'ProductSprint Backlog'!$F100, TRUE, 0)</f>
        <v>0</v>
      </c>
      <c r="Q100" s="4" cm="1">
        <f t="array" ref="Q100">_xlfn.IFS('ProductSprint Backlog'!$F100="", "", AND('ProductSprint Backlog'!$J100&gt;Q$2,'ProductSprint Backlog'!$I100&lt;=Q$2), 'ProductSprint Backlog'!$F100 / MAX(1, 'ProductSprint Backlog'!$J100-'ProductSprint Backlog'!$I100), AND('ProductSprint Backlog'!$J100=Q$2,'ProductSprint Backlog'!$I100=Q$2), 'ProductSprint Backlog'!$F100, TRUE, 0)</f>
        <v>0</v>
      </c>
    </row>
    <row r="101" spans="2:17" x14ac:dyDescent="0.2">
      <c r="B101" s="4" cm="1">
        <f t="array" ref="B101">_xlfn.IFS('ProductSprint Backlog'!$F101="", "", AND('ProductSprint Backlog'!$J101&gt;B$2,'ProductSprint Backlog'!$I101&lt;=B$2), 'ProductSprint Backlog'!$F101 / MAX(1, 'ProductSprint Backlog'!$J101-'ProductSprint Backlog'!$I101), AND('ProductSprint Backlog'!$J101=B$2,'ProductSprint Backlog'!$I101=B$2), 'ProductSprint Backlog'!$F101, TRUE, 0)</f>
        <v>0</v>
      </c>
      <c r="C101" s="4" cm="1">
        <f t="array" ref="C101">_xlfn.IFS('ProductSprint Backlog'!$F101="", "", AND('ProductSprint Backlog'!$J101&gt;C$2,'ProductSprint Backlog'!$I101&lt;=C$2), 'ProductSprint Backlog'!$F101 / MAX(1, 'ProductSprint Backlog'!$J101-'ProductSprint Backlog'!$I101), AND('ProductSprint Backlog'!$J101=C$2,'ProductSprint Backlog'!$I101=C$2), 'ProductSprint Backlog'!$F101, TRUE, 0)</f>
        <v>0</v>
      </c>
      <c r="D101" s="4" cm="1">
        <f t="array" ref="D101">_xlfn.IFS('ProductSprint Backlog'!$F101="", "", AND('ProductSprint Backlog'!$J101&gt;D$2,'ProductSprint Backlog'!$I101&lt;=D$2), 'ProductSprint Backlog'!$F101 / MAX(1, 'ProductSprint Backlog'!$J101-'ProductSprint Backlog'!$I101), AND('ProductSprint Backlog'!$J101=D$2,'ProductSprint Backlog'!$I101=D$2), 'ProductSprint Backlog'!$F101, TRUE, 0)</f>
        <v>0</v>
      </c>
      <c r="E101" s="4" cm="1">
        <f t="array" ref="E101">_xlfn.IFS('ProductSprint Backlog'!$F101="", "", AND('ProductSprint Backlog'!$J101&gt;E$2,'ProductSprint Backlog'!$I101&lt;=E$2), 'ProductSprint Backlog'!$F101 / MAX(1, 'ProductSprint Backlog'!$J101-'ProductSprint Backlog'!$I101), AND('ProductSprint Backlog'!$J101=E$2,'ProductSprint Backlog'!$I101=E$2), 'ProductSprint Backlog'!$F101, TRUE, 0)</f>
        <v>0</v>
      </c>
      <c r="F101" s="4" cm="1">
        <f t="array" ref="F101">_xlfn.IFS('ProductSprint Backlog'!$F101="", "", AND('ProductSprint Backlog'!$J101&gt;F$2,'ProductSprint Backlog'!$I101&lt;=F$2), 'ProductSprint Backlog'!$F101 / MAX(1, 'ProductSprint Backlog'!$J101-'ProductSprint Backlog'!$I101), AND('ProductSprint Backlog'!$J101=F$2,'ProductSprint Backlog'!$I101=F$2), 'ProductSprint Backlog'!$F101, TRUE, 0)</f>
        <v>0</v>
      </c>
      <c r="G101" s="4" cm="1">
        <f t="array" ref="G101">_xlfn.IFS('ProductSprint Backlog'!$F101="", "", AND('ProductSprint Backlog'!$J101&gt;G$2,'ProductSprint Backlog'!$I101&lt;=G$2), 'ProductSprint Backlog'!$F101 / MAX(1, 'ProductSprint Backlog'!$J101-'ProductSprint Backlog'!$I101), AND('ProductSprint Backlog'!$J101=G$2,'ProductSprint Backlog'!$I101=G$2), 'ProductSprint Backlog'!$F101, TRUE, 0)</f>
        <v>0</v>
      </c>
      <c r="H101" s="4" cm="1">
        <f t="array" ref="H101">_xlfn.IFS('ProductSprint Backlog'!$F101="", "", AND('ProductSprint Backlog'!$J101&gt;H$2,'ProductSprint Backlog'!$I101&lt;=H$2), 'ProductSprint Backlog'!$F101 / MAX(1, 'ProductSprint Backlog'!$J101-'ProductSprint Backlog'!$I101), AND('ProductSprint Backlog'!$J101=H$2,'ProductSprint Backlog'!$I101=H$2), 'ProductSprint Backlog'!$F101, TRUE, 0)</f>
        <v>0</v>
      </c>
      <c r="I101" s="4" cm="1">
        <f t="array" ref="I101">_xlfn.IFS('ProductSprint Backlog'!$F101="", "", AND('ProductSprint Backlog'!$J101&gt;I$2,'ProductSprint Backlog'!$I101&lt;=I$2), 'ProductSprint Backlog'!$F101 / MAX(1, 'ProductSprint Backlog'!$J101-'ProductSprint Backlog'!$I101), AND('ProductSprint Backlog'!$J101=I$2,'ProductSprint Backlog'!$I101=I$2), 'ProductSprint Backlog'!$F101, TRUE, 0)</f>
        <v>0</v>
      </c>
      <c r="J101" s="4" cm="1">
        <f t="array" ref="J101">_xlfn.IFS('ProductSprint Backlog'!$F101="", "", AND('ProductSprint Backlog'!$J101&gt;J$2,'ProductSprint Backlog'!$I101&lt;=J$2), 'ProductSprint Backlog'!$F101 / MAX(1, 'ProductSprint Backlog'!$J101-'ProductSprint Backlog'!$I101), AND('ProductSprint Backlog'!$J101=J$2,'ProductSprint Backlog'!$I101=J$2), 'ProductSprint Backlog'!$F101, TRUE, 0)</f>
        <v>0</v>
      </c>
      <c r="K101" s="4" cm="1">
        <f t="array" ref="K101">_xlfn.IFS('ProductSprint Backlog'!$F101="", "", AND('ProductSprint Backlog'!$J101&gt;K$2,'ProductSprint Backlog'!$I101&lt;=K$2), 'ProductSprint Backlog'!$F101 / MAX(1, 'ProductSprint Backlog'!$J101-'ProductSprint Backlog'!$I101), AND('ProductSprint Backlog'!$J101=K$2,'ProductSprint Backlog'!$I101=K$2), 'ProductSprint Backlog'!$F101, TRUE, 0)</f>
        <v>0</v>
      </c>
      <c r="L101" s="4" cm="1">
        <f t="array" ref="L101">_xlfn.IFS('ProductSprint Backlog'!$F101="", "", AND('ProductSprint Backlog'!$J101&gt;L$2,'ProductSprint Backlog'!$I101&lt;=L$2), 'ProductSprint Backlog'!$F101 / MAX(1, 'ProductSprint Backlog'!$J101-'ProductSprint Backlog'!$I101), AND('ProductSprint Backlog'!$J101=L$2,'ProductSprint Backlog'!$I101=L$2), 'ProductSprint Backlog'!$F101, TRUE, 0)</f>
        <v>0</v>
      </c>
      <c r="M101" s="4" cm="1">
        <f t="array" ref="M101">_xlfn.IFS('ProductSprint Backlog'!$F101="", "", AND('ProductSprint Backlog'!$J101&gt;M$2,'ProductSprint Backlog'!$I101&lt;=M$2), 'ProductSprint Backlog'!$F101 / MAX(1, 'ProductSprint Backlog'!$J101-'ProductSprint Backlog'!$I101), AND('ProductSprint Backlog'!$J101=M$2,'ProductSprint Backlog'!$I101=M$2), 'ProductSprint Backlog'!$F101, TRUE, 0)</f>
        <v>0</v>
      </c>
      <c r="N101" s="4" cm="1">
        <f t="array" ref="N101">_xlfn.IFS('ProductSprint Backlog'!$F101="", "", AND('ProductSprint Backlog'!$J101&gt;N$2,'ProductSprint Backlog'!$I101&lt;=N$2), 'ProductSprint Backlog'!$F101 / MAX(1, 'ProductSprint Backlog'!$J101-'ProductSprint Backlog'!$I101), AND('ProductSprint Backlog'!$J101=N$2,'ProductSprint Backlog'!$I101=N$2), 'ProductSprint Backlog'!$F101, TRUE, 0)</f>
        <v>0</v>
      </c>
      <c r="O101" s="4" cm="1">
        <f t="array" ref="O101">_xlfn.IFS('ProductSprint Backlog'!$F101="", "", AND('ProductSprint Backlog'!$J101&gt;O$2,'ProductSprint Backlog'!$I101&lt;=O$2), 'ProductSprint Backlog'!$F101 / MAX(1, 'ProductSprint Backlog'!$J101-'ProductSprint Backlog'!$I101), AND('ProductSprint Backlog'!$J101=O$2,'ProductSprint Backlog'!$I101=O$2), 'ProductSprint Backlog'!$F101, TRUE, 0)</f>
        <v>0</v>
      </c>
      <c r="P101" s="4" cm="1">
        <f t="array" ref="P101">_xlfn.IFS('ProductSprint Backlog'!$F101="", "", AND('ProductSprint Backlog'!$J101&gt;P$2,'ProductSprint Backlog'!$I101&lt;=P$2), 'ProductSprint Backlog'!$F101 / MAX(1, 'ProductSprint Backlog'!$J101-'ProductSprint Backlog'!$I101), AND('ProductSprint Backlog'!$J101=P$2,'ProductSprint Backlog'!$I101=P$2), 'ProductSprint Backlog'!$F101, TRUE, 0)</f>
        <v>0</v>
      </c>
      <c r="Q101" s="4" cm="1">
        <f t="array" ref="Q101">_xlfn.IFS('ProductSprint Backlog'!$F101="", "", AND('ProductSprint Backlog'!$J101&gt;Q$2,'ProductSprint Backlog'!$I101&lt;=Q$2), 'ProductSprint Backlog'!$F101 / MAX(1, 'ProductSprint Backlog'!$J101-'ProductSprint Backlog'!$I101), AND('ProductSprint Backlog'!$J101=Q$2,'ProductSprint Backlog'!$I101=Q$2), 'ProductSprint Backlog'!$F101, TRUE, 0)</f>
        <v>0</v>
      </c>
    </row>
    <row r="102" spans="2:17" x14ac:dyDescent="0.2">
      <c r="B102" s="4" cm="1">
        <f t="array" ref="B102">_xlfn.IFS('ProductSprint Backlog'!$F102="", "", AND('ProductSprint Backlog'!$J102&gt;B$2,'ProductSprint Backlog'!$I102&lt;=B$2), 'ProductSprint Backlog'!$F102 / MAX(1, 'ProductSprint Backlog'!$J102-'ProductSprint Backlog'!$I102), AND('ProductSprint Backlog'!$J102=B$2,'ProductSprint Backlog'!$I102=B$2), 'ProductSprint Backlog'!$F102, TRUE, 0)</f>
        <v>0</v>
      </c>
      <c r="C102" s="4" cm="1">
        <f t="array" ref="C102">_xlfn.IFS('ProductSprint Backlog'!$F102="", "", AND('ProductSprint Backlog'!$J102&gt;C$2,'ProductSprint Backlog'!$I102&lt;=C$2), 'ProductSprint Backlog'!$F102 / MAX(1, 'ProductSprint Backlog'!$J102-'ProductSprint Backlog'!$I102), AND('ProductSprint Backlog'!$J102=C$2,'ProductSprint Backlog'!$I102=C$2), 'ProductSprint Backlog'!$F102, TRUE, 0)</f>
        <v>0</v>
      </c>
      <c r="D102" s="4" cm="1">
        <f t="array" ref="D102">_xlfn.IFS('ProductSprint Backlog'!$F102="", "", AND('ProductSprint Backlog'!$J102&gt;D$2,'ProductSprint Backlog'!$I102&lt;=D$2), 'ProductSprint Backlog'!$F102 / MAX(1, 'ProductSprint Backlog'!$J102-'ProductSprint Backlog'!$I102), AND('ProductSprint Backlog'!$J102=D$2,'ProductSprint Backlog'!$I102=D$2), 'ProductSprint Backlog'!$F102, TRUE, 0)</f>
        <v>0</v>
      </c>
      <c r="E102" s="4" cm="1">
        <f t="array" ref="E102">_xlfn.IFS('ProductSprint Backlog'!$F102="", "", AND('ProductSprint Backlog'!$J102&gt;E$2,'ProductSprint Backlog'!$I102&lt;=E$2), 'ProductSprint Backlog'!$F102 / MAX(1, 'ProductSprint Backlog'!$J102-'ProductSprint Backlog'!$I102), AND('ProductSprint Backlog'!$J102=E$2,'ProductSprint Backlog'!$I102=E$2), 'ProductSprint Backlog'!$F102, TRUE, 0)</f>
        <v>0</v>
      </c>
      <c r="F102" s="4" cm="1">
        <f t="array" ref="F102">_xlfn.IFS('ProductSprint Backlog'!$F102="", "", AND('ProductSprint Backlog'!$J102&gt;F$2,'ProductSprint Backlog'!$I102&lt;=F$2), 'ProductSprint Backlog'!$F102 / MAX(1, 'ProductSprint Backlog'!$J102-'ProductSprint Backlog'!$I102), AND('ProductSprint Backlog'!$J102=F$2,'ProductSprint Backlog'!$I102=F$2), 'ProductSprint Backlog'!$F102, TRUE, 0)</f>
        <v>0</v>
      </c>
      <c r="G102" s="4" cm="1">
        <f t="array" ref="G102">_xlfn.IFS('ProductSprint Backlog'!$F102="", "", AND('ProductSprint Backlog'!$J102&gt;G$2,'ProductSprint Backlog'!$I102&lt;=G$2), 'ProductSprint Backlog'!$F102 / MAX(1, 'ProductSprint Backlog'!$J102-'ProductSprint Backlog'!$I102), AND('ProductSprint Backlog'!$J102=G$2,'ProductSprint Backlog'!$I102=G$2), 'ProductSprint Backlog'!$F102, TRUE, 0)</f>
        <v>0</v>
      </c>
      <c r="H102" s="4" cm="1">
        <f t="array" ref="H102">_xlfn.IFS('ProductSprint Backlog'!$F102="", "", AND('ProductSprint Backlog'!$J102&gt;H$2,'ProductSprint Backlog'!$I102&lt;=H$2), 'ProductSprint Backlog'!$F102 / MAX(1, 'ProductSprint Backlog'!$J102-'ProductSprint Backlog'!$I102), AND('ProductSprint Backlog'!$J102=H$2,'ProductSprint Backlog'!$I102=H$2), 'ProductSprint Backlog'!$F102, TRUE, 0)</f>
        <v>0</v>
      </c>
      <c r="I102" s="4" cm="1">
        <f t="array" ref="I102">_xlfn.IFS('ProductSprint Backlog'!$F102="", "", AND('ProductSprint Backlog'!$J102&gt;I$2,'ProductSprint Backlog'!$I102&lt;=I$2), 'ProductSprint Backlog'!$F102 / MAX(1, 'ProductSprint Backlog'!$J102-'ProductSprint Backlog'!$I102), AND('ProductSprint Backlog'!$J102=I$2,'ProductSprint Backlog'!$I102=I$2), 'ProductSprint Backlog'!$F102, TRUE, 0)</f>
        <v>0</v>
      </c>
      <c r="J102" s="4" cm="1">
        <f t="array" ref="J102">_xlfn.IFS('ProductSprint Backlog'!$F102="", "", AND('ProductSprint Backlog'!$J102&gt;J$2,'ProductSprint Backlog'!$I102&lt;=J$2), 'ProductSprint Backlog'!$F102 / MAX(1, 'ProductSprint Backlog'!$J102-'ProductSprint Backlog'!$I102), AND('ProductSprint Backlog'!$J102=J$2,'ProductSprint Backlog'!$I102=J$2), 'ProductSprint Backlog'!$F102, TRUE, 0)</f>
        <v>0</v>
      </c>
      <c r="K102" s="4" cm="1">
        <f t="array" ref="K102">_xlfn.IFS('ProductSprint Backlog'!$F102="", "", AND('ProductSprint Backlog'!$J102&gt;K$2,'ProductSprint Backlog'!$I102&lt;=K$2), 'ProductSprint Backlog'!$F102 / MAX(1, 'ProductSprint Backlog'!$J102-'ProductSprint Backlog'!$I102), AND('ProductSprint Backlog'!$J102=K$2,'ProductSprint Backlog'!$I102=K$2), 'ProductSprint Backlog'!$F102, TRUE, 0)</f>
        <v>0</v>
      </c>
      <c r="L102" s="4" cm="1">
        <f t="array" ref="L102">_xlfn.IFS('ProductSprint Backlog'!$F102="", "", AND('ProductSprint Backlog'!$J102&gt;L$2,'ProductSprint Backlog'!$I102&lt;=L$2), 'ProductSprint Backlog'!$F102 / MAX(1, 'ProductSprint Backlog'!$J102-'ProductSprint Backlog'!$I102), AND('ProductSprint Backlog'!$J102=L$2,'ProductSprint Backlog'!$I102=L$2), 'ProductSprint Backlog'!$F102, TRUE, 0)</f>
        <v>0</v>
      </c>
      <c r="M102" s="4" cm="1">
        <f t="array" ref="M102">_xlfn.IFS('ProductSprint Backlog'!$F102="", "", AND('ProductSprint Backlog'!$J102&gt;M$2,'ProductSprint Backlog'!$I102&lt;=M$2), 'ProductSprint Backlog'!$F102 / MAX(1, 'ProductSprint Backlog'!$J102-'ProductSprint Backlog'!$I102), AND('ProductSprint Backlog'!$J102=M$2,'ProductSprint Backlog'!$I102=M$2), 'ProductSprint Backlog'!$F102, TRUE, 0)</f>
        <v>0</v>
      </c>
      <c r="N102" s="4" cm="1">
        <f t="array" ref="N102">_xlfn.IFS('ProductSprint Backlog'!$F102="", "", AND('ProductSprint Backlog'!$J102&gt;N$2,'ProductSprint Backlog'!$I102&lt;=N$2), 'ProductSprint Backlog'!$F102 / MAX(1, 'ProductSprint Backlog'!$J102-'ProductSprint Backlog'!$I102), AND('ProductSprint Backlog'!$J102=N$2,'ProductSprint Backlog'!$I102=N$2), 'ProductSprint Backlog'!$F102, TRUE, 0)</f>
        <v>0</v>
      </c>
      <c r="O102" s="4" cm="1">
        <f t="array" ref="O102">_xlfn.IFS('ProductSprint Backlog'!$F102="", "", AND('ProductSprint Backlog'!$J102&gt;O$2,'ProductSprint Backlog'!$I102&lt;=O$2), 'ProductSprint Backlog'!$F102 / MAX(1, 'ProductSprint Backlog'!$J102-'ProductSprint Backlog'!$I102), AND('ProductSprint Backlog'!$J102=O$2,'ProductSprint Backlog'!$I102=O$2), 'ProductSprint Backlog'!$F102, TRUE, 0)</f>
        <v>0</v>
      </c>
      <c r="P102" s="4" cm="1">
        <f t="array" ref="P102">_xlfn.IFS('ProductSprint Backlog'!$F102="", "", AND('ProductSprint Backlog'!$J102&gt;P$2,'ProductSprint Backlog'!$I102&lt;=P$2), 'ProductSprint Backlog'!$F102 / MAX(1, 'ProductSprint Backlog'!$J102-'ProductSprint Backlog'!$I102), AND('ProductSprint Backlog'!$J102=P$2,'ProductSprint Backlog'!$I102=P$2), 'ProductSprint Backlog'!$F102, TRUE, 0)</f>
        <v>0</v>
      </c>
      <c r="Q102" s="4" cm="1">
        <f t="array" ref="Q102">_xlfn.IFS('ProductSprint Backlog'!$F102="", "", AND('ProductSprint Backlog'!$J102&gt;Q$2,'ProductSprint Backlog'!$I102&lt;=Q$2), 'ProductSprint Backlog'!$F102 / MAX(1, 'ProductSprint Backlog'!$J102-'ProductSprint Backlog'!$I102), AND('ProductSprint Backlog'!$J102=Q$2,'ProductSprint Backlog'!$I102=Q$2), 'ProductSprint Backlog'!$F102, TRUE, 0)</f>
        <v>0</v>
      </c>
    </row>
    <row r="103" spans="2:17" x14ac:dyDescent="0.2">
      <c r="B103" s="4" cm="1">
        <f t="array" ref="B103">_xlfn.IFS('ProductSprint Backlog'!$F103="", "", AND('ProductSprint Backlog'!$J103&gt;B$2,'ProductSprint Backlog'!$I103&lt;=B$2), 'ProductSprint Backlog'!$F103 / MAX(1, 'ProductSprint Backlog'!$J103-'ProductSprint Backlog'!$I103), AND('ProductSprint Backlog'!$J103=B$2,'ProductSprint Backlog'!$I103=B$2), 'ProductSprint Backlog'!$F103, TRUE, 0)</f>
        <v>0</v>
      </c>
      <c r="C103" s="4" cm="1">
        <f t="array" ref="C103">_xlfn.IFS('ProductSprint Backlog'!$F103="", "", AND('ProductSprint Backlog'!$J103&gt;C$2,'ProductSprint Backlog'!$I103&lt;=C$2), 'ProductSprint Backlog'!$F103 / MAX(1, 'ProductSprint Backlog'!$J103-'ProductSprint Backlog'!$I103), AND('ProductSprint Backlog'!$J103=C$2,'ProductSprint Backlog'!$I103=C$2), 'ProductSprint Backlog'!$F103, TRUE, 0)</f>
        <v>0</v>
      </c>
      <c r="D103" s="4" cm="1">
        <f t="array" ref="D103">_xlfn.IFS('ProductSprint Backlog'!$F103="", "", AND('ProductSprint Backlog'!$J103&gt;D$2,'ProductSprint Backlog'!$I103&lt;=D$2), 'ProductSprint Backlog'!$F103 / MAX(1, 'ProductSprint Backlog'!$J103-'ProductSprint Backlog'!$I103), AND('ProductSprint Backlog'!$J103=D$2,'ProductSprint Backlog'!$I103=D$2), 'ProductSprint Backlog'!$F103, TRUE, 0)</f>
        <v>0</v>
      </c>
      <c r="E103" s="4" cm="1">
        <f t="array" ref="E103">_xlfn.IFS('ProductSprint Backlog'!$F103="", "", AND('ProductSprint Backlog'!$J103&gt;E$2,'ProductSprint Backlog'!$I103&lt;=E$2), 'ProductSprint Backlog'!$F103 / MAX(1, 'ProductSprint Backlog'!$J103-'ProductSprint Backlog'!$I103), AND('ProductSprint Backlog'!$J103=E$2,'ProductSprint Backlog'!$I103=E$2), 'ProductSprint Backlog'!$F103, TRUE, 0)</f>
        <v>0</v>
      </c>
      <c r="F103" s="4" cm="1">
        <f t="array" ref="F103">_xlfn.IFS('ProductSprint Backlog'!$F103="", "", AND('ProductSprint Backlog'!$J103&gt;F$2,'ProductSprint Backlog'!$I103&lt;=F$2), 'ProductSprint Backlog'!$F103 / MAX(1, 'ProductSprint Backlog'!$J103-'ProductSprint Backlog'!$I103), AND('ProductSprint Backlog'!$J103=F$2,'ProductSprint Backlog'!$I103=F$2), 'ProductSprint Backlog'!$F103, TRUE, 0)</f>
        <v>0</v>
      </c>
      <c r="G103" s="4" cm="1">
        <f t="array" ref="G103">_xlfn.IFS('ProductSprint Backlog'!$F103="", "", AND('ProductSprint Backlog'!$J103&gt;G$2,'ProductSprint Backlog'!$I103&lt;=G$2), 'ProductSprint Backlog'!$F103 / MAX(1, 'ProductSprint Backlog'!$J103-'ProductSprint Backlog'!$I103), AND('ProductSprint Backlog'!$J103=G$2,'ProductSprint Backlog'!$I103=G$2), 'ProductSprint Backlog'!$F103, TRUE, 0)</f>
        <v>0</v>
      </c>
      <c r="H103" s="4" cm="1">
        <f t="array" ref="H103">_xlfn.IFS('ProductSprint Backlog'!$F103="", "", AND('ProductSprint Backlog'!$J103&gt;H$2,'ProductSprint Backlog'!$I103&lt;=H$2), 'ProductSprint Backlog'!$F103 / MAX(1, 'ProductSprint Backlog'!$J103-'ProductSprint Backlog'!$I103), AND('ProductSprint Backlog'!$J103=H$2,'ProductSprint Backlog'!$I103=H$2), 'ProductSprint Backlog'!$F103, TRUE, 0)</f>
        <v>0</v>
      </c>
      <c r="I103" s="4" cm="1">
        <f t="array" ref="I103">_xlfn.IFS('ProductSprint Backlog'!$F103="", "", AND('ProductSprint Backlog'!$J103&gt;I$2,'ProductSprint Backlog'!$I103&lt;=I$2), 'ProductSprint Backlog'!$F103 / MAX(1, 'ProductSprint Backlog'!$J103-'ProductSprint Backlog'!$I103), AND('ProductSprint Backlog'!$J103=I$2,'ProductSprint Backlog'!$I103=I$2), 'ProductSprint Backlog'!$F103, TRUE, 0)</f>
        <v>0</v>
      </c>
      <c r="J103" s="4" cm="1">
        <f t="array" ref="J103">_xlfn.IFS('ProductSprint Backlog'!$F103="", "", AND('ProductSprint Backlog'!$J103&gt;J$2,'ProductSprint Backlog'!$I103&lt;=J$2), 'ProductSprint Backlog'!$F103 / MAX(1, 'ProductSprint Backlog'!$J103-'ProductSprint Backlog'!$I103), AND('ProductSprint Backlog'!$J103=J$2,'ProductSprint Backlog'!$I103=J$2), 'ProductSprint Backlog'!$F103, TRUE, 0)</f>
        <v>0</v>
      </c>
      <c r="K103" s="4" cm="1">
        <f t="array" ref="K103">_xlfn.IFS('ProductSprint Backlog'!$F103="", "", AND('ProductSprint Backlog'!$J103&gt;K$2,'ProductSprint Backlog'!$I103&lt;=K$2), 'ProductSprint Backlog'!$F103 / MAX(1, 'ProductSprint Backlog'!$J103-'ProductSprint Backlog'!$I103), AND('ProductSprint Backlog'!$J103=K$2,'ProductSprint Backlog'!$I103=K$2), 'ProductSprint Backlog'!$F103, TRUE, 0)</f>
        <v>0</v>
      </c>
      <c r="L103" s="4" cm="1">
        <f t="array" ref="L103">_xlfn.IFS('ProductSprint Backlog'!$F103="", "", AND('ProductSprint Backlog'!$J103&gt;L$2,'ProductSprint Backlog'!$I103&lt;=L$2), 'ProductSprint Backlog'!$F103 / MAX(1, 'ProductSprint Backlog'!$J103-'ProductSprint Backlog'!$I103), AND('ProductSprint Backlog'!$J103=L$2,'ProductSprint Backlog'!$I103=L$2), 'ProductSprint Backlog'!$F103, TRUE, 0)</f>
        <v>0</v>
      </c>
      <c r="M103" s="4" cm="1">
        <f t="array" ref="M103">_xlfn.IFS('ProductSprint Backlog'!$F103="", "", AND('ProductSprint Backlog'!$J103&gt;M$2,'ProductSprint Backlog'!$I103&lt;=M$2), 'ProductSprint Backlog'!$F103 / MAX(1, 'ProductSprint Backlog'!$J103-'ProductSprint Backlog'!$I103), AND('ProductSprint Backlog'!$J103=M$2,'ProductSprint Backlog'!$I103=M$2), 'ProductSprint Backlog'!$F103, TRUE, 0)</f>
        <v>0</v>
      </c>
      <c r="N103" s="4" cm="1">
        <f t="array" ref="N103">_xlfn.IFS('ProductSprint Backlog'!$F103="", "", AND('ProductSprint Backlog'!$J103&gt;N$2,'ProductSprint Backlog'!$I103&lt;=N$2), 'ProductSprint Backlog'!$F103 / MAX(1, 'ProductSprint Backlog'!$J103-'ProductSprint Backlog'!$I103), AND('ProductSprint Backlog'!$J103=N$2,'ProductSprint Backlog'!$I103=N$2), 'ProductSprint Backlog'!$F103, TRUE, 0)</f>
        <v>0</v>
      </c>
      <c r="O103" s="4" cm="1">
        <f t="array" ref="O103">_xlfn.IFS('ProductSprint Backlog'!$F103="", "", AND('ProductSprint Backlog'!$J103&gt;O$2,'ProductSprint Backlog'!$I103&lt;=O$2), 'ProductSprint Backlog'!$F103 / MAX(1, 'ProductSprint Backlog'!$J103-'ProductSprint Backlog'!$I103), AND('ProductSprint Backlog'!$J103=O$2,'ProductSprint Backlog'!$I103=O$2), 'ProductSprint Backlog'!$F103, TRUE, 0)</f>
        <v>0</v>
      </c>
      <c r="P103" s="4" cm="1">
        <f t="array" ref="P103">_xlfn.IFS('ProductSprint Backlog'!$F103="", "", AND('ProductSprint Backlog'!$J103&gt;P$2,'ProductSprint Backlog'!$I103&lt;=P$2), 'ProductSprint Backlog'!$F103 / MAX(1, 'ProductSprint Backlog'!$J103-'ProductSprint Backlog'!$I103), AND('ProductSprint Backlog'!$J103=P$2,'ProductSprint Backlog'!$I103=P$2), 'ProductSprint Backlog'!$F103, TRUE, 0)</f>
        <v>0</v>
      </c>
      <c r="Q103" s="4" cm="1">
        <f t="array" ref="Q103">_xlfn.IFS('ProductSprint Backlog'!$F103="", "", AND('ProductSprint Backlog'!$J103&gt;Q$2,'ProductSprint Backlog'!$I103&lt;=Q$2), 'ProductSprint Backlog'!$F103 / MAX(1, 'ProductSprint Backlog'!$J103-'ProductSprint Backlog'!$I103), AND('ProductSprint Backlog'!$J103=Q$2,'ProductSprint Backlog'!$I103=Q$2), 'ProductSprint Backlog'!$F103, TRUE, 0)</f>
        <v>0</v>
      </c>
    </row>
    <row r="104" spans="2:17" x14ac:dyDescent="0.2">
      <c r="B104" s="4" cm="1">
        <f t="array" ref="B104">_xlfn.IFS('ProductSprint Backlog'!$F104="", "", AND('ProductSprint Backlog'!$J104&gt;B$2,'ProductSprint Backlog'!$I104&lt;=B$2), 'ProductSprint Backlog'!$F104 / MAX(1, 'ProductSprint Backlog'!$J104-'ProductSprint Backlog'!$I104), AND('ProductSprint Backlog'!$J104=B$2,'ProductSprint Backlog'!$I104=B$2), 'ProductSprint Backlog'!$F104, TRUE, 0)</f>
        <v>0</v>
      </c>
      <c r="C104" s="4" cm="1">
        <f t="array" ref="C104">_xlfn.IFS('ProductSprint Backlog'!$F104="", "", AND('ProductSprint Backlog'!$J104&gt;C$2,'ProductSprint Backlog'!$I104&lt;=C$2), 'ProductSprint Backlog'!$F104 / MAX(1, 'ProductSprint Backlog'!$J104-'ProductSprint Backlog'!$I104), AND('ProductSprint Backlog'!$J104=C$2,'ProductSprint Backlog'!$I104=C$2), 'ProductSprint Backlog'!$F104, TRUE, 0)</f>
        <v>0</v>
      </c>
      <c r="D104" s="4" cm="1">
        <f t="array" ref="D104">_xlfn.IFS('ProductSprint Backlog'!$F104="", "", AND('ProductSprint Backlog'!$J104&gt;D$2,'ProductSprint Backlog'!$I104&lt;=D$2), 'ProductSprint Backlog'!$F104 / MAX(1, 'ProductSprint Backlog'!$J104-'ProductSprint Backlog'!$I104), AND('ProductSprint Backlog'!$J104=D$2,'ProductSprint Backlog'!$I104=D$2), 'ProductSprint Backlog'!$F104, TRUE, 0)</f>
        <v>0</v>
      </c>
      <c r="E104" s="4" cm="1">
        <f t="array" ref="E104">_xlfn.IFS('ProductSprint Backlog'!$F104="", "", AND('ProductSprint Backlog'!$J104&gt;E$2,'ProductSprint Backlog'!$I104&lt;=E$2), 'ProductSprint Backlog'!$F104 / MAX(1, 'ProductSprint Backlog'!$J104-'ProductSprint Backlog'!$I104), AND('ProductSprint Backlog'!$J104=E$2,'ProductSprint Backlog'!$I104=E$2), 'ProductSprint Backlog'!$F104, TRUE, 0)</f>
        <v>0</v>
      </c>
      <c r="F104" s="4" cm="1">
        <f t="array" ref="F104">_xlfn.IFS('ProductSprint Backlog'!$F104="", "", AND('ProductSprint Backlog'!$J104&gt;F$2,'ProductSprint Backlog'!$I104&lt;=F$2), 'ProductSprint Backlog'!$F104 / MAX(1, 'ProductSprint Backlog'!$J104-'ProductSprint Backlog'!$I104), AND('ProductSprint Backlog'!$J104=F$2,'ProductSprint Backlog'!$I104=F$2), 'ProductSprint Backlog'!$F104, TRUE, 0)</f>
        <v>0</v>
      </c>
      <c r="G104" s="4" cm="1">
        <f t="array" ref="G104">_xlfn.IFS('ProductSprint Backlog'!$F104="", "", AND('ProductSprint Backlog'!$J104&gt;G$2,'ProductSprint Backlog'!$I104&lt;=G$2), 'ProductSprint Backlog'!$F104 / MAX(1, 'ProductSprint Backlog'!$J104-'ProductSprint Backlog'!$I104), AND('ProductSprint Backlog'!$J104=G$2,'ProductSprint Backlog'!$I104=G$2), 'ProductSprint Backlog'!$F104, TRUE, 0)</f>
        <v>0</v>
      </c>
      <c r="H104" s="4" cm="1">
        <f t="array" ref="H104">_xlfn.IFS('ProductSprint Backlog'!$F104="", "", AND('ProductSprint Backlog'!$J104&gt;H$2,'ProductSprint Backlog'!$I104&lt;=H$2), 'ProductSprint Backlog'!$F104 / MAX(1, 'ProductSprint Backlog'!$J104-'ProductSprint Backlog'!$I104), AND('ProductSprint Backlog'!$J104=H$2,'ProductSprint Backlog'!$I104=H$2), 'ProductSprint Backlog'!$F104, TRUE, 0)</f>
        <v>0</v>
      </c>
      <c r="I104" s="4" cm="1">
        <f t="array" ref="I104">_xlfn.IFS('ProductSprint Backlog'!$F104="", "", AND('ProductSprint Backlog'!$J104&gt;I$2,'ProductSprint Backlog'!$I104&lt;=I$2), 'ProductSprint Backlog'!$F104 / MAX(1, 'ProductSprint Backlog'!$J104-'ProductSprint Backlog'!$I104), AND('ProductSprint Backlog'!$J104=I$2,'ProductSprint Backlog'!$I104=I$2), 'ProductSprint Backlog'!$F104, TRUE, 0)</f>
        <v>0</v>
      </c>
      <c r="J104" s="4" cm="1">
        <f t="array" ref="J104">_xlfn.IFS('ProductSprint Backlog'!$F104="", "", AND('ProductSprint Backlog'!$J104&gt;J$2,'ProductSprint Backlog'!$I104&lt;=J$2), 'ProductSprint Backlog'!$F104 / MAX(1, 'ProductSprint Backlog'!$J104-'ProductSprint Backlog'!$I104), AND('ProductSprint Backlog'!$J104=J$2,'ProductSprint Backlog'!$I104=J$2), 'ProductSprint Backlog'!$F104, TRUE, 0)</f>
        <v>0</v>
      </c>
      <c r="K104" s="4" cm="1">
        <f t="array" ref="K104">_xlfn.IFS('ProductSprint Backlog'!$F104="", "", AND('ProductSprint Backlog'!$J104&gt;K$2,'ProductSprint Backlog'!$I104&lt;=K$2), 'ProductSprint Backlog'!$F104 / MAX(1, 'ProductSprint Backlog'!$J104-'ProductSprint Backlog'!$I104), AND('ProductSprint Backlog'!$J104=K$2,'ProductSprint Backlog'!$I104=K$2), 'ProductSprint Backlog'!$F104, TRUE, 0)</f>
        <v>0</v>
      </c>
      <c r="L104" s="4" cm="1">
        <f t="array" ref="L104">_xlfn.IFS('ProductSprint Backlog'!$F104="", "", AND('ProductSprint Backlog'!$J104&gt;L$2,'ProductSprint Backlog'!$I104&lt;=L$2), 'ProductSprint Backlog'!$F104 / MAX(1, 'ProductSprint Backlog'!$J104-'ProductSprint Backlog'!$I104), AND('ProductSprint Backlog'!$J104=L$2,'ProductSprint Backlog'!$I104=L$2), 'ProductSprint Backlog'!$F104, TRUE, 0)</f>
        <v>0</v>
      </c>
      <c r="M104" s="4" cm="1">
        <f t="array" ref="M104">_xlfn.IFS('ProductSprint Backlog'!$F104="", "", AND('ProductSprint Backlog'!$J104&gt;M$2,'ProductSprint Backlog'!$I104&lt;=M$2), 'ProductSprint Backlog'!$F104 / MAX(1, 'ProductSprint Backlog'!$J104-'ProductSprint Backlog'!$I104), AND('ProductSprint Backlog'!$J104=M$2,'ProductSprint Backlog'!$I104=M$2), 'ProductSprint Backlog'!$F104, TRUE, 0)</f>
        <v>0</v>
      </c>
      <c r="N104" s="4" cm="1">
        <f t="array" ref="N104">_xlfn.IFS('ProductSprint Backlog'!$F104="", "", AND('ProductSprint Backlog'!$J104&gt;N$2,'ProductSprint Backlog'!$I104&lt;=N$2), 'ProductSprint Backlog'!$F104 / MAX(1, 'ProductSprint Backlog'!$J104-'ProductSprint Backlog'!$I104), AND('ProductSprint Backlog'!$J104=N$2,'ProductSprint Backlog'!$I104=N$2), 'ProductSprint Backlog'!$F104, TRUE, 0)</f>
        <v>0</v>
      </c>
      <c r="O104" s="4" cm="1">
        <f t="array" ref="O104">_xlfn.IFS('ProductSprint Backlog'!$F104="", "", AND('ProductSprint Backlog'!$J104&gt;O$2,'ProductSprint Backlog'!$I104&lt;=O$2), 'ProductSprint Backlog'!$F104 / MAX(1, 'ProductSprint Backlog'!$J104-'ProductSprint Backlog'!$I104), AND('ProductSprint Backlog'!$J104=O$2,'ProductSprint Backlog'!$I104=O$2), 'ProductSprint Backlog'!$F104, TRUE, 0)</f>
        <v>0</v>
      </c>
      <c r="P104" s="4" cm="1">
        <f t="array" ref="P104">_xlfn.IFS('ProductSprint Backlog'!$F104="", "", AND('ProductSprint Backlog'!$J104&gt;P$2,'ProductSprint Backlog'!$I104&lt;=P$2), 'ProductSprint Backlog'!$F104 / MAX(1, 'ProductSprint Backlog'!$J104-'ProductSprint Backlog'!$I104), AND('ProductSprint Backlog'!$J104=P$2,'ProductSprint Backlog'!$I104=P$2), 'ProductSprint Backlog'!$F104, TRUE, 0)</f>
        <v>0</v>
      </c>
      <c r="Q104" s="4" cm="1">
        <f t="array" ref="Q104">_xlfn.IFS('ProductSprint Backlog'!$F104="", "", AND('ProductSprint Backlog'!$J104&gt;Q$2,'ProductSprint Backlog'!$I104&lt;=Q$2), 'ProductSprint Backlog'!$F104 / MAX(1, 'ProductSprint Backlog'!$J104-'ProductSprint Backlog'!$I104), AND('ProductSprint Backlog'!$J104=Q$2,'ProductSprint Backlog'!$I104=Q$2), 'ProductSprint Backlog'!$F104, TRUE, 0)</f>
        <v>0</v>
      </c>
    </row>
    <row r="105" spans="2:17" x14ac:dyDescent="0.2">
      <c r="B105" s="4" cm="1">
        <f t="array" ref="B105">_xlfn.IFS('ProductSprint Backlog'!$F105="", "", AND('ProductSprint Backlog'!$J105&gt;B$2,'ProductSprint Backlog'!$I105&lt;=B$2), 'ProductSprint Backlog'!$F105 / MAX(1, 'ProductSprint Backlog'!$J105-'ProductSprint Backlog'!$I105), AND('ProductSprint Backlog'!$J105=B$2,'ProductSprint Backlog'!$I105=B$2), 'ProductSprint Backlog'!$F105, TRUE, 0)</f>
        <v>0</v>
      </c>
      <c r="C105" s="4" cm="1">
        <f t="array" ref="C105">_xlfn.IFS('ProductSprint Backlog'!$F105="", "", AND('ProductSprint Backlog'!$J105&gt;C$2,'ProductSprint Backlog'!$I105&lt;=C$2), 'ProductSprint Backlog'!$F105 / MAX(1, 'ProductSprint Backlog'!$J105-'ProductSprint Backlog'!$I105), AND('ProductSprint Backlog'!$J105=C$2,'ProductSprint Backlog'!$I105=C$2), 'ProductSprint Backlog'!$F105, TRUE, 0)</f>
        <v>0</v>
      </c>
      <c r="D105" s="4" cm="1">
        <f t="array" ref="D105">_xlfn.IFS('ProductSprint Backlog'!$F105="", "", AND('ProductSprint Backlog'!$J105&gt;D$2,'ProductSprint Backlog'!$I105&lt;=D$2), 'ProductSprint Backlog'!$F105 / MAX(1, 'ProductSprint Backlog'!$J105-'ProductSprint Backlog'!$I105), AND('ProductSprint Backlog'!$J105=D$2,'ProductSprint Backlog'!$I105=D$2), 'ProductSprint Backlog'!$F105, TRUE, 0)</f>
        <v>0</v>
      </c>
      <c r="E105" s="4" cm="1">
        <f t="array" ref="E105">_xlfn.IFS('ProductSprint Backlog'!$F105="", "", AND('ProductSprint Backlog'!$J105&gt;E$2,'ProductSprint Backlog'!$I105&lt;=E$2), 'ProductSprint Backlog'!$F105 / MAX(1, 'ProductSprint Backlog'!$J105-'ProductSprint Backlog'!$I105), AND('ProductSprint Backlog'!$J105=E$2,'ProductSprint Backlog'!$I105=E$2), 'ProductSprint Backlog'!$F105, TRUE, 0)</f>
        <v>0</v>
      </c>
      <c r="F105" s="4" cm="1">
        <f t="array" ref="F105">_xlfn.IFS('ProductSprint Backlog'!$F105="", "", AND('ProductSprint Backlog'!$J105&gt;F$2,'ProductSprint Backlog'!$I105&lt;=F$2), 'ProductSprint Backlog'!$F105 / MAX(1, 'ProductSprint Backlog'!$J105-'ProductSprint Backlog'!$I105), AND('ProductSprint Backlog'!$J105=F$2,'ProductSprint Backlog'!$I105=F$2), 'ProductSprint Backlog'!$F105, TRUE, 0)</f>
        <v>0</v>
      </c>
      <c r="G105" s="4" cm="1">
        <f t="array" ref="G105">_xlfn.IFS('ProductSprint Backlog'!$F105="", "", AND('ProductSprint Backlog'!$J105&gt;G$2,'ProductSprint Backlog'!$I105&lt;=G$2), 'ProductSprint Backlog'!$F105 / MAX(1, 'ProductSprint Backlog'!$J105-'ProductSprint Backlog'!$I105), AND('ProductSprint Backlog'!$J105=G$2,'ProductSprint Backlog'!$I105=G$2), 'ProductSprint Backlog'!$F105, TRUE, 0)</f>
        <v>0</v>
      </c>
      <c r="H105" s="4" cm="1">
        <f t="array" ref="H105">_xlfn.IFS('ProductSprint Backlog'!$F105="", "", AND('ProductSprint Backlog'!$J105&gt;H$2,'ProductSprint Backlog'!$I105&lt;=H$2), 'ProductSprint Backlog'!$F105 / MAX(1, 'ProductSprint Backlog'!$J105-'ProductSprint Backlog'!$I105), AND('ProductSprint Backlog'!$J105=H$2,'ProductSprint Backlog'!$I105=H$2), 'ProductSprint Backlog'!$F105, TRUE, 0)</f>
        <v>0</v>
      </c>
      <c r="I105" s="4" cm="1">
        <f t="array" ref="I105">_xlfn.IFS('ProductSprint Backlog'!$F105="", "", AND('ProductSprint Backlog'!$J105&gt;I$2,'ProductSprint Backlog'!$I105&lt;=I$2), 'ProductSprint Backlog'!$F105 / MAX(1, 'ProductSprint Backlog'!$J105-'ProductSprint Backlog'!$I105), AND('ProductSprint Backlog'!$J105=I$2,'ProductSprint Backlog'!$I105=I$2), 'ProductSprint Backlog'!$F105, TRUE, 0)</f>
        <v>0</v>
      </c>
      <c r="J105" s="4" cm="1">
        <f t="array" ref="J105">_xlfn.IFS('ProductSprint Backlog'!$F105="", "", AND('ProductSprint Backlog'!$J105&gt;J$2,'ProductSprint Backlog'!$I105&lt;=J$2), 'ProductSprint Backlog'!$F105 / MAX(1, 'ProductSprint Backlog'!$J105-'ProductSprint Backlog'!$I105), AND('ProductSprint Backlog'!$J105=J$2,'ProductSprint Backlog'!$I105=J$2), 'ProductSprint Backlog'!$F105, TRUE, 0)</f>
        <v>0</v>
      </c>
      <c r="K105" s="4" cm="1">
        <f t="array" ref="K105">_xlfn.IFS('ProductSprint Backlog'!$F105="", "", AND('ProductSprint Backlog'!$J105&gt;K$2,'ProductSprint Backlog'!$I105&lt;=K$2), 'ProductSprint Backlog'!$F105 / MAX(1, 'ProductSprint Backlog'!$J105-'ProductSprint Backlog'!$I105), AND('ProductSprint Backlog'!$J105=K$2,'ProductSprint Backlog'!$I105=K$2), 'ProductSprint Backlog'!$F105, TRUE, 0)</f>
        <v>0</v>
      </c>
      <c r="L105" s="4" cm="1">
        <f t="array" ref="L105">_xlfn.IFS('ProductSprint Backlog'!$F105="", "", AND('ProductSprint Backlog'!$J105&gt;L$2,'ProductSprint Backlog'!$I105&lt;=L$2), 'ProductSprint Backlog'!$F105 / MAX(1, 'ProductSprint Backlog'!$J105-'ProductSprint Backlog'!$I105), AND('ProductSprint Backlog'!$J105=L$2,'ProductSprint Backlog'!$I105=L$2), 'ProductSprint Backlog'!$F105, TRUE, 0)</f>
        <v>0</v>
      </c>
      <c r="M105" s="4" cm="1">
        <f t="array" ref="M105">_xlfn.IFS('ProductSprint Backlog'!$F105="", "", AND('ProductSprint Backlog'!$J105&gt;M$2,'ProductSprint Backlog'!$I105&lt;=M$2), 'ProductSprint Backlog'!$F105 / MAX(1, 'ProductSprint Backlog'!$J105-'ProductSprint Backlog'!$I105), AND('ProductSprint Backlog'!$J105=M$2,'ProductSprint Backlog'!$I105=M$2), 'ProductSprint Backlog'!$F105, TRUE, 0)</f>
        <v>0</v>
      </c>
      <c r="N105" s="4" cm="1">
        <f t="array" ref="N105">_xlfn.IFS('ProductSprint Backlog'!$F105="", "", AND('ProductSprint Backlog'!$J105&gt;N$2,'ProductSprint Backlog'!$I105&lt;=N$2), 'ProductSprint Backlog'!$F105 / MAX(1, 'ProductSprint Backlog'!$J105-'ProductSprint Backlog'!$I105), AND('ProductSprint Backlog'!$J105=N$2,'ProductSprint Backlog'!$I105=N$2), 'ProductSprint Backlog'!$F105, TRUE, 0)</f>
        <v>0</v>
      </c>
      <c r="O105" s="4" cm="1">
        <f t="array" ref="O105">_xlfn.IFS('ProductSprint Backlog'!$F105="", "", AND('ProductSprint Backlog'!$J105&gt;O$2,'ProductSprint Backlog'!$I105&lt;=O$2), 'ProductSprint Backlog'!$F105 / MAX(1, 'ProductSprint Backlog'!$J105-'ProductSprint Backlog'!$I105), AND('ProductSprint Backlog'!$J105=O$2,'ProductSprint Backlog'!$I105=O$2), 'ProductSprint Backlog'!$F105, TRUE, 0)</f>
        <v>0</v>
      </c>
      <c r="P105" s="4" cm="1">
        <f t="array" ref="P105">_xlfn.IFS('ProductSprint Backlog'!$F105="", "", AND('ProductSprint Backlog'!$J105&gt;P$2,'ProductSprint Backlog'!$I105&lt;=P$2), 'ProductSprint Backlog'!$F105 / MAX(1, 'ProductSprint Backlog'!$J105-'ProductSprint Backlog'!$I105), AND('ProductSprint Backlog'!$J105=P$2,'ProductSprint Backlog'!$I105=P$2), 'ProductSprint Backlog'!$F105, TRUE, 0)</f>
        <v>0</v>
      </c>
      <c r="Q105" s="4" cm="1">
        <f t="array" ref="Q105">_xlfn.IFS('ProductSprint Backlog'!$F105="", "", AND('ProductSprint Backlog'!$J105&gt;Q$2,'ProductSprint Backlog'!$I105&lt;=Q$2), 'ProductSprint Backlog'!$F105 / MAX(1, 'ProductSprint Backlog'!$J105-'ProductSprint Backlog'!$I105), AND('ProductSprint Backlog'!$J105=Q$2,'ProductSprint Backlog'!$I105=Q$2), 'ProductSprint Backlog'!$F105, TRUE, 0)</f>
        <v>0</v>
      </c>
    </row>
    <row r="106" spans="2:17" x14ac:dyDescent="0.2">
      <c r="B106" s="4" cm="1">
        <f t="array" ref="B106">_xlfn.IFS('ProductSprint Backlog'!$F106="", "", AND('ProductSprint Backlog'!$J106&gt;B$2,'ProductSprint Backlog'!$I106&lt;=B$2), 'ProductSprint Backlog'!$F106 / MAX(1, 'ProductSprint Backlog'!$J106-'ProductSprint Backlog'!$I106), AND('ProductSprint Backlog'!$J106=B$2,'ProductSprint Backlog'!$I106=B$2), 'ProductSprint Backlog'!$F106, TRUE, 0)</f>
        <v>0</v>
      </c>
      <c r="C106" s="4" cm="1">
        <f t="array" ref="C106">_xlfn.IFS('ProductSprint Backlog'!$F106="", "", AND('ProductSprint Backlog'!$J106&gt;C$2,'ProductSprint Backlog'!$I106&lt;=C$2), 'ProductSprint Backlog'!$F106 / MAX(1, 'ProductSprint Backlog'!$J106-'ProductSprint Backlog'!$I106), AND('ProductSprint Backlog'!$J106=C$2,'ProductSprint Backlog'!$I106=C$2), 'ProductSprint Backlog'!$F106, TRUE, 0)</f>
        <v>0</v>
      </c>
      <c r="D106" s="4" cm="1">
        <f t="array" ref="D106">_xlfn.IFS('ProductSprint Backlog'!$F106="", "", AND('ProductSprint Backlog'!$J106&gt;D$2,'ProductSprint Backlog'!$I106&lt;=D$2), 'ProductSprint Backlog'!$F106 / MAX(1, 'ProductSprint Backlog'!$J106-'ProductSprint Backlog'!$I106), AND('ProductSprint Backlog'!$J106=D$2,'ProductSprint Backlog'!$I106=D$2), 'ProductSprint Backlog'!$F106, TRUE, 0)</f>
        <v>0</v>
      </c>
      <c r="E106" s="4" cm="1">
        <f t="array" ref="E106">_xlfn.IFS('ProductSprint Backlog'!$F106="", "", AND('ProductSprint Backlog'!$J106&gt;E$2,'ProductSprint Backlog'!$I106&lt;=E$2), 'ProductSprint Backlog'!$F106 / MAX(1, 'ProductSprint Backlog'!$J106-'ProductSprint Backlog'!$I106), AND('ProductSprint Backlog'!$J106=E$2,'ProductSprint Backlog'!$I106=E$2), 'ProductSprint Backlog'!$F106, TRUE, 0)</f>
        <v>0</v>
      </c>
      <c r="F106" s="4" cm="1">
        <f t="array" ref="F106">_xlfn.IFS('ProductSprint Backlog'!$F106="", "", AND('ProductSprint Backlog'!$J106&gt;F$2,'ProductSprint Backlog'!$I106&lt;=F$2), 'ProductSprint Backlog'!$F106 / MAX(1, 'ProductSprint Backlog'!$J106-'ProductSprint Backlog'!$I106), AND('ProductSprint Backlog'!$J106=F$2,'ProductSprint Backlog'!$I106=F$2), 'ProductSprint Backlog'!$F106, TRUE, 0)</f>
        <v>0</v>
      </c>
      <c r="G106" s="4" cm="1">
        <f t="array" ref="G106">_xlfn.IFS('ProductSprint Backlog'!$F106="", "", AND('ProductSprint Backlog'!$J106&gt;G$2,'ProductSprint Backlog'!$I106&lt;=G$2), 'ProductSprint Backlog'!$F106 / MAX(1, 'ProductSprint Backlog'!$J106-'ProductSprint Backlog'!$I106), AND('ProductSprint Backlog'!$J106=G$2,'ProductSprint Backlog'!$I106=G$2), 'ProductSprint Backlog'!$F106, TRUE, 0)</f>
        <v>0</v>
      </c>
      <c r="H106" s="4" cm="1">
        <f t="array" ref="H106">_xlfn.IFS('ProductSprint Backlog'!$F106="", "", AND('ProductSprint Backlog'!$J106&gt;H$2,'ProductSprint Backlog'!$I106&lt;=H$2), 'ProductSprint Backlog'!$F106 / MAX(1, 'ProductSprint Backlog'!$J106-'ProductSprint Backlog'!$I106), AND('ProductSprint Backlog'!$J106=H$2,'ProductSprint Backlog'!$I106=H$2), 'ProductSprint Backlog'!$F106, TRUE, 0)</f>
        <v>0</v>
      </c>
      <c r="I106" s="4" cm="1">
        <f t="array" ref="I106">_xlfn.IFS('ProductSprint Backlog'!$F106="", "", AND('ProductSprint Backlog'!$J106&gt;I$2,'ProductSprint Backlog'!$I106&lt;=I$2), 'ProductSprint Backlog'!$F106 / MAX(1, 'ProductSprint Backlog'!$J106-'ProductSprint Backlog'!$I106), AND('ProductSprint Backlog'!$J106=I$2,'ProductSprint Backlog'!$I106=I$2), 'ProductSprint Backlog'!$F106, TRUE, 0)</f>
        <v>0</v>
      </c>
      <c r="J106" s="4" cm="1">
        <f t="array" ref="J106">_xlfn.IFS('ProductSprint Backlog'!$F106="", "", AND('ProductSprint Backlog'!$J106&gt;J$2,'ProductSprint Backlog'!$I106&lt;=J$2), 'ProductSprint Backlog'!$F106 / MAX(1, 'ProductSprint Backlog'!$J106-'ProductSprint Backlog'!$I106), AND('ProductSprint Backlog'!$J106=J$2,'ProductSprint Backlog'!$I106=J$2), 'ProductSprint Backlog'!$F106, TRUE, 0)</f>
        <v>0</v>
      </c>
      <c r="K106" s="4" cm="1">
        <f t="array" ref="K106">_xlfn.IFS('ProductSprint Backlog'!$F106="", "", AND('ProductSprint Backlog'!$J106&gt;K$2,'ProductSprint Backlog'!$I106&lt;=K$2), 'ProductSprint Backlog'!$F106 / MAX(1, 'ProductSprint Backlog'!$J106-'ProductSprint Backlog'!$I106), AND('ProductSprint Backlog'!$J106=K$2,'ProductSprint Backlog'!$I106=K$2), 'ProductSprint Backlog'!$F106, TRUE, 0)</f>
        <v>0</v>
      </c>
      <c r="L106" s="4" cm="1">
        <f t="array" ref="L106">_xlfn.IFS('ProductSprint Backlog'!$F106="", "", AND('ProductSprint Backlog'!$J106&gt;L$2,'ProductSprint Backlog'!$I106&lt;=L$2), 'ProductSprint Backlog'!$F106 / MAX(1, 'ProductSprint Backlog'!$J106-'ProductSprint Backlog'!$I106), AND('ProductSprint Backlog'!$J106=L$2,'ProductSprint Backlog'!$I106=L$2), 'ProductSprint Backlog'!$F106, TRUE, 0)</f>
        <v>0</v>
      </c>
      <c r="M106" s="4" cm="1">
        <f t="array" ref="M106">_xlfn.IFS('ProductSprint Backlog'!$F106="", "", AND('ProductSprint Backlog'!$J106&gt;M$2,'ProductSprint Backlog'!$I106&lt;=M$2), 'ProductSprint Backlog'!$F106 / MAX(1, 'ProductSprint Backlog'!$J106-'ProductSprint Backlog'!$I106), AND('ProductSprint Backlog'!$J106=M$2,'ProductSprint Backlog'!$I106=M$2), 'ProductSprint Backlog'!$F106, TRUE, 0)</f>
        <v>0</v>
      </c>
      <c r="N106" s="4" cm="1">
        <f t="array" ref="N106">_xlfn.IFS('ProductSprint Backlog'!$F106="", "", AND('ProductSprint Backlog'!$J106&gt;N$2,'ProductSprint Backlog'!$I106&lt;=N$2), 'ProductSprint Backlog'!$F106 / MAX(1, 'ProductSprint Backlog'!$J106-'ProductSprint Backlog'!$I106), AND('ProductSprint Backlog'!$J106=N$2,'ProductSprint Backlog'!$I106=N$2), 'ProductSprint Backlog'!$F106, TRUE, 0)</f>
        <v>0</v>
      </c>
      <c r="O106" s="4" cm="1">
        <f t="array" ref="O106">_xlfn.IFS('ProductSprint Backlog'!$F106="", "", AND('ProductSprint Backlog'!$J106&gt;O$2,'ProductSprint Backlog'!$I106&lt;=O$2), 'ProductSprint Backlog'!$F106 / MAX(1, 'ProductSprint Backlog'!$J106-'ProductSprint Backlog'!$I106), AND('ProductSprint Backlog'!$J106=O$2,'ProductSprint Backlog'!$I106=O$2), 'ProductSprint Backlog'!$F106, TRUE, 0)</f>
        <v>0</v>
      </c>
      <c r="P106" s="4" cm="1">
        <f t="array" ref="P106">_xlfn.IFS('ProductSprint Backlog'!$F106="", "", AND('ProductSprint Backlog'!$J106&gt;P$2,'ProductSprint Backlog'!$I106&lt;=P$2), 'ProductSprint Backlog'!$F106 / MAX(1, 'ProductSprint Backlog'!$J106-'ProductSprint Backlog'!$I106), AND('ProductSprint Backlog'!$J106=P$2,'ProductSprint Backlog'!$I106=P$2), 'ProductSprint Backlog'!$F106, TRUE, 0)</f>
        <v>0</v>
      </c>
      <c r="Q106" s="4" cm="1">
        <f t="array" ref="Q106">_xlfn.IFS('ProductSprint Backlog'!$F106="", "", AND('ProductSprint Backlog'!$J106&gt;Q$2,'ProductSprint Backlog'!$I106&lt;=Q$2), 'ProductSprint Backlog'!$F106 / MAX(1, 'ProductSprint Backlog'!$J106-'ProductSprint Backlog'!$I106), AND('ProductSprint Backlog'!$J106=Q$2,'ProductSprint Backlog'!$I106=Q$2), 'ProductSprint Backlog'!$F106, TRUE, 0)</f>
        <v>0</v>
      </c>
    </row>
    <row r="107" spans="2:17" x14ac:dyDescent="0.2">
      <c r="B107" s="4" t="str" cm="1">
        <f t="array" ref="B107">_xlfn.IFS('ProductSprint Backlog'!$F107="", "", AND('ProductSprint Backlog'!$J107&gt;B$2,'ProductSprint Backlog'!$I107&lt;=B$2), 'ProductSprint Backlog'!$F107 / MAX(1, 'ProductSprint Backlog'!$J107-'ProductSprint Backlog'!$I107), AND('ProductSprint Backlog'!$J107=B$2,'ProductSprint Backlog'!$I107=B$2), 'ProductSprint Backlog'!$F107, TRUE, 0)</f>
        <v/>
      </c>
      <c r="C107" s="4" t="str" cm="1">
        <f t="array" ref="C107">_xlfn.IFS('ProductSprint Backlog'!$F107="", "", AND('ProductSprint Backlog'!$J107&gt;C$2,'ProductSprint Backlog'!$I107&lt;=C$2), 'ProductSprint Backlog'!$F107 / MAX(1, 'ProductSprint Backlog'!$J107-'ProductSprint Backlog'!$I107), AND('ProductSprint Backlog'!$J107=C$2,'ProductSprint Backlog'!$I107=C$2), 'ProductSprint Backlog'!$F107, TRUE, 0)</f>
        <v/>
      </c>
      <c r="D107" s="4" t="str" cm="1">
        <f t="array" ref="D107">_xlfn.IFS('ProductSprint Backlog'!$F107="", "", AND('ProductSprint Backlog'!$J107&gt;D$2,'ProductSprint Backlog'!$I107&lt;=D$2), 'ProductSprint Backlog'!$F107 / MAX(1, 'ProductSprint Backlog'!$J107-'ProductSprint Backlog'!$I107), AND('ProductSprint Backlog'!$J107=D$2,'ProductSprint Backlog'!$I107=D$2), 'ProductSprint Backlog'!$F107, TRUE, 0)</f>
        <v/>
      </c>
      <c r="E107" s="4" t="str" cm="1">
        <f t="array" ref="E107">_xlfn.IFS('ProductSprint Backlog'!$F107="", "", AND('ProductSprint Backlog'!$J107&gt;E$2,'ProductSprint Backlog'!$I107&lt;=E$2), 'ProductSprint Backlog'!$F107 / MAX(1, 'ProductSprint Backlog'!$J107-'ProductSprint Backlog'!$I107), AND('ProductSprint Backlog'!$J107=E$2,'ProductSprint Backlog'!$I107=E$2), 'ProductSprint Backlog'!$F107, TRUE, 0)</f>
        <v/>
      </c>
      <c r="F107" s="4" t="str" cm="1">
        <f t="array" ref="F107">_xlfn.IFS('ProductSprint Backlog'!$F107="", "", AND('ProductSprint Backlog'!$J107&gt;F$2,'ProductSprint Backlog'!$I107&lt;=F$2), 'ProductSprint Backlog'!$F107 / MAX(1, 'ProductSprint Backlog'!$J107-'ProductSprint Backlog'!$I107), AND('ProductSprint Backlog'!$J107=F$2,'ProductSprint Backlog'!$I107=F$2), 'ProductSprint Backlog'!$F107, TRUE, 0)</f>
        <v/>
      </c>
      <c r="G107" s="4" t="str" cm="1">
        <f t="array" ref="G107">_xlfn.IFS('ProductSprint Backlog'!$F107="", "", AND('ProductSprint Backlog'!$J107&gt;G$2,'ProductSprint Backlog'!$I107&lt;=G$2), 'ProductSprint Backlog'!$F107 / MAX(1, 'ProductSprint Backlog'!$J107-'ProductSprint Backlog'!$I107), AND('ProductSprint Backlog'!$J107=G$2,'ProductSprint Backlog'!$I107=G$2), 'ProductSprint Backlog'!$F107, TRUE, 0)</f>
        <v/>
      </c>
      <c r="H107" s="4" t="str" cm="1">
        <f t="array" ref="H107">_xlfn.IFS('ProductSprint Backlog'!$F107="", "", AND('ProductSprint Backlog'!$J107&gt;H$2,'ProductSprint Backlog'!$I107&lt;=H$2), 'ProductSprint Backlog'!$F107 / MAX(1, 'ProductSprint Backlog'!$J107-'ProductSprint Backlog'!$I107), AND('ProductSprint Backlog'!$J107=H$2,'ProductSprint Backlog'!$I107=H$2), 'ProductSprint Backlog'!$F107, TRUE, 0)</f>
        <v/>
      </c>
      <c r="I107" s="4" t="str" cm="1">
        <f t="array" ref="I107">_xlfn.IFS('ProductSprint Backlog'!$F107="", "", AND('ProductSprint Backlog'!$J107&gt;I$2,'ProductSprint Backlog'!$I107&lt;=I$2), 'ProductSprint Backlog'!$F107 / MAX(1, 'ProductSprint Backlog'!$J107-'ProductSprint Backlog'!$I107), AND('ProductSprint Backlog'!$J107=I$2,'ProductSprint Backlog'!$I107=I$2), 'ProductSprint Backlog'!$F107, TRUE, 0)</f>
        <v/>
      </c>
      <c r="J107" s="4" t="str" cm="1">
        <f t="array" ref="J107">_xlfn.IFS('ProductSprint Backlog'!$F107="", "", AND('ProductSprint Backlog'!$J107&gt;J$2,'ProductSprint Backlog'!$I107&lt;=J$2), 'ProductSprint Backlog'!$F107 / MAX(1, 'ProductSprint Backlog'!$J107-'ProductSprint Backlog'!$I107), AND('ProductSprint Backlog'!$J107=J$2,'ProductSprint Backlog'!$I107=J$2), 'ProductSprint Backlog'!$F107, TRUE, 0)</f>
        <v/>
      </c>
      <c r="K107" s="4" t="str" cm="1">
        <f t="array" ref="K107">_xlfn.IFS('ProductSprint Backlog'!$F107="", "", AND('ProductSprint Backlog'!$J107&gt;K$2,'ProductSprint Backlog'!$I107&lt;=K$2), 'ProductSprint Backlog'!$F107 / MAX(1, 'ProductSprint Backlog'!$J107-'ProductSprint Backlog'!$I107), AND('ProductSprint Backlog'!$J107=K$2,'ProductSprint Backlog'!$I107=K$2), 'ProductSprint Backlog'!$F107, TRUE, 0)</f>
        <v/>
      </c>
      <c r="L107" s="4" t="str" cm="1">
        <f t="array" ref="L107">_xlfn.IFS('ProductSprint Backlog'!$F107="", "", AND('ProductSprint Backlog'!$J107&gt;L$2,'ProductSprint Backlog'!$I107&lt;=L$2), 'ProductSprint Backlog'!$F107 / MAX(1, 'ProductSprint Backlog'!$J107-'ProductSprint Backlog'!$I107), AND('ProductSprint Backlog'!$J107=L$2,'ProductSprint Backlog'!$I107=L$2), 'ProductSprint Backlog'!$F107, TRUE, 0)</f>
        <v/>
      </c>
      <c r="M107" s="4" t="str" cm="1">
        <f t="array" ref="M107">_xlfn.IFS('ProductSprint Backlog'!$F107="", "", AND('ProductSprint Backlog'!$J107&gt;M$2,'ProductSprint Backlog'!$I107&lt;=M$2), 'ProductSprint Backlog'!$F107 / MAX(1, 'ProductSprint Backlog'!$J107-'ProductSprint Backlog'!$I107), AND('ProductSprint Backlog'!$J107=M$2,'ProductSprint Backlog'!$I107=M$2), 'ProductSprint Backlog'!$F107, TRUE, 0)</f>
        <v/>
      </c>
      <c r="N107" s="4" t="str" cm="1">
        <f t="array" ref="N107">_xlfn.IFS('ProductSprint Backlog'!$F107="", "", AND('ProductSprint Backlog'!$J107&gt;N$2,'ProductSprint Backlog'!$I107&lt;=N$2), 'ProductSprint Backlog'!$F107 / MAX(1, 'ProductSprint Backlog'!$J107-'ProductSprint Backlog'!$I107), AND('ProductSprint Backlog'!$J107=N$2,'ProductSprint Backlog'!$I107=N$2), 'ProductSprint Backlog'!$F107, TRUE, 0)</f>
        <v/>
      </c>
      <c r="O107" s="4" t="str" cm="1">
        <f t="array" ref="O107">_xlfn.IFS('ProductSprint Backlog'!$F107="", "", AND('ProductSprint Backlog'!$J107&gt;O$2,'ProductSprint Backlog'!$I107&lt;=O$2), 'ProductSprint Backlog'!$F107 / MAX(1, 'ProductSprint Backlog'!$J107-'ProductSprint Backlog'!$I107), AND('ProductSprint Backlog'!$J107=O$2,'ProductSprint Backlog'!$I107=O$2), 'ProductSprint Backlog'!$F107, TRUE, 0)</f>
        <v/>
      </c>
      <c r="P107" s="4" t="str" cm="1">
        <f t="array" ref="P107">_xlfn.IFS('ProductSprint Backlog'!$F107="", "", AND('ProductSprint Backlog'!$J107&gt;P$2,'ProductSprint Backlog'!$I107&lt;=P$2), 'ProductSprint Backlog'!$F107 / MAX(1, 'ProductSprint Backlog'!$J107-'ProductSprint Backlog'!$I107), AND('ProductSprint Backlog'!$J107=P$2,'ProductSprint Backlog'!$I107=P$2), 'ProductSprint Backlog'!$F107, TRUE, 0)</f>
        <v/>
      </c>
      <c r="Q107" s="4" t="str" cm="1">
        <f t="array" ref="Q107">_xlfn.IFS('ProductSprint Backlog'!$F107="", "", AND('ProductSprint Backlog'!$J107&gt;Q$2,'ProductSprint Backlog'!$I107&lt;=Q$2), 'ProductSprint Backlog'!$F107 / MAX(1, 'ProductSprint Backlog'!$J107-'ProductSprint Backlog'!$I107), AND('ProductSprint Backlog'!$J107=Q$2,'ProductSprint Backlog'!$I107=Q$2), 'ProductSprint Backlog'!$F107, TRUE, 0)</f>
        <v/>
      </c>
    </row>
    <row r="108" spans="2:17" x14ac:dyDescent="0.2">
      <c r="B108" s="4" cm="1">
        <f t="array" ref="B108">_xlfn.IFS('ProductSprint Backlog'!$F108="", "", AND('ProductSprint Backlog'!$J108&gt;B$2,'ProductSprint Backlog'!$I108&lt;=B$2), 'ProductSprint Backlog'!$F108 / MAX(1, 'ProductSprint Backlog'!$J108-'ProductSprint Backlog'!$I108), AND('ProductSprint Backlog'!$J108=B$2,'ProductSprint Backlog'!$I108=B$2), 'ProductSprint Backlog'!$F108, TRUE, 0)</f>
        <v>0</v>
      </c>
      <c r="C108" s="4" cm="1">
        <f t="array" ref="C108">_xlfn.IFS('ProductSprint Backlog'!$F108="", "", AND('ProductSprint Backlog'!$J108&gt;C$2,'ProductSprint Backlog'!$I108&lt;=C$2), 'ProductSprint Backlog'!$F108 / MAX(1, 'ProductSprint Backlog'!$J108-'ProductSprint Backlog'!$I108), AND('ProductSprint Backlog'!$J108=C$2,'ProductSprint Backlog'!$I108=C$2), 'ProductSprint Backlog'!$F108, TRUE, 0)</f>
        <v>0</v>
      </c>
      <c r="D108" s="4" cm="1">
        <f t="array" ref="D108">_xlfn.IFS('ProductSprint Backlog'!$F108="", "", AND('ProductSprint Backlog'!$J108&gt;D$2,'ProductSprint Backlog'!$I108&lt;=D$2), 'ProductSprint Backlog'!$F108 / MAX(1, 'ProductSprint Backlog'!$J108-'ProductSprint Backlog'!$I108), AND('ProductSprint Backlog'!$J108=D$2,'ProductSprint Backlog'!$I108=D$2), 'ProductSprint Backlog'!$F108, TRUE, 0)</f>
        <v>0</v>
      </c>
      <c r="E108" s="4" cm="1">
        <f t="array" ref="E108">_xlfn.IFS('ProductSprint Backlog'!$F108="", "", AND('ProductSprint Backlog'!$J108&gt;E$2,'ProductSprint Backlog'!$I108&lt;=E$2), 'ProductSprint Backlog'!$F108 / MAX(1, 'ProductSprint Backlog'!$J108-'ProductSprint Backlog'!$I108), AND('ProductSprint Backlog'!$J108=E$2,'ProductSprint Backlog'!$I108=E$2), 'ProductSprint Backlog'!$F108, TRUE, 0)</f>
        <v>0</v>
      </c>
      <c r="F108" s="4" cm="1">
        <f t="array" ref="F108">_xlfn.IFS('ProductSprint Backlog'!$F108="", "", AND('ProductSprint Backlog'!$J108&gt;F$2,'ProductSprint Backlog'!$I108&lt;=F$2), 'ProductSprint Backlog'!$F108 / MAX(1, 'ProductSprint Backlog'!$J108-'ProductSprint Backlog'!$I108), AND('ProductSprint Backlog'!$J108=F$2,'ProductSprint Backlog'!$I108=F$2), 'ProductSprint Backlog'!$F108, TRUE, 0)</f>
        <v>0</v>
      </c>
      <c r="G108" s="4" cm="1">
        <f t="array" ref="G108">_xlfn.IFS('ProductSprint Backlog'!$F108="", "", AND('ProductSprint Backlog'!$J108&gt;G$2,'ProductSprint Backlog'!$I108&lt;=G$2), 'ProductSprint Backlog'!$F108 / MAX(1, 'ProductSprint Backlog'!$J108-'ProductSprint Backlog'!$I108), AND('ProductSprint Backlog'!$J108=G$2,'ProductSprint Backlog'!$I108=G$2), 'ProductSprint Backlog'!$F108, TRUE, 0)</f>
        <v>0</v>
      </c>
      <c r="H108" s="4" cm="1">
        <f t="array" ref="H108">_xlfn.IFS('ProductSprint Backlog'!$F108="", "", AND('ProductSprint Backlog'!$J108&gt;H$2,'ProductSprint Backlog'!$I108&lt;=H$2), 'ProductSprint Backlog'!$F108 / MAX(1, 'ProductSprint Backlog'!$J108-'ProductSprint Backlog'!$I108), AND('ProductSprint Backlog'!$J108=H$2,'ProductSprint Backlog'!$I108=H$2), 'ProductSprint Backlog'!$F108, TRUE, 0)</f>
        <v>0</v>
      </c>
      <c r="I108" s="4" cm="1">
        <f t="array" ref="I108">_xlfn.IFS('ProductSprint Backlog'!$F108="", "", AND('ProductSprint Backlog'!$J108&gt;I$2,'ProductSprint Backlog'!$I108&lt;=I$2), 'ProductSprint Backlog'!$F108 / MAX(1, 'ProductSprint Backlog'!$J108-'ProductSprint Backlog'!$I108), AND('ProductSprint Backlog'!$J108=I$2,'ProductSprint Backlog'!$I108=I$2), 'ProductSprint Backlog'!$F108, TRUE, 0)</f>
        <v>0</v>
      </c>
      <c r="J108" s="4" cm="1">
        <f t="array" ref="J108">_xlfn.IFS('ProductSprint Backlog'!$F108="", "", AND('ProductSprint Backlog'!$J108&gt;J$2,'ProductSprint Backlog'!$I108&lt;=J$2), 'ProductSprint Backlog'!$F108 / MAX(1, 'ProductSprint Backlog'!$J108-'ProductSprint Backlog'!$I108), AND('ProductSprint Backlog'!$J108=J$2,'ProductSprint Backlog'!$I108=J$2), 'ProductSprint Backlog'!$F108, TRUE, 0)</f>
        <v>0</v>
      </c>
      <c r="K108" s="4" cm="1">
        <f t="array" ref="K108">_xlfn.IFS('ProductSprint Backlog'!$F108="", "", AND('ProductSprint Backlog'!$J108&gt;K$2,'ProductSprint Backlog'!$I108&lt;=K$2), 'ProductSprint Backlog'!$F108 / MAX(1, 'ProductSprint Backlog'!$J108-'ProductSprint Backlog'!$I108), AND('ProductSprint Backlog'!$J108=K$2,'ProductSprint Backlog'!$I108=K$2), 'ProductSprint Backlog'!$F108, TRUE, 0)</f>
        <v>0</v>
      </c>
      <c r="L108" s="4" cm="1">
        <f t="array" ref="L108">_xlfn.IFS('ProductSprint Backlog'!$F108="", "", AND('ProductSprint Backlog'!$J108&gt;L$2,'ProductSprint Backlog'!$I108&lt;=L$2), 'ProductSprint Backlog'!$F108 / MAX(1, 'ProductSprint Backlog'!$J108-'ProductSprint Backlog'!$I108), AND('ProductSprint Backlog'!$J108=L$2,'ProductSprint Backlog'!$I108=L$2), 'ProductSprint Backlog'!$F108, TRUE, 0)</f>
        <v>0</v>
      </c>
      <c r="M108" s="4" cm="1">
        <f t="array" ref="M108">_xlfn.IFS('ProductSprint Backlog'!$F108="", "", AND('ProductSprint Backlog'!$J108&gt;M$2,'ProductSprint Backlog'!$I108&lt;=M$2), 'ProductSprint Backlog'!$F108 / MAX(1, 'ProductSprint Backlog'!$J108-'ProductSprint Backlog'!$I108), AND('ProductSprint Backlog'!$J108=M$2,'ProductSprint Backlog'!$I108=M$2), 'ProductSprint Backlog'!$F108, TRUE, 0)</f>
        <v>0</v>
      </c>
      <c r="N108" s="4" cm="1">
        <f t="array" ref="N108">_xlfn.IFS('ProductSprint Backlog'!$F108="", "", AND('ProductSprint Backlog'!$J108&gt;N$2,'ProductSprint Backlog'!$I108&lt;=N$2), 'ProductSprint Backlog'!$F108 / MAX(1, 'ProductSprint Backlog'!$J108-'ProductSprint Backlog'!$I108), AND('ProductSprint Backlog'!$J108=N$2,'ProductSprint Backlog'!$I108=N$2), 'ProductSprint Backlog'!$F108, TRUE, 0)</f>
        <v>0</v>
      </c>
      <c r="O108" s="4" cm="1">
        <f t="array" ref="O108">_xlfn.IFS('ProductSprint Backlog'!$F108="", "", AND('ProductSprint Backlog'!$J108&gt;O$2,'ProductSprint Backlog'!$I108&lt;=O$2), 'ProductSprint Backlog'!$F108 / MAX(1, 'ProductSprint Backlog'!$J108-'ProductSprint Backlog'!$I108), AND('ProductSprint Backlog'!$J108=O$2,'ProductSprint Backlog'!$I108=O$2), 'ProductSprint Backlog'!$F108, TRUE, 0)</f>
        <v>0</v>
      </c>
      <c r="P108" s="4" cm="1">
        <f t="array" ref="P108">_xlfn.IFS('ProductSprint Backlog'!$F108="", "", AND('ProductSprint Backlog'!$J108&gt;P$2,'ProductSprint Backlog'!$I108&lt;=P$2), 'ProductSprint Backlog'!$F108 / MAX(1, 'ProductSprint Backlog'!$J108-'ProductSprint Backlog'!$I108), AND('ProductSprint Backlog'!$J108=P$2,'ProductSprint Backlog'!$I108=P$2), 'ProductSprint Backlog'!$F108, TRUE, 0)</f>
        <v>0</v>
      </c>
      <c r="Q108" s="4" cm="1">
        <f t="array" ref="Q108">_xlfn.IFS('ProductSprint Backlog'!$F108="", "", AND('ProductSprint Backlog'!$J108&gt;Q$2,'ProductSprint Backlog'!$I108&lt;=Q$2), 'ProductSprint Backlog'!$F108 / MAX(1, 'ProductSprint Backlog'!$J108-'ProductSprint Backlog'!$I108), AND('ProductSprint Backlog'!$J108=Q$2,'ProductSprint Backlog'!$I108=Q$2), 'ProductSprint Backlog'!$F108, TRUE, 0)</f>
        <v>0</v>
      </c>
    </row>
    <row r="109" spans="2:17" x14ac:dyDescent="0.2">
      <c r="B109" s="4" cm="1">
        <f t="array" ref="B109">_xlfn.IFS('ProductSprint Backlog'!$F109="", "", AND('ProductSprint Backlog'!$J109&gt;B$2,'ProductSprint Backlog'!$I109&lt;=B$2), 'ProductSprint Backlog'!$F109 / MAX(1, 'ProductSprint Backlog'!$J109-'ProductSprint Backlog'!$I109), AND('ProductSprint Backlog'!$J109=B$2,'ProductSprint Backlog'!$I109=B$2), 'ProductSprint Backlog'!$F109, TRUE, 0)</f>
        <v>0</v>
      </c>
      <c r="C109" s="4" cm="1">
        <f t="array" ref="C109">_xlfn.IFS('ProductSprint Backlog'!$F109="", "", AND('ProductSprint Backlog'!$J109&gt;C$2,'ProductSprint Backlog'!$I109&lt;=C$2), 'ProductSprint Backlog'!$F109 / MAX(1, 'ProductSprint Backlog'!$J109-'ProductSprint Backlog'!$I109), AND('ProductSprint Backlog'!$J109=C$2,'ProductSprint Backlog'!$I109=C$2), 'ProductSprint Backlog'!$F109, TRUE, 0)</f>
        <v>0</v>
      </c>
      <c r="D109" s="4" cm="1">
        <f t="array" ref="D109">_xlfn.IFS('ProductSprint Backlog'!$F109="", "", AND('ProductSprint Backlog'!$J109&gt;D$2,'ProductSprint Backlog'!$I109&lt;=D$2), 'ProductSprint Backlog'!$F109 / MAX(1, 'ProductSprint Backlog'!$J109-'ProductSprint Backlog'!$I109), AND('ProductSprint Backlog'!$J109=D$2,'ProductSprint Backlog'!$I109=D$2), 'ProductSprint Backlog'!$F109, TRUE, 0)</f>
        <v>0</v>
      </c>
      <c r="E109" s="4" cm="1">
        <f t="array" ref="E109">_xlfn.IFS('ProductSprint Backlog'!$F109="", "", AND('ProductSprint Backlog'!$J109&gt;E$2,'ProductSprint Backlog'!$I109&lt;=E$2), 'ProductSprint Backlog'!$F109 / MAX(1, 'ProductSprint Backlog'!$J109-'ProductSprint Backlog'!$I109), AND('ProductSprint Backlog'!$J109=E$2,'ProductSprint Backlog'!$I109=E$2), 'ProductSprint Backlog'!$F109, TRUE, 0)</f>
        <v>0</v>
      </c>
      <c r="F109" s="4" cm="1">
        <f t="array" ref="F109">_xlfn.IFS('ProductSprint Backlog'!$F109="", "", AND('ProductSprint Backlog'!$J109&gt;F$2,'ProductSprint Backlog'!$I109&lt;=F$2), 'ProductSprint Backlog'!$F109 / MAX(1, 'ProductSprint Backlog'!$J109-'ProductSprint Backlog'!$I109), AND('ProductSprint Backlog'!$J109=F$2,'ProductSprint Backlog'!$I109=F$2), 'ProductSprint Backlog'!$F109, TRUE, 0)</f>
        <v>0</v>
      </c>
      <c r="G109" s="4" cm="1">
        <f t="array" ref="G109">_xlfn.IFS('ProductSprint Backlog'!$F109="", "", AND('ProductSprint Backlog'!$J109&gt;G$2,'ProductSprint Backlog'!$I109&lt;=G$2), 'ProductSprint Backlog'!$F109 / MAX(1, 'ProductSprint Backlog'!$J109-'ProductSprint Backlog'!$I109), AND('ProductSprint Backlog'!$J109=G$2,'ProductSprint Backlog'!$I109=G$2), 'ProductSprint Backlog'!$F109, TRUE, 0)</f>
        <v>0</v>
      </c>
      <c r="H109" s="4" cm="1">
        <f t="array" ref="H109">_xlfn.IFS('ProductSprint Backlog'!$F109="", "", AND('ProductSprint Backlog'!$J109&gt;H$2,'ProductSprint Backlog'!$I109&lt;=H$2), 'ProductSprint Backlog'!$F109 / MAX(1, 'ProductSprint Backlog'!$J109-'ProductSprint Backlog'!$I109), AND('ProductSprint Backlog'!$J109=H$2,'ProductSprint Backlog'!$I109=H$2), 'ProductSprint Backlog'!$F109, TRUE, 0)</f>
        <v>0</v>
      </c>
      <c r="I109" s="4" cm="1">
        <f t="array" ref="I109">_xlfn.IFS('ProductSprint Backlog'!$F109="", "", AND('ProductSprint Backlog'!$J109&gt;I$2,'ProductSprint Backlog'!$I109&lt;=I$2), 'ProductSprint Backlog'!$F109 / MAX(1, 'ProductSprint Backlog'!$J109-'ProductSprint Backlog'!$I109), AND('ProductSprint Backlog'!$J109=I$2,'ProductSprint Backlog'!$I109=I$2), 'ProductSprint Backlog'!$F109, TRUE, 0)</f>
        <v>0</v>
      </c>
      <c r="J109" s="4" cm="1">
        <f t="array" ref="J109">_xlfn.IFS('ProductSprint Backlog'!$F109="", "", AND('ProductSprint Backlog'!$J109&gt;J$2,'ProductSprint Backlog'!$I109&lt;=J$2), 'ProductSprint Backlog'!$F109 / MAX(1, 'ProductSprint Backlog'!$J109-'ProductSprint Backlog'!$I109), AND('ProductSprint Backlog'!$J109=J$2,'ProductSprint Backlog'!$I109=J$2), 'ProductSprint Backlog'!$F109, TRUE, 0)</f>
        <v>0</v>
      </c>
      <c r="K109" s="4" cm="1">
        <f t="array" ref="K109">_xlfn.IFS('ProductSprint Backlog'!$F109="", "", AND('ProductSprint Backlog'!$J109&gt;K$2,'ProductSprint Backlog'!$I109&lt;=K$2), 'ProductSprint Backlog'!$F109 / MAX(1, 'ProductSprint Backlog'!$J109-'ProductSprint Backlog'!$I109), AND('ProductSprint Backlog'!$J109=K$2,'ProductSprint Backlog'!$I109=K$2), 'ProductSprint Backlog'!$F109, TRUE, 0)</f>
        <v>0</v>
      </c>
      <c r="L109" s="4" cm="1">
        <f t="array" ref="L109">_xlfn.IFS('ProductSprint Backlog'!$F109="", "", AND('ProductSprint Backlog'!$J109&gt;L$2,'ProductSprint Backlog'!$I109&lt;=L$2), 'ProductSprint Backlog'!$F109 / MAX(1, 'ProductSprint Backlog'!$J109-'ProductSprint Backlog'!$I109), AND('ProductSprint Backlog'!$J109=L$2,'ProductSprint Backlog'!$I109=L$2), 'ProductSprint Backlog'!$F109, TRUE, 0)</f>
        <v>0</v>
      </c>
      <c r="M109" s="4" cm="1">
        <f t="array" ref="M109">_xlfn.IFS('ProductSprint Backlog'!$F109="", "", AND('ProductSprint Backlog'!$J109&gt;M$2,'ProductSprint Backlog'!$I109&lt;=M$2), 'ProductSprint Backlog'!$F109 / MAX(1, 'ProductSprint Backlog'!$J109-'ProductSprint Backlog'!$I109), AND('ProductSprint Backlog'!$J109=M$2,'ProductSprint Backlog'!$I109=M$2), 'ProductSprint Backlog'!$F109, TRUE, 0)</f>
        <v>0</v>
      </c>
      <c r="N109" s="4" cm="1">
        <f t="array" ref="N109">_xlfn.IFS('ProductSprint Backlog'!$F109="", "", AND('ProductSprint Backlog'!$J109&gt;N$2,'ProductSprint Backlog'!$I109&lt;=N$2), 'ProductSprint Backlog'!$F109 / MAX(1, 'ProductSprint Backlog'!$J109-'ProductSprint Backlog'!$I109), AND('ProductSprint Backlog'!$J109=N$2,'ProductSprint Backlog'!$I109=N$2), 'ProductSprint Backlog'!$F109, TRUE, 0)</f>
        <v>0</v>
      </c>
      <c r="O109" s="4" cm="1">
        <f t="array" ref="O109">_xlfn.IFS('ProductSprint Backlog'!$F109="", "", AND('ProductSprint Backlog'!$J109&gt;O$2,'ProductSprint Backlog'!$I109&lt;=O$2), 'ProductSprint Backlog'!$F109 / MAX(1, 'ProductSprint Backlog'!$J109-'ProductSprint Backlog'!$I109), AND('ProductSprint Backlog'!$J109=O$2,'ProductSprint Backlog'!$I109=O$2), 'ProductSprint Backlog'!$F109, TRUE, 0)</f>
        <v>0</v>
      </c>
      <c r="P109" s="4" cm="1">
        <f t="array" ref="P109">_xlfn.IFS('ProductSprint Backlog'!$F109="", "", AND('ProductSprint Backlog'!$J109&gt;P$2,'ProductSprint Backlog'!$I109&lt;=P$2), 'ProductSprint Backlog'!$F109 / MAX(1, 'ProductSprint Backlog'!$J109-'ProductSprint Backlog'!$I109), AND('ProductSprint Backlog'!$J109=P$2,'ProductSprint Backlog'!$I109=P$2), 'ProductSprint Backlog'!$F109, TRUE, 0)</f>
        <v>0</v>
      </c>
      <c r="Q109" s="4" cm="1">
        <f t="array" ref="Q109">_xlfn.IFS('ProductSprint Backlog'!$F109="", "", AND('ProductSprint Backlog'!$J109&gt;Q$2,'ProductSprint Backlog'!$I109&lt;=Q$2), 'ProductSprint Backlog'!$F109 / MAX(1, 'ProductSprint Backlog'!$J109-'ProductSprint Backlog'!$I109), AND('ProductSprint Backlog'!$J109=Q$2,'ProductSprint Backlog'!$I109=Q$2), 'ProductSprint Backlog'!$F109, TRUE, 0)</f>
        <v>0</v>
      </c>
    </row>
    <row r="110" spans="2:17" x14ac:dyDescent="0.2">
      <c r="B110" s="4" cm="1">
        <f t="array" ref="B110">_xlfn.IFS('ProductSprint Backlog'!$F110="", "", AND('ProductSprint Backlog'!$J110&gt;B$2,'ProductSprint Backlog'!$I110&lt;=B$2), 'ProductSprint Backlog'!$F110 / MAX(1, 'ProductSprint Backlog'!$J110-'ProductSprint Backlog'!$I110), AND('ProductSprint Backlog'!$J110=B$2,'ProductSprint Backlog'!$I110=B$2), 'ProductSprint Backlog'!$F110, TRUE, 0)</f>
        <v>0</v>
      </c>
      <c r="C110" s="4" cm="1">
        <f t="array" ref="C110">_xlfn.IFS('ProductSprint Backlog'!$F110="", "", AND('ProductSprint Backlog'!$J110&gt;C$2,'ProductSprint Backlog'!$I110&lt;=C$2), 'ProductSprint Backlog'!$F110 / MAX(1, 'ProductSprint Backlog'!$J110-'ProductSprint Backlog'!$I110), AND('ProductSprint Backlog'!$J110=C$2,'ProductSprint Backlog'!$I110=C$2), 'ProductSprint Backlog'!$F110, TRUE, 0)</f>
        <v>0</v>
      </c>
      <c r="D110" s="4" cm="1">
        <f t="array" ref="D110">_xlfn.IFS('ProductSprint Backlog'!$F110="", "", AND('ProductSprint Backlog'!$J110&gt;D$2,'ProductSprint Backlog'!$I110&lt;=D$2), 'ProductSprint Backlog'!$F110 / MAX(1, 'ProductSprint Backlog'!$J110-'ProductSprint Backlog'!$I110), AND('ProductSprint Backlog'!$J110=D$2,'ProductSprint Backlog'!$I110=D$2), 'ProductSprint Backlog'!$F110, TRUE, 0)</f>
        <v>0</v>
      </c>
      <c r="E110" s="4" cm="1">
        <f t="array" ref="E110">_xlfn.IFS('ProductSprint Backlog'!$F110="", "", AND('ProductSprint Backlog'!$J110&gt;E$2,'ProductSprint Backlog'!$I110&lt;=E$2), 'ProductSprint Backlog'!$F110 / MAX(1, 'ProductSprint Backlog'!$J110-'ProductSprint Backlog'!$I110), AND('ProductSprint Backlog'!$J110=E$2,'ProductSprint Backlog'!$I110=E$2), 'ProductSprint Backlog'!$F110, TRUE, 0)</f>
        <v>0</v>
      </c>
      <c r="F110" s="4" cm="1">
        <f t="array" ref="F110">_xlfn.IFS('ProductSprint Backlog'!$F110="", "", AND('ProductSprint Backlog'!$J110&gt;F$2,'ProductSprint Backlog'!$I110&lt;=F$2), 'ProductSprint Backlog'!$F110 / MAX(1, 'ProductSprint Backlog'!$J110-'ProductSprint Backlog'!$I110), AND('ProductSprint Backlog'!$J110=F$2,'ProductSprint Backlog'!$I110=F$2), 'ProductSprint Backlog'!$F110, TRUE, 0)</f>
        <v>0</v>
      </c>
      <c r="G110" s="4" cm="1">
        <f t="array" ref="G110">_xlfn.IFS('ProductSprint Backlog'!$F110="", "", AND('ProductSprint Backlog'!$J110&gt;G$2,'ProductSprint Backlog'!$I110&lt;=G$2), 'ProductSprint Backlog'!$F110 / MAX(1, 'ProductSprint Backlog'!$J110-'ProductSprint Backlog'!$I110), AND('ProductSprint Backlog'!$J110=G$2,'ProductSprint Backlog'!$I110=G$2), 'ProductSprint Backlog'!$F110, TRUE, 0)</f>
        <v>0</v>
      </c>
      <c r="H110" s="4" cm="1">
        <f t="array" ref="H110">_xlfn.IFS('ProductSprint Backlog'!$F110="", "", AND('ProductSprint Backlog'!$J110&gt;H$2,'ProductSprint Backlog'!$I110&lt;=H$2), 'ProductSprint Backlog'!$F110 / MAX(1, 'ProductSprint Backlog'!$J110-'ProductSprint Backlog'!$I110), AND('ProductSprint Backlog'!$J110=H$2,'ProductSprint Backlog'!$I110=H$2), 'ProductSprint Backlog'!$F110, TRUE, 0)</f>
        <v>0</v>
      </c>
      <c r="I110" s="4" cm="1">
        <f t="array" ref="I110">_xlfn.IFS('ProductSprint Backlog'!$F110="", "", AND('ProductSprint Backlog'!$J110&gt;I$2,'ProductSprint Backlog'!$I110&lt;=I$2), 'ProductSprint Backlog'!$F110 / MAX(1, 'ProductSprint Backlog'!$J110-'ProductSprint Backlog'!$I110), AND('ProductSprint Backlog'!$J110=I$2,'ProductSprint Backlog'!$I110=I$2), 'ProductSprint Backlog'!$F110, TRUE, 0)</f>
        <v>0</v>
      </c>
      <c r="J110" s="4" cm="1">
        <f t="array" ref="J110">_xlfn.IFS('ProductSprint Backlog'!$F110="", "", AND('ProductSprint Backlog'!$J110&gt;J$2,'ProductSprint Backlog'!$I110&lt;=J$2), 'ProductSprint Backlog'!$F110 / MAX(1, 'ProductSprint Backlog'!$J110-'ProductSprint Backlog'!$I110), AND('ProductSprint Backlog'!$J110=J$2,'ProductSprint Backlog'!$I110=J$2), 'ProductSprint Backlog'!$F110, TRUE, 0)</f>
        <v>0</v>
      </c>
      <c r="K110" s="4" cm="1">
        <f t="array" ref="K110">_xlfn.IFS('ProductSprint Backlog'!$F110="", "", AND('ProductSprint Backlog'!$J110&gt;K$2,'ProductSprint Backlog'!$I110&lt;=K$2), 'ProductSprint Backlog'!$F110 / MAX(1, 'ProductSprint Backlog'!$J110-'ProductSprint Backlog'!$I110), AND('ProductSprint Backlog'!$J110=K$2,'ProductSprint Backlog'!$I110=K$2), 'ProductSprint Backlog'!$F110, TRUE, 0)</f>
        <v>0</v>
      </c>
      <c r="L110" s="4" cm="1">
        <f t="array" ref="L110">_xlfn.IFS('ProductSprint Backlog'!$F110="", "", AND('ProductSprint Backlog'!$J110&gt;L$2,'ProductSprint Backlog'!$I110&lt;=L$2), 'ProductSprint Backlog'!$F110 / MAX(1, 'ProductSprint Backlog'!$J110-'ProductSprint Backlog'!$I110), AND('ProductSprint Backlog'!$J110=L$2,'ProductSprint Backlog'!$I110=L$2), 'ProductSprint Backlog'!$F110, TRUE, 0)</f>
        <v>0</v>
      </c>
      <c r="M110" s="4" cm="1">
        <f t="array" ref="M110">_xlfn.IFS('ProductSprint Backlog'!$F110="", "", AND('ProductSprint Backlog'!$J110&gt;M$2,'ProductSprint Backlog'!$I110&lt;=M$2), 'ProductSprint Backlog'!$F110 / MAX(1, 'ProductSprint Backlog'!$J110-'ProductSprint Backlog'!$I110), AND('ProductSprint Backlog'!$J110=M$2,'ProductSprint Backlog'!$I110=M$2), 'ProductSprint Backlog'!$F110, TRUE, 0)</f>
        <v>0</v>
      </c>
      <c r="N110" s="4" cm="1">
        <f t="array" ref="N110">_xlfn.IFS('ProductSprint Backlog'!$F110="", "", AND('ProductSprint Backlog'!$J110&gt;N$2,'ProductSprint Backlog'!$I110&lt;=N$2), 'ProductSprint Backlog'!$F110 / MAX(1, 'ProductSprint Backlog'!$J110-'ProductSprint Backlog'!$I110), AND('ProductSprint Backlog'!$J110=N$2,'ProductSprint Backlog'!$I110=N$2), 'ProductSprint Backlog'!$F110, TRUE, 0)</f>
        <v>0</v>
      </c>
      <c r="O110" s="4" cm="1">
        <f t="array" ref="O110">_xlfn.IFS('ProductSprint Backlog'!$F110="", "", AND('ProductSprint Backlog'!$J110&gt;O$2,'ProductSprint Backlog'!$I110&lt;=O$2), 'ProductSprint Backlog'!$F110 / MAX(1, 'ProductSprint Backlog'!$J110-'ProductSprint Backlog'!$I110), AND('ProductSprint Backlog'!$J110=O$2,'ProductSprint Backlog'!$I110=O$2), 'ProductSprint Backlog'!$F110, TRUE, 0)</f>
        <v>0</v>
      </c>
      <c r="P110" s="4" cm="1">
        <f t="array" ref="P110">_xlfn.IFS('ProductSprint Backlog'!$F110="", "", AND('ProductSprint Backlog'!$J110&gt;P$2,'ProductSprint Backlog'!$I110&lt;=P$2), 'ProductSprint Backlog'!$F110 / MAX(1, 'ProductSprint Backlog'!$J110-'ProductSprint Backlog'!$I110), AND('ProductSprint Backlog'!$J110=P$2,'ProductSprint Backlog'!$I110=P$2), 'ProductSprint Backlog'!$F110, TRUE, 0)</f>
        <v>0</v>
      </c>
      <c r="Q110" s="4" cm="1">
        <f t="array" ref="Q110">_xlfn.IFS('ProductSprint Backlog'!$F110="", "", AND('ProductSprint Backlog'!$J110&gt;Q$2,'ProductSprint Backlog'!$I110&lt;=Q$2), 'ProductSprint Backlog'!$F110 / MAX(1, 'ProductSprint Backlog'!$J110-'ProductSprint Backlog'!$I110), AND('ProductSprint Backlog'!$J110=Q$2,'ProductSprint Backlog'!$I110=Q$2), 'ProductSprint Backlog'!$F110, TRUE, 0)</f>
        <v>0</v>
      </c>
    </row>
    <row r="111" spans="2:17" x14ac:dyDescent="0.2">
      <c r="B111" s="4" cm="1">
        <f t="array" ref="B111">_xlfn.IFS('ProductSprint Backlog'!$F111="", "", AND('ProductSprint Backlog'!$J111&gt;B$2,'ProductSprint Backlog'!$I111&lt;=B$2), 'ProductSprint Backlog'!$F111 / MAX(1, 'ProductSprint Backlog'!$J111-'ProductSprint Backlog'!$I111), AND('ProductSprint Backlog'!$J111=B$2,'ProductSprint Backlog'!$I111=B$2), 'ProductSprint Backlog'!$F111, TRUE, 0)</f>
        <v>0</v>
      </c>
      <c r="C111" s="4" cm="1">
        <f t="array" ref="C111">_xlfn.IFS('ProductSprint Backlog'!$F111="", "", AND('ProductSprint Backlog'!$J111&gt;C$2,'ProductSprint Backlog'!$I111&lt;=C$2), 'ProductSprint Backlog'!$F111 / MAX(1, 'ProductSprint Backlog'!$J111-'ProductSprint Backlog'!$I111), AND('ProductSprint Backlog'!$J111=C$2,'ProductSprint Backlog'!$I111=C$2), 'ProductSprint Backlog'!$F111, TRUE, 0)</f>
        <v>0</v>
      </c>
      <c r="D111" s="4" cm="1">
        <f t="array" ref="D111">_xlfn.IFS('ProductSprint Backlog'!$F111="", "", AND('ProductSprint Backlog'!$J111&gt;D$2,'ProductSprint Backlog'!$I111&lt;=D$2), 'ProductSprint Backlog'!$F111 / MAX(1, 'ProductSprint Backlog'!$J111-'ProductSprint Backlog'!$I111), AND('ProductSprint Backlog'!$J111=D$2,'ProductSprint Backlog'!$I111=D$2), 'ProductSprint Backlog'!$F111, TRUE, 0)</f>
        <v>0</v>
      </c>
      <c r="E111" s="4" cm="1">
        <f t="array" ref="E111">_xlfn.IFS('ProductSprint Backlog'!$F111="", "", AND('ProductSprint Backlog'!$J111&gt;E$2,'ProductSprint Backlog'!$I111&lt;=E$2), 'ProductSprint Backlog'!$F111 / MAX(1, 'ProductSprint Backlog'!$J111-'ProductSprint Backlog'!$I111), AND('ProductSprint Backlog'!$J111=E$2,'ProductSprint Backlog'!$I111=E$2), 'ProductSprint Backlog'!$F111, TRUE, 0)</f>
        <v>0</v>
      </c>
      <c r="F111" s="4" cm="1">
        <f t="array" ref="F111">_xlfn.IFS('ProductSprint Backlog'!$F111="", "", AND('ProductSprint Backlog'!$J111&gt;F$2,'ProductSprint Backlog'!$I111&lt;=F$2), 'ProductSprint Backlog'!$F111 / MAX(1, 'ProductSprint Backlog'!$J111-'ProductSprint Backlog'!$I111), AND('ProductSprint Backlog'!$J111=F$2,'ProductSprint Backlog'!$I111=F$2), 'ProductSprint Backlog'!$F111, TRUE, 0)</f>
        <v>0</v>
      </c>
      <c r="G111" s="4" cm="1">
        <f t="array" ref="G111">_xlfn.IFS('ProductSprint Backlog'!$F111="", "", AND('ProductSprint Backlog'!$J111&gt;G$2,'ProductSprint Backlog'!$I111&lt;=G$2), 'ProductSprint Backlog'!$F111 / MAX(1, 'ProductSprint Backlog'!$J111-'ProductSprint Backlog'!$I111), AND('ProductSprint Backlog'!$J111=G$2,'ProductSprint Backlog'!$I111=G$2), 'ProductSprint Backlog'!$F111, TRUE, 0)</f>
        <v>0</v>
      </c>
      <c r="H111" s="4" cm="1">
        <f t="array" ref="H111">_xlfn.IFS('ProductSprint Backlog'!$F111="", "", AND('ProductSprint Backlog'!$J111&gt;H$2,'ProductSprint Backlog'!$I111&lt;=H$2), 'ProductSprint Backlog'!$F111 / MAX(1, 'ProductSprint Backlog'!$J111-'ProductSprint Backlog'!$I111), AND('ProductSprint Backlog'!$J111=H$2,'ProductSprint Backlog'!$I111=H$2), 'ProductSprint Backlog'!$F111, TRUE, 0)</f>
        <v>0</v>
      </c>
      <c r="I111" s="4" cm="1">
        <f t="array" ref="I111">_xlfn.IFS('ProductSprint Backlog'!$F111="", "", AND('ProductSprint Backlog'!$J111&gt;I$2,'ProductSprint Backlog'!$I111&lt;=I$2), 'ProductSprint Backlog'!$F111 / MAX(1, 'ProductSprint Backlog'!$J111-'ProductSprint Backlog'!$I111), AND('ProductSprint Backlog'!$J111=I$2,'ProductSprint Backlog'!$I111=I$2), 'ProductSprint Backlog'!$F111, TRUE, 0)</f>
        <v>0</v>
      </c>
      <c r="J111" s="4" cm="1">
        <f t="array" ref="J111">_xlfn.IFS('ProductSprint Backlog'!$F111="", "", AND('ProductSprint Backlog'!$J111&gt;J$2,'ProductSprint Backlog'!$I111&lt;=J$2), 'ProductSprint Backlog'!$F111 / MAX(1, 'ProductSprint Backlog'!$J111-'ProductSprint Backlog'!$I111), AND('ProductSprint Backlog'!$J111=J$2,'ProductSprint Backlog'!$I111=J$2), 'ProductSprint Backlog'!$F111, TRUE, 0)</f>
        <v>0</v>
      </c>
      <c r="K111" s="4" cm="1">
        <f t="array" ref="K111">_xlfn.IFS('ProductSprint Backlog'!$F111="", "", AND('ProductSprint Backlog'!$J111&gt;K$2,'ProductSprint Backlog'!$I111&lt;=K$2), 'ProductSprint Backlog'!$F111 / MAX(1, 'ProductSprint Backlog'!$J111-'ProductSprint Backlog'!$I111), AND('ProductSprint Backlog'!$J111=K$2,'ProductSprint Backlog'!$I111=K$2), 'ProductSprint Backlog'!$F111, TRUE, 0)</f>
        <v>0</v>
      </c>
      <c r="L111" s="4" cm="1">
        <f t="array" ref="L111">_xlfn.IFS('ProductSprint Backlog'!$F111="", "", AND('ProductSprint Backlog'!$J111&gt;L$2,'ProductSprint Backlog'!$I111&lt;=L$2), 'ProductSprint Backlog'!$F111 / MAX(1, 'ProductSprint Backlog'!$J111-'ProductSprint Backlog'!$I111), AND('ProductSprint Backlog'!$J111=L$2,'ProductSprint Backlog'!$I111=L$2), 'ProductSprint Backlog'!$F111, TRUE, 0)</f>
        <v>0</v>
      </c>
      <c r="M111" s="4" cm="1">
        <f t="array" ref="M111">_xlfn.IFS('ProductSprint Backlog'!$F111="", "", AND('ProductSprint Backlog'!$J111&gt;M$2,'ProductSprint Backlog'!$I111&lt;=M$2), 'ProductSprint Backlog'!$F111 / MAX(1, 'ProductSprint Backlog'!$J111-'ProductSprint Backlog'!$I111), AND('ProductSprint Backlog'!$J111=M$2,'ProductSprint Backlog'!$I111=M$2), 'ProductSprint Backlog'!$F111, TRUE, 0)</f>
        <v>0</v>
      </c>
      <c r="N111" s="4" cm="1">
        <f t="array" ref="N111">_xlfn.IFS('ProductSprint Backlog'!$F111="", "", AND('ProductSprint Backlog'!$J111&gt;N$2,'ProductSprint Backlog'!$I111&lt;=N$2), 'ProductSprint Backlog'!$F111 / MAX(1, 'ProductSprint Backlog'!$J111-'ProductSprint Backlog'!$I111), AND('ProductSprint Backlog'!$J111=N$2,'ProductSprint Backlog'!$I111=N$2), 'ProductSprint Backlog'!$F111, TRUE, 0)</f>
        <v>0</v>
      </c>
      <c r="O111" s="4" cm="1">
        <f t="array" ref="O111">_xlfn.IFS('ProductSprint Backlog'!$F111="", "", AND('ProductSprint Backlog'!$J111&gt;O$2,'ProductSprint Backlog'!$I111&lt;=O$2), 'ProductSprint Backlog'!$F111 / MAX(1, 'ProductSprint Backlog'!$J111-'ProductSprint Backlog'!$I111), AND('ProductSprint Backlog'!$J111=O$2,'ProductSprint Backlog'!$I111=O$2), 'ProductSprint Backlog'!$F111, TRUE, 0)</f>
        <v>0</v>
      </c>
      <c r="P111" s="4" cm="1">
        <f t="array" ref="P111">_xlfn.IFS('ProductSprint Backlog'!$F111="", "", AND('ProductSprint Backlog'!$J111&gt;P$2,'ProductSprint Backlog'!$I111&lt;=P$2), 'ProductSprint Backlog'!$F111 / MAX(1, 'ProductSprint Backlog'!$J111-'ProductSprint Backlog'!$I111), AND('ProductSprint Backlog'!$J111=P$2,'ProductSprint Backlog'!$I111=P$2), 'ProductSprint Backlog'!$F111, TRUE, 0)</f>
        <v>0</v>
      </c>
      <c r="Q111" s="4" cm="1">
        <f t="array" ref="Q111">_xlfn.IFS('ProductSprint Backlog'!$F111="", "", AND('ProductSprint Backlog'!$J111&gt;Q$2,'ProductSprint Backlog'!$I111&lt;=Q$2), 'ProductSprint Backlog'!$F111 / MAX(1, 'ProductSprint Backlog'!$J111-'ProductSprint Backlog'!$I111), AND('ProductSprint Backlog'!$J111=Q$2,'ProductSprint Backlog'!$I111=Q$2), 'ProductSprint Backlog'!$F111, TRUE, 0)</f>
        <v>0</v>
      </c>
    </row>
    <row r="112" spans="2:17" x14ac:dyDescent="0.2">
      <c r="B112" s="4" cm="1">
        <f t="array" ref="B112">_xlfn.IFS('ProductSprint Backlog'!$F112="", "", AND('ProductSprint Backlog'!$J112&gt;B$2,'ProductSprint Backlog'!$I112&lt;=B$2), 'ProductSprint Backlog'!$F112 / MAX(1, 'ProductSprint Backlog'!$J112-'ProductSprint Backlog'!$I112), AND('ProductSprint Backlog'!$J112=B$2,'ProductSprint Backlog'!$I112=B$2), 'ProductSprint Backlog'!$F112, TRUE, 0)</f>
        <v>0</v>
      </c>
      <c r="C112" s="4" cm="1">
        <f t="array" ref="C112">_xlfn.IFS('ProductSprint Backlog'!$F112="", "", AND('ProductSprint Backlog'!$J112&gt;C$2,'ProductSprint Backlog'!$I112&lt;=C$2), 'ProductSprint Backlog'!$F112 / MAX(1, 'ProductSprint Backlog'!$J112-'ProductSprint Backlog'!$I112), AND('ProductSprint Backlog'!$J112=C$2,'ProductSprint Backlog'!$I112=C$2), 'ProductSprint Backlog'!$F112, TRUE, 0)</f>
        <v>0</v>
      </c>
      <c r="D112" s="4" cm="1">
        <f t="array" ref="D112">_xlfn.IFS('ProductSprint Backlog'!$F112="", "", AND('ProductSprint Backlog'!$J112&gt;D$2,'ProductSprint Backlog'!$I112&lt;=D$2), 'ProductSprint Backlog'!$F112 / MAX(1, 'ProductSprint Backlog'!$J112-'ProductSprint Backlog'!$I112), AND('ProductSprint Backlog'!$J112=D$2,'ProductSprint Backlog'!$I112=D$2), 'ProductSprint Backlog'!$F112, TRUE, 0)</f>
        <v>0</v>
      </c>
      <c r="E112" s="4" cm="1">
        <f t="array" ref="E112">_xlfn.IFS('ProductSprint Backlog'!$F112="", "", AND('ProductSprint Backlog'!$J112&gt;E$2,'ProductSprint Backlog'!$I112&lt;=E$2), 'ProductSprint Backlog'!$F112 / MAX(1, 'ProductSprint Backlog'!$J112-'ProductSprint Backlog'!$I112), AND('ProductSprint Backlog'!$J112=E$2,'ProductSprint Backlog'!$I112=E$2), 'ProductSprint Backlog'!$F112, TRUE, 0)</f>
        <v>0</v>
      </c>
      <c r="F112" s="4" cm="1">
        <f t="array" ref="F112">_xlfn.IFS('ProductSprint Backlog'!$F112="", "", AND('ProductSprint Backlog'!$J112&gt;F$2,'ProductSprint Backlog'!$I112&lt;=F$2), 'ProductSprint Backlog'!$F112 / MAX(1, 'ProductSprint Backlog'!$J112-'ProductSprint Backlog'!$I112), AND('ProductSprint Backlog'!$J112=F$2,'ProductSprint Backlog'!$I112=F$2), 'ProductSprint Backlog'!$F112, TRUE, 0)</f>
        <v>0</v>
      </c>
      <c r="G112" s="4" cm="1">
        <f t="array" ref="G112">_xlfn.IFS('ProductSprint Backlog'!$F112="", "", AND('ProductSprint Backlog'!$J112&gt;G$2,'ProductSprint Backlog'!$I112&lt;=G$2), 'ProductSprint Backlog'!$F112 / MAX(1, 'ProductSprint Backlog'!$J112-'ProductSprint Backlog'!$I112), AND('ProductSprint Backlog'!$J112=G$2,'ProductSprint Backlog'!$I112=G$2), 'ProductSprint Backlog'!$F112, TRUE, 0)</f>
        <v>0</v>
      </c>
      <c r="H112" s="4" cm="1">
        <f t="array" ref="H112">_xlfn.IFS('ProductSprint Backlog'!$F112="", "", AND('ProductSprint Backlog'!$J112&gt;H$2,'ProductSprint Backlog'!$I112&lt;=H$2), 'ProductSprint Backlog'!$F112 / MAX(1, 'ProductSprint Backlog'!$J112-'ProductSprint Backlog'!$I112), AND('ProductSprint Backlog'!$J112=H$2,'ProductSprint Backlog'!$I112=H$2), 'ProductSprint Backlog'!$F112, TRUE, 0)</f>
        <v>0</v>
      </c>
      <c r="I112" s="4" cm="1">
        <f t="array" ref="I112">_xlfn.IFS('ProductSprint Backlog'!$F112="", "", AND('ProductSprint Backlog'!$J112&gt;I$2,'ProductSprint Backlog'!$I112&lt;=I$2), 'ProductSprint Backlog'!$F112 / MAX(1, 'ProductSprint Backlog'!$J112-'ProductSprint Backlog'!$I112), AND('ProductSprint Backlog'!$J112=I$2,'ProductSprint Backlog'!$I112=I$2), 'ProductSprint Backlog'!$F112, TRUE, 0)</f>
        <v>0</v>
      </c>
      <c r="J112" s="4" cm="1">
        <f t="array" ref="J112">_xlfn.IFS('ProductSprint Backlog'!$F112="", "", AND('ProductSprint Backlog'!$J112&gt;J$2,'ProductSprint Backlog'!$I112&lt;=J$2), 'ProductSprint Backlog'!$F112 / MAX(1, 'ProductSprint Backlog'!$J112-'ProductSprint Backlog'!$I112), AND('ProductSprint Backlog'!$J112=J$2,'ProductSprint Backlog'!$I112=J$2), 'ProductSprint Backlog'!$F112, TRUE, 0)</f>
        <v>0</v>
      </c>
      <c r="K112" s="4" cm="1">
        <f t="array" ref="K112">_xlfn.IFS('ProductSprint Backlog'!$F112="", "", AND('ProductSprint Backlog'!$J112&gt;K$2,'ProductSprint Backlog'!$I112&lt;=K$2), 'ProductSprint Backlog'!$F112 / MAX(1, 'ProductSprint Backlog'!$J112-'ProductSprint Backlog'!$I112), AND('ProductSprint Backlog'!$J112=K$2,'ProductSprint Backlog'!$I112=K$2), 'ProductSprint Backlog'!$F112, TRUE, 0)</f>
        <v>0</v>
      </c>
      <c r="L112" s="4" cm="1">
        <f t="array" ref="L112">_xlfn.IFS('ProductSprint Backlog'!$F112="", "", AND('ProductSprint Backlog'!$J112&gt;L$2,'ProductSprint Backlog'!$I112&lt;=L$2), 'ProductSprint Backlog'!$F112 / MAX(1, 'ProductSprint Backlog'!$J112-'ProductSprint Backlog'!$I112), AND('ProductSprint Backlog'!$J112=L$2,'ProductSprint Backlog'!$I112=L$2), 'ProductSprint Backlog'!$F112, TRUE, 0)</f>
        <v>0</v>
      </c>
      <c r="M112" s="4" cm="1">
        <f t="array" ref="M112">_xlfn.IFS('ProductSprint Backlog'!$F112="", "", AND('ProductSprint Backlog'!$J112&gt;M$2,'ProductSprint Backlog'!$I112&lt;=M$2), 'ProductSprint Backlog'!$F112 / MAX(1, 'ProductSprint Backlog'!$J112-'ProductSprint Backlog'!$I112), AND('ProductSprint Backlog'!$J112=M$2,'ProductSprint Backlog'!$I112=M$2), 'ProductSprint Backlog'!$F112, TRUE, 0)</f>
        <v>0</v>
      </c>
      <c r="N112" s="4" cm="1">
        <f t="array" ref="N112">_xlfn.IFS('ProductSprint Backlog'!$F112="", "", AND('ProductSprint Backlog'!$J112&gt;N$2,'ProductSprint Backlog'!$I112&lt;=N$2), 'ProductSprint Backlog'!$F112 / MAX(1, 'ProductSprint Backlog'!$J112-'ProductSprint Backlog'!$I112), AND('ProductSprint Backlog'!$J112=N$2,'ProductSprint Backlog'!$I112=N$2), 'ProductSprint Backlog'!$F112, TRUE, 0)</f>
        <v>0</v>
      </c>
      <c r="O112" s="4" cm="1">
        <f t="array" ref="O112">_xlfn.IFS('ProductSprint Backlog'!$F112="", "", AND('ProductSprint Backlog'!$J112&gt;O$2,'ProductSprint Backlog'!$I112&lt;=O$2), 'ProductSprint Backlog'!$F112 / MAX(1, 'ProductSprint Backlog'!$J112-'ProductSprint Backlog'!$I112), AND('ProductSprint Backlog'!$J112=O$2,'ProductSprint Backlog'!$I112=O$2), 'ProductSprint Backlog'!$F112, TRUE, 0)</f>
        <v>0</v>
      </c>
      <c r="P112" s="4" cm="1">
        <f t="array" ref="P112">_xlfn.IFS('ProductSprint Backlog'!$F112="", "", AND('ProductSprint Backlog'!$J112&gt;P$2,'ProductSprint Backlog'!$I112&lt;=P$2), 'ProductSprint Backlog'!$F112 / MAX(1, 'ProductSprint Backlog'!$J112-'ProductSprint Backlog'!$I112), AND('ProductSprint Backlog'!$J112=P$2,'ProductSprint Backlog'!$I112=P$2), 'ProductSprint Backlog'!$F112, TRUE, 0)</f>
        <v>0</v>
      </c>
      <c r="Q112" s="4" cm="1">
        <f t="array" ref="Q112">_xlfn.IFS('ProductSprint Backlog'!$F112="", "", AND('ProductSprint Backlog'!$J112&gt;Q$2,'ProductSprint Backlog'!$I112&lt;=Q$2), 'ProductSprint Backlog'!$F112 / MAX(1, 'ProductSprint Backlog'!$J112-'ProductSprint Backlog'!$I112), AND('ProductSprint Backlog'!$J112=Q$2,'ProductSprint Backlog'!$I112=Q$2), 'ProductSprint Backlog'!$F112, TRUE, 0)</f>
        <v>0</v>
      </c>
    </row>
    <row r="113" spans="2:17" x14ac:dyDescent="0.2">
      <c r="B113" s="4" cm="1">
        <f t="array" ref="B113">_xlfn.IFS('ProductSprint Backlog'!$F113="", "", AND('ProductSprint Backlog'!$J113&gt;B$2,'ProductSprint Backlog'!$I113&lt;=B$2), 'ProductSprint Backlog'!$F113 / MAX(1, 'ProductSprint Backlog'!$J113-'ProductSprint Backlog'!$I113), AND('ProductSprint Backlog'!$J113=B$2,'ProductSprint Backlog'!$I113=B$2), 'ProductSprint Backlog'!$F113, TRUE, 0)</f>
        <v>0</v>
      </c>
      <c r="C113" s="4" cm="1">
        <f t="array" ref="C113">_xlfn.IFS('ProductSprint Backlog'!$F113="", "", AND('ProductSprint Backlog'!$J113&gt;C$2,'ProductSprint Backlog'!$I113&lt;=C$2), 'ProductSprint Backlog'!$F113 / MAX(1, 'ProductSprint Backlog'!$J113-'ProductSprint Backlog'!$I113), AND('ProductSprint Backlog'!$J113=C$2,'ProductSprint Backlog'!$I113=C$2), 'ProductSprint Backlog'!$F113, TRUE, 0)</f>
        <v>0</v>
      </c>
      <c r="D113" s="4" cm="1">
        <f t="array" ref="D113">_xlfn.IFS('ProductSprint Backlog'!$F113="", "", AND('ProductSprint Backlog'!$J113&gt;D$2,'ProductSprint Backlog'!$I113&lt;=D$2), 'ProductSprint Backlog'!$F113 / MAX(1, 'ProductSprint Backlog'!$J113-'ProductSprint Backlog'!$I113), AND('ProductSprint Backlog'!$J113=D$2,'ProductSprint Backlog'!$I113=D$2), 'ProductSprint Backlog'!$F113, TRUE, 0)</f>
        <v>0</v>
      </c>
      <c r="E113" s="4" cm="1">
        <f t="array" ref="E113">_xlfn.IFS('ProductSprint Backlog'!$F113="", "", AND('ProductSprint Backlog'!$J113&gt;E$2,'ProductSprint Backlog'!$I113&lt;=E$2), 'ProductSprint Backlog'!$F113 / MAX(1, 'ProductSprint Backlog'!$J113-'ProductSprint Backlog'!$I113), AND('ProductSprint Backlog'!$J113=E$2,'ProductSprint Backlog'!$I113=E$2), 'ProductSprint Backlog'!$F113, TRUE, 0)</f>
        <v>0</v>
      </c>
      <c r="F113" s="4" cm="1">
        <f t="array" ref="F113">_xlfn.IFS('ProductSprint Backlog'!$F113="", "", AND('ProductSprint Backlog'!$J113&gt;F$2,'ProductSprint Backlog'!$I113&lt;=F$2), 'ProductSprint Backlog'!$F113 / MAX(1, 'ProductSprint Backlog'!$J113-'ProductSprint Backlog'!$I113), AND('ProductSprint Backlog'!$J113=F$2,'ProductSprint Backlog'!$I113=F$2), 'ProductSprint Backlog'!$F113, TRUE, 0)</f>
        <v>0</v>
      </c>
      <c r="G113" s="4" cm="1">
        <f t="array" ref="G113">_xlfn.IFS('ProductSprint Backlog'!$F113="", "", AND('ProductSprint Backlog'!$J113&gt;G$2,'ProductSprint Backlog'!$I113&lt;=G$2), 'ProductSprint Backlog'!$F113 / MAX(1, 'ProductSprint Backlog'!$J113-'ProductSprint Backlog'!$I113), AND('ProductSprint Backlog'!$J113=G$2,'ProductSprint Backlog'!$I113=G$2), 'ProductSprint Backlog'!$F113, TRUE, 0)</f>
        <v>0</v>
      </c>
      <c r="H113" s="4" cm="1">
        <f t="array" ref="H113">_xlfn.IFS('ProductSprint Backlog'!$F113="", "", AND('ProductSprint Backlog'!$J113&gt;H$2,'ProductSprint Backlog'!$I113&lt;=H$2), 'ProductSprint Backlog'!$F113 / MAX(1, 'ProductSprint Backlog'!$J113-'ProductSprint Backlog'!$I113), AND('ProductSprint Backlog'!$J113=H$2,'ProductSprint Backlog'!$I113=H$2), 'ProductSprint Backlog'!$F113, TRUE, 0)</f>
        <v>0</v>
      </c>
      <c r="I113" s="4" cm="1">
        <f t="array" ref="I113">_xlfn.IFS('ProductSprint Backlog'!$F113="", "", AND('ProductSprint Backlog'!$J113&gt;I$2,'ProductSprint Backlog'!$I113&lt;=I$2), 'ProductSprint Backlog'!$F113 / MAX(1, 'ProductSprint Backlog'!$J113-'ProductSprint Backlog'!$I113), AND('ProductSprint Backlog'!$J113=I$2,'ProductSprint Backlog'!$I113=I$2), 'ProductSprint Backlog'!$F113, TRUE, 0)</f>
        <v>0</v>
      </c>
      <c r="J113" s="4" cm="1">
        <f t="array" ref="J113">_xlfn.IFS('ProductSprint Backlog'!$F113="", "", AND('ProductSprint Backlog'!$J113&gt;J$2,'ProductSprint Backlog'!$I113&lt;=J$2), 'ProductSprint Backlog'!$F113 / MAX(1, 'ProductSprint Backlog'!$J113-'ProductSprint Backlog'!$I113), AND('ProductSprint Backlog'!$J113=J$2,'ProductSprint Backlog'!$I113=J$2), 'ProductSprint Backlog'!$F113, TRUE, 0)</f>
        <v>0</v>
      </c>
      <c r="K113" s="4" cm="1">
        <f t="array" ref="K113">_xlfn.IFS('ProductSprint Backlog'!$F113="", "", AND('ProductSprint Backlog'!$J113&gt;K$2,'ProductSprint Backlog'!$I113&lt;=K$2), 'ProductSprint Backlog'!$F113 / MAX(1, 'ProductSprint Backlog'!$J113-'ProductSprint Backlog'!$I113), AND('ProductSprint Backlog'!$J113=K$2,'ProductSprint Backlog'!$I113=K$2), 'ProductSprint Backlog'!$F113, TRUE, 0)</f>
        <v>0</v>
      </c>
      <c r="L113" s="4" cm="1">
        <f t="array" ref="L113">_xlfn.IFS('ProductSprint Backlog'!$F113="", "", AND('ProductSprint Backlog'!$J113&gt;L$2,'ProductSprint Backlog'!$I113&lt;=L$2), 'ProductSprint Backlog'!$F113 / MAX(1, 'ProductSprint Backlog'!$J113-'ProductSprint Backlog'!$I113), AND('ProductSprint Backlog'!$J113=L$2,'ProductSprint Backlog'!$I113=L$2), 'ProductSprint Backlog'!$F113, TRUE, 0)</f>
        <v>0</v>
      </c>
      <c r="M113" s="4" cm="1">
        <f t="array" ref="M113">_xlfn.IFS('ProductSprint Backlog'!$F113="", "", AND('ProductSprint Backlog'!$J113&gt;M$2,'ProductSprint Backlog'!$I113&lt;=M$2), 'ProductSprint Backlog'!$F113 / MAX(1, 'ProductSprint Backlog'!$J113-'ProductSprint Backlog'!$I113), AND('ProductSprint Backlog'!$J113=M$2,'ProductSprint Backlog'!$I113=M$2), 'ProductSprint Backlog'!$F113, TRUE, 0)</f>
        <v>0</v>
      </c>
      <c r="N113" s="4" cm="1">
        <f t="array" ref="N113">_xlfn.IFS('ProductSprint Backlog'!$F113="", "", AND('ProductSprint Backlog'!$J113&gt;N$2,'ProductSprint Backlog'!$I113&lt;=N$2), 'ProductSprint Backlog'!$F113 / MAX(1, 'ProductSprint Backlog'!$J113-'ProductSprint Backlog'!$I113), AND('ProductSprint Backlog'!$J113=N$2,'ProductSprint Backlog'!$I113=N$2), 'ProductSprint Backlog'!$F113, TRUE, 0)</f>
        <v>0</v>
      </c>
      <c r="O113" s="4" cm="1">
        <f t="array" ref="O113">_xlfn.IFS('ProductSprint Backlog'!$F113="", "", AND('ProductSprint Backlog'!$J113&gt;O$2,'ProductSprint Backlog'!$I113&lt;=O$2), 'ProductSprint Backlog'!$F113 / MAX(1, 'ProductSprint Backlog'!$J113-'ProductSprint Backlog'!$I113), AND('ProductSprint Backlog'!$J113=O$2,'ProductSprint Backlog'!$I113=O$2), 'ProductSprint Backlog'!$F113, TRUE, 0)</f>
        <v>0</v>
      </c>
      <c r="P113" s="4" cm="1">
        <f t="array" ref="P113">_xlfn.IFS('ProductSprint Backlog'!$F113="", "", AND('ProductSprint Backlog'!$J113&gt;P$2,'ProductSprint Backlog'!$I113&lt;=P$2), 'ProductSprint Backlog'!$F113 / MAX(1, 'ProductSprint Backlog'!$J113-'ProductSprint Backlog'!$I113), AND('ProductSprint Backlog'!$J113=P$2,'ProductSprint Backlog'!$I113=P$2), 'ProductSprint Backlog'!$F113, TRUE, 0)</f>
        <v>0</v>
      </c>
      <c r="Q113" s="4" cm="1">
        <f t="array" ref="Q113">_xlfn.IFS('ProductSprint Backlog'!$F113="", "", AND('ProductSprint Backlog'!$J113&gt;Q$2,'ProductSprint Backlog'!$I113&lt;=Q$2), 'ProductSprint Backlog'!$F113 / MAX(1, 'ProductSprint Backlog'!$J113-'ProductSprint Backlog'!$I113), AND('ProductSprint Backlog'!$J113=Q$2,'ProductSprint Backlog'!$I113=Q$2), 'ProductSprint Backlog'!$F113, TRUE, 0)</f>
        <v>0</v>
      </c>
    </row>
    <row r="114" spans="2:17" x14ac:dyDescent="0.2">
      <c r="B114" s="4" cm="1">
        <f t="array" ref="B114">_xlfn.IFS('ProductSprint Backlog'!$F114="", "", AND('ProductSprint Backlog'!$J114&gt;B$2,'ProductSprint Backlog'!$I114&lt;=B$2), 'ProductSprint Backlog'!$F114 / MAX(1, 'ProductSprint Backlog'!$J114-'ProductSprint Backlog'!$I114), AND('ProductSprint Backlog'!$J114=B$2,'ProductSprint Backlog'!$I114=B$2), 'ProductSprint Backlog'!$F114, TRUE, 0)</f>
        <v>0</v>
      </c>
      <c r="C114" s="4" cm="1">
        <f t="array" ref="C114">_xlfn.IFS('ProductSprint Backlog'!$F114="", "", AND('ProductSprint Backlog'!$J114&gt;C$2,'ProductSprint Backlog'!$I114&lt;=C$2), 'ProductSprint Backlog'!$F114 / MAX(1, 'ProductSprint Backlog'!$J114-'ProductSprint Backlog'!$I114), AND('ProductSprint Backlog'!$J114=C$2,'ProductSprint Backlog'!$I114=C$2), 'ProductSprint Backlog'!$F114, TRUE, 0)</f>
        <v>0</v>
      </c>
      <c r="D114" s="4" cm="1">
        <f t="array" ref="D114">_xlfn.IFS('ProductSprint Backlog'!$F114="", "", AND('ProductSprint Backlog'!$J114&gt;D$2,'ProductSprint Backlog'!$I114&lt;=D$2), 'ProductSprint Backlog'!$F114 / MAX(1, 'ProductSprint Backlog'!$J114-'ProductSprint Backlog'!$I114), AND('ProductSprint Backlog'!$J114=D$2,'ProductSprint Backlog'!$I114=D$2), 'ProductSprint Backlog'!$F114, TRUE, 0)</f>
        <v>0</v>
      </c>
      <c r="E114" s="4" cm="1">
        <f t="array" ref="E114">_xlfn.IFS('ProductSprint Backlog'!$F114="", "", AND('ProductSprint Backlog'!$J114&gt;E$2,'ProductSprint Backlog'!$I114&lt;=E$2), 'ProductSprint Backlog'!$F114 / MAX(1, 'ProductSprint Backlog'!$J114-'ProductSprint Backlog'!$I114), AND('ProductSprint Backlog'!$J114=E$2,'ProductSprint Backlog'!$I114=E$2), 'ProductSprint Backlog'!$F114, TRUE, 0)</f>
        <v>0</v>
      </c>
      <c r="F114" s="4" cm="1">
        <f t="array" ref="F114">_xlfn.IFS('ProductSprint Backlog'!$F114="", "", AND('ProductSprint Backlog'!$J114&gt;F$2,'ProductSprint Backlog'!$I114&lt;=F$2), 'ProductSprint Backlog'!$F114 / MAX(1, 'ProductSprint Backlog'!$J114-'ProductSprint Backlog'!$I114), AND('ProductSprint Backlog'!$J114=F$2,'ProductSprint Backlog'!$I114=F$2), 'ProductSprint Backlog'!$F114, TRUE, 0)</f>
        <v>0</v>
      </c>
      <c r="G114" s="4" cm="1">
        <f t="array" ref="G114">_xlfn.IFS('ProductSprint Backlog'!$F114="", "", AND('ProductSprint Backlog'!$J114&gt;G$2,'ProductSprint Backlog'!$I114&lt;=G$2), 'ProductSprint Backlog'!$F114 / MAX(1, 'ProductSprint Backlog'!$J114-'ProductSprint Backlog'!$I114), AND('ProductSprint Backlog'!$J114=G$2,'ProductSprint Backlog'!$I114=G$2), 'ProductSprint Backlog'!$F114, TRUE, 0)</f>
        <v>0</v>
      </c>
      <c r="H114" s="4" cm="1">
        <f t="array" ref="H114">_xlfn.IFS('ProductSprint Backlog'!$F114="", "", AND('ProductSprint Backlog'!$J114&gt;H$2,'ProductSprint Backlog'!$I114&lt;=H$2), 'ProductSprint Backlog'!$F114 / MAX(1, 'ProductSprint Backlog'!$J114-'ProductSprint Backlog'!$I114), AND('ProductSprint Backlog'!$J114=H$2,'ProductSprint Backlog'!$I114=H$2), 'ProductSprint Backlog'!$F114, TRUE, 0)</f>
        <v>0</v>
      </c>
      <c r="I114" s="4" cm="1">
        <f t="array" ref="I114">_xlfn.IFS('ProductSprint Backlog'!$F114="", "", AND('ProductSprint Backlog'!$J114&gt;I$2,'ProductSprint Backlog'!$I114&lt;=I$2), 'ProductSprint Backlog'!$F114 / MAX(1, 'ProductSprint Backlog'!$J114-'ProductSprint Backlog'!$I114), AND('ProductSprint Backlog'!$J114=I$2,'ProductSprint Backlog'!$I114=I$2), 'ProductSprint Backlog'!$F114, TRUE, 0)</f>
        <v>0</v>
      </c>
      <c r="J114" s="4" cm="1">
        <f t="array" ref="J114">_xlfn.IFS('ProductSprint Backlog'!$F114="", "", AND('ProductSprint Backlog'!$J114&gt;J$2,'ProductSprint Backlog'!$I114&lt;=J$2), 'ProductSprint Backlog'!$F114 / MAX(1, 'ProductSprint Backlog'!$J114-'ProductSprint Backlog'!$I114), AND('ProductSprint Backlog'!$J114=J$2,'ProductSprint Backlog'!$I114=J$2), 'ProductSprint Backlog'!$F114, TRUE, 0)</f>
        <v>0</v>
      </c>
      <c r="K114" s="4" cm="1">
        <f t="array" ref="K114">_xlfn.IFS('ProductSprint Backlog'!$F114="", "", AND('ProductSprint Backlog'!$J114&gt;K$2,'ProductSprint Backlog'!$I114&lt;=K$2), 'ProductSprint Backlog'!$F114 / MAX(1, 'ProductSprint Backlog'!$J114-'ProductSprint Backlog'!$I114), AND('ProductSprint Backlog'!$J114=K$2,'ProductSprint Backlog'!$I114=K$2), 'ProductSprint Backlog'!$F114, TRUE, 0)</f>
        <v>0</v>
      </c>
      <c r="L114" s="4" cm="1">
        <f t="array" ref="L114">_xlfn.IFS('ProductSprint Backlog'!$F114="", "", AND('ProductSprint Backlog'!$J114&gt;L$2,'ProductSprint Backlog'!$I114&lt;=L$2), 'ProductSprint Backlog'!$F114 / MAX(1, 'ProductSprint Backlog'!$J114-'ProductSprint Backlog'!$I114), AND('ProductSprint Backlog'!$J114=L$2,'ProductSprint Backlog'!$I114=L$2), 'ProductSprint Backlog'!$F114, TRUE, 0)</f>
        <v>0</v>
      </c>
      <c r="M114" s="4" cm="1">
        <f t="array" ref="M114">_xlfn.IFS('ProductSprint Backlog'!$F114="", "", AND('ProductSprint Backlog'!$J114&gt;M$2,'ProductSprint Backlog'!$I114&lt;=M$2), 'ProductSprint Backlog'!$F114 / MAX(1, 'ProductSprint Backlog'!$J114-'ProductSprint Backlog'!$I114), AND('ProductSprint Backlog'!$J114=M$2,'ProductSprint Backlog'!$I114=M$2), 'ProductSprint Backlog'!$F114, TRUE, 0)</f>
        <v>0</v>
      </c>
      <c r="N114" s="4" cm="1">
        <f t="array" ref="N114">_xlfn.IFS('ProductSprint Backlog'!$F114="", "", AND('ProductSprint Backlog'!$J114&gt;N$2,'ProductSprint Backlog'!$I114&lt;=N$2), 'ProductSprint Backlog'!$F114 / MAX(1, 'ProductSprint Backlog'!$J114-'ProductSprint Backlog'!$I114), AND('ProductSprint Backlog'!$J114=N$2,'ProductSprint Backlog'!$I114=N$2), 'ProductSprint Backlog'!$F114, TRUE, 0)</f>
        <v>0</v>
      </c>
      <c r="O114" s="4" cm="1">
        <f t="array" ref="O114">_xlfn.IFS('ProductSprint Backlog'!$F114="", "", AND('ProductSprint Backlog'!$J114&gt;O$2,'ProductSprint Backlog'!$I114&lt;=O$2), 'ProductSprint Backlog'!$F114 / MAX(1, 'ProductSprint Backlog'!$J114-'ProductSprint Backlog'!$I114), AND('ProductSprint Backlog'!$J114=O$2,'ProductSprint Backlog'!$I114=O$2), 'ProductSprint Backlog'!$F114, TRUE, 0)</f>
        <v>0</v>
      </c>
      <c r="P114" s="4" cm="1">
        <f t="array" ref="P114">_xlfn.IFS('ProductSprint Backlog'!$F114="", "", AND('ProductSprint Backlog'!$J114&gt;P$2,'ProductSprint Backlog'!$I114&lt;=P$2), 'ProductSprint Backlog'!$F114 / MAX(1, 'ProductSprint Backlog'!$J114-'ProductSprint Backlog'!$I114), AND('ProductSprint Backlog'!$J114=P$2,'ProductSprint Backlog'!$I114=P$2), 'ProductSprint Backlog'!$F114, TRUE, 0)</f>
        <v>0</v>
      </c>
      <c r="Q114" s="4" cm="1">
        <f t="array" ref="Q114">_xlfn.IFS('ProductSprint Backlog'!$F114="", "", AND('ProductSprint Backlog'!$J114&gt;Q$2,'ProductSprint Backlog'!$I114&lt;=Q$2), 'ProductSprint Backlog'!$F114 / MAX(1, 'ProductSprint Backlog'!$J114-'ProductSprint Backlog'!$I114), AND('ProductSprint Backlog'!$J114=Q$2,'ProductSprint Backlog'!$I114=Q$2), 'ProductSprint Backlog'!$F114, TRUE, 0)</f>
        <v>0</v>
      </c>
    </row>
    <row r="115" spans="2:17" x14ac:dyDescent="0.2">
      <c r="B115" s="4" cm="1">
        <f t="array" ref="B115">_xlfn.IFS('ProductSprint Backlog'!$F115="", "", AND('ProductSprint Backlog'!$J115&gt;B$2,'ProductSprint Backlog'!$I115&lt;=B$2), 'ProductSprint Backlog'!$F115 / MAX(1, 'ProductSprint Backlog'!$J115-'ProductSprint Backlog'!$I115), AND('ProductSprint Backlog'!$J115=B$2,'ProductSprint Backlog'!$I115=B$2), 'ProductSprint Backlog'!$F115, TRUE, 0)</f>
        <v>0</v>
      </c>
      <c r="C115" s="4" cm="1">
        <f t="array" ref="C115">_xlfn.IFS('ProductSprint Backlog'!$F115="", "", AND('ProductSprint Backlog'!$J115&gt;C$2,'ProductSprint Backlog'!$I115&lt;=C$2), 'ProductSprint Backlog'!$F115 / MAX(1, 'ProductSprint Backlog'!$J115-'ProductSprint Backlog'!$I115), AND('ProductSprint Backlog'!$J115=C$2,'ProductSprint Backlog'!$I115=C$2), 'ProductSprint Backlog'!$F115, TRUE, 0)</f>
        <v>0</v>
      </c>
      <c r="D115" s="4" cm="1">
        <f t="array" ref="D115">_xlfn.IFS('ProductSprint Backlog'!$F115="", "", AND('ProductSprint Backlog'!$J115&gt;D$2,'ProductSprint Backlog'!$I115&lt;=D$2), 'ProductSprint Backlog'!$F115 / MAX(1, 'ProductSprint Backlog'!$J115-'ProductSprint Backlog'!$I115), AND('ProductSprint Backlog'!$J115=D$2,'ProductSprint Backlog'!$I115=D$2), 'ProductSprint Backlog'!$F115, TRUE, 0)</f>
        <v>0</v>
      </c>
      <c r="E115" s="4" cm="1">
        <f t="array" ref="E115">_xlfn.IFS('ProductSprint Backlog'!$F115="", "", AND('ProductSprint Backlog'!$J115&gt;E$2,'ProductSprint Backlog'!$I115&lt;=E$2), 'ProductSprint Backlog'!$F115 / MAX(1, 'ProductSprint Backlog'!$J115-'ProductSprint Backlog'!$I115), AND('ProductSprint Backlog'!$J115=E$2,'ProductSprint Backlog'!$I115=E$2), 'ProductSprint Backlog'!$F115, TRUE, 0)</f>
        <v>0</v>
      </c>
      <c r="F115" s="4" cm="1">
        <f t="array" ref="F115">_xlfn.IFS('ProductSprint Backlog'!$F115="", "", AND('ProductSprint Backlog'!$J115&gt;F$2,'ProductSprint Backlog'!$I115&lt;=F$2), 'ProductSprint Backlog'!$F115 / MAX(1, 'ProductSprint Backlog'!$J115-'ProductSprint Backlog'!$I115), AND('ProductSprint Backlog'!$J115=F$2,'ProductSprint Backlog'!$I115=F$2), 'ProductSprint Backlog'!$F115, TRUE, 0)</f>
        <v>0</v>
      </c>
      <c r="G115" s="4" cm="1">
        <f t="array" ref="G115">_xlfn.IFS('ProductSprint Backlog'!$F115="", "", AND('ProductSprint Backlog'!$J115&gt;G$2,'ProductSprint Backlog'!$I115&lt;=G$2), 'ProductSprint Backlog'!$F115 / MAX(1, 'ProductSprint Backlog'!$J115-'ProductSprint Backlog'!$I115), AND('ProductSprint Backlog'!$J115=G$2,'ProductSprint Backlog'!$I115=G$2), 'ProductSprint Backlog'!$F115, TRUE, 0)</f>
        <v>0</v>
      </c>
      <c r="H115" s="4" cm="1">
        <f t="array" ref="H115">_xlfn.IFS('ProductSprint Backlog'!$F115="", "", AND('ProductSprint Backlog'!$J115&gt;H$2,'ProductSprint Backlog'!$I115&lt;=H$2), 'ProductSprint Backlog'!$F115 / MAX(1, 'ProductSprint Backlog'!$J115-'ProductSprint Backlog'!$I115), AND('ProductSprint Backlog'!$J115=H$2,'ProductSprint Backlog'!$I115=H$2), 'ProductSprint Backlog'!$F115, TRUE, 0)</f>
        <v>0</v>
      </c>
      <c r="I115" s="4" cm="1">
        <f t="array" ref="I115">_xlfn.IFS('ProductSprint Backlog'!$F115="", "", AND('ProductSprint Backlog'!$J115&gt;I$2,'ProductSprint Backlog'!$I115&lt;=I$2), 'ProductSprint Backlog'!$F115 / MAX(1, 'ProductSprint Backlog'!$J115-'ProductSprint Backlog'!$I115), AND('ProductSprint Backlog'!$J115=I$2,'ProductSprint Backlog'!$I115=I$2), 'ProductSprint Backlog'!$F115, TRUE, 0)</f>
        <v>0</v>
      </c>
      <c r="J115" s="4" cm="1">
        <f t="array" ref="J115">_xlfn.IFS('ProductSprint Backlog'!$F115="", "", AND('ProductSprint Backlog'!$J115&gt;J$2,'ProductSprint Backlog'!$I115&lt;=J$2), 'ProductSprint Backlog'!$F115 / MAX(1, 'ProductSprint Backlog'!$J115-'ProductSprint Backlog'!$I115), AND('ProductSprint Backlog'!$J115=J$2,'ProductSprint Backlog'!$I115=J$2), 'ProductSprint Backlog'!$F115, TRUE, 0)</f>
        <v>0</v>
      </c>
      <c r="K115" s="4" cm="1">
        <f t="array" ref="K115">_xlfn.IFS('ProductSprint Backlog'!$F115="", "", AND('ProductSprint Backlog'!$J115&gt;K$2,'ProductSprint Backlog'!$I115&lt;=K$2), 'ProductSprint Backlog'!$F115 / MAX(1, 'ProductSprint Backlog'!$J115-'ProductSprint Backlog'!$I115), AND('ProductSprint Backlog'!$J115=K$2,'ProductSprint Backlog'!$I115=K$2), 'ProductSprint Backlog'!$F115, TRUE, 0)</f>
        <v>0</v>
      </c>
      <c r="L115" s="4" cm="1">
        <f t="array" ref="L115">_xlfn.IFS('ProductSprint Backlog'!$F115="", "", AND('ProductSprint Backlog'!$J115&gt;L$2,'ProductSprint Backlog'!$I115&lt;=L$2), 'ProductSprint Backlog'!$F115 / MAX(1, 'ProductSprint Backlog'!$J115-'ProductSprint Backlog'!$I115), AND('ProductSprint Backlog'!$J115=L$2,'ProductSprint Backlog'!$I115=L$2), 'ProductSprint Backlog'!$F115, TRUE, 0)</f>
        <v>0</v>
      </c>
      <c r="M115" s="4" cm="1">
        <f t="array" ref="M115">_xlfn.IFS('ProductSprint Backlog'!$F115="", "", AND('ProductSprint Backlog'!$J115&gt;M$2,'ProductSprint Backlog'!$I115&lt;=M$2), 'ProductSprint Backlog'!$F115 / MAX(1, 'ProductSprint Backlog'!$J115-'ProductSprint Backlog'!$I115), AND('ProductSprint Backlog'!$J115=M$2,'ProductSprint Backlog'!$I115=M$2), 'ProductSprint Backlog'!$F115, TRUE, 0)</f>
        <v>0</v>
      </c>
      <c r="N115" s="4" cm="1">
        <f t="array" ref="N115">_xlfn.IFS('ProductSprint Backlog'!$F115="", "", AND('ProductSprint Backlog'!$J115&gt;N$2,'ProductSprint Backlog'!$I115&lt;=N$2), 'ProductSprint Backlog'!$F115 / MAX(1, 'ProductSprint Backlog'!$J115-'ProductSprint Backlog'!$I115), AND('ProductSprint Backlog'!$J115=N$2,'ProductSprint Backlog'!$I115=N$2), 'ProductSprint Backlog'!$F115, TRUE, 0)</f>
        <v>0</v>
      </c>
      <c r="O115" s="4" cm="1">
        <f t="array" ref="O115">_xlfn.IFS('ProductSprint Backlog'!$F115="", "", AND('ProductSprint Backlog'!$J115&gt;O$2,'ProductSprint Backlog'!$I115&lt;=O$2), 'ProductSprint Backlog'!$F115 / MAX(1, 'ProductSprint Backlog'!$J115-'ProductSprint Backlog'!$I115), AND('ProductSprint Backlog'!$J115=O$2,'ProductSprint Backlog'!$I115=O$2), 'ProductSprint Backlog'!$F115, TRUE, 0)</f>
        <v>0</v>
      </c>
      <c r="P115" s="4" cm="1">
        <f t="array" ref="P115">_xlfn.IFS('ProductSprint Backlog'!$F115="", "", AND('ProductSprint Backlog'!$J115&gt;P$2,'ProductSprint Backlog'!$I115&lt;=P$2), 'ProductSprint Backlog'!$F115 / MAX(1, 'ProductSprint Backlog'!$J115-'ProductSprint Backlog'!$I115), AND('ProductSprint Backlog'!$J115=P$2,'ProductSprint Backlog'!$I115=P$2), 'ProductSprint Backlog'!$F115, TRUE, 0)</f>
        <v>0</v>
      </c>
      <c r="Q115" s="4" cm="1">
        <f t="array" ref="Q115">_xlfn.IFS('ProductSprint Backlog'!$F115="", "", AND('ProductSprint Backlog'!$J115&gt;Q$2,'ProductSprint Backlog'!$I115&lt;=Q$2), 'ProductSprint Backlog'!$F115 / MAX(1, 'ProductSprint Backlog'!$J115-'ProductSprint Backlog'!$I115), AND('ProductSprint Backlog'!$J115=Q$2,'ProductSprint Backlog'!$I115=Q$2), 'ProductSprint Backlog'!$F115, TRUE, 0)</f>
        <v>0</v>
      </c>
    </row>
    <row r="116" spans="2:17" x14ac:dyDescent="0.2">
      <c r="B116" s="4" cm="1">
        <f t="array" ref="B116">_xlfn.IFS('ProductSprint Backlog'!$F116="", "", AND('ProductSprint Backlog'!$J116&gt;B$2,'ProductSprint Backlog'!$I116&lt;=B$2), 'ProductSprint Backlog'!$F116 / MAX(1, 'ProductSprint Backlog'!$J116-'ProductSprint Backlog'!$I116), AND('ProductSprint Backlog'!$J116=B$2,'ProductSprint Backlog'!$I116=B$2), 'ProductSprint Backlog'!$F116, TRUE, 0)</f>
        <v>0</v>
      </c>
      <c r="C116" s="4" cm="1">
        <f t="array" ref="C116">_xlfn.IFS('ProductSprint Backlog'!$F116="", "", AND('ProductSprint Backlog'!$J116&gt;C$2,'ProductSprint Backlog'!$I116&lt;=C$2), 'ProductSprint Backlog'!$F116 / MAX(1, 'ProductSprint Backlog'!$J116-'ProductSprint Backlog'!$I116), AND('ProductSprint Backlog'!$J116=C$2,'ProductSprint Backlog'!$I116=C$2), 'ProductSprint Backlog'!$F116, TRUE, 0)</f>
        <v>0</v>
      </c>
      <c r="D116" s="4" cm="1">
        <f t="array" ref="D116">_xlfn.IFS('ProductSprint Backlog'!$F116="", "", AND('ProductSprint Backlog'!$J116&gt;D$2,'ProductSprint Backlog'!$I116&lt;=D$2), 'ProductSprint Backlog'!$F116 / MAX(1, 'ProductSprint Backlog'!$J116-'ProductSprint Backlog'!$I116), AND('ProductSprint Backlog'!$J116=D$2,'ProductSprint Backlog'!$I116=D$2), 'ProductSprint Backlog'!$F116, TRUE, 0)</f>
        <v>0</v>
      </c>
      <c r="E116" s="4" cm="1">
        <f t="array" ref="E116">_xlfn.IFS('ProductSprint Backlog'!$F116="", "", AND('ProductSprint Backlog'!$J116&gt;E$2,'ProductSprint Backlog'!$I116&lt;=E$2), 'ProductSprint Backlog'!$F116 / MAX(1, 'ProductSprint Backlog'!$J116-'ProductSprint Backlog'!$I116), AND('ProductSprint Backlog'!$J116=E$2,'ProductSprint Backlog'!$I116=E$2), 'ProductSprint Backlog'!$F116, TRUE, 0)</f>
        <v>0</v>
      </c>
      <c r="F116" s="4" cm="1">
        <f t="array" ref="F116">_xlfn.IFS('ProductSprint Backlog'!$F116="", "", AND('ProductSprint Backlog'!$J116&gt;F$2,'ProductSprint Backlog'!$I116&lt;=F$2), 'ProductSprint Backlog'!$F116 / MAX(1, 'ProductSprint Backlog'!$J116-'ProductSprint Backlog'!$I116), AND('ProductSprint Backlog'!$J116=F$2,'ProductSprint Backlog'!$I116=F$2), 'ProductSprint Backlog'!$F116, TRUE, 0)</f>
        <v>0</v>
      </c>
      <c r="G116" s="4" cm="1">
        <f t="array" ref="G116">_xlfn.IFS('ProductSprint Backlog'!$F116="", "", AND('ProductSprint Backlog'!$J116&gt;G$2,'ProductSprint Backlog'!$I116&lt;=G$2), 'ProductSprint Backlog'!$F116 / MAX(1, 'ProductSprint Backlog'!$J116-'ProductSprint Backlog'!$I116), AND('ProductSprint Backlog'!$J116=G$2,'ProductSprint Backlog'!$I116=G$2), 'ProductSprint Backlog'!$F116, TRUE, 0)</f>
        <v>0</v>
      </c>
      <c r="H116" s="4" cm="1">
        <f t="array" ref="H116">_xlfn.IFS('ProductSprint Backlog'!$F116="", "", AND('ProductSprint Backlog'!$J116&gt;H$2,'ProductSprint Backlog'!$I116&lt;=H$2), 'ProductSprint Backlog'!$F116 / MAX(1, 'ProductSprint Backlog'!$J116-'ProductSprint Backlog'!$I116), AND('ProductSprint Backlog'!$J116=H$2,'ProductSprint Backlog'!$I116=H$2), 'ProductSprint Backlog'!$F116, TRUE, 0)</f>
        <v>0</v>
      </c>
      <c r="I116" s="4" cm="1">
        <f t="array" ref="I116">_xlfn.IFS('ProductSprint Backlog'!$F116="", "", AND('ProductSprint Backlog'!$J116&gt;I$2,'ProductSprint Backlog'!$I116&lt;=I$2), 'ProductSprint Backlog'!$F116 / MAX(1, 'ProductSprint Backlog'!$J116-'ProductSprint Backlog'!$I116), AND('ProductSprint Backlog'!$J116=I$2,'ProductSprint Backlog'!$I116=I$2), 'ProductSprint Backlog'!$F116, TRUE, 0)</f>
        <v>0</v>
      </c>
      <c r="J116" s="4" cm="1">
        <f t="array" ref="J116">_xlfn.IFS('ProductSprint Backlog'!$F116="", "", AND('ProductSprint Backlog'!$J116&gt;J$2,'ProductSprint Backlog'!$I116&lt;=J$2), 'ProductSprint Backlog'!$F116 / MAX(1, 'ProductSprint Backlog'!$J116-'ProductSprint Backlog'!$I116), AND('ProductSprint Backlog'!$J116=J$2,'ProductSprint Backlog'!$I116=J$2), 'ProductSprint Backlog'!$F116, TRUE, 0)</f>
        <v>0</v>
      </c>
      <c r="K116" s="4" cm="1">
        <f t="array" ref="K116">_xlfn.IFS('ProductSprint Backlog'!$F116="", "", AND('ProductSprint Backlog'!$J116&gt;K$2,'ProductSprint Backlog'!$I116&lt;=K$2), 'ProductSprint Backlog'!$F116 / MAX(1, 'ProductSprint Backlog'!$J116-'ProductSprint Backlog'!$I116), AND('ProductSprint Backlog'!$J116=K$2,'ProductSprint Backlog'!$I116=K$2), 'ProductSprint Backlog'!$F116, TRUE, 0)</f>
        <v>0</v>
      </c>
      <c r="L116" s="4" cm="1">
        <f t="array" ref="L116">_xlfn.IFS('ProductSprint Backlog'!$F116="", "", AND('ProductSprint Backlog'!$J116&gt;L$2,'ProductSprint Backlog'!$I116&lt;=L$2), 'ProductSprint Backlog'!$F116 / MAX(1, 'ProductSprint Backlog'!$J116-'ProductSprint Backlog'!$I116), AND('ProductSprint Backlog'!$J116=L$2,'ProductSprint Backlog'!$I116=L$2), 'ProductSprint Backlog'!$F116, TRUE, 0)</f>
        <v>0</v>
      </c>
      <c r="M116" s="4" cm="1">
        <f t="array" ref="M116">_xlfn.IFS('ProductSprint Backlog'!$F116="", "", AND('ProductSprint Backlog'!$J116&gt;M$2,'ProductSprint Backlog'!$I116&lt;=M$2), 'ProductSprint Backlog'!$F116 / MAX(1, 'ProductSprint Backlog'!$J116-'ProductSprint Backlog'!$I116), AND('ProductSprint Backlog'!$J116=M$2,'ProductSprint Backlog'!$I116=M$2), 'ProductSprint Backlog'!$F116, TRUE, 0)</f>
        <v>0</v>
      </c>
      <c r="N116" s="4" cm="1">
        <f t="array" ref="N116">_xlfn.IFS('ProductSprint Backlog'!$F116="", "", AND('ProductSprint Backlog'!$J116&gt;N$2,'ProductSprint Backlog'!$I116&lt;=N$2), 'ProductSprint Backlog'!$F116 / MAX(1, 'ProductSprint Backlog'!$J116-'ProductSprint Backlog'!$I116), AND('ProductSprint Backlog'!$J116=N$2,'ProductSprint Backlog'!$I116=N$2), 'ProductSprint Backlog'!$F116, TRUE, 0)</f>
        <v>0</v>
      </c>
      <c r="O116" s="4" cm="1">
        <f t="array" ref="O116">_xlfn.IFS('ProductSprint Backlog'!$F116="", "", AND('ProductSprint Backlog'!$J116&gt;O$2,'ProductSprint Backlog'!$I116&lt;=O$2), 'ProductSprint Backlog'!$F116 / MAX(1, 'ProductSprint Backlog'!$J116-'ProductSprint Backlog'!$I116), AND('ProductSprint Backlog'!$J116=O$2,'ProductSprint Backlog'!$I116=O$2), 'ProductSprint Backlog'!$F116, TRUE, 0)</f>
        <v>0</v>
      </c>
      <c r="P116" s="4" cm="1">
        <f t="array" ref="P116">_xlfn.IFS('ProductSprint Backlog'!$F116="", "", AND('ProductSprint Backlog'!$J116&gt;P$2,'ProductSprint Backlog'!$I116&lt;=P$2), 'ProductSprint Backlog'!$F116 / MAX(1, 'ProductSprint Backlog'!$J116-'ProductSprint Backlog'!$I116), AND('ProductSprint Backlog'!$J116=P$2,'ProductSprint Backlog'!$I116=P$2), 'ProductSprint Backlog'!$F116, TRUE, 0)</f>
        <v>0</v>
      </c>
      <c r="Q116" s="4" cm="1">
        <f t="array" ref="Q116">_xlfn.IFS('ProductSprint Backlog'!$F116="", "", AND('ProductSprint Backlog'!$J116&gt;Q$2,'ProductSprint Backlog'!$I116&lt;=Q$2), 'ProductSprint Backlog'!$F116 / MAX(1, 'ProductSprint Backlog'!$J116-'ProductSprint Backlog'!$I116), AND('ProductSprint Backlog'!$J116=Q$2,'ProductSprint Backlog'!$I116=Q$2), 'ProductSprint Backlog'!$F116, TRUE, 0)</f>
        <v>0</v>
      </c>
    </row>
    <row r="117" spans="2:17" x14ac:dyDescent="0.2">
      <c r="B117" s="4" t="str" cm="1">
        <f t="array" ref="B117">_xlfn.IFS('ProductSprint Backlog'!$F117="", "", AND('ProductSprint Backlog'!$J117&gt;B$2,'ProductSprint Backlog'!$I117&lt;=B$2), 'ProductSprint Backlog'!$F117 / MAX(1, 'ProductSprint Backlog'!$J117-'ProductSprint Backlog'!$I117), AND('ProductSprint Backlog'!$J117=B$2,'ProductSprint Backlog'!$I117=B$2), 'ProductSprint Backlog'!$F117, TRUE, 0)</f>
        <v/>
      </c>
      <c r="C117" s="4" t="str" cm="1">
        <f t="array" ref="C117">_xlfn.IFS('ProductSprint Backlog'!$F117="", "", AND('ProductSprint Backlog'!$J117&gt;C$2,'ProductSprint Backlog'!$I117&lt;=C$2), 'ProductSprint Backlog'!$F117 / MAX(1, 'ProductSprint Backlog'!$J117-'ProductSprint Backlog'!$I117), AND('ProductSprint Backlog'!$J117=C$2,'ProductSprint Backlog'!$I117=C$2), 'ProductSprint Backlog'!$F117, TRUE, 0)</f>
        <v/>
      </c>
      <c r="D117" s="4" t="str" cm="1">
        <f t="array" ref="D117">_xlfn.IFS('ProductSprint Backlog'!$F117="", "", AND('ProductSprint Backlog'!$J117&gt;D$2,'ProductSprint Backlog'!$I117&lt;=D$2), 'ProductSprint Backlog'!$F117 / MAX(1, 'ProductSprint Backlog'!$J117-'ProductSprint Backlog'!$I117), AND('ProductSprint Backlog'!$J117=D$2,'ProductSprint Backlog'!$I117=D$2), 'ProductSprint Backlog'!$F117, TRUE, 0)</f>
        <v/>
      </c>
      <c r="E117" s="4" t="str" cm="1">
        <f t="array" ref="E117">_xlfn.IFS('ProductSprint Backlog'!$F117="", "", AND('ProductSprint Backlog'!$J117&gt;E$2,'ProductSprint Backlog'!$I117&lt;=E$2), 'ProductSprint Backlog'!$F117 / MAX(1, 'ProductSprint Backlog'!$J117-'ProductSprint Backlog'!$I117), AND('ProductSprint Backlog'!$J117=E$2,'ProductSprint Backlog'!$I117=E$2), 'ProductSprint Backlog'!$F117, TRUE, 0)</f>
        <v/>
      </c>
      <c r="F117" s="4" t="str" cm="1">
        <f t="array" ref="F117">_xlfn.IFS('ProductSprint Backlog'!$F117="", "", AND('ProductSprint Backlog'!$J117&gt;F$2,'ProductSprint Backlog'!$I117&lt;=F$2), 'ProductSprint Backlog'!$F117 / MAX(1, 'ProductSprint Backlog'!$J117-'ProductSprint Backlog'!$I117), AND('ProductSprint Backlog'!$J117=F$2,'ProductSprint Backlog'!$I117=F$2), 'ProductSprint Backlog'!$F117, TRUE, 0)</f>
        <v/>
      </c>
      <c r="G117" s="4" t="str" cm="1">
        <f t="array" ref="G117">_xlfn.IFS('ProductSprint Backlog'!$F117="", "", AND('ProductSprint Backlog'!$J117&gt;G$2,'ProductSprint Backlog'!$I117&lt;=G$2), 'ProductSprint Backlog'!$F117 / MAX(1, 'ProductSprint Backlog'!$J117-'ProductSprint Backlog'!$I117), AND('ProductSprint Backlog'!$J117=G$2,'ProductSprint Backlog'!$I117=G$2), 'ProductSprint Backlog'!$F117, TRUE, 0)</f>
        <v/>
      </c>
      <c r="H117" s="4" t="str" cm="1">
        <f t="array" ref="H117">_xlfn.IFS('ProductSprint Backlog'!$F117="", "", AND('ProductSprint Backlog'!$J117&gt;H$2,'ProductSprint Backlog'!$I117&lt;=H$2), 'ProductSprint Backlog'!$F117 / MAX(1, 'ProductSprint Backlog'!$J117-'ProductSprint Backlog'!$I117), AND('ProductSprint Backlog'!$J117=H$2,'ProductSprint Backlog'!$I117=H$2), 'ProductSprint Backlog'!$F117, TRUE, 0)</f>
        <v/>
      </c>
      <c r="I117" s="4" t="str" cm="1">
        <f t="array" ref="I117">_xlfn.IFS('ProductSprint Backlog'!$F117="", "", AND('ProductSprint Backlog'!$J117&gt;I$2,'ProductSprint Backlog'!$I117&lt;=I$2), 'ProductSprint Backlog'!$F117 / MAX(1, 'ProductSprint Backlog'!$J117-'ProductSprint Backlog'!$I117), AND('ProductSprint Backlog'!$J117=I$2,'ProductSprint Backlog'!$I117=I$2), 'ProductSprint Backlog'!$F117, TRUE, 0)</f>
        <v/>
      </c>
      <c r="J117" s="4" t="str" cm="1">
        <f t="array" ref="J117">_xlfn.IFS('ProductSprint Backlog'!$F117="", "", AND('ProductSprint Backlog'!$J117&gt;J$2,'ProductSprint Backlog'!$I117&lt;=J$2), 'ProductSprint Backlog'!$F117 / MAX(1, 'ProductSprint Backlog'!$J117-'ProductSprint Backlog'!$I117), AND('ProductSprint Backlog'!$J117=J$2,'ProductSprint Backlog'!$I117=J$2), 'ProductSprint Backlog'!$F117, TRUE, 0)</f>
        <v/>
      </c>
      <c r="K117" s="4" t="str" cm="1">
        <f t="array" ref="K117">_xlfn.IFS('ProductSprint Backlog'!$F117="", "", AND('ProductSprint Backlog'!$J117&gt;K$2,'ProductSprint Backlog'!$I117&lt;=K$2), 'ProductSprint Backlog'!$F117 / MAX(1, 'ProductSprint Backlog'!$J117-'ProductSprint Backlog'!$I117), AND('ProductSprint Backlog'!$J117=K$2,'ProductSprint Backlog'!$I117=K$2), 'ProductSprint Backlog'!$F117, TRUE, 0)</f>
        <v/>
      </c>
      <c r="L117" s="4" t="str" cm="1">
        <f t="array" ref="L117">_xlfn.IFS('ProductSprint Backlog'!$F117="", "", AND('ProductSprint Backlog'!$J117&gt;L$2,'ProductSprint Backlog'!$I117&lt;=L$2), 'ProductSprint Backlog'!$F117 / MAX(1, 'ProductSprint Backlog'!$J117-'ProductSprint Backlog'!$I117), AND('ProductSprint Backlog'!$J117=L$2,'ProductSprint Backlog'!$I117=L$2), 'ProductSprint Backlog'!$F117, TRUE, 0)</f>
        <v/>
      </c>
      <c r="M117" s="4" t="str" cm="1">
        <f t="array" ref="M117">_xlfn.IFS('ProductSprint Backlog'!$F117="", "", AND('ProductSprint Backlog'!$J117&gt;M$2,'ProductSprint Backlog'!$I117&lt;=M$2), 'ProductSprint Backlog'!$F117 / MAX(1, 'ProductSprint Backlog'!$J117-'ProductSprint Backlog'!$I117), AND('ProductSprint Backlog'!$J117=M$2,'ProductSprint Backlog'!$I117=M$2), 'ProductSprint Backlog'!$F117, TRUE, 0)</f>
        <v/>
      </c>
      <c r="N117" s="4" t="str" cm="1">
        <f t="array" ref="N117">_xlfn.IFS('ProductSprint Backlog'!$F117="", "", AND('ProductSprint Backlog'!$J117&gt;N$2,'ProductSprint Backlog'!$I117&lt;=N$2), 'ProductSprint Backlog'!$F117 / MAX(1, 'ProductSprint Backlog'!$J117-'ProductSprint Backlog'!$I117), AND('ProductSprint Backlog'!$J117=N$2,'ProductSprint Backlog'!$I117=N$2), 'ProductSprint Backlog'!$F117, TRUE, 0)</f>
        <v/>
      </c>
      <c r="O117" s="4" t="str" cm="1">
        <f t="array" ref="O117">_xlfn.IFS('ProductSprint Backlog'!$F117="", "", AND('ProductSprint Backlog'!$J117&gt;O$2,'ProductSprint Backlog'!$I117&lt;=O$2), 'ProductSprint Backlog'!$F117 / MAX(1, 'ProductSprint Backlog'!$J117-'ProductSprint Backlog'!$I117), AND('ProductSprint Backlog'!$J117=O$2,'ProductSprint Backlog'!$I117=O$2), 'ProductSprint Backlog'!$F117, TRUE, 0)</f>
        <v/>
      </c>
      <c r="P117" s="4" t="str" cm="1">
        <f t="array" ref="P117">_xlfn.IFS('ProductSprint Backlog'!$F117="", "", AND('ProductSprint Backlog'!$J117&gt;P$2,'ProductSprint Backlog'!$I117&lt;=P$2), 'ProductSprint Backlog'!$F117 / MAX(1, 'ProductSprint Backlog'!$J117-'ProductSprint Backlog'!$I117), AND('ProductSprint Backlog'!$J117=P$2,'ProductSprint Backlog'!$I117=P$2), 'ProductSprint Backlog'!$F117, TRUE, 0)</f>
        <v/>
      </c>
      <c r="Q117" s="4" t="str" cm="1">
        <f t="array" ref="Q117">_xlfn.IFS('ProductSprint Backlog'!$F117="", "", AND('ProductSprint Backlog'!$J117&gt;Q$2,'ProductSprint Backlog'!$I117&lt;=Q$2), 'ProductSprint Backlog'!$F117 / MAX(1, 'ProductSprint Backlog'!$J117-'ProductSprint Backlog'!$I117), AND('ProductSprint Backlog'!$J117=Q$2,'ProductSprint Backlog'!$I117=Q$2), 'ProductSprint Backlog'!$F117, TRUE, 0)</f>
        <v/>
      </c>
    </row>
    <row r="118" spans="2:17" x14ac:dyDescent="0.2">
      <c r="B118" s="4" cm="1">
        <f t="array" ref="B118">_xlfn.IFS('ProductSprint Backlog'!$F118="", "", AND('ProductSprint Backlog'!$J118&gt;B$2,'ProductSprint Backlog'!$I118&lt;=B$2), 'ProductSprint Backlog'!$F118 / MAX(1, 'ProductSprint Backlog'!$J118-'ProductSprint Backlog'!$I118), AND('ProductSprint Backlog'!$J118=B$2,'ProductSprint Backlog'!$I118=B$2), 'ProductSprint Backlog'!$F118, TRUE, 0)</f>
        <v>0</v>
      </c>
      <c r="C118" s="4" cm="1">
        <f t="array" ref="C118">_xlfn.IFS('ProductSprint Backlog'!$F118="", "", AND('ProductSprint Backlog'!$J118&gt;C$2,'ProductSprint Backlog'!$I118&lt;=C$2), 'ProductSprint Backlog'!$F118 / MAX(1, 'ProductSprint Backlog'!$J118-'ProductSprint Backlog'!$I118), AND('ProductSprint Backlog'!$J118=C$2,'ProductSprint Backlog'!$I118=C$2), 'ProductSprint Backlog'!$F118, TRUE, 0)</f>
        <v>0</v>
      </c>
      <c r="D118" s="4" cm="1">
        <f t="array" ref="D118">_xlfn.IFS('ProductSprint Backlog'!$F118="", "", AND('ProductSprint Backlog'!$J118&gt;D$2,'ProductSprint Backlog'!$I118&lt;=D$2), 'ProductSprint Backlog'!$F118 / MAX(1, 'ProductSprint Backlog'!$J118-'ProductSprint Backlog'!$I118), AND('ProductSprint Backlog'!$J118=D$2,'ProductSprint Backlog'!$I118=D$2), 'ProductSprint Backlog'!$F118, TRUE, 0)</f>
        <v>0</v>
      </c>
      <c r="E118" s="4" cm="1">
        <f t="array" ref="E118">_xlfn.IFS('ProductSprint Backlog'!$F118="", "", AND('ProductSprint Backlog'!$J118&gt;E$2,'ProductSprint Backlog'!$I118&lt;=E$2), 'ProductSprint Backlog'!$F118 / MAX(1, 'ProductSprint Backlog'!$J118-'ProductSprint Backlog'!$I118), AND('ProductSprint Backlog'!$J118=E$2,'ProductSprint Backlog'!$I118=E$2), 'ProductSprint Backlog'!$F118, TRUE, 0)</f>
        <v>0</v>
      </c>
      <c r="F118" s="4" cm="1">
        <f t="array" ref="F118">_xlfn.IFS('ProductSprint Backlog'!$F118="", "", AND('ProductSprint Backlog'!$J118&gt;F$2,'ProductSprint Backlog'!$I118&lt;=F$2), 'ProductSprint Backlog'!$F118 / MAX(1, 'ProductSprint Backlog'!$J118-'ProductSprint Backlog'!$I118), AND('ProductSprint Backlog'!$J118=F$2,'ProductSprint Backlog'!$I118=F$2), 'ProductSprint Backlog'!$F118, TRUE, 0)</f>
        <v>0</v>
      </c>
      <c r="G118" s="4" cm="1">
        <f t="array" ref="G118">_xlfn.IFS('ProductSprint Backlog'!$F118="", "", AND('ProductSprint Backlog'!$J118&gt;G$2,'ProductSprint Backlog'!$I118&lt;=G$2), 'ProductSprint Backlog'!$F118 / MAX(1, 'ProductSprint Backlog'!$J118-'ProductSprint Backlog'!$I118), AND('ProductSprint Backlog'!$J118=G$2,'ProductSprint Backlog'!$I118=G$2), 'ProductSprint Backlog'!$F118, TRUE, 0)</f>
        <v>0</v>
      </c>
      <c r="H118" s="4" cm="1">
        <f t="array" ref="H118">_xlfn.IFS('ProductSprint Backlog'!$F118="", "", AND('ProductSprint Backlog'!$J118&gt;H$2,'ProductSprint Backlog'!$I118&lt;=H$2), 'ProductSprint Backlog'!$F118 / MAX(1, 'ProductSprint Backlog'!$J118-'ProductSprint Backlog'!$I118), AND('ProductSprint Backlog'!$J118=H$2,'ProductSprint Backlog'!$I118=H$2), 'ProductSprint Backlog'!$F118, TRUE, 0)</f>
        <v>0</v>
      </c>
      <c r="I118" s="4" cm="1">
        <f t="array" ref="I118">_xlfn.IFS('ProductSprint Backlog'!$F118="", "", AND('ProductSprint Backlog'!$J118&gt;I$2,'ProductSprint Backlog'!$I118&lt;=I$2), 'ProductSprint Backlog'!$F118 / MAX(1, 'ProductSprint Backlog'!$J118-'ProductSprint Backlog'!$I118), AND('ProductSprint Backlog'!$J118=I$2,'ProductSprint Backlog'!$I118=I$2), 'ProductSprint Backlog'!$F118, TRUE, 0)</f>
        <v>0</v>
      </c>
      <c r="J118" s="4" cm="1">
        <f t="array" ref="J118">_xlfn.IFS('ProductSprint Backlog'!$F118="", "", AND('ProductSprint Backlog'!$J118&gt;J$2,'ProductSprint Backlog'!$I118&lt;=J$2), 'ProductSprint Backlog'!$F118 / MAX(1, 'ProductSprint Backlog'!$J118-'ProductSprint Backlog'!$I118), AND('ProductSprint Backlog'!$J118=J$2,'ProductSprint Backlog'!$I118=J$2), 'ProductSprint Backlog'!$F118, TRUE, 0)</f>
        <v>0</v>
      </c>
      <c r="K118" s="4" cm="1">
        <f t="array" ref="K118">_xlfn.IFS('ProductSprint Backlog'!$F118="", "", AND('ProductSprint Backlog'!$J118&gt;K$2,'ProductSprint Backlog'!$I118&lt;=K$2), 'ProductSprint Backlog'!$F118 / MAX(1, 'ProductSprint Backlog'!$J118-'ProductSprint Backlog'!$I118), AND('ProductSprint Backlog'!$J118=K$2,'ProductSprint Backlog'!$I118=K$2), 'ProductSprint Backlog'!$F118, TRUE, 0)</f>
        <v>0</v>
      </c>
      <c r="L118" s="4" cm="1">
        <f t="array" ref="L118">_xlfn.IFS('ProductSprint Backlog'!$F118="", "", AND('ProductSprint Backlog'!$J118&gt;L$2,'ProductSprint Backlog'!$I118&lt;=L$2), 'ProductSprint Backlog'!$F118 / MAX(1, 'ProductSprint Backlog'!$J118-'ProductSprint Backlog'!$I118), AND('ProductSprint Backlog'!$J118=L$2,'ProductSprint Backlog'!$I118=L$2), 'ProductSprint Backlog'!$F118, TRUE, 0)</f>
        <v>0</v>
      </c>
      <c r="M118" s="4" cm="1">
        <f t="array" ref="M118">_xlfn.IFS('ProductSprint Backlog'!$F118="", "", AND('ProductSprint Backlog'!$J118&gt;M$2,'ProductSprint Backlog'!$I118&lt;=M$2), 'ProductSprint Backlog'!$F118 / MAX(1, 'ProductSprint Backlog'!$J118-'ProductSprint Backlog'!$I118), AND('ProductSprint Backlog'!$J118=M$2,'ProductSprint Backlog'!$I118=M$2), 'ProductSprint Backlog'!$F118, TRUE, 0)</f>
        <v>0</v>
      </c>
      <c r="N118" s="4" cm="1">
        <f t="array" ref="N118">_xlfn.IFS('ProductSprint Backlog'!$F118="", "", AND('ProductSprint Backlog'!$J118&gt;N$2,'ProductSprint Backlog'!$I118&lt;=N$2), 'ProductSprint Backlog'!$F118 / MAX(1, 'ProductSprint Backlog'!$J118-'ProductSprint Backlog'!$I118), AND('ProductSprint Backlog'!$J118=N$2,'ProductSprint Backlog'!$I118=N$2), 'ProductSprint Backlog'!$F118, TRUE, 0)</f>
        <v>0</v>
      </c>
      <c r="O118" s="4" cm="1">
        <f t="array" ref="O118">_xlfn.IFS('ProductSprint Backlog'!$F118="", "", AND('ProductSprint Backlog'!$J118&gt;O$2,'ProductSprint Backlog'!$I118&lt;=O$2), 'ProductSprint Backlog'!$F118 / MAX(1, 'ProductSprint Backlog'!$J118-'ProductSprint Backlog'!$I118), AND('ProductSprint Backlog'!$J118=O$2,'ProductSprint Backlog'!$I118=O$2), 'ProductSprint Backlog'!$F118, TRUE, 0)</f>
        <v>0</v>
      </c>
      <c r="P118" s="4" cm="1">
        <f t="array" ref="P118">_xlfn.IFS('ProductSprint Backlog'!$F118="", "", AND('ProductSprint Backlog'!$J118&gt;P$2,'ProductSprint Backlog'!$I118&lt;=P$2), 'ProductSprint Backlog'!$F118 / MAX(1, 'ProductSprint Backlog'!$J118-'ProductSprint Backlog'!$I118), AND('ProductSprint Backlog'!$J118=P$2,'ProductSprint Backlog'!$I118=P$2), 'ProductSprint Backlog'!$F118, TRUE, 0)</f>
        <v>0</v>
      </c>
      <c r="Q118" s="4" cm="1">
        <f t="array" ref="Q118">_xlfn.IFS('ProductSprint Backlog'!$F118="", "", AND('ProductSprint Backlog'!$J118&gt;Q$2,'ProductSprint Backlog'!$I118&lt;=Q$2), 'ProductSprint Backlog'!$F118 / MAX(1, 'ProductSprint Backlog'!$J118-'ProductSprint Backlog'!$I118), AND('ProductSprint Backlog'!$J118=Q$2,'ProductSprint Backlog'!$I118=Q$2), 'ProductSprint Backlog'!$F118, TRUE, 0)</f>
        <v>0</v>
      </c>
    </row>
    <row r="119" spans="2:17" x14ac:dyDescent="0.2">
      <c r="B119" s="4" cm="1">
        <f t="array" ref="B119">_xlfn.IFS('ProductSprint Backlog'!$F119="", "", AND('ProductSprint Backlog'!$J119&gt;B$2,'ProductSprint Backlog'!$I119&lt;=B$2), 'ProductSprint Backlog'!$F119 / MAX(1, 'ProductSprint Backlog'!$J119-'ProductSprint Backlog'!$I119), AND('ProductSprint Backlog'!$J119=B$2,'ProductSprint Backlog'!$I119=B$2), 'ProductSprint Backlog'!$F119, TRUE, 0)</f>
        <v>0</v>
      </c>
      <c r="C119" s="4" cm="1">
        <f t="array" ref="C119">_xlfn.IFS('ProductSprint Backlog'!$F119="", "", AND('ProductSprint Backlog'!$J119&gt;C$2,'ProductSprint Backlog'!$I119&lt;=C$2), 'ProductSprint Backlog'!$F119 / MAX(1, 'ProductSprint Backlog'!$J119-'ProductSprint Backlog'!$I119), AND('ProductSprint Backlog'!$J119=C$2,'ProductSprint Backlog'!$I119=C$2), 'ProductSprint Backlog'!$F119, TRUE, 0)</f>
        <v>0</v>
      </c>
      <c r="D119" s="4" cm="1">
        <f t="array" ref="D119">_xlfn.IFS('ProductSprint Backlog'!$F119="", "", AND('ProductSprint Backlog'!$J119&gt;D$2,'ProductSprint Backlog'!$I119&lt;=D$2), 'ProductSprint Backlog'!$F119 / MAX(1, 'ProductSprint Backlog'!$J119-'ProductSprint Backlog'!$I119), AND('ProductSprint Backlog'!$J119=D$2,'ProductSprint Backlog'!$I119=D$2), 'ProductSprint Backlog'!$F119, TRUE, 0)</f>
        <v>0</v>
      </c>
      <c r="E119" s="4" cm="1">
        <f t="array" ref="E119">_xlfn.IFS('ProductSprint Backlog'!$F119="", "", AND('ProductSprint Backlog'!$J119&gt;E$2,'ProductSprint Backlog'!$I119&lt;=E$2), 'ProductSprint Backlog'!$F119 / MAX(1, 'ProductSprint Backlog'!$J119-'ProductSprint Backlog'!$I119), AND('ProductSprint Backlog'!$J119=E$2,'ProductSprint Backlog'!$I119=E$2), 'ProductSprint Backlog'!$F119, TRUE, 0)</f>
        <v>0</v>
      </c>
      <c r="F119" s="4" cm="1">
        <f t="array" ref="F119">_xlfn.IFS('ProductSprint Backlog'!$F119="", "", AND('ProductSprint Backlog'!$J119&gt;F$2,'ProductSprint Backlog'!$I119&lt;=F$2), 'ProductSprint Backlog'!$F119 / MAX(1, 'ProductSprint Backlog'!$J119-'ProductSprint Backlog'!$I119), AND('ProductSprint Backlog'!$J119=F$2,'ProductSprint Backlog'!$I119=F$2), 'ProductSprint Backlog'!$F119, TRUE, 0)</f>
        <v>0</v>
      </c>
      <c r="G119" s="4" cm="1">
        <f t="array" ref="G119">_xlfn.IFS('ProductSprint Backlog'!$F119="", "", AND('ProductSprint Backlog'!$J119&gt;G$2,'ProductSprint Backlog'!$I119&lt;=G$2), 'ProductSprint Backlog'!$F119 / MAX(1, 'ProductSprint Backlog'!$J119-'ProductSprint Backlog'!$I119), AND('ProductSprint Backlog'!$J119=G$2,'ProductSprint Backlog'!$I119=G$2), 'ProductSprint Backlog'!$F119, TRUE, 0)</f>
        <v>0</v>
      </c>
      <c r="H119" s="4" cm="1">
        <f t="array" ref="H119">_xlfn.IFS('ProductSprint Backlog'!$F119="", "", AND('ProductSprint Backlog'!$J119&gt;H$2,'ProductSprint Backlog'!$I119&lt;=H$2), 'ProductSprint Backlog'!$F119 / MAX(1, 'ProductSprint Backlog'!$J119-'ProductSprint Backlog'!$I119), AND('ProductSprint Backlog'!$J119=H$2,'ProductSprint Backlog'!$I119=H$2), 'ProductSprint Backlog'!$F119, TRUE, 0)</f>
        <v>0</v>
      </c>
      <c r="I119" s="4" cm="1">
        <f t="array" ref="I119">_xlfn.IFS('ProductSprint Backlog'!$F119="", "", AND('ProductSprint Backlog'!$J119&gt;I$2,'ProductSprint Backlog'!$I119&lt;=I$2), 'ProductSprint Backlog'!$F119 / MAX(1, 'ProductSprint Backlog'!$J119-'ProductSprint Backlog'!$I119), AND('ProductSprint Backlog'!$J119=I$2,'ProductSprint Backlog'!$I119=I$2), 'ProductSprint Backlog'!$F119, TRUE, 0)</f>
        <v>0</v>
      </c>
      <c r="J119" s="4" cm="1">
        <f t="array" ref="J119">_xlfn.IFS('ProductSprint Backlog'!$F119="", "", AND('ProductSprint Backlog'!$J119&gt;J$2,'ProductSprint Backlog'!$I119&lt;=J$2), 'ProductSprint Backlog'!$F119 / MAX(1, 'ProductSprint Backlog'!$J119-'ProductSprint Backlog'!$I119), AND('ProductSprint Backlog'!$J119=J$2,'ProductSprint Backlog'!$I119=J$2), 'ProductSprint Backlog'!$F119, TRUE, 0)</f>
        <v>0</v>
      </c>
      <c r="K119" s="4" cm="1">
        <f t="array" ref="K119">_xlfn.IFS('ProductSprint Backlog'!$F119="", "", AND('ProductSprint Backlog'!$J119&gt;K$2,'ProductSprint Backlog'!$I119&lt;=K$2), 'ProductSprint Backlog'!$F119 / MAX(1, 'ProductSprint Backlog'!$J119-'ProductSprint Backlog'!$I119), AND('ProductSprint Backlog'!$J119=K$2,'ProductSprint Backlog'!$I119=K$2), 'ProductSprint Backlog'!$F119, TRUE, 0)</f>
        <v>0</v>
      </c>
      <c r="L119" s="4" cm="1">
        <f t="array" ref="L119">_xlfn.IFS('ProductSprint Backlog'!$F119="", "", AND('ProductSprint Backlog'!$J119&gt;L$2,'ProductSprint Backlog'!$I119&lt;=L$2), 'ProductSprint Backlog'!$F119 / MAX(1, 'ProductSprint Backlog'!$J119-'ProductSprint Backlog'!$I119), AND('ProductSprint Backlog'!$J119=L$2,'ProductSprint Backlog'!$I119=L$2), 'ProductSprint Backlog'!$F119, TRUE, 0)</f>
        <v>0</v>
      </c>
      <c r="M119" s="4" cm="1">
        <f t="array" ref="M119">_xlfn.IFS('ProductSprint Backlog'!$F119="", "", AND('ProductSprint Backlog'!$J119&gt;M$2,'ProductSprint Backlog'!$I119&lt;=M$2), 'ProductSprint Backlog'!$F119 / MAX(1, 'ProductSprint Backlog'!$J119-'ProductSprint Backlog'!$I119), AND('ProductSprint Backlog'!$J119=M$2,'ProductSprint Backlog'!$I119=M$2), 'ProductSprint Backlog'!$F119, TRUE, 0)</f>
        <v>0</v>
      </c>
      <c r="N119" s="4" cm="1">
        <f t="array" ref="N119">_xlfn.IFS('ProductSprint Backlog'!$F119="", "", AND('ProductSprint Backlog'!$J119&gt;N$2,'ProductSprint Backlog'!$I119&lt;=N$2), 'ProductSprint Backlog'!$F119 / MAX(1, 'ProductSprint Backlog'!$J119-'ProductSprint Backlog'!$I119), AND('ProductSprint Backlog'!$J119=N$2,'ProductSprint Backlog'!$I119=N$2), 'ProductSprint Backlog'!$F119, TRUE, 0)</f>
        <v>0</v>
      </c>
      <c r="O119" s="4" cm="1">
        <f t="array" ref="O119">_xlfn.IFS('ProductSprint Backlog'!$F119="", "", AND('ProductSprint Backlog'!$J119&gt;O$2,'ProductSprint Backlog'!$I119&lt;=O$2), 'ProductSprint Backlog'!$F119 / MAX(1, 'ProductSprint Backlog'!$J119-'ProductSprint Backlog'!$I119), AND('ProductSprint Backlog'!$J119=O$2,'ProductSprint Backlog'!$I119=O$2), 'ProductSprint Backlog'!$F119, TRUE, 0)</f>
        <v>0</v>
      </c>
      <c r="P119" s="4" cm="1">
        <f t="array" ref="P119">_xlfn.IFS('ProductSprint Backlog'!$F119="", "", AND('ProductSprint Backlog'!$J119&gt;P$2,'ProductSprint Backlog'!$I119&lt;=P$2), 'ProductSprint Backlog'!$F119 / MAX(1, 'ProductSprint Backlog'!$J119-'ProductSprint Backlog'!$I119), AND('ProductSprint Backlog'!$J119=P$2,'ProductSprint Backlog'!$I119=P$2), 'ProductSprint Backlog'!$F119, TRUE, 0)</f>
        <v>0</v>
      </c>
      <c r="Q119" s="4" cm="1">
        <f t="array" ref="Q119">_xlfn.IFS('ProductSprint Backlog'!$F119="", "", AND('ProductSprint Backlog'!$J119&gt;Q$2,'ProductSprint Backlog'!$I119&lt;=Q$2), 'ProductSprint Backlog'!$F119 / MAX(1, 'ProductSprint Backlog'!$J119-'ProductSprint Backlog'!$I119), AND('ProductSprint Backlog'!$J119=Q$2,'ProductSprint Backlog'!$I119=Q$2), 'ProductSprint Backlog'!$F119, TRUE, 0)</f>
        <v>0</v>
      </c>
    </row>
    <row r="120" spans="2:17" x14ac:dyDescent="0.2">
      <c r="B120" s="4" cm="1">
        <f t="array" ref="B120">_xlfn.IFS('ProductSprint Backlog'!$F120="", "", AND('ProductSprint Backlog'!$J120&gt;B$2,'ProductSprint Backlog'!$I120&lt;=B$2), 'ProductSprint Backlog'!$F120 / MAX(1, 'ProductSprint Backlog'!$J120-'ProductSprint Backlog'!$I120), AND('ProductSprint Backlog'!$J120=B$2,'ProductSprint Backlog'!$I120=B$2), 'ProductSprint Backlog'!$F120, TRUE, 0)</f>
        <v>0</v>
      </c>
      <c r="C120" s="4" cm="1">
        <f t="array" ref="C120">_xlfn.IFS('ProductSprint Backlog'!$F120="", "", AND('ProductSprint Backlog'!$J120&gt;C$2,'ProductSprint Backlog'!$I120&lt;=C$2), 'ProductSprint Backlog'!$F120 / MAX(1, 'ProductSprint Backlog'!$J120-'ProductSprint Backlog'!$I120), AND('ProductSprint Backlog'!$J120=C$2,'ProductSprint Backlog'!$I120=C$2), 'ProductSprint Backlog'!$F120, TRUE, 0)</f>
        <v>0</v>
      </c>
      <c r="D120" s="4" cm="1">
        <f t="array" ref="D120">_xlfn.IFS('ProductSprint Backlog'!$F120="", "", AND('ProductSprint Backlog'!$J120&gt;D$2,'ProductSprint Backlog'!$I120&lt;=D$2), 'ProductSprint Backlog'!$F120 / MAX(1, 'ProductSprint Backlog'!$J120-'ProductSprint Backlog'!$I120), AND('ProductSprint Backlog'!$J120=D$2,'ProductSprint Backlog'!$I120=D$2), 'ProductSprint Backlog'!$F120, TRUE, 0)</f>
        <v>0</v>
      </c>
      <c r="E120" s="4" cm="1">
        <f t="array" ref="E120">_xlfn.IFS('ProductSprint Backlog'!$F120="", "", AND('ProductSprint Backlog'!$J120&gt;E$2,'ProductSprint Backlog'!$I120&lt;=E$2), 'ProductSprint Backlog'!$F120 / MAX(1, 'ProductSprint Backlog'!$J120-'ProductSprint Backlog'!$I120), AND('ProductSprint Backlog'!$J120=E$2,'ProductSprint Backlog'!$I120=E$2), 'ProductSprint Backlog'!$F120, TRUE, 0)</f>
        <v>0</v>
      </c>
      <c r="F120" s="4" cm="1">
        <f t="array" ref="F120">_xlfn.IFS('ProductSprint Backlog'!$F120="", "", AND('ProductSprint Backlog'!$J120&gt;F$2,'ProductSprint Backlog'!$I120&lt;=F$2), 'ProductSprint Backlog'!$F120 / MAX(1, 'ProductSprint Backlog'!$J120-'ProductSprint Backlog'!$I120), AND('ProductSprint Backlog'!$J120=F$2,'ProductSprint Backlog'!$I120=F$2), 'ProductSprint Backlog'!$F120, TRUE, 0)</f>
        <v>0</v>
      </c>
      <c r="G120" s="4" cm="1">
        <f t="array" ref="G120">_xlfn.IFS('ProductSprint Backlog'!$F120="", "", AND('ProductSprint Backlog'!$J120&gt;G$2,'ProductSprint Backlog'!$I120&lt;=G$2), 'ProductSprint Backlog'!$F120 / MAX(1, 'ProductSprint Backlog'!$J120-'ProductSprint Backlog'!$I120), AND('ProductSprint Backlog'!$J120=G$2,'ProductSprint Backlog'!$I120=G$2), 'ProductSprint Backlog'!$F120, TRUE, 0)</f>
        <v>0</v>
      </c>
      <c r="H120" s="4" cm="1">
        <f t="array" ref="H120">_xlfn.IFS('ProductSprint Backlog'!$F120="", "", AND('ProductSprint Backlog'!$J120&gt;H$2,'ProductSprint Backlog'!$I120&lt;=H$2), 'ProductSprint Backlog'!$F120 / MAX(1, 'ProductSprint Backlog'!$J120-'ProductSprint Backlog'!$I120), AND('ProductSprint Backlog'!$J120=H$2,'ProductSprint Backlog'!$I120=H$2), 'ProductSprint Backlog'!$F120, TRUE, 0)</f>
        <v>0</v>
      </c>
      <c r="I120" s="4" cm="1">
        <f t="array" ref="I120">_xlfn.IFS('ProductSprint Backlog'!$F120="", "", AND('ProductSprint Backlog'!$J120&gt;I$2,'ProductSprint Backlog'!$I120&lt;=I$2), 'ProductSprint Backlog'!$F120 / MAX(1, 'ProductSprint Backlog'!$J120-'ProductSprint Backlog'!$I120), AND('ProductSprint Backlog'!$J120=I$2,'ProductSprint Backlog'!$I120=I$2), 'ProductSprint Backlog'!$F120, TRUE, 0)</f>
        <v>0</v>
      </c>
      <c r="J120" s="4" cm="1">
        <f t="array" ref="J120">_xlfn.IFS('ProductSprint Backlog'!$F120="", "", AND('ProductSprint Backlog'!$J120&gt;J$2,'ProductSprint Backlog'!$I120&lt;=J$2), 'ProductSprint Backlog'!$F120 / MAX(1, 'ProductSprint Backlog'!$J120-'ProductSprint Backlog'!$I120), AND('ProductSprint Backlog'!$J120=J$2,'ProductSprint Backlog'!$I120=J$2), 'ProductSprint Backlog'!$F120, TRUE, 0)</f>
        <v>0</v>
      </c>
      <c r="K120" s="4" cm="1">
        <f t="array" ref="K120">_xlfn.IFS('ProductSprint Backlog'!$F120="", "", AND('ProductSprint Backlog'!$J120&gt;K$2,'ProductSprint Backlog'!$I120&lt;=K$2), 'ProductSprint Backlog'!$F120 / MAX(1, 'ProductSprint Backlog'!$J120-'ProductSprint Backlog'!$I120), AND('ProductSprint Backlog'!$J120=K$2,'ProductSprint Backlog'!$I120=K$2), 'ProductSprint Backlog'!$F120, TRUE, 0)</f>
        <v>0</v>
      </c>
      <c r="L120" s="4" cm="1">
        <f t="array" ref="L120">_xlfn.IFS('ProductSprint Backlog'!$F120="", "", AND('ProductSprint Backlog'!$J120&gt;L$2,'ProductSprint Backlog'!$I120&lt;=L$2), 'ProductSprint Backlog'!$F120 / MAX(1, 'ProductSprint Backlog'!$J120-'ProductSprint Backlog'!$I120), AND('ProductSprint Backlog'!$J120=L$2,'ProductSprint Backlog'!$I120=L$2), 'ProductSprint Backlog'!$F120, TRUE, 0)</f>
        <v>0</v>
      </c>
      <c r="M120" s="4" cm="1">
        <f t="array" ref="M120">_xlfn.IFS('ProductSprint Backlog'!$F120="", "", AND('ProductSprint Backlog'!$J120&gt;M$2,'ProductSprint Backlog'!$I120&lt;=M$2), 'ProductSprint Backlog'!$F120 / MAX(1, 'ProductSprint Backlog'!$J120-'ProductSprint Backlog'!$I120), AND('ProductSprint Backlog'!$J120=M$2,'ProductSprint Backlog'!$I120=M$2), 'ProductSprint Backlog'!$F120, TRUE, 0)</f>
        <v>0</v>
      </c>
      <c r="N120" s="4" cm="1">
        <f t="array" ref="N120">_xlfn.IFS('ProductSprint Backlog'!$F120="", "", AND('ProductSprint Backlog'!$J120&gt;N$2,'ProductSprint Backlog'!$I120&lt;=N$2), 'ProductSprint Backlog'!$F120 / MAX(1, 'ProductSprint Backlog'!$J120-'ProductSprint Backlog'!$I120), AND('ProductSprint Backlog'!$J120=N$2,'ProductSprint Backlog'!$I120=N$2), 'ProductSprint Backlog'!$F120, TRUE, 0)</f>
        <v>0</v>
      </c>
      <c r="O120" s="4" cm="1">
        <f t="array" ref="O120">_xlfn.IFS('ProductSprint Backlog'!$F120="", "", AND('ProductSprint Backlog'!$J120&gt;O$2,'ProductSprint Backlog'!$I120&lt;=O$2), 'ProductSprint Backlog'!$F120 / MAX(1, 'ProductSprint Backlog'!$J120-'ProductSprint Backlog'!$I120), AND('ProductSprint Backlog'!$J120=O$2,'ProductSprint Backlog'!$I120=O$2), 'ProductSprint Backlog'!$F120, TRUE, 0)</f>
        <v>0</v>
      </c>
      <c r="P120" s="4" cm="1">
        <f t="array" ref="P120">_xlfn.IFS('ProductSprint Backlog'!$F120="", "", AND('ProductSprint Backlog'!$J120&gt;P$2,'ProductSprint Backlog'!$I120&lt;=P$2), 'ProductSprint Backlog'!$F120 / MAX(1, 'ProductSprint Backlog'!$J120-'ProductSprint Backlog'!$I120), AND('ProductSprint Backlog'!$J120=P$2,'ProductSprint Backlog'!$I120=P$2), 'ProductSprint Backlog'!$F120, TRUE, 0)</f>
        <v>0</v>
      </c>
      <c r="Q120" s="4" cm="1">
        <f t="array" ref="Q120">_xlfn.IFS('ProductSprint Backlog'!$F120="", "", AND('ProductSprint Backlog'!$J120&gt;Q$2,'ProductSprint Backlog'!$I120&lt;=Q$2), 'ProductSprint Backlog'!$F120 / MAX(1, 'ProductSprint Backlog'!$J120-'ProductSprint Backlog'!$I120), AND('ProductSprint Backlog'!$J120=Q$2,'ProductSprint Backlog'!$I120=Q$2), 'ProductSprint Backlog'!$F120, TRUE, 0)</f>
        <v>0</v>
      </c>
    </row>
    <row r="121" spans="2:17" x14ac:dyDescent="0.2">
      <c r="B121" s="4" cm="1">
        <f t="array" ref="B121">_xlfn.IFS('ProductSprint Backlog'!$F121="", "", AND('ProductSprint Backlog'!$J121&gt;B$2,'ProductSprint Backlog'!$I121&lt;=B$2), 'ProductSprint Backlog'!$F121 / MAX(1, 'ProductSprint Backlog'!$J121-'ProductSprint Backlog'!$I121), AND('ProductSprint Backlog'!$J121=B$2,'ProductSprint Backlog'!$I121=B$2), 'ProductSprint Backlog'!$F121, TRUE, 0)</f>
        <v>0</v>
      </c>
      <c r="C121" s="4" cm="1">
        <f t="array" ref="C121">_xlfn.IFS('ProductSprint Backlog'!$F121="", "", AND('ProductSprint Backlog'!$J121&gt;C$2,'ProductSprint Backlog'!$I121&lt;=C$2), 'ProductSprint Backlog'!$F121 / MAX(1, 'ProductSprint Backlog'!$J121-'ProductSprint Backlog'!$I121), AND('ProductSprint Backlog'!$J121=C$2,'ProductSprint Backlog'!$I121=C$2), 'ProductSprint Backlog'!$F121, TRUE, 0)</f>
        <v>0</v>
      </c>
      <c r="D121" s="4" cm="1">
        <f t="array" ref="D121">_xlfn.IFS('ProductSprint Backlog'!$F121="", "", AND('ProductSprint Backlog'!$J121&gt;D$2,'ProductSprint Backlog'!$I121&lt;=D$2), 'ProductSprint Backlog'!$F121 / MAX(1, 'ProductSprint Backlog'!$J121-'ProductSprint Backlog'!$I121), AND('ProductSprint Backlog'!$J121=D$2,'ProductSprint Backlog'!$I121=D$2), 'ProductSprint Backlog'!$F121, TRUE, 0)</f>
        <v>0</v>
      </c>
      <c r="E121" s="4" cm="1">
        <f t="array" ref="E121">_xlfn.IFS('ProductSprint Backlog'!$F121="", "", AND('ProductSprint Backlog'!$J121&gt;E$2,'ProductSprint Backlog'!$I121&lt;=E$2), 'ProductSprint Backlog'!$F121 / MAX(1, 'ProductSprint Backlog'!$J121-'ProductSprint Backlog'!$I121), AND('ProductSprint Backlog'!$J121=E$2,'ProductSprint Backlog'!$I121=E$2), 'ProductSprint Backlog'!$F121, TRUE, 0)</f>
        <v>0</v>
      </c>
      <c r="F121" s="4" cm="1">
        <f t="array" ref="F121">_xlfn.IFS('ProductSprint Backlog'!$F121="", "", AND('ProductSprint Backlog'!$J121&gt;F$2,'ProductSprint Backlog'!$I121&lt;=F$2), 'ProductSprint Backlog'!$F121 / MAX(1, 'ProductSprint Backlog'!$J121-'ProductSprint Backlog'!$I121), AND('ProductSprint Backlog'!$J121=F$2,'ProductSprint Backlog'!$I121=F$2), 'ProductSprint Backlog'!$F121, TRUE, 0)</f>
        <v>0</v>
      </c>
      <c r="G121" s="4" cm="1">
        <f t="array" ref="G121">_xlfn.IFS('ProductSprint Backlog'!$F121="", "", AND('ProductSprint Backlog'!$J121&gt;G$2,'ProductSprint Backlog'!$I121&lt;=G$2), 'ProductSprint Backlog'!$F121 / MAX(1, 'ProductSprint Backlog'!$J121-'ProductSprint Backlog'!$I121), AND('ProductSprint Backlog'!$J121=G$2,'ProductSprint Backlog'!$I121=G$2), 'ProductSprint Backlog'!$F121, TRUE, 0)</f>
        <v>0</v>
      </c>
      <c r="H121" s="4" cm="1">
        <f t="array" ref="H121">_xlfn.IFS('ProductSprint Backlog'!$F121="", "", AND('ProductSprint Backlog'!$J121&gt;H$2,'ProductSprint Backlog'!$I121&lt;=H$2), 'ProductSprint Backlog'!$F121 / MAX(1, 'ProductSprint Backlog'!$J121-'ProductSprint Backlog'!$I121), AND('ProductSprint Backlog'!$J121=H$2,'ProductSprint Backlog'!$I121=H$2), 'ProductSprint Backlog'!$F121, TRUE, 0)</f>
        <v>0</v>
      </c>
      <c r="I121" s="4" cm="1">
        <f t="array" ref="I121">_xlfn.IFS('ProductSprint Backlog'!$F121="", "", AND('ProductSprint Backlog'!$J121&gt;I$2,'ProductSprint Backlog'!$I121&lt;=I$2), 'ProductSprint Backlog'!$F121 / MAX(1, 'ProductSprint Backlog'!$J121-'ProductSprint Backlog'!$I121), AND('ProductSprint Backlog'!$J121=I$2,'ProductSprint Backlog'!$I121=I$2), 'ProductSprint Backlog'!$F121, TRUE, 0)</f>
        <v>0</v>
      </c>
      <c r="J121" s="4" cm="1">
        <f t="array" ref="J121">_xlfn.IFS('ProductSprint Backlog'!$F121="", "", AND('ProductSprint Backlog'!$J121&gt;J$2,'ProductSprint Backlog'!$I121&lt;=J$2), 'ProductSprint Backlog'!$F121 / MAX(1, 'ProductSprint Backlog'!$J121-'ProductSprint Backlog'!$I121), AND('ProductSprint Backlog'!$J121=J$2,'ProductSprint Backlog'!$I121=J$2), 'ProductSprint Backlog'!$F121, TRUE, 0)</f>
        <v>0</v>
      </c>
      <c r="K121" s="4" cm="1">
        <f t="array" ref="K121">_xlfn.IFS('ProductSprint Backlog'!$F121="", "", AND('ProductSprint Backlog'!$J121&gt;K$2,'ProductSprint Backlog'!$I121&lt;=K$2), 'ProductSprint Backlog'!$F121 / MAX(1, 'ProductSprint Backlog'!$J121-'ProductSprint Backlog'!$I121), AND('ProductSprint Backlog'!$J121=K$2,'ProductSprint Backlog'!$I121=K$2), 'ProductSprint Backlog'!$F121, TRUE, 0)</f>
        <v>0</v>
      </c>
      <c r="L121" s="4" cm="1">
        <f t="array" ref="L121">_xlfn.IFS('ProductSprint Backlog'!$F121="", "", AND('ProductSprint Backlog'!$J121&gt;L$2,'ProductSprint Backlog'!$I121&lt;=L$2), 'ProductSprint Backlog'!$F121 / MAX(1, 'ProductSprint Backlog'!$J121-'ProductSprint Backlog'!$I121), AND('ProductSprint Backlog'!$J121=L$2,'ProductSprint Backlog'!$I121=L$2), 'ProductSprint Backlog'!$F121, TRUE, 0)</f>
        <v>0</v>
      </c>
      <c r="M121" s="4" cm="1">
        <f t="array" ref="M121">_xlfn.IFS('ProductSprint Backlog'!$F121="", "", AND('ProductSprint Backlog'!$J121&gt;M$2,'ProductSprint Backlog'!$I121&lt;=M$2), 'ProductSprint Backlog'!$F121 / MAX(1, 'ProductSprint Backlog'!$J121-'ProductSprint Backlog'!$I121), AND('ProductSprint Backlog'!$J121=M$2,'ProductSprint Backlog'!$I121=M$2), 'ProductSprint Backlog'!$F121, TRUE, 0)</f>
        <v>0</v>
      </c>
      <c r="N121" s="4" cm="1">
        <f t="array" ref="N121">_xlfn.IFS('ProductSprint Backlog'!$F121="", "", AND('ProductSprint Backlog'!$J121&gt;N$2,'ProductSprint Backlog'!$I121&lt;=N$2), 'ProductSprint Backlog'!$F121 / MAX(1, 'ProductSprint Backlog'!$J121-'ProductSprint Backlog'!$I121), AND('ProductSprint Backlog'!$J121=N$2,'ProductSprint Backlog'!$I121=N$2), 'ProductSprint Backlog'!$F121, TRUE, 0)</f>
        <v>0</v>
      </c>
      <c r="O121" s="4" cm="1">
        <f t="array" ref="O121">_xlfn.IFS('ProductSprint Backlog'!$F121="", "", AND('ProductSprint Backlog'!$J121&gt;O$2,'ProductSprint Backlog'!$I121&lt;=O$2), 'ProductSprint Backlog'!$F121 / MAX(1, 'ProductSprint Backlog'!$J121-'ProductSprint Backlog'!$I121), AND('ProductSprint Backlog'!$J121=O$2,'ProductSprint Backlog'!$I121=O$2), 'ProductSprint Backlog'!$F121, TRUE, 0)</f>
        <v>0</v>
      </c>
      <c r="P121" s="4" cm="1">
        <f t="array" ref="P121">_xlfn.IFS('ProductSprint Backlog'!$F121="", "", AND('ProductSprint Backlog'!$J121&gt;P$2,'ProductSprint Backlog'!$I121&lt;=P$2), 'ProductSprint Backlog'!$F121 / MAX(1, 'ProductSprint Backlog'!$J121-'ProductSprint Backlog'!$I121), AND('ProductSprint Backlog'!$J121=P$2,'ProductSprint Backlog'!$I121=P$2), 'ProductSprint Backlog'!$F121, TRUE, 0)</f>
        <v>0</v>
      </c>
      <c r="Q121" s="4" cm="1">
        <f t="array" ref="Q121">_xlfn.IFS('ProductSprint Backlog'!$F121="", "", AND('ProductSprint Backlog'!$J121&gt;Q$2,'ProductSprint Backlog'!$I121&lt;=Q$2), 'ProductSprint Backlog'!$F121 / MAX(1, 'ProductSprint Backlog'!$J121-'ProductSprint Backlog'!$I121), AND('ProductSprint Backlog'!$J121=Q$2,'ProductSprint Backlog'!$I121=Q$2), 'ProductSprint Backlog'!$F121, TRUE, 0)</f>
        <v>0</v>
      </c>
    </row>
    <row r="122" spans="2:17" x14ac:dyDescent="0.2">
      <c r="B122" s="4" cm="1">
        <f t="array" ref="B122">_xlfn.IFS('ProductSprint Backlog'!$F122="", "", AND('ProductSprint Backlog'!$J122&gt;B$2,'ProductSprint Backlog'!$I122&lt;=B$2), 'ProductSprint Backlog'!$F122 / MAX(1, 'ProductSprint Backlog'!$J122-'ProductSprint Backlog'!$I122), AND('ProductSprint Backlog'!$J122=B$2,'ProductSprint Backlog'!$I122=B$2), 'ProductSprint Backlog'!$F122, TRUE, 0)</f>
        <v>0</v>
      </c>
      <c r="C122" s="4" cm="1">
        <f t="array" ref="C122">_xlfn.IFS('ProductSprint Backlog'!$F122="", "", AND('ProductSprint Backlog'!$J122&gt;C$2,'ProductSprint Backlog'!$I122&lt;=C$2), 'ProductSprint Backlog'!$F122 / MAX(1, 'ProductSprint Backlog'!$J122-'ProductSprint Backlog'!$I122), AND('ProductSprint Backlog'!$J122=C$2,'ProductSprint Backlog'!$I122=C$2), 'ProductSprint Backlog'!$F122, TRUE, 0)</f>
        <v>0</v>
      </c>
      <c r="D122" s="4" cm="1">
        <f t="array" ref="D122">_xlfn.IFS('ProductSprint Backlog'!$F122="", "", AND('ProductSprint Backlog'!$J122&gt;D$2,'ProductSprint Backlog'!$I122&lt;=D$2), 'ProductSprint Backlog'!$F122 / MAX(1, 'ProductSprint Backlog'!$J122-'ProductSprint Backlog'!$I122), AND('ProductSprint Backlog'!$J122=D$2,'ProductSprint Backlog'!$I122=D$2), 'ProductSprint Backlog'!$F122, TRUE, 0)</f>
        <v>0</v>
      </c>
      <c r="E122" s="4" cm="1">
        <f t="array" ref="E122">_xlfn.IFS('ProductSprint Backlog'!$F122="", "", AND('ProductSprint Backlog'!$J122&gt;E$2,'ProductSprint Backlog'!$I122&lt;=E$2), 'ProductSprint Backlog'!$F122 / MAX(1, 'ProductSprint Backlog'!$J122-'ProductSprint Backlog'!$I122), AND('ProductSprint Backlog'!$J122=E$2,'ProductSprint Backlog'!$I122=E$2), 'ProductSprint Backlog'!$F122, TRUE, 0)</f>
        <v>0</v>
      </c>
      <c r="F122" s="4" cm="1">
        <f t="array" ref="F122">_xlfn.IFS('ProductSprint Backlog'!$F122="", "", AND('ProductSprint Backlog'!$J122&gt;F$2,'ProductSprint Backlog'!$I122&lt;=F$2), 'ProductSprint Backlog'!$F122 / MAX(1, 'ProductSprint Backlog'!$J122-'ProductSprint Backlog'!$I122), AND('ProductSprint Backlog'!$J122=F$2,'ProductSprint Backlog'!$I122=F$2), 'ProductSprint Backlog'!$F122, TRUE, 0)</f>
        <v>0</v>
      </c>
      <c r="G122" s="4" cm="1">
        <f t="array" ref="G122">_xlfn.IFS('ProductSprint Backlog'!$F122="", "", AND('ProductSprint Backlog'!$J122&gt;G$2,'ProductSprint Backlog'!$I122&lt;=G$2), 'ProductSprint Backlog'!$F122 / MAX(1, 'ProductSprint Backlog'!$J122-'ProductSprint Backlog'!$I122), AND('ProductSprint Backlog'!$J122=G$2,'ProductSprint Backlog'!$I122=G$2), 'ProductSprint Backlog'!$F122, TRUE, 0)</f>
        <v>0</v>
      </c>
      <c r="H122" s="4" cm="1">
        <f t="array" ref="H122">_xlfn.IFS('ProductSprint Backlog'!$F122="", "", AND('ProductSprint Backlog'!$J122&gt;H$2,'ProductSprint Backlog'!$I122&lt;=H$2), 'ProductSprint Backlog'!$F122 / MAX(1, 'ProductSprint Backlog'!$J122-'ProductSprint Backlog'!$I122), AND('ProductSprint Backlog'!$J122=H$2,'ProductSprint Backlog'!$I122=H$2), 'ProductSprint Backlog'!$F122, TRUE, 0)</f>
        <v>0</v>
      </c>
      <c r="I122" s="4" cm="1">
        <f t="array" ref="I122">_xlfn.IFS('ProductSprint Backlog'!$F122="", "", AND('ProductSprint Backlog'!$J122&gt;I$2,'ProductSprint Backlog'!$I122&lt;=I$2), 'ProductSprint Backlog'!$F122 / MAX(1, 'ProductSprint Backlog'!$J122-'ProductSprint Backlog'!$I122), AND('ProductSprint Backlog'!$J122=I$2,'ProductSprint Backlog'!$I122=I$2), 'ProductSprint Backlog'!$F122, TRUE, 0)</f>
        <v>0</v>
      </c>
      <c r="J122" s="4" cm="1">
        <f t="array" ref="J122">_xlfn.IFS('ProductSprint Backlog'!$F122="", "", AND('ProductSprint Backlog'!$J122&gt;J$2,'ProductSprint Backlog'!$I122&lt;=J$2), 'ProductSprint Backlog'!$F122 / MAX(1, 'ProductSprint Backlog'!$J122-'ProductSprint Backlog'!$I122), AND('ProductSprint Backlog'!$J122=J$2,'ProductSprint Backlog'!$I122=J$2), 'ProductSprint Backlog'!$F122, TRUE, 0)</f>
        <v>0</v>
      </c>
      <c r="K122" s="4" cm="1">
        <f t="array" ref="K122">_xlfn.IFS('ProductSprint Backlog'!$F122="", "", AND('ProductSprint Backlog'!$J122&gt;K$2,'ProductSprint Backlog'!$I122&lt;=K$2), 'ProductSprint Backlog'!$F122 / MAX(1, 'ProductSprint Backlog'!$J122-'ProductSprint Backlog'!$I122), AND('ProductSprint Backlog'!$J122=K$2,'ProductSprint Backlog'!$I122=K$2), 'ProductSprint Backlog'!$F122, TRUE, 0)</f>
        <v>0</v>
      </c>
      <c r="L122" s="4" cm="1">
        <f t="array" ref="L122">_xlfn.IFS('ProductSprint Backlog'!$F122="", "", AND('ProductSprint Backlog'!$J122&gt;L$2,'ProductSprint Backlog'!$I122&lt;=L$2), 'ProductSprint Backlog'!$F122 / MAX(1, 'ProductSprint Backlog'!$J122-'ProductSprint Backlog'!$I122), AND('ProductSprint Backlog'!$J122=L$2,'ProductSprint Backlog'!$I122=L$2), 'ProductSprint Backlog'!$F122, TRUE, 0)</f>
        <v>0</v>
      </c>
      <c r="M122" s="4" cm="1">
        <f t="array" ref="M122">_xlfn.IFS('ProductSprint Backlog'!$F122="", "", AND('ProductSprint Backlog'!$J122&gt;M$2,'ProductSprint Backlog'!$I122&lt;=M$2), 'ProductSprint Backlog'!$F122 / MAX(1, 'ProductSprint Backlog'!$J122-'ProductSprint Backlog'!$I122), AND('ProductSprint Backlog'!$J122=M$2,'ProductSprint Backlog'!$I122=M$2), 'ProductSprint Backlog'!$F122, TRUE, 0)</f>
        <v>0</v>
      </c>
      <c r="N122" s="4" cm="1">
        <f t="array" ref="N122">_xlfn.IFS('ProductSprint Backlog'!$F122="", "", AND('ProductSprint Backlog'!$J122&gt;N$2,'ProductSprint Backlog'!$I122&lt;=N$2), 'ProductSprint Backlog'!$F122 / MAX(1, 'ProductSprint Backlog'!$J122-'ProductSprint Backlog'!$I122), AND('ProductSprint Backlog'!$J122=N$2,'ProductSprint Backlog'!$I122=N$2), 'ProductSprint Backlog'!$F122, TRUE, 0)</f>
        <v>0</v>
      </c>
      <c r="O122" s="4" cm="1">
        <f t="array" ref="O122">_xlfn.IFS('ProductSprint Backlog'!$F122="", "", AND('ProductSprint Backlog'!$J122&gt;O$2,'ProductSprint Backlog'!$I122&lt;=O$2), 'ProductSprint Backlog'!$F122 / MAX(1, 'ProductSprint Backlog'!$J122-'ProductSprint Backlog'!$I122), AND('ProductSprint Backlog'!$J122=O$2,'ProductSprint Backlog'!$I122=O$2), 'ProductSprint Backlog'!$F122, TRUE, 0)</f>
        <v>0</v>
      </c>
      <c r="P122" s="4" cm="1">
        <f t="array" ref="P122">_xlfn.IFS('ProductSprint Backlog'!$F122="", "", AND('ProductSprint Backlog'!$J122&gt;P$2,'ProductSprint Backlog'!$I122&lt;=P$2), 'ProductSprint Backlog'!$F122 / MAX(1, 'ProductSprint Backlog'!$J122-'ProductSprint Backlog'!$I122), AND('ProductSprint Backlog'!$J122=P$2,'ProductSprint Backlog'!$I122=P$2), 'ProductSprint Backlog'!$F122, TRUE, 0)</f>
        <v>0</v>
      </c>
      <c r="Q122" s="4" cm="1">
        <f t="array" ref="Q122">_xlfn.IFS('ProductSprint Backlog'!$F122="", "", AND('ProductSprint Backlog'!$J122&gt;Q$2,'ProductSprint Backlog'!$I122&lt;=Q$2), 'ProductSprint Backlog'!$F122 / MAX(1, 'ProductSprint Backlog'!$J122-'ProductSprint Backlog'!$I122), AND('ProductSprint Backlog'!$J122=Q$2,'ProductSprint Backlog'!$I122=Q$2), 'ProductSprint Backlog'!$F122, TRUE, 0)</f>
        <v>0</v>
      </c>
    </row>
    <row r="123" spans="2:17" x14ac:dyDescent="0.2">
      <c r="B123" s="4" cm="1">
        <f t="array" ref="B123">_xlfn.IFS('ProductSprint Backlog'!$F123="", "", AND('ProductSprint Backlog'!$J123&gt;B$2,'ProductSprint Backlog'!$I123&lt;=B$2), 'ProductSprint Backlog'!$F123 / MAX(1, 'ProductSprint Backlog'!$J123-'ProductSprint Backlog'!$I123), AND('ProductSprint Backlog'!$J123=B$2,'ProductSprint Backlog'!$I123=B$2), 'ProductSprint Backlog'!$F123, TRUE, 0)</f>
        <v>0</v>
      </c>
      <c r="C123" s="4" cm="1">
        <f t="array" ref="C123">_xlfn.IFS('ProductSprint Backlog'!$F123="", "", AND('ProductSprint Backlog'!$J123&gt;C$2,'ProductSprint Backlog'!$I123&lt;=C$2), 'ProductSprint Backlog'!$F123 / MAX(1, 'ProductSprint Backlog'!$J123-'ProductSprint Backlog'!$I123), AND('ProductSprint Backlog'!$J123=C$2,'ProductSprint Backlog'!$I123=C$2), 'ProductSprint Backlog'!$F123, TRUE, 0)</f>
        <v>0</v>
      </c>
      <c r="D123" s="4" cm="1">
        <f t="array" ref="D123">_xlfn.IFS('ProductSprint Backlog'!$F123="", "", AND('ProductSprint Backlog'!$J123&gt;D$2,'ProductSprint Backlog'!$I123&lt;=D$2), 'ProductSprint Backlog'!$F123 / MAX(1, 'ProductSprint Backlog'!$J123-'ProductSprint Backlog'!$I123), AND('ProductSprint Backlog'!$J123=D$2,'ProductSprint Backlog'!$I123=D$2), 'ProductSprint Backlog'!$F123, TRUE, 0)</f>
        <v>0</v>
      </c>
      <c r="E123" s="4" cm="1">
        <f t="array" ref="E123">_xlfn.IFS('ProductSprint Backlog'!$F123="", "", AND('ProductSprint Backlog'!$J123&gt;E$2,'ProductSprint Backlog'!$I123&lt;=E$2), 'ProductSprint Backlog'!$F123 / MAX(1, 'ProductSprint Backlog'!$J123-'ProductSprint Backlog'!$I123), AND('ProductSprint Backlog'!$J123=E$2,'ProductSprint Backlog'!$I123=E$2), 'ProductSprint Backlog'!$F123, TRUE, 0)</f>
        <v>0</v>
      </c>
      <c r="F123" s="4" cm="1">
        <f t="array" ref="F123">_xlfn.IFS('ProductSprint Backlog'!$F123="", "", AND('ProductSprint Backlog'!$J123&gt;F$2,'ProductSprint Backlog'!$I123&lt;=F$2), 'ProductSprint Backlog'!$F123 / MAX(1, 'ProductSprint Backlog'!$J123-'ProductSprint Backlog'!$I123), AND('ProductSprint Backlog'!$J123=F$2,'ProductSprint Backlog'!$I123=F$2), 'ProductSprint Backlog'!$F123, TRUE, 0)</f>
        <v>0</v>
      </c>
      <c r="G123" s="4" cm="1">
        <f t="array" ref="G123">_xlfn.IFS('ProductSprint Backlog'!$F123="", "", AND('ProductSprint Backlog'!$J123&gt;G$2,'ProductSprint Backlog'!$I123&lt;=G$2), 'ProductSprint Backlog'!$F123 / MAX(1, 'ProductSprint Backlog'!$J123-'ProductSprint Backlog'!$I123), AND('ProductSprint Backlog'!$J123=G$2,'ProductSprint Backlog'!$I123=G$2), 'ProductSprint Backlog'!$F123, TRUE, 0)</f>
        <v>0</v>
      </c>
      <c r="H123" s="4" cm="1">
        <f t="array" ref="H123">_xlfn.IFS('ProductSprint Backlog'!$F123="", "", AND('ProductSprint Backlog'!$J123&gt;H$2,'ProductSprint Backlog'!$I123&lt;=H$2), 'ProductSprint Backlog'!$F123 / MAX(1, 'ProductSprint Backlog'!$J123-'ProductSprint Backlog'!$I123), AND('ProductSprint Backlog'!$J123=H$2,'ProductSprint Backlog'!$I123=H$2), 'ProductSprint Backlog'!$F123, TRUE, 0)</f>
        <v>0</v>
      </c>
      <c r="I123" s="4" cm="1">
        <f t="array" ref="I123">_xlfn.IFS('ProductSprint Backlog'!$F123="", "", AND('ProductSprint Backlog'!$J123&gt;I$2,'ProductSprint Backlog'!$I123&lt;=I$2), 'ProductSprint Backlog'!$F123 / MAX(1, 'ProductSprint Backlog'!$J123-'ProductSprint Backlog'!$I123), AND('ProductSprint Backlog'!$J123=I$2,'ProductSprint Backlog'!$I123=I$2), 'ProductSprint Backlog'!$F123, TRUE, 0)</f>
        <v>0</v>
      </c>
      <c r="J123" s="4" cm="1">
        <f t="array" ref="J123">_xlfn.IFS('ProductSprint Backlog'!$F123="", "", AND('ProductSprint Backlog'!$J123&gt;J$2,'ProductSprint Backlog'!$I123&lt;=J$2), 'ProductSprint Backlog'!$F123 / MAX(1, 'ProductSprint Backlog'!$J123-'ProductSprint Backlog'!$I123), AND('ProductSprint Backlog'!$J123=J$2,'ProductSprint Backlog'!$I123=J$2), 'ProductSprint Backlog'!$F123, TRUE, 0)</f>
        <v>0</v>
      </c>
      <c r="K123" s="4" cm="1">
        <f t="array" ref="K123">_xlfn.IFS('ProductSprint Backlog'!$F123="", "", AND('ProductSprint Backlog'!$J123&gt;K$2,'ProductSprint Backlog'!$I123&lt;=K$2), 'ProductSprint Backlog'!$F123 / MAX(1, 'ProductSprint Backlog'!$J123-'ProductSprint Backlog'!$I123), AND('ProductSprint Backlog'!$J123=K$2,'ProductSprint Backlog'!$I123=K$2), 'ProductSprint Backlog'!$F123, TRUE, 0)</f>
        <v>0</v>
      </c>
      <c r="L123" s="4" cm="1">
        <f t="array" ref="L123">_xlfn.IFS('ProductSprint Backlog'!$F123="", "", AND('ProductSprint Backlog'!$J123&gt;L$2,'ProductSprint Backlog'!$I123&lt;=L$2), 'ProductSprint Backlog'!$F123 / MAX(1, 'ProductSprint Backlog'!$J123-'ProductSprint Backlog'!$I123), AND('ProductSprint Backlog'!$J123=L$2,'ProductSprint Backlog'!$I123=L$2), 'ProductSprint Backlog'!$F123, TRUE, 0)</f>
        <v>0</v>
      </c>
      <c r="M123" s="4" cm="1">
        <f t="array" ref="M123">_xlfn.IFS('ProductSprint Backlog'!$F123="", "", AND('ProductSprint Backlog'!$J123&gt;M$2,'ProductSprint Backlog'!$I123&lt;=M$2), 'ProductSprint Backlog'!$F123 / MAX(1, 'ProductSprint Backlog'!$J123-'ProductSprint Backlog'!$I123), AND('ProductSprint Backlog'!$J123=M$2,'ProductSprint Backlog'!$I123=M$2), 'ProductSprint Backlog'!$F123, TRUE, 0)</f>
        <v>0</v>
      </c>
      <c r="N123" s="4" cm="1">
        <f t="array" ref="N123">_xlfn.IFS('ProductSprint Backlog'!$F123="", "", AND('ProductSprint Backlog'!$J123&gt;N$2,'ProductSprint Backlog'!$I123&lt;=N$2), 'ProductSprint Backlog'!$F123 / MAX(1, 'ProductSprint Backlog'!$J123-'ProductSprint Backlog'!$I123), AND('ProductSprint Backlog'!$J123=N$2,'ProductSprint Backlog'!$I123=N$2), 'ProductSprint Backlog'!$F123, TRUE, 0)</f>
        <v>0</v>
      </c>
      <c r="O123" s="4" cm="1">
        <f t="array" ref="O123">_xlfn.IFS('ProductSprint Backlog'!$F123="", "", AND('ProductSprint Backlog'!$J123&gt;O$2,'ProductSprint Backlog'!$I123&lt;=O$2), 'ProductSprint Backlog'!$F123 / MAX(1, 'ProductSprint Backlog'!$J123-'ProductSprint Backlog'!$I123), AND('ProductSprint Backlog'!$J123=O$2,'ProductSprint Backlog'!$I123=O$2), 'ProductSprint Backlog'!$F123, TRUE, 0)</f>
        <v>0</v>
      </c>
      <c r="P123" s="4" cm="1">
        <f t="array" ref="P123">_xlfn.IFS('ProductSprint Backlog'!$F123="", "", AND('ProductSprint Backlog'!$J123&gt;P$2,'ProductSprint Backlog'!$I123&lt;=P$2), 'ProductSprint Backlog'!$F123 / MAX(1, 'ProductSprint Backlog'!$J123-'ProductSprint Backlog'!$I123), AND('ProductSprint Backlog'!$J123=P$2,'ProductSprint Backlog'!$I123=P$2), 'ProductSprint Backlog'!$F123, TRUE, 0)</f>
        <v>0</v>
      </c>
      <c r="Q123" s="4" cm="1">
        <f t="array" ref="Q123">_xlfn.IFS('ProductSprint Backlog'!$F123="", "", AND('ProductSprint Backlog'!$J123&gt;Q$2,'ProductSprint Backlog'!$I123&lt;=Q$2), 'ProductSprint Backlog'!$F123 / MAX(1, 'ProductSprint Backlog'!$J123-'ProductSprint Backlog'!$I123), AND('ProductSprint Backlog'!$J123=Q$2,'ProductSprint Backlog'!$I123=Q$2), 'ProductSprint Backlog'!$F123, TRUE, 0)</f>
        <v>0</v>
      </c>
    </row>
    <row r="124" spans="2:17" x14ac:dyDescent="0.2">
      <c r="B124" s="4" t="str" cm="1">
        <f t="array" ref="B124">_xlfn.IFS('ProductSprint Backlog'!$F124="", "", AND('ProductSprint Backlog'!$J124&gt;B$2,'ProductSprint Backlog'!$I124&lt;=B$2), 'ProductSprint Backlog'!$F124 / MAX(1, 'ProductSprint Backlog'!$J124-'ProductSprint Backlog'!$I124), AND('ProductSprint Backlog'!$J124=B$2,'ProductSprint Backlog'!$I124=B$2), 'ProductSprint Backlog'!$F124, TRUE, 0)</f>
        <v/>
      </c>
      <c r="C124" s="4" t="str" cm="1">
        <f t="array" ref="C124">_xlfn.IFS('ProductSprint Backlog'!$F124="", "", AND('ProductSprint Backlog'!$J124&gt;C$2,'ProductSprint Backlog'!$I124&lt;=C$2), 'ProductSprint Backlog'!$F124 / MAX(1, 'ProductSprint Backlog'!$J124-'ProductSprint Backlog'!$I124), AND('ProductSprint Backlog'!$J124=C$2,'ProductSprint Backlog'!$I124=C$2), 'ProductSprint Backlog'!$F124, TRUE, 0)</f>
        <v/>
      </c>
      <c r="D124" s="4" t="str" cm="1">
        <f t="array" ref="D124">_xlfn.IFS('ProductSprint Backlog'!$F124="", "", AND('ProductSprint Backlog'!$J124&gt;D$2,'ProductSprint Backlog'!$I124&lt;=D$2), 'ProductSprint Backlog'!$F124 / MAX(1, 'ProductSprint Backlog'!$J124-'ProductSprint Backlog'!$I124), AND('ProductSprint Backlog'!$J124=D$2,'ProductSprint Backlog'!$I124=D$2), 'ProductSprint Backlog'!$F124, TRUE, 0)</f>
        <v/>
      </c>
      <c r="E124" s="4" t="str" cm="1">
        <f t="array" ref="E124">_xlfn.IFS('ProductSprint Backlog'!$F124="", "", AND('ProductSprint Backlog'!$J124&gt;E$2,'ProductSprint Backlog'!$I124&lt;=E$2), 'ProductSprint Backlog'!$F124 / MAX(1, 'ProductSprint Backlog'!$J124-'ProductSprint Backlog'!$I124), AND('ProductSprint Backlog'!$J124=E$2,'ProductSprint Backlog'!$I124=E$2), 'ProductSprint Backlog'!$F124, TRUE, 0)</f>
        <v/>
      </c>
      <c r="F124" s="4" t="str" cm="1">
        <f t="array" ref="F124">_xlfn.IFS('ProductSprint Backlog'!$F124="", "", AND('ProductSprint Backlog'!$J124&gt;F$2,'ProductSprint Backlog'!$I124&lt;=F$2), 'ProductSprint Backlog'!$F124 / MAX(1, 'ProductSprint Backlog'!$J124-'ProductSprint Backlog'!$I124), AND('ProductSprint Backlog'!$J124=F$2,'ProductSprint Backlog'!$I124=F$2), 'ProductSprint Backlog'!$F124, TRUE, 0)</f>
        <v/>
      </c>
      <c r="G124" s="4" t="str" cm="1">
        <f t="array" ref="G124">_xlfn.IFS('ProductSprint Backlog'!$F124="", "", AND('ProductSprint Backlog'!$J124&gt;G$2,'ProductSprint Backlog'!$I124&lt;=G$2), 'ProductSprint Backlog'!$F124 / MAX(1, 'ProductSprint Backlog'!$J124-'ProductSprint Backlog'!$I124), AND('ProductSprint Backlog'!$J124=G$2,'ProductSprint Backlog'!$I124=G$2), 'ProductSprint Backlog'!$F124, TRUE, 0)</f>
        <v/>
      </c>
      <c r="H124" s="4" t="str" cm="1">
        <f t="array" ref="H124">_xlfn.IFS('ProductSprint Backlog'!$F124="", "", AND('ProductSprint Backlog'!$J124&gt;H$2,'ProductSprint Backlog'!$I124&lt;=H$2), 'ProductSprint Backlog'!$F124 / MAX(1, 'ProductSprint Backlog'!$J124-'ProductSprint Backlog'!$I124), AND('ProductSprint Backlog'!$J124=H$2,'ProductSprint Backlog'!$I124=H$2), 'ProductSprint Backlog'!$F124, TRUE, 0)</f>
        <v/>
      </c>
      <c r="I124" s="4" t="str" cm="1">
        <f t="array" ref="I124">_xlfn.IFS('ProductSprint Backlog'!$F124="", "", AND('ProductSprint Backlog'!$J124&gt;I$2,'ProductSprint Backlog'!$I124&lt;=I$2), 'ProductSprint Backlog'!$F124 / MAX(1, 'ProductSprint Backlog'!$J124-'ProductSprint Backlog'!$I124), AND('ProductSprint Backlog'!$J124=I$2,'ProductSprint Backlog'!$I124=I$2), 'ProductSprint Backlog'!$F124, TRUE, 0)</f>
        <v/>
      </c>
      <c r="J124" s="4" t="str" cm="1">
        <f t="array" ref="J124">_xlfn.IFS('ProductSprint Backlog'!$F124="", "", AND('ProductSprint Backlog'!$J124&gt;J$2,'ProductSprint Backlog'!$I124&lt;=J$2), 'ProductSprint Backlog'!$F124 / MAX(1, 'ProductSprint Backlog'!$J124-'ProductSprint Backlog'!$I124), AND('ProductSprint Backlog'!$J124=J$2,'ProductSprint Backlog'!$I124=J$2), 'ProductSprint Backlog'!$F124, TRUE, 0)</f>
        <v/>
      </c>
      <c r="K124" s="4" t="str" cm="1">
        <f t="array" ref="K124">_xlfn.IFS('ProductSprint Backlog'!$F124="", "", AND('ProductSprint Backlog'!$J124&gt;K$2,'ProductSprint Backlog'!$I124&lt;=K$2), 'ProductSprint Backlog'!$F124 / MAX(1, 'ProductSprint Backlog'!$J124-'ProductSprint Backlog'!$I124), AND('ProductSprint Backlog'!$J124=K$2,'ProductSprint Backlog'!$I124=K$2), 'ProductSprint Backlog'!$F124, TRUE, 0)</f>
        <v/>
      </c>
      <c r="L124" s="4" t="str" cm="1">
        <f t="array" ref="L124">_xlfn.IFS('ProductSprint Backlog'!$F124="", "", AND('ProductSprint Backlog'!$J124&gt;L$2,'ProductSprint Backlog'!$I124&lt;=L$2), 'ProductSprint Backlog'!$F124 / MAX(1, 'ProductSprint Backlog'!$J124-'ProductSprint Backlog'!$I124), AND('ProductSprint Backlog'!$J124=L$2,'ProductSprint Backlog'!$I124=L$2), 'ProductSprint Backlog'!$F124, TRUE, 0)</f>
        <v/>
      </c>
      <c r="M124" s="4" t="str" cm="1">
        <f t="array" ref="M124">_xlfn.IFS('ProductSprint Backlog'!$F124="", "", AND('ProductSprint Backlog'!$J124&gt;M$2,'ProductSprint Backlog'!$I124&lt;=M$2), 'ProductSprint Backlog'!$F124 / MAX(1, 'ProductSprint Backlog'!$J124-'ProductSprint Backlog'!$I124), AND('ProductSprint Backlog'!$J124=M$2,'ProductSprint Backlog'!$I124=M$2), 'ProductSprint Backlog'!$F124, TRUE, 0)</f>
        <v/>
      </c>
      <c r="N124" s="4" t="str" cm="1">
        <f t="array" ref="N124">_xlfn.IFS('ProductSprint Backlog'!$F124="", "", AND('ProductSprint Backlog'!$J124&gt;N$2,'ProductSprint Backlog'!$I124&lt;=N$2), 'ProductSprint Backlog'!$F124 / MAX(1, 'ProductSprint Backlog'!$J124-'ProductSprint Backlog'!$I124), AND('ProductSprint Backlog'!$J124=N$2,'ProductSprint Backlog'!$I124=N$2), 'ProductSprint Backlog'!$F124, TRUE, 0)</f>
        <v/>
      </c>
      <c r="O124" s="4" t="str" cm="1">
        <f t="array" ref="O124">_xlfn.IFS('ProductSprint Backlog'!$F124="", "", AND('ProductSprint Backlog'!$J124&gt;O$2,'ProductSprint Backlog'!$I124&lt;=O$2), 'ProductSprint Backlog'!$F124 / MAX(1, 'ProductSprint Backlog'!$J124-'ProductSprint Backlog'!$I124), AND('ProductSprint Backlog'!$J124=O$2,'ProductSprint Backlog'!$I124=O$2), 'ProductSprint Backlog'!$F124, TRUE, 0)</f>
        <v/>
      </c>
      <c r="P124" s="4" t="str" cm="1">
        <f t="array" ref="P124">_xlfn.IFS('ProductSprint Backlog'!$F124="", "", AND('ProductSprint Backlog'!$J124&gt;P$2,'ProductSprint Backlog'!$I124&lt;=P$2), 'ProductSprint Backlog'!$F124 / MAX(1, 'ProductSprint Backlog'!$J124-'ProductSprint Backlog'!$I124), AND('ProductSprint Backlog'!$J124=P$2,'ProductSprint Backlog'!$I124=P$2), 'ProductSprint Backlog'!$F124, TRUE, 0)</f>
        <v/>
      </c>
      <c r="Q124" s="4" t="str" cm="1">
        <f t="array" ref="Q124">_xlfn.IFS('ProductSprint Backlog'!$F124="", "", AND('ProductSprint Backlog'!$J124&gt;Q$2,'ProductSprint Backlog'!$I124&lt;=Q$2), 'ProductSprint Backlog'!$F124 / MAX(1, 'ProductSprint Backlog'!$J124-'ProductSprint Backlog'!$I124), AND('ProductSprint Backlog'!$J124=Q$2,'ProductSprint Backlog'!$I124=Q$2), 'ProductSprint Backlog'!$F124, TRUE, 0)</f>
        <v/>
      </c>
    </row>
    <row r="125" spans="2:17" x14ac:dyDescent="0.2">
      <c r="B125" s="4" cm="1">
        <f t="array" ref="B125">_xlfn.IFS('ProductSprint Backlog'!$F125="", "", AND('ProductSprint Backlog'!$J125&gt;B$2,'ProductSprint Backlog'!$I125&lt;=B$2), 'ProductSprint Backlog'!$F125 / MAX(1, 'ProductSprint Backlog'!$J125-'ProductSprint Backlog'!$I125), AND('ProductSprint Backlog'!$J125=B$2,'ProductSprint Backlog'!$I125=B$2), 'ProductSprint Backlog'!$F125, TRUE, 0)</f>
        <v>0</v>
      </c>
      <c r="C125" s="4" cm="1">
        <f t="array" ref="C125">_xlfn.IFS('ProductSprint Backlog'!$F125="", "", AND('ProductSprint Backlog'!$J125&gt;C$2,'ProductSprint Backlog'!$I125&lt;=C$2), 'ProductSprint Backlog'!$F125 / MAX(1, 'ProductSprint Backlog'!$J125-'ProductSprint Backlog'!$I125), AND('ProductSprint Backlog'!$J125=C$2,'ProductSprint Backlog'!$I125=C$2), 'ProductSprint Backlog'!$F125, TRUE, 0)</f>
        <v>0</v>
      </c>
      <c r="D125" s="4" cm="1">
        <f t="array" ref="D125">_xlfn.IFS('ProductSprint Backlog'!$F125="", "", AND('ProductSprint Backlog'!$J125&gt;D$2,'ProductSprint Backlog'!$I125&lt;=D$2), 'ProductSprint Backlog'!$F125 / MAX(1, 'ProductSprint Backlog'!$J125-'ProductSprint Backlog'!$I125), AND('ProductSprint Backlog'!$J125=D$2,'ProductSprint Backlog'!$I125=D$2), 'ProductSprint Backlog'!$F125, TRUE, 0)</f>
        <v>0</v>
      </c>
      <c r="E125" s="4" cm="1">
        <f t="array" ref="E125">_xlfn.IFS('ProductSprint Backlog'!$F125="", "", AND('ProductSprint Backlog'!$J125&gt;E$2,'ProductSprint Backlog'!$I125&lt;=E$2), 'ProductSprint Backlog'!$F125 / MAX(1, 'ProductSprint Backlog'!$J125-'ProductSprint Backlog'!$I125), AND('ProductSprint Backlog'!$J125=E$2,'ProductSprint Backlog'!$I125=E$2), 'ProductSprint Backlog'!$F125, TRUE, 0)</f>
        <v>0</v>
      </c>
      <c r="F125" s="4" cm="1">
        <f t="array" ref="F125">_xlfn.IFS('ProductSprint Backlog'!$F125="", "", AND('ProductSprint Backlog'!$J125&gt;F$2,'ProductSprint Backlog'!$I125&lt;=F$2), 'ProductSprint Backlog'!$F125 / MAX(1, 'ProductSprint Backlog'!$J125-'ProductSprint Backlog'!$I125), AND('ProductSprint Backlog'!$J125=F$2,'ProductSprint Backlog'!$I125=F$2), 'ProductSprint Backlog'!$F125, TRUE, 0)</f>
        <v>0</v>
      </c>
      <c r="G125" s="4" cm="1">
        <f t="array" ref="G125">_xlfn.IFS('ProductSprint Backlog'!$F125="", "", AND('ProductSprint Backlog'!$J125&gt;G$2,'ProductSprint Backlog'!$I125&lt;=G$2), 'ProductSprint Backlog'!$F125 / MAX(1, 'ProductSprint Backlog'!$J125-'ProductSprint Backlog'!$I125), AND('ProductSprint Backlog'!$J125=G$2,'ProductSprint Backlog'!$I125=G$2), 'ProductSprint Backlog'!$F125, TRUE, 0)</f>
        <v>0</v>
      </c>
      <c r="H125" s="4" cm="1">
        <f t="array" ref="H125">_xlfn.IFS('ProductSprint Backlog'!$F125="", "", AND('ProductSprint Backlog'!$J125&gt;H$2,'ProductSprint Backlog'!$I125&lt;=H$2), 'ProductSprint Backlog'!$F125 / MAX(1, 'ProductSprint Backlog'!$J125-'ProductSprint Backlog'!$I125), AND('ProductSprint Backlog'!$J125=H$2,'ProductSprint Backlog'!$I125=H$2), 'ProductSprint Backlog'!$F125, TRUE, 0)</f>
        <v>0</v>
      </c>
      <c r="I125" s="4" cm="1">
        <f t="array" ref="I125">_xlfn.IFS('ProductSprint Backlog'!$F125="", "", AND('ProductSprint Backlog'!$J125&gt;I$2,'ProductSprint Backlog'!$I125&lt;=I$2), 'ProductSprint Backlog'!$F125 / MAX(1, 'ProductSprint Backlog'!$J125-'ProductSprint Backlog'!$I125), AND('ProductSprint Backlog'!$J125=I$2,'ProductSprint Backlog'!$I125=I$2), 'ProductSprint Backlog'!$F125, TRUE, 0)</f>
        <v>0</v>
      </c>
      <c r="J125" s="4" cm="1">
        <f t="array" ref="J125">_xlfn.IFS('ProductSprint Backlog'!$F125="", "", AND('ProductSprint Backlog'!$J125&gt;J$2,'ProductSprint Backlog'!$I125&lt;=J$2), 'ProductSprint Backlog'!$F125 / MAX(1, 'ProductSprint Backlog'!$J125-'ProductSprint Backlog'!$I125), AND('ProductSprint Backlog'!$J125=J$2,'ProductSprint Backlog'!$I125=J$2), 'ProductSprint Backlog'!$F125, TRUE, 0)</f>
        <v>0</v>
      </c>
      <c r="K125" s="4" cm="1">
        <f t="array" ref="K125">_xlfn.IFS('ProductSprint Backlog'!$F125="", "", AND('ProductSprint Backlog'!$J125&gt;K$2,'ProductSprint Backlog'!$I125&lt;=K$2), 'ProductSprint Backlog'!$F125 / MAX(1, 'ProductSprint Backlog'!$J125-'ProductSprint Backlog'!$I125), AND('ProductSprint Backlog'!$J125=K$2,'ProductSprint Backlog'!$I125=K$2), 'ProductSprint Backlog'!$F125, TRUE, 0)</f>
        <v>0</v>
      </c>
      <c r="L125" s="4" cm="1">
        <f t="array" ref="L125">_xlfn.IFS('ProductSprint Backlog'!$F125="", "", AND('ProductSprint Backlog'!$J125&gt;L$2,'ProductSprint Backlog'!$I125&lt;=L$2), 'ProductSprint Backlog'!$F125 / MAX(1, 'ProductSprint Backlog'!$J125-'ProductSprint Backlog'!$I125), AND('ProductSprint Backlog'!$J125=L$2,'ProductSprint Backlog'!$I125=L$2), 'ProductSprint Backlog'!$F125, TRUE, 0)</f>
        <v>0</v>
      </c>
      <c r="M125" s="4" cm="1">
        <f t="array" ref="M125">_xlfn.IFS('ProductSprint Backlog'!$F125="", "", AND('ProductSprint Backlog'!$J125&gt;M$2,'ProductSprint Backlog'!$I125&lt;=M$2), 'ProductSprint Backlog'!$F125 / MAX(1, 'ProductSprint Backlog'!$J125-'ProductSprint Backlog'!$I125), AND('ProductSprint Backlog'!$J125=M$2,'ProductSprint Backlog'!$I125=M$2), 'ProductSprint Backlog'!$F125, TRUE, 0)</f>
        <v>0</v>
      </c>
      <c r="N125" s="4" cm="1">
        <f t="array" ref="N125">_xlfn.IFS('ProductSprint Backlog'!$F125="", "", AND('ProductSprint Backlog'!$J125&gt;N$2,'ProductSprint Backlog'!$I125&lt;=N$2), 'ProductSprint Backlog'!$F125 / MAX(1, 'ProductSprint Backlog'!$J125-'ProductSprint Backlog'!$I125), AND('ProductSprint Backlog'!$J125=N$2,'ProductSprint Backlog'!$I125=N$2), 'ProductSprint Backlog'!$F125, TRUE, 0)</f>
        <v>0</v>
      </c>
      <c r="O125" s="4" cm="1">
        <f t="array" ref="O125">_xlfn.IFS('ProductSprint Backlog'!$F125="", "", AND('ProductSprint Backlog'!$J125&gt;O$2,'ProductSprint Backlog'!$I125&lt;=O$2), 'ProductSprint Backlog'!$F125 / MAX(1, 'ProductSprint Backlog'!$J125-'ProductSprint Backlog'!$I125), AND('ProductSprint Backlog'!$J125=O$2,'ProductSprint Backlog'!$I125=O$2), 'ProductSprint Backlog'!$F125, TRUE, 0)</f>
        <v>0</v>
      </c>
      <c r="P125" s="4" cm="1">
        <f t="array" ref="P125">_xlfn.IFS('ProductSprint Backlog'!$F125="", "", AND('ProductSprint Backlog'!$J125&gt;P$2,'ProductSprint Backlog'!$I125&lt;=P$2), 'ProductSprint Backlog'!$F125 / MAX(1, 'ProductSprint Backlog'!$J125-'ProductSprint Backlog'!$I125), AND('ProductSprint Backlog'!$J125=P$2,'ProductSprint Backlog'!$I125=P$2), 'ProductSprint Backlog'!$F125, TRUE, 0)</f>
        <v>0</v>
      </c>
      <c r="Q125" s="4" cm="1">
        <f t="array" ref="Q125">_xlfn.IFS('ProductSprint Backlog'!$F125="", "", AND('ProductSprint Backlog'!$J125&gt;Q$2,'ProductSprint Backlog'!$I125&lt;=Q$2), 'ProductSprint Backlog'!$F125 / MAX(1, 'ProductSprint Backlog'!$J125-'ProductSprint Backlog'!$I125), AND('ProductSprint Backlog'!$J125=Q$2,'ProductSprint Backlog'!$I125=Q$2), 'ProductSprint Backlog'!$F125, TRUE, 0)</f>
        <v>0</v>
      </c>
    </row>
    <row r="126" spans="2:17" x14ac:dyDescent="0.2">
      <c r="B126" s="4" cm="1">
        <f t="array" ref="B126">_xlfn.IFS('ProductSprint Backlog'!$F126="", "", AND('ProductSprint Backlog'!$J126&gt;B$2,'ProductSprint Backlog'!$I126&lt;=B$2), 'ProductSprint Backlog'!$F126 / MAX(1, 'ProductSprint Backlog'!$J126-'ProductSprint Backlog'!$I126), AND('ProductSprint Backlog'!$J126=B$2,'ProductSprint Backlog'!$I126=B$2), 'ProductSprint Backlog'!$F126, TRUE, 0)</f>
        <v>0</v>
      </c>
      <c r="C126" s="4" cm="1">
        <f t="array" ref="C126">_xlfn.IFS('ProductSprint Backlog'!$F126="", "", AND('ProductSprint Backlog'!$J126&gt;C$2,'ProductSprint Backlog'!$I126&lt;=C$2), 'ProductSprint Backlog'!$F126 / MAX(1, 'ProductSprint Backlog'!$J126-'ProductSprint Backlog'!$I126), AND('ProductSprint Backlog'!$J126=C$2,'ProductSprint Backlog'!$I126=C$2), 'ProductSprint Backlog'!$F126, TRUE, 0)</f>
        <v>0</v>
      </c>
      <c r="D126" s="4" cm="1">
        <f t="array" ref="D126">_xlfn.IFS('ProductSprint Backlog'!$F126="", "", AND('ProductSprint Backlog'!$J126&gt;D$2,'ProductSprint Backlog'!$I126&lt;=D$2), 'ProductSprint Backlog'!$F126 / MAX(1, 'ProductSprint Backlog'!$J126-'ProductSprint Backlog'!$I126), AND('ProductSprint Backlog'!$J126=D$2,'ProductSprint Backlog'!$I126=D$2), 'ProductSprint Backlog'!$F126, TRUE, 0)</f>
        <v>0</v>
      </c>
      <c r="E126" s="4" cm="1">
        <f t="array" ref="E126">_xlfn.IFS('ProductSprint Backlog'!$F126="", "", AND('ProductSprint Backlog'!$J126&gt;E$2,'ProductSprint Backlog'!$I126&lt;=E$2), 'ProductSprint Backlog'!$F126 / MAX(1, 'ProductSprint Backlog'!$J126-'ProductSprint Backlog'!$I126), AND('ProductSprint Backlog'!$J126=E$2,'ProductSprint Backlog'!$I126=E$2), 'ProductSprint Backlog'!$F126, TRUE, 0)</f>
        <v>0</v>
      </c>
      <c r="F126" s="4" cm="1">
        <f t="array" ref="F126">_xlfn.IFS('ProductSprint Backlog'!$F126="", "", AND('ProductSprint Backlog'!$J126&gt;F$2,'ProductSprint Backlog'!$I126&lt;=F$2), 'ProductSprint Backlog'!$F126 / MAX(1, 'ProductSprint Backlog'!$J126-'ProductSprint Backlog'!$I126), AND('ProductSprint Backlog'!$J126=F$2,'ProductSprint Backlog'!$I126=F$2), 'ProductSprint Backlog'!$F126, TRUE, 0)</f>
        <v>0</v>
      </c>
      <c r="G126" s="4" cm="1">
        <f t="array" ref="G126">_xlfn.IFS('ProductSprint Backlog'!$F126="", "", AND('ProductSprint Backlog'!$J126&gt;G$2,'ProductSprint Backlog'!$I126&lt;=G$2), 'ProductSprint Backlog'!$F126 / MAX(1, 'ProductSprint Backlog'!$J126-'ProductSprint Backlog'!$I126), AND('ProductSprint Backlog'!$J126=G$2,'ProductSprint Backlog'!$I126=G$2), 'ProductSprint Backlog'!$F126, TRUE, 0)</f>
        <v>0</v>
      </c>
      <c r="H126" s="4" cm="1">
        <f t="array" ref="H126">_xlfn.IFS('ProductSprint Backlog'!$F126="", "", AND('ProductSprint Backlog'!$J126&gt;H$2,'ProductSprint Backlog'!$I126&lt;=H$2), 'ProductSprint Backlog'!$F126 / MAX(1, 'ProductSprint Backlog'!$J126-'ProductSprint Backlog'!$I126), AND('ProductSprint Backlog'!$J126=H$2,'ProductSprint Backlog'!$I126=H$2), 'ProductSprint Backlog'!$F126, TRUE, 0)</f>
        <v>0</v>
      </c>
      <c r="I126" s="4" cm="1">
        <f t="array" ref="I126">_xlfn.IFS('ProductSprint Backlog'!$F126="", "", AND('ProductSprint Backlog'!$J126&gt;I$2,'ProductSprint Backlog'!$I126&lt;=I$2), 'ProductSprint Backlog'!$F126 / MAX(1, 'ProductSprint Backlog'!$J126-'ProductSprint Backlog'!$I126), AND('ProductSprint Backlog'!$J126=I$2,'ProductSprint Backlog'!$I126=I$2), 'ProductSprint Backlog'!$F126, TRUE, 0)</f>
        <v>0</v>
      </c>
      <c r="J126" s="4" cm="1">
        <f t="array" ref="J126">_xlfn.IFS('ProductSprint Backlog'!$F126="", "", AND('ProductSprint Backlog'!$J126&gt;J$2,'ProductSprint Backlog'!$I126&lt;=J$2), 'ProductSprint Backlog'!$F126 / MAX(1, 'ProductSprint Backlog'!$J126-'ProductSprint Backlog'!$I126), AND('ProductSprint Backlog'!$J126=J$2,'ProductSprint Backlog'!$I126=J$2), 'ProductSprint Backlog'!$F126, TRUE, 0)</f>
        <v>0</v>
      </c>
      <c r="K126" s="4" cm="1">
        <f t="array" ref="K126">_xlfn.IFS('ProductSprint Backlog'!$F126="", "", AND('ProductSprint Backlog'!$J126&gt;K$2,'ProductSprint Backlog'!$I126&lt;=K$2), 'ProductSprint Backlog'!$F126 / MAX(1, 'ProductSprint Backlog'!$J126-'ProductSprint Backlog'!$I126), AND('ProductSprint Backlog'!$J126=K$2,'ProductSprint Backlog'!$I126=K$2), 'ProductSprint Backlog'!$F126, TRUE, 0)</f>
        <v>0</v>
      </c>
      <c r="L126" s="4" cm="1">
        <f t="array" ref="L126">_xlfn.IFS('ProductSprint Backlog'!$F126="", "", AND('ProductSprint Backlog'!$J126&gt;L$2,'ProductSprint Backlog'!$I126&lt;=L$2), 'ProductSprint Backlog'!$F126 / MAX(1, 'ProductSprint Backlog'!$J126-'ProductSprint Backlog'!$I126), AND('ProductSprint Backlog'!$J126=L$2,'ProductSprint Backlog'!$I126=L$2), 'ProductSprint Backlog'!$F126, TRUE, 0)</f>
        <v>0</v>
      </c>
      <c r="M126" s="4" cm="1">
        <f t="array" ref="M126">_xlfn.IFS('ProductSprint Backlog'!$F126="", "", AND('ProductSprint Backlog'!$J126&gt;M$2,'ProductSprint Backlog'!$I126&lt;=M$2), 'ProductSprint Backlog'!$F126 / MAX(1, 'ProductSprint Backlog'!$J126-'ProductSprint Backlog'!$I126), AND('ProductSprint Backlog'!$J126=M$2,'ProductSprint Backlog'!$I126=M$2), 'ProductSprint Backlog'!$F126, TRUE, 0)</f>
        <v>0</v>
      </c>
      <c r="N126" s="4" cm="1">
        <f t="array" ref="N126">_xlfn.IFS('ProductSprint Backlog'!$F126="", "", AND('ProductSprint Backlog'!$J126&gt;N$2,'ProductSprint Backlog'!$I126&lt;=N$2), 'ProductSprint Backlog'!$F126 / MAX(1, 'ProductSprint Backlog'!$J126-'ProductSprint Backlog'!$I126), AND('ProductSprint Backlog'!$J126=N$2,'ProductSprint Backlog'!$I126=N$2), 'ProductSprint Backlog'!$F126, TRUE, 0)</f>
        <v>0</v>
      </c>
      <c r="O126" s="4" cm="1">
        <f t="array" ref="O126">_xlfn.IFS('ProductSprint Backlog'!$F126="", "", AND('ProductSprint Backlog'!$J126&gt;O$2,'ProductSprint Backlog'!$I126&lt;=O$2), 'ProductSprint Backlog'!$F126 / MAX(1, 'ProductSprint Backlog'!$J126-'ProductSprint Backlog'!$I126), AND('ProductSprint Backlog'!$J126=O$2,'ProductSprint Backlog'!$I126=O$2), 'ProductSprint Backlog'!$F126, TRUE, 0)</f>
        <v>0</v>
      </c>
      <c r="P126" s="4" cm="1">
        <f t="array" ref="P126">_xlfn.IFS('ProductSprint Backlog'!$F126="", "", AND('ProductSprint Backlog'!$J126&gt;P$2,'ProductSprint Backlog'!$I126&lt;=P$2), 'ProductSprint Backlog'!$F126 / MAX(1, 'ProductSprint Backlog'!$J126-'ProductSprint Backlog'!$I126), AND('ProductSprint Backlog'!$J126=P$2,'ProductSprint Backlog'!$I126=P$2), 'ProductSprint Backlog'!$F126, TRUE, 0)</f>
        <v>0</v>
      </c>
      <c r="Q126" s="4" cm="1">
        <f t="array" ref="Q126">_xlfn.IFS('ProductSprint Backlog'!$F126="", "", AND('ProductSprint Backlog'!$J126&gt;Q$2,'ProductSprint Backlog'!$I126&lt;=Q$2), 'ProductSprint Backlog'!$F126 / MAX(1, 'ProductSprint Backlog'!$J126-'ProductSprint Backlog'!$I126), AND('ProductSprint Backlog'!$J126=Q$2,'ProductSprint Backlog'!$I126=Q$2), 'ProductSprint Backlog'!$F126, TRUE, 0)</f>
        <v>0</v>
      </c>
    </row>
    <row r="127" spans="2:17" x14ac:dyDescent="0.2">
      <c r="B127" s="4" cm="1">
        <f t="array" ref="B127">_xlfn.IFS('ProductSprint Backlog'!$F127="", "", AND('ProductSprint Backlog'!$J127&gt;B$2,'ProductSprint Backlog'!$I127&lt;=B$2), 'ProductSprint Backlog'!$F127 / MAX(1, 'ProductSprint Backlog'!$J127-'ProductSprint Backlog'!$I127), AND('ProductSprint Backlog'!$J127=B$2,'ProductSprint Backlog'!$I127=B$2), 'ProductSprint Backlog'!$F127, TRUE, 0)</f>
        <v>0</v>
      </c>
      <c r="C127" s="4" cm="1">
        <f t="array" ref="C127">_xlfn.IFS('ProductSprint Backlog'!$F127="", "", AND('ProductSprint Backlog'!$J127&gt;C$2,'ProductSprint Backlog'!$I127&lt;=C$2), 'ProductSprint Backlog'!$F127 / MAX(1, 'ProductSprint Backlog'!$J127-'ProductSprint Backlog'!$I127), AND('ProductSprint Backlog'!$J127=C$2,'ProductSprint Backlog'!$I127=C$2), 'ProductSprint Backlog'!$F127, TRUE, 0)</f>
        <v>0</v>
      </c>
      <c r="D127" s="4" cm="1">
        <f t="array" ref="D127">_xlfn.IFS('ProductSprint Backlog'!$F127="", "", AND('ProductSprint Backlog'!$J127&gt;D$2,'ProductSprint Backlog'!$I127&lt;=D$2), 'ProductSprint Backlog'!$F127 / MAX(1, 'ProductSprint Backlog'!$J127-'ProductSprint Backlog'!$I127), AND('ProductSprint Backlog'!$J127=D$2,'ProductSprint Backlog'!$I127=D$2), 'ProductSprint Backlog'!$F127, TRUE, 0)</f>
        <v>0</v>
      </c>
      <c r="E127" s="4" cm="1">
        <f t="array" ref="E127">_xlfn.IFS('ProductSprint Backlog'!$F127="", "", AND('ProductSprint Backlog'!$J127&gt;E$2,'ProductSprint Backlog'!$I127&lt;=E$2), 'ProductSprint Backlog'!$F127 / MAX(1, 'ProductSprint Backlog'!$J127-'ProductSprint Backlog'!$I127), AND('ProductSprint Backlog'!$J127=E$2,'ProductSprint Backlog'!$I127=E$2), 'ProductSprint Backlog'!$F127, TRUE, 0)</f>
        <v>0</v>
      </c>
      <c r="F127" s="4" cm="1">
        <f t="array" ref="F127">_xlfn.IFS('ProductSprint Backlog'!$F127="", "", AND('ProductSprint Backlog'!$J127&gt;F$2,'ProductSprint Backlog'!$I127&lt;=F$2), 'ProductSprint Backlog'!$F127 / MAX(1, 'ProductSprint Backlog'!$J127-'ProductSprint Backlog'!$I127), AND('ProductSprint Backlog'!$J127=F$2,'ProductSprint Backlog'!$I127=F$2), 'ProductSprint Backlog'!$F127, TRUE, 0)</f>
        <v>0</v>
      </c>
      <c r="G127" s="4" cm="1">
        <f t="array" ref="G127">_xlfn.IFS('ProductSprint Backlog'!$F127="", "", AND('ProductSprint Backlog'!$J127&gt;G$2,'ProductSprint Backlog'!$I127&lt;=G$2), 'ProductSprint Backlog'!$F127 / MAX(1, 'ProductSprint Backlog'!$J127-'ProductSprint Backlog'!$I127), AND('ProductSprint Backlog'!$J127=G$2,'ProductSprint Backlog'!$I127=G$2), 'ProductSprint Backlog'!$F127, TRUE, 0)</f>
        <v>0</v>
      </c>
      <c r="H127" s="4" cm="1">
        <f t="array" ref="H127">_xlfn.IFS('ProductSprint Backlog'!$F127="", "", AND('ProductSprint Backlog'!$J127&gt;H$2,'ProductSprint Backlog'!$I127&lt;=H$2), 'ProductSprint Backlog'!$F127 / MAX(1, 'ProductSprint Backlog'!$J127-'ProductSprint Backlog'!$I127), AND('ProductSprint Backlog'!$J127=H$2,'ProductSprint Backlog'!$I127=H$2), 'ProductSprint Backlog'!$F127, TRUE, 0)</f>
        <v>0</v>
      </c>
      <c r="I127" s="4" cm="1">
        <f t="array" ref="I127">_xlfn.IFS('ProductSprint Backlog'!$F127="", "", AND('ProductSprint Backlog'!$J127&gt;I$2,'ProductSprint Backlog'!$I127&lt;=I$2), 'ProductSprint Backlog'!$F127 / MAX(1, 'ProductSprint Backlog'!$J127-'ProductSprint Backlog'!$I127), AND('ProductSprint Backlog'!$J127=I$2,'ProductSprint Backlog'!$I127=I$2), 'ProductSprint Backlog'!$F127, TRUE, 0)</f>
        <v>0</v>
      </c>
      <c r="J127" s="4" cm="1">
        <f t="array" ref="J127">_xlfn.IFS('ProductSprint Backlog'!$F127="", "", AND('ProductSprint Backlog'!$J127&gt;J$2,'ProductSprint Backlog'!$I127&lt;=J$2), 'ProductSprint Backlog'!$F127 / MAX(1, 'ProductSprint Backlog'!$J127-'ProductSprint Backlog'!$I127), AND('ProductSprint Backlog'!$J127=J$2,'ProductSprint Backlog'!$I127=J$2), 'ProductSprint Backlog'!$F127, TRUE, 0)</f>
        <v>0</v>
      </c>
      <c r="K127" s="4" cm="1">
        <f t="array" ref="K127">_xlfn.IFS('ProductSprint Backlog'!$F127="", "", AND('ProductSprint Backlog'!$J127&gt;K$2,'ProductSprint Backlog'!$I127&lt;=K$2), 'ProductSprint Backlog'!$F127 / MAX(1, 'ProductSprint Backlog'!$J127-'ProductSprint Backlog'!$I127), AND('ProductSprint Backlog'!$J127=K$2,'ProductSprint Backlog'!$I127=K$2), 'ProductSprint Backlog'!$F127, TRUE, 0)</f>
        <v>0</v>
      </c>
      <c r="L127" s="4" cm="1">
        <f t="array" ref="L127">_xlfn.IFS('ProductSprint Backlog'!$F127="", "", AND('ProductSprint Backlog'!$J127&gt;L$2,'ProductSprint Backlog'!$I127&lt;=L$2), 'ProductSprint Backlog'!$F127 / MAX(1, 'ProductSprint Backlog'!$J127-'ProductSprint Backlog'!$I127), AND('ProductSprint Backlog'!$J127=L$2,'ProductSprint Backlog'!$I127=L$2), 'ProductSprint Backlog'!$F127, TRUE, 0)</f>
        <v>0</v>
      </c>
      <c r="M127" s="4" cm="1">
        <f t="array" ref="M127">_xlfn.IFS('ProductSprint Backlog'!$F127="", "", AND('ProductSprint Backlog'!$J127&gt;M$2,'ProductSprint Backlog'!$I127&lt;=M$2), 'ProductSprint Backlog'!$F127 / MAX(1, 'ProductSprint Backlog'!$J127-'ProductSprint Backlog'!$I127), AND('ProductSprint Backlog'!$J127=M$2,'ProductSprint Backlog'!$I127=M$2), 'ProductSprint Backlog'!$F127, TRUE, 0)</f>
        <v>0</v>
      </c>
      <c r="N127" s="4" cm="1">
        <f t="array" ref="N127">_xlfn.IFS('ProductSprint Backlog'!$F127="", "", AND('ProductSprint Backlog'!$J127&gt;N$2,'ProductSprint Backlog'!$I127&lt;=N$2), 'ProductSprint Backlog'!$F127 / MAX(1, 'ProductSprint Backlog'!$J127-'ProductSprint Backlog'!$I127), AND('ProductSprint Backlog'!$J127=N$2,'ProductSprint Backlog'!$I127=N$2), 'ProductSprint Backlog'!$F127, TRUE, 0)</f>
        <v>0</v>
      </c>
      <c r="O127" s="4" cm="1">
        <f t="array" ref="O127">_xlfn.IFS('ProductSprint Backlog'!$F127="", "", AND('ProductSprint Backlog'!$J127&gt;O$2,'ProductSprint Backlog'!$I127&lt;=O$2), 'ProductSprint Backlog'!$F127 / MAX(1, 'ProductSprint Backlog'!$J127-'ProductSprint Backlog'!$I127), AND('ProductSprint Backlog'!$J127=O$2,'ProductSprint Backlog'!$I127=O$2), 'ProductSprint Backlog'!$F127, TRUE, 0)</f>
        <v>0</v>
      </c>
      <c r="P127" s="4" cm="1">
        <f t="array" ref="P127">_xlfn.IFS('ProductSprint Backlog'!$F127="", "", AND('ProductSprint Backlog'!$J127&gt;P$2,'ProductSprint Backlog'!$I127&lt;=P$2), 'ProductSprint Backlog'!$F127 / MAX(1, 'ProductSprint Backlog'!$J127-'ProductSprint Backlog'!$I127), AND('ProductSprint Backlog'!$J127=P$2,'ProductSprint Backlog'!$I127=P$2), 'ProductSprint Backlog'!$F127, TRUE, 0)</f>
        <v>0</v>
      </c>
      <c r="Q127" s="4" cm="1">
        <f t="array" ref="Q127">_xlfn.IFS('ProductSprint Backlog'!$F127="", "", AND('ProductSprint Backlog'!$J127&gt;Q$2,'ProductSprint Backlog'!$I127&lt;=Q$2), 'ProductSprint Backlog'!$F127 / MAX(1, 'ProductSprint Backlog'!$J127-'ProductSprint Backlog'!$I127), AND('ProductSprint Backlog'!$J127=Q$2,'ProductSprint Backlog'!$I127=Q$2), 'ProductSprint Backlog'!$F127, TRUE, 0)</f>
        <v>0</v>
      </c>
    </row>
    <row r="128" spans="2:17" x14ac:dyDescent="0.2">
      <c r="B128" s="4" t="str" cm="1">
        <f t="array" ref="B128">_xlfn.IFS('ProductSprint Backlog'!$F128="", "", AND('ProductSprint Backlog'!$J128&gt;B$2,'ProductSprint Backlog'!$I128&lt;=B$2), 'ProductSprint Backlog'!$F128 / MAX(1, 'ProductSprint Backlog'!$J128-'ProductSprint Backlog'!$I128), AND('ProductSprint Backlog'!$J128=B$2,'ProductSprint Backlog'!$I128=B$2), 'ProductSprint Backlog'!$F128, TRUE, 0)</f>
        <v/>
      </c>
      <c r="C128" s="4" t="str" cm="1">
        <f t="array" ref="C128">_xlfn.IFS('ProductSprint Backlog'!$F128="", "", AND('ProductSprint Backlog'!$J128&gt;C$2,'ProductSprint Backlog'!$I128&lt;=C$2), 'ProductSprint Backlog'!$F128 / MAX(1, 'ProductSprint Backlog'!$J128-'ProductSprint Backlog'!$I128), AND('ProductSprint Backlog'!$J128=C$2,'ProductSprint Backlog'!$I128=C$2), 'ProductSprint Backlog'!$F128, TRUE, 0)</f>
        <v/>
      </c>
      <c r="D128" s="4" t="str" cm="1">
        <f t="array" ref="D128">_xlfn.IFS('ProductSprint Backlog'!$F128="", "", AND('ProductSprint Backlog'!$J128&gt;D$2,'ProductSprint Backlog'!$I128&lt;=D$2), 'ProductSprint Backlog'!$F128 / MAX(1, 'ProductSprint Backlog'!$J128-'ProductSprint Backlog'!$I128), AND('ProductSprint Backlog'!$J128=D$2,'ProductSprint Backlog'!$I128=D$2), 'ProductSprint Backlog'!$F128, TRUE, 0)</f>
        <v/>
      </c>
      <c r="E128" s="4" t="str" cm="1">
        <f t="array" ref="E128">_xlfn.IFS('ProductSprint Backlog'!$F128="", "", AND('ProductSprint Backlog'!$J128&gt;E$2,'ProductSprint Backlog'!$I128&lt;=E$2), 'ProductSprint Backlog'!$F128 / MAX(1, 'ProductSprint Backlog'!$J128-'ProductSprint Backlog'!$I128), AND('ProductSprint Backlog'!$J128=E$2,'ProductSprint Backlog'!$I128=E$2), 'ProductSprint Backlog'!$F128, TRUE, 0)</f>
        <v/>
      </c>
      <c r="F128" s="4" t="str" cm="1">
        <f t="array" ref="F128">_xlfn.IFS('ProductSprint Backlog'!$F128="", "", AND('ProductSprint Backlog'!$J128&gt;F$2,'ProductSprint Backlog'!$I128&lt;=F$2), 'ProductSprint Backlog'!$F128 / MAX(1, 'ProductSprint Backlog'!$J128-'ProductSprint Backlog'!$I128), AND('ProductSprint Backlog'!$J128=F$2,'ProductSprint Backlog'!$I128=F$2), 'ProductSprint Backlog'!$F128, TRUE, 0)</f>
        <v/>
      </c>
      <c r="G128" s="4" t="str" cm="1">
        <f t="array" ref="G128">_xlfn.IFS('ProductSprint Backlog'!$F128="", "", AND('ProductSprint Backlog'!$J128&gt;G$2,'ProductSprint Backlog'!$I128&lt;=G$2), 'ProductSprint Backlog'!$F128 / MAX(1, 'ProductSprint Backlog'!$J128-'ProductSprint Backlog'!$I128), AND('ProductSprint Backlog'!$J128=G$2,'ProductSprint Backlog'!$I128=G$2), 'ProductSprint Backlog'!$F128, TRUE, 0)</f>
        <v/>
      </c>
      <c r="H128" s="4" t="str" cm="1">
        <f t="array" ref="H128">_xlfn.IFS('ProductSprint Backlog'!$F128="", "", AND('ProductSprint Backlog'!$J128&gt;H$2,'ProductSprint Backlog'!$I128&lt;=H$2), 'ProductSprint Backlog'!$F128 / MAX(1, 'ProductSprint Backlog'!$J128-'ProductSprint Backlog'!$I128), AND('ProductSprint Backlog'!$J128=H$2,'ProductSprint Backlog'!$I128=H$2), 'ProductSprint Backlog'!$F128, TRUE, 0)</f>
        <v/>
      </c>
      <c r="I128" s="4" t="str" cm="1">
        <f t="array" ref="I128">_xlfn.IFS('ProductSprint Backlog'!$F128="", "", AND('ProductSprint Backlog'!$J128&gt;I$2,'ProductSprint Backlog'!$I128&lt;=I$2), 'ProductSprint Backlog'!$F128 / MAX(1, 'ProductSprint Backlog'!$J128-'ProductSprint Backlog'!$I128), AND('ProductSprint Backlog'!$J128=I$2,'ProductSprint Backlog'!$I128=I$2), 'ProductSprint Backlog'!$F128, TRUE, 0)</f>
        <v/>
      </c>
      <c r="J128" s="4" t="str" cm="1">
        <f t="array" ref="J128">_xlfn.IFS('ProductSprint Backlog'!$F128="", "", AND('ProductSprint Backlog'!$J128&gt;J$2,'ProductSprint Backlog'!$I128&lt;=J$2), 'ProductSprint Backlog'!$F128 / MAX(1, 'ProductSprint Backlog'!$J128-'ProductSprint Backlog'!$I128), AND('ProductSprint Backlog'!$J128=J$2,'ProductSprint Backlog'!$I128=J$2), 'ProductSprint Backlog'!$F128, TRUE, 0)</f>
        <v/>
      </c>
      <c r="K128" s="4" t="str" cm="1">
        <f t="array" ref="K128">_xlfn.IFS('ProductSprint Backlog'!$F128="", "", AND('ProductSprint Backlog'!$J128&gt;K$2,'ProductSprint Backlog'!$I128&lt;=K$2), 'ProductSprint Backlog'!$F128 / MAX(1, 'ProductSprint Backlog'!$J128-'ProductSprint Backlog'!$I128), AND('ProductSprint Backlog'!$J128=K$2,'ProductSprint Backlog'!$I128=K$2), 'ProductSprint Backlog'!$F128, TRUE, 0)</f>
        <v/>
      </c>
      <c r="L128" s="4" t="str" cm="1">
        <f t="array" ref="L128">_xlfn.IFS('ProductSprint Backlog'!$F128="", "", AND('ProductSprint Backlog'!$J128&gt;L$2,'ProductSprint Backlog'!$I128&lt;=L$2), 'ProductSprint Backlog'!$F128 / MAX(1, 'ProductSprint Backlog'!$J128-'ProductSprint Backlog'!$I128), AND('ProductSprint Backlog'!$J128=L$2,'ProductSprint Backlog'!$I128=L$2), 'ProductSprint Backlog'!$F128, TRUE, 0)</f>
        <v/>
      </c>
      <c r="M128" s="4" t="str" cm="1">
        <f t="array" ref="M128">_xlfn.IFS('ProductSprint Backlog'!$F128="", "", AND('ProductSprint Backlog'!$J128&gt;M$2,'ProductSprint Backlog'!$I128&lt;=M$2), 'ProductSprint Backlog'!$F128 / MAX(1, 'ProductSprint Backlog'!$J128-'ProductSprint Backlog'!$I128), AND('ProductSprint Backlog'!$J128=M$2,'ProductSprint Backlog'!$I128=M$2), 'ProductSprint Backlog'!$F128, TRUE, 0)</f>
        <v/>
      </c>
      <c r="N128" s="4" t="str" cm="1">
        <f t="array" ref="N128">_xlfn.IFS('ProductSprint Backlog'!$F128="", "", AND('ProductSprint Backlog'!$J128&gt;N$2,'ProductSprint Backlog'!$I128&lt;=N$2), 'ProductSprint Backlog'!$F128 / MAX(1, 'ProductSprint Backlog'!$J128-'ProductSprint Backlog'!$I128), AND('ProductSprint Backlog'!$J128=N$2,'ProductSprint Backlog'!$I128=N$2), 'ProductSprint Backlog'!$F128, TRUE, 0)</f>
        <v/>
      </c>
      <c r="O128" s="4" t="str" cm="1">
        <f t="array" ref="O128">_xlfn.IFS('ProductSprint Backlog'!$F128="", "", AND('ProductSprint Backlog'!$J128&gt;O$2,'ProductSprint Backlog'!$I128&lt;=O$2), 'ProductSprint Backlog'!$F128 / MAX(1, 'ProductSprint Backlog'!$J128-'ProductSprint Backlog'!$I128), AND('ProductSprint Backlog'!$J128=O$2,'ProductSprint Backlog'!$I128=O$2), 'ProductSprint Backlog'!$F128, TRUE, 0)</f>
        <v/>
      </c>
      <c r="P128" s="4" t="str" cm="1">
        <f t="array" ref="P128">_xlfn.IFS('ProductSprint Backlog'!$F128="", "", AND('ProductSprint Backlog'!$J128&gt;P$2,'ProductSprint Backlog'!$I128&lt;=P$2), 'ProductSprint Backlog'!$F128 / MAX(1, 'ProductSprint Backlog'!$J128-'ProductSprint Backlog'!$I128), AND('ProductSprint Backlog'!$J128=P$2,'ProductSprint Backlog'!$I128=P$2), 'ProductSprint Backlog'!$F128, TRUE, 0)</f>
        <v/>
      </c>
      <c r="Q128" s="4" t="str" cm="1">
        <f t="array" ref="Q128">_xlfn.IFS('ProductSprint Backlog'!$F128="", "", AND('ProductSprint Backlog'!$J128&gt;Q$2,'ProductSprint Backlog'!$I128&lt;=Q$2), 'ProductSprint Backlog'!$F128 / MAX(1, 'ProductSprint Backlog'!$J128-'ProductSprint Backlog'!$I128), AND('ProductSprint Backlog'!$J128=Q$2,'ProductSprint Backlog'!$I128=Q$2), 'ProductSprint Backlog'!$F128, TRUE, 0)</f>
        <v/>
      </c>
    </row>
    <row r="129" spans="2:17" x14ac:dyDescent="0.2">
      <c r="B129" s="4" cm="1">
        <f t="array" ref="B129">_xlfn.IFS('ProductSprint Backlog'!$F129="", "", AND('ProductSprint Backlog'!$J129&gt;B$2,'ProductSprint Backlog'!$I129&lt;=B$2), 'ProductSprint Backlog'!$F129 / MAX(1, 'ProductSprint Backlog'!$J129-'ProductSprint Backlog'!$I129), AND('ProductSprint Backlog'!$J129=B$2,'ProductSprint Backlog'!$I129=B$2), 'ProductSprint Backlog'!$F129, TRUE, 0)</f>
        <v>0</v>
      </c>
      <c r="C129" s="4" cm="1">
        <f t="array" ref="C129">_xlfn.IFS('ProductSprint Backlog'!$F129="", "", AND('ProductSprint Backlog'!$J129&gt;C$2,'ProductSprint Backlog'!$I129&lt;=C$2), 'ProductSprint Backlog'!$F129 / MAX(1, 'ProductSprint Backlog'!$J129-'ProductSprint Backlog'!$I129), AND('ProductSprint Backlog'!$J129=C$2,'ProductSprint Backlog'!$I129=C$2), 'ProductSprint Backlog'!$F129, TRUE, 0)</f>
        <v>0</v>
      </c>
      <c r="D129" s="4" cm="1">
        <f t="array" ref="D129">_xlfn.IFS('ProductSprint Backlog'!$F129="", "", AND('ProductSprint Backlog'!$J129&gt;D$2,'ProductSprint Backlog'!$I129&lt;=D$2), 'ProductSprint Backlog'!$F129 / MAX(1, 'ProductSprint Backlog'!$J129-'ProductSprint Backlog'!$I129), AND('ProductSprint Backlog'!$J129=D$2,'ProductSprint Backlog'!$I129=D$2), 'ProductSprint Backlog'!$F129, TRUE, 0)</f>
        <v>0</v>
      </c>
      <c r="E129" s="4" cm="1">
        <f t="array" ref="E129">_xlfn.IFS('ProductSprint Backlog'!$F129="", "", AND('ProductSprint Backlog'!$J129&gt;E$2,'ProductSprint Backlog'!$I129&lt;=E$2), 'ProductSprint Backlog'!$F129 / MAX(1, 'ProductSprint Backlog'!$J129-'ProductSprint Backlog'!$I129), AND('ProductSprint Backlog'!$J129=E$2,'ProductSprint Backlog'!$I129=E$2), 'ProductSprint Backlog'!$F129, TRUE, 0)</f>
        <v>0</v>
      </c>
      <c r="F129" s="4" cm="1">
        <f t="array" ref="F129">_xlfn.IFS('ProductSprint Backlog'!$F129="", "", AND('ProductSprint Backlog'!$J129&gt;F$2,'ProductSprint Backlog'!$I129&lt;=F$2), 'ProductSprint Backlog'!$F129 / MAX(1, 'ProductSprint Backlog'!$J129-'ProductSprint Backlog'!$I129), AND('ProductSprint Backlog'!$J129=F$2,'ProductSprint Backlog'!$I129=F$2), 'ProductSprint Backlog'!$F129, TRUE, 0)</f>
        <v>0</v>
      </c>
      <c r="G129" s="4" cm="1">
        <f t="array" ref="G129">_xlfn.IFS('ProductSprint Backlog'!$F129="", "", AND('ProductSprint Backlog'!$J129&gt;G$2,'ProductSprint Backlog'!$I129&lt;=G$2), 'ProductSprint Backlog'!$F129 / MAX(1, 'ProductSprint Backlog'!$J129-'ProductSprint Backlog'!$I129), AND('ProductSprint Backlog'!$J129=G$2,'ProductSprint Backlog'!$I129=G$2), 'ProductSprint Backlog'!$F129, TRUE, 0)</f>
        <v>0</v>
      </c>
      <c r="H129" s="4" cm="1">
        <f t="array" ref="H129">_xlfn.IFS('ProductSprint Backlog'!$F129="", "", AND('ProductSprint Backlog'!$J129&gt;H$2,'ProductSprint Backlog'!$I129&lt;=H$2), 'ProductSprint Backlog'!$F129 / MAX(1, 'ProductSprint Backlog'!$J129-'ProductSprint Backlog'!$I129), AND('ProductSprint Backlog'!$J129=H$2,'ProductSprint Backlog'!$I129=H$2), 'ProductSprint Backlog'!$F129, TRUE, 0)</f>
        <v>0</v>
      </c>
      <c r="I129" s="4" cm="1">
        <f t="array" ref="I129">_xlfn.IFS('ProductSprint Backlog'!$F129="", "", AND('ProductSprint Backlog'!$J129&gt;I$2,'ProductSprint Backlog'!$I129&lt;=I$2), 'ProductSprint Backlog'!$F129 / MAX(1, 'ProductSprint Backlog'!$J129-'ProductSprint Backlog'!$I129), AND('ProductSprint Backlog'!$J129=I$2,'ProductSprint Backlog'!$I129=I$2), 'ProductSprint Backlog'!$F129, TRUE, 0)</f>
        <v>0</v>
      </c>
      <c r="J129" s="4" cm="1">
        <f t="array" ref="J129">_xlfn.IFS('ProductSprint Backlog'!$F129="", "", AND('ProductSprint Backlog'!$J129&gt;J$2,'ProductSprint Backlog'!$I129&lt;=J$2), 'ProductSprint Backlog'!$F129 / MAX(1, 'ProductSprint Backlog'!$J129-'ProductSprint Backlog'!$I129), AND('ProductSprint Backlog'!$J129=J$2,'ProductSprint Backlog'!$I129=J$2), 'ProductSprint Backlog'!$F129, TRUE, 0)</f>
        <v>0</v>
      </c>
      <c r="K129" s="4" cm="1">
        <f t="array" ref="K129">_xlfn.IFS('ProductSprint Backlog'!$F129="", "", AND('ProductSprint Backlog'!$J129&gt;K$2,'ProductSprint Backlog'!$I129&lt;=K$2), 'ProductSprint Backlog'!$F129 / MAX(1, 'ProductSprint Backlog'!$J129-'ProductSprint Backlog'!$I129), AND('ProductSprint Backlog'!$J129=K$2,'ProductSprint Backlog'!$I129=K$2), 'ProductSprint Backlog'!$F129, TRUE, 0)</f>
        <v>0</v>
      </c>
      <c r="L129" s="4" cm="1">
        <f t="array" ref="L129">_xlfn.IFS('ProductSprint Backlog'!$F129="", "", AND('ProductSprint Backlog'!$J129&gt;L$2,'ProductSprint Backlog'!$I129&lt;=L$2), 'ProductSprint Backlog'!$F129 / MAX(1, 'ProductSprint Backlog'!$J129-'ProductSprint Backlog'!$I129), AND('ProductSprint Backlog'!$J129=L$2,'ProductSprint Backlog'!$I129=L$2), 'ProductSprint Backlog'!$F129, TRUE, 0)</f>
        <v>0</v>
      </c>
      <c r="M129" s="4" cm="1">
        <f t="array" ref="M129">_xlfn.IFS('ProductSprint Backlog'!$F129="", "", AND('ProductSprint Backlog'!$J129&gt;M$2,'ProductSprint Backlog'!$I129&lt;=M$2), 'ProductSprint Backlog'!$F129 / MAX(1, 'ProductSprint Backlog'!$J129-'ProductSprint Backlog'!$I129), AND('ProductSprint Backlog'!$J129=M$2,'ProductSprint Backlog'!$I129=M$2), 'ProductSprint Backlog'!$F129, TRUE, 0)</f>
        <v>0</v>
      </c>
      <c r="N129" s="4" cm="1">
        <f t="array" ref="N129">_xlfn.IFS('ProductSprint Backlog'!$F129="", "", AND('ProductSprint Backlog'!$J129&gt;N$2,'ProductSprint Backlog'!$I129&lt;=N$2), 'ProductSprint Backlog'!$F129 / MAX(1, 'ProductSprint Backlog'!$J129-'ProductSprint Backlog'!$I129), AND('ProductSprint Backlog'!$J129=N$2,'ProductSprint Backlog'!$I129=N$2), 'ProductSprint Backlog'!$F129, TRUE, 0)</f>
        <v>0</v>
      </c>
      <c r="O129" s="4" cm="1">
        <f t="array" ref="O129">_xlfn.IFS('ProductSprint Backlog'!$F129="", "", AND('ProductSprint Backlog'!$J129&gt;O$2,'ProductSprint Backlog'!$I129&lt;=O$2), 'ProductSprint Backlog'!$F129 / MAX(1, 'ProductSprint Backlog'!$J129-'ProductSprint Backlog'!$I129), AND('ProductSprint Backlog'!$J129=O$2,'ProductSprint Backlog'!$I129=O$2), 'ProductSprint Backlog'!$F129, TRUE, 0)</f>
        <v>0</v>
      </c>
      <c r="P129" s="4" cm="1">
        <f t="array" ref="P129">_xlfn.IFS('ProductSprint Backlog'!$F129="", "", AND('ProductSprint Backlog'!$J129&gt;P$2,'ProductSprint Backlog'!$I129&lt;=P$2), 'ProductSprint Backlog'!$F129 / MAX(1, 'ProductSprint Backlog'!$J129-'ProductSprint Backlog'!$I129), AND('ProductSprint Backlog'!$J129=P$2,'ProductSprint Backlog'!$I129=P$2), 'ProductSprint Backlog'!$F129, TRUE, 0)</f>
        <v>0</v>
      </c>
      <c r="Q129" s="4" cm="1">
        <f t="array" ref="Q129">_xlfn.IFS('ProductSprint Backlog'!$F129="", "", AND('ProductSprint Backlog'!$J129&gt;Q$2,'ProductSprint Backlog'!$I129&lt;=Q$2), 'ProductSprint Backlog'!$F129 / MAX(1, 'ProductSprint Backlog'!$J129-'ProductSprint Backlog'!$I129), AND('ProductSprint Backlog'!$J129=Q$2,'ProductSprint Backlog'!$I129=Q$2), 'ProductSprint Backlog'!$F129, TRUE, 0)</f>
        <v>0</v>
      </c>
    </row>
    <row r="130" spans="2:17" x14ac:dyDescent="0.2">
      <c r="B130" s="4" cm="1">
        <f t="array" ref="B130">_xlfn.IFS('ProductSprint Backlog'!$F130="", "", AND('ProductSprint Backlog'!$J130&gt;B$2,'ProductSprint Backlog'!$I130&lt;=B$2), 'ProductSprint Backlog'!$F130 / MAX(1, 'ProductSprint Backlog'!$J130-'ProductSprint Backlog'!$I130), AND('ProductSprint Backlog'!$J130=B$2,'ProductSprint Backlog'!$I130=B$2), 'ProductSprint Backlog'!$F130, TRUE, 0)</f>
        <v>0</v>
      </c>
      <c r="C130" s="4" cm="1">
        <f t="array" ref="C130">_xlfn.IFS('ProductSprint Backlog'!$F130="", "", AND('ProductSprint Backlog'!$J130&gt;C$2,'ProductSprint Backlog'!$I130&lt;=C$2), 'ProductSprint Backlog'!$F130 / MAX(1, 'ProductSprint Backlog'!$J130-'ProductSprint Backlog'!$I130), AND('ProductSprint Backlog'!$J130=C$2,'ProductSprint Backlog'!$I130=C$2), 'ProductSprint Backlog'!$F130, TRUE, 0)</f>
        <v>0</v>
      </c>
      <c r="D130" s="4" cm="1">
        <f t="array" ref="D130">_xlfn.IFS('ProductSprint Backlog'!$F130="", "", AND('ProductSprint Backlog'!$J130&gt;D$2,'ProductSprint Backlog'!$I130&lt;=D$2), 'ProductSprint Backlog'!$F130 / MAX(1, 'ProductSprint Backlog'!$J130-'ProductSprint Backlog'!$I130), AND('ProductSprint Backlog'!$J130=D$2,'ProductSprint Backlog'!$I130=D$2), 'ProductSprint Backlog'!$F130, TRUE, 0)</f>
        <v>0</v>
      </c>
      <c r="E130" s="4" cm="1">
        <f t="array" ref="E130">_xlfn.IFS('ProductSprint Backlog'!$F130="", "", AND('ProductSprint Backlog'!$J130&gt;E$2,'ProductSprint Backlog'!$I130&lt;=E$2), 'ProductSprint Backlog'!$F130 / MAX(1, 'ProductSprint Backlog'!$J130-'ProductSprint Backlog'!$I130), AND('ProductSprint Backlog'!$J130=E$2,'ProductSprint Backlog'!$I130=E$2), 'ProductSprint Backlog'!$F130, TRUE, 0)</f>
        <v>0</v>
      </c>
      <c r="F130" s="4" cm="1">
        <f t="array" ref="F130">_xlfn.IFS('ProductSprint Backlog'!$F130="", "", AND('ProductSprint Backlog'!$J130&gt;F$2,'ProductSprint Backlog'!$I130&lt;=F$2), 'ProductSprint Backlog'!$F130 / MAX(1, 'ProductSprint Backlog'!$J130-'ProductSprint Backlog'!$I130), AND('ProductSprint Backlog'!$J130=F$2,'ProductSprint Backlog'!$I130=F$2), 'ProductSprint Backlog'!$F130, TRUE, 0)</f>
        <v>0</v>
      </c>
      <c r="G130" s="4" cm="1">
        <f t="array" ref="G130">_xlfn.IFS('ProductSprint Backlog'!$F130="", "", AND('ProductSprint Backlog'!$J130&gt;G$2,'ProductSprint Backlog'!$I130&lt;=G$2), 'ProductSprint Backlog'!$F130 / MAX(1, 'ProductSprint Backlog'!$J130-'ProductSprint Backlog'!$I130), AND('ProductSprint Backlog'!$J130=G$2,'ProductSprint Backlog'!$I130=G$2), 'ProductSprint Backlog'!$F130, TRUE, 0)</f>
        <v>0</v>
      </c>
      <c r="H130" s="4" cm="1">
        <f t="array" ref="H130">_xlfn.IFS('ProductSprint Backlog'!$F130="", "", AND('ProductSprint Backlog'!$J130&gt;H$2,'ProductSprint Backlog'!$I130&lt;=H$2), 'ProductSprint Backlog'!$F130 / MAX(1, 'ProductSprint Backlog'!$J130-'ProductSprint Backlog'!$I130), AND('ProductSprint Backlog'!$J130=H$2,'ProductSprint Backlog'!$I130=H$2), 'ProductSprint Backlog'!$F130, TRUE, 0)</f>
        <v>0</v>
      </c>
      <c r="I130" s="4" cm="1">
        <f t="array" ref="I130">_xlfn.IFS('ProductSprint Backlog'!$F130="", "", AND('ProductSprint Backlog'!$J130&gt;I$2,'ProductSprint Backlog'!$I130&lt;=I$2), 'ProductSprint Backlog'!$F130 / MAX(1, 'ProductSprint Backlog'!$J130-'ProductSprint Backlog'!$I130), AND('ProductSprint Backlog'!$J130=I$2,'ProductSprint Backlog'!$I130=I$2), 'ProductSprint Backlog'!$F130, TRUE, 0)</f>
        <v>0</v>
      </c>
      <c r="J130" s="4" cm="1">
        <f t="array" ref="J130">_xlfn.IFS('ProductSprint Backlog'!$F130="", "", AND('ProductSprint Backlog'!$J130&gt;J$2,'ProductSprint Backlog'!$I130&lt;=J$2), 'ProductSprint Backlog'!$F130 / MAX(1, 'ProductSprint Backlog'!$J130-'ProductSprint Backlog'!$I130), AND('ProductSprint Backlog'!$J130=J$2,'ProductSprint Backlog'!$I130=J$2), 'ProductSprint Backlog'!$F130, TRUE, 0)</f>
        <v>0</v>
      </c>
      <c r="K130" s="4" cm="1">
        <f t="array" ref="K130">_xlfn.IFS('ProductSprint Backlog'!$F130="", "", AND('ProductSprint Backlog'!$J130&gt;K$2,'ProductSprint Backlog'!$I130&lt;=K$2), 'ProductSprint Backlog'!$F130 / MAX(1, 'ProductSprint Backlog'!$J130-'ProductSprint Backlog'!$I130), AND('ProductSprint Backlog'!$J130=K$2,'ProductSprint Backlog'!$I130=K$2), 'ProductSprint Backlog'!$F130, TRUE, 0)</f>
        <v>0</v>
      </c>
      <c r="L130" s="4" cm="1">
        <f t="array" ref="L130">_xlfn.IFS('ProductSprint Backlog'!$F130="", "", AND('ProductSprint Backlog'!$J130&gt;L$2,'ProductSprint Backlog'!$I130&lt;=L$2), 'ProductSprint Backlog'!$F130 / MAX(1, 'ProductSprint Backlog'!$J130-'ProductSprint Backlog'!$I130), AND('ProductSprint Backlog'!$J130=L$2,'ProductSprint Backlog'!$I130=L$2), 'ProductSprint Backlog'!$F130, TRUE, 0)</f>
        <v>0</v>
      </c>
      <c r="M130" s="4" cm="1">
        <f t="array" ref="M130">_xlfn.IFS('ProductSprint Backlog'!$F130="", "", AND('ProductSprint Backlog'!$J130&gt;M$2,'ProductSprint Backlog'!$I130&lt;=M$2), 'ProductSprint Backlog'!$F130 / MAX(1, 'ProductSprint Backlog'!$J130-'ProductSprint Backlog'!$I130), AND('ProductSprint Backlog'!$J130=M$2,'ProductSprint Backlog'!$I130=M$2), 'ProductSprint Backlog'!$F130, TRUE, 0)</f>
        <v>0</v>
      </c>
      <c r="N130" s="4" cm="1">
        <f t="array" ref="N130">_xlfn.IFS('ProductSprint Backlog'!$F130="", "", AND('ProductSprint Backlog'!$J130&gt;N$2,'ProductSprint Backlog'!$I130&lt;=N$2), 'ProductSprint Backlog'!$F130 / MAX(1, 'ProductSprint Backlog'!$J130-'ProductSprint Backlog'!$I130), AND('ProductSprint Backlog'!$J130=N$2,'ProductSprint Backlog'!$I130=N$2), 'ProductSprint Backlog'!$F130, TRUE, 0)</f>
        <v>0</v>
      </c>
      <c r="O130" s="4" cm="1">
        <f t="array" ref="O130">_xlfn.IFS('ProductSprint Backlog'!$F130="", "", AND('ProductSprint Backlog'!$J130&gt;O$2,'ProductSprint Backlog'!$I130&lt;=O$2), 'ProductSprint Backlog'!$F130 / MAX(1, 'ProductSprint Backlog'!$J130-'ProductSprint Backlog'!$I130), AND('ProductSprint Backlog'!$J130=O$2,'ProductSprint Backlog'!$I130=O$2), 'ProductSprint Backlog'!$F130, TRUE, 0)</f>
        <v>0</v>
      </c>
      <c r="P130" s="4" cm="1">
        <f t="array" ref="P130">_xlfn.IFS('ProductSprint Backlog'!$F130="", "", AND('ProductSprint Backlog'!$J130&gt;P$2,'ProductSprint Backlog'!$I130&lt;=P$2), 'ProductSprint Backlog'!$F130 / MAX(1, 'ProductSprint Backlog'!$J130-'ProductSprint Backlog'!$I130), AND('ProductSprint Backlog'!$J130=P$2,'ProductSprint Backlog'!$I130=P$2), 'ProductSprint Backlog'!$F130, TRUE, 0)</f>
        <v>0</v>
      </c>
      <c r="Q130" s="4" cm="1">
        <f t="array" ref="Q130">_xlfn.IFS('ProductSprint Backlog'!$F130="", "", AND('ProductSprint Backlog'!$J130&gt;Q$2,'ProductSprint Backlog'!$I130&lt;=Q$2), 'ProductSprint Backlog'!$F130 / MAX(1, 'ProductSprint Backlog'!$J130-'ProductSprint Backlog'!$I130), AND('ProductSprint Backlog'!$J130=Q$2,'ProductSprint Backlog'!$I130=Q$2), 'ProductSprint Backlog'!$F130, TRUE, 0)</f>
        <v>0</v>
      </c>
    </row>
    <row r="131" spans="2:17" x14ac:dyDescent="0.2">
      <c r="B131" s="4" cm="1">
        <f t="array" ref="B131">_xlfn.IFS('ProductSprint Backlog'!$F131="", "", AND('ProductSprint Backlog'!$J131&gt;B$2,'ProductSprint Backlog'!$I131&lt;=B$2), 'ProductSprint Backlog'!$F131 / MAX(1, 'ProductSprint Backlog'!$J131-'ProductSprint Backlog'!$I131), AND('ProductSprint Backlog'!$J131=B$2,'ProductSprint Backlog'!$I131=B$2), 'ProductSprint Backlog'!$F131, TRUE, 0)</f>
        <v>0</v>
      </c>
      <c r="C131" s="4" cm="1">
        <f t="array" ref="C131">_xlfn.IFS('ProductSprint Backlog'!$F131="", "", AND('ProductSprint Backlog'!$J131&gt;C$2,'ProductSprint Backlog'!$I131&lt;=C$2), 'ProductSprint Backlog'!$F131 / MAX(1, 'ProductSprint Backlog'!$J131-'ProductSprint Backlog'!$I131), AND('ProductSprint Backlog'!$J131=C$2,'ProductSprint Backlog'!$I131=C$2), 'ProductSprint Backlog'!$F131, TRUE, 0)</f>
        <v>0</v>
      </c>
      <c r="D131" s="4" cm="1">
        <f t="array" ref="D131">_xlfn.IFS('ProductSprint Backlog'!$F131="", "", AND('ProductSprint Backlog'!$J131&gt;D$2,'ProductSprint Backlog'!$I131&lt;=D$2), 'ProductSprint Backlog'!$F131 / MAX(1, 'ProductSprint Backlog'!$J131-'ProductSprint Backlog'!$I131), AND('ProductSprint Backlog'!$J131=D$2,'ProductSprint Backlog'!$I131=D$2), 'ProductSprint Backlog'!$F131, TRUE, 0)</f>
        <v>0</v>
      </c>
      <c r="E131" s="4" cm="1">
        <f t="array" ref="E131">_xlfn.IFS('ProductSprint Backlog'!$F131="", "", AND('ProductSprint Backlog'!$J131&gt;E$2,'ProductSprint Backlog'!$I131&lt;=E$2), 'ProductSprint Backlog'!$F131 / MAX(1, 'ProductSprint Backlog'!$J131-'ProductSprint Backlog'!$I131), AND('ProductSprint Backlog'!$J131=E$2,'ProductSprint Backlog'!$I131=E$2), 'ProductSprint Backlog'!$F131, TRUE, 0)</f>
        <v>0</v>
      </c>
      <c r="F131" s="4" cm="1">
        <f t="array" ref="F131">_xlfn.IFS('ProductSprint Backlog'!$F131="", "", AND('ProductSprint Backlog'!$J131&gt;F$2,'ProductSprint Backlog'!$I131&lt;=F$2), 'ProductSprint Backlog'!$F131 / MAX(1, 'ProductSprint Backlog'!$J131-'ProductSprint Backlog'!$I131), AND('ProductSprint Backlog'!$J131=F$2,'ProductSprint Backlog'!$I131=F$2), 'ProductSprint Backlog'!$F131, TRUE, 0)</f>
        <v>0</v>
      </c>
      <c r="G131" s="4" cm="1">
        <f t="array" ref="G131">_xlfn.IFS('ProductSprint Backlog'!$F131="", "", AND('ProductSprint Backlog'!$J131&gt;G$2,'ProductSprint Backlog'!$I131&lt;=G$2), 'ProductSprint Backlog'!$F131 / MAX(1, 'ProductSprint Backlog'!$J131-'ProductSprint Backlog'!$I131), AND('ProductSprint Backlog'!$J131=G$2,'ProductSprint Backlog'!$I131=G$2), 'ProductSprint Backlog'!$F131, TRUE, 0)</f>
        <v>0</v>
      </c>
      <c r="H131" s="4" cm="1">
        <f t="array" ref="H131">_xlfn.IFS('ProductSprint Backlog'!$F131="", "", AND('ProductSprint Backlog'!$J131&gt;H$2,'ProductSprint Backlog'!$I131&lt;=H$2), 'ProductSprint Backlog'!$F131 / MAX(1, 'ProductSprint Backlog'!$J131-'ProductSprint Backlog'!$I131), AND('ProductSprint Backlog'!$J131=H$2,'ProductSprint Backlog'!$I131=H$2), 'ProductSprint Backlog'!$F131, TRUE, 0)</f>
        <v>0</v>
      </c>
      <c r="I131" s="4" cm="1">
        <f t="array" ref="I131">_xlfn.IFS('ProductSprint Backlog'!$F131="", "", AND('ProductSprint Backlog'!$J131&gt;I$2,'ProductSprint Backlog'!$I131&lt;=I$2), 'ProductSprint Backlog'!$F131 / MAX(1, 'ProductSprint Backlog'!$J131-'ProductSprint Backlog'!$I131), AND('ProductSprint Backlog'!$J131=I$2,'ProductSprint Backlog'!$I131=I$2), 'ProductSprint Backlog'!$F131, TRUE, 0)</f>
        <v>0</v>
      </c>
      <c r="J131" s="4" cm="1">
        <f t="array" ref="J131">_xlfn.IFS('ProductSprint Backlog'!$F131="", "", AND('ProductSprint Backlog'!$J131&gt;J$2,'ProductSprint Backlog'!$I131&lt;=J$2), 'ProductSprint Backlog'!$F131 / MAX(1, 'ProductSprint Backlog'!$J131-'ProductSprint Backlog'!$I131), AND('ProductSprint Backlog'!$J131=J$2,'ProductSprint Backlog'!$I131=J$2), 'ProductSprint Backlog'!$F131, TRUE, 0)</f>
        <v>0</v>
      </c>
      <c r="K131" s="4" cm="1">
        <f t="array" ref="K131">_xlfn.IFS('ProductSprint Backlog'!$F131="", "", AND('ProductSprint Backlog'!$J131&gt;K$2,'ProductSprint Backlog'!$I131&lt;=K$2), 'ProductSprint Backlog'!$F131 / MAX(1, 'ProductSprint Backlog'!$J131-'ProductSprint Backlog'!$I131), AND('ProductSprint Backlog'!$J131=K$2,'ProductSprint Backlog'!$I131=K$2), 'ProductSprint Backlog'!$F131, TRUE, 0)</f>
        <v>0</v>
      </c>
      <c r="L131" s="4" cm="1">
        <f t="array" ref="L131">_xlfn.IFS('ProductSprint Backlog'!$F131="", "", AND('ProductSprint Backlog'!$J131&gt;L$2,'ProductSprint Backlog'!$I131&lt;=L$2), 'ProductSprint Backlog'!$F131 / MAX(1, 'ProductSprint Backlog'!$J131-'ProductSprint Backlog'!$I131), AND('ProductSprint Backlog'!$J131=L$2,'ProductSprint Backlog'!$I131=L$2), 'ProductSprint Backlog'!$F131, TRUE, 0)</f>
        <v>0</v>
      </c>
      <c r="M131" s="4" cm="1">
        <f t="array" ref="M131">_xlfn.IFS('ProductSprint Backlog'!$F131="", "", AND('ProductSprint Backlog'!$J131&gt;M$2,'ProductSprint Backlog'!$I131&lt;=M$2), 'ProductSprint Backlog'!$F131 / MAX(1, 'ProductSprint Backlog'!$J131-'ProductSprint Backlog'!$I131), AND('ProductSprint Backlog'!$J131=M$2,'ProductSprint Backlog'!$I131=M$2), 'ProductSprint Backlog'!$F131, TRUE, 0)</f>
        <v>0</v>
      </c>
      <c r="N131" s="4" cm="1">
        <f t="array" ref="N131">_xlfn.IFS('ProductSprint Backlog'!$F131="", "", AND('ProductSprint Backlog'!$J131&gt;N$2,'ProductSprint Backlog'!$I131&lt;=N$2), 'ProductSprint Backlog'!$F131 / MAX(1, 'ProductSprint Backlog'!$J131-'ProductSprint Backlog'!$I131), AND('ProductSprint Backlog'!$J131=N$2,'ProductSprint Backlog'!$I131=N$2), 'ProductSprint Backlog'!$F131, TRUE, 0)</f>
        <v>0</v>
      </c>
      <c r="O131" s="4" cm="1">
        <f t="array" ref="O131">_xlfn.IFS('ProductSprint Backlog'!$F131="", "", AND('ProductSprint Backlog'!$J131&gt;O$2,'ProductSprint Backlog'!$I131&lt;=O$2), 'ProductSprint Backlog'!$F131 / MAX(1, 'ProductSprint Backlog'!$J131-'ProductSprint Backlog'!$I131), AND('ProductSprint Backlog'!$J131=O$2,'ProductSprint Backlog'!$I131=O$2), 'ProductSprint Backlog'!$F131, TRUE, 0)</f>
        <v>0</v>
      </c>
      <c r="P131" s="4" cm="1">
        <f t="array" ref="P131">_xlfn.IFS('ProductSprint Backlog'!$F131="", "", AND('ProductSprint Backlog'!$J131&gt;P$2,'ProductSprint Backlog'!$I131&lt;=P$2), 'ProductSprint Backlog'!$F131 / MAX(1, 'ProductSprint Backlog'!$J131-'ProductSprint Backlog'!$I131), AND('ProductSprint Backlog'!$J131=P$2,'ProductSprint Backlog'!$I131=P$2), 'ProductSprint Backlog'!$F131, TRUE, 0)</f>
        <v>0</v>
      </c>
      <c r="Q131" s="4" cm="1">
        <f t="array" ref="Q131">_xlfn.IFS('ProductSprint Backlog'!$F131="", "", AND('ProductSprint Backlog'!$J131&gt;Q$2,'ProductSprint Backlog'!$I131&lt;=Q$2), 'ProductSprint Backlog'!$F131 / MAX(1, 'ProductSprint Backlog'!$J131-'ProductSprint Backlog'!$I131), AND('ProductSprint Backlog'!$J131=Q$2,'ProductSprint Backlog'!$I131=Q$2), 'ProductSprint Backlog'!$F131, TRUE, 0)</f>
        <v>0</v>
      </c>
    </row>
    <row r="132" spans="2:17" x14ac:dyDescent="0.2">
      <c r="B132" s="4" cm="1">
        <f t="array" ref="B132">_xlfn.IFS('ProductSprint Backlog'!$F132="", "", AND('ProductSprint Backlog'!$J132&gt;B$2,'ProductSprint Backlog'!$I132&lt;=B$2), 'ProductSprint Backlog'!$F132 / MAX(1, 'ProductSprint Backlog'!$J132-'ProductSprint Backlog'!$I132), AND('ProductSprint Backlog'!$J132=B$2,'ProductSprint Backlog'!$I132=B$2), 'ProductSprint Backlog'!$F132, TRUE, 0)</f>
        <v>0</v>
      </c>
      <c r="C132" s="4" cm="1">
        <f t="array" ref="C132">_xlfn.IFS('ProductSprint Backlog'!$F132="", "", AND('ProductSprint Backlog'!$J132&gt;C$2,'ProductSprint Backlog'!$I132&lt;=C$2), 'ProductSprint Backlog'!$F132 / MAX(1, 'ProductSprint Backlog'!$J132-'ProductSprint Backlog'!$I132), AND('ProductSprint Backlog'!$J132=C$2,'ProductSprint Backlog'!$I132=C$2), 'ProductSprint Backlog'!$F132, TRUE, 0)</f>
        <v>0</v>
      </c>
      <c r="D132" s="4" cm="1">
        <f t="array" ref="D132">_xlfn.IFS('ProductSprint Backlog'!$F132="", "", AND('ProductSprint Backlog'!$J132&gt;D$2,'ProductSprint Backlog'!$I132&lt;=D$2), 'ProductSprint Backlog'!$F132 / MAX(1, 'ProductSprint Backlog'!$J132-'ProductSprint Backlog'!$I132), AND('ProductSprint Backlog'!$J132=D$2,'ProductSprint Backlog'!$I132=D$2), 'ProductSprint Backlog'!$F132, TRUE, 0)</f>
        <v>0</v>
      </c>
      <c r="E132" s="4" cm="1">
        <f t="array" ref="E132">_xlfn.IFS('ProductSprint Backlog'!$F132="", "", AND('ProductSprint Backlog'!$J132&gt;E$2,'ProductSprint Backlog'!$I132&lt;=E$2), 'ProductSprint Backlog'!$F132 / MAX(1, 'ProductSprint Backlog'!$J132-'ProductSprint Backlog'!$I132), AND('ProductSprint Backlog'!$J132=E$2,'ProductSprint Backlog'!$I132=E$2), 'ProductSprint Backlog'!$F132, TRUE, 0)</f>
        <v>0</v>
      </c>
      <c r="F132" s="4" cm="1">
        <f t="array" ref="F132">_xlfn.IFS('ProductSprint Backlog'!$F132="", "", AND('ProductSprint Backlog'!$J132&gt;F$2,'ProductSprint Backlog'!$I132&lt;=F$2), 'ProductSprint Backlog'!$F132 / MAX(1, 'ProductSprint Backlog'!$J132-'ProductSprint Backlog'!$I132), AND('ProductSprint Backlog'!$J132=F$2,'ProductSprint Backlog'!$I132=F$2), 'ProductSprint Backlog'!$F132, TRUE, 0)</f>
        <v>0</v>
      </c>
      <c r="G132" s="4" cm="1">
        <f t="array" ref="G132">_xlfn.IFS('ProductSprint Backlog'!$F132="", "", AND('ProductSprint Backlog'!$J132&gt;G$2,'ProductSprint Backlog'!$I132&lt;=G$2), 'ProductSprint Backlog'!$F132 / MAX(1, 'ProductSprint Backlog'!$J132-'ProductSprint Backlog'!$I132), AND('ProductSprint Backlog'!$J132=G$2,'ProductSprint Backlog'!$I132=G$2), 'ProductSprint Backlog'!$F132, TRUE, 0)</f>
        <v>0</v>
      </c>
      <c r="H132" s="4" cm="1">
        <f t="array" ref="H132">_xlfn.IFS('ProductSprint Backlog'!$F132="", "", AND('ProductSprint Backlog'!$J132&gt;H$2,'ProductSprint Backlog'!$I132&lt;=H$2), 'ProductSprint Backlog'!$F132 / MAX(1, 'ProductSprint Backlog'!$J132-'ProductSprint Backlog'!$I132), AND('ProductSprint Backlog'!$J132=H$2,'ProductSprint Backlog'!$I132=H$2), 'ProductSprint Backlog'!$F132, TRUE, 0)</f>
        <v>0</v>
      </c>
      <c r="I132" s="4" cm="1">
        <f t="array" ref="I132">_xlfn.IFS('ProductSprint Backlog'!$F132="", "", AND('ProductSprint Backlog'!$J132&gt;I$2,'ProductSprint Backlog'!$I132&lt;=I$2), 'ProductSprint Backlog'!$F132 / MAX(1, 'ProductSprint Backlog'!$J132-'ProductSprint Backlog'!$I132), AND('ProductSprint Backlog'!$J132=I$2,'ProductSprint Backlog'!$I132=I$2), 'ProductSprint Backlog'!$F132, TRUE, 0)</f>
        <v>0</v>
      </c>
      <c r="J132" s="4" cm="1">
        <f t="array" ref="J132">_xlfn.IFS('ProductSprint Backlog'!$F132="", "", AND('ProductSprint Backlog'!$J132&gt;J$2,'ProductSprint Backlog'!$I132&lt;=J$2), 'ProductSprint Backlog'!$F132 / MAX(1, 'ProductSprint Backlog'!$J132-'ProductSprint Backlog'!$I132), AND('ProductSprint Backlog'!$J132=J$2,'ProductSprint Backlog'!$I132=J$2), 'ProductSprint Backlog'!$F132, TRUE, 0)</f>
        <v>0</v>
      </c>
      <c r="K132" s="4" cm="1">
        <f t="array" ref="K132">_xlfn.IFS('ProductSprint Backlog'!$F132="", "", AND('ProductSprint Backlog'!$J132&gt;K$2,'ProductSprint Backlog'!$I132&lt;=K$2), 'ProductSprint Backlog'!$F132 / MAX(1, 'ProductSprint Backlog'!$J132-'ProductSprint Backlog'!$I132), AND('ProductSprint Backlog'!$J132=K$2,'ProductSprint Backlog'!$I132=K$2), 'ProductSprint Backlog'!$F132, TRUE, 0)</f>
        <v>0</v>
      </c>
      <c r="L132" s="4" cm="1">
        <f t="array" ref="L132">_xlfn.IFS('ProductSprint Backlog'!$F132="", "", AND('ProductSprint Backlog'!$J132&gt;L$2,'ProductSprint Backlog'!$I132&lt;=L$2), 'ProductSprint Backlog'!$F132 / MAX(1, 'ProductSprint Backlog'!$J132-'ProductSprint Backlog'!$I132), AND('ProductSprint Backlog'!$J132=L$2,'ProductSprint Backlog'!$I132=L$2), 'ProductSprint Backlog'!$F132, TRUE, 0)</f>
        <v>0</v>
      </c>
      <c r="M132" s="4" cm="1">
        <f t="array" ref="M132">_xlfn.IFS('ProductSprint Backlog'!$F132="", "", AND('ProductSprint Backlog'!$J132&gt;M$2,'ProductSprint Backlog'!$I132&lt;=M$2), 'ProductSprint Backlog'!$F132 / MAX(1, 'ProductSprint Backlog'!$J132-'ProductSprint Backlog'!$I132), AND('ProductSprint Backlog'!$J132=M$2,'ProductSprint Backlog'!$I132=M$2), 'ProductSprint Backlog'!$F132, TRUE, 0)</f>
        <v>0</v>
      </c>
      <c r="N132" s="4" cm="1">
        <f t="array" ref="N132">_xlfn.IFS('ProductSprint Backlog'!$F132="", "", AND('ProductSprint Backlog'!$J132&gt;N$2,'ProductSprint Backlog'!$I132&lt;=N$2), 'ProductSprint Backlog'!$F132 / MAX(1, 'ProductSprint Backlog'!$J132-'ProductSprint Backlog'!$I132), AND('ProductSprint Backlog'!$J132=N$2,'ProductSprint Backlog'!$I132=N$2), 'ProductSprint Backlog'!$F132, TRUE, 0)</f>
        <v>0</v>
      </c>
      <c r="O132" s="4" cm="1">
        <f t="array" ref="O132">_xlfn.IFS('ProductSprint Backlog'!$F132="", "", AND('ProductSprint Backlog'!$J132&gt;O$2,'ProductSprint Backlog'!$I132&lt;=O$2), 'ProductSprint Backlog'!$F132 / MAX(1, 'ProductSprint Backlog'!$J132-'ProductSprint Backlog'!$I132), AND('ProductSprint Backlog'!$J132=O$2,'ProductSprint Backlog'!$I132=O$2), 'ProductSprint Backlog'!$F132, TRUE, 0)</f>
        <v>0</v>
      </c>
      <c r="P132" s="4" cm="1">
        <f t="array" ref="P132">_xlfn.IFS('ProductSprint Backlog'!$F132="", "", AND('ProductSprint Backlog'!$J132&gt;P$2,'ProductSprint Backlog'!$I132&lt;=P$2), 'ProductSprint Backlog'!$F132 / MAX(1, 'ProductSprint Backlog'!$J132-'ProductSprint Backlog'!$I132), AND('ProductSprint Backlog'!$J132=P$2,'ProductSprint Backlog'!$I132=P$2), 'ProductSprint Backlog'!$F132, TRUE, 0)</f>
        <v>0</v>
      </c>
      <c r="Q132" s="4" cm="1">
        <f t="array" ref="Q132">_xlfn.IFS('ProductSprint Backlog'!$F132="", "", AND('ProductSprint Backlog'!$J132&gt;Q$2,'ProductSprint Backlog'!$I132&lt;=Q$2), 'ProductSprint Backlog'!$F132 / MAX(1, 'ProductSprint Backlog'!$J132-'ProductSprint Backlog'!$I132), AND('ProductSprint Backlog'!$J132=Q$2,'ProductSprint Backlog'!$I132=Q$2), 'ProductSprint Backlog'!$F132, TRUE, 0)</f>
        <v>0</v>
      </c>
    </row>
    <row r="133" spans="2:17" x14ac:dyDescent="0.2">
      <c r="B133" s="4" cm="1">
        <f t="array" ref="B133">_xlfn.IFS('ProductSprint Backlog'!$F133="", "", AND('ProductSprint Backlog'!$J133&gt;B$2,'ProductSprint Backlog'!$I133&lt;=B$2), 'ProductSprint Backlog'!$F133 / MAX(1, 'ProductSprint Backlog'!$J133-'ProductSprint Backlog'!$I133), AND('ProductSprint Backlog'!$J133=B$2,'ProductSprint Backlog'!$I133=B$2), 'ProductSprint Backlog'!$F133, TRUE, 0)</f>
        <v>0</v>
      </c>
      <c r="C133" s="4" cm="1">
        <f t="array" ref="C133">_xlfn.IFS('ProductSprint Backlog'!$F133="", "", AND('ProductSprint Backlog'!$J133&gt;C$2,'ProductSprint Backlog'!$I133&lt;=C$2), 'ProductSprint Backlog'!$F133 / MAX(1, 'ProductSprint Backlog'!$J133-'ProductSprint Backlog'!$I133), AND('ProductSprint Backlog'!$J133=C$2,'ProductSprint Backlog'!$I133=C$2), 'ProductSprint Backlog'!$F133, TRUE, 0)</f>
        <v>0</v>
      </c>
      <c r="D133" s="4" cm="1">
        <f t="array" ref="D133">_xlfn.IFS('ProductSprint Backlog'!$F133="", "", AND('ProductSprint Backlog'!$J133&gt;D$2,'ProductSprint Backlog'!$I133&lt;=D$2), 'ProductSprint Backlog'!$F133 / MAX(1, 'ProductSprint Backlog'!$J133-'ProductSprint Backlog'!$I133), AND('ProductSprint Backlog'!$J133=D$2,'ProductSprint Backlog'!$I133=D$2), 'ProductSprint Backlog'!$F133, TRUE, 0)</f>
        <v>0</v>
      </c>
      <c r="E133" s="4" cm="1">
        <f t="array" ref="E133">_xlfn.IFS('ProductSprint Backlog'!$F133="", "", AND('ProductSprint Backlog'!$J133&gt;E$2,'ProductSprint Backlog'!$I133&lt;=E$2), 'ProductSprint Backlog'!$F133 / MAX(1, 'ProductSprint Backlog'!$J133-'ProductSprint Backlog'!$I133), AND('ProductSprint Backlog'!$J133=E$2,'ProductSprint Backlog'!$I133=E$2), 'ProductSprint Backlog'!$F133, TRUE, 0)</f>
        <v>0</v>
      </c>
      <c r="F133" s="4" cm="1">
        <f t="array" ref="F133">_xlfn.IFS('ProductSprint Backlog'!$F133="", "", AND('ProductSprint Backlog'!$J133&gt;F$2,'ProductSprint Backlog'!$I133&lt;=F$2), 'ProductSprint Backlog'!$F133 / MAX(1, 'ProductSprint Backlog'!$J133-'ProductSprint Backlog'!$I133), AND('ProductSprint Backlog'!$J133=F$2,'ProductSprint Backlog'!$I133=F$2), 'ProductSprint Backlog'!$F133, TRUE, 0)</f>
        <v>0</v>
      </c>
      <c r="G133" s="4" cm="1">
        <f t="array" ref="G133">_xlfn.IFS('ProductSprint Backlog'!$F133="", "", AND('ProductSprint Backlog'!$J133&gt;G$2,'ProductSprint Backlog'!$I133&lt;=G$2), 'ProductSprint Backlog'!$F133 / MAX(1, 'ProductSprint Backlog'!$J133-'ProductSprint Backlog'!$I133), AND('ProductSprint Backlog'!$J133=G$2,'ProductSprint Backlog'!$I133=G$2), 'ProductSprint Backlog'!$F133, TRUE, 0)</f>
        <v>0</v>
      </c>
      <c r="H133" s="4" cm="1">
        <f t="array" ref="H133">_xlfn.IFS('ProductSprint Backlog'!$F133="", "", AND('ProductSprint Backlog'!$J133&gt;H$2,'ProductSprint Backlog'!$I133&lt;=H$2), 'ProductSprint Backlog'!$F133 / MAX(1, 'ProductSprint Backlog'!$J133-'ProductSprint Backlog'!$I133), AND('ProductSprint Backlog'!$J133=H$2,'ProductSprint Backlog'!$I133=H$2), 'ProductSprint Backlog'!$F133, TRUE, 0)</f>
        <v>0</v>
      </c>
      <c r="I133" s="4" cm="1">
        <f t="array" ref="I133">_xlfn.IFS('ProductSprint Backlog'!$F133="", "", AND('ProductSprint Backlog'!$J133&gt;I$2,'ProductSprint Backlog'!$I133&lt;=I$2), 'ProductSprint Backlog'!$F133 / MAX(1, 'ProductSprint Backlog'!$J133-'ProductSprint Backlog'!$I133), AND('ProductSprint Backlog'!$J133=I$2,'ProductSprint Backlog'!$I133=I$2), 'ProductSprint Backlog'!$F133, TRUE, 0)</f>
        <v>0</v>
      </c>
      <c r="J133" s="4" cm="1">
        <f t="array" ref="J133">_xlfn.IFS('ProductSprint Backlog'!$F133="", "", AND('ProductSprint Backlog'!$J133&gt;J$2,'ProductSprint Backlog'!$I133&lt;=J$2), 'ProductSprint Backlog'!$F133 / MAX(1, 'ProductSprint Backlog'!$J133-'ProductSprint Backlog'!$I133), AND('ProductSprint Backlog'!$J133=J$2,'ProductSprint Backlog'!$I133=J$2), 'ProductSprint Backlog'!$F133, TRUE, 0)</f>
        <v>0</v>
      </c>
      <c r="K133" s="4" cm="1">
        <f t="array" ref="K133">_xlfn.IFS('ProductSprint Backlog'!$F133="", "", AND('ProductSprint Backlog'!$J133&gt;K$2,'ProductSprint Backlog'!$I133&lt;=K$2), 'ProductSprint Backlog'!$F133 / MAX(1, 'ProductSprint Backlog'!$J133-'ProductSprint Backlog'!$I133), AND('ProductSprint Backlog'!$J133=K$2,'ProductSprint Backlog'!$I133=K$2), 'ProductSprint Backlog'!$F133, TRUE, 0)</f>
        <v>0</v>
      </c>
      <c r="L133" s="4" cm="1">
        <f t="array" ref="L133">_xlfn.IFS('ProductSprint Backlog'!$F133="", "", AND('ProductSprint Backlog'!$J133&gt;L$2,'ProductSprint Backlog'!$I133&lt;=L$2), 'ProductSprint Backlog'!$F133 / MAX(1, 'ProductSprint Backlog'!$J133-'ProductSprint Backlog'!$I133), AND('ProductSprint Backlog'!$J133=L$2,'ProductSprint Backlog'!$I133=L$2), 'ProductSprint Backlog'!$F133, TRUE, 0)</f>
        <v>0</v>
      </c>
      <c r="M133" s="4" cm="1">
        <f t="array" ref="M133">_xlfn.IFS('ProductSprint Backlog'!$F133="", "", AND('ProductSprint Backlog'!$J133&gt;M$2,'ProductSprint Backlog'!$I133&lt;=M$2), 'ProductSprint Backlog'!$F133 / MAX(1, 'ProductSprint Backlog'!$J133-'ProductSprint Backlog'!$I133), AND('ProductSprint Backlog'!$J133=M$2,'ProductSprint Backlog'!$I133=M$2), 'ProductSprint Backlog'!$F133, TRUE, 0)</f>
        <v>0</v>
      </c>
      <c r="N133" s="4" cm="1">
        <f t="array" ref="N133">_xlfn.IFS('ProductSprint Backlog'!$F133="", "", AND('ProductSprint Backlog'!$J133&gt;N$2,'ProductSprint Backlog'!$I133&lt;=N$2), 'ProductSprint Backlog'!$F133 / MAX(1, 'ProductSprint Backlog'!$J133-'ProductSprint Backlog'!$I133), AND('ProductSprint Backlog'!$J133=N$2,'ProductSprint Backlog'!$I133=N$2), 'ProductSprint Backlog'!$F133, TRUE, 0)</f>
        <v>0</v>
      </c>
      <c r="O133" s="4" cm="1">
        <f t="array" ref="O133">_xlfn.IFS('ProductSprint Backlog'!$F133="", "", AND('ProductSprint Backlog'!$J133&gt;O$2,'ProductSprint Backlog'!$I133&lt;=O$2), 'ProductSprint Backlog'!$F133 / MAX(1, 'ProductSprint Backlog'!$J133-'ProductSprint Backlog'!$I133), AND('ProductSprint Backlog'!$J133=O$2,'ProductSprint Backlog'!$I133=O$2), 'ProductSprint Backlog'!$F133, TRUE, 0)</f>
        <v>0</v>
      </c>
      <c r="P133" s="4" cm="1">
        <f t="array" ref="P133">_xlfn.IFS('ProductSprint Backlog'!$F133="", "", AND('ProductSprint Backlog'!$J133&gt;P$2,'ProductSprint Backlog'!$I133&lt;=P$2), 'ProductSprint Backlog'!$F133 / MAX(1, 'ProductSprint Backlog'!$J133-'ProductSprint Backlog'!$I133), AND('ProductSprint Backlog'!$J133=P$2,'ProductSprint Backlog'!$I133=P$2), 'ProductSprint Backlog'!$F133, TRUE, 0)</f>
        <v>0</v>
      </c>
      <c r="Q133" s="4" cm="1">
        <f t="array" ref="Q133">_xlfn.IFS('ProductSprint Backlog'!$F133="", "", AND('ProductSprint Backlog'!$J133&gt;Q$2,'ProductSprint Backlog'!$I133&lt;=Q$2), 'ProductSprint Backlog'!$F133 / MAX(1, 'ProductSprint Backlog'!$J133-'ProductSprint Backlog'!$I133), AND('ProductSprint Backlog'!$J133=Q$2,'ProductSprint Backlog'!$I133=Q$2), 'ProductSprint Backlog'!$F133, TRUE, 0)</f>
        <v>0</v>
      </c>
    </row>
    <row r="134" spans="2:17" x14ac:dyDescent="0.2">
      <c r="B134" s="4" cm="1">
        <f t="array" ref="B134">_xlfn.IFS('ProductSprint Backlog'!$F134="", "", AND('ProductSprint Backlog'!$J134&gt;B$2,'ProductSprint Backlog'!$I134&lt;=B$2), 'ProductSprint Backlog'!$F134 / MAX(1, 'ProductSprint Backlog'!$J134-'ProductSprint Backlog'!$I134), AND('ProductSprint Backlog'!$J134=B$2,'ProductSprint Backlog'!$I134=B$2), 'ProductSprint Backlog'!$F134, TRUE, 0)</f>
        <v>0</v>
      </c>
      <c r="C134" s="4" cm="1">
        <f t="array" ref="C134">_xlfn.IFS('ProductSprint Backlog'!$F134="", "", AND('ProductSprint Backlog'!$J134&gt;C$2,'ProductSprint Backlog'!$I134&lt;=C$2), 'ProductSprint Backlog'!$F134 / MAX(1, 'ProductSprint Backlog'!$J134-'ProductSprint Backlog'!$I134), AND('ProductSprint Backlog'!$J134=C$2,'ProductSprint Backlog'!$I134=C$2), 'ProductSprint Backlog'!$F134, TRUE, 0)</f>
        <v>0</v>
      </c>
      <c r="D134" s="4" cm="1">
        <f t="array" ref="D134">_xlfn.IFS('ProductSprint Backlog'!$F134="", "", AND('ProductSprint Backlog'!$J134&gt;D$2,'ProductSprint Backlog'!$I134&lt;=D$2), 'ProductSprint Backlog'!$F134 / MAX(1, 'ProductSprint Backlog'!$J134-'ProductSprint Backlog'!$I134), AND('ProductSprint Backlog'!$J134=D$2,'ProductSprint Backlog'!$I134=D$2), 'ProductSprint Backlog'!$F134, TRUE, 0)</f>
        <v>0</v>
      </c>
      <c r="E134" s="4" cm="1">
        <f t="array" ref="E134">_xlfn.IFS('ProductSprint Backlog'!$F134="", "", AND('ProductSprint Backlog'!$J134&gt;E$2,'ProductSprint Backlog'!$I134&lt;=E$2), 'ProductSprint Backlog'!$F134 / MAX(1, 'ProductSprint Backlog'!$J134-'ProductSprint Backlog'!$I134), AND('ProductSprint Backlog'!$J134=E$2,'ProductSprint Backlog'!$I134=E$2), 'ProductSprint Backlog'!$F134, TRUE, 0)</f>
        <v>0</v>
      </c>
      <c r="F134" s="4" cm="1">
        <f t="array" ref="F134">_xlfn.IFS('ProductSprint Backlog'!$F134="", "", AND('ProductSprint Backlog'!$J134&gt;F$2,'ProductSprint Backlog'!$I134&lt;=F$2), 'ProductSprint Backlog'!$F134 / MAX(1, 'ProductSprint Backlog'!$J134-'ProductSprint Backlog'!$I134), AND('ProductSprint Backlog'!$J134=F$2,'ProductSprint Backlog'!$I134=F$2), 'ProductSprint Backlog'!$F134, TRUE, 0)</f>
        <v>0</v>
      </c>
      <c r="G134" s="4" cm="1">
        <f t="array" ref="G134">_xlfn.IFS('ProductSprint Backlog'!$F134="", "", AND('ProductSprint Backlog'!$J134&gt;G$2,'ProductSprint Backlog'!$I134&lt;=G$2), 'ProductSprint Backlog'!$F134 / MAX(1, 'ProductSprint Backlog'!$J134-'ProductSprint Backlog'!$I134), AND('ProductSprint Backlog'!$J134=G$2,'ProductSprint Backlog'!$I134=G$2), 'ProductSprint Backlog'!$F134, TRUE, 0)</f>
        <v>0</v>
      </c>
      <c r="H134" s="4" cm="1">
        <f t="array" ref="H134">_xlfn.IFS('ProductSprint Backlog'!$F134="", "", AND('ProductSprint Backlog'!$J134&gt;H$2,'ProductSprint Backlog'!$I134&lt;=H$2), 'ProductSprint Backlog'!$F134 / MAX(1, 'ProductSprint Backlog'!$J134-'ProductSprint Backlog'!$I134), AND('ProductSprint Backlog'!$J134=H$2,'ProductSprint Backlog'!$I134=H$2), 'ProductSprint Backlog'!$F134, TRUE, 0)</f>
        <v>0</v>
      </c>
      <c r="I134" s="4" cm="1">
        <f t="array" ref="I134">_xlfn.IFS('ProductSprint Backlog'!$F134="", "", AND('ProductSprint Backlog'!$J134&gt;I$2,'ProductSprint Backlog'!$I134&lt;=I$2), 'ProductSprint Backlog'!$F134 / MAX(1, 'ProductSprint Backlog'!$J134-'ProductSprint Backlog'!$I134), AND('ProductSprint Backlog'!$J134=I$2,'ProductSprint Backlog'!$I134=I$2), 'ProductSprint Backlog'!$F134, TRUE, 0)</f>
        <v>0</v>
      </c>
      <c r="J134" s="4" cm="1">
        <f t="array" ref="J134">_xlfn.IFS('ProductSprint Backlog'!$F134="", "", AND('ProductSprint Backlog'!$J134&gt;J$2,'ProductSprint Backlog'!$I134&lt;=J$2), 'ProductSprint Backlog'!$F134 / MAX(1, 'ProductSprint Backlog'!$J134-'ProductSprint Backlog'!$I134), AND('ProductSprint Backlog'!$J134=J$2,'ProductSprint Backlog'!$I134=J$2), 'ProductSprint Backlog'!$F134, TRUE, 0)</f>
        <v>0</v>
      </c>
      <c r="K134" s="4" cm="1">
        <f t="array" ref="K134">_xlfn.IFS('ProductSprint Backlog'!$F134="", "", AND('ProductSprint Backlog'!$J134&gt;K$2,'ProductSprint Backlog'!$I134&lt;=K$2), 'ProductSprint Backlog'!$F134 / MAX(1, 'ProductSprint Backlog'!$J134-'ProductSprint Backlog'!$I134), AND('ProductSprint Backlog'!$J134=K$2,'ProductSprint Backlog'!$I134=K$2), 'ProductSprint Backlog'!$F134, TRUE, 0)</f>
        <v>0</v>
      </c>
      <c r="L134" s="4" cm="1">
        <f t="array" ref="L134">_xlfn.IFS('ProductSprint Backlog'!$F134="", "", AND('ProductSprint Backlog'!$J134&gt;L$2,'ProductSprint Backlog'!$I134&lt;=L$2), 'ProductSprint Backlog'!$F134 / MAX(1, 'ProductSprint Backlog'!$J134-'ProductSprint Backlog'!$I134), AND('ProductSprint Backlog'!$J134=L$2,'ProductSprint Backlog'!$I134=L$2), 'ProductSprint Backlog'!$F134, TRUE, 0)</f>
        <v>0</v>
      </c>
      <c r="M134" s="4" cm="1">
        <f t="array" ref="M134">_xlfn.IFS('ProductSprint Backlog'!$F134="", "", AND('ProductSprint Backlog'!$J134&gt;M$2,'ProductSprint Backlog'!$I134&lt;=M$2), 'ProductSprint Backlog'!$F134 / MAX(1, 'ProductSprint Backlog'!$J134-'ProductSprint Backlog'!$I134), AND('ProductSprint Backlog'!$J134=M$2,'ProductSprint Backlog'!$I134=M$2), 'ProductSprint Backlog'!$F134, TRUE, 0)</f>
        <v>0</v>
      </c>
      <c r="N134" s="4" cm="1">
        <f t="array" ref="N134">_xlfn.IFS('ProductSprint Backlog'!$F134="", "", AND('ProductSprint Backlog'!$J134&gt;N$2,'ProductSprint Backlog'!$I134&lt;=N$2), 'ProductSprint Backlog'!$F134 / MAX(1, 'ProductSprint Backlog'!$J134-'ProductSprint Backlog'!$I134), AND('ProductSprint Backlog'!$J134=N$2,'ProductSprint Backlog'!$I134=N$2), 'ProductSprint Backlog'!$F134, TRUE, 0)</f>
        <v>0</v>
      </c>
      <c r="O134" s="4" cm="1">
        <f t="array" ref="O134">_xlfn.IFS('ProductSprint Backlog'!$F134="", "", AND('ProductSprint Backlog'!$J134&gt;O$2,'ProductSprint Backlog'!$I134&lt;=O$2), 'ProductSprint Backlog'!$F134 / MAX(1, 'ProductSprint Backlog'!$J134-'ProductSprint Backlog'!$I134), AND('ProductSprint Backlog'!$J134=O$2,'ProductSprint Backlog'!$I134=O$2), 'ProductSprint Backlog'!$F134, TRUE, 0)</f>
        <v>0</v>
      </c>
      <c r="P134" s="4" cm="1">
        <f t="array" ref="P134">_xlfn.IFS('ProductSprint Backlog'!$F134="", "", AND('ProductSprint Backlog'!$J134&gt;P$2,'ProductSprint Backlog'!$I134&lt;=P$2), 'ProductSprint Backlog'!$F134 / MAX(1, 'ProductSprint Backlog'!$J134-'ProductSprint Backlog'!$I134), AND('ProductSprint Backlog'!$J134=P$2,'ProductSprint Backlog'!$I134=P$2), 'ProductSprint Backlog'!$F134, TRUE, 0)</f>
        <v>0</v>
      </c>
      <c r="Q134" s="4" cm="1">
        <f t="array" ref="Q134">_xlfn.IFS('ProductSprint Backlog'!$F134="", "", AND('ProductSprint Backlog'!$J134&gt;Q$2,'ProductSprint Backlog'!$I134&lt;=Q$2), 'ProductSprint Backlog'!$F134 / MAX(1, 'ProductSprint Backlog'!$J134-'ProductSprint Backlog'!$I134), AND('ProductSprint Backlog'!$J134=Q$2,'ProductSprint Backlog'!$I134=Q$2), 'ProductSprint Backlog'!$F134, TRUE, 0)</f>
        <v>0</v>
      </c>
    </row>
    <row r="135" spans="2:17" x14ac:dyDescent="0.2">
      <c r="B135" s="4" cm="1">
        <f t="array" ref="B135">_xlfn.IFS('ProductSprint Backlog'!$F135="", "", AND('ProductSprint Backlog'!$J135&gt;B$2,'ProductSprint Backlog'!$I135&lt;=B$2), 'ProductSprint Backlog'!$F135 / MAX(1, 'ProductSprint Backlog'!$J135-'ProductSprint Backlog'!$I135), AND('ProductSprint Backlog'!$J135=B$2,'ProductSprint Backlog'!$I135=B$2), 'ProductSprint Backlog'!$F135, TRUE, 0)</f>
        <v>0</v>
      </c>
      <c r="C135" s="4" cm="1">
        <f t="array" ref="C135">_xlfn.IFS('ProductSprint Backlog'!$F135="", "", AND('ProductSprint Backlog'!$J135&gt;C$2,'ProductSprint Backlog'!$I135&lt;=C$2), 'ProductSprint Backlog'!$F135 / MAX(1, 'ProductSprint Backlog'!$J135-'ProductSprint Backlog'!$I135), AND('ProductSprint Backlog'!$J135=C$2,'ProductSprint Backlog'!$I135=C$2), 'ProductSprint Backlog'!$F135, TRUE, 0)</f>
        <v>0</v>
      </c>
      <c r="D135" s="4" cm="1">
        <f t="array" ref="D135">_xlfn.IFS('ProductSprint Backlog'!$F135="", "", AND('ProductSprint Backlog'!$J135&gt;D$2,'ProductSprint Backlog'!$I135&lt;=D$2), 'ProductSprint Backlog'!$F135 / MAX(1, 'ProductSprint Backlog'!$J135-'ProductSprint Backlog'!$I135), AND('ProductSprint Backlog'!$J135=D$2,'ProductSprint Backlog'!$I135=D$2), 'ProductSprint Backlog'!$F135, TRUE, 0)</f>
        <v>0</v>
      </c>
      <c r="E135" s="4" cm="1">
        <f t="array" ref="E135">_xlfn.IFS('ProductSprint Backlog'!$F135="", "", AND('ProductSprint Backlog'!$J135&gt;E$2,'ProductSprint Backlog'!$I135&lt;=E$2), 'ProductSprint Backlog'!$F135 / MAX(1, 'ProductSprint Backlog'!$J135-'ProductSprint Backlog'!$I135), AND('ProductSprint Backlog'!$J135=E$2,'ProductSprint Backlog'!$I135=E$2), 'ProductSprint Backlog'!$F135, TRUE, 0)</f>
        <v>0</v>
      </c>
      <c r="F135" s="4" cm="1">
        <f t="array" ref="F135">_xlfn.IFS('ProductSprint Backlog'!$F135="", "", AND('ProductSprint Backlog'!$J135&gt;F$2,'ProductSprint Backlog'!$I135&lt;=F$2), 'ProductSprint Backlog'!$F135 / MAX(1, 'ProductSprint Backlog'!$J135-'ProductSprint Backlog'!$I135), AND('ProductSprint Backlog'!$J135=F$2,'ProductSprint Backlog'!$I135=F$2), 'ProductSprint Backlog'!$F135, TRUE, 0)</f>
        <v>0</v>
      </c>
      <c r="G135" s="4" cm="1">
        <f t="array" ref="G135">_xlfn.IFS('ProductSprint Backlog'!$F135="", "", AND('ProductSprint Backlog'!$J135&gt;G$2,'ProductSprint Backlog'!$I135&lt;=G$2), 'ProductSprint Backlog'!$F135 / MAX(1, 'ProductSprint Backlog'!$J135-'ProductSprint Backlog'!$I135), AND('ProductSprint Backlog'!$J135=G$2,'ProductSprint Backlog'!$I135=G$2), 'ProductSprint Backlog'!$F135, TRUE, 0)</f>
        <v>0</v>
      </c>
      <c r="H135" s="4" cm="1">
        <f t="array" ref="H135">_xlfn.IFS('ProductSprint Backlog'!$F135="", "", AND('ProductSprint Backlog'!$J135&gt;H$2,'ProductSprint Backlog'!$I135&lt;=H$2), 'ProductSprint Backlog'!$F135 / MAX(1, 'ProductSprint Backlog'!$J135-'ProductSprint Backlog'!$I135), AND('ProductSprint Backlog'!$J135=H$2,'ProductSprint Backlog'!$I135=H$2), 'ProductSprint Backlog'!$F135, TRUE, 0)</f>
        <v>0</v>
      </c>
      <c r="I135" s="4" cm="1">
        <f t="array" ref="I135">_xlfn.IFS('ProductSprint Backlog'!$F135="", "", AND('ProductSprint Backlog'!$J135&gt;I$2,'ProductSprint Backlog'!$I135&lt;=I$2), 'ProductSprint Backlog'!$F135 / MAX(1, 'ProductSprint Backlog'!$J135-'ProductSprint Backlog'!$I135), AND('ProductSprint Backlog'!$J135=I$2,'ProductSprint Backlog'!$I135=I$2), 'ProductSprint Backlog'!$F135, TRUE, 0)</f>
        <v>0</v>
      </c>
      <c r="J135" s="4" cm="1">
        <f t="array" ref="J135">_xlfn.IFS('ProductSprint Backlog'!$F135="", "", AND('ProductSprint Backlog'!$J135&gt;J$2,'ProductSprint Backlog'!$I135&lt;=J$2), 'ProductSprint Backlog'!$F135 / MAX(1, 'ProductSprint Backlog'!$J135-'ProductSprint Backlog'!$I135), AND('ProductSprint Backlog'!$J135=J$2,'ProductSprint Backlog'!$I135=J$2), 'ProductSprint Backlog'!$F135, TRUE, 0)</f>
        <v>0</v>
      </c>
      <c r="K135" s="4" cm="1">
        <f t="array" ref="K135">_xlfn.IFS('ProductSprint Backlog'!$F135="", "", AND('ProductSprint Backlog'!$J135&gt;K$2,'ProductSprint Backlog'!$I135&lt;=K$2), 'ProductSprint Backlog'!$F135 / MAX(1, 'ProductSprint Backlog'!$J135-'ProductSprint Backlog'!$I135), AND('ProductSprint Backlog'!$J135=K$2,'ProductSprint Backlog'!$I135=K$2), 'ProductSprint Backlog'!$F135, TRUE, 0)</f>
        <v>0</v>
      </c>
      <c r="L135" s="4" cm="1">
        <f t="array" ref="L135">_xlfn.IFS('ProductSprint Backlog'!$F135="", "", AND('ProductSprint Backlog'!$J135&gt;L$2,'ProductSprint Backlog'!$I135&lt;=L$2), 'ProductSprint Backlog'!$F135 / MAX(1, 'ProductSprint Backlog'!$J135-'ProductSprint Backlog'!$I135), AND('ProductSprint Backlog'!$J135=L$2,'ProductSprint Backlog'!$I135=L$2), 'ProductSprint Backlog'!$F135, TRUE, 0)</f>
        <v>0</v>
      </c>
      <c r="M135" s="4" cm="1">
        <f t="array" ref="M135">_xlfn.IFS('ProductSprint Backlog'!$F135="", "", AND('ProductSprint Backlog'!$J135&gt;M$2,'ProductSprint Backlog'!$I135&lt;=M$2), 'ProductSprint Backlog'!$F135 / MAX(1, 'ProductSprint Backlog'!$J135-'ProductSprint Backlog'!$I135), AND('ProductSprint Backlog'!$J135=M$2,'ProductSprint Backlog'!$I135=M$2), 'ProductSprint Backlog'!$F135, TRUE, 0)</f>
        <v>0</v>
      </c>
      <c r="N135" s="4" cm="1">
        <f t="array" ref="N135">_xlfn.IFS('ProductSprint Backlog'!$F135="", "", AND('ProductSprint Backlog'!$J135&gt;N$2,'ProductSprint Backlog'!$I135&lt;=N$2), 'ProductSprint Backlog'!$F135 / MAX(1, 'ProductSprint Backlog'!$J135-'ProductSprint Backlog'!$I135), AND('ProductSprint Backlog'!$J135=N$2,'ProductSprint Backlog'!$I135=N$2), 'ProductSprint Backlog'!$F135, TRUE, 0)</f>
        <v>0</v>
      </c>
      <c r="O135" s="4" cm="1">
        <f t="array" ref="O135">_xlfn.IFS('ProductSprint Backlog'!$F135="", "", AND('ProductSprint Backlog'!$J135&gt;O$2,'ProductSprint Backlog'!$I135&lt;=O$2), 'ProductSprint Backlog'!$F135 / MAX(1, 'ProductSprint Backlog'!$J135-'ProductSprint Backlog'!$I135), AND('ProductSprint Backlog'!$J135=O$2,'ProductSprint Backlog'!$I135=O$2), 'ProductSprint Backlog'!$F135, TRUE, 0)</f>
        <v>0</v>
      </c>
      <c r="P135" s="4" cm="1">
        <f t="array" ref="P135">_xlfn.IFS('ProductSprint Backlog'!$F135="", "", AND('ProductSprint Backlog'!$J135&gt;P$2,'ProductSprint Backlog'!$I135&lt;=P$2), 'ProductSprint Backlog'!$F135 / MAX(1, 'ProductSprint Backlog'!$J135-'ProductSprint Backlog'!$I135), AND('ProductSprint Backlog'!$J135=P$2,'ProductSprint Backlog'!$I135=P$2), 'ProductSprint Backlog'!$F135, TRUE, 0)</f>
        <v>0</v>
      </c>
      <c r="Q135" s="4" cm="1">
        <f t="array" ref="Q135">_xlfn.IFS('ProductSprint Backlog'!$F135="", "", AND('ProductSprint Backlog'!$J135&gt;Q$2,'ProductSprint Backlog'!$I135&lt;=Q$2), 'ProductSprint Backlog'!$F135 / MAX(1, 'ProductSprint Backlog'!$J135-'ProductSprint Backlog'!$I135), AND('ProductSprint Backlog'!$J135=Q$2,'ProductSprint Backlog'!$I135=Q$2), 'ProductSprint Backlog'!$F135, TRUE, 0)</f>
        <v>0</v>
      </c>
    </row>
    <row r="136" spans="2:17" x14ac:dyDescent="0.2">
      <c r="B136" s="4" cm="1">
        <f t="array" ref="B136">_xlfn.IFS('ProductSprint Backlog'!$F136="", "", AND('ProductSprint Backlog'!$J136&gt;B$2,'ProductSprint Backlog'!$I136&lt;=B$2), 'ProductSprint Backlog'!$F136 / MAX(1, 'ProductSprint Backlog'!$J136-'ProductSprint Backlog'!$I136), AND('ProductSprint Backlog'!$J136=B$2,'ProductSprint Backlog'!$I136=B$2), 'ProductSprint Backlog'!$F136, TRUE, 0)</f>
        <v>0</v>
      </c>
      <c r="C136" s="4" cm="1">
        <f t="array" ref="C136">_xlfn.IFS('ProductSprint Backlog'!$F136="", "", AND('ProductSprint Backlog'!$J136&gt;C$2,'ProductSprint Backlog'!$I136&lt;=C$2), 'ProductSprint Backlog'!$F136 / MAX(1, 'ProductSprint Backlog'!$J136-'ProductSprint Backlog'!$I136), AND('ProductSprint Backlog'!$J136=C$2,'ProductSprint Backlog'!$I136=C$2), 'ProductSprint Backlog'!$F136, TRUE, 0)</f>
        <v>0</v>
      </c>
      <c r="D136" s="4" cm="1">
        <f t="array" ref="D136">_xlfn.IFS('ProductSprint Backlog'!$F136="", "", AND('ProductSprint Backlog'!$J136&gt;D$2,'ProductSprint Backlog'!$I136&lt;=D$2), 'ProductSprint Backlog'!$F136 / MAX(1, 'ProductSprint Backlog'!$J136-'ProductSprint Backlog'!$I136), AND('ProductSprint Backlog'!$J136=D$2,'ProductSprint Backlog'!$I136=D$2), 'ProductSprint Backlog'!$F136, TRUE, 0)</f>
        <v>0</v>
      </c>
      <c r="E136" s="4" cm="1">
        <f t="array" ref="E136">_xlfn.IFS('ProductSprint Backlog'!$F136="", "", AND('ProductSprint Backlog'!$J136&gt;E$2,'ProductSprint Backlog'!$I136&lt;=E$2), 'ProductSprint Backlog'!$F136 / MAX(1, 'ProductSprint Backlog'!$J136-'ProductSprint Backlog'!$I136), AND('ProductSprint Backlog'!$J136=E$2,'ProductSprint Backlog'!$I136=E$2), 'ProductSprint Backlog'!$F136, TRUE, 0)</f>
        <v>0</v>
      </c>
      <c r="F136" s="4" cm="1">
        <f t="array" ref="F136">_xlfn.IFS('ProductSprint Backlog'!$F136="", "", AND('ProductSprint Backlog'!$J136&gt;F$2,'ProductSprint Backlog'!$I136&lt;=F$2), 'ProductSprint Backlog'!$F136 / MAX(1, 'ProductSprint Backlog'!$J136-'ProductSprint Backlog'!$I136), AND('ProductSprint Backlog'!$J136=F$2,'ProductSprint Backlog'!$I136=F$2), 'ProductSprint Backlog'!$F136, TRUE, 0)</f>
        <v>0</v>
      </c>
      <c r="G136" s="4" cm="1">
        <f t="array" ref="G136">_xlfn.IFS('ProductSprint Backlog'!$F136="", "", AND('ProductSprint Backlog'!$J136&gt;G$2,'ProductSprint Backlog'!$I136&lt;=G$2), 'ProductSprint Backlog'!$F136 / MAX(1, 'ProductSprint Backlog'!$J136-'ProductSprint Backlog'!$I136), AND('ProductSprint Backlog'!$J136=G$2,'ProductSprint Backlog'!$I136=G$2), 'ProductSprint Backlog'!$F136, TRUE, 0)</f>
        <v>0</v>
      </c>
      <c r="H136" s="4" cm="1">
        <f t="array" ref="H136">_xlfn.IFS('ProductSprint Backlog'!$F136="", "", AND('ProductSprint Backlog'!$J136&gt;H$2,'ProductSprint Backlog'!$I136&lt;=H$2), 'ProductSprint Backlog'!$F136 / MAX(1, 'ProductSprint Backlog'!$J136-'ProductSprint Backlog'!$I136), AND('ProductSprint Backlog'!$J136=H$2,'ProductSprint Backlog'!$I136=H$2), 'ProductSprint Backlog'!$F136, TRUE, 0)</f>
        <v>0</v>
      </c>
      <c r="I136" s="4" cm="1">
        <f t="array" ref="I136">_xlfn.IFS('ProductSprint Backlog'!$F136="", "", AND('ProductSprint Backlog'!$J136&gt;I$2,'ProductSprint Backlog'!$I136&lt;=I$2), 'ProductSprint Backlog'!$F136 / MAX(1, 'ProductSprint Backlog'!$J136-'ProductSprint Backlog'!$I136), AND('ProductSprint Backlog'!$J136=I$2,'ProductSprint Backlog'!$I136=I$2), 'ProductSprint Backlog'!$F136, TRUE, 0)</f>
        <v>0</v>
      </c>
      <c r="J136" s="4" cm="1">
        <f t="array" ref="J136">_xlfn.IFS('ProductSprint Backlog'!$F136="", "", AND('ProductSprint Backlog'!$J136&gt;J$2,'ProductSprint Backlog'!$I136&lt;=J$2), 'ProductSprint Backlog'!$F136 / MAX(1, 'ProductSprint Backlog'!$J136-'ProductSprint Backlog'!$I136), AND('ProductSprint Backlog'!$J136=J$2,'ProductSprint Backlog'!$I136=J$2), 'ProductSprint Backlog'!$F136, TRUE, 0)</f>
        <v>0</v>
      </c>
      <c r="K136" s="4" cm="1">
        <f t="array" ref="K136">_xlfn.IFS('ProductSprint Backlog'!$F136="", "", AND('ProductSprint Backlog'!$J136&gt;K$2,'ProductSprint Backlog'!$I136&lt;=K$2), 'ProductSprint Backlog'!$F136 / MAX(1, 'ProductSprint Backlog'!$J136-'ProductSprint Backlog'!$I136), AND('ProductSprint Backlog'!$J136=K$2,'ProductSprint Backlog'!$I136=K$2), 'ProductSprint Backlog'!$F136, TRUE, 0)</f>
        <v>0</v>
      </c>
      <c r="L136" s="4" cm="1">
        <f t="array" ref="L136">_xlfn.IFS('ProductSprint Backlog'!$F136="", "", AND('ProductSprint Backlog'!$J136&gt;L$2,'ProductSprint Backlog'!$I136&lt;=L$2), 'ProductSprint Backlog'!$F136 / MAX(1, 'ProductSprint Backlog'!$J136-'ProductSprint Backlog'!$I136), AND('ProductSprint Backlog'!$J136=L$2,'ProductSprint Backlog'!$I136=L$2), 'ProductSprint Backlog'!$F136, TRUE, 0)</f>
        <v>0</v>
      </c>
      <c r="M136" s="4" cm="1">
        <f t="array" ref="M136">_xlfn.IFS('ProductSprint Backlog'!$F136="", "", AND('ProductSprint Backlog'!$J136&gt;M$2,'ProductSprint Backlog'!$I136&lt;=M$2), 'ProductSprint Backlog'!$F136 / MAX(1, 'ProductSprint Backlog'!$J136-'ProductSprint Backlog'!$I136), AND('ProductSprint Backlog'!$J136=M$2,'ProductSprint Backlog'!$I136=M$2), 'ProductSprint Backlog'!$F136, TRUE, 0)</f>
        <v>0</v>
      </c>
      <c r="N136" s="4" cm="1">
        <f t="array" ref="N136">_xlfn.IFS('ProductSprint Backlog'!$F136="", "", AND('ProductSprint Backlog'!$J136&gt;N$2,'ProductSprint Backlog'!$I136&lt;=N$2), 'ProductSprint Backlog'!$F136 / MAX(1, 'ProductSprint Backlog'!$J136-'ProductSprint Backlog'!$I136), AND('ProductSprint Backlog'!$J136=N$2,'ProductSprint Backlog'!$I136=N$2), 'ProductSprint Backlog'!$F136, TRUE, 0)</f>
        <v>0</v>
      </c>
      <c r="O136" s="4" cm="1">
        <f t="array" ref="O136">_xlfn.IFS('ProductSprint Backlog'!$F136="", "", AND('ProductSprint Backlog'!$J136&gt;O$2,'ProductSprint Backlog'!$I136&lt;=O$2), 'ProductSprint Backlog'!$F136 / MAX(1, 'ProductSprint Backlog'!$J136-'ProductSprint Backlog'!$I136), AND('ProductSprint Backlog'!$J136=O$2,'ProductSprint Backlog'!$I136=O$2), 'ProductSprint Backlog'!$F136, TRUE, 0)</f>
        <v>0</v>
      </c>
      <c r="P136" s="4" cm="1">
        <f t="array" ref="P136">_xlfn.IFS('ProductSprint Backlog'!$F136="", "", AND('ProductSprint Backlog'!$J136&gt;P$2,'ProductSprint Backlog'!$I136&lt;=P$2), 'ProductSprint Backlog'!$F136 / MAX(1, 'ProductSprint Backlog'!$J136-'ProductSprint Backlog'!$I136), AND('ProductSprint Backlog'!$J136=P$2,'ProductSprint Backlog'!$I136=P$2), 'ProductSprint Backlog'!$F136, TRUE, 0)</f>
        <v>0</v>
      </c>
      <c r="Q136" s="4" cm="1">
        <f t="array" ref="Q136">_xlfn.IFS('ProductSprint Backlog'!$F136="", "", AND('ProductSprint Backlog'!$J136&gt;Q$2,'ProductSprint Backlog'!$I136&lt;=Q$2), 'ProductSprint Backlog'!$F136 / MAX(1, 'ProductSprint Backlog'!$J136-'ProductSprint Backlog'!$I136), AND('ProductSprint Backlog'!$J136=Q$2,'ProductSprint Backlog'!$I136=Q$2), 'ProductSprint Backlog'!$F136, TRUE, 0)</f>
        <v>0</v>
      </c>
    </row>
    <row r="137" spans="2:17" x14ac:dyDescent="0.2">
      <c r="B137" s="4" cm="1">
        <f t="array" ref="B137">_xlfn.IFS('ProductSprint Backlog'!$F137="", "", AND('ProductSprint Backlog'!$J137&gt;B$2,'ProductSprint Backlog'!$I137&lt;=B$2), 'ProductSprint Backlog'!$F137 / MAX(1, 'ProductSprint Backlog'!$J137-'ProductSprint Backlog'!$I137), AND('ProductSprint Backlog'!$J137=B$2,'ProductSprint Backlog'!$I137=B$2), 'ProductSprint Backlog'!$F137, TRUE, 0)</f>
        <v>0</v>
      </c>
      <c r="C137" s="4" cm="1">
        <f t="array" ref="C137">_xlfn.IFS('ProductSprint Backlog'!$F137="", "", AND('ProductSprint Backlog'!$J137&gt;C$2,'ProductSprint Backlog'!$I137&lt;=C$2), 'ProductSprint Backlog'!$F137 / MAX(1, 'ProductSprint Backlog'!$J137-'ProductSprint Backlog'!$I137), AND('ProductSprint Backlog'!$J137=C$2,'ProductSprint Backlog'!$I137=C$2), 'ProductSprint Backlog'!$F137, TRUE, 0)</f>
        <v>0</v>
      </c>
      <c r="D137" s="4" cm="1">
        <f t="array" ref="D137">_xlfn.IFS('ProductSprint Backlog'!$F137="", "", AND('ProductSprint Backlog'!$J137&gt;D$2,'ProductSprint Backlog'!$I137&lt;=D$2), 'ProductSprint Backlog'!$F137 / MAX(1, 'ProductSprint Backlog'!$J137-'ProductSprint Backlog'!$I137), AND('ProductSprint Backlog'!$J137=D$2,'ProductSprint Backlog'!$I137=D$2), 'ProductSprint Backlog'!$F137, TRUE, 0)</f>
        <v>0</v>
      </c>
      <c r="E137" s="4" cm="1">
        <f t="array" ref="E137">_xlfn.IFS('ProductSprint Backlog'!$F137="", "", AND('ProductSprint Backlog'!$J137&gt;E$2,'ProductSprint Backlog'!$I137&lt;=E$2), 'ProductSprint Backlog'!$F137 / MAX(1, 'ProductSprint Backlog'!$J137-'ProductSprint Backlog'!$I137), AND('ProductSprint Backlog'!$J137=E$2,'ProductSprint Backlog'!$I137=E$2), 'ProductSprint Backlog'!$F137, TRUE, 0)</f>
        <v>0</v>
      </c>
      <c r="F137" s="4" cm="1">
        <f t="array" ref="F137">_xlfn.IFS('ProductSprint Backlog'!$F137="", "", AND('ProductSprint Backlog'!$J137&gt;F$2,'ProductSprint Backlog'!$I137&lt;=F$2), 'ProductSprint Backlog'!$F137 / MAX(1, 'ProductSprint Backlog'!$J137-'ProductSprint Backlog'!$I137), AND('ProductSprint Backlog'!$J137=F$2,'ProductSprint Backlog'!$I137=F$2), 'ProductSprint Backlog'!$F137, TRUE, 0)</f>
        <v>0</v>
      </c>
      <c r="G137" s="4" cm="1">
        <f t="array" ref="G137">_xlfn.IFS('ProductSprint Backlog'!$F137="", "", AND('ProductSprint Backlog'!$J137&gt;G$2,'ProductSprint Backlog'!$I137&lt;=G$2), 'ProductSprint Backlog'!$F137 / MAX(1, 'ProductSprint Backlog'!$J137-'ProductSprint Backlog'!$I137), AND('ProductSprint Backlog'!$J137=G$2,'ProductSprint Backlog'!$I137=G$2), 'ProductSprint Backlog'!$F137, TRUE, 0)</f>
        <v>0</v>
      </c>
      <c r="H137" s="4" cm="1">
        <f t="array" ref="H137">_xlfn.IFS('ProductSprint Backlog'!$F137="", "", AND('ProductSprint Backlog'!$J137&gt;H$2,'ProductSprint Backlog'!$I137&lt;=H$2), 'ProductSprint Backlog'!$F137 / MAX(1, 'ProductSprint Backlog'!$J137-'ProductSprint Backlog'!$I137), AND('ProductSprint Backlog'!$J137=H$2,'ProductSprint Backlog'!$I137=H$2), 'ProductSprint Backlog'!$F137, TRUE, 0)</f>
        <v>0</v>
      </c>
      <c r="I137" s="4" cm="1">
        <f t="array" ref="I137">_xlfn.IFS('ProductSprint Backlog'!$F137="", "", AND('ProductSprint Backlog'!$J137&gt;I$2,'ProductSprint Backlog'!$I137&lt;=I$2), 'ProductSprint Backlog'!$F137 / MAX(1, 'ProductSprint Backlog'!$J137-'ProductSprint Backlog'!$I137), AND('ProductSprint Backlog'!$J137=I$2,'ProductSprint Backlog'!$I137=I$2), 'ProductSprint Backlog'!$F137, TRUE, 0)</f>
        <v>0</v>
      </c>
      <c r="J137" s="4" cm="1">
        <f t="array" ref="J137">_xlfn.IFS('ProductSprint Backlog'!$F137="", "", AND('ProductSprint Backlog'!$J137&gt;J$2,'ProductSprint Backlog'!$I137&lt;=J$2), 'ProductSprint Backlog'!$F137 / MAX(1, 'ProductSprint Backlog'!$J137-'ProductSprint Backlog'!$I137), AND('ProductSprint Backlog'!$J137=J$2,'ProductSprint Backlog'!$I137=J$2), 'ProductSprint Backlog'!$F137, TRUE, 0)</f>
        <v>0</v>
      </c>
      <c r="K137" s="4" cm="1">
        <f t="array" ref="K137">_xlfn.IFS('ProductSprint Backlog'!$F137="", "", AND('ProductSprint Backlog'!$J137&gt;K$2,'ProductSprint Backlog'!$I137&lt;=K$2), 'ProductSprint Backlog'!$F137 / MAX(1, 'ProductSprint Backlog'!$J137-'ProductSprint Backlog'!$I137), AND('ProductSprint Backlog'!$J137=K$2,'ProductSprint Backlog'!$I137=K$2), 'ProductSprint Backlog'!$F137, TRUE, 0)</f>
        <v>0</v>
      </c>
      <c r="L137" s="4" cm="1">
        <f t="array" ref="L137">_xlfn.IFS('ProductSprint Backlog'!$F137="", "", AND('ProductSprint Backlog'!$J137&gt;L$2,'ProductSprint Backlog'!$I137&lt;=L$2), 'ProductSprint Backlog'!$F137 / MAX(1, 'ProductSprint Backlog'!$J137-'ProductSprint Backlog'!$I137), AND('ProductSprint Backlog'!$J137=L$2,'ProductSprint Backlog'!$I137=L$2), 'ProductSprint Backlog'!$F137, TRUE, 0)</f>
        <v>0</v>
      </c>
      <c r="M137" s="4" cm="1">
        <f t="array" ref="M137">_xlfn.IFS('ProductSprint Backlog'!$F137="", "", AND('ProductSprint Backlog'!$J137&gt;M$2,'ProductSprint Backlog'!$I137&lt;=M$2), 'ProductSprint Backlog'!$F137 / MAX(1, 'ProductSprint Backlog'!$J137-'ProductSprint Backlog'!$I137), AND('ProductSprint Backlog'!$J137=M$2,'ProductSprint Backlog'!$I137=M$2), 'ProductSprint Backlog'!$F137, TRUE, 0)</f>
        <v>0</v>
      </c>
      <c r="N137" s="4" cm="1">
        <f t="array" ref="N137">_xlfn.IFS('ProductSprint Backlog'!$F137="", "", AND('ProductSprint Backlog'!$J137&gt;N$2,'ProductSprint Backlog'!$I137&lt;=N$2), 'ProductSprint Backlog'!$F137 / MAX(1, 'ProductSprint Backlog'!$J137-'ProductSprint Backlog'!$I137), AND('ProductSprint Backlog'!$J137=N$2,'ProductSprint Backlog'!$I137=N$2), 'ProductSprint Backlog'!$F137, TRUE, 0)</f>
        <v>0</v>
      </c>
      <c r="O137" s="4" cm="1">
        <f t="array" ref="O137">_xlfn.IFS('ProductSprint Backlog'!$F137="", "", AND('ProductSprint Backlog'!$J137&gt;O$2,'ProductSprint Backlog'!$I137&lt;=O$2), 'ProductSprint Backlog'!$F137 / MAX(1, 'ProductSprint Backlog'!$J137-'ProductSprint Backlog'!$I137), AND('ProductSprint Backlog'!$J137=O$2,'ProductSprint Backlog'!$I137=O$2), 'ProductSprint Backlog'!$F137, TRUE, 0)</f>
        <v>0</v>
      </c>
      <c r="P137" s="4" cm="1">
        <f t="array" ref="P137">_xlfn.IFS('ProductSprint Backlog'!$F137="", "", AND('ProductSprint Backlog'!$J137&gt;P$2,'ProductSprint Backlog'!$I137&lt;=P$2), 'ProductSprint Backlog'!$F137 / MAX(1, 'ProductSprint Backlog'!$J137-'ProductSprint Backlog'!$I137), AND('ProductSprint Backlog'!$J137=P$2,'ProductSprint Backlog'!$I137=P$2), 'ProductSprint Backlog'!$F137, TRUE, 0)</f>
        <v>0</v>
      </c>
      <c r="Q137" s="4" cm="1">
        <f t="array" ref="Q137">_xlfn.IFS('ProductSprint Backlog'!$F137="", "", AND('ProductSprint Backlog'!$J137&gt;Q$2,'ProductSprint Backlog'!$I137&lt;=Q$2), 'ProductSprint Backlog'!$F137 / MAX(1, 'ProductSprint Backlog'!$J137-'ProductSprint Backlog'!$I137), AND('ProductSprint Backlog'!$J137=Q$2,'ProductSprint Backlog'!$I137=Q$2), 'ProductSprint Backlog'!$F137, TRUE, 0)</f>
        <v>0</v>
      </c>
    </row>
    <row r="138" spans="2:17" x14ac:dyDescent="0.2">
      <c r="B138" s="4" cm="1">
        <f t="array" ref="B138">_xlfn.IFS('ProductSprint Backlog'!$F138="", "", AND('ProductSprint Backlog'!$J138&gt;B$2,'ProductSprint Backlog'!$I138&lt;=B$2), 'ProductSprint Backlog'!$F138 / MAX(1, 'ProductSprint Backlog'!$J138-'ProductSprint Backlog'!$I138), AND('ProductSprint Backlog'!$J138=B$2,'ProductSprint Backlog'!$I138=B$2), 'ProductSprint Backlog'!$F138, TRUE, 0)</f>
        <v>0</v>
      </c>
      <c r="C138" s="4" cm="1">
        <f t="array" ref="C138">_xlfn.IFS('ProductSprint Backlog'!$F138="", "", AND('ProductSprint Backlog'!$J138&gt;C$2,'ProductSprint Backlog'!$I138&lt;=C$2), 'ProductSprint Backlog'!$F138 / MAX(1, 'ProductSprint Backlog'!$J138-'ProductSprint Backlog'!$I138), AND('ProductSprint Backlog'!$J138=C$2,'ProductSprint Backlog'!$I138=C$2), 'ProductSprint Backlog'!$F138, TRUE, 0)</f>
        <v>0</v>
      </c>
      <c r="D138" s="4" cm="1">
        <f t="array" ref="D138">_xlfn.IFS('ProductSprint Backlog'!$F138="", "", AND('ProductSprint Backlog'!$J138&gt;D$2,'ProductSprint Backlog'!$I138&lt;=D$2), 'ProductSprint Backlog'!$F138 / MAX(1, 'ProductSprint Backlog'!$J138-'ProductSprint Backlog'!$I138), AND('ProductSprint Backlog'!$J138=D$2,'ProductSprint Backlog'!$I138=D$2), 'ProductSprint Backlog'!$F138, TRUE, 0)</f>
        <v>0</v>
      </c>
      <c r="E138" s="4" cm="1">
        <f t="array" ref="E138">_xlfn.IFS('ProductSprint Backlog'!$F138="", "", AND('ProductSprint Backlog'!$J138&gt;E$2,'ProductSprint Backlog'!$I138&lt;=E$2), 'ProductSprint Backlog'!$F138 / MAX(1, 'ProductSprint Backlog'!$J138-'ProductSprint Backlog'!$I138), AND('ProductSprint Backlog'!$J138=E$2,'ProductSprint Backlog'!$I138=E$2), 'ProductSprint Backlog'!$F138, TRUE, 0)</f>
        <v>0</v>
      </c>
      <c r="F138" s="4" cm="1">
        <f t="array" ref="F138">_xlfn.IFS('ProductSprint Backlog'!$F138="", "", AND('ProductSprint Backlog'!$J138&gt;F$2,'ProductSprint Backlog'!$I138&lt;=F$2), 'ProductSprint Backlog'!$F138 / MAX(1, 'ProductSprint Backlog'!$J138-'ProductSprint Backlog'!$I138), AND('ProductSprint Backlog'!$J138=F$2,'ProductSprint Backlog'!$I138=F$2), 'ProductSprint Backlog'!$F138, TRUE, 0)</f>
        <v>0</v>
      </c>
      <c r="G138" s="4" cm="1">
        <f t="array" ref="G138">_xlfn.IFS('ProductSprint Backlog'!$F138="", "", AND('ProductSprint Backlog'!$J138&gt;G$2,'ProductSprint Backlog'!$I138&lt;=G$2), 'ProductSprint Backlog'!$F138 / MAX(1, 'ProductSprint Backlog'!$J138-'ProductSprint Backlog'!$I138), AND('ProductSprint Backlog'!$J138=G$2,'ProductSprint Backlog'!$I138=G$2), 'ProductSprint Backlog'!$F138, TRUE, 0)</f>
        <v>0</v>
      </c>
      <c r="H138" s="4" cm="1">
        <f t="array" ref="H138">_xlfn.IFS('ProductSprint Backlog'!$F138="", "", AND('ProductSprint Backlog'!$J138&gt;H$2,'ProductSprint Backlog'!$I138&lt;=H$2), 'ProductSprint Backlog'!$F138 / MAX(1, 'ProductSprint Backlog'!$J138-'ProductSprint Backlog'!$I138), AND('ProductSprint Backlog'!$J138=H$2,'ProductSprint Backlog'!$I138=H$2), 'ProductSprint Backlog'!$F138, TRUE, 0)</f>
        <v>0</v>
      </c>
      <c r="I138" s="4" cm="1">
        <f t="array" ref="I138">_xlfn.IFS('ProductSprint Backlog'!$F138="", "", AND('ProductSprint Backlog'!$J138&gt;I$2,'ProductSprint Backlog'!$I138&lt;=I$2), 'ProductSprint Backlog'!$F138 / MAX(1, 'ProductSprint Backlog'!$J138-'ProductSprint Backlog'!$I138), AND('ProductSprint Backlog'!$J138=I$2,'ProductSprint Backlog'!$I138=I$2), 'ProductSprint Backlog'!$F138, TRUE, 0)</f>
        <v>0</v>
      </c>
      <c r="J138" s="4" cm="1">
        <f t="array" ref="J138">_xlfn.IFS('ProductSprint Backlog'!$F138="", "", AND('ProductSprint Backlog'!$J138&gt;J$2,'ProductSprint Backlog'!$I138&lt;=J$2), 'ProductSprint Backlog'!$F138 / MAX(1, 'ProductSprint Backlog'!$J138-'ProductSprint Backlog'!$I138), AND('ProductSprint Backlog'!$J138=J$2,'ProductSprint Backlog'!$I138=J$2), 'ProductSprint Backlog'!$F138, TRUE, 0)</f>
        <v>0</v>
      </c>
      <c r="K138" s="4" cm="1">
        <f t="array" ref="K138">_xlfn.IFS('ProductSprint Backlog'!$F138="", "", AND('ProductSprint Backlog'!$J138&gt;K$2,'ProductSprint Backlog'!$I138&lt;=K$2), 'ProductSprint Backlog'!$F138 / MAX(1, 'ProductSprint Backlog'!$J138-'ProductSprint Backlog'!$I138), AND('ProductSprint Backlog'!$J138=K$2,'ProductSprint Backlog'!$I138=K$2), 'ProductSprint Backlog'!$F138, TRUE, 0)</f>
        <v>0</v>
      </c>
      <c r="L138" s="4" cm="1">
        <f t="array" ref="L138">_xlfn.IFS('ProductSprint Backlog'!$F138="", "", AND('ProductSprint Backlog'!$J138&gt;L$2,'ProductSprint Backlog'!$I138&lt;=L$2), 'ProductSprint Backlog'!$F138 / MAX(1, 'ProductSprint Backlog'!$J138-'ProductSprint Backlog'!$I138), AND('ProductSprint Backlog'!$J138=L$2,'ProductSprint Backlog'!$I138=L$2), 'ProductSprint Backlog'!$F138, TRUE, 0)</f>
        <v>0</v>
      </c>
      <c r="M138" s="4" cm="1">
        <f t="array" ref="M138">_xlfn.IFS('ProductSprint Backlog'!$F138="", "", AND('ProductSprint Backlog'!$J138&gt;M$2,'ProductSprint Backlog'!$I138&lt;=M$2), 'ProductSprint Backlog'!$F138 / MAX(1, 'ProductSprint Backlog'!$J138-'ProductSprint Backlog'!$I138), AND('ProductSprint Backlog'!$J138=M$2,'ProductSprint Backlog'!$I138=M$2), 'ProductSprint Backlog'!$F138, TRUE, 0)</f>
        <v>0</v>
      </c>
      <c r="N138" s="4" cm="1">
        <f t="array" ref="N138">_xlfn.IFS('ProductSprint Backlog'!$F138="", "", AND('ProductSprint Backlog'!$J138&gt;N$2,'ProductSprint Backlog'!$I138&lt;=N$2), 'ProductSprint Backlog'!$F138 / MAX(1, 'ProductSprint Backlog'!$J138-'ProductSprint Backlog'!$I138), AND('ProductSprint Backlog'!$J138=N$2,'ProductSprint Backlog'!$I138=N$2), 'ProductSprint Backlog'!$F138, TRUE, 0)</f>
        <v>0</v>
      </c>
      <c r="O138" s="4" cm="1">
        <f t="array" ref="O138">_xlfn.IFS('ProductSprint Backlog'!$F138="", "", AND('ProductSprint Backlog'!$J138&gt;O$2,'ProductSprint Backlog'!$I138&lt;=O$2), 'ProductSprint Backlog'!$F138 / MAX(1, 'ProductSprint Backlog'!$J138-'ProductSprint Backlog'!$I138), AND('ProductSprint Backlog'!$J138=O$2,'ProductSprint Backlog'!$I138=O$2), 'ProductSprint Backlog'!$F138, TRUE, 0)</f>
        <v>0</v>
      </c>
      <c r="P138" s="4" cm="1">
        <f t="array" ref="P138">_xlfn.IFS('ProductSprint Backlog'!$F138="", "", AND('ProductSprint Backlog'!$J138&gt;P$2,'ProductSprint Backlog'!$I138&lt;=P$2), 'ProductSprint Backlog'!$F138 / MAX(1, 'ProductSprint Backlog'!$J138-'ProductSprint Backlog'!$I138), AND('ProductSprint Backlog'!$J138=P$2,'ProductSprint Backlog'!$I138=P$2), 'ProductSprint Backlog'!$F138, TRUE, 0)</f>
        <v>0</v>
      </c>
      <c r="Q138" s="4" cm="1">
        <f t="array" ref="Q138">_xlfn.IFS('ProductSprint Backlog'!$F138="", "", AND('ProductSprint Backlog'!$J138&gt;Q$2,'ProductSprint Backlog'!$I138&lt;=Q$2), 'ProductSprint Backlog'!$F138 / MAX(1, 'ProductSprint Backlog'!$J138-'ProductSprint Backlog'!$I138), AND('ProductSprint Backlog'!$J138=Q$2,'ProductSprint Backlog'!$I138=Q$2), 'ProductSprint Backlog'!$F138, TRUE, 0)</f>
        <v>0</v>
      </c>
    </row>
    <row r="139" spans="2:17" x14ac:dyDescent="0.2">
      <c r="B139" s="4" cm="1">
        <f t="array" ref="B139">_xlfn.IFS('ProductSprint Backlog'!$F139="", "", AND('ProductSprint Backlog'!$J139&gt;B$2,'ProductSprint Backlog'!$I139&lt;=B$2), 'ProductSprint Backlog'!$F139 / MAX(1, 'ProductSprint Backlog'!$J139-'ProductSprint Backlog'!$I139), AND('ProductSprint Backlog'!$J139=B$2,'ProductSprint Backlog'!$I139=B$2), 'ProductSprint Backlog'!$F139, TRUE, 0)</f>
        <v>0</v>
      </c>
      <c r="C139" s="4" cm="1">
        <f t="array" ref="C139">_xlfn.IFS('ProductSprint Backlog'!$F139="", "", AND('ProductSprint Backlog'!$J139&gt;C$2,'ProductSprint Backlog'!$I139&lt;=C$2), 'ProductSprint Backlog'!$F139 / MAX(1, 'ProductSprint Backlog'!$J139-'ProductSprint Backlog'!$I139), AND('ProductSprint Backlog'!$J139=C$2,'ProductSprint Backlog'!$I139=C$2), 'ProductSprint Backlog'!$F139, TRUE, 0)</f>
        <v>0</v>
      </c>
      <c r="D139" s="4" cm="1">
        <f t="array" ref="D139">_xlfn.IFS('ProductSprint Backlog'!$F139="", "", AND('ProductSprint Backlog'!$J139&gt;D$2,'ProductSprint Backlog'!$I139&lt;=D$2), 'ProductSprint Backlog'!$F139 / MAX(1, 'ProductSprint Backlog'!$J139-'ProductSprint Backlog'!$I139), AND('ProductSprint Backlog'!$J139=D$2,'ProductSprint Backlog'!$I139=D$2), 'ProductSprint Backlog'!$F139, TRUE, 0)</f>
        <v>0</v>
      </c>
      <c r="E139" s="4" cm="1">
        <f t="array" ref="E139">_xlfn.IFS('ProductSprint Backlog'!$F139="", "", AND('ProductSprint Backlog'!$J139&gt;E$2,'ProductSprint Backlog'!$I139&lt;=E$2), 'ProductSprint Backlog'!$F139 / MAX(1, 'ProductSprint Backlog'!$J139-'ProductSprint Backlog'!$I139), AND('ProductSprint Backlog'!$J139=E$2,'ProductSprint Backlog'!$I139=E$2), 'ProductSprint Backlog'!$F139, TRUE, 0)</f>
        <v>0</v>
      </c>
      <c r="F139" s="4" cm="1">
        <f t="array" ref="F139">_xlfn.IFS('ProductSprint Backlog'!$F139="", "", AND('ProductSprint Backlog'!$J139&gt;F$2,'ProductSprint Backlog'!$I139&lt;=F$2), 'ProductSprint Backlog'!$F139 / MAX(1, 'ProductSprint Backlog'!$J139-'ProductSprint Backlog'!$I139), AND('ProductSprint Backlog'!$J139=F$2,'ProductSprint Backlog'!$I139=F$2), 'ProductSprint Backlog'!$F139, TRUE, 0)</f>
        <v>0</v>
      </c>
      <c r="G139" s="4" cm="1">
        <f t="array" ref="G139">_xlfn.IFS('ProductSprint Backlog'!$F139="", "", AND('ProductSprint Backlog'!$J139&gt;G$2,'ProductSprint Backlog'!$I139&lt;=G$2), 'ProductSprint Backlog'!$F139 / MAX(1, 'ProductSprint Backlog'!$J139-'ProductSprint Backlog'!$I139), AND('ProductSprint Backlog'!$J139=G$2,'ProductSprint Backlog'!$I139=G$2), 'ProductSprint Backlog'!$F139, TRUE, 0)</f>
        <v>0</v>
      </c>
      <c r="H139" s="4" cm="1">
        <f t="array" ref="H139">_xlfn.IFS('ProductSprint Backlog'!$F139="", "", AND('ProductSprint Backlog'!$J139&gt;H$2,'ProductSprint Backlog'!$I139&lt;=H$2), 'ProductSprint Backlog'!$F139 / MAX(1, 'ProductSprint Backlog'!$J139-'ProductSprint Backlog'!$I139), AND('ProductSprint Backlog'!$J139=H$2,'ProductSprint Backlog'!$I139=H$2), 'ProductSprint Backlog'!$F139, TRUE, 0)</f>
        <v>0</v>
      </c>
      <c r="I139" s="4" cm="1">
        <f t="array" ref="I139">_xlfn.IFS('ProductSprint Backlog'!$F139="", "", AND('ProductSprint Backlog'!$J139&gt;I$2,'ProductSprint Backlog'!$I139&lt;=I$2), 'ProductSprint Backlog'!$F139 / MAX(1, 'ProductSprint Backlog'!$J139-'ProductSprint Backlog'!$I139), AND('ProductSprint Backlog'!$J139=I$2,'ProductSprint Backlog'!$I139=I$2), 'ProductSprint Backlog'!$F139, TRUE, 0)</f>
        <v>0</v>
      </c>
      <c r="J139" s="4" cm="1">
        <f t="array" ref="J139">_xlfn.IFS('ProductSprint Backlog'!$F139="", "", AND('ProductSprint Backlog'!$J139&gt;J$2,'ProductSprint Backlog'!$I139&lt;=J$2), 'ProductSprint Backlog'!$F139 / MAX(1, 'ProductSprint Backlog'!$J139-'ProductSprint Backlog'!$I139), AND('ProductSprint Backlog'!$J139=J$2,'ProductSprint Backlog'!$I139=J$2), 'ProductSprint Backlog'!$F139, TRUE, 0)</f>
        <v>0</v>
      </c>
      <c r="K139" s="4" cm="1">
        <f t="array" ref="K139">_xlfn.IFS('ProductSprint Backlog'!$F139="", "", AND('ProductSprint Backlog'!$J139&gt;K$2,'ProductSprint Backlog'!$I139&lt;=K$2), 'ProductSprint Backlog'!$F139 / MAX(1, 'ProductSprint Backlog'!$J139-'ProductSprint Backlog'!$I139), AND('ProductSprint Backlog'!$J139=K$2,'ProductSprint Backlog'!$I139=K$2), 'ProductSprint Backlog'!$F139, TRUE, 0)</f>
        <v>0</v>
      </c>
      <c r="L139" s="4" cm="1">
        <f t="array" ref="L139">_xlfn.IFS('ProductSprint Backlog'!$F139="", "", AND('ProductSprint Backlog'!$J139&gt;L$2,'ProductSprint Backlog'!$I139&lt;=L$2), 'ProductSprint Backlog'!$F139 / MAX(1, 'ProductSprint Backlog'!$J139-'ProductSprint Backlog'!$I139), AND('ProductSprint Backlog'!$J139=L$2,'ProductSprint Backlog'!$I139=L$2), 'ProductSprint Backlog'!$F139, TRUE, 0)</f>
        <v>0</v>
      </c>
      <c r="M139" s="4" cm="1">
        <f t="array" ref="M139">_xlfn.IFS('ProductSprint Backlog'!$F139="", "", AND('ProductSprint Backlog'!$J139&gt;M$2,'ProductSprint Backlog'!$I139&lt;=M$2), 'ProductSprint Backlog'!$F139 / MAX(1, 'ProductSprint Backlog'!$J139-'ProductSprint Backlog'!$I139), AND('ProductSprint Backlog'!$J139=M$2,'ProductSprint Backlog'!$I139=M$2), 'ProductSprint Backlog'!$F139, TRUE, 0)</f>
        <v>0</v>
      </c>
      <c r="N139" s="4" cm="1">
        <f t="array" ref="N139">_xlfn.IFS('ProductSprint Backlog'!$F139="", "", AND('ProductSprint Backlog'!$J139&gt;N$2,'ProductSprint Backlog'!$I139&lt;=N$2), 'ProductSprint Backlog'!$F139 / MAX(1, 'ProductSprint Backlog'!$J139-'ProductSprint Backlog'!$I139), AND('ProductSprint Backlog'!$J139=N$2,'ProductSprint Backlog'!$I139=N$2), 'ProductSprint Backlog'!$F139, TRUE, 0)</f>
        <v>0</v>
      </c>
      <c r="O139" s="4" cm="1">
        <f t="array" ref="O139">_xlfn.IFS('ProductSprint Backlog'!$F139="", "", AND('ProductSprint Backlog'!$J139&gt;O$2,'ProductSprint Backlog'!$I139&lt;=O$2), 'ProductSprint Backlog'!$F139 / MAX(1, 'ProductSprint Backlog'!$J139-'ProductSprint Backlog'!$I139), AND('ProductSprint Backlog'!$J139=O$2,'ProductSprint Backlog'!$I139=O$2), 'ProductSprint Backlog'!$F139, TRUE, 0)</f>
        <v>0</v>
      </c>
      <c r="P139" s="4" cm="1">
        <f t="array" ref="P139">_xlfn.IFS('ProductSprint Backlog'!$F139="", "", AND('ProductSprint Backlog'!$J139&gt;P$2,'ProductSprint Backlog'!$I139&lt;=P$2), 'ProductSprint Backlog'!$F139 / MAX(1, 'ProductSprint Backlog'!$J139-'ProductSprint Backlog'!$I139), AND('ProductSprint Backlog'!$J139=P$2,'ProductSprint Backlog'!$I139=P$2), 'ProductSprint Backlog'!$F139, TRUE, 0)</f>
        <v>0</v>
      </c>
      <c r="Q139" s="4" cm="1">
        <f t="array" ref="Q139">_xlfn.IFS('ProductSprint Backlog'!$F139="", "", AND('ProductSprint Backlog'!$J139&gt;Q$2,'ProductSprint Backlog'!$I139&lt;=Q$2), 'ProductSprint Backlog'!$F139 / MAX(1, 'ProductSprint Backlog'!$J139-'ProductSprint Backlog'!$I139), AND('ProductSprint Backlog'!$J139=Q$2,'ProductSprint Backlog'!$I139=Q$2), 'ProductSprint Backlog'!$F139, TRUE, 0)</f>
        <v>0</v>
      </c>
    </row>
    <row r="140" spans="2:17" x14ac:dyDescent="0.2">
      <c r="B140" s="4" cm="1">
        <f t="array" ref="B140">_xlfn.IFS('ProductSprint Backlog'!$F140="", "", AND('ProductSprint Backlog'!$J140&gt;B$2,'ProductSprint Backlog'!$I140&lt;=B$2), 'ProductSprint Backlog'!$F140 / MAX(1, 'ProductSprint Backlog'!$J140-'ProductSprint Backlog'!$I140), AND('ProductSprint Backlog'!$J140=B$2,'ProductSprint Backlog'!$I140=B$2), 'ProductSprint Backlog'!$F140, TRUE, 0)</f>
        <v>0</v>
      </c>
      <c r="C140" s="4" cm="1">
        <f t="array" ref="C140">_xlfn.IFS('ProductSprint Backlog'!$F140="", "", AND('ProductSprint Backlog'!$J140&gt;C$2,'ProductSprint Backlog'!$I140&lt;=C$2), 'ProductSprint Backlog'!$F140 / MAX(1, 'ProductSprint Backlog'!$J140-'ProductSprint Backlog'!$I140), AND('ProductSprint Backlog'!$J140=C$2,'ProductSprint Backlog'!$I140=C$2), 'ProductSprint Backlog'!$F140, TRUE, 0)</f>
        <v>0</v>
      </c>
      <c r="D140" s="4" cm="1">
        <f t="array" ref="D140">_xlfn.IFS('ProductSprint Backlog'!$F140="", "", AND('ProductSprint Backlog'!$J140&gt;D$2,'ProductSprint Backlog'!$I140&lt;=D$2), 'ProductSprint Backlog'!$F140 / MAX(1, 'ProductSprint Backlog'!$J140-'ProductSprint Backlog'!$I140), AND('ProductSprint Backlog'!$J140=D$2,'ProductSprint Backlog'!$I140=D$2), 'ProductSprint Backlog'!$F140, TRUE, 0)</f>
        <v>0</v>
      </c>
      <c r="E140" s="4" cm="1">
        <f t="array" ref="E140">_xlfn.IFS('ProductSprint Backlog'!$F140="", "", AND('ProductSprint Backlog'!$J140&gt;E$2,'ProductSprint Backlog'!$I140&lt;=E$2), 'ProductSprint Backlog'!$F140 / MAX(1, 'ProductSprint Backlog'!$J140-'ProductSprint Backlog'!$I140), AND('ProductSprint Backlog'!$J140=E$2,'ProductSprint Backlog'!$I140=E$2), 'ProductSprint Backlog'!$F140, TRUE, 0)</f>
        <v>0</v>
      </c>
      <c r="F140" s="4" cm="1">
        <f t="array" ref="F140">_xlfn.IFS('ProductSprint Backlog'!$F140="", "", AND('ProductSprint Backlog'!$J140&gt;F$2,'ProductSprint Backlog'!$I140&lt;=F$2), 'ProductSprint Backlog'!$F140 / MAX(1, 'ProductSprint Backlog'!$J140-'ProductSprint Backlog'!$I140), AND('ProductSprint Backlog'!$J140=F$2,'ProductSprint Backlog'!$I140=F$2), 'ProductSprint Backlog'!$F140, TRUE, 0)</f>
        <v>0</v>
      </c>
      <c r="G140" s="4" cm="1">
        <f t="array" ref="G140">_xlfn.IFS('ProductSprint Backlog'!$F140="", "", AND('ProductSprint Backlog'!$J140&gt;G$2,'ProductSprint Backlog'!$I140&lt;=G$2), 'ProductSprint Backlog'!$F140 / MAX(1, 'ProductSprint Backlog'!$J140-'ProductSprint Backlog'!$I140), AND('ProductSprint Backlog'!$J140=G$2,'ProductSprint Backlog'!$I140=G$2), 'ProductSprint Backlog'!$F140, TRUE, 0)</f>
        <v>0</v>
      </c>
      <c r="H140" s="4" cm="1">
        <f t="array" ref="H140">_xlfn.IFS('ProductSprint Backlog'!$F140="", "", AND('ProductSprint Backlog'!$J140&gt;H$2,'ProductSprint Backlog'!$I140&lt;=H$2), 'ProductSprint Backlog'!$F140 / MAX(1, 'ProductSprint Backlog'!$J140-'ProductSprint Backlog'!$I140), AND('ProductSprint Backlog'!$J140=H$2,'ProductSprint Backlog'!$I140=H$2), 'ProductSprint Backlog'!$F140, TRUE, 0)</f>
        <v>0</v>
      </c>
      <c r="I140" s="4" cm="1">
        <f t="array" ref="I140">_xlfn.IFS('ProductSprint Backlog'!$F140="", "", AND('ProductSprint Backlog'!$J140&gt;I$2,'ProductSprint Backlog'!$I140&lt;=I$2), 'ProductSprint Backlog'!$F140 / MAX(1, 'ProductSprint Backlog'!$J140-'ProductSprint Backlog'!$I140), AND('ProductSprint Backlog'!$J140=I$2,'ProductSprint Backlog'!$I140=I$2), 'ProductSprint Backlog'!$F140, TRUE, 0)</f>
        <v>0</v>
      </c>
      <c r="J140" s="4" cm="1">
        <f t="array" ref="J140">_xlfn.IFS('ProductSprint Backlog'!$F140="", "", AND('ProductSprint Backlog'!$J140&gt;J$2,'ProductSprint Backlog'!$I140&lt;=J$2), 'ProductSprint Backlog'!$F140 / MAX(1, 'ProductSprint Backlog'!$J140-'ProductSprint Backlog'!$I140), AND('ProductSprint Backlog'!$J140=J$2,'ProductSprint Backlog'!$I140=J$2), 'ProductSprint Backlog'!$F140, TRUE, 0)</f>
        <v>0</v>
      </c>
      <c r="K140" s="4" cm="1">
        <f t="array" ref="K140">_xlfn.IFS('ProductSprint Backlog'!$F140="", "", AND('ProductSprint Backlog'!$J140&gt;K$2,'ProductSprint Backlog'!$I140&lt;=K$2), 'ProductSprint Backlog'!$F140 / MAX(1, 'ProductSprint Backlog'!$J140-'ProductSprint Backlog'!$I140), AND('ProductSprint Backlog'!$J140=K$2,'ProductSprint Backlog'!$I140=K$2), 'ProductSprint Backlog'!$F140, TRUE, 0)</f>
        <v>0</v>
      </c>
      <c r="L140" s="4" cm="1">
        <f t="array" ref="L140">_xlfn.IFS('ProductSprint Backlog'!$F140="", "", AND('ProductSprint Backlog'!$J140&gt;L$2,'ProductSprint Backlog'!$I140&lt;=L$2), 'ProductSprint Backlog'!$F140 / MAX(1, 'ProductSprint Backlog'!$J140-'ProductSprint Backlog'!$I140), AND('ProductSprint Backlog'!$J140=L$2,'ProductSprint Backlog'!$I140=L$2), 'ProductSprint Backlog'!$F140, TRUE, 0)</f>
        <v>0</v>
      </c>
      <c r="M140" s="4" cm="1">
        <f t="array" ref="M140">_xlfn.IFS('ProductSprint Backlog'!$F140="", "", AND('ProductSprint Backlog'!$J140&gt;M$2,'ProductSprint Backlog'!$I140&lt;=M$2), 'ProductSprint Backlog'!$F140 / MAX(1, 'ProductSprint Backlog'!$J140-'ProductSprint Backlog'!$I140), AND('ProductSprint Backlog'!$J140=M$2,'ProductSprint Backlog'!$I140=M$2), 'ProductSprint Backlog'!$F140, TRUE, 0)</f>
        <v>0</v>
      </c>
      <c r="N140" s="4" cm="1">
        <f t="array" ref="N140">_xlfn.IFS('ProductSprint Backlog'!$F140="", "", AND('ProductSprint Backlog'!$J140&gt;N$2,'ProductSprint Backlog'!$I140&lt;=N$2), 'ProductSprint Backlog'!$F140 / MAX(1, 'ProductSprint Backlog'!$J140-'ProductSprint Backlog'!$I140), AND('ProductSprint Backlog'!$J140=N$2,'ProductSprint Backlog'!$I140=N$2), 'ProductSprint Backlog'!$F140, TRUE, 0)</f>
        <v>0</v>
      </c>
      <c r="O140" s="4" cm="1">
        <f t="array" ref="O140">_xlfn.IFS('ProductSprint Backlog'!$F140="", "", AND('ProductSprint Backlog'!$J140&gt;O$2,'ProductSprint Backlog'!$I140&lt;=O$2), 'ProductSprint Backlog'!$F140 / MAX(1, 'ProductSprint Backlog'!$J140-'ProductSprint Backlog'!$I140), AND('ProductSprint Backlog'!$J140=O$2,'ProductSprint Backlog'!$I140=O$2), 'ProductSprint Backlog'!$F140, TRUE, 0)</f>
        <v>0</v>
      </c>
      <c r="P140" s="4" cm="1">
        <f t="array" ref="P140">_xlfn.IFS('ProductSprint Backlog'!$F140="", "", AND('ProductSprint Backlog'!$J140&gt;P$2,'ProductSprint Backlog'!$I140&lt;=P$2), 'ProductSprint Backlog'!$F140 / MAX(1, 'ProductSprint Backlog'!$J140-'ProductSprint Backlog'!$I140), AND('ProductSprint Backlog'!$J140=P$2,'ProductSprint Backlog'!$I140=P$2), 'ProductSprint Backlog'!$F140, TRUE, 0)</f>
        <v>0</v>
      </c>
      <c r="Q140" s="4" cm="1">
        <f t="array" ref="Q140">_xlfn.IFS('ProductSprint Backlog'!$F140="", "", AND('ProductSprint Backlog'!$J140&gt;Q$2,'ProductSprint Backlog'!$I140&lt;=Q$2), 'ProductSprint Backlog'!$F140 / MAX(1, 'ProductSprint Backlog'!$J140-'ProductSprint Backlog'!$I140), AND('ProductSprint Backlog'!$J140=Q$2,'ProductSprint Backlog'!$I140=Q$2), 'ProductSprint Backlog'!$F140, TRUE, 0)</f>
        <v>0</v>
      </c>
    </row>
    <row r="141" spans="2:17" x14ac:dyDescent="0.2">
      <c r="B141" s="4" cm="1">
        <f t="array" ref="B141">_xlfn.IFS('ProductSprint Backlog'!$F141="", "", AND('ProductSprint Backlog'!$J141&gt;B$2,'ProductSprint Backlog'!$I141&lt;=B$2), 'ProductSprint Backlog'!$F141 / MAX(1, 'ProductSprint Backlog'!$J141-'ProductSprint Backlog'!$I141), AND('ProductSprint Backlog'!$J141=B$2,'ProductSprint Backlog'!$I141=B$2), 'ProductSprint Backlog'!$F141, TRUE, 0)</f>
        <v>0</v>
      </c>
      <c r="C141" s="4" cm="1">
        <f t="array" ref="C141">_xlfn.IFS('ProductSprint Backlog'!$F141="", "", AND('ProductSprint Backlog'!$J141&gt;C$2,'ProductSprint Backlog'!$I141&lt;=C$2), 'ProductSprint Backlog'!$F141 / MAX(1, 'ProductSprint Backlog'!$J141-'ProductSprint Backlog'!$I141), AND('ProductSprint Backlog'!$J141=C$2,'ProductSprint Backlog'!$I141=C$2), 'ProductSprint Backlog'!$F141, TRUE, 0)</f>
        <v>0</v>
      </c>
      <c r="D141" s="4" cm="1">
        <f t="array" ref="D141">_xlfn.IFS('ProductSprint Backlog'!$F141="", "", AND('ProductSprint Backlog'!$J141&gt;D$2,'ProductSprint Backlog'!$I141&lt;=D$2), 'ProductSprint Backlog'!$F141 / MAX(1, 'ProductSprint Backlog'!$J141-'ProductSprint Backlog'!$I141), AND('ProductSprint Backlog'!$J141=D$2,'ProductSprint Backlog'!$I141=D$2), 'ProductSprint Backlog'!$F141, TRUE, 0)</f>
        <v>0</v>
      </c>
      <c r="E141" s="4" cm="1">
        <f t="array" ref="E141">_xlfn.IFS('ProductSprint Backlog'!$F141="", "", AND('ProductSprint Backlog'!$J141&gt;E$2,'ProductSprint Backlog'!$I141&lt;=E$2), 'ProductSprint Backlog'!$F141 / MAX(1, 'ProductSprint Backlog'!$J141-'ProductSprint Backlog'!$I141), AND('ProductSprint Backlog'!$J141=E$2,'ProductSprint Backlog'!$I141=E$2), 'ProductSprint Backlog'!$F141, TRUE, 0)</f>
        <v>0</v>
      </c>
      <c r="F141" s="4" cm="1">
        <f t="array" ref="F141">_xlfn.IFS('ProductSprint Backlog'!$F141="", "", AND('ProductSprint Backlog'!$J141&gt;F$2,'ProductSprint Backlog'!$I141&lt;=F$2), 'ProductSprint Backlog'!$F141 / MAX(1, 'ProductSprint Backlog'!$J141-'ProductSprint Backlog'!$I141), AND('ProductSprint Backlog'!$J141=F$2,'ProductSprint Backlog'!$I141=F$2), 'ProductSprint Backlog'!$F141, TRUE, 0)</f>
        <v>0</v>
      </c>
      <c r="G141" s="4" cm="1">
        <f t="array" ref="G141">_xlfn.IFS('ProductSprint Backlog'!$F141="", "", AND('ProductSprint Backlog'!$J141&gt;G$2,'ProductSprint Backlog'!$I141&lt;=G$2), 'ProductSprint Backlog'!$F141 / MAX(1, 'ProductSprint Backlog'!$J141-'ProductSprint Backlog'!$I141), AND('ProductSprint Backlog'!$J141=G$2,'ProductSprint Backlog'!$I141=G$2), 'ProductSprint Backlog'!$F141, TRUE, 0)</f>
        <v>0</v>
      </c>
      <c r="H141" s="4" cm="1">
        <f t="array" ref="H141">_xlfn.IFS('ProductSprint Backlog'!$F141="", "", AND('ProductSprint Backlog'!$J141&gt;H$2,'ProductSprint Backlog'!$I141&lt;=H$2), 'ProductSprint Backlog'!$F141 / MAX(1, 'ProductSprint Backlog'!$J141-'ProductSprint Backlog'!$I141), AND('ProductSprint Backlog'!$J141=H$2,'ProductSprint Backlog'!$I141=H$2), 'ProductSprint Backlog'!$F141, TRUE, 0)</f>
        <v>0</v>
      </c>
      <c r="I141" s="4" cm="1">
        <f t="array" ref="I141">_xlfn.IFS('ProductSprint Backlog'!$F141="", "", AND('ProductSprint Backlog'!$J141&gt;I$2,'ProductSprint Backlog'!$I141&lt;=I$2), 'ProductSprint Backlog'!$F141 / MAX(1, 'ProductSprint Backlog'!$J141-'ProductSprint Backlog'!$I141), AND('ProductSprint Backlog'!$J141=I$2,'ProductSprint Backlog'!$I141=I$2), 'ProductSprint Backlog'!$F141, TRUE, 0)</f>
        <v>0</v>
      </c>
      <c r="J141" s="4" cm="1">
        <f t="array" ref="J141">_xlfn.IFS('ProductSprint Backlog'!$F141="", "", AND('ProductSprint Backlog'!$J141&gt;J$2,'ProductSprint Backlog'!$I141&lt;=J$2), 'ProductSprint Backlog'!$F141 / MAX(1, 'ProductSprint Backlog'!$J141-'ProductSprint Backlog'!$I141), AND('ProductSprint Backlog'!$J141=J$2,'ProductSprint Backlog'!$I141=J$2), 'ProductSprint Backlog'!$F141, TRUE, 0)</f>
        <v>0</v>
      </c>
      <c r="K141" s="4" cm="1">
        <f t="array" ref="K141">_xlfn.IFS('ProductSprint Backlog'!$F141="", "", AND('ProductSprint Backlog'!$J141&gt;K$2,'ProductSprint Backlog'!$I141&lt;=K$2), 'ProductSprint Backlog'!$F141 / MAX(1, 'ProductSprint Backlog'!$J141-'ProductSprint Backlog'!$I141), AND('ProductSprint Backlog'!$J141=K$2,'ProductSprint Backlog'!$I141=K$2), 'ProductSprint Backlog'!$F141, TRUE, 0)</f>
        <v>0</v>
      </c>
      <c r="L141" s="4" cm="1">
        <f t="array" ref="L141">_xlfn.IFS('ProductSprint Backlog'!$F141="", "", AND('ProductSprint Backlog'!$J141&gt;L$2,'ProductSprint Backlog'!$I141&lt;=L$2), 'ProductSprint Backlog'!$F141 / MAX(1, 'ProductSprint Backlog'!$J141-'ProductSprint Backlog'!$I141), AND('ProductSprint Backlog'!$J141=L$2,'ProductSprint Backlog'!$I141=L$2), 'ProductSprint Backlog'!$F141, TRUE, 0)</f>
        <v>0</v>
      </c>
      <c r="M141" s="4" cm="1">
        <f t="array" ref="M141">_xlfn.IFS('ProductSprint Backlog'!$F141="", "", AND('ProductSprint Backlog'!$J141&gt;M$2,'ProductSprint Backlog'!$I141&lt;=M$2), 'ProductSprint Backlog'!$F141 / MAX(1, 'ProductSprint Backlog'!$J141-'ProductSprint Backlog'!$I141), AND('ProductSprint Backlog'!$J141=M$2,'ProductSprint Backlog'!$I141=M$2), 'ProductSprint Backlog'!$F141, TRUE, 0)</f>
        <v>0</v>
      </c>
      <c r="N141" s="4" cm="1">
        <f t="array" ref="N141">_xlfn.IFS('ProductSprint Backlog'!$F141="", "", AND('ProductSprint Backlog'!$J141&gt;N$2,'ProductSprint Backlog'!$I141&lt;=N$2), 'ProductSprint Backlog'!$F141 / MAX(1, 'ProductSprint Backlog'!$J141-'ProductSprint Backlog'!$I141), AND('ProductSprint Backlog'!$J141=N$2,'ProductSprint Backlog'!$I141=N$2), 'ProductSprint Backlog'!$F141, TRUE, 0)</f>
        <v>0</v>
      </c>
      <c r="O141" s="4" cm="1">
        <f t="array" ref="O141">_xlfn.IFS('ProductSprint Backlog'!$F141="", "", AND('ProductSprint Backlog'!$J141&gt;O$2,'ProductSprint Backlog'!$I141&lt;=O$2), 'ProductSprint Backlog'!$F141 / MAX(1, 'ProductSprint Backlog'!$J141-'ProductSprint Backlog'!$I141), AND('ProductSprint Backlog'!$J141=O$2,'ProductSprint Backlog'!$I141=O$2), 'ProductSprint Backlog'!$F141, TRUE, 0)</f>
        <v>0</v>
      </c>
      <c r="P141" s="4" cm="1">
        <f t="array" ref="P141">_xlfn.IFS('ProductSprint Backlog'!$F141="", "", AND('ProductSprint Backlog'!$J141&gt;P$2,'ProductSprint Backlog'!$I141&lt;=P$2), 'ProductSprint Backlog'!$F141 / MAX(1, 'ProductSprint Backlog'!$J141-'ProductSprint Backlog'!$I141), AND('ProductSprint Backlog'!$J141=P$2,'ProductSprint Backlog'!$I141=P$2), 'ProductSprint Backlog'!$F141, TRUE, 0)</f>
        <v>0</v>
      </c>
      <c r="Q141" s="4" cm="1">
        <f t="array" ref="Q141">_xlfn.IFS('ProductSprint Backlog'!$F141="", "", AND('ProductSprint Backlog'!$J141&gt;Q$2,'ProductSprint Backlog'!$I141&lt;=Q$2), 'ProductSprint Backlog'!$F141 / MAX(1, 'ProductSprint Backlog'!$J141-'ProductSprint Backlog'!$I141), AND('ProductSprint Backlog'!$J141=Q$2,'ProductSprint Backlog'!$I141=Q$2), 'ProductSprint Backlog'!$F141, TRUE, 0)</f>
        <v>0</v>
      </c>
    </row>
    <row r="142" spans="2:17" x14ac:dyDescent="0.2">
      <c r="B142" s="4" cm="1">
        <f t="array" ref="B142">_xlfn.IFS('ProductSprint Backlog'!$F142="", "", AND('ProductSprint Backlog'!$J142&gt;B$2,'ProductSprint Backlog'!$I142&lt;=B$2), 'ProductSprint Backlog'!$F142 / MAX(1, 'ProductSprint Backlog'!$J142-'ProductSprint Backlog'!$I142), AND('ProductSprint Backlog'!$J142=B$2,'ProductSprint Backlog'!$I142=B$2), 'ProductSprint Backlog'!$F142, TRUE, 0)</f>
        <v>0</v>
      </c>
      <c r="C142" s="4" cm="1">
        <f t="array" ref="C142">_xlfn.IFS('ProductSprint Backlog'!$F142="", "", AND('ProductSprint Backlog'!$J142&gt;C$2,'ProductSprint Backlog'!$I142&lt;=C$2), 'ProductSprint Backlog'!$F142 / MAX(1, 'ProductSprint Backlog'!$J142-'ProductSprint Backlog'!$I142), AND('ProductSprint Backlog'!$J142=C$2,'ProductSprint Backlog'!$I142=C$2), 'ProductSprint Backlog'!$F142, TRUE, 0)</f>
        <v>0</v>
      </c>
      <c r="D142" s="4" cm="1">
        <f t="array" ref="D142">_xlfn.IFS('ProductSprint Backlog'!$F142="", "", AND('ProductSprint Backlog'!$J142&gt;D$2,'ProductSprint Backlog'!$I142&lt;=D$2), 'ProductSprint Backlog'!$F142 / MAX(1, 'ProductSprint Backlog'!$J142-'ProductSprint Backlog'!$I142), AND('ProductSprint Backlog'!$J142=D$2,'ProductSprint Backlog'!$I142=D$2), 'ProductSprint Backlog'!$F142, TRUE, 0)</f>
        <v>0</v>
      </c>
      <c r="E142" s="4" cm="1">
        <f t="array" ref="E142">_xlfn.IFS('ProductSprint Backlog'!$F142="", "", AND('ProductSprint Backlog'!$J142&gt;E$2,'ProductSprint Backlog'!$I142&lt;=E$2), 'ProductSprint Backlog'!$F142 / MAX(1, 'ProductSprint Backlog'!$J142-'ProductSprint Backlog'!$I142), AND('ProductSprint Backlog'!$J142=E$2,'ProductSprint Backlog'!$I142=E$2), 'ProductSprint Backlog'!$F142, TRUE, 0)</f>
        <v>0</v>
      </c>
      <c r="F142" s="4" cm="1">
        <f t="array" ref="F142">_xlfn.IFS('ProductSprint Backlog'!$F142="", "", AND('ProductSprint Backlog'!$J142&gt;F$2,'ProductSprint Backlog'!$I142&lt;=F$2), 'ProductSprint Backlog'!$F142 / MAX(1, 'ProductSprint Backlog'!$J142-'ProductSprint Backlog'!$I142), AND('ProductSprint Backlog'!$J142=F$2,'ProductSprint Backlog'!$I142=F$2), 'ProductSprint Backlog'!$F142, TRUE, 0)</f>
        <v>0</v>
      </c>
      <c r="G142" s="4" cm="1">
        <f t="array" ref="G142">_xlfn.IFS('ProductSprint Backlog'!$F142="", "", AND('ProductSprint Backlog'!$J142&gt;G$2,'ProductSprint Backlog'!$I142&lt;=G$2), 'ProductSprint Backlog'!$F142 / MAX(1, 'ProductSprint Backlog'!$J142-'ProductSprint Backlog'!$I142), AND('ProductSprint Backlog'!$J142=G$2,'ProductSprint Backlog'!$I142=G$2), 'ProductSprint Backlog'!$F142, TRUE, 0)</f>
        <v>0</v>
      </c>
      <c r="H142" s="4" cm="1">
        <f t="array" ref="H142">_xlfn.IFS('ProductSprint Backlog'!$F142="", "", AND('ProductSprint Backlog'!$J142&gt;H$2,'ProductSprint Backlog'!$I142&lt;=H$2), 'ProductSprint Backlog'!$F142 / MAX(1, 'ProductSprint Backlog'!$J142-'ProductSprint Backlog'!$I142), AND('ProductSprint Backlog'!$J142=H$2,'ProductSprint Backlog'!$I142=H$2), 'ProductSprint Backlog'!$F142, TRUE, 0)</f>
        <v>0</v>
      </c>
      <c r="I142" s="4" cm="1">
        <f t="array" ref="I142">_xlfn.IFS('ProductSprint Backlog'!$F142="", "", AND('ProductSprint Backlog'!$J142&gt;I$2,'ProductSprint Backlog'!$I142&lt;=I$2), 'ProductSprint Backlog'!$F142 / MAX(1, 'ProductSprint Backlog'!$J142-'ProductSprint Backlog'!$I142), AND('ProductSprint Backlog'!$J142=I$2,'ProductSprint Backlog'!$I142=I$2), 'ProductSprint Backlog'!$F142, TRUE, 0)</f>
        <v>0</v>
      </c>
      <c r="J142" s="4" cm="1">
        <f t="array" ref="J142">_xlfn.IFS('ProductSprint Backlog'!$F142="", "", AND('ProductSprint Backlog'!$J142&gt;J$2,'ProductSprint Backlog'!$I142&lt;=J$2), 'ProductSprint Backlog'!$F142 / MAX(1, 'ProductSprint Backlog'!$J142-'ProductSprint Backlog'!$I142), AND('ProductSprint Backlog'!$J142=J$2,'ProductSprint Backlog'!$I142=J$2), 'ProductSprint Backlog'!$F142, TRUE, 0)</f>
        <v>0</v>
      </c>
      <c r="K142" s="4" cm="1">
        <f t="array" ref="K142">_xlfn.IFS('ProductSprint Backlog'!$F142="", "", AND('ProductSprint Backlog'!$J142&gt;K$2,'ProductSprint Backlog'!$I142&lt;=K$2), 'ProductSprint Backlog'!$F142 / MAX(1, 'ProductSprint Backlog'!$J142-'ProductSprint Backlog'!$I142), AND('ProductSprint Backlog'!$J142=K$2,'ProductSprint Backlog'!$I142=K$2), 'ProductSprint Backlog'!$F142, TRUE, 0)</f>
        <v>0</v>
      </c>
      <c r="L142" s="4" cm="1">
        <f t="array" ref="L142">_xlfn.IFS('ProductSprint Backlog'!$F142="", "", AND('ProductSprint Backlog'!$J142&gt;L$2,'ProductSprint Backlog'!$I142&lt;=L$2), 'ProductSprint Backlog'!$F142 / MAX(1, 'ProductSprint Backlog'!$J142-'ProductSprint Backlog'!$I142), AND('ProductSprint Backlog'!$J142=L$2,'ProductSprint Backlog'!$I142=L$2), 'ProductSprint Backlog'!$F142, TRUE, 0)</f>
        <v>0</v>
      </c>
      <c r="M142" s="4" cm="1">
        <f t="array" ref="M142">_xlfn.IFS('ProductSprint Backlog'!$F142="", "", AND('ProductSprint Backlog'!$J142&gt;M$2,'ProductSprint Backlog'!$I142&lt;=M$2), 'ProductSprint Backlog'!$F142 / MAX(1, 'ProductSprint Backlog'!$J142-'ProductSprint Backlog'!$I142), AND('ProductSprint Backlog'!$J142=M$2,'ProductSprint Backlog'!$I142=M$2), 'ProductSprint Backlog'!$F142, TRUE, 0)</f>
        <v>0</v>
      </c>
      <c r="N142" s="4" cm="1">
        <f t="array" ref="N142">_xlfn.IFS('ProductSprint Backlog'!$F142="", "", AND('ProductSprint Backlog'!$J142&gt;N$2,'ProductSprint Backlog'!$I142&lt;=N$2), 'ProductSprint Backlog'!$F142 / MAX(1, 'ProductSprint Backlog'!$J142-'ProductSprint Backlog'!$I142), AND('ProductSprint Backlog'!$J142=N$2,'ProductSprint Backlog'!$I142=N$2), 'ProductSprint Backlog'!$F142, TRUE, 0)</f>
        <v>0</v>
      </c>
      <c r="O142" s="4" cm="1">
        <f t="array" ref="O142">_xlfn.IFS('ProductSprint Backlog'!$F142="", "", AND('ProductSprint Backlog'!$J142&gt;O$2,'ProductSprint Backlog'!$I142&lt;=O$2), 'ProductSprint Backlog'!$F142 / MAX(1, 'ProductSprint Backlog'!$J142-'ProductSprint Backlog'!$I142), AND('ProductSprint Backlog'!$J142=O$2,'ProductSprint Backlog'!$I142=O$2), 'ProductSprint Backlog'!$F142, TRUE, 0)</f>
        <v>0</v>
      </c>
      <c r="P142" s="4" cm="1">
        <f t="array" ref="P142">_xlfn.IFS('ProductSprint Backlog'!$F142="", "", AND('ProductSprint Backlog'!$J142&gt;P$2,'ProductSprint Backlog'!$I142&lt;=P$2), 'ProductSprint Backlog'!$F142 / MAX(1, 'ProductSprint Backlog'!$J142-'ProductSprint Backlog'!$I142), AND('ProductSprint Backlog'!$J142=P$2,'ProductSprint Backlog'!$I142=P$2), 'ProductSprint Backlog'!$F142, TRUE, 0)</f>
        <v>0</v>
      </c>
      <c r="Q142" s="4" cm="1">
        <f t="array" ref="Q142">_xlfn.IFS('ProductSprint Backlog'!$F142="", "", AND('ProductSprint Backlog'!$J142&gt;Q$2,'ProductSprint Backlog'!$I142&lt;=Q$2), 'ProductSprint Backlog'!$F142 / MAX(1, 'ProductSprint Backlog'!$J142-'ProductSprint Backlog'!$I142), AND('ProductSprint Backlog'!$J142=Q$2,'ProductSprint Backlog'!$I142=Q$2), 'ProductSprint Backlog'!$F142, TRUE, 0)</f>
        <v>0</v>
      </c>
    </row>
    <row r="143" spans="2:17" x14ac:dyDescent="0.2">
      <c r="B143" s="4" cm="1">
        <f t="array" ref="B143">_xlfn.IFS('ProductSprint Backlog'!$F143="", "", AND('ProductSprint Backlog'!$J143&gt;B$2,'ProductSprint Backlog'!$I143&lt;=B$2), 'ProductSprint Backlog'!$F143 / MAX(1, 'ProductSprint Backlog'!$J143-'ProductSprint Backlog'!$I143), AND('ProductSprint Backlog'!$J143=B$2,'ProductSprint Backlog'!$I143=B$2), 'ProductSprint Backlog'!$F143, TRUE, 0)</f>
        <v>0</v>
      </c>
      <c r="C143" s="4" cm="1">
        <f t="array" ref="C143">_xlfn.IFS('ProductSprint Backlog'!$F143="", "", AND('ProductSprint Backlog'!$J143&gt;C$2,'ProductSprint Backlog'!$I143&lt;=C$2), 'ProductSprint Backlog'!$F143 / MAX(1, 'ProductSprint Backlog'!$J143-'ProductSprint Backlog'!$I143), AND('ProductSprint Backlog'!$J143=C$2,'ProductSprint Backlog'!$I143=C$2), 'ProductSprint Backlog'!$F143, TRUE, 0)</f>
        <v>0</v>
      </c>
      <c r="D143" s="4" cm="1">
        <f t="array" ref="D143">_xlfn.IFS('ProductSprint Backlog'!$F143="", "", AND('ProductSprint Backlog'!$J143&gt;D$2,'ProductSprint Backlog'!$I143&lt;=D$2), 'ProductSprint Backlog'!$F143 / MAX(1, 'ProductSprint Backlog'!$J143-'ProductSprint Backlog'!$I143), AND('ProductSprint Backlog'!$J143=D$2,'ProductSprint Backlog'!$I143=D$2), 'ProductSprint Backlog'!$F143, TRUE, 0)</f>
        <v>0</v>
      </c>
      <c r="E143" s="4" cm="1">
        <f t="array" ref="E143">_xlfn.IFS('ProductSprint Backlog'!$F143="", "", AND('ProductSprint Backlog'!$J143&gt;E$2,'ProductSprint Backlog'!$I143&lt;=E$2), 'ProductSprint Backlog'!$F143 / MAX(1, 'ProductSprint Backlog'!$J143-'ProductSprint Backlog'!$I143), AND('ProductSprint Backlog'!$J143=E$2,'ProductSprint Backlog'!$I143=E$2), 'ProductSprint Backlog'!$F143, TRUE, 0)</f>
        <v>0</v>
      </c>
      <c r="F143" s="4" cm="1">
        <f t="array" ref="F143">_xlfn.IFS('ProductSprint Backlog'!$F143="", "", AND('ProductSprint Backlog'!$J143&gt;F$2,'ProductSprint Backlog'!$I143&lt;=F$2), 'ProductSprint Backlog'!$F143 / MAX(1, 'ProductSprint Backlog'!$J143-'ProductSprint Backlog'!$I143), AND('ProductSprint Backlog'!$J143=F$2,'ProductSprint Backlog'!$I143=F$2), 'ProductSprint Backlog'!$F143, TRUE, 0)</f>
        <v>0</v>
      </c>
      <c r="G143" s="4" cm="1">
        <f t="array" ref="G143">_xlfn.IFS('ProductSprint Backlog'!$F143="", "", AND('ProductSprint Backlog'!$J143&gt;G$2,'ProductSprint Backlog'!$I143&lt;=G$2), 'ProductSprint Backlog'!$F143 / MAX(1, 'ProductSprint Backlog'!$J143-'ProductSprint Backlog'!$I143), AND('ProductSprint Backlog'!$J143=G$2,'ProductSprint Backlog'!$I143=G$2), 'ProductSprint Backlog'!$F143, TRUE, 0)</f>
        <v>0</v>
      </c>
      <c r="H143" s="4" cm="1">
        <f t="array" ref="H143">_xlfn.IFS('ProductSprint Backlog'!$F143="", "", AND('ProductSprint Backlog'!$J143&gt;H$2,'ProductSprint Backlog'!$I143&lt;=H$2), 'ProductSprint Backlog'!$F143 / MAX(1, 'ProductSprint Backlog'!$J143-'ProductSprint Backlog'!$I143), AND('ProductSprint Backlog'!$J143=H$2,'ProductSprint Backlog'!$I143=H$2), 'ProductSprint Backlog'!$F143, TRUE, 0)</f>
        <v>0</v>
      </c>
      <c r="I143" s="4" cm="1">
        <f t="array" ref="I143">_xlfn.IFS('ProductSprint Backlog'!$F143="", "", AND('ProductSprint Backlog'!$J143&gt;I$2,'ProductSprint Backlog'!$I143&lt;=I$2), 'ProductSprint Backlog'!$F143 / MAX(1, 'ProductSprint Backlog'!$J143-'ProductSprint Backlog'!$I143), AND('ProductSprint Backlog'!$J143=I$2,'ProductSprint Backlog'!$I143=I$2), 'ProductSprint Backlog'!$F143, TRUE, 0)</f>
        <v>0</v>
      </c>
      <c r="J143" s="4" cm="1">
        <f t="array" ref="J143">_xlfn.IFS('ProductSprint Backlog'!$F143="", "", AND('ProductSprint Backlog'!$J143&gt;J$2,'ProductSprint Backlog'!$I143&lt;=J$2), 'ProductSprint Backlog'!$F143 / MAX(1, 'ProductSprint Backlog'!$J143-'ProductSprint Backlog'!$I143), AND('ProductSprint Backlog'!$J143=J$2,'ProductSprint Backlog'!$I143=J$2), 'ProductSprint Backlog'!$F143, TRUE, 0)</f>
        <v>0</v>
      </c>
      <c r="K143" s="4" cm="1">
        <f t="array" ref="K143">_xlfn.IFS('ProductSprint Backlog'!$F143="", "", AND('ProductSprint Backlog'!$J143&gt;K$2,'ProductSprint Backlog'!$I143&lt;=K$2), 'ProductSprint Backlog'!$F143 / MAX(1, 'ProductSprint Backlog'!$J143-'ProductSprint Backlog'!$I143), AND('ProductSprint Backlog'!$J143=K$2,'ProductSprint Backlog'!$I143=K$2), 'ProductSprint Backlog'!$F143, TRUE, 0)</f>
        <v>0</v>
      </c>
      <c r="L143" s="4" cm="1">
        <f t="array" ref="L143">_xlfn.IFS('ProductSprint Backlog'!$F143="", "", AND('ProductSprint Backlog'!$J143&gt;L$2,'ProductSprint Backlog'!$I143&lt;=L$2), 'ProductSprint Backlog'!$F143 / MAX(1, 'ProductSprint Backlog'!$J143-'ProductSprint Backlog'!$I143), AND('ProductSprint Backlog'!$J143=L$2,'ProductSprint Backlog'!$I143=L$2), 'ProductSprint Backlog'!$F143, TRUE, 0)</f>
        <v>0</v>
      </c>
      <c r="M143" s="4" cm="1">
        <f t="array" ref="M143">_xlfn.IFS('ProductSprint Backlog'!$F143="", "", AND('ProductSprint Backlog'!$J143&gt;M$2,'ProductSprint Backlog'!$I143&lt;=M$2), 'ProductSprint Backlog'!$F143 / MAX(1, 'ProductSprint Backlog'!$J143-'ProductSprint Backlog'!$I143), AND('ProductSprint Backlog'!$J143=M$2,'ProductSprint Backlog'!$I143=M$2), 'ProductSprint Backlog'!$F143, TRUE, 0)</f>
        <v>0</v>
      </c>
      <c r="N143" s="4" cm="1">
        <f t="array" ref="N143">_xlfn.IFS('ProductSprint Backlog'!$F143="", "", AND('ProductSprint Backlog'!$J143&gt;N$2,'ProductSprint Backlog'!$I143&lt;=N$2), 'ProductSprint Backlog'!$F143 / MAX(1, 'ProductSprint Backlog'!$J143-'ProductSprint Backlog'!$I143), AND('ProductSprint Backlog'!$J143=N$2,'ProductSprint Backlog'!$I143=N$2), 'ProductSprint Backlog'!$F143, TRUE, 0)</f>
        <v>0</v>
      </c>
      <c r="O143" s="4" cm="1">
        <f t="array" ref="O143">_xlfn.IFS('ProductSprint Backlog'!$F143="", "", AND('ProductSprint Backlog'!$J143&gt;O$2,'ProductSprint Backlog'!$I143&lt;=O$2), 'ProductSprint Backlog'!$F143 / MAX(1, 'ProductSprint Backlog'!$J143-'ProductSprint Backlog'!$I143), AND('ProductSprint Backlog'!$J143=O$2,'ProductSprint Backlog'!$I143=O$2), 'ProductSprint Backlog'!$F143, TRUE, 0)</f>
        <v>0</v>
      </c>
      <c r="P143" s="4" cm="1">
        <f t="array" ref="P143">_xlfn.IFS('ProductSprint Backlog'!$F143="", "", AND('ProductSprint Backlog'!$J143&gt;P$2,'ProductSprint Backlog'!$I143&lt;=P$2), 'ProductSprint Backlog'!$F143 / MAX(1, 'ProductSprint Backlog'!$J143-'ProductSprint Backlog'!$I143), AND('ProductSprint Backlog'!$J143=P$2,'ProductSprint Backlog'!$I143=P$2), 'ProductSprint Backlog'!$F143, TRUE, 0)</f>
        <v>0</v>
      </c>
      <c r="Q143" s="4" cm="1">
        <f t="array" ref="Q143">_xlfn.IFS('ProductSprint Backlog'!$F143="", "", AND('ProductSprint Backlog'!$J143&gt;Q$2,'ProductSprint Backlog'!$I143&lt;=Q$2), 'ProductSprint Backlog'!$F143 / MAX(1, 'ProductSprint Backlog'!$J143-'ProductSprint Backlog'!$I143), AND('ProductSprint Backlog'!$J143=Q$2,'ProductSprint Backlog'!$I143=Q$2), 'ProductSprint Backlog'!$F143, TRUE, 0)</f>
        <v>0</v>
      </c>
    </row>
    <row r="144" spans="2:17" x14ac:dyDescent="0.2">
      <c r="B144" s="4" cm="1">
        <f t="array" ref="B144">_xlfn.IFS('ProductSprint Backlog'!$F144="", "", AND('ProductSprint Backlog'!$J144&gt;B$2,'ProductSprint Backlog'!$I144&lt;=B$2), 'ProductSprint Backlog'!$F144 / MAX(1, 'ProductSprint Backlog'!$J144-'ProductSprint Backlog'!$I144), AND('ProductSprint Backlog'!$J144=B$2,'ProductSprint Backlog'!$I144=B$2), 'ProductSprint Backlog'!$F144, TRUE, 0)</f>
        <v>0</v>
      </c>
      <c r="C144" s="4" cm="1">
        <f t="array" ref="C144">_xlfn.IFS('ProductSprint Backlog'!$F144="", "", AND('ProductSprint Backlog'!$J144&gt;C$2,'ProductSprint Backlog'!$I144&lt;=C$2), 'ProductSprint Backlog'!$F144 / MAX(1, 'ProductSprint Backlog'!$J144-'ProductSprint Backlog'!$I144), AND('ProductSprint Backlog'!$J144=C$2,'ProductSprint Backlog'!$I144=C$2), 'ProductSprint Backlog'!$F144, TRUE, 0)</f>
        <v>0</v>
      </c>
      <c r="D144" s="4" cm="1">
        <f t="array" ref="D144">_xlfn.IFS('ProductSprint Backlog'!$F144="", "", AND('ProductSprint Backlog'!$J144&gt;D$2,'ProductSprint Backlog'!$I144&lt;=D$2), 'ProductSprint Backlog'!$F144 / MAX(1, 'ProductSprint Backlog'!$J144-'ProductSprint Backlog'!$I144), AND('ProductSprint Backlog'!$J144=D$2,'ProductSprint Backlog'!$I144=D$2), 'ProductSprint Backlog'!$F144, TRUE, 0)</f>
        <v>0</v>
      </c>
      <c r="E144" s="4" cm="1">
        <f t="array" ref="E144">_xlfn.IFS('ProductSprint Backlog'!$F144="", "", AND('ProductSprint Backlog'!$J144&gt;E$2,'ProductSprint Backlog'!$I144&lt;=E$2), 'ProductSprint Backlog'!$F144 / MAX(1, 'ProductSprint Backlog'!$J144-'ProductSprint Backlog'!$I144), AND('ProductSprint Backlog'!$J144=E$2,'ProductSprint Backlog'!$I144=E$2), 'ProductSprint Backlog'!$F144, TRUE, 0)</f>
        <v>0</v>
      </c>
      <c r="F144" s="4" cm="1">
        <f t="array" ref="F144">_xlfn.IFS('ProductSprint Backlog'!$F144="", "", AND('ProductSprint Backlog'!$J144&gt;F$2,'ProductSprint Backlog'!$I144&lt;=F$2), 'ProductSprint Backlog'!$F144 / MAX(1, 'ProductSprint Backlog'!$J144-'ProductSprint Backlog'!$I144), AND('ProductSprint Backlog'!$J144=F$2,'ProductSprint Backlog'!$I144=F$2), 'ProductSprint Backlog'!$F144, TRUE, 0)</f>
        <v>0</v>
      </c>
      <c r="G144" s="4" cm="1">
        <f t="array" ref="G144">_xlfn.IFS('ProductSprint Backlog'!$F144="", "", AND('ProductSprint Backlog'!$J144&gt;G$2,'ProductSprint Backlog'!$I144&lt;=G$2), 'ProductSprint Backlog'!$F144 / MAX(1, 'ProductSprint Backlog'!$J144-'ProductSprint Backlog'!$I144), AND('ProductSprint Backlog'!$J144=G$2,'ProductSprint Backlog'!$I144=G$2), 'ProductSprint Backlog'!$F144, TRUE, 0)</f>
        <v>0</v>
      </c>
      <c r="H144" s="4" cm="1">
        <f t="array" ref="H144">_xlfn.IFS('ProductSprint Backlog'!$F144="", "", AND('ProductSprint Backlog'!$J144&gt;H$2,'ProductSprint Backlog'!$I144&lt;=H$2), 'ProductSprint Backlog'!$F144 / MAX(1, 'ProductSprint Backlog'!$J144-'ProductSprint Backlog'!$I144), AND('ProductSprint Backlog'!$J144=H$2,'ProductSprint Backlog'!$I144=H$2), 'ProductSprint Backlog'!$F144, TRUE, 0)</f>
        <v>0</v>
      </c>
      <c r="I144" s="4" cm="1">
        <f t="array" ref="I144">_xlfn.IFS('ProductSprint Backlog'!$F144="", "", AND('ProductSprint Backlog'!$J144&gt;I$2,'ProductSprint Backlog'!$I144&lt;=I$2), 'ProductSprint Backlog'!$F144 / MAX(1, 'ProductSprint Backlog'!$J144-'ProductSprint Backlog'!$I144), AND('ProductSprint Backlog'!$J144=I$2,'ProductSprint Backlog'!$I144=I$2), 'ProductSprint Backlog'!$F144, TRUE, 0)</f>
        <v>0</v>
      </c>
      <c r="J144" s="4" cm="1">
        <f t="array" ref="J144">_xlfn.IFS('ProductSprint Backlog'!$F144="", "", AND('ProductSprint Backlog'!$J144&gt;J$2,'ProductSprint Backlog'!$I144&lt;=J$2), 'ProductSprint Backlog'!$F144 / MAX(1, 'ProductSprint Backlog'!$J144-'ProductSprint Backlog'!$I144), AND('ProductSprint Backlog'!$J144=J$2,'ProductSprint Backlog'!$I144=J$2), 'ProductSprint Backlog'!$F144, TRUE, 0)</f>
        <v>0</v>
      </c>
      <c r="K144" s="4" cm="1">
        <f t="array" ref="K144">_xlfn.IFS('ProductSprint Backlog'!$F144="", "", AND('ProductSprint Backlog'!$J144&gt;K$2,'ProductSprint Backlog'!$I144&lt;=K$2), 'ProductSprint Backlog'!$F144 / MAX(1, 'ProductSprint Backlog'!$J144-'ProductSprint Backlog'!$I144), AND('ProductSprint Backlog'!$J144=K$2,'ProductSprint Backlog'!$I144=K$2), 'ProductSprint Backlog'!$F144, TRUE, 0)</f>
        <v>0</v>
      </c>
      <c r="L144" s="4" cm="1">
        <f t="array" ref="L144">_xlfn.IFS('ProductSprint Backlog'!$F144="", "", AND('ProductSprint Backlog'!$J144&gt;L$2,'ProductSprint Backlog'!$I144&lt;=L$2), 'ProductSprint Backlog'!$F144 / MAX(1, 'ProductSprint Backlog'!$J144-'ProductSprint Backlog'!$I144), AND('ProductSprint Backlog'!$J144=L$2,'ProductSprint Backlog'!$I144=L$2), 'ProductSprint Backlog'!$F144, TRUE, 0)</f>
        <v>0</v>
      </c>
      <c r="M144" s="4" cm="1">
        <f t="array" ref="M144">_xlfn.IFS('ProductSprint Backlog'!$F144="", "", AND('ProductSprint Backlog'!$J144&gt;M$2,'ProductSprint Backlog'!$I144&lt;=M$2), 'ProductSprint Backlog'!$F144 / MAX(1, 'ProductSprint Backlog'!$J144-'ProductSprint Backlog'!$I144), AND('ProductSprint Backlog'!$J144=M$2,'ProductSprint Backlog'!$I144=M$2), 'ProductSprint Backlog'!$F144, TRUE, 0)</f>
        <v>0</v>
      </c>
      <c r="N144" s="4" cm="1">
        <f t="array" ref="N144">_xlfn.IFS('ProductSprint Backlog'!$F144="", "", AND('ProductSprint Backlog'!$J144&gt;N$2,'ProductSprint Backlog'!$I144&lt;=N$2), 'ProductSprint Backlog'!$F144 / MAX(1, 'ProductSprint Backlog'!$J144-'ProductSprint Backlog'!$I144), AND('ProductSprint Backlog'!$J144=N$2,'ProductSprint Backlog'!$I144=N$2), 'ProductSprint Backlog'!$F144, TRUE, 0)</f>
        <v>0</v>
      </c>
      <c r="O144" s="4" cm="1">
        <f t="array" ref="O144">_xlfn.IFS('ProductSprint Backlog'!$F144="", "", AND('ProductSprint Backlog'!$J144&gt;O$2,'ProductSprint Backlog'!$I144&lt;=O$2), 'ProductSprint Backlog'!$F144 / MAX(1, 'ProductSprint Backlog'!$J144-'ProductSprint Backlog'!$I144), AND('ProductSprint Backlog'!$J144=O$2,'ProductSprint Backlog'!$I144=O$2), 'ProductSprint Backlog'!$F144, TRUE, 0)</f>
        <v>0</v>
      </c>
      <c r="P144" s="4" cm="1">
        <f t="array" ref="P144">_xlfn.IFS('ProductSprint Backlog'!$F144="", "", AND('ProductSprint Backlog'!$J144&gt;P$2,'ProductSprint Backlog'!$I144&lt;=P$2), 'ProductSprint Backlog'!$F144 / MAX(1, 'ProductSprint Backlog'!$J144-'ProductSprint Backlog'!$I144), AND('ProductSprint Backlog'!$J144=P$2,'ProductSprint Backlog'!$I144=P$2), 'ProductSprint Backlog'!$F144, TRUE, 0)</f>
        <v>0</v>
      </c>
      <c r="Q144" s="4" cm="1">
        <f t="array" ref="Q144">_xlfn.IFS('ProductSprint Backlog'!$F144="", "", AND('ProductSprint Backlog'!$J144&gt;Q$2,'ProductSprint Backlog'!$I144&lt;=Q$2), 'ProductSprint Backlog'!$F144 / MAX(1, 'ProductSprint Backlog'!$J144-'ProductSprint Backlog'!$I144), AND('ProductSprint Backlog'!$J144=Q$2,'ProductSprint Backlog'!$I144=Q$2), 'ProductSprint Backlog'!$F144, TRUE, 0)</f>
        <v>0</v>
      </c>
    </row>
    <row r="145" spans="2:17" x14ac:dyDescent="0.2">
      <c r="B145" s="4" cm="1">
        <f t="array" ref="B145">_xlfn.IFS('ProductSprint Backlog'!$F145="", "", AND('ProductSprint Backlog'!$J145&gt;B$2,'ProductSprint Backlog'!$I145&lt;=B$2), 'ProductSprint Backlog'!$F145 / MAX(1, 'ProductSprint Backlog'!$J145-'ProductSprint Backlog'!$I145), AND('ProductSprint Backlog'!$J145=B$2,'ProductSprint Backlog'!$I145=B$2), 'ProductSprint Backlog'!$F145, TRUE, 0)</f>
        <v>0</v>
      </c>
      <c r="C145" s="4" cm="1">
        <f t="array" ref="C145">_xlfn.IFS('ProductSprint Backlog'!$F145="", "", AND('ProductSprint Backlog'!$J145&gt;C$2,'ProductSprint Backlog'!$I145&lt;=C$2), 'ProductSprint Backlog'!$F145 / MAX(1, 'ProductSprint Backlog'!$J145-'ProductSprint Backlog'!$I145), AND('ProductSprint Backlog'!$J145=C$2,'ProductSprint Backlog'!$I145=C$2), 'ProductSprint Backlog'!$F145, TRUE, 0)</f>
        <v>0</v>
      </c>
      <c r="D145" s="4" cm="1">
        <f t="array" ref="D145">_xlfn.IFS('ProductSprint Backlog'!$F145="", "", AND('ProductSprint Backlog'!$J145&gt;D$2,'ProductSprint Backlog'!$I145&lt;=D$2), 'ProductSprint Backlog'!$F145 / MAX(1, 'ProductSprint Backlog'!$J145-'ProductSprint Backlog'!$I145), AND('ProductSprint Backlog'!$J145=D$2,'ProductSprint Backlog'!$I145=D$2), 'ProductSprint Backlog'!$F145, TRUE, 0)</f>
        <v>0</v>
      </c>
      <c r="E145" s="4" cm="1">
        <f t="array" ref="E145">_xlfn.IFS('ProductSprint Backlog'!$F145="", "", AND('ProductSprint Backlog'!$J145&gt;E$2,'ProductSprint Backlog'!$I145&lt;=E$2), 'ProductSprint Backlog'!$F145 / MAX(1, 'ProductSprint Backlog'!$J145-'ProductSprint Backlog'!$I145), AND('ProductSprint Backlog'!$J145=E$2,'ProductSprint Backlog'!$I145=E$2), 'ProductSprint Backlog'!$F145, TRUE, 0)</f>
        <v>0</v>
      </c>
      <c r="F145" s="4" cm="1">
        <f t="array" ref="F145">_xlfn.IFS('ProductSprint Backlog'!$F145="", "", AND('ProductSprint Backlog'!$J145&gt;F$2,'ProductSprint Backlog'!$I145&lt;=F$2), 'ProductSprint Backlog'!$F145 / MAX(1, 'ProductSprint Backlog'!$J145-'ProductSprint Backlog'!$I145), AND('ProductSprint Backlog'!$J145=F$2,'ProductSprint Backlog'!$I145=F$2), 'ProductSprint Backlog'!$F145, TRUE, 0)</f>
        <v>0</v>
      </c>
      <c r="G145" s="4" cm="1">
        <f t="array" ref="G145">_xlfn.IFS('ProductSprint Backlog'!$F145="", "", AND('ProductSprint Backlog'!$J145&gt;G$2,'ProductSprint Backlog'!$I145&lt;=G$2), 'ProductSprint Backlog'!$F145 / MAX(1, 'ProductSprint Backlog'!$J145-'ProductSprint Backlog'!$I145), AND('ProductSprint Backlog'!$J145=G$2,'ProductSprint Backlog'!$I145=G$2), 'ProductSprint Backlog'!$F145, TRUE, 0)</f>
        <v>0</v>
      </c>
      <c r="H145" s="4" cm="1">
        <f t="array" ref="H145">_xlfn.IFS('ProductSprint Backlog'!$F145="", "", AND('ProductSprint Backlog'!$J145&gt;H$2,'ProductSprint Backlog'!$I145&lt;=H$2), 'ProductSprint Backlog'!$F145 / MAX(1, 'ProductSprint Backlog'!$J145-'ProductSprint Backlog'!$I145), AND('ProductSprint Backlog'!$J145=H$2,'ProductSprint Backlog'!$I145=H$2), 'ProductSprint Backlog'!$F145, TRUE, 0)</f>
        <v>0</v>
      </c>
      <c r="I145" s="4" cm="1">
        <f t="array" ref="I145">_xlfn.IFS('ProductSprint Backlog'!$F145="", "", AND('ProductSprint Backlog'!$J145&gt;I$2,'ProductSprint Backlog'!$I145&lt;=I$2), 'ProductSprint Backlog'!$F145 / MAX(1, 'ProductSprint Backlog'!$J145-'ProductSprint Backlog'!$I145), AND('ProductSprint Backlog'!$J145=I$2,'ProductSprint Backlog'!$I145=I$2), 'ProductSprint Backlog'!$F145, TRUE, 0)</f>
        <v>0</v>
      </c>
      <c r="J145" s="4" cm="1">
        <f t="array" ref="J145">_xlfn.IFS('ProductSprint Backlog'!$F145="", "", AND('ProductSprint Backlog'!$J145&gt;J$2,'ProductSprint Backlog'!$I145&lt;=J$2), 'ProductSprint Backlog'!$F145 / MAX(1, 'ProductSprint Backlog'!$J145-'ProductSprint Backlog'!$I145), AND('ProductSprint Backlog'!$J145=J$2,'ProductSprint Backlog'!$I145=J$2), 'ProductSprint Backlog'!$F145, TRUE, 0)</f>
        <v>0</v>
      </c>
      <c r="K145" s="4" cm="1">
        <f t="array" ref="K145">_xlfn.IFS('ProductSprint Backlog'!$F145="", "", AND('ProductSprint Backlog'!$J145&gt;K$2,'ProductSprint Backlog'!$I145&lt;=K$2), 'ProductSprint Backlog'!$F145 / MAX(1, 'ProductSprint Backlog'!$J145-'ProductSprint Backlog'!$I145), AND('ProductSprint Backlog'!$J145=K$2,'ProductSprint Backlog'!$I145=K$2), 'ProductSprint Backlog'!$F145, TRUE, 0)</f>
        <v>0</v>
      </c>
      <c r="L145" s="4" cm="1">
        <f t="array" ref="L145">_xlfn.IFS('ProductSprint Backlog'!$F145="", "", AND('ProductSprint Backlog'!$J145&gt;L$2,'ProductSprint Backlog'!$I145&lt;=L$2), 'ProductSprint Backlog'!$F145 / MAX(1, 'ProductSprint Backlog'!$J145-'ProductSprint Backlog'!$I145), AND('ProductSprint Backlog'!$J145=L$2,'ProductSprint Backlog'!$I145=L$2), 'ProductSprint Backlog'!$F145, TRUE, 0)</f>
        <v>0</v>
      </c>
      <c r="M145" s="4" cm="1">
        <f t="array" ref="M145">_xlfn.IFS('ProductSprint Backlog'!$F145="", "", AND('ProductSprint Backlog'!$J145&gt;M$2,'ProductSprint Backlog'!$I145&lt;=M$2), 'ProductSprint Backlog'!$F145 / MAX(1, 'ProductSprint Backlog'!$J145-'ProductSprint Backlog'!$I145), AND('ProductSprint Backlog'!$J145=M$2,'ProductSprint Backlog'!$I145=M$2), 'ProductSprint Backlog'!$F145, TRUE, 0)</f>
        <v>0</v>
      </c>
      <c r="N145" s="4" cm="1">
        <f t="array" ref="N145">_xlfn.IFS('ProductSprint Backlog'!$F145="", "", AND('ProductSprint Backlog'!$J145&gt;N$2,'ProductSprint Backlog'!$I145&lt;=N$2), 'ProductSprint Backlog'!$F145 / MAX(1, 'ProductSprint Backlog'!$J145-'ProductSprint Backlog'!$I145), AND('ProductSprint Backlog'!$J145=N$2,'ProductSprint Backlog'!$I145=N$2), 'ProductSprint Backlog'!$F145, TRUE, 0)</f>
        <v>0</v>
      </c>
      <c r="O145" s="4" cm="1">
        <f t="array" ref="O145">_xlfn.IFS('ProductSprint Backlog'!$F145="", "", AND('ProductSprint Backlog'!$J145&gt;O$2,'ProductSprint Backlog'!$I145&lt;=O$2), 'ProductSprint Backlog'!$F145 / MAX(1, 'ProductSprint Backlog'!$J145-'ProductSprint Backlog'!$I145), AND('ProductSprint Backlog'!$J145=O$2,'ProductSprint Backlog'!$I145=O$2), 'ProductSprint Backlog'!$F145, TRUE, 0)</f>
        <v>0</v>
      </c>
      <c r="P145" s="4" cm="1">
        <f t="array" ref="P145">_xlfn.IFS('ProductSprint Backlog'!$F145="", "", AND('ProductSprint Backlog'!$J145&gt;P$2,'ProductSprint Backlog'!$I145&lt;=P$2), 'ProductSprint Backlog'!$F145 / MAX(1, 'ProductSprint Backlog'!$J145-'ProductSprint Backlog'!$I145), AND('ProductSprint Backlog'!$J145=P$2,'ProductSprint Backlog'!$I145=P$2), 'ProductSprint Backlog'!$F145, TRUE, 0)</f>
        <v>0</v>
      </c>
      <c r="Q145" s="4" cm="1">
        <f t="array" ref="Q145">_xlfn.IFS('ProductSprint Backlog'!$F145="", "", AND('ProductSprint Backlog'!$J145&gt;Q$2,'ProductSprint Backlog'!$I145&lt;=Q$2), 'ProductSprint Backlog'!$F145 / MAX(1, 'ProductSprint Backlog'!$J145-'ProductSprint Backlog'!$I145), AND('ProductSprint Backlog'!$J145=Q$2,'ProductSprint Backlog'!$I145=Q$2), 'ProductSprint Backlog'!$F145, TRUE, 0)</f>
        <v>0</v>
      </c>
    </row>
    <row r="146" spans="2:17" x14ac:dyDescent="0.2">
      <c r="B146" s="4" cm="1">
        <f t="array" ref="B146">_xlfn.IFS('ProductSprint Backlog'!$F146="", "", AND('ProductSprint Backlog'!$J146&gt;B$2,'ProductSprint Backlog'!$I146&lt;=B$2), 'ProductSprint Backlog'!$F146 / MAX(1, 'ProductSprint Backlog'!$J146-'ProductSprint Backlog'!$I146), AND('ProductSprint Backlog'!$J146=B$2,'ProductSprint Backlog'!$I146=B$2), 'ProductSprint Backlog'!$F146, TRUE, 0)</f>
        <v>0</v>
      </c>
      <c r="C146" s="4" cm="1">
        <f t="array" ref="C146">_xlfn.IFS('ProductSprint Backlog'!$F146="", "", AND('ProductSprint Backlog'!$J146&gt;C$2,'ProductSprint Backlog'!$I146&lt;=C$2), 'ProductSprint Backlog'!$F146 / MAX(1, 'ProductSprint Backlog'!$J146-'ProductSprint Backlog'!$I146), AND('ProductSprint Backlog'!$J146=C$2,'ProductSprint Backlog'!$I146=C$2), 'ProductSprint Backlog'!$F146, TRUE, 0)</f>
        <v>0</v>
      </c>
      <c r="D146" s="4" cm="1">
        <f t="array" ref="D146">_xlfn.IFS('ProductSprint Backlog'!$F146="", "", AND('ProductSprint Backlog'!$J146&gt;D$2,'ProductSprint Backlog'!$I146&lt;=D$2), 'ProductSprint Backlog'!$F146 / MAX(1, 'ProductSprint Backlog'!$J146-'ProductSprint Backlog'!$I146), AND('ProductSprint Backlog'!$J146=D$2,'ProductSprint Backlog'!$I146=D$2), 'ProductSprint Backlog'!$F146, TRUE, 0)</f>
        <v>0</v>
      </c>
      <c r="E146" s="4" cm="1">
        <f t="array" ref="E146">_xlfn.IFS('ProductSprint Backlog'!$F146="", "", AND('ProductSprint Backlog'!$J146&gt;E$2,'ProductSprint Backlog'!$I146&lt;=E$2), 'ProductSprint Backlog'!$F146 / MAX(1, 'ProductSprint Backlog'!$J146-'ProductSprint Backlog'!$I146), AND('ProductSprint Backlog'!$J146=E$2,'ProductSprint Backlog'!$I146=E$2), 'ProductSprint Backlog'!$F146, TRUE, 0)</f>
        <v>0</v>
      </c>
      <c r="F146" s="4" cm="1">
        <f t="array" ref="F146">_xlfn.IFS('ProductSprint Backlog'!$F146="", "", AND('ProductSprint Backlog'!$J146&gt;F$2,'ProductSprint Backlog'!$I146&lt;=F$2), 'ProductSprint Backlog'!$F146 / MAX(1, 'ProductSprint Backlog'!$J146-'ProductSprint Backlog'!$I146), AND('ProductSprint Backlog'!$J146=F$2,'ProductSprint Backlog'!$I146=F$2), 'ProductSprint Backlog'!$F146, TRUE, 0)</f>
        <v>0</v>
      </c>
      <c r="G146" s="4" cm="1">
        <f t="array" ref="G146">_xlfn.IFS('ProductSprint Backlog'!$F146="", "", AND('ProductSprint Backlog'!$J146&gt;G$2,'ProductSprint Backlog'!$I146&lt;=G$2), 'ProductSprint Backlog'!$F146 / MAX(1, 'ProductSprint Backlog'!$J146-'ProductSprint Backlog'!$I146), AND('ProductSprint Backlog'!$J146=G$2,'ProductSprint Backlog'!$I146=G$2), 'ProductSprint Backlog'!$F146, TRUE, 0)</f>
        <v>0</v>
      </c>
      <c r="H146" s="4" cm="1">
        <f t="array" ref="H146">_xlfn.IFS('ProductSprint Backlog'!$F146="", "", AND('ProductSprint Backlog'!$J146&gt;H$2,'ProductSprint Backlog'!$I146&lt;=H$2), 'ProductSprint Backlog'!$F146 / MAX(1, 'ProductSprint Backlog'!$J146-'ProductSprint Backlog'!$I146), AND('ProductSprint Backlog'!$J146=H$2,'ProductSprint Backlog'!$I146=H$2), 'ProductSprint Backlog'!$F146, TRUE, 0)</f>
        <v>0</v>
      </c>
      <c r="I146" s="4" cm="1">
        <f t="array" ref="I146">_xlfn.IFS('ProductSprint Backlog'!$F146="", "", AND('ProductSprint Backlog'!$J146&gt;I$2,'ProductSprint Backlog'!$I146&lt;=I$2), 'ProductSprint Backlog'!$F146 / MAX(1, 'ProductSprint Backlog'!$J146-'ProductSprint Backlog'!$I146), AND('ProductSprint Backlog'!$J146=I$2,'ProductSprint Backlog'!$I146=I$2), 'ProductSprint Backlog'!$F146, TRUE, 0)</f>
        <v>0</v>
      </c>
      <c r="J146" s="4" cm="1">
        <f t="array" ref="J146">_xlfn.IFS('ProductSprint Backlog'!$F146="", "", AND('ProductSprint Backlog'!$J146&gt;J$2,'ProductSprint Backlog'!$I146&lt;=J$2), 'ProductSprint Backlog'!$F146 / MAX(1, 'ProductSprint Backlog'!$J146-'ProductSprint Backlog'!$I146), AND('ProductSprint Backlog'!$J146=J$2,'ProductSprint Backlog'!$I146=J$2), 'ProductSprint Backlog'!$F146, TRUE, 0)</f>
        <v>0</v>
      </c>
      <c r="K146" s="4" cm="1">
        <f t="array" ref="K146">_xlfn.IFS('ProductSprint Backlog'!$F146="", "", AND('ProductSprint Backlog'!$J146&gt;K$2,'ProductSprint Backlog'!$I146&lt;=K$2), 'ProductSprint Backlog'!$F146 / MAX(1, 'ProductSprint Backlog'!$J146-'ProductSprint Backlog'!$I146), AND('ProductSprint Backlog'!$J146=K$2,'ProductSprint Backlog'!$I146=K$2), 'ProductSprint Backlog'!$F146, TRUE, 0)</f>
        <v>0</v>
      </c>
      <c r="L146" s="4" cm="1">
        <f t="array" ref="L146">_xlfn.IFS('ProductSprint Backlog'!$F146="", "", AND('ProductSprint Backlog'!$J146&gt;L$2,'ProductSprint Backlog'!$I146&lt;=L$2), 'ProductSprint Backlog'!$F146 / MAX(1, 'ProductSprint Backlog'!$J146-'ProductSprint Backlog'!$I146), AND('ProductSprint Backlog'!$J146=L$2,'ProductSprint Backlog'!$I146=L$2), 'ProductSprint Backlog'!$F146, TRUE, 0)</f>
        <v>0</v>
      </c>
      <c r="M146" s="4" cm="1">
        <f t="array" ref="M146">_xlfn.IFS('ProductSprint Backlog'!$F146="", "", AND('ProductSprint Backlog'!$J146&gt;M$2,'ProductSprint Backlog'!$I146&lt;=M$2), 'ProductSprint Backlog'!$F146 / MAX(1, 'ProductSprint Backlog'!$J146-'ProductSprint Backlog'!$I146), AND('ProductSprint Backlog'!$J146=M$2,'ProductSprint Backlog'!$I146=M$2), 'ProductSprint Backlog'!$F146, TRUE, 0)</f>
        <v>0</v>
      </c>
      <c r="N146" s="4" cm="1">
        <f t="array" ref="N146">_xlfn.IFS('ProductSprint Backlog'!$F146="", "", AND('ProductSprint Backlog'!$J146&gt;N$2,'ProductSprint Backlog'!$I146&lt;=N$2), 'ProductSprint Backlog'!$F146 / MAX(1, 'ProductSprint Backlog'!$J146-'ProductSprint Backlog'!$I146), AND('ProductSprint Backlog'!$J146=N$2,'ProductSprint Backlog'!$I146=N$2), 'ProductSprint Backlog'!$F146, TRUE, 0)</f>
        <v>0</v>
      </c>
      <c r="O146" s="4" cm="1">
        <f t="array" ref="O146">_xlfn.IFS('ProductSprint Backlog'!$F146="", "", AND('ProductSprint Backlog'!$J146&gt;O$2,'ProductSprint Backlog'!$I146&lt;=O$2), 'ProductSprint Backlog'!$F146 / MAX(1, 'ProductSprint Backlog'!$J146-'ProductSprint Backlog'!$I146), AND('ProductSprint Backlog'!$J146=O$2,'ProductSprint Backlog'!$I146=O$2), 'ProductSprint Backlog'!$F146, TRUE, 0)</f>
        <v>0</v>
      </c>
      <c r="P146" s="4" cm="1">
        <f t="array" ref="P146">_xlfn.IFS('ProductSprint Backlog'!$F146="", "", AND('ProductSprint Backlog'!$J146&gt;P$2,'ProductSprint Backlog'!$I146&lt;=P$2), 'ProductSprint Backlog'!$F146 / MAX(1, 'ProductSprint Backlog'!$J146-'ProductSprint Backlog'!$I146), AND('ProductSprint Backlog'!$J146=P$2,'ProductSprint Backlog'!$I146=P$2), 'ProductSprint Backlog'!$F146, TRUE, 0)</f>
        <v>0</v>
      </c>
      <c r="Q146" s="4" cm="1">
        <f t="array" ref="Q146">_xlfn.IFS('ProductSprint Backlog'!$F146="", "", AND('ProductSprint Backlog'!$J146&gt;Q$2,'ProductSprint Backlog'!$I146&lt;=Q$2), 'ProductSprint Backlog'!$F146 / MAX(1, 'ProductSprint Backlog'!$J146-'ProductSprint Backlog'!$I146), AND('ProductSprint Backlog'!$J146=Q$2,'ProductSprint Backlog'!$I146=Q$2), 'ProductSprint Backlog'!$F146, TRUE, 0)</f>
        <v>0</v>
      </c>
    </row>
    <row r="147" spans="2:17" x14ac:dyDescent="0.2">
      <c r="B147" s="4" cm="1">
        <f t="array" ref="B147">_xlfn.IFS('ProductSprint Backlog'!$F147="", "", AND('ProductSprint Backlog'!$J147&gt;B$2,'ProductSprint Backlog'!$I147&lt;=B$2), 'ProductSprint Backlog'!$F147 / MAX(1, 'ProductSprint Backlog'!$J147-'ProductSprint Backlog'!$I147), AND('ProductSprint Backlog'!$J147=B$2,'ProductSprint Backlog'!$I147=B$2), 'ProductSprint Backlog'!$F147, TRUE, 0)</f>
        <v>0</v>
      </c>
      <c r="C147" s="4" cm="1">
        <f t="array" ref="C147">_xlfn.IFS('ProductSprint Backlog'!$F147="", "", AND('ProductSprint Backlog'!$J147&gt;C$2,'ProductSprint Backlog'!$I147&lt;=C$2), 'ProductSprint Backlog'!$F147 / MAX(1, 'ProductSprint Backlog'!$J147-'ProductSprint Backlog'!$I147), AND('ProductSprint Backlog'!$J147=C$2,'ProductSprint Backlog'!$I147=C$2), 'ProductSprint Backlog'!$F147, TRUE, 0)</f>
        <v>0</v>
      </c>
      <c r="D147" s="4" cm="1">
        <f t="array" ref="D147">_xlfn.IFS('ProductSprint Backlog'!$F147="", "", AND('ProductSprint Backlog'!$J147&gt;D$2,'ProductSprint Backlog'!$I147&lt;=D$2), 'ProductSprint Backlog'!$F147 / MAX(1, 'ProductSprint Backlog'!$J147-'ProductSprint Backlog'!$I147), AND('ProductSprint Backlog'!$J147=D$2,'ProductSprint Backlog'!$I147=D$2), 'ProductSprint Backlog'!$F147, TRUE, 0)</f>
        <v>0</v>
      </c>
      <c r="E147" s="4" cm="1">
        <f t="array" ref="E147">_xlfn.IFS('ProductSprint Backlog'!$F147="", "", AND('ProductSprint Backlog'!$J147&gt;E$2,'ProductSprint Backlog'!$I147&lt;=E$2), 'ProductSprint Backlog'!$F147 / MAX(1, 'ProductSprint Backlog'!$J147-'ProductSprint Backlog'!$I147), AND('ProductSprint Backlog'!$J147=E$2,'ProductSprint Backlog'!$I147=E$2), 'ProductSprint Backlog'!$F147, TRUE, 0)</f>
        <v>0</v>
      </c>
      <c r="F147" s="4" cm="1">
        <f t="array" ref="F147">_xlfn.IFS('ProductSprint Backlog'!$F147="", "", AND('ProductSprint Backlog'!$J147&gt;F$2,'ProductSprint Backlog'!$I147&lt;=F$2), 'ProductSprint Backlog'!$F147 / MAX(1, 'ProductSprint Backlog'!$J147-'ProductSprint Backlog'!$I147), AND('ProductSprint Backlog'!$J147=F$2,'ProductSprint Backlog'!$I147=F$2), 'ProductSprint Backlog'!$F147, TRUE, 0)</f>
        <v>0</v>
      </c>
      <c r="G147" s="4" cm="1">
        <f t="array" ref="G147">_xlfn.IFS('ProductSprint Backlog'!$F147="", "", AND('ProductSprint Backlog'!$J147&gt;G$2,'ProductSprint Backlog'!$I147&lt;=G$2), 'ProductSprint Backlog'!$F147 / MAX(1, 'ProductSprint Backlog'!$J147-'ProductSprint Backlog'!$I147), AND('ProductSprint Backlog'!$J147=G$2,'ProductSprint Backlog'!$I147=G$2), 'ProductSprint Backlog'!$F147, TRUE, 0)</f>
        <v>0</v>
      </c>
      <c r="H147" s="4" cm="1">
        <f t="array" ref="H147">_xlfn.IFS('ProductSprint Backlog'!$F147="", "", AND('ProductSprint Backlog'!$J147&gt;H$2,'ProductSprint Backlog'!$I147&lt;=H$2), 'ProductSprint Backlog'!$F147 / MAX(1, 'ProductSprint Backlog'!$J147-'ProductSprint Backlog'!$I147), AND('ProductSprint Backlog'!$J147=H$2,'ProductSprint Backlog'!$I147=H$2), 'ProductSprint Backlog'!$F147, TRUE, 0)</f>
        <v>0</v>
      </c>
      <c r="I147" s="4" cm="1">
        <f t="array" ref="I147">_xlfn.IFS('ProductSprint Backlog'!$F147="", "", AND('ProductSprint Backlog'!$J147&gt;I$2,'ProductSprint Backlog'!$I147&lt;=I$2), 'ProductSprint Backlog'!$F147 / MAX(1, 'ProductSprint Backlog'!$J147-'ProductSprint Backlog'!$I147), AND('ProductSprint Backlog'!$J147=I$2,'ProductSprint Backlog'!$I147=I$2), 'ProductSprint Backlog'!$F147, TRUE, 0)</f>
        <v>0</v>
      </c>
      <c r="J147" s="4" cm="1">
        <f t="array" ref="J147">_xlfn.IFS('ProductSprint Backlog'!$F147="", "", AND('ProductSprint Backlog'!$J147&gt;J$2,'ProductSprint Backlog'!$I147&lt;=J$2), 'ProductSprint Backlog'!$F147 / MAX(1, 'ProductSprint Backlog'!$J147-'ProductSprint Backlog'!$I147), AND('ProductSprint Backlog'!$J147=J$2,'ProductSprint Backlog'!$I147=J$2), 'ProductSprint Backlog'!$F147, TRUE, 0)</f>
        <v>0</v>
      </c>
      <c r="K147" s="4" cm="1">
        <f t="array" ref="K147">_xlfn.IFS('ProductSprint Backlog'!$F147="", "", AND('ProductSprint Backlog'!$J147&gt;K$2,'ProductSprint Backlog'!$I147&lt;=K$2), 'ProductSprint Backlog'!$F147 / MAX(1, 'ProductSprint Backlog'!$J147-'ProductSprint Backlog'!$I147), AND('ProductSprint Backlog'!$J147=K$2,'ProductSprint Backlog'!$I147=K$2), 'ProductSprint Backlog'!$F147, TRUE, 0)</f>
        <v>0</v>
      </c>
      <c r="L147" s="4" cm="1">
        <f t="array" ref="L147">_xlfn.IFS('ProductSprint Backlog'!$F147="", "", AND('ProductSprint Backlog'!$J147&gt;L$2,'ProductSprint Backlog'!$I147&lt;=L$2), 'ProductSprint Backlog'!$F147 / MAX(1, 'ProductSprint Backlog'!$J147-'ProductSprint Backlog'!$I147), AND('ProductSprint Backlog'!$J147=L$2,'ProductSprint Backlog'!$I147=L$2), 'ProductSprint Backlog'!$F147, TRUE, 0)</f>
        <v>0</v>
      </c>
      <c r="M147" s="4" cm="1">
        <f t="array" ref="M147">_xlfn.IFS('ProductSprint Backlog'!$F147="", "", AND('ProductSprint Backlog'!$J147&gt;M$2,'ProductSprint Backlog'!$I147&lt;=M$2), 'ProductSprint Backlog'!$F147 / MAX(1, 'ProductSprint Backlog'!$J147-'ProductSprint Backlog'!$I147), AND('ProductSprint Backlog'!$J147=M$2,'ProductSprint Backlog'!$I147=M$2), 'ProductSprint Backlog'!$F147, TRUE, 0)</f>
        <v>0</v>
      </c>
      <c r="N147" s="4" cm="1">
        <f t="array" ref="N147">_xlfn.IFS('ProductSprint Backlog'!$F147="", "", AND('ProductSprint Backlog'!$J147&gt;N$2,'ProductSprint Backlog'!$I147&lt;=N$2), 'ProductSprint Backlog'!$F147 / MAX(1, 'ProductSprint Backlog'!$J147-'ProductSprint Backlog'!$I147), AND('ProductSprint Backlog'!$J147=N$2,'ProductSprint Backlog'!$I147=N$2), 'ProductSprint Backlog'!$F147, TRUE, 0)</f>
        <v>0</v>
      </c>
      <c r="O147" s="4" cm="1">
        <f t="array" ref="O147">_xlfn.IFS('ProductSprint Backlog'!$F147="", "", AND('ProductSprint Backlog'!$J147&gt;O$2,'ProductSprint Backlog'!$I147&lt;=O$2), 'ProductSprint Backlog'!$F147 / MAX(1, 'ProductSprint Backlog'!$J147-'ProductSprint Backlog'!$I147), AND('ProductSprint Backlog'!$J147=O$2,'ProductSprint Backlog'!$I147=O$2), 'ProductSprint Backlog'!$F147, TRUE, 0)</f>
        <v>0</v>
      </c>
      <c r="P147" s="4" cm="1">
        <f t="array" ref="P147">_xlfn.IFS('ProductSprint Backlog'!$F147="", "", AND('ProductSprint Backlog'!$J147&gt;P$2,'ProductSprint Backlog'!$I147&lt;=P$2), 'ProductSprint Backlog'!$F147 / MAX(1, 'ProductSprint Backlog'!$J147-'ProductSprint Backlog'!$I147), AND('ProductSprint Backlog'!$J147=P$2,'ProductSprint Backlog'!$I147=P$2), 'ProductSprint Backlog'!$F147, TRUE, 0)</f>
        <v>0</v>
      </c>
      <c r="Q147" s="4" cm="1">
        <f t="array" ref="Q147">_xlfn.IFS('ProductSprint Backlog'!$F147="", "", AND('ProductSprint Backlog'!$J147&gt;Q$2,'ProductSprint Backlog'!$I147&lt;=Q$2), 'ProductSprint Backlog'!$F147 / MAX(1, 'ProductSprint Backlog'!$J147-'ProductSprint Backlog'!$I147), AND('ProductSprint Backlog'!$J147=Q$2,'ProductSprint Backlog'!$I147=Q$2), 'ProductSprint Backlog'!$F147, TRUE, 0)</f>
        <v>0</v>
      </c>
    </row>
    <row r="148" spans="2:17" x14ac:dyDescent="0.2">
      <c r="B148" s="4" cm="1">
        <f t="array" ref="B148">_xlfn.IFS('ProductSprint Backlog'!$F148="", "", AND('ProductSprint Backlog'!$J148&gt;B$2,'ProductSprint Backlog'!$I148&lt;=B$2), 'ProductSprint Backlog'!$F148 / MAX(1, 'ProductSprint Backlog'!$J148-'ProductSprint Backlog'!$I148), AND('ProductSprint Backlog'!$J148=B$2,'ProductSprint Backlog'!$I148=B$2), 'ProductSprint Backlog'!$F148, TRUE, 0)</f>
        <v>0</v>
      </c>
      <c r="C148" s="4" cm="1">
        <f t="array" ref="C148">_xlfn.IFS('ProductSprint Backlog'!$F148="", "", AND('ProductSprint Backlog'!$J148&gt;C$2,'ProductSprint Backlog'!$I148&lt;=C$2), 'ProductSprint Backlog'!$F148 / MAX(1, 'ProductSprint Backlog'!$J148-'ProductSprint Backlog'!$I148), AND('ProductSprint Backlog'!$J148=C$2,'ProductSprint Backlog'!$I148=C$2), 'ProductSprint Backlog'!$F148, TRUE, 0)</f>
        <v>0</v>
      </c>
      <c r="D148" s="4" cm="1">
        <f t="array" ref="D148">_xlfn.IFS('ProductSprint Backlog'!$F148="", "", AND('ProductSprint Backlog'!$J148&gt;D$2,'ProductSprint Backlog'!$I148&lt;=D$2), 'ProductSprint Backlog'!$F148 / MAX(1, 'ProductSprint Backlog'!$J148-'ProductSprint Backlog'!$I148), AND('ProductSprint Backlog'!$J148=D$2,'ProductSprint Backlog'!$I148=D$2), 'ProductSprint Backlog'!$F148, TRUE, 0)</f>
        <v>0</v>
      </c>
      <c r="E148" s="4" cm="1">
        <f t="array" ref="E148">_xlfn.IFS('ProductSprint Backlog'!$F148="", "", AND('ProductSprint Backlog'!$J148&gt;E$2,'ProductSprint Backlog'!$I148&lt;=E$2), 'ProductSprint Backlog'!$F148 / MAX(1, 'ProductSprint Backlog'!$J148-'ProductSprint Backlog'!$I148), AND('ProductSprint Backlog'!$J148=E$2,'ProductSprint Backlog'!$I148=E$2), 'ProductSprint Backlog'!$F148, TRUE, 0)</f>
        <v>0</v>
      </c>
      <c r="F148" s="4" cm="1">
        <f t="array" ref="F148">_xlfn.IFS('ProductSprint Backlog'!$F148="", "", AND('ProductSprint Backlog'!$J148&gt;F$2,'ProductSprint Backlog'!$I148&lt;=F$2), 'ProductSprint Backlog'!$F148 / MAX(1, 'ProductSprint Backlog'!$J148-'ProductSprint Backlog'!$I148), AND('ProductSprint Backlog'!$J148=F$2,'ProductSprint Backlog'!$I148=F$2), 'ProductSprint Backlog'!$F148, TRUE, 0)</f>
        <v>0</v>
      </c>
      <c r="G148" s="4" cm="1">
        <f t="array" ref="G148">_xlfn.IFS('ProductSprint Backlog'!$F148="", "", AND('ProductSprint Backlog'!$J148&gt;G$2,'ProductSprint Backlog'!$I148&lt;=G$2), 'ProductSprint Backlog'!$F148 / MAX(1, 'ProductSprint Backlog'!$J148-'ProductSprint Backlog'!$I148), AND('ProductSprint Backlog'!$J148=G$2,'ProductSprint Backlog'!$I148=G$2), 'ProductSprint Backlog'!$F148, TRUE, 0)</f>
        <v>0</v>
      </c>
      <c r="H148" s="4" cm="1">
        <f t="array" ref="H148">_xlfn.IFS('ProductSprint Backlog'!$F148="", "", AND('ProductSprint Backlog'!$J148&gt;H$2,'ProductSprint Backlog'!$I148&lt;=H$2), 'ProductSprint Backlog'!$F148 / MAX(1, 'ProductSprint Backlog'!$J148-'ProductSprint Backlog'!$I148), AND('ProductSprint Backlog'!$J148=H$2,'ProductSprint Backlog'!$I148=H$2), 'ProductSprint Backlog'!$F148, TRUE, 0)</f>
        <v>0</v>
      </c>
      <c r="I148" s="4" cm="1">
        <f t="array" ref="I148">_xlfn.IFS('ProductSprint Backlog'!$F148="", "", AND('ProductSprint Backlog'!$J148&gt;I$2,'ProductSprint Backlog'!$I148&lt;=I$2), 'ProductSprint Backlog'!$F148 / MAX(1, 'ProductSprint Backlog'!$J148-'ProductSprint Backlog'!$I148), AND('ProductSprint Backlog'!$J148=I$2,'ProductSprint Backlog'!$I148=I$2), 'ProductSprint Backlog'!$F148, TRUE, 0)</f>
        <v>0</v>
      </c>
      <c r="J148" s="4" cm="1">
        <f t="array" ref="J148">_xlfn.IFS('ProductSprint Backlog'!$F148="", "", AND('ProductSprint Backlog'!$J148&gt;J$2,'ProductSprint Backlog'!$I148&lt;=J$2), 'ProductSprint Backlog'!$F148 / MAX(1, 'ProductSprint Backlog'!$J148-'ProductSprint Backlog'!$I148), AND('ProductSprint Backlog'!$J148=J$2,'ProductSprint Backlog'!$I148=J$2), 'ProductSprint Backlog'!$F148, TRUE, 0)</f>
        <v>0</v>
      </c>
      <c r="K148" s="4" cm="1">
        <f t="array" ref="K148">_xlfn.IFS('ProductSprint Backlog'!$F148="", "", AND('ProductSprint Backlog'!$J148&gt;K$2,'ProductSprint Backlog'!$I148&lt;=K$2), 'ProductSprint Backlog'!$F148 / MAX(1, 'ProductSprint Backlog'!$J148-'ProductSprint Backlog'!$I148), AND('ProductSprint Backlog'!$J148=K$2,'ProductSprint Backlog'!$I148=K$2), 'ProductSprint Backlog'!$F148, TRUE, 0)</f>
        <v>0</v>
      </c>
      <c r="L148" s="4" cm="1">
        <f t="array" ref="L148">_xlfn.IFS('ProductSprint Backlog'!$F148="", "", AND('ProductSprint Backlog'!$J148&gt;L$2,'ProductSprint Backlog'!$I148&lt;=L$2), 'ProductSprint Backlog'!$F148 / MAX(1, 'ProductSprint Backlog'!$J148-'ProductSprint Backlog'!$I148), AND('ProductSprint Backlog'!$J148=L$2,'ProductSprint Backlog'!$I148=L$2), 'ProductSprint Backlog'!$F148, TRUE, 0)</f>
        <v>0</v>
      </c>
      <c r="M148" s="4" cm="1">
        <f t="array" ref="M148">_xlfn.IFS('ProductSprint Backlog'!$F148="", "", AND('ProductSprint Backlog'!$J148&gt;M$2,'ProductSprint Backlog'!$I148&lt;=M$2), 'ProductSprint Backlog'!$F148 / MAX(1, 'ProductSprint Backlog'!$J148-'ProductSprint Backlog'!$I148), AND('ProductSprint Backlog'!$J148=M$2,'ProductSprint Backlog'!$I148=M$2), 'ProductSprint Backlog'!$F148, TRUE, 0)</f>
        <v>0</v>
      </c>
      <c r="N148" s="4" cm="1">
        <f t="array" ref="N148">_xlfn.IFS('ProductSprint Backlog'!$F148="", "", AND('ProductSprint Backlog'!$J148&gt;N$2,'ProductSprint Backlog'!$I148&lt;=N$2), 'ProductSprint Backlog'!$F148 / MAX(1, 'ProductSprint Backlog'!$J148-'ProductSprint Backlog'!$I148), AND('ProductSprint Backlog'!$J148=N$2,'ProductSprint Backlog'!$I148=N$2), 'ProductSprint Backlog'!$F148, TRUE, 0)</f>
        <v>0</v>
      </c>
      <c r="O148" s="4" cm="1">
        <f t="array" ref="O148">_xlfn.IFS('ProductSprint Backlog'!$F148="", "", AND('ProductSprint Backlog'!$J148&gt;O$2,'ProductSprint Backlog'!$I148&lt;=O$2), 'ProductSprint Backlog'!$F148 / MAX(1, 'ProductSprint Backlog'!$J148-'ProductSprint Backlog'!$I148), AND('ProductSprint Backlog'!$J148=O$2,'ProductSprint Backlog'!$I148=O$2), 'ProductSprint Backlog'!$F148, TRUE, 0)</f>
        <v>0</v>
      </c>
      <c r="P148" s="4" cm="1">
        <f t="array" ref="P148">_xlfn.IFS('ProductSprint Backlog'!$F148="", "", AND('ProductSprint Backlog'!$J148&gt;P$2,'ProductSprint Backlog'!$I148&lt;=P$2), 'ProductSprint Backlog'!$F148 / MAX(1, 'ProductSprint Backlog'!$J148-'ProductSprint Backlog'!$I148), AND('ProductSprint Backlog'!$J148=P$2,'ProductSprint Backlog'!$I148=P$2), 'ProductSprint Backlog'!$F148, TRUE, 0)</f>
        <v>0</v>
      </c>
      <c r="Q148" s="4" cm="1">
        <f t="array" ref="Q148">_xlfn.IFS('ProductSprint Backlog'!$F148="", "", AND('ProductSprint Backlog'!$J148&gt;Q$2,'ProductSprint Backlog'!$I148&lt;=Q$2), 'ProductSprint Backlog'!$F148 / MAX(1, 'ProductSprint Backlog'!$J148-'ProductSprint Backlog'!$I148), AND('ProductSprint Backlog'!$J148=Q$2,'ProductSprint Backlog'!$I148=Q$2), 'ProductSprint Backlog'!$F148, TRUE, 0)</f>
        <v>0</v>
      </c>
    </row>
    <row r="149" spans="2:17" x14ac:dyDescent="0.2">
      <c r="B149" s="4" cm="1">
        <f t="array" ref="B149">_xlfn.IFS('ProductSprint Backlog'!$F149="", "", AND('ProductSprint Backlog'!$J149&gt;B$2,'ProductSprint Backlog'!$I149&lt;=B$2), 'ProductSprint Backlog'!$F149 / MAX(1, 'ProductSprint Backlog'!$J149-'ProductSprint Backlog'!$I149), AND('ProductSprint Backlog'!$J149=B$2,'ProductSprint Backlog'!$I149=B$2), 'ProductSprint Backlog'!$F149, TRUE, 0)</f>
        <v>0</v>
      </c>
      <c r="C149" s="4" cm="1">
        <f t="array" ref="C149">_xlfn.IFS('ProductSprint Backlog'!$F149="", "", AND('ProductSprint Backlog'!$J149&gt;C$2,'ProductSprint Backlog'!$I149&lt;=C$2), 'ProductSprint Backlog'!$F149 / MAX(1, 'ProductSprint Backlog'!$J149-'ProductSprint Backlog'!$I149), AND('ProductSprint Backlog'!$J149=C$2,'ProductSprint Backlog'!$I149=C$2), 'ProductSprint Backlog'!$F149, TRUE, 0)</f>
        <v>0</v>
      </c>
      <c r="D149" s="4" cm="1">
        <f t="array" ref="D149">_xlfn.IFS('ProductSprint Backlog'!$F149="", "", AND('ProductSprint Backlog'!$J149&gt;D$2,'ProductSprint Backlog'!$I149&lt;=D$2), 'ProductSprint Backlog'!$F149 / MAX(1, 'ProductSprint Backlog'!$J149-'ProductSprint Backlog'!$I149), AND('ProductSprint Backlog'!$J149=D$2,'ProductSprint Backlog'!$I149=D$2), 'ProductSprint Backlog'!$F149, TRUE, 0)</f>
        <v>0</v>
      </c>
      <c r="E149" s="4" cm="1">
        <f t="array" ref="E149">_xlfn.IFS('ProductSprint Backlog'!$F149="", "", AND('ProductSprint Backlog'!$J149&gt;E$2,'ProductSprint Backlog'!$I149&lt;=E$2), 'ProductSprint Backlog'!$F149 / MAX(1, 'ProductSprint Backlog'!$J149-'ProductSprint Backlog'!$I149), AND('ProductSprint Backlog'!$J149=E$2,'ProductSprint Backlog'!$I149=E$2), 'ProductSprint Backlog'!$F149, TRUE, 0)</f>
        <v>0</v>
      </c>
      <c r="F149" s="4" cm="1">
        <f t="array" ref="F149">_xlfn.IFS('ProductSprint Backlog'!$F149="", "", AND('ProductSprint Backlog'!$J149&gt;F$2,'ProductSprint Backlog'!$I149&lt;=F$2), 'ProductSprint Backlog'!$F149 / MAX(1, 'ProductSprint Backlog'!$J149-'ProductSprint Backlog'!$I149), AND('ProductSprint Backlog'!$J149=F$2,'ProductSprint Backlog'!$I149=F$2), 'ProductSprint Backlog'!$F149, TRUE, 0)</f>
        <v>0</v>
      </c>
      <c r="G149" s="4" cm="1">
        <f t="array" ref="G149">_xlfn.IFS('ProductSprint Backlog'!$F149="", "", AND('ProductSprint Backlog'!$J149&gt;G$2,'ProductSprint Backlog'!$I149&lt;=G$2), 'ProductSprint Backlog'!$F149 / MAX(1, 'ProductSprint Backlog'!$J149-'ProductSprint Backlog'!$I149), AND('ProductSprint Backlog'!$J149=G$2,'ProductSprint Backlog'!$I149=G$2), 'ProductSprint Backlog'!$F149, TRUE, 0)</f>
        <v>0</v>
      </c>
      <c r="H149" s="4" cm="1">
        <f t="array" ref="H149">_xlfn.IFS('ProductSprint Backlog'!$F149="", "", AND('ProductSprint Backlog'!$J149&gt;H$2,'ProductSprint Backlog'!$I149&lt;=H$2), 'ProductSprint Backlog'!$F149 / MAX(1, 'ProductSprint Backlog'!$J149-'ProductSprint Backlog'!$I149), AND('ProductSprint Backlog'!$J149=H$2,'ProductSprint Backlog'!$I149=H$2), 'ProductSprint Backlog'!$F149, TRUE, 0)</f>
        <v>0</v>
      </c>
      <c r="I149" s="4" cm="1">
        <f t="array" ref="I149">_xlfn.IFS('ProductSprint Backlog'!$F149="", "", AND('ProductSprint Backlog'!$J149&gt;I$2,'ProductSprint Backlog'!$I149&lt;=I$2), 'ProductSprint Backlog'!$F149 / MAX(1, 'ProductSprint Backlog'!$J149-'ProductSprint Backlog'!$I149), AND('ProductSprint Backlog'!$J149=I$2,'ProductSprint Backlog'!$I149=I$2), 'ProductSprint Backlog'!$F149, TRUE, 0)</f>
        <v>0</v>
      </c>
      <c r="J149" s="4" cm="1">
        <f t="array" ref="J149">_xlfn.IFS('ProductSprint Backlog'!$F149="", "", AND('ProductSprint Backlog'!$J149&gt;J$2,'ProductSprint Backlog'!$I149&lt;=J$2), 'ProductSprint Backlog'!$F149 / MAX(1, 'ProductSprint Backlog'!$J149-'ProductSprint Backlog'!$I149), AND('ProductSprint Backlog'!$J149=J$2,'ProductSprint Backlog'!$I149=J$2), 'ProductSprint Backlog'!$F149, TRUE, 0)</f>
        <v>0</v>
      </c>
      <c r="K149" s="4" cm="1">
        <f t="array" ref="K149">_xlfn.IFS('ProductSprint Backlog'!$F149="", "", AND('ProductSprint Backlog'!$J149&gt;K$2,'ProductSprint Backlog'!$I149&lt;=K$2), 'ProductSprint Backlog'!$F149 / MAX(1, 'ProductSprint Backlog'!$J149-'ProductSprint Backlog'!$I149), AND('ProductSprint Backlog'!$J149=K$2,'ProductSprint Backlog'!$I149=K$2), 'ProductSprint Backlog'!$F149, TRUE, 0)</f>
        <v>0</v>
      </c>
      <c r="L149" s="4" cm="1">
        <f t="array" ref="L149">_xlfn.IFS('ProductSprint Backlog'!$F149="", "", AND('ProductSprint Backlog'!$J149&gt;L$2,'ProductSprint Backlog'!$I149&lt;=L$2), 'ProductSprint Backlog'!$F149 / MAX(1, 'ProductSprint Backlog'!$J149-'ProductSprint Backlog'!$I149), AND('ProductSprint Backlog'!$J149=L$2,'ProductSprint Backlog'!$I149=L$2), 'ProductSprint Backlog'!$F149, TRUE, 0)</f>
        <v>0</v>
      </c>
      <c r="M149" s="4" cm="1">
        <f t="array" ref="M149">_xlfn.IFS('ProductSprint Backlog'!$F149="", "", AND('ProductSprint Backlog'!$J149&gt;M$2,'ProductSprint Backlog'!$I149&lt;=M$2), 'ProductSprint Backlog'!$F149 / MAX(1, 'ProductSprint Backlog'!$J149-'ProductSprint Backlog'!$I149), AND('ProductSprint Backlog'!$J149=M$2,'ProductSprint Backlog'!$I149=M$2), 'ProductSprint Backlog'!$F149, TRUE, 0)</f>
        <v>0</v>
      </c>
      <c r="N149" s="4" cm="1">
        <f t="array" ref="N149">_xlfn.IFS('ProductSprint Backlog'!$F149="", "", AND('ProductSprint Backlog'!$J149&gt;N$2,'ProductSprint Backlog'!$I149&lt;=N$2), 'ProductSprint Backlog'!$F149 / MAX(1, 'ProductSprint Backlog'!$J149-'ProductSprint Backlog'!$I149), AND('ProductSprint Backlog'!$J149=N$2,'ProductSprint Backlog'!$I149=N$2), 'ProductSprint Backlog'!$F149, TRUE, 0)</f>
        <v>0</v>
      </c>
      <c r="O149" s="4" cm="1">
        <f t="array" ref="O149">_xlfn.IFS('ProductSprint Backlog'!$F149="", "", AND('ProductSprint Backlog'!$J149&gt;O$2,'ProductSprint Backlog'!$I149&lt;=O$2), 'ProductSprint Backlog'!$F149 / MAX(1, 'ProductSprint Backlog'!$J149-'ProductSprint Backlog'!$I149), AND('ProductSprint Backlog'!$J149=O$2,'ProductSprint Backlog'!$I149=O$2), 'ProductSprint Backlog'!$F149, TRUE, 0)</f>
        <v>0</v>
      </c>
      <c r="P149" s="4" cm="1">
        <f t="array" ref="P149">_xlfn.IFS('ProductSprint Backlog'!$F149="", "", AND('ProductSprint Backlog'!$J149&gt;P$2,'ProductSprint Backlog'!$I149&lt;=P$2), 'ProductSprint Backlog'!$F149 / MAX(1, 'ProductSprint Backlog'!$J149-'ProductSprint Backlog'!$I149), AND('ProductSprint Backlog'!$J149=P$2,'ProductSprint Backlog'!$I149=P$2), 'ProductSprint Backlog'!$F149, TRUE, 0)</f>
        <v>0</v>
      </c>
      <c r="Q149" s="4" cm="1">
        <f t="array" ref="Q149">_xlfn.IFS('ProductSprint Backlog'!$F149="", "", AND('ProductSprint Backlog'!$J149&gt;Q$2,'ProductSprint Backlog'!$I149&lt;=Q$2), 'ProductSprint Backlog'!$F149 / MAX(1, 'ProductSprint Backlog'!$J149-'ProductSprint Backlog'!$I149), AND('ProductSprint Backlog'!$J149=Q$2,'ProductSprint Backlog'!$I149=Q$2), 'ProductSprint Backlog'!$F149, TRUE, 0)</f>
        <v>0</v>
      </c>
    </row>
    <row r="150" spans="2:17" x14ac:dyDescent="0.2">
      <c r="B150" s="4" cm="1">
        <f t="array" ref="B150">_xlfn.IFS('ProductSprint Backlog'!$F150="", "", AND('ProductSprint Backlog'!$J150&gt;B$2,'ProductSprint Backlog'!$I150&lt;=B$2), 'ProductSprint Backlog'!$F150 / MAX(1, 'ProductSprint Backlog'!$J150-'ProductSprint Backlog'!$I150), AND('ProductSprint Backlog'!$J150=B$2,'ProductSprint Backlog'!$I150=B$2), 'ProductSprint Backlog'!$F150, TRUE, 0)</f>
        <v>0</v>
      </c>
      <c r="C150" s="4" cm="1">
        <f t="array" ref="C150">_xlfn.IFS('ProductSprint Backlog'!$F150="", "", AND('ProductSprint Backlog'!$J150&gt;C$2,'ProductSprint Backlog'!$I150&lt;=C$2), 'ProductSprint Backlog'!$F150 / MAX(1, 'ProductSprint Backlog'!$J150-'ProductSprint Backlog'!$I150), AND('ProductSprint Backlog'!$J150=C$2,'ProductSprint Backlog'!$I150=C$2), 'ProductSprint Backlog'!$F150, TRUE, 0)</f>
        <v>0</v>
      </c>
      <c r="D150" s="4" cm="1">
        <f t="array" ref="D150">_xlfn.IFS('ProductSprint Backlog'!$F150="", "", AND('ProductSprint Backlog'!$J150&gt;D$2,'ProductSprint Backlog'!$I150&lt;=D$2), 'ProductSprint Backlog'!$F150 / MAX(1, 'ProductSprint Backlog'!$J150-'ProductSprint Backlog'!$I150), AND('ProductSprint Backlog'!$J150=D$2,'ProductSprint Backlog'!$I150=D$2), 'ProductSprint Backlog'!$F150, TRUE, 0)</f>
        <v>0</v>
      </c>
      <c r="E150" s="4" cm="1">
        <f t="array" ref="E150">_xlfn.IFS('ProductSprint Backlog'!$F150="", "", AND('ProductSprint Backlog'!$J150&gt;E$2,'ProductSprint Backlog'!$I150&lt;=E$2), 'ProductSprint Backlog'!$F150 / MAX(1, 'ProductSprint Backlog'!$J150-'ProductSprint Backlog'!$I150), AND('ProductSprint Backlog'!$J150=E$2,'ProductSprint Backlog'!$I150=E$2), 'ProductSprint Backlog'!$F150, TRUE, 0)</f>
        <v>0</v>
      </c>
      <c r="F150" s="4" cm="1">
        <f t="array" ref="F150">_xlfn.IFS('ProductSprint Backlog'!$F150="", "", AND('ProductSprint Backlog'!$J150&gt;F$2,'ProductSprint Backlog'!$I150&lt;=F$2), 'ProductSprint Backlog'!$F150 / MAX(1, 'ProductSprint Backlog'!$J150-'ProductSprint Backlog'!$I150), AND('ProductSprint Backlog'!$J150=F$2,'ProductSprint Backlog'!$I150=F$2), 'ProductSprint Backlog'!$F150, TRUE, 0)</f>
        <v>0</v>
      </c>
      <c r="G150" s="4" cm="1">
        <f t="array" ref="G150">_xlfn.IFS('ProductSprint Backlog'!$F150="", "", AND('ProductSprint Backlog'!$J150&gt;G$2,'ProductSprint Backlog'!$I150&lt;=G$2), 'ProductSprint Backlog'!$F150 / MAX(1, 'ProductSprint Backlog'!$J150-'ProductSprint Backlog'!$I150), AND('ProductSprint Backlog'!$J150=G$2,'ProductSprint Backlog'!$I150=G$2), 'ProductSprint Backlog'!$F150, TRUE, 0)</f>
        <v>0</v>
      </c>
      <c r="H150" s="4" cm="1">
        <f t="array" ref="H150">_xlfn.IFS('ProductSprint Backlog'!$F150="", "", AND('ProductSprint Backlog'!$J150&gt;H$2,'ProductSprint Backlog'!$I150&lt;=H$2), 'ProductSprint Backlog'!$F150 / MAX(1, 'ProductSprint Backlog'!$J150-'ProductSprint Backlog'!$I150), AND('ProductSprint Backlog'!$J150=H$2,'ProductSprint Backlog'!$I150=H$2), 'ProductSprint Backlog'!$F150, TRUE, 0)</f>
        <v>0</v>
      </c>
      <c r="I150" s="4" cm="1">
        <f t="array" ref="I150">_xlfn.IFS('ProductSprint Backlog'!$F150="", "", AND('ProductSprint Backlog'!$J150&gt;I$2,'ProductSprint Backlog'!$I150&lt;=I$2), 'ProductSprint Backlog'!$F150 / MAX(1, 'ProductSprint Backlog'!$J150-'ProductSprint Backlog'!$I150), AND('ProductSprint Backlog'!$J150=I$2,'ProductSprint Backlog'!$I150=I$2), 'ProductSprint Backlog'!$F150, TRUE, 0)</f>
        <v>0</v>
      </c>
      <c r="J150" s="4" cm="1">
        <f t="array" ref="J150">_xlfn.IFS('ProductSprint Backlog'!$F150="", "", AND('ProductSprint Backlog'!$J150&gt;J$2,'ProductSprint Backlog'!$I150&lt;=J$2), 'ProductSprint Backlog'!$F150 / MAX(1, 'ProductSprint Backlog'!$J150-'ProductSprint Backlog'!$I150), AND('ProductSprint Backlog'!$J150=J$2,'ProductSprint Backlog'!$I150=J$2), 'ProductSprint Backlog'!$F150, TRUE, 0)</f>
        <v>0</v>
      </c>
      <c r="K150" s="4" cm="1">
        <f t="array" ref="K150">_xlfn.IFS('ProductSprint Backlog'!$F150="", "", AND('ProductSprint Backlog'!$J150&gt;K$2,'ProductSprint Backlog'!$I150&lt;=K$2), 'ProductSprint Backlog'!$F150 / MAX(1, 'ProductSprint Backlog'!$J150-'ProductSprint Backlog'!$I150), AND('ProductSprint Backlog'!$J150=K$2,'ProductSprint Backlog'!$I150=K$2), 'ProductSprint Backlog'!$F150, TRUE, 0)</f>
        <v>0</v>
      </c>
      <c r="L150" s="4" cm="1">
        <f t="array" ref="L150">_xlfn.IFS('ProductSprint Backlog'!$F150="", "", AND('ProductSprint Backlog'!$J150&gt;L$2,'ProductSprint Backlog'!$I150&lt;=L$2), 'ProductSprint Backlog'!$F150 / MAX(1, 'ProductSprint Backlog'!$J150-'ProductSprint Backlog'!$I150), AND('ProductSprint Backlog'!$J150=L$2,'ProductSprint Backlog'!$I150=L$2), 'ProductSprint Backlog'!$F150, TRUE, 0)</f>
        <v>0</v>
      </c>
      <c r="M150" s="4" cm="1">
        <f t="array" ref="M150">_xlfn.IFS('ProductSprint Backlog'!$F150="", "", AND('ProductSprint Backlog'!$J150&gt;M$2,'ProductSprint Backlog'!$I150&lt;=M$2), 'ProductSprint Backlog'!$F150 / MAX(1, 'ProductSprint Backlog'!$J150-'ProductSprint Backlog'!$I150), AND('ProductSprint Backlog'!$J150=M$2,'ProductSprint Backlog'!$I150=M$2), 'ProductSprint Backlog'!$F150, TRUE, 0)</f>
        <v>0</v>
      </c>
      <c r="N150" s="4" cm="1">
        <f t="array" ref="N150">_xlfn.IFS('ProductSprint Backlog'!$F150="", "", AND('ProductSprint Backlog'!$J150&gt;N$2,'ProductSprint Backlog'!$I150&lt;=N$2), 'ProductSprint Backlog'!$F150 / MAX(1, 'ProductSprint Backlog'!$J150-'ProductSprint Backlog'!$I150), AND('ProductSprint Backlog'!$J150=N$2,'ProductSprint Backlog'!$I150=N$2), 'ProductSprint Backlog'!$F150, TRUE, 0)</f>
        <v>0</v>
      </c>
      <c r="O150" s="4" cm="1">
        <f t="array" ref="O150">_xlfn.IFS('ProductSprint Backlog'!$F150="", "", AND('ProductSprint Backlog'!$J150&gt;O$2,'ProductSprint Backlog'!$I150&lt;=O$2), 'ProductSprint Backlog'!$F150 / MAX(1, 'ProductSprint Backlog'!$J150-'ProductSprint Backlog'!$I150), AND('ProductSprint Backlog'!$J150=O$2,'ProductSprint Backlog'!$I150=O$2), 'ProductSprint Backlog'!$F150, TRUE, 0)</f>
        <v>0</v>
      </c>
      <c r="P150" s="4" cm="1">
        <f t="array" ref="P150">_xlfn.IFS('ProductSprint Backlog'!$F150="", "", AND('ProductSprint Backlog'!$J150&gt;P$2,'ProductSprint Backlog'!$I150&lt;=P$2), 'ProductSprint Backlog'!$F150 / MAX(1, 'ProductSprint Backlog'!$J150-'ProductSprint Backlog'!$I150), AND('ProductSprint Backlog'!$J150=P$2,'ProductSprint Backlog'!$I150=P$2), 'ProductSprint Backlog'!$F150, TRUE, 0)</f>
        <v>0</v>
      </c>
      <c r="Q150" s="4" cm="1">
        <f t="array" ref="Q150">_xlfn.IFS('ProductSprint Backlog'!$F150="", "", AND('ProductSprint Backlog'!$J150&gt;Q$2,'ProductSprint Backlog'!$I150&lt;=Q$2), 'ProductSprint Backlog'!$F150 / MAX(1, 'ProductSprint Backlog'!$J150-'ProductSprint Backlog'!$I150), AND('ProductSprint Backlog'!$J150=Q$2,'ProductSprint Backlog'!$I150=Q$2), 'ProductSprint Backlog'!$F150, TRUE, 0)</f>
        <v>0</v>
      </c>
    </row>
    <row r="151" spans="2:17" x14ac:dyDescent="0.2">
      <c r="B151" s="4" cm="1">
        <f t="array" ref="B151">_xlfn.IFS('ProductSprint Backlog'!$F151="", "", AND('ProductSprint Backlog'!$J151&gt;B$2,'ProductSprint Backlog'!$I151&lt;=B$2), 'ProductSprint Backlog'!$F151 / MAX(1, 'ProductSprint Backlog'!$J151-'ProductSprint Backlog'!$I151), AND('ProductSprint Backlog'!$J151=B$2,'ProductSprint Backlog'!$I151=B$2), 'ProductSprint Backlog'!$F151, TRUE, 0)</f>
        <v>0</v>
      </c>
      <c r="C151" s="4" cm="1">
        <f t="array" ref="C151">_xlfn.IFS('ProductSprint Backlog'!$F151="", "", AND('ProductSprint Backlog'!$J151&gt;C$2,'ProductSprint Backlog'!$I151&lt;=C$2), 'ProductSprint Backlog'!$F151 / MAX(1, 'ProductSprint Backlog'!$J151-'ProductSprint Backlog'!$I151), AND('ProductSprint Backlog'!$J151=C$2,'ProductSprint Backlog'!$I151=C$2), 'ProductSprint Backlog'!$F151, TRUE, 0)</f>
        <v>0</v>
      </c>
      <c r="D151" s="4" cm="1">
        <f t="array" ref="D151">_xlfn.IFS('ProductSprint Backlog'!$F151="", "", AND('ProductSprint Backlog'!$J151&gt;D$2,'ProductSprint Backlog'!$I151&lt;=D$2), 'ProductSprint Backlog'!$F151 / MAX(1, 'ProductSprint Backlog'!$J151-'ProductSprint Backlog'!$I151), AND('ProductSprint Backlog'!$J151=D$2,'ProductSprint Backlog'!$I151=D$2), 'ProductSprint Backlog'!$F151, TRUE, 0)</f>
        <v>0</v>
      </c>
      <c r="E151" s="4" cm="1">
        <f t="array" ref="E151">_xlfn.IFS('ProductSprint Backlog'!$F151="", "", AND('ProductSprint Backlog'!$J151&gt;E$2,'ProductSprint Backlog'!$I151&lt;=E$2), 'ProductSprint Backlog'!$F151 / MAX(1, 'ProductSprint Backlog'!$J151-'ProductSprint Backlog'!$I151), AND('ProductSprint Backlog'!$J151=E$2,'ProductSprint Backlog'!$I151=E$2), 'ProductSprint Backlog'!$F151, TRUE, 0)</f>
        <v>0</v>
      </c>
      <c r="F151" s="4" cm="1">
        <f t="array" ref="F151">_xlfn.IFS('ProductSprint Backlog'!$F151="", "", AND('ProductSprint Backlog'!$J151&gt;F$2,'ProductSprint Backlog'!$I151&lt;=F$2), 'ProductSprint Backlog'!$F151 / MAX(1, 'ProductSprint Backlog'!$J151-'ProductSprint Backlog'!$I151), AND('ProductSprint Backlog'!$J151=F$2,'ProductSprint Backlog'!$I151=F$2), 'ProductSprint Backlog'!$F151, TRUE, 0)</f>
        <v>0</v>
      </c>
      <c r="G151" s="4" cm="1">
        <f t="array" ref="G151">_xlfn.IFS('ProductSprint Backlog'!$F151="", "", AND('ProductSprint Backlog'!$J151&gt;G$2,'ProductSprint Backlog'!$I151&lt;=G$2), 'ProductSprint Backlog'!$F151 / MAX(1, 'ProductSprint Backlog'!$J151-'ProductSprint Backlog'!$I151), AND('ProductSprint Backlog'!$J151=G$2,'ProductSprint Backlog'!$I151=G$2), 'ProductSprint Backlog'!$F151, TRUE, 0)</f>
        <v>0</v>
      </c>
      <c r="H151" s="4" cm="1">
        <f t="array" ref="H151">_xlfn.IFS('ProductSprint Backlog'!$F151="", "", AND('ProductSprint Backlog'!$J151&gt;H$2,'ProductSprint Backlog'!$I151&lt;=H$2), 'ProductSprint Backlog'!$F151 / MAX(1, 'ProductSprint Backlog'!$J151-'ProductSprint Backlog'!$I151), AND('ProductSprint Backlog'!$J151=H$2,'ProductSprint Backlog'!$I151=H$2), 'ProductSprint Backlog'!$F151, TRUE, 0)</f>
        <v>0</v>
      </c>
      <c r="I151" s="4" cm="1">
        <f t="array" ref="I151">_xlfn.IFS('ProductSprint Backlog'!$F151="", "", AND('ProductSprint Backlog'!$J151&gt;I$2,'ProductSprint Backlog'!$I151&lt;=I$2), 'ProductSprint Backlog'!$F151 / MAX(1, 'ProductSprint Backlog'!$J151-'ProductSprint Backlog'!$I151), AND('ProductSprint Backlog'!$J151=I$2,'ProductSprint Backlog'!$I151=I$2), 'ProductSprint Backlog'!$F151, TRUE, 0)</f>
        <v>0</v>
      </c>
      <c r="J151" s="4" cm="1">
        <f t="array" ref="J151">_xlfn.IFS('ProductSprint Backlog'!$F151="", "", AND('ProductSprint Backlog'!$J151&gt;J$2,'ProductSprint Backlog'!$I151&lt;=J$2), 'ProductSprint Backlog'!$F151 / MAX(1, 'ProductSprint Backlog'!$J151-'ProductSprint Backlog'!$I151), AND('ProductSprint Backlog'!$J151=J$2,'ProductSprint Backlog'!$I151=J$2), 'ProductSprint Backlog'!$F151, TRUE, 0)</f>
        <v>0</v>
      </c>
      <c r="K151" s="4" cm="1">
        <f t="array" ref="K151">_xlfn.IFS('ProductSprint Backlog'!$F151="", "", AND('ProductSprint Backlog'!$J151&gt;K$2,'ProductSprint Backlog'!$I151&lt;=K$2), 'ProductSprint Backlog'!$F151 / MAX(1, 'ProductSprint Backlog'!$J151-'ProductSprint Backlog'!$I151), AND('ProductSprint Backlog'!$J151=K$2,'ProductSprint Backlog'!$I151=K$2), 'ProductSprint Backlog'!$F151, TRUE, 0)</f>
        <v>0</v>
      </c>
      <c r="L151" s="4" cm="1">
        <f t="array" ref="L151">_xlfn.IFS('ProductSprint Backlog'!$F151="", "", AND('ProductSprint Backlog'!$J151&gt;L$2,'ProductSprint Backlog'!$I151&lt;=L$2), 'ProductSprint Backlog'!$F151 / MAX(1, 'ProductSprint Backlog'!$J151-'ProductSprint Backlog'!$I151), AND('ProductSprint Backlog'!$J151=L$2,'ProductSprint Backlog'!$I151=L$2), 'ProductSprint Backlog'!$F151, TRUE, 0)</f>
        <v>0</v>
      </c>
      <c r="M151" s="4" cm="1">
        <f t="array" ref="M151">_xlfn.IFS('ProductSprint Backlog'!$F151="", "", AND('ProductSprint Backlog'!$J151&gt;M$2,'ProductSprint Backlog'!$I151&lt;=M$2), 'ProductSprint Backlog'!$F151 / MAX(1, 'ProductSprint Backlog'!$J151-'ProductSprint Backlog'!$I151), AND('ProductSprint Backlog'!$J151=M$2,'ProductSprint Backlog'!$I151=M$2), 'ProductSprint Backlog'!$F151, TRUE, 0)</f>
        <v>0</v>
      </c>
      <c r="N151" s="4" cm="1">
        <f t="array" ref="N151">_xlfn.IFS('ProductSprint Backlog'!$F151="", "", AND('ProductSprint Backlog'!$J151&gt;N$2,'ProductSprint Backlog'!$I151&lt;=N$2), 'ProductSprint Backlog'!$F151 / MAX(1, 'ProductSprint Backlog'!$J151-'ProductSprint Backlog'!$I151), AND('ProductSprint Backlog'!$J151=N$2,'ProductSprint Backlog'!$I151=N$2), 'ProductSprint Backlog'!$F151, TRUE, 0)</f>
        <v>0</v>
      </c>
      <c r="O151" s="4" cm="1">
        <f t="array" ref="O151">_xlfn.IFS('ProductSprint Backlog'!$F151="", "", AND('ProductSprint Backlog'!$J151&gt;O$2,'ProductSprint Backlog'!$I151&lt;=O$2), 'ProductSprint Backlog'!$F151 / MAX(1, 'ProductSprint Backlog'!$J151-'ProductSprint Backlog'!$I151), AND('ProductSprint Backlog'!$J151=O$2,'ProductSprint Backlog'!$I151=O$2), 'ProductSprint Backlog'!$F151, TRUE, 0)</f>
        <v>0</v>
      </c>
      <c r="P151" s="4" cm="1">
        <f t="array" ref="P151">_xlfn.IFS('ProductSprint Backlog'!$F151="", "", AND('ProductSprint Backlog'!$J151&gt;P$2,'ProductSprint Backlog'!$I151&lt;=P$2), 'ProductSprint Backlog'!$F151 / MAX(1, 'ProductSprint Backlog'!$J151-'ProductSprint Backlog'!$I151), AND('ProductSprint Backlog'!$J151=P$2,'ProductSprint Backlog'!$I151=P$2), 'ProductSprint Backlog'!$F151, TRUE, 0)</f>
        <v>0</v>
      </c>
      <c r="Q151" s="4" cm="1">
        <f t="array" ref="Q151">_xlfn.IFS('ProductSprint Backlog'!$F151="", "", AND('ProductSprint Backlog'!$J151&gt;Q$2,'ProductSprint Backlog'!$I151&lt;=Q$2), 'ProductSprint Backlog'!$F151 / MAX(1, 'ProductSprint Backlog'!$J151-'ProductSprint Backlog'!$I151), AND('ProductSprint Backlog'!$J151=Q$2,'ProductSprint Backlog'!$I151=Q$2), 'ProductSprint Backlog'!$F151, TRUE, 0)</f>
        <v>0</v>
      </c>
    </row>
    <row r="152" spans="2:17" x14ac:dyDescent="0.2">
      <c r="B152" s="4" cm="1">
        <f t="array" ref="B152">_xlfn.IFS('ProductSprint Backlog'!$F152="", "", AND('ProductSprint Backlog'!$J152&gt;B$2,'ProductSprint Backlog'!$I152&lt;=B$2), 'ProductSprint Backlog'!$F152 / MAX(1, 'ProductSprint Backlog'!$J152-'ProductSprint Backlog'!$I152), AND('ProductSprint Backlog'!$J152=B$2,'ProductSprint Backlog'!$I152=B$2), 'ProductSprint Backlog'!$F152, TRUE, 0)</f>
        <v>0</v>
      </c>
      <c r="C152" s="4" cm="1">
        <f t="array" ref="C152">_xlfn.IFS('ProductSprint Backlog'!$F152="", "", AND('ProductSprint Backlog'!$J152&gt;C$2,'ProductSprint Backlog'!$I152&lt;=C$2), 'ProductSprint Backlog'!$F152 / MAX(1, 'ProductSprint Backlog'!$J152-'ProductSprint Backlog'!$I152), AND('ProductSprint Backlog'!$J152=C$2,'ProductSprint Backlog'!$I152=C$2), 'ProductSprint Backlog'!$F152, TRUE, 0)</f>
        <v>0</v>
      </c>
      <c r="D152" s="4" cm="1">
        <f t="array" ref="D152">_xlfn.IFS('ProductSprint Backlog'!$F152="", "", AND('ProductSprint Backlog'!$J152&gt;D$2,'ProductSprint Backlog'!$I152&lt;=D$2), 'ProductSprint Backlog'!$F152 / MAX(1, 'ProductSprint Backlog'!$J152-'ProductSprint Backlog'!$I152), AND('ProductSprint Backlog'!$J152=D$2,'ProductSprint Backlog'!$I152=D$2), 'ProductSprint Backlog'!$F152, TRUE, 0)</f>
        <v>0</v>
      </c>
      <c r="E152" s="4" cm="1">
        <f t="array" ref="E152">_xlfn.IFS('ProductSprint Backlog'!$F152="", "", AND('ProductSprint Backlog'!$J152&gt;E$2,'ProductSprint Backlog'!$I152&lt;=E$2), 'ProductSprint Backlog'!$F152 / MAX(1, 'ProductSprint Backlog'!$J152-'ProductSprint Backlog'!$I152), AND('ProductSprint Backlog'!$J152=E$2,'ProductSprint Backlog'!$I152=E$2), 'ProductSprint Backlog'!$F152, TRUE, 0)</f>
        <v>0</v>
      </c>
      <c r="F152" s="4" cm="1">
        <f t="array" ref="F152">_xlfn.IFS('ProductSprint Backlog'!$F152="", "", AND('ProductSprint Backlog'!$J152&gt;F$2,'ProductSprint Backlog'!$I152&lt;=F$2), 'ProductSprint Backlog'!$F152 / MAX(1, 'ProductSprint Backlog'!$J152-'ProductSprint Backlog'!$I152), AND('ProductSprint Backlog'!$J152=F$2,'ProductSprint Backlog'!$I152=F$2), 'ProductSprint Backlog'!$F152, TRUE, 0)</f>
        <v>0</v>
      </c>
      <c r="G152" s="4" cm="1">
        <f t="array" ref="G152">_xlfn.IFS('ProductSprint Backlog'!$F152="", "", AND('ProductSprint Backlog'!$J152&gt;G$2,'ProductSprint Backlog'!$I152&lt;=G$2), 'ProductSprint Backlog'!$F152 / MAX(1, 'ProductSprint Backlog'!$J152-'ProductSprint Backlog'!$I152), AND('ProductSprint Backlog'!$J152=G$2,'ProductSprint Backlog'!$I152=G$2), 'ProductSprint Backlog'!$F152, TRUE, 0)</f>
        <v>0</v>
      </c>
      <c r="H152" s="4" cm="1">
        <f t="array" ref="H152">_xlfn.IFS('ProductSprint Backlog'!$F152="", "", AND('ProductSprint Backlog'!$J152&gt;H$2,'ProductSprint Backlog'!$I152&lt;=H$2), 'ProductSprint Backlog'!$F152 / MAX(1, 'ProductSprint Backlog'!$J152-'ProductSprint Backlog'!$I152), AND('ProductSprint Backlog'!$J152=H$2,'ProductSprint Backlog'!$I152=H$2), 'ProductSprint Backlog'!$F152, TRUE, 0)</f>
        <v>0</v>
      </c>
      <c r="I152" s="4" cm="1">
        <f t="array" ref="I152">_xlfn.IFS('ProductSprint Backlog'!$F152="", "", AND('ProductSprint Backlog'!$J152&gt;I$2,'ProductSprint Backlog'!$I152&lt;=I$2), 'ProductSprint Backlog'!$F152 / MAX(1, 'ProductSprint Backlog'!$J152-'ProductSprint Backlog'!$I152), AND('ProductSprint Backlog'!$J152=I$2,'ProductSprint Backlog'!$I152=I$2), 'ProductSprint Backlog'!$F152, TRUE, 0)</f>
        <v>0</v>
      </c>
      <c r="J152" s="4" cm="1">
        <f t="array" ref="J152">_xlfn.IFS('ProductSprint Backlog'!$F152="", "", AND('ProductSprint Backlog'!$J152&gt;J$2,'ProductSprint Backlog'!$I152&lt;=J$2), 'ProductSprint Backlog'!$F152 / MAX(1, 'ProductSprint Backlog'!$J152-'ProductSprint Backlog'!$I152), AND('ProductSprint Backlog'!$J152=J$2,'ProductSprint Backlog'!$I152=J$2), 'ProductSprint Backlog'!$F152, TRUE, 0)</f>
        <v>0</v>
      </c>
      <c r="K152" s="4" cm="1">
        <f t="array" ref="K152">_xlfn.IFS('ProductSprint Backlog'!$F152="", "", AND('ProductSprint Backlog'!$J152&gt;K$2,'ProductSprint Backlog'!$I152&lt;=K$2), 'ProductSprint Backlog'!$F152 / MAX(1, 'ProductSprint Backlog'!$J152-'ProductSprint Backlog'!$I152), AND('ProductSprint Backlog'!$J152=K$2,'ProductSprint Backlog'!$I152=K$2), 'ProductSprint Backlog'!$F152, TRUE, 0)</f>
        <v>0</v>
      </c>
      <c r="L152" s="4" cm="1">
        <f t="array" ref="L152">_xlfn.IFS('ProductSprint Backlog'!$F152="", "", AND('ProductSprint Backlog'!$J152&gt;L$2,'ProductSprint Backlog'!$I152&lt;=L$2), 'ProductSprint Backlog'!$F152 / MAX(1, 'ProductSprint Backlog'!$J152-'ProductSprint Backlog'!$I152), AND('ProductSprint Backlog'!$J152=L$2,'ProductSprint Backlog'!$I152=L$2), 'ProductSprint Backlog'!$F152, TRUE, 0)</f>
        <v>0</v>
      </c>
      <c r="M152" s="4" cm="1">
        <f t="array" ref="M152">_xlfn.IFS('ProductSprint Backlog'!$F152="", "", AND('ProductSprint Backlog'!$J152&gt;M$2,'ProductSprint Backlog'!$I152&lt;=M$2), 'ProductSprint Backlog'!$F152 / MAX(1, 'ProductSprint Backlog'!$J152-'ProductSprint Backlog'!$I152), AND('ProductSprint Backlog'!$J152=M$2,'ProductSprint Backlog'!$I152=M$2), 'ProductSprint Backlog'!$F152, TRUE, 0)</f>
        <v>0</v>
      </c>
      <c r="N152" s="4" cm="1">
        <f t="array" ref="N152">_xlfn.IFS('ProductSprint Backlog'!$F152="", "", AND('ProductSprint Backlog'!$J152&gt;N$2,'ProductSprint Backlog'!$I152&lt;=N$2), 'ProductSprint Backlog'!$F152 / MAX(1, 'ProductSprint Backlog'!$J152-'ProductSprint Backlog'!$I152), AND('ProductSprint Backlog'!$J152=N$2,'ProductSprint Backlog'!$I152=N$2), 'ProductSprint Backlog'!$F152, TRUE, 0)</f>
        <v>0</v>
      </c>
      <c r="O152" s="4" cm="1">
        <f t="array" ref="O152">_xlfn.IFS('ProductSprint Backlog'!$F152="", "", AND('ProductSprint Backlog'!$J152&gt;O$2,'ProductSprint Backlog'!$I152&lt;=O$2), 'ProductSprint Backlog'!$F152 / MAX(1, 'ProductSprint Backlog'!$J152-'ProductSprint Backlog'!$I152), AND('ProductSprint Backlog'!$J152=O$2,'ProductSprint Backlog'!$I152=O$2), 'ProductSprint Backlog'!$F152, TRUE, 0)</f>
        <v>0</v>
      </c>
      <c r="P152" s="4" cm="1">
        <f t="array" ref="P152">_xlfn.IFS('ProductSprint Backlog'!$F152="", "", AND('ProductSprint Backlog'!$J152&gt;P$2,'ProductSprint Backlog'!$I152&lt;=P$2), 'ProductSprint Backlog'!$F152 / MAX(1, 'ProductSprint Backlog'!$J152-'ProductSprint Backlog'!$I152), AND('ProductSprint Backlog'!$J152=P$2,'ProductSprint Backlog'!$I152=P$2), 'ProductSprint Backlog'!$F152, TRUE, 0)</f>
        <v>0</v>
      </c>
      <c r="Q152" s="4" cm="1">
        <f t="array" ref="Q152">_xlfn.IFS('ProductSprint Backlog'!$F152="", "", AND('ProductSprint Backlog'!$J152&gt;Q$2,'ProductSprint Backlog'!$I152&lt;=Q$2), 'ProductSprint Backlog'!$F152 / MAX(1, 'ProductSprint Backlog'!$J152-'ProductSprint Backlog'!$I152), AND('ProductSprint Backlog'!$J152=Q$2,'ProductSprint Backlog'!$I152=Q$2), 'ProductSprint Backlog'!$F152, TRUE, 0)</f>
        <v>0</v>
      </c>
    </row>
    <row r="153" spans="2:17" x14ac:dyDescent="0.2">
      <c r="B153" s="4" cm="1">
        <f t="array" ref="B153">_xlfn.IFS('ProductSprint Backlog'!$F153="", "", AND('ProductSprint Backlog'!$J153&gt;B$2,'ProductSprint Backlog'!$I153&lt;=B$2), 'ProductSprint Backlog'!$F153 / MAX(1, 'ProductSprint Backlog'!$J153-'ProductSprint Backlog'!$I153), AND('ProductSprint Backlog'!$J153=B$2,'ProductSprint Backlog'!$I153=B$2), 'ProductSprint Backlog'!$F153, TRUE, 0)</f>
        <v>0</v>
      </c>
      <c r="C153" s="4" cm="1">
        <f t="array" ref="C153">_xlfn.IFS('ProductSprint Backlog'!$F153="", "", AND('ProductSprint Backlog'!$J153&gt;C$2,'ProductSprint Backlog'!$I153&lt;=C$2), 'ProductSprint Backlog'!$F153 / MAX(1, 'ProductSprint Backlog'!$J153-'ProductSprint Backlog'!$I153), AND('ProductSprint Backlog'!$J153=C$2,'ProductSprint Backlog'!$I153=C$2), 'ProductSprint Backlog'!$F153, TRUE, 0)</f>
        <v>0</v>
      </c>
      <c r="D153" s="4" cm="1">
        <f t="array" ref="D153">_xlfn.IFS('ProductSprint Backlog'!$F153="", "", AND('ProductSprint Backlog'!$J153&gt;D$2,'ProductSprint Backlog'!$I153&lt;=D$2), 'ProductSprint Backlog'!$F153 / MAX(1, 'ProductSprint Backlog'!$J153-'ProductSprint Backlog'!$I153), AND('ProductSprint Backlog'!$J153=D$2,'ProductSprint Backlog'!$I153=D$2), 'ProductSprint Backlog'!$F153, TRUE, 0)</f>
        <v>0</v>
      </c>
      <c r="E153" s="4" cm="1">
        <f t="array" ref="E153">_xlfn.IFS('ProductSprint Backlog'!$F153="", "", AND('ProductSprint Backlog'!$J153&gt;E$2,'ProductSprint Backlog'!$I153&lt;=E$2), 'ProductSprint Backlog'!$F153 / MAX(1, 'ProductSprint Backlog'!$J153-'ProductSprint Backlog'!$I153), AND('ProductSprint Backlog'!$J153=E$2,'ProductSprint Backlog'!$I153=E$2), 'ProductSprint Backlog'!$F153, TRUE, 0)</f>
        <v>0</v>
      </c>
      <c r="F153" s="4" cm="1">
        <f t="array" ref="F153">_xlfn.IFS('ProductSprint Backlog'!$F153="", "", AND('ProductSprint Backlog'!$J153&gt;F$2,'ProductSprint Backlog'!$I153&lt;=F$2), 'ProductSprint Backlog'!$F153 / MAX(1, 'ProductSprint Backlog'!$J153-'ProductSprint Backlog'!$I153), AND('ProductSprint Backlog'!$J153=F$2,'ProductSprint Backlog'!$I153=F$2), 'ProductSprint Backlog'!$F153, TRUE, 0)</f>
        <v>0</v>
      </c>
      <c r="G153" s="4" cm="1">
        <f t="array" ref="G153">_xlfn.IFS('ProductSprint Backlog'!$F153="", "", AND('ProductSprint Backlog'!$J153&gt;G$2,'ProductSprint Backlog'!$I153&lt;=G$2), 'ProductSprint Backlog'!$F153 / MAX(1, 'ProductSprint Backlog'!$J153-'ProductSprint Backlog'!$I153), AND('ProductSprint Backlog'!$J153=G$2,'ProductSprint Backlog'!$I153=G$2), 'ProductSprint Backlog'!$F153, TRUE, 0)</f>
        <v>0</v>
      </c>
      <c r="H153" s="4" cm="1">
        <f t="array" ref="H153">_xlfn.IFS('ProductSprint Backlog'!$F153="", "", AND('ProductSprint Backlog'!$J153&gt;H$2,'ProductSprint Backlog'!$I153&lt;=H$2), 'ProductSprint Backlog'!$F153 / MAX(1, 'ProductSprint Backlog'!$J153-'ProductSprint Backlog'!$I153), AND('ProductSprint Backlog'!$J153=H$2,'ProductSprint Backlog'!$I153=H$2), 'ProductSprint Backlog'!$F153, TRUE, 0)</f>
        <v>0</v>
      </c>
      <c r="I153" s="4" cm="1">
        <f t="array" ref="I153">_xlfn.IFS('ProductSprint Backlog'!$F153="", "", AND('ProductSprint Backlog'!$J153&gt;I$2,'ProductSprint Backlog'!$I153&lt;=I$2), 'ProductSprint Backlog'!$F153 / MAX(1, 'ProductSprint Backlog'!$J153-'ProductSprint Backlog'!$I153), AND('ProductSprint Backlog'!$J153=I$2,'ProductSprint Backlog'!$I153=I$2), 'ProductSprint Backlog'!$F153, TRUE, 0)</f>
        <v>0</v>
      </c>
      <c r="J153" s="4" cm="1">
        <f t="array" ref="J153">_xlfn.IFS('ProductSprint Backlog'!$F153="", "", AND('ProductSprint Backlog'!$J153&gt;J$2,'ProductSprint Backlog'!$I153&lt;=J$2), 'ProductSprint Backlog'!$F153 / MAX(1, 'ProductSprint Backlog'!$J153-'ProductSprint Backlog'!$I153), AND('ProductSprint Backlog'!$J153=J$2,'ProductSprint Backlog'!$I153=J$2), 'ProductSprint Backlog'!$F153, TRUE, 0)</f>
        <v>0</v>
      </c>
      <c r="K153" s="4" cm="1">
        <f t="array" ref="K153">_xlfn.IFS('ProductSprint Backlog'!$F153="", "", AND('ProductSprint Backlog'!$J153&gt;K$2,'ProductSprint Backlog'!$I153&lt;=K$2), 'ProductSprint Backlog'!$F153 / MAX(1, 'ProductSprint Backlog'!$J153-'ProductSprint Backlog'!$I153), AND('ProductSprint Backlog'!$J153=K$2,'ProductSprint Backlog'!$I153=K$2), 'ProductSprint Backlog'!$F153, TRUE, 0)</f>
        <v>0</v>
      </c>
      <c r="L153" s="4" cm="1">
        <f t="array" ref="L153">_xlfn.IFS('ProductSprint Backlog'!$F153="", "", AND('ProductSprint Backlog'!$J153&gt;L$2,'ProductSprint Backlog'!$I153&lt;=L$2), 'ProductSprint Backlog'!$F153 / MAX(1, 'ProductSprint Backlog'!$J153-'ProductSprint Backlog'!$I153), AND('ProductSprint Backlog'!$J153=L$2,'ProductSprint Backlog'!$I153=L$2), 'ProductSprint Backlog'!$F153, TRUE, 0)</f>
        <v>0</v>
      </c>
      <c r="M153" s="4" cm="1">
        <f t="array" ref="M153">_xlfn.IFS('ProductSprint Backlog'!$F153="", "", AND('ProductSprint Backlog'!$J153&gt;M$2,'ProductSprint Backlog'!$I153&lt;=M$2), 'ProductSprint Backlog'!$F153 / MAX(1, 'ProductSprint Backlog'!$J153-'ProductSprint Backlog'!$I153), AND('ProductSprint Backlog'!$J153=M$2,'ProductSprint Backlog'!$I153=M$2), 'ProductSprint Backlog'!$F153, TRUE, 0)</f>
        <v>0</v>
      </c>
      <c r="N153" s="4" cm="1">
        <f t="array" ref="N153">_xlfn.IFS('ProductSprint Backlog'!$F153="", "", AND('ProductSprint Backlog'!$J153&gt;N$2,'ProductSprint Backlog'!$I153&lt;=N$2), 'ProductSprint Backlog'!$F153 / MAX(1, 'ProductSprint Backlog'!$J153-'ProductSprint Backlog'!$I153), AND('ProductSprint Backlog'!$J153=N$2,'ProductSprint Backlog'!$I153=N$2), 'ProductSprint Backlog'!$F153, TRUE, 0)</f>
        <v>0</v>
      </c>
      <c r="O153" s="4" cm="1">
        <f t="array" ref="O153">_xlfn.IFS('ProductSprint Backlog'!$F153="", "", AND('ProductSprint Backlog'!$J153&gt;O$2,'ProductSprint Backlog'!$I153&lt;=O$2), 'ProductSprint Backlog'!$F153 / MAX(1, 'ProductSprint Backlog'!$J153-'ProductSprint Backlog'!$I153), AND('ProductSprint Backlog'!$J153=O$2,'ProductSprint Backlog'!$I153=O$2), 'ProductSprint Backlog'!$F153, TRUE, 0)</f>
        <v>0</v>
      </c>
      <c r="P153" s="4" cm="1">
        <f t="array" ref="P153">_xlfn.IFS('ProductSprint Backlog'!$F153="", "", AND('ProductSprint Backlog'!$J153&gt;P$2,'ProductSprint Backlog'!$I153&lt;=P$2), 'ProductSprint Backlog'!$F153 / MAX(1, 'ProductSprint Backlog'!$J153-'ProductSprint Backlog'!$I153), AND('ProductSprint Backlog'!$J153=P$2,'ProductSprint Backlog'!$I153=P$2), 'ProductSprint Backlog'!$F153, TRUE, 0)</f>
        <v>0</v>
      </c>
      <c r="Q153" s="4" cm="1">
        <f t="array" ref="Q153">_xlfn.IFS('ProductSprint Backlog'!$F153="", "", AND('ProductSprint Backlog'!$J153&gt;Q$2,'ProductSprint Backlog'!$I153&lt;=Q$2), 'ProductSprint Backlog'!$F153 / MAX(1, 'ProductSprint Backlog'!$J153-'ProductSprint Backlog'!$I153), AND('ProductSprint Backlog'!$J153=Q$2,'ProductSprint Backlog'!$I153=Q$2), 'ProductSprint Backlog'!$F153, TRUE, 0)</f>
        <v>0</v>
      </c>
    </row>
    <row r="154" spans="2:17" x14ac:dyDescent="0.2">
      <c r="B154" s="4" cm="1">
        <f t="array" ref="B154">_xlfn.IFS('ProductSprint Backlog'!$F154="", "", AND('ProductSprint Backlog'!$J154&gt;B$2,'ProductSprint Backlog'!$I154&lt;=B$2), 'ProductSprint Backlog'!$F154 / MAX(1, 'ProductSprint Backlog'!$J154-'ProductSprint Backlog'!$I154), AND('ProductSprint Backlog'!$J154=B$2,'ProductSprint Backlog'!$I154=B$2), 'ProductSprint Backlog'!$F154, TRUE, 0)</f>
        <v>0</v>
      </c>
      <c r="C154" s="4" cm="1">
        <f t="array" ref="C154">_xlfn.IFS('ProductSprint Backlog'!$F154="", "", AND('ProductSprint Backlog'!$J154&gt;C$2,'ProductSprint Backlog'!$I154&lt;=C$2), 'ProductSprint Backlog'!$F154 / MAX(1, 'ProductSprint Backlog'!$J154-'ProductSprint Backlog'!$I154), AND('ProductSprint Backlog'!$J154=C$2,'ProductSprint Backlog'!$I154=C$2), 'ProductSprint Backlog'!$F154, TRUE, 0)</f>
        <v>0</v>
      </c>
      <c r="D154" s="4" cm="1">
        <f t="array" ref="D154">_xlfn.IFS('ProductSprint Backlog'!$F154="", "", AND('ProductSprint Backlog'!$J154&gt;D$2,'ProductSprint Backlog'!$I154&lt;=D$2), 'ProductSprint Backlog'!$F154 / MAX(1, 'ProductSprint Backlog'!$J154-'ProductSprint Backlog'!$I154), AND('ProductSprint Backlog'!$J154=D$2,'ProductSprint Backlog'!$I154=D$2), 'ProductSprint Backlog'!$F154, TRUE, 0)</f>
        <v>0</v>
      </c>
      <c r="E154" s="4" cm="1">
        <f t="array" ref="E154">_xlfn.IFS('ProductSprint Backlog'!$F154="", "", AND('ProductSprint Backlog'!$J154&gt;E$2,'ProductSprint Backlog'!$I154&lt;=E$2), 'ProductSprint Backlog'!$F154 / MAX(1, 'ProductSprint Backlog'!$J154-'ProductSprint Backlog'!$I154), AND('ProductSprint Backlog'!$J154=E$2,'ProductSprint Backlog'!$I154=E$2), 'ProductSprint Backlog'!$F154, TRUE, 0)</f>
        <v>0</v>
      </c>
      <c r="F154" s="4" cm="1">
        <f t="array" ref="F154">_xlfn.IFS('ProductSprint Backlog'!$F154="", "", AND('ProductSprint Backlog'!$J154&gt;F$2,'ProductSprint Backlog'!$I154&lt;=F$2), 'ProductSprint Backlog'!$F154 / MAX(1, 'ProductSprint Backlog'!$J154-'ProductSprint Backlog'!$I154), AND('ProductSprint Backlog'!$J154=F$2,'ProductSprint Backlog'!$I154=F$2), 'ProductSprint Backlog'!$F154, TRUE, 0)</f>
        <v>0</v>
      </c>
      <c r="G154" s="4" cm="1">
        <f t="array" ref="G154">_xlfn.IFS('ProductSprint Backlog'!$F154="", "", AND('ProductSprint Backlog'!$J154&gt;G$2,'ProductSprint Backlog'!$I154&lt;=G$2), 'ProductSprint Backlog'!$F154 / MAX(1, 'ProductSprint Backlog'!$J154-'ProductSprint Backlog'!$I154), AND('ProductSprint Backlog'!$J154=G$2,'ProductSprint Backlog'!$I154=G$2), 'ProductSprint Backlog'!$F154, TRUE, 0)</f>
        <v>0</v>
      </c>
      <c r="H154" s="4" cm="1">
        <f t="array" ref="H154">_xlfn.IFS('ProductSprint Backlog'!$F154="", "", AND('ProductSprint Backlog'!$J154&gt;H$2,'ProductSprint Backlog'!$I154&lt;=H$2), 'ProductSprint Backlog'!$F154 / MAX(1, 'ProductSprint Backlog'!$J154-'ProductSprint Backlog'!$I154), AND('ProductSprint Backlog'!$J154=H$2,'ProductSprint Backlog'!$I154=H$2), 'ProductSprint Backlog'!$F154, TRUE, 0)</f>
        <v>0</v>
      </c>
      <c r="I154" s="4" cm="1">
        <f t="array" ref="I154">_xlfn.IFS('ProductSprint Backlog'!$F154="", "", AND('ProductSprint Backlog'!$J154&gt;I$2,'ProductSprint Backlog'!$I154&lt;=I$2), 'ProductSprint Backlog'!$F154 / MAX(1, 'ProductSprint Backlog'!$J154-'ProductSprint Backlog'!$I154), AND('ProductSprint Backlog'!$J154=I$2,'ProductSprint Backlog'!$I154=I$2), 'ProductSprint Backlog'!$F154, TRUE, 0)</f>
        <v>0</v>
      </c>
      <c r="J154" s="4" cm="1">
        <f t="array" ref="J154">_xlfn.IFS('ProductSprint Backlog'!$F154="", "", AND('ProductSprint Backlog'!$J154&gt;J$2,'ProductSprint Backlog'!$I154&lt;=J$2), 'ProductSprint Backlog'!$F154 / MAX(1, 'ProductSprint Backlog'!$J154-'ProductSprint Backlog'!$I154), AND('ProductSprint Backlog'!$J154=J$2,'ProductSprint Backlog'!$I154=J$2), 'ProductSprint Backlog'!$F154, TRUE, 0)</f>
        <v>0</v>
      </c>
      <c r="K154" s="4" cm="1">
        <f t="array" ref="K154">_xlfn.IFS('ProductSprint Backlog'!$F154="", "", AND('ProductSprint Backlog'!$J154&gt;K$2,'ProductSprint Backlog'!$I154&lt;=K$2), 'ProductSprint Backlog'!$F154 / MAX(1, 'ProductSprint Backlog'!$J154-'ProductSprint Backlog'!$I154), AND('ProductSprint Backlog'!$J154=K$2,'ProductSprint Backlog'!$I154=K$2), 'ProductSprint Backlog'!$F154, TRUE, 0)</f>
        <v>0</v>
      </c>
      <c r="L154" s="4" cm="1">
        <f t="array" ref="L154">_xlfn.IFS('ProductSprint Backlog'!$F154="", "", AND('ProductSprint Backlog'!$J154&gt;L$2,'ProductSprint Backlog'!$I154&lt;=L$2), 'ProductSprint Backlog'!$F154 / MAX(1, 'ProductSprint Backlog'!$J154-'ProductSprint Backlog'!$I154), AND('ProductSprint Backlog'!$J154=L$2,'ProductSprint Backlog'!$I154=L$2), 'ProductSprint Backlog'!$F154, TRUE, 0)</f>
        <v>0</v>
      </c>
      <c r="M154" s="4" cm="1">
        <f t="array" ref="M154">_xlfn.IFS('ProductSprint Backlog'!$F154="", "", AND('ProductSprint Backlog'!$J154&gt;M$2,'ProductSprint Backlog'!$I154&lt;=M$2), 'ProductSprint Backlog'!$F154 / MAX(1, 'ProductSprint Backlog'!$J154-'ProductSprint Backlog'!$I154), AND('ProductSprint Backlog'!$J154=M$2,'ProductSprint Backlog'!$I154=M$2), 'ProductSprint Backlog'!$F154, TRUE, 0)</f>
        <v>0</v>
      </c>
      <c r="N154" s="4" cm="1">
        <f t="array" ref="N154">_xlfn.IFS('ProductSprint Backlog'!$F154="", "", AND('ProductSprint Backlog'!$J154&gt;N$2,'ProductSprint Backlog'!$I154&lt;=N$2), 'ProductSprint Backlog'!$F154 / MAX(1, 'ProductSprint Backlog'!$J154-'ProductSprint Backlog'!$I154), AND('ProductSprint Backlog'!$J154=N$2,'ProductSprint Backlog'!$I154=N$2), 'ProductSprint Backlog'!$F154, TRUE, 0)</f>
        <v>0</v>
      </c>
      <c r="O154" s="4" cm="1">
        <f t="array" ref="O154">_xlfn.IFS('ProductSprint Backlog'!$F154="", "", AND('ProductSprint Backlog'!$J154&gt;O$2,'ProductSprint Backlog'!$I154&lt;=O$2), 'ProductSprint Backlog'!$F154 / MAX(1, 'ProductSprint Backlog'!$J154-'ProductSprint Backlog'!$I154), AND('ProductSprint Backlog'!$J154=O$2,'ProductSprint Backlog'!$I154=O$2), 'ProductSprint Backlog'!$F154, TRUE, 0)</f>
        <v>0</v>
      </c>
      <c r="P154" s="4" cm="1">
        <f t="array" ref="P154">_xlfn.IFS('ProductSprint Backlog'!$F154="", "", AND('ProductSprint Backlog'!$J154&gt;P$2,'ProductSprint Backlog'!$I154&lt;=P$2), 'ProductSprint Backlog'!$F154 / MAX(1, 'ProductSprint Backlog'!$J154-'ProductSprint Backlog'!$I154), AND('ProductSprint Backlog'!$J154=P$2,'ProductSprint Backlog'!$I154=P$2), 'ProductSprint Backlog'!$F154, TRUE, 0)</f>
        <v>0</v>
      </c>
      <c r="Q154" s="4" cm="1">
        <f t="array" ref="Q154">_xlfn.IFS('ProductSprint Backlog'!$F154="", "", AND('ProductSprint Backlog'!$J154&gt;Q$2,'ProductSprint Backlog'!$I154&lt;=Q$2), 'ProductSprint Backlog'!$F154 / MAX(1, 'ProductSprint Backlog'!$J154-'ProductSprint Backlog'!$I154), AND('ProductSprint Backlog'!$J154=Q$2,'ProductSprint Backlog'!$I154=Q$2), 'ProductSprint Backlog'!$F154, TRUE, 0)</f>
        <v>0</v>
      </c>
    </row>
    <row r="155" spans="2:17" x14ac:dyDescent="0.2">
      <c r="B155" s="4" cm="1">
        <f t="array" ref="B155">_xlfn.IFS('ProductSprint Backlog'!$F155="", "", AND('ProductSprint Backlog'!$J155&gt;B$2,'ProductSprint Backlog'!$I155&lt;=B$2), 'ProductSprint Backlog'!$F155 / MAX(1, 'ProductSprint Backlog'!$J155-'ProductSprint Backlog'!$I155), AND('ProductSprint Backlog'!$J155=B$2,'ProductSprint Backlog'!$I155=B$2), 'ProductSprint Backlog'!$F155, TRUE, 0)</f>
        <v>0</v>
      </c>
      <c r="C155" s="4" cm="1">
        <f t="array" ref="C155">_xlfn.IFS('ProductSprint Backlog'!$F155="", "", AND('ProductSprint Backlog'!$J155&gt;C$2,'ProductSprint Backlog'!$I155&lt;=C$2), 'ProductSprint Backlog'!$F155 / MAX(1, 'ProductSprint Backlog'!$J155-'ProductSprint Backlog'!$I155), AND('ProductSprint Backlog'!$J155=C$2,'ProductSprint Backlog'!$I155=C$2), 'ProductSprint Backlog'!$F155, TRUE, 0)</f>
        <v>0</v>
      </c>
      <c r="D155" s="4" cm="1">
        <f t="array" ref="D155">_xlfn.IFS('ProductSprint Backlog'!$F155="", "", AND('ProductSprint Backlog'!$J155&gt;D$2,'ProductSprint Backlog'!$I155&lt;=D$2), 'ProductSprint Backlog'!$F155 / MAX(1, 'ProductSprint Backlog'!$J155-'ProductSprint Backlog'!$I155), AND('ProductSprint Backlog'!$J155=D$2,'ProductSprint Backlog'!$I155=D$2), 'ProductSprint Backlog'!$F155, TRUE, 0)</f>
        <v>0</v>
      </c>
      <c r="E155" s="4" cm="1">
        <f t="array" ref="E155">_xlfn.IFS('ProductSprint Backlog'!$F155="", "", AND('ProductSprint Backlog'!$J155&gt;E$2,'ProductSprint Backlog'!$I155&lt;=E$2), 'ProductSprint Backlog'!$F155 / MAX(1, 'ProductSprint Backlog'!$J155-'ProductSprint Backlog'!$I155), AND('ProductSprint Backlog'!$J155=E$2,'ProductSprint Backlog'!$I155=E$2), 'ProductSprint Backlog'!$F155, TRUE, 0)</f>
        <v>0</v>
      </c>
      <c r="F155" s="4" cm="1">
        <f t="array" ref="F155">_xlfn.IFS('ProductSprint Backlog'!$F155="", "", AND('ProductSprint Backlog'!$J155&gt;F$2,'ProductSprint Backlog'!$I155&lt;=F$2), 'ProductSprint Backlog'!$F155 / MAX(1, 'ProductSprint Backlog'!$J155-'ProductSprint Backlog'!$I155), AND('ProductSprint Backlog'!$J155=F$2,'ProductSprint Backlog'!$I155=F$2), 'ProductSprint Backlog'!$F155, TRUE, 0)</f>
        <v>0</v>
      </c>
      <c r="G155" s="4" cm="1">
        <f t="array" ref="G155">_xlfn.IFS('ProductSprint Backlog'!$F155="", "", AND('ProductSprint Backlog'!$J155&gt;G$2,'ProductSprint Backlog'!$I155&lt;=G$2), 'ProductSprint Backlog'!$F155 / MAX(1, 'ProductSprint Backlog'!$J155-'ProductSprint Backlog'!$I155), AND('ProductSprint Backlog'!$J155=G$2,'ProductSprint Backlog'!$I155=G$2), 'ProductSprint Backlog'!$F155, TRUE, 0)</f>
        <v>0</v>
      </c>
      <c r="H155" s="4" cm="1">
        <f t="array" ref="H155">_xlfn.IFS('ProductSprint Backlog'!$F155="", "", AND('ProductSprint Backlog'!$J155&gt;H$2,'ProductSprint Backlog'!$I155&lt;=H$2), 'ProductSprint Backlog'!$F155 / MAX(1, 'ProductSprint Backlog'!$J155-'ProductSprint Backlog'!$I155), AND('ProductSprint Backlog'!$J155=H$2,'ProductSprint Backlog'!$I155=H$2), 'ProductSprint Backlog'!$F155, TRUE, 0)</f>
        <v>0</v>
      </c>
      <c r="I155" s="4" cm="1">
        <f t="array" ref="I155">_xlfn.IFS('ProductSprint Backlog'!$F155="", "", AND('ProductSprint Backlog'!$J155&gt;I$2,'ProductSprint Backlog'!$I155&lt;=I$2), 'ProductSprint Backlog'!$F155 / MAX(1, 'ProductSprint Backlog'!$J155-'ProductSprint Backlog'!$I155), AND('ProductSprint Backlog'!$J155=I$2,'ProductSprint Backlog'!$I155=I$2), 'ProductSprint Backlog'!$F155, TRUE, 0)</f>
        <v>0</v>
      </c>
      <c r="J155" s="4" cm="1">
        <f t="array" ref="J155">_xlfn.IFS('ProductSprint Backlog'!$F155="", "", AND('ProductSprint Backlog'!$J155&gt;J$2,'ProductSprint Backlog'!$I155&lt;=J$2), 'ProductSprint Backlog'!$F155 / MAX(1, 'ProductSprint Backlog'!$J155-'ProductSprint Backlog'!$I155), AND('ProductSprint Backlog'!$J155=J$2,'ProductSprint Backlog'!$I155=J$2), 'ProductSprint Backlog'!$F155, TRUE, 0)</f>
        <v>0</v>
      </c>
      <c r="K155" s="4" cm="1">
        <f t="array" ref="K155">_xlfn.IFS('ProductSprint Backlog'!$F155="", "", AND('ProductSprint Backlog'!$J155&gt;K$2,'ProductSprint Backlog'!$I155&lt;=K$2), 'ProductSprint Backlog'!$F155 / MAX(1, 'ProductSprint Backlog'!$J155-'ProductSprint Backlog'!$I155), AND('ProductSprint Backlog'!$J155=K$2,'ProductSprint Backlog'!$I155=K$2), 'ProductSprint Backlog'!$F155, TRUE, 0)</f>
        <v>0</v>
      </c>
      <c r="L155" s="4" cm="1">
        <f t="array" ref="L155">_xlfn.IFS('ProductSprint Backlog'!$F155="", "", AND('ProductSprint Backlog'!$J155&gt;L$2,'ProductSprint Backlog'!$I155&lt;=L$2), 'ProductSprint Backlog'!$F155 / MAX(1, 'ProductSprint Backlog'!$J155-'ProductSprint Backlog'!$I155), AND('ProductSprint Backlog'!$J155=L$2,'ProductSprint Backlog'!$I155=L$2), 'ProductSprint Backlog'!$F155, TRUE, 0)</f>
        <v>0</v>
      </c>
      <c r="M155" s="4" cm="1">
        <f t="array" ref="M155">_xlfn.IFS('ProductSprint Backlog'!$F155="", "", AND('ProductSprint Backlog'!$J155&gt;M$2,'ProductSprint Backlog'!$I155&lt;=M$2), 'ProductSprint Backlog'!$F155 / MAX(1, 'ProductSprint Backlog'!$J155-'ProductSprint Backlog'!$I155), AND('ProductSprint Backlog'!$J155=M$2,'ProductSprint Backlog'!$I155=M$2), 'ProductSprint Backlog'!$F155, TRUE, 0)</f>
        <v>0</v>
      </c>
      <c r="N155" s="4" cm="1">
        <f t="array" ref="N155">_xlfn.IFS('ProductSprint Backlog'!$F155="", "", AND('ProductSprint Backlog'!$J155&gt;N$2,'ProductSprint Backlog'!$I155&lt;=N$2), 'ProductSprint Backlog'!$F155 / MAX(1, 'ProductSprint Backlog'!$J155-'ProductSprint Backlog'!$I155), AND('ProductSprint Backlog'!$J155=N$2,'ProductSprint Backlog'!$I155=N$2), 'ProductSprint Backlog'!$F155, TRUE, 0)</f>
        <v>0</v>
      </c>
      <c r="O155" s="4" cm="1">
        <f t="array" ref="O155">_xlfn.IFS('ProductSprint Backlog'!$F155="", "", AND('ProductSprint Backlog'!$J155&gt;O$2,'ProductSprint Backlog'!$I155&lt;=O$2), 'ProductSprint Backlog'!$F155 / MAX(1, 'ProductSprint Backlog'!$J155-'ProductSprint Backlog'!$I155), AND('ProductSprint Backlog'!$J155=O$2,'ProductSprint Backlog'!$I155=O$2), 'ProductSprint Backlog'!$F155, TRUE, 0)</f>
        <v>0</v>
      </c>
      <c r="P155" s="4" cm="1">
        <f t="array" ref="P155">_xlfn.IFS('ProductSprint Backlog'!$F155="", "", AND('ProductSprint Backlog'!$J155&gt;P$2,'ProductSprint Backlog'!$I155&lt;=P$2), 'ProductSprint Backlog'!$F155 / MAX(1, 'ProductSprint Backlog'!$J155-'ProductSprint Backlog'!$I155), AND('ProductSprint Backlog'!$J155=P$2,'ProductSprint Backlog'!$I155=P$2), 'ProductSprint Backlog'!$F155, TRUE, 0)</f>
        <v>0</v>
      </c>
      <c r="Q155" s="4" cm="1">
        <f t="array" ref="Q155">_xlfn.IFS('ProductSprint Backlog'!$F155="", "", AND('ProductSprint Backlog'!$J155&gt;Q$2,'ProductSprint Backlog'!$I155&lt;=Q$2), 'ProductSprint Backlog'!$F155 / MAX(1, 'ProductSprint Backlog'!$J155-'ProductSprint Backlog'!$I155), AND('ProductSprint Backlog'!$J155=Q$2,'ProductSprint Backlog'!$I155=Q$2), 'ProductSprint Backlog'!$F155, TRUE, 0)</f>
        <v>0</v>
      </c>
    </row>
    <row r="156" spans="2:17" x14ac:dyDescent="0.2">
      <c r="B156" s="4" cm="1">
        <f t="array" ref="B156">_xlfn.IFS('ProductSprint Backlog'!$F156="", "", AND('ProductSprint Backlog'!$J156&gt;B$2,'ProductSprint Backlog'!$I156&lt;=B$2), 'ProductSprint Backlog'!$F156 / MAX(1, 'ProductSprint Backlog'!$J156-'ProductSprint Backlog'!$I156), AND('ProductSprint Backlog'!$J156=B$2,'ProductSprint Backlog'!$I156=B$2), 'ProductSprint Backlog'!$F156, TRUE, 0)</f>
        <v>0</v>
      </c>
      <c r="C156" s="4" cm="1">
        <f t="array" ref="C156">_xlfn.IFS('ProductSprint Backlog'!$F156="", "", AND('ProductSprint Backlog'!$J156&gt;C$2,'ProductSprint Backlog'!$I156&lt;=C$2), 'ProductSprint Backlog'!$F156 / MAX(1, 'ProductSprint Backlog'!$J156-'ProductSprint Backlog'!$I156), AND('ProductSprint Backlog'!$J156=C$2,'ProductSprint Backlog'!$I156=C$2), 'ProductSprint Backlog'!$F156, TRUE, 0)</f>
        <v>0</v>
      </c>
      <c r="D156" s="4" cm="1">
        <f t="array" ref="D156">_xlfn.IFS('ProductSprint Backlog'!$F156="", "", AND('ProductSprint Backlog'!$J156&gt;D$2,'ProductSprint Backlog'!$I156&lt;=D$2), 'ProductSprint Backlog'!$F156 / MAX(1, 'ProductSprint Backlog'!$J156-'ProductSprint Backlog'!$I156), AND('ProductSprint Backlog'!$J156=D$2,'ProductSprint Backlog'!$I156=D$2), 'ProductSprint Backlog'!$F156, TRUE, 0)</f>
        <v>0</v>
      </c>
      <c r="E156" s="4" cm="1">
        <f t="array" ref="E156">_xlfn.IFS('ProductSprint Backlog'!$F156="", "", AND('ProductSprint Backlog'!$J156&gt;E$2,'ProductSprint Backlog'!$I156&lt;=E$2), 'ProductSprint Backlog'!$F156 / MAX(1, 'ProductSprint Backlog'!$J156-'ProductSprint Backlog'!$I156), AND('ProductSprint Backlog'!$J156=E$2,'ProductSprint Backlog'!$I156=E$2), 'ProductSprint Backlog'!$F156, TRUE, 0)</f>
        <v>0</v>
      </c>
      <c r="F156" s="4" cm="1">
        <f t="array" ref="F156">_xlfn.IFS('ProductSprint Backlog'!$F156="", "", AND('ProductSprint Backlog'!$J156&gt;F$2,'ProductSprint Backlog'!$I156&lt;=F$2), 'ProductSprint Backlog'!$F156 / MAX(1, 'ProductSprint Backlog'!$J156-'ProductSprint Backlog'!$I156), AND('ProductSprint Backlog'!$J156=F$2,'ProductSprint Backlog'!$I156=F$2), 'ProductSprint Backlog'!$F156, TRUE, 0)</f>
        <v>0</v>
      </c>
      <c r="G156" s="4" cm="1">
        <f t="array" ref="G156">_xlfn.IFS('ProductSprint Backlog'!$F156="", "", AND('ProductSprint Backlog'!$J156&gt;G$2,'ProductSprint Backlog'!$I156&lt;=G$2), 'ProductSprint Backlog'!$F156 / MAX(1, 'ProductSprint Backlog'!$J156-'ProductSprint Backlog'!$I156), AND('ProductSprint Backlog'!$J156=G$2,'ProductSprint Backlog'!$I156=G$2), 'ProductSprint Backlog'!$F156, TRUE, 0)</f>
        <v>0</v>
      </c>
      <c r="H156" s="4" cm="1">
        <f t="array" ref="H156">_xlfn.IFS('ProductSprint Backlog'!$F156="", "", AND('ProductSprint Backlog'!$J156&gt;H$2,'ProductSprint Backlog'!$I156&lt;=H$2), 'ProductSprint Backlog'!$F156 / MAX(1, 'ProductSprint Backlog'!$J156-'ProductSprint Backlog'!$I156), AND('ProductSprint Backlog'!$J156=H$2,'ProductSprint Backlog'!$I156=H$2), 'ProductSprint Backlog'!$F156, TRUE, 0)</f>
        <v>0</v>
      </c>
      <c r="I156" s="4" cm="1">
        <f t="array" ref="I156">_xlfn.IFS('ProductSprint Backlog'!$F156="", "", AND('ProductSprint Backlog'!$J156&gt;I$2,'ProductSprint Backlog'!$I156&lt;=I$2), 'ProductSprint Backlog'!$F156 / MAX(1, 'ProductSprint Backlog'!$J156-'ProductSprint Backlog'!$I156), AND('ProductSprint Backlog'!$J156=I$2,'ProductSprint Backlog'!$I156=I$2), 'ProductSprint Backlog'!$F156, TRUE, 0)</f>
        <v>0</v>
      </c>
      <c r="J156" s="4" cm="1">
        <f t="array" ref="J156">_xlfn.IFS('ProductSprint Backlog'!$F156="", "", AND('ProductSprint Backlog'!$J156&gt;J$2,'ProductSprint Backlog'!$I156&lt;=J$2), 'ProductSprint Backlog'!$F156 / MAX(1, 'ProductSprint Backlog'!$J156-'ProductSprint Backlog'!$I156), AND('ProductSprint Backlog'!$J156=J$2,'ProductSprint Backlog'!$I156=J$2), 'ProductSprint Backlog'!$F156, TRUE, 0)</f>
        <v>0</v>
      </c>
      <c r="K156" s="4" cm="1">
        <f t="array" ref="K156">_xlfn.IFS('ProductSprint Backlog'!$F156="", "", AND('ProductSprint Backlog'!$J156&gt;K$2,'ProductSprint Backlog'!$I156&lt;=K$2), 'ProductSprint Backlog'!$F156 / MAX(1, 'ProductSprint Backlog'!$J156-'ProductSprint Backlog'!$I156), AND('ProductSprint Backlog'!$J156=K$2,'ProductSprint Backlog'!$I156=K$2), 'ProductSprint Backlog'!$F156, TRUE, 0)</f>
        <v>0</v>
      </c>
      <c r="L156" s="4" cm="1">
        <f t="array" ref="L156">_xlfn.IFS('ProductSprint Backlog'!$F156="", "", AND('ProductSprint Backlog'!$J156&gt;L$2,'ProductSprint Backlog'!$I156&lt;=L$2), 'ProductSprint Backlog'!$F156 / MAX(1, 'ProductSprint Backlog'!$J156-'ProductSprint Backlog'!$I156), AND('ProductSprint Backlog'!$J156=L$2,'ProductSprint Backlog'!$I156=L$2), 'ProductSprint Backlog'!$F156, TRUE, 0)</f>
        <v>0</v>
      </c>
      <c r="M156" s="4" cm="1">
        <f t="array" ref="M156">_xlfn.IFS('ProductSprint Backlog'!$F156="", "", AND('ProductSprint Backlog'!$J156&gt;M$2,'ProductSprint Backlog'!$I156&lt;=M$2), 'ProductSprint Backlog'!$F156 / MAX(1, 'ProductSprint Backlog'!$J156-'ProductSprint Backlog'!$I156), AND('ProductSprint Backlog'!$J156=M$2,'ProductSprint Backlog'!$I156=M$2), 'ProductSprint Backlog'!$F156, TRUE, 0)</f>
        <v>0</v>
      </c>
      <c r="N156" s="4" cm="1">
        <f t="array" ref="N156">_xlfn.IFS('ProductSprint Backlog'!$F156="", "", AND('ProductSprint Backlog'!$J156&gt;N$2,'ProductSprint Backlog'!$I156&lt;=N$2), 'ProductSprint Backlog'!$F156 / MAX(1, 'ProductSprint Backlog'!$J156-'ProductSprint Backlog'!$I156), AND('ProductSprint Backlog'!$J156=N$2,'ProductSprint Backlog'!$I156=N$2), 'ProductSprint Backlog'!$F156, TRUE, 0)</f>
        <v>0</v>
      </c>
      <c r="O156" s="4" cm="1">
        <f t="array" ref="O156">_xlfn.IFS('ProductSprint Backlog'!$F156="", "", AND('ProductSprint Backlog'!$J156&gt;O$2,'ProductSprint Backlog'!$I156&lt;=O$2), 'ProductSprint Backlog'!$F156 / MAX(1, 'ProductSprint Backlog'!$J156-'ProductSprint Backlog'!$I156), AND('ProductSprint Backlog'!$J156=O$2,'ProductSprint Backlog'!$I156=O$2), 'ProductSprint Backlog'!$F156, TRUE, 0)</f>
        <v>0</v>
      </c>
      <c r="P156" s="4" cm="1">
        <f t="array" ref="P156">_xlfn.IFS('ProductSprint Backlog'!$F156="", "", AND('ProductSprint Backlog'!$J156&gt;P$2,'ProductSprint Backlog'!$I156&lt;=P$2), 'ProductSprint Backlog'!$F156 / MAX(1, 'ProductSprint Backlog'!$J156-'ProductSprint Backlog'!$I156), AND('ProductSprint Backlog'!$J156=P$2,'ProductSprint Backlog'!$I156=P$2), 'ProductSprint Backlog'!$F156, TRUE, 0)</f>
        <v>0</v>
      </c>
      <c r="Q156" s="4" cm="1">
        <f t="array" ref="Q156">_xlfn.IFS('ProductSprint Backlog'!$F156="", "", AND('ProductSprint Backlog'!$J156&gt;Q$2,'ProductSprint Backlog'!$I156&lt;=Q$2), 'ProductSprint Backlog'!$F156 / MAX(1, 'ProductSprint Backlog'!$J156-'ProductSprint Backlog'!$I156), AND('ProductSprint Backlog'!$J156=Q$2,'ProductSprint Backlog'!$I156=Q$2), 'ProductSprint Backlog'!$F156, TRUE, 0)</f>
        <v>0</v>
      </c>
    </row>
    <row r="157" spans="2:17" x14ac:dyDescent="0.2">
      <c r="B157" s="4" cm="1">
        <f t="array" ref="B157">_xlfn.IFS('ProductSprint Backlog'!$F157="", "", AND('ProductSprint Backlog'!$J157&gt;B$2,'ProductSprint Backlog'!$I157&lt;=B$2), 'ProductSprint Backlog'!$F157 / MAX(1, 'ProductSprint Backlog'!$J157-'ProductSprint Backlog'!$I157), AND('ProductSprint Backlog'!$J157=B$2,'ProductSprint Backlog'!$I157=B$2), 'ProductSprint Backlog'!$F157, TRUE, 0)</f>
        <v>0</v>
      </c>
      <c r="C157" s="4" cm="1">
        <f t="array" ref="C157">_xlfn.IFS('ProductSprint Backlog'!$F157="", "", AND('ProductSprint Backlog'!$J157&gt;C$2,'ProductSprint Backlog'!$I157&lt;=C$2), 'ProductSprint Backlog'!$F157 / MAX(1, 'ProductSprint Backlog'!$J157-'ProductSprint Backlog'!$I157), AND('ProductSprint Backlog'!$J157=C$2,'ProductSprint Backlog'!$I157=C$2), 'ProductSprint Backlog'!$F157, TRUE, 0)</f>
        <v>0</v>
      </c>
      <c r="D157" s="4" cm="1">
        <f t="array" ref="D157">_xlfn.IFS('ProductSprint Backlog'!$F157="", "", AND('ProductSprint Backlog'!$J157&gt;D$2,'ProductSprint Backlog'!$I157&lt;=D$2), 'ProductSprint Backlog'!$F157 / MAX(1, 'ProductSprint Backlog'!$J157-'ProductSprint Backlog'!$I157), AND('ProductSprint Backlog'!$J157=D$2,'ProductSprint Backlog'!$I157=D$2), 'ProductSprint Backlog'!$F157, TRUE, 0)</f>
        <v>0</v>
      </c>
      <c r="E157" s="4" cm="1">
        <f t="array" ref="E157">_xlfn.IFS('ProductSprint Backlog'!$F157="", "", AND('ProductSprint Backlog'!$J157&gt;E$2,'ProductSprint Backlog'!$I157&lt;=E$2), 'ProductSprint Backlog'!$F157 / MAX(1, 'ProductSprint Backlog'!$J157-'ProductSprint Backlog'!$I157), AND('ProductSprint Backlog'!$J157=E$2,'ProductSprint Backlog'!$I157=E$2), 'ProductSprint Backlog'!$F157, TRUE, 0)</f>
        <v>0</v>
      </c>
      <c r="F157" s="4" cm="1">
        <f t="array" ref="F157">_xlfn.IFS('ProductSprint Backlog'!$F157="", "", AND('ProductSprint Backlog'!$J157&gt;F$2,'ProductSprint Backlog'!$I157&lt;=F$2), 'ProductSprint Backlog'!$F157 / MAX(1, 'ProductSprint Backlog'!$J157-'ProductSprint Backlog'!$I157), AND('ProductSprint Backlog'!$J157=F$2,'ProductSprint Backlog'!$I157=F$2), 'ProductSprint Backlog'!$F157, TRUE, 0)</f>
        <v>0</v>
      </c>
      <c r="G157" s="4" cm="1">
        <f t="array" ref="G157">_xlfn.IFS('ProductSprint Backlog'!$F157="", "", AND('ProductSprint Backlog'!$J157&gt;G$2,'ProductSprint Backlog'!$I157&lt;=G$2), 'ProductSprint Backlog'!$F157 / MAX(1, 'ProductSprint Backlog'!$J157-'ProductSprint Backlog'!$I157), AND('ProductSprint Backlog'!$J157=G$2,'ProductSprint Backlog'!$I157=G$2), 'ProductSprint Backlog'!$F157, TRUE, 0)</f>
        <v>0</v>
      </c>
      <c r="H157" s="4" cm="1">
        <f t="array" ref="H157">_xlfn.IFS('ProductSprint Backlog'!$F157="", "", AND('ProductSprint Backlog'!$J157&gt;H$2,'ProductSprint Backlog'!$I157&lt;=H$2), 'ProductSprint Backlog'!$F157 / MAX(1, 'ProductSprint Backlog'!$J157-'ProductSprint Backlog'!$I157), AND('ProductSprint Backlog'!$J157=H$2,'ProductSprint Backlog'!$I157=H$2), 'ProductSprint Backlog'!$F157, TRUE, 0)</f>
        <v>0</v>
      </c>
      <c r="I157" s="4" cm="1">
        <f t="array" ref="I157">_xlfn.IFS('ProductSprint Backlog'!$F157="", "", AND('ProductSprint Backlog'!$J157&gt;I$2,'ProductSprint Backlog'!$I157&lt;=I$2), 'ProductSprint Backlog'!$F157 / MAX(1, 'ProductSprint Backlog'!$J157-'ProductSprint Backlog'!$I157), AND('ProductSprint Backlog'!$J157=I$2,'ProductSprint Backlog'!$I157=I$2), 'ProductSprint Backlog'!$F157, TRUE, 0)</f>
        <v>0</v>
      </c>
      <c r="J157" s="4" cm="1">
        <f t="array" ref="J157">_xlfn.IFS('ProductSprint Backlog'!$F157="", "", AND('ProductSprint Backlog'!$J157&gt;J$2,'ProductSprint Backlog'!$I157&lt;=J$2), 'ProductSprint Backlog'!$F157 / MAX(1, 'ProductSprint Backlog'!$J157-'ProductSprint Backlog'!$I157), AND('ProductSprint Backlog'!$J157=J$2,'ProductSprint Backlog'!$I157=J$2), 'ProductSprint Backlog'!$F157, TRUE, 0)</f>
        <v>0</v>
      </c>
      <c r="K157" s="4" cm="1">
        <f t="array" ref="K157">_xlfn.IFS('ProductSprint Backlog'!$F157="", "", AND('ProductSprint Backlog'!$J157&gt;K$2,'ProductSprint Backlog'!$I157&lt;=K$2), 'ProductSprint Backlog'!$F157 / MAX(1, 'ProductSprint Backlog'!$J157-'ProductSprint Backlog'!$I157), AND('ProductSprint Backlog'!$J157=K$2,'ProductSprint Backlog'!$I157=K$2), 'ProductSprint Backlog'!$F157, TRUE, 0)</f>
        <v>0</v>
      </c>
      <c r="L157" s="4" cm="1">
        <f t="array" ref="L157">_xlfn.IFS('ProductSprint Backlog'!$F157="", "", AND('ProductSprint Backlog'!$J157&gt;L$2,'ProductSprint Backlog'!$I157&lt;=L$2), 'ProductSprint Backlog'!$F157 / MAX(1, 'ProductSprint Backlog'!$J157-'ProductSprint Backlog'!$I157), AND('ProductSprint Backlog'!$J157=L$2,'ProductSprint Backlog'!$I157=L$2), 'ProductSprint Backlog'!$F157, TRUE, 0)</f>
        <v>0</v>
      </c>
      <c r="M157" s="4" cm="1">
        <f t="array" ref="M157">_xlfn.IFS('ProductSprint Backlog'!$F157="", "", AND('ProductSprint Backlog'!$J157&gt;M$2,'ProductSprint Backlog'!$I157&lt;=M$2), 'ProductSprint Backlog'!$F157 / MAX(1, 'ProductSprint Backlog'!$J157-'ProductSprint Backlog'!$I157), AND('ProductSprint Backlog'!$J157=M$2,'ProductSprint Backlog'!$I157=M$2), 'ProductSprint Backlog'!$F157, TRUE, 0)</f>
        <v>0</v>
      </c>
      <c r="N157" s="4" cm="1">
        <f t="array" ref="N157">_xlfn.IFS('ProductSprint Backlog'!$F157="", "", AND('ProductSprint Backlog'!$J157&gt;N$2,'ProductSprint Backlog'!$I157&lt;=N$2), 'ProductSprint Backlog'!$F157 / MAX(1, 'ProductSprint Backlog'!$J157-'ProductSprint Backlog'!$I157), AND('ProductSprint Backlog'!$J157=N$2,'ProductSprint Backlog'!$I157=N$2), 'ProductSprint Backlog'!$F157, TRUE, 0)</f>
        <v>0</v>
      </c>
      <c r="O157" s="4" cm="1">
        <f t="array" ref="O157">_xlfn.IFS('ProductSprint Backlog'!$F157="", "", AND('ProductSprint Backlog'!$J157&gt;O$2,'ProductSprint Backlog'!$I157&lt;=O$2), 'ProductSprint Backlog'!$F157 / MAX(1, 'ProductSprint Backlog'!$J157-'ProductSprint Backlog'!$I157), AND('ProductSprint Backlog'!$J157=O$2,'ProductSprint Backlog'!$I157=O$2), 'ProductSprint Backlog'!$F157, TRUE, 0)</f>
        <v>0</v>
      </c>
      <c r="P157" s="4" cm="1">
        <f t="array" ref="P157">_xlfn.IFS('ProductSprint Backlog'!$F157="", "", AND('ProductSprint Backlog'!$J157&gt;P$2,'ProductSprint Backlog'!$I157&lt;=P$2), 'ProductSprint Backlog'!$F157 / MAX(1, 'ProductSprint Backlog'!$J157-'ProductSprint Backlog'!$I157), AND('ProductSprint Backlog'!$J157=P$2,'ProductSprint Backlog'!$I157=P$2), 'ProductSprint Backlog'!$F157, TRUE, 0)</f>
        <v>0</v>
      </c>
      <c r="Q157" s="4" cm="1">
        <f t="array" ref="Q157">_xlfn.IFS('ProductSprint Backlog'!$F157="", "", AND('ProductSprint Backlog'!$J157&gt;Q$2,'ProductSprint Backlog'!$I157&lt;=Q$2), 'ProductSprint Backlog'!$F157 / MAX(1, 'ProductSprint Backlog'!$J157-'ProductSprint Backlog'!$I157), AND('ProductSprint Backlog'!$J157=Q$2,'ProductSprint Backlog'!$I157=Q$2), 'ProductSprint Backlog'!$F157, TRUE, 0)</f>
        <v>0</v>
      </c>
    </row>
    <row r="158" spans="2:17" x14ac:dyDescent="0.2">
      <c r="B158" s="4" cm="1">
        <f t="array" ref="B158">_xlfn.IFS('ProductSprint Backlog'!$F158="", "", AND('ProductSprint Backlog'!$J158&gt;B$2,'ProductSprint Backlog'!$I158&lt;=B$2), 'ProductSprint Backlog'!$F158 / MAX(1, 'ProductSprint Backlog'!$J158-'ProductSprint Backlog'!$I158), AND('ProductSprint Backlog'!$J158=B$2,'ProductSprint Backlog'!$I158=B$2), 'ProductSprint Backlog'!$F158, TRUE, 0)</f>
        <v>0</v>
      </c>
      <c r="C158" s="4" cm="1">
        <f t="array" ref="C158">_xlfn.IFS('ProductSprint Backlog'!$F158="", "", AND('ProductSprint Backlog'!$J158&gt;C$2,'ProductSprint Backlog'!$I158&lt;=C$2), 'ProductSprint Backlog'!$F158 / MAX(1, 'ProductSprint Backlog'!$J158-'ProductSprint Backlog'!$I158), AND('ProductSprint Backlog'!$J158=C$2,'ProductSprint Backlog'!$I158=C$2), 'ProductSprint Backlog'!$F158, TRUE, 0)</f>
        <v>0</v>
      </c>
      <c r="D158" s="4" cm="1">
        <f t="array" ref="D158">_xlfn.IFS('ProductSprint Backlog'!$F158="", "", AND('ProductSprint Backlog'!$J158&gt;D$2,'ProductSprint Backlog'!$I158&lt;=D$2), 'ProductSprint Backlog'!$F158 / MAX(1, 'ProductSprint Backlog'!$J158-'ProductSprint Backlog'!$I158), AND('ProductSprint Backlog'!$J158=D$2,'ProductSprint Backlog'!$I158=D$2), 'ProductSprint Backlog'!$F158, TRUE, 0)</f>
        <v>0</v>
      </c>
      <c r="E158" s="4" cm="1">
        <f t="array" ref="E158">_xlfn.IFS('ProductSprint Backlog'!$F158="", "", AND('ProductSprint Backlog'!$J158&gt;E$2,'ProductSprint Backlog'!$I158&lt;=E$2), 'ProductSprint Backlog'!$F158 / MAX(1, 'ProductSprint Backlog'!$J158-'ProductSprint Backlog'!$I158), AND('ProductSprint Backlog'!$J158=E$2,'ProductSprint Backlog'!$I158=E$2), 'ProductSprint Backlog'!$F158, TRUE, 0)</f>
        <v>0</v>
      </c>
      <c r="F158" s="4" cm="1">
        <f t="array" ref="F158">_xlfn.IFS('ProductSprint Backlog'!$F158="", "", AND('ProductSprint Backlog'!$J158&gt;F$2,'ProductSprint Backlog'!$I158&lt;=F$2), 'ProductSprint Backlog'!$F158 / MAX(1, 'ProductSprint Backlog'!$J158-'ProductSprint Backlog'!$I158), AND('ProductSprint Backlog'!$J158=F$2,'ProductSprint Backlog'!$I158=F$2), 'ProductSprint Backlog'!$F158, TRUE, 0)</f>
        <v>0</v>
      </c>
      <c r="G158" s="4" cm="1">
        <f t="array" ref="G158">_xlfn.IFS('ProductSprint Backlog'!$F158="", "", AND('ProductSprint Backlog'!$J158&gt;G$2,'ProductSprint Backlog'!$I158&lt;=G$2), 'ProductSprint Backlog'!$F158 / MAX(1, 'ProductSprint Backlog'!$J158-'ProductSprint Backlog'!$I158), AND('ProductSprint Backlog'!$J158=G$2,'ProductSprint Backlog'!$I158=G$2), 'ProductSprint Backlog'!$F158, TRUE, 0)</f>
        <v>0</v>
      </c>
      <c r="H158" s="4" cm="1">
        <f t="array" ref="H158">_xlfn.IFS('ProductSprint Backlog'!$F158="", "", AND('ProductSprint Backlog'!$J158&gt;H$2,'ProductSprint Backlog'!$I158&lt;=H$2), 'ProductSprint Backlog'!$F158 / MAX(1, 'ProductSprint Backlog'!$J158-'ProductSprint Backlog'!$I158), AND('ProductSprint Backlog'!$J158=H$2,'ProductSprint Backlog'!$I158=H$2), 'ProductSprint Backlog'!$F158, TRUE, 0)</f>
        <v>0</v>
      </c>
      <c r="I158" s="4" cm="1">
        <f t="array" ref="I158">_xlfn.IFS('ProductSprint Backlog'!$F158="", "", AND('ProductSprint Backlog'!$J158&gt;I$2,'ProductSprint Backlog'!$I158&lt;=I$2), 'ProductSprint Backlog'!$F158 / MAX(1, 'ProductSprint Backlog'!$J158-'ProductSprint Backlog'!$I158), AND('ProductSprint Backlog'!$J158=I$2,'ProductSprint Backlog'!$I158=I$2), 'ProductSprint Backlog'!$F158, TRUE, 0)</f>
        <v>0</v>
      </c>
      <c r="J158" s="4" cm="1">
        <f t="array" ref="J158">_xlfn.IFS('ProductSprint Backlog'!$F158="", "", AND('ProductSprint Backlog'!$J158&gt;J$2,'ProductSprint Backlog'!$I158&lt;=J$2), 'ProductSprint Backlog'!$F158 / MAX(1, 'ProductSprint Backlog'!$J158-'ProductSprint Backlog'!$I158), AND('ProductSprint Backlog'!$J158=J$2,'ProductSprint Backlog'!$I158=J$2), 'ProductSprint Backlog'!$F158, TRUE, 0)</f>
        <v>0</v>
      </c>
      <c r="K158" s="4" cm="1">
        <f t="array" ref="K158">_xlfn.IFS('ProductSprint Backlog'!$F158="", "", AND('ProductSprint Backlog'!$J158&gt;K$2,'ProductSprint Backlog'!$I158&lt;=K$2), 'ProductSprint Backlog'!$F158 / MAX(1, 'ProductSprint Backlog'!$J158-'ProductSprint Backlog'!$I158), AND('ProductSprint Backlog'!$J158=K$2,'ProductSprint Backlog'!$I158=K$2), 'ProductSprint Backlog'!$F158, TRUE, 0)</f>
        <v>0</v>
      </c>
      <c r="L158" s="4" cm="1">
        <f t="array" ref="L158">_xlfn.IFS('ProductSprint Backlog'!$F158="", "", AND('ProductSprint Backlog'!$J158&gt;L$2,'ProductSprint Backlog'!$I158&lt;=L$2), 'ProductSprint Backlog'!$F158 / MAX(1, 'ProductSprint Backlog'!$J158-'ProductSprint Backlog'!$I158), AND('ProductSprint Backlog'!$J158=L$2,'ProductSprint Backlog'!$I158=L$2), 'ProductSprint Backlog'!$F158, TRUE, 0)</f>
        <v>0</v>
      </c>
      <c r="M158" s="4" cm="1">
        <f t="array" ref="M158">_xlfn.IFS('ProductSprint Backlog'!$F158="", "", AND('ProductSprint Backlog'!$J158&gt;M$2,'ProductSprint Backlog'!$I158&lt;=M$2), 'ProductSprint Backlog'!$F158 / MAX(1, 'ProductSprint Backlog'!$J158-'ProductSprint Backlog'!$I158), AND('ProductSprint Backlog'!$J158=M$2,'ProductSprint Backlog'!$I158=M$2), 'ProductSprint Backlog'!$F158, TRUE, 0)</f>
        <v>0</v>
      </c>
      <c r="N158" s="4" cm="1">
        <f t="array" ref="N158">_xlfn.IFS('ProductSprint Backlog'!$F158="", "", AND('ProductSprint Backlog'!$J158&gt;N$2,'ProductSprint Backlog'!$I158&lt;=N$2), 'ProductSprint Backlog'!$F158 / MAX(1, 'ProductSprint Backlog'!$J158-'ProductSprint Backlog'!$I158), AND('ProductSprint Backlog'!$J158=N$2,'ProductSprint Backlog'!$I158=N$2), 'ProductSprint Backlog'!$F158, TRUE, 0)</f>
        <v>0</v>
      </c>
      <c r="O158" s="4" cm="1">
        <f t="array" ref="O158">_xlfn.IFS('ProductSprint Backlog'!$F158="", "", AND('ProductSprint Backlog'!$J158&gt;O$2,'ProductSprint Backlog'!$I158&lt;=O$2), 'ProductSprint Backlog'!$F158 / MAX(1, 'ProductSprint Backlog'!$J158-'ProductSprint Backlog'!$I158), AND('ProductSprint Backlog'!$J158=O$2,'ProductSprint Backlog'!$I158=O$2), 'ProductSprint Backlog'!$F158, TRUE, 0)</f>
        <v>0</v>
      </c>
      <c r="P158" s="4" cm="1">
        <f t="array" ref="P158">_xlfn.IFS('ProductSprint Backlog'!$F158="", "", AND('ProductSprint Backlog'!$J158&gt;P$2,'ProductSprint Backlog'!$I158&lt;=P$2), 'ProductSprint Backlog'!$F158 / MAX(1, 'ProductSprint Backlog'!$J158-'ProductSprint Backlog'!$I158), AND('ProductSprint Backlog'!$J158=P$2,'ProductSprint Backlog'!$I158=P$2), 'ProductSprint Backlog'!$F158, TRUE, 0)</f>
        <v>0</v>
      </c>
      <c r="Q158" s="4" cm="1">
        <f t="array" ref="Q158">_xlfn.IFS('ProductSprint Backlog'!$F158="", "", AND('ProductSprint Backlog'!$J158&gt;Q$2,'ProductSprint Backlog'!$I158&lt;=Q$2), 'ProductSprint Backlog'!$F158 / MAX(1, 'ProductSprint Backlog'!$J158-'ProductSprint Backlog'!$I158), AND('ProductSprint Backlog'!$J158=Q$2,'ProductSprint Backlog'!$I158=Q$2), 'ProductSprint Backlog'!$F158, TRUE, 0)</f>
        <v>0</v>
      </c>
    </row>
    <row r="159" spans="2:17" x14ac:dyDescent="0.2">
      <c r="B159" s="4" t="str" cm="1">
        <f t="array" ref="B159">_xlfn.IFS('ProductSprint Backlog'!$F159="", "", AND('ProductSprint Backlog'!$J159&gt;B$2,'ProductSprint Backlog'!$I159&lt;=B$2), 'ProductSprint Backlog'!$F159 / MAX(1, 'ProductSprint Backlog'!$J159-'ProductSprint Backlog'!$I159), AND('ProductSprint Backlog'!$J159=B$2,'ProductSprint Backlog'!$I159=B$2), 'ProductSprint Backlog'!$F159, TRUE, 0)</f>
        <v/>
      </c>
      <c r="C159" s="4" t="str" cm="1">
        <f t="array" ref="C159">_xlfn.IFS('ProductSprint Backlog'!$F159="", "", AND('ProductSprint Backlog'!$J159&gt;C$2,'ProductSprint Backlog'!$I159&lt;=C$2), 'ProductSprint Backlog'!$F159 / MAX(1, 'ProductSprint Backlog'!$J159-'ProductSprint Backlog'!$I159), AND('ProductSprint Backlog'!$J159=C$2,'ProductSprint Backlog'!$I159=C$2), 'ProductSprint Backlog'!$F159, TRUE, 0)</f>
        <v/>
      </c>
      <c r="D159" s="4" t="str" cm="1">
        <f t="array" ref="D159">_xlfn.IFS('ProductSprint Backlog'!$F159="", "", AND('ProductSprint Backlog'!$J159&gt;D$2,'ProductSprint Backlog'!$I159&lt;=D$2), 'ProductSprint Backlog'!$F159 / MAX(1, 'ProductSprint Backlog'!$J159-'ProductSprint Backlog'!$I159), AND('ProductSprint Backlog'!$J159=D$2,'ProductSprint Backlog'!$I159=D$2), 'ProductSprint Backlog'!$F159, TRUE, 0)</f>
        <v/>
      </c>
      <c r="E159" s="4" t="str" cm="1">
        <f t="array" ref="E159">_xlfn.IFS('ProductSprint Backlog'!$F159="", "", AND('ProductSprint Backlog'!$J159&gt;E$2,'ProductSprint Backlog'!$I159&lt;=E$2), 'ProductSprint Backlog'!$F159 / MAX(1, 'ProductSprint Backlog'!$J159-'ProductSprint Backlog'!$I159), AND('ProductSprint Backlog'!$J159=E$2,'ProductSprint Backlog'!$I159=E$2), 'ProductSprint Backlog'!$F159, TRUE, 0)</f>
        <v/>
      </c>
      <c r="F159" s="4" t="str" cm="1">
        <f t="array" ref="F159">_xlfn.IFS('ProductSprint Backlog'!$F159="", "", AND('ProductSprint Backlog'!$J159&gt;F$2,'ProductSprint Backlog'!$I159&lt;=F$2), 'ProductSprint Backlog'!$F159 / MAX(1, 'ProductSprint Backlog'!$J159-'ProductSprint Backlog'!$I159), AND('ProductSprint Backlog'!$J159=F$2,'ProductSprint Backlog'!$I159=F$2), 'ProductSprint Backlog'!$F159, TRUE, 0)</f>
        <v/>
      </c>
      <c r="G159" s="4" t="str" cm="1">
        <f t="array" ref="G159">_xlfn.IFS('ProductSprint Backlog'!$F159="", "", AND('ProductSprint Backlog'!$J159&gt;G$2,'ProductSprint Backlog'!$I159&lt;=G$2), 'ProductSprint Backlog'!$F159 / MAX(1, 'ProductSprint Backlog'!$J159-'ProductSprint Backlog'!$I159), AND('ProductSprint Backlog'!$J159=G$2,'ProductSprint Backlog'!$I159=G$2), 'ProductSprint Backlog'!$F159, TRUE, 0)</f>
        <v/>
      </c>
      <c r="H159" s="4" t="str" cm="1">
        <f t="array" ref="H159">_xlfn.IFS('ProductSprint Backlog'!$F159="", "", AND('ProductSprint Backlog'!$J159&gt;H$2,'ProductSprint Backlog'!$I159&lt;=H$2), 'ProductSprint Backlog'!$F159 / MAX(1, 'ProductSprint Backlog'!$J159-'ProductSprint Backlog'!$I159), AND('ProductSprint Backlog'!$J159=H$2,'ProductSprint Backlog'!$I159=H$2), 'ProductSprint Backlog'!$F159, TRUE, 0)</f>
        <v/>
      </c>
      <c r="I159" s="4" t="str" cm="1">
        <f t="array" ref="I159">_xlfn.IFS('ProductSprint Backlog'!$F159="", "", AND('ProductSprint Backlog'!$J159&gt;I$2,'ProductSprint Backlog'!$I159&lt;=I$2), 'ProductSprint Backlog'!$F159 / MAX(1, 'ProductSprint Backlog'!$J159-'ProductSprint Backlog'!$I159), AND('ProductSprint Backlog'!$J159=I$2,'ProductSprint Backlog'!$I159=I$2), 'ProductSprint Backlog'!$F159, TRUE, 0)</f>
        <v/>
      </c>
      <c r="J159" s="4" t="str" cm="1">
        <f t="array" ref="J159">_xlfn.IFS('ProductSprint Backlog'!$F159="", "", AND('ProductSprint Backlog'!$J159&gt;J$2,'ProductSprint Backlog'!$I159&lt;=J$2), 'ProductSprint Backlog'!$F159 / MAX(1, 'ProductSprint Backlog'!$J159-'ProductSprint Backlog'!$I159), AND('ProductSprint Backlog'!$J159=J$2,'ProductSprint Backlog'!$I159=J$2), 'ProductSprint Backlog'!$F159, TRUE, 0)</f>
        <v/>
      </c>
      <c r="K159" s="4" t="str" cm="1">
        <f t="array" ref="K159">_xlfn.IFS('ProductSprint Backlog'!$F159="", "", AND('ProductSprint Backlog'!$J159&gt;K$2,'ProductSprint Backlog'!$I159&lt;=K$2), 'ProductSprint Backlog'!$F159 / MAX(1, 'ProductSprint Backlog'!$J159-'ProductSprint Backlog'!$I159), AND('ProductSprint Backlog'!$J159=K$2,'ProductSprint Backlog'!$I159=K$2), 'ProductSprint Backlog'!$F159, TRUE, 0)</f>
        <v/>
      </c>
      <c r="L159" s="4" t="str" cm="1">
        <f t="array" ref="L159">_xlfn.IFS('ProductSprint Backlog'!$F159="", "", AND('ProductSprint Backlog'!$J159&gt;L$2,'ProductSprint Backlog'!$I159&lt;=L$2), 'ProductSprint Backlog'!$F159 / MAX(1, 'ProductSprint Backlog'!$J159-'ProductSprint Backlog'!$I159), AND('ProductSprint Backlog'!$J159=L$2,'ProductSprint Backlog'!$I159=L$2), 'ProductSprint Backlog'!$F159, TRUE, 0)</f>
        <v/>
      </c>
      <c r="M159" s="4" t="str" cm="1">
        <f t="array" ref="M159">_xlfn.IFS('ProductSprint Backlog'!$F159="", "", AND('ProductSprint Backlog'!$J159&gt;M$2,'ProductSprint Backlog'!$I159&lt;=M$2), 'ProductSprint Backlog'!$F159 / MAX(1, 'ProductSprint Backlog'!$J159-'ProductSprint Backlog'!$I159), AND('ProductSprint Backlog'!$J159=M$2,'ProductSprint Backlog'!$I159=M$2), 'ProductSprint Backlog'!$F159, TRUE, 0)</f>
        <v/>
      </c>
      <c r="N159" s="4" t="str" cm="1">
        <f t="array" ref="N159">_xlfn.IFS('ProductSprint Backlog'!$F159="", "", AND('ProductSprint Backlog'!$J159&gt;N$2,'ProductSprint Backlog'!$I159&lt;=N$2), 'ProductSprint Backlog'!$F159 / MAX(1, 'ProductSprint Backlog'!$J159-'ProductSprint Backlog'!$I159), AND('ProductSprint Backlog'!$J159=N$2,'ProductSprint Backlog'!$I159=N$2), 'ProductSprint Backlog'!$F159, TRUE, 0)</f>
        <v/>
      </c>
      <c r="O159" s="4" t="str" cm="1">
        <f t="array" ref="O159">_xlfn.IFS('ProductSprint Backlog'!$F159="", "", AND('ProductSprint Backlog'!$J159&gt;O$2,'ProductSprint Backlog'!$I159&lt;=O$2), 'ProductSprint Backlog'!$F159 / MAX(1, 'ProductSprint Backlog'!$J159-'ProductSprint Backlog'!$I159), AND('ProductSprint Backlog'!$J159=O$2,'ProductSprint Backlog'!$I159=O$2), 'ProductSprint Backlog'!$F159, TRUE, 0)</f>
        <v/>
      </c>
      <c r="P159" s="4" t="str" cm="1">
        <f t="array" ref="P159">_xlfn.IFS('ProductSprint Backlog'!$F159="", "", AND('ProductSprint Backlog'!$J159&gt;P$2,'ProductSprint Backlog'!$I159&lt;=P$2), 'ProductSprint Backlog'!$F159 / MAX(1, 'ProductSprint Backlog'!$J159-'ProductSprint Backlog'!$I159), AND('ProductSprint Backlog'!$J159=P$2,'ProductSprint Backlog'!$I159=P$2), 'ProductSprint Backlog'!$F159, TRUE, 0)</f>
        <v/>
      </c>
      <c r="Q159" s="4" t="str" cm="1">
        <f t="array" ref="Q159">_xlfn.IFS('ProductSprint Backlog'!$F159="", "", AND('ProductSprint Backlog'!$J159&gt;Q$2,'ProductSprint Backlog'!$I159&lt;=Q$2), 'ProductSprint Backlog'!$F159 / MAX(1, 'ProductSprint Backlog'!$J159-'ProductSprint Backlog'!$I159), AND('ProductSprint Backlog'!$J159=Q$2,'ProductSprint Backlog'!$I159=Q$2), 'ProductSprint Backlog'!$F159, TRUE, 0)</f>
        <v/>
      </c>
    </row>
    <row r="160" spans="2:17" x14ac:dyDescent="0.2">
      <c r="B160" s="4" cm="1">
        <f t="array" ref="B160">_xlfn.IFS('ProductSprint Backlog'!$F160="", "", AND('ProductSprint Backlog'!$J160&gt;B$2,'ProductSprint Backlog'!$I160&lt;=B$2), 'ProductSprint Backlog'!$F160 / MAX(1, 'ProductSprint Backlog'!$J160-'ProductSprint Backlog'!$I160), AND('ProductSprint Backlog'!$J160=B$2,'ProductSprint Backlog'!$I160=B$2), 'ProductSprint Backlog'!$F160, TRUE, 0)</f>
        <v>0</v>
      </c>
      <c r="C160" s="4" cm="1">
        <f t="array" ref="C160">_xlfn.IFS('ProductSprint Backlog'!$F160="", "", AND('ProductSprint Backlog'!$J160&gt;C$2,'ProductSprint Backlog'!$I160&lt;=C$2), 'ProductSprint Backlog'!$F160 / MAX(1, 'ProductSprint Backlog'!$J160-'ProductSprint Backlog'!$I160), AND('ProductSprint Backlog'!$J160=C$2,'ProductSprint Backlog'!$I160=C$2), 'ProductSprint Backlog'!$F160, TRUE, 0)</f>
        <v>0</v>
      </c>
      <c r="D160" s="4" cm="1">
        <f t="array" ref="D160">_xlfn.IFS('ProductSprint Backlog'!$F160="", "", AND('ProductSprint Backlog'!$J160&gt;D$2,'ProductSprint Backlog'!$I160&lt;=D$2), 'ProductSprint Backlog'!$F160 / MAX(1, 'ProductSprint Backlog'!$J160-'ProductSprint Backlog'!$I160), AND('ProductSprint Backlog'!$J160=D$2,'ProductSprint Backlog'!$I160=D$2), 'ProductSprint Backlog'!$F160, TRUE, 0)</f>
        <v>0</v>
      </c>
      <c r="E160" s="4" cm="1">
        <f t="array" ref="E160">_xlfn.IFS('ProductSprint Backlog'!$F160="", "", AND('ProductSprint Backlog'!$J160&gt;E$2,'ProductSprint Backlog'!$I160&lt;=E$2), 'ProductSprint Backlog'!$F160 / MAX(1, 'ProductSprint Backlog'!$J160-'ProductSprint Backlog'!$I160), AND('ProductSprint Backlog'!$J160=E$2,'ProductSprint Backlog'!$I160=E$2), 'ProductSprint Backlog'!$F160, TRUE, 0)</f>
        <v>0</v>
      </c>
      <c r="F160" s="4" cm="1">
        <f t="array" ref="F160">_xlfn.IFS('ProductSprint Backlog'!$F160="", "", AND('ProductSprint Backlog'!$J160&gt;F$2,'ProductSprint Backlog'!$I160&lt;=F$2), 'ProductSprint Backlog'!$F160 / MAX(1, 'ProductSprint Backlog'!$J160-'ProductSprint Backlog'!$I160), AND('ProductSprint Backlog'!$J160=F$2,'ProductSprint Backlog'!$I160=F$2), 'ProductSprint Backlog'!$F160, TRUE, 0)</f>
        <v>0</v>
      </c>
      <c r="G160" s="4" cm="1">
        <f t="array" ref="G160">_xlfn.IFS('ProductSprint Backlog'!$F160="", "", AND('ProductSprint Backlog'!$J160&gt;G$2,'ProductSprint Backlog'!$I160&lt;=G$2), 'ProductSprint Backlog'!$F160 / MAX(1, 'ProductSprint Backlog'!$J160-'ProductSprint Backlog'!$I160), AND('ProductSprint Backlog'!$J160=G$2,'ProductSprint Backlog'!$I160=G$2), 'ProductSprint Backlog'!$F160, TRUE, 0)</f>
        <v>0</v>
      </c>
      <c r="H160" s="4" cm="1">
        <f t="array" ref="H160">_xlfn.IFS('ProductSprint Backlog'!$F160="", "", AND('ProductSprint Backlog'!$J160&gt;H$2,'ProductSprint Backlog'!$I160&lt;=H$2), 'ProductSprint Backlog'!$F160 / MAX(1, 'ProductSprint Backlog'!$J160-'ProductSprint Backlog'!$I160), AND('ProductSprint Backlog'!$J160=H$2,'ProductSprint Backlog'!$I160=H$2), 'ProductSprint Backlog'!$F160, TRUE, 0)</f>
        <v>0</v>
      </c>
      <c r="I160" s="4" cm="1">
        <f t="array" ref="I160">_xlfn.IFS('ProductSprint Backlog'!$F160="", "", AND('ProductSprint Backlog'!$J160&gt;I$2,'ProductSprint Backlog'!$I160&lt;=I$2), 'ProductSprint Backlog'!$F160 / MAX(1, 'ProductSprint Backlog'!$J160-'ProductSprint Backlog'!$I160), AND('ProductSprint Backlog'!$J160=I$2,'ProductSprint Backlog'!$I160=I$2), 'ProductSprint Backlog'!$F160, TRUE, 0)</f>
        <v>0</v>
      </c>
      <c r="J160" s="4" cm="1">
        <f t="array" ref="J160">_xlfn.IFS('ProductSprint Backlog'!$F160="", "", AND('ProductSprint Backlog'!$J160&gt;J$2,'ProductSprint Backlog'!$I160&lt;=J$2), 'ProductSprint Backlog'!$F160 / MAX(1, 'ProductSprint Backlog'!$J160-'ProductSprint Backlog'!$I160), AND('ProductSprint Backlog'!$J160=J$2,'ProductSprint Backlog'!$I160=J$2), 'ProductSprint Backlog'!$F160, TRUE, 0)</f>
        <v>0</v>
      </c>
      <c r="K160" s="4" cm="1">
        <f t="array" ref="K160">_xlfn.IFS('ProductSprint Backlog'!$F160="", "", AND('ProductSprint Backlog'!$J160&gt;K$2,'ProductSprint Backlog'!$I160&lt;=K$2), 'ProductSprint Backlog'!$F160 / MAX(1, 'ProductSprint Backlog'!$J160-'ProductSprint Backlog'!$I160), AND('ProductSprint Backlog'!$J160=K$2,'ProductSprint Backlog'!$I160=K$2), 'ProductSprint Backlog'!$F160, TRUE, 0)</f>
        <v>0</v>
      </c>
      <c r="L160" s="4" cm="1">
        <f t="array" ref="L160">_xlfn.IFS('ProductSprint Backlog'!$F160="", "", AND('ProductSprint Backlog'!$J160&gt;L$2,'ProductSprint Backlog'!$I160&lt;=L$2), 'ProductSprint Backlog'!$F160 / MAX(1, 'ProductSprint Backlog'!$J160-'ProductSprint Backlog'!$I160), AND('ProductSprint Backlog'!$J160=L$2,'ProductSprint Backlog'!$I160=L$2), 'ProductSprint Backlog'!$F160, TRUE, 0)</f>
        <v>0</v>
      </c>
      <c r="M160" s="4" cm="1">
        <f t="array" ref="M160">_xlfn.IFS('ProductSprint Backlog'!$F160="", "", AND('ProductSprint Backlog'!$J160&gt;M$2,'ProductSprint Backlog'!$I160&lt;=M$2), 'ProductSprint Backlog'!$F160 / MAX(1, 'ProductSprint Backlog'!$J160-'ProductSprint Backlog'!$I160), AND('ProductSprint Backlog'!$J160=M$2,'ProductSprint Backlog'!$I160=M$2), 'ProductSprint Backlog'!$F160, TRUE, 0)</f>
        <v>0</v>
      </c>
      <c r="N160" s="4" cm="1">
        <f t="array" ref="N160">_xlfn.IFS('ProductSprint Backlog'!$F160="", "", AND('ProductSprint Backlog'!$J160&gt;N$2,'ProductSprint Backlog'!$I160&lt;=N$2), 'ProductSprint Backlog'!$F160 / MAX(1, 'ProductSprint Backlog'!$J160-'ProductSprint Backlog'!$I160), AND('ProductSprint Backlog'!$J160=N$2,'ProductSprint Backlog'!$I160=N$2), 'ProductSprint Backlog'!$F160, TRUE, 0)</f>
        <v>0</v>
      </c>
      <c r="O160" s="4" cm="1">
        <f t="array" ref="O160">_xlfn.IFS('ProductSprint Backlog'!$F160="", "", AND('ProductSprint Backlog'!$J160&gt;O$2,'ProductSprint Backlog'!$I160&lt;=O$2), 'ProductSprint Backlog'!$F160 / MAX(1, 'ProductSprint Backlog'!$J160-'ProductSprint Backlog'!$I160), AND('ProductSprint Backlog'!$J160=O$2,'ProductSprint Backlog'!$I160=O$2), 'ProductSprint Backlog'!$F160, TRUE, 0)</f>
        <v>0</v>
      </c>
      <c r="P160" s="4" cm="1">
        <f t="array" ref="P160">_xlfn.IFS('ProductSprint Backlog'!$F160="", "", AND('ProductSprint Backlog'!$J160&gt;P$2,'ProductSprint Backlog'!$I160&lt;=P$2), 'ProductSprint Backlog'!$F160 / MAX(1, 'ProductSprint Backlog'!$J160-'ProductSprint Backlog'!$I160), AND('ProductSprint Backlog'!$J160=P$2,'ProductSprint Backlog'!$I160=P$2), 'ProductSprint Backlog'!$F160, TRUE, 0)</f>
        <v>0</v>
      </c>
      <c r="Q160" s="4" cm="1">
        <f t="array" ref="Q160">_xlfn.IFS('ProductSprint Backlog'!$F160="", "", AND('ProductSprint Backlog'!$J160&gt;Q$2,'ProductSprint Backlog'!$I160&lt;=Q$2), 'ProductSprint Backlog'!$F160 / MAX(1, 'ProductSprint Backlog'!$J160-'ProductSprint Backlog'!$I160), AND('ProductSprint Backlog'!$J160=Q$2,'ProductSprint Backlog'!$I160=Q$2), 'ProductSprint Backlog'!$F160, TRUE, 0)</f>
        <v>0</v>
      </c>
    </row>
    <row r="161" spans="2:17" x14ac:dyDescent="0.2">
      <c r="B161" s="4" cm="1">
        <f t="array" ref="B161">_xlfn.IFS('ProductSprint Backlog'!$F161="", "", AND('ProductSprint Backlog'!$J161&gt;B$2,'ProductSprint Backlog'!$I161&lt;=B$2), 'ProductSprint Backlog'!$F161 / MAX(1, 'ProductSprint Backlog'!$J161-'ProductSprint Backlog'!$I161), AND('ProductSprint Backlog'!$J161=B$2,'ProductSprint Backlog'!$I161=B$2), 'ProductSprint Backlog'!$F161, TRUE, 0)</f>
        <v>0</v>
      </c>
      <c r="C161" s="4" cm="1">
        <f t="array" ref="C161">_xlfn.IFS('ProductSprint Backlog'!$F161="", "", AND('ProductSprint Backlog'!$J161&gt;C$2,'ProductSprint Backlog'!$I161&lt;=C$2), 'ProductSprint Backlog'!$F161 / MAX(1, 'ProductSprint Backlog'!$J161-'ProductSprint Backlog'!$I161), AND('ProductSprint Backlog'!$J161=C$2,'ProductSprint Backlog'!$I161=C$2), 'ProductSprint Backlog'!$F161, TRUE, 0)</f>
        <v>0</v>
      </c>
      <c r="D161" s="4" cm="1">
        <f t="array" ref="D161">_xlfn.IFS('ProductSprint Backlog'!$F161="", "", AND('ProductSprint Backlog'!$J161&gt;D$2,'ProductSprint Backlog'!$I161&lt;=D$2), 'ProductSprint Backlog'!$F161 / MAX(1, 'ProductSprint Backlog'!$J161-'ProductSprint Backlog'!$I161), AND('ProductSprint Backlog'!$J161=D$2,'ProductSprint Backlog'!$I161=D$2), 'ProductSprint Backlog'!$F161, TRUE, 0)</f>
        <v>0</v>
      </c>
      <c r="E161" s="4" cm="1">
        <f t="array" ref="E161">_xlfn.IFS('ProductSprint Backlog'!$F161="", "", AND('ProductSprint Backlog'!$J161&gt;E$2,'ProductSprint Backlog'!$I161&lt;=E$2), 'ProductSprint Backlog'!$F161 / MAX(1, 'ProductSprint Backlog'!$J161-'ProductSprint Backlog'!$I161), AND('ProductSprint Backlog'!$J161=E$2,'ProductSprint Backlog'!$I161=E$2), 'ProductSprint Backlog'!$F161, TRUE, 0)</f>
        <v>0</v>
      </c>
      <c r="F161" s="4" cm="1">
        <f t="array" ref="F161">_xlfn.IFS('ProductSprint Backlog'!$F161="", "", AND('ProductSprint Backlog'!$J161&gt;F$2,'ProductSprint Backlog'!$I161&lt;=F$2), 'ProductSprint Backlog'!$F161 / MAX(1, 'ProductSprint Backlog'!$J161-'ProductSprint Backlog'!$I161), AND('ProductSprint Backlog'!$J161=F$2,'ProductSprint Backlog'!$I161=F$2), 'ProductSprint Backlog'!$F161, TRUE, 0)</f>
        <v>0</v>
      </c>
      <c r="G161" s="4" cm="1">
        <f t="array" ref="G161">_xlfn.IFS('ProductSprint Backlog'!$F161="", "", AND('ProductSprint Backlog'!$J161&gt;G$2,'ProductSprint Backlog'!$I161&lt;=G$2), 'ProductSprint Backlog'!$F161 / MAX(1, 'ProductSprint Backlog'!$J161-'ProductSprint Backlog'!$I161), AND('ProductSprint Backlog'!$J161=G$2,'ProductSprint Backlog'!$I161=G$2), 'ProductSprint Backlog'!$F161, TRUE, 0)</f>
        <v>0</v>
      </c>
      <c r="H161" s="4" cm="1">
        <f t="array" ref="H161">_xlfn.IFS('ProductSprint Backlog'!$F161="", "", AND('ProductSprint Backlog'!$J161&gt;H$2,'ProductSprint Backlog'!$I161&lt;=H$2), 'ProductSprint Backlog'!$F161 / MAX(1, 'ProductSprint Backlog'!$J161-'ProductSprint Backlog'!$I161), AND('ProductSprint Backlog'!$J161=H$2,'ProductSprint Backlog'!$I161=H$2), 'ProductSprint Backlog'!$F161, TRUE, 0)</f>
        <v>0</v>
      </c>
      <c r="I161" s="4" cm="1">
        <f t="array" ref="I161">_xlfn.IFS('ProductSprint Backlog'!$F161="", "", AND('ProductSprint Backlog'!$J161&gt;I$2,'ProductSprint Backlog'!$I161&lt;=I$2), 'ProductSprint Backlog'!$F161 / MAX(1, 'ProductSprint Backlog'!$J161-'ProductSprint Backlog'!$I161), AND('ProductSprint Backlog'!$J161=I$2,'ProductSprint Backlog'!$I161=I$2), 'ProductSprint Backlog'!$F161, TRUE, 0)</f>
        <v>0</v>
      </c>
      <c r="J161" s="4" cm="1">
        <f t="array" ref="J161">_xlfn.IFS('ProductSprint Backlog'!$F161="", "", AND('ProductSprint Backlog'!$J161&gt;J$2,'ProductSprint Backlog'!$I161&lt;=J$2), 'ProductSprint Backlog'!$F161 / MAX(1, 'ProductSprint Backlog'!$J161-'ProductSprint Backlog'!$I161), AND('ProductSprint Backlog'!$J161=J$2,'ProductSprint Backlog'!$I161=J$2), 'ProductSprint Backlog'!$F161, TRUE, 0)</f>
        <v>0</v>
      </c>
      <c r="K161" s="4" cm="1">
        <f t="array" ref="K161">_xlfn.IFS('ProductSprint Backlog'!$F161="", "", AND('ProductSprint Backlog'!$J161&gt;K$2,'ProductSprint Backlog'!$I161&lt;=K$2), 'ProductSprint Backlog'!$F161 / MAX(1, 'ProductSprint Backlog'!$J161-'ProductSprint Backlog'!$I161), AND('ProductSprint Backlog'!$J161=K$2,'ProductSprint Backlog'!$I161=K$2), 'ProductSprint Backlog'!$F161, TRUE, 0)</f>
        <v>0</v>
      </c>
      <c r="L161" s="4" cm="1">
        <f t="array" ref="L161">_xlfn.IFS('ProductSprint Backlog'!$F161="", "", AND('ProductSprint Backlog'!$J161&gt;L$2,'ProductSprint Backlog'!$I161&lt;=L$2), 'ProductSprint Backlog'!$F161 / MAX(1, 'ProductSprint Backlog'!$J161-'ProductSprint Backlog'!$I161), AND('ProductSprint Backlog'!$J161=L$2,'ProductSprint Backlog'!$I161=L$2), 'ProductSprint Backlog'!$F161, TRUE, 0)</f>
        <v>0</v>
      </c>
      <c r="M161" s="4" cm="1">
        <f t="array" ref="M161">_xlfn.IFS('ProductSprint Backlog'!$F161="", "", AND('ProductSprint Backlog'!$J161&gt;M$2,'ProductSprint Backlog'!$I161&lt;=M$2), 'ProductSprint Backlog'!$F161 / MAX(1, 'ProductSprint Backlog'!$J161-'ProductSprint Backlog'!$I161), AND('ProductSprint Backlog'!$J161=M$2,'ProductSprint Backlog'!$I161=M$2), 'ProductSprint Backlog'!$F161, TRUE, 0)</f>
        <v>0</v>
      </c>
      <c r="N161" s="4" cm="1">
        <f t="array" ref="N161">_xlfn.IFS('ProductSprint Backlog'!$F161="", "", AND('ProductSprint Backlog'!$J161&gt;N$2,'ProductSprint Backlog'!$I161&lt;=N$2), 'ProductSprint Backlog'!$F161 / MAX(1, 'ProductSprint Backlog'!$J161-'ProductSprint Backlog'!$I161), AND('ProductSprint Backlog'!$J161=N$2,'ProductSprint Backlog'!$I161=N$2), 'ProductSprint Backlog'!$F161, TRUE, 0)</f>
        <v>0</v>
      </c>
      <c r="O161" s="4" cm="1">
        <f t="array" ref="O161">_xlfn.IFS('ProductSprint Backlog'!$F161="", "", AND('ProductSprint Backlog'!$J161&gt;O$2,'ProductSprint Backlog'!$I161&lt;=O$2), 'ProductSprint Backlog'!$F161 / MAX(1, 'ProductSprint Backlog'!$J161-'ProductSprint Backlog'!$I161), AND('ProductSprint Backlog'!$J161=O$2,'ProductSprint Backlog'!$I161=O$2), 'ProductSprint Backlog'!$F161, TRUE, 0)</f>
        <v>0</v>
      </c>
      <c r="P161" s="4" cm="1">
        <f t="array" ref="P161">_xlfn.IFS('ProductSprint Backlog'!$F161="", "", AND('ProductSprint Backlog'!$J161&gt;P$2,'ProductSprint Backlog'!$I161&lt;=P$2), 'ProductSprint Backlog'!$F161 / MAX(1, 'ProductSprint Backlog'!$J161-'ProductSprint Backlog'!$I161), AND('ProductSprint Backlog'!$J161=P$2,'ProductSprint Backlog'!$I161=P$2), 'ProductSprint Backlog'!$F161, TRUE, 0)</f>
        <v>0</v>
      </c>
      <c r="Q161" s="4" cm="1">
        <f t="array" ref="Q161">_xlfn.IFS('ProductSprint Backlog'!$F161="", "", AND('ProductSprint Backlog'!$J161&gt;Q$2,'ProductSprint Backlog'!$I161&lt;=Q$2), 'ProductSprint Backlog'!$F161 / MAX(1, 'ProductSprint Backlog'!$J161-'ProductSprint Backlog'!$I161), AND('ProductSprint Backlog'!$J161=Q$2,'ProductSprint Backlog'!$I161=Q$2), 'ProductSprint Backlog'!$F161, TRUE, 0)</f>
        <v>0</v>
      </c>
    </row>
    <row r="162" spans="2:17" x14ac:dyDescent="0.2">
      <c r="B162" s="4" cm="1">
        <f t="array" ref="B162">_xlfn.IFS('ProductSprint Backlog'!$F162="", "", AND('ProductSprint Backlog'!$J162&gt;B$2,'ProductSprint Backlog'!$I162&lt;=B$2), 'ProductSprint Backlog'!$F162 / MAX(1, 'ProductSprint Backlog'!$J162-'ProductSprint Backlog'!$I162), AND('ProductSprint Backlog'!$J162=B$2,'ProductSprint Backlog'!$I162=B$2), 'ProductSprint Backlog'!$F162, TRUE, 0)</f>
        <v>0</v>
      </c>
      <c r="C162" s="4" cm="1">
        <f t="array" ref="C162">_xlfn.IFS('ProductSprint Backlog'!$F162="", "", AND('ProductSprint Backlog'!$J162&gt;C$2,'ProductSprint Backlog'!$I162&lt;=C$2), 'ProductSprint Backlog'!$F162 / MAX(1, 'ProductSprint Backlog'!$J162-'ProductSprint Backlog'!$I162), AND('ProductSprint Backlog'!$J162=C$2,'ProductSprint Backlog'!$I162=C$2), 'ProductSprint Backlog'!$F162, TRUE, 0)</f>
        <v>0</v>
      </c>
      <c r="D162" s="4" cm="1">
        <f t="array" ref="D162">_xlfn.IFS('ProductSprint Backlog'!$F162="", "", AND('ProductSprint Backlog'!$J162&gt;D$2,'ProductSprint Backlog'!$I162&lt;=D$2), 'ProductSprint Backlog'!$F162 / MAX(1, 'ProductSprint Backlog'!$J162-'ProductSprint Backlog'!$I162), AND('ProductSprint Backlog'!$J162=D$2,'ProductSprint Backlog'!$I162=D$2), 'ProductSprint Backlog'!$F162, TRUE, 0)</f>
        <v>0</v>
      </c>
      <c r="E162" s="4" cm="1">
        <f t="array" ref="E162">_xlfn.IFS('ProductSprint Backlog'!$F162="", "", AND('ProductSprint Backlog'!$J162&gt;E$2,'ProductSprint Backlog'!$I162&lt;=E$2), 'ProductSprint Backlog'!$F162 / MAX(1, 'ProductSprint Backlog'!$J162-'ProductSprint Backlog'!$I162), AND('ProductSprint Backlog'!$J162=E$2,'ProductSprint Backlog'!$I162=E$2), 'ProductSprint Backlog'!$F162, TRUE, 0)</f>
        <v>0</v>
      </c>
      <c r="F162" s="4" cm="1">
        <f t="array" ref="F162">_xlfn.IFS('ProductSprint Backlog'!$F162="", "", AND('ProductSprint Backlog'!$J162&gt;F$2,'ProductSprint Backlog'!$I162&lt;=F$2), 'ProductSprint Backlog'!$F162 / MAX(1, 'ProductSprint Backlog'!$J162-'ProductSprint Backlog'!$I162), AND('ProductSprint Backlog'!$J162=F$2,'ProductSprint Backlog'!$I162=F$2), 'ProductSprint Backlog'!$F162, TRUE, 0)</f>
        <v>0</v>
      </c>
      <c r="G162" s="4" cm="1">
        <f t="array" ref="G162">_xlfn.IFS('ProductSprint Backlog'!$F162="", "", AND('ProductSprint Backlog'!$J162&gt;G$2,'ProductSprint Backlog'!$I162&lt;=G$2), 'ProductSprint Backlog'!$F162 / MAX(1, 'ProductSprint Backlog'!$J162-'ProductSprint Backlog'!$I162), AND('ProductSprint Backlog'!$J162=G$2,'ProductSprint Backlog'!$I162=G$2), 'ProductSprint Backlog'!$F162, TRUE, 0)</f>
        <v>0</v>
      </c>
      <c r="H162" s="4" cm="1">
        <f t="array" ref="H162">_xlfn.IFS('ProductSprint Backlog'!$F162="", "", AND('ProductSprint Backlog'!$J162&gt;H$2,'ProductSprint Backlog'!$I162&lt;=H$2), 'ProductSprint Backlog'!$F162 / MAX(1, 'ProductSprint Backlog'!$J162-'ProductSprint Backlog'!$I162), AND('ProductSprint Backlog'!$J162=H$2,'ProductSprint Backlog'!$I162=H$2), 'ProductSprint Backlog'!$F162, TRUE, 0)</f>
        <v>0</v>
      </c>
      <c r="I162" s="4" cm="1">
        <f t="array" ref="I162">_xlfn.IFS('ProductSprint Backlog'!$F162="", "", AND('ProductSprint Backlog'!$J162&gt;I$2,'ProductSprint Backlog'!$I162&lt;=I$2), 'ProductSprint Backlog'!$F162 / MAX(1, 'ProductSprint Backlog'!$J162-'ProductSprint Backlog'!$I162), AND('ProductSprint Backlog'!$J162=I$2,'ProductSprint Backlog'!$I162=I$2), 'ProductSprint Backlog'!$F162, TRUE, 0)</f>
        <v>0</v>
      </c>
      <c r="J162" s="4" cm="1">
        <f t="array" ref="J162">_xlfn.IFS('ProductSprint Backlog'!$F162="", "", AND('ProductSprint Backlog'!$J162&gt;J$2,'ProductSprint Backlog'!$I162&lt;=J$2), 'ProductSprint Backlog'!$F162 / MAX(1, 'ProductSprint Backlog'!$J162-'ProductSprint Backlog'!$I162), AND('ProductSprint Backlog'!$J162=J$2,'ProductSprint Backlog'!$I162=J$2), 'ProductSprint Backlog'!$F162, TRUE, 0)</f>
        <v>0</v>
      </c>
      <c r="K162" s="4" cm="1">
        <f t="array" ref="K162">_xlfn.IFS('ProductSprint Backlog'!$F162="", "", AND('ProductSprint Backlog'!$J162&gt;K$2,'ProductSprint Backlog'!$I162&lt;=K$2), 'ProductSprint Backlog'!$F162 / MAX(1, 'ProductSprint Backlog'!$J162-'ProductSprint Backlog'!$I162), AND('ProductSprint Backlog'!$J162=K$2,'ProductSprint Backlog'!$I162=K$2), 'ProductSprint Backlog'!$F162, TRUE, 0)</f>
        <v>0</v>
      </c>
      <c r="L162" s="4" cm="1">
        <f t="array" ref="L162">_xlfn.IFS('ProductSprint Backlog'!$F162="", "", AND('ProductSprint Backlog'!$J162&gt;L$2,'ProductSprint Backlog'!$I162&lt;=L$2), 'ProductSprint Backlog'!$F162 / MAX(1, 'ProductSprint Backlog'!$J162-'ProductSprint Backlog'!$I162), AND('ProductSprint Backlog'!$J162=L$2,'ProductSprint Backlog'!$I162=L$2), 'ProductSprint Backlog'!$F162, TRUE, 0)</f>
        <v>0</v>
      </c>
      <c r="M162" s="4" cm="1">
        <f t="array" ref="M162">_xlfn.IFS('ProductSprint Backlog'!$F162="", "", AND('ProductSprint Backlog'!$J162&gt;M$2,'ProductSprint Backlog'!$I162&lt;=M$2), 'ProductSprint Backlog'!$F162 / MAX(1, 'ProductSprint Backlog'!$J162-'ProductSprint Backlog'!$I162), AND('ProductSprint Backlog'!$J162=M$2,'ProductSprint Backlog'!$I162=M$2), 'ProductSprint Backlog'!$F162, TRUE, 0)</f>
        <v>0</v>
      </c>
      <c r="N162" s="4" cm="1">
        <f t="array" ref="N162">_xlfn.IFS('ProductSprint Backlog'!$F162="", "", AND('ProductSprint Backlog'!$J162&gt;N$2,'ProductSprint Backlog'!$I162&lt;=N$2), 'ProductSprint Backlog'!$F162 / MAX(1, 'ProductSprint Backlog'!$J162-'ProductSprint Backlog'!$I162), AND('ProductSprint Backlog'!$J162=N$2,'ProductSprint Backlog'!$I162=N$2), 'ProductSprint Backlog'!$F162, TRUE, 0)</f>
        <v>0</v>
      </c>
      <c r="O162" s="4" cm="1">
        <f t="array" ref="O162">_xlfn.IFS('ProductSprint Backlog'!$F162="", "", AND('ProductSprint Backlog'!$J162&gt;O$2,'ProductSprint Backlog'!$I162&lt;=O$2), 'ProductSprint Backlog'!$F162 / MAX(1, 'ProductSprint Backlog'!$J162-'ProductSprint Backlog'!$I162), AND('ProductSprint Backlog'!$J162=O$2,'ProductSprint Backlog'!$I162=O$2), 'ProductSprint Backlog'!$F162, TRUE, 0)</f>
        <v>0</v>
      </c>
      <c r="P162" s="4" cm="1">
        <f t="array" ref="P162">_xlfn.IFS('ProductSprint Backlog'!$F162="", "", AND('ProductSprint Backlog'!$J162&gt;P$2,'ProductSprint Backlog'!$I162&lt;=P$2), 'ProductSprint Backlog'!$F162 / MAX(1, 'ProductSprint Backlog'!$J162-'ProductSprint Backlog'!$I162), AND('ProductSprint Backlog'!$J162=P$2,'ProductSprint Backlog'!$I162=P$2), 'ProductSprint Backlog'!$F162, TRUE, 0)</f>
        <v>0</v>
      </c>
      <c r="Q162" s="4" cm="1">
        <f t="array" ref="Q162">_xlfn.IFS('ProductSprint Backlog'!$F162="", "", AND('ProductSprint Backlog'!$J162&gt;Q$2,'ProductSprint Backlog'!$I162&lt;=Q$2), 'ProductSprint Backlog'!$F162 / MAX(1, 'ProductSprint Backlog'!$J162-'ProductSprint Backlog'!$I162), AND('ProductSprint Backlog'!$J162=Q$2,'ProductSprint Backlog'!$I162=Q$2), 'ProductSprint Backlog'!$F162, TRUE, 0)</f>
        <v>0</v>
      </c>
    </row>
    <row r="163" spans="2:17" x14ac:dyDescent="0.2">
      <c r="B163" s="4" cm="1">
        <f t="array" ref="B163">_xlfn.IFS('ProductSprint Backlog'!$F163="", "", AND('ProductSprint Backlog'!$J163&gt;B$2,'ProductSprint Backlog'!$I163&lt;=B$2), 'ProductSprint Backlog'!$F163 / MAX(1, 'ProductSprint Backlog'!$J163-'ProductSprint Backlog'!$I163), AND('ProductSprint Backlog'!$J163=B$2,'ProductSprint Backlog'!$I163=B$2), 'ProductSprint Backlog'!$F163, TRUE, 0)</f>
        <v>0</v>
      </c>
      <c r="C163" s="4" cm="1">
        <f t="array" ref="C163">_xlfn.IFS('ProductSprint Backlog'!$F163="", "", AND('ProductSprint Backlog'!$J163&gt;C$2,'ProductSprint Backlog'!$I163&lt;=C$2), 'ProductSprint Backlog'!$F163 / MAX(1, 'ProductSprint Backlog'!$J163-'ProductSprint Backlog'!$I163), AND('ProductSprint Backlog'!$J163=C$2,'ProductSprint Backlog'!$I163=C$2), 'ProductSprint Backlog'!$F163, TRUE, 0)</f>
        <v>0</v>
      </c>
      <c r="D163" s="4" cm="1">
        <f t="array" ref="D163">_xlfn.IFS('ProductSprint Backlog'!$F163="", "", AND('ProductSprint Backlog'!$J163&gt;D$2,'ProductSprint Backlog'!$I163&lt;=D$2), 'ProductSprint Backlog'!$F163 / MAX(1, 'ProductSprint Backlog'!$J163-'ProductSprint Backlog'!$I163), AND('ProductSprint Backlog'!$J163=D$2,'ProductSprint Backlog'!$I163=D$2), 'ProductSprint Backlog'!$F163, TRUE, 0)</f>
        <v>0</v>
      </c>
      <c r="E163" s="4" cm="1">
        <f t="array" ref="E163">_xlfn.IFS('ProductSprint Backlog'!$F163="", "", AND('ProductSprint Backlog'!$J163&gt;E$2,'ProductSprint Backlog'!$I163&lt;=E$2), 'ProductSprint Backlog'!$F163 / MAX(1, 'ProductSprint Backlog'!$J163-'ProductSprint Backlog'!$I163), AND('ProductSprint Backlog'!$J163=E$2,'ProductSprint Backlog'!$I163=E$2), 'ProductSprint Backlog'!$F163, TRUE, 0)</f>
        <v>0</v>
      </c>
      <c r="F163" s="4" cm="1">
        <f t="array" ref="F163">_xlfn.IFS('ProductSprint Backlog'!$F163="", "", AND('ProductSprint Backlog'!$J163&gt;F$2,'ProductSprint Backlog'!$I163&lt;=F$2), 'ProductSprint Backlog'!$F163 / MAX(1, 'ProductSprint Backlog'!$J163-'ProductSprint Backlog'!$I163), AND('ProductSprint Backlog'!$J163=F$2,'ProductSprint Backlog'!$I163=F$2), 'ProductSprint Backlog'!$F163, TRUE, 0)</f>
        <v>0</v>
      </c>
      <c r="G163" s="4" cm="1">
        <f t="array" ref="G163">_xlfn.IFS('ProductSprint Backlog'!$F163="", "", AND('ProductSprint Backlog'!$J163&gt;G$2,'ProductSprint Backlog'!$I163&lt;=G$2), 'ProductSprint Backlog'!$F163 / MAX(1, 'ProductSprint Backlog'!$J163-'ProductSprint Backlog'!$I163), AND('ProductSprint Backlog'!$J163=G$2,'ProductSprint Backlog'!$I163=G$2), 'ProductSprint Backlog'!$F163, TRUE, 0)</f>
        <v>0</v>
      </c>
      <c r="H163" s="4" cm="1">
        <f t="array" ref="H163">_xlfn.IFS('ProductSprint Backlog'!$F163="", "", AND('ProductSprint Backlog'!$J163&gt;H$2,'ProductSprint Backlog'!$I163&lt;=H$2), 'ProductSprint Backlog'!$F163 / MAX(1, 'ProductSprint Backlog'!$J163-'ProductSprint Backlog'!$I163), AND('ProductSprint Backlog'!$J163=H$2,'ProductSprint Backlog'!$I163=H$2), 'ProductSprint Backlog'!$F163, TRUE, 0)</f>
        <v>0</v>
      </c>
      <c r="I163" s="4" cm="1">
        <f t="array" ref="I163">_xlfn.IFS('ProductSprint Backlog'!$F163="", "", AND('ProductSprint Backlog'!$J163&gt;I$2,'ProductSprint Backlog'!$I163&lt;=I$2), 'ProductSprint Backlog'!$F163 / MAX(1, 'ProductSprint Backlog'!$J163-'ProductSprint Backlog'!$I163), AND('ProductSprint Backlog'!$J163=I$2,'ProductSprint Backlog'!$I163=I$2), 'ProductSprint Backlog'!$F163, TRUE, 0)</f>
        <v>0</v>
      </c>
      <c r="J163" s="4" cm="1">
        <f t="array" ref="J163">_xlfn.IFS('ProductSprint Backlog'!$F163="", "", AND('ProductSprint Backlog'!$J163&gt;J$2,'ProductSprint Backlog'!$I163&lt;=J$2), 'ProductSprint Backlog'!$F163 / MAX(1, 'ProductSprint Backlog'!$J163-'ProductSprint Backlog'!$I163), AND('ProductSprint Backlog'!$J163=J$2,'ProductSprint Backlog'!$I163=J$2), 'ProductSprint Backlog'!$F163, TRUE, 0)</f>
        <v>0</v>
      </c>
      <c r="K163" s="4" cm="1">
        <f t="array" ref="K163">_xlfn.IFS('ProductSprint Backlog'!$F163="", "", AND('ProductSprint Backlog'!$J163&gt;K$2,'ProductSprint Backlog'!$I163&lt;=K$2), 'ProductSprint Backlog'!$F163 / MAX(1, 'ProductSprint Backlog'!$J163-'ProductSprint Backlog'!$I163), AND('ProductSprint Backlog'!$J163=K$2,'ProductSprint Backlog'!$I163=K$2), 'ProductSprint Backlog'!$F163, TRUE, 0)</f>
        <v>0</v>
      </c>
      <c r="L163" s="4" cm="1">
        <f t="array" ref="L163">_xlfn.IFS('ProductSprint Backlog'!$F163="", "", AND('ProductSprint Backlog'!$J163&gt;L$2,'ProductSprint Backlog'!$I163&lt;=L$2), 'ProductSprint Backlog'!$F163 / MAX(1, 'ProductSprint Backlog'!$J163-'ProductSprint Backlog'!$I163), AND('ProductSprint Backlog'!$J163=L$2,'ProductSprint Backlog'!$I163=L$2), 'ProductSprint Backlog'!$F163, TRUE, 0)</f>
        <v>0</v>
      </c>
      <c r="M163" s="4" cm="1">
        <f t="array" ref="M163">_xlfn.IFS('ProductSprint Backlog'!$F163="", "", AND('ProductSprint Backlog'!$J163&gt;M$2,'ProductSprint Backlog'!$I163&lt;=M$2), 'ProductSprint Backlog'!$F163 / MAX(1, 'ProductSprint Backlog'!$J163-'ProductSprint Backlog'!$I163), AND('ProductSprint Backlog'!$J163=M$2,'ProductSprint Backlog'!$I163=M$2), 'ProductSprint Backlog'!$F163, TRUE, 0)</f>
        <v>0</v>
      </c>
      <c r="N163" s="4" cm="1">
        <f t="array" ref="N163">_xlfn.IFS('ProductSprint Backlog'!$F163="", "", AND('ProductSprint Backlog'!$J163&gt;N$2,'ProductSprint Backlog'!$I163&lt;=N$2), 'ProductSprint Backlog'!$F163 / MAX(1, 'ProductSprint Backlog'!$J163-'ProductSprint Backlog'!$I163), AND('ProductSprint Backlog'!$J163=N$2,'ProductSprint Backlog'!$I163=N$2), 'ProductSprint Backlog'!$F163, TRUE, 0)</f>
        <v>0</v>
      </c>
      <c r="O163" s="4" cm="1">
        <f t="array" ref="O163">_xlfn.IFS('ProductSprint Backlog'!$F163="", "", AND('ProductSprint Backlog'!$J163&gt;O$2,'ProductSprint Backlog'!$I163&lt;=O$2), 'ProductSprint Backlog'!$F163 / MAX(1, 'ProductSprint Backlog'!$J163-'ProductSprint Backlog'!$I163), AND('ProductSprint Backlog'!$J163=O$2,'ProductSprint Backlog'!$I163=O$2), 'ProductSprint Backlog'!$F163, TRUE, 0)</f>
        <v>0</v>
      </c>
      <c r="P163" s="4" cm="1">
        <f t="array" ref="P163">_xlfn.IFS('ProductSprint Backlog'!$F163="", "", AND('ProductSprint Backlog'!$J163&gt;P$2,'ProductSprint Backlog'!$I163&lt;=P$2), 'ProductSprint Backlog'!$F163 / MAX(1, 'ProductSprint Backlog'!$J163-'ProductSprint Backlog'!$I163), AND('ProductSprint Backlog'!$J163=P$2,'ProductSprint Backlog'!$I163=P$2), 'ProductSprint Backlog'!$F163, TRUE, 0)</f>
        <v>0</v>
      </c>
      <c r="Q163" s="4" cm="1">
        <f t="array" ref="Q163">_xlfn.IFS('ProductSprint Backlog'!$F163="", "", AND('ProductSprint Backlog'!$J163&gt;Q$2,'ProductSprint Backlog'!$I163&lt;=Q$2), 'ProductSprint Backlog'!$F163 / MAX(1, 'ProductSprint Backlog'!$J163-'ProductSprint Backlog'!$I163), AND('ProductSprint Backlog'!$J163=Q$2,'ProductSprint Backlog'!$I163=Q$2), 'ProductSprint Backlog'!$F163, TRUE, 0)</f>
        <v>0</v>
      </c>
    </row>
    <row r="164" spans="2:17" x14ac:dyDescent="0.2">
      <c r="B164" s="4" cm="1">
        <f t="array" ref="B164">_xlfn.IFS('ProductSprint Backlog'!$F164="", "", AND('ProductSprint Backlog'!$J164&gt;B$2,'ProductSprint Backlog'!$I164&lt;=B$2), 'ProductSprint Backlog'!$F164 / MAX(1, 'ProductSprint Backlog'!$J164-'ProductSprint Backlog'!$I164), AND('ProductSprint Backlog'!$J164=B$2,'ProductSprint Backlog'!$I164=B$2), 'ProductSprint Backlog'!$F164, TRUE, 0)</f>
        <v>0</v>
      </c>
      <c r="C164" s="4" cm="1">
        <f t="array" ref="C164">_xlfn.IFS('ProductSprint Backlog'!$F164="", "", AND('ProductSprint Backlog'!$J164&gt;C$2,'ProductSprint Backlog'!$I164&lt;=C$2), 'ProductSprint Backlog'!$F164 / MAX(1, 'ProductSprint Backlog'!$J164-'ProductSprint Backlog'!$I164), AND('ProductSprint Backlog'!$J164=C$2,'ProductSprint Backlog'!$I164=C$2), 'ProductSprint Backlog'!$F164, TRUE, 0)</f>
        <v>0</v>
      </c>
      <c r="D164" s="4" cm="1">
        <f t="array" ref="D164">_xlfn.IFS('ProductSprint Backlog'!$F164="", "", AND('ProductSprint Backlog'!$J164&gt;D$2,'ProductSprint Backlog'!$I164&lt;=D$2), 'ProductSprint Backlog'!$F164 / MAX(1, 'ProductSprint Backlog'!$J164-'ProductSprint Backlog'!$I164), AND('ProductSprint Backlog'!$J164=D$2,'ProductSprint Backlog'!$I164=D$2), 'ProductSprint Backlog'!$F164, TRUE, 0)</f>
        <v>0</v>
      </c>
      <c r="E164" s="4" cm="1">
        <f t="array" ref="E164">_xlfn.IFS('ProductSprint Backlog'!$F164="", "", AND('ProductSprint Backlog'!$J164&gt;E$2,'ProductSprint Backlog'!$I164&lt;=E$2), 'ProductSprint Backlog'!$F164 / MAX(1, 'ProductSprint Backlog'!$J164-'ProductSprint Backlog'!$I164), AND('ProductSprint Backlog'!$J164=E$2,'ProductSprint Backlog'!$I164=E$2), 'ProductSprint Backlog'!$F164, TRUE, 0)</f>
        <v>0</v>
      </c>
      <c r="F164" s="4" cm="1">
        <f t="array" ref="F164">_xlfn.IFS('ProductSprint Backlog'!$F164="", "", AND('ProductSprint Backlog'!$J164&gt;F$2,'ProductSprint Backlog'!$I164&lt;=F$2), 'ProductSprint Backlog'!$F164 / MAX(1, 'ProductSprint Backlog'!$J164-'ProductSprint Backlog'!$I164), AND('ProductSprint Backlog'!$J164=F$2,'ProductSprint Backlog'!$I164=F$2), 'ProductSprint Backlog'!$F164, TRUE, 0)</f>
        <v>0</v>
      </c>
      <c r="G164" s="4" cm="1">
        <f t="array" ref="G164">_xlfn.IFS('ProductSprint Backlog'!$F164="", "", AND('ProductSprint Backlog'!$J164&gt;G$2,'ProductSprint Backlog'!$I164&lt;=G$2), 'ProductSprint Backlog'!$F164 / MAX(1, 'ProductSprint Backlog'!$J164-'ProductSprint Backlog'!$I164), AND('ProductSprint Backlog'!$J164=G$2,'ProductSprint Backlog'!$I164=G$2), 'ProductSprint Backlog'!$F164, TRUE, 0)</f>
        <v>0</v>
      </c>
      <c r="H164" s="4" cm="1">
        <f t="array" ref="H164">_xlfn.IFS('ProductSprint Backlog'!$F164="", "", AND('ProductSprint Backlog'!$J164&gt;H$2,'ProductSprint Backlog'!$I164&lt;=H$2), 'ProductSprint Backlog'!$F164 / MAX(1, 'ProductSprint Backlog'!$J164-'ProductSprint Backlog'!$I164), AND('ProductSprint Backlog'!$J164=H$2,'ProductSprint Backlog'!$I164=H$2), 'ProductSprint Backlog'!$F164, TRUE, 0)</f>
        <v>0</v>
      </c>
      <c r="I164" s="4" cm="1">
        <f t="array" ref="I164">_xlfn.IFS('ProductSprint Backlog'!$F164="", "", AND('ProductSprint Backlog'!$J164&gt;I$2,'ProductSprint Backlog'!$I164&lt;=I$2), 'ProductSprint Backlog'!$F164 / MAX(1, 'ProductSprint Backlog'!$J164-'ProductSprint Backlog'!$I164), AND('ProductSprint Backlog'!$J164=I$2,'ProductSprint Backlog'!$I164=I$2), 'ProductSprint Backlog'!$F164, TRUE, 0)</f>
        <v>0</v>
      </c>
      <c r="J164" s="4" cm="1">
        <f t="array" ref="J164">_xlfn.IFS('ProductSprint Backlog'!$F164="", "", AND('ProductSprint Backlog'!$J164&gt;J$2,'ProductSprint Backlog'!$I164&lt;=J$2), 'ProductSprint Backlog'!$F164 / MAX(1, 'ProductSprint Backlog'!$J164-'ProductSprint Backlog'!$I164), AND('ProductSprint Backlog'!$J164=J$2,'ProductSprint Backlog'!$I164=J$2), 'ProductSprint Backlog'!$F164, TRUE, 0)</f>
        <v>0</v>
      </c>
      <c r="K164" s="4" cm="1">
        <f t="array" ref="K164">_xlfn.IFS('ProductSprint Backlog'!$F164="", "", AND('ProductSprint Backlog'!$J164&gt;K$2,'ProductSprint Backlog'!$I164&lt;=K$2), 'ProductSprint Backlog'!$F164 / MAX(1, 'ProductSprint Backlog'!$J164-'ProductSprint Backlog'!$I164), AND('ProductSprint Backlog'!$J164=K$2,'ProductSprint Backlog'!$I164=K$2), 'ProductSprint Backlog'!$F164, TRUE, 0)</f>
        <v>0</v>
      </c>
      <c r="L164" s="4" cm="1">
        <f t="array" ref="L164">_xlfn.IFS('ProductSprint Backlog'!$F164="", "", AND('ProductSprint Backlog'!$J164&gt;L$2,'ProductSprint Backlog'!$I164&lt;=L$2), 'ProductSprint Backlog'!$F164 / MAX(1, 'ProductSprint Backlog'!$J164-'ProductSprint Backlog'!$I164), AND('ProductSprint Backlog'!$J164=L$2,'ProductSprint Backlog'!$I164=L$2), 'ProductSprint Backlog'!$F164, TRUE, 0)</f>
        <v>0</v>
      </c>
      <c r="M164" s="4" cm="1">
        <f t="array" ref="M164">_xlfn.IFS('ProductSprint Backlog'!$F164="", "", AND('ProductSprint Backlog'!$J164&gt;M$2,'ProductSprint Backlog'!$I164&lt;=M$2), 'ProductSprint Backlog'!$F164 / MAX(1, 'ProductSprint Backlog'!$J164-'ProductSprint Backlog'!$I164), AND('ProductSprint Backlog'!$J164=M$2,'ProductSprint Backlog'!$I164=M$2), 'ProductSprint Backlog'!$F164, TRUE, 0)</f>
        <v>0</v>
      </c>
      <c r="N164" s="4" cm="1">
        <f t="array" ref="N164">_xlfn.IFS('ProductSprint Backlog'!$F164="", "", AND('ProductSprint Backlog'!$J164&gt;N$2,'ProductSprint Backlog'!$I164&lt;=N$2), 'ProductSprint Backlog'!$F164 / MAX(1, 'ProductSprint Backlog'!$J164-'ProductSprint Backlog'!$I164), AND('ProductSprint Backlog'!$J164=N$2,'ProductSprint Backlog'!$I164=N$2), 'ProductSprint Backlog'!$F164, TRUE, 0)</f>
        <v>0</v>
      </c>
      <c r="O164" s="4" cm="1">
        <f t="array" ref="O164">_xlfn.IFS('ProductSprint Backlog'!$F164="", "", AND('ProductSprint Backlog'!$J164&gt;O$2,'ProductSprint Backlog'!$I164&lt;=O$2), 'ProductSprint Backlog'!$F164 / MAX(1, 'ProductSprint Backlog'!$J164-'ProductSprint Backlog'!$I164), AND('ProductSprint Backlog'!$J164=O$2,'ProductSprint Backlog'!$I164=O$2), 'ProductSprint Backlog'!$F164, TRUE, 0)</f>
        <v>0</v>
      </c>
      <c r="P164" s="4" cm="1">
        <f t="array" ref="P164">_xlfn.IFS('ProductSprint Backlog'!$F164="", "", AND('ProductSprint Backlog'!$J164&gt;P$2,'ProductSprint Backlog'!$I164&lt;=P$2), 'ProductSprint Backlog'!$F164 / MAX(1, 'ProductSprint Backlog'!$J164-'ProductSprint Backlog'!$I164), AND('ProductSprint Backlog'!$J164=P$2,'ProductSprint Backlog'!$I164=P$2), 'ProductSprint Backlog'!$F164, TRUE, 0)</f>
        <v>0</v>
      </c>
      <c r="Q164" s="4" cm="1">
        <f t="array" ref="Q164">_xlfn.IFS('ProductSprint Backlog'!$F164="", "", AND('ProductSprint Backlog'!$J164&gt;Q$2,'ProductSprint Backlog'!$I164&lt;=Q$2), 'ProductSprint Backlog'!$F164 / MAX(1, 'ProductSprint Backlog'!$J164-'ProductSprint Backlog'!$I164), AND('ProductSprint Backlog'!$J164=Q$2,'ProductSprint Backlog'!$I164=Q$2), 'ProductSprint Backlog'!$F164, TRUE, 0)</f>
        <v>0</v>
      </c>
    </row>
    <row r="165" spans="2:17" x14ac:dyDescent="0.2">
      <c r="B165" s="4" cm="1">
        <f t="array" ref="B165">_xlfn.IFS('ProductSprint Backlog'!$F165="", "", AND('ProductSprint Backlog'!$J165&gt;B$2,'ProductSprint Backlog'!$I165&lt;=B$2), 'ProductSprint Backlog'!$F165 / MAX(1, 'ProductSprint Backlog'!$J165-'ProductSprint Backlog'!$I165), AND('ProductSprint Backlog'!$J165=B$2,'ProductSprint Backlog'!$I165=B$2), 'ProductSprint Backlog'!$F165, TRUE, 0)</f>
        <v>0</v>
      </c>
      <c r="C165" s="4" cm="1">
        <f t="array" ref="C165">_xlfn.IFS('ProductSprint Backlog'!$F165="", "", AND('ProductSprint Backlog'!$J165&gt;C$2,'ProductSprint Backlog'!$I165&lt;=C$2), 'ProductSprint Backlog'!$F165 / MAX(1, 'ProductSprint Backlog'!$J165-'ProductSprint Backlog'!$I165), AND('ProductSprint Backlog'!$J165=C$2,'ProductSprint Backlog'!$I165=C$2), 'ProductSprint Backlog'!$F165, TRUE, 0)</f>
        <v>0</v>
      </c>
      <c r="D165" s="4" cm="1">
        <f t="array" ref="D165">_xlfn.IFS('ProductSprint Backlog'!$F165="", "", AND('ProductSprint Backlog'!$J165&gt;D$2,'ProductSprint Backlog'!$I165&lt;=D$2), 'ProductSprint Backlog'!$F165 / MAX(1, 'ProductSprint Backlog'!$J165-'ProductSprint Backlog'!$I165), AND('ProductSprint Backlog'!$J165=D$2,'ProductSprint Backlog'!$I165=D$2), 'ProductSprint Backlog'!$F165, TRUE, 0)</f>
        <v>0</v>
      </c>
      <c r="E165" s="4" cm="1">
        <f t="array" ref="E165">_xlfn.IFS('ProductSprint Backlog'!$F165="", "", AND('ProductSprint Backlog'!$J165&gt;E$2,'ProductSprint Backlog'!$I165&lt;=E$2), 'ProductSprint Backlog'!$F165 / MAX(1, 'ProductSprint Backlog'!$J165-'ProductSprint Backlog'!$I165), AND('ProductSprint Backlog'!$J165=E$2,'ProductSprint Backlog'!$I165=E$2), 'ProductSprint Backlog'!$F165, TRUE, 0)</f>
        <v>0</v>
      </c>
      <c r="F165" s="4" cm="1">
        <f t="array" ref="F165">_xlfn.IFS('ProductSprint Backlog'!$F165="", "", AND('ProductSprint Backlog'!$J165&gt;F$2,'ProductSprint Backlog'!$I165&lt;=F$2), 'ProductSprint Backlog'!$F165 / MAX(1, 'ProductSprint Backlog'!$J165-'ProductSprint Backlog'!$I165), AND('ProductSprint Backlog'!$J165=F$2,'ProductSprint Backlog'!$I165=F$2), 'ProductSprint Backlog'!$F165, TRUE, 0)</f>
        <v>0</v>
      </c>
      <c r="G165" s="4" cm="1">
        <f t="array" ref="G165">_xlfn.IFS('ProductSprint Backlog'!$F165="", "", AND('ProductSprint Backlog'!$J165&gt;G$2,'ProductSprint Backlog'!$I165&lt;=G$2), 'ProductSprint Backlog'!$F165 / MAX(1, 'ProductSprint Backlog'!$J165-'ProductSprint Backlog'!$I165), AND('ProductSprint Backlog'!$J165=G$2,'ProductSprint Backlog'!$I165=G$2), 'ProductSprint Backlog'!$F165, TRUE, 0)</f>
        <v>0</v>
      </c>
      <c r="H165" s="4" cm="1">
        <f t="array" ref="H165">_xlfn.IFS('ProductSprint Backlog'!$F165="", "", AND('ProductSprint Backlog'!$J165&gt;H$2,'ProductSprint Backlog'!$I165&lt;=H$2), 'ProductSprint Backlog'!$F165 / MAX(1, 'ProductSprint Backlog'!$J165-'ProductSprint Backlog'!$I165), AND('ProductSprint Backlog'!$J165=H$2,'ProductSprint Backlog'!$I165=H$2), 'ProductSprint Backlog'!$F165, TRUE, 0)</f>
        <v>0</v>
      </c>
      <c r="I165" s="4" cm="1">
        <f t="array" ref="I165">_xlfn.IFS('ProductSprint Backlog'!$F165="", "", AND('ProductSprint Backlog'!$J165&gt;I$2,'ProductSprint Backlog'!$I165&lt;=I$2), 'ProductSprint Backlog'!$F165 / MAX(1, 'ProductSprint Backlog'!$J165-'ProductSprint Backlog'!$I165), AND('ProductSprint Backlog'!$J165=I$2,'ProductSprint Backlog'!$I165=I$2), 'ProductSprint Backlog'!$F165, TRUE, 0)</f>
        <v>0</v>
      </c>
      <c r="J165" s="4" cm="1">
        <f t="array" ref="J165">_xlfn.IFS('ProductSprint Backlog'!$F165="", "", AND('ProductSprint Backlog'!$J165&gt;J$2,'ProductSprint Backlog'!$I165&lt;=J$2), 'ProductSprint Backlog'!$F165 / MAX(1, 'ProductSprint Backlog'!$J165-'ProductSprint Backlog'!$I165), AND('ProductSprint Backlog'!$J165=J$2,'ProductSprint Backlog'!$I165=J$2), 'ProductSprint Backlog'!$F165, TRUE, 0)</f>
        <v>0</v>
      </c>
      <c r="K165" s="4" cm="1">
        <f t="array" ref="K165">_xlfn.IFS('ProductSprint Backlog'!$F165="", "", AND('ProductSprint Backlog'!$J165&gt;K$2,'ProductSprint Backlog'!$I165&lt;=K$2), 'ProductSprint Backlog'!$F165 / MAX(1, 'ProductSprint Backlog'!$J165-'ProductSprint Backlog'!$I165), AND('ProductSprint Backlog'!$J165=K$2,'ProductSprint Backlog'!$I165=K$2), 'ProductSprint Backlog'!$F165, TRUE, 0)</f>
        <v>0</v>
      </c>
      <c r="L165" s="4" cm="1">
        <f t="array" ref="L165">_xlfn.IFS('ProductSprint Backlog'!$F165="", "", AND('ProductSprint Backlog'!$J165&gt;L$2,'ProductSprint Backlog'!$I165&lt;=L$2), 'ProductSprint Backlog'!$F165 / MAX(1, 'ProductSprint Backlog'!$J165-'ProductSprint Backlog'!$I165), AND('ProductSprint Backlog'!$J165=L$2,'ProductSprint Backlog'!$I165=L$2), 'ProductSprint Backlog'!$F165, TRUE, 0)</f>
        <v>0</v>
      </c>
      <c r="M165" s="4" cm="1">
        <f t="array" ref="M165">_xlfn.IFS('ProductSprint Backlog'!$F165="", "", AND('ProductSprint Backlog'!$J165&gt;M$2,'ProductSprint Backlog'!$I165&lt;=M$2), 'ProductSprint Backlog'!$F165 / MAX(1, 'ProductSprint Backlog'!$J165-'ProductSprint Backlog'!$I165), AND('ProductSprint Backlog'!$J165=M$2,'ProductSprint Backlog'!$I165=M$2), 'ProductSprint Backlog'!$F165, TRUE, 0)</f>
        <v>0</v>
      </c>
      <c r="N165" s="4" cm="1">
        <f t="array" ref="N165">_xlfn.IFS('ProductSprint Backlog'!$F165="", "", AND('ProductSprint Backlog'!$J165&gt;N$2,'ProductSprint Backlog'!$I165&lt;=N$2), 'ProductSprint Backlog'!$F165 / MAX(1, 'ProductSprint Backlog'!$J165-'ProductSprint Backlog'!$I165), AND('ProductSprint Backlog'!$J165=N$2,'ProductSprint Backlog'!$I165=N$2), 'ProductSprint Backlog'!$F165, TRUE, 0)</f>
        <v>0</v>
      </c>
      <c r="O165" s="4" cm="1">
        <f t="array" ref="O165">_xlfn.IFS('ProductSprint Backlog'!$F165="", "", AND('ProductSprint Backlog'!$J165&gt;O$2,'ProductSprint Backlog'!$I165&lt;=O$2), 'ProductSprint Backlog'!$F165 / MAX(1, 'ProductSprint Backlog'!$J165-'ProductSprint Backlog'!$I165), AND('ProductSprint Backlog'!$J165=O$2,'ProductSprint Backlog'!$I165=O$2), 'ProductSprint Backlog'!$F165, TRUE, 0)</f>
        <v>0</v>
      </c>
      <c r="P165" s="4" cm="1">
        <f t="array" ref="P165">_xlfn.IFS('ProductSprint Backlog'!$F165="", "", AND('ProductSprint Backlog'!$J165&gt;P$2,'ProductSprint Backlog'!$I165&lt;=P$2), 'ProductSprint Backlog'!$F165 / MAX(1, 'ProductSprint Backlog'!$J165-'ProductSprint Backlog'!$I165), AND('ProductSprint Backlog'!$J165=P$2,'ProductSprint Backlog'!$I165=P$2), 'ProductSprint Backlog'!$F165, TRUE, 0)</f>
        <v>0</v>
      </c>
      <c r="Q165" s="4" cm="1">
        <f t="array" ref="Q165">_xlfn.IFS('ProductSprint Backlog'!$F165="", "", AND('ProductSprint Backlog'!$J165&gt;Q$2,'ProductSprint Backlog'!$I165&lt;=Q$2), 'ProductSprint Backlog'!$F165 / MAX(1, 'ProductSprint Backlog'!$J165-'ProductSprint Backlog'!$I165), AND('ProductSprint Backlog'!$J165=Q$2,'ProductSprint Backlog'!$I165=Q$2), 'ProductSprint Backlog'!$F165, TRUE, 0)</f>
        <v>0</v>
      </c>
    </row>
    <row r="166" spans="2:17" x14ac:dyDescent="0.2">
      <c r="B166" s="4" cm="1">
        <f t="array" ref="B166">_xlfn.IFS('ProductSprint Backlog'!$F166="", "", AND('ProductSprint Backlog'!$J166&gt;B$2,'ProductSprint Backlog'!$I166&lt;=B$2), 'ProductSprint Backlog'!$F166 / MAX(1, 'ProductSprint Backlog'!$J166-'ProductSprint Backlog'!$I166), AND('ProductSprint Backlog'!$J166=B$2,'ProductSprint Backlog'!$I166=B$2), 'ProductSprint Backlog'!$F166, TRUE, 0)</f>
        <v>0</v>
      </c>
      <c r="C166" s="4" cm="1">
        <f t="array" ref="C166">_xlfn.IFS('ProductSprint Backlog'!$F166="", "", AND('ProductSprint Backlog'!$J166&gt;C$2,'ProductSprint Backlog'!$I166&lt;=C$2), 'ProductSprint Backlog'!$F166 / MAX(1, 'ProductSprint Backlog'!$J166-'ProductSprint Backlog'!$I166), AND('ProductSprint Backlog'!$J166=C$2,'ProductSprint Backlog'!$I166=C$2), 'ProductSprint Backlog'!$F166, TRUE, 0)</f>
        <v>0</v>
      </c>
      <c r="D166" s="4" cm="1">
        <f t="array" ref="D166">_xlfn.IFS('ProductSprint Backlog'!$F166="", "", AND('ProductSprint Backlog'!$J166&gt;D$2,'ProductSprint Backlog'!$I166&lt;=D$2), 'ProductSprint Backlog'!$F166 / MAX(1, 'ProductSprint Backlog'!$J166-'ProductSprint Backlog'!$I166), AND('ProductSprint Backlog'!$J166=D$2,'ProductSprint Backlog'!$I166=D$2), 'ProductSprint Backlog'!$F166, TRUE, 0)</f>
        <v>0</v>
      </c>
      <c r="E166" s="4" cm="1">
        <f t="array" ref="E166">_xlfn.IFS('ProductSprint Backlog'!$F166="", "", AND('ProductSprint Backlog'!$J166&gt;E$2,'ProductSprint Backlog'!$I166&lt;=E$2), 'ProductSprint Backlog'!$F166 / MAX(1, 'ProductSprint Backlog'!$J166-'ProductSprint Backlog'!$I166), AND('ProductSprint Backlog'!$J166=E$2,'ProductSprint Backlog'!$I166=E$2), 'ProductSprint Backlog'!$F166, TRUE, 0)</f>
        <v>0</v>
      </c>
      <c r="F166" s="4" cm="1">
        <f t="array" ref="F166">_xlfn.IFS('ProductSprint Backlog'!$F166="", "", AND('ProductSprint Backlog'!$J166&gt;F$2,'ProductSprint Backlog'!$I166&lt;=F$2), 'ProductSprint Backlog'!$F166 / MAX(1, 'ProductSprint Backlog'!$J166-'ProductSprint Backlog'!$I166), AND('ProductSprint Backlog'!$J166=F$2,'ProductSprint Backlog'!$I166=F$2), 'ProductSprint Backlog'!$F166, TRUE, 0)</f>
        <v>0</v>
      </c>
      <c r="G166" s="4" cm="1">
        <f t="array" ref="G166">_xlfn.IFS('ProductSprint Backlog'!$F166="", "", AND('ProductSprint Backlog'!$J166&gt;G$2,'ProductSprint Backlog'!$I166&lt;=G$2), 'ProductSprint Backlog'!$F166 / MAX(1, 'ProductSprint Backlog'!$J166-'ProductSprint Backlog'!$I166), AND('ProductSprint Backlog'!$J166=G$2,'ProductSprint Backlog'!$I166=G$2), 'ProductSprint Backlog'!$F166, TRUE, 0)</f>
        <v>0</v>
      </c>
      <c r="H166" s="4" cm="1">
        <f t="array" ref="H166">_xlfn.IFS('ProductSprint Backlog'!$F166="", "", AND('ProductSprint Backlog'!$J166&gt;H$2,'ProductSprint Backlog'!$I166&lt;=H$2), 'ProductSprint Backlog'!$F166 / MAX(1, 'ProductSprint Backlog'!$J166-'ProductSprint Backlog'!$I166), AND('ProductSprint Backlog'!$J166=H$2,'ProductSprint Backlog'!$I166=H$2), 'ProductSprint Backlog'!$F166, TRUE, 0)</f>
        <v>0</v>
      </c>
      <c r="I166" s="4" cm="1">
        <f t="array" ref="I166">_xlfn.IFS('ProductSprint Backlog'!$F166="", "", AND('ProductSprint Backlog'!$J166&gt;I$2,'ProductSprint Backlog'!$I166&lt;=I$2), 'ProductSprint Backlog'!$F166 / MAX(1, 'ProductSprint Backlog'!$J166-'ProductSprint Backlog'!$I166), AND('ProductSprint Backlog'!$J166=I$2,'ProductSprint Backlog'!$I166=I$2), 'ProductSprint Backlog'!$F166, TRUE, 0)</f>
        <v>0</v>
      </c>
      <c r="J166" s="4" cm="1">
        <f t="array" ref="J166">_xlfn.IFS('ProductSprint Backlog'!$F166="", "", AND('ProductSprint Backlog'!$J166&gt;J$2,'ProductSprint Backlog'!$I166&lt;=J$2), 'ProductSprint Backlog'!$F166 / MAX(1, 'ProductSprint Backlog'!$J166-'ProductSprint Backlog'!$I166), AND('ProductSprint Backlog'!$J166=J$2,'ProductSprint Backlog'!$I166=J$2), 'ProductSprint Backlog'!$F166, TRUE, 0)</f>
        <v>0</v>
      </c>
      <c r="K166" s="4" cm="1">
        <f t="array" ref="K166">_xlfn.IFS('ProductSprint Backlog'!$F166="", "", AND('ProductSprint Backlog'!$J166&gt;K$2,'ProductSprint Backlog'!$I166&lt;=K$2), 'ProductSprint Backlog'!$F166 / MAX(1, 'ProductSprint Backlog'!$J166-'ProductSprint Backlog'!$I166), AND('ProductSprint Backlog'!$J166=K$2,'ProductSprint Backlog'!$I166=K$2), 'ProductSprint Backlog'!$F166, TRUE, 0)</f>
        <v>0</v>
      </c>
      <c r="L166" s="4" cm="1">
        <f t="array" ref="L166">_xlfn.IFS('ProductSprint Backlog'!$F166="", "", AND('ProductSprint Backlog'!$J166&gt;L$2,'ProductSprint Backlog'!$I166&lt;=L$2), 'ProductSprint Backlog'!$F166 / MAX(1, 'ProductSprint Backlog'!$J166-'ProductSprint Backlog'!$I166), AND('ProductSprint Backlog'!$J166=L$2,'ProductSprint Backlog'!$I166=L$2), 'ProductSprint Backlog'!$F166, TRUE, 0)</f>
        <v>0</v>
      </c>
      <c r="M166" s="4" cm="1">
        <f t="array" ref="M166">_xlfn.IFS('ProductSprint Backlog'!$F166="", "", AND('ProductSprint Backlog'!$J166&gt;M$2,'ProductSprint Backlog'!$I166&lt;=M$2), 'ProductSprint Backlog'!$F166 / MAX(1, 'ProductSprint Backlog'!$J166-'ProductSprint Backlog'!$I166), AND('ProductSprint Backlog'!$J166=M$2,'ProductSprint Backlog'!$I166=M$2), 'ProductSprint Backlog'!$F166, TRUE, 0)</f>
        <v>0</v>
      </c>
      <c r="N166" s="4" cm="1">
        <f t="array" ref="N166">_xlfn.IFS('ProductSprint Backlog'!$F166="", "", AND('ProductSprint Backlog'!$J166&gt;N$2,'ProductSprint Backlog'!$I166&lt;=N$2), 'ProductSprint Backlog'!$F166 / MAX(1, 'ProductSprint Backlog'!$J166-'ProductSprint Backlog'!$I166), AND('ProductSprint Backlog'!$J166=N$2,'ProductSprint Backlog'!$I166=N$2), 'ProductSprint Backlog'!$F166, TRUE, 0)</f>
        <v>0</v>
      </c>
      <c r="O166" s="4" cm="1">
        <f t="array" ref="O166">_xlfn.IFS('ProductSprint Backlog'!$F166="", "", AND('ProductSprint Backlog'!$J166&gt;O$2,'ProductSprint Backlog'!$I166&lt;=O$2), 'ProductSprint Backlog'!$F166 / MAX(1, 'ProductSprint Backlog'!$J166-'ProductSprint Backlog'!$I166), AND('ProductSprint Backlog'!$J166=O$2,'ProductSprint Backlog'!$I166=O$2), 'ProductSprint Backlog'!$F166, TRUE, 0)</f>
        <v>0</v>
      </c>
      <c r="P166" s="4" cm="1">
        <f t="array" ref="P166">_xlfn.IFS('ProductSprint Backlog'!$F166="", "", AND('ProductSprint Backlog'!$J166&gt;P$2,'ProductSprint Backlog'!$I166&lt;=P$2), 'ProductSprint Backlog'!$F166 / MAX(1, 'ProductSprint Backlog'!$J166-'ProductSprint Backlog'!$I166), AND('ProductSprint Backlog'!$J166=P$2,'ProductSprint Backlog'!$I166=P$2), 'ProductSprint Backlog'!$F166, TRUE, 0)</f>
        <v>0</v>
      </c>
      <c r="Q166" s="4" cm="1">
        <f t="array" ref="Q166">_xlfn.IFS('ProductSprint Backlog'!$F166="", "", AND('ProductSprint Backlog'!$J166&gt;Q$2,'ProductSprint Backlog'!$I166&lt;=Q$2), 'ProductSprint Backlog'!$F166 / MAX(1, 'ProductSprint Backlog'!$J166-'ProductSprint Backlog'!$I166), AND('ProductSprint Backlog'!$J166=Q$2,'ProductSprint Backlog'!$I166=Q$2), 'ProductSprint Backlog'!$F166, TRUE, 0)</f>
        <v>0</v>
      </c>
    </row>
    <row r="167" spans="2:17" x14ac:dyDescent="0.2">
      <c r="B167" s="4" t="str" cm="1">
        <f t="array" ref="B167">_xlfn.IFS('ProductSprint Backlog'!$F167="", "", AND('ProductSprint Backlog'!$J167&gt;B$2,'ProductSprint Backlog'!$I167&lt;=B$2), 'ProductSprint Backlog'!$F167 / MAX(1, 'ProductSprint Backlog'!$J167-'ProductSprint Backlog'!$I167), AND('ProductSprint Backlog'!$J167=B$2,'ProductSprint Backlog'!$I167=B$2), 'ProductSprint Backlog'!$F167, TRUE, 0)</f>
        <v/>
      </c>
      <c r="C167" s="4" t="str" cm="1">
        <f t="array" ref="C167">_xlfn.IFS('ProductSprint Backlog'!$F167="", "", AND('ProductSprint Backlog'!$J167&gt;C$2,'ProductSprint Backlog'!$I167&lt;=C$2), 'ProductSprint Backlog'!$F167 / MAX(1, 'ProductSprint Backlog'!$J167-'ProductSprint Backlog'!$I167), AND('ProductSprint Backlog'!$J167=C$2,'ProductSprint Backlog'!$I167=C$2), 'ProductSprint Backlog'!$F167, TRUE, 0)</f>
        <v/>
      </c>
      <c r="D167" s="4" t="str" cm="1">
        <f t="array" ref="D167">_xlfn.IFS('ProductSprint Backlog'!$F167="", "", AND('ProductSprint Backlog'!$J167&gt;D$2,'ProductSprint Backlog'!$I167&lt;=D$2), 'ProductSprint Backlog'!$F167 / MAX(1, 'ProductSprint Backlog'!$J167-'ProductSprint Backlog'!$I167), AND('ProductSprint Backlog'!$J167=D$2,'ProductSprint Backlog'!$I167=D$2), 'ProductSprint Backlog'!$F167, TRUE, 0)</f>
        <v/>
      </c>
      <c r="E167" s="4" t="str" cm="1">
        <f t="array" ref="E167">_xlfn.IFS('ProductSprint Backlog'!$F167="", "", AND('ProductSprint Backlog'!$J167&gt;E$2,'ProductSprint Backlog'!$I167&lt;=E$2), 'ProductSprint Backlog'!$F167 / MAX(1, 'ProductSprint Backlog'!$J167-'ProductSprint Backlog'!$I167), AND('ProductSprint Backlog'!$J167=E$2,'ProductSprint Backlog'!$I167=E$2), 'ProductSprint Backlog'!$F167, TRUE, 0)</f>
        <v/>
      </c>
      <c r="F167" s="4" t="str" cm="1">
        <f t="array" ref="F167">_xlfn.IFS('ProductSprint Backlog'!$F167="", "", AND('ProductSprint Backlog'!$J167&gt;F$2,'ProductSprint Backlog'!$I167&lt;=F$2), 'ProductSprint Backlog'!$F167 / MAX(1, 'ProductSprint Backlog'!$J167-'ProductSprint Backlog'!$I167), AND('ProductSprint Backlog'!$J167=F$2,'ProductSprint Backlog'!$I167=F$2), 'ProductSprint Backlog'!$F167, TRUE, 0)</f>
        <v/>
      </c>
      <c r="G167" s="4" t="str" cm="1">
        <f t="array" ref="G167">_xlfn.IFS('ProductSprint Backlog'!$F167="", "", AND('ProductSprint Backlog'!$J167&gt;G$2,'ProductSprint Backlog'!$I167&lt;=G$2), 'ProductSprint Backlog'!$F167 / MAX(1, 'ProductSprint Backlog'!$J167-'ProductSprint Backlog'!$I167), AND('ProductSprint Backlog'!$J167=G$2,'ProductSprint Backlog'!$I167=G$2), 'ProductSprint Backlog'!$F167, TRUE, 0)</f>
        <v/>
      </c>
      <c r="H167" s="4" t="str" cm="1">
        <f t="array" ref="H167">_xlfn.IFS('ProductSprint Backlog'!$F167="", "", AND('ProductSprint Backlog'!$J167&gt;H$2,'ProductSprint Backlog'!$I167&lt;=H$2), 'ProductSprint Backlog'!$F167 / MAX(1, 'ProductSprint Backlog'!$J167-'ProductSprint Backlog'!$I167), AND('ProductSprint Backlog'!$J167=H$2,'ProductSprint Backlog'!$I167=H$2), 'ProductSprint Backlog'!$F167, TRUE, 0)</f>
        <v/>
      </c>
      <c r="I167" s="4" t="str" cm="1">
        <f t="array" ref="I167">_xlfn.IFS('ProductSprint Backlog'!$F167="", "", AND('ProductSprint Backlog'!$J167&gt;I$2,'ProductSprint Backlog'!$I167&lt;=I$2), 'ProductSprint Backlog'!$F167 / MAX(1, 'ProductSprint Backlog'!$J167-'ProductSprint Backlog'!$I167), AND('ProductSprint Backlog'!$J167=I$2,'ProductSprint Backlog'!$I167=I$2), 'ProductSprint Backlog'!$F167, TRUE, 0)</f>
        <v/>
      </c>
      <c r="J167" s="4" t="str" cm="1">
        <f t="array" ref="J167">_xlfn.IFS('ProductSprint Backlog'!$F167="", "", AND('ProductSprint Backlog'!$J167&gt;J$2,'ProductSprint Backlog'!$I167&lt;=J$2), 'ProductSprint Backlog'!$F167 / MAX(1, 'ProductSprint Backlog'!$J167-'ProductSprint Backlog'!$I167), AND('ProductSprint Backlog'!$J167=J$2,'ProductSprint Backlog'!$I167=J$2), 'ProductSprint Backlog'!$F167, TRUE, 0)</f>
        <v/>
      </c>
      <c r="K167" s="4" t="str" cm="1">
        <f t="array" ref="K167">_xlfn.IFS('ProductSprint Backlog'!$F167="", "", AND('ProductSprint Backlog'!$J167&gt;K$2,'ProductSprint Backlog'!$I167&lt;=K$2), 'ProductSprint Backlog'!$F167 / MAX(1, 'ProductSprint Backlog'!$J167-'ProductSprint Backlog'!$I167), AND('ProductSprint Backlog'!$J167=K$2,'ProductSprint Backlog'!$I167=K$2), 'ProductSprint Backlog'!$F167, TRUE, 0)</f>
        <v/>
      </c>
      <c r="L167" s="4" t="str" cm="1">
        <f t="array" ref="L167">_xlfn.IFS('ProductSprint Backlog'!$F167="", "", AND('ProductSprint Backlog'!$J167&gt;L$2,'ProductSprint Backlog'!$I167&lt;=L$2), 'ProductSprint Backlog'!$F167 / MAX(1, 'ProductSprint Backlog'!$J167-'ProductSprint Backlog'!$I167), AND('ProductSprint Backlog'!$J167=L$2,'ProductSprint Backlog'!$I167=L$2), 'ProductSprint Backlog'!$F167, TRUE, 0)</f>
        <v/>
      </c>
      <c r="M167" s="4" t="str" cm="1">
        <f t="array" ref="M167">_xlfn.IFS('ProductSprint Backlog'!$F167="", "", AND('ProductSprint Backlog'!$J167&gt;M$2,'ProductSprint Backlog'!$I167&lt;=M$2), 'ProductSprint Backlog'!$F167 / MAX(1, 'ProductSprint Backlog'!$J167-'ProductSprint Backlog'!$I167), AND('ProductSprint Backlog'!$J167=M$2,'ProductSprint Backlog'!$I167=M$2), 'ProductSprint Backlog'!$F167, TRUE, 0)</f>
        <v/>
      </c>
      <c r="N167" s="4" t="str" cm="1">
        <f t="array" ref="N167">_xlfn.IFS('ProductSprint Backlog'!$F167="", "", AND('ProductSprint Backlog'!$J167&gt;N$2,'ProductSprint Backlog'!$I167&lt;=N$2), 'ProductSprint Backlog'!$F167 / MAX(1, 'ProductSprint Backlog'!$J167-'ProductSprint Backlog'!$I167), AND('ProductSprint Backlog'!$J167=N$2,'ProductSprint Backlog'!$I167=N$2), 'ProductSprint Backlog'!$F167, TRUE, 0)</f>
        <v/>
      </c>
      <c r="O167" s="4" t="str" cm="1">
        <f t="array" ref="O167">_xlfn.IFS('ProductSprint Backlog'!$F167="", "", AND('ProductSprint Backlog'!$J167&gt;O$2,'ProductSprint Backlog'!$I167&lt;=O$2), 'ProductSprint Backlog'!$F167 / MAX(1, 'ProductSprint Backlog'!$J167-'ProductSprint Backlog'!$I167), AND('ProductSprint Backlog'!$J167=O$2,'ProductSprint Backlog'!$I167=O$2), 'ProductSprint Backlog'!$F167, TRUE, 0)</f>
        <v/>
      </c>
      <c r="P167" s="4" t="str" cm="1">
        <f t="array" ref="P167">_xlfn.IFS('ProductSprint Backlog'!$F167="", "", AND('ProductSprint Backlog'!$J167&gt;P$2,'ProductSprint Backlog'!$I167&lt;=P$2), 'ProductSprint Backlog'!$F167 / MAX(1, 'ProductSprint Backlog'!$J167-'ProductSprint Backlog'!$I167), AND('ProductSprint Backlog'!$J167=P$2,'ProductSprint Backlog'!$I167=P$2), 'ProductSprint Backlog'!$F167, TRUE, 0)</f>
        <v/>
      </c>
      <c r="Q167" s="4" t="str" cm="1">
        <f t="array" ref="Q167">_xlfn.IFS('ProductSprint Backlog'!$F167="", "", AND('ProductSprint Backlog'!$J167&gt;Q$2,'ProductSprint Backlog'!$I167&lt;=Q$2), 'ProductSprint Backlog'!$F167 / MAX(1, 'ProductSprint Backlog'!$J167-'ProductSprint Backlog'!$I167), AND('ProductSprint Backlog'!$J167=Q$2,'ProductSprint Backlog'!$I167=Q$2), 'ProductSprint Backlog'!$F167, TRUE, 0)</f>
        <v/>
      </c>
    </row>
    <row r="168" spans="2:17" x14ac:dyDescent="0.2">
      <c r="B168" s="4" cm="1">
        <f t="array" ref="B168">_xlfn.IFS('ProductSprint Backlog'!$F168="", "", AND('ProductSprint Backlog'!$J168&gt;B$2,'ProductSprint Backlog'!$I168&lt;=B$2), 'ProductSprint Backlog'!$F168 / MAX(1, 'ProductSprint Backlog'!$J168-'ProductSprint Backlog'!$I168), AND('ProductSprint Backlog'!$J168=B$2,'ProductSprint Backlog'!$I168=B$2), 'ProductSprint Backlog'!$F168, TRUE, 0)</f>
        <v>0.33333333333333331</v>
      </c>
      <c r="C168" s="4" cm="1">
        <f t="array" ref="C168">_xlfn.IFS('ProductSprint Backlog'!$F168="", "", AND('ProductSprint Backlog'!$J168&gt;C$2,'ProductSprint Backlog'!$I168&lt;=C$2), 'ProductSprint Backlog'!$F168 / MAX(1, 'ProductSprint Backlog'!$J168-'ProductSprint Backlog'!$I168), AND('ProductSprint Backlog'!$J168=C$2,'ProductSprint Backlog'!$I168=C$2), 'ProductSprint Backlog'!$F168, TRUE, 0)</f>
        <v>0.33333333333333331</v>
      </c>
      <c r="D168" s="4" cm="1">
        <f t="array" ref="D168">_xlfn.IFS('ProductSprint Backlog'!$F168="", "", AND('ProductSprint Backlog'!$J168&gt;D$2,'ProductSprint Backlog'!$I168&lt;=D$2), 'ProductSprint Backlog'!$F168 / MAX(1, 'ProductSprint Backlog'!$J168-'ProductSprint Backlog'!$I168), AND('ProductSprint Backlog'!$J168=D$2,'ProductSprint Backlog'!$I168=D$2), 'ProductSprint Backlog'!$F168, TRUE, 0)</f>
        <v>0.33333333333333331</v>
      </c>
      <c r="E168" s="4" cm="1">
        <f t="array" ref="E168">_xlfn.IFS('ProductSprint Backlog'!$F168="", "", AND('ProductSprint Backlog'!$J168&gt;E$2,'ProductSprint Backlog'!$I168&lt;=E$2), 'ProductSprint Backlog'!$F168 / MAX(1, 'ProductSprint Backlog'!$J168-'ProductSprint Backlog'!$I168), AND('ProductSprint Backlog'!$J168=E$2,'ProductSprint Backlog'!$I168=E$2), 'ProductSprint Backlog'!$F168, TRUE, 0)</f>
        <v>0</v>
      </c>
      <c r="F168" s="4" cm="1">
        <f t="array" ref="F168">_xlfn.IFS('ProductSprint Backlog'!$F168="", "", AND('ProductSprint Backlog'!$J168&gt;F$2,'ProductSprint Backlog'!$I168&lt;=F$2), 'ProductSprint Backlog'!$F168 / MAX(1, 'ProductSprint Backlog'!$J168-'ProductSprint Backlog'!$I168), AND('ProductSprint Backlog'!$J168=F$2,'ProductSprint Backlog'!$I168=F$2), 'ProductSprint Backlog'!$F168, TRUE, 0)</f>
        <v>0</v>
      </c>
      <c r="G168" s="4" cm="1">
        <f t="array" ref="G168">_xlfn.IFS('ProductSprint Backlog'!$F168="", "", AND('ProductSprint Backlog'!$J168&gt;G$2,'ProductSprint Backlog'!$I168&lt;=G$2), 'ProductSprint Backlog'!$F168 / MAX(1, 'ProductSprint Backlog'!$J168-'ProductSprint Backlog'!$I168), AND('ProductSprint Backlog'!$J168=G$2,'ProductSprint Backlog'!$I168=G$2), 'ProductSprint Backlog'!$F168, TRUE, 0)</f>
        <v>0</v>
      </c>
      <c r="H168" s="4" cm="1">
        <f t="array" ref="H168">_xlfn.IFS('ProductSprint Backlog'!$F168="", "", AND('ProductSprint Backlog'!$J168&gt;H$2,'ProductSprint Backlog'!$I168&lt;=H$2), 'ProductSprint Backlog'!$F168 / MAX(1, 'ProductSprint Backlog'!$J168-'ProductSprint Backlog'!$I168), AND('ProductSprint Backlog'!$J168=H$2,'ProductSprint Backlog'!$I168=H$2), 'ProductSprint Backlog'!$F168, TRUE, 0)</f>
        <v>0</v>
      </c>
      <c r="I168" s="4" cm="1">
        <f t="array" ref="I168">_xlfn.IFS('ProductSprint Backlog'!$F168="", "", AND('ProductSprint Backlog'!$J168&gt;I$2,'ProductSprint Backlog'!$I168&lt;=I$2), 'ProductSprint Backlog'!$F168 / MAX(1, 'ProductSprint Backlog'!$J168-'ProductSprint Backlog'!$I168), AND('ProductSprint Backlog'!$J168=I$2,'ProductSprint Backlog'!$I168=I$2), 'ProductSprint Backlog'!$F168, TRUE, 0)</f>
        <v>0</v>
      </c>
      <c r="J168" s="4" cm="1">
        <f t="array" ref="J168">_xlfn.IFS('ProductSprint Backlog'!$F168="", "", AND('ProductSprint Backlog'!$J168&gt;J$2,'ProductSprint Backlog'!$I168&lt;=J$2), 'ProductSprint Backlog'!$F168 / MAX(1, 'ProductSprint Backlog'!$J168-'ProductSprint Backlog'!$I168), AND('ProductSprint Backlog'!$J168=J$2,'ProductSprint Backlog'!$I168=J$2), 'ProductSprint Backlog'!$F168, TRUE, 0)</f>
        <v>0</v>
      </c>
      <c r="K168" s="4" cm="1">
        <f t="array" ref="K168">_xlfn.IFS('ProductSprint Backlog'!$F168="", "", AND('ProductSprint Backlog'!$J168&gt;K$2,'ProductSprint Backlog'!$I168&lt;=K$2), 'ProductSprint Backlog'!$F168 / MAX(1, 'ProductSprint Backlog'!$J168-'ProductSprint Backlog'!$I168), AND('ProductSprint Backlog'!$J168=K$2,'ProductSprint Backlog'!$I168=K$2), 'ProductSprint Backlog'!$F168, TRUE, 0)</f>
        <v>0</v>
      </c>
      <c r="L168" s="4" cm="1">
        <f t="array" ref="L168">_xlfn.IFS('ProductSprint Backlog'!$F168="", "", AND('ProductSprint Backlog'!$J168&gt;L$2,'ProductSprint Backlog'!$I168&lt;=L$2), 'ProductSprint Backlog'!$F168 / MAX(1, 'ProductSprint Backlog'!$J168-'ProductSprint Backlog'!$I168), AND('ProductSprint Backlog'!$J168=L$2,'ProductSprint Backlog'!$I168=L$2), 'ProductSprint Backlog'!$F168, TRUE, 0)</f>
        <v>0</v>
      </c>
      <c r="M168" s="4" cm="1">
        <f t="array" ref="M168">_xlfn.IFS('ProductSprint Backlog'!$F168="", "", AND('ProductSprint Backlog'!$J168&gt;M$2,'ProductSprint Backlog'!$I168&lt;=M$2), 'ProductSprint Backlog'!$F168 / MAX(1, 'ProductSprint Backlog'!$J168-'ProductSprint Backlog'!$I168), AND('ProductSprint Backlog'!$J168=M$2,'ProductSprint Backlog'!$I168=M$2), 'ProductSprint Backlog'!$F168, TRUE, 0)</f>
        <v>0</v>
      </c>
      <c r="N168" s="4" cm="1">
        <f t="array" ref="N168">_xlfn.IFS('ProductSprint Backlog'!$F168="", "", AND('ProductSprint Backlog'!$J168&gt;N$2,'ProductSprint Backlog'!$I168&lt;=N$2), 'ProductSprint Backlog'!$F168 / MAX(1, 'ProductSprint Backlog'!$J168-'ProductSprint Backlog'!$I168), AND('ProductSprint Backlog'!$J168=N$2,'ProductSprint Backlog'!$I168=N$2), 'ProductSprint Backlog'!$F168, TRUE, 0)</f>
        <v>0</v>
      </c>
      <c r="O168" s="4" cm="1">
        <f t="array" ref="O168">_xlfn.IFS('ProductSprint Backlog'!$F168="", "", AND('ProductSprint Backlog'!$J168&gt;O$2,'ProductSprint Backlog'!$I168&lt;=O$2), 'ProductSprint Backlog'!$F168 / MAX(1, 'ProductSprint Backlog'!$J168-'ProductSprint Backlog'!$I168), AND('ProductSprint Backlog'!$J168=O$2,'ProductSprint Backlog'!$I168=O$2), 'ProductSprint Backlog'!$F168, TRUE, 0)</f>
        <v>0</v>
      </c>
      <c r="P168" s="4" cm="1">
        <f t="array" ref="P168">_xlfn.IFS('ProductSprint Backlog'!$F168="", "", AND('ProductSprint Backlog'!$J168&gt;P$2,'ProductSprint Backlog'!$I168&lt;=P$2), 'ProductSprint Backlog'!$F168 / MAX(1, 'ProductSprint Backlog'!$J168-'ProductSprint Backlog'!$I168), AND('ProductSprint Backlog'!$J168=P$2,'ProductSprint Backlog'!$I168=P$2), 'ProductSprint Backlog'!$F168, TRUE, 0)</f>
        <v>0</v>
      </c>
      <c r="Q168" s="4" cm="1">
        <f t="array" ref="Q168">_xlfn.IFS('ProductSprint Backlog'!$F168="", "", AND('ProductSprint Backlog'!$J168&gt;Q$2,'ProductSprint Backlog'!$I168&lt;=Q$2), 'ProductSprint Backlog'!$F168 / MAX(1, 'ProductSprint Backlog'!$J168-'ProductSprint Backlog'!$I168), AND('ProductSprint Backlog'!$J168=Q$2,'ProductSprint Backlog'!$I168=Q$2), 'ProductSprint Backlog'!$F168, TRUE, 0)</f>
        <v>0</v>
      </c>
    </row>
    <row r="169" spans="2:17" x14ac:dyDescent="0.2">
      <c r="B169" s="4" cm="1">
        <f t="array" ref="B169">_xlfn.IFS('ProductSprint Backlog'!$F169="", "", AND('ProductSprint Backlog'!$J169&gt;B$2,'ProductSprint Backlog'!$I169&lt;=B$2), 'ProductSprint Backlog'!$F169 / MAX(1, 'ProductSprint Backlog'!$J169-'ProductSprint Backlog'!$I169), AND('ProductSprint Backlog'!$J169=B$2,'ProductSprint Backlog'!$I169=B$2), 'ProductSprint Backlog'!$F169, TRUE, 0)</f>
        <v>0.33333333333333331</v>
      </c>
      <c r="C169" s="4" cm="1">
        <f t="array" ref="C169">_xlfn.IFS('ProductSprint Backlog'!$F169="", "", AND('ProductSprint Backlog'!$J169&gt;C$2,'ProductSprint Backlog'!$I169&lt;=C$2), 'ProductSprint Backlog'!$F169 / MAX(1, 'ProductSprint Backlog'!$J169-'ProductSprint Backlog'!$I169), AND('ProductSprint Backlog'!$J169=C$2,'ProductSprint Backlog'!$I169=C$2), 'ProductSprint Backlog'!$F169, TRUE, 0)</f>
        <v>0.33333333333333331</v>
      </c>
      <c r="D169" s="4" cm="1">
        <f t="array" ref="D169">_xlfn.IFS('ProductSprint Backlog'!$F169="", "", AND('ProductSprint Backlog'!$J169&gt;D$2,'ProductSprint Backlog'!$I169&lt;=D$2), 'ProductSprint Backlog'!$F169 / MAX(1, 'ProductSprint Backlog'!$J169-'ProductSprint Backlog'!$I169), AND('ProductSprint Backlog'!$J169=D$2,'ProductSprint Backlog'!$I169=D$2), 'ProductSprint Backlog'!$F169, TRUE, 0)</f>
        <v>0.33333333333333331</v>
      </c>
      <c r="E169" s="4" cm="1">
        <f t="array" ref="E169">_xlfn.IFS('ProductSprint Backlog'!$F169="", "", AND('ProductSprint Backlog'!$J169&gt;E$2,'ProductSprint Backlog'!$I169&lt;=E$2), 'ProductSprint Backlog'!$F169 / MAX(1, 'ProductSprint Backlog'!$J169-'ProductSprint Backlog'!$I169), AND('ProductSprint Backlog'!$J169=E$2,'ProductSprint Backlog'!$I169=E$2), 'ProductSprint Backlog'!$F169, TRUE, 0)</f>
        <v>0</v>
      </c>
      <c r="F169" s="4" cm="1">
        <f t="array" ref="F169">_xlfn.IFS('ProductSprint Backlog'!$F169="", "", AND('ProductSprint Backlog'!$J169&gt;F$2,'ProductSprint Backlog'!$I169&lt;=F$2), 'ProductSprint Backlog'!$F169 / MAX(1, 'ProductSprint Backlog'!$J169-'ProductSprint Backlog'!$I169), AND('ProductSprint Backlog'!$J169=F$2,'ProductSprint Backlog'!$I169=F$2), 'ProductSprint Backlog'!$F169, TRUE, 0)</f>
        <v>0</v>
      </c>
      <c r="G169" s="4" cm="1">
        <f t="array" ref="G169">_xlfn.IFS('ProductSprint Backlog'!$F169="", "", AND('ProductSprint Backlog'!$J169&gt;G$2,'ProductSprint Backlog'!$I169&lt;=G$2), 'ProductSprint Backlog'!$F169 / MAX(1, 'ProductSprint Backlog'!$J169-'ProductSprint Backlog'!$I169), AND('ProductSprint Backlog'!$J169=G$2,'ProductSprint Backlog'!$I169=G$2), 'ProductSprint Backlog'!$F169, TRUE, 0)</f>
        <v>0</v>
      </c>
      <c r="H169" s="4" cm="1">
        <f t="array" ref="H169">_xlfn.IFS('ProductSprint Backlog'!$F169="", "", AND('ProductSprint Backlog'!$J169&gt;H$2,'ProductSprint Backlog'!$I169&lt;=H$2), 'ProductSprint Backlog'!$F169 / MAX(1, 'ProductSprint Backlog'!$J169-'ProductSprint Backlog'!$I169), AND('ProductSprint Backlog'!$J169=H$2,'ProductSprint Backlog'!$I169=H$2), 'ProductSprint Backlog'!$F169, TRUE, 0)</f>
        <v>0</v>
      </c>
      <c r="I169" s="4" cm="1">
        <f t="array" ref="I169">_xlfn.IFS('ProductSprint Backlog'!$F169="", "", AND('ProductSprint Backlog'!$J169&gt;I$2,'ProductSprint Backlog'!$I169&lt;=I$2), 'ProductSprint Backlog'!$F169 / MAX(1, 'ProductSprint Backlog'!$J169-'ProductSprint Backlog'!$I169), AND('ProductSprint Backlog'!$J169=I$2,'ProductSprint Backlog'!$I169=I$2), 'ProductSprint Backlog'!$F169, TRUE, 0)</f>
        <v>0</v>
      </c>
      <c r="J169" s="4" cm="1">
        <f t="array" ref="J169">_xlfn.IFS('ProductSprint Backlog'!$F169="", "", AND('ProductSprint Backlog'!$J169&gt;J$2,'ProductSprint Backlog'!$I169&lt;=J$2), 'ProductSprint Backlog'!$F169 / MAX(1, 'ProductSprint Backlog'!$J169-'ProductSprint Backlog'!$I169), AND('ProductSprint Backlog'!$J169=J$2,'ProductSprint Backlog'!$I169=J$2), 'ProductSprint Backlog'!$F169, TRUE, 0)</f>
        <v>0</v>
      </c>
      <c r="K169" s="4" cm="1">
        <f t="array" ref="K169">_xlfn.IFS('ProductSprint Backlog'!$F169="", "", AND('ProductSprint Backlog'!$J169&gt;K$2,'ProductSprint Backlog'!$I169&lt;=K$2), 'ProductSprint Backlog'!$F169 / MAX(1, 'ProductSprint Backlog'!$J169-'ProductSprint Backlog'!$I169), AND('ProductSprint Backlog'!$J169=K$2,'ProductSprint Backlog'!$I169=K$2), 'ProductSprint Backlog'!$F169, TRUE, 0)</f>
        <v>0</v>
      </c>
      <c r="L169" s="4" cm="1">
        <f t="array" ref="L169">_xlfn.IFS('ProductSprint Backlog'!$F169="", "", AND('ProductSprint Backlog'!$J169&gt;L$2,'ProductSprint Backlog'!$I169&lt;=L$2), 'ProductSprint Backlog'!$F169 / MAX(1, 'ProductSprint Backlog'!$J169-'ProductSprint Backlog'!$I169), AND('ProductSprint Backlog'!$J169=L$2,'ProductSprint Backlog'!$I169=L$2), 'ProductSprint Backlog'!$F169, TRUE, 0)</f>
        <v>0</v>
      </c>
      <c r="M169" s="4" cm="1">
        <f t="array" ref="M169">_xlfn.IFS('ProductSprint Backlog'!$F169="", "", AND('ProductSprint Backlog'!$J169&gt;M$2,'ProductSprint Backlog'!$I169&lt;=M$2), 'ProductSprint Backlog'!$F169 / MAX(1, 'ProductSprint Backlog'!$J169-'ProductSprint Backlog'!$I169), AND('ProductSprint Backlog'!$J169=M$2,'ProductSprint Backlog'!$I169=M$2), 'ProductSprint Backlog'!$F169, TRUE, 0)</f>
        <v>0</v>
      </c>
      <c r="N169" s="4" cm="1">
        <f t="array" ref="N169">_xlfn.IFS('ProductSprint Backlog'!$F169="", "", AND('ProductSprint Backlog'!$J169&gt;N$2,'ProductSprint Backlog'!$I169&lt;=N$2), 'ProductSprint Backlog'!$F169 / MAX(1, 'ProductSprint Backlog'!$J169-'ProductSprint Backlog'!$I169), AND('ProductSprint Backlog'!$J169=N$2,'ProductSprint Backlog'!$I169=N$2), 'ProductSprint Backlog'!$F169, TRUE, 0)</f>
        <v>0</v>
      </c>
      <c r="O169" s="4" cm="1">
        <f t="array" ref="O169">_xlfn.IFS('ProductSprint Backlog'!$F169="", "", AND('ProductSprint Backlog'!$J169&gt;O$2,'ProductSprint Backlog'!$I169&lt;=O$2), 'ProductSprint Backlog'!$F169 / MAX(1, 'ProductSprint Backlog'!$J169-'ProductSprint Backlog'!$I169), AND('ProductSprint Backlog'!$J169=O$2,'ProductSprint Backlog'!$I169=O$2), 'ProductSprint Backlog'!$F169, TRUE, 0)</f>
        <v>0</v>
      </c>
      <c r="P169" s="4" cm="1">
        <f t="array" ref="P169">_xlfn.IFS('ProductSprint Backlog'!$F169="", "", AND('ProductSprint Backlog'!$J169&gt;P$2,'ProductSprint Backlog'!$I169&lt;=P$2), 'ProductSprint Backlog'!$F169 / MAX(1, 'ProductSprint Backlog'!$J169-'ProductSprint Backlog'!$I169), AND('ProductSprint Backlog'!$J169=P$2,'ProductSprint Backlog'!$I169=P$2), 'ProductSprint Backlog'!$F169, TRUE, 0)</f>
        <v>0</v>
      </c>
      <c r="Q169" s="4" cm="1">
        <f t="array" ref="Q169">_xlfn.IFS('ProductSprint Backlog'!$F169="", "", AND('ProductSprint Backlog'!$J169&gt;Q$2,'ProductSprint Backlog'!$I169&lt;=Q$2), 'ProductSprint Backlog'!$F169 / MAX(1, 'ProductSprint Backlog'!$J169-'ProductSprint Backlog'!$I169), AND('ProductSprint Backlog'!$J169=Q$2,'ProductSprint Backlog'!$I169=Q$2), 'ProductSprint Backlog'!$F169, TRUE, 0)</f>
        <v>0</v>
      </c>
    </row>
    <row r="170" spans="2:17" x14ac:dyDescent="0.2">
      <c r="B170" s="4" cm="1">
        <f t="array" ref="B170">_xlfn.IFS('ProductSprint Backlog'!$F170="", "", AND('ProductSprint Backlog'!$J170&gt;B$2,'ProductSprint Backlog'!$I170&lt;=B$2), 'ProductSprint Backlog'!$F170 / MAX(1, 'ProductSprint Backlog'!$J170-'ProductSprint Backlog'!$I170), AND('ProductSprint Backlog'!$J170=B$2,'ProductSprint Backlog'!$I170=B$2), 'ProductSprint Backlog'!$F170, TRUE, 0)</f>
        <v>0.33333333333333331</v>
      </c>
      <c r="C170" s="4" cm="1">
        <f t="array" ref="C170">_xlfn.IFS('ProductSprint Backlog'!$F170="", "", AND('ProductSprint Backlog'!$J170&gt;C$2,'ProductSprint Backlog'!$I170&lt;=C$2), 'ProductSprint Backlog'!$F170 / MAX(1, 'ProductSprint Backlog'!$J170-'ProductSprint Backlog'!$I170), AND('ProductSprint Backlog'!$J170=C$2,'ProductSprint Backlog'!$I170=C$2), 'ProductSprint Backlog'!$F170, TRUE, 0)</f>
        <v>0.33333333333333331</v>
      </c>
      <c r="D170" s="4" cm="1">
        <f t="array" ref="D170">_xlfn.IFS('ProductSprint Backlog'!$F170="", "", AND('ProductSprint Backlog'!$J170&gt;D$2,'ProductSprint Backlog'!$I170&lt;=D$2), 'ProductSprint Backlog'!$F170 / MAX(1, 'ProductSprint Backlog'!$J170-'ProductSprint Backlog'!$I170), AND('ProductSprint Backlog'!$J170=D$2,'ProductSprint Backlog'!$I170=D$2), 'ProductSprint Backlog'!$F170, TRUE, 0)</f>
        <v>0.33333333333333331</v>
      </c>
      <c r="E170" s="4" cm="1">
        <f t="array" ref="E170">_xlfn.IFS('ProductSprint Backlog'!$F170="", "", AND('ProductSprint Backlog'!$J170&gt;E$2,'ProductSprint Backlog'!$I170&lt;=E$2), 'ProductSprint Backlog'!$F170 / MAX(1, 'ProductSprint Backlog'!$J170-'ProductSprint Backlog'!$I170), AND('ProductSprint Backlog'!$J170=E$2,'ProductSprint Backlog'!$I170=E$2), 'ProductSprint Backlog'!$F170, TRUE, 0)</f>
        <v>0</v>
      </c>
      <c r="F170" s="4" cm="1">
        <f t="array" ref="F170">_xlfn.IFS('ProductSprint Backlog'!$F170="", "", AND('ProductSprint Backlog'!$J170&gt;F$2,'ProductSprint Backlog'!$I170&lt;=F$2), 'ProductSprint Backlog'!$F170 / MAX(1, 'ProductSprint Backlog'!$J170-'ProductSprint Backlog'!$I170), AND('ProductSprint Backlog'!$J170=F$2,'ProductSprint Backlog'!$I170=F$2), 'ProductSprint Backlog'!$F170, TRUE, 0)</f>
        <v>0</v>
      </c>
      <c r="G170" s="4" cm="1">
        <f t="array" ref="G170">_xlfn.IFS('ProductSprint Backlog'!$F170="", "", AND('ProductSprint Backlog'!$J170&gt;G$2,'ProductSprint Backlog'!$I170&lt;=G$2), 'ProductSprint Backlog'!$F170 / MAX(1, 'ProductSprint Backlog'!$J170-'ProductSprint Backlog'!$I170), AND('ProductSprint Backlog'!$J170=G$2,'ProductSprint Backlog'!$I170=G$2), 'ProductSprint Backlog'!$F170, TRUE, 0)</f>
        <v>0</v>
      </c>
      <c r="H170" s="4" cm="1">
        <f t="array" ref="H170">_xlfn.IFS('ProductSprint Backlog'!$F170="", "", AND('ProductSprint Backlog'!$J170&gt;H$2,'ProductSprint Backlog'!$I170&lt;=H$2), 'ProductSprint Backlog'!$F170 / MAX(1, 'ProductSprint Backlog'!$J170-'ProductSprint Backlog'!$I170), AND('ProductSprint Backlog'!$J170=H$2,'ProductSprint Backlog'!$I170=H$2), 'ProductSprint Backlog'!$F170, TRUE, 0)</f>
        <v>0</v>
      </c>
      <c r="I170" s="4" cm="1">
        <f t="array" ref="I170">_xlfn.IFS('ProductSprint Backlog'!$F170="", "", AND('ProductSprint Backlog'!$J170&gt;I$2,'ProductSprint Backlog'!$I170&lt;=I$2), 'ProductSprint Backlog'!$F170 / MAX(1, 'ProductSprint Backlog'!$J170-'ProductSprint Backlog'!$I170), AND('ProductSprint Backlog'!$J170=I$2,'ProductSprint Backlog'!$I170=I$2), 'ProductSprint Backlog'!$F170, TRUE, 0)</f>
        <v>0</v>
      </c>
      <c r="J170" s="4" cm="1">
        <f t="array" ref="J170">_xlfn.IFS('ProductSprint Backlog'!$F170="", "", AND('ProductSprint Backlog'!$J170&gt;J$2,'ProductSprint Backlog'!$I170&lt;=J$2), 'ProductSprint Backlog'!$F170 / MAX(1, 'ProductSprint Backlog'!$J170-'ProductSprint Backlog'!$I170), AND('ProductSprint Backlog'!$J170=J$2,'ProductSprint Backlog'!$I170=J$2), 'ProductSprint Backlog'!$F170, TRUE, 0)</f>
        <v>0</v>
      </c>
      <c r="K170" s="4" cm="1">
        <f t="array" ref="K170">_xlfn.IFS('ProductSprint Backlog'!$F170="", "", AND('ProductSprint Backlog'!$J170&gt;K$2,'ProductSprint Backlog'!$I170&lt;=K$2), 'ProductSprint Backlog'!$F170 / MAX(1, 'ProductSprint Backlog'!$J170-'ProductSprint Backlog'!$I170), AND('ProductSprint Backlog'!$J170=K$2,'ProductSprint Backlog'!$I170=K$2), 'ProductSprint Backlog'!$F170, TRUE, 0)</f>
        <v>0</v>
      </c>
      <c r="L170" s="4" cm="1">
        <f t="array" ref="L170">_xlfn.IFS('ProductSprint Backlog'!$F170="", "", AND('ProductSprint Backlog'!$J170&gt;L$2,'ProductSprint Backlog'!$I170&lt;=L$2), 'ProductSprint Backlog'!$F170 / MAX(1, 'ProductSprint Backlog'!$J170-'ProductSprint Backlog'!$I170), AND('ProductSprint Backlog'!$J170=L$2,'ProductSprint Backlog'!$I170=L$2), 'ProductSprint Backlog'!$F170, TRUE, 0)</f>
        <v>0</v>
      </c>
      <c r="M170" s="4" cm="1">
        <f t="array" ref="M170">_xlfn.IFS('ProductSprint Backlog'!$F170="", "", AND('ProductSprint Backlog'!$J170&gt;M$2,'ProductSprint Backlog'!$I170&lt;=M$2), 'ProductSprint Backlog'!$F170 / MAX(1, 'ProductSprint Backlog'!$J170-'ProductSprint Backlog'!$I170), AND('ProductSprint Backlog'!$J170=M$2,'ProductSprint Backlog'!$I170=M$2), 'ProductSprint Backlog'!$F170, TRUE, 0)</f>
        <v>0</v>
      </c>
      <c r="N170" s="4" cm="1">
        <f t="array" ref="N170">_xlfn.IFS('ProductSprint Backlog'!$F170="", "", AND('ProductSprint Backlog'!$J170&gt;N$2,'ProductSprint Backlog'!$I170&lt;=N$2), 'ProductSprint Backlog'!$F170 / MAX(1, 'ProductSprint Backlog'!$J170-'ProductSprint Backlog'!$I170), AND('ProductSprint Backlog'!$J170=N$2,'ProductSprint Backlog'!$I170=N$2), 'ProductSprint Backlog'!$F170, TRUE, 0)</f>
        <v>0</v>
      </c>
      <c r="O170" s="4" cm="1">
        <f t="array" ref="O170">_xlfn.IFS('ProductSprint Backlog'!$F170="", "", AND('ProductSprint Backlog'!$J170&gt;O$2,'ProductSprint Backlog'!$I170&lt;=O$2), 'ProductSprint Backlog'!$F170 / MAX(1, 'ProductSprint Backlog'!$J170-'ProductSprint Backlog'!$I170), AND('ProductSprint Backlog'!$J170=O$2,'ProductSprint Backlog'!$I170=O$2), 'ProductSprint Backlog'!$F170, TRUE, 0)</f>
        <v>0</v>
      </c>
      <c r="P170" s="4" cm="1">
        <f t="array" ref="P170">_xlfn.IFS('ProductSprint Backlog'!$F170="", "", AND('ProductSprint Backlog'!$J170&gt;P$2,'ProductSprint Backlog'!$I170&lt;=P$2), 'ProductSprint Backlog'!$F170 / MAX(1, 'ProductSprint Backlog'!$J170-'ProductSprint Backlog'!$I170), AND('ProductSprint Backlog'!$J170=P$2,'ProductSprint Backlog'!$I170=P$2), 'ProductSprint Backlog'!$F170, TRUE, 0)</f>
        <v>0</v>
      </c>
      <c r="Q170" s="4" cm="1">
        <f t="array" ref="Q170">_xlfn.IFS('ProductSprint Backlog'!$F170="", "", AND('ProductSprint Backlog'!$J170&gt;Q$2,'ProductSprint Backlog'!$I170&lt;=Q$2), 'ProductSprint Backlog'!$F170 / MAX(1, 'ProductSprint Backlog'!$J170-'ProductSprint Backlog'!$I170), AND('ProductSprint Backlog'!$J170=Q$2,'ProductSprint Backlog'!$I170=Q$2), 'ProductSprint Backlog'!$F170, TRUE, 0)</f>
        <v>0</v>
      </c>
    </row>
    <row r="171" spans="2:17" x14ac:dyDescent="0.2">
      <c r="B171" s="4" cm="1">
        <f t="array" ref="B171">_xlfn.IFS('ProductSprint Backlog'!$F171="", "", AND('ProductSprint Backlog'!$J171&gt;B$2,'ProductSprint Backlog'!$I171&lt;=B$2), 'ProductSprint Backlog'!$F171 / MAX(1, 'ProductSprint Backlog'!$J171-'ProductSprint Backlog'!$I171), AND('ProductSprint Backlog'!$J171=B$2,'ProductSprint Backlog'!$I171=B$2), 'ProductSprint Backlog'!$F171, TRUE, 0)</f>
        <v>0</v>
      </c>
      <c r="C171" s="4" cm="1">
        <f t="array" ref="C171">_xlfn.IFS('ProductSprint Backlog'!$F171="", "", AND('ProductSprint Backlog'!$J171&gt;C$2,'ProductSprint Backlog'!$I171&lt;=C$2), 'ProductSprint Backlog'!$F171 / MAX(1, 'ProductSprint Backlog'!$J171-'ProductSprint Backlog'!$I171), AND('ProductSprint Backlog'!$J171=C$2,'ProductSprint Backlog'!$I171=C$2), 'ProductSprint Backlog'!$F171, TRUE, 0)</f>
        <v>0</v>
      </c>
      <c r="D171" s="4" cm="1">
        <f t="array" ref="D171">_xlfn.IFS('ProductSprint Backlog'!$F171="", "", AND('ProductSprint Backlog'!$J171&gt;D$2,'ProductSprint Backlog'!$I171&lt;=D$2), 'ProductSprint Backlog'!$F171 / MAX(1, 'ProductSprint Backlog'!$J171-'ProductSprint Backlog'!$I171), AND('ProductSprint Backlog'!$J171=D$2,'ProductSprint Backlog'!$I171=D$2), 'ProductSprint Backlog'!$F171, TRUE, 0)</f>
        <v>0</v>
      </c>
      <c r="E171" s="4" cm="1">
        <f t="array" ref="E171">_xlfn.IFS('ProductSprint Backlog'!$F171="", "", AND('ProductSprint Backlog'!$J171&gt;E$2,'ProductSprint Backlog'!$I171&lt;=E$2), 'ProductSprint Backlog'!$F171 / MAX(1, 'ProductSprint Backlog'!$J171-'ProductSprint Backlog'!$I171), AND('ProductSprint Backlog'!$J171=E$2,'ProductSprint Backlog'!$I171=E$2), 'ProductSprint Backlog'!$F171, TRUE, 0)</f>
        <v>0</v>
      </c>
      <c r="F171" s="4" cm="1">
        <f t="array" ref="F171">_xlfn.IFS('ProductSprint Backlog'!$F171="", "", AND('ProductSprint Backlog'!$J171&gt;F$2,'ProductSprint Backlog'!$I171&lt;=F$2), 'ProductSprint Backlog'!$F171 / MAX(1, 'ProductSprint Backlog'!$J171-'ProductSprint Backlog'!$I171), AND('ProductSprint Backlog'!$J171=F$2,'ProductSprint Backlog'!$I171=F$2), 'ProductSprint Backlog'!$F171, TRUE, 0)</f>
        <v>0.33333333333333331</v>
      </c>
      <c r="G171" s="4" cm="1">
        <f t="array" ref="G171">_xlfn.IFS('ProductSprint Backlog'!$F171="", "", AND('ProductSprint Backlog'!$J171&gt;G$2,'ProductSprint Backlog'!$I171&lt;=G$2), 'ProductSprint Backlog'!$F171 / MAX(1, 'ProductSprint Backlog'!$J171-'ProductSprint Backlog'!$I171), AND('ProductSprint Backlog'!$J171=G$2,'ProductSprint Backlog'!$I171=G$2), 'ProductSprint Backlog'!$F171, TRUE, 0)</f>
        <v>0.33333333333333331</v>
      </c>
      <c r="H171" s="4" cm="1">
        <f t="array" ref="H171">_xlfn.IFS('ProductSprint Backlog'!$F171="", "", AND('ProductSprint Backlog'!$J171&gt;H$2,'ProductSprint Backlog'!$I171&lt;=H$2), 'ProductSprint Backlog'!$F171 / MAX(1, 'ProductSprint Backlog'!$J171-'ProductSprint Backlog'!$I171), AND('ProductSprint Backlog'!$J171=H$2,'ProductSprint Backlog'!$I171=H$2), 'ProductSprint Backlog'!$F171, TRUE, 0)</f>
        <v>0.33333333333333331</v>
      </c>
      <c r="I171" s="4" cm="1">
        <f t="array" ref="I171">_xlfn.IFS('ProductSprint Backlog'!$F171="", "", AND('ProductSprint Backlog'!$J171&gt;I$2,'ProductSprint Backlog'!$I171&lt;=I$2), 'ProductSprint Backlog'!$F171 / MAX(1, 'ProductSprint Backlog'!$J171-'ProductSprint Backlog'!$I171), AND('ProductSprint Backlog'!$J171=I$2,'ProductSprint Backlog'!$I171=I$2), 'ProductSprint Backlog'!$F171, TRUE, 0)</f>
        <v>0</v>
      </c>
      <c r="J171" s="4" cm="1">
        <f t="array" ref="J171">_xlfn.IFS('ProductSprint Backlog'!$F171="", "", AND('ProductSprint Backlog'!$J171&gt;J$2,'ProductSprint Backlog'!$I171&lt;=J$2), 'ProductSprint Backlog'!$F171 / MAX(1, 'ProductSprint Backlog'!$J171-'ProductSprint Backlog'!$I171), AND('ProductSprint Backlog'!$J171=J$2,'ProductSprint Backlog'!$I171=J$2), 'ProductSprint Backlog'!$F171, TRUE, 0)</f>
        <v>0</v>
      </c>
      <c r="K171" s="4" cm="1">
        <f t="array" ref="K171">_xlfn.IFS('ProductSprint Backlog'!$F171="", "", AND('ProductSprint Backlog'!$J171&gt;K$2,'ProductSprint Backlog'!$I171&lt;=K$2), 'ProductSprint Backlog'!$F171 / MAX(1, 'ProductSprint Backlog'!$J171-'ProductSprint Backlog'!$I171), AND('ProductSprint Backlog'!$J171=K$2,'ProductSprint Backlog'!$I171=K$2), 'ProductSprint Backlog'!$F171, TRUE, 0)</f>
        <v>0</v>
      </c>
      <c r="L171" s="4" cm="1">
        <f t="array" ref="L171">_xlfn.IFS('ProductSprint Backlog'!$F171="", "", AND('ProductSprint Backlog'!$J171&gt;L$2,'ProductSprint Backlog'!$I171&lt;=L$2), 'ProductSprint Backlog'!$F171 / MAX(1, 'ProductSprint Backlog'!$J171-'ProductSprint Backlog'!$I171), AND('ProductSprint Backlog'!$J171=L$2,'ProductSprint Backlog'!$I171=L$2), 'ProductSprint Backlog'!$F171, TRUE, 0)</f>
        <v>0</v>
      </c>
      <c r="M171" s="4" cm="1">
        <f t="array" ref="M171">_xlfn.IFS('ProductSprint Backlog'!$F171="", "", AND('ProductSprint Backlog'!$J171&gt;M$2,'ProductSprint Backlog'!$I171&lt;=M$2), 'ProductSprint Backlog'!$F171 / MAX(1, 'ProductSprint Backlog'!$J171-'ProductSprint Backlog'!$I171), AND('ProductSprint Backlog'!$J171=M$2,'ProductSprint Backlog'!$I171=M$2), 'ProductSprint Backlog'!$F171, TRUE, 0)</f>
        <v>0</v>
      </c>
      <c r="N171" s="4" cm="1">
        <f t="array" ref="N171">_xlfn.IFS('ProductSprint Backlog'!$F171="", "", AND('ProductSprint Backlog'!$J171&gt;N$2,'ProductSprint Backlog'!$I171&lt;=N$2), 'ProductSprint Backlog'!$F171 / MAX(1, 'ProductSprint Backlog'!$J171-'ProductSprint Backlog'!$I171), AND('ProductSprint Backlog'!$J171=N$2,'ProductSprint Backlog'!$I171=N$2), 'ProductSprint Backlog'!$F171, TRUE, 0)</f>
        <v>0</v>
      </c>
      <c r="O171" s="4" cm="1">
        <f t="array" ref="O171">_xlfn.IFS('ProductSprint Backlog'!$F171="", "", AND('ProductSprint Backlog'!$J171&gt;O$2,'ProductSprint Backlog'!$I171&lt;=O$2), 'ProductSprint Backlog'!$F171 / MAX(1, 'ProductSprint Backlog'!$J171-'ProductSprint Backlog'!$I171), AND('ProductSprint Backlog'!$J171=O$2,'ProductSprint Backlog'!$I171=O$2), 'ProductSprint Backlog'!$F171, TRUE, 0)</f>
        <v>0</v>
      </c>
      <c r="P171" s="4" cm="1">
        <f t="array" ref="P171">_xlfn.IFS('ProductSprint Backlog'!$F171="", "", AND('ProductSprint Backlog'!$J171&gt;P$2,'ProductSprint Backlog'!$I171&lt;=P$2), 'ProductSprint Backlog'!$F171 / MAX(1, 'ProductSprint Backlog'!$J171-'ProductSprint Backlog'!$I171), AND('ProductSprint Backlog'!$J171=P$2,'ProductSprint Backlog'!$I171=P$2), 'ProductSprint Backlog'!$F171, TRUE, 0)</f>
        <v>0</v>
      </c>
      <c r="Q171" s="4" cm="1">
        <f t="array" ref="Q171">_xlfn.IFS('ProductSprint Backlog'!$F171="", "", AND('ProductSprint Backlog'!$J171&gt;Q$2,'ProductSprint Backlog'!$I171&lt;=Q$2), 'ProductSprint Backlog'!$F171 / MAX(1, 'ProductSprint Backlog'!$J171-'ProductSprint Backlog'!$I171), AND('ProductSprint Backlog'!$J171=Q$2,'ProductSprint Backlog'!$I171=Q$2), 'ProductSprint Backlog'!$F171, TRUE, 0)</f>
        <v>0</v>
      </c>
    </row>
    <row r="172" spans="2:17" x14ac:dyDescent="0.2">
      <c r="B172" s="4" cm="1">
        <f t="array" ref="B172">_xlfn.IFS('ProductSprint Backlog'!$F172="", "", AND('ProductSprint Backlog'!$J172&gt;B$2,'ProductSprint Backlog'!$I172&lt;=B$2), 'ProductSprint Backlog'!$F172 / MAX(1, 'ProductSprint Backlog'!$J172-'ProductSprint Backlog'!$I172), AND('ProductSprint Backlog'!$J172=B$2,'ProductSprint Backlog'!$I172=B$2), 'ProductSprint Backlog'!$F172, TRUE, 0)</f>
        <v>0</v>
      </c>
      <c r="C172" s="4" cm="1">
        <f t="array" ref="C172">_xlfn.IFS('ProductSprint Backlog'!$F172="", "", AND('ProductSprint Backlog'!$J172&gt;C$2,'ProductSprint Backlog'!$I172&lt;=C$2), 'ProductSprint Backlog'!$F172 / MAX(1, 'ProductSprint Backlog'!$J172-'ProductSprint Backlog'!$I172), AND('ProductSprint Backlog'!$J172=C$2,'ProductSprint Backlog'!$I172=C$2), 'ProductSprint Backlog'!$F172, TRUE, 0)</f>
        <v>0</v>
      </c>
      <c r="D172" s="4" cm="1">
        <f t="array" ref="D172">_xlfn.IFS('ProductSprint Backlog'!$F172="", "", AND('ProductSprint Backlog'!$J172&gt;D$2,'ProductSprint Backlog'!$I172&lt;=D$2), 'ProductSprint Backlog'!$F172 / MAX(1, 'ProductSprint Backlog'!$J172-'ProductSprint Backlog'!$I172), AND('ProductSprint Backlog'!$J172=D$2,'ProductSprint Backlog'!$I172=D$2), 'ProductSprint Backlog'!$F172, TRUE, 0)</f>
        <v>0</v>
      </c>
      <c r="E172" s="4" cm="1">
        <f t="array" ref="E172">_xlfn.IFS('ProductSprint Backlog'!$F172="", "", AND('ProductSprint Backlog'!$J172&gt;E$2,'ProductSprint Backlog'!$I172&lt;=E$2), 'ProductSprint Backlog'!$F172 / MAX(1, 'ProductSprint Backlog'!$J172-'ProductSprint Backlog'!$I172), AND('ProductSprint Backlog'!$J172=E$2,'ProductSprint Backlog'!$I172=E$2), 'ProductSprint Backlog'!$F172, TRUE, 0)</f>
        <v>0</v>
      </c>
      <c r="F172" s="4" cm="1">
        <f t="array" ref="F172">_xlfn.IFS('ProductSprint Backlog'!$F172="", "", AND('ProductSprint Backlog'!$J172&gt;F$2,'ProductSprint Backlog'!$I172&lt;=F$2), 'ProductSprint Backlog'!$F172 / MAX(1, 'ProductSprint Backlog'!$J172-'ProductSprint Backlog'!$I172), AND('ProductSprint Backlog'!$J172=F$2,'ProductSprint Backlog'!$I172=F$2), 'ProductSprint Backlog'!$F172, TRUE, 0)</f>
        <v>0.33333333333333331</v>
      </c>
      <c r="G172" s="4" cm="1">
        <f t="array" ref="G172">_xlfn.IFS('ProductSprint Backlog'!$F172="", "", AND('ProductSprint Backlog'!$J172&gt;G$2,'ProductSprint Backlog'!$I172&lt;=G$2), 'ProductSprint Backlog'!$F172 / MAX(1, 'ProductSprint Backlog'!$J172-'ProductSprint Backlog'!$I172), AND('ProductSprint Backlog'!$J172=G$2,'ProductSprint Backlog'!$I172=G$2), 'ProductSprint Backlog'!$F172, TRUE, 0)</f>
        <v>0.33333333333333331</v>
      </c>
      <c r="H172" s="4" cm="1">
        <f t="array" ref="H172">_xlfn.IFS('ProductSprint Backlog'!$F172="", "", AND('ProductSprint Backlog'!$J172&gt;H$2,'ProductSprint Backlog'!$I172&lt;=H$2), 'ProductSprint Backlog'!$F172 / MAX(1, 'ProductSprint Backlog'!$J172-'ProductSprint Backlog'!$I172), AND('ProductSprint Backlog'!$J172=H$2,'ProductSprint Backlog'!$I172=H$2), 'ProductSprint Backlog'!$F172, TRUE, 0)</f>
        <v>0.33333333333333331</v>
      </c>
      <c r="I172" s="4" cm="1">
        <f t="array" ref="I172">_xlfn.IFS('ProductSprint Backlog'!$F172="", "", AND('ProductSprint Backlog'!$J172&gt;I$2,'ProductSprint Backlog'!$I172&lt;=I$2), 'ProductSprint Backlog'!$F172 / MAX(1, 'ProductSprint Backlog'!$J172-'ProductSprint Backlog'!$I172), AND('ProductSprint Backlog'!$J172=I$2,'ProductSprint Backlog'!$I172=I$2), 'ProductSprint Backlog'!$F172, TRUE, 0)</f>
        <v>0</v>
      </c>
      <c r="J172" s="4" cm="1">
        <f t="array" ref="J172">_xlfn.IFS('ProductSprint Backlog'!$F172="", "", AND('ProductSprint Backlog'!$J172&gt;J$2,'ProductSprint Backlog'!$I172&lt;=J$2), 'ProductSprint Backlog'!$F172 / MAX(1, 'ProductSprint Backlog'!$J172-'ProductSprint Backlog'!$I172), AND('ProductSprint Backlog'!$J172=J$2,'ProductSprint Backlog'!$I172=J$2), 'ProductSprint Backlog'!$F172, TRUE, 0)</f>
        <v>0</v>
      </c>
      <c r="K172" s="4" cm="1">
        <f t="array" ref="K172">_xlfn.IFS('ProductSprint Backlog'!$F172="", "", AND('ProductSprint Backlog'!$J172&gt;K$2,'ProductSprint Backlog'!$I172&lt;=K$2), 'ProductSprint Backlog'!$F172 / MAX(1, 'ProductSprint Backlog'!$J172-'ProductSprint Backlog'!$I172), AND('ProductSprint Backlog'!$J172=K$2,'ProductSprint Backlog'!$I172=K$2), 'ProductSprint Backlog'!$F172, TRUE, 0)</f>
        <v>0</v>
      </c>
      <c r="L172" s="4" cm="1">
        <f t="array" ref="L172">_xlfn.IFS('ProductSprint Backlog'!$F172="", "", AND('ProductSprint Backlog'!$J172&gt;L$2,'ProductSprint Backlog'!$I172&lt;=L$2), 'ProductSprint Backlog'!$F172 / MAX(1, 'ProductSprint Backlog'!$J172-'ProductSprint Backlog'!$I172), AND('ProductSprint Backlog'!$J172=L$2,'ProductSprint Backlog'!$I172=L$2), 'ProductSprint Backlog'!$F172, TRUE, 0)</f>
        <v>0</v>
      </c>
      <c r="M172" s="4" cm="1">
        <f t="array" ref="M172">_xlfn.IFS('ProductSprint Backlog'!$F172="", "", AND('ProductSprint Backlog'!$J172&gt;M$2,'ProductSprint Backlog'!$I172&lt;=M$2), 'ProductSprint Backlog'!$F172 / MAX(1, 'ProductSprint Backlog'!$J172-'ProductSprint Backlog'!$I172), AND('ProductSprint Backlog'!$J172=M$2,'ProductSprint Backlog'!$I172=M$2), 'ProductSprint Backlog'!$F172, TRUE, 0)</f>
        <v>0</v>
      </c>
      <c r="N172" s="4" cm="1">
        <f t="array" ref="N172">_xlfn.IFS('ProductSprint Backlog'!$F172="", "", AND('ProductSprint Backlog'!$J172&gt;N$2,'ProductSprint Backlog'!$I172&lt;=N$2), 'ProductSprint Backlog'!$F172 / MAX(1, 'ProductSprint Backlog'!$J172-'ProductSprint Backlog'!$I172), AND('ProductSprint Backlog'!$J172=N$2,'ProductSprint Backlog'!$I172=N$2), 'ProductSprint Backlog'!$F172, TRUE, 0)</f>
        <v>0</v>
      </c>
      <c r="O172" s="4" cm="1">
        <f t="array" ref="O172">_xlfn.IFS('ProductSprint Backlog'!$F172="", "", AND('ProductSprint Backlog'!$J172&gt;O$2,'ProductSprint Backlog'!$I172&lt;=O$2), 'ProductSprint Backlog'!$F172 / MAX(1, 'ProductSprint Backlog'!$J172-'ProductSprint Backlog'!$I172), AND('ProductSprint Backlog'!$J172=O$2,'ProductSprint Backlog'!$I172=O$2), 'ProductSprint Backlog'!$F172, TRUE, 0)</f>
        <v>0</v>
      </c>
      <c r="P172" s="4" cm="1">
        <f t="array" ref="P172">_xlfn.IFS('ProductSprint Backlog'!$F172="", "", AND('ProductSprint Backlog'!$J172&gt;P$2,'ProductSprint Backlog'!$I172&lt;=P$2), 'ProductSprint Backlog'!$F172 / MAX(1, 'ProductSprint Backlog'!$J172-'ProductSprint Backlog'!$I172), AND('ProductSprint Backlog'!$J172=P$2,'ProductSprint Backlog'!$I172=P$2), 'ProductSprint Backlog'!$F172, TRUE, 0)</f>
        <v>0</v>
      </c>
      <c r="Q172" s="4" cm="1">
        <f t="array" ref="Q172">_xlfn.IFS('ProductSprint Backlog'!$F172="", "", AND('ProductSprint Backlog'!$J172&gt;Q$2,'ProductSprint Backlog'!$I172&lt;=Q$2), 'ProductSprint Backlog'!$F172 / MAX(1, 'ProductSprint Backlog'!$J172-'ProductSprint Backlog'!$I172), AND('ProductSprint Backlog'!$J172=Q$2,'ProductSprint Backlog'!$I172=Q$2), 'ProductSprint Backlog'!$F172, TRUE, 0)</f>
        <v>0</v>
      </c>
    </row>
    <row r="173" spans="2:17" x14ac:dyDescent="0.2">
      <c r="B173" s="4" cm="1">
        <f t="array" ref="B173">_xlfn.IFS('ProductSprint Backlog'!$F173="", "", AND('ProductSprint Backlog'!$J173&gt;B$2,'ProductSprint Backlog'!$I173&lt;=B$2), 'ProductSprint Backlog'!$F173 / MAX(1, 'ProductSprint Backlog'!$J173-'ProductSprint Backlog'!$I173), AND('ProductSprint Backlog'!$J173=B$2,'ProductSprint Backlog'!$I173=B$2), 'ProductSprint Backlog'!$F173, TRUE, 0)</f>
        <v>0</v>
      </c>
      <c r="C173" s="4" cm="1">
        <f t="array" ref="C173">_xlfn.IFS('ProductSprint Backlog'!$F173="", "", AND('ProductSprint Backlog'!$J173&gt;C$2,'ProductSprint Backlog'!$I173&lt;=C$2), 'ProductSprint Backlog'!$F173 / MAX(1, 'ProductSprint Backlog'!$J173-'ProductSprint Backlog'!$I173), AND('ProductSprint Backlog'!$J173=C$2,'ProductSprint Backlog'!$I173=C$2), 'ProductSprint Backlog'!$F173, TRUE, 0)</f>
        <v>0</v>
      </c>
      <c r="D173" s="4" cm="1">
        <f t="array" ref="D173">_xlfn.IFS('ProductSprint Backlog'!$F173="", "", AND('ProductSprint Backlog'!$J173&gt;D$2,'ProductSprint Backlog'!$I173&lt;=D$2), 'ProductSprint Backlog'!$F173 / MAX(1, 'ProductSprint Backlog'!$J173-'ProductSprint Backlog'!$I173), AND('ProductSprint Backlog'!$J173=D$2,'ProductSprint Backlog'!$I173=D$2), 'ProductSprint Backlog'!$F173, TRUE, 0)</f>
        <v>0</v>
      </c>
      <c r="E173" s="4" cm="1">
        <f t="array" ref="E173">_xlfn.IFS('ProductSprint Backlog'!$F173="", "", AND('ProductSprint Backlog'!$J173&gt;E$2,'ProductSprint Backlog'!$I173&lt;=E$2), 'ProductSprint Backlog'!$F173 / MAX(1, 'ProductSprint Backlog'!$J173-'ProductSprint Backlog'!$I173), AND('ProductSprint Backlog'!$J173=E$2,'ProductSprint Backlog'!$I173=E$2), 'ProductSprint Backlog'!$F173, TRUE, 0)</f>
        <v>0</v>
      </c>
      <c r="F173" s="4" cm="1">
        <f t="array" ref="F173">_xlfn.IFS('ProductSprint Backlog'!$F173="", "", AND('ProductSprint Backlog'!$J173&gt;F$2,'ProductSprint Backlog'!$I173&lt;=F$2), 'ProductSprint Backlog'!$F173 / MAX(1, 'ProductSprint Backlog'!$J173-'ProductSprint Backlog'!$I173), AND('ProductSprint Backlog'!$J173=F$2,'ProductSprint Backlog'!$I173=F$2), 'ProductSprint Backlog'!$F173, TRUE, 0)</f>
        <v>0.33333333333333331</v>
      </c>
      <c r="G173" s="4" cm="1">
        <f t="array" ref="G173">_xlfn.IFS('ProductSprint Backlog'!$F173="", "", AND('ProductSprint Backlog'!$J173&gt;G$2,'ProductSprint Backlog'!$I173&lt;=G$2), 'ProductSprint Backlog'!$F173 / MAX(1, 'ProductSprint Backlog'!$J173-'ProductSprint Backlog'!$I173), AND('ProductSprint Backlog'!$J173=G$2,'ProductSprint Backlog'!$I173=G$2), 'ProductSprint Backlog'!$F173, TRUE, 0)</f>
        <v>0.33333333333333331</v>
      </c>
      <c r="H173" s="4" cm="1">
        <f t="array" ref="H173">_xlfn.IFS('ProductSprint Backlog'!$F173="", "", AND('ProductSprint Backlog'!$J173&gt;H$2,'ProductSprint Backlog'!$I173&lt;=H$2), 'ProductSprint Backlog'!$F173 / MAX(1, 'ProductSprint Backlog'!$J173-'ProductSprint Backlog'!$I173), AND('ProductSprint Backlog'!$J173=H$2,'ProductSprint Backlog'!$I173=H$2), 'ProductSprint Backlog'!$F173, TRUE, 0)</f>
        <v>0.33333333333333331</v>
      </c>
      <c r="I173" s="4" cm="1">
        <f t="array" ref="I173">_xlfn.IFS('ProductSprint Backlog'!$F173="", "", AND('ProductSprint Backlog'!$J173&gt;I$2,'ProductSprint Backlog'!$I173&lt;=I$2), 'ProductSprint Backlog'!$F173 / MAX(1, 'ProductSprint Backlog'!$J173-'ProductSprint Backlog'!$I173), AND('ProductSprint Backlog'!$J173=I$2,'ProductSprint Backlog'!$I173=I$2), 'ProductSprint Backlog'!$F173, TRUE, 0)</f>
        <v>0</v>
      </c>
      <c r="J173" s="4" cm="1">
        <f t="array" ref="J173">_xlfn.IFS('ProductSprint Backlog'!$F173="", "", AND('ProductSprint Backlog'!$J173&gt;J$2,'ProductSprint Backlog'!$I173&lt;=J$2), 'ProductSprint Backlog'!$F173 / MAX(1, 'ProductSprint Backlog'!$J173-'ProductSprint Backlog'!$I173), AND('ProductSprint Backlog'!$J173=J$2,'ProductSprint Backlog'!$I173=J$2), 'ProductSprint Backlog'!$F173, TRUE, 0)</f>
        <v>0</v>
      </c>
      <c r="K173" s="4" cm="1">
        <f t="array" ref="K173">_xlfn.IFS('ProductSprint Backlog'!$F173="", "", AND('ProductSprint Backlog'!$J173&gt;K$2,'ProductSprint Backlog'!$I173&lt;=K$2), 'ProductSprint Backlog'!$F173 / MAX(1, 'ProductSprint Backlog'!$J173-'ProductSprint Backlog'!$I173), AND('ProductSprint Backlog'!$J173=K$2,'ProductSprint Backlog'!$I173=K$2), 'ProductSprint Backlog'!$F173, TRUE, 0)</f>
        <v>0</v>
      </c>
      <c r="L173" s="4" cm="1">
        <f t="array" ref="L173">_xlfn.IFS('ProductSprint Backlog'!$F173="", "", AND('ProductSprint Backlog'!$J173&gt;L$2,'ProductSprint Backlog'!$I173&lt;=L$2), 'ProductSprint Backlog'!$F173 / MAX(1, 'ProductSprint Backlog'!$J173-'ProductSprint Backlog'!$I173), AND('ProductSprint Backlog'!$J173=L$2,'ProductSprint Backlog'!$I173=L$2), 'ProductSprint Backlog'!$F173, TRUE, 0)</f>
        <v>0</v>
      </c>
      <c r="M173" s="4" cm="1">
        <f t="array" ref="M173">_xlfn.IFS('ProductSprint Backlog'!$F173="", "", AND('ProductSprint Backlog'!$J173&gt;M$2,'ProductSprint Backlog'!$I173&lt;=M$2), 'ProductSprint Backlog'!$F173 / MAX(1, 'ProductSprint Backlog'!$J173-'ProductSprint Backlog'!$I173), AND('ProductSprint Backlog'!$J173=M$2,'ProductSprint Backlog'!$I173=M$2), 'ProductSprint Backlog'!$F173, TRUE, 0)</f>
        <v>0</v>
      </c>
      <c r="N173" s="4" cm="1">
        <f t="array" ref="N173">_xlfn.IFS('ProductSprint Backlog'!$F173="", "", AND('ProductSprint Backlog'!$J173&gt;N$2,'ProductSprint Backlog'!$I173&lt;=N$2), 'ProductSprint Backlog'!$F173 / MAX(1, 'ProductSprint Backlog'!$J173-'ProductSprint Backlog'!$I173), AND('ProductSprint Backlog'!$J173=N$2,'ProductSprint Backlog'!$I173=N$2), 'ProductSprint Backlog'!$F173, TRUE, 0)</f>
        <v>0</v>
      </c>
      <c r="O173" s="4" cm="1">
        <f t="array" ref="O173">_xlfn.IFS('ProductSprint Backlog'!$F173="", "", AND('ProductSprint Backlog'!$J173&gt;O$2,'ProductSprint Backlog'!$I173&lt;=O$2), 'ProductSprint Backlog'!$F173 / MAX(1, 'ProductSprint Backlog'!$J173-'ProductSprint Backlog'!$I173), AND('ProductSprint Backlog'!$J173=O$2,'ProductSprint Backlog'!$I173=O$2), 'ProductSprint Backlog'!$F173, TRUE, 0)</f>
        <v>0</v>
      </c>
      <c r="P173" s="4" cm="1">
        <f t="array" ref="P173">_xlfn.IFS('ProductSprint Backlog'!$F173="", "", AND('ProductSprint Backlog'!$J173&gt;P$2,'ProductSprint Backlog'!$I173&lt;=P$2), 'ProductSprint Backlog'!$F173 / MAX(1, 'ProductSprint Backlog'!$J173-'ProductSprint Backlog'!$I173), AND('ProductSprint Backlog'!$J173=P$2,'ProductSprint Backlog'!$I173=P$2), 'ProductSprint Backlog'!$F173, TRUE, 0)</f>
        <v>0</v>
      </c>
      <c r="Q173" s="4" cm="1">
        <f t="array" ref="Q173">_xlfn.IFS('ProductSprint Backlog'!$F173="", "", AND('ProductSprint Backlog'!$J173&gt;Q$2,'ProductSprint Backlog'!$I173&lt;=Q$2), 'ProductSprint Backlog'!$F173 / MAX(1, 'ProductSprint Backlog'!$J173-'ProductSprint Backlog'!$I173), AND('ProductSprint Backlog'!$J173=Q$2,'ProductSprint Backlog'!$I173=Q$2), 'ProductSprint Backlog'!$F173, TRUE, 0)</f>
        <v>0</v>
      </c>
    </row>
    <row r="174" spans="2:17" x14ac:dyDescent="0.2">
      <c r="B174" s="4" cm="1">
        <f t="array" ref="B174">_xlfn.IFS('ProductSprint Backlog'!$F174="", "", AND('ProductSprint Backlog'!$J174&gt;B$2,'ProductSprint Backlog'!$I174&lt;=B$2), 'ProductSprint Backlog'!$F174 / MAX(1, 'ProductSprint Backlog'!$J174-'ProductSprint Backlog'!$I174), AND('ProductSprint Backlog'!$J174=B$2,'ProductSprint Backlog'!$I174=B$2), 'ProductSprint Backlog'!$F174, TRUE, 0)</f>
        <v>0</v>
      </c>
      <c r="C174" s="4" cm="1">
        <f t="array" ref="C174">_xlfn.IFS('ProductSprint Backlog'!$F174="", "", AND('ProductSprint Backlog'!$J174&gt;C$2,'ProductSprint Backlog'!$I174&lt;=C$2), 'ProductSprint Backlog'!$F174 / MAX(1, 'ProductSprint Backlog'!$J174-'ProductSprint Backlog'!$I174), AND('ProductSprint Backlog'!$J174=C$2,'ProductSprint Backlog'!$I174=C$2), 'ProductSprint Backlog'!$F174, TRUE, 0)</f>
        <v>0</v>
      </c>
      <c r="D174" s="4" cm="1">
        <f t="array" ref="D174">_xlfn.IFS('ProductSprint Backlog'!$F174="", "", AND('ProductSprint Backlog'!$J174&gt;D$2,'ProductSprint Backlog'!$I174&lt;=D$2), 'ProductSprint Backlog'!$F174 / MAX(1, 'ProductSprint Backlog'!$J174-'ProductSprint Backlog'!$I174), AND('ProductSprint Backlog'!$J174=D$2,'ProductSprint Backlog'!$I174=D$2), 'ProductSprint Backlog'!$F174, TRUE, 0)</f>
        <v>0</v>
      </c>
      <c r="E174" s="4" cm="1">
        <f t="array" ref="E174">_xlfn.IFS('ProductSprint Backlog'!$F174="", "", AND('ProductSprint Backlog'!$J174&gt;E$2,'ProductSprint Backlog'!$I174&lt;=E$2), 'ProductSprint Backlog'!$F174 / MAX(1, 'ProductSprint Backlog'!$J174-'ProductSprint Backlog'!$I174), AND('ProductSprint Backlog'!$J174=E$2,'ProductSprint Backlog'!$I174=E$2), 'ProductSprint Backlog'!$F174, TRUE, 0)</f>
        <v>0</v>
      </c>
      <c r="F174" s="4" cm="1">
        <f t="array" ref="F174">_xlfn.IFS('ProductSprint Backlog'!$F174="", "", AND('ProductSprint Backlog'!$J174&gt;F$2,'ProductSprint Backlog'!$I174&lt;=F$2), 'ProductSprint Backlog'!$F174 / MAX(1, 'ProductSprint Backlog'!$J174-'ProductSprint Backlog'!$I174), AND('ProductSprint Backlog'!$J174=F$2,'ProductSprint Backlog'!$I174=F$2), 'ProductSprint Backlog'!$F174, TRUE, 0)</f>
        <v>0.33333333333333331</v>
      </c>
      <c r="G174" s="4" cm="1">
        <f t="array" ref="G174">_xlfn.IFS('ProductSprint Backlog'!$F174="", "", AND('ProductSprint Backlog'!$J174&gt;G$2,'ProductSprint Backlog'!$I174&lt;=G$2), 'ProductSprint Backlog'!$F174 / MAX(1, 'ProductSprint Backlog'!$J174-'ProductSprint Backlog'!$I174), AND('ProductSprint Backlog'!$J174=G$2,'ProductSprint Backlog'!$I174=G$2), 'ProductSprint Backlog'!$F174, TRUE, 0)</f>
        <v>0.33333333333333331</v>
      </c>
      <c r="H174" s="4" cm="1">
        <f t="array" ref="H174">_xlfn.IFS('ProductSprint Backlog'!$F174="", "", AND('ProductSprint Backlog'!$J174&gt;H$2,'ProductSprint Backlog'!$I174&lt;=H$2), 'ProductSprint Backlog'!$F174 / MAX(1, 'ProductSprint Backlog'!$J174-'ProductSprint Backlog'!$I174), AND('ProductSprint Backlog'!$J174=H$2,'ProductSprint Backlog'!$I174=H$2), 'ProductSprint Backlog'!$F174, TRUE, 0)</f>
        <v>0.33333333333333331</v>
      </c>
      <c r="I174" s="4" cm="1">
        <f t="array" ref="I174">_xlfn.IFS('ProductSprint Backlog'!$F174="", "", AND('ProductSprint Backlog'!$J174&gt;I$2,'ProductSprint Backlog'!$I174&lt;=I$2), 'ProductSprint Backlog'!$F174 / MAX(1, 'ProductSprint Backlog'!$J174-'ProductSprint Backlog'!$I174), AND('ProductSprint Backlog'!$J174=I$2,'ProductSprint Backlog'!$I174=I$2), 'ProductSprint Backlog'!$F174, TRUE, 0)</f>
        <v>0</v>
      </c>
      <c r="J174" s="4" cm="1">
        <f t="array" ref="J174">_xlfn.IFS('ProductSprint Backlog'!$F174="", "", AND('ProductSprint Backlog'!$J174&gt;J$2,'ProductSprint Backlog'!$I174&lt;=J$2), 'ProductSprint Backlog'!$F174 / MAX(1, 'ProductSprint Backlog'!$J174-'ProductSprint Backlog'!$I174), AND('ProductSprint Backlog'!$J174=J$2,'ProductSprint Backlog'!$I174=J$2), 'ProductSprint Backlog'!$F174, TRUE, 0)</f>
        <v>0</v>
      </c>
      <c r="K174" s="4" cm="1">
        <f t="array" ref="K174">_xlfn.IFS('ProductSprint Backlog'!$F174="", "", AND('ProductSprint Backlog'!$J174&gt;K$2,'ProductSprint Backlog'!$I174&lt;=K$2), 'ProductSprint Backlog'!$F174 / MAX(1, 'ProductSprint Backlog'!$J174-'ProductSprint Backlog'!$I174), AND('ProductSprint Backlog'!$J174=K$2,'ProductSprint Backlog'!$I174=K$2), 'ProductSprint Backlog'!$F174, TRUE, 0)</f>
        <v>0</v>
      </c>
      <c r="L174" s="4" cm="1">
        <f t="array" ref="L174">_xlfn.IFS('ProductSprint Backlog'!$F174="", "", AND('ProductSprint Backlog'!$J174&gt;L$2,'ProductSprint Backlog'!$I174&lt;=L$2), 'ProductSprint Backlog'!$F174 / MAX(1, 'ProductSprint Backlog'!$J174-'ProductSprint Backlog'!$I174), AND('ProductSprint Backlog'!$J174=L$2,'ProductSprint Backlog'!$I174=L$2), 'ProductSprint Backlog'!$F174, TRUE, 0)</f>
        <v>0</v>
      </c>
      <c r="M174" s="4" cm="1">
        <f t="array" ref="M174">_xlfn.IFS('ProductSprint Backlog'!$F174="", "", AND('ProductSprint Backlog'!$J174&gt;M$2,'ProductSprint Backlog'!$I174&lt;=M$2), 'ProductSprint Backlog'!$F174 / MAX(1, 'ProductSprint Backlog'!$J174-'ProductSprint Backlog'!$I174), AND('ProductSprint Backlog'!$J174=M$2,'ProductSprint Backlog'!$I174=M$2), 'ProductSprint Backlog'!$F174, TRUE, 0)</f>
        <v>0</v>
      </c>
      <c r="N174" s="4" cm="1">
        <f t="array" ref="N174">_xlfn.IFS('ProductSprint Backlog'!$F174="", "", AND('ProductSprint Backlog'!$J174&gt;N$2,'ProductSprint Backlog'!$I174&lt;=N$2), 'ProductSprint Backlog'!$F174 / MAX(1, 'ProductSprint Backlog'!$J174-'ProductSprint Backlog'!$I174), AND('ProductSprint Backlog'!$J174=N$2,'ProductSprint Backlog'!$I174=N$2), 'ProductSprint Backlog'!$F174, TRUE, 0)</f>
        <v>0</v>
      </c>
      <c r="O174" s="4" cm="1">
        <f t="array" ref="O174">_xlfn.IFS('ProductSprint Backlog'!$F174="", "", AND('ProductSprint Backlog'!$J174&gt;O$2,'ProductSprint Backlog'!$I174&lt;=O$2), 'ProductSprint Backlog'!$F174 / MAX(1, 'ProductSprint Backlog'!$J174-'ProductSprint Backlog'!$I174), AND('ProductSprint Backlog'!$J174=O$2,'ProductSprint Backlog'!$I174=O$2), 'ProductSprint Backlog'!$F174, TRUE, 0)</f>
        <v>0</v>
      </c>
      <c r="P174" s="4" cm="1">
        <f t="array" ref="P174">_xlfn.IFS('ProductSprint Backlog'!$F174="", "", AND('ProductSprint Backlog'!$J174&gt;P$2,'ProductSprint Backlog'!$I174&lt;=P$2), 'ProductSprint Backlog'!$F174 / MAX(1, 'ProductSprint Backlog'!$J174-'ProductSprint Backlog'!$I174), AND('ProductSprint Backlog'!$J174=P$2,'ProductSprint Backlog'!$I174=P$2), 'ProductSprint Backlog'!$F174, TRUE, 0)</f>
        <v>0</v>
      </c>
      <c r="Q174" s="4" cm="1">
        <f t="array" ref="Q174">_xlfn.IFS('ProductSprint Backlog'!$F174="", "", AND('ProductSprint Backlog'!$J174&gt;Q$2,'ProductSprint Backlog'!$I174&lt;=Q$2), 'ProductSprint Backlog'!$F174 / MAX(1, 'ProductSprint Backlog'!$J174-'ProductSprint Backlog'!$I174), AND('ProductSprint Backlog'!$J174=Q$2,'ProductSprint Backlog'!$I174=Q$2), 'ProductSprint Backlog'!$F174, TRUE, 0)</f>
        <v>0</v>
      </c>
    </row>
    <row r="175" spans="2:17" x14ac:dyDescent="0.2">
      <c r="B175" s="4" cm="1">
        <f t="array" ref="B175">_xlfn.IFS('ProductSprint Backlog'!$F175="", "", AND('ProductSprint Backlog'!$J175&gt;B$2,'ProductSprint Backlog'!$I175&lt;=B$2), 'ProductSprint Backlog'!$F175 / MAX(1, 'ProductSprint Backlog'!$J175-'ProductSprint Backlog'!$I175), AND('ProductSprint Backlog'!$J175=B$2,'ProductSprint Backlog'!$I175=B$2), 'ProductSprint Backlog'!$F175, TRUE, 0)</f>
        <v>0</v>
      </c>
      <c r="C175" s="4" cm="1">
        <f t="array" ref="C175">_xlfn.IFS('ProductSprint Backlog'!$F175="", "", AND('ProductSprint Backlog'!$J175&gt;C$2,'ProductSprint Backlog'!$I175&lt;=C$2), 'ProductSprint Backlog'!$F175 / MAX(1, 'ProductSprint Backlog'!$J175-'ProductSprint Backlog'!$I175), AND('ProductSprint Backlog'!$J175=C$2,'ProductSprint Backlog'!$I175=C$2), 'ProductSprint Backlog'!$F175, TRUE, 0)</f>
        <v>0</v>
      </c>
      <c r="D175" s="4" cm="1">
        <f t="array" ref="D175">_xlfn.IFS('ProductSprint Backlog'!$F175="", "", AND('ProductSprint Backlog'!$J175&gt;D$2,'ProductSprint Backlog'!$I175&lt;=D$2), 'ProductSprint Backlog'!$F175 / MAX(1, 'ProductSprint Backlog'!$J175-'ProductSprint Backlog'!$I175), AND('ProductSprint Backlog'!$J175=D$2,'ProductSprint Backlog'!$I175=D$2), 'ProductSprint Backlog'!$F175, TRUE, 0)</f>
        <v>0</v>
      </c>
      <c r="E175" s="4" cm="1">
        <f t="array" ref="E175">_xlfn.IFS('ProductSprint Backlog'!$F175="", "", AND('ProductSprint Backlog'!$J175&gt;E$2,'ProductSprint Backlog'!$I175&lt;=E$2), 'ProductSprint Backlog'!$F175 / MAX(1, 'ProductSprint Backlog'!$J175-'ProductSprint Backlog'!$I175), AND('ProductSprint Backlog'!$J175=E$2,'ProductSprint Backlog'!$I175=E$2), 'ProductSprint Backlog'!$F175, TRUE, 0)</f>
        <v>0</v>
      </c>
      <c r="F175" s="4" cm="1">
        <f t="array" ref="F175">_xlfn.IFS('ProductSprint Backlog'!$F175="", "", AND('ProductSprint Backlog'!$J175&gt;F$2,'ProductSprint Backlog'!$I175&lt;=F$2), 'ProductSprint Backlog'!$F175 / MAX(1, 'ProductSprint Backlog'!$J175-'ProductSprint Backlog'!$I175), AND('ProductSprint Backlog'!$J175=F$2,'ProductSprint Backlog'!$I175=F$2), 'ProductSprint Backlog'!$F175, TRUE, 0)</f>
        <v>0</v>
      </c>
      <c r="G175" s="4" cm="1">
        <f t="array" ref="G175">_xlfn.IFS('ProductSprint Backlog'!$F175="", "", AND('ProductSprint Backlog'!$J175&gt;G$2,'ProductSprint Backlog'!$I175&lt;=G$2), 'ProductSprint Backlog'!$F175 / MAX(1, 'ProductSprint Backlog'!$J175-'ProductSprint Backlog'!$I175), AND('ProductSprint Backlog'!$J175=G$2,'ProductSprint Backlog'!$I175=G$2), 'ProductSprint Backlog'!$F175, TRUE, 0)</f>
        <v>0</v>
      </c>
      <c r="H175" s="4" cm="1">
        <f t="array" ref="H175">_xlfn.IFS('ProductSprint Backlog'!$F175="", "", AND('ProductSprint Backlog'!$J175&gt;H$2,'ProductSprint Backlog'!$I175&lt;=H$2), 'ProductSprint Backlog'!$F175 / MAX(1, 'ProductSprint Backlog'!$J175-'ProductSprint Backlog'!$I175), AND('ProductSprint Backlog'!$J175=H$2,'ProductSprint Backlog'!$I175=H$2), 'ProductSprint Backlog'!$F175, TRUE, 0)</f>
        <v>0</v>
      </c>
      <c r="I175" s="4" cm="1">
        <f t="array" ref="I175">_xlfn.IFS('ProductSprint Backlog'!$F175="", "", AND('ProductSprint Backlog'!$J175&gt;I$2,'ProductSprint Backlog'!$I175&lt;=I$2), 'ProductSprint Backlog'!$F175 / MAX(1, 'ProductSprint Backlog'!$J175-'ProductSprint Backlog'!$I175), AND('ProductSprint Backlog'!$J175=I$2,'ProductSprint Backlog'!$I175=I$2), 'ProductSprint Backlog'!$F175, TRUE, 0)</f>
        <v>0</v>
      </c>
      <c r="J175" s="4" cm="1">
        <f t="array" ref="J175">_xlfn.IFS('ProductSprint Backlog'!$F175="", "", AND('ProductSprint Backlog'!$J175&gt;J$2,'ProductSprint Backlog'!$I175&lt;=J$2), 'ProductSprint Backlog'!$F175 / MAX(1, 'ProductSprint Backlog'!$J175-'ProductSprint Backlog'!$I175), AND('ProductSprint Backlog'!$J175=J$2,'ProductSprint Backlog'!$I175=J$2), 'ProductSprint Backlog'!$F175, TRUE, 0)</f>
        <v>0.5</v>
      </c>
      <c r="K175" s="4" cm="1">
        <f t="array" ref="K175">_xlfn.IFS('ProductSprint Backlog'!$F175="", "", AND('ProductSprint Backlog'!$J175&gt;K$2,'ProductSprint Backlog'!$I175&lt;=K$2), 'ProductSprint Backlog'!$F175 / MAX(1, 'ProductSprint Backlog'!$J175-'ProductSprint Backlog'!$I175), AND('ProductSprint Backlog'!$J175=K$2,'ProductSprint Backlog'!$I175=K$2), 'ProductSprint Backlog'!$F175, TRUE, 0)</f>
        <v>0.5</v>
      </c>
      <c r="L175" s="4" cm="1">
        <f t="array" ref="L175">_xlfn.IFS('ProductSprint Backlog'!$F175="", "", AND('ProductSprint Backlog'!$J175&gt;L$2,'ProductSprint Backlog'!$I175&lt;=L$2), 'ProductSprint Backlog'!$F175 / MAX(1, 'ProductSprint Backlog'!$J175-'ProductSprint Backlog'!$I175), AND('ProductSprint Backlog'!$J175=L$2,'ProductSprint Backlog'!$I175=L$2), 'ProductSprint Backlog'!$F175, TRUE, 0)</f>
        <v>0</v>
      </c>
      <c r="M175" s="4" cm="1">
        <f t="array" ref="M175">_xlfn.IFS('ProductSprint Backlog'!$F175="", "", AND('ProductSprint Backlog'!$J175&gt;M$2,'ProductSprint Backlog'!$I175&lt;=M$2), 'ProductSprint Backlog'!$F175 / MAX(1, 'ProductSprint Backlog'!$J175-'ProductSprint Backlog'!$I175), AND('ProductSprint Backlog'!$J175=M$2,'ProductSprint Backlog'!$I175=M$2), 'ProductSprint Backlog'!$F175, TRUE, 0)</f>
        <v>0</v>
      </c>
      <c r="N175" s="4" cm="1">
        <f t="array" ref="N175">_xlfn.IFS('ProductSprint Backlog'!$F175="", "", AND('ProductSprint Backlog'!$J175&gt;N$2,'ProductSprint Backlog'!$I175&lt;=N$2), 'ProductSprint Backlog'!$F175 / MAX(1, 'ProductSprint Backlog'!$J175-'ProductSprint Backlog'!$I175), AND('ProductSprint Backlog'!$J175=N$2,'ProductSprint Backlog'!$I175=N$2), 'ProductSprint Backlog'!$F175, TRUE, 0)</f>
        <v>0</v>
      </c>
      <c r="O175" s="4" cm="1">
        <f t="array" ref="O175">_xlfn.IFS('ProductSprint Backlog'!$F175="", "", AND('ProductSprint Backlog'!$J175&gt;O$2,'ProductSprint Backlog'!$I175&lt;=O$2), 'ProductSprint Backlog'!$F175 / MAX(1, 'ProductSprint Backlog'!$J175-'ProductSprint Backlog'!$I175), AND('ProductSprint Backlog'!$J175=O$2,'ProductSprint Backlog'!$I175=O$2), 'ProductSprint Backlog'!$F175, TRUE, 0)</f>
        <v>0</v>
      </c>
      <c r="P175" s="4" cm="1">
        <f t="array" ref="P175">_xlfn.IFS('ProductSprint Backlog'!$F175="", "", AND('ProductSprint Backlog'!$J175&gt;P$2,'ProductSprint Backlog'!$I175&lt;=P$2), 'ProductSprint Backlog'!$F175 / MAX(1, 'ProductSprint Backlog'!$J175-'ProductSprint Backlog'!$I175), AND('ProductSprint Backlog'!$J175=P$2,'ProductSprint Backlog'!$I175=P$2), 'ProductSprint Backlog'!$F175, TRUE, 0)</f>
        <v>0</v>
      </c>
      <c r="Q175" s="4" cm="1">
        <f t="array" ref="Q175">_xlfn.IFS('ProductSprint Backlog'!$F175="", "", AND('ProductSprint Backlog'!$J175&gt;Q$2,'ProductSprint Backlog'!$I175&lt;=Q$2), 'ProductSprint Backlog'!$F175 / MAX(1, 'ProductSprint Backlog'!$J175-'ProductSprint Backlog'!$I175), AND('ProductSprint Backlog'!$J175=Q$2,'ProductSprint Backlog'!$I175=Q$2), 'ProductSprint Backlog'!$F175, TRUE, 0)</f>
        <v>0</v>
      </c>
    </row>
    <row r="176" spans="2:17" x14ac:dyDescent="0.2">
      <c r="B176" s="4" cm="1">
        <f t="array" ref="B176">_xlfn.IFS('ProductSprint Backlog'!$F176="", "", AND('ProductSprint Backlog'!$J176&gt;B$2,'ProductSprint Backlog'!$I176&lt;=B$2), 'ProductSprint Backlog'!$F176 / MAX(1, 'ProductSprint Backlog'!$J176-'ProductSprint Backlog'!$I176), AND('ProductSprint Backlog'!$J176=B$2,'ProductSprint Backlog'!$I176=B$2), 'ProductSprint Backlog'!$F176, TRUE, 0)</f>
        <v>0</v>
      </c>
      <c r="C176" s="4" cm="1">
        <f t="array" ref="C176">_xlfn.IFS('ProductSprint Backlog'!$F176="", "", AND('ProductSprint Backlog'!$J176&gt;C$2,'ProductSprint Backlog'!$I176&lt;=C$2), 'ProductSprint Backlog'!$F176 / MAX(1, 'ProductSprint Backlog'!$J176-'ProductSprint Backlog'!$I176), AND('ProductSprint Backlog'!$J176=C$2,'ProductSprint Backlog'!$I176=C$2), 'ProductSprint Backlog'!$F176, TRUE, 0)</f>
        <v>0</v>
      </c>
      <c r="D176" s="4" cm="1">
        <f t="array" ref="D176">_xlfn.IFS('ProductSprint Backlog'!$F176="", "", AND('ProductSprint Backlog'!$J176&gt;D$2,'ProductSprint Backlog'!$I176&lt;=D$2), 'ProductSprint Backlog'!$F176 / MAX(1, 'ProductSprint Backlog'!$J176-'ProductSprint Backlog'!$I176), AND('ProductSprint Backlog'!$J176=D$2,'ProductSprint Backlog'!$I176=D$2), 'ProductSprint Backlog'!$F176, TRUE, 0)</f>
        <v>0</v>
      </c>
      <c r="E176" s="4" cm="1">
        <f t="array" ref="E176">_xlfn.IFS('ProductSprint Backlog'!$F176="", "", AND('ProductSprint Backlog'!$J176&gt;E$2,'ProductSprint Backlog'!$I176&lt;=E$2), 'ProductSprint Backlog'!$F176 / MAX(1, 'ProductSprint Backlog'!$J176-'ProductSprint Backlog'!$I176), AND('ProductSprint Backlog'!$J176=E$2,'ProductSprint Backlog'!$I176=E$2), 'ProductSprint Backlog'!$F176, TRUE, 0)</f>
        <v>0</v>
      </c>
      <c r="F176" s="4" cm="1">
        <f t="array" ref="F176">_xlfn.IFS('ProductSprint Backlog'!$F176="", "", AND('ProductSprint Backlog'!$J176&gt;F$2,'ProductSprint Backlog'!$I176&lt;=F$2), 'ProductSprint Backlog'!$F176 / MAX(1, 'ProductSprint Backlog'!$J176-'ProductSprint Backlog'!$I176), AND('ProductSprint Backlog'!$J176=F$2,'ProductSprint Backlog'!$I176=F$2), 'ProductSprint Backlog'!$F176, TRUE, 0)</f>
        <v>0</v>
      </c>
      <c r="G176" s="4" cm="1">
        <f t="array" ref="G176">_xlfn.IFS('ProductSprint Backlog'!$F176="", "", AND('ProductSprint Backlog'!$J176&gt;G$2,'ProductSprint Backlog'!$I176&lt;=G$2), 'ProductSprint Backlog'!$F176 / MAX(1, 'ProductSprint Backlog'!$J176-'ProductSprint Backlog'!$I176), AND('ProductSprint Backlog'!$J176=G$2,'ProductSprint Backlog'!$I176=G$2), 'ProductSprint Backlog'!$F176, TRUE, 0)</f>
        <v>0</v>
      </c>
      <c r="H176" s="4" cm="1">
        <f t="array" ref="H176">_xlfn.IFS('ProductSprint Backlog'!$F176="", "", AND('ProductSprint Backlog'!$J176&gt;H$2,'ProductSprint Backlog'!$I176&lt;=H$2), 'ProductSprint Backlog'!$F176 / MAX(1, 'ProductSprint Backlog'!$J176-'ProductSprint Backlog'!$I176), AND('ProductSprint Backlog'!$J176=H$2,'ProductSprint Backlog'!$I176=H$2), 'ProductSprint Backlog'!$F176, TRUE, 0)</f>
        <v>0</v>
      </c>
      <c r="I176" s="4" cm="1">
        <f t="array" ref="I176">_xlfn.IFS('ProductSprint Backlog'!$F176="", "", AND('ProductSprint Backlog'!$J176&gt;I$2,'ProductSprint Backlog'!$I176&lt;=I$2), 'ProductSprint Backlog'!$F176 / MAX(1, 'ProductSprint Backlog'!$J176-'ProductSprint Backlog'!$I176), AND('ProductSprint Backlog'!$J176=I$2,'ProductSprint Backlog'!$I176=I$2), 'ProductSprint Backlog'!$F176, TRUE, 0)</f>
        <v>0</v>
      </c>
      <c r="J176" s="4" cm="1">
        <f t="array" ref="J176">_xlfn.IFS('ProductSprint Backlog'!$F176="", "", AND('ProductSprint Backlog'!$J176&gt;J$2,'ProductSprint Backlog'!$I176&lt;=J$2), 'ProductSprint Backlog'!$F176 / MAX(1, 'ProductSprint Backlog'!$J176-'ProductSprint Backlog'!$I176), AND('ProductSprint Backlog'!$J176=J$2,'ProductSprint Backlog'!$I176=J$2), 'ProductSprint Backlog'!$F176, TRUE, 0)</f>
        <v>0.5</v>
      </c>
      <c r="K176" s="4" cm="1">
        <f t="array" ref="K176">_xlfn.IFS('ProductSprint Backlog'!$F176="", "", AND('ProductSprint Backlog'!$J176&gt;K$2,'ProductSprint Backlog'!$I176&lt;=K$2), 'ProductSprint Backlog'!$F176 / MAX(1, 'ProductSprint Backlog'!$J176-'ProductSprint Backlog'!$I176), AND('ProductSprint Backlog'!$J176=K$2,'ProductSprint Backlog'!$I176=K$2), 'ProductSprint Backlog'!$F176, TRUE, 0)</f>
        <v>0.5</v>
      </c>
      <c r="L176" s="4" cm="1">
        <f t="array" ref="L176">_xlfn.IFS('ProductSprint Backlog'!$F176="", "", AND('ProductSprint Backlog'!$J176&gt;L$2,'ProductSprint Backlog'!$I176&lt;=L$2), 'ProductSprint Backlog'!$F176 / MAX(1, 'ProductSprint Backlog'!$J176-'ProductSprint Backlog'!$I176), AND('ProductSprint Backlog'!$J176=L$2,'ProductSprint Backlog'!$I176=L$2), 'ProductSprint Backlog'!$F176, TRUE, 0)</f>
        <v>0</v>
      </c>
      <c r="M176" s="4" cm="1">
        <f t="array" ref="M176">_xlfn.IFS('ProductSprint Backlog'!$F176="", "", AND('ProductSprint Backlog'!$J176&gt;M$2,'ProductSprint Backlog'!$I176&lt;=M$2), 'ProductSprint Backlog'!$F176 / MAX(1, 'ProductSprint Backlog'!$J176-'ProductSprint Backlog'!$I176), AND('ProductSprint Backlog'!$J176=M$2,'ProductSprint Backlog'!$I176=M$2), 'ProductSprint Backlog'!$F176, TRUE, 0)</f>
        <v>0</v>
      </c>
      <c r="N176" s="4" cm="1">
        <f t="array" ref="N176">_xlfn.IFS('ProductSprint Backlog'!$F176="", "", AND('ProductSprint Backlog'!$J176&gt;N$2,'ProductSprint Backlog'!$I176&lt;=N$2), 'ProductSprint Backlog'!$F176 / MAX(1, 'ProductSprint Backlog'!$J176-'ProductSprint Backlog'!$I176), AND('ProductSprint Backlog'!$J176=N$2,'ProductSprint Backlog'!$I176=N$2), 'ProductSprint Backlog'!$F176, TRUE, 0)</f>
        <v>0</v>
      </c>
      <c r="O176" s="4" cm="1">
        <f t="array" ref="O176">_xlfn.IFS('ProductSprint Backlog'!$F176="", "", AND('ProductSprint Backlog'!$J176&gt;O$2,'ProductSprint Backlog'!$I176&lt;=O$2), 'ProductSprint Backlog'!$F176 / MAX(1, 'ProductSprint Backlog'!$J176-'ProductSprint Backlog'!$I176), AND('ProductSprint Backlog'!$J176=O$2,'ProductSprint Backlog'!$I176=O$2), 'ProductSprint Backlog'!$F176, TRUE, 0)</f>
        <v>0</v>
      </c>
      <c r="P176" s="4" cm="1">
        <f t="array" ref="P176">_xlfn.IFS('ProductSprint Backlog'!$F176="", "", AND('ProductSprint Backlog'!$J176&gt;P$2,'ProductSprint Backlog'!$I176&lt;=P$2), 'ProductSprint Backlog'!$F176 / MAX(1, 'ProductSprint Backlog'!$J176-'ProductSprint Backlog'!$I176), AND('ProductSprint Backlog'!$J176=P$2,'ProductSprint Backlog'!$I176=P$2), 'ProductSprint Backlog'!$F176, TRUE, 0)</f>
        <v>0</v>
      </c>
      <c r="Q176" s="4" cm="1">
        <f t="array" ref="Q176">_xlfn.IFS('ProductSprint Backlog'!$F176="", "", AND('ProductSprint Backlog'!$J176&gt;Q$2,'ProductSprint Backlog'!$I176&lt;=Q$2), 'ProductSprint Backlog'!$F176 / MAX(1, 'ProductSprint Backlog'!$J176-'ProductSprint Backlog'!$I176), AND('ProductSprint Backlog'!$J176=Q$2,'ProductSprint Backlog'!$I176=Q$2), 'ProductSprint Backlog'!$F176, TRUE, 0)</f>
        <v>0</v>
      </c>
    </row>
    <row r="177" spans="2:17" x14ac:dyDescent="0.2">
      <c r="B177" s="4" cm="1">
        <f t="array" ref="B177">_xlfn.IFS('ProductSprint Backlog'!$F177="", "", AND('ProductSprint Backlog'!$J177&gt;B$2,'ProductSprint Backlog'!$I177&lt;=B$2), 'ProductSprint Backlog'!$F177 / MAX(1, 'ProductSprint Backlog'!$J177-'ProductSprint Backlog'!$I177), AND('ProductSprint Backlog'!$J177=B$2,'ProductSprint Backlog'!$I177=B$2), 'ProductSprint Backlog'!$F177, TRUE, 0)</f>
        <v>0</v>
      </c>
      <c r="C177" s="4" cm="1">
        <f t="array" ref="C177">_xlfn.IFS('ProductSprint Backlog'!$F177="", "", AND('ProductSprint Backlog'!$J177&gt;C$2,'ProductSprint Backlog'!$I177&lt;=C$2), 'ProductSprint Backlog'!$F177 / MAX(1, 'ProductSprint Backlog'!$J177-'ProductSprint Backlog'!$I177), AND('ProductSprint Backlog'!$J177=C$2,'ProductSprint Backlog'!$I177=C$2), 'ProductSprint Backlog'!$F177, TRUE, 0)</f>
        <v>0</v>
      </c>
      <c r="D177" s="4" cm="1">
        <f t="array" ref="D177">_xlfn.IFS('ProductSprint Backlog'!$F177="", "", AND('ProductSprint Backlog'!$J177&gt;D$2,'ProductSprint Backlog'!$I177&lt;=D$2), 'ProductSprint Backlog'!$F177 / MAX(1, 'ProductSprint Backlog'!$J177-'ProductSprint Backlog'!$I177), AND('ProductSprint Backlog'!$J177=D$2,'ProductSprint Backlog'!$I177=D$2), 'ProductSprint Backlog'!$F177, TRUE, 0)</f>
        <v>0</v>
      </c>
      <c r="E177" s="4" cm="1">
        <f t="array" ref="E177">_xlfn.IFS('ProductSprint Backlog'!$F177="", "", AND('ProductSprint Backlog'!$J177&gt;E$2,'ProductSprint Backlog'!$I177&lt;=E$2), 'ProductSprint Backlog'!$F177 / MAX(1, 'ProductSprint Backlog'!$J177-'ProductSprint Backlog'!$I177), AND('ProductSprint Backlog'!$J177=E$2,'ProductSprint Backlog'!$I177=E$2), 'ProductSprint Backlog'!$F177, TRUE, 0)</f>
        <v>0</v>
      </c>
      <c r="F177" s="4" cm="1">
        <f t="array" ref="F177">_xlfn.IFS('ProductSprint Backlog'!$F177="", "", AND('ProductSprint Backlog'!$J177&gt;F$2,'ProductSprint Backlog'!$I177&lt;=F$2), 'ProductSprint Backlog'!$F177 / MAX(1, 'ProductSprint Backlog'!$J177-'ProductSprint Backlog'!$I177), AND('ProductSprint Backlog'!$J177=F$2,'ProductSprint Backlog'!$I177=F$2), 'ProductSprint Backlog'!$F177, TRUE, 0)</f>
        <v>0</v>
      </c>
      <c r="G177" s="4" cm="1">
        <f t="array" ref="G177">_xlfn.IFS('ProductSprint Backlog'!$F177="", "", AND('ProductSprint Backlog'!$J177&gt;G$2,'ProductSprint Backlog'!$I177&lt;=G$2), 'ProductSprint Backlog'!$F177 / MAX(1, 'ProductSprint Backlog'!$J177-'ProductSprint Backlog'!$I177), AND('ProductSprint Backlog'!$J177=G$2,'ProductSprint Backlog'!$I177=G$2), 'ProductSprint Backlog'!$F177, TRUE, 0)</f>
        <v>0</v>
      </c>
      <c r="H177" s="4" cm="1">
        <f t="array" ref="H177">_xlfn.IFS('ProductSprint Backlog'!$F177="", "", AND('ProductSprint Backlog'!$J177&gt;H$2,'ProductSprint Backlog'!$I177&lt;=H$2), 'ProductSprint Backlog'!$F177 / MAX(1, 'ProductSprint Backlog'!$J177-'ProductSprint Backlog'!$I177), AND('ProductSprint Backlog'!$J177=H$2,'ProductSprint Backlog'!$I177=H$2), 'ProductSprint Backlog'!$F177, TRUE, 0)</f>
        <v>0</v>
      </c>
      <c r="I177" s="4" cm="1">
        <f t="array" ref="I177">_xlfn.IFS('ProductSprint Backlog'!$F177="", "", AND('ProductSprint Backlog'!$J177&gt;I$2,'ProductSprint Backlog'!$I177&lt;=I$2), 'ProductSprint Backlog'!$F177 / MAX(1, 'ProductSprint Backlog'!$J177-'ProductSprint Backlog'!$I177), AND('ProductSprint Backlog'!$J177=I$2,'ProductSprint Backlog'!$I177=I$2), 'ProductSprint Backlog'!$F177, TRUE, 0)</f>
        <v>0</v>
      </c>
      <c r="J177" s="4" cm="1">
        <f t="array" ref="J177">_xlfn.IFS('ProductSprint Backlog'!$F177="", "", AND('ProductSprint Backlog'!$J177&gt;J$2,'ProductSprint Backlog'!$I177&lt;=J$2), 'ProductSprint Backlog'!$F177 / MAX(1, 'ProductSprint Backlog'!$J177-'ProductSprint Backlog'!$I177), AND('ProductSprint Backlog'!$J177=J$2,'ProductSprint Backlog'!$I177=J$2), 'ProductSprint Backlog'!$F177, TRUE, 0)</f>
        <v>0</v>
      </c>
      <c r="K177" s="4" cm="1">
        <f t="array" ref="K177">_xlfn.IFS('ProductSprint Backlog'!$F177="", "", AND('ProductSprint Backlog'!$J177&gt;K$2,'ProductSprint Backlog'!$I177&lt;=K$2), 'ProductSprint Backlog'!$F177 / MAX(1, 'ProductSprint Backlog'!$J177-'ProductSprint Backlog'!$I177), AND('ProductSprint Backlog'!$J177=K$2,'ProductSprint Backlog'!$I177=K$2), 'ProductSprint Backlog'!$F177, TRUE, 0)</f>
        <v>0</v>
      </c>
      <c r="L177" s="4" cm="1">
        <f t="array" ref="L177">_xlfn.IFS('ProductSprint Backlog'!$F177="", "", AND('ProductSprint Backlog'!$J177&gt;L$2,'ProductSprint Backlog'!$I177&lt;=L$2), 'ProductSprint Backlog'!$F177 / MAX(1, 'ProductSprint Backlog'!$J177-'ProductSprint Backlog'!$I177), AND('ProductSprint Backlog'!$J177=L$2,'ProductSprint Backlog'!$I177=L$2), 'ProductSprint Backlog'!$F177, TRUE, 0)</f>
        <v>0.33333333333333331</v>
      </c>
      <c r="M177" s="4" cm="1">
        <f t="array" ref="M177">_xlfn.IFS('ProductSprint Backlog'!$F177="", "", AND('ProductSprint Backlog'!$J177&gt;M$2,'ProductSprint Backlog'!$I177&lt;=M$2), 'ProductSprint Backlog'!$F177 / MAX(1, 'ProductSprint Backlog'!$J177-'ProductSprint Backlog'!$I177), AND('ProductSprint Backlog'!$J177=M$2,'ProductSprint Backlog'!$I177=M$2), 'ProductSprint Backlog'!$F177, TRUE, 0)</f>
        <v>0.33333333333333331</v>
      </c>
      <c r="N177" s="4" cm="1">
        <f t="array" ref="N177">_xlfn.IFS('ProductSprint Backlog'!$F177="", "", AND('ProductSprint Backlog'!$J177&gt;N$2,'ProductSprint Backlog'!$I177&lt;=N$2), 'ProductSprint Backlog'!$F177 / MAX(1, 'ProductSprint Backlog'!$J177-'ProductSprint Backlog'!$I177), AND('ProductSprint Backlog'!$J177=N$2,'ProductSprint Backlog'!$I177=N$2), 'ProductSprint Backlog'!$F177, TRUE, 0)</f>
        <v>0.33333333333333331</v>
      </c>
      <c r="O177" s="4" cm="1">
        <f t="array" ref="O177">_xlfn.IFS('ProductSprint Backlog'!$F177="", "", AND('ProductSprint Backlog'!$J177&gt;O$2,'ProductSprint Backlog'!$I177&lt;=O$2), 'ProductSprint Backlog'!$F177 / MAX(1, 'ProductSprint Backlog'!$J177-'ProductSprint Backlog'!$I177), AND('ProductSprint Backlog'!$J177=O$2,'ProductSprint Backlog'!$I177=O$2), 'ProductSprint Backlog'!$F177, TRUE, 0)</f>
        <v>0</v>
      </c>
      <c r="P177" s="4" cm="1">
        <f t="array" ref="P177">_xlfn.IFS('ProductSprint Backlog'!$F177="", "", AND('ProductSprint Backlog'!$J177&gt;P$2,'ProductSprint Backlog'!$I177&lt;=P$2), 'ProductSprint Backlog'!$F177 / MAX(1, 'ProductSprint Backlog'!$J177-'ProductSprint Backlog'!$I177), AND('ProductSprint Backlog'!$J177=P$2,'ProductSprint Backlog'!$I177=P$2), 'ProductSprint Backlog'!$F177, TRUE, 0)</f>
        <v>0</v>
      </c>
      <c r="Q177" s="4" cm="1">
        <f t="array" ref="Q177">_xlfn.IFS('ProductSprint Backlog'!$F177="", "", AND('ProductSprint Backlog'!$J177&gt;Q$2,'ProductSprint Backlog'!$I177&lt;=Q$2), 'ProductSprint Backlog'!$F177 / MAX(1, 'ProductSprint Backlog'!$J177-'ProductSprint Backlog'!$I177), AND('ProductSprint Backlog'!$J177=Q$2,'ProductSprint Backlog'!$I177=Q$2), 'ProductSprint Backlog'!$F177, TRUE, 0)</f>
        <v>0</v>
      </c>
    </row>
    <row r="178" spans="2:17" x14ac:dyDescent="0.2">
      <c r="B178" s="4" cm="1">
        <f t="array" ref="B178">_xlfn.IFS('ProductSprint Backlog'!$F178="", "", AND('ProductSprint Backlog'!$J178&gt;B$2,'ProductSprint Backlog'!$I178&lt;=B$2), 'ProductSprint Backlog'!$F178 / MAX(1, 'ProductSprint Backlog'!$J178-'ProductSprint Backlog'!$I178), AND('ProductSprint Backlog'!$J178=B$2,'ProductSprint Backlog'!$I178=B$2), 'ProductSprint Backlog'!$F178, TRUE, 0)</f>
        <v>0</v>
      </c>
      <c r="C178" s="4" cm="1">
        <f t="array" ref="C178">_xlfn.IFS('ProductSprint Backlog'!$F178="", "", AND('ProductSprint Backlog'!$J178&gt;C$2,'ProductSprint Backlog'!$I178&lt;=C$2), 'ProductSprint Backlog'!$F178 / MAX(1, 'ProductSprint Backlog'!$J178-'ProductSprint Backlog'!$I178), AND('ProductSprint Backlog'!$J178=C$2,'ProductSprint Backlog'!$I178=C$2), 'ProductSprint Backlog'!$F178, TRUE, 0)</f>
        <v>0</v>
      </c>
      <c r="D178" s="4" cm="1">
        <f t="array" ref="D178">_xlfn.IFS('ProductSprint Backlog'!$F178="", "", AND('ProductSprint Backlog'!$J178&gt;D$2,'ProductSprint Backlog'!$I178&lt;=D$2), 'ProductSprint Backlog'!$F178 / MAX(1, 'ProductSprint Backlog'!$J178-'ProductSprint Backlog'!$I178), AND('ProductSprint Backlog'!$J178=D$2,'ProductSprint Backlog'!$I178=D$2), 'ProductSprint Backlog'!$F178, TRUE, 0)</f>
        <v>0</v>
      </c>
      <c r="E178" s="4" cm="1">
        <f t="array" ref="E178">_xlfn.IFS('ProductSprint Backlog'!$F178="", "", AND('ProductSprint Backlog'!$J178&gt;E$2,'ProductSprint Backlog'!$I178&lt;=E$2), 'ProductSprint Backlog'!$F178 / MAX(1, 'ProductSprint Backlog'!$J178-'ProductSprint Backlog'!$I178), AND('ProductSprint Backlog'!$J178=E$2,'ProductSprint Backlog'!$I178=E$2), 'ProductSprint Backlog'!$F178, TRUE, 0)</f>
        <v>0</v>
      </c>
      <c r="F178" s="4" cm="1">
        <f t="array" ref="F178">_xlfn.IFS('ProductSprint Backlog'!$F178="", "", AND('ProductSprint Backlog'!$J178&gt;F$2,'ProductSprint Backlog'!$I178&lt;=F$2), 'ProductSprint Backlog'!$F178 / MAX(1, 'ProductSprint Backlog'!$J178-'ProductSprint Backlog'!$I178), AND('ProductSprint Backlog'!$J178=F$2,'ProductSprint Backlog'!$I178=F$2), 'ProductSprint Backlog'!$F178, TRUE, 0)</f>
        <v>0</v>
      </c>
      <c r="G178" s="4" cm="1">
        <f t="array" ref="G178">_xlfn.IFS('ProductSprint Backlog'!$F178="", "", AND('ProductSprint Backlog'!$J178&gt;G$2,'ProductSprint Backlog'!$I178&lt;=G$2), 'ProductSprint Backlog'!$F178 / MAX(1, 'ProductSprint Backlog'!$J178-'ProductSprint Backlog'!$I178), AND('ProductSprint Backlog'!$J178=G$2,'ProductSprint Backlog'!$I178=G$2), 'ProductSprint Backlog'!$F178, TRUE, 0)</f>
        <v>0</v>
      </c>
      <c r="H178" s="4" cm="1">
        <f t="array" ref="H178">_xlfn.IFS('ProductSprint Backlog'!$F178="", "", AND('ProductSprint Backlog'!$J178&gt;H$2,'ProductSprint Backlog'!$I178&lt;=H$2), 'ProductSprint Backlog'!$F178 / MAX(1, 'ProductSprint Backlog'!$J178-'ProductSprint Backlog'!$I178), AND('ProductSprint Backlog'!$J178=H$2,'ProductSprint Backlog'!$I178=H$2), 'ProductSprint Backlog'!$F178, TRUE, 0)</f>
        <v>0</v>
      </c>
      <c r="I178" s="4" cm="1">
        <f t="array" ref="I178">_xlfn.IFS('ProductSprint Backlog'!$F178="", "", AND('ProductSprint Backlog'!$J178&gt;I$2,'ProductSprint Backlog'!$I178&lt;=I$2), 'ProductSprint Backlog'!$F178 / MAX(1, 'ProductSprint Backlog'!$J178-'ProductSprint Backlog'!$I178), AND('ProductSprint Backlog'!$J178=I$2,'ProductSprint Backlog'!$I178=I$2), 'ProductSprint Backlog'!$F178, TRUE, 0)</f>
        <v>0</v>
      </c>
      <c r="J178" s="4" cm="1">
        <f t="array" ref="J178">_xlfn.IFS('ProductSprint Backlog'!$F178="", "", AND('ProductSprint Backlog'!$J178&gt;J$2,'ProductSprint Backlog'!$I178&lt;=J$2), 'ProductSprint Backlog'!$F178 / MAX(1, 'ProductSprint Backlog'!$J178-'ProductSprint Backlog'!$I178), AND('ProductSprint Backlog'!$J178=J$2,'ProductSprint Backlog'!$I178=J$2), 'ProductSprint Backlog'!$F178, TRUE, 0)</f>
        <v>0</v>
      </c>
      <c r="K178" s="4" cm="1">
        <f t="array" ref="K178">_xlfn.IFS('ProductSprint Backlog'!$F178="", "", AND('ProductSprint Backlog'!$J178&gt;K$2,'ProductSprint Backlog'!$I178&lt;=K$2), 'ProductSprint Backlog'!$F178 / MAX(1, 'ProductSprint Backlog'!$J178-'ProductSprint Backlog'!$I178), AND('ProductSprint Backlog'!$J178=K$2,'ProductSprint Backlog'!$I178=K$2), 'ProductSprint Backlog'!$F178, TRUE, 0)</f>
        <v>0</v>
      </c>
      <c r="L178" s="4" cm="1">
        <f t="array" ref="L178">_xlfn.IFS('ProductSprint Backlog'!$F178="", "", AND('ProductSprint Backlog'!$J178&gt;L$2,'ProductSprint Backlog'!$I178&lt;=L$2), 'ProductSprint Backlog'!$F178 / MAX(1, 'ProductSprint Backlog'!$J178-'ProductSprint Backlog'!$I178), AND('ProductSprint Backlog'!$J178=L$2,'ProductSprint Backlog'!$I178=L$2), 'ProductSprint Backlog'!$F178, TRUE, 0)</f>
        <v>0.33333333333333331</v>
      </c>
      <c r="M178" s="4" cm="1">
        <f t="array" ref="M178">_xlfn.IFS('ProductSprint Backlog'!$F178="", "", AND('ProductSprint Backlog'!$J178&gt;M$2,'ProductSprint Backlog'!$I178&lt;=M$2), 'ProductSprint Backlog'!$F178 / MAX(1, 'ProductSprint Backlog'!$J178-'ProductSprint Backlog'!$I178), AND('ProductSprint Backlog'!$J178=M$2,'ProductSprint Backlog'!$I178=M$2), 'ProductSprint Backlog'!$F178, TRUE, 0)</f>
        <v>0.33333333333333331</v>
      </c>
      <c r="N178" s="4" cm="1">
        <f t="array" ref="N178">_xlfn.IFS('ProductSprint Backlog'!$F178="", "", AND('ProductSprint Backlog'!$J178&gt;N$2,'ProductSprint Backlog'!$I178&lt;=N$2), 'ProductSprint Backlog'!$F178 / MAX(1, 'ProductSprint Backlog'!$J178-'ProductSprint Backlog'!$I178), AND('ProductSprint Backlog'!$J178=N$2,'ProductSprint Backlog'!$I178=N$2), 'ProductSprint Backlog'!$F178, TRUE, 0)</f>
        <v>0.33333333333333331</v>
      </c>
      <c r="O178" s="4" cm="1">
        <f t="array" ref="O178">_xlfn.IFS('ProductSprint Backlog'!$F178="", "", AND('ProductSprint Backlog'!$J178&gt;O$2,'ProductSprint Backlog'!$I178&lt;=O$2), 'ProductSprint Backlog'!$F178 / MAX(1, 'ProductSprint Backlog'!$J178-'ProductSprint Backlog'!$I178), AND('ProductSprint Backlog'!$J178=O$2,'ProductSprint Backlog'!$I178=O$2), 'ProductSprint Backlog'!$F178, TRUE, 0)</f>
        <v>0</v>
      </c>
      <c r="P178" s="4" cm="1">
        <f t="array" ref="P178">_xlfn.IFS('ProductSprint Backlog'!$F178="", "", AND('ProductSprint Backlog'!$J178&gt;P$2,'ProductSprint Backlog'!$I178&lt;=P$2), 'ProductSprint Backlog'!$F178 / MAX(1, 'ProductSprint Backlog'!$J178-'ProductSprint Backlog'!$I178), AND('ProductSprint Backlog'!$J178=P$2,'ProductSprint Backlog'!$I178=P$2), 'ProductSprint Backlog'!$F178, TRUE, 0)</f>
        <v>0</v>
      </c>
      <c r="Q178" s="4" cm="1">
        <f t="array" ref="Q178">_xlfn.IFS('ProductSprint Backlog'!$F178="", "", AND('ProductSprint Backlog'!$J178&gt;Q$2,'ProductSprint Backlog'!$I178&lt;=Q$2), 'ProductSprint Backlog'!$F178 / MAX(1, 'ProductSprint Backlog'!$J178-'ProductSprint Backlog'!$I178), AND('ProductSprint Backlog'!$J178=Q$2,'ProductSprint Backlog'!$I178=Q$2), 'ProductSprint Backlog'!$F178, TRUE, 0)</f>
        <v>0</v>
      </c>
    </row>
    <row r="179" spans="2:17" x14ac:dyDescent="0.2">
      <c r="B179" s="4" cm="1">
        <f t="array" ref="B179">_xlfn.IFS('ProductSprint Backlog'!$F179="", "", AND('ProductSprint Backlog'!$J179&gt;B$2,'ProductSprint Backlog'!$I179&lt;=B$2), 'ProductSprint Backlog'!$F179 / MAX(1, 'ProductSprint Backlog'!$J179-'ProductSprint Backlog'!$I179), AND('ProductSprint Backlog'!$J179=B$2,'ProductSprint Backlog'!$I179=B$2), 'ProductSprint Backlog'!$F179, TRUE, 0)</f>
        <v>0</v>
      </c>
      <c r="C179" s="4" cm="1">
        <f t="array" ref="C179">_xlfn.IFS('ProductSprint Backlog'!$F179="", "", AND('ProductSprint Backlog'!$J179&gt;C$2,'ProductSprint Backlog'!$I179&lt;=C$2), 'ProductSprint Backlog'!$F179 / MAX(1, 'ProductSprint Backlog'!$J179-'ProductSprint Backlog'!$I179), AND('ProductSprint Backlog'!$J179=C$2,'ProductSprint Backlog'!$I179=C$2), 'ProductSprint Backlog'!$F179, TRUE, 0)</f>
        <v>0</v>
      </c>
      <c r="D179" s="4" cm="1">
        <f t="array" ref="D179">_xlfn.IFS('ProductSprint Backlog'!$F179="", "", AND('ProductSprint Backlog'!$J179&gt;D$2,'ProductSprint Backlog'!$I179&lt;=D$2), 'ProductSprint Backlog'!$F179 / MAX(1, 'ProductSprint Backlog'!$J179-'ProductSprint Backlog'!$I179), AND('ProductSprint Backlog'!$J179=D$2,'ProductSprint Backlog'!$I179=D$2), 'ProductSprint Backlog'!$F179, TRUE, 0)</f>
        <v>0</v>
      </c>
      <c r="E179" s="4" cm="1">
        <f t="array" ref="E179">_xlfn.IFS('ProductSprint Backlog'!$F179="", "", AND('ProductSprint Backlog'!$J179&gt;E$2,'ProductSprint Backlog'!$I179&lt;=E$2), 'ProductSprint Backlog'!$F179 / MAX(1, 'ProductSprint Backlog'!$J179-'ProductSprint Backlog'!$I179), AND('ProductSprint Backlog'!$J179=E$2,'ProductSprint Backlog'!$I179=E$2), 'ProductSprint Backlog'!$F179, TRUE, 0)</f>
        <v>0</v>
      </c>
      <c r="F179" s="4" cm="1">
        <f t="array" ref="F179">_xlfn.IFS('ProductSprint Backlog'!$F179="", "", AND('ProductSprint Backlog'!$J179&gt;F$2,'ProductSprint Backlog'!$I179&lt;=F$2), 'ProductSprint Backlog'!$F179 / MAX(1, 'ProductSprint Backlog'!$J179-'ProductSprint Backlog'!$I179), AND('ProductSprint Backlog'!$J179=F$2,'ProductSprint Backlog'!$I179=F$2), 'ProductSprint Backlog'!$F179, TRUE, 0)</f>
        <v>0</v>
      </c>
      <c r="G179" s="4" cm="1">
        <f t="array" ref="G179">_xlfn.IFS('ProductSprint Backlog'!$F179="", "", AND('ProductSprint Backlog'!$J179&gt;G$2,'ProductSprint Backlog'!$I179&lt;=G$2), 'ProductSprint Backlog'!$F179 / MAX(1, 'ProductSprint Backlog'!$J179-'ProductSprint Backlog'!$I179), AND('ProductSprint Backlog'!$J179=G$2,'ProductSprint Backlog'!$I179=G$2), 'ProductSprint Backlog'!$F179, TRUE, 0)</f>
        <v>0</v>
      </c>
      <c r="H179" s="4" cm="1">
        <f t="array" ref="H179">_xlfn.IFS('ProductSprint Backlog'!$F179="", "", AND('ProductSprint Backlog'!$J179&gt;H$2,'ProductSprint Backlog'!$I179&lt;=H$2), 'ProductSprint Backlog'!$F179 / MAX(1, 'ProductSprint Backlog'!$J179-'ProductSprint Backlog'!$I179), AND('ProductSprint Backlog'!$J179=H$2,'ProductSprint Backlog'!$I179=H$2), 'ProductSprint Backlog'!$F179, TRUE, 0)</f>
        <v>0</v>
      </c>
      <c r="I179" s="4" cm="1">
        <f t="array" ref="I179">_xlfn.IFS('ProductSprint Backlog'!$F179="", "", AND('ProductSprint Backlog'!$J179&gt;I$2,'ProductSprint Backlog'!$I179&lt;=I$2), 'ProductSprint Backlog'!$F179 / MAX(1, 'ProductSprint Backlog'!$J179-'ProductSprint Backlog'!$I179), AND('ProductSprint Backlog'!$J179=I$2,'ProductSprint Backlog'!$I179=I$2), 'ProductSprint Backlog'!$F179, TRUE, 0)</f>
        <v>0</v>
      </c>
      <c r="J179" s="4" cm="1">
        <f t="array" ref="J179">_xlfn.IFS('ProductSprint Backlog'!$F179="", "", AND('ProductSprint Backlog'!$J179&gt;J$2,'ProductSprint Backlog'!$I179&lt;=J$2), 'ProductSprint Backlog'!$F179 / MAX(1, 'ProductSprint Backlog'!$J179-'ProductSprint Backlog'!$I179), AND('ProductSprint Backlog'!$J179=J$2,'ProductSprint Backlog'!$I179=J$2), 'ProductSprint Backlog'!$F179, TRUE, 0)</f>
        <v>0</v>
      </c>
      <c r="K179" s="4" cm="1">
        <f t="array" ref="K179">_xlfn.IFS('ProductSprint Backlog'!$F179="", "", AND('ProductSprint Backlog'!$J179&gt;K$2,'ProductSprint Backlog'!$I179&lt;=K$2), 'ProductSprint Backlog'!$F179 / MAX(1, 'ProductSprint Backlog'!$J179-'ProductSprint Backlog'!$I179), AND('ProductSprint Backlog'!$J179=K$2,'ProductSprint Backlog'!$I179=K$2), 'ProductSprint Backlog'!$F179, TRUE, 0)</f>
        <v>0</v>
      </c>
      <c r="L179" s="4" cm="1">
        <f t="array" ref="L179">_xlfn.IFS('ProductSprint Backlog'!$F179="", "", AND('ProductSprint Backlog'!$J179&gt;L$2,'ProductSprint Backlog'!$I179&lt;=L$2), 'ProductSprint Backlog'!$F179 / MAX(1, 'ProductSprint Backlog'!$J179-'ProductSprint Backlog'!$I179), AND('ProductSprint Backlog'!$J179=L$2,'ProductSprint Backlog'!$I179=L$2), 'ProductSprint Backlog'!$F179, TRUE, 0)</f>
        <v>0.33333333333333331</v>
      </c>
      <c r="M179" s="4" cm="1">
        <f t="array" ref="M179">_xlfn.IFS('ProductSprint Backlog'!$F179="", "", AND('ProductSprint Backlog'!$J179&gt;M$2,'ProductSprint Backlog'!$I179&lt;=M$2), 'ProductSprint Backlog'!$F179 / MAX(1, 'ProductSprint Backlog'!$J179-'ProductSprint Backlog'!$I179), AND('ProductSprint Backlog'!$J179=M$2,'ProductSprint Backlog'!$I179=M$2), 'ProductSprint Backlog'!$F179, TRUE, 0)</f>
        <v>0.33333333333333331</v>
      </c>
      <c r="N179" s="4" cm="1">
        <f t="array" ref="N179">_xlfn.IFS('ProductSprint Backlog'!$F179="", "", AND('ProductSprint Backlog'!$J179&gt;N$2,'ProductSprint Backlog'!$I179&lt;=N$2), 'ProductSprint Backlog'!$F179 / MAX(1, 'ProductSprint Backlog'!$J179-'ProductSprint Backlog'!$I179), AND('ProductSprint Backlog'!$J179=N$2,'ProductSprint Backlog'!$I179=N$2), 'ProductSprint Backlog'!$F179, TRUE, 0)</f>
        <v>0.33333333333333331</v>
      </c>
      <c r="O179" s="4" cm="1">
        <f t="array" ref="O179">_xlfn.IFS('ProductSprint Backlog'!$F179="", "", AND('ProductSprint Backlog'!$J179&gt;O$2,'ProductSprint Backlog'!$I179&lt;=O$2), 'ProductSprint Backlog'!$F179 / MAX(1, 'ProductSprint Backlog'!$J179-'ProductSprint Backlog'!$I179), AND('ProductSprint Backlog'!$J179=O$2,'ProductSprint Backlog'!$I179=O$2), 'ProductSprint Backlog'!$F179, TRUE, 0)</f>
        <v>0</v>
      </c>
      <c r="P179" s="4" cm="1">
        <f t="array" ref="P179">_xlfn.IFS('ProductSprint Backlog'!$F179="", "", AND('ProductSprint Backlog'!$J179&gt;P$2,'ProductSprint Backlog'!$I179&lt;=P$2), 'ProductSprint Backlog'!$F179 / MAX(1, 'ProductSprint Backlog'!$J179-'ProductSprint Backlog'!$I179), AND('ProductSprint Backlog'!$J179=P$2,'ProductSprint Backlog'!$I179=P$2), 'ProductSprint Backlog'!$F179, TRUE, 0)</f>
        <v>0</v>
      </c>
      <c r="Q179" s="4" cm="1">
        <f t="array" ref="Q179">_xlfn.IFS('ProductSprint Backlog'!$F179="", "", AND('ProductSprint Backlog'!$J179&gt;Q$2,'ProductSprint Backlog'!$I179&lt;=Q$2), 'ProductSprint Backlog'!$F179 / MAX(1, 'ProductSprint Backlog'!$J179-'ProductSprint Backlog'!$I179), AND('ProductSprint Backlog'!$J179=Q$2,'ProductSprint Backlog'!$I179=Q$2), 'ProductSprint Backlog'!$F179, TRUE, 0)</f>
        <v>0</v>
      </c>
    </row>
    <row r="180" spans="2:17" x14ac:dyDescent="0.2">
      <c r="B180" s="4" cm="1">
        <f t="array" ref="B180">_xlfn.IFS('ProductSprint Backlog'!$F180="", "", AND('ProductSprint Backlog'!$J180&gt;B$2,'ProductSprint Backlog'!$I180&lt;=B$2), 'ProductSprint Backlog'!$F180 / MAX(1, 'ProductSprint Backlog'!$J180-'ProductSprint Backlog'!$I180), AND('ProductSprint Backlog'!$J180=B$2,'ProductSprint Backlog'!$I180=B$2), 'ProductSprint Backlog'!$F180, TRUE, 0)</f>
        <v>0</v>
      </c>
      <c r="C180" s="4" cm="1">
        <f t="array" ref="C180">_xlfn.IFS('ProductSprint Backlog'!$F180="", "", AND('ProductSprint Backlog'!$J180&gt;C$2,'ProductSprint Backlog'!$I180&lt;=C$2), 'ProductSprint Backlog'!$F180 / MAX(1, 'ProductSprint Backlog'!$J180-'ProductSprint Backlog'!$I180), AND('ProductSprint Backlog'!$J180=C$2,'ProductSprint Backlog'!$I180=C$2), 'ProductSprint Backlog'!$F180, TRUE, 0)</f>
        <v>0</v>
      </c>
      <c r="D180" s="4" cm="1">
        <f t="array" ref="D180">_xlfn.IFS('ProductSprint Backlog'!$F180="", "", AND('ProductSprint Backlog'!$J180&gt;D$2,'ProductSprint Backlog'!$I180&lt;=D$2), 'ProductSprint Backlog'!$F180 / MAX(1, 'ProductSprint Backlog'!$J180-'ProductSprint Backlog'!$I180), AND('ProductSprint Backlog'!$J180=D$2,'ProductSprint Backlog'!$I180=D$2), 'ProductSprint Backlog'!$F180, TRUE, 0)</f>
        <v>0</v>
      </c>
      <c r="E180" s="4" cm="1">
        <f t="array" ref="E180">_xlfn.IFS('ProductSprint Backlog'!$F180="", "", AND('ProductSprint Backlog'!$J180&gt;E$2,'ProductSprint Backlog'!$I180&lt;=E$2), 'ProductSprint Backlog'!$F180 / MAX(1, 'ProductSprint Backlog'!$J180-'ProductSprint Backlog'!$I180), AND('ProductSprint Backlog'!$J180=E$2,'ProductSprint Backlog'!$I180=E$2), 'ProductSprint Backlog'!$F180, TRUE, 0)</f>
        <v>0</v>
      </c>
      <c r="F180" s="4" cm="1">
        <f t="array" ref="F180">_xlfn.IFS('ProductSprint Backlog'!$F180="", "", AND('ProductSprint Backlog'!$J180&gt;F$2,'ProductSprint Backlog'!$I180&lt;=F$2), 'ProductSprint Backlog'!$F180 / MAX(1, 'ProductSprint Backlog'!$J180-'ProductSprint Backlog'!$I180), AND('ProductSprint Backlog'!$J180=F$2,'ProductSprint Backlog'!$I180=F$2), 'ProductSprint Backlog'!$F180, TRUE, 0)</f>
        <v>0</v>
      </c>
      <c r="G180" s="4" cm="1">
        <f t="array" ref="G180">_xlfn.IFS('ProductSprint Backlog'!$F180="", "", AND('ProductSprint Backlog'!$J180&gt;G$2,'ProductSprint Backlog'!$I180&lt;=G$2), 'ProductSprint Backlog'!$F180 / MAX(1, 'ProductSprint Backlog'!$J180-'ProductSprint Backlog'!$I180), AND('ProductSprint Backlog'!$J180=G$2,'ProductSprint Backlog'!$I180=G$2), 'ProductSprint Backlog'!$F180, TRUE, 0)</f>
        <v>0</v>
      </c>
      <c r="H180" s="4" cm="1">
        <f t="array" ref="H180">_xlfn.IFS('ProductSprint Backlog'!$F180="", "", AND('ProductSprint Backlog'!$J180&gt;H$2,'ProductSprint Backlog'!$I180&lt;=H$2), 'ProductSprint Backlog'!$F180 / MAX(1, 'ProductSprint Backlog'!$J180-'ProductSprint Backlog'!$I180), AND('ProductSprint Backlog'!$J180=H$2,'ProductSprint Backlog'!$I180=H$2), 'ProductSprint Backlog'!$F180, TRUE, 0)</f>
        <v>0</v>
      </c>
      <c r="I180" s="4" cm="1">
        <f t="array" ref="I180">_xlfn.IFS('ProductSprint Backlog'!$F180="", "", AND('ProductSprint Backlog'!$J180&gt;I$2,'ProductSprint Backlog'!$I180&lt;=I$2), 'ProductSprint Backlog'!$F180 / MAX(1, 'ProductSprint Backlog'!$J180-'ProductSprint Backlog'!$I180), AND('ProductSprint Backlog'!$J180=I$2,'ProductSprint Backlog'!$I180=I$2), 'ProductSprint Backlog'!$F180, TRUE, 0)</f>
        <v>0</v>
      </c>
      <c r="J180" s="4" cm="1">
        <f t="array" ref="J180">_xlfn.IFS('ProductSprint Backlog'!$F180="", "", AND('ProductSprint Backlog'!$J180&gt;J$2,'ProductSprint Backlog'!$I180&lt;=J$2), 'ProductSprint Backlog'!$F180 / MAX(1, 'ProductSprint Backlog'!$J180-'ProductSprint Backlog'!$I180), AND('ProductSprint Backlog'!$J180=J$2,'ProductSprint Backlog'!$I180=J$2), 'ProductSprint Backlog'!$F180, TRUE, 0)</f>
        <v>0</v>
      </c>
      <c r="K180" s="4" cm="1">
        <f t="array" ref="K180">_xlfn.IFS('ProductSprint Backlog'!$F180="", "", AND('ProductSprint Backlog'!$J180&gt;K$2,'ProductSprint Backlog'!$I180&lt;=K$2), 'ProductSprint Backlog'!$F180 / MAX(1, 'ProductSprint Backlog'!$J180-'ProductSprint Backlog'!$I180), AND('ProductSprint Backlog'!$J180=K$2,'ProductSprint Backlog'!$I180=K$2), 'ProductSprint Backlog'!$F180, TRUE, 0)</f>
        <v>0</v>
      </c>
      <c r="L180" s="4" cm="1">
        <f t="array" ref="L180">_xlfn.IFS('ProductSprint Backlog'!$F180="", "", AND('ProductSprint Backlog'!$J180&gt;L$2,'ProductSprint Backlog'!$I180&lt;=L$2), 'ProductSprint Backlog'!$F180 / MAX(1, 'ProductSprint Backlog'!$J180-'ProductSprint Backlog'!$I180), AND('ProductSprint Backlog'!$J180=L$2,'ProductSprint Backlog'!$I180=L$2), 'ProductSprint Backlog'!$F180, TRUE, 0)</f>
        <v>0.33333333333333331</v>
      </c>
      <c r="M180" s="4" cm="1">
        <f t="array" ref="M180">_xlfn.IFS('ProductSprint Backlog'!$F180="", "", AND('ProductSprint Backlog'!$J180&gt;M$2,'ProductSprint Backlog'!$I180&lt;=M$2), 'ProductSprint Backlog'!$F180 / MAX(1, 'ProductSprint Backlog'!$J180-'ProductSprint Backlog'!$I180), AND('ProductSprint Backlog'!$J180=M$2,'ProductSprint Backlog'!$I180=M$2), 'ProductSprint Backlog'!$F180, TRUE, 0)</f>
        <v>0.33333333333333331</v>
      </c>
      <c r="N180" s="4" cm="1">
        <f t="array" ref="N180">_xlfn.IFS('ProductSprint Backlog'!$F180="", "", AND('ProductSprint Backlog'!$J180&gt;N$2,'ProductSprint Backlog'!$I180&lt;=N$2), 'ProductSprint Backlog'!$F180 / MAX(1, 'ProductSprint Backlog'!$J180-'ProductSprint Backlog'!$I180), AND('ProductSprint Backlog'!$J180=N$2,'ProductSprint Backlog'!$I180=N$2), 'ProductSprint Backlog'!$F180, TRUE, 0)</f>
        <v>0.33333333333333331</v>
      </c>
      <c r="O180" s="4" cm="1">
        <f t="array" ref="O180">_xlfn.IFS('ProductSprint Backlog'!$F180="", "", AND('ProductSprint Backlog'!$J180&gt;O$2,'ProductSprint Backlog'!$I180&lt;=O$2), 'ProductSprint Backlog'!$F180 / MAX(1, 'ProductSprint Backlog'!$J180-'ProductSprint Backlog'!$I180), AND('ProductSprint Backlog'!$J180=O$2,'ProductSprint Backlog'!$I180=O$2), 'ProductSprint Backlog'!$F180, TRUE, 0)</f>
        <v>0</v>
      </c>
      <c r="P180" s="4" cm="1">
        <f t="array" ref="P180">_xlfn.IFS('ProductSprint Backlog'!$F180="", "", AND('ProductSprint Backlog'!$J180&gt;P$2,'ProductSprint Backlog'!$I180&lt;=P$2), 'ProductSprint Backlog'!$F180 / MAX(1, 'ProductSprint Backlog'!$J180-'ProductSprint Backlog'!$I180), AND('ProductSprint Backlog'!$J180=P$2,'ProductSprint Backlog'!$I180=P$2), 'ProductSprint Backlog'!$F180, TRUE, 0)</f>
        <v>0</v>
      </c>
      <c r="Q180" s="4" cm="1">
        <f t="array" ref="Q180">_xlfn.IFS('ProductSprint Backlog'!$F180="", "", AND('ProductSprint Backlog'!$J180&gt;Q$2,'ProductSprint Backlog'!$I180&lt;=Q$2), 'ProductSprint Backlog'!$F180 / MAX(1, 'ProductSprint Backlog'!$J180-'ProductSprint Backlog'!$I180), AND('ProductSprint Backlog'!$J180=Q$2,'ProductSprint Backlog'!$I180=Q$2), 'ProductSprint Backlog'!$F180, TRUE, 0)</f>
        <v>0</v>
      </c>
    </row>
    <row r="181" spans="2:17" x14ac:dyDescent="0.2">
      <c r="B181" s="4" cm="1">
        <f t="array" ref="B181">_xlfn.IFS('ProductSprint Backlog'!$F181="", "", AND('ProductSprint Backlog'!$J181&gt;B$2,'ProductSprint Backlog'!$I181&lt;=B$2), 'ProductSprint Backlog'!$F181 / MAX(1, 'ProductSprint Backlog'!$J181-'ProductSprint Backlog'!$I181), AND('ProductSprint Backlog'!$J181=B$2,'ProductSprint Backlog'!$I181=B$2), 'ProductSprint Backlog'!$F181, TRUE, 0)</f>
        <v>0</v>
      </c>
      <c r="C181" s="4" cm="1">
        <f t="array" ref="C181">_xlfn.IFS('ProductSprint Backlog'!$F181="", "", AND('ProductSprint Backlog'!$J181&gt;C$2,'ProductSprint Backlog'!$I181&lt;=C$2), 'ProductSprint Backlog'!$F181 / MAX(1, 'ProductSprint Backlog'!$J181-'ProductSprint Backlog'!$I181), AND('ProductSprint Backlog'!$J181=C$2,'ProductSprint Backlog'!$I181=C$2), 'ProductSprint Backlog'!$F181, TRUE, 0)</f>
        <v>0</v>
      </c>
      <c r="D181" s="4" cm="1">
        <f t="array" ref="D181">_xlfn.IFS('ProductSprint Backlog'!$F181="", "", AND('ProductSprint Backlog'!$J181&gt;D$2,'ProductSprint Backlog'!$I181&lt;=D$2), 'ProductSprint Backlog'!$F181 / MAX(1, 'ProductSprint Backlog'!$J181-'ProductSprint Backlog'!$I181), AND('ProductSprint Backlog'!$J181=D$2,'ProductSprint Backlog'!$I181=D$2), 'ProductSprint Backlog'!$F181, TRUE, 0)</f>
        <v>0</v>
      </c>
      <c r="E181" s="4" cm="1">
        <f t="array" ref="E181">_xlfn.IFS('ProductSprint Backlog'!$F181="", "", AND('ProductSprint Backlog'!$J181&gt;E$2,'ProductSprint Backlog'!$I181&lt;=E$2), 'ProductSprint Backlog'!$F181 / MAX(1, 'ProductSprint Backlog'!$J181-'ProductSprint Backlog'!$I181), AND('ProductSprint Backlog'!$J181=E$2,'ProductSprint Backlog'!$I181=E$2), 'ProductSprint Backlog'!$F181, TRUE, 0)</f>
        <v>0</v>
      </c>
      <c r="F181" s="4" cm="1">
        <f t="array" ref="F181">_xlfn.IFS('ProductSprint Backlog'!$F181="", "", AND('ProductSprint Backlog'!$J181&gt;F$2,'ProductSprint Backlog'!$I181&lt;=F$2), 'ProductSprint Backlog'!$F181 / MAX(1, 'ProductSprint Backlog'!$J181-'ProductSprint Backlog'!$I181), AND('ProductSprint Backlog'!$J181=F$2,'ProductSprint Backlog'!$I181=F$2), 'ProductSprint Backlog'!$F181, TRUE, 0)</f>
        <v>0</v>
      </c>
      <c r="G181" s="4" cm="1">
        <f t="array" ref="G181">_xlfn.IFS('ProductSprint Backlog'!$F181="", "", AND('ProductSprint Backlog'!$J181&gt;G$2,'ProductSprint Backlog'!$I181&lt;=G$2), 'ProductSprint Backlog'!$F181 / MAX(1, 'ProductSprint Backlog'!$J181-'ProductSprint Backlog'!$I181), AND('ProductSprint Backlog'!$J181=G$2,'ProductSprint Backlog'!$I181=G$2), 'ProductSprint Backlog'!$F181, TRUE, 0)</f>
        <v>0</v>
      </c>
      <c r="H181" s="4" cm="1">
        <f t="array" ref="H181">_xlfn.IFS('ProductSprint Backlog'!$F181="", "", AND('ProductSprint Backlog'!$J181&gt;H$2,'ProductSprint Backlog'!$I181&lt;=H$2), 'ProductSprint Backlog'!$F181 / MAX(1, 'ProductSprint Backlog'!$J181-'ProductSprint Backlog'!$I181), AND('ProductSprint Backlog'!$J181=H$2,'ProductSprint Backlog'!$I181=H$2), 'ProductSprint Backlog'!$F181, TRUE, 0)</f>
        <v>0</v>
      </c>
      <c r="I181" s="4" cm="1">
        <f t="array" ref="I181">_xlfn.IFS('ProductSprint Backlog'!$F181="", "", AND('ProductSprint Backlog'!$J181&gt;I$2,'ProductSprint Backlog'!$I181&lt;=I$2), 'ProductSprint Backlog'!$F181 / MAX(1, 'ProductSprint Backlog'!$J181-'ProductSprint Backlog'!$I181), AND('ProductSprint Backlog'!$J181=I$2,'ProductSprint Backlog'!$I181=I$2), 'ProductSprint Backlog'!$F181, TRUE, 0)</f>
        <v>0</v>
      </c>
      <c r="J181" s="4" cm="1">
        <f t="array" ref="J181">_xlfn.IFS('ProductSprint Backlog'!$F181="", "", AND('ProductSprint Backlog'!$J181&gt;J$2,'ProductSprint Backlog'!$I181&lt;=J$2), 'ProductSprint Backlog'!$F181 / MAX(1, 'ProductSprint Backlog'!$J181-'ProductSprint Backlog'!$I181), AND('ProductSprint Backlog'!$J181=J$2,'ProductSprint Backlog'!$I181=J$2), 'ProductSprint Backlog'!$F181, TRUE, 0)</f>
        <v>0</v>
      </c>
      <c r="K181" s="4" cm="1">
        <f t="array" ref="K181">_xlfn.IFS('ProductSprint Backlog'!$F181="", "", AND('ProductSprint Backlog'!$J181&gt;K$2,'ProductSprint Backlog'!$I181&lt;=K$2), 'ProductSprint Backlog'!$F181 / MAX(1, 'ProductSprint Backlog'!$J181-'ProductSprint Backlog'!$I181), AND('ProductSprint Backlog'!$J181=K$2,'ProductSprint Backlog'!$I181=K$2), 'ProductSprint Backlog'!$F181, TRUE, 0)</f>
        <v>0</v>
      </c>
      <c r="L181" s="4" cm="1">
        <f t="array" ref="L181">_xlfn.IFS('ProductSprint Backlog'!$F181="", "", AND('ProductSprint Backlog'!$J181&gt;L$2,'ProductSprint Backlog'!$I181&lt;=L$2), 'ProductSprint Backlog'!$F181 / MAX(1, 'ProductSprint Backlog'!$J181-'ProductSprint Backlog'!$I181), AND('ProductSprint Backlog'!$J181=L$2,'ProductSprint Backlog'!$I181=L$2), 'ProductSprint Backlog'!$F181, TRUE, 0)</f>
        <v>0</v>
      </c>
      <c r="M181" s="4" cm="1">
        <f t="array" ref="M181">_xlfn.IFS('ProductSprint Backlog'!$F181="", "", AND('ProductSprint Backlog'!$J181&gt;M$2,'ProductSprint Backlog'!$I181&lt;=M$2), 'ProductSprint Backlog'!$F181 / MAX(1, 'ProductSprint Backlog'!$J181-'ProductSprint Backlog'!$I181), AND('ProductSprint Backlog'!$J181=M$2,'ProductSprint Backlog'!$I181=M$2), 'ProductSprint Backlog'!$F181, TRUE, 0)</f>
        <v>0</v>
      </c>
      <c r="N181" s="4" cm="1">
        <f t="array" ref="N181">_xlfn.IFS('ProductSprint Backlog'!$F181="", "", AND('ProductSprint Backlog'!$J181&gt;N$2,'ProductSprint Backlog'!$I181&lt;=N$2), 'ProductSprint Backlog'!$F181 / MAX(1, 'ProductSprint Backlog'!$J181-'ProductSprint Backlog'!$I181), AND('ProductSprint Backlog'!$J181=N$2,'ProductSprint Backlog'!$I181=N$2), 'ProductSprint Backlog'!$F181, TRUE, 0)</f>
        <v>0</v>
      </c>
      <c r="O181" s="4" cm="1">
        <f t="array" ref="O181">_xlfn.IFS('ProductSprint Backlog'!$F181="", "", AND('ProductSprint Backlog'!$J181&gt;O$2,'ProductSprint Backlog'!$I181&lt;=O$2), 'ProductSprint Backlog'!$F181 / MAX(1, 'ProductSprint Backlog'!$J181-'ProductSprint Backlog'!$I181), AND('ProductSprint Backlog'!$J181=O$2,'ProductSprint Backlog'!$I181=O$2), 'ProductSprint Backlog'!$F181, TRUE, 0)</f>
        <v>0.5</v>
      </c>
      <c r="P181" s="4" cm="1">
        <f t="array" ref="P181">_xlfn.IFS('ProductSprint Backlog'!$F181="", "", AND('ProductSprint Backlog'!$J181&gt;P$2,'ProductSprint Backlog'!$I181&lt;=P$2), 'ProductSprint Backlog'!$F181 / MAX(1, 'ProductSprint Backlog'!$J181-'ProductSprint Backlog'!$I181), AND('ProductSprint Backlog'!$J181=P$2,'ProductSprint Backlog'!$I181=P$2), 'ProductSprint Backlog'!$F181, TRUE, 0)</f>
        <v>0.5</v>
      </c>
      <c r="Q181" s="4" cm="1">
        <f t="array" ref="Q181">_xlfn.IFS('ProductSprint Backlog'!$F181="", "", AND('ProductSprint Backlog'!$J181&gt;Q$2,'ProductSprint Backlog'!$I181&lt;=Q$2), 'ProductSprint Backlog'!$F181 / MAX(1, 'ProductSprint Backlog'!$J181-'ProductSprint Backlog'!$I181), AND('ProductSprint Backlog'!$J181=Q$2,'ProductSprint Backlog'!$I181=Q$2), 'ProductSprint Backlog'!$F181, TRUE, 0)</f>
        <v>0</v>
      </c>
    </row>
    <row r="182" spans="2:17" x14ac:dyDescent="0.2">
      <c r="B182" s="4" cm="1">
        <f t="array" ref="B182">_xlfn.IFS('ProductSprint Backlog'!$F182="", "", AND('ProductSprint Backlog'!$J182&gt;B$2,'ProductSprint Backlog'!$I182&lt;=B$2), 'ProductSprint Backlog'!$F182 / MAX(1, 'ProductSprint Backlog'!$J182-'ProductSprint Backlog'!$I182), AND('ProductSprint Backlog'!$J182=B$2,'ProductSprint Backlog'!$I182=B$2), 'ProductSprint Backlog'!$F182, TRUE, 0)</f>
        <v>0</v>
      </c>
      <c r="C182" s="4" cm="1">
        <f t="array" ref="C182">_xlfn.IFS('ProductSprint Backlog'!$F182="", "", AND('ProductSprint Backlog'!$J182&gt;C$2,'ProductSprint Backlog'!$I182&lt;=C$2), 'ProductSprint Backlog'!$F182 / MAX(1, 'ProductSprint Backlog'!$J182-'ProductSprint Backlog'!$I182), AND('ProductSprint Backlog'!$J182=C$2,'ProductSprint Backlog'!$I182=C$2), 'ProductSprint Backlog'!$F182, TRUE, 0)</f>
        <v>0</v>
      </c>
      <c r="D182" s="4" cm="1">
        <f t="array" ref="D182">_xlfn.IFS('ProductSprint Backlog'!$F182="", "", AND('ProductSprint Backlog'!$J182&gt;D$2,'ProductSprint Backlog'!$I182&lt;=D$2), 'ProductSprint Backlog'!$F182 / MAX(1, 'ProductSprint Backlog'!$J182-'ProductSprint Backlog'!$I182), AND('ProductSprint Backlog'!$J182=D$2,'ProductSprint Backlog'!$I182=D$2), 'ProductSprint Backlog'!$F182, TRUE, 0)</f>
        <v>0</v>
      </c>
      <c r="E182" s="4" cm="1">
        <f t="array" ref="E182">_xlfn.IFS('ProductSprint Backlog'!$F182="", "", AND('ProductSprint Backlog'!$J182&gt;E$2,'ProductSprint Backlog'!$I182&lt;=E$2), 'ProductSprint Backlog'!$F182 / MAX(1, 'ProductSprint Backlog'!$J182-'ProductSprint Backlog'!$I182), AND('ProductSprint Backlog'!$J182=E$2,'ProductSprint Backlog'!$I182=E$2), 'ProductSprint Backlog'!$F182, TRUE, 0)</f>
        <v>0</v>
      </c>
      <c r="F182" s="4" cm="1">
        <f t="array" ref="F182">_xlfn.IFS('ProductSprint Backlog'!$F182="", "", AND('ProductSprint Backlog'!$J182&gt;F$2,'ProductSprint Backlog'!$I182&lt;=F$2), 'ProductSprint Backlog'!$F182 / MAX(1, 'ProductSprint Backlog'!$J182-'ProductSprint Backlog'!$I182), AND('ProductSprint Backlog'!$J182=F$2,'ProductSprint Backlog'!$I182=F$2), 'ProductSprint Backlog'!$F182, TRUE, 0)</f>
        <v>0</v>
      </c>
      <c r="G182" s="4" cm="1">
        <f t="array" ref="G182">_xlfn.IFS('ProductSprint Backlog'!$F182="", "", AND('ProductSprint Backlog'!$J182&gt;G$2,'ProductSprint Backlog'!$I182&lt;=G$2), 'ProductSprint Backlog'!$F182 / MAX(1, 'ProductSprint Backlog'!$J182-'ProductSprint Backlog'!$I182), AND('ProductSprint Backlog'!$J182=G$2,'ProductSprint Backlog'!$I182=G$2), 'ProductSprint Backlog'!$F182, TRUE, 0)</f>
        <v>0</v>
      </c>
      <c r="H182" s="4" cm="1">
        <f t="array" ref="H182">_xlfn.IFS('ProductSprint Backlog'!$F182="", "", AND('ProductSprint Backlog'!$J182&gt;H$2,'ProductSprint Backlog'!$I182&lt;=H$2), 'ProductSprint Backlog'!$F182 / MAX(1, 'ProductSprint Backlog'!$J182-'ProductSprint Backlog'!$I182), AND('ProductSprint Backlog'!$J182=H$2,'ProductSprint Backlog'!$I182=H$2), 'ProductSprint Backlog'!$F182, TRUE, 0)</f>
        <v>0</v>
      </c>
      <c r="I182" s="4" cm="1">
        <f t="array" ref="I182">_xlfn.IFS('ProductSprint Backlog'!$F182="", "", AND('ProductSprint Backlog'!$J182&gt;I$2,'ProductSprint Backlog'!$I182&lt;=I$2), 'ProductSprint Backlog'!$F182 / MAX(1, 'ProductSprint Backlog'!$J182-'ProductSprint Backlog'!$I182), AND('ProductSprint Backlog'!$J182=I$2,'ProductSprint Backlog'!$I182=I$2), 'ProductSprint Backlog'!$F182, TRUE, 0)</f>
        <v>0</v>
      </c>
      <c r="J182" s="4" cm="1">
        <f t="array" ref="J182">_xlfn.IFS('ProductSprint Backlog'!$F182="", "", AND('ProductSprint Backlog'!$J182&gt;J$2,'ProductSprint Backlog'!$I182&lt;=J$2), 'ProductSprint Backlog'!$F182 / MAX(1, 'ProductSprint Backlog'!$J182-'ProductSprint Backlog'!$I182), AND('ProductSprint Backlog'!$J182=J$2,'ProductSprint Backlog'!$I182=J$2), 'ProductSprint Backlog'!$F182, TRUE, 0)</f>
        <v>0</v>
      </c>
      <c r="K182" s="4" cm="1">
        <f t="array" ref="K182">_xlfn.IFS('ProductSprint Backlog'!$F182="", "", AND('ProductSprint Backlog'!$J182&gt;K$2,'ProductSprint Backlog'!$I182&lt;=K$2), 'ProductSprint Backlog'!$F182 / MAX(1, 'ProductSprint Backlog'!$J182-'ProductSprint Backlog'!$I182), AND('ProductSprint Backlog'!$J182=K$2,'ProductSprint Backlog'!$I182=K$2), 'ProductSprint Backlog'!$F182, TRUE, 0)</f>
        <v>0</v>
      </c>
      <c r="L182" s="4" cm="1">
        <f t="array" ref="L182">_xlfn.IFS('ProductSprint Backlog'!$F182="", "", AND('ProductSprint Backlog'!$J182&gt;L$2,'ProductSprint Backlog'!$I182&lt;=L$2), 'ProductSprint Backlog'!$F182 / MAX(1, 'ProductSprint Backlog'!$J182-'ProductSprint Backlog'!$I182), AND('ProductSprint Backlog'!$J182=L$2,'ProductSprint Backlog'!$I182=L$2), 'ProductSprint Backlog'!$F182, TRUE, 0)</f>
        <v>0</v>
      </c>
      <c r="M182" s="4" cm="1">
        <f t="array" ref="M182">_xlfn.IFS('ProductSprint Backlog'!$F182="", "", AND('ProductSprint Backlog'!$J182&gt;M$2,'ProductSprint Backlog'!$I182&lt;=M$2), 'ProductSprint Backlog'!$F182 / MAX(1, 'ProductSprint Backlog'!$J182-'ProductSprint Backlog'!$I182), AND('ProductSprint Backlog'!$J182=M$2,'ProductSprint Backlog'!$I182=M$2), 'ProductSprint Backlog'!$F182, TRUE, 0)</f>
        <v>0</v>
      </c>
      <c r="N182" s="4" cm="1">
        <f t="array" ref="N182">_xlfn.IFS('ProductSprint Backlog'!$F182="", "", AND('ProductSprint Backlog'!$J182&gt;N$2,'ProductSprint Backlog'!$I182&lt;=N$2), 'ProductSprint Backlog'!$F182 / MAX(1, 'ProductSprint Backlog'!$J182-'ProductSprint Backlog'!$I182), AND('ProductSprint Backlog'!$J182=N$2,'ProductSprint Backlog'!$I182=N$2), 'ProductSprint Backlog'!$F182, TRUE, 0)</f>
        <v>0</v>
      </c>
      <c r="O182" s="4" cm="1">
        <f t="array" ref="O182">_xlfn.IFS('ProductSprint Backlog'!$F182="", "", AND('ProductSprint Backlog'!$J182&gt;O$2,'ProductSprint Backlog'!$I182&lt;=O$2), 'ProductSprint Backlog'!$F182 / MAX(1, 'ProductSprint Backlog'!$J182-'ProductSprint Backlog'!$I182), AND('ProductSprint Backlog'!$J182=O$2,'ProductSprint Backlog'!$I182=O$2), 'ProductSprint Backlog'!$F182, TRUE, 0)</f>
        <v>0.5</v>
      </c>
      <c r="P182" s="4" cm="1">
        <f t="array" ref="P182">_xlfn.IFS('ProductSprint Backlog'!$F182="", "", AND('ProductSprint Backlog'!$J182&gt;P$2,'ProductSprint Backlog'!$I182&lt;=P$2), 'ProductSprint Backlog'!$F182 / MAX(1, 'ProductSprint Backlog'!$J182-'ProductSprint Backlog'!$I182), AND('ProductSprint Backlog'!$J182=P$2,'ProductSprint Backlog'!$I182=P$2), 'ProductSprint Backlog'!$F182, TRUE, 0)</f>
        <v>0.5</v>
      </c>
      <c r="Q182" s="4" cm="1">
        <f t="array" ref="Q182">_xlfn.IFS('ProductSprint Backlog'!$F182="", "", AND('ProductSprint Backlog'!$J182&gt;Q$2,'ProductSprint Backlog'!$I182&lt;=Q$2), 'ProductSprint Backlog'!$F182 / MAX(1, 'ProductSprint Backlog'!$J182-'ProductSprint Backlog'!$I182), AND('ProductSprint Backlog'!$J182=Q$2,'ProductSprint Backlog'!$I182=Q$2), 'ProductSprint Backlog'!$F182, TRUE, 0)</f>
        <v>0</v>
      </c>
    </row>
    <row r="183" spans="2:17" x14ac:dyDescent="0.2">
      <c r="B183" s="4" cm="1">
        <f t="array" ref="B183">_xlfn.IFS('ProductSprint Backlog'!$F183="", "", AND('ProductSprint Backlog'!$J183&gt;B$2,'ProductSprint Backlog'!$I183&lt;=B$2), 'ProductSprint Backlog'!$F183 / MAX(1, 'ProductSprint Backlog'!$J183-'ProductSprint Backlog'!$I183), AND('ProductSprint Backlog'!$J183=B$2,'ProductSprint Backlog'!$I183=B$2), 'ProductSprint Backlog'!$F183, TRUE, 0)</f>
        <v>0</v>
      </c>
      <c r="C183" s="4" cm="1">
        <f t="array" ref="C183">_xlfn.IFS('ProductSprint Backlog'!$F183="", "", AND('ProductSprint Backlog'!$J183&gt;C$2,'ProductSprint Backlog'!$I183&lt;=C$2), 'ProductSprint Backlog'!$F183 / MAX(1, 'ProductSprint Backlog'!$J183-'ProductSprint Backlog'!$I183), AND('ProductSprint Backlog'!$J183=C$2,'ProductSprint Backlog'!$I183=C$2), 'ProductSprint Backlog'!$F183, TRUE, 0)</f>
        <v>0</v>
      </c>
      <c r="D183" s="4" cm="1">
        <f t="array" ref="D183">_xlfn.IFS('ProductSprint Backlog'!$F183="", "", AND('ProductSprint Backlog'!$J183&gt;D$2,'ProductSprint Backlog'!$I183&lt;=D$2), 'ProductSprint Backlog'!$F183 / MAX(1, 'ProductSprint Backlog'!$J183-'ProductSprint Backlog'!$I183), AND('ProductSprint Backlog'!$J183=D$2,'ProductSprint Backlog'!$I183=D$2), 'ProductSprint Backlog'!$F183, TRUE, 0)</f>
        <v>0</v>
      </c>
      <c r="E183" s="4" cm="1">
        <f t="array" ref="E183">_xlfn.IFS('ProductSprint Backlog'!$F183="", "", AND('ProductSprint Backlog'!$J183&gt;E$2,'ProductSprint Backlog'!$I183&lt;=E$2), 'ProductSprint Backlog'!$F183 / MAX(1, 'ProductSprint Backlog'!$J183-'ProductSprint Backlog'!$I183), AND('ProductSprint Backlog'!$J183=E$2,'ProductSprint Backlog'!$I183=E$2), 'ProductSprint Backlog'!$F183, TRUE, 0)</f>
        <v>0</v>
      </c>
      <c r="F183" s="4" cm="1">
        <f t="array" ref="F183">_xlfn.IFS('ProductSprint Backlog'!$F183="", "", AND('ProductSprint Backlog'!$J183&gt;F$2,'ProductSprint Backlog'!$I183&lt;=F$2), 'ProductSprint Backlog'!$F183 / MAX(1, 'ProductSprint Backlog'!$J183-'ProductSprint Backlog'!$I183), AND('ProductSprint Backlog'!$J183=F$2,'ProductSprint Backlog'!$I183=F$2), 'ProductSprint Backlog'!$F183, TRUE, 0)</f>
        <v>0</v>
      </c>
      <c r="G183" s="4" cm="1">
        <f t="array" ref="G183">_xlfn.IFS('ProductSprint Backlog'!$F183="", "", AND('ProductSprint Backlog'!$J183&gt;G$2,'ProductSprint Backlog'!$I183&lt;=G$2), 'ProductSprint Backlog'!$F183 / MAX(1, 'ProductSprint Backlog'!$J183-'ProductSprint Backlog'!$I183), AND('ProductSprint Backlog'!$J183=G$2,'ProductSprint Backlog'!$I183=G$2), 'ProductSprint Backlog'!$F183, TRUE, 0)</f>
        <v>0</v>
      </c>
      <c r="H183" s="4" cm="1">
        <f t="array" ref="H183">_xlfn.IFS('ProductSprint Backlog'!$F183="", "", AND('ProductSprint Backlog'!$J183&gt;H$2,'ProductSprint Backlog'!$I183&lt;=H$2), 'ProductSprint Backlog'!$F183 / MAX(1, 'ProductSprint Backlog'!$J183-'ProductSprint Backlog'!$I183), AND('ProductSprint Backlog'!$J183=H$2,'ProductSprint Backlog'!$I183=H$2), 'ProductSprint Backlog'!$F183, TRUE, 0)</f>
        <v>0</v>
      </c>
      <c r="I183" s="4" cm="1">
        <f t="array" ref="I183">_xlfn.IFS('ProductSprint Backlog'!$F183="", "", AND('ProductSprint Backlog'!$J183&gt;I$2,'ProductSprint Backlog'!$I183&lt;=I$2), 'ProductSprint Backlog'!$F183 / MAX(1, 'ProductSprint Backlog'!$J183-'ProductSprint Backlog'!$I183), AND('ProductSprint Backlog'!$J183=I$2,'ProductSprint Backlog'!$I183=I$2), 'ProductSprint Backlog'!$F183, TRUE, 0)</f>
        <v>0</v>
      </c>
      <c r="J183" s="4" cm="1">
        <f t="array" ref="J183">_xlfn.IFS('ProductSprint Backlog'!$F183="", "", AND('ProductSprint Backlog'!$J183&gt;J$2,'ProductSprint Backlog'!$I183&lt;=J$2), 'ProductSprint Backlog'!$F183 / MAX(1, 'ProductSprint Backlog'!$J183-'ProductSprint Backlog'!$I183), AND('ProductSprint Backlog'!$J183=J$2,'ProductSprint Backlog'!$I183=J$2), 'ProductSprint Backlog'!$F183, TRUE, 0)</f>
        <v>0</v>
      </c>
      <c r="K183" s="4" cm="1">
        <f t="array" ref="K183">_xlfn.IFS('ProductSprint Backlog'!$F183="", "", AND('ProductSprint Backlog'!$J183&gt;K$2,'ProductSprint Backlog'!$I183&lt;=K$2), 'ProductSprint Backlog'!$F183 / MAX(1, 'ProductSprint Backlog'!$J183-'ProductSprint Backlog'!$I183), AND('ProductSprint Backlog'!$J183=K$2,'ProductSprint Backlog'!$I183=K$2), 'ProductSprint Backlog'!$F183, TRUE, 0)</f>
        <v>0</v>
      </c>
      <c r="L183" s="4" cm="1">
        <f t="array" ref="L183">_xlfn.IFS('ProductSprint Backlog'!$F183="", "", AND('ProductSprint Backlog'!$J183&gt;L$2,'ProductSprint Backlog'!$I183&lt;=L$2), 'ProductSprint Backlog'!$F183 / MAX(1, 'ProductSprint Backlog'!$J183-'ProductSprint Backlog'!$I183), AND('ProductSprint Backlog'!$J183=L$2,'ProductSprint Backlog'!$I183=L$2), 'ProductSprint Backlog'!$F183, TRUE, 0)</f>
        <v>0</v>
      </c>
      <c r="M183" s="4" cm="1">
        <f t="array" ref="M183">_xlfn.IFS('ProductSprint Backlog'!$F183="", "", AND('ProductSprint Backlog'!$J183&gt;M$2,'ProductSprint Backlog'!$I183&lt;=M$2), 'ProductSprint Backlog'!$F183 / MAX(1, 'ProductSprint Backlog'!$J183-'ProductSprint Backlog'!$I183), AND('ProductSprint Backlog'!$J183=M$2,'ProductSprint Backlog'!$I183=M$2), 'ProductSprint Backlog'!$F183, TRUE, 0)</f>
        <v>0</v>
      </c>
      <c r="N183" s="4" cm="1">
        <f t="array" ref="N183">_xlfn.IFS('ProductSprint Backlog'!$F183="", "", AND('ProductSprint Backlog'!$J183&gt;N$2,'ProductSprint Backlog'!$I183&lt;=N$2), 'ProductSprint Backlog'!$F183 / MAX(1, 'ProductSprint Backlog'!$J183-'ProductSprint Backlog'!$I183), AND('ProductSprint Backlog'!$J183=N$2,'ProductSprint Backlog'!$I183=N$2), 'ProductSprint Backlog'!$F183, TRUE, 0)</f>
        <v>0</v>
      </c>
      <c r="O183" s="4" cm="1">
        <f t="array" ref="O183">_xlfn.IFS('ProductSprint Backlog'!$F183="", "", AND('ProductSprint Backlog'!$J183&gt;O$2,'ProductSprint Backlog'!$I183&lt;=O$2), 'ProductSprint Backlog'!$F183 / MAX(1, 'ProductSprint Backlog'!$J183-'ProductSprint Backlog'!$I183), AND('ProductSprint Backlog'!$J183=O$2,'ProductSprint Backlog'!$I183=O$2), 'ProductSprint Backlog'!$F183, TRUE, 0)</f>
        <v>0.5</v>
      </c>
      <c r="P183" s="4" cm="1">
        <f t="array" ref="P183">_xlfn.IFS('ProductSprint Backlog'!$F183="", "", AND('ProductSprint Backlog'!$J183&gt;P$2,'ProductSprint Backlog'!$I183&lt;=P$2), 'ProductSprint Backlog'!$F183 / MAX(1, 'ProductSprint Backlog'!$J183-'ProductSprint Backlog'!$I183), AND('ProductSprint Backlog'!$J183=P$2,'ProductSprint Backlog'!$I183=P$2), 'ProductSprint Backlog'!$F183, TRUE, 0)</f>
        <v>0.5</v>
      </c>
      <c r="Q183" s="4" cm="1">
        <f t="array" ref="Q183">_xlfn.IFS('ProductSprint Backlog'!$F183="", "", AND('ProductSprint Backlog'!$J183&gt;Q$2,'ProductSprint Backlog'!$I183&lt;=Q$2), 'ProductSprint Backlog'!$F183 / MAX(1, 'ProductSprint Backlog'!$J183-'ProductSprint Backlog'!$I183), AND('ProductSprint Backlog'!$J183=Q$2,'ProductSprint Backlog'!$I183=Q$2), 'ProductSprint Backlog'!$F183, TRUE, 0)</f>
        <v>0</v>
      </c>
    </row>
    <row r="184" spans="2:17" x14ac:dyDescent="0.2">
      <c r="B184" s="4" cm="1">
        <f t="array" ref="B184">_xlfn.IFS('ProductSprint Backlog'!$F184="", "", AND('ProductSprint Backlog'!$J184&gt;B$2,'ProductSprint Backlog'!$I184&lt;=B$2), 'ProductSprint Backlog'!$F184 / MAX(1, 'ProductSprint Backlog'!$J184-'ProductSprint Backlog'!$I184), AND('ProductSprint Backlog'!$J184=B$2,'ProductSprint Backlog'!$I184=B$2), 'ProductSprint Backlog'!$F184, TRUE, 0)</f>
        <v>0</v>
      </c>
      <c r="C184" s="4" cm="1">
        <f t="array" ref="C184">_xlfn.IFS('ProductSprint Backlog'!$F184="", "", AND('ProductSprint Backlog'!$J184&gt;C$2,'ProductSprint Backlog'!$I184&lt;=C$2), 'ProductSprint Backlog'!$F184 / MAX(1, 'ProductSprint Backlog'!$J184-'ProductSprint Backlog'!$I184), AND('ProductSprint Backlog'!$J184=C$2,'ProductSprint Backlog'!$I184=C$2), 'ProductSprint Backlog'!$F184, TRUE, 0)</f>
        <v>0</v>
      </c>
      <c r="D184" s="4" cm="1">
        <f t="array" ref="D184">_xlfn.IFS('ProductSprint Backlog'!$F184="", "", AND('ProductSprint Backlog'!$J184&gt;D$2,'ProductSprint Backlog'!$I184&lt;=D$2), 'ProductSprint Backlog'!$F184 / MAX(1, 'ProductSprint Backlog'!$J184-'ProductSprint Backlog'!$I184), AND('ProductSprint Backlog'!$J184=D$2,'ProductSprint Backlog'!$I184=D$2), 'ProductSprint Backlog'!$F184, TRUE, 0)</f>
        <v>0</v>
      </c>
      <c r="E184" s="4" cm="1">
        <f t="array" ref="E184">_xlfn.IFS('ProductSprint Backlog'!$F184="", "", AND('ProductSprint Backlog'!$J184&gt;E$2,'ProductSprint Backlog'!$I184&lt;=E$2), 'ProductSprint Backlog'!$F184 / MAX(1, 'ProductSprint Backlog'!$J184-'ProductSprint Backlog'!$I184), AND('ProductSprint Backlog'!$J184=E$2,'ProductSprint Backlog'!$I184=E$2), 'ProductSprint Backlog'!$F184, TRUE, 0)</f>
        <v>0</v>
      </c>
      <c r="F184" s="4" cm="1">
        <f t="array" ref="F184">_xlfn.IFS('ProductSprint Backlog'!$F184="", "", AND('ProductSprint Backlog'!$J184&gt;F$2,'ProductSprint Backlog'!$I184&lt;=F$2), 'ProductSprint Backlog'!$F184 / MAX(1, 'ProductSprint Backlog'!$J184-'ProductSprint Backlog'!$I184), AND('ProductSprint Backlog'!$J184=F$2,'ProductSprint Backlog'!$I184=F$2), 'ProductSprint Backlog'!$F184, TRUE, 0)</f>
        <v>0</v>
      </c>
      <c r="G184" s="4" cm="1">
        <f t="array" ref="G184">_xlfn.IFS('ProductSprint Backlog'!$F184="", "", AND('ProductSprint Backlog'!$J184&gt;G$2,'ProductSprint Backlog'!$I184&lt;=G$2), 'ProductSprint Backlog'!$F184 / MAX(1, 'ProductSprint Backlog'!$J184-'ProductSprint Backlog'!$I184), AND('ProductSprint Backlog'!$J184=G$2,'ProductSprint Backlog'!$I184=G$2), 'ProductSprint Backlog'!$F184, TRUE, 0)</f>
        <v>0</v>
      </c>
      <c r="H184" s="4" cm="1">
        <f t="array" ref="H184">_xlfn.IFS('ProductSprint Backlog'!$F184="", "", AND('ProductSprint Backlog'!$J184&gt;H$2,'ProductSprint Backlog'!$I184&lt;=H$2), 'ProductSprint Backlog'!$F184 / MAX(1, 'ProductSprint Backlog'!$J184-'ProductSprint Backlog'!$I184), AND('ProductSprint Backlog'!$J184=H$2,'ProductSprint Backlog'!$I184=H$2), 'ProductSprint Backlog'!$F184, TRUE, 0)</f>
        <v>0</v>
      </c>
      <c r="I184" s="4" cm="1">
        <f t="array" ref="I184">_xlfn.IFS('ProductSprint Backlog'!$F184="", "", AND('ProductSprint Backlog'!$J184&gt;I$2,'ProductSprint Backlog'!$I184&lt;=I$2), 'ProductSprint Backlog'!$F184 / MAX(1, 'ProductSprint Backlog'!$J184-'ProductSprint Backlog'!$I184), AND('ProductSprint Backlog'!$J184=I$2,'ProductSprint Backlog'!$I184=I$2), 'ProductSprint Backlog'!$F184, TRUE, 0)</f>
        <v>0</v>
      </c>
      <c r="J184" s="4" cm="1">
        <f t="array" ref="J184">_xlfn.IFS('ProductSprint Backlog'!$F184="", "", AND('ProductSprint Backlog'!$J184&gt;J$2,'ProductSprint Backlog'!$I184&lt;=J$2), 'ProductSprint Backlog'!$F184 / MAX(1, 'ProductSprint Backlog'!$J184-'ProductSprint Backlog'!$I184), AND('ProductSprint Backlog'!$J184=J$2,'ProductSprint Backlog'!$I184=J$2), 'ProductSprint Backlog'!$F184, TRUE, 0)</f>
        <v>0</v>
      </c>
      <c r="K184" s="4" cm="1">
        <f t="array" ref="K184">_xlfn.IFS('ProductSprint Backlog'!$F184="", "", AND('ProductSprint Backlog'!$J184&gt;K$2,'ProductSprint Backlog'!$I184&lt;=K$2), 'ProductSprint Backlog'!$F184 / MAX(1, 'ProductSprint Backlog'!$J184-'ProductSprint Backlog'!$I184), AND('ProductSprint Backlog'!$J184=K$2,'ProductSprint Backlog'!$I184=K$2), 'ProductSprint Backlog'!$F184, TRUE, 0)</f>
        <v>0</v>
      </c>
      <c r="L184" s="4" cm="1">
        <f t="array" ref="L184">_xlfn.IFS('ProductSprint Backlog'!$F184="", "", AND('ProductSprint Backlog'!$J184&gt;L$2,'ProductSprint Backlog'!$I184&lt;=L$2), 'ProductSprint Backlog'!$F184 / MAX(1, 'ProductSprint Backlog'!$J184-'ProductSprint Backlog'!$I184), AND('ProductSprint Backlog'!$J184=L$2,'ProductSprint Backlog'!$I184=L$2), 'ProductSprint Backlog'!$F184, TRUE, 0)</f>
        <v>0</v>
      </c>
      <c r="M184" s="4" cm="1">
        <f t="array" ref="M184">_xlfn.IFS('ProductSprint Backlog'!$F184="", "", AND('ProductSprint Backlog'!$J184&gt;M$2,'ProductSprint Backlog'!$I184&lt;=M$2), 'ProductSprint Backlog'!$F184 / MAX(1, 'ProductSprint Backlog'!$J184-'ProductSprint Backlog'!$I184), AND('ProductSprint Backlog'!$J184=M$2,'ProductSprint Backlog'!$I184=M$2), 'ProductSprint Backlog'!$F184, TRUE, 0)</f>
        <v>0</v>
      </c>
      <c r="N184" s="4" cm="1">
        <f t="array" ref="N184">_xlfn.IFS('ProductSprint Backlog'!$F184="", "", AND('ProductSprint Backlog'!$J184&gt;N$2,'ProductSprint Backlog'!$I184&lt;=N$2), 'ProductSprint Backlog'!$F184 / MAX(1, 'ProductSprint Backlog'!$J184-'ProductSprint Backlog'!$I184), AND('ProductSprint Backlog'!$J184=N$2,'ProductSprint Backlog'!$I184=N$2), 'ProductSprint Backlog'!$F184, TRUE, 0)</f>
        <v>0</v>
      </c>
      <c r="O184" s="4" cm="1">
        <f t="array" ref="O184">_xlfn.IFS('ProductSprint Backlog'!$F184="", "", AND('ProductSprint Backlog'!$J184&gt;O$2,'ProductSprint Backlog'!$I184&lt;=O$2), 'ProductSprint Backlog'!$F184 / MAX(1, 'ProductSprint Backlog'!$J184-'ProductSprint Backlog'!$I184), AND('ProductSprint Backlog'!$J184=O$2,'ProductSprint Backlog'!$I184=O$2), 'ProductSprint Backlog'!$F184, TRUE, 0)</f>
        <v>0.5</v>
      </c>
      <c r="P184" s="4" cm="1">
        <f t="array" ref="P184">_xlfn.IFS('ProductSprint Backlog'!$F184="", "", AND('ProductSprint Backlog'!$J184&gt;P$2,'ProductSprint Backlog'!$I184&lt;=P$2), 'ProductSprint Backlog'!$F184 / MAX(1, 'ProductSprint Backlog'!$J184-'ProductSprint Backlog'!$I184), AND('ProductSprint Backlog'!$J184=P$2,'ProductSprint Backlog'!$I184=P$2), 'ProductSprint Backlog'!$F184, TRUE, 0)</f>
        <v>0.5</v>
      </c>
      <c r="Q184" s="4" cm="1">
        <f t="array" ref="Q184">_xlfn.IFS('ProductSprint Backlog'!$F184="", "", AND('ProductSprint Backlog'!$J184&gt;Q$2,'ProductSprint Backlog'!$I184&lt;=Q$2), 'ProductSprint Backlog'!$F184 / MAX(1, 'ProductSprint Backlog'!$J184-'ProductSprint Backlog'!$I184), AND('ProductSprint Backlog'!$J184=Q$2,'ProductSprint Backlog'!$I184=Q$2), 'ProductSprint Backlog'!$F184, TRUE, 0)</f>
        <v>0</v>
      </c>
    </row>
    <row r="185" spans="2:17" x14ac:dyDescent="0.2">
      <c r="B185" s="4" cm="1">
        <f t="array" ref="B185">_xlfn.IFS('ProductSprint Backlog'!$F185="", "", AND('ProductSprint Backlog'!$J185&gt;B$2,'ProductSprint Backlog'!$I185&lt;=B$2), 'ProductSprint Backlog'!$F185 / MAX(1, 'ProductSprint Backlog'!$J185-'ProductSprint Backlog'!$I185), AND('ProductSprint Backlog'!$J185=B$2,'ProductSprint Backlog'!$I185=B$2), 'ProductSprint Backlog'!$F185, TRUE, 0)</f>
        <v>0</v>
      </c>
      <c r="C185" s="4" cm="1">
        <f t="array" ref="C185">_xlfn.IFS('ProductSprint Backlog'!$F185="", "", AND('ProductSprint Backlog'!$J185&gt;C$2,'ProductSprint Backlog'!$I185&lt;=C$2), 'ProductSprint Backlog'!$F185 / MAX(1, 'ProductSprint Backlog'!$J185-'ProductSprint Backlog'!$I185), AND('ProductSprint Backlog'!$J185=C$2,'ProductSprint Backlog'!$I185=C$2), 'ProductSprint Backlog'!$F185, TRUE, 0)</f>
        <v>0</v>
      </c>
      <c r="D185" s="4" cm="1">
        <f t="array" ref="D185">_xlfn.IFS('ProductSprint Backlog'!$F185="", "", AND('ProductSprint Backlog'!$J185&gt;D$2,'ProductSprint Backlog'!$I185&lt;=D$2), 'ProductSprint Backlog'!$F185 / MAX(1, 'ProductSprint Backlog'!$J185-'ProductSprint Backlog'!$I185), AND('ProductSprint Backlog'!$J185=D$2,'ProductSprint Backlog'!$I185=D$2), 'ProductSprint Backlog'!$F185, TRUE, 0)</f>
        <v>0</v>
      </c>
      <c r="E185" s="4" cm="1">
        <f t="array" ref="E185">_xlfn.IFS('ProductSprint Backlog'!$F185="", "", AND('ProductSprint Backlog'!$J185&gt;E$2,'ProductSprint Backlog'!$I185&lt;=E$2), 'ProductSprint Backlog'!$F185 / MAX(1, 'ProductSprint Backlog'!$J185-'ProductSprint Backlog'!$I185), AND('ProductSprint Backlog'!$J185=E$2,'ProductSprint Backlog'!$I185=E$2), 'ProductSprint Backlog'!$F185, TRUE, 0)</f>
        <v>0</v>
      </c>
      <c r="F185" s="4" cm="1">
        <f t="array" ref="F185">_xlfn.IFS('ProductSprint Backlog'!$F185="", "", AND('ProductSprint Backlog'!$J185&gt;F$2,'ProductSprint Backlog'!$I185&lt;=F$2), 'ProductSprint Backlog'!$F185 / MAX(1, 'ProductSprint Backlog'!$J185-'ProductSprint Backlog'!$I185), AND('ProductSprint Backlog'!$J185=F$2,'ProductSprint Backlog'!$I185=F$2), 'ProductSprint Backlog'!$F185, TRUE, 0)</f>
        <v>0</v>
      </c>
      <c r="G185" s="4" cm="1">
        <f t="array" ref="G185">_xlfn.IFS('ProductSprint Backlog'!$F185="", "", AND('ProductSprint Backlog'!$J185&gt;G$2,'ProductSprint Backlog'!$I185&lt;=G$2), 'ProductSprint Backlog'!$F185 / MAX(1, 'ProductSprint Backlog'!$J185-'ProductSprint Backlog'!$I185), AND('ProductSprint Backlog'!$J185=G$2,'ProductSprint Backlog'!$I185=G$2), 'ProductSprint Backlog'!$F185, TRUE, 0)</f>
        <v>0</v>
      </c>
      <c r="H185" s="4" cm="1">
        <f t="array" ref="H185">_xlfn.IFS('ProductSprint Backlog'!$F185="", "", AND('ProductSprint Backlog'!$J185&gt;H$2,'ProductSprint Backlog'!$I185&lt;=H$2), 'ProductSprint Backlog'!$F185 / MAX(1, 'ProductSprint Backlog'!$J185-'ProductSprint Backlog'!$I185), AND('ProductSprint Backlog'!$J185=H$2,'ProductSprint Backlog'!$I185=H$2), 'ProductSprint Backlog'!$F185, TRUE, 0)</f>
        <v>0</v>
      </c>
      <c r="I185" s="4" cm="1">
        <f t="array" ref="I185">_xlfn.IFS('ProductSprint Backlog'!$F185="", "", AND('ProductSprint Backlog'!$J185&gt;I$2,'ProductSprint Backlog'!$I185&lt;=I$2), 'ProductSprint Backlog'!$F185 / MAX(1, 'ProductSprint Backlog'!$J185-'ProductSprint Backlog'!$I185), AND('ProductSprint Backlog'!$J185=I$2,'ProductSprint Backlog'!$I185=I$2), 'ProductSprint Backlog'!$F185, TRUE, 0)</f>
        <v>0</v>
      </c>
      <c r="J185" s="4" cm="1">
        <f t="array" ref="J185">_xlfn.IFS('ProductSprint Backlog'!$F185="", "", AND('ProductSprint Backlog'!$J185&gt;J$2,'ProductSprint Backlog'!$I185&lt;=J$2), 'ProductSprint Backlog'!$F185 / MAX(1, 'ProductSprint Backlog'!$J185-'ProductSprint Backlog'!$I185), AND('ProductSprint Backlog'!$J185=J$2,'ProductSprint Backlog'!$I185=J$2), 'ProductSprint Backlog'!$F185, TRUE, 0)</f>
        <v>0</v>
      </c>
      <c r="K185" s="4" cm="1">
        <f t="array" ref="K185">_xlfn.IFS('ProductSprint Backlog'!$F185="", "", AND('ProductSprint Backlog'!$J185&gt;K$2,'ProductSprint Backlog'!$I185&lt;=K$2), 'ProductSprint Backlog'!$F185 / MAX(1, 'ProductSprint Backlog'!$J185-'ProductSprint Backlog'!$I185), AND('ProductSprint Backlog'!$J185=K$2,'ProductSprint Backlog'!$I185=K$2), 'ProductSprint Backlog'!$F185, TRUE, 0)</f>
        <v>0</v>
      </c>
      <c r="L185" s="4" cm="1">
        <f t="array" ref="L185">_xlfn.IFS('ProductSprint Backlog'!$F185="", "", AND('ProductSprint Backlog'!$J185&gt;L$2,'ProductSprint Backlog'!$I185&lt;=L$2), 'ProductSprint Backlog'!$F185 / MAX(1, 'ProductSprint Backlog'!$J185-'ProductSprint Backlog'!$I185), AND('ProductSprint Backlog'!$J185=L$2,'ProductSprint Backlog'!$I185=L$2), 'ProductSprint Backlog'!$F185, TRUE, 0)</f>
        <v>0</v>
      </c>
      <c r="M185" s="4" cm="1">
        <f t="array" ref="M185">_xlfn.IFS('ProductSprint Backlog'!$F185="", "", AND('ProductSprint Backlog'!$J185&gt;M$2,'ProductSprint Backlog'!$I185&lt;=M$2), 'ProductSprint Backlog'!$F185 / MAX(1, 'ProductSprint Backlog'!$J185-'ProductSprint Backlog'!$I185), AND('ProductSprint Backlog'!$J185=M$2,'ProductSprint Backlog'!$I185=M$2), 'ProductSprint Backlog'!$F185, TRUE, 0)</f>
        <v>0</v>
      </c>
      <c r="N185" s="4" cm="1">
        <f t="array" ref="N185">_xlfn.IFS('ProductSprint Backlog'!$F185="", "", AND('ProductSprint Backlog'!$J185&gt;N$2,'ProductSprint Backlog'!$I185&lt;=N$2), 'ProductSprint Backlog'!$F185 / MAX(1, 'ProductSprint Backlog'!$J185-'ProductSprint Backlog'!$I185), AND('ProductSprint Backlog'!$J185=N$2,'ProductSprint Backlog'!$I185=N$2), 'ProductSprint Backlog'!$F185, TRUE, 0)</f>
        <v>0</v>
      </c>
      <c r="O185" s="4" cm="1">
        <f t="array" ref="O185">_xlfn.IFS('ProductSprint Backlog'!$F185="", "", AND('ProductSprint Backlog'!$J185&gt;O$2,'ProductSprint Backlog'!$I185&lt;=O$2), 'ProductSprint Backlog'!$F185 / MAX(1, 'ProductSprint Backlog'!$J185-'ProductSprint Backlog'!$I185), AND('ProductSprint Backlog'!$J185=O$2,'ProductSprint Backlog'!$I185=O$2), 'ProductSprint Backlog'!$F185, TRUE, 0)</f>
        <v>0.5</v>
      </c>
      <c r="P185" s="4" cm="1">
        <f t="array" ref="P185">_xlfn.IFS('ProductSprint Backlog'!$F185="", "", AND('ProductSprint Backlog'!$J185&gt;P$2,'ProductSprint Backlog'!$I185&lt;=P$2), 'ProductSprint Backlog'!$F185 / MAX(1, 'ProductSprint Backlog'!$J185-'ProductSprint Backlog'!$I185), AND('ProductSprint Backlog'!$J185=P$2,'ProductSprint Backlog'!$I185=P$2), 'ProductSprint Backlog'!$F185, TRUE, 0)</f>
        <v>0.5</v>
      </c>
      <c r="Q185" s="4" cm="1">
        <f t="array" ref="Q185">_xlfn.IFS('ProductSprint Backlog'!$F185="", "", AND('ProductSprint Backlog'!$J185&gt;Q$2,'ProductSprint Backlog'!$I185&lt;=Q$2), 'ProductSprint Backlog'!$F185 / MAX(1, 'ProductSprint Backlog'!$J185-'ProductSprint Backlog'!$I185), AND('ProductSprint Backlog'!$J185=Q$2,'ProductSprint Backlog'!$I185=Q$2), 'ProductSprint Backlog'!$F185, TRUE, 0)</f>
        <v>0</v>
      </c>
    </row>
    <row r="186" spans="2:17" x14ac:dyDescent="0.2">
      <c r="B186" s="4" cm="1">
        <f t="array" ref="B186">_xlfn.IFS('ProductSprint Backlog'!$F186="", "", AND('ProductSprint Backlog'!$J186&gt;B$2,'ProductSprint Backlog'!$I186&lt;=B$2), 'ProductSprint Backlog'!$F186 / MAX(1, 'ProductSprint Backlog'!$J186-'ProductSprint Backlog'!$I186), AND('ProductSprint Backlog'!$J186=B$2,'ProductSprint Backlog'!$I186=B$2), 'ProductSprint Backlog'!$F186, TRUE, 0)</f>
        <v>0.4</v>
      </c>
      <c r="C186" s="4" cm="1">
        <f t="array" ref="C186">_xlfn.IFS('ProductSprint Backlog'!$F186="", "", AND('ProductSprint Backlog'!$J186&gt;C$2,'ProductSprint Backlog'!$I186&lt;=C$2), 'ProductSprint Backlog'!$F186 / MAX(1, 'ProductSprint Backlog'!$J186-'ProductSprint Backlog'!$I186), AND('ProductSprint Backlog'!$J186=C$2,'ProductSprint Backlog'!$I186=C$2), 'ProductSprint Backlog'!$F186, TRUE, 0)</f>
        <v>0.4</v>
      </c>
      <c r="D186" s="4" cm="1">
        <f t="array" ref="D186">_xlfn.IFS('ProductSprint Backlog'!$F186="", "", AND('ProductSprint Backlog'!$J186&gt;D$2,'ProductSprint Backlog'!$I186&lt;=D$2), 'ProductSprint Backlog'!$F186 / MAX(1, 'ProductSprint Backlog'!$J186-'ProductSprint Backlog'!$I186), AND('ProductSprint Backlog'!$J186=D$2,'ProductSprint Backlog'!$I186=D$2), 'ProductSprint Backlog'!$F186, TRUE, 0)</f>
        <v>0.4</v>
      </c>
      <c r="E186" s="4" cm="1">
        <f t="array" ref="E186">_xlfn.IFS('ProductSprint Backlog'!$F186="", "", AND('ProductSprint Backlog'!$J186&gt;E$2,'ProductSprint Backlog'!$I186&lt;=E$2), 'ProductSprint Backlog'!$F186 / MAX(1, 'ProductSprint Backlog'!$J186-'ProductSprint Backlog'!$I186), AND('ProductSprint Backlog'!$J186=E$2,'ProductSprint Backlog'!$I186=E$2), 'ProductSprint Backlog'!$F186, TRUE, 0)</f>
        <v>0.4</v>
      </c>
      <c r="F186" s="4" cm="1">
        <f t="array" ref="F186">_xlfn.IFS('ProductSprint Backlog'!$F186="", "", AND('ProductSprint Backlog'!$J186&gt;F$2,'ProductSprint Backlog'!$I186&lt;=F$2), 'ProductSprint Backlog'!$F186 / MAX(1, 'ProductSprint Backlog'!$J186-'ProductSprint Backlog'!$I186), AND('ProductSprint Backlog'!$J186=F$2,'ProductSprint Backlog'!$I186=F$2), 'ProductSprint Backlog'!$F186, TRUE, 0)</f>
        <v>0.4</v>
      </c>
      <c r="G186" s="4" cm="1">
        <f t="array" ref="G186">_xlfn.IFS('ProductSprint Backlog'!$F186="", "", AND('ProductSprint Backlog'!$J186&gt;G$2,'ProductSprint Backlog'!$I186&lt;=G$2), 'ProductSprint Backlog'!$F186 / MAX(1, 'ProductSprint Backlog'!$J186-'ProductSprint Backlog'!$I186), AND('ProductSprint Backlog'!$J186=G$2,'ProductSprint Backlog'!$I186=G$2), 'ProductSprint Backlog'!$F186, TRUE, 0)</f>
        <v>0</v>
      </c>
      <c r="H186" s="4" cm="1">
        <f t="array" ref="H186">_xlfn.IFS('ProductSprint Backlog'!$F186="", "", AND('ProductSprint Backlog'!$J186&gt;H$2,'ProductSprint Backlog'!$I186&lt;=H$2), 'ProductSprint Backlog'!$F186 / MAX(1, 'ProductSprint Backlog'!$J186-'ProductSprint Backlog'!$I186), AND('ProductSprint Backlog'!$J186=H$2,'ProductSprint Backlog'!$I186=H$2), 'ProductSprint Backlog'!$F186, TRUE, 0)</f>
        <v>0</v>
      </c>
      <c r="I186" s="4" cm="1">
        <f t="array" ref="I186">_xlfn.IFS('ProductSprint Backlog'!$F186="", "", AND('ProductSprint Backlog'!$J186&gt;I$2,'ProductSprint Backlog'!$I186&lt;=I$2), 'ProductSprint Backlog'!$F186 / MAX(1, 'ProductSprint Backlog'!$J186-'ProductSprint Backlog'!$I186), AND('ProductSprint Backlog'!$J186=I$2,'ProductSprint Backlog'!$I186=I$2), 'ProductSprint Backlog'!$F186, TRUE, 0)</f>
        <v>0</v>
      </c>
      <c r="J186" s="4" cm="1">
        <f t="array" ref="J186">_xlfn.IFS('ProductSprint Backlog'!$F186="", "", AND('ProductSprint Backlog'!$J186&gt;J$2,'ProductSprint Backlog'!$I186&lt;=J$2), 'ProductSprint Backlog'!$F186 / MAX(1, 'ProductSprint Backlog'!$J186-'ProductSprint Backlog'!$I186), AND('ProductSprint Backlog'!$J186=J$2,'ProductSprint Backlog'!$I186=J$2), 'ProductSprint Backlog'!$F186, TRUE, 0)</f>
        <v>0</v>
      </c>
      <c r="K186" s="4" cm="1">
        <f t="array" ref="K186">_xlfn.IFS('ProductSprint Backlog'!$F186="", "", AND('ProductSprint Backlog'!$J186&gt;K$2,'ProductSprint Backlog'!$I186&lt;=K$2), 'ProductSprint Backlog'!$F186 / MAX(1, 'ProductSprint Backlog'!$J186-'ProductSprint Backlog'!$I186), AND('ProductSprint Backlog'!$J186=K$2,'ProductSprint Backlog'!$I186=K$2), 'ProductSprint Backlog'!$F186, TRUE, 0)</f>
        <v>0</v>
      </c>
      <c r="L186" s="4" cm="1">
        <f t="array" ref="L186">_xlfn.IFS('ProductSprint Backlog'!$F186="", "", AND('ProductSprint Backlog'!$J186&gt;L$2,'ProductSprint Backlog'!$I186&lt;=L$2), 'ProductSprint Backlog'!$F186 / MAX(1, 'ProductSprint Backlog'!$J186-'ProductSprint Backlog'!$I186), AND('ProductSprint Backlog'!$J186=L$2,'ProductSprint Backlog'!$I186=L$2), 'ProductSprint Backlog'!$F186, TRUE, 0)</f>
        <v>0</v>
      </c>
      <c r="M186" s="4" cm="1">
        <f t="array" ref="M186">_xlfn.IFS('ProductSprint Backlog'!$F186="", "", AND('ProductSprint Backlog'!$J186&gt;M$2,'ProductSprint Backlog'!$I186&lt;=M$2), 'ProductSprint Backlog'!$F186 / MAX(1, 'ProductSprint Backlog'!$J186-'ProductSprint Backlog'!$I186), AND('ProductSprint Backlog'!$J186=M$2,'ProductSprint Backlog'!$I186=M$2), 'ProductSprint Backlog'!$F186, TRUE, 0)</f>
        <v>0</v>
      </c>
      <c r="N186" s="4" cm="1">
        <f t="array" ref="N186">_xlfn.IFS('ProductSprint Backlog'!$F186="", "", AND('ProductSprint Backlog'!$J186&gt;N$2,'ProductSprint Backlog'!$I186&lt;=N$2), 'ProductSprint Backlog'!$F186 / MAX(1, 'ProductSprint Backlog'!$J186-'ProductSprint Backlog'!$I186), AND('ProductSprint Backlog'!$J186=N$2,'ProductSprint Backlog'!$I186=N$2), 'ProductSprint Backlog'!$F186, TRUE, 0)</f>
        <v>0</v>
      </c>
      <c r="O186" s="4" cm="1">
        <f t="array" ref="O186">_xlfn.IFS('ProductSprint Backlog'!$F186="", "", AND('ProductSprint Backlog'!$J186&gt;O$2,'ProductSprint Backlog'!$I186&lt;=O$2), 'ProductSprint Backlog'!$F186 / MAX(1, 'ProductSprint Backlog'!$J186-'ProductSprint Backlog'!$I186), AND('ProductSprint Backlog'!$J186=O$2,'ProductSprint Backlog'!$I186=O$2), 'ProductSprint Backlog'!$F186, TRUE, 0)</f>
        <v>0</v>
      </c>
      <c r="P186" s="4" cm="1">
        <f t="array" ref="P186">_xlfn.IFS('ProductSprint Backlog'!$F186="", "", AND('ProductSprint Backlog'!$J186&gt;P$2,'ProductSprint Backlog'!$I186&lt;=P$2), 'ProductSprint Backlog'!$F186 / MAX(1, 'ProductSprint Backlog'!$J186-'ProductSprint Backlog'!$I186), AND('ProductSprint Backlog'!$J186=P$2,'ProductSprint Backlog'!$I186=P$2), 'ProductSprint Backlog'!$F186, TRUE, 0)</f>
        <v>0</v>
      </c>
      <c r="Q186" s="4" cm="1">
        <f t="array" ref="Q186">_xlfn.IFS('ProductSprint Backlog'!$F186="", "", AND('ProductSprint Backlog'!$J186&gt;Q$2,'ProductSprint Backlog'!$I186&lt;=Q$2), 'ProductSprint Backlog'!$F186 / MAX(1, 'ProductSprint Backlog'!$J186-'ProductSprint Backlog'!$I186), AND('ProductSprint Backlog'!$J186=Q$2,'ProductSprint Backlog'!$I186=Q$2), 'ProductSprint Backlog'!$F186, TRUE, 0)</f>
        <v>0</v>
      </c>
    </row>
    <row r="187" spans="2:17" x14ac:dyDescent="0.2">
      <c r="B187" s="4" cm="1">
        <f t="array" ref="B187">_xlfn.IFS('ProductSprint Backlog'!$F187="", "", AND('ProductSprint Backlog'!$J187&gt;B$2,'ProductSprint Backlog'!$I187&lt;=B$2), 'ProductSprint Backlog'!$F187 / MAX(1, 'ProductSprint Backlog'!$J187-'ProductSprint Backlog'!$I187), AND('ProductSprint Backlog'!$J187=B$2,'ProductSprint Backlog'!$I187=B$2), 'ProductSprint Backlog'!$F187, TRUE, 0)</f>
        <v>0.2</v>
      </c>
      <c r="C187" s="4" cm="1">
        <f t="array" ref="C187">_xlfn.IFS('ProductSprint Backlog'!$F187="", "", AND('ProductSprint Backlog'!$J187&gt;C$2,'ProductSprint Backlog'!$I187&lt;=C$2), 'ProductSprint Backlog'!$F187 / MAX(1, 'ProductSprint Backlog'!$J187-'ProductSprint Backlog'!$I187), AND('ProductSprint Backlog'!$J187=C$2,'ProductSprint Backlog'!$I187=C$2), 'ProductSprint Backlog'!$F187, TRUE, 0)</f>
        <v>0.2</v>
      </c>
      <c r="D187" s="4" cm="1">
        <f t="array" ref="D187">_xlfn.IFS('ProductSprint Backlog'!$F187="", "", AND('ProductSprint Backlog'!$J187&gt;D$2,'ProductSprint Backlog'!$I187&lt;=D$2), 'ProductSprint Backlog'!$F187 / MAX(1, 'ProductSprint Backlog'!$J187-'ProductSprint Backlog'!$I187), AND('ProductSprint Backlog'!$J187=D$2,'ProductSprint Backlog'!$I187=D$2), 'ProductSprint Backlog'!$F187, TRUE, 0)</f>
        <v>0.2</v>
      </c>
      <c r="E187" s="4" cm="1">
        <f t="array" ref="E187">_xlfn.IFS('ProductSprint Backlog'!$F187="", "", AND('ProductSprint Backlog'!$J187&gt;E$2,'ProductSprint Backlog'!$I187&lt;=E$2), 'ProductSprint Backlog'!$F187 / MAX(1, 'ProductSprint Backlog'!$J187-'ProductSprint Backlog'!$I187), AND('ProductSprint Backlog'!$J187=E$2,'ProductSprint Backlog'!$I187=E$2), 'ProductSprint Backlog'!$F187, TRUE, 0)</f>
        <v>0.2</v>
      </c>
      <c r="F187" s="4" cm="1">
        <f t="array" ref="F187">_xlfn.IFS('ProductSprint Backlog'!$F187="", "", AND('ProductSprint Backlog'!$J187&gt;F$2,'ProductSprint Backlog'!$I187&lt;=F$2), 'ProductSprint Backlog'!$F187 / MAX(1, 'ProductSprint Backlog'!$J187-'ProductSprint Backlog'!$I187), AND('ProductSprint Backlog'!$J187=F$2,'ProductSprint Backlog'!$I187=F$2), 'ProductSprint Backlog'!$F187, TRUE, 0)</f>
        <v>0.2</v>
      </c>
      <c r="G187" s="4" cm="1">
        <f t="array" ref="G187">_xlfn.IFS('ProductSprint Backlog'!$F187="", "", AND('ProductSprint Backlog'!$J187&gt;G$2,'ProductSprint Backlog'!$I187&lt;=G$2), 'ProductSprint Backlog'!$F187 / MAX(1, 'ProductSprint Backlog'!$J187-'ProductSprint Backlog'!$I187), AND('ProductSprint Backlog'!$J187=G$2,'ProductSprint Backlog'!$I187=G$2), 'ProductSprint Backlog'!$F187, TRUE, 0)</f>
        <v>0</v>
      </c>
      <c r="H187" s="4" cm="1">
        <f t="array" ref="H187">_xlfn.IFS('ProductSprint Backlog'!$F187="", "", AND('ProductSprint Backlog'!$J187&gt;H$2,'ProductSprint Backlog'!$I187&lt;=H$2), 'ProductSprint Backlog'!$F187 / MAX(1, 'ProductSprint Backlog'!$J187-'ProductSprint Backlog'!$I187), AND('ProductSprint Backlog'!$J187=H$2,'ProductSprint Backlog'!$I187=H$2), 'ProductSprint Backlog'!$F187, TRUE, 0)</f>
        <v>0</v>
      </c>
      <c r="I187" s="4" cm="1">
        <f t="array" ref="I187">_xlfn.IFS('ProductSprint Backlog'!$F187="", "", AND('ProductSprint Backlog'!$J187&gt;I$2,'ProductSprint Backlog'!$I187&lt;=I$2), 'ProductSprint Backlog'!$F187 / MAX(1, 'ProductSprint Backlog'!$J187-'ProductSprint Backlog'!$I187), AND('ProductSprint Backlog'!$J187=I$2,'ProductSprint Backlog'!$I187=I$2), 'ProductSprint Backlog'!$F187, TRUE, 0)</f>
        <v>0</v>
      </c>
      <c r="J187" s="4" cm="1">
        <f t="array" ref="J187">_xlfn.IFS('ProductSprint Backlog'!$F187="", "", AND('ProductSprint Backlog'!$J187&gt;J$2,'ProductSprint Backlog'!$I187&lt;=J$2), 'ProductSprint Backlog'!$F187 / MAX(1, 'ProductSprint Backlog'!$J187-'ProductSprint Backlog'!$I187), AND('ProductSprint Backlog'!$J187=J$2,'ProductSprint Backlog'!$I187=J$2), 'ProductSprint Backlog'!$F187, TRUE, 0)</f>
        <v>0</v>
      </c>
      <c r="K187" s="4" cm="1">
        <f t="array" ref="K187">_xlfn.IFS('ProductSprint Backlog'!$F187="", "", AND('ProductSprint Backlog'!$J187&gt;K$2,'ProductSprint Backlog'!$I187&lt;=K$2), 'ProductSprint Backlog'!$F187 / MAX(1, 'ProductSprint Backlog'!$J187-'ProductSprint Backlog'!$I187), AND('ProductSprint Backlog'!$J187=K$2,'ProductSprint Backlog'!$I187=K$2), 'ProductSprint Backlog'!$F187, TRUE, 0)</f>
        <v>0</v>
      </c>
      <c r="L187" s="4" cm="1">
        <f t="array" ref="L187">_xlfn.IFS('ProductSprint Backlog'!$F187="", "", AND('ProductSprint Backlog'!$J187&gt;L$2,'ProductSprint Backlog'!$I187&lt;=L$2), 'ProductSprint Backlog'!$F187 / MAX(1, 'ProductSprint Backlog'!$J187-'ProductSprint Backlog'!$I187), AND('ProductSprint Backlog'!$J187=L$2,'ProductSprint Backlog'!$I187=L$2), 'ProductSprint Backlog'!$F187, TRUE, 0)</f>
        <v>0</v>
      </c>
      <c r="M187" s="4" cm="1">
        <f t="array" ref="M187">_xlfn.IFS('ProductSprint Backlog'!$F187="", "", AND('ProductSprint Backlog'!$J187&gt;M$2,'ProductSprint Backlog'!$I187&lt;=M$2), 'ProductSprint Backlog'!$F187 / MAX(1, 'ProductSprint Backlog'!$J187-'ProductSprint Backlog'!$I187), AND('ProductSprint Backlog'!$J187=M$2,'ProductSprint Backlog'!$I187=M$2), 'ProductSprint Backlog'!$F187, TRUE, 0)</f>
        <v>0</v>
      </c>
      <c r="N187" s="4" cm="1">
        <f t="array" ref="N187">_xlfn.IFS('ProductSprint Backlog'!$F187="", "", AND('ProductSprint Backlog'!$J187&gt;N$2,'ProductSprint Backlog'!$I187&lt;=N$2), 'ProductSprint Backlog'!$F187 / MAX(1, 'ProductSprint Backlog'!$J187-'ProductSprint Backlog'!$I187), AND('ProductSprint Backlog'!$J187=N$2,'ProductSprint Backlog'!$I187=N$2), 'ProductSprint Backlog'!$F187, TRUE, 0)</f>
        <v>0</v>
      </c>
      <c r="O187" s="4" cm="1">
        <f t="array" ref="O187">_xlfn.IFS('ProductSprint Backlog'!$F187="", "", AND('ProductSprint Backlog'!$J187&gt;O$2,'ProductSprint Backlog'!$I187&lt;=O$2), 'ProductSprint Backlog'!$F187 / MAX(1, 'ProductSprint Backlog'!$J187-'ProductSprint Backlog'!$I187), AND('ProductSprint Backlog'!$J187=O$2,'ProductSprint Backlog'!$I187=O$2), 'ProductSprint Backlog'!$F187, TRUE, 0)</f>
        <v>0</v>
      </c>
      <c r="P187" s="4" cm="1">
        <f t="array" ref="P187">_xlfn.IFS('ProductSprint Backlog'!$F187="", "", AND('ProductSprint Backlog'!$J187&gt;P$2,'ProductSprint Backlog'!$I187&lt;=P$2), 'ProductSprint Backlog'!$F187 / MAX(1, 'ProductSprint Backlog'!$J187-'ProductSprint Backlog'!$I187), AND('ProductSprint Backlog'!$J187=P$2,'ProductSprint Backlog'!$I187=P$2), 'ProductSprint Backlog'!$F187, TRUE, 0)</f>
        <v>0</v>
      </c>
      <c r="Q187" s="4" cm="1">
        <f t="array" ref="Q187">_xlfn.IFS('ProductSprint Backlog'!$F187="", "", AND('ProductSprint Backlog'!$J187&gt;Q$2,'ProductSprint Backlog'!$I187&lt;=Q$2), 'ProductSprint Backlog'!$F187 / MAX(1, 'ProductSprint Backlog'!$J187-'ProductSprint Backlog'!$I187), AND('ProductSprint Backlog'!$J187=Q$2,'ProductSprint Backlog'!$I187=Q$2), 'ProductSprint Backlog'!$F187, TRUE, 0)</f>
        <v>0</v>
      </c>
    </row>
    <row r="188" spans="2:17" x14ac:dyDescent="0.2">
      <c r="B188" s="4" cm="1">
        <f t="array" ref="B188">_xlfn.IFS('ProductSprint Backlog'!$F188="", "", AND('ProductSprint Backlog'!$J188&gt;B$2,'ProductSprint Backlog'!$I188&lt;=B$2), 'ProductSprint Backlog'!$F188 / MAX(1, 'ProductSprint Backlog'!$J188-'ProductSprint Backlog'!$I188), AND('ProductSprint Backlog'!$J188=B$2,'ProductSprint Backlog'!$I188=B$2), 'ProductSprint Backlog'!$F188, TRUE, 0)</f>
        <v>0.2</v>
      </c>
      <c r="C188" s="4" cm="1">
        <f t="array" ref="C188">_xlfn.IFS('ProductSprint Backlog'!$F188="", "", AND('ProductSprint Backlog'!$J188&gt;C$2,'ProductSprint Backlog'!$I188&lt;=C$2), 'ProductSprint Backlog'!$F188 / MAX(1, 'ProductSprint Backlog'!$J188-'ProductSprint Backlog'!$I188), AND('ProductSprint Backlog'!$J188=C$2,'ProductSprint Backlog'!$I188=C$2), 'ProductSprint Backlog'!$F188, TRUE, 0)</f>
        <v>0.2</v>
      </c>
      <c r="D188" s="4" cm="1">
        <f t="array" ref="D188">_xlfn.IFS('ProductSprint Backlog'!$F188="", "", AND('ProductSprint Backlog'!$J188&gt;D$2,'ProductSprint Backlog'!$I188&lt;=D$2), 'ProductSprint Backlog'!$F188 / MAX(1, 'ProductSprint Backlog'!$J188-'ProductSprint Backlog'!$I188), AND('ProductSprint Backlog'!$J188=D$2,'ProductSprint Backlog'!$I188=D$2), 'ProductSprint Backlog'!$F188, TRUE, 0)</f>
        <v>0.2</v>
      </c>
      <c r="E188" s="4" cm="1">
        <f t="array" ref="E188">_xlfn.IFS('ProductSprint Backlog'!$F188="", "", AND('ProductSprint Backlog'!$J188&gt;E$2,'ProductSprint Backlog'!$I188&lt;=E$2), 'ProductSprint Backlog'!$F188 / MAX(1, 'ProductSprint Backlog'!$J188-'ProductSprint Backlog'!$I188), AND('ProductSprint Backlog'!$J188=E$2,'ProductSprint Backlog'!$I188=E$2), 'ProductSprint Backlog'!$F188, TRUE, 0)</f>
        <v>0.2</v>
      </c>
      <c r="F188" s="4" cm="1">
        <f t="array" ref="F188">_xlfn.IFS('ProductSprint Backlog'!$F188="", "", AND('ProductSprint Backlog'!$J188&gt;F$2,'ProductSprint Backlog'!$I188&lt;=F$2), 'ProductSprint Backlog'!$F188 / MAX(1, 'ProductSprint Backlog'!$J188-'ProductSprint Backlog'!$I188), AND('ProductSprint Backlog'!$J188=F$2,'ProductSprint Backlog'!$I188=F$2), 'ProductSprint Backlog'!$F188, TRUE, 0)</f>
        <v>0.2</v>
      </c>
      <c r="G188" s="4" cm="1">
        <f t="array" ref="G188">_xlfn.IFS('ProductSprint Backlog'!$F188="", "", AND('ProductSprint Backlog'!$J188&gt;G$2,'ProductSprint Backlog'!$I188&lt;=G$2), 'ProductSprint Backlog'!$F188 / MAX(1, 'ProductSprint Backlog'!$J188-'ProductSprint Backlog'!$I188), AND('ProductSprint Backlog'!$J188=G$2,'ProductSprint Backlog'!$I188=G$2), 'ProductSprint Backlog'!$F188, TRUE, 0)</f>
        <v>0</v>
      </c>
      <c r="H188" s="4" cm="1">
        <f t="array" ref="H188">_xlfn.IFS('ProductSprint Backlog'!$F188="", "", AND('ProductSprint Backlog'!$J188&gt;H$2,'ProductSprint Backlog'!$I188&lt;=H$2), 'ProductSprint Backlog'!$F188 / MAX(1, 'ProductSprint Backlog'!$J188-'ProductSprint Backlog'!$I188), AND('ProductSprint Backlog'!$J188=H$2,'ProductSprint Backlog'!$I188=H$2), 'ProductSprint Backlog'!$F188, TRUE, 0)</f>
        <v>0</v>
      </c>
      <c r="I188" s="4" cm="1">
        <f t="array" ref="I188">_xlfn.IFS('ProductSprint Backlog'!$F188="", "", AND('ProductSprint Backlog'!$J188&gt;I$2,'ProductSprint Backlog'!$I188&lt;=I$2), 'ProductSprint Backlog'!$F188 / MAX(1, 'ProductSprint Backlog'!$J188-'ProductSprint Backlog'!$I188), AND('ProductSprint Backlog'!$J188=I$2,'ProductSprint Backlog'!$I188=I$2), 'ProductSprint Backlog'!$F188, TRUE, 0)</f>
        <v>0</v>
      </c>
      <c r="J188" s="4" cm="1">
        <f t="array" ref="J188">_xlfn.IFS('ProductSprint Backlog'!$F188="", "", AND('ProductSprint Backlog'!$J188&gt;J$2,'ProductSprint Backlog'!$I188&lt;=J$2), 'ProductSprint Backlog'!$F188 / MAX(1, 'ProductSprint Backlog'!$J188-'ProductSprint Backlog'!$I188), AND('ProductSprint Backlog'!$J188=J$2,'ProductSprint Backlog'!$I188=J$2), 'ProductSprint Backlog'!$F188, TRUE, 0)</f>
        <v>0</v>
      </c>
      <c r="K188" s="4" cm="1">
        <f t="array" ref="K188">_xlfn.IFS('ProductSprint Backlog'!$F188="", "", AND('ProductSprint Backlog'!$J188&gt;K$2,'ProductSprint Backlog'!$I188&lt;=K$2), 'ProductSprint Backlog'!$F188 / MAX(1, 'ProductSprint Backlog'!$J188-'ProductSprint Backlog'!$I188), AND('ProductSprint Backlog'!$J188=K$2,'ProductSprint Backlog'!$I188=K$2), 'ProductSprint Backlog'!$F188, TRUE, 0)</f>
        <v>0</v>
      </c>
      <c r="L188" s="4" cm="1">
        <f t="array" ref="L188">_xlfn.IFS('ProductSprint Backlog'!$F188="", "", AND('ProductSprint Backlog'!$J188&gt;L$2,'ProductSprint Backlog'!$I188&lt;=L$2), 'ProductSprint Backlog'!$F188 / MAX(1, 'ProductSprint Backlog'!$J188-'ProductSprint Backlog'!$I188), AND('ProductSprint Backlog'!$J188=L$2,'ProductSprint Backlog'!$I188=L$2), 'ProductSprint Backlog'!$F188, TRUE, 0)</f>
        <v>0</v>
      </c>
      <c r="M188" s="4" cm="1">
        <f t="array" ref="M188">_xlfn.IFS('ProductSprint Backlog'!$F188="", "", AND('ProductSprint Backlog'!$J188&gt;M$2,'ProductSprint Backlog'!$I188&lt;=M$2), 'ProductSprint Backlog'!$F188 / MAX(1, 'ProductSprint Backlog'!$J188-'ProductSprint Backlog'!$I188), AND('ProductSprint Backlog'!$J188=M$2,'ProductSprint Backlog'!$I188=M$2), 'ProductSprint Backlog'!$F188, TRUE, 0)</f>
        <v>0</v>
      </c>
      <c r="N188" s="4" cm="1">
        <f t="array" ref="N188">_xlfn.IFS('ProductSprint Backlog'!$F188="", "", AND('ProductSprint Backlog'!$J188&gt;N$2,'ProductSprint Backlog'!$I188&lt;=N$2), 'ProductSprint Backlog'!$F188 / MAX(1, 'ProductSprint Backlog'!$J188-'ProductSprint Backlog'!$I188), AND('ProductSprint Backlog'!$J188=N$2,'ProductSprint Backlog'!$I188=N$2), 'ProductSprint Backlog'!$F188, TRUE, 0)</f>
        <v>0</v>
      </c>
      <c r="O188" s="4" cm="1">
        <f t="array" ref="O188">_xlfn.IFS('ProductSprint Backlog'!$F188="", "", AND('ProductSprint Backlog'!$J188&gt;O$2,'ProductSprint Backlog'!$I188&lt;=O$2), 'ProductSprint Backlog'!$F188 / MAX(1, 'ProductSprint Backlog'!$J188-'ProductSprint Backlog'!$I188), AND('ProductSprint Backlog'!$J188=O$2,'ProductSprint Backlog'!$I188=O$2), 'ProductSprint Backlog'!$F188, TRUE, 0)</f>
        <v>0</v>
      </c>
      <c r="P188" s="4" cm="1">
        <f t="array" ref="P188">_xlfn.IFS('ProductSprint Backlog'!$F188="", "", AND('ProductSprint Backlog'!$J188&gt;P$2,'ProductSprint Backlog'!$I188&lt;=P$2), 'ProductSprint Backlog'!$F188 / MAX(1, 'ProductSprint Backlog'!$J188-'ProductSprint Backlog'!$I188), AND('ProductSprint Backlog'!$J188=P$2,'ProductSprint Backlog'!$I188=P$2), 'ProductSprint Backlog'!$F188, TRUE, 0)</f>
        <v>0</v>
      </c>
      <c r="Q188" s="4" cm="1">
        <f t="array" ref="Q188">_xlfn.IFS('ProductSprint Backlog'!$F188="", "", AND('ProductSprint Backlog'!$J188&gt;Q$2,'ProductSprint Backlog'!$I188&lt;=Q$2), 'ProductSprint Backlog'!$F188 / MAX(1, 'ProductSprint Backlog'!$J188-'ProductSprint Backlog'!$I188), AND('ProductSprint Backlog'!$J188=Q$2,'ProductSprint Backlog'!$I188=Q$2), 'ProductSprint Backlog'!$F188, TRUE, 0)</f>
        <v>0</v>
      </c>
    </row>
    <row r="189" spans="2:17" x14ac:dyDescent="0.2">
      <c r="B189" s="4" cm="1">
        <f t="array" ref="B189">_xlfn.IFS('ProductSprint Backlog'!$F189="", "", AND('ProductSprint Backlog'!$J189&gt;B$2,'ProductSprint Backlog'!$I189&lt;=B$2), 'ProductSprint Backlog'!$F189 / MAX(1, 'ProductSprint Backlog'!$J189-'ProductSprint Backlog'!$I189), AND('ProductSprint Backlog'!$J189=B$2,'ProductSprint Backlog'!$I189=B$2), 'ProductSprint Backlog'!$F189, TRUE, 0)</f>
        <v>0.2</v>
      </c>
      <c r="C189" s="4" cm="1">
        <f t="array" ref="C189">_xlfn.IFS('ProductSprint Backlog'!$F189="", "", AND('ProductSprint Backlog'!$J189&gt;C$2,'ProductSprint Backlog'!$I189&lt;=C$2), 'ProductSprint Backlog'!$F189 / MAX(1, 'ProductSprint Backlog'!$J189-'ProductSprint Backlog'!$I189), AND('ProductSprint Backlog'!$J189=C$2,'ProductSprint Backlog'!$I189=C$2), 'ProductSprint Backlog'!$F189, TRUE, 0)</f>
        <v>0.2</v>
      </c>
      <c r="D189" s="4" cm="1">
        <f t="array" ref="D189">_xlfn.IFS('ProductSprint Backlog'!$F189="", "", AND('ProductSprint Backlog'!$J189&gt;D$2,'ProductSprint Backlog'!$I189&lt;=D$2), 'ProductSprint Backlog'!$F189 / MAX(1, 'ProductSprint Backlog'!$J189-'ProductSprint Backlog'!$I189), AND('ProductSprint Backlog'!$J189=D$2,'ProductSprint Backlog'!$I189=D$2), 'ProductSprint Backlog'!$F189, TRUE, 0)</f>
        <v>0.2</v>
      </c>
      <c r="E189" s="4" cm="1">
        <f t="array" ref="E189">_xlfn.IFS('ProductSprint Backlog'!$F189="", "", AND('ProductSprint Backlog'!$J189&gt;E$2,'ProductSprint Backlog'!$I189&lt;=E$2), 'ProductSprint Backlog'!$F189 / MAX(1, 'ProductSprint Backlog'!$J189-'ProductSprint Backlog'!$I189), AND('ProductSprint Backlog'!$J189=E$2,'ProductSprint Backlog'!$I189=E$2), 'ProductSprint Backlog'!$F189, TRUE, 0)</f>
        <v>0.2</v>
      </c>
      <c r="F189" s="4" cm="1">
        <f t="array" ref="F189">_xlfn.IFS('ProductSprint Backlog'!$F189="", "", AND('ProductSprint Backlog'!$J189&gt;F$2,'ProductSprint Backlog'!$I189&lt;=F$2), 'ProductSprint Backlog'!$F189 / MAX(1, 'ProductSprint Backlog'!$J189-'ProductSprint Backlog'!$I189), AND('ProductSprint Backlog'!$J189=F$2,'ProductSprint Backlog'!$I189=F$2), 'ProductSprint Backlog'!$F189, TRUE, 0)</f>
        <v>0.2</v>
      </c>
      <c r="G189" s="4" cm="1">
        <f t="array" ref="G189">_xlfn.IFS('ProductSprint Backlog'!$F189="", "", AND('ProductSprint Backlog'!$J189&gt;G$2,'ProductSprint Backlog'!$I189&lt;=G$2), 'ProductSprint Backlog'!$F189 / MAX(1, 'ProductSprint Backlog'!$J189-'ProductSprint Backlog'!$I189), AND('ProductSprint Backlog'!$J189=G$2,'ProductSprint Backlog'!$I189=G$2), 'ProductSprint Backlog'!$F189, TRUE, 0)</f>
        <v>0</v>
      </c>
      <c r="H189" s="4" cm="1">
        <f t="array" ref="H189">_xlfn.IFS('ProductSprint Backlog'!$F189="", "", AND('ProductSprint Backlog'!$J189&gt;H$2,'ProductSprint Backlog'!$I189&lt;=H$2), 'ProductSprint Backlog'!$F189 / MAX(1, 'ProductSprint Backlog'!$J189-'ProductSprint Backlog'!$I189), AND('ProductSprint Backlog'!$J189=H$2,'ProductSprint Backlog'!$I189=H$2), 'ProductSprint Backlog'!$F189, TRUE, 0)</f>
        <v>0</v>
      </c>
      <c r="I189" s="4" cm="1">
        <f t="array" ref="I189">_xlfn.IFS('ProductSprint Backlog'!$F189="", "", AND('ProductSprint Backlog'!$J189&gt;I$2,'ProductSprint Backlog'!$I189&lt;=I$2), 'ProductSprint Backlog'!$F189 / MAX(1, 'ProductSprint Backlog'!$J189-'ProductSprint Backlog'!$I189), AND('ProductSprint Backlog'!$J189=I$2,'ProductSprint Backlog'!$I189=I$2), 'ProductSprint Backlog'!$F189, TRUE, 0)</f>
        <v>0</v>
      </c>
      <c r="J189" s="4" cm="1">
        <f t="array" ref="J189">_xlfn.IFS('ProductSprint Backlog'!$F189="", "", AND('ProductSprint Backlog'!$J189&gt;J$2,'ProductSprint Backlog'!$I189&lt;=J$2), 'ProductSprint Backlog'!$F189 / MAX(1, 'ProductSprint Backlog'!$J189-'ProductSprint Backlog'!$I189), AND('ProductSprint Backlog'!$J189=J$2,'ProductSprint Backlog'!$I189=J$2), 'ProductSprint Backlog'!$F189, TRUE, 0)</f>
        <v>0</v>
      </c>
      <c r="K189" s="4" cm="1">
        <f t="array" ref="K189">_xlfn.IFS('ProductSprint Backlog'!$F189="", "", AND('ProductSprint Backlog'!$J189&gt;K$2,'ProductSprint Backlog'!$I189&lt;=K$2), 'ProductSprint Backlog'!$F189 / MAX(1, 'ProductSprint Backlog'!$J189-'ProductSprint Backlog'!$I189), AND('ProductSprint Backlog'!$J189=K$2,'ProductSprint Backlog'!$I189=K$2), 'ProductSprint Backlog'!$F189, TRUE, 0)</f>
        <v>0</v>
      </c>
      <c r="L189" s="4" cm="1">
        <f t="array" ref="L189">_xlfn.IFS('ProductSprint Backlog'!$F189="", "", AND('ProductSprint Backlog'!$J189&gt;L$2,'ProductSprint Backlog'!$I189&lt;=L$2), 'ProductSprint Backlog'!$F189 / MAX(1, 'ProductSprint Backlog'!$J189-'ProductSprint Backlog'!$I189), AND('ProductSprint Backlog'!$J189=L$2,'ProductSprint Backlog'!$I189=L$2), 'ProductSprint Backlog'!$F189, TRUE, 0)</f>
        <v>0</v>
      </c>
      <c r="M189" s="4" cm="1">
        <f t="array" ref="M189">_xlfn.IFS('ProductSprint Backlog'!$F189="", "", AND('ProductSprint Backlog'!$J189&gt;M$2,'ProductSprint Backlog'!$I189&lt;=M$2), 'ProductSprint Backlog'!$F189 / MAX(1, 'ProductSprint Backlog'!$J189-'ProductSprint Backlog'!$I189), AND('ProductSprint Backlog'!$J189=M$2,'ProductSprint Backlog'!$I189=M$2), 'ProductSprint Backlog'!$F189, TRUE, 0)</f>
        <v>0</v>
      </c>
      <c r="N189" s="4" cm="1">
        <f t="array" ref="N189">_xlfn.IFS('ProductSprint Backlog'!$F189="", "", AND('ProductSprint Backlog'!$J189&gt;N$2,'ProductSprint Backlog'!$I189&lt;=N$2), 'ProductSprint Backlog'!$F189 / MAX(1, 'ProductSprint Backlog'!$J189-'ProductSprint Backlog'!$I189), AND('ProductSprint Backlog'!$J189=N$2,'ProductSprint Backlog'!$I189=N$2), 'ProductSprint Backlog'!$F189, TRUE, 0)</f>
        <v>0</v>
      </c>
      <c r="O189" s="4" cm="1">
        <f t="array" ref="O189">_xlfn.IFS('ProductSprint Backlog'!$F189="", "", AND('ProductSprint Backlog'!$J189&gt;O$2,'ProductSprint Backlog'!$I189&lt;=O$2), 'ProductSprint Backlog'!$F189 / MAX(1, 'ProductSprint Backlog'!$J189-'ProductSprint Backlog'!$I189), AND('ProductSprint Backlog'!$J189=O$2,'ProductSprint Backlog'!$I189=O$2), 'ProductSprint Backlog'!$F189, TRUE, 0)</f>
        <v>0</v>
      </c>
      <c r="P189" s="4" cm="1">
        <f t="array" ref="P189">_xlfn.IFS('ProductSprint Backlog'!$F189="", "", AND('ProductSprint Backlog'!$J189&gt;P$2,'ProductSprint Backlog'!$I189&lt;=P$2), 'ProductSprint Backlog'!$F189 / MAX(1, 'ProductSprint Backlog'!$J189-'ProductSprint Backlog'!$I189), AND('ProductSprint Backlog'!$J189=P$2,'ProductSprint Backlog'!$I189=P$2), 'ProductSprint Backlog'!$F189, TRUE, 0)</f>
        <v>0</v>
      </c>
      <c r="Q189" s="4" cm="1">
        <f t="array" ref="Q189">_xlfn.IFS('ProductSprint Backlog'!$F189="", "", AND('ProductSprint Backlog'!$J189&gt;Q$2,'ProductSprint Backlog'!$I189&lt;=Q$2), 'ProductSprint Backlog'!$F189 / MAX(1, 'ProductSprint Backlog'!$J189-'ProductSprint Backlog'!$I189), AND('ProductSprint Backlog'!$J189=Q$2,'ProductSprint Backlog'!$I189=Q$2), 'ProductSprint Backlog'!$F189, TRUE, 0)</f>
        <v>0</v>
      </c>
    </row>
    <row r="190" spans="2:17" x14ac:dyDescent="0.2">
      <c r="B190" s="4" cm="1">
        <f t="array" ref="B190">_xlfn.IFS('ProductSprint Backlog'!$F190="", "", AND('ProductSprint Backlog'!$J190&gt;B$2,'ProductSprint Backlog'!$I190&lt;=B$2), 'ProductSprint Backlog'!$F190 / MAX(1, 'ProductSprint Backlog'!$J190-'ProductSprint Backlog'!$I190), AND('ProductSprint Backlog'!$J190=B$2,'ProductSprint Backlog'!$I190=B$2), 'ProductSprint Backlog'!$F190, TRUE, 0)</f>
        <v>0</v>
      </c>
      <c r="C190" s="4" cm="1">
        <f t="array" ref="C190">_xlfn.IFS('ProductSprint Backlog'!$F190="", "", AND('ProductSprint Backlog'!$J190&gt;C$2,'ProductSprint Backlog'!$I190&lt;=C$2), 'ProductSprint Backlog'!$F190 / MAX(1, 'ProductSprint Backlog'!$J190-'ProductSprint Backlog'!$I190), AND('ProductSprint Backlog'!$J190=C$2,'ProductSprint Backlog'!$I190=C$2), 'ProductSprint Backlog'!$F190, TRUE, 0)</f>
        <v>0</v>
      </c>
      <c r="D190" s="4" cm="1">
        <f t="array" ref="D190">_xlfn.IFS('ProductSprint Backlog'!$F190="", "", AND('ProductSprint Backlog'!$J190&gt;D$2,'ProductSprint Backlog'!$I190&lt;=D$2), 'ProductSprint Backlog'!$F190 / MAX(1, 'ProductSprint Backlog'!$J190-'ProductSprint Backlog'!$I190), AND('ProductSprint Backlog'!$J190=D$2,'ProductSprint Backlog'!$I190=D$2), 'ProductSprint Backlog'!$F190, TRUE, 0)</f>
        <v>0</v>
      </c>
      <c r="E190" s="4" cm="1">
        <f t="array" ref="E190">_xlfn.IFS('ProductSprint Backlog'!$F190="", "", AND('ProductSprint Backlog'!$J190&gt;E$2,'ProductSprint Backlog'!$I190&lt;=E$2), 'ProductSprint Backlog'!$F190 / MAX(1, 'ProductSprint Backlog'!$J190-'ProductSprint Backlog'!$I190), AND('ProductSprint Backlog'!$J190=E$2,'ProductSprint Backlog'!$I190=E$2), 'ProductSprint Backlog'!$F190, TRUE, 0)</f>
        <v>0</v>
      </c>
      <c r="F190" s="4" cm="1">
        <f t="array" ref="F190">_xlfn.IFS('ProductSprint Backlog'!$F190="", "", AND('ProductSprint Backlog'!$J190&gt;F$2,'ProductSprint Backlog'!$I190&lt;=F$2), 'ProductSprint Backlog'!$F190 / MAX(1, 'ProductSprint Backlog'!$J190-'ProductSprint Backlog'!$I190), AND('ProductSprint Backlog'!$J190=F$2,'ProductSprint Backlog'!$I190=F$2), 'ProductSprint Backlog'!$F190, TRUE, 0)</f>
        <v>0</v>
      </c>
      <c r="G190" s="4" cm="1">
        <f t="array" ref="G190">_xlfn.IFS('ProductSprint Backlog'!$F190="", "", AND('ProductSprint Backlog'!$J190&gt;G$2,'ProductSprint Backlog'!$I190&lt;=G$2), 'ProductSprint Backlog'!$F190 / MAX(1, 'ProductSprint Backlog'!$J190-'ProductSprint Backlog'!$I190), AND('ProductSprint Backlog'!$J190=G$2,'ProductSprint Backlog'!$I190=G$2), 'ProductSprint Backlog'!$F190, TRUE, 0)</f>
        <v>0</v>
      </c>
      <c r="H190" s="4" cm="1">
        <f t="array" ref="H190">_xlfn.IFS('ProductSprint Backlog'!$F190="", "", AND('ProductSprint Backlog'!$J190&gt;H$2,'ProductSprint Backlog'!$I190&lt;=H$2), 'ProductSprint Backlog'!$F190 / MAX(1, 'ProductSprint Backlog'!$J190-'ProductSprint Backlog'!$I190), AND('ProductSprint Backlog'!$J190=H$2,'ProductSprint Backlog'!$I190=H$2), 'ProductSprint Backlog'!$F190, TRUE, 0)</f>
        <v>0.33333333333333331</v>
      </c>
      <c r="I190" s="4" cm="1">
        <f t="array" ref="I190">_xlfn.IFS('ProductSprint Backlog'!$F190="", "", AND('ProductSprint Backlog'!$J190&gt;I$2,'ProductSprint Backlog'!$I190&lt;=I$2), 'ProductSprint Backlog'!$F190 / MAX(1, 'ProductSprint Backlog'!$J190-'ProductSprint Backlog'!$I190), AND('ProductSprint Backlog'!$J190=I$2,'ProductSprint Backlog'!$I190=I$2), 'ProductSprint Backlog'!$F190, TRUE, 0)</f>
        <v>0.33333333333333331</v>
      </c>
      <c r="J190" s="4" cm="1">
        <f t="array" ref="J190">_xlfn.IFS('ProductSprint Backlog'!$F190="", "", AND('ProductSprint Backlog'!$J190&gt;J$2,'ProductSprint Backlog'!$I190&lt;=J$2), 'ProductSprint Backlog'!$F190 / MAX(1, 'ProductSprint Backlog'!$J190-'ProductSprint Backlog'!$I190), AND('ProductSprint Backlog'!$J190=J$2,'ProductSprint Backlog'!$I190=J$2), 'ProductSprint Backlog'!$F190, TRUE, 0)</f>
        <v>0.33333333333333331</v>
      </c>
      <c r="K190" s="4" cm="1">
        <f t="array" ref="K190">_xlfn.IFS('ProductSprint Backlog'!$F190="", "", AND('ProductSprint Backlog'!$J190&gt;K$2,'ProductSprint Backlog'!$I190&lt;=K$2), 'ProductSprint Backlog'!$F190 / MAX(1, 'ProductSprint Backlog'!$J190-'ProductSprint Backlog'!$I190), AND('ProductSprint Backlog'!$J190=K$2,'ProductSprint Backlog'!$I190=K$2), 'ProductSprint Backlog'!$F190, TRUE, 0)</f>
        <v>0</v>
      </c>
      <c r="L190" s="4" cm="1">
        <f t="array" ref="L190">_xlfn.IFS('ProductSprint Backlog'!$F190="", "", AND('ProductSprint Backlog'!$J190&gt;L$2,'ProductSprint Backlog'!$I190&lt;=L$2), 'ProductSprint Backlog'!$F190 / MAX(1, 'ProductSprint Backlog'!$J190-'ProductSprint Backlog'!$I190), AND('ProductSprint Backlog'!$J190=L$2,'ProductSprint Backlog'!$I190=L$2), 'ProductSprint Backlog'!$F190, TRUE, 0)</f>
        <v>0</v>
      </c>
      <c r="M190" s="4" cm="1">
        <f t="array" ref="M190">_xlfn.IFS('ProductSprint Backlog'!$F190="", "", AND('ProductSprint Backlog'!$J190&gt;M$2,'ProductSprint Backlog'!$I190&lt;=M$2), 'ProductSprint Backlog'!$F190 / MAX(1, 'ProductSprint Backlog'!$J190-'ProductSprint Backlog'!$I190), AND('ProductSprint Backlog'!$J190=M$2,'ProductSprint Backlog'!$I190=M$2), 'ProductSprint Backlog'!$F190, TRUE, 0)</f>
        <v>0</v>
      </c>
      <c r="N190" s="4" cm="1">
        <f t="array" ref="N190">_xlfn.IFS('ProductSprint Backlog'!$F190="", "", AND('ProductSprint Backlog'!$J190&gt;N$2,'ProductSprint Backlog'!$I190&lt;=N$2), 'ProductSprint Backlog'!$F190 / MAX(1, 'ProductSprint Backlog'!$J190-'ProductSprint Backlog'!$I190), AND('ProductSprint Backlog'!$J190=N$2,'ProductSprint Backlog'!$I190=N$2), 'ProductSprint Backlog'!$F190, TRUE, 0)</f>
        <v>0</v>
      </c>
      <c r="O190" s="4" cm="1">
        <f t="array" ref="O190">_xlfn.IFS('ProductSprint Backlog'!$F190="", "", AND('ProductSprint Backlog'!$J190&gt;O$2,'ProductSprint Backlog'!$I190&lt;=O$2), 'ProductSprint Backlog'!$F190 / MAX(1, 'ProductSprint Backlog'!$J190-'ProductSprint Backlog'!$I190), AND('ProductSprint Backlog'!$J190=O$2,'ProductSprint Backlog'!$I190=O$2), 'ProductSprint Backlog'!$F190, TRUE, 0)</f>
        <v>0</v>
      </c>
      <c r="P190" s="4" cm="1">
        <f t="array" ref="P190">_xlfn.IFS('ProductSprint Backlog'!$F190="", "", AND('ProductSprint Backlog'!$J190&gt;P$2,'ProductSprint Backlog'!$I190&lt;=P$2), 'ProductSprint Backlog'!$F190 / MAX(1, 'ProductSprint Backlog'!$J190-'ProductSprint Backlog'!$I190), AND('ProductSprint Backlog'!$J190=P$2,'ProductSprint Backlog'!$I190=P$2), 'ProductSprint Backlog'!$F190, TRUE, 0)</f>
        <v>0</v>
      </c>
      <c r="Q190" s="4" cm="1">
        <f t="array" ref="Q190">_xlfn.IFS('ProductSprint Backlog'!$F190="", "", AND('ProductSprint Backlog'!$J190&gt;Q$2,'ProductSprint Backlog'!$I190&lt;=Q$2), 'ProductSprint Backlog'!$F190 / MAX(1, 'ProductSprint Backlog'!$J190-'ProductSprint Backlog'!$I190), AND('ProductSprint Backlog'!$J190=Q$2,'ProductSprint Backlog'!$I190=Q$2), 'ProductSprint Backlog'!$F190, TRUE, 0)</f>
        <v>0</v>
      </c>
    </row>
    <row r="191" spans="2:17" x14ac:dyDescent="0.2">
      <c r="B191" s="4" cm="1">
        <f t="array" ref="B191">_xlfn.IFS('ProductSprint Backlog'!$F191="", "", AND('ProductSprint Backlog'!$J191&gt;B$2,'ProductSprint Backlog'!$I191&lt;=B$2), 'ProductSprint Backlog'!$F191 / MAX(1, 'ProductSprint Backlog'!$J191-'ProductSprint Backlog'!$I191), AND('ProductSprint Backlog'!$J191=B$2,'ProductSprint Backlog'!$I191=B$2), 'ProductSprint Backlog'!$F191, TRUE, 0)</f>
        <v>0</v>
      </c>
      <c r="C191" s="4" cm="1">
        <f t="array" ref="C191">_xlfn.IFS('ProductSprint Backlog'!$F191="", "", AND('ProductSprint Backlog'!$J191&gt;C$2,'ProductSprint Backlog'!$I191&lt;=C$2), 'ProductSprint Backlog'!$F191 / MAX(1, 'ProductSprint Backlog'!$J191-'ProductSprint Backlog'!$I191), AND('ProductSprint Backlog'!$J191=C$2,'ProductSprint Backlog'!$I191=C$2), 'ProductSprint Backlog'!$F191, TRUE, 0)</f>
        <v>0</v>
      </c>
      <c r="D191" s="4" cm="1">
        <f t="array" ref="D191">_xlfn.IFS('ProductSprint Backlog'!$F191="", "", AND('ProductSprint Backlog'!$J191&gt;D$2,'ProductSprint Backlog'!$I191&lt;=D$2), 'ProductSprint Backlog'!$F191 / MAX(1, 'ProductSprint Backlog'!$J191-'ProductSprint Backlog'!$I191), AND('ProductSprint Backlog'!$J191=D$2,'ProductSprint Backlog'!$I191=D$2), 'ProductSprint Backlog'!$F191, TRUE, 0)</f>
        <v>0</v>
      </c>
      <c r="E191" s="4" cm="1">
        <f t="array" ref="E191">_xlfn.IFS('ProductSprint Backlog'!$F191="", "", AND('ProductSprint Backlog'!$J191&gt;E$2,'ProductSprint Backlog'!$I191&lt;=E$2), 'ProductSprint Backlog'!$F191 / MAX(1, 'ProductSprint Backlog'!$J191-'ProductSprint Backlog'!$I191), AND('ProductSprint Backlog'!$J191=E$2,'ProductSprint Backlog'!$I191=E$2), 'ProductSprint Backlog'!$F191, TRUE, 0)</f>
        <v>0</v>
      </c>
      <c r="F191" s="4" cm="1">
        <f t="array" ref="F191">_xlfn.IFS('ProductSprint Backlog'!$F191="", "", AND('ProductSprint Backlog'!$J191&gt;F$2,'ProductSprint Backlog'!$I191&lt;=F$2), 'ProductSprint Backlog'!$F191 / MAX(1, 'ProductSprint Backlog'!$J191-'ProductSprint Backlog'!$I191), AND('ProductSprint Backlog'!$J191=F$2,'ProductSprint Backlog'!$I191=F$2), 'ProductSprint Backlog'!$F191, TRUE, 0)</f>
        <v>0</v>
      </c>
      <c r="G191" s="4" cm="1">
        <f t="array" ref="G191">_xlfn.IFS('ProductSprint Backlog'!$F191="", "", AND('ProductSprint Backlog'!$J191&gt;G$2,'ProductSprint Backlog'!$I191&lt;=G$2), 'ProductSprint Backlog'!$F191 / MAX(1, 'ProductSprint Backlog'!$J191-'ProductSprint Backlog'!$I191), AND('ProductSprint Backlog'!$J191=G$2,'ProductSprint Backlog'!$I191=G$2), 'ProductSprint Backlog'!$F191, TRUE, 0)</f>
        <v>0</v>
      </c>
      <c r="H191" s="4" cm="1">
        <f t="array" ref="H191">_xlfn.IFS('ProductSprint Backlog'!$F191="", "", AND('ProductSprint Backlog'!$J191&gt;H$2,'ProductSprint Backlog'!$I191&lt;=H$2), 'ProductSprint Backlog'!$F191 / MAX(1, 'ProductSprint Backlog'!$J191-'ProductSprint Backlog'!$I191), AND('ProductSprint Backlog'!$J191=H$2,'ProductSprint Backlog'!$I191=H$2), 'ProductSprint Backlog'!$F191, TRUE, 0)</f>
        <v>0.33333333333333331</v>
      </c>
      <c r="I191" s="4" cm="1">
        <f t="array" ref="I191">_xlfn.IFS('ProductSprint Backlog'!$F191="", "", AND('ProductSprint Backlog'!$J191&gt;I$2,'ProductSprint Backlog'!$I191&lt;=I$2), 'ProductSprint Backlog'!$F191 / MAX(1, 'ProductSprint Backlog'!$J191-'ProductSprint Backlog'!$I191), AND('ProductSprint Backlog'!$J191=I$2,'ProductSprint Backlog'!$I191=I$2), 'ProductSprint Backlog'!$F191, TRUE, 0)</f>
        <v>0.33333333333333331</v>
      </c>
      <c r="J191" s="4" cm="1">
        <f t="array" ref="J191">_xlfn.IFS('ProductSprint Backlog'!$F191="", "", AND('ProductSprint Backlog'!$J191&gt;J$2,'ProductSprint Backlog'!$I191&lt;=J$2), 'ProductSprint Backlog'!$F191 / MAX(1, 'ProductSprint Backlog'!$J191-'ProductSprint Backlog'!$I191), AND('ProductSprint Backlog'!$J191=J$2,'ProductSprint Backlog'!$I191=J$2), 'ProductSprint Backlog'!$F191, TRUE, 0)</f>
        <v>0.33333333333333331</v>
      </c>
      <c r="K191" s="4" cm="1">
        <f t="array" ref="K191">_xlfn.IFS('ProductSprint Backlog'!$F191="", "", AND('ProductSprint Backlog'!$J191&gt;K$2,'ProductSprint Backlog'!$I191&lt;=K$2), 'ProductSprint Backlog'!$F191 / MAX(1, 'ProductSprint Backlog'!$J191-'ProductSprint Backlog'!$I191), AND('ProductSprint Backlog'!$J191=K$2,'ProductSprint Backlog'!$I191=K$2), 'ProductSprint Backlog'!$F191, TRUE, 0)</f>
        <v>0</v>
      </c>
      <c r="L191" s="4" cm="1">
        <f t="array" ref="L191">_xlfn.IFS('ProductSprint Backlog'!$F191="", "", AND('ProductSprint Backlog'!$J191&gt;L$2,'ProductSprint Backlog'!$I191&lt;=L$2), 'ProductSprint Backlog'!$F191 / MAX(1, 'ProductSprint Backlog'!$J191-'ProductSprint Backlog'!$I191), AND('ProductSprint Backlog'!$J191=L$2,'ProductSprint Backlog'!$I191=L$2), 'ProductSprint Backlog'!$F191, TRUE, 0)</f>
        <v>0</v>
      </c>
      <c r="M191" s="4" cm="1">
        <f t="array" ref="M191">_xlfn.IFS('ProductSprint Backlog'!$F191="", "", AND('ProductSprint Backlog'!$J191&gt;M$2,'ProductSprint Backlog'!$I191&lt;=M$2), 'ProductSprint Backlog'!$F191 / MAX(1, 'ProductSprint Backlog'!$J191-'ProductSprint Backlog'!$I191), AND('ProductSprint Backlog'!$J191=M$2,'ProductSprint Backlog'!$I191=M$2), 'ProductSprint Backlog'!$F191, TRUE, 0)</f>
        <v>0</v>
      </c>
      <c r="N191" s="4" cm="1">
        <f t="array" ref="N191">_xlfn.IFS('ProductSprint Backlog'!$F191="", "", AND('ProductSprint Backlog'!$J191&gt;N$2,'ProductSprint Backlog'!$I191&lt;=N$2), 'ProductSprint Backlog'!$F191 / MAX(1, 'ProductSprint Backlog'!$J191-'ProductSprint Backlog'!$I191), AND('ProductSprint Backlog'!$J191=N$2,'ProductSprint Backlog'!$I191=N$2), 'ProductSprint Backlog'!$F191, TRUE, 0)</f>
        <v>0</v>
      </c>
      <c r="O191" s="4" cm="1">
        <f t="array" ref="O191">_xlfn.IFS('ProductSprint Backlog'!$F191="", "", AND('ProductSprint Backlog'!$J191&gt;O$2,'ProductSprint Backlog'!$I191&lt;=O$2), 'ProductSprint Backlog'!$F191 / MAX(1, 'ProductSprint Backlog'!$J191-'ProductSprint Backlog'!$I191), AND('ProductSprint Backlog'!$J191=O$2,'ProductSprint Backlog'!$I191=O$2), 'ProductSprint Backlog'!$F191, TRUE, 0)</f>
        <v>0</v>
      </c>
      <c r="P191" s="4" cm="1">
        <f t="array" ref="P191">_xlfn.IFS('ProductSprint Backlog'!$F191="", "", AND('ProductSprint Backlog'!$J191&gt;P$2,'ProductSprint Backlog'!$I191&lt;=P$2), 'ProductSprint Backlog'!$F191 / MAX(1, 'ProductSprint Backlog'!$J191-'ProductSprint Backlog'!$I191), AND('ProductSprint Backlog'!$J191=P$2,'ProductSprint Backlog'!$I191=P$2), 'ProductSprint Backlog'!$F191, TRUE, 0)</f>
        <v>0</v>
      </c>
      <c r="Q191" s="4" cm="1">
        <f t="array" ref="Q191">_xlfn.IFS('ProductSprint Backlog'!$F191="", "", AND('ProductSprint Backlog'!$J191&gt;Q$2,'ProductSprint Backlog'!$I191&lt;=Q$2), 'ProductSprint Backlog'!$F191 / MAX(1, 'ProductSprint Backlog'!$J191-'ProductSprint Backlog'!$I191), AND('ProductSprint Backlog'!$J191=Q$2,'ProductSprint Backlog'!$I191=Q$2), 'ProductSprint Backlog'!$F191, TRUE, 0)</f>
        <v>0</v>
      </c>
    </row>
    <row r="192" spans="2:17" x14ac:dyDescent="0.2">
      <c r="B192" s="4" cm="1">
        <f t="array" ref="B192">_xlfn.IFS('ProductSprint Backlog'!$F192="", "", AND('ProductSprint Backlog'!$J192&gt;B$2,'ProductSprint Backlog'!$I192&lt;=B$2), 'ProductSprint Backlog'!$F192 / MAX(1, 'ProductSprint Backlog'!$J192-'ProductSprint Backlog'!$I192), AND('ProductSprint Backlog'!$J192=B$2,'ProductSprint Backlog'!$I192=B$2), 'ProductSprint Backlog'!$F192, TRUE, 0)</f>
        <v>0</v>
      </c>
      <c r="C192" s="4" cm="1">
        <f t="array" ref="C192">_xlfn.IFS('ProductSprint Backlog'!$F192="", "", AND('ProductSprint Backlog'!$J192&gt;C$2,'ProductSprint Backlog'!$I192&lt;=C$2), 'ProductSprint Backlog'!$F192 / MAX(1, 'ProductSprint Backlog'!$J192-'ProductSprint Backlog'!$I192), AND('ProductSprint Backlog'!$J192=C$2,'ProductSprint Backlog'!$I192=C$2), 'ProductSprint Backlog'!$F192, TRUE, 0)</f>
        <v>0</v>
      </c>
      <c r="D192" s="4" cm="1">
        <f t="array" ref="D192">_xlfn.IFS('ProductSprint Backlog'!$F192="", "", AND('ProductSprint Backlog'!$J192&gt;D$2,'ProductSprint Backlog'!$I192&lt;=D$2), 'ProductSprint Backlog'!$F192 / MAX(1, 'ProductSprint Backlog'!$J192-'ProductSprint Backlog'!$I192), AND('ProductSprint Backlog'!$J192=D$2,'ProductSprint Backlog'!$I192=D$2), 'ProductSprint Backlog'!$F192, TRUE, 0)</f>
        <v>0</v>
      </c>
      <c r="E192" s="4" cm="1">
        <f t="array" ref="E192">_xlfn.IFS('ProductSprint Backlog'!$F192="", "", AND('ProductSprint Backlog'!$J192&gt;E$2,'ProductSprint Backlog'!$I192&lt;=E$2), 'ProductSprint Backlog'!$F192 / MAX(1, 'ProductSprint Backlog'!$J192-'ProductSprint Backlog'!$I192), AND('ProductSprint Backlog'!$J192=E$2,'ProductSprint Backlog'!$I192=E$2), 'ProductSprint Backlog'!$F192, TRUE, 0)</f>
        <v>0</v>
      </c>
      <c r="F192" s="4" cm="1">
        <f t="array" ref="F192">_xlfn.IFS('ProductSprint Backlog'!$F192="", "", AND('ProductSprint Backlog'!$J192&gt;F$2,'ProductSprint Backlog'!$I192&lt;=F$2), 'ProductSprint Backlog'!$F192 / MAX(1, 'ProductSprint Backlog'!$J192-'ProductSprint Backlog'!$I192), AND('ProductSprint Backlog'!$J192=F$2,'ProductSprint Backlog'!$I192=F$2), 'ProductSprint Backlog'!$F192, TRUE, 0)</f>
        <v>0</v>
      </c>
      <c r="G192" s="4" cm="1">
        <f t="array" ref="G192">_xlfn.IFS('ProductSprint Backlog'!$F192="", "", AND('ProductSprint Backlog'!$J192&gt;G$2,'ProductSprint Backlog'!$I192&lt;=G$2), 'ProductSprint Backlog'!$F192 / MAX(1, 'ProductSprint Backlog'!$J192-'ProductSprint Backlog'!$I192), AND('ProductSprint Backlog'!$J192=G$2,'ProductSprint Backlog'!$I192=G$2), 'ProductSprint Backlog'!$F192, TRUE, 0)</f>
        <v>0</v>
      </c>
      <c r="H192" s="4" cm="1">
        <f t="array" ref="H192">_xlfn.IFS('ProductSprint Backlog'!$F192="", "", AND('ProductSprint Backlog'!$J192&gt;H$2,'ProductSprint Backlog'!$I192&lt;=H$2), 'ProductSprint Backlog'!$F192 / MAX(1, 'ProductSprint Backlog'!$J192-'ProductSprint Backlog'!$I192), AND('ProductSprint Backlog'!$J192=H$2,'ProductSprint Backlog'!$I192=H$2), 'ProductSprint Backlog'!$F192, TRUE, 0)</f>
        <v>0.33333333333333331</v>
      </c>
      <c r="I192" s="4" cm="1">
        <f t="array" ref="I192">_xlfn.IFS('ProductSprint Backlog'!$F192="", "", AND('ProductSprint Backlog'!$J192&gt;I$2,'ProductSprint Backlog'!$I192&lt;=I$2), 'ProductSprint Backlog'!$F192 / MAX(1, 'ProductSprint Backlog'!$J192-'ProductSprint Backlog'!$I192), AND('ProductSprint Backlog'!$J192=I$2,'ProductSprint Backlog'!$I192=I$2), 'ProductSprint Backlog'!$F192, TRUE, 0)</f>
        <v>0.33333333333333331</v>
      </c>
      <c r="J192" s="4" cm="1">
        <f t="array" ref="J192">_xlfn.IFS('ProductSprint Backlog'!$F192="", "", AND('ProductSprint Backlog'!$J192&gt;J$2,'ProductSprint Backlog'!$I192&lt;=J$2), 'ProductSprint Backlog'!$F192 / MAX(1, 'ProductSprint Backlog'!$J192-'ProductSprint Backlog'!$I192), AND('ProductSprint Backlog'!$J192=J$2,'ProductSprint Backlog'!$I192=J$2), 'ProductSprint Backlog'!$F192, TRUE, 0)</f>
        <v>0.33333333333333331</v>
      </c>
      <c r="K192" s="4" cm="1">
        <f t="array" ref="K192">_xlfn.IFS('ProductSprint Backlog'!$F192="", "", AND('ProductSprint Backlog'!$J192&gt;K$2,'ProductSprint Backlog'!$I192&lt;=K$2), 'ProductSprint Backlog'!$F192 / MAX(1, 'ProductSprint Backlog'!$J192-'ProductSprint Backlog'!$I192), AND('ProductSprint Backlog'!$J192=K$2,'ProductSprint Backlog'!$I192=K$2), 'ProductSprint Backlog'!$F192, TRUE, 0)</f>
        <v>0</v>
      </c>
      <c r="L192" s="4" cm="1">
        <f t="array" ref="L192">_xlfn.IFS('ProductSprint Backlog'!$F192="", "", AND('ProductSprint Backlog'!$J192&gt;L$2,'ProductSprint Backlog'!$I192&lt;=L$2), 'ProductSprint Backlog'!$F192 / MAX(1, 'ProductSprint Backlog'!$J192-'ProductSprint Backlog'!$I192), AND('ProductSprint Backlog'!$J192=L$2,'ProductSprint Backlog'!$I192=L$2), 'ProductSprint Backlog'!$F192, TRUE, 0)</f>
        <v>0</v>
      </c>
      <c r="M192" s="4" cm="1">
        <f t="array" ref="M192">_xlfn.IFS('ProductSprint Backlog'!$F192="", "", AND('ProductSprint Backlog'!$J192&gt;M$2,'ProductSprint Backlog'!$I192&lt;=M$2), 'ProductSprint Backlog'!$F192 / MAX(1, 'ProductSprint Backlog'!$J192-'ProductSprint Backlog'!$I192), AND('ProductSprint Backlog'!$J192=M$2,'ProductSprint Backlog'!$I192=M$2), 'ProductSprint Backlog'!$F192, TRUE, 0)</f>
        <v>0</v>
      </c>
      <c r="N192" s="4" cm="1">
        <f t="array" ref="N192">_xlfn.IFS('ProductSprint Backlog'!$F192="", "", AND('ProductSprint Backlog'!$J192&gt;N$2,'ProductSprint Backlog'!$I192&lt;=N$2), 'ProductSprint Backlog'!$F192 / MAX(1, 'ProductSprint Backlog'!$J192-'ProductSprint Backlog'!$I192), AND('ProductSprint Backlog'!$J192=N$2,'ProductSprint Backlog'!$I192=N$2), 'ProductSprint Backlog'!$F192, TRUE, 0)</f>
        <v>0</v>
      </c>
      <c r="O192" s="4" cm="1">
        <f t="array" ref="O192">_xlfn.IFS('ProductSprint Backlog'!$F192="", "", AND('ProductSprint Backlog'!$J192&gt;O$2,'ProductSprint Backlog'!$I192&lt;=O$2), 'ProductSprint Backlog'!$F192 / MAX(1, 'ProductSprint Backlog'!$J192-'ProductSprint Backlog'!$I192), AND('ProductSprint Backlog'!$J192=O$2,'ProductSprint Backlog'!$I192=O$2), 'ProductSprint Backlog'!$F192, TRUE, 0)</f>
        <v>0</v>
      </c>
      <c r="P192" s="4" cm="1">
        <f t="array" ref="P192">_xlfn.IFS('ProductSprint Backlog'!$F192="", "", AND('ProductSprint Backlog'!$J192&gt;P$2,'ProductSprint Backlog'!$I192&lt;=P$2), 'ProductSprint Backlog'!$F192 / MAX(1, 'ProductSprint Backlog'!$J192-'ProductSprint Backlog'!$I192), AND('ProductSprint Backlog'!$J192=P$2,'ProductSprint Backlog'!$I192=P$2), 'ProductSprint Backlog'!$F192, TRUE, 0)</f>
        <v>0</v>
      </c>
      <c r="Q192" s="4" cm="1">
        <f t="array" ref="Q192">_xlfn.IFS('ProductSprint Backlog'!$F192="", "", AND('ProductSprint Backlog'!$J192&gt;Q$2,'ProductSprint Backlog'!$I192&lt;=Q$2), 'ProductSprint Backlog'!$F192 / MAX(1, 'ProductSprint Backlog'!$J192-'ProductSprint Backlog'!$I192), AND('ProductSprint Backlog'!$J192=Q$2,'ProductSprint Backlog'!$I192=Q$2), 'ProductSprint Backlog'!$F192, TRUE, 0)</f>
        <v>0</v>
      </c>
    </row>
    <row r="193" spans="2:17" x14ac:dyDescent="0.2">
      <c r="B193" s="4" cm="1">
        <f t="array" ref="B193">_xlfn.IFS('ProductSprint Backlog'!$F193="", "", AND('ProductSprint Backlog'!$J193&gt;B$2,'ProductSprint Backlog'!$I193&lt;=B$2), 'ProductSprint Backlog'!$F193 / MAX(1, 'ProductSprint Backlog'!$J193-'ProductSprint Backlog'!$I193), AND('ProductSprint Backlog'!$J193=B$2,'ProductSprint Backlog'!$I193=B$2), 'ProductSprint Backlog'!$F193, TRUE, 0)</f>
        <v>0</v>
      </c>
      <c r="C193" s="4" cm="1">
        <f t="array" ref="C193">_xlfn.IFS('ProductSprint Backlog'!$F193="", "", AND('ProductSprint Backlog'!$J193&gt;C$2,'ProductSprint Backlog'!$I193&lt;=C$2), 'ProductSprint Backlog'!$F193 / MAX(1, 'ProductSprint Backlog'!$J193-'ProductSprint Backlog'!$I193), AND('ProductSprint Backlog'!$J193=C$2,'ProductSprint Backlog'!$I193=C$2), 'ProductSprint Backlog'!$F193, TRUE, 0)</f>
        <v>0</v>
      </c>
      <c r="D193" s="4" cm="1">
        <f t="array" ref="D193">_xlfn.IFS('ProductSprint Backlog'!$F193="", "", AND('ProductSprint Backlog'!$J193&gt;D$2,'ProductSprint Backlog'!$I193&lt;=D$2), 'ProductSprint Backlog'!$F193 / MAX(1, 'ProductSprint Backlog'!$J193-'ProductSprint Backlog'!$I193), AND('ProductSprint Backlog'!$J193=D$2,'ProductSprint Backlog'!$I193=D$2), 'ProductSprint Backlog'!$F193, TRUE, 0)</f>
        <v>0</v>
      </c>
      <c r="E193" s="4" cm="1">
        <f t="array" ref="E193">_xlfn.IFS('ProductSprint Backlog'!$F193="", "", AND('ProductSprint Backlog'!$J193&gt;E$2,'ProductSprint Backlog'!$I193&lt;=E$2), 'ProductSprint Backlog'!$F193 / MAX(1, 'ProductSprint Backlog'!$J193-'ProductSprint Backlog'!$I193), AND('ProductSprint Backlog'!$J193=E$2,'ProductSprint Backlog'!$I193=E$2), 'ProductSprint Backlog'!$F193, TRUE, 0)</f>
        <v>0</v>
      </c>
      <c r="F193" s="4" cm="1">
        <f t="array" ref="F193">_xlfn.IFS('ProductSprint Backlog'!$F193="", "", AND('ProductSprint Backlog'!$J193&gt;F$2,'ProductSprint Backlog'!$I193&lt;=F$2), 'ProductSprint Backlog'!$F193 / MAX(1, 'ProductSprint Backlog'!$J193-'ProductSprint Backlog'!$I193), AND('ProductSprint Backlog'!$J193=F$2,'ProductSprint Backlog'!$I193=F$2), 'ProductSprint Backlog'!$F193, TRUE, 0)</f>
        <v>0</v>
      </c>
      <c r="G193" s="4" cm="1">
        <f t="array" ref="G193">_xlfn.IFS('ProductSprint Backlog'!$F193="", "", AND('ProductSprint Backlog'!$J193&gt;G$2,'ProductSprint Backlog'!$I193&lt;=G$2), 'ProductSprint Backlog'!$F193 / MAX(1, 'ProductSprint Backlog'!$J193-'ProductSprint Backlog'!$I193), AND('ProductSprint Backlog'!$J193=G$2,'ProductSprint Backlog'!$I193=G$2), 'ProductSprint Backlog'!$F193, TRUE, 0)</f>
        <v>0</v>
      </c>
      <c r="H193" s="4" cm="1">
        <f t="array" ref="H193">_xlfn.IFS('ProductSprint Backlog'!$F193="", "", AND('ProductSprint Backlog'!$J193&gt;H$2,'ProductSprint Backlog'!$I193&lt;=H$2), 'ProductSprint Backlog'!$F193 / MAX(1, 'ProductSprint Backlog'!$J193-'ProductSprint Backlog'!$I193), AND('ProductSprint Backlog'!$J193=H$2,'ProductSprint Backlog'!$I193=H$2), 'ProductSprint Backlog'!$F193, TRUE, 0)</f>
        <v>0</v>
      </c>
      <c r="I193" s="4" cm="1">
        <f t="array" ref="I193">_xlfn.IFS('ProductSprint Backlog'!$F193="", "", AND('ProductSprint Backlog'!$J193&gt;I$2,'ProductSprint Backlog'!$I193&lt;=I$2), 'ProductSprint Backlog'!$F193 / MAX(1, 'ProductSprint Backlog'!$J193-'ProductSprint Backlog'!$I193), AND('ProductSprint Backlog'!$J193=I$2,'ProductSprint Backlog'!$I193=I$2), 'ProductSprint Backlog'!$F193, TRUE, 0)</f>
        <v>0</v>
      </c>
      <c r="J193" s="4" cm="1">
        <f t="array" ref="J193">_xlfn.IFS('ProductSprint Backlog'!$F193="", "", AND('ProductSprint Backlog'!$J193&gt;J$2,'ProductSprint Backlog'!$I193&lt;=J$2), 'ProductSprint Backlog'!$F193 / MAX(1, 'ProductSprint Backlog'!$J193-'ProductSprint Backlog'!$I193), AND('ProductSprint Backlog'!$J193=J$2,'ProductSprint Backlog'!$I193=J$2), 'ProductSprint Backlog'!$F193, TRUE, 0)</f>
        <v>0</v>
      </c>
      <c r="K193" s="4" cm="1">
        <f t="array" ref="K193">_xlfn.IFS('ProductSprint Backlog'!$F193="", "", AND('ProductSprint Backlog'!$J193&gt;K$2,'ProductSprint Backlog'!$I193&lt;=K$2), 'ProductSprint Backlog'!$F193 / MAX(1, 'ProductSprint Backlog'!$J193-'ProductSprint Backlog'!$I193), AND('ProductSprint Backlog'!$J193=K$2,'ProductSprint Backlog'!$I193=K$2), 'ProductSprint Backlog'!$F193, TRUE, 0)</f>
        <v>0</v>
      </c>
      <c r="L193" s="4" cm="1">
        <f t="array" ref="L193">_xlfn.IFS('ProductSprint Backlog'!$F193="", "", AND('ProductSprint Backlog'!$J193&gt;L$2,'ProductSprint Backlog'!$I193&lt;=L$2), 'ProductSprint Backlog'!$F193 / MAX(1, 'ProductSprint Backlog'!$J193-'ProductSprint Backlog'!$I193), AND('ProductSprint Backlog'!$J193=L$2,'ProductSprint Backlog'!$I193=L$2), 'ProductSprint Backlog'!$F193, TRUE, 0)</f>
        <v>0.2</v>
      </c>
      <c r="M193" s="4" cm="1">
        <f t="array" ref="M193">_xlfn.IFS('ProductSprint Backlog'!$F193="", "", AND('ProductSprint Backlog'!$J193&gt;M$2,'ProductSprint Backlog'!$I193&lt;=M$2), 'ProductSprint Backlog'!$F193 / MAX(1, 'ProductSprint Backlog'!$J193-'ProductSprint Backlog'!$I193), AND('ProductSprint Backlog'!$J193=M$2,'ProductSprint Backlog'!$I193=M$2), 'ProductSprint Backlog'!$F193, TRUE, 0)</f>
        <v>0.2</v>
      </c>
      <c r="N193" s="4" cm="1">
        <f t="array" ref="N193">_xlfn.IFS('ProductSprint Backlog'!$F193="", "", AND('ProductSprint Backlog'!$J193&gt;N$2,'ProductSprint Backlog'!$I193&lt;=N$2), 'ProductSprint Backlog'!$F193 / MAX(1, 'ProductSprint Backlog'!$J193-'ProductSprint Backlog'!$I193), AND('ProductSprint Backlog'!$J193=N$2,'ProductSprint Backlog'!$I193=N$2), 'ProductSprint Backlog'!$F193, TRUE, 0)</f>
        <v>0.2</v>
      </c>
      <c r="O193" s="4" cm="1">
        <f t="array" ref="O193">_xlfn.IFS('ProductSprint Backlog'!$F193="", "", AND('ProductSprint Backlog'!$J193&gt;O$2,'ProductSprint Backlog'!$I193&lt;=O$2), 'ProductSprint Backlog'!$F193 / MAX(1, 'ProductSprint Backlog'!$J193-'ProductSprint Backlog'!$I193), AND('ProductSprint Backlog'!$J193=O$2,'ProductSprint Backlog'!$I193=O$2), 'ProductSprint Backlog'!$F193, TRUE, 0)</f>
        <v>0.2</v>
      </c>
      <c r="P193" s="4" cm="1">
        <f t="array" ref="P193">_xlfn.IFS('ProductSprint Backlog'!$F193="", "", AND('ProductSprint Backlog'!$J193&gt;P$2,'ProductSprint Backlog'!$I193&lt;=P$2), 'ProductSprint Backlog'!$F193 / MAX(1, 'ProductSprint Backlog'!$J193-'ProductSprint Backlog'!$I193), AND('ProductSprint Backlog'!$J193=P$2,'ProductSprint Backlog'!$I193=P$2), 'ProductSprint Backlog'!$F193, TRUE, 0)</f>
        <v>0.2</v>
      </c>
      <c r="Q193" s="4" cm="1">
        <f t="array" ref="Q193">_xlfn.IFS('ProductSprint Backlog'!$F193="", "", AND('ProductSprint Backlog'!$J193&gt;Q$2,'ProductSprint Backlog'!$I193&lt;=Q$2), 'ProductSprint Backlog'!$F193 / MAX(1, 'ProductSprint Backlog'!$J193-'ProductSprint Backlog'!$I193), AND('ProductSprint Backlog'!$J193=Q$2,'ProductSprint Backlog'!$I193=Q$2), 'ProductSprint Backlog'!$F193, TRUE, 0)</f>
        <v>0</v>
      </c>
    </row>
    <row r="194" spans="2:17" x14ac:dyDescent="0.2">
      <c r="B194" s="4" cm="1">
        <f t="array" ref="B194">_xlfn.IFS('ProductSprint Backlog'!$F194="", "", AND('ProductSprint Backlog'!$J194&gt;B$2,'ProductSprint Backlog'!$I194&lt;=B$2), 'ProductSprint Backlog'!$F194 / MAX(1, 'ProductSprint Backlog'!$J194-'ProductSprint Backlog'!$I194), AND('ProductSprint Backlog'!$J194=B$2,'ProductSprint Backlog'!$I194=B$2), 'ProductSprint Backlog'!$F194, TRUE, 0)</f>
        <v>0</v>
      </c>
      <c r="C194" s="4" cm="1">
        <f t="array" ref="C194">_xlfn.IFS('ProductSprint Backlog'!$F194="", "", AND('ProductSprint Backlog'!$J194&gt;C$2,'ProductSprint Backlog'!$I194&lt;=C$2), 'ProductSprint Backlog'!$F194 / MAX(1, 'ProductSprint Backlog'!$J194-'ProductSprint Backlog'!$I194), AND('ProductSprint Backlog'!$J194=C$2,'ProductSprint Backlog'!$I194=C$2), 'ProductSprint Backlog'!$F194, TRUE, 0)</f>
        <v>0</v>
      </c>
      <c r="D194" s="4" cm="1">
        <f t="array" ref="D194">_xlfn.IFS('ProductSprint Backlog'!$F194="", "", AND('ProductSprint Backlog'!$J194&gt;D$2,'ProductSprint Backlog'!$I194&lt;=D$2), 'ProductSprint Backlog'!$F194 / MAX(1, 'ProductSprint Backlog'!$J194-'ProductSprint Backlog'!$I194), AND('ProductSprint Backlog'!$J194=D$2,'ProductSprint Backlog'!$I194=D$2), 'ProductSprint Backlog'!$F194, TRUE, 0)</f>
        <v>0</v>
      </c>
      <c r="E194" s="4" cm="1">
        <f t="array" ref="E194">_xlfn.IFS('ProductSprint Backlog'!$F194="", "", AND('ProductSprint Backlog'!$J194&gt;E$2,'ProductSprint Backlog'!$I194&lt;=E$2), 'ProductSprint Backlog'!$F194 / MAX(1, 'ProductSprint Backlog'!$J194-'ProductSprint Backlog'!$I194), AND('ProductSprint Backlog'!$J194=E$2,'ProductSprint Backlog'!$I194=E$2), 'ProductSprint Backlog'!$F194, TRUE, 0)</f>
        <v>0</v>
      </c>
      <c r="F194" s="4" cm="1">
        <f t="array" ref="F194">_xlfn.IFS('ProductSprint Backlog'!$F194="", "", AND('ProductSprint Backlog'!$J194&gt;F$2,'ProductSprint Backlog'!$I194&lt;=F$2), 'ProductSprint Backlog'!$F194 / MAX(1, 'ProductSprint Backlog'!$J194-'ProductSprint Backlog'!$I194), AND('ProductSprint Backlog'!$J194=F$2,'ProductSprint Backlog'!$I194=F$2), 'ProductSprint Backlog'!$F194, TRUE, 0)</f>
        <v>0</v>
      </c>
      <c r="G194" s="4" cm="1">
        <f t="array" ref="G194">_xlfn.IFS('ProductSprint Backlog'!$F194="", "", AND('ProductSprint Backlog'!$J194&gt;G$2,'ProductSprint Backlog'!$I194&lt;=G$2), 'ProductSprint Backlog'!$F194 / MAX(1, 'ProductSprint Backlog'!$J194-'ProductSprint Backlog'!$I194), AND('ProductSprint Backlog'!$J194=G$2,'ProductSprint Backlog'!$I194=G$2), 'ProductSprint Backlog'!$F194, TRUE, 0)</f>
        <v>0</v>
      </c>
      <c r="H194" s="4" cm="1">
        <f t="array" ref="H194">_xlfn.IFS('ProductSprint Backlog'!$F194="", "", AND('ProductSprint Backlog'!$J194&gt;H$2,'ProductSprint Backlog'!$I194&lt;=H$2), 'ProductSprint Backlog'!$F194 / MAX(1, 'ProductSprint Backlog'!$J194-'ProductSprint Backlog'!$I194), AND('ProductSprint Backlog'!$J194=H$2,'ProductSprint Backlog'!$I194=H$2), 'ProductSprint Backlog'!$F194, TRUE, 0)</f>
        <v>0</v>
      </c>
      <c r="I194" s="4" cm="1">
        <f t="array" ref="I194">_xlfn.IFS('ProductSprint Backlog'!$F194="", "", AND('ProductSprint Backlog'!$J194&gt;I$2,'ProductSprint Backlog'!$I194&lt;=I$2), 'ProductSprint Backlog'!$F194 / MAX(1, 'ProductSprint Backlog'!$J194-'ProductSprint Backlog'!$I194), AND('ProductSprint Backlog'!$J194=I$2,'ProductSprint Backlog'!$I194=I$2), 'ProductSprint Backlog'!$F194, TRUE, 0)</f>
        <v>0</v>
      </c>
      <c r="J194" s="4" cm="1">
        <f t="array" ref="J194">_xlfn.IFS('ProductSprint Backlog'!$F194="", "", AND('ProductSprint Backlog'!$J194&gt;J$2,'ProductSprint Backlog'!$I194&lt;=J$2), 'ProductSprint Backlog'!$F194 / MAX(1, 'ProductSprint Backlog'!$J194-'ProductSprint Backlog'!$I194), AND('ProductSprint Backlog'!$J194=J$2,'ProductSprint Backlog'!$I194=J$2), 'ProductSprint Backlog'!$F194, TRUE, 0)</f>
        <v>0</v>
      </c>
      <c r="K194" s="4" cm="1">
        <f t="array" ref="K194">_xlfn.IFS('ProductSprint Backlog'!$F194="", "", AND('ProductSprint Backlog'!$J194&gt;K$2,'ProductSprint Backlog'!$I194&lt;=K$2), 'ProductSprint Backlog'!$F194 / MAX(1, 'ProductSprint Backlog'!$J194-'ProductSprint Backlog'!$I194), AND('ProductSprint Backlog'!$J194=K$2,'ProductSprint Backlog'!$I194=K$2), 'ProductSprint Backlog'!$F194, TRUE, 0)</f>
        <v>0</v>
      </c>
      <c r="L194" s="4" cm="1">
        <f t="array" ref="L194">_xlfn.IFS('ProductSprint Backlog'!$F194="", "", AND('ProductSprint Backlog'!$J194&gt;L$2,'ProductSprint Backlog'!$I194&lt;=L$2), 'ProductSprint Backlog'!$F194 / MAX(1, 'ProductSprint Backlog'!$J194-'ProductSprint Backlog'!$I194), AND('ProductSprint Backlog'!$J194=L$2,'ProductSprint Backlog'!$I194=L$2), 'ProductSprint Backlog'!$F194, TRUE, 0)</f>
        <v>0.2</v>
      </c>
      <c r="M194" s="4" cm="1">
        <f t="array" ref="M194">_xlfn.IFS('ProductSprint Backlog'!$F194="", "", AND('ProductSprint Backlog'!$J194&gt;M$2,'ProductSprint Backlog'!$I194&lt;=M$2), 'ProductSprint Backlog'!$F194 / MAX(1, 'ProductSprint Backlog'!$J194-'ProductSprint Backlog'!$I194), AND('ProductSprint Backlog'!$J194=M$2,'ProductSprint Backlog'!$I194=M$2), 'ProductSprint Backlog'!$F194, TRUE, 0)</f>
        <v>0.2</v>
      </c>
      <c r="N194" s="4" cm="1">
        <f t="array" ref="N194">_xlfn.IFS('ProductSprint Backlog'!$F194="", "", AND('ProductSprint Backlog'!$J194&gt;N$2,'ProductSprint Backlog'!$I194&lt;=N$2), 'ProductSprint Backlog'!$F194 / MAX(1, 'ProductSprint Backlog'!$J194-'ProductSprint Backlog'!$I194), AND('ProductSprint Backlog'!$J194=N$2,'ProductSprint Backlog'!$I194=N$2), 'ProductSprint Backlog'!$F194, TRUE, 0)</f>
        <v>0.2</v>
      </c>
      <c r="O194" s="4" cm="1">
        <f t="array" ref="O194">_xlfn.IFS('ProductSprint Backlog'!$F194="", "", AND('ProductSprint Backlog'!$J194&gt;O$2,'ProductSprint Backlog'!$I194&lt;=O$2), 'ProductSprint Backlog'!$F194 / MAX(1, 'ProductSprint Backlog'!$J194-'ProductSprint Backlog'!$I194), AND('ProductSprint Backlog'!$J194=O$2,'ProductSprint Backlog'!$I194=O$2), 'ProductSprint Backlog'!$F194, TRUE, 0)</f>
        <v>0.2</v>
      </c>
      <c r="P194" s="4" cm="1">
        <f t="array" ref="P194">_xlfn.IFS('ProductSprint Backlog'!$F194="", "", AND('ProductSprint Backlog'!$J194&gt;P$2,'ProductSprint Backlog'!$I194&lt;=P$2), 'ProductSprint Backlog'!$F194 / MAX(1, 'ProductSprint Backlog'!$J194-'ProductSprint Backlog'!$I194), AND('ProductSprint Backlog'!$J194=P$2,'ProductSprint Backlog'!$I194=P$2), 'ProductSprint Backlog'!$F194, TRUE, 0)</f>
        <v>0.2</v>
      </c>
      <c r="Q194" s="4" cm="1">
        <f t="array" ref="Q194">_xlfn.IFS('ProductSprint Backlog'!$F194="", "", AND('ProductSprint Backlog'!$J194&gt;Q$2,'ProductSprint Backlog'!$I194&lt;=Q$2), 'ProductSprint Backlog'!$F194 / MAX(1, 'ProductSprint Backlog'!$J194-'ProductSprint Backlog'!$I194), AND('ProductSprint Backlog'!$J194=Q$2,'ProductSprint Backlog'!$I194=Q$2), 'ProductSprint Backlog'!$F194, TRUE, 0)</f>
        <v>0</v>
      </c>
    </row>
    <row r="195" spans="2:17" x14ac:dyDescent="0.2">
      <c r="B195" s="4" cm="1">
        <f t="array" ref="B195">_xlfn.IFS('ProductSprint Backlog'!$F195="", "", AND('ProductSprint Backlog'!$J195&gt;B$2,'ProductSprint Backlog'!$I195&lt;=B$2), 'ProductSprint Backlog'!$F195 / MAX(1, 'ProductSprint Backlog'!$J195-'ProductSprint Backlog'!$I195), AND('ProductSprint Backlog'!$J195=B$2,'ProductSprint Backlog'!$I195=B$2), 'ProductSprint Backlog'!$F195, TRUE, 0)</f>
        <v>0</v>
      </c>
      <c r="C195" s="4" cm="1">
        <f t="array" ref="C195">_xlfn.IFS('ProductSprint Backlog'!$F195="", "", AND('ProductSprint Backlog'!$J195&gt;C$2,'ProductSprint Backlog'!$I195&lt;=C$2), 'ProductSprint Backlog'!$F195 / MAX(1, 'ProductSprint Backlog'!$J195-'ProductSprint Backlog'!$I195), AND('ProductSprint Backlog'!$J195=C$2,'ProductSprint Backlog'!$I195=C$2), 'ProductSprint Backlog'!$F195, TRUE, 0)</f>
        <v>0</v>
      </c>
      <c r="D195" s="4" cm="1">
        <f t="array" ref="D195">_xlfn.IFS('ProductSprint Backlog'!$F195="", "", AND('ProductSprint Backlog'!$J195&gt;D$2,'ProductSprint Backlog'!$I195&lt;=D$2), 'ProductSprint Backlog'!$F195 / MAX(1, 'ProductSprint Backlog'!$J195-'ProductSprint Backlog'!$I195), AND('ProductSprint Backlog'!$J195=D$2,'ProductSprint Backlog'!$I195=D$2), 'ProductSprint Backlog'!$F195, TRUE, 0)</f>
        <v>0</v>
      </c>
      <c r="E195" s="4" cm="1">
        <f t="array" ref="E195">_xlfn.IFS('ProductSprint Backlog'!$F195="", "", AND('ProductSprint Backlog'!$J195&gt;E$2,'ProductSprint Backlog'!$I195&lt;=E$2), 'ProductSprint Backlog'!$F195 / MAX(1, 'ProductSprint Backlog'!$J195-'ProductSprint Backlog'!$I195), AND('ProductSprint Backlog'!$J195=E$2,'ProductSprint Backlog'!$I195=E$2), 'ProductSprint Backlog'!$F195, TRUE, 0)</f>
        <v>0</v>
      </c>
      <c r="F195" s="4" cm="1">
        <f t="array" ref="F195">_xlfn.IFS('ProductSprint Backlog'!$F195="", "", AND('ProductSprint Backlog'!$J195&gt;F$2,'ProductSprint Backlog'!$I195&lt;=F$2), 'ProductSprint Backlog'!$F195 / MAX(1, 'ProductSprint Backlog'!$J195-'ProductSprint Backlog'!$I195), AND('ProductSprint Backlog'!$J195=F$2,'ProductSprint Backlog'!$I195=F$2), 'ProductSprint Backlog'!$F195, TRUE, 0)</f>
        <v>0</v>
      </c>
      <c r="G195" s="4" cm="1">
        <f t="array" ref="G195">_xlfn.IFS('ProductSprint Backlog'!$F195="", "", AND('ProductSprint Backlog'!$J195&gt;G$2,'ProductSprint Backlog'!$I195&lt;=G$2), 'ProductSprint Backlog'!$F195 / MAX(1, 'ProductSprint Backlog'!$J195-'ProductSprint Backlog'!$I195), AND('ProductSprint Backlog'!$J195=G$2,'ProductSprint Backlog'!$I195=G$2), 'ProductSprint Backlog'!$F195, TRUE, 0)</f>
        <v>0</v>
      </c>
      <c r="H195" s="4" cm="1">
        <f t="array" ref="H195">_xlfn.IFS('ProductSprint Backlog'!$F195="", "", AND('ProductSprint Backlog'!$J195&gt;H$2,'ProductSprint Backlog'!$I195&lt;=H$2), 'ProductSprint Backlog'!$F195 / MAX(1, 'ProductSprint Backlog'!$J195-'ProductSprint Backlog'!$I195), AND('ProductSprint Backlog'!$J195=H$2,'ProductSprint Backlog'!$I195=H$2), 'ProductSprint Backlog'!$F195, TRUE, 0)</f>
        <v>0</v>
      </c>
      <c r="I195" s="4" cm="1">
        <f t="array" ref="I195">_xlfn.IFS('ProductSprint Backlog'!$F195="", "", AND('ProductSprint Backlog'!$J195&gt;I$2,'ProductSprint Backlog'!$I195&lt;=I$2), 'ProductSprint Backlog'!$F195 / MAX(1, 'ProductSprint Backlog'!$J195-'ProductSprint Backlog'!$I195), AND('ProductSprint Backlog'!$J195=I$2,'ProductSprint Backlog'!$I195=I$2), 'ProductSprint Backlog'!$F195, TRUE, 0)</f>
        <v>0</v>
      </c>
      <c r="J195" s="4" cm="1">
        <f t="array" ref="J195">_xlfn.IFS('ProductSprint Backlog'!$F195="", "", AND('ProductSprint Backlog'!$J195&gt;J$2,'ProductSprint Backlog'!$I195&lt;=J$2), 'ProductSprint Backlog'!$F195 / MAX(1, 'ProductSprint Backlog'!$J195-'ProductSprint Backlog'!$I195), AND('ProductSprint Backlog'!$J195=J$2,'ProductSprint Backlog'!$I195=J$2), 'ProductSprint Backlog'!$F195, TRUE, 0)</f>
        <v>0</v>
      </c>
      <c r="K195" s="4" cm="1">
        <f t="array" ref="K195">_xlfn.IFS('ProductSprint Backlog'!$F195="", "", AND('ProductSprint Backlog'!$J195&gt;K$2,'ProductSprint Backlog'!$I195&lt;=K$2), 'ProductSprint Backlog'!$F195 / MAX(1, 'ProductSprint Backlog'!$J195-'ProductSprint Backlog'!$I195), AND('ProductSprint Backlog'!$J195=K$2,'ProductSprint Backlog'!$I195=K$2), 'ProductSprint Backlog'!$F195, TRUE, 0)</f>
        <v>0</v>
      </c>
      <c r="L195" s="4" cm="1">
        <f t="array" ref="L195">_xlfn.IFS('ProductSprint Backlog'!$F195="", "", AND('ProductSprint Backlog'!$J195&gt;L$2,'ProductSprint Backlog'!$I195&lt;=L$2), 'ProductSprint Backlog'!$F195 / MAX(1, 'ProductSprint Backlog'!$J195-'ProductSprint Backlog'!$I195), AND('ProductSprint Backlog'!$J195=L$2,'ProductSprint Backlog'!$I195=L$2), 'ProductSprint Backlog'!$F195, TRUE, 0)</f>
        <v>0.2</v>
      </c>
      <c r="M195" s="4" cm="1">
        <f t="array" ref="M195">_xlfn.IFS('ProductSprint Backlog'!$F195="", "", AND('ProductSprint Backlog'!$J195&gt;M$2,'ProductSprint Backlog'!$I195&lt;=M$2), 'ProductSprint Backlog'!$F195 / MAX(1, 'ProductSprint Backlog'!$J195-'ProductSprint Backlog'!$I195), AND('ProductSprint Backlog'!$J195=M$2,'ProductSprint Backlog'!$I195=M$2), 'ProductSprint Backlog'!$F195, TRUE, 0)</f>
        <v>0.2</v>
      </c>
      <c r="N195" s="4" cm="1">
        <f t="array" ref="N195">_xlfn.IFS('ProductSprint Backlog'!$F195="", "", AND('ProductSprint Backlog'!$J195&gt;N$2,'ProductSprint Backlog'!$I195&lt;=N$2), 'ProductSprint Backlog'!$F195 / MAX(1, 'ProductSprint Backlog'!$J195-'ProductSprint Backlog'!$I195), AND('ProductSprint Backlog'!$J195=N$2,'ProductSprint Backlog'!$I195=N$2), 'ProductSprint Backlog'!$F195, TRUE, 0)</f>
        <v>0.2</v>
      </c>
      <c r="O195" s="4" cm="1">
        <f t="array" ref="O195">_xlfn.IFS('ProductSprint Backlog'!$F195="", "", AND('ProductSprint Backlog'!$J195&gt;O$2,'ProductSprint Backlog'!$I195&lt;=O$2), 'ProductSprint Backlog'!$F195 / MAX(1, 'ProductSprint Backlog'!$J195-'ProductSprint Backlog'!$I195), AND('ProductSprint Backlog'!$J195=O$2,'ProductSprint Backlog'!$I195=O$2), 'ProductSprint Backlog'!$F195, TRUE, 0)</f>
        <v>0.2</v>
      </c>
      <c r="P195" s="4" cm="1">
        <f t="array" ref="P195">_xlfn.IFS('ProductSprint Backlog'!$F195="", "", AND('ProductSprint Backlog'!$J195&gt;P$2,'ProductSprint Backlog'!$I195&lt;=P$2), 'ProductSprint Backlog'!$F195 / MAX(1, 'ProductSprint Backlog'!$J195-'ProductSprint Backlog'!$I195), AND('ProductSprint Backlog'!$J195=P$2,'ProductSprint Backlog'!$I195=P$2), 'ProductSprint Backlog'!$F195, TRUE, 0)</f>
        <v>0.2</v>
      </c>
      <c r="Q195" s="4" cm="1">
        <f t="array" ref="Q195">_xlfn.IFS('ProductSprint Backlog'!$F195="", "", AND('ProductSprint Backlog'!$J195&gt;Q$2,'ProductSprint Backlog'!$I195&lt;=Q$2), 'ProductSprint Backlog'!$F195 / MAX(1, 'ProductSprint Backlog'!$J195-'ProductSprint Backlog'!$I195), AND('ProductSprint Backlog'!$J195=Q$2,'ProductSprint Backlog'!$I195=Q$2), 'ProductSprint Backlog'!$F195, TRUE, 0)</f>
        <v>0</v>
      </c>
    </row>
    <row r="196" spans="2:17" x14ac:dyDescent="0.2">
      <c r="B196" s="4" cm="1">
        <f t="array" ref="B196">_xlfn.IFS('ProductSprint Backlog'!$F196="", "", AND('ProductSprint Backlog'!$J196&gt;B$2,'ProductSprint Backlog'!$I196&lt;=B$2), 'ProductSprint Backlog'!$F196 / MAX(1, 'ProductSprint Backlog'!$J196-'ProductSprint Backlog'!$I196), AND('ProductSprint Backlog'!$J196=B$2,'ProductSprint Backlog'!$I196=B$2), 'ProductSprint Backlog'!$F196, TRUE, 0)</f>
        <v>0</v>
      </c>
      <c r="C196" s="4" cm="1">
        <f t="array" ref="C196">_xlfn.IFS('ProductSprint Backlog'!$F196="", "", AND('ProductSprint Backlog'!$J196&gt;C$2,'ProductSprint Backlog'!$I196&lt;=C$2), 'ProductSprint Backlog'!$F196 / MAX(1, 'ProductSprint Backlog'!$J196-'ProductSprint Backlog'!$I196), AND('ProductSprint Backlog'!$J196=C$2,'ProductSprint Backlog'!$I196=C$2), 'ProductSprint Backlog'!$F196, TRUE, 0)</f>
        <v>0</v>
      </c>
      <c r="D196" s="4" cm="1">
        <f t="array" ref="D196">_xlfn.IFS('ProductSprint Backlog'!$F196="", "", AND('ProductSprint Backlog'!$J196&gt;D$2,'ProductSprint Backlog'!$I196&lt;=D$2), 'ProductSprint Backlog'!$F196 / MAX(1, 'ProductSprint Backlog'!$J196-'ProductSprint Backlog'!$I196), AND('ProductSprint Backlog'!$J196=D$2,'ProductSprint Backlog'!$I196=D$2), 'ProductSprint Backlog'!$F196, TRUE, 0)</f>
        <v>0</v>
      </c>
      <c r="E196" s="4" cm="1">
        <f t="array" ref="E196">_xlfn.IFS('ProductSprint Backlog'!$F196="", "", AND('ProductSprint Backlog'!$J196&gt;E$2,'ProductSprint Backlog'!$I196&lt;=E$2), 'ProductSprint Backlog'!$F196 / MAX(1, 'ProductSprint Backlog'!$J196-'ProductSprint Backlog'!$I196), AND('ProductSprint Backlog'!$J196=E$2,'ProductSprint Backlog'!$I196=E$2), 'ProductSprint Backlog'!$F196, TRUE, 0)</f>
        <v>0</v>
      </c>
      <c r="F196" s="4" cm="1">
        <f t="array" ref="F196">_xlfn.IFS('ProductSprint Backlog'!$F196="", "", AND('ProductSprint Backlog'!$J196&gt;F$2,'ProductSprint Backlog'!$I196&lt;=F$2), 'ProductSprint Backlog'!$F196 / MAX(1, 'ProductSprint Backlog'!$J196-'ProductSprint Backlog'!$I196), AND('ProductSprint Backlog'!$J196=F$2,'ProductSprint Backlog'!$I196=F$2), 'ProductSprint Backlog'!$F196, TRUE, 0)</f>
        <v>0</v>
      </c>
      <c r="G196" s="4" cm="1">
        <f t="array" ref="G196">_xlfn.IFS('ProductSprint Backlog'!$F196="", "", AND('ProductSprint Backlog'!$J196&gt;G$2,'ProductSprint Backlog'!$I196&lt;=G$2), 'ProductSprint Backlog'!$F196 / MAX(1, 'ProductSprint Backlog'!$J196-'ProductSprint Backlog'!$I196), AND('ProductSprint Backlog'!$J196=G$2,'ProductSprint Backlog'!$I196=G$2), 'ProductSprint Backlog'!$F196, TRUE, 0)</f>
        <v>0</v>
      </c>
      <c r="H196" s="4" cm="1">
        <f t="array" ref="H196">_xlfn.IFS('ProductSprint Backlog'!$F196="", "", AND('ProductSprint Backlog'!$J196&gt;H$2,'ProductSprint Backlog'!$I196&lt;=H$2), 'ProductSprint Backlog'!$F196 / MAX(1, 'ProductSprint Backlog'!$J196-'ProductSprint Backlog'!$I196), AND('ProductSprint Backlog'!$J196=H$2,'ProductSprint Backlog'!$I196=H$2), 'ProductSprint Backlog'!$F196, TRUE, 0)</f>
        <v>0</v>
      </c>
      <c r="I196" s="4" cm="1">
        <f t="array" ref="I196">_xlfn.IFS('ProductSprint Backlog'!$F196="", "", AND('ProductSprint Backlog'!$J196&gt;I$2,'ProductSprint Backlog'!$I196&lt;=I$2), 'ProductSprint Backlog'!$F196 / MAX(1, 'ProductSprint Backlog'!$J196-'ProductSprint Backlog'!$I196), AND('ProductSprint Backlog'!$J196=I$2,'ProductSprint Backlog'!$I196=I$2), 'ProductSprint Backlog'!$F196, TRUE, 0)</f>
        <v>0</v>
      </c>
      <c r="J196" s="4" cm="1">
        <f t="array" ref="J196">_xlfn.IFS('ProductSprint Backlog'!$F196="", "", AND('ProductSprint Backlog'!$J196&gt;J$2,'ProductSprint Backlog'!$I196&lt;=J$2), 'ProductSprint Backlog'!$F196 / MAX(1, 'ProductSprint Backlog'!$J196-'ProductSprint Backlog'!$I196), AND('ProductSprint Backlog'!$J196=J$2,'ProductSprint Backlog'!$I196=J$2), 'ProductSprint Backlog'!$F196, TRUE, 0)</f>
        <v>0</v>
      </c>
      <c r="K196" s="4" cm="1">
        <f t="array" ref="K196">_xlfn.IFS('ProductSprint Backlog'!$F196="", "", AND('ProductSprint Backlog'!$J196&gt;K$2,'ProductSprint Backlog'!$I196&lt;=K$2), 'ProductSprint Backlog'!$F196 / MAX(1, 'ProductSprint Backlog'!$J196-'ProductSprint Backlog'!$I196), AND('ProductSprint Backlog'!$J196=K$2,'ProductSprint Backlog'!$I196=K$2), 'ProductSprint Backlog'!$F196, TRUE, 0)</f>
        <v>0</v>
      </c>
      <c r="L196" s="4" cm="1">
        <f t="array" ref="L196">_xlfn.IFS('ProductSprint Backlog'!$F196="", "", AND('ProductSprint Backlog'!$J196&gt;L$2,'ProductSprint Backlog'!$I196&lt;=L$2), 'ProductSprint Backlog'!$F196 / MAX(1, 'ProductSprint Backlog'!$J196-'ProductSprint Backlog'!$I196), AND('ProductSprint Backlog'!$J196=L$2,'ProductSprint Backlog'!$I196=L$2), 'ProductSprint Backlog'!$F196, TRUE, 0)</f>
        <v>0.2</v>
      </c>
      <c r="M196" s="4" cm="1">
        <f t="array" ref="M196">_xlfn.IFS('ProductSprint Backlog'!$F196="", "", AND('ProductSprint Backlog'!$J196&gt;M$2,'ProductSprint Backlog'!$I196&lt;=M$2), 'ProductSprint Backlog'!$F196 / MAX(1, 'ProductSprint Backlog'!$J196-'ProductSprint Backlog'!$I196), AND('ProductSprint Backlog'!$J196=M$2,'ProductSprint Backlog'!$I196=M$2), 'ProductSprint Backlog'!$F196, TRUE, 0)</f>
        <v>0.2</v>
      </c>
      <c r="N196" s="4" cm="1">
        <f t="array" ref="N196">_xlfn.IFS('ProductSprint Backlog'!$F196="", "", AND('ProductSprint Backlog'!$J196&gt;N$2,'ProductSprint Backlog'!$I196&lt;=N$2), 'ProductSprint Backlog'!$F196 / MAX(1, 'ProductSprint Backlog'!$J196-'ProductSprint Backlog'!$I196), AND('ProductSprint Backlog'!$J196=N$2,'ProductSprint Backlog'!$I196=N$2), 'ProductSprint Backlog'!$F196, TRUE, 0)</f>
        <v>0.2</v>
      </c>
      <c r="O196" s="4" cm="1">
        <f t="array" ref="O196">_xlfn.IFS('ProductSprint Backlog'!$F196="", "", AND('ProductSprint Backlog'!$J196&gt;O$2,'ProductSprint Backlog'!$I196&lt;=O$2), 'ProductSprint Backlog'!$F196 / MAX(1, 'ProductSprint Backlog'!$J196-'ProductSprint Backlog'!$I196), AND('ProductSprint Backlog'!$J196=O$2,'ProductSprint Backlog'!$I196=O$2), 'ProductSprint Backlog'!$F196, TRUE, 0)</f>
        <v>0.2</v>
      </c>
      <c r="P196" s="4" cm="1">
        <f t="array" ref="P196">_xlfn.IFS('ProductSprint Backlog'!$F196="", "", AND('ProductSprint Backlog'!$J196&gt;P$2,'ProductSprint Backlog'!$I196&lt;=P$2), 'ProductSprint Backlog'!$F196 / MAX(1, 'ProductSprint Backlog'!$J196-'ProductSprint Backlog'!$I196), AND('ProductSprint Backlog'!$J196=P$2,'ProductSprint Backlog'!$I196=P$2), 'ProductSprint Backlog'!$F196, TRUE, 0)</f>
        <v>0.2</v>
      </c>
      <c r="Q196" s="4" cm="1">
        <f t="array" ref="Q196">_xlfn.IFS('ProductSprint Backlog'!$F196="", "", AND('ProductSprint Backlog'!$J196&gt;Q$2,'ProductSprint Backlog'!$I196&lt;=Q$2), 'ProductSprint Backlog'!$F196 / MAX(1, 'ProductSprint Backlog'!$J196-'ProductSprint Backlog'!$I196), AND('ProductSprint Backlog'!$J196=Q$2,'ProductSprint Backlog'!$I196=Q$2), 'ProductSprint Backlog'!$F196, TRUE, 0)</f>
        <v>0</v>
      </c>
    </row>
    <row r="197" spans="2:17" x14ac:dyDescent="0.2">
      <c r="B197" s="4" cm="1">
        <f t="array" ref="B197">_xlfn.IFS('ProductSprint Backlog'!$F197="", "", AND('ProductSprint Backlog'!$J197&gt;B$2,'ProductSprint Backlog'!$I197&lt;=B$2), 'ProductSprint Backlog'!$F197 / MAX(1, 'ProductSprint Backlog'!$J197-'ProductSprint Backlog'!$I197), AND('ProductSprint Backlog'!$J197=B$2,'ProductSprint Backlog'!$I197=B$2), 'ProductSprint Backlog'!$F197, TRUE, 0)</f>
        <v>1</v>
      </c>
      <c r="C197" s="4" cm="1">
        <f t="array" ref="C197">_xlfn.IFS('ProductSprint Backlog'!$F197="", "", AND('ProductSprint Backlog'!$J197&gt;C$2,'ProductSprint Backlog'!$I197&lt;=C$2), 'ProductSprint Backlog'!$F197 / MAX(1, 'ProductSprint Backlog'!$J197-'ProductSprint Backlog'!$I197), AND('ProductSprint Backlog'!$J197=C$2,'ProductSprint Backlog'!$I197=C$2), 'ProductSprint Backlog'!$F197, TRUE, 0)</f>
        <v>1</v>
      </c>
      <c r="D197" s="4" cm="1">
        <f t="array" ref="D197">_xlfn.IFS('ProductSprint Backlog'!$F197="", "", AND('ProductSprint Backlog'!$J197&gt;D$2,'ProductSprint Backlog'!$I197&lt;=D$2), 'ProductSprint Backlog'!$F197 / MAX(1, 'ProductSprint Backlog'!$J197-'ProductSprint Backlog'!$I197), AND('ProductSprint Backlog'!$J197=D$2,'ProductSprint Backlog'!$I197=D$2), 'ProductSprint Backlog'!$F197, TRUE, 0)</f>
        <v>1</v>
      </c>
      <c r="E197" s="4" cm="1">
        <f t="array" ref="E197">_xlfn.IFS('ProductSprint Backlog'!$F197="", "", AND('ProductSprint Backlog'!$J197&gt;E$2,'ProductSprint Backlog'!$I197&lt;=E$2), 'ProductSprint Backlog'!$F197 / MAX(1, 'ProductSprint Backlog'!$J197-'ProductSprint Backlog'!$I197), AND('ProductSprint Backlog'!$J197=E$2,'ProductSprint Backlog'!$I197=E$2), 'ProductSprint Backlog'!$F197, TRUE, 0)</f>
        <v>1</v>
      </c>
      <c r="F197" s="4" cm="1">
        <f t="array" ref="F197">_xlfn.IFS('ProductSprint Backlog'!$F197="", "", AND('ProductSprint Backlog'!$J197&gt;F$2,'ProductSprint Backlog'!$I197&lt;=F$2), 'ProductSprint Backlog'!$F197 / MAX(1, 'ProductSprint Backlog'!$J197-'ProductSprint Backlog'!$I197), AND('ProductSprint Backlog'!$J197=F$2,'ProductSprint Backlog'!$I197=F$2), 'ProductSprint Backlog'!$F197, TRUE, 0)</f>
        <v>0</v>
      </c>
      <c r="G197" s="4" cm="1">
        <f t="array" ref="G197">_xlfn.IFS('ProductSprint Backlog'!$F197="", "", AND('ProductSprint Backlog'!$J197&gt;G$2,'ProductSprint Backlog'!$I197&lt;=G$2), 'ProductSprint Backlog'!$F197 / MAX(1, 'ProductSprint Backlog'!$J197-'ProductSprint Backlog'!$I197), AND('ProductSprint Backlog'!$J197=G$2,'ProductSprint Backlog'!$I197=G$2), 'ProductSprint Backlog'!$F197, TRUE, 0)</f>
        <v>0</v>
      </c>
      <c r="H197" s="4" cm="1">
        <f t="array" ref="H197">_xlfn.IFS('ProductSprint Backlog'!$F197="", "", AND('ProductSprint Backlog'!$J197&gt;H$2,'ProductSprint Backlog'!$I197&lt;=H$2), 'ProductSprint Backlog'!$F197 / MAX(1, 'ProductSprint Backlog'!$J197-'ProductSprint Backlog'!$I197), AND('ProductSprint Backlog'!$J197=H$2,'ProductSprint Backlog'!$I197=H$2), 'ProductSprint Backlog'!$F197, TRUE, 0)</f>
        <v>0</v>
      </c>
      <c r="I197" s="4" cm="1">
        <f t="array" ref="I197">_xlfn.IFS('ProductSprint Backlog'!$F197="", "", AND('ProductSprint Backlog'!$J197&gt;I$2,'ProductSprint Backlog'!$I197&lt;=I$2), 'ProductSprint Backlog'!$F197 / MAX(1, 'ProductSprint Backlog'!$J197-'ProductSprint Backlog'!$I197), AND('ProductSprint Backlog'!$J197=I$2,'ProductSprint Backlog'!$I197=I$2), 'ProductSprint Backlog'!$F197, TRUE, 0)</f>
        <v>0</v>
      </c>
      <c r="J197" s="4" cm="1">
        <f t="array" ref="J197">_xlfn.IFS('ProductSprint Backlog'!$F197="", "", AND('ProductSprint Backlog'!$J197&gt;J$2,'ProductSprint Backlog'!$I197&lt;=J$2), 'ProductSprint Backlog'!$F197 / MAX(1, 'ProductSprint Backlog'!$J197-'ProductSprint Backlog'!$I197), AND('ProductSprint Backlog'!$J197=J$2,'ProductSprint Backlog'!$I197=J$2), 'ProductSprint Backlog'!$F197, TRUE, 0)</f>
        <v>0</v>
      </c>
      <c r="K197" s="4" cm="1">
        <f t="array" ref="K197">_xlfn.IFS('ProductSprint Backlog'!$F197="", "", AND('ProductSprint Backlog'!$J197&gt;K$2,'ProductSprint Backlog'!$I197&lt;=K$2), 'ProductSprint Backlog'!$F197 / MAX(1, 'ProductSprint Backlog'!$J197-'ProductSprint Backlog'!$I197), AND('ProductSprint Backlog'!$J197=K$2,'ProductSprint Backlog'!$I197=K$2), 'ProductSprint Backlog'!$F197, TRUE, 0)</f>
        <v>0</v>
      </c>
      <c r="L197" s="4" cm="1">
        <f t="array" ref="L197">_xlfn.IFS('ProductSprint Backlog'!$F197="", "", AND('ProductSprint Backlog'!$J197&gt;L$2,'ProductSprint Backlog'!$I197&lt;=L$2), 'ProductSprint Backlog'!$F197 / MAX(1, 'ProductSprint Backlog'!$J197-'ProductSprint Backlog'!$I197), AND('ProductSprint Backlog'!$J197=L$2,'ProductSprint Backlog'!$I197=L$2), 'ProductSprint Backlog'!$F197, TRUE, 0)</f>
        <v>0</v>
      </c>
      <c r="M197" s="4" cm="1">
        <f t="array" ref="M197">_xlfn.IFS('ProductSprint Backlog'!$F197="", "", AND('ProductSprint Backlog'!$J197&gt;M$2,'ProductSprint Backlog'!$I197&lt;=M$2), 'ProductSprint Backlog'!$F197 / MAX(1, 'ProductSprint Backlog'!$J197-'ProductSprint Backlog'!$I197), AND('ProductSprint Backlog'!$J197=M$2,'ProductSprint Backlog'!$I197=M$2), 'ProductSprint Backlog'!$F197, TRUE, 0)</f>
        <v>0</v>
      </c>
      <c r="N197" s="4" cm="1">
        <f t="array" ref="N197">_xlfn.IFS('ProductSprint Backlog'!$F197="", "", AND('ProductSprint Backlog'!$J197&gt;N$2,'ProductSprint Backlog'!$I197&lt;=N$2), 'ProductSprint Backlog'!$F197 / MAX(1, 'ProductSprint Backlog'!$J197-'ProductSprint Backlog'!$I197), AND('ProductSprint Backlog'!$J197=N$2,'ProductSprint Backlog'!$I197=N$2), 'ProductSprint Backlog'!$F197, TRUE, 0)</f>
        <v>0</v>
      </c>
      <c r="O197" s="4" cm="1">
        <f t="array" ref="O197">_xlfn.IFS('ProductSprint Backlog'!$F197="", "", AND('ProductSprint Backlog'!$J197&gt;O$2,'ProductSprint Backlog'!$I197&lt;=O$2), 'ProductSprint Backlog'!$F197 / MAX(1, 'ProductSprint Backlog'!$J197-'ProductSprint Backlog'!$I197), AND('ProductSprint Backlog'!$J197=O$2,'ProductSprint Backlog'!$I197=O$2), 'ProductSprint Backlog'!$F197, TRUE, 0)</f>
        <v>0</v>
      </c>
      <c r="P197" s="4" cm="1">
        <f t="array" ref="P197">_xlfn.IFS('ProductSprint Backlog'!$F197="", "", AND('ProductSprint Backlog'!$J197&gt;P$2,'ProductSprint Backlog'!$I197&lt;=P$2), 'ProductSprint Backlog'!$F197 / MAX(1, 'ProductSprint Backlog'!$J197-'ProductSprint Backlog'!$I197), AND('ProductSprint Backlog'!$J197=P$2,'ProductSprint Backlog'!$I197=P$2), 'ProductSprint Backlog'!$F197, TRUE, 0)</f>
        <v>0</v>
      </c>
      <c r="Q197" s="4" cm="1">
        <f t="array" ref="Q197">_xlfn.IFS('ProductSprint Backlog'!$F197="", "", AND('ProductSprint Backlog'!$J197&gt;Q$2,'ProductSprint Backlog'!$I197&lt;=Q$2), 'ProductSprint Backlog'!$F197 / MAX(1, 'ProductSprint Backlog'!$J197-'ProductSprint Backlog'!$I197), AND('ProductSprint Backlog'!$J197=Q$2,'ProductSprint Backlog'!$I197=Q$2), 'ProductSprint Backlog'!$F197, TRUE, 0)</f>
        <v>0</v>
      </c>
    </row>
    <row r="198" spans="2:17" x14ac:dyDescent="0.2">
      <c r="B198" s="4" cm="1">
        <f t="array" ref="B198">_xlfn.IFS('ProductSprint Backlog'!$F198="", "", AND('ProductSprint Backlog'!$J198&gt;B$2,'ProductSprint Backlog'!$I198&lt;=B$2), 'ProductSprint Backlog'!$F198 / MAX(1, 'ProductSprint Backlog'!$J198-'ProductSprint Backlog'!$I198), AND('ProductSprint Backlog'!$J198=B$2,'ProductSprint Backlog'!$I198=B$2), 'ProductSprint Backlog'!$F198, TRUE, 0)</f>
        <v>0.5</v>
      </c>
      <c r="C198" s="4" cm="1">
        <f t="array" ref="C198">_xlfn.IFS('ProductSprint Backlog'!$F198="", "", AND('ProductSprint Backlog'!$J198&gt;C$2,'ProductSprint Backlog'!$I198&lt;=C$2), 'ProductSprint Backlog'!$F198 / MAX(1, 'ProductSprint Backlog'!$J198-'ProductSprint Backlog'!$I198), AND('ProductSprint Backlog'!$J198=C$2,'ProductSprint Backlog'!$I198=C$2), 'ProductSprint Backlog'!$F198, TRUE, 0)</f>
        <v>0.5</v>
      </c>
      <c r="D198" s="4" cm="1">
        <f t="array" ref="D198">_xlfn.IFS('ProductSprint Backlog'!$F198="", "", AND('ProductSprint Backlog'!$J198&gt;D$2,'ProductSprint Backlog'!$I198&lt;=D$2), 'ProductSprint Backlog'!$F198 / MAX(1, 'ProductSprint Backlog'!$J198-'ProductSprint Backlog'!$I198), AND('ProductSprint Backlog'!$J198=D$2,'ProductSprint Backlog'!$I198=D$2), 'ProductSprint Backlog'!$F198, TRUE, 0)</f>
        <v>0.5</v>
      </c>
      <c r="E198" s="4" cm="1">
        <f t="array" ref="E198">_xlfn.IFS('ProductSprint Backlog'!$F198="", "", AND('ProductSprint Backlog'!$J198&gt;E$2,'ProductSprint Backlog'!$I198&lt;=E$2), 'ProductSprint Backlog'!$F198 / MAX(1, 'ProductSprint Backlog'!$J198-'ProductSprint Backlog'!$I198), AND('ProductSprint Backlog'!$J198=E$2,'ProductSprint Backlog'!$I198=E$2), 'ProductSprint Backlog'!$F198, TRUE, 0)</f>
        <v>0.5</v>
      </c>
      <c r="F198" s="4" cm="1">
        <f t="array" ref="F198">_xlfn.IFS('ProductSprint Backlog'!$F198="", "", AND('ProductSprint Backlog'!$J198&gt;F$2,'ProductSprint Backlog'!$I198&lt;=F$2), 'ProductSprint Backlog'!$F198 / MAX(1, 'ProductSprint Backlog'!$J198-'ProductSprint Backlog'!$I198), AND('ProductSprint Backlog'!$J198=F$2,'ProductSprint Backlog'!$I198=F$2), 'ProductSprint Backlog'!$F198, TRUE, 0)</f>
        <v>0</v>
      </c>
      <c r="G198" s="4" cm="1">
        <f t="array" ref="G198">_xlfn.IFS('ProductSprint Backlog'!$F198="", "", AND('ProductSprint Backlog'!$J198&gt;G$2,'ProductSprint Backlog'!$I198&lt;=G$2), 'ProductSprint Backlog'!$F198 / MAX(1, 'ProductSprint Backlog'!$J198-'ProductSprint Backlog'!$I198), AND('ProductSprint Backlog'!$J198=G$2,'ProductSprint Backlog'!$I198=G$2), 'ProductSprint Backlog'!$F198, TRUE, 0)</f>
        <v>0</v>
      </c>
      <c r="H198" s="4" cm="1">
        <f t="array" ref="H198">_xlfn.IFS('ProductSprint Backlog'!$F198="", "", AND('ProductSprint Backlog'!$J198&gt;H$2,'ProductSprint Backlog'!$I198&lt;=H$2), 'ProductSprint Backlog'!$F198 / MAX(1, 'ProductSprint Backlog'!$J198-'ProductSprint Backlog'!$I198), AND('ProductSprint Backlog'!$J198=H$2,'ProductSprint Backlog'!$I198=H$2), 'ProductSprint Backlog'!$F198, TRUE, 0)</f>
        <v>0</v>
      </c>
      <c r="I198" s="4" cm="1">
        <f t="array" ref="I198">_xlfn.IFS('ProductSprint Backlog'!$F198="", "", AND('ProductSprint Backlog'!$J198&gt;I$2,'ProductSprint Backlog'!$I198&lt;=I$2), 'ProductSprint Backlog'!$F198 / MAX(1, 'ProductSprint Backlog'!$J198-'ProductSprint Backlog'!$I198), AND('ProductSprint Backlog'!$J198=I$2,'ProductSprint Backlog'!$I198=I$2), 'ProductSprint Backlog'!$F198, TRUE, 0)</f>
        <v>0</v>
      </c>
      <c r="J198" s="4" cm="1">
        <f t="array" ref="J198">_xlfn.IFS('ProductSprint Backlog'!$F198="", "", AND('ProductSprint Backlog'!$J198&gt;J$2,'ProductSprint Backlog'!$I198&lt;=J$2), 'ProductSprint Backlog'!$F198 / MAX(1, 'ProductSprint Backlog'!$J198-'ProductSprint Backlog'!$I198), AND('ProductSprint Backlog'!$J198=J$2,'ProductSprint Backlog'!$I198=J$2), 'ProductSprint Backlog'!$F198, TRUE, 0)</f>
        <v>0</v>
      </c>
      <c r="K198" s="4" cm="1">
        <f t="array" ref="K198">_xlfn.IFS('ProductSprint Backlog'!$F198="", "", AND('ProductSprint Backlog'!$J198&gt;K$2,'ProductSprint Backlog'!$I198&lt;=K$2), 'ProductSprint Backlog'!$F198 / MAX(1, 'ProductSprint Backlog'!$J198-'ProductSprint Backlog'!$I198), AND('ProductSprint Backlog'!$J198=K$2,'ProductSprint Backlog'!$I198=K$2), 'ProductSprint Backlog'!$F198, TRUE, 0)</f>
        <v>0</v>
      </c>
      <c r="L198" s="4" cm="1">
        <f t="array" ref="L198">_xlfn.IFS('ProductSprint Backlog'!$F198="", "", AND('ProductSprint Backlog'!$J198&gt;L$2,'ProductSprint Backlog'!$I198&lt;=L$2), 'ProductSprint Backlog'!$F198 / MAX(1, 'ProductSprint Backlog'!$J198-'ProductSprint Backlog'!$I198), AND('ProductSprint Backlog'!$J198=L$2,'ProductSprint Backlog'!$I198=L$2), 'ProductSprint Backlog'!$F198, TRUE, 0)</f>
        <v>0</v>
      </c>
      <c r="M198" s="4" cm="1">
        <f t="array" ref="M198">_xlfn.IFS('ProductSprint Backlog'!$F198="", "", AND('ProductSprint Backlog'!$J198&gt;M$2,'ProductSprint Backlog'!$I198&lt;=M$2), 'ProductSprint Backlog'!$F198 / MAX(1, 'ProductSprint Backlog'!$J198-'ProductSprint Backlog'!$I198), AND('ProductSprint Backlog'!$J198=M$2,'ProductSprint Backlog'!$I198=M$2), 'ProductSprint Backlog'!$F198, TRUE, 0)</f>
        <v>0</v>
      </c>
      <c r="N198" s="4" cm="1">
        <f t="array" ref="N198">_xlfn.IFS('ProductSprint Backlog'!$F198="", "", AND('ProductSprint Backlog'!$J198&gt;N$2,'ProductSprint Backlog'!$I198&lt;=N$2), 'ProductSprint Backlog'!$F198 / MAX(1, 'ProductSprint Backlog'!$J198-'ProductSprint Backlog'!$I198), AND('ProductSprint Backlog'!$J198=N$2,'ProductSprint Backlog'!$I198=N$2), 'ProductSprint Backlog'!$F198, TRUE, 0)</f>
        <v>0</v>
      </c>
      <c r="O198" s="4" cm="1">
        <f t="array" ref="O198">_xlfn.IFS('ProductSprint Backlog'!$F198="", "", AND('ProductSprint Backlog'!$J198&gt;O$2,'ProductSprint Backlog'!$I198&lt;=O$2), 'ProductSprint Backlog'!$F198 / MAX(1, 'ProductSprint Backlog'!$J198-'ProductSprint Backlog'!$I198), AND('ProductSprint Backlog'!$J198=O$2,'ProductSprint Backlog'!$I198=O$2), 'ProductSprint Backlog'!$F198, TRUE, 0)</f>
        <v>0</v>
      </c>
      <c r="P198" s="4" cm="1">
        <f t="array" ref="P198">_xlfn.IFS('ProductSprint Backlog'!$F198="", "", AND('ProductSprint Backlog'!$J198&gt;P$2,'ProductSprint Backlog'!$I198&lt;=P$2), 'ProductSprint Backlog'!$F198 / MAX(1, 'ProductSprint Backlog'!$J198-'ProductSprint Backlog'!$I198), AND('ProductSprint Backlog'!$J198=P$2,'ProductSprint Backlog'!$I198=P$2), 'ProductSprint Backlog'!$F198, TRUE, 0)</f>
        <v>0</v>
      </c>
      <c r="Q198" s="4" cm="1">
        <f t="array" ref="Q198">_xlfn.IFS('ProductSprint Backlog'!$F198="", "", AND('ProductSprint Backlog'!$J198&gt;Q$2,'ProductSprint Backlog'!$I198&lt;=Q$2), 'ProductSprint Backlog'!$F198 / MAX(1, 'ProductSprint Backlog'!$J198-'ProductSprint Backlog'!$I198), AND('ProductSprint Backlog'!$J198=Q$2,'ProductSprint Backlog'!$I198=Q$2), 'ProductSprint Backlog'!$F198, TRUE, 0)</f>
        <v>0</v>
      </c>
    </row>
    <row r="199" spans="2:17" x14ac:dyDescent="0.2">
      <c r="B199" s="4" cm="1">
        <f t="array" ref="B199">_xlfn.IFS('ProductSprint Backlog'!$F199="", "", AND('ProductSprint Backlog'!$J199&gt;B$2,'ProductSprint Backlog'!$I199&lt;=B$2), 'ProductSprint Backlog'!$F199 / MAX(1, 'ProductSprint Backlog'!$J199-'ProductSprint Backlog'!$I199), AND('ProductSprint Backlog'!$J199=B$2,'ProductSprint Backlog'!$I199=B$2), 'ProductSprint Backlog'!$F199, TRUE, 0)</f>
        <v>0</v>
      </c>
      <c r="C199" s="4" cm="1">
        <f t="array" ref="C199">_xlfn.IFS('ProductSprint Backlog'!$F199="", "", AND('ProductSprint Backlog'!$J199&gt;C$2,'ProductSprint Backlog'!$I199&lt;=C$2), 'ProductSprint Backlog'!$F199 / MAX(1, 'ProductSprint Backlog'!$J199-'ProductSprint Backlog'!$I199), AND('ProductSprint Backlog'!$J199=C$2,'ProductSprint Backlog'!$I199=C$2), 'ProductSprint Backlog'!$F199, TRUE, 0)</f>
        <v>0</v>
      </c>
      <c r="D199" s="4" cm="1">
        <f t="array" ref="D199">_xlfn.IFS('ProductSprint Backlog'!$F199="", "", AND('ProductSprint Backlog'!$J199&gt;D$2,'ProductSprint Backlog'!$I199&lt;=D$2), 'ProductSprint Backlog'!$F199 / MAX(1, 'ProductSprint Backlog'!$J199-'ProductSprint Backlog'!$I199), AND('ProductSprint Backlog'!$J199=D$2,'ProductSprint Backlog'!$I199=D$2), 'ProductSprint Backlog'!$F199, TRUE, 0)</f>
        <v>0</v>
      </c>
      <c r="E199" s="4" cm="1">
        <f t="array" ref="E199">_xlfn.IFS('ProductSprint Backlog'!$F199="", "", AND('ProductSprint Backlog'!$J199&gt;E$2,'ProductSprint Backlog'!$I199&lt;=E$2), 'ProductSprint Backlog'!$F199 / MAX(1, 'ProductSprint Backlog'!$J199-'ProductSprint Backlog'!$I199), AND('ProductSprint Backlog'!$J199=E$2,'ProductSprint Backlog'!$I199=E$2), 'ProductSprint Backlog'!$F199, TRUE, 0)</f>
        <v>0</v>
      </c>
      <c r="F199" s="4" cm="1">
        <f t="array" ref="F199">_xlfn.IFS('ProductSprint Backlog'!$F199="", "", AND('ProductSprint Backlog'!$J199&gt;F$2,'ProductSprint Backlog'!$I199&lt;=F$2), 'ProductSprint Backlog'!$F199 / MAX(1, 'ProductSprint Backlog'!$J199-'ProductSprint Backlog'!$I199), AND('ProductSprint Backlog'!$J199=F$2,'ProductSprint Backlog'!$I199=F$2), 'ProductSprint Backlog'!$F199, TRUE, 0)</f>
        <v>0</v>
      </c>
      <c r="G199" s="4" cm="1">
        <f t="array" ref="G199">_xlfn.IFS('ProductSprint Backlog'!$F199="", "", AND('ProductSprint Backlog'!$J199&gt;G$2,'ProductSprint Backlog'!$I199&lt;=G$2), 'ProductSprint Backlog'!$F199 / MAX(1, 'ProductSprint Backlog'!$J199-'ProductSprint Backlog'!$I199), AND('ProductSprint Backlog'!$J199=G$2,'ProductSprint Backlog'!$I199=G$2), 'ProductSprint Backlog'!$F199, TRUE, 0)</f>
        <v>0.33333333333333331</v>
      </c>
      <c r="H199" s="4" cm="1">
        <f t="array" ref="H199">_xlfn.IFS('ProductSprint Backlog'!$F199="", "", AND('ProductSprint Backlog'!$J199&gt;H$2,'ProductSprint Backlog'!$I199&lt;=H$2), 'ProductSprint Backlog'!$F199 / MAX(1, 'ProductSprint Backlog'!$J199-'ProductSprint Backlog'!$I199), AND('ProductSprint Backlog'!$J199=H$2,'ProductSprint Backlog'!$I199=H$2), 'ProductSprint Backlog'!$F199, TRUE, 0)</f>
        <v>0.33333333333333331</v>
      </c>
      <c r="I199" s="4" cm="1">
        <f t="array" ref="I199">_xlfn.IFS('ProductSprint Backlog'!$F199="", "", AND('ProductSprint Backlog'!$J199&gt;I$2,'ProductSprint Backlog'!$I199&lt;=I$2), 'ProductSprint Backlog'!$F199 / MAX(1, 'ProductSprint Backlog'!$J199-'ProductSprint Backlog'!$I199), AND('ProductSprint Backlog'!$J199=I$2,'ProductSprint Backlog'!$I199=I$2), 'ProductSprint Backlog'!$F199, TRUE, 0)</f>
        <v>0.33333333333333331</v>
      </c>
      <c r="J199" s="4" cm="1">
        <f t="array" ref="J199">_xlfn.IFS('ProductSprint Backlog'!$F199="", "", AND('ProductSprint Backlog'!$J199&gt;J$2,'ProductSprint Backlog'!$I199&lt;=J$2), 'ProductSprint Backlog'!$F199 / MAX(1, 'ProductSprint Backlog'!$J199-'ProductSprint Backlog'!$I199), AND('ProductSprint Backlog'!$J199=J$2,'ProductSprint Backlog'!$I199=J$2), 'ProductSprint Backlog'!$F199, TRUE, 0)</f>
        <v>0</v>
      </c>
      <c r="K199" s="4" cm="1">
        <f t="array" ref="K199">_xlfn.IFS('ProductSprint Backlog'!$F199="", "", AND('ProductSprint Backlog'!$J199&gt;K$2,'ProductSprint Backlog'!$I199&lt;=K$2), 'ProductSprint Backlog'!$F199 / MAX(1, 'ProductSprint Backlog'!$J199-'ProductSprint Backlog'!$I199), AND('ProductSprint Backlog'!$J199=K$2,'ProductSprint Backlog'!$I199=K$2), 'ProductSprint Backlog'!$F199, TRUE, 0)</f>
        <v>0</v>
      </c>
      <c r="L199" s="4" cm="1">
        <f t="array" ref="L199">_xlfn.IFS('ProductSprint Backlog'!$F199="", "", AND('ProductSprint Backlog'!$J199&gt;L$2,'ProductSprint Backlog'!$I199&lt;=L$2), 'ProductSprint Backlog'!$F199 / MAX(1, 'ProductSprint Backlog'!$J199-'ProductSprint Backlog'!$I199), AND('ProductSprint Backlog'!$J199=L$2,'ProductSprint Backlog'!$I199=L$2), 'ProductSprint Backlog'!$F199, TRUE, 0)</f>
        <v>0</v>
      </c>
      <c r="M199" s="4" cm="1">
        <f t="array" ref="M199">_xlfn.IFS('ProductSprint Backlog'!$F199="", "", AND('ProductSprint Backlog'!$J199&gt;M$2,'ProductSprint Backlog'!$I199&lt;=M$2), 'ProductSprint Backlog'!$F199 / MAX(1, 'ProductSprint Backlog'!$J199-'ProductSprint Backlog'!$I199), AND('ProductSprint Backlog'!$J199=M$2,'ProductSprint Backlog'!$I199=M$2), 'ProductSprint Backlog'!$F199, TRUE, 0)</f>
        <v>0</v>
      </c>
      <c r="N199" s="4" cm="1">
        <f t="array" ref="N199">_xlfn.IFS('ProductSprint Backlog'!$F199="", "", AND('ProductSprint Backlog'!$J199&gt;N$2,'ProductSprint Backlog'!$I199&lt;=N$2), 'ProductSprint Backlog'!$F199 / MAX(1, 'ProductSprint Backlog'!$J199-'ProductSprint Backlog'!$I199), AND('ProductSprint Backlog'!$J199=N$2,'ProductSprint Backlog'!$I199=N$2), 'ProductSprint Backlog'!$F199, TRUE, 0)</f>
        <v>0</v>
      </c>
      <c r="O199" s="4" cm="1">
        <f t="array" ref="O199">_xlfn.IFS('ProductSprint Backlog'!$F199="", "", AND('ProductSprint Backlog'!$J199&gt;O$2,'ProductSprint Backlog'!$I199&lt;=O$2), 'ProductSprint Backlog'!$F199 / MAX(1, 'ProductSprint Backlog'!$J199-'ProductSprint Backlog'!$I199), AND('ProductSprint Backlog'!$J199=O$2,'ProductSprint Backlog'!$I199=O$2), 'ProductSprint Backlog'!$F199, TRUE, 0)</f>
        <v>0</v>
      </c>
      <c r="P199" s="4" cm="1">
        <f t="array" ref="P199">_xlfn.IFS('ProductSprint Backlog'!$F199="", "", AND('ProductSprint Backlog'!$J199&gt;P$2,'ProductSprint Backlog'!$I199&lt;=P$2), 'ProductSprint Backlog'!$F199 / MAX(1, 'ProductSprint Backlog'!$J199-'ProductSprint Backlog'!$I199), AND('ProductSprint Backlog'!$J199=P$2,'ProductSprint Backlog'!$I199=P$2), 'ProductSprint Backlog'!$F199, TRUE, 0)</f>
        <v>0</v>
      </c>
      <c r="Q199" s="4" cm="1">
        <f t="array" ref="Q199">_xlfn.IFS('ProductSprint Backlog'!$F199="", "", AND('ProductSprint Backlog'!$J199&gt;Q$2,'ProductSprint Backlog'!$I199&lt;=Q$2), 'ProductSprint Backlog'!$F199 / MAX(1, 'ProductSprint Backlog'!$J199-'ProductSprint Backlog'!$I199), AND('ProductSprint Backlog'!$J199=Q$2,'ProductSprint Backlog'!$I199=Q$2), 'ProductSprint Backlog'!$F199, TRUE, 0)</f>
        <v>0</v>
      </c>
    </row>
    <row r="200" spans="2:17" x14ac:dyDescent="0.2">
      <c r="B200" s="4" cm="1">
        <f t="array" ref="B200">_xlfn.IFS('ProductSprint Backlog'!$F200="", "", AND('ProductSprint Backlog'!$J200&gt;B$2,'ProductSprint Backlog'!$I200&lt;=B$2), 'ProductSprint Backlog'!$F200 / MAX(1, 'ProductSprint Backlog'!$J200-'ProductSprint Backlog'!$I200), AND('ProductSprint Backlog'!$J200=B$2,'ProductSprint Backlog'!$I200=B$2), 'ProductSprint Backlog'!$F200, TRUE, 0)</f>
        <v>0</v>
      </c>
      <c r="C200" s="4" cm="1">
        <f t="array" ref="C200">_xlfn.IFS('ProductSprint Backlog'!$F200="", "", AND('ProductSprint Backlog'!$J200&gt;C$2,'ProductSprint Backlog'!$I200&lt;=C$2), 'ProductSprint Backlog'!$F200 / MAX(1, 'ProductSprint Backlog'!$J200-'ProductSprint Backlog'!$I200), AND('ProductSprint Backlog'!$J200=C$2,'ProductSprint Backlog'!$I200=C$2), 'ProductSprint Backlog'!$F200, TRUE, 0)</f>
        <v>0</v>
      </c>
      <c r="D200" s="4" cm="1">
        <f t="array" ref="D200">_xlfn.IFS('ProductSprint Backlog'!$F200="", "", AND('ProductSprint Backlog'!$J200&gt;D$2,'ProductSprint Backlog'!$I200&lt;=D$2), 'ProductSprint Backlog'!$F200 / MAX(1, 'ProductSprint Backlog'!$J200-'ProductSprint Backlog'!$I200), AND('ProductSprint Backlog'!$J200=D$2,'ProductSprint Backlog'!$I200=D$2), 'ProductSprint Backlog'!$F200, TRUE, 0)</f>
        <v>0</v>
      </c>
      <c r="E200" s="4" cm="1">
        <f t="array" ref="E200">_xlfn.IFS('ProductSprint Backlog'!$F200="", "", AND('ProductSprint Backlog'!$J200&gt;E$2,'ProductSprint Backlog'!$I200&lt;=E$2), 'ProductSprint Backlog'!$F200 / MAX(1, 'ProductSprint Backlog'!$J200-'ProductSprint Backlog'!$I200), AND('ProductSprint Backlog'!$J200=E$2,'ProductSprint Backlog'!$I200=E$2), 'ProductSprint Backlog'!$F200, TRUE, 0)</f>
        <v>0</v>
      </c>
      <c r="F200" s="4" cm="1">
        <f t="array" ref="F200">_xlfn.IFS('ProductSprint Backlog'!$F200="", "", AND('ProductSprint Backlog'!$J200&gt;F$2,'ProductSprint Backlog'!$I200&lt;=F$2), 'ProductSprint Backlog'!$F200 / MAX(1, 'ProductSprint Backlog'!$J200-'ProductSprint Backlog'!$I200), AND('ProductSprint Backlog'!$J200=F$2,'ProductSprint Backlog'!$I200=F$2), 'ProductSprint Backlog'!$F200, TRUE, 0)</f>
        <v>0</v>
      </c>
      <c r="G200" s="4" cm="1">
        <f t="array" ref="G200">_xlfn.IFS('ProductSprint Backlog'!$F200="", "", AND('ProductSprint Backlog'!$J200&gt;G$2,'ProductSprint Backlog'!$I200&lt;=G$2), 'ProductSprint Backlog'!$F200 / MAX(1, 'ProductSprint Backlog'!$J200-'ProductSprint Backlog'!$I200), AND('ProductSprint Backlog'!$J200=G$2,'ProductSprint Backlog'!$I200=G$2), 'ProductSprint Backlog'!$F200, TRUE, 0)</f>
        <v>0.66666666666666663</v>
      </c>
      <c r="H200" s="4" cm="1">
        <f t="array" ref="H200">_xlfn.IFS('ProductSprint Backlog'!$F200="", "", AND('ProductSprint Backlog'!$J200&gt;H$2,'ProductSprint Backlog'!$I200&lt;=H$2), 'ProductSprint Backlog'!$F200 / MAX(1, 'ProductSprint Backlog'!$J200-'ProductSprint Backlog'!$I200), AND('ProductSprint Backlog'!$J200=H$2,'ProductSprint Backlog'!$I200=H$2), 'ProductSprint Backlog'!$F200, TRUE, 0)</f>
        <v>0.66666666666666663</v>
      </c>
      <c r="I200" s="4" cm="1">
        <f t="array" ref="I200">_xlfn.IFS('ProductSprint Backlog'!$F200="", "", AND('ProductSprint Backlog'!$J200&gt;I$2,'ProductSprint Backlog'!$I200&lt;=I$2), 'ProductSprint Backlog'!$F200 / MAX(1, 'ProductSprint Backlog'!$J200-'ProductSprint Backlog'!$I200), AND('ProductSprint Backlog'!$J200=I$2,'ProductSprint Backlog'!$I200=I$2), 'ProductSprint Backlog'!$F200, TRUE, 0)</f>
        <v>0.66666666666666663</v>
      </c>
      <c r="J200" s="4" cm="1">
        <f t="array" ref="J200">_xlfn.IFS('ProductSprint Backlog'!$F200="", "", AND('ProductSprint Backlog'!$J200&gt;J$2,'ProductSprint Backlog'!$I200&lt;=J$2), 'ProductSprint Backlog'!$F200 / MAX(1, 'ProductSprint Backlog'!$J200-'ProductSprint Backlog'!$I200), AND('ProductSprint Backlog'!$J200=J$2,'ProductSprint Backlog'!$I200=J$2), 'ProductSprint Backlog'!$F200, TRUE, 0)</f>
        <v>0</v>
      </c>
      <c r="K200" s="4" cm="1">
        <f t="array" ref="K200">_xlfn.IFS('ProductSprint Backlog'!$F200="", "", AND('ProductSprint Backlog'!$J200&gt;K$2,'ProductSprint Backlog'!$I200&lt;=K$2), 'ProductSprint Backlog'!$F200 / MAX(1, 'ProductSprint Backlog'!$J200-'ProductSprint Backlog'!$I200), AND('ProductSprint Backlog'!$J200=K$2,'ProductSprint Backlog'!$I200=K$2), 'ProductSprint Backlog'!$F200, TRUE, 0)</f>
        <v>0</v>
      </c>
      <c r="L200" s="4" cm="1">
        <f t="array" ref="L200">_xlfn.IFS('ProductSprint Backlog'!$F200="", "", AND('ProductSprint Backlog'!$J200&gt;L$2,'ProductSprint Backlog'!$I200&lt;=L$2), 'ProductSprint Backlog'!$F200 / MAX(1, 'ProductSprint Backlog'!$J200-'ProductSprint Backlog'!$I200), AND('ProductSprint Backlog'!$J200=L$2,'ProductSprint Backlog'!$I200=L$2), 'ProductSprint Backlog'!$F200, TRUE, 0)</f>
        <v>0</v>
      </c>
      <c r="M200" s="4" cm="1">
        <f t="array" ref="M200">_xlfn.IFS('ProductSprint Backlog'!$F200="", "", AND('ProductSprint Backlog'!$J200&gt;M$2,'ProductSprint Backlog'!$I200&lt;=M$2), 'ProductSprint Backlog'!$F200 / MAX(1, 'ProductSprint Backlog'!$J200-'ProductSprint Backlog'!$I200), AND('ProductSprint Backlog'!$J200=M$2,'ProductSprint Backlog'!$I200=M$2), 'ProductSprint Backlog'!$F200, TRUE, 0)</f>
        <v>0</v>
      </c>
      <c r="N200" s="4" cm="1">
        <f t="array" ref="N200">_xlfn.IFS('ProductSprint Backlog'!$F200="", "", AND('ProductSprint Backlog'!$J200&gt;N$2,'ProductSprint Backlog'!$I200&lt;=N$2), 'ProductSprint Backlog'!$F200 / MAX(1, 'ProductSprint Backlog'!$J200-'ProductSprint Backlog'!$I200), AND('ProductSprint Backlog'!$J200=N$2,'ProductSprint Backlog'!$I200=N$2), 'ProductSprint Backlog'!$F200, TRUE, 0)</f>
        <v>0</v>
      </c>
      <c r="O200" s="4" cm="1">
        <f t="array" ref="O200">_xlfn.IFS('ProductSprint Backlog'!$F200="", "", AND('ProductSprint Backlog'!$J200&gt;O$2,'ProductSprint Backlog'!$I200&lt;=O$2), 'ProductSprint Backlog'!$F200 / MAX(1, 'ProductSprint Backlog'!$J200-'ProductSprint Backlog'!$I200), AND('ProductSprint Backlog'!$J200=O$2,'ProductSprint Backlog'!$I200=O$2), 'ProductSprint Backlog'!$F200, TRUE, 0)</f>
        <v>0</v>
      </c>
      <c r="P200" s="4" cm="1">
        <f t="array" ref="P200">_xlfn.IFS('ProductSprint Backlog'!$F200="", "", AND('ProductSprint Backlog'!$J200&gt;P$2,'ProductSprint Backlog'!$I200&lt;=P$2), 'ProductSprint Backlog'!$F200 / MAX(1, 'ProductSprint Backlog'!$J200-'ProductSprint Backlog'!$I200), AND('ProductSprint Backlog'!$J200=P$2,'ProductSprint Backlog'!$I200=P$2), 'ProductSprint Backlog'!$F200, TRUE, 0)</f>
        <v>0</v>
      </c>
      <c r="Q200" s="4" cm="1">
        <f t="array" ref="Q200">_xlfn.IFS('ProductSprint Backlog'!$F200="", "", AND('ProductSprint Backlog'!$J200&gt;Q$2,'ProductSprint Backlog'!$I200&lt;=Q$2), 'ProductSprint Backlog'!$F200 / MAX(1, 'ProductSprint Backlog'!$J200-'ProductSprint Backlog'!$I200), AND('ProductSprint Backlog'!$J200=Q$2,'ProductSprint Backlog'!$I200=Q$2), 'ProductSprint Backlog'!$F200, TRUE, 0)</f>
        <v>0</v>
      </c>
    </row>
    <row r="201" spans="2:17" x14ac:dyDescent="0.2">
      <c r="B201" s="4" cm="1">
        <f t="array" ref="B201">_xlfn.IFS('ProductSprint Backlog'!$F201="", "", AND('ProductSprint Backlog'!$J201&gt;B$2,'ProductSprint Backlog'!$I201&lt;=B$2), 'ProductSprint Backlog'!$F201 / MAX(1, 'ProductSprint Backlog'!$J201-'ProductSprint Backlog'!$I201), AND('ProductSprint Backlog'!$J201=B$2,'ProductSprint Backlog'!$I201=B$2), 'ProductSprint Backlog'!$F201, TRUE, 0)</f>
        <v>0</v>
      </c>
      <c r="C201" s="4" cm="1">
        <f t="array" ref="C201">_xlfn.IFS('ProductSprint Backlog'!$F201="", "", AND('ProductSprint Backlog'!$J201&gt;C$2,'ProductSprint Backlog'!$I201&lt;=C$2), 'ProductSprint Backlog'!$F201 / MAX(1, 'ProductSprint Backlog'!$J201-'ProductSprint Backlog'!$I201), AND('ProductSprint Backlog'!$J201=C$2,'ProductSprint Backlog'!$I201=C$2), 'ProductSprint Backlog'!$F201, TRUE, 0)</f>
        <v>0</v>
      </c>
      <c r="D201" s="4" cm="1">
        <f t="array" ref="D201">_xlfn.IFS('ProductSprint Backlog'!$F201="", "", AND('ProductSprint Backlog'!$J201&gt;D$2,'ProductSprint Backlog'!$I201&lt;=D$2), 'ProductSprint Backlog'!$F201 / MAX(1, 'ProductSprint Backlog'!$J201-'ProductSprint Backlog'!$I201), AND('ProductSprint Backlog'!$J201=D$2,'ProductSprint Backlog'!$I201=D$2), 'ProductSprint Backlog'!$F201, TRUE, 0)</f>
        <v>0</v>
      </c>
      <c r="E201" s="4" cm="1">
        <f t="array" ref="E201">_xlfn.IFS('ProductSprint Backlog'!$F201="", "", AND('ProductSprint Backlog'!$J201&gt;E$2,'ProductSprint Backlog'!$I201&lt;=E$2), 'ProductSprint Backlog'!$F201 / MAX(1, 'ProductSprint Backlog'!$J201-'ProductSprint Backlog'!$I201), AND('ProductSprint Backlog'!$J201=E$2,'ProductSprint Backlog'!$I201=E$2), 'ProductSprint Backlog'!$F201, TRUE, 0)</f>
        <v>0</v>
      </c>
      <c r="F201" s="4" cm="1">
        <f t="array" ref="F201">_xlfn.IFS('ProductSprint Backlog'!$F201="", "", AND('ProductSprint Backlog'!$J201&gt;F$2,'ProductSprint Backlog'!$I201&lt;=F$2), 'ProductSprint Backlog'!$F201 / MAX(1, 'ProductSprint Backlog'!$J201-'ProductSprint Backlog'!$I201), AND('ProductSprint Backlog'!$J201=F$2,'ProductSprint Backlog'!$I201=F$2), 'ProductSprint Backlog'!$F201, TRUE, 0)</f>
        <v>0</v>
      </c>
      <c r="G201" s="4" cm="1">
        <f t="array" ref="G201">_xlfn.IFS('ProductSprint Backlog'!$F201="", "", AND('ProductSprint Backlog'!$J201&gt;G$2,'ProductSprint Backlog'!$I201&lt;=G$2), 'ProductSprint Backlog'!$F201 / MAX(1, 'ProductSprint Backlog'!$J201-'ProductSprint Backlog'!$I201), AND('ProductSprint Backlog'!$J201=G$2,'ProductSprint Backlog'!$I201=G$2), 'ProductSprint Backlog'!$F201, TRUE, 0)</f>
        <v>0.33333333333333331</v>
      </c>
      <c r="H201" s="4" cm="1">
        <f t="array" ref="H201">_xlfn.IFS('ProductSprint Backlog'!$F201="", "", AND('ProductSprint Backlog'!$J201&gt;H$2,'ProductSprint Backlog'!$I201&lt;=H$2), 'ProductSprint Backlog'!$F201 / MAX(1, 'ProductSprint Backlog'!$J201-'ProductSprint Backlog'!$I201), AND('ProductSprint Backlog'!$J201=H$2,'ProductSprint Backlog'!$I201=H$2), 'ProductSprint Backlog'!$F201, TRUE, 0)</f>
        <v>0.33333333333333331</v>
      </c>
      <c r="I201" s="4" cm="1">
        <f t="array" ref="I201">_xlfn.IFS('ProductSprint Backlog'!$F201="", "", AND('ProductSprint Backlog'!$J201&gt;I$2,'ProductSprint Backlog'!$I201&lt;=I$2), 'ProductSprint Backlog'!$F201 / MAX(1, 'ProductSprint Backlog'!$J201-'ProductSprint Backlog'!$I201), AND('ProductSprint Backlog'!$J201=I$2,'ProductSprint Backlog'!$I201=I$2), 'ProductSprint Backlog'!$F201, TRUE, 0)</f>
        <v>0.33333333333333331</v>
      </c>
      <c r="J201" s="4" cm="1">
        <f t="array" ref="J201">_xlfn.IFS('ProductSprint Backlog'!$F201="", "", AND('ProductSprint Backlog'!$J201&gt;J$2,'ProductSprint Backlog'!$I201&lt;=J$2), 'ProductSprint Backlog'!$F201 / MAX(1, 'ProductSprint Backlog'!$J201-'ProductSprint Backlog'!$I201), AND('ProductSprint Backlog'!$J201=J$2,'ProductSprint Backlog'!$I201=J$2), 'ProductSprint Backlog'!$F201, TRUE, 0)</f>
        <v>0</v>
      </c>
      <c r="K201" s="4" cm="1">
        <f t="array" ref="K201">_xlfn.IFS('ProductSprint Backlog'!$F201="", "", AND('ProductSprint Backlog'!$J201&gt;K$2,'ProductSprint Backlog'!$I201&lt;=K$2), 'ProductSprint Backlog'!$F201 / MAX(1, 'ProductSprint Backlog'!$J201-'ProductSprint Backlog'!$I201), AND('ProductSprint Backlog'!$J201=K$2,'ProductSprint Backlog'!$I201=K$2), 'ProductSprint Backlog'!$F201, TRUE, 0)</f>
        <v>0</v>
      </c>
      <c r="L201" s="4" cm="1">
        <f t="array" ref="L201">_xlfn.IFS('ProductSprint Backlog'!$F201="", "", AND('ProductSprint Backlog'!$J201&gt;L$2,'ProductSprint Backlog'!$I201&lt;=L$2), 'ProductSprint Backlog'!$F201 / MAX(1, 'ProductSprint Backlog'!$J201-'ProductSprint Backlog'!$I201), AND('ProductSprint Backlog'!$J201=L$2,'ProductSprint Backlog'!$I201=L$2), 'ProductSprint Backlog'!$F201, TRUE, 0)</f>
        <v>0</v>
      </c>
      <c r="M201" s="4" cm="1">
        <f t="array" ref="M201">_xlfn.IFS('ProductSprint Backlog'!$F201="", "", AND('ProductSprint Backlog'!$J201&gt;M$2,'ProductSprint Backlog'!$I201&lt;=M$2), 'ProductSprint Backlog'!$F201 / MAX(1, 'ProductSprint Backlog'!$J201-'ProductSprint Backlog'!$I201), AND('ProductSprint Backlog'!$J201=M$2,'ProductSprint Backlog'!$I201=M$2), 'ProductSprint Backlog'!$F201, TRUE, 0)</f>
        <v>0</v>
      </c>
      <c r="N201" s="4" cm="1">
        <f t="array" ref="N201">_xlfn.IFS('ProductSprint Backlog'!$F201="", "", AND('ProductSprint Backlog'!$J201&gt;N$2,'ProductSprint Backlog'!$I201&lt;=N$2), 'ProductSprint Backlog'!$F201 / MAX(1, 'ProductSprint Backlog'!$J201-'ProductSprint Backlog'!$I201), AND('ProductSprint Backlog'!$J201=N$2,'ProductSprint Backlog'!$I201=N$2), 'ProductSprint Backlog'!$F201, TRUE, 0)</f>
        <v>0</v>
      </c>
      <c r="O201" s="4" cm="1">
        <f t="array" ref="O201">_xlfn.IFS('ProductSprint Backlog'!$F201="", "", AND('ProductSprint Backlog'!$J201&gt;O$2,'ProductSprint Backlog'!$I201&lt;=O$2), 'ProductSprint Backlog'!$F201 / MAX(1, 'ProductSprint Backlog'!$J201-'ProductSprint Backlog'!$I201), AND('ProductSprint Backlog'!$J201=O$2,'ProductSprint Backlog'!$I201=O$2), 'ProductSprint Backlog'!$F201, TRUE, 0)</f>
        <v>0</v>
      </c>
      <c r="P201" s="4" cm="1">
        <f t="array" ref="P201">_xlfn.IFS('ProductSprint Backlog'!$F201="", "", AND('ProductSprint Backlog'!$J201&gt;P$2,'ProductSprint Backlog'!$I201&lt;=P$2), 'ProductSprint Backlog'!$F201 / MAX(1, 'ProductSprint Backlog'!$J201-'ProductSprint Backlog'!$I201), AND('ProductSprint Backlog'!$J201=P$2,'ProductSprint Backlog'!$I201=P$2), 'ProductSprint Backlog'!$F201, TRUE, 0)</f>
        <v>0</v>
      </c>
      <c r="Q201" s="4" cm="1">
        <f t="array" ref="Q201">_xlfn.IFS('ProductSprint Backlog'!$F201="", "", AND('ProductSprint Backlog'!$J201&gt;Q$2,'ProductSprint Backlog'!$I201&lt;=Q$2), 'ProductSprint Backlog'!$F201 / MAX(1, 'ProductSprint Backlog'!$J201-'ProductSprint Backlog'!$I201), AND('ProductSprint Backlog'!$J201=Q$2,'ProductSprint Backlog'!$I201=Q$2), 'ProductSprint Backlog'!$F201, TRUE, 0)</f>
        <v>0</v>
      </c>
    </row>
    <row r="202" spans="2:17" x14ac:dyDescent="0.2">
      <c r="B202" s="4" cm="1">
        <f t="array" ref="B202">_xlfn.IFS('ProductSprint Backlog'!$F202="", "", AND('ProductSprint Backlog'!$J202&gt;B$2,'ProductSprint Backlog'!$I202&lt;=B$2), 'ProductSprint Backlog'!$F202 / MAX(1, 'ProductSprint Backlog'!$J202-'ProductSprint Backlog'!$I202), AND('ProductSprint Backlog'!$J202=B$2,'ProductSprint Backlog'!$I202=B$2), 'ProductSprint Backlog'!$F202, TRUE, 0)</f>
        <v>0</v>
      </c>
      <c r="C202" s="4" cm="1">
        <f t="array" ref="C202">_xlfn.IFS('ProductSprint Backlog'!$F202="", "", AND('ProductSprint Backlog'!$J202&gt;C$2,'ProductSprint Backlog'!$I202&lt;=C$2), 'ProductSprint Backlog'!$F202 / MAX(1, 'ProductSprint Backlog'!$J202-'ProductSprint Backlog'!$I202), AND('ProductSprint Backlog'!$J202=C$2,'ProductSprint Backlog'!$I202=C$2), 'ProductSprint Backlog'!$F202, TRUE, 0)</f>
        <v>0</v>
      </c>
      <c r="D202" s="4" cm="1">
        <f t="array" ref="D202">_xlfn.IFS('ProductSprint Backlog'!$F202="", "", AND('ProductSprint Backlog'!$J202&gt;D$2,'ProductSprint Backlog'!$I202&lt;=D$2), 'ProductSprint Backlog'!$F202 / MAX(1, 'ProductSprint Backlog'!$J202-'ProductSprint Backlog'!$I202), AND('ProductSprint Backlog'!$J202=D$2,'ProductSprint Backlog'!$I202=D$2), 'ProductSprint Backlog'!$F202, TRUE, 0)</f>
        <v>0</v>
      </c>
      <c r="E202" s="4" cm="1">
        <f t="array" ref="E202">_xlfn.IFS('ProductSprint Backlog'!$F202="", "", AND('ProductSprint Backlog'!$J202&gt;E$2,'ProductSprint Backlog'!$I202&lt;=E$2), 'ProductSprint Backlog'!$F202 / MAX(1, 'ProductSprint Backlog'!$J202-'ProductSprint Backlog'!$I202), AND('ProductSprint Backlog'!$J202=E$2,'ProductSprint Backlog'!$I202=E$2), 'ProductSprint Backlog'!$F202, TRUE, 0)</f>
        <v>0</v>
      </c>
      <c r="F202" s="4" cm="1">
        <f t="array" ref="F202">_xlfn.IFS('ProductSprint Backlog'!$F202="", "", AND('ProductSprint Backlog'!$J202&gt;F$2,'ProductSprint Backlog'!$I202&lt;=F$2), 'ProductSprint Backlog'!$F202 / MAX(1, 'ProductSprint Backlog'!$J202-'ProductSprint Backlog'!$I202), AND('ProductSprint Backlog'!$J202=F$2,'ProductSprint Backlog'!$I202=F$2), 'ProductSprint Backlog'!$F202, TRUE, 0)</f>
        <v>0</v>
      </c>
      <c r="G202" s="4" cm="1">
        <f t="array" ref="G202">_xlfn.IFS('ProductSprint Backlog'!$F202="", "", AND('ProductSprint Backlog'!$J202&gt;G$2,'ProductSprint Backlog'!$I202&lt;=G$2), 'ProductSprint Backlog'!$F202 / MAX(1, 'ProductSprint Backlog'!$J202-'ProductSprint Backlog'!$I202), AND('ProductSprint Backlog'!$J202=G$2,'ProductSprint Backlog'!$I202=G$2), 'ProductSprint Backlog'!$F202, TRUE, 0)</f>
        <v>0</v>
      </c>
      <c r="H202" s="4" cm="1">
        <f t="array" ref="H202">_xlfn.IFS('ProductSprint Backlog'!$F202="", "", AND('ProductSprint Backlog'!$J202&gt;H$2,'ProductSprint Backlog'!$I202&lt;=H$2), 'ProductSprint Backlog'!$F202 / MAX(1, 'ProductSprint Backlog'!$J202-'ProductSprint Backlog'!$I202), AND('ProductSprint Backlog'!$J202=H$2,'ProductSprint Backlog'!$I202=H$2), 'ProductSprint Backlog'!$F202, TRUE, 0)</f>
        <v>0</v>
      </c>
      <c r="I202" s="4" cm="1">
        <f t="array" ref="I202">_xlfn.IFS('ProductSprint Backlog'!$F202="", "", AND('ProductSprint Backlog'!$J202&gt;I$2,'ProductSprint Backlog'!$I202&lt;=I$2), 'ProductSprint Backlog'!$F202 / MAX(1, 'ProductSprint Backlog'!$J202-'ProductSprint Backlog'!$I202), AND('ProductSprint Backlog'!$J202=I$2,'ProductSprint Backlog'!$I202=I$2), 'ProductSprint Backlog'!$F202, TRUE, 0)</f>
        <v>0</v>
      </c>
      <c r="J202" s="4" cm="1">
        <f t="array" ref="J202">_xlfn.IFS('ProductSprint Backlog'!$F202="", "", AND('ProductSprint Backlog'!$J202&gt;J$2,'ProductSprint Backlog'!$I202&lt;=J$2), 'ProductSprint Backlog'!$F202 / MAX(1, 'ProductSprint Backlog'!$J202-'ProductSprint Backlog'!$I202), AND('ProductSprint Backlog'!$J202=J$2,'ProductSprint Backlog'!$I202=J$2), 'ProductSprint Backlog'!$F202, TRUE, 0)</f>
        <v>0</v>
      </c>
      <c r="K202" s="4" cm="1">
        <f t="array" ref="K202">_xlfn.IFS('ProductSprint Backlog'!$F202="", "", AND('ProductSprint Backlog'!$J202&gt;K$2,'ProductSprint Backlog'!$I202&lt;=K$2), 'ProductSprint Backlog'!$F202 / MAX(1, 'ProductSprint Backlog'!$J202-'ProductSprint Backlog'!$I202), AND('ProductSprint Backlog'!$J202=K$2,'ProductSprint Backlog'!$I202=K$2), 'ProductSprint Backlog'!$F202, TRUE, 0)</f>
        <v>0.5</v>
      </c>
      <c r="L202" s="4" cm="1">
        <f t="array" ref="L202">_xlfn.IFS('ProductSprint Backlog'!$F202="", "", AND('ProductSprint Backlog'!$J202&gt;L$2,'ProductSprint Backlog'!$I202&lt;=L$2), 'ProductSprint Backlog'!$F202 / MAX(1, 'ProductSprint Backlog'!$J202-'ProductSprint Backlog'!$I202), AND('ProductSprint Backlog'!$J202=L$2,'ProductSprint Backlog'!$I202=L$2), 'ProductSprint Backlog'!$F202, TRUE, 0)</f>
        <v>0.5</v>
      </c>
      <c r="M202" s="4" cm="1">
        <f t="array" ref="M202">_xlfn.IFS('ProductSprint Backlog'!$F202="", "", AND('ProductSprint Backlog'!$J202&gt;M$2,'ProductSprint Backlog'!$I202&lt;=M$2), 'ProductSprint Backlog'!$F202 / MAX(1, 'ProductSprint Backlog'!$J202-'ProductSprint Backlog'!$I202), AND('ProductSprint Backlog'!$J202=M$2,'ProductSprint Backlog'!$I202=M$2), 'ProductSprint Backlog'!$F202, TRUE, 0)</f>
        <v>0</v>
      </c>
      <c r="N202" s="4" cm="1">
        <f t="array" ref="N202">_xlfn.IFS('ProductSprint Backlog'!$F202="", "", AND('ProductSprint Backlog'!$J202&gt;N$2,'ProductSprint Backlog'!$I202&lt;=N$2), 'ProductSprint Backlog'!$F202 / MAX(1, 'ProductSprint Backlog'!$J202-'ProductSprint Backlog'!$I202), AND('ProductSprint Backlog'!$J202=N$2,'ProductSprint Backlog'!$I202=N$2), 'ProductSprint Backlog'!$F202, TRUE, 0)</f>
        <v>0</v>
      </c>
      <c r="O202" s="4" cm="1">
        <f t="array" ref="O202">_xlfn.IFS('ProductSprint Backlog'!$F202="", "", AND('ProductSprint Backlog'!$J202&gt;O$2,'ProductSprint Backlog'!$I202&lt;=O$2), 'ProductSprint Backlog'!$F202 / MAX(1, 'ProductSprint Backlog'!$J202-'ProductSprint Backlog'!$I202), AND('ProductSprint Backlog'!$J202=O$2,'ProductSprint Backlog'!$I202=O$2), 'ProductSprint Backlog'!$F202, TRUE, 0)</f>
        <v>0</v>
      </c>
      <c r="P202" s="4" cm="1">
        <f t="array" ref="P202">_xlfn.IFS('ProductSprint Backlog'!$F202="", "", AND('ProductSprint Backlog'!$J202&gt;P$2,'ProductSprint Backlog'!$I202&lt;=P$2), 'ProductSprint Backlog'!$F202 / MAX(1, 'ProductSprint Backlog'!$J202-'ProductSprint Backlog'!$I202), AND('ProductSprint Backlog'!$J202=P$2,'ProductSprint Backlog'!$I202=P$2), 'ProductSprint Backlog'!$F202, TRUE, 0)</f>
        <v>0</v>
      </c>
      <c r="Q202" s="4" cm="1">
        <f t="array" ref="Q202">_xlfn.IFS('ProductSprint Backlog'!$F202="", "", AND('ProductSprint Backlog'!$J202&gt;Q$2,'ProductSprint Backlog'!$I202&lt;=Q$2), 'ProductSprint Backlog'!$F202 / MAX(1, 'ProductSprint Backlog'!$J202-'ProductSprint Backlog'!$I202), AND('ProductSprint Backlog'!$J202=Q$2,'ProductSprint Backlog'!$I202=Q$2), 'ProductSprint Backlog'!$F202, TRUE, 0)</f>
        <v>0</v>
      </c>
    </row>
    <row r="203" spans="2:17" x14ac:dyDescent="0.2">
      <c r="B203" s="4" cm="1">
        <f t="array" ref="B203">_xlfn.IFS('ProductSprint Backlog'!$F203="", "", AND('ProductSprint Backlog'!$J203&gt;B$2,'ProductSprint Backlog'!$I203&lt;=B$2), 'ProductSprint Backlog'!$F203 / MAX(1, 'ProductSprint Backlog'!$J203-'ProductSprint Backlog'!$I203), AND('ProductSprint Backlog'!$J203=B$2,'ProductSprint Backlog'!$I203=B$2), 'ProductSprint Backlog'!$F203, TRUE, 0)</f>
        <v>0</v>
      </c>
      <c r="C203" s="4" cm="1">
        <f t="array" ref="C203">_xlfn.IFS('ProductSprint Backlog'!$F203="", "", AND('ProductSprint Backlog'!$J203&gt;C$2,'ProductSprint Backlog'!$I203&lt;=C$2), 'ProductSprint Backlog'!$F203 / MAX(1, 'ProductSprint Backlog'!$J203-'ProductSprint Backlog'!$I203), AND('ProductSprint Backlog'!$J203=C$2,'ProductSprint Backlog'!$I203=C$2), 'ProductSprint Backlog'!$F203, TRUE, 0)</f>
        <v>0</v>
      </c>
      <c r="D203" s="4" cm="1">
        <f t="array" ref="D203">_xlfn.IFS('ProductSprint Backlog'!$F203="", "", AND('ProductSprint Backlog'!$J203&gt;D$2,'ProductSprint Backlog'!$I203&lt;=D$2), 'ProductSprint Backlog'!$F203 / MAX(1, 'ProductSprint Backlog'!$J203-'ProductSprint Backlog'!$I203), AND('ProductSprint Backlog'!$J203=D$2,'ProductSprint Backlog'!$I203=D$2), 'ProductSprint Backlog'!$F203, TRUE, 0)</f>
        <v>0</v>
      </c>
      <c r="E203" s="4" cm="1">
        <f t="array" ref="E203">_xlfn.IFS('ProductSprint Backlog'!$F203="", "", AND('ProductSprint Backlog'!$J203&gt;E$2,'ProductSprint Backlog'!$I203&lt;=E$2), 'ProductSprint Backlog'!$F203 / MAX(1, 'ProductSprint Backlog'!$J203-'ProductSprint Backlog'!$I203), AND('ProductSprint Backlog'!$J203=E$2,'ProductSprint Backlog'!$I203=E$2), 'ProductSprint Backlog'!$F203, TRUE, 0)</f>
        <v>0</v>
      </c>
      <c r="F203" s="4" cm="1">
        <f t="array" ref="F203">_xlfn.IFS('ProductSprint Backlog'!$F203="", "", AND('ProductSprint Backlog'!$J203&gt;F$2,'ProductSprint Backlog'!$I203&lt;=F$2), 'ProductSprint Backlog'!$F203 / MAX(1, 'ProductSprint Backlog'!$J203-'ProductSprint Backlog'!$I203), AND('ProductSprint Backlog'!$J203=F$2,'ProductSprint Backlog'!$I203=F$2), 'ProductSprint Backlog'!$F203, TRUE, 0)</f>
        <v>0</v>
      </c>
      <c r="G203" s="4" cm="1">
        <f t="array" ref="G203">_xlfn.IFS('ProductSprint Backlog'!$F203="", "", AND('ProductSprint Backlog'!$J203&gt;G$2,'ProductSprint Backlog'!$I203&lt;=G$2), 'ProductSprint Backlog'!$F203 / MAX(1, 'ProductSprint Backlog'!$J203-'ProductSprint Backlog'!$I203), AND('ProductSprint Backlog'!$J203=G$2,'ProductSprint Backlog'!$I203=G$2), 'ProductSprint Backlog'!$F203, TRUE, 0)</f>
        <v>0</v>
      </c>
      <c r="H203" s="4" cm="1">
        <f t="array" ref="H203">_xlfn.IFS('ProductSprint Backlog'!$F203="", "", AND('ProductSprint Backlog'!$J203&gt;H$2,'ProductSprint Backlog'!$I203&lt;=H$2), 'ProductSprint Backlog'!$F203 / MAX(1, 'ProductSprint Backlog'!$J203-'ProductSprint Backlog'!$I203), AND('ProductSprint Backlog'!$J203=H$2,'ProductSprint Backlog'!$I203=H$2), 'ProductSprint Backlog'!$F203, TRUE, 0)</f>
        <v>0</v>
      </c>
      <c r="I203" s="4" cm="1">
        <f t="array" ref="I203">_xlfn.IFS('ProductSprint Backlog'!$F203="", "", AND('ProductSprint Backlog'!$J203&gt;I$2,'ProductSprint Backlog'!$I203&lt;=I$2), 'ProductSprint Backlog'!$F203 / MAX(1, 'ProductSprint Backlog'!$J203-'ProductSprint Backlog'!$I203), AND('ProductSprint Backlog'!$J203=I$2,'ProductSprint Backlog'!$I203=I$2), 'ProductSprint Backlog'!$F203, TRUE, 0)</f>
        <v>0</v>
      </c>
      <c r="J203" s="4" cm="1">
        <f t="array" ref="J203">_xlfn.IFS('ProductSprint Backlog'!$F203="", "", AND('ProductSprint Backlog'!$J203&gt;J$2,'ProductSprint Backlog'!$I203&lt;=J$2), 'ProductSprint Backlog'!$F203 / MAX(1, 'ProductSprint Backlog'!$J203-'ProductSprint Backlog'!$I203), AND('ProductSprint Backlog'!$J203=J$2,'ProductSprint Backlog'!$I203=J$2), 'ProductSprint Backlog'!$F203, TRUE, 0)</f>
        <v>0</v>
      </c>
      <c r="K203" s="4" cm="1">
        <f t="array" ref="K203">_xlfn.IFS('ProductSprint Backlog'!$F203="", "", AND('ProductSprint Backlog'!$J203&gt;K$2,'ProductSprint Backlog'!$I203&lt;=K$2), 'ProductSprint Backlog'!$F203 / MAX(1, 'ProductSprint Backlog'!$J203-'ProductSprint Backlog'!$I203), AND('ProductSprint Backlog'!$J203=K$2,'ProductSprint Backlog'!$I203=K$2), 'ProductSprint Backlog'!$F203, TRUE, 0)</f>
        <v>1</v>
      </c>
      <c r="L203" s="4" cm="1">
        <f t="array" ref="L203">_xlfn.IFS('ProductSprint Backlog'!$F203="", "", AND('ProductSprint Backlog'!$J203&gt;L$2,'ProductSprint Backlog'!$I203&lt;=L$2), 'ProductSprint Backlog'!$F203 / MAX(1, 'ProductSprint Backlog'!$J203-'ProductSprint Backlog'!$I203), AND('ProductSprint Backlog'!$J203=L$2,'ProductSprint Backlog'!$I203=L$2), 'ProductSprint Backlog'!$F203, TRUE, 0)</f>
        <v>1</v>
      </c>
      <c r="M203" s="4" cm="1">
        <f t="array" ref="M203">_xlfn.IFS('ProductSprint Backlog'!$F203="", "", AND('ProductSprint Backlog'!$J203&gt;M$2,'ProductSprint Backlog'!$I203&lt;=M$2), 'ProductSprint Backlog'!$F203 / MAX(1, 'ProductSprint Backlog'!$J203-'ProductSprint Backlog'!$I203), AND('ProductSprint Backlog'!$J203=M$2,'ProductSprint Backlog'!$I203=M$2), 'ProductSprint Backlog'!$F203, TRUE, 0)</f>
        <v>0</v>
      </c>
      <c r="N203" s="4" cm="1">
        <f t="array" ref="N203">_xlfn.IFS('ProductSprint Backlog'!$F203="", "", AND('ProductSprint Backlog'!$J203&gt;N$2,'ProductSprint Backlog'!$I203&lt;=N$2), 'ProductSprint Backlog'!$F203 / MAX(1, 'ProductSprint Backlog'!$J203-'ProductSprint Backlog'!$I203), AND('ProductSprint Backlog'!$J203=N$2,'ProductSprint Backlog'!$I203=N$2), 'ProductSprint Backlog'!$F203, TRUE, 0)</f>
        <v>0</v>
      </c>
      <c r="O203" s="4" cm="1">
        <f t="array" ref="O203">_xlfn.IFS('ProductSprint Backlog'!$F203="", "", AND('ProductSprint Backlog'!$J203&gt;O$2,'ProductSprint Backlog'!$I203&lt;=O$2), 'ProductSprint Backlog'!$F203 / MAX(1, 'ProductSprint Backlog'!$J203-'ProductSprint Backlog'!$I203), AND('ProductSprint Backlog'!$J203=O$2,'ProductSprint Backlog'!$I203=O$2), 'ProductSprint Backlog'!$F203, TRUE, 0)</f>
        <v>0</v>
      </c>
      <c r="P203" s="4" cm="1">
        <f t="array" ref="P203">_xlfn.IFS('ProductSprint Backlog'!$F203="", "", AND('ProductSprint Backlog'!$J203&gt;P$2,'ProductSprint Backlog'!$I203&lt;=P$2), 'ProductSprint Backlog'!$F203 / MAX(1, 'ProductSprint Backlog'!$J203-'ProductSprint Backlog'!$I203), AND('ProductSprint Backlog'!$J203=P$2,'ProductSprint Backlog'!$I203=P$2), 'ProductSprint Backlog'!$F203, TRUE, 0)</f>
        <v>0</v>
      </c>
      <c r="Q203" s="4" cm="1">
        <f t="array" ref="Q203">_xlfn.IFS('ProductSprint Backlog'!$F203="", "", AND('ProductSprint Backlog'!$J203&gt;Q$2,'ProductSprint Backlog'!$I203&lt;=Q$2), 'ProductSprint Backlog'!$F203 / MAX(1, 'ProductSprint Backlog'!$J203-'ProductSprint Backlog'!$I203), AND('ProductSprint Backlog'!$J203=Q$2,'ProductSprint Backlog'!$I203=Q$2), 'ProductSprint Backlog'!$F203, TRUE, 0)</f>
        <v>0</v>
      </c>
    </row>
    <row r="204" spans="2:17" x14ac:dyDescent="0.2">
      <c r="B204" s="4" cm="1">
        <f t="array" ref="B204">_xlfn.IFS('ProductSprint Backlog'!$F204="", "", AND('ProductSprint Backlog'!$J204&gt;B$2,'ProductSprint Backlog'!$I204&lt;=B$2), 'ProductSprint Backlog'!$F204 / MAX(1, 'ProductSprint Backlog'!$J204-'ProductSprint Backlog'!$I204), AND('ProductSprint Backlog'!$J204=B$2,'ProductSprint Backlog'!$I204=B$2), 'ProductSprint Backlog'!$F204, TRUE, 0)</f>
        <v>0</v>
      </c>
      <c r="C204" s="4" cm="1">
        <f t="array" ref="C204">_xlfn.IFS('ProductSprint Backlog'!$F204="", "", AND('ProductSprint Backlog'!$J204&gt;C$2,'ProductSprint Backlog'!$I204&lt;=C$2), 'ProductSprint Backlog'!$F204 / MAX(1, 'ProductSprint Backlog'!$J204-'ProductSprint Backlog'!$I204), AND('ProductSprint Backlog'!$J204=C$2,'ProductSprint Backlog'!$I204=C$2), 'ProductSprint Backlog'!$F204, TRUE, 0)</f>
        <v>0</v>
      </c>
      <c r="D204" s="4" cm="1">
        <f t="array" ref="D204">_xlfn.IFS('ProductSprint Backlog'!$F204="", "", AND('ProductSprint Backlog'!$J204&gt;D$2,'ProductSprint Backlog'!$I204&lt;=D$2), 'ProductSprint Backlog'!$F204 / MAX(1, 'ProductSprint Backlog'!$J204-'ProductSprint Backlog'!$I204), AND('ProductSprint Backlog'!$J204=D$2,'ProductSprint Backlog'!$I204=D$2), 'ProductSprint Backlog'!$F204, TRUE, 0)</f>
        <v>0</v>
      </c>
      <c r="E204" s="4" cm="1">
        <f t="array" ref="E204">_xlfn.IFS('ProductSprint Backlog'!$F204="", "", AND('ProductSprint Backlog'!$J204&gt;E$2,'ProductSprint Backlog'!$I204&lt;=E$2), 'ProductSprint Backlog'!$F204 / MAX(1, 'ProductSprint Backlog'!$J204-'ProductSprint Backlog'!$I204), AND('ProductSprint Backlog'!$J204=E$2,'ProductSprint Backlog'!$I204=E$2), 'ProductSprint Backlog'!$F204, TRUE, 0)</f>
        <v>0</v>
      </c>
      <c r="F204" s="4" cm="1">
        <f t="array" ref="F204">_xlfn.IFS('ProductSprint Backlog'!$F204="", "", AND('ProductSprint Backlog'!$J204&gt;F$2,'ProductSprint Backlog'!$I204&lt;=F$2), 'ProductSprint Backlog'!$F204 / MAX(1, 'ProductSprint Backlog'!$J204-'ProductSprint Backlog'!$I204), AND('ProductSprint Backlog'!$J204=F$2,'ProductSprint Backlog'!$I204=F$2), 'ProductSprint Backlog'!$F204, TRUE, 0)</f>
        <v>0</v>
      </c>
      <c r="G204" s="4" cm="1">
        <f t="array" ref="G204">_xlfn.IFS('ProductSprint Backlog'!$F204="", "", AND('ProductSprint Backlog'!$J204&gt;G$2,'ProductSprint Backlog'!$I204&lt;=G$2), 'ProductSprint Backlog'!$F204 / MAX(1, 'ProductSprint Backlog'!$J204-'ProductSprint Backlog'!$I204), AND('ProductSprint Backlog'!$J204=G$2,'ProductSprint Backlog'!$I204=G$2), 'ProductSprint Backlog'!$F204, TRUE, 0)</f>
        <v>0</v>
      </c>
      <c r="H204" s="4" cm="1">
        <f t="array" ref="H204">_xlfn.IFS('ProductSprint Backlog'!$F204="", "", AND('ProductSprint Backlog'!$J204&gt;H$2,'ProductSprint Backlog'!$I204&lt;=H$2), 'ProductSprint Backlog'!$F204 / MAX(1, 'ProductSprint Backlog'!$J204-'ProductSprint Backlog'!$I204), AND('ProductSprint Backlog'!$J204=H$2,'ProductSprint Backlog'!$I204=H$2), 'ProductSprint Backlog'!$F204, TRUE, 0)</f>
        <v>0</v>
      </c>
      <c r="I204" s="4" cm="1">
        <f t="array" ref="I204">_xlfn.IFS('ProductSprint Backlog'!$F204="", "", AND('ProductSprint Backlog'!$J204&gt;I$2,'ProductSprint Backlog'!$I204&lt;=I$2), 'ProductSprint Backlog'!$F204 / MAX(1, 'ProductSprint Backlog'!$J204-'ProductSprint Backlog'!$I204), AND('ProductSprint Backlog'!$J204=I$2,'ProductSprint Backlog'!$I204=I$2), 'ProductSprint Backlog'!$F204, TRUE, 0)</f>
        <v>0</v>
      </c>
      <c r="J204" s="4" cm="1">
        <f t="array" ref="J204">_xlfn.IFS('ProductSprint Backlog'!$F204="", "", AND('ProductSprint Backlog'!$J204&gt;J$2,'ProductSprint Backlog'!$I204&lt;=J$2), 'ProductSprint Backlog'!$F204 / MAX(1, 'ProductSprint Backlog'!$J204-'ProductSprint Backlog'!$I204), AND('ProductSprint Backlog'!$J204=J$2,'ProductSprint Backlog'!$I204=J$2), 'ProductSprint Backlog'!$F204, TRUE, 0)</f>
        <v>0</v>
      </c>
      <c r="K204" s="4" cm="1">
        <f t="array" ref="K204">_xlfn.IFS('ProductSprint Backlog'!$F204="", "", AND('ProductSprint Backlog'!$J204&gt;K$2,'ProductSprint Backlog'!$I204&lt;=K$2), 'ProductSprint Backlog'!$F204 / MAX(1, 'ProductSprint Backlog'!$J204-'ProductSprint Backlog'!$I204), AND('ProductSprint Backlog'!$J204=K$2,'ProductSprint Backlog'!$I204=K$2), 'ProductSprint Backlog'!$F204, TRUE, 0)</f>
        <v>0.5</v>
      </c>
      <c r="L204" s="4" cm="1">
        <f t="array" ref="L204">_xlfn.IFS('ProductSprint Backlog'!$F204="", "", AND('ProductSprint Backlog'!$J204&gt;L$2,'ProductSprint Backlog'!$I204&lt;=L$2), 'ProductSprint Backlog'!$F204 / MAX(1, 'ProductSprint Backlog'!$J204-'ProductSprint Backlog'!$I204), AND('ProductSprint Backlog'!$J204=L$2,'ProductSprint Backlog'!$I204=L$2), 'ProductSprint Backlog'!$F204, TRUE, 0)</f>
        <v>0.5</v>
      </c>
      <c r="M204" s="4" cm="1">
        <f t="array" ref="M204">_xlfn.IFS('ProductSprint Backlog'!$F204="", "", AND('ProductSprint Backlog'!$J204&gt;M$2,'ProductSprint Backlog'!$I204&lt;=M$2), 'ProductSprint Backlog'!$F204 / MAX(1, 'ProductSprint Backlog'!$J204-'ProductSprint Backlog'!$I204), AND('ProductSprint Backlog'!$J204=M$2,'ProductSprint Backlog'!$I204=M$2), 'ProductSprint Backlog'!$F204, TRUE, 0)</f>
        <v>0</v>
      </c>
      <c r="N204" s="4" cm="1">
        <f t="array" ref="N204">_xlfn.IFS('ProductSprint Backlog'!$F204="", "", AND('ProductSprint Backlog'!$J204&gt;N$2,'ProductSprint Backlog'!$I204&lt;=N$2), 'ProductSprint Backlog'!$F204 / MAX(1, 'ProductSprint Backlog'!$J204-'ProductSprint Backlog'!$I204), AND('ProductSprint Backlog'!$J204=N$2,'ProductSprint Backlog'!$I204=N$2), 'ProductSprint Backlog'!$F204, TRUE, 0)</f>
        <v>0</v>
      </c>
      <c r="O204" s="4" cm="1">
        <f t="array" ref="O204">_xlfn.IFS('ProductSprint Backlog'!$F204="", "", AND('ProductSprint Backlog'!$J204&gt;O$2,'ProductSprint Backlog'!$I204&lt;=O$2), 'ProductSprint Backlog'!$F204 / MAX(1, 'ProductSprint Backlog'!$J204-'ProductSprint Backlog'!$I204), AND('ProductSprint Backlog'!$J204=O$2,'ProductSprint Backlog'!$I204=O$2), 'ProductSprint Backlog'!$F204, TRUE, 0)</f>
        <v>0</v>
      </c>
      <c r="P204" s="4" cm="1">
        <f t="array" ref="P204">_xlfn.IFS('ProductSprint Backlog'!$F204="", "", AND('ProductSprint Backlog'!$J204&gt;P$2,'ProductSprint Backlog'!$I204&lt;=P$2), 'ProductSprint Backlog'!$F204 / MAX(1, 'ProductSprint Backlog'!$J204-'ProductSprint Backlog'!$I204), AND('ProductSprint Backlog'!$J204=P$2,'ProductSprint Backlog'!$I204=P$2), 'ProductSprint Backlog'!$F204, TRUE, 0)</f>
        <v>0</v>
      </c>
      <c r="Q204" s="4" cm="1">
        <f t="array" ref="Q204">_xlfn.IFS('ProductSprint Backlog'!$F204="", "", AND('ProductSprint Backlog'!$J204&gt;Q$2,'ProductSprint Backlog'!$I204&lt;=Q$2), 'ProductSprint Backlog'!$F204 / MAX(1, 'ProductSprint Backlog'!$J204-'ProductSprint Backlog'!$I204), AND('ProductSprint Backlog'!$J204=Q$2,'ProductSprint Backlog'!$I204=Q$2), 'ProductSprint Backlog'!$F204, TRUE, 0)</f>
        <v>0</v>
      </c>
    </row>
    <row r="205" spans="2:17" x14ac:dyDescent="0.2">
      <c r="B205" s="4" cm="1">
        <f t="array" ref="B205">_xlfn.IFS('ProductSprint Backlog'!$F205="", "", AND('ProductSprint Backlog'!$J205&gt;B$2,'ProductSprint Backlog'!$I205&lt;=B$2), 'ProductSprint Backlog'!$F205 / MAX(1, 'ProductSprint Backlog'!$J205-'ProductSprint Backlog'!$I205), AND('ProductSprint Backlog'!$J205=B$2,'ProductSprint Backlog'!$I205=B$2), 'ProductSprint Backlog'!$F205, TRUE, 0)</f>
        <v>0</v>
      </c>
      <c r="C205" s="4" cm="1">
        <f t="array" ref="C205">_xlfn.IFS('ProductSprint Backlog'!$F205="", "", AND('ProductSprint Backlog'!$J205&gt;C$2,'ProductSprint Backlog'!$I205&lt;=C$2), 'ProductSprint Backlog'!$F205 / MAX(1, 'ProductSprint Backlog'!$J205-'ProductSprint Backlog'!$I205), AND('ProductSprint Backlog'!$J205=C$2,'ProductSprint Backlog'!$I205=C$2), 'ProductSprint Backlog'!$F205, TRUE, 0)</f>
        <v>0</v>
      </c>
      <c r="D205" s="4" cm="1">
        <f t="array" ref="D205">_xlfn.IFS('ProductSprint Backlog'!$F205="", "", AND('ProductSprint Backlog'!$J205&gt;D$2,'ProductSprint Backlog'!$I205&lt;=D$2), 'ProductSprint Backlog'!$F205 / MAX(1, 'ProductSprint Backlog'!$J205-'ProductSprint Backlog'!$I205), AND('ProductSprint Backlog'!$J205=D$2,'ProductSprint Backlog'!$I205=D$2), 'ProductSprint Backlog'!$F205, TRUE, 0)</f>
        <v>0</v>
      </c>
      <c r="E205" s="4" cm="1">
        <f t="array" ref="E205">_xlfn.IFS('ProductSprint Backlog'!$F205="", "", AND('ProductSprint Backlog'!$J205&gt;E$2,'ProductSprint Backlog'!$I205&lt;=E$2), 'ProductSprint Backlog'!$F205 / MAX(1, 'ProductSprint Backlog'!$J205-'ProductSprint Backlog'!$I205), AND('ProductSprint Backlog'!$J205=E$2,'ProductSprint Backlog'!$I205=E$2), 'ProductSprint Backlog'!$F205, TRUE, 0)</f>
        <v>0</v>
      </c>
      <c r="F205" s="4" cm="1">
        <f t="array" ref="F205">_xlfn.IFS('ProductSprint Backlog'!$F205="", "", AND('ProductSprint Backlog'!$J205&gt;F$2,'ProductSprint Backlog'!$I205&lt;=F$2), 'ProductSprint Backlog'!$F205 / MAX(1, 'ProductSprint Backlog'!$J205-'ProductSprint Backlog'!$I205), AND('ProductSprint Backlog'!$J205=F$2,'ProductSprint Backlog'!$I205=F$2), 'ProductSprint Backlog'!$F205, TRUE, 0)</f>
        <v>0</v>
      </c>
      <c r="G205" s="4" cm="1">
        <f t="array" ref="G205">_xlfn.IFS('ProductSprint Backlog'!$F205="", "", AND('ProductSprint Backlog'!$J205&gt;G$2,'ProductSprint Backlog'!$I205&lt;=G$2), 'ProductSprint Backlog'!$F205 / MAX(1, 'ProductSprint Backlog'!$J205-'ProductSprint Backlog'!$I205), AND('ProductSprint Backlog'!$J205=G$2,'ProductSprint Backlog'!$I205=G$2), 'ProductSprint Backlog'!$F205, TRUE, 0)</f>
        <v>0</v>
      </c>
      <c r="H205" s="4" cm="1">
        <f t="array" ref="H205">_xlfn.IFS('ProductSprint Backlog'!$F205="", "", AND('ProductSprint Backlog'!$J205&gt;H$2,'ProductSprint Backlog'!$I205&lt;=H$2), 'ProductSprint Backlog'!$F205 / MAX(1, 'ProductSprint Backlog'!$J205-'ProductSprint Backlog'!$I205), AND('ProductSprint Backlog'!$J205=H$2,'ProductSprint Backlog'!$I205=H$2), 'ProductSprint Backlog'!$F205, TRUE, 0)</f>
        <v>0</v>
      </c>
      <c r="I205" s="4" cm="1">
        <f t="array" ref="I205">_xlfn.IFS('ProductSprint Backlog'!$F205="", "", AND('ProductSprint Backlog'!$J205&gt;I$2,'ProductSprint Backlog'!$I205&lt;=I$2), 'ProductSprint Backlog'!$F205 / MAX(1, 'ProductSprint Backlog'!$J205-'ProductSprint Backlog'!$I205), AND('ProductSprint Backlog'!$J205=I$2,'ProductSprint Backlog'!$I205=I$2), 'ProductSprint Backlog'!$F205, TRUE, 0)</f>
        <v>0</v>
      </c>
      <c r="J205" s="4" cm="1">
        <f t="array" ref="J205">_xlfn.IFS('ProductSprint Backlog'!$F205="", "", AND('ProductSprint Backlog'!$J205&gt;J$2,'ProductSprint Backlog'!$I205&lt;=J$2), 'ProductSprint Backlog'!$F205 / MAX(1, 'ProductSprint Backlog'!$J205-'ProductSprint Backlog'!$I205), AND('ProductSprint Backlog'!$J205=J$2,'ProductSprint Backlog'!$I205=J$2), 'ProductSprint Backlog'!$F205, TRUE, 0)</f>
        <v>0</v>
      </c>
      <c r="K205" s="4" cm="1">
        <f t="array" ref="K205">_xlfn.IFS('ProductSprint Backlog'!$F205="", "", AND('ProductSprint Backlog'!$J205&gt;K$2,'ProductSprint Backlog'!$I205&lt;=K$2), 'ProductSprint Backlog'!$F205 / MAX(1, 'ProductSprint Backlog'!$J205-'ProductSprint Backlog'!$I205), AND('ProductSprint Backlog'!$J205=K$2,'ProductSprint Backlog'!$I205=K$2), 'ProductSprint Backlog'!$F205, TRUE, 0)</f>
        <v>0</v>
      </c>
      <c r="L205" s="4" cm="1">
        <f t="array" ref="L205">_xlfn.IFS('ProductSprint Backlog'!$F205="", "", AND('ProductSprint Backlog'!$J205&gt;L$2,'ProductSprint Backlog'!$I205&lt;=L$2), 'ProductSprint Backlog'!$F205 / MAX(1, 'ProductSprint Backlog'!$J205-'ProductSprint Backlog'!$I205), AND('ProductSprint Backlog'!$J205=L$2,'ProductSprint Backlog'!$I205=L$2), 'ProductSprint Backlog'!$F205, TRUE, 0)</f>
        <v>0</v>
      </c>
      <c r="M205" s="4" cm="1">
        <f t="array" ref="M205">_xlfn.IFS('ProductSprint Backlog'!$F205="", "", AND('ProductSprint Backlog'!$J205&gt;M$2,'ProductSprint Backlog'!$I205&lt;=M$2), 'ProductSprint Backlog'!$F205 / MAX(1, 'ProductSprint Backlog'!$J205-'ProductSprint Backlog'!$I205), AND('ProductSprint Backlog'!$J205=M$2,'ProductSprint Backlog'!$I205=M$2), 'ProductSprint Backlog'!$F205, TRUE, 0)</f>
        <v>0</v>
      </c>
      <c r="N205" s="4" cm="1">
        <f t="array" ref="N205">_xlfn.IFS('ProductSprint Backlog'!$F205="", "", AND('ProductSprint Backlog'!$J205&gt;N$2,'ProductSprint Backlog'!$I205&lt;=N$2), 'ProductSprint Backlog'!$F205 / MAX(1, 'ProductSprint Backlog'!$J205-'ProductSprint Backlog'!$I205), AND('ProductSprint Backlog'!$J205=N$2,'ProductSprint Backlog'!$I205=N$2), 'ProductSprint Backlog'!$F205, TRUE, 0)</f>
        <v>0.33333333333333331</v>
      </c>
      <c r="O205" s="4" cm="1">
        <f t="array" ref="O205">_xlfn.IFS('ProductSprint Backlog'!$F205="", "", AND('ProductSprint Backlog'!$J205&gt;O$2,'ProductSprint Backlog'!$I205&lt;=O$2), 'ProductSprint Backlog'!$F205 / MAX(1, 'ProductSprint Backlog'!$J205-'ProductSprint Backlog'!$I205), AND('ProductSprint Backlog'!$J205=O$2,'ProductSprint Backlog'!$I205=O$2), 'ProductSprint Backlog'!$F205, TRUE, 0)</f>
        <v>0.33333333333333331</v>
      </c>
      <c r="P205" s="4" cm="1">
        <f t="array" ref="P205">_xlfn.IFS('ProductSprint Backlog'!$F205="", "", AND('ProductSprint Backlog'!$J205&gt;P$2,'ProductSprint Backlog'!$I205&lt;=P$2), 'ProductSprint Backlog'!$F205 / MAX(1, 'ProductSprint Backlog'!$J205-'ProductSprint Backlog'!$I205), AND('ProductSprint Backlog'!$J205=P$2,'ProductSprint Backlog'!$I205=P$2), 'ProductSprint Backlog'!$F205, TRUE, 0)</f>
        <v>0.33333333333333331</v>
      </c>
      <c r="Q205" s="4" cm="1">
        <f t="array" ref="Q205">_xlfn.IFS('ProductSprint Backlog'!$F205="", "", AND('ProductSprint Backlog'!$J205&gt;Q$2,'ProductSprint Backlog'!$I205&lt;=Q$2), 'ProductSprint Backlog'!$F205 / MAX(1, 'ProductSprint Backlog'!$J205-'ProductSprint Backlog'!$I205), AND('ProductSprint Backlog'!$J205=Q$2,'ProductSprint Backlog'!$I205=Q$2), 'ProductSprint Backlog'!$F205, TRUE, 0)</f>
        <v>0</v>
      </c>
    </row>
    <row r="206" spans="2:17" x14ac:dyDescent="0.2">
      <c r="B206" s="4" cm="1">
        <f t="array" ref="B206">_xlfn.IFS('ProductSprint Backlog'!$F206="", "", AND('ProductSprint Backlog'!$J206&gt;B$2,'ProductSprint Backlog'!$I206&lt;=B$2), 'ProductSprint Backlog'!$F206 / MAX(1, 'ProductSprint Backlog'!$J206-'ProductSprint Backlog'!$I206), AND('ProductSprint Backlog'!$J206=B$2,'ProductSprint Backlog'!$I206=B$2), 'ProductSprint Backlog'!$F206, TRUE, 0)</f>
        <v>0</v>
      </c>
      <c r="C206" s="4" cm="1">
        <f t="array" ref="C206">_xlfn.IFS('ProductSprint Backlog'!$F206="", "", AND('ProductSprint Backlog'!$J206&gt;C$2,'ProductSprint Backlog'!$I206&lt;=C$2), 'ProductSprint Backlog'!$F206 / MAX(1, 'ProductSprint Backlog'!$J206-'ProductSprint Backlog'!$I206), AND('ProductSprint Backlog'!$J206=C$2,'ProductSprint Backlog'!$I206=C$2), 'ProductSprint Backlog'!$F206, TRUE, 0)</f>
        <v>0</v>
      </c>
      <c r="D206" s="4" cm="1">
        <f t="array" ref="D206">_xlfn.IFS('ProductSprint Backlog'!$F206="", "", AND('ProductSprint Backlog'!$J206&gt;D$2,'ProductSprint Backlog'!$I206&lt;=D$2), 'ProductSprint Backlog'!$F206 / MAX(1, 'ProductSprint Backlog'!$J206-'ProductSprint Backlog'!$I206), AND('ProductSprint Backlog'!$J206=D$2,'ProductSprint Backlog'!$I206=D$2), 'ProductSprint Backlog'!$F206, TRUE, 0)</f>
        <v>0</v>
      </c>
      <c r="E206" s="4" cm="1">
        <f t="array" ref="E206">_xlfn.IFS('ProductSprint Backlog'!$F206="", "", AND('ProductSprint Backlog'!$J206&gt;E$2,'ProductSprint Backlog'!$I206&lt;=E$2), 'ProductSprint Backlog'!$F206 / MAX(1, 'ProductSprint Backlog'!$J206-'ProductSprint Backlog'!$I206), AND('ProductSprint Backlog'!$J206=E$2,'ProductSprint Backlog'!$I206=E$2), 'ProductSprint Backlog'!$F206, TRUE, 0)</f>
        <v>0</v>
      </c>
      <c r="F206" s="4" cm="1">
        <f t="array" ref="F206">_xlfn.IFS('ProductSprint Backlog'!$F206="", "", AND('ProductSprint Backlog'!$J206&gt;F$2,'ProductSprint Backlog'!$I206&lt;=F$2), 'ProductSprint Backlog'!$F206 / MAX(1, 'ProductSprint Backlog'!$J206-'ProductSprint Backlog'!$I206), AND('ProductSprint Backlog'!$J206=F$2,'ProductSprint Backlog'!$I206=F$2), 'ProductSprint Backlog'!$F206, TRUE, 0)</f>
        <v>0</v>
      </c>
      <c r="G206" s="4" cm="1">
        <f t="array" ref="G206">_xlfn.IFS('ProductSprint Backlog'!$F206="", "", AND('ProductSprint Backlog'!$J206&gt;G$2,'ProductSprint Backlog'!$I206&lt;=G$2), 'ProductSprint Backlog'!$F206 / MAX(1, 'ProductSprint Backlog'!$J206-'ProductSprint Backlog'!$I206), AND('ProductSprint Backlog'!$J206=G$2,'ProductSprint Backlog'!$I206=G$2), 'ProductSprint Backlog'!$F206, TRUE, 0)</f>
        <v>0</v>
      </c>
      <c r="H206" s="4" cm="1">
        <f t="array" ref="H206">_xlfn.IFS('ProductSprint Backlog'!$F206="", "", AND('ProductSprint Backlog'!$J206&gt;H$2,'ProductSprint Backlog'!$I206&lt;=H$2), 'ProductSprint Backlog'!$F206 / MAX(1, 'ProductSprint Backlog'!$J206-'ProductSprint Backlog'!$I206), AND('ProductSprint Backlog'!$J206=H$2,'ProductSprint Backlog'!$I206=H$2), 'ProductSprint Backlog'!$F206, TRUE, 0)</f>
        <v>0</v>
      </c>
      <c r="I206" s="4" cm="1">
        <f t="array" ref="I206">_xlfn.IFS('ProductSprint Backlog'!$F206="", "", AND('ProductSprint Backlog'!$J206&gt;I$2,'ProductSprint Backlog'!$I206&lt;=I$2), 'ProductSprint Backlog'!$F206 / MAX(1, 'ProductSprint Backlog'!$J206-'ProductSprint Backlog'!$I206), AND('ProductSprint Backlog'!$J206=I$2,'ProductSprint Backlog'!$I206=I$2), 'ProductSprint Backlog'!$F206, TRUE, 0)</f>
        <v>0</v>
      </c>
      <c r="J206" s="4" cm="1">
        <f t="array" ref="J206">_xlfn.IFS('ProductSprint Backlog'!$F206="", "", AND('ProductSprint Backlog'!$J206&gt;J$2,'ProductSprint Backlog'!$I206&lt;=J$2), 'ProductSprint Backlog'!$F206 / MAX(1, 'ProductSprint Backlog'!$J206-'ProductSprint Backlog'!$I206), AND('ProductSprint Backlog'!$J206=J$2,'ProductSprint Backlog'!$I206=J$2), 'ProductSprint Backlog'!$F206, TRUE, 0)</f>
        <v>0</v>
      </c>
      <c r="K206" s="4" cm="1">
        <f t="array" ref="K206">_xlfn.IFS('ProductSprint Backlog'!$F206="", "", AND('ProductSprint Backlog'!$J206&gt;K$2,'ProductSprint Backlog'!$I206&lt;=K$2), 'ProductSprint Backlog'!$F206 / MAX(1, 'ProductSprint Backlog'!$J206-'ProductSprint Backlog'!$I206), AND('ProductSprint Backlog'!$J206=K$2,'ProductSprint Backlog'!$I206=K$2), 'ProductSprint Backlog'!$F206, TRUE, 0)</f>
        <v>0</v>
      </c>
      <c r="L206" s="4" cm="1">
        <f t="array" ref="L206">_xlfn.IFS('ProductSprint Backlog'!$F206="", "", AND('ProductSprint Backlog'!$J206&gt;L$2,'ProductSprint Backlog'!$I206&lt;=L$2), 'ProductSprint Backlog'!$F206 / MAX(1, 'ProductSprint Backlog'!$J206-'ProductSprint Backlog'!$I206), AND('ProductSprint Backlog'!$J206=L$2,'ProductSprint Backlog'!$I206=L$2), 'ProductSprint Backlog'!$F206, TRUE, 0)</f>
        <v>0</v>
      </c>
      <c r="M206" s="4" cm="1">
        <f t="array" ref="M206">_xlfn.IFS('ProductSprint Backlog'!$F206="", "", AND('ProductSprint Backlog'!$J206&gt;M$2,'ProductSprint Backlog'!$I206&lt;=M$2), 'ProductSprint Backlog'!$F206 / MAX(1, 'ProductSprint Backlog'!$J206-'ProductSprint Backlog'!$I206), AND('ProductSprint Backlog'!$J206=M$2,'ProductSprint Backlog'!$I206=M$2), 'ProductSprint Backlog'!$F206, TRUE, 0)</f>
        <v>0</v>
      </c>
      <c r="N206" s="4" cm="1">
        <f t="array" ref="N206">_xlfn.IFS('ProductSprint Backlog'!$F206="", "", AND('ProductSprint Backlog'!$J206&gt;N$2,'ProductSprint Backlog'!$I206&lt;=N$2), 'ProductSprint Backlog'!$F206 / MAX(1, 'ProductSprint Backlog'!$J206-'ProductSprint Backlog'!$I206), AND('ProductSprint Backlog'!$J206=N$2,'ProductSprint Backlog'!$I206=N$2), 'ProductSprint Backlog'!$F206, TRUE, 0)</f>
        <v>0.33333333333333331</v>
      </c>
      <c r="O206" s="4" cm="1">
        <f t="array" ref="O206">_xlfn.IFS('ProductSprint Backlog'!$F206="", "", AND('ProductSprint Backlog'!$J206&gt;O$2,'ProductSprint Backlog'!$I206&lt;=O$2), 'ProductSprint Backlog'!$F206 / MAX(1, 'ProductSprint Backlog'!$J206-'ProductSprint Backlog'!$I206), AND('ProductSprint Backlog'!$J206=O$2,'ProductSprint Backlog'!$I206=O$2), 'ProductSprint Backlog'!$F206, TRUE, 0)</f>
        <v>0.33333333333333331</v>
      </c>
      <c r="P206" s="4" cm="1">
        <f t="array" ref="P206">_xlfn.IFS('ProductSprint Backlog'!$F206="", "", AND('ProductSprint Backlog'!$J206&gt;P$2,'ProductSprint Backlog'!$I206&lt;=P$2), 'ProductSprint Backlog'!$F206 / MAX(1, 'ProductSprint Backlog'!$J206-'ProductSprint Backlog'!$I206), AND('ProductSprint Backlog'!$J206=P$2,'ProductSprint Backlog'!$I206=P$2), 'ProductSprint Backlog'!$F206, TRUE, 0)</f>
        <v>0.33333333333333331</v>
      </c>
      <c r="Q206" s="4" cm="1">
        <f t="array" ref="Q206">_xlfn.IFS('ProductSprint Backlog'!$F206="", "", AND('ProductSprint Backlog'!$J206&gt;Q$2,'ProductSprint Backlog'!$I206&lt;=Q$2), 'ProductSprint Backlog'!$F206 / MAX(1, 'ProductSprint Backlog'!$J206-'ProductSprint Backlog'!$I206), AND('ProductSprint Backlog'!$J206=Q$2,'ProductSprint Backlog'!$I206=Q$2), 'ProductSprint Backlog'!$F206, TRUE, 0)</f>
        <v>0</v>
      </c>
    </row>
    <row r="207" spans="2:17" x14ac:dyDescent="0.2">
      <c r="B207" s="4" cm="1">
        <f t="array" ref="B207">_xlfn.IFS('ProductSprint Backlog'!$F207="", "", AND('ProductSprint Backlog'!$J207&gt;B$2,'ProductSprint Backlog'!$I207&lt;=B$2), 'ProductSprint Backlog'!$F207 / MAX(1, 'ProductSprint Backlog'!$J207-'ProductSprint Backlog'!$I207), AND('ProductSprint Backlog'!$J207=B$2,'ProductSprint Backlog'!$I207=B$2), 'ProductSprint Backlog'!$F207, TRUE, 0)</f>
        <v>0</v>
      </c>
      <c r="C207" s="4" cm="1">
        <f t="array" ref="C207">_xlfn.IFS('ProductSprint Backlog'!$F207="", "", AND('ProductSprint Backlog'!$J207&gt;C$2,'ProductSprint Backlog'!$I207&lt;=C$2), 'ProductSprint Backlog'!$F207 / MAX(1, 'ProductSprint Backlog'!$J207-'ProductSprint Backlog'!$I207), AND('ProductSprint Backlog'!$J207=C$2,'ProductSprint Backlog'!$I207=C$2), 'ProductSprint Backlog'!$F207, TRUE, 0)</f>
        <v>0</v>
      </c>
      <c r="D207" s="4" cm="1">
        <f t="array" ref="D207">_xlfn.IFS('ProductSprint Backlog'!$F207="", "", AND('ProductSprint Backlog'!$J207&gt;D$2,'ProductSprint Backlog'!$I207&lt;=D$2), 'ProductSprint Backlog'!$F207 / MAX(1, 'ProductSprint Backlog'!$J207-'ProductSprint Backlog'!$I207), AND('ProductSprint Backlog'!$J207=D$2,'ProductSprint Backlog'!$I207=D$2), 'ProductSprint Backlog'!$F207, TRUE, 0)</f>
        <v>0</v>
      </c>
      <c r="E207" s="4" cm="1">
        <f t="array" ref="E207">_xlfn.IFS('ProductSprint Backlog'!$F207="", "", AND('ProductSprint Backlog'!$J207&gt;E$2,'ProductSprint Backlog'!$I207&lt;=E$2), 'ProductSprint Backlog'!$F207 / MAX(1, 'ProductSprint Backlog'!$J207-'ProductSprint Backlog'!$I207), AND('ProductSprint Backlog'!$J207=E$2,'ProductSprint Backlog'!$I207=E$2), 'ProductSprint Backlog'!$F207, TRUE, 0)</f>
        <v>0</v>
      </c>
      <c r="F207" s="4" cm="1">
        <f t="array" ref="F207">_xlfn.IFS('ProductSprint Backlog'!$F207="", "", AND('ProductSprint Backlog'!$J207&gt;F$2,'ProductSprint Backlog'!$I207&lt;=F$2), 'ProductSprint Backlog'!$F207 / MAX(1, 'ProductSprint Backlog'!$J207-'ProductSprint Backlog'!$I207), AND('ProductSprint Backlog'!$J207=F$2,'ProductSprint Backlog'!$I207=F$2), 'ProductSprint Backlog'!$F207, TRUE, 0)</f>
        <v>0</v>
      </c>
      <c r="G207" s="4" cm="1">
        <f t="array" ref="G207">_xlfn.IFS('ProductSprint Backlog'!$F207="", "", AND('ProductSprint Backlog'!$J207&gt;G$2,'ProductSprint Backlog'!$I207&lt;=G$2), 'ProductSprint Backlog'!$F207 / MAX(1, 'ProductSprint Backlog'!$J207-'ProductSprint Backlog'!$I207), AND('ProductSprint Backlog'!$J207=G$2,'ProductSprint Backlog'!$I207=G$2), 'ProductSprint Backlog'!$F207, TRUE, 0)</f>
        <v>0</v>
      </c>
      <c r="H207" s="4" cm="1">
        <f t="array" ref="H207">_xlfn.IFS('ProductSprint Backlog'!$F207="", "", AND('ProductSprint Backlog'!$J207&gt;H$2,'ProductSprint Backlog'!$I207&lt;=H$2), 'ProductSprint Backlog'!$F207 / MAX(1, 'ProductSprint Backlog'!$J207-'ProductSprint Backlog'!$I207), AND('ProductSprint Backlog'!$J207=H$2,'ProductSprint Backlog'!$I207=H$2), 'ProductSprint Backlog'!$F207, TRUE, 0)</f>
        <v>0</v>
      </c>
      <c r="I207" s="4" cm="1">
        <f t="array" ref="I207">_xlfn.IFS('ProductSprint Backlog'!$F207="", "", AND('ProductSprint Backlog'!$J207&gt;I$2,'ProductSprint Backlog'!$I207&lt;=I$2), 'ProductSprint Backlog'!$F207 / MAX(1, 'ProductSprint Backlog'!$J207-'ProductSprint Backlog'!$I207), AND('ProductSprint Backlog'!$J207=I$2,'ProductSprint Backlog'!$I207=I$2), 'ProductSprint Backlog'!$F207, TRUE, 0)</f>
        <v>0</v>
      </c>
      <c r="J207" s="4" cm="1">
        <f t="array" ref="J207">_xlfn.IFS('ProductSprint Backlog'!$F207="", "", AND('ProductSprint Backlog'!$J207&gt;J$2,'ProductSprint Backlog'!$I207&lt;=J$2), 'ProductSprint Backlog'!$F207 / MAX(1, 'ProductSprint Backlog'!$J207-'ProductSprint Backlog'!$I207), AND('ProductSprint Backlog'!$J207=J$2,'ProductSprint Backlog'!$I207=J$2), 'ProductSprint Backlog'!$F207, TRUE, 0)</f>
        <v>0</v>
      </c>
      <c r="K207" s="4" cm="1">
        <f t="array" ref="K207">_xlfn.IFS('ProductSprint Backlog'!$F207="", "", AND('ProductSprint Backlog'!$J207&gt;K$2,'ProductSprint Backlog'!$I207&lt;=K$2), 'ProductSprint Backlog'!$F207 / MAX(1, 'ProductSprint Backlog'!$J207-'ProductSprint Backlog'!$I207), AND('ProductSprint Backlog'!$J207=K$2,'ProductSprint Backlog'!$I207=K$2), 'ProductSprint Backlog'!$F207, TRUE, 0)</f>
        <v>0</v>
      </c>
      <c r="L207" s="4" cm="1">
        <f t="array" ref="L207">_xlfn.IFS('ProductSprint Backlog'!$F207="", "", AND('ProductSprint Backlog'!$J207&gt;L$2,'ProductSprint Backlog'!$I207&lt;=L$2), 'ProductSprint Backlog'!$F207 / MAX(1, 'ProductSprint Backlog'!$J207-'ProductSprint Backlog'!$I207), AND('ProductSprint Backlog'!$J207=L$2,'ProductSprint Backlog'!$I207=L$2), 'ProductSprint Backlog'!$F207, TRUE, 0)</f>
        <v>0</v>
      </c>
      <c r="M207" s="4" cm="1">
        <f t="array" ref="M207">_xlfn.IFS('ProductSprint Backlog'!$F207="", "", AND('ProductSprint Backlog'!$J207&gt;M$2,'ProductSprint Backlog'!$I207&lt;=M$2), 'ProductSprint Backlog'!$F207 / MAX(1, 'ProductSprint Backlog'!$J207-'ProductSprint Backlog'!$I207), AND('ProductSprint Backlog'!$J207=M$2,'ProductSprint Backlog'!$I207=M$2), 'ProductSprint Backlog'!$F207, TRUE, 0)</f>
        <v>0</v>
      </c>
      <c r="N207" s="4" cm="1">
        <f t="array" ref="N207">_xlfn.IFS('ProductSprint Backlog'!$F207="", "", AND('ProductSprint Backlog'!$J207&gt;N$2,'ProductSprint Backlog'!$I207&lt;=N$2), 'ProductSprint Backlog'!$F207 / MAX(1, 'ProductSprint Backlog'!$J207-'ProductSprint Backlog'!$I207), AND('ProductSprint Backlog'!$J207=N$2,'ProductSprint Backlog'!$I207=N$2), 'ProductSprint Backlog'!$F207, TRUE, 0)</f>
        <v>0.33333333333333331</v>
      </c>
      <c r="O207" s="4" cm="1">
        <f t="array" ref="O207">_xlfn.IFS('ProductSprint Backlog'!$F207="", "", AND('ProductSprint Backlog'!$J207&gt;O$2,'ProductSprint Backlog'!$I207&lt;=O$2), 'ProductSprint Backlog'!$F207 / MAX(1, 'ProductSprint Backlog'!$J207-'ProductSprint Backlog'!$I207), AND('ProductSprint Backlog'!$J207=O$2,'ProductSprint Backlog'!$I207=O$2), 'ProductSprint Backlog'!$F207, TRUE, 0)</f>
        <v>0.33333333333333331</v>
      </c>
      <c r="P207" s="4" cm="1">
        <f t="array" ref="P207">_xlfn.IFS('ProductSprint Backlog'!$F207="", "", AND('ProductSprint Backlog'!$J207&gt;P$2,'ProductSprint Backlog'!$I207&lt;=P$2), 'ProductSprint Backlog'!$F207 / MAX(1, 'ProductSprint Backlog'!$J207-'ProductSprint Backlog'!$I207), AND('ProductSprint Backlog'!$J207=P$2,'ProductSprint Backlog'!$I207=P$2), 'ProductSprint Backlog'!$F207, TRUE, 0)</f>
        <v>0.33333333333333331</v>
      </c>
      <c r="Q207" s="4" cm="1">
        <f t="array" ref="Q207">_xlfn.IFS('ProductSprint Backlog'!$F207="", "", AND('ProductSprint Backlog'!$J207&gt;Q$2,'ProductSprint Backlog'!$I207&lt;=Q$2), 'ProductSprint Backlog'!$F207 / MAX(1, 'ProductSprint Backlog'!$J207-'ProductSprint Backlog'!$I207), AND('ProductSprint Backlog'!$J207=Q$2,'ProductSprint Backlog'!$I207=Q$2), 'ProductSprint Backlog'!$F207, TRUE, 0)</f>
        <v>0</v>
      </c>
    </row>
    <row r="208" spans="2:17" x14ac:dyDescent="0.2">
      <c r="B208" s="4" cm="1">
        <f t="array" ref="B208">_xlfn.IFS('ProductSprint Backlog'!$F208="", "", AND('ProductSprint Backlog'!$J208&gt;B$2,'ProductSprint Backlog'!$I208&lt;=B$2), 'ProductSprint Backlog'!$F208 / MAX(1, 'ProductSprint Backlog'!$J208-'ProductSprint Backlog'!$I208), AND('ProductSprint Backlog'!$J208=B$2,'ProductSprint Backlog'!$I208=B$2), 'ProductSprint Backlog'!$F208, TRUE, 0)</f>
        <v>0</v>
      </c>
      <c r="C208" s="4" cm="1">
        <f t="array" ref="C208">_xlfn.IFS('ProductSprint Backlog'!$F208="", "", AND('ProductSprint Backlog'!$J208&gt;C$2,'ProductSprint Backlog'!$I208&lt;=C$2), 'ProductSprint Backlog'!$F208 / MAX(1, 'ProductSprint Backlog'!$J208-'ProductSprint Backlog'!$I208), AND('ProductSprint Backlog'!$J208=C$2,'ProductSprint Backlog'!$I208=C$2), 'ProductSprint Backlog'!$F208, TRUE, 0)</f>
        <v>0</v>
      </c>
      <c r="D208" s="4" cm="1">
        <f t="array" ref="D208">_xlfn.IFS('ProductSprint Backlog'!$F208="", "", AND('ProductSprint Backlog'!$J208&gt;D$2,'ProductSprint Backlog'!$I208&lt;=D$2), 'ProductSprint Backlog'!$F208 / MAX(1, 'ProductSprint Backlog'!$J208-'ProductSprint Backlog'!$I208), AND('ProductSprint Backlog'!$J208=D$2,'ProductSprint Backlog'!$I208=D$2), 'ProductSprint Backlog'!$F208, TRUE, 0)</f>
        <v>0</v>
      </c>
      <c r="E208" s="4" cm="1">
        <f t="array" ref="E208">_xlfn.IFS('ProductSprint Backlog'!$F208="", "", AND('ProductSprint Backlog'!$J208&gt;E$2,'ProductSprint Backlog'!$I208&lt;=E$2), 'ProductSprint Backlog'!$F208 / MAX(1, 'ProductSprint Backlog'!$J208-'ProductSprint Backlog'!$I208), AND('ProductSprint Backlog'!$J208=E$2,'ProductSprint Backlog'!$I208=E$2), 'ProductSprint Backlog'!$F208, TRUE, 0)</f>
        <v>0</v>
      </c>
      <c r="F208" s="4" cm="1">
        <f t="array" ref="F208">_xlfn.IFS('ProductSprint Backlog'!$F208="", "", AND('ProductSprint Backlog'!$J208&gt;F$2,'ProductSprint Backlog'!$I208&lt;=F$2), 'ProductSprint Backlog'!$F208 / MAX(1, 'ProductSprint Backlog'!$J208-'ProductSprint Backlog'!$I208), AND('ProductSprint Backlog'!$J208=F$2,'ProductSprint Backlog'!$I208=F$2), 'ProductSprint Backlog'!$F208, TRUE, 0)</f>
        <v>0</v>
      </c>
      <c r="G208" s="4" cm="1">
        <f t="array" ref="G208">_xlfn.IFS('ProductSprint Backlog'!$F208="", "", AND('ProductSprint Backlog'!$J208&gt;G$2,'ProductSprint Backlog'!$I208&lt;=G$2), 'ProductSprint Backlog'!$F208 / MAX(1, 'ProductSprint Backlog'!$J208-'ProductSprint Backlog'!$I208), AND('ProductSprint Backlog'!$J208=G$2,'ProductSprint Backlog'!$I208=G$2), 'ProductSprint Backlog'!$F208, TRUE, 0)</f>
        <v>0</v>
      </c>
      <c r="H208" s="4" cm="1">
        <f t="array" ref="H208">_xlfn.IFS('ProductSprint Backlog'!$F208="", "", AND('ProductSprint Backlog'!$J208&gt;H$2,'ProductSprint Backlog'!$I208&lt;=H$2), 'ProductSprint Backlog'!$F208 / MAX(1, 'ProductSprint Backlog'!$J208-'ProductSprint Backlog'!$I208), AND('ProductSprint Backlog'!$J208=H$2,'ProductSprint Backlog'!$I208=H$2), 'ProductSprint Backlog'!$F208, TRUE, 0)</f>
        <v>0</v>
      </c>
      <c r="I208" s="4" cm="1">
        <f t="array" ref="I208">_xlfn.IFS('ProductSprint Backlog'!$F208="", "", AND('ProductSprint Backlog'!$J208&gt;I$2,'ProductSprint Backlog'!$I208&lt;=I$2), 'ProductSprint Backlog'!$F208 / MAX(1, 'ProductSprint Backlog'!$J208-'ProductSprint Backlog'!$I208), AND('ProductSprint Backlog'!$J208=I$2,'ProductSprint Backlog'!$I208=I$2), 'ProductSprint Backlog'!$F208, TRUE, 0)</f>
        <v>0</v>
      </c>
      <c r="J208" s="4" cm="1">
        <f t="array" ref="J208">_xlfn.IFS('ProductSprint Backlog'!$F208="", "", AND('ProductSprint Backlog'!$J208&gt;J$2,'ProductSprint Backlog'!$I208&lt;=J$2), 'ProductSprint Backlog'!$F208 / MAX(1, 'ProductSprint Backlog'!$J208-'ProductSprint Backlog'!$I208), AND('ProductSprint Backlog'!$J208=J$2,'ProductSprint Backlog'!$I208=J$2), 'ProductSprint Backlog'!$F208, TRUE, 0)</f>
        <v>0</v>
      </c>
      <c r="K208" s="4" cm="1">
        <f t="array" ref="K208">_xlfn.IFS('ProductSprint Backlog'!$F208="", "", AND('ProductSprint Backlog'!$J208&gt;K$2,'ProductSprint Backlog'!$I208&lt;=K$2), 'ProductSprint Backlog'!$F208 / MAX(1, 'ProductSprint Backlog'!$J208-'ProductSprint Backlog'!$I208), AND('ProductSprint Backlog'!$J208=K$2,'ProductSprint Backlog'!$I208=K$2), 'ProductSprint Backlog'!$F208, TRUE, 0)</f>
        <v>0</v>
      </c>
      <c r="L208" s="4" cm="1">
        <f t="array" ref="L208">_xlfn.IFS('ProductSprint Backlog'!$F208="", "", AND('ProductSprint Backlog'!$J208&gt;L$2,'ProductSprint Backlog'!$I208&lt;=L$2), 'ProductSprint Backlog'!$F208 / MAX(1, 'ProductSprint Backlog'!$J208-'ProductSprint Backlog'!$I208), AND('ProductSprint Backlog'!$J208=L$2,'ProductSprint Backlog'!$I208=L$2), 'ProductSprint Backlog'!$F208, TRUE, 0)</f>
        <v>0</v>
      </c>
      <c r="M208" s="4" cm="1">
        <f t="array" ref="M208">_xlfn.IFS('ProductSprint Backlog'!$F208="", "", AND('ProductSprint Backlog'!$J208&gt;M$2,'ProductSprint Backlog'!$I208&lt;=M$2), 'ProductSprint Backlog'!$F208 / MAX(1, 'ProductSprint Backlog'!$J208-'ProductSprint Backlog'!$I208), AND('ProductSprint Backlog'!$J208=M$2,'ProductSprint Backlog'!$I208=M$2), 'ProductSprint Backlog'!$F208, TRUE, 0)</f>
        <v>0</v>
      </c>
      <c r="N208" s="4" cm="1">
        <f t="array" ref="N208">_xlfn.IFS('ProductSprint Backlog'!$F208="", "", AND('ProductSprint Backlog'!$J208&gt;N$2,'ProductSprint Backlog'!$I208&lt;=N$2), 'ProductSprint Backlog'!$F208 / MAX(1, 'ProductSprint Backlog'!$J208-'ProductSprint Backlog'!$I208), AND('ProductSprint Backlog'!$J208=N$2,'ProductSprint Backlog'!$I208=N$2), 'ProductSprint Backlog'!$F208, TRUE, 0)</f>
        <v>0.33333333333333331</v>
      </c>
      <c r="O208" s="4" cm="1">
        <f t="array" ref="O208">_xlfn.IFS('ProductSprint Backlog'!$F208="", "", AND('ProductSprint Backlog'!$J208&gt;O$2,'ProductSprint Backlog'!$I208&lt;=O$2), 'ProductSprint Backlog'!$F208 / MAX(1, 'ProductSprint Backlog'!$J208-'ProductSprint Backlog'!$I208), AND('ProductSprint Backlog'!$J208=O$2,'ProductSprint Backlog'!$I208=O$2), 'ProductSprint Backlog'!$F208, TRUE, 0)</f>
        <v>0.33333333333333331</v>
      </c>
      <c r="P208" s="4" cm="1">
        <f t="array" ref="P208">_xlfn.IFS('ProductSprint Backlog'!$F208="", "", AND('ProductSprint Backlog'!$J208&gt;P$2,'ProductSprint Backlog'!$I208&lt;=P$2), 'ProductSprint Backlog'!$F208 / MAX(1, 'ProductSprint Backlog'!$J208-'ProductSprint Backlog'!$I208), AND('ProductSprint Backlog'!$J208=P$2,'ProductSprint Backlog'!$I208=P$2), 'ProductSprint Backlog'!$F208, TRUE, 0)</f>
        <v>0.33333333333333331</v>
      </c>
      <c r="Q208" s="4" cm="1">
        <f t="array" ref="Q208">_xlfn.IFS('ProductSprint Backlog'!$F208="", "", AND('ProductSprint Backlog'!$J208&gt;Q$2,'ProductSprint Backlog'!$I208&lt;=Q$2), 'ProductSprint Backlog'!$F208 / MAX(1, 'ProductSprint Backlog'!$J208-'ProductSprint Backlog'!$I208), AND('ProductSprint Backlog'!$J208=Q$2,'ProductSprint Backlog'!$I208=Q$2), 'ProductSprint Backlog'!$F208, TRUE, 0)</f>
        <v>0</v>
      </c>
    </row>
    <row r="209" spans="2:17" x14ac:dyDescent="0.2">
      <c r="B209" s="4" cm="1">
        <f t="array" ref="B209">_xlfn.IFS('ProductSprint Backlog'!$F209="", "", AND('ProductSprint Backlog'!$J209&gt;B$2,'ProductSprint Backlog'!$I209&lt;=B$2), 'ProductSprint Backlog'!$F209 / MAX(1, 'ProductSprint Backlog'!$J209-'ProductSprint Backlog'!$I209), AND('ProductSprint Backlog'!$J209=B$2,'ProductSprint Backlog'!$I209=B$2), 'ProductSprint Backlog'!$F209, TRUE, 0)</f>
        <v>0</v>
      </c>
      <c r="C209" s="4" cm="1">
        <f t="array" ref="C209">_xlfn.IFS('ProductSprint Backlog'!$F209="", "", AND('ProductSprint Backlog'!$J209&gt;C$2,'ProductSprint Backlog'!$I209&lt;=C$2), 'ProductSprint Backlog'!$F209 / MAX(1, 'ProductSprint Backlog'!$J209-'ProductSprint Backlog'!$I209), AND('ProductSprint Backlog'!$J209=C$2,'ProductSprint Backlog'!$I209=C$2), 'ProductSprint Backlog'!$F209, TRUE, 0)</f>
        <v>0</v>
      </c>
      <c r="D209" s="4" cm="1">
        <f t="array" ref="D209">_xlfn.IFS('ProductSprint Backlog'!$F209="", "", AND('ProductSprint Backlog'!$J209&gt;D$2,'ProductSprint Backlog'!$I209&lt;=D$2), 'ProductSprint Backlog'!$F209 / MAX(1, 'ProductSprint Backlog'!$J209-'ProductSprint Backlog'!$I209), AND('ProductSprint Backlog'!$J209=D$2,'ProductSprint Backlog'!$I209=D$2), 'ProductSprint Backlog'!$F209, TRUE, 0)</f>
        <v>0</v>
      </c>
      <c r="E209" s="4" cm="1">
        <f t="array" ref="E209">_xlfn.IFS('ProductSprint Backlog'!$F209="", "", AND('ProductSprint Backlog'!$J209&gt;E$2,'ProductSprint Backlog'!$I209&lt;=E$2), 'ProductSprint Backlog'!$F209 / MAX(1, 'ProductSprint Backlog'!$J209-'ProductSprint Backlog'!$I209), AND('ProductSprint Backlog'!$J209=E$2,'ProductSprint Backlog'!$I209=E$2), 'ProductSprint Backlog'!$F209, TRUE, 0)</f>
        <v>0</v>
      </c>
      <c r="F209" s="4" cm="1">
        <f t="array" ref="F209">_xlfn.IFS('ProductSprint Backlog'!$F209="", "", AND('ProductSprint Backlog'!$J209&gt;F$2,'ProductSprint Backlog'!$I209&lt;=F$2), 'ProductSprint Backlog'!$F209 / MAX(1, 'ProductSprint Backlog'!$J209-'ProductSprint Backlog'!$I209), AND('ProductSprint Backlog'!$J209=F$2,'ProductSprint Backlog'!$I209=F$2), 'ProductSprint Backlog'!$F209, TRUE, 0)</f>
        <v>0</v>
      </c>
      <c r="G209" s="4" cm="1">
        <f t="array" ref="G209">_xlfn.IFS('ProductSprint Backlog'!$F209="", "", AND('ProductSprint Backlog'!$J209&gt;G$2,'ProductSprint Backlog'!$I209&lt;=G$2), 'ProductSprint Backlog'!$F209 / MAX(1, 'ProductSprint Backlog'!$J209-'ProductSprint Backlog'!$I209), AND('ProductSprint Backlog'!$J209=G$2,'ProductSprint Backlog'!$I209=G$2), 'ProductSprint Backlog'!$F209, TRUE, 0)</f>
        <v>0</v>
      </c>
      <c r="H209" s="4" cm="1">
        <f t="array" ref="H209">_xlfn.IFS('ProductSprint Backlog'!$F209="", "", AND('ProductSprint Backlog'!$J209&gt;H$2,'ProductSprint Backlog'!$I209&lt;=H$2), 'ProductSprint Backlog'!$F209 / MAX(1, 'ProductSprint Backlog'!$J209-'ProductSprint Backlog'!$I209), AND('ProductSprint Backlog'!$J209=H$2,'ProductSprint Backlog'!$I209=H$2), 'ProductSprint Backlog'!$F209, TRUE, 0)</f>
        <v>0</v>
      </c>
      <c r="I209" s="4" cm="1">
        <f t="array" ref="I209">_xlfn.IFS('ProductSprint Backlog'!$F209="", "", AND('ProductSprint Backlog'!$J209&gt;I$2,'ProductSprint Backlog'!$I209&lt;=I$2), 'ProductSprint Backlog'!$F209 / MAX(1, 'ProductSprint Backlog'!$J209-'ProductSprint Backlog'!$I209), AND('ProductSprint Backlog'!$J209=I$2,'ProductSprint Backlog'!$I209=I$2), 'ProductSprint Backlog'!$F209, TRUE, 0)</f>
        <v>0</v>
      </c>
      <c r="J209" s="4" cm="1">
        <f t="array" ref="J209">_xlfn.IFS('ProductSprint Backlog'!$F209="", "", AND('ProductSprint Backlog'!$J209&gt;J$2,'ProductSprint Backlog'!$I209&lt;=J$2), 'ProductSprint Backlog'!$F209 / MAX(1, 'ProductSprint Backlog'!$J209-'ProductSprint Backlog'!$I209), AND('ProductSprint Backlog'!$J209=J$2,'ProductSprint Backlog'!$I209=J$2), 'ProductSprint Backlog'!$F209, TRUE, 0)</f>
        <v>0</v>
      </c>
      <c r="K209" s="4" cm="1">
        <f t="array" ref="K209">_xlfn.IFS('ProductSprint Backlog'!$F209="", "", AND('ProductSprint Backlog'!$J209&gt;K$2,'ProductSprint Backlog'!$I209&lt;=K$2), 'ProductSprint Backlog'!$F209 / MAX(1, 'ProductSprint Backlog'!$J209-'ProductSprint Backlog'!$I209), AND('ProductSprint Backlog'!$J209=K$2,'ProductSprint Backlog'!$I209=K$2), 'ProductSprint Backlog'!$F209, TRUE, 0)</f>
        <v>0</v>
      </c>
      <c r="L209" s="4" cm="1">
        <f t="array" ref="L209">_xlfn.IFS('ProductSprint Backlog'!$F209="", "", AND('ProductSprint Backlog'!$J209&gt;L$2,'ProductSprint Backlog'!$I209&lt;=L$2), 'ProductSprint Backlog'!$F209 / MAX(1, 'ProductSprint Backlog'!$J209-'ProductSprint Backlog'!$I209), AND('ProductSprint Backlog'!$J209=L$2,'ProductSprint Backlog'!$I209=L$2), 'ProductSprint Backlog'!$F209, TRUE, 0)</f>
        <v>0</v>
      </c>
      <c r="M209" s="4" cm="1">
        <f t="array" ref="M209">_xlfn.IFS('ProductSprint Backlog'!$F209="", "", AND('ProductSprint Backlog'!$J209&gt;M$2,'ProductSprint Backlog'!$I209&lt;=M$2), 'ProductSprint Backlog'!$F209 / MAX(1, 'ProductSprint Backlog'!$J209-'ProductSprint Backlog'!$I209), AND('ProductSprint Backlog'!$J209=M$2,'ProductSprint Backlog'!$I209=M$2), 'ProductSprint Backlog'!$F209, TRUE, 0)</f>
        <v>0</v>
      </c>
      <c r="N209" s="4" cm="1">
        <f t="array" ref="N209">_xlfn.IFS('ProductSprint Backlog'!$F209="", "", AND('ProductSprint Backlog'!$J209&gt;N$2,'ProductSprint Backlog'!$I209&lt;=N$2), 'ProductSprint Backlog'!$F209 / MAX(1, 'ProductSprint Backlog'!$J209-'ProductSprint Backlog'!$I209), AND('ProductSprint Backlog'!$J209=N$2,'ProductSprint Backlog'!$I209=N$2), 'ProductSprint Backlog'!$F209, TRUE, 0)</f>
        <v>0.33333333333333331</v>
      </c>
      <c r="O209" s="4" cm="1">
        <f t="array" ref="O209">_xlfn.IFS('ProductSprint Backlog'!$F209="", "", AND('ProductSprint Backlog'!$J209&gt;O$2,'ProductSprint Backlog'!$I209&lt;=O$2), 'ProductSprint Backlog'!$F209 / MAX(1, 'ProductSprint Backlog'!$J209-'ProductSprint Backlog'!$I209), AND('ProductSprint Backlog'!$J209=O$2,'ProductSprint Backlog'!$I209=O$2), 'ProductSprint Backlog'!$F209, TRUE, 0)</f>
        <v>0.33333333333333331</v>
      </c>
      <c r="P209" s="4" cm="1">
        <f t="array" ref="P209">_xlfn.IFS('ProductSprint Backlog'!$F209="", "", AND('ProductSprint Backlog'!$J209&gt;P$2,'ProductSprint Backlog'!$I209&lt;=P$2), 'ProductSprint Backlog'!$F209 / MAX(1, 'ProductSprint Backlog'!$J209-'ProductSprint Backlog'!$I209), AND('ProductSprint Backlog'!$J209=P$2,'ProductSprint Backlog'!$I209=P$2), 'ProductSprint Backlog'!$F209, TRUE, 0)</f>
        <v>0.33333333333333331</v>
      </c>
      <c r="Q209" s="4" cm="1">
        <f t="array" ref="Q209">_xlfn.IFS('ProductSprint Backlog'!$F209="", "", AND('ProductSprint Backlog'!$J209&gt;Q$2,'ProductSprint Backlog'!$I209&lt;=Q$2), 'ProductSprint Backlog'!$F209 / MAX(1, 'ProductSprint Backlog'!$J209-'ProductSprint Backlog'!$I209), AND('ProductSprint Backlog'!$J209=Q$2,'ProductSprint Backlog'!$I209=Q$2), 'ProductSprint Backlog'!$F209, TRUE, 0)</f>
        <v>0</v>
      </c>
    </row>
    <row r="210" spans="2:17" x14ac:dyDescent="0.2">
      <c r="B210" s="4" cm="1">
        <f t="array" ref="B210">_xlfn.IFS('ProductSprint Backlog'!$F210="", "", AND('ProductSprint Backlog'!$J210&gt;B$2,'ProductSprint Backlog'!$I210&lt;=B$2), 'ProductSprint Backlog'!$F210 / MAX(1, 'ProductSprint Backlog'!$J210-'ProductSprint Backlog'!$I210), AND('ProductSprint Backlog'!$J210=B$2,'ProductSprint Backlog'!$I210=B$2), 'ProductSprint Backlog'!$F210, TRUE, 0)</f>
        <v>0.33333333333333331</v>
      </c>
      <c r="C210" s="4" cm="1">
        <f t="array" ref="C210">_xlfn.IFS('ProductSprint Backlog'!$F210="", "", AND('ProductSprint Backlog'!$J210&gt;C$2,'ProductSprint Backlog'!$I210&lt;=C$2), 'ProductSprint Backlog'!$F210 / MAX(1, 'ProductSprint Backlog'!$J210-'ProductSprint Backlog'!$I210), AND('ProductSprint Backlog'!$J210=C$2,'ProductSprint Backlog'!$I210=C$2), 'ProductSprint Backlog'!$F210, TRUE, 0)</f>
        <v>0.33333333333333331</v>
      </c>
      <c r="D210" s="4" cm="1">
        <f t="array" ref="D210">_xlfn.IFS('ProductSprint Backlog'!$F210="", "", AND('ProductSprint Backlog'!$J210&gt;D$2,'ProductSprint Backlog'!$I210&lt;=D$2), 'ProductSprint Backlog'!$F210 / MAX(1, 'ProductSprint Backlog'!$J210-'ProductSprint Backlog'!$I210), AND('ProductSprint Backlog'!$J210=D$2,'ProductSprint Backlog'!$I210=D$2), 'ProductSprint Backlog'!$F210, TRUE, 0)</f>
        <v>0.33333333333333331</v>
      </c>
      <c r="E210" s="4" cm="1">
        <f t="array" ref="E210">_xlfn.IFS('ProductSprint Backlog'!$F210="", "", AND('ProductSprint Backlog'!$J210&gt;E$2,'ProductSprint Backlog'!$I210&lt;=E$2), 'ProductSprint Backlog'!$F210 / MAX(1, 'ProductSprint Backlog'!$J210-'ProductSprint Backlog'!$I210), AND('ProductSprint Backlog'!$J210=E$2,'ProductSprint Backlog'!$I210=E$2), 'ProductSprint Backlog'!$F210, TRUE, 0)</f>
        <v>0</v>
      </c>
      <c r="F210" s="4" cm="1">
        <f t="array" ref="F210">_xlfn.IFS('ProductSprint Backlog'!$F210="", "", AND('ProductSprint Backlog'!$J210&gt;F$2,'ProductSprint Backlog'!$I210&lt;=F$2), 'ProductSprint Backlog'!$F210 / MAX(1, 'ProductSprint Backlog'!$J210-'ProductSprint Backlog'!$I210), AND('ProductSprint Backlog'!$J210=F$2,'ProductSprint Backlog'!$I210=F$2), 'ProductSprint Backlog'!$F210, TRUE, 0)</f>
        <v>0</v>
      </c>
      <c r="G210" s="4" cm="1">
        <f t="array" ref="G210">_xlfn.IFS('ProductSprint Backlog'!$F210="", "", AND('ProductSprint Backlog'!$J210&gt;G$2,'ProductSprint Backlog'!$I210&lt;=G$2), 'ProductSprint Backlog'!$F210 / MAX(1, 'ProductSprint Backlog'!$J210-'ProductSprint Backlog'!$I210), AND('ProductSprint Backlog'!$J210=G$2,'ProductSprint Backlog'!$I210=G$2), 'ProductSprint Backlog'!$F210, TRUE, 0)</f>
        <v>0</v>
      </c>
      <c r="H210" s="4" cm="1">
        <f t="array" ref="H210">_xlfn.IFS('ProductSprint Backlog'!$F210="", "", AND('ProductSprint Backlog'!$J210&gt;H$2,'ProductSprint Backlog'!$I210&lt;=H$2), 'ProductSprint Backlog'!$F210 / MAX(1, 'ProductSprint Backlog'!$J210-'ProductSprint Backlog'!$I210), AND('ProductSprint Backlog'!$J210=H$2,'ProductSprint Backlog'!$I210=H$2), 'ProductSprint Backlog'!$F210, TRUE, 0)</f>
        <v>0</v>
      </c>
      <c r="I210" s="4" cm="1">
        <f t="array" ref="I210">_xlfn.IFS('ProductSprint Backlog'!$F210="", "", AND('ProductSprint Backlog'!$J210&gt;I$2,'ProductSprint Backlog'!$I210&lt;=I$2), 'ProductSprint Backlog'!$F210 / MAX(1, 'ProductSprint Backlog'!$J210-'ProductSprint Backlog'!$I210), AND('ProductSprint Backlog'!$J210=I$2,'ProductSprint Backlog'!$I210=I$2), 'ProductSprint Backlog'!$F210, TRUE, 0)</f>
        <v>0</v>
      </c>
      <c r="J210" s="4" cm="1">
        <f t="array" ref="J210">_xlfn.IFS('ProductSprint Backlog'!$F210="", "", AND('ProductSprint Backlog'!$J210&gt;J$2,'ProductSprint Backlog'!$I210&lt;=J$2), 'ProductSprint Backlog'!$F210 / MAX(1, 'ProductSprint Backlog'!$J210-'ProductSprint Backlog'!$I210), AND('ProductSprint Backlog'!$J210=J$2,'ProductSprint Backlog'!$I210=J$2), 'ProductSprint Backlog'!$F210, TRUE, 0)</f>
        <v>0</v>
      </c>
      <c r="K210" s="4" cm="1">
        <f t="array" ref="K210">_xlfn.IFS('ProductSprint Backlog'!$F210="", "", AND('ProductSprint Backlog'!$J210&gt;K$2,'ProductSprint Backlog'!$I210&lt;=K$2), 'ProductSprint Backlog'!$F210 / MAX(1, 'ProductSprint Backlog'!$J210-'ProductSprint Backlog'!$I210), AND('ProductSprint Backlog'!$J210=K$2,'ProductSprint Backlog'!$I210=K$2), 'ProductSprint Backlog'!$F210, TRUE, 0)</f>
        <v>0</v>
      </c>
      <c r="L210" s="4" cm="1">
        <f t="array" ref="L210">_xlfn.IFS('ProductSprint Backlog'!$F210="", "", AND('ProductSprint Backlog'!$J210&gt;L$2,'ProductSprint Backlog'!$I210&lt;=L$2), 'ProductSprint Backlog'!$F210 / MAX(1, 'ProductSprint Backlog'!$J210-'ProductSprint Backlog'!$I210), AND('ProductSprint Backlog'!$J210=L$2,'ProductSprint Backlog'!$I210=L$2), 'ProductSprint Backlog'!$F210, TRUE, 0)</f>
        <v>0</v>
      </c>
      <c r="M210" s="4" cm="1">
        <f t="array" ref="M210">_xlfn.IFS('ProductSprint Backlog'!$F210="", "", AND('ProductSprint Backlog'!$J210&gt;M$2,'ProductSprint Backlog'!$I210&lt;=M$2), 'ProductSprint Backlog'!$F210 / MAX(1, 'ProductSprint Backlog'!$J210-'ProductSprint Backlog'!$I210), AND('ProductSprint Backlog'!$J210=M$2,'ProductSprint Backlog'!$I210=M$2), 'ProductSprint Backlog'!$F210, TRUE, 0)</f>
        <v>0</v>
      </c>
      <c r="N210" s="4" cm="1">
        <f t="array" ref="N210">_xlfn.IFS('ProductSprint Backlog'!$F210="", "", AND('ProductSprint Backlog'!$J210&gt;N$2,'ProductSprint Backlog'!$I210&lt;=N$2), 'ProductSprint Backlog'!$F210 / MAX(1, 'ProductSprint Backlog'!$J210-'ProductSprint Backlog'!$I210), AND('ProductSprint Backlog'!$J210=N$2,'ProductSprint Backlog'!$I210=N$2), 'ProductSprint Backlog'!$F210, TRUE, 0)</f>
        <v>0</v>
      </c>
      <c r="O210" s="4" cm="1">
        <f t="array" ref="O210">_xlfn.IFS('ProductSprint Backlog'!$F210="", "", AND('ProductSprint Backlog'!$J210&gt;O$2,'ProductSprint Backlog'!$I210&lt;=O$2), 'ProductSprint Backlog'!$F210 / MAX(1, 'ProductSprint Backlog'!$J210-'ProductSprint Backlog'!$I210), AND('ProductSprint Backlog'!$J210=O$2,'ProductSprint Backlog'!$I210=O$2), 'ProductSprint Backlog'!$F210, TRUE, 0)</f>
        <v>0</v>
      </c>
      <c r="P210" s="4" cm="1">
        <f t="array" ref="P210">_xlfn.IFS('ProductSprint Backlog'!$F210="", "", AND('ProductSprint Backlog'!$J210&gt;P$2,'ProductSprint Backlog'!$I210&lt;=P$2), 'ProductSprint Backlog'!$F210 / MAX(1, 'ProductSprint Backlog'!$J210-'ProductSprint Backlog'!$I210), AND('ProductSprint Backlog'!$J210=P$2,'ProductSprint Backlog'!$I210=P$2), 'ProductSprint Backlog'!$F210, TRUE, 0)</f>
        <v>0</v>
      </c>
      <c r="Q210" s="4" cm="1">
        <f t="array" ref="Q210">_xlfn.IFS('ProductSprint Backlog'!$F210="", "", AND('ProductSprint Backlog'!$J210&gt;Q$2,'ProductSprint Backlog'!$I210&lt;=Q$2), 'ProductSprint Backlog'!$F210 / MAX(1, 'ProductSprint Backlog'!$J210-'ProductSprint Backlog'!$I210), AND('ProductSprint Backlog'!$J210=Q$2,'ProductSprint Backlog'!$I210=Q$2), 'ProductSprint Backlog'!$F210, TRUE, 0)</f>
        <v>0</v>
      </c>
    </row>
    <row r="211" spans="2:17" x14ac:dyDescent="0.2">
      <c r="B211" s="4" cm="1">
        <f t="array" ref="B211">_xlfn.IFS('ProductSprint Backlog'!$F211="", "", AND('ProductSprint Backlog'!$J211&gt;B$2,'ProductSprint Backlog'!$I211&lt;=B$2), 'ProductSprint Backlog'!$F211 / MAX(1, 'ProductSprint Backlog'!$J211-'ProductSprint Backlog'!$I211), AND('ProductSprint Backlog'!$J211=B$2,'ProductSprint Backlog'!$I211=B$2), 'ProductSprint Backlog'!$F211, TRUE, 0)</f>
        <v>0.33333333333333331</v>
      </c>
      <c r="C211" s="4" cm="1">
        <f t="array" ref="C211">_xlfn.IFS('ProductSprint Backlog'!$F211="", "", AND('ProductSprint Backlog'!$J211&gt;C$2,'ProductSprint Backlog'!$I211&lt;=C$2), 'ProductSprint Backlog'!$F211 / MAX(1, 'ProductSprint Backlog'!$J211-'ProductSprint Backlog'!$I211), AND('ProductSprint Backlog'!$J211=C$2,'ProductSprint Backlog'!$I211=C$2), 'ProductSprint Backlog'!$F211, TRUE, 0)</f>
        <v>0.33333333333333331</v>
      </c>
      <c r="D211" s="4" cm="1">
        <f t="array" ref="D211">_xlfn.IFS('ProductSprint Backlog'!$F211="", "", AND('ProductSprint Backlog'!$J211&gt;D$2,'ProductSprint Backlog'!$I211&lt;=D$2), 'ProductSprint Backlog'!$F211 / MAX(1, 'ProductSprint Backlog'!$J211-'ProductSprint Backlog'!$I211), AND('ProductSprint Backlog'!$J211=D$2,'ProductSprint Backlog'!$I211=D$2), 'ProductSprint Backlog'!$F211, TRUE, 0)</f>
        <v>0.33333333333333331</v>
      </c>
      <c r="E211" s="4" cm="1">
        <f t="array" ref="E211">_xlfn.IFS('ProductSprint Backlog'!$F211="", "", AND('ProductSprint Backlog'!$J211&gt;E$2,'ProductSprint Backlog'!$I211&lt;=E$2), 'ProductSprint Backlog'!$F211 / MAX(1, 'ProductSprint Backlog'!$J211-'ProductSprint Backlog'!$I211), AND('ProductSprint Backlog'!$J211=E$2,'ProductSprint Backlog'!$I211=E$2), 'ProductSprint Backlog'!$F211, TRUE, 0)</f>
        <v>0</v>
      </c>
      <c r="F211" s="4" cm="1">
        <f t="array" ref="F211">_xlfn.IFS('ProductSprint Backlog'!$F211="", "", AND('ProductSprint Backlog'!$J211&gt;F$2,'ProductSprint Backlog'!$I211&lt;=F$2), 'ProductSprint Backlog'!$F211 / MAX(1, 'ProductSprint Backlog'!$J211-'ProductSprint Backlog'!$I211), AND('ProductSprint Backlog'!$J211=F$2,'ProductSprint Backlog'!$I211=F$2), 'ProductSprint Backlog'!$F211, TRUE, 0)</f>
        <v>0</v>
      </c>
      <c r="G211" s="4" cm="1">
        <f t="array" ref="G211">_xlfn.IFS('ProductSprint Backlog'!$F211="", "", AND('ProductSprint Backlog'!$J211&gt;G$2,'ProductSprint Backlog'!$I211&lt;=G$2), 'ProductSprint Backlog'!$F211 / MAX(1, 'ProductSprint Backlog'!$J211-'ProductSprint Backlog'!$I211), AND('ProductSprint Backlog'!$J211=G$2,'ProductSprint Backlog'!$I211=G$2), 'ProductSprint Backlog'!$F211, TRUE, 0)</f>
        <v>0</v>
      </c>
      <c r="H211" s="4" cm="1">
        <f t="array" ref="H211">_xlfn.IFS('ProductSprint Backlog'!$F211="", "", AND('ProductSprint Backlog'!$J211&gt;H$2,'ProductSprint Backlog'!$I211&lt;=H$2), 'ProductSprint Backlog'!$F211 / MAX(1, 'ProductSprint Backlog'!$J211-'ProductSprint Backlog'!$I211), AND('ProductSprint Backlog'!$J211=H$2,'ProductSprint Backlog'!$I211=H$2), 'ProductSprint Backlog'!$F211, TRUE, 0)</f>
        <v>0</v>
      </c>
      <c r="I211" s="4" cm="1">
        <f t="array" ref="I211">_xlfn.IFS('ProductSprint Backlog'!$F211="", "", AND('ProductSprint Backlog'!$J211&gt;I$2,'ProductSprint Backlog'!$I211&lt;=I$2), 'ProductSprint Backlog'!$F211 / MAX(1, 'ProductSprint Backlog'!$J211-'ProductSprint Backlog'!$I211), AND('ProductSprint Backlog'!$J211=I$2,'ProductSprint Backlog'!$I211=I$2), 'ProductSprint Backlog'!$F211, TRUE, 0)</f>
        <v>0</v>
      </c>
      <c r="J211" s="4" cm="1">
        <f t="array" ref="J211">_xlfn.IFS('ProductSprint Backlog'!$F211="", "", AND('ProductSprint Backlog'!$J211&gt;J$2,'ProductSprint Backlog'!$I211&lt;=J$2), 'ProductSprint Backlog'!$F211 / MAX(1, 'ProductSprint Backlog'!$J211-'ProductSprint Backlog'!$I211), AND('ProductSprint Backlog'!$J211=J$2,'ProductSprint Backlog'!$I211=J$2), 'ProductSprint Backlog'!$F211, TRUE, 0)</f>
        <v>0</v>
      </c>
      <c r="K211" s="4" cm="1">
        <f t="array" ref="K211">_xlfn.IFS('ProductSprint Backlog'!$F211="", "", AND('ProductSprint Backlog'!$J211&gt;K$2,'ProductSprint Backlog'!$I211&lt;=K$2), 'ProductSprint Backlog'!$F211 / MAX(1, 'ProductSprint Backlog'!$J211-'ProductSprint Backlog'!$I211), AND('ProductSprint Backlog'!$J211=K$2,'ProductSprint Backlog'!$I211=K$2), 'ProductSprint Backlog'!$F211, TRUE, 0)</f>
        <v>0</v>
      </c>
      <c r="L211" s="4" cm="1">
        <f t="array" ref="L211">_xlfn.IFS('ProductSprint Backlog'!$F211="", "", AND('ProductSprint Backlog'!$J211&gt;L$2,'ProductSprint Backlog'!$I211&lt;=L$2), 'ProductSprint Backlog'!$F211 / MAX(1, 'ProductSprint Backlog'!$J211-'ProductSprint Backlog'!$I211), AND('ProductSprint Backlog'!$J211=L$2,'ProductSprint Backlog'!$I211=L$2), 'ProductSprint Backlog'!$F211, TRUE, 0)</f>
        <v>0</v>
      </c>
      <c r="M211" s="4" cm="1">
        <f t="array" ref="M211">_xlfn.IFS('ProductSprint Backlog'!$F211="", "", AND('ProductSprint Backlog'!$J211&gt;M$2,'ProductSprint Backlog'!$I211&lt;=M$2), 'ProductSprint Backlog'!$F211 / MAX(1, 'ProductSprint Backlog'!$J211-'ProductSprint Backlog'!$I211), AND('ProductSprint Backlog'!$J211=M$2,'ProductSprint Backlog'!$I211=M$2), 'ProductSprint Backlog'!$F211, TRUE, 0)</f>
        <v>0</v>
      </c>
      <c r="N211" s="4" cm="1">
        <f t="array" ref="N211">_xlfn.IFS('ProductSprint Backlog'!$F211="", "", AND('ProductSprint Backlog'!$J211&gt;N$2,'ProductSprint Backlog'!$I211&lt;=N$2), 'ProductSprint Backlog'!$F211 / MAX(1, 'ProductSprint Backlog'!$J211-'ProductSprint Backlog'!$I211), AND('ProductSprint Backlog'!$J211=N$2,'ProductSprint Backlog'!$I211=N$2), 'ProductSprint Backlog'!$F211, TRUE, 0)</f>
        <v>0</v>
      </c>
      <c r="O211" s="4" cm="1">
        <f t="array" ref="O211">_xlfn.IFS('ProductSprint Backlog'!$F211="", "", AND('ProductSprint Backlog'!$J211&gt;O$2,'ProductSprint Backlog'!$I211&lt;=O$2), 'ProductSprint Backlog'!$F211 / MAX(1, 'ProductSprint Backlog'!$J211-'ProductSprint Backlog'!$I211), AND('ProductSprint Backlog'!$J211=O$2,'ProductSprint Backlog'!$I211=O$2), 'ProductSprint Backlog'!$F211, TRUE, 0)</f>
        <v>0</v>
      </c>
      <c r="P211" s="4" cm="1">
        <f t="array" ref="P211">_xlfn.IFS('ProductSprint Backlog'!$F211="", "", AND('ProductSprint Backlog'!$J211&gt;P$2,'ProductSprint Backlog'!$I211&lt;=P$2), 'ProductSprint Backlog'!$F211 / MAX(1, 'ProductSprint Backlog'!$J211-'ProductSprint Backlog'!$I211), AND('ProductSprint Backlog'!$J211=P$2,'ProductSprint Backlog'!$I211=P$2), 'ProductSprint Backlog'!$F211, TRUE, 0)</f>
        <v>0</v>
      </c>
      <c r="Q211" s="4" cm="1">
        <f t="array" ref="Q211">_xlfn.IFS('ProductSprint Backlog'!$F211="", "", AND('ProductSprint Backlog'!$J211&gt;Q$2,'ProductSprint Backlog'!$I211&lt;=Q$2), 'ProductSprint Backlog'!$F211 / MAX(1, 'ProductSprint Backlog'!$J211-'ProductSprint Backlog'!$I211), AND('ProductSprint Backlog'!$J211=Q$2,'ProductSprint Backlog'!$I211=Q$2), 'ProductSprint Backlog'!$F211, TRUE, 0)</f>
        <v>0</v>
      </c>
    </row>
    <row r="212" spans="2:17" x14ac:dyDescent="0.2">
      <c r="B212" s="4" cm="1">
        <f t="array" ref="B212">_xlfn.IFS('ProductSprint Backlog'!$F212="", "", AND('ProductSprint Backlog'!$J212&gt;B$2,'ProductSprint Backlog'!$I212&lt;=B$2), 'ProductSprint Backlog'!$F212 / MAX(1, 'ProductSprint Backlog'!$J212-'ProductSprint Backlog'!$I212), AND('ProductSprint Backlog'!$J212=B$2,'ProductSprint Backlog'!$I212=B$2), 'ProductSprint Backlog'!$F212, TRUE, 0)</f>
        <v>0.33333333333333331</v>
      </c>
      <c r="C212" s="4" cm="1">
        <f t="array" ref="C212">_xlfn.IFS('ProductSprint Backlog'!$F212="", "", AND('ProductSprint Backlog'!$J212&gt;C$2,'ProductSprint Backlog'!$I212&lt;=C$2), 'ProductSprint Backlog'!$F212 / MAX(1, 'ProductSprint Backlog'!$J212-'ProductSprint Backlog'!$I212), AND('ProductSprint Backlog'!$J212=C$2,'ProductSprint Backlog'!$I212=C$2), 'ProductSprint Backlog'!$F212, TRUE, 0)</f>
        <v>0.33333333333333331</v>
      </c>
      <c r="D212" s="4" cm="1">
        <f t="array" ref="D212">_xlfn.IFS('ProductSprint Backlog'!$F212="", "", AND('ProductSprint Backlog'!$J212&gt;D$2,'ProductSprint Backlog'!$I212&lt;=D$2), 'ProductSprint Backlog'!$F212 / MAX(1, 'ProductSprint Backlog'!$J212-'ProductSprint Backlog'!$I212), AND('ProductSprint Backlog'!$J212=D$2,'ProductSprint Backlog'!$I212=D$2), 'ProductSprint Backlog'!$F212, TRUE, 0)</f>
        <v>0.33333333333333331</v>
      </c>
      <c r="E212" s="4" cm="1">
        <f t="array" ref="E212">_xlfn.IFS('ProductSprint Backlog'!$F212="", "", AND('ProductSprint Backlog'!$J212&gt;E$2,'ProductSprint Backlog'!$I212&lt;=E$2), 'ProductSprint Backlog'!$F212 / MAX(1, 'ProductSprint Backlog'!$J212-'ProductSprint Backlog'!$I212), AND('ProductSprint Backlog'!$J212=E$2,'ProductSprint Backlog'!$I212=E$2), 'ProductSprint Backlog'!$F212, TRUE, 0)</f>
        <v>0</v>
      </c>
      <c r="F212" s="4" cm="1">
        <f t="array" ref="F212">_xlfn.IFS('ProductSprint Backlog'!$F212="", "", AND('ProductSprint Backlog'!$J212&gt;F$2,'ProductSprint Backlog'!$I212&lt;=F$2), 'ProductSprint Backlog'!$F212 / MAX(1, 'ProductSprint Backlog'!$J212-'ProductSprint Backlog'!$I212), AND('ProductSprint Backlog'!$J212=F$2,'ProductSprint Backlog'!$I212=F$2), 'ProductSprint Backlog'!$F212, TRUE, 0)</f>
        <v>0</v>
      </c>
      <c r="G212" s="4" cm="1">
        <f t="array" ref="G212">_xlfn.IFS('ProductSprint Backlog'!$F212="", "", AND('ProductSprint Backlog'!$J212&gt;G$2,'ProductSprint Backlog'!$I212&lt;=G$2), 'ProductSprint Backlog'!$F212 / MAX(1, 'ProductSprint Backlog'!$J212-'ProductSprint Backlog'!$I212), AND('ProductSprint Backlog'!$J212=G$2,'ProductSprint Backlog'!$I212=G$2), 'ProductSprint Backlog'!$F212, TRUE, 0)</f>
        <v>0</v>
      </c>
      <c r="H212" s="4" cm="1">
        <f t="array" ref="H212">_xlfn.IFS('ProductSprint Backlog'!$F212="", "", AND('ProductSprint Backlog'!$J212&gt;H$2,'ProductSprint Backlog'!$I212&lt;=H$2), 'ProductSprint Backlog'!$F212 / MAX(1, 'ProductSprint Backlog'!$J212-'ProductSprint Backlog'!$I212), AND('ProductSprint Backlog'!$J212=H$2,'ProductSprint Backlog'!$I212=H$2), 'ProductSprint Backlog'!$F212, TRUE, 0)</f>
        <v>0</v>
      </c>
      <c r="I212" s="4" cm="1">
        <f t="array" ref="I212">_xlfn.IFS('ProductSprint Backlog'!$F212="", "", AND('ProductSprint Backlog'!$J212&gt;I$2,'ProductSprint Backlog'!$I212&lt;=I$2), 'ProductSprint Backlog'!$F212 / MAX(1, 'ProductSprint Backlog'!$J212-'ProductSprint Backlog'!$I212), AND('ProductSprint Backlog'!$J212=I$2,'ProductSprint Backlog'!$I212=I$2), 'ProductSprint Backlog'!$F212, TRUE, 0)</f>
        <v>0</v>
      </c>
      <c r="J212" s="4" cm="1">
        <f t="array" ref="J212">_xlfn.IFS('ProductSprint Backlog'!$F212="", "", AND('ProductSprint Backlog'!$J212&gt;J$2,'ProductSprint Backlog'!$I212&lt;=J$2), 'ProductSprint Backlog'!$F212 / MAX(1, 'ProductSprint Backlog'!$J212-'ProductSprint Backlog'!$I212), AND('ProductSprint Backlog'!$J212=J$2,'ProductSprint Backlog'!$I212=J$2), 'ProductSprint Backlog'!$F212, TRUE, 0)</f>
        <v>0</v>
      </c>
      <c r="K212" s="4" cm="1">
        <f t="array" ref="K212">_xlfn.IFS('ProductSprint Backlog'!$F212="", "", AND('ProductSprint Backlog'!$J212&gt;K$2,'ProductSprint Backlog'!$I212&lt;=K$2), 'ProductSprint Backlog'!$F212 / MAX(1, 'ProductSprint Backlog'!$J212-'ProductSprint Backlog'!$I212), AND('ProductSprint Backlog'!$J212=K$2,'ProductSprint Backlog'!$I212=K$2), 'ProductSprint Backlog'!$F212, TRUE, 0)</f>
        <v>0</v>
      </c>
      <c r="L212" s="4" cm="1">
        <f t="array" ref="L212">_xlfn.IFS('ProductSprint Backlog'!$F212="", "", AND('ProductSprint Backlog'!$J212&gt;L$2,'ProductSprint Backlog'!$I212&lt;=L$2), 'ProductSprint Backlog'!$F212 / MAX(1, 'ProductSprint Backlog'!$J212-'ProductSprint Backlog'!$I212), AND('ProductSprint Backlog'!$J212=L$2,'ProductSprint Backlog'!$I212=L$2), 'ProductSprint Backlog'!$F212, TRUE, 0)</f>
        <v>0</v>
      </c>
      <c r="M212" s="4" cm="1">
        <f t="array" ref="M212">_xlfn.IFS('ProductSprint Backlog'!$F212="", "", AND('ProductSprint Backlog'!$J212&gt;M$2,'ProductSprint Backlog'!$I212&lt;=M$2), 'ProductSprint Backlog'!$F212 / MAX(1, 'ProductSprint Backlog'!$J212-'ProductSprint Backlog'!$I212), AND('ProductSprint Backlog'!$J212=M$2,'ProductSprint Backlog'!$I212=M$2), 'ProductSprint Backlog'!$F212, TRUE, 0)</f>
        <v>0</v>
      </c>
      <c r="N212" s="4" cm="1">
        <f t="array" ref="N212">_xlfn.IFS('ProductSprint Backlog'!$F212="", "", AND('ProductSprint Backlog'!$J212&gt;N$2,'ProductSprint Backlog'!$I212&lt;=N$2), 'ProductSprint Backlog'!$F212 / MAX(1, 'ProductSprint Backlog'!$J212-'ProductSprint Backlog'!$I212), AND('ProductSprint Backlog'!$J212=N$2,'ProductSprint Backlog'!$I212=N$2), 'ProductSprint Backlog'!$F212, TRUE, 0)</f>
        <v>0</v>
      </c>
      <c r="O212" s="4" cm="1">
        <f t="array" ref="O212">_xlfn.IFS('ProductSprint Backlog'!$F212="", "", AND('ProductSprint Backlog'!$J212&gt;O$2,'ProductSprint Backlog'!$I212&lt;=O$2), 'ProductSprint Backlog'!$F212 / MAX(1, 'ProductSprint Backlog'!$J212-'ProductSprint Backlog'!$I212), AND('ProductSprint Backlog'!$J212=O$2,'ProductSprint Backlog'!$I212=O$2), 'ProductSprint Backlog'!$F212, TRUE, 0)</f>
        <v>0</v>
      </c>
      <c r="P212" s="4" cm="1">
        <f t="array" ref="P212">_xlfn.IFS('ProductSprint Backlog'!$F212="", "", AND('ProductSprint Backlog'!$J212&gt;P$2,'ProductSprint Backlog'!$I212&lt;=P$2), 'ProductSprint Backlog'!$F212 / MAX(1, 'ProductSprint Backlog'!$J212-'ProductSprint Backlog'!$I212), AND('ProductSprint Backlog'!$J212=P$2,'ProductSprint Backlog'!$I212=P$2), 'ProductSprint Backlog'!$F212, TRUE, 0)</f>
        <v>0</v>
      </c>
      <c r="Q212" s="4" cm="1">
        <f t="array" ref="Q212">_xlfn.IFS('ProductSprint Backlog'!$F212="", "", AND('ProductSprint Backlog'!$J212&gt;Q$2,'ProductSprint Backlog'!$I212&lt;=Q$2), 'ProductSprint Backlog'!$F212 / MAX(1, 'ProductSprint Backlog'!$J212-'ProductSprint Backlog'!$I212), AND('ProductSprint Backlog'!$J212=Q$2,'ProductSprint Backlog'!$I212=Q$2), 'ProductSprint Backlog'!$F212, TRUE, 0)</f>
        <v>0</v>
      </c>
    </row>
    <row r="213" spans="2:17" x14ac:dyDescent="0.2">
      <c r="B213" s="4" cm="1">
        <f t="array" ref="B213">_xlfn.IFS('ProductSprint Backlog'!$F213="", "", AND('ProductSprint Backlog'!$J213&gt;B$2,'ProductSprint Backlog'!$I213&lt;=B$2), 'ProductSprint Backlog'!$F213 / MAX(1, 'ProductSprint Backlog'!$J213-'ProductSprint Backlog'!$I213), AND('ProductSprint Backlog'!$J213=B$2,'ProductSprint Backlog'!$I213=B$2), 'ProductSprint Backlog'!$F213, TRUE, 0)</f>
        <v>0</v>
      </c>
      <c r="C213" s="4" cm="1">
        <f t="array" ref="C213">_xlfn.IFS('ProductSprint Backlog'!$F213="", "", AND('ProductSprint Backlog'!$J213&gt;C$2,'ProductSprint Backlog'!$I213&lt;=C$2), 'ProductSprint Backlog'!$F213 / MAX(1, 'ProductSprint Backlog'!$J213-'ProductSprint Backlog'!$I213), AND('ProductSprint Backlog'!$J213=C$2,'ProductSprint Backlog'!$I213=C$2), 'ProductSprint Backlog'!$F213, TRUE, 0)</f>
        <v>0</v>
      </c>
      <c r="D213" s="4" cm="1">
        <f t="array" ref="D213">_xlfn.IFS('ProductSprint Backlog'!$F213="", "", AND('ProductSprint Backlog'!$J213&gt;D$2,'ProductSprint Backlog'!$I213&lt;=D$2), 'ProductSprint Backlog'!$F213 / MAX(1, 'ProductSprint Backlog'!$J213-'ProductSprint Backlog'!$I213), AND('ProductSprint Backlog'!$J213=D$2,'ProductSprint Backlog'!$I213=D$2), 'ProductSprint Backlog'!$F213, TRUE, 0)</f>
        <v>0</v>
      </c>
      <c r="E213" s="4" cm="1">
        <f t="array" ref="E213">_xlfn.IFS('ProductSprint Backlog'!$F213="", "", AND('ProductSprint Backlog'!$J213&gt;E$2,'ProductSprint Backlog'!$I213&lt;=E$2), 'ProductSprint Backlog'!$F213 / MAX(1, 'ProductSprint Backlog'!$J213-'ProductSprint Backlog'!$I213), AND('ProductSprint Backlog'!$J213=E$2,'ProductSprint Backlog'!$I213=E$2), 'ProductSprint Backlog'!$F213, TRUE, 0)</f>
        <v>0</v>
      </c>
      <c r="F213" s="4" cm="1">
        <f t="array" ref="F213">_xlfn.IFS('ProductSprint Backlog'!$F213="", "", AND('ProductSprint Backlog'!$J213&gt;F$2,'ProductSprint Backlog'!$I213&lt;=F$2), 'ProductSprint Backlog'!$F213 / MAX(1, 'ProductSprint Backlog'!$J213-'ProductSprint Backlog'!$I213), AND('ProductSprint Backlog'!$J213=F$2,'ProductSprint Backlog'!$I213=F$2), 'ProductSprint Backlog'!$F213, TRUE, 0)</f>
        <v>0.33333333333333331</v>
      </c>
      <c r="G213" s="4" cm="1">
        <f t="array" ref="G213">_xlfn.IFS('ProductSprint Backlog'!$F213="", "", AND('ProductSprint Backlog'!$J213&gt;G$2,'ProductSprint Backlog'!$I213&lt;=G$2), 'ProductSprint Backlog'!$F213 / MAX(1, 'ProductSprint Backlog'!$J213-'ProductSprint Backlog'!$I213), AND('ProductSprint Backlog'!$J213=G$2,'ProductSprint Backlog'!$I213=G$2), 'ProductSprint Backlog'!$F213, TRUE, 0)</f>
        <v>0.33333333333333331</v>
      </c>
      <c r="H213" s="4" cm="1">
        <f t="array" ref="H213">_xlfn.IFS('ProductSprint Backlog'!$F213="", "", AND('ProductSprint Backlog'!$J213&gt;H$2,'ProductSprint Backlog'!$I213&lt;=H$2), 'ProductSprint Backlog'!$F213 / MAX(1, 'ProductSprint Backlog'!$J213-'ProductSprint Backlog'!$I213), AND('ProductSprint Backlog'!$J213=H$2,'ProductSprint Backlog'!$I213=H$2), 'ProductSprint Backlog'!$F213, TRUE, 0)</f>
        <v>0.33333333333333331</v>
      </c>
      <c r="I213" s="4" cm="1">
        <f t="array" ref="I213">_xlfn.IFS('ProductSprint Backlog'!$F213="", "", AND('ProductSprint Backlog'!$J213&gt;I$2,'ProductSprint Backlog'!$I213&lt;=I$2), 'ProductSprint Backlog'!$F213 / MAX(1, 'ProductSprint Backlog'!$J213-'ProductSprint Backlog'!$I213), AND('ProductSprint Backlog'!$J213=I$2,'ProductSprint Backlog'!$I213=I$2), 'ProductSprint Backlog'!$F213, TRUE, 0)</f>
        <v>0</v>
      </c>
      <c r="J213" s="4" cm="1">
        <f t="array" ref="J213">_xlfn.IFS('ProductSprint Backlog'!$F213="", "", AND('ProductSprint Backlog'!$J213&gt;J$2,'ProductSprint Backlog'!$I213&lt;=J$2), 'ProductSprint Backlog'!$F213 / MAX(1, 'ProductSprint Backlog'!$J213-'ProductSprint Backlog'!$I213), AND('ProductSprint Backlog'!$J213=J$2,'ProductSprint Backlog'!$I213=J$2), 'ProductSprint Backlog'!$F213, TRUE, 0)</f>
        <v>0</v>
      </c>
      <c r="K213" s="4" cm="1">
        <f t="array" ref="K213">_xlfn.IFS('ProductSprint Backlog'!$F213="", "", AND('ProductSprint Backlog'!$J213&gt;K$2,'ProductSprint Backlog'!$I213&lt;=K$2), 'ProductSprint Backlog'!$F213 / MAX(1, 'ProductSprint Backlog'!$J213-'ProductSprint Backlog'!$I213), AND('ProductSprint Backlog'!$J213=K$2,'ProductSprint Backlog'!$I213=K$2), 'ProductSprint Backlog'!$F213, TRUE, 0)</f>
        <v>0</v>
      </c>
      <c r="L213" s="4" cm="1">
        <f t="array" ref="L213">_xlfn.IFS('ProductSprint Backlog'!$F213="", "", AND('ProductSprint Backlog'!$J213&gt;L$2,'ProductSprint Backlog'!$I213&lt;=L$2), 'ProductSprint Backlog'!$F213 / MAX(1, 'ProductSprint Backlog'!$J213-'ProductSprint Backlog'!$I213), AND('ProductSprint Backlog'!$J213=L$2,'ProductSprint Backlog'!$I213=L$2), 'ProductSprint Backlog'!$F213, TRUE, 0)</f>
        <v>0</v>
      </c>
      <c r="M213" s="4" cm="1">
        <f t="array" ref="M213">_xlfn.IFS('ProductSprint Backlog'!$F213="", "", AND('ProductSprint Backlog'!$J213&gt;M$2,'ProductSprint Backlog'!$I213&lt;=M$2), 'ProductSprint Backlog'!$F213 / MAX(1, 'ProductSprint Backlog'!$J213-'ProductSprint Backlog'!$I213), AND('ProductSprint Backlog'!$J213=M$2,'ProductSprint Backlog'!$I213=M$2), 'ProductSprint Backlog'!$F213, TRUE, 0)</f>
        <v>0</v>
      </c>
      <c r="N213" s="4" cm="1">
        <f t="array" ref="N213">_xlfn.IFS('ProductSprint Backlog'!$F213="", "", AND('ProductSprint Backlog'!$J213&gt;N$2,'ProductSprint Backlog'!$I213&lt;=N$2), 'ProductSprint Backlog'!$F213 / MAX(1, 'ProductSprint Backlog'!$J213-'ProductSprint Backlog'!$I213), AND('ProductSprint Backlog'!$J213=N$2,'ProductSprint Backlog'!$I213=N$2), 'ProductSprint Backlog'!$F213, TRUE, 0)</f>
        <v>0</v>
      </c>
      <c r="O213" s="4" cm="1">
        <f t="array" ref="O213">_xlfn.IFS('ProductSprint Backlog'!$F213="", "", AND('ProductSprint Backlog'!$J213&gt;O$2,'ProductSprint Backlog'!$I213&lt;=O$2), 'ProductSprint Backlog'!$F213 / MAX(1, 'ProductSprint Backlog'!$J213-'ProductSprint Backlog'!$I213), AND('ProductSprint Backlog'!$J213=O$2,'ProductSprint Backlog'!$I213=O$2), 'ProductSprint Backlog'!$F213, TRUE, 0)</f>
        <v>0</v>
      </c>
      <c r="P213" s="4" cm="1">
        <f t="array" ref="P213">_xlfn.IFS('ProductSprint Backlog'!$F213="", "", AND('ProductSprint Backlog'!$J213&gt;P$2,'ProductSprint Backlog'!$I213&lt;=P$2), 'ProductSprint Backlog'!$F213 / MAX(1, 'ProductSprint Backlog'!$J213-'ProductSprint Backlog'!$I213), AND('ProductSprint Backlog'!$J213=P$2,'ProductSprint Backlog'!$I213=P$2), 'ProductSprint Backlog'!$F213, TRUE, 0)</f>
        <v>0</v>
      </c>
      <c r="Q213" s="4" cm="1">
        <f t="array" ref="Q213">_xlfn.IFS('ProductSprint Backlog'!$F213="", "", AND('ProductSprint Backlog'!$J213&gt;Q$2,'ProductSprint Backlog'!$I213&lt;=Q$2), 'ProductSprint Backlog'!$F213 / MAX(1, 'ProductSprint Backlog'!$J213-'ProductSprint Backlog'!$I213), AND('ProductSprint Backlog'!$J213=Q$2,'ProductSprint Backlog'!$I213=Q$2), 'ProductSprint Backlog'!$F213, TRUE, 0)</f>
        <v>0</v>
      </c>
    </row>
    <row r="214" spans="2:17" x14ac:dyDescent="0.2">
      <c r="B214" s="4" cm="1">
        <f t="array" ref="B214">_xlfn.IFS('ProductSprint Backlog'!$F214="", "", AND('ProductSprint Backlog'!$J214&gt;B$2,'ProductSprint Backlog'!$I214&lt;=B$2), 'ProductSprint Backlog'!$F214 / MAX(1, 'ProductSprint Backlog'!$J214-'ProductSprint Backlog'!$I214), AND('ProductSprint Backlog'!$J214=B$2,'ProductSprint Backlog'!$I214=B$2), 'ProductSprint Backlog'!$F214, TRUE, 0)</f>
        <v>0</v>
      </c>
      <c r="C214" s="4" cm="1">
        <f t="array" ref="C214">_xlfn.IFS('ProductSprint Backlog'!$F214="", "", AND('ProductSprint Backlog'!$J214&gt;C$2,'ProductSprint Backlog'!$I214&lt;=C$2), 'ProductSprint Backlog'!$F214 / MAX(1, 'ProductSprint Backlog'!$J214-'ProductSprint Backlog'!$I214), AND('ProductSprint Backlog'!$J214=C$2,'ProductSprint Backlog'!$I214=C$2), 'ProductSprint Backlog'!$F214, TRUE, 0)</f>
        <v>0</v>
      </c>
      <c r="D214" s="4" cm="1">
        <f t="array" ref="D214">_xlfn.IFS('ProductSprint Backlog'!$F214="", "", AND('ProductSprint Backlog'!$J214&gt;D$2,'ProductSprint Backlog'!$I214&lt;=D$2), 'ProductSprint Backlog'!$F214 / MAX(1, 'ProductSprint Backlog'!$J214-'ProductSprint Backlog'!$I214), AND('ProductSprint Backlog'!$J214=D$2,'ProductSprint Backlog'!$I214=D$2), 'ProductSprint Backlog'!$F214, TRUE, 0)</f>
        <v>0</v>
      </c>
      <c r="E214" s="4" cm="1">
        <f t="array" ref="E214">_xlfn.IFS('ProductSprint Backlog'!$F214="", "", AND('ProductSprint Backlog'!$J214&gt;E$2,'ProductSprint Backlog'!$I214&lt;=E$2), 'ProductSprint Backlog'!$F214 / MAX(1, 'ProductSprint Backlog'!$J214-'ProductSprint Backlog'!$I214), AND('ProductSprint Backlog'!$J214=E$2,'ProductSprint Backlog'!$I214=E$2), 'ProductSprint Backlog'!$F214, TRUE, 0)</f>
        <v>0</v>
      </c>
      <c r="F214" s="4" cm="1">
        <f t="array" ref="F214">_xlfn.IFS('ProductSprint Backlog'!$F214="", "", AND('ProductSprint Backlog'!$J214&gt;F$2,'ProductSprint Backlog'!$I214&lt;=F$2), 'ProductSprint Backlog'!$F214 / MAX(1, 'ProductSprint Backlog'!$J214-'ProductSprint Backlog'!$I214), AND('ProductSprint Backlog'!$J214=F$2,'ProductSprint Backlog'!$I214=F$2), 'ProductSprint Backlog'!$F214, TRUE, 0)</f>
        <v>0.33333333333333331</v>
      </c>
      <c r="G214" s="4" cm="1">
        <f t="array" ref="G214">_xlfn.IFS('ProductSprint Backlog'!$F214="", "", AND('ProductSprint Backlog'!$J214&gt;G$2,'ProductSprint Backlog'!$I214&lt;=G$2), 'ProductSprint Backlog'!$F214 / MAX(1, 'ProductSprint Backlog'!$J214-'ProductSprint Backlog'!$I214), AND('ProductSprint Backlog'!$J214=G$2,'ProductSprint Backlog'!$I214=G$2), 'ProductSprint Backlog'!$F214, TRUE, 0)</f>
        <v>0.33333333333333331</v>
      </c>
      <c r="H214" s="4" cm="1">
        <f t="array" ref="H214">_xlfn.IFS('ProductSprint Backlog'!$F214="", "", AND('ProductSprint Backlog'!$J214&gt;H$2,'ProductSprint Backlog'!$I214&lt;=H$2), 'ProductSprint Backlog'!$F214 / MAX(1, 'ProductSprint Backlog'!$J214-'ProductSprint Backlog'!$I214), AND('ProductSprint Backlog'!$J214=H$2,'ProductSprint Backlog'!$I214=H$2), 'ProductSprint Backlog'!$F214, TRUE, 0)</f>
        <v>0.33333333333333331</v>
      </c>
      <c r="I214" s="4" cm="1">
        <f t="array" ref="I214">_xlfn.IFS('ProductSprint Backlog'!$F214="", "", AND('ProductSprint Backlog'!$J214&gt;I$2,'ProductSprint Backlog'!$I214&lt;=I$2), 'ProductSprint Backlog'!$F214 / MAX(1, 'ProductSprint Backlog'!$J214-'ProductSprint Backlog'!$I214), AND('ProductSprint Backlog'!$J214=I$2,'ProductSprint Backlog'!$I214=I$2), 'ProductSprint Backlog'!$F214, TRUE, 0)</f>
        <v>0</v>
      </c>
      <c r="J214" s="4" cm="1">
        <f t="array" ref="J214">_xlfn.IFS('ProductSprint Backlog'!$F214="", "", AND('ProductSprint Backlog'!$J214&gt;J$2,'ProductSprint Backlog'!$I214&lt;=J$2), 'ProductSprint Backlog'!$F214 / MAX(1, 'ProductSprint Backlog'!$J214-'ProductSprint Backlog'!$I214), AND('ProductSprint Backlog'!$J214=J$2,'ProductSprint Backlog'!$I214=J$2), 'ProductSprint Backlog'!$F214, TRUE, 0)</f>
        <v>0</v>
      </c>
      <c r="K214" s="4" cm="1">
        <f t="array" ref="K214">_xlfn.IFS('ProductSprint Backlog'!$F214="", "", AND('ProductSprint Backlog'!$J214&gt;K$2,'ProductSprint Backlog'!$I214&lt;=K$2), 'ProductSprint Backlog'!$F214 / MAX(1, 'ProductSprint Backlog'!$J214-'ProductSprint Backlog'!$I214), AND('ProductSprint Backlog'!$J214=K$2,'ProductSprint Backlog'!$I214=K$2), 'ProductSprint Backlog'!$F214, TRUE, 0)</f>
        <v>0</v>
      </c>
      <c r="L214" s="4" cm="1">
        <f t="array" ref="L214">_xlfn.IFS('ProductSprint Backlog'!$F214="", "", AND('ProductSprint Backlog'!$J214&gt;L$2,'ProductSprint Backlog'!$I214&lt;=L$2), 'ProductSprint Backlog'!$F214 / MAX(1, 'ProductSprint Backlog'!$J214-'ProductSprint Backlog'!$I214), AND('ProductSprint Backlog'!$J214=L$2,'ProductSprint Backlog'!$I214=L$2), 'ProductSprint Backlog'!$F214, TRUE, 0)</f>
        <v>0</v>
      </c>
      <c r="M214" s="4" cm="1">
        <f t="array" ref="M214">_xlfn.IFS('ProductSprint Backlog'!$F214="", "", AND('ProductSprint Backlog'!$J214&gt;M$2,'ProductSprint Backlog'!$I214&lt;=M$2), 'ProductSprint Backlog'!$F214 / MAX(1, 'ProductSprint Backlog'!$J214-'ProductSprint Backlog'!$I214), AND('ProductSprint Backlog'!$J214=M$2,'ProductSprint Backlog'!$I214=M$2), 'ProductSprint Backlog'!$F214, TRUE, 0)</f>
        <v>0</v>
      </c>
      <c r="N214" s="4" cm="1">
        <f t="array" ref="N214">_xlfn.IFS('ProductSprint Backlog'!$F214="", "", AND('ProductSprint Backlog'!$J214&gt;N$2,'ProductSprint Backlog'!$I214&lt;=N$2), 'ProductSprint Backlog'!$F214 / MAX(1, 'ProductSprint Backlog'!$J214-'ProductSprint Backlog'!$I214), AND('ProductSprint Backlog'!$J214=N$2,'ProductSprint Backlog'!$I214=N$2), 'ProductSprint Backlog'!$F214, TRUE, 0)</f>
        <v>0</v>
      </c>
      <c r="O214" s="4" cm="1">
        <f t="array" ref="O214">_xlfn.IFS('ProductSprint Backlog'!$F214="", "", AND('ProductSprint Backlog'!$J214&gt;O$2,'ProductSprint Backlog'!$I214&lt;=O$2), 'ProductSprint Backlog'!$F214 / MAX(1, 'ProductSprint Backlog'!$J214-'ProductSprint Backlog'!$I214), AND('ProductSprint Backlog'!$J214=O$2,'ProductSprint Backlog'!$I214=O$2), 'ProductSprint Backlog'!$F214, TRUE, 0)</f>
        <v>0</v>
      </c>
      <c r="P214" s="4" cm="1">
        <f t="array" ref="P214">_xlfn.IFS('ProductSprint Backlog'!$F214="", "", AND('ProductSprint Backlog'!$J214&gt;P$2,'ProductSprint Backlog'!$I214&lt;=P$2), 'ProductSprint Backlog'!$F214 / MAX(1, 'ProductSprint Backlog'!$J214-'ProductSprint Backlog'!$I214), AND('ProductSprint Backlog'!$J214=P$2,'ProductSprint Backlog'!$I214=P$2), 'ProductSprint Backlog'!$F214, TRUE, 0)</f>
        <v>0</v>
      </c>
      <c r="Q214" s="4" cm="1">
        <f t="array" ref="Q214">_xlfn.IFS('ProductSprint Backlog'!$F214="", "", AND('ProductSprint Backlog'!$J214&gt;Q$2,'ProductSprint Backlog'!$I214&lt;=Q$2), 'ProductSprint Backlog'!$F214 / MAX(1, 'ProductSprint Backlog'!$J214-'ProductSprint Backlog'!$I214), AND('ProductSprint Backlog'!$J214=Q$2,'ProductSprint Backlog'!$I214=Q$2), 'ProductSprint Backlog'!$F214, TRUE, 0)</f>
        <v>0</v>
      </c>
    </row>
    <row r="215" spans="2:17" x14ac:dyDescent="0.2">
      <c r="B215" s="4" cm="1">
        <f t="array" ref="B215">_xlfn.IFS('ProductSprint Backlog'!$F215="", "", AND('ProductSprint Backlog'!$J215&gt;B$2,'ProductSprint Backlog'!$I215&lt;=B$2), 'ProductSprint Backlog'!$F215 / MAX(1, 'ProductSprint Backlog'!$J215-'ProductSprint Backlog'!$I215), AND('ProductSprint Backlog'!$J215=B$2,'ProductSprint Backlog'!$I215=B$2), 'ProductSprint Backlog'!$F215, TRUE, 0)</f>
        <v>0</v>
      </c>
      <c r="C215" s="4" cm="1">
        <f t="array" ref="C215">_xlfn.IFS('ProductSprint Backlog'!$F215="", "", AND('ProductSprint Backlog'!$J215&gt;C$2,'ProductSprint Backlog'!$I215&lt;=C$2), 'ProductSprint Backlog'!$F215 / MAX(1, 'ProductSprint Backlog'!$J215-'ProductSprint Backlog'!$I215), AND('ProductSprint Backlog'!$J215=C$2,'ProductSprint Backlog'!$I215=C$2), 'ProductSprint Backlog'!$F215, TRUE, 0)</f>
        <v>0</v>
      </c>
      <c r="D215" s="4" cm="1">
        <f t="array" ref="D215">_xlfn.IFS('ProductSprint Backlog'!$F215="", "", AND('ProductSprint Backlog'!$J215&gt;D$2,'ProductSprint Backlog'!$I215&lt;=D$2), 'ProductSprint Backlog'!$F215 / MAX(1, 'ProductSprint Backlog'!$J215-'ProductSprint Backlog'!$I215), AND('ProductSprint Backlog'!$J215=D$2,'ProductSprint Backlog'!$I215=D$2), 'ProductSprint Backlog'!$F215, TRUE, 0)</f>
        <v>0</v>
      </c>
      <c r="E215" s="4" cm="1">
        <f t="array" ref="E215">_xlfn.IFS('ProductSprint Backlog'!$F215="", "", AND('ProductSprint Backlog'!$J215&gt;E$2,'ProductSprint Backlog'!$I215&lt;=E$2), 'ProductSprint Backlog'!$F215 / MAX(1, 'ProductSprint Backlog'!$J215-'ProductSprint Backlog'!$I215), AND('ProductSprint Backlog'!$J215=E$2,'ProductSprint Backlog'!$I215=E$2), 'ProductSprint Backlog'!$F215, TRUE, 0)</f>
        <v>0</v>
      </c>
      <c r="F215" s="4" cm="1">
        <f t="array" ref="F215">_xlfn.IFS('ProductSprint Backlog'!$F215="", "", AND('ProductSprint Backlog'!$J215&gt;F$2,'ProductSprint Backlog'!$I215&lt;=F$2), 'ProductSprint Backlog'!$F215 / MAX(1, 'ProductSprint Backlog'!$J215-'ProductSprint Backlog'!$I215), AND('ProductSprint Backlog'!$J215=F$2,'ProductSprint Backlog'!$I215=F$2), 'ProductSprint Backlog'!$F215, TRUE, 0)</f>
        <v>0.66666666666666663</v>
      </c>
      <c r="G215" s="4" cm="1">
        <f t="array" ref="G215">_xlfn.IFS('ProductSprint Backlog'!$F215="", "", AND('ProductSprint Backlog'!$J215&gt;G$2,'ProductSprint Backlog'!$I215&lt;=G$2), 'ProductSprint Backlog'!$F215 / MAX(1, 'ProductSprint Backlog'!$J215-'ProductSprint Backlog'!$I215), AND('ProductSprint Backlog'!$J215=G$2,'ProductSprint Backlog'!$I215=G$2), 'ProductSprint Backlog'!$F215, TRUE, 0)</f>
        <v>0.66666666666666663</v>
      </c>
      <c r="H215" s="4" cm="1">
        <f t="array" ref="H215">_xlfn.IFS('ProductSprint Backlog'!$F215="", "", AND('ProductSprint Backlog'!$J215&gt;H$2,'ProductSprint Backlog'!$I215&lt;=H$2), 'ProductSprint Backlog'!$F215 / MAX(1, 'ProductSprint Backlog'!$J215-'ProductSprint Backlog'!$I215), AND('ProductSprint Backlog'!$J215=H$2,'ProductSprint Backlog'!$I215=H$2), 'ProductSprint Backlog'!$F215, TRUE, 0)</f>
        <v>0.66666666666666663</v>
      </c>
      <c r="I215" s="4" cm="1">
        <f t="array" ref="I215">_xlfn.IFS('ProductSprint Backlog'!$F215="", "", AND('ProductSprint Backlog'!$J215&gt;I$2,'ProductSprint Backlog'!$I215&lt;=I$2), 'ProductSprint Backlog'!$F215 / MAX(1, 'ProductSprint Backlog'!$J215-'ProductSprint Backlog'!$I215), AND('ProductSprint Backlog'!$J215=I$2,'ProductSprint Backlog'!$I215=I$2), 'ProductSprint Backlog'!$F215, TRUE, 0)</f>
        <v>0</v>
      </c>
      <c r="J215" s="4" cm="1">
        <f t="array" ref="J215">_xlfn.IFS('ProductSprint Backlog'!$F215="", "", AND('ProductSprint Backlog'!$J215&gt;J$2,'ProductSprint Backlog'!$I215&lt;=J$2), 'ProductSprint Backlog'!$F215 / MAX(1, 'ProductSprint Backlog'!$J215-'ProductSprint Backlog'!$I215), AND('ProductSprint Backlog'!$J215=J$2,'ProductSprint Backlog'!$I215=J$2), 'ProductSprint Backlog'!$F215, TRUE, 0)</f>
        <v>0</v>
      </c>
      <c r="K215" s="4" cm="1">
        <f t="array" ref="K215">_xlfn.IFS('ProductSprint Backlog'!$F215="", "", AND('ProductSprint Backlog'!$J215&gt;K$2,'ProductSprint Backlog'!$I215&lt;=K$2), 'ProductSprint Backlog'!$F215 / MAX(1, 'ProductSprint Backlog'!$J215-'ProductSprint Backlog'!$I215), AND('ProductSprint Backlog'!$J215=K$2,'ProductSprint Backlog'!$I215=K$2), 'ProductSprint Backlog'!$F215, TRUE, 0)</f>
        <v>0</v>
      </c>
      <c r="L215" s="4" cm="1">
        <f t="array" ref="L215">_xlfn.IFS('ProductSprint Backlog'!$F215="", "", AND('ProductSprint Backlog'!$J215&gt;L$2,'ProductSprint Backlog'!$I215&lt;=L$2), 'ProductSprint Backlog'!$F215 / MAX(1, 'ProductSprint Backlog'!$J215-'ProductSprint Backlog'!$I215), AND('ProductSprint Backlog'!$J215=L$2,'ProductSprint Backlog'!$I215=L$2), 'ProductSprint Backlog'!$F215, TRUE, 0)</f>
        <v>0</v>
      </c>
      <c r="M215" s="4" cm="1">
        <f t="array" ref="M215">_xlfn.IFS('ProductSprint Backlog'!$F215="", "", AND('ProductSprint Backlog'!$J215&gt;M$2,'ProductSprint Backlog'!$I215&lt;=M$2), 'ProductSprint Backlog'!$F215 / MAX(1, 'ProductSprint Backlog'!$J215-'ProductSprint Backlog'!$I215), AND('ProductSprint Backlog'!$J215=M$2,'ProductSprint Backlog'!$I215=M$2), 'ProductSprint Backlog'!$F215, TRUE, 0)</f>
        <v>0</v>
      </c>
      <c r="N215" s="4" cm="1">
        <f t="array" ref="N215">_xlfn.IFS('ProductSprint Backlog'!$F215="", "", AND('ProductSprint Backlog'!$J215&gt;N$2,'ProductSprint Backlog'!$I215&lt;=N$2), 'ProductSprint Backlog'!$F215 / MAX(1, 'ProductSprint Backlog'!$J215-'ProductSprint Backlog'!$I215), AND('ProductSprint Backlog'!$J215=N$2,'ProductSprint Backlog'!$I215=N$2), 'ProductSprint Backlog'!$F215, TRUE, 0)</f>
        <v>0</v>
      </c>
      <c r="O215" s="4" cm="1">
        <f t="array" ref="O215">_xlfn.IFS('ProductSprint Backlog'!$F215="", "", AND('ProductSprint Backlog'!$J215&gt;O$2,'ProductSprint Backlog'!$I215&lt;=O$2), 'ProductSprint Backlog'!$F215 / MAX(1, 'ProductSprint Backlog'!$J215-'ProductSprint Backlog'!$I215), AND('ProductSprint Backlog'!$J215=O$2,'ProductSprint Backlog'!$I215=O$2), 'ProductSprint Backlog'!$F215, TRUE, 0)</f>
        <v>0</v>
      </c>
      <c r="P215" s="4" cm="1">
        <f t="array" ref="P215">_xlfn.IFS('ProductSprint Backlog'!$F215="", "", AND('ProductSprint Backlog'!$J215&gt;P$2,'ProductSprint Backlog'!$I215&lt;=P$2), 'ProductSprint Backlog'!$F215 / MAX(1, 'ProductSprint Backlog'!$J215-'ProductSprint Backlog'!$I215), AND('ProductSprint Backlog'!$J215=P$2,'ProductSprint Backlog'!$I215=P$2), 'ProductSprint Backlog'!$F215, TRUE, 0)</f>
        <v>0</v>
      </c>
      <c r="Q215" s="4" cm="1">
        <f t="array" ref="Q215">_xlfn.IFS('ProductSprint Backlog'!$F215="", "", AND('ProductSprint Backlog'!$J215&gt;Q$2,'ProductSprint Backlog'!$I215&lt;=Q$2), 'ProductSprint Backlog'!$F215 / MAX(1, 'ProductSprint Backlog'!$J215-'ProductSprint Backlog'!$I215), AND('ProductSprint Backlog'!$J215=Q$2,'ProductSprint Backlog'!$I215=Q$2), 'ProductSprint Backlog'!$F215, TRUE, 0)</f>
        <v>0</v>
      </c>
    </row>
    <row r="216" spans="2:17" x14ac:dyDescent="0.2">
      <c r="B216" s="4" cm="1">
        <f t="array" ref="B216">_xlfn.IFS('ProductSprint Backlog'!$F216="", "", AND('ProductSprint Backlog'!$J216&gt;B$2,'ProductSprint Backlog'!$I216&lt;=B$2), 'ProductSprint Backlog'!$F216 / MAX(1, 'ProductSprint Backlog'!$J216-'ProductSprint Backlog'!$I216), AND('ProductSprint Backlog'!$J216=B$2,'ProductSprint Backlog'!$I216=B$2), 'ProductSprint Backlog'!$F216, TRUE, 0)</f>
        <v>0</v>
      </c>
      <c r="C216" s="4" cm="1">
        <f t="array" ref="C216">_xlfn.IFS('ProductSprint Backlog'!$F216="", "", AND('ProductSprint Backlog'!$J216&gt;C$2,'ProductSprint Backlog'!$I216&lt;=C$2), 'ProductSprint Backlog'!$F216 / MAX(1, 'ProductSprint Backlog'!$J216-'ProductSprint Backlog'!$I216), AND('ProductSprint Backlog'!$J216=C$2,'ProductSprint Backlog'!$I216=C$2), 'ProductSprint Backlog'!$F216, TRUE, 0)</f>
        <v>0</v>
      </c>
      <c r="D216" s="4" cm="1">
        <f t="array" ref="D216">_xlfn.IFS('ProductSprint Backlog'!$F216="", "", AND('ProductSprint Backlog'!$J216&gt;D$2,'ProductSprint Backlog'!$I216&lt;=D$2), 'ProductSprint Backlog'!$F216 / MAX(1, 'ProductSprint Backlog'!$J216-'ProductSprint Backlog'!$I216), AND('ProductSprint Backlog'!$J216=D$2,'ProductSprint Backlog'!$I216=D$2), 'ProductSprint Backlog'!$F216, TRUE, 0)</f>
        <v>0</v>
      </c>
      <c r="E216" s="4" cm="1">
        <f t="array" ref="E216">_xlfn.IFS('ProductSprint Backlog'!$F216="", "", AND('ProductSprint Backlog'!$J216&gt;E$2,'ProductSprint Backlog'!$I216&lt;=E$2), 'ProductSprint Backlog'!$F216 / MAX(1, 'ProductSprint Backlog'!$J216-'ProductSprint Backlog'!$I216), AND('ProductSprint Backlog'!$J216=E$2,'ProductSprint Backlog'!$I216=E$2), 'ProductSprint Backlog'!$F216, TRUE, 0)</f>
        <v>0</v>
      </c>
      <c r="F216" s="4" cm="1">
        <f t="array" ref="F216">_xlfn.IFS('ProductSprint Backlog'!$F216="", "", AND('ProductSprint Backlog'!$J216&gt;F$2,'ProductSprint Backlog'!$I216&lt;=F$2), 'ProductSprint Backlog'!$F216 / MAX(1, 'ProductSprint Backlog'!$J216-'ProductSprint Backlog'!$I216), AND('ProductSprint Backlog'!$J216=F$2,'ProductSprint Backlog'!$I216=F$2), 'ProductSprint Backlog'!$F216, TRUE, 0)</f>
        <v>0.33333333333333331</v>
      </c>
      <c r="G216" s="4" cm="1">
        <f t="array" ref="G216">_xlfn.IFS('ProductSprint Backlog'!$F216="", "", AND('ProductSprint Backlog'!$J216&gt;G$2,'ProductSprint Backlog'!$I216&lt;=G$2), 'ProductSprint Backlog'!$F216 / MAX(1, 'ProductSprint Backlog'!$J216-'ProductSprint Backlog'!$I216), AND('ProductSprint Backlog'!$J216=G$2,'ProductSprint Backlog'!$I216=G$2), 'ProductSprint Backlog'!$F216, TRUE, 0)</f>
        <v>0.33333333333333331</v>
      </c>
      <c r="H216" s="4" cm="1">
        <f t="array" ref="H216">_xlfn.IFS('ProductSprint Backlog'!$F216="", "", AND('ProductSprint Backlog'!$J216&gt;H$2,'ProductSprint Backlog'!$I216&lt;=H$2), 'ProductSprint Backlog'!$F216 / MAX(1, 'ProductSprint Backlog'!$J216-'ProductSprint Backlog'!$I216), AND('ProductSprint Backlog'!$J216=H$2,'ProductSprint Backlog'!$I216=H$2), 'ProductSprint Backlog'!$F216, TRUE, 0)</f>
        <v>0.33333333333333331</v>
      </c>
      <c r="I216" s="4" cm="1">
        <f t="array" ref="I216">_xlfn.IFS('ProductSprint Backlog'!$F216="", "", AND('ProductSprint Backlog'!$J216&gt;I$2,'ProductSprint Backlog'!$I216&lt;=I$2), 'ProductSprint Backlog'!$F216 / MAX(1, 'ProductSprint Backlog'!$J216-'ProductSprint Backlog'!$I216), AND('ProductSprint Backlog'!$J216=I$2,'ProductSprint Backlog'!$I216=I$2), 'ProductSprint Backlog'!$F216, TRUE, 0)</f>
        <v>0</v>
      </c>
      <c r="J216" s="4" cm="1">
        <f t="array" ref="J216">_xlfn.IFS('ProductSprint Backlog'!$F216="", "", AND('ProductSprint Backlog'!$J216&gt;J$2,'ProductSprint Backlog'!$I216&lt;=J$2), 'ProductSprint Backlog'!$F216 / MAX(1, 'ProductSprint Backlog'!$J216-'ProductSprint Backlog'!$I216), AND('ProductSprint Backlog'!$J216=J$2,'ProductSprint Backlog'!$I216=J$2), 'ProductSprint Backlog'!$F216, TRUE, 0)</f>
        <v>0</v>
      </c>
      <c r="K216" s="4" cm="1">
        <f t="array" ref="K216">_xlfn.IFS('ProductSprint Backlog'!$F216="", "", AND('ProductSprint Backlog'!$J216&gt;K$2,'ProductSprint Backlog'!$I216&lt;=K$2), 'ProductSprint Backlog'!$F216 / MAX(1, 'ProductSprint Backlog'!$J216-'ProductSprint Backlog'!$I216), AND('ProductSprint Backlog'!$J216=K$2,'ProductSprint Backlog'!$I216=K$2), 'ProductSprint Backlog'!$F216, TRUE, 0)</f>
        <v>0</v>
      </c>
      <c r="L216" s="4" cm="1">
        <f t="array" ref="L216">_xlfn.IFS('ProductSprint Backlog'!$F216="", "", AND('ProductSprint Backlog'!$J216&gt;L$2,'ProductSprint Backlog'!$I216&lt;=L$2), 'ProductSprint Backlog'!$F216 / MAX(1, 'ProductSprint Backlog'!$J216-'ProductSprint Backlog'!$I216), AND('ProductSprint Backlog'!$J216=L$2,'ProductSprint Backlog'!$I216=L$2), 'ProductSprint Backlog'!$F216, TRUE, 0)</f>
        <v>0</v>
      </c>
      <c r="M216" s="4" cm="1">
        <f t="array" ref="M216">_xlfn.IFS('ProductSprint Backlog'!$F216="", "", AND('ProductSprint Backlog'!$J216&gt;M$2,'ProductSprint Backlog'!$I216&lt;=M$2), 'ProductSprint Backlog'!$F216 / MAX(1, 'ProductSprint Backlog'!$J216-'ProductSprint Backlog'!$I216), AND('ProductSprint Backlog'!$J216=M$2,'ProductSprint Backlog'!$I216=M$2), 'ProductSprint Backlog'!$F216, TRUE, 0)</f>
        <v>0</v>
      </c>
      <c r="N216" s="4" cm="1">
        <f t="array" ref="N216">_xlfn.IFS('ProductSprint Backlog'!$F216="", "", AND('ProductSprint Backlog'!$J216&gt;N$2,'ProductSprint Backlog'!$I216&lt;=N$2), 'ProductSprint Backlog'!$F216 / MAX(1, 'ProductSprint Backlog'!$J216-'ProductSprint Backlog'!$I216), AND('ProductSprint Backlog'!$J216=N$2,'ProductSprint Backlog'!$I216=N$2), 'ProductSprint Backlog'!$F216, TRUE, 0)</f>
        <v>0</v>
      </c>
      <c r="O216" s="4" cm="1">
        <f t="array" ref="O216">_xlfn.IFS('ProductSprint Backlog'!$F216="", "", AND('ProductSprint Backlog'!$J216&gt;O$2,'ProductSprint Backlog'!$I216&lt;=O$2), 'ProductSprint Backlog'!$F216 / MAX(1, 'ProductSprint Backlog'!$J216-'ProductSprint Backlog'!$I216), AND('ProductSprint Backlog'!$J216=O$2,'ProductSprint Backlog'!$I216=O$2), 'ProductSprint Backlog'!$F216, TRUE, 0)</f>
        <v>0</v>
      </c>
      <c r="P216" s="4" cm="1">
        <f t="array" ref="P216">_xlfn.IFS('ProductSprint Backlog'!$F216="", "", AND('ProductSprint Backlog'!$J216&gt;P$2,'ProductSprint Backlog'!$I216&lt;=P$2), 'ProductSprint Backlog'!$F216 / MAX(1, 'ProductSprint Backlog'!$J216-'ProductSprint Backlog'!$I216), AND('ProductSprint Backlog'!$J216=P$2,'ProductSprint Backlog'!$I216=P$2), 'ProductSprint Backlog'!$F216, TRUE, 0)</f>
        <v>0</v>
      </c>
      <c r="Q216" s="4" cm="1">
        <f t="array" ref="Q216">_xlfn.IFS('ProductSprint Backlog'!$F216="", "", AND('ProductSprint Backlog'!$J216&gt;Q$2,'ProductSprint Backlog'!$I216&lt;=Q$2), 'ProductSprint Backlog'!$F216 / MAX(1, 'ProductSprint Backlog'!$J216-'ProductSprint Backlog'!$I216), AND('ProductSprint Backlog'!$J216=Q$2,'ProductSprint Backlog'!$I216=Q$2), 'ProductSprint Backlog'!$F216, TRUE, 0)</f>
        <v>0</v>
      </c>
    </row>
    <row r="217" spans="2:17" x14ac:dyDescent="0.2">
      <c r="B217" s="4" cm="1">
        <f t="array" ref="B217">_xlfn.IFS('ProductSprint Backlog'!$F217="", "", AND('ProductSprint Backlog'!$J217&gt;B$2,'ProductSprint Backlog'!$I217&lt;=B$2), 'ProductSprint Backlog'!$F217 / MAX(1, 'ProductSprint Backlog'!$J217-'ProductSprint Backlog'!$I217), AND('ProductSprint Backlog'!$J217=B$2,'ProductSprint Backlog'!$I217=B$2), 'ProductSprint Backlog'!$F217, TRUE, 0)</f>
        <v>0</v>
      </c>
      <c r="C217" s="4" cm="1">
        <f t="array" ref="C217">_xlfn.IFS('ProductSprint Backlog'!$F217="", "", AND('ProductSprint Backlog'!$J217&gt;C$2,'ProductSprint Backlog'!$I217&lt;=C$2), 'ProductSprint Backlog'!$F217 / MAX(1, 'ProductSprint Backlog'!$J217-'ProductSprint Backlog'!$I217), AND('ProductSprint Backlog'!$J217=C$2,'ProductSprint Backlog'!$I217=C$2), 'ProductSprint Backlog'!$F217, TRUE, 0)</f>
        <v>0</v>
      </c>
      <c r="D217" s="4" cm="1">
        <f t="array" ref="D217">_xlfn.IFS('ProductSprint Backlog'!$F217="", "", AND('ProductSprint Backlog'!$J217&gt;D$2,'ProductSprint Backlog'!$I217&lt;=D$2), 'ProductSprint Backlog'!$F217 / MAX(1, 'ProductSprint Backlog'!$J217-'ProductSprint Backlog'!$I217), AND('ProductSprint Backlog'!$J217=D$2,'ProductSprint Backlog'!$I217=D$2), 'ProductSprint Backlog'!$F217, TRUE, 0)</f>
        <v>0</v>
      </c>
      <c r="E217" s="4" cm="1">
        <f t="array" ref="E217">_xlfn.IFS('ProductSprint Backlog'!$F217="", "", AND('ProductSprint Backlog'!$J217&gt;E$2,'ProductSprint Backlog'!$I217&lt;=E$2), 'ProductSprint Backlog'!$F217 / MAX(1, 'ProductSprint Backlog'!$J217-'ProductSprint Backlog'!$I217), AND('ProductSprint Backlog'!$J217=E$2,'ProductSprint Backlog'!$I217=E$2), 'ProductSprint Backlog'!$F217, TRUE, 0)</f>
        <v>0</v>
      </c>
      <c r="F217" s="4" cm="1">
        <f t="array" ref="F217">_xlfn.IFS('ProductSprint Backlog'!$F217="", "", AND('ProductSprint Backlog'!$J217&gt;F$2,'ProductSprint Backlog'!$I217&lt;=F$2), 'ProductSprint Backlog'!$F217 / MAX(1, 'ProductSprint Backlog'!$J217-'ProductSprint Backlog'!$I217), AND('ProductSprint Backlog'!$J217=F$2,'ProductSprint Backlog'!$I217=F$2), 'ProductSprint Backlog'!$F217, TRUE, 0)</f>
        <v>0</v>
      </c>
      <c r="G217" s="4" cm="1">
        <f t="array" ref="G217">_xlfn.IFS('ProductSprint Backlog'!$F217="", "", AND('ProductSprint Backlog'!$J217&gt;G$2,'ProductSprint Backlog'!$I217&lt;=G$2), 'ProductSprint Backlog'!$F217 / MAX(1, 'ProductSprint Backlog'!$J217-'ProductSprint Backlog'!$I217), AND('ProductSprint Backlog'!$J217=G$2,'ProductSprint Backlog'!$I217=G$2), 'ProductSprint Backlog'!$F217, TRUE, 0)</f>
        <v>0</v>
      </c>
      <c r="H217" s="4" cm="1">
        <f t="array" ref="H217">_xlfn.IFS('ProductSprint Backlog'!$F217="", "", AND('ProductSprint Backlog'!$J217&gt;H$2,'ProductSprint Backlog'!$I217&lt;=H$2), 'ProductSprint Backlog'!$F217 / MAX(1, 'ProductSprint Backlog'!$J217-'ProductSprint Backlog'!$I217), AND('ProductSprint Backlog'!$J217=H$2,'ProductSprint Backlog'!$I217=H$2), 'ProductSprint Backlog'!$F217, TRUE, 0)</f>
        <v>0</v>
      </c>
      <c r="I217" s="4" cm="1">
        <f t="array" ref="I217">_xlfn.IFS('ProductSprint Backlog'!$F217="", "", AND('ProductSprint Backlog'!$J217&gt;I$2,'ProductSprint Backlog'!$I217&lt;=I$2), 'ProductSprint Backlog'!$F217 / MAX(1, 'ProductSprint Backlog'!$J217-'ProductSprint Backlog'!$I217), AND('ProductSprint Backlog'!$J217=I$2,'ProductSprint Backlog'!$I217=I$2), 'ProductSprint Backlog'!$F217, TRUE, 0)</f>
        <v>0</v>
      </c>
      <c r="J217" s="4" cm="1">
        <f t="array" ref="J217">_xlfn.IFS('ProductSprint Backlog'!$F217="", "", AND('ProductSprint Backlog'!$J217&gt;J$2,'ProductSprint Backlog'!$I217&lt;=J$2), 'ProductSprint Backlog'!$F217 / MAX(1, 'ProductSprint Backlog'!$J217-'ProductSprint Backlog'!$I217), AND('ProductSprint Backlog'!$J217=J$2,'ProductSprint Backlog'!$I217=J$2), 'ProductSprint Backlog'!$F217, TRUE, 0)</f>
        <v>0.5</v>
      </c>
      <c r="K217" s="4" cm="1">
        <f t="array" ref="K217">_xlfn.IFS('ProductSprint Backlog'!$F217="", "", AND('ProductSprint Backlog'!$J217&gt;K$2,'ProductSprint Backlog'!$I217&lt;=K$2), 'ProductSprint Backlog'!$F217 / MAX(1, 'ProductSprint Backlog'!$J217-'ProductSprint Backlog'!$I217), AND('ProductSprint Backlog'!$J217=K$2,'ProductSprint Backlog'!$I217=K$2), 'ProductSprint Backlog'!$F217, TRUE, 0)</f>
        <v>0.5</v>
      </c>
      <c r="L217" s="4" cm="1">
        <f t="array" ref="L217">_xlfn.IFS('ProductSprint Backlog'!$F217="", "", AND('ProductSprint Backlog'!$J217&gt;L$2,'ProductSprint Backlog'!$I217&lt;=L$2), 'ProductSprint Backlog'!$F217 / MAX(1, 'ProductSprint Backlog'!$J217-'ProductSprint Backlog'!$I217), AND('ProductSprint Backlog'!$J217=L$2,'ProductSprint Backlog'!$I217=L$2), 'ProductSprint Backlog'!$F217, TRUE, 0)</f>
        <v>0</v>
      </c>
      <c r="M217" s="4" cm="1">
        <f t="array" ref="M217">_xlfn.IFS('ProductSprint Backlog'!$F217="", "", AND('ProductSprint Backlog'!$J217&gt;M$2,'ProductSprint Backlog'!$I217&lt;=M$2), 'ProductSprint Backlog'!$F217 / MAX(1, 'ProductSprint Backlog'!$J217-'ProductSprint Backlog'!$I217), AND('ProductSprint Backlog'!$J217=M$2,'ProductSprint Backlog'!$I217=M$2), 'ProductSprint Backlog'!$F217, TRUE, 0)</f>
        <v>0</v>
      </c>
      <c r="N217" s="4" cm="1">
        <f t="array" ref="N217">_xlfn.IFS('ProductSprint Backlog'!$F217="", "", AND('ProductSprint Backlog'!$J217&gt;N$2,'ProductSprint Backlog'!$I217&lt;=N$2), 'ProductSprint Backlog'!$F217 / MAX(1, 'ProductSprint Backlog'!$J217-'ProductSprint Backlog'!$I217), AND('ProductSprint Backlog'!$J217=N$2,'ProductSprint Backlog'!$I217=N$2), 'ProductSprint Backlog'!$F217, TRUE, 0)</f>
        <v>0</v>
      </c>
      <c r="O217" s="4" cm="1">
        <f t="array" ref="O217">_xlfn.IFS('ProductSprint Backlog'!$F217="", "", AND('ProductSprint Backlog'!$J217&gt;O$2,'ProductSprint Backlog'!$I217&lt;=O$2), 'ProductSprint Backlog'!$F217 / MAX(1, 'ProductSprint Backlog'!$J217-'ProductSprint Backlog'!$I217), AND('ProductSprint Backlog'!$J217=O$2,'ProductSprint Backlog'!$I217=O$2), 'ProductSprint Backlog'!$F217, TRUE, 0)</f>
        <v>0</v>
      </c>
      <c r="P217" s="4" cm="1">
        <f t="array" ref="P217">_xlfn.IFS('ProductSprint Backlog'!$F217="", "", AND('ProductSprint Backlog'!$J217&gt;P$2,'ProductSprint Backlog'!$I217&lt;=P$2), 'ProductSprint Backlog'!$F217 / MAX(1, 'ProductSprint Backlog'!$J217-'ProductSprint Backlog'!$I217), AND('ProductSprint Backlog'!$J217=P$2,'ProductSprint Backlog'!$I217=P$2), 'ProductSprint Backlog'!$F217, TRUE, 0)</f>
        <v>0</v>
      </c>
      <c r="Q217" s="4" cm="1">
        <f t="array" ref="Q217">_xlfn.IFS('ProductSprint Backlog'!$F217="", "", AND('ProductSprint Backlog'!$J217&gt;Q$2,'ProductSprint Backlog'!$I217&lt;=Q$2), 'ProductSprint Backlog'!$F217 / MAX(1, 'ProductSprint Backlog'!$J217-'ProductSprint Backlog'!$I217), AND('ProductSprint Backlog'!$J217=Q$2,'ProductSprint Backlog'!$I217=Q$2), 'ProductSprint Backlog'!$F217, TRUE, 0)</f>
        <v>0</v>
      </c>
    </row>
    <row r="218" spans="2:17" x14ac:dyDescent="0.2">
      <c r="B218" s="4" cm="1">
        <f t="array" ref="B218">_xlfn.IFS('ProductSprint Backlog'!$F218="", "", AND('ProductSprint Backlog'!$J218&gt;B$2,'ProductSprint Backlog'!$I218&lt;=B$2), 'ProductSprint Backlog'!$F218 / MAX(1, 'ProductSprint Backlog'!$J218-'ProductSprint Backlog'!$I218), AND('ProductSprint Backlog'!$J218=B$2,'ProductSprint Backlog'!$I218=B$2), 'ProductSprint Backlog'!$F218, TRUE, 0)</f>
        <v>0</v>
      </c>
      <c r="C218" s="4" cm="1">
        <f t="array" ref="C218">_xlfn.IFS('ProductSprint Backlog'!$F218="", "", AND('ProductSprint Backlog'!$J218&gt;C$2,'ProductSprint Backlog'!$I218&lt;=C$2), 'ProductSprint Backlog'!$F218 / MAX(1, 'ProductSprint Backlog'!$J218-'ProductSprint Backlog'!$I218), AND('ProductSprint Backlog'!$J218=C$2,'ProductSprint Backlog'!$I218=C$2), 'ProductSprint Backlog'!$F218, TRUE, 0)</f>
        <v>0</v>
      </c>
      <c r="D218" s="4" cm="1">
        <f t="array" ref="D218">_xlfn.IFS('ProductSprint Backlog'!$F218="", "", AND('ProductSprint Backlog'!$J218&gt;D$2,'ProductSprint Backlog'!$I218&lt;=D$2), 'ProductSprint Backlog'!$F218 / MAX(1, 'ProductSprint Backlog'!$J218-'ProductSprint Backlog'!$I218), AND('ProductSprint Backlog'!$J218=D$2,'ProductSprint Backlog'!$I218=D$2), 'ProductSprint Backlog'!$F218, TRUE, 0)</f>
        <v>0</v>
      </c>
      <c r="E218" s="4" cm="1">
        <f t="array" ref="E218">_xlfn.IFS('ProductSprint Backlog'!$F218="", "", AND('ProductSprint Backlog'!$J218&gt;E$2,'ProductSprint Backlog'!$I218&lt;=E$2), 'ProductSprint Backlog'!$F218 / MAX(1, 'ProductSprint Backlog'!$J218-'ProductSprint Backlog'!$I218), AND('ProductSprint Backlog'!$J218=E$2,'ProductSprint Backlog'!$I218=E$2), 'ProductSprint Backlog'!$F218, TRUE, 0)</f>
        <v>0</v>
      </c>
      <c r="F218" s="4" cm="1">
        <f t="array" ref="F218">_xlfn.IFS('ProductSprint Backlog'!$F218="", "", AND('ProductSprint Backlog'!$J218&gt;F$2,'ProductSprint Backlog'!$I218&lt;=F$2), 'ProductSprint Backlog'!$F218 / MAX(1, 'ProductSprint Backlog'!$J218-'ProductSprint Backlog'!$I218), AND('ProductSprint Backlog'!$J218=F$2,'ProductSprint Backlog'!$I218=F$2), 'ProductSprint Backlog'!$F218, TRUE, 0)</f>
        <v>0</v>
      </c>
      <c r="G218" s="4" cm="1">
        <f t="array" ref="G218">_xlfn.IFS('ProductSprint Backlog'!$F218="", "", AND('ProductSprint Backlog'!$J218&gt;G$2,'ProductSprint Backlog'!$I218&lt;=G$2), 'ProductSprint Backlog'!$F218 / MAX(1, 'ProductSprint Backlog'!$J218-'ProductSprint Backlog'!$I218), AND('ProductSprint Backlog'!$J218=G$2,'ProductSprint Backlog'!$I218=G$2), 'ProductSprint Backlog'!$F218, TRUE, 0)</f>
        <v>0</v>
      </c>
      <c r="H218" s="4" cm="1">
        <f t="array" ref="H218">_xlfn.IFS('ProductSprint Backlog'!$F218="", "", AND('ProductSprint Backlog'!$J218&gt;H$2,'ProductSprint Backlog'!$I218&lt;=H$2), 'ProductSprint Backlog'!$F218 / MAX(1, 'ProductSprint Backlog'!$J218-'ProductSprint Backlog'!$I218), AND('ProductSprint Backlog'!$J218=H$2,'ProductSprint Backlog'!$I218=H$2), 'ProductSprint Backlog'!$F218, TRUE, 0)</f>
        <v>0</v>
      </c>
      <c r="I218" s="4" cm="1">
        <f t="array" ref="I218">_xlfn.IFS('ProductSprint Backlog'!$F218="", "", AND('ProductSprint Backlog'!$J218&gt;I$2,'ProductSprint Backlog'!$I218&lt;=I$2), 'ProductSprint Backlog'!$F218 / MAX(1, 'ProductSprint Backlog'!$J218-'ProductSprint Backlog'!$I218), AND('ProductSprint Backlog'!$J218=I$2,'ProductSprint Backlog'!$I218=I$2), 'ProductSprint Backlog'!$F218, TRUE, 0)</f>
        <v>0</v>
      </c>
      <c r="J218" s="4" cm="1">
        <f t="array" ref="J218">_xlfn.IFS('ProductSprint Backlog'!$F218="", "", AND('ProductSprint Backlog'!$J218&gt;J$2,'ProductSprint Backlog'!$I218&lt;=J$2), 'ProductSprint Backlog'!$F218 / MAX(1, 'ProductSprint Backlog'!$J218-'ProductSprint Backlog'!$I218), AND('ProductSprint Backlog'!$J218=J$2,'ProductSprint Backlog'!$I218=J$2), 'ProductSprint Backlog'!$F218, TRUE, 0)</f>
        <v>0.5</v>
      </c>
      <c r="K218" s="4" cm="1">
        <f t="array" ref="K218">_xlfn.IFS('ProductSprint Backlog'!$F218="", "", AND('ProductSprint Backlog'!$J218&gt;K$2,'ProductSprint Backlog'!$I218&lt;=K$2), 'ProductSprint Backlog'!$F218 / MAX(1, 'ProductSprint Backlog'!$J218-'ProductSprint Backlog'!$I218), AND('ProductSprint Backlog'!$J218=K$2,'ProductSprint Backlog'!$I218=K$2), 'ProductSprint Backlog'!$F218, TRUE, 0)</f>
        <v>0.5</v>
      </c>
      <c r="L218" s="4" cm="1">
        <f t="array" ref="L218">_xlfn.IFS('ProductSprint Backlog'!$F218="", "", AND('ProductSprint Backlog'!$J218&gt;L$2,'ProductSprint Backlog'!$I218&lt;=L$2), 'ProductSprint Backlog'!$F218 / MAX(1, 'ProductSprint Backlog'!$J218-'ProductSprint Backlog'!$I218), AND('ProductSprint Backlog'!$J218=L$2,'ProductSprint Backlog'!$I218=L$2), 'ProductSprint Backlog'!$F218, TRUE, 0)</f>
        <v>0</v>
      </c>
      <c r="M218" s="4" cm="1">
        <f t="array" ref="M218">_xlfn.IFS('ProductSprint Backlog'!$F218="", "", AND('ProductSprint Backlog'!$J218&gt;M$2,'ProductSprint Backlog'!$I218&lt;=M$2), 'ProductSprint Backlog'!$F218 / MAX(1, 'ProductSprint Backlog'!$J218-'ProductSprint Backlog'!$I218), AND('ProductSprint Backlog'!$J218=M$2,'ProductSprint Backlog'!$I218=M$2), 'ProductSprint Backlog'!$F218, TRUE, 0)</f>
        <v>0</v>
      </c>
      <c r="N218" s="4" cm="1">
        <f t="array" ref="N218">_xlfn.IFS('ProductSprint Backlog'!$F218="", "", AND('ProductSprint Backlog'!$J218&gt;N$2,'ProductSprint Backlog'!$I218&lt;=N$2), 'ProductSprint Backlog'!$F218 / MAX(1, 'ProductSprint Backlog'!$J218-'ProductSprint Backlog'!$I218), AND('ProductSprint Backlog'!$J218=N$2,'ProductSprint Backlog'!$I218=N$2), 'ProductSprint Backlog'!$F218, TRUE, 0)</f>
        <v>0</v>
      </c>
      <c r="O218" s="4" cm="1">
        <f t="array" ref="O218">_xlfn.IFS('ProductSprint Backlog'!$F218="", "", AND('ProductSprint Backlog'!$J218&gt;O$2,'ProductSprint Backlog'!$I218&lt;=O$2), 'ProductSprint Backlog'!$F218 / MAX(1, 'ProductSprint Backlog'!$J218-'ProductSprint Backlog'!$I218), AND('ProductSprint Backlog'!$J218=O$2,'ProductSprint Backlog'!$I218=O$2), 'ProductSprint Backlog'!$F218, TRUE, 0)</f>
        <v>0</v>
      </c>
      <c r="P218" s="4" cm="1">
        <f t="array" ref="P218">_xlfn.IFS('ProductSprint Backlog'!$F218="", "", AND('ProductSprint Backlog'!$J218&gt;P$2,'ProductSprint Backlog'!$I218&lt;=P$2), 'ProductSprint Backlog'!$F218 / MAX(1, 'ProductSprint Backlog'!$J218-'ProductSprint Backlog'!$I218), AND('ProductSprint Backlog'!$J218=P$2,'ProductSprint Backlog'!$I218=P$2), 'ProductSprint Backlog'!$F218, TRUE, 0)</f>
        <v>0</v>
      </c>
      <c r="Q218" s="4" cm="1">
        <f t="array" ref="Q218">_xlfn.IFS('ProductSprint Backlog'!$F218="", "", AND('ProductSprint Backlog'!$J218&gt;Q$2,'ProductSprint Backlog'!$I218&lt;=Q$2), 'ProductSprint Backlog'!$F218 / MAX(1, 'ProductSprint Backlog'!$J218-'ProductSprint Backlog'!$I218), AND('ProductSprint Backlog'!$J218=Q$2,'ProductSprint Backlog'!$I218=Q$2), 'ProductSprint Backlog'!$F218, TRUE, 0)</f>
        <v>0</v>
      </c>
    </row>
    <row r="219" spans="2:17" x14ac:dyDescent="0.2">
      <c r="B219" s="4" cm="1">
        <f t="array" ref="B219">_xlfn.IFS('ProductSprint Backlog'!$F219="", "", AND('ProductSprint Backlog'!$J219&gt;B$2,'ProductSprint Backlog'!$I219&lt;=B$2), 'ProductSprint Backlog'!$F219 / MAX(1, 'ProductSprint Backlog'!$J219-'ProductSprint Backlog'!$I219), AND('ProductSprint Backlog'!$J219=B$2,'ProductSprint Backlog'!$I219=B$2), 'ProductSprint Backlog'!$F219, TRUE, 0)</f>
        <v>0</v>
      </c>
      <c r="C219" s="4" cm="1">
        <f t="array" ref="C219">_xlfn.IFS('ProductSprint Backlog'!$F219="", "", AND('ProductSprint Backlog'!$J219&gt;C$2,'ProductSprint Backlog'!$I219&lt;=C$2), 'ProductSprint Backlog'!$F219 / MAX(1, 'ProductSprint Backlog'!$J219-'ProductSprint Backlog'!$I219), AND('ProductSprint Backlog'!$J219=C$2,'ProductSprint Backlog'!$I219=C$2), 'ProductSprint Backlog'!$F219, TRUE, 0)</f>
        <v>0</v>
      </c>
      <c r="D219" s="4" cm="1">
        <f t="array" ref="D219">_xlfn.IFS('ProductSprint Backlog'!$F219="", "", AND('ProductSprint Backlog'!$J219&gt;D$2,'ProductSprint Backlog'!$I219&lt;=D$2), 'ProductSprint Backlog'!$F219 / MAX(1, 'ProductSprint Backlog'!$J219-'ProductSprint Backlog'!$I219), AND('ProductSprint Backlog'!$J219=D$2,'ProductSprint Backlog'!$I219=D$2), 'ProductSprint Backlog'!$F219, TRUE, 0)</f>
        <v>0</v>
      </c>
      <c r="E219" s="4" cm="1">
        <f t="array" ref="E219">_xlfn.IFS('ProductSprint Backlog'!$F219="", "", AND('ProductSprint Backlog'!$J219&gt;E$2,'ProductSprint Backlog'!$I219&lt;=E$2), 'ProductSprint Backlog'!$F219 / MAX(1, 'ProductSprint Backlog'!$J219-'ProductSprint Backlog'!$I219), AND('ProductSprint Backlog'!$J219=E$2,'ProductSprint Backlog'!$I219=E$2), 'ProductSprint Backlog'!$F219, TRUE, 0)</f>
        <v>0</v>
      </c>
      <c r="F219" s="4" cm="1">
        <f t="array" ref="F219">_xlfn.IFS('ProductSprint Backlog'!$F219="", "", AND('ProductSprint Backlog'!$J219&gt;F$2,'ProductSprint Backlog'!$I219&lt;=F$2), 'ProductSprint Backlog'!$F219 / MAX(1, 'ProductSprint Backlog'!$J219-'ProductSprint Backlog'!$I219), AND('ProductSprint Backlog'!$J219=F$2,'ProductSprint Backlog'!$I219=F$2), 'ProductSprint Backlog'!$F219, TRUE, 0)</f>
        <v>0</v>
      </c>
      <c r="G219" s="4" cm="1">
        <f t="array" ref="G219">_xlfn.IFS('ProductSprint Backlog'!$F219="", "", AND('ProductSprint Backlog'!$J219&gt;G$2,'ProductSprint Backlog'!$I219&lt;=G$2), 'ProductSprint Backlog'!$F219 / MAX(1, 'ProductSprint Backlog'!$J219-'ProductSprint Backlog'!$I219), AND('ProductSprint Backlog'!$J219=G$2,'ProductSprint Backlog'!$I219=G$2), 'ProductSprint Backlog'!$F219, TRUE, 0)</f>
        <v>0</v>
      </c>
      <c r="H219" s="4" cm="1">
        <f t="array" ref="H219">_xlfn.IFS('ProductSprint Backlog'!$F219="", "", AND('ProductSprint Backlog'!$J219&gt;H$2,'ProductSprint Backlog'!$I219&lt;=H$2), 'ProductSprint Backlog'!$F219 / MAX(1, 'ProductSprint Backlog'!$J219-'ProductSprint Backlog'!$I219), AND('ProductSprint Backlog'!$J219=H$2,'ProductSprint Backlog'!$I219=H$2), 'ProductSprint Backlog'!$F219, TRUE, 0)</f>
        <v>0</v>
      </c>
      <c r="I219" s="4" cm="1">
        <f t="array" ref="I219">_xlfn.IFS('ProductSprint Backlog'!$F219="", "", AND('ProductSprint Backlog'!$J219&gt;I$2,'ProductSprint Backlog'!$I219&lt;=I$2), 'ProductSprint Backlog'!$F219 / MAX(1, 'ProductSprint Backlog'!$J219-'ProductSprint Backlog'!$I219), AND('ProductSprint Backlog'!$J219=I$2,'ProductSprint Backlog'!$I219=I$2), 'ProductSprint Backlog'!$F219, TRUE, 0)</f>
        <v>0</v>
      </c>
      <c r="J219" s="4" cm="1">
        <f t="array" ref="J219">_xlfn.IFS('ProductSprint Backlog'!$F219="", "", AND('ProductSprint Backlog'!$J219&gt;J$2,'ProductSprint Backlog'!$I219&lt;=J$2), 'ProductSprint Backlog'!$F219 / MAX(1, 'ProductSprint Backlog'!$J219-'ProductSprint Backlog'!$I219), AND('ProductSprint Backlog'!$J219=J$2,'ProductSprint Backlog'!$I219=J$2), 'ProductSprint Backlog'!$F219, TRUE, 0)</f>
        <v>1</v>
      </c>
      <c r="K219" s="4" cm="1">
        <f t="array" ref="K219">_xlfn.IFS('ProductSprint Backlog'!$F219="", "", AND('ProductSprint Backlog'!$J219&gt;K$2,'ProductSprint Backlog'!$I219&lt;=K$2), 'ProductSprint Backlog'!$F219 / MAX(1, 'ProductSprint Backlog'!$J219-'ProductSprint Backlog'!$I219), AND('ProductSprint Backlog'!$J219=K$2,'ProductSprint Backlog'!$I219=K$2), 'ProductSprint Backlog'!$F219, TRUE, 0)</f>
        <v>1</v>
      </c>
      <c r="L219" s="4" cm="1">
        <f t="array" ref="L219">_xlfn.IFS('ProductSprint Backlog'!$F219="", "", AND('ProductSprint Backlog'!$J219&gt;L$2,'ProductSprint Backlog'!$I219&lt;=L$2), 'ProductSprint Backlog'!$F219 / MAX(1, 'ProductSprint Backlog'!$J219-'ProductSprint Backlog'!$I219), AND('ProductSprint Backlog'!$J219=L$2,'ProductSprint Backlog'!$I219=L$2), 'ProductSprint Backlog'!$F219, TRUE, 0)</f>
        <v>0</v>
      </c>
      <c r="M219" s="4" cm="1">
        <f t="array" ref="M219">_xlfn.IFS('ProductSprint Backlog'!$F219="", "", AND('ProductSprint Backlog'!$J219&gt;M$2,'ProductSprint Backlog'!$I219&lt;=M$2), 'ProductSprint Backlog'!$F219 / MAX(1, 'ProductSprint Backlog'!$J219-'ProductSprint Backlog'!$I219), AND('ProductSprint Backlog'!$J219=M$2,'ProductSprint Backlog'!$I219=M$2), 'ProductSprint Backlog'!$F219, TRUE, 0)</f>
        <v>0</v>
      </c>
      <c r="N219" s="4" cm="1">
        <f t="array" ref="N219">_xlfn.IFS('ProductSprint Backlog'!$F219="", "", AND('ProductSprint Backlog'!$J219&gt;N$2,'ProductSprint Backlog'!$I219&lt;=N$2), 'ProductSprint Backlog'!$F219 / MAX(1, 'ProductSprint Backlog'!$J219-'ProductSprint Backlog'!$I219), AND('ProductSprint Backlog'!$J219=N$2,'ProductSprint Backlog'!$I219=N$2), 'ProductSprint Backlog'!$F219, TRUE, 0)</f>
        <v>0</v>
      </c>
      <c r="O219" s="4" cm="1">
        <f t="array" ref="O219">_xlfn.IFS('ProductSprint Backlog'!$F219="", "", AND('ProductSprint Backlog'!$J219&gt;O$2,'ProductSprint Backlog'!$I219&lt;=O$2), 'ProductSprint Backlog'!$F219 / MAX(1, 'ProductSprint Backlog'!$J219-'ProductSprint Backlog'!$I219), AND('ProductSprint Backlog'!$J219=O$2,'ProductSprint Backlog'!$I219=O$2), 'ProductSprint Backlog'!$F219, TRUE, 0)</f>
        <v>0</v>
      </c>
      <c r="P219" s="4" cm="1">
        <f t="array" ref="P219">_xlfn.IFS('ProductSprint Backlog'!$F219="", "", AND('ProductSprint Backlog'!$J219&gt;P$2,'ProductSprint Backlog'!$I219&lt;=P$2), 'ProductSprint Backlog'!$F219 / MAX(1, 'ProductSprint Backlog'!$J219-'ProductSprint Backlog'!$I219), AND('ProductSprint Backlog'!$J219=P$2,'ProductSprint Backlog'!$I219=P$2), 'ProductSprint Backlog'!$F219, TRUE, 0)</f>
        <v>0</v>
      </c>
      <c r="Q219" s="4" cm="1">
        <f t="array" ref="Q219">_xlfn.IFS('ProductSprint Backlog'!$F219="", "", AND('ProductSprint Backlog'!$J219&gt;Q$2,'ProductSprint Backlog'!$I219&lt;=Q$2), 'ProductSprint Backlog'!$F219 / MAX(1, 'ProductSprint Backlog'!$J219-'ProductSprint Backlog'!$I219), AND('ProductSprint Backlog'!$J219=Q$2,'ProductSprint Backlog'!$I219=Q$2), 'ProductSprint Backlog'!$F219, TRUE, 0)</f>
        <v>0</v>
      </c>
    </row>
    <row r="220" spans="2:17" x14ac:dyDescent="0.2">
      <c r="B220" s="4" cm="1">
        <f t="array" ref="B220">_xlfn.IFS('ProductSprint Backlog'!$F220="", "", AND('ProductSprint Backlog'!$J220&gt;B$2,'ProductSprint Backlog'!$I220&lt;=B$2), 'ProductSprint Backlog'!$F220 / MAX(1, 'ProductSprint Backlog'!$J220-'ProductSprint Backlog'!$I220), AND('ProductSprint Backlog'!$J220=B$2,'ProductSprint Backlog'!$I220=B$2), 'ProductSprint Backlog'!$F220, TRUE, 0)</f>
        <v>0.2</v>
      </c>
      <c r="C220" s="4" cm="1">
        <f t="array" ref="C220">_xlfn.IFS('ProductSprint Backlog'!$F220="", "", AND('ProductSprint Backlog'!$J220&gt;C$2,'ProductSprint Backlog'!$I220&lt;=C$2), 'ProductSprint Backlog'!$F220 / MAX(1, 'ProductSprint Backlog'!$J220-'ProductSprint Backlog'!$I220), AND('ProductSprint Backlog'!$J220=C$2,'ProductSprint Backlog'!$I220=C$2), 'ProductSprint Backlog'!$F220, TRUE, 0)</f>
        <v>0.2</v>
      </c>
      <c r="D220" s="4" cm="1">
        <f t="array" ref="D220">_xlfn.IFS('ProductSprint Backlog'!$F220="", "", AND('ProductSprint Backlog'!$J220&gt;D$2,'ProductSprint Backlog'!$I220&lt;=D$2), 'ProductSprint Backlog'!$F220 / MAX(1, 'ProductSprint Backlog'!$J220-'ProductSprint Backlog'!$I220), AND('ProductSprint Backlog'!$J220=D$2,'ProductSprint Backlog'!$I220=D$2), 'ProductSprint Backlog'!$F220, TRUE, 0)</f>
        <v>0.2</v>
      </c>
      <c r="E220" s="4" cm="1">
        <f t="array" ref="E220">_xlfn.IFS('ProductSprint Backlog'!$F220="", "", AND('ProductSprint Backlog'!$J220&gt;E$2,'ProductSprint Backlog'!$I220&lt;=E$2), 'ProductSprint Backlog'!$F220 / MAX(1, 'ProductSprint Backlog'!$J220-'ProductSprint Backlog'!$I220), AND('ProductSprint Backlog'!$J220=E$2,'ProductSprint Backlog'!$I220=E$2), 'ProductSprint Backlog'!$F220, TRUE, 0)</f>
        <v>0.2</v>
      </c>
      <c r="F220" s="4" cm="1">
        <f t="array" ref="F220">_xlfn.IFS('ProductSprint Backlog'!$F220="", "", AND('ProductSprint Backlog'!$J220&gt;F$2,'ProductSprint Backlog'!$I220&lt;=F$2), 'ProductSprint Backlog'!$F220 / MAX(1, 'ProductSprint Backlog'!$J220-'ProductSprint Backlog'!$I220), AND('ProductSprint Backlog'!$J220=F$2,'ProductSprint Backlog'!$I220=F$2), 'ProductSprint Backlog'!$F220, TRUE, 0)</f>
        <v>0.2</v>
      </c>
      <c r="G220" s="4" cm="1">
        <f t="array" ref="G220">_xlfn.IFS('ProductSprint Backlog'!$F220="", "", AND('ProductSprint Backlog'!$J220&gt;G$2,'ProductSprint Backlog'!$I220&lt;=G$2), 'ProductSprint Backlog'!$F220 / MAX(1, 'ProductSprint Backlog'!$J220-'ProductSprint Backlog'!$I220), AND('ProductSprint Backlog'!$J220=G$2,'ProductSprint Backlog'!$I220=G$2), 'ProductSprint Backlog'!$F220, TRUE, 0)</f>
        <v>0</v>
      </c>
      <c r="H220" s="4" cm="1">
        <f t="array" ref="H220">_xlfn.IFS('ProductSprint Backlog'!$F220="", "", AND('ProductSprint Backlog'!$J220&gt;H$2,'ProductSprint Backlog'!$I220&lt;=H$2), 'ProductSprint Backlog'!$F220 / MAX(1, 'ProductSprint Backlog'!$J220-'ProductSprint Backlog'!$I220), AND('ProductSprint Backlog'!$J220=H$2,'ProductSprint Backlog'!$I220=H$2), 'ProductSprint Backlog'!$F220, TRUE, 0)</f>
        <v>0</v>
      </c>
      <c r="I220" s="4" cm="1">
        <f t="array" ref="I220">_xlfn.IFS('ProductSprint Backlog'!$F220="", "", AND('ProductSprint Backlog'!$J220&gt;I$2,'ProductSprint Backlog'!$I220&lt;=I$2), 'ProductSprint Backlog'!$F220 / MAX(1, 'ProductSprint Backlog'!$J220-'ProductSprint Backlog'!$I220), AND('ProductSprint Backlog'!$J220=I$2,'ProductSprint Backlog'!$I220=I$2), 'ProductSprint Backlog'!$F220, TRUE, 0)</f>
        <v>0</v>
      </c>
      <c r="J220" s="4" cm="1">
        <f t="array" ref="J220">_xlfn.IFS('ProductSprint Backlog'!$F220="", "", AND('ProductSprint Backlog'!$J220&gt;J$2,'ProductSprint Backlog'!$I220&lt;=J$2), 'ProductSprint Backlog'!$F220 / MAX(1, 'ProductSprint Backlog'!$J220-'ProductSprint Backlog'!$I220), AND('ProductSprint Backlog'!$J220=J$2,'ProductSprint Backlog'!$I220=J$2), 'ProductSprint Backlog'!$F220, TRUE, 0)</f>
        <v>0</v>
      </c>
      <c r="K220" s="4" cm="1">
        <f t="array" ref="K220">_xlfn.IFS('ProductSprint Backlog'!$F220="", "", AND('ProductSprint Backlog'!$J220&gt;K$2,'ProductSprint Backlog'!$I220&lt;=K$2), 'ProductSprint Backlog'!$F220 / MAX(1, 'ProductSprint Backlog'!$J220-'ProductSprint Backlog'!$I220), AND('ProductSprint Backlog'!$J220=K$2,'ProductSprint Backlog'!$I220=K$2), 'ProductSprint Backlog'!$F220, TRUE, 0)</f>
        <v>0</v>
      </c>
      <c r="L220" s="4" cm="1">
        <f t="array" ref="L220">_xlfn.IFS('ProductSprint Backlog'!$F220="", "", AND('ProductSprint Backlog'!$J220&gt;L$2,'ProductSprint Backlog'!$I220&lt;=L$2), 'ProductSprint Backlog'!$F220 / MAX(1, 'ProductSprint Backlog'!$J220-'ProductSprint Backlog'!$I220), AND('ProductSprint Backlog'!$J220=L$2,'ProductSprint Backlog'!$I220=L$2), 'ProductSprint Backlog'!$F220, TRUE, 0)</f>
        <v>0</v>
      </c>
      <c r="M220" s="4" cm="1">
        <f t="array" ref="M220">_xlfn.IFS('ProductSprint Backlog'!$F220="", "", AND('ProductSprint Backlog'!$J220&gt;M$2,'ProductSprint Backlog'!$I220&lt;=M$2), 'ProductSprint Backlog'!$F220 / MAX(1, 'ProductSprint Backlog'!$J220-'ProductSprint Backlog'!$I220), AND('ProductSprint Backlog'!$J220=M$2,'ProductSprint Backlog'!$I220=M$2), 'ProductSprint Backlog'!$F220, TRUE, 0)</f>
        <v>0</v>
      </c>
      <c r="N220" s="4" cm="1">
        <f t="array" ref="N220">_xlfn.IFS('ProductSprint Backlog'!$F220="", "", AND('ProductSprint Backlog'!$J220&gt;N$2,'ProductSprint Backlog'!$I220&lt;=N$2), 'ProductSprint Backlog'!$F220 / MAX(1, 'ProductSprint Backlog'!$J220-'ProductSprint Backlog'!$I220), AND('ProductSprint Backlog'!$J220=N$2,'ProductSprint Backlog'!$I220=N$2), 'ProductSprint Backlog'!$F220, TRUE, 0)</f>
        <v>0</v>
      </c>
      <c r="O220" s="4" cm="1">
        <f t="array" ref="O220">_xlfn.IFS('ProductSprint Backlog'!$F220="", "", AND('ProductSprint Backlog'!$J220&gt;O$2,'ProductSprint Backlog'!$I220&lt;=O$2), 'ProductSprint Backlog'!$F220 / MAX(1, 'ProductSprint Backlog'!$J220-'ProductSprint Backlog'!$I220), AND('ProductSprint Backlog'!$J220=O$2,'ProductSprint Backlog'!$I220=O$2), 'ProductSprint Backlog'!$F220, TRUE, 0)</f>
        <v>0</v>
      </c>
      <c r="P220" s="4" cm="1">
        <f t="array" ref="P220">_xlfn.IFS('ProductSprint Backlog'!$F220="", "", AND('ProductSprint Backlog'!$J220&gt;P$2,'ProductSprint Backlog'!$I220&lt;=P$2), 'ProductSprint Backlog'!$F220 / MAX(1, 'ProductSprint Backlog'!$J220-'ProductSprint Backlog'!$I220), AND('ProductSprint Backlog'!$J220=P$2,'ProductSprint Backlog'!$I220=P$2), 'ProductSprint Backlog'!$F220, TRUE, 0)</f>
        <v>0</v>
      </c>
      <c r="Q220" s="4" cm="1">
        <f t="array" ref="Q220">_xlfn.IFS('ProductSprint Backlog'!$F220="", "", AND('ProductSprint Backlog'!$J220&gt;Q$2,'ProductSprint Backlog'!$I220&lt;=Q$2), 'ProductSprint Backlog'!$F220 / MAX(1, 'ProductSprint Backlog'!$J220-'ProductSprint Backlog'!$I220), AND('ProductSprint Backlog'!$J220=Q$2,'ProductSprint Backlog'!$I220=Q$2), 'ProductSprint Backlog'!$F220, TRUE, 0)</f>
        <v>0</v>
      </c>
    </row>
    <row r="221" spans="2:17" x14ac:dyDescent="0.2">
      <c r="B221" s="4" cm="1">
        <f t="array" ref="B221">_xlfn.IFS('ProductSprint Backlog'!$F221="", "", AND('ProductSprint Backlog'!$J221&gt;B$2,'ProductSprint Backlog'!$I221&lt;=B$2), 'ProductSprint Backlog'!$F221 / MAX(1, 'ProductSprint Backlog'!$J221-'ProductSprint Backlog'!$I221), AND('ProductSprint Backlog'!$J221=B$2,'ProductSprint Backlog'!$I221=B$2), 'ProductSprint Backlog'!$F221, TRUE, 0)</f>
        <v>0.2</v>
      </c>
      <c r="C221" s="4" cm="1">
        <f t="array" ref="C221">_xlfn.IFS('ProductSprint Backlog'!$F221="", "", AND('ProductSprint Backlog'!$J221&gt;C$2,'ProductSprint Backlog'!$I221&lt;=C$2), 'ProductSprint Backlog'!$F221 / MAX(1, 'ProductSprint Backlog'!$J221-'ProductSprint Backlog'!$I221), AND('ProductSprint Backlog'!$J221=C$2,'ProductSprint Backlog'!$I221=C$2), 'ProductSprint Backlog'!$F221, TRUE, 0)</f>
        <v>0.2</v>
      </c>
      <c r="D221" s="4" cm="1">
        <f t="array" ref="D221">_xlfn.IFS('ProductSprint Backlog'!$F221="", "", AND('ProductSprint Backlog'!$J221&gt;D$2,'ProductSprint Backlog'!$I221&lt;=D$2), 'ProductSprint Backlog'!$F221 / MAX(1, 'ProductSprint Backlog'!$J221-'ProductSprint Backlog'!$I221), AND('ProductSprint Backlog'!$J221=D$2,'ProductSprint Backlog'!$I221=D$2), 'ProductSprint Backlog'!$F221, TRUE, 0)</f>
        <v>0.2</v>
      </c>
      <c r="E221" s="4" cm="1">
        <f t="array" ref="E221">_xlfn.IFS('ProductSprint Backlog'!$F221="", "", AND('ProductSprint Backlog'!$J221&gt;E$2,'ProductSprint Backlog'!$I221&lt;=E$2), 'ProductSprint Backlog'!$F221 / MAX(1, 'ProductSprint Backlog'!$J221-'ProductSprint Backlog'!$I221), AND('ProductSprint Backlog'!$J221=E$2,'ProductSprint Backlog'!$I221=E$2), 'ProductSprint Backlog'!$F221, TRUE, 0)</f>
        <v>0.2</v>
      </c>
      <c r="F221" s="4" cm="1">
        <f t="array" ref="F221">_xlfn.IFS('ProductSprint Backlog'!$F221="", "", AND('ProductSprint Backlog'!$J221&gt;F$2,'ProductSprint Backlog'!$I221&lt;=F$2), 'ProductSprint Backlog'!$F221 / MAX(1, 'ProductSprint Backlog'!$J221-'ProductSprint Backlog'!$I221), AND('ProductSprint Backlog'!$J221=F$2,'ProductSprint Backlog'!$I221=F$2), 'ProductSprint Backlog'!$F221, TRUE, 0)</f>
        <v>0.2</v>
      </c>
      <c r="G221" s="4" cm="1">
        <f t="array" ref="G221">_xlfn.IFS('ProductSprint Backlog'!$F221="", "", AND('ProductSprint Backlog'!$J221&gt;G$2,'ProductSprint Backlog'!$I221&lt;=G$2), 'ProductSprint Backlog'!$F221 / MAX(1, 'ProductSprint Backlog'!$J221-'ProductSprint Backlog'!$I221), AND('ProductSprint Backlog'!$J221=G$2,'ProductSprint Backlog'!$I221=G$2), 'ProductSprint Backlog'!$F221, TRUE, 0)</f>
        <v>0</v>
      </c>
      <c r="H221" s="4" cm="1">
        <f t="array" ref="H221">_xlfn.IFS('ProductSprint Backlog'!$F221="", "", AND('ProductSprint Backlog'!$J221&gt;H$2,'ProductSprint Backlog'!$I221&lt;=H$2), 'ProductSprint Backlog'!$F221 / MAX(1, 'ProductSprint Backlog'!$J221-'ProductSprint Backlog'!$I221), AND('ProductSprint Backlog'!$J221=H$2,'ProductSprint Backlog'!$I221=H$2), 'ProductSprint Backlog'!$F221, TRUE, 0)</f>
        <v>0</v>
      </c>
      <c r="I221" s="4" cm="1">
        <f t="array" ref="I221">_xlfn.IFS('ProductSprint Backlog'!$F221="", "", AND('ProductSprint Backlog'!$J221&gt;I$2,'ProductSprint Backlog'!$I221&lt;=I$2), 'ProductSprint Backlog'!$F221 / MAX(1, 'ProductSprint Backlog'!$J221-'ProductSprint Backlog'!$I221), AND('ProductSprint Backlog'!$J221=I$2,'ProductSprint Backlog'!$I221=I$2), 'ProductSprint Backlog'!$F221, TRUE, 0)</f>
        <v>0</v>
      </c>
      <c r="J221" s="4" cm="1">
        <f t="array" ref="J221">_xlfn.IFS('ProductSprint Backlog'!$F221="", "", AND('ProductSprint Backlog'!$J221&gt;J$2,'ProductSprint Backlog'!$I221&lt;=J$2), 'ProductSprint Backlog'!$F221 / MAX(1, 'ProductSprint Backlog'!$J221-'ProductSprint Backlog'!$I221), AND('ProductSprint Backlog'!$J221=J$2,'ProductSprint Backlog'!$I221=J$2), 'ProductSprint Backlog'!$F221, TRUE, 0)</f>
        <v>0</v>
      </c>
      <c r="K221" s="4" cm="1">
        <f t="array" ref="K221">_xlfn.IFS('ProductSprint Backlog'!$F221="", "", AND('ProductSprint Backlog'!$J221&gt;K$2,'ProductSprint Backlog'!$I221&lt;=K$2), 'ProductSprint Backlog'!$F221 / MAX(1, 'ProductSprint Backlog'!$J221-'ProductSprint Backlog'!$I221), AND('ProductSprint Backlog'!$J221=K$2,'ProductSprint Backlog'!$I221=K$2), 'ProductSprint Backlog'!$F221, TRUE, 0)</f>
        <v>0</v>
      </c>
      <c r="L221" s="4" cm="1">
        <f t="array" ref="L221">_xlfn.IFS('ProductSprint Backlog'!$F221="", "", AND('ProductSprint Backlog'!$J221&gt;L$2,'ProductSprint Backlog'!$I221&lt;=L$2), 'ProductSprint Backlog'!$F221 / MAX(1, 'ProductSprint Backlog'!$J221-'ProductSprint Backlog'!$I221), AND('ProductSprint Backlog'!$J221=L$2,'ProductSprint Backlog'!$I221=L$2), 'ProductSprint Backlog'!$F221, TRUE, 0)</f>
        <v>0</v>
      </c>
      <c r="M221" s="4" cm="1">
        <f t="array" ref="M221">_xlfn.IFS('ProductSprint Backlog'!$F221="", "", AND('ProductSprint Backlog'!$J221&gt;M$2,'ProductSprint Backlog'!$I221&lt;=M$2), 'ProductSprint Backlog'!$F221 / MAX(1, 'ProductSprint Backlog'!$J221-'ProductSprint Backlog'!$I221), AND('ProductSprint Backlog'!$J221=M$2,'ProductSprint Backlog'!$I221=M$2), 'ProductSprint Backlog'!$F221, TRUE, 0)</f>
        <v>0</v>
      </c>
      <c r="N221" s="4" cm="1">
        <f t="array" ref="N221">_xlfn.IFS('ProductSprint Backlog'!$F221="", "", AND('ProductSprint Backlog'!$J221&gt;N$2,'ProductSprint Backlog'!$I221&lt;=N$2), 'ProductSprint Backlog'!$F221 / MAX(1, 'ProductSprint Backlog'!$J221-'ProductSprint Backlog'!$I221), AND('ProductSprint Backlog'!$J221=N$2,'ProductSprint Backlog'!$I221=N$2), 'ProductSprint Backlog'!$F221, TRUE, 0)</f>
        <v>0</v>
      </c>
      <c r="O221" s="4" cm="1">
        <f t="array" ref="O221">_xlfn.IFS('ProductSprint Backlog'!$F221="", "", AND('ProductSprint Backlog'!$J221&gt;O$2,'ProductSprint Backlog'!$I221&lt;=O$2), 'ProductSprint Backlog'!$F221 / MAX(1, 'ProductSprint Backlog'!$J221-'ProductSprint Backlog'!$I221), AND('ProductSprint Backlog'!$J221=O$2,'ProductSprint Backlog'!$I221=O$2), 'ProductSprint Backlog'!$F221, TRUE, 0)</f>
        <v>0</v>
      </c>
      <c r="P221" s="4" cm="1">
        <f t="array" ref="P221">_xlfn.IFS('ProductSprint Backlog'!$F221="", "", AND('ProductSprint Backlog'!$J221&gt;P$2,'ProductSprint Backlog'!$I221&lt;=P$2), 'ProductSprint Backlog'!$F221 / MAX(1, 'ProductSprint Backlog'!$J221-'ProductSprint Backlog'!$I221), AND('ProductSprint Backlog'!$J221=P$2,'ProductSprint Backlog'!$I221=P$2), 'ProductSprint Backlog'!$F221, TRUE, 0)</f>
        <v>0</v>
      </c>
      <c r="Q221" s="4" cm="1">
        <f t="array" ref="Q221">_xlfn.IFS('ProductSprint Backlog'!$F221="", "", AND('ProductSprint Backlog'!$J221&gt;Q$2,'ProductSprint Backlog'!$I221&lt;=Q$2), 'ProductSprint Backlog'!$F221 / MAX(1, 'ProductSprint Backlog'!$J221-'ProductSprint Backlog'!$I221), AND('ProductSprint Backlog'!$J221=Q$2,'ProductSprint Backlog'!$I221=Q$2), 'ProductSprint Backlog'!$F221, TRUE, 0)</f>
        <v>0</v>
      </c>
    </row>
    <row r="222" spans="2:17" x14ac:dyDescent="0.2">
      <c r="B222" s="4" cm="1">
        <f t="array" ref="B222">_xlfn.IFS('ProductSprint Backlog'!$F222="", "", AND('ProductSprint Backlog'!$J222&gt;B$2,'ProductSprint Backlog'!$I222&lt;=B$2), 'ProductSprint Backlog'!$F222 / MAX(1, 'ProductSprint Backlog'!$J222-'ProductSprint Backlog'!$I222), AND('ProductSprint Backlog'!$J222=B$2,'ProductSprint Backlog'!$I222=B$2), 'ProductSprint Backlog'!$F222, TRUE, 0)</f>
        <v>0.2</v>
      </c>
      <c r="C222" s="4" cm="1">
        <f t="array" ref="C222">_xlfn.IFS('ProductSprint Backlog'!$F222="", "", AND('ProductSprint Backlog'!$J222&gt;C$2,'ProductSprint Backlog'!$I222&lt;=C$2), 'ProductSprint Backlog'!$F222 / MAX(1, 'ProductSprint Backlog'!$J222-'ProductSprint Backlog'!$I222), AND('ProductSprint Backlog'!$J222=C$2,'ProductSprint Backlog'!$I222=C$2), 'ProductSprint Backlog'!$F222, TRUE, 0)</f>
        <v>0.2</v>
      </c>
      <c r="D222" s="4" cm="1">
        <f t="array" ref="D222">_xlfn.IFS('ProductSprint Backlog'!$F222="", "", AND('ProductSprint Backlog'!$J222&gt;D$2,'ProductSprint Backlog'!$I222&lt;=D$2), 'ProductSprint Backlog'!$F222 / MAX(1, 'ProductSprint Backlog'!$J222-'ProductSprint Backlog'!$I222), AND('ProductSprint Backlog'!$J222=D$2,'ProductSprint Backlog'!$I222=D$2), 'ProductSprint Backlog'!$F222, TRUE, 0)</f>
        <v>0.2</v>
      </c>
      <c r="E222" s="4" cm="1">
        <f t="array" ref="E222">_xlfn.IFS('ProductSprint Backlog'!$F222="", "", AND('ProductSprint Backlog'!$J222&gt;E$2,'ProductSprint Backlog'!$I222&lt;=E$2), 'ProductSprint Backlog'!$F222 / MAX(1, 'ProductSprint Backlog'!$J222-'ProductSprint Backlog'!$I222), AND('ProductSprint Backlog'!$J222=E$2,'ProductSprint Backlog'!$I222=E$2), 'ProductSprint Backlog'!$F222, TRUE, 0)</f>
        <v>0.2</v>
      </c>
      <c r="F222" s="4" cm="1">
        <f t="array" ref="F222">_xlfn.IFS('ProductSprint Backlog'!$F222="", "", AND('ProductSprint Backlog'!$J222&gt;F$2,'ProductSprint Backlog'!$I222&lt;=F$2), 'ProductSprint Backlog'!$F222 / MAX(1, 'ProductSprint Backlog'!$J222-'ProductSprint Backlog'!$I222), AND('ProductSprint Backlog'!$J222=F$2,'ProductSprint Backlog'!$I222=F$2), 'ProductSprint Backlog'!$F222, TRUE, 0)</f>
        <v>0.2</v>
      </c>
      <c r="G222" s="4" cm="1">
        <f t="array" ref="G222">_xlfn.IFS('ProductSprint Backlog'!$F222="", "", AND('ProductSprint Backlog'!$J222&gt;G$2,'ProductSprint Backlog'!$I222&lt;=G$2), 'ProductSprint Backlog'!$F222 / MAX(1, 'ProductSprint Backlog'!$J222-'ProductSprint Backlog'!$I222), AND('ProductSprint Backlog'!$J222=G$2,'ProductSprint Backlog'!$I222=G$2), 'ProductSprint Backlog'!$F222, TRUE, 0)</f>
        <v>0</v>
      </c>
      <c r="H222" s="4" cm="1">
        <f t="array" ref="H222">_xlfn.IFS('ProductSprint Backlog'!$F222="", "", AND('ProductSprint Backlog'!$J222&gt;H$2,'ProductSprint Backlog'!$I222&lt;=H$2), 'ProductSprint Backlog'!$F222 / MAX(1, 'ProductSprint Backlog'!$J222-'ProductSprint Backlog'!$I222), AND('ProductSprint Backlog'!$J222=H$2,'ProductSprint Backlog'!$I222=H$2), 'ProductSprint Backlog'!$F222, TRUE, 0)</f>
        <v>0</v>
      </c>
      <c r="I222" s="4" cm="1">
        <f t="array" ref="I222">_xlfn.IFS('ProductSprint Backlog'!$F222="", "", AND('ProductSprint Backlog'!$J222&gt;I$2,'ProductSprint Backlog'!$I222&lt;=I$2), 'ProductSprint Backlog'!$F222 / MAX(1, 'ProductSprint Backlog'!$J222-'ProductSprint Backlog'!$I222), AND('ProductSprint Backlog'!$J222=I$2,'ProductSprint Backlog'!$I222=I$2), 'ProductSprint Backlog'!$F222, TRUE, 0)</f>
        <v>0</v>
      </c>
      <c r="J222" s="4" cm="1">
        <f t="array" ref="J222">_xlfn.IFS('ProductSprint Backlog'!$F222="", "", AND('ProductSprint Backlog'!$J222&gt;J$2,'ProductSprint Backlog'!$I222&lt;=J$2), 'ProductSprint Backlog'!$F222 / MAX(1, 'ProductSprint Backlog'!$J222-'ProductSprint Backlog'!$I222), AND('ProductSprint Backlog'!$J222=J$2,'ProductSprint Backlog'!$I222=J$2), 'ProductSprint Backlog'!$F222, TRUE, 0)</f>
        <v>0</v>
      </c>
      <c r="K222" s="4" cm="1">
        <f t="array" ref="K222">_xlfn.IFS('ProductSprint Backlog'!$F222="", "", AND('ProductSprint Backlog'!$J222&gt;K$2,'ProductSprint Backlog'!$I222&lt;=K$2), 'ProductSprint Backlog'!$F222 / MAX(1, 'ProductSprint Backlog'!$J222-'ProductSprint Backlog'!$I222), AND('ProductSprint Backlog'!$J222=K$2,'ProductSprint Backlog'!$I222=K$2), 'ProductSprint Backlog'!$F222, TRUE, 0)</f>
        <v>0</v>
      </c>
      <c r="L222" s="4" cm="1">
        <f t="array" ref="L222">_xlfn.IFS('ProductSprint Backlog'!$F222="", "", AND('ProductSprint Backlog'!$J222&gt;L$2,'ProductSprint Backlog'!$I222&lt;=L$2), 'ProductSprint Backlog'!$F222 / MAX(1, 'ProductSprint Backlog'!$J222-'ProductSprint Backlog'!$I222), AND('ProductSprint Backlog'!$J222=L$2,'ProductSprint Backlog'!$I222=L$2), 'ProductSprint Backlog'!$F222, TRUE, 0)</f>
        <v>0</v>
      </c>
      <c r="M222" s="4" cm="1">
        <f t="array" ref="M222">_xlfn.IFS('ProductSprint Backlog'!$F222="", "", AND('ProductSprint Backlog'!$J222&gt;M$2,'ProductSprint Backlog'!$I222&lt;=M$2), 'ProductSprint Backlog'!$F222 / MAX(1, 'ProductSprint Backlog'!$J222-'ProductSprint Backlog'!$I222), AND('ProductSprint Backlog'!$J222=M$2,'ProductSprint Backlog'!$I222=M$2), 'ProductSprint Backlog'!$F222, TRUE, 0)</f>
        <v>0</v>
      </c>
      <c r="N222" s="4" cm="1">
        <f t="array" ref="N222">_xlfn.IFS('ProductSprint Backlog'!$F222="", "", AND('ProductSprint Backlog'!$J222&gt;N$2,'ProductSprint Backlog'!$I222&lt;=N$2), 'ProductSprint Backlog'!$F222 / MAX(1, 'ProductSprint Backlog'!$J222-'ProductSprint Backlog'!$I222), AND('ProductSprint Backlog'!$J222=N$2,'ProductSprint Backlog'!$I222=N$2), 'ProductSprint Backlog'!$F222, TRUE, 0)</f>
        <v>0</v>
      </c>
      <c r="O222" s="4" cm="1">
        <f t="array" ref="O222">_xlfn.IFS('ProductSprint Backlog'!$F222="", "", AND('ProductSprint Backlog'!$J222&gt;O$2,'ProductSprint Backlog'!$I222&lt;=O$2), 'ProductSprint Backlog'!$F222 / MAX(1, 'ProductSprint Backlog'!$J222-'ProductSprint Backlog'!$I222), AND('ProductSprint Backlog'!$J222=O$2,'ProductSprint Backlog'!$I222=O$2), 'ProductSprint Backlog'!$F222, TRUE, 0)</f>
        <v>0</v>
      </c>
      <c r="P222" s="4" cm="1">
        <f t="array" ref="P222">_xlfn.IFS('ProductSprint Backlog'!$F222="", "", AND('ProductSprint Backlog'!$J222&gt;P$2,'ProductSprint Backlog'!$I222&lt;=P$2), 'ProductSprint Backlog'!$F222 / MAX(1, 'ProductSprint Backlog'!$J222-'ProductSprint Backlog'!$I222), AND('ProductSprint Backlog'!$J222=P$2,'ProductSprint Backlog'!$I222=P$2), 'ProductSprint Backlog'!$F222, TRUE, 0)</f>
        <v>0</v>
      </c>
      <c r="Q222" s="4" cm="1">
        <f t="array" ref="Q222">_xlfn.IFS('ProductSprint Backlog'!$F222="", "", AND('ProductSprint Backlog'!$J222&gt;Q$2,'ProductSprint Backlog'!$I222&lt;=Q$2), 'ProductSprint Backlog'!$F222 / MAX(1, 'ProductSprint Backlog'!$J222-'ProductSprint Backlog'!$I222), AND('ProductSprint Backlog'!$J222=Q$2,'ProductSprint Backlog'!$I222=Q$2), 'ProductSprint Backlog'!$F222, TRUE, 0)</f>
        <v>0</v>
      </c>
    </row>
    <row r="223" spans="2:17" x14ac:dyDescent="0.2">
      <c r="B223" s="4" cm="1">
        <f t="array" ref="B223">_xlfn.IFS('ProductSprint Backlog'!$F223="", "", AND('ProductSprint Backlog'!$J223&gt;B$2,'ProductSprint Backlog'!$I223&lt;=B$2), 'ProductSprint Backlog'!$F223 / MAX(1, 'ProductSprint Backlog'!$J223-'ProductSprint Backlog'!$I223), AND('ProductSprint Backlog'!$J223=B$2,'ProductSprint Backlog'!$I223=B$2), 'ProductSprint Backlog'!$F223, TRUE, 0)</f>
        <v>0.2</v>
      </c>
      <c r="C223" s="4" cm="1">
        <f t="array" ref="C223">_xlfn.IFS('ProductSprint Backlog'!$F223="", "", AND('ProductSprint Backlog'!$J223&gt;C$2,'ProductSprint Backlog'!$I223&lt;=C$2), 'ProductSprint Backlog'!$F223 / MAX(1, 'ProductSprint Backlog'!$J223-'ProductSprint Backlog'!$I223), AND('ProductSprint Backlog'!$J223=C$2,'ProductSprint Backlog'!$I223=C$2), 'ProductSprint Backlog'!$F223, TRUE, 0)</f>
        <v>0.2</v>
      </c>
      <c r="D223" s="4" cm="1">
        <f t="array" ref="D223">_xlfn.IFS('ProductSprint Backlog'!$F223="", "", AND('ProductSprint Backlog'!$J223&gt;D$2,'ProductSprint Backlog'!$I223&lt;=D$2), 'ProductSprint Backlog'!$F223 / MAX(1, 'ProductSprint Backlog'!$J223-'ProductSprint Backlog'!$I223), AND('ProductSprint Backlog'!$J223=D$2,'ProductSprint Backlog'!$I223=D$2), 'ProductSprint Backlog'!$F223, TRUE, 0)</f>
        <v>0.2</v>
      </c>
      <c r="E223" s="4" cm="1">
        <f t="array" ref="E223">_xlfn.IFS('ProductSprint Backlog'!$F223="", "", AND('ProductSprint Backlog'!$J223&gt;E$2,'ProductSprint Backlog'!$I223&lt;=E$2), 'ProductSprint Backlog'!$F223 / MAX(1, 'ProductSprint Backlog'!$J223-'ProductSprint Backlog'!$I223), AND('ProductSprint Backlog'!$J223=E$2,'ProductSprint Backlog'!$I223=E$2), 'ProductSprint Backlog'!$F223, TRUE, 0)</f>
        <v>0.2</v>
      </c>
      <c r="F223" s="4" cm="1">
        <f t="array" ref="F223">_xlfn.IFS('ProductSprint Backlog'!$F223="", "", AND('ProductSprint Backlog'!$J223&gt;F$2,'ProductSprint Backlog'!$I223&lt;=F$2), 'ProductSprint Backlog'!$F223 / MAX(1, 'ProductSprint Backlog'!$J223-'ProductSprint Backlog'!$I223), AND('ProductSprint Backlog'!$J223=F$2,'ProductSprint Backlog'!$I223=F$2), 'ProductSprint Backlog'!$F223, TRUE, 0)</f>
        <v>0.2</v>
      </c>
      <c r="G223" s="4" cm="1">
        <f t="array" ref="G223">_xlfn.IFS('ProductSprint Backlog'!$F223="", "", AND('ProductSprint Backlog'!$J223&gt;G$2,'ProductSprint Backlog'!$I223&lt;=G$2), 'ProductSprint Backlog'!$F223 / MAX(1, 'ProductSprint Backlog'!$J223-'ProductSprint Backlog'!$I223), AND('ProductSprint Backlog'!$J223=G$2,'ProductSprint Backlog'!$I223=G$2), 'ProductSprint Backlog'!$F223, TRUE, 0)</f>
        <v>0</v>
      </c>
      <c r="H223" s="4" cm="1">
        <f t="array" ref="H223">_xlfn.IFS('ProductSprint Backlog'!$F223="", "", AND('ProductSprint Backlog'!$J223&gt;H$2,'ProductSprint Backlog'!$I223&lt;=H$2), 'ProductSprint Backlog'!$F223 / MAX(1, 'ProductSprint Backlog'!$J223-'ProductSprint Backlog'!$I223), AND('ProductSprint Backlog'!$J223=H$2,'ProductSprint Backlog'!$I223=H$2), 'ProductSprint Backlog'!$F223, TRUE, 0)</f>
        <v>0</v>
      </c>
      <c r="I223" s="4" cm="1">
        <f t="array" ref="I223">_xlfn.IFS('ProductSprint Backlog'!$F223="", "", AND('ProductSprint Backlog'!$J223&gt;I$2,'ProductSprint Backlog'!$I223&lt;=I$2), 'ProductSprint Backlog'!$F223 / MAX(1, 'ProductSprint Backlog'!$J223-'ProductSprint Backlog'!$I223), AND('ProductSprint Backlog'!$J223=I$2,'ProductSprint Backlog'!$I223=I$2), 'ProductSprint Backlog'!$F223, TRUE, 0)</f>
        <v>0</v>
      </c>
      <c r="J223" s="4" cm="1">
        <f t="array" ref="J223">_xlfn.IFS('ProductSprint Backlog'!$F223="", "", AND('ProductSprint Backlog'!$J223&gt;J$2,'ProductSprint Backlog'!$I223&lt;=J$2), 'ProductSprint Backlog'!$F223 / MAX(1, 'ProductSprint Backlog'!$J223-'ProductSprint Backlog'!$I223), AND('ProductSprint Backlog'!$J223=J$2,'ProductSprint Backlog'!$I223=J$2), 'ProductSprint Backlog'!$F223, TRUE, 0)</f>
        <v>0</v>
      </c>
      <c r="K223" s="4" cm="1">
        <f t="array" ref="K223">_xlfn.IFS('ProductSprint Backlog'!$F223="", "", AND('ProductSprint Backlog'!$J223&gt;K$2,'ProductSprint Backlog'!$I223&lt;=K$2), 'ProductSprint Backlog'!$F223 / MAX(1, 'ProductSprint Backlog'!$J223-'ProductSprint Backlog'!$I223), AND('ProductSprint Backlog'!$J223=K$2,'ProductSprint Backlog'!$I223=K$2), 'ProductSprint Backlog'!$F223, TRUE, 0)</f>
        <v>0</v>
      </c>
      <c r="L223" s="4" cm="1">
        <f t="array" ref="L223">_xlfn.IFS('ProductSprint Backlog'!$F223="", "", AND('ProductSprint Backlog'!$J223&gt;L$2,'ProductSprint Backlog'!$I223&lt;=L$2), 'ProductSprint Backlog'!$F223 / MAX(1, 'ProductSprint Backlog'!$J223-'ProductSprint Backlog'!$I223), AND('ProductSprint Backlog'!$J223=L$2,'ProductSprint Backlog'!$I223=L$2), 'ProductSprint Backlog'!$F223, TRUE, 0)</f>
        <v>0</v>
      </c>
      <c r="M223" s="4" cm="1">
        <f t="array" ref="M223">_xlfn.IFS('ProductSprint Backlog'!$F223="", "", AND('ProductSprint Backlog'!$J223&gt;M$2,'ProductSprint Backlog'!$I223&lt;=M$2), 'ProductSprint Backlog'!$F223 / MAX(1, 'ProductSprint Backlog'!$J223-'ProductSprint Backlog'!$I223), AND('ProductSprint Backlog'!$J223=M$2,'ProductSprint Backlog'!$I223=M$2), 'ProductSprint Backlog'!$F223, TRUE, 0)</f>
        <v>0</v>
      </c>
      <c r="N223" s="4" cm="1">
        <f t="array" ref="N223">_xlfn.IFS('ProductSprint Backlog'!$F223="", "", AND('ProductSprint Backlog'!$J223&gt;N$2,'ProductSprint Backlog'!$I223&lt;=N$2), 'ProductSprint Backlog'!$F223 / MAX(1, 'ProductSprint Backlog'!$J223-'ProductSprint Backlog'!$I223), AND('ProductSprint Backlog'!$J223=N$2,'ProductSprint Backlog'!$I223=N$2), 'ProductSprint Backlog'!$F223, TRUE, 0)</f>
        <v>0</v>
      </c>
      <c r="O223" s="4" cm="1">
        <f t="array" ref="O223">_xlfn.IFS('ProductSprint Backlog'!$F223="", "", AND('ProductSprint Backlog'!$J223&gt;O$2,'ProductSprint Backlog'!$I223&lt;=O$2), 'ProductSprint Backlog'!$F223 / MAX(1, 'ProductSprint Backlog'!$J223-'ProductSprint Backlog'!$I223), AND('ProductSprint Backlog'!$J223=O$2,'ProductSprint Backlog'!$I223=O$2), 'ProductSprint Backlog'!$F223, TRUE, 0)</f>
        <v>0</v>
      </c>
      <c r="P223" s="4" cm="1">
        <f t="array" ref="P223">_xlfn.IFS('ProductSprint Backlog'!$F223="", "", AND('ProductSprint Backlog'!$J223&gt;P$2,'ProductSprint Backlog'!$I223&lt;=P$2), 'ProductSprint Backlog'!$F223 / MAX(1, 'ProductSprint Backlog'!$J223-'ProductSprint Backlog'!$I223), AND('ProductSprint Backlog'!$J223=P$2,'ProductSprint Backlog'!$I223=P$2), 'ProductSprint Backlog'!$F223, TRUE, 0)</f>
        <v>0</v>
      </c>
      <c r="Q223" s="4" cm="1">
        <f t="array" ref="Q223">_xlfn.IFS('ProductSprint Backlog'!$F223="", "", AND('ProductSprint Backlog'!$J223&gt;Q$2,'ProductSprint Backlog'!$I223&lt;=Q$2), 'ProductSprint Backlog'!$F223 / MAX(1, 'ProductSprint Backlog'!$J223-'ProductSprint Backlog'!$I223), AND('ProductSprint Backlog'!$J223=Q$2,'ProductSprint Backlog'!$I223=Q$2), 'ProductSprint Backlog'!$F223, TRUE, 0)</f>
        <v>0</v>
      </c>
    </row>
    <row r="224" spans="2:17" x14ac:dyDescent="0.2">
      <c r="B224" s="4" cm="1">
        <f t="array" ref="B224">_xlfn.IFS('ProductSprint Backlog'!$F224="", "", AND('ProductSprint Backlog'!$J224&gt;B$2,'ProductSprint Backlog'!$I224&lt;=B$2), 'ProductSprint Backlog'!$F224 / MAX(1, 'ProductSprint Backlog'!$J224-'ProductSprint Backlog'!$I224), AND('ProductSprint Backlog'!$J224=B$2,'ProductSprint Backlog'!$I224=B$2), 'ProductSprint Backlog'!$F224, TRUE, 0)</f>
        <v>0</v>
      </c>
      <c r="C224" s="4" cm="1">
        <f t="array" ref="C224">_xlfn.IFS('ProductSprint Backlog'!$F224="", "", AND('ProductSprint Backlog'!$J224&gt;C$2,'ProductSprint Backlog'!$I224&lt;=C$2), 'ProductSprint Backlog'!$F224 / MAX(1, 'ProductSprint Backlog'!$J224-'ProductSprint Backlog'!$I224), AND('ProductSprint Backlog'!$J224=C$2,'ProductSprint Backlog'!$I224=C$2), 'ProductSprint Backlog'!$F224, TRUE, 0)</f>
        <v>0</v>
      </c>
      <c r="D224" s="4" cm="1">
        <f t="array" ref="D224">_xlfn.IFS('ProductSprint Backlog'!$F224="", "", AND('ProductSprint Backlog'!$J224&gt;D$2,'ProductSprint Backlog'!$I224&lt;=D$2), 'ProductSprint Backlog'!$F224 / MAX(1, 'ProductSprint Backlog'!$J224-'ProductSprint Backlog'!$I224), AND('ProductSprint Backlog'!$J224=D$2,'ProductSprint Backlog'!$I224=D$2), 'ProductSprint Backlog'!$F224, TRUE, 0)</f>
        <v>0</v>
      </c>
      <c r="E224" s="4" cm="1">
        <f t="array" ref="E224">_xlfn.IFS('ProductSprint Backlog'!$F224="", "", AND('ProductSprint Backlog'!$J224&gt;E$2,'ProductSprint Backlog'!$I224&lt;=E$2), 'ProductSprint Backlog'!$F224 / MAX(1, 'ProductSprint Backlog'!$J224-'ProductSprint Backlog'!$I224), AND('ProductSprint Backlog'!$J224=E$2,'ProductSprint Backlog'!$I224=E$2), 'ProductSprint Backlog'!$F224, TRUE, 0)</f>
        <v>0</v>
      </c>
      <c r="F224" s="4" cm="1">
        <f t="array" ref="F224">_xlfn.IFS('ProductSprint Backlog'!$F224="", "", AND('ProductSprint Backlog'!$J224&gt;F$2,'ProductSprint Backlog'!$I224&lt;=F$2), 'ProductSprint Backlog'!$F224 / MAX(1, 'ProductSprint Backlog'!$J224-'ProductSprint Backlog'!$I224), AND('ProductSprint Backlog'!$J224=F$2,'ProductSprint Backlog'!$I224=F$2), 'ProductSprint Backlog'!$F224, TRUE, 0)</f>
        <v>0</v>
      </c>
      <c r="G224" s="4" cm="1">
        <f t="array" ref="G224">_xlfn.IFS('ProductSprint Backlog'!$F224="", "", AND('ProductSprint Backlog'!$J224&gt;G$2,'ProductSprint Backlog'!$I224&lt;=G$2), 'ProductSprint Backlog'!$F224 / MAX(1, 'ProductSprint Backlog'!$J224-'ProductSprint Backlog'!$I224), AND('ProductSprint Backlog'!$J224=G$2,'ProductSprint Backlog'!$I224=G$2), 'ProductSprint Backlog'!$F224, TRUE, 0)</f>
        <v>0</v>
      </c>
      <c r="H224" s="4" cm="1">
        <f t="array" ref="H224">_xlfn.IFS('ProductSprint Backlog'!$F224="", "", AND('ProductSprint Backlog'!$J224&gt;H$2,'ProductSprint Backlog'!$I224&lt;=H$2), 'ProductSprint Backlog'!$F224 / MAX(1, 'ProductSprint Backlog'!$J224-'ProductSprint Backlog'!$I224), AND('ProductSprint Backlog'!$J224=H$2,'ProductSprint Backlog'!$I224=H$2), 'ProductSprint Backlog'!$F224, TRUE, 0)</f>
        <v>0.66666666666666663</v>
      </c>
      <c r="I224" s="4" cm="1">
        <f t="array" ref="I224">_xlfn.IFS('ProductSprint Backlog'!$F224="", "", AND('ProductSprint Backlog'!$J224&gt;I$2,'ProductSprint Backlog'!$I224&lt;=I$2), 'ProductSprint Backlog'!$F224 / MAX(1, 'ProductSprint Backlog'!$J224-'ProductSprint Backlog'!$I224), AND('ProductSprint Backlog'!$J224=I$2,'ProductSprint Backlog'!$I224=I$2), 'ProductSprint Backlog'!$F224, TRUE, 0)</f>
        <v>0.66666666666666663</v>
      </c>
      <c r="J224" s="4" cm="1">
        <f t="array" ref="J224">_xlfn.IFS('ProductSprint Backlog'!$F224="", "", AND('ProductSprint Backlog'!$J224&gt;J$2,'ProductSprint Backlog'!$I224&lt;=J$2), 'ProductSprint Backlog'!$F224 / MAX(1, 'ProductSprint Backlog'!$J224-'ProductSprint Backlog'!$I224), AND('ProductSprint Backlog'!$J224=J$2,'ProductSprint Backlog'!$I224=J$2), 'ProductSprint Backlog'!$F224, TRUE, 0)</f>
        <v>0.66666666666666663</v>
      </c>
      <c r="K224" s="4" cm="1">
        <f t="array" ref="K224">_xlfn.IFS('ProductSprint Backlog'!$F224="", "", AND('ProductSprint Backlog'!$J224&gt;K$2,'ProductSprint Backlog'!$I224&lt;=K$2), 'ProductSprint Backlog'!$F224 / MAX(1, 'ProductSprint Backlog'!$J224-'ProductSprint Backlog'!$I224), AND('ProductSprint Backlog'!$J224=K$2,'ProductSprint Backlog'!$I224=K$2), 'ProductSprint Backlog'!$F224, TRUE, 0)</f>
        <v>0</v>
      </c>
      <c r="L224" s="4" cm="1">
        <f t="array" ref="L224">_xlfn.IFS('ProductSprint Backlog'!$F224="", "", AND('ProductSprint Backlog'!$J224&gt;L$2,'ProductSprint Backlog'!$I224&lt;=L$2), 'ProductSprint Backlog'!$F224 / MAX(1, 'ProductSprint Backlog'!$J224-'ProductSprint Backlog'!$I224), AND('ProductSprint Backlog'!$J224=L$2,'ProductSprint Backlog'!$I224=L$2), 'ProductSprint Backlog'!$F224, TRUE, 0)</f>
        <v>0</v>
      </c>
      <c r="M224" s="4" cm="1">
        <f t="array" ref="M224">_xlfn.IFS('ProductSprint Backlog'!$F224="", "", AND('ProductSprint Backlog'!$J224&gt;M$2,'ProductSprint Backlog'!$I224&lt;=M$2), 'ProductSprint Backlog'!$F224 / MAX(1, 'ProductSprint Backlog'!$J224-'ProductSprint Backlog'!$I224), AND('ProductSprint Backlog'!$J224=M$2,'ProductSprint Backlog'!$I224=M$2), 'ProductSprint Backlog'!$F224, TRUE, 0)</f>
        <v>0</v>
      </c>
      <c r="N224" s="4" cm="1">
        <f t="array" ref="N224">_xlfn.IFS('ProductSprint Backlog'!$F224="", "", AND('ProductSprint Backlog'!$J224&gt;N$2,'ProductSprint Backlog'!$I224&lt;=N$2), 'ProductSprint Backlog'!$F224 / MAX(1, 'ProductSprint Backlog'!$J224-'ProductSprint Backlog'!$I224), AND('ProductSprint Backlog'!$J224=N$2,'ProductSprint Backlog'!$I224=N$2), 'ProductSprint Backlog'!$F224, TRUE, 0)</f>
        <v>0</v>
      </c>
      <c r="O224" s="4" cm="1">
        <f t="array" ref="O224">_xlfn.IFS('ProductSprint Backlog'!$F224="", "", AND('ProductSprint Backlog'!$J224&gt;O$2,'ProductSprint Backlog'!$I224&lt;=O$2), 'ProductSprint Backlog'!$F224 / MAX(1, 'ProductSprint Backlog'!$J224-'ProductSprint Backlog'!$I224), AND('ProductSprint Backlog'!$J224=O$2,'ProductSprint Backlog'!$I224=O$2), 'ProductSprint Backlog'!$F224, TRUE, 0)</f>
        <v>0</v>
      </c>
      <c r="P224" s="4" cm="1">
        <f t="array" ref="P224">_xlfn.IFS('ProductSprint Backlog'!$F224="", "", AND('ProductSprint Backlog'!$J224&gt;P$2,'ProductSprint Backlog'!$I224&lt;=P$2), 'ProductSprint Backlog'!$F224 / MAX(1, 'ProductSprint Backlog'!$J224-'ProductSprint Backlog'!$I224), AND('ProductSprint Backlog'!$J224=P$2,'ProductSprint Backlog'!$I224=P$2), 'ProductSprint Backlog'!$F224, TRUE, 0)</f>
        <v>0</v>
      </c>
      <c r="Q224" s="4" cm="1">
        <f t="array" ref="Q224">_xlfn.IFS('ProductSprint Backlog'!$F224="", "", AND('ProductSprint Backlog'!$J224&gt;Q$2,'ProductSprint Backlog'!$I224&lt;=Q$2), 'ProductSprint Backlog'!$F224 / MAX(1, 'ProductSprint Backlog'!$J224-'ProductSprint Backlog'!$I224), AND('ProductSprint Backlog'!$J224=Q$2,'ProductSprint Backlog'!$I224=Q$2), 'ProductSprint Backlog'!$F224, TRUE, 0)</f>
        <v>0</v>
      </c>
    </row>
    <row r="225" spans="2:17" x14ac:dyDescent="0.2">
      <c r="B225" s="4" cm="1">
        <f t="array" ref="B225">_xlfn.IFS('ProductSprint Backlog'!$F225="", "", AND('ProductSprint Backlog'!$J225&gt;B$2,'ProductSprint Backlog'!$I225&lt;=B$2), 'ProductSprint Backlog'!$F225 / MAX(1, 'ProductSprint Backlog'!$J225-'ProductSprint Backlog'!$I225), AND('ProductSprint Backlog'!$J225=B$2,'ProductSprint Backlog'!$I225=B$2), 'ProductSprint Backlog'!$F225, TRUE, 0)</f>
        <v>0</v>
      </c>
      <c r="C225" s="4" cm="1">
        <f t="array" ref="C225">_xlfn.IFS('ProductSprint Backlog'!$F225="", "", AND('ProductSprint Backlog'!$J225&gt;C$2,'ProductSprint Backlog'!$I225&lt;=C$2), 'ProductSprint Backlog'!$F225 / MAX(1, 'ProductSprint Backlog'!$J225-'ProductSprint Backlog'!$I225), AND('ProductSprint Backlog'!$J225=C$2,'ProductSprint Backlog'!$I225=C$2), 'ProductSprint Backlog'!$F225, TRUE, 0)</f>
        <v>0</v>
      </c>
      <c r="D225" s="4" cm="1">
        <f t="array" ref="D225">_xlfn.IFS('ProductSprint Backlog'!$F225="", "", AND('ProductSprint Backlog'!$J225&gt;D$2,'ProductSprint Backlog'!$I225&lt;=D$2), 'ProductSprint Backlog'!$F225 / MAX(1, 'ProductSprint Backlog'!$J225-'ProductSprint Backlog'!$I225), AND('ProductSprint Backlog'!$J225=D$2,'ProductSprint Backlog'!$I225=D$2), 'ProductSprint Backlog'!$F225, TRUE, 0)</f>
        <v>0</v>
      </c>
      <c r="E225" s="4" cm="1">
        <f t="array" ref="E225">_xlfn.IFS('ProductSprint Backlog'!$F225="", "", AND('ProductSprint Backlog'!$J225&gt;E$2,'ProductSprint Backlog'!$I225&lt;=E$2), 'ProductSprint Backlog'!$F225 / MAX(1, 'ProductSprint Backlog'!$J225-'ProductSprint Backlog'!$I225), AND('ProductSprint Backlog'!$J225=E$2,'ProductSprint Backlog'!$I225=E$2), 'ProductSprint Backlog'!$F225, TRUE, 0)</f>
        <v>0</v>
      </c>
      <c r="F225" s="4" cm="1">
        <f t="array" ref="F225">_xlfn.IFS('ProductSprint Backlog'!$F225="", "", AND('ProductSprint Backlog'!$J225&gt;F$2,'ProductSprint Backlog'!$I225&lt;=F$2), 'ProductSprint Backlog'!$F225 / MAX(1, 'ProductSprint Backlog'!$J225-'ProductSprint Backlog'!$I225), AND('ProductSprint Backlog'!$J225=F$2,'ProductSprint Backlog'!$I225=F$2), 'ProductSprint Backlog'!$F225, TRUE, 0)</f>
        <v>0</v>
      </c>
      <c r="G225" s="4" cm="1">
        <f t="array" ref="G225">_xlfn.IFS('ProductSprint Backlog'!$F225="", "", AND('ProductSprint Backlog'!$J225&gt;G$2,'ProductSprint Backlog'!$I225&lt;=G$2), 'ProductSprint Backlog'!$F225 / MAX(1, 'ProductSprint Backlog'!$J225-'ProductSprint Backlog'!$I225), AND('ProductSprint Backlog'!$J225=G$2,'ProductSprint Backlog'!$I225=G$2), 'ProductSprint Backlog'!$F225, TRUE, 0)</f>
        <v>0</v>
      </c>
      <c r="H225" s="4" cm="1">
        <f t="array" ref="H225">_xlfn.IFS('ProductSprint Backlog'!$F225="", "", AND('ProductSprint Backlog'!$J225&gt;H$2,'ProductSprint Backlog'!$I225&lt;=H$2), 'ProductSprint Backlog'!$F225 / MAX(1, 'ProductSprint Backlog'!$J225-'ProductSprint Backlog'!$I225), AND('ProductSprint Backlog'!$J225=H$2,'ProductSprint Backlog'!$I225=H$2), 'ProductSprint Backlog'!$F225, TRUE, 0)</f>
        <v>0.33333333333333331</v>
      </c>
      <c r="I225" s="4" cm="1">
        <f t="array" ref="I225">_xlfn.IFS('ProductSprint Backlog'!$F225="", "", AND('ProductSprint Backlog'!$J225&gt;I$2,'ProductSprint Backlog'!$I225&lt;=I$2), 'ProductSprint Backlog'!$F225 / MAX(1, 'ProductSprint Backlog'!$J225-'ProductSprint Backlog'!$I225), AND('ProductSprint Backlog'!$J225=I$2,'ProductSprint Backlog'!$I225=I$2), 'ProductSprint Backlog'!$F225, TRUE, 0)</f>
        <v>0.33333333333333331</v>
      </c>
      <c r="J225" s="4" cm="1">
        <f t="array" ref="J225">_xlfn.IFS('ProductSprint Backlog'!$F225="", "", AND('ProductSprint Backlog'!$J225&gt;J$2,'ProductSprint Backlog'!$I225&lt;=J$2), 'ProductSprint Backlog'!$F225 / MAX(1, 'ProductSprint Backlog'!$J225-'ProductSprint Backlog'!$I225), AND('ProductSprint Backlog'!$J225=J$2,'ProductSprint Backlog'!$I225=J$2), 'ProductSprint Backlog'!$F225, TRUE, 0)</f>
        <v>0.33333333333333331</v>
      </c>
      <c r="K225" s="4" cm="1">
        <f t="array" ref="K225">_xlfn.IFS('ProductSprint Backlog'!$F225="", "", AND('ProductSprint Backlog'!$J225&gt;K$2,'ProductSprint Backlog'!$I225&lt;=K$2), 'ProductSprint Backlog'!$F225 / MAX(1, 'ProductSprint Backlog'!$J225-'ProductSprint Backlog'!$I225), AND('ProductSprint Backlog'!$J225=K$2,'ProductSprint Backlog'!$I225=K$2), 'ProductSprint Backlog'!$F225, TRUE, 0)</f>
        <v>0</v>
      </c>
      <c r="L225" s="4" cm="1">
        <f t="array" ref="L225">_xlfn.IFS('ProductSprint Backlog'!$F225="", "", AND('ProductSprint Backlog'!$J225&gt;L$2,'ProductSprint Backlog'!$I225&lt;=L$2), 'ProductSprint Backlog'!$F225 / MAX(1, 'ProductSprint Backlog'!$J225-'ProductSprint Backlog'!$I225), AND('ProductSprint Backlog'!$J225=L$2,'ProductSprint Backlog'!$I225=L$2), 'ProductSprint Backlog'!$F225, TRUE, 0)</f>
        <v>0</v>
      </c>
      <c r="M225" s="4" cm="1">
        <f t="array" ref="M225">_xlfn.IFS('ProductSprint Backlog'!$F225="", "", AND('ProductSprint Backlog'!$J225&gt;M$2,'ProductSprint Backlog'!$I225&lt;=M$2), 'ProductSprint Backlog'!$F225 / MAX(1, 'ProductSprint Backlog'!$J225-'ProductSprint Backlog'!$I225), AND('ProductSprint Backlog'!$J225=M$2,'ProductSprint Backlog'!$I225=M$2), 'ProductSprint Backlog'!$F225, TRUE, 0)</f>
        <v>0</v>
      </c>
      <c r="N225" s="4" cm="1">
        <f t="array" ref="N225">_xlfn.IFS('ProductSprint Backlog'!$F225="", "", AND('ProductSprint Backlog'!$J225&gt;N$2,'ProductSprint Backlog'!$I225&lt;=N$2), 'ProductSprint Backlog'!$F225 / MAX(1, 'ProductSprint Backlog'!$J225-'ProductSprint Backlog'!$I225), AND('ProductSprint Backlog'!$J225=N$2,'ProductSprint Backlog'!$I225=N$2), 'ProductSprint Backlog'!$F225, TRUE, 0)</f>
        <v>0</v>
      </c>
      <c r="O225" s="4" cm="1">
        <f t="array" ref="O225">_xlfn.IFS('ProductSprint Backlog'!$F225="", "", AND('ProductSprint Backlog'!$J225&gt;O$2,'ProductSprint Backlog'!$I225&lt;=O$2), 'ProductSprint Backlog'!$F225 / MAX(1, 'ProductSprint Backlog'!$J225-'ProductSprint Backlog'!$I225), AND('ProductSprint Backlog'!$J225=O$2,'ProductSprint Backlog'!$I225=O$2), 'ProductSprint Backlog'!$F225, TRUE, 0)</f>
        <v>0</v>
      </c>
      <c r="P225" s="4" cm="1">
        <f t="array" ref="P225">_xlfn.IFS('ProductSprint Backlog'!$F225="", "", AND('ProductSprint Backlog'!$J225&gt;P$2,'ProductSprint Backlog'!$I225&lt;=P$2), 'ProductSprint Backlog'!$F225 / MAX(1, 'ProductSprint Backlog'!$J225-'ProductSprint Backlog'!$I225), AND('ProductSprint Backlog'!$J225=P$2,'ProductSprint Backlog'!$I225=P$2), 'ProductSprint Backlog'!$F225, TRUE, 0)</f>
        <v>0</v>
      </c>
      <c r="Q225" s="4" cm="1">
        <f t="array" ref="Q225">_xlfn.IFS('ProductSprint Backlog'!$F225="", "", AND('ProductSprint Backlog'!$J225&gt;Q$2,'ProductSprint Backlog'!$I225&lt;=Q$2), 'ProductSprint Backlog'!$F225 / MAX(1, 'ProductSprint Backlog'!$J225-'ProductSprint Backlog'!$I225), AND('ProductSprint Backlog'!$J225=Q$2,'ProductSprint Backlog'!$I225=Q$2), 'ProductSprint Backlog'!$F225, TRUE, 0)</f>
        <v>0</v>
      </c>
    </row>
    <row r="226" spans="2:17" x14ac:dyDescent="0.2">
      <c r="B226" s="4" cm="1">
        <f t="array" ref="B226">_xlfn.IFS('ProductSprint Backlog'!$F226="", "", AND('ProductSprint Backlog'!$J226&gt;B$2,'ProductSprint Backlog'!$I226&lt;=B$2), 'ProductSprint Backlog'!$F226 / MAX(1, 'ProductSprint Backlog'!$J226-'ProductSprint Backlog'!$I226), AND('ProductSprint Backlog'!$J226=B$2,'ProductSprint Backlog'!$I226=B$2), 'ProductSprint Backlog'!$F226, TRUE, 0)</f>
        <v>0</v>
      </c>
      <c r="C226" s="4" cm="1">
        <f t="array" ref="C226">_xlfn.IFS('ProductSprint Backlog'!$F226="", "", AND('ProductSprint Backlog'!$J226&gt;C$2,'ProductSprint Backlog'!$I226&lt;=C$2), 'ProductSprint Backlog'!$F226 / MAX(1, 'ProductSprint Backlog'!$J226-'ProductSprint Backlog'!$I226), AND('ProductSprint Backlog'!$J226=C$2,'ProductSprint Backlog'!$I226=C$2), 'ProductSprint Backlog'!$F226, TRUE, 0)</f>
        <v>0</v>
      </c>
      <c r="D226" s="4" cm="1">
        <f t="array" ref="D226">_xlfn.IFS('ProductSprint Backlog'!$F226="", "", AND('ProductSprint Backlog'!$J226&gt;D$2,'ProductSprint Backlog'!$I226&lt;=D$2), 'ProductSprint Backlog'!$F226 / MAX(1, 'ProductSprint Backlog'!$J226-'ProductSprint Backlog'!$I226), AND('ProductSprint Backlog'!$J226=D$2,'ProductSprint Backlog'!$I226=D$2), 'ProductSprint Backlog'!$F226, TRUE, 0)</f>
        <v>0</v>
      </c>
      <c r="E226" s="4" cm="1">
        <f t="array" ref="E226">_xlfn.IFS('ProductSprint Backlog'!$F226="", "", AND('ProductSprint Backlog'!$J226&gt;E$2,'ProductSprint Backlog'!$I226&lt;=E$2), 'ProductSprint Backlog'!$F226 / MAX(1, 'ProductSprint Backlog'!$J226-'ProductSprint Backlog'!$I226), AND('ProductSprint Backlog'!$J226=E$2,'ProductSprint Backlog'!$I226=E$2), 'ProductSprint Backlog'!$F226, TRUE, 0)</f>
        <v>0</v>
      </c>
      <c r="F226" s="4" cm="1">
        <f t="array" ref="F226">_xlfn.IFS('ProductSprint Backlog'!$F226="", "", AND('ProductSprint Backlog'!$J226&gt;F$2,'ProductSprint Backlog'!$I226&lt;=F$2), 'ProductSprint Backlog'!$F226 / MAX(1, 'ProductSprint Backlog'!$J226-'ProductSprint Backlog'!$I226), AND('ProductSprint Backlog'!$J226=F$2,'ProductSprint Backlog'!$I226=F$2), 'ProductSprint Backlog'!$F226, TRUE, 0)</f>
        <v>0</v>
      </c>
      <c r="G226" s="4" cm="1">
        <f t="array" ref="G226">_xlfn.IFS('ProductSprint Backlog'!$F226="", "", AND('ProductSprint Backlog'!$J226&gt;G$2,'ProductSprint Backlog'!$I226&lt;=G$2), 'ProductSprint Backlog'!$F226 / MAX(1, 'ProductSprint Backlog'!$J226-'ProductSprint Backlog'!$I226), AND('ProductSprint Backlog'!$J226=G$2,'ProductSprint Backlog'!$I226=G$2), 'ProductSprint Backlog'!$F226, TRUE, 0)</f>
        <v>0</v>
      </c>
      <c r="H226" s="4" cm="1">
        <f t="array" ref="H226">_xlfn.IFS('ProductSprint Backlog'!$F226="", "", AND('ProductSprint Backlog'!$J226&gt;H$2,'ProductSprint Backlog'!$I226&lt;=H$2), 'ProductSprint Backlog'!$F226 / MAX(1, 'ProductSprint Backlog'!$J226-'ProductSprint Backlog'!$I226), AND('ProductSprint Backlog'!$J226=H$2,'ProductSprint Backlog'!$I226=H$2), 'ProductSprint Backlog'!$F226, TRUE, 0)</f>
        <v>0.33333333333333331</v>
      </c>
      <c r="I226" s="4" cm="1">
        <f t="array" ref="I226">_xlfn.IFS('ProductSprint Backlog'!$F226="", "", AND('ProductSprint Backlog'!$J226&gt;I$2,'ProductSprint Backlog'!$I226&lt;=I$2), 'ProductSprint Backlog'!$F226 / MAX(1, 'ProductSprint Backlog'!$J226-'ProductSprint Backlog'!$I226), AND('ProductSprint Backlog'!$J226=I$2,'ProductSprint Backlog'!$I226=I$2), 'ProductSprint Backlog'!$F226, TRUE, 0)</f>
        <v>0.33333333333333331</v>
      </c>
      <c r="J226" s="4" cm="1">
        <f t="array" ref="J226">_xlfn.IFS('ProductSprint Backlog'!$F226="", "", AND('ProductSprint Backlog'!$J226&gt;J$2,'ProductSprint Backlog'!$I226&lt;=J$2), 'ProductSprint Backlog'!$F226 / MAX(1, 'ProductSprint Backlog'!$J226-'ProductSprint Backlog'!$I226), AND('ProductSprint Backlog'!$J226=J$2,'ProductSprint Backlog'!$I226=J$2), 'ProductSprint Backlog'!$F226, TRUE, 0)</f>
        <v>0.33333333333333331</v>
      </c>
      <c r="K226" s="4" cm="1">
        <f t="array" ref="K226">_xlfn.IFS('ProductSprint Backlog'!$F226="", "", AND('ProductSprint Backlog'!$J226&gt;K$2,'ProductSprint Backlog'!$I226&lt;=K$2), 'ProductSprint Backlog'!$F226 / MAX(1, 'ProductSprint Backlog'!$J226-'ProductSprint Backlog'!$I226), AND('ProductSprint Backlog'!$J226=K$2,'ProductSprint Backlog'!$I226=K$2), 'ProductSprint Backlog'!$F226, TRUE, 0)</f>
        <v>0</v>
      </c>
      <c r="L226" s="4" cm="1">
        <f t="array" ref="L226">_xlfn.IFS('ProductSprint Backlog'!$F226="", "", AND('ProductSprint Backlog'!$J226&gt;L$2,'ProductSprint Backlog'!$I226&lt;=L$2), 'ProductSprint Backlog'!$F226 / MAX(1, 'ProductSprint Backlog'!$J226-'ProductSprint Backlog'!$I226), AND('ProductSprint Backlog'!$J226=L$2,'ProductSprint Backlog'!$I226=L$2), 'ProductSprint Backlog'!$F226, TRUE, 0)</f>
        <v>0</v>
      </c>
      <c r="M226" s="4" cm="1">
        <f t="array" ref="M226">_xlfn.IFS('ProductSprint Backlog'!$F226="", "", AND('ProductSprint Backlog'!$J226&gt;M$2,'ProductSprint Backlog'!$I226&lt;=M$2), 'ProductSprint Backlog'!$F226 / MAX(1, 'ProductSprint Backlog'!$J226-'ProductSprint Backlog'!$I226), AND('ProductSprint Backlog'!$J226=M$2,'ProductSprint Backlog'!$I226=M$2), 'ProductSprint Backlog'!$F226, TRUE, 0)</f>
        <v>0</v>
      </c>
      <c r="N226" s="4" cm="1">
        <f t="array" ref="N226">_xlfn.IFS('ProductSprint Backlog'!$F226="", "", AND('ProductSprint Backlog'!$J226&gt;N$2,'ProductSprint Backlog'!$I226&lt;=N$2), 'ProductSprint Backlog'!$F226 / MAX(1, 'ProductSprint Backlog'!$J226-'ProductSprint Backlog'!$I226), AND('ProductSprint Backlog'!$J226=N$2,'ProductSprint Backlog'!$I226=N$2), 'ProductSprint Backlog'!$F226, TRUE, 0)</f>
        <v>0</v>
      </c>
      <c r="O226" s="4" cm="1">
        <f t="array" ref="O226">_xlfn.IFS('ProductSprint Backlog'!$F226="", "", AND('ProductSprint Backlog'!$J226&gt;O$2,'ProductSprint Backlog'!$I226&lt;=O$2), 'ProductSprint Backlog'!$F226 / MAX(1, 'ProductSprint Backlog'!$J226-'ProductSprint Backlog'!$I226), AND('ProductSprint Backlog'!$J226=O$2,'ProductSprint Backlog'!$I226=O$2), 'ProductSprint Backlog'!$F226, TRUE, 0)</f>
        <v>0</v>
      </c>
      <c r="P226" s="4" cm="1">
        <f t="array" ref="P226">_xlfn.IFS('ProductSprint Backlog'!$F226="", "", AND('ProductSprint Backlog'!$J226&gt;P$2,'ProductSprint Backlog'!$I226&lt;=P$2), 'ProductSprint Backlog'!$F226 / MAX(1, 'ProductSprint Backlog'!$J226-'ProductSprint Backlog'!$I226), AND('ProductSprint Backlog'!$J226=P$2,'ProductSprint Backlog'!$I226=P$2), 'ProductSprint Backlog'!$F226, TRUE, 0)</f>
        <v>0</v>
      </c>
      <c r="Q226" s="4" cm="1">
        <f t="array" ref="Q226">_xlfn.IFS('ProductSprint Backlog'!$F226="", "", AND('ProductSprint Backlog'!$J226&gt;Q$2,'ProductSprint Backlog'!$I226&lt;=Q$2), 'ProductSprint Backlog'!$F226 / MAX(1, 'ProductSprint Backlog'!$J226-'ProductSprint Backlog'!$I226), AND('ProductSprint Backlog'!$J226=Q$2,'ProductSprint Backlog'!$I226=Q$2), 'ProductSprint Backlog'!$F226, TRUE, 0)</f>
        <v>0</v>
      </c>
    </row>
    <row r="227" spans="2:17" x14ac:dyDescent="0.2">
      <c r="B227" s="4" cm="1">
        <f t="array" ref="B227">_xlfn.IFS('ProductSprint Backlog'!$F227="", "", AND('ProductSprint Backlog'!$J227&gt;B$2,'ProductSprint Backlog'!$I227&lt;=B$2), 'ProductSprint Backlog'!$F227 / MAX(1, 'ProductSprint Backlog'!$J227-'ProductSprint Backlog'!$I227), AND('ProductSprint Backlog'!$J227=B$2,'ProductSprint Backlog'!$I227=B$2), 'ProductSprint Backlog'!$F227, TRUE, 0)</f>
        <v>0</v>
      </c>
      <c r="C227" s="4" cm="1">
        <f t="array" ref="C227">_xlfn.IFS('ProductSprint Backlog'!$F227="", "", AND('ProductSprint Backlog'!$J227&gt;C$2,'ProductSprint Backlog'!$I227&lt;=C$2), 'ProductSprint Backlog'!$F227 / MAX(1, 'ProductSprint Backlog'!$J227-'ProductSprint Backlog'!$I227), AND('ProductSprint Backlog'!$J227=C$2,'ProductSprint Backlog'!$I227=C$2), 'ProductSprint Backlog'!$F227, TRUE, 0)</f>
        <v>0</v>
      </c>
      <c r="D227" s="4" cm="1">
        <f t="array" ref="D227">_xlfn.IFS('ProductSprint Backlog'!$F227="", "", AND('ProductSprint Backlog'!$J227&gt;D$2,'ProductSprint Backlog'!$I227&lt;=D$2), 'ProductSprint Backlog'!$F227 / MAX(1, 'ProductSprint Backlog'!$J227-'ProductSprint Backlog'!$I227), AND('ProductSprint Backlog'!$J227=D$2,'ProductSprint Backlog'!$I227=D$2), 'ProductSprint Backlog'!$F227, TRUE, 0)</f>
        <v>0</v>
      </c>
      <c r="E227" s="4" cm="1">
        <f t="array" ref="E227">_xlfn.IFS('ProductSprint Backlog'!$F227="", "", AND('ProductSprint Backlog'!$J227&gt;E$2,'ProductSprint Backlog'!$I227&lt;=E$2), 'ProductSprint Backlog'!$F227 / MAX(1, 'ProductSprint Backlog'!$J227-'ProductSprint Backlog'!$I227), AND('ProductSprint Backlog'!$J227=E$2,'ProductSprint Backlog'!$I227=E$2), 'ProductSprint Backlog'!$F227, TRUE, 0)</f>
        <v>0</v>
      </c>
      <c r="F227" s="4" cm="1">
        <f t="array" ref="F227">_xlfn.IFS('ProductSprint Backlog'!$F227="", "", AND('ProductSprint Backlog'!$J227&gt;F$2,'ProductSprint Backlog'!$I227&lt;=F$2), 'ProductSprint Backlog'!$F227 / MAX(1, 'ProductSprint Backlog'!$J227-'ProductSprint Backlog'!$I227), AND('ProductSprint Backlog'!$J227=F$2,'ProductSprint Backlog'!$I227=F$2), 'ProductSprint Backlog'!$F227, TRUE, 0)</f>
        <v>0</v>
      </c>
      <c r="G227" s="4" cm="1">
        <f t="array" ref="G227">_xlfn.IFS('ProductSprint Backlog'!$F227="", "", AND('ProductSprint Backlog'!$J227&gt;G$2,'ProductSprint Backlog'!$I227&lt;=G$2), 'ProductSprint Backlog'!$F227 / MAX(1, 'ProductSprint Backlog'!$J227-'ProductSprint Backlog'!$I227), AND('ProductSprint Backlog'!$J227=G$2,'ProductSprint Backlog'!$I227=G$2), 'ProductSprint Backlog'!$F227, TRUE, 0)</f>
        <v>0</v>
      </c>
      <c r="H227" s="4" cm="1">
        <f t="array" ref="H227">_xlfn.IFS('ProductSprint Backlog'!$F227="", "", AND('ProductSprint Backlog'!$J227&gt;H$2,'ProductSprint Backlog'!$I227&lt;=H$2), 'ProductSprint Backlog'!$F227 / MAX(1, 'ProductSprint Backlog'!$J227-'ProductSprint Backlog'!$I227), AND('ProductSprint Backlog'!$J227=H$2,'ProductSprint Backlog'!$I227=H$2), 'ProductSprint Backlog'!$F227, TRUE, 0)</f>
        <v>0</v>
      </c>
      <c r="I227" s="4" cm="1">
        <f t="array" ref="I227">_xlfn.IFS('ProductSprint Backlog'!$F227="", "", AND('ProductSprint Backlog'!$J227&gt;I$2,'ProductSprint Backlog'!$I227&lt;=I$2), 'ProductSprint Backlog'!$F227 / MAX(1, 'ProductSprint Backlog'!$J227-'ProductSprint Backlog'!$I227), AND('ProductSprint Backlog'!$J227=I$2,'ProductSprint Backlog'!$I227=I$2), 'ProductSprint Backlog'!$F227, TRUE, 0)</f>
        <v>0</v>
      </c>
      <c r="J227" s="4" cm="1">
        <f t="array" ref="J227">_xlfn.IFS('ProductSprint Backlog'!$F227="", "", AND('ProductSprint Backlog'!$J227&gt;J$2,'ProductSprint Backlog'!$I227&lt;=J$2), 'ProductSprint Backlog'!$F227 / MAX(1, 'ProductSprint Backlog'!$J227-'ProductSprint Backlog'!$I227), AND('ProductSprint Backlog'!$J227=J$2,'ProductSprint Backlog'!$I227=J$2), 'ProductSprint Backlog'!$F227, TRUE, 0)</f>
        <v>0</v>
      </c>
      <c r="K227" s="4" cm="1">
        <f t="array" ref="K227">_xlfn.IFS('ProductSprint Backlog'!$F227="", "", AND('ProductSprint Backlog'!$J227&gt;K$2,'ProductSprint Backlog'!$I227&lt;=K$2), 'ProductSprint Backlog'!$F227 / MAX(1, 'ProductSprint Backlog'!$J227-'ProductSprint Backlog'!$I227), AND('ProductSprint Backlog'!$J227=K$2,'ProductSprint Backlog'!$I227=K$2), 'ProductSprint Backlog'!$F227, TRUE, 0)</f>
        <v>0</v>
      </c>
      <c r="L227" s="4" cm="1">
        <f t="array" ref="L227">_xlfn.IFS('ProductSprint Backlog'!$F227="", "", AND('ProductSprint Backlog'!$J227&gt;L$2,'ProductSprint Backlog'!$I227&lt;=L$2), 'ProductSprint Backlog'!$F227 / MAX(1, 'ProductSprint Backlog'!$J227-'ProductSprint Backlog'!$I227), AND('ProductSprint Backlog'!$J227=L$2,'ProductSprint Backlog'!$I227=L$2), 'ProductSprint Backlog'!$F227, TRUE, 0)</f>
        <v>0.2</v>
      </c>
      <c r="M227" s="4" cm="1">
        <f t="array" ref="M227">_xlfn.IFS('ProductSprint Backlog'!$F227="", "", AND('ProductSprint Backlog'!$J227&gt;M$2,'ProductSprint Backlog'!$I227&lt;=M$2), 'ProductSprint Backlog'!$F227 / MAX(1, 'ProductSprint Backlog'!$J227-'ProductSprint Backlog'!$I227), AND('ProductSprint Backlog'!$J227=M$2,'ProductSprint Backlog'!$I227=M$2), 'ProductSprint Backlog'!$F227, TRUE, 0)</f>
        <v>0.2</v>
      </c>
      <c r="N227" s="4" cm="1">
        <f t="array" ref="N227">_xlfn.IFS('ProductSprint Backlog'!$F227="", "", AND('ProductSprint Backlog'!$J227&gt;N$2,'ProductSprint Backlog'!$I227&lt;=N$2), 'ProductSprint Backlog'!$F227 / MAX(1, 'ProductSprint Backlog'!$J227-'ProductSprint Backlog'!$I227), AND('ProductSprint Backlog'!$J227=N$2,'ProductSprint Backlog'!$I227=N$2), 'ProductSprint Backlog'!$F227, TRUE, 0)</f>
        <v>0.2</v>
      </c>
      <c r="O227" s="4" cm="1">
        <f t="array" ref="O227">_xlfn.IFS('ProductSprint Backlog'!$F227="", "", AND('ProductSprint Backlog'!$J227&gt;O$2,'ProductSprint Backlog'!$I227&lt;=O$2), 'ProductSprint Backlog'!$F227 / MAX(1, 'ProductSprint Backlog'!$J227-'ProductSprint Backlog'!$I227), AND('ProductSprint Backlog'!$J227=O$2,'ProductSprint Backlog'!$I227=O$2), 'ProductSprint Backlog'!$F227, TRUE, 0)</f>
        <v>0.2</v>
      </c>
      <c r="P227" s="4" cm="1">
        <f t="array" ref="P227">_xlfn.IFS('ProductSprint Backlog'!$F227="", "", AND('ProductSprint Backlog'!$J227&gt;P$2,'ProductSprint Backlog'!$I227&lt;=P$2), 'ProductSprint Backlog'!$F227 / MAX(1, 'ProductSprint Backlog'!$J227-'ProductSprint Backlog'!$I227), AND('ProductSprint Backlog'!$J227=P$2,'ProductSprint Backlog'!$I227=P$2), 'ProductSprint Backlog'!$F227, TRUE, 0)</f>
        <v>0.2</v>
      </c>
      <c r="Q227" s="4" cm="1">
        <f t="array" ref="Q227">_xlfn.IFS('ProductSprint Backlog'!$F227="", "", AND('ProductSprint Backlog'!$J227&gt;Q$2,'ProductSprint Backlog'!$I227&lt;=Q$2), 'ProductSprint Backlog'!$F227 / MAX(1, 'ProductSprint Backlog'!$J227-'ProductSprint Backlog'!$I227), AND('ProductSprint Backlog'!$J227=Q$2,'ProductSprint Backlog'!$I227=Q$2), 'ProductSprint Backlog'!$F227, TRUE, 0)</f>
        <v>0</v>
      </c>
    </row>
    <row r="228" spans="2:17" x14ac:dyDescent="0.2">
      <c r="B228" s="4" cm="1">
        <f t="array" ref="B228">_xlfn.IFS('ProductSprint Backlog'!$F228="", "", AND('ProductSprint Backlog'!$J228&gt;B$2,'ProductSprint Backlog'!$I228&lt;=B$2), 'ProductSprint Backlog'!$F228 / MAX(1, 'ProductSprint Backlog'!$J228-'ProductSprint Backlog'!$I228), AND('ProductSprint Backlog'!$J228=B$2,'ProductSprint Backlog'!$I228=B$2), 'ProductSprint Backlog'!$F228, TRUE, 0)</f>
        <v>0</v>
      </c>
      <c r="C228" s="4" cm="1">
        <f t="array" ref="C228">_xlfn.IFS('ProductSprint Backlog'!$F228="", "", AND('ProductSprint Backlog'!$J228&gt;C$2,'ProductSprint Backlog'!$I228&lt;=C$2), 'ProductSprint Backlog'!$F228 / MAX(1, 'ProductSprint Backlog'!$J228-'ProductSprint Backlog'!$I228), AND('ProductSprint Backlog'!$J228=C$2,'ProductSprint Backlog'!$I228=C$2), 'ProductSprint Backlog'!$F228, TRUE, 0)</f>
        <v>0</v>
      </c>
      <c r="D228" s="4" cm="1">
        <f t="array" ref="D228">_xlfn.IFS('ProductSprint Backlog'!$F228="", "", AND('ProductSprint Backlog'!$J228&gt;D$2,'ProductSprint Backlog'!$I228&lt;=D$2), 'ProductSprint Backlog'!$F228 / MAX(1, 'ProductSprint Backlog'!$J228-'ProductSprint Backlog'!$I228), AND('ProductSprint Backlog'!$J228=D$2,'ProductSprint Backlog'!$I228=D$2), 'ProductSprint Backlog'!$F228, TRUE, 0)</f>
        <v>0</v>
      </c>
      <c r="E228" s="4" cm="1">
        <f t="array" ref="E228">_xlfn.IFS('ProductSprint Backlog'!$F228="", "", AND('ProductSprint Backlog'!$J228&gt;E$2,'ProductSprint Backlog'!$I228&lt;=E$2), 'ProductSprint Backlog'!$F228 / MAX(1, 'ProductSprint Backlog'!$J228-'ProductSprint Backlog'!$I228), AND('ProductSprint Backlog'!$J228=E$2,'ProductSprint Backlog'!$I228=E$2), 'ProductSprint Backlog'!$F228, TRUE, 0)</f>
        <v>0</v>
      </c>
      <c r="F228" s="4" cm="1">
        <f t="array" ref="F228">_xlfn.IFS('ProductSprint Backlog'!$F228="", "", AND('ProductSprint Backlog'!$J228&gt;F$2,'ProductSprint Backlog'!$I228&lt;=F$2), 'ProductSprint Backlog'!$F228 / MAX(1, 'ProductSprint Backlog'!$J228-'ProductSprint Backlog'!$I228), AND('ProductSprint Backlog'!$J228=F$2,'ProductSprint Backlog'!$I228=F$2), 'ProductSprint Backlog'!$F228, TRUE, 0)</f>
        <v>0</v>
      </c>
      <c r="G228" s="4" cm="1">
        <f t="array" ref="G228">_xlfn.IFS('ProductSprint Backlog'!$F228="", "", AND('ProductSprint Backlog'!$J228&gt;G$2,'ProductSprint Backlog'!$I228&lt;=G$2), 'ProductSprint Backlog'!$F228 / MAX(1, 'ProductSprint Backlog'!$J228-'ProductSprint Backlog'!$I228), AND('ProductSprint Backlog'!$J228=G$2,'ProductSprint Backlog'!$I228=G$2), 'ProductSprint Backlog'!$F228, TRUE, 0)</f>
        <v>0</v>
      </c>
      <c r="H228" s="4" cm="1">
        <f t="array" ref="H228">_xlfn.IFS('ProductSprint Backlog'!$F228="", "", AND('ProductSprint Backlog'!$J228&gt;H$2,'ProductSprint Backlog'!$I228&lt;=H$2), 'ProductSprint Backlog'!$F228 / MAX(1, 'ProductSprint Backlog'!$J228-'ProductSprint Backlog'!$I228), AND('ProductSprint Backlog'!$J228=H$2,'ProductSprint Backlog'!$I228=H$2), 'ProductSprint Backlog'!$F228, TRUE, 0)</f>
        <v>0</v>
      </c>
      <c r="I228" s="4" cm="1">
        <f t="array" ref="I228">_xlfn.IFS('ProductSprint Backlog'!$F228="", "", AND('ProductSprint Backlog'!$J228&gt;I$2,'ProductSprint Backlog'!$I228&lt;=I$2), 'ProductSprint Backlog'!$F228 / MAX(1, 'ProductSprint Backlog'!$J228-'ProductSprint Backlog'!$I228), AND('ProductSprint Backlog'!$J228=I$2,'ProductSprint Backlog'!$I228=I$2), 'ProductSprint Backlog'!$F228, TRUE, 0)</f>
        <v>0</v>
      </c>
      <c r="J228" s="4" cm="1">
        <f t="array" ref="J228">_xlfn.IFS('ProductSprint Backlog'!$F228="", "", AND('ProductSprint Backlog'!$J228&gt;J$2,'ProductSprint Backlog'!$I228&lt;=J$2), 'ProductSprint Backlog'!$F228 / MAX(1, 'ProductSprint Backlog'!$J228-'ProductSprint Backlog'!$I228), AND('ProductSprint Backlog'!$J228=J$2,'ProductSprint Backlog'!$I228=J$2), 'ProductSprint Backlog'!$F228, TRUE, 0)</f>
        <v>0</v>
      </c>
      <c r="K228" s="4" cm="1">
        <f t="array" ref="K228">_xlfn.IFS('ProductSprint Backlog'!$F228="", "", AND('ProductSprint Backlog'!$J228&gt;K$2,'ProductSprint Backlog'!$I228&lt;=K$2), 'ProductSprint Backlog'!$F228 / MAX(1, 'ProductSprint Backlog'!$J228-'ProductSprint Backlog'!$I228), AND('ProductSprint Backlog'!$J228=K$2,'ProductSprint Backlog'!$I228=K$2), 'ProductSprint Backlog'!$F228, TRUE, 0)</f>
        <v>0</v>
      </c>
      <c r="L228" s="4" cm="1">
        <f t="array" ref="L228">_xlfn.IFS('ProductSprint Backlog'!$F228="", "", AND('ProductSprint Backlog'!$J228&gt;L$2,'ProductSprint Backlog'!$I228&lt;=L$2), 'ProductSprint Backlog'!$F228 / MAX(1, 'ProductSprint Backlog'!$J228-'ProductSprint Backlog'!$I228), AND('ProductSprint Backlog'!$J228=L$2,'ProductSprint Backlog'!$I228=L$2), 'ProductSprint Backlog'!$F228, TRUE, 0)</f>
        <v>0.2</v>
      </c>
      <c r="M228" s="4" cm="1">
        <f t="array" ref="M228">_xlfn.IFS('ProductSprint Backlog'!$F228="", "", AND('ProductSprint Backlog'!$J228&gt;M$2,'ProductSprint Backlog'!$I228&lt;=M$2), 'ProductSprint Backlog'!$F228 / MAX(1, 'ProductSprint Backlog'!$J228-'ProductSprint Backlog'!$I228), AND('ProductSprint Backlog'!$J228=M$2,'ProductSprint Backlog'!$I228=M$2), 'ProductSprint Backlog'!$F228, TRUE, 0)</f>
        <v>0.2</v>
      </c>
      <c r="N228" s="4" cm="1">
        <f t="array" ref="N228">_xlfn.IFS('ProductSprint Backlog'!$F228="", "", AND('ProductSprint Backlog'!$J228&gt;N$2,'ProductSprint Backlog'!$I228&lt;=N$2), 'ProductSprint Backlog'!$F228 / MAX(1, 'ProductSprint Backlog'!$J228-'ProductSprint Backlog'!$I228), AND('ProductSprint Backlog'!$J228=N$2,'ProductSprint Backlog'!$I228=N$2), 'ProductSprint Backlog'!$F228, TRUE, 0)</f>
        <v>0.2</v>
      </c>
      <c r="O228" s="4" cm="1">
        <f t="array" ref="O228">_xlfn.IFS('ProductSprint Backlog'!$F228="", "", AND('ProductSprint Backlog'!$J228&gt;O$2,'ProductSprint Backlog'!$I228&lt;=O$2), 'ProductSprint Backlog'!$F228 / MAX(1, 'ProductSprint Backlog'!$J228-'ProductSprint Backlog'!$I228), AND('ProductSprint Backlog'!$J228=O$2,'ProductSprint Backlog'!$I228=O$2), 'ProductSprint Backlog'!$F228, TRUE, 0)</f>
        <v>0.2</v>
      </c>
      <c r="P228" s="4" cm="1">
        <f t="array" ref="P228">_xlfn.IFS('ProductSprint Backlog'!$F228="", "", AND('ProductSprint Backlog'!$J228&gt;P$2,'ProductSprint Backlog'!$I228&lt;=P$2), 'ProductSprint Backlog'!$F228 / MAX(1, 'ProductSprint Backlog'!$J228-'ProductSprint Backlog'!$I228), AND('ProductSprint Backlog'!$J228=P$2,'ProductSprint Backlog'!$I228=P$2), 'ProductSprint Backlog'!$F228, TRUE, 0)</f>
        <v>0.2</v>
      </c>
      <c r="Q228" s="4" cm="1">
        <f t="array" ref="Q228">_xlfn.IFS('ProductSprint Backlog'!$F228="", "", AND('ProductSprint Backlog'!$J228&gt;Q$2,'ProductSprint Backlog'!$I228&lt;=Q$2), 'ProductSprint Backlog'!$F228 / MAX(1, 'ProductSprint Backlog'!$J228-'ProductSprint Backlog'!$I228), AND('ProductSprint Backlog'!$J228=Q$2,'ProductSprint Backlog'!$I228=Q$2), 'ProductSprint Backlog'!$F228, TRUE, 0)</f>
        <v>0</v>
      </c>
    </row>
    <row r="229" spans="2:17" x14ac:dyDescent="0.2">
      <c r="B229" s="4" cm="1">
        <f t="array" ref="B229">_xlfn.IFS('ProductSprint Backlog'!$F229="", "", AND('ProductSprint Backlog'!$J229&gt;B$2,'ProductSprint Backlog'!$I229&lt;=B$2), 'ProductSprint Backlog'!$F229 / MAX(1, 'ProductSprint Backlog'!$J229-'ProductSprint Backlog'!$I229), AND('ProductSprint Backlog'!$J229=B$2,'ProductSprint Backlog'!$I229=B$2), 'ProductSprint Backlog'!$F229, TRUE, 0)</f>
        <v>0</v>
      </c>
      <c r="C229" s="4" cm="1">
        <f t="array" ref="C229">_xlfn.IFS('ProductSprint Backlog'!$F229="", "", AND('ProductSprint Backlog'!$J229&gt;C$2,'ProductSprint Backlog'!$I229&lt;=C$2), 'ProductSprint Backlog'!$F229 / MAX(1, 'ProductSprint Backlog'!$J229-'ProductSprint Backlog'!$I229), AND('ProductSprint Backlog'!$J229=C$2,'ProductSprint Backlog'!$I229=C$2), 'ProductSprint Backlog'!$F229, TRUE, 0)</f>
        <v>0</v>
      </c>
      <c r="D229" s="4" cm="1">
        <f t="array" ref="D229">_xlfn.IFS('ProductSprint Backlog'!$F229="", "", AND('ProductSprint Backlog'!$J229&gt;D$2,'ProductSprint Backlog'!$I229&lt;=D$2), 'ProductSprint Backlog'!$F229 / MAX(1, 'ProductSprint Backlog'!$J229-'ProductSprint Backlog'!$I229), AND('ProductSprint Backlog'!$J229=D$2,'ProductSprint Backlog'!$I229=D$2), 'ProductSprint Backlog'!$F229, TRUE, 0)</f>
        <v>0</v>
      </c>
      <c r="E229" s="4" cm="1">
        <f t="array" ref="E229">_xlfn.IFS('ProductSprint Backlog'!$F229="", "", AND('ProductSprint Backlog'!$J229&gt;E$2,'ProductSprint Backlog'!$I229&lt;=E$2), 'ProductSprint Backlog'!$F229 / MAX(1, 'ProductSprint Backlog'!$J229-'ProductSprint Backlog'!$I229), AND('ProductSprint Backlog'!$J229=E$2,'ProductSprint Backlog'!$I229=E$2), 'ProductSprint Backlog'!$F229, TRUE, 0)</f>
        <v>0</v>
      </c>
      <c r="F229" s="4" cm="1">
        <f t="array" ref="F229">_xlfn.IFS('ProductSprint Backlog'!$F229="", "", AND('ProductSprint Backlog'!$J229&gt;F$2,'ProductSprint Backlog'!$I229&lt;=F$2), 'ProductSprint Backlog'!$F229 / MAX(1, 'ProductSprint Backlog'!$J229-'ProductSprint Backlog'!$I229), AND('ProductSprint Backlog'!$J229=F$2,'ProductSprint Backlog'!$I229=F$2), 'ProductSprint Backlog'!$F229, TRUE, 0)</f>
        <v>0</v>
      </c>
      <c r="G229" s="4" cm="1">
        <f t="array" ref="G229">_xlfn.IFS('ProductSprint Backlog'!$F229="", "", AND('ProductSprint Backlog'!$J229&gt;G$2,'ProductSprint Backlog'!$I229&lt;=G$2), 'ProductSprint Backlog'!$F229 / MAX(1, 'ProductSprint Backlog'!$J229-'ProductSprint Backlog'!$I229), AND('ProductSprint Backlog'!$J229=G$2,'ProductSprint Backlog'!$I229=G$2), 'ProductSprint Backlog'!$F229, TRUE, 0)</f>
        <v>0</v>
      </c>
      <c r="H229" s="4" cm="1">
        <f t="array" ref="H229">_xlfn.IFS('ProductSprint Backlog'!$F229="", "", AND('ProductSprint Backlog'!$J229&gt;H$2,'ProductSprint Backlog'!$I229&lt;=H$2), 'ProductSprint Backlog'!$F229 / MAX(1, 'ProductSprint Backlog'!$J229-'ProductSprint Backlog'!$I229), AND('ProductSprint Backlog'!$J229=H$2,'ProductSprint Backlog'!$I229=H$2), 'ProductSprint Backlog'!$F229, TRUE, 0)</f>
        <v>0</v>
      </c>
      <c r="I229" s="4" cm="1">
        <f t="array" ref="I229">_xlfn.IFS('ProductSprint Backlog'!$F229="", "", AND('ProductSprint Backlog'!$J229&gt;I$2,'ProductSprint Backlog'!$I229&lt;=I$2), 'ProductSprint Backlog'!$F229 / MAX(1, 'ProductSprint Backlog'!$J229-'ProductSprint Backlog'!$I229), AND('ProductSprint Backlog'!$J229=I$2,'ProductSprint Backlog'!$I229=I$2), 'ProductSprint Backlog'!$F229, TRUE, 0)</f>
        <v>0</v>
      </c>
      <c r="J229" s="4" cm="1">
        <f t="array" ref="J229">_xlfn.IFS('ProductSprint Backlog'!$F229="", "", AND('ProductSprint Backlog'!$J229&gt;J$2,'ProductSprint Backlog'!$I229&lt;=J$2), 'ProductSprint Backlog'!$F229 / MAX(1, 'ProductSprint Backlog'!$J229-'ProductSprint Backlog'!$I229), AND('ProductSprint Backlog'!$J229=J$2,'ProductSprint Backlog'!$I229=J$2), 'ProductSprint Backlog'!$F229, TRUE, 0)</f>
        <v>0</v>
      </c>
      <c r="K229" s="4" cm="1">
        <f t="array" ref="K229">_xlfn.IFS('ProductSprint Backlog'!$F229="", "", AND('ProductSprint Backlog'!$J229&gt;K$2,'ProductSprint Backlog'!$I229&lt;=K$2), 'ProductSprint Backlog'!$F229 / MAX(1, 'ProductSprint Backlog'!$J229-'ProductSprint Backlog'!$I229), AND('ProductSprint Backlog'!$J229=K$2,'ProductSprint Backlog'!$I229=K$2), 'ProductSprint Backlog'!$F229, TRUE, 0)</f>
        <v>0</v>
      </c>
      <c r="L229" s="4" cm="1">
        <f t="array" ref="L229">_xlfn.IFS('ProductSprint Backlog'!$F229="", "", AND('ProductSprint Backlog'!$J229&gt;L$2,'ProductSprint Backlog'!$I229&lt;=L$2), 'ProductSprint Backlog'!$F229 / MAX(1, 'ProductSprint Backlog'!$J229-'ProductSprint Backlog'!$I229), AND('ProductSprint Backlog'!$J229=L$2,'ProductSprint Backlog'!$I229=L$2), 'ProductSprint Backlog'!$F229, TRUE, 0)</f>
        <v>0.2</v>
      </c>
      <c r="M229" s="4" cm="1">
        <f t="array" ref="M229">_xlfn.IFS('ProductSprint Backlog'!$F229="", "", AND('ProductSprint Backlog'!$J229&gt;M$2,'ProductSprint Backlog'!$I229&lt;=M$2), 'ProductSprint Backlog'!$F229 / MAX(1, 'ProductSprint Backlog'!$J229-'ProductSprint Backlog'!$I229), AND('ProductSprint Backlog'!$J229=M$2,'ProductSprint Backlog'!$I229=M$2), 'ProductSprint Backlog'!$F229, TRUE, 0)</f>
        <v>0.2</v>
      </c>
      <c r="N229" s="4" cm="1">
        <f t="array" ref="N229">_xlfn.IFS('ProductSprint Backlog'!$F229="", "", AND('ProductSprint Backlog'!$J229&gt;N$2,'ProductSprint Backlog'!$I229&lt;=N$2), 'ProductSprint Backlog'!$F229 / MAX(1, 'ProductSprint Backlog'!$J229-'ProductSprint Backlog'!$I229), AND('ProductSprint Backlog'!$J229=N$2,'ProductSprint Backlog'!$I229=N$2), 'ProductSprint Backlog'!$F229, TRUE, 0)</f>
        <v>0.2</v>
      </c>
      <c r="O229" s="4" cm="1">
        <f t="array" ref="O229">_xlfn.IFS('ProductSprint Backlog'!$F229="", "", AND('ProductSprint Backlog'!$J229&gt;O$2,'ProductSprint Backlog'!$I229&lt;=O$2), 'ProductSprint Backlog'!$F229 / MAX(1, 'ProductSprint Backlog'!$J229-'ProductSprint Backlog'!$I229), AND('ProductSprint Backlog'!$J229=O$2,'ProductSprint Backlog'!$I229=O$2), 'ProductSprint Backlog'!$F229, TRUE, 0)</f>
        <v>0.2</v>
      </c>
      <c r="P229" s="4" cm="1">
        <f t="array" ref="P229">_xlfn.IFS('ProductSprint Backlog'!$F229="", "", AND('ProductSprint Backlog'!$J229&gt;P$2,'ProductSprint Backlog'!$I229&lt;=P$2), 'ProductSprint Backlog'!$F229 / MAX(1, 'ProductSprint Backlog'!$J229-'ProductSprint Backlog'!$I229), AND('ProductSprint Backlog'!$J229=P$2,'ProductSprint Backlog'!$I229=P$2), 'ProductSprint Backlog'!$F229, TRUE, 0)</f>
        <v>0.2</v>
      </c>
      <c r="Q229" s="4" cm="1">
        <f t="array" ref="Q229">_xlfn.IFS('ProductSprint Backlog'!$F229="", "", AND('ProductSprint Backlog'!$J229&gt;Q$2,'ProductSprint Backlog'!$I229&lt;=Q$2), 'ProductSprint Backlog'!$F229 / MAX(1, 'ProductSprint Backlog'!$J229-'ProductSprint Backlog'!$I229), AND('ProductSprint Backlog'!$J229=Q$2,'ProductSprint Backlog'!$I229=Q$2), 'ProductSprint Backlog'!$F229, TRUE, 0)</f>
        <v>0</v>
      </c>
    </row>
    <row r="230" spans="2:17" x14ac:dyDescent="0.2">
      <c r="B230" s="4" cm="1">
        <f t="array" ref="B230">_xlfn.IFS('ProductSprint Backlog'!$F230="", "", AND('ProductSprint Backlog'!$J230&gt;B$2,'ProductSprint Backlog'!$I230&lt;=B$2), 'ProductSprint Backlog'!$F230 / MAX(1, 'ProductSprint Backlog'!$J230-'ProductSprint Backlog'!$I230), AND('ProductSprint Backlog'!$J230=B$2,'ProductSprint Backlog'!$I230=B$2), 'ProductSprint Backlog'!$F230, TRUE, 0)</f>
        <v>0</v>
      </c>
      <c r="C230" s="4" cm="1">
        <f t="array" ref="C230">_xlfn.IFS('ProductSprint Backlog'!$F230="", "", AND('ProductSprint Backlog'!$J230&gt;C$2,'ProductSprint Backlog'!$I230&lt;=C$2), 'ProductSprint Backlog'!$F230 / MAX(1, 'ProductSprint Backlog'!$J230-'ProductSprint Backlog'!$I230), AND('ProductSprint Backlog'!$J230=C$2,'ProductSprint Backlog'!$I230=C$2), 'ProductSprint Backlog'!$F230, TRUE, 0)</f>
        <v>0</v>
      </c>
      <c r="D230" s="4" cm="1">
        <f t="array" ref="D230">_xlfn.IFS('ProductSprint Backlog'!$F230="", "", AND('ProductSprint Backlog'!$J230&gt;D$2,'ProductSprint Backlog'!$I230&lt;=D$2), 'ProductSprint Backlog'!$F230 / MAX(1, 'ProductSprint Backlog'!$J230-'ProductSprint Backlog'!$I230), AND('ProductSprint Backlog'!$J230=D$2,'ProductSprint Backlog'!$I230=D$2), 'ProductSprint Backlog'!$F230, TRUE, 0)</f>
        <v>0</v>
      </c>
      <c r="E230" s="4" cm="1">
        <f t="array" ref="E230">_xlfn.IFS('ProductSprint Backlog'!$F230="", "", AND('ProductSprint Backlog'!$J230&gt;E$2,'ProductSprint Backlog'!$I230&lt;=E$2), 'ProductSprint Backlog'!$F230 / MAX(1, 'ProductSprint Backlog'!$J230-'ProductSprint Backlog'!$I230), AND('ProductSprint Backlog'!$J230=E$2,'ProductSprint Backlog'!$I230=E$2), 'ProductSprint Backlog'!$F230, TRUE, 0)</f>
        <v>0</v>
      </c>
      <c r="F230" s="4" cm="1">
        <f t="array" ref="F230">_xlfn.IFS('ProductSprint Backlog'!$F230="", "", AND('ProductSprint Backlog'!$J230&gt;F$2,'ProductSprint Backlog'!$I230&lt;=F$2), 'ProductSprint Backlog'!$F230 / MAX(1, 'ProductSprint Backlog'!$J230-'ProductSprint Backlog'!$I230), AND('ProductSprint Backlog'!$J230=F$2,'ProductSprint Backlog'!$I230=F$2), 'ProductSprint Backlog'!$F230, TRUE, 0)</f>
        <v>0</v>
      </c>
      <c r="G230" s="4" cm="1">
        <f t="array" ref="G230">_xlfn.IFS('ProductSprint Backlog'!$F230="", "", AND('ProductSprint Backlog'!$J230&gt;G$2,'ProductSprint Backlog'!$I230&lt;=G$2), 'ProductSprint Backlog'!$F230 / MAX(1, 'ProductSprint Backlog'!$J230-'ProductSprint Backlog'!$I230), AND('ProductSprint Backlog'!$J230=G$2,'ProductSprint Backlog'!$I230=G$2), 'ProductSprint Backlog'!$F230, TRUE, 0)</f>
        <v>0</v>
      </c>
      <c r="H230" s="4" cm="1">
        <f t="array" ref="H230">_xlfn.IFS('ProductSprint Backlog'!$F230="", "", AND('ProductSprint Backlog'!$J230&gt;H$2,'ProductSprint Backlog'!$I230&lt;=H$2), 'ProductSprint Backlog'!$F230 / MAX(1, 'ProductSprint Backlog'!$J230-'ProductSprint Backlog'!$I230), AND('ProductSprint Backlog'!$J230=H$2,'ProductSprint Backlog'!$I230=H$2), 'ProductSprint Backlog'!$F230, TRUE, 0)</f>
        <v>0</v>
      </c>
      <c r="I230" s="4" cm="1">
        <f t="array" ref="I230">_xlfn.IFS('ProductSprint Backlog'!$F230="", "", AND('ProductSprint Backlog'!$J230&gt;I$2,'ProductSprint Backlog'!$I230&lt;=I$2), 'ProductSprint Backlog'!$F230 / MAX(1, 'ProductSprint Backlog'!$J230-'ProductSprint Backlog'!$I230), AND('ProductSprint Backlog'!$J230=I$2,'ProductSprint Backlog'!$I230=I$2), 'ProductSprint Backlog'!$F230, TRUE, 0)</f>
        <v>0</v>
      </c>
      <c r="J230" s="4" cm="1">
        <f t="array" ref="J230">_xlfn.IFS('ProductSprint Backlog'!$F230="", "", AND('ProductSprint Backlog'!$J230&gt;J$2,'ProductSprint Backlog'!$I230&lt;=J$2), 'ProductSprint Backlog'!$F230 / MAX(1, 'ProductSprint Backlog'!$J230-'ProductSprint Backlog'!$I230), AND('ProductSprint Backlog'!$J230=J$2,'ProductSprint Backlog'!$I230=J$2), 'ProductSprint Backlog'!$F230, TRUE, 0)</f>
        <v>0</v>
      </c>
      <c r="K230" s="4" cm="1">
        <f t="array" ref="K230">_xlfn.IFS('ProductSprint Backlog'!$F230="", "", AND('ProductSprint Backlog'!$J230&gt;K$2,'ProductSprint Backlog'!$I230&lt;=K$2), 'ProductSprint Backlog'!$F230 / MAX(1, 'ProductSprint Backlog'!$J230-'ProductSprint Backlog'!$I230), AND('ProductSprint Backlog'!$J230=K$2,'ProductSprint Backlog'!$I230=K$2), 'ProductSprint Backlog'!$F230, TRUE, 0)</f>
        <v>0</v>
      </c>
      <c r="L230" s="4" cm="1">
        <f t="array" ref="L230">_xlfn.IFS('ProductSprint Backlog'!$F230="", "", AND('ProductSprint Backlog'!$J230&gt;L$2,'ProductSprint Backlog'!$I230&lt;=L$2), 'ProductSprint Backlog'!$F230 / MAX(1, 'ProductSprint Backlog'!$J230-'ProductSprint Backlog'!$I230), AND('ProductSprint Backlog'!$J230=L$2,'ProductSprint Backlog'!$I230=L$2), 'ProductSprint Backlog'!$F230, TRUE, 0)</f>
        <v>0.2</v>
      </c>
      <c r="M230" s="4" cm="1">
        <f t="array" ref="M230">_xlfn.IFS('ProductSprint Backlog'!$F230="", "", AND('ProductSprint Backlog'!$J230&gt;M$2,'ProductSprint Backlog'!$I230&lt;=M$2), 'ProductSprint Backlog'!$F230 / MAX(1, 'ProductSprint Backlog'!$J230-'ProductSprint Backlog'!$I230), AND('ProductSprint Backlog'!$J230=M$2,'ProductSprint Backlog'!$I230=M$2), 'ProductSprint Backlog'!$F230, TRUE, 0)</f>
        <v>0.2</v>
      </c>
      <c r="N230" s="4" cm="1">
        <f t="array" ref="N230">_xlfn.IFS('ProductSprint Backlog'!$F230="", "", AND('ProductSprint Backlog'!$J230&gt;N$2,'ProductSprint Backlog'!$I230&lt;=N$2), 'ProductSprint Backlog'!$F230 / MAX(1, 'ProductSprint Backlog'!$J230-'ProductSprint Backlog'!$I230), AND('ProductSprint Backlog'!$J230=N$2,'ProductSprint Backlog'!$I230=N$2), 'ProductSprint Backlog'!$F230, TRUE, 0)</f>
        <v>0.2</v>
      </c>
      <c r="O230" s="4" cm="1">
        <f t="array" ref="O230">_xlfn.IFS('ProductSprint Backlog'!$F230="", "", AND('ProductSprint Backlog'!$J230&gt;O$2,'ProductSprint Backlog'!$I230&lt;=O$2), 'ProductSprint Backlog'!$F230 / MAX(1, 'ProductSprint Backlog'!$J230-'ProductSprint Backlog'!$I230), AND('ProductSprint Backlog'!$J230=O$2,'ProductSprint Backlog'!$I230=O$2), 'ProductSprint Backlog'!$F230, TRUE, 0)</f>
        <v>0.2</v>
      </c>
      <c r="P230" s="4" cm="1">
        <f t="array" ref="P230">_xlfn.IFS('ProductSprint Backlog'!$F230="", "", AND('ProductSprint Backlog'!$J230&gt;P$2,'ProductSprint Backlog'!$I230&lt;=P$2), 'ProductSprint Backlog'!$F230 / MAX(1, 'ProductSprint Backlog'!$J230-'ProductSprint Backlog'!$I230), AND('ProductSprint Backlog'!$J230=P$2,'ProductSprint Backlog'!$I230=P$2), 'ProductSprint Backlog'!$F230, TRUE, 0)</f>
        <v>0.2</v>
      </c>
      <c r="Q230" s="4" cm="1">
        <f t="array" ref="Q230">_xlfn.IFS('ProductSprint Backlog'!$F230="", "", AND('ProductSprint Backlog'!$J230&gt;Q$2,'ProductSprint Backlog'!$I230&lt;=Q$2), 'ProductSprint Backlog'!$F230 / MAX(1, 'ProductSprint Backlog'!$J230-'ProductSprint Backlog'!$I230), AND('ProductSprint Backlog'!$J230=Q$2,'ProductSprint Backlog'!$I230=Q$2), 'ProductSprint Backlog'!$F230, TRUE, 0)</f>
        <v>0</v>
      </c>
    </row>
    <row r="231" spans="2:17" x14ac:dyDescent="0.2">
      <c r="B231" s="4" cm="1">
        <f t="array" ref="B231">_xlfn.IFS('ProductSprint Backlog'!$F231="", "", AND('ProductSprint Backlog'!$J231&gt;B$2,'ProductSprint Backlog'!$I231&lt;=B$2), 'ProductSprint Backlog'!$F231 / MAX(1, 'ProductSprint Backlog'!$J231-'ProductSprint Backlog'!$I231), AND('ProductSprint Backlog'!$J231=B$2,'ProductSprint Backlog'!$I231=B$2), 'ProductSprint Backlog'!$F231, TRUE, 0)</f>
        <v>0.14285714285714285</v>
      </c>
      <c r="C231" s="4" cm="1">
        <f t="array" ref="C231">_xlfn.IFS('ProductSprint Backlog'!$F231="", "", AND('ProductSprint Backlog'!$J231&gt;C$2,'ProductSprint Backlog'!$I231&lt;=C$2), 'ProductSprint Backlog'!$F231 / MAX(1, 'ProductSprint Backlog'!$J231-'ProductSprint Backlog'!$I231), AND('ProductSprint Backlog'!$J231=C$2,'ProductSprint Backlog'!$I231=C$2), 'ProductSprint Backlog'!$F231, TRUE, 0)</f>
        <v>0.14285714285714285</v>
      </c>
      <c r="D231" s="4" cm="1">
        <f t="array" ref="D231">_xlfn.IFS('ProductSprint Backlog'!$F231="", "", AND('ProductSprint Backlog'!$J231&gt;D$2,'ProductSprint Backlog'!$I231&lt;=D$2), 'ProductSprint Backlog'!$F231 / MAX(1, 'ProductSprint Backlog'!$J231-'ProductSprint Backlog'!$I231), AND('ProductSprint Backlog'!$J231=D$2,'ProductSprint Backlog'!$I231=D$2), 'ProductSprint Backlog'!$F231, TRUE, 0)</f>
        <v>0.14285714285714285</v>
      </c>
      <c r="E231" s="4" cm="1">
        <f t="array" ref="E231">_xlfn.IFS('ProductSprint Backlog'!$F231="", "", AND('ProductSprint Backlog'!$J231&gt;E$2,'ProductSprint Backlog'!$I231&lt;=E$2), 'ProductSprint Backlog'!$F231 / MAX(1, 'ProductSprint Backlog'!$J231-'ProductSprint Backlog'!$I231), AND('ProductSprint Backlog'!$J231=E$2,'ProductSprint Backlog'!$I231=E$2), 'ProductSprint Backlog'!$F231, TRUE, 0)</f>
        <v>0.14285714285714285</v>
      </c>
      <c r="F231" s="4" cm="1">
        <f t="array" ref="F231">_xlfn.IFS('ProductSprint Backlog'!$F231="", "", AND('ProductSprint Backlog'!$J231&gt;F$2,'ProductSprint Backlog'!$I231&lt;=F$2), 'ProductSprint Backlog'!$F231 / MAX(1, 'ProductSprint Backlog'!$J231-'ProductSprint Backlog'!$I231), AND('ProductSprint Backlog'!$J231=F$2,'ProductSprint Backlog'!$I231=F$2), 'ProductSprint Backlog'!$F231, TRUE, 0)</f>
        <v>0.14285714285714285</v>
      </c>
      <c r="G231" s="4" cm="1">
        <f t="array" ref="G231">_xlfn.IFS('ProductSprint Backlog'!$F231="", "", AND('ProductSprint Backlog'!$J231&gt;G$2,'ProductSprint Backlog'!$I231&lt;=G$2), 'ProductSprint Backlog'!$F231 / MAX(1, 'ProductSprint Backlog'!$J231-'ProductSprint Backlog'!$I231), AND('ProductSprint Backlog'!$J231=G$2,'ProductSprint Backlog'!$I231=G$2), 'ProductSprint Backlog'!$F231, TRUE, 0)</f>
        <v>0.14285714285714285</v>
      </c>
      <c r="H231" s="4" cm="1">
        <f t="array" ref="H231">_xlfn.IFS('ProductSprint Backlog'!$F231="", "", AND('ProductSprint Backlog'!$J231&gt;H$2,'ProductSprint Backlog'!$I231&lt;=H$2), 'ProductSprint Backlog'!$F231 / MAX(1, 'ProductSprint Backlog'!$J231-'ProductSprint Backlog'!$I231), AND('ProductSprint Backlog'!$J231=H$2,'ProductSprint Backlog'!$I231=H$2), 'ProductSprint Backlog'!$F231, TRUE, 0)</f>
        <v>0.14285714285714285</v>
      </c>
      <c r="I231" s="4" cm="1">
        <f t="array" ref="I231">_xlfn.IFS('ProductSprint Backlog'!$F231="", "", AND('ProductSprint Backlog'!$J231&gt;I$2,'ProductSprint Backlog'!$I231&lt;=I$2), 'ProductSprint Backlog'!$F231 / MAX(1, 'ProductSprint Backlog'!$J231-'ProductSprint Backlog'!$I231), AND('ProductSprint Backlog'!$J231=I$2,'ProductSprint Backlog'!$I231=I$2), 'ProductSprint Backlog'!$F231, TRUE, 0)</f>
        <v>0</v>
      </c>
      <c r="J231" s="4" cm="1">
        <f t="array" ref="J231">_xlfn.IFS('ProductSprint Backlog'!$F231="", "", AND('ProductSprint Backlog'!$J231&gt;J$2,'ProductSprint Backlog'!$I231&lt;=J$2), 'ProductSprint Backlog'!$F231 / MAX(1, 'ProductSprint Backlog'!$J231-'ProductSprint Backlog'!$I231), AND('ProductSprint Backlog'!$J231=J$2,'ProductSprint Backlog'!$I231=J$2), 'ProductSprint Backlog'!$F231, TRUE, 0)</f>
        <v>0</v>
      </c>
      <c r="K231" s="4" cm="1">
        <f t="array" ref="K231">_xlfn.IFS('ProductSprint Backlog'!$F231="", "", AND('ProductSprint Backlog'!$J231&gt;K$2,'ProductSprint Backlog'!$I231&lt;=K$2), 'ProductSprint Backlog'!$F231 / MAX(1, 'ProductSprint Backlog'!$J231-'ProductSprint Backlog'!$I231), AND('ProductSprint Backlog'!$J231=K$2,'ProductSprint Backlog'!$I231=K$2), 'ProductSprint Backlog'!$F231, TRUE, 0)</f>
        <v>0</v>
      </c>
      <c r="L231" s="4" cm="1">
        <f t="array" ref="L231">_xlfn.IFS('ProductSprint Backlog'!$F231="", "", AND('ProductSprint Backlog'!$J231&gt;L$2,'ProductSprint Backlog'!$I231&lt;=L$2), 'ProductSprint Backlog'!$F231 / MAX(1, 'ProductSprint Backlog'!$J231-'ProductSprint Backlog'!$I231), AND('ProductSprint Backlog'!$J231=L$2,'ProductSprint Backlog'!$I231=L$2), 'ProductSprint Backlog'!$F231, TRUE, 0)</f>
        <v>0</v>
      </c>
      <c r="M231" s="4" cm="1">
        <f t="array" ref="M231">_xlfn.IFS('ProductSprint Backlog'!$F231="", "", AND('ProductSprint Backlog'!$J231&gt;M$2,'ProductSprint Backlog'!$I231&lt;=M$2), 'ProductSprint Backlog'!$F231 / MAX(1, 'ProductSprint Backlog'!$J231-'ProductSprint Backlog'!$I231), AND('ProductSprint Backlog'!$J231=M$2,'ProductSprint Backlog'!$I231=M$2), 'ProductSprint Backlog'!$F231, TRUE, 0)</f>
        <v>0</v>
      </c>
      <c r="N231" s="4" cm="1">
        <f t="array" ref="N231">_xlfn.IFS('ProductSprint Backlog'!$F231="", "", AND('ProductSprint Backlog'!$J231&gt;N$2,'ProductSprint Backlog'!$I231&lt;=N$2), 'ProductSprint Backlog'!$F231 / MAX(1, 'ProductSprint Backlog'!$J231-'ProductSprint Backlog'!$I231), AND('ProductSprint Backlog'!$J231=N$2,'ProductSprint Backlog'!$I231=N$2), 'ProductSprint Backlog'!$F231, TRUE, 0)</f>
        <v>0</v>
      </c>
      <c r="O231" s="4" cm="1">
        <f t="array" ref="O231">_xlfn.IFS('ProductSprint Backlog'!$F231="", "", AND('ProductSprint Backlog'!$J231&gt;O$2,'ProductSprint Backlog'!$I231&lt;=O$2), 'ProductSprint Backlog'!$F231 / MAX(1, 'ProductSprint Backlog'!$J231-'ProductSprint Backlog'!$I231), AND('ProductSprint Backlog'!$J231=O$2,'ProductSprint Backlog'!$I231=O$2), 'ProductSprint Backlog'!$F231, TRUE, 0)</f>
        <v>0</v>
      </c>
      <c r="P231" s="4" cm="1">
        <f t="array" ref="P231">_xlfn.IFS('ProductSprint Backlog'!$F231="", "", AND('ProductSprint Backlog'!$J231&gt;P$2,'ProductSprint Backlog'!$I231&lt;=P$2), 'ProductSprint Backlog'!$F231 / MAX(1, 'ProductSprint Backlog'!$J231-'ProductSprint Backlog'!$I231), AND('ProductSprint Backlog'!$J231=P$2,'ProductSprint Backlog'!$I231=P$2), 'ProductSprint Backlog'!$F231, TRUE, 0)</f>
        <v>0</v>
      </c>
      <c r="Q231" s="4" cm="1">
        <f t="array" ref="Q231">_xlfn.IFS('ProductSprint Backlog'!$F231="", "", AND('ProductSprint Backlog'!$J231&gt;Q$2,'ProductSprint Backlog'!$I231&lt;=Q$2), 'ProductSprint Backlog'!$F231 / MAX(1, 'ProductSprint Backlog'!$J231-'ProductSprint Backlog'!$I231), AND('ProductSprint Backlog'!$J231=Q$2,'ProductSprint Backlog'!$I231=Q$2), 'ProductSprint Backlog'!$F231, TRUE, 0)</f>
        <v>0</v>
      </c>
    </row>
    <row r="232" spans="2:17" x14ac:dyDescent="0.2">
      <c r="B232" s="4" cm="1">
        <f t="array" ref="B232">_xlfn.IFS('ProductSprint Backlog'!$F232="", "", AND('ProductSprint Backlog'!$J232&gt;B$2,'ProductSprint Backlog'!$I232&lt;=B$2), 'ProductSprint Backlog'!$F232 / MAX(1, 'ProductSprint Backlog'!$J232-'ProductSprint Backlog'!$I232), AND('ProductSprint Backlog'!$J232=B$2,'ProductSprint Backlog'!$I232=B$2), 'ProductSprint Backlog'!$F232, TRUE, 0)</f>
        <v>0.14285714285714285</v>
      </c>
      <c r="C232" s="4" cm="1">
        <f t="array" ref="C232">_xlfn.IFS('ProductSprint Backlog'!$F232="", "", AND('ProductSprint Backlog'!$J232&gt;C$2,'ProductSprint Backlog'!$I232&lt;=C$2), 'ProductSprint Backlog'!$F232 / MAX(1, 'ProductSprint Backlog'!$J232-'ProductSprint Backlog'!$I232), AND('ProductSprint Backlog'!$J232=C$2,'ProductSprint Backlog'!$I232=C$2), 'ProductSprint Backlog'!$F232, TRUE, 0)</f>
        <v>0.14285714285714285</v>
      </c>
      <c r="D232" s="4" cm="1">
        <f t="array" ref="D232">_xlfn.IFS('ProductSprint Backlog'!$F232="", "", AND('ProductSprint Backlog'!$J232&gt;D$2,'ProductSprint Backlog'!$I232&lt;=D$2), 'ProductSprint Backlog'!$F232 / MAX(1, 'ProductSprint Backlog'!$J232-'ProductSprint Backlog'!$I232), AND('ProductSprint Backlog'!$J232=D$2,'ProductSprint Backlog'!$I232=D$2), 'ProductSprint Backlog'!$F232, TRUE, 0)</f>
        <v>0.14285714285714285</v>
      </c>
      <c r="E232" s="4" cm="1">
        <f t="array" ref="E232">_xlfn.IFS('ProductSprint Backlog'!$F232="", "", AND('ProductSprint Backlog'!$J232&gt;E$2,'ProductSprint Backlog'!$I232&lt;=E$2), 'ProductSprint Backlog'!$F232 / MAX(1, 'ProductSprint Backlog'!$J232-'ProductSprint Backlog'!$I232), AND('ProductSprint Backlog'!$J232=E$2,'ProductSprint Backlog'!$I232=E$2), 'ProductSprint Backlog'!$F232, TRUE, 0)</f>
        <v>0.14285714285714285</v>
      </c>
      <c r="F232" s="4" cm="1">
        <f t="array" ref="F232">_xlfn.IFS('ProductSprint Backlog'!$F232="", "", AND('ProductSprint Backlog'!$J232&gt;F$2,'ProductSprint Backlog'!$I232&lt;=F$2), 'ProductSprint Backlog'!$F232 / MAX(1, 'ProductSprint Backlog'!$J232-'ProductSprint Backlog'!$I232), AND('ProductSprint Backlog'!$J232=F$2,'ProductSprint Backlog'!$I232=F$2), 'ProductSprint Backlog'!$F232, TRUE, 0)</f>
        <v>0.14285714285714285</v>
      </c>
      <c r="G232" s="4" cm="1">
        <f t="array" ref="G232">_xlfn.IFS('ProductSprint Backlog'!$F232="", "", AND('ProductSprint Backlog'!$J232&gt;G$2,'ProductSprint Backlog'!$I232&lt;=G$2), 'ProductSprint Backlog'!$F232 / MAX(1, 'ProductSprint Backlog'!$J232-'ProductSprint Backlog'!$I232), AND('ProductSprint Backlog'!$J232=G$2,'ProductSprint Backlog'!$I232=G$2), 'ProductSprint Backlog'!$F232, TRUE, 0)</f>
        <v>0.14285714285714285</v>
      </c>
      <c r="H232" s="4" cm="1">
        <f t="array" ref="H232">_xlfn.IFS('ProductSprint Backlog'!$F232="", "", AND('ProductSprint Backlog'!$J232&gt;H$2,'ProductSprint Backlog'!$I232&lt;=H$2), 'ProductSprint Backlog'!$F232 / MAX(1, 'ProductSprint Backlog'!$J232-'ProductSprint Backlog'!$I232), AND('ProductSprint Backlog'!$J232=H$2,'ProductSprint Backlog'!$I232=H$2), 'ProductSprint Backlog'!$F232, TRUE, 0)</f>
        <v>0.14285714285714285</v>
      </c>
      <c r="I232" s="4" cm="1">
        <f t="array" ref="I232">_xlfn.IFS('ProductSprint Backlog'!$F232="", "", AND('ProductSprint Backlog'!$J232&gt;I$2,'ProductSprint Backlog'!$I232&lt;=I$2), 'ProductSprint Backlog'!$F232 / MAX(1, 'ProductSprint Backlog'!$J232-'ProductSprint Backlog'!$I232), AND('ProductSprint Backlog'!$J232=I$2,'ProductSprint Backlog'!$I232=I$2), 'ProductSprint Backlog'!$F232, TRUE, 0)</f>
        <v>0</v>
      </c>
      <c r="J232" s="4" cm="1">
        <f t="array" ref="J232">_xlfn.IFS('ProductSprint Backlog'!$F232="", "", AND('ProductSprint Backlog'!$J232&gt;J$2,'ProductSprint Backlog'!$I232&lt;=J$2), 'ProductSprint Backlog'!$F232 / MAX(1, 'ProductSprint Backlog'!$J232-'ProductSprint Backlog'!$I232), AND('ProductSprint Backlog'!$J232=J$2,'ProductSprint Backlog'!$I232=J$2), 'ProductSprint Backlog'!$F232, TRUE, 0)</f>
        <v>0</v>
      </c>
      <c r="K232" s="4" cm="1">
        <f t="array" ref="K232">_xlfn.IFS('ProductSprint Backlog'!$F232="", "", AND('ProductSprint Backlog'!$J232&gt;K$2,'ProductSprint Backlog'!$I232&lt;=K$2), 'ProductSprint Backlog'!$F232 / MAX(1, 'ProductSprint Backlog'!$J232-'ProductSprint Backlog'!$I232), AND('ProductSprint Backlog'!$J232=K$2,'ProductSprint Backlog'!$I232=K$2), 'ProductSprint Backlog'!$F232, TRUE, 0)</f>
        <v>0</v>
      </c>
      <c r="L232" s="4" cm="1">
        <f t="array" ref="L232">_xlfn.IFS('ProductSprint Backlog'!$F232="", "", AND('ProductSprint Backlog'!$J232&gt;L$2,'ProductSprint Backlog'!$I232&lt;=L$2), 'ProductSprint Backlog'!$F232 / MAX(1, 'ProductSprint Backlog'!$J232-'ProductSprint Backlog'!$I232), AND('ProductSprint Backlog'!$J232=L$2,'ProductSprint Backlog'!$I232=L$2), 'ProductSprint Backlog'!$F232, TRUE, 0)</f>
        <v>0</v>
      </c>
      <c r="M232" s="4" cm="1">
        <f t="array" ref="M232">_xlfn.IFS('ProductSprint Backlog'!$F232="", "", AND('ProductSprint Backlog'!$J232&gt;M$2,'ProductSprint Backlog'!$I232&lt;=M$2), 'ProductSprint Backlog'!$F232 / MAX(1, 'ProductSprint Backlog'!$J232-'ProductSprint Backlog'!$I232), AND('ProductSprint Backlog'!$J232=M$2,'ProductSprint Backlog'!$I232=M$2), 'ProductSprint Backlog'!$F232, TRUE, 0)</f>
        <v>0</v>
      </c>
      <c r="N232" s="4" cm="1">
        <f t="array" ref="N232">_xlfn.IFS('ProductSprint Backlog'!$F232="", "", AND('ProductSprint Backlog'!$J232&gt;N$2,'ProductSprint Backlog'!$I232&lt;=N$2), 'ProductSprint Backlog'!$F232 / MAX(1, 'ProductSprint Backlog'!$J232-'ProductSprint Backlog'!$I232), AND('ProductSprint Backlog'!$J232=N$2,'ProductSprint Backlog'!$I232=N$2), 'ProductSprint Backlog'!$F232, TRUE, 0)</f>
        <v>0</v>
      </c>
      <c r="O232" s="4" cm="1">
        <f t="array" ref="O232">_xlfn.IFS('ProductSprint Backlog'!$F232="", "", AND('ProductSprint Backlog'!$J232&gt;O$2,'ProductSprint Backlog'!$I232&lt;=O$2), 'ProductSprint Backlog'!$F232 / MAX(1, 'ProductSprint Backlog'!$J232-'ProductSprint Backlog'!$I232), AND('ProductSprint Backlog'!$J232=O$2,'ProductSprint Backlog'!$I232=O$2), 'ProductSprint Backlog'!$F232, TRUE, 0)</f>
        <v>0</v>
      </c>
      <c r="P232" s="4" cm="1">
        <f t="array" ref="P232">_xlfn.IFS('ProductSprint Backlog'!$F232="", "", AND('ProductSprint Backlog'!$J232&gt;P$2,'ProductSprint Backlog'!$I232&lt;=P$2), 'ProductSprint Backlog'!$F232 / MAX(1, 'ProductSprint Backlog'!$J232-'ProductSprint Backlog'!$I232), AND('ProductSprint Backlog'!$J232=P$2,'ProductSprint Backlog'!$I232=P$2), 'ProductSprint Backlog'!$F232, TRUE, 0)</f>
        <v>0</v>
      </c>
      <c r="Q232" s="4" cm="1">
        <f t="array" ref="Q232">_xlfn.IFS('ProductSprint Backlog'!$F232="", "", AND('ProductSprint Backlog'!$J232&gt;Q$2,'ProductSprint Backlog'!$I232&lt;=Q$2), 'ProductSprint Backlog'!$F232 / MAX(1, 'ProductSprint Backlog'!$J232-'ProductSprint Backlog'!$I232), AND('ProductSprint Backlog'!$J232=Q$2,'ProductSprint Backlog'!$I232=Q$2), 'ProductSprint Backlog'!$F232, TRUE, 0)</f>
        <v>0</v>
      </c>
    </row>
    <row r="233" spans="2:17" x14ac:dyDescent="0.2">
      <c r="B233" s="4" cm="1">
        <f t="array" ref="B233">_xlfn.IFS('ProductSprint Backlog'!$F233="", "", AND('ProductSprint Backlog'!$J233&gt;B$2,'ProductSprint Backlog'!$I233&lt;=B$2), 'ProductSprint Backlog'!$F233 / MAX(1, 'ProductSprint Backlog'!$J233-'ProductSprint Backlog'!$I233), AND('ProductSprint Backlog'!$J233=B$2,'ProductSprint Backlog'!$I233=B$2), 'ProductSprint Backlog'!$F233, TRUE, 0)</f>
        <v>0.14285714285714285</v>
      </c>
      <c r="C233" s="4" cm="1">
        <f t="array" ref="C233">_xlfn.IFS('ProductSprint Backlog'!$F233="", "", AND('ProductSprint Backlog'!$J233&gt;C$2,'ProductSprint Backlog'!$I233&lt;=C$2), 'ProductSprint Backlog'!$F233 / MAX(1, 'ProductSprint Backlog'!$J233-'ProductSprint Backlog'!$I233), AND('ProductSprint Backlog'!$J233=C$2,'ProductSprint Backlog'!$I233=C$2), 'ProductSprint Backlog'!$F233, TRUE, 0)</f>
        <v>0.14285714285714285</v>
      </c>
      <c r="D233" s="4" cm="1">
        <f t="array" ref="D233">_xlfn.IFS('ProductSprint Backlog'!$F233="", "", AND('ProductSprint Backlog'!$J233&gt;D$2,'ProductSprint Backlog'!$I233&lt;=D$2), 'ProductSprint Backlog'!$F233 / MAX(1, 'ProductSprint Backlog'!$J233-'ProductSprint Backlog'!$I233), AND('ProductSprint Backlog'!$J233=D$2,'ProductSprint Backlog'!$I233=D$2), 'ProductSprint Backlog'!$F233, TRUE, 0)</f>
        <v>0.14285714285714285</v>
      </c>
      <c r="E233" s="4" cm="1">
        <f t="array" ref="E233">_xlfn.IFS('ProductSprint Backlog'!$F233="", "", AND('ProductSprint Backlog'!$J233&gt;E$2,'ProductSprint Backlog'!$I233&lt;=E$2), 'ProductSprint Backlog'!$F233 / MAX(1, 'ProductSprint Backlog'!$J233-'ProductSprint Backlog'!$I233), AND('ProductSprint Backlog'!$J233=E$2,'ProductSprint Backlog'!$I233=E$2), 'ProductSprint Backlog'!$F233, TRUE, 0)</f>
        <v>0.14285714285714285</v>
      </c>
      <c r="F233" s="4" cm="1">
        <f t="array" ref="F233">_xlfn.IFS('ProductSprint Backlog'!$F233="", "", AND('ProductSprint Backlog'!$J233&gt;F$2,'ProductSprint Backlog'!$I233&lt;=F$2), 'ProductSprint Backlog'!$F233 / MAX(1, 'ProductSprint Backlog'!$J233-'ProductSprint Backlog'!$I233), AND('ProductSprint Backlog'!$J233=F$2,'ProductSprint Backlog'!$I233=F$2), 'ProductSprint Backlog'!$F233, TRUE, 0)</f>
        <v>0.14285714285714285</v>
      </c>
      <c r="G233" s="4" cm="1">
        <f t="array" ref="G233">_xlfn.IFS('ProductSprint Backlog'!$F233="", "", AND('ProductSprint Backlog'!$J233&gt;G$2,'ProductSprint Backlog'!$I233&lt;=G$2), 'ProductSprint Backlog'!$F233 / MAX(1, 'ProductSprint Backlog'!$J233-'ProductSprint Backlog'!$I233), AND('ProductSprint Backlog'!$J233=G$2,'ProductSprint Backlog'!$I233=G$2), 'ProductSprint Backlog'!$F233, TRUE, 0)</f>
        <v>0.14285714285714285</v>
      </c>
      <c r="H233" s="4" cm="1">
        <f t="array" ref="H233">_xlfn.IFS('ProductSprint Backlog'!$F233="", "", AND('ProductSprint Backlog'!$J233&gt;H$2,'ProductSprint Backlog'!$I233&lt;=H$2), 'ProductSprint Backlog'!$F233 / MAX(1, 'ProductSprint Backlog'!$J233-'ProductSprint Backlog'!$I233), AND('ProductSprint Backlog'!$J233=H$2,'ProductSprint Backlog'!$I233=H$2), 'ProductSprint Backlog'!$F233, TRUE, 0)</f>
        <v>0.14285714285714285</v>
      </c>
      <c r="I233" s="4" cm="1">
        <f t="array" ref="I233">_xlfn.IFS('ProductSprint Backlog'!$F233="", "", AND('ProductSprint Backlog'!$J233&gt;I$2,'ProductSprint Backlog'!$I233&lt;=I$2), 'ProductSprint Backlog'!$F233 / MAX(1, 'ProductSprint Backlog'!$J233-'ProductSprint Backlog'!$I233), AND('ProductSprint Backlog'!$J233=I$2,'ProductSprint Backlog'!$I233=I$2), 'ProductSprint Backlog'!$F233, TRUE, 0)</f>
        <v>0</v>
      </c>
      <c r="J233" s="4" cm="1">
        <f t="array" ref="J233">_xlfn.IFS('ProductSprint Backlog'!$F233="", "", AND('ProductSprint Backlog'!$J233&gt;J$2,'ProductSprint Backlog'!$I233&lt;=J$2), 'ProductSprint Backlog'!$F233 / MAX(1, 'ProductSprint Backlog'!$J233-'ProductSprint Backlog'!$I233), AND('ProductSprint Backlog'!$J233=J$2,'ProductSprint Backlog'!$I233=J$2), 'ProductSprint Backlog'!$F233, TRUE, 0)</f>
        <v>0</v>
      </c>
      <c r="K233" s="4" cm="1">
        <f t="array" ref="K233">_xlfn.IFS('ProductSprint Backlog'!$F233="", "", AND('ProductSprint Backlog'!$J233&gt;K$2,'ProductSprint Backlog'!$I233&lt;=K$2), 'ProductSprint Backlog'!$F233 / MAX(1, 'ProductSprint Backlog'!$J233-'ProductSprint Backlog'!$I233), AND('ProductSprint Backlog'!$J233=K$2,'ProductSprint Backlog'!$I233=K$2), 'ProductSprint Backlog'!$F233, TRUE, 0)</f>
        <v>0</v>
      </c>
      <c r="L233" s="4" cm="1">
        <f t="array" ref="L233">_xlfn.IFS('ProductSprint Backlog'!$F233="", "", AND('ProductSprint Backlog'!$J233&gt;L$2,'ProductSprint Backlog'!$I233&lt;=L$2), 'ProductSprint Backlog'!$F233 / MAX(1, 'ProductSprint Backlog'!$J233-'ProductSprint Backlog'!$I233), AND('ProductSprint Backlog'!$J233=L$2,'ProductSprint Backlog'!$I233=L$2), 'ProductSprint Backlog'!$F233, TRUE, 0)</f>
        <v>0</v>
      </c>
      <c r="M233" s="4" cm="1">
        <f t="array" ref="M233">_xlfn.IFS('ProductSprint Backlog'!$F233="", "", AND('ProductSprint Backlog'!$J233&gt;M$2,'ProductSprint Backlog'!$I233&lt;=M$2), 'ProductSprint Backlog'!$F233 / MAX(1, 'ProductSprint Backlog'!$J233-'ProductSprint Backlog'!$I233), AND('ProductSprint Backlog'!$J233=M$2,'ProductSprint Backlog'!$I233=M$2), 'ProductSprint Backlog'!$F233, TRUE, 0)</f>
        <v>0</v>
      </c>
      <c r="N233" s="4" cm="1">
        <f t="array" ref="N233">_xlfn.IFS('ProductSprint Backlog'!$F233="", "", AND('ProductSprint Backlog'!$J233&gt;N$2,'ProductSprint Backlog'!$I233&lt;=N$2), 'ProductSprint Backlog'!$F233 / MAX(1, 'ProductSprint Backlog'!$J233-'ProductSprint Backlog'!$I233), AND('ProductSprint Backlog'!$J233=N$2,'ProductSprint Backlog'!$I233=N$2), 'ProductSprint Backlog'!$F233, TRUE, 0)</f>
        <v>0</v>
      </c>
      <c r="O233" s="4" cm="1">
        <f t="array" ref="O233">_xlfn.IFS('ProductSprint Backlog'!$F233="", "", AND('ProductSprint Backlog'!$J233&gt;O$2,'ProductSprint Backlog'!$I233&lt;=O$2), 'ProductSprint Backlog'!$F233 / MAX(1, 'ProductSprint Backlog'!$J233-'ProductSprint Backlog'!$I233), AND('ProductSprint Backlog'!$J233=O$2,'ProductSprint Backlog'!$I233=O$2), 'ProductSprint Backlog'!$F233, TRUE, 0)</f>
        <v>0</v>
      </c>
      <c r="P233" s="4" cm="1">
        <f t="array" ref="P233">_xlfn.IFS('ProductSprint Backlog'!$F233="", "", AND('ProductSprint Backlog'!$J233&gt;P$2,'ProductSprint Backlog'!$I233&lt;=P$2), 'ProductSprint Backlog'!$F233 / MAX(1, 'ProductSprint Backlog'!$J233-'ProductSprint Backlog'!$I233), AND('ProductSprint Backlog'!$J233=P$2,'ProductSprint Backlog'!$I233=P$2), 'ProductSprint Backlog'!$F233, TRUE, 0)</f>
        <v>0</v>
      </c>
      <c r="Q233" s="4" cm="1">
        <f t="array" ref="Q233">_xlfn.IFS('ProductSprint Backlog'!$F233="", "", AND('ProductSprint Backlog'!$J233&gt;Q$2,'ProductSprint Backlog'!$I233&lt;=Q$2), 'ProductSprint Backlog'!$F233 / MAX(1, 'ProductSprint Backlog'!$J233-'ProductSprint Backlog'!$I233), AND('ProductSprint Backlog'!$J233=Q$2,'ProductSprint Backlog'!$I233=Q$2), 'ProductSprint Backlog'!$F233, TRUE, 0)</f>
        <v>0</v>
      </c>
    </row>
    <row r="234" spans="2:17" x14ac:dyDescent="0.2">
      <c r="B234" s="4" cm="1">
        <f t="array" ref="B234">_xlfn.IFS('ProductSprint Backlog'!$F234="", "", AND('ProductSprint Backlog'!$J234&gt;B$2,'ProductSprint Backlog'!$I234&lt;=B$2), 'ProductSprint Backlog'!$F234 / MAX(1, 'ProductSprint Backlog'!$J234-'ProductSprint Backlog'!$I234), AND('ProductSprint Backlog'!$J234=B$2,'ProductSprint Backlog'!$I234=B$2), 'ProductSprint Backlog'!$F234, TRUE, 0)</f>
        <v>0.14285714285714285</v>
      </c>
      <c r="C234" s="4" cm="1">
        <f t="array" ref="C234">_xlfn.IFS('ProductSprint Backlog'!$F234="", "", AND('ProductSprint Backlog'!$J234&gt;C$2,'ProductSprint Backlog'!$I234&lt;=C$2), 'ProductSprint Backlog'!$F234 / MAX(1, 'ProductSprint Backlog'!$J234-'ProductSprint Backlog'!$I234), AND('ProductSprint Backlog'!$J234=C$2,'ProductSprint Backlog'!$I234=C$2), 'ProductSprint Backlog'!$F234, TRUE, 0)</f>
        <v>0.14285714285714285</v>
      </c>
      <c r="D234" s="4" cm="1">
        <f t="array" ref="D234">_xlfn.IFS('ProductSprint Backlog'!$F234="", "", AND('ProductSprint Backlog'!$J234&gt;D$2,'ProductSprint Backlog'!$I234&lt;=D$2), 'ProductSprint Backlog'!$F234 / MAX(1, 'ProductSprint Backlog'!$J234-'ProductSprint Backlog'!$I234), AND('ProductSprint Backlog'!$J234=D$2,'ProductSprint Backlog'!$I234=D$2), 'ProductSprint Backlog'!$F234, TRUE, 0)</f>
        <v>0.14285714285714285</v>
      </c>
      <c r="E234" s="4" cm="1">
        <f t="array" ref="E234">_xlfn.IFS('ProductSprint Backlog'!$F234="", "", AND('ProductSprint Backlog'!$J234&gt;E$2,'ProductSprint Backlog'!$I234&lt;=E$2), 'ProductSprint Backlog'!$F234 / MAX(1, 'ProductSprint Backlog'!$J234-'ProductSprint Backlog'!$I234), AND('ProductSprint Backlog'!$J234=E$2,'ProductSprint Backlog'!$I234=E$2), 'ProductSprint Backlog'!$F234, TRUE, 0)</f>
        <v>0.14285714285714285</v>
      </c>
      <c r="F234" s="4" cm="1">
        <f t="array" ref="F234">_xlfn.IFS('ProductSprint Backlog'!$F234="", "", AND('ProductSprint Backlog'!$J234&gt;F$2,'ProductSprint Backlog'!$I234&lt;=F$2), 'ProductSprint Backlog'!$F234 / MAX(1, 'ProductSprint Backlog'!$J234-'ProductSprint Backlog'!$I234), AND('ProductSprint Backlog'!$J234=F$2,'ProductSprint Backlog'!$I234=F$2), 'ProductSprint Backlog'!$F234, TRUE, 0)</f>
        <v>0.14285714285714285</v>
      </c>
      <c r="G234" s="4" cm="1">
        <f t="array" ref="G234">_xlfn.IFS('ProductSprint Backlog'!$F234="", "", AND('ProductSprint Backlog'!$J234&gt;G$2,'ProductSprint Backlog'!$I234&lt;=G$2), 'ProductSprint Backlog'!$F234 / MAX(1, 'ProductSprint Backlog'!$J234-'ProductSprint Backlog'!$I234), AND('ProductSprint Backlog'!$J234=G$2,'ProductSprint Backlog'!$I234=G$2), 'ProductSprint Backlog'!$F234, TRUE, 0)</f>
        <v>0.14285714285714285</v>
      </c>
      <c r="H234" s="4" cm="1">
        <f t="array" ref="H234">_xlfn.IFS('ProductSprint Backlog'!$F234="", "", AND('ProductSprint Backlog'!$J234&gt;H$2,'ProductSprint Backlog'!$I234&lt;=H$2), 'ProductSprint Backlog'!$F234 / MAX(1, 'ProductSprint Backlog'!$J234-'ProductSprint Backlog'!$I234), AND('ProductSprint Backlog'!$J234=H$2,'ProductSprint Backlog'!$I234=H$2), 'ProductSprint Backlog'!$F234, TRUE, 0)</f>
        <v>0.14285714285714285</v>
      </c>
      <c r="I234" s="4" cm="1">
        <f t="array" ref="I234">_xlfn.IFS('ProductSprint Backlog'!$F234="", "", AND('ProductSprint Backlog'!$J234&gt;I$2,'ProductSprint Backlog'!$I234&lt;=I$2), 'ProductSprint Backlog'!$F234 / MAX(1, 'ProductSprint Backlog'!$J234-'ProductSprint Backlog'!$I234), AND('ProductSprint Backlog'!$J234=I$2,'ProductSprint Backlog'!$I234=I$2), 'ProductSprint Backlog'!$F234, TRUE, 0)</f>
        <v>0</v>
      </c>
      <c r="J234" s="4" cm="1">
        <f t="array" ref="J234">_xlfn.IFS('ProductSprint Backlog'!$F234="", "", AND('ProductSprint Backlog'!$J234&gt;J$2,'ProductSprint Backlog'!$I234&lt;=J$2), 'ProductSprint Backlog'!$F234 / MAX(1, 'ProductSprint Backlog'!$J234-'ProductSprint Backlog'!$I234), AND('ProductSprint Backlog'!$J234=J$2,'ProductSprint Backlog'!$I234=J$2), 'ProductSprint Backlog'!$F234, TRUE, 0)</f>
        <v>0</v>
      </c>
      <c r="K234" s="4" cm="1">
        <f t="array" ref="K234">_xlfn.IFS('ProductSprint Backlog'!$F234="", "", AND('ProductSprint Backlog'!$J234&gt;K$2,'ProductSprint Backlog'!$I234&lt;=K$2), 'ProductSprint Backlog'!$F234 / MAX(1, 'ProductSprint Backlog'!$J234-'ProductSprint Backlog'!$I234), AND('ProductSprint Backlog'!$J234=K$2,'ProductSprint Backlog'!$I234=K$2), 'ProductSprint Backlog'!$F234, TRUE, 0)</f>
        <v>0</v>
      </c>
      <c r="L234" s="4" cm="1">
        <f t="array" ref="L234">_xlfn.IFS('ProductSprint Backlog'!$F234="", "", AND('ProductSprint Backlog'!$J234&gt;L$2,'ProductSprint Backlog'!$I234&lt;=L$2), 'ProductSprint Backlog'!$F234 / MAX(1, 'ProductSprint Backlog'!$J234-'ProductSprint Backlog'!$I234), AND('ProductSprint Backlog'!$J234=L$2,'ProductSprint Backlog'!$I234=L$2), 'ProductSprint Backlog'!$F234, TRUE, 0)</f>
        <v>0</v>
      </c>
      <c r="M234" s="4" cm="1">
        <f t="array" ref="M234">_xlfn.IFS('ProductSprint Backlog'!$F234="", "", AND('ProductSprint Backlog'!$J234&gt;M$2,'ProductSprint Backlog'!$I234&lt;=M$2), 'ProductSprint Backlog'!$F234 / MAX(1, 'ProductSprint Backlog'!$J234-'ProductSprint Backlog'!$I234), AND('ProductSprint Backlog'!$J234=M$2,'ProductSprint Backlog'!$I234=M$2), 'ProductSprint Backlog'!$F234, TRUE, 0)</f>
        <v>0</v>
      </c>
      <c r="N234" s="4" cm="1">
        <f t="array" ref="N234">_xlfn.IFS('ProductSprint Backlog'!$F234="", "", AND('ProductSprint Backlog'!$J234&gt;N$2,'ProductSprint Backlog'!$I234&lt;=N$2), 'ProductSprint Backlog'!$F234 / MAX(1, 'ProductSprint Backlog'!$J234-'ProductSprint Backlog'!$I234), AND('ProductSprint Backlog'!$J234=N$2,'ProductSprint Backlog'!$I234=N$2), 'ProductSprint Backlog'!$F234, TRUE, 0)</f>
        <v>0</v>
      </c>
      <c r="O234" s="4" cm="1">
        <f t="array" ref="O234">_xlfn.IFS('ProductSprint Backlog'!$F234="", "", AND('ProductSprint Backlog'!$J234&gt;O$2,'ProductSprint Backlog'!$I234&lt;=O$2), 'ProductSprint Backlog'!$F234 / MAX(1, 'ProductSprint Backlog'!$J234-'ProductSprint Backlog'!$I234), AND('ProductSprint Backlog'!$J234=O$2,'ProductSprint Backlog'!$I234=O$2), 'ProductSprint Backlog'!$F234, TRUE, 0)</f>
        <v>0</v>
      </c>
      <c r="P234" s="4" cm="1">
        <f t="array" ref="P234">_xlfn.IFS('ProductSprint Backlog'!$F234="", "", AND('ProductSprint Backlog'!$J234&gt;P$2,'ProductSprint Backlog'!$I234&lt;=P$2), 'ProductSprint Backlog'!$F234 / MAX(1, 'ProductSprint Backlog'!$J234-'ProductSprint Backlog'!$I234), AND('ProductSprint Backlog'!$J234=P$2,'ProductSprint Backlog'!$I234=P$2), 'ProductSprint Backlog'!$F234, TRUE, 0)</f>
        <v>0</v>
      </c>
      <c r="Q234" s="4" cm="1">
        <f t="array" ref="Q234">_xlfn.IFS('ProductSprint Backlog'!$F234="", "", AND('ProductSprint Backlog'!$J234&gt;Q$2,'ProductSprint Backlog'!$I234&lt;=Q$2), 'ProductSprint Backlog'!$F234 / MAX(1, 'ProductSprint Backlog'!$J234-'ProductSprint Backlog'!$I234), AND('ProductSprint Backlog'!$J234=Q$2,'ProductSprint Backlog'!$I234=Q$2), 'ProductSprint Backlog'!$F234, TRUE, 0)</f>
        <v>0</v>
      </c>
    </row>
    <row r="235" spans="2:17" x14ac:dyDescent="0.2">
      <c r="B235" s="4" cm="1">
        <f t="array" ref="B235">_xlfn.IFS('ProductSprint Backlog'!$F235="", "", AND('ProductSprint Backlog'!$J235&gt;B$2,'ProductSprint Backlog'!$I235&lt;=B$2), 'ProductSprint Backlog'!$F235 / MAX(1, 'ProductSprint Backlog'!$J235-'ProductSprint Backlog'!$I235), AND('ProductSprint Backlog'!$J235=B$2,'ProductSprint Backlog'!$I235=B$2), 'ProductSprint Backlog'!$F235, TRUE, 0)</f>
        <v>0</v>
      </c>
      <c r="C235" s="4" cm="1">
        <f t="array" ref="C235">_xlfn.IFS('ProductSprint Backlog'!$F235="", "", AND('ProductSprint Backlog'!$J235&gt;C$2,'ProductSprint Backlog'!$I235&lt;=C$2), 'ProductSprint Backlog'!$F235 / MAX(1, 'ProductSprint Backlog'!$J235-'ProductSprint Backlog'!$I235), AND('ProductSprint Backlog'!$J235=C$2,'ProductSprint Backlog'!$I235=C$2), 'ProductSprint Backlog'!$F235, TRUE, 0)</f>
        <v>0</v>
      </c>
      <c r="D235" s="4" cm="1">
        <f t="array" ref="D235">_xlfn.IFS('ProductSprint Backlog'!$F235="", "", AND('ProductSprint Backlog'!$J235&gt;D$2,'ProductSprint Backlog'!$I235&lt;=D$2), 'ProductSprint Backlog'!$F235 / MAX(1, 'ProductSprint Backlog'!$J235-'ProductSprint Backlog'!$I235), AND('ProductSprint Backlog'!$J235=D$2,'ProductSprint Backlog'!$I235=D$2), 'ProductSprint Backlog'!$F235, TRUE, 0)</f>
        <v>0</v>
      </c>
      <c r="E235" s="4" cm="1">
        <f t="array" ref="E235">_xlfn.IFS('ProductSprint Backlog'!$F235="", "", AND('ProductSprint Backlog'!$J235&gt;E$2,'ProductSprint Backlog'!$I235&lt;=E$2), 'ProductSprint Backlog'!$F235 / MAX(1, 'ProductSprint Backlog'!$J235-'ProductSprint Backlog'!$I235), AND('ProductSprint Backlog'!$J235=E$2,'ProductSprint Backlog'!$I235=E$2), 'ProductSprint Backlog'!$F235, TRUE, 0)</f>
        <v>0</v>
      </c>
      <c r="F235" s="4" cm="1">
        <f t="array" ref="F235">_xlfn.IFS('ProductSprint Backlog'!$F235="", "", AND('ProductSprint Backlog'!$J235&gt;F$2,'ProductSprint Backlog'!$I235&lt;=F$2), 'ProductSprint Backlog'!$F235 / MAX(1, 'ProductSprint Backlog'!$J235-'ProductSprint Backlog'!$I235), AND('ProductSprint Backlog'!$J235=F$2,'ProductSprint Backlog'!$I235=F$2), 'ProductSprint Backlog'!$F235, TRUE, 0)</f>
        <v>0</v>
      </c>
      <c r="G235" s="4" cm="1">
        <f t="array" ref="G235">_xlfn.IFS('ProductSprint Backlog'!$F235="", "", AND('ProductSprint Backlog'!$J235&gt;G$2,'ProductSprint Backlog'!$I235&lt;=G$2), 'ProductSprint Backlog'!$F235 / MAX(1, 'ProductSprint Backlog'!$J235-'ProductSprint Backlog'!$I235), AND('ProductSprint Backlog'!$J235=G$2,'ProductSprint Backlog'!$I235=G$2), 'ProductSprint Backlog'!$F235, TRUE, 0)</f>
        <v>0</v>
      </c>
      <c r="H235" s="4" cm="1">
        <f t="array" ref="H235">_xlfn.IFS('ProductSprint Backlog'!$F235="", "", AND('ProductSprint Backlog'!$J235&gt;H$2,'ProductSprint Backlog'!$I235&lt;=H$2), 'ProductSprint Backlog'!$F235 / MAX(1, 'ProductSprint Backlog'!$J235-'ProductSprint Backlog'!$I235), AND('ProductSprint Backlog'!$J235=H$2,'ProductSprint Backlog'!$I235=H$2), 'ProductSprint Backlog'!$F235, TRUE, 0)</f>
        <v>0</v>
      </c>
      <c r="I235" s="4" cm="1">
        <f t="array" ref="I235">_xlfn.IFS('ProductSprint Backlog'!$F235="", "", AND('ProductSprint Backlog'!$J235&gt;I$2,'ProductSprint Backlog'!$I235&lt;=I$2), 'ProductSprint Backlog'!$F235 / MAX(1, 'ProductSprint Backlog'!$J235-'ProductSprint Backlog'!$I235), AND('ProductSprint Backlog'!$J235=I$2,'ProductSprint Backlog'!$I235=I$2), 'ProductSprint Backlog'!$F235, TRUE, 0)</f>
        <v>0</v>
      </c>
      <c r="J235" s="4" cm="1">
        <f t="array" ref="J235">_xlfn.IFS('ProductSprint Backlog'!$F235="", "", AND('ProductSprint Backlog'!$J235&gt;J$2,'ProductSprint Backlog'!$I235&lt;=J$2), 'ProductSprint Backlog'!$F235 / MAX(1, 'ProductSprint Backlog'!$J235-'ProductSprint Backlog'!$I235), AND('ProductSprint Backlog'!$J235=J$2,'ProductSprint Backlog'!$I235=J$2), 'ProductSprint Backlog'!$F235, TRUE, 0)</f>
        <v>0.14285714285714285</v>
      </c>
      <c r="K235" s="4" cm="1">
        <f t="array" ref="K235">_xlfn.IFS('ProductSprint Backlog'!$F235="", "", AND('ProductSprint Backlog'!$J235&gt;K$2,'ProductSprint Backlog'!$I235&lt;=K$2), 'ProductSprint Backlog'!$F235 / MAX(1, 'ProductSprint Backlog'!$J235-'ProductSprint Backlog'!$I235), AND('ProductSprint Backlog'!$J235=K$2,'ProductSprint Backlog'!$I235=K$2), 'ProductSprint Backlog'!$F235, TRUE, 0)</f>
        <v>0.14285714285714285</v>
      </c>
      <c r="L235" s="4" cm="1">
        <f t="array" ref="L235">_xlfn.IFS('ProductSprint Backlog'!$F235="", "", AND('ProductSprint Backlog'!$J235&gt;L$2,'ProductSprint Backlog'!$I235&lt;=L$2), 'ProductSprint Backlog'!$F235 / MAX(1, 'ProductSprint Backlog'!$J235-'ProductSprint Backlog'!$I235), AND('ProductSprint Backlog'!$J235=L$2,'ProductSprint Backlog'!$I235=L$2), 'ProductSprint Backlog'!$F235, TRUE, 0)</f>
        <v>0.14285714285714285</v>
      </c>
      <c r="M235" s="4" cm="1">
        <f t="array" ref="M235">_xlfn.IFS('ProductSprint Backlog'!$F235="", "", AND('ProductSprint Backlog'!$J235&gt;M$2,'ProductSprint Backlog'!$I235&lt;=M$2), 'ProductSprint Backlog'!$F235 / MAX(1, 'ProductSprint Backlog'!$J235-'ProductSprint Backlog'!$I235), AND('ProductSprint Backlog'!$J235=M$2,'ProductSprint Backlog'!$I235=M$2), 'ProductSprint Backlog'!$F235, TRUE, 0)</f>
        <v>0.14285714285714285</v>
      </c>
      <c r="N235" s="4" cm="1">
        <f t="array" ref="N235">_xlfn.IFS('ProductSprint Backlog'!$F235="", "", AND('ProductSprint Backlog'!$J235&gt;N$2,'ProductSprint Backlog'!$I235&lt;=N$2), 'ProductSprint Backlog'!$F235 / MAX(1, 'ProductSprint Backlog'!$J235-'ProductSprint Backlog'!$I235), AND('ProductSprint Backlog'!$J235=N$2,'ProductSprint Backlog'!$I235=N$2), 'ProductSprint Backlog'!$F235, TRUE, 0)</f>
        <v>0.14285714285714285</v>
      </c>
      <c r="O235" s="4" cm="1">
        <f t="array" ref="O235">_xlfn.IFS('ProductSprint Backlog'!$F235="", "", AND('ProductSprint Backlog'!$J235&gt;O$2,'ProductSprint Backlog'!$I235&lt;=O$2), 'ProductSprint Backlog'!$F235 / MAX(1, 'ProductSprint Backlog'!$J235-'ProductSprint Backlog'!$I235), AND('ProductSprint Backlog'!$J235=O$2,'ProductSprint Backlog'!$I235=O$2), 'ProductSprint Backlog'!$F235, TRUE, 0)</f>
        <v>0.14285714285714285</v>
      </c>
      <c r="P235" s="4" cm="1">
        <f t="array" ref="P235">_xlfn.IFS('ProductSprint Backlog'!$F235="", "", AND('ProductSprint Backlog'!$J235&gt;P$2,'ProductSprint Backlog'!$I235&lt;=P$2), 'ProductSprint Backlog'!$F235 / MAX(1, 'ProductSprint Backlog'!$J235-'ProductSprint Backlog'!$I235), AND('ProductSprint Backlog'!$J235=P$2,'ProductSprint Backlog'!$I235=P$2), 'ProductSprint Backlog'!$F235, TRUE, 0)</f>
        <v>0.14285714285714285</v>
      </c>
      <c r="Q235" s="4" cm="1">
        <f t="array" ref="Q235">_xlfn.IFS('ProductSprint Backlog'!$F235="", "", AND('ProductSprint Backlog'!$J235&gt;Q$2,'ProductSprint Backlog'!$I235&lt;=Q$2), 'ProductSprint Backlog'!$F235 / MAX(1, 'ProductSprint Backlog'!$J235-'ProductSprint Backlog'!$I235), AND('ProductSprint Backlog'!$J235=Q$2,'ProductSprint Backlog'!$I235=Q$2), 'ProductSprint Backlog'!$F235, TRUE, 0)</f>
        <v>0</v>
      </c>
    </row>
    <row r="236" spans="2:17" x14ac:dyDescent="0.2">
      <c r="B236" s="4" cm="1">
        <f t="array" ref="B236">_xlfn.IFS('ProductSprint Backlog'!$F236="", "", AND('ProductSprint Backlog'!$J236&gt;B$2,'ProductSprint Backlog'!$I236&lt;=B$2), 'ProductSprint Backlog'!$F236 / MAX(1, 'ProductSprint Backlog'!$J236-'ProductSprint Backlog'!$I236), AND('ProductSprint Backlog'!$J236=B$2,'ProductSprint Backlog'!$I236=B$2), 'ProductSprint Backlog'!$F236, TRUE, 0)</f>
        <v>0</v>
      </c>
      <c r="C236" s="4" cm="1">
        <f t="array" ref="C236">_xlfn.IFS('ProductSprint Backlog'!$F236="", "", AND('ProductSprint Backlog'!$J236&gt;C$2,'ProductSprint Backlog'!$I236&lt;=C$2), 'ProductSprint Backlog'!$F236 / MAX(1, 'ProductSprint Backlog'!$J236-'ProductSprint Backlog'!$I236), AND('ProductSprint Backlog'!$J236=C$2,'ProductSprint Backlog'!$I236=C$2), 'ProductSprint Backlog'!$F236, TRUE, 0)</f>
        <v>0</v>
      </c>
      <c r="D236" s="4" cm="1">
        <f t="array" ref="D236">_xlfn.IFS('ProductSprint Backlog'!$F236="", "", AND('ProductSprint Backlog'!$J236&gt;D$2,'ProductSprint Backlog'!$I236&lt;=D$2), 'ProductSprint Backlog'!$F236 / MAX(1, 'ProductSprint Backlog'!$J236-'ProductSprint Backlog'!$I236), AND('ProductSprint Backlog'!$J236=D$2,'ProductSprint Backlog'!$I236=D$2), 'ProductSprint Backlog'!$F236, TRUE, 0)</f>
        <v>0</v>
      </c>
      <c r="E236" s="4" cm="1">
        <f t="array" ref="E236">_xlfn.IFS('ProductSprint Backlog'!$F236="", "", AND('ProductSprint Backlog'!$J236&gt;E$2,'ProductSprint Backlog'!$I236&lt;=E$2), 'ProductSprint Backlog'!$F236 / MAX(1, 'ProductSprint Backlog'!$J236-'ProductSprint Backlog'!$I236), AND('ProductSprint Backlog'!$J236=E$2,'ProductSprint Backlog'!$I236=E$2), 'ProductSprint Backlog'!$F236, TRUE, 0)</f>
        <v>0</v>
      </c>
      <c r="F236" s="4" cm="1">
        <f t="array" ref="F236">_xlfn.IFS('ProductSprint Backlog'!$F236="", "", AND('ProductSprint Backlog'!$J236&gt;F$2,'ProductSprint Backlog'!$I236&lt;=F$2), 'ProductSprint Backlog'!$F236 / MAX(1, 'ProductSprint Backlog'!$J236-'ProductSprint Backlog'!$I236), AND('ProductSprint Backlog'!$J236=F$2,'ProductSprint Backlog'!$I236=F$2), 'ProductSprint Backlog'!$F236, TRUE, 0)</f>
        <v>0</v>
      </c>
      <c r="G236" s="4" cm="1">
        <f t="array" ref="G236">_xlfn.IFS('ProductSprint Backlog'!$F236="", "", AND('ProductSprint Backlog'!$J236&gt;G$2,'ProductSprint Backlog'!$I236&lt;=G$2), 'ProductSprint Backlog'!$F236 / MAX(1, 'ProductSprint Backlog'!$J236-'ProductSprint Backlog'!$I236), AND('ProductSprint Backlog'!$J236=G$2,'ProductSprint Backlog'!$I236=G$2), 'ProductSprint Backlog'!$F236, TRUE, 0)</f>
        <v>0</v>
      </c>
      <c r="H236" s="4" cm="1">
        <f t="array" ref="H236">_xlfn.IFS('ProductSprint Backlog'!$F236="", "", AND('ProductSprint Backlog'!$J236&gt;H$2,'ProductSprint Backlog'!$I236&lt;=H$2), 'ProductSprint Backlog'!$F236 / MAX(1, 'ProductSprint Backlog'!$J236-'ProductSprint Backlog'!$I236), AND('ProductSprint Backlog'!$J236=H$2,'ProductSprint Backlog'!$I236=H$2), 'ProductSprint Backlog'!$F236, TRUE, 0)</f>
        <v>0</v>
      </c>
      <c r="I236" s="4" cm="1">
        <f t="array" ref="I236">_xlfn.IFS('ProductSprint Backlog'!$F236="", "", AND('ProductSprint Backlog'!$J236&gt;I$2,'ProductSprint Backlog'!$I236&lt;=I$2), 'ProductSprint Backlog'!$F236 / MAX(1, 'ProductSprint Backlog'!$J236-'ProductSprint Backlog'!$I236), AND('ProductSprint Backlog'!$J236=I$2,'ProductSprint Backlog'!$I236=I$2), 'ProductSprint Backlog'!$F236, TRUE, 0)</f>
        <v>0</v>
      </c>
      <c r="J236" s="4" cm="1">
        <f t="array" ref="J236">_xlfn.IFS('ProductSprint Backlog'!$F236="", "", AND('ProductSprint Backlog'!$J236&gt;J$2,'ProductSprint Backlog'!$I236&lt;=J$2), 'ProductSprint Backlog'!$F236 / MAX(1, 'ProductSprint Backlog'!$J236-'ProductSprint Backlog'!$I236), AND('ProductSprint Backlog'!$J236=J$2,'ProductSprint Backlog'!$I236=J$2), 'ProductSprint Backlog'!$F236, TRUE, 0)</f>
        <v>0.14285714285714285</v>
      </c>
      <c r="K236" s="4" cm="1">
        <f t="array" ref="K236">_xlfn.IFS('ProductSprint Backlog'!$F236="", "", AND('ProductSprint Backlog'!$J236&gt;K$2,'ProductSprint Backlog'!$I236&lt;=K$2), 'ProductSprint Backlog'!$F236 / MAX(1, 'ProductSprint Backlog'!$J236-'ProductSprint Backlog'!$I236), AND('ProductSprint Backlog'!$J236=K$2,'ProductSprint Backlog'!$I236=K$2), 'ProductSprint Backlog'!$F236, TRUE, 0)</f>
        <v>0.14285714285714285</v>
      </c>
      <c r="L236" s="4" cm="1">
        <f t="array" ref="L236">_xlfn.IFS('ProductSprint Backlog'!$F236="", "", AND('ProductSprint Backlog'!$J236&gt;L$2,'ProductSprint Backlog'!$I236&lt;=L$2), 'ProductSprint Backlog'!$F236 / MAX(1, 'ProductSprint Backlog'!$J236-'ProductSprint Backlog'!$I236), AND('ProductSprint Backlog'!$J236=L$2,'ProductSprint Backlog'!$I236=L$2), 'ProductSprint Backlog'!$F236, TRUE, 0)</f>
        <v>0.14285714285714285</v>
      </c>
      <c r="M236" s="4" cm="1">
        <f t="array" ref="M236">_xlfn.IFS('ProductSprint Backlog'!$F236="", "", AND('ProductSprint Backlog'!$J236&gt;M$2,'ProductSprint Backlog'!$I236&lt;=M$2), 'ProductSprint Backlog'!$F236 / MAX(1, 'ProductSprint Backlog'!$J236-'ProductSprint Backlog'!$I236), AND('ProductSprint Backlog'!$J236=M$2,'ProductSprint Backlog'!$I236=M$2), 'ProductSprint Backlog'!$F236, TRUE, 0)</f>
        <v>0.14285714285714285</v>
      </c>
      <c r="N236" s="4" cm="1">
        <f t="array" ref="N236">_xlfn.IFS('ProductSprint Backlog'!$F236="", "", AND('ProductSprint Backlog'!$J236&gt;N$2,'ProductSprint Backlog'!$I236&lt;=N$2), 'ProductSprint Backlog'!$F236 / MAX(1, 'ProductSprint Backlog'!$J236-'ProductSprint Backlog'!$I236), AND('ProductSprint Backlog'!$J236=N$2,'ProductSprint Backlog'!$I236=N$2), 'ProductSprint Backlog'!$F236, TRUE, 0)</f>
        <v>0.14285714285714285</v>
      </c>
      <c r="O236" s="4" cm="1">
        <f t="array" ref="O236">_xlfn.IFS('ProductSprint Backlog'!$F236="", "", AND('ProductSprint Backlog'!$J236&gt;O$2,'ProductSprint Backlog'!$I236&lt;=O$2), 'ProductSprint Backlog'!$F236 / MAX(1, 'ProductSprint Backlog'!$J236-'ProductSprint Backlog'!$I236), AND('ProductSprint Backlog'!$J236=O$2,'ProductSprint Backlog'!$I236=O$2), 'ProductSprint Backlog'!$F236, TRUE, 0)</f>
        <v>0.14285714285714285</v>
      </c>
      <c r="P236" s="4" cm="1">
        <f t="array" ref="P236">_xlfn.IFS('ProductSprint Backlog'!$F236="", "", AND('ProductSprint Backlog'!$J236&gt;P$2,'ProductSprint Backlog'!$I236&lt;=P$2), 'ProductSprint Backlog'!$F236 / MAX(1, 'ProductSprint Backlog'!$J236-'ProductSprint Backlog'!$I236), AND('ProductSprint Backlog'!$J236=P$2,'ProductSprint Backlog'!$I236=P$2), 'ProductSprint Backlog'!$F236, TRUE, 0)</f>
        <v>0.14285714285714285</v>
      </c>
      <c r="Q236" s="4" cm="1">
        <f t="array" ref="Q236">_xlfn.IFS('ProductSprint Backlog'!$F236="", "", AND('ProductSprint Backlog'!$J236&gt;Q$2,'ProductSprint Backlog'!$I236&lt;=Q$2), 'ProductSprint Backlog'!$F236 / MAX(1, 'ProductSprint Backlog'!$J236-'ProductSprint Backlog'!$I236), AND('ProductSprint Backlog'!$J236=Q$2,'ProductSprint Backlog'!$I236=Q$2), 'ProductSprint Backlog'!$F236, TRUE, 0)</f>
        <v>0</v>
      </c>
    </row>
    <row r="237" spans="2:17" x14ac:dyDescent="0.2">
      <c r="B237" s="4" cm="1">
        <f t="array" ref="B237">_xlfn.IFS('ProductSprint Backlog'!$F237="", "", AND('ProductSprint Backlog'!$J237&gt;B$2,'ProductSprint Backlog'!$I237&lt;=B$2), 'ProductSprint Backlog'!$F237 / MAX(1, 'ProductSprint Backlog'!$J237-'ProductSprint Backlog'!$I237), AND('ProductSprint Backlog'!$J237=B$2,'ProductSprint Backlog'!$I237=B$2), 'ProductSprint Backlog'!$F237, TRUE, 0)</f>
        <v>0</v>
      </c>
      <c r="C237" s="4" cm="1">
        <f t="array" ref="C237">_xlfn.IFS('ProductSprint Backlog'!$F237="", "", AND('ProductSprint Backlog'!$J237&gt;C$2,'ProductSprint Backlog'!$I237&lt;=C$2), 'ProductSprint Backlog'!$F237 / MAX(1, 'ProductSprint Backlog'!$J237-'ProductSprint Backlog'!$I237), AND('ProductSprint Backlog'!$J237=C$2,'ProductSprint Backlog'!$I237=C$2), 'ProductSprint Backlog'!$F237, TRUE, 0)</f>
        <v>0</v>
      </c>
      <c r="D237" s="4" cm="1">
        <f t="array" ref="D237">_xlfn.IFS('ProductSprint Backlog'!$F237="", "", AND('ProductSprint Backlog'!$J237&gt;D$2,'ProductSprint Backlog'!$I237&lt;=D$2), 'ProductSprint Backlog'!$F237 / MAX(1, 'ProductSprint Backlog'!$J237-'ProductSprint Backlog'!$I237), AND('ProductSprint Backlog'!$J237=D$2,'ProductSprint Backlog'!$I237=D$2), 'ProductSprint Backlog'!$F237, TRUE, 0)</f>
        <v>0</v>
      </c>
      <c r="E237" s="4" cm="1">
        <f t="array" ref="E237">_xlfn.IFS('ProductSprint Backlog'!$F237="", "", AND('ProductSprint Backlog'!$J237&gt;E$2,'ProductSprint Backlog'!$I237&lt;=E$2), 'ProductSprint Backlog'!$F237 / MAX(1, 'ProductSprint Backlog'!$J237-'ProductSprint Backlog'!$I237), AND('ProductSprint Backlog'!$J237=E$2,'ProductSprint Backlog'!$I237=E$2), 'ProductSprint Backlog'!$F237, TRUE, 0)</f>
        <v>0</v>
      </c>
      <c r="F237" s="4" cm="1">
        <f t="array" ref="F237">_xlfn.IFS('ProductSprint Backlog'!$F237="", "", AND('ProductSprint Backlog'!$J237&gt;F$2,'ProductSprint Backlog'!$I237&lt;=F$2), 'ProductSprint Backlog'!$F237 / MAX(1, 'ProductSprint Backlog'!$J237-'ProductSprint Backlog'!$I237), AND('ProductSprint Backlog'!$J237=F$2,'ProductSprint Backlog'!$I237=F$2), 'ProductSprint Backlog'!$F237, TRUE, 0)</f>
        <v>0</v>
      </c>
      <c r="G237" s="4" cm="1">
        <f t="array" ref="G237">_xlfn.IFS('ProductSprint Backlog'!$F237="", "", AND('ProductSprint Backlog'!$J237&gt;G$2,'ProductSprint Backlog'!$I237&lt;=G$2), 'ProductSprint Backlog'!$F237 / MAX(1, 'ProductSprint Backlog'!$J237-'ProductSprint Backlog'!$I237), AND('ProductSprint Backlog'!$J237=G$2,'ProductSprint Backlog'!$I237=G$2), 'ProductSprint Backlog'!$F237, TRUE, 0)</f>
        <v>0</v>
      </c>
      <c r="H237" s="4" cm="1">
        <f t="array" ref="H237">_xlfn.IFS('ProductSprint Backlog'!$F237="", "", AND('ProductSprint Backlog'!$J237&gt;H$2,'ProductSprint Backlog'!$I237&lt;=H$2), 'ProductSprint Backlog'!$F237 / MAX(1, 'ProductSprint Backlog'!$J237-'ProductSprint Backlog'!$I237), AND('ProductSprint Backlog'!$J237=H$2,'ProductSprint Backlog'!$I237=H$2), 'ProductSprint Backlog'!$F237, TRUE, 0)</f>
        <v>0</v>
      </c>
      <c r="I237" s="4" cm="1">
        <f t="array" ref="I237">_xlfn.IFS('ProductSprint Backlog'!$F237="", "", AND('ProductSprint Backlog'!$J237&gt;I$2,'ProductSprint Backlog'!$I237&lt;=I$2), 'ProductSprint Backlog'!$F237 / MAX(1, 'ProductSprint Backlog'!$J237-'ProductSprint Backlog'!$I237), AND('ProductSprint Backlog'!$J237=I$2,'ProductSprint Backlog'!$I237=I$2), 'ProductSprint Backlog'!$F237, TRUE, 0)</f>
        <v>0</v>
      </c>
      <c r="J237" s="4" cm="1">
        <f t="array" ref="J237">_xlfn.IFS('ProductSprint Backlog'!$F237="", "", AND('ProductSprint Backlog'!$J237&gt;J$2,'ProductSprint Backlog'!$I237&lt;=J$2), 'ProductSprint Backlog'!$F237 / MAX(1, 'ProductSprint Backlog'!$J237-'ProductSprint Backlog'!$I237), AND('ProductSprint Backlog'!$J237=J$2,'ProductSprint Backlog'!$I237=J$2), 'ProductSprint Backlog'!$F237, TRUE, 0)</f>
        <v>0.14285714285714285</v>
      </c>
      <c r="K237" s="4" cm="1">
        <f t="array" ref="K237">_xlfn.IFS('ProductSprint Backlog'!$F237="", "", AND('ProductSprint Backlog'!$J237&gt;K$2,'ProductSprint Backlog'!$I237&lt;=K$2), 'ProductSprint Backlog'!$F237 / MAX(1, 'ProductSprint Backlog'!$J237-'ProductSprint Backlog'!$I237), AND('ProductSprint Backlog'!$J237=K$2,'ProductSprint Backlog'!$I237=K$2), 'ProductSprint Backlog'!$F237, TRUE, 0)</f>
        <v>0.14285714285714285</v>
      </c>
      <c r="L237" s="4" cm="1">
        <f t="array" ref="L237">_xlfn.IFS('ProductSprint Backlog'!$F237="", "", AND('ProductSprint Backlog'!$J237&gt;L$2,'ProductSprint Backlog'!$I237&lt;=L$2), 'ProductSprint Backlog'!$F237 / MAX(1, 'ProductSprint Backlog'!$J237-'ProductSprint Backlog'!$I237), AND('ProductSprint Backlog'!$J237=L$2,'ProductSprint Backlog'!$I237=L$2), 'ProductSprint Backlog'!$F237, TRUE, 0)</f>
        <v>0.14285714285714285</v>
      </c>
      <c r="M237" s="4" cm="1">
        <f t="array" ref="M237">_xlfn.IFS('ProductSprint Backlog'!$F237="", "", AND('ProductSprint Backlog'!$J237&gt;M$2,'ProductSprint Backlog'!$I237&lt;=M$2), 'ProductSprint Backlog'!$F237 / MAX(1, 'ProductSprint Backlog'!$J237-'ProductSprint Backlog'!$I237), AND('ProductSprint Backlog'!$J237=M$2,'ProductSprint Backlog'!$I237=M$2), 'ProductSprint Backlog'!$F237, TRUE, 0)</f>
        <v>0.14285714285714285</v>
      </c>
      <c r="N237" s="4" cm="1">
        <f t="array" ref="N237">_xlfn.IFS('ProductSprint Backlog'!$F237="", "", AND('ProductSprint Backlog'!$J237&gt;N$2,'ProductSprint Backlog'!$I237&lt;=N$2), 'ProductSprint Backlog'!$F237 / MAX(1, 'ProductSprint Backlog'!$J237-'ProductSprint Backlog'!$I237), AND('ProductSprint Backlog'!$J237=N$2,'ProductSprint Backlog'!$I237=N$2), 'ProductSprint Backlog'!$F237, TRUE, 0)</f>
        <v>0.14285714285714285</v>
      </c>
      <c r="O237" s="4" cm="1">
        <f t="array" ref="O237">_xlfn.IFS('ProductSprint Backlog'!$F237="", "", AND('ProductSprint Backlog'!$J237&gt;O$2,'ProductSprint Backlog'!$I237&lt;=O$2), 'ProductSprint Backlog'!$F237 / MAX(1, 'ProductSprint Backlog'!$J237-'ProductSprint Backlog'!$I237), AND('ProductSprint Backlog'!$J237=O$2,'ProductSprint Backlog'!$I237=O$2), 'ProductSprint Backlog'!$F237, TRUE, 0)</f>
        <v>0.14285714285714285</v>
      </c>
      <c r="P237" s="4" cm="1">
        <f t="array" ref="P237">_xlfn.IFS('ProductSprint Backlog'!$F237="", "", AND('ProductSprint Backlog'!$J237&gt;P$2,'ProductSprint Backlog'!$I237&lt;=P$2), 'ProductSprint Backlog'!$F237 / MAX(1, 'ProductSprint Backlog'!$J237-'ProductSprint Backlog'!$I237), AND('ProductSprint Backlog'!$J237=P$2,'ProductSprint Backlog'!$I237=P$2), 'ProductSprint Backlog'!$F237, TRUE, 0)</f>
        <v>0.14285714285714285</v>
      </c>
      <c r="Q237" s="4" cm="1">
        <f t="array" ref="Q237">_xlfn.IFS('ProductSprint Backlog'!$F237="", "", AND('ProductSprint Backlog'!$J237&gt;Q$2,'ProductSprint Backlog'!$I237&lt;=Q$2), 'ProductSprint Backlog'!$F237 / MAX(1, 'ProductSprint Backlog'!$J237-'ProductSprint Backlog'!$I237), AND('ProductSprint Backlog'!$J237=Q$2,'ProductSprint Backlog'!$I237=Q$2), 'ProductSprint Backlog'!$F237, TRUE, 0)</f>
        <v>0</v>
      </c>
    </row>
    <row r="238" spans="2:17" x14ac:dyDescent="0.2">
      <c r="B238" s="4" cm="1">
        <f t="array" ref="B238">_xlfn.IFS('ProductSprint Backlog'!$F238="", "", AND('ProductSprint Backlog'!$J238&gt;B$2,'ProductSprint Backlog'!$I238&lt;=B$2), 'ProductSprint Backlog'!$F238 / MAX(1, 'ProductSprint Backlog'!$J238-'ProductSprint Backlog'!$I238), AND('ProductSprint Backlog'!$J238=B$2,'ProductSprint Backlog'!$I238=B$2), 'ProductSprint Backlog'!$F238, TRUE, 0)</f>
        <v>0</v>
      </c>
      <c r="C238" s="4" cm="1">
        <f t="array" ref="C238">_xlfn.IFS('ProductSprint Backlog'!$F238="", "", AND('ProductSprint Backlog'!$J238&gt;C$2,'ProductSprint Backlog'!$I238&lt;=C$2), 'ProductSprint Backlog'!$F238 / MAX(1, 'ProductSprint Backlog'!$J238-'ProductSprint Backlog'!$I238), AND('ProductSprint Backlog'!$J238=C$2,'ProductSprint Backlog'!$I238=C$2), 'ProductSprint Backlog'!$F238, TRUE, 0)</f>
        <v>0</v>
      </c>
      <c r="D238" s="4" cm="1">
        <f t="array" ref="D238">_xlfn.IFS('ProductSprint Backlog'!$F238="", "", AND('ProductSprint Backlog'!$J238&gt;D$2,'ProductSprint Backlog'!$I238&lt;=D$2), 'ProductSprint Backlog'!$F238 / MAX(1, 'ProductSprint Backlog'!$J238-'ProductSprint Backlog'!$I238), AND('ProductSprint Backlog'!$J238=D$2,'ProductSprint Backlog'!$I238=D$2), 'ProductSprint Backlog'!$F238, TRUE, 0)</f>
        <v>0</v>
      </c>
      <c r="E238" s="4" cm="1">
        <f t="array" ref="E238">_xlfn.IFS('ProductSprint Backlog'!$F238="", "", AND('ProductSprint Backlog'!$J238&gt;E$2,'ProductSprint Backlog'!$I238&lt;=E$2), 'ProductSprint Backlog'!$F238 / MAX(1, 'ProductSprint Backlog'!$J238-'ProductSprint Backlog'!$I238), AND('ProductSprint Backlog'!$J238=E$2,'ProductSprint Backlog'!$I238=E$2), 'ProductSprint Backlog'!$F238, TRUE, 0)</f>
        <v>0</v>
      </c>
      <c r="F238" s="4" cm="1">
        <f t="array" ref="F238">_xlfn.IFS('ProductSprint Backlog'!$F238="", "", AND('ProductSprint Backlog'!$J238&gt;F$2,'ProductSprint Backlog'!$I238&lt;=F$2), 'ProductSprint Backlog'!$F238 / MAX(1, 'ProductSprint Backlog'!$J238-'ProductSprint Backlog'!$I238), AND('ProductSprint Backlog'!$J238=F$2,'ProductSprint Backlog'!$I238=F$2), 'ProductSprint Backlog'!$F238, TRUE, 0)</f>
        <v>0</v>
      </c>
      <c r="G238" s="4" cm="1">
        <f t="array" ref="G238">_xlfn.IFS('ProductSprint Backlog'!$F238="", "", AND('ProductSprint Backlog'!$J238&gt;G$2,'ProductSprint Backlog'!$I238&lt;=G$2), 'ProductSprint Backlog'!$F238 / MAX(1, 'ProductSprint Backlog'!$J238-'ProductSprint Backlog'!$I238), AND('ProductSprint Backlog'!$J238=G$2,'ProductSprint Backlog'!$I238=G$2), 'ProductSprint Backlog'!$F238, TRUE, 0)</f>
        <v>0</v>
      </c>
      <c r="H238" s="4" cm="1">
        <f t="array" ref="H238">_xlfn.IFS('ProductSprint Backlog'!$F238="", "", AND('ProductSprint Backlog'!$J238&gt;H$2,'ProductSprint Backlog'!$I238&lt;=H$2), 'ProductSprint Backlog'!$F238 / MAX(1, 'ProductSprint Backlog'!$J238-'ProductSprint Backlog'!$I238), AND('ProductSprint Backlog'!$J238=H$2,'ProductSprint Backlog'!$I238=H$2), 'ProductSprint Backlog'!$F238, TRUE, 0)</f>
        <v>0</v>
      </c>
      <c r="I238" s="4" cm="1">
        <f t="array" ref="I238">_xlfn.IFS('ProductSprint Backlog'!$F238="", "", AND('ProductSprint Backlog'!$J238&gt;I$2,'ProductSprint Backlog'!$I238&lt;=I$2), 'ProductSprint Backlog'!$F238 / MAX(1, 'ProductSprint Backlog'!$J238-'ProductSprint Backlog'!$I238), AND('ProductSprint Backlog'!$J238=I$2,'ProductSprint Backlog'!$I238=I$2), 'ProductSprint Backlog'!$F238, TRUE, 0)</f>
        <v>0</v>
      </c>
      <c r="J238" s="4" cm="1">
        <f t="array" ref="J238">_xlfn.IFS('ProductSprint Backlog'!$F238="", "", AND('ProductSprint Backlog'!$J238&gt;J$2,'ProductSprint Backlog'!$I238&lt;=J$2), 'ProductSprint Backlog'!$F238 / MAX(1, 'ProductSprint Backlog'!$J238-'ProductSprint Backlog'!$I238), AND('ProductSprint Backlog'!$J238=J$2,'ProductSprint Backlog'!$I238=J$2), 'ProductSprint Backlog'!$F238, TRUE, 0)</f>
        <v>0.14285714285714285</v>
      </c>
      <c r="K238" s="4" cm="1">
        <f t="array" ref="K238">_xlfn.IFS('ProductSprint Backlog'!$F238="", "", AND('ProductSprint Backlog'!$J238&gt;K$2,'ProductSprint Backlog'!$I238&lt;=K$2), 'ProductSprint Backlog'!$F238 / MAX(1, 'ProductSprint Backlog'!$J238-'ProductSprint Backlog'!$I238), AND('ProductSprint Backlog'!$J238=K$2,'ProductSprint Backlog'!$I238=K$2), 'ProductSprint Backlog'!$F238, TRUE, 0)</f>
        <v>0.14285714285714285</v>
      </c>
      <c r="L238" s="4" cm="1">
        <f t="array" ref="L238">_xlfn.IFS('ProductSprint Backlog'!$F238="", "", AND('ProductSprint Backlog'!$J238&gt;L$2,'ProductSprint Backlog'!$I238&lt;=L$2), 'ProductSprint Backlog'!$F238 / MAX(1, 'ProductSprint Backlog'!$J238-'ProductSprint Backlog'!$I238), AND('ProductSprint Backlog'!$J238=L$2,'ProductSprint Backlog'!$I238=L$2), 'ProductSprint Backlog'!$F238, TRUE, 0)</f>
        <v>0.14285714285714285</v>
      </c>
      <c r="M238" s="4" cm="1">
        <f t="array" ref="M238">_xlfn.IFS('ProductSprint Backlog'!$F238="", "", AND('ProductSprint Backlog'!$J238&gt;M$2,'ProductSprint Backlog'!$I238&lt;=M$2), 'ProductSprint Backlog'!$F238 / MAX(1, 'ProductSprint Backlog'!$J238-'ProductSprint Backlog'!$I238), AND('ProductSprint Backlog'!$J238=M$2,'ProductSprint Backlog'!$I238=M$2), 'ProductSprint Backlog'!$F238, TRUE, 0)</f>
        <v>0.14285714285714285</v>
      </c>
      <c r="N238" s="4" cm="1">
        <f t="array" ref="N238">_xlfn.IFS('ProductSprint Backlog'!$F238="", "", AND('ProductSprint Backlog'!$J238&gt;N$2,'ProductSprint Backlog'!$I238&lt;=N$2), 'ProductSprint Backlog'!$F238 / MAX(1, 'ProductSprint Backlog'!$J238-'ProductSprint Backlog'!$I238), AND('ProductSprint Backlog'!$J238=N$2,'ProductSprint Backlog'!$I238=N$2), 'ProductSprint Backlog'!$F238, TRUE, 0)</f>
        <v>0.14285714285714285</v>
      </c>
      <c r="O238" s="4" cm="1">
        <f t="array" ref="O238">_xlfn.IFS('ProductSprint Backlog'!$F238="", "", AND('ProductSprint Backlog'!$J238&gt;O$2,'ProductSprint Backlog'!$I238&lt;=O$2), 'ProductSprint Backlog'!$F238 / MAX(1, 'ProductSprint Backlog'!$J238-'ProductSprint Backlog'!$I238), AND('ProductSprint Backlog'!$J238=O$2,'ProductSprint Backlog'!$I238=O$2), 'ProductSprint Backlog'!$F238, TRUE, 0)</f>
        <v>0.14285714285714285</v>
      </c>
      <c r="P238" s="4" cm="1">
        <f t="array" ref="P238">_xlfn.IFS('ProductSprint Backlog'!$F238="", "", AND('ProductSprint Backlog'!$J238&gt;P$2,'ProductSprint Backlog'!$I238&lt;=P$2), 'ProductSprint Backlog'!$F238 / MAX(1, 'ProductSprint Backlog'!$J238-'ProductSprint Backlog'!$I238), AND('ProductSprint Backlog'!$J238=P$2,'ProductSprint Backlog'!$I238=P$2), 'ProductSprint Backlog'!$F238, TRUE, 0)</f>
        <v>0.14285714285714285</v>
      </c>
      <c r="Q238" s="4" cm="1">
        <f t="array" ref="Q238">_xlfn.IFS('ProductSprint Backlog'!$F238="", "", AND('ProductSprint Backlog'!$J238&gt;Q$2,'ProductSprint Backlog'!$I238&lt;=Q$2), 'ProductSprint Backlog'!$F238 / MAX(1, 'ProductSprint Backlog'!$J238-'ProductSprint Backlog'!$I238), AND('ProductSprint Backlog'!$J238=Q$2,'ProductSprint Backlog'!$I238=Q$2), 'ProductSprint Backlog'!$F238, TRUE, 0)</f>
        <v>0</v>
      </c>
    </row>
    <row r="239" spans="2:17" x14ac:dyDescent="0.2">
      <c r="B239" s="4" t="str" cm="1">
        <f t="array" ref="B239">_xlfn.IFS('ProductSprint Backlog'!$F239="", "", AND('ProductSprint Backlog'!$J239&gt;B$2,'ProductSprint Backlog'!$I239&lt;=B$2), 'ProductSprint Backlog'!$F239 / MAX(1, 'ProductSprint Backlog'!$J239-'ProductSprint Backlog'!$I239), AND('ProductSprint Backlog'!$J239=B$2,'ProductSprint Backlog'!$I239=B$2), 'ProductSprint Backlog'!$F239, TRUE, 0)</f>
        <v/>
      </c>
      <c r="C239" s="4" t="str" cm="1">
        <f t="array" ref="C239">_xlfn.IFS('ProductSprint Backlog'!$F239="", "", AND('ProductSprint Backlog'!$J239&gt;C$2,'ProductSprint Backlog'!$I239&lt;=C$2), 'ProductSprint Backlog'!$F239 / MAX(1, 'ProductSprint Backlog'!$J239-'ProductSprint Backlog'!$I239), AND('ProductSprint Backlog'!$J239=C$2,'ProductSprint Backlog'!$I239=C$2), 'ProductSprint Backlog'!$F239, TRUE, 0)</f>
        <v/>
      </c>
      <c r="D239" s="4" t="str" cm="1">
        <f t="array" ref="D239">_xlfn.IFS('ProductSprint Backlog'!$F239="", "", AND('ProductSprint Backlog'!$J239&gt;D$2,'ProductSprint Backlog'!$I239&lt;=D$2), 'ProductSprint Backlog'!$F239 / MAX(1, 'ProductSprint Backlog'!$J239-'ProductSprint Backlog'!$I239), AND('ProductSprint Backlog'!$J239=D$2,'ProductSprint Backlog'!$I239=D$2), 'ProductSprint Backlog'!$F239, TRUE, 0)</f>
        <v/>
      </c>
      <c r="E239" s="4" t="str" cm="1">
        <f t="array" ref="E239">_xlfn.IFS('ProductSprint Backlog'!$F239="", "", AND('ProductSprint Backlog'!$J239&gt;E$2,'ProductSprint Backlog'!$I239&lt;=E$2), 'ProductSprint Backlog'!$F239 / MAX(1, 'ProductSprint Backlog'!$J239-'ProductSprint Backlog'!$I239), AND('ProductSprint Backlog'!$J239=E$2,'ProductSprint Backlog'!$I239=E$2), 'ProductSprint Backlog'!$F239, TRUE, 0)</f>
        <v/>
      </c>
      <c r="F239" s="4" t="str" cm="1">
        <f t="array" ref="F239">_xlfn.IFS('ProductSprint Backlog'!$F239="", "", AND('ProductSprint Backlog'!$J239&gt;F$2,'ProductSprint Backlog'!$I239&lt;=F$2), 'ProductSprint Backlog'!$F239 / MAX(1, 'ProductSprint Backlog'!$J239-'ProductSprint Backlog'!$I239), AND('ProductSprint Backlog'!$J239=F$2,'ProductSprint Backlog'!$I239=F$2), 'ProductSprint Backlog'!$F239, TRUE, 0)</f>
        <v/>
      </c>
      <c r="G239" s="4" t="str" cm="1">
        <f t="array" ref="G239">_xlfn.IFS('ProductSprint Backlog'!$F239="", "", AND('ProductSprint Backlog'!$J239&gt;G$2,'ProductSprint Backlog'!$I239&lt;=G$2), 'ProductSprint Backlog'!$F239 / MAX(1, 'ProductSprint Backlog'!$J239-'ProductSprint Backlog'!$I239), AND('ProductSprint Backlog'!$J239=G$2,'ProductSprint Backlog'!$I239=G$2), 'ProductSprint Backlog'!$F239, TRUE, 0)</f>
        <v/>
      </c>
      <c r="H239" s="4" t="str" cm="1">
        <f t="array" ref="H239">_xlfn.IFS('ProductSprint Backlog'!$F239="", "", AND('ProductSprint Backlog'!$J239&gt;H$2,'ProductSprint Backlog'!$I239&lt;=H$2), 'ProductSprint Backlog'!$F239 / MAX(1, 'ProductSprint Backlog'!$J239-'ProductSprint Backlog'!$I239), AND('ProductSprint Backlog'!$J239=H$2,'ProductSprint Backlog'!$I239=H$2), 'ProductSprint Backlog'!$F239, TRUE, 0)</f>
        <v/>
      </c>
      <c r="I239" s="4" t="str" cm="1">
        <f t="array" ref="I239">_xlfn.IFS('ProductSprint Backlog'!$F239="", "", AND('ProductSprint Backlog'!$J239&gt;I$2,'ProductSprint Backlog'!$I239&lt;=I$2), 'ProductSprint Backlog'!$F239 / MAX(1, 'ProductSprint Backlog'!$J239-'ProductSprint Backlog'!$I239), AND('ProductSprint Backlog'!$J239=I$2,'ProductSprint Backlog'!$I239=I$2), 'ProductSprint Backlog'!$F239, TRUE, 0)</f>
        <v/>
      </c>
      <c r="J239" s="4" t="str" cm="1">
        <f t="array" ref="J239">_xlfn.IFS('ProductSprint Backlog'!$F239="", "", AND('ProductSprint Backlog'!$J239&gt;J$2,'ProductSprint Backlog'!$I239&lt;=J$2), 'ProductSprint Backlog'!$F239 / MAX(1, 'ProductSprint Backlog'!$J239-'ProductSprint Backlog'!$I239), AND('ProductSprint Backlog'!$J239=J$2,'ProductSprint Backlog'!$I239=J$2), 'ProductSprint Backlog'!$F239, TRUE, 0)</f>
        <v/>
      </c>
      <c r="K239" s="4" t="str" cm="1">
        <f t="array" ref="K239">_xlfn.IFS('ProductSprint Backlog'!$F239="", "", AND('ProductSprint Backlog'!$J239&gt;K$2,'ProductSprint Backlog'!$I239&lt;=K$2), 'ProductSprint Backlog'!$F239 / MAX(1, 'ProductSprint Backlog'!$J239-'ProductSprint Backlog'!$I239), AND('ProductSprint Backlog'!$J239=K$2,'ProductSprint Backlog'!$I239=K$2), 'ProductSprint Backlog'!$F239, TRUE, 0)</f>
        <v/>
      </c>
      <c r="L239" s="4" t="str" cm="1">
        <f t="array" ref="L239">_xlfn.IFS('ProductSprint Backlog'!$F239="", "", AND('ProductSprint Backlog'!$J239&gt;L$2,'ProductSprint Backlog'!$I239&lt;=L$2), 'ProductSprint Backlog'!$F239 / MAX(1, 'ProductSprint Backlog'!$J239-'ProductSprint Backlog'!$I239), AND('ProductSprint Backlog'!$J239=L$2,'ProductSprint Backlog'!$I239=L$2), 'ProductSprint Backlog'!$F239, TRUE, 0)</f>
        <v/>
      </c>
      <c r="M239" s="4" t="str" cm="1">
        <f t="array" ref="M239">_xlfn.IFS('ProductSprint Backlog'!$F239="", "", AND('ProductSprint Backlog'!$J239&gt;M$2,'ProductSprint Backlog'!$I239&lt;=M$2), 'ProductSprint Backlog'!$F239 / MAX(1, 'ProductSprint Backlog'!$J239-'ProductSprint Backlog'!$I239), AND('ProductSprint Backlog'!$J239=M$2,'ProductSprint Backlog'!$I239=M$2), 'ProductSprint Backlog'!$F239, TRUE, 0)</f>
        <v/>
      </c>
      <c r="N239" s="4" t="str" cm="1">
        <f t="array" ref="N239">_xlfn.IFS('ProductSprint Backlog'!$F239="", "", AND('ProductSprint Backlog'!$J239&gt;N$2,'ProductSprint Backlog'!$I239&lt;=N$2), 'ProductSprint Backlog'!$F239 / MAX(1, 'ProductSprint Backlog'!$J239-'ProductSprint Backlog'!$I239), AND('ProductSprint Backlog'!$J239=N$2,'ProductSprint Backlog'!$I239=N$2), 'ProductSprint Backlog'!$F239, TRUE, 0)</f>
        <v/>
      </c>
      <c r="O239" s="4" t="str" cm="1">
        <f t="array" ref="O239">_xlfn.IFS('ProductSprint Backlog'!$F239="", "", AND('ProductSprint Backlog'!$J239&gt;O$2,'ProductSprint Backlog'!$I239&lt;=O$2), 'ProductSprint Backlog'!$F239 / MAX(1, 'ProductSprint Backlog'!$J239-'ProductSprint Backlog'!$I239), AND('ProductSprint Backlog'!$J239=O$2,'ProductSprint Backlog'!$I239=O$2), 'ProductSprint Backlog'!$F239, TRUE, 0)</f>
        <v/>
      </c>
      <c r="P239" s="4" t="str" cm="1">
        <f t="array" ref="P239">_xlfn.IFS('ProductSprint Backlog'!$F239="", "", AND('ProductSprint Backlog'!$J239&gt;P$2,'ProductSprint Backlog'!$I239&lt;=P$2), 'ProductSprint Backlog'!$F239 / MAX(1, 'ProductSprint Backlog'!$J239-'ProductSprint Backlog'!$I239), AND('ProductSprint Backlog'!$J239=P$2,'ProductSprint Backlog'!$I239=P$2), 'ProductSprint Backlog'!$F239, TRUE, 0)</f>
        <v/>
      </c>
      <c r="Q239" s="4" t="str" cm="1">
        <f t="array" ref="Q239">_xlfn.IFS('ProductSprint Backlog'!$F239="", "", AND('ProductSprint Backlog'!$J239&gt;Q$2,'ProductSprint Backlog'!$I239&lt;=Q$2), 'ProductSprint Backlog'!$F239 / MAX(1, 'ProductSprint Backlog'!$J239-'ProductSprint Backlog'!$I239), AND('ProductSprint Backlog'!$J239=Q$2,'ProductSprint Backlog'!$I239=Q$2), 'ProductSprint Backlog'!$F239, TRUE, 0)</f>
        <v/>
      </c>
    </row>
    <row r="240" spans="2:17" x14ac:dyDescent="0.2">
      <c r="B240" s="4" cm="1">
        <f t="array" ref="B240">_xlfn.IFS('ProductSprint Backlog'!$F240="", "", AND('ProductSprint Backlog'!$J240&gt;B$2,'ProductSprint Backlog'!$I240&lt;=B$2), 'ProductSprint Backlog'!$F240 / MAX(1, 'ProductSprint Backlog'!$J240-'ProductSprint Backlog'!$I240), AND('ProductSprint Backlog'!$J240=B$2,'ProductSprint Backlog'!$I240=B$2), 'ProductSprint Backlog'!$F240, TRUE, 0)</f>
        <v>0</v>
      </c>
      <c r="C240" s="4" cm="1">
        <f t="array" ref="C240">_xlfn.IFS('ProductSprint Backlog'!$F240="", "", AND('ProductSprint Backlog'!$J240&gt;C$2,'ProductSprint Backlog'!$I240&lt;=C$2), 'ProductSprint Backlog'!$F240 / MAX(1, 'ProductSprint Backlog'!$J240-'ProductSprint Backlog'!$I240), AND('ProductSprint Backlog'!$J240=C$2,'ProductSprint Backlog'!$I240=C$2), 'ProductSprint Backlog'!$F240, TRUE, 0)</f>
        <v>0</v>
      </c>
      <c r="D240" s="4" cm="1">
        <f t="array" ref="D240">_xlfn.IFS('ProductSprint Backlog'!$F240="", "", AND('ProductSprint Backlog'!$J240&gt;D$2,'ProductSprint Backlog'!$I240&lt;=D$2), 'ProductSprint Backlog'!$F240 / MAX(1, 'ProductSprint Backlog'!$J240-'ProductSprint Backlog'!$I240), AND('ProductSprint Backlog'!$J240=D$2,'ProductSprint Backlog'!$I240=D$2), 'ProductSprint Backlog'!$F240, TRUE, 0)</f>
        <v>0</v>
      </c>
      <c r="E240" s="4" cm="1">
        <f t="array" ref="E240">_xlfn.IFS('ProductSprint Backlog'!$F240="", "", AND('ProductSprint Backlog'!$J240&gt;E$2,'ProductSprint Backlog'!$I240&lt;=E$2), 'ProductSprint Backlog'!$F240 / MAX(1, 'ProductSprint Backlog'!$J240-'ProductSprint Backlog'!$I240), AND('ProductSprint Backlog'!$J240=E$2,'ProductSprint Backlog'!$I240=E$2), 'ProductSprint Backlog'!$F240, TRUE, 0)</f>
        <v>0</v>
      </c>
      <c r="F240" s="4" cm="1">
        <f t="array" ref="F240">_xlfn.IFS('ProductSprint Backlog'!$F240="", "", AND('ProductSprint Backlog'!$J240&gt;F$2,'ProductSprint Backlog'!$I240&lt;=F$2), 'ProductSprint Backlog'!$F240 / MAX(1, 'ProductSprint Backlog'!$J240-'ProductSprint Backlog'!$I240), AND('ProductSprint Backlog'!$J240=F$2,'ProductSprint Backlog'!$I240=F$2), 'ProductSprint Backlog'!$F240, TRUE, 0)</f>
        <v>0</v>
      </c>
      <c r="G240" s="4" cm="1">
        <f t="array" ref="G240">_xlfn.IFS('ProductSprint Backlog'!$F240="", "", AND('ProductSprint Backlog'!$J240&gt;G$2,'ProductSprint Backlog'!$I240&lt;=G$2), 'ProductSprint Backlog'!$F240 / MAX(1, 'ProductSprint Backlog'!$J240-'ProductSprint Backlog'!$I240), AND('ProductSprint Backlog'!$J240=G$2,'ProductSprint Backlog'!$I240=G$2), 'ProductSprint Backlog'!$F240, TRUE, 0)</f>
        <v>0</v>
      </c>
      <c r="H240" s="4" cm="1">
        <f t="array" ref="H240">_xlfn.IFS('ProductSprint Backlog'!$F240="", "", AND('ProductSprint Backlog'!$J240&gt;H$2,'ProductSprint Backlog'!$I240&lt;=H$2), 'ProductSprint Backlog'!$F240 / MAX(1, 'ProductSprint Backlog'!$J240-'ProductSprint Backlog'!$I240), AND('ProductSprint Backlog'!$J240=H$2,'ProductSprint Backlog'!$I240=H$2), 'ProductSprint Backlog'!$F240, TRUE, 0)</f>
        <v>0</v>
      </c>
      <c r="I240" s="4" cm="1">
        <f t="array" ref="I240">_xlfn.IFS('ProductSprint Backlog'!$F240="", "", AND('ProductSprint Backlog'!$J240&gt;I$2,'ProductSprint Backlog'!$I240&lt;=I$2), 'ProductSprint Backlog'!$F240 / MAX(1, 'ProductSprint Backlog'!$J240-'ProductSprint Backlog'!$I240), AND('ProductSprint Backlog'!$J240=I$2,'ProductSprint Backlog'!$I240=I$2), 'ProductSprint Backlog'!$F240, TRUE, 0)</f>
        <v>0</v>
      </c>
      <c r="J240" s="4" cm="1">
        <f t="array" ref="J240">_xlfn.IFS('ProductSprint Backlog'!$F240="", "", AND('ProductSprint Backlog'!$J240&gt;J$2,'ProductSprint Backlog'!$I240&lt;=J$2), 'ProductSprint Backlog'!$F240 / MAX(1, 'ProductSprint Backlog'!$J240-'ProductSprint Backlog'!$I240), AND('ProductSprint Backlog'!$J240=J$2,'ProductSprint Backlog'!$I240=J$2), 'ProductSprint Backlog'!$F240, TRUE, 0)</f>
        <v>0</v>
      </c>
      <c r="K240" s="4" cm="1">
        <f t="array" ref="K240">_xlfn.IFS('ProductSprint Backlog'!$F240="", "", AND('ProductSprint Backlog'!$J240&gt;K$2,'ProductSprint Backlog'!$I240&lt;=K$2), 'ProductSprint Backlog'!$F240 / MAX(1, 'ProductSprint Backlog'!$J240-'ProductSprint Backlog'!$I240), AND('ProductSprint Backlog'!$J240=K$2,'ProductSprint Backlog'!$I240=K$2), 'ProductSprint Backlog'!$F240, TRUE, 0)</f>
        <v>0</v>
      </c>
      <c r="L240" s="4" cm="1">
        <f t="array" ref="L240">_xlfn.IFS('ProductSprint Backlog'!$F240="", "", AND('ProductSprint Backlog'!$J240&gt;L$2,'ProductSprint Backlog'!$I240&lt;=L$2), 'ProductSprint Backlog'!$F240 / MAX(1, 'ProductSprint Backlog'!$J240-'ProductSprint Backlog'!$I240), AND('ProductSprint Backlog'!$J240=L$2,'ProductSprint Backlog'!$I240=L$2), 'ProductSprint Backlog'!$F240, TRUE, 0)</f>
        <v>0</v>
      </c>
      <c r="M240" s="4" cm="1">
        <f t="array" ref="M240">_xlfn.IFS('ProductSprint Backlog'!$F240="", "", AND('ProductSprint Backlog'!$J240&gt;M$2,'ProductSprint Backlog'!$I240&lt;=M$2), 'ProductSprint Backlog'!$F240 / MAX(1, 'ProductSprint Backlog'!$J240-'ProductSprint Backlog'!$I240), AND('ProductSprint Backlog'!$J240=M$2,'ProductSprint Backlog'!$I240=M$2), 'ProductSprint Backlog'!$F240, TRUE, 0)</f>
        <v>0</v>
      </c>
      <c r="N240" s="4" cm="1">
        <f t="array" ref="N240">_xlfn.IFS('ProductSprint Backlog'!$F240="", "", AND('ProductSprint Backlog'!$J240&gt;N$2,'ProductSprint Backlog'!$I240&lt;=N$2), 'ProductSprint Backlog'!$F240 / MAX(1, 'ProductSprint Backlog'!$J240-'ProductSprint Backlog'!$I240), AND('ProductSprint Backlog'!$J240=N$2,'ProductSprint Backlog'!$I240=N$2), 'ProductSprint Backlog'!$F240, TRUE, 0)</f>
        <v>0</v>
      </c>
      <c r="O240" s="4" cm="1">
        <f t="array" ref="O240">_xlfn.IFS('ProductSprint Backlog'!$F240="", "", AND('ProductSprint Backlog'!$J240&gt;O$2,'ProductSprint Backlog'!$I240&lt;=O$2), 'ProductSprint Backlog'!$F240 / MAX(1, 'ProductSprint Backlog'!$J240-'ProductSprint Backlog'!$I240), AND('ProductSprint Backlog'!$J240=O$2,'ProductSprint Backlog'!$I240=O$2), 'ProductSprint Backlog'!$F240, TRUE, 0)</f>
        <v>0</v>
      </c>
      <c r="P240" s="4" cm="1">
        <f t="array" ref="P240">_xlfn.IFS('ProductSprint Backlog'!$F240="", "", AND('ProductSprint Backlog'!$J240&gt;P$2,'ProductSprint Backlog'!$I240&lt;=P$2), 'ProductSprint Backlog'!$F240 / MAX(1, 'ProductSprint Backlog'!$J240-'ProductSprint Backlog'!$I240), AND('ProductSprint Backlog'!$J240=P$2,'ProductSprint Backlog'!$I240=P$2), 'ProductSprint Backlog'!$F240, TRUE, 0)</f>
        <v>0</v>
      </c>
      <c r="Q240" s="4" cm="1">
        <f t="array" ref="Q240">_xlfn.IFS('ProductSprint Backlog'!$F240="", "", AND('ProductSprint Backlog'!$J240&gt;Q$2,'ProductSprint Backlog'!$I240&lt;=Q$2), 'ProductSprint Backlog'!$F240 / MAX(1, 'ProductSprint Backlog'!$J240-'ProductSprint Backlog'!$I240), AND('ProductSprint Backlog'!$J240=Q$2,'ProductSprint Backlog'!$I240=Q$2), 'ProductSprint Backlog'!$F240, TRUE, 0)</f>
        <v>0</v>
      </c>
    </row>
    <row r="241" spans="2:17" x14ac:dyDescent="0.2">
      <c r="B241" s="4" cm="1">
        <f t="array" ref="B241">_xlfn.IFS('ProductSprint Backlog'!$F241="", "", AND('ProductSprint Backlog'!$J241&gt;B$2,'ProductSprint Backlog'!$I241&lt;=B$2), 'ProductSprint Backlog'!$F241 / MAX(1, 'ProductSprint Backlog'!$J241-'ProductSprint Backlog'!$I241), AND('ProductSprint Backlog'!$J241=B$2,'ProductSprint Backlog'!$I241=B$2), 'ProductSprint Backlog'!$F241, TRUE, 0)</f>
        <v>0</v>
      </c>
      <c r="C241" s="4" cm="1">
        <f t="array" ref="C241">_xlfn.IFS('ProductSprint Backlog'!$F241="", "", AND('ProductSprint Backlog'!$J241&gt;C$2,'ProductSprint Backlog'!$I241&lt;=C$2), 'ProductSprint Backlog'!$F241 / MAX(1, 'ProductSprint Backlog'!$J241-'ProductSprint Backlog'!$I241), AND('ProductSprint Backlog'!$J241=C$2,'ProductSprint Backlog'!$I241=C$2), 'ProductSprint Backlog'!$F241, TRUE, 0)</f>
        <v>0</v>
      </c>
      <c r="D241" s="4" cm="1">
        <f t="array" ref="D241">_xlfn.IFS('ProductSprint Backlog'!$F241="", "", AND('ProductSprint Backlog'!$J241&gt;D$2,'ProductSprint Backlog'!$I241&lt;=D$2), 'ProductSprint Backlog'!$F241 / MAX(1, 'ProductSprint Backlog'!$J241-'ProductSprint Backlog'!$I241), AND('ProductSprint Backlog'!$J241=D$2,'ProductSprint Backlog'!$I241=D$2), 'ProductSprint Backlog'!$F241, TRUE, 0)</f>
        <v>0</v>
      </c>
      <c r="E241" s="4" cm="1">
        <f t="array" ref="E241">_xlfn.IFS('ProductSprint Backlog'!$F241="", "", AND('ProductSprint Backlog'!$J241&gt;E$2,'ProductSprint Backlog'!$I241&lt;=E$2), 'ProductSprint Backlog'!$F241 / MAX(1, 'ProductSprint Backlog'!$J241-'ProductSprint Backlog'!$I241), AND('ProductSprint Backlog'!$J241=E$2,'ProductSprint Backlog'!$I241=E$2), 'ProductSprint Backlog'!$F241, TRUE, 0)</f>
        <v>0</v>
      </c>
      <c r="F241" s="4" cm="1">
        <f t="array" ref="F241">_xlfn.IFS('ProductSprint Backlog'!$F241="", "", AND('ProductSprint Backlog'!$J241&gt;F$2,'ProductSprint Backlog'!$I241&lt;=F$2), 'ProductSprint Backlog'!$F241 / MAX(1, 'ProductSprint Backlog'!$J241-'ProductSprint Backlog'!$I241), AND('ProductSprint Backlog'!$J241=F$2,'ProductSprint Backlog'!$I241=F$2), 'ProductSprint Backlog'!$F241, TRUE, 0)</f>
        <v>0</v>
      </c>
      <c r="G241" s="4" cm="1">
        <f t="array" ref="G241">_xlfn.IFS('ProductSprint Backlog'!$F241="", "", AND('ProductSprint Backlog'!$J241&gt;G$2,'ProductSprint Backlog'!$I241&lt;=G$2), 'ProductSprint Backlog'!$F241 / MAX(1, 'ProductSprint Backlog'!$J241-'ProductSprint Backlog'!$I241), AND('ProductSprint Backlog'!$J241=G$2,'ProductSprint Backlog'!$I241=G$2), 'ProductSprint Backlog'!$F241, TRUE, 0)</f>
        <v>0</v>
      </c>
      <c r="H241" s="4" cm="1">
        <f t="array" ref="H241">_xlfn.IFS('ProductSprint Backlog'!$F241="", "", AND('ProductSprint Backlog'!$J241&gt;H$2,'ProductSprint Backlog'!$I241&lt;=H$2), 'ProductSprint Backlog'!$F241 / MAX(1, 'ProductSprint Backlog'!$J241-'ProductSprint Backlog'!$I241), AND('ProductSprint Backlog'!$J241=H$2,'ProductSprint Backlog'!$I241=H$2), 'ProductSprint Backlog'!$F241, TRUE, 0)</f>
        <v>0</v>
      </c>
      <c r="I241" s="4" cm="1">
        <f t="array" ref="I241">_xlfn.IFS('ProductSprint Backlog'!$F241="", "", AND('ProductSprint Backlog'!$J241&gt;I$2,'ProductSprint Backlog'!$I241&lt;=I$2), 'ProductSprint Backlog'!$F241 / MAX(1, 'ProductSprint Backlog'!$J241-'ProductSprint Backlog'!$I241), AND('ProductSprint Backlog'!$J241=I$2,'ProductSprint Backlog'!$I241=I$2), 'ProductSprint Backlog'!$F241, TRUE, 0)</f>
        <v>0</v>
      </c>
      <c r="J241" s="4" cm="1">
        <f t="array" ref="J241">_xlfn.IFS('ProductSprint Backlog'!$F241="", "", AND('ProductSprint Backlog'!$J241&gt;J$2,'ProductSprint Backlog'!$I241&lt;=J$2), 'ProductSprint Backlog'!$F241 / MAX(1, 'ProductSprint Backlog'!$J241-'ProductSprint Backlog'!$I241), AND('ProductSprint Backlog'!$J241=J$2,'ProductSprint Backlog'!$I241=J$2), 'ProductSprint Backlog'!$F241, TRUE, 0)</f>
        <v>0</v>
      </c>
      <c r="K241" s="4" cm="1">
        <f t="array" ref="K241">_xlfn.IFS('ProductSprint Backlog'!$F241="", "", AND('ProductSprint Backlog'!$J241&gt;K$2,'ProductSprint Backlog'!$I241&lt;=K$2), 'ProductSprint Backlog'!$F241 / MAX(1, 'ProductSprint Backlog'!$J241-'ProductSprint Backlog'!$I241), AND('ProductSprint Backlog'!$J241=K$2,'ProductSprint Backlog'!$I241=K$2), 'ProductSprint Backlog'!$F241, TRUE, 0)</f>
        <v>0</v>
      </c>
      <c r="L241" s="4" cm="1">
        <f t="array" ref="L241">_xlfn.IFS('ProductSprint Backlog'!$F241="", "", AND('ProductSprint Backlog'!$J241&gt;L$2,'ProductSprint Backlog'!$I241&lt;=L$2), 'ProductSprint Backlog'!$F241 / MAX(1, 'ProductSprint Backlog'!$J241-'ProductSprint Backlog'!$I241), AND('ProductSprint Backlog'!$J241=L$2,'ProductSprint Backlog'!$I241=L$2), 'ProductSprint Backlog'!$F241, TRUE, 0)</f>
        <v>0</v>
      </c>
      <c r="M241" s="4" cm="1">
        <f t="array" ref="M241">_xlfn.IFS('ProductSprint Backlog'!$F241="", "", AND('ProductSprint Backlog'!$J241&gt;M$2,'ProductSprint Backlog'!$I241&lt;=M$2), 'ProductSprint Backlog'!$F241 / MAX(1, 'ProductSprint Backlog'!$J241-'ProductSprint Backlog'!$I241), AND('ProductSprint Backlog'!$J241=M$2,'ProductSprint Backlog'!$I241=M$2), 'ProductSprint Backlog'!$F241, TRUE, 0)</f>
        <v>0</v>
      </c>
      <c r="N241" s="4" cm="1">
        <f t="array" ref="N241">_xlfn.IFS('ProductSprint Backlog'!$F241="", "", AND('ProductSprint Backlog'!$J241&gt;N$2,'ProductSprint Backlog'!$I241&lt;=N$2), 'ProductSprint Backlog'!$F241 / MAX(1, 'ProductSprint Backlog'!$J241-'ProductSprint Backlog'!$I241), AND('ProductSprint Backlog'!$J241=N$2,'ProductSprint Backlog'!$I241=N$2), 'ProductSprint Backlog'!$F241, TRUE, 0)</f>
        <v>0</v>
      </c>
      <c r="O241" s="4" cm="1">
        <f t="array" ref="O241">_xlfn.IFS('ProductSprint Backlog'!$F241="", "", AND('ProductSprint Backlog'!$J241&gt;O$2,'ProductSprint Backlog'!$I241&lt;=O$2), 'ProductSprint Backlog'!$F241 / MAX(1, 'ProductSprint Backlog'!$J241-'ProductSprint Backlog'!$I241), AND('ProductSprint Backlog'!$J241=O$2,'ProductSprint Backlog'!$I241=O$2), 'ProductSprint Backlog'!$F241, TRUE, 0)</f>
        <v>0</v>
      </c>
      <c r="P241" s="4" cm="1">
        <f t="array" ref="P241">_xlfn.IFS('ProductSprint Backlog'!$F241="", "", AND('ProductSprint Backlog'!$J241&gt;P$2,'ProductSprint Backlog'!$I241&lt;=P$2), 'ProductSprint Backlog'!$F241 / MAX(1, 'ProductSprint Backlog'!$J241-'ProductSprint Backlog'!$I241), AND('ProductSprint Backlog'!$J241=P$2,'ProductSprint Backlog'!$I241=P$2), 'ProductSprint Backlog'!$F241, TRUE, 0)</f>
        <v>0</v>
      </c>
      <c r="Q241" s="4" cm="1">
        <f t="array" ref="Q241">_xlfn.IFS('ProductSprint Backlog'!$F241="", "", AND('ProductSprint Backlog'!$J241&gt;Q$2,'ProductSprint Backlog'!$I241&lt;=Q$2), 'ProductSprint Backlog'!$F241 / MAX(1, 'ProductSprint Backlog'!$J241-'ProductSprint Backlog'!$I241), AND('ProductSprint Backlog'!$J241=Q$2,'ProductSprint Backlog'!$I241=Q$2), 'ProductSprint Backlog'!$F241, TRUE, 0)</f>
        <v>0</v>
      </c>
    </row>
    <row r="242" spans="2:17" x14ac:dyDescent="0.2">
      <c r="B242" s="4" cm="1">
        <f t="array" ref="B242">_xlfn.IFS('ProductSprint Backlog'!$F242="", "", AND('ProductSprint Backlog'!$J242&gt;B$2,'ProductSprint Backlog'!$I242&lt;=B$2), 'ProductSprint Backlog'!$F242 / MAX(1, 'ProductSprint Backlog'!$J242-'ProductSprint Backlog'!$I242), AND('ProductSprint Backlog'!$J242=B$2,'ProductSprint Backlog'!$I242=B$2), 'ProductSprint Backlog'!$F242, TRUE, 0)</f>
        <v>0</v>
      </c>
      <c r="C242" s="4" cm="1">
        <f t="array" ref="C242">_xlfn.IFS('ProductSprint Backlog'!$F242="", "", AND('ProductSprint Backlog'!$J242&gt;C$2,'ProductSprint Backlog'!$I242&lt;=C$2), 'ProductSprint Backlog'!$F242 / MAX(1, 'ProductSprint Backlog'!$J242-'ProductSprint Backlog'!$I242), AND('ProductSprint Backlog'!$J242=C$2,'ProductSprint Backlog'!$I242=C$2), 'ProductSprint Backlog'!$F242, TRUE, 0)</f>
        <v>0</v>
      </c>
      <c r="D242" s="4" cm="1">
        <f t="array" ref="D242">_xlfn.IFS('ProductSprint Backlog'!$F242="", "", AND('ProductSprint Backlog'!$J242&gt;D$2,'ProductSprint Backlog'!$I242&lt;=D$2), 'ProductSprint Backlog'!$F242 / MAX(1, 'ProductSprint Backlog'!$J242-'ProductSprint Backlog'!$I242), AND('ProductSprint Backlog'!$J242=D$2,'ProductSprint Backlog'!$I242=D$2), 'ProductSprint Backlog'!$F242, TRUE, 0)</f>
        <v>0</v>
      </c>
      <c r="E242" s="4" cm="1">
        <f t="array" ref="E242">_xlfn.IFS('ProductSprint Backlog'!$F242="", "", AND('ProductSprint Backlog'!$J242&gt;E$2,'ProductSprint Backlog'!$I242&lt;=E$2), 'ProductSprint Backlog'!$F242 / MAX(1, 'ProductSprint Backlog'!$J242-'ProductSprint Backlog'!$I242), AND('ProductSprint Backlog'!$J242=E$2,'ProductSprint Backlog'!$I242=E$2), 'ProductSprint Backlog'!$F242, TRUE, 0)</f>
        <v>0</v>
      </c>
      <c r="F242" s="4" cm="1">
        <f t="array" ref="F242">_xlfn.IFS('ProductSprint Backlog'!$F242="", "", AND('ProductSprint Backlog'!$J242&gt;F$2,'ProductSprint Backlog'!$I242&lt;=F$2), 'ProductSprint Backlog'!$F242 / MAX(1, 'ProductSprint Backlog'!$J242-'ProductSprint Backlog'!$I242), AND('ProductSprint Backlog'!$J242=F$2,'ProductSprint Backlog'!$I242=F$2), 'ProductSprint Backlog'!$F242, TRUE, 0)</f>
        <v>0</v>
      </c>
      <c r="G242" s="4" cm="1">
        <f t="array" ref="G242">_xlfn.IFS('ProductSprint Backlog'!$F242="", "", AND('ProductSprint Backlog'!$J242&gt;G$2,'ProductSprint Backlog'!$I242&lt;=G$2), 'ProductSprint Backlog'!$F242 / MAX(1, 'ProductSprint Backlog'!$J242-'ProductSprint Backlog'!$I242), AND('ProductSprint Backlog'!$J242=G$2,'ProductSprint Backlog'!$I242=G$2), 'ProductSprint Backlog'!$F242, TRUE, 0)</f>
        <v>0</v>
      </c>
      <c r="H242" s="4" cm="1">
        <f t="array" ref="H242">_xlfn.IFS('ProductSprint Backlog'!$F242="", "", AND('ProductSprint Backlog'!$J242&gt;H$2,'ProductSprint Backlog'!$I242&lt;=H$2), 'ProductSprint Backlog'!$F242 / MAX(1, 'ProductSprint Backlog'!$J242-'ProductSprint Backlog'!$I242), AND('ProductSprint Backlog'!$J242=H$2,'ProductSprint Backlog'!$I242=H$2), 'ProductSprint Backlog'!$F242, TRUE, 0)</f>
        <v>0</v>
      </c>
      <c r="I242" s="4" cm="1">
        <f t="array" ref="I242">_xlfn.IFS('ProductSprint Backlog'!$F242="", "", AND('ProductSprint Backlog'!$J242&gt;I$2,'ProductSprint Backlog'!$I242&lt;=I$2), 'ProductSprint Backlog'!$F242 / MAX(1, 'ProductSprint Backlog'!$J242-'ProductSprint Backlog'!$I242), AND('ProductSprint Backlog'!$J242=I$2,'ProductSprint Backlog'!$I242=I$2), 'ProductSprint Backlog'!$F242, TRUE, 0)</f>
        <v>0</v>
      </c>
      <c r="J242" s="4" cm="1">
        <f t="array" ref="J242">_xlfn.IFS('ProductSprint Backlog'!$F242="", "", AND('ProductSprint Backlog'!$J242&gt;J$2,'ProductSprint Backlog'!$I242&lt;=J$2), 'ProductSprint Backlog'!$F242 / MAX(1, 'ProductSprint Backlog'!$J242-'ProductSprint Backlog'!$I242), AND('ProductSprint Backlog'!$J242=J$2,'ProductSprint Backlog'!$I242=J$2), 'ProductSprint Backlog'!$F242, TRUE, 0)</f>
        <v>0</v>
      </c>
      <c r="K242" s="4" cm="1">
        <f t="array" ref="K242">_xlfn.IFS('ProductSprint Backlog'!$F242="", "", AND('ProductSprint Backlog'!$J242&gt;K$2,'ProductSprint Backlog'!$I242&lt;=K$2), 'ProductSprint Backlog'!$F242 / MAX(1, 'ProductSprint Backlog'!$J242-'ProductSprint Backlog'!$I242), AND('ProductSprint Backlog'!$J242=K$2,'ProductSprint Backlog'!$I242=K$2), 'ProductSprint Backlog'!$F242, TRUE, 0)</f>
        <v>0</v>
      </c>
      <c r="L242" s="4" cm="1">
        <f t="array" ref="L242">_xlfn.IFS('ProductSprint Backlog'!$F242="", "", AND('ProductSprint Backlog'!$J242&gt;L$2,'ProductSprint Backlog'!$I242&lt;=L$2), 'ProductSprint Backlog'!$F242 / MAX(1, 'ProductSprint Backlog'!$J242-'ProductSprint Backlog'!$I242), AND('ProductSprint Backlog'!$J242=L$2,'ProductSprint Backlog'!$I242=L$2), 'ProductSprint Backlog'!$F242, TRUE, 0)</f>
        <v>0</v>
      </c>
      <c r="M242" s="4" cm="1">
        <f t="array" ref="M242">_xlfn.IFS('ProductSprint Backlog'!$F242="", "", AND('ProductSprint Backlog'!$J242&gt;M$2,'ProductSprint Backlog'!$I242&lt;=M$2), 'ProductSprint Backlog'!$F242 / MAX(1, 'ProductSprint Backlog'!$J242-'ProductSprint Backlog'!$I242), AND('ProductSprint Backlog'!$J242=M$2,'ProductSprint Backlog'!$I242=M$2), 'ProductSprint Backlog'!$F242, TRUE, 0)</f>
        <v>0</v>
      </c>
      <c r="N242" s="4" cm="1">
        <f t="array" ref="N242">_xlfn.IFS('ProductSprint Backlog'!$F242="", "", AND('ProductSprint Backlog'!$J242&gt;N$2,'ProductSprint Backlog'!$I242&lt;=N$2), 'ProductSprint Backlog'!$F242 / MAX(1, 'ProductSprint Backlog'!$J242-'ProductSprint Backlog'!$I242), AND('ProductSprint Backlog'!$J242=N$2,'ProductSprint Backlog'!$I242=N$2), 'ProductSprint Backlog'!$F242, TRUE, 0)</f>
        <v>0</v>
      </c>
      <c r="O242" s="4" cm="1">
        <f t="array" ref="O242">_xlfn.IFS('ProductSprint Backlog'!$F242="", "", AND('ProductSprint Backlog'!$J242&gt;O$2,'ProductSprint Backlog'!$I242&lt;=O$2), 'ProductSprint Backlog'!$F242 / MAX(1, 'ProductSprint Backlog'!$J242-'ProductSprint Backlog'!$I242), AND('ProductSprint Backlog'!$J242=O$2,'ProductSprint Backlog'!$I242=O$2), 'ProductSprint Backlog'!$F242, TRUE, 0)</f>
        <v>0</v>
      </c>
      <c r="P242" s="4" cm="1">
        <f t="array" ref="P242">_xlfn.IFS('ProductSprint Backlog'!$F242="", "", AND('ProductSprint Backlog'!$J242&gt;P$2,'ProductSprint Backlog'!$I242&lt;=P$2), 'ProductSprint Backlog'!$F242 / MAX(1, 'ProductSprint Backlog'!$J242-'ProductSprint Backlog'!$I242), AND('ProductSprint Backlog'!$J242=P$2,'ProductSprint Backlog'!$I242=P$2), 'ProductSprint Backlog'!$F242, TRUE, 0)</f>
        <v>0</v>
      </c>
      <c r="Q242" s="4" cm="1">
        <f t="array" ref="Q242">_xlfn.IFS('ProductSprint Backlog'!$F242="", "", AND('ProductSprint Backlog'!$J242&gt;Q$2,'ProductSprint Backlog'!$I242&lt;=Q$2), 'ProductSprint Backlog'!$F242 / MAX(1, 'ProductSprint Backlog'!$J242-'ProductSprint Backlog'!$I242), AND('ProductSprint Backlog'!$J242=Q$2,'ProductSprint Backlog'!$I242=Q$2), 'ProductSprint Backlog'!$F242, TRUE, 0)</f>
        <v>0</v>
      </c>
    </row>
    <row r="243" spans="2:17" x14ac:dyDescent="0.2">
      <c r="B243" s="4" cm="1">
        <f t="array" ref="B243">_xlfn.IFS('ProductSprint Backlog'!$F243="", "", AND('ProductSprint Backlog'!$J243&gt;B$2,'ProductSprint Backlog'!$I243&lt;=B$2), 'ProductSprint Backlog'!$F243 / MAX(1, 'ProductSprint Backlog'!$J243-'ProductSprint Backlog'!$I243), AND('ProductSprint Backlog'!$J243=B$2,'ProductSprint Backlog'!$I243=B$2), 'ProductSprint Backlog'!$F243, TRUE, 0)</f>
        <v>0</v>
      </c>
      <c r="C243" s="4" cm="1">
        <f t="array" ref="C243">_xlfn.IFS('ProductSprint Backlog'!$F243="", "", AND('ProductSprint Backlog'!$J243&gt;C$2,'ProductSprint Backlog'!$I243&lt;=C$2), 'ProductSprint Backlog'!$F243 / MAX(1, 'ProductSprint Backlog'!$J243-'ProductSprint Backlog'!$I243), AND('ProductSprint Backlog'!$J243=C$2,'ProductSprint Backlog'!$I243=C$2), 'ProductSprint Backlog'!$F243, TRUE, 0)</f>
        <v>0</v>
      </c>
      <c r="D243" s="4" cm="1">
        <f t="array" ref="D243">_xlfn.IFS('ProductSprint Backlog'!$F243="", "", AND('ProductSprint Backlog'!$J243&gt;D$2,'ProductSprint Backlog'!$I243&lt;=D$2), 'ProductSprint Backlog'!$F243 / MAX(1, 'ProductSprint Backlog'!$J243-'ProductSprint Backlog'!$I243), AND('ProductSprint Backlog'!$J243=D$2,'ProductSprint Backlog'!$I243=D$2), 'ProductSprint Backlog'!$F243, TRUE, 0)</f>
        <v>0</v>
      </c>
      <c r="E243" s="4" cm="1">
        <f t="array" ref="E243">_xlfn.IFS('ProductSprint Backlog'!$F243="", "", AND('ProductSprint Backlog'!$J243&gt;E$2,'ProductSprint Backlog'!$I243&lt;=E$2), 'ProductSprint Backlog'!$F243 / MAX(1, 'ProductSprint Backlog'!$J243-'ProductSprint Backlog'!$I243), AND('ProductSprint Backlog'!$J243=E$2,'ProductSprint Backlog'!$I243=E$2), 'ProductSprint Backlog'!$F243, TRUE, 0)</f>
        <v>0</v>
      </c>
      <c r="F243" s="4" cm="1">
        <f t="array" ref="F243">_xlfn.IFS('ProductSprint Backlog'!$F243="", "", AND('ProductSprint Backlog'!$J243&gt;F$2,'ProductSprint Backlog'!$I243&lt;=F$2), 'ProductSprint Backlog'!$F243 / MAX(1, 'ProductSprint Backlog'!$J243-'ProductSprint Backlog'!$I243), AND('ProductSprint Backlog'!$J243=F$2,'ProductSprint Backlog'!$I243=F$2), 'ProductSprint Backlog'!$F243, TRUE, 0)</f>
        <v>0</v>
      </c>
      <c r="G243" s="4" cm="1">
        <f t="array" ref="G243">_xlfn.IFS('ProductSprint Backlog'!$F243="", "", AND('ProductSprint Backlog'!$J243&gt;G$2,'ProductSprint Backlog'!$I243&lt;=G$2), 'ProductSprint Backlog'!$F243 / MAX(1, 'ProductSprint Backlog'!$J243-'ProductSprint Backlog'!$I243), AND('ProductSprint Backlog'!$J243=G$2,'ProductSprint Backlog'!$I243=G$2), 'ProductSprint Backlog'!$F243, TRUE, 0)</f>
        <v>0</v>
      </c>
      <c r="H243" s="4" cm="1">
        <f t="array" ref="H243">_xlfn.IFS('ProductSprint Backlog'!$F243="", "", AND('ProductSprint Backlog'!$J243&gt;H$2,'ProductSprint Backlog'!$I243&lt;=H$2), 'ProductSprint Backlog'!$F243 / MAX(1, 'ProductSprint Backlog'!$J243-'ProductSprint Backlog'!$I243), AND('ProductSprint Backlog'!$J243=H$2,'ProductSprint Backlog'!$I243=H$2), 'ProductSprint Backlog'!$F243, TRUE, 0)</f>
        <v>0</v>
      </c>
      <c r="I243" s="4" cm="1">
        <f t="array" ref="I243">_xlfn.IFS('ProductSprint Backlog'!$F243="", "", AND('ProductSprint Backlog'!$J243&gt;I$2,'ProductSprint Backlog'!$I243&lt;=I$2), 'ProductSprint Backlog'!$F243 / MAX(1, 'ProductSprint Backlog'!$J243-'ProductSprint Backlog'!$I243), AND('ProductSprint Backlog'!$J243=I$2,'ProductSprint Backlog'!$I243=I$2), 'ProductSprint Backlog'!$F243, TRUE, 0)</f>
        <v>0</v>
      </c>
      <c r="J243" s="4" cm="1">
        <f t="array" ref="J243">_xlfn.IFS('ProductSprint Backlog'!$F243="", "", AND('ProductSprint Backlog'!$J243&gt;J$2,'ProductSprint Backlog'!$I243&lt;=J$2), 'ProductSprint Backlog'!$F243 / MAX(1, 'ProductSprint Backlog'!$J243-'ProductSprint Backlog'!$I243), AND('ProductSprint Backlog'!$J243=J$2,'ProductSprint Backlog'!$I243=J$2), 'ProductSprint Backlog'!$F243, TRUE, 0)</f>
        <v>0</v>
      </c>
      <c r="K243" s="4" cm="1">
        <f t="array" ref="K243">_xlfn.IFS('ProductSprint Backlog'!$F243="", "", AND('ProductSprint Backlog'!$J243&gt;K$2,'ProductSprint Backlog'!$I243&lt;=K$2), 'ProductSprint Backlog'!$F243 / MAX(1, 'ProductSprint Backlog'!$J243-'ProductSprint Backlog'!$I243), AND('ProductSprint Backlog'!$J243=K$2,'ProductSprint Backlog'!$I243=K$2), 'ProductSprint Backlog'!$F243, TRUE, 0)</f>
        <v>0</v>
      </c>
      <c r="L243" s="4" cm="1">
        <f t="array" ref="L243">_xlfn.IFS('ProductSprint Backlog'!$F243="", "", AND('ProductSprint Backlog'!$J243&gt;L$2,'ProductSprint Backlog'!$I243&lt;=L$2), 'ProductSprint Backlog'!$F243 / MAX(1, 'ProductSprint Backlog'!$J243-'ProductSprint Backlog'!$I243), AND('ProductSprint Backlog'!$J243=L$2,'ProductSprint Backlog'!$I243=L$2), 'ProductSprint Backlog'!$F243, TRUE, 0)</f>
        <v>0</v>
      </c>
      <c r="M243" s="4" cm="1">
        <f t="array" ref="M243">_xlfn.IFS('ProductSprint Backlog'!$F243="", "", AND('ProductSprint Backlog'!$J243&gt;M$2,'ProductSprint Backlog'!$I243&lt;=M$2), 'ProductSprint Backlog'!$F243 / MAX(1, 'ProductSprint Backlog'!$J243-'ProductSprint Backlog'!$I243), AND('ProductSprint Backlog'!$J243=M$2,'ProductSprint Backlog'!$I243=M$2), 'ProductSprint Backlog'!$F243, TRUE, 0)</f>
        <v>0</v>
      </c>
      <c r="N243" s="4" cm="1">
        <f t="array" ref="N243">_xlfn.IFS('ProductSprint Backlog'!$F243="", "", AND('ProductSprint Backlog'!$J243&gt;N$2,'ProductSprint Backlog'!$I243&lt;=N$2), 'ProductSprint Backlog'!$F243 / MAX(1, 'ProductSprint Backlog'!$J243-'ProductSprint Backlog'!$I243), AND('ProductSprint Backlog'!$J243=N$2,'ProductSprint Backlog'!$I243=N$2), 'ProductSprint Backlog'!$F243, TRUE, 0)</f>
        <v>0</v>
      </c>
      <c r="O243" s="4" cm="1">
        <f t="array" ref="O243">_xlfn.IFS('ProductSprint Backlog'!$F243="", "", AND('ProductSprint Backlog'!$J243&gt;O$2,'ProductSprint Backlog'!$I243&lt;=O$2), 'ProductSprint Backlog'!$F243 / MAX(1, 'ProductSprint Backlog'!$J243-'ProductSprint Backlog'!$I243), AND('ProductSprint Backlog'!$J243=O$2,'ProductSprint Backlog'!$I243=O$2), 'ProductSprint Backlog'!$F243, TRUE, 0)</f>
        <v>0</v>
      </c>
      <c r="P243" s="4" cm="1">
        <f t="array" ref="P243">_xlfn.IFS('ProductSprint Backlog'!$F243="", "", AND('ProductSprint Backlog'!$J243&gt;P$2,'ProductSprint Backlog'!$I243&lt;=P$2), 'ProductSprint Backlog'!$F243 / MAX(1, 'ProductSprint Backlog'!$J243-'ProductSprint Backlog'!$I243), AND('ProductSprint Backlog'!$J243=P$2,'ProductSprint Backlog'!$I243=P$2), 'ProductSprint Backlog'!$F243, TRUE, 0)</f>
        <v>0</v>
      </c>
      <c r="Q243" s="4" cm="1">
        <f t="array" ref="Q243">_xlfn.IFS('ProductSprint Backlog'!$F243="", "", AND('ProductSprint Backlog'!$J243&gt;Q$2,'ProductSprint Backlog'!$I243&lt;=Q$2), 'ProductSprint Backlog'!$F243 / MAX(1, 'ProductSprint Backlog'!$J243-'ProductSprint Backlog'!$I243), AND('ProductSprint Backlog'!$J243=Q$2,'ProductSprint Backlog'!$I243=Q$2), 'ProductSprint Backlog'!$F243, TRUE, 0)</f>
        <v>0</v>
      </c>
    </row>
    <row r="244" spans="2:17" x14ac:dyDescent="0.2">
      <c r="B244" s="4" cm="1">
        <f t="array" ref="B244">_xlfn.IFS('ProductSprint Backlog'!$F244="", "", AND('ProductSprint Backlog'!$J244&gt;B$2,'ProductSprint Backlog'!$I244&lt;=B$2), 'ProductSprint Backlog'!$F244 / MAX(1, 'ProductSprint Backlog'!$J244-'ProductSprint Backlog'!$I244), AND('ProductSprint Backlog'!$J244=B$2,'ProductSprint Backlog'!$I244=B$2), 'ProductSprint Backlog'!$F244, TRUE, 0)</f>
        <v>0</v>
      </c>
      <c r="C244" s="4" cm="1">
        <f t="array" ref="C244">_xlfn.IFS('ProductSprint Backlog'!$F244="", "", AND('ProductSprint Backlog'!$J244&gt;C$2,'ProductSprint Backlog'!$I244&lt;=C$2), 'ProductSprint Backlog'!$F244 / MAX(1, 'ProductSprint Backlog'!$J244-'ProductSprint Backlog'!$I244), AND('ProductSprint Backlog'!$J244=C$2,'ProductSprint Backlog'!$I244=C$2), 'ProductSprint Backlog'!$F244, TRUE, 0)</f>
        <v>0</v>
      </c>
      <c r="D244" s="4" cm="1">
        <f t="array" ref="D244">_xlfn.IFS('ProductSprint Backlog'!$F244="", "", AND('ProductSprint Backlog'!$J244&gt;D$2,'ProductSprint Backlog'!$I244&lt;=D$2), 'ProductSprint Backlog'!$F244 / MAX(1, 'ProductSprint Backlog'!$J244-'ProductSprint Backlog'!$I244), AND('ProductSprint Backlog'!$J244=D$2,'ProductSprint Backlog'!$I244=D$2), 'ProductSprint Backlog'!$F244, TRUE, 0)</f>
        <v>0</v>
      </c>
      <c r="E244" s="4" cm="1">
        <f t="array" ref="E244">_xlfn.IFS('ProductSprint Backlog'!$F244="", "", AND('ProductSprint Backlog'!$J244&gt;E$2,'ProductSprint Backlog'!$I244&lt;=E$2), 'ProductSprint Backlog'!$F244 / MAX(1, 'ProductSprint Backlog'!$J244-'ProductSprint Backlog'!$I244), AND('ProductSprint Backlog'!$J244=E$2,'ProductSprint Backlog'!$I244=E$2), 'ProductSprint Backlog'!$F244, TRUE, 0)</f>
        <v>0</v>
      </c>
      <c r="F244" s="4" cm="1">
        <f t="array" ref="F244">_xlfn.IFS('ProductSprint Backlog'!$F244="", "", AND('ProductSprint Backlog'!$J244&gt;F$2,'ProductSprint Backlog'!$I244&lt;=F$2), 'ProductSprint Backlog'!$F244 / MAX(1, 'ProductSprint Backlog'!$J244-'ProductSprint Backlog'!$I244), AND('ProductSprint Backlog'!$J244=F$2,'ProductSprint Backlog'!$I244=F$2), 'ProductSprint Backlog'!$F244, TRUE, 0)</f>
        <v>0</v>
      </c>
      <c r="G244" s="4" cm="1">
        <f t="array" ref="G244">_xlfn.IFS('ProductSprint Backlog'!$F244="", "", AND('ProductSprint Backlog'!$J244&gt;G$2,'ProductSprint Backlog'!$I244&lt;=G$2), 'ProductSprint Backlog'!$F244 / MAX(1, 'ProductSprint Backlog'!$J244-'ProductSprint Backlog'!$I244), AND('ProductSprint Backlog'!$J244=G$2,'ProductSprint Backlog'!$I244=G$2), 'ProductSprint Backlog'!$F244, TRUE, 0)</f>
        <v>0</v>
      </c>
      <c r="H244" s="4" cm="1">
        <f t="array" ref="H244">_xlfn.IFS('ProductSprint Backlog'!$F244="", "", AND('ProductSprint Backlog'!$J244&gt;H$2,'ProductSprint Backlog'!$I244&lt;=H$2), 'ProductSprint Backlog'!$F244 / MAX(1, 'ProductSprint Backlog'!$J244-'ProductSprint Backlog'!$I244), AND('ProductSprint Backlog'!$J244=H$2,'ProductSprint Backlog'!$I244=H$2), 'ProductSprint Backlog'!$F244, TRUE, 0)</f>
        <v>0</v>
      </c>
      <c r="I244" s="4" cm="1">
        <f t="array" ref="I244">_xlfn.IFS('ProductSprint Backlog'!$F244="", "", AND('ProductSprint Backlog'!$J244&gt;I$2,'ProductSprint Backlog'!$I244&lt;=I$2), 'ProductSprint Backlog'!$F244 / MAX(1, 'ProductSprint Backlog'!$J244-'ProductSprint Backlog'!$I244), AND('ProductSprint Backlog'!$J244=I$2,'ProductSprint Backlog'!$I244=I$2), 'ProductSprint Backlog'!$F244, TRUE, 0)</f>
        <v>0</v>
      </c>
      <c r="J244" s="4" cm="1">
        <f t="array" ref="J244">_xlfn.IFS('ProductSprint Backlog'!$F244="", "", AND('ProductSprint Backlog'!$J244&gt;J$2,'ProductSprint Backlog'!$I244&lt;=J$2), 'ProductSprint Backlog'!$F244 / MAX(1, 'ProductSprint Backlog'!$J244-'ProductSprint Backlog'!$I244), AND('ProductSprint Backlog'!$J244=J$2,'ProductSprint Backlog'!$I244=J$2), 'ProductSprint Backlog'!$F244, TRUE, 0)</f>
        <v>0</v>
      </c>
      <c r="K244" s="4" cm="1">
        <f t="array" ref="K244">_xlfn.IFS('ProductSprint Backlog'!$F244="", "", AND('ProductSprint Backlog'!$J244&gt;K$2,'ProductSprint Backlog'!$I244&lt;=K$2), 'ProductSprint Backlog'!$F244 / MAX(1, 'ProductSprint Backlog'!$J244-'ProductSprint Backlog'!$I244), AND('ProductSprint Backlog'!$J244=K$2,'ProductSprint Backlog'!$I244=K$2), 'ProductSprint Backlog'!$F244, TRUE, 0)</f>
        <v>0</v>
      </c>
      <c r="L244" s="4" cm="1">
        <f t="array" ref="L244">_xlfn.IFS('ProductSprint Backlog'!$F244="", "", AND('ProductSprint Backlog'!$J244&gt;L$2,'ProductSprint Backlog'!$I244&lt;=L$2), 'ProductSprint Backlog'!$F244 / MAX(1, 'ProductSprint Backlog'!$J244-'ProductSprint Backlog'!$I244), AND('ProductSprint Backlog'!$J244=L$2,'ProductSprint Backlog'!$I244=L$2), 'ProductSprint Backlog'!$F244, TRUE, 0)</f>
        <v>0</v>
      </c>
      <c r="M244" s="4" cm="1">
        <f t="array" ref="M244">_xlfn.IFS('ProductSprint Backlog'!$F244="", "", AND('ProductSprint Backlog'!$J244&gt;M$2,'ProductSprint Backlog'!$I244&lt;=M$2), 'ProductSprint Backlog'!$F244 / MAX(1, 'ProductSprint Backlog'!$J244-'ProductSprint Backlog'!$I244), AND('ProductSprint Backlog'!$J244=M$2,'ProductSprint Backlog'!$I244=M$2), 'ProductSprint Backlog'!$F244, TRUE, 0)</f>
        <v>0</v>
      </c>
      <c r="N244" s="4" cm="1">
        <f t="array" ref="N244">_xlfn.IFS('ProductSprint Backlog'!$F244="", "", AND('ProductSprint Backlog'!$J244&gt;N$2,'ProductSprint Backlog'!$I244&lt;=N$2), 'ProductSprint Backlog'!$F244 / MAX(1, 'ProductSprint Backlog'!$J244-'ProductSprint Backlog'!$I244), AND('ProductSprint Backlog'!$J244=N$2,'ProductSprint Backlog'!$I244=N$2), 'ProductSprint Backlog'!$F244, TRUE, 0)</f>
        <v>0</v>
      </c>
      <c r="O244" s="4" cm="1">
        <f t="array" ref="O244">_xlfn.IFS('ProductSprint Backlog'!$F244="", "", AND('ProductSprint Backlog'!$J244&gt;O$2,'ProductSprint Backlog'!$I244&lt;=O$2), 'ProductSprint Backlog'!$F244 / MAX(1, 'ProductSprint Backlog'!$J244-'ProductSprint Backlog'!$I244), AND('ProductSprint Backlog'!$J244=O$2,'ProductSprint Backlog'!$I244=O$2), 'ProductSprint Backlog'!$F244, TRUE, 0)</f>
        <v>0</v>
      </c>
      <c r="P244" s="4" cm="1">
        <f t="array" ref="P244">_xlfn.IFS('ProductSprint Backlog'!$F244="", "", AND('ProductSprint Backlog'!$J244&gt;P$2,'ProductSprint Backlog'!$I244&lt;=P$2), 'ProductSprint Backlog'!$F244 / MAX(1, 'ProductSprint Backlog'!$J244-'ProductSprint Backlog'!$I244), AND('ProductSprint Backlog'!$J244=P$2,'ProductSprint Backlog'!$I244=P$2), 'ProductSprint Backlog'!$F244, TRUE, 0)</f>
        <v>0</v>
      </c>
      <c r="Q244" s="4" cm="1">
        <f t="array" ref="Q244">_xlfn.IFS('ProductSprint Backlog'!$F244="", "", AND('ProductSprint Backlog'!$J244&gt;Q$2,'ProductSprint Backlog'!$I244&lt;=Q$2), 'ProductSprint Backlog'!$F244 / MAX(1, 'ProductSprint Backlog'!$J244-'ProductSprint Backlog'!$I244), AND('ProductSprint Backlog'!$J244=Q$2,'ProductSprint Backlog'!$I244=Q$2), 'ProductSprint Backlog'!$F244, TRUE, 0)</f>
        <v>0</v>
      </c>
    </row>
    <row r="245" spans="2:17" x14ac:dyDescent="0.2">
      <c r="B245" s="4" cm="1">
        <f t="array" ref="B245">_xlfn.IFS('ProductSprint Backlog'!$F245="", "", AND('ProductSprint Backlog'!$J245&gt;B$2,'ProductSprint Backlog'!$I245&lt;=B$2), 'ProductSprint Backlog'!$F245 / MAX(1, 'ProductSprint Backlog'!$J245-'ProductSprint Backlog'!$I245), AND('ProductSprint Backlog'!$J245=B$2,'ProductSprint Backlog'!$I245=B$2), 'ProductSprint Backlog'!$F245, TRUE, 0)</f>
        <v>0</v>
      </c>
      <c r="C245" s="4" cm="1">
        <f t="array" ref="C245">_xlfn.IFS('ProductSprint Backlog'!$F245="", "", AND('ProductSprint Backlog'!$J245&gt;C$2,'ProductSprint Backlog'!$I245&lt;=C$2), 'ProductSprint Backlog'!$F245 / MAX(1, 'ProductSprint Backlog'!$J245-'ProductSprint Backlog'!$I245), AND('ProductSprint Backlog'!$J245=C$2,'ProductSprint Backlog'!$I245=C$2), 'ProductSprint Backlog'!$F245, TRUE, 0)</f>
        <v>0</v>
      </c>
      <c r="D245" s="4" cm="1">
        <f t="array" ref="D245">_xlfn.IFS('ProductSprint Backlog'!$F245="", "", AND('ProductSprint Backlog'!$J245&gt;D$2,'ProductSprint Backlog'!$I245&lt;=D$2), 'ProductSprint Backlog'!$F245 / MAX(1, 'ProductSprint Backlog'!$J245-'ProductSprint Backlog'!$I245), AND('ProductSprint Backlog'!$J245=D$2,'ProductSprint Backlog'!$I245=D$2), 'ProductSprint Backlog'!$F245, TRUE, 0)</f>
        <v>0</v>
      </c>
      <c r="E245" s="4" cm="1">
        <f t="array" ref="E245">_xlfn.IFS('ProductSprint Backlog'!$F245="", "", AND('ProductSprint Backlog'!$J245&gt;E$2,'ProductSprint Backlog'!$I245&lt;=E$2), 'ProductSprint Backlog'!$F245 / MAX(1, 'ProductSprint Backlog'!$J245-'ProductSprint Backlog'!$I245), AND('ProductSprint Backlog'!$J245=E$2,'ProductSprint Backlog'!$I245=E$2), 'ProductSprint Backlog'!$F245, TRUE, 0)</f>
        <v>0</v>
      </c>
      <c r="F245" s="4" cm="1">
        <f t="array" ref="F245">_xlfn.IFS('ProductSprint Backlog'!$F245="", "", AND('ProductSprint Backlog'!$J245&gt;F$2,'ProductSprint Backlog'!$I245&lt;=F$2), 'ProductSprint Backlog'!$F245 / MAX(1, 'ProductSprint Backlog'!$J245-'ProductSprint Backlog'!$I245), AND('ProductSprint Backlog'!$J245=F$2,'ProductSprint Backlog'!$I245=F$2), 'ProductSprint Backlog'!$F245, TRUE, 0)</f>
        <v>0</v>
      </c>
      <c r="G245" s="4" cm="1">
        <f t="array" ref="G245">_xlfn.IFS('ProductSprint Backlog'!$F245="", "", AND('ProductSprint Backlog'!$J245&gt;G$2,'ProductSprint Backlog'!$I245&lt;=G$2), 'ProductSprint Backlog'!$F245 / MAX(1, 'ProductSprint Backlog'!$J245-'ProductSprint Backlog'!$I245), AND('ProductSprint Backlog'!$J245=G$2,'ProductSprint Backlog'!$I245=G$2), 'ProductSprint Backlog'!$F245, TRUE, 0)</f>
        <v>0</v>
      </c>
      <c r="H245" s="4" cm="1">
        <f t="array" ref="H245">_xlfn.IFS('ProductSprint Backlog'!$F245="", "", AND('ProductSprint Backlog'!$J245&gt;H$2,'ProductSprint Backlog'!$I245&lt;=H$2), 'ProductSprint Backlog'!$F245 / MAX(1, 'ProductSprint Backlog'!$J245-'ProductSprint Backlog'!$I245), AND('ProductSprint Backlog'!$J245=H$2,'ProductSprint Backlog'!$I245=H$2), 'ProductSprint Backlog'!$F245, TRUE, 0)</f>
        <v>0</v>
      </c>
      <c r="I245" s="4" cm="1">
        <f t="array" ref="I245">_xlfn.IFS('ProductSprint Backlog'!$F245="", "", AND('ProductSprint Backlog'!$J245&gt;I$2,'ProductSprint Backlog'!$I245&lt;=I$2), 'ProductSprint Backlog'!$F245 / MAX(1, 'ProductSprint Backlog'!$J245-'ProductSprint Backlog'!$I245), AND('ProductSprint Backlog'!$J245=I$2,'ProductSprint Backlog'!$I245=I$2), 'ProductSprint Backlog'!$F245, TRUE, 0)</f>
        <v>0</v>
      </c>
      <c r="J245" s="4" cm="1">
        <f t="array" ref="J245">_xlfn.IFS('ProductSprint Backlog'!$F245="", "", AND('ProductSprint Backlog'!$J245&gt;J$2,'ProductSprint Backlog'!$I245&lt;=J$2), 'ProductSprint Backlog'!$F245 / MAX(1, 'ProductSprint Backlog'!$J245-'ProductSprint Backlog'!$I245), AND('ProductSprint Backlog'!$J245=J$2,'ProductSprint Backlog'!$I245=J$2), 'ProductSprint Backlog'!$F245, TRUE, 0)</f>
        <v>0</v>
      </c>
      <c r="K245" s="4" cm="1">
        <f t="array" ref="K245">_xlfn.IFS('ProductSprint Backlog'!$F245="", "", AND('ProductSprint Backlog'!$J245&gt;K$2,'ProductSprint Backlog'!$I245&lt;=K$2), 'ProductSprint Backlog'!$F245 / MAX(1, 'ProductSprint Backlog'!$J245-'ProductSprint Backlog'!$I245), AND('ProductSprint Backlog'!$J245=K$2,'ProductSprint Backlog'!$I245=K$2), 'ProductSprint Backlog'!$F245, TRUE, 0)</f>
        <v>0</v>
      </c>
      <c r="L245" s="4" cm="1">
        <f t="array" ref="L245">_xlfn.IFS('ProductSprint Backlog'!$F245="", "", AND('ProductSprint Backlog'!$J245&gt;L$2,'ProductSprint Backlog'!$I245&lt;=L$2), 'ProductSprint Backlog'!$F245 / MAX(1, 'ProductSprint Backlog'!$J245-'ProductSprint Backlog'!$I245), AND('ProductSprint Backlog'!$J245=L$2,'ProductSprint Backlog'!$I245=L$2), 'ProductSprint Backlog'!$F245, TRUE, 0)</f>
        <v>0</v>
      </c>
      <c r="M245" s="4" cm="1">
        <f t="array" ref="M245">_xlfn.IFS('ProductSprint Backlog'!$F245="", "", AND('ProductSprint Backlog'!$J245&gt;M$2,'ProductSprint Backlog'!$I245&lt;=M$2), 'ProductSprint Backlog'!$F245 / MAX(1, 'ProductSprint Backlog'!$J245-'ProductSprint Backlog'!$I245), AND('ProductSprint Backlog'!$J245=M$2,'ProductSprint Backlog'!$I245=M$2), 'ProductSprint Backlog'!$F245, TRUE, 0)</f>
        <v>0</v>
      </c>
      <c r="N245" s="4" cm="1">
        <f t="array" ref="N245">_xlfn.IFS('ProductSprint Backlog'!$F245="", "", AND('ProductSprint Backlog'!$J245&gt;N$2,'ProductSprint Backlog'!$I245&lt;=N$2), 'ProductSprint Backlog'!$F245 / MAX(1, 'ProductSprint Backlog'!$J245-'ProductSprint Backlog'!$I245), AND('ProductSprint Backlog'!$J245=N$2,'ProductSprint Backlog'!$I245=N$2), 'ProductSprint Backlog'!$F245, TRUE, 0)</f>
        <v>0</v>
      </c>
      <c r="O245" s="4" cm="1">
        <f t="array" ref="O245">_xlfn.IFS('ProductSprint Backlog'!$F245="", "", AND('ProductSprint Backlog'!$J245&gt;O$2,'ProductSprint Backlog'!$I245&lt;=O$2), 'ProductSprint Backlog'!$F245 / MAX(1, 'ProductSprint Backlog'!$J245-'ProductSprint Backlog'!$I245), AND('ProductSprint Backlog'!$J245=O$2,'ProductSprint Backlog'!$I245=O$2), 'ProductSprint Backlog'!$F245, TRUE, 0)</f>
        <v>0</v>
      </c>
      <c r="P245" s="4" cm="1">
        <f t="array" ref="P245">_xlfn.IFS('ProductSprint Backlog'!$F245="", "", AND('ProductSprint Backlog'!$J245&gt;P$2,'ProductSprint Backlog'!$I245&lt;=P$2), 'ProductSprint Backlog'!$F245 / MAX(1, 'ProductSprint Backlog'!$J245-'ProductSprint Backlog'!$I245), AND('ProductSprint Backlog'!$J245=P$2,'ProductSprint Backlog'!$I245=P$2), 'ProductSprint Backlog'!$F245, TRUE, 0)</f>
        <v>0</v>
      </c>
      <c r="Q245" s="4" cm="1">
        <f t="array" ref="Q245">_xlfn.IFS('ProductSprint Backlog'!$F245="", "", AND('ProductSprint Backlog'!$J245&gt;Q$2,'ProductSprint Backlog'!$I245&lt;=Q$2), 'ProductSprint Backlog'!$F245 / MAX(1, 'ProductSprint Backlog'!$J245-'ProductSprint Backlog'!$I245), AND('ProductSprint Backlog'!$J245=Q$2,'ProductSprint Backlog'!$I245=Q$2), 'ProductSprint Backlog'!$F245, TRUE, 0)</f>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B1:T245"/>
  <sheetViews>
    <sheetView topLeftCell="A266" workbookViewId="0">
      <selection activeCell="B3" sqref="B3:T245"/>
    </sheetView>
  </sheetViews>
  <sheetFormatPr baseColWidth="10" defaultColWidth="12.5703125" defaultRowHeight="15.75" customHeight="1" x14ac:dyDescent="0.2"/>
  <sheetData>
    <row r="1" spans="2:20" x14ac:dyDescent="0.2">
      <c r="B1" s="4" t="s">
        <v>479</v>
      </c>
      <c r="C1" s="4" t="s">
        <v>480</v>
      </c>
      <c r="D1" s="4" t="s">
        <v>481</v>
      </c>
      <c r="E1" s="4" t="s">
        <v>482</v>
      </c>
      <c r="F1" s="4" t="s">
        <v>483</v>
      </c>
      <c r="G1" s="4" t="s">
        <v>484</v>
      </c>
      <c r="H1" s="4" t="s">
        <v>485</v>
      </c>
      <c r="I1" s="4" t="s">
        <v>486</v>
      </c>
      <c r="J1" s="4" t="s">
        <v>487</v>
      </c>
      <c r="K1" s="4" t="s">
        <v>502</v>
      </c>
      <c r="L1" s="4" t="s">
        <v>503</v>
      </c>
      <c r="M1" s="4" t="s">
        <v>504</v>
      </c>
      <c r="N1" s="4" t="s">
        <v>505</v>
      </c>
      <c r="O1" s="4" t="s">
        <v>506</v>
      </c>
      <c r="P1" s="4" t="s">
        <v>507</v>
      </c>
      <c r="Q1" s="4" t="s">
        <v>508</v>
      </c>
      <c r="R1" s="4" t="s">
        <v>519</v>
      </c>
      <c r="S1" s="4" t="s">
        <v>521</v>
      </c>
      <c r="T1" s="4" t="s">
        <v>542</v>
      </c>
    </row>
    <row r="2" spans="2:20" x14ac:dyDescent="0.2">
      <c r="B2" s="47">
        <v>45875</v>
      </c>
      <c r="C2" s="47">
        <v>45876</v>
      </c>
      <c r="D2" s="47">
        <v>45877</v>
      </c>
      <c r="E2" s="47">
        <v>45878</v>
      </c>
      <c r="F2" s="47">
        <v>45879</v>
      </c>
      <c r="G2" s="47">
        <v>45880</v>
      </c>
      <c r="H2" s="47">
        <v>45881</v>
      </c>
      <c r="I2" s="47">
        <v>45882</v>
      </c>
      <c r="J2" s="47">
        <v>45883</v>
      </c>
      <c r="K2" s="47">
        <v>45884</v>
      </c>
      <c r="L2" s="47">
        <v>45885</v>
      </c>
      <c r="M2" s="47">
        <v>45886</v>
      </c>
      <c r="N2" s="47">
        <v>45887</v>
      </c>
      <c r="O2" s="47">
        <v>45888</v>
      </c>
      <c r="P2" s="47">
        <v>45889</v>
      </c>
      <c r="Q2" s="47">
        <v>45890</v>
      </c>
      <c r="R2" s="47">
        <v>45891</v>
      </c>
      <c r="S2" s="47">
        <v>45892</v>
      </c>
      <c r="T2" s="47">
        <v>45893</v>
      </c>
    </row>
    <row r="3" spans="2:20" x14ac:dyDescent="0.2">
      <c r="B3" s="4" cm="1">
        <f t="array" ref="B3">_xlfn.IFS('ProductSprint Backlog'!$F3="", "", AND('ProductSprint Backlog'!$J3&gt;B$2,'ProductSprint Backlog'!$I3&lt;=B$2), 'ProductSprint Backlog'!$F3 / MAX(1, 'ProductSprint Backlog'!$J3-'ProductSprint Backlog'!$I3), AND('ProductSprint Backlog'!$J3=B$2,'ProductSprint Backlog'!$I3=B$2), 'ProductSprint Backlog'!$F3, TRUE, 0)</f>
        <v>0</v>
      </c>
      <c r="C3" s="4" cm="1">
        <f t="array" ref="C3">_xlfn.IFS('ProductSprint Backlog'!$F3="", "", AND('ProductSprint Backlog'!$J3&gt;C$2,'ProductSprint Backlog'!$I3&lt;=C$2), 'ProductSprint Backlog'!$F3 / MAX(1, 'ProductSprint Backlog'!$J3-'ProductSprint Backlog'!$I3), AND('ProductSprint Backlog'!$J3=C$2,'ProductSprint Backlog'!$I3=C$2), 'ProductSprint Backlog'!$F3, TRUE, 0)</f>
        <v>0</v>
      </c>
      <c r="D3" s="4" cm="1">
        <f t="array" ref="D3">_xlfn.IFS('ProductSprint Backlog'!$F3="", "", AND('ProductSprint Backlog'!$J3&gt;D$2,'ProductSprint Backlog'!$I3&lt;=D$2), 'ProductSprint Backlog'!$F3 / MAX(1, 'ProductSprint Backlog'!$J3-'ProductSprint Backlog'!$I3), AND('ProductSprint Backlog'!$J3=D$2,'ProductSprint Backlog'!$I3=D$2), 'ProductSprint Backlog'!$F3, TRUE, 0)</f>
        <v>0</v>
      </c>
      <c r="E3" s="4" cm="1">
        <f t="array" ref="E3">_xlfn.IFS('ProductSprint Backlog'!$F3="", "", AND('ProductSprint Backlog'!$J3&gt;E$2,'ProductSprint Backlog'!$I3&lt;=E$2), 'ProductSprint Backlog'!$F3 / MAX(1, 'ProductSprint Backlog'!$J3-'ProductSprint Backlog'!$I3), AND('ProductSprint Backlog'!$J3=E$2,'ProductSprint Backlog'!$I3=E$2), 'ProductSprint Backlog'!$F3, TRUE, 0)</f>
        <v>0</v>
      </c>
      <c r="F3" s="4" cm="1">
        <f t="array" ref="F3">_xlfn.IFS('ProductSprint Backlog'!$F3="", "", AND('ProductSprint Backlog'!$J3&gt;F$2,'ProductSprint Backlog'!$I3&lt;=F$2), 'ProductSprint Backlog'!$F3 / MAX(1, 'ProductSprint Backlog'!$J3-'ProductSprint Backlog'!$I3), AND('ProductSprint Backlog'!$J3=F$2,'ProductSprint Backlog'!$I3=F$2), 'ProductSprint Backlog'!$F3, TRUE, 0)</f>
        <v>0</v>
      </c>
      <c r="G3" s="4" cm="1">
        <f t="array" ref="G3">_xlfn.IFS('ProductSprint Backlog'!$F3="", "", AND('ProductSprint Backlog'!$J3&gt;G$2,'ProductSprint Backlog'!$I3&lt;=G$2), 'ProductSprint Backlog'!$F3 / MAX(1, 'ProductSprint Backlog'!$J3-'ProductSprint Backlog'!$I3), AND('ProductSprint Backlog'!$J3=G$2,'ProductSprint Backlog'!$I3=G$2), 'ProductSprint Backlog'!$F3, TRUE, 0)</f>
        <v>0</v>
      </c>
      <c r="H3" s="4" cm="1">
        <f t="array" ref="H3">_xlfn.IFS('ProductSprint Backlog'!$F3="", "", AND('ProductSprint Backlog'!$J3&gt;H$2,'ProductSprint Backlog'!$I3&lt;=H$2), 'ProductSprint Backlog'!$F3 / MAX(1, 'ProductSprint Backlog'!$J3-'ProductSprint Backlog'!$I3), AND('ProductSprint Backlog'!$J3=H$2,'ProductSprint Backlog'!$I3=H$2), 'ProductSprint Backlog'!$F3, TRUE, 0)</f>
        <v>0</v>
      </c>
      <c r="I3" s="4" cm="1">
        <f t="array" ref="I3">_xlfn.IFS('ProductSprint Backlog'!$F3="", "", AND('ProductSprint Backlog'!$J3&gt;I$2,'ProductSprint Backlog'!$I3&lt;=I$2), 'ProductSprint Backlog'!$F3 / MAX(1, 'ProductSprint Backlog'!$J3-'ProductSprint Backlog'!$I3), AND('ProductSprint Backlog'!$J3=I$2,'ProductSprint Backlog'!$I3=I$2), 'ProductSprint Backlog'!$F3, TRUE, 0)</f>
        <v>0</v>
      </c>
      <c r="J3" s="4" cm="1">
        <f t="array" ref="J3">_xlfn.IFS('ProductSprint Backlog'!$F3="", "", AND('ProductSprint Backlog'!$J3&gt;J$2,'ProductSprint Backlog'!$I3&lt;=J$2), 'ProductSprint Backlog'!$F3 / MAX(1, 'ProductSprint Backlog'!$J3-'ProductSprint Backlog'!$I3), AND('ProductSprint Backlog'!$J3=J$2,'ProductSprint Backlog'!$I3=J$2), 'ProductSprint Backlog'!$F3, TRUE, 0)</f>
        <v>0</v>
      </c>
      <c r="K3" s="4" cm="1">
        <f t="array" ref="K3">_xlfn.IFS('ProductSprint Backlog'!$F3="", "", AND('ProductSprint Backlog'!$J3&gt;K$2,'ProductSprint Backlog'!$I3&lt;=K$2), 'ProductSprint Backlog'!$F3 / MAX(1, 'ProductSprint Backlog'!$J3-'ProductSprint Backlog'!$I3), AND('ProductSprint Backlog'!$J3=K$2,'ProductSprint Backlog'!$I3=K$2), 'ProductSprint Backlog'!$F3, TRUE, 0)</f>
        <v>0</v>
      </c>
      <c r="L3" s="4" cm="1">
        <f t="array" ref="L3">_xlfn.IFS('ProductSprint Backlog'!$F3="", "", AND('ProductSprint Backlog'!$J3&gt;L$2,'ProductSprint Backlog'!$I3&lt;=L$2), 'ProductSprint Backlog'!$F3 / MAX(1, 'ProductSprint Backlog'!$J3-'ProductSprint Backlog'!$I3), AND('ProductSprint Backlog'!$J3=L$2,'ProductSprint Backlog'!$I3=L$2), 'ProductSprint Backlog'!$F3, TRUE, 0)</f>
        <v>0</v>
      </c>
      <c r="M3" s="4" cm="1">
        <f t="array" ref="M3">_xlfn.IFS('ProductSprint Backlog'!$F3="", "", AND('ProductSprint Backlog'!$J3&gt;M$2,'ProductSprint Backlog'!$I3&lt;=M$2), 'ProductSprint Backlog'!$F3 / MAX(1, 'ProductSprint Backlog'!$J3-'ProductSprint Backlog'!$I3), AND('ProductSprint Backlog'!$J3=M$2,'ProductSprint Backlog'!$I3=M$2), 'ProductSprint Backlog'!$F3, TRUE, 0)</f>
        <v>0</v>
      </c>
      <c r="N3" s="4" cm="1">
        <f t="array" ref="N3">_xlfn.IFS('ProductSprint Backlog'!$F3="", "", AND('ProductSprint Backlog'!$J3&gt;N$2,'ProductSprint Backlog'!$I3&lt;=N$2), 'ProductSprint Backlog'!$F3 / MAX(1, 'ProductSprint Backlog'!$J3-'ProductSprint Backlog'!$I3), AND('ProductSprint Backlog'!$J3=N$2,'ProductSprint Backlog'!$I3=N$2), 'ProductSprint Backlog'!$F3, TRUE, 0)</f>
        <v>0</v>
      </c>
      <c r="O3" s="4" cm="1">
        <f t="array" ref="O3">_xlfn.IFS('ProductSprint Backlog'!$F3="", "", AND('ProductSprint Backlog'!$J3&gt;O$2,'ProductSprint Backlog'!$I3&lt;=O$2), 'ProductSprint Backlog'!$F3 / MAX(1, 'ProductSprint Backlog'!$J3-'ProductSprint Backlog'!$I3), AND('ProductSprint Backlog'!$J3=O$2,'ProductSprint Backlog'!$I3=O$2), 'ProductSprint Backlog'!$F3, TRUE, 0)</f>
        <v>0</v>
      </c>
      <c r="P3" s="4" cm="1">
        <f t="array" ref="P3">_xlfn.IFS('ProductSprint Backlog'!$F3="", "", AND('ProductSprint Backlog'!$J3&gt;P$2,'ProductSprint Backlog'!$I3&lt;=P$2), 'ProductSprint Backlog'!$F3 / MAX(1, 'ProductSprint Backlog'!$J3-'ProductSprint Backlog'!$I3), AND('ProductSprint Backlog'!$J3=P$2,'ProductSprint Backlog'!$I3=P$2), 'ProductSprint Backlog'!$F3, TRUE, 0)</f>
        <v>0</v>
      </c>
      <c r="Q3" s="4" cm="1">
        <f t="array" ref="Q3">_xlfn.IFS('ProductSprint Backlog'!$F3="", "", AND('ProductSprint Backlog'!$J3&gt;Q$2,'ProductSprint Backlog'!$I3&lt;=Q$2), 'ProductSprint Backlog'!$F3 / MAX(1, 'ProductSprint Backlog'!$J3-'ProductSprint Backlog'!$I3), AND('ProductSprint Backlog'!$J3=Q$2,'ProductSprint Backlog'!$I3=Q$2), 'ProductSprint Backlog'!$F3, TRUE, 0)</f>
        <v>0</v>
      </c>
      <c r="R3" s="4" cm="1">
        <f t="array" ref="R3">_xlfn.IFS('ProductSprint Backlog'!$F3="", "", AND('ProductSprint Backlog'!$J3&gt;R$2,'ProductSprint Backlog'!$I3&lt;=R$2), 'ProductSprint Backlog'!$F3 / MAX(1, 'ProductSprint Backlog'!$J3-'ProductSprint Backlog'!$I3), AND('ProductSprint Backlog'!$J3=R$2,'ProductSprint Backlog'!$I3=R$2), 'ProductSprint Backlog'!$F3, TRUE, 0)</f>
        <v>0</v>
      </c>
      <c r="S3" s="4" cm="1">
        <f t="array" ref="S3">_xlfn.IFS('ProductSprint Backlog'!$F3="", "", AND('ProductSprint Backlog'!$J3&gt;S$2,'ProductSprint Backlog'!$I3&lt;=S$2), 'ProductSprint Backlog'!$F3 / MAX(1, 'ProductSprint Backlog'!$J3-'ProductSprint Backlog'!$I3), AND('ProductSprint Backlog'!$J3=S$2,'ProductSprint Backlog'!$I3=S$2), 'ProductSprint Backlog'!$F3, TRUE, 0)</f>
        <v>0</v>
      </c>
      <c r="T3" s="4" cm="1">
        <f t="array" ref="T3">_xlfn.IFS('ProductSprint Backlog'!$F3="", "", AND('ProductSprint Backlog'!$J3&gt;T$2,'ProductSprint Backlog'!$I3&lt;=T$2), 'ProductSprint Backlog'!$F3 / MAX(1, 'ProductSprint Backlog'!$J3-'ProductSprint Backlog'!$I3), AND('ProductSprint Backlog'!$J3=T$2,'ProductSprint Backlog'!$I3=T$2), 'ProductSprint Backlog'!$F3, TRUE, 0)</f>
        <v>0</v>
      </c>
    </row>
    <row r="4" spans="2:20" x14ac:dyDescent="0.2">
      <c r="B4" s="4" cm="1">
        <f t="array" ref="B4">_xlfn.IFS('ProductSprint Backlog'!$F4="", "", AND('ProductSprint Backlog'!$J4&gt;B$2,'ProductSprint Backlog'!$I4&lt;=B$2), 'ProductSprint Backlog'!$F4 / MAX(1, 'ProductSprint Backlog'!$J4-'ProductSprint Backlog'!$I4), AND('ProductSprint Backlog'!$J4=B$2,'ProductSprint Backlog'!$I4=B$2), 'ProductSprint Backlog'!$F4, TRUE, 0)</f>
        <v>0</v>
      </c>
      <c r="C4" s="4" cm="1">
        <f t="array" ref="C4">_xlfn.IFS('ProductSprint Backlog'!$F4="", "", AND('ProductSprint Backlog'!$J4&gt;C$2,'ProductSprint Backlog'!$I4&lt;=C$2), 'ProductSprint Backlog'!$F4 / MAX(1, 'ProductSprint Backlog'!$J4-'ProductSprint Backlog'!$I4), AND('ProductSprint Backlog'!$J4=C$2,'ProductSprint Backlog'!$I4=C$2), 'ProductSprint Backlog'!$F4, TRUE, 0)</f>
        <v>0</v>
      </c>
      <c r="D4" s="4" cm="1">
        <f t="array" ref="D4">_xlfn.IFS('ProductSprint Backlog'!$F4="", "", AND('ProductSprint Backlog'!$J4&gt;D$2,'ProductSprint Backlog'!$I4&lt;=D$2), 'ProductSprint Backlog'!$F4 / MAX(1, 'ProductSprint Backlog'!$J4-'ProductSprint Backlog'!$I4), AND('ProductSprint Backlog'!$J4=D$2,'ProductSprint Backlog'!$I4=D$2), 'ProductSprint Backlog'!$F4, TRUE, 0)</f>
        <v>0</v>
      </c>
      <c r="E4" s="4" cm="1">
        <f t="array" ref="E4">_xlfn.IFS('ProductSprint Backlog'!$F4="", "", AND('ProductSprint Backlog'!$J4&gt;E$2,'ProductSprint Backlog'!$I4&lt;=E$2), 'ProductSprint Backlog'!$F4 / MAX(1, 'ProductSprint Backlog'!$J4-'ProductSprint Backlog'!$I4), AND('ProductSprint Backlog'!$J4=E$2,'ProductSprint Backlog'!$I4=E$2), 'ProductSprint Backlog'!$F4, TRUE, 0)</f>
        <v>0</v>
      </c>
      <c r="F4" s="4" cm="1">
        <f t="array" ref="F4">_xlfn.IFS('ProductSprint Backlog'!$F4="", "", AND('ProductSprint Backlog'!$J4&gt;F$2,'ProductSprint Backlog'!$I4&lt;=F$2), 'ProductSprint Backlog'!$F4 / MAX(1, 'ProductSprint Backlog'!$J4-'ProductSprint Backlog'!$I4), AND('ProductSprint Backlog'!$J4=F$2,'ProductSprint Backlog'!$I4=F$2), 'ProductSprint Backlog'!$F4, TRUE, 0)</f>
        <v>0</v>
      </c>
      <c r="G4" s="4" cm="1">
        <f t="array" ref="G4">_xlfn.IFS('ProductSprint Backlog'!$F4="", "", AND('ProductSprint Backlog'!$J4&gt;G$2,'ProductSprint Backlog'!$I4&lt;=G$2), 'ProductSprint Backlog'!$F4 / MAX(1, 'ProductSprint Backlog'!$J4-'ProductSprint Backlog'!$I4), AND('ProductSprint Backlog'!$J4=G$2,'ProductSprint Backlog'!$I4=G$2), 'ProductSprint Backlog'!$F4, TRUE, 0)</f>
        <v>0</v>
      </c>
      <c r="H4" s="4" cm="1">
        <f t="array" ref="H4">_xlfn.IFS('ProductSprint Backlog'!$F4="", "", AND('ProductSprint Backlog'!$J4&gt;H$2,'ProductSprint Backlog'!$I4&lt;=H$2), 'ProductSprint Backlog'!$F4 / MAX(1, 'ProductSprint Backlog'!$J4-'ProductSprint Backlog'!$I4), AND('ProductSprint Backlog'!$J4=H$2,'ProductSprint Backlog'!$I4=H$2), 'ProductSprint Backlog'!$F4, TRUE, 0)</f>
        <v>0</v>
      </c>
      <c r="I4" s="4" cm="1">
        <f t="array" ref="I4">_xlfn.IFS('ProductSprint Backlog'!$F4="", "", AND('ProductSprint Backlog'!$J4&gt;I$2,'ProductSprint Backlog'!$I4&lt;=I$2), 'ProductSprint Backlog'!$F4 / MAX(1, 'ProductSprint Backlog'!$J4-'ProductSprint Backlog'!$I4), AND('ProductSprint Backlog'!$J4=I$2,'ProductSprint Backlog'!$I4=I$2), 'ProductSprint Backlog'!$F4, TRUE, 0)</f>
        <v>0</v>
      </c>
      <c r="J4" s="4" cm="1">
        <f t="array" ref="J4">_xlfn.IFS('ProductSprint Backlog'!$F4="", "", AND('ProductSprint Backlog'!$J4&gt;J$2,'ProductSprint Backlog'!$I4&lt;=J$2), 'ProductSprint Backlog'!$F4 / MAX(1, 'ProductSprint Backlog'!$J4-'ProductSprint Backlog'!$I4), AND('ProductSprint Backlog'!$J4=J$2,'ProductSprint Backlog'!$I4=J$2), 'ProductSprint Backlog'!$F4, TRUE, 0)</f>
        <v>0</v>
      </c>
      <c r="K4" s="4" cm="1">
        <f t="array" ref="K4">_xlfn.IFS('ProductSprint Backlog'!$F4="", "", AND('ProductSprint Backlog'!$J4&gt;K$2,'ProductSprint Backlog'!$I4&lt;=K$2), 'ProductSprint Backlog'!$F4 / MAX(1, 'ProductSprint Backlog'!$J4-'ProductSprint Backlog'!$I4), AND('ProductSprint Backlog'!$J4=K$2,'ProductSprint Backlog'!$I4=K$2), 'ProductSprint Backlog'!$F4, TRUE, 0)</f>
        <v>0</v>
      </c>
      <c r="L4" s="4" cm="1">
        <f t="array" ref="L4">_xlfn.IFS('ProductSprint Backlog'!$F4="", "", AND('ProductSprint Backlog'!$J4&gt;L$2,'ProductSprint Backlog'!$I4&lt;=L$2), 'ProductSprint Backlog'!$F4 / MAX(1, 'ProductSprint Backlog'!$J4-'ProductSprint Backlog'!$I4), AND('ProductSprint Backlog'!$J4=L$2,'ProductSprint Backlog'!$I4=L$2), 'ProductSprint Backlog'!$F4, TRUE, 0)</f>
        <v>0</v>
      </c>
      <c r="M4" s="4" cm="1">
        <f t="array" ref="M4">_xlfn.IFS('ProductSprint Backlog'!$F4="", "", AND('ProductSprint Backlog'!$J4&gt;M$2,'ProductSprint Backlog'!$I4&lt;=M$2), 'ProductSprint Backlog'!$F4 / MAX(1, 'ProductSprint Backlog'!$J4-'ProductSprint Backlog'!$I4), AND('ProductSprint Backlog'!$J4=M$2,'ProductSprint Backlog'!$I4=M$2), 'ProductSprint Backlog'!$F4, TRUE, 0)</f>
        <v>0</v>
      </c>
      <c r="N4" s="4" cm="1">
        <f t="array" ref="N4">_xlfn.IFS('ProductSprint Backlog'!$F4="", "", AND('ProductSprint Backlog'!$J4&gt;N$2,'ProductSprint Backlog'!$I4&lt;=N$2), 'ProductSprint Backlog'!$F4 / MAX(1, 'ProductSprint Backlog'!$J4-'ProductSprint Backlog'!$I4), AND('ProductSprint Backlog'!$J4=N$2,'ProductSprint Backlog'!$I4=N$2), 'ProductSprint Backlog'!$F4, TRUE, 0)</f>
        <v>0</v>
      </c>
      <c r="O4" s="4" cm="1">
        <f t="array" ref="O4">_xlfn.IFS('ProductSprint Backlog'!$F4="", "", AND('ProductSprint Backlog'!$J4&gt;O$2,'ProductSprint Backlog'!$I4&lt;=O$2), 'ProductSprint Backlog'!$F4 / MAX(1, 'ProductSprint Backlog'!$J4-'ProductSprint Backlog'!$I4), AND('ProductSprint Backlog'!$J4=O$2,'ProductSprint Backlog'!$I4=O$2), 'ProductSprint Backlog'!$F4, TRUE, 0)</f>
        <v>0</v>
      </c>
      <c r="P4" s="4" cm="1">
        <f t="array" ref="P4">_xlfn.IFS('ProductSprint Backlog'!$F4="", "", AND('ProductSprint Backlog'!$J4&gt;P$2,'ProductSprint Backlog'!$I4&lt;=P$2), 'ProductSprint Backlog'!$F4 / MAX(1, 'ProductSprint Backlog'!$J4-'ProductSprint Backlog'!$I4), AND('ProductSprint Backlog'!$J4=P$2,'ProductSprint Backlog'!$I4=P$2), 'ProductSprint Backlog'!$F4, TRUE, 0)</f>
        <v>0</v>
      </c>
      <c r="Q4" s="4" cm="1">
        <f t="array" ref="Q4">_xlfn.IFS('ProductSprint Backlog'!$F4="", "", AND('ProductSprint Backlog'!$J4&gt;Q$2,'ProductSprint Backlog'!$I4&lt;=Q$2), 'ProductSprint Backlog'!$F4 / MAX(1, 'ProductSprint Backlog'!$J4-'ProductSprint Backlog'!$I4), AND('ProductSprint Backlog'!$J4=Q$2,'ProductSprint Backlog'!$I4=Q$2), 'ProductSprint Backlog'!$F4, TRUE, 0)</f>
        <v>0</v>
      </c>
      <c r="R4" s="4" cm="1">
        <f t="array" ref="R4">_xlfn.IFS('ProductSprint Backlog'!$F4="", "", AND('ProductSprint Backlog'!$J4&gt;R$2,'ProductSprint Backlog'!$I4&lt;=R$2), 'ProductSprint Backlog'!$F4 / MAX(1, 'ProductSprint Backlog'!$J4-'ProductSprint Backlog'!$I4), AND('ProductSprint Backlog'!$J4=R$2,'ProductSprint Backlog'!$I4=R$2), 'ProductSprint Backlog'!$F4, TRUE, 0)</f>
        <v>0</v>
      </c>
      <c r="S4" s="4" cm="1">
        <f t="array" ref="S4">_xlfn.IFS('ProductSprint Backlog'!$F4="", "", AND('ProductSprint Backlog'!$J4&gt;S$2,'ProductSprint Backlog'!$I4&lt;=S$2), 'ProductSprint Backlog'!$F4 / MAX(1, 'ProductSprint Backlog'!$J4-'ProductSprint Backlog'!$I4), AND('ProductSprint Backlog'!$J4=S$2,'ProductSprint Backlog'!$I4=S$2), 'ProductSprint Backlog'!$F4, TRUE, 0)</f>
        <v>0</v>
      </c>
      <c r="T4" s="4" cm="1">
        <f t="array" ref="T4">_xlfn.IFS('ProductSprint Backlog'!$F4="", "", AND('ProductSprint Backlog'!$J4&gt;T$2,'ProductSprint Backlog'!$I4&lt;=T$2), 'ProductSprint Backlog'!$F4 / MAX(1, 'ProductSprint Backlog'!$J4-'ProductSprint Backlog'!$I4), AND('ProductSprint Backlog'!$J4=T$2,'ProductSprint Backlog'!$I4=T$2), 'ProductSprint Backlog'!$F4, TRUE, 0)</f>
        <v>0</v>
      </c>
    </row>
    <row r="5" spans="2:20" x14ac:dyDescent="0.2">
      <c r="B5" s="4" cm="1">
        <f t="array" ref="B5">_xlfn.IFS('ProductSprint Backlog'!$F5="", "", AND('ProductSprint Backlog'!$J5&gt;B$2,'ProductSprint Backlog'!$I5&lt;=B$2), 'ProductSprint Backlog'!$F5 / MAX(1, 'ProductSprint Backlog'!$J5-'ProductSprint Backlog'!$I5), AND('ProductSprint Backlog'!$J5=B$2,'ProductSprint Backlog'!$I5=B$2), 'ProductSprint Backlog'!$F5, TRUE, 0)</f>
        <v>0</v>
      </c>
      <c r="C5" s="4" cm="1">
        <f t="array" ref="C5">_xlfn.IFS('ProductSprint Backlog'!$F5="", "", AND('ProductSprint Backlog'!$J5&gt;C$2,'ProductSprint Backlog'!$I5&lt;=C$2), 'ProductSprint Backlog'!$F5 / MAX(1, 'ProductSprint Backlog'!$J5-'ProductSprint Backlog'!$I5), AND('ProductSprint Backlog'!$J5=C$2,'ProductSprint Backlog'!$I5=C$2), 'ProductSprint Backlog'!$F5, TRUE, 0)</f>
        <v>0</v>
      </c>
      <c r="D5" s="4" cm="1">
        <f t="array" ref="D5">_xlfn.IFS('ProductSprint Backlog'!$F5="", "", AND('ProductSprint Backlog'!$J5&gt;D$2,'ProductSprint Backlog'!$I5&lt;=D$2), 'ProductSprint Backlog'!$F5 / MAX(1, 'ProductSprint Backlog'!$J5-'ProductSprint Backlog'!$I5), AND('ProductSprint Backlog'!$J5=D$2,'ProductSprint Backlog'!$I5=D$2), 'ProductSprint Backlog'!$F5, TRUE, 0)</f>
        <v>0</v>
      </c>
      <c r="E5" s="4" cm="1">
        <f t="array" ref="E5">_xlfn.IFS('ProductSprint Backlog'!$F5="", "", AND('ProductSprint Backlog'!$J5&gt;E$2,'ProductSprint Backlog'!$I5&lt;=E$2), 'ProductSprint Backlog'!$F5 / MAX(1, 'ProductSprint Backlog'!$J5-'ProductSprint Backlog'!$I5), AND('ProductSprint Backlog'!$J5=E$2,'ProductSprint Backlog'!$I5=E$2), 'ProductSprint Backlog'!$F5, TRUE, 0)</f>
        <v>0</v>
      </c>
      <c r="F5" s="4" cm="1">
        <f t="array" ref="F5">_xlfn.IFS('ProductSprint Backlog'!$F5="", "", AND('ProductSprint Backlog'!$J5&gt;F$2,'ProductSprint Backlog'!$I5&lt;=F$2), 'ProductSprint Backlog'!$F5 / MAX(1, 'ProductSprint Backlog'!$J5-'ProductSprint Backlog'!$I5), AND('ProductSprint Backlog'!$J5=F$2,'ProductSprint Backlog'!$I5=F$2), 'ProductSprint Backlog'!$F5, TRUE, 0)</f>
        <v>0</v>
      </c>
      <c r="G5" s="4" cm="1">
        <f t="array" ref="G5">_xlfn.IFS('ProductSprint Backlog'!$F5="", "", AND('ProductSprint Backlog'!$J5&gt;G$2,'ProductSprint Backlog'!$I5&lt;=G$2), 'ProductSprint Backlog'!$F5 / MAX(1, 'ProductSprint Backlog'!$J5-'ProductSprint Backlog'!$I5), AND('ProductSprint Backlog'!$J5=G$2,'ProductSprint Backlog'!$I5=G$2), 'ProductSprint Backlog'!$F5, TRUE, 0)</f>
        <v>0</v>
      </c>
      <c r="H5" s="4" cm="1">
        <f t="array" ref="H5">_xlfn.IFS('ProductSprint Backlog'!$F5="", "", AND('ProductSprint Backlog'!$J5&gt;H$2,'ProductSprint Backlog'!$I5&lt;=H$2), 'ProductSprint Backlog'!$F5 / MAX(1, 'ProductSprint Backlog'!$J5-'ProductSprint Backlog'!$I5), AND('ProductSprint Backlog'!$J5=H$2,'ProductSprint Backlog'!$I5=H$2), 'ProductSprint Backlog'!$F5, TRUE, 0)</f>
        <v>0</v>
      </c>
      <c r="I5" s="4" cm="1">
        <f t="array" ref="I5">_xlfn.IFS('ProductSprint Backlog'!$F5="", "", AND('ProductSprint Backlog'!$J5&gt;I$2,'ProductSprint Backlog'!$I5&lt;=I$2), 'ProductSprint Backlog'!$F5 / MAX(1, 'ProductSprint Backlog'!$J5-'ProductSprint Backlog'!$I5), AND('ProductSprint Backlog'!$J5=I$2,'ProductSprint Backlog'!$I5=I$2), 'ProductSprint Backlog'!$F5, TRUE, 0)</f>
        <v>0</v>
      </c>
      <c r="J5" s="4" cm="1">
        <f t="array" ref="J5">_xlfn.IFS('ProductSprint Backlog'!$F5="", "", AND('ProductSprint Backlog'!$J5&gt;J$2,'ProductSprint Backlog'!$I5&lt;=J$2), 'ProductSprint Backlog'!$F5 / MAX(1, 'ProductSprint Backlog'!$J5-'ProductSprint Backlog'!$I5), AND('ProductSprint Backlog'!$J5=J$2,'ProductSprint Backlog'!$I5=J$2), 'ProductSprint Backlog'!$F5, TRUE, 0)</f>
        <v>0</v>
      </c>
      <c r="K5" s="4" cm="1">
        <f t="array" ref="K5">_xlfn.IFS('ProductSprint Backlog'!$F5="", "", AND('ProductSprint Backlog'!$J5&gt;K$2,'ProductSprint Backlog'!$I5&lt;=K$2), 'ProductSprint Backlog'!$F5 / MAX(1, 'ProductSprint Backlog'!$J5-'ProductSprint Backlog'!$I5), AND('ProductSprint Backlog'!$J5=K$2,'ProductSprint Backlog'!$I5=K$2), 'ProductSprint Backlog'!$F5, TRUE, 0)</f>
        <v>0</v>
      </c>
      <c r="L5" s="4" cm="1">
        <f t="array" ref="L5">_xlfn.IFS('ProductSprint Backlog'!$F5="", "", AND('ProductSprint Backlog'!$J5&gt;L$2,'ProductSprint Backlog'!$I5&lt;=L$2), 'ProductSprint Backlog'!$F5 / MAX(1, 'ProductSprint Backlog'!$J5-'ProductSprint Backlog'!$I5), AND('ProductSprint Backlog'!$J5=L$2,'ProductSprint Backlog'!$I5=L$2), 'ProductSprint Backlog'!$F5, TRUE, 0)</f>
        <v>0</v>
      </c>
      <c r="M5" s="4" cm="1">
        <f t="array" ref="M5">_xlfn.IFS('ProductSprint Backlog'!$F5="", "", AND('ProductSprint Backlog'!$J5&gt;M$2,'ProductSprint Backlog'!$I5&lt;=M$2), 'ProductSprint Backlog'!$F5 / MAX(1, 'ProductSprint Backlog'!$J5-'ProductSprint Backlog'!$I5), AND('ProductSprint Backlog'!$J5=M$2,'ProductSprint Backlog'!$I5=M$2), 'ProductSprint Backlog'!$F5, TRUE, 0)</f>
        <v>0</v>
      </c>
      <c r="N5" s="4" cm="1">
        <f t="array" ref="N5">_xlfn.IFS('ProductSprint Backlog'!$F5="", "", AND('ProductSprint Backlog'!$J5&gt;N$2,'ProductSprint Backlog'!$I5&lt;=N$2), 'ProductSprint Backlog'!$F5 / MAX(1, 'ProductSprint Backlog'!$J5-'ProductSprint Backlog'!$I5), AND('ProductSprint Backlog'!$J5=N$2,'ProductSprint Backlog'!$I5=N$2), 'ProductSprint Backlog'!$F5, TRUE, 0)</f>
        <v>0</v>
      </c>
      <c r="O5" s="4" cm="1">
        <f t="array" ref="O5">_xlfn.IFS('ProductSprint Backlog'!$F5="", "", AND('ProductSprint Backlog'!$J5&gt;O$2,'ProductSprint Backlog'!$I5&lt;=O$2), 'ProductSprint Backlog'!$F5 / MAX(1, 'ProductSprint Backlog'!$J5-'ProductSprint Backlog'!$I5), AND('ProductSprint Backlog'!$J5=O$2,'ProductSprint Backlog'!$I5=O$2), 'ProductSprint Backlog'!$F5, TRUE, 0)</f>
        <v>0</v>
      </c>
      <c r="P5" s="4" cm="1">
        <f t="array" ref="P5">_xlfn.IFS('ProductSprint Backlog'!$F5="", "", AND('ProductSprint Backlog'!$J5&gt;P$2,'ProductSprint Backlog'!$I5&lt;=P$2), 'ProductSprint Backlog'!$F5 / MAX(1, 'ProductSprint Backlog'!$J5-'ProductSprint Backlog'!$I5), AND('ProductSprint Backlog'!$J5=P$2,'ProductSprint Backlog'!$I5=P$2), 'ProductSprint Backlog'!$F5, TRUE, 0)</f>
        <v>0</v>
      </c>
      <c r="Q5" s="4" cm="1">
        <f t="array" ref="Q5">_xlfn.IFS('ProductSprint Backlog'!$F5="", "", AND('ProductSprint Backlog'!$J5&gt;Q$2,'ProductSprint Backlog'!$I5&lt;=Q$2), 'ProductSprint Backlog'!$F5 / MAX(1, 'ProductSprint Backlog'!$J5-'ProductSprint Backlog'!$I5), AND('ProductSprint Backlog'!$J5=Q$2,'ProductSprint Backlog'!$I5=Q$2), 'ProductSprint Backlog'!$F5, TRUE, 0)</f>
        <v>0</v>
      </c>
      <c r="R5" s="4" cm="1">
        <f t="array" ref="R5">_xlfn.IFS('ProductSprint Backlog'!$F5="", "", AND('ProductSprint Backlog'!$J5&gt;R$2,'ProductSprint Backlog'!$I5&lt;=R$2), 'ProductSprint Backlog'!$F5 / MAX(1, 'ProductSprint Backlog'!$J5-'ProductSprint Backlog'!$I5), AND('ProductSprint Backlog'!$J5=R$2,'ProductSprint Backlog'!$I5=R$2), 'ProductSprint Backlog'!$F5, TRUE, 0)</f>
        <v>0</v>
      </c>
      <c r="S5" s="4" cm="1">
        <f t="array" ref="S5">_xlfn.IFS('ProductSprint Backlog'!$F5="", "", AND('ProductSprint Backlog'!$J5&gt;S$2,'ProductSprint Backlog'!$I5&lt;=S$2), 'ProductSprint Backlog'!$F5 / MAX(1, 'ProductSprint Backlog'!$J5-'ProductSprint Backlog'!$I5), AND('ProductSprint Backlog'!$J5=S$2,'ProductSprint Backlog'!$I5=S$2), 'ProductSprint Backlog'!$F5, TRUE, 0)</f>
        <v>0</v>
      </c>
      <c r="T5" s="4" cm="1">
        <f t="array" ref="T5">_xlfn.IFS('ProductSprint Backlog'!$F5="", "", AND('ProductSprint Backlog'!$J5&gt;T$2,'ProductSprint Backlog'!$I5&lt;=T$2), 'ProductSprint Backlog'!$F5 / MAX(1, 'ProductSprint Backlog'!$J5-'ProductSprint Backlog'!$I5), AND('ProductSprint Backlog'!$J5=T$2,'ProductSprint Backlog'!$I5=T$2), 'ProductSprint Backlog'!$F5, TRUE, 0)</f>
        <v>0</v>
      </c>
    </row>
    <row r="6" spans="2:20" x14ac:dyDescent="0.2">
      <c r="B6" s="4" cm="1">
        <f t="array" ref="B6">_xlfn.IFS('ProductSprint Backlog'!$F6="", "", AND('ProductSprint Backlog'!$J6&gt;B$2,'ProductSprint Backlog'!$I6&lt;=B$2), 'ProductSprint Backlog'!$F6 / MAX(1, 'ProductSprint Backlog'!$J6-'ProductSprint Backlog'!$I6), AND('ProductSprint Backlog'!$J6=B$2,'ProductSprint Backlog'!$I6=B$2), 'ProductSprint Backlog'!$F6, TRUE, 0)</f>
        <v>0</v>
      </c>
      <c r="C6" s="4" cm="1">
        <f t="array" ref="C6">_xlfn.IFS('ProductSprint Backlog'!$F6="", "", AND('ProductSprint Backlog'!$J6&gt;C$2,'ProductSprint Backlog'!$I6&lt;=C$2), 'ProductSprint Backlog'!$F6 / MAX(1, 'ProductSprint Backlog'!$J6-'ProductSprint Backlog'!$I6), AND('ProductSprint Backlog'!$J6=C$2,'ProductSprint Backlog'!$I6=C$2), 'ProductSprint Backlog'!$F6, TRUE, 0)</f>
        <v>0</v>
      </c>
      <c r="D6" s="4" cm="1">
        <f t="array" ref="D6">_xlfn.IFS('ProductSprint Backlog'!$F6="", "", AND('ProductSprint Backlog'!$J6&gt;D$2,'ProductSprint Backlog'!$I6&lt;=D$2), 'ProductSprint Backlog'!$F6 / MAX(1, 'ProductSprint Backlog'!$J6-'ProductSprint Backlog'!$I6), AND('ProductSprint Backlog'!$J6=D$2,'ProductSprint Backlog'!$I6=D$2), 'ProductSprint Backlog'!$F6, TRUE, 0)</f>
        <v>0</v>
      </c>
      <c r="E6" s="4" cm="1">
        <f t="array" ref="E6">_xlfn.IFS('ProductSprint Backlog'!$F6="", "", AND('ProductSprint Backlog'!$J6&gt;E$2,'ProductSprint Backlog'!$I6&lt;=E$2), 'ProductSprint Backlog'!$F6 / MAX(1, 'ProductSprint Backlog'!$J6-'ProductSprint Backlog'!$I6), AND('ProductSprint Backlog'!$J6=E$2,'ProductSprint Backlog'!$I6=E$2), 'ProductSprint Backlog'!$F6, TRUE, 0)</f>
        <v>0</v>
      </c>
      <c r="F6" s="4" cm="1">
        <f t="array" ref="F6">_xlfn.IFS('ProductSprint Backlog'!$F6="", "", AND('ProductSprint Backlog'!$J6&gt;F$2,'ProductSprint Backlog'!$I6&lt;=F$2), 'ProductSprint Backlog'!$F6 / MAX(1, 'ProductSprint Backlog'!$J6-'ProductSprint Backlog'!$I6), AND('ProductSprint Backlog'!$J6=F$2,'ProductSprint Backlog'!$I6=F$2), 'ProductSprint Backlog'!$F6, TRUE, 0)</f>
        <v>0</v>
      </c>
      <c r="G6" s="4" cm="1">
        <f t="array" ref="G6">_xlfn.IFS('ProductSprint Backlog'!$F6="", "", AND('ProductSprint Backlog'!$J6&gt;G$2,'ProductSprint Backlog'!$I6&lt;=G$2), 'ProductSprint Backlog'!$F6 / MAX(1, 'ProductSprint Backlog'!$J6-'ProductSprint Backlog'!$I6), AND('ProductSprint Backlog'!$J6=G$2,'ProductSprint Backlog'!$I6=G$2), 'ProductSprint Backlog'!$F6, TRUE, 0)</f>
        <v>0</v>
      </c>
      <c r="H6" s="4" cm="1">
        <f t="array" ref="H6">_xlfn.IFS('ProductSprint Backlog'!$F6="", "", AND('ProductSprint Backlog'!$J6&gt;H$2,'ProductSprint Backlog'!$I6&lt;=H$2), 'ProductSprint Backlog'!$F6 / MAX(1, 'ProductSprint Backlog'!$J6-'ProductSprint Backlog'!$I6), AND('ProductSprint Backlog'!$J6=H$2,'ProductSprint Backlog'!$I6=H$2), 'ProductSprint Backlog'!$F6, TRUE, 0)</f>
        <v>0</v>
      </c>
      <c r="I6" s="4" cm="1">
        <f t="array" ref="I6">_xlfn.IFS('ProductSprint Backlog'!$F6="", "", AND('ProductSprint Backlog'!$J6&gt;I$2,'ProductSprint Backlog'!$I6&lt;=I$2), 'ProductSprint Backlog'!$F6 / MAX(1, 'ProductSprint Backlog'!$J6-'ProductSprint Backlog'!$I6), AND('ProductSprint Backlog'!$J6=I$2,'ProductSprint Backlog'!$I6=I$2), 'ProductSprint Backlog'!$F6, TRUE, 0)</f>
        <v>0</v>
      </c>
      <c r="J6" s="4" cm="1">
        <f t="array" ref="J6">_xlfn.IFS('ProductSprint Backlog'!$F6="", "", AND('ProductSprint Backlog'!$J6&gt;J$2,'ProductSprint Backlog'!$I6&lt;=J$2), 'ProductSprint Backlog'!$F6 / MAX(1, 'ProductSprint Backlog'!$J6-'ProductSprint Backlog'!$I6), AND('ProductSprint Backlog'!$J6=J$2,'ProductSprint Backlog'!$I6=J$2), 'ProductSprint Backlog'!$F6, TRUE, 0)</f>
        <v>0</v>
      </c>
      <c r="K6" s="4" cm="1">
        <f t="array" ref="K6">_xlfn.IFS('ProductSprint Backlog'!$F6="", "", AND('ProductSprint Backlog'!$J6&gt;K$2,'ProductSprint Backlog'!$I6&lt;=K$2), 'ProductSprint Backlog'!$F6 / MAX(1, 'ProductSprint Backlog'!$J6-'ProductSprint Backlog'!$I6), AND('ProductSprint Backlog'!$J6=K$2,'ProductSprint Backlog'!$I6=K$2), 'ProductSprint Backlog'!$F6, TRUE, 0)</f>
        <v>0</v>
      </c>
      <c r="L6" s="4" cm="1">
        <f t="array" ref="L6">_xlfn.IFS('ProductSprint Backlog'!$F6="", "", AND('ProductSprint Backlog'!$J6&gt;L$2,'ProductSprint Backlog'!$I6&lt;=L$2), 'ProductSprint Backlog'!$F6 / MAX(1, 'ProductSprint Backlog'!$J6-'ProductSprint Backlog'!$I6), AND('ProductSprint Backlog'!$J6=L$2,'ProductSprint Backlog'!$I6=L$2), 'ProductSprint Backlog'!$F6, TRUE, 0)</f>
        <v>0</v>
      </c>
      <c r="M6" s="4" cm="1">
        <f t="array" ref="M6">_xlfn.IFS('ProductSprint Backlog'!$F6="", "", AND('ProductSprint Backlog'!$J6&gt;M$2,'ProductSprint Backlog'!$I6&lt;=M$2), 'ProductSprint Backlog'!$F6 / MAX(1, 'ProductSprint Backlog'!$J6-'ProductSprint Backlog'!$I6), AND('ProductSprint Backlog'!$J6=M$2,'ProductSprint Backlog'!$I6=M$2), 'ProductSprint Backlog'!$F6, TRUE, 0)</f>
        <v>0</v>
      </c>
      <c r="N6" s="4" cm="1">
        <f t="array" ref="N6">_xlfn.IFS('ProductSprint Backlog'!$F6="", "", AND('ProductSprint Backlog'!$J6&gt;N$2,'ProductSprint Backlog'!$I6&lt;=N$2), 'ProductSprint Backlog'!$F6 / MAX(1, 'ProductSprint Backlog'!$J6-'ProductSprint Backlog'!$I6), AND('ProductSprint Backlog'!$J6=N$2,'ProductSprint Backlog'!$I6=N$2), 'ProductSprint Backlog'!$F6, TRUE, 0)</f>
        <v>0</v>
      </c>
      <c r="O6" s="4" cm="1">
        <f t="array" ref="O6">_xlfn.IFS('ProductSprint Backlog'!$F6="", "", AND('ProductSprint Backlog'!$J6&gt;O$2,'ProductSprint Backlog'!$I6&lt;=O$2), 'ProductSprint Backlog'!$F6 / MAX(1, 'ProductSprint Backlog'!$J6-'ProductSprint Backlog'!$I6), AND('ProductSprint Backlog'!$J6=O$2,'ProductSprint Backlog'!$I6=O$2), 'ProductSprint Backlog'!$F6, TRUE, 0)</f>
        <v>0</v>
      </c>
      <c r="P6" s="4" cm="1">
        <f t="array" ref="P6">_xlfn.IFS('ProductSprint Backlog'!$F6="", "", AND('ProductSprint Backlog'!$J6&gt;P$2,'ProductSprint Backlog'!$I6&lt;=P$2), 'ProductSprint Backlog'!$F6 / MAX(1, 'ProductSprint Backlog'!$J6-'ProductSprint Backlog'!$I6), AND('ProductSprint Backlog'!$J6=P$2,'ProductSprint Backlog'!$I6=P$2), 'ProductSprint Backlog'!$F6, TRUE, 0)</f>
        <v>0</v>
      </c>
      <c r="Q6" s="4" cm="1">
        <f t="array" ref="Q6">_xlfn.IFS('ProductSprint Backlog'!$F6="", "", AND('ProductSprint Backlog'!$J6&gt;Q$2,'ProductSprint Backlog'!$I6&lt;=Q$2), 'ProductSprint Backlog'!$F6 / MAX(1, 'ProductSprint Backlog'!$J6-'ProductSprint Backlog'!$I6), AND('ProductSprint Backlog'!$J6=Q$2,'ProductSprint Backlog'!$I6=Q$2), 'ProductSprint Backlog'!$F6, TRUE, 0)</f>
        <v>0</v>
      </c>
      <c r="R6" s="4" cm="1">
        <f t="array" ref="R6">_xlfn.IFS('ProductSprint Backlog'!$F6="", "", AND('ProductSprint Backlog'!$J6&gt;R$2,'ProductSprint Backlog'!$I6&lt;=R$2), 'ProductSprint Backlog'!$F6 / MAX(1, 'ProductSprint Backlog'!$J6-'ProductSprint Backlog'!$I6), AND('ProductSprint Backlog'!$J6=R$2,'ProductSprint Backlog'!$I6=R$2), 'ProductSprint Backlog'!$F6, TRUE, 0)</f>
        <v>0</v>
      </c>
      <c r="S6" s="4" cm="1">
        <f t="array" ref="S6">_xlfn.IFS('ProductSprint Backlog'!$F6="", "", AND('ProductSprint Backlog'!$J6&gt;S$2,'ProductSprint Backlog'!$I6&lt;=S$2), 'ProductSprint Backlog'!$F6 / MAX(1, 'ProductSprint Backlog'!$J6-'ProductSprint Backlog'!$I6), AND('ProductSprint Backlog'!$J6=S$2,'ProductSprint Backlog'!$I6=S$2), 'ProductSprint Backlog'!$F6, TRUE, 0)</f>
        <v>0</v>
      </c>
      <c r="T6" s="4" cm="1">
        <f t="array" ref="T6">_xlfn.IFS('ProductSprint Backlog'!$F6="", "", AND('ProductSprint Backlog'!$J6&gt;T$2,'ProductSprint Backlog'!$I6&lt;=T$2), 'ProductSprint Backlog'!$F6 / MAX(1, 'ProductSprint Backlog'!$J6-'ProductSprint Backlog'!$I6), AND('ProductSprint Backlog'!$J6=T$2,'ProductSprint Backlog'!$I6=T$2), 'ProductSprint Backlog'!$F6, TRUE, 0)</f>
        <v>0</v>
      </c>
    </row>
    <row r="7" spans="2:20" x14ac:dyDescent="0.2">
      <c r="B7" s="4" t="str" cm="1">
        <f t="array" ref="B7">_xlfn.IFS('ProductSprint Backlog'!$F7="", "", AND('ProductSprint Backlog'!$J7&gt;B$2,'ProductSprint Backlog'!$I7&lt;=B$2), 'ProductSprint Backlog'!$F7 / MAX(1, 'ProductSprint Backlog'!$J7-'ProductSprint Backlog'!$I7), AND('ProductSprint Backlog'!$J7=B$2,'ProductSprint Backlog'!$I7=B$2), 'ProductSprint Backlog'!$F7, TRUE, 0)</f>
        <v/>
      </c>
      <c r="C7" s="4" t="str" cm="1">
        <f t="array" ref="C7">_xlfn.IFS('ProductSprint Backlog'!$F7="", "", AND('ProductSprint Backlog'!$J7&gt;C$2,'ProductSprint Backlog'!$I7&lt;=C$2), 'ProductSprint Backlog'!$F7 / MAX(1, 'ProductSprint Backlog'!$J7-'ProductSprint Backlog'!$I7), AND('ProductSprint Backlog'!$J7=C$2,'ProductSprint Backlog'!$I7=C$2), 'ProductSprint Backlog'!$F7, TRUE, 0)</f>
        <v/>
      </c>
      <c r="D7" s="4" t="str" cm="1">
        <f t="array" ref="D7">_xlfn.IFS('ProductSprint Backlog'!$F7="", "", AND('ProductSprint Backlog'!$J7&gt;D$2,'ProductSprint Backlog'!$I7&lt;=D$2), 'ProductSprint Backlog'!$F7 / MAX(1, 'ProductSprint Backlog'!$J7-'ProductSprint Backlog'!$I7), AND('ProductSprint Backlog'!$J7=D$2,'ProductSprint Backlog'!$I7=D$2), 'ProductSprint Backlog'!$F7, TRUE, 0)</f>
        <v/>
      </c>
      <c r="E7" s="4" t="str" cm="1">
        <f t="array" ref="E7">_xlfn.IFS('ProductSprint Backlog'!$F7="", "", AND('ProductSprint Backlog'!$J7&gt;E$2,'ProductSprint Backlog'!$I7&lt;=E$2), 'ProductSprint Backlog'!$F7 / MAX(1, 'ProductSprint Backlog'!$J7-'ProductSprint Backlog'!$I7), AND('ProductSprint Backlog'!$J7=E$2,'ProductSprint Backlog'!$I7=E$2), 'ProductSprint Backlog'!$F7, TRUE, 0)</f>
        <v/>
      </c>
      <c r="F7" s="4" t="str" cm="1">
        <f t="array" ref="F7">_xlfn.IFS('ProductSprint Backlog'!$F7="", "", AND('ProductSprint Backlog'!$J7&gt;F$2,'ProductSprint Backlog'!$I7&lt;=F$2), 'ProductSprint Backlog'!$F7 / MAX(1, 'ProductSprint Backlog'!$J7-'ProductSprint Backlog'!$I7), AND('ProductSprint Backlog'!$J7=F$2,'ProductSprint Backlog'!$I7=F$2), 'ProductSprint Backlog'!$F7, TRUE, 0)</f>
        <v/>
      </c>
      <c r="G7" s="4" t="str" cm="1">
        <f t="array" ref="G7">_xlfn.IFS('ProductSprint Backlog'!$F7="", "", AND('ProductSprint Backlog'!$J7&gt;G$2,'ProductSprint Backlog'!$I7&lt;=G$2), 'ProductSprint Backlog'!$F7 / MAX(1, 'ProductSprint Backlog'!$J7-'ProductSprint Backlog'!$I7), AND('ProductSprint Backlog'!$J7=G$2,'ProductSprint Backlog'!$I7=G$2), 'ProductSprint Backlog'!$F7, TRUE, 0)</f>
        <v/>
      </c>
      <c r="H7" s="4" t="str" cm="1">
        <f t="array" ref="H7">_xlfn.IFS('ProductSprint Backlog'!$F7="", "", AND('ProductSprint Backlog'!$J7&gt;H$2,'ProductSprint Backlog'!$I7&lt;=H$2), 'ProductSprint Backlog'!$F7 / MAX(1, 'ProductSprint Backlog'!$J7-'ProductSprint Backlog'!$I7), AND('ProductSprint Backlog'!$J7=H$2,'ProductSprint Backlog'!$I7=H$2), 'ProductSprint Backlog'!$F7, TRUE, 0)</f>
        <v/>
      </c>
      <c r="I7" s="4" t="str" cm="1">
        <f t="array" ref="I7">_xlfn.IFS('ProductSprint Backlog'!$F7="", "", AND('ProductSprint Backlog'!$J7&gt;I$2,'ProductSprint Backlog'!$I7&lt;=I$2), 'ProductSprint Backlog'!$F7 / MAX(1, 'ProductSprint Backlog'!$J7-'ProductSprint Backlog'!$I7), AND('ProductSprint Backlog'!$J7=I$2,'ProductSprint Backlog'!$I7=I$2), 'ProductSprint Backlog'!$F7, TRUE, 0)</f>
        <v/>
      </c>
      <c r="J7" s="4" t="str" cm="1">
        <f t="array" ref="J7">_xlfn.IFS('ProductSprint Backlog'!$F7="", "", AND('ProductSprint Backlog'!$J7&gt;J$2,'ProductSprint Backlog'!$I7&lt;=J$2), 'ProductSprint Backlog'!$F7 / MAX(1, 'ProductSprint Backlog'!$J7-'ProductSprint Backlog'!$I7), AND('ProductSprint Backlog'!$J7=J$2,'ProductSprint Backlog'!$I7=J$2), 'ProductSprint Backlog'!$F7, TRUE, 0)</f>
        <v/>
      </c>
      <c r="K7" s="4" t="str" cm="1">
        <f t="array" ref="K7">_xlfn.IFS('ProductSprint Backlog'!$F7="", "", AND('ProductSprint Backlog'!$J7&gt;K$2,'ProductSprint Backlog'!$I7&lt;=K$2), 'ProductSprint Backlog'!$F7 / MAX(1, 'ProductSprint Backlog'!$J7-'ProductSprint Backlog'!$I7), AND('ProductSprint Backlog'!$J7=K$2,'ProductSprint Backlog'!$I7=K$2), 'ProductSprint Backlog'!$F7, TRUE, 0)</f>
        <v/>
      </c>
      <c r="L7" s="4" t="str" cm="1">
        <f t="array" ref="L7">_xlfn.IFS('ProductSprint Backlog'!$F7="", "", AND('ProductSprint Backlog'!$J7&gt;L$2,'ProductSprint Backlog'!$I7&lt;=L$2), 'ProductSprint Backlog'!$F7 / MAX(1, 'ProductSprint Backlog'!$J7-'ProductSprint Backlog'!$I7), AND('ProductSprint Backlog'!$J7=L$2,'ProductSprint Backlog'!$I7=L$2), 'ProductSprint Backlog'!$F7, TRUE, 0)</f>
        <v/>
      </c>
      <c r="M7" s="4" t="str" cm="1">
        <f t="array" ref="M7">_xlfn.IFS('ProductSprint Backlog'!$F7="", "", AND('ProductSprint Backlog'!$J7&gt;M$2,'ProductSprint Backlog'!$I7&lt;=M$2), 'ProductSprint Backlog'!$F7 / MAX(1, 'ProductSprint Backlog'!$J7-'ProductSprint Backlog'!$I7), AND('ProductSprint Backlog'!$J7=M$2,'ProductSprint Backlog'!$I7=M$2), 'ProductSprint Backlog'!$F7, TRUE, 0)</f>
        <v/>
      </c>
      <c r="N7" s="4" t="str" cm="1">
        <f t="array" ref="N7">_xlfn.IFS('ProductSprint Backlog'!$F7="", "", AND('ProductSprint Backlog'!$J7&gt;N$2,'ProductSprint Backlog'!$I7&lt;=N$2), 'ProductSprint Backlog'!$F7 / MAX(1, 'ProductSprint Backlog'!$J7-'ProductSprint Backlog'!$I7), AND('ProductSprint Backlog'!$J7=N$2,'ProductSprint Backlog'!$I7=N$2), 'ProductSprint Backlog'!$F7, TRUE, 0)</f>
        <v/>
      </c>
      <c r="O7" s="4" t="str" cm="1">
        <f t="array" ref="O7">_xlfn.IFS('ProductSprint Backlog'!$F7="", "", AND('ProductSprint Backlog'!$J7&gt;O$2,'ProductSprint Backlog'!$I7&lt;=O$2), 'ProductSprint Backlog'!$F7 / MAX(1, 'ProductSprint Backlog'!$J7-'ProductSprint Backlog'!$I7), AND('ProductSprint Backlog'!$J7=O$2,'ProductSprint Backlog'!$I7=O$2), 'ProductSprint Backlog'!$F7, TRUE, 0)</f>
        <v/>
      </c>
      <c r="P7" s="4" t="str" cm="1">
        <f t="array" ref="P7">_xlfn.IFS('ProductSprint Backlog'!$F7="", "", AND('ProductSprint Backlog'!$J7&gt;P$2,'ProductSprint Backlog'!$I7&lt;=P$2), 'ProductSprint Backlog'!$F7 / MAX(1, 'ProductSprint Backlog'!$J7-'ProductSprint Backlog'!$I7), AND('ProductSprint Backlog'!$J7=P$2,'ProductSprint Backlog'!$I7=P$2), 'ProductSprint Backlog'!$F7, TRUE, 0)</f>
        <v/>
      </c>
      <c r="Q7" s="4" t="str" cm="1">
        <f t="array" ref="Q7">_xlfn.IFS('ProductSprint Backlog'!$F7="", "", AND('ProductSprint Backlog'!$J7&gt;Q$2,'ProductSprint Backlog'!$I7&lt;=Q$2), 'ProductSprint Backlog'!$F7 / MAX(1, 'ProductSprint Backlog'!$J7-'ProductSprint Backlog'!$I7), AND('ProductSprint Backlog'!$J7=Q$2,'ProductSprint Backlog'!$I7=Q$2), 'ProductSprint Backlog'!$F7, TRUE, 0)</f>
        <v/>
      </c>
      <c r="R7" s="4" t="str" cm="1">
        <f t="array" ref="R7">_xlfn.IFS('ProductSprint Backlog'!$F7="", "", AND('ProductSprint Backlog'!$J7&gt;R$2,'ProductSprint Backlog'!$I7&lt;=R$2), 'ProductSprint Backlog'!$F7 / MAX(1, 'ProductSprint Backlog'!$J7-'ProductSprint Backlog'!$I7), AND('ProductSprint Backlog'!$J7=R$2,'ProductSprint Backlog'!$I7=R$2), 'ProductSprint Backlog'!$F7, TRUE, 0)</f>
        <v/>
      </c>
      <c r="S7" s="4" t="str" cm="1">
        <f t="array" ref="S7">_xlfn.IFS('ProductSprint Backlog'!$F7="", "", AND('ProductSprint Backlog'!$J7&gt;S$2,'ProductSprint Backlog'!$I7&lt;=S$2), 'ProductSprint Backlog'!$F7 / MAX(1, 'ProductSprint Backlog'!$J7-'ProductSprint Backlog'!$I7), AND('ProductSprint Backlog'!$J7=S$2,'ProductSprint Backlog'!$I7=S$2), 'ProductSprint Backlog'!$F7, TRUE, 0)</f>
        <v/>
      </c>
      <c r="T7" s="4" t="str" cm="1">
        <f t="array" ref="T7">_xlfn.IFS('ProductSprint Backlog'!$F7="", "", AND('ProductSprint Backlog'!$J7&gt;T$2,'ProductSprint Backlog'!$I7&lt;=T$2), 'ProductSprint Backlog'!$F7 / MAX(1, 'ProductSprint Backlog'!$J7-'ProductSprint Backlog'!$I7), AND('ProductSprint Backlog'!$J7=T$2,'ProductSprint Backlog'!$I7=T$2), 'ProductSprint Backlog'!$F7, TRUE, 0)</f>
        <v/>
      </c>
    </row>
    <row r="8" spans="2:20" x14ac:dyDescent="0.2">
      <c r="B8" s="4" cm="1">
        <f t="array" ref="B8">_xlfn.IFS('ProductSprint Backlog'!$F8="", "", AND('ProductSprint Backlog'!$J8&gt;B$2,'ProductSprint Backlog'!$I8&lt;=B$2), 'ProductSprint Backlog'!$F8 / MAX(1, 'ProductSprint Backlog'!$J8-'ProductSprint Backlog'!$I8), AND('ProductSprint Backlog'!$J8=B$2,'ProductSprint Backlog'!$I8=B$2), 'ProductSprint Backlog'!$F8, TRUE, 0)</f>
        <v>0</v>
      </c>
      <c r="C8" s="4" cm="1">
        <f t="array" ref="C8">_xlfn.IFS('ProductSprint Backlog'!$F8="", "", AND('ProductSprint Backlog'!$J8&gt;C$2,'ProductSprint Backlog'!$I8&lt;=C$2), 'ProductSprint Backlog'!$F8 / MAX(1, 'ProductSprint Backlog'!$J8-'ProductSprint Backlog'!$I8), AND('ProductSprint Backlog'!$J8=C$2,'ProductSprint Backlog'!$I8=C$2), 'ProductSprint Backlog'!$F8, TRUE, 0)</f>
        <v>0</v>
      </c>
      <c r="D8" s="4" cm="1">
        <f t="array" ref="D8">_xlfn.IFS('ProductSprint Backlog'!$F8="", "", AND('ProductSprint Backlog'!$J8&gt;D$2,'ProductSprint Backlog'!$I8&lt;=D$2), 'ProductSprint Backlog'!$F8 / MAX(1, 'ProductSprint Backlog'!$J8-'ProductSprint Backlog'!$I8), AND('ProductSprint Backlog'!$J8=D$2,'ProductSprint Backlog'!$I8=D$2), 'ProductSprint Backlog'!$F8, TRUE, 0)</f>
        <v>0</v>
      </c>
      <c r="E8" s="4" cm="1">
        <f t="array" ref="E8">_xlfn.IFS('ProductSprint Backlog'!$F8="", "", AND('ProductSprint Backlog'!$J8&gt;E$2,'ProductSprint Backlog'!$I8&lt;=E$2), 'ProductSprint Backlog'!$F8 / MAX(1, 'ProductSprint Backlog'!$J8-'ProductSprint Backlog'!$I8), AND('ProductSprint Backlog'!$J8=E$2,'ProductSprint Backlog'!$I8=E$2), 'ProductSprint Backlog'!$F8, TRUE, 0)</f>
        <v>0</v>
      </c>
      <c r="F8" s="4" cm="1">
        <f t="array" ref="F8">_xlfn.IFS('ProductSprint Backlog'!$F8="", "", AND('ProductSprint Backlog'!$J8&gt;F$2,'ProductSprint Backlog'!$I8&lt;=F$2), 'ProductSprint Backlog'!$F8 / MAX(1, 'ProductSprint Backlog'!$J8-'ProductSprint Backlog'!$I8), AND('ProductSprint Backlog'!$J8=F$2,'ProductSprint Backlog'!$I8=F$2), 'ProductSprint Backlog'!$F8, TRUE, 0)</f>
        <v>0</v>
      </c>
      <c r="G8" s="4" cm="1">
        <f t="array" ref="G8">_xlfn.IFS('ProductSprint Backlog'!$F8="", "", AND('ProductSprint Backlog'!$J8&gt;G$2,'ProductSprint Backlog'!$I8&lt;=G$2), 'ProductSprint Backlog'!$F8 / MAX(1, 'ProductSprint Backlog'!$J8-'ProductSprint Backlog'!$I8), AND('ProductSprint Backlog'!$J8=G$2,'ProductSprint Backlog'!$I8=G$2), 'ProductSprint Backlog'!$F8, TRUE, 0)</f>
        <v>0</v>
      </c>
      <c r="H8" s="4" cm="1">
        <f t="array" ref="H8">_xlfn.IFS('ProductSprint Backlog'!$F8="", "", AND('ProductSprint Backlog'!$J8&gt;H$2,'ProductSprint Backlog'!$I8&lt;=H$2), 'ProductSprint Backlog'!$F8 / MAX(1, 'ProductSprint Backlog'!$J8-'ProductSprint Backlog'!$I8), AND('ProductSprint Backlog'!$J8=H$2,'ProductSprint Backlog'!$I8=H$2), 'ProductSprint Backlog'!$F8, TRUE, 0)</f>
        <v>0</v>
      </c>
      <c r="I8" s="4" cm="1">
        <f t="array" ref="I8">_xlfn.IFS('ProductSprint Backlog'!$F8="", "", AND('ProductSprint Backlog'!$J8&gt;I$2,'ProductSprint Backlog'!$I8&lt;=I$2), 'ProductSprint Backlog'!$F8 / MAX(1, 'ProductSprint Backlog'!$J8-'ProductSprint Backlog'!$I8), AND('ProductSprint Backlog'!$J8=I$2,'ProductSprint Backlog'!$I8=I$2), 'ProductSprint Backlog'!$F8, TRUE, 0)</f>
        <v>0</v>
      </c>
      <c r="J8" s="4" cm="1">
        <f t="array" ref="J8">_xlfn.IFS('ProductSprint Backlog'!$F8="", "", AND('ProductSprint Backlog'!$J8&gt;J$2,'ProductSprint Backlog'!$I8&lt;=J$2), 'ProductSprint Backlog'!$F8 / MAX(1, 'ProductSprint Backlog'!$J8-'ProductSprint Backlog'!$I8), AND('ProductSprint Backlog'!$J8=J$2,'ProductSprint Backlog'!$I8=J$2), 'ProductSprint Backlog'!$F8, TRUE, 0)</f>
        <v>0</v>
      </c>
      <c r="K8" s="4" cm="1">
        <f t="array" ref="K8">_xlfn.IFS('ProductSprint Backlog'!$F8="", "", AND('ProductSprint Backlog'!$J8&gt;K$2,'ProductSprint Backlog'!$I8&lt;=K$2), 'ProductSprint Backlog'!$F8 / MAX(1, 'ProductSprint Backlog'!$J8-'ProductSprint Backlog'!$I8), AND('ProductSprint Backlog'!$J8=K$2,'ProductSprint Backlog'!$I8=K$2), 'ProductSprint Backlog'!$F8, TRUE, 0)</f>
        <v>0</v>
      </c>
      <c r="L8" s="4" cm="1">
        <f t="array" ref="L8">_xlfn.IFS('ProductSprint Backlog'!$F8="", "", AND('ProductSprint Backlog'!$J8&gt;L$2,'ProductSprint Backlog'!$I8&lt;=L$2), 'ProductSprint Backlog'!$F8 / MAX(1, 'ProductSprint Backlog'!$J8-'ProductSprint Backlog'!$I8), AND('ProductSprint Backlog'!$J8=L$2,'ProductSprint Backlog'!$I8=L$2), 'ProductSprint Backlog'!$F8, TRUE, 0)</f>
        <v>0</v>
      </c>
      <c r="M8" s="4" cm="1">
        <f t="array" ref="M8">_xlfn.IFS('ProductSprint Backlog'!$F8="", "", AND('ProductSprint Backlog'!$J8&gt;M$2,'ProductSprint Backlog'!$I8&lt;=M$2), 'ProductSprint Backlog'!$F8 / MAX(1, 'ProductSprint Backlog'!$J8-'ProductSprint Backlog'!$I8), AND('ProductSprint Backlog'!$J8=M$2,'ProductSprint Backlog'!$I8=M$2), 'ProductSprint Backlog'!$F8, TRUE, 0)</f>
        <v>0</v>
      </c>
      <c r="N8" s="4" cm="1">
        <f t="array" ref="N8">_xlfn.IFS('ProductSprint Backlog'!$F8="", "", AND('ProductSprint Backlog'!$J8&gt;N$2,'ProductSprint Backlog'!$I8&lt;=N$2), 'ProductSprint Backlog'!$F8 / MAX(1, 'ProductSprint Backlog'!$J8-'ProductSprint Backlog'!$I8), AND('ProductSprint Backlog'!$J8=N$2,'ProductSprint Backlog'!$I8=N$2), 'ProductSprint Backlog'!$F8, TRUE, 0)</f>
        <v>0</v>
      </c>
      <c r="O8" s="4" cm="1">
        <f t="array" ref="O8">_xlfn.IFS('ProductSprint Backlog'!$F8="", "", AND('ProductSprint Backlog'!$J8&gt;O$2,'ProductSprint Backlog'!$I8&lt;=O$2), 'ProductSprint Backlog'!$F8 / MAX(1, 'ProductSprint Backlog'!$J8-'ProductSprint Backlog'!$I8), AND('ProductSprint Backlog'!$J8=O$2,'ProductSprint Backlog'!$I8=O$2), 'ProductSprint Backlog'!$F8, TRUE, 0)</f>
        <v>0</v>
      </c>
      <c r="P8" s="4" cm="1">
        <f t="array" ref="P8">_xlfn.IFS('ProductSprint Backlog'!$F8="", "", AND('ProductSprint Backlog'!$J8&gt;P$2,'ProductSprint Backlog'!$I8&lt;=P$2), 'ProductSprint Backlog'!$F8 / MAX(1, 'ProductSprint Backlog'!$J8-'ProductSprint Backlog'!$I8), AND('ProductSprint Backlog'!$J8=P$2,'ProductSprint Backlog'!$I8=P$2), 'ProductSprint Backlog'!$F8, TRUE, 0)</f>
        <v>0</v>
      </c>
      <c r="Q8" s="4" cm="1">
        <f t="array" ref="Q8">_xlfn.IFS('ProductSprint Backlog'!$F8="", "", AND('ProductSprint Backlog'!$J8&gt;Q$2,'ProductSprint Backlog'!$I8&lt;=Q$2), 'ProductSprint Backlog'!$F8 / MAX(1, 'ProductSprint Backlog'!$J8-'ProductSprint Backlog'!$I8), AND('ProductSprint Backlog'!$J8=Q$2,'ProductSprint Backlog'!$I8=Q$2), 'ProductSprint Backlog'!$F8, TRUE, 0)</f>
        <v>0</v>
      </c>
      <c r="R8" s="4" cm="1">
        <f t="array" ref="R8">_xlfn.IFS('ProductSprint Backlog'!$F8="", "", AND('ProductSprint Backlog'!$J8&gt;R$2,'ProductSprint Backlog'!$I8&lt;=R$2), 'ProductSprint Backlog'!$F8 / MAX(1, 'ProductSprint Backlog'!$J8-'ProductSprint Backlog'!$I8), AND('ProductSprint Backlog'!$J8=R$2,'ProductSprint Backlog'!$I8=R$2), 'ProductSprint Backlog'!$F8, TRUE, 0)</f>
        <v>0</v>
      </c>
      <c r="S8" s="4" cm="1">
        <f t="array" ref="S8">_xlfn.IFS('ProductSprint Backlog'!$F8="", "", AND('ProductSprint Backlog'!$J8&gt;S$2,'ProductSprint Backlog'!$I8&lt;=S$2), 'ProductSprint Backlog'!$F8 / MAX(1, 'ProductSprint Backlog'!$J8-'ProductSprint Backlog'!$I8), AND('ProductSprint Backlog'!$J8=S$2,'ProductSprint Backlog'!$I8=S$2), 'ProductSprint Backlog'!$F8, TRUE, 0)</f>
        <v>0</v>
      </c>
      <c r="T8" s="4" cm="1">
        <f t="array" ref="T8">_xlfn.IFS('ProductSprint Backlog'!$F8="", "", AND('ProductSprint Backlog'!$J8&gt;T$2,'ProductSprint Backlog'!$I8&lt;=T$2), 'ProductSprint Backlog'!$F8 / MAX(1, 'ProductSprint Backlog'!$J8-'ProductSprint Backlog'!$I8), AND('ProductSprint Backlog'!$J8=T$2,'ProductSprint Backlog'!$I8=T$2), 'ProductSprint Backlog'!$F8, TRUE, 0)</f>
        <v>0</v>
      </c>
    </row>
    <row r="9" spans="2:20" x14ac:dyDescent="0.2">
      <c r="B9" s="4" cm="1">
        <f t="array" ref="B9">_xlfn.IFS('ProductSprint Backlog'!$F9="", "", AND('ProductSprint Backlog'!$J9&gt;B$2,'ProductSprint Backlog'!$I9&lt;=B$2), 'ProductSprint Backlog'!$F9 / MAX(1, 'ProductSprint Backlog'!$J9-'ProductSprint Backlog'!$I9), AND('ProductSprint Backlog'!$J9=B$2,'ProductSprint Backlog'!$I9=B$2), 'ProductSprint Backlog'!$F9, TRUE, 0)</f>
        <v>0</v>
      </c>
      <c r="C9" s="4" cm="1">
        <f t="array" ref="C9">_xlfn.IFS('ProductSprint Backlog'!$F9="", "", AND('ProductSprint Backlog'!$J9&gt;C$2,'ProductSprint Backlog'!$I9&lt;=C$2), 'ProductSprint Backlog'!$F9 / MAX(1, 'ProductSprint Backlog'!$J9-'ProductSprint Backlog'!$I9), AND('ProductSprint Backlog'!$J9=C$2,'ProductSprint Backlog'!$I9=C$2), 'ProductSprint Backlog'!$F9, TRUE, 0)</f>
        <v>0</v>
      </c>
      <c r="D9" s="4" cm="1">
        <f t="array" ref="D9">_xlfn.IFS('ProductSprint Backlog'!$F9="", "", AND('ProductSprint Backlog'!$J9&gt;D$2,'ProductSprint Backlog'!$I9&lt;=D$2), 'ProductSprint Backlog'!$F9 / MAX(1, 'ProductSprint Backlog'!$J9-'ProductSprint Backlog'!$I9), AND('ProductSprint Backlog'!$J9=D$2,'ProductSprint Backlog'!$I9=D$2), 'ProductSprint Backlog'!$F9, TRUE, 0)</f>
        <v>0</v>
      </c>
      <c r="E9" s="4" cm="1">
        <f t="array" ref="E9">_xlfn.IFS('ProductSprint Backlog'!$F9="", "", AND('ProductSprint Backlog'!$J9&gt;E$2,'ProductSprint Backlog'!$I9&lt;=E$2), 'ProductSprint Backlog'!$F9 / MAX(1, 'ProductSprint Backlog'!$J9-'ProductSprint Backlog'!$I9), AND('ProductSprint Backlog'!$J9=E$2,'ProductSprint Backlog'!$I9=E$2), 'ProductSprint Backlog'!$F9, TRUE, 0)</f>
        <v>0</v>
      </c>
      <c r="F9" s="4" cm="1">
        <f t="array" ref="F9">_xlfn.IFS('ProductSprint Backlog'!$F9="", "", AND('ProductSprint Backlog'!$J9&gt;F$2,'ProductSprint Backlog'!$I9&lt;=F$2), 'ProductSprint Backlog'!$F9 / MAX(1, 'ProductSprint Backlog'!$J9-'ProductSprint Backlog'!$I9), AND('ProductSprint Backlog'!$J9=F$2,'ProductSprint Backlog'!$I9=F$2), 'ProductSprint Backlog'!$F9, TRUE, 0)</f>
        <v>0</v>
      </c>
      <c r="G9" s="4" cm="1">
        <f t="array" ref="G9">_xlfn.IFS('ProductSprint Backlog'!$F9="", "", AND('ProductSprint Backlog'!$J9&gt;G$2,'ProductSprint Backlog'!$I9&lt;=G$2), 'ProductSprint Backlog'!$F9 / MAX(1, 'ProductSprint Backlog'!$J9-'ProductSprint Backlog'!$I9), AND('ProductSprint Backlog'!$J9=G$2,'ProductSprint Backlog'!$I9=G$2), 'ProductSprint Backlog'!$F9, TRUE, 0)</f>
        <v>0</v>
      </c>
      <c r="H9" s="4" cm="1">
        <f t="array" ref="H9">_xlfn.IFS('ProductSprint Backlog'!$F9="", "", AND('ProductSprint Backlog'!$J9&gt;H$2,'ProductSprint Backlog'!$I9&lt;=H$2), 'ProductSprint Backlog'!$F9 / MAX(1, 'ProductSprint Backlog'!$J9-'ProductSprint Backlog'!$I9), AND('ProductSprint Backlog'!$J9=H$2,'ProductSprint Backlog'!$I9=H$2), 'ProductSprint Backlog'!$F9, TRUE, 0)</f>
        <v>0</v>
      </c>
      <c r="I9" s="4" cm="1">
        <f t="array" ref="I9">_xlfn.IFS('ProductSprint Backlog'!$F9="", "", AND('ProductSprint Backlog'!$J9&gt;I$2,'ProductSprint Backlog'!$I9&lt;=I$2), 'ProductSprint Backlog'!$F9 / MAX(1, 'ProductSprint Backlog'!$J9-'ProductSprint Backlog'!$I9), AND('ProductSprint Backlog'!$J9=I$2,'ProductSprint Backlog'!$I9=I$2), 'ProductSprint Backlog'!$F9, TRUE, 0)</f>
        <v>0</v>
      </c>
      <c r="J9" s="4" cm="1">
        <f t="array" ref="J9">_xlfn.IFS('ProductSprint Backlog'!$F9="", "", AND('ProductSprint Backlog'!$J9&gt;J$2,'ProductSprint Backlog'!$I9&lt;=J$2), 'ProductSprint Backlog'!$F9 / MAX(1, 'ProductSprint Backlog'!$J9-'ProductSprint Backlog'!$I9), AND('ProductSprint Backlog'!$J9=J$2,'ProductSprint Backlog'!$I9=J$2), 'ProductSprint Backlog'!$F9, TRUE, 0)</f>
        <v>0</v>
      </c>
      <c r="K9" s="4" cm="1">
        <f t="array" ref="K9">_xlfn.IFS('ProductSprint Backlog'!$F9="", "", AND('ProductSprint Backlog'!$J9&gt;K$2,'ProductSprint Backlog'!$I9&lt;=K$2), 'ProductSprint Backlog'!$F9 / MAX(1, 'ProductSprint Backlog'!$J9-'ProductSprint Backlog'!$I9), AND('ProductSprint Backlog'!$J9=K$2,'ProductSprint Backlog'!$I9=K$2), 'ProductSprint Backlog'!$F9, TRUE, 0)</f>
        <v>0</v>
      </c>
      <c r="L9" s="4" cm="1">
        <f t="array" ref="L9">_xlfn.IFS('ProductSprint Backlog'!$F9="", "", AND('ProductSprint Backlog'!$J9&gt;L$2,'ProductSprint Backlog'!$I9&lt;=L$2), 'ProductSprint Backlog'!$F9 / MAX(1, 'ProductSprint Backlog'!$J9-'ProductSprint Backlog'!$I9), AND('ProductSprint Backlog'!$J9=L$2,'ProductSprint Backlog'!$I9=L$2), 'ProductSprint Backlog'!$F9, TRUE, 0)</f>
        <v>0</v>
      </c>
      <c r="M9" s="4" cm="1">
        <f t="array" ref="M9">_xlfn.IFS('ProductSprint Backlog'!$F9="", "", AND('ProductSprint Backlog'!$J9&gt;M$2,'ProductSprint Backlog'!$I9&lt;=M$2), 'ProductSprint Backlog'!$F9 / MAX(1, 'ProductSprint Backlog'!$J9-'ProductSprint Backlog'!$I9), AND('ProductSprint Backlog'!$J9=M$2,'ProductSprint Backlog'!$I9=M$2), 'ProductSprint Backlog'!$F9, TRUE, 0)</f>
        <v>0</v>
      </c>
      <c r="N9" s="4" cm="1">
        <f t="array" ref="N9">_xlfn.IFS('ProductSprint Backlog'!$F9="", "", AND('ProductSprint Backlog'!$J9&gt;N$2,'ProductSprint Backlog'!$I9&lt;=N$2), 'ProductSprint Backlog'!$F9 / MAX(1, 'ProductSprint Backlog'!$J9-'ProductSprint Backlog'!$I9), AND('ProductSprint Backlog'!$J9=N$2,'ProductSprint Backlog'!$I9=N$2), 'ProductSprint Backlog'!$F9, TRUE, 0)</f>
        <v>0</v>
      </c>
      <c r="O9" s="4" cm="1">
        <f t="array" ref="O9">_xlfn.IFS('ProductSprint Backlog'!$F9="", "", AND('ProductSprint Backlog'!$J9&gt;O$2,'ProductSprint Backlog'!$I9&lt;=O$2), 'ProductSprint Backlog'!$F9 / MAX(1, 'ProductSprint Backlog'!$J9-'ProductSprint Backlog'!$I9), AND('ProductSprint Backlog'!$J9=O$2,'ProductSprint Backlog'!$I9=O$2), 'ProductSprint Backlog'!$F9, TRUE, 0)</f>
        <v>0</v>
      </c>
      <c r="P9" s="4" cm="1">
        <f t="array" ref="P9">_xlfn.IFS('ProductSprint Backlog'!$F9="", "", AND('ProductSprint Backlog'!$J9&gt;P$2,'ProductSprint Backlog'!$I9&lt;=P$2), 'ProductSprint Backlog'!$F9 / MAX(1, 'ProductSprint Backlog'!$J9-'ProductSprint Backlog'!$I9), AND('ProductSprint Backlog'!$J9=P$2,'ProductSprint Backlog'!$I9=P$2), 'ProductSprint Backlog'!$F9, TRUE, 0)</f>
        <v>0</v>
      </c>
      <c r="Q9" s="4" cm="1">
        <f t="array" ref="Q9">_xlfn.IFS('ProductSprint Backlog'!$F9="", "", AND('ProductSprint Backlog'!$J9&gt;Q$2,'ProductSprint Backlog'!$I9&lt;=Q$2), 'ProductSprint Backlog'!$F9 / MAX(1, 'ProductSprint Backlog'!$J9-'ProductSprint Backlog'!$I9), AND('ProductSprint Backlog'!$J9=Q$2,'ProductSprint Backlog'!$I9=Q$2), 'ProductSprint Backlog'!$F9, TRUE, 0)</f>
        <v>0</v>
      </c>
      <c r="R9" s="4" cm="1">
        <f t="array" ref="R9">_xlfn.IFS('ProductSprint Backlog'!$F9="", "", AND('ProductSprint Backlog'!$J9&gt;R$2,'ProductSprint Backlog'!$I9&lt;=R$2), 'ProductSprint Backlog'!$F9 / MAX(1, 'ProductSprint Backlog'!$J9-'ProductSprint Backlog'!$I9), AND('ProductSprint Backlog'!$J9=R$2,'ProductSprint Backlog'!$I9=R$2), 'ProductSprint Backlog'!$F9, TRUE, 0)</f>
        <v>0</v>
      </c>
      <c r="S9" s="4" cm="1">
        <f t="array" ref="S9">_xlfn.IFS('ProductSprint Backlog'!$F9="", "", AND('ProductSprint Backlog'!$J9&gt;S$2,'ProductSprint Backlog'!$I9&lt;=S$2), 'ProductSprint Backlog'!$F9 / MAX(1, 'ProductSprint Backlog'!$J9-'ProductSprint Backlog'!$I9), AND('ProductSprint Backlog'!$J9=S$2,'ProductSprint Backlog'!$I9=S$2), 'ProductSprint Backlog'!$F9, TRUE, 0)</f>
        <v>0</v>
      </c>
      <c r="T9" s="4" cm="1">
        <f t="array" ref="T9">_xlfn.IFS('ProductSprint Backlog'!$F9="", "", AND('ProductSprint Backlog'!$J9&gt;T$2,'ProductSprint Backlog'!$I9&lt;=T$2), 'ProductSprint Backlog'!$F9 / MAX(1, 'ProductSprint Backlog'!$J9-'ProductSprint Backlog'!$I9), AND('ProductSprint Backlog'!$J9=T$2,'ProductSprint Backlog'!$I9=T$2), 'ProductSprint Backlog'!$F9, TRUE, 0)</f>
        <v>0</v>
      </c>
    </row>
    <row r="10" spans="2:20" x14ac:dyDescent="0.2">
      <c r="B10" s="4" cm="1">
        <f t="array" ref="B10">_xlfn.IFS('ProductSprint Backlog'!$F10="", "", AND('ProductSprint Backlog'!$J10&gt;B$2,'ProductSprint Backlog'!$I10&lt;=B$2), 'ProductSprint Backlog'!$F10 / MAX(1, 'ProductSprint Backlog'!$J10-'ProductSprint Backlog'!$I10), AND('ProductSprint Backlog'!$J10=B$2,'ProductSprint Backlog'!$I10=B$2), 'ProductSprint Backlog'!$F10, TRUE, 0)</f>
        <v>0</v>
      </c>
      <c r="C10" s="4" cm="1">
        <f t="array" ref="C10">_xlfn.IFS('ProductSprint Backlog'!$F10="", "", AND('ProductSprint Backlog'!$J10&gt;C$2,'ProductSprint Backlog'!$I10&lt;=C$2), 'ProductSprint Backlog'!$F10 / MAX(1, 'ProductSprint Backlog'!$J10-'ProductSprint Backlog'!$I10), AND('ProductSprint Backlog'!$J10=C$2,'ProductSprint Backlog'!$I10=C$2), 'ProductSprint Backlog'!$F10, TRUE, 0)</f>
        <v>0</v>
      </c>
      <c r="D10" s="4" cm="1">
        <f t="array" ref="D10">_xlfn.IFS('ProductSprint Backlog'!$F10="", "", AND('ProductSprint Backlog'!$J10&gt;D$2,'ProductSprint Backlog'!$I10&lt;=D$2), 'ProductSprint Backlog'!$F10 / MAX(1, 'ProductSprint Backlog'!$J10-'ProductSprint Backlog'!$I10), AND('ProductSprint Backlog'!$J10=D$2,'ProductSprint Backlog'!$I10=D$2), 'ProductSprint Backlog'!$F10, TRUE, 0)</f>
        <v>0</v>
      </c>
      <c r="E10" s="4" cm="1">
        <f t="array" ref="E10">_xlfn.IFS('ProductSprint Backlog'!$F10="", "", AND('ProductSprint Backlog'!$J10&gt;E$2,'ProductSprint Backlog'!$I10&lt;=E$2), 'ProductSprint Backlog'!$F10 / MAX(1, 'ProductSprint Backlog'!$J10-'ProductSprint Backlog'!$I10), AND('ProductSprint Backlog'!$J10=E$2,'ProductSprint Backlog'!$I10=E$2), 'ProductSprint Backlog'!$F10, TRUE, 0)</f>
        <v>0</v>
      </c>
      <c r="F10" s="4" cm="1">
        <f t="array" ref="F10">_xlfn.IFS('ProductSprint Backlog'!$F10="", "", AND('ProductSprint Backlog'!$J10&gt;F$2,'ProductSprint Backlog'!$I10&lt;=F$2), 'ProductSprint Backlog'!$F10 / MAX(1, 'ProductSprint Backlog'!$J10-'ProductSprint Backlog'!$I10), AND('ProductSprint Backlog'!$J10=F$2,'ProductSprint Backlog'!$I10=F$2), 'ProductSprint Backlog'!$F10, TRUE, 0)</f>
        <v>0</v>
      </c>
      <c r="G10" s="4" cm="1">
        <f t="array" ref="G10">_xlfn.IFS('ProductSprint Backlog'!$F10="", "", AND('ProductSprint Backlog'!$J10&gt;G$2,'ProductSprint Backlog'!$I10&lt;=G$2), 'ProductSprint Backlog'!$F10 / MAX(1, 'ProductSprint Backlog'!$J10-'ProductSprint Backlog'!$I10), AND('ProductSprint Backlog'!$J10=G$2,'ProductSprint Backlog'!$I10=G$2), 'ProductSprint Backlog'!$F10, TRUE, 0)</f>
        <v>0</v>
      </c>
      <c r="H10" s="4" cm="1">
        <f t="array" ref="H10">_xlfn.IFS('ProductSprint Backlog'!$F10="", "", AND('ProductSprint Backlog'!$J10&gt;H$2,'ProductSprint Backlog'!$I10&lt;=H$2), 'ProductSprint Backlog'!$F10 / MAX(1, 'ProductSprint Backlog'!$J10-'ProductSprint Backlog'!$I10), AND('ProductSprint Backlog'!$J10=H$2,'ProductSprint Backlog'!$I10=H$2), 'ProductSprint Backlog'!$F10, TRUE, 0)</f>
        <v>0</v>
      </c>
      <c r="I10" s="4" cm="1">
        <f t="array" ref="I10">_xlfn.IFS('ProductSprint Backlog'!$F10="", "", AND('ProductSprint Backlog'!$J10&gt;I$2,'ProductSprint Backlog'!$I10&lt;=I$2), 'ProductSprint Backlog'!$F10 / MAX(1, 'ProductSprint Backlog'!$J10-'ProductSprint Backlog'!$I10), AND('ProductSprint Backlog'!$J10=I$2,'ProductSprint Backlog'!$I10=I$2), 'ProductSprint Backlog'!$F10, TRUE, 0)</f>
        <v>0</v>
      </c>
      <c r="J10" s="4" cm="1">
        <f t="array" ref="J10">_xlfn.IFS('ProductSprint Backlog'!$F10="", "", AND('ProductSprint Backlog'!$J10&gt;J$2,'ProductSprint Backlog'!$I10&lt;=J$2), 'ProductSprint Backlog'!$F10 / MAX(1, 'ProductSprint Backlog'!$J10-'ProductSprint Backlog'!$I10), AND('ProductSprint Backlog'!$J10=J$2,'ProductSprint Backlog'!$I10=J$2), 'ProductSprint Backlog'!$F10, TRUE, 0)</f>
        <v>0</v>
      </c>
      <c r="K10" s="4" cm="1">
        <f t="array" ref="K10">_xlfn.IFS('ProductSprint Backlog'!$F10="", "", AND('ProductSprint Backlog'!$J10&gt;K$2,'ProductSprint Backlog'!$I10&lt;=K$2), 'ProductSprint Backlog'!$F10 / MAX(1, 'ProductSprint Backlog'!$J10-'ProductSprint Backlog'!$I10), AND('ProductSprint Backlog'!$J10=K$2,'ProductSprint Backlog'!$I10=K$2), 'ProductSprint Backlog'!$F10, TRUE, 0)</f>
        <v>0</v>
      </c>
      <c r="L10" s="4" cm="1">
        <f t="array" ref="L10">_xlfn.IFS('ProductSprint Backlog'!$F10="", "", AND('ProductSprint Backlog'!$J10&gt;L$2,'ProductSprint Backlog'!$I10&lt;=L$2), 'ProductSprint Backlog'!$F10 / MAX(1, 'ProductSprint Backlog'!$J10-'ProductSprint Backlog'!$I10), AND('ProductSprint Backlog'!$J10=L$2,'ProductSprint Backlog'!$I10=L$2), 'ProductSprint Backlog'!$F10, TRUE, 0)</f>
        <v>0</v>
      </c>
      <c r="M10" s="4" cm="1">
        <f t="array" ref="M10">_xlfn.IFS('ProductSprint Backlog'!$F10="", "", AND('ProductSprint Backlog'!$J10&gt;M$2,'ProductSprint Backlog'!$I10&lt;=M$2), 'ProductSprint Backlog'!$F10 / MAX(1, 'ProductSprint Backlog'!$J10-'ProductSprint Backlog'!$I10), AND('ProductSprint Backlog'!$J10=M$2,'ProductSprint Backlog'!$I10=M$2), 'ProductSprint Backlog'!$F10, TRUE, 0)</f>
        <v>0</v>
      </c>
      <c r="N10" s="4" cm="1">
        <f t="array" ref="N10">_xlfn.IFS('ProductSprint Backlog'!$F10="", "", AND('ProductSprint Backlog'!$J10&gt;N$2,'ProductSprint Backlog'!$I10&lt;=N$2), 'ProductSprint Backlog'!$F10 / MAX(1, 'ProductSprint Backlog'!$J10-'ProductSprint Backlog'!$I10), AND('ProductSprint Backlog'!$J10=N$2,'ProductSprint Backlog'!$I10=N$2), 'ProductSprint Backlog'!$F10, TRUE, 0)</f>
        <v>0</v>
      </c>
      <c r="O10" s="4" cm="1">
        <f t="array" ref="O10">_xlfn.IFS('ProductSprint Backlog'!$F10="", "", AND('ProductSprint Backlog'!$J10&gt;O$2,'ProductSprint Backlog'!$I10&lt;=O$2), 'ProductSprint Backlog'!$F10 / MAX(1, 'ProductSprint Backlog'!$J10-'ProductSprint Backlog'!$I10), AND('ProductSprint Backlog'!$J10=O$2,'ProductSprint Backlog'!$I10=O$2), 'ProductSprint Backlog'!$F10, TRUE, 0)</f>
        <v>0</v>
      </c>
      <c r="P10" s="4" cm="1">
        <f t="array" ref="P10">_xlfn.IFS('ProductSprint Backlog'!$F10="", "", AND('ProductSprint Backlog'!$J10&gt;P$2,'ProductSprint Backlog'!$I10&lt;=P$2), 'ProductSprint Backlog'!$F10 / MAX(1, 'ProductSprint Backlog'!$J10-'ProductSprint Backlog'!$I10), AND('ProductSprint Backlog'!$J10=P$2,'ProductSprint Backlog'!$I10=P$2), 'ProductSprint Backlog'!$F10, TRUE, 0)</f>
        <v>0</v>
      </c>
      <c r="Q10" s="4" cm="1">
        <f t="array" ref="Q10">_xlfn.IFS('ProductSprint Backlog'!$F10="", "", AND('ProductSprint Backlog'!$J10&gt;Q$2,'ProductSprint Backlog'!$I10&lt;=Q$2), 'ProductSprint Backlog'!$F10 / MAX(1, 'ProductSprint Backlog'!$J10-'ProductSprint Backlog'!$I10), AND('ProductSprint Backlog'!$J10=Q$2,'ProductSprint Backlog'!$I10=Q$2), 'ProductSprint Backlog'!$F10, TRUE, 0)</f>
        <v>0</v>
      </c>
      <c r="R10" s="4" cm="1">
        <f t="array" ref="R10">_xlfn.IFS('ProductSprint Backlog'!$F10="", "", AND('ProductSprint Backlog'!$J10&gt;R$2,'ProductSprint Backlog'!$I10&lt;=R$2), 'ProductSprint Backlog'!$F10 / MAX(1, 'ProductSprint Backlog'!$J10-'ProductSprint Backlog'!$I10), AND('ProductSprint Backlog'!$J10=R$2,'ProductSprint Backlog'!$I10=R$2), 'ProductSprint Backlog'!$F10, TRUE, 0)</f>
        <v>0</v>
      </c>
      <c r="S10" s="4" cm="1">
        <f t="array" ref="S10">_xlfn.IFS('ProductSprint Backlog'!$F10="", "", AND('ProductSprint Backlog'!$J10&gt;S$2,'ProductSprint Backlog'!$I10&lt;=S$2), 'ProductSprint Backlog'!$F10 / MAX(1, 'ProductSprint Backlog'!$J10-'ProductSprint Backlog'!$I10), AND('ProductSprint Backlog'!$J10=S$2,'ProductSprint Backlog'!$I10=S$2), 'ProductSprint Backlog'!$F10, TRUE, 0)</f>
        <v>0</v>
      </c>
      <c r="T10" s="4" cm="1">
        <f t="array" ref="T10">_xlfn.IFS('ProductSprint Backlog'!$F10="", "", AND('ProductSprint Backlog'!$J10&gt;T$2,'ProductSprint Backlog'!$I10&lt;=T$2), 'ProductSprint Backlog'!$F10 / MAX(1, 'ProductSprint Backlog'!$J10-'ProductSprint Backlog'!$I10), AND('ProductSprint Backlog'!$J10=T$2,'ProductSprint Backlog'!$I10=T$2), 'ProductSprint Backlog'!$F10, TRUE, 0)</f>
        <v>0</v>
      </c>
    </row>
    <row r="11" spans="2:20" x14ac:dyDescent="0.2">
      <c r="B11" s="4" cm="1">
        <f t="array" ref="B11">_xlfn.IFS('ProductSprint Backlog'!$F11="", "", AND('ProductSprint Backlog'!$J11&gt;B$2,'ProductSprint Backlog'!$I11&lt;=B$2), 'ProductSprint Backlog'!$F11 / MAX(1, 'ProductSprint Backlog'!$J11-'ProductSprint Backlog'!$I11), AND('ProductSprint Backlog'!$J11=B$2,'ProductSprint Backlog'!$I11=B$2), 'ProductSprint Backlog'!$F11, TRUE, 0)</f>
        <v>0</v>
      </c>
      <c r="C11" s="4" cm="1">
        <f t="array" ref="C11">_xlfn.IFS('ProductSprint Backlog'!$F11="", "", AND('ProductSprint Backlog'!$J11&gt;C$2,'ProductSprint Backlog'!$I11&lt;=C$2), 'ProductSprint Backlog'!$F11 / MAX(1, 'ProductSprint Backlog'!$J11-'ProductSprint Backlog'!$I11), AND('ProductSprint Backlog'!$J11=C$2,'ProductSprint Backlog'!$I11=C$2), 'ProductSprint Backlog'!$F11, TRUE, 0)</f>
        <v>0</v>
      </c>
      <c r="D11" s="4" cm="1">
        <f t="array" ref="D11">_xlfn.IFS('ProductSprint Backlog'!$F11="", "", AND('ProductSprint Backlog'!$J11&gt;D$2,'ProductSprint Backlog'!$I11&lt;=D$2), 'ProductSprint Backlog'!$F11 / MAX(1, 'ProductSprint Backlog'!$J11-'ProductSprint Backlog'!$I11), AND('ProductSprint Backlog'!$J11=D$2,'ProductSprint Backlog'!$I11=D$2), 'ProductSprint Backlog'!$F11, TRUE, 0)</f>
        <v>0</v>
      </c>
      <c r="E11" s="4" cm="1">
        <f t="array" ref="E11">_xlfn.IFS('ProductSprint Backlog'!$F11="", "", AND('ProductSprint Backlog'!$J11&gt;E$2,'ProductSprint Backlog'!$I11&lt;=E$2), 'ProductSprint Backlog'!$F11 / MAX(1, 'ProductSprint Backlog'!$J11-'ProductSprint Backlog'!$I11), AND('ProductSprint Backlog'!$J11=E$2,'ProductSprint Backlog'!$I11=E$2), 'ProductSprint Backlog'!$F11, TRUE, 0)</f>
        <v>0</v>
      </c>
      <c r="F11" s="4" cm="1">
        <f t="array" ref="F11">_xlfn.IFS('ProductSprint Backlog'!$F11="", "", AND('ProductSprint Backlog'!$J11&gt;F$2,'ProductSprint Backlog'!$I11&lt;=F$2), 'ProductSprint Backlog'!$F11 / MAX(1, 'ProductSprint Backlog'!$J11-'ProductSprint Backlog'!$I11), AND('ProductSprint Backlog'!$J11=F$2,'ProductSprint Backlog'!$I11=F$2), 'ProductSprint Backlog'!$F11, TRUE, 0)</f>
        <v>0</v>
      </c>
      <c r="G11" s="4" cm="1">
        <f t="array" ref="G11">_xlfn.IFS('ProductSprint Backlog'!$F11="", "", AND('ProductSprint Backlog'!$J11&gt;G$2,'ProductSprint Backlog'!$I11&lt;=G$2), 'ProductSprint Backlog'!$F11 / MAX(1, 'ProductSprint Backlog'!$J11-'ProductSprint Backlog'!$I11), AND('ProductSprint Backlog'!$J11=G$2,'ProductSprint Backlog'!$I11=G$2), 'ProductSprint Backlog'!$F11, TRUE, 0)</f>
        <v>0</v>
      </c>
      <c r="H11" s="4" cm="1">
        <f t="array" ref="H11">_xlfn.IFS('ProductSprint Backlog'!$F11="", "", AND('ProductSprint Backlog'!$J11&gt;H$2,'ProductSprint Backlog'!$I11&lt;=H$2), 'ProductSprint Backlog'!$F11 / MAX(1, 'ProductSprint Backlog'!$J11-'ProductSprint Backlog'!$I11), AND('ProductSprint Backlog'!$J11=H$2,'ProductSprint Backlog'!$I11=H$2), 'ProductSprint Backlog'!$F11, TRUE, 0)</f>
        <v>0</v>
      </c>
      <c r="I11" s="4" cm="1">
        <f t="array" ref="I11">_xlfn.IFS('ProductSprint Backlog'!$F11="", "", AND('ProductSprint Backlog'!$J11&gt;I$2,'ProductSprint Backlog'!$I11&lt;=I$2), 'ProductSprint Backlog'!$F11 / MAX(1, 'ProductSprint Backlog'!$J11-'ProductSprint Backlog'!$I11), AND('ProductSprint Backlog'!$J11=I$2,'ProductSprint Backlog'!$I11=I$2), 'ProductSprint Backlog'!$F11, TRUE, 0)</f>
        <v>0</v>
      </c>
      <c r="J11" s="4" cm="1">
        <f t="array" ref="J11">_xlfn.IFS('ProductSprint Backlog'!$F11="", "", AND('ProductSprint Backlog'!$J11&gt;J$2,'ProductSprint Backlog'!$I11&lt;=J$2), 'ProductSprint Backlog'!$F11 / MAX(1, 'ProductSprint Backlog'!$J11-'ProductSprint Backlog'!$I11), AND('ProductSprint Backlog'!$J11=J$2,'ProductSprint Backlog'!$I11=J$2), 'ProductSprint Backlog'!$F11, TRUE, 0)</f>
        <v>0</v>
      </c>
      <c r="K11" s="4" cm="1">
        <f t="array" ref="K11">_xlfn.IFS('ProductSprint Backlog'!$F11="", "", AND('ProductSprint Backlog'!$J11&gt;K$2,'ProductSprint Backlog'!$I11&lt;=K$2), 'ProductSprint Backlog'!$F11 / MAX(1, 'ProductSprint Backlog'!$J11-'ProductSprint Backlog'!$I11), AND('ProductSprint Backlog'!$J11=K$2,'ProductSprint Backlog'!$I11=K$2), 'ProductSprint Backlog'!$F11, TRUE, 0)</f>
        <v>0</v>
      </c>
      <c r="L11" s="4" cm="1">
        <f t="array" ref="L11">_xlfn.IFS('ProductSprint Backlog'!$F11="", "", AND('ProductSprint Backlog'!$J11&gt;L$2,'ProductSprint Backlog'!$I11&lt;=L$2), 'ProductSprint Backlog'!$F11 / MAX(1, 'ProductSprint Backlog'!$J11-'ProductSprint Backlog'!$I11), AND('ProductSprint Backlog'!$J11=L$2,'ProductSprint Backlog'!$I11=L$2), 'ProductSprint Backlog'!$F11, TRUE, 0)</f>
        <v>0</v>
      </c>
      <c r="M11" s="4" cm="1">
        <f t="array" ref="M11">_xlfn.IFS('ProductSprint Backlog'!$F11="", "", AND('ProductSprint Backlog'!$J11&gt;M$2,'ProductSprint Backlog'!$I11&lt;=M$2), 'ProductSprint Backlog'!$F11 / MAX(1, 'ProductSprint Backlog'!$J11-'ProductSprint Backlog'!$I11), AND('ProductSprint Backlog'!$J11=M$2,'ProductSprint Backlog'!$I11=M$2), 'ProductSprint Backlog'!$F11, TRUE, 0)</f>
        <v>0</v>
      </c>
      <c r="N11" s="4" cm="1">
        <f t="array" ref="N11">_xlfn.IFS('ProductSprint Backlog'!$F11="", "", AND('ProductSprint Backlog'!$J11&gt;N$2,'ProductSprint Backlog'!$I11&lt;=N$2), 'ProductSprint Backlog'!$F11 / MAX(1, 'ProductSprint Backlog'!$J11-'ProductSprint Backlog'!$I11), AND('ProductSprint Backlog'!$J11=N$2,'ProductSprint Backlog'!$I11=N$2), 'ProductSprint Backlog'!$F11, TRUE, 0)</f>
        <v>0</v>
      </c>
      <c r="O11" s="4" cm="1">
        <f t="array" ref="O11">_xlfn.IFS('ProductSprint Backlog'!$F11="", "", AND('ProductSprint Backlog'!$J11&gt;O$2,'ProductSprint Backlog'!$I11&lt;=O$2), 'ProductSprint Backlog'!$F11 / MAX(1, 'ProductSprint Backlog'!$J11-'ProductSprint Backlog'!$I11), AND('ProductSprint Backlog'!$J11=O$2,'ProductSprint Backlog'!$I11=O$2), 'ProductSprint Backlog'!$F11, TRUE, 0)</f>
        <v>0</v>
      </c>
      <c r="P11" s="4" cm="1">
        <f t="array" ref="P11">_xlfn.IFS('ProductSprint Backlog'!$F11="", "", AND('ProductSprint Backlog'!$J11&gt;P$2,'ProductSprint Backlog'!$I11&lt;=P$2), 'ProductSprint Backlog'!$F11 / MAX(1, 'ProductSprint Backlog'!$J11-'ProductSprint Backlog'!$I11), AND('ProductSprint Backlog'!$J11=P$2,'ProductSprint Backlog'!$I11=P$2), 'ProductSprint Backlog'!$F11, TRUE, 0)</f>
        <v>0</v>
      </c>
      <c r="Q11" s="4" cm="1">
        <f t="array" ref="Q11">_xlfn.IFS('ProductSprint Backlog'!$F11="", "", AND('ProductSprint Backlog'!$J11&gt;Q$2,'ProductSprint Backlog'!$I11&lt;=Q$2), 'ProductSprint Backlog'!$F11 / MAX(1, 'ProductSprint Backlog'!$J11-'ProductSprint Backlog'!$I11), AND('ProductSprint Backlog'!$J11=Q$2,'ProductSprint Backlog'!$I11=Q$2), 'ProductSprint Backlog'!$F11, TRUE, 0)</f>
        <v>0</v>
      </c>
      <c r="R11" s="4" cm="1">
        <f t="array" ref="R11">_xlfn.IFS('ProductSprint Backlog'!$F11="", "", AND('ProductSprint Backlog'!$J11&gt;R$2,'ProductSprint Backlog'!$I11&lt;=R$2), 'ProductSprint Backlog'!$F11 / MAX(1, 'ProductSprint Backlog'!$J11-'ProductSprint Backlog'!$I11), AND('ProductSprint Backlog'!$J11=R$2,'ProductSprint Backlog'!$I11=R$2), 'ProductSprint Backlog'!$F11, TRUE, 0)</f>
        <v>0</v>
      </c>
      <c r="S11" s="4" cm="1">
        <f t="array" ref="S11">_xlfn.IFS('ProductSprint Backlog'!$F11="", "", AND('ProductSprint Backlog'!$J11&gt;S$2,'ProductSprint Backlog'!$I11&lt;=S$2), 'ProductSprint Backlog'!$F11 / MAX(1, 'ProductSprint Backlog'!$J11-'ProductSprint Backlog'!$I11), AND('ProductSprint Backlog'!$J11=S$2,'ProductSprint Backlog'!$I11=S$2), 'ProductSprint Backlog'!$F11, TRUE, 0)</f>
        <v>0</v>
      </c>
      <c r="T11" s="4" cm="1">
        <f t="array" ref="T11">_xlfn.IFS('ProductSprint Backlog'!$F11="", "", AND('ProductSprint Backlog'!$J11&gt;T$2,'ProductSprint Backlog'!$I11&lt;=T$2), 'ProductSprint Backlog'!$F11 / MAX(1, 'ProductSprint Backlog'!$J11-'ProductSprint Backlog'!$I11), AND('ProductSprint Backlog'!$J11=T$2,'ProductSprint Backlog'!$I11=T$2), 'ProductSprint Backlog'!$F11, TRUE, 0)</f>
        <v>0</v>
      </c>
    </row>
    <row r="12" spans="2:20" x14ac:dyDescent="0.2">
      <c r="B12" s="4" cm="1">
        <f t="array" ref="B12">_xlfn.IFS('ProductSprint Backlog'!$F12="", "", AND('ProductSprint Backlog'!$J12&gt;B$2,'ProductSprint Backlog'!$I12&lt;=B$2), 'ProductSprint Backlog'!$F12 / MAX(1, 'ProductSprint Backlog'!$J12-'ProductSprint Backlog'!$I12), AND('ProductSprint Backlog'!$J12=B$2,'ProductSprint Backlog'!$I12=B$2), 'ProductSprint Backlog'!$F12, TRUE, 0)</f>
        <v>0</v>
      </c>
      <c r="C12" s="4" cm="1">
        <f t="array" ref="C12">_xlfn.IFS('ProductSprint Backlog'!$F12="", "", AND('ProductSprint Backlog'!$J12&gt;C$2,'ProductSprint Backlog'!$I12&lt;=C$2), 'ProductSprint Backlog'!$F12 / MAX(1, 'ProductSprint Backlog'!$J12-'ProductSprint Backlog'!$I12), AND('ProductSprint Backlog'!$J12=C$2,'ProductSprint Backlog'!$I12=C$2), 'ProductSprint Backlog'!$F12, TRUE, 0)</f>
        <v>0</v>
      </c>
      <c r="D12" s="4" cm="1">
        <f t="array" ref="D12">_xlfn.IFS('ProductSprint Backlog'!$F12="", "", AND('ProductSprint Backlog'!$J12&gt;D$2,'ProductSprint Backlog'!$I12&lt;=D$2), 'ProductSprint Backlog'!$F12 / MAX(1, 'ProductSprint Backlog'!$J12-'ProductSprint Backlog'!$I12), AND('ProductSprint Backlog'!$J12=D$2,'ProductSprint Backlog'!$I12=D$2), 'ProductSprint Backlog'!$F12, TRUE, 0)</f>
        <v>0</v>
      </c>
      <c r="E12" s="4" cm="1">
        <f t="array" ref="E12">_xlfn.IFS('ProductSprint Backlog'!$F12="", "", AND('ProductSprint Backlog'!$J12&gt;E$2,'ProductSprint Backlog'!$I12&lt;=E$2), 'ProductSprint Backlog'!$F12 / MAX(1, 'ProductSprint Backlog'!$J12-'ProductSprint Backlog'!$I12), AND('ProductSprint Backlog'!$J12=E$2,'ProductSprint Backlog'!$I12=E$2), 'ProductSprint Backlog'!$F12, TRUE, 0)</f>
        <v>0</v>
      </c>
      <c r="F12" s="4" cm="1">
        <f t="array" ref="F12">_xlfn.IFS('ProductSprint Backlog'!$F12="", "", AND('ProductSprint Backlog'!$J12&gt;F$2,'ProductSprint Backlog'!$I12&lt;=F$2), 'ProductSprint Backlog'!$F12 / MAX(1, 'ProductSprint Backlog'!$J12-'ProductSprint Backlog'!$I12), AND('ProductSprint Backlog'!$J12=F$2,'ProductSprint Backlog'!$I12=F$2), 'ProductSprint Backlog'!$F12, TRUE, 0)</f>
        <v>0</v>
      </c>
      <c r="G12" s="4" cm="1">
        <f t="array" ref="G12">_xlfn.IFS('ProductSprint Backlog'!$F12="", "", AND('ProductSprint Backlog'!$J12&gt;G$2,'ProductSprint Backlog'!$I12&lt;=G$2), 'ProductSprint Backlog'!$F12 / MAX(1, 'ProductSprint Backlog'!$J12-'ProductSprint Backlog'!$I12), AND('ProductSprint Backlog'!$J12=G$2,'ProductSprint Backlog'!$I12=G$2), 'ProductSprint Backlog'!$F12, TRUE, 0)</f>
        <v>0</v>
      </c>
      <c r="H12" s="4" cm="1">
        <f t="array" ref="H12">_xlfn.IFS('ProductSprint Backlog'!$F12="", "", AND('ProductSprint Backlog'!$J12&gt;H$2,'ProductSprint Backlog'!$I12&lt;=H$2), 'ProductSprint Backlog'!$F12 / MAX(1, 'ProductSprint Backlog'!$J12-'ProductSprint Backlog'!$I12), AND('ProductSprint Backlog'!$J12=H$2,'ProductSprint Backlog'!$I12=H$2), 'ProductSprint Backlog'!$F12, TRUE, 0)</f>
        <v>0</v>
      </c>
      <c r="I12" s="4" cm="1">
        <f t="array" ref="I12">_xlfn.IFS('ProductSprint Backlog'!$F12="", "", AND('ProductSprint Backlog'!$J12&gt;I$2,'ProductSprint Backlog'!$I12&lt;=I$2), 'ProductSprint Backlog'!$F12 / MAX(1, 'ProductSprint Backlog'!$J12-'ProductSprint Backlog'!$I12), AND('ProductSprint Backlog'!$J12=I$2,'ProductSprint Backlog'!$I12=I$2), 'ProductSprint Backlog'!$F12, TRUE, 0)</f>
        <v>0</v>
      </c>
      <c r="J12" s="4" cm="1">
        <f t="array" ref="J12">_xlfn.IFS('ProductSprint Backlog'!$F12="", "", AND('ProductSprint Backlog'!$J12&gt;J$2,'ProductSprint Backlog'!$I12&lt;=J$2), 'ProductSprint Backlog'!$F12 / MAX(1, 'ProductSprint Backlog'!$J12-'ProductSprint Backlog'!$I12), AND('ProductSprint Backlog'!$J12=J$2,'ProductSprint Backlog'!$I12=J$2), 'ProductSprint Backlog'!$F12, TRUE, 0)</f>
        <v>0</v>
      </c>
      <c r="K12" s="4" cm="1">
        <f t="array" ref="K12">_xlfn.IFS('ProductSprint Backlog'!$F12="", "", AND('ProductSprint Backlog'!$J12&gt;K$2,'ProductSprint Backlog'!$I12&lt;=K$2), 'ProductSprint Backlog'!$F12 / MAX(1, 'ProductSprint Backlog'!$J12-'ProductSprint Backlog'!$I12), AND('ProductSprint Backlog'!$J12=K$2,'ProductSprint Backlog'!$I12=K$2), 'ProductSprint Backlog'!$F12, TRUE, 0)</f>
        <v>0</v>
      </c>
      <c r="L12" s="4" cm="1">
        <f t="array" ref="L12">_xlfn.IFS('ProductSprint Backlog'!$F12="", "", AND('ProductSprint Backlog'!$J12&gt;L$2,'ProductSprint Backlog'!$I12&lt;=L$2), 'ProductSprint Backlog'!$F12 / MAX(1, 'ProductSprint Backlog'!$J12-'ProductSprint Backlog'!$I12), AND('ProductSprint Backlog'!$J12=L$2,'ProductSprint Backlog'!$I12=L$2), 'ProductSprint Backlog'!$F12, TRUE, 0)</f>
        <v>0</v>
      </c>
      <c r="M12" s="4" cm="1">
        <f t="array" ref="M12">_xlfn.IFS('ProductSprint Backlog'!$F12="", "", AND('ProductSprint Backlog'!$J12&gt;M$2,'ProductSprint Backlog'!$I12&lt;=M$2), 'ProductSprint Backlog'!$F12 / MAX(1, 'ProductSprint Backlog'!$J12-'ProductSprint Backlog'!$I12), AND('ProductSprint Backlog'!$J12=M$2,'ProductSprint Backlog'!$I12=M$2), 'ProductSprint Backlog'!$F12, TRUE, 0)</f>
        <v>0</v>
      </c>
      <c r="N12" s="4" cm="1">
        <f t="array" ref="N12">_xlfn.IFS('ProductSprint Backlog'!$F12="", "", AND('ProductSprint Backlog'!$J12&gt;N$2,'ProductSprint Backlog'!$I12&lt;=N$2), 'ProductSprint Backlog'!$F12 / MAX(1, 'ProductSprint Backlog'!$J12-'ProductSprint Backlog'!$I12), AND('ProductSprint Backlog'!$J12=N$2,'ProductSprint Backlog'!$I12=N$2), 'ProductSprint Backlog'!$F12, TRUE, 0)</f>
        <v>0</v>
      </c>
      <c r="O12" s="4" cm="1">
        <f t="array" ref="O12">_xlfn.IFS('ProductSprint Backlog'!$F12="", "", AND('ProductSprint Backlog'!$J12&gt;O$2,'ProductSprint Backlog'!$I12&lt;=O$2), 'ProductSprint Backlog'!$F12 / MAX(1, 'ProductSprint Backlog'!$J12-'ProductSprint Backlog'!$I12), AND('ProductSprint Backlog'!$J12=O$2,'ProductSprint Backlog'!$I12=O$2), 'ProductSprint Backlog'!$F12, TRUE, 0)</f>
        <v>0</v>
      </c>
      <c r="P12" s="4" cm="1">
        <f t="array" ref="P12">_xlfn.IFS('ProductSprint Backlog'!$F12="", "", AND('ProductSprint Backlog'!$J12&gt;P$2,'ProductSprint Backlog'!$I12&lt;=P$2), 'ProductSprint Backlog'!$F12 / MAX(1, 'ProductSprint Backlog'!$J12-'ProductSprint Backlog'!$I12), AND('ProductSprint Backlog'!$J12=P$2,'ProductSprint Backlog'!$I12=P$2), 'ProductSprint Backlog'!$F12, TRUE, 0)</f>
        <v>0</v>
      </c>
      <c r="Q12" s="4" cm="1">
        <f t="array" ref="Q12">_xlfn.IFS('ProductSprint Backlog'!$F12="", "", AND('ProductSprint Backlog'!$J12&gt;Q$2,'ProductSprint Backlog'!$I12&lt;=Q$2), 'ProductSprint Backlog'!$F12 / MAX(1, 'ProductSprint Backlog'!$J12-'ProductSprint Backlog'!$I12), AND('ProductSprint Backlog'!$J12=Q$2,'ProductSprint Backlog'!$I12=Q$2), 'ProductSprint Backlog'!$F12, TRUE, 0)</f>
        <v>0</v>
      </c>
      <c r="R12" s="4" cm="1">
        <f t="array" ref="R12">_xlfn.IFS('ProductSprint Backlog'!$F12="", "", AND('ProductSprint Backlog'!$J12&gt;R$2,'ProductSprint Backlog'!$I12&lt;=R$2), 'ProductSprint Backlog'!$F12 / MAX(1, 'ProductSprint Backlog'!$J12-'ProductSprint Backlog'!$I12), AND('ProductSprint Backlog'!$J12=R$2,'ProductSprint Backlog'!$I12=R$2), 'ProductSprint Backlog'!$F12, TRUE, 0)</f>
        <v>0</v>
      </c>
      <c r="S12" s="4" cm="1">
        <f t="array" ref="S12">_xlfn.IFS('ProductSprint Backlog'!$F12="", "", AND('ProductSprint Backlog'!$J12&gt;S$2,'ProductSprint Backlog'!$I12&lt;=S$2), 'ProductSprint Backlog'!$F12 / MAX(1, 'ProductSprint Backlog'!$J12-'ProductSprint Backlog'!$I12), AND('ProductSprint Backlog'!$J12=S$2,'ProductSprint Backlog'!$I12=S$2), 'ProductSprint Backlog'!$F12, TRUE, 0)</f>
        <v>0</v>
      </c>
      <c r="T12" s="4" cm="1">
        <f t="array" ref="T12">_xlfn.IFS('ProductSprint Backlog'!$F12="", "", AND('ProductSprint Backlog'!$J12&gt;T$2,'ProductSprint Backlog'!$I12&lt;=T$2), 'ProductSprint Backlog'!$F12 / MAX(1, 'ProductSprint Backlog'!$J12-'ProductSprint Backlog'!$I12), AND('ProductSprint Backlog'!$J12=T$2,'ProductSprint Backlog'!$I12=T$2), 'ProductSprint Backlog'!$F12, TRUE, 0)</f>
        <v>0</v>
      </c>
    </row>
    <row r="13" spans="2:20" x14ac:dyDescent="0.2">
      <c r="B13" s="4" t="str" cm="1">
        <f t="array" ref="B13">_xlfn.IFS('ProductSprint Backlog'!$F13="", "", AND('ProductSprint Backlog'!$J13&gt;B$2,'ProductSprint Backlog'!$I13&lt;=B$2), 'ProductSprint Backlog'!$F13 / MAX(1, 'ProductSprint Backlog'!$J13-'ProductSprint Backlog'!$I13), AND('ProductSprint Backlog'!$J13=B$2,'ProductSprint Backlog'!$I13=B$2), 'ProductSprint Backlog'!$F13, TRUE, 0)</f>
        <v/>
      </c>
      <c r="C13" s="4" t="str" cm="1">
        <f t="array" ref="C13">_xlfn.IFS('ProductSprint Backlog'!$F13="", "", AND('ProductSprint Backlog'!$J13&gt;C$2,'ProductSprint Backlog'!$I13&lt;=C$2), 'ProductSprint Backlog'!$F13 / MAX(1, 'ProductSprint Backlog'!$J13-'ProductSprint Backlog'!$I13), AND('ProductSprint Backlog'!$J13=C$2,'ProductSprint Backlog'!$I13=C$2), 'ProductSprint Backlog'!$F13, TRUE, 0)</f>
        <v/>
      </c>
      <c r="D13" s="4" t="str" cm="1">
        <f t="array" ref="D13">_xlfn.IFS('ProductSprint Backlog'!$F13="", "", AND('ProductSprint Backlog'!$J13&gt;D$2,'ProductSprint Backlog'!$I13&lt;=D$2), 'ProductSprint Backlog'!$F13 / MAX(1, 'ProductSprint Backlog'!$J13-'ProductSprint Backlog'!$I13), AND('ProductSprint Backlog'!$J13=D$2,'ProductSprint Backlog'!$I13=D$2), 'ProductSprint Backlog'!$F13, TRUE, 0)</f>
        <v/>
      </c>
      <c r="E13" s="4" t="str" cm="1">
        <f t="array" ref="E13">_xlfn.IFS('ProductSprint Backlog'!$F13="", "", AND('ProductSprint Backlog'!$J13&gt;E$2,'ProductSprint Backlog'!$I13&lt;=E$2), 'ProductSprint Backlog'!$F13 / MAX(1, 'ProductSprint Backlog'!$J13-'ProductSprint Backlog'!$I13), AND('ProductSprint Backlog'!$J13=E$2,'ProductSprint Backlog'!$I13=E$2), 'ProductSprint Backlog'!$F13, TRUE, 0)</f>
        <v/>
      </c>
      <c r="F13" s="4" t="str" cm="1">
        <f t="array" ref="F13">_xlfn.IFS('ProductSprint Backlog'!$F13="", "", AND('ProductSprint Backlog'!$J13&gt;F$2,'ProductSprint Backlog'!$I13&lt;=F$2), 'ProductSprint Backlog'!$F13 / MAX(1, 'ProductSprint Backlog'!$J13-'ProductSprint Backlog'!$I13), AND('ProductSprint Backlog'!$J13=F$2,'ProductSprint Backlog'!$I13=F$2), 'ProductSprint Backlog'!$F13, TRUE, 0)</f>
        <v/>
      </c>
      <c r="G13" s="4" t="str" cm="1">
        <f t="array" ref="G13">_xlfn.IFS('ProductSprint Backlog'!$F13="", "", AND('ProductSprint Backlog'!$J13&gt;G$2,'ProductSprint Backlog'!$I13&lt;=G$2), 'ProductSprint Backlog'!$F13 / MAX(1, 'ProductSprint Backlog'!$J13-'ProductSprint Backlog'!$I13), AND('ProductSprint Backlog'!$J13=G$2,'ProductSprint Backlog'!$I13=G$2), 'ProductSprint Backlog'!$F13, TRUE, 0)</f>
        <v/>
      </c>
      <c r="H13" s="4" t="str" cm="1">
        <f t="array" ref="H13">_xlfn.IFS('ProductSprint Backlog'!$F13="", "", AND('ProductSprint Backlog'!$J13&gt;H$2,'ProductSprint Backlog'!$I13&lt;=H$2), 'ProductSprint Backlog'!$F13 / MAX(1, 'ProductSprint Backlog'!$J13-'ProductSprint Backlog'!$I13), AND('ProductSprint Backlog'!$J13=H$2,'ProductSprint Backlog'!$I13=H$2), 'ProductSprint Backlog'!$F13, TRUE, 0)</f>
        <v/>
      </c>
      <c r="I13" s="4" t="str" cm="1">
        <f t="array" ref="I13">_xlfn.IFS('ProductSprint Backlog'!$F13="", "", AND('ProductSprint Backlog'!$J13&gt;I$2,'ProductSprint Backlog'!$I13&lt;=I$2), 'ProductSprint Backlog'!$F13 / MAX(1, 'ProductSprint Backlog'!$J13-'ProductSprint Backlog'!$I13), AND('ProductSprint Backlog'!$J13=I$2,'ProductSprint Backlog'!$I13=I$2), 'ProductSprint Backlog'!$F13, TRUE, 0)</f>
        <v/>
      </c>
      <c r="J13" s="4" t="str" cm="1">
        <f t="array" ref="J13">_xlfn.IFS('ProductSprint Backlog'!$F13="", "", AND('ProductSprint Backlog'!$J13&gt;J$2,'ProductSprint Backlog'!$I13&lt;=J$2), 'ProductSprint Backlog'!$F13 / MAX(1, 'ProductSprint Backlog'!$J13-'ProductSprint Backlog'!$I13), AND('ProductSprint Backlog'!$J13=J$2,'ProductSprint Backlog'!$I13=J$2), 'ProductSprint Backlog'!$F13, TRUE, 0)</f>
        <v/>
      </c>
      <c r="K13" s="4" t="str" cm="1">
        <f t="array" ref="K13">_xlfn.IFS('ProductSprint Backlog'!$F13="", "", AND('ProductSprint Backlog'!$J13&gt;K$2,'ProductSprint Backlog'!$I13&lt;=K$2), 'ProductSprint Backlog'!$F13 / MAX(1, 'ProductSprint Backlog'!$J13-'ProductSprint Backlog'!$I13), AND('ProductSprint Backlog'!$J13=K$2,'ProductSprint Backlog'!$I13=K$2), 'ProductSprint Backlog'!$F13, TRUE, 0)</f>
        <v/>
      </c>
      <c r="L13" s="4" t="str" cm="1">
        <f t="array" ref="L13">_xlfn.IFS('ProductSprint Backlog'!$F13="", "", AND('ProductSprint Backlog'!$J13&gt;L$2,'ProductSprint Backlog'!$I13&lt;=L$2), 'ProductSprint Backlog'!$F13 / MAX(1, 'ProductSprint Backlog'!$J13-'ProductSprint Backlog'!$I13), AND('ProductSprint Backlog'!$J13=L$2,'ProductSprint Backlog'!$I13=L$2), 'ProductSprint Backlog'!$F13, TRUE, 0)</f>
        <v/>
      </c>
      <c r="M13" s="4" t="str" cm="1">
        <f t="array" ref="M13">_xlfn.IFS('ProductSprint Backlog'!$F13="", "", AND('ProductSprint Backlog'!$J13&gt;M$2,'ProductSprint Backlog'!$I13&lt;=M$2), 'ProductSprint Backlog'!$F13 / MAX(1, 'ProductSprint Backlog'!$J13-'ProductSprint Backlog'!$I13), AND('ProductSprint Backlog'!$J13=M$2,'ProductSprint Backlog'!$I13=M$2), 'ProductSprint Backlog'!$F13, TRUE, 0)</f>
        <v/>
      </c>
      <c r="N13" s="4" t="str" cm="1">
        <f t="array" ref="N13">_xlfn.IFS('ProductSprint Backlog'!$F13="", "", AND('ProductSprint Backlog'!$J13&gt;N$2,'ProductSprint Backlog'!$I13&lt;=N$2), 'ProductSprint Backlog'!$F13 / MAX(1, 'ProductSprint Backlog'!$J13-'ProductSprint Backlog'!$I13), AND('ProductSprint Backlog'!$J13=N$2,'ProductSprint Backlog'!$I13=N$2), 'ProductSprint Backlog'!$F13, TRUE, 0)</f>
        <v/>
      </c>
      <c r="O13" s="4" t="str" cm="1">
        <f t="array" ref="O13">_xlfn.IFS('ProductSprint Backlog'!$F13="", "", AND('ProductSprint Backlog'!$J13&gt;O$2,'ProductSprint Backlog'!$I13&lt;=O$2), 'ProductSprint Backlog'!$F13 / MAX(1, 'ProductSprint Backlog'!$J13-'ProductSprint Backlog'!$I13), AND('ProductSprint Backlog'!$J13=O$2,'ProductSprint Backlog'!$I13=O$2), 'ProductSprint Backlog'!$F13, TRUE, 0)</f>
        <v/>
      </c>
      <c r="P13" s="4" t="str" cm="1">
        <f t="array" ref="P13">_xlfn.IFS('ProductSprint Backlog'!$F13="", "", AND('ProductSprint Backlog'!$J13&gt;P$2,'ProductSprint Backlog'!$I13&lt;=P$2), 'ProductSprint Backlog'!$F13 / MAX(1, 'ProductSprint Backlog'!$J13-'ProductSprint Backlog'!$I13), AND('ProductSprint Backlog'!$J13=P$2,'ProductSprint Backlog'!$I13=P$2), 'ProductSprint Backlog'!$F13, TRUE, 0)</f>
        <v/>
      </c>
      <c r="Q13" s="4" t="str" cm="1">
        <f t="array" ref="Q13">_xlfn.IFS('ProductSprint Backlog'!$F13="", "", AND('ProductSprint Backlog'!$J13&gt;Q$2,'ProductSprint Backlog'!$I13&lt;=Q$2), 'ProductSprint Backlog'!$F13 / MAX(1, 'ProductSprint Backlog'!$J13-'ProductSprint Backlog'!$I13), AND('ProductSprint Backlog'!$J13=Q$2,'ProductSprint Backlog'!$I13=Q$2), 'ProductSprint Backlog'!$F13, TRUE, 0)</f>
        <v/>
      </c>
      <c r="R13" s="4" t="str" cm="1">
        <f t="array" ref="R13">_xlfn.IFS('ProductSprint Backlog'!$F13="", "", AND('ProductSprint Backlog'!$J13&gt;R$2,'ProductSprint Backlog'!$I13&lt;=R$2), 'ProductSprint Backlog'!$F13 / MAX(1, 'ProductSprint Backlog'!$J13-'ProductSprint Backlog'!$I13), AND('ProductSprint Backlog'!$J13=R$2,'ProductSprint Backlog'!$I13=R$2), 'ProductSprint Backlog'!$F13, TRUE, 0)</f>
        <v/>
      </c>
      <c r="S13" s="4" t="str" cm="1">
        <f t="array" ref="S13">_xlfn.IFS('ProductSprint Backlog'!$F13="", "", AND('ProductSprint Backlog'!$J13&gt;S$2,'ProductSprint Backlog'!$I13&lt;=S$2), 'ProductSprint Backlog'!$F13 / MAX(1, 'ProductSprint Backlog'!$J13-'ProductSprint Backlog'!$I13), AND('ProductSprint Backlog'!$J13=S$2,'ProductSprint Backlog'!$I13=S$2), 'ProductSprint Backlog'!$F13, TRUE, 0)</f>
        <v/>
      </c>
      <c r="T13" s="4" t="str" cm="1">
        <f t="array" ref="T13">_xlfn.IFS('ProductSprint Backlog'!$F13="", "", AND('ProductSprint Backlog'!$J13&gt;T$2,'ProductSprint Backlog'!$I13&lt;=T$2), 'ProductSprint Backlog'!$F13 / MAX(1, 'ProductSprint Backlog'!$J13-'ProductSprint Backlog'!$I13), AND('ProductSprint Backlog'!$J13=T$2,'ProductSprint Backlog'!$I13=T$2), 'ProductSprint Backlog'!$F13, TRUE, 0)</f>
        <v/>
      </c>
    </row>
    <row r="14" spans="2:20" x14ac:dyDescent="0.2">
      <c r="B14" s="4" cm="1">
        <f t="array" ref="B14">_xlfn.IFS('ProductSprint Backlog'!$F14="", "", AND('ProductSprint Backlog'!$J14&gt;B$2,'ProductSprint Backlog'!$I14&lt;=B$2), 'ProductSprint Backlog'!$F14 / MAX(1, 'ProductSprint Backlog'!$J14-'ProductSprint Backlog'!$I14), AND('ProductSprint Backlog'!$J14=B$2,'ProductSprint Backlog'!$I14=B$2), 'ProductSprint Backlog'!$F14, TRUE, 0)</f>
        <v>0</v>
      </c>
      <c r="C14" s="4" cm="1">
        <f t="array" ref="C14">_xlfn.IFS('ProductSprint Backlog'!$F14="", "", AND('ProductSprint Backlog'!$J14&gt;C$2,'ProductSprint Backlog'!$I14&lt;=C$2), 'ProductSprint Backlog'!$F14 / MAX(1, 'ProductSprint Backlog'!$J14-'ProductSprint Backlog'!$I14), AND('ProductSprint Backlog'!$J14=C$2,'ProductSprint Backlog'!$I14=C$2), 'ProductSprint Backlog'!$F14, TRUE, 0)</f>
        <v>0</v>
      </c>
      <c r="D14" s="4" cm="1">
        <f t="array" ref="D14">_xlfn.IFS('ProductSprint Backlog'!$F14="", "", AND('ProductSprint Backlog'!$J14&gt;D$2,'ProductSprint Backlog'!$I14&lt;=D$2), 'ProductSprint Backlog'!$F14 / MAX(1, 'ProductSprint Backlog'!$J14-'ProductSprint Backlog'!$I14), AND('ProductSprint Backlog'!$J14=D$2,'ProductSprint Backlog'!$I14=D$2), 'ProductSprint Backlog'!$F14, TRUE, 0)</f>
        <v>0</v>
      </c>
      <c r="E14" s="4" cm="1">
        <f t="array" ref="E14">_xlfn.IFS('ProductSprint Backlog'!$F14="", "", AND('ProductSprint Backlog'!$J14&gt;E$2,'ProductSprint Backlog'!$I14&lt;=E$2), 'ProductSprint Backlog'!$F14 / MAX(1, 'ProductSprint Backlog'!$J14-'ProductSprint Backlog'!$I14), AND('ProductSprint Backlog'!$J14=E$2,'ProductSprint Backlog'!$I14=E$2), 'ProductSprint Backlog'!$F14, TRUE, 0)</f>
        <v>0</v>
      </c>
      <c r="F14" s="4" cm="1">
        <f t="array" ref="F14">_xlfn.IFS('ProductSprint Backlog'!$F14="", "", AND('ProductSprint Backlog'!$J14&gt;F$2,'ProductSprint Backlog'!$I14&lt;=F$2), 'ProductSprint Backlog'!$F14 / MAX(1, 'ProductSprint Backlog'!$J14-'ProductSprint Backlog'!$I14), AND('ProductSprint Backlog'!$J14=F$2,'ProductSprint Backlog'!$I14=F$2), 'ProductSprint Backlog'!$F14, TRUE, 0)</f>
        <v>0</v>
      </c>
      <c r="G14" s="4" cm="1">
        <f t="array" ref="G14">_xlfn.IFS('ProductSprint Backlog'!$F14="", "", AND('ProductSprint Backlog'!$J14&gt;G$2,'ProductSprint Backlog'!$I14&lt;=G$2), 'ProductSprint Backlog'!$F14 / MAX(1, 'ProductSprint Backlog'!$J14-'ProductSprint Backlog'!$I14), AND('ProductSprint Backlog'!$J14=G$2,'ProductSprint Backlog'!$I14=G$2), 'ProductSprint Backlog'!$F14, TRUE, 0)</f>
        <v>0</v>
      </c>
      <c r="H14" s="4" cm="1">
        <f t="array" ref="H14">_xlfn.IFS('ProductSprint Backlog'!$F14="", "", AND('ProductSprint Backlog'!$J14&gt;H$2,'ProductSprint Backlog'!$I14&lt;=H$2), 'ProductSprint Backlog'!$F14 / MAX(1, 'ProductSprint Backlog'!$J14-'ProductSprint Backlog'!$I14), AND('ProductSprint Backlog'!$J14=H$2,'ProductSprint Backlog'!$I14=H$2), 'ProductSprint Backlog'!$F14, TRUE, 0)</f>
        <v>0</v>
      </c>
      <c r="I14" s="4" cm="1">
        <f t="array" ref="I14">_xlfn.IFS('ProductSprint Backlog'!$F14="", "", AND('ProductSprint Backlog'!$J14&gt;I$2,'ProductSprint Backlog'!$I14&lt;=I$2), 'ProductSprint Backlog'!$F14 / MAX(1, 'ProductSprint Backlog'!$J14-'ProductSprint Backlog'!$I14), AND('ProductSprint Backlog'!$J14=I$2,'ProductSprint Backlog'!$I14=I$2), 'ProductSprint Backlog'!$F14, TRUE, 0)</f>
        <v>0</v>
      </c>
      <c r="J14" s="4" cm="1">
        <f t="array" ref="J14">_xlfn.IFS('ProductSprint Backlog'!$F14="", "", AND('ProductSprint Backlog'!$J14&gt;J$2,'ProductSprint Backlog'!$I14&lt;=J$2), 'ProductSprint Backlog'!$F14 / MAX(1, 'ProductSprint Backlog'!$J14-'ProductSprint Backlog'!$I14), AND('ProductSprint Backlog'!$J14=J$2,'ProductSprint Backlog'!$I14=J$2), 'ProductSprint Backlog'!$F14, TRUE, 0)</f>
        <v>0</v>
      </c>
      <c r="K14" s="4" cm="1">
        <f t="array" ref="K14">_xlfn.IFS('ProductSprint Backlog'!$F14="", "", AND('ProductSprint Backlog'!$J14&gt;K$2,'ProductSprint Backlog'!$I14&lt;=K$2), 'ProductSprint Backlog'!$F14 / MAX(1, 'ProductSprint Backlog'!$J14-'ProductSprint Backlog'!$I14), AND('ProductSprint Backlog'!$J14=K$2,'ProductSprint Backlog'!$I14=K$2), 'ProductSprint Backlog'!$F14, TRUE, 0)</f>
        <v>0</v>
      </c>
      <c r="L14" s="4" cm="1">
        <f t="array" ref="L14">_xlfn.IFS('ProductSprint Backlog'!$F14="", "", AND('ProductSprint Backlog'!$J14&gt;L$2,'ProductSprint Backlog'!$I14&lt;=L$2), 'ProductSprint Backlog'!$F14 / MAX(1, 'ProductSprint Backlog'!$J14-'ProductSprint Backlog'!$I14), AND('ProductSprint Backlog'!$J14=L$2,'ProductSprint Backlog'!$I14=L$2), 'ProductSprint Backlog'!$F14, TRUE, 0)</f>
        <v>0</v>
      </c>
      <c r="M14" s="4" cm="1">
        <f t="array" ref="M14">_xlfn.IFS('ProductSprint Backlog'!$F14="", "", AND('ProductSprint Backlog'!$J14&gt;M$2,'ProductSprint Backlog'!$I14&lt;=M$2), 'ProductSprint Backlog'!$F14 / MAX(1, 'ProductSprint Backlog'!$J14-'ProductSprint Backlog'!$I14), AND('ProductSprint Backlog'!$J14=M$2,'ProductSprint Backlog'!$I14=M$2), 'ProductSprint Backlog'!$F14, TRUE, 0)</f>
        <v>0</v>
      </c>
      <c r="N14" s="4" cm="1">
        <f t="array" ref="N14">_xlfn.IFS('ProductSprint Backlog'!$F14="", "", AND('ProductSprint Backlog'!$J14&gt;N$2,'ProductSprint Backlog'!$I14&lt;=N$2), 'ProductSprint Backlog'!$F14 / MAX(1, 'ProductSprint Backlog'!$J14-'ProductSprint Backlog'!$I14), AND('ProductSprint Backlog'!$J14=N$2,'ProductSprint Backlog'!$I14=N$2), 'ProductSprint Backlog'!$F14, TRUE, 0)</f>
        <v>0</v>
      </c>
      <c r="O14" s="4" cm="1">
        <f t="array" ref="O14">_xlfn.IFS('ProductSprint Backlog'!$F14="", "", AND('ProductSprint Backlog'!$J14&gt;O$2,'ProductSprint Backlog'!$I14&lt;=O$2), 'ProductSprint Backlog'!$F14 / MAX(1, 'ProductSprint Backlog'!$J14-'ProductSprint Backlog'!$I14), AND('ProductSprint Backlog'!$J14=O$2,'ProductSprint Backlog'!$I14=O$2), 'ProductSprint Backlog'!$F14, TRUE, 0)</f>
        <v>0</v>
      </c>
      <c r="P14" s="4" cm="1">
        <f t="array" ref="P14">_xlfn.IFS('ProductSprint Backlog'!$F14="", "", AND('ProductSprint Backlog'!$J14&gt;P$2,'ProductSprint Backlog'!$I14&lt;=P$2), 'ProductSprint Backlog'!$F14 / MAX(1, 'ProductSprint Backlog'!$J14-'ProductSprint Backlog'!$I14), AND('ProductSprint Backlog'!$J14=P$2,'ProductSprint Backlog'!$I14=P$2), 'ProductSprint Backlog'!$F14, TRUE, 0)</f>
        <v>0</v>
      </c>
      <c r="Q14" s="4" cm="1">
        <f t="array" ref="Q14">_xlfn.IFS('ProductSprint Backlog'!$F14="", "", AND('ProductSprint Backlog'!$J14&gt;Q$2,'ProductSprint Backlog'!$I14&lt;=Q$2), 'ProductSprint Backlog'!$F14 / MAX(1, 'ProductSprint Backlog'!$J14-'ProductSprint Backlog'!$I14), AND('ProductSprint Backlog'!$J14=Q$2,'ProductSprint Backlog'!$I14=Q$2), 'ProductSprint Backlog'!$F14, TRUE, 0)</f>
        <v>0</v>
      </c>
      <c r="R14" s="4" cm="1">
        <f t="array" ref="R14">_xlfn.IFS('ProductSprint Backlog'!$F14="", "", AND('ProductSprint Backlog'!$J14&gt;R$2,'ProductSprint Backlog'!$I14&lt;=R$2), 'ProductSprint Backlog'!$F14 / MAX(1, 'ProductSprint Backlog'!$J14-'ProductSprint Backlog'!$I14), AND('ProductSprint Backlog'!$J14=R$2,'ProductSprint Backlog'!$I14=R$2), 'ProductSprint Backlog'!$F14, TRUE, 0)</f>
        <v>0</v>
      </c>
      <c r="S14" s="4" cm="1">
        <f t="array" ref="S14">_xlfn.IFS('ProductSprint Backlog'!$F14="", "", AND('ProductSprint Backlog'!$J14&gt;S$2,'ProductSprint Backlog'!$I14&lt;=S$2), 'ProductSprint Backlog'!$F14 / MAX(1, 'ProductSprint Backlog'!$J14-'ProductSprint Backlog'!$I14), AND('ProductSprint Backlog'!$J14=S$2,'ProductSprint Backlog'!$I14=S$2), 'ProductSprint Backlog'!$F14, TRUE, 0)</f>
        <v>0</v>
      </c>
      <c r="T14" s="4" cm="1">
        <f t="array" ref="T14">_xlfn.IFS('ProductSprint Backlog'!$F14="", "", AND('ProductSprint Backlog'!$J14&gt;T$2,'ProductSprint Backlog'!$I14&lt;=T$2), 'ProductSprint Backlog'!$F14 / MAX(1, 'ProductSprint Backlog'!$J14-'ProductSprint Backlog'!$I14), AND('ProductSprint Backlog'!$J14=T$2,'ProductSprint Backlog'!$I14=T$2), 'ProductSprint Backlog'!$F14, TRUE, 0)</f>
        <v>0</v>
      </c>
    </row>
    <row r="15" spans="2:20" x14ac:dyDescent="0.2">
      <c r="B15" s="4" cm="1">
        <f t="array" ref="B15">_xlfn.IFS('ProductSprint Backlog'!$F15="", "", AND('ProductSprint Backlog'!$J15&gt;B$2,'ProductSprint Backlog'!$I15&lt;=B$2), 'ProductSprint Backlog'!$F15 / MAX(1, 'ProductSprint Backlog'!$J15-'ProductSprint Backlog'!$I15), AND('ProductSprint Backlog'!$J15=B$2,'ProductSprint Backlog'!$I15=B$2), 'ProductSprint Backlog'!$F15, TRUE, 0)</f>
        <v>0</v>
      </c>
      <c r="C15" s="4" cm="1">
        <f t="array" ref="C15">_xlfn.IFS('ProductSprint Backlog'!$F15="", "", AND('ProductSprint Backlog'!$J15&gt;C$2,'ProductSprint Backlog'!$I15&lt;=C$2), 'ProductSprint Backlog'!$F15 / MAX(1, 'ProductSprint Backlog'!$J15-'ProductSprint Backlog'!$I15), AND('ProductSprint Backlog'!$J15=C$2,'ProductSprint Backlog'!$I15=C$2), 'ProductSprint Backlog'!$F15, TRUE, 0)</f>
        <v>0</v>
      </c>
      <c r="D15" s="4" cm="1">
        <f t="array" ref="D15">_xlfn.IFS('ProductSprint Backlog'!$F15="", "", AND('ProductSprint Backlog'!$J15&gt;D$2,'ProductSprint Backlog'!$I15&lt;=D$2), 'ProductSprint Backlog'!$F15 / MAX(1, 'ProductSprint Backlog'!$J15-'ProductSprint Backlog'!$I15), AND('ProductSprint Backlog'!$J15=D$2,'ProductSprint Backlog'!$I15=D$2), 'ProductSprint Backlog'!$F15, TRUE, 0)</f>
        <v>0</v>
      </c>
      <c r="E15" s="4" cm="1">
        <f t="array" ref="E15">_xlfn.IFS('ProductSprint Backlog'!$F15="", "", AND('ProductSprint Backlog'!$J15&gt;E$2,'ProductSprint Backlog'!$I15&lt;=E$2), 'ProductSprint Backlog'!$F15 / MAX(1, 'ProductSprint Backlog'!$J15-'ProductSprint Backlog'!$I15), AND('ProductSprint Backlog'!$J15=E$2,'ProductSprint Backlog'!$I15=E$2), 'ProductSprint Backlog'!$F15, TRUE, 0)</f>
        <v>0</v>
      </c>
      <c r="F15" s="4" cm="1">
        <f t="array" ref="F15">_xlfn.IFS('ProductSprint Backlog'!$F15="", "", AND('ProductSprint Backlog'!$J15&gt;F$2,'ProductSprint Backlog'!$I15&lt;=F$2), 'ProductSprint Backlog'!$F15 / MAX(1, 'ProductSprint Backlog'!$J15-'ProductSprint Backlog'!$I15), AND('ProductSprint Backlog'!$J15=F$2,'ProductSprint Backlog'!$I15=F$2), 'ProductSprint Backlog'!$F15, TRUE, 0)</f>
        <v>0</v>
      </c>
      <c r="G15" s="4" cm="1">
        <f t="array" ref="G15">_xlfn.IFS('ProductSprint Backlog'!$F15="", "", AND('ProductSprint Backlog'!$J15&gt;G$2,'ProductSprint Backlog'!$I15&lt;=G$2), 'ProductSprint Backlog'!$F15 / MAX(1, 'ProductSprint Backlog'!$J15-'ProductSprint Backlog'!$I15), AND('ProductSprint Backlog'!$J15=G$2,'ProductSprint Backlog'!$I15=G$2), 'ProductSprint Backlog'!$F15, TRUE, 0)</f>
        <v>0</v>
      </c>
      <c r="H15" s="4" cm="1">
        <f t="array" ref="H15">_xlfn.IFS('ProductSprint Backlog'!$F15="", "", AND('ProductSprint Backlog'!$J15&gt;H$2,'ProductSprint Backlog'!$I15&lt;=H$2), 'ProductSprint Backlog'!$F15 / MAX(1, 'ProductSprint Backlog'!$J15-'ProductSprint Backlog'!$I15), AND('ProductSprint Backlog'!$J15=H$2,'ProductSprint Backlog'!$I15=H$2), 'ProductSprint Backlog'!$F15, TRUE, 0)</f>
        <v>0</v>
      </c>
      <c r="I15" s="4" cm="1">
        <f t="array" ref="I15">_xlfn.IFS('ProductSprint Backlog'!$F15="", "", AND('ProductSprint Backlog'!$J15&gt;I$2,'ProductSprint Backlog'!$I15&lt;=I$2), 'ProductSprint Backlog'!$F15 / MAX(1, 'ProductSprint Backlog'!$J15-'ProductSprint Backlog'!$I15), AND('ProductSprint Backlog'!$J15=I$2,'ProductSprint Backlog'!$I15=I$2), 'ProductSprint Backlog'!$F15, TRUE, 0)</f>
        <v>0</v>
      </c>
      <c r="J15" s="4" cm="1">
        <f t="array" ref="J15">_xlfn.IFS('ProductSprint Backlog'!$F15="", "", AND('ProductSprint Backlog'!$J15&gt;J$2,'ProductSprint Backlog'!$I15&lt;=J$2), 'ProductSprint Backlog'!$F15 / MAX(1, 'ProductSprint Backlog'!$J15-'ProductSprint Backlog'!$I15), AND('ProductSprint Backlog'!$J15=J$2,'ProductSprint Backlog'!$I15=J$2), 'ProductSprint Backlog'!$F15, TRUE, 0)</f>
        <v>0</v>
      </c>
      <c r="K15" s="4" cm="1">
        <f t="array" ref="K15">_xlfn.IFS('ProductSprint Backlog'!$F15="", "", AND('ProductSprint Backlog'!$J15&gt;K$2,'ProductSprint Backlog'!$I15&lt;=K$2), 'ProductSprint Backlog'!$F15 / MAX(1, 'ProductSprint Backlog'!$J15-'ProductSprint Backlog'!$I15), AND('ProductSprint Backlog'!$J15=K$2,'ProductSprint Backlog'!$I15=K$2), 'ProductSprint Backlog'!$F15, TRUE, 0)</f>
        <v>0</v>
      </c>
      <c r="L15" s="4" cm="1">
        <f t="array" ref="L15">_xlfn.IFS('ProductSprint Backlog'!$F15="", "", AND('ProductSprint Backlog'!$J15&gt;L$2,'ProductSprint Backlog'!$I15&lt;=L$2), 'ProductSprint Backlog'!$F15 / MAX(1, 'ProductSprint Backlog'!$J15-'ProductSprint Backlog'!$I15), AND('ProductSprint Backlog'!$J15=L$2,'ProductSprint Backlog'!$I15=L$2), 'ProductSprint Backlog'!$F15, TRUE, 0)</f>
        <v>0</v>
      </c>
      <c r="M15" s="4" cm="1">
        <f t="array" ref="M15">_xlfn.IFS('ProductSprint Backlog'!$F15="", "", AND('ProductSprint Backlog'!$J15&gt;M$2,'ProductSprint Backlog'!$I15&lt;=M$2), 'ProductSprint Backlog'!$F15 / MAX(1, 'ProductSprint Backlog'!$J15-'ProductSprint Backlog'!$I15), AND('ProductSprint Backlog'!$J15=M$2,'ProductSprint Backlog'!$I15=M$2), 'ProductSprint Backlog'!$F15, TRUE, 0)</f>
        <v>0</v>
      </c>
      <c r="N15" s="4" cm="1">
        <f t="array" ref="N15">_xlfn.IFS('ProductSprint Backlog'!$F15="", "", AND('ProductSprint Backlog'!$J15&gt;N$2,'ProductSprint Backlog'!$I15&lt;=N$2), 'ProductSprint Backlog'!$F15 / MAX(1, 'ProductSprint Backlog'!$J15-'ProductSprint Backlog'!$I15), AND('ProductSprint Backlog'!$J15=N$2,'ProductSprint Backlog'!$I15=N$2), 'ProductSprint Backlog'!$F15, TRUE, 0)</f>
        <v>0</v>
      </c>
      <c r="O15" s="4" cm="1">
        <f t="array" ref="O15">_xlfn.IFS('ProductSprint Backlog'!$F15="", "", AND('ProductSprint Backlog'!$J15&gt;O$2,'ProductSprint Backlog'!$I15&lt;=O$2), 'ProductSprint Backlog'!$F15 / MAX(1, 'ProductSprint Backlog'!$J15-'ProductSprint Backlog'!$I15), AND('ProductSprint Backlog'!$J15=O$2,'ProductSprint Backlog'!$I15=O$2), 'ProductSprint Backlog'!$F15, TRUE, 0)</f>
        <v>0</v>
      </c>
      <c r="P15" s="4" cm="1">
        <f t="array" ref="P15">_xlfn.IFS('ProductSprint Backlog'!$F15="", "", AND('ProductSprint Backlog'!$J15&gt;P$2,'ProductSprint Backlog'!$I15&lt;=P$2), 'ProductSprint Backlog'!$F15 / MAX(1, 'ProductSprint Backlog'!$J15-'ProductSprint Backlog'!$I15), AND('ProductSprint Backlog'!$J15=P$2,'ProductSprint Backlog'!$I15=P$2), 'ProductSprint Backlog'!$F15, TRUE, 0)</f>
        <v>0</v>
      </c>
      <c r="Q15" s="4" cm="1">
        <f t="array" ref="Q15">_xlfn.IFS('ProductSprint Backlog'!$F15="", "", AND('ProductSprint Backlog'!$J15&gt;Q$2,'ProductSprint Backlog'!$I15&lt;=Q$2), 'ProductSprint Backlog'!$F15 / MAX(1, 'ProductSprint Backlog'!$J15-'ProductSprint Backlog'!$I15), AND('ProductSprint Backlog'!$J15=Q$2,'ProductSprint Backlog'!$I15=Q$2), 'ProductSprint Backlog'!$F15, TRUE, 0)</f>
        <v>0</v>
      </c>
      <c r="R15" s="4" cm="1">
        <f t="array" ref="R15">_xlfn.IFS('ProductSprint Backlog'!$F15="", "", AND('ProductSprint Backlog'!$J15&gt;R$2,'ProductSprint Backlog'!$I15&lt;=R$2), 'ProductSprint Backlog'!$F15 / MAX(1, 'ProductSprint Backlog'!$J15-'ProductSprint Backlog'!$I15), AND('ProductSprint Backlog'!$J15=R$2,'ProductSprint Backlog'!$I15=R$2), 'ProductSprint Backlog'!$F15, TRUE, 0)</f>
        <v>0</v>
      </c>
      <c r="S15" s="4" cm="1">
        <f t="array" ref="S15">_xlfn.IFS('ProductSprint Backlog'!$F15="", "", AND('ProductSprint Backlog'!$J15&gt;S$2,'ProductSprint Backlog'!$I15&lt;=S$2), 'ProductSprint Backlog'!$F15 / MAX(1, 'ProductSprint Backlog'!$J15-'ProductSprint Backlog'!$I15), AND('ProductSprint Backlog'!$J15=S$2,'ProductSprint Backlog'!$I15=S$2), 'ProductSprint Backlog'!$F15, TRUE, 0)</f>
        <v>0</v>
      </c>
      <c r="T15" s="4" cm="1">
        <f t="array" ref="T15">_xlfn.IFS('ProductSprint Backlog'!$F15="", "", AND('ProductSprint Backlog'!$J15&gt;T$2,'ProductSprint Backlog'!$I15&lt;=T$2), 'ProductSprint Backlog'!$F15 / MAX(1, 'ProductSprint Backlog'!$J15-'ProductSprint Backlog'!$I15), AND('ProductSprint Backlog'!$J15=T$2,'ProductSprint Backlog'!$I15=T$2), 'ProductSprint Backlog'!$F15, TRUE, 0)</f>
        <v>0</v>
      </c>
    </row>
    <row r="16" spans="2:20" x14ac:dyDescent="0.2">
      <c r="B16" s="4" cm="1">
        <f t="array" ref="B16">_xlfn.IFS('ProductSprint Backlog'!$F16="", "", AND('ProductSprint Backlog'!$J16&gt;B$2,'ProductSprint Backlog'!$I16&lt;=B$2), 'ProductSprint Backlog'!$F16 / MAX(1, 'ProductSprint Backlog'!$J16-'ProductSprint Backlog'!$I16), AND('ProductSprint Backlog'!$J16=B$2,'ProductSprint Backlog'!$I16=B$2), 'ProductSprint Backlog'!$F16, TRUE, 0)</f>
        <v>0</v>
      </c>
      <c r="C16" s="4" cm="1">
        <f t="array" ref="C16">_xlfn.IFS('ProductSprint Backlog'!$F16="", "", AND('ProductSprint Backlog'!$J16&gt;C$2,'ProductSprint Backlog'!$I16&lt;=C$2), 'ProductSprint Backlog'!$F16 / MAX(1, 'ProductSprint Backlog'!$J16-'ProductSprint Backlog'!$I16), AND('ProductSprint Backlog'!$J16=C$2,'ProductSprint Backlog'!$I16=C$2), 'ProductSprint Backlog'!$F16, TRUE, 0)</f>
        <v>0</v>
      </c>
      <c r="D16" s="4" cm="1">
        <f t="array" ref="D16">_xlfn.IFS('ProductSprint Backlog'!$F16="", "", AND('ProductSprint Backlog'!$J16&gt;D$2,'ProductSprint Backlog'!$I16&lt;=D$2), 'ProductSprint Backlog'!$F16 / MAX(1, 'ProductSprint Backlog'!$J16-'ProductSprint Backlog'!$I16), AND('ProductSprint Backlog'!$J16=D$2,'ProductSprint Backlog'!$I16=D$2), 'ProductSprint Backlog'!$F16, TRUE, 0)</f>
        <v>0</v>
      </c>
      <c r="E16" s="4" cm="1">
        <f t="array" ref="E16">_xlfn.IFS('ProductSprint Backlog'!$F16="", "", AND('ProductSprint Backlog'!$J16&gt;E$2,'ProductSprint Backlog'!$I16&lt;=E$2), 'ProductSprint Backlog'!$F16 / MAX(1, 'ProductSprint Backlog'!$J16-'ProductSprint Backlog'!$I16), AND('ProductSprint Backlog'!$J16=E$2,'ProductSprint Backlog'!$I16=E$2), 'ProductSprint Backlog'!$F16, TRUE, 0)</f>
        <v>0</v>
      </c>
      <c r="F16" s="4" cm="1">
        <f t="array" ref="F16">_xlfn.IFS('ProductSprint Backlog'!$F16="", "", AND('ProductSprint Backlog'!$J16&gt;F$2,'ProductSprint Backlog'!$I16&lt;=F$2), 'ProductSprint Backlog'!$F16 / MAX(1, 'ProductSprint Backlog'!$J16-'ProductSprint Backlog'!$I16), AND('ProductSprint Backlog'!$J16=F$2,'ProductSprint Backlog'!$I16=F$2), 'ProductSprint Backlog'!$F16, TRUE, 0)</f>
        <v>0</v>
      </c>
      <c r="G16" s="4" cm="1">
        <f t="array" ref="G16">_xlfn.IFS('ProductSprint Backlog'!$F16="", "", AND('ProductSprint Backlog'!$J16&gt;G$2,'ProductSprint Backlog'!$I16&lt;=G$2), 'ProductSprint Backlog'!$F16 / MAX(1, 'ProductSprint Backlog'!$J16-'ProductSprint Backlog'!$I16), AND('ProductSprint Backlog'!$J16=G$2,'ProductSprint Backlog'!$I16=G$2), 'ProductSprint Backlog'!$F16, TRUE, 0)</f>
        <v>0</v>
      </c>
      <c r="H16" s="4" cm="1">
        <f t="array" ref="H16">_xlfn.IFS('ProductSprint Backlog'!$F16="", "", AND('ProductSprint Backlog'!$J16&gt;H$2,'ProductSprint Backlog'!$I16&lt;=H$2), 'ProductSprint Backlog'!$F16 / MAX(1, 'ProductSprint Backlog'!$J16-'ProductSprint Backlog'!$I16), AND('ProductSprint Backlog'!$J16=H$2,'ProductSprint Backlog'!$I16=H$2), 'ProductSprint Backlog'!$F16, TRUE, 0)</f>
        <v>0</v>
      </c>
      <c r="I16" s="4" cm="1">
        <f t="array" ref="I16">_xlfn.IFS('ProductSprint Backlog'!$F16="", "", AND('ProductSprint Backlog'!$J16&gt;I$2,'ProductSprint Backlog'!$I16&lt;=I$2), 'ProductSprint Backlog'!$F16 / MAX(1, 'ProductSprint Backlog'!$J16-'ProductSprint Backlog'!$I16), AND('ProductSprint Backlog'!$J16=I$2,'ProductSprint Backlog'!$I16=I$2), 'ProductSprint Backlog'!$F16, TRUE, 0)</f>
        <v>0</v>
      </c>
      <c r="J16" s="4" cm="1">
        <f t="array" ref="J16">_xlfn.IFS('ProductSprint Backlog'!$F16="", "", AND('ProductSprint Backlog'!$J16&gt;J$2,'ProductSprint Backlog'!$I16&lt;=J$2), 'ProductSprint Backlog'!$F16 / MAX(1, 'ProductSprint Backlog'!$J16-'ProductSprint Backlog'!$I16), AND('ProductSprint Backlog'!$J16=J$2,'ProductSprint Backlog'!$I16=J$2), 'ProductSprint Backlog'!$F16, TRUE, 0)</f>
        <v>0</v>
      </c>
      <c r="K16" s="4" cm="1">
        <f t="array" ref="K16">_xlfn.IFS('ProductSprint Backlog'!$F16="", "", AND('ProductSprint Backlog'!$J16&gt;K$2,'ProductSprint Backlog'!$I16&lt;=K$2), 'ProductSprint Backlog'!$F16 / MAX(1, 'ProductSprint Backlog'!$J16-'ProductSprint Backlog'!$I16), AND('ProductSprint Backlog'!$J16=K$2,'ProductSprint Backlog'!$I16=K$2), 'ProductSprint Backlog'!$F16, TRUE, 0)</f>
        <v>0</v>
      </c>
      <c r="L16" s="4" cm="1">
        <f t="array" ref="L16">_xlfn.IFS('ProductSprint Backlog'!$F16="", "", AND('ProductSprint Backlog'!$J16&gt;L$2,'ProductSprint Backlog'!$I16&lt;=L$2), 'ProductSprint Backlog'!$F16 / MAX(1, 'ProductSprint Backlog'!$J16-'ProductSprint Backlog'!$I16), AND('ProductSprint Backlog'!$J16=L$2,'ProductSprint Backlog'!$I16=L$2), 'ProductSprint Backlog'!$F16, TRUE, 0)</f>
        <v>0</v>
      </c>
      <c r="M16" s="4" cm="1">
        <f t="array" ref="M16">_xlfn.IFS('ProductSprint Backlog'!$F16="", "", AND('ProductSprint Backlog'!$J16&gt;M$2,'ProductSprint Backlog'!$I16&lt;=M$2), 'ProductSprint Backlog'!$F16 / MAX(1, 'ProductSprint Backlog'!$J16-'ProductSprint Backlog'!$I16), AND('ProductSprint Backlog'!$J16=M$2,'ProductSprint Backlog'!$I16=M$2), 'ProductSprint Backlog'!$F16, TRUE, 0)</f>
        <v>0</v>
      </c>
      <c r="N16" s="4" cm="1">
        <f t="array" ref="N16">_xlfn.IFS('ProductSprint Backlog'!$F16="", "", AND('ProductSprint Backlog'!$J16&gt;N$2,'ProductSprint Backlog'!$I16&lt;=N$2), 'ProductSprint Backlog'!$F16 / MAX(1, 'ProductSprint Backlog'!$J16-'ProductSprint Backlog'!$I16), AND('ProductSprint Backlog'!$J16=N$2,'ProductSprint Backlog'!$I16=N$2), 'ProductSprint Backlog'!$F16, TRUE, 0)</f>
        <v>0</v>
      </c>
      <c r="O16" s="4" cm="1">
        <f t="array" ref="O16">_xlfn.IFS('ProductSprint Backlog'!$F16="", "", AND('ProductSprint Backlog'!$J16&gt;O$2,'ProductSprint Backlog'!$I16&lt;=O$2), 'ProductSprint Backlog'!$F16 / MAX(1, 'ProductSprint Backlog'!$J16-'ProductSprint Backlog'!$I16), AND('ProductSprint Backlog'!$J16=O$2,'ProductSprint Backlog'!$I16=O$2), 'ProductSprint Backlog'!$F16, TRUE, 0)</f>
        <v>0</v>
      </c>
      <c r="P16" s="4" cm="1">
        <f t="array" ref="P16">_xlfn.IFS('ProductSprint Backlog'!$F16="", "", AND('ProductSprint Backlog'!$J16&gt;P$2,'ProductSprint Backlog'!$I16&lt;=P$2), 'ProductSprint Backlog'!$F16 / MAX(1, 'ProductSprint Backlog'!$J16-'ProductSprint Backlog'!$I16), AND('ProductSprint Backlog'!$J16=P$2,'ProductSprint Backlog'!$I16=P$2), 'ProductSprint Backlog'!$F16, TRUE, 0)</f>
        <v>0</v>
      </c>
      <c r="Q16" s="4" cm="1">
        <f t="array" ref="Q16">_xlfn.IFS('ProductSprint Backlog'!$F16="", "", AND('ProductSprint Backlog'!$J16&gt;Q$2,'ProductSprint Backlog'!$I16&lt;=Q$2), 'ProductSprint Backlog'!$F16 / MAX(1, 'ProductSprint Backlog'!$J16-'ProductSprint Backlog'!$I16), AND('ProductSprint Backlog'!$J16=Q$2,'ProductSprint Backlog'!$I16=Q$2), 'ProductSprint Backlog'!$F16, TRUE, 0)</f>
        <v>0</v>
      </c>
      <c r="R16" s="4" cm="1">
        <f t="array" ref="R16">_xlfn.IFS('ProductSprint Backlog'!$F16="", "", AND('ProductSprint Backlog'!$J16&gt;R$2,'ProductSprint Backlog'!$I16&lt;=R$2), 'ProductSprint Backlog'!$F16 / MAX(1, 'ProductSprint Backlog'!$J16-'ProductSprint Backlog'!$I16), AND('ProductSprint Backlog'!$J16=R$2,'ProductSprint Backlog'!$I16=R$2), 'ProductSprint Backlog'!$F16, TRUE, 0)</f>
        <v>0</v>
      </c>
      <c r="S16" s="4" cm="1">
        <f t="array" ref="S16">_xlfn.IFS('ProductSprint Backlog'!$F16="", "", AND('ProductSprint Backlog'!$J16&gt;S$2,'ProductSprint Backlog'!$I16&lt;=S$2), 'ProductSprint Backlog'!$F16 / MAX(1, 'ProductSprint Backlog'!$J16-'ProductSprint Backlog'!$I16), AND('ProductSprint Backlog'!$J16=S$2,'ProductSprint Backlog'!$I16=S$2), 'ProductSprint Backlog'!$F16, TRUE, 0)</f>
        <v>0</v>
      </c>
      <c r="T16" s="4" cm="1">
        <f t="array" ref="T16">_xlfn.IFS('ProductSprint Backlog'!$F16="", "", AND('ProductSprint Backlog'!$J16&gt;T$2,'ProductSprint Backlog'!$I16&lt;=T$2), 'ProductSprint Backlog'!$F16 / MAX(1, 'ProductSprint Backlog'!$J16-'ProductSprint Backlog'!$I16), AND('ProductSprint Backlog'!$J16=T$2,'ProductSprint Backlog'!$I16=T$2), 'ProductSprint Backlog'!$F16, TRUE, 0)</f>
        <v>0</v>
      </c>
    </row>
    <row r="17" spans="2:20" x14ac:dyDescent="0.2">
      <c r="B17" s="4" cm="1">
        <f t="array" ref="B17">_xlfn.IFS('ProductSprint Backlog'!$F17="", "", AND('ProductSprint Backlog'!$J17&gt;B$2,'ProductSprint Backlog'!$I17&lt;=B$2), 'ProductSprint Backlog'!$F17 / MAX(1, 'ProductSprint Backlog'!$J17-'ProductSprint Backlog'!$I17), AND('ProductSprint Backlog'!$J17=B$2,'ProductSprint Backlog'!$I17=B$2), 'ProductSprint Backlog'!$F17, TRUE, 0)</f>
        <v>0</v>
      </c>
      <c r="C17" s="4" cm="1">
        <f t="array" ref="C17">_xlfn.IFS('ProductSprint Backlog'!$F17="", "", AND('ProductSprint Backlog'!$J17&gt;C$2,'ProductSprint Backlog'!$I17&lt;=C$2), 'ProductSprint Backlog'!$F17 / MAX(1, 'ProductSprint Backlog'!$J17-'ProductSprint Backlog'!$I17), AND('ProductSprint Backlog'!$J17=C$2,'ProductSprint Backlog'!$I17=C$2), 'ProductSprint Backlog'!$F17, TRUE, 0)</f>
        <v>0</v>
      </c>
      <c r="D17" s="4" cm="1">
        <f t="array" ref="D17">_xlfn.IFS('ProductSprint Backlog'!$F17="", "", AND('ProductSprint Backlog'!$J17&gt;D$2,'ProductSprint Backlog'!$I17&lt;=D$2), 'ProductSprint Backlog'!$F17 / MAX(1, 'ProductSprint Backlog'!$J17-'ProductSprint Backlog'!$I17), AND('ProductSprint Backlog'!$J17=D$2,'ProductSprint Backlog'!$I17=D$2), 'ProductSprint Backlog'!$F17, TRUE, 0)</f>
        <v>0</v>
      </c>
      <c r="E17" s="4" cm="1">
        <f t="array" ref="E17">_xlfn.IFS('ProductSprint Backlog'!$F17="", "", AND('ProductSprint Backlog'!$J17&gt;E$2,'ProductSprint Backlog'!$I17&lt;=E$2), 'ProductSprint Backlog'!$F17 / MAX(1, 'ProductSprint Backlog'!$J17-'ProductSprint Backlog'!$I17), AND('ProductSprint Backlog'!$J17=E$2,'ProductSprint Backlog'!$I17=E$2), 'ProductSprint Backlog'!$F17, TRUE, 0)</f>
        <v>0</v>
      </c>
      <c r="F17" s="4" cm="1">
        <f t="array" ref="F17">_xlfn.IFS('ProductSprint Backlog'!$F17="", "", AND('ProductSprint Backlog'!$J17&gt;F$2,'ProductSprint Backlog'!$I17&lt;=F$2), 'ProductSprint Backlog'!$F17 / MAX(1, 'ProductSprint Backlog'!$J17-'ProductSprint Backlog'!$I17), AND('ProductSprint Backlog'!$J17=F$2,'ProductSprint Backlog'!$I17=F$2), 'ProductSprint Backlog'!$F17, TRUE, 0)</f>
        <v>0</v>
      </c>
      <c r="G17" s="4" cm="1">
        <f t="array" ref="G17">_xlfn.IFS('ProductSprint Backlog'!$F17="", "", AND('ProductSprint Backlog'!$J17&gt;G$2,'ProductSprint Backlog'!$I17&lt;=G$2), 'ProductSprint Backlog'!$F17 / MAX(1, 'ProductSprint Backlog'!$J17-'ProductSprint Backlog'!$I17), AND('ProductSprint Backlog'!$J17=G$2,'ProductSprint Backlog'!$I17=G$2), 'ProductSprint Backlog'!$F17, TRUE, 0)</f>
        <v>0</v>
      </c>
      <c r="H17" s="4" cm="1">
        <f t="array" ref="H17">_xlfn.IFS('ProductSprint Backlog'!$F17="", "", AND('ProductSprint Backlog'!$J17&gt;H$2,'ProductSprint Backlog'!$I17&lt;=H$2), 'ProductSprint Backlog'!$F17 / MAX(1, 'ProductSprint Backlog'!$J17-'ProductSprint Backlog'!$I17), AND('ProductSprint Backlog'!$J17=H$2,'ProductSprint Backlog'!$I17=H$2), 'ProductSprint Backlog'!$F17, TRUE, 0)</f>
        <v>0</v>
      </c>
      <c r="I17" s="4" cm="1">
        <f t="array" ref="I17">_xlfn.IFS('ProductSprint Backlog'!$F17="", "", AND('ProductSprint Backlog'!$J17&gt;I$2,'ProductSprint Backlog'!$I17&lt;=I$2), 'ProductSprint Backlog'!$F17 / MAX(1, 'ProductSprint Backlog'!$J17-'ProductSprint Backlog'!$I17), AND('ProductSprint Backlog'!$J17=I$2,'ProductSprint Backlog'!$I17=I$2), 'ProductSprint Backlog'!$F17, TRUE, 0)</f>
        <v>0</v>
      </c>
      <c r="J17" s="4" cm="1">
        <f t="array" ref="J17">_xlfn.IFS('ProductSprint Backlog'!$F17="", "", AND('ProductSprint Backlog'!$J17&gt;J$2,'ProductSprint Backlog'!$I17&lt;=J$2), 'ProductSprint Backlog'!$F17 / MAX(1, 'ProductSprint Backlog'!$J17-'ProductSprint Backlog'!$I17), AND('ProductSprint Backlog'!$J17=J$2,'ProductSprint Backlog'!$I17=J$2), 'ProductSprint Backlog'!$F17, TRUE, 0)</f>
        <v>0</v>
      </c>
      <c r="K17" s="4" cm="1">
        <f t="array" ref="K17">_xlfn.IFS('ProductSprint Backlog'!$F17="", "", AND('ProductSprint Backlog'!$J17&gt;K$2,'ProductSprint Backlog'!$I17&lt;=K$2), 'ProductSprint Backlog'!$F17 / MAX(1, 'ProductSprint Backlog'!$J17-'ProductSprint Backlog'!$I17), AND('ProductSprint Backlog'!$J17=K$2,'ProductSprint Backlog'!$I17=K$2), 'ProductSprint Backlog'!$F17, TRUE, 0)</f>
        <v>0</v>
      </c>
      <c r="L17" s="4" cm="1">
        <f t="array" ref="L17">_xlfn.IFS('ProductSprint Backlog'!$F17="", "", AND('ProductSprint Backlog'!$J17&gt;L$2,'ProductSprint Backlog'!$I17&lt;=L$2), 'ProductSprint Backlog'!$F17 / MAX(1, 'ProductSprint Backlog'!$J17-'ProductSprint Backlog'!$I17), AND('ProductSprint Backlog'!$J17=L$2,'ProductSprint Backlog'!$I17=L$2), 'ProductSprint Backlog'!$F17, TRUE, 0)</f>
        <v>0</v>
      </c>
      <c r="M17" s="4" cm="1">
        <f t="array" ref="M17">_xlfn.IFS('ProductSprint Backlog'!$F17="", "", AND('ProductSprint Backlog'!$J17&gt;M$2,'ProductSprint Backlog'!$I17&lt;=M$2), 'ProductSprint Backlog'!$F17 / MAX(1, 'ProductSprint Backlog'!$J17-'ProductSprint Backlog'!$I17), AND('ProductSprint Backlog'!$J17=M$2,'ProductSprint Backlog'!$I17=M$2), 'ProductSprint Backlog'!$F17, TRUE, 0)</f>
        <v>0</v>
      </c>
      <c r="N17" s="4" cm="1">
        <f t="array" ref="N17">_xlfn.IFS('ProductSprint Backlog'!$F17="", "", AND('ProductSprint Backlog'!$J17&gt;N$2,'ProductSprint Backlog'!$I17&lt;=N$2), 'ProductSprint Backlog'!$F17 / MAX(1, 'ProductSprint Backlog'!$J17-'ProductSprint Backlog'!$I17), AND('ProductSprint Backlog'!$J17=N$2,'ProductSprint Backlog'!$I17=N$2), 'ProductSprint Backlog'!$F17, TRUE, 0)</f>
        <v>0</v>
      </c>
      <c r="O17" s="4" cm="1">
        <f t="array" ref="O17">_xlfn.IFS('ProductSprint Backlog'!$F17="", "", AND('ProductSprint Backlog'!$J17&gt;O$2,'ProductSprint Backlog'!$I17&lt;=O$2), 'ProductSprint Backlog'!$F17 / MAX(1, 'ProductSprint Backlog'!$J17-'ProductSprint Backlog'!$I17), AND('ProductSprint Backlog'!$J17=O$2,'ProductSprint Backlog'!$I17=O$2), 'ProductSprint Backlog'!$F17, TRUE, 0)</f>
        <v>0</v>
      </c>
      <c r="P17" s="4" cm="1">
        <f t="array" ref="P17">_xlfn.IFS('ProductSprint Backlog'!$F17="", "", AND('ProductSprint Backlog'!$J17&gt;P$2,'ProductSprint Backlog'!$I17&lt;=P$2), 'ProductSprint Backlog'!$F17 / MAX(1, 'ProductSprint Backlog'!$J17-'ProductSprint Backlog'!$I17), AND('ProductSprint Backlog'!$J17=P$2,'ProductSprint Backlog'!$I17=P$2), 'ProductSprint Backlog'!$F17, TRUE, 0)</f>
        <v>0</v>
      </c>
      <c r="Q17" s="4" cm="1">
        <f t="array" ref="Q17">_xlfn.IFS('ProductSprint Backlog'!$F17="", "", AND('ProductSprint Backlog'!$J17&gt;Q$2,'ProductSprint Backlog'!$I17&lt;=Q$2), 'ProductSprint Backlog'!$F17 / MAX(1, 'ProductSprint Backlog'!$J17-'ProductSprint Backlog'!$I17), AND('ProductSprint Backlog'!$J17=Q$2,'ProductSprint Backlog'!$I17=Q$2), 'ProductSprint Backlog'!$F17, TRUE, 0)</f>
        <v>0</v>
      </c>
      <c r="R17" s="4" cm="1">
        <f t="array" ref="R17">_xlfn.IFS('ProductSprint Backlog'!$F17="", "", AND('ProductSprint Backlog'!$J17&gt;R$2,'ProductSprint Backlog'!$I17&lt;=R$2), 'ProductSprint Backlog'!$F17 / MAX(1, 'ProductSprint Backlog'!$J17-'ProductSprint Backlog'!$I17), AND('ProductSprint Backlog'!$J17=R$2,'ProductSprint Backlog'!$I17=R$2), 'ProductSprint Backlog'!$F17, TRUE, 0)</f>
        <v>0</v>
      </c>
      <c r="S17" s="4" cm="1">
        <f t="array" ref="S17">_xlfn.IFS('ProductSprint Backlog'!$F17="", "", AND('ProductSprint Backlog'!$J17&gt;S$2,'ProductSprint Backlog'!$I17&lt;=S$2), 'ProductSprint Backlog'!$F17 / MAX(1, 'ProductSprint Backlog'!$J17-'ProductSprint Backlog'!$I17), AND('ProductSprint Backlog'!$J17=S$2,'ProductSprint Backlog'!$I17=S$2), 'ProductSprint Backlog'!$F17, TRUE, 0)</f>
        <v>0</v>
      </c>
      <c r="T17" s="4" cm="1">
        <f t="array" ref="T17">_xlfn.IFS('ProductSprint Backlog'!$F17="", "", AND('ProductSprint Backlog'!$J17&gt;T$2,'ProductSprint Backlog'!$I17&lt;=T$2), 'ProductSprint Backlog'!$F17 / MAX(1, 'ProductSprint Backlog'!$J17-'ProductSprint Backlog'!$I17), AND('ProductSprint Backlog'!$J17=T$2,'ProductSprint Backlog'!$I17=T$2), 'ProductSprint Backlog'!$F17, TRUE, 0)</f>
        <v>0</v>
      </c>
    </row>
    <row r="18" spans="2:20" x14ac:dyDescent="0.2">
      <c r="B18" s="4" t="str" cm="1">
        <f t="array" ref="B18">_xlfn.IFS('ProductSprint Backlog'!$F18="", "", AND('ProductSprint Backlog'!$J18&gt;B$2,'ProductSprint Backlog'!$I18&lt;=B$2), 'ProductSprint Backlog'!$F18 / MAX(1, 'ProductSprint Backlog'!$J18-'ProductSprint Backlog'!$I18), AND('ProductSprint Backlog'!$J18=B$2,'ProductSprint Backlog'!$I18=B$2), 'ProductSprint Backlog'!$F18, TRUE, 0)</f>
        <v/>
      </c>
      <c r="C18" s="4" t="str" cm="1">
        <f t="array" ref="C18">_xlfn.IFS('ProductSprint Backlog'!$F18="", "", AND('ProductSprint Backlog'!$J18&gt;C$2,'ProductSprint Backlog'!$I18&lt;=C$2), 'ProductSprint Backlog'!$F18 / MAX(1, 'ProductSprint Backlog'!$J18-'ProductSprint Backlog'!$I18), AND('ProductSprint Backlog'!$J18=C$2,'ProductSprint Backlog'!$I18=C$2), 'ProductSprint Backlog'!$F18, TRUE, 0)</f>
        <v/>
      </c>
      <c r="D18" s="4" t="str" cm="1">
        <f t="array" ref="D18">_xlfn.IFS('ProductSprint Backlog'!$F18="", "", AND('ProductSprint Backlog'!$J18&gt;D$2,'ProductSprint Backlog'!$I18&lt;=D$2), 'ProductSprint Backlog'!$F18 / MAX(1, 'ProductSprint Backlog'!$J18-'ProductSprint Backlog'!$I18), AND('ProductSprint Backlog'!$J18=D$2,'ProductSprint Backlog'!$I18=D$2), 'ProductSprint Backlog'!$F18, TRUE, 0)</f>
        <v/>
      </c>
      <c r="E18" s="4" t="str" cm="1">
        <f t="array" ref="E18">_xlfn.IFS('ProductSprint Backlog'!$F18="", "", AND('ProductSprint Backlog'!$J18&gt;E$2,'ProductSprint Backlog'!$I18&lt;=E$2), 'ProductSprint Backlog'!$F18 / MAX(1, 'ProductSprint Backlog'!$J18-'ProductSprint Backlog'!$I18), AND('ProductSprint Backlog'!$J18=E$2,'ProductSprint Backlog'!$I18=E$2), 'ProductSprint Backlog'!$F18, TRUE, 0)</f>
        <v/>
      </c>
      <c r="F18" s="4" t="str" cm="1">
        <f t="array" ref="F18">_xlfn.IFS('ProductSprint Backlog'!$F18="", "", AND('ProductSprint Backlog'!$J18&gt;F$2,'ProductSprint Backlog'!$I18&lt;=F$2), 'ProductSprint Backlog'!$F18 / MAX(1, 'ProductSprint Backlog'!$J18-'ProductSprint Backlog'!$I18), AND('ProductSprint Backlog'!$J18=F$2,'ProductSprint Backlog'!$I18=F$2), 'ProductSprint Backlog'!$F18, TRUE, 0)</f>
        <v/>
      </c>
      <c r="G18" s="4" t="str" cm="1">
        <f t="array" ref="G18">_xlfn.IFS('ProductSprint Backlog'!$F18="", "", AND('ProductSprint Backlog'!$J18&gt;G$2,'ProductSprint Backlog'!$I18&lt;=G$2), 'ProductSprint Backlog'!$F18 / MAX(1, 'ProductSprint Backlog'!$J18-'ProductSprint Backlog'!$I18), AND('ProductSprint Backlog'!$J18=G$2,'ProductSprint Backlog'!$I18=G$2), 'ProductSprint Backlog'!$F18, TRUE, 0)</f>
        <v/>
      </c>
      <c r="H18" s="4" t="str" cm="1">
        <f t="array" ref="H18">_xlfn.IFS('ProductSprint Backlog'!$F18="", "", AND('ProductSprint Backlog'!$J18&gt;H$2,'ProductSprint Backlog'!$I18&lt;=H$2), 'ProductSprint Backlog'!$F18 / MAX(1, 'ProductSprint Backlog'!$J18-'ProductSprint Backlog'!$I18), AND('ProductSprint Backlog'!$J18=H$2,'ProductSprint Backlog'!$I18=H$2), 'ProductSprint Backlog'!$F18, TRUE, 0)</f>
        <v/>
      </c>
      <c r="I18" s="4" t="str" cm="1">
        <f t="array" ref="I18">_xlfn.IFS('ProductSprint Backlog'!$F18="", "", AND('ProductSprint Backlog'!$J18&gt;I$2,'ProductSprint Backlog'!$I18&lt;=I$2), 'ProductSprint Backlog'!$F18 / MAX(1, 'ProductSprint Backlog'!$J18-'ProductSprint Backlog'!$I18), AND('ProductSprint Backlog'!$J18=I$2,'ProductSprint Backlog'!$I18=I$2), 'ProductSprint Backlog'!$F18, TRUE, 0)</f>
        <v/>
      </c>
      <c r="J18" s="4" t="str" cm="1">
        <f t="array" ref="J18">_xlfn.IFS('ProductSprint Backlog'!$F18="", "", AND('ProductSprint Backlog'!$J18&gt;J$2,'ProductSprint Backlog'!$I18&lt;=J$2), 'ProductSprint Backlog'!$F18 / MAX(1, 'ProductSprint Backlog'!$J18-'ProductSprint Backlog'!$I18), AND('ProductSprint Backlog'!$J18=J$2,'ProductSprint Backlog'!$I18=J$2), 'ProductSprint Backlog'!$F18, TRUE, 0)</f>
        <v/>
      </c>
      <c r="K18" s="4" t="str" cm="1">
        <f t="array" ref="K18">_xlfn.IFS('ProductSprint Backlog'!$F18="", "", AND('ProductSprint Backlog'!$J18&gt;K$2,'ProductSprint Backlog'!$I18&lt;=K$2), 'ProductSprint Backlog'!$F18 / MAX(1, 'ProductSprint Backlog'!$J18-'ProductSprint Backlog'!$I18), AND('ProductSprint Backlog'!$J18=K$2,'ProductSprint Backlog'!$I18=K$2), 'ProductSprint Backlog'!$F18, TRUE, 0)</f>
        <v/>
      </c>
      <c r="L18" s="4" t="str" cm="1">
        <f t="array" ref="L18">_xlfn.IFS('ProductSprint Backlog'!$F18="", "", AND('ProductSprint Backlog'!$J18&gt;L$2,'ProductSprint Backlog'!$I18&lt;=L$2), 'ProductSprint Backlog'!$F18 / MAX(1, 'ProductSprint Backlog'!$J18-'ProductSprint Backlog'!$I18), AND('ProductSprint Backlog'!$J18=L$2,'ProductSprint Backlog'!$I18=L$2), 'ProductSprint Backlog'!$F18, TRUE, 0)</f>
        <v/>
      </c>
      <c r="M18" s="4" t="str" cm="1">
        <f t="array" ref="M18">_xlfn.IFS('ProductSprint Backlog'!$F18="", "", AND('ProductSprint Backlog'!$J18&gt;M$2,'ProductSprint Backlog'!$I18&lt;=M$2), 'ProductSprint Backlog'!$F18 / MAX(1, 'ProductSprint Backlog'!$J18-'ProductSprint Backlog'!$I18), AND('ProductSprint Backlog'!$J18=M$2,'ProductSprint Backlog'!$I18=M$2), 'ProductSprint Backlog'!$F18, TRUE, 0)</f>
        <v/>
      </c>
      <c r="N18" s="4" t="str" cm="1">
        <f t="array" ref="N18">_xlfn.IFS('ProductSprint Backlog'!$F18="", "", AND('ProductSprint Backlog'!$J18&gt;N$2,'ProductSprint Backlog'!$I18&lt;=N$2), 'ProductSprint Backlog'!$F18 / MAX(1, 'ProductSprint Backlog'!$J18-'ProductSprint Backlog'!$I18), AND('ProductSprint Backlog'!$J18=N$2,'ProductSprint Backlog'!$I18=N$2), 'ProductSprint Backlog'!$F18, TRUE, 0)</f>
        <v/>
      </c>
      <c r="O18" s="4" t="str" cm="1">
        <f t="array" ref="O18">_xlfn.IFS('ProductSprint Backlog'!$F18="", "", AND('ProductSprint Backlog'!$J18&gt;O$2,'ProductSprint Backlog'!$I18&lt;=O$2), 'ProductSprint Backlog'!$F18 / MAX(1, 'ProductSprint Backlog'!$J18-'ProductSprint Backlog'!$I18), AND('ProductSprint Backlog'!$J18=O$2,'ProductSprint Backlog'!$I18=O$2), 'ProductSprint Backlog'!$F18, TRUE, 0)</f>
        <v/>
      </c>
      <c r="P18" s="4" t="str" cm="1">
        <f t="array" ref="P18">_xlfn.IFS('ProductSprint Backlog'!$F18="", "", AND('ProductSprint Backlog'!$J18&gt;P$2,'ProductSprint Backlog'!$I18&lt;=P$2), 'ProductSprint Backlog'!$F18 / MAX(1, 'ProductSprint Backlog'!$J18-'ProductSprint Backlog'!$I18), AND('ProductSprint Backlog'!$J18=P$2,'ProductSprint Backlog'!$I18=P$2), 'ProductSprint Backlog'!$F18, TRUE, 0)</f>
        <v/>
      </c>
      <c r="Q18" s="4" t="str" cm="1">
        <f t="array" ref="Q18">_xlfn.IFS('ProductSprint Backlog'!$F18="", "", AND('ProductSprint Backlog'!$J18&gt;Q$2,'ProductSprint Backlog'!$I18&lt;=Q$2), 'ProductSprint Backlog'!$F18 / MAX(1, 'ProductSprint Backlog'!$J18-'ProductSprint Backlog'!$I18), AND('ProductSprint Backlog'!$J18=Q$2,'ProductSprint Backlog'!$I18=Q$2), 'ProductSprint Backlog'!$F18, TRUE, 0)</f>
        <v/>
      </c>
      <c r="R18" s="4" t="str" cm="1">
        <f t="array" ref="R18">_xlfn.IFS('ProductSprint Backlog'!$F18="", "", AND('ProductSprint Backlog'!$J18&gt;R$2,'ProductSprint Backlog'!$I18&lt;=R$2), 'ProductSprint Backlog'!$F18 / MAX(1, 'ProductSprint Backlog'!$J18-'ProductSprint Backlog'!$I18), AND('ProductSprint Backlog'!$J18=R$2,'ProductSprint Backlog'!$I18=R$2), 'ProductSprint Backlog'!$F18, TRUE, 0)</f>
        <v/>
      </c>
      <c r="S18" s="4" t="str" cm="1">
        <f t="array" ref="S18">_xlfn.IFS('ProductSprint Backlog'!$F18="", "", AND('ProductSprint Backlog'!$J18&gt;S$2,'ProductSprint Backlog'!$I18&lt;=S$2), 'ProductSprint Backlog'!$F18 / MAX(1, 'ProductSprint Backlog'!$J18-'ProductSprint Backlog'!$I18), AND('ProductSprint Backlog'!$J18=S$2,'ProductSprint Backlog'!$I18=S$2), 'ProductSprint Backlog'!$F18, TRUE, 0)</f>
        <v/>
      </c>
      <c r="T18" s="4" t="str" cm="1">
        <f t="array" ref="T18">_xlfn.IFS('ProductSprint Backlog'!$F18="", "", AND('ProductSprint Backlog'!$J18&gt;T$2,'ProductSprint Backlog'!$I18&lt;=T$2), 'ProductSprint Backlog'!$F18 / MAX(1, 'ProductSprint Backlog'!$J18-'ProductSprint Backlog'!$I18), AND('ProductSprint Backlog'!$J18=T$2,'ProductSprint Backlog'!$I18=T$2), 'ProductSprint Backlog'!$F18, TRUE, 0)</f>
        <v/>
      </c>
    </row>
    <row r="19" spans="2:20" x14ac:dyDescent="0.2">
      <c r="B19" s="4" cm="1">
        <f t="array" ref="B19">_xlfn.IFS('ProductSprint Backlog'!$F19="", "", AND('ProductSprint Backlog'!$J19&gt;B$2,'ProductSprint Backlog'!$I19&lt;=B$2), 'ProductSprint Backlog'!$F19 / MAX(1, 'ProductSprint Backlog'!$J19-'ProductSprint Backlog'!$I19), AND('ProductSprint Backlog'!$J19=B$2,'ProductSprint Backlog'!$I19=B$2), 'ProductSprint Backlog'!$F19, TRUE, 0)</f>
        <v>0</v>
      </c>
      <c r="C19" s="4" cm="1">
        <f t="array" ref="C19">_xlfn.IFS('ProductSprint Backlog'!$F19="", "", AND('ProductSprint Backlog'!$J19&gt;C$2,'ProductSprint Backlog'!$I19&lt;=C$2), 'ProductSprint Backlog'!$F19 / MAX(1, 'ProductSprint Backlog'!$J19-'ProductSprint Backlog'!$I19), AND('ProductSprint Backlog'!$J19=C$2,'ProductSprint Backlog'!$I19=C$2), 'ProductSprint Backlog'!$F19, TRUE, 0)</f>
        <v>0</v>
      </c>
      <c r="D19" s="4" cm="1">
        <f t="array" ref="D19">_xlfn.IFS('ProductSprint Backlog'!$F19="", "", AND('ProductSprint Backlog'!$J19&gt;D$2,'ProductSprint Backlog'!$I19&lt;=D$2), 'ProductSprint Backlog'!$F19 / MAX(1, 'ProductSprint Backlog'!$J19-'ProductSprint Backlog'!$I19), AND('ProductSprint Backlog'!$J19=D$2,'ProductSprint Backlog'!$I19=D$2), 'ProductSprint Backlog'!$F19, TRUE, 0)</f>
        <v>0</v>
      </c>
      <c r="E19" s="4" cm="1">
        <f t="array" ref="E19">_xlfn.IFS('ProductSprint Backlog'!$F19="", "", AND('ProductSprint Backlog'!$J19&gt;E$2,'ProductSprint Backlog'!$I19&lt;=E$2), 'ProductSprint Backlog'!$F19 / MAX(1, 'ProductSprint Backlog'!$J19-'ProductSprint Backlog'!$I19), AND('ProductSprint Backlog'!$J19=E$2,'ProductSprint Backlog'!$I19=E$2), 'ProductSprint Backlog'!$F19, TRUE, 0)</f>
        <v>0</v>
      </c>
      <c r="F19" s="4" cm="1">
        <f t="array" ref="F19">_xlfn.IFS('ProductSprint Backlog'!$F19="", "", AND('ProductSprint Backlog'!$J19&gt;F$2,'ProductSprint Backlog'!$I19&lt;=F$2), 'ProductSprint Backlog'!$F19 / MAX(1, 'ProductSprint Backlog'!$J19-'ProductSprint Backlog'!$I19), AND('ProductSprint Backlog'!$J19=F$2,'ProductSprint Backlog'!$I19=F$2), 'ProductSprint Backlog'!$F19, TRUE, 0)</f>
        <v>0</v>
      </c>
      <c r="G19" s="4" cm="1">
        <f t="array" ref="G19">_xlfn.IFS('ProductSprint Backlog'!$F19="", "", AND('ProductSprint Backlog'!$J19&gt;G$2,'ProductSprint Backlog'!$I19&lt;=G$2), 'ProductSprint Backlog'!$F19 / MAX(1, 'ProductSprint Backlog'!$J19-'ProductSprint Backlog'!$I19), AND('ProductSprint Backlog'!$J19=G$2,'ProductSprint Backlog'!$I19=G$2), 'ProductSprint Backlog'!$F19, TRUE, 0)</f>
        <v>0</v>
      </c>
      <c r="H19" s="4" cm="1">
        <f t="array" ref="H19">_xlfn.IFS('ProductSprint Backlog'!$F19="", "", AND('ProductSprint Backlog'!$J19&gt;H$2,'ProductSprint Backlog'!$I19&lt;=H$2), 'ProductSprint Backlog'!$F19 / MAX(1, 'ProductSprint Backlog'!$J19-'ProductSprint Backlog'!$I19), AND('ProductSprint Backlog'!$J19=H$2,'ProductSprint Backlog'!$I19=H$2), 'ProductSprint Backlog'!$F19, TRUE, 0)</f>
        <v>0</v>
      </c>
      <c r="I19" s="4" cm="1">
        <f t="array" ref="I19">_xlfn.IFS('ProductSprint Backlog'!$F19="", "", AND('ProductSprint Backlog'!$J19&gt;I$2,'ProductSprint Backlog'!$I19&lt;=I$2), 'ProductSprint Backlog'!$F19 / MAX(1, 'ProductSprint Backlog'!$J19-'ProductSprint Backlog'!$I19), AND('ProductSprint Backlog'!$J19=I$2,'ProductSprint Backlog'!$I19=I$2), 'ProductSprint Backlog'!$F19, TRUE, 0)</f>
        <v>0</v>
      </c>
      <c r="J19" s="4" cm="1">
        <f t="array" ref="J19">_xlfn.IFS('ProductSprint Backlog'!$F19="", "", AND('ProductSprint Backlog'!$J19&gt;J$2,'ProductSprint Backlog'!$I19&lt;=J$2), 'ProductSprint Backlog'!$F19 / MAX(1, 'ProductSprint Backlog'!$J19-'ProductSprint Backlog'!$I19), AND('ProductSprint Backlog'!$J19=J$2,'ProductSprint Backlog'!$I19=J$2), 'ProductSprint Backlog'!$F19, TRUE, 0)</f>
        <v>0</v>
      </c>
      <c r="K19" s="4" cm="1">
        <f t="array" ref="K19">_xlfn.IFS('ProductSprint Backlog'!$F19="", "", AND('ProductSprint Backlog'!$J19&gt;K$2,'ProductSprint Backlog'!$I19&lt;=K$2), 'ProductSprint Backlog'!$F19 / MAX(1, 'ProductSprint Backlog'!$J19-'ProductSprint Backlog'!$I19), AND('ProductSprint Backlog'!$J19=K$2,'ProductSprint Backlog'!$I19=K$2), 'ProductSprint Backlog'!$F19, TRUE, 0)</f>
        <v>0</v>
      </c>
      <c r="L19" s="4" cm="1">
        <f t="array" ref="L19">_xlfn.IFS('ProductSprint Backlog'!$F19="", "", AND('ProductSprint Backlog'!$J19&gt;L$2,'ProductSprint Backlog'!$I19&lt;=L$2), 'ProductSprint Backlog'!$F19 / MAX(1, 'ProductSprint Backlog'!$J19-'ProductSprint Backlog'!$I19), AND('ProductSprint Backlog'!$J19=L$2,'ProductSprint Backlog'!$I19=L$2), 'ProductSprint Backlog'!$F19, TRUE, 0)</f>
        <v>0</v>
      </c>
      <c r="M19" s="4" cm="1">
        <f t="array" ref="M19">_xlfn.IFS('ProductSprint Backlog'!$F19="", "", AND('ProductSprint Backlog'!$J19&gt;M$2,'ProductSprint Backlog'!$I19&lt;=M$2), 'ProductSprint Backlog'!$F19 / MAX(1, 'ProductSprint Backlog'!$J19-'ProductSprint Backlog'!$I19), AND('ProductSprint Backlog'!$J19=M$2,'ProductSprint Backlog'!$I19=M$2), 'ProductSprint Backlog'!$F19, TRUE, 0)</f>
        <v>0</v>
      </c>
      <c r="N19" s="4" cm="1">
        <f t="array" ref="N19">_xlfn.IFS('ProductSprint Backlog'!$F19="", "", AND('ProductSprint Backlog'!$J19&gt;N$2,'ProductSprint Backlog'!$I19&lt;=N$2), 'ProductSprint Backlog'!$F19 / MAX(1, 'ProductSprint Backlog'!$J19-'ProductSprint Backlog'!$I19), AND('ProductSprint Backlog'!$J19=N$2,'ProductSprint Backlog'!$I19=N$2), 'ProductSprint Backlog'!$F19, TRUE, 0)</f>
        <v>0</v>
      </c>
      <c r="O19" s="4" cm="1">
        <f t="array" ref="O19">_xlfn.IFS('ProductSprint Backlog'!$F19="", "", AND('ProductSprint Backlog'!$J19&gt;O$2,'ProductSprint Backlog'!$I19&lt;=O$2), 'ProductSprint Backlog'!$F19 / MAX(1, 'ProductSprint Backlog'!$J19-'ProductSprint Backlog'!$I19), AND('ProductSprint Backlog'!$J19=O$2,'ProductSprint Backlog'!$I19=O$2), 'ProductSprint Backlog'!$F19, TRUE, 0)</f>
        <v>0</v>
      </c>
      <c r="P19" s="4" cm="1">
        <f t="array" ref="P19">_xlfn.IFS('ProductSprint Backlog'!$F19="", "", AND('ProductSprint Backlog'!$J19&gt;P$2,'ProductSprint Backlog'!$I19&lt;=P$2), 'ProductSprint Backlog'!$F19 / MAX(1, 'ProductSprint Backlog'!$J19-'ProductSprint Backlog'!$I19), AND('ProductSprint Backlog'!$J19=P$2,'ProductSprint Backlog'!$I19=P$2), 'ProductSprint Backlog'!$F19, TRUE, 0)</f>
        <v>0</v>
      </c>
      <c r="Q19" s="4" cm="1">
        <f t="array" ref="Q19">_xlfn.IFS('ProductSprint Backlog'!$F19="", "", AND('ProductSprint Backlog'!$J19&gt;Q$2,'ProductSprint Backlog'!$I19&lt;=Q$2), 'ProductSprint Backlog'!$F19 / MAX(1, 'ProductSprint Backlog'!$J19-'ProductSprint Backlog'!$I19), AND('ProductSprint Backlog'!$J19=Q$2,'ProductSprint Backlog'!$I19=Q$2), 'ProductSprint Backlog'!$F19, TRUE, 0)</f>
        <v>0</v>
      </c>
      <c r="R19" s="4" cm="1">
        <f t="array" ref="R19">_xlfn.IFS('ProductSprint Backlog'!$F19="", "", AND('ProductSprint Backlog'!$J19&gt;R$2,'ProductSprint Backlog'!$I19&lt;=R$2), 'ProductSprint Backlog'!$F19 / MAX(1, 'ProductSprint Backlog'!$J19-'ProductSprint Backlog'!$I19), AND('ProductSprint Backlog'!$J19=R$2,'ProductSprint Backlog'!$I19=R$2), 'ProductSprint Backlog'!$F19, TRUE, 0)</f>
        <v>0</v>
      </c>
      <c r="S19" s="4" cm="1">
        <f t="array" ref="S19">_xlfn.IFS('ProductSprint Backlog'!$F19="", "", AND('ProductSprint Backlog'!$J19&gt;S$2,'ProductSprint Backlog'!$I19&lt;=S$2), 'ProductSprint Backlog'!$F19 / MAX(1, 'ProductSprint Backlog'!$J19-'ProductSprint Backlog'!$I19), AND('ProductSprint Backlog'!$J19=S$2,'ProductSprint Backlog'!$I19=S$2), 'ProductSprint Backlog'!$F19, TRUE, 0)</f>
        <v>0</v>
      </c>
      <c r="T19" s="4" cm="1">
        <f t="array" ref="T19">_xlfn.IFS('ProductSprint Backlog'!$F19="", "", AND('ProductSprint Backlog'!$J19&gt;T$2,'ProductSprint Backlog'!$I19&lt;=T$2), 'ProductSprint Backlog'!$F19 / MAX(1, 'ProductSprint Backlog'!$J19-'ProductSprint Backlog'!$I19), AND('ProductSprint Backlog'!$J19=T$2,'ProductSprint Backlog'!$I19=T$2), 'ProductSprint Backlog'!$F19, TRUE, 0)</f>
        <v>0</v>
      </c>
    </row>
    <row r="20" spans="2:20" x14ac:dyDescent="0.2">
      <c r="B20" s="4" cm="1">
        <f t="array" ref="B20">_xlfn.IFS('ProductSprint Backlog'!$F20="", "", AND('ProductSprint Backlog'!$J20&gt;B$2,'ProductSprint Backlog'!$I20&lt;=B$2), 'ProductSprint Backlog'!$F20 / MAX(1, 'ProductSprint Backlog'!$J20-'ProductSprint Backlog'!$I20), AND('ProductSprint Backlog'!$J20=B$2,'ProductSprint Backlog'!$I20=B$2), 'ProductSprint Backlog'!$F20, TRUE, 0)</f>
        <v>0</v>
      </c>
      <c r="C20" s="4" cm="1">
        <f t="array" ref="C20">_xlfn.IFS('ProductSprint Backlog'!$F20="", "", AND('ProductSprint Backlog'!$J20&gt;C$2,'ProductSprint Backlog'!$I20&lt;=C$2), 'ProductSprint Backlog'!$F20 / MAX(1, 'ProductSprint Backlog'!$J20-'ProductSprint Backlog'!$I20), AND('ProductSprint Backlog'!$J20=C$2,'ProductSprint Backlog'!$I20=C$2), 'ProductSprint Backlog'!$F20, TRUE, 0)</f>
        <v>0</v>
      </c>
      <c r="D20" s="4" cm="1">
        <f t="array" ref="D20">_xlfn.IFS('ProductSprint Backlog'!$F20="", "", AND('ProductSprint Backlog'!$J20&gt;D$2,'ProductSprint Backlog'!$I20&lt;=D$2), 'ProductSprint Backlog'!$F20 / MAX(1, 'ProductSprint Backlog'!$J20-'ProductSprint Backlog'!$I20), AND('ProductSprint Backlog'!$J20=D$2,'ProductSprint Backlog'!$I20=D$2), 'ProductSprint Backlog'!$F20, TRUE, 0)</f>
        <v>0</v>
      </c>
      <c r="E20" s="4" cm="1">
        <f t="array" ref="E20">_xlfn.IFS('ProductSprint Backlog'!$F20="", "", AND('ProductSprint Backlog'!$J20&gt;E$2,'ProductSprint Backlog'!$I20&lt;=E$2), 'ProductSprint Backlog'!$F20 / MAX(1, 'ProductSprint Backlog'!$J20-'ProductSprint Backlog'!$I20), AND('ProductSprint Backlog'!$J20=E$2,'ProductSprint Backlog'!$I20=E$2), 'ProductSprint Backlog'!$F20, TRUE, 0)</f>
        <v>0</v>
      </c>
      <c r="F20" s="4" cm="1">
        <f t="array" ref="F20">_xlfn.IFS('ProductSprint Backlog'!$F20="", "", AND('ProductSprint Backlog'!$J20&gt;F$2,'ProductSprint Backlog'!$I20&lt;=F$2), 'ProductSprint Backlog'!$F20 / MAX(1, 'ProductSprint Backlog'!$J20-'ProductSprint Backlog'!$I20), AND('ProductSprint Backlog'!$J20=F$2,'ProductSprint Backlog'!$I20=F$2), 'ProductSprint Backlog'!$F20, TRUE, 0)</f>
        <v>0</v>
      </c>
      <c r="G20" s="4" cm="1">
        <f t="array" ref="G20">_xlfn.IFS('ProductSprint Backlog'!$F20="", "", AND('ProductSprint Backlog'!$J20&gt;G$2,'ProductSprint Backlog'!$I20&lt;=G$2), 'ProductSprint Backlog'!$F20 / MAX(1, 'ProductSprint Backlog'!$J20-'ProductSprint Backlog'!$I20), AND('ProductSprint Backlog'!$J20=G$2,'ProductSprint Backlog'!$I20=G$2), 'ProductSprint Backlog'!$F20, TRUE, 0)</f>
        <v>0</v>
      </c>
      <c r="H20" s="4" cm="1">
        <f t="array" ref="H20">_xlfn.IFS('ProductSprint Backlog'!$F20="", "", AND('ProductSprint Backlog'!$J20&gt;H$2,'ProductSprint Backlog'!$I20&lt;=H$2), 'ProductSprint Backlog'!$F20 / MAX(1, 'ProductSprint Backlog'!$J20-'ProductSprint Backlog'!$I20), AND('ProductSprint Backlog'!$J20=H$2,'ProductSprint Backlog'!$I20=H$2), 'ProductSprint Backlog'!$F20, TRUE, 0)</f>
        <v>0</v>
      </c>
      <c r="I20" s="4" cm="1">
        <f t="array" ref="I20">_xlfn.IFS('ProductSprint Backlog'!$F20="", "", AND('ProductSprint Backlog'!$J20&gt;I$2,'ProductSprint Backlog'!$I20&lt;=I$2), 'ProductSprint Backlog'!$F20 / MAX(1, 'ProductSprint Backlog'!$J20-'ProductSprint Backlog'!$I20), AND('ProductSprint Backlog'!$J20=I$2,'ProductSprint Backlog'!$I20=I$2), 'ProductSprint Backlog'!$F20, TRUE, 0)</f>
        <v>0</v>
      </c>
      <c r="J20" s="4" cm="1">
        <f t="array" ref="J20">_xlfn.IFS('ProductSprint Backlog'!$F20="", "", AND('ProductSprint Backlog'!$J20&gt;J$2,'ProductSprint Backlog'!$I20&lt;=J$2), 'ProductSprint Backlog'!$F20 / MAX(1, 'ProductSprint Backlog'!$J20-'ProductSprint Backlog'!$I20), AND('ProductSprint Backlog'!$J20=J$2,'ProductSprint Backlog'!$I20=J$2), 'ProductSprint Backlog'!$F20, TRUE, 0)</f>
        <v>0</v>
      </c>
      <c r="K20" s="4" cm="1">
        <f t="array" ref="K20">_xlfn.IFS('ProductSprint Backlog'!$F20="", "", AND('ProductSprint Backlog'!$J20&gt;K$2,'ProductSprint Backlog'!$I20&lt;=K$2), 'ProductSprint Backlog'!$F20 / MAX(1, 'ProductSprint Backlog'!$J20-'ProductSprint Backlog'!$I20), AND('ProductSprint Backlog'!$J20=K$2,'ProductSprint Backlog'!$I20=K$2), 'ProductSprint Backlog'!$F20, TRUE, 0)</f>
        <v>0</v>
      </c>
      <c r="L20" s="4" cm="1">
        <f t="array" ref="L20">_xlfn.IFS('ProductSprint Backlog'!$F20="", "", AND('ProductSprint Backlog'!$J20&gt;L$2,'ProductSprint Backlog'!$I20&lt;=L$2), 'ProductSprint Backlog'!$F20 / MAX(1, 'ProductSprint Backlog'!$J20-'ProductSprint Backlog'!$I20), AND('ProductSprint Backlog'!$J20=L$2,'ProductSprint Backlog'!$I20=L$2), 'ProductSprint Backlog'!$F20, TRUE, 0)</f>
        <v>0</v>
      </c>
      <c r="M20" s="4" cm="1">
        <f t="array" ref="M20">_xlfn.IFS('ProductSprint Backlog'!$F20="", "", AND('ProductSprint Backlog'!$J20&gt;M$2,'ProductSprint Backlog'!$I20&lt;=M$2), 'ProductSprint Backlog'!$F20 / MAX(1, 'ProductSprint Backlog'!$J20-'ProductSprint Backlog'!$I20), AND('ProductSprint Backlog'!$J20=M$2,'ProductSprint Backlog'!$I20=M$2), 'ProductSprint Backlog'!$F20, TRUE, 0)</f>
        <v>0</v>
      </c>
      <c r="N20" s="4" cm="1">
        <f t="array" ref="N20">_xlfn.IFS('ProductSprint Backlog'!$F20="", "", AND('ProductSprint Backlog'!$J20&gt;N$2,'ProductSprint Backlog'!$I20&lt;=N$2), 'ProductSprint Backlog'!$F20 / MAX(1, 'ProductSprint Backlog'!$J20-'ProductSprint Backlog'!$I20), AND('ProductSprint Backlog'!$J20=N$2,'ProductSprint Backlog'!$I20=N$2), 'ProductSprint Backlog'!$F20, TRUE, 0)</f>
        <v>0</v>
      </c>
      <c r="O20" s="4" cm="1">
        <f t="array" ref="O20">_xlfn.IFS('ProductSprint Backlog'!$F20="", "", AND('ProductSprint Backlog'!$J20&gt;O$2,'ProductSprint Backlog'!$I20&lt;=O$2), 'ProductSprint Backlog'!$F20 / MAX(1, 'ProductSprint Backlog'!$J20-'ProductSprint Backlog'!$I20), AND('ProductSprint Backlog'!$J20=O$2,'ProductSprint Backlog'!$I20=O$2), 'ProductSprint Backlog'!$F20, TRUE, 0)</f>
        <v>0</v>
      </c>
      <c r="P20" s="4" cm="1">
        <f t="array" ref="P20">_xlfn.IFS('ProductSprint Backlog'!$F20="", "", AND('ProductSprint Backlog'!$J20&gt;P$2,'ProductSprint Backlog'!$I20&lt;=P$2), 'ProductSprint Backlog'!$F20 / MAX(1, 'ProductSprint Backlog'!$J20-'ProductSprint Backlog'!$I20), AND('ProductSprint Backlog'!$J20=P$2,'ProductSprint Backlog'!$I20=P$2), 'ProductSprint Backlog'!$F20, TRUE, 0)</f>
        <v>0</v>
      </c>
      <c r="Q20" s="4" cm="1">
        <f t="array" ref="Q20">_xlfn.IFS('ProductSprint Backlog'!$F20="", "", AND('ProductSprint Backlog'!$J20&gt;Q$2,'ProductSprint Backlog'!$I20&lt;=Q$2), 'ProductSprint Backlog'!$F20 / MAX(1, 'ProductSprint Backlog'!$J20-'ProductSprint Backlog'!$I20), AND('ProductSprint Backlog'!$J20=Q$2,'ProductSprint Backlog'!$I20=Q$2), 'ProductSprint Backlog'!$F20, TRUE, 0)</f>
        <v>0</v>
      </c>
      <c r="R20" s="4" cm="1">
        <f t="array" ref="R20">_xlfn.IFS('ProductSprint Backlog'!$F20="", "", AND('ProductSprint Backlog'!$J20&gt;R$2,'ProductSprint Backlog'!$I20&lt;=R$2), 'ProductSprint Backlog'!$F20 / MAX(1, 'ProductSprint Backlog'!$J20-'ProductSprint Backlog'!$I20), AND('ProductSprint Backlog'!$J20=R$2,'ProductSprint Backlog'!$I20=R$2), 'ProductSprint Backlog'!$F20, TRUE, 0)</f>
        <v>0</v>
      </c>
      <c r="S20" s="4" cm="1">
        <f t="array" ref="S20">_xlfn.IFS('ProductSprint Backlog'!$F20="", "", AND('ProductSprint Backlog'!$J20&gt;S$2,'ProductSprint Backlog'!$I20&lt;=S$2), 'ProductSprint Backlog'!$F20 / MAX(1, 'ProductSprint Backlog'!$J20-'ProductSprint Backlog'!$I20), AND('ProductSprint Backlog'!$J20=S$2,'ProductSprint Backlog'!$I20=S$2), 'ProductSprint Backlog'!$F20, TRUE, 0)</f>
        <v>0</v>
      </c>
      <c r="T20" s="4" cm="1">
        <f t="array" ref="T20">_xlfn.IFS('ProductSprint Backlog'!$F20="", "", AND('ProductSprint Backlog'!$J20&gt;T$2,'ProductSprint Backlog'!$I20&lt;=T$2), 'ProductSprint Backlog'!$F20 / MAX(1, 'ProductSprint Backlog'!$J20-'ProductSprint Backlog'!$I20), AND('ProductSprint Backlog'!$J20=T$2,'ProductSprint Backlog'!$I20=T$2), 'ProductSprint Backlog'!$F20, TRUE, 0)</f>
        <v>0</v>
      </c>
    </row>
    <row r="21" spans="2:20" x14ac:dyDescent="0.2">
      <c r="B21" s="4" cm="1">
        <f t="array" ref="B21">_xlfn.IFS('ProductSprint Backlog'!$F21="", "", AND('ProductSprint Backlog'!$J21&gt;B$2,'ProductSprint Backlog'!$I21&lt;=B$2), 'ProductSprint Backlog'!$F21 / MAX(1, 'ProductSprint Backlog'!$J21-'ProductSprint Backlog'!$I21), AND('ProductSprint Backlog'!$J21=B$2,'ProductSprint Backlog'!$I21=B$2), 'ProductSprint Backlog'!$F21, TRUE, 0)</f>
        <v>0</v>
      </c>
      <c r="C21" s="4" cm="1">
        <f t="array" ref="C21">_xlfn.IFS('ProductSprint Backlog'!$F21="", "", AND('ProductSprint Backlog'!$J21&gt;C$2,'ProductSprint Backlog'!$I21&lt;=C$2), 'ProductSprint Backlog'!$F21 / MAX(1, 'ProductSprint Backlog'!$J21-'ProductSprint Backlog'!$I21), AND('ProductSprint Backlog'!$J21=C$2,'ProductSprint Backlog'!$I21=C$2), 'ProductSprint Backlog'!$F21, TRUE, 0)</f>
        <v>0</v>
      </c>
      <c r="D21" s="4" cm="1">
        <f t="array" ref="D21">_xlfn.IFS('ProductSprint Backlog'!$F21="", "", AND('ProductSprint Backlog'!$J21&gt;D$2,'ProductSprint Backlog'!$I21&lt;=D$2), 'ProductSprint Backlog'!$F21 / MAX(1, 'ProductSprint Backlog'!$J21-'ProductSprint Backlog'!$I21), AND('ProductSprint Backlog'!$J21=D$2,'ProductSprint Backlog'!$I21=D$2), 'ProductSprint Backlog'!$F21, TRUE, 0)</f>
        <v>0</v>
      </c>
      <c r="E21" s="4" cm="1">
        <f t="array" ref="E21">_xlfn.IFS('ProductSprint Backlog'!$F21="", "", AND('ProductSprint Backlog'!$J21&gt;E$2,'ProductSprint Backlog'!$I21&lt;=E$2), 'ProductSprint Backlog'!$F21 / MAX(1, 'ProductSprint Backlog'!$J21-'ProductSprint Backlog'!$I21), AND('ProductSprint Backlog'!$J21=E$2,'ProductSprint Backlog'!$I21=E$2), 'ProductSprint Backlog'!$F21, TRUE, 0)</f>
        <v>0</v>
      </c>
      <c r="F21" s="4" cm="1">
        <f t="array" ref="F21">_xlfn.IFS('ProductSprint Backlog'!$F21="", "", AND('ProductSprint Backlog'!$J21&gt;F$2,'ProductSprint Backlog'!$I21&lt;=F$2), 'ProductSprint Backlog'!$F21 / MAX(1, 'ProductSprint Backlog'!$J21-'ProductSprint Backlog'!$I21), AND('ProductSprint Backlog'!$J21=F$2,'ProductSprint Backlog'!$I21=F$2), 'ProductSprint Backlog'!$F21, TRUE, 0)</f>
        <v>0</v>
      </c>
      <c r="G21" s="4" cm="1">
        <f t="array" ref="G21">_xlfn.IFS('ProductSprint Backlog'!$F21="", "", AND('ProductSprint Backlog'!$J21&gt;G$2,'ProductSprint Backlog'!$I21&lt;=G$2), 'ProductSprint Backlog'!$F21 / MAX(1, 'ProductSprint Backlog'!$J21-'ProductSprint Backlog'!$I21), AND('ProductSprint Backlog'!$J21=G$2,'ProductSprint Backlog'!$I21=G$2), 'ProductSprint Backlog'!$F21, TRUE, 0)</f>
        <v>0</v>
      </c>
      <c r="H21" s="4" cm="1">
        <f t="array" ref="H21">_xlfn.IFS('ProductSprint Backlog'!$F21="", "", AND('ProductSprint Backlog'!$J21&gt;H$2,'ProductSprint Backlog'!$I21&lt;=H$2), 'ProductSprint Backlog'!$F21 / MAX(1, 'ProductSprint Backlog'!$J21-'ProductSprint Backlog'!$I21), AND('ProductSprint Backlog'!$J21=H$2,'ProductSprint Backlog'!$I21=H$2), 'ProductSprint Backlog'!$F21, TRUE, 0)</f>
        <v>0</v>
      </c>
      <c r="I21" s="4" cm="1">
        <f t="array" ref="I21">_xlfn.IFS('ProductSprint Backlog'!$F21="", "", AND('ProductSprint Backlog'!$J21&gt;I$2,'ProductSprint Backlog'!$I21&lt;=I$2), 'ProductSprint Backlog'!$F21 / MAX(1, 'ProductSprint Backlog'!$J21-'ProductSprint Backlog'!$I21), AND('ProductSprint Backlog'!$J21=I$2,'ProductSprint Backlog'!$I21=I$2), 'ProductSprint Backlog'!$F21, TRUE, 0)</f>
        <v>0</v>
      </c>
      <c r="J21" s="4" cm="1">
        <f t="array" ref="J21">_xlfn.IFS('ProductSprint Backlog'!$F21="", "", AND('ProductSprint Backlog'!$J21&gt;J$2,'ProductSprint Backlog'!$I21&lt;=J$2), 'ProductSprint Backlog'!$F21 / MAX(1, 'ProductSprint Backlog'!$J21-'ProductSprint Backlog'!$I21), AND('ProductSprint Backlog'!$J21=J$2,'ProductSprint Backlog'!$I21=J$2), 'ProductSprint Backlog'!$F21, TRUE, 0)</f>
        <v>0</v>
      </c>
      <c r="K21" s="4" cm="1">
        <f t="array" ref="K21">_xlfn.IFS('ProductSprint Backlog'!$F21="", "", AND('ProductSprint Backlog'!$J21&gt;K$2,'ProductSprint Backlog'!$I21&lt;=K$2), 'ProductSprint Backlog'!$F21 / MAX(1, 'ProductSprint Backlog'!$J21-'ProductSprint Backlog'!$I21), AND('ProductSprint Backlog'!$J21=K$2,'ProductSprint Backlog'!$I21=K$2), 'ProductSprint Backlog'!$F21, TRUE, 0)</f>
        <v>0</v>
      </c>
      <c r="L21" s="4" cm="1">
        <f t="array" ref="L21">_xlfn.IFS('ProductSprint Backlog'!$F21="", "", AND('ProductSprint Backlog'!$J21&gt;L$2,'ProductSprint Backlog'!$I21&lt;=L$2), 'ProductSprint Backlog'!$F21 / MAX(1, 'ProductSprint Backlog'!$J21-'ProductSprint Backlog'!$I21), AND('ProductSprint Backlog'!$J21=L$2,'ProductSprint Backlog'!$I21=L$2), 'ProductSprint Backlog'!$F21, TRUE, 0)</f>
        <v>0</v>
      </c>
      <c r="M21" s="4" cm="1">
        <f t="array" ref="M21">_xlfn.IFS('ProductSprint Backlog'!$F21="", "", AND('ProductSprint Backlog'!$J21&gt;M$2,'ProductSprint Backlog'!$I21&lt;=M$2), 'ProductSprint Backlog'!$F21 / MAX(1, 'ProductSprint Backlog'!$J21-'ProductSprint Backlog'!$I21), AND('ProductSprint Backlog'!$J21=M$2,'ProductSprint Backlog'!$I21=M$2), 'ProductSprint Backlog'!$F21, TRUE, 0)</f>
        <v>0</v>
      </c>
      <c r="N21" s="4" cm="1">
        <f t="array" ref="N21">_xlfn.IFS('ProductSprint Backlog'!$F21="", "", AND('ProductSprint Backlog'!$J21&gt;N$2,'ProductSprint Backlog'!$I21&lt;=N$2), 'ProductSprint Backlog'!$F21 / MAX(1, 'ProductSprint Backlog'!$J21-'ProductSprint Backlog'!$I21), AND('ProductSprint Backlog'!$J21=N$2,'ProductSprint Backlog'!$I21=N$2), 'ProductSprint Backlog'!$F21, TRUE, 0)</f>
        <v>0</v>
      </c>
      <c r="O21" s="4" cm="1">
        <f t="array" ref="O21">_xlfn.IFS('ProductSprint Backlog'!$F21="", "", AND('ProductSprint Backlog'!$J21&gt;O$2,'ProductSprint Backlog'!$I21&lt;=O$2), 'ProductSprint Backlog'!$F21 / MAX(1, 'ProductSprint Backlog'!$J21-'ProductSprint Backlog'!$I21), AND('ProductSprint Backlog'!$J21=O$2,'ProductSprint Backlog'!$I21=O$2), 'ProductSprint Backlog'!$F21, TRUE, 0)</f>
        <v>0</v>
      </c>
      <c r="P21" s="4" cm="1">
        <f t="array" ref="P21">_xlfn.IFS('ProductSprint Backlog'!$F21="", "", AND('ProductSprint Backlog'!$J21&gt;P$2,'ProductSprint Backlog'!$I21&lt;=P$2), 'ProductSprint Backlog'!$F21 / MAX(1, 'ProductSprint Backlog'!$J21-'ProductSprint Backlog'!$I21), AND('ProductSprint Backlog'!$J21=P$2,'ProductSprint Backlog'!$I21=P$2), 'ProductSprint Backlog'!$F21, TRUE, 0)</f>
        <v>0</v>
      </c>
      <c r="Q21" s="4" cm="1">
        <f t="array" ref="Q21">_xlfn.IFS('ProductSprint Backlog'!$F21="", "", AND('ProductSprint Backlog'!$J21&gt;Q$2,'ProductSprint Backlog'!$I21&lt;=Q$2), 'ProductSprint Backlog'!$F21 / MAX(1, 'ProductSprint Backlog'!$J21-'ProductSprint Backlog'!$I21), AND('ProductSprint Backlog'!$J21=Q$2,'ProductSprint Backlog'!$I21=Q$2), 'ProductSprint Backlog'!$F21, TRUE, 0)</f>
        <v>0</v>
      </c>
      <c r="R21" s="4" cm="1">
        <f t="array" ref="R21">_xlfn.IFS('ProductSprint Backlog'!$F21="", "", AND('ProductSprint Backlog'!$J21&gt;R$2,'ProductSprint Backlog'!$I21&lt;=R$2), 'ProductSprint Backlog'!$F21 / MAX(1, 'ProductSprint Backlog'!$J21-'ProductSprint Backlog'!$I21), AND('ProductSprint Backlog'!$J21=R$2,'ProductSprint Backlog'!$I21=R$2), 'ProductSprint Backlog'!$F21, TRUE, 0)</f>
        <v>0</v>
      </c>
      <c r="S21" s="4" cm="1">
        <f t="array" ref="S21">_xlfn.IFS('ProductSprint Backlog'!$F21="", "", AND('ProductSprint Backlog'!$J21&gt;S$2,'ProductSprint Backlog'!$I21&lt;=S$2), 'ProductSprint Backlog'!$F21 / MAX(1, 'ProductSprint Backlog'!$J21-'ProductSprint Backlog'!$I21), AND('ProductSprint Backlog'!$J21=S$2,'ProductSprint Backlog'!$I21=S$2), 'ProductSprint Backlog'!$F21, TRUE, 0)</f>
        <v>0</v>
      </c>
      <c r="T21" s="4" cm="1">
        <f t="array" ref="T21">_xlfn.IFS('ProductSprint Backlog'!$F21="", "", AND('ProductSprint Backlog'!$J21&gt;T$2,'ProductSprint Backlog'!$I21&lt;=T$2), 'ProductSprint Backlog'!$F21 / MAX(1, 'ProductSprint Backlog'!$J21-'ProductSprint Backlog'!$I21), AND('ProductSprint Backlog'!$J21=T$2,'ProductSprint Backlog'!$I21=T$2), 'ProductSprint Backlog'!$F21, TRUE, 0)</f>
        <v>0</v>
      </c>
    </row>
    <row r="22" spans="2:20" x14ac:dyDescent="0.2">
      <c r="B22" s="4" cm="1">
        <f t="array" ref="B22">_xlfn.IFS('ProductSprint Backlog'!$F22="", "", AND('ProductSprint Backlog'!$J22&gt;B$2,'ProductSprint Backlog'!$I22&lt;=B$2), 'ProductSprint Backlog'!$F22 / MAX(1, 'ProductSprint Backlog'!$J22-'ProductSprint Backlog'!$I22), AND('ProductSprint Backlog'!$J22=B$2,'ProductSprint Backlog'!$I22=B$2), 'ProductSprint Backlog'!$F22, TRUE, 0)</f>
        <v>0</v>
      </c>
      <c r="C22" s="4" cm="1">
        <f t="array" ref="C22">_xlfn.IFS('ProductSprint Backlog'!$F22="", "", AND('ProductSprint Backlog'!$J22&gt;C$2,'ProductSprint Backlog'!$I22&lt;=C$2), 'ProductSprint Backlog'!$F22 / MAX(1, 'ProductSprint Backlog'!$J22-'ProductSprint Backlog'!$I22), AND('ProductSprint Backlog'!$J22=C$2,'ProductSprint Backlog'!$I22=C$2), 'ProductSprint Backlog'!$F22, TRUE, 0)</f>
        <v>0</v>
      </c>
      <c r="D22" s="4" cm="1">
        <f t="array" ref="D22">_xlfn.IFS('ProductSprint Backlog'!$F22="", "", AND('ProductSprint Backlog'!$J22&gt;D$2,'ProductSprint Backlog'!$I22&lt;=D$2), 'ProductSprint Backlog'!$F22 / MAX(1, 'ProductSprint Backlog'!$J22-'ProductSprint Backlog'!$I22), AND('ProductSprint Backlog'!$J22=D$2,'ProductSprint Backlog'!$I22=D$2), 'ProductSprint Backlog'!$F22, TRUE, 0)</f>
        <v>0</v>
      </c>
      <c r="E22" s="4" cm="1">
        <f t="array" ref="E22">_xlfn.IFS('ProductSprint Backlog'!$F22="", "", AND('ProductSprint Backlog'!$J22&gt;E$2,'ProductSprint Backlog'!$I22&lt;=E$2), 'ProductSprint Backlog'!$F22 / MAX(1, 'ProductSprint Backlog'!$J22-'ProductSprint Backlog'!$I22), AND('ProductSprint Backlog'!$J22=E$2,'ProductSprint Backlog'!$I22=E$2), 'ProductSprint Backlog'!$F22, TRUE, 0)</f>
        <v>0</v>
      </c>
      <c r="F22" s="4" cm="1">
        <f t="array" ref="F22">_xlfn.IFS('ProductSprint Backlog'!$F22="", "", AND('ProductSprint Backlog'!$J22&gt;F$2,'ProductSprint Backlog'!$I22&lt;=F$2), 'ProductSprint Backlog'!$F22 / MAX(1, 'ProductSprint Backlog'!$J22-'ProductSprint Backlog'!$I22), AND('ProductSprint Backlog'!$J22=F$2,'ProductSprint Backlog'!$I22=F$2), 'ProductSprint Backlog'!$F22, TRUE, 0)</f>
        <v>0</v>
      </c>
      <c r="G22" s="4" cm="1">
        <f t="array" ref="G22">_xlfn.IFS('ProductSprint Backlog'!$F22="", "", AND('ProductSprint Backlog'!$J22&gt;G$2,'ProductSprint Backlog'!$I22&lt;=G$2), 'ProductSprint Backlog'!$F22 / MAX(1, 'ProductSprint Backlog'!$J22-'ProductSprint Backlog'!$I22), AND('ProductSprint Backlog'!$J22=G$2,'ProductSprint Backlog'!$I22=G$2), 'ProductSprint Backlog'!$F22, TRUE, 0)</f>
        <v>0</v>
      </c>
      <c r="H22" s="4" cm="1">
        <f t="array" ref="H22">_xlfn.IFS('ProductSprint Backlog'!$F22="", "", AND('ProductSprint Backlog'!$J22&gt;H$2,'ProductSprint Backlog'!$I22&lt;=H$2), 'ProductSprint Backlog'!$F22 / MAX(1, 'ProductSprint Backlog'!$J22-'ProductSprint Backlog'!$I22), AND('ProductSprint Backlog'!$J22=H$2,'ProductSprint Backlog'!$I22=H$2), 'ProductSprint Backlog'!$F22, TRUE, 0)</f>
        <v>0</v>
      </c>
      <c r="I22" s="4" cm="1">
        <f t="array" ref="I22">_xlfn.IFS('ProductSprint Backlog'!$F22="", "", AND('ProductSprint Backlog'!$J22&gt;I$2,'ProductSprint Backlog'!$I22&lt;=I$2), 'ProductSprint Backlog'!$F22 / MAX(1, 'ProductSprint Backlog'!$J22-'ProductSprint Backlog'!$I22), AND('ProductSprint Backlog'!$J22=I$2,'ProductSprint Backlog'!$I22=I$2), 'ProductSprint Backlog'!$F22, TRUE, 0)</f>
        <v>0</v>
      </c>
      <c r="J22" s="4" cm="1">
        <f t="array" ref="J22">_xlfn.IFS('ProductSprint Backlog'!$F22="", "", AND('ProductSprint Backlog'!$J22&gt;J$2,'ProductSprint Backlog'!$I22&lt;=J$2), 'ProductSprint Backlog'!$F22 / MAX(1, 'ProductSprint Backlog'!$J22-'ProductSprint Backlog'!$I22), AND('ProductSprint Backlog'!$J22=J$2,'ProductSprint Backlog'!$I22=J$2), 'ProductSprint Backlog'!$F22, TRUE, 0)</f>
        <v>0</v>
      </c>
      <c r="K22" s="4" cm="1">
        <f t="array" ref="K22">_xlfn.IFS('ProductSprint Backlog'!$F22="", "", AND('ProductSprint Backlog'!$J22&gt;K$2,'ProductSprint Backlog'!$I22&lt;=K$2), 'ProductSprint Backlog'!$F22 / MAX(1, 'ProductSprint Backlog'!$J22-'ProductSprint Backlog'!$I22), AND('ProductSprint Backlog'!$J22=K$2,'ProductSprint Backlog'!$I22=K$2), 'ProductSprint Backlog'!$F22, TRUE, 0)</f>
        <v>0</v>
      </c>
      <c r="L22" s="4" cm="1">
        <f t="array" ref="L22">_xlfn.IFS('ProductSprint Backlog'!$F22="", "", AND('ProductSprint Backlog'!$J22&gt;L$2,'ProductSprint Backlog'!$I22&lt;=L$2), 'ProductSprint Backlog'!$F22 / MAX(1, 'ProductSprint Backlog'!$J22-'ProductSprint Backlog'!$I22), AND('ProductSprint Backlog'!$J22=L$2,'ProductSprint Backlog'!$I22=L$2), 'ProductSprint Backlog'!$F22, TRUE, 0)</f>
        <v>0</v>
      </c>
      <c r="M22" s="4" cm="1">
        <f t="array" ref="M22">_xlfn.IFS('ProductSprint Backlog'!$F22="", "", AND('ProductSprint Backlog'!$J22&gt;M$2,'ProductSprint Backlog'!$I22&lt;=M$2), 'ProductSprint Backlog'!$F22 / MAX(1, 'ProductSprint Backlog'!$J22-'ProductSprint Backlog'!$I22), AND('ProductSprint Backlog'!$J22=M$2,'ProductSprint Backlog'!$I22=M$2), 'ProductSprint Backlog'!$F22, TRUE, 0)</f>
        <v>0</v>
      </c>
      <c r="N22" s="4" cm="1">
        <f t="array" ref="N22">_xlfn.IFS('ProductSprint Backlog'!$F22="", "", AND('ProductSprint Backlog'!$J22&gt;N$2,'ProductSprint Backlog'!$I22&lt;=N$2), 'ProductSprint Backlog'!$F22 / MAX(1, 'ProductSprint Backlog'!$J22-'ProductSprint Backlog'!$I22), AND('ProductSprint Backlog'!$J22=N$2,'ProductSprint Backlog'!$I22=N$2), 'ProductSprint Backlog'!$F22, TRUE, 0)</f>
        <v>0</v>
      </c>
      <c r="O22" s="4" cm="1">
        <f t="array" ref="O22">_xlfn.IFS('ProductSprint Backlog'!$F22="", "", AND('ProductSprint Backlog'!$J22&gt;O$2,'ProductSprint Backlog'!$I22&lt;=O$2), 'ProductSprint Backlog'!$F22 / MAX(1, 'ProductSprint Backlog'!$J22-'ProductSprint Backlog'!$I22), AND('ProductSprint Backlog'!$J22=O$2,'ProductSprint Backlog'!$I22=O$2), 'ProductSprint Backlog'!$F22, TRUE, 0)</f>
        <v>0</v>
      </c>
      <c r="P22" s="4" cm="1">
        <f t="array" ref="P22">_xlfn.IFS('ProductSprint Backlog'!$F22="", "", AND('ProductSprint Backlog'!$J22&gt;P$2,'ProductSprint Backlog'!$I22&lt;=P$2), 'ProductSprint Backlog'!$F22 / MAX(1, 'ProductSprint Backlog'!$J22-'ProductSprint Backlog'!$I22), AND('ProductSprint Backlog'!$J22=P$2,'ProductSprint Backlog'!$I22=P$2), 'ProductSprint Backlog'!$F22, TRUE, 0)</f>
        <v>0</v>
      </c>
      <c r="Q22" s="4" cm="1">
        <f t="array" ref="Q22">_xlfn.IFS('ProductSprint Backlog'!$F22="", "", AND('ProductSprint Backlog'!$J22&gt;Q$2,'ProductSprint Backlog'!$I22&lt;=Q$2), 'ProductSprint Backlog'!$F22 / MAX(1, 'ProductSprint Backlog'!$J22-'ProductSprint Backlog'!$I22), AND('ProductSprint Backlog'!$J22=Q$2,'ProductSprint Backlog'!$I22=Q$2), 'ProductSprint Backlog'!$F22, TRUE, 0)</f>
        <v>0</v>
      </c>
      <c r="R22" s="4" cm="1">
        <f t="array" ref="R22">_xlfn.IFS('ProductSprint Backlog'!$F22="", "", AND('ProductSprint Backlog'!$J22&gt;R$2,'ProductSprint Backlog'!$I22&lt;=R$2), 'ProductSprint Backlog'!$F22 / MAX(1, 'ProductSprint Backlog'!$J22-'ProductSprint Backlog'!$I22), AND('ProductSprint Backlog'!$J22=R$2,'ProductSprint Backlog'!$I22=R$2), 'ProductSprint Backlog'!$F22, TRUE, 0)</f>
        <v>0</v>
      </c>
      <c r="S22" s="4" cm="1">
        <f t="array" ref="S22">_xlfn.IFS('ProductSprint Backlog'!$F22="", "", AND('ProductSprint Backlog'!$J22&gt;S$2,'ProductSprint Backlog'!$I22&lt;=S$2), 'ProductSprint Backlog'!$F22 / MAX(1, 'ProductSprint Backlog'!$J22-'ProductSprint Backlog'!$I22), AND('ProductSprint Backlog'!$J22=S$2,'ProductSprint Backlog'!$I22=S$2), 'ProductSprint Backlog'!$F22, TRUE, 0)</f>
        <v>0</v>
      </c>
      <c r="T22" s="4" cm="1">
        <f t="array" ref="T22">_xlfn.IFS('ProductSprint Backlog'!$F22="", "", AND('ProductSprint Backlog'!$J22&gt;T$2,'ProductSprint Backlog'!$I22&lt;=T$2), 'ProductSprint Backlog'!$F22 / MAX(1, 'ProductSprint Backlog'!$J22-'ProductSprint Backlog'!$I22), AND('ProductSprint Backlog'!$J22=T$2,'ProductSprint Backlog'!$I22=T$2), 'ProductSprint Backlog'!$F22, TRUE, 0)</f>
        <v>0</v>
      </c>
    </row>
    <row r="23" spans="2:20" x14ac:dyDescent="0.2">
      <c r="B23" s="4" t="str" cm="1">
        <f t="array" ref="B23">_xlfn.IFS('ProductSprint Backlog'!$F23="", "", AND('ProductSprint Backlog'!$J23&gt;B$2,'ProductSprint Backlog'!$I23&lt;=B$2), 'ProductSprint Backlog'!$F23 / MAX(1, 'ProductSprint Backlog'!$J23-'ProductSprint Backlog'!$I23), AND('ProductSprint Backlog'!$J23=B$2,'ProductSprint Backlog'!$I23=B$2), 'ProductSprint Backlog'!$F23, TRUE, 0)</f>
        <v/>
      </c>
      <c r="C23" s="4" t="str" cm="1">
        <f t="array" ref="C23">_xlfn.IFS('ProductSprint Backlog'!$F23="", "", AND('ProductSprint Backlog'!$J23&gt;C$2,'ProductSprint Backlog'!$I23&lt;=C$2), 'ProductSprint Backlog'!$F23 / MAX(1, 'ProductSprint Backlog'!$J23-'ProductSprint Backlog'!$I23), AND('ProductSprint Backlog'!$J23=C$2,'ProductSprint Backlog'!$I23=C$2), 'ProductSprint Backlog'!$F23, TRUE, 0)</f>
        <v/>
      </c>
      <c r="D23" s="4" t="str" cm="1">
        <f t="array" ref="D23">_xlfn.IFS('ProductSprint Backlog'!$F23="", "", AND('ProductSprint Backlog'!$J23&gt;D$2,'ProductSprint Backlog'!$I23&lt;=D$2), 'ProductSprint Backlog'!$F23 / MAX(1, 'ProductSprint Backlog'!$J23-'ProductSprint Backlog'!$I23), AND('ProductSprint Backlog'!$J23=D$2,'ProductSprint Backlog'!$I23=D$2), 'ProductSprint Backlog'!$F23, TRUE, 0)</f>
        <v/>
      </c>
      <c r="E23" s="4" t="str" cm="1">
        <f t="array" ref="E23">_xlfn.IFS('ProductSprint Backlog'!$F23="", "", AND('ProductSprint Backlog'!$J23&gt;E$2,'ProductSprint Backlog'!$I23&lt;=E$2), 'ProductSprint Backlog'!$F23 / MAX(1, 'ProductSprint Backlog'!$J23-'ProductSprint Backlog'!$I23), AND('ProductSprint Backlog'!$J23=E$2,'ProductSprint Backlog'!$I23=E$2), 'ProductSprint Backlog'!$F23, TRUE, 0)</f>
        <v/>
      </c>
      <c r="F23" s="4" t="str" cm="1">
        <f t="array" ref="F23">_xlfn.IFS('ProductSprint Backlog'!$F23="", "", AND('ProductSprint Backlog'!$J23&gt;F$2,'ProductSprint Backlog'!$I23&lt;=F$2), 'ProductSprint Backlog'!$F23 / MAX(1, 'ProductSprint Backlog'!$J23-'ProductSprint Backlog'!$I23), AND('ProductSprint Backlog'!$J23=F$2,'ProductSprint Backlog'!$I23=F$2), 'ProductSprint Backlog'!$F23, TRUE, 0)</f>
        <v/>
      </c>
      <c r="G23" s="4" t="str" cm="1">
        <f t="array" ref="G23">_xlfn.IFS('ProductSprint Backlog'!$F23="", "", AND('ProductSprint Backlog'!$J23&gt;G$2,'ProductSprint Backlog'!$I23&lt;=G$2), 'ProductSprint Backlog'!$F23 / MAX(1, 'ProductSprint Backlog'!$J23-'ProductSprint Backlog'!$I23), AND('ProductSprint Backlog'!$J23=G$2,'ProductSprint Backlog'!$I23=G$2), 'ProductSprint Backlog'!$F23, TRUE, 0)</f>
        <v/>
      </c>
      <c r="H23" s="4" t="str" cm="1">
        <f t="array" ref="H23">_xlfn.IFS('ProductSprint Backlog'!$F23="", "", AND('ProductSprint Backlog'!$J23&gt;H$2,'ProductSprint Backlog'!$I23&lt;=H$2), 'ProductSprint Backlog'!$F23 / MAX(1, 'ProductSprint Backlog'!$J23-'ProductSprint Backlog'!$I23), AND('ProductSprint Backlog'!$J23=H$2,'ProductSprint Backlog'!$I23=H$2), 'ProductSprint Backlog'!$F23, TRUE, 0)</f>
        <v/>
      </c>
      <c r="I23" s="4" t="str" cm="1">
        <f t="array" ref="I23">_xlfn.IFS('ProductSprint Backlog'!$F23="", "", AND('ProductSprint Backlog'!$J23&gt;I$2,'ProductSprint Backlog'!$I23&lt;=I$2), 'ProductSprint Backlog'!$F23 / MAX(1, 'ProductSprint Backlog'!$J23-'ProductSprint Backlog'!$I23), AND('ProductSprint Backlog'!$J23=I$2,'ProductSprint Backlog'!$I23=I$2), 'ProductSprint Backlog'!$F23, TRUE, 0)</f>
        <v/>
      </c>
      <c r="J23" s="4" t="str" cm="1">
        <f t="array" ref="J23">_xlfn.IFS('ProductSprint Backlog'!$F23="", "", AND('ProductSprint Backlog'!$J23&gt;J$2,'ProductSprint Backlog'!$I23&lt;=J$2), 'ProductSprint Backlog'!$F23 / MAX(1, 'ProductSprint Backlog'!$J23-'ProductSprint Backlog'!$I23), AND('ProductSprint Backlog'!$J23=J$2,'ProductSprint Backlog'!$I23=J$2), 'ProductSprint Backlog'!$F23, TRUE, 0)</f>
        <v/>
      </c>
      <c r="K23" s="4" t="str" cm="1">
        <f t="array" ref="K23">_xlfn.IFS('ProductSprint Backlog'!$F23="", "", AND('ProductSprint Backlog'!$J23&gt;K$2,'ProductSprint Backlog'!$I23&lt;=K$2), 'ProductSprint Backlog'!$F23 / MAX(1, 'ProductSprint Backlog'!$J23-'ProductSprint Backlog'!$I23), AND('ProductSprint Backlog'!$J23=K$2,'ProductSprint Backlog'!$I23=K$2), 'ProductSprint Backlog'!$F23, TRUE, 0)</f>
        <v/>
      </c>
      <c r="L23" s="4" t="str" cm="1">
        <f t="array" ref="L23">_xlfn.IFS('ProductSprint Backlog'!$F23="", "", AND('ProductSprint Backlog'!$J23&gt;L$2,'ProductSprint Backlog'!$I23&lt;=L$2), 'ProductSprint Backlog'!$F23 / MAX(1, 'ProductSprint Backlog'!$J23-'ProductSprint Backlog'!$I23), AND('ProductSprint Backlog'!$J23=L$2,'ProductSprint Backlog'!$I23=L$2), 'ProductSprint Backlog'!$F23, TRUE, 0)</f>
        <v/>
      </c>
      <c r="M23" s="4" t="str" cm="1">
        <f t="array" ref="M23">_xlfn.IFS('ProductSprint Backlog'!$F23="", "", AND('ProductSprint Backlog'!$J23&gt;M$2,'ProductSprint Backlog'!$I23&lt;=M$2), 'ProductSprint Backlog'!$F23 / MAX(1, 'ProductSprint Backlog'!$J23-'ProductSprint Backlog'!$I23), AND('ProductSprint Backlog'!$J23=M$2,'ProductSprint Backlog'!$I23=M$2), 'ProductSprint Backlog'!$F23, TRUE, 0)</f>
        <v/>
      </c>
      <c r="N23" s="4" t="str" cm="1">
        <f t="array" ref="N23">_xlfn.IFS('ProductSprint Backlog'!$F23="", "", AND('ProductSprint Backlog'!$J23&gt;N$2,'ProductSprint Backlog'!$I23&lt;=N$2), 'ProductSprint Backlog'!$F23 / MAX(1, 'ProductSprint Backlog'!$J23-'ProductSprint Backlog'!$I23), AND('ProductSprint Backlog'!$J23=N$2,'ProductSprint Backlog'!$I23=N$2), 'ProductSprint Backlog'!$F23, TRUE, 0)</f>
        <v/>
      </c>
      <c r="O23" s="4" t="str" cm="1">
        <f t="array" ref="O23">_xlfn.IFS('ProductSprint Backlog'!$F23="", "", AND('ProductSprint Backlog'!$J23&gt;O$2,'ProductSprint Backlog'!$I23&lt;=O$2), 'ProductSprint Backlog'!$F23 / MAX(1, 'ProductSprint Backlog'!$J23-'ProductSprint Backlog'!$I23), AND('ProductSprint Backlog'!$J23=O$2,'ProductSprint Backlog'!$I23=O$2), 'ProductSprint Backlog'!$F23, TRUE, 0)</f>
        <v/>
      </c>
      <c r="P23" s="4" t="str" cm="1">
        <f t="array" ref="P23">_xlfn.IFS('ProductSprint Backlog'!$F23="", "", AND('ProductSprint Backlog'!$J23&gt;P$2,'ProductSprint Backlog'!$I23&lt;=P$2), 'ProductSprint Backlog'!$F23 / MAX(1, 'ProductSprint Backlog'!$J23-'ProductSprint Backlog'!$I23), AND('ProductSprint Backlog'!$J23=P$2,'ProductSprint Backlog'!$I23=P$2), 'ProductSprint Backlog'!$F23, TRUE, 0)</f>
        <v/>
      </c>
      <c r="Q23" s="4" t="str" cm="1">
        <f t="array" ref="Q23">_xlfn.IFS('ProductSprint Backlog'!$F23="", "", AND('ProductSprint Backlog'!$J23&gt;Q$2,'ProductSprint Backlog'!$I23&lt;=Q$2), 'ProductSprint Backlog'!$F23 / MAX(1, 'ProductSprint Backlog'!$J23-'ProductSprint Backlog'!$I23), AND('ProductSprint Backlog'!$J23=Q$2,'ProductSprint Backlog'!$I23=Q$2), 'ProductSprint Backlog'!$F23, TRUE, 0)</f>
        <v/>
      </c>
      <c r="R23" s="4" t="str" cm="1">
        <f t="array" ref="R23">_xlfn.IFS('ProductSprint Backlog'!$F23="", "", AND('ProductSprint Backlog'!$J23&gt;R$2,'ProductSprint Backlog'!$I23&lt;=R$2), 'ProductSprint Backlog'!$F23 / MAX(1, 'ProductSprint Backlog'!$J23-'ProductSprint Backlog'!$I23), AND('ProductSprint Backlog'!$J23=R$2,'ProductSprint Backlog'!$I23=R$2), 'ProductSprint Backlog'!$F23, TRUE, 0)</f>
        <v/>
      </c>
      <c r="S23" s="4" t="str" cm="1">
        <f t="array" ref="S23">_xlfn.IFS('ProductSprint Backlog'!$F23="", "", AND('ProductSprint Backlog'!$J23&gt;S$2,'ProductSprint Backlog'!$I23&lt;=S$2), 'ProductSprint Backlog'!$F23 / MAX(1, 'ProductSprint Backlog'!$J23-'ProductSprint Backlog'!$I23), AND('ProductSprint Backlog'!$J23=S$2,'ProductSprint Backlog'!$I23=S$2), 'ProductSprint Backlog'!$F23, TRUE, 0)</f>
        <v/>
      </c>
      <c r="T23" s="4" t="str" cm="1">
        <f t="array" ref="T23">_xlfn.IFS('ProductSprint Backlog'!$F23="", "", AND('ProductSprint Backlog'!$J23&gt;T$2,'ProductSprint Backlog'!$I23&lt;=T$2), 'ProductSprint Backlog'!$F23 / MAX(1, 'ProductSprint Backlog'!$J23-'ProductSprint Backlog'!$I23), AND('ProductSprint Backlog'!$J23=T$2,'ProductSprint Backlog'!$I23=T$2), 'ProductSprint Backlog'!$F23, TRUE, 0)</f>
        <v/>
      </c>
    </row>
    <row r="24" spans="2:20" x14ac:dyDescent="0.2">
      <c r="B24" s="4" cm="1">
        <f t="array" ref="B24">_xlfn.IFS('ProductSprint Backlog'!$F24="", "", AND('ProductSprint Backlog'!$J24&gt;B$2,'ProductSprint Backlog'!$I24&lt;=B$2), 'ProductSprint Backlog'!$F24 / MAX(1, 'ProductSprint Backlog'!$J24-'ProductSprint Backlog'!$I24), AND('ProductSprint Backlog'!$J24=B$2,'ProductSprint Backlog'!$I24=B$2), 'ProductSprint Backlog'!$F24, TRUE, 0)</f>
        <v>0</v>
      </c>
      <c r="C24" s="4" cm="1">
        <f t="array" ref="C24">_xlfn.IFS('ProductSprint Backlog'!$F24="", "", AND('ProductSprint Backlog'!$J24&gt;C$2,'ProductSprint Backlog'!$I24&lt;=C$2), 'ProductSprint Backlog'!$F24 / MAX(1, 'ProductSprint Backlog'!$J24-'ProductSprint Backlog'!$I24), AND('ProductSprint Backlog'!$J24=C$2,'ProductSprint Backlog'!$I24=C$2), 'ProductSprint Backlog'!$F24, TRUE, 0)</f>
        <v>0</v>
      </c>
      <c r="D24" s="4" cm="1">
        <f t="array" ref="D24">_xlfn.IFS('ProductSprint Backlog'!$F24="", "", AND('ProductSprint Backlog'!$J24&gt;D$2,'ProductSprint Backlog'!$I24&lt;=D$2), 'ProductSprint Backlog'!$F24 / MAX(1, 'ProductSprint Backlog'!$J24-'ProductSprint Backlog'!$I24), AND('ProductSprint Backlog'!$J24=D$2,'ProductSprint Backlog'!$I24=D$2), 'ProductSprint Backlog'!$F24, TRUE, 0)</f>
        <v>0</v>
      </c>
      <c r="E24" s="4" cm="1">
        <f t="array" ref="E24">_xlfn.IFS('ProductSprint Backlog'!$F24="", "", AND('ProductSprint Backlog'!$J24&gt;E$2,'ProductSprint Backlog'!$I24&lt;=E$2), 'ProductSprint Backlog'!$F24 / MAX(1, 'ProductSprint Backlog'!$J24-'ProductSprint Backlog'!$I24), AND('ProductSprint Backlog'!$J24=E$2,'ProductSprint Backlog'!$I24=E$2), 'ProductSprint Backlog'!$F24, TRUE, 0)</f>
        <v>0</v>
      </c>
      <c r="F24" s="4" cm="1">
        <f t="array" ref="F24">_xlfn.IFS('ProductSprint Backlog'!$F24="", "", AND('ProductSprint Backlog'!$J24&gt;F$2,'ProductSprint Backlog'!$I24&lt;=F$2), 'ProductSprint Backlog'!$F24 / MAX(1, 'ProductSprint Backlog'!$J24-'ProductSprint Backlog'!$I24), AND('ProductSprint Backlog'!$J24=F$2,'ProductSprint Backlog'!$I24=F$2), 'ProductSprint Backlog'!$F24, TRUE, 0)</f>
        <v>0</v>
      </c>
      <c r="G24" s="4" cm="1">
        <f t="array" ref="G24">_xlfn.IFS('ProductSprint Backlog'!$F24="", "", AND('ProductSprint Backlog'!$J24&gt;G$2,'ProductSprint Backlog'!$I24&lt;=G$2), 'ProductSprint Backlog'!$F24 / MAX(1, 'ProductSprint Backlog'!$J24-'ProductSprint Backlog'!$I24), AND('ProductSprint Backlog'!$J24=G$2,'ProductSprint Backlog'!$I24=G$2), 'ProductSprint Backlog'!$F24, TRUE, 0)</f>
        <v>0</v>
      </c>
      <c r="H24" s="4" cm="1">
        <f t="array" ref="H24">_xlfn.IFS('ProductSprint Backlog'!$F24="", "", AND('ProductSprint Backlog'!$J24&gt;H$2,'ProductSprint Backlog'!$I24&lt;=H$2), 'ProductSprint Backlog'!$F24 / MAX(1, 'ProductSprint Backlog'!$J24-'ProductSprint Backlog'!$I24), AND('ProductSprint Backlog'!$J24=H$2,'ProductSprint Backlog'!$I24=H$2), 'ProductSprint Backlog'!$F24, TRUE, 0)</f>
        <v>0</v>
      </c>
      <c r="I24" s="4" cm="1">
        <f t="array" ref="I24">_xlfn.IFS('ProductSprint Backlog'!$F24="", "", AND('ProductSprint Backlog'!$J24&gt;I$2,'ProductSprint Backlog'!$I24&lt;=I$2), 'ProductSprint Backlog'!$F24 / MAX(1, 'ProductSprint Backlog'!$J24-'ProductSprint Backlog'!$I24), AND('ProductSprint Backlog'!$J24=I$2,'ProductSprint Backlog'!$I24=I$2), 'ProductSprint Backlog'!$F24, TRUE, 0)</f>
        <v>0</v>
      </c>
      <c r="J24" s="4" cm="1">
        <f t="array" ref="J24">_xlfn.IFS('ProductSprint Backlog'!$F24="", "", AND('ProductSprint Backlog'!$J24&gt;J$2,'ProductSprint Backlog'!$I24&lt;=J$2), 'ProductSprint Backlog'!$F24 / MAX(1, 'ProductSprint Backlog'!$J24-'ProductSprint Backlog'!$I24), AND('ProductSprint Backlog'!$J24=J$2,'ProductSprint Backlog'!$I24=J$2), 'ProductSprint Backlog'!$F24, TRUE, 0)</f>
        <v>0</v>
      </c>
      <c r="K24" s="4" cm="1">
        <f t="array" ref="K24">_xlfn.IFS('ProductSprint Backlog'!$F24="", "", AND('ProductSprint Backlog'!$J24&gt;K$2,'ProductSprint Backlog'!$I24&lt;=K$2), 'ProductSprint Backlog'!$F24 / MAX(1, 'ProductSprint Backlog'!$J24-'ProductSprint Backlog'!$I24), AND('ProductSprint Backlog'!$J24=K$2,'ProductSprint Backlog'!$I24=K$2), 'ProductSprint Backlog'!$F24, TRUE, 0)</f>
        <v>0</v>
      </c>
      <c r="L24" s="4" cm="1">
        <f t="array" ref="L24">_xlfn.IFS('ProductSprint Backlog'!$F24="", "", AND('ProductSprint Backlog'!$J24&gt;L$2,'ProductSprint Backlog'!$I24&lt;=L$2), 'ProductSprint Backlog'!$F24 / MAX(1, 'ProductSprint Backlog'!$J24-'ProductSprint Backlog'!$I24), AND('ProductSprint Backlog'!$J24=L$2,'ProductSprint Backlog'!$I24=L$2), 'ProductSprint Backlog'!$F24, TRUE, 0)</f>
        <v>0</v>
      </c>
      <c r="M24" s="4" cm="1">
        <f t="array" ref="M24">_xlfn.IFS('ProductSprint Backlog'!$F24="", "", AND('ProductSprint Backlog'!$J24&gt;M$2,'ProductSprint Backlog'!$I24&lt;=M$2), 'ProductSprint Backlog'!$F24 / MAX(1, 'ProductSprint Backlog'!$J24-'ProductSprint Backlog'!$I24), AND('ProductSprint Backlog'!$J24=M$2,'ProductSprint Backlog'!$I24=M$2), 'ProductSprint Backlog'!$F24, TRUE, 0)</f>
        <v>0</v>
      </c>
      <c r="N24" s="4" cm="1">
        <f t="array" ref="N24">_xlfn.IFS('ProductSprint Backlog'!$F24="", "", AND('ProductSprint Backlog'!$J24&gt;N$2,'ProductSprint Backlog'!$I24&lt;=N$2), 'ProductSprint Backlog'!$F24 / MAX(1, 'ProductSprint Backlog'!$J24-'ProductSprint Backlog'!$I24), AND('ProductSprint Backlog'!$J24=N$2,'ProductSprint Backlog'!$I24=N$2), 'ProductSprint Backlog'!$F24, TRUE, 0)</f>
        <v>0</v>
      </c>
      <c r="O24" s="4" cm="1">
        <f t="array" ref="O24">_xlfn.IFS('ProductSprint Backlog'!$F24="", "", AND('ProductSprint Backlog'!$J24&gt;O$2,'ProductSprint Backlog'!$I24&lt;=O$2), 'ProductSprint Backlog'!$F24 / MAX(1, 'ProductSprint Backlog'!$J24-'ProductSprint Backlog'!$I24), AND('ProductSprint Backlog'!$J24=O$2,'ProductSprint Backlog'!$I24=O$2), 'ProductSprint Backlog'!$F24, TRUE, 0)</f>
        <v>0</v>
      </c>
      <c r="P24" s="4" cm="1">
        <f t="array" ref="P24">_xlfn.IFS('ProductSprint Backlog'!$F24="", "", AND('ProductSprint Backlog'!$J24&gt;P$2,'ProductSprint Backlog'!$I24&lt;=P$2), 'ProductSprint Backlog'!$F24 / MAX(1, 'ProductSprint Backlog'!$J24-'ProductSprint Backlog'!$I24), AND('ProductSprint Backlog'!$J24=P$2,'ProductSprint Backlog'!$I24=P$2), 'ProductSprint Backlog'!$F24, TRUE, 0)</f>
        <v>0</v>
      </c>
      <c r="Q24" s="4" cm="1">
        <f t="array" ref="Q24">_xlfn.IFS('ProductSprint Backlog'!$F24="", "", AND('ProductSprint Backlog'!$J24&gt;Q$2,'ProductSprint Backlog'!$I24&lt;=Q$2), 'ProductSprint Backlog'!$F24 / MAX(1, 'ProductSprint Backlog'!$J24-'ProductSprint Backlog'!$I24), AND('ProductSprint Backlog'!$J24=Q$2,'ProductSprint Backlog'!$I24=Q$2), 'ProductSprint Backlog'!$F24, TRUE, 0)</f>
        <v>0</v>
      </c>
      <c r="R24" s="4" cm="1">
        <f t="array" ref="R24">_xlfn.IFS('ProductSprint Backlog'!$F24="", "", AND('ProductSprint Backlog'!$J24&gt;R$2,'ProductSprint Backlog'!$I24&lt;=R$2), 'ProductSprint Backlog'!$F24 / MAX(1, 'ProductSprint Backlog'!$J24-'ProductSprint Backlog'!$I24), AND('ProductSprint Backlog'!$J24=R$2,'ProductSprint Backlog'!$I24=R$2), 'ProductSprint Backlog'!$F24, TRUE, 0)</f>
        <v>0</v>
      </c>
      <c r="S24" s="4" cm="1">
        <f t="array" ref="S24">_xlfn.IFS('ProductSprint Backlog'!$F24="", "", AND('ProductSprint Backlog'!$J24&gt;S$2,'ProductSprint Backlog'!$I24&lt;=S$2), 'ProductSprint Backlog'!$F24 / MAX(1, 'ProductSprint Backlog'!$J24-'ProductSprint Backlog'!$I24), AND('ProductSprint Backlog'!$J24=S$2,'ProductSprint Backlog'!$I24=S$2), 'ProductSprint Backlog'!$F24, TRUE, 0)</f>
        <v>0</v>
      </c>
      <c r="T24" s="4" cm="1">
        <f t="array" ref="T24">_xlfn.IFS('ProductSprint Backlog'!$F24="", "", AND('ProductSprint Backlog'!$J24&gt;T$2,'ProductSprint Backlog'!$I24&lt;=T$2), 'ProductSprint Backlog'!$F24 / MAX(1, 'ProductSprint Backlog'!$J24-'ProductSprint Backlog'!$I24), AND('ProductSprint Backlog'!$J24=T$2,'ProductSprint Backlog'!$I24=T$2), 'ProductSprint Backlog'!$F24, TRUE, 0)</f>
        <v>0</v>
      </c>
    </row>
    <row r="25" spans="2:20" x14ac:dyDescent="0.2">
      <c r="B25" s="4" cm="1">
        <f t="array" ref="B25">_xlfn.IFS('ProductSprint Backlog'!$F25="", "", AND('ProductSprint Backlog'!$J25&gt;B$2,'ProductSprint Backlog'!$I25&lt;=B$2), 'ProductSprint Backlog'!$F25 / MAX(1, 'ProductSprint Backlog'!$J25-'ProductSprint Backlog'!$I25), AND('ProductSprint Backlog'!$J25=B$2,'ProductSprint Backlog'!$I25=B$2), 'ProductSprint Backlog'!$F25, TRUE, 0)</f>
        <v>0</v>
      </c>
      <c r="C25" s="4" cm="1">
        <f t="array" ref="C25">_xlfn.IFS('ProductSprint Backlog'!$F25="", "", AND('ProductSprint Backlog'!$J25&gt;C$2,'ProductSprint Backlog'!$I25&lt;=C$2), 'ProductSprint Backlog'!$F25 / MAX(1, 'ProductSprint Backlog'!$J25-'ProductSprint Backlog'!$I25), AND('ProductSprint Backlog'!$J25=C$2,'ProductSprint Backlog'!$I25=C$2), 'ProductSprint Backlog'!$F25, TRUE, 0)</f>
        <v>0</v>
      </c>
      <c r="D25" s="4" cm="1">
        <f t="array" ref="D25">_xlfn.IFS('ProductSprint Backlog'!$F25="", "", AND('ProductSprint Backlog'!$J25&gt;D$2,'ProductSprint Backlog'!$I25&lt;=D$2), 'ProductSprint Backlog'!$F25 / MAX(1, 'ProductSprint Backlog'!$J25-'ProductSprint Backlog'!$I25), AND('ProductSprint Backlog'!$J25=D$2,'ProductSprint Backlog'!$I25=D$2), 'ProductSprint Backlog'!$F25, TRUE, 0)</f>
        <v>0</v>
      </c>
      <c r="E25" s="4" cm="1">
        <f t="array" ref="E25">_xlfn.IFS('ProductSprint Backlog'!$F25="", "", AND('ProductSprint Backlog'!$J25&gt;E$2,'ProductSprint Backlog'!$I25&lt;=E$2), 'ProductSprint Backlog'!$F25 / MAX(1, 'ProductSprint Backlog'!$J25-'ProductSprint Backlog'!$I25), AND('ProductSprint Backlog'!$J25=E$2,'ProductSprint Backlog'!$I25=E$2), 'ProductSprint Backlog'!$F25, TRUE, 0)</f>
        <v>0</v>
      </c>
      <c r="F25" s="4" cm="1">
        <f t="array" ref="F25">_xlfn.IFS('ProductSprint Backlog'!$F25="", "", AND('ProductSprint Backlog'!$J25&gt;F$2,'ProductSprint Backlog'!$I25&lt;=F$2), 'ProductSprint Backlog'!$F25 / MAX(1, 'ProductSprint Backlog'!$J25-'ProductSprint Backlog'!$I25), AND('ProductSprint Backlog'!$J25=F$2,'ProductSprint Backlog'!$I25=F$2), 'ProductSprint Backlog'!$F25, TRUE, 0)</f>
        <v>0</v>
      </c>
      <c r="G25" s="4" cm="1">
        <f t="array" ref="G25">_xlfn.IFS('ProductSprint Backlog'!$F25="", "", AND('ProductSprint Backlog'!$J25&gt;G$2,'ProductSprint Backlog'!$I25&lt;=G$2), 'ProductSprint Backlog'!$F25 / MAX(1, 'ProductSprint Backlog'!$J25-'ProductSprint Backlog'!$I25), AND('ProductSprint Backlog'!$J25=G$2,'ProductSprint Backlog'!$I25=G$2), 'ProductSprint Backlog'!$F25, TRUE, 0)</f>
        <v>0</v>
      </c>
      <c r="H25" s="4" cm="1">
        <f t="array" ref="H25">_xlfn.IFS('ProductSprint Backlog'!$F25="", "", AND('ProductSprint Backlog'!$J25&gt;H$2,'ProductSprint Backlog'!$I25&lt;=H$2), 'ProductSprint Backlog'!$F25 / MAX(1, 'ProductSprint Backlog'!$J25-'ProductSprint Backlog'!$I25), AND('ProductSprint Backlog'!$J25=H$2,'ProductSprint Backlog'!$I25=H$2), 'ProductSprint Backlog'!$F25, TRUE, 0)</f>
        <v>0</v>
      </c>
      <c r="I25" s="4" cm="1">
        <f t="array" ref="I25">_xlfn.IFS('ProductSprint Backlog'!$F25="", "", AND('ProductSprint Backlog'!$J25&gt;I$2,'ProductSprint Backlog'!$I25&lt;=I$2), 'ProductSprint Backlog'!$F25 / MAX(1, 'ProductSprint Backlog'!$J25-'ProductSprint Backlog'!$I25), AND('ProductSprint Backlog'!$J25=I$2,'ProductSprint Backlog'!$I25=I$2), 'ProductSprint Backlog'!$F25, TRUE, 0)</f>
        <v>0</v>
      </c>
      <c r="J25" s="4" cm="1">
        <f t="array" ref="J25">_xlfn.IFS('ProductSprint Backlog'!$F25="", "", AND('ProductSprint Backlog'!$J25&gt;J$2,'ProductSprint Backlog'!$I25&lt;=J$2), 'ProductSprint Backlog'!$F25 / MAX(1, 'ProductSprint Backlog'!$J25-'ProductSprint Backlog'!$I25), AND('ProductSprint Backlog'!$J25=J$2,'ProductSprint Backlog'!$I25=J$2), 'ProductSprint Backlog'!$F25, TRUE, 0)</f>
        <v>0</v>
      </c>
      <c r="K25" s="4" cm="1">
        <f t="array" ref="K25">_xlfn.IFS('ProductSprint Backlog'!$F25="", "", AND('ProductSprint Backlog'!$J25&gt;K$2,'ProductSprint Backlog'!$I25&lt;=K$2), 'ProductSprint Backlog'!$F25 / MAX(1, 'ProductSprint Backlog'!$J25-'ProductSprint Backlog'!$I25), AND('ProductSprint Backlog'!$J25=K$2,'ProductSprint Backlog'!$I25=K$2), 'ProductSprint Backlog'!$F25, TRUE, 0)</f>
        <v>0</v>
      </c>
      <c r="L25" s="4" cm="1">
        <f t="array" ref="L25">_xlfn.IFS('ProductSprint Backlog'!$F25="", "", AND('ProductSprint Backlog'!$J25&gt;L$2,'ProductSprint Backlog'!$I25&lt;=L$2), 'ProductSprint Backlog'!$F25 / MAX(1, 'ProductSprint Backlog'!$J25-'ProductSprint Backlog'!$I25), AND('ProductSprint Backlog'!$J25=L$2,'ProductSprint Backlog'!$I25=L$2), 'ProductSprint Backlog'!$F25, TRUE, 0)</f>
        <v>0</v>
      </c>
      <c r="M25" s="4" cm="1">
        <f t="array" ref="M25">_xlfn.IFS('ProductSprint Backlog'!$F25="", "", AND('ProductSprint Backlog'!$J25&gt;M$2,'ProductSprint Backlog'!$I25&lt;=M$2), 'ProductSprint Backlog'!$F25 / MAX(1, 'ProductSprint Backlog'!$J25-'ProductSprint Backlog'!$I25), AND('ProductSprint Backlog'!$J25=M$2,'ProductSprint Backlog'!$I25=M$2), 'ProductSprint Backlog'!$F25, TRUE, 0)</f>
        <v>0</v>
      </c>
      <c r="N25" s="4" cm="1">
        <f t="array" ref="N25">_xlfn.IFS('ProductSprint Backlog'!$F25="", "", AND('ProductSprint Backlog'!$J25&gt;N$2,'ProductSprint Backlog'!$I25&lt;=N$2), 'ProductSprint Backlog'!$F25 / MAX(1, 'ProductSprint Backlog'!$J25-'ProductSprint Backlog'!$I25), AND('ProductSprint Backlog'!$J25=N$2,'ProductSprint Backlog'!$I25=N$2), 'ProductSprint Backlog'!$F25, TRUE, 0)</f>
        <v>0</v>
      </c>
      <c r="O25" s="4" cm="1">
        <f t="array" ref="O25">_xlfn.IFS('ProductSprint Backlog'!$F25="", "", AND('ProductSprint Backlog'!$J25&gt;O$2,'ProductSprint Backlog'!$I25&lt;=O$2), 'ProductSprint Backlog'!$F25 / MAX(1, 'ProductSprint Backlog'!$J25-'ProductSprint Backlog'!$I25), AND('ProductSprint Backlog'!$J25=O$2,'ProductSprint Backlog'!$I25=O$2), 'ProductSprint Backlog'!$F25, TRUE, 0)</f>
        <v>0</v>
      </c>
      <c r="P25" s="4" cm="1">
        <f t="array" ref="P25">_xlfn.IFS('ProductSprint Backlog'!$F25="", "", AND('ProductSprint Backlog'!$J25&gt;P$2,'ProductSprint Backlog'!$I25&lt;=P$2), 'ProductSprint Backlog'!$F25 / MAX(1, 'ProductSprint Backlog'!$J25-'ProductSprint Backlog'!$I25), AND('ProductSprint Backlog'!$J25=P$2,'ProductSprint Backlog'!$I25=P$2), 'ProductSprint Backlog'!$F25, TRUE, 0)</f>
        <v>0</v>
      </c>
      <c r="Q25" s="4" cm="1">
        <f t="array" ref="Q25">_xlfn.IFS('ProductSprint Backlog'!$F25="", "", AND('ProductSprint Backlog'!$J25&gt;Q$2,'ProductSprint Backlog'!$I25&lt;=Q$2), 'ProductSprint Backlog'!$F25 / MAX(1, 'ProductSprint Backlog'!$J25-'ProductSprint Backlog'!$I25), AND('ProductSprint Backlog'!$J25=Q$2,'ProductSprint Backlog'!$I25=Q$2), 'ProductSprint Backlog'!$F25, TRUE, 0)</f>
        <v>0</v>
      </c>
      <c r="R25" s="4" cm="1">
        <f t="array" ref="R25">_xlfn.IFS('ProductSprint Backlog'!$F25="", "", AND('ProductSprint Backlog'!$J25&gt;R$2,'ProductSprint Backlog'!$I25&lt;=R$2), 'ProductSprint Backlog'!$F25 / MAX(1, 'ProductSprint Backlog'!$J25-'ProductSprint Backlog'!$I25), AND('ProductSprint Backlog'!$J25=R$2,'ProductSprint Backlog'!$I25=R$2), 'ProductSprint Backlog'!$F25, TRUE, 0)</f>
        <v>0</v>
      </c>
      <c r="S25" s="4" cm="1">
        <f t="array" ref="S25">_xlfn.IFS('ProductSprint Backlog'!$F25="", "", AND('ProductSprint Backlog'!$J25&gt;S$2,'ProductSprint Backlog'!$I25&lt;=S$2), 'ProductSprint Backlog'!$F25 / MAX(1, 'ProductSprint Backlog'!$J25-'ProductSprint Backlog'!$I25), AND('ProductSprint Backlog'!$J25=S$2,'ProductSprint Backlog'!$I25=S$2), 'ProductSprint Backlog'!$F25, TRUE, 0)</f>
        <v>0</v>
      </c>
      <c r="T25" s="4" cm="1">
        <f t="array" ref="T25">_xlfn.IFS('ProductSprint Backlog'!$F25="", "", AND('ProductSprint Backlog'!$J25&gt;T$2,'ProductSprint Backlog'!$I25&lt;=T$2), 'ProductSprint Backlog'!$F25 / MAX(1, 'ProductSprint Backlog'!$J25-'ProductSprint Backlog'!$I25), AND('ProductSprint Backlog'!$J25=T$2,'ProductSprint Backlog'!$I25=T$2), 'ProductSprint Backlog'!$F25, TRUE, 0)</f>
        <v>0</v>
      </c>
    </row>
    <row r="26" spans="2:20" x14ac:dyDescent="0.2">
      <c r="B26" s="4" cm="1">
        <f t="array" ref="B26">_xlfn.IFS('ProductSprint Backlog'!$F26="", "", AND('ProductSprint Backlog'!$J26&gt;B$2,'ProductSprint Backlog'!$I26&lt;=B$2), 'ProductSprint Backlog'!$F26 / MAX(1, 'ProductSprint Backlog'!$J26-'ProductSprint Backlog'!$I26), AND('ProductSprint Backlog'!$J26=B$2,'ProductSprint Backlog'!$I26=B$2), 'ProductSprint Backlog'!$F26, TRUE, 0)</f>
        <v>0</v>
      </c>
      <c r="C26" s="4" cm="1">
        <f t="array" ref="C26">_xlfn.IFS('ProductSprint Backlog'!$F26="", "", AND('ProductSprint Backlog'!$J26&gt;C$2,'ProductSprint Backlog'!$I26&lt;=C$2), 'ProductSprint Backlog'!$F26 / MAX(1, 'ProductSprint Backlog'!$J26-'ProductSprint Backlog'!$I26), AND('ProductSprint Backlog'!$J26=C$2,'ProductSprint Backlog'!$I26=C$2), 'ProductSprint Backlog'!$F26, TRUE, 0)</f>
        <v>0</v>
      </c>
      <c r="D26" s="4" cm="1">
        <f t="array" ref="D26">_xlfn.IFS('ProductSprint Backlog'!$F26="", "", AND('ProductSprint Backlog'!$J26&gt;D$2,'ProductSprint Backlog'!$I26&lt;=D$2), 'ProductSprint Backlog'!$F26 / MAX(1, 'ProductSprint Backlog'!$J26-'ProductSprint Backlog'!$I26), AND('ProductSprint Backlog'!$J26=D$2,'ProductSprint Backlog'!$I26=D$2), 'ProductSprint Backlog'!$F26, TRUE, 0)</f>
        <v>0</v>
      </c>
      <c r="E26" s="4" cm="1">
        <f t="array" ref="E26">_xlfn.IFS('ProductSprint Backlog'!$F26="", "", AND('ProductSprint Backlog'!$J26&gt;E$2,'ProductSprint Backlog'!$I26&lt;=E$2), 'ProductSprint Backlog'!$F26 / MAX(1, 'ProductSprint Backlog'!$J26-'ProductSprint Backlog'!$I26), AND('ProductSprint Backlog'!$J26=E$2,'ProductSprint Backlog'!$I26=E$2), 'ProductSprint Backlog'!$F26, TRUE, 0)</f>
        <v>0</v>
      </c>
      <c r="F26" s="4" cm="1">
        <f t="array" ref="F26">_xlfn.IFS('ProductSprint Backlog'!$F26="", "", AND('ProductSprint Backlog'!$J26&gt;F$2,'ProductSprint Backlog'!$I26&lt;=F$2), 'ProductSprint Backlog'!$F26 / MAX(1, 'ProductSprint Backlog'!$J26-'ProductSprint Backlog'!$I26), AND('ProductSprint Backlog'!$J26=F$2,'ProductSprint Backlog'!$I26=F$2), 'ProductSprint Backlog'!$F26, TRUE, 0)</f>
        <v>0</v>
      </c>
      <c r="G26" s="4" cm="1">
        <f t="array" ref="G26">_xlfn.IFS('ProductSprint Backlog'!$F26="", "", AND('ProductSprint Backlog'!$J26&gt;G$2,'ProductSprint Backlog'!$I26&lt;=G$2), 'ProductSprint Backlog'!$F26 / MAX(1, 'ProductSprint Backlog'!$J26-'ProductSprint Backlog'!$I26), AND('ProductSprint Backlog'!$J26=G$2,'ProductSprint Backlog'!$I26=G$2), 'ProductSprint Backlog'!$F26, TRUE, 0)</f>
        <v>0</v>
      </c>
      <c r="H26" s="4" cm="1">
        <f t="array" ref="H26">_xlfn.IFS('ProductSprint Backlog'!$F26="", "", AND('ProductSprint Backlog'!$J26&gt;H$2,'ProductSprint Backlog'!$I26&lt;=H$2), 'ProductSprint Backlog'!$F26 / MAX(1, 'ProductSprint Backlog'!$J26-'ProductSprint Backlog'!$I26), AND('ProductSprint Backlog'!$J26=H$2,'ProductSprint Backlog'!$I26=H$2), 'ProductSprint Backlog'!$F26, TRUE, 0)</f>
        <v>0</v>
      </c>
      <c r="I26" s="4" cm="1">
        <f t="array" ref="I26">_xlfn.IFS('ProductSprint Backlog'!$F26="", "", AND('ProductSprint Backlog'!$J26&gt;I$2,'ProductSprint Backlog'!$I26&lt;=I$2), 'ProductSprint Backlog'!$F26 / MAX(1, 'ProductSprint Backlog'!$J26-'ProductSprint Backlog'!$I26), AND('ProductSprint Backlog'!$J26=I$2,'ProductSprint Backlog'!$I26=I$2), 'ProductSprint Backlog'!$F26, TRUE, 0)</f>
        <v>0</v>
      </c>
      <c r="J26" s="4" cm="1">
        <f t="array" ref="J26">_xlfn.IFS('ProductSprint Backlog'!$F26="", "", AND('ProductSprint Backlog'!$J26&gt;J$2,'ProductSprint Backlog'!$I26&lt;=J$2), 'ProductSprint Backlog'!$F26 / MAX(1, 'ProductSprint Backlog'!$J26-'ProductSprint Backlog'!$I26), AND('ProductSprint Backlog'!$J26=J$2,'ProductSprint Backlog'!$I26=J$2), 'ProductSprint Backlog'!$F26, TRUE, 0)</f>
        <v>0</v>
      </c>
      <c r="K26" s="4" cm="1">
        <f t="array" ref="K26">_xlfn.IFS('ProductSprint Backlog'!$F26="", "", AND('ProductSprint Backlog'!$J26&gt;K$2,'ProductSprint Backlog'!$I26&lt;=K$2), 'ProductSprint Backlog'!$F26 / MAX(1, 'ProductSprint Backlog'!$J26-'ProductSprint Backlog'!$I26), AND('ProductSprint Backlog'!$J26=K$2,'ProductSprint Backlog'!$I26=K$2), 'ProductSprint Backlog'!$F26, TRUE, 0)</f>
        <v>0</v>
      </c>
      <c r="L26" s="4" cm="1">
        <f t="array" ref="L26">_xlfn.IFS('ProductSprint Backlog'!$F26="", "", AND('ProductSprint Backlog'!$J26&gt;L$2,'ProductSprint Backlog'!$I26&lt;=L$2), 'ProductSprint Backlog'!$F26 / MAX(1, 'ProductSprint Backlog'!$J26-'ProductSprint Backlog'!$I26), AND('ProductSprint Backlog'!$J26=L$2,'ProductSprint Backlog'!$I26=L$2), 'ProductSprint Backlog'!$F26, TRUE, 0)</f>
        <v>0</v>
      </c>
      <c r="M26" s="4" cm="1">
        <f t="array" ref="M26">_xlfn.IFS('ProductSprint Backlog'!$F26="", "", AND('ProductSprint Backlog'!$J26&gt;M$2,'ProductSprint Backlog'!$I26&lt;=M$2), 'ProductSprint Backlog'!$F26 / MAX(1, 'ProductSprint Backlog'!$J26-'ProductSprint Backlog'!$I26), AND('ProductSprint Backlog'!$J26=M$2,'ProductSprint Backlog'!$I26=M$2), 'ProductSprint Backlog'!$F26, TRUE, 0)</f>
        <v>0</v>
      </c>
      <c r="N26" s="4" cm="1">
        <f t="array" ref="N26">_xlfn.IFS('ProductSprint Backlog'!$F26="", "", AND('ProductSprint Backlog'!$J26&gt;N$2,'ProductSprint Backlog'!$I26&lt;=N$2), 'ProductSprint Backlog'!$F26 / MAX(1, 'ProductSprint Backlog'!$J26-'ProductSprint Backlog'!$I26), AND('ProductSprint Backlog'!$J26=N$2,'ProductSprint Backlog'!$I26=N$2), 'ProductSprint Backlog'!$F26, TRUE, 0)</f>
        <v>0</v>
      </c>
      <c r="O26" s="4" cm="1">
        <f t="array" ref="O26">_xlfn.IFS('ProductSprint Backlog'!$F26="", "", AND('ProductSprint Backlog'!$J26&gt;O$2,'ProductSprint Backlog'!$I26&lt;=O$2), 'ProductSprint Backlog'!$F26 / MAX(1, 'ProductSprint Backlog'!$J26-'ProductSprint Backlog'!$I26), AND('ProductSprint Backlog'!$J26=O$2,'ProductSprint Backlog'!$I26=O$2), 'ProductSprint Backlog'!$F26, TRUE, 0)</f>
        <v>0</v>
      </c>
      <c r="P26" s="4" cm="1">
        <f t="array" ref="P26">_xlfn.IFS('ProductSprint Backlog'!$F26="", "", AND('ProductSprint Backlog'!$J26&gt;P$2,'ProductSprint Backlog'!$I26&lt;=P$2), 'ProductSprint Backlog'!$F26 / MAX(1, 'ProductSprint Backlog'!$J26-'ProductSprint Backlog'!$I26), AND('ProductSprint Backlog'!$J26=P$2,'ProductSprint Backlog'!$I26=P$2), 'ProductSprint Backlog'!$F26, TRUE, 0)</f>
        <v>0</v>
      </c>
      <c r="Q26" s="4" cm="1">
        <f t="array" ref="Q26">_xlfn.IFS('ProductSprint Backlog'!$F26="", "", AND('ProductSprint Backlog'!$J26&gt;Q$2,'ProductSprint Backlog'!$I26&lt;=Q$2), 'ProductSprint Backlog'!$F26 / MAX(1, 'ProductSprint Backlog'!$J26-'ProductSprint Backlog'!$I26), AND('ProductSprint Backlog'!$J26=Q$2,'ProductSprint Backlog'!$I26=Q$2), 'ProductSprint Backlog'!$F26, TRUE, 0)</f>
        <v>0</v>
      </c>
      <c r="R26" s="4" cm="1">
        <f t="array" ref="R26">_xlfn.IFS('ProductSprint Backlog'!$F26="", "", AND('ProductSprint Backlog'!$J26&gt;R$2,'ProductSprint Backlog'!$I26&lt;=R$2), 'ProductSprint Backlog'!$F26 / MAX(1, 'ProductSprint Backlog'!$J26-'ProductSprint Backlog'!$I26), AND('ProductSprint Backlog'!$J26=R$2,'ProductSprint Backlog'!$I26=R$2), 'ProductSprint Backlog'!$F26, TRUE, 0)</f>
        <v>0</v>
      </c>
      <c r="S26" s="4" cm="1">
        <f t="array" ref="S26">_xlfn.IFS('ProductSprint Backlog'!$F26="", "", AND('ProductSprint Backlog'!$J26&gt;S$2,'ProductSprint Backlog'!$I26&lt;=S$2), 'ProductSprint Backlog'!$F26 / MAX(1, 'ProductSprint Backlog'!$J26-'ProductSprint Backlog'!$I26), AND('ProductSprint Backlog'!$J26=S$2,'ProductSprint Backlog'!$I26=S$2), 'ProductSprint Backlog'!$F26, TRUE, 0)</f>
        <v>0</v>
      </c>
      <c r="T26" s="4" cm="1">
        <f t="array" ref="T26">_xlfn.IFS('ProductSprint Backlog'!$F26="", "", AND('ProductSprint Backlog'!$J26&gt;T$2,'ProductSprint Backlog'!$I26&lt;=T$2), 'ProductSprint Backlog'!$F26 / MAX(1, 'ProductSprint Backlog'!$J26-'ProductSprint Backlog'!$I26), AND('ProductSprint Backlog'!$J26=T$2,'ProductSprint Backlog'!$I26=T$2), 'ProductSprint Backlog'!$F26, TRUE, 0)</f>
        <v>0</v>
      </c>
    </row>
    <row r="27" spans="2:20" x14ac:dyDescent="0.2">
      <c r="B27" s="4" t="str" cm="1">
        <f t="array" ref="B27">_xlfn.IFS('ProductSprint Backlog'!$F27="", "", AND('ProductSprint Backlog'!$J27&gt;B$2,'ProductSprint Backlog'!$I27&lt;=B$2), 'ProductSprint Backlog'!$F27 / MAX(1, 'ProductSprint Backlog'!$J27-'ProductSprint Backlog'!$I27), AND('ProductSprint Backlog'!$J27=B$2,'ProductSprint Backlog'!$I27=B$2), 'ProductSprint Backlog'!$F27, TRUE, 0)</f>
        <v/>
      </c>
      <c r="C27" s="4" t="str" cm="1">
        <f t="array" ref="C27">_xlfn.IFS('ProductSprint Backlog'!$F27="", "", AND('ProductSprint Backlog'!$J27&gt;C$2,'ProductSprint Backlog'!$I27&lt;=C$2), 'ProductSprint Backlog'!$F27 / MAX(1, 'ProductSprint Backlog'!$J27-'ProductSprint Backlog'!$I27), AND('ProductSprint Backlog'!$J27=C$2,'ProductSprint Backlog'!$I27=C$2), 'ProductSprint Backlog'!$F27, TRUE, 0)</f>
        <v/>
      </c>
      <c r="D27" s="4" t="str" cm="1">
        <f t="array" ref="D27">_xlfn.IFS('ProductSprint Backlog'!$F27="", "", AND('ProductSprint Backlog'!$J27&gt;D$2,'ProductSprint Backlog'!$I27&lt;=D$2), 'ProductSprint Backlog'!$F27 / MAX(1, 'ProductSprint Backlog'!$J27-'ProductSprint Backlog'!$I27), AND('ProductSprint Backlog'!$J27=D$2,'ProductSprint Backlog'!$I27=D$2), 'ProductSprint Backlog'!$F27, TRUE, 0)</f>
        <v/>
      </c>
      <c r="E27" s="4" t="str" cm="1">
        <f t="array" ref="E27">_xlfn.IFS('ProductSprint Backlog'!$F27="", "", AND('ProductSprint Backlog'!$J27&gt;E$2,'ProductSprint Backlog'!$I27&lt;=E$2), 'ProductSprint Backlog'!$F27 / MAX(1, 'ProductSprint Backlog'!$J27-'ProductSprint Backlog'!$I27), AND('ProductSprint Backlog'!$J27=E$2,'ProductSprint Backlog'!$I27=E$2), 'ProductSprint Backlog'!$F27, TRUE, 0)</f>
        <v/>
      </c>
      <c r="F27" s="4" t="str" cm="1">
        <f t="array" ref="F27">_xlfn.IFS('ProductSprint Backlog'!$F27="", "", AND('ProductSprint Backlog'!$J27&gt;F$2,'ProductSprint Backlog'!$I27&lt;=F$2), 'ProductSprint Backlog'!$F27 / MAX(1, 'ProductSprint Backlog'!$J27-'ProductSprint Backlog'!$I27), AND('ProductSprint Backlog'!$J27=F$2,'ProductSprint Backlog'!$I27=F$2), 'ProductSprint Backlog'!$F27, TRUE, 0)</f>
        <v/>
      </c>
      <c r="G27" s="4" t="str" cm="1">
        <f t="array" ref="G27">_xlfn.IFS('ProductSprint Backlog'!$F27="", "", AND('ProductSprint Backlog'!$J27&gt;G$2,'ProductSprint Backlog'!$I27&lt;=G$2), 'ProductSprint Backlog'!$F27 / MAX(1, 'ProductSprint Backlog'!$J27-'ProductSprint Backlog'!$I27), AND('ProductSprint Backlog'!$J27=G$2,'ProductSprint Backlog'!$I27=G$2), 'ProductSprint Backlog'!$F27, TRUE, 0)</f>
        <v/>
      </c>
      <c r="H27" s="4" t="str" cm="1">
        <f t="array" ref="H27">_xlfn.IFS('ProductSprint Backlog'!$F27="", "", AND('ProductSprint Backlog'!$J27&gt;H$2,'ProductSprint Backlog'!$I27&lt;=H$2), 'ProductSprint Backlog'!$F27 / MAX(1, 'ProductSprint Backlog'!$J27-'ProductSprint Backlog'!$I27), AND('ProductSprint Backlog'!$J27=H$2,'ProductSprint Backlog'!$I27=H$2), 'ProductSprint Backlog'!$F27, TRUE, 0)</f>
        <v/>
      </c>
      <c r="I27" s="4" t="str" cm="1">
        <f t="array" ref="I27">_xlfn.IFS('ProductSprint Backlog'!$F27="", "", AND('ProductSprint Backlog'!$J27&gt;I$2,'ProductSprint Backlog'!$I27&lt;=I$2), 'ProductSprint Backlog'!$F27 / MAX(1, 'ProductSprint Backlog'!$J27-'ProductSprint Backlog'!$I27), AND('ProductSprint Backlog'!$J27=I$2,'ProductSprint Backlog'!$I27=I$2), 'ProductSprint Backlog'!$F27, TRUE, 0)</f>
        <v/>
      </c>
      <c r="J27" s="4" t="str" cm="1">
        <f t="array" ref="J27">_xlfn.IFS('ProductSprint Backlog'!$F27="", "", AND('ProductSprint Backlog'!$J27&gt;J$2,'ProductSprint Backlog'!$I27&lt;=J$2), 'ProductSprint Backlog'!$F27 / MAX(1, 'ProductSprint Backlog'!$J27-'ProductSprint Backlog'!$I27), AND('ProductSprint Backlog'!$J27=J$2,'ProductSprint Backlog'!$I27=J$2), 'ProductSprint Backlog'!$F27, TRUE, 0)</f>
        <v/>
      </c>
      <c r="K27" s="4" t="str" cm="1">
        <f t="array" ref="K27">_xlfn.IFS('ProductSprint Backlog'!$F27="", "", AND('ProductSprint Backlog'!$J27&gt;K$2,'ProductSprint Backlog'!$I27&lt;=K$2), 'ProductSprint Backlog'!$F27 / MAX(1, 'ProductSprint Backlog'!$J27-'ProductSprint Backlog'!$I27), AND('ProductSprint Backlog'!$J27=K$2,'ProductSprint Backlog'!$I27=K$2), 'ProductSprint Backlog'!$F27, TRUE, 0)</f>
        <v/>
      </c>
      <c r="L27" s="4" t="str" cm="1">
        <f t="array" ref="L27">_xlfn.IFS('ProductSprint Backlog'!$F27="", "", AND('ProductSprint Backlog'!$J27&gt;L$2,'ProductSprint Backlog'!$I27&lt;=L$2), 'ProductSprint Backlog'!$F27 / MAX(1, 'ProductSprint Backlog'!$J27-'ProductSprint Backlog'!$I27), AND('ProductSprint Backlog'!$J27=L$2,'ProductSprint Backlog'!$I27=L$2), 'ProductSprint Backlog'!$F27, TRUE, 0)</f>
        <v/>
      </c>
      <c r="M27" s="4" t="str" cm="1">
        <f t="array" ref="M27">_xlfn.IFS('ProductSprint Backlog'!$F27="", "", AND('ProductSprint Backlog'!$J27&gt;M$2,'ProductSprint Backlog'!$I27&lt;=M$2), 'ProductSprint Backlog'!$F27 / MAX(1, 'ProductSprint Backlog'!$J27-'ProductSprint Backlog'!$I27), AND('ProductSprint Backlog'!$J27=M$2,'ProductSprint Backlog'!$I27=M$2), 'ProductSprint Backlog'!$F27, TRUE, 0)</f>
        <v/>
      </c>
      <c r="N27" s="4" t="str" cm="1">
        <f t="array" ref="N27">_xlfn.IFS('ProductSprint Backlog'!$F27="", "", AND('ProductSprint Backlog'!$J27&gt;N$2,'ProductSprint Backlog'!$I27&lt;=N$2), 'ProductSprint Backlog'!$F27 / MAX(1, 'ProductSprint Backlog'!$J27-'ProductSprint Backlog'!$I27), AND('ProductSprint Backlog'!$J27=N$2,'ProductSprint Backlog'!$I27=N$2), 'ProductSprint Backlog'!$F27, TRUE, 0)</f>
        <v/>
      </c>
      <c r="O27" s="4" t="str" cm="1">
        <f t="array" ref="O27">_xlfn.IFS('ProductSprint Backlog'!$F27="", "", AND('ProductSprint Backlog'!$J27&gt;O$2,'ProductSprint Backlog'!$I27&lt;=O$2), 'ProductSprint Backlog'!$F27 / MAX(1, 'ProductSprint Backlog'!$J27-'ProductSprint Backlog'!$I27), AND('ProductSprint Backlog'!$J27=O$2,'ProductSprint Backlog'!$I27=O$2), 'ProductSprint Backlog'!$F27, TRUE, 0)</f>
        <v/>
      </c>
      <c r="P27" s="4" t="str" cm="1">
        <f t="array" ref="P27">_xlfn.IFS('ProductSprint Backlog'!$F27="", "", AND('ProductSprint Backlog'!$J27&gt;P$2,'ProductSprint Backlog'!$I27&lt;=P$2), 'ProductSprint Backlog'!$F27 / MAX(1, 'ProductSprint Backlog'!$J27-'ProductSprint Backlog'!$I27), AND('ProductSprint Backlog'!$J27=P$2,'ProductSprint Backlog'!$I27=P$2), 'ProductSprint Backlog'!$F27, TRUE, 0)</f>
        <v/>
      </c>
      <c r="Q27" s="4" t="str" cm="1">
        <f t="array" ref="Q27">_xlfn.IFS('ProductSprint Backlog'!$F27="", "", AND('ProductSprint Backlog'!$J27&gt;Q$2,'ProductSprint Backlog'!$I27&lt;=Q$2), 'ProductSprint Backlog'!$F27 / MAX(1, 'ProductSprint Backlog'!$J27-'ProductSprint Backlog'!$I27), AND('ProductSprint Backlog'!$J27=Q$2,'ProductSprint Backlog'!$I27=Q$2), 'ProductSprint Backlog'!$F27, TRUE, 0)</f>
        <v/>
      </c>
      <c r="R27" s="4" t="str" cm="1">
        <f t="array" ref="R27">_xlfn.IFS('ProductSprint Backlog'!$F27="", "", AND('ProductSprint Backlog'!$J27&gt;R$2,'ProductSprint Backlog'!$I27&lt;=R$2), 'ProductSprint Backlog'!$F27 / MAX(1, 'ProductSprint Backlog'!$J27-'ProductSprint Backlog'!$I27), AND('ProductSprint Backlog'!$J27=R$2,'ProductSprint Backlog'!$I27=R$2), 'ProductSprint Backlog'!$F27, TRUE, 0)</f>
        <v/>
      </c>
      <c r="S27" s="4" t="str" cm="1">
        <f t="array" ref="S27">_xlfn.IFS('ProductSprint Backlog'!$F27="", "", AND('ProductSprint Backlog'!$J27&gt;S$2,'ProductSprint Backlog'!$I27&lt;=S$2), 'ProductSprint Backlog'!$F27 / MAX(1, 'ProductSprint Backlog'!$J27-'ProductSprint Backlog'!$I27), AND('ProductSprint Backlog'!$J27=S$2,'ProductSprint Backlog'!$I27=S$2), 'ProductSprint Backlog'!$F27, TRUE, 0)</f>
        <v/>
      </c>
      <c r="T27" s="4" t="str" cm="1">
        <f t="array" ref="T27">_xlfn.IFS('ProductSprint Backlog'!$F27="", "", AND('ProductSprint Backlog'!$J27&gt;T$2,'ProductSprint Backlog'!$I27&lt;=T$2), 'ProductSprint Backlog'!$F27 / MAX(1, 'ProductSprint Backlog'!$J27-'ProductSprint Backlog'!$I27), AND('ProductSprint Backlog'!$J27=T$2,'ProductSprint Backlog'!$I27=T$2), 'ProductSprint Backlog'!$F27, TRUE, 0)</f>
        <v/>
      </c>
    </row>
    <row r="28" spans="2:20" x14ac:dyDescent="0.2">
      <c r="B28" s="4" cm="1">
        <f t="array" ref="B28">_xlfn.IFS('ProductSprint Backlog'!$F28="", "", AND('ProductSprint Backlog'!$J28&gt;B$2,'ProductSprint Backlog'!$I28&lt;=B$2), 'ProductSprint Backlog'!$F28 / MAX(1, 'ProductSprint Backlog'!$J28-'ProductSprint Backlog'!$I28), AND('ProductSprint Backlog'!$J28=B$2,'ProductSprint Backlog'!$I28=B$2), 'ProductSprint Backlog'!$F28, TRUE, 0)</f>
        <v>0</v>
      </c>
      <c r="C28" s="4" cm="1">
        <f t="array" ref="C28">_xlfn.IFS('ProductSprint Backlog'!$F28="", "", AND('ProductSprint Backlog'!$J28&gt;C$2,'ProductSprint Backlog'!$I28&lt;=C$2), 'ProductSprint Backlog'!$F28 / MAX(1, 'ProductSprint Backlog'!$J28-'ProductSprint Backlog'!$I28), AND('ProductSprint Backlog'!$J28=C$2,'ProductSprint Backlog'!$I28=C$2), 'ProductSprint Backlog'!$F28, TRUE, 0)</f>
        <v>0</v>
      </c>
      <c r="D28" s="4" cm="1">
        <f t="array" ref="D28">_xlfn.IFS('ProductSprint Backlog'!$F28="", "", AND('ProductSprint Backlog'!$J28&gt;D$2,'ProductSprint Backlog'!$I28&lt;=D$2), 'ProductSprint Backlog'!$F28 / MAX(1, 'ProductSprint Backlog'!$J28-'ProductSprint Backlog'!$I28), AND('ProductSprint Backlog'!$J28=D$2,'ProductSprint Backlog'!$I28=D$2), 'ProductSprint Backlog'!$F28, TRUE, 0)</f>
        <v>0</v>
      </c>
      <c r="E28" s="4" cm="1">
        <f t="array" ref="E28">_xlfn.IFS('ProductSprint Backlog'!$F28="", "", AND('ProductSprint Backlog'!$J28&gt;E$2,'ProductSprint Backlog'!$I28&lt;=E$2), 'ProductSprint Backlog'!$F28 / MAX(1, 'ProductSprint Backlog'!$J28-'ProductSprint Backlog'!$I28), AND('ProductSprint Backlog'!$J28=E$2,'ProductSprint Backlog'!$I28=E$2), 'ProductSprint Backlog'!$F28, TRUE, 0)</f>
        <v>0</v>
      </c>
      <c r="F28" s="4" cm="1">
        <f t="array" ref="F28">_xlfn.IFS('ProductSprint Backlog'!$F28="", "", AND('ProductSprint Backlog'!$J28&gt;F$2,'ProductSprint Backlog'!$I28&lt;=F$2), 'ProductSprint Backlog'!$F28 / MAX(1, 'ProductSprint Backlog'!$J28-'ProductSprint Backlog'!$I28), AND('ProductSprint Backlog'!$J28=F$2,'ProductSprint Backlog'!$I28=F$2), 'ProductSprint Backlog'!$F28, TRUE, 0)</f>
        <v>0</v>
      </c>
      <c r="G28" s="4" cm="1">
        <f t="array" ref="G28">_xlfn.IFS('ProductSprint Backlog'!$F28="", "", AND('ProductSprint Backlog'!$J28&gt;G$2,'ProductSprint Backlog'!$I28&lt;=G$2), 'ProductSprint Backlog'!$F28 / MAX(1, 'ProductSprint Backlog'!$J28-'ProductSprint Backlog'!$I28), AND('ProductSprint Backlog'!$J28=G$2,'ProductSprint Backlog'!$I28=G$2), 'ProductSprint Backlog'!$F28, TRUE, 0)</f>
        <v>0</v>
      </c>
      <c r="H28" s="4" cm="1">
        <f t="array" ref="H28">_xlfn.IFS('ProductSprint Backlog'!$F28="", "", AND('ProductSprint Backlog'!$J28&gt;H$2,'ProductSprint Backlog'!$I28&lt;=H$2), 'ProductSprint Backlog'!$F28 / MAX(1, 'ProductSprint Backlog'!$J28-'ProductSprint Backlog'!$I28), AND('ProductSprint Backlog'!$J28=H$2,'ProductSprint Backlog'!$I28=H$2), 'ProductSprint Backlog'!$F28, TRUE, 0)</f>
        <v>0</v>
      </c>
      <c r="I28" s="4" cm="1">
        <f t="array" ref="I28">_xlfn.IFS('ProductSprint Backlog'!$F28="", "", AND('ProductSprint Backlog'!$J28&gt;I$2,'ProductSprint Backlog'!$I28&lt;=I$2), 'ProductSprint Backlog'!$F28 / MAX(1, 'ProductSprint Backlog'!$J28-'ProductSprint Backlog'!$I28), AND('ProductSprint Backlog'!$J28=I$2,'ProductSprint Backlog'!$I28=I$2), 'ProductSprint Backlog'!$F28, TRUE, 0)</f>
        <v>0</v>
      </c>
      <c r="J28" s="4" cm="1">
        <f t="array" ref="J28">_xlfn.IFS('ProductSprint Backlog'!$F28="", "", AND('ProductSprint Backlog'!$J28&gt;J$2,'ProductSprint Backlog'!$I28&lt;=J$2), 'ProductSprint Backlog'!$F28 / MAX(1, 'ProductSprint Backlog'!$J28-'ProductSprint Backlog'!$I28), AND('ProductSprint Backlog'!$J28=J$2,'ProductSprint Backlog'!$I28=J$2), 'ProductSprint Backlog'!$F28, TRUE, 0)</f>
        <v>0</v>
      </c>
      <c r="K28" s="4" cm="1">
        <f t="array" ref="K28">_xlfn.IFS('ProductSprint Backlog'!$F28="", "", AND('ProductSprint Backlog'!$J28&gt;K$2,'ProductSprint Backlog'!$I28&lt;=K$2), 'ProductSprint Backlog'!$F28 / MAX(1, 'ProductSprint Backlog'!$J28-'ProductSprint Backlog'!$I28), AND('ProductSprint Backlog'!$J28=K$2,'ProductSprint Backlog'!$I28=K$2), 'ProductSprint Backlog'!$F28, TRUE, 0)</f>
        <v>0</v>
      </c>
      <c r="L28" s="4" cm="1">
        <f t="array" ref="L28">_xlfn.IFS('ProductSprint Backlog'!$F28="", "", AND('ProductSprint Backlog'!$J28&gt;L$2,'ProductSprint Backlog'!$I28&lt;=L$2), 'ProductSprint Backlog'!$F28 / MAX(1, 'ProductSprint Backlog'!$J28-'ProductSprint Backlog'!$I28), AND('ProductSprint Backlog'!$J28=L$2,'ProductSprint Backlog'!$I28=L$2), 'ProductSprint Backlog'!$F28, TRUE, 0)</f>
        <v>0</v>
      </c>
      <c r="M28" s="4" cm="1">
        <f t="array" ref="M28">_xlfn.IFS('ProductSprint Backlog'!$F28="", "", AND('ProductSprint Backlog'!$J28&gt;M$2,'ProductSprint Backlog'!$I28&lt;=M$2), 'ProductSprint Backlog'!$F28 / MAX(1, 'ProductSprint Backlog'!$J28-'ProductSprint Backlog'!$I28), AND('ProductSprint Backlog'!$J28=M$2,'ProductSprint Backlog'!$I28=M$2), 'ProductSprint Backlog'!$F28, TRUE, 0)</f>
        <v>0</v>
      </c>
      <c r="N28" s="4" cm="1">
        <f t="array" ref="N28">_xlfn.IFS('ProductSprint Backlog'!$F28="", "", AND('ProductSprint Backlog'!$J28&gt;N$2,'ProductSprint Backlog'!$I28&lt;=N$2), 'ProductSprint Backlog'!$F28 / MAX(1, 'ProductSprint Backlog'!$J28-'ProductSprint Backlog'!$I28), AND('ProductSprint Backlog'!$J28=N$2,'ProductSprint Backlog'!$I28=N$2), 'ProductSprint Backlog'!$F28, TRUE, 0)</f>
        <v>0</v>
      </c>
      <c r="O28" s="4" cm="1">
        <f t="array" ref="O28">_xlfn.IFS('ProductSprint Backlog'!$F28="", "", AND('ProductSprint Backlog'!$J28&gt;O$2,'ProductSprint Backlog'!$I28&lt;=O$2), 'ProductSprint Backlog'!$F28 / MAX(1, 'ProductSprint Backlog'!$J28-'ProductSprint Backlog'!$I28), AND('ProductSprint Backlog'!$J28=O$2,'ProductSprint Backlog'!$I28=O$2), 'ProductSprint Backlog'!$F28, TRUE, 0)</f>
        <v>0</v>
      </c>
      <c r="P28" s="4" cm="1">
        <f t="array" ref="P28">_xlfn.IFS('ProductSprint Backlog'!$F28="", "", AND('ProductSprint Backlog'!$J28&gt;P$2,'ProductSprint Backlog'!$I28&lt;=P$2), 'ProductSprint Backlog'!$F28 / MAX(1, 'ProductSprint Backlog'!$J28-'ProductSprint Backlog'!$I28), AND('ProductSprint Backlog'!$J28=P$2,'ProductSprint Backlog'!$I28=P$2), 'ProductSprint Backlog'!$F28, TRUE, 0)</f>
        <v>0</v>
      </c>
      <c r="Q28" s="4" cm="1">
        <f t="array" ref="Q28">_xlfn.IFS('ProductSprint Backlog'!$F28="", "", AND('ProductSprint Backlog'!$J28&gt;Q$2,'ProductSprint Backlog'!$I28&lt;=Q$2), 'ProductSprint Backlog'!$F28 / MAX(1, 'ProductSprint Backlog'!$J28-'ProductSprint Backlog'!$I28), AND('ProductSprint Backlog'!$J28=Q$2,'ProductSprint Backlog'!$I28=Q$2), 'ProductSprint Backlog'!$F28, TRUE, 0)</f>
        <v>0</v>
      </c>
      <c r="R28" s="4" cm="1">
        <f t="array" ref="R28">_xlfn.IFS('ProductSprint Backlog'!$F28="", "", AND('ProductSprint Backlog'!$J28&gt;R$2,'ProductSprint Backlog'!$I28&lt;=R$2), 'ProductSprint Backlog'!$F28 / MAX(1, 'ProductSprint Backlog'!$J28-'ProductSprint Backlog'!$I28), AND('ProductSprint Backlog'!$J28=R$2,'ProductSprint Backlog'!$I28=R$2), 'ProductSprint Backlog'!$F28, TRUE, 0)</f>
        <v>0</v>
      </c>
      <c r="S28" s="4" cm="1">
        <f t="array" ref="S28">_xlfn.IFS('ProductSprint Backlog'!$F28="", "", AND('ProductSprint Backlog'!$J28&gt;S$2,'ProductSprint Backlog'!$I28&lt;=S$2), 'ProductSprint Backlog'!$F28 / MAX(1, 'ProductSprint Backlog'!$J28-'ProductSprint Backlog'!$I28), AND('ProductSprint Backlog'!$J28=S$2,'ProductSprint Backlog'!$I28=S$2), 'ProductSprint Backlog'!$F28, TRUE, 0)</f>
        <v>0</v>
      </c>
      <c r="T28" s="4" cm="1">
        <f t="array" ref="T28">_xlfn.IFS('ProductSprint Backlog'!$F28="", "", AND('ProductSprint Backlog'!$J28&gt;T$2,'ProductSprint Backlog'!$I28&lt;=T$2), 'ProductSprint Backlog'!$F28 / MAX(1, 'ProductSprint Backlog'!$J28-'ProductSprint Backlog'!$I28), AND('ProductSprint Backlog'!$J28=T$2,'ProductSprint Backlog'!$I28=T$2), 'ProductSprint Backlog'!$F28, TRUE, 0)</f>
        <v>0</v>
      </c>
    </row>
    <row r="29" spans="2:20" x14ac:dyDescent="0.2">
      <c r="B29" s="4" cm="1">
        <f t="array" ref="B29">_xlfn.IFS('ProductSprint Backlog'!$F29="", "", AND('ProductSprint Backlog'!$J29&gt;B$2,'ProductSprint Backlog'!$I29&lt;=B$2), 'ProductSprint Backlog'!$F29 / MAX(1, 'ProductSprint Backlog'!$J29-'ProductSprint Backlog'!$I29), AND('ProductSprint Backlog'!$J29=B$2,'ProductSprint Backlog'!$I29=B$2), 'ProductSprint Backlog'!$F29, TRUE, 0)</f>
        <v>0</v>
      </c>
      <c r="C29" s="4" cm="1">
        <f t="array" ref="C29">_xlfn.IFS('ProductSprint Backlog'!$F29="", "", AND('ProductSprint Backlog'!$J29&gt;C$2,'ProductSprint Backlog'!$I29&lt;=C$2), 'ProductSprint Backlog'!$F29 / MAX(1, 'ProductSprint Backlog'!$J29-'ProductSprint Backlog'!$I29), AND('ProductSprint Backlog'!$J29=C$2,'ProductSprint Backlog'!$I29=C$2), 'ProductSprint Backlog'!$F29, TRUE, 0)</f>
        <v>0</v>
      </c>
      <c r="D29" s="4" cm="1">
        <f t="array" ref="D29">_xlfn.IFS('ProductSprint Backlog'!$F29="", "", AND('ProductSprint Backlog'!$J29&gt;D$2,'ProductSprint Backlog'!$I29&lt;=D$2), 'ProductSprint Backlog'!$F29 / MAX(1, 'ProductSprint Backlog'!$J29-'ProductSprint Backlog'!$I29), AND('ProductSprint Backlog'!$J29=D$2,'ProductSprint Backlog'!$I29=D$2), 'ProductSprint Backlog'!$F29, TRUE, 0)</f>
        <v>0</v>
      </c>
      <c r="E29" s="4" cm="1">
        <f t="array" ref="E29">_xlfn.IFS('ProductSprint Backlog'!$F29="", "", AND('ProductSprint Backlog'!$J29&gt;E$2,'ProductSprint Backlog'!$I29&lt;=E$2), 'ProductSprint Backlog'!$F29 / MAX(1, 'ProductSprint Backlog'!$J29-'ProductSprint Backlog'!$I29), AND('ProductSprint Backlog'!$J29=E$2,'ProductSprint Backlog'!$I29=E$2), 'ProductSprint Backlog'!$F29, TRUE, 0)</f>
        <v>0</v>
      </c>
      <c r="F29" s="4" cm="1">
        <f t="array" ref="F29">_xlfn.IFS('ProductSprint Backlog'!$F29="", "", AND('ProductSprint Backlog'!$J29&gt;F$2,'ProductSprint Backlog'!$I29&lt;=F$2), 'ProductSprint Backlog'!$F29 / MAX(1, 'ProductSprint Backlog'!$J29-'ProductSprint Backlog'!$I29), AND('ProductSprint Backlog'!$J29=F$2,'ProductSprint Backlog'!$I29=F$2), 'ProductSprint Backlog'!$F29, TRUE, 0)</f>
        <v>0</v>
      </c>
      <c r="G29" s="4" cm="1">
        <f t="array" ref="G29">_xlfn.IFS('ProductSprint Backlog'!$F29="", "", AND('ProductSprint Backlog'!$J29&gt;G$2,'ProductSprint Backlog'!$I29&lt;=G$2), 'ProductSprint Backlog'!$F29 / MAX(1, 'ProductSprint Backlog'!$J29-'ProductSprint Backlog'!$I29), AND('ProductSprint Backlog'!$J29=G$2,'ProductSprint Backlog'!$I29=G$2), 'ProductSprint Backlog'!$F29, TRUE, 0)</f>
        <v>0</v>
      </c>
      <c r="H29" s="4" cm="1">
        <f t="array" ref="H29">_xlfn.IFS('ProductSprint Backlog'!$F29="", "", AND('ProductSprint Backlog'!$J29&gt;H$2,'ProductSprint Backlog'!$I29&lt;=H$2), 'ProductSprint Backlog'!$F29 / MAX(1, 'ProductSprint Backlog'!$J29-'ProductSprint Backlog'!$I29), AND('ProductSprint Backlog'!$J29=H$2,'ProductSprint Backlog'!$I29=H$2), 'ProductSprint Backlog'!$F29, TRUE, 0)</f>
        <v>0</v>
      </c>
      <c r="I29" s="4" cm="1">
        <f t="array" ref="I29">_xlfn.IFS('ProductSprint Backlog'!$F29="", "", AND('ProductSprint Backlog'!$J29&gt;I$2,'ProductSprint Backlog'!$I29&lt;=I$2), 'ProductSprint Backlog'!$F29 / MAX(1, 'ProductSprint Backlog'!$J29-'ProductSprint Backlog'!$I29), AND('ProductSprint Backlog'!$J29=I$2,'ProductSprint Backlog'!$I29=I$2), 'ProductSprint Backlog'!$F29, TRUE, 0)</f>
        <v>0</v>
      </c>
      <c r="J29" s="4" cm="1">
        <f t="array" ref="J29">_xlfn.IFS('ProductSprint Backlog'!$F29="", "", AND('ProductSprint Backlog'!$J29&gt;J$2,'ProductSprint Backlog'!$I29&lt;=J$2), 'ProductSprint Backlog'!$F29 / MAX(1, 'ProductSprint Backlog'!$J29-'ProductSprint Backlog'!$I29), AND('ProductSprint Backlog'!$J29=J$2,'ProductSprint Backlog'!$I29=J$2), 'ProductSprint Backlog'!$F29, TRUE, 0)</f>
        <v>0</v>
      </c>
      <c r="K29" s="4" cm="1">
        <f t="array" ref="K29">_xlfn.IFS('ProductSprint Backlog'!$F29="", "", AND('ProductSprint Backlog'!$J29&gt;K$2,'ProductSprint Backlog'!$I29&lt;=K$2), 'ProductSprint Backlog'!$F29 / MAX(1, 'ProductSprint Backlog'!$J29-'ProductSprint Backlog'!$I29), AND('ProductSprint Backlog'!$J29=K$2,'ProductSprint Backlog'!$I29=K$2), 'ProductSprint Backlog'!$F29, TRUE, 0)</f>
        <v>0</v>
      </c>
      <c r="L29" s="4" cm="1">
        <f t="array" ref="L29">_xlfn.IFS('ProductSprint Backlog'!$F29="", "", AND('ProductSprint Backlog'!$J29&gt;L$2,'ProductSprint Backlog'!$I29&lt;=L$2), 'ProductSprint Backlog'!$F29 / MAX(1, 'ProductSprint Backlog'!$J29-'ProductSprint Backlog'!$I29), AND('ProductSprint Backlog'!$J29=L$2,'ProductSprint Backlog'!$I29=L$2), 'ProductSprint Backlog'!$F29, TRUE, 0)</f>
        <v>0</v>
      </c>
      <c r="M29" s="4" cm="1">
        <f t="array" ref="M29">_xlfn.IFS('ProductSprint Backlog'!$F29="", "", AND('ProductSprint Backlog'!$J29&gt;M$2,'ProductSprint Backlog'!$I29&lt;=M$2), 'ProductSprint Backlog'!$F29 / MAX(1, 'ProductSprint Backlog'!$J29-'ProductSprint Backlog'!$I29), AND('ProductSprint Backlog'!$J29=M$2,'ProductSprint Backlog'!$I29=M$2), 'ProductSprint Backlog'!$F29, TRUE, 0)</f>
        <v>0</v>
      </c>
      <c r="N29" s="4" cm="1">
        <f t="array" ref="N29">_xlfn.IFS('ProductSprint Backlog'!$F29="", "", AND('ProductSprint Backlog'!$J29&gt;N$2,'ProductSprint Backlog'!$I29&lt;=N$2), 'ProductSprint Backlog'!$F29 / MAX(1, 'ProductSprint Backlog'!$J29-'ProductSprint Backlog'!$I29), AND('ProductSprint Backlog'!$J29=N$2,'ProductSprint Backlog'!$I29=N$2), 'ProductSprint Backlog'!$F29, TRUE, 0)</f>
        <v>0</v>
      </c>
      <c r="O29" s="4" cm="1">
        <f t="array" ref="O29">_xlfn.IFS('ProductSprint Backlog'!$F29="", "", AND('ProductSprint Backlog'!$J29&gt;O$2,'ProductSprint Backlog'!$I29&lt;=O$2), 'ProductSprint Backlog'!$F29 / MAX(1, 'ProductSprint Backlog'!$J29-'ProductSprint Backlog'!$I29), AND('ProductSprint Backlog'!$J29=O$2,'ProductSprint Backlog'!$I29=O$2), 'ProductSprint Backlog'!$F29, TRUE, 0)</f>
        <v>0</v>
      </c>
      <c r="P29" s="4" cm="1">
        <f t="array" ref="P29">_xlfn.IFS('ProductSprint Backlog'!$F29="", "", AND('ProductSprint Backlog'!$J29&gt;P$2,'ProductSprint Backlog'!$I29&lt;=P$2), 'ProductSprint Backlog'!$F29 / MAX(1, 'ProductSprint Backlog'!$J29-'ProductSprint Backlog'!$I29), AND('ProductSprint Backlog'!$J29=P$2,'ProductSprint Backlog'!$I29=P$2), 'ProductSprint Backlog'!$F29, TRUE, 0)</f>
        <v>0</v>
      </c>
      <c r="Q29" s="4" cm="1">
        <f t="array" ref="Q29">_xlfn.IFS('ProductSprint Backlog'!$F29="", "", AND('ProductSprint Backlog'!$J29&gt;Q$2,'ProductSprint Backlog'!$I29&lt;=Q$2), 'ProductSprint Backlog'!$F29 / MAX(1, 'ProductSprint Backlog'!$J29-'ProductSprint Backlog'!$I29), AND('ProductSprint Backlog'!$J29=Q$2,'ProductSprint Backlog'!$I29=Q$2), 'ProductSprint Backlog'!$F29, TRUE, 0)</f>
        <v>0</v>
      </c>
      <c r="R29" s="4" cm="1">
        <f t="array" ref="R29">_xlfn.IFS('ProductSprint Backlog'!$F29="", "", AND('ProductSprint Backlog'!$J29&gt;R$2,'ProductSprint Backlog'!$I29&lt;=R$2), 'ProductSprint Backlog'!$F29 / MAX(1, 'ProductSprint Backlog'!$J29-'ProductSprint Backlog'!$I29), AND('ProductSprint Backlog'!$J29=R$2,'ProductSprint Backlog'!$I29=R$2), 'ProductSprint Backlog'!$F29, TRUE, 0)</f>
        <v>0</v>
      </c>
      <c r="S29" s="4" cm="1">
        <f t="array" ref="S29">_xlfn.IFS('ProductSprint Backlog'!$F29="", "", AND('ProductSprint Backlog'!$J29&gt;S$2,'ProductSprint Backlog'!$I29&lt;=S$2), 'ProductSprint Backlog'!$F29 / MAX(1, 'ProductSprint Backlog'!$J29-'ProductSprint Backlog'!$I29), AND('ProductSprint Backlog'!$J29=S$2,'ProductSprint Backlog'!$I29=S$2), 'ProductSprint Backlog'!$F29, TRUE, 0)</f>
        <v>0</v>
      </c>
      <c r="T29" s="4" cm="1">
        <f t="array" ref="T29">_xlfn.IFS('ProductSprint Backlog'!$F29="", "", AND('ProductSprint Backlog'!$J29&gt;T$2,'ProductSprint Backlog'!$I29&lt;=T$2), 'ProductSprint Backlog'!$F29 / MAX(1, 'ProductSprint Backlog'!$J29-'ProductSprint Backlog'!$I29), AND('ProductSprint Backlog'!$J29=T$2,'ProductSprint Backlog'!$I29=T$2), 'ProductSprint Backlog'!$F29, TRUE, 0)</f>
        <v>0</v>
      </c>
    </row>
    <row r="30" spans="2:20" x14ac:dyDescent="0.2">
      <c r="B30" s="4" cm="1">
        <f t="array" ref="B30">_xlfn.IFS('ProductSprint Backlog'!$F30="", "", AND('ProductSprint Backlog'!$J30&gt;B$2,'ProductSprint Backlog'!$I30&lt;=B$2), 'ProductSprint Backlog'!$F30 / MAX(1, 'ProductSprint Backlog'!$J30-'ProductSprint Backlog'!$I30), AND('ProductSprint Backlog'!$J30=B$2,'ProductSprint Backlog'!$I30=B$2), 'ProductSprint Backlog'!$F30, TRUE, 0)</f>
        <v>0</v>
      </c>
      <c r="C30" s="4" cm="1">
        <f t="array" ref="C30">_xlfn.IFS('ProductSprint Backlog'!$F30="", "", AND('ProductSprint Backlog'!$J30&gt;C$2,'ProductSprint Backlog'!$I30&lt;=C$2), 'ProductSprint Backlog'!$F30 / MAX(1, 'ProductSprint Backlog'!$J30-'ProductSprint Backlog'!$I30), AND('ProductSprint Backlog'!$J30=C$2,'ProductSprint Backlog'!$I30=C$2), 'ProductSprint Backlog'!$F30, TRUE, 0)</f>
        <v>0</v>
      </c>
      <c r="D30" s="4" cm="1">
        <f t="array" ref="D30">_xlfn.IFS('ProductSprint Backlog'!$F30="", "", AND('ProductSprint Backlog'!$J30&gt;D$2,'ProductSprint Backlog'!$I30&lt;=D$2), 'ProductSprint Backlog'!$F30 / MAX(1, 'ProductSprint Backlog'!$J30-'ProductSprint Backlog'!$I30), AND('ProductSprint Backlog'!$J30=D$2,'ProductSprint Backlog'!$I30=D$2), 'ProductSprint Backlog'!$F30, TRUE, 0)</f>
        <v>0</v>
      </c>
      <c r="E30" s="4" cm="1">
        <f t="array" ref="E30">_xlfn.IFS('ProductSprint Backlog'!$F30="", "", AND('ProductSprint Backlog'!$J30&gt;E$2,'ProductSprint Backlog'!$I30&lt;=E$2), 'ProductSprint Backlog'!$F30 / MAX(1, 'ProductSprint Backlog'!$J30-'ProductSprint Backlog'!$I30), AND('ProductSprint Backlog'!$J30=E$2,'ProductSprint Backlog'!$I30=E$2), 'ProductSprint Backlog'!$F30, TRUE, 0)</f>
        <v>0</v>
      </c>
      <c r="F30" s="4" cm="1">
        <f t="array" ref="F30">_xlfn.IFS('ProductSprint Backlog'!$F30="", "", AND('ProductSprint Backlog'!$J30&gt;F$2,'ProductSprint Backlog'!$I30&lt;=F$2), 'ProductSprint Backlog'!$F30 / MAX(1, 'ProductSprint Backlog'!$J30-'ProductSprint Backlog'!$I30), AND('ProductSprint Backlog'!$J30=F$2,'ProductSprint Backlog'!$I30=F$2), 'ProductSprint Backlog'!$F30, TRUE, 0)</f>
        <v>0</v>
      </c>
      <c r="G30" s="4" cm="1">
        <f t="array" ref="G30">_xlfn.IFS('ProductSprint Backlog'!$F30="", "", AND('ProductSprint Backlog'!$J30&gt;G$2,'ProductSprint Backlog'!$I30&lt;=G$2), 'ProductSprint Backlog'!$F30 / MAX(1, 'ProductSprint Backlog'!$J30-'ProductSprint Backlog'!$I30), AND('ProductSprint Backlog'!$J30=G$2,'ProductSprint Backlog'!$I30=G$2), 'ProductSprint Backlog'!$F30, TRUE, 0)</f>
        <v>0</v>
      </c>
      <c r="H30" s="4" cm="1">
        <f t="array" ref="H30">_xlfn.IFS('ProductSprint Backlog'!$F30="", "", AND('ProductSprint Backlog'!$J30&gt;H$2,'ProductSprint Backlog'!$I30&lt;=H$2), 'ProductSprint Backlog'!$F30 / MAX(1, 'ProductSprint Backlog'!$J30-'ProductSprint Backlog'!$I30), AND('ProductSprint Backlog'!$J30=H$2,'ProductSprint Backlog'!$I30=H$2), 'ProductSprint Backlog'!$F30, TRUE, 0)</f>
        <v>0</v>
      </c>
      <c r="I30" s="4" cm="1">
        <f t="array" ref="I30">_xlfn.IFS('ProductSprint Backlog'!$F30="", "", AND('ProductSprint Backlog'!$J30&gt;I$2,'ProductSprint Backlog'!$I30&lt;=I$2), 'ProductSprint Backlog'!$F30 / MAX(1, 'ProductSprint Backlog'!$J30-'ProductSprint Backlog'!$I30), AND('ProductSprint Backlog'!$J30=I$2,'ProductSprint Backlog'!$I30=I$2), 'ProductSprint Backlog'!$F30, TRUE, 0)</f>
        <v>0</v>
      </c>
      <c r="J30" s="4" cm="1">
        <f t="array" ref="J30">_xlfn.IFS('ProductSprint Backlog'!$F30="", "", AND('ProductSprint Backlog'!$J30&gt;J$2,'ProductSprint Backlog'!$I30&lt;=J$2), 'ProductSprint Backlog'!$F30 / MAX(1, 'ProductSprint Backlog'!$J30-'ProductSprint Backlog'!$I30), AND('ProductSprint Backlog'!$J30=J$2,'ProductSprint Backlog'!$I30=J$2), 'ProductSprint Backlog'!$F30, TRUE, 0)</f>
        <v>0</v>
      </c>
      <c r="K30" s="4" cm="1">
        <f t="array" ref="K30">_xlfn.IFS('ProductSprint Backlog'!$F30="", "", AND('ProductSprint Backlog'!$J30&gt;K$2,'ProductSprint Backlog'!$I30&lt;=K$2), 'ProductSprint Backlog'!$F30 / MAX(1, 'ProductSprint Backlog'!$J30-'ProductSprint Backlog'!$I30), AND('ProductSprint Backlog'!$J30=K$2,'ProductSprint Backlog'!$I30=K$2), 'ProductSprint Backlog'!$F30, TRUE, 0)</f>
        <v>0</v>
      </c>
      <c r="L30" s="4" cm="1">
        <f t="array" ref="L30">_xlfn.IFS('ProductSprint Backlog'!$F30="", "", AND('ProductSprint Backlog'!$J30&gt;L$2,'ProductSprint Backlog'!$I30&lt;=L$2), 'ProductSprint Backlog'!$F30 / MAX(1, 'ProductSprint Backlog'!$J30-'ProductSprint Backlog'!$I30), AND('ProductSprint Backlog'!$J30=L$2,'ProductSprint Backlog'!$I30=L$2), 'ProductSprint Backlog'!$F30, TRUE, 0)</f>
        <v>0</v>
      </c>
      <c r="M30" s="4" cm="1">
        <f t="array" ref="M30">_xlfn.IFS('ProductSprint Backlog'!$F30="", "", AND('ProductSprint Backlog'!$J30&gt;M$2,'ProductSprint Backlog'!$I30&lt;=M$2), 'ProductSprint Backlog'!$F30 / MAX(1, 'ProductSprint Backlog'!$J30-'ProductSprint Backlog'!$I30), AND('ProductSprint Backlog'!$J30=M$2,'ProductSprint Backlog'!$I30=M$2), 'ProductSprint Backlog'!$F30, TRUE, 0)</f>
        <v>0</v>
      </c>
      <c r="N30" s="4" cm="1">
        <f t="array" ref="N30">_xlfn.IFS('ProductSprint Backlog'!$F30="", "", AND('ProductSprint Backlog'!$J30&gt;N$2,'ProductSprint Backlog'!$I30&lt;=N$2), 'ProductSprint Backlog'!$F30 / MAX(1, 'ProductSprint Backlog'!$J30-'ProductSprint Backlog'!$I30), AND('ProductSprint Backlog'!$J30=N$2,'ProductSprint Backlog'!$I30=N$2), 'ProductSprint Backlog'!$F30, TRUE, 0)</f>
        <v>0</v>
      </c>
      <c r="O30" s="4" cm="1">
        <f t="array" ref="O30">_xlfn.IFS('ProductSprint Backlog'!$F30="", "", AND('ProductSprint Backlog'!$J30&gt;O$2,'ProductSprint Backlog'!$I30&lt;=O$2), 'ProductSprint Backlog'!$F30 / MAX(1, 'ProductSprint Backlog'!$J30-'ProductSprint Backlog'!$I30), AND('ProductSprint Backlog'!$J30=O$2,'ProductSprint Backlog'!$I30=O$2), 'ProductSprint Backlog'!$F30, TRUE, 0)</f>
        <v>0</v>
      </c>
      <c r="P30" s="4" cm="1">
        <f t="array" ref="P30">_xlfn.IFS('ProductSprint Backlog'!$F30="", "", AND('ProductSprint Backlog'!$J30&gt;P$2,'ProductSprint Backlog'!$I30&lt;=P$2), 'ProductSprint Backlog'!$F30 / MAX(1, 'ProductSprint Backlog'!$J30-'ProductSprint Backlog'!$I30), AND('ProductSprint Backlog'!$J30=P$2,'ProductSprint Backlog'!$I30=P$2), 'ProductSprint Backlog'!$F30, TRUE, 0)</f>
        <v>0</v>
      </c>
      <c r="Q30" s="4" cm="1">
        <f t="array" ref="Q30">_xlfn.IFS('ProductSprint Backlog'!$F30="", "", AND('ProductSprint Backlog'!$J30&gt;Q$2,'ProductSprint Backlog'!$I30&lt;=Q$2), 'ProductSprint Backlog'!$F30 / MAX(1, 'ProductSprint Backlog'!$J30-'ProductSprint Backlog'!$I30), AND('ProductSprint Backlog'!$J30=Q$2,'ProductSprint Backlog'!$I30=Q$2), 'ProductSprint Backlog'!$F30, TRUE, 0)</f>
        <v>0</v>
      </c>
      <c r="R30" s="4" cm="1">
        <f t="array" ref="R30">_xlfn.IFS('ProductSprint Backlog'!$F30="", "", AND('ProductSprint Backlog'!$J30&gt;R$2,'ProductSprint Backlog'!$I30&lt;=R$2), 'ProductSprint Backlog'!$F30 / MAX(1, 'ProductSprint Backlog'!$J30-'ProductSprint Backlog'!$I30), AND('ProductSprint Backlog'!$J30=R$2,'ProductSprint Backlog'!$I30=R$2), 'ProductSprint Backlog'!$F30, TRUE, 0)</f>
        <v>0</v>
      </c>
      <c r="S30" s="4" cm="1">
        <f t="array" ref="S30">_xlfn.IFS('ProductSprint Backlog'!$F30="", "", AND('ProductSprint Backlog'!$J30&gt;S$2,'ProductSprint Backlog'!$I30&lt;=S$2), 'ProductSprint Backlog'!$F30 / MAX(1, 'ProductSprint Backlog'!$J30-'ProductSprint Backlog'!$I30), AND('ProductSprint Backlog'!$J30=S$2,'ProductSprint Backlog'!$I30=S$2), 'ProductSprint Backlog'!$F30, TRUE, 0)</f>
        <v>0</v>
      </c>
      <c r="T30" s="4" cm="1">
        <f t="array" ref="T30">_xlfn.IFS('ProductSprint Backlog'!$F30="", "", AND('ProductSprint Backlog'!$J30&gt;T$2,'ProductSprint Backlog'!$I30&lt;=T$2), 'ProductSprint Backlog'!$F30 / MAX(1, 'ProductSprint Backlog'!$J30-'ProductSprint Backlog'!$I30), AND('ProductSprint Backlog'!$J30=T$2,'ProductSprint Backlog'!$I30=T$2), 'ProductSprint Backlog'!$F30, TRUE, 0)</f>
        <v>0</v>
      </c>
    </row>
    <row r="31" spans="2:20" x14ac:dyDescent="0.2">
      <c r="B31" s="4" t="str" cm="1">
        <f t="array" ref="B31">_xlfn.IFS('ProductSprint Backlog'!$F31="", "", AND('ProductSprint Backlog'!$J31&gt;B$2,'ProductSprint Backlog'!$I31&lt;=B$2), 'ProductSprint Backlog'!$F31 / MAX(1, 'ProductSprint Backlog'!$J31-'ProductSprint Backlog'!$I31), AND('ProductSprint Backlog'!$J31=B$2,'ProductSprint Backlog'!$I31=B$2), 'ProductSprint Backlog'!$F31, TRUE, 0)</f>
        <v/>
      </c>
      <c r="C31" s="4" t="str" cm="1">
        <f t="array" ref="C31">_xlfn.IFS('ProductSprint Backlog'!$F31="", "", AND('ProductSprint Backlog'!$J31&gt;C$2,'ProductSprint Backlog'!$I31&lt;=C$2), 'ProductSprint Backlog'!$F31 / MAX(1, 'ProductSprint Backlog'!$J31-'ProductSprint Backlog'!$I31), AND('ProductSprint Backlog'!$J31=C$2,'ProductSprint Backlog'!$I31=C$2), 'ProductSprint Backlog'!$F31, TRUE, 0)</f>
        <v/>
      </c>
      <c r="D31" s="4" t="str" cm="1">
        <f t="array" ref="D31">_xlfn.IFS('ProductSprint Backlog'!$F31="", "", AND('ProductSprint Backlog'!$J31&gt;D$2,'ProductSprint Backlog'!$I31&lt;=D$2), 'ProductSprint Backlog'!$F31 / MAX(1, 'ProductSprint Backlog'!$J31-'ProductSprint Backlog'!$I31), AND('ProductSprint Backlog'!$J31=D$2,'ProductSprint Backlog'!$I31=D$2), 'ProductSprint Backlog'!$F31, TRUE, 0)</f>
        <v/>
      </c>
      <c r="E31" s="4" t="str" cm="1">
        <f t="array" ref="E31">_xlfn.IFS('ProductSprint Backlog'!$F31="", "", AND('ProductSprint Backlog'!$J31&gt;E$2,'ProductSprint Backlog'!$I31&lt;=E$2), 'ProductSprint Backlog'!$F31 / MAX(1, 'ProductSprint Backlog'!$J31-'ProductSprint Backlog'!$I31), AND('ProductSprint Backlog'!$J31=E$2,'ProductSprint Backlog'!$I31=E$2), 'ProductSprint Backlog'!$F31, TRUE, 0)</f>
        <v/>
      </c>
      <c r="F31" s="4" t="str" cm="1">
        <f t="array" ref="F31">_xlfn.IFS('ProductSprint Backlog'!$F31="", "", AND('ProductSprint Backlog'!$J31&gt;F$2,'ProductSprint Backlog'!$I31&lt;=F$2), 'ProductSprint Backlog'!$F31 / MAX(1, 'ProductSprint Backlog'!$J31-'ProductSprint Backlog'!$I31), AND('ProductSprint Backlog'!$J31=F$2,'ProductSprint Backlog'!$I31=F$2), 'ProductSprint Backlog'!$F31, TRUE, 0)</f>
        <v/>
      </c>
      <c r="G31" s="4" t="str" cm="1">
        <f t="array" ref="G31">_xlfn.IFS('ProductSprint Backlog'!$F31="", "", AND('ProductSprint Backlog'!$J31&gt;G$2,'ProductSprint Backlog'!$I31&lt;=G$2), 'ProductSprint Backlog'!$F31 / MAX(1, 'ProductSprint Backlog'!$J31-'ProductSprint Backlog'!$I31), AND('ProductSprint Backlog'!$J31=G$2,'ProductSprint Backlog'!$I31=G$2), 'ProductSprint Backlog'!$F31, TRUE, 0)</f>
        <v/>
      </c>
      <c r="H31" s="4" t="str" cm="1">
        <f t="array" ref="H31">_xlfn.IFS('ProductSprint Backlog'!$F31="", "", AND('ProductSprint Backlog'!$J31&gt;H$2,'ProductSprint Backlog'!$I31&lt;=H$2), 'ProductSprint Backlog'!$F31 / MAX(1, 'ProductSprint Backlog'!$J31-'ProductSprint Backlog'!$I31), AND('ProductSprint Backlog'!$J31=H$2,'ProductSprint Backlog'!$I31=H$2), 'ProductSprint Backlog'!$F31, TRUE, 0)</f>
        <v/>
      </c>
      <c r="I31" s="4" t="str" cm="1">
        <f t="array" ref="I31">_xlfn.IFS('ProductSprint Backlog'!$F31="", "", AND('ProductSprint Backlog'!$J31&gt;I$2,'ProductSprint Backlog'!$I31&lt;=I$2), 'ProductSprint Backlog'!$F31 / MAX(1, 'ProductSprint Backlog'!$J31-'ProductSprint Backlog'!$I31), AND('ProductSprint Backlog'!$J31=I$2,'ProductSprint Backlog'!$I31=I$2), 'ProductSprint Backlog'!$F31, TRUE, 0)</f>
        <v/>
      </c>
      <c r="J31" s="4" t="str" cm="1">
        <f t="array" ref="J31">_xlfn.IFS('ProductSprint Backlog'!$F31="", "", AND('ProductSprint Backlog'!$J31&gt;J$2,'ProductSprint Backlog'!$I31&lt;=J$2), 'ProductSprint Backlog'!$F31 / MAX(1, 'ProductSprint Backlog'!$J31-'ProductSprint Backlog'!$I31), AND('ProductSprint Backlog'!$J31=J$2,'ProductSprint Backlog'!$I31=J$2), 'ProductSprint Backlog'!$F31, TRUE, 0)</f>
        <v/>
      </c>
      <c r="K31" s="4" t="str" cm="1">
        <f t="array" ref="K31">_xlfn.IFS('ProductSprint Backlog'!$F31="", "", AND('ProductSprint Backlog'!$J31&gt;K$2,'ProductSprint Backlog'!$I31&lt;=K$2), 'ProductSprint Backlog'!$F31 / MAX(1, 'ProductSprint Backlog'!$J31-'ProductSprint Backlog'!$I31), AND('ProductSprint Backlog'!$J31=K$2,'ProductSprint Backlog'!$I31=K$2), 'ProductSprint Backlog'!$F31, TRUE, 0)</f>
        <v/>
      </c>
      <c r="L31" s="4" t="str" cm="1">
        <f t="array" ref="L31">_xlfn.IFS('ProductSprint Backlog'!$F31="", "", AND('ProductSprint Backlog'!$J31&gt;L$2,'ProductSprint Backlog'!$I31&lt;=L$2), 'ProductSprint Backlog'!$F31 / MAX(1, 'ProductSprint Backlog'!$J31-'ProductSprint Backlog'!$I31), AND('ProductSprint Backlog'!$J31=L$2,'ProductSprint Backlog'!$I31=L$2), 'ProductSprint Backlog'!$F31, TRUE, 0)</f>
        <v/>
      </c>
      <c r="M31" s="4" t="str" cm="1">
        <f t="array" ref="M31">_xlfn.IFS('ProductSprint Backlog'!$F31="", "", AND('ProductSprint Backlog'!$J31&gt;M$2,'ProductSprint Backlog'!$I31&lt;=M$2), 'ProductSprint Backlog'!$F31 / MAX(1, 'ProductSprint Backlog'!$J31-'ProductSprint Backlog'!$I31), AND('ProductSprint Backlog'!$J31=M$2,'ProductSprint Backlog'!$I31=M$2), 'ProductSprint Backlog'!$F31, TRUE, 0)</f>
        <v/>
      </c>
      <c r="N31" s="4" t="str" cm="1">
        <f t="array" ref="N31">_xlfn.IFS('ProductSprint Backlog'!$F31="", "", AND('ProductSprint Backlog'!$J31&gt;N$2,'ProductSprint Backlog'!$I31&lt;=N$2), 'ProductSprint Backlog'!$F31 / MAX(1, 'ProductSprint Backlog'!$J31-'ProductSprint Backlog'!$I31), AND('ProductSprint Backlog'!$J31=N$2,'ProductSprint Backlog'!$I31=N$2), 'ProductSprint Backlog'!$F31, TRUE, 0)</f>
        <v/>
      </c>
      <c r="O31" s="4" t="str" cm="1">
        <f t="array" ref="O31">_xlfn.IFS('ProductSprint Backlog'!$F31="", "", AND('ProductSprint Backlog'!$J31&gt;O$2,'ProductSprint Backlog'!$I31&lt;=O$2), 'ProductSprint Backlog'!$F31 / MAX(1, 'ProductSprint Backlog'!$J31-'ProductSprint Backlog'!$I31), AND('ProductSprint Backlog'!$J31=O$2,'ProductSprint Backlog'!$I31=O$2), 'ProductSprint Backlog'!$F31, TRUE, 0)</f>
        <v/>
      </c>
      <c r="P31" s="4" t="str" cm="1">
        <f t="array" ref="P31">_xlfn.IFS('ProductSprint Backlog'!$F31="", "", AND('ProductSprint Backlog'!$J31&gt;P$2,'ProductSprint Backlog'!$I31&lt;=P$2), 'ProductSprint Backlog'!$F31 / MAX(1, 'ProductSprint Backlog'!$J31-'ProductSprint Backlog'!$I31), AND('ProductSprint Backlog'!$J31=P$2,'ProductSprint Backlog'!$I31=P$2), 'ProductSprint Backlog'!$F31, TRUE, 0)</f>
        <v/>
      </c>
      <c r="Q31" s="4" t="str" cm="1">
        <f t="array" ref="Q31">_xlfn.IFS('ProductSprint Backlog'!$F31="", "", AND('ProductSprint Backlog'!$J31&gt;Q$2,'ProductSprint Backlog'!$I31&lt;=Q$2), 'ProductSprint Backlog'!$F31 / MAX(1, 'ProductSprint Backlog'!$J31-'ProductSprint Backlog'!$I31), AND('ProductSprint Backlog'!$J31=Q$2,'ProductSprint Backlog'!$I31=Q$2), 'ProductSprint Backlog'!$F31, TRUE, 0)</f>
        <v/>
      </c>
      <c r="R31" s="4" t="str" cm="1">
        <f t="array" ref="R31">_xlfn.IFS('ProductSprint Backlog'!$F31="", "", AND('ProductSprint Backlog'!$J31&gt;R$2,'ProductSprint Backlog'!$I31&lt;=R$2), 'ProductSprint Backlog'!$F31 / MAX(1, 'ProductSprint Backlog'!$J31-'ProductSprint Backlog'!$I31), AND('ProductSprint Backlog'!$J31=R$2,'ProductSprint Backlog'!$I31=R$2), 'ProductSprint Backlog'!$F31, TRUE, 0)</f>
        <v/>
      </c>
      <c r="S31" s="4" t="str" cm="1">
        <f t="array" ref="S31">_xlfn.IFS('ProductSprint Backlog'!$F31="", "", AND('ProductSprint Backlog'!$J31&gt;S$2,'ProductSprint Backlog'!$I31&lt;=S$2), 'ProductSprint Backlog'!$F31 / MAX(1, 'ProductSprint Backlog'!$J31-'ProductSprint Backlog'!$I31), AND('ProductSprint Backlog'!$J31=S$2,'ProductSprint Backlog'!$I31=S$2), 'ProductSprint Backlog'!$F31, TRUE, 0)</f>
        <v/>
      </c>
      <c r="T31" s="4" t="str" cm="1">
        <f t="array" ref="T31">_xlfn.IFS('ProductSprint Backlog'!$F31="", "", AND('ProductSprint Backlog'!$J31&gt;T$2,'ProductSprint Backlog'!$I31&lt;=T$2), 'ProductSprint Backlog'!$F31 / MAX(1, 'ProductSprint Backlog'!$J31-'ProductSprint Backlog'!$I31), AND('ProductSprint Backlog'!$J31=T$2,'ProductSprint Backlog'!$I31=T$2), 'ProductSprint Backlog'!$F31, TRUE, 0)</f>
        <v/>
      </c>
    </row>
    <row r="32" spans="2:20" x14ac:dyDescent="0.2">
      <c r="B32" s="4" cm="1">
        <f t="array" ref="B32">_xlfn.IFS('ProductSprint Backlog'!$F32="", "", AND('ProductSprint Backlog'!$J32&gt;B$2,'ProductSprint Backlog'!$I32&lt;=B$2), 'ProductSprint Backlog'!$F32 / MAX(1, 'ProductSprint Backlog'!$J32-'ProductSprint Backlog'!$I32), AND('ProductSprint Backlog'!$J32=B$2,'ProductSprint Backlog'!$I32=B$2), 'ProductSprint Backlog'!$F32, TRUE, 0)</f>
        <v>0</v>
      </c>
      <c r="C32" s="4" cm="1">
        <f t="array" ref="C32">_xlfn.IFS('ProductSprint Backlog'!$F32="", "", AND('ProductSprint Backlog'!$J32&gt;C$2,'ProductSprint Backlog'!$I32&lt;=C$2), 'ProductSprint Backlog'!$F32 / MAX(1, 'ProductSprint Backlog'!$J32-'ProductSprint Backlog'!$I32), AND('ProductSprint Backlog'!$J32=C$2,'ProductSprint Backlog'!$I32=C$2), 'ProductSprint Backlog'!$F32, TRUE, 0)</f>
        <v>0</v>
      </c>
      <c r="D32" s="4" cm="1">
        <f t="array" ref="D32">_xlfn.IFS('ProductSprint Backlog'!$F32="", "", AND('ProductSprint Backlog'!$J32&gt;D$2,'ProductSprint Backlog'!$I32&lt;=D$2), 'ProductSprint Backlog'!$F32 / MAX(1, 'ProductSprint Backlog'!$J32-'ProductSprint Backlog'!$I32), AND('ProductSprint Backlog'!$J32=D$2,'ProductSprint Backlog'!$I32=D$2), 'ProductSprint Backlog'!$F32, TRUE, 0)</f>
        <v>0</v>
      </c>
      <c r="E32" s="4" cm="1">
        <f t="array" ref="E32">_xlfn.IFS('ProductSprint Backlog'!$F32="", "", AND('ProductSprint Backlog'!$J32&gt;E$2,'ProductSprint Backlog'!$I32&lt;=E$2), 'ProductSprint Backlog'!$F32 / MAX(1, 'ProductSprint Backlog'!$J32-'ProductSprint Backlog'!$I32), AND('ProductSprint Backlog'!$J32=E$2,'ProductSprint Backlog'!$I32=E$2), 'ProductSprint Backlog'!$F32, TRUE, 0)</f>
        <v>0</v>
      </c>
      <c r="F32" s="4" cm="1">
        <f t="array" ref="F32">_xlfn.IFS('ProductSprint Backlog'!$F32="", "", AND('ProductSprint Backlog'!$J32&gt;F$2,'ProductSprint Backlog'!$I32&lt;=F$2), 'ProductSprint Backlog'!$F32 / MAX(1, 'ProductSprint Backlog'!$J32-'ProductSprint Backlog'!$I32), AND('ProductSprint Backlog'!$J32=F$2,'ProductSprint Backlog'!$I32=F$2), 'ProductSprint Backlog'!$F32, TRUE, 0)</f>
        <v>0</v>
      </c>
      <c r="G32" s="4" cm="1">
        <f t="array" ref="G32">_xlfn.IFS('ProductSprint Backlog'!$F32="", "", AND('ProductSprint Backlog'!$J32&gt;G$2,'ProductSprint Backlog'!$I32&lt;=G$2), 'ProductSprint Backlog'!$F32 / MAX(1, 'ProductSprint Backlog'!$J32-'ProductSprint Backlog'!$I32), AND('ProductSprint Backlog'!$J32=G$2,'ProductSprint Backlog'!$I32=G$2), 'ProductSprint Backlog'!$F32, TRUE, 0)</f>
        <v>0</v>
      </c>
      <c r="H32" s="4" cm="1">
        <f t="array" ref="H32">_xlfn.IFS('ProductSprint Backlog'!$F32="", "", AND('ProductSprint Backlog'!$J32&gt;H$2,'ProductSprint Backlog'!$I32&lt;=H$2), 'ProductSprint Backlog'!$F32 / MAX(1, 'ProductSprint Backlog'!$J32-'ProductSprint Backlog'!$I32), AND('ProductSprint Backlog'!$J32=H$2,'ProductSprint Backlog'!$I32=H$2), 'ProductSprint Backlog'!$F32, TRUE, 0)</f>
        <v>0</v>
      </c>
      <c r="I32" s="4" cm="1">
        <f t="array" ref="I32">_xlfn.IFS('ProductSprint Backlog'!$F32="", "", AND('ProductSprint Backlog'!$J32&gt;I$2,'ProductSprint Backlog'!$I32&lt;=I$2), 'ProductSprint Backlog'!$F32 / MAX(1, 'ProductSprint Backlog'!$J32-'ProductSprint Backlog'!$I32), AND('ProductSprint Backlog'!$J32=I$2,'ProductSprint Backlog'!$I32=I$2), 'ProductSprint Backlog'!$F32, TRUE, 0)</f>
        <v>0</v>
      </c>
      <c r="J32" s="4" cm="1">
        <f t="array" ref="J32">_xlfn.IFS('ProductSprint Backlog'!$F32="", "", AND('ProductSprint Backlog'!$J32&gt;J$2,'ProductSprint Backlog'!$I32&lt;=J$2), 'ProductSprint Backlog'!$F32 / MAX(1, 'ProductSprint Backlog'!$J32-'ProductSprint Backlog'!$I32), AND('ProductSprint Backlog'!$J32=J$2,'ProductSprint Backlog'!$I32=J$2), 'ProductSprint Backlog'!$F32, TRUE, 0)</f>
        <v>0</v>
      </c>
      <c r="K32" s="4" cm="1">
        <f t="array" ref="K32">_xlfn.IFS('ProductSprint Backlog'!$F32="", "", AND('ProductSprint Backlog'!$J32&gt;K$2,'ProductSprint Backlog'!$I32&lt;=K$2), 'ProductSprint Backlog'!$F32 / MAX(1, 'ProductSprint Backlog'!$J32-'ProductSprint Backlog'!$I32), AND('ProductSprint Backlog'!$J32=K$2,'ProductSprint Backlog'!$I32=K$2), 'ProductSprint Backlog'!$F32, TRUE, 0)</f>
        <v>0</v>
      </c>
      <c r="L32" s="4" cm="1">
        <f t="array" ref="L32">_xlfn.IFS('ProductSprint Backlog'!$F32="", "", AND('ProductSprint Backlog'!$J32&gt;L$2,'ProductSprint Backlog'!$I32&lt;=L$2), 'ProductSprint Backlog'!$F32 / MAX(1, 'ProductSprint Backlog'!$J32-'ProductSprint Backlog'!$I32), AND('ProductSprint Backlog'!$J32=L$2,'ProductSprint Backlog'!$I32=L$2), 'ProductSprint Backlog'!$F32, TRUE, 0)</f>
        <v>0</v>
      </c>
      <c r="M32" s="4" cm="1">
        <f t="array" ref="M32">_xlfn.IFS('ProductSprint Backlog'!$F32="", "", AND('ProductSprint Backlog'!$J32&gt;M$2,'ProductSprint Backlog'!$I32&lt;=M$2), 'ProductSprint Backlog'!$F32 / MAX(1, 'ProductSprint Backlog'!$J32-'ProductSprint Backlog'!$I32), AND('ProductSprint Backlog'!$J32=M$2,'ProductSprint Backlog'!$I32=M$2), 'ProductSprint Backlog'!$F32, TRUE, 0)</f>
        <v>0</v>
      </c>
      <c r="N32" s="4" cm="1">
        <f t="array" ref="N32">_xlfn.IFS('ProductSprint Backlog'!$F32="", "", AND('ProductSprint Backlog'!$J32&gt;N$2,'ProductSprint Backlog'!$I32&lt;=N$2), 'ProductSprint Backlog'!$F32 / MAX(1, 'ProductSprint Backlog'!$J32-'ProductSprint Backlog'!$I32), AND('ProductSprint Backlog'!$J32=N$2,'ProductSprint Backlog'!$I32=N$2), 'ProductSprint Backlog'!$F32, TRUE, 0)</f>
        <v>0</v>
      </c>
      <c r="O32" s="4" cm="1">
        <f t="array" ref="O32">_xlfn.IFS('ProductSprint Backlog'!$F32="", "", AND('ProductSprint Backlog'!$J32&gt;O$2,'ProductSprint Backlog'!$I32&lt;=O$2), 'ProductSprint Backlog'!$F32 / MAX(1, 'ProductSprint Backlog'!$J32-'ProductSprint Backlog'!$I32), AND('ProductSprint Backlog'!$J32=O$2,'ProductSprint Backlog'!$I32=O$2), 'ProductSprint Backlog'!$F32, TRUE, 0)</f>
        <v>0</v>
      </c>
      <c r="P32" s="4" cm="1">
        <f t="array" ref="P32">_xlfn.IFS('ProductSprint Backlog'!$F32="", "", AND('ProductSprint Backlog'!$J32&gt;P$2,'ProductSprint Backlog'!$I32&lt;=P$2), 'ProductSprint Backlog'!$F32 / MAX(1, 'ProductSprint Backlog'!$J32-'ProductSprint Backlog'!$I32), AND('ProductSprint Backlog'!$J32=P$2,'ProductSprint Backlog'!$I32=P$2), 'ProductSprint Backlog'!$F32, TRUE, 0)</f>
        <v>0</v>
      </c>
      <c r="Q32" s="4" cm="1">
        <f t="array" ref="Q32">_xlfn.IFS('ProductSprint Backlog'!$F32="", "", AND('ProductSprint Backlog'!$J32&gt;Q$2,'ProductSprint Backlog'!$I32&lt;=Q$2), 'ProductSprint Backlog'!$F32 / MAX(1, 'ProductSprint Backlog'!$J32-'ProductSprint Backlog'!$I32), AND('ProductSprint Backlog'!$J32=Q$2,'ProductSprint Backlog'!$I32=Q$2), 'ProductSprint Backlog'!$F32, TRUE, 0)</f>
        <v>0</v>
      </c>
      <c r="R32" s="4" cm="1">
        <f t="array" ref="R32">_xlfn.IFS('ProductSprint Backlog'!$F32="", "", AND('ProductSprint Backlog'!$J32&gt;R$2,'ProductSprint Backlog'!$I32&lt;=R$2), 'ProductSprint Backlog'!$F32 / MAX(1, 'ProductSprint Backlog'!$J32-'ProductSprint Backlog'!$I32), AND('ProductSprint Backlog'!$J32=R$2,'ProductSprint Backlog'!$I32=R$2), 'ProductSprint Backlog'!$F32, TRUE, 0)</f>
        <v>0</v>
      </c>
      <c r="S32" s="4" cm="1">
        <f t="array" ref="S32">_xlfn.IFS('ProductSprint Backlog'!$F32="", "", AND('ProductSprint Backlog'!$J32&gt;S$2,'ProductSprint Backlog'!$I32&lt;=S$2), 'ProductSprint Backlog'!$F32 / MAX(1, 'ProductSprint Backlog'!$J32-'ProductSprint Backlog'!$I32), AND('ProductSprint Backlog'!$J32=S$2,'ProductSprint Backlog'!$I32=S$2), 'ProductSprint Backlog'!$F32, TRUE, 0)</f>
        <v>0</v>
      </c>
      <c r="T32" s="4" cm="1">
        <f t="array" ref="T32">_xlfn.IFS('ProductSprint Backlog'!$F32="", "", AND('ProductSprint Backlog'!$J32&gt;T$2,'ProductSprint Backlog'!$I32&lt;=T$2), 'ProductSprint Backlog'!$F32 / MAX(1, 'ProductSprint Backlog'!$J32-'ProductSprint Backlog'!$I32), AND('ProductSprint Backlog'!$J32=T$2,'ProductSprint Backlog'!$I32=T$2), 'ProductSprint Backlog'!$F32, TRUE, 0)</f>
        <v>0</v>
      </c>
    </row>
    <row r="33" spans="2:20" x14ac:dyDescent="0.2">
      <c r="B33" s="4" cm="1">
        <f t="array" ref="B33">_xlfn.IFS('ProductSprint Backlog'!$F33="", "", AND('ProductSprint Backlog'!$J33&gt;B$2,'ProductSprint Backlog'!$I33&lt;=B$2), 'ProductSprint Backlog'!$F33 / MAX(1, 'ProductSprint Backlog'!$J33-'ProductSprint Backlog'!$I33), AND('ProductSprint Backlog'!$J33=B$2,'ProductSprint Backlog'!$I33=B$2), 'ProductSprint Backlog'!$F33, TRUE, 0)</f>
        <v>0</v>
      </c>
      <c r="C33" s="4" cm="1">
        <f t="array" ref="C33">_xlfn.IFS('ProductSprint Backlog'!$F33="", "", AND('ProductSprint Backlog'!$J33&gt;C$2,'ProductSprint Backlog'!$I33&lt;=C$2), 'ProductSprint Backlog'!$F33 / MAX(1, 'ProductSprint Backlog'!$J33-'ProductSprint Backlog'!$I33), AND('ProductSprint Backlog'!$J33=C$2,'ProductSprint Backlog'!$I33=C$2), 'ProductSprint Backlog'!$F33, TRUE, 0)</f>
        <v>0</v>
      </c>
      <c r="D33" s="4" cm="1">
        <f t="array" ref="D33">_xlfn.IFS('ProductSprint Backlog'!$F33="", "", AND('ProductSprint Backlog'!$J33&gt;D$2,'ProductSprint Backlog'!$I33&lt;=D$2), 'ProductSprint Backlog'!$F33 / MAX(1, 'ProductSprint Backlog'!$J33-'ProductSprint Backlog'!$I33), AND('ProductSprint Backlog'!$J33=D$2,'ProductSprint Backlog'!$I33=D$2), 'ProductSprint Backlog'!$F33, TRUE, 0)</f>
        <v>0</v>
      </c>
      <c r="E33" s="4" cm="1">
        <f t="array" ref="E33">_xlfn.IFS('ProductSprint Backlog'!$F33="", "", AND('ProductSprint Backlog'!$J33&gt;E$2,'ProductSprint Backlog'!$I33&lt;=E$2), 'ProductSprint Backlog'!$F33 / MAX(1, 'ProductSprint Backlog'!$J33-'ProductSprint Backlog'!$I33), AND('ProductSprint Backlog'!$J33=E$2,'ProductSprint Backlog'!$I33=E$2), 'ProductSprint Backlog'!$F33, TRUE, 0)</f>
        <v>0</v>
      </c>
      <c r="F33" s="4" cm="1">
        <f t="array" ref="F33">_xlfn.IFS('ProductSprint Backlog'!$F33="", "", AND('ProductSprint Backlog'!$J33&gt;F$2,'ProductSprint Backlog'!$I33&lt;=F$2), 'ProductSprint Backlog'!$F33 / MAX(1, 'ProductSprint Backlog'!$J33-'ProductSprint Backlog'!$I33), AND('ProductSprint Backlog'!$J33=F$2,'ProductSprint Backlog'!$I33=F$2), 'ProductSprint Backlog'!$F33, TRUE, 0)</f>
        <v>0</v>
      </c>
      <c r="G33" s="4" cm="1">
        <f t="array" ref="G33">_xlfn.IFS('ProductSprint Backlog'!$F33="", "", AND('ProductSprint Backlog'!$J33&gt;G$2,'ProductSprint Backlog'!$I33&lt;=G$2), 'ProductSprint Backlog'!$F33 / MAX(1, 'ProductSprint Backlog'!$J33-'ProductSprint Backlog'!$I33), AND('ProductSprint Backlog'!$J33=G$2,'ProductSprint Backlog'!$I33=G$2), 'ProductSprint Backlog'!$F33, TRUE, 0)</f>
        <v>0</v>
      </c>
      <c r="H33" s="4" cm="1">
        <f t="array" ref="H33">_xlfn.IFS('ProductSprint Backlog'!$F33="", "", AND('ProductSprint Backlog'!$J33&gt;H$2,'ProductSprint Backlog'!$I33&lt;=H$2), 'ProductSprint Backlog'!$F33 / MAX(1, 'ProductSprint Backlog'!$J33-'ProductSprint Backlog'!$I33), AND('ProductSprint Backlog'!$J33=H$2,'ProductSprint Backlog'!$I33=H$2), 'ProductSprint Backlog'!$F33, TRUE, 0)</f>
        <v>0</v>
      </c>
      <c r="I33" s="4" cm="1">
        <f t="array" ref="I33">_xlfn.IFS('ProductSprint Backlog'!$F33="", "", AND('ProductSprint Backlog'!$J33&gt;I$2,'ProductSprint Backlog'!$I33&lt;=I$2), 'ProductSprint Backlog'!$F33 / MAX(1, 'ProductSprint Backlog'!$J33-'ProductSprint Backlog'!$I33), AND('ProductSprint Backlog'!$J33=I$2,'ProductSprint Backlog'!$I33=I$2), 'ProductSprint Backlog'!$F33, TRUE, 0)</f>
        <v>0</v>
      </c>
      <c r="J33" s="4" cm="1">
        <f t="array" ref="J33">_xlfn.IFS('ProductSprint Backlog'!$F33="", "", AND('ProductSprint Backlog'!$J33&gt;J$2,'ProductSprint Backlog'!$I33&lt;=J$2), 'ProductSprint Backlog'!$F33 / MAX(1, 'ProductSprint Backlog'!$J33-'ProductSprint Backlog'!$I33), AND('ProductSprint Backlog'!$J33=J$2,'ProductSprint Backlog'!$I33=J$2), 'ProductSprint Backlog'!$F33, TRUE, 0)</f>
        <v>0</v>
      </c>
      <c r="K33" s="4" cm="1">
        <f t="array" ref="K33">_xlfn.IFS('ProductSprint Backlog'!$F33="", "", AND('ProductSprint Backlog'!$J33&gt;K$2,'ProductSprint Backlog'!$I33&lt;=K$2), 'ProductSprint Backlog'!$F33 / MAX(1, 'ProductSprint Backlog'!$J33-'ProductSprint Backlog'!$I33), AND('ProductSprint Backlog'!$J33=K$2,'ProductSprint Backlog'!$I33=K$2), 'ProductSprint Backlog'!$F33, TRUE, 0)</f>
        <v>0</v>
      </c>
      <c r="L33" s="4" cm="1">
        <f t="array" ref="L33">_xlfn.IFS('ProductSprint Backlog'!$F33="", "", AND('ProductSprint Backlog'!$J33&gt;L$2,'ProductSprint Backlog'!$I33&lt;=L$2), 'ProductSprint Backlog'!$F33 / MAX(1, 'ProductSprint Backlog'!$J33-'ProductSprint Backlog'!$I33), AND('ProductSprint Backlog'!$J33=L$2,'ProductSprint Backlog'!$I33=L$2), 'ProductSprint Backlog'!$F33, TRUE, 0)</f>
        <v>0</v>
      </c>
      <c r="M33" s="4" cm="1">
        <f t="array" ref="M33">_xlfn.IFS('ProductSprint Backlog'!$F33="", "", AND('ProductSprint Backlog'!$J33&gt;M$2,'ProductSprint Backlog'!$I33&lt;=M$2), 'ProductSprint Backlog'!$F33 / MAX(1, 'ProductSprint Backlog'!$J33-'ProductSprint Backlog'!$I33), AND('ProductSprint Backlog'!$J33=M$2,'ProductSprint Backlog'!$I33=M$2), 'ProductSprint Backlog'!$F33, TRUE, 0)</f>
        <v>0</v>
      </c>
      <c r="N33" s="4" cm="1">
        <f t="array" ref="N33">_xlfn.IFS('ProductSprint Backlog'!$F33="", "", AND('ProductSprint Backlog'!$J33&gt;N$2,'ProductSprint Backlog'!$I33&lt;=N$2), 'ProductSprint Backlog'!$F33 / MAX(1, 'ProductSprint Backlog'!$J33-'ProductSprint Backlog'!$I33), AND('ProductSprint Backlog'!$J33=N$2,'ProductSprint Backlog'!$I33=N$2), 'ProductSprint Backlog'!$F33, TRUE, 0)</f>
        <v>0</v>
      </c>
      <c r="O33" s="4" cm="1">
        <f t="array" ref="O33">_xlfn.IFS('ProductSprint Backlog'!$F33="", "", AND('ProductSprint Backlog'!$J33&gt;O$2,'ProductSprint Backlog'!$I33&lt;=O$2), 'ProductSprint Backlog'!$F33 / MAX(1, 'ProductSprint Backlog'!$J33-'ProductSprint Backlog'!$I33), AND('ProductSprint Backlog'!$J33=O$2,'ProductSprint Backlog'!$I33=O$2), 'ProductSprint Backlog'!$F33, TRUE, 0)</f>
        <v>0</v>
      </c>
      <c r="P33" s="4" cm="1">
        <f t="array" ref="P33">_xlfn.IFS('ProductSprint Backlog'!$F33="", "", AND('ProductSprint Backlog'!$J33&gt;P$2,'ProductSprint Backlog'!$I33&lt;=P$2), 'ProductSprint Backlog'!$F33 / MAX(1, 'ProductSprint Backlog'!$J33-'ProductSprint Backlog'!$I33), AND('ProductSprint Backlog'!$J33=P$2,'ProductSprint Backlog'!$I33=P$2), 'ProductSprint Backlog'!$F33, TRUE, 0)</f>
        <v>0</v>
      </c>
      <c r="Q33" s="4" cm="1">
        <f t="array" ref="Q33">_xlfn.IFS('ProductSprint Backlog'!$F33="", "", AND('ProductSprint Backlog'!$J33&gt;Q$2,'ProductSprint Backlog'!$I33&lt;=Q$2), 'ProductSprint Backlog'!$F33 / MAX(1, 'ProductSprint Backlog'!$J33-'ProductSprint Backlog'!$I33), AND('ProductSprint Backlog'!$J33=Q$2,'ProductSprint Backlog'!$I33=Q$2), 'ProductSprint Backlog'!$F33, TRUE, 0)</f>
        <v>0</v>
      </c>
      <c r="R33" s="4" cm="1">
        <f t="array" ref="R33">_xlfn.IFS('ProductSprint Backlog'!$F33="", "", AND('ProductSprint Backlog'!$J33&gt;R$2,'ProductSprint Backlog'!$I33&lt;=R$2), 'ProductSprint Backlog'!$F33 / MAX(1, 'ProductSprint Backlog'!$J33-'ProductSprint Backlog'!$I33), AND('ProductSprint Backlog'!$J33=R$2,'ProductSprint Backlog'!$I33=R$2), 'ProductSprint Backlog'!$F33, TRUE, 0)</f>
        <v>0</v>
      </c>
      <c r="S33" s="4" cm="1">
        <f t="array" ref="S33">_xlfn.IFS('ProductSprint Backlog'!$F33="", "", AND('ProductSprint Backlog'!$J33&gt;S$2,'ProductSprint Backlog'!$I33&lt;=S$2), 'ProductSprint Backlog'!$F33 / MAX(1, 'ProductSprint Backlog'!$J33-'ProductSprint Backlog'!$I33), AND('ProductSprint Backlog'!$J33=S$2,'ProductSprint Backlog'!$I33=S$2), 'ProductSprint Backlog'!$F33, TRUE, 0)</f>
        <v>0</v>
      </c>
      <c r="T33" s="4" cm="1">
        <f t="array" ref="T33">_xlfn.IFS('ProductSprint Backlog'!$F33="", "", AND('ProductSprint Backlog'!$J33&gt;T$2,'ProductSprint Backlog'!$I33&lt;=T$2), 'ProductSprint Backlog'!$F33 / MAX(1, 'ProductSprint Backlog'!$J33-'ProductSprint Backlog'!$I33), AND('ProductSprint Backlog'!$J33=T$2,'ProductSprint Backlog'!$I33=T$2), 'ProductSprint Backlog'!$F33, TRUE, 0)</f>
        <v>0</v>
      </c>
    </row>
    <row r="34" spans="2:20" x14ac:dyDescent="0.2">
      <c r="B34" s="4" cm="1">
        <f t="array" ref="B34">_xlfn.IFS('ProductSprint Backlog'!$F34="", "", AND('ProductSprint Backlog'!$J34&gt;B$2,'ProductSprint Backlog'!$I34&lt;=B$2), 'ProductSprint Backlog'!$F34 / MAX(1, 'ProductSprint Backlog'!$J34-'ProductSprint Backlog'!$I34), AND('ProductSprint Backlog'!$J34=B$2,'ProductSprint Backlog'!$I34=B$2), 'ProductSprint Backlog'!$F34, TRUE, 0)</f>
        <v>0</v>
      </c>
      <c r="C34" s="4" cm="1">
        <f t="array" ref="C34">_xlfn.IFS('ProductSprint Backlog'!$F34="", "", AND('ProductSprint Backlog'!$J34&gt;C$2,'ProductSprint Backlog'!$I34&lt;=C$2), 'ProductSprint Backlog'!$F34 / MAX(1, 'ProductSprint Backlog'!$J34-'ProductSprint Backlog'!$I34), AND('ProductSprint Backlog'!$J34=C$2,'ProductSprint Backlog'!$I34=C$2), 'ProductSprint Backlog'!$F34, TRUE, 0)</f>
        <v>0</v>
      </c>
      <c r="D34" s="4" cm="1">
        <f t="array" ref="D34">_xlfn.IFS('ProductSprint Backlog'!$F34="", "", AND('ProductSprint Backlog'!$J34&gt;D$2,'ProductSprint Backlog'!$I34&lt;=D$2), 'ProductSprint Backlog'!$F34 / MAX(1, 'ProductSprint Backlog'!$J34-'ProductSprint Backlog'!$I34), AND('ProductSprint Backlog'!$J34=D$2,'ProductSprint Backlog'!$I34=D$2), 'ProductSprint Backlog'!$F34, TRUE, 0)</f>
        <v>0</v>
      </c>
      <c r="E34" s="4" cm="1">
        <f t="array" ref="E34">_xlfn.IFS('ProductSprint Backlog'!$F34="", "", AND('ProductSprint Backlog'!$J34&gt;E$2,'ProductSprint Backlog'!$I34&lt;=E$2), 'ProductSprint Backlog'!$F34 / MAX(1, 'ProductSprint Backlog'!$J34-'ProductSprint Backlog'!$I34), AND('ProductSprint Backlog'!$J34=E$2,'ProductSprint Backlog'!$I34=E$2), 'ProductSprint Backlog'!$F34, TRUE, 0)</f>
        <v>0</v>
      </c>
      <c r="F34" s="4" cm="1">
        <f t="array" ref="F34">_xlfn.IFS('ProductSprint Backlog'!$F34="", "", AND('ProductSprint Backlog'!$J34&gt;F$2,'ProductSprint Backlog'!$I34&lt;=F$2), 'ProductSprint Backlog'!$F34 / MAX(1, 'ProductSprint Backlog'!$J34-'ProductSprint Backlog'!$I34), AND('ProductSprint Backlog'!$J34=F$2,'ProductSprint Backlog'!$I34=F$2), 'ProductSprint Backlog'!$F34, TRUE, 0)</f>
        <v>0</v>
      </c>
      <c r="G34" s="4" cm="1">
        <f t="array" ref="G34">_xlfn.IFS('ProductSprint Backlog'!$F34="", "", AND('ProductSprint Backlog'!$J34&gt;G$2,'ProductSprint Backlog'!$I34&lt;=G$2), 'ProductSprint Backlog'!$F34 / MAX(1, 'ProductSprint Backlog'!$J34-'ProductSprint Backlog'!$I34), AND('ProductSprint Backlog'!$J34=G$2,'ProductSprint Backlog'!$I34=G$2), 'ProductSprint Backlog'!$F34, TRUE, 0)</f>
        <v>0</v>
      </c>
      <c r="H34" s="4" cm="1">
        <f t="array" ref="H34">_xlfn.IFS('ProductSprint Backlog'!$F34="", "", AND('ProductSprint Backlog'!$J34&gt;H$2,'ProductSprint Backlog'!$I34&lt;=H$2), 'ProductSprint Backlog'!$F34 / MAX(1, 'ProductSprint Backlog'!$J34-'ProductSprint Backlog'!$I34), AND('ProductSprint Backlog'!$J34=H$2,'ProductSprint Backlog'!$I34=H$2), 'ProductSprint Backlog'!$F34, TRUE, 0)</f>
        <v>0</v>
      </c>
      <c r="I34" s="4" cm="1">
        <f t="array" ref="I34">_xlfn.IFS('ProductSprint Backlog'!$F34="", "", AND('ProductSprint Backlog'!$J34&gt;I$2,'ProductSprint Backlog'!$I34&lt;=I$2), 'ProductSprint Backlog'!$F34 / MAX(1, 'ProductSprint Backlog'!$J34-'ProductSprint Backlog'!$I34), AND('ProductSprint Backlog'!$J34=I$2,'ProductSprint Backlog'!$I34=I$2), 'ProductSprint Backlog'!$F34, TRUE, 0)</f>
        <v>0</v>
      </c>
      <c r="J34" s="4" cm="1">
        <f t="array" ref="J34">_xlfn.IFS('ProductSprint Backlog'!$F34="", "", AND('ProductSprint Backlog'!$J34&gt;J$2,'ProductSprint Backlog'!$I34&lt;=J$2), 'ProductSprint Backlog'!$F34 / MAX(1, 'ProductSprint Backlog'!$J34-'ProductSprint Backlog'!$I34), AND('ProductSprint Backlog'!$J34=J$2,'ProductSprint Backlog'!$I34=J$2), 'ProductSprint Backlog'!$F34, TRUE, 0)</f>
        <v>0</v>
      </c>
      <c r="K34" s="4" cm="1">
        <f t="array" ref="K34">_xlfn.IFS('ProductSprint Backlog'!$F34="", "", AND('ProductSprint Backlog'!$J34&gt;K$2,'ProductSprint Backlog'!$I34&lt;=K$2), 'ProductSprint Backlog'!$F34 / MAX(1, 'ProductSprint Backlog'!$J34-'ProductSprint Backlog'!$I34), AND('ProductSprint Backlog'!$J34=K$2,'ProductSprint Backlog'!$I34=K$2), 'ProductSprint Backlog'!$F34, TRUE, 0)</f>
        <v>0</v>
      </c>
      <c r="L34" s="4" cm="1">
        <f t="array" ref="L34">_xlfn.IFS('ProductSprint Backlog'!$F34="", "", AND('ProductSprint Backlog'!$J34&gt;L$2,'ProductSprint Backlog'!$I34&lt;=L$2), 'ProductSprint Backlog'!$F34 / MAX(1, 'ProductSprint Backlog'!$J34-'ProductSprint Backlog'!$I34), AND('ProductSprint Backlog'!$J34=L$2,'ProductSprint Backlog'!$I34=L$2), 'ProductSprint Backlog'!$F34, TRUE, 0)</f>
        <v>0</v>
      </c>
      <c r="M34" s="4" cm="1">
        <f t="array" ref="M34">_xlfn.IFS('ProductSprint Backlog'!$F34="", "", AND('ProductSprint Backlog'!$J34&gt;M$2,'ProductSprint Backlog'!$I34&lt;=M$2), 'ProductSprint Backlog'!$F34 / MAX(1, 'ProductSprint Backlog'!$J34-'ProductSprint Backlog'!$I34), AND('ProductSprint Backlog'!$J34=M$2,'ProductSprint Backlog'!$I34=M$2), 'ProductSprint Backlog'!$F34, TRUE, 0)</f>
        <v>0</v>
      </c>
      <c r="N34" s="4" cm="1">
        <f t="array" ref="N34">_xlfn.IFS('ProductSprint Backlog'!$F34="", "", AND('ProductSprint Backlog'!$J34&gt;N$2,'ProductSprint Backlog'!$I34&lt;=N$2), 'ProductSprint Backlog'!$F34 / MAX(1, 'ProductSprint Backlog'!$J34-'ProductSprint Backlog'!$I34), AND('ProductSprint Backlog'!$J34=N$2,'ProductSprint Backlog'!$I34=N$2), 'ProductSprint Backlog'!$F34, TRUE, 0)</f>
        <v>0</v>
      </c>
      <c r="O34" s="4" cm="1">
        <f t="array" ref="O34">_xlfn.IFS('ProductSprint Backlog'!$F34="", "", AND('ProductSprint Backlog'!$J34&gt;O$2,'ProductSprint Backlog'!$I34&lt;=O$2), 'ProductSprint Backlog'!$F34 / MAX(1, 'ProductSprint Backlog'!$J34-'ProductSprint Backlog'!$I34), AND('ProductSprint Backlog'!$J34=O$2,'ProductSprint Backlog'!$I34=O$2), 'ProductSprint Backlog'!$F34, TRUE, 0)</f>
        <v>0</v>
      </c>
      <c r="P34" s="4" cm="1">
        <f t="array" ref="P34">_xlfn.IFS('ProductSprint Backlog'!$F34="", "", AND('ProductSprint Backlog'!$J34&gt;P$2,'ProductSprint Backlog'!$I34&lt;=P$2), 'ProductSprint Backlog'!$F34 / MAX(1, 'ProductSprint Backlog'!$J34-'ProductSprint Backlog'!$I34), AND('ProductSprint Backlog'!$J34=P$2,'ProductSprint Backlog'!$I34=P$2), 'ProductSprint Backlog'!$F34, TRUE, 0)</f>
        <v>0</v>
      </c>
      <c r="Q34" s="4" cm="1">
        <f t="array" ref="Q34">_xlfn.IFS('ProductSprint Backlog'!$F34="", "", AND('ProductSprint Backlog'!$J34&gt;Q$2,'ProductSprint Backlog'!$I34&lt;=Q$2), 'ProductSprint Backlog'!$F34 / MAX(1, 'ProductSprint Backlog'!$J34-'ProductSprint Backlog'!$I34), AND('ProductSprint Backlog'!$J34=Q$2,'ProductSprint Backlog'!$I34=Q$2), 'ProductSprint Backlog'!$F34, TRUE, 0)</f>
        <v>0</v>
      </c>
      <c r="R34" s="4" cm="1">
        <f t="array" ref="R34">_xlfn.IFS('ProductSprint Backlog'!$F34="", "", AND('ProductSprint Backlog'!$J34&gt;R$2,'ProductSprint Backlog'!$I34&lt;=R$2), 'ProductSprint Backlog'!$F34 / MAX(1, 'ProductSprint Backlog'!$J34-'ProductSprint Backlog'!$I34), AND('ProductSprint Backlog'!$J34=R$2,'ProductSprint Backlog'!$I34=R$2), 'ProductSprint Backlog'!$F34, TRUE, 0)</f>
        <v>0</v>
      </c>
      <c r="S34" s="4" cm="1">
        <f t="array" ref="S34">_xlfn.IFS('ProductSprint Backlog'!$F34="", "", AND('ProductSprint Backlog'!$J34&gt;S$2,'ProductSprint Backlog'!$I34&lt;=S$2), 'ProductSprint Backlog'!$F34 / MAX(1, 'ProductSprint Backlog'!$J34-'ProductSprint Backlog'!$I34), AND('ProductSprint Backlog'!$J34=S$2,'ProductSprint Backlog'!$I34=S$2), 'ProductSprint Backlog'!$F34, TRUE, 0)</f>
        <v>0</v>
      </c>
      <c r="T34" s="4" cm="1">
        <f t="array" ref="T34">_xlfn.IFS('ProductSprint Backlog'!$F34="", "", AND('ProductSprint Backlog'!$J34&gt;T$2,'ProductSprint Backlog'!$I34&lt;=T$2), 'ProductSprint Backlog'!$F34 / MAX(1, 'ProductSprint Backlog'!$J34-'ProductSprint Backlog'!$I34), AND('ProductSprint Backlog'!$J34=T$2,'ProductSprint Backlog'!$I34=T$2), 'ProductSprint Backlog'!$F34, TRUE, 0)</f>
        <v>0</v>
      </c>
    </row>
    <row r="35" spans="2:20" x14ac:dyDescent="0.2">
      <c r="B35" s="4" cm="1">
        <f t="array" ref="B35">_xlfn.IFS('ProductSprint Backlog'!$F35="", "", AND('ProductSprint Backlog'!$J35&gt;B$2,'ProductSprint Backlog'!$I35&lt;=B$2), 'ProductSprint Backlog'!$F35 / MAX(1, 'ProductSprint Backlog'!$J35-'ProductSprint Backlog'!$I35), AND('ProductSprint Backlog'!$J35=B$2,'ProductSprint Backlog'!$I35=B$2), 'ProductSprint Backlog'!$F35, TRUE, 0)</f>
        <v>0</v>
      </c>
      <c r="C35" s="4" cm="1">
        <f t="array" ref="C35">_xlfn.IFS('ProductSprint Backlog'!$F35="", "", AND('ProductSprint Backlog'!$J35&gt;C$2,'ProductSprint Backlog'!$I35&lt;=C$2), 'ProductSprint Backlog'!$F35 / MAX(1, 'ProductSprint Backlog'!$J35-'ProductSprint Backlog'!$I35), AND('ProductSprint Backlog'!$J35=C$2,'ProductSprint Backlog'!$I35=C$2), 'ProductSprint Backlog'!$F35, TRUE, 0)</f>
        <v>0</v>
      </c>
      <c r="D35" s="4" cm="1">
        <f t="array" ref="D35">_xlfn.IFS('ProductSprint Backlog'!$F35="", "", AND('ProductSprint Backlog'!$J35&gt;D$2,'ProductSprint Backlog'!$I35&lt;=D$2), 'ProductSprint Backlog'!$F35 / MAX(1, 'ProductSprint Backlog'!$J35-'ProductSprint Backlog'!$I35), AND('ProductSprint Backlog'!$J35=D$2,'ProductSprint Backlog'!$I35=D$2), 'ProductSprint Backlog'!$F35, TRUE, 0)</f>
        <v>0</v>
      </c>
      <c r="E35" s="4" cm="1">
        <f t="array" ref="E35">_xlfn.IFS('ProductSprint Backlog'!$F35="", "", AND('ProductSprint Backlog'!$J35&gt;E$2,'ProductSprint Backlog'!$I35&lt;=E$2), 'ProductSprint Backlog'!$F35 / MAX(1, 'ProductSprint Backlog'!$J35-'ProductSprint Backlog'!$I35), AND('ProductSprint Backlog'!$J35=E$2,'ProductSprint Backlog'!$I35=E$2), 'ProductSprint Backlog'!$F35, TRUE, 0)</f>
        <v>0</v>
      </c>
      <c r="F35" s="4" cm="1">
        <f t="array" ref="F35">_xlfn.IFS('ProductSprint Backlog'!$F35="", "", AND('ProductSprint Backlog'!$J35&gt;F$2,'ProductSprint Backlog'!$I35&lt;=F$2), 'ProductSprint Backlog'!$F35 / MAX(1, 'ProductSprint Backlog'!$J35-'ProductSprint Backlog'!$I35), AND('ProductSprint Backlog'!$J35=F$2,'ProductSprint Backlog'!$I35=F$2), 'ProductSprint Backlog'!$F35, TRUE, 0)</f>
        <v>0</v>
      </c>
      <c r="G35" s="4" cm="1">
        <f t="array" ref="G35">_xlfn.IFS('ProductSprint Backlog'!$F35="", "", AND('ProductSprint Backlog'!$J35&gt;G$2,'ProductSprint Backlog'!$I35&lt;=G$2), 'ProductSprint Backlog'!$F35 / MAX(1, 'ProductSprint Backlog'!$J35-'ProductSprint Backlog'!$I35), AND('ProductSprint Backlog'!$J35=G$2,'ProductSprint Backlog'!$I35=G$2), 'ProductSprint Backlog'!$F35, TRUE, 0)</f>
        <v>0</v>
      </c>
      <c r="H35" s="4" cm="1">
        <f t="array" ref="H35">_xlfn.IFS('ProductSprint Backlog'!$F35="", "", AND('ProductSprint Backlog'!$J35&gt;H$2,'ProductSprint Backlog'!$I35&lt;=H$2), 'ProductSprint Backlog'!$F35 / MAX(1, 'ProductSprint Backlog'!$J35-'ProductSprint Backlog'!$I35), AND('ProductSprint Backlog'!$J35=H$2,'ProductSprint Backlog'!$I35=H$2), 'ProductSprint Backlog'!$F35, TRUE, 0)</f>
        <v>0</v>
      </c>
      <c r="I35" s="4" cm="1">
        <f t="array" ref="I35">_xlfn.IFS('ProductSprint Backlog'!$F35="", "", AND('ProductSprint Backlog'!$J35&gt;I$2,'ProductSprint Backlog'!$I35&lt;=I$2), 'ProductSprint Backlog'!$F35 / MAX(1, 'ProductSprint Backlog'!$J35-'ProductSprint Backlog'!$I35), AND('ProductSprint Backlog'!$J35=I$2,'ProductSprint Backlog'!$I35=I$2), 'ProductSprint Backlog'!$F35, TRUE, 0)</f>
        <v>0</v>
      </c>
      <c r="J35" s="4" cm="1">
        <f t="array" ref="J35">_xlfn.IFS('ProductSprint Backlog'!$F35="", "", AND('ProductSprint Backlog'!$J35&gt;J$2,'ProductSprint Backlog'!$I35&lt;=J$2), 'ProductSprint Backlog'!$F35 / MAX(1, 'ProductSprint Backlog'!$J35-'ProductSprint Backlog'!$I35), AND('ProductSprint Backlog'!$J35=J$2,'ProductSprint Backlog'!$I35=J$2), 'ProductSprint Backlog'!$F35, TRUE, 0)</f>
        <v>0</v>
      </c>
      <c r="K35" s="4" cm="1">
        <f t="array" ref="K35">_xlfn.IFS('ProductSprint Backlog'!$F35="", "", AND('ProductSprint Backlog'!$J35&gt;K$2,'ProductSprint Backlog'!$I35&lt;=K$2), 'ProductSprint Backlog'!$F35 / MAX(1, 'ProductSprint Backlog'!$J35-'ProductSprint Backlog'!$I35), AND('ProductSprint Backlog'!$J35=K$2,'ProductSprint Backlog'!$I35=K$2), 'ProductSprint Backlog'!$F35, TRUE, 0)</f>
        <v>0</v>
      </c>
      <c r="L35" s="4" cm="1">
        <f t="array" ref="L35">_xlfn.IFS('ProductSprint Backlog'!$F35="", "", AND('ProductSprint Backlog'!$J35&gt;L$2,'ProductSprint Backlog'!$I35&lt;=L$2), 'ProductSprint Backlog'!$F35 / MAX(1, 'ProductSprint Backlog'!$J35-'ProductSprint Backlog'!$I35), AND('ProductSprint Backlog'!$J35=L$2,'ProductSprint Backlog'!$I35=L$2), 'ProductSprint Backlog'!$F35, TRUE, 0)</f>
        <v>0</v>
      </c>
      <c r="M35" s="4" cm="1">
        <f t="array" ref="M35">_xlfn.IFS('ProductSprint Backlog'!$F35="", "", AND('ProductSprint Backlog'!$J35&gt;M$2,'ProductSprint Backlog'!$I35&lt;=M$2), 'ProductSprint Backlog'!$F35 / MAX(1, 'ProductSprint Backlog'!$J35-'ProductSprint Backlog'!$I35), AND('ProductSprint Backlog'!$J35=M$2,'ProductSprint Backlog'!$I35=M$2), 'ProductSprint Backlog'!$F35, TRUE, 0)</f>
        <v>0</v>
      </c>
      <c r="N35" s="4" cm="1">
        <f t="array" ref="N35">_xlfn.IFS('ProductSprint Backlog'!$F35="", "", AND('ProductSprint Backlog'!$J35&gt;N$2,'ProductSprint Backlog'!$I35&lt;=N$2), 'ProductSprint Backlog'!$F35 / MAX(1, 'ProductSprint Backlog'!$J35-'ProductSprint Backlog'!$I35), AND('ProductSprint Backlog'!$J35=N$2,'ProductSprint Backlog'!$I35=N$2), 'ProductSprint Backlog'!$F35, TRUE, 0)</f>
        <v>0</v>
      </c>
      <c r="O35" s="4" cm="1">
        <f t="array" ref="O35">_xlfn.IFS('ProductSprint Backlog'!$F35="", "", AND('ProductSprint Backlog'!$J35&gt;O$2,'ProductSprint Backlog'!$I35&lt;=O$2), 'ProductSprint Backlog'!$F35 / MAX(1, 'ProductSprint Backlog'!$J35-'ProductSprint Backlog'!$I35), AND('ProductSprint Backlog'!$J35=O$2,'ProductSprint Backlog'!$I35=O$2), 'ProductSprint Backlog'!$F35, TRUE, 0)</f>
        <v>0</v>
      </c>
      <c r="P35" s="4" cm="1">
        <f t="array" ref="P35">_xlfn.IFS('ProductSprint Backlog'!$F35="", "", AND('ProductSprint Backlog'!$J35&gt;P$2,'ProductSprint Backlog'!$I35&lt;=P$2), 'ProductSprint Backlog'!$F35 / MAX(1, 'ProductSprint Backlog'!$J35-'ProductSprint Backlog'!$I35), AND('ProductSprint Backlog'!$J35=P$2,'ProductSprint Backlog'!$I35=P$2), 'ProductSprint Backlog'!$F35, TRUE, 0)</f>
        <v>0</v>
      </c>
      <c r="Q35" s="4" cm="1">
        <f t="array" ref="Q35">_xlfn.IFS('ProductSprint Backlog'!$F35="", "", AND('ProductSprint Backlog'!$J35&gt;Q$2,'ProductSprint Backlog'!$I35&lt;=Q$2), 'ProductSprint Backlog'!$F35 / MAX(1, 'ProductSprint Backlog'!$J35-'ProductSprint Backlog'!$I35), AND('ProductSprint Backlog'!$J35=Q$2,'ProductSprint Backlog'!$I35=Q$2), 'ProductSprint Backlog'!$F35, TRUE, 0)</f>
        <v>0</v>
      </c>
      <c r="R35" s="4" cm="1">
        <f t="array" ref="R35">_xlfn.IFS('ProductSprint Backlog'!$F35="", "", AND('ProductSprint Backlog'!$J35&gt;R$2,'ProductSprint Backlog'!$I35&lt;=R$2), 'ProductSprint Backlog'!$F35 / MAX(1, 'ProductSprint Backlog'!$J35-'ProductSprint Backlog'!$I35), AND('ProductSprint Backlog'!$J35=R$2,'ProductSprint Backlog'!$I35=R$2), 'ProductSprint Backlog'!$F35, TRUE, 0)</f>
        <v>0</v>
      </c>
      <c r="S35" s="4" cm="1">
        <f t="array" ref="S35">_xlfn.IFS('ProductSprint Backlog'!$F35="", "", AND('ProductSprint Backlog'!$J35&gt;S$2,'ProductSprint Backlog'!$I35&lt;=S$2), 'ProductSprint Backlog'!$F35 / MAX(1, 'ProductSprint Backlog'!$J35-'ProductSprint Backlog'!$I35), AND('ProductSprint Backlog'!$J35=S$2,'ProductSprint Backlog'!$I35=S$2), 'ProductSprint Backlog'!$F35, TRUE, 0)</f>
        <v>0</v>
      </c>
      <c r="T35" s="4" cm="1">
        <f t="array" ref="T35">_xlfn.IFS('ProductSprint Backlog'!$F35="", "", AND('ProductSprint Backlog'!$J35&gt;T$2,'ProductSprint Backlog'!$I35&lt;=T$2), 'ProductSprint Backlog'!$F35 / MAX(1, 'ProductSprint Backlog'!$J35-'ProductSprint Backlog'!$I35), AND('ProductSprint Backlog'!$J35=T$2,'ProductSprint Backlog'!$I35=T$2), 'ProductSprint Backlog'!$F35, TRUE, 0)</f>
        <v>0</v>
      </c>
    </row>
    <row r="36" spans="2:20" x14ac:dyDescent="0.2">
      <c r="B36" s="4" t="str" cm="1">
        <f t="array" ref="B36">_xlfn.IFS('ProductSprint Backlog'!$F36="", "", AND('ProductSprint Backlog'!$J36&gt;B$2,'ProductSprint Backlog'!$I36&lt;=B$2), 'ProductSprint Backlog'!$F36 / MAX(1, 'ProductSprint Backlog'!$J36-'ProductSprint Backlog'!$I36), AND('ProductSprint Backlog'!$J36=B$2,'ProductSprint Backlog'!$I36=B$2), 'ProductSprint Backlog'!$F36, TRUE, 0)</f>
        <v/>
      </c>
      <c r="C36" s="4" t="str" cm="1">
        <f t="array" ref="C36">_xlfn.IFS('ProductSprint Backlog'!$F36="", "", AND('ProductSprint Backlog'!$J36&gt;C$2,'ProductSprint Backlog'!$I36&lt;=C$2), 'ProductSprint Backlog'!$F36 / MAX(1, 'ProductSprint Backlog'!$J36-'ProductSprint Backlog'!$I36), AND('ProductSprint Backlog'!$J36=C$2,'ProductSprint Backlog'!$I36=C$2), 'ProductSprint Backlog'!$F36, TRUE, 0)</f>
        <v/>
      </c>
      <c r="D36" s="4" t="str" cm="1">
        <f t="array" ref="D36">_xlfn.IFS('ProductSprint Backlog'!$F36="", "", AND('ProductSprint Backlog'!$J36&gt;D$2,'ProductSprint Backlog'!$I36&lt;=D$2), 'ProductSprint Backlog'!$F36 / MAX(1, 'ProductSprint Backlog'!$J36-'ProductSprint Backlog'!$I36), AND('ProductSprint Backlog'!$J36=D$2,'ProductSprint Backlog'!$I36=D$2), 'ProductSprint Backlog'!$F36, TRUE, 0)</f>
        <v/>
      </c>
      <c r="E36" s="4" t="str" cm="1">
        <f t="array" ref="E36">_xlfn.IFS('ProductSprint Backlog'!$F36="", "", AND('ProductSprint Backlog'!$J36&gt;E$2,'ProductSprint Backlog'!$I36&lt;=E$2), 'ProductSprint Backlog'!$F36 / MAX(1, 'ProductSprint Backlog'!$J36-'ProductSprint Backlog'!$I36), AND('ProductSprint Backlog'!$J36=E$2,'ProductSprint Backlog'!$I36=E$2), 'ProductSprint Backlog'!$F36, TRUE, 0)</f>
        <v/>
      </c>
      <c r="F36" s="4" t="str" cm="1">
        <f t="array" ref="F36">_xlfn.IFS('ProductSprint Backlog'!$F36="", "", AND('ProductSprint Backlog'!$J36&gt;F$2,'ProductSprint Backlog'!$I36&lt;=F$2), 'ProductSprint Backlog'!$F36 / MAX(1, 'ProductSprint Backlog'!$J36-'ProductSprint Backlog'!$I36), AND('ProductSprint Backlog'!$J36=F$2,'ProductSprint Backlog'!$I36=F$2), 'ProductSprint Backlog'!$F36, TRUE, 0)</f>
        <v/>
      </c>
      <c r="G36" s="4" t="str" cm="1">
        <f t="array" ref="G36">_xlfn.IFS('ProductSprint Backlog'!$F36="", "", AND('ProductSprint Backlog'!$J36&gt;G$2,'ProductSprint Backlog'!$I36&lt;=G$2), 'ProductSprint Backlog'!$F36 / MAX(1, 'ProductSprint Backlog'!$J36-'ProductSprint Backlog'!$I36), AND('ProductSprint Backlog'!$J36=G$2,'ProductSprint Backlog'!$I36=G$2), 'ProductSprint Backlog'!$F36, TRUE, 0)</f>
        <v/>
      </c>
      <c r="H36" s="4" t="str" cm="1">
        <f t="array" ref="H36">_xlfn.IFS('ProductSprint Backlog'!$F36="", "", AND('ProductSprint Backlog'!$J36&gt;H$2,'ProductSprint Backlog'!$I36&lt;=H$2), 'ProductSprint Backlog'!$F36 / MAX(1, 'ProductSprint Backlog'!$J36-'ProductSprint Backlog'!$I36), AND('ProductSprint Backlog'!$J36=H$2,'ProductSprint Backlog'!$I36=H$2), 'ProductSprint Backlog'!$F36, TRUE, 0)</f>
        <v/>
      </c>
      <c r="I36" s="4" t="str" cm="1">
        <f t="array" ref="I36">_xlfn.IFS('ProductSprint Backlog'!$F36="", "", AND('ProductSprint Backlog'!$J36&gt;I$2,'ProductSprint Backlog'!$I36&lt;=I$2), 'ProductSprint Backlog'!$F36 / MAX(1, 'ProductSprint Backlog'!$J36-'ProductSprint Backlog'!$I36), AND('ProductSprint Backlog'!$J36=I$2,'ProductSprint Backlog'!$I36=I$2), 'ProductSprint Backlog'!$F36, TRUE, 0)</f>
        <v/>
      </c>
      <c r="J36" s="4" t="str" cm="1">
        <f t="array" ref="J36">_xlfn.IFS('ProductSprint Backlog'!$F36="", "", AND('ProductSprint Backlog'!$J36&gt;J$2,'ProductSprint Backlog'!$I36&lt;=J$2), 'ProductSprint Backlog'!$F36 / MAX(1, 'ProductSprint Backlog'!$J36-'ProductSprint Backlog'!$I36), AND('ProductSprint Backlog'!$J36=J$2,'ProductSprint Backlog'!$I36=J$2), 'ProductSprint Backlog'!$F36, TRUE, 0)</f>
        <v/>
      </c>
      <c r="K36" s="4" t="str" cm="1">
        <f t="array" ref="K36">_xlfn.IFS('ProductSprint Backlog'!$F36="", "", AND('ProductSprint Backlog'!$J36&gt;K$2,'ProductSprint Backlog'!$I36&lt;=K$2), 'ProductSprint Backlog'!$F36 / MAX(1, 'ProductSprint Backlog'!$J36-'ProductSprint Backlog'!$I36), AND('ProductSprint Backlog'!$J36=K$2,'ProductSprint Backlog'!$I36=K$2), 'ProductSprint Backlog'!$F36, TRUE, 0)</f>
        <v/>
      </c>
      <c r="L36" s="4" t="str" cm="1">
        <f t="array" ref="L36">_xlfn.IFS('ProductSprint Backlog'!$F36="", "", AND('ProductSprint Backlog'!$J36&gt;L$2,'ProductSprint Backlog'!$I36&lt;=L$2), 'ProductSprint Backlog'!$F36 / MAX(1, 'ProductSprint Backlog'!$J36-'ProductSprint Backlog'!$I36), AND('ProductSprint Backlog'!$J36=L$2,'ProductSprint Backlog'!$I36=L$2), 'ProductSprint Backlog'!$F36, TRUE, 0)</f>
        <v/>
      </c>
      <c r="M36" s="4" t="str" cm="1">
        <f t="array" ref="M36">_xlfn.IFS('ProductSprint Backlog'!$F36="", "", AND('ProductSprint Backlog'!$J36&gt;M$2,'ProductSprint Backlog'!$I36&lt;=M$2), 'ProductSprint Backlog'!$F36 / MAX(1, 'ProductSprint Backlog'!$J36-'ProductSprint Backlog'!$I36), AND('ProductSprint Backlog'!$J36=M$2,'ProductSprint Backlog'!$I36=M$2), 'ProductSprint Backlog'!$F36, TRUE, 0)</f>
        <v/>
      </c>
      <c r="N36" s="4" t="str" cm="1">
        <f t="array" ref="N36">_xlfn.IFS('ProductSprint Backlog'!$F36="", "", AND('ProductSprint Backlog'!$J36&gt;N$2,'ProductSprint Backlog'!$I36&lt;=N$2), 'ProductSprint Backlog'!$F36 / MAX(1, 'ProductSprint Backlog'!$J36-'ProductSprint Backlog'!$I36), AND('ProductSprint Backlog'!$J36=N$2,'ProductSprint Backlog'!$I36=N$2), 'ProductSprint Backlog'!$F36, TRUE, 0)</f>
        <v/>
      </c>
      <c r="O36" s="4" t="str" cm="1">
        <f t="array" ref="O36">_xlfn.IFS('ProductSprint Backlog'!$F36="", "", AND('ProductSprint Backlog'!$J36&gt;O$2,'ProductSprint Backlog'!$I36&lt;=O$2), 'ProductSprint Backlog'!$F36 / MAX(1, 'ProductSprint Backlog'!$J36-'ProductSprint Backlog'!$I36), AND('ProductSprint Backlog'!$J36=O$2,'ProductSprint Backlog'!$I36=O$2), 'ProductSprint Backlog'!$F36, TRUE, 0)</f>
        <v/>
      </c>
      <c r="P36" s="4" t="str" cm="1">
        <f t="array" ref="P36">_xlfn.IFS('ProductSprint Backlog'!$F36="", "", AND('ProductSprint Backlog'!$J36&gt;P$2,'ProductSprint Backlog'!$I36&lt;=P$2), 'ProductSprint Backlog'!$F36 / MAX(1, 'ProductSprint Backlog'!$J36-'ProductSprint Backlog'!$I36), AND('ProductSprint Backlog'!$J36=P$2,'ProductSprint Backlog'!$I36=P$2), 'ProductSprint Backlog'!$F36, TRUE, 0)</f>
        <v/>
      </c>
      <c r="Q36" s="4" t="str" cm="1">
        <f t="array" ref="Q36">_xlfn.IFS('ProductSprint Backlog'!$F36="", "", AND('ProductSprint Backlog'!$J36&gt;Q$2,'ProductSprint Backlog'!$I36&lt;=Q$2), 'ProductSprint Backlog'!$F36 / MAX(1, 'ProductSprint Backlog'!$J36-'ProductSprint Backlog'!$I36), AND('ProductSprint Backlog'!$J36=Q$2,'ProductSprint Backlog'!$I36=Q$2), 'ProductSprint Backlog'!$F36, TRUE, 0)</f>
        <v/>
      </c>
      <c r="R36" s="4" t="str" cm="1">
        <f t="array" ref="R36">_xlfn.IFS('ProductSprint Backlog'!$F36="", "", AND('ProductSprint Backlog'!$J36&gt;R$2,'ProductSprint Backlog'!$I36&lt;=R$2), 'ProductSprint Backlog'!$F36 / MAX(1, 'ProductSprint Backlog'!$J36-'ProductSprint Backlog'!$I36), AND('ProductSprint Backlog'!$J36=R$2,'ProductSprint Backlog'!$I36=R$2), 'ProductSprint Backlog'!$F36, TRUE, 0)</f>
        <v/>
      </c>
      <c r="S36" s="4" t="str" cm="1">
        <f t="array" ref="S36">_xlfn.IFS('ProductSprint Backlog'!$F36="", "", AND('ProductSprint Backlog'!$J36&gt;S$2,'ProductSprint Backlog'!$I36&lt;=S$2), 'ProductSprint Backlog'!$F36 / MAX(1, 'ProductSprint Backlog'!$J36-'ProductSprint Backlog'!$I36), AND('ProductSprint Backlog'!$J36=S$2,'ProductSprint Backlog'!$I36=S$2), 'ProductSprint Backlog'!$F36, TRUE, 0)</f>
        <v/>
      </c>
      <c r="T36" s="4" t="str" cm="1">
        <f t="array" ref="T36">_xlfn.IFS('ProductSprint Backlog'!$F36="", "", AND('ProductSprint Backlog'!$J36&gt;T$2,'ProductSprint Backlog'!$I36&lt;=T$2), 'ProductSprint Backlog'!$F36 / MAX(1, 'ProductSprint Backlog'!$J36-'ProductSprint Backlog'!$I36), AND('ProductSprint Backlog'!$J36=T$2,'ProductSprint Backlog'!$I36=T$2), 'ProductSprint Backlog'!$F36, TRUE, 0)</f>
        <v/>
      </c>
    </row>
    <row r="37" spans="2:20" x14ac:dyDescent="0.2">
      <c r="B37" s="4" cm="1">
        <f t="array" ref="B37">_xlfn.IFS('ProductSprint Backlog'!$F37="", "", AND('ProductSprint Backlog'!$J37&gt;B$2,'ProductSprint Backlog'!$I37&lt;=B$2), 'ProductSprint Backlog'!$F37 / MAX(1, 'ProductSprint Backlog'!$J37-'ProductSprint Backlog'!$I37), AND('ProductSprint Backlog'!$J37=B$2,'ProductSprint Backlog'!$I37=B$2), 'ProductSprint Backlog'!$F37, TRUE, 0)</f>
        <v>0</v>
      </c>
      <c r="C37" s="4" cm="1">
        <f t="array" ref="C37">_xlfn.IFS('ProductSprint Backlog'!$F37="", "", AND('ProductSprint Backlog'!$J37&gt;C$2,'ProductSprint Backlog'!$I37&lt;=C$2), 'ProductSprint Backlog'!$F37 / MAX(1, 'ProductSprint Backlog'!$J37-'ProductSprint Backlog'!$I37), AND('ProductSprint Backlog'!$J37=C$2,'ProductSprint Backlog'!$I37=C$2), 'ProductSprint Backlog'!$F37, TRUE, 0)</f>
        <v>0</v>
      </c>
      <c r="D37" s="4" cm="1">
        <f t="array" ref="D37">_xlfn.IFS('ProductSprint Backlog'!$F37="", "", AND('ProductSprint Backlog'!$J37&gt;D$2,'ProductSprint Backlog'!$I37&lt;=D$2), 'ProductSprint Backlog'!$F37 / MAX(1, 'ProductSprint Backlog'!$J37-'ProductSprint Backlog'!$I37), AND('ProductSprint Backlog'!$J37=D$2,'ProductSprint Backlog'!$I37=D$2), 'ProductSprint Backlog'!$F37, TRUE, 0)</f>
        <v>0</v>
      </c>
      <c r="E37" s="4" cm="1">
        <f t="array" ref="E37">_xlfn.IFS('ProductSprint Backlog'!$F37="", "", AND('ProductSprint Backlog'!$J37&gt;E$2,'ProductSprint Backlog'!$I37&lt;=E$2), 'ProductSprint Backlog'!$F37 / MAX(1, 'ProductSprint Backlog'!$J37-'ProductSprint Backlog'!$I37), AND('ProductSprint Backlog'!$J37=E$2,'ProductSprint Backlog'!$I37=E$2), 'ProductSprint Backlog'!$F37, TRUE, 0)</f>
        <v>0</v>
      </c>
      <c r="F37" s="4" cm="1">
        <f t="array" ref="F37">_xlfn.IFS('ProductSprint Backlog'!$F37="", "", AND('ProductSprint Backlog'!$J37&gt;F$2,'ProductSprint Backlog'!$I37&lt;=F$2), 'ProductSprint Backlog'!$F37 / MAX(1, 'ProductSprint Backlog'!$J37-'ProductSprint Backlog'!$I37), AND('ProductSprint Backlog'!$J37=F$2,'ProductSprint Backlog'!$I37=F$2), 'ProductSprint Backlog'!$F37, TRUE, 0)</f>
        <v>0</v>
      </c>
      <c r="G37" s="4" cm="1">
        <f t="array" ref="G37">_xlfn.IFS('ProductSprint Backlog'!$F37="", "", AND('ProductSprint Backlog'!$J37&gt;G$2,'ProductSprint Backlog'!$I37&lt;=G$2), 'ProductSprint Backlog'!$F37 / MAX(1, 'ProductSprint Backlog'!$J37-'ProductSprint Backlog'!$I37), AND('ProductSprint Backlog'!$J37=G$2,'ProductSprint Backlog'!$I37=G$2), 'ProductSprint Backlog'!$F37, TRUE, 0)</f>
        <v>0</v>
      </c>
      <c r="H37" s="4" cm="1">
        <f t="array" ref="H37">_xlfn.IFS('ProductSprint Backlog'!$F37="", "", AND('ProductSprint Backlog'!$J37&gt;H$2,'ProductSprint Backlog'!$I37&lt;=H$2), 'ProductSprint Backlog'!$F37 / MAX(1, 'ProductSprint Backlog'!$J37-'ProductSprint Backlog'!$I37), AND('ProductSprint Backlog'!$J37=H$2,'ProductSprint Backlog'!$I37=H$2), 'ProductSprint Backlog'!$F37, TRUE, 0)</f>
        <v>0</v>
      </c>
      <c r="I37" s="4" cm="1">
        <f t="array" ref="I37">_xlfn.IFS('ProductSprint Backlog'!$F37="", "", AND('ProductSprint Backlog'!$J37&gt;I$2,'ProductSprint Backlog'!$I37&lt;=I$2), 'ProductSprint Backlog'!$F37 / MAX(1, 'ProductSprint Backlog'!$J37-'ProductSprint Backlog'!$I37), AND('ProductSprint Backlog'!$J37=I$2,'ProductSprint Backlog'!$I37=I$2), 'ProductSprint Backlog'!$F37, TRUE, 0)</f>
        <v>0</v>
      </c>
      <c r="J37" s="4" cm="1">
        <f t="array" ref="J37">_xlfn.IFS('ProductSprint Backlog'!$F37="", "", AND('ProductSprint Backlog'!$J37&gt;J$2,'ProductSprint Backlog'!$I37&lt;=J$2), 'ProductSprint Backlog'!$F37 / MAX(1, 'ProductSprint Backlog'!$J37-'ProductSprint Backlog'!$I37), AND('ProductSprint Backlog'!$J37=J$2,'ProductSprint Backlog'!$I37=J$2), 'ProductSprint Backlog'!$F37, TRUE, 0)</f>
        <v>0</v>
      </c>
      <c r="K37" s="4" cm="1">
        <f t="array" ref="K37">_xlfn.IFS('ProductSprint Backlog'!$F37="", "", AND('ProductSprint Backlog'!$J37&gt;K$2,'ProductSprint Backlog'!$I37&lt;=K$2), 'ProductSprint Backlog'!$F37 / MAX(1, 'ProductSprint Backlog'!$J37-'ProductSprint Backlog'!$I37), AND('ProductSprint Backlog'!$J37=K$2,'ProductSprint Backlog'!$I37=K$2), 'ProductSprint Backlog'!$F37, TRUE, 0)</f>
        <v>0</v>
      </c>
      <c r="L37" s="4" cm="1">
        <f t="array" ref="L37">_xlfn.IFS('ProductSprint Backlog'!$F37="", "", AND('ProductSprint Backlog'!$J37&gt;L$2,'ProductSprint Backlog'!$I37&lt;=L$2), 'ProductSprint Backlog'!$F37 / MAX(1, 'ProductSprint Backlog'!$J37-'ProductSprint Backlog'!$I37), AND('ProductSprint Backlog'!$J37=L$2,'ProductSprint Backlog'!$I37=L$2), 'ProductSprint Backlog'!$F37, TRUE, 0)</f>
        <v>0</v>
      </c>
      <c r="M37" s="4" cm="1">
        <f t="array" ref="M37">_xlfn.IFS('ProductSprint Backlog'!$F37="", "", AND('ProductSprint Backlog'!$J37&gt;M$2,'ProductSprint Backlog'!$I37&lt;=M$2), 'ProductSprint Backlog'!$F37 / MAX(1, 'ProductSprint Backlog'!$J37-'ProductSprint Backlog'!$I37), AND('ProductSprint Backlog'!$J37=M$2,'ProductSprint Backlog'!$I37=M$2), 'ProductSprint Backlog'!$F37, TRUE, 0)</f>
        <v>0</v>
      </c>
      <c r="N37" s="4" cm="1">
        <f t="array" ref="N37">_xlfn.IFS('ProductSprint Backlog'!$F37="", "", AND('ProductSprint Backlog'!$J37&gt;N$2,'ProductSprint Backlog'!$I37&lt;=N$2), 'ProductSprint Backlog'!$F37 / MAX(1, 'ProductSprint Backlog'!$J37-'ProductSprint Backlog'!$I37), AND('ProductSprint Backlog'!$J37=N$2,'ProductSprint Backlog'!$I37=N$2), 'ProductSprint Backlog'!$F37, TRUE, 0)</f>
        <v>0</v>
      </c>
      <c r="O37" s="4" cm="1">
        <f t="array" ref="O37">_xlfn.IFS('ProductSprint Backlog'!$F37="", "", AND('ProductSprint Backlog'!$J37&gt;O$2,'ProductSprint Backlog'!$I37&lt;=O$2), 'ProductSprint Backlog'!$F37 / MAX(1, 'ProductSprint Backlog'!$J37-'ProductSprint Backlog'!$I37), AND('ProductSprint Backlog'!$J37=O$2,'ProductSprint Backlog'!$I37=O$2), 'ProductSprint Backlog'!$F37, TRUE, 0)</f>
        <v>0</v>
      </c>
      <c r="P37" s="4" cm="1">
        <f t="array" ref="P37">_xlfn.IFS('ProductSprint Backlog'!$F37="", "", AND('ProductSprint Backlog'!$J37&gt;P$2,'ProductSprint Backlog'!$I37&lt;=P$2), 'ProductSprint Backlog'!$F37 / MAX(1, 'ProductSprint Backlog'!$J37-'ProductSprint Backlog'!$I37), AND('ProductSprint Backlog'!$J37=P$2,'ProductSprint Backlog'!$I37=P$2), 'ProductSprint Backlog'!$F37, TRUE, 0)</f>
        <v>0</v>
      </c>
      <c r="Q37" s="4" cm="1">
        <f t="array" ref="Q37">_xlfn.IFS('ProductSprint Backlog'!$F37="", "", AND('ProductSprint Backlog'!$J37&gt;Q$2,'ProductSprint Backlog'!$I37&lt;=Q$2), 'ProductSprint Backlog'!$F37 / MAX(1, 'ProductSprint Backlog'!$J37-'ProductSprint Backlog'!$I37), AND('ProductSprint Backlog'!$J37=Q$2,'ProductSprint Backlog'!$I37=Q$2), 'ProductSprint Backlog'!$F37, TRUE, 0)</f>
        <v>0</v>
      </c>
      <c r="R37" s="4" cm="1">
        <f t="array" ref="R37">_xlfn.IFS('ProductSprint Backlog'!$F37="", "", AND('ProductSprint Backlog'!$J37&gt;R$2,'ProductSprint Backlog'!$I37&lt;=R$2), 'ProductSprint Backlog'!$F37 / MAX(1, 'ProductSprint Backlog'!$J37-'ProductSprint Backlog'!$I37), AND('ProductSprint Backlog'!$J37=R$2,'ProductSprint Backlog'!$I37=R$2), 'ProductSprint Backlog'!$F37, TRUE, 0)</f>
        <v>0</v>
      </c>
      <c r="S37" s="4" cm="1">
        <f t="array" ref="S37">_xlfn.IFS('ProductSprint Backlog'!$F37="", "", AND('ProductSprint Backlog'!$J37&gt;S$2,'ProductSprint Backlog'!$I37&lt;=S$2), 'ProductSprint Backlog'!$F37 / MAX(1, 'ProductSprint Backlog'!$J37-'ProductSprint Backlog'!$I37), AND('ProductSprint Backlog'!$J37=S$2,'ProductSprint Backlog'!$I37=S$2), 'ProductSprint Backlog'!$F37, TRUE, 0)</f>
        <v>0</v>
      </c>
      <c r="T37" s="4" cm="1">
        <f t="array" ref="T37">_xlfn.IFS('ProductSprint Backlog'!$F37="", "", AND('ProductSprint Backlog'!$J37&gt;T$2,'ProductSprint Backlog'!$I37&lt;=T$2), 'ProductSprint Backlog'!$F37 / MAX(1, 'ProductSprint Backlog'!$J37-'ProductSprint Backlog'!$I37), AND('ProductSprint Backlog'!$J37=T$2,'ProductSprint Backlog'!$I37=T$2), 'ProductSprint Backlog'!$F37, TRUE, 0)</f>
        <v>0</v>
      </c>
    </row>
    <row r="38" spans="2:20" x14ac:dyDescent="0.2">
      <c r="B38" s="4" cm="1">
        <f t="array" ref="B38">_xlfn.IFS('ProductSprint Backlog'!$F38="", "", AND('ProductSprint Backlog'!$J38&gt;B$2,'ProductSprint Backlog'!$I38&lt;=B$2), 'ProductSprint Backlog'!$F38 / MAX(1, 'ProductSprint Backlog'!$J38-'ProductSprint Backlog'!$I38), AND('ProductSprint Backlog'!$J38=B$2,'ProductSprint Backlog'!$I38=B$2), 'ProductSprint Backlog'!$F38, TRUE, 0)</f>
        <v>0</v>
      </c>
      <c r="C38" s="4" cm="1">
        <f t="array" ref="C38">_xlfn.IFS('ProductSprint Backlog'!$F38="", "", AND('ProductSprint Backlog'!$J38&gt;C$2,'ProductSprint Backlog'!$I38&lt;=C$2), 'ProductSprint Backlog'!$F38 / MAX(1, 'ProductSprint Backlog'!$J38-'ProductSprint Backlog'!$I38), AND('ProductSprint Backlog'!$J38=C$2,'ProductSprint Backlog'!$I38=C$2), 'ProductSprint Backlog'!$F38, TRUE, 0)</f>
        <v>0</v>
      </c>
      <c r="D38" s="4" cm="1">
        <f t="array" ref="D38">_xlfn.IFS('ProductSprint Backlog'!$F38="", "", AND('ProductSprint Backlog'!$J38&gt;D$2,'ProductSprint Backlog'!$I38&lt;=D$2), 'ProductSprint Backlog'!$F38 / MAX(1, 'ProductSprint Backlog'!$J38-'ProductSprint Backlog'!$I38), AND('ProductSprint Backlog'!$J38=D$2,'ProductSprint Backlog'!$I38=D$2), 'ProductSprint Backlog'!$F38, TRUE, 0)</f>
        <v>0</v>
      </c>
      <c r="E38" s="4" cm="1">
        <f t="array" ref="E38">_xlfn.IFS('ProductSprint Backlog'!$F38="", "", AND('ProductSprint Backlog'!$J38&gt;E$2,'ProductSprint Backlog'!$I38&lt;=E$2), 'ProductSprint Backlog'!$F38 / MAX(1, 'ProductSprint Backlog'!$J38-'ProductSprint Backlog'!$I38), AND('ProductSprint Backlog'!$J38=E$2,'ProductSprint Backlog'!$I38=E$2), 'ProductSprint Backlog'!$F38, TRUE, 0)</f>
        <v>0</v>
      </c>
      <c r="F38" s="4" cm="1">
        <f t="array" ref="F38">_xlfn.IFS('ProductSprint Backlog'!$F38="", "", AND('ProductSprint Backlog'!$J38&gt;F$2,'ProductSprint Backlog'!$I38&lt;=F$2), 'ProductSprint Backlog'!$F38 / MAX(1, 'ProductSprint Backlog'!$J38-'ProductSprint Backlog'!$I38), AND('ProductSprint Backlog'!$J38=F$2,'ProductSprint Backlog'!$I38=F$2), 'ProductSprint Backlog'!$F38, TRUE, 0)</f>
        <v>0</v>
      </c>
      <c r="G38" s="4" cm="1">
        <f t="array" ref="G38">_xlfn.IFS('ProductSprint Backlog'!$F38="", "", AND('ProductSprint Backlog'!$J38&gt;G$2,'ProductSprint Backlog'!$I38&lt;=G$2), 'ProductSprint Backlog'!$F38 / MAX(1, 'ProductSprint Backlog'!$J38-'ProductSprint Backlog'!$I38), AND('ProductSprint Backlog'!$J38=G$2,'ProductSprint Backlog'!$I38=G$2), 'ProductSprint Backlog'!$F38, TRUE, 0)</f>
        <v>0</v>
      </c>
      <c r="H38" s="4" cm="1">
        <f t="array" ref="H38">_xlfn.IFS('ProductSprint Backlog'!$F38="", "", AND('ProductSprint Backlog'!$J38&gt;H$2,'ProductSprint Backlog'!$I38&lt;=H$2), 'ProductSprint Backlog'!$F38 / MAX(1, 'ProductSprint Backlog'!$J38-'ProductSprint Backlog'!$I38), AND('ProductSprint Backlog'!$J38=H$2,'ProductSprint Backlog'!$I38=H$2), 'ProductSprint Backlog'!$F38, TRUE, 0)</f>
        <v>0</v>
      </c>
      <c r="I38" s="4" cm="1">
        <f t="array" ref="I38">_xlfn.IFS('ProductSprint Backlog'!$F38="", "", AND('ProductSprint Backlog'!$J38&gt;I$2,'ProductSprint Backlog'!$I38&lt;=I$2), 'ProductSprint Backlog'!$F38 / MAX(1, 'ProductSprint Backlog'!$J38-'ProductSprint Backlog'!$I38), AND('ProductSprint Backlog'!$J38=I$2,'ProductSprint Backlog'!$I38=I$2), 'ProductSprint Backlog'!$F38, TRUE, 0)</f>
        <v>0</v>
      </c>
      <c r="J38" s="4" cm="1">
        <f t="array" ref="J38">_xlfn.IFS('ProductSprint Backlog'!$F38="", "", AND('ProductSprint Backlog'!$J38&gt;J$2,'ProductSprint Backlog'!$I38&lt;=J$2), 'ProductSprint Backlog'!$F38 / MAX(1, 'ProductSprint Backlog'!$J38-'ProductSprint Backlog'!$I38), AND('ProductSprint Backlog'!$J38=J$2,'ProductSprint Backlog'!$I38=J$2), 'ProductSprint Backlog'!$F38, TRUE, 0)</f>
        <v>0</v>
      </c>
      <c r="K38" s="4" cm="1">
        <f t="array" ref="K38">_xlfn.IFS('ProductSprint Backlog'!$F38="", "", AND('ProductSprint Backlog'!$J38&gt;K$2,'ProductSprint Backlog'!$I38&lt;=K$2), 'ProductSprint Backlog'!$F38 / MAX(1, 'ProductSprint Backlog'!$J38-'ProductSprint Backlog'!$I38), AND('ProductSprint Backlog'!$J38=K$2,'ProductSprint Backlog'!$I38=K$2), 'ProductSprint Backlog'!$F38, TRUE, 0)</f>
        <v>0</v>
      </c>
      <c r="L38" s="4" cm="1">
        <f t="array" ref="L38">_xlfn.IFS('ProductSprint Backlog'!$F38="", "", AND('ProductSprint Backlog'!$J38&gt;L$2,'ProductSprint Backlog'!$I38&lt;=L$2), 'ProductSprint Backlog'!$F38 / MAX(1, 'ProductSprint Backlog'!$J38-'ProductSprint Backlog'!$I38), AND('ProductSprint Backlog'!$J38=L$2,'ProductSprint Backlog'!$I38=L$2), 'ProductSprint Backlog'!$F38, TRUE, 0)</f>
        <v>0</v>
      </c>
      <c r="M38" s="4" cm="1">
        <f t="array" ref="M38">_xlfn.IFS('ProductSprint Backlog'!$F38="", "", AND('ProductSprint Backlog'!$J38&gt;M$2,'ProductSprint Backlog'!$I38&lt;=M$2), 'ProductSprint Backlog'!$F38 / MAX(1, 'ProductSprint Backlog'!$J38-'ProductSprint Backlog'!$I38), AND('ProductSprint Backlog'!$J38=M$2,'ProductSprint Backlog'!$I38=M$2), 'ProductSprint Backlog'!$F38, TRUE, 0)</f>
        <v>0</v>
      </c>
      <c r="N38" s="4" cm="1">
        <f t="array" ref="N38">_xlfn.IFS('ProductSprint Backlog'!$F38="", "", AND('ProductSprint Backlog'!$J38&gt;N$2,'ProductSprint Backlog'!$I38&lt;=N$2), 'ProductSprint Backlog'!$F38 / MAX(1, 'ProductSprint Backlog'!$J38-'ProductSprint Backlog'!$I38), AND('ProductSprint Backlog'!$J38=N$2,'ProductSprint Backlog'!$I38=N$2), 'ProductSprint Backlog'!$F38, TRUE, 0)</f>
        <v>0</v>
      </c>
      <c r="O38" s="4" cm="1">
        <f t="array" ref="O38">_xlfn.IFS('ProductSprint Backlog'!$F38="", "", AND('ProductSprint Backlog'!$J38&gt;O$2,'ProductSprint Backlog'!$I38&lt;=O$2), 'ProductSprint Backlog'!$F38 / MAX(1, 'ProductSprint Backlog'!$J38-'ProductSprint Backlog'!$I38), AND('ProductSprint Backlog'!$J38=O$2,'ProductSprint Backlog'!$I38=O$2), 'ProductSprint Backlog'!$F38, TRUE, 0)</f>
        <v>0</v>
      </c>
      <c r="P38" s="4" cm="1">
        <f t="array" ref="P38">_xlfn.IFS('ProductSprint Backlog'!$F38="", "", AND('ProductSprint Backlog'!$J38&gt;P$2,'ProductSprint Backlog'!$I38&lt;=P$2), 'ProductSprint Backlog'!$F38 / MAX(1, 'ProductSprint Backlog'!$J38-'ProductSprint Backlog'!$I38), AND('ProductSprint Backlog'!$J38=P$2,'ProductSprint Backlog'!$I38=P$2), 'ProductSprint Backlog'!$F38, TRUE, 0)</f>
        <v>0</v>
      </c>
      <c r="Q38" s="4" cm="1">
        <f t="array" ref="Q38">_xlfn.IFS('ProductSprint Backlog'!$F38="", "", AND('ProductSprint Backlog'!$J38&gt;Q$2,'ProductSprint Backlog'!$I38&lt;=Q$2), 'ProductSprint Backlog'!$F38 / MAX(1, 'ProductSprint Backlog'!$J38-'ProductSprint Backlog'!$I38), AND('ProductSprint Backlog'!$J38=Q$2,'ProductSprint Backlog'!$I38=Q$2), 'ProductSprint Backlog'!$F38, TRUE, 0)</f>
        <v>0</v>
      </c>
      <c r="R38" s="4" cm="1">
        <f t="array" ref="R38">_xlfn.IFS('ProductSprint Backlog'!$F38="", "", AND('ProductSprint Backlog'!$J38&gt;R$2,'ProductSprint Backlog'!$I38&lt;=R$2), 'ProductSprint Backlog'!$F38 / MAX(1, 'ProductSprint Backlog'!$J38-'ProductSprint Backlog'!$I38), AND('ProductSprint Backlog'!$J38=R$2,'ProductSprint Backlog'!$I38=R$2), 'ProductSprint Backlog'!$F38, TRUE, 0)</f>
        <v>0</v>
      </c>
      <c r="S38" s="4" cm="1">
        <f t="array" ref="S38">_xlfn.IFS('ProductSprint Backlog'!$F38="", "", AND('ProductSprint Backlog'!$J38&gt;S$2,'ProductSprint Backlog'!$I38&lt;=S$2), 'ProductSprint Backlog'!$F38 / MAX(1, 'ProductSprint Backlog'!$J38-'ProductSprint Backlog'!$I38), AND('ProductSprint Backlog'!$J38=S$2,'ProductSprint Backlog'!$I38=S$2), 'ProductSprint Backlog'!$F38, TRUE, 0)</f>
        <v>0</v>
      </c>
      <c r="T38" s="4" cm="1">
        <f t="array" ref="T38">_xlfn.IFS('ProductSprint Backlog'!$F38="", "", AND('ProductSprint Backlog'!$J38&gt;T$2,'ProductSprint Backlog'!$I38&lt;=T$2), 'ProductSprint Backlog'!$F38 / MAX(1, 'ProductSprint Backlog'!$J38-'ProductSprint Backlog'!$I38), AND('ProductSprint Backlog'!$J38=T$2,'ProductSprint Backlog'!$I38=T$2), 'ProductSprint Backlog'!$F38, TRUE, 0)</f>
        <v>0</v>
      </c>
    </row>
    <row r="39" spans="2:20" x14ac:dyDescent="0.2">
      <c r="B39" s="4" cm="1">
        <f t="array" ref="B39">_xlfn.IFS('ProductSprint Backlog'!$F39="", "", AND('ProductSprint Backlog'!$J39&gt;B$2,'ProductSprint Backlog'!$I39&lt;=B$2), 'ProductSprint Backlog'!$F39 / MAX(1, 'ProductSprint Backlog'!$J39-'ProductSprint Backlog'!$I39), AND('ProductSprint Backlog'!$J39=B$2,'ProductSprint Backlog'!$I39=B$2), 'ProductSprint Backlog'!$F39, TRUE, 0)</f>
        <v>0</v>
      </c>
      <c r="C39" s="4" cm="1">
        <f t="array" ref="C39">_xlfn.IFS('ProductSprint Backlog'!$F39="", "", AND('ProductSprint Backlog'!$J39&gt;C$2,'ProductSprint Backlog'!$I39&lt;=C$2), 'ProductSprint Backlog'!$F39 / MAX(1, 'ProductSprint Backlog'!$J39-'ProductSprint Backlog'!$I39), AND('ProductSprint Backlog'!$J39=C$2,'ProductSprint Backlog'!$I39=C$2), 'ProductSprint Backlog'!$F39, TRUE, 0)</f>
        <v>0</v>
      </c>
      <c r="D39" s="4" cm="1">
        <f t="array" ref="D39">_xlfn.IFS('ProductSprint Backlog'!$F39="", "", AND('ProductSprint Backlog'!$J39&gt;D$2,'ProductSprint Backlog'!$I39&lt;=D$2), 'ProductSprint Backlog'!$F39 / MAX(1, 'ProductSprint Backlog'!$J39-'ProductSprint Backlog'!$I39), AND('ProductSprint Backlog'!$J39=D$2,'ProductSprint Backlog'!$I39=D$2), 'ProductSprint Backlog'!$F39, TRUE, 0)</f>
        <v>0</v>
      </c>
      <c r="E39" s="4" cm="1">
        <f t="array" ref="E39">_xlfn.IFS('ProductSprint Backlog'!$F39="", "", AND('ProductSprint Backlog'!$J39&gt;E$2,'ProductSprint Backlog'!$I39&lt;=E$2), 'ProductSprint Backlog'!$F39 / MAX(1, 'ProductSprint Backlog'!$J39-'ProductSprint Backlog'!$I39), AND('ProductSprint Backlog'!$J39=E$2,'ProductSprint Backlog'!$I39=E$2), 'ProductSprint Backlog'!$F39, TRUE, 0)</f>
        <v>0</v>
      </c>
      <c r="F39" s="4" cm="1">
        <f t="array" ref="F39">_xlfn.IFS('ProductSprint Backlog'!$F39="", "", AND('ProductSprint Backlog'!$J39&gt;F$2,'ProductSprint Backlog'!$I39&lt;=F$2), 'ProductSprint Backlog'!$F39 / MAX(1, 'ProductSprint Backlog'!$J39-'ProductSprint Backlog'!$I39), AND('ProductSprint Backlog'!$J39=F$2,'ProductSprint Backlog'!$I39=F$2), 'ProductSprint Backlog'!$F39, TRUE, 0)</f>
        <v>0</v>
      </c>
      <c r="G39" s="4" cm="1">
        <f t="array" ref="G39">_xlfn.IFS('ProductSprint Backlog'!$F39="", "", AND('ProductSprint Backlog'!$J39&gt;G$2,'ProductSprint Backlog'!$I39&lt;=G$2), 'ProductSprint Backlog'!$F39 / MAX(1, 'ProductSprint Backlog'!$J39-'ProductSprint Backlog'!$I39), AND('ProductSprint Backlog'!$J39=G$2,'ProductSprint Backlog'!$I39=G$2), 'ProductSprint Backlog'!$F39, TRUE, 0)</f>
        <v>0</v>
      </c>
      <c r="H39" s="4" cm="1">
        <f t="array" ref="H39">_xlfn.IFS('ProductSprint Backlog'!$F39="", "", AND('ProductSprint Backlog'!$J39&gt;H$2,'ProductSprint Backlog'!$I39&lt;=H$2), 'ProductSprint Backlog'!$F39 / MAX(1, 'ProductSprint Backlog'!$J39-'ProductSprint Backlog'!$I39), AND('ProductSprint Backlog'!$J39=H$2,'ProductSprint Backlog'!$I39=H$2), 'ProductSprint Backlog'!$F39, TRUE, 0)</f>
        <v>0</v>
      </c>
      <c r="I39" s="4" cm="1">
        <f t="array" ref="I39">_xlfn.IFS('ProductSprint Backlog'!$F39="", "", AND('ProductSprint Backlog'!$J39&gt;I$2,'ProductSprint Backlog'!$I39&lt;=I$2), 'ProductSprint Backlog'!$F39 / MAX(1, 'ProductSprint Backlog'!$J39-'ProductSprint Backlog'!$I39), AND('ProductSprint Backlog'!$J39=I$2,'ProductSprint Backlog'!$I39=I$2), 'ProductSprint Backlog'!$F39, TRUE, 0)</f>
        <v>0</v>
      </c>
      <c r="J39" s="4" cm="1">
        <f t="array" ref="J39">_xlfn.IFS('ProductSprint Backlog'!$F39="", "", AND('ProductSprint Backlog'!$J39&gt;J$2,'ProductSprint Backlog'!$I39&lt;=J$2), 'ProductSprint Backlog'!$F39 / MAX(1, 'ProductSprint Backlog'!$J39-'ProductSprint Backlog'!$I39), AND('ProductSprint Backlog'!$J39=J$2,'ProductSprint Backlog'!$I39=J$2), 'ProductSprint Backlog'!$F39, TRUE, 0)</f>
        <v>0</v>
      </c>
      <c r="K39" s="4" cm="1">
        <f t="array" ref="K39">_xlfn.IFS('ProductSprint Backlog'!$F39="", "", AND('ProductSprint Backlog'!$J39&gt;K$2,'ProductSprint Backlog'!$I39&lt;=K$2), 'ProductSprint Backlog'!$F39 / MAX(1, 'ProductSprint Backlog'!$J39-'ProductSprint Backlog'!$I39), AND('ProductSprint Backlog'!$J39=K$2,'ProductSprint Backlog'!$I39=K$2), 'ProductSprint Backlog'!$F39, TRUE, 0)</f>
        <v>0</v>
      </c>
      <c r="L39" s="4" cm="1">
        <f t="array" ref="L39">_xlfn.IFS('ProductSprint Backlog'!$F39="", "", AND('ProductSprint Backlog'!$J39&gt;L$2,'ProductSprint Backlog'!$I39&lt;=L$2), 'ProductSprint Backlog'!$F39 / MAX(1, 'ProductSprint Backlog'!$J39-'ProductSprint Backlog'!$I39), AND('ProductSprint Backlog'!$J39=L$2,'ProductSprint Backlog'!$I39=L$2), 'ProductSprint Backlog'!$F39, TRUE, 0)</f>
        <v>0</v>
      </c>
      <c r="M39" s="4" cm="1">
        <f t="array" ref="M39">_xlfn.IFS('ProductSprint Backlog'!$F39="", "", AND('ProductSprint Backlog'!$J39&gt;M$2,'ProductSprint Backlog'!$I39&lt;=M$2), 'ProductSprint Backlog'!$F39 / MAX(1, 'ProductSprint Backlog'!$J39-'ProductSprint Backlog'!$I39), AND('ProductSprint Backlog'!$J39=M$2,'ProductSprint Backlog'!$I39=M$2), 'ProductSprint Backlog'!$F39, TRUE, 0)</f>
        <v>0</v>
      </c>
      <c r="N39" s="4" cm="1">
        <f t="array" ref="N39">_xlfn.IFS('ProductSprint Backlog'!$F39="", "", AND('ProductSprint Backlog'!$J39&gt;N$2,'ProductSprint Backlog'!$I39&lt;=N$2), 'ProductSprint Backlog'!$F39 / MAX(1, 'ProductSprint Backlog'!$J39-'ProductSprint Backlog'!$I39), AND('ProductSprint Backlog'!$J39=N$2,'ProductSprint Backlog'!$I39=N$2), 'ProductSprint Backlog'!$F39, TRUE, 0)</f>
        <v>0</v>
      </c>
      <c r="O39" s="4" cm="1">
        <f t="array" ref="O39">_xlfn.IFS('ProductSprint Backlog'!$F39="", "", AND('ProductSprint Backlog'!$J39&gt;O$2,'ProductSprint Backlog'!$I39&lt;=O$2), 'ProductSprint Backlog'!$F39 / MAX(1, 'ProductSprint Backlog'!$J39-'ProductSprint Backlog'!$I39), AND('ProductSprint Backlog'!$J39=O$2,'ProductSprint Backlog'!$I39=O$2), 'ProductSprint Backlog'!$F39, TRUE, 0)</f>
        <v>0</v>
      </c>
      <c r="P39" s="4" cm="1">
        <f t="array" ref="P39">_xlfn.IFS('ProductSprint Backlog'!$F39="", "", AND('ProductSprint Backlog'!$J39&gt;P$2,'ProductSprint Backlog'!$I39&lt;=P$2), 'ProductSprint Backlog'!$F39 / MAX(1, 'ProductSprint Backlog'!$J39-'ProductSprint Backlog'!$I39), AND('ProductSprint Backlog'!$J39=P$2,'ProductSprint Backlog'!$I39=P$2), 'ProductSprint Backlog'!$F39, TRUE, 0)</f>
        <v>0</v>
      </c>
      <c r="Q39" s="4" cm="1">
        <f t="array" ref="Q39">_xlfn.IFS('ProductSprint Backlog'!$F39="", "", AND('ProductSprint Backlog'!$J39&gt;Q$2,'ProductSprint Backlog'!$I39&lt;=Q$2), 'ProductSprint Backlog'!$F39 / MAX(1, 'ProductSprint Backlog'!$J39-'ProductSprint Backlog'!$I39), AND('ProductSprint Backlog'!$J39=Q$2,'ProductSprint Backlog'!$I39=Q$2), 'ProductSprint Backlog'!$F39, TRUE, 0)</f>
        <v>0</v>
      </c>
      <c r="R39" s="4" cm="1">
        <f t="array" ref="R39">_xlfn.IFS('ProductSprint Backlog'!$F39="", "", AND('ProductSprint Backlog'!$J39&gt;R$2,'ProductSprint Backlog'!$I39&lt;=R$2), 'ProductSprint Backlog'!$F39 / MAX(1, 'ProductSprint Backlog'!$J39-'ProductSprint Backlog'!$I39), AND('ProductSprint Backlog'!$J39=R$2,'ProductSprint Backlog'!$I39=R$2), 'ProductSprint Backlog'!$F39, TRUE, 0)</f>
        <v>0</v>
      </c>
      <c r="S39" s="4" cm="1">
        <f t="array" ref="S39">_xlfn.IFS('ProductSprint Backlog'!$F39="", "", AND('ProductSprint Backlog'!$J39&gt;S$2,'ProductSprint Backlog'!$I39&lt;=S$2), 'ProductSprint Backlog'!$F39 / MAX(1, 'ProductSprint Backlog'!$J39-'ProductSprint Backlog'!$I39), AND('ProductSprint Backlog'!$J39=S$2,'ProductSprint Backlog'!$I39=S$2), 'ProductSprint Backlog'!$F39, TRUE, 0)</f>
        <v>0</v>
      </c>
      <c r="T39" s="4" cm="1">
        <f t="array" ref="T39">_xlfn.IFS('ProductSprint Backlog'!$F39="", "", AND('ProductSprint Backlog'!$J39&gt;T$2,'ProductSprint Backlog'!$I39&lt;=T$2), 'ProductSprint Backlog'!$F39 / MAX(1, 'ProductSprint Backlog'!$J39-'ProductSprint Backlog'!$I39), AND('ProductSprint Backlog'!$J39=T$2,'ProductSprint Backlog'!$I39=T$2), 'ProductSprint Backlog'!$F39, TRUE, 0)</f>
        <v>0</v>
      </c>
    </row>
    <row r="40" spans="2:20" x14ac:dyDescent="0.2">
      <c r="B40" s="4" cm="1">
        <f t="array" ref="B40">_xlfn.IFS('ProductSprint Backlog'!$F40="", "", AND('ProductSprint Backlog'!$J40&gt;B$2,'ProductSprint Backlog'!$I40&lt;=B$2), 'ProductSprint Backlog'!$F40 / MAX(1, 'ProductSprint Backlog'!$J40-'ProductSprint Backlog'!$I40), AND('ProductSprint Backlog'!$J40=B$2,'ProductSprint Backlog'!$I40=B$2), 'ProductSprint Backlog'!$F40, TRUE, 0)</f>
        <v>0</v>
      </c>
      <c r="C40" s="4" cm="1">
        <f t="array" ref="C40">_xlfn.IFS('ProductSprint Backlog'!$F40="", "", AND('ProductSprint Backlog'!$J40&gt;C$2,'ProductSprint Backlog'!$I40&lt;=C$2), 'ProductSprint Backlog'!$F40 / MAX(1, 'ProductSprint Backlog'!$J40-'ProductSprint Backlog'!$I40), AND('ProductSprint Backlog'!$J40=C$2,'ProductSprint Backlog'!$I40=C$2), 'ProductSprint Backlog'!$F40, TRUE, 0)</f>
        <v>0</v>
      </c>
      <c r="D40" s="4" cm="1">
        <f t="array" ref="D40">_xlfn.IFS('ProductSprint Backlog'!$F40="", "", AND('ProductSprint Backlog'!$J40&gt;D$2,'ProductSprint Backlog'!$I40&lt;=D$2), 'ProductSprint Backlog'!$F40 / MAX(1, 'ProductSprint Backlog'!$J40-'ProductSprint Backlog'!$I40), AND('ProductSprint Backlog'!$J40=D$2,'ProductSprint Backlog'!$I40=D$2), 'ProductSprint Backlog'!$F40, TRUE, 0)</f>
        <v>0</v>
      </c>
      <c r="E40" s="4" cm="1">
        <f t="array" ref="E40">_xlfn.IFS('ProductSprint Backlog'!$F40="", "", AND('ProductSprint Backlog'!$J40&gt;E$2,'ProductSprint Backlog'!$I40&lt;=E$2), 'ProductSprint Backlog'!$F40 / MAX(1, 'ProductSprint Backlog'!$J40-'ProductSprint Backlog'!$I40), AND('ProductSprint Backlog'!$J40=E$2,'ProductSprint Backlog'!$I40=E$2), 'ProductSprint Backlog'!$F40, TRUE, 0)</f>
        <v>0</v>
      </c>
      <c r="F40" s="4" cm="1">
        <f t="array" ref="F40">_xlfn.IFS('ProductSprint Backlog'!$F40="", "", AND('ProductSprint Backlog'!$J40&gt;F$2,'ProductSprint Backlog'!$I40&lt;=F$2), 'ProductSprint Backlog'!$F40 / MAX(1, 'ProductSprint Backlog'!$J40-'ProductSprint Backlog'!$I40), AND('ProductSprint Backlog'!$J40=F$2,'ProductSprint Backlog'!$I40=F$2), 'ProductSprint Backlog'!$F40, TRUE, 0)</f>
        <v>0</v>
      </c>
      <c r="G40" s="4" cm="1">
        <f t="array" ref="G40">_xlfn.IFS('ProductSprint Backlog'!$F40="", "", AND('ProductSprint Backlog'!$J40&gt;G$2,'ProductSprint Backlog'!$I40&lt;=G$2), 'ProductSprint Backlog'!$F40 / MAX(1, 'ProductSprint Backlog'!$J40-'ProductSprint Backlog'!$I40), AND('ProductSprint Backlog'!$J40=G$2,'ProductSprint Backlog'!$I40=G$2), 'ProductSprint Backlog'!$F40, TRUE, 0)</f>
        <v>0</v>
      </c>
      <c r="H40" s="4" cm="1">
        <f t="array" ref="H40">_xlfn.IFS('ProductSprint Backlog'!$F40="", "", AND('ProductSprint Backlog'!$J40&gt;H$2,'ProductSprint Backlog'!$I40&lt;=H$2), 'ProductSprint Backlog'!$F40 / MAX(1, 'ProductSprint Backlog'!$J40-'ProductSprint Backlog'!$I40), AND('ProductSprint Backlog'!$J40=H$2,'ProductSprint Backlog'!$I40=H$2), 'ProductSprint Backlog'!$F40, TRUE, 0)</f>
        <v>0</v>
      </c>
      <c r="I40" s="4" cm="1">
        <f t="array" ref="I40">_xlfn.IFS('ProductSprint Backlog'!$F40="", "", AND('ProductSprint Backlog'!$J40&gt;I$2,'ProductSprint Backlog'!$I40&lt;=I$2), 'ProductSprint Backlog'!$F40 / MAX(1, 'ProductSprint Backlog'!$J40-'ProductSprint Backlog'!$I40), AND('ProductSprint Backlog'!$J40=I$2,'ProductSprint Backlog'!$I40=I$2), 'ProductSprint Backlog'!$F40, TRUE, 0)</f>
        <v>0</v>
      </c>
      <c r="J40" s="4" cm="1">
        <f t="array" ref="J40">_xlfn.IFS('ProductSprint Backlog'!$F40="", "", AND('ProductSprint Backlog'!$J40&gt;J$2,'ProductSprint Backlog'!$I40&lt;=J$2), 'ProductSprint Backlog'!$F40 / MAX(1, 'ProductSprint Backlog'!$J40-'ProductSprint Backlog'!$I40), AND('ProductSprint Backlog'!$J40=J$2,'ProductSprint Backlog'!$I40=J$2), 'ProductSprint Backlog'!$F40, TRUE, 0)</f>
        <v>0</v>
      </c>
      <c r="K40" s="4" cm="1">
        <f t="array" ref="K40">_xlfn.IFS('ProductSprint Backlog'!$F40="", "", AND('ProductSprint Backlog'!$J40&gt;K$2,'ProductSprint Backlog'!$I40&lt;=K$2), 'ProductSprint Backlog'!$F40 / MAX(1, 'ProductSprint Backlog'!$J40-'ProductSprint Backlog'!$I40), AND('ProductSprint Backlog'!$J40=K$2,'ProductSprint Backlog'!$I40=K$2), 'ProductSprint Backlog'!$F40, TRUE, 0)</f>
        <v>0</v>
      </c>
      <c r="L40" s="4" cm="1">
        <f t="array" ref="L40">_xlfn.IFS('ProductSprint Backlog'!$F40="", "", AND('ProductSprint Backlog'!$J40&gt;L$2,'ProductSprint Backlog'!$I40&lt;=L$2), 'ProductSprint Backlog'!$F40 / MAX(1, 'ProductSprint Backlog'!$J40-'ProductSprint Backlog'!$I40), AND('ProductSprint Backlog'!$J40=L$2,'ProductSprint Backlog'!$I40=L$2), 'ProductSprint Backlog'!$F40, TRUE, 0)</f>
        <v>0</v>
      </c>
      <c r="M40" s="4" cm="1">
        <f t="array" ref="M40">_xlfn.IFS('ProductSprint Backlog'!$F40="", "", AND('ProductSprint Backlog'!$J40&gt;M$2,'ProductSprint Backlog'!$I40&lt;=M$2), 'ProductSprint Backlog'!$F40 / MAX(1, 'ProductSprint Backlog'!$J40-'ProductSprint Backlog'!$I40), AND('ProductSprint Backlog'!$J40=M$2,'ProductSprint Backlog'!$I40=M$2), 'ProductSprint Backlog'!$F40, TRUE, 0)</f>
        <v>0</v>
      </c>
      <c r="N40" s="4" cm="1">
        <f t="array" ref="N40">_xlfn.IFS('ProductSprint Backlog'!$F40="", "", AND('ProductSprint Backlog'!$J40&gt;N$2,'ProductSprint Backlog'!$I40&lt;=N$2), 'ProductSprint Backlog'!$F40 / MAX(1, 'ProductSprint Backlog'!$J40-'ProductSprint Backlog'!$I40), AND('ProductSprint Backlog'!$J40=N$2,'ProductSprint Backlog'!$I40=N$2), 'ProductSprint Backlog'!$F40, TRUE, 0)</f>
        <v>0</v>
      </c>
      <c r="O40" s="4" cm="1">
        <f t="array" ref="O40">_xlfn.IFS('ProductSprint Backlog'!$F40="", "", AND('ProductSprint Backlog'!$J40&gt;O$2,'ProductSprint Backlog'!$I40&lt;=O$2), 'ProductSprint Backlog'!$F40 / MAX(1, 'ProductSprint Backlog'!$J40-'ProductSprint Backlog'!$I40), AND('ProductSprint Backlog'!$J40=O$2,'ProductSprint Backlog'!$I40=O$2), 'ProductSprint Backlog'!$F40, TRUE, 0)</f>
        <v>0</v>
      </c>
      <c r="P40" s="4" cm="1">
        <f t="array" ref="P40">_xlfn.IFS('ProductSprint Backlog'!$F40="", "", AND('ProductSprint Backlog'!$J40&gt;P$2,'ProductSprint Backlog'!$I40&lt;=P$2), 'ProductSprint Backlog'!$F40 / MAX(1, 'ProductSprint Backlog'!$J40-'ProductSprint Backlog'!$I40), AND('ProductSprint Backlog'!$J40=P$2,'ProductSprint Backlog'!$I40=P$2), 'ProductSprint Backlog'!$F40, TRUE, 0)</f>
        <v>0</v>
      </c>
      <c r="Q40" s="4" cm="1">
        <f t="array" ref="Q40">_xlfn.IFS('ProductSprint Backlog'!$F40="", "", AND('ProductSprint Backlog'!$J40&gt;Q$2,'ProductSprint Backlog'!$I40&lt;=Q$2), 'ProductSprint Backlog'!$F40 / MAX(1, 'ProductSprint Backlog'!$J40-'ProductSprint Backlog'!$I40), AND('ProductSprint Backlog'!$J40=Q$2,'ProductSprint Backlog'!$I40=Q$2), 'ProductSprint Backlog'!$F40, TRUE, 0)</f>
        <v>0</v>
      </c>
      <c r="R40" s="4" cm="1">
        <f t="array" ref="R40">_xlfn.IFS('ProductSprint Backlog'!$F40="", "", AND('ProductSprint Backlog'!$J40&gt;R$2,'ProductSprint Backlog'!$I40&lt;=R$2), 'ProductSprint Backlog'!$F40 / MAX(1, 'ProductSprint Backlog'!$J40-'ProductSprint Backlog'!$I40), AND('ProductSprint Backlog'!$J40=R$2,'ProductSprint Backlog'!$I40=R$2), 'ProductSprint Backlog'!$F40, TRUE, 0)</f>
        <v>0</v>
      </c>
      <c r="S40" s="4" cm="1">
        <f t="array" ref="S40">_xlfn.IFS('ProductSprint Backlog'!$F40="", "", AND('ProductSprint Backlog'!$J40&gt;S$2,'ProductSprint Backlog'!$I40&lt;=S$2), 'ProductSprint Backlog'!$F40 / MAX(1, 'ProductSprint Backlog'!$J40-'ProductSprint Backlog'!$I40), AND('ProductSprint Backlog'!$J40=S$2,'ProductSprint Backlog'!$I40=S$2), 'ProductSprint Backlog'!$F40, TRUE, 0)</f>
        <v>0</v>
      </c>
      <c r="T40" s="4" cm="1">
        <f t="array" ref="T40">_xlfn.IFS('ProductSprint Backlog'!$F40="", "", AND('ProductSprint Backlog'!$J40&gt;T$2,'ProductSprint Backlog'!$I40&lt;=T$2), 'ProductSprint Backlog'!$F40 / MAX(1, 'ProductSprint Backlog'!$J40-'ProductSprint Backlog'!$I40), AND('ProductSprint Backlog'!$J40=T$2,'ProductSprint Backlog'!$I40=T$2), 'ProductSprint Backlog'!$F40, TRUE, 0)</f>
        <v>0</v>
      </c>
    </row>
    <row r="41" spans="2:20" x14ac:dyDescent="0.2">
      <c r="B41" s="4" t="str" cm="1">
        <f t="array" ref="B41">_xlfn.IFS('ProductSprint Backlog'!$F41="", "", AND('ProductSprint Backlog'!$J41&gt;B$2,'ProductSprint Backlog'!$I41&lt;=B$2), 'ProductSprint Backlog'!$F41 / MAX(1, 'ProductSprint Backlog'!$J41-'ProductSprint Backlog'!$I41), AND('ProductSprint Backlog'!$J41=B$2,'ProductSprint Backlog'!$I41=B$2), 'ProductSprint Backlog'!$F41, TRUE, 0)</f>
        <v/>
      </c>
      <c r="C41" s="4" t="str" cm="1">
        <f t="array" ref="C41">_xlfn.IFS('ProductSprint Backlog'!$F41="", "", AND('ProductSprint Backlog'!$J41&gt;C$2,'ProductSprint Backlog'!$I41&lt;=C$2), 'ProductSprint Backlog'!$F41 / MAX(1, 'ProductSprint Backlog'!$J41-'ProductSprint Backlog'!$I41), AND('ProductSprint Backlog'!$J41=C$2,'ProductSprint Backlog'!$I41=C$2), 'ProductSprint Backlog'!$F41, TRUE, 0)</f>
        <v/>
      </c>
      <c r="D41" s="4" t="str" cm="1">
        <f t="array" ref="D41">_xlfn.IFS('ProductSprint Backlog'!$F41="", "", AND('ProductSprint Backlog'!$J41&gt;D$2,'ProductSprint Backlog'!$I41&lt;=D$2), 'ProductSprint Backlog'!$F41 / MAX(1, 'ProductSprint Backlog'!$J41-'ProductSprint Backlog'!$I41), AND('ProductSprint Backlog'!$J41=D$2,'ProductSprint Backlog'!$I41=D$2), 'ProductSprint Backlog'!$F41, TRUE, 0)</f>
        <v/>
      </c>
      <c r="E41" s="4" t="str" cm="1">
        <f t="array" ref="E41">_xlfn.IFS('ProductSprint Backlog'!$F41="", "", AND('ProductSprint Backlog'!$J41&gt;E$2,'ProductSprint Backlog'!$I41&lt;=E$2), 'ProductSprint Backlog'!$F41 / MAX(1, 'ProductSprint Backlog'!$J41-'ProductSprint Backlog'!$I41), AND('ProductSprint Backlog'!$J41=E$2,'ProductSprint Backlog'!$I41=E$2), 'ProductSprint Backlog'!$F41, TRUE, 0)</f>
        <v/>
      </c>
      <c r="F41" s="4" t="str" cm="1">
        <f t="array" ref="F41">_xlfn.IFS('ProductSprint Backlog'!$F41="", "", AND('ProductSprint Backlog'!$J41&gt;F$2,'ProductSprint Backlog'!$I41&lt;=F$2), 'ProductSprint Backlog'!$F41 / MAX(1, 'ProductSprint Backlog'!$J41-'ProductSprint Backlog'!$I41), AND('ProductSprint Backlog'!$J41=F$2,'ProductSprint Backlog'!$I41=F$2), 'ProductSprint Backlog'!$F41, TRUE, 0)</f>
        <v/>
      </c>
      <c r="G41" s="4" t="str" cm="1">
        <f t="array" ref="G41">_xlfn.IFS('ProductSprint Backlog'!$F41="", "", AND('ProductSprint Backlog'!$J41&gt;G$2,'ProductSprint Backlog'!$I41&lt;=G$2), 'ProductSprint Backlog'!$F41 / MAX(1, 'ProductSprint Backlog'!$J41-'ProductSprint Backlog'!$I41), AND('ProductSprint Backlog'!$J41=G$2,'ProductSprint Backlog'!$I41=G$2), 'ProductSprint Backlog'!$F41, TRUE, 0)</f>
        <v/>
      </c>
      <c r="H41" s="4" t="str" cm="1">
        <f t="array" ref="H41">_xlfn.IFS('ProductSprint Backlog'!$F41="", "", AND('ProductSprint Backlog'!$J41&gt;H$2,'ProductSprint Backlog'!$I41&lt;=H$2), 'ProductSprint Backlog'!$F41 / MAX(1, 'ProductSprint Backlog'!$J41-'ProductSprint Backlog'!$I41), AND('ProductSprint Backlog'!$J41=H$2,'ProductSprint Backlog'!$I41=H$2), 'ProductSprint Backlog'!$F41, TRUE, 0)</f>
        <v/>
      </c>
      <c r="I41" s="4" t="str" cm="1">
        <f t="array" ref="I41">_xlfn.IFS('ProductSprint Backlog'!$F41="", "", AND('ProductSprint Backlog'!$J41&gt;I$2,'ProductSprint Backlog'!$I41&lt;=I$2), 'ProductSprint Backlog'!$F41 / MAX(1, 'ProductSprint Backlog'!$J41-'ProductSprint Backlog'!$I41), AND('ProductSprint Backlog'!$J41=I$2,'ProductSprint Backlog'!$I41=I$2), 'ProductSprint Backlog'!$F41, TRUE, 0)</f>
        <v/>
      </c>
      <c r="J41" s="4" t="str" cm="1">
        <f t="array" ref="J41">_xlfn.IFS('ProductSprint Backlog'!$F41="", "", AND('ProductSprint Backlog'!$J41&gt;J$2,'ProductSprint Backlog'!$I41&lt;=J$2), 'ProductSprint Backlog'!$F41 / MAX(1, 'ProductSprint Backlog'!$J41-'ProductSprint Backlog'!$I41), AND('ProductSprint Backlog'!$J41=J$2,'ProductSprint Backlog'!$I41=J$2), 'ProductSprint Backlog'!$F41, TRUE, 0)</f>
        <v/>
      </c>
      <c r="K41" s="4" t="str" cm="1">
        <f t="array" ref="K41">_xlfn.IFS('ProductSprint Backlog'!$F41="", "", AND('ProductSprint Backlog'!$J41&gt;K$2,'ProductSprint Backlog'!$I41&lt;=K$2), 'ProductSprint Backlog'!$F41 / MAX(1, 'ProductSprint Backlog'!$J41-'ProductSprint Backlog'!$I41), AND('ProductSprint Backlog'!$J41=K$2,'ProductSprint Backlog'!$I41=K$2), 'ProductSprint Backlog'!$F41, TRUE, 0)</f>
        <v/>
      </c>
      <c r="L41" s="4" t="str" cm="1">
        <f t="array" ref="L41">_xlfn.IFS('ProductSprint Backlog'!$F41="", "", AND('ProductSprint Backlog'!$J41&gt;L$2,'ProductSprint Backlog'!$I41&lt;=L$2), 'ProductSprint Backlog'!$F41 / MAX(1, 'ProductSprint Backlog'!$J41-'ProductSprint Backlog'!$I41), AND('ProductSprint Backlog'!$J41=L$2,'ProductSprint Backlog'!$I41=L$2), 'ProductSprint Backlog'!$F41, TRUE, 0)</f>
        <v/>
      </c>
      <c r="M41" s="4" t="str" cm="1">
        <f t="array" ref="M41">_xlfn.IFS('ProductSprint Backlog'!$F41="", "", AND('ProductSprint Backlog'!$J41&gt;M$2,'ProductSprint Backlog'!$I41&lt;=M$2), 'ProductSprint Backlog'!$F41 / MAX(1, 'ProductSprint Backlog'!$J41-'ProductSprint Backlog'!$I41), AND('ProductSprint Backlog'!$J41=M$2,'ProductSprint Backlog'!$I41=M$2), 'ProductSprint Backlog'!$F41, TRUE, 0)</f>
        <v/>
      </c>
      <c r="N41" s="4" t="str" cm="1">
        <f t="array" ref="N41">_xlfn.IFS('ProductSprint Backlog'!$F41="", "", AND('ProductSprint Backlog'!$J41&gt;N$2,'ProductSprint Backlog'!$I41&lt;=N$2), 'ProductSprint Backlog'!$F41 / MAX(1, 'ProductSprint Backlog'!$J41-'ProductSprint Backlog'!$I41), AND('ProductSprint Backlog'!$J41=N$2,'ProductSprint Backlog'!$I41=N$2), 'ProductSprint Backlog'!$F41, TRUE, 0)</f>
        <v/>
      </c>
      <c r="O41" s="4" t="str" cm="1">
        <f t="array" ref="O41">_xlfn.IFS('ProductSprint Backlog'!$F41="", "", AND('ProductSprint Backlog'!$J41&gt;O$2,'ProductSprint Backlog'!$I41&lt;=O$2), 'ProductSprint Backlog'!$F41 / MAX(1, 'ProductSprint Backlog'!$J41-'ProductSprint Backlog'!$I41), AND('ProductSprint Backlog'!$J41=O$2,'ProductSprint Backlog'!$I41=O$2), 'ProductSprint Backlog'!$F41, TRUE, 0)</f>
        <v/>
      </c>
      <c r="P41" s="4" t="str" cm="1">
        <f t="array" ref="P41">_xlfn.IFS('ProductSprint Backlog'!$F41="", "", AND('ProductSprint Backlog'!$J41&gt;P$2,'ProductSprint Backlog'!$I41&lt;=P$2), 'ProductSprint Backlog'!$F41 / MAX(1, 'ProductSprint Backlog'!$J41-'ProductSprint Backlog'!$I41), AND('ProductSprint Backlog'!$J41=P$2,'ProductSprint Backlog'!$I41=P$2), 'ProductSprint Backlog'!$F41, TRUE, 0)</f>
        <v/>
      </c>
      <c r="Q41" s="4" t="str" cm="1">
        <f t="array" ref="Q41">_xlfn.IFS('ProductSprint Backlog'!$F41="", "", AND('ProductSprint Backlog'!$J41&gt;Q$2,'ProductSprint Backlog'!$I41&lt;=Q$2), 'ProductSprint Backlog'!$F41 / MAX(1, 'ProductSprint Backlog'!$J41-'ProductSprint Backlog'!$I41), AND('ProductSprint Backlog'!$J41=Q$2,'ProductSprint Backlog'!$I41=Q$2), 'ProductSprint Backlog'!$F41, TRUE, 0)</f>
        <v/>
      </c>
      <c r="R41" s="4" t="str" cm="1">
        <f t="array" ref="R41">_xlfn.IFS('ProductSprint Backlog'!$F41="", "", AND('ProductSprint Backlog'!$J41&gt;R$2,'ProductSprint Backlog'!$I41&lt;=R$2), 'ProductSprint Backlog'!$F41 / MAX(1, 'ProductSprint Backlog'!$J41-'ProductSprint Backlog'!$I41), AND('ProductSprint Backlog'!$J41=R$2,'ProductSprint Backlog'!$I41=R$2), 'ProductSprint Backlog'!$F41, TRUE, 0)</f>
        <v/>
      </c>
      <c r="S41" s="4" t="str" cm="1">
        <f t="array" ref="S41">_xlfn.IFS('ProductSprint Backlog'!$F41="", "", AND('ProductSprint Backlog'!$J41&gt;S$2,'ProductSprint Backlog'!$I41&lt;=S$2), 'ProductSprint Backlog'!$F41 / MAX(1, 'ProductSprint Backlog'!$J41-'ProductSprint Backlog'!$I41), AND('ProductSprint Backlog'!$J41=S$2,'ProductSprint Backlog'!$I41=S$2), 'ProductSprint Backlog'!$F41, TRUE, 0)</f>
        <v/>
      </c>
      <c r="T41" s="4" t="str" cm="1">
        <f t="array" ref="T41">_xlfn.IFS('ProductSprint Backlog'!$F41="", "", AND('ProductSprint Backlog'!$J41&gt;T$2,'ProductSprint Backlog'!$I41&lt;=T$2), 'ProductSprint Backlog'!$F41 / MAX(1, 'ProductSprint Backlog'!$J41-'ProductSprint Backlog'!$I41), AND('ProductSprint Backlog'!$J41=T$2,'ProductSprint Backlog'!$I41=T$2), 'ProductSprint Backlog'!$F41, TRUE, 0)</f>
        <v/>
      </c>
    </row>
    <row r="42" spans="2:20" x14ac:dyDescent="0.2">
      <c r="B42" s="4" cm="1">
        <f t="array" ref="B42">_xlfn.IFS('ProductSprint Backlog'!$F42="", "", AND('ProductSprint Backlog'!$J42&gt;B$2,'ProductSprint Backlog'!$I42&lt;=B$2), 'ProductSprint Backlog'!$F42 / MAX(1, 'ProductSprint Backlog'!$J42-'ProductSprint Backlog'!$I42), AND('ProductSprint Backlog'!$J42=B$2,'ProductSprint Backlog'!$I42=B$2), 'ProductSprint Backlog'!$F42, TRUE, 0)</f>
        <v>0</v>
      </c>
      <c r="C42" s="4" cm="1">
        <f t="array" ref="C42">_xlfn.IFS('ProductSprint Backlog'!$F42="", "", AND('ProductSprint Backlog'!$J42&gt;C$2,'ProductSprint Backlog'!$I42&lt;=C$2), 'ProductSprint Backlog'!$F42 / MAX(1, 'ProductSprint Backlog'!$J42-'ProductSprint Backlog'!$I42), AND('ProductSprint Backlog'!$J42=C$2,'ProductSprint Backlog'!$I42=C$2), 'ProductSprint Backlog'!$F42, TRUE, 0)</f>
        <v>0</v>
      </c>
      <c r="D42" s="4" cm="1">
        <f t="array" ref="D42">_xlfn.IFS('ProductSprint Backlog'!$F42="", "", AND('ProductSprint Backlog'!$J42&gt;D$2,'ProductSprint Backlog'!$I42&lt;=D$2), 'ProductSprint Backlog'!$F42 / MAX(1, 'ProductSprint Backlog'!$J42-'ProductSprint Backlog'!$I42), AND('ProductSprint Backlog'!$J42=D$2,'ProductSprint Backlog'!$I42=D$2), 'ProductSprint Backlog'!$F42, TRUE, 0)</f>
        <v>0</v>
      </c>
      <c r="E42" s="4" cm="1">
        <f t="array" ref="E42">_xlfn.IFS('ProductSprint Backlog'!$F42="", "", AND('ProductSprint Backlog'!$J42&gt;E$2,'ProductSprint Backlog'!$I42&lt;=E$2), 'ProductSprint Backlog'!$F42 / MAX(1, 'ProductSprint Backlog'!$J42-'ProductSprint Backlog'!$I42), AND('ProductSprint Backlog'!$J42=E$2,'ProductSprint Backlog'!$I42=E$2), 'ProductSprint Backlog'!$F42, TRUE, 0)</f>
        <v>0</v>
      </c>
      <c r="F42" s="4" cm="1">
        <f t="array" ref="F42">_xlfn.IFS('ProductSprint Backlog'!$F42="", "", AND('ProductSprint Backlog'!$J42&gt;F$2,'ProductSprint Backlog'!$I42&lt;=F$2), 'ProductSprint Backlog'!$F42 / MAX(1, 'ProductSprint Backlog'!$J42-'ProductSprint Backlog'!$I42), AND('ProductSprint Backlog'!$J42=F$2,'ProductSprint Backlog'!$I42=F$2), 'ProductSprint Backlog'!$F42, TRUE, 0)</f>
        <v>0</v>
      </c>
      <c r="G42" s="4" cm="1">
        <f t="array" ref="G42">_xlfn.IFS('ProductSprint Backlog'!$F42="", "", AND('ProductSprint Backlog'!$J42&gt;G$2,'ProductSprint Backlog'!$I42&lt;=G$2), 'ProductSprint Backlog'!$F42 / MAX(1, 'ProductSprint Backlog'!$J42-'ProductSprint Backlog'!$I42), AND('ProductSprint Backlog'!$J42=G$2,'ProductSprint Backlog'!$I42=G$2), 'ProductSprint Backlog'!$F42, TRUE, 0)</f>
        <v>0</v>
      </c>
      <c r="H42" s="4" cm="1">
        <f t="array" ref="H42">_xlfn.IFS('ProductSprint Backlog'!$F42="", "", AND('ProductSprint Backlog'!$J42&gt;H$2,'ProductSprint Backlog'!$I42&lt;=H$2), 'ProductSprint Backlog'!$F42 / MAX(1, 'ProductSprint Backlog'!$J42-'ProductSprint Backlog'!$I42), AND('ProductSprint Backlog'!$J42=H$2,'ProductSprint Backlog'!$I42=H$2), 'ProductSprint Backlog'!$F42, TRUE, 0)</f>
        <v>0</v>
      </c>
      <c r="I42" s="4" cm="1">
        <f t="array" ref="I42">_xlfn.IFS('ProductSprint Backlog'!$F42="", "", AND('ProductSprint Backlog'!$J42&gt;I$2,'ProductSprint Backlog'!$I42&lt;=I$2), 'ProductSprint Backlog'!$F42 / MAX(1, 'ProductSprint Backlog'!$J42-'ProductSprint Backlog'!$I42), AND('ProductSprint Backlog'!$J42=I$2,'ProductSprint Backlog'!$I42=I$2), 'ProductSprint Backlog'!$F42, TRUE, 0)</f>
        <v>0</v>
      </c>
      <c r="J42" s="4" cm="1">
        <f t="array" ref="J42">_xlfn.IFS('ProductSprint Backlog'!$F42="", "", AND('ProductSprint Backlog'!$J42&gt;J$2,'ProductSprint Backlog'!$I42&lt;=J$2), 'ProductSprint Backlog'!$F42 / MAX(1, 'ProductSprint Backlog'!$J42-'ProductSprint Backlog'!$I42), AND('ProductSprint Backlog'!$J42=J$2,'ProductSprint Backlog'!$I42=J$2), 'ProductSprint Backlog'!$F42, TRUE, 0)</f>
        <v>0</v>
      </c>
      <c r="K42" s="4" cm="1">
        <f t="array" ref="K42">_xlfn.IFS('ProductSprint Backlog'!$F42="", "", AND('ProductSprint Backlog'!$J42&gt;K$2,'ProductSprint Backlog'!$I42&lt;=K$2), 'ProductSprint Backlog'!$F42 / MAX(1, 'ProductSprint Backlog'!$J42-'ProductSprint Backlog'!$I42), AND('ProductSprint Backlog'!$J42=K$2,'ProductSprint Backlog'!$I42=K$2), 'ProductSprint Backlog'!$F42, TRUE, 0)</f>
        <v>0</v>
      </c>
      <c r="L42" s="4" cm="1">
        <f t="array" ref="L42">_xlfn.IFS('ProductSprint Backlog'!$F42="", "", AND('ProductSprint Backlog'!$J42&gt;L$2,'ProductSprint Backlog'!$I42&lt;=L$2), 'ProductSprint Backlog'!$F42 / MAX(1, 'ProductSprint Backlog'!$J42-'ProductSprint Backlog'!$I42), AND('ProductSprint Backlog'!$J42=L$2,'ProductSprint Backlog'!$I42=L$2), 'ProductSprint Backlog'!$F42, TRUE, 0)</f>
        <v>0</v>
      </c>
      <c r="M42" s="4" cm="1">
        <f t="array" ref="M42">_xlfn.IFS('ProductSprint Backlog'!$F42="", "", AND('ProductSprint Backlog'!$J42&gt;M$2,'ProductSprint Backlog'!$I42&lt;=M$2), 'ProductSprint Backlog'!$F42 / MAX(1, 'ProductSprint Backlog'!$J42-'ProductSprint Backlog'!$I42), AND('ProductSprint Backlog'!$J42=M$2,'ProductSprint Backlog'!$I42=M$2), 'ProductSprint Backlog'!$F42, TRUE, 0)</f>
        <v>0</v>
      </c>
      <c r="N42" s="4" cm="1">
        <f t="array" ref="N42">_xlfn.IFS('ProductSprint Backlog'!$F42="", "", AND('ProductSprint Backlog'!$J42&gt;N$2,'ProductSprint Backlog'!$I42&lt;=N$2), 'ProductSprint Backlog'!$F42 / MAX(1, 'ProductSprint Backlog'!$J42-'ProductSprint Backlog'!$I42), AND('ProductSprint Backlog'!$J42=N$2,'ProductSprint Backlog'!$I42=N$2), 'ProductSprint Backlog'!$F42, TRUE, 0)</f>
        <v>0</v>
      </c>
      <c r="O42" s="4" cm="1">
        <f t="array" ref="O42">_xlfn.IFS('ProductSprint Backlog'!$F42="", "", AND('ProductSprint Backlog'!$J42&gt;O$2,'ProductSprint Backlog'!$I42&lt;=O$2), 'ProductSprint Backlog'!$F42 / MAX(1, 'ProductSprint Backlog'!$J42-'ProductSprint Backlog'!$I42), AND('ProductSprint Backlog'!$J42=O$2,'ProductSprint Backlog'!$I42=O$2), 'ProductSprint Backlog'!$F42, TRUE, 0)</f>
        <v>0</v>
      </c>
      <c r="P42" s="4" cm="1">
        <f t="array" ref="P42">_xlfn.IFS('ProductSprint Backlog'!$F42="", "", AND('ProductSprint Backlog'!$J42&gt;P$2,'ProductSprint Backlog'!$I42&lt;=P$2), 'ProductSprint Backlog'!$F42 / MAX(1, 'ProductSprint Backlog'!$J42-'ProductSprint Backlog'!$I42), AND('ProductSprint Backlog'!$J42=P$2,'ProductSprint Backlog'!$I42=P$2), 'ProductSprint Backlog'!$F42, TRUE, 0)</f>
        <v>0</v>
      </c>
      <c r="Q42" s="4" cm="1">
        <f t="array" ref="Q42">_xlfn.IFS('ProductSprint Backlog'!$F42="", "", AND('ProductSprint Backlog'!$J42&gt;Q$2,'ProductSprint Backlog'!$I42&lt;=Q$2), 'ProductSprint Backlog'!$F42 / MAX(1, 'ProductSprint Backlog'!$J42-'ProductSprint Backlog'!$I42), AND('ProductSprint Backlog'!$J42=Q$2,'ProductSprint Backlog'!$I42=Q$2), 'ProductSprint Backlog'!$F42, TRUE, 0)</f>
        <v>0</v>
      </c>
      <c r="R42" s="4" cm="1">
        <f t="array" ref="R42">_xlfn.IFS('ProductSprint Backlog'!$F42="", "", AND('ProductSprint Backlog'!$J42&gt;R$2,'ProductSprint Backlog'!$I42&lt;=R$2), 'ProductSprint Backlog'!$F42 / MAX(1, 'ProductSprint Backlog'!$J42-'ProductSprint Backlog'!$I42), AND('ProductSprint Backlog'!$J42=R$2,'ProductSprint Backlog'!$I42=R$2), 'ProductSprint Backlog'!$F42, TRUE, 0)</f>
        <v>0</v>
      </c>
      <c r="S42" s="4" cm="1">
        <f t="array" ref="S42">_xlfn.IFS('ProductSprint Backlog'!$F42="", "", AND('ProductSprint Backlog'!$J42&gt;S$2,'ProductSprint Backlog'!$I42&lt;=S$2), 'ProductSprint Backlog'!$F42 / MAX(1, 'ProductSprint Backlog'!$J42-'ProductSprint Backlog'!$I42), AND('ProductSprint Backlog'!$J42=S$2,'ProductSprint Backlog'!$I42=S$2), 'ProductSprint Backlog'!$F42, TRUE, 0)</f>
        <v>0</v>
      </c>
      <c r="T42" s="4" cm="1">
        <f t="array" ref="T42">_xlfn.IFS('ProductSprint Backlog'!$F42="", "", AND('ProductSprint Backlog'!$J42&gt;T$2,'ProductSprint Backlog'!$I42&lt;=T$2), 'ProductSprint Backlog'!$F42 / MAX(1, 'ProductSprint Backlog'!$J42-'ProductSprint Backlog'!$I42), AND('ProductSprint Backlog'!$J42=T$2,'ProductSprint Backlog'!$I42=T$2), 'ProductSprint Backlog'!$F42, TRUE, 0)</f>
        <v>0</v>
      </c>
    </row>
    <row r="43" spans="2:20" x14ac:dyDescent="0.2">
      <c r="B43" s="4" cm="1">
        <f t="array" ref="B43">_xlfn.IFS('ProductSprint Backlog'!$F43="", "", AND('ProductSprint Backlog'!$J43&gt;B$2,'ProductSprint Backlog'!$I43&lt;=B$2), 'ProductSprint Backlog'!$F43 / MAX(1, 'ProductSprint Backlog'!$J43-'ProductSprint Backlog'!$I43), AND('ProductSprint Backlog'!$J43=B$2,'ProductSprint Backlog'!$I43=B$2), 'ProductSprint Backlog'!$F43, TRUE, 0)</f>
        <v>0</v>
      </c>
      <c r="C43" s="4" cm="1">
        <f t="array" ref="C43">_xlfn.IFS('ProductSprint Backlog'!$F43="", "", AND('ProductSprint Backlog'!$J43&gt;C$2,'ProductSprint Backlog'!$I43&lt;=C$2), 'ProductSprint Backlog'!$F43 / MAX(1, 'ProductSprint Backlog'!$J43-'ProductSprint Backlog'!$I43), AND('ProductSprint Backlog'!$J43=C$2,'ProductSprint Backlog'!$I43=C$2), 'ProductSprint Backlog'!$F43, TRUE, 0)</f>
        <v>0</v>
      </c>
      <c r="D43" s="4" cm="1">
        <f t="array" ref="D43">_xlfn.IFS('ProductSprint Backlog'!$F43="", "", AND('ProductSprint Backlog'!$J43&gt;D$2,'ProductSprint Backlog'!$I43&lt;=D$2), 'ProductSprint Backlog'!$F43 / MAX(1, 'ProductSprint Backlog'!$J43-'ProductSprint Backlog'!$I43), AND('ProductSprint Backlog'!$J43=D$2,'ProductSprint Backlog'!$I43=D$2), 'ProductSprint Backlog'!$F43, TRUE, 0)</f>
        <v>0</v>
      </c>
      <c r="E43" s="4" cm="1">
        <f t="array" ref="E43">_xlfn.IFS('ProductSprint Backlog'!$F43="", "", AND('ProductSprint Backlog'!$J43&gt;E$2,'ProductSprint Backlog'!$I43&lt;=E$2), 'ProductSprint Backlog'!$F43 / MAX(1, 'ProductSprint Backlog'!$J43-'ProductSprint Backlog'!$I43), AND('ProductSprint Backlog'!$J43=E$2,'ProductSprint Backlog'!$I43=E$2), 'ProductSprint Backlog'!$F43, TRUE, 0)</f>
        <v>0</v>
      </c>
      <c r="F43" s="4" cm="1">
        <f t="array" ref="F43">_xlfn.IFS('ProductSprint Backlog'!$F43="", "", AND('ProductSprint Backlog'!$J43&gt;F$2,'ProductSprint Backlog'!$I43&lt;=F$2), 'ProductSprint Backlog'!$F43 / MAX(1, 'ProductSprint Backlog'!$J43-'ProductSprint Backlog'!$I43), AND('ProductSprint Backlog'!$J43=F$2,'ProductSprint Backlog'!$I43=F$2), 'ProductSprint Backlog'!$F43, TRUE, 0)</f>
        <v>0</v>
      </c>
      <c r="G43" s="4" cm="1">
        <f t="array" ref="G43">_xlfn.IFS('ProductSprint Backlog'!$F43="", "", AND('ProductSprint Backlog'!$J43&gt;G$2,'ProductSprint Backlog'!$I43&lt;=G$2), 'ProductSprint Backlog'!$F43 / MAX(1, 'ProductSprint Backlog'!$J43-'ProductSprint Backlog'!$I43), AND('ProductSprint Backlog'!$J43=G$2,'ProductSprint Backlog'!$I43=G$2), 'ProductSprint Backlog'!$F43, TRUE, 0)</f>
        <v>0</v>
      </c>
      <c r="H43" s="4" cm="1">
        <f t="array" ref="H43">_xlfn.IFS('ProductSprint Backlog'!$F43="", "", AND('ProductSprint Backlog'!$J43&gt;H$2,'ProductSprint Backlog'!$I43&lt;=H$2), 'ProductSprint Backlog'!$F43 / MAX(1, 'ProductSprint Backlog'!$J43-'ProductSprint Backlog'!$I43), AND('ProductSprint Backlog'!$J43=H$2,'ProductSprint Backlog'!$I43=H$2), 'ProductSprint Backlog'!$F43, TRUE, 0)</f>
        <v>0</v>
      </c>
      <c r="I43" s="4" cm="1">
        <f t="array" ref="I43">_xlfn.IFS('ProductSprint Backlog'!$F43="", "", AND('ProductSprint Backlog'!$J43&gt;I$2,'ProductSprint Backlog'!$I43&lt;=I$2), 'ProductSprint Backlog'!$F43 / MAX(1, 'ProductSprint Backlog'!$J43-'ProductSprint Backlog'!$I43), AND('ProductSprint Backlog'!$J43=I$2,'ProductSprint Backlog'!$I43=I$2), 'ProductSprint Backlog'!$F43, TRUE, 0)</f>
        <v>0</v>
      </c>
      <c r="J43" s="4" cm="1">
        <f t="array" ref="J43">_xlfn.IFS('ProductSprint Backlog'!$F43="", "", AND('ProductSprint Backlog'!$J43&gt;J$2,'ProductSprint Backlog'!$I43&lt;=J$2), 'ProductSprint Backlog'!$F43 / MAX(1, 'ProductSprint Backlog'!$J43-'ProductSprint Backlog'!$I43), AND('ProductSprint Backlog'!$J43=J$2,'ProductSprint Backlog'!$I43=J$2), 'ProductSprint Backlog'!$F43, TRUE, 0)</f>
        <v>0</v>
      </c>
      <c r="K43" s="4" cm="1">
        <f t="array" ref="K43">_xlfn.IFS('ProductSprint Backlog'!$F43="", "", AND('ProductSprint Backlog'!$J43&gt;K$2,'ProductSprint Backlog'!$I43&lt;=K$2), 'ProductSprint Backlog'!$F43 / MAX(1, 'ProductSprint Backlog'!$J43-'ProductSprint Backlog'!$I43), AND('ProductSprint Backlog'!$J43=K$2,'ProductSprint Backlog'!$I43=K$2), 'ProductSprint Backlog'!$F43, TRUE, 0)</f>
        <v>0</v>
      </c>
      <c r="L43" s="4" cm="1">
        <f t="array" ref="L43">_xlfn.IFS('ProductSprint Backlog'!$F43="", "", AND('ProductSprint Backlog'!$J43&gt;L$2,'ProductSprint Backlog'!$I43&lt;=L$2), 'ProductSprint Backlog'!$F43 / MAX(1, 'ProductSprint Backlog'!$J43-'ProductSprint Backlog'!$I43), AND('ProductSprint Backlog'!$J43=L$2,'ProductSprint Backlog'!$I43=L$2), 'ProductSprint Backlog'!$F43, TRUE, 0)</f>
        <v>0</v>
      </c>
      <c r="M43" s="4" cm="1">
        <f t="array" ref="M43">_xlfn.IFS('ProductSprint Backlog'!$F43="", "", AND('ProductSprint Backlog'!$J43&gt;M$2,'ProductSprint Backlog'!$I43&lt;=M$2), 'ProductSprint Backlog'!$F43 / MAX(1, 'ProductSprint Backlog'!$J43-'ProductSprint Backlog'!$I43), AND('ProductSprint Backlog'!$J43=M$2,'ProductSprint Backlog'!$I43=M$2), 'ProductSprint Backlog'!$F43, TRUE, 0)</f>
        <v>0</v>
      </c>
      <c r="N43" s="4" cm="1">
        <f t="array" ref="N43">_xlfn.IFS('ProductSprint Backlog'!$F43="", "", AND('ProductSprint Backlog'!$J43&gt;N$2,'ProductSprint Backlog'!$I43&lt;=N$2), 'ProductSprint Backlog'!$F43 / MAX(1, 'ProductSprint Backlog'!$J43-'ProductSprint Backlog'!$I43), AND('ProductSprint Backlog'!$J43=N$2,'ProductSprint Backlog'!$I43=N$2), 'ProductSprint Backlog'!$F43, TRUE, 0)</f>
        <v>0</v>
      </c>
      <c r="O43" s="4" cm="1">
        <f t="array" ref="O43">_xlfn.IFS('ProductSprint Backlog'!$F43="", "", AND('ProductSprint Backlog'!$J43&gt;O$2,'ProductSprint Backlog'!$I43&lt;=O$2), 'ProductSprint Backlog'!$F43 / MAX(1, 'ProductSprint Backlog'!$J43-'ProductSprint Backlog'!$I43), AND('ProductSprint Backlog'!$J43=O$2,'ProductSprint Backlog'!$I43=O$2), 'ProductSprint Backlog'!$F43, TRUE, 0)</f>
        <v>0</v>
      </c>
      <c r="P43" s="4" cm="1">
        <f t="array" ref="P43">_xlfn.IFS('ProductSprint Backlog'!$F43="", "", AND('ProductSprint Backlog'!$J43&gt;P$2,'ProductSprint Backlog'!$I43&lt;=P$2), 'ProductSprint Backlog'!$F43 / MAX(1, 'ProductSprint Backlog'!$J43-'ProductSprint Backlog'!$I43), AND('ProductSprint Backlog'!$J43=P$2,'ProductSprint Backlog'!$I43=P$2), 'ProductSprint Backlog'!$F43, TRUE, 0)</f>
        <v>0</v>
      </c>
      <c r="Q43" s="4" cm="1">
        <f t="array" ref="Q43">_xlfn.IFS('ProductSprint Backlog'!$F43="", "", AND('ProductSprint Backlog'!$J43&gt;Q$2,'ProductSprint Backlog'!$I43&lt;=Q$2), 'ProductSprint Backlog'!$F43 / MAX(1, 'ProductSprint Backlog'!$J43-'ProductSprint Backlog'!$I43), AND('ProductSprint Backlog'!$J43=Q$2,'ProductSprint Backlog'!$I43=Q$2), 'ProductSprint Backlog'!$F43, TRUE, 0)</f>
        <v>0</v>
      </c>
      <c r="R43" s="4" cm="1">
        <f t="array" ref="R43">_xlfn.IFS('ProductSprint Backlog'!$F43="", "", AND('ProductSprint Backlog'!$J43&gt;R$2,'ProductSprint Backlog'!$I43&lt;=R$2), 'ProductSprint Backlog'!$F43 / MAX(1, 'ProductSprint Backlog'!$J43-'ProductSprint Backlog'!$I43), AND('ProductSprint Backlog'!$J43=R$2,'ProductSprint Backlog'!$I43=R$2), 'ProductSprint Backlog'!$F43, TRUE, 0)</f>
        <v>0</v>
      </c>
      <c r="S43" s="4" cm="1">
        <f t="array" ref="S43">_xlfn.IFS('ProductSprint Backlog'!$F43="", "", AND('ProductSprint Backlog'!$J43&gt;S$2,'ProductSprint Backlog'!$I43&lt;=S$2), 'ProductSprint Backlog'!$F43 / MAX(1, 'ProductSprint Backlog'!$J43-'ProductSprint Backlog'!$I43), AND('ProductSprint Backlog'!$J43=S$2,'ProductSprint Backlog'!$I43=S$2), 'ProductSprint Backlog'!$F43, TRUE, 0)</f>
        <v>0</v>
      </c>
      <c r="T43" s="4" cm="1">
        <f t="array" ref="T43">_xlfn.IFS('ProductSprint Backlog'!$F43="", "", AND('ProductSprint Backlog'!$J43&gt;T$2,'ProductSprint Backlog'!$I43&lt;=T$2), 'ProductSprint Backlog'!$F43 / MAX(1, 'ProductSprint Backlog'!$J43-'ProductSprint Backlog'!$I43), AND('ProductSprint Backlog'!$J43=T$2,'ProductSprint Backlog'!$I43=T$2), 'ProductSprint Backlog'!$F43, TRUE, 0)</f>
        <v>0</v>
      </c>
    </row>
    <row r="44" spans="2:20" x14ac:dyDescent="0.2">
      <c r="B44" s="4" t="str" cm="1">
        <f t="array" ref="B44">_xlfn.IFS('ProductSprint Backlog'!$F44="", "", AND('ProductSprint Backlog'!$J44&gt;B$2,'ProductSprint Backlog'!$I44&lt;=B$2), 'ProductSprint Backlog'!$F44 / MAX(1, 'ProductSprint Backlog'!$J44-'ProductSprint Backlog'!$I44), AND('ProductSprint Backlog'!$J44=B$2,'ProductSprint Backlog'!$I44=B$2), 'ProductSprint Backlog'!$F44, TRUE, 0)</f>
        <v/>
      </c>
      <c r="C44" s="4" t="str" cm="1">
        <f t="array" ref="C44">_xlfn.IFS('ProductSprint Backlog'!$F44="", "", AND('ProductSprint Backlog'!$J44&gt;C$2,'ProductSprint Backlog'!$I44&lt;=C$2), 'ProductSprint Backlog'!$F44 / MAX(1, 'ProductSprint Backlog'!$J44-'ProductSprint Backlog'!$I44), AND('ProductSprint Backlog'!$J44=C$2,'ProductSprint Backlog'!$I44=C$2), 'ProductSprint Backlog'!$F44, TRUE, 0)</f>
        <v/>
      </c>
      <c r="D44" s="4" t="str" cm="1">
        <f t="array" ref="D44">_xlfn.IFS('ProductSprint Backlog'!$F44="", "", AND('ProductSprint Backlog'!$J44&gt;D$2,'ProductSprint Backlog'!$I44&lt;=D$2), 'ProductSprint Backlog'!$F44 / MAX(1, 'ProductSprint Backlog'!$J44-'ProductSprint Backlog'!$I44), AND('ProductSprint Backlog'!$J44=D$2,'ProductSprint Backlog'!$I44=D$2), 'ProductSprint Backlog'!$F44, TRUE, 0)</f>
        <v/>
      </c>
      <c r="E44" s="4" t="str" cm="1">
        <f t="array" ref="E44">_xlfn.IFS('ProductSprint Backlog'!$F44="", "", AND('ProductSprint Backlog'!$J44&gt;E$2,'ProductSprint Backlog'!$I44&lt;=E$2), 'ProductSprint Backlog'!$F44 / MAX(1, 'ProductSprint Backlog'!$J44-'ProductSprint Backlog'!$I44), AND('ProductSprint Backlog'!$J44=E$2,'ProductSprint Backlog'!$I44=E$2), 'ProductSprint Backlog'!$F44, TRUE, 0)</f>
        <v/>
      </c>
      <c r="F44" s="4" t="str" cm="1">
        <f t="array" ref="F44">_xlfn.IFS('ProductSprint Backlog'!$F44="", "", AND('ProductSprint Backlog'!$J44&gt;F$2,'ProductSprint Backlog'!$I44&lt;=F$2), 'ProductSprint Backlog'!$F44 / MAX(1, 'ProductSprint Backlog'!$J44-'ProductSprint Backlog'!$I44), AND('ProductSprint Backlog'!$J44=F$2,'ProductSprint Backlog'!$I44=F$2), 'ProductSprint Backlog'!$F44, TRUE, 0)</f>
        <v/>
      </c>
      <c r="G44" s="4" t="str" cm="1">
        <f t="array" ref="G44">_xlfn.IFS('ProductSprint Backlog'!$F44="", "", AND('ProductSprint Backlog'!$J44&gt;G$2,'ProductSprint Backlog'!$I44&lt;=G$2), 'ProductSprint Backlog'!$F44 / MAX(1, 'ProductSprint Backlog'!$J44-'ProductSprint Backlog'!$I44), AND('ProductSprint Backlog'!$J44=G$2,'ProductSprint Backlog'!$I44=G$2), 'ProductSprint Backlog'!$F44, TRUE, 0)</f>
        <v/>
      </c>
      <c r="H44" s="4" t="str" cm="1">
        <f t="array" ref="H44">_xlfn.IFS('ProductSprint Backlog'!$F44="", "", AND('ProductSprint Backlog'!$J44&gt;H$2,'ProductSprint Backlog'!$I44&lt;=H$2), 'ProductSprint Backlog'!$F44 / MAX(1, 'ProductSprint Backlog'!$J44-'ProductSprint Backlog'!$I44), AND('ProductSprint Backlog'!$J44=H$2,'ProductSprint Backlog'!$I44=H$2), 'ProductSprint Backlog'!$F44, TRUE, 0)</f>
        <v/>
      </c>
      <c r="I44" s="4" t="str" cm="1">
        <f t="array" ref="I44">_xlfn.IFS('ProductSprint Backlog'!$F44="", "", AND('ProductSprint Backlog'!$J44&gt;I$2,'ProductSprint Backlog'!$I44&lt;=I$2), 'ProductSprint Backlog'!$F44 / MAX(1, 'ProductSprint Backlog'!$J44-'ProductSprint Backlog'!$I44), AND('ProductSprint Backlog'!$J44=I$2,'ProductSprint Backlog'!$I44=I$2), 'ProductSprint Backlog'!$F44, TRUE, 0)</f>
        <v/>
      </c>
      <c r="J44" s="4" t="str" cm="1">
        <f t="array" ref="J44">_xlfn.IFS('ProductSprint Backlog'!$F44="", "", AND('ProductSprint Backlog'!$J44&gt;J$2,'ProductSprint Backlog'!$I44&lt;=J$2), 'ProductSprint Backlog'!$F44 / MAX(1, 'ProductSprint Backlog'!$J44-'ProductSprint Backlog'!$I44), AND('ProductSprint Backlog'!$J44=J$2,'ProductSprint Backlog'!$I44=J$2), 'ProductSprint Backlog'!$F44, TRUE, 0)</f>
        <v/>
      </c>
      <c r="K44" s="4" t="str" cm="1">
        <f t="array" ref="K44">_xlfn.IFS('ProductSprint Backlog'!$F44="", "", AND('ProductSprint Backlog'!$J44&gt;K$2,'ProductSprint Backlog'!$I44&lt;=K$2), 'ProductSprint Backlog'!$F44 / MAX(1, 'ProductSprint Backlog'!$J44-'ProductSprint Backlog'!$I44), AND('ProductSprint Backlog'!$J44=K$2,'ProductSprint Backlog'!$I44=K$2), 'ProductSprint Backlog'!$F44, TRUE, 0)</f>
        <v/>
      </c>
      <c r="L44" s="4" t="str" cm="1">
        <f t="array" ref="L44">_xlfn.IFS('ProductSprint Backlog'!$F44="", "", AND('ProductSprint Backlog'!$J44&gt;L$2,'ProductSprint Backlog'!$I44&lt;=L$2), 'ProductSprint Backlog'!$F44 / MAX(1, 'ProductSprint Backlog'!$J44-'ProductSprint Backlog'!$I44), AND('ProductSprint Backlog'!$J44=L$2,'ProductSprint Backlog'!$I44=L$2), 'ProductSprint Backlog'!$F44, TRUE, 0)</f>
        <v/>
      </c>
      <c r="M44" s="4" t="str" cm="1">
        <f t="array" ref="M44">_xlfn.IFS('ProductSprint Backlog'!$F44="", "", AND('ProductSprint Backlog'!$J44&gt;M$2,'ProductSprint Backlog'!$I44&lt;=M$2), 'ProductSprint Backlog'!$F44 / MAX(1, 'ProductSprint Backlog'!$J44-'ProductSprint Backlog'!$I44), AND('ProductSprint Backlog'!$J44=M$2,'ProductSprint Backlog'!$I44=M$2), 'ProductSprint Backlog'!$F44, TRUE, 0)</f>
        <v/>
      </c>
      <c r="N44" s="4" t="str" cm="1">
        <f t="array" ref="N44">_xlfn.IFS('ProductSprint Backlog'!$F44="", "", AND('ProductSprint Backlog'!$J44&gt;N$2,'ProductSprint Backlog'!$I44&lt;=N$2), 'ProductSprint Backlog'!$F44 / MAX(1, 'ProductSprint Backlog'!$J44-'ProductSprint Backlog'!$I44), AND('ProductSprint Backlog'!$J44=N$2,'ProductSprint Backlog'!$I44=N$2), 'ProductSprint Backlog'!$F44, TRUE, 0)</f>
        <v/>
      </c>
      <c r="O44" s="4" t="str" cm="1">
        <f t="array" ref="O44">_xlfn.IFS('ProductSprint Backlog'!$F44="", "", AND('ProductSprint Backlog'!$J44&gt;O$2,'ProductSprint Backlog'!$I44&lt;=O$2), 'ProductSprint Backlog'!$F44 / MAX(1, 'ProductSprint Backlog'!$J44-'ProductSprint Backlog'!$I44), AND('ProductSprint Backlog'!$J44=O$2,'ProductSprint Backlog'!$I44=O$2), 'ProductSprint Backlog'!$F44, TRUE, 0)</f>
        <v/>
      </c>
      <c r="P44" s="4" t="str" cm="1">
        <f t="array" ref="P44">_xlfn.IFS('ProductSprint Backlog'!$F44="", "", AND('ProductSprint Backlog'!$J44&gt;P$2,'ProductSprint Backlog'!$I44&lt;=P$2), 'ProductSprint Backlog'!$F44 / MAX(1, 'ProductSprint Backlog'!$J44-'ProductSprint Backlog'!$I44), AND('ProductSprint Backlog'!$J44=P$2,'ProductSprint Backlog'!$I44=P$2), 'ProductSprint Backlog'!$F44, TRUE, 0)</f>
        <v/>
      </c>
      <c r="Q44" s="4" t="str" cm="1">
        <f t="array" ref="Q44">_xlfn.IFS('ProductSprint Backlog'!$F44="", "", AND('ProductSprint Backlog'!$J44&gt;Q$2,'ProductSprint Backlog'!$I44&lt;=Q$2), 'ProductSprint Backlog'!$F44 / MAX(1, 'ProductSprint Backlog'!$J44-'ProductSprint Backlog'!$I44), AND('ProductSprint Backlog'!$J44=Q$2,'ProductSprint Backlog'!$I44=Q$2), 'ProductSprint Backlog'!$F44, TRUE, 0)</f>
        <v/>
      </c>
      <c r="R44" s="4" t="str" cm="1">
        <f t="array" ref="R44">_xlfn.IFS('ProductSprint Backlog'!$F44="", "", AND('ProductSprint Backlog'!$J44&gt;R$2,'ProductSprint Backlog'!$I44&lt;=R$2), 'ProductSprint Backlog'!$F44 / MAX(1, 'ProductSprint Backlog'!$J44-'ProductSprint Backlog'!$I44), AND('ProductSprint Backlog'!$J44=R$2,'ProductSprint Backlog'!$I44=R$2), 'ProductSprint Backlog'!$F44, TRUE, 0)</f>
        <v/>
      </c>
      <c r="S44" s="4" t="str" cm="1">
        <f t="array" ref="S44">_xlfn.IFS('ProductSprint Backlog'!$F44="", "", AND('ProductSprint Backlog'!$J44&gt;S$2,'ProductSprint Backlog'!$I44&lt;=S$2), 'ProductSprint Backlog'!$F44 / MAX(1, 'ProductSprint Backlog'!$J44-'ProductSprint Backlog'!$I44), AND('ProductSprint Backlog'!$J44=S$2,'ProductSprint Backlog'!$I44=S$2), 'ProductSprint Backlog'!$F44, TRUE, 0)</f>
        <v/>
      </c>
      <c r="T44" s="4" t="str" cm="1">
        <f t="array" ref="T44">_xlfn.IFS('ProductSprint Backlog'!$F44="", "", AND('ProductSprint Backlog'!$J44&gt;T$2,'ProductSprint Backlog'!$I44&lt;=T$2), 'ProductSprint Backlog'!$F44 / MAX(1, 'ProductSprint Backlog'!$J44-'ProductSprint Backlog'!$I44), AND('ProductSprint Backlog'!$J44=T$2,'ProductSprint Backlog'!$I44=T$2), 'ProductSprint Backlog'!$F44, TRUE, 0)</f>
        <v/>
      </c>
    </row>
    <row r="45" spans="2:20" x14ac:dyDescent="0.2">
      <c r="B45" s="4" cm="1">
        <f t="array" ref="B45">_xlfn.IFS('ProductSprint Backlog'!$F45="", "", AND('ProductSprint Backlog'!$J45&gt;B$2,'ProductSprint Backlog'!$I45&lt;=B$2), 'ProductSprint Backlog'!$F45 / MAX(1, 'ProductSprint Backlog'!$J45-'ProductSprint Backlog'!$I45), AND('ProductSprint Backlog'!$J45=B$2,'ProductSprint Backlog'!$I45=B$2), 'ProductSprint Backlog'!$F45, TRUE, 0)</f>
        <v>0</v>
      </c>
      <c r="C45" s="4" cm="1">
        <f t="array" ref="C45">_xlfn.IFS('ProductSprint Backlog'!$F45="", "", AND('ProductSprint Backlog'!$J45&gt;C$2,'ProductSprint Backlog'!$I45&lt;=C$2), 'ProductSprint Backlog'!$F45 / MAX(1, 'ProductSprint Backlog'!$J45-'ProductSprint Backlog'!$I45), AND('ProductSprint Backlog'!$J45=C$2,'ProductSprint Backlog'!$I45=C$2), 'ProductSprint Backlog'!$F45, TRUE, 0)</f>
        <v>0</v>
      </c>
      <c r="D45" s="4" cm="1">
        <f t="array" ref="D45">_xlfn.IFS('ProductSprint Backlog'!$F45="", "", AND('ProductSprint Backlog'!$J45&gt;D$2,'ProductSprint Backlog'!$I45&lt;=D$2), 'ProductSprint Backlog'!$F45 / MAX(1, 'ProductSprint Backlog'!$J45-'ProductSprint Backlog'!$I45), AND('ProductSprint Backlog'!$J45=D$2,'ProductSprint Backlog'!$I45=D$2), 'ProductSprint Backlog'!$F45, TRUE, 0)</f>
        <v>0</v>
      </c>
      <c r="E45" s="4" cm="1">
        <f t="array" ref="E45">_xlfn.IFS('ProductSprint Backlog'!$F45="", "", AND('ProductSprint Backlog'!$J45&gt;E$2,'ProductSprint Backlog'!$I45&lt;=E$2), 'ProductSprint Backlog'!$F45 / MAX(1, 'ProductSprint Backlog'!$J45-'ProductSprint Backlog'!$I45), AND('ProductSprint Backlog'!$J45=E$2,'ProductSprint Backlog'!$I45=E$2), 'ProductSprint Backlog'!$F45, TRUE, 0)</f>
        <v>0</v>
      </c>
      <c r="F45" s="4" cm="1">
        <f t="array" ref="F45">_xlfn.IFS('ProductSprint Backlog'!$F45="", "", AND('ProductSprint Backlog'!$J45&gt;F$2,'ProductSprint Backlog'!$I45&lt;=F$2), 'ProductSprint Backlog'!$F45 / MAX(1, 'ProductSprint Backlog'!$J45-'ProductSprint Backlog'!$I45), AND('ProductSprint Backlog'!$J45=F$2,'ProductSprint Backlog'!$I45=F$2), 'ProductSprint Backlog'!$F45, TRUE, 0)</f>
        <v>0</v>
      </c>
      <c r="G45" s="4" cm="1">
        <f t="array" ref="G45">_xlfn.IFS('ProductSprint Backlog'!$F45="", "", AND('ProductSprint Backlog'!$J45&gt;G$2,'ProductSprint Backlog'!$I45&lt;=G$2), 'ProductSprint Backlog'!$F45 / MAX(1, 'ProductSprint Backlog'!$J45-'ProductSprint Backlog'!$I45), AND('ProductSprint Backlog'!$J45=G$2,'ProductSprint Backlog'!$I45=G$2), 'ProductSprint Backlog'!$F45, TRUE, 0)</f>
        <v>0</v>
      </c>
      <c r="H45" s="4" cm="1">
        <f t="array" ref="H45">_xlfn.IFS('ProductSprint Backlog'!$F45="", "", AND('ProductSprint Backlog'!$J45&gt;H$2,'ProductSprint Backlog'!$I45&lt;=H$2), 'ProductSprint Backlog'!$F45 / MAX(1, 'ProductSprint Backlog'!$J45-'ProductSprint Backlog'!$I45), AND('ProductSprint Backlog'!$J45=H$2,'ProductSprint Backlog'!$I45=H$2), 'ProductSprint Backlog'!$F45, TRUE, 0)</f>
        <v>0</v>
      </c>
      <c r="I45" s="4" cm="1">
        <f t="array" ref="I45">_xlfn.IFS('ProductSprint Backlog'!$F45="", "", AND('ProductSprint Backlog'!$J45&gt;I$2,'ProductSprint Backlog'!$I45&lt;=I$2), 'ProductSprint Backlog'!$F45 / MAX(1, 'ProductSprint Backlog'!$J45-'ProductSprint Backlog'!$I45), AND('ProductSprint Backlog'!$J45=I$2,'ProductSprint Backlog'!$I45=I$2), 'ProductSprint Backlog'!$F45, TRUE, 0)</f>
        <v>0</v>
      </c>
      <c r="J45" s="4" cm="1">
        <f t="array" ref="J45">_xlfn.IFS('ProductSprint Backlog'!$F45="", "", AND('ProductSprint Backlog'!$J45&gt;J$2,'ProductSprint Backlog'!$I45&lt;=J$2), 'ProductSprint Backlog'!$F45 / MAX(1, 'ProductSprint Backlog'!$J45-'ProductSprint Backlog'!$I45), AND('ProductSprint Backlog'!$J45=J$2,'ProductSprint Backlog'!$I45=J$2), 'ProductSprint Backlog'!$F45, TRUE, 0)</f>
        <v>0</v>
      </c>
      <c r="K45" s="4" cm="1">
        <f t="array" ref="K45">_xlfn.IFS('ProductSprint Backlog'!$F45="", "", AND('ProductSprint Backlog'!$J45&gt;K$2,'ProductSprint Backlog'!$I45&lt;=K$2), 'ProductSprint Backlog'!$F45 / MAX(1, 'ProductSprint Backlog'!$J45-'ProductSprint Backlog'!$I45), AND('ProductSprint Backlog'!$J45=K$2,'ProductSprint Backlog'!$I45=K$2), 'ProductSprint Backlog'!$F45, TRUE, 0)</f>
        <v>0</v>
      </c>
      <c r="L45" s="4" cm="1">
        <f t="array" ref="L45">_xlfn.IFS('ProductSprint Backlog'!$F45="", "", AND('ProductSprint Backlog'!$J45&gt;L$2,'ProductSprint Backlog'!$I45&lt;=L$2), 'ProductSprint Backlog'!$F45 / MAX(1, 'ProductSprint Backlog'!$J45-'ProductSprint Backlog'!$I45), AND('ProductSprint Backlog'!$J45=L$2,'ProductSprint Backlog'!$I45=L$2), 'ProductSprint Backlog'!$F45, TRUE, 0)</f>
        <v>0</v>
      </c>
      <c r="M45" s="4" cm="1">
        <f t="array" ref="M45">_xlfn.IFS('ProductSprint Backlog'!$F45="", "", AND('ProductSprint Backlog'!$J45&gt;M$2,'ProductSprint Backlog'!$I45&lt;=M$2), 'ProductSprint Backlog'!$F45 / MAX(1, 'ProductSprint Backlog'!$J45-'ProductSprint Backlog'!$I45), AND('ProductSprint Backlog'!$J45=M$2,'ProductSprint Backlog'!$I45=M$2), 'ProductSprint Backlog'!$F45, TRUE, 0)</f>
        <v>0</v>
      </c>
      <c r="N45" s="4" cm="1">
        <f t="array" ref="N45">_xlfn.IFS('ProductSprint Backlog'!$F45="", "", AND('ProductSprint Backlog'!$J45&gt;N$2,'ProductSprint Backlog'!$I45&lt;=N$2), 'ProductSprint Backlog'!$F45 / MAX(1, 'ProductSprint Backlog'!$J45-'ProductSprint Backlog'!$I45), AND('ProductSprint Backlog'!$J45=N$2,'ProductSprint Backlog'!$I45=N$2), 'ProductSprint Backlog'!$F45, TRUE, 0)</f>
        <v>0</v>
      </c>
      <c r="O45" s="4" cm="1">
        <f t="array" ref="O45">_xlfn.IFS('ProductSprint Backlog'!$F45="", "", AND('ProductSprint Backlog'!$J45&gt;O$2,'ProductSprint Backlog'!$I45&lt;=O$2), 'ProductSprint Backlog'!$F45 / MAX(1, 'ProductSprint Backlog'!$J45-'ProductSprint Backlog'!$I45), AND('ProductSprint Backlog'!$J45=O$2,'ProductSprint Backlog'!$I45=O$2), 'ProductSprint Backlog'!$F45, TRUE, 0)</f>
        <v>0</v>
      </c>
      <c r="P45" s="4" cm="1">
        <f t="array" ref="P45">_xlfn.IFS('ProductSprint Backlog'!$F45="", "", AND('ProductSprint Backlog'!$J45&gt;P$2,'ProductSprint Backlog'!$I45&lt;=P$2), 'ProductSprint Backlog'!$F45 / MAX(1, 'ProductSprint Backlog'!$J45-'ProductSprint Backlog'!$I45), AND('ProductSprint Backlog'!$J45=P$2,'ProductSprint Backlog'!$I45=P$2), 'ProductSprint Backlog'!$F45, TRUE, 0)</f>
        <v>0</v>
      </c>
      <c r="Q45" s="4" cm="1">
        <f t="array" ref="Q45">_xlfn.IFS('ProductSprint Backlog'!$F45="", "", AND('ProductSprint Backlog'!$J45&gt;Q$2,'ProductSprint Backlog'!$I45&lt;=Q$2), 'ProductSprint Backlog'!$F45 / MAX(1, 'ProductSprint Backlog'!$J45-'ProductSprint Backlog'!$I45), AND('ProductSprint Backlog'!$J45=Q$2,'ProductSprint Backlog'!$I45=Q$2), 'ProductSprint Backlog'!$F45, TRUE, 0)</f>
        <v>0</v>
      </c>
      <c r="R45" s="4" cm="1">
        <f t="array" ref="R45">_xlfn.IFS('ProductSprint Backlog'!$F45="", "", AND('ProductSprint Backlog'!$J45&gt;R$2,'ProductSprint Backlog'!$I45&lt;=R$2), 'ProductSprint Backlog'!$F45 / MAX(1, 'ProductSprint Backlog'!$J45-'ProductSprint Backlog'!$I45), AND('ProductSprint Backlog'!$J45=R$2,'ProductSprint Backlog'!$I45=R$2), 'ProductSprint Backlog'!$F45, TRUE, 0)</f>
        <v>0</v>
      </c>
      <c r="S45" s="4" cm="1">
        <f t="array" ref="S45">_xlfn.IFS('ProductSprint Backlog'!$F45="", "", AND('ProductSprint Backlog'!$J45&gt;S$2,'ProductSprint Backlog'!$I45&lt;=S$2), 'ProductSprint Backlog'!$F45 / MAX(1, 'ProductSprint Backlog'!$J45-'ProductSprint Backlog'!$I45), AND('ProductSprint Backlog'!$J45=S$2,'ProductSprint Backlog'!$I45=S$2), 'ProductSprint Backlog'!$F45, TRUE, 0)</f>
        <v>0</v>
      </c>
      <c r="T45" s="4" cm="1">
        <f t="array" ref="T45">_xlfn.IFS('ProductSprint Backlog'!$F45="", "", AND('ProductSprint Backlog'!$J45&gt;T$2,'ProductSprint Backlog'!$I45&lt;=T$2), 'ProductSprint Backlog'!$F45 / MAX(1, 'ProductSprint Backlog'!$J45-'ProductSprint Backlog'!$I45), AND('ProductSprint Backlog'!$J45=T$2,'ProductSprint Backlog'!$I45=T$2), 'ProductSprint Backlog'!$F45, TRUE, 0)</f>
        <v>0</v>
      </c>
    </row>
    <row r="46" spans="2:20" x14ac:dyDescent="0.2">
      <c r="B46" s="4" cm="1">
        <f t="array" ref="B46">_xlfn.IFS('ProductSprint Backlog'!$F46="", "", AND('ProductSprint Backlog'!$J46&gt;B$2,'ProductSprint Backlog'!$I46&lt;=B$2), 'ProductSprint Backlog'!$F46 / MAX(1, 'ProductSprint Backlog'!$J46-'ProductSprint Backlog'!$I46), AND('ProductSprint Backlog'!$J46=B$2,'ProductSprint Backlog'!$I46=B$2), 'ProductSprint Backlog'!$F46, TRUE, 0)</f>
        <v>0</v>
      </c>
      <c r="C46" s="4" cm="1">
        <f t="array" ref="C46">_xlfn.IFS('ProductSprint Backlog'!$F46="", "", AND('ProductSprint Backlog'!$J46&gt;C$2,'ProductSprint Backlog'!$I46&lt;=C$2), 'ProductSprint Backlog'!$F46 / MAX(1, 'ProductSprint Backlog'!$J46-'ProductSprint Backlog'!$I46), AND('ProductSprint Backlog'!$J46=C$2,'ProductSprint Backlog'!$I46=C$2), 'ProductSprint Backlog'!$F46, TRUE, 0)</f>
        <v>0</v>
      </c>
      <c r="D46" s="4" cm="1">
        <f t="array" ref="D46">_xlfn.IFS('ProductSprint Backlog'!$F46="", "", AND('ProductSprint Backlog'!$J46&gt;D$2,'ProductSprint Backlog'!$I46&lt;=D$2), 'ProductSprint Backlog'!$F46 / MAX(1, 'ProductSprint Backlog'!$J46-'ProductSprint Backlog'!$I46), AND('ProductSprint Backlog'!$J46=D$2,'ProductSprint Backlog'!$I46=D$2), 'ProductSprint Backlog'!$F46, TRUE, 0)</f>
        <v>0</v>
      </c>
      <c r="E46" s="4" cm="1">
        <f t="array" ref="E46">_xlfn.IFS('ProductSprint Backlog'!$F46="", "", AND('ProductSprint Backlog'!$J46&gt;E$2,'ProductSprint Backlog'!$I46&lt;=E$2), 'ProductSprint Backlog'!$F46 / MAX(1, 'ProductSprint Backlog'!$J46-'ProductSprint Backlog'!$I46), AND('ProductSprint Backlog'!$J46=E$2,'ProductSprint Backlog'!$I46=E$2), 'ProductSprint Backlog'!$F46, TRUE, 0)</f>
        <v>0</v>
      </c>
      <c r="F46" s="4" cm="1">
        <f t="array" ref="F46">_xlfn.IFS('ProductSprint Backlog'!$F46="", "", AND('ProductSprint Backlog'!$J46&gt;F$2,'ProductSprint Backlog'!$I46&lt;=F$2), 'ProductSprint Backlog'!$F46 / MAX(1, 'ProductSprint Backlog'!$J46-'ProductSprint Backlog'!$I46), AND('ProductSprint Backlog'!$J46=F$2,'ProductSprint Backlog'!$I46=F$2), 'ProductSprint Backlog'!$F46, TRUE, 0)</f>
        <v>0</v>
      </c>
      <c r="G46" s="4" cm="1">
        <f t="array" ref="G46">_xlfn.IFS('ProductSprint Backlog'!$F46="", "", AND('ProductSprint Backlog'!$J46&gt;G$2,'ProductSprint Backlog'!$I46&lt;=G$2), 'ProductSprint Backlog'!$F46 / MAX(1, 'ProductSprint Backlog'!$J46-'ProductSprint Backlog'!$I46), AND('ProductSprint Backlog'!$J46=G$2,'ProductSprint Backlog'!$I46=G$2), 'ProductSprint Backlog'!$F46, TRUE, 0)</f>
        <v>0</v>
      </c>
      <c r="H46" s="4" cm="1">
        <f t="array" ref="H46">_xlfn.IFS('ProductSprint Backlog'!$F46="", "", AND('ProductSprint Backlog'!$J46&gt;H$2,'ProductSprint Backlog'!$I46&lt;=H$2), 'ProductSprint Backlog'!$F46 / MAX(1, 'ProductSprint Backlog'!$J46-'ProductSprint Backlog'!$I46), AND('ProductSprint Backlog'!$J46=H$2,'ProductSprint Backlog'!$I46=H$2), 'ProductSprint Backlog'!$F46, TRUE, 0)</f>
        <v>0</v>
      </c>
      <c r="I46" s="4" cm="1">
        <f t="array" ref="I46">_xlfn.IFS('ProductSprint Backlog'!$F46="", "", AND('ProductSprint Backlog'!$J46&gt;I$2,'ProductSprint Backlog'!$I46&lt;=I$2), 'ProductSprint Backlog'!$F46 / MAX(1, 'ProductSprint Backlog'!$J46-'ProductSprint Backlog'!$I46), AND('ProductSprint Backlog'!$J46=I$2,'ProductSprint Backlog'!$I46=I$2), 'ProductSprint Backlog'!$F46, TRUE, 0)</f>
        <v>0</v>
      </c>
      <c r="J46" s="4" cm="1">
        <f t="array" ref="J46">_xlfn.IFS('ProductSprint Backlog'!$F46="", "", AND('ProductSprint Backlog'!$J46&gt;J$2,'ProductSprint Backlog'!$I46&lt;=J$2), 'ProductSprint Backlog'!$F46 / MAX(1, 'ProductSprint Backlog'!$J46-'ProductSprint Backlog'!$I46), AND('ProductSprint Backlog'!$J46=J$2,'ProductSprint Backlog'!$I46=J$2), 'ProductSprint Backlog'!$F46, TRUE, 0)</f>
        <v>0</v>
      </c>
      <c r="K46" s="4" cm="1">
        <f t="array" ref="K46">_xlfn.IFS('ProductSprint Backlog'!$F46="", "", AND('ProductSprint Backlog'!$J46&gt;K$2,'ProductSprint Backlog'!$I46&lt;=K$2), 'ProductSprint Backlog'!$F46 / MAX(1, 'ProductSprint Backlog'!$J46-'ProductSprint Backlog'!$I46), AND('ProductSprint Backlog'!$J46=K$2,'ProductSprint Backlog'!$I46=K$2), 'ProductSprint Backlog'!$F46, TRUE, 0)</f>
        <v>0</v>
      </c>
      <c r="L46" s="4" cm="1">
        <f t="array" ref="L46">_xlfn.IFS('ProductSprint Backlog'!$F46="", "", AND('ProductSprint Backlog'!$J46&gt;L$2,'ProductSprint Backlog'!$I46&lt;=L$2), 'ProductSprint Backlog'!$F46 / MAX(1, 'ProductSprint Backlog'!$J46-'ProductSprint Backlog'!$I46), AND('ProductSprint Backlog'!$J46=L$2,'ProductSprint Backlog'!$I46=L$2), 'ProductSprint Backlog'!$F46, TRUE, 0)</f>
        <v>0</v>
      </c>
      <c r="M46" s="4" cm="1">
        <f t="array" ref="M46">_xlfn.IFS('ProductSprint Backlog'!$F46="", "", AND('ProductSprint Backlog'!$J46&gt;M$2,'ProductSprint Backlog'!$I46&lt;=M$2), 'ProductSprint Backlog'!$F46 / MAX(1, 'ProductSprint Backlog'!$J46-'ProductSprint Backlog'!$I46), AND('ProductSprint Backlog'!$J46=M$2,'ProductSprint Backlog'!$I46=M$2), 'ProductSprint Backlog'!$F46, TRUE, 0)</f>
        <v>0</v>
      </c>
      <c r="N46" s="4" cm="1">
        <f t="array" ref="N46">_xlfn.IFS('ProductSprint Backlog'!$F46="", "", AND('ProductSprint Backlog'!$J46&gt;N$2,'ProductSprint Backlog'!$I46&lt;=N$2), 'ProductSprint Backlog'!$F46 / MAX(1, 'ProductSprint Backlog'!$J46-'ProductSprint Backlog'!$I46), AND('ProductSprint Backlog'!$J46=N$2,'ProductSprint Backlog'!$I46=N$2), 'ProductSprint Backlog'!$F46, TRUE, 0)</f>
        <v>0</v>
      </c>
      <c r="O46" s="4" cm="1">
        <f t="array" ref="O46">_xlfn.IFS('ProductSprint Backlog'!$F46="", "", AND('ProductSprint Backlog'!$J46&gt;O$2,'ProductSprint Backlog'!$I46&lt;=O$2), 'ProductSprint Backlog'!$F46 / MAX(1, 'ProductSprint Backlog'!$J46-'ProductSprint Backlog'!$I46), AND('ProductSprint Backlog'!$J46=O$2,'ProductSprint Backlog'!$I46=O$2), 'ProductSprint Backlog'!$F46, TRUE, 0)</f>
        <v>0</v>
      </c>
      <c r="P46" s="4" cm="1">
        <f t="array" ref="P46">_xlfn.IFS('ProductSprint Backlog'!$F46="", "", AND('ProductSprint Backlog'!$J46&gt;P$2,'ProductSprint Backlog'!$I46&lt;=P$2), 'ProductSprint Backlog'!$F46 / MAX(1, 'ProductSprint Backlog'!$J46-'ProductSprint Backlog'!$I46), AND('ProductSprint Backlog'!$J46=P$2,'ProductSprint Backlog'!$I46=P$2), 'ProductSprint Backlog'!$F46, TRUE, 0)</f>
        <v>0</v>
      </c>
      <c r="Q46" s="4" cm="1">
        <f t="array" ref="Q46">_xlfn.IFS('ProductSprint Backlog'!$F46="", "", AND('ProductSprint Backlog'!$J46&gt;Q$2,'ProductSprint Backlog'!$I46&lt;=Q$2), 'ProductSprint Backlog'!$F46 / MAX(1, 'ProductSprint Backlog'!$J46-'ProductSprint Backlog'!$I46), AND('ProductSprint Backlog'!$J46=Q$2,'ProductSprint Backlog'!$I46=Q$2), 'ProductSprint Backlog'!$F46, TRUE, 0)</f>
        <v>0</v>
      </c>
      <c r="R46" s="4" cm="1">
        <f t="array" ref="R46">_xlfn.IFS('ProductSprint Backlog'!$F46="", "", AND('ProductSprint Backlog'!$J46&gt;R$2,'ProductSprint Backlog'!$I46&lt;=R$2), 'ProductSprint Backlog'!$F46 / MAX(1, 'ProductSprint Backlog'!$J46-'ProductSprint Backlog'!$I46), AND('ProductSprint Backlog'!$J46=R$2,'ProductSprint Backlog'!$I46=R$2), 'ProductSprint Backlog'!$F46, TRUE, 0)</f>
        <v>0</v>
      </c>
      <c r="S46" s="4" cm="1">
        <f t="array" ref="S46">_xlfn.IFS('ProductSprint Backlog'!$F46="", "", AND('ProductSprint Backlog'!$J46&gt;S$2,'ProductSprint Backlog'!$I46&lt;=S$2), 'ProductSprint Backlog'!$F46 / MAX(1, 'ProductSprint Backlog'!$J46-'ProductSprint Backlog'!$I46), AND('ProductSprint Backlog'!$J46=S$2,'ProductSprint Backlog'!$I46=S$2), 'ProductSprint Backlog'!$F46, TRUE, 0)</f>
        <v>0</v>
      </c>
      <c r="T46" s="4" cm="1">
        <f t="array" ref="T46">_xlfn.IFS('ProductSprint Backlog'!$F46="", "", AND('ProductSprint Backlog'!$J46&gt;T$2,'ProductSprint Backlog'!$I46&lt;=T$2), 'ProductSprint Backlog'!$F46 / MAX(1, 'ProductSprint Backlog'!$J46-'ProductSprint Backlog'!$I46), AND('ProductSprint Backlog'!$J46=T$2,'ProductSprint Backlog'!$I46=T$2), 'ProductSprint Backlog'!$F46, TRUE, 0)</f>
        <v>0</v>
      </c>
    </row>
    <row r="47" spans="2:20" x14ac:dyDescent="0.2">
      <c r="B47" s="4" t="str" cm="1">
        <f t="array" ref="B47">_xlfn.IFS('ProductSprint Backlog'!$F47="", "", AND('ProductSprint Backlog'!$J47&gt;B$2,'ProductSprint Backlog'!$I47&lt;=B$2), 'ProductSprint Backlog'!$F47 / MAX(1, 'ProductSprint Backlog'!$J47-'ProductSprint Backlog'!$I47), AND('ProductSprint Backlog'!$J47=B$2,'ProductSprint Backlog'!$I47=B$2), 'ProductSprint Backlog'!$F47, TRUE, 0)</f>
        <v/>
      </c>
      <c r="C47" s="4" t="str" cm="1">
        <f t="array" ref="C47">_xlfn.IFS('ProductSprint Backlog'!$F47="", "", AND('ProductSprint Backlog'!$J47&gt;C$2,'ProductSprint Backlog'!$I47&lt;=C$2), 'ProductSprint Backlog'!$F47 / MAX(1, 'ProductSprint Backlog'!$J47-'ProductSprint Backlog'!$I47), AND('ProductSprint Backlog'!$J47=C$2,'ProductSprint Backlog'!$I47=C$2), 'ProductSprint Backlog'!$F47, TRUE, 0)</f>
        <v/>
      </c>
      <c r="D47" s="4" t="str" cm="1">
        <f t="array" ref="D47">_xlfn.IFS('ProductSprint Backlog'!$F47="", "", AND('ProductSprint Backlog'!$J47&gt;D$2,'ProductSprint Backlog'!$I47&lt;=D$2), 'ProductSprint Backlog'!$F47 / MAX(1, 'ProductSprint Backlog'!$J47-'ProductSprint Backlog'!$I47), AND('ProductSprint Backlog'!$J47=D$2,'ProductSprint Backlog'!$I47=D$2), 'ProductSprint Backlog'!$F47, TRUE, 0)</f>
        <v/>
      </c>
      <c r="E47" s="4" t="str" cm="1">
        <f t="array" ref="E47">_xlfn.IFS('ProductSprint Backlog'!$F47="", "", AND('ProductSprint Backlog'!$J47&gt;E$2,'ProductSprint Backlog'!$I47&lt;=E$2), 'ProductSprint Backlog'!$F47 / MAX(1, 'ProductSprint Backlog'!$J47-'ProductSprint Backlog'!$I47), AND('ProductSprint Backlog'!$J47=E$2,'ProductSprint Backlog'!$I47=E$2), 'ProductSprint Backlog'!$F47, TRUE, 0)</f>
        <v/>
      </c>
      <c r="F47" s="4" t="str" cm="1">
        <f t="array" ref="F47">_xlfn.IFS('ProductSprint Backlog'!$F47="", "", AND('ProductSprint Backlog'!$J47&gt;F$2,'ProductSprint Backlog'!$I47&lt;=F$2), 'ProductSprint Backlog'!$F47 / MAX(1, 'ProductSprint Backlog'!$J47-'ProductSprint Backlog'!$I47), AND('ProductSprint Backlog'!$J47=F$2,'ProductSprint Backlog'!$I47=F$2), 'ProductSprint Backlog'!$F47, TRUE, 0)</f>
        <v/>
      </c>
      <c r="G47" s="4" t="str" cm="1">
        <f t="array" ref="G47">_xlfn.IFS('ProductSprint Backlog'!$F47="", "", AND('ProductSprint Backlog'!$J47&gt;G$2,'ProductSprint Backlog'!$I47&lt;=G$2), 'ProductSprint Backlog'!$F47 / MAX(1, 'ProductSprint Backlog'!$J47-'ProductSprint Backlog'!$I47), AND('ProductSprint Backlog'!$J47=G$2,'ProductSprint Backlog'!$I47=G$2), 'ProductSprint Backlog'!$F47, TRUE, 0)</f>
        <v/>
      </c>
      <c r="H47" s="4" t="str" cm="1">
        <f t="array" ref="H47">_xlfn.IFS('ProductSprint Backlog'!$F47="", "", AND('ProductSprint Backlog'!$J47&gt;H$2,'ProductSprint Backlog'!$I47&lt;=H$2), 'ProductSprint Backlog'!$F47 / MAX(1, 'ProductSprint Backlog'!$J47-'ProductSprint Backlog'!$I47), AND('ProductSprint Backlog'!$J47=H$2,'ProductSprint Backlog'!$I47=H$2), 'ProductSprint Backlog'!$F47, TRUE, 0)</f>
        <v/>
      </c>
      <c r="I47" s="4" t="str" cm="1">
        <f t="array" ref="I47">_xlfn.IFS('ProductSprint Backlog'!$F47="", "", AND('ProductSprint Backlog'!$J47&gt;I$2,'ProductSprint Backlog'!$I47&lt;=I$2), 'ProductSprint Backlog'!$F47 / MAX(1, 'ProductSprint Backlog'!$J47-'ProductSprint Backlog'!$I47), AND('ProductSprint Backlog'!$J47=I$2,'ProductSprint Backlog'!$I47=I$2), 'ProductSprint Backlog'!$F47, TRUE, 0)</f>
        <v/>
      </c>
      <c r="J47" s="4" t="str" cm="1">
        <f t="array" ref="J47">_xlfn.IFS('ProductSprint Backlog'!$F47="", "", AND('ProductSprint Backlog'!$J47&gt;J$2,'ProductSprint Backlog'!$I47&lt;=J$2), 'ProductSprint Backlog'!$F47 / MAX(1, 'ProductSprint Backlog'!$J47-'ProductSprint Backlog'!$I47), AND('ProductSprint Backlog'!$J47=J$2,'ProductSprint Backlog'!$I47=J$2), 'ProductSprint Backlog'!$F47, TRUE, 0)</f>
        <v/>
      </c>
      <c r="K47" s="4" t="str" cm="1">
        <f t="array" ref="K47">_xlfn.IFS('ProductSprint Backlog'!$F47="", "", AND('ProductSprint Backlog'!$J47&gt;K$2,'ProductSprint Backlog'!$I47&lt;=K$2), 'ProductSprint Backlog'!$F47 / MAX(1, 'ProductSprint Backlog'!$J47-'ProductSprint Backlog'!$I47), AND('ProductSprint Backlog'!$J47=K$2,'ProductSprint Backlog'!$I47=K$2), 'ProductSprint Backlog'!$F47, TRUE, 0)</f>
        <v/>
      </c>
      <c r="L47" s="4" t="str" cm="1">
        <f t="array" ref="L47">_xlfn.IFS('ProductSprint Backlog'!$F47="", "", AND('ProductSprint Backlog'!$J47&gt;L$2,'ProductSprint Backlog'!$I47&lt;=L$2), 'ProductSprint Backlog'!$F47 / MAX(1, 'ProductSprint Backlog'!$J47-'ProductSprint Backlog'!$I47), AND('ProductSprint Backlog'!$J47=L$2,'ProductSprint Backlog'!$I47=L$2), 'ProductSprint Backlog'!$F47, TRUE, 0)</f>
        <v/>
      </c>
      <c r="M47" s="4" t="str" cm="1">
        <f t="array" ref="M47">_xlfn.IFS('ProductSprint Backlog'!$F47="", "", AND('ProductSprint Backlog'!$J47&gt;M$2,'ProductSprint Backlog'!$I47&lt;=M$2), 'ProductSprint Backlog'!$F47 / MAX(1, 'ProductSprint Backlog'!$J47-'ProductSprint Backlog'!$I47), AND('ProductSprint Backlog'!$J47=M$2,'ProductSprint Backlog'!$I47=M$2), 'ProductSprint Backlog'!$F47, TRUE, 0)</f>
        <v/>
      </c>
      <c r="N47" s="4" t="str" cm="1">
        <f t="array" ref="N47">_xlfn.IFS('ProductSprint Backlog'!$F47="", "", AND('ProductSprint Backlog'!$J47&gt;N$2,'ProductSprint Backlog'!$I47&lt;=N$2), 'ProductSprint Backlog'!$F47 / MAX(1, 'ProductSprint Backlog'!$J47-'ProductSprint Backlog'!$I47), AND('ProductSprint Backlog'!$J47=N$2,'ProductSprint Backlog'!$I47=N$2), 'ProductSprint Backlog'!$F47, TRUE, 0)</f>
        <v/>
      </c>
      <c r="O47" s="4" t="str" cm="1">
        <f t="array" ref="O47">_xlfn.IFS('ProductSprint Backlog'!$F47="", "", AND('ProductSprint Backlog'!$J47&gt;O$2,'ProductSprint Backlog'!$I47&lt;=O$2), 'ProductSprint Backlog'!$F47 / MAX(1, 'ProductSprint Backlog'!$J47-'ProductSprint Backlog'!$I47), AND('ProductSprint Backlog'!$J47=O$2,'ProductSprint Backlog'!$I47=O$2), 'ProductSprint Backlog'!$F47, TRUE, 0)</f>
        <v/>
      </c>
      <c r="P47" s="4" t="str" cm="1">
        <f t="array" ref="P47">_xlfn.IFS('ProductSprint Backlog'!$F47="", "", AND('ProductSprint Backlog'!$J47&gt;P$2,'ProductSprint Backlog'!$I47&lt;=P$2), 'ProductSprint Backlog'!$F47 / MAX(1, 'ProductSprint Backlog'!$J47-'ProductSprint Backlog'!$I47), AND('ProductSprint Backlog'!$J47=P$2,'ProductSprint Backlog'!$I47=P$2), 'ProductSprint Backlog'!$F47, TRUE, 0)</f>
        <v/>
      </c>
      <c r="Q47" s="4" t="str" cm="1">
        <f t="array" ref="Q47">_xlfn.IFS('ProductSprint Backlog'!$F47="", "", AND('ProductSprint Backlog'!$J47&gt;Q$2,'ProductSprint Backlog'!$I47&lt;=Q$2), 'ProductSprint Backlog'!$F47 / MAX(1, 'ProductSprint Backlog'!$J47-'ProductSprint Backlog'!$I47), AND('ProductSprint Backlog'!$J47=Q$2,'ProductSprint Backlog'!$I47=Q$2), 'ProductSprint Backlog'!$F47, TRUE, 0)</f>
        <v/>
      </c>
      <c r="R47" s="4" t="str" cm="1">
        <f t="array" ref="R47">_xlfn.IFS('ProductSprint Backlog'!$F47="", "", AND('ProductSprint Backlog'!$J47&gt;R$2,'ProductSprint Backlog'!$I47&lt;=R$2), 'ProductSprint Backlog'!$F47 / MAX(1, 'ProductSprint Backlog'!$J47-'ProductSprint Backlog'!$I47), AND('ProductSprint Backlog'!$J47=R$2,'ProductSprint Backlog'!$I47=R$2), 'ProductSprint Backlog'!$F47, TRUE, 0)</f>
        <v/>
      </c>
      <c r="S47" s="4" t="str" cm="1">
        <f t="array" ref="S47">_xlfn.IFS('ProductSprint Backlog'!$F47="", "", AND('ProductSprint Backlog'!$J47&gt;S$2,'ProductSprint Backlog'!$I47&lt;=S$2), 'ProductSprint Backlog'!$F47 / MAX(1, 'ProductSprint Backlog'!$J47-'ProductSprint Backlog'!$I47), AND('ProductSprint Backlog'!$J47=S$2,'ProductSprint Backlog'!$I47=S$2), 'ProductSprint Backlog'!$F47, TRUE, 0)</f>
        <v/>
      </c>
      <c r="T47" s="4" t="str" cm="1">
        <f t="array" ref="T47">_xlfn.IFS('ProductSprint Backlog'!$F47="", "", AND('ProductSprint Backlog'!$J47&gt;T$2,'ProductSprint Backlog'!$I47&lt;=T$2), 'ProductSprint Backlog'!$F47 / MAX(1, 'ProductSprint Backlog'!$J47-'ProductSprint Backlog'!$I47), AND('ProductSprint Backlog'!$J47=T$2,'ProductSprint Backlog'!$I47=T$2), 'ProductSprint Backlog'!$F47, TRUE, 0)</f>
        <v/>
      </c>
    </row>
    <row r="48" spans="2:20" x14ac:dyDescent="0.2">
      <c r="B48" s="4" cm="1">
        <f t="array" ref="B48">_xlfn.IFS('ProductSprint Backlog'!$F48="", "", AND('ProductSprint Backlog'!$J48&gt;B$2,'ProductSprint Backlog'!$I48&lt;=B$2), 'ProductSprint Backlog'!$F48 / MAX(1, 'ProductSprint Backlog'!$J48-'ProductSprint Backlog'!$I48), AND('ProductSprint Backlog'!$J48=B$2,'ProductSprint Backlog'!$I48=B$2), 'ProductSprint Backlog'!$F48, TRUE, 0)</f>
        <v>0</v>
      </c>
      <c r="C48" s="4" cm="1">
        <f t="array" ref="C48">_xlfn.IFS('ProductSprint Backlog'!$F48="", "", AND('ProductSprint Backlog'!$J48&gt;C$2,'ProductSprint Backlog'!$I48&lt;=C$2), 'ProductSprint Backlog'!$F48 / MAX(1, 'ProductSprint Backlog'!$J48-'ProductSprint Backlog'!$I48), AND('ProductSprint Backlog'!$J48=C$2,'ProductSprint Backlog'!$I48=C$2), 'ProductSprint Backlog'!$F48, TRUE, 0)</f>
        <v>0</v>
      </c>
      <c r="D48" s="4" cm="1">
        <f t="array" ref="D48">_xlfn.IFS('ProductSprint Backlog'!$F48="", "", AND('ProductSprint Backlog'!$J48&gt;D$2,'ProductSprint Backlog'!$I48&lt;=D$2), 'ProductSprint Backlog'!$F48 / MAX(1, 'ProductSprint Backlog'!$J48-'ProductSprint Backlog'!$I48), AND('ProductSprint Backlog'!$J48=D$2,'ProductSprint Backlog'!$I48=D$2), 'ProductSprint Backlog'!$F48, TRUE, 0)</f>
        <v>0</v>
      </c>
      <c r="E48" s="4" cm="1">
        <f t="array" ref="E48">_xlfn.IFS('ProductSprint Backlog'!$F48="", "", AND('ProductSprint Backlog'!$J48&gt;E$2,'ProductSprint Backlog'!$I48&lt;=E$2), 'ProductSprint Backlog'!$F48 / MAX(1, 'ProductSprint Backlog'!$J48-'ProductSprint Backlog'!$I48), AND('ProductSprint Backlog'!$J48=E$2,'ProductSprint Backlog'!$I48=E$2), 'ProductSprint Backlog'!$F48, TRUE, 0)</f>
        <v>0</v>
      </c>
      <c r="F48" s="4" cm="1">
        <f t="array" ref="F48">_xlfn.IFS('ProductSprint Backlog'!$F48="", "", AND('ProductSprint Backlog'!$J48&gt;F$2,'ProductSprint Backlog'!$I48&lt;=F$2), 'ProductSprint Backlog'!$F48 / MAX(1, 'ProductSprint Backlog'!$J48-'ProductSprint Backlog'!$I48), AND('ProductSprint Backlog'!$J48=F$2,'ProductSprint Backlog'!$I48=F$2), 'ProductSprint Backlog'!$F48, TRUE, 0)</f>
        <v>0</v>
      </c>
      <c r="G48" s="4" cm="1">
        <f t="array" ref="G48">_xlfn.IFS('ProductSprint Backlog'!$F48="", "", AND('ProductSprint Backlog'!$J48&gt;G$2,'ProductSprint Backlog'!$I48&lt;=G$2), 'ProductSprint Backlog'!$F48 / MAX(1, 'ProductSprint Backlog'!$J48-'ProductSprint Backlog'!$I48), AND('ProductSprint Backlog'!$J48=G$2,'ProductSprint Backlog'!$I48=G$2), 'ProductSprint Backlog'!$F48, TRUE, 0)</f>
        <v>0</v>
      </c>
      <c r="H48" s="4" cm="1">
        <f t="array" ref="H48">_xlfn.IFS('ProductSprint Backlog'!$F48="", "", AND('ProductSprint Backlog'!$J48&gt;H$2,'ProductSprint Backlog'!$I48&lt;=H$2), 'ProductSprint Backlog'!$F48 / MAX(1, 'ProductSprint Backlog'!$J48-'ProductSprint Backlog'!$I48), AND('ProductSprint Backlog'!$J48=H$2,'ProductSprint Backlog'!$I48=H$2), 'ProductSprint Backlog'!$F48, TRUE, 0)</f>
        <v>0</v>
      </c>
      <c r="I48" s="4" cm="1">
        <f t="array" ref="I48">_xlfn.IFS('ProductSprint Backlog'!$F48="", "", AND('ProductSprint Backlog'!$J48&gt;I$2,'ProductSprint Backlog'!$I48&lt;=I$2), 'ProductSprint Backlog'!$F48 / MAX(1, 'ProductSprint Backlog'!$J48-'ProductSprint Backlog'!$I48), AND('ProductSprint Backlog'!$J48=I$2,'ProductSprint Backlog'!$I48=I$2), 'ProductSprint Backlog'!$F48, TRUE, 0)</f>
        <v>0</v>
      </c>
      <c r="J48" s="4" cm="1">
        <f t="array" ref="J48">_xlfn.IFS('ProductSprint Backlog'!$F48="", "", AND('ProductSprint Backlog'!$J48&gt;J$2,'ProductSprint Backlog'!$I48&lt;=J$2), 'ProductSprint Backlog'!$F48 / MAX(1, 'ProductSprint Backlog'!$J48-'ProductSprint Backlog'!$I48), AND('ProductSprint Backlog'!$J48=J$2,'ProductSprint Backlog'!$I48=J$2), 'ProductSprint Backlog'!$F48, TRUE, 0)</f>
        <v>0</v>
      </c>
      <c r="K48" s="4" cm="1">
        <f t="array" ref="K48">_xlfn.IFS('ProductSprint Backlog'!$F48="", "", AND('ProductSprint Backlog'!$J48&gt;K$2,'ProductSprint Backlog'!$I48&lt;=K$2), 'ProductSprint Backlog'!$F48 / MAX(1, 'ProductSprint Backlog'!$J48-'ProductSprint Backlog'!$I48), AND('ProductSprint Backlog'!$J48=K$2,'ProductSprint Backlog'!$I48=K$2), 'ProductSprint Backlog'!$F48, TRUE, 0)</f>
        <v>0</v>
      </c>
      <c r="L48" s="4" cm="1">
        <f t="array" ref="L48">_xlfn.IFS('ProductSprint Backlog'!$F48="", "", AND('ProductSprint Backlog'!$J48&gt;L$2,'ProductSprint Backlog'!$I48&lt;=L$2), 'ProductSprint Backlog'!$F48 / MAX(1, 'ProductSprint Backlog'!$J48-'ProductSprint Backlog'!$I48), AND('ProductSprint Backlog'!$J48=L$2,'ProductSprint Backlog'!$I48=L$2), 'ProductSprint Backlog'!$F48, TRUE, 0)</f>
        <v>0</v>
      </c>
      <c r="M48" s="4" cm="1">
        <f t="array" ref="M48">_xlfn.IFS('ProductSprint Backlog'!$F48="", "", AND('ProductSprint Backlog'!$J48&gt;M$2,'ProductSprint Backlog'!$I48&lt;=M$2), 'ProductSprint Backlog'!$F48 / MAX(1, 'ProductSprint Backlog'!$J48-'ProductSprint Backlog'!$I48), AND('ProductSprint Backlog'!$J48=M$2,'ProductSprint Backlog'!$I48=M$2), 'ProductSprint Backlog'!$F48, TRUE, 0)</f>
        <v>0</v>
      </c>
      <c r="N48" s="4" cm="1">
        <f t="array" ref="N48">_xlfn.IFS('ProductSprint Backlog'!$F48="", "", AND('ProductSprint Backlog'!$J48&gt;N$2,'ProductSprint Backlog'!$I48&lt;=N$2), 'ProductSprint Backlog'!$F48 / MAX(1, 'ProductSprint Backlog'!$J48-'ProductSprint Backlog'!$I48), AND('ProductSprint Backlog'!$J48=N$2,'ProductSprint Backlog'!$I48=N$2), 'ProductSprint Backlog'!$F48, TRUE, 0)</f>
        <v>0</v>
      </c>
      <c r="O48" s="4" cm="1">
        <f t="array" ref="O48">_xlfn.IFS('ProductSprint Backlog'!$F48="", "", AND('ProductSprint Backlog'!$J48&gt;O$2,'ProductSprint Backlog'!$I48&lt;=O$2), 'ProductSprint Backlog'!$F48 / MAX(1, 'ProductSprint Backlog'!$J48-'ProductSprint Backlog'!$I48), AND('ProductSprint Backlog'!$J48=O$2,'ProductSprint Backlog'!$I48=O$2), 'ProductSprint Backlog'!$F48, TRUE, 0)</f>
        <v>0</v>
      </c>
      <c r="P48" s="4" cm="1">
        <f t="array" ref="P48">_xlfn.IFS('ProductSprint Backlog'!$F48="", "", AND('ProductSprint Backlog'!$J48&gt;P$2,'ProductSprint Backlog'!$I48&lt;=P$2), 'ProductSprint Backlog'!$F48 / MAX(1, 'ProductSprint Backlog'!$J48-'ProductSprint Backlog'!$I48), AND('ProductSprint Backlog'!$J48=P$2,'ProductSprint Backlog'!$I48=P$2), 'ProductSprint Backlog'!$F48, TRUE, 0)</f>
        <v>0</v>
      </c>
      <c r="Q48" s="4" cm="1">
        <f t="array" ref="Q48">_xlfn.IFS('ProductSprint Backlog'!$F48="", "", AND('ProductSprint Backlog'!$J48&gt;Q$2,'ProductSprint Backlog'!$I48&lt;=Q$2), 'ProductSprint Backlog'!$F48 / MAX(1, 'ProductSprint Backlog'!$J48-'ProductSprint Backlog'!$I48), AND('ProductSprint Backlog'!$J48=Q$2,'ProductSprint Backlog'!$I48=Q$2), 'ProductSprint Backlog'!$F48, TRUE, 0)</f>
        <v>0</v>
      </c>
      <c r="R48" s="4" cm="1">
        <f t="array" ref="R48">_xlfn.IFS('ProductSprint Backlog'!$F48="", "", AND('ProductSprint Backlog'!$J48&gt;R$2,'ProductSprint Backlog'!$I48&lt;=R$2), 'ProductSprint Backlog'!$F48 / MAX(1, 'ProductSprint Backlog'!$J48-'ProductSprint Backlog'!$I48), AND('ProductSprint Backlog'!$J48=R$2,'ProductSprint Backlog'!$I48=R$2), 'ProductSprint Backlog'!$F48, TRUE, 0)</f>
        <v>0</v>
      </c>
      <c r="S48" s="4" cm="1">
        <f t="array" ref="S48">_xlfn.IFS('ProductSprint Backlog'!$F48="", "", AND('ProductSprint Backlog'!$J48&gt;S$2,'ProductSprint Backlog'!$I48&lt;=S$2), 'ProductSprint Backlog'!$F48 / MAX(1, 'ProductSprint Backlog'!$J48-'ProductSprint Backlog'!$I48), AND('ProductSprint Backlog'!$J48=S$2,'ProductSprint Backlog'!$I48=S$2), 'ProductSprint Backlog'!$F48, TRUE, 0)</f>
        <v>0</v>
      </c>
      <c r="T48" s="4" cm="1">
        <f t="array" ref="T48">_xlfn.IFS('ProductSprint Backlog'!$F48="", "", AND('ProductSprint Backlog'!$J48&gt;T$2,'ProductSprint Backlog'!$I48&lt;=T$2), 'ProductSprint Backlog'!$F48 / MAX(1, 'ProductSprint Backlog'!$J48-'ProductSprint Backlog'!$I48), AND('ProductSprint Backlog'!$J48=T$2,'ProductSprint Backlog'!$I48=T$2), 'ProductSprint Backlog'!$F48, TRUE, 0)</f>
        <v>0</v>
      </c>
    </row>
    <row r="49" spans="2:20" x14ac:dyDescent="0.2">
      <c r="B49" s="4" cm="1">
        <f t="array" ref="B49">_xlfn.IFS('ProductSprint Backlog'!$F49="", "", AND('ProductSprint Backlog'!$J49&gt;B$2,'ProductSprint Backlog'!$I49&lt;=B$2), 'ProductSprint Backlog'!$F49 / MAX(1, 'ProductSprint Backlog'!$J49-'ProductSprint Backlog'!$I49), AND('ProductSprint Backlog'!$J49=B$2,'ProductSprint Backlog'!$I49=B$2), 'ProductSprint Backlog'!$F49, TRUE, 0)</f>
        <v>0</v>
      </c>
      <c r="C49" s="4" cm="1">
        <f t="array" ref="C49">_xlfn.IFS('ProductSprint Backlog'!$F49="", "", AND('ProductSprint Backlog'!$J49&gt;C$2,'ProductSprint Backlog'!$I49&lt;=C$2), 'ProductSprint Backlog'!$F49 / MAX(1, 'ProductSprint Backlog'!$J49-'ProductSprint Backlog'!$I49), AND('ProductSprint Backlog'!$J49=C$2,'ProductSprint Backlog'!$I49=C$2), 'ProductSprint Backlog'!$F49, TRUE, 0)</f>
        <v>0</v>
      </c>
      <c r="D49" s="4" cm="1">
        <f t="array" ref="D49">_xlfn.IFS('ProductSprint Backlog'!$F49="", "", AND('ProductSprint Backlog'!$J49&gt;D$2,'ProductSprint Backlog'!$I49&lt;=D$2), 'ProductSprint Backlog'!$F49 / MAX(1, 'ProductSprint Backlog'!$J49-'ProductSprint Backlog'!$I49), AND('ProductSprint Backlog'!$J49=D$2,'ProductSprint Backlog'!$I49=D$2), 'ProductSprint Backlog'!$F49, TRUE, 0)</f>
        <v>0</v>
      </c>
      <c r="E49" s="4" cm="1">
        <f t="array" ref="E49">_xlfn.IFS('ProductSprint Backlog'!$F49="", "", AND('ProductSprint Backlog'!$J49&gt;E$2,'ProductSprint Backlog'!$I49&lt;=E$2), 'ProductSprint Backlog'!$F49 / MAX(1, 'ProductSprint Backlog'!$J49-'ProductSprint Backlog'!$I49), AND('ProductSprint Backlog'!$J49=E$2,'ProductSprint Backlog'!$I49=E$2), 'ProductSprint Backlog'!$F49, TRUE, 0)</f>
        <v>0</v>
      </c>
      <c r="F49" s="4" cm="1">
        <f t="array" ref="F49">_xlfn.IFS('ProductSprint Backlog'!$F49="", "", AND('ProductSprint Backlog'!$J49&gt;F$2,'ProductSprint Backlog'!$I49&lt;=F$2), 'ProductSprint Backlog'!$F49 / MAX(1, 'ProductSprint Backlog'!$J49-'ProductSprint Backlog'!$I49), AND('ProductSprint Backlog'!$J49=F$2,'ProductSprint Backlog'!$I49=F$2), 'ProductSprint Backlog'!$F49, TRUE, 0)</f>
        <v>0</v>
      </c>
      <c r="G49" s="4" cm="1">
        <f t="array" ref="G49">_xlfn.IFS('ProductSprint Backlog'!$F49="", "", AND('ProductSprint Backlog'!$J49&gt;G$2,'ProductSprint Backlog'!$I49&lt;=G$2), 'ProductSprint Backlog'!$F49 / MAX(1, 'ProductSprint Backlog'!$J49-'ProductSprint Backlog'!$I49), AND('ProductSprint Backlog'!$J49=G$2,'ProductSprint Backlog'!$I49=G$2), 'ProductSprint Backlog'!$F49, TRUE, 0)</f>
        <v>0</v>
      </c>
      <c r="H49" s="4" cm="1">
        <f t="array" ref="H49">_xlfn.IFS('ProductSprint Backlog'!$F49="", "", AND('ProductSprint Backlog'!$J49&gt;H$2,'ProductSprint Backlog'!$I49&lt;=H$2), 'ProductSprint Backlog'!$F49 / MAX(1, 'ProductSprint Backlog'!$J49-'ProductSprint Backlog'!$I49), AND('ProductSprint Backlog'!$J49=H$2,'ProductSprint Backlog'!$I49=H$2), 'ProductSprint Backlog'!$F49, TRUE, 0)</f>
        <v>0</v>
      </c>
      <c r="I49" s="4" cm="1">
        <f t="array" ref="I49">_xlfn.IFS('ProductSprint Backlog'!$F49="", "", AND('ProductSprint Backlog'!$J49&gt;I$2,'ProductSprint Backlog'!$I49&lt;=I$2), 'ProductSprint Backlog'!$F49 / MAX(1, 'ProductSprint Backlog'!$J49-'ProductSprint Backlog'!$I49), AND('ProductSprint Backlog'!$J49=I$2,'ProductSprint Backlog'!$I49=I$2), 'ProductSprint Backlog'!$F49, TRUE, 0)</f>
        <v>0</v>
      </c>
      <c r="J49" s="4" cm="1">
        <f t="array" ref="J49">_xlfn.IFS('ProductSprint Backlog'!$F49="", "", AND('ProductSprint Backlog'!$J49&gt;J$2,'ProductSprint Backlog'!$I49&lt;=J$2), 'ProductSprint Backlog'!$F49 / MAX(1, 'ProductSprint Backlog'!$J49-'ProductSprint Backlog'!$I49), AND('ProductSprint Backlog'!$J49=J$2,'ProductSprint Backlog'!$I49=J$2), 'ProductSprint Backlog'!$F49, TRUE, 0)</f>
        <v>0</v>
      </c>
      <c r="K49" s="4" cm="1">
        <f t="array" ref="K49">_xlfn.IFS('ProductSprint Backlog'!$F49="", "", AND('ProductSprint Backlog'!$J49&gt;K$2,'ProductSprint Backlog'!$I49&lt;=K$2), 'ProductSprint Backlog'!$F49 / MAX(1, 'ProductSprint Backlog'!$J49-'ProductSprint Backlog'!$I49), AND('ProductSprint Backlog'!$J49=K$2,'ProductSprint Backlog'!$I49=K$2), 'ProductSprint Backlog'!$F49, TRUE, 0)</f>
        <v>0</v>
      </c>
      <c r="L49" s="4" cm="1">
        <f t="array" ref="L49">_xlfn.IFS('ProductSprint Backlog'!$F49="", "", AND('ProductSprint Backlog'!$J49&gt;L$2,'ProductSprint Backlog'!$I49&lt;=L$2), 'ProductSprint Backlog'!$F49 / MAX(1, 'ProductSprint Backlog'!$J49-'ProductSprint Backlog'!$I49), AND('ProductSprint Backlog'!$J49=L$2,'ProductSprint Backlog'!$I49=L$2), 'ProductSprint Backlog'!$F49, TRUE, 0)</f>
        <v>0</v>
      </c>
      <c r="M49" s="4" cm="1">
        <f t="array" ref="M49">_xlfn.IFS('ProductSprint Backlog'!$F49="", "", AND('ProductSprint Backlog'!$J49&gt;M$2,'ProductSprint Backlog'!$I49&lt;=M$2), 'ProductSprint Backlog'!$F49 / MAX(1, 'ProductSprint Backlog'!$J49-'ProductSprint Backlog'!$I49), AND('ProductSprint Backlog'!$J49=M$2,'ProductSprint Backlog'!$I49=M$2), 'ProductSprint Backlog'!$F49, TRUE, 0)</f>
        <v>0</v>
      </c>
      <c r="N49" s="4" cm="1">
        <f t="array" ref="N49">_xlfn.IFS('ProductSprint Backlog'!$F49="", "", AND('ProductSprint Backlog'!$J49&gt;N$2,'ProductSprint Backlog'!$I49&lt;=N$2), 'ProductSprint Backlog'!$F49 / MAX(1, 'ProductSprint Backlog'!$J49-'ProductSprint Backlog'!$I49), AND('ProductSprint Backlog'!$J49=N$2,'ProductSprint Backlog'!$I49=N$2), 'ProductSprint Backlog'!$F49, TRUE, 0)</f>
        <v>0</v>
      </c>
      <c r="O49" s="4" cm="1">
        <f t="array" ref="O49">_xlfn.IFS('ProductSprint Backlog'!$F49="", "", AND('ProductSprint Backlog'!$J49&gt;O$2,'ProductSprint Backlog'!$I49&lt;=O$2), 'ProductSprint Backlog'!$F49 / MAX(1, 'ProductSprint Backlog'!$J49-'ProductSprint Backlog'!$I49), AND('ProductSprint Backlog'!$J49=O$2,'ProductSprint Backlog'!$I49=O$2), 'ProductSprint Backlog'!$F49, TRUE, 0)</f>
        <v>0</v>
      </c>
      <c r="P49" s="4" cm="1">
        <f t="array" ref="P49">_xlfn.IFS('ProductSprint Backlog'!$F49="", "", AND('ProductSprint Backlog'!$J49&gt;P$2,'ProductSprint Backlog'!$I49&lt;=P$2), 'ProductSprint Backlog'!$F49 / MAX(1, 'ProductSprint Backlog'!$J49-'ProductSprint Backlog'!$I49), AND('ProductSprint Backlog'!$J49=P$2,'ProductSprint Backlog'!$I49=P$2), 'ProductSprint Backlog'!$F49, TRUE, 0)</f>
        <v>0</v>
      </c>
      <c r="Q49" s="4" cm="1">
        <f t="array" ref="Q49">_xlfn.IFS('ProductSprint Backlog'!$F49="", "", AND('ProductSprint Backlog'!$J49&gt;Q$2,'ProductSprint Backlog'!$I49&lt;=Q$2), 'ProductSprint Backlog'!$F49 / MAX(1, 'ProductSprint Backlog'!$J49-'ProductSprint Backlog'!$I49), AND('ProductSprint Backlog'!$J49=Q$2,'ProductSprint Backlog'!$I49=Q$2), 'ProductSprint Backlog'!$F49, TRUE, 0)</f>
        <v>0</v>
      </c>
      <c r="R49" s="4" cm="1">
        <f t="array" ref="R49">_xlfn.IFS('ProductSprint Backlog'!$F49="", "", AND('ProductSprint Backlog'!$J49&gt;R$2,'ProductSprint Backlog'!$I49&lt;=R$2), 'ProductSprint Backlog'!$F49 / MAX(1, 'ProductSprint Backlog'!$J49-'ProductSprint Backlog'!$I49), AND('ProductSprint Backlog'!$J49=R$2,'ProductSprint Backlog'!$I49=R$2), 'ProductSprint Backlog'!$F49, TRUE, 0)</f>
        <v>0</v>
      </c>
      <c r="S49" s="4" cm="1">
        <f t="array" ref="S49">_xlfn.IFS('ProductSprint Backlog'!$F49="", "", AND('ProductSprint Backlog'!$J49&gt;S$2,'ProductSprint Backlog'!$I49&lt;=S$2), 'ProductSprint Backlog'!$F49 / MAX(1, 'ProductSprint Backlog'!$J49-'ProductSprint Backlog'!$I49), AND('ProductSprint Backlog'!$J49=S$2,'ProductSprint Backlog'!$I49=S$2), 'ProductSprint Backlog'!$F49, TRUE, 0)</f>
        <v>0</v>
      </c>
      <c r="T49" s="4" cm="1">
        <f t="array" ref="T49">_xlfn.IFS('ProductSprint Backlog'!$F49="", "", AND('ProductSprint Backlog'!$J49&gt;T$2,'ProductSprint Backlog'!$I49&lt;=T$2), 'ProductSprint Backlog'!$F49 / MAX(1, 'ProductSprint Backlog'!$J49-'ProductSprint Backlog'!$I49), AND('ProductSprint Backlog'!$J49=T$2,'ProductSprint Backlog'!$I49=T$2), 'ProductSprint Backlog'!$F49, TRUE, 0)</f>
        <v>0</v>
      </c>
    </row>
    <row r="50" spans="2:20" x14ac:dyDescent="0.2">
      <c r="B50" s="4" t="str" cm="1">
        <f t="array" ref="B50">_xlfn.IFS('ProductSprint Backlog'!$F50="", "", AND('ProductSprint Backlog'!$J50&gt;B$2,'ProductSprint Backlog'!$I50&lt;=B$2), 'ProductSprint Backlog'!$F50 / MAX(1, 'ProductSprint Backlog'!$J50-'ProductSprint Backlog'!$I50), AND('ProductSprint Backlog'!$J50=B$2,'ProductSprint Backlog'!$I50=B$2), 'ProductSprint Backlog'!$F50, TRUE, 0)</f>
        <v/>
      </c>
      <c r="C50" s="4" t="str" cm="1">
        <f t="array" ref="C50">_xlfn.IFS('ProductSprint Backlog'!$F50="", "", AND('ProductSprint Backlog'!$J50&gt;C$2,'ProductSprint Backlog'!$I50&lt;=C$2), 'ProductSprint Backlog'!$F50 / MAX(1, 'ProductSprint Backlog'!$J50-'ProductSprint Backlog'!$I50), AND('ProductSprint Backlog'!$J50=C$2,'ProductSprint Backlog'!$I50=C$2), 'ProductSprint Backlog'!$F50, TRUE, 0)</f>
        <v/>
      </c>
      <c r="D50" s="4" t="str" cm="1">
        <f t="array" ref="D50">_xlfn.IFS('ProductSprint Backlog'!$F50="", "", AND('ProductSprint Backlog'!$J50&gt;D$2,'ProductSprint Backlog'!$I50&lt;=D$2), 'ProductSprint Backlog'!$F50 / MAX(1, 'ProductSprint Backlog'!$J50-'ProductSprint Backlog'!$I50), AND('ProductSprint Backlog'!$J50=D$2,'ProductSprint Backlog'!$I50=D$2), 'ProductSprint Backlog'!$F50, TRUE, 0)</f>
        <v/>
      </c>
      <c r="E50" s="4" t="str" cm="1">
        <f t="array" ref="E50">_xlfn.IFS('ProductSprint Backlog'!$F50="", "", AND('ProductSprint Backlog'!$J50&gt;E$2,'ProductSprint Backlog'!$I50&lt;=E$2), 'ProductSprint Backlog'!$F50 / MAX(1, 'ProductSprint Backlog'!$J50-'ProductSprint Backlog'!$I50), AND('ProductSprint Backlog'!$J50=E$2,'ProductSprint Backlog'!$I50=E$2), 'ProductSprint Backlog'!$F50, TRUE, 0)</f>
        <v/>
      </c>
      <c r="F50" s="4" t="str" cm="1">
        <f t="array" ref="F50">_xlfn.IFS('ProductSprint Backlog'!$F50="", "", AND('ProductSprint Backlog'!$J50&gt;F$2,'ProductSprint Backlog'!$I50&lt;=F$2), 'ProductSprint Backlog'!$F50 / MAX(1, 'ProductSprint Backlog'!$J50-'ProductSprint Backlog'!$I50), AND('ProductSprint Backlog'!$J50=F$2,'ProductSprint Backlog'!$I50=F$2), 'ProductSprint Backlog'!$F50, TRUE, 0)</f>
        <v/>
      </c>
      <c r="G50" s="4" t="str" cm="1">
        <f t="array" ref="G50">_xlfn.IFS('ProductSprint Backlog'!$F50="", "", AND('ProductSprint Backlog'!$J50&gt;G$2,'ProductSprint Backlog'!$I50&lt;=G$2), 'ProductSprint Backlog'!$F50 / MAX(1, 'ProductSprint Backlog'!$J50-'ProductSprint Backlog'!$I50), AND('ProductSprint Backlog'!$J50=G$2,'ProductSprint Backlog'!$I50=G$2), 'ProductSprint Backlog'!$F50, TRUE, 0)</f>
        <v/>
      </c>
      <c r="H50" s="4" t="str" cm="1">
        <f t="array" ref="H50">_xlfn.IFS('ProductSprint Backlog'!$F50="", "", AND('ProductSprint Backlog'!$J50&gt;H$2,'ProductSprint Backlog'!$I50&lt;=H$2), 'ProductSprint Backlog'!$F50 / MAX(1, 'ProductSprint Backlog'!$J50-'ProductSprint Backlog'!$I50), AND('ProductSprint Backlog'!$J50=H$2,'ProductSprint Backlog'!$I50=H$2), 'ProductSprint Backlog'!$F50, TRUE, 0)</f>
        <v/>
      </c>
      <c r="I50" s="4" t="str" cm="1">
        <f t="array" ref="I50">_xlfn.IFS('ProductSprint Backlog'!$F50="", "", AND('ProductSprint Backlog'!$J50&gt;I$2,'ProductSprint Backlog'!$I50&lt;=I$2), 'ProductSprint Backlog'!$F50 / MAX(1, 'ProductSprint Backlog'!$J50-'ProductSprint Backlog'!$I50), AND('ProductSprint Backlog'!$J50=I$2,'ProductSprint Backlog'!$I50=I$2), 'ProductSprint Backlog'!$F50, TRUE, 0)</f>
        <v/>
      </c>
      <c r="J50" s="4" t="str" cm="1">
        <f t="array" ref="J50">_xlfn.IFS('ProductSprint Backlog'!$F50="", "", AND('ProductSprint Backlog'!$J50&gt;J$2,'ProductSprint Backlog'!$I50&lt;=J$2), 'ProductSprint Backlog'!$F50 / MAX(1, 'ProductSprint Backlog'!$J50-'ProductSprint Backlog'!$I50), AND('ProductSprint Backlog'!$J50=J$2,'ProductSprint Backlog'!$I50=J$2), 'ProductSprint Backlog'!$F50, TRUE, 0)</f>
        <v/>
      </c>
      <c r="K50" s="4" t="str" cm="1">
        <f t="array" ref="K50">_xlfn.IFS('ProductSprint Backlog'!$F50="", "", AND('ProductSprint Backlog'!$J50&gt;K$2,'ProductSprint Backlog'!$I50&lt;=K$2), 'ProductSprint Backlog'!$F50 / MAX(1, 'ProductSprint Backlog'!$J50-'ProductSprint Backlog'!$I50), AND('ProductSprint Backlog'!$J50=K$2,'ProductSprint Backlog'!$I50=K$2), 'ProductSprint Backlog'!$F50, TRUE, 0)</f>
        <v/>
      </c>
      <c r="L50" s="4" t="str" cm="1">
        <f t="array" ref="L50">_xlfn.IFS('ProductSprint Backlog'!$F50="", "", AND('ProductSprint Backlog'!$J50&gt;L$2,'ProductSprint Backlog'!$I50&lt;=L$2), 'ProductSprint Backlog'!$F50 / MAX(1, 'ProductSprint Backlog'!$J50-'ProductSprint Backlog'!$I50), AND('ProductSprint Backlog'!$J50=L$2,'ProductSprint Backlog'!$I50=L$2), 'ProductSprint Backlog'!$F50, TRUE, 0)</f>
        <v/>
      </c>
      <c r="M50" s="4" t="str" cm="1">
        <f t="array" ref="M50">_xlfn.IFS('ProductSprint Backlog'!$F50="", "", AND('ProductSprint Backlog'!$J50&gt;M$2,'ProductSprint Backlog'!$I50&lt;=M$2), 'ProductSprint Backlog'!$F50 / MAX(1, 'ProductSprint Backlog'!$J50-'ProductSprint Backlog'!$I50), AND('ProductSprint Backlog'!$J50=M$2,'ProductSprint Backlog'!$I50=M$2), 'ProductSprint Backlog'!$F50, TRUE, 0)</f>
        <v/>
      </c>
      <c r="N50" s="4" t="str" cm="1">
        <f t="array" ref="N50">_xlfn.IFS('ProductSprint Backlog'!$F50="", "", AND('ProductSprint Backlog'!$J50&gt;N$2,'ProductSprint Backlog'!$I50&lt;=N$2), 'ProductSprint Backlog'!$F50 / MAX(1, 'ProductSprint Backlog'!$J50-'ProductSprint Backlog'!$I50), AND('ProductSprint Backlog'!$J50=N$2,'ProductSprint Backlog'!$I50=N$2), 'ProductSprint Backlog'!$F50, TRUE, 0)</f>
        <v/>
      </c>
      <c r="O50" s="4" t="str" cm="1">
        <f t="array" ref="O50">_xlfn.IFS('ProductSprint Backlog'!$F50="", "", AND('ProductSprint Backlog'!$J50&gt;O$2,'ProductSprint Backlog'!$I50&lt;=O$2), 'ProductSprint Backlog'!$F50 / MAX(1, 'ProductSprint Backlog'!$J50-'ProductSprint Backlog'!$I50), AND('ProductSprint Backlog'!$J50=O$2,'ProductSprint Backlog'!$I50=O$2), 'ProductSprint Backlog'!$F50, TRUE, 0)</f>
        <v/>
      </c>
      <c r="P50" s="4" t="str" cm="1">
        <f t="array" ref="P50">_xlfn.IFS('ProductSprint Backlog'!$F50="", "", AND('ProductSprint Backlog'!$J50&gt;P$2,'ProductSprint Backlog'!$I50&lt;=P$2), 'ProductSprint Backlog'!$F50 / MAX(1, 'ProductSprint Backlog'!$J50-'ProductSprint Backlog'!$I50), AND('ProductSprint Backlog'!$J50=P$2,'ProductSprint Backlog'!$I50=P$2), 'ProductSprint Backlog'!$F50, TRUE, 0)</f>
        <v/>
      </c>
      <c r="Q50" s="4" t="str" cm="1">
        <f t="array" ref="Q50">_xlfn.IFS('ProductSprint Backlog'!$F50="", "", AND('ProductSprint Backlog'!$J50&gt;Q$2,'ProductSprint Backlog'!$I50&lt;=Q$2), 'ProductSprint Backlog'!$F50 / MAX(1, 'ProductSprint Backlog'!$J50-'ProductSprint Backlog'!$I50), AND('ProductSprint Backlog'!$J50=Q$2,'ProductSprint Backlog'!$I50=Q$2), 'ProductSprint Backlog'!$F50, TRUE, 0)</f>
        <v/>
      </c>
      <c r="R50" s="4" t="str" cm="1">
        <f t="array" ref="R50">_xlfn.IFS('ProductSprint Backlog'!$F50="", "", AND('ProductSprint Backlog'!$J50&gt;R$2,'ProductSprint Backlog'!$I50&lt;=R$2), 'ProductSprint Backlog'!$F50 / MAX(1, 'ProductSprint Backlog'!$J50-'ProductSprint Backlog'!$I50), AND('ProductSprint Backlog'!$J50=R$2,'ProductSprint Backlog'!$I50=R$2), 'ProductSprint Backlog'!$F50, TRUE, 0)</f>
        <v/>
      </c>
      <c r="S50" s="4" t="str" cm="1">
        <f t="array" ref="S50">_xlfn.IFS('ProductSprint Backlog'!$F50="", "", AND('ProductSprint Backlog'!$J50&gt;S$2,'ProductSprint Backlog'!$I50&lt;=S$2), 'ProductSprint Backlog'!$F50 / MAX(1, 'ProductSprint Backlog'!$J50-'ProductSprint Backlog'!$I50), AND('ProductSprint Backlog'!$J50=S$2,'ProductSprint Backlog'!$I50=S$2), 'ProductSprint Backlog'!$F50, TRUE, 0)</f>
        <v/>
      </c>
      <c r="T50" s="4" t="str" cm="1">
        <f t="array" ref="T50">_xlfn.IFS('ProductSprint Backlog'!$F50="", "", AND('ProductSprint Backlog'!$J50&gt;T$2,'ProductSprint Backlog'!$I50&lt;=T$2), 'ProductSprint Backlog'!$F50 / MAX(1, 'ProductSprint Backlog'!$J50-'ProductSprint Backlog'!$I50), AND('ProductSprint Backlog'!$J50=T$2,'ProductSprint Backlog'!$I50=T$2), 'ProductSprint Backlog'!$F50, TRUE, 0)</f>
        <v/>
      </c>
    </row>
    <row r="51" spans="2:20" x14ac:dyDescent="0.2">
      <c r="B51" s="4" cm="1">
        <f t="array" ref="B51">_xlfn.IFS('ProductSprint Backlog'!$F51="", "", AND('ProductSprint Backlog'!$J51&gt;B$2,'ProductSprint Backlog'!$I51&lt;=B$2), 'ProductSprint Backlog'!$F51 / MAX(1, 'ProductSprint Backlog'!$J51-'ProductSprint Backlog'!$I51), AND('ProductSprint Backlog'!$J51=B$2,'ProductSprint Backlog'!$I51=B$2), 'ProductSprint Backlog'!$F51, TRUE, 0)</f>
        <v>0</v>
      </c>
      <c r="C51" s="4" cm="1">
        <f t="array" ref="C51">_xlfn.IFS('ProductSprint Backlog'!$F51="", "", AND('ProductSprint Backlog'!$J51&gt;C$2,'ProductSprint Backlog'!$I51&lt;=C$2), 'ProductSprint Backlog'!$F51 / MAX(1, 'ProductSprint Backlog'!$J51-'ProductSprint Backlog'!$I51), AND('ProductSprint Backlog'!$J51=C$2,'ProductSprint Backlog'!$I51=C$2), 'ProductSprint Backlog'!$F51, TRUE, 0)</f>
        <v>0</v>
      </c>
      <c r="D51" s="4" cm="1">
        <f t="array" ref="D51">_xlfn.IFS('ProductSprint Backlog'!$F51="", "", AND('ProductSprint Backlog'!$J51&gt;D$2,'ProductSprint Backlog'!$I51&lt;=D$2), 'ProductSprint Backlog'!$F51 / MAX(1, 'ProductSprint Backlog'!$J51-'ProductSprint Backlog'!$I51), AND('ProductSprint Backlog'!$J51=D$2,'ProductSprint Backlog'!$I51=D$2), 'ProductSprint Backlog'!$F51, TRUE, 0)</f>
        <v>0</v>
      </c>
      <c r="E51" s="4" cm="1">
        <f t="array" ref="E51">_xlfn.IFS('ProductSprint Backlog'!$F51="", "", AND('ProductSprint Backlog'!$J51&gt;E$2,'ProductSprint Backlog'!$I51&lt;=E$2), 'ProductSprint Backlog'!$F51 / MAX(1, 'ProductSprint Backlog'!$J51-'ProductSprint Backlog'!$I51), AND('ProductSprint Backlog'!$J51=E$2,'ProductSprint Backlog'!$I51=E$2), 'ProductSprint Backlog'!$F51, TRUE, 0)</f>
        <v>0</v>
      </c>
      <c r="F51" s="4" cm="1">
        <f t="array" ref="F51">_xlfn.IFS('ProductSprint Backlog'!$F51="", "", AND('ProductSprint Backlog'!$J51&gt;F$2,'ProductSprint Backlog'!$I51&lt;=F$2), 'ProductSprint Backlog'!$F51 / MAX(1, 'ProductSprint Backlog'!$J51-'ProductSprint Backlog'!$I51), AND('ProductSprint Backlog'!$J51=F$2,'ProductSprint Backlog'!$I51=F$2), 'ProductSprint Backlog'!$F51, TRUE, 0)</f>
        <v>0</v>
      </c>
      <c r="G51" s="4" cm="1">
        <f t="array" ref="G51">_xlfn.IFS('ProductSprint Backlog'!$F51="", "", AND('ProductSprint Backlog'!$J51&gt;G$2,'ProductSprint Backlog'!$I51&lt;=G$2), 'ProductSprint Backlog'!$F51 / MAX(1, 'ProductSprint Backlog'!$J51-'ProductSprint Backlog'!$I51), AND('ProductSprint Backlog'!$J51=G$2,'ProductSprint Backlog'!$I51=G$2), 'ProductSprint Backlog'!$F51, TRUE, 0)</f>
        <v>0</v>
      </c>
      <c r="H51" s="4" cm="1">
        <f t="array" ref="H51">_xlfn.IFS('ProductSprint Backlog'!$F51="", "", AND('ProductSprint Backlog'!$J51&gt;H$2,'ProductSprint Backlog'!$I51&lt;=H$2), 'ProductSprint Backlog'!$F51 / MAX(1, 'ProductSprint Backlog'!$J51-'ProductSprint Backlog'!$I51), AND('ProductSprint Backlog'!$J51=H$2,'ProductSprint Backlog'!$I51=H$2), 'ProductSprint Backlog'!$F51, TRUE, 0)</f>
        <v>0</v>
      </c>
      <c r="I51" s="4" cm="1">
        <f t="array" ref="I51">_xlfn.IFS('ProductSprint Backlog'!$F51="", "", AND('ProductSprint Backlog'!$J51&gt;I$2,'ProductSprint Backlog'!$I51&lt;=I$2), 'ProductSprint Backlog'!$F51 / MAX(1, 'ProductSprint Backlog'!$J51-'ProductSprint Backlog'!$I51), AND('ProductSprint Backlog'!$J51=I$2,'ProductSprint Backlog'!$I51=I$2), 'ProductSprint Backlog'!$F51, TRUE, 0)</f>
        <v>0</v>
      </c>
      <c r="J51" s="4" cm="1">
        <f t="array" ref="J51">_xlfn.IFS('ProductSprint Backlog'!$F51="", "", AND('ProductSprint Backlog'!$J51&gt;J$2,'ProductSprint Backlog'!$I51&lt;=J$2), 'ProductSprint Backlog'!$F51 / MAX(1, 'ProductSprint Backlog'!$J51-'ProductSprint Backlog'!$I51), AND('ProductSprint Backlog'!$J51=J$2,'ProductSprint Backlog'!$I51=J$2), 'ProductSprint Backlog'!$F51, TRUE, 0)</f>
        <v>0</v>
      </c>
      <c r="K51" s="4" cm="1">
        <f t="array" ref="K51">_xlfn.IFS('ProductSprint Backlog'!$F51="", "", AND('ProductSprint Backlog'!$J51&gt;K$2,'ProductSprint Backlog'!$I51&lt;=K$2), 'ProductSprint Backlog'!$F51 / MAX(1, 'ProductSprint Backlog'!$J51-'ProductSprint Backlog'!$I51), AND('ProductSprint Backlog'!$J51=K$2,'ProductSprint Backlog'!$I51=K$2), 'ProductSprint Backlog'!$F51, TRUE, 0)</f>
        <v>0</v>
      </c>
      <c r="L51" s="4" cm="1">
        <f t="array" ref="L51">_xlfn.IFS('ProductSprint Backlog'!$F51="", "", AND('ProductSprint Backlog'!$J51&gt;L$2,'ProductSprint Backlog'!$I51&lt;=L$2), 'ProductSprint Backlog'!$F51 / MAX(1, 'ProductSprint Backlog'!$J51-'ProductSprint Backlog'!$I51), AND('ProductSprint Backlog'!$J51=L$2,'ProductSprint Backlog'!$I51=L$2), 'ProductSprint Backlog'!$F51, TRUE, 0)</f>
        <v>0</v>
      </c>
      <c r="M51" s="4" cm="1">
        <f t="array" ref="M51">_xlfn.IFS('ProductSprint Backlog'!$F51="", "", AND('ProductSprint Backlog'!$J51&gt;M$2,'ProductSprint Backlog'!$I51&lt;=M$2), 'ProductSprint Backlog'!$F51 / MAX(1, 'ProductSprint Backlog'!$J51-'ProductSprint Backlog'!$I51), AND('ProductSprint Backlog'!$J51=M$2,'ProductSprint Backlog'!$I51=M$2), 'ProductSprint Backlog'!$F51, TRUE, 0)</f>
        <v>0</v>
      </c>
      <c r="N51" s="4" cm="1">
        <f t="array" ref="N51">_xlfn.IFS('ProductSprint Backlog'!$F51="", "", AND('ProductSprint Backlog'!$J51&gt;N$2,'ProductSprint Backlog'!$I51&lt;=N$2), 'ProductSprint Backlog'!$F51 / MAX(1, 'ProductSprint Backlog'!$J51-'ProductSprint Backlog'!$I51), AND('ProductSprint Backlog'!$J51=N$2,'ProductSprint Backlog'!$I51=N$2), 'ProductSprint Backlog'!$F51, TRUE, 0)</f>
        <v>0</v>
      </c>
      <c r="O51" s="4" cm="1">
        <f t="array" ref="O51">_xlfn.IFS('ProductSprint Backlog'!$F51="", "", AND('ProductSprint Backlog'!$J51&gt;O$2,'ProductSprint Backlog'!$I51&lt;=O$2), 'ProductSprint Backlog'!$F51 / MAX(1, 'ProductSprint Backlog'!$J51-'ProductSprint Backlog'!$I51), AND('ProductSprint Backlog'!$J51=O$2,'ProductSprint Backlog'!$I51=O$2), 'ProductSprint Backlog'!$F51, TRUE, 0)</f>
        <v>0</v>
      </c>
      <c r="P51" s="4" cm="1">
        <f t="array" ref="P51">_xlfn.IFS('ProductSprint Backlog'!$F51="", "", AND('ProductSprint Backlog'!$J51&gt;P$2,'ProductSprint Backlog'!$I51&lt;=P$2), 'ProductSprint Backlog'!$F51 / MAX(1, 'ProductSprint Backlog'!$J51-'ProductSprint Backlog'!$I51), AND('ProductSprint Backlog'!$J51=P$2,'ProductSprint Backlog'!$I51=P$2), 'ProductSprint Backlog'!$F51, TRUE, 0)</f>
        <v>0</v>
      </c>
      <c r="Q51" s="4" cm="1">
        <f t="array" ref="Q51">_xlfn.IFS('ProductSprint Backlog'!$F51="", "", AND('ProductSprint Backlog'!$J51&gt;Q$2,'ProductSprint Backlog'!$I51&lt;=Q$2), 'ProductSprint Backlog'!$F51 / MAX(1, 'ProductSprint Backlog'!$J51-'ProductSprint Backlog'!$I51), AND('ProductSprint Backlog'!$J51=Q$2,'ProductSprint Backlog'!$I51=Q$2), 'ProductSprint Backlog'!$F51, TRUE, 0)</f>
        <v>0</v>
      </c>
      <c r="R51" s="4" cm="1">
        <f t="array" ref="R51">_xlfn.IFS('ProductSprint Backlog'!$F51="", "", AND('ProductSprint Backlog'!$J51&gt;R$2,'ProductSprint Backlog'!$I51&lt;=R$2), 'ProductSprint Backlog'!$F51 / MAX(1, 'ProductSprint Backlog'!$J51-'ProductSprint Backlog'!$I51), AND('ProductSprint Backlog'!$J51=R$2,'ProductSprint Backlog'!$I51=R$2), 'ProductSprint Backlog'!$F51, TRUE, 0)</f>
        <v>0</v>
      </c>
      <c r="S51" s="4" cm="1">
        <f t="array" ref="S51">_xlfn.IFS('ProductSprint Backlog'!$F51="", "", AND('ProductSprint Backlog'!$J51&gt;S$2,'ProductSprint Backlog'!$I51&lt;=S$2), 'ProductSprint Backlog'!$F51 / MAX(1, 'ProductSprint Backlog'!$J51-'ProductSprint Backlog'!$I51), AND('ProductSprint Backlog'!$J51=S$2,'ProductSprint Backlog'!$I51=S$2), 'ProductSprint Backlog'!$F51, TRUE, 0)</f>
        <v>0</v>
      </c>
      <c r="T51" s="4" cm="1">
        <f t="array" ref="T51">_xlfn.IFS('ProductSprint Backlog'!$F51="", "", AND('ProductSprint Backlog'!$J51&gt;T$2,'ProductSprint Backlog'!$I51&lt;=T$2), 'ProductSprint Backlog'!$F51 / MAX(1, 'ProductSprint Backlog'!$J51-'ProductSprint Backlog'!$I51), AND('ProductSprint Backlog'!$J51=T$2,'ProductSprint Backlog'!$I51=T$2), 'ProductSprint Backlog'!$F51, TRUE, 0)</f>
        <v>0</v>
      </c>
    </row>
    <row r="52" spans="2:20" x14ac:dyDescent="0.2">
      <c r="B52" s="4" cm="1">
        <f t="array" ref="B52">_xlfn.IFS('ProductSprint Backlog'!$F52="", "", AND('ProductSprint Backlog'!$J52&gt;B$2,'ProductSprint Backlog'!$I52&lt;=B$2), 'ProductSprint Backlog'!$F52 / MAX(1, 'ProductSprint Backlog'!$J52-'ProductSprint Backlog'!$I52), AND('ProductSprint Backlog'!$J52=B$2,'ProductSprint Backlog'!$I52=B$2), 'ProductSprint Backlog'!$F52, TRUE, 0)</f>
        <v>0</v>
      </c>
      <c r="C52" s="4" cm="1">
        <f t="array" ref="C52">_xlfn.IFS('ProductSprint Backlog'!$F52="", "", AND('ProductSprint Backlog'!$J52&gt;C$2,'ProductSprint Backlog'!$I52&lt;=C$2), 'ProductSprint Backlog'!$F52 / MAX(1, 'ProductSprint Backlog'!$J52-'ProductSprint Backlog'!$I52), AND('ProductSprint Backlog'!$J52=C$2,'ProductSprint Backlog'!$I52=C$2), 'ProductSprint Backlog'!$F52, TRUE, 0)</f>
        <v>0</v>
      </c>
      <c r="D52" s="4" cm="1">
        <f t="array" ref="D52">_xlfn.IFS('ProductSprint Backlog'!$F52="", "", AND('ProductSprint Backlog'!$J52&gt;D$2,'ProductSprint Backlog'!$I52&lt;=D$2), 'ProductSprint Backlog'!$F52 / MAX(1, 'ProductSprint Backlog'!$J52-'ProductSprint Backlog'!$I52), AND('ProductSprint Backlog'!$J52=D$2,'ProductSprint Backlog'!$I52=D$2), 'ProductSprint Backlog'!$F52, TRUE, 0)</f>
        <v>0</v>
      </c>
      <c r="E52" s="4" cm="1">
        <f t="array" ref="E52">_xlfn.IFS('ProductSprint Backlog'!$F52="", "", AND('ProductSprint Backlog'!$J52&gt;E$2,'ProductSprint Backlog'!$I52&lt;=E$2), 'ProductSprint Backlog'!$F52 / MAX(1, 'ProductSprint Backlog'!$J52-'ProductSprint Backlog'!$I52), AND('ProductSprint Backlog'!$J52=E$2,'ProductSprint Backlog'!$I52=E$2), 'ProductSprint Backlog'!$F52, TRUE, 0)</f>
        <v>0</v>
      </c>
      <c r="F52" s="4" cm="1">
        <f t="array" ref="F52">_xlfn.IFS('ProductSprint Backlog'!$F52="", "", AND('ProductSprint Backlog'!$J52&gt;F$2,'ProductSprint Backlog'!$I52&lt;=F$2), 'ProductSprint Backlog'!$F52 / MAX(1, 'ProductSprint Backlog'!$J52-'ProductSprint Backlog'!$I52), AND('ProductSprint Backlog'!$J52=F$2,'ProductSprint Backlog'!$I52=F$2), 'ProductSprint Backlog'!$F52, TRUE, 0)</f>
        <v>0</v>
      </c>
      <c r="G52" s="4" cm="1">
        <f t="array" ref="G52">_xlfn.IFS('ProductSprint Backlog'!$F52="", "", AND('ProductSprint Backlog'!$J52&gt;G$2,'ProductSprint Backlog'!$I52&lt;=G$2), 'ProductSprint Backlog'!$F52 / MAX(1, 'ProductSprint Backlog'!$J52-'ProductSprint Backlog'!$I52), AND('ProductSprint Backlog'!$J52=G$2,'ProductSprint Backlog'!$I52=G$2), 'ProductSprint Backlog'!$F52, TRUE, 0)</f>
        <v>0</v>
      </c>
      <c r="H52" s="4" cm="1">
        <f t="array" ref="H52">_xlfn.IFS('ProductSprint Backlog'!$F52="", "", AND('ProductSprint Backlog'!$J52&gt;H$2,'ProductSprint Backlog'!$I52&lt;=H$2), 'ProductSprint Backlog'!$F52 / MAX(1, 'ProductSprint Backlog'!$J52-'ProductSprint Backlog'!$I52), AND('ProductSprint Backlog'!$J52=H$2,'ProductSprint Backlog'!$I52=H$2), 'ProductSprint Backlog'!$F52, TRUE, 0)</f>
        <v>0</v>
      </c>
      <c r="I52" s="4" cm="1">
        <f t="array" ref="I52">_xlfn.IFS('ProductSprint Backlog'!$F52="", "", AND('ProductSprint Backlog'!$J52&gt;I$2,'ProductSprint Backlog'!$I52&lt;=I$2), 'ProductSprint Backlog'!$F52 / MAX(1, 'ProductSprint Backlog'!$J52-'ProductSprint Backlog'!$I52), AND('ProductSprint Backlog'!$J52=I$2,'ProductSprint Backlog'!$I52=I$2), 'ProductSprint Backlog'!$F52, TRUE, 0)</f>
        <v>0</v>
      </c>
      <c r="J52" s="4" cm="1">
        <f t="array" ref="J52">_xlfn.IFS('ProductSprint Backlog'!$F52="", "", AND('ProductSprint Backlog'!$J52&gt;J$2,'ProductSprint Backlog'!$I52&lt;=J$2), 'ProductSprint Backlog'!$F52 / MAX(1, 'ProductSprint Backlog'!$J52-'ProductSprint Backlog'!$I52), AND('ProductSprint Backlog'!$J52=J$2,'ProductSprint Backlog'!$I52=J$2), 'ProductSprint Backlog'!$F52, TRUE, 0)</f>
        <v>0</v>
      </c>
      <c r="K52" s="4" cm="1">
        <f t="array" ref="K52">_xlfn.IFS('ProductSprint Backlog'!$F52="", "", AND('ProductSprint Backlog'!$J52&gt;K$2,'ProductSprint Backlog'!$I52&lt;=K$2), 'ProductSprint Backlog'!$F52 / MAX(1, 'ProductSprint Backlog'!$J52-'ProductSprint Backlog'!$I52), AND('ProductSprint Backlog'!$J52=K$2,'ProductSprint Backlog'!$I52=K$2), 'ProductSprint Backlog'!$F52, TRUE, 0)</f>
        <v>0</v>
      </c>
      <c r="L52" s="4" cm="1">
        <f t="array" ref="L52">_xlfn.IFS('ProductSprint Backlog'!$F52="", "", AND('ProductSprint Backlog'!$J52&gt;L$2,'ProductSprint Backlog'!$I52&lt;=L$2), 'ProductSprint Backlog'!$F52 / MAX(1, 'ProductSprint Backlog'!$J52-'ProductSprint Backlog'!$I52), AND('ProductSprint Backlog'!$J52=L$2,'ProductSprint Backlog'!$I52=L$2), 'ProductSprint Backlog'!$F52, TRUE, 0)</f>
        <v>0</v>
      </c>
      <c r="M52" s="4" cm="1">
        <f t="array" ref="M52">_xlfn.IFS('ProductSprint Backlog'!$F52="", "", AND('ProductSprint Backlog'!$J52&gt;M$2,'ProductSprint Backlog'!$I52&lt;=M$2), 'ProductSprint Backlog'!$F52 / MAX(1, 'ProductSprint Backlog'!$J52-'ProductSprint Backlog'!$I52), AND('ProductSprint Backlog'!$J52=M$2,'ProductSprint Backlog'!$I52=M$2), 'ProductSprint Backlog'!$F52, TRUE, 0)</f>
        <v>0</v>
      </c>
      <c r="N52" s="4" cm="1">
        <f t="array" ref="N52">_xlfn.IFS('ProductSprint Backlog'!$F52="", "", AND('ProductSprint Backlog'!$J52&gt;N$2,'ProductSprint Backlog'!$I52&lt;=N$2), 'ProductSprint Backlog'!$F52 / MAX(1, 'ProductSprint Backlog'!$J52-'ProductSprint Backlog'!$I52), AND('ProductSprint Backlog'!$J52=N$2,'ProductSprint Backlog'!$I52=N$2), 'ProductSprint Backlog'!$F52, TRUE, 0)</f>
        <v>0</v>
      </c>
      <c r="O52" s="4" cm="1">
        <f t="array" ref="O52">_xlfn.IFS('ProductSprint Backlog'!$F52="", "", AND('ProductSprint Backlog'!$J52&gt;O$2,'ProductSprint Backlog'!$I52&lt;=O$2), 'ProductSprint Backlog'!$F52 / MAX(1, 'ProductSprint Backlog'!$J52-'ProductSprint Backlog'!$I52), AND('ProductSprint Backlog'!$J52=O$2,'ProductSprint Backlog'!$I52=O$2), 'ProductSprint Backlog'!$F52, TRUE, 0)</f>
        <v>0</v>
      </c>
      <c r="P52" s="4" cm="1">
        <f t="array" ref="P52">_xlfn.IFS('ProductSprint Backlog'!$F52="", "", AND('ProductSprint Backlog'!$J52&gt;P$2,'ProductSprint Backlog'!$I52&lt;=P$2), 'ProductSprint Backlog'!$F52 / MAX(1, 'ProductSprint Backlog'!$J52-'ProductSprint Backlog'!$I52), AND('ProductSprint Backlog'!$J52=P$2,'ProductSprint Backlog'!$I52=P$2), 'ProductSprint Backlog'!$F52, TRUE, 0)</f>
        <v>0</v>
      </c>
      <c r="Q52" s="4" cm="1">
        <f t="array" ref="Q52">_xlfn.IFS('ProductSprint Backlog'!$F52="", "", AND('ProductSprint Backlog'!$J52&gt;Q$2,'ProductSprint Backlog'!$I52&lt;=Q$2), 'ProductSprint Backlog'!$F52 / MAX(1, 'ProductSprint Backlog'!$J52-'ProductSprint Backlog'!$I52), AND('ProductSprint Backlog'!$J52=Q$2,'ProductSprint Backlog'!$I52=Q$2), 'ProductSprint Backlog'!$F52, TRUE, 0)</f>
        <v>0</v>
      </c>
      <c r="R52" s="4" cm="1">
        <f t="array" ref="R52">_xlfn.IFS('ProductSprint Backlog'!$F52="", "", AND('ProductSprint Backlog'!$J52&gt;R$2,'ProductSprint Backlog'!$I52&lt;=R$2), 'ProductSprint Backlog'!$F52 / MAX(1, 'ProductSprint Backlog'!$J52-'ProductSprint Backlog'!$I52), AND('ProductSprint Backlog'!$J52=R$2,'ProductSprint Backlog'!$I52=R$2), 'ProductSprint Backlog'!$F52, TRUE, 0)</f>
        <v>0</v>
      </c>
      <c r="S52" s="4" cm="1">
        <f t="array" ref="S52">_xlfn.IFS('ProductSprint Backlog'!$F52="", "", AND('ProductSprint Backlog'!$J52&gt;S$2,'ProductSprint Backlog'!$I52&lt;=S$2), 'ProductSprint Backlog'!$F52 / MAX(1, 'ProductSprint Backlog'!$J52-'ProductSprint Backlog'!$I52), AND('ProductSprint Backlog'!$J52=S$2,'ProductSprint Backlog'!$I52=S$2), 'ProductSprint Backlog'!$F52, TRUE, 0)</f>
        <v>0</v>
      </c>
      <c r="T52" s="4" cm="1">
        <f t="array" ref="T52">_xlfn.IFS('ProductSprint Backlog'!$F52="", "", AND('ProductSprint Backlog'!$J52&gt;T$2,'ProductSprint Backlog'!$I52&lt;=T$2), 'ProductSprint Backlog'!$F52 / MAX(1, 'ProductSprint Backlog'!$J52-'ProductSprint Backlog'!$I52), AND('ProductSprint Backlog'!$J52=T$2,'ProductSprint Backlog'!$I52=T$2), 'ProductSprint Backlog'!$F52, TRUE, 0)</f>
        <v>0</v>
      </c>
    </row>
    <row r="53" spans="2:20" x14ac:dyDescent="0.2">
      <c r="B53" s="4" t="str" cm="1">
        <f t="array" ref="B53">_xlfn.IFS('ProductSprint Backlog'!$F53="", "", AND('ProductSprint Backlog'!$J53&gt;B$2,'ProductSprint Backlog'!$I53&lt;=B$2), 'ProductSprint Backlog'!$F53 / MAX(1, 'ProductSprint Backlog'!$J53-'ProductSprint Backlog'!$I53), AND('ProductSprint Backlog'!$J53=B$2,'ProductSprint Backlog'!$I53=B$2), 'ProductSprint Backlog'!$F53, TRUE, 0)</f>
        <v/>
      </c>
      <c r="C53" s="4" t="str" cm="1">
        <f t="array" ref="C53">_xlfn.IFS('ProductSprint Backlog'!$F53="", "", AND('ProductSprint Backlog'!$J53&gt;C$2,'ProductSprint Backlog'!$I53&lt;=C$2), 'ProductSprint Backlog'!$F53 / MAX(1, 'ProductSprint Backlog'!$J53-'ProductSprint Backlog'!$I53), AND('ProductSprint Backlog'!$J53=C$2,'ProductSprint Backlog'!$I53=C$2), 'ProductSprint Backlog'!$F53, TRUE, 0)</f>
        <v/>
      </c>
      <c r="D53" s="4" t="str" cm="1">
        <f t="array" ref="D53">_xlfn.IFS('ProductSprint Backlog'!$F53="", "", AND('ProductSprint Backlog'!$J53&gt;D$2,'ProductSprint Backlog'!$I53&lt;=D$2), 'ProductSprint Backlog'!$F53 / MAX(1, 'ProductSprint Backlog'!$J53-'ProductSprint Backlog'!$I53), AND('ProductSprint Backlog'!$J53=D$2,'ProductSprint Backlog'!$I53=D$2), 'ProductSprint Backlog'!$F53, TRUE, 0)</f>
        <v/>
      </c>
      <c r="E53" s="4" t="str" cm="1">
        <f t="array" ref="E53">_xlfn.IFS('ProductSprint Backlog'!$F53="", "", AND('ProductSprint Backlog'!$J53&gt;E$2,'ProductSprint Backlog'!$I53&lt;=E$2), 'ProductSprint Backlog'!$F53 / MAX(1, 'ProductSprint Backlog'!$J53-'ProductSprint Backlog'!$I53), AND('ProductSprint Backlog'!$J53=E$2,'ProductSprint Backlog'!$I53=E$2), 'ProductSprint Backlog'!$F53, TRUE, 0)</f>
        <v/>
      </c>
      <c r="F53" s="4" t="str" cm="1">
        <f t="array" ref="F53">_xlfn.IFS('ProductSprint Backlog'!$F53="", "", AND('ProductSprint Backlog'!$J53&gt;F$2,'ProductSprint Backlog'!$I53&lt;=F$2), 'ProductSprint Backlog'!$F53 / MAX(1, 'ProductSprint Backlog'!$J53-'ProductSprint Backlog'!$I53), AND('ProductSprint Backlog'!$J53=F$2,'ProductSprint Backlog'!$I53=F$2), 'ProductSprint Backlog'!$F53, TRUE, 0)</f>
        <v/>
      </c>
      <c r="G53" s="4" t="str" cm="1">
        <f t="array" ref="G53">_xlfn.IFS('ProductSprint Backlog'!$F53="", "", AND('ProductSprint Backlog'!$J53&gt;G$2,'ProductSprint Backlog'!$I53&lt;=G$2), 'ProductSprint Backlog'!$F53 / MAX(1, 'ProductSprint Backlog'!$J53-'ProductSprint Backlog'!$I53), AND('ProductSprint Backlog'!$J53=G$2,'ProductSprint Backlog'!$I53=G$2), 'ProductSprint Backlog'!$F53, TRUE, 0)</f>
        <v/>
      </c>
      <c r="H53" s="4" t="str" cm="1">
        <f t="array" ref="H53">_xlfn.IFS('ProductSprint Backlog'!$F53="", "", AND('ProductSprint Backlog'!$J53&gt;H$2,'ProductSprint Backlog'!$I53&lt;=H$2), 'ProductSprint Backlog'!$F53 / MAX(1, 'ProductSprint Backlog'!$J53-'ProductSprint Backlog'!$I53), AND('ProductSprint Backlog'!$J53=H$2,'ProductSprint Backlog'!$I53=H$2), 'ProductSprint Backlog'!$F53, TRUE, 0)</f>
        <v/>
      </c>
      <c r="I53" s="4" t="str" cm="1">
        <f t="array" ref="I53">_xlfn.IFS('ProductSprint Backlog'!$F53="", "", AND('ProductSprint Backlog'!$J53&gt;I$2,'ProductSprint Backlog'!$I53&lt;=I$2), 'ProductSprint Backlog'!$F53 / MAX(1, 'ProductSprint Backlog'!$J53-'ProductSprint Backlog'!$I53), AND('ProductSprint Backlog'!$J53=I$2,'ProductSprint Backlog'!$I53=I$2), 'ProductSprint Backlog'!$F53, TRUE, 0)</f>
        <v/>
      </c>
      <c r="J53" s="4" t="str" cm="1">
        <f t="array" ref="J53">_xlfn.IFS('ProductSprint Backlog'!$F53="", "", AND('ProductSprint Backlog'!$J53&gt;J$2,'ProductSprint Backlog'!$I53&lt;=J$2), 'ProductSprint Backlog'!$F53 / MAX(1, 'ProductSprint Backlog'!$J53-'ProductSprint Backlog'!$I53), AND('ProductSprint Backlog'!$J53=J$2,'ProductSprint Backlog'!$I53=J$2), 'ProductSprint Backlog'!$F53, TRUE, 0)</f>
        <v/>
      </c>
      <c r="K53" s="4" t="str" cm="1">
        <f t="array" ref="K53">_xlfn.IFS('ProductSprint Backlog'!$F53="", "", AND('ProductSprint Backlog'!$J53&gt;K$2,'ProductSprint Backlog'!$I53&lt;=K$2), 'ProductSprint Backlog'!$F53 / MAX(1, 'ProductSprint Backlog'!$J53-'ProductSprint Backlog'!$I53), AND('ProductSprint Backlog'!$J53=K$2,'ProductSprint Backlog'!$I53=K$2), 'ProductSprint Backlog'!$F53, TRUE, 0)</f>
        <v/>
      </c>
      <c r="L53" s="4" t="str" cm="1">
        <f t="array" ref="L53">_xlfn.IFS('ProductSprint Backlog'!$F53="", "", AND('ProductSprint Backlog'!$J53&gt;L$2,'ProductSprint Backlog'!$I53&lt;=L$2), 'ProductSprint Backlog'!$F53 / MAX(1, 'ProductSprint Backlog'!$J53-'ProductSprint Backlog'!$I53), AND('ProductSprint Backlog'!$J53=L$2,'ProductSprint Backlog'!$I53=L$2), 'ProductSprint Backlog'!$F53, TRUE, 0)</f>
        <v/>
      </c>
      <c r="M53" s="4" t="str" cm="1">
        <f t="array" ref="M53">_xlfn.IFS('ProductSprint Backlog'!$F53="", "", AND('ProductSprint Backlog'!$J53&gt;M$2,'ProductSprint Backlog'!$I53&lt;=M$2), 'ProductSprint Backlog'!$F53 / MAX(1, 'ProductSprint Backlog'!$J53-'ProductSprint Backlog'!$I53), AND('ProductSprint Backlog'!$J53=M$2,'ProductSprint Backlog'!$I53=M$2), 'ProductSprint Backlog'!$F53, TRUE, 0)</f>
        <v/>
      </c>
      <c r="N53" s="4" t="str" cm="1">
        <f t="array" ref="N53">_xlfn.IFS('ProductSprint Backlog'!$F53="", "", AND('ProductSprint Backlog'!$J53&gt;N$2,'ProductSprint Backlog'!$I53&lt;=N$2), 'ProductSprint Backlog'!$F53 / MAX(1, 'ProductSprint Backlog'!$J53-'ProductSprint Backlog'!$I53), AND('ProductSprint Backlog'!$J53=N$2,'ProductSprint Backlog'!$I53=N$2), 'ProductSprint Backlog'!$F53, TRUE, 0)</f>
        <v/>
      </c>
      <c r="O53" s="4" t="str" cm="1">
        <f t="array" ref="O53">_xlfn.IFS('ProductSprint Backlog'!$F53="", "", AND('ProductSprint Backlog'!$J53&gt;O$2,'ProductSprint Backlog'!$I53&lt;=O$2), 'ProductSprint Backlog'!$F53 / MAX(1, 'ProductSprint Backlog'!$J53-'ProductSprint Backlog'!$I53), AND('ProductSprint Backlog'!$J53=O$2,'ProductSprint Backlog'!$I53=O$2), 'ProductSprint Backlog'!$F53, TRUE, 0)</f>
        <v/>
      </c>
      <c r="P53" s="4" t="str" cm="1">
        <f t="array" ref="P53">_xlfn.IFS('ProductSprint Backlog'!$F53="", "", AND('ProductSprint Backlog'!$J53&gt;P$2,'ProductSprint Backlog'!$I53&lt;=P$2), 'ProductSprint Backlog'!$F53 / MAX(1, 'ProductSprint Backlog'!$J53-'ProductSprint Backlog'!$I53), AND('ProductSprint Backlog'!$J53=P$2,'ProductSprint Backlog'!$I53=P$2), 'ProductSprint Backlog'!$F53, TRUE, 0)</f>
        <v/>
      </c>
      <c r="Q53" s="4" t="str" cm="1">
        <f t="array" ref="Q53">_xlfn.IFS('ProductSprint Backlog'!$F53="", "", AND('ProductSprint Backlog'!$J53&gt;Q$2,'ProductSprint Backlog'!$I53&lt;=Q$2), 'ProductSprint Backlog'!$F53 / MAX(1, 'ProductSprint Backlog'!$J53-'ProductSprint Backlog'!$I53), AND('ProductSprint Backlog'!$J53=Q$2,'ProductSprint Backlog'!$I53=Q$2), 'ProductSprint Backlog'!$F53, TRUE, 0)</f>
        <v/>
      </c>
      <c r="R53" s="4" t="str" cm="1">
        <f t="array" ref="R53">_xlfn.IFS('ProductSprint Backlog'!$F53="", "", AND('ProductSprint Backlog'!$J53&gt;R$2,'ProductSprint Backlog'!$I53&lt;=R$2), 'ProductSprint Backlog'!$F53 / MAX(1, 'ProductSprint Backlog'!$J53-'ProductSprint Backlog'!$I53), AND('ProductSprint Backlog'!$J53=R$2,'ProductSprint Backlog'!$I53=R$2), 'ProductSprint Backlog'!$F53, TRUE, 0)</f>
        <v/>
      </c>
      <c r="S53" s="4" t="str" cm="1">
        <f t="array" ref="S53">_xlfn.IFS('ProductSprint Backlog'!$F53="", "", AND('ProductSprint Backlog'!$J53&gt;S$2,'ProductSprint Backlog'!$I53&lt;=S$2), 'ProductSprint Backlog'!$F53 / MAX(1, 'ProductSprint Backlog'!$J53-'ProductSprint Backlog'!$I53), AND('ProductSprint Backlog'!$J53=S$2,'ProductSprint Backlog'!$I53=S$2), 'ProductSprint Backlog'!$F53, TRUE, 0)</f>
        <v/>
      </c>
      <c r="T53" s="4" t="str" cm="1">
        <f t="array" ref="T53">_xlfn.IFS('ProductSprint Backlog'!$F53="", "", AND('ProductSprint Backlog'!$J53&gt;T$2,'ProductSprint Backlog'!$I53&lt;=T$2), 'ProductSprint Backlog'!$F53 / MAX(1, 'ProductSprint Backlog'!$J53-'ProductSprint Backlog'!$I53), AND('ProductSprint Backlog'!$J53=T$2,'ProductSprint Backlog'!$I53=T$2), 'ProductSprint Backlog'!$F53, TRUE, 0)</f>
        <v/>
      </c>
    </row>
    <row r="54" spans="2:20" x14ac:dyDescent="0.2">
      <c r="B54" s="4" cm="1">
        <f t="array" ref="B54">_xlfn.IFS('ProductSprint Backlog'!$F54="", "", AND('ProductSprint Backlog'!$J54&gt;B$2,'ProductSprint Backlog'!$I54&lt;=B$2), 'ProductSprint Backlog'!$F54 / MAX(1, 'ProductSprint Backlog'!$J54-'ProductSprint Backlog'!$I54), AND('ProductSprint Backlog'!$J54=B$2,'ProductSprint Backlog'!$I54=B$2), 'ProductSprint Backlog'!$F54, TRUE, 0)</f>
        <v>0</v>
      </c>
      <c r="C54" s="4" cm="1">
        <f t="array" ref="C54">_xlfn.IFS('ProductSprint Backlog'!$F54="", "", AND('ProductSprint Backlog'!$J54&gt;C$2,'ProductSprint Backlog'!$I54&lt;=C$2), 'ProductSprint Backlog'!$F54 / MAX(1, 'ProductSprint Backlog'!$J54-'ProductSprint Backlog'!$I54), AND('ProductSprint Backlog'!$J54=C$2,'ProductSprint Backlog'!$I54=C$2), 'ProductSprint Backlog'!$F54, TRUE, 0)</f>
        <v>0</v>
      </c>
      <c r="D54" s="4" cm="1">
        <f t="array" ref="D54">_xlfn.IFS('ProductSprint Backlog'!$F54="", "", AND('ProductSprint Backlog'!$J54&gt;D$2,'ProductSprint Backlog'!$I54&lt;=D$2), 'ProductSprint Backlog'!$F54 / MAX(1, 'ProductSprint Backlog'!$J54-'ProductSprint Backlog'!$I54), AND('ProductSprint Backlog'!$J54=D$2,'ProductSprint Backlog'!$I54=D$2), 'ProductSprint Backlog'!$F54, TRUE, 0)</f>
        <v>0</v>
      </c>
      <c r="E54" s="4" cm="1">
        <f t="array" ref="E54">_xlfn.IFS('ProductSprint Backlog'!$F54="", "", AND('ProductSprint Backlog'!$J54&gt;E$2,'ProductSprint Backlog'!$I54&lt;=E$2), 'ProductSprint Backlog'!$F54 / MAX(1, 'ProductSprint Backlog'!$J54-'ProductSprint Backlog'!$I54), AND('ProductSprint Backlog'!$J54=E$2,'ProductSprint Backlog'!$I54=E$2), 'ProductSprint Backlog'!$F54, TRUE, 0)</f>
        <v>0</v>
      </c>
      <c r="F54" s="4" cm="1">
        <f t="array" ref="F54">_xlfn.IFS('ProductSprint Backlog'!$F54="", "", AND('ProductSprint Backlog'!$J54&gt;F$2,'ProductSprint Backlog'!$I54&lt;=F$2), 'ProductSprint Backlog'!$F54 / MAX(1, 'ProductSprint Backlog'!$J54-'ProductSprint Backlog'!$I54), AND('ProductSprint Backlog'!$J54=F$2,'ProductSprint Backlog'!$I54=F$2), 'ProductSprint Backlog'!$F54, TRUE, 0)</f>
        <v>0</v>
      </c>
      <c r="G54" s="4" cm="1">
        <f t="array" ref="G54">_xlfn.IFS('ProductSprint Backlog'!$F54="", "", AND('ProductSprint Backlog'!$J54&gt;G$2,'ProductSprint Backlog'!$I54&lt;=G$2), 'ProductSprint Backlog'!$F54 / MAX(1, 'ProductSprint Backlog'!$J54-'ProductSprint Backlog'!$I54), AND('ProductSprint Backlog'!$J54=G$2,'ProductSprint Backlog'!$I54=G$2), 'ProductSprint Backlog'!$F54, TRUE, 0)</f>
        <v>0</v>
      </c>
      <c r="H54" s="4" cm="1">
        <f t="array" ref="H54">_xlfn.IFS('ProductSprint Backlog'!$F54="", "", AND('ProductSprint Backlog'!$J54&gt;H$2,'ProductSprint Backlog'!$I54&lt;=H$2), 'ProductSprint Backlog'!$F54 / MAX(1, 'ProductSprint Backlog'!$J54-'ProductSprint Backlog'!$I54), AND('ProductSprint Backlog'!$J54=H$2,'ProductSprint Backlog'!$I54=H$2), 'ProductSprint Backlog'!$F54, TRUE, 0)</f>
        <v>0</v>
      </c>
      <c r="I54" s="4" cm="1">
        <f t="array" ref="I54">_xlfn.IFS('ProductSprint Backlog'!$F54="", "", AND('ProductSprint Backlog'!$J54&gt;I$2,'ProductSprint Backlog'!$I54&lt;=I$2), 'ProductSprint Backlog'!$F54 / MAX(1, 'ProductSprint Backlog'!$J54-'ProductSprint Backlog'!$I54), AND('ProductSprint Backlog'!$J54=I$2,'ProductSprint Backlog'!$I54=I$2), 'ProductSprint Backlog'!$F54, TRUE, 0)</f>
        <v>0</v>
      </c>
      <c r="J54" s="4" cm="1">
        <f t="array" ref="J54">_xlfn.IFS('ProductSprint Backlog'!$F54="", "", AND('ProductSprint Backlog'!$J54&gt;J$2,'ProductSprint Backlog'!$I54&lt;=J$2), 'ProductSprint Backlog'!$F54 / MAX(1, 'ProductSprint Backlog'!$J54-'ProductSprint Backlog'!$I54), AND('ProductSprint Backlog'!$J54=J$2,'ProductSprint Backlog'!$I54=J$2), 'ProductSprint Backlog'!$F54, TRUE, 0)</f>
        <v>0</v>
      </c>
      <c r="K54" s="4" cm="1">
        <f t="array" ref="K54">_xlfn.IFS('ProductSprint Backlog'!$F54="", "", AND('ProductSprint Backlog'!$J54&gt;K$2,'ProductSprint Backlog'!$I54&lt;=K$2), 'ProductSprint Backlog'!$F54 / MAX(1, 'ProductSprint Backlog'!$J54-'ProductSprint Backlog'!$I54), AND('ProductSprint Backlog'!$J54=K$2,'ProductSprint Backlog'!$I54=K$2), 'ProductSprint Backlog'!$F54, TRUE, 0)</f>
        <v>0</v>
      </c>
      <c r="L54" s="4" cm="1">
        <f t="array" ref="L54">_xlfn.IFS('ProductSprint Backlog'!$F54="", "", AND('ProductSprint Backlog'!$J54&gt;L$2,'ProductSprint Backlog'!$I54&lt;=L$2), 'ProductSprint Backlog'!$F54 / MAX(1, 'ProductSprint Backlog'!$J54-'ProductSprint Backlog'!$I54), AND('ProductSprint Backlog'!$J54=L$2,'ProductSprint Backlog'!$I54=L$2), 'ProductSprint Backlog'!$F54, TRUE, 0)</f>
        <v>0</v>
      </c>
      <c r="M54" s="4" cm="1">
        <f t="array" ref="M54">_xlfn.IFS('ProductSprint Backlog'!$F54="", "", AND('ProductSprint Backlog'!$J54&gt;M$2,'ProductSprint Backlog'!$I54&lt;=M$2), 'ProductSprint Backlog'!$F54 / MAX(1, 'ProductSprint Backlog'!$J54-'ProductSprint Backlog'!$I54), AND('ProductSprint Backlog'!$J54=M$2,'ProductSprint Backlog'!$I54=M$2), 'ProductSprint Backlog'!$F54, TRUE, 0)</f>
        <v>0</v>
      </c>
      <c r="N54" s="4" cm="1">
        <f t="array" ref="N54">_xlfn.IFS('ProductSprint Backlog'!$F54="", "", AND('ProductSprint Backlog'!$J54&gt;N$2,'ProductSprint Backlog'!$I54&lt;=N$2), 'ProductSprint Backlog'!$F54 / MAX(1, 'ProductSprint Backlog'!$J54-'ProductSprint Backlog'!$I54), AND('ProductSprint Backlog'!$J54=N$2,'ProductSprint Backlog'!$I54=N$2), 'ProductSprint Backlog'!$F54, TRUE, 0)</f>
        <v>0</v>
      </c>
      <c r="O54" s="4" cm="1">
        <f t="array" ref="O54">_xlfn.IFS('ProductSprint Backlog'!$F54="", "", AND('ProductSprint Backlog'!$J54&gt;O$2,'ProductSprint Backlog'!$I54&lt;=O$2), 'ProductSprint Backlog'!$F54 / MAX(1, 'ProductSprint Backlog'!$J54-'ProductSprint Backlog'!$I54), AND('ProductSprint Backlog'!$J54=O$2,'ProductSprint Backlog'!$I54=O$2), 'ProductSprint Backlog'!$F54, TRUE, 0)</f>
        <v>0</v>
      </c>
      <c r="P54" s="4" cm="1">
        <f t="array" ref="P54">_xlfn.IFS('ProductSprint Backlog'!$F54="", "", AND('ProductSprint Backlog'!$J54&gt;P$2,'ProductSprint Backlog'!$I54&lt;=P$2), 'ProductSprint Backlog'!$F54 / MAX(1, 'ProductSprint Backlog'!$J54-'ProductSprint Backlog'!$I54), AND('ProductSprint Backlog'!$J54=P$2,'ProductSprint Backlog'!$I54=P$2), 'ProductSprint Backlog'!$F54, TRUE, 0)</f>
        <v>0</v>
      </c>
      <c r="Q54" s="4" cm="1">
        <f t="array" ref="Q54">_xlfn.IFS('ProductSprint Backlog'!$F54="", "", AND('ProductSprint Backlog'!$J54&gt;Q$2,'ProductSprint Backlog'!$I54&lt;=Q$2), 'ProductSprint Backlog'!$F54 / MAX(1, 'ProductSprint Backlog'!$J54-'ProductSprint Backlog'!$I54), AND('ProductSprint Backlog'!$J54=Q$2,'ProductSprint Backlog'!$I54=Q$2), 'ProductSprint Backlog'!$F54, TRUE, 0)</f>
        <v>0</v>
      </c>
      <c r="R54" s="4" cm="1">
        <f t="array" ref="R54">_xlfn.IFS('ProductSprint Backlog'!$F54="", "", AND('ProductSprint Backlog'!$J54&gt;R$2,'ProductSprint Backlog'!$I54&lt;=R$2), 'ProductSprint Backlog'!$F54 / MAX(1, 'ProductSprint Backlog'!$J54-'ProductSprint Backlog'!$I54), AND('ProductSprint Backlog'!$J54=R$2,'ProductSprint Backlog'!$I54=R$2), 'ProductSprint Backlog'!$F54, TRUE, 0)</f>
        <v>0</v>
      </c>
      <c r="S54" s="4" cm="1">
        <f t="array" ref="S54">_xlfn.IFS('ProductSprint Backlog'!$F54="", "", AND('ProductSprint Backlog'!$J54&gt;S$2,'ProductSprint Backlog'!$I54&lt;=S$2), 'ProductSprint Backlog'!$F54 / MAX(1, 'ProductSprint Backlog'!$J54-'ProductSprint Backlog'!$I54), AND('ProductSprint Backlog'!$J54=S$2,'ProductSprint Backlog'!$I54=S$2), 'ProductSprint Backlog'!$F54, TRUE, 0)</f>
        <v>0</v>
      </c>
      <c r="T54" s="4" cm="1">
        <f t="array" ref="T54">_xlfn.IFS('ProductSprint Backlog'!$F54="", "", AND('ProductSprint Backlog'!$J54&gt;T$2,'ProductSprint Backlog'!$I54&lt;=T$2), 'ProductSprint Backlog'!$F54 / MAX(1, 'ProductSprint Backlog'!$J54-'ProductSprint Backlog'!$I54), AND('ProductSprint Backlog'!$J54=T$2,'ProductSprint Backlog'!$I54=T$2), 'ProductSprint Backlog'!$F54, TRUE, 0)</f>
        <v>0</v>
      </c>
    </row>
    <row r="55" spans="2:20" x14ac:dyDescent="0.2">
      <c r="B55" s="4" cm="1">
        <f t="array" ref="B55">_xlfn.IFS('ProductSprint Backlog'!$F55="", "", AND('ProductSprint Backlog'!$J55&gt;B$2,'ProductSprint Backlog'!$I55&lt;=B$2), 'ProductSprint Backlog'!$F55 / MAX(1, 'ProductSprint Backlog'!$J55-'ProductSprint Backlog'!$I55), AND('ProductSprint Backlog'!$J55=B$2,'ProductSprint Backlog'!$I55=B$2), 'ProductSprint Backlog'!$F55, TRUE, 0)</f>
        <v>0</v>
      </c>
      <c r="C55" s="4" cm="1">
        <f t="array" ref="C55">_xlfn.IFS('ProductSprint Backlog'!$F55="", "", AND('ProductSprint Backlog'!$J55&gt;C$2,'ProductSprint Backlog'!$I55&lt;=C$2), 'ProductSprint Backlog'!$F55 / MAX(1, 'ProductSprint Backlog'!$J55-'ProductSprint Backlog'!$I55), AND('ProductSprint Backlog'!$J55=C$2,'ProductSprint Backlog'!$I55=C$2), 'ProductSprint Backlog'!$F55, TRUE, 0)</f>
        <v>0</v>
      </c>
      <c r="D55" s="4" cm="1">
        <f t="array" ref="D55">_xlfn.IFS('ProductSprint Backlog'!$F55="", "", AND('ProductSprint Backlog'!$J55&gt;D$2,'ProductSprint Backlog'!$I55&lt;=D$2), 'ProductSprint Backlog'!$F55 / MAX(1, 'ProductSprint Backlog'!$J55-'ProductSprint Backlog'!$I55), AND('ProductSprint Backlog'!$J55=D$2,'ProductSprint Backlog'!$I55=D$2), 'ProductSprint Backlog'!$F55, TRUE, 0)</f>
        <v>0</v>
      </c>
      <c r="E55" s="4" cm="1">
        <f t="array" ref="E55">_xlfn.IFS('ProductSprint Backlog'!$F55="", "", AND('ProductSprint Backlog'!$J55&gt;E$2,'ProductSprint Backlog'!$I55&lt;=E$2), 'ProductSprint Backlog'!$F55 / MAX(1, 'ProductSprint Backlog'!$J55-'ProductSprint Backlog'!$I55), AND('ProductSprint Backlog'!$J55=E$2,'ProductSprint Backlog'!$I55=E$2), 'ProductSprint Backlog'!$F55, TRUE, 0)</f>
        <v>0</v>
      </c>
      <c r="F55" s="4" cm="1">
        <f t="array" ref="F55">_xlfn.IFS('ProductSprint Backlog'!$F55="", "", AND('ProductSprint Backlog'!$J55&gt;F$2,'ProductSprint Backlog'!$I55&lt;=F$2), 'ProductSprint Backlog'!$F55 / MAX(1, 'ProductSprint Backlog'!$J55-'ProductSprint Backlog'!$I55), AND('ProductSprint Backlog'!$J55=F$2,'ProductSprint Backlog'!$I55=F$2), 'ProductSprint Backlog'!$F55, TRUE, 0)</f>
        <v>0</v>
      </c>
      <c r="G55" s="4" cm="1">
        <f t="array" ref="G55">_xlfn.IFS('ProductSprint Backlog'!$F55="", "", AND('ProductSprint Backlog'!$J55&gt;G$2,'ProductSprint Backlog'!$I55&lt;=G$2), 'ProductSprint Backlog'!$F55 / MAX(1, 'ProductSprint Backlog'!$J55-'ProductSprint Backlog'!$I55), AND('ProductSprint Backlog'!$J55=G$2,'ProductSprint Backlog'!$I55=G$2), 'ProductSprint Backlog'!$F55, TRUE, 0)</f>
        <v>0</v>
      </c>
      <c r="H55" s="4" cm="1">
        <f t="array" ref="H55">_xlfn.IFS('ProductSprint Backlog'!$F55="", "", AND('ProductSprint Backlog'!$J55&gt;H$2,'ProductSprint Backlog'!$I55&lt;=H$2), 'ProductSprint Backlog'!$F55 / MAX(1, 'ProductSprint Backlog'!$J55-'ProductSprint Backlog'!$I55), AND('ProductSprint Backlog'!$J55=H$2,'ProductSprint Backlog'!$I55=H$2), 'ProductSprint Backlog'!$F55, TRUE, 0)</f>
        <v>0</v>
      </c>
      <c r="I55" s="4" cm="1">
        <f t="array" ref="I55">_xlfn.IFS('ProductSprint Backlog'!$F55="", "", AND('ProductSprint Backlog'!$J55&gt;I$2,'ProductSprint Backlog'!$I55&lt;=I$2), 'ProductSprint Backlog'!$F55 / MAX(1, 'ProductSprint Backlog'!$J55-'ProductSprint Backlog'!$I55), AND('ProductSprint Backlog'!$J55=I$2,'ProductSprint Backlog'!$I55=I$2), 'ProductSprint Backlog'!$F55, TRUE, 0)</f>
        <v>0</v>
      </c>
      <c r="J55" s="4" cm="1">
        <f t="array" ref="J55">_xlfn.IFS('ProductSprint Backlog'!$F55="", "", AND('ProductSprint Backlog'!$J55&gt;J$2,'ProductSprint Backlog'!$I55&lt;=J$2), 'ProductSprint Backlog'!$F55 / MAX(1, 'ProductSprint Backlog'!$J55-'ProductSprint Backlog'!$I55), AND('ProductSprint Backlog'!$J55=J$2,'ProductSprint Backlog'!$I55=J$2), 'ProductSprint Backlog'!$F55, TRUE, 0)</f>
        <v>0</v>
      </c>
      <c r="K55" s="4" cm="1">
        <f t="array" ref="K55">_xlfn.IFS('ProductSprint Backlog'!$F55="", "", AND('ProductSprint Backlog'!$J55&gt;K$2,'ProductSprint Backlog'!$I55&lt;=K$2), 'ProductSprint Backlog'!$F55 / MAX(1, 'ProductSprint Backlog'!$J55-'ProductSprint Backlog'!$I55), AND('ProductSprint Backlog'!$J55=K$2,'ProductSprint Backlog'!$I55=K$2), 'ProductSprint Backlog'!$F55, TRUE, 0)</f>
        <v>0</v>
      </c>
      <c r="L55" s="4" cm="1">
        <f t="array" ref="L55">_xlfn.IFS('ProductSprint Backlog'!$F55="", "", AND('ProductSprint Backlog'!$J55&gt;L$2,'ProductSprint Backlog'!$I55&lt;=L$2), 'ProductSprint Backlog'!$F55 / MAX(1, 'ProductSprint Backlog'!$J55-'ProductSprint Backlog'!$I55), AND('ProductSprint Backlog'!$J55=L$2,'ProductSprint Backlog'!$I55=L$2), 'ProductSprint Backlog'!$F55, TRUE, 0)</f>
        <v>0</v>
      </c>
      <c r="M55" s="4" cm="1">
        <f t="array" ref="M55">_xlfn.IFS('ProductSprint Backlog'!$F55="", "", AND('ProductSprint Backlog'!$J55&gt;M$2,'ProductSprint Backlog'!$I55&lt;=M$2), 'ProductSprint Backlog'!$F55 / MAX(1, 'ProductSprint Backlog'!$J55-'ProductSprint Backlog'!$I55), AND('ProductSprint Backlog'!$J55=M$2,'ProductSprint Backlog'!$I55=M$2), 'ProductSprint Backlog'!$F55, TRUE, 0)</f>
        <v>0</v>
      </c>
      <c r="N55" s="4" cm="1">
        <f t="array" ref="N55">_xlfn.IFS('ProductSprint Backlog'!$F55="", "", AND('ProductSprint Backlog'!$J55&gt;N$2,'ProductSprint Backlog'!$I55&lt;=N$2), 'ProductSprint Backlog'!$F55 / MAX(1, 'ProductSprint Backlog'!$J55-'ProductSprint Backlog'!$I55), AND('ProductSprint Backlog'!$J55=N$2,'ProductSprint Backlog'!$I55=N$2), 'ProductSprint Backlog'!$F55, TRUE, 0)</f>
        <v>0</v>
      </c>
      <c r="O55" s="4" cm="1">
        <f t="array" ref="O55">_xlfn.IFS('ProductSprint Backlog'!$F55="", "", AND('ProductSprint Backlog'!$J55&gt;O$2,'ProductSprint Backlog'!$I55&lt;=O$2), 'ProductSprint Backlog'!$F55 / MAX(1, 'ProductSprint Backlog'!$J55-'ProductSprint Backlog'!$I55), AND('ProductSprint Backlog'!$J55=O$2,'ProductSprint Backlog'!$I55=O$2), 'ProductSprint Backlog'!$F55, TRUE, 0)</f>
        <v>0</v>
      </c>
      <c r="P55" s="4" cm="1">
        <f t="array" ref="P55">_xlfn.IFS('ProductSprint Backlog'!$F55="", "", AND('ProductSprint Backlog'!$J55&gt;P$2,'ProductSprint Backlog'!$I55&lt;=P$2), 'ProductSprint Backlog'!$F55 / MAX(1, 'ProductSprint Backlog'!$J55-'ProductSprint Backlog'!$I55), AND('ProductSprint Backlog'!$J55=P$2,'ProductSprint Backlog'!$I55=P$2), 'ProductSprint Backlog'!$F55, TRUE, 0)</f>
        <v>0</v>
      </c>
      <c r="Q55" s="4" cm="1">
        <f t="array" ref="Q55">_xlfn.IFS('ProductSprint Backlog'!$F55="", "", AND('ProductSprint Backlog'!$J55&gt;Q$2,'ProductSprint Backlog'!$I55&lt;=Q$2), 'ProductSprint Backlog'!$F55 / MAX(1, 'ProductSprint Backlog'!$J55-'ProductSprint Backlog'!$I55), AND('ProductSprint Backlog'!$J55=Q$2,'ProductSprint Backlog'!$I55=Q$2), 'ProductSprint Backlog'!$F55, TRUE, 0)</f>
        <v>0</v>
      </c>
      <c r="R55" s="4" cm="1">
        <f t="array" ref="R55">_xlfn.IFS('ProductSprint Backlog'!$F55="", "", AND('ProductSprint Backlog'!$J55&gt;R$2,'ProductSprint Backlog'!$I55&lt;=R$2), 'ProductSprint Backlog'!$F55 / MAX(1, 'ProductSprint Backlog'!$J55-'ProductSprint Backlog'!$I55), AND('ProductSprint Backlog'!$J55=R$2,'ProductSprint Backlog'!$I55=R$2), 'ProductSprint Backlog'!$F55, TRUE, 0)</f>
        <v>0</v>
      </c>
      <c r="S55" s="4" cm="1">
        <f t="array" ref="S55">_xlfn.IFS('ProductSprint Backlog'!$F55="", "", AND('ProductSprint Backlog'!$J55&gt;S$2,'ProductSprint Backlog'!$I55&lt;=S$2), 'ProductSprint Backlog'!$F55 / MAX(1, 'ProductSprint Backlog'!$J55-'ProductSprint Backlog'!$I55), AND('ProductSprint Backlog'!$J55=S$2,'ProductSprint Backlog'!$I55=S$2), 'ProductSprint Backlog'!$F55, TRUE, 0)</f>
        <v>0</v>
      </c>
      <c r="T55" s="4" cm="1">
        <f t="array" ref="T55">_xlfn.IFS('ProductSprint Backlog'!$F55="", "", AND('ProductSprint Backlog'!$J55&gt;T$2,'ProductSprint Backlog'!$I55&lt;=T$2), 'ProductSprint Backlog'!$F55 / MAX(1, 'ProductSprint Backlog'!$J55-'ProductSprint Backlog'!$I55), AND('ProductSprint Backlog'!$J55=T$2,'ProductSprint Backlog'!$I55=T$2), 'ProductSprint Backlog'!$F55, TRUE, 0)</f>
        <v>0</v>
      </c>
    </row>
    <row r="56" spans="2:20" x14ac:dyDescent="0.2">
      <c r="B56" s="4" cm="1">
        <f t="array" ref="B56">_xlfn.IFS('ProductSprint Backlog'!$F56="", "", AND('ProductSprint Backlog'!$J56&gt;B$2,'ProductSprint Backlog'!$I56&lt;=B$2), 'ProductSprint Backlog'!$F56 / MAX(1, 'ProductSprint Backlog'!$J56-'ProductSprint Backlog'!$I56), AND('ProductSprint Backlog'!$J56=B$2,'ProductSprint Backlog'!$I56=B$2), 'ProductSprint Backlog'!$F56, TRUE, 0)</f>
        <v>0</v>
      </c>
      <c r="C56" s="4" cm="1">
        <f t="array" ref="C56">_xlfn.IFS('ProductSprint Backlog'!$F56="", "", AND('ProductSprint Backlog'!$J56&gt;C$2,'ProductSprint Backlog'!$I56&lt;=C$2), 'ProductSprint Backlog'!$F56 / MAX(1, 'ProductSprint Backlog'!$J56-'ProductSprint Backlog'!$I56), AND('ProductSprint Backlog'!$J56=C$2,'ProductSprint Backlog'!$I56=C$2), 'ProductSprint Backlog'!$F56, TRUE, 0)</f>
        <v>0</v>
      </c>
      <c r="D56" s="4" cm="1">
        <f t="array" ref="D56">_xlfn.IFS('ProductSprint Backlog'!$F56="", "", AND('ProductSprint Backlog'!$J56&gt;D$2,'ProductSprint Backlog'!$I56&lt;=D$2), 'ProductSprint Backlog'!$F56 / MAX(1, 'ProductSprint Backlog'!$J56-'ProductSprint Backlog'!$I56), AND('ProductSprint Backlog'!$J56=D$2,'ProductSprint Backlog'!$I56=D$2), 'ProductSprint Backlog'!$F56, TRUE, 0)</f>
        <v>0</v>
      </c>
      <c r="E56" s="4" cm="1">
        <f t="array" ref="E56">_xlfn.IFS('ProductSprint Backlog'!$F56="", "", AND('ProductSprint Backlog'!$J56&gt;E$2,'ProductSprint Backlog'!$I56&lt;=E$2), 'ProductSprint Backlog'!$F56 / MAX(1, 'ProductSprint Backlog'!$J56-'ProductSprint Backlog'!$I56), AND('ProductSprint Backlog'!$J56=E$2,'ProductSprint Backlog'!$I56=E$2), 'ProductSprint Backlog'!$F56, TRUE, 0)</f>
        <v>0</v>
      </c>
      <c r="F56" s="4" cm="1">
        <f t="array" ref="F56">_xlfn.IFS('ProductSprint Backlog'!$F56="", "", AND('ProductSprint Backlog'!$J56&gt;F$2,'ProductSprint Backlog'!$I56&lt;=F$2), 'ProductSprint Backlog'!$F56 / MAX(1, 'ProductSprint Backlog'!$J56-'ProductSprint Backlog'!$I56), AND('ProductSprint Backlog'!$J56=F$2,'ProductSprint Backlog'!$I56=F$2), 'ProductSprint Backlog'!$F56, TRUE, 0)</f>
        <v>0</v>
      </c>
      <c r="G56" s="4" cm="1">
        <f t="array" ref="G56">_xlfn.IFS('ProductSprint Backlog'!$F56="", "", AND('ProductSprint Backlog'!$J56&gt;G$2,'ProductSprint Backlog'!$I56&lt;=G$2), 'ProductSprint Backlog'!$F56 / MAX(1, 'ProductSprint Backlog'!$J56-'ProductSprint Backlog'!$I56), AND('ProductSprint Backlog'!$J56=G$2,'ProductSprint Backlog'!$I56=G$2), 'ProductSprint Backlog'!$F56, TRUE, 0)</f>
        <v>0</v>
      </c>
      <c r="H56" s="4" cm="1">
        <f t="array" ref="H56">_xlfn.IFS('ProductSprint Backlog'!$F56="", "", AND('ProductSprint Backlog'!$J56&gt;H$2,'ProductSprint Backlog'!$I56&lt;=H$2), 'ProductSprint Backlog'!$F56 / MAX(1, 'ProductSprint Backlog'!$J56-'ProductSprint Backlog'!$I56), AND('ProductSprint Backlog'!$J56=H$2,'ProductSprint Backlog'!$I56=H$2), 'ProductSprint Backlog'!$F56, TRUE, 0)</f>
        <v>0</v>
      </c>
      <c r="I56" s="4" cm="1">
        <f t="array" ref="I56">_xlfn.IFS('ProductSprint Backlog'!$F56="", "", AND('ProductSprint Backlog'!$J56&gt;I$2,'ProductSprint Backlog'!$I56&lt;=I$2), 'ProductSprint Backlog'!$F56 / MAX(1, 'ProductSprint Backlog'!$J56-'ProductSprint Backlog'!$I56), AND('ProductSprint Backlog'!$J56=I$2,'ProductSprint Backlog'!$I56=I$2), 'ProductSprint Backlog'!$F56, TRUE, 0)</f>
        <v>0</v>
      </c>
      <c r="J56" s="4" cm="1">
        <f t="array" ref="J56">_xlfn.IFS('ProductSprint Backlog'!$F56="", "", AND('ProductSprint Backlog'!$J56&gt;J$2,'ProductSprint Backlog'!$I56&lt;=J$2), 'ProductSprint Backlog'!$F56 / MAX(1, 'ProductSprint Backlog'!$J56-'ProductSprint Backlog'!$I56), AND('ProductSprint Backlog'!$J56=J$2,'ProductSprint Backlog'!$I56=J$2), 'ProductSprint Backlog'!$F56, TRUE, 0)</f>
        <v>0</v>
      </c>
      <c r="K56" s="4" cm="1">
        <f t="array" ref="K56">_xlfn.IFS('ProductSprint Backlog'!$F56="", "", AND('ProductSprint Backlog'!$J56&gt;K$2,'ProductSprint Backlog'!$I56&lt;=K$2), 'ProductSprint Backlog'!$F56 / MAX(1, 'ProductSprint Backlog'!$J56-'ProductSprint Backlog'!$I56), AND('ProductSprint Backlog'!$J56=K$2,'ProductSprint Backlog'!$I56=K$2), 'ProductSprint Backlog'!$F56, TRUE, 0)</f>
        <v>0</v>
      </c>
      <c r="L56" s="4" cm="1">
        <f t="array" ref="L56">_xlfn.IFS('ProductSprint Backlog'!$F56="", "", AND('ProductSprint Backlog'!$J56&gt;L$2,'ProductSprint Backlog'!$I56&lt;=L$2), 'ProductSprint Backlog'!$F56 / MAX(1, 'ProductSprint Backlog'!$J56-'ProductSprint Backlog'!$I56), AND('ProductSprint Backlog'!$J56=L$2,'ProductSprint Backlog'!$I56=L$2), 'ProductSprint Backlog'!$F56, TRUE, 0)</f>
        <v>0</v>
      </c>
      <c r="M56" s="4" cm="1">
        <f t="array" ref="M56">_xlfn.IFS('ProductSprint Backlog'!$F56="", "", AND('ProductSprint Backlog'!$J56&gt;M$2,'ProductSprint Backlog'!$I56&lt;=M$2), 'ProductSprint Backlog'!$F56 / MAX(1, 'ProductSprint Backlog'!$J56-'ProductSprint Backlog'!$I56), AND('ProductSprint Backlog'!$J56=M$2,'ProductSprint Backlog'!$I56=M$2), 'ProductSprint Backlog'!$F56, TRUE, 0)</f>
        <v>0</v>
      </c>
      <c r="N56" s="4" cm="1">
        <f t="array" ref="N56">_xlfn.IFS('ProductSprint Backlog'!$F56="", "", AND('ProductSprint Backlog'!$J56&gt;N$2,'ProductSprint Backlog'!$I56&lt;=N$2), 'ProductSprint Backlog'!$F56 / MAX(1, 'ProductSprint Backlog'!$J56-'ProductSprint Backlog'!$I56), AND('ProductSprint Backlog'!$J56=N$2,'ProductSprint Backlog'!$I56=N$2), 'ProductSprint Backlog'!$F56, TRUE, 0)</f>
        <v>0</v>
      </c>
      <c r="O56" s="4" cm="1">
        <f t="array" ref="O56">_xlfn.IFS('ProductSprint Backlog'!$F56="", "", AND('ProductSprint Backlog'!$J56&gt;O$2,'ProductSprint Backlog'!$I56&lt;=O$2), 'ProductSprint Backlog'!$F56 / MAX(1, 'ProductSprint Backlog'!$J56-'ProductSprint Backlog'!$I56), AND('ProductSprint Backlog'!$J56=O$2,'ProductSprint Backlog'!$I56=O$2), 'ProductSprint Backlog'!$F56, TRUE, 0)</f>
        <v>0</v>
      </c>
      <c r="P56" s="4" cm="1">
        <f t="array" ref="P56">_xlfn.IFS('ProductSprint Backlog'!$F56="", "", AND('ProductSprint Backlog'!$J56&gt;P$2,'ProductSprint Backlog'!$I56&lt;=P$2), 'ProductSprint Backlog'!$F56 / MAX(1, 'ProductSprint Backlog'!$J56-'ProductSprint Backlog'!$I56), AND('ProductSprint Backlog'!$J56=P$2,'ProductSprint Backlog'!$I56=P$2), 'ProductSprint Backlog'!$F56, TRUE, 0)</f>
        <v>0</v>
      </c>
      <c r="Q56" s="4" cm="1">
        <f t="array" ref="Q56">_xlfn.IFS('ProductSprint Backlog'!$F56="", "", AND('ProductSprint Backlog'!$J56&gt;Q$2,'ProductSprint Backlog'!$I56&lt;=Q$2), 'ProductSprint Backlog'!$F56 / MAX(1, 'ProductSprint Backlog'!$J56-'ProductSprint Backlog'!$I56), AND('ProductSprint Backlog'!$J56=Q$2,'ProductSprint Backlog'!$I56=Q$2), 'ProductSprint Backlog'!$F56, TRUE, 0)</f>
        <v>0</v>
      </c>
      <c r="R56" s="4" cm="1">
        <f t="array" ref="R56">_xlfn.IFS('ProductSprint Backlog'!$F56="", "", AND('ProductSprint Backlog'!$J56&gt;R$2,'ProductSprint Backlog'!$I56&lt;=R$2), 'ProductSprint Backlog'!$F56 / MAX(1, 'ProductSprint Backlog'!$J56-'ProductSprint Backlog'!$I56), AND('ProductSprint Backlog'!$J56=R$2,'ProductSprint Backlog'!$I56=R$2), 'ProductSprint Backlog'!$F56, TRUE, 0)</f>
        <v>0</v>
      </c>
      <c r="S56" s="4" cm="1">
        <f t="array" ref="S56">_xlfn.IFS('ProductSprint Backlog'!$F56="", "", AND('ProductSprint Backlog'!$J56&gt;S$2,'ProductSprint Backlog'!$I56&lt;=S$2), 'ProductSprint Backlog'!$F56 / MAX(1, 'ProductSprint Backlog'!$J56-'ProductSprint Backlog'!$I56), AND('ProductSprint Backlog'!$J56=S$2,'ProductSprint Backlog'!$I56=S$2), 'ProductSprint Backlog'!$F56, TRUE, 0)</f>
        <v>0</v>
      </c>
      <c r="T56" s="4" cm="1">
        <f t="array" ref="T56">_xlfn.IFS('ProductSprint Backlog'!$F56="", "", AND('ProductSprint Backlog'!$J56&gt;T$2,'ProductSprint Backlog'!$I56&lt;=T$2), 'ProductSprint Backlog'!$F56 / MAX(1, 'ProductSprint Backlog'!$J56-'ProductSprint Backlog'!$I56), AND('ProductSprint Backlog'!$J56=T$2,'ProductSprint Backlog'!$I56=T$2), 'ProductSprint Backlog'!$F56, TRUE, 0)</f>
        <v>0</v>
      </c>
    </row>
    <row r="57" spans="2:20" x14ac:dyDescent="0.2">
      <c r="B57" s="4" cm="1">
        <f t="array" ref="B57">_xlfn.IFS('ProductSprint Backlog'!$F57="", "", AND('ProductSprint Backlog'!$J57&gt;B$2,'ProductSprint Backlog'!$I57&lt;=B$2), 'ProductSprint Backlog'!$F57 / MAX(1, 'ProductSprint Backlog'!$J57-'ProductSprint Backlog'!$I57), AND('ProductSprint Backlog'!$J57=B$2,'ProductSprint Backlog'!$I57=B$2), 'ProductSprint Backlog'!$F57, TRUE, 0)</f>
        <v>0</v>
      </c>
      <c r="C57" s="4" cm="1">
        <f t="array" ref="C57">_xlfn.IFS('ProductSprint Backlog'!$F57="", "", AND('ProductSprint Backlog'!$J57&gt;C$2,'ProductSprint Backlog'!$I57&lt;=C$2), 'ProductSprint Backlog'!$F57 / MAX(1, 'ProductSprint Backlog'!$J57-'ProductSprint Backlog'!$I57), AND('ProductSprint Backlog'!$J57=C$2,'ProductSprint Backlog'!$I57=C$2), 'ProductSprint Backlog'!$F57, TRUE, 0)</f>
        <v>0</v>
      </c>
      <c r="D57" s="4" cm="1">
        <f t="array" ref="D57">_xlfn.IFS('ProductSprint Backlog'!$F57="", "", AND('ProductSprint Backlog'!$J57&gt;D$2,'ProductSprint Backlog'!$I57&lt;=D$2), 'ProductSprint Backlog'!$F57 / MAX(1, 'ProductSprint Backlog'!$J57-'ProductSprint Backlog'!$I57), AND('ProductSprint Backlog'!$J57=D$2,'ProductSprint Backlog'!$I57=D$2), 'ProductSprint Backlog'!$F57, TRUE, 0)</f>
        <v>0</v>
      </c>
      <c r="E57" s="4" cm="1">
        <f t="array" ref="E57">_xlfn.IFS('ProductSprint Backlog'!$F57="", "", AND('ProductSprint Backlog'!$J57&gt;E$2,'ProductSprint Backlog'!$I57&lt;=E$2), 'ProductSprint Backlog'!$F57 / MAX(1, 'ProductSprint Backlog'!$J57-'ProductSprint Backlog'!$I57), AND('ProductSprint Backlog'!$J57=E$2,'ProductSprint Backlog'!$I57=E$2), 'ProductSprint Backlog'!$F57, TRUE, 0)</f>
        <v>0</v>
      </c>
      <c r="F57" s="4" cm="1">
        <f t="array" ref="F57">_xlfn.IFS('ProductSprint Backlog'!$F57="", "", AND('ProductSprint Backlog'!$J57&gt;F$2,'ProductSprint Backlog'!$I57&lt;=F$2), 'ProductSprint Backlog'!$F57 / MAX(1, 'ProductSprint Backlog'!$J57-'ProductSprint Backlog'!$I57), AND('ProductSprint Backlog'!$J57=F$2,'ProductSprint Backlog'!$I57=F$2), 'ProductSprint Backlog'!$F57, TRUE, 0)</f>
        <v>0</v>
      </c>
      <c r="G57" s="4" cm="1">
        <f t="array" ref="G57">_xlfn.IFS('ProductSprint Backlog'!$F57="", "", AND('ProductSprint Backlog'!$J57&gt;G$2,'ProductSprint Backlog'!$I57&lt;=G$2), 'ProductSprint Backlog'!$F57 / MAX(1, 'ProductSprint Backlog'!$J57-'ProductSprint Backlog'!$I57), AND('ProductSprint Backlog'!$J57=G$2,'ProductSprint Backlog'!$I57=G$2), 'ProductSprint Backlog'!$F57, TRUE, 0)</f>
        <v>0</v>
      </c>
      <c r="H57" s="4" cm="1">
        <f t="array" ref="H57">_xlfn.IFS('ProductSprint Backlog'!$F57="", "", AND('ProductSprint Backlog'!$J57&gt;H$2,'ProductSprint Backlog'!$I57&lt;=H$2), 'ProductSprint Backlog'!$F57 / MAX(1, 'ProductSprint Backlog'!$J57-'ProductSprint Backlog'!$I57), AND('ProductSprint Backlog'!$J57=H$2,'ProductSprint Backlog'!$I57=H$2), 'ProductSprint Backlog'!$F57, TRUE, 0)</f>
        <v>0</v>
      </c>
      <c r="I57" s="4" cm="1">
        <f t="array" ref="I57">_xlfn.IFS('ProductSprint Backlog'!$F57="", "", AND('ProductSprint Backlog'!$J57&gt;I$2,'ProductSprint Backlog'!$I57&lt;=I$2), 'ProductSprint Backlog'!$F57 / MAX(1, 'ProductSprint Backlog'!$J57-'ProductSprint Backlog'!$I57), AND('ProductSprint Backlog'!$J57=I$2,'ProductSprint Backlog'!$I57=I$2), 'ProductSprint Backlog'!$F57, TRUE, 0)</f>
        <v>0</v>
      </c>
      <c r="J57" s="4" cm="1">
        <f t="array" ref="J57">_xlfn.IFS('ProductSprint Backlog'!$F57="", "", AND('ProductSprint Backlog'!$J57&gt;J$2,'ProductSprint Backlog'!$I57&lt;=J$2), 'ProductSprint Backlog'!$F57 / MAX(1, 'ProductSprint Backlog'!$J57-'ProductSprint Backlog'!$I57), AND('ProductSprint Backlog'!$J57=J$2,'ProductSprint Backlog'!$I57=J$2), 'ProductSprint Backlog'!$F57, TRUE, 0)</f>
        <v>0</v>
      </c>
      <c r="K57" s="4" cm="1">
        <f t="array" ref="K57">_xlfn.IFS('ProductSprint Backlog'!$F57="", "", AND('ProductSprint Backlog'!$J57&gt;K$2,'ProductSprint Backlog'!$I57&lt;=K$2), 'ProductSprint Backlog'!$F57 / MAX(1, 'ProductSprint Backlog'!$J57-'ProductSprint Backlog'!$I57), AND('ProductSprint Backlog'!$J57=K$2,'ProductSprint Backlog'!$I57=K$2), 'ProductSprint Backlog'!$F57, TRUE, 0)</f>
        <v>0</v>
      </c>
      <c r="L57" s="4" cm="1">
        <f t="array" ref="L57">_xlfn.IFS('ProductSprint Backlog'!$F57="", "", AND('ProductSprint Backlog'!$J57&gt;L$2,'ProductSprint Backlog'!$I57&lt;=L$2), 'ProductSprint Backlog'!$F57 / MAX(1, 'ProductSprint Backlog'!$J57-'ProductSprint Backlog'!$I57), AND('ProductSprint Backlog'!$J57=L$2,'ProductSprint Backlog'!$I57=L$2), 'ProductSprint Backlog'!$F57, TRUE, 0)</f>
        <v>0</v>
      </c>
      <c r="M57" s="4" cm="1">
        <f t="array" ref="M57">_xlfn.IFS('ProductSprint Backlog'!$F57="", "", AND('ProductSprint Backlog'!$J57&gt;M$2,'ProductSprint Backlog'!$I57&lt;=M$2), 'ProductSprint Backlog'!$F57 / MAX(1, 'ProductSprint Backlog'!$J57-'ProductSprint Backlog'!$I57), AND('ProductSprint Backlog'!$J57=M$2,'ProductSprint Backlog'!$I57=M$2), 'ProductSprint Backlog'!$F57, TRUE, 0)</f>
        <v>0</v>
      </c>
      <c r="N57" s="4" cm="1">
        <f t="array" ref="N57">_xlfn.IFS('ProductSprint Backlog'!$F57="", "", AND('ProductSprint Backlog'!$J57&gt;N$2,'ProductSprint Backlog'!$I57&lt;=N$2), 'ProductSprint Backlog'!$F57 / MAX(1, 'ProductSprint Backlog'!$J57-'ProductSprint Backlog'!$I57), AND('ProductSprint Backlog'!$J57=N$2,'ProductSprint Backlog'!$I57=N$2), 'ProductSprint Backlog'!$F57, TRUE, 0)</f>
        <v>0</v>
      </c>
      <c r="O57" s="4" cm="1">
        <f t="array" ref="O57">_xlfn.IFS('ProductSprint Backlog'!$F57="", "", AND('ProductSprint Backlog'!$J57&gt;O$2,'ProductSprint Backlog'!$I57&lt;=O$2), 'ProductSprint Backlog'!$F57 / MAX(1, 'ProductSprint Backlog'!$J57-'ProductSprint Backlog'!$I57), AND('ProductSprint Backlog'!$J57=O$2,'ProductSprint Backlog'!$I57=O$2), 'ProductSprint Backlog'!$F57, TRUE, 0)</f>
        <v>0</v>
      </c>
      <c r="P57" s="4" cm="1">
        <f t="array" ref="P57">_xlfn.IFS('ProductSprint Backlog'!$F57="", "", AND('ProductSprint Backlog'!$J57&gt;P$2,'ProductSprint Backlog'!$I57&lt;=P$2), 'ProductSprint Backlog'!$F57 / MAX(1, 'ProductSprint Backlog'!$J57-'ProductSprint Backlog'!$I57), AND('ProductSprint Backlog'!$J57=P$2,'ProductSprint Backlog'!$I57=P$2), 'ProductSprint Backlog'!$F57, TRUE, 0)</f>
        <v>0</v>
      </c>
      <c r="Q57" s="4" cm="1">
        <f t="array" ref="Q57">_xlfn.IFS('ProductSprint Backlog'!$F57="", "", AND('ProductSprint Backlog'!$J57&gt;Q$2,'ProductSprint Backlog'!$I57&lt;=Q$2), 'ProductSprint Backlog'!$F57 / MAX(1, 'ProductSprint Backlog'!$J57-'ProductSprint Backlog'!$I57), AND('ProductSprint Backlog'!$J57=Q$2,'ProductSprint Backlog'!$I57=Q$2), 'ProductSprint Backlog'!$F57, TRUE, 0)</f>
        <v>0</v>
      </c>
      <c r="R57" s="4" cm="1">
        <f t="array" ref="R57">_xlfn.IFS('ProductSprint Backlog'!$F57="", "", AND('ProductSprint Backlog'!$J57&gt;R$2,'ProductSprint Backlog'!$I57&lt;=R$2), 'ProductSprint Backlog'!$F57 / MAX(1, 'ProductSprint Backlog'!$J57-'ProductSprint Backlog'!$I57), AND('ProductSprint Backlog'!$J57=R$2,'ProductSprint Backlog'!$I57=R$2), 'ProductSprint Backlog'!$F57, TRUE, 0)</f>
        <v>0</v>
      </c>
      <c r="S57" s="4" cm="1">
        <f t="array" ref="S57">_xlfn.IFS('ProductSprint Backlog'!$F57="", "", AND('ProductSprint Backlog'!$J57&gt;S$2,'ProductSprint Backlog'!$I57&lt;=S$2), 'ProductSprint Backlog'!$F57 / MAX(1, 'ProductSprint Backlog'!$J57-'ProductSprint Backlog'!$I57), AND('ProductSprint Backlog'!$J57=S$2,'ProductSprint Backlog'!$I57=S$2), 'ProductSprint Backlog'!$F57, TRUE, 0)</f>
        <v>0</v>
      </c>
      <c r="T57" s="4" cm="1">
        <f t="array" ref="T57">_xlfn.IFS('ProductSprint Backlog'!$F57="", "", AND('ProductSprint Backlog'!$J57&gt;T$2,'ProductSprint Backlog'!$I57&lt;=T$2), 'ProductSprint Backlog'!$F57 / MAX(1, 'ProductSprint Backlog'!$J57-'ProductSprint Backlog'!$I57), AND('ProductSprint Backlog'!$J57=T$2,'ProductSprint Backlog'!$I57=T$2), 'ProductSprint Backlog'!$F57, TRUE, 0)</f>
        <v>0</v>
      </c>
    </row>
    <row r="58" spans="2:20" x14ac:dyDescent="0.2">
      <c r="B58" s="4" cm="1">
        <f t="array" ref="B58">_xlfn.IFS('ProductSprint Backlog'!$F58="", "", AND('ProductSprint Backlog'!$J58&gt;B$2,'ProductSprint Backlog'!$I58&lt;=B$2), 'ProductSprint Backlog'!$F58 / MAX(1, 'ProductSprint Backlog'!$J58-'ProductSprint Backlog'!$I58), AND('ProductSprint Backlog'!$J58=B$2,'ProductSprint Backlog'!$I58=B$2), 'ProductSprint Backlog'!$F58, TRUE, 0)</f>
        <v>0</v>
      </c>
      <c r="C58" s="4" cm="1">
        <f t="array" ref="C58">_xlfn.IFS('ProductSprint Backlog'!$F58="", "", AND('ProductSprint Backlog'!$J58&gt;C$2,'ProductSprint Backlog'!$I58&lt;=C$2), 'ProductSprint Backlog'!$F58 / MAX(1, 'ProductSprint Backlog'!$J58-'ProductSprint Backlog'!$I58), AND('ProductSprint Backlog'!$J58=C$2,'ProductSprint Backlog'!$I58=C$2), 'ProductSprint Backlog'!$F58, TRUE, 0)</f>
        <v>0</v>
      </c>
      <c r="D58" s="4" cm="1">
        <f t="array" ref="D58">_xlfn.IFS('ProductSprint Backlog'!$F58="", "", AND('ProductSprint Backlog'!$J58&gt;D$2,'ProductSprint Backlog'!$I58&lt;=D$2), 'ProductSprint Backlog'!$F58 / MAX(1, 'ProductSprint Backlog'!$J58-'ProductSprint Backlog'!$I58), AND('ProductSprint Backlog'!$J58=D$2,'ProductSprint Backlog'!$I58=D$2), 'ProductSprint Backlog'!$F58, TRUE, 0)</f>
        <v>0</v>
      </c>
      <c r="E58" s="4" cm="1">
        <f t="array" ref="E58">_xlfn.IFS('ProductSprint Backlog'!$F58="", "", AND('ProductSprint Backlog'!$J58&gt;E$2,'ProductSprint Backlog'!$I58&lt;=E$2), 'ProductSprint Backlog'!$F58 / MAX(1, 'ProductSprint Backlog'!$J58-'ProductSprint Backlog'!$I58), AND('ProductSprint Backlog'!$J58=E$2,'ProductSprint Backlog'!$I58=E$2), 'ProductSprint Backlog'!$F58, TRUE, 0)</f>
        <v>0</v>
      </c>
      <c r="F58" s="4" cm="1">
        <f t="array" ref="F58">_xlfn.IFS('ProductSprint Backlog'!$F58="", "", AND('ProductSprint Backlog'!$J58&gt;F$2,'ProductSprint Backlog'!$I58&lt;=F$2), 'ProductSprint Backlog'!$F58 / MAX(1, 'ProductSprint Backlog'!$J58-'ProductSprint Backlog'!$I58), AND('ProductSprint Backlog'!$J58=F$2,'ProductSprint Backlog'!$I58=F$2), 'ProductSprint Backlog'!$F58, TRUE, 0)</f>
        <v>0</v>
      </c>
      <c r="G58" s="4" cm="1">
        <f t="array" ref="G58">_xlfn.IFS('ProductSprint Backlog'!$F58="", "", AND('ProductSprint Backlog'!$J58&gt;G$2,'ProductSprint Backlog'!$I58&lt;=G$2), 'ProductSprint Backlog'!$F58 / MAX(1, 'ProductSprint Backlog'!$J58-'ProductSprint Backlog'!$I58), AND('ProductSprint Backlog'!$J58=G$2,'ProductSprint Backlog'!$I58=G$2), 'ProductSprint Backlog'!$F58, TRUE, 0)</f>
        <v>0</v>
      </c>
      <c r="H58" s="4" cm="1">
        <f t="array" ref="H58">_xlfn.IFS('ProductSprint Backlog'!$F58="", "", AND('ProductSprint Backlog'!$J58&gt;H$2,'ProductSprint Backlog'!$I58&lt;=H$2), 'ProductSprint Backlog'!$F58 / MAX(1, 'ProductSprint Backlog'!$J58-'ProductSprint Backlog'!$I58), AND('ProductSprint Backlog'!$J58=H$2,'ProductSprint Backlog'!$I58=H$2), 'ProductSprint Backlog'!$F58, TRUE, 0)</f>
        <v>0</v>
      </c>
      <c r="I58" s="4" cm="1">
        <f t="array" ref="I58">_xlfn.IFS('ProductSprint Backlog'!$F58="", "", AND('ProductSprint Backlog'!$J58&gt;I$2,'ProductSprint Backlog'!$I58&lt;=I$2), 'ProductSprint Backlog'!$F58 / MAX(1, 'ProductSprint Backlog'!$J58-'ProductSprint Backlog'!$I58), AND('ProductSprint Backlog'!$J58=I$2,'ProductSprint Backlog'!$I58=I$2), 'ProductSprint Backlog'!$F58, TRUE, 0)</f>
        <v>0</v>
      </c>
      <c r="J58" s="4" cm="1">
        <f t="array" ref="J58">_xlfn.IFS('ProductSprint Backlog'!$F58="", "", AND('ProductSprint Backlog'!$J58&gt;J$2,'ProductSprint Backlog'!$I58&lt;=J$2), 'ProductSprint Backlog'!$F58 / MAX(1, 'ProductSprint Backlog'!$J58-'ProductSprint Backlog'!$I58), AND('ProductSprint Backlog'!$J58=J$2,'ProductSprint Backlog'!$I58=J$2), 'ProductSprint Backlog'!$F58, TRUE, 0)</f>
        <v>0</v>
      </c>
      <c r="K58" s="4" cm="1">
        <f t="array" ref="K58">_xlfn.IFS('ProductSprint Backlog'!$F58="", "", AND('ProductSprint Backlog'!$J58&gt;K$2,'ProductSprint Backlog'!$I58&lt;=K$2), 'ProductSprint Backlog'!$F58 / MAX(1, 'ProductSprint Backlog'!$J58-'ProductSprint Backlog'!$I58), AND('ProductSprint Backlog'!$J58=K$2,'ProductSprint Backlog'!$I58=K$2), 'ProductSprint Backlog'!$F58, TRUE, 0)</f>
        <v>0</v>
      </c>
      <c r="L58" s="4" cm="1">
        <f t="array" ref="L58">_xlfn.IFS('ProductSprint Backlog'!$F58="", "", AND('ProductSprint Backlog'!$J58&gt;L$2,'ProductSprint Backlog'!$I58&lt;=L$2), 'ProductSprint Backlog'!$F58 / MAX(1, 'ProductSprint Backlog'!$J58-'ProductSprint Backlog'!$I58), AND('ProductSprint Backlog'!$J58=L$2,'ProductSprint Backlog'!$I58=L$2), 'ProductSprint Backlog'!$F58, TRUE, 0)</f>
        <v>0</v>
      </c>
      <c r="M58" s="4" cm="1">
        <f t="array" ref="M58">_xlfn.IFS('ProductSprint Backlog'!$F58="", "", AND('ProductSprint Backlog'!$J58&gt;M$2,'ProductSprint Backlog'!$I58&lt;=M$2), 'ProductSprint Backlog'!$F58 / MAX(1, 'ProductSprint Backlog'!$J58-'ProductSprint Backlog'!$I58), AND('ProductSprint Backlog'!$J58=M$2,'ProductSprint Backlog'!$I58=M$2), 'ProductSprint Backlog'!$F58, TRUE, 0)</f>
        <v>0</v>
      </c>
      <c r="N58" s="4" cm="1">
        <f t="array" ref="N58">_xlfn.IFS('ProductSprint Backlog'!$F58="", "", AND('ProductSprint Backlog'!$J58&gt;N$2,'ProductSprint Backlog'!$I58&lt;=N$2), 'ProductSprint Backlog'!$F58 / MAX(1, 'ProductSprint Backlog'!$J58-'ProductSprint Backlog'!$I58), AND('ProductSprint Backlog'!$J58=N$2,'ProductSprint Backlog'!$I58=N$2), 'ProductSprint Backlog'!$F58, TRUE, 0)</f>
        <v>0</v>
      </c>
      <c r="O58" s="4" cm="1">
        <f t="array" ref="O58">_xlfn.IFS('ProductSprint Backlog'!$F58="", "", AND('ProductSprint Backlog'!$J58&gt;O$2,'ProductSprint Backlog'!$I58&lt;=O$2), 'ProductSprint Backlog'!$F58 / MAX(1, 'ProductSprint Backlog'!$J58-'ProductSprint Backlog'!$I58), AND('ProductSprint Backlog'!$J58=O$2,'ProductSprint Backlog'!$I58=O$2), 'ProductSprint Backlog'!$F58, TRUE, 0)</f>
        <v>0</v>
      </c>
      <c r="P58" s="4" cm="1">
        <f t="array" ref="P58">_xlfn.IFS('ProductSprint Backlog'!$F58="", "", AND('ProductSprint Backlog'!$J58&gt;P$2,'ProductSprint Backlog'!$I58&lt;=P$2), 'ProductSprint Backlog'!$F58 / MAX(1, 'ProductSprint Backlog'!$J58-'ProductSprint Backlog'!$I58), AND('ProductSprint Backlog'!$J58=P$2,'ProductSprint Backlog'!$I58=P$2), 'ProductSprint Backlog'!$F58, TRUE, 0)</f>
        <v>0</v>
      </c>
      <c r="Q58" s="4" cm="1">
        <f t="array" ref="Q58">_xlfn.IFS('ProductSprint Backlog'!$F58="", "", AND('ProductSprint Backlog'!$J58&gt;Q$2,'ProductSprint Backlog'!$I58&lt;=Q$2), 'ProductSprint Backlog'!$F58 / MAX(1, 'ProductSprint Backlog'!$J58-'ProductSprint Backlog'!$I58), AND('ProductSprint Backlog'!$J58=Q$2,'ProductSprint Backlog'!$I58=Q$2), 'ProductSprint Backlog'!$F58, TRUE, 0)</f>
        <v>0</v>
      </c>
      <c r="R58" s="4" cm="1">
        <f t="array" ref="R58">_xlfn.IFS('ProductSprint Backlog'!$F58="", "", AND('ProductSprint Backlog'!$J58&gt;R$2,'ProductSprint Backlog'!$I58&lt;=R$2), 'ProductSprint Backlog'!$F58 / MAX(1, 'ProductSprint Backlog'!$J58-'ProductSprint Backlog'!$I58), AND('ProductSprint Backlog'!$J58=R$2,'ProductSprint Backlog'!$I58=R$2), 'ProductSprint Backlog'!$F58, TRUE, 0)</f>
        <v>0</v>
      </c>
      <c r="S58" s="4" cm="1">
        <f t="array" ref="S58">_xlfn.IFS('ProductSprint Backlog'!$F58="", "", AND('ProductSprint Backlog'!$J58&gt;S$2,'ProductSprint Backlog'!$I58&lt;=S$2), 'ProductSprint Backlog'!$F58 / MAX(1, 'ProductSprint Backlog'!$J58-'ProductSprint Backlog'!$I58), AND('ProductSprint Backlog'!$J58=S$2,'ProductSprint Backlog'!$I58=S$2), 'ProductSprint Backlog'!$F58, TRUE, 0)</f>
        <v>0</v>
      </c>
      <c r="T58" s="4" cm="1">
        <f t="array" ref="T58">_xlfn.IFS('ProductSprint Backlog'!$F58="", "", AND('ProductSprint Backlog'!$J58&gt;T$2,'ProductSprint Backlog'!$I58&lt;=T$2), 'ProductSprint Backlog'!$F58 / MAX(1, 'ProductSprint Backlog'!$J58-'ProductSprint Backlog'!$I58), AND('ProductSprint Backlog'!$J58=T$2,'ProductSprint Backlog'!$I58=T$2), 'ProductSprint Backlog'!$F58, TRUE, 0)</f>
        <v>0</v>
      </c>
    </row>
    <row r="59" spans="2:20" x14ac:dyDescent="0.2">
      <c r="B59" s="4" t="str" cm="1">
        <f t="array" ref="B59">_xlfn.IFS('ProductSprint Backlog'!$F59="", "", AND('ProductSprint Backlog'!$J59&gt;B$2,'ProductSprint Backlog'!$I59&lt;=B$2), 'ProductSprint Backlog'!$F59 / MAX(1, 'ProductSprint Backlog'!$J59-'ProductSprint Backlog'!$I59), AND('ProductSprint Backlog'!$J59=B$2,'ProductSprint Backlog'!$I59=B$2), 'ProductSprint Backlog'!$F59, TRUE, 0)</f>
        <v/>
      </c>
      <c r="C59" s="4" t="str" cm="1">
        <f t="array" ref="C59">_xlfn.IFS('ProductSprint Backlog'!$F59="", "", AND('ProductSprint Backlog'!$J59&gt;C$2,'ProductSprint Backlog'!$I59&lt;=C$2), 'ProductSprint Backlog'!$F59 / MAX(1, 'ProductSprint Backlog'!$J59-'ProductSprint Backlog'!$I59), AND('ProductSprint Backlog'!$J59=C$2,'ProductSprint Backlog'!$I59=C$2), 'ProductSprint Backlog'!$F59, TRUE, 0)</f>
        <v/>
      </c>
      <c r="D59" s="4" t="str" cm="1">
        <f t="array" ref="D59">_xlfn.IFS('ProductSprint Backlog'!$F59="", "", AND('ProductSprint Backlog'!$J59&gt;D$2,'ProductSprint Backlog'!$I59&lt;=D$2), 'ProductSprint Backlog'!$F59 / MAX(1, 'ProductSprint Backlog'!$J59-'ProductSprint Backlog'!$I59), AND('ProductSprint Backlog'!$J59=D$2,'ProductSprint Backlog'!$I59=D$2), 'ProductSprint Backlog'!$F59, TRUE, 0)</f>
        <v/>
      </c>
      <c r="E59" s="4" t="str" cm="1">
        <f t="array" ref="E59">_xlfn.IFS('ProductSprint Backlog'!$F59="", "", AND('ProductSprint Backlog'!$J59&gt;E$2,'ProductSprint Backlog'!$I59&lt;=E$2), 'ProductSprint Backlog'!$F59 / MAX(1, 'ProductSprint Backlog'!$J59-'ProductSprint Backlog'!$I59), AND('ProductSprint Backlog'!$J59=E$2,'ProductSprint Backlog'!$I59=E$2), 'ProductSprint Backlog'!$F59, TRUE, 0)</f>
        <v/>
      </c>
      <c r="F59" s="4" t="str" cm="1">
        <f t="array" ref="F59">_xlfn.IFS('ProductSprint Backlog'!$F59="", "", AND('ProductSprint Backlog'!$J59&gt;F$2,'ProductSprint Backlog'!$I59&lt;=F$2), 'ProductSprint Backlog'!$F59 / MAX(1, 'ProductSprint Backlog'!$J59-'ProductSprint Backlog'!$I59), AND('ProductSprint Backlog'!$J59=F$2,'ProductSprint Backlog'!$I59=F$2), 'ProductSprint Backlog'!$F59, TRUE, 0)</f>
        <v/>
      </c>
      <c r="G59" s="4" t="str" cm="1">
        <f t="array" ref="G59">_xlfn.IFS('ProductSprint Backlog'!$F59="", "", AND('ProductSprint Backlog'!$J59&gt;G$2,'ProductSprint Backlog'!$I59&lt;=G$2), 'ProductSprint Backlog'!$F59 / MAX(1, 'ProductSprint Backlog'!$J59-'ProductSprint Backlog'!$I59), AND('ProductSprint Backlog'!$J59=G$2,'ProductSprint Backlog'!$I59=G$2), 'ProductSprint Backlog'!$F59, TRUE, 0)</f>
        <v/>
      </c>
      <c r="H59" s="4" t="str" cm="1">
        <f t="array" ref="H59">_xlfn.IFS('ProductSprint Backlog'!$F59="", "", AND('ProductSprint Backlog'!$J59&gt;H$2,'ProductSprint Backlog'!$I59&lt;=H$2), 'ProductSprint Backlog'!$F59 / MAX(1, 'ProductSprint Backlog'!$J59-'ProductSprint Backlog'!$I59), AND('ProductSprint Backlog'!$J59=H$2,'ProductSprint Backlog'!$I59=H$2), 'ProductSprint Backlog'!$F59, TRUE, 0)</f>
        <v/>
      </c>
      <c r="I59" s="4" t="str" cm="1">
        <f t="array" ref="I59">_xlfn.IFS('ProductSprint Backlog'!$F59="", "", AND('ProductSprint Backlog'!$J59&gt;I$2,'ProductSprint Backlog'!$I59&lt;=I$2), 'ProductSprint Backlog'!$F59 / MAX(1, 'ProductSprint Backlog'!$J59-'ProductSprint Backlog'!$I59), AND('ProductSprint Backlog'!$J59=I$2,'ProductSprint Backlog'!$I59=I$2), 'ProductSprint Backlog'!$F59, TRUE, 0)</f>
        <v/>
      </c>
      <c r="J59" s="4" t="str" cm="1">
        <f t="array" ref="J59">_xlfn.IFS('ProductSprint Backlog'!$F59="", "", AND('ProductSprint Backlog'!$J59&gt;J$2,'ProductSprint Backlog'!$I59&lt;=J$2), 'ProductSprint Backlog'!$F59 / MAX(1, 'ProductSprint Backlog'!$J59-'ProductSprint Backlog'!$I59), AND('ProductSprint Backlog'!$J59=J$2,'ProductSprint Backlog'!$I59=J$2), 'ProductSprint Backlog'!$F59, TRUE, 0)</f>
        <v/>
      </c>
      <c r="K59" s="4" t="str" cm="1">
        <f t="array" ref="K59">_xlfn.IFS('ProductSprint Backlog'!$F59="", "", AND('ProductSprint Backlog'!$J59&gt;K$2,'ProductSprint Backlog'!$I59&lt;=K$2), 'ProductSprint Backlog'!$F59 / MAX(1, 'ProductSprint Backlog'!$J59-'ProductSprint Backlog'!$I59), AND('ProductSprint Backlog'!$J59=K$2,'ProductSprint Backlog'!$I59=K$2), 'ProductSprint Backlog'!$F59, TRUE, 0)</f>
        <v/>
      </c>
      <c r="L59" s="4" t="str" cm="1">
        <f t="array" ref="L59">_xlfn.IFS('ProductSprint Backlog'!$F59="", "", AND('ProductSprint Backlog'!$J59&gt;L$2,'ProductSprint Backlog'!$I59&lt;=L$2), 'ProductSprint Backlog'!$F59 / MAX(1, 'ProductSprint Backlog'!$J59-'ProductSprint Backlog'!$I59), AND('ProductSprint Backlog'!$J59=L$2,'ProductSprint Backlog'!$I59=L$2), 'ProductSprint Backlog'!$F59, TRUE, 0)</f>
        <v/>
      </c>
      <c r="M59" s="4" t="str" cm="1">
        <f t="array" ref="M59">_xlfn.IFS('ProductSprint Backlog'!$F59="", "", AND('ProductSprint Backlog'!$J59&gt;M$2,'ProductSprint Backlog'!$I59&lt;=M$2), 'ProductSprint Backlog'!$F59 / MAX(1, 'ProductSprint Backlog'!$J59-'ProductSprint Backlog'!$I59), AND('ProductSprint Backlog'!$J59=M$2,'ProductSprint Backlog'!$I59=M$2), 'ProductSprint Backlog'!$F59, TRUE, 0)</f>
        <v/>
      </c>
      <c r="N59" s="4" t="str" cm="1">
        <f t="array" ref="N59">_xlfn.IFS('ProductSprint Backlog'!$F59="", "", AND('ProductSprint Backlog'!$J59&gt;N$2,'ProductSprint Backlog'!$I59&lt;=N$2), 'ProductSprint Backlog'!$F59 / MAX(1, 'ProductSprint Backlog'!$J59-'ProductSprint Backlog'!$I59), AND('ProductSprint Backlog'!$J59=N$2,'ProductSprint Backlog'!$I59=N$2), 'ProductSprint Backlog'!$F59, TRUE, 0)</f>
        <v/>
      </c>
      <c r="O59" s="4" t="str" cm="1">
        <f t="array" ref="O59">_xlfn.IFS('ProductSprint Backlog'!$F59="", "", AND('ProductSprint Backlog'!$J59&gt;O$2,'ProductSprint Backlog'!$I59&lt;=O$2), 'ProductSprint Backlog'!$F59 / MAX(1, 'ProductSprint Backlog'!$J59-'ProductSprint Backlog'!$I59), AND('ProductSprint Backlog'!$J59=O$2,'ProductSprint Backlog'!$I59=O$2), 'ProductSprint Backlog'!$F59, TRUE, 0)</f>
        <v/>
      </c>
      <c r="P59" s="4" t="str" cm="1">
        <f t="array" ref="P59">_xlfn.IFS('ProductSprint Backlog'!$F59="", "", AND('ProductSprint Backlog'!$J59&gt;P$2,'ProductSprint Backlog'!$I59&lt;=P$2), 'ProductSprint Backlog'!$F59 / MAX(1, 'ProductSprint Backlog'!$J59-'ProductSprint Backlog'!$I59), AND('ProductSprint Backlog'!$J59=P$2,'ProductSprint Backlog'!$I59=P$2), 'ProductSprint Backlog'!$F59, TRUE, 0)</f>
        <v/>
      </c>
      <c r="Q59" s="4" t="str" cm="1">
        <f t="array" ref="Q59">_xlfn.IFS('ProductSprint Backlog'!$F59="", "", AND('ProductSprint Backlog'!$J59&gt;Q$2,'ProductSprint Backlog'!$I59&lt;=Q$2), 'ProductSprint Backlog'!$F59 / MAX(1, 'ProductSprint Backlog'!$J59-'ProductSprint Backlog'!$I59), AND('ProductSprint Backlog'!$J59=Q$2,'ProductSprint Backlog'!$I59=Q$2), 'ProductSprint Backlog'!$F59, TRUE, 0)</f>
        <v/>
      </c>
      <c r="R59" s="4" t="str" cm="1">
        <f t="array" ref="R59">_xlfn.IFS('ProductSprint Backlog'!$F59="", "", AND('ProductSprint Backlog'!$J59&gt;R$2,'ProductSprint Backlog'!$I59&lt;=R$2), 'ProductSprint Backlog'!$F59 / MAX(1, 'ProductSprint Backlog'!$J59-'ProductSprint Backlog'!$I59), AND('ProductSprint Backlog'!$J59=R$2,'ProductSprint Backlog'!$I59=R$2), 'ProductSprint Backlog'!$F59, TRUE, 0)</f>
        <v/>
      </c>
      <c r="S59" s="4" t="str" cm="1">
        <f t="array" ref="S59">_xlfn.IFS('ProductSprint Backlog'!$F59="", "", AND('ProductSprint Backlog'!$J59&gt;S$2,'ProductSprint Backlog'!$I59&lt;=S$2), 'ProductSprint Backlog'!$F59 / MAX(1, 'ProductSprint Backlog'!$J59-'ProductSprint Backlog'!$I59), AND('ProductSprint Backlog'!$J59=S$2,'ProductSprint Backlog'!$I59=S$2), 'ProductSprint Backlog'!$F59, TRUE, 0)</f>
        <v/>
      </c>
      <c r="T59" s="4" t="str" cm="1">
        <f t="array" ref="T59">_xlfn.IFS('ProductSprint Backlog'!$F59="", "", AND('ProductSprint Backlog'!$J59&gt;T$2,'ProductSprint Backlog'!$I59&lt;=T$2), 'ProductSprint Backlog'!$F59 / MAX(1, 'ProductSprint Backlog'!$J59-'ProductSprint Backlog'!$I59), AND('ProductSprint Backlog'!$J59=T$2,'ProductSprint Backlog'!$I59=T$2), 'ProductSprint Backlog'!$F59, TRUE, 0)</f>
        <v/>
      </c>
    </row>
    <row r="60" spans="2:20" x14ac:dyDescent="0.2">
      <c r="B60" s="4" cm="1">
        <f t="array" ref="B60">_xlfn.IFS('ProductSprint Backlog'!$F60="", "", AND('ProductSprint Backlog'!$J60&gt;B$2,'ProductSprint Backlog'!$I60&lt;=B$2), 'ProductSprint Backlog'!$F60 / MAX(1, 'ProductSprint Backlog'!$J60-'ProductSprint Backlog'!$I60), AND('ProductSprint Backlog'!$J60=B$2,'ProductSprint Backlog'!$I60=B$2), 'ProductSprint Backlog'!$F60, TRUE, 0)</f>
        <v>0</v>
      </c>
      <c r="C60" s="4" cm="1">
        <f t="array" ref="C60">_xlfn.IFS('ProductSprint Backlog'!$F60="", "", AND('ProductSprint Backlog'!$J60&gt;C$2,'ProductSprint Backlog'!$I60&lt;=C$2), 'ProductSprint Backlog'!$F60 / MAX(1, 'ProductSprint Backlog'!$J60-'ProductSprint Backlog'!$I60), AND('ProductSprint Backlog'!$J60=C$2,'ProductSprint Backlog'!$I60=C$2), 'ProductSprint Backlog'!$F60, TRUE, 0)</f>
        <v>0</v>
      </c>
      <c r="D60" s="4" cm="1">
        <f t="array" ref="D60">_xlfn.IFS('ProductSprint Backlog'!$F60="", "", AND('ProductSprint Backlog'!$J60&gt;D$2,'ProductSprint Backlog'!$I60&lt;=D$2), 'ProductSprint Backlog'!$F60 / MAX(1, 'ProductSprint Backlog'!$J60-'ProductSprint Backlog'!$I60), AND('ProductSprint Backlog'!$J60=D$2,'ProductSprint Backlog'!$I60=D$2), 'ProductSprint Backlog'!$F60, TRUE, 0)</f>
        <v>0</v>
      </c>
      <c r="E60" s="4" cm="1">
        <f t="array" ref="E60">_xlfn.IFS('ProductSprint Backlog'!$F60="", "", AND('ProductSprint Backlog'!$J60&gt;E$2,'ProductSprint Backlog'!$I60&lt;=E$2), 'ProductSprint Backlog'!$F60 / MAX(1, 'ProductSprint Backlog'!$J60-'ProductSprint Backlog'!$I60), AND('ProductSprint Backlog'!$J60=E$2,'ProductSprint Backlog'!$I60=E$2), 'ProductSprint Backlog'!$F60, TRUE, 0)</f>
        <v>0</v>
      </c>
      <c r="F60" s="4" cm="1">
        <f t="array" ref="F60">_xlfn.IFS('ProductSprint Backlog'!$F60="", "", AND('ProductSprint Backlog'!$J60&gt;F$2,'ProductSprint Backlog'!$I60&lt;=F$2), 'ProductSprint Backlog'!$F60 / MAX(1, 'ProductSprint Backlog'!$J60-'ProductSprint Backlog'!$I60), AND('ProductSprint Backlog'!$J60=F$2,'ProductSprint Backlog'!$I60=F$2), 'ProductSprint Backlog'!$F60, TRUE, 0)</f>
        <v>0</v>
      </c>
      <c r="G60" s="4" cm="1">
        <f t="array" ref="G60">_xlfn.IFS('ProductSprint Backlog'!$F60="", "", AND('ProductSprint Backlog'!$J60&gt;G$2,'ProductSprint Backlog'!$I60&lt;=G$2), 'ProductSprint Backlog'!$F60 / MAX(1, 'ProductSprint Backlog'!$J60-'ProductSprint Backlog'!$I60), AND('ProductSprint Backlog'!$J60=G$2,'ProductSprint Backlog'!$I60=G$2), 'ProductSprint Backlog'!$F60, TRUE, 0)</f>
        <v>0</v>
      </c>
      <c r="H60" s="4" cm="1">
        <f t="array" ref="H60">_xlfn.IFS('ProductSprint Backlog'!$F60="", "", AND('ProductSprint Backlog'!$J60&gt;H$2,'ProductSprint Backlog'!$I60&lt;=H$2), 'ProductSprint Backlog'!$F60 / MAX(1, 'ProductSprint Backlog'!$J60-'ProductSprint Backlog'!$I60), AND('ProductSprint Backlog'!$J60=H$2,'ProductSprint Backlog'!$I60=H$2), 'ProductSprint Backlog'!$F60, TRUE, 0)</f>
        <v>0</v>
      </c>
      <c r="I60" s="4" cm="1">
        <f t="array" ref="I60">_xlfn.IFS('ProductSprint Backlog'!$F60="", "", AND('ProductSprint Backlog'!$J60&gt;I$2,'ProductSprint Backlog'!$I60&lt;=I$2), 'ProductSprint Backlog'!$F60 / MAX(1, 'ProductSprint Backlog'!$J60-'ProductSprint Backlog'!$I60), AND('ProductSprint Backlog'!$J60=I$2,'ProductSprint Backlog'!$I60=I$2), 'ProductSprint Backlog'!$F60, TRUE, 0)</f>
        <v>0</v>
      </c>
      <c r="J60" s="4" cm="1">
        <f t="array" ref="J60">_xlfn.IFS('ProductSprint Backlog'!$F60="", "", AND('ProductSprint Backlog'!$J60&gt;J$2,'ProductSprint Backlog'!$I60&lt;=J$2), 'ProductSprint Backlog'!$F60 / MAX(1, 'ProductSprint Backlog'!$J60-'ProductSprint Backlog'!$I60), AND('ProductSprint Backlog'!$J60=J$2,'ProductSprint Backlog'!$I60=J$2), 'ProductSprint Backlog'!$F60, TRUE, 0)</f>
        <v>0</v>
      </c>
      <c r="K60" s="4" cm="1">
        <f t="array" ref="K60">_xlfn.IFS('ProductSprint Backlog'!$F60="", "", AND('ProductSprint Backlog'!$J60&gt;K$2,'ProductSprint Backlog'!$I60&lt;=K$2), 'ProductSprint Backlog'!$F60 / MAX(1, 'ProductSprint Backlog'!$J60-'ProductSprint Backlog'!$I60), AND('ProductSprint Backlog'!$J60=K$2,'ProductSprint Backlog'!$I60=K$2), 'ProductSprint Backlog'!$F60, TRUE, 0)</f>
        <v>0</v>
      </c>
      <c r="L60" s="4" cm="1">
        <f t="array" ref="L60">_xlfn.IFS('ProductSprint Backlog'!$F60="", "", AND('ProductSprint Backlog'!$J60&gt;L$2,'ProductSprint Backlog'!$I60&lt;=L$2), 'ProductSprint Backlog'!$F60 / MAX(1, 'ProductSprint Backlog'!$J60-'ProductSprint Backlog'!$I60), AND('ProductSprint Backlog'!$J60=L$2,'ProductSprint Backlog'!$I60=L$2), 'ProductSprint Backlog'!$F60, TRUE, 0)</f>
        <v>0</v>
      </c>
      <c r="M60" s="4" cm="1">
        <f t="array" ref="M60">_xlfn.IFS('ProductSprint Backlog'!$F60="", "", AND('ProductSprint Backlog'!$J60&gt;M$2,'ProductSprint Backlog'!$I60&lt;=M$2), 'ProductSprint Backlog'!$F60 / MAX(1, 'ProductSprint Backlog'!$J60-'ProductSprint Backlog'!$I60), AND('ProductSprint Backlog'!$J60=M$2,'ProductSprint Backlog'!$I60=M$2), 'ProductSprint Backlog'!$F60, TRUE, 0)</f>
        <v>0</v>
      </c>
      <c r="N60" s="4" cm="1">
        <f t="array" ref="N60">_xlfn.IFS('ProductSprint Backlog'!$F60="", "", AND('ProductSprint Backlog'!$J60&gt;N$2,'ProductSprint Backlog'!$I60&lt;=N$2), 'ProductSprint Backlog'!$F60 / MAX(1, 'ProductSprint Backlog'!$J60-'ProductSprint Backlog'!$I60), AND('ProductSprint Backlog'!$J60=N$2,'ProductSprint Backlog'!$I60=N$2), 'ProductSprint Backlog'!$F60, TRUE, 0)</f>
        <v>0</v>
      </c>
      <c r="O60" s="4" cm="1">
        <f t="array" ref="O60">_xlfn.IFS('ProductSprint Backlog'!$F60="", "", AND('ProductSprint Backlog'!$J60&gt;O$2,'ProductSprint Backlog'!$I60&lt;=O$2), 'ProductSprint Backlog'!$F60 / MAX(1, 'ProductSprint Backlog'!$J60-'ProductSprint Backlog'!$I60), AND('ProductSprint Backlog'!$J60=O$2,'ProductSprint Backlog'!$I60=O$2), 'ProductSprint Backlog'!$F60, TRUE, 0)</f>
        <v>0</v>
      </c>
      <c r="P60" s="4" cm="1">
        <f t="array" ref="P60">_xlfn.IFS('ProductSprint Backlog'!$F60="", "", AND('ProductSprint Backlog'!$J60&gt;P$2,'ProductSprint Backlog'!$I60&lt;=P$2), 'ProductSprint Backlog'!$F60 / MAX(1, 'ProductSprint Backlog'!$J60-'ProductSprint Backlog'!$I60), AND('ProductSprint Backlog'!$J60=P$2,'ProductSprint Backlog'!$I60=P$2), 'ProductSprint Backlog'!$F60, TRUE, 0)</f>
        <v>0</v>
      </c>
      <c r="Q60" s="4" cm="1">
        <f t="array" ref="Q60">_xlfn.IFS('ProductSprint Backlog'!$F60="", "", AND('ProductSprint Backlog'!$J60&gt;Q$2,'ProductSprint Backlog'!$I60&lt;=Q$2), 'ProductSprint Backlog'!$F60 / MAX(1, 'ProductSprint Backlog'!$J60-'ProductSprint Backlog'!$I60), AND('ProductSprint Backlog'!$J60=Q$2,'ProductSprint Backlog'!$I60=Q$2), 'ProductSprint Backlog'!$F60, TRUE, 0)</f>
        <v>0</v>
      </c>
      <c r="R60" s="4" cm="1">
        <f t="array" ref="R60">_xlfn.IFS('ProductSprint Backlog'!$F60="", "", AND('ProductSprint Backlog'!$J60&gt;R$2,'ProductSprint Backlog'!$I60&lt;=R$2), 'ProductSprint Backlog'!$F60 / MAX(1, 'ProductSprint Backlog'!$J60-'ProductSprint Backlog'!$I60), AND('ProductSprint Backlog'!$J60=R$2,'ProductSprint Backlog'!$I60=R$2), 'ProductSprint Backlog'!$F60, TRUE, 0)</f>
        <v>0</v>
      </c>
      <c r="S60" s="4" cm="1">
        <f t="array" ref="S60">_xlfn.IFS('ProductSprint Backlog'!$F60="", "", AND('ProductSprint Backlog'!$J60&gt;S$2,'ProductSprint Backlog'!$I60&lt;=S$2), 'ProductSprint Backlog'!$F60 / MAX(1, 'ProductSprint Backlog'!$J60-'ProductSprint Backlog'!$I60), AND('ProductSprint Backlog'!$J60=S$2,'ProductSprint Backlog'!$I60=S$2), 'ProductSprint Backlog'!$F60, TRUE, 0)</f>
        <v>0</v>
      </c>
      <c r="T60" s="4" cm="1">
        <f t="array" ref="T60">_xlfn.IFS('ProductSprint Backlog'!$F60="", "", AND('ProductSprint Backlog'!$J60&gt;T$2,'ProductSprint Backlog'!$I60&lt;=T$2), 'ProductSprint Backlog'!$F60 / MAX(1, 'ProductSprint Backlog'!$J60-'ProductSprint Backlog'!$I60), AND('ProductSprint Backlog'!$J60=T$2,'ProductSprint Backlog'!$I60=T$2), 'ProductSprint Backlog'!$F60, TRUE, 0)</f>
        <v>0</v>
      </c>
    </row>
    <row r="61" spans="2:20" x14ac:dyDescent="0.2">
      <c r="B61" s="4" cm="1">
        <f t="array" ref="B61">_xlfn.IFS('ProductSprint Backlog'!$F61="", "", AND('ProductSprint Backlog'!$J61&gt;B$2,'ProductSprint Backlog'!$I61&lt;=B$2), 'ProductSprint Backlog'!$F61 / MAX(1, 'ProductSprint Backlog'!$J61-'ProductSprint Backlog'!$I61), AND('ProductSprint Backlog'!$J61=B$2,'ProductSprint Backlog'!$I61=B$2), 'ProductSprint Backlog'!$F61, TRUE, 0)</f>
        <v>0</v>
      </c>
      <c r="C61" s="4" cm="1">
        <f t="array" ref="C61">_xlfn.IFS('ProductSprint Backlog'!$F61="", "", AND('ProductSprint Backlog'!$J61&gt;C$2,'ProductSprint Backlog'!$I61&lt;=C$2), 'ProductSprint Backlog'!$F61 / MAX(1, 'ProductSprint Backlog'!$J61-'ProductSprint Backlog'!$I61), AND('ProductSprint Backlog'!$J61=C$2,'ProductSprint Backlog'!$I61=C$2), 'ProductSprint Backlog'!$F61, TRUE, 0)</f>
        <v>0</v>
      </c>
      <c r="D61" s="4" cm="1">
        <f t="array" ref="D61">_xlfn.IFS('ProductSprint Backlog'!$F61="", "", AND('ProductSprint Backlog'!$J61&gt;D$2,'ProductSprint Backlog'!$I61&lt;=D$2), 'ProductSprint Backlog'!$F61 / MAX(1, 'ProductSprint Backlog'!$J61-'ProductSprint Backlog'!$I61), AND('ProductSprint Backlog'!$J61=D$2,'ProductSprint Backlog'!$I61=D$2), 'ProductSprint Backlog'!$F61, TRUE, 0)</f>
        <v>0</v>
      </c>
      <c r="E61" s="4" cm="1">
        <f t="array" ref="E61">_xlfn.IFS('ProductSprint Backlog'!$F61="", "", AND('ProductSprint Backlog'!$J61&gt;E$2,'ProductSprint Backlog'!$I61&lt;=E$2), 'ProductSprint Backlog'!$F61 / MAX(1, 'ProductSprint Backlog'!$J61-'ProductSprint Backlog'!$I61), AND('ProductSprint Backlog'!$J61=E$2,'ProductSprint Backlog'!$I61=E$2), 'ProductSprint Backlog'!$F61, TRUE, 0)</f>
        <v>0</v>
      </c>
      <c r="F61" s="4" cm="1">
        <f t="array" ref="F61">_xlfn.IFS('ProductSprint Backlog'!$F61="", "", AND('ProductSprint Backlog'!$J61&gt;F$2,'ProductSprint Backlog'!$I61&lt;=F$2), 'ProductSprint Backlog'!$F61 / MAX(1, 'ProductSprint Backlog'!$J61-'ProductSprint Backlog'!$I61), AND('ProductSprint Backlog'!$J61=F$2,'ProductSprint Backlog'!$I61=F$2), 'ProductSprint Backlog'!$F61, TRUE, 0)</f>
        <v>0</v>
      </c>
      <c r="G61" s="4" cm="1">
        <f t="array" ref="G61">_xlfn.IFS('ProductSprint Backlog'!$F61="", "", AND('ProductSprint Backlog'!$J61&gt;G$2,'ProductSprint Backlog'!$I61&lt;=G$2), 'ProductSprint Backlog'!$F61 / MAX(1, 'ProductSprint Backlog'!$J61-'ProductSprint Backlog'!$I61), AND('ProductSprint Backlog'!$J61=G$2,'ProductSprint Backlog'!$I61=G$2), 'ProductSprint Backlog'!$F61, TRUE, 0)</f>
        <v>0</v>
      </c>
      <c r="H61" s="4" cm="1">
        <f t="array" ref="H61">_xlfn.IFS('ProductSprint Backlog'!$F61="", "", AND('ProductSprint Backlog'!$J61&gt;H$2,'ProductSprint Backlog'!$I61&lt;=H$2), 'ProductSprint Backlog'!$F61 / MAX(1, 'ProductSprint Backlog'!$J61-'ProductSprint Backlog'!$I61), AND('ProductSprint Backlog'!$J61=H$2,'ProductSprint Backlog'!$I61=H$2), 'ProductSprint Backlog'!$F61, TRUE, 0)</f>
        <v>0</v>
      </c>
      <c r="I61" s="4" cm="1">
        <f t="array" ref="I61">_xlfn.IFS('ProductSprint Backlog'!$F61="", "", AND('ProductSprint Backlog'!$J61&gt;I$2,'ProductSprint Backlog'!$I61&lt;=I$2), 'ProductSprint Backlog'!$F61 / MAX(1, 'ProductSprint Backlog'!$J61-'ProductSprint Backlog'!$I61), AND('ProductSprint Backlog'!$J61=I$2,'ProductSprint Backlog'!$I61=I$2), 'ProductSprint Backlog'!$F61, TRUE, 0)</f>
        <v>0</v>
      </c>
      <c r="J61" s="4" cm="1">
        <f t="array" ref="J61">_xlfn.IFS('ProductSprint Backlog'!$F61="", "", AND('ProductSprint Backlog'!$J61&gt;J$2,'ProductSprint Backlog'!$I61&lt;=J$2), 'ProductSprint Backlog'!$F61 / MAX(1, 'ProductSprint Backlog'!$J61-'ProductSprint Backlog'!$I61), AND('ProductSprint Backlog'!$J61=J$2,'ProductSprint Backlog'!$I61=J$2), 'ProductSprint Backlog'!$F61, TRUE, 0)</f>
        <v>0</v>
      </c>
      <c r="K61" s="4" cm="1">
        <f t="array" ref="K61">_xlfn.IFS('ProductSprint Backlog'!$F61="", "", AND('ProductSprint Backlog'!$J61&gt;K$2,'ProductSprint Backlog'!$I61&lt;=K$2), 'ProductSprint Backlog'!$F61 / MAX(1, 'ProductSprint Backlog'!$J61-'ProductSprint Backlog'!$I61), AND('ProductSprint Backlog'!$J61=K$2,'ProductSprint Backlog'!$I61=K$2), 'ProductSprint Backlog'!$F61, TRUE, 0)</f>
        <v>0</v>
      </c>
      <c r="L61" s="4" cm="1">
        <f t="array" ref="L61">_xlfn.IFS('ProductSprint Backlog'!$F61="", "", AND('ProductSprint Backlog'!$J61&gt;L$2,'ProductSprint Backlog'!$I61&lt;=L$2), 'ProductSprint Backlog'!$F61 / MAX(1, 'ProductSprint Backlog'!$J61-'ProductSprint Backlog'!$I61), AND('ProductSprint Backlog'!$J61=L$2,'ProductSprint Backlog'!$I61=L$2), 'ProductSprint Backlog'!$F61, TRUE, 0)</f>
        <v>0</v>
      </c>
      <c r="M61" s="4" cm="1">
        <f t="array" ref="M61">_xlfn.IFS('ProductSprint Backlog'!$F61="", "", AND('ProductSprint Backlog'!$J61&gt;M$2,'ProductSprint Backlog'!$I61&lt;=M$2), 'ProductSprint Backlog'!$F61 / MAX(1, 'ProductSprint Backlog'!$J61-'ProductSprint Backlog'!$I61), AND('ProductSprint Backlog'!$J61=M$2,'ProductSprint Backlog'!$I61=M$2), 'ProductSprint Backlog'!$F61, TRUE, 0)</f>
        <v>0</v>
      </c>
      <c r="N61" s="4" cm="1">
        <f t="array" ref="N61">_xlfn.IFS('ProductSprint Backlog'!$F61="", "", AND('ProductSprint Backlog'!$J61&gt;N$2,'ProductSprint Backlog'!$I61&lt;=N$2), 'ProductSprint Backlog'!$F61 / MAX(1, 'ProductSprint Backlog'!$J61-'ProductSprint Backlog'!$I61), AND('ProductSprint Backlog'!$J61=N$2,'ProductSprint Backlog'!$I61=N$2), 'ProductSprint Backlog'!$F61, TRUE, 0)</f>
        <v>0</v>
      </c>
      <c r="O61" s="4" cm="1">
        <f t="array" ref="O61">_xlfn.IFS('ProductSprint Backlog'!$F61="", "", AND('ProductSprint Backlog'!$J61&gt;O$2,'ProductSprint Backlog'!$I61&lt;=O$2), 'ProductSprint Backlog'!$F61 / MAX(1, 'ProductSprint Backlog'!$J61-'ProductSprint Backlog'!$I61), AND('ProductSprint Backlog'!$J61=O$2,'ProductSprint Backlog'!$I61=O$2), 'ProductSprint Backlog'!$F61, TRUE, 0)</f>
        <v>0</v>
      </c>
      <c r="P61" s="4" cm="1">
        <f t="array" ref="P61">_xlfn.IFS('ProductSprint Backlog'!$F61="", "", AND('ProductSprint Backlog'!$J61&gt;P$2,'ProductSprint Backlog'!$I61&lt;=P$2), 'ProductSprint Backlog'!$F61 / MAX(1, 'ProductSprint Backlog'!$J61-'ProductSprint Backlog'!$I61), AND('ProductSprint Backlog'!$J61=P$2,'ProductSprint Backlog'!$I61=P$2), 'ProductSprint Backlog'!$F61, TRUE, 0)</f>
        <v>0</v>
      </c>
      <c r="Q61" s="4" cm="1">
        <f t="array" ref="Q61">_xlfn.IFS('ProductSprint Backlog'!$F61="", "", AND('ProductSprint Backlog'!$J61&gt;Q$2,'ProductSprint Backlog'!$I61&lt;=Q$2), 'ProductSprint Backlog'!$F61 / MAX(1, 'ProductSprint Backlog'!$J61-'ProductSprint Backlog'!$I61), AND('ProductSprint Backlog'!$J61=Q$2,'ProductSprint Backlog'!$I61=Q$2), 'ProductSprint Backlog'!$F61, TRUE, 0)</f>
        <v>0</v>
      </c>
      <c r="R61" s="4" cm="1">
        <f t="array" ref="R61">_xlfn.IFS('ProductSprint Backlog'!$F61="", "", AND('ProductSprint Backlog'!$J61&gt;R$2,'ProductSprint Backlog'!$I61&lt;=R$2), 'ProductSprint Backlog'!$F61 / MAX(1, 'ProductSprint Backlog'!$J61-'ProductSprint Backlog'!$I61), AND('ProductSprint Backlog'!$J61=R$2,'ProductSprint Backlog'!$I61=R$2), 'ProductSprint Backlog'!$F61, TRUE, 0)</f>
        <v>0</v>
      </c>
      <c r="S61" s="4" cm="1">
        <f t="array" ref="S61">_xlfn.IFS('ProductSprint Backlog'!$F61="", "", AND('ProductSprint Backlog'!$J61&gt;S$2,'ProductSprint Backlog'!$I61&lt;=S$2), 'ProductSprint Backlog'!$F61 / MAX(1, 'ProductSprint Backlog'!$J61-'ProductSprint Backlog'!$I61), AND('ProductSprint Backlog'!$J61=S$2,'ProductSprint Backlog'!$I61=S$2), 'ProductSprint Backlog'!$F61, TRUE, 0)</f>
        <v>0</v>
      </c>
      <c r="T61" s="4" cm="1">
        <f t="array" ref="T61">_xlfn.IFS('ProductSprint Backlog'!$F61="", "", AND('ProductSprint Backlog'!$J61&gt;T$2,'ProductSprint Backlog'!$I61&lt;=T$2), 'ProductSprint Backlog'!$F61 / MAX(1, 'ProductSprint Backlog'!$J61-'ProductSprint Backlog'!$I61), AND('ProductSprint Backlog'!$J61=T$2,'ProductSprint Backlog'!$I61=T$2), 'ProductSprint Backlog'!$F61, TRUE, 0)</f>
        <v>0</v>
      </c>
    </row>
    <row r="62" spans="2:20" x14ac:dyDescent="0.2">
      <c r="B62" s="4" cm="1">
        <f t="array" ref="B62">_xlfn.IFS('ProductSprint Backlog'!$F62="", "", AND('ProductSprint Backlog'!$J62&gt;B$2,'ProductSprint Backlog'!$I62&lt;=B$2), 'ProductSprint Backlog'!$F62 / MAX(1, 'ProductSprint Backlog'!$J62-'ProductSprint Backlog'!$I62), AND('ProductSprint Backlog'!$J62=B$2,'ProductSprint Backlog'!$I62=B$2), 'ProductSprint Backlog'!$F62, TRUE, 0)</f>
        <v>0</v>
      </c>
      <c r="C62" s="4" cm="1">
        <f t="array" ref="C62">_xlfn.IFS('ProductSprint Backlog'!$F62="", "", AND('ProductSprint Backlog'!$J62&gt;C$2,'ProductSprint Backlog'!$I62&lt;=C$2), 'ProductSprint Backlog'!$F62 / MAX(1, 'ProductSprint Backlog'!$J62-'ProductSprint Backlog'!$I62), AND('ProductSprint Backlog'!$J62=C$2,'ProductSprint Backlog'!$I62=C$2), 'ProductSprint Backlog'!$F62, TRUE, 0)</f>
        <v>0</v>
      </c>
      <c r="D62" s="4" cm="1">
        <f t="array" ref="D62">_xlfn.IFS('ProductSprint Backlog'!$F62="", "", AND('ProductSprint Backlog'!$J62&gt;D$2,'ProductSprint Backlog'!$I62&lt;=D$2), 'ProductSprint Backlog'!$F62 / MAX(1, 'ProductSprint Backlog'!$J62-'ProductSprint Backlog'!$I62), AND('ProductSprint Backlog'!$J62=D$2,'ProductSprint Backlog'!$I62=D$2), 'ProductSprint Backlog'!$F62, TRUE, 0)</f>
        <v>0</v>
      </c>
      <c r="E62" s="4" cm="1">
        <f t="array" ref="E62">_xlfn.IFS('ProductSprint Backlog'!$F62="", "", AND('ProductSprint Backlog'!$J62&gt;E$2,'ProductSprint Backlog'!$I62&lt;=E$2), 'ProductSprint Backlog'!$F62 / MAX(1, 'ProductSprint Backlog'!$J62-'ProductSprint Backlog'!$I62), AND('ProductSprint Backlog'!$J62=E$2,'ProductSprint Backlog'!$I62=E$2), 'ProductSprint Backlog'!$F62, TRUE, 0)</f>
        <v>0</v>
      </c>
      <c r="F62" s="4" cm="1">
        <f t="array" ref="F62">_xlfn.IFS('ProductSprint Backlog'!$F62="", "", AND('ProductSprint Backlog'!$J62&gt;F$2,'ProductSprint Backlog'!$I62&lt;=F$2), 'ProductSprint Backlog'!$F62 / MAX(1, 'ProductSprint Backlog'!$J62-'ProductSprint Backlog'!$I62), AND('ProductSprint Backlog'!$J62=F$2,'ProductSprint Backlog'!$I62=F$2), 'ProductSprint Backlog'!$F62, TRUE, 0)</f>
        <v>0</v>
      </c>
      <c r="G62" s="4" cm="1">
        <f t="array" ref="G62">_xlfn.IFS('ProductSprint Backlog'!$F62="", "", AND('ProductSprint Backlog'!$J62&gt;G$2,'ProductSprint Backlog'!$I62&lt;=G$2), 'ProductSprint Backlog'!$F62 / MAX(1, 'ProductSprint Backlog'!$J62-'ProductSprint Backlog'!$I62), AND('ProductSprint Backlog'!$J62=G$2,'ProductSprint Backlog'!$I62=G$2), 'ProductSprint Backlog'!$F62, TRUE, 0)</f>
        <v>0</v>
      </c>
      <c r="H62" s="4" cm="1">
        <f t="array" ref="H62">_xlfn.IFS('ProductSprint Backlog'!$F62="", "", AND('ProductSprint Backlog'!$J62&gt;H$2,'ProductSprint Backlog'!$I62&lt;=H$2), 'ProductSprint Backlog'!$F62 / MAX(1, 'ProductSprint Backlog'!$J62-'ProductSprint Backlog'!$I62), AND('ProductSprint Backlog'!$J62=H$2,'ProductSprint Backlog'!$I62=H$2), 'ProductSprint Backlog'!$F62, TRUE, 0)</f>
        <v>0</v>
      </c>
      <c r="I62" s="4" cm="1">
        <f t="array" ref="I62">_xlfn.IFS('ProductSprint Backlog'!$F62="", "", AND('ProductSprint Backlog'!$J62&gt;I$2,'ProductSprint Backlog'!$I62&lt;=I$2), 'ProductSprint Backlog'!$F62 / MAX(1, 'ProductSprint Backlog'!$J62-'ProductSprint Backlog'!$I62), AND('ProductSprint Backlog'!$J62=I$2,'ProductSprint Backlog'!$I62=I$2), 'ProductSprint Backlog'!$F62, TRUE, 0)</f>
        <v>0</v>
      </c>
      <c r="J62" s="4" cm="1">
        <f t="array" ref="J62">_xlfn.IFS('ProductSprint Backlog'!$F62="", "", AND('ProductSprint Backlog'!$J62&gt;J$2,'ProductSprint Backlog'!$I62&lt;=J$2), 'ProductSprint Backlog'!$F62 / MAX(1, 'ProductSprint Backlog'!$J62-'ProductSprint Backlog'!$I62), AND('ProductSprint Backlog'!$J62=J$2,'ProductSprint Backlog'!$I62=J$2), 'ProductSprint Backlog'!$F62, TRUE, 0)</f>
        <v>0</v>
      </c>
      <c r="K62" s="4" cm="1">
        <f t="array" ref="K62">_xlfn.IFS('ProductSprint Backlog'!$F62="", "", AND('ProductSprint Backlog'!$J62&gt;K$2,'ProductSprint Backlog'!$I62&lt;=K$2), 'ProductSprint Backlog'!$F62 / MAX(1, 'ProductSprint Backlog'!$J62-'ProductSprint Backlog'!$I62), AND('ProductSprint Backlog'!$J62=K$2,'ProductSprint Backlog'!$I62=K$2), 'ProductSprint Backlog'!$F62, TRUE, 0)</f>
        <v>0</v>
      </c>
      <c r="L62" s="4" cm="1">
        <f t="array" ref="L62">_xlfn.IFS('ProductSprint Backlog'!$F62="", "", AND('ProductSprint Backlog'!$J62&gt;L$2,'ProductSprint Backlog'!$I62&lt;=L$2), 'ProductSprint Backlog'!$F62 / MAX(1, 'ProductSprint Backlog'!$J62-'ProductSprint Backlog'!$I62), AND('ProductSprint Backlog'!$J62=L$2,'ProductSprint Backlog'!$I62=L$2), 'ProductSprint Backlog'!$F62, TRUE, 0)</f>
        <v>0</v>
      </c>
      <c r="M62" s="4" cm="1">
        <f t="array" ref="M62">_xlfn.IFS('ProductSprint Backlog'!$F62="", "", AND('ProductSprint Backlog'!$J62&gt;M$2,'ProductSprint Backlog'!$I62&lt;=M$2), 'ProductSprint Backlog'!$F62 / MAX(1, 'ProductSprint Backlog'!$J62-'ProductSprint Backlog'!$I62), AND('ProductSprint Backlog'!$J62=M$2,'ProductSprint Backlog'!$I62=M$2), 'ProductSprint Backlog'!$F62, TRUE, 0)</f>
        <v>0</v>
      </c>
      <c r="N62" s="4" cm="1">
        <f t="array" ref="N62">_xlfn.IFS('ProductSprint Backlog'!$F62="", "", AND('ProductSprint Backlog'!$J62&gt;N$2,'ProductSprint Backlog'!$I62&lt;=N$2), 'ProductSprint Backlog'!$F62 / MAX(1, 'ProductSprint Backlog'!$J62-'ProductSprint Backlog'!$I62), AND('ProductSprint Backlog'!$J62=N$2,'ProductSprint Backlog'!$I62=N$2), 'ProductSprint Backlog'!$F62, TRUE, 0)</f>
        <v>0</v>
      </c>
      <c r="O62" s="4" cm="1">
        <f t="array" ref="O62">_xlfn.IFS('ProductSprint Backlog'!$F62="", "", AND('ProductSprint Backlog'!$J62&gt;O$2,'ProductSprint Backlog'!$I62&lt;=O$2), 'ProductSprint Backlog'!$F62 / MAX(1, 'ProductSprint Backlog'!$J62-'ProductSprint Backlog'!$I62), AND('ProductSprint Backlog'!$J62=O$2,'ProductSprint Backlog'!$I62=O$2), 'ProductSprint Backlog'!$F62, TRUE, 0)</f>
        <v>0</v>
      </c>
      <c r="P62" s="4" cm="1">
        <f t="array" ref="P62">_xlfn.IFS('ProductSprint Backlog'!$F62="", "", AND('ProductSprint Backlog'!$J62&gt;P$2,'ProductSprint Backlog'!$I62&lt;=P$2), 'ProductSprint Backlog'!$F62 / MAX(1, 'ProductSprint Backlog'!$J62-'ProductSprint Backlog'!$I62), AND('ProductSprint Backlog'!$J62=P$2,'ProductSprint Backlog'!$I62=P$2), 'ProductSprint Backlog'!$F62, TRUE, 0)</f>
        <v>0</v>
      </c>
      <c r="Q62" s="4" cm="1">
        <f t="array" ref="Q62">_xlfn.IFS('ProductSprint Backlog'!$F62="", "", AND('ProductSprint Backlog'!$J62&gt;Q$2,'ProductSprint Backlog'!$I62&lt;=Q$2), 'ProductSprint Backlog'!$F62 / MAX(1, 'ProductSprint Backlog'!$J62-'ProductSprint Backlog'!$I62), AND('ProductSprint Backlog'!$J62=Q$2,'ProductSprint Backlog'!$I62=Q$2), 'ProductSprint Backlog'!$F62, TRUE, 0)</f>
        <v>0</v>
      </c>
      <c r="R62" s="4" cm="1">
        <f t="array" ref="R62">_xlfn.IFS('ProductSprint Backlog'!$F62="", "", AND('ProductSprint Backlog'!$J62&gt;R$2,'ProductSprint Backlog'!$I62&lt;=R$2), 'ProductSprint Backlog'!$F62 / MAX(1, 'ProductSprint Backlog'!$J62-'ProductSprint Backlog'!$I62), AND('ProductSprint Backlog'!$J62=R$2,'ProductSprint Backlog'!$I62=R$2), 'ProductSprint Backlog'!$F62, TRUE, 0)</f>
        <v>0</v>
      </c>
      <c r="S62" s="4" cm="1">
        <f t="array" ref="S62">_xlfn.IFS('ProductSprint Backlog'!$F62="", "", AND('ProductSprint Backlog'!$J62&gt;S$2,'ProductSprint Backlog'!$I62&lt;=S$2), 'ProductSprint Backlog'!$F62 / MAX(1, 'ProductSprint Backlog'!$J62-'ProductSprint Backlog'!$I62), AND('ProductSprint Backlog'!$J62=S$2,'ProductSprint Backlog'!$I62=S$2), 'ProductSprint Backlog'!$F62, TRUE, 0)</f>
        <v>0</v>
      </c>
      <c r="T62" s="4" cm="1">
        <f t="array" ref="T62">_xlfn.IFS('ProductSprint Backlog'!$F62="", "", AND('ProductSprint Backlog'!$J62&gt;T$2,'ProductSprint Backlog'!$I62&lt;=T$2), 'ProductSprint Backlog'!$F62 / MAX(1, 'ProductSprint Backlog'!$J62-'ProductSprint Backlog'!$I62), AND('ProductSprint Backlog'!$J62=T$2,'ProductSprint Backlog'!$I62=T$2), 'ProductSprint Backlog'!$F62, TRUE, 0)</f>
        <v>0</v>
      </c>
    </row>
    <row r="63" spans="2:20" x14ac:dyDescent="0.2">
      <c r="B63" s="4" cm="1">
        <f t="array" ref="B63">_xlfn.IFS('ProductSprint Backlog'!$F63="", "", AND('ProductSprint Backlog'!$J63&gt;B$2,'ProductSprint Backlog'!$I63&lt;=B$2), 'ProductSprint Backlog'!$F63 / MAX(1, 'ProductSprint Backlog'!$J63-'ProductSprint Backlog'!$I63), AND('ProductSprint Backlog'!$J63=B$2,'ProductSprint Backlog'!$I63=B$2), 'ProductSprint Backlog'!$F63, TRUE, 0)</f>
        <v>0</v>
      </c>
      <c r="C63" s="4" cm="1">
        <f t="array" ref="C63">_xlfn.IFS('ProductSprint Backlog'!$F63="", "", AND('ProductSprint Backlog'!$J63&gt;C$2,'ProductSprint Backlog'!$I63&lt;=C$2), 'ProductSprint Backlog'!$F63 / MAX(1, 'ProductSprint Backlog'!$J63-'ProductSprint Backlog'!$I63), AND('ProductSprint Backlog'!$J63=C$2,'ProductSprint Backlog'!$I63=C$2), 'ProductSprint Backlog'!$F63, TRUE, 0)</f>
        <v>0</v>
      </c>
      <c r="D63" s="4" cm="1">
        <f t="array" ref="D63">_xlfn.IFS('ProductSprint Backlog'!$F63="", "", AND('ProductSprint Backlog'!$J63&gt;D$2,'ProductSprint Backlog'!$I63&lt;=D$2), 'ProductSprint Backlog'!$F63 / MAX(1, 'ProductSprint Backlog'!$J63-'ProductSprint Backlog'!$I63), AND('ProductSprint Backlog'!$J63=D$2,'ProductSprint Backlog'!$I63=D$2), 'ProductSprint Backlog'!$F63, TRUE, 0)</f>
        <v>0</v>
      </c>
      <c r="E63" s="4" cm="1">
        <f t="array" ref="E63">_xlfn.IFS('ProductSprint Backlog'!$F63="", "", AND('ProductSprint Backlog'!$J63&gt;E$2,'ProductSprint Backlog'!$I63&lt;=E$2), 'ProductSprint Backlog'!$F63 / MAX(1, 'ProductSprint Backlog'!$J63-'ProductSprint Backlog'!$I63), AND('ProductSprint Backlog'!$J63=E$2,'ProductSprint Backlog'!$I63=E$2), 'ProductSprint Backlog'!$F63, TRUE, 0)</f>
        <v>0</v>
      </c>
      <c r="F63" s="4" cm="1">
        <f t="array" ref="F63">_xlfn.IFS('ProductSprint Backlog'!$F63="", "", AND('ProductSprint Backlog'!$J63&gt;F$2,'ProductSprint Backlog'!$I63&lt;=F$2), 'ProductSprint Backlog'!$F63 / MAX(1, 'ProductSprint Backlog'!$J63-'ProductSprint Backlog'!$I63), AND('ProductSprint Backlog'!$J63=F$2,'ProductSprint Backlog'!$I63=F$2), 'ProductSprint Backlog'!$F63, TRUE, 0)</f>
        <v>0</v>
      </c>
      <c r="G63" s="4" cm="1">
        <f t="array" ref="G63">_xlfn.IFS('ProductSprint Backlog'!$F63="", "", AND('ProductSprint Backlog'!$J63&gt;G$2,'ProductSprint Backlog'!$I63&lt;=G$2), 'ProductSprint Backlog'!$F63 / MAX(1, 'ProductSprint Backlog'!$J63-'ProductSprint Backlog'!$I63), AND('ProductSprint Backlog'!$J63=G$2,'ProductSprint Backlog'!$I63=G$2), 'ProductSprint Backlog'!$F63, TRUE, 0)</f>
        <v>0</v>
      </c>
      <c r="H63" s="4" cm="1">
        <f t="array" ref="H63">_xlfn.IFS('ProductSprint Backlog'!$F63="", "", AND('ProductSprint Backlog'!$J63&gt;H$2,'ProductSprint Backlog'!$I63&lt;=H$2), 'ProductSprint Backlog'!$F63 / MAX(1, 'ProductSprint Backlog'!$J63-'ProductSprint Backlog'!$I63), AND('ProductSprint Backlog'!$J63=H$2,'ProductSprint Backlog'!$I63=H$2), 'ProductSprint Backlog'!$F63, TRUE, 0)</f>
        <v>0</v>
      </c>
      <c r="I63" s="4" cm="1">
        <f t="array" ref="I63">_xlfn.IFS('ProductSprint Backlog'!$F63="", "", AND('ProductSprint Backlog'!$J63&gt;I$2,'ProductSprint Backlog'!$I63&lt;=I$2), 'ProductSprint Backlog'!$F63 / MAX(1, 'ProductSprint Backlog'!$J63-'ProductSprint Backlog'!$I63), AND('ProductSprint Backlog'!$J63=I$2,'ProductSprint Backlog'!$I63=I$2), 'ProductSprint Backlog'!$F63, TRUE, 0)</f>
        <v>0</v>
      </c>
      <c r="J63" s="4" cm="1">
        <f t="array" ref="J63">_xlfn.IFS('ProductSprint Backlog'!$F63="", "", AND('ProductSprint Backlog'!$J63&gt;J$2,'ProductSprint Backlog'!$I63&lt;=J$2), 'ProductSprint Backlog'!$F63 / MAX(1, 'ProductSprint Backlog'!$J63-'ProductSprint Backlog'!$I63), AND('ProductSprint Backlog'!$J63=J$2,'ProductSprint Backlog'!$I63=J$2), 'ProductSprint Backlog'!$F63, TRUE, 0)</f>
        <v>0</v>
      </c>
      <c r="K63" s="4" cm="1">
        <f t="array" ref="K63">_xlfn.IFS('ProductSprint Backlog'!$F63="", "", AND('ProductSprint Backlog'!$J63&gt;K$2,'ProductSprint Backlog'!$I63&lt;=K$2), 'ProductSprint Backlog'!$F63 / MAX(1, 'ProductSprint Backlog'!$J63-'ProductSprint Backlog'!$I63), AND('ProductSprint Backlog'!$J63=K$2,'ProductSprint Backlog'!$I63=K$2), 'ProductSprint Backlog'!$F63, TRUE, 0)</f>
        <v>0</v>
      </c>
      <c r="L63" s="4" cm="1">
        <f t="array" ref="L63">_xlfn.IFS('ProductSprint Backlog'!$F63="", "", AND('ProductSprint Backlog'!$J63&gt;L$2,'ProductSprint Backlog'!$I63&lt;=L$2), 'ProductSprint Backlog'!$F63 / MAX(1, 'ProductSprint Backlog'!$J63-'ProductSprint Backlog'!$I63), AND('ProductSprint Backlog'!$J63=L$2,'ProductSprint Backlog'!$I63=L$2), 'ProductSprint Backlog'!$F63, TRUE, 0)</f>
        <v>0</v>
      </c>
      <c r="M63" s="4" cm="1">
        <f t="array" ref="M63">_xlfn.IFS('ProductSprint Backlog'!$F63="", "", AND('ProductSprint Backlog'!$J63&gt;M$2,'ProductSprint Backlog'!$I63&lt;=M$2), 'ProductSprint Backlog'!$F63 / MAX(1, 'ProductSprint Backlog'!$J63-'ProductSprint Backlog'!$I63), AND('ProductSprint Backlog'!$J63=M$2,'ProductSprint Backlog'!$I63=M$2), 'ProductSprint Backlog'!$F63, TRUE, 0)</f>
        <v>0</v>
      </c>
      <c r="N63" s="4" cm="1">
        <f t="array" ref="N63">_xlfn.IFS('ProductSprint Backlog'!$F63="", "", AND('ProductSprint Backlog'!$J63&gt;N$2,'ProductSprint Backlog'!$I63&lt;=N$2), 'ProductSprint Backlog'!$F63 / MAX(1, 'ProductSprint Backlog'!$J63-'ProductSprint Backlog'!$I63), AND('ProductSprint Backlog'!$J63=N$2,'ProductSprint Backlog'!$I63=N$2), 'ProductSprint Backlog'!$F63, TRUE, 0)</f>
        <v>0</v>
      </c>
      <c r="O63" s="4" cm="1">
        <f t="array" ref="O63">_xlfn.IFS('ProductSprint Backlog'!$F63="", "", AND('ProductSprint Backlog'!$J63&gt;O$2,'ProductSprint Backlog'!$I63&lt;=O$2), 'ProductSprint Backlog'!$F63 / MAX(1, 'ProductSprint Backlog'!$J63-'ProductSprint Backlog'!$I63), AND('ProductSprint Backlog'!$J63=O$2,'ProductSprint Backlog'!$I63=O$2), 'ProductSprint Backlog'!$F63, TRUE, 0)</f>
        <v>0</v>
      </c>
      <c r="P63" s="4" cm="1">
        <f t="array" ref="P63">_xlfn.IFS('ProductSprint Backlog'!$F63="", "", AND('ProductSprint Backlog'!$J63&gt;P$2,'ProductSprint Backlog'!$I63&lt;=P$2), 'ProductSprint Backlog'!$F63 / MAX(1, 'ProductSprint Backlog'!$J63-'ProductSprint Backlog'!$I63), AND('ProductSprint Backlog'!$J63=P$2,'ProductSprint Backlog'!$I63=P$2), 'ProductSprint Backlog'!$F63, TRUE, 0)</f>
        <v>0</v>
      </c>
      <c r="Q63" s="4" cm="1">
        <f t="array" ref="Q63">_xlfn.IFS('ProductSprint Backlog'!$F63="", "", AND('ProductSprint Backlog'!$J63&gt;Q$2,'ProductSprint Backlog'!$I63&lt;=Q$2), 'ProductSprint Backlog'!$F63 / MAX(1, 'ProductSprint Backlog'!$J63-'ProductSprint Backlog'!$I63), AND('ProductSprint Backlog'!$J63=Q$2,'ProductSprint Backlog'!$I63=Q$2), 'ProductSprint Backlog'!$F63, TRUE, 0)</f>
        <v>0</v>
      </c>
      <c r="R63" s="4" cm="1">
        <f t="array" ref="R63">_xlfn.IFS('ProductSprint Backlog'!$F63="", "", AND('ProductSprint Backlog'!$J63&gt;R$2,'ProductSprint Backlog'!$I63&lt;=R$2), 'ProductSprint Backlog'!$F63 / MAX(1, 'ProductSprint Backlog'!$J63-'ProductSprint Backlog'!$I63), AND('ProductSprint Backlog'!$J63=R$2,'ProductSprint Backlog'!$I63=R$2), 'ProductSprint Backlog'!$F63, TRUE, 0)</f>
        <v>0</v>
      </c>
      <c r="S63" s="4" cm="1">
        <f t="array" ref="S63">_xlfn.IFS('ProductSprint Backlog'!$F63="", "", AND('ProductSprint Backlog'!$J63&gt;S$2,'ProductSprint Backlog'!$I63&lt;=S$2), 'ProductSprint Backlog'!$F63 / MAX(1, 'ProductSprint Backlog'!$J63-'ProductSprint Backlog'!$I63), AND('ProductSprint Backlog'!$J63=S$2,'ProductSprint Backlog'!$I63=S$2), 'ProductSprint Backlog'!$F63, TRUE, 0)</f>
        <v>0</v>
      </c>
      <c r="T63" s="4" cm="1">
        <f t="array" ref="T63">_xlfn.IFS('ProductSprint Backlog'!$F63="", "", AND('ProductSprint Backlog'!$J63&gt;T$2,'ProductSprint Backlog'!$I63&lt;=T$2), 'ProductSprint Backlog'!$F63 / MAX(1, 'ProductSprint Backlog'!$J63-'ProductSprint Backlog'!$I63), AND('ProductSprint Backlog'!$J63=T$2,'ProductSprint Backlog'!$I63=T$2), 'ProductSprint Backlog'!$F63, TRUE, 0)</f>
        <v>0</v>
      </c>
    </row>
    <row r="64" spans="2:20" x14ac:dyDescent="0.2">
      <c r="B64" s="4" cm="1">
        <f t="array" ref="B64">_xlfn.IFS('ProductSprint Backlog'!$F64="", "", AND('ProductSprint Backlog'!$J64&gt;B$2,'ProductSprint Backlog'!$I64&lt;=B$2), 'ProductSprint Backlog'!$F64 / MAX(1, 'ProductSprint Backlog'!$J64-'ProductSprint Backlog'!$I64), AND('ProductSprint Backlog'!$J64=B$2,'ProductSprint Backlog'!$I64=B$2), 'ProductSprint Backlog'!$F64, TRUE, 0)</f>
        <v>0</v>
      </c>
      <c r="C64" s="4" cm="1">
        <f t="array" ref="C64">_xlfn.IFS('ProductSprint Backlog'!$F64="", "", AND('ProductSprint Backlog'!$J64&gt;C$2,'ProductSprint Backlog'!$I64&lt;=C$2), 'ProductSprint Backlog'!$F64 / MAX(1, 'ProductSprint Backlog'!$J64-'ProductSprint Backlog'!$I64), AND('ProductSprint Backlog'!$J64=C$2,'ProductSprint Backlog'!$I64=C$2), 'ProductSprint Backlog'!$F64, TRUE, 0)</f>
        <v>0</v>
      </c>
      <c r="D64" s="4" cm="1">
        <f t="array" ref="D64">_xlfn.IFS('ProductSprint Backlog'!$F64="", "", AND('ProductSprint Backlog'!$J64&gt;D$2,'ProductSprint Backlog'!$I64&lt;=D$2), 'ProductSprint Backlog'!$F64 / MAX(1, 'ProductSprint Backlog'!$J64-'ProductSprint Backlog'!$I64), AND('ProductSprint Backlog'!$J64=D$2,'ProductSprint Backlog'!$I64=D$2), 'ProductSprint Backlog'!$F64, TRUE, 0)</f>
        <v>0</v>
      </c>
      <c r="E64" s="4" cm="1">
        <f t="array" ref="E64">_xlfn.IFS('ProductSprint Backlog'!$F64="", "", AND('ProductSprint Backlog'!$J64&gt;E$2,'ProductSprint Backlog'!$I64&lt;=E$2), 'ProductSprint Backlog'!$F64 / MAX(1, 'ProductSprint Backlog'!$J64-'ProductSprint Backlog'!$I64), AND('ProductSprint Backlog'!$J64=E$2,'ProductSprint Backlog'!$I64=E$2), 'ProductSprint Backlog'!$F64, TRUE, 0)</f>
        <v>0</v>
      </c>
      <c r="F64" s="4" cm="1">
        <f t="array" ref="F64">_xlfn.IFS('ProductSprint Backlog'!$F64="", "", AND('ProductSprint Backlog'!$J64&gt;F$2,'ProductSprint Backlog'!$I64&lt;=F$2), 'ProductSprint Backlog'!$F64 / MAX(1, 'ProductSprint Backlog'!$J64-'ProductSprint Backlog'!$I64), AND('ProductSprint Backlog'!$J64=F$2,'ProductSprint Backlog'!$I64=F$2), 'ProductSprint Backlog'!$F64, TRUE, 0)</f>
        <v>0</v>
      </c>
      <c r="G64" s="4" cm="1">
        <f t="array" ref="G64">_xlfn.IFS('ProductSprint Backlog'!$F64="", "", AND('ProductSprint Backlog'!$J64&gt;G$2,'ProductSprint Backlog'!$I64&lt;=G$2), 'ProductSprint Backlog'!$F64 / MAX(1, 'ProductSprint Backlog'!$J64-'ProductSprint Backlog'!$I64), AND('ProductSprint Backlog'!$J64=G$2,'ProductSprint Backlog'!$I64=G$2), 'ProductSprint Backlog'!$F64, TRUE, 0)</f>
        <v>0</v>
      </c>
      <c r="H64" s="4" cm="1">
        <f t="array" ref="H64">_xlfn.IFS('ProductSprint Backlog'!$F64="", "", AND('ProductSprint Backlog'!$J64&gt;H$2,'ProductSprint Backlog'!$I64&lt;=H$2), 'ProductSprint Backlog'!$F64 / MAX(1, 'ProductSprint Backlog'!$J64-'ProductSprint Backlog'!$I64), AND('ProductSprint Backlog'!$J64=H$2,'ProductSprint Backlog'!$I64=H$2), 'ProductSprint Backlog'!$F64, TRUE, 0)</f>
        <v>0</v>
      </c>
      <c r="I64" s="4" cm="1">
        <f t="array" ref="I64">_xlfn.IFS('ProductSprint Backlog'!$F64="", "", AND('ProductSprint Backlog'!$J64&gt;I$2,'ProductSprint Backlog'!$I64&lt;=I$2), 'ProductSprint Backlog'!$F64 / MAX(1, 'ProductSprint Backlog'!$J64-'ProductSprint Backlog'!$I64), AND('ProductSprint Backlog'!$J64=I$2,'ProductSprint Backlog'!$I64=I$2), 'ProductSprint Backlog'!$F64, TRUE, 0)</f>
        <v>0</v>
      </c>
      <c r="J64" s="4" cm="1">
        <f t="array" ref="J64">_xlfn.IFS('ProductSprint Backlog'!$F64="", "", AND('ProductSprint Backlog'!$J64&gt;J$2,'ProductSprint Backlog'!$I64&lt;=J$2), 'ProductSprint Backlog'!$F64 / MAX(1, 'ProductSprint Backlog'!$J64-'ProductSprint Backlog'!$I64), AND('ProductSprint Backlog'!$J64=J$2,'ProductSprint Backlog'!$I64=J$2), 'ProductSprint Backlog'!$F64, TRUE, 0)</f>
        <v>0</v>
      </c>
      <c r="K64" s="4" cm="1">
        <f t="array" ref="K64">_xlfn.IFS('ProductSprint Backlog'!$F64="", "", AND('ProductSprint Backlog'!$J64&gt;K$2,'ProductSprint Backlog'!$I64&lt;=K$2), 'ProductSprint Backlog'!$F64 / MAX(1, 'ProductSprint Backlog'!$J64-'ProductSprint Backlog'!$I64), AND('ProductSprint Backlog'!$J64=K$2,'ProductSprint Backlog'!$I64=K$2), 'ProductSprint Backlog'!$F64, TRUE, 0)</f>
        <v>0</v>
      </c>
      <c r="L64" s="4" cm="1">
        <f t="array" ref="L64">_xlfn.IFS('ProductSprint Backlog'!$F64="", "", AND('ProductSprint Backlog'!$J64&gt;L$2,'ProductSprint Backlog'!$I64&lt;=L$2), 'ProductSprint Backlog'!$F64 / MAX(1, 'ProductSprint Backlog'!$J64-'ProductSprint Backlog'!$I64), AND('ProductSprint Backlog'!$J64=L$2,'ProductSprint Backlog'!$I64=L$2), 'ProductSprint Backlog'!$F64, TRUE, 0)</f>
        <v>0</v>
      </c>
      <c r="M64" s="4" cm="1">
        <f t="array" ref="M64">_xlfn.IFS('ProductSprint Backlog'!$F64="", "", AND('ProductSprint Backlog'!$J64&gt;M$2,'ProductSprint Backlog'!$I64&lt;=M$2), 'ProductSprint Backlog'!$F64 / MAX(1, 'ProductSprint Backlog'!$J64-'ProductSprint Backlog'!$I64), AND('ProductSprint Backlog'!$J64=M$2,'ProductSprint Backlog'!$I64=M$2), 'ProductSprint Backlog'!$F64, TRUE, 0)</f>
        <v>0</v>
      </c>
      <c r="N64" s="4" cm="1">
        <f t="array" ref="N64">_xlfn.IFS('ProductSprint Backlog'!$F64="", "", AND('ProductSprint Backlog'!$J64&gt;N$2,'ProductSprint Backlog'!$I64&lt;=N$2), 'ProductSprint Backlog'!$F64 / MAX(1, 'ProductSprint Backlog'!$J64-'ProductSprint Backlog'!$I64), AND('ProductSprint Backlog'!$J64=N$2,'ProductSprint Backlog'!$I64=N$2), 'ProductSprint Backlog'!$F64, TRUE, 0)</f>
        <v>0</v>
      </c>
      <c r="O64" s="4" cm="1">
        <f t="array" ref="O64">_xlfn.IFS('ProductSprint Backlog'!$F64="", "", AND('ProductSprint Backlog'!$J64&gt;O$2,'ProductSprint Backlog'!$I64&lt;=O$2), 'ProductSprint Backlog'!$F64 / MAX(1, 'ProductSprint Backlog'!$J64-'ProductSprint Backlog'!$I64), AND('ProductSprint Backlog'!$J64=O$2,'ProductSprint Backlog'!$I64=O$2), 'ProductSprint Backlog'!$F64, TRUE, 0)</f>
        <v>0</v>
      </c>
      <c r="P64" s="4" cm="1">
        <f t="array" ref="P64">_xlfn.IFS('ProductSprint Backlog'!$F64="", "", AND('ProductSprint Backlog'!$J64&gt;P$2,'ProductSprint Backlog'!$I64&lt;=P$2), 'ProductSprint Backlog'!$F64 / MAX(1, 'ProductSprint Backlog'!$J64-'ProductSprint Backlog'!$I64), AND('ProductSprint Backlog'!$J64=P$2,'ProductSprint Backlog'!$I64=P$2), 'ProductSprint Backlog'!$F64, TRUE, 0)</f>
        <v>0</v>
      </c>
      <c r="Q64" s="4" cm="1">
        <f t="array" ref="Q64">_xlfn.IFS('ProductSprint Backlog'!$F64="", "", AND('ProductSprint Backlog'!$J64&gt;Q$2,'ProductSprint Backlog'!$I64&lt;=Q$2), 'ProductSprint Backlog'!$F64 / MAX(1, 'ProductSprint Backlog'!$J64-'ProductSprint Backlog'!$I64), AND('ProductSprint Backlog'!$J64=Q$2,'ProductSprint Backlog'!$I64=Q$2), 'ProductSprint Backlog'!$F64, TRUE, 0)</f>
        <v>0</v>
      </c>
      <c r="R64" s="4" cm="1">
        <f t="array" ref="R64">_xlfn.IFS('ProductSprint Backlog'!$F64="", "", AND('ProductSprint Backlog'!$J64&gt;R$2,'ProductSprint Backlog'!$I64&lt;=R$2), 'ProductSprint Backlog'!$F64 / MAX(1, 'ProductSprint Backlog'!$J64-'ProductSprint Backlog'!$I64), AND('ProductSprint Backlog'!$J64=R$2,'ProductSprint Backlog'!$I64=R$2), 'ProductSprint Backlog'!$F64, TRUE, 0)</f>
        <v>0</v>
      </c>
      <c r="S64" s="4" cm="1">
        <f t="array" ref="S64">_xlfn.IFS('ProductSprint Backlog'!$F64="", "", AND('ProductSprint Backlog'!$J64&gt;S$2,'ProductSprint Backlog'!$I64&lt;=S$2), 'ProductSprint Backlog'!$F64 / MAX(1, 'ProductSprint Backlog'!$J64-'ProductSprint Backlog'!$I64), AND('ProductSprint Backlog'!$J64=S$2,'ProductSprint Backlog'!$I64=S$2), 'ProductSprint Backlog'!$F64, TRUE, 0)</f>
        <v>0</v>
      </c>
      <c r="T64" s="4" cm="1">
        <f t="array" ref="T64">_xlfn.IFS('ProductSprint Backlog'!$F64="", "", AND('ProductSprint Backlog'!$J64&gt;T$2,'ProductSprint Backlog'!$I64&lt;=T$2), 'ProductSprint Backlog'!$F64 / MAX(1, 'ProductSprint Backlog'!$J64-'ProductSprint Backlog'!$I64), AND('ProductSprint Backlog'!$J64=T$2,'ProductSprint Backlog'!$I64=T$2), 'ProductSprint Backlog'!$F64, TRUE, 0)</f>
        <v>0</v>
      </c>
    </row>
    <row r="65" spans="2:20" x14ac:dyDescent="0.2">
      <c r="B65" s="4" cm="1">
        <f t="array" ref="B65">_xlfn.IFS('ProductSprint Backlog'!$F65="", "", AND('ProductSprint Backlog'!$J65&gt;B$2,'ProductSprint Backlog'!$I65&lt;=B$2), 'ProductSprint Backlog'!$F65 / MAX(1, 'ProductSprint Backlog'!$J65-'ProductSprint Backlog'!$I65), AND('ProductSprint Backlog'!$J65=B$2,'ProductSprint Backlog'!$I65=B$2), 'ProductSprint Backlog'!$F65, TRUE, 0)</f>
        <v>0</v>
      </c>
      <c r="C65" s="4" cm="1">
        <f t="array" ref="C65">_xlfn.IFS('ProductSprint Backlog'!$F65="", "", AND('ProductSprint Backlog'!$J65&gt;C$2,'ProductSprint Backlog'!$I65&lt;=C$2), 'ProductSprint Backlog'!$F65 / MAX(1, 'ProductSprint Backlog'!$J65-'ProductSprint Backlog'!$I65), AND('ProductSprint Backlog'!$J65=C$2,'ProductSprint Backlog'!$I65=C$2), 'ProductSprint Backlog'!$F65, TRUE, 0)</f>
        <v>0</v>
      </c>
      <c r="D65" s="4" cm="1">
        <f t="array" ref="D65">_xlfn.IFS('ProductSprint Backlog'!$F65="", "", AND('ProductSprint Backlog'!$J65&gt;D$2,'ProductSprint Backlog'!$I65&lt;=D$2), 'ProductSprint Backlog'!$F65 / MAX(1, 'ProductSprint Backlog'!$J65-'ProductSprint Backlog'!$I65), AND('ProductSprint Backlog'!$J65=D$2,'ProductSprint Backlog'!$I65=D$2), 'ProductSprint Backlog'!$F65, TRUE, 0)</f>
        <v>0</v>
      </c>
      <c r="E65" s="4" cm="1">
        <f t="array" ref="E65">_xlfn.IFS('ProductSprint Backlog'!$F65="", "", AND('ProductSprint Backlog'!$J65&gt;E$2,'ProductSprint Backlog'!$I65&lt;=E$2), 'ProductSprint Backlog'!$F65 / MAX(1, 'ProductSprint Backlog'!$J65-'ProductSprint Backlog'!$I65), AND('ProductSprint Backlog'!$J65=E$2,'ProductSprint Backlog'!$I65=E$2), 'ProductSprint Backlog'!$F65, TRUE, 0)</f>
        <v>0</v>
      </c>
      <c r="F65" s="4" cm="1">
        <f t="array" ref="F65">_xlfn.IFS('ProductSprint Backlog'!$F65="", "", AND('ProductSprint Backlog'!$J65&gt;F$2,'ProductSprint Backlog'!$I65&lt;=F$2), 'ProductSprint Backlog'!$F65 / MAX(1, 'ProductSprint Backlog'!$J65-'ProductSprint Backlog'!$I65), AND('ProductSprint Backlog'!$J65=F$2,'ProductSprint Backlog'!$I65=F$2), 'ProductSprint Backlog'!$F65, TRUE, 0)</f>
        <v>0</v>
      </c>
      <c r="G65" s="4" cm="1">
        <f t="array" ref="G65">_xlfn.IFS('ProductSprint Backlog'!$F65="", "", AND('ProductSprint Backlog'!$J65&gt;G$2,'ProductSprint Backlog'!$I65&lt;=G$2), 'ProductSprint Backlog'!$F65 / MAX(1, 'ProductSprint Backlog'!$J65-'ProductSprint Backlog'!$I65), AND('ProductSprint Backlog'!$J65=G$2,'ProductSprint Backlog'!$I65=G$2), 'ProductSprint Backlog'!$F65, TRUE, 0)</f>
        <v>0</v>
      </c>
      <c r="H65" s="4" cm="1">
        <f t="array" ref="H65">_xlfn.IFS('ProductSprint Backlog'!$F65="", "", AND('ProductSprint Backlog'!$J65&gt;H$2,'ProductSprint Backlog'!$I65&lt;=H$2), 'ProductSprint Backlog'!$F65 / MAX(1, 'ProductSprint Backlog'!$J65-'ProductSprint Backlog'!$I65), AND('ProductSprint Backlog'!$J65=H$2,'ProductSprint Backlog'!$I65=H$2), 'ProductSprint Backlog'!$F65, TRUE, 0)</f>
        <v>0</v>
      </c>
      <c r="I65" s="4" cm="1">
        <f t="array" ref="I65">_xlfn.IFS('ProductSprint Backlog'!$F65="", "", AND('ProductSprint Backlog'!$J65&gt;I$2,'ProductSprint Backlog'!$I65&lt;=I$2), 'ProductSprint Backlog'!$F65 / MAX(1, 'ProductSprint Backlog'!$J65-'ProductSprint Backlog'!$I65), AND('ProductSprint Backlog'!$J65=I$2,'ProductSprint Backlog'!$I65=I$2), 'ProductSprint Backlog'!$F65, TRUE, 0)</f>
        <v>0</v>
      </c>
      <c r="J65" s="4" cm="1">
        <f t="array" ref="J65">_xlfn.IFS('ProductSprint Backlog'!$F65="", "", AND('ProductSprint Backlog'!$J65&gt;J$2,'ProductSprint Backlog'!$I65&lt;=J$2), 'ProductSprint Backlog'!$F65 / MAX(1, 'ProductSprint Backlog'!$J65-'ProductSprint Backlog'!$I65), AND('ProductSprint Backlog'!$J65=J$2,'ProductSprint Backlog'!$I65=J$2), 'ProductSprint Backlog'!$F65, TRUE, 0)</f>
        <v>0</v>
      </c>
      <c r="K65" s="4" cm="1">
        <f t="array" ref="K65">_xlfn.IFS('ProductSprint Backlog'!$F65="", "", AND('ProductSprint Backlog'!$J65&gt;K$2,'ProductSprint Backlog'!$I65&lt;=K$2), 'ProductSprint Backlog'!$F65 / MAX(1, 'ProductSprint Backlog'!$J65-'ProductSprint Backlog'!$I65), AND('ProductSprint Backlog'!$J65=K$2,'ProductSprint Backlog'!$I65=K$2), 'ProductSprint Backlog'!$F65, TRUE, 0)</f>
        <v>0</v>
      </c>
      <c r="L65" s="4" cm="1">
        <f t="array" ref="L65">_xlfn.IFS('ProductSprint Backlog'!$F65="", "", AND('ProductSprint Backlog'!$J65&gt;L$2,'ProductSprint Backlog'!$I65&lt;=L$2), 'ProductSprint Backlog'!$F65 / MAX(1, 'ProductSprint Backlog'!$J65-'ProductSprint Backlog'!$I65), AND('ProductSprint Backlog'!$J65=L$2,'ProductSprint Backlog'!$I65=L$2), 'ProductSprint Backlog'!$F65, TRUE, 0)</f>
        <v>0</v>
      </c>
      <c r="M65" s="4" cm="1">
        <f t="array" ref="M65">_xlfn.IFS('ProductSprint Backlog'!$F65="", "", AND('ProductSprint Backlog'!$J65&gt;M$2,'ProductSprint Backlog'!$I65&lt;=M$2), 'ProductSprint Backlog'!$F65 / MAX(1, 'ProductSprint Backlog'!$J65-'ProductSprint Backlog'!$I65), AND('ProductSprint Backlog'!$J65=M$2,'ProductSprint Backlog'!$I65=M$2), 'ProductSprint Backlog'!$F65, TRUE, 0)</f>
        <v>0</v>
      </c>
      <c r="N65" s="4" cm="1">
        <f t="array" ref="N65">_xlfn.IFS('ProductSprint Backlog'!$F65="", "", AND('ProductSprint Backlog'!$J65&gt;N$2,'ProductSprint Backlog'!$I65&lt;=N$2), 'ProductSprint Backlog'!$F65 / MAX(1, 'ProductSprint Backlog'!$J65-'ProductSprint Backlog'!$I65), AND('ProductSprint Backlog'!$J65=N$2,'ProductSprint Backlog'!$I65=N$2), 'ProductSprint Backlog'!$F65, TRUE, 0)</f>
        <v>0</v>
      </c>
      <c r="O65" s="4" cm="1">
        <f t="array" ref="O65">_xlfn.IFS('ProductSprint Backlog'!$F65="", "", AND('ProductSprint Backlog'!$J65&gt;O$2,'ProductSprint Backlog'!$I65&lt;=O$2), 'ProductSprint Backlog'!$F65 / MAX(1, 'ProductSprint Backlog'!$J65-'ProductSprint Backlog'!$I65), AND('ProductSprint Backlog'!$J65=O$2,'ProductSprint Backlog'!$I65=O$2), 'ProductSprint Backlog'!$F65, TRUE, 0)</f>
        <v>0</v>
      </c>
      <c r="P65" s="4" cm="1">
        <f t="array" ref="P65">_xlfn.IFS('ProductSprint Backlog'!$F65="", "", AND('ProductSprint Backlog'!$J65&gt;P$2,'ProductSprint Backlog'!$I65&lt;=P$2), 'ProductSprint Backlog'!$F65 / MAX(1, 'ProductSprint Backlog'!$J65-'ProductSprint Backlog'!$I65), AND('ProductSprint Backlog'!$J65=P$2,'ProductSprint Backlog'!$I65=P$2), 'ProductSprint Backlog'!$F65, TRUE, 0)</f>
        <v>0</v>
      </c>
      <c r="Q65" s="4" cm="1">
        <f t="array" ref="Q65">_xlfn.IFS('ProductSprint Backlog'!$F65="", "", AND('ProductSprint Backlog'!$J65&gt;Q$2,'ProductSprint Backlog'!$I65&lt;=Q$2), 'ProductSprint Backlog'!$F65 / MAX(1, 'ProductSprint Backlog'!$J65-'ProductSprint Backlog'!$I65), AND('ProductSprint Backlog'!$J65=Q$2,'ProductSprint Backlog'!$I65=Q$2), 'ProductSprint Backlog'!$F65, TRUE, 0)</f>
        <v>0</v>
      </c>
      <c r="R65" s="4" cm="1">
        <f t="array" ref="R65">_xlfn.IFS('ProductSprint Backlog'!$F65="", "", AND('ProductSprint Backlog'!$J65&gt;R$2,'ProductSprint Backlog'!$I65&lt;=R$2), 'ProductSprint Backlog'!$F65 / MAX(1, 'ProductSprint Backlog'!$J65-'ProductSprint Backlog'!$I65), AND('ProductSprint Backlog'!$J65=R$2,'ProductSprint Backlog'!$I65=R$2), 'ProductSprint Backlog'!$F65, TRUE, 0)</f>
        <v>0</v>
      </c>
      <c r="S65" s="4" cm="1">
        <f t="array" ref="S65">_xlfn.IFS('ProductSprint Backlog'!$F65="", "", AND('ProductSprint Backlog'!$J65&gt;S$2,'ProductSprint Backlog'!$I65&lt;=S$2), 'ProductSprint Backlog'!$F65 / MAX(1, 'ProductSprint Backlog'!$J65-'ProductSprint Backlog'!$I65), AND('ProductSprint Backlog'!$J65=S$2,'ProductSprint Backlog'!$I65=S$2), 'ProductSprint Backlog'!$F65, TRUE, 0)</f>
        <v>0</v>
      </c>
      <c r="T65" s="4" cm="1">
        <f t="array" ref="T65">_xlfn.IFS('ProductSprint Backlog'!$F65="", "", AND('ProductSprint Backlog'!$J65&gt;T$2,'ProductSprint Backlog'!$I65&lt;=T$2), 'ProductSprint Backlog'!$F65 / MAX(1, 'ProductSprint Backlog'!$J65-'ProductSprint Backlog'!$I65), AND('ProductSprint Backlog'!$J65=T$2,'ProductSprint Backlog'!$I65=T$2), 'ProductSprint Backlog'!$F65, TRUE, 0)</f>
        <v>0</v>
      </c>
    </row>
    <row r="66" spans="2:20" x14ac:dyDescent="0.2">
      <c r="B66" s="4" t="str" cm="1">
        <f t="array" ref="B66">_xlfn.IFS('ProductSprint Backlog'!$F66="", "", AND('ProductSprint Backlog'!$J66&gt;B$2,'ProductSprint Backlog'!$I66&lt;=B$2), 'ProductSprint Backlog'!$F66 / MAX(1, 'ProductSprint Backlog'!$J66-'ProductSprint Backlog'!$I66), AND('ProductSprint Backlog'!$J66=B$2,'ProductSprint Backlog'!$I66=B$2), 'ProductSprint Backlog'!$F66, TRUE, 0)</f>
        <v/>
      </c>
      <c r="C66" s="4" t="str" cm="1">
        <f t="array" ref="C66">_xlfn.IFS('ProductSprint Backlog'!$F66="", "", AND('ProductSprint Backlog'!$J66&gt;C$2,'ProductSprint Backlog'!$I66&lt;=C$2), 'ProductSprint Backlog'!$F66 / MAX(1, 'ProductSprint Backlog'!$J66-'ProductSprint Backlog'!$I66), AND('ProductSprint Backlog'!$J66=C$2,'ProductSprint Backlog'!$I66=C$2), 'ProductSprint Backlog'!$F66, TRUE, 0)</f>
        <v/>
      </c>
      <c r="D66" s="4" t="str" cm="1">
        <f t="array" ref="D66">_xlfn.IFS('ProductSprint Backlog'!$F66="", "", AND('ProductSprint Backlog'!$J66&gt;D$2,'ProductSprint Backlog'!$I66&lt;=D$2), 'ProductSprint Backlog'!$F66 / MAX(1, 'ProductSprint Backlog'!$J66-'ProductSprint Backlog'!$I66), AND('ProductSprint Backlog'!$J66=D$2,'ProductSprint Backlog'!$I66=D$2), 'ProductSprint Backlog'!$F66, TRUE, 0)</f>
        <v/>
      </c>
      <c r="E66" s="4" t="str" cm="1">
        <f t="array" ref="E66">_xlfn.IFS('ProductSprint Backlog'!$F66="", "", AND('ProductSprint Backlog'!$J66&gt;E$2,'ProductSprint Backlog'!$I66&lt;=E$2), 'ProductSprint Backlog'!$F66 / MAX(1, 'ProductSprint Backlog'!$J66-'ProductSprint Backlog'!$I66), AND('ProductSprint Backlog'!$J66=E$2,'ProductSprint Backlog'!$I66=E$2), 'ProductSprint Backlog'!$F66, TRUE, 0)</f>
        <v/>
      </c>
      <c r="F66" s="4" t="str" cm="1">
        <f t="array" ref="F66">_xlfn.IFS('ProductSprint Backlog'!$F66="", "", AND('ProductSprint Backlog'!$J66&gt;F$2,'ProductSprint Backlog'!$I66&lt;=F$2), 'ProductSprint Backlog'!$F66 / MAX(1, 'ProductSprint Backlog'!$J66-'ProductSprint Backlog'!$I66), AND('ProductSprint Backlog'!$J66=F$2,'ProductSprint Backlog'!$I66=F$2), 'ProductSprint Backlog'!$F66, TRUE, 0)</f>
        <v/>
      </c>
      <c r="G66" s="4" t="str" cm="1">
        <f t="array" ref="G66">_xlfn.IFS('ProductSprint Backlog'!$F66="", "", AND('ProductSprint Backlog'!$J66&gt;G$2,'ProductSprint Backlog'!$I66&lt;=G$2), 'ProductSprint Backlog'!$F66 / MAX(1, 'ProductSprint Backlog'!$J66-'ProductSprint Backlog'!$I66), AND('ProductSprint Backlog'!$J66=G$2,'ProductSprint Backlog'!$I66=G$2), 'ProductSprint Backlog'!$F66, TRUE, 0)</f>
        <v/>
      </c>
      <c r="H66" s="4" t="str" cm="1">
        <f t="array" ref="H66">_xlfn.IFS('ProductSprint Backlog'!$F66="", "", AND('ProductSprint Backlog'!$J66&gt;H$2,'ProductSprint Backlog'!$I66&lt;=H$2), 'ProductSprint Backlog'!$F66 / MAX(1, 'ProductSprint Backlog'!$J66-'ProductSprint Backlog'!$I66), AND('ProductSprint Backlog'!$J66=H$2,'ProductSprint Backlog'!$I66=H$2), 'ProductSprint Backlog'!$F66, TRUE, 0)</f>
        <v/>
      </c>
      <c r="I66" s="4" t="str" cm="1">
        <f t="array" ref="I66">_xlfn.IFS('ProductSprint Backlog'!$F66="", "", AND('ProductSprint Backlog'!$J66&gt;I$2,'ProductSprint Backlog'!$I66&lt;=I$2), 'ProductSprint Backlog'!$F66 / MAX(1, 'ProductSprint Backlog'!$J66-'ProductSprint Backlog'!$I66), AND('ProductSprint Backlog'!$J66=I$2,'ProductSprint Backlog'!$I66=I$2), 'ProductSprint Backlog'!$F66, TRUE, 0)</f>
        <v/>
      </c>
      <c r="J66" s="4" t="str" cm="1">
        <f t="array" ref="J66">_xlfn.IFS('ProductSprint Backlog'!$F66="", "", AND('ProductSprint Backlog'!$J66&gt;J$2,'ProductSprint Backlog'!$I66&lt;=J$2), 'ProductSprint Backlog'!$F66 / MAX(1, 'ProductSprint Backlog'!$J66-'ProductSprint Backlog'!$I66), AND('ProductSprint Backlog'!$J66=J$2,'ProductSprint Backlog'!$I66=J$2), 'ProductSprint Backlog'!$F66, TRUE, 0)</f>
        <v/>
      </c>
      <c r="K66" s="4" t="str" cm="1">
        <f t="array" ref="K66">_xlfn.IFS('ProductSprint Backlog'!$F66="", "", AND('ProductSprint Backlog'!$J66&gt;K$2,'ProductSprint Backlog'!$I66&lt;=K$2), 'ProductSprint Backlog'!$F66 / MAX(1, 'ProductSprint Backlog'!$J66-'ProductSprint Backlog'!$I66), AND('ProductSprint Backlog'!$J66=K$2,'ProductSprint Backlog'!$I66=K$2), 'ProductSprint Backlog'!$F66, TRUE, 0)</f>
        <v/>
      </c>
      <c r="L66" s="4" t="str" cm="1">
        <f t="array" ref="L66">_xlfn.IFS('ProductSprint Backlog'!$F66="", "", AND('ProductSprint Backlog'!$J66&gt;L$2,'ProductSprint Backlog'!$I66&lt;=L$2), 'ProductSprint Backlog'!$F66 / MAX(1, 'ProductSprint Backlog'!$J66-'ProductSprint Backlog'!$I66), AND('ProductSprint Backlog'!$J66=L$2,'ProductSprint Backlog'!$I66=L$2), 'ProductSprint Backlog'!$F66, TRUE, 0)</f>
        <v/>
      </c>
      <c r="M66" s="4" t="str" cm="1">
        <f t="array" ref="M66">_xlfn.IFS('ProductSprint Backlog'!$F66="", "", AND('ProductSprint Backlog'!$J66&gt;M$2,'ProductSprint Backlog'!$I66&lt;=M$2), 'ProductSprint Backlog'!$F66 / MAX(1, 'ProductSprint Backlog'!$J66-'ProductSprint Backlog'!$I66), AND('ProductSprint Backlog'!$J66=M$2,'ProductSprint Backlog'!$I66=M$2), 'ProductSprint Backlog'!$F66, TRUE, 0)</f>
        <v/>
      </c>
      <c r="N66" s="4" t="str" cm="1">
        <f t="array" ref="N66">_xlfn.IFS('ProductSprint Backlog'!$F66="", "", AND('ProductSprint Backlog'!$J66&gt;N$2,'ProductSprint Backlog'!$I66&lt;=N$2), 'ProductSprint Backlog'!$F66 / MAX(1, 'ProductSprint Backlog'!$J66-'ProductSprint Backlog'!$I66), AND('ProductSprint Backlog'!$J66=N$2,'ProductSprint Backlog'!$I66=N$2), 'ProductSprint Backlog'!$F66, TRUE, 0)</f>
        <v/>
      </c>
      <c r="O66" s="4" t="str" cm="1">
        <f t="array" ref="O66">_xlfn.IFS('ProductSprint Backlog'!$F66="", "", AND('ProductSprint Backlog'!$J66&gt;O$2,'ProductSprint Backlog'!$I66&lt;=O$2), 'ProductSprint Backlog'!$F66 / MAX(1, 'ProductSprint Backlog'!$J66-'ProductSprint Backlog'!$I66), AND('ProductSprint Backlog'!$J66=O$2,'ProductSprint Backlog'!$I66=O$2), 'ProductSprint Backlog'!$F66, TRUE, 0)</f>
        <v/>
      </c>
      <c r="P66" s="4" t="str" cm="1">
        <f t="array" ref="P66">_xlfn.IFS('ProductSprint Backlog'!$F66="", "", AND('ProductSprint Backlog'!$J66&gt;P$2,'ProductSprint Backlog'!$I66&lt;=P$2), 'ProductSprint Backlog'!$F66 / MAX(1, 'ProductSprint Backlog'!$J66-'ProductSprint Backlog'!$I66), AND('ProductSprint Backlog'!$J66=P$2,'ProductSprint Backlog'!$I66=P$2), 'ProductSprint Backlog'!$F66, TRUE, 0)</f>
        <v/>
      </c>
      <c r="Q66" s="4" t="str" cm="1">
        <f t="array" ref="Q66">_xlfn.IFS('ProductSprint Backlog'!$F66="", "", AND('ProductSprint Backlog'!$J66&gt;Q$2,'ProductSprint Backlog'!$I66&lt;=Q$2), 'ProductSprint Backlog'!$F66 / MAX(1, 'ProductSprint Backlog'!$J66-'ProductSprint Backlog'!$I66), AND('ProductSprint Backlog'!$J66=Q$2,'ProductSprint Backlog'!$I66=Q$2), 'ProductSprint Backlog'!$F66, TRUE, 0)</f>
        <v/>
      </c>
      <c r="R66" s="4" t="str" cm="1">
        <f t="array" ref="R66">_xlfn.IFS('ProductSprint Backlog'!$F66="", "", AND('ProductSprint Backlog'!$J66&gt;R$2,'ProductSprint Backlog'!$I66&lt;=R$2), 'ProductSprint Backlog'!$F66 / MAX(1, 'ProductSprint Backlog'!$J66-'ProductSprint Backlog'!$I66), AND('ProductSprint Backlog'!$J66=R$2,'ProductSprint Backlog'!$I66=R$2), 'ProductSprint Backlog'!$F66, TRUE, 0)</f>
        <v/>
      </c>
      <c r="S66" s="4" t="str" cm="1">
        <f t="array" ref="S66">_xlfn.IFS('ProductSprint Backlog'!$F66="", "", AND('ProductSprint Backlog'!$J66&gt;S$2,'ProductSprint Backlog'!$I66&lt;=S$2), 'ProductSprint Backlog'!$F66 / MAX(1, 'ProductSprint Backlog'!$J66-'ProductSprint Backlog'!$I66), AND('ProductSprint Backlog'!$J66=S$2,'ProductSprint Backlog'!$I66=S$2), 'ProductSprint Backlog'!$F66, TRUE, 0)</f>
        <v/>
      </c>
      <c r="T66" s="4" t="str" cm="1">
        <f t="array" ref="T66">_xlfn.IFS('ProductSprint Backlog'!$F66="", "", AND('ProductSprint Backlog'!$J66&gt;T$2,'ProductSprint Backlog'!$I66&lt;=T$2), 'ProductSprint Backlog'!$F66 / MAX(1, 'ProductSprint Backlog'!$J66-'ProductSprint Backlog'!$I66), AND('ProductSprint Backlog'!$J66=T$2,'ProductSprint Backlog'!$I66=T$2), 'ProductSprint Backlog'!$F66, TRUE, 0)</f>
        <v/>
      </c>
    </row>
    <row r="67" spans="2:20" x14ac:dyDescent="0.2">
      <c r="B67" s="4" cm="1">
        <f t="array" ref="B67">_xlfn.IFS('ProductSprint Backlog'!$F67="", "", AND('ProductSprint Backlog'!$J67&gt;B$2,'ProductSprint Backlog'!$I67&lt;=B$2), 'ProductSprint Backlog'!$F67 / MAX(1, 'ProductSprint Backlog'!$J67-'ProductSprint Backlog'!$I67), AND('ProductSprint Backlog'!$J67=B$2,'ProductSprint Backlog'!$I67=B$2), 'ProductSprint Backlog'!$F67, TRUE, 0)</f>
        <v>0</v>
      </c>
      <c r="C67" s="4" cm="1">
        <f t="array" ref="C67">_xlfn.IFS('ProductSprint Backlog'!$F67="", "", AND('ProductSprint Backlog'!$J67&gt;C$2,'ProductSprint Backlog'!$I67&lt;=C$2), 'ProductSprint Backlog'!$F67 / MAX(1, 'ProductSprint Backlog'!$J67-'ProductSprint Backlog'!$I67), AND('ProductSprint Backlog'!$J67=C$2,'ProductSprint Backlog'!$I67=C$2), 'ProductSprint Backlog'!$F67, TRUE, 0)</f>
        <v>0</v>
      </c>
      <c r="D67" s="4" cm="1">
        <f t="array" ref="D67">_xlfn.IFS('ProductSprint Backlog'!$F67="", "", AND('ProductSprint Backlog'!$J67&gt;D$2,'ProductSprint Backlog'!$I67&lt;=D$2), 'ProductSprint Backlog'!$F67 / MAX(1, 'ProductSprint Backlog'!$J67-'ProductSprint Backlog'!$I67), AND('ProductSprint Backlog'!$J67=D$2,'ProductSprint Backlog'!$I67=D$2), 'ProductSprint Backlog'!$F67, TRUE, 0)</f>
        <v>0</v>
      </c>
      <c r="E67" s="4" cm="1">
        <f t="array" ref="E67">_xlfn.IFS('ProductSprint Backlog'!$F67="", "", AND('ProductSprint Backlog'!$J67&gt;E$2,'ProductSprint Backlog'!$I67&lt;=E$2), 'ProductSprint Backlog'!$F67 / MAX(1, 'ProductSprint Backlog'!$J67-'ProductSprint Backlog'!$I67), AND('ProductSprint Backlog'!$J67=E$2,'ProductSprint Backlog'!$I67=E$2), 'ProductSprint Backlog'!$F67, TRUE, 0)</f>
        <v>0</v>
      </c>
      <c r="F67" s="4" cm="1">
        <f t="array" ref="F67">_xlfn.IFS('ProductSprint Backlog'!$F67="", "", AND('ProductSprint Backlog'!$J67&gt;F$2,'ProductSprint Backlog'!$I67&lt;=F$2), 'ProductSprint Backlog'!$F67 / MAX(1, 'ProductSprint Backlog'!$J67-'ProductSprint Backlog'!$I67), AND('ProductSprint Backlog'!$J67=F$2,'ProductSprint Backlog'!$I67=F$2), 'ProductSprint Backlog'!$F67, TRUE, 0)</f>
        <v>0</v>
      </c>
      <c r="G67" s="4" cm="1">
        <f t="array" ref="G67">_xlfn.IFS('ProductSprint Backlog'!$F67="", "", AND('ProductSprint Backlog'!$J67&gt;G$2,'ProductSprint Backlog'!$I67&lt;=G$2), 'ProductSprint Backlog'!$F67 / MAX(1, 'ProductSprint Backlog'!$J67-'ProductSprint Backlog'!$I67), AND('ProductSprint Backlog'!$J67=G$2,'ProductSprint Backlog'!$I67=G$2), 'ProductSprint Backlog'!$F67, TRUE, 0)</f>
        <v>0</v>
      </c>
      <c r="H67" s="4" cm="1">
        <f t="array" ref="H67">_xlfn.IFS('ProductSprint Backlog'!$F67="", "", AND('ProductSprint Backlog'!$J67&gt;H$2,'ProductSprint Backlog'!$I67&lt;=H$2), 'ProductSprint Backlog'!$F67 / MAX(1, 'ProductSprint Backlog'!$J67-'ProductSprint Backlog'!$I67), AND('ProductSprint Backlog'!$J67=H$2,'ProductSprint Backlog'!$I67=H$2), 'ProductSprint Backlog'!$F67, TRUE, 0)</f>
        <v>0</v>
      </c>
      <c r="I67" s="4" cm="1">
        <f t="array" ref="I67">_xlfn.IFS('ProductSprint Backlog'!$F67="", "", AND('ProductSprint Backlog'!$J67&gt;I$2,'ProductSprint Backlog'!$I67&lt;=I$2), 'ProductSprint Backlog'!$F67 / MAX(1, 'ProductSprint Backlog'!$J67-'ProductSprint Backlog'!$I67), AND('ProductSprint Backlog'!$J67=I$2,'ProductSprint Backlog'!$I67=I$2), 'ProductSprint Backlog'!$F67, TRUE, 0)</f>
        <v>0</v>
      </c>
      <c r="J67" s="4" cm="1">
        <f t="array" ref="J67">_xlfn.IFS('ProductSprint Backlog'!$F67="", "", AND('ProductSprint Backlog'!$J67&gt;J$2,'ProductSprint Backlog'!$I67&lt;=J$2), 'ProductSprint Backlog'!$F67 / MAX(1, 'ProductSprint Backlog'!$J67-'ProductSprint Backlog'!$I67), AND('ProductSprint Backlog'!$J67=J$2,'ProductSprint Backlog'!$I67=J$2), 'ProductSprint Backlog'!$F67, TRUE, 0)</f>
        <v>0</v>
      </c>
      <c r="K67" s="4" cm="1">
        <f t="array" ref="K67">_xlfn.IFS('ProductSprint Backlog'!$F67="", "", AND('ProductSprint Backlog'!$J67&gt;K$2,'ProductSprint Backlog'!$I67&lt;=K$2), 'ProductSprint Backlog'!$F67 / MAX(1, 'ProductSprint Backlog'!$J67-'ProductSprint Backlog'!$I67), AND('ProductSprint Backlog'!$J67=K$2,'ProductSprint Backlog'!$I67=K$2), 'ProductSprint Backlog'!$F67, TRUE, 0)</f>
        <v>0</v>
      </c>
      <c r="L67" s="4" cm="1">
        <f t="array" ref="L67">_xlfn.IFS('ProductSprint Backlog'!$F67="", "", AND('ProductSprint Backlog'!$J67&gt;L$2,'ProductSprint Backlog'!$I67&lt;=L$2), 'ProductSprint Backlog'!$F67 / MAX(1, 'ProductSprint Backlog'!$J67-'ProductSprint Backlog'!$I67), AND('ProductSprint Backlog'!$J67=L$2,'ProductSprint Backlog'!$I67=L$2), 'ProductSprint Backlog'!$F67, TRUE, 0)</f>
        <v>0</v>
      </c>
      <c r="M67" s="4" cm="1">
        <f t="array" ref="M67">_xlfn.IFS('ProductSprint Backlog'!$F67="", "", AND('ProductSprint Backlog'!$J67&gt;M$2,'ProductSprint Backlog'!$I67&lt;=M$2), 'ProductSprint Backlog'!$F67 / MAX(1, 'ProductSprint Backlog'!$J67-'ProductSprint Backlog'!$I67), AND('ProductSprint Backlog'!$J67=M$2,'ProductSprint Backlog'!$I67=M$2), 'ProductSprint Backlog'!$F67, TRUE, 0)</f>
        <v>0</v>
      </c>
      <c r="N67" s="4" cm="1">
        <f t="array" ref="N67">_xlfn.IFS('ProductSprint Backlog'!$F67="", "", AND('ProductSprint Backlog'!$J67&gt;N$2,'ProductSprint Backlog'!$I67&lt;=N$2), 'ProductSprint Backlog'!$F67 / MAX(1, 'ProductSprint Backlog'!$J67-'ProductSprint Backlog'!$I67), AND('ProductSprint Backlog'!$J67=N$2,'ProductSprint Backlog'!$I67=N$2), 'ProductSprint Backlog'!$F67, TRUE, 0)</f>
        <v>0</v>
      </c>
      <c r="O67" s="4" cm="1">
        <f t="array" ref="O67">_xlfn.IFS('ProductSprint Backlog'!$F67="", "", AND('ProductSprint Backlog'!$J67&gt;O$2,'ProductSprint Backlog'!$I67&lt;=O$2), 'ProductSprint Backlog'!$F67 / MAX(1, 'ProductSprint Backlog'!$J67-'ProductSprint Backlog'!$I67), AND('ProductSprint Backlog'!$J67=O$2,'ProductSprint Backlog'!$I67=O$2), 'ProductSprint Backlog'!$F67, TRUE, 0)</f>
        <v>0</v>
      </c>
      <c r="P67" s="4" cm="1">
        <f t="array" ref="P67">_xlfn.IFS('ProductSprint Backlog'!$F67="", "", AND('ProductSprint Backlog'!$J67&gt;P$2,'ProductSprint Backlog'!$I67&lt;=P$2), 'ProductSprint Backlog'!$F67 / MAX(1, 'ProductSprint Backlog'!$J67-'ProductSprint Backlog'!$I67), AND('ProductSprint Backlog'!$J67=P$2,'ProductSprint Backlog'!$I67=P$2), 'ProductSprint Backlog'!$F67, TRUE, 0)</f>
        <v>0</v>
      </c>
      <c r="Q67" s="4" cm="1">
        <f t="array" ref="Q67">_xlfn.IFS('ProductSprint Backlog'!$F67="", "", AND('ProductSprint Backlog'!$J67&gt;Q$2,'ProductSprint Backlog'!$I67&lt;=Q$2), 'ProductSprint Backlog'!$F67 / MAX(1, 'ProductSprint Backlog'!$J67-'ProductSprint Backlog'!$I67), AND('ProductSprint Backlog'!$J67=Q$2,'ProductSprint Backlog'!$I67=Q$2), 'ProductSprint Backlog'!$F67, TRUE, 0)</f>
        <v>0</v>
      </c>
      <c r="R67" s="4" cm="1">
        <f t="array" ref="R67">_xlfn.IFS('ProductSprint Backlog'!$F67="", "", AND('ProductSprint Backlog'!$J67&gt;R$2,'ProductSprint Backlog'!$I67&lt;=R$2), 'ProductSprint Backlog'!$F67 / MAX(1, 'ProductSprint Backlog'!$J67-'ProductSprint Backlog'!$I67), AND('ProductSprint Backlog'!$J67=R$2,'ProductSprint Backlog'!$I67=R$2), 'ProductSprint Backlog'!$F67, TRUE, 0)</f>
        <v>0</v>
      </c>
      <c r="S67" s="4" cm="1">
        <f t="array" ref="S67">_xlfn.IFS('ProductSprint Backlog'!$F67="", "", AND('ProductSprint Backlog'!$J67&gt;S$2,'ProductSprint Backlog'!$I67&lt;=S$2), 'ProductSprint Backlog'!$F67 / MAX(1, 'ProductSprint Backlog'!$J67-'ProductSprint Backlog'!$I67), AND('ProductSprint Backlog'!$J67=S$2,'ProductSprint Backlog'!$I67=S$2), 'ProductSprint Backlog'!$F67, TRUE, 0)</f>
        <v>0</v>
      </c>
      <c r="T67" s="4" cm="1">
        <f t="array" ref="T67">_xlfn.IFS('ProductSprint Backlog'!$F67="", "", AND('ProductSprint Backlog'!$J67&gt;T$2,'ProductSprint Backlog'!$I67&lt;=T$2), 'ProductSprint Backlog'!$F67 / MAX(1, 'ProductSprint Backlog'!$J67-'ProductSprint Backlog'!$I67), AND('ProductSprint Backlog'!$J67=T$2,'ProductSprint Backlog'!$I67=T$2), 'ProductSprint Backlog'!$F67, TRUE, 0)</f>
        <v>0</v>
      </c>
    </row>
    <row r="68" spans="2:20" x14ac:dyDescent="0.2">
      <c r="B68" s="4" cm="1">
        <f t="array" ref="B68">_xlfn.IFS('ProductSprint Backlog'!$F68="", "", AND('ProductSprint Backlog'!$J68&gt;B$2,'ProductSprint Backlog'!$I68&lt;=B$2), 'ProductSprint Backlog'!$F68 / MAX(1, 'ProductSprint Backlog'!$J68-'ProductSprint Backlog'!$I68), AND('ProductSprint Backlog'!$J68=B$2,'ProductSprint Backlog'!$I68=B$2), 'ProductSprint Backlog'!$F68, TRUE, 0)</f>
        <v>0</v>
      </c>
      <c r="C68" s="4" cm="1">
        <f t="array" ref="C68">_xlfn.IFS('ProductSprint Backlog'!$F68="", "", AND('ProductSprint Backlog'!$J68&gt;C$2,'ProductSprint Backlog'!$I68&lt;=C$2), 'ProductSprint Backlog'!$F68 / MAX(1, 'ProductSprint Backlog'!$J68-'ProductSprint Backlog'!$I68), AND('ProductSprint Backlog'!$J68=C$2,'ProductSprint Backlog'!$I68=C$2), 'ProductSprint Backlog'!$F68, TRUE, 0)</f>
        <v>0</v>
      </c>
      <c r="D68" s="4" cm="1">
        <f t="array" ref="D68">_xlfn.IFS('ProductSprint Backlog'!$F68="", "", AND('ProductSprint Backlog'!$J68&gt;D$2,'ProductSprint Backlog'!$I68&lt;=D$2), 'ProductSprint Backlog'!$F68 / MAX(1, 'ProductSprint Backlog'!$J68-'ProductSprint Backlog'!$I68), AND('ProductSprint Backlog'!$J68=D$2,'ProductSprint Backlog'!$I68=D$2), 'ProductSprint Backlog'!$F68, TRUE, 0)</f>
        <v>0</v>
      </c>
      <c r="E68" s="4" cm="1">
        <f t="array" ref="E68">_xlfn.IFS('ProductSprint Backlog'!$F68="", "", AND('ProductSprint Backlog'!$J68&gt;E$2,'ProductSprint Backlog'!$I68&lt;=E$2), 'ProductSprint Backlog'!$F68 / MAX(1, 'ProductSprint Backlog'!$J68-'ProductSprint Backlog'!$I68), AND('ProductSprint Backlog'!$J68=E$2,'ProductSprint Backlog'!$I68=E$2), 'ProductSprint Backlog'!$F68, TRUE, 0)</f>
        <v>0</v>
      </c>
      <c r="F68" s="4" cm="1">
        <f t="array" ref="F68">_xlfn.IFS('ProductSprint Backlog'!$F68="", "", AND('ProductSprint Backlog'!$J68&gt;F$2,'ProductSprint Backlog'!$I68&lt;=F$2), 'ProductSprint Backlog'!$F68 / MAX(1, 'ProductSprint Backlog'!$J68-'ProductSprint Backlog'!$I68), AND('ProductSprint Backlog'!$J68=F$2,'ProductSprint Backlog'!$I68=F$2), 'ProductSprint Backlog'!$F68, TRUE, 0)</f>
        <v>0</v>
      </c>
      <c r="G68" s="4" cm="1">
        <f t="array" ref="G68">_xlfn.IFS('ProductSprint Backlog'!$F68="", "", AND('ProductSprint Backlog'!$J68&gt;G$2,'ProductSprint Backlog'!$I68&lt;=G$2), 'ProductSprint Backlog'!$F68 / MAX(1, 'ProductSprint Backlog'!$J68-'ProductSprint Backlog'!$I68), AND('ProductSprint Backlog'!$J68=G$2,'ProductSprint Backlog'!$I68=G$2), 'ProductSprint Backlog'!$F68, TRUE, 0)</f>
        <v>0</v>
      </c>
      <c r="H68" s="4" cm="1">
        <f t="array" ref="H68">_xlfn.IFS('ProductSprint Backlog'!$F68="", "", AND('ProductSprint Backlog'!$J68&gt;H$2,'ProductSprint Backlog'!$I68&lt;=H$2), 'ProductSprint Backlog'!$F68 / MAX(1, 'ProductSprint Backlog'!$J68-'ProductSprint Backlog'!$I68), AND('ProductSprint Backlog'!$J68=H$2,'ProductSprint Backlog'!$I68=H$2), 'ProductSprint Backlog'!$F68, TRUE, 0)</f>
        <v>0</v>
      </c>
      <c r="I68" s="4" cm="1">
        <f t="array" ref="I68">_xlfn.IFS('ProductSprint Backlog'!$F68="", "", AND('ProductSprint Backlog'!$J68&gt;I$2,'ProductSprint Backlog'!$I68&lt;=I$2), 'ProductSprint Backlog'!$F68 / MAX(1, 'ProductSprint Backlog'!$J68-'ProductSprint Backlog'!$I68), AND('ProductSprint Backlog'!$J68=I$2,'ProductSprint Backlog'!$I68=I$2), 'ProductSprint Backlog'!$F68, TRUE, 0)</f>
        <v>0</v>
      </c>
      <c r="J68" s="4" cm="1">
        <f t="array" ref="J68">_xlfn.IFS('ProductSprint Backlog'!$F68="", "", AND('ProductSprint Backlog'!$J68&gt;J$2,'ProductSprint Backlog'!$I68&lt;=J$2), 'ProductSprint Backlog'!$F68 / MAX(1, 'ProductSprint Backlog'!$J68-'ProductSprint Backlog'!$I68), AND('ProductSprint Backlog'!$J68=J$2,'ProductSprint Backlog'!$I68=J$2), 'ProductSprint Backlog'!$F68, TRUE, 0)</f>
        <v>0</v>
      </c>
      <c r="K68" s="4" cm="1">
        <f t="array" ref="K68">_xlfn.IFS('ProductSprint Backlog'!$F68="", "", AND('ProductSprint Backlog'!$J68&gt;K$2,'ProductSprint Backlog'!$I68&lt;=K$2), 'ProductSprint Backlog'!$F68 / MAX(1, 'ProductSprint Backlog'!$J68-'ProductSprint Backlog'!$I68), AND('ProductSprint Backlog'!$J68=K$2,'ProductSprint Backlog'!$I68=K$2), 'ProductSprint Backlog'!$F68, TRUE, 0)</f>
        <v>0</v>
      </c>
      <c r="L68" s="4" cm="1">
        <f t="array" ref="L68">_xlfn.IFS('ProductSprint Backlog'!$F68="", "", AND('ProductSprint Backlog'!$J68&gt;L$2,'ProductSprint Backlog'!$I68&lt;=L$2), 'ProductSprint Backlog'!$F68 / MAX(1, 'ProductSprint Backlog'!$J68-'ProductSprint Backlog'!$I68), AND('ProductSprint Backlog'!$J68=L$2,'ProductSprint Backlog'!$I68=L$2), 'ProductSprint Backlog'!$F68, TRUE, 0)</f>
        <v>0</v>
      </c>
      <c r="M68" s="4" cm="1">
        <f t="array" ref="M68">_xlfn.IFS('ProductSprint Backlog'!$F68="", "", AND('ProductSprint Backlog'!$J68&gt;M$2,'ProductSprint Backlog'!$I68&lt;=M$2), 'ProductSprint Backlog'!$F68 / MAX(1, 'ProductSprint Backlog'!$J68-'ProductSprint Backlog'!$I68), AND('ProductSprint Backlog'!$J68=M$2,'ProductSprint Backlog'!$I68=M$2), 'ProductSprint Backlog'!$F68, TRUE, 0)</f>
        <v>0</v>
      </c>
      <c r="N68" s="4" cm="1">
        <f t="array" ref="N68">_xlfn.IFS('ProductSprint Backlog'!$F68="", "", AND('ProductSprint Backlog'!$J68&gt;N$2,'ProductSprint Backlog'!$I68&lt;=N$2), 'ProductSprint Backlog'!$F68 / MAX(1, 'ProductSprint Backlog'!$J68-'ProductSprint Backlog'!$I68), AND('ProductSprint Backlog'!$J68=N$2,'ProductSprint Backlog'!$I68=N$2), 'ProductSprint Backlog'!$F68, TRUE, 0)</f>
        <v>0</v>
      </c>
      <c r="O68" s="4" cm="1">
        <f t="array" ref="O68">_xlfn.IFS('ProductSprint Backlog'!$F68="", "", AND('ProductSprint Backlog'!$J68&gt;O$2,'ProductSprint Backlog'!$I68&lt;=O$2), 'ProductSprint Backlog'!$F68 / MAX(1, 'ProductSprint Backlog'!$J68-'ProductSprint Backlog'!$I68), AND('ProductSprint Backlog'!$J68=O$2,'ProductSprint Backlog'!$I68=O$2), 'ProductSprint Backlog'!$F68, TRUE, 0)</f>
        <v>0</v>
      </c>
      <c r="P68" s="4" cm="1">
        <f t="array" ref="P68">_xlfn.IFS('ProductSprint Backlog'!$F68="", "", AND('ProductSprint Backlog'!$J68&gt;P$2,'ProductSprint Backlog'!$I68&lt;=P$2), 'ProductSprint Backlog'!$F68 / MAX(1, 'ProductSprint Backlog'!$J68-'ProductSprint Backlog'!$I68), AND('ProductSprint Backlog'!$J68=P$2,'ProductSprint Backlog'!$I68=P$2), 'ProductSprint Backlog'!$F68, TRUE, 0)</f>
        <v>0</v>
      </c>
      <c r="Q68" s="4" cm="1">
        <f t="array" ref="Q68">_xlfn.IFS('ProductSprint Backlog'!$F68="", "", AND('ProductSprint Backlog'!$J68&gt;Q$2,'ProductSprint Backlog'!$I68&lt;=Q$2), 'ProductSprint Backlog'!$F68 / MAX(1, 'ProductSprint Backlog'!$J68-'ProductSprint Backlog'!$I68), AND('ProductSprint Backlog'!$J68=Q$2,'ProductSprint Backlog'!$I68=Q$2), 'ProductSprint Backlog'!$F68, TRUE, 0)</f>
        <v>0</v>
      </c>
      <c r="R68" s="4" cm="1">
        <f t="array" ref="R68">_xlfn.IFS('ProductSprint Backlog'!$F68="", "", AND('ProductSprint Backlog'!$J68&gt;R$2,'ProductSprint Backlog'!$I68&lt;=R$2), 'ProductSprint Backlog'!$F68 / MAX(1, 'ProductSprint Backlog'!$J68-'ProductSprint Backlog'!$I68), AND('ProductSprint Backlog'!$J68=R$2,'ProductSprint Backlog'!$I68=R$2), 'ProductSprint Backlog'!$F68, TRUE, 0)</f>
        <v>0</v>
      </c>
      <c r="S68" s="4" cm="1">
        <f t="array" ref="S68">_xlfn.IFS('ProductSprint Backlog'!$F68="", "", AND('ProductSprint Backlog'!$J68&gt;S$2,'ProductSprint Backlog'!$I68&lt;=S$2), 'ProductSprint Backlog'!$F68 / MAX(1, 'ProductSprint Backlog'!$J68-'ProductSprint Backlog'!$I68), AND('ProductSprint Backlog'!$J68=S$2,'ProductSprint Backlog'!$I68=S$2), 'ProductSprint Backlog'!$F68, TRUE, 0)</f>
        <v>0</v>
      </c>
      <c r="T68" s="4" cm="1">
        <f t="array" ref="T68">_xlfn.IFS('ProductSprint Backlog'!$F68="", "", AND('ProductSprint Backlog'!$J68&gt;T$2,'ProductSprint Backlog'!$I68&lt;=T$2), 'ProductSprint Backlog'!$F68 / MAX(1, 'ProductSprint Backlog'!$J68-'ProductSprint Backlog'!$I68), AND('ProductSprint Backlog'!$J68=T$2,'ProductSprint Backlog'!$I68=T$2), 'ProductSprint Backlog'!$F68, TRUE, 0)</f>
        <v>0</v>
      </c>
    </row>
    <row r="69" spans="2:20" x14ac:dyDescent="0.2">
      <c r="B69" s="4" cm="1">
        <f t="array" ref="B69">_xlfn.IFS('ProductSprint Backlog'!$F69="", "", AND('ProductSprint Backlog'!$J69&gt;B$2,'ProductSprint Backlog'!$I69&lt;=B$2), 'ProductSprint Backlog'!$F69 / MAX(1, 'ProductSprint Backlog'!$J69-'ProductSprint Backlog'!$I69), AND('ProductSprint Backlog'!$J69=B$2,'ProductSprint Backlog'!$I69=B$2), 'ProductSprint Backlog'!$F69, TRUE, 0)</f>
        <v>0</v>
      </c>
      <c r="C69" s="4" cm="1">
        <f t="array" ref="C69">_xlfn.IFS('ProductSprint Backlog'!$F69="", "", AND('ProductSprint Backlog'!$J69&gt;C$2,'ProductSprint Backlog'!$I69&lt;=C$2), 'ProductSprint Backlog'!$F69 / MAX(1, 'ProductSprint Backlog'!$J69-'ProductSprint Backlog'!$I69), AND('ProductSprint Backlog'!$J69=C$2,'ProductSprint Backlog'!$I69=C$2), 'ProductSprint Backlog'!$F69, TRUE, 0)</f>
        <v>0</v>
      </c>
      <c r="D69" s="4" cm="1">
        <f t="array" ref="D69">_xlfn.IFS('ProductSprint Backlog'!$F69="", "", AND('ProductSprint Backlog'!$J69&gt;D$2,'ProductSprint Backlog'!$I69&lt;=D$2), 'ProductSprint Backlog'!$F69 / MAX(1, 'ProductSprint Backlog'!$J69-'ProductSprint Backlog'!$I69), AND('ProductSprint Backlog'!$J69=D$2,'ProductSprint Backlog'!$I69=D$2), 'ProductSprint Backlog'!$F69, TRUE, 0)</f>
        <v>0</v>
      </c>
      <c r="E69" s="4" cm="1">
        <f t="array" ref="E69">_xlfn.IFS('ProductSprint Backlog'!$F69="", "", AND('ProductSprint Backlog'!$J69&gt;E$2,'ProductSprint Backlog'!$I69&lt;=E$2), 'ProductSprint Backlog'!$F69 / MAX(1, 'ProductSprint Backlog'!$J69-'ProductSprint Backlog'!$I69), AND('ProductSprint Backlog'!$J69=E$2,'ProductSprint Backlog'!$I69=E$2), 'ProductSprint Backlog'!$F69, TRUE, 0)</f>
        <v>0</v>
      </c>
      <c r="F69" s="4" cm="1">
        <f t="array" ref="F69">_xlfn.IFS('ProductSprint Backlog'!$F69="", "", AND('ProductSprint Backlog'!$J69&gt;F$2,'ProductSprint Backlog'!$I69&lt;=F$2), 'ProductSprint Backlog'!$F69 / MAX(1, 'ProductSprint Backlog'!$J69-'ProductSprint Backlog'!$I69), AND('ProductSprint Backlog'!$J69=F$2,'ProductSprint Backlog'!$I69=F$2), 'ProductSprint Backlog'!$F69, TRUE, 0)</f>
        <v>0</v>
      </c>
      <c r="G69" s="4" cm="1">
        <f t="array" ref="G69">_xlfn.IFS('ProductSprint Backlog'!$F69="", "", AND('ProductSprint Backlog'!$J69&gt;G$2,'ProductSprint Backlog'!$I69&lt;=G$2), 'ProductSprint Backlog'!$F69 / MAX(1, 'ProductSprint Backlog'!$J69-'ProductSprint Backlog'!$I69), AND('ProductSprint Backlog'!$J69=G$2,'ProductSprint Backlog'!$I69=G$2), 'ProductSprint Backlog'!$F69, TRUE, 0)</f>
        <v>0</v>
      </c>
      <c r="H69" s="4" cm="1">
        <f t="array" ref="H69">_xlfn.IFS('ProductSprint Backlog'!$F69="", "", AND('ProductSprint Backlog'!$J69&gt;H$2,'ProductSprint Backlog'!$I69&lt;=H$2), 'ProductSprint Backlog'!$F69 / MAX(1, 'ProductSprint Backlog'!$J69-'ProductSprint Backlog'!$I69), AND('ProductSprint Backlog'!$J69=H$2,'ProductSprint Backlog'!$I69=H$2), 'ProductSprint Backlog'!$F69, TRUE, 0)</f>
        <v>0</v>
      </c>
      <c r="I69" s="4" cm="1">
        <f t="array" ref="I69">_xlfn.IFS('ProductSprint Backlog'!$F69="", "", AND('ProductSprint Backlog'!$J69&gt;I$2,'ProductSprint Backlog'!$I69&lt;=I$2), 'ProductSprint Backlog'!$F69 / MAX(1, 'ProductSprint Backlog'!$J69-'ProductSprint Backlog'!$I69), AND('ProductSprint Backlog'!$J69=I$2,'ProductSprint Backlog'!$I69=I$2), 'ProductSprint Backlog'!$F69, TRUE, 0)</f>
        <v>0</v>
      </c>
      <c r="J69" s="4" cm="1">
        <f t="array" ref="J69">_xlfn.IFS('ProductSprint Backlog'!$F69="", "", AND('ProductSprint Backlog'!$J69&gt;J$2,'ProductSprint Backlog'!$I69&lt;=J$2), 'ProductSprint Backlog'!$F69 / MAX(1, 'ProductSprint Backlog'!$J69-'ProductSprint Backlog'!$I69), AND('ProductSprint Backlog'!$J69=J$2,'ProductSprint Backlog'!$I69=J$2), 'ProductSprint Backlog'!$F69, TRUE, 0)</f>
        <v>0</v>
      </c>
      <c r="K69" s="4" cm="1">
        <f t="array" ref="K69">_xlfn.IFS('ProductSprint Backlog'!$F69="", "", AND('ProductSprint Backlog'!$J69&gt;K$2,'ProductSprint Backlog'!$I69&lt;=K$2), 'ProductSprint Backlog'!$F69 / MAX(1, 'ProductSprint Backlog'!$J69-'ProductSprint Backlog'!$I69), AND('ProductSprint Backlog'!$J69=K$2,'ProductSprint Backlog'!$I69=K$2), 'ProductSprint Backlog'!$F69, TRUE, 0)</f>
        <v>0</v>
      </c>
      <c r="L69" s="4" cm="1">
        <f t="array" ref="L69">_xlfn.IFS('ProductSprint Backlog'!$F69="", "", AND('ProductSprint Backlog'!$J69&gt;L$2,'ProductSprint Backlog'!$I69&lt;=L$2), 'ProductSprint Backlog'!$F69 / MAX(1, 'ProductSprint Backlog'!$J69-'ProductSprint Backlog'!$I69), AND('ProductSprint Backlog'!$J69=L$2,'ProductSprint Backlog'!$I69=L$2), 'ProductSprint Backlog'!$F69, TRUE, 0)</f>
        <v>0</v>
      </c>
      <c r="M69" s="4" cm="1">
        <f t="array" ref="M69">_xlfn.IFS('ProductSprint Backlog'!$F69="", "", AND('ProductSprint Backlog'!$J69&gt;M$2,'ProductSprint Backlog'!$I69&lt;=M$2), 'ProductSprint Backlog'!$F69 / MAX(1, 'ProductSprint Backlog'!$J69-'ProductSprint Backlog'!$I69), AND('ProductSprint Backlog'!$J69=M$2,'ProductSprint Backlog'!$I69=M$2), 'ProductSprint Backlog'!$F69, TRUE, 0)</f>
        <v>0</v>
      </c>
      <c r="N69" s="4" cm="1">
        <f t="array" ref="N69">_xlfn.IFS('ProductSprint Backlog'!$F69="", "", AND('ProductSprint Backlog'!$J69&gt;N$2,'ProductSprint Backlog'!$I69&lt;=N$2), 'ProductSprint Backlog'!$F69 / MAX(1, 'ProductSprint Backlog'!$J69-'ProductSprint Backlog'!$I69), AND('ProductSprint Backlog'!$J69=N$2,'ProductSprint Backlog'!$I69=N$2), 'ProductSprint Backlog'!$F69, TRUE, 0)</f>
        <v>0</v>
      </c>
      <c r="O69" s="4" cm="1">
        <f t="array" ref="O69">_xlfn.IFS('ProductSprint Backlog'!$F69="", "", AND('ProductSprint Backlog'!$J69&gt;O$2,'ProductSprint Backlog'!$I69&lt;=O$2), 'ProductSprint Backlog'!$F69 / MAX(1, 'ProductSprint Backlog'!$J69-'ProductSprint Backlog'!$I69), AND('ProductSprint Backlog'!$J69=O$2,'ProductSprint Backlog'!$I69=O$2), 'ProductSprint Backlog'!$F69, TRUE, 0)</f>
        <v>0</v>
      </c>
      <c r="P69" s="4" cm="1">
        <f t="array" ref="P69">_xlfn.IFS('ProductSprint Backlog'!$F69="", "", AND('ProductSprint Backlog'!$J69&gt;P$2,'ProductSprint Backlog'!$I69&lt;=P$2), 'ProductSprint Backlog'!$F69 / MAX(1, 'ProductSprint Backlog'!$J69-'ProductSprint Backlog'!$I69), AND('ProductSprint Backlog'!$J69=P$2,'ProductSprint Backlog'!$I69=P$2), 'ProductSprint Backlog'!$F69, TRUE, 0)</f>
        <v>0</v>
      </c>
      <c r="Q69" s="4" cm="1">
        <f t="array" ref="Q69">_xlfn.IFS('ProductSprint Backlog'!$F69="", "", AND('ProductSprint Backlog'!$J69&gt;Q$2,'ProductSprint Backlog'!$I69&lt;=Q$2), 'ProductSprint Backlog'!$F69 / MAX(1, 'ProductSprint Backlog'!$J69-'ProductSprint Backlog'!$I69), AND('ProductSprint Backlog'!$J69=Q$2,'ProductSprint Backlog'!$I69=Q$2), 'ProductSprint Backlog'!$F69, TRUE, 0)</f>
        <v>0</v>
      </c>
      <c r="R69" s="4" cm="1">
        <f t="array" ref="R69">_xlfn.IFS('ProductSprint Backlog'!$F69="", "", AND('ProductSprint Backlog'!$J69&gt;R$2,'ProductSprint Backlog'!$I69&lt;=R$2), 'ProductSprint Backlog'!$F69 / MAX(1, 'ProductSprint Backlog'!$J69-'ProductSprint Backlog'!$I69), AND('ProductSprint Backlog'!$J69=R$2,'ProductSprint Backlog'!$I69=R$2), 'ProductSprint Backlog'!$F69, TRUE, 0)</f>
        <v>0</v>
      </c>
      <c r="S69" s="4" cm="1">
        <f t="array" ref="S69">_xlfn.IFS('ProductSprint Backlog'!$F69="", "", AND('ProductSprint Backlog'!$J69&gt;S$2,'ProductSprint Backlog'!$I69&lt;=S$2), 'ProductSprint Backlog'!$F69 / MAX(1, 'ProductSprint Backlog'!$J69-'ProductSprint Backlog'!$I69), AND('ProductSprint Backlog'!$J69=S$2,'ProductSprint Backlog'!$I69=S$2), 'ProductSprint Backlog'!$F69, TRUE, 0)</f>
        <v>0</v>
      </c>
      <c r="T69" s="4" cm="1">
        <f t="array" ref="T69">_xlfn.IFS('ProductSprint Backlog'!$F69="", "", AND('ProductSprint Backlog'!$J69&gt;T$2,'ProductSprint Backlog'!$I69&lt;=T$2), 'ProductSprint Backlog'!$F69 / MAX(1, 'ProductSprint Backlog'!$J69-'ProductSprint Backlog'!$I69), AND('ProductSprint Backlog'!$J69=T$2,'ProductSprint Backlog'!$I69=T$2), 'ProductSprint Backlog'!$F69, TRUE, 0)</f>
        <v>0</v>
      </c>
    </row>
    <row r="70" spans="2:20" x14ac:dyDescent="0.2">
      <c r="B70" s="4" cm="1">
        <f t="array" ref="B70">_xlfn.IFS('ProductSprint Backlog'!$F70="", "", AND('ProductSprint Backlog'!$J70&gt;B$2,'ProductSprint Backlog'!$I70&lt;=B$2), 'ProductSprint Backlog'!$F70 / MAX(1, 'ProductSprint Backlog'!$J70-'ProductSprint Backlog'!$I70), AND('ProductSprint Backlog'!$J70=B$2,'ProductSprint Backlog'!$I70=B$2), 'ProductSprint Backlog'!$F70, TRUE, 0)</f>
        <v>0</v>
      </c>
      <c r="C70" s="4" cm="1">
        <f t="array" ref="C70">_xlfn.IFS('ProductSprint Backlog'!$F70="", "", AND('ProductSprint Backlog'!$J70&gt;C$2,'ProductSprint Backlog'!$I70&lt;=C$2), 'ProductSprint Backlog'!$F70 / MAX(1, 'ProductSprint Backlog'!$J70-'ProductSprint Backlog'!$I70), AND('ProductSprint Backlog'!$J70=C$2,'ProductSprint Backlog'!$I70=C$2), 'ProductSprint Backlog'!$F70, TRUE, 0)</f>
        <v>0</v>
      </c>
      <c r="D70" s="4" cm="1">
        <f t="array" ref="D70">_xlfn.IFS('ProductSprint Backlog'!$F70="", "", AND('ProductSprint Backlog'!$J70&gt;D$2,'ProductSprint Backlog'!$I70&lt;=D$2), 'ProductSprint Backlog'!$F70 / MAX(1, 'ProductSprint Backlog'!$J70-'ProductSprint Backlog'!$I70), AND('ProductSprint Backlog'!$J70=D$2,'ProductSprint Backlog'!$I70=D$2), 'ProductSprint Backlog'!$F70, TRUE, 0)</f>
        <v>0</v>
      </c>
      <c r="E70" s="4" cm="1">
        <f t="array" ref="E70">_xlfn.IFS('ProductSprint Backlog'!$F70="", "", AND('ProductSprint Backlog'!$J70&gt;E$2,'ProductSprint Backlog'!$I70&lt;=E$2), 'ProductSprint Backlog'!$F70 / MAX(1, 'ProductSprint Backlog'!$J70-'ProductSprint Backlog'!$I70), AND('ProductSprint Backlog'!$J70=E$2,'ProductSprint Backlog'!$I70=E$2), 'ProductSprint Backlog'!$F70, TRUE, 0)</f>
        <v>0</v>
      </c>
      <c r="F70" s="4" cm="1">
        <f t="array" ref="F70">_xlfn.IFS('ProductSprint Backlog'!$F70="", "", AND('ProductSprint Backlog'!$J70&gt;F$2,'ProductSprint Backlog'!$I70&lt;=F$2), 'ProductSprint Backlog'!$F70 / MAX(1, 'ProductSprint Backlog'!$J70-'ProductSprint Backlog'!$I70), AND('ProductSprint Backlog'!$J70=F$2,'ProductSprint Backlog'!$I70=F$2), 'ProductSprint Backlog'!$F70, TRUE, 0)</f>
        <v>0</v>
      </c>
      <c r="G70" s="4" cm="1">
        <f t="array" ref="G70">_xlfn.IFS('ProductSprint Backlog'!$F70="", "", AND('ProductSprint Backlog'!$J70&gt;G$2,'ProductSprint Backlog'!$I70&lt;=G$2), 'ProductSprint Backlog'!$F70 / MAX(1, 'ProductSprint Backlog'!$J70-'ProductSprint Backlog'!$I70), AND('ProductSprint Backlog'!$J70=G$2,'ProductSprint Backlog'!$I70=G$2), 'ProductSprint Backlog'!$F70, TRUE, 0)</f>
        <v>0</v>
      </c>
      <c r="H70" s="4" cm="1">
        <f t="array" ref="H70">_xlfn.IFS('ProductSprint Backlog'!$F70="", "", AND('ProductSprint Backlog'!$J70&gt;H$2,'ProductSprint Backlog'!$I70&lt;=H$2), 'ProductSprint Backlog'!$F70 / MAX(1, 'ProductSprint Backlog'!$J70-'ProductSprint Backlog'!$I70), AND('ProductSprint Backlog'!$J70=H$2,'ProductSprint Backlog'!$I70=H$2), 'ProductSprint Backlog'!$F70, TRUE, 0)</f>
        <v>0</v>
      </c>
      <c r="I70" s="4" cm="1">
        <f t="array" ref="I70">_xlfn.IFS('ProductSprint Backlog'!$F70="", "", AND('ProductSprint Backlog'!$J70&gt;I$2,'ProductSprint Backlog'!$I70&lt;=I$2), 'ProductSprint Backlog'!$F70 / MAX(1, 'ProductSprint Backlog'!$J70-'ProductSprint Backlog'!$I70), AND('ProductSprint Backlog'!$J70=I$2,'ProductSprint Backlog'!$I70=I$2), 'ProductSprint Backlog'!$F70, TRUE, 0)</f>
        <v>0</v>
      </c>
      <c r="J70" s="4" cm="1">
        <f t="array" ref="J70">_xlfn.IFS('ProductSprint Backlog'!$F70="", "", AND('ProductSprint Backlog'!$J70&gt;J$2,'ProductSprint Backlog'!$I70&lt;=J$2), 'ProductSprint Backlog'!$F70 / MAX(1, 'ProductSprint Backlog'!$J70-'ProductSprint Backlog'!$I70), AND('ProductSprint Backlog'!$J70=J$2,'ProductSprint Backlog'!$I70=J$2), 'ProductSprint Backlog'!$F70, TRUE, 0)</f>
        <v>0</v>
      </c>
      <c r="K70" s="4" cm="1">
        <f t="array" ref="K70">_xlfn.IFS('ProductSprint Backlog'!$F70="", "", AND('ProductSprint Backlog'!$J70&gt;K$2,'ProductSprint Backlog'!$I70&lt;=K$2), 'ProductSprint Backlog'!$F70 / MAX(1, 'ProductSprint Backlog'!$J70-'ProductSprint Backlog'!$I70), AND('ProductSprint Backlog'!$J70=K$2,'ProductSprint Backlog'!$I70=K$2), 'ProductSprint Backlog'!$F70, TRUE, 0)</f>
        <v>0</v>
      </c>
      <c r="L70" s="4" cm="1">
        <f t="array" ref="L70">_xlfn.IFS('ProductSprint Backlog'!$F70="", "", AND('ProductSprint Backlog'!$J70&gt;L$2,'ProductSprint Backlog'!$I70&lt;=L$2), 'ProductSprint Backlog'!$F70 / MAX(1, 'ProductSprint Backlog'!$J70-'ProductSprint Backlog'!$I70), AND('ProductSprint Backlog'!$J70=L$2,'ProductSprint Backlog'!$I70=L$2), 'ProductSprint Backlog'!$F70, TRUE, 0)</f>
        <v>0</v>
      </c>
      <c r="M70" s="4" cm="1">
        <f t="array" ref="M70">_xlfn.IFS('ProductSprint Backlog'!$F70="", "", AND('ProductSprint Backlog'!$J70&gt;M$2,'ProductSprint Backlog'!$I70&lt;=M$2), 'ProductSprint Backlog'!$F70 / MAX(1, 'ProductSprint Backlog'!$J70-'ProductSprint Backlog'!$I70), AND('ProductSprint Backlog'!$J70=M$2,'ProductSprint Backlog'!$I70=M$2), 'ProductSprint Backlog'!$F70, TRUE, 0)</f>
        <v>0</v>
      </c>
      <c r="N70" s="4" cm="1">
        <f t="array" ref="N70">_xlfn.IFS('ProductSprint Backlog'!$F70="", "", AND('ProductSprint Backlog'!$J70&gt;N$2,'ProductSprint Backlog'!$I70&lt;=N$2), 'ProductSprint Backlog'!$F70 / MAX(1, 'ProductSprint Backlog'!$J70-'ProductSprint Backlog'!$I70), AND('ProductSprint Backlog'!$J70=N$2,'ProductSprint Backlog'!$I70=N$2), 'ProductSprint Backlog'!$F70, TRUE, 0)</f>
        <v>0</v>
      </c>
      <c r="O70" s="4" cm="1">
        <f t="array" ref="O70">_xlfn.IFS('ProductSprint Backlog'!$F70="", "", AND('ProductSprint Backlog'!$J70&gt;O$2,'ProductSprint Backlog'!$I70&lt;=O$2), 'ProductSprint Backlog'!$F70 / MAX(1, 'ProductSprint Backlog'!$J70-'ProductSprint Backlog'!$I70), AND('ProductSprint Backlog'!$J70=O$2,'ProductSprint Backlog'!$I70=O$2), 'ProductSprint Backlog'!$F70, TRUE, 0)</f>
        <v>0</v>
      </c>
      <c r="P70" s="4" cm="1">
        <f t="array" ref="P70">_xlfn.IFS('ProductSprint Backlog'!$F70="", "", AND('ProductSprint Backlog'!$J70&gt;P$2,'ProductSprint Backlog'!$I70&lt;=P$2), 'ProductSprint Backlog'!$F70 / MAX(1, 'ProductSprint Backlog'!$J70-'ProductSprint Backlog'!$I70), AND('ProductSprint Backlog'!$J70=P$2,'ProductSprint Backlog'!$I70=P$2), 'ProductSprint Backlog'!$F70, TRUE, 0)</f>
        <v>0</v>
      </c>
      <c r="Q70" s="4" cm="1">
        <f t="array" ref="Q70">_xlfn.IFS('ProductSprint Backlog'!$F70="", "", AND('ProductSprint Backlog'!$J70&gt;Q$2,'ProductSprint Backlog'!$I70&lt;=Q$2), 'ProductSprint Backlog'!$F70 / MAX(1, 'ProductSprint Backlog'!$J70-'ProductSprint Backlog'!$I70), AND('ProductSprint Backlog'!$J70=Q$2,'ProductSprint Backlog'!$I70=Q$2), 'ProductSprint Backlog'!$F70, TRUE, 0)</f>
        <v>0</v>
      </c>
      <c r="R70" s="4" cm="1">
        <f t="array" ref="R70">_xlfn.IFS('ProductSprint Backlog'!$F70="", "", AND('ProductSprint Backlog'!$J70&gt;R$2,'ProductSprint Backlog'!$I70&lt;=R$2), 'ProductSprint Backlog'!$F70 / MAX(1, 'ProductSprint Backlog'!$J70-'ProductSprint Backlog'!$I70), AND('ProductSprint Backlog'!$J70=R$2,'ProductSprint Backlog'!$I70=R$2), 'ProductSprint Backlog'!$F70, TRUE, 0)</f>
        <v>0</v>
      </c>
      <c r="S70" s="4" cm="1">
        <f t="array" ref="S70">_xlfn.IFS('ProductSprint Backlog'!$F70="", "", AND('ProductSprint Backlog'!$J70&gt;S$2,'ProductSprint Backlog'!$I70&lt;=S$2), 'ProductSprint Backlog'!$F70 / MAX(1, 'ProductSprint Backlog'!$J70-'ProductSprint Backlog'!$I70), AND('ProductSprint Backlog'!$J70=S$2,'ProductSprint Backlog'!$I70=S$2), 'ProductSprint Backlog'!$F70, TRUE, 0)</f>
        <v>0</v>
      </c>
      <c r="T70" s="4" cm="1">
        <f t="array" ref="T70">_xlfn.IFS('ProductSprint Backlog'!$F70="", "", AND('ProductSprint Backlog'!$J70&gt;T$2,'ProductSprint Backlog'!$I70&lt;=T$2), 'ProductSprint Backlog'!$F70 / MAX(1, 'ProductSprint Backlog'!$J70-'ProductSprint Backlog'!$I70), AND('ProductSprint Backlog'!$J70=T$2,'ProductSprint Backlog'!$I70=T$2), 'ProductSprint Backlog'!$F70, TRUE, 0)</f>
        <v>0</v>
      </c>
    </row>
    <row r="71" spans="2:20" x14ac:dyDescent="0.2">
      <c r="B71" s="4" cm="1">
        <f t="array" ref="B71">_xlfn.IFS('ProductSprint Backlog'!$F71="", "", AND('ProductSprint Backlog'!$J71&gt;B$2,'ProductSprint Backlog'!$I71&lt;=B$2), 'ProductSprint Backlog'!$F71 / MAX(1, 'ProductSprint Backlog'!$J71-'ProductSprint Backlog'!$I71), AND('ProductSprint Backlog'!$J71=B$2,'ProductSprint Backlog'!$I71=B$2), 'ProductSprint Backlog'!$F71, TRUE, 0)</f>
        <v>0</v>
      </c>
      <c r="C71" s="4" cm="1">
        <f t="array" ref="C71">_xlfn.IFS('ProductSprint Backlog'!$F71="", "", AND('ProductSprint Backlog'!$J71&gt;C$2,'ProductSprint Backlog'!$I71&lt;=C$2), 'ProductSprint Backlog'!$F71 / MAX(1, 'ProductSprint Backlog'!$J71-'ProductSprint Backlog'!$I71), AND('ProductSprint Backlog'!$J71=C$2,'ProductSprint Backlog'!$I71=C$2), 'ProductSprint Backlog'!$F71, TRUE, 0)</f>
        <v>0</v>
      </c>
      <c r="D71" s="4" cm="1">
        <f t="array" ref="D71">_xlfn.IFS('ProductSprint Backlog'!$F71="", "", AND('ProductSprint Backlog'!$J71&gt;D$2,'ProductSprint Backlog'!$I71&lt;=D$2), 'ProductSprint Backlog'!$F71 / MAX(1, 'ProductSprint Backlog'!$J71-'ProductSprint Backlog'!$I71), AND('ProductSprint Backlog'!$J71=D$2,'ProductSprint Backlog'!$I71=D$2), 'ProductSprint Backlog'!$F71, TRUE, 0)</f>
        <v>0</v>
      </c>
      <c r="E71" s="4" cm="1">
        <f t="array" ref="E71">_xlfn.IFS('ProductSprint Backlog'!$F71="", "", AND('ProductSprint Backlog'!$J71&gt;E$2,'ProductSprint Backlog'!$I71&lt;=E$2), 'ProductSprint Backlog'!$F71 / MAX(1, 'ProductSprint Backlog'!$J71-'ProductSprint Backlog'!$I71), AND('ProductSprint Backlog'!$J71=E$2,'ProductSprint Backlog'!$I71=E$2), 'ProductSprint Backlog'!$F71, TRUE, 0)</f>
        <v>0</v>
      </c>
      <c r="F71" s="4" cm="1">
        <f t="array" ref="F71">_xlfn.IFS('ProductSprint Backlog'!$F71="", "", AND('ProductSprint Backlog'!$J71&gt;F$2,'ProductSprint Backlog'!$I71&lt;=F$2), 'ProductSprint Backlog'!$F71 / MAX(1, 'ProductSprint Backlog'!$J71-'ProductSprint Backlog'!$I71), AND('ProductSprint Backlog'!$J71=F$2,'ProductSprint Backlog'!$I71=F$2), 'ProductSprint Backlog'!$F71, TRUE, 0)</f>
        <v>0</v>
      </c>
      <c r="G71" s="4" cm="1">
        <f t="array" ref="G71">_xlfn.IFS('ProductSprint Backlog'!$F71="", "", AND('ProductSprint Backlog'!$J71&gt;G$2,'ProductSprint Backlog'!$I71&lt;=G$2), 'ProductSprint Backlog'!$F71 / MAX(1, 'ProductSprint Backlog'!$J71-'ProductSprint Backlog'!$I71), AND('ProductSprint Backlog'!$J71=G$2,'ProductSprint Backlog'!$I71=G$2), 'ProductSprint Backlog'!$F71, TRUE, 0)</f>
        <v>0</v>
      </c>
      <c r="H71" s="4" cm="1">
        <f t="array" ref="H71">_xlfn.IFS('ProductSprint Backlog'!$F71="", "", AND('ProductSprint Backlog'!$J71&gt;H$2,'ProductSprint Backlog'!$I71&lt;=H$2), 'ProductSprint Backlog'!$F71 / MAX(1, 'ProductSprint Backlog'!$J71-'ProductSprint Backlog'!$I71), AND('ProductSprint Backlog'!$J71=H$2,'ProductSprint Backlog'!$I71=H$2), 'ProductSprint Backlog'!$F71, TRUE, 0)</f>
        <v>0</v>
      </c>
      <c r="I71" s="4" cm="1">
        <f t="array" ref="I71">_xlfn.IFS('ProductSprint Backlog'!$F71="", "", AND('ProductSprint Backlog'!$J71&gt;I$2,'ProductSprint Backlog'!$I71&lt;=I$2), 'ProductSprint Backlog'!$F71 / MAX(1, 'ProductSprint Backlog'!$J71-'ProductSprint Backlog'!$I71), AND('ProductSprint Backlog'!$J71=I$2,'ProductSprint Backlog'!$I71=I$2), 'ProductSprint Backlog'!$F71, TRUE, 0)</f>
        <v>0</v>
      </c>
      <c r="J71" s="4" cm="1">
        <f t="array" ref="J71">_xlfn.IFS('ProductSprint Backlog'!$F71="", "", AND('ProductSprint Backlog'!$J71&gt;J$2,'ProductSprint Backlog'!$I71&lt;=J$2), 'ProductSprint Backlog'!$F71 / MAX(1, 'ProductSprint Backlog'!$J71-'ProductSprint Backlog'!$I71), AND('ProductSprint Backlog'!$J71=J$2,'ProductSprint Backlog'!$I71=J$2), 'ProductSprint Backlog'!$F71, TRUE, 0)</f>
        <v>0</v>
      </c>
      <c r="K71" s="4" cm="1">
        <f t="array" ref="K71">_xlfn.IFS('ProductSprint Backlog'!$F71="", "", AND('ProductSprint Backlog'!$J71&gt;K$2,'ProductSprint Backlog'!$I71&lt;=K$2), 'ProductSprint Backlog'!$F71 / MAX(1, 'ProductSprint Backlog'!$J71-'ProductSprint Backlog'!$I71), AND('ProductSprint Backlog'!$J71=K$2,'ProductSprint Backlog'!$I71=K$2), 'ProductSprint Backlog'!$F71, TRUE, 0)</f>
        <v>0</v>
      </c>
      <c r="L71" s="4" cm="1">
        <f t="array" ref="L71">_xlfn.IFS('ProductSprint Backlog'!$F71="", "", AND('ProductSprint Backlog'!$J71&gt;L$2,'ProductSprint Backlog'!$I71&lt;=L$2), 'ProductSprint Backlog'!$F71 / MAX(1, 'ProductSprint Backlog'!$J71-'ProductSprint Backlog'!$I71), AND('ProductSprint Backlog'!$J71=L$2,'ProductSprint Backlog'!$I71=L$2), 'ProductSprint Backlog'!$F71, TRUE, 0)</f>
        <v>0</v>
      </c>
      <c r="M71" s="4" cm="1">
        <f t="array" ref="M71">_xlfn.IFS('ProductSprint Backlog'!$F71="", "", AND('ProductSprint Backlog'!$J71&gt;M$2,'ProductSprint Backlog'!$I71&lt;=M$2), 'ProductSprint Backlog'!$F71 / MAX(1, 'ProductSprint Backlog'!$J71-'ProductSprint Backlog'!$I71), AND('ProductSprint Backlog'!$J71=M$2,'ProductSprint Backlog'!$I71=M$2), 'ProductSprint Backlog'!$F71, TRUE, 0)</f>
        <v>0</v>
      </c>
      <c r="N71" s="4" cm="1">
        <f t="array" ref="N71">_xlfn.IFS('ProductSprint Backlog'!$F71="", "", AND('ProductSprint Backlog'!$J71&gt;N$2,'ProductSprint Backlog'!$I71&lt;=N$2), 'ProductSprint Backlog'!$F71 / MAX(1, 'ProductSprint Backlog'!$J71-'ProductSprint Backlog'!$I71), AND('ProductSprint Backlog'!$J71=N$2,'ProductSprint Backlog'!$I71=N$2), 'ProductSprint Backlog'!$F71, TRUE, 0)</f>
        <v>0</v>
      </c>
      <c r="O71" s="4" cm="1">
        <f t="array" ref="O71">_xlfn.IFS('ProductSprint Backlog'!$F71="", "", AND('ProductSprint Backlog'!$J71&gt;O$2,'ProductSprint Backlog'!$I71&lt;=O$2), 'ProductSprint Backlog'!$F71 / MAX(1, 'ProductSprint Backlog'!$J71-'ProductSprint Backlog'!$I71), AND('ProductSprint Backlog'!$J71=O$2,'ProductSprint Backlog'!$I71=O$2), 'ProductSprint Backlog'!$F71, TRUE, 0)</f>
        <v>0</v>
      </c>
      <c r="P71" s="4" cm="1">
        <f t="array" ref="P71">_xlfn.IFS('ProductSprint Backlog'!$F71="", "", AND('ProductSprint Backlog'!$J71&gt;P$2,'ProductSprint Backlog'!$I71&lt;=P$2), 'ProductSprint Backlog'!$F71 / MAX(1, 'ProductSprint Backlog'!$J71-'ProductSprint Backlog'!$I71), AND('ProductSprint Backlog'!$J71=P$2,'ProductSprint Backlog'!$I71=P$2), 'ProductSprint Backlog'!$F71, TRUE, 0)</f>
        <v>0</v>
      </c>
      <c r="Q71" s="4" cm="1">
        <f t="array" ref="Q71">_xlfn.IFS('ProductSprint Backlog'!$F71="", "", AND('ProductSprint Backlog'!$J71&gt;Q$2,'ProductSprint Backlog'!$I71&lt;=Q$2), 'ProductSprint Backlog'!$F71 / MAX(1, 'ProductSprint Backlog'!$J71-'ProductSprint Backlog'!$I71), AND('ProductSprint Backlog'!$J71=Q$2,'ProductSprint Backlog'!$I71=Q$2), 'ProductSprint Backlog'!$F71, TRUE, 0)</f>
        <v>0</v>
      </c>
      <c r="R71" s="4" cm="1">
        <f t="array" ref="R71">_xlfn.IFS('ProductSprint Backlog'!$F71="", "", AND('ProductSprint Backlog'!$J71&gt;R$2,'ProductSprint Backlog'!$I71&lt;=R$2), 'ProductSprint Backlog'!$F71 / MAX(1, 'ProductSprint Backlog'!$J71-'ProductSprint Backlog'!$I71), AND('ProductSprint Backlog'!$J71=R$2,'ProductSprint Backlog'!$I71=R$2), 'ProductSprint Backlog'!$F71, TRUE, 0)</f>
        <v>0</v>
      </c>
      <c r="S71" s="4" cm="1">
        <f t="array" ref="S71">_xlfn.IFS('ProductSprint Backlog'!$F71="", "", AND('ProductSprint Backlog'!$J71&gt;S$2,'ProductSprint Backlog'!$I71&lt;=S$2), 'ProductSprint Backlog'!$F71 / MAX(1, 'ProductSprint Backlog'!$J71-'ProductSprint Backlog'!$I71), AND('ProductSprint Backlog'!$J71=S$2,'ProductSprint Backlog'!$I71=S$2), 'ProductSprint Backlog'!$F71, TRUE, 0)</f>
        <v>0</v>
      </c>
      <c r="T71" s="4" cm="1">
        <f t="array" ref="T71">_xlfn.IFS('ProductSprint Backlog'!$F71="", "", AND('ProductSprint Backlog'!$J71&gt;T$2,'ProductSprint Backlog'!$I71&lt;=T$2), 'ProductSprint Backlog'!$F71 / MAX(1, 'ProductSprint Backlog'!$J71-'ProductSprint Backlog'!$I71), AND('ProductSprint Backlog'!$J71=T$2,'ProductSprint Backlog'!$I71=T$2), 'ProductSprint Backlog'!$F71, TRUE, 0)</f>
        <v>0</v>
      </c>
    </row>
    <row r="72" spans="2:20" x14ac:dyDescent="0.2">
      <c r="B72" s="4" cm="1">
        <f t="array" ref="B72">_xlfn.IFS('ProductSprint Backlog'!$F72="", "", AND('ProductSprint Backlog'!$J72&gt;B$2,'ProductSprint Backlog'!$I72&lt;=B$2), 'ProductSprint Backlog'!$F72 / MAX(1, 'ProductSprint Backlog'!$J72-'ProductSprint Backlog'!$I72), AND('ProductSprint Backlog'!$J72=B$2,'ProductSprint Backlog'!$I72=B$2), 'ProductSprint Backlog'!$F72, TRUE, 0)</f>
        <v>0</v>
      </c>
      <c r="C72" s="4" cm="1">
        <f t="array" ref="C72">_xlfn.IFS('ProductSprint Backlog'!$F72="", "", AND('ProductSprint Backlog'!$J72&gt;C$2,'ProductSprint Backlog'!$I72&lt;=C$2), 'ProductSprint Backlog'!$F72 / MAX(1, 'ProductSprint Backlog'!$J72-'ProductSprint Backlog'!$I72), AND('ProductSprint Backlog'!$J72=C$2,'ProductSprint Backlog'!$I72=C$2), 'ProductSprint Backlog'!$F72, TRUE, 0)</f>
        <v>0</v>
      </c>
      <c r="D72" s="4" cm="1">
        <f t="array" ref="D72">_xlfn.IFS('ProductSprint Backlog'!$F72="", "", AND('ProductSprint Backlog'!$J72&gt;D$2,'ProductSprint Backlog'!$I72&lt;=D$2), 'ProductSprint Backlog'!$F72 / MAX(1, 'ProductSprint Backlog'!$J72-'ProductSprint Backlog'!$I72), AND('ProductSprint Backlog'!$J72=D$2,'ProductSprint Backlog'!$I72=D$2), 'ProductSprint Backlog'!$F72, TRUE, 0)</f>
        <v>0</v>
      </c>
      <c r="E72" s="4" cm="1">
        <f t="array" ref="E72">_xlfn.IFS('ProductSprint Backlog'!$F72="", "", AND('ProductSprint Backlog'!$J72&gt;E$2,'ProductSprint Backlog'!$I72&lt;=E$2), 'ProductSprint Backlog'!$F72 / MAX(1, 'ProductSprint Backlog'!$J72-'ProductSprint Backlog'!$I72), AND('ProductSprint Backlog'!$J72=E$2,'ProductSprint Backlog'!$I72=E$2), 'ProductSprint Backlog'!$F72, TRUE, 0)</f>
        <v>0</v>
      </c>
      <c r="F72" s="4" cm="1">
        <f t="array" ref="F72">_xlfn.IFS('ProductSprint Backlog'!$F72="", "", AND('ProductSprint Backlog'!$J72&gt;F$2,'ProductSprint Backlog'!$I72&lt;=F$2), 'ProductSprint Backlog'!$F72 / MAX(1, 'ProductSprint Backlog'!$J72-'ProductSprint Backlog'!$I72), AND('ProductSprint Backlog'!$J72=F$2,'ProductSprint Backlog'!$I72=F$2), 'ProductSprint Backlog'!$F72, TRUE, 0)</f>
        <v>0</v>
      </c>
      <c r="G72" s="4" cm="1">
        <f t="array" ref="G72">_xlfn.IFS('ProductSprint Backlog'!$F72="", "", AND('ProductSprint Backlog'!$J72&gt;G$2,'ProductSprint Backlog'!$I72&lt;=G$2), 'ProductSprint Backlog'!$F72 / MAX(1, 'ProductSprint Backlog'!$J72-'ProductSprint Backlog'!$I72), AND('ProductSprint Backlog'!$J72=G$2,'ProductSprint Backlog'!$I72=G$2), 'ProductSprint Backlog'!$F72, TRUE, 0)</f>
        <v>0</v>
      </c>
      <c r="H72" s="4" cm="1">
        <f t="array" ref="H72">_xlfn.IFS('ProductSprint Backlog'!$F72="", "", AND('ProductSprint Backlog'!$J72&gt;H$2,'ProductSprint Backlog'!$I72&lt;=H$2), 'ProductSprint Backlog'!$F72 / MAX(1, 'ProductSprint Backlog'!$J72-'ProductSprint Backlog'!$I72), AND('ProductSprint Backlog'!$J72=H$2,'ProductSprint Backlog'!$I72=H$2), 'ProductSprint Backlog'!$F72, TRUE, 0)</f>
        <v>0</v>
      </c>
      <c r="I72" s="4" cm="1">
        <f t="array" ref="I72">_xlfn.IFS('ProductSprint Backlog'!$F72="", "", AND('ProductSprint Backlog'!$J72&gt;I$2,'ProductSprint Backlog'!$I72&lt;=I$2), 'ProductSprint Backlog'!$F72 / MAX(1, 'ProductSprint Backlog'!$J72-'ProductSprint Backlog'!$I72), AND('ProductSprint Backlog'!$J72=I$2,'ProductSprint Backlog'!$I72=I$2), 'ProductSprint Backlog'!$F72, TRUE, 0)</f>
        <v>0</v>
      </c>
      <c r="J72" s="4" cm="1">
        <f t="array" ref="J72">_xlfn.IFS('ProductSprint Backlog'!$F72="", "", AND('ProductSprint Backlog'!$J72&gt;J$2,'ProductSprint Backlog'!$I72&lt;=J$2), 'ProductSprint Backlog'!$F72 / MAX(1, 'ProductSprint Backlog'!$J72-'ProductSprint Backlog'!$I72), AND('ProductSprint Backlog'!$J72=J$2,'ProductSprint Backlog'!$I72=J$2), 'ProductSprint Backlog'!$F72, TRUE, 0)</f>
        <v>0</v>
      </c>
      <c r="K72" s="4" cm="1">
        <f t="array" ref="K72">_xlfn.IFS('ProductSprint Backlog'!$F72="", "", AND('ProductSprint Backlog'!$J72&gt;K$2,'ProductSprint Backlog'!$I72&lt;=K$2), 'ProductSprint Backlog'!$F72 / MAX(1, 'ProductSprint Backlog'!$J72-'ProductSprint Backlog'!$I72), AND('ProductSprint Backlog'!$J72=K$2,'ProductSprint Backlog'!$I72=K$2), 'ProductSprint Backlog'!$F72, TRUE, 0)</f>
        <v>0</v>
      </c>
      <c r="L72" s="4" cm="1">
        <f t="array" ref="L72">_xlfn.IFS('ProductSprint Backlog'!$F72="", "", AND('ProductSprint Backlog'!$J72&gt;L$2,'ProductSprint Backlog'!$I72&lt;=L$2), 'ProductSprint Backlog'!$F72 / MAX(1, 'ProductSprint Backlog'!$J72-'ProductSprint Backlog'!$I72), AND('ProductSprint Backlog'!$J72=L$2,'ProductSprint Backlog'!$I72=L$2), 'ProductSprint Backlog'!$F72, TRUE, 0)</f>
        <v>0</v>
      </c>
      <c r="M72" s="4" cm="1">
        <f t="array" ref="M72">_xlfn.IFS('ProductSprint Backlog'!$F72="", "", AND('ProductSprint Backlog'!$J72&gt;M$2,'ProductSprint Backlog'!$I72&lt;=M$2), 'ProductSprint Backlog'!$F72 / MAX(1, 'ProductSprint Backlog'!$J72-'ProductSprint Backlog'!$I72), AND('ProductSprint Backlog'!$J72=M$2,'ProductSprint Backlog'!$I72=M$2), 'ProductSprint Backlog'!$F72, TRUE, 0)</f>
        <v>0</v>
      </c>
      <c r="N72" s="4" cm="1">
        <f t="array" ref="N72">_xlfn.IFS('ProductSprint Backlog'!$F72="", "", AND('ProductSprint Backlog'!$J72&gt;N$2,'ProductSprint Backlog'!$I72&lt;=N$2), 'ProductSprint Backlog'!$F72 / MAX(1, 'ProductSprint Backlog'!$J72-'ProductSprint Backlog'!$I72), AND('ProductSprint Backlog'!$J72=N$2,'ProductSprint Backlog'!$I72=N$2), 'ProductSprint Backlog'!$F72, TRUE, 0)</f>
        <v>0</v>
      </c>
      <c r="O72" s="4" cm="1">
        <f t="array" ref="O72">_xlfn.IFS('ProductSprint Backlog'!$F72="", "", AND('ProductSprint Backlog'!$J72&gt;O$2,'ProductSprint Backlog'!$I72&lt;=O$2), 'ProductSprint Backlog'!$F72 / MAX(1, 'ProductSprint Backlog'!$J72-'ProductSprint Backlog'!$I72), AND('ProductSprint Backlog'!$J72=O$2,'ProductSprint Backlog'!$I72=O$2), 'ProductSprint Backlog'!$F72, TRUE, 0)</f>
        <v>0</v>
      </c>
      <c r="P72" s="4" cm="1">
        <f t="array" ref="P72">_xlfn.IFS('ProductSprint Backlog'!$F72="", "", AND('ProductSprint Backlog'!$J72&gt;P$2,'ProductSprint Backlog'!$I72&lt;=P$2), 'ProductSprint Backlog'!$F72 / MAX(1, 'ProductSprint Backlog'!$J72-'ProductSprint Backlog'!$I72), AND('ProductSprint Backlog'!$J72=P$2,'ProductSprint Backlog'!$I72=P$2), 'ProductSprint Backlog'!$F72, TRUE, 0)</f>
        <v>0</v>
      </c>
      <c r="Q72" s="4" cm="1">
        <f t="array" ref="Q72">_xlfn.IFS('ProductSprint Backlog'!$F72="", "", AND('ProductSprint Backlog'!$J72&gt;Q$2,'ProductSprint Backlog'!$I72&lt;=Q$2), 'ProductSprint Backlog'!$F72 / MAX(1, 'ProductSprint Backlog'!$J72-'ProductSprint Backlog'!$I72), AND('ProductSprint Backlog'!$J72=Q$2,'ProductSprint Backlog'!$I72=Q$2), 'ProductSprint Backlog'!$F72, TRUE, 0)</f>
        <v>0</v>
      </c>
      <c r="R72" s="4" cm="1">
        <f t="array" ref="R72">_xlfn.IFS('ProductSprint Backlog'!$F72="", "", AND('ProductSprint Backlog'!$J72&gt;R$2,'ProductSprint Backlog'!$I72&lt;=R$2), 'ProductSprint Backlog'!$F72 / MAX(1, 'ProductSprint Backlog'!$J72-'ProductSprint Backlog'!$I72), AND('ProductSprint Backlog'!$J72=R$2,'ProductSprint Backlog'!$I72=R$2), 'ProductSprint Backlog'!$F72, TRUE, 0)</f>
        <v>0</v>
      </c>
      <c r="S72" s="4" cm="1">
        <f t="array" ref="S72">_xlfn.IFS('ProductSprint Backlog'!$F72="", "", AND('ProductSprint Backlog'!$J72&gt;S$2,'ProductSprint Backlog'!$I72&lt;=S$2), 'ProductSprint Backlog'!$F72 / MAX(1, 'ProductSprint Backlog'!$J72-'ProductSprint Backlog'!$I72), AND('ProductSprint Backlog'!$J72=S$2,'ProductSprint Backlog'!$I72=S$2), 'ProductSprint Backlog'!$F72, TRUE, 0)</f>
        <v>0</v>
      </c>
      <c r="T72" s="4" cm="1">
        <f t="array" ref="T72">_xlfn.IFS('ProductSprint Backlog'!$F72="", "", AND('ProductSprint Backlog'!$J72&gt;T$2,'ProductSprint Backlog'!$I72&lt;=T$2), 'ProductSprint Backlog'!$F72 / MAX(1, 'ProductSprint Backlog'!$J72-'ProductSprint Backlog'!$I72), AND('ProductSprint Backlog'!$J72=T$2,'ProductSprint Backlog'!$I72=T$2), 'ProductSprint Backlog'!$F72, TRUE, 0)</f>
        <v>0</v>
      </c>
    </row>
    <row r="73" spans="2:20" x14ac:dyDescent="0.2">
      <c r="B73" s="4" t="str" cm="1">
        <f t="array" ref="B73">_xlfn.IFS('ProductSprint Backlog'!$F73="", "", AND('ProductSprint Backlog'!$J73&gt;B$2,'ProductSprint Backlog'!$I73&lt;=B$2), 'ProductSprint Backlog'!$F73 / MAX(1, 'ProductSprint Backlog'!$J73-'ProductSprint Backlog'!$I73), AND('ProductSprint Backlog'!$J73=B$2,'ProductSprint Backlog'!$I73=B$2), 'ProductSprint Backlog'!$F73, TRUE, 0)</f>
        <v/>
      </c>
      <c r="C73" s="4" t="str" cm="1">
        <f t="array" ref="C73">_xlfn.IFS('ProductSprint Backlog'!$F73="", "", AND('ProductSprint Backlog'!$J73&gt;C$2,'ProductSprint Backlog'!$I73&lt;=C$2), 'ProductSprint Backlog'!$F73 / MAX(1, 'ProductSprint Backlog'!$J73-'ProductSprint Backlog'!$I73), AND('ProductSprint Backlog'!$J73=C$2,'ProductSprint Backlog'!$I73=C$2), 'ProductSprint Backlog'!$F73, TRUE, 0)</f>
        <v/>
      </c>
      <c r="D73" s="4" t="str" cm="1">
        <f t="array" ref="D73">_xlfn.IFS('ProductSprint Backlog'!$F73="", "", AND('ProductSprint Backlog'!$J73&gt;D$2,'ProductSprint Backlog'!$I73&lt;=D$2), 'ProductSprint Backlog'!$F73 / MAX(1, 'ProductSprint Backlog'!$J73-'ProductSprint Backlog'!$I73), AND('ProductSprint Backlog'!$J73=D$2,'ProductSprint Backlog'!$I73=D$2), 'ProductSprint Backlog'!$F73, TRUE, 0)</f>
        <v/>
      </c>
      <c r="E73" s="4" t="str" cm="1">
        <f t="array" ref="E73">_xlfn.IFS('ProductSprint Backlog'!$F73="", "", AND('ProductSprint Backlog'!$J73&gt;E$2,'ProductSprint Backlog'!$I73&lt;=E$2), 'ProductSprint Backlog'!$F73 / MAX(1, 'ProductSprint Backlog'!$J73-'ProductSprint Backlog'!$I73), AND('ProductSprint Backlog'!$J73=E$2,'ProductSprint Backlog'!$I73=E$2), 'ProductSprint Backlog'!$F73, TRUE, 0)</f>
        <v/>
      </c>
      <c r="F73" s="4" t="str" cm="1">
        <f t="array" ref="F73">_xlfn.IFS('ProductSprint Backlog'!$F73="", "", AND('ProductSprint Backlog'!$J73&gt;F$2,'ProductSprint Backlog'!$I73&lt;=F$2), 'ProductSprint Backlog'!$F73 / MAX(1, 'ProductSprint Backlog'!$J73-'ProductSprint Backlog'!$I73), AND('ProductSprint Backlog'!$J73=F$2,'ProductSprint Backlog'!$I73=F$2), 'ProductSprint Backlog'!$F73, TRUE, 0)</f>
        <v/>
      </c>
      <c r="G73" s="4" t="str" cm="1">
        <f t="array" ref="G73">_xlfn.IFS('ProductSprint Backlog'!$F73="", "", AND('ProductSprint Backlog'!$J73&gt;G$2,'ProductSprint Backlog'!$I73&lt;=G$2), 'ProductSprint Backlog'!$F73 / MAX(1, 'ProductSprint Backlog'!$J73-'ProductSprint Backlog'!$I73), AND('ProductSprint Backlog'!$J73=G$2,'ProductSprint Backlog'!$I73=G$2), 'ProductSprint Backlog'!$F73, TRUE, 0)</f>
        <v/>
      </c>
      <c r="H73" s="4" t="str" cm="1">
        <f t="array" ref="H73">_xlfn.IFS('ProductSprint Backlog'!$F73="", "", AND('ProductSprint Backlog'!$J73&gt;H$2,'ProductSprint Backlog'!$I73&lt;=H$2), 'ProductSprint Backlog'!$F73 / MAX(1, 'ProductSprint Backlog'!$J73-'ProductSprint Backlog'!$I73), AND('ProductSprint Backlog'!$J73=H$2,'ProductSprint Backlog'!$I73=H$2), 'ProductSprint Backlog'!$F73, TRUE, 0)</f>
        <v/>
      </c>
      <c r="I73" s="4" t="str" cm="1">
        <f t="array" ref="I73">_xlfn.IFS('ProductSprint Backlog'!$F73="", "", AND('ProductSprint Backlog'!$J73&gt;I$2,'ProductSprint Backlog'!$I73&lt;=I$2), 'ProductSprint Backlog'!$F73 / MAX(1, 'ProductSprint Backlog'!$J73-'ProductSprint Backlog'!$I73), AND('ProductSprint Backlog'!$J73=I$2,'ProductSprint Backlog'!$I73=I$2), 'ProductSprint Backlog'!$F73, TRUE, 0)</f>
        <v/>
      </c>
      <c r="J73" s="4" t="str" cm="1">
        <f t="array" ref="J73">_xlfn.IFS('ProductSprint Backlog'!$F73="", "", AND('ProductSprint Backlog'!$J73&gt;J$2,'ProductSprint Backlog'!$I73&lt;=J$2), 'ProductSprint Backlog'!$F73 / MAX(1, 'ProductSprint Backlog'!$J73-'ProductSprint Backlog'!$I73), AND('ProductSprint Backlog'!$J73=J$2,'ProductSprint Backlog'!$I73=J$2), 'ProductSprint Backlog'!$F73, TRUE, 0)</f>
        <v/>
      </c>
      <c r="K73" s="4" t="str" cm="1">
        <f t="array" ref="K73">_xlfn.IFS('ProductSprint Backlog'!$F73="", "", AND('ProductSprint Backlog'!$J73&gt;K$2,'ProductSprint Backlog'!$I73&lt;=K$2), 'ProductSprint Backlog'!$F73 / MAX(1, 'ProductSprint Backlog'!$J73-'ProductSprint Backlog'!$I73), AND('ProductSprint Backlog'!$J73=K$2,'ProductSprint Backlog'!$I73=K$2), 'ProductSprint Backlog'!$F73, TRUE, 0)</f>
        <v/>
      </c>
      <c r="L73" s="4" t="str" cm="1">
        <f t="array" ref="L73">_xlfn.IFS('ProductSprint Backlog'!$F73="", "", AND('ProductSprint Backlog'!$J73&gt;L$2,'ProductSprint Backlog'!$I73&lt;=L$2), 'ProductSprint Backlog'!$F73 / MAX(1, 'ProductSprint Backlog'!$J73-'ProductSprint Backlog'!$I73), AND('ProductSprint Backlog'!$J73=L$2,'ProductSprint Backlog'!$I73=L$2), 'ProductSprint Backlog'!$F73, TRUE, 0)</f>
        <v/>
      </c>
      <c r="M73" s="4" t="str" cm="1">
        <f t="array" ref="M73">_xlfn.IFS('ProductSprint Backlog'!$F73="", "", AND('ProductSprint Backlog'!$J73&gt;M$2,'ProductSprint Backlog'!$I73&lt;=M$2), 'ProductSprint Backlog'!$F73 / MAX(1, 'ProductSprint Backlog'!$J73-'ProductSprint Backlog'!$I73), AND('ProductSprint Backlog'!$J73=M$2,'ProductSprint Backlog'!$I73=M$2), 'ProductSprint Backlog'!$F73, TRUE, 0)</f>
        <v/>
      </c>
      <c r="N73" s="4" t="str" cm="1">
        <f t="array" ref="N73">_xlfn.IFS('ProductSprint Backlog'!$F73="", "", AND('ProductSprint Backlog'!$J73&gt;N$2,'ProductSprint Backlog'!$I73&lt;=N$2), 'ProductSprint Backlog'!$F73 / MAX(1, 'ProductSprint Backlog'!$J73-'ProductSprint Backlog'!$I73), AND('ProductSprint Backlog'!$J73=N$2,'ProductSprint Backlog'!$I73=N$2), 'ProductSprint Backlog'!$F73, TRUE, 0)</f>
        <v/>
      </c>
      <c r="O73" s="4" t="str" cm="1">
        <f t="array" ref="O73">_xlfn.IFS('ProductSprint Backlog'!$F73="", "", AND('ProductSprint Backlog'!$J73&gt;O$2,'ProductSprint Backlog'!$I73&lt;=O$2), 'ProductSprint Backlog'!$F73 / MAX(1, 'ProductSprint Backlog'!$J73-'ProductSprint Backlog'!$I73), AND('ProductSprint Backlog'!$J73=O$2,'ProductSprint Backlog'!$I73=O$2), 'ProductSprint Backlog'!$F73, TRUE, 0)</f>
        <v/>
      </c>
      <c r="P73" s="4" t="str" cm="1">
        <f t="array" ref="P73">_xlfn.IFS('ProductSprint Backlog'!$F73="", "", AND('ProductSprint Backlog'!$J73&gt;P$2,'ProductSprint Backlog'!$I73&lt;=P$2), 'ProductSprint Backlog'!$F73 / MAX(1, 'ProductSprint Backlog'!$J73-'ProductSprint Backlog'!$I73), AND('ProductSprint Backlog'!$J73=P$2,'ProductSprint Backlog'!$I73=P$2), 'ProductSprint Backlog'!$F73, TRUE, 0)</f>
        <v/>
      </c>
      <c r="Q73" s="4" t="str" cm="1">
        <f t="array" ref="Q73">_xlfn.IFS('ProductSprint Backlog'!$F73="", "", AND('ProductSprint Backlog'!$J73&gt;Q$2,'ProductSprint Backlog'!$I73&lt;=Q$2), 'ProductSprint Backlog'!$F73 / MAX(1, 'ProductSprint Backlog'!$J73-'ProductSprint Backlog'!$I73), AND('ProductSprint Backlog'!$J73=Q$2,'ProductSprint Backlog'!$I73=Q$2), 'ProductSprint Backlog'!$F73, TRUE, 0)</f>
        <v/>
      </c>
      <c r="R73" s="4" t="str" cm="1">
        <f t="array" ref="R73">_xlfn.IFS('ProductSprint Backlog'!$F73="", "", AND('ProductSprint Backlog'!$J73&gt;R$2,'ProductSprint Backlog'!$I73&lt;=R$2), 'ProductSprint Backlog'!$F73 / MAX(1, 'ProductSprint Backlog'!$J73-'ProductSprint Backlog'!$I73), AND('ProductSprint Backlog'!$J73=R$2,'ProductSprint Backlog'!$I73=R$2), 'ProductSprint Backlog'!$F73, TRUE, 0)</f>
        <v/>
      </c>
      <c r="S73" s="4" t="str" cm="1">
        <f t="array" ref="S73">_xlfn.IFS('ProductSprint Backlog'!$F73="", "", AND('ProductSprint Backlog'!$J73&gt;S$2,'ProductSprint Backlog'!$I73&lt;=S$2), 'ProductSprint Backlog'!$F73 / MAX(1, 'ProductSprint Backlog'!$J73-'ProductSprint Backlog'!$I73), AND('ProductSprint Backlog'!$J73=S$2,'ProductSprint Backlog'!$I73=S$2), 'ProductSprint Backlog'!$F73, TRUE, 0)</f>
        <v/>
      </c>
      <c r="T73" s="4" t="str" cm="1">
        <f t="array" ref="T73">_xlfn.IFS('ProductSprint Backlog'!$F73="", "", AND('ProductSprint Backlog'!$J73&gt;T$2,'ProductSprint Backlog'!$I73&lt;=T$2), 'ProductSprint Backlog'!$F73 / MAX(1, 'ProductSprint Backlog'!$J73-'ProductSprint Backlog'!$I73), AND('ProductSprint Backlog'!$J73=T$2,'ProductSprint Backlog'!$I73=T$2), 'ProductSprint Backlog'!$F73, TRUE, 0)</f>
        <v/>
      </c>
    </row>
    <row r="74" spans="2:20" x14ac:dyDescent="0.2">
      <c r="B74" s="4" cm="1">
        <f t="array" ref="B74">_xlfn.IFS('ProductSprint Backlog'!$F74="", "", AND('ProductSprint Backlog'!$J74&gt;B$2,'ProductSprint Backlog'!$I74&lt;=B$2), 'ProductSprint Backlog'!$F74 / MAX(1, 'ProductSprint Backlog'!$J74-'ProductSprint Backlog'!$I74), AND('ProductSprint Backlog'!$J74=B$2,'ProductSprint Backlog'!$I74=B$2), 'ProductSprint Backlog'!$F74, TRUE, 0)</f>
        <v>0</v>
      </c>
      <c r="C74" s="4" cm="1">
        <f t="array" ref="C74">_xlfn.IFS('ProductSprint Backlog'!$F74="", "", AND('ProductSprint Backlog'!$J74&gt;C$2,'ProductSprint Backlog'!$I74&lt;=C$2), 'ProductSprint Backlog'!$F74 / MAX(1, 'ProductSprint Backlog'!$J74-'ProductSprint Backlog'!$I74), AND('ProductSprint Backlog'!$J74=C$2,'ProductSprint Backlog'!$I74=C$2), 'ProductSprint Backlog'!$F74, TRUE, 0)</f>
        <v>0</v>
      </c>
      <c r="D74" s="4" cm="1">
        <f t="array" ref="D74">_xlfn.IFS('ProductSprint Backlog'!$F74="", "", AND('ProductSprint Backlog'!$J74&gt;D$2,'ProductSprint Backlog'!$I74&lt;=D$2), 'ProductSprint Backlog'!$F74 / MAX(1, 'ProductSprint Backlog'!$J74-'ProductSprint Backlog'!$I74), AND('ProductSprint Backlog'!$J74=D$2,'ProductSprint Backlog'!$I74=D$2), 'ProductSprint Backlog'!$F74, TRUE, 0)</f>
        <v>0</v>
      </c>
      <c r="E74" s="4" cm="1">
        <f t="array" ref="E74">_xlfn.IFS('ProductSprint Backlog'!$F74="", "", AND('ProductSprint Backlog'!$J74&gt;E$2,'ProductSprint Backlog'!$I74&lt;=E$2), 'ProductSprint Backlog'!$F74 / MAX(1, 'ProductSprint Backlog'!$J74-'ProductSprint Backlog'!$I74), AND('ProductSprint Backlog'!$J74=E$2,'ProductSprint Backlog'!$I74=E$2), 'ProductSprint Backlog'!$F74, TRUE, 0)</f>
        <v>0</v>
      </c>
      <c r="F74" s="4" cm="1">
        <f t="array" ref="F74">_xlfn.IFS('ProductSprint Backlog'!$F74="", "", AND('ProductSprint Backlog'!$J74&gt;F$2,'ProductSprint Backlog'!$I74&lt;=F$2), 'ProductSprint Backlog'!$F74 / MAX(1, 'ProductSprint Backlog'!$J74-'ProductSprint Backlog'!$I74), AND('ProductSprint Backlog'!$J74=F$2,'ProductSprint Backlog'!$I74=F$2), 'ProductSprint Backlog'!$F74, TRUE, 0)</f>
        <v>0</v>
      </c>
      <c r="G74" s="4" cm="1">
        <f t="array" ref="G74">_xlfn.IFS('ProductSprint Backlog'!$F74="", "", AND('ProductSprint Backlog'!$J74&gt;G$2,'ProductSprint Backlog'!$I74&lt;=G$2), 'ProductSprint Backlog'!$F74 / MAX(1, 'ProductSprint Backlog'!$J74-'ProductSprint Backlog'!$I74), AND('ProductSprint Backlog'!$J74=G$2,'ProductSprint Backlog'!$I74=G$2), 'ProductSprint Backlog'!$F74, TRUE, 0)</f>
        <v>0</v>
      </c>
      <c r="H74" s="4" cm="1">
        <f t="array" ref="H74">_xlfn.IFS('ProductSprint Backlog'!$F74="", "", AND('ProductSprint Backlog'!$J74&gt;H$2,'ProductSprint Backlog'!$I74&lt;=H$2), 'ProductSprint Backlog'!$F74 / MAX(1, 'ProductSprint Backlog'!$J74-'ProductSprint Backlog'!$I74), AND('ProductSprint Backlog'!$J74=H$2,'ProductSprint Backlog'!$I74=H$2), 'ProductSprint Backlog'!$F74, TRUE, 0)</f>
        <v>0</v>
      </c>
      <c r="I74" s="4" cm="1">
        <f t="array" ref="I74">_xlfn.IFS('ProductSprint Backlog'!$F74="", "", AND('ProductSprint Backlog'!$J74&gt;I$2,'ProductSprint Backlog'!$I74&lt;=I$2), 'ProductSprint Backlog'!$F74 / MAX(1, 'ProductSprint Backlog'!$J74-'ProductSprint Backlog'!$I74), AND('ProductSprint Backlog'!$J74=I$2,'ProductSprint Backlog'!$I74=I$2), 'ProductSprint Backlog'!$F74, TRUE, 0)</f>
        <v>0</v>
      </c>
      <c r="J74" s="4" cm="1">
        <f t="array" ref="J74">_xlfn.IFS('ProductSprint Backlog'!$F74="", "", AND('ProductSprint Backlog'!$J74&gt;J$2,'ProductSprint Backlog'!$I74&lt;=J$2), 'ProductSprint Backlog'!$F74 / MAX(1, 'ProductSprint Backlog'!$J74-'ProductSprint Backlog'!$I74), AND('ProductSprint Backlog'!$J74=J$2,'ProductSprint Backlog'!$I74=J$2), 'ProductSprint Backlog'!$F74, TRUE, 0)</f>
        <v>0</v>
      </c>
      <c r="K74" s="4" cm="1">
        <f t="array" ref="K74">_xlfn.IFS('ProductSprint Backlog'!$F74="", "", AND('ProductSprint Backlog'!$J74&gt;K$2,'ProductSprint Backlog'!$I74&lt;=K$2), 'ProductSprint Backlog'!$F74 / MAX(1, 'ProductSprint Backlog'!$J74-'ProductSprint Backlog'!$I74), AND('ProductSprint Backlog'!$J74=K$2,'ProductSprint Backlog'!$I74=K$2), 'ProductSprint Backlog'!$F74, TRUE, 0)</f>
        <v>0</v>
      </c>
      <c r="L74" s="4" cm="1">
        <f t="array" ref="L74">_xlfn.IFS('ProductSprint Backlog'!$F74="", "", AND('ProductSprint Backlog'!$J74&gt;L$2,'ProductSprint Backlog'!$I74&lt;=L$2), 'ProductSprint Backlog'!$F74 / MAX(1, 'ProductSprint Backlog'!$J74-'ProductSprint Backlog'!$I74), AND('ProductSprint Backlog'!$J74=L$2,'ProductSprint Backlog'!$I74=L$2), 'ProductSprint Backlog'!$F74, TRUE, 0)</f>
        <v>0</v>
      </c>
      <c r="M74" s="4" cm="1">
        <f t="array" ref="M74">_xlfn.IFS('ProductSprint Backlog'!$F74="", "", AND('ProductSprint Backlog'!$J74&gt;M$2,'ProductSprint Backlog'!$I74&lt;=M$2), 'ProductSprint Backlog'!$F74 / MAX(1, 'ProductSprint Backlog'!$J74-'ProductSprint Backlog'!$I74), AND('ProductSprint Backlog'!$J74=M$2,'ProductSprint Backlog'!$I74=M$2), 'ProductSprint Backlog'!$F74, TRUE, 0)</f>
        <v>0</v>
      </c>
      <c r="N74" s="4" cm="1">
        <f t="array" ref="N74">_xlfn.IFS('ProductSprint Backlog'!$F74="", "", AND('ProductSprint Backlog'!$J74&gt;N$2,'ProductSprint Backlog'!$I74&lt;=N$2), 'ProductSprint Backlog'!$F74 / MAX(1, 'ProductSprint Backlog'!$J74-'ProductSprint Backlog'!$I74), AND('ProductSprint Backlog'!$J74=N$2,'ProductSprint Backlog'!$I74=N$2), 'ProductSprint Backlog'!$F74, TRUE, 0)</f>
        <v>0</v>
      </c>
      <c r="O74" s="4" cm="1">
        <f t="array" ref="O74">_xlfn.IFS('ProductSprint Backlog'!$F74="", "", AND('ProductSprint Backlog'!$J74&gt;O$2,'ProductSprint Backlog'!$I74&lt;=O$2), 'ProductSprint Backlog'!$F74 / MAX(1, 'ProductSprint Backlog'!$J74-'ProductSprint Backlog'!$I74), AND('ProductSprint Backlog'!$J74=O$2,'ProductSprint Backlog'!$I74=O$2), 'ProductSprint Backlog'!$F74, TRUE, 0)</f>
        <v>0</v>
      </c>
      <c r="P74" s="4" cm="1">
        <f t="array" ref="P74">_xlfn.IFS('ProductSprint Backlog'!$F74="", "", AND('ProductSprint Backlog'!$J74&gt;P$2,'ProductSprint Backlog'!$I74&lt;=P$2), 'ProductSprint Backlog'!$F74 / MAX(1, 'ProductSprint Backlog'!$J74-'ProductSprint Backlog'!$I74), AND('ProductSprint Backlog'!$J74=P$2,'ProductSprint Backlog'!$I74=P$2), 'ProductSprint Backlog'!$F74, TRUE, 0)</f>
        <v>0</v>
      </c>
      <c r="Q74" s="4" cm="1">
        <f t="array" ref="Q74">_xlfn.IFS('ProductSprint Backlog'!$F74="", "", AND('ProductSprint Backlog'!$J74&gt;Q$2,'ProductSprint Backlog'!$I74&lt;=Q$2), 'ProductSprint Backlog'!$F74 / MAX(1, 'ProductSprint Backlog'!$J74-'ProductSprint Backlog'!$I74), AND('ProductSprint Backlog'!$J74=Q$2,'ProductSprint Backlog'!$I74=Q$2), 'ProductSprint Backlog'!$F74, TRUE, 0)</f>
        <v>0</v>
      </c>
      <c r="R74" s="4" cm="1">
        <f t="array" ref="R74">_xlfn.IFS('ProductSprint Backlog'!$F74="", "", AND('ProductSprint Backlog'!$J74&gt;R$2,'ProductSprint Backlog'!$I74&lt;=R$2), 'ProductSprint Backlog'!$F74 / MAX(1, 'ProductSprint Backlog'!$J74-'ProductSprint Backlog'!$I74), AND('ProductSprint Backlog'!$J74=R$2,'ProductSprint Backlog'!$I74=R$2), 'ProductSprint Backlog'!$F74, TRUE, 0)</f>
        <v>0</v>
      </c>
      <c r="S74" s="4" cm="1">
        <f t="array" ref="S74">_xlfn.IFS('ProductSprint Backlog'!$F74="", "", AND('ProductSprint Backlog'!$J74&gt;S$2,'ProductSprint Backlog'!$I74&lt;=S$2), 'ProductSprint Backlog'!$F74 / MAX(1, 'ProductSprint Backlog'!$J74-'ProductSprint Backlog'!$I74), AND('ProductSprint Backlog'!$J74=S$2,'ProductSprint Backlog'!$I74=S$2), 'ProductSprint Backlog'!$F74, TRUE, 0)</f>
        <v>0</v>
      </c>
      <c r="T74" s="4" cm="1">
        <f t="array" ref="T74">_xlfn.IFS('ProductSprint Backlog'!$F74="", "", AND('ProductSprint Backlog'!$J74&gt;T$2,'ProductSprint Backlog'!$I74&lt;=T$2), 'ProductSprint Backlog'!$F74 / MAX(1, 'ProductSprint Backlog'!$J74-'ProductSprint Backlog'!$I74), AND('ProductSprint Backlog'!$J74=T$2,'ProductSprint Backlog'!$I74=T$2), 'ProductSprint Backlog'!$F74, TRUE, 0)</f>
        <v>0</v>
      </c>
    </row>
    <row r="75" spans="2:20" x14ac:dyDescent="0.2">
      <c r="B75" s="4" cm="1">
        <f t="array" ref="B75">_xlfn.IFS('ProductSprint Backlog'!$F75="", "", AND('ProductSprint Backlog'!$J75&gt;B$2,'ProductSprint Backlog'!$I75&lt;=B$2), 'ProductSprint Backlog'!$F75 / MAX(1, 'ProductSprint Backlog'!$J75-'ProductSprint Backlog'!$I75), AND('ProductSprint Backlog'!$J75=B$2,'ProductSprint Backlog'!$I75=B$2), 'ProductSprint Backlog'!$F75, TRUE, 0)</f>
        <v>0</v>
      </c>
      <c r="C75" s="4" cm="1">
        <f t="array" ref="C75">_xlfn.IFS('ProductSprint Backlog'!$F75="", "", AND('ProductSprint Backlog'!$J75&gt;C$2,'ProductSprint Backlog'!$I75&lt;=C$2), 'ProductSprint Backlog'!$F75 / MAX(1, 'ProductSprint Backlog'!$J75-'ProductSprint Backlog'!$I75), AND('ProductSprint Backlog'!$J75=C$2,'ProductSprint Backlog'!$I75=C$2), 'ProductSprint Backlog'!$F75, TRUE, 0)</f>
        <v>0</v>
      </c>
      <c r="D75" s="4" cm="1">
        <f t="array" ref="D75">_xlfn.IFS('ProductSprint Backlog'!$F75="", "", AND('ProductSprint Backlog'!$J75&gt;D$2,'ProductSprint Backlog'!$I75&lt;=D$2), 'ProductSprint Backlog'!$F75 / MAX(1, 'ProductSprint Backlog'!$J75-'ProductSprint Backlog'!$I75), AND('ProductSprint Backlog'!$J75=D$2,'ProductSprint Backlog'!$I75=D$2), 'ProductSprint Backlog'!$F75, TRUE, 0)</f>
        <v>0</v>
      </c>
      <c r="E75" s="4" cm="1">
        <f t="array" ref="E75">_xlfn.IFS('ProductSprint Backlog'!$F75="", "", AND('ProductSprint Backlog'!$J75&gt;E$2,'ProductSprint Backlog'!$I75&lt;=E$2), 'ProductSprint Backlog'!$F75 / MAX(1, 'ProductSprint Backlog'!$J75-'ProductSprint Backlog'!$I75), AND('ProductSprint Backlog'!$J75=E$2,'ProductSprint Backlog'!$I75=E$2), 'ProductSprint Backlog'!$F75, TRUE, 0)</f>
        <v>0</v>
      </c>
      <c r="F75" s="4" cm="1">
        <f t="array" ref="F75">_xlfn.IFS('ProductSprint Backlog'!$F75="", "", AND('ProductSprint Backlog'!$J75&gt;F$2,'ProductSprint Backlog'!$I75&lt;=F$2), 'ProductSprint Backlog'!$F75 / MAX(1, 'ProductSprint Backlog'!$J75-'ProductSprint Backlog'!$I75), AND('ProductSprint Backlog'!$J75=F$2,'ProductSprint Backlog'!$I75=F$2), 'ProductSprint Backlog'!$F75, TRUE, 0)</f>
        <v>0</v>
      </c>
      <c r="G75" s="4" cm="1">
        <f t="array" ref="G75">_xlfn.IFS('ProductSprint Backlog'!$F75="", "", AND('ProductSprint Backlog'!$J75&gt;G$2,'ProductSprint Backlog'!$I75&lt;=G$2), 'ProductSprint Backlog'!$F75 / MAX(1, 'ProductSprint Backlog'!$J75-'ProductSprint Backlog'!$I75), AND('ProductSprint Backlog'!$J75=G$2,'ProductSprint Backlog'!$I75=G$2), 'ProductSprint Backlog'!$F75, TRUE, 0)</f>
        <v>0</v>
      </c>
      <c r="H75" s="4" cm="1">
        <f t="array" ref="H75">_xlfn.IFS('ProductSprint Backlog'!$F75="", "", AND('ProductSprint Backlog'!$J75&gt;H$2,'ProductSprint Backlog'!$I75&lt;=H$2), 'ProductSprint Backlog'!$F75 / MAX(1, 'ProductSprint Backlog'!$J75-'ProductSprint Backlog'!$I75), AND('ProductSprint Backlog'!$J75=H$2,'ProductSprint Backlog'!$I75=H$2), 'ProductSprint Backlog'!$F75, TRUE, 0)</f>
        <v>0</v>
      </c>
      <c r="I75" s="4" cm="1">
        <f t="array" ref="I75">_xlfn.IFS('ProductSprint Backlog'!$F75="", "", AND('ProductSprint Backlog'!$J75&gt;I$2,'ProductSprint Backlog'!$I75&lt;=I$2), 'ProductSprint Backlog'!$F75 / MAX(1, 'ProductSprint Backlog'!$J75-'ProductSprint Backlog'!$I75), AND('ProductSprint Backlog'!$J75=I$2,'ProductSprint Backlog'!$I75=I$2), 'ProductSprint Backlog'!$F75, TRUE, 0)</f>
        <v>0</v>
      </c>
      <c r="J75" s="4" cm="1">
        <f t="array" ref="J75">_xlfn.IFS('ProductSprint Backlog'!$F75="", "", AND('ProductSprint Backlog'!$J75&gt;J$2,'ProductSprint Backlog'!$I75&lt;=J$2), 'ProductSprint Backlog'!$F75 / MAX(1, 'ProductSprint Backlog'!$J75-'ProductSprint Backlog'!$I75), AND('ProductSprint Backlog'!$J75=J$2,'ProductSprint Backlog'!$I75=J$2), 'ProductSprint Backlog'!$F75, TRUE, 0)</f>
        <v>0</v>
      </c>
      <c r="K75" s="4" cm="1">
        <f t="array" ref="K75">_xlfn.IFS('ProductSprint Backlog'!$F75="", "", AND('ProductSprint Backlog'!$J75&gt;K$2,'ProductSprint Backlog'!$I75&lt;=K$2), 'ProductSprint Backlog'!$F75 / MAX(1, 'ProductSprint Backlog'!$J75-'ProductSprint Backlog'!$I75), AND('ProductSprint Backlog'!$J75=K$2,'ProductSprint Backlog'!$I75=K$2), 'ProductSprint Backlog'!$F75, TRUE, 0)</f>
        <v>0</v>
      </c>
      <c r="L75" s="4" cm="1">
        <f t="array" ref="L75">_xlfn.IFS('ProductSprint Backlog'!$F75="", "", AND('ProductSprint Backlog'!$J75&gt;L$2,'ProductSprint Backlog'!$I75&lt;=L$2), 'ProductSprint Backlog'!$F75 / MAX(1, 'ProductSprint Backlog'!$J75-'ProductSprint Backlog'!$I75), AND('ProductSprint Backlog'!$J75=L$2,'ProductSprint Backlog'!$I75=L$2), 'ProductSprint Backlog'!$F75, TRUE, 0)</f>
        <v>0</v>
      </c>
      <c r="M75" s="4" cm="1">
        <f t="array" ref="M75">_xlfn.IFS('ProductSprint Backlog'!$F75="", "", AND('ProductSprint Backlog'!$J75&gt;M$2,'ProductSprint Backlog'!$I75&lt;=M$2), 'ProductSprint Backlog'!$F75 / MAX(1, 'ProductSprint Backlog'!$J75-'ProductSprint Backlog'!$I75), AND('ProductSprint Backlog'!$J75=M$2,'ProductSprint Backlog'!$I75=M$2), 'ProductSprint Backlog'!$F75, TRUE, 0)</f>
        <v>0</v>
      </c>
      <c r="N75" s="4" cm="1">
        <f t="array" ref="N75">_xlfn.IFS('ProductSprint Backlog'!$F75="", "", AND('ProductSprint Backlog'!$J75&gt;N$2,'ProductSprint Backlog'!$I75&lt;=N$2), 'ProductSprint Backlog'!$F75 / MAX(1, 'ProductSprint Backlog'!$J75-'ProductSprint Backlog'!$I75), AND('ProductSprint Backlog'!$J75=N$2,'ProductSprint Backlog'!$I75=N$2), 'ProductSprint Backlog'!$F75, TRUE, 0)</f>
        <v>0</v>
      </c>
      <c r="O75" s="4" cm="1">
        <f t="array" ref="O75">_xlfn.IFS('ProductSprint Backlog'!$F75="", "", AND('ProductSprint Backlog'!$J75&gt;O$2,'ProductSprint Backlog'!$I75&lt;=O$2), 'ProductSprint Backlog'!$F75 / MAX(1, 'ProductSprint Backlog'!$J75-'ProductSprint Backlog'!$I75), AND('ProductSprint Backlog'!$J75=O$2,'ProductSprint Backlog'!$I75=O$2), 'ProductSprint Backlog'!$F75, TRUE, 0)</f>
        <v>0</v>
      </c>
      <c r="P75" s="4" cm="1">
        <f t="array" ref="P75">_xlfn.IFS('ProductSprint Backlog'!$F75="", "", AND('ProductSprint Backlog'!$J75&gt;P$2,'ProductSprint Backlog'!$I75&lt;=P$2), 'ProductSprint Backlog'!$F75 / MAX(1, 'ProductSprint Backlog'!$J75-'ProductSprint Backlog'!$I75), AND('ProductSprint Backlog'!$J75=P$2,'ProductSprint Backlog'!$I75=P$2), 'ProductSprint Backlog'!$F75, TRUE, 0)</f>
        <v>0</v>
      </c>
      <c r="Q75" s="4" cm="1">
        <f t="array" ref="Q75">_xlfn.IFS('ProductSprint Backlog'!$F75="", "", AND('ProductSprint Backlog'!$J75&gt;Q$2,'ProductSprint Backlog'!$I75&lt;=Q$2), 'ProductSprint Backlog'!$F75 / MAX(1, 'ProductSprint Backlog'!$J75-'ProductSprint Backlog'!$I75), AND('ProductSprint Backlog'!$J75=Q$2,'ProductSprint Backlog'!$I75=Q$2), 'ProductSprint Backlog'!$F75, TRUE, 0)</f>
        <v>0</v>
      </c>
      <c r="R75" s="4" cm="1">
        <f t="array" ref="R75">_xlfn.IFS('ProductSprint Backlog'!$F75="", "", AND('ProductSprint Backlog'!$J75&gt;R$2,'ProductSprint Backlog'!$I75&lt;=R$2), 'ProductSprint Backlog'!$F75 / MAX(1, 'ProductSprint Backlog'!$J75-'ProductSprint Backlog'!$I75), AND('ProductSprint Backlog'!$J75=R$2,'ProductSprint Backlog'!$I75=R$2), 'ProductSprint Backlog'!$F75, TRUE, 0)</f>
        <v>0</v>
      </c>
      <c r="S75" s="4" cm="1">
        <f t="array" ref="S75">_xlfn.IFS('ProductSprint Backlog'!$F75="", "", AND('ProductSprint Backlog'!$J75&gt;S$2,'ProductSprint Backlog'!$I75&lt;=S$2), 'ProductSprint Backlog'!$F75 / MAX(1, 'ProductSprint Backlog'!$J75-'ProductSprint Backlog'!$I75), AND('ProductSprint Backlog'!$J75=S$2,'ProductSprint Backlog'!$I75=S$2), 'ProductSprint Backlog'!$F75, TRUE, 0)</f>
        <v>0</v>
      </c>
      <c r="T75" s="4" cm="1">
        <f t="array" ref="T75">_xlfn.IFS('ProductSprint Backlog'!$F75="", "", AND('ProductSprint Backlog'!$J75&gt;T$2,'ProductSprint Backlog'!$I75&lt;=T$2), 'ProductSprint Backlog'!$F75 / MAX(1, 'ProductSprint Backlog'!$J75-'ProductSprint Backlog'!$I75), AND('ProductSprint Backlog'!$J75=T$2,'ProductSprint Backlog'!$I75=T$2), 'ProductSprint Backlog'!$F75, TRUE, 0)</f>
        <v>0</v>
      </c>
    </row>
    <row r="76" spans="2:20" x14ac:dyDescent="0.2">
      <c r="B76" s="4" cm="1">
        <f t="array" ref="B76">_xlfn.IFS('ProductSprint Backlog'!$F76="", "", AND('ProductSprint Backlog'!$J76&gt;B$2,'ProductSprint Backlog'!$I76&lt;=B$2), 'ProductSprint Backlog'!$F76 / MAX(1, 'ProductSprint Backlog'!$J76-'ProductSprint Backlog'!$I76), AND('ProductSprint Backlog'!$J76=B$2,'ProductSprint Backlog'!$I76=B$2), 'ProductSprint Backlog'!$F76, TRUE, 0)</f>
        <v>0</v>
      </c>
      <c r="C76" s="4" cm="1">
        <f t="array" ref="C76">_xlfn.IFS('ProductSprint Backlog'!$F76="", "", AND('ProductSprint Backlog'!$J76&gt;C$2,'ProductSprint Backlog'!$I76&lt;=C$2), 'ProductSprint Backlog'!$F76 / MAX(1, 'ProductSprint Backlog'!$J76-'ProductSprint Backlog'!$I76), AND('ProductSprint Backlog'!$J76=C$2,'ProductSprint Backlog'!$I76=C$2), 'ProductSprint Backlog'!$F76, TRUE, 0)</f>
        <v>0</v>
      </c>
      <c r="D76" s="4" cm="1">
        <f t="array" ref="D76">_xlfn.IFS('ProductSprint Backlog'!$F76="", "", AND('ProductSprint Backlog'!$J76&gt;D$2,'ProductSprint Backlog'!$I76&lt;=D$2), 'ProductSprint Backlog'!$F76 / MAX(1, 'ProductSprint Backlog'!$J76-'ProductSprint Backlog'!$I76), AND('ProductSprint Backlog'!$J76=D$2,'ProductSprint Backlog'!$I76=D$2), 'ProductSprint Backlog'!$F76, TRUE, 0)</f>
        <v>0</v>
      </c>
      <c r="E76" s="4" cm="1">
        <f t="array" ref="E76">_xlfn.IFS('ProductSprint Backlog'!$F76="", "", AND('ProductSprint Backlog'!$J76&gt;E$2,'ProductSprint Backlog'!$I76&lt;=E$2), 'ProductSprint Backlog'!$F76 / MAX(1, 'ProductSprint Backlog'!$J76-'ProductSprint Backlog'!$I76), AND('ProductSprint Backlog'!$J76=E$2,'ProductSprint Backlog'!$I76=E$2), 'ProductSprint Backlog'!$F76, TRUE, 0)</f>
        <v>0</v>
      </c>
      <c r="F76" s="4" cm="1">
        <f t="array" ref="F76">_xlfn.IFS('ProductSprint Backlog'!$F76="", "", AND('ProductSprint Backlog'!$J76&gt;F$2,'ProductSprint Backlog'!$I76&lt;=F$2), 'ProductSprint Backlog'!$F76 / MAX(1, 'ProductSprint Backlog'!$J76-'ProductSprint Backlog'!$I76), AND('ProductSprint Backlog'!$J76=F$2,'ProductSprint Backlog'!$I76=F$2), 'ProductSprint Backlog'!$F76, TRUE, 0)</f>
        <v>0</v>
      </c>
      <c r="G76" s="4" cm="1">
        <f t="array" ref="G76">_xlfn.IFS('ProductSprint Backlog'!$F76="", "", AND('ProductSprint Backlog'!$J76&gt;G$2,'ProductSprint Backlog'!$I76&lt;=G$2), 'ProductSprint Backlog'!$F76 / MAX(1, 'ProductSprint Backlog'!$J76-'ProductSprint Backlog'!$I76), AND('ProductSprint Backlog'!$J76=G$2,'ProductSprint Backlog'!$I76=G$2), 'ProductSprint Backlog'!$F76, TRUE, 0)</f>
        <v>0</v>
      </c>
      <c r="H76" s="4" cm="1">
        <f t="array" ref="H76">_xlfn.IFS('ProductSprint Backlog'!$F76="", "", AND('ProductSprint Backlog'!$J76&gt;H$2,'ProductSprint Backlog'!$I76&lt;=H$2), 'ProductSprint Backlog'!$F76 / MAX(1, 'ProductSprint Backlog'!$J76-'ProductSprint Backlog'!$I76), AND('ProductSprint Backlog'!$J76=H$2,'ProductSprint Backlog'!$I76=H$2), 'ProductSprint Backlog'!$F76, TRUE, 0)</f>
        <v>0</v>
      </c>
      <c r="I76" s="4" cm="1">
        <f t="array" ref="I76">_xlfn.IFS('ProductSprint Backlog'!$F76="", "", AND('ProductSprint Backlog'!$J76&gt;I$2,'ProductSprint Backlog'!$I76&lt;=I$2), 'ProductSprint Backlog'!$F76 / MAX(1, 'ProductSprint Backlog'!$J76-'ProductSprint Backlog'!$I76), AND('ProductSprint Backlog'!$J76=I$2,'ProductSprint Backlog'!$I76=I$2), 'ProductSprint Backlog'!$F76, TRUE, 0)</f>
        <v>0</v>
      </c>
      <c r="J76" s="4" cm="1">
        <f t="array" ref="J76">_xlfn.IFS('ProductSprint Backlog'!$F76="", "", AND('ProductSprint Backlog'!$J76&gt;J$2,'ProductSprint Backlog'!$I76&lt;=J$2), 'ProductSprint Backlog'!$F76 / MAX(1, 'ProductSprint Backlog'!$J76-'ProductSprint Backlog'!$I76), AND('ProductSprint Backlog'!$J76=J$2,'ProductSprint Backlog'!$I76=J$2), 'ProductSprint Backlog'!$F76, TRUE, 0)</f>
        <v>0</v>
      </c>
      <c r="K76" s="4" cm="1">
        <f t="array" ref="K76">_xlfn.IFS('ProductSprint Backlog'!$F76="", "", AND('ProductSprint Backlog'!$J76&gt;K$2,'ProductSprint Backlog'!$I76&lt;=K$2), 'ProductSprint Backlog'!$F76 / MAX(1, 'ProductSprint Backlog'!$J76-'ProductSprint Backlog'!$I76), AND('ProductSprint Backlog'!$J76=K$2,'ProductSprint Backlog'!$I76=K$2), 'ProductSprint Backlog'!$F76, TRUE, 0)</f>
        <v>0</v>
      </c>
      <c r="L76" s="4" cm="1">
        <f t="array" ref="L76">_xlfn.IFS('ProductSprint Backlog'!$F76="", "", AND('ProductSprint Backlog'!$J76&gt;L$2,'ProductSprint Backlog'!$I76&lt;=L$2), 'ProductSprint Backlog'!$F76 / MAX(1, 'ProductSprint Backlog'!$J76-'ProductSprint Backlog'!$I76), AND('ProductSprint Backlog'!$J76=L$2,'ProductSprint Backlog'!$I76=L$2), 'ProductSprint Backlog'!$F76, TRUE, 0)</f>
        <v>0</v>
      </c>
      <c r="M76" s="4" cm="1">
        <f t="array" ref="M76">_xlfn.IFS('ProductSprint Backlog'!$F76="", "", AND('ProductSprint Backlog'!$J76&gt;M$2,'ProductSprint Backlog'!$I76&lt;=M$2), 'ProductSprint Backlog'!$F76 / MAX(1, 'ProductSprint Backlog'!$J76-'ProductSprint Backlog'!$I76), AND('ProductSprint Backlog'!$J76=M$2,'ProductSprint Backlog'!$I76=M$2), 'ProductSprint Backlog'!$F76, TRUE, 0)</f>
        <v>0</v>
      </c>
      <c r="N76" s="4" cm="1">
        <f t="array" ref="N76">_xlfn.IFS('ProductSprint Backlog'!$F76="", "", AND('ProductSprint Backlog'!$J76&gt;N$2,'ProductSprint Backlog'!$I76&lt;=N$2), 'ProductSprint Backlog'!$F76 / MAX(1, 'ProductSprint Backlog'!$J76-'ProductSprint Backlog'!$I76), AND('ProductSprint Backlog'!$J76=N$2,'ProductSprint Backlog'!$I76=N$2), 'ProductSprint Backlog'!$F76, TRUE, 0)</f>
        <v>0</v>
      </c>
      <c r="O76" s="4" cm="1">
        <f t="array" ref="O76">_xlfn.IFS('ProductSprint Backlog'!$F76="", "", AND('ProductSprint Backlog'!$J76&gt;O$2,'ProductSprint Backlog'!$I76&lt;=O$2), 'ProductSprint Backlog'!$F76 / MAX(1, 'ProductSprint Backlog'!$J76-'ProductSprint Backlog'!$I76), AND('ProductSprint Backlog'!$J76=O$2,'ProductSprint Backlog'!$I76=O$2), 'ProductSprint Backlog'!$F76, TRUE, 0)</f>
        <v>0</v>
      </c>
      <c r="P76" s="4" cm="1">
        <f t="array" ref="P76">_xlfn.IFS('ProductSprint Backlog'!$F76="", "", AND('ProductSprint Backlog'!$J76&gt;P$2,'ProductSprint Backlog'!$I76&lt;=P$2), 'ProductSprint Backlog'!$F76 / MAX(1, 'ProductSprint Backlog'!$J76-'ProductSprint Backlog'!$I76), AND('ProductSprint Backlog'!$J76=P$2,'ProductSprint Backlog'!$I76=P$2), 'ProductSprint Backlog'!$F76, TRUE, 0)</f>
        <v>0</v>
      </c>
      <c r="Q76" s="4" cm="1">
        <f t="array" ref="Q76">_xlfn.IFS('ProductSprint Backlog'!$F76="", "", AND('ProductSprint Backlog'!$J76&gt;Q$2,'ProductSprint Backlog'!$I76&lt;=Q$2), 'ProductSprint Backlog'!$F76 / MAX(1, 'ProductSprint Backlog'!$J76-'ProductSprint Backlog'!$I76), AND('ProductSprint Backlog'!$J76=Q$2,'ProductSprint Backlog'!$I76=Q$2), 'ProductSprint Backlog'!$F76, TRUE, 0)</f>
        <v>0</v>
      </c>
      <c r="R76" s="4" cm="1">
        <f t="array" ref="R76">_xlfn.IFS('ProductSprint Backlog'!$F76="", "", AND('ProductSprint Backlog'!$J76&gt;R$2,'ProductSprint Backlog'!$I76&lt;=R$2), 'ProductSprint Backlog'!$F76 / MAX(1, 'ProductSprint Backlog'!$J76-'ProductSprint Backlog'!$I76), AND('ProductSprint Backlog'!$J76=R$2,'ProductSprint Backlog'!$I76=R$2), 'ProductSprint Backlog'!$F76, TRUE, 0)</f>
        <v>0</v>
      </c>
      <c r="S76" s="4" cm="1">
        <f t="array" ref="S76">_xlfn.IFS('ProductSprint Backlog'!$F76="", "", AND('ProductSprint Backlog'!$J76&gt;S$2,'ProductSprint Backlog'!$I76&lt;=S$2), 'ProductSprint Backlog'!$F76 / MAX(1, 'ProductSprint Backlog'!$J76-'ProductSprint Backlog'!$I76), AND('ProductSprint Backlog'!$J76=S$2,'ProductSprint Backlog'!$I76=S$2), 'ProductSprint Backlog'!$F76, TRUE, 0)</f>
        <v>0</v>
      </c>
      <c r="T76" s="4" cm="1">
        <f t="array" ref="T76">_xlfn.IFS('ProductSprint Backlog'!$F76="", "", AND('ProductSprint Backlog'!$J76&gt;T$2,'ProductSprint Backlog'!$I76&lt;=T$2), 'ProductSprint Backlog'!$F76 / MAX(1, 'ProductSprint Backlog'!$J76-'ProductSprint Backlog'!$I76), AND('ProductSprint Backlog'!$J76=T$2,'ProductSprint Backlog'!$I76=T$2), 'ProductSprint Backlog'!$F76, TRUE, 0)</f>
        <v>0</v>
      </c>
    </row>
    <row r="77" spans="2:20" x14ac:dyDescent="0.2">
      <c r="B77" s="4" cm="1">
        <f t="array" ref="B77">_xlfn.IFS('ProductSprint Backlog'!$F77="", "", AND('ProductSprint Backlog'!$J77&gt;B$2,'ProductSprint Backlog'!$I77&lt;=B$2), 'ProductSprint Backlog'!$F77 / MAX(1, 'ProductSprint Backlog'!$J77-'ProductSprint Backlog'!$I77), AND('ProductSprint Backlog'!$J77=B$2,'ProductSprint Backlog'!$I77=B$2), 'ProductSprint Backlog'!$F77, TRUE, 0)</f>
        <v>0</v>
      </c>
      <c r="C77" s="4" cm="1">
        <f t="array" ref="C77">_xlfn.IFS('ProductSprint Backlog'!$F77="", "", AND('ProductSprint Backlog'!$J77&gt;C$2,'ProductSprint Backlog'!$I77&lt;=C$2), 'ProductSprint Backlog'!$F77 / MAX(1, 'ProductSprint Backlog'!$J77-'ProductSprint Backlog'!$I77), AND('ProductSprint Backlog'!$J77=C$2,'ProductSprint Backlog'!$I77=C$2), 'ProductSprint Backlog'!$F77, TRUE, 0)</f>
        <v>0</v>
      </c>
      <c r="D77" s="4" cm="1">
        <f t="array" ref="D77">_xlfn.IFS('ProductSprint Backlog'!$F77="", "", AND('ProductSprint Backlog'!$J77&gt;D$2,'ProductSprint Backlog'!$I77&lt;=D$2), 'ProductSprint Backlog'!$F77 / MAX(1, 'ProductSprint Backlog'!$J77-'ProductSprint Backlog'!$I77), AND('ProductSprint Backlog'!$J77=D$2,'ProductSprint Backlog'!$I77=D$2), 'ProductSprint Backlog'!$F77, TRUE, 0)</f>
        <v>0</v>
      </c>
      <c r="E77" s="4" cm="1">
        <f t="array" ref="E77">_xlfn.IFS('ProductSprint Backlog'!$F77="", "", AND('ProductSprint Backlog'!$J77&gt;E$2,'ProductSprint Backlog'!$I77&lt;=E$2), 'ProductSprint Backlog'!$F77 / MAX(1, 'ProductSprint Backlog'!$J77-'ProductSprint Backlog'!$I77), AND('ProductSprint Backlog'!$J77=E$2,'ProductSprint Backlog'!$I77=E$2), 'ProductSprint Backlog'!$F77, TRUE, 0)</f>
        <v>0</v>
      </c>
      <c r="F77" s="4" cm="1">
        <f t="array" ref="F77">_xlfn.IFS('ProductSprint Backlog'!$F77="", "", AND('ProductSprint Backlog'!$J77&gt;F$2,'ProductSprint Backlog'!$I77&lt;=F$2), 'ProductSprint Backlog'!$F77 / MAX(1, 'ProductSprint Backlog'!$J77-'ProductSprint Backlog'!$I77), AND('ProductSprint Backlog'!$J77=F$2,'ProductSprint Backlog'!$I77=F$2), 'ProductSprint Backlog'!$F77, TRUE, 0)</f>
        <v>0</v>
      </c>
      <c r="G77" s="4" cm="1">
        <f t="array" ref="G77">_xlfn.IFS('ProductSprint Backlog'!$F77="", "", AND('ProductSprint Backlog'!$J77&gt;G$2,'ProductSprint Backlog'!$I77&lt;=G$2), 'ProductSprint Backlog'!$F77 / MAX(1, 'ProductSprint Backlog'!$J77-'ProductSprint Backlog'!$I77), AND('ProductSprint Backlog'!$J77=G$2,'ProductSprint Backlog'!$I77=G$2), 'ProductSprint Backlog'!$F77, TRUE, 0)</f>
        <v>0</v>
      </c>
      <c r="H77" s="4" cm="1">
        <f t="array" ref="H77">_xlfn.IFS('ProductSprint Backlog'!$F77="", "", AND('ProductSprint Backlog'!$J77&gt;H$2,'ProductSprint Backlog'!$I77&lt;=H$2), 'ProductSprint Backlog'!$F77 / MAX(1, 'ProductSprint Backlog'!$J77-'ProductSprint Backlog'!$I77), AND('ProductSprint Backlog'!$J77=H$2,'ProductSprint Backlog'!$I77=H$2), 'ProductSprint Backlog'!$F77, TRUE, 0)</f>
        <v>0</v>
      </c>
      <c r="I77" s="4" cm="1">
        <f t="array" ref="I77">_xlfn.IFS('ProductSprint Backlog'!$F77="", "", AND('ProductSprint Backlog'!$J77&gt;I$2,'ProductSprint Backlog'!$I77&lt;=I$2), 'ProductSprint Backlog'!$F77 / MAX(1, 'ProductSprint Backlog'!$J77-'ProductSprint Backlog'!$I77), AND('ProductSprint Backlog'!$J77=I$2,'ProductSprint Backlog'!$I77=I$2), 'ProductSprint Backlog'!$F77, TRUE, 0)</f>
        <v>0</v>
      </c>
      <c r="J77" s="4" cm="1">
        <f t="array" ref="J77">_xlfn.IFS('ProductSprint Backlog'!$F77="", "", AND('ProductSprint Backlog'!$J77&gt;J$2,'ProductSprint Backlog'!$I77&lt;=J$2), 'ProductSprint Backlog'!$F77 / MAX(1, 'ProductSprint Backlog'!$J77-'ProductSprint Backlog'!$I77), AND('ProductSprint Backlog'!$J77=J$2,'ProductSprint Backlog'!$I77=J$2), 'ProductSprint Backlog'!$F77, TRUE, 0)</f>
        <v>0</v>
      </c>
      <c r="K77" s="4" cm="1">
        <f t="array" ref="K77">_xlfn.IFS('ProductSprint Backlog'!$F77="", "", AND('ProductSprint Backlog'!$J77&gt;K$2,'ProductSprint Backlog'!$I77&lt;=K$2), 'ProductSprint Backlog'!$F77 / MAX(1, 'ProductSprint Backlog'!$J77-'ProductSprint Backlog'!$I77), AND('ProductSprint Backlog'!$J77=K$2,'ProductSprint Backlog'!$I77=K$2), 'ProductSprint Backlog'!$F77, TRUE, 0)</f>
        <v>0</v>
      </c>
      <c r="L77" s="4" cm="1">
        <f t="array" ref="L77">_xlfn.IFS('ProductSprint Backlog'!$F77="", "", AND('ProductSprint Backlog'!$J77&gt;L$2,'ProductSprint Backlog'!$I77&lt;=L$2), 'ProductSprint Backlog'!$F77 / MAX(1, 'ProductSprint Backlog'!$J77-'ProductSprint Backlog'!$I77), AND('ProductSprint Backlog'!$J77=L$2,'ProductSprint Backlog'!$I77=L$2), 'ProductSprint Backlog'!$F77, TRUE, 0)</f>
        <v>0</v>
      </c>
      <c r="M77" s="4" cm="1">
        <f t="array" ref="M77">_xlfn.IFS('ProductSprint Backlog'!$F77="", "", AND('ProductSprint Backlog'!$J77&gt;M$2,'ProductSprint Backlog'!$I77&lt;=M$2), 'ProductSprint Backlog'!$F77 / MAX(1, 'ProductSprint Backlog'!$J77-'ProductSprint Backlog'!$I77), AND('ProductSprint Backlog'!$J77=M$2,'ProductSprint Backlog'!$I77=M$2), 'ProductSprint Backlog'!$F77, TRUE, 0)</f>
        <v>0</v>
      </c>
      <c r="N77" s="4" cm="1">
        <f t="array" ref="N77">_xlfn.IFS('ProductSprint Backlog'!$F77="", "", AND('ProductSprint Backlog'!$J77&gt;N$2,'ProductSprint Backlog'!$I77&lt;=N$2), 'ProductSprint Backlog'!$F77 / MAX(1, 'ProductSprint Backlog'!$J77-'ProductSprint Backlog'!$I77), AND('ProductSprint Backlog'!$J77=N$2,'ProductSprint Backlog'!$I77=N$2), 'ProductSprint Backlog'!$F77, TRUE, 0)</f>
        <v>0</v>
      </c>
      <c r="O77" s="4" cm="1">
        <f t="array" ref="O77">_xlfn.IFS('ProductSprint Backlog'!$F77="", "", AND('ProductSprint Backlog'!$J77&gt;O$2,'ProductSprint Backlog'!$I77&lt;=O$2), 'ProductSprint Backlog'!$F77 / MAX(1, 'ProductSprint Backlog'!$J77-'ProductSprint Backlog'!$I77), AND('ProductSprint Backlog'!$J77=O$2,'ProductSprint Backlog'!$I77=O$2), 'ProductSprint Backlog'!$F77, TRUE, 0)</f>
        <v>0</v>
      </c>
      <c r="P77" s="4" cm="1">
        <f t="array" ref="P77">_xlfn.IFS('ProductSprint Backlog'!$F77="", "", AND('ProductSprint Backlog'!$J77&gt;P$2,'ProductSprint Backlog'!$I77&lt;=P$2), 'ProductSprint Backlog'!$F77 / MAX(1, 'ProductSprint Backlog'!$J77-'ProductSprint Backlog'!$I77), AND('ProductSprint Backlog'!$J77=P$2,'ProductSprint Backlog'!$I77=P$2), 'ProductSprint Backlog'!$F77, TRUE, 0)</f>
        <v>0</v>
      </c>
      <c r="Q77" s="4" cm="1">
        <f t="array" ref="Q77">_xlfn.IFS('ProductSprint Backlog'!$F77="", "", AND('ProductSprint Backlog'!$J77&gt;Q$2,'ProductSprint Backlog'!$I77&lt;=Q$2), 'ProductSprint Backlog'!$F77 / MAX(1, 'ProductSprint Backlog'!$J77-'ProductSprint Backlog'!$I77), AND('ProductSprint Backlog'!$J77=Q$2,'ProductSprint Backlog'!$I77=Q$2), 'ProductSprint Backlog'!$F77, TRUE, 0)</f>
        <v>0</v>
      </c>
      <c r="R77" s="4" cm="1">
        <f t="array" ref="R77">_xlfn.IFS('ProductSprint Backlog'!$F77="", "", AND('ProductSprint Backlog'!$J77&gt;R$2,'ProductSprint Backlog'!$I77&lt;=R$2), 'ProductSprint Backlog'!$F77 / MAX(1, 'ProductSprint Backlog'!$J77-'ProductSprint Backlog'!$I77), AND('ProductSprint Backlog'!$J77=R$2,'ProductSprint Backlog'!$I77=R$2), 'ProductSprint Backlog'!$F77, TRUE, 0)</f>
        <v>0</v>
      </c>
      <c r="S77" s="4" cm="1">
        <f t="array" ref="S77">_xlfn.IFS('ProductSprint Backlog'!$F77="", "", AND('ProductSprint Backlog'!$J77&gt;S$2,'ProductSprint Backlog'!$I77&lt;=S$2), 'ProductSprint Backlog'!$F77 / MAX(1, 'ProductSprint Backlog'!$J77-'ProductSprint Backlog'!$I77), AND('ProductSprint Backlog'!$J77=S$2,'ProductSprint Backlog'!$I77=S$2), 'ProductSprint Backlog'!$F77, TRUE, 0)</f>
        <v>0</v>
      </c>
      <c r="T77" s="4" cm="1">
        <f t="array" ref="T77">_xlfn.IFS('ProductSprint Backlog'!$F77="", "", AND('ProductSprint Backlog'!$J77&gt;T$2,'ProductSprint Backlog'!$I77&lt;=T$2), 'ProductSprint Backlog'!$F77 / MAX(1, 'ProductSprint Backlog'!$J77-'ProductSprint Backlog'!$I77), AND('ProductSprint Backlog'!$J77=T$2,'ProductSprint Backlog'!$I77=T$2), 'ProductSprint Backlog'!$F77, TRUE, 0)</f>
        <v>0</v>
      </c>
    </row>
    <row r="78" spans="2:20" x14ac:dyDescent="0.2">
      <c r="B78" s="4" cm="1">
        <f t="array" ref="B78">_xlfn.IFS('ProductSprint Backlog'!$F78="", "", AND('ProductSprint Backlog'!$J78&gt;B$2,'ProductSprint Backlog'!$I78&lt;=B$2), 'ProductSprint Backlog'!$F78 / MAX(1, 'ProductSprint Backlog'!$J78-'ProductSprint Backlog'!$I78), AND('ProductSprint Backlog'!$J78=B$2,'ProductSprint Backlog'!$I78=B$2), 'ProductSprint Backlog'!$F78, TRUE, 0)</f>
        <v>0</v>
      </c>
      <c r="C78" s="4" cm="1">
        <f t="array" ref="C78">_xlfn.IFS('ProductSprint Backlog'!$F78="", "", AND('ProductSprint Backlog'!$J78&gt;C$2,'ProductSprint Backlog'!$I78&lt;=C$2), 'ProductSprint Backlog'!$F78 / MAX(1, 'ProductSprint Backlog'!$J78-'ProductSprint Backlog'!$I78), AND('ProductSprint Backlog'!$J78=C$2,'ProductSprint Backlog'!$I78=C$2), 'ProductSprint Backlog'!$F78, TRUE, 0)</f>
        <v>0</v>
      </c>
      <c r="D78" s="4" cm="1">
        <f t="array" ref="D78">_xlfn.IFS('ProductSprint Backlog'!$F78="", "", AND('ProductSprint Backlog'!$J78&gt;D$2,'ProductSprint Backlog'!$I78&lt;=D$2), 'ProductSprint Backlog'!$F78 / MAX(1, 'ProductSprint Backlog'!$J78-'ProductSprint Backlog'!$I78), AND('ProductSprint Backlog'!$J78=D$2,'ProductSprint Backlog'!$I78=D$2), 'ProductSprint Backlog'!$F78, TRUE, 0)</f>
        <v>0</v>
      </c>
      <c r="E78" s="4" cm="1">
        <f t="array" ref="E78">_xlfn.IFS('ProductSprint Backlog'!$F78="", "", AND('ProductSprint Backlog'!$J78&gt;E$2,'ProductSprint Backlog'!$I78&lt;=E$2), 'ProductSprint Backlog'!$F78 / MAX(1, 'ProductSprint Backlog'!$J78-'ProductSprint Backlog'!$I78), AND('ProductSprint Backlog'!$J78=E$2,'ProductSprint Backlog'!$I78=E$2), 'ProductSprint Backlog'!$F78, TRUE, 0)</f>
        <v>0</v>
      </c>
      <c r="F78" s="4" cm="1">
        <f t="array" ref="F78">_xlfn.IFS('ProductSprint Backlog'!$F78="", "", AND('ProductSprint Backlog'!$J78&gt;F$2,'ProductSprint Backlog'!$I78&lt;=F$2), 'ProductSprint Backlog'!$F78 / MAX(1, 'ProductSprint Backlog'!$J78-'ProductSprint Backlog'!$I78), AND('ProductSprint Backlog'!$J78=F$2,'ProductSprint Backlog'!$I78=F$2), 'ProductSprint Backlog'!$F78, TRUE, 0)</f>
        <v>0</v>
      </c>
      <c r="G78" s="4" cm="1">
        <f t="array" ref="G78">_xlfn.IFS('ProductSprint Backlog'!$F78="", "", AND('ProductSprint Backlog'!$J78&gt;G$2,'ProductSprint Backlog'!$I78&lt;=G$2), 'ProductSprint Backlog'!$F78 / MAX(1, 'ProductSprint Backlog'!$J78-'ProductSprint Backlog'!$I78), AND('ProductSprint Backlog'!$J78=G$2,'ProductSprint Backlog'!$I78=G$2), 'ProductSprint Backlog'!$F78, TRUE, 0)</f>
        <v>0</v>
      </c>
      <c r="H78" s="4" cm="1">
        <f t="array" ref="H78">_xlfn.IFS('ProductSprint Backlog'!$F78="", "", AND('ProductSprint Backlog'!$J78&gt;H$2,'ProductSprint Backlog'!$I78&lt;=H$2), 'ProductSprint Backlog'!$F78 / MAX(1, 'ProductSprint Backlog'!$J78-'ProductSprint Backlog'!$I78), AND('ProductSprint Backlog'!$J78=H$2,'ProductSprint Backlog'!$I78=H$2), 'ProductSprint Backlog'!$F78, TRUE, 0)</f>
        <v>0</v>
      </c>
      <c r="I78" s="4" cm="1">
        <f t="array" ref="I78">_xlfn.IFS('ProductSprint Backlog'!$F78="", "", AND('ProductSprint Backlog'!$J78&gt;I$2,'ProductSprint Backlog'!$I78&lt;=I$2), 'ProductSprint Backlog'!$F78 / MAX(1, 'ProductSprint Backlog'!$J78-'ProductSprint Backlog'!$I78), AND('ProductSprint Backlog'!$J78=I$2,'ProductSprint Backlog'!$I78=I$2), 'ProductSprint Backlog'!$F78, TRUE, 0)</f>
        <v>0</v>
      </c>
      <c r="J78" s="4" cm="1">
        <f t="array" ref="J78">_xlfn.IFS('ProductSprint Backlog'!$F78="", "", AND('ProductSprint Backlog'!$J78&gt;J$2,'ProductSprint Backlog'!$I78&lt;=J$2), 'ProductSprint Backlog'!$F78 / MAX(1, 'ProductSprint Backlog'!$J78-'ProductSprint Backlog'!$I78), AND('ProductSprint Backlog'!$J78=J$2,'ProductSprint Backlog'!$I78=J$2), 'ProductSprint Backlog'!$F78, TRUE, 0)</f>
        <v>0</v>
      </c>
      <c r="K78" s="4" cm="1">
        <f t="array" ref="K78">_xlfn.IFS('ProductSprint Backlog'!$F78="", "", AND('ProductSprint Backlog'!$J78&gt;K$2,'ProductSprint Backlog'!$I78&lt;=K$2), 'ProductSprint Backlog'!$F78 / MAX(1, 'ProductSprint Backlog'!$J78-'ProductSprint Backlog'!$I78), AND('ProductSprint Backlog'!$J78=K$2,'ProductSprint Backlog'!$I78=K$2), 'ProductSprint Backlog'!$F78, TRUE, 0)</f>
        <v>0</v>
      </c>
      <c r="L78" s="4" cm="1">
        <f t="array" ref="L78">_xlfn.IFS('ProductSprint Backlog'!$F78="", "", AND('ProductSprint Backlog'!$J78&gt;L$2,'ProductSprint Backlog'!$I78&lt;=L$2), 'ProductSprint Backlog'!$F78 / MAX(1, 'ProductSprint Backlog'!$J78-'ProductSprint Backlog'!$I78), AND('ProductSprint Backlog'!$J78=L$2,'ProductSprint Backlog'!$I78=L$2), 'ProductSprint Backlog'!$F78, TRUE, 0)</f>
        <v>0</v>
      </c>
      <c r="M78" s="4" cm="1">
        <f t="array" ref="M78">_xlfn.IFS('ProductSprint Backlog'!$F78="", "", AND('ProductSprint Backlog'!$J78&gt;M$2,'ProductSprint Backlog'!$I78&lt;=M$2), 'ProductSprint Backlog'!$F78 / MAX(1, 'ProductSprint Backlog'!$J78-'ProductSprint Backlog'!$I78), AND('ProductSprint Backlog'!$J78=M$2,'ProductSprint Backlog'!$I78=M$2), 'ProductSprint Backlog'!$F78, TRUE, 0)</f>
        <v>0</v>
      </c>
      <c r="N78" s="4" cm="1">
        <f t="array" ref="N78">_xlfn.IFS('ProductSprint Backlog'!$F78="", "", AND('ProductSprint Backlog'!$J78&gt;N$2,'ProductSprint Backlog'!$I78&lt;=N$2), 'ProductSprint Backlog'!$F78 / MAX(1, 'ProductSprint Backlog'!$J78-'ProductSprint Backlog'!$I78), AND('ProductSprint Backlog'!$J78=N$2,'ProductSprint Backlog'!$I78=N$2), 'ProductSprint Backlog'!$F78, TRUE, 0)</f>
        <v>0</v>
      </c>
      <c r="O78" s="4" cm="1">
        <f t="array" ref="O78">_xlfn.IFS('ProductSprint Backlog'!$F78="", "", AND('ProductSprint Backlog'!$J78&gt;O$2,'ProductSprint Backlog'!$I78&lt;=O$2), 'ProductSprint Backlog'!$F78 / MAX(1, 'ProductSprint Backlog'!$J78-'ProductSprint Backlog'!$I78), AND('ProductSprint Backlog'!$J78=O$2,'ProductSprint Backlog'!$I78=O$2), 'ProductSprint Backlog'!$F78, TRUE, 0)</f>
        <v>0</v>
      </c>
      <c r="P78" s="4" cm="1">
        <f t="array" ref="P78">_xlfn.IFS('ProductSprint Backlog'!$F78="", "", AND('ProductSprint Backlog'!$J78&gt;P$2,'ProductSprint Backlog'!$I78&lt;=P$2), 'ProductSprint Backlog'!$F78 / MAX(1, 'ProductSprint Backlog'!$J78-'ProductSprint Backlog'!$I78), AND('ProductSprint Backlog'!$J78=P$2,'ProductSprint Backlog'!$I78=P$2), 'ProductSprint Backlog'!$F78, TRUE, 0)</f>
        <v>0</v>
      </c>
      <c r="Q78" s="4" cm="1">
        <f t="array" ref="Q78">_xlfn.IFS('ProductSprint Backlog'!$F78="", "", AND('ProductSprint Backlog'!$J78&gt;Q$2,'ProductSprint Backlog'!$I78&lt;=Q$2), 'ProductSprint Backlog'!$F78 / MAX(1, 'ProductSprint Backlog'!$J78-'ProductSprint Backlog'!$I78), AND('ProductSprint Backlog'!$J78=Q$2,'ProductSprint Backlog'!$I78=Q$2), 'ProductSprint Backlog'!$F78, TRUE, 0)</f>
        <v>0</v>
      </c>
      <c r="R78" s="4" cm="1">
        <f t="array" ref="R78">_xlfn.IFS('ProductSprint Backlog'!$F78="", "", AND('ProductSprint Backlog'!$J78&gt;R$2,'ProductSprint Backlog'!$I78&lt;=R$2), 'ProductSprint Backlog'!$F78 / MAX(1, 'ProductSprint Backlog'!$J78-'ProductSprint Backlog'!$I78), AND('ProductSprint Backlog'!$J78=R$2,'ProductSprint Backlog'!$I78=R$2), 'ProductSprint Backlog'!$F78, TRUE, 0)</f>
        <v>0</v>
      </c>
      <c r="S78" s="4" cm="1">
        <f t="array" ref="S78">_xlfn.IFS('ProductSprint Backlog'!$F78="", "", AND('ProductSprint Backlog'!$J78&gt;S$2,'ProductSprint Backlog'!$I78&lt;=S$2), 'ProductSprint Backlog'!$F78 / MAX(1, 'ProductSprint Backlog'!$J78-'ProductSprint Backlog'!$I78), AND('ProductSprint Backlog'!$J78=S$2,'ProductSprint Backlog'!$I78=S$2), 'ProductSprint Backlog'!$F78, TRUE, 0)</f>
        <v>0</v>
      </c>
      <c r="T78" s="4" cm="1">
        <f t="array" ref="T78">_xlfn.IFS('ProductSprint Backlog'!$F78="", "", AND('ProductSprint Backlog'!$J78&gt;T$2,'ProductSprint Backlog'!$I78&lt;=T$2), 'ProductSprint Backlog'!$F78 / MAX(1, 'ProductSprint Backlog'!$J78-'ProductSprint Backlog'!$I78), AND('ProductSprint Backlog'!$J78=T$2,'ProductSprint Backlog'!$I78=T$2), 'ProductSprint Backlog'!$F78, TRUE, 0)</f>
        <v>0</v>
      </c>
    </row>
    <row r="79" spans="2:20" x14ac:dyDescent="0.2">
      <c r="B79" s="4" t="str" cm="1">
        <f t="array" ref="B79">_xlfn.IFS('ProductSprint Backlog'!$F79="", "", AND('ProductSprint Backlog'!$J79&gt;B$2,'ProductSprint Backlog'!$I79&lt;=B$2), 'ProductSprint Backlog'!$F79 / MAX(1, 'ProductSprint Backlog'!$J79-'ProductSprint Backlog'!$I79), AND('ProductSprint Backlog'!$J79=B$2,'ProductSprint Backlog'!$I79=B$2), 'ProductSprint Backlog'!$F79, TRUE, 0)</f>
        <v/>
      </c>
      <c r="C79" s="4" t="str" cm="1">
        <f t="array" ref="C79">_xlfn.IFS('ProductSprint Backlog'!$F79="", "", AND('ProductSprint Backlog'!$J79&gt;C$2,'ProductSprint Backlog'!$I79&lt;=C$2), 'ProductSprint Backlog'!$F79 / MAX(1, 'ProductSprint Backlog'!$J79-'ProductSprint Backlog'!$I79), AND('ProductSprint Backlog'!$J79=C$2,'ProductSprint Backlog'!$I79=C$2), 'ProductSprint Backlog'!$F79, TRUE, 0)</f>
        <v/>
      </c>
      <c r="D79" s="4" t="str" cm="1">
        <f t="array" ref="D79">_xlfn.IFS('ProductSprint Backlog'!$F79="", "", AND('ProductSprint Backlog'!$J79&gt;D$2,'ProductSprint Backlog'!$I79&lt;=D$2), 'ProductSprint Backlog'!$F79 / MAX(1, 'ProductSprint Backlog'!$J79-'ProductSprint Backlog'!$I79), AND('ProductSprint Backlog'!$J79=D$2,'ProductSprint Backlog'!$I79=D$2), 'ProductSprint Backlog'!$F79, TRUE, 0)</f>
        <v/>
      </c>
      <c r="E79" s="4" t="str" cm="1">
        <f t="array" ref="E79">_xlfn.IFS('ProductSprint Backlog'!$F79="", "", AND('ProductSprint Backlog'!$J79&gt;E$2,'ProductSprint Backlog'!$I79&lt;=E$2), 'ProductSprint Backlog'!$F79 / MAX(1, 'ProductSprint Backlog'!$J79-'ProductSprint Backlog'!$I79), AND('ProductSprint Backlog'!$J79=E$2,'ProductSprint Backlog'!$I79=E$2), 'ProductSprint Backlog'!$F79, TRUE, 0)</f>
        <v/>
      </c>
      <c r="F79" s="4" t="str" cm="1">
        <f t="array" ref="F79">_xlfn.IFS('ProductSprint Backlog'!$F79="", "", AND('ProductSprint Backlog'!$J79&gt;F$2,'ProductSprint Backlog'!$I79&lt;=F$2), 'ProductSprint Backlog'!$F79 / MAX(1, 'ProductSprint Backlog'!$J79-'ProductSprint Backlog'!$I79), AND('ProductSprint Backlog'!$J79=F$2,'ProductSprint Backlog'!$I79=F$2), 'ProductSprint Backlog'!$F79, TRUE, 0)</f>
        <v/>
      </c>
      <c r="G79" s="4" t="str" cm="1">
        <f t="array" ref="G79">_xlfn.IFS('ProductSprint Backlog'!$F79="", "", AND('ProductSprint Backlog'!$J79&gt;G$2,'ProductSprint Backlog'!$I79&lt;=G$2), 'ProductSprint Backlog'!$F79 / MAX(1, 'ProductSprint Backlog'!$J79-'ProductSprint Backlog'!$I79), AND('ProductSprint Backlog'!$J79=G$2,'ProductSprint Backlog'!$I79=G$2), 'ProductSprint Backlog'!$F79, TRUE, 0)</f>
        <v/>
      </c>
      <c r="H79" s="4" t="str" cm="1">
        <f t="array" ref="H79">_xlfn.IFS('ProductSprint Backlog'!$F79="", "", AND('ProductSprint Backlog'!$J79&gt;H$2,'ProductSprint Backlog'!$I79&lt;=H$2), 'ProductSprint Backlog'!$F79 / MAX(1, 'ProductSprint Backlog'!$J79-'ProductSprint Backlog'!$I79), AND('ProductSprint Backlog'!$J79=H$2,'ProductSprint Backlog'!$I79=H$2), 'ProductSprint Backlog'!$F79, TRUE, 0)</f>
        <v/>
      </c>
      <c r="I79" s="4" t="str" cm="1">
        <f t="array" ref="I79">_xlfn.IFS('ProductSprint Backlog'!$F79="", "", AND('ProductSprint Backlog'!$J79&gt;I$2,'ProductSprint Backlog'!$I79&lt;=I$2), 'ProductSprint Backlog'!$F79 / MAX(1, 'ProductSprint Backlog'!$J79-'ProductSprint Backlog'!$I79), AND('ProductSprint Backlog'!$J79=I$2,'ProductSprint Backlog'!$I79=I$2), 'ProductSprint Backlog'!$F79, TRUE, 0)</f>
        <v/>
      </c>
      <c r="J79" s="4" t="str" cm="1">
        <f t="array" ref="J79">_xlfn.IFS('ProductSprint Backlog'!$F79="", "", AND('ProductSprint Backlog'!$J79&gt;J$2,'ProductSprint Backlog'!$I79&lt;=J$2), 'ProductSprint Backlog'!$F79 / MAX(1, 'ProductSprint Backlog'!$J79-'ProductSprint Backlog'!$I79), AND('ProductSprint Backlog'!$J79=J$2,'ProductSprint Backlog'!$I79=J$2), 'ProductSprint Backlog'!$F79, TRUE, 0)</f>
        <v/>
      </c>
      <c r="K79" s="4" t="str" cm="1">
        <f t="array" ref="K79">_xlfn.IFS('ProductSprint Backlog'!$F79="", "", AND('ProductSprint Backlog'!$J79&gt;K$2,'ProductSprint Backlog'!$I79&lt;=K$2), 'ProductSprint Backlog'!$F79 / MAX(1, 'ProductSprint Backlog'!$J79-'ProductSprint Backlog'!$I79), AND('ProductSprint Backlog'!$J79=K$2,'ProductSprint Backlog'!$I79=K$2), 'ProductSprint Backlog'!$F79, TRUE, 0)</f>
        <v/>
      </c>
      <c r="L79" s="4" t="str" cm="1">
        <f t="array" ref="L79">_xlfn.IFS('ProductSprint Backlog'!$F79="", "", AND('ProductSprint Backlog'!$J79&gt;L$2,'ProductSprint Backlog'!$I79&lt;=L$2), 'ProductSprint Backlog'!$F79 / MAX(1, 'ProductSprint Backlog'!$J79-'ProductSprint Backlog'!$I79), AND('ProductSprint Backlog'!$J79=L$2,'ProductSprint Backlog'!$I79=L$2), 'ProductSprint Backlog'!$F79, TRUE, 0)</f>
        <v/>
      </c>
      <c r="M79" s="4" t="str" cm="1">
        <f t="array" ref="M79">_xlfn.IFS('ProductSprint Backlog'!$F79="", "", AND('ProductSprint Backlog'!$J79&gt;M$2,'ProductSprint Backlog'!$I79&lt;=M$2), 'ProductSprint Backlog'!$F79 / MAX(1, 'ProductSprint Backlog'!$J79-'ProductSprint Backlog'!$I79), AND('ProductSprint Backlog'!$J79=M$2,'ProductSprint Backlog'!$I79=M$2), 'ProductSprint Backlog'!$F79, TRUE, 0)</f>
        <v/>
      </c>
      <c r="N79" s="4" t="str" cm="1">
        <f t="array" ref="N79">_xlfn.IFS('ProductSprint Backlog'!$F79="", "", AND('ProductSprint Backlog'!$J79&gt;N$2,'ProductSprint Backlog'!$I79&lt;=N$2), 'ProductSprint Backlog'!$F79 / MAX(1, 'ProductSprint Backlog'!$J79-'ProductSprint Backlog'!$I79), AND('ProductSprint Backlog'!$J79=N$2,'ProductSprint Backlog'!$I79=N$2), 'ProductSprint Backlog'!$F79, TRUE, 0)</f>
        <v/>
      </c>
      <c r="O79" s="4" t="str" cm="1">
        <f t="array" ref="O79">_xlfn.IFS('ProductSprint Backlog'!$F79="", "", AND('ProductSprint Backlog'!$J79&gt;O$2,'ProductSprint Backlog'!$I79&lt;=O$2), 'ProductSprint Backlog'!$F79 / MAX(1, 'ProductSprint Backlog'!$J79-'ProductSprint Backlog'!$I79), AND('ProductSprint Backlog'!$J79=O$2,'ProductSprint Backlog'!$I79=O$2), 'ProductSprint Backlog'!$F79, TRUE, 0)</f>
        <v/>
      </c>
      <c r="P79" s="4" t="str" cm="1">
        <f t="array" ref="P79">_xlfn.IFS('ProductSprint Backlog'!$F79="", "", AND('ProductSprint Backlog'!$J79&gt;P$2,'ProductSprint Backlog'!$I79&lt;=P$2), 'ProductSprint Backlog'!$F79 / MAX(1, 'ProductSprint Backlog'!$J79-'ProductSprint Backlog'!$I79), AND('ProductSprint Backlog'!$J79=P$2,'ProductSprint Backlog'!$I79=P$2), 'ProductSprint Backlog'!$F79, TRUE, 0)</f>
        <v/>
      </c>
      <c r="Q79" s="4" t="str" cm="1">
        <f t="array" ref="Q79">_xlfn.IFS('ProductSprint Backlog'!$F79="", "", AND('ProductSprint Backlog'!$J79&gt;Q$2,'ProductSprint Backlog'!$I79&lt;=Q$2), 'ProductSprint Backlog'!$F79 / MAX(1, 'ProductSprint Backlog'!$J79-'ProductSprint Backlog'!$I79), AND('ProductSprint Backlog'!$J79=Q$2,'ProductSprint Backlog'!$I79=Q$2), 'ProductSprint Backlog'!$F79, TRUE, 0)</f>
        <v/>
      </c>
      <c r="R79" s="4" t="str" cm="1">
        <f t="array" ref="R79">_xlfn.IFS('ProductSprint Backlog'!$F79="", "", AND('ProductSprint Backlog'!$J79&gt;R$2,'ProductSprint Backlog'!$I79&lt;=R$2), 'ProductSprint Backlog'!$F79 / MAX(1, 'ProductSprint Backlog'!$J79-'ProductSprint Backlog'!$I79), AND('ProductSprint Backlog'!$J79=R$2,'ProductSprint Backlog'!$I79=R$2), 'ProductSprint Backlog'!$F79, TRUE, 0)</f>
        <v/>
      </c>
      <c r="S79" s="4" t="str" cm="1">
        <f t="array" ref="S79">_xlfn.IFS('ProductSprint Backlog'!$F79="", "", AND('ProductSprint Backlog'!$J79&gt;S$2,'ProductSprint Backlog'!$I79&lt;=S$2), 'ProductSprint Backlog'!$F79 / MAX(1, 'ProductSprint Backlog'!$J79-'ProductSprint Backlog'!$I79), AND('ProductSprint Backlog'!$J79=S$2,'ProductSprint Backlog'!$I79=S$2), 'ProductSprint Backlog'!$F79, TRUE, 0)</f>
        <v/>
      </c>
      <c r="T79" s="4" t="str" cm="1">
        <f t="array" ref="T79">_xlfn.IFS('ProductSprint Backlog'!$F79="", "", AND('ProductSprint Backlog'!$J79&gt;T$2,'ProductSprint Backlog'!$I79&lt;=T$2), 'ProductSprint Backlog'!$F79 / MAX(1, 'ProductSprint Backlog'!$J79-'ProductSprint Backlog'!$I79), AND('ProductSprint Backlog'!$J79=T$2,'ProductSprint Backlog'!$I79=T$2), 'ProductSprint Backlog'!$F79, TRUE, 0)</f>
        <v/>
      </c>
    </row>
    <row r="80" spans="2:20" x14ac:dyDescent="0.2">
      <c r="B80" s="4" cm="1">
        <f t="array" ref="B80">_xlfn.IFS('ProductSprint Backlog'!$F80="", "", AND('ProductSprint Backlog'!$J80&gt;B$2,'ProductSprint Backlog'!$I80&lt;=B$2), 'ProductSprint Backlog'!$F80 / MAX(1, 'ProductSprint Backlog'!$J80-'ProductSprint Backlog'!$I80), AND('ProductSprint Backlog'!$J80=B$2,'ProductSprint Backlog'!$I80=B$2), 'ProductSprint Backlog'!$F80, TRUE, 0)</f>
        <v>0</v>
      </c>
      <c r="C80" s="4" cm="1">
        <f t="array" ref="C80">_xlfn.IFS('ProductSprint Backlog'!$F80="", "", AND('ProductSprint Backlog'!$J80&gt;C$2,'ProductSprint Backlog'!$I80&lt;=C$2), 'ProductSprint Backlog'!$F80 / MAX(1, 'ProductSprint Backlog'!$J80-'ProductSprint Backlog'!$I80), AND('ProductSprint Backlog'!$J80=C$2,'ProductSprint Backlog'!$I80=C$2), 'ProductSprint Backlog'!$F80, TRUE, 0)</f>
        <v>0</v>
      </c>
      <c r="D80" s="4" cm="1">
        <f t="array" ref="D80">_xlfn.IFS('ProductSprint Backlog'!$F80="", "", AND('ProductSprint Backlog'!$J80&gt;D$2,'ProductSprint Backlog'!$I80&lt;=D$2), 'ProductSprint Backlog'!$F80 / MAX(1, 'ProductSprint Backlog'!$J80-'ProductSprint Backlog'!$I80), AND('ProductSprint Backlog'!$J80=D$2,'ProductSprint Backlog'!$I80=D$2), 'ProductSprint Backlog'!$F80, TRUE, 0)</f>
        <v>0</v>
      </c>
      <c r="E80" s="4" cm="1">
        <f t="array" ref="E80">_xlfn.IFS('ProductSprint Backlog'!$F80="", "", AND('ProductSprint Backlog'!$J80&gt;E$2,'ProductSprint Backlog'!$I80&lt;=E$2), 'ProductSprint Backlog'!$F80 / MAX(1, 'ProductSprint Backlog'!$J80-'ProductSprint Backlog'!$I80), AND('ProductSprint Backlog'!$J80=E$2,'ProductSprint Backlog'!$I80=E$2), 'ProductSprint Backlog'!$F80, TRUE, 0)</f>
        <v>0</v>
      </c>
      <c r="F80" s="4" cm="1">
        <f t="array" ref="F80">_xlfn.IFS('ProductSprint Backlog'!$F80="", "", AND('ProductSprint Backlog'!$J80&gt;F$2,'ProductSprint Backlog'!$I80&lt;=F$2), 'ProductSprint Backlog'!$F80 / MAX(1, 'ProductSprint Backlog'!$J80-'ProductSprint Backlog'!$I80), AND('ProductSprint Backlog'!$J80=F$2,'ProductSprint Backlog'!$I80=F$2), 'ProductSprint Backlog'!$F80, TRUE, 0)</f>
        <v>0</v>
      </c>
      <c r="G80" s="4" cm="1">
        <f t="array" ref="G80">_xlfn.IFS('ProductSprint Backlog'!$F80="", "", AND('ProductSprint Backlog'!$J80&gt;G$2,'ProductSprint Backlog'!$I80&lt;=G$2), 'ProductSprint Backlog'!$F80 / MAX(1, 'ProductSprint Backlog'!$J80-'ProductSprint Backlog'!$I80), AND('ProductSprint Backlog'!$J80=G$2,'ProductSprint Backlog'!$I80=G$2), 'ProductSprint Backlog'!$F80, TRUE, 0)</f>
        <v>0</v>
      </c>
      <c r="H80" s="4" cm="1">
        <f t="array" ref="H80">_xlfn.IFS('ProductSprint Backlog'!$F80="", "", AND('ProductSprint Backlog'!$J80&gt;H$2,'ProductSprint Backlog'!$I80&lt;=H$2), 'ProductSprint Backlog'!$F80 / MAX(1, 'ProductSprint Backlog'!$J80-'ProductSprint Backlog'!$I80), AND('ProductSprint Backlog'!$J80=H$2,'ProductSprint Backlog'!$I80=H$2), 'ProductSprint Backlog'!$F80, TRUE, 0)</f>
        <v>0</v>
      </c>
      <c r="I80" s="4" cm="1">
        <f t="array" ref="I80">_xlfn.IFS('ProductSprint Backlog'!$F80="", "", AND('ProductSprint Backlog'!$J80&gt;I$2,'ProductSprint Backlog'!$I80&lt;=I$2), 'ProductSprint Backlog'!$F80 / MAX(1, 'ProductSprint Backlog'!$J80-'ProductSprint Backlog'!$I80), AND('ProductSprint Backlog'!$J80=I$2,'ProductSprint Backlog'!$I80=I$2), 'ProductSprint Backlog'!$F80, TRUE, 0)</f>
        <v>0</v>
      </c>
      <c r="J80" s="4" cm="1">
        <f t="array" ref="J80">_xlfn.IFS('ProductSprint Backlog'!$F80="", "", AND('ProductSprint Backlog'!$J80&gt;J$2,'ProductSprint Backlog'!$I80&lt;=J$2), 'ProductSprint Backlog'!$F80 / MAX(1, 'ProductSprint Backlog'!$J80-'ProductSprint Backlog'!$I80), AND('ProductSprint Backlog'!$J80=J$2,'ProductSprint Backlog'!$I80=J$2), 'ProductSprint Backlog'!$F80, TRUE, 0)</f>
        <v>0</v>
      </c>
      <c r="K80" s="4" cm="1">
        <f t="array" ref="K80">_xlfn.IFS('ProductSprint Backlog'!$F80="", "", AND('ProductSprint Backlog'!$J80&gt;K$2,'ProductSprint Backlog'!$I80&lt;=K$2), 'ProductSprint Backlog'!$F80 / MAX(1, 'ProductSprint Backlog'!$J80-'ProductSprint Backlog'!$I80), AND('ProductSprint Backlog'!$J80=K$2,'ProductSprint Backlog'!$I80=K$2), 'ProductSprint Backlog'!$F80, TRUE, 0)</f>
        <v>0</v>
      </c>
      <c r="L80" s="4" cm="1">
        <f t="array" ref="L80">_xlfn.IFS('ProductSprint Backlog'!$F80="", "", AND('ProductSprint Backlog'!$J80&gt;L$2,'ProductSprint Backlog'!$I80&lt;=L$2), 'ProductSprint Backlog'!$F80 / MAX(1, 'ProductSprint Backlog'!$J80-'ProductSprint Backlog'!$I80), AND('ProductSprint Backlog'!$J80=L$2,'ProductSprint Backlog'!$I80=L$2), 'ProductSprint Backlog'!$F80, TRUE, 0)</f>
        <v>0</v>
      </c>
      <c r="M80" s="4" cm="1">
        <f t="array" ref="M80">_xlfn.IFS('ProductSprint Backlog'!$F80="", "", AND('ProductSprint Backlog'!$J80&gt;M$2,'ProductSprint Backlog'!$I80&lt;=M$2), 'ProductSprint Backlog'!$F80 / MAX(1, 'ProductSprint Backlog'!$J80-'ProductSprint Backlog'!$I80), AND('ProductSprint Backlog'!$J80=M$2,'ProductSprint Backlog'!$I80=M$2), 'ProductSprint Backlog'!$F80, TRUE, 0)</f>
        <v>0</v>
      </c>
      <c r="N80" s="4" cm="1">
        <f t="array" ref="N80">_xlfn.IFS('ProductSprint Backlog'!$F80="", "", AND('ProductSprint Backlog'!$J80&gt;N$2,'ProductSprint Backlog'!$I80&lt;=N$2), 'ProductSprint Backlog'!$F80 / MAX(1, 'ProductSprint Backlog'!$J80-'ProductSprint Backlog'!$I80), AND('ProductSprint Backlog'!$J80=N$2,'ProductSprint Backlog'!$I80=N$2), 'ProductSprint Backlog'!$F80, TRUE, 0)</f>
        <v>0</v>
      </c>
      <c r="O80" s="4" cm="1">
        <f t="array" ref="O80">_xlfn.IFS('ProductSprint Backlog'!$F80="", "", AND('ProductSprint Backlog'!$J80&gt;O$2,'ProductSprint Backlog'!$I80&lt;=O$2), 'ProductSprint Backlog'!$F80 / MAX(1, 'ProductSprint Backlog'!$J80-'ProductSprint Backlog'!$I80), AND('ProductSprint Backlog'!$J80=O$2,'ProductSprint Backlog'!$I80=O$2), 'ProductSprint Backlog'!$F80, TRUE, 0)</f>
        <v>0</v>
      </c>
      <c r="P80" s="4" cm="1">
        <f t="array" ref="P80">_xlfn.IFS('ProductSprint Backlog'!$F80="", "", AND('ProductSprint Backlog'!$J80&gt;P$2,'ProductSprint Backlog'!$I80&lt;=P$2), 'ProductSprint Backlog'!$F80 / MAX(1, 'ProductSprint Backlog'!$J80-'ProductSprint Backlog'!$I80), AND('ProductSprint Backlog'!$J80=P$2,'ProductSprint Backlog'!$I80=P$2), 'ProductSprint Backlog'!$F80, TRUE, 0)</f>
        <v>0</v>
      </c>
      <c r="Q80" s="4" cm="1">
        <f t="array" ref="Q80">_xlfn.IFS('ProductSprint Backlog'!$F80="", "", AND('ProductSprint Backlog'!$J80&gt;Q$2,'ProductSprint Backlog'!$I80&lt;=Q$2), 'ProductSprint Backlog'!$F80 / MAX(1, 'ProductSprint Backlog'!$J80-'ProductSprint Backlog'!$I80), AND('ProductSprint Backlog'!$J80=Q$2,'ProductSprint Backlog'!$I80=Q$2), 'ProductSprint Backlog'!$F80, TRUE, 0)</f>
        <v>0</v>
      </c>
      <c r="R80" s="4" cm="1">
        <f t="array" ref="R80">_xlfn.IFS('ProductSprint Backlog'!$F80="", "", AND('ProductSprint Backlog'!$J80&gt;R$2,'ProductSprint Backlog'!$I80&lt;=R$2), 'ProductSprint Backlog'!$F80 / MAX(1, 'ProductSprint Backlog'!$J80-'ProductSprint Backlog'!$I80), AND('ProductSprint Backlog'!$J80=R$2,'ProductSprint Backlog'!$I80=R$2), 'ProductSprint Backlog'!$F80, TRUE, 0)</f>
        <v>0</v>
      </c>
      <c r="S80" s="4" cm="1">
        <f t="array" ref="S80">_xlfn.IFS('ProductSprint Backlog'!$F80="", "", AND('ProductSprint Backlog'!$J80&gt;S$2,'ProductSprint Backlog'!$I80&lt;=S$2), 'ProductSprint Backlog'!$F80 / MAX(1, 'ProductSprint Backlog'!$J80-'ProductSprint Backlog'!$I80), AND('ProductSprint Backlog'!$J80=S$2,'ProductSprint Backlog'!$I80=S$2), 'ProductSprint Backlog'!$F80, TRUE, 0)</f>
        <v>0</v>
      </c>
      <c r="T80" s="4" cm="1">
        <f t="array" ref="T80">_xlfn.IFS('ProductSprint Backlog'!$F80="", "", AND('ProductSprint Backlog'!$J80&gt;T$2,'ProductSprint Backlog'!$I80&lt;=T$2), 'ProductSprint Backlog'!$F80 / MAX(1, 'ProductSprint Backlog'!$J80-'ProductSprint Backlog'!$I80), AND('ProductSprint Backlog'!$J80=T$2,'ProductSprint Backlog'!$I80=T$2), 'ProductSprint Backlog'!$F80, TRUE, 0)</f>
        <v>0</v>
      </c>
    </row>
    <row r="81" spans="2:20" x14ac:dyDescent="0.2">
      <c r="B81" s="4" cm="1">
        <f t="array" ref="B81">_xlfn.IFS('ProductSprint Backlog'!$F81="", "", AND('ProductSprint Backlog'!$J81&gt;B$2,'ProductSprint Backlog'!$I81&lt;=B$2), 'ProductSprint Backlog'!$F81 / MAX(1, 'ProductSprint Backlog'!$J81-'ProductSprint Backlog'!$I81), AND('ProductSprint Backlog'!$J81=B$2,'ProductSprint Backlog'!$I81=B$2), 'ProductSprint Backlog'!$F81, TRUE, 0)</f>
        <v>0</v>
      </c>
      <c r="C81" s="4" cm="1">
        <f t="array" ref="C81">_xlfn.IFS('ProductSprint Backlog'!$F81="", "", AND('ProductSprint Backlog'!$J81&gt;C$2,'ProductSprint Backlog'!$I81&lt;=C$2), 'ProductSprint Backlog'!$F81 / MAX(1, 'ProductSprint Backlog'!$J81-'ProductSprint Backlog'!$I81), AND('ProductSprint Backlog'!$J81=C$2,'ProductSprint Backlog'!$I81=C$2), 'ProductSprint Backlog'!$F81, TRUE, 0)</f>
        <v>0</v>
      </c>
      <c r="D81" s="4" cm="1">
        <f t="array" ref="D81">_xlfn.IFS('ProductSprint Backlog'!$F81="", "", AND('ProductSprint Backlog'!$J81&gt;D$2,'ProductSprint Backlog'!$I81&lt;=D$2), 'ProductSprint Backlog'!$F81 / MAX(1, 'ProductSprint Backlog'!$J81-'ProductSprint Backlog'!$I81), AND('ProductSprint Backlog'!$J81=D$2,'ProductSprint Backlog'!$I81=D$2), 'ProductSprint Backlog'!$F81, TRUE, 0)</f>
        <v>0</v>
      </c>
      <c r="E81" s="4" cm="1">
        <f t="array" ref="E81">_xlfn.IFS('ProductSprint Backlog'!$F81="", "", AND('ProductSprint Backlog'!$J81&gt;E$2,'ProductSprint Backlog'!$I81&lt;=E$2), 'ProductSprint Backlog'!$F81 / MAX(1, 'ProductSprint Backlog'!$J81-'ProductSprint Backlog'!$I81), AND('ProductSprint Backlog'!$J81=E$2,'ProductSprint Backlog'!$I81=E$2), 'ProductSprint Backlog'!$F81, TRUE, 0)</f>
        <v>0</v>
      </c>
      <c r="F81" s="4" cm="1">
        <f t="array" ref="F81">_xlfn.IFS('ProductSprint Backlog'!$F81="", "", AND('ProductSprint Backlog'!$J81&gt;F$2,'ProductSprint Backlog'!$I81&lt;=F$2), 'ProductSprint Backlog'!$F81 / MAX(1, 'ProductSprint Backlog'!$J81-'ProductSprint Backlog'!$I81), AND('ProductSprint Backlog'!$J81=F$2,'ProductSprint Backlog'!$I81=F$2), 'ProductSprint Backlog'!$F81, TRUE, 0)</f>
        <v>0</v>
      </c>
      <c r="G81" s="4" cm="1">
        <f t="array" ref="G81">_xlfn.IFS('ProductSprint Backlog'!$F81="", "", AND('ProductSprint Backlog'!$J81&gt;G$2,'ProductSprint Backlog'!$I81&lt;=G$2), 'ProductSprint Backlog'!$F81 / MAX(1, 'ProductSprint Backlog'!$J81-'ProductSprint Backlog'!$I81), AND('ProductSprint Backlog'!$J81=G$2,'ProductSprint Backlog'!$I81=G$2), 'ProductSprint Backlog'!$F81, TRUE, 0)</f>
        <v>0</v>
      </c>
      <c r="H81" s="4" cm="1">
        <f t="array" ref="H81">_xlfn.IFS('ProductSprint Backlog'!$F81="", "", AND('ProductSprint Backlog'!$J81&gt;H$2,'ProductSprint Backlog'!$I81&lt;=H$2), 'ProductSprint Backlog'!$F81 / MAX(1, 'ProductSprint Backlog'!$J81-'ProductSprint Backlog'!$I81), AND('ProductSprint Backlog'!$J81=H$2,'ProductSprint Backlog'!$I81=H$2), 'ProductSprint Backlog'!$F81, TRUE, 0)</f>
        <v>0</v>
      </c>
      <c r="I81" s="4" cm="1">
        <f t="array" ref="I81">_xlfn.IFS('ProductSprint Backlog'!$F81="", "", AND('ProductSprint Backlog'!$J81&gt;I$2,'ProductSprint Backlog'!$I81&lt;=I$2), 'ProductSprint Backlog'!$F81 / MAX(1, 'ProductSprint Backlog'!$J81-'ProductSprint Backlog'!$I81), AND('ProductSprint Backlog'!$J81=I$2,'ProductSprint Backlog'!$I81=I$2), 'ProductSprint Backlog'!$F81, TRUE, 0)</f>
        <v>0</v>
      </c>
      <c r="J81" s="4" cm="1">
        <f t="array" ref="J81">_xlfn.IFS('ProductSprint Backlog'!$F81="", "", AND('ProductSprint Backlog'!$J81&gt;J$2,'ProductSprint Backlog'!$I81&lt;=J$2), 'ProductSprint Backlog'!$F81 / MAX(1, 'ProductSprint Backlog'!$J81-'ProductSprint Backlog'!$I81), AND('ProductSprint Backlog'!$J81=J$2,'ProductSprint Backlog'!$I81=J$2), 'ProductSprint Backlog'!$F81, TRUE, 0)</f>
        <v>0</v>
      </c>
      <c r="K81" s="4" cm="1">
        <f t="array" ref="K81">_xlfn.IFS('ProductSprint Backlog'!$F81="", "", AND('ProductSprint Backlog'!$J81&gt;K$2,'ProductSprint Backlog'!$I81&lt;=K$2), 'ProductSprint Backlog'!$F81 / MAX(1, 'ProductSprint Backlog'!$J81-'ProductSprint Backlog'!$I81), AND('ProductSprint Backlog'!$J81=K$2,'ProductSprint Backlog'!$I81=K$2), 'ProductSprint Backlog'!$F81, TRUE, 0)</f>
        <v>0</v>
      </c>
      <c r="L81" s="4" cm="1">
        <f t="array" ref="L81">_xlfn.IFS('ProductSprint Backlog'!$F81="", "", AND('ProductSprint Backlog'!$J81&gt;L$2,'ProductSprint Backlog'!$I81&lt;=L$2), 'ProductSprint Backlog'!$F81 / MAX(1, 'ProductSprint Backlog'!$J81-'ProductSprint Backlog'!$I81), AND('ProductSprint Backlog'!$J81=L$2,'ProductSprint Backlog'!$I81=L$2), 'ProductSprint Backlog'!$F81, TRUE, 0)</f>
        <v>0</v>
      </c>
      <c r="M81" s="4" cm="1">
        <f t="array" ref="M81">_xlfn.IFS('ProductSprint Backlog'!$F81="", "", AND('ProductSprint Backlog'!$J81&gt;M$2,'ProductSprint Backlog'!$I81&lt;=M$2), 'ProductSprint Backlog'!$F81 / MAX(1, 'ProductSprint Backlog'!$J81-'ProductSprint Backlog'!$I81), AND('ProductSprint Backlog'!$J81=M$2,'ProductSprint Backlog'!$I81=M$2), 'ProductSprint Backlog'!$F81, TRUE, 0)</f>
        <v>0</v>
      </c>
      <c r="N81" s="4" cm="1">
        <f t="array" ref="N81">_xlfn.IFS('ProductSprint Backlog'!$F81="", "", AND('ProductSprint Backlog'!$J81&gt;N$2,'ProductSprint Backlog'!$I81&lt;=N$2), 'ProductSprint Backlog'!$F81 / MAX(1, 'ProductSprint Backlog'!$J81-'ProductSprint Backlog'!$I81), AND('ProductSprint Backlog'!$J81=N$2,'ProductSprint Backlog'!$I81=N$2), 'ProductSprint Backlog'!$F81, TRUE, 0)</f>
        <v>0</v>
      </c>
      <c r="O81" s="4" cm="1">
        <f t="array" ref="O81">_xlfn.IFS('ProductSprint Backlog'!$F81="", "", AND('ProductSprint Backlog'!$J81&gt;O$2,'ProductSprint Backlog'!$I81&lt;=O$2), 'ProductSprint Backlog'!$F81 / MAX(1, 'ProductSprint Backlog'!$J81-'ProductSprint Backlog'!$I81), AND('ProductSprint Backlog'!$J81=O$2,'ProductSprint Backlog'!$I81=O$2), 'ProductSprint Backlog'!$F81, TRUE, 0)</f>
        <v>0</v>
      </c>
      <c r="P81" s="4" cm="1">
        <f t="array" ref="P81">_xlfn.IFS('ProductSprint Backlog'!$F81="", "", AND('ProductSprint Backlog'!$J81&gt;P$2,'ProductSprint Backlog'!$I81&lt;=P$2), 'ProductSprint Backlog'!$F81 / MAX(1, 'ProductSprint Backlog'!$J81-'ProductSprint Backlog'!$I81), AND('ProductSprint Backlog'!$J81=P$2,'ProductSprint Backlog'!$I81=P$2), 'ProductSprint Backlog'!$F81, TRUE, 0)</f>
        <v>0</v>
      </c>
      <c r="Q81" s="4" cm="1">
        <f t="array" ref="Q81">_xlfn.IFS('ProductSprint Backlog'!$F81="", "", AND('ProductSprint Backlog'!$J81&gt;Q$2,'ProductSprint Backlog'!$I81&lt;=Q$2), 'ProductSprint Backlog'!$F81 / MAX(1, 'ProductSprint Backlog'!$J81-'ProductSprint Backlog'!$I81), AND('ProductSprint Backlog'!$J81=Q$2,'ProductSprint Backlog'!$I81=Q$2), 'ProductSprint Backlog'!$F81, TRUE, 0)</f>
        <v>0</v>
      </c>
      <c r="R81" s="4" cm="1">
        <f t="array" ref="R81">_xlfn.IFS('ProductSprint Backlog'!$F81="", "", AND('ProductSprint Backlog'!$J81&gt;R$2,'ProductSprint Backlog'!$I81&lt;=R$2), 'ProductSprint Backlog'!$F81 / MAX(1, 'ProductSprint Backlog'!$J81-'ProductSprint Backlog'!$I81), AND('ProductSprint Backlog'!$J81=R$2,'ProductSprint Backlog'!$I81=R$2), 'ProductSprint Backlog'!$F81, TRUE, 0)</f>
        <v>0</v>
      </c>
      <c r="S81" s="4" cm="1">
        <f t="array" ref="S81">_xlfn.IFS('ProductSprint Backlog'!$F81="", "", AND('ProductSprint Backlog'!$J81&gt;S$2,'ProductSprint Backlog'!$I81&lt;=S$2), 'ProductSprint Backlog'!$F81 / MAX(1, 'ProductSprint Backlog'!$J81-'ProductSprint Backlog'!$I81), AND('ProductSprint Backlog'!$J81=S$2,'ProductSprint Backlog'!$I81=S$2), 'ProductSprint Backlog'!$F81, TRUE, 0)</f>
        <v>0</v>
      </c>
      <c r="T81" s="4" cm="1">
        <f t="array" ref="T81">_xlfn.IFS('ProductSprint Backlog'!$F81="", "", AND('ProductSprint Backlog'!$J81&gt;T$2,'ProductSprint Backlog'!$I81&lt;=T$2), 'ProductSprint Backlog'!$F81 / MAX(1, 'ProductSprint Backlog'!$J81-'ProductSprint Backlog'!$I81), AND('ProductSprint Backlog'!$J81=T$2,'ProductSprint Backlog'!$I81=T$2), 'ProductSprint Backlog'!$F81, TRUE, 0)</f>
        <v>0</v>
      </c>
    </row>
    <row r="82" spans="2:20" x14ac:dyDescent="0.2">
      <c r="B82" s="4" cm="1">
        <f t="array" ref="B82">_xlfn.IFS('ProductSprint Backlog'!$F82="", "", AND('ProductSprint Backlog'!$J82&gt;B$2,'ProductSprint Backlog'!$I82&lt;=B$2), 'ProductSprint Backlog'!$F82 / MAX(1, 'ProductSprint Backlog'!$J82-'ProductSprint Backlog'!$I82), AND('ProductSprint Backlog'!$J82=B$2,'ProductSprint Backlog'!$I82=B$2), 'ProductSprint Backlog'!$F82, TRUE, 0)</f>
        <v>0</v>
      </c>
      <c r="C82" s="4" cm="1">
        <f t="array" ref="C82">_xlfn.IFS('ProductSprint Backlog'!$F82="", "", AND('ProductSprint Backlog'!$J82&gt;C$2,'ProductSprint Backlog'!$I82&lt;=C$2), 'ProductSprint Backlog'!$F82 / MAX(1, 'ProductSprint Backlog'!$J82-'ProductSprint Backlog'!$I82), AND('ProductSprint Backlog'!$J82=C$2,'ProductSprint Backlog'!$I82=C$2), 'ProductSprint Backlog'!$F82, TRUE, 0)</f>
        <v>0</v>
      </c>
      <c r="D82" s="4" cm="1">
        <f t="array" ref="D82">_xlfn.IFS('ProductSprint Backlog'!$F82="", "", AND('ProductSprint Backlog'!$J82&gt;D$2,'ProductSprint Backlog'!$I82&lt;=D$2), 'ProductSprint Backlog'!$F82 / MAX(1, 'ProductSprint Backlog'!$J82-'ProductSprint Backlog'!$I82), AND('ProductSprint Backlog'!$J82=D$2,'ProductSprint Backlog'!$I82=D$2), 'ProductSprint Backlog'!$F82, TRUE, 0)</f>
        <v>0</v>
      </c>
      <c r="E82" s="4" cm="1">
        <f t="array" ref="E82">_xlfn.IFS('ProductSprint Backlog'!$F82="", "", AND('ProductSprint Backlog'!$J82&gt;E$2,'ProductSprint Backlog'!$I82&lt;=E$2), 'ProductSprint Backlog'!$F82 / MAX(1, 'ProductSprint Backlog'!$J82-'ProductSprint Backlog'!$I82), AND('ProductSprint Backlog'!$J82=E$2,'ProductSprint Backlog'!$I82=E$2), 'ProductSprint Backlog'!$F82, TRUE, 0)</f>
        <v>0</v>
      </c>
      <c r="F82" s="4" cm="1">
        <f t="array" ref="F82">_xlfn.IFS('ProductSprint Backlog'!$F82="", "", AND('ProductSprint Backlog'!$J82&gt;F$2,'ProductSprint Backlog'!$I82&lt;=F$2), 'ProductSprint Backlog'!$F82 / MAX(1, 'ProductSprint Backlog'!$J82-'ProductSprint Backlog'!$I82), AND('ProductSprint Backlog'!$J82=F$2,'ProductSprint Backlog'!$I82=F$2), 'ProductSprint Backlog'!$F82, TRUE, 0)</f>
        <v>0</v>
      </c>
      <c r="G82" s="4" cm="1">
        <f t="array" ref="G82">_xlfn.IFS('ProductSprint Backlog'!$F82="", "", AND('ProductSprint Backlog'!$J82&gt;G$2,'ProductSprint Backlog'!$I82&lt;=G$2), 'ProductSprint Backlog'!$F82 / MAX(1, 'ProductSprint Backlog'!$J82-'ProductSprint Backlog'!$I82), AND('ProductSprint Backlog'!$J82=G$2,'ProductSprint Backlog'!$I82=G$2), 'ProductSprint Backlog'!$F82, TRUE, 0)</f>
        <v>0</v>
      </c>
      <c r="H82" s="4" cm="1">
        <f t="array" ref="H82">_xlfn.IFS('ProductSprint Backlog'!$F82="", "", AND('ProductSprint Backlog'!$J82&gt;H$2,'ProductSprint Backlog'!$I82&lt;=H$2), 'ProductSprint Backlog'!$F82 / MAX(1, 'ProductSprint Backlog'!$J82-'ProductSprint Backlog'!$I82), AND('ProductSprint Backlog'!$J82=H$2,'ProductSprint Backlog'!$I82=H$2), 'ProductSprint Backlog'!$F82, TRUE, 0)</f>
        <v>0</v>
      </c>
      <c r="I82" s="4" cm="1">
        <f t="array" ref="I82">_xlfn.IFS('ProductSprint Backlog'!$F82="", "", AND('ProductSprint Backlog'!$J82&gt;I$2,'ProductSprint Backlog'!$I82&lt;=I$2), 'ProductSprint Backlog'!$F82 / MAX(1, 'ProductSprint Backlog'!$J82-'ProductSprint Backlog'!$I82), AND('ProductSprint Backlog'!$J82=I$2,'ProductSprint Backlog'!$I82=I$2), 'ProductSprint Backlog'!$F82, TRUE, 0)</f>
        <v>0</v>
      </c>
      <c r="J82" s="4" cm="1">
        <f t="array" ref="J82">_xlfn.IFS('ProductSprint Backlog'!$F82="", "", AND('ProductSprint Backlog'!$J82&gt;J$2,'ProductSprint Backlog'!$I82&lt;=J$2), 'ProductSprint Backlog'!$F82 / MAX(1, 'ProductSprint Backlog'!$J82-'ProductSprint Backlog'!$I82), AND('ProductSprint Backlog'!$J82=J$2,'ProductSprint Backlog'!$I82=J$2), 'ProductSprint Backlog'!$F82, TRUE, 0)</f>
        <v>0</v>
      </c>
      <c r="K82" s="4" cm="1">
        <f t="array" ref="K82">_xlfn.IFS('ProductSprint Backlog'!$F82="", "", AND('ProductSprint Backlog'!$J82&gt;K$2,'ProductSprint Backlog'!$I82&lt;=K$2), 'ProductSprint Backlog'!$F82 / MAX(1, 'ProductSprint Backlog'!$J82-'ProductSprint Backlog'!$I82), AND('ProductSprint Backlog'!$J82=K$2,'ProductSprint Backlog'!$I82=K$2), 'ProductSprint Backlog'!$F82, TRUE, 0)</f>
        <v>0</v>
      </c>
      <c r="L82" s="4" cm="1">
        <f t="array" ref="L82">_xlfn.IFS('ProductSprint Backlog'!$F82="", "", AND('ProductSprint Backlog'!$J82&gt;L$2,'ProductSprint Backlog'!$I82&lt;=L$2), 'ProductSprint Backlog'!$F82 / MAX(1, 'ProductSprint Backlog'!$J82-'ProductSprint Backlog'!$I82), AND('ProductSprint Backlog'!$J82=L$2,'ProductSprint Backlog'!$I82=L$2), 'ProductSprint Backlog'!$F82, TRUE, 0)</f>
        <v>0</v>
      </c>
      <c r="M82" s="4" cm="1">
        <f t="array" ref="M82">_xlfn.IFS('ProductSprint Backlog'!$F82="", "", AND('ProductSprint Backlog'!$J82&gt;M$2,'ProductSprint Backlog'!$I82&lt;=M$2), 'ProductSprint Backlog'!$F82 / MAX(1, 'ProductSprint Backlog'!$J82-'ProductSprint Backlog'!$I82), AND('ProductSprint Backlog'!$J82=M$2,'ProductSprint Backlog'!$I82=M$2), 'ProductSprint Backlog'!$F82, TRUE, 0)</f>
        <v>0</v>
      </c>
      <c r="N82" s="4" cm="1">
        <f t="array" ref="N82">_xlfn.IFS('ProductSprint Backlog'!$F82="", "", AND('ProductSprint Backlog'!$J82&gt;N$2,'ProductSprint Backlog'!$I82&lt;=N$2), 'ProductSprint Backlog'!$F82 / MAX(1, 'ProductSprint Backlog'!$J82-'ProductSprint Backlog'!$I82), AND('ProductSprint Backlog'!$J82=N$2,'ProductSprint Backlog'!$I82=N$2), 'ProductSprint Backlog'!$F82, TRUE, 0)</f>
        <v>0</v>
      </c>
      <c r="O82" s="4" cm="1">
        <f t="array" ref="O82">_xlfn.IFS('ProductSprint Backlog'!$F82="", "", AND('ProductSprint Backlog'!$J82&gt;O$2,'ProductSprint Backlog'!$I82&lt;=O$2), 'ProductSprint Backlog'!$F82 / MAX(1, 'ProductSprint Backlog'!$J82-'ProductSprint Backlog'!$I82), AND('ProductSprint Backlog'!$J82=O$2,'ProductSprint Backlog'!$I82=O$2), 'ProductSprint Backlog'!$F82, TRUE, 0)</f>
        <v>0</v>
      </c>
      <c r="P82" s="4" cm="1">
        <f t="array" ref="P82">_xlfn.IFS('ProductSprint Backlog'!$F82="", "", AND('ProductSprint Backlog'!$J82&gt;P$2,'ProductSprint Backlog'!$I82&lt;=P$2), 'ProductSprint Backlog'!$F82 / MAX(1, 'ProductSprint Backlog'!$J82-'ProductSprint Backlog'!$I82), AND('ProductSprint Backlog'!$J82=P$2,'ProductSprint Backlog'!$I82=P$2), 'ProductSprint Backlog'!$F82, TRUE, 0)</f>
        <v>0</v>
      </c>
      <c r="Q82" s="4" cm="1">
        <f t="array" ref="Q82">_xlfn.IFS('ProductSprint Backlog'!$F82="", "", AND('ProductSprint Backlog'!$J82&gt;Q$2,'ProductSprint Backlog'!$I82&lt;=Q$2), 'ProductSprint Backlog'!$F82 / MAX(1, 'ProductSprint Backlog'!$J82-'ProductSprint Backlog'!$I82), AND('ProductSprint Backlog'!$J82=Q$2,'ProductSprint Backlog'!$I82=Q$2), 'ProductSprint Backlog'!$F82, TRUE, 0)</f>
        <v>0</v>
      </c>
      <c r="R82" s="4" cm="1">
        <f t="array" ref="R82">_xlfn.IFS('ProductSprint Backlog'!$F82="", "", AND('ProductSprint Backlog'!$J82&gt;R$2,'ProductSprint Backlog'!$I82&lt;=R$2), 'ProductSprint Backlog'!$F82 / MAX(1, 'ProductSprint Backlog'!$J82-'ProductSprint Backlog'!$I82), AND('ProductSprint Backlog'!$J82=R$2,'ProductSprint Backlog'!$I82=R$2), 'ProductSprint Backlog'!$F82, TRUE, 0)</f>
        <v>0</v>
      </c>
      <c r="S82" s="4" cm="1">
        <f t="array" ref="S82">_xlfn.IFS('ProductSprint Backlog'!$F82="", "", AND('ProductSprint Backlog'!$J82&gt;S$2,'ProductSprint Backlog'!$I82&lt;=S$2), 'ProductSprint Backlog'!$F82 / MAX(1, 'ProductSprint Backlog'!$J82-'ProductSprint Backlog'!$I82), AND('ProductSprint Backlog'!$J82=S$2,'ProductSprint Backlog'!$I82=S$2), 'ProductSprint Backlog'!$F82, TRUE, 0)</f>
        <v>0</v>
      </c>
      <c r="T82" s="4" cm="1">
        <f t="array" ref="T82">_xlfn.IFS('ProductSprint Backlog'!$F82="", "", AND('ProductSprint Backlog'!$J82&gt;T$2,'ProductSprint Backlog'!$I82&lt;=T$2), 'ProductSprint Backlog'!$F82 / MAX(1, 'ProductSprint Backlog'!$J82-'ProductSprint Backlog'!$I82), AND('ProductSprint Backlog'!$J82=T$2,'ProductSprint Backlog'!$I82=T$2), 'ProductSprint Backlog'!$F82, TRUE, 0)</f>
        <v>0</v>
      </c>
    </row>
    <row r="83" spans="2:20" x14ac:dyDescent="0.2">
      <c r="B83" s="4" cm="1">
        <f t="array" ref="B83">_xlfn.IFS('ProductSprint Backlog'!$F83="", "", AND('ProductSprint Backlog'!$J83&gt;B$2,'ProductSprint Backlog'!$I83&lt;=B$2), 'ProductSprint Backlog'!$F83 / MAX(1, 'ProductSprint Backlog'!$J83-'ProductSprint Backlog'!$I83), AND('ProductSprint Backlog'!$J83=B$2,'ProductSprint Backlog'!$I83=B$2), 'ProductSprint Backlog'!$F83, TRUE, 0)</f>
        <v>0</v>
      </c>
      <c r="C83" s="4" cm="1">
        <f t="array" ref="C83">_xlfn.IFS('ProductSprint Backlog'!$F83="", "", AND('ProductSprint Backlog'!$J83&gt;C$2,'ProductSprint Backlog'!$I83&lt;=C$2), 'ProductSprint Backlog'!$F83 / MAX(1, 'ProductSprint Backlog'!$J83-'ProductSprint Backlog'!$I83), AND('ProductSprint Backlog'!$J83=C$2,'ProductSprint Backlog'!$I83=C$2), 'ProductSprint Backlog'!$F83, TRUE, 0)</f>
        <v>0</v>
      </c>
      <c r="D83" s="4" cm="1">
        <f t="array" ref="D83">_xlfn.IFS('ProductSprint Backlog'!$F83="", "", AND('ProductSprint Backlog'!$J83&gt;D$2,'ProductSprint Backlog'!$I83&lt;=D$2), 'ProductSprint Backlog'!$F83 / MAX(1, 'ProductSprint Backlog'!$J83-'ProductSprint Backlog'!$I83), AND('ProductSprint Backlog'!$J83=D$2,'ProductSprint Backlog'!$I83=D$2), 'ProductSprint Backlog'!$F83, TRUE, 0)</f>
        <v>0</v>
      </c>
      <c r="E83" s="4" cm="1">
        <f t="array" ref="E83">_xlfn.IFS('ProductSprint Backlog'!$F83="", "", AND('ProductSprint Backlog'!$J83&gt;E$2,'ProductSprint Backlog'!$I83&lt;=E$2), 'ProductSprint Backlog'!$F83 / MAX(1, 'ProductSprint Backlog'!$J83-'ProductSprint Backlog'!$I83), AND('ProductSprint Backlog'!$J83=E$2,'ProductSprint Backlog'!$I83=E$2), 'ProductSprint Backlog'!$F83, TRUE, 0)</f>
        <v>0</v>
      </c>
      <c r="F83" s="4" cm="1">
        <f t="array" ref="F83">_xlfn.IFS('ProductSprint Backlog'!$F83="", "", AND('ProductSprint Backlog'!$J83&gt;F$2,'ProductSprint Backlog'!$I83&lt;=F$2), 'ProductSprint Backlog'!$F83 / MAX(1, 'ProductSprint Backlog'!$J83-'ProductSprint Backlog'!$I83), AND('ProductSprint Backlog'!$J83=F$2,'ProductSprint Backlog'!$I83=F$2), 'ProductSprint Backlog'!$F83, TRUE, 0)</f>
        <v>0</v>
      </c>
      <c r="G83" s="4" cm="1">
        <f t="array" ref="G83">_xlfn.IFS('ProductSprint Backlog'!$F83="", "", AND('ProductSprint Backlog'!$J83&gt;G$2,'ProductSprint Backlog'!$I83&lt;=G$2), 'ProductSprint Backlog'!$F83 / MAX(1, 'ProductSprint Backlog'!$J83-'ProductSprint Backlog'!$I83), AND('ProductSprint Backlog'!$J83=G$2,'ProductSprint Backlog'!$I83=G$2), 'ProductSprint Backlog'!$F83, TRUE, 0)</f>
        <v>0</v>
      </c>
      <c r="H83" s="4" cm="1">
        <f t="array" ref="H83">_xlfn.IFS('ProductSprint Backlog'!$F83="", "", AND('ProductSprint Backlog'!$J83&gt;H$2,'ProductSprint Backlog'!$I83&lt;=H$2), 'ProductSprint Backlog'!$F83 / MAX(1, 'ProductSprint Backlog'!$J83-'ProductSprint Backlog'!$I83), AND('ProductSprint Backlog'!$J83=H$2,'ProductSprint Backlog'!$I83=H$2), 'ProductSprint Backlog'!$F83, TRUE, 0)</f>
        <v>0</v>
      </c>
      <c r="I83" s="4" cm="1">
        <f t="array" ref="I83">_xlfn.IFS('ProductSprint Backlog'!$F83="", "", AND('ProductSprint Backlog'!$J83&gt;I$2,'ProductSprint Backlog'!$I83&lt;=I$2), 'ProductSprint Backlog'!$F83 / MAX(1, 'ProductSprint Backlog'!$J83-'ProductSprint Backlog'!$I83), AND('ProductSprint Backlog'!$J83=I$2,'ProductSprint Backlog'!$I83=I$2), 'ProductSprint Backlog'!$F83, TRUE, 0)</f>
        <v>0</v>
      </c>
      <c r="J83" s="4" cm="1">
        <f t="array" ref="J83">_xlfn.IFS('ProductSprint Backlog'!$F83="", "", AND('ProductSprint Backlog'!$J83&gt;J$2,'ProductSprint Backlog'!$I83&lt;=J$2), 'ProductSprint Backlog'!$F83 / MAX(1, 'ProductSprint Backlog'!$J83-'ProductSprint Backlog'!$I83), AND('ProductSprint Backlog'!$J83=J$2,'ProductSprint Backlog'!$I83=J$2), 'ProductSprint Backlog'!$F83, TRUE, 0)</f>
        <v>0</v>
      </c>
      <c r="K83" s="4" cm="1">
        <f t="array" ref="K83">_xlfn.IFS('ProductSprint Backlog'!$F83="", "", AND('ProductSprint Backlog'!$J83&gt;K$2,'ProductSprint Backlog'!$I83&lt;=K$2), 'ProductSprint Backlog'!$F83 / MAX(1, 'ProductSprint Backlog'!$J83-'ProductSprint Backlog'!$I83), AND('ProductSprint Backlog'!$J83=K$2,'ProductSprint Backlog'!$I83=K$2), 'ProductSprint Backlog'!$F83, TRUE, 0)</f>
        <v>0</v>
      </c>
      <c r="L83" s="4" cm="1">
        <f t="array" ref="L83">_xlfn.IFS('ProductSprint Backlog'!$F83="", "", AND('ProductSprint Backlog'!$J83&gt;L$2,'ProductSprint Backlog'!$I83&lt;=L$2), 'ProductSprint Backlog'!$F83 / MAX(1, 'ProductSprint Backlog'!$J83-'ProductSprint Backlog'!$I83), AND('ProductSprint Backlog'!$J83=L$2,'ProductSprint Backlog'!$I83=L$2), 'ProductSprint Backlog'!$F83, TRUE, 0)</f>
        <v>0</v>
      </c>
      <c r="M83" s="4" cm="1">
        <f t="array" ref="M83">_xlfn.IFS('ProductSprint Backlog'!$F83="", "", AND('ProductSprint Backlog'!$J83&gt;M$2,'ProductSprint Backlog'!$I83&lt;=M$2), 'ProductSprint Backlog'!$F83 / MAX(1, 'ProductSprint Backlog'!$J83-'ProductSprint Backlog'!$I83), AND('ProductSprint Backlog'!$J83=M$2,'ProductSprint Backlog'!$I83=M$2), 'ProductSprint Backlog'!$F83, TRUE, 0)</f>
        <v>0</v>
      </c>
      <c r="N83" s="4" cm="1">
        <f t="array" ref="N83">_xlfn.IFS('ProductSprint Backlog'!$F83="", "", AND('ProductSprint Backlog'!$J83&gt;N$2,'ProductSprint Backlog'!$I83&lt;=N$2), 'ProductSprint Backlog'!$F83 / MAX(1, 'ProductSprint Backlog'!$J83-'ProductSprint Backlog'!$I83), AND('ProductSprint Backlog'!$J83=N$2,'ProductSprint Backlog'!$I83=N$2), 'ProductSprint Backlog'!$F83, TRUE, 0)</f>
        <v>0</v>
      </c>
      <c r="O83" s="4" cm="1">
        <f t="array" ref="O83">_xlfn.IFS('ProductSprint Backlog'!$F83="", "", AND('ProductSprint Backlog'!$J83&gt;O$2,'ProductSprint Backlog'!$I83&lt;=O$2), 'ProductSprint Backlog'!$F83 / MAX(1, 'ProductSprint Backlog'!$J83-'ProductSprint Backlog'!$I83), AND('ProductSprint Backlog'!$J83=O$2,'ProductSprint Backlog'!$I83=O$2), 'ProductSprint Backlog'!$F83, TRUE, 0)</f>
        <v>0</v>
      </c>
      <c r="P83" s="4" cm="1">
        <f t="array" ref="P83">_xlfn.IFS('ProductSprint Backlog'!$F83="", "", AND('ProductSprint Backlog'!$J83&gt;P$2,'ProductSprint Backlog'!$I83&lt;=P$2), 'ProductSprint Backlog'!$F83 / MAX(1, 'ProductSprint Backlog'!$J83-'ProductSprint Backlog'!$I83), AND('ProductSprint Backlog'!$J83=P$2,'ProductSprint Backlog'!$I83=P$2), 'ProductSprint Backlog'!$F83, TRUE, 0)</f>
        <v>0</v>
      </c>
      <c r="Q83" s="4" cm="1">
        <f t="array" ref="Q83">_xlfn.IFS('ProductSprint Backlog'!$F83="", "", AND('ProductSprint Backlog'!$J83&gt;Q$2,'ProductSprint Backlog'!$I83&lt;=Q$2), 'ProductSprint Backlog'!$F83 / MAX(1, 'ProductSprint Backlog'!$J83-'ProductSprint Backlog'!$I83), AND('ProductSprint Backlog'!$J83=Q$2,'ProductSprint Backlog'!$I83=Q$2), 'ProductSprint Backlog'!$F83, TRUE, 0)</f>
        <v>0</v>
      </c>
      <c r="R83" s="4" cm="1">
        <f t="array" ref="R83">_xlfn.IFS('ProductSprint Backlog'!$F83="", "", AND('ProductSprint Backlog'!$J83&gt;R$2,'ProductSprint Backlog'!$I83&lt;=R$2), 'ProductSprint Backlog'!$F83 / MAX(1, 'ProductSprint Backlog'!$J83-'ProductSprint Backlog'!$I83), AND('ProductSprint Backlog'!$J83=R$2,'ProductSprint Backlog'!$I83=R$2), 'ProductSprint Backlog'!$F83, TRUE, 0)</f>
        <v>0</v>
      </c>
      <c r="S83" s="4" cm="1">
        <f t="array" ref="S83">_xlfn.IFS('ProductSprint Backlog'!$F83="", "", AND('ProductSprint Backlog'!$J83&gt;S$2,'ProductSprint Backlog'!$I83&lt;=S$2), 'ProductSprint Backlog'!$F83 / MAX(1, 'ProductSprint Backlog'!$J83-'ProductSprint Backlog'!$I83), AND('ProductSprint Backlog'!$J83=S$2,'ProductSprint Backlog'!$I83=S$2), 'ProductSprint Backlog'!$F83, TRUE, 0)</f>
        <v>0</v>
      </c>
      <c r="T83" s="4" cm="1">
        <f t="array" ref="T83">_xlfn.IFS('ProductSprint Backlog'!$F83="", "", AND('ProductSprint Backlog'!$J83&gt;T$2,'ProductSprint Backlog'!$I83&lt;=T$2), 'ProductSprint Backlog'!$F83 / MAX(1, 'ProductSprint Backlog'!$J83-'ProductSprint Backlog'!$I83), AND('ProductSprint Backlog'!$J83=T$2,'ProductSprint Backlog'!$I83=T$2), 'ProductSprint Backlog'!$F83, TRUE, 0)</f>
        <v>0</v>
      </c>
    </row>
    <row r="84" spans="2:20" x14ac:dyDescent="0.2">
      <c r="B84" s="4" cm="1">
        <f t="array" ref="B84">_xlfn.IFS('ProductSprint Backlog'!$F84="", "", AND('ProductSprint Backlog'!$J84&gt;B$2,'ProductSprint Backlog'!$I84&lt;=B$2), 'ProductSprint Backlog'!$F84 / MAX(1, 'ProductSprint Backlog'!$J84-'ProductSprint Backlog'!$I84), AND('ProductSprint Backlog'!$J84=B$2,'ProductSprint Backlog'!$I84=B$2), 'ProductSprint Backlog'!$F84, TRUE, 0)</f>
        <v>0</v>
      </c>
      <c r="C84" s="4" cm="1">
        <f t="array" ref="C84">_xlfn.IFS('ProductSprint Backlog'!$F84="", "", AND('ProductSprint Backlog'!$J84&gt;C$2,'ProductSprint Backlog'!$I84&lt;=C$2), 'ProductSprint Backlog'!$F84 / MAX(1, 'ProductSprint Backlog'!$J84-'ProductSprint Backlog'!$I84), AND('ProductSprint Backlog'!$J84=C$2,'ProductSprint Backlog'!$I84=C$2), 'ProductSprint Backlog'!$F84, TRUE, 0)</f>
        <v>0</v>
      </c>
      <c r="D84" s="4" cm="1">
        <f t="array" ref="D84">_xlfn.IFS('ProductSprint Backlog'!$F84="", "", AND('ProductSprint Backlog'!$J84&gt;D$2,'ProductSprint Backlog'!$I84&lt;=D$2), 'ProductSprint Backlog'!$F84 / MAX(1, 'ProductSprint Backlog'!$J84-'ProductSprint Backlog'!$I84), AND('ProductSprint Backlog'!$J84=D$2,'ProductSprint Backlog'!$I84=D$2), 'ProductSprint Backlog'!$F84, TRUE, 0)</f>
        <v>0</v>
      </c>
      <c r="E84" s="4" cm="1">
        <f t="array" ref="E84">_xlfn.IFS('ProductSprint Backlog'!$F84="", "", AND('ProductSprint Backlog'!$J84&gt;E$2,'ProductSprint Backlog'!$I84&lt;=E$2), 'ProductSprint Backlog'!$F84 / MAX(1, 'ProductSprint Backlog'!$J84-'ProductSprint Backlog'!$I84), AND('ProductSprint Backlog'!$J84=E$2,'ProductSprint Backlog'!$I84=E$2), 'ProductSprint Backlog'!$F84, TRUE, 0)</f>
        <v>0</v>
      </c>
      <c r="F84" s="4" cm="1">
        <f t="array" ref="F84">_xlfn.IFS('ProductSprint Backlog'!$F84="", "", AND('ProductSprint Backlog'!$J84&gt;F$2,'ProductSprint Backlog'!$I84&lt;=F$2), 'ProductSprint Backlog'!$F84 / MAX(1, 'ProductSprint Backlog'!$J84-'ProductSprint Backlog'!$I84), AND('ProductSprint Backlog'!$J84=F$2,'ProductSprint Backlog'!$I84=F$2), 'ProductSprint Backlog'!$F84, TRUE, 0)</f>
        <v>0</v>
      </c>
      <c r="G84" s="4" cm="1">
        <f t="array" ref="G84">_xlfn.IFS('ProductSprint Backlog'!$F84="", "", AND('ProductSprint Backlog'!$J84&gt;G$2,'ProductSprint Backlog'!$I84&lt;=G$2), 'ProductSprint Backlog'!$F84 / MAX(1, 'ProductSprint Backlog'!$J84-'ProductSprint Backlog'!$I84), AND('ProductSprint Backlog'!$J84=G$2,'ProductSprint Backlog'!$I84=G$2), 'ProductSprint Backlog'!$F84, TRUE, 0)</f>
        <v>0</v>
      </c>
      <c r="H84" s="4" cm="1">
        <f t="array" ref="H84">_xlfn.IFS('ProductSprint Backlog'!$F84="", "", AND('ProductSprint Backlog'!$J84&gt;H$2,'ProductSprint Backlog'!$I84&lt;=H$2), 'ProductSprint Backlog'!$F84 / MAX(1, 'ProductSprint Backlog'!$J84-'ProductSprint Backlog'!$I84), AND('ProductSprint Backlog'!$J84=H$2,'ProductSprint Backlog'!$I84=H$2), 'ProductSprint Backlog'!$F84, TRUE, 0)</f>
        <v>0</v>
      </c>
      <c r="I84" s="4" cm="1">
        <f t="array" ref="I84">_xlfn.IFS('ProductSprint Backlog'!$F84="", "", AND('ProductSprint Backlog'!$J84&gt;I$2,'ProductSprint Backlog'!$I84&lt;=I$2), 'ProductSprint Backlog'!$F84 / MAX(1, 'ProductSprint Backlog'!$J84-'ProductSprint Backlog'!$I84), AND('ProductSprint Backlog'!$J84=I$2,'ProductSprint Backlog'!$I84=I$2), 'ProductSprint Backlog'!$F84, TRUE, 0)</f>
        <v>0</v>
      </c>
      <c r="J84" s="4" cm="1">
        <f t="array" ref="J84">_xlfn.IFS('ProductSprint Backlog'!$F84="", "", AND('ProductSprint Backlog'!$J84&gt;J$2,'ProductSprint Backlog'!$I84&lt;=J$2), 'ProductSprint Backlog'!$F84 / MAX(1, 'ProductSprint Backlog'!$J84-'ProductSprint Backlog'!$I84), AND('ProductSprint Backlog'!$J84=J$2,'ProductSprint Backlog'!$I84=J$2), 'ProductSprint Backlog'!$F84, TRUE, 0)</f>
        <v>0</v>
      </c>
      <c r="K84" s="4" cm="1">
        <f t="array" ref="K84">_xlfn.IFS('ProductSprint Backlog'!$F84="", "", AND('ProductSprint Backlog'!$J84&gt;K$2,'ProductSprint Backlog'!$I84&lt;=K$2), 'ProductSprint Backlog'!$F84 / MAX(1, 'ProductSprint Backlog'!$J84-'ProductSprint Backlog'!$I84), AND('ProductSprint Backlog'!$J84=K$2,'ProductSprint Backlog'!$I84=K$2), 'ProductSprint Backlog'!$F84, TRUE, 0)</f>
        <v>0</v>
      </c>
      <c r="L84" s="4" cm="1">
        <f t="array" ref="L84">_xlfn.IFS('ProductSprint Backlog'!$F84="", "", AND('ProductSprint Backlog'!$J84&gt;L$2,'ProductSprint Backlog'!$I84&lt;=L$2), 'ProductSprint Backlog'!$F84 / MAX(1, 'ProductSprint Backlog'!$J84-'ProductSprint Backlog'!$I84), AND('ProductSprint Backlog'!$J84=L$2,'ProductSprint Backlog'!$I84=L$2), 'ProductSprint Backlog'!$F84, TRUE, 0)</f>
        <v>0</v>
      </c>
      <c r="M84" s="4" cm="1">
        <f t="array" ref="M84">_xlfn.IFS('ProductSprint Backlog'!$F84="", "", AND('ProductSprint Backlog'!$J84&gt;M$2,'ProductSprint Backlog'!$I84&lt;=M$2), 'ProductSprint Backlog'!$F84 / MAX(1, 'ProductSprint Backlog'!$J84-'ProductSprint Backlog'!$I84), AND('ProductSprint Backlog'!$J84=M$2,'ProductSprint Backlog'!$I84=M$2), 'ProductSprint Backlog'!$F84, TRUE, 0)</f>
        <v>0</v>
      </c>
      <c r="N84" s="4" cm="1">
        <f t="array" ref="N84">_xlfn.IFS('ProductSprint Backlog'!$F84="", "", AND('ProductSprint Backlog'!$J84&gt;N$2,'ProductSprint Backlog'!$I84&lt;=N$2), 'ProductSprint Backlog'!$F84 / MAX(1, 'ProductSprint Backlog'!$J84-'ProductSprint Backlog'!$I84), AND('ProductSprint Backlog'!$J84=N$2,'ProductSprint Backlog'!$I84=N$2), 'ProductSprint Backlog'!$F84, TRUE, 0)</f>
        <v>0</v>
      </c>
      <c r="O84" s="4" cm="1">
        <f t="array" ref="O84">_xlfn.IFS('ProductSprint Backlog'!$F84="", "", AND('ProductSprint Backlog'!$J84&gt;O$2,'ProductSprint Backlog'!$I84&lt;=O$2), 'ProductSprint Backlog'!$F84 / MAX(1, 'ProductSprint Backlog'!$J84-'ProductSprint Backlog'!$I84), AND('ProductSprint Backlog'!$J84=O$2,'ProductSprint Backlog'!$I84=O$2), 'ProductSprint Backlog'!$F84, TRUE, 0)</f>
        <v>0</v>
      </c>
      <c r="P84" s="4" cm="1">
        <f t="array" ref="P84">_xlfn.IFS('ProductSprint Backlog'!$F84="", "", AND('ProductSprint Backlog'!$J84&gt;P$2,'ProductSprint Backlog'!$I84&lt;=P$2), 'ProductSprint Backlog'!$F84 / MAX(1, 'ProductSprint Backlog'!$J84-'ProductSprint Backlog'!$I84), AND('ProductSprint Backlog'!$J84=P$2,'ProductSprint Backlog'!$I84=P$2), 'ProductSprint Backlog'!$F84, TRUE, 0)</f>
        <v>0</v>
      </c>
      <c r="Q84" s="4" cm="1">
        <f t="array" ref="Q84">_xlfn.IFS('ProductSprint Backlog'!$F84="", "", AND('ProductSprint Backlog'!$J84&gt;Q$2,'ProductSprint Backlog'!$I84&lt;=Q$2), 'ProductSprint Backlog'!$F84 / MAX(1, 'ProductSprint Backlog'!$J84-'ProductSprint Backlog'!$I84), AND('ProductSprint Backlog'!$J84=Q$2,'ProductSprint Backlog'!$I84=Q$2), 'ProductSprint Backlog'!$F84, TRUE, 0)</f>
        <v>0</v>
      </c>
      <c r="R84" s="4" cm="1">
        <f t="array" ref="R84">_xlfn.IFS('ProductSprint Backlog'!$F84="", "", AND('ProductSprint Backlog'!$J84&gt;R$2,'ProductSprint Backlog'!$I84&lt;=R$2), 'ProductSprint Backlog'!$F84 / MAX(1, 'ProductSprint Backlog'!$J84-'ProductSprint Backlog'!$I84), AND('ProductSprint Backlog'!$J84=R$2,'ProductSprint Backlog'!$I84=R$2), 'ProductSprint Backlog'!$F84, TRUE, 0)</f>
        <v>0</v>
      </c>
      <c r="S84" s="4" cm="1">
        <f t="array" ref="S84">_xlfn.IFS('ProductSprint Backlog'!$F84="", "", AND('ProductSprint Backlog'!$J84&gt;S$2,'ProductSprint Backlog'!$I84&lt;=S$2), 'ProductSprint Backlog'!$F84 / MAX(1, 'ProductSprint Backlog'!$J84-'ProductSprint Backlog'!$I84), AND('ProductSprint Backlog'!$J84=S$2,'ProductSprint Backlog'!$I84=S$2), 'ProductSprint Backlog'!$F84, TRUE, 0)</f>
        <v>0</v>
      </c>
      <c r="T84" s="4" cm="1">
        <f t="array" ref="T84">_xlfn.IFS('ProductSprint Backlog'!$F84="", "", AND('ProductSprint Backlog'!$J84&gt;T$2,'ProductSprint Backlog'!$I84&lt;=T$2), 'ProductSprint Backlog'!$F84 / MAX(1, 'ProductSprint Backlog'!$J84-'ProductSprint Backlog'!$I84), AND('ProductSprint Backlog'!$J84=T$2,'ProductSprint Backlog'!$I84=T$2), 'ProductSprint Backlog'!$F84, TRUE, 0)</f>
        <v>0</v>
      </c>
    </row>
    <row r="85" spans="2:20" x14ac:dyDescent="0.2">
      <c r="B85" s="4" t="str" cm="1">
        <f t="array" ref="B85">_xlfn.IFS('ProductSprint Backlog'!$F85="", "", AND('ProductSprint Backlog'!$J85&gt;B$2,'ProductSprint Backlog'!$I85&lt;=B$2), 'ProductSprint Backlog'!$F85 / MAX(1, 'ProductSprint Backlog'!$J85-'ProductSprint Backlog'!$I85), AND('ProductSprint Backlog'!$J85=B$2,'ProductSprint Backlog'!$I85=B$2), 'ProductSprint Backlog'!$F85, TRUE, 0)</f>
        <v/>
      </c>
      <c r="C85" s="4" t="str" cm="1">
        <f t="array" ref="C85">_xlfn.IFS('ProductSprint Backlog'!$F85="", "", AND('ProductSprint Backlog'!$J85&gt;C$2,'ProductSprint Backlog'!$I85&lt;=C$2), 'ProductSprint Backlog'!$F85 / MAX(1, 'ProductSprint Backlog'!$J85-'ProductSprint Backlog'!$I85), AND('ProductSprint Backlog'!$J85=C$2,'ProductSprint Backlog'!$I85=C$2), 'ProductSprint Backlog'!$F85, TRUE, 0)</f>
        <v/>
      </c>
      <c r="D85" s="4" t="str" cm="1">
        <f t="array" ref="D85">_xlfn.IFS('ProductSprint Backlog'!$F85="", "", AND('ProductSprint Backlog'!$J85&gt;D$2,'ProductSprint Backlog'!$I85&lt;=D$2), 'ProductSprint Backlog'!$F85 / MAX(1, 'ProductSprint Backlog'!$J85-'ProductSprint Backlog'!$I85), AND('ProductSprint Backlog'!$J85=D$2,'ProductSprint Backlog'!$I85=D$2), 'ProductSprint Backlog'!$F85, TRUE, 0)</f>
        <v/>
      </c>
      <c r="E85" s="4" t="str" cm="1">
        <f t="array" ref="E85">_xlfn.IFS('ProductSprint Backlog'!$F85="", "", AND('ProductSprint Backlog'!$J85&gt;E$2,'ProductSprint Backlog'!$I85&lt;=E$2), 'ProductSprint Backlog'!$F85 / MAX(1, 'ProductSprint Backlog'!$J85-'ProductSprint Backlog'!$I85), AND('ProductSprint Backlog'!$J85=E$2,'ProductSprint Backlog'!$I85=E$2), 'ProductSprint Backlog'!$F85, TRUE, 0)</f>
        <v/>
      </c>
      <c r="F85" s="4" t="str" cm="1">
        <f t="array" ref="F85">_xlfn.IFS('ProductSprint Backlog'!$F85="", "", AND('ProductSprint Backlog'!$J85&gt;F$2,'ProductSprint Backlog'!$I85&lt;=F$2), 'ProductSprint Backlog'!$F85 / MAX(1, 'ProductSprint Backlog'!$J85-'ProductSprint Backlog'!$I85), AND('ProductSprint Backlog'!$J85=F$2,'ProductSprint Backlog'!$I85=F$2), 'ProductSprint Backlog'!$F85, TRUE, 0)</f>
        <v/>
      </c>
      <c r="G85" s="4" t="str" cm="1">
        <f t="array" ref="G85">_xlfn.IFS('ProductSprint Backlog'!$F85="", "", AND('ProductSprint Backlog'!$J85&gt;G$2,'ProductSprint Backlog'!$I85&lt;=G$2), 'ProductSprint Backlog'!$F85 / MAX(1, 'ProductSprint Backlog'!$J85-'ProductSprint Backlog'!$I85), AND('ProductSprint Backlog'!$J85=G$2,'ProductSprint Backlog'!$I85=G$2), 'ProductSprint Backlog'!$F85, TRUE, 0)</f>
        <v/>
      </c>
      <c r="H85" s="4" t="str" cm="1">
        <f t="array" ref="H85">_xlfn.IFS('ProductSprint Backlog'!$F85="", "", AND('ProductSprint Backlog'!$J85&gt;H$2,'ProductSprint Backlog'!$I85&lt;=H$2), 'ProductSprint Backlog'!$F85 / MAX(1, 'ProductSprint Backlog'!$J85-'ProductSprint Backlog'!$I85), AND('ProductSprint Backlog'!$J85=H$2,'ProductSprint Backlog'!$I85=H$2), 'ProductSprint Backlog'!$F85, TRUE, 0)</f>
        <v/>
      </c>
      <c r="I85" s="4" t="str" cm="1">
        <f t="array" ref="I85">_xlfn.IFS('ProductSprint Backlog'!$F85="", "", AND('ProductSprint Backlog'!$J85&gt;I$2,'ProductSprint Backlog'!$I85&lt;=I$2), 'ProductSprint Backlog'!$F85 / MAX(1, 'ProductSprint Backlog'!$J85-'ProductSprint Backlog'!$I85), AND('ProductSprint Backlog'!$J85=I$2,'ProductSprint Backlog'!$I85=I$2), 'ProductSprint Backlog'!$F85, TRUE, 0)</f>
        <v/>
      </c>
      <c r="J85" s="4" t="str" cm="1">
        <f t="array" ref="J85">_xlfn.IFS('ProductSprint Backlog'!$F85="", "", AND('ProductSprint Backlog'!$J85&gt;J$2,'ProductSprint Backlog'!$I85&lt;=J$2), 'ProductSprint Backlog'!$F85 / MAX(1, 'ProductSprint Backlog'!$J85-'ProductSprint Backlog'!$I85), AND('ProductSprint Backlog'!$J85=J$2,'ProductSprint Backlog'!$I85=J$2), 'ProductSprint Backlog'!$F85, TRUE, 0)</f>
        <v/>
      </c>
      <c r="K85" s="4" t="str" cm="1">
        <f t="array" ref="K85">_xlfn.IFS('ProductSprint Backlog'!$F85="", "", AND('ProductSprint Backlog'!$J85&gt;K$2,'ProductSprint Backlog'!$I85&lt;=K$2), 'ProductSprint Backlog'!$F85 / MAX(1, 'ProductSprint Backlog'!$J85-'ProductSprint Backlog'!$I85), AND('ProductSprint Backlog'!$J85=K$2,'ProductSprint Backlog'!$I85=K$2), 'ProductSprint Backlog'!$F85, TRUE, 0)</f>
        <v/>
      </c>
      <c r="L85" s="4" t="str" cm="1">
        <f t="array" ref="L85">_xlfn.IFS('ProductSprint Backlog'!$F85="", "", AND('ProductSprint Backlog'!$J85&gt;L$2,'ProductSprint Backlog'!$I85&lt;=L$2), 'ProductSprint Backlog'!$F85 / MAX(1, 'ProductSprint Backlog'!$J85-'ProductSprint Backlog'!$I85), AND('ProductSprint Backlog'!$J85=L$2,'ProductSprint Backlog'!$I85=L$2), 'ProductSprint Backlog'!$F85, TRUE, 0)</f>
        <v/>
      </c>
      <c r="M85" s="4" t="str" cm="1">
        <f t="array" ref="M85">_xlfn.IFS('ProductSprint Backlog'!$F85="", "", AND('ProductSprint Backlog'!$J85&gt;M$2,'ProductSprint Backlog'!$I85&lt;=M$2), 'ProductSprint Backlog'!$F85 / MAX(1, 'ProductSprint Backlog'!$J85-'ProductSprint Backlog'!$I85), AND('ProductSprint Backlog'!$J85=M$2,'ProductSprint Backlog'!$I85=M$2), 'ProductSprint Backlog'!$F85, TRUE, 0)</f>
        <v/>
      </c>
      <c r="N85" s="4" t="str" cm="1">
        <f t="array" ref="N85">_xlfn.IFS('ProductSprint Backlog'!$F85="", "", AND('ProductSprint Backlog'!$J85&gt;N$2,'ProductSprint Backlog'!$I85&lt;=N$2), 'ProductSprint Backlog'!$F85 / MAX(1, 'ProductSprint Backlog'!$J85-'ProductSprint Backlog'!$I85), AND('ProductSprint Backlog'!$J85=N$2,'ProductSprint Backlog'!$I85=N$2), 'ProductSprint Backlog'!$F85, TRUE, 0)</f>
        <v/>
      </c>
      <c r="O85" s="4" t="str" cm="1">
        <f t="array" ref="O85">_xlfn.IFS('ProductSprint Backlog'!$F85="", "", AND('ProductSprint Backlog'!$J85&gt;O$2,'ProductSprint Backlog'!$I85&lt;=O$2), 'ProductSprint Backlog'!$F85 / MAX(1, 'ProductSprint Backlog'!$J85-'ProductSprint Backlog'!$I85), AND('ProductSprint Backlog'!$J85=O$2,'ProductSprint Backlog'!$I85=O$2), 'ProductSprint Backlog'!$F85, TRUE, 0)</f>
        <v/>
      </c>
      <c r="P85" s="4" t="str" cm="1">
        <f t="array" ref="P85">_xlfn.IFS('ProductSprint Backlog'!$F85="", "", AND('ProductSprint Backlog'!$J85&gt;P$2,'ProductSprint Backlog'!$I85&lt;=P$2), 'ProductSprint Backlog'!$F85 / MAX(1, 'ProductSprint Backlog'!$J85-'ProductSprint Backlog'!$I85), AND('ProductSprint Backlog'!$J85=P$2,'ProductSprint Backlog'!$I85=P$2), 'ProductSprint Backlog'!$F85, TRUE, 0)</f>
        <v/>
      </c>
      <c r="Q85" s="4" t="str" cm="1">
        <f t="array" ref="Q85">_xlfn.IFS('ProductSprint Backlog'!$F85="", "", AND('ProductSprint Backlog'!$J85&gt;Q$2,'ProductSprint Backlog'!$I85&lt;=Q$2), 'ProductSprint Backlog'!$F85 / MAX(1, 'ProductSprint Backlog'!$J85-'ProductSprint Backlog'!$I85), AND('ProductSprint Backlog'!$J85=Q$2,'ProductSprint Backlog'!$I85=Q$2), 'ProductSprint Backlog'!$F85, TRUE, 0)</f>
        <v/>
      </c>
      <c r="R85" s="4" t="str" cm="1">
        <f t="array" ref="R85">_xlfn.IFS('ProductSprint Backlog'!$F85="", "", AND('ProductSprint Backlog'!$J85&gt;R$2,'ProductSprint Backlog'!$I85&lt;=R$2), 'ProductSprint Backlog'!$F85 / MAX(1, 'ProductSprint Backlog'!$J85-'ProductSprint Backlog'!$I85), AND('ProductSprint Backlog'!$J85=R$2,'ProductSprint Backlog'!$I85=R$2), 'ProductSprint Backlog'!$F85, TRUE, 0)</f>
        <v/>
      </c>
      <c r="S85" s="4" t="str" cm="1">
        <f t="array" ref="S85">_xlfn.IFS('ProductSprint Backlog'!$F85="", "", AND('ProductSprint Backlog'!$J85&gt;S$2,'ProductSprint Backlog'!$I85&lt;=S$2), 'ProductSprint Backlog'!$F85 / MAX(1, 'ProductSprint Backlog'!$J85-'ProductSprint Backlog'!$I85), AND('ProductSprint Backlog'!$J85=S$2,'ProductSprint Backlog'!$I85=S$2), 'ProductSprint Backlog'!$F85, TRUE, 0)</f>
        <v/>
      </c>
      <c r="T85" s="4" t="str" cm="1">
        <f t="array" ref="T85">_xlfn.IFS('ProductSprint Backlog'!$F85="", "", AND('ProductSprint Backlog'!$J85&gt;T$2,'ProductSprint Backlog'!$I85&lt;=T$2), 'ProductSprint Backlog'!$F85 / MAX(1, 'ProductSprint Backlog'!$J85-'ProductSprint Backlog'!$I85), AND('ProductSprint Backlog'!$J85=T$2,'ProductSprint Backlog'!$I85=T$2), 'ProductSprint Backlog'!$F85, TRUE, 0)</f>
        <v/>
      </c>
    </row>
    <row r="86" spans="2:20" x14ac:dyDescent="0.2">
      <c r="B86" s="4" cm="1">
        <f t="array" ref="B86">_xlfn.IFS('ProductSprint Backlog'!$F86="", "", AND('ProductSprint Backlog'!$J86&gt;B$2,'ProductSprint Backlog'!$I86&lt;=B$2), 'ProductSprint Backlog'!$F86 / MAX(1, 'ProductSprint Backlog'!$J86-'ProductSprint Backlog'!$I86), AND('ProductSprint Backlog'!$J86=B$2,'ProductSprint Backlog'!$I86=B$2), 'ProductSprint Backlog'!$F86, TRUE, 0)</f>
        <v>0.25</v>
      </c>
      <c r="C86" s="4" cm="1">
        <f t="array" ref="C86">_xlfn.IFS('ProductSprint Backlog'!$F86="", "", AND('ProductSprint Backlog'!$J86&gt;C$2,'ProductSprint Backlog'!$I86&lt;=C$2), 'ProductSprint Backlog'!$F86 / MAX(1, 'ProductSprint Backlog'!$J86-'ProductSprint Backlog'!$I86), AND('ProductSprint Backlog'!$J86=C$2,'ProductSprint Backlog'!$I86=C$2), 'ProductSprint Backlog'!$F86, TRUE, 0)</f>
        <v>0.25</v>
      </c>
      <c r="D86" s="4" cm="1">
        <f t="array" ref="D86">_xlfn.IFS('ProductSprint Backlog'!$F86="", "", AND('ProductSprint Backlog'!$J86&gt;D$2,'ProductSprint Backlog'!$I86&lt;=D$2), 'ProductSprint Backlog'!$F86 / MAX(1, 'ProductSprint Backlog'!$J86-'ProductSprint Backlog'!$I86), AND('ProductSprint Backlog'!$J86=D$2,'ProductSprint Backlog'!$I86=D$2), 'ProductSprint Backlog'!$F86, TRUE, 0)</f>
        <v>0.25</v>
      </c>
      <c r="E86" s="4" cm="1">
        <f t="array" ref="E86">_xlfn.IFS('ProductSprint Backlog'!$F86="", "", AND('ProductSprint Backlog'!$J86&gt;E$2,'ProductSprint Backlog'!$I86&lt;=E$2), 'ProductSprint Backlog'!$F86 / MAX(1, 'ProductSprint Backlog'!$J86-'ProductSprint Backlog'!$I86), AND('ProductSprint Backlog'!$J86=E$2,'ProductSprint Backlog'!$I86=E$2), 'ProductSprint Backlog'!$F86, TRUE, 0)</f>
        <v>0.25</v>
      </c>
      <c r="F86" s="4" cm="1">
        <f t="array" ref="F86">_xlfn.IFS('ProductSprint Backlog'!$F86="", "", AND('ProductSprint Backlog'!$J86&gt;F$2,'ProductSprint Backlog'!$I86&lt;=F$2), 'ProductSprint Backlog'!$F86 / MAX(1, 'ProductSprint Backlog'!$J86-'ProductSprint Backlog'!$I86), AND('ProductSprint Backlog'!$J86=F$2,'ProductSprint Backlog'!$I86=F$2), 'ProductSprint Backlog'!$F86, TRUE, 0)</f>
        <v>0</v>
      </c>
      <c r="G86" s="4" cm="1">
        <f t="array" ref="G86">_xlfn.IFS('ProductSprint Backlog'!$F86="", "", AND('ProductSprint Backlog'!$J86&gt;G$2,'ProductSprint Backlog'!$I86&lt;=G$2), 'ProductSprint Backlog'!$F86 / MAX(1, 'ProductSprint Backlog'!$J86-'ProductSprint Backlog'!$I86), AND('ProductSprint Backlog'!$J86=G$2,'ProductSprint Backlog'!$I86=G$2), 'ProductSprint Backlog'!$F86, TRUE, 0)</f>
        <v>0</v>
      </c>
      <c r="H86" s="4" cm="1">
        <f t="array" ref="H86">_xlfn.IFS('ProductSprint Backlog'!$F86="", "", AND('ProductSprint Backlog'!$J86&gt;H$2,'ProductSprint Backlog'!$I86&lt;=H$2), 'ProductSprint Backlog'!$F86 / MAX(1, 'ProductSprint Backlog'!$J86-'ProductSprint Backlog'!$I86), AND('ProductSprint Backlog'!$J86=H$2,'ProductSprint Backlog'!$I86=H$2), 'ProductSprint Backlog'!$F86, TRUE, 0)</f>
        <v>0</v>
      </c>
      <c r="I86" s="4" cm="1">
        <f t="array" ref="I86">_xlfn.IFS('ProductSprint Backlog'!$F86="", "", AND('ProductSprint Backlog'!$J86&gt;I$2,'ProductSprint Backlog'!$I86&lt;=I$2), 'ProductSprint Backlog'!$F86 / MAX(1, 'ProductSprint Backlog'!$J86-'ProductSprint Backlog'!$I86), AND('ProductSprint Backlog'!$J86=I$2,'ProductSprint Backlog'!$I86=I$2), 'ProductSprint Backlog'!$F86, TRUE, 0)</f>
        <v>0</v>
      </c>
      <c r="J86" s="4" cm="1">
        <f t="array" ref="J86">_xlfn.IFS('ProductSprint Backlog'!$F86="", "", AND('ProductSprint Backlog'!$J86&gt;J$2,'ProductSprint Backlog'!$I86&lt;=J$2), 'ProductSprint Backlog'!$F86 / MAX(1, 'ProductSprint Backlog'!$J86-'ProductSprint Backlog'!$I86), AND('ProductSprint Backlog'!$J86=J$2,'ProductSprint Backlog'!$I86=J$2), 'ProductSprint Backlog'!$F86, TRUE, 0)</f>
        <v>0</v>
      </c>
      <c r="K86" s="4" cm="1">
        <f t="array" ref="K86">_xlfn.IFS('ProductSprint Backlog'!$F86="", "", AND('ProductSprint Backlog'!$J86&gt;K$2,'ProductSprint Backlog'!$I86&lt;=K$2), 'ProductSprint Backlog'!$F86 / MAX(1, 'ProductSprint Backlog'!$J86-'ProductSprint Backlog'!$I86), AND('ProductSprint Backlog'!$J86=K$2,'ProductSprint Backlog'!$I86=K$2), 'ProductSprint Backlog'!$F86, TRUE, 0)</f>
        <v>0</v>
      </c>
      <c r="L86" s="4" cm="1">
        <f t="array" ref="L86">_xlfn.IFS('ProductSprint Backlog'!$F86="", "", AND('ProductSprint Backlog'!$J86&gt;L$2,'ProductSprint Backlog'!$I86&lt;=L$2), 'ProductSprint Backlog'!$F86 / MAX(1, 'ProductSprint Backlog'!$J86-'ProductSprint Backlog'!$I86), AND('ProductSprint Backlog'!$J86=L$2,'ProductSprint Backlog'!$I86=L$2), 'ProductSprint Backlog'!$F86, TRUE, 0)</f>
        <v>0</v>
      </c>
      <c r="M86" s="4" cm="1">
        <f t="array" ref="M86">_xlfn.IFS('ProductSprint Backlog'!$F86="", "", AND('ProductSprint Backlog'!$J86&gt;M$2,'ProductSprint Backlog'!$I86&lt;=M$2), 'ProductSprint Backlog'!$F86 / MAX(1, 'ProductSprint Backlog'!$J86-'ProductSprint Backlog'!$I86), AND('ProductSprint Backlog'!$J86=M$2,'ProductSprint Backlog'!$I86=M$2), 'ProductSprint Backlog'!$F86, TRUE, 0)</f>
        <v>0</v>
      </c>
      <c r="N86" s="4" cm="1">
        <f t="array" ref="N86">_xlfn.IFS('ProductSprint Backlog'!$F86="", "", AND('ProductSprint Backlog'!$J86&gt;N$2,'ProductSprint Backlog'!$I86&lt;=N$2), 'ProductSprint Backlog'!$F86 / MAX(1, 'ProductSprint Backlog'!$J86-'ProductSprint Backlog'!$I86), AND('ProductSprint Backlog'!$J86=N$2,'ProductSprint Backlog'!$I86=N$2), 'ProductSprint Backlog'!$F86, TRUE, 0)</f>
        <v>0</v>
      </c>
      <c r="O86" s="4" cm="1">
        <f t="array" ref="O86">_xlfn.IFS('ProductSprint Backlog'!$F86="", "", AND('ProductSprint Backlog'!$J86&gt;O$2,'ProductSprint Backlog'!$I86&lt;=O$2), 'ProductSprint Backlog'!$F86 / MAX(1, 'ProductSprint Backlog'!$J86-'ProductSprint Backlog'!$I86), AND('ProductSprint Backlog'!$J86=O$2,'ProductSprint Backlog'!$I86=O$2), 'ProductSprint Backlog'!$F86, TRUE, 0)</f>
        <v>0</v>
      </c>
      <c r="P86" s="4" cm="1">
        <f t="array" ref="P86">_xlfn.IFS('ProductSprint Backlog'!$F86="", "", AND('ProductSprint Backlog'!$J86&gt;P$2,'ProductSprint Backlog'!$I86&lt;=P$2), 'ProductSprint Backlog'!$F86 / MAX(1, 'ProductSprint Backlog'!$J86-'ProductSprint Backlog'!$I86), AND('ProductSprint Backlog'!$J86=P$2,'ProductSprint Backlog'!$I86=P$2), 'ProductSprint Backlog'!$F86, TRUE, 0)</f>
        <v>0</v>
      </c>
      <c r="Q86" s="4" cm="1">
        <f t="array" ref="Q86">_xlfn.IFS('ProductSprint Backlog'!$F86="", "", AND('ProductSprint Backlog'!$J86&gt;Q$2,'ProductSprint Backlog'!$I86&lt;=Q$2), 'ProductSprint Backlog'!$F86 / MAX(1, 'ProductSprint Backlog'!$J86-'ProductSprint Backlog'!$I86), AND('ProductSprint Backlog'!$J86=Q$2,'ProductSprint Backlog'!$I86=Q$2), 'ProductSprint Backlog'!$F86, TRUE, 0)</f>
        <v>0</v>
      </c>
      <c r="R86" s="4" cm="1">
        <f t="array" ref="R86">_xlfn.IFS('ProductSprint Backlog'!$F86="", "", AND('ProductSprint Backlog'!$J86&gt;R$2,'ProductSprint Backlog'!$I86&lt;=R$2), 'ProductSprint Backlog'!$F86 / MAX(1, 'ProductSprint Backlog'!$J86-'ProductSprint Backlog'!$I86), AND('ProductSprint Backlog'!$J86=R$2,'ProductSprint Backlog'!$I86=R$2), 'ProductSprint Backlog'!$F86, TRUE, 0)</f>
        <v>0</v>
      </c>
      <c r="S86" s="4" cm="1">
        <f t="array" ref="S86">_xlfn.IFS('ProductSprint Backlog'!$F86="", "", AND('ProductSprint Backlog'!$J86&gt;S$2,'ProductSprint Backlog'!$I86&lt;=S$2), 'ProductSprint Backlog'!$F86 / MAX(1, 'ProductSprint Backlog'!$J86-'ProductSprint Backlog'!$I86), AND('ProductSprint Backlog'!$J86=S$2,'ProductSprint Backlog'!$I86=S$2), 'ProductSprint Backlog'!$F86, TRUE, 0)</f>
        <v>0</v>
      </c>
      <c r="T86" s="4" cm="1">
        <f t="array" ref="T86">_xlfn.IFS('ProductSprint Backlog'!$F86="", "", AND('ProductSprint Backlog'!$J86&gt;T$2,'ProductSprint Backlog'!$I86&lt;=T$2), 'ProductSprint Backlog'!$F86 / MAX(1, 'ProductSprint Backlog'!$J86-'ProductSprint Backlog'!$I86), AND('ProductSprint Backlog'!$J86=T$2,'ProductSprint Backlog'!$I86=T$2), 'ProductSprint Backlog'!$F86, TRUE, 0)</f>
        <v>0</v>
      </c>
    </row>
    <row r="87" spans="2:20" x14ac:dyDescent="0.2">
      <c r="B87" s="4" cm="1">
        <f t="array" ref="B87">_xlfn.IFS('ProductSprint Backlog'!$F87="", "", AND('ProductSprint Backlog'!$J87&gt;B$2,'ProductSprint Backlog'!$I87&lt;=B$2), 'ProductSprint Backlog'!$F87 / MAX(1, 'ProductSprint Backlog'!$J87-'ProductSprint Backlog'!$I87), AND('ProductSprint Backlog'!$J87=B$2,'ProductSprint Backlog'!$I87=B$2), 'ProductSprint Backlog'!$F87, TRUE, 0)</f>
        <v>0.25</v>
      </c>
      <c r="C87" s="4" cm="1">
        <f t="array" ref="C87">_xlfn.IFS('ProductSprint Backlog'!$F87="", "", AND('ProductSprint Backlog'!$J87&gt;C$2,'ProductSprint Backlog'!$I87&lt;=C$2), 'ProductSprint Backlog'!$F87 / MAX(1, 'ProductSprint Backlog'!$J87-'ProductSprint Backlog'!$I87), AND('ProductSprint Backlog'!$J87=C$2,'ProductSprint Backlog'!$I87=C$2), 'ProductSprint Backlog'!$F87, TRUE, 0)</f>
        <v>0.25</v>
      </c>
      <c r="D87" s="4" cm="1">
        <f t="array" ref="D87">_xlfn.IFS('ProductSprint Backlog'!$F87="", "", AND('ProductSprint Backlog'!$J87&gt;D$2,'ProductSprint Backlog'!$I87&lt;=D$2), 'ProductSprint Backlog'!$F87 / MAX(1, 'ProductSprint Backlog'!$J87-'ProductSprint Backlog'!$I87), AND('ProductSprint Backlog'!$J87=D$2,'ProductSprint Backlog'!$I87=D$2), 'ProductSprint Backlog'!$F87, TRUE, 0)</f>
        <v>0.25</v>
      </c>
      <c r="E87" s="4" cm="1">
        <f t="array" ref="E87">_xlfn.IFS('ProductSprint Backlog'!$F87="", "", AND('ProductSprint Backlog'!$J87&gt;E$2,'ProductSprint Backlog'!$I87&lt;=E$2), 'ProductSprint Backlog'!$F87 / MAX(1, 'ProductSprint Backlog'!$J87-'ProductSprint Backlog'!$I87), AND('ProductSprint Backlog'!$J87=E$2,'ProductSprint Backlog'!$I87=E$2), 'ProductSprint Backlog'!$F87, TRUE, 0)</f>
        <v>0.25</v>
      </c>
      <c r="F87" s="4" cm="1">
        <f t="array" ref="F87">_xlfn.IFS('ProductSprint Backlog'!$F87="", "", AND('ProductSprint Backlog'!$J87&gt;F$2,'ProductSprint Backlog'!$I87&lt;=F$2), 'ProductSprint Backlog'!$F87 / MAX(1, 'ProductSprint Backlog'!$J87-'ProductSprint Backlog'!$I87), AND('ProductSprint Backlog'!$J87=F$2,'ProductSprint Backlog'!$I87=F$2), 'ProductSprint Backlog'!$F87, TRUE, 0)</f>
        <v>0</v>
      </c>
      <c r="G87" s="4" cm="1">
        <f t="array" ref="G87">_xlfn.IFS('ProductSprint Backlog'!$F87="", "", AND('ProductSprint Backlog'!$J87&gt;G$2,'ProductSprint Backlog'!$I87&lt;=G$2), 'ProductSprint Backlog'!$F87 / MAX(1, 'ProductSprint Backlog'!$J87-'ProductSprint Backlog'!$I87), AND('ProductSprint Backlog'!$J87=G$2,'ProductSprint Backlog'!$I87=G$2), 'ProductSprint Backlog'!$F87, TRUE, 0)</f>
        <v>0</v>
      </c>
      <c r="H87" s="4" cm="1">
        <f t="array" ref="H87">_xlfn.IFS('ProductSprint Backlog'!$F87="", "", AND('ProductSprint Backlog'!$J87&gt;H$2,'ProductSprint Backlog'!$I87&lt;=H$2), 'ProductSprint Backlog'!$F87 / MAX(1, 'ProductSprint Backlog'!$J87-'ProductSprint Backlog'!$I87), AND('ProductSprint Backlog'!$J87=H$2,'ProductSprint Backlog'!$I87=H$2), 'ProductSprint Backlog'!$F87, TRUE, 0)</f>
        <v>0</v>
      </c>
      <c r="I87" s="4" cm="1">
        <f t="array" ref="I87">_xlfn.IFS('ProductSprint Backlog'!$F87="", "", AND('ProductSprint Backlog'!$J87&gt;I$2,'ProductSprint Backlog'!$I87&lt;=I$2), 'ProductSprint Backlog'!$F87 / MAX(1, 'ProductSprint Backlog'!$J87-'ProductSprint Backlog'!$I87), AND('ProductSprint Backlog'!$J87=I$2,'ProductSprint Backlog'!$I87=I$2), 'ProductSprint Backlog'!$F87, TRUE, 0)</f>
        <v>0</v>
      </c>
      <c r="J87" s="4" cm="1">
        <f t="array" ref="J87">_xlfn.IFS('ProductSprint Backlog'!$F87="", "", AND('ProductSprint Backlog'!$J87&gt;J$2,'ProductSprint Backlog'!$I87&lt;=J$2), 'ProductSprint Backlog'!$F87 / MAX(1, 'ProductSprint Backlog'!$J87-'ProductSprint Backlog'!$I87), AND('ProductSprint Backlog'!$J87=J$2,'ProductSprint Backlog'!$I87=J$2), 'ProductSprint Backlog'!$F87, TRUE, 0)</f>
        <v>0</v>
      </c>
      <c r="K87" s="4" cm="1">
        <f t="array" ref="K87">_xlfn.IFS('ProductSprint Backlog'!$F87="", "", AND('ProductSprint Backlog'!$J87&gt;K$2,'ProductSprint Backlog'!$I87&lt;=K$2), 'ProductSprint Backlog'!$F87 / MAX(1, 'ProductSprint Backlog'!$J87-'ProductSprint Backlog'!$I87), AND('ProductSprint Backlog'!$J87=K$2,'ProductSprint Backlog'!$I87=K$2), 'ProductSprint Backlog'!$F87, TRUE, 0)</f>
        <v>0</v>
      </c>
      <c r="L87" s="4" cm="1">
        <f t="array" ref="L87">_xlfn.IFS('ProductSprint Backlog'!$F87="", "", AND('ProductSprint Backlog'!$J87&gt;L$2,'ProductSprint Backlog'!$I87&lt;=L$2), 'ProductSprint Backlog'!$F87 / MAX(1, 'ProductSprint Backlog'!$J87-'ProductSprint Backlog'!$I87), AND('ProductSprint Backlog'!$J87=L$2,'ProductSprint Backlog'!$I87=L$2), 'ProductSprint Backlog'!$F87, TRUE, 0)</f>
        <v>0</v>
      </c>
      <c r="M87" s="4" cm="1">
        <f t="array" ref="M87">_xlfn.IFS('ProductSprint Backlog'!$F87="", "", AND('ProductSprint Backlog'!$J87&gt;M$2,'ProductSprint Backlog'!$I87&lt;=M$2), 'ProductSprint Backlog'!$F87 / MAX(1, 'ProductSprint Backlog'!$J87-'ProductSprint Backlog'!$I87), AND('ProductSprint Backlog'!$J87=M$2,'ProductSprint Backlog'!$I87=M$2), 'ProductSprint Backlog'!$F87, TRUE, 0)</f>
        <v>0</v>
      </c>
      <c r="N87" s="4" cm="1">
        <f t="array" ref="N87">_xlfn.IFS('ProductSprint Backlog'!$F87="", "", AND('ProductSprint Backlog'!$J87&gt;N$2,'ProductSprint Backlog'!$I87&lt;=N$2), 'ProductSprint Backlog'!$F87 / MAX(1, 'ProductSprint Backlog'!$J87-'ProductSprint Backlog'!$I87), AND('ProductSprint Backlog'!$J87=N$2,'ProductSprint Backlog'!$I87=N$2), 'ProductSprint Backlog'!$F87, TRUE, 0)</f>
        <v>0</v>
      </c>
      <c r="O87" s="4" cm="1">
        <f t="array" ref="O87">_xlfn.IFS('ProductSprint Backlog'!$F87="", "", AND('ProductSprint Backlog'!$J87&gt;O$2,'ProductSprint Backlog'!$I87&lt;=O$2), 'ProductSprint Backlog'!$F87 / MAX(1, 'ProductSprint Backlog'!$J87-'ProductSprint Backlog'!$I87), AND('ProductSprint Backlog'!$J87=O$2,'ProductSprint Backlog'!$I87=O$2), 'ProductSprint Backlog'!$F87, TRUE, 0)</f>
        <v>0</v>
      </c>
      <c r="P87" s="4" cm="1">
        <f t="array" ref="P87">_xlfn.IFS('ProductSprint Backlog'!$F87="", "", AND('ProductSprint Backlog'!$J87&gt;P$2,'ProductSprint Backlog'!$I87&lt;=P$2), 'ProductSprint Backlog'!$F87 / MAX(1, 'ProductSprint Backlog'!$J87-'ProductSprint Backlog'!$I87), AND('ProductSprint Backlog'!$J87=P$2,'ProductSprint Backlog'!$I87=P$2), 'ProductSprint Backlog'!$F87, TRUE, 0)</f>
        <v>0</v>
      </c>
      <c r="Q87" s="4" cm="1">
        <f t="array" ref="Q87">_xlfn.IFS('ProductSprint Backlog'!$F87="", "", AND('ProductSprint Backlog'!$J87&gt;Q$2,'ProductSprint Backlog'!$I87&lt;=Q$2), 'ProductSprint Backlog'!$F87 / MAX(1, 'ProductSprint Backlog'!$J87-'ProductSprint Backlog'!$I87), AND('ProductSprint Backlog'!$J87=Q$2,'ProductSprint Backlog'!$I87=Q$2), 'ProductSprint Backlog'!$F87, TRUE, 0)</f>
        <v>0</v>
      </c>
      <c r="R87" s="4" cm="1">
        <f t="array" ref="R87">_xlfn.IFS('ProductSprint Backlog'!$F87="", "", AND('ProductSprint Backlog'!$J87&gt;R$2,'ProductSprint Backlog'!$I87&lt;=R$2), 'ProductSprint Backlog'!$F87 / MAX(1, 'ProductSprint Backlog'!$J87-'ProductSprint Backlog'!$I87), AND('ProductSprint Backlog'!$J87=R$2,'ProductSprint Backlog'!$I87=R$2), 'ProductSprint Backlog'!$F87, TRUE, 0)</f>
        <v>0</v>
      </c>
      <c r="S87" s="4" cm="1">
        <f t="array" ref="S87">_xlfn.IFS('ProductSprint Backlog'!$F87="", "", AND('ProductSprint Backlog'!$J87&gt;S$2,'ProductSprint Backlog'!$I87&lt;=S$2), 'ProductSprint Backlog'!$F87 / MAX(1, 'ProductSprint Backlog'!$J87-'ProductSprint Backlog'!$I87), AND('ProductSprint Backlog'!$J87=S$2,'ProductSprint Backlog'!$I87=S$2), 'ProductSprint Backlog'!$F87, TRUE, 0)</f>
        <v>0</v>
      </c>
      <c r="T87" s="4" cm="1">
        <f t="array" ref="T87">_xlfn.IFS('ProductSprint Backlog'!$F87="", "", AND('ProductSprint Backlog'!$J87&gt;T$2,'ProductSprint Backlog'!$I87&lt;=T$2), 'ProductSprint Backlog'!$F87 / MAX(1, 'ProductSprint Backlog'!$J87-'ProductSprint Backlog'!$I87), AND('ProductSprint Backlog'!$J87=T$2,'ProductSprint Backlog'!$I87=T$2), 'ProductSprint Backlog'!$F87, TRUE, 0)</f>
        <v>0</v>
      </c>
    </row>
    <row r="88" spans="2:20" x14ac:dyDescent="0.2">
      <c r="B88" s="4" cm="1">
        <f t="array" ref="B88">_xlfn.IFS('ProductSprint Backlog'!$F88="", "", AND('ProductSprint Backlog'!$J88&gt;B$2,'ProductSprint Backlog'!$I88&lt;=B$2), 'ProductSprint Backlog'!$F88 / MAX(1, 'ProductSprint Backlog'!$J88-'ProductSprint Backlog'!$I88), AND('ProductSprint Backlog'!$J88=B$2,'ProductSprint Backlog'!$I88=B$2), 'ProductSprint Backlog'!$F88, TRUE, 0)</f>
        <v>0.25</v>
      </c>
      <c r="C88" s="4" cm="1">
        <f t="array" ref="C88">_xlfn.IFS('ProductSprint Backlog'!$F88="", "", AND('ProductSprint Backlog'!$J88&gt;C$2,'ProductSprint Backlog'!$I88&lt;=C$2), 'ProductSprint Backlog'!$F88 / MAX(1, 'ProductSprint Backlog'!$J88-'ProductSprint Backlog'!$I88), AND('ProductSprint Backlog'!$J88=C$2,'ProductSprint Backlog'!$I88=C$2), 'ProductSprint Backlog'!$F88, TRUE, 0)</f>
        <v>0.25</v>
      </c>
      <c r="D88" s="4" cm="1">
        <f t="array" ref="D88">_xlfn.IFS('ProductSprint Backlog'!$F88="", "", AND('ProductSprint Backlog'!$J88&gt;D$2,'ProductSprint Backlog'!$I88&lt;=D$2), 'ProductSprint Backlog'!$F88 / MAX(1, 'ProductSprint Backlog'!$J88-'ProductSprint Backlog'!$I88), AND('ProductSprint Backlog'!$J88=D$2,'ProductSprint Backlog'!$I88=D$2), 'ProductSprint Backlog'!$F88, TRUE, 0)</f>
        <v>0.25</v>
      </c>
      <c r="E88" s="4" cm="1">
        <f t="array" ref="E88">_xlfn.IFS('ProductSprint Backlog'!$F88="", "", AND('ProductSprint Backlog'!$J88&gt;E$2,'ProductSprint Backlog'!$I88&lt;=E$2), 'ProductSprint Backlog'!$F88 / MAX(1, 'ProductSprint Backlog'!$J88-'ProductSprint Backlog'!$I88), AND('ProductSprint Backlog'!$J88=E$2,'ProductSprint Backlog'!$I88=E$2), 'ProductSprint Backlog'!$F88, TRUE, 0)</f>
        <v>0.25</v>
      </c>
      <c r="F88" s="4" cm="1">
        <f t="array" ref="F88">_xlfn.IFS('ProductSprint Backlog'!$F88="", "", AND('ProductSprint Backlog'!$J88&gt;F$2,'ProductSprint Backlog'!$I88&lt;=F$2), 'ProductSprint Backlog'!$F88 / MAX(1, 'ProductSprint Backlog'!$J88-'ProductSprint Backlog'!$I88), AND('ProductSprint Backlog'!$J88=F$2,'ProductSprint Backlog'!$I88=F$2), 'ProductSprint Backlog'!$F88, TRUE, 0)</f>
        <v>0</v>
      </c>
      <c r="G88" s="4" cm="1">
        <f t="array" ref="G88">_xlfn.IFS('ProductSprint Backlog'!$F88="", "", AND('ProductSprint Backlog'!$J88&gt;G$2,'ProductSprint Backlog'!$I88&lt;=G$2), 'ProductSprint Backlog'!$F88 / MAX(1, 'ProductSprint Backlog'!$J88-'ProductSprint Backlog'!$I88), AND('ProductSprint Backlog'!$J88=G$2,'ProductSprint Backlog'!$I88=G$2), 'ProductSprint Backlog'!$F88, TRUE, 0)</f>
        <v>0</v>
      </c>
      <c r="H88" s="4" cm="1">
        <f t="array" ref="H88">_xlfn.IFS('ProductSprint Backlog'!$F88="", "", AND('ProductSprint Backlog'!$J88&gt;H$2,'ProductSprint Backlog'!$I88&lt;=H$2), 'ProductSprint Backlog'!$F88 / MAX(1, 'ProductSprint Backlog'!$J88-'ProductSprint Backlog'!$I88), AND('ProductSprint Backlog'!$J88=H$2,'ProductSprint Backlog'!$I88=H$2), 'ProductSprint Backlog'!$F88, TRUE, 0)</f>
        <v>0</v>
      </c>
      <c r="I88" s="4" cm="1">
        <f t="array" ref="I88">_xlfn.IFS('ProductSprint Backlog'!$F88="", "", AND('ProductSprint Backlog'!$J88&gt;I$2,'ProductSprint Backlog'!$I88&lt;=I$2), 'ProductSprint Backlog'!$F88 / MAX(1, 'ProductSprint Backlog'!$J88-'ProductSprint Backlog'!$I88), AND('ProductSprint Backlog'!$J88=I$2,'ProductSprint Backlog'!$I88=I$2), 'ProductSprint Backlog'!$F88, TRUE, 0)</f>
        <v>0</v>
      </c>
      <c r="J88" s="4" cm="1">
        <f t="array" ref="J88">_xlfn.IFS('ProductSprint Backlog'!$F88="", "", AND('ProductSprint Backlog'!$J88&gt;J$2,'ProductSprint Backlog'!$I88&lt;=J$2), 'ProductSprint Backlog'!$F88 / MAX(1, 'ProductSprint Backlog'!$J88-'ProductSprint Backlog'!$I88), AND('ProductSprint Backlog'!$J88=J$2,'ProductSprint Backlog'!$I88=J$2), 'ProductSprint Backlog'!$F88, TRUE, 0)</f>
        <v>0</v>
      </c>
      <c r="K88" s="4" cm="1">
        <f t="array" ref="K88">_xlfn.IFS('ProductSprint Backlog'!$F88="", "", AND('ProductSprint Backlog'!$J88&gt;K$2,'ProductSprint Backlog'!$I88&lt;=K$2), 'ProductSprint Backlog'!$F88 / MAX(1, 'ProductSprint Backlog'!$J88-'ProductSprint Backlog'!$I88), AND('ProductSprint Backlog'!$J88=K$2,'ProductSprint Backlog'!$I88=K$2), 'ProductSprint Backlog'!$F88, TRUE, 0)</f>
        <v>0</v>
      </c>
      <c r="L88" s="4" cm="1">
        <f t="array" ref="L88">_xlfn.IFS('ProductSprint Backlog'!$F88="", "", AND('ProductSprint Backlog'!$J88&gt;L$2,'ProductSprint Backlog'!$I88&lt;=L$2), 'ProductSprint Backlog'!$F88 / MAX(1, 'ProductSprint Backlog'!$J88-'ProductSprint Backlog'!$I88), AND('ProductSprint Backlog'!$J88=L$2,'ProductSprint Backlog'!$I88=L$2), 'ProductSprint Backlog'!$F88, TRUE, 0)</f>
        <v>0</v>
      </c>
      <c r="M88" s="4" cm="1">
        <f t="array" ref="M88">_xlfn.IFS('ProductSprint Backlog'!$F88="", "", AND('ProductSprint Backlog'!$J88&gt;M$2,'ProductSprint Backlog'!$I88&lt;=M$2), 'ProductSprint Backlog'!$F88 / MAX(1, 'ProductSprint Backlog'!$J88-'ProductSprint Backlog'!$I88), AND('ProductSprint Backlog'!$J88=M$2,'ProductSprint Backlog'!$I88=M$2), 'ProductSprint Backlog'!$F88, TRUE, 0)</f>
        <v>0</v>
      </c>
      <c r="N88" s="4" cm="1">
        <f t="array" ref="N88">_xlfn.IFS('ProductSprint Backlog'!$F88="", "", AND('ProductSprint Backlog'!$J88&gt;N$2,'ProductSprint Backlog'!$I88&lt;=N$2), 'ProductSprint Backlog'!$F88 / MAX(1, 'ProductSprint Backlog'!$J88-'ProductSprint Backlog'!$I88), AND('ProductSprint Backlog'!$J88=N$2,'ProductSprint Backlog'!$I88=N$2), 'ProductSprint Backlog'!$F88, TRUE, 0)</f>
        <v>0</v>
      </c>
      <c r="O88" s="4" cm="1">
        <f t="array" ref="O88">_xlfn.IFS('ProductSprint Backlog'!$F88="", "", AND('ProductSprint Backlog'!$J88&gt;O$2,'ProductSprint Backlog'!$I88&lt;=O$2), 'ProductSprint Backlog'!$F88 / MAX(1, 'ProductSprint Backlog'!$J88-'ProductSprint Backlog'!$I88), AND('ProductSprint Backlog'!$J88=O$2,'ProductSprint Backlog'!$I88=O$2), 'ProductSprint Backlog'!$F88, TRUE, 0)</f>
        <v>0</v>
      </c>
      <c r="P88" s="4" cm="1">
        <f t="array" ref="P88">_xlfn.IFS('ProductSprint Backlog'!$F88="", "", AND('ProductSprint Backlog'!$J88&gt;P$2,'ProductSprint Backlog'!$I88&lt;=P$2), 'ProductSprint Backlog'!$F88 / MAX(1, 'ProductSprint Backlog'!$J88-'ProductSprint Backlog'!$I88), AND('ProductSprint Backlog'!$J88=P$2,'ProductSprint Backlog'!$I88=P$2), 'ProductSprint Backlog'!$F88, TRUE, 0)</f>
        <v>0</v>
      </c>
      <c r="Q88" s="4" cm="1">
        <f t="array" ref="Q88">_xlfn.IFS('ProductSprint Backlog'!$F88="", "", AND('ProductSprint Backlog'!$J88&gt;Q$2,'ProductSprint Backlog'!$I88&lt;=Q$2), 'ProductSprint Backlog'!$F88 / MAX(1, 'ProductSprint Backlog'!$J88-'ProductSprint Backlog'!$I88), AND('ProductSprint Backlog'!$J88=Q$2,'ProductSprint Backlog'!$I88=Q$2), 'ProductSprint Backlog'!$F88, TRUE, 0)</f>
        <v>0</v>
      </c>
      <c r="R88" s="4" cm="1">
        <f t="array" ref="R88">_xlfn.IFS('ProductSprint Backlog'!$F88="", "", AND('ProductSprint Backlog'!$J88&gt;R$2,'ProductSprint Backlog'!$I88&lt;=R$2), 'ProductSprint Backlog'!$F88 / MAX(1, 'ProductSprint Backlog'!$J88-'ProductSprint Backlog'!$I88), AND('ProductSprint Backlog'!$J88=R$2,'ProductSprint Backlog'!$I88=R$2), 'ProductSprint Backlog'!$F88, TRUE, 0)</f>
        <v>0</v>
      </c>
      <c r="S88" s="4" cm="1">
        <f t="array" ref="S88">_xlfn.IFS('ProductSprint Backlog'!$F88="", "", AND('ProductSprint Backlog'!$J88&gt;S$2,'ProductSprint Backlog'!$I88&lt;=S$2), 'ProductSprint Backlog'!$F88 / MAX(1, 'ProductSprint Backlog'!$J88-'ProductSprint Backlog'!$I88), AND('ProductSprint Backlog'!$J88=S$2,'ProductSprint Backlog'!$I88=S$2), 'ProductSprint Backlog'!$F88, TRUE, 0)</f>
        <v>0</v>
      </c>
      <c r="T88" s="4" cm="1">
        <f t="array" ref="T88">_xlfn.IFS('ProductSprint Backlog'!$F88="", "", AND('ProductSprint Backlog'!$J88&gt;T$2,'ProductSprint Backlog'!$I88&lt;=T$2), 'ProductSprint Backlog'!$F88 / MAX(1, 'ProductSprint Backlog'!$J88-'ProductSprint Backlog'!$I88), AND('ProductSprint Backlog'!$J88=T$2,'ProductSprint Backlog'!$I88=T$2), 'ProductSprint Backlog'!$F88, TRUE, 0)</f>
        <v>0</v>
      </c>
    </row>
    <row r="89" spans="2:20" x14ac:dyDescent="0.2">
      <c r="B89" s="4" cm="1">
        <f t="array" ref="B89">_xlfn.IFS('ProductSprint Backlog'!$F89="", "", AND('ProductSprint Backlog'!$J89&gt;B$2,'ProductSprint Backlog'!$I89&lt;=B$2), 'ProductSprint Backlog'!$F89 / MAX(1, 'ProductSprint Backlog'!$J89-'ProductSprint Backlog'!$I89), AND('ProductSprint Backlog'!$J89=B$2,'ProductSprint Backlog'!$I89=B$2), 'ProductSprint Backlog'!$F89, TRUE, 0)</f>
        <v>0.25</v>
      </c>
      <c r="C89" s="4" cm="1">
        <f t="array" ref="C89">_xlfn.IFS('ProductSprint Backlog'!$F89="", "", AND('ProductSprint Backlog'!$J89&gt;C$2,'ProductSprint Backlog'!$I89&lt;=C$2), 'ProductSprint Backlog'!$F89 / MAX(1, 'ProductSprint Backlog'!$J89-'ProductSprint Backlog'!$I89), AND('ProductSprint Backlog'!$J89=C$2,'ProductSprint Backlog'!$I89=C$2), 'ProductSprint Backlog'!$F89, TRUE, 0)</f>
        <v>0.25</v>
      </c>
      <c r="D89" s="4" cm="1">
        <f t="array" ref="D89">_xlfn.IFS('ProductSprint Backlog'!$F89="", "", AND('ProductSprint Backlog'!$J89&gt;D$2,'ProductSprint Backlog'!$I89&lt;=D$2), 'ProductSprint Backlog'!$F89 / MAX(1, 'ProductSprint Backlog'!$J89-'ProductSprint Backlog'!$I89), AND('ProductSprint Backlog'!$J89=D$2,'ProductSprint Backlog'!$I89=D$2), 'ProductSprint Backlog'!$F89, TRUE, 0)</f>
        <v>0.25</v>
      </c>
      <c r="E89" s="4" cm="1">
        <f t="array" ref="E89">_xlfn.IFS('ProductSprint Backlog'!$F89="", "", AND('ProductSprint Backlog'!$J89&gt;E$2,'ProductSprint Backlog'!$I89&lt;=E$2), 'ProductSprint Backlog'!$F89 / MAX(1, 'ProductSprint Backlog'!$J89-'ProductSprint Backlog'!$I89), AND('ProductSprint Backlog'!$J89=E$2,'ProductSprint Backlog'!$I89=E$2), 'ProductSprint Backlog'!$F89, TRUE, 0)</f>
        <v>0.25</v>
      </c>
      <c r="F89" s="4" cm="1">
        <f t="array" ref="F89">_xlfn.IFS('ProductSprint Backlog'!$F89="", "", AND('ProductSprint Backlog'!$J89&gt;F$2,'ProductSprint Backlog'!$I89&lt;=F$2), 'ProductSprint Backlog'!$F89 / MAX(1, 'ProductSprint Backlog'!$J89-'ProductSprint Backlog'!$I89), AND('ProductSprint Backlog'!$J89=F$2,'ProductSprint Backlog'!$I89=F$2), 'ProductSprint Backlog'!$F89, TRUE, 0)</f>
        <v>0</v>
      </c>
      <c r="G89" s="4" cm="1">
        <f t="array" ref="G89">_xlfn.IFS('ProductSprint Backlog'!$F89="", "", AND('ProductSprint Backlog'!$J89&gt;G$2,'ProductSprint Backlog'!$I89&lt;=G$2), 'ProductSprint Backlog'!$F89 / MAX(1, 'ProductSprint Backlog'!$J89-'ProductSprint Backlog'!$I89), AND('ProductSprint Backlog'!$J89=G$2,'ProductSprint Backlog'!$I89=G$2), 'ProductSprint Backlog'!$F89, TRUE, 0)</f>
        <v>0</v>
      </c>
      <c r="H89" s="4" cm="1">
        <f t="array" ref="H89">_xlfn.IFS('ProductSprint Backlog'!$F89="", "", AND('ProductSprint Backlog'!$J89&gt;H$2,'ProductSprint Backlog'!$I89&lt;=H$2), 'ProductSprint Backlog'!$F89 / MAX(1, 'ProductSprint Backlog'!$J89-'ProductSprint Backlog'!$I89), AND('ProductSprint Backlog'!$J89=H$2,'ProductSprint Backlog'!$I89=H$2), 'ProductSprint Backlog'!$F89, TRUE, 0)</f>
        <v>0</v>
      </c>
      <c r="I89" s="4" cm="1">
        <f t="array" ref="I89">_xlfn.IFS('ProductSprint Backlog'!$F89="", "", AND('ProductSprint Backlog'!$J89&gt;I$2,'ProductSprint Backlog'!$I89&lt;=I$2), 'ProductSprint Backlog'!$F89 / MAX(1, 'ProductSprint Backlog'!$J89-'ProductSprint Backlog'!$I89), AND('ProductSprint Backlog'!$J89=I$2,'ProductSprint Backlog'!$I89=I$2), 'ProductSprint Backlog'!$F89, TRUE, 0)</f>
        <v>0</v>
      </c>
      <c r="J89" s="4" cm="1">
        <f t="array" ref="J89">_xlfn.IFS('ProductSprint Backlog'!$F89="", "", AND('ProductSprint Backlog'!$J89&gt;J$2,'ProductSprint Backlog'!$I89&lt;=J$2), 'ProductSprint Backlog'!$F89 / MAX(1, 'ProductSprint Backlog'!$J89-'ProductSprint Backlog'!$I89), AND('ProductSprint Backlog'!$J89=J$2,'ProductSprint Backlog'!$I89=J$2), 'ProductSprint Backlog'!$F89, TRUE, 0)</f>
        <v>0</v>
      </c>
      <c r="K89" s="4" cm="1">
        <f t="array" ref="K89">_xlfn.IFS('ProductSprint Backlog'!$F89="", "", AND('ProductSprint Backlog'!$J89&gt;K$2,'ProductSprint Backlog'!$I89&lt;=K$2), 'ProductSprint Backlog'!$F89 / MAX(1, 'ProductSprint Backlog'!$J89-'ProductSprint Backlog'!$I89), AND('ProductSprint Backlog'!$J89=K$2,'ProductSprint Backlog'!$I89=K$2), 'ProductSprint Backlog'!$F89, TRUE, 0)</f>
        <v>0</v>
      </c>
      <c r="L89" s="4" cm="1">
        <f t="array" ref="L89">_xlfn.IFS('ProductSprint Backlog'!$F89="", "", AND('ProductSprint Backlog'!$J89&gt;L$2,'ProductSprint Backlog'!$I89&lt;=L$2), 'ProductSprint Backlog'!$F89 / MAX(1, 'ProductSprint Backlog'!$J89-'ProductSprint Backlog'!$I89), AND('ProductSprint Backlog'!$J89=L$2,'ProductSprint Backlog'!$I89=L$2), 'ProductSprint Backlog'!$F89, TRUE, 0)</f>
        <v>0</v>
      </c>
      <c r="M89" s="4" cm="1">
        <f t="array" ref="M89">_xlfn.IFS('ProductSprint Backlog'!$F89="", "", AND('ProductSprint Backlog'!$J89&gt;M$2,'ProductSprint Backlog'!$I89&lt;=M$2), 'ProductSprint Backlog'!$F89 / MAX(1, 'ProductSprint Backlog'!$J89-'ProductSprint Backlog'!$I89), AND('ProductSprint Backlog'!$J89=M$2,'ProductSprint Backlog'!$I89=M$2), 'ProductSprint Backlog'!$F89, TRUE, 0)</f>
        <v>0</v>
      </c>
      <c r="N89" s="4" cm="1">
        <f t="array" ref="N89">_xlfn.IFS('ProductSprint Backlog'!$F89="", "", AND('ProductSprint Backlog'!$J89&gt;N$2,'ProductSprint Backlog'!$I89&lt;=N$2), 'ProductSprint Backlog'!$F89 / MAX(1, 'ProductSprint Backlog'!$J89-'ProductSprint Backlog'!$I89), AND('ProductSprint Backlog'!$J89=N$2,'ProductSprint Backlog'!$I89=N$2), 'ProductSprint Backlog'!$F89, TRUE, 0)</f>
        <v>0</v>
      </c>
      <c r="O89" s="4" cm="1">
        <f t="array" ref="O89">_xlfn.IFS('ProductSprint Backlog'!$F89="", "", AND('ProductSprint Backlog'!$J89&gt;O$2,'ProductSprint Backlog'!$I89&lt;=O$2), 'ProductSprint Backlog'!$F89 / MAX(1, 'ProductSprint Backlog'!$J89-'ProductSprint Backlog'!$I89), AND('ProductSprint Backlog'!$J89=O$2,'ProductSprint Backlog'!$I89=O$2), 'ProductSprint Backlog'!$F89, TRUE, 0)</f>
        <v>0</v>
      </c>
      <c r="P89" s="4" cm="1">
        <f t="array" ref="P89">_xlfn.IFS('ProductSprint Backlog'!$F89="", "", AND('ProductSprint Backlog'!$J89&gt;P$2,'ProductSprint Backlog'!$I89&lt;=P$2), 'ProductSprint Backlog'!$F89 / MAX(1, 'ProductSprint Backlog'!$J89-'ProductSprint Backlog'!$I89), AND('ProductSprint Backlog'!$J89=P$2,'ProductSprint Backlog'!$I89=P$2), 'ProductSprint Backlog'!$F89, TRUE, 0)</f>
        <v>0</v>
      </c>
      <c r="Q89" s="4" cm="1">
        <f t="array" ref="Q89">_xlfn.IFS('ProductSprint Backlog'!$F89="", "", AND('ProductSprint Backlog'!$J89&gt;Q$2,'ProductSprint Backlog'!$I89&lt;=Q$2), 'ProductSprint Backlog'!$F89 / MAX(1, 'ProductSprint Backlog'!$J89-'ProductSprint Backlog'!$I89), AND('ProductSprint Backlog'!$J89=Q$2,'ProductSprint Backlog'!$I89=Q$2), 'ProductSprint Backlog'!$F89, TRUE, 0)</f>
        <v>0</v>
      </c>
      <c r="R89" s="4" cm="1">
        <f t="array" ref="R89">_xlfn.IFS('ProductSprint Backlog'!$F89="", "", AND('ProductSprint Backlog'!$J89&gt;R$2,'ProductSprint Backlog'!$I89&lt;=R$2), 'ProductSprint Backlog'!$F89 / MAX(1, 'ProductSprint Backlog'!$J89-'ProductSprint Backlog'!$I89), AND('ProductSprint Backlog'!$J89=R$2,'ProductSprint Backlog'!$I89=R$2), 'ProductSprint Backlog'!$F89, TRUE, 0)</f>
        <v>0</v>
      </c>
      <c r="S89" s="4" cm="1">
        <f t="array" ref="S89">_xlfn.IFS('ProductSprint Backlog'!$F89="", "", AND('ProductSprint Backlog'!$J89&gt;S$2,'ProductSprint Backlog'!$I89&lt;=S$2), 'ProductSprint Backlog'!$F89 / MAX(1, 'ProductSprint Backlog'!$J89-'ProductSprint Backlog'!$I89), AND('ProductSprint Backlog'!$J89=S$2,'ProductSprint Backlog'!$I89=S$2), 'ProductSprint Backlog'!$F89, TRUE, 0)</f>
        <v>0</v>
      </c>
      <c r="T89" s="4" cm="1">
        <f t="array" ref="T89">_xlfn.IFS('ProductSprint Backlog'!$F89="", "", AND('ProductSprint Backlog'!$J89&gt;T$2,'ProductSprint Backlog'!$I89&lt;=T$2), 'ProductSprint Backlog'!$F89 / MAX(1, 'ProductSprint Backlog'!$J89-'ProductSprint Backlog'!$I89), AND('ProductSprint Backlog'!$J89=T$2,'ProductSprint Backlog'!$I89=T$2), 'ProductSprint Backlog'!$F89, TRUE, 0)</f>
        <v>0</v>
      </c>
    </row>
    <row r="90" spans="2:20" x14ac:dyDescent="0.2">
      <c r="B90" s="4" cm="1">
        <f t="array" ref="B90">_xlfn.IFS('ProductSprint Backlog'!$F90="", "", AND('ProductSprint Backlog'!$J90&gt;B$2,'ProductSprint Backlog'!$I90&lt;=B$2), 'ProductSprint Backlog'!$F90 / MAX(1, 'ProductSprint Backlog'!$J90-'ProductSprint Backlog'!$I90), AND('ProductSprint Backlog'!$J90=B$2,'ProductSprint Backlog'!$I90=B$2), 'ProductSprint Backlog'!$F90, TRUE, 0)</f>
        <v>0.25</v>
      </c>
      <c r="C90" s="4" cm="1">
        <f t="array" ref="C90">_xlfn.IFS('ProductSprint Backlog'!$F90="", "", AND('ProductSprint Backlog'!$J90&gt;C$2,'ProductSprint Backlog'!$I90&lt;=C$2), 'ProductSprint Backlog'!$F90 / MAX(1, 'ProductSprint Backlog'!$J90-'ProductSprint Backlog'!$I90), AND('ProductSprint Backlog'!$J90=C$2,'ProductSprint Backlog'!$I90=C$2), 'ProductSprint Backlog'!$F90, TRUE, 0)</f>
        <v>0.25</v>
      </c>
      <c r="D90" s="4" cm="1">
        <f t="array" ref="D90">_xlfn.IFS('ProductSprint Backlog'!$F90="", "", AND('ProductSprint Backlog'!$J90&gt;D$2,'ProductSprint Backlog'!$I90&lt;=D$2), 'ProductSprint Backlog'!$F90 / MAX(1, 'ProductSprint Backlog'!$J90-'ProductSprint Backlog'!$I90), AND('ProductSprint Backlog'!$J90=D$2,'ProductSprint Backlog'!$I90=D$2), 'ProductSprint Backlog'!$F90, TRUE, 0)</f>
        <v>0.25</v>
      </c>
      <c r="E90" s="4" cm="1">
        <f t="array" ref="E90">_xlfn.IFS('ProductSprint Backlog'!$F90="", "", AND('ProductSprint Backlog'!$J90&gt;E$2,'ProductSprint Backlog'!$I90&lt;=E$2), 'ProductSprint Backlog'!$F90 / MAX(1, 'ProductSprint Backlog'!$J90-'ProductSprint Backlog'!$I90), AND('ProductSprint Backlog'!$J90=E$2,'ProductSprint Backlog'!$I90=E$2), 'ProductSprint Backlog'!$F90, TRUE, 0)</f>
        <v>0.25</v>
      </c>
      <c r="F90" s="4" cm="1">
        <f t="array" ref="F90">_xlfn.IFS('ProductSprint Backlog'!$F90="", "", AND('ProductSprint Backlog'!$J90&gt;F$2,'ProductSprint Backlog'!$I90&lt;=F$2), 'ProductSprint Backlog'!$F90 / MAX(1, 'ProductSprint Backlog'!$J90-'ProductSprint Backlog'!$I90), AND('ProductSprint Backlog'!$J90=F$2,'ProductSprint Backlog'!$I90=F$2), 'ProductSprint Backlog'!$F90, TRUE, 0)</f>
        <v>0</v>
      </c>
      <c r="G90" s="4" cm="1">
        <f t="array" ref="G90">_xlfn.IFS('ProductSprint Backlog'!$F90="", "", AND('ProductSprint Backlog'!$J90&gt;G$2,'ProductSprint Backlog'!$I90&lt;=G$2), 'ProductSprint Backlog'!$F90 / MAX(1, 'ProductSprint Backlog'!$J90-'ProductSprint Backlog'!$I90), AND('ProductSprint Backlog'!$J90=G$2,'ProductSprint Backlog'!$I90=G$2), 'ProductSprint Backlog'!$F90, TRUE, 0)</f>
        <v>0</v>
      </c>
      <c r="H90" s="4" cm="1">
        <f t="array" ref="H90">_xlfn.IFS('ProductSprint Backlog'!$F90="", "", AND('ProductSprint Backlog'!$J90&gt;H$2,'ProductSprint Backlog'!$I90&lt;=H$2), 'ProductSprint Backlog'!$F90 / MAX(1, 'ProductSprint Backlog'!$J90-'ProductSprint Backlog'!$I90), AND('ProductSprint Backlog'!$J90=H$2,'ProductSprint Backlog'!$I90=H$2), 'ProductSprint Backlog'!$F90, TRUE, 0)</f>
        <v>0</v>
      </c>
      <c r="I90" s="4" cm="1">
        <f t="array" ref="I90">_xlfn.IFS('ProductSprint Backlog'!$F90="", "", AND('ProductSprint Backlog'!$J90&gt;I$2,'ProductSprint Backlog'!$I90&lt;=I$2), 'ProductSprint Backlog'!$F90 / MAX(1, 'ProductSprint Backlog'!$J90-'ProductSprint Backlog'!$I90), AND('ProductSprint Backlog'!$J90=I$2,'ProductSprint Backlog'!$I90=I$2), 'ProductSprint Backlog'!$F90, TRUE, 0)</f>
        <v>0</v>
      </c>
      <c r="J90" s="4" cm="1">
        <f t="array" ref="J90">_xlfn.IFS('ProductSprint Backlog'!$F90="", "", AND('ProductSprint Backlog'!$J90&gt;J$2,'ProductSprint Backlog'!$I90&lt;=J$2), 'ProductSprint Backlog'!$F90 / MAX(1, 'ProductSprint Backlog'!$J90-'ProductSprint Backlog'!$I90), AND('ProductSprint Backlog'!$J90=J$2,'ProductSprint Backlog'!$I90=J$2), 'ProductSprint Backlog'!$F90, TRUE, 0)</f>
        <v>0</v>
      </c>
      <c r="K90" s="4" cm="1">
        <f t="array" ref="K90">_xlfn.IFS('ProductSprint Backlog'!$F90="", "", AND('ProductSprint Backlog'!$J90&gt;K$2,'ProductSprint Backlog'!$I90&lt;=K$2), 'ProductSprint Backlog'!$F90 / MAX(1, 'ProductSprint Backlog'!$J90-'ProductSprint Backlog'!$I90), AND('ProductSprint Backlog'!$J90=K$2,'ProductSprint Backlog'!$I90=K$2), 'ProductSprint Backlog'!$F90, TRUE, 0)</f>
        <v>0</v>
      </c>
      <c r="L90" s="4" cm="1">
        <f t="array" ref="L90">_xlfn.IFS('ProductSprint Backlog'!$F90="", "", AND('ProductSprint Backlog'!$J90&gt;L$2,'ProductSprint Backlog'!$I90&lt;=L$2), 'ProductSprint Backlog'!$F90 / MAX(1, 'ProductSprint Backlog'!$J90-'ProductSprint Backlog'!$I90), AND('ProductSprint Backlog'!$J90=L$2,'ProductSprint Backlog'!$I90=L$2), 'ProductSprint Backlog'!$F90, TRUE, 0)</f>
        <v>0</v>
      </c>
      <c r="M90" s="4" cm="1">
        <f t="array" ref="M90">_xlfn.IFS('ProductSprint Backlog'!$F90="", "", AND('ProductSprint Backlog'!$J90&gt;M$2,'ProductSprint Backlog'!$I90&lt;=M$2), 'ProductSprint Backlog'!$F90 / MAX(1, 'ProductSprint Backlog'!$J90-'ProductSprint Backlog'!$I90), AND('ProductSprint Backlog'!$J90=M$2,'ProductSprint Backlog'!$I90=M$2), 'ProductSprint Backlog'!$F90, TRUE, 0)</f>
        <v>0</v>
      </c>
      <c r="N90" s="4" cm="1">
        <f t="array" ref="N90">_xlfn.IFS('ProductSprint Backlog'!$F90="", "", AND('ProductSprint Backlog'!$J90&gt;N$2,'ProductSprint Backlog'!$I90&lt;=N$2), 'ProductSprint Backlog'!$F90 / MAX(1, 'ProductSprint Backlog'!$J90-'ProductSprint Backlog'!$I90), AND('ProductSprint Backlog'!$J90=N$2,'ProductSprint Backlog'!$I90=N$2), 'ProductSprint Backlog'!$F90, TRUE, 0)</f>
        <v>0</v>
      </c>
      <c r="O90" s="4" cm="1">
        <f t="array" ref="O90">_xlfn.IFS('ProductSprint Backlog'!$F90="", "", AND('ProductSprint Backlog'!$J90&gt;O$2,'ProductSprint Backlog'!$I90&lt;=O$2), 'ProductSprint Backlog'!$F90 / MAX(1, 'ProductSprint Backlog'!$J90-'ProductSprint Backlog'!$I90), AND('ProductSprint Backlog'!$J90=O$2,'ProductSprint Backlog'!$I90=O$2), 'ProductSprint Backlog'!$F90, TRUE, 0)</f>
        <v>0</v>
      </c>
      <c r="P90" s="4" cm="1">
        <f t="array" ref="P90">_xlfn.IFS('ProductSprint Backlog'!$F90="", "", AND('ProductSprint Backlog'!$J90&gt;P$2,'ProductSprint Backlog'!$I90&lt;=P$2), 'ProductSprint Backlog'!$F90 / MAX(1, 'ProductSprint Backlog'!$J90-'ProductSprint Backlog'!$I90), AND('ProductSprint Backlog'!$J90=P$2,'ProductSprint Backlog'!$I90=P$2), 'ProductSprint Backlog'!$F90, TRUE, 0)</f>
        <v>0</v>
      </c>
      <c r="Q90" s="4" cm="1">
        <f t="array" ref="Q90">_xlfn.IFS('ProductSprint Backlog'!$F90="", "", AND('ProductSprint Backlog'!$J90&gt;Q$2,'ProductSprint Backlog'!$I90&lt;=Q$2), 'ProductSprint Backlog'!$F90 / MAX(1, 'ProductSprint Backlog'!$J90-'ProductSprint Backlog'!$I90), AND('ProductSprint Backlog'!$J90=Q$2,'ProductSprint Backlog'!$I90=Q$2), 'ProductSprint Backlog'!$F90, TRUE, 0)</f>
        <v>0</v>
      </c>
      <c r="R90" s="4" cm="1">
        <f t="array" ref="R90">_xlfn.IFS('ProductSprint Backlog'!$F90="", "", AND('ProductSprint Backlog'!$J90&gt;R$2,'ProductSprint Backlog'!$I90&lt;=R$2), 'ProductSprint Backlog'!$F90 / MAX(1, 'ProductSprint Backlog'!$J90-'ProductSprint Backlog'!$I90), AND('ProductSprint Backlog'!$J90=R$2,'ProductSprint Backlog'!$I90=R$2), 'ProductSprint Backlog'!$F90, TRUE, 0)</f>
        <v>0</v>
      </c>
      <c r="S90" s="4" cm="1">
        <f t="array" ref="S90">_xlfn.IFS('ProductSprint Backlog'!$F90="", "", AND('ProductSprint Backlog'!$J90&gt;S$2,'ProductSprint Backlog'!$I90&lt;=S$2), 'ProductSprint Backlog'!$F90 / MAX(1, 'ProductSprint Backlog'!$J90-'ProductSprint Backlog'!$I90), AND('ProductSprint Backlog'!$J90=S$2,'ProductSprint Backlog'!$I90=S$2), 'ProductSprint Backlog'!$F90, TRUE, 0)</f>
        <v>0</v>
      </c>
      <c r="T90" s="4" cm="1">
        <f t="array" ref="T90">_xlfn.IFS('ProductSprint Backlog'!$F90="", "", AND('ProductSprint Backlog'!$J90&gt;T$2,'ProductSprint Backlog'!$I90&lt;=T$2), 'ProductSprint Backlog'!$F90 / MAX(1, 'ProductSprint Backlog'!$J90-'ProductSprint Backlog'!$I90), AND('ProductSprint Backlog'!$J90=T$2,'ProductSprint Backlog'!$I90=T$2), 'ProductSprint Backlog'!$F90, TRUE, 0)</f>
        <v>0</v>
      </c>
    </row>
    <row r="91" spans="2:20" x14ac:dyDescent="0.2">
      <c r="B91" s="4" cm="1">
        <f t="array" ref="B91">_xlfn.IFS('ProductSprint Backlog'!$F91="", "", AND('ProductSprint Backlog'!$J91&gt;B$2,'ProductSprint Backlog'!$I91&lt;=B$2), 'ProductSprint Backlog'!$F91 / MAX(1, 'ProductSprint Backlog'!$J91-'ProductSprint Backlog'!$I91), AND('ProductSprint Backlog'!$J91=B$2,'ProductSprint Backlog'!$I91=B$2), 'ProductSprint Backlog'!$F91, TRUE, 0)</f>
        <v>0</v>
      </c>
      <c r="C91" s="4" cm="1">
        <f t="array" ref="C91">_xlfn.IFS('ProductSprint Backlog'!$F91="", "", AND('ProductSprint Backlog'!$J91&gt;C$2,'ProductSprint Backlog'!$I91&lt;=C$2), 'ProductSprint Backlog'!$F91 / MAX(1, 'ProductSprint Backlog'!$J91-'ProductSprint Backlog'!$I91), AND('ProductSprint Backlog'!$J91=C$2,'ProductSprint Backlog'!$I91=C$2), 'ProductSprint Backlog'!$F91, TRUE, 0)</f>
        <v>0</v>
      </c>
      <c r="D91" s="4" cm="1">
        <f t="array" ref="D91">_xlfn.IFS('ProductSprint Backlog'!$F91="", "", AND('ProductSprint Backlog'!$J91&gt;D$2,'ProductSprint Backlog'!$I91&lt;=D$2), 'ProductSprint Backlog'!$F91 / MAX(1, 'ProductSprint Backlog'!$J91-'ProductSprint Backlog'!$I91), AND('ProductSprint Backlog'!$J91=D$2,'ProductSprint Backlog'!$I91=D$2), 'ProductSprint Backlog'!$F91, TRUE, 0)</f>
        <v>0</v>
      </c>
      <c r="E91" s="4" cm="1">
        <f t="array" ref="E91">_xlfn.IFS('ProductSprint Backlog'!$F91="", "", AND('ProductSprint Backlog'!$J91&gt;E$2,'ProductSprint Backlog'!$I91&lt;=E$2), 'ProductSprint Backlog'!$F91 / MAX(1, 'ProductSprint Backlog'!$J91-'ProductSprint Backlog'!$I91), AND('ProductSprint Backlog'!$J91=E$2,'ProductSprint Backlog'!$I91=E$2), 'ProductSprint Backlog'!$F91, TRUE, 0)</f>
        <v>0</v>
      </c>
      <c r="F91" s="4" cm="1">
        <f t="array" ref="F91">_xlfn.IFS('ProductSprint Backlog'!$F91="", "", AND('ProductSprint Backlog'!$J91&gt;F$2,'ProductSprint Backlog'!$I91&lt;=F$2), 'ProductSprint Backlog'!$F91 / MAX(1, 'ProductSprint Backlog'!$J91-'ProductSprint Backlog'!$I91), AND('ProductSprint Backlog'!$J91=F$2,'ProductSprint Backlog'!$I91=F$2), 'ProductSprint Backlog'!$F91, TRUE, 0)</f>
        <v>0</v>
      </c>
      <c r="G91" s="4" cm="1">
        <f t="array" ref="G91">_xlfn.IFS('ProductSprint Backlog'!$F91="", "", AND('ProductSprint Backlog'!$J91&gt;G$2,'ProductSprint Backlog'!$I91&lt;=G$2), 'ProductSprint Backlog'!$F91 / MAX(1, 'ProductSprint Backlog'!$J91-'ProductSprint Backlog'!$I91), AND('ProductSprint Backlog'!$J91=G$2,'ProductSprint Backlog'!$I91=G$2), 'ProductSprint Backlog'!$F91, TRUE, 0)</f>
        <v>0.33333333333333331</v>
      </c>
      <c r="H91" s="4" cm="1">
        <f t="array" ref="H91">_xlfn.IFS('ProductSprint Backlog'!$F91="", "", AND('ProductSprint Backlog'!$J91&gt;H$2,'ProductSprint Backlog'!$I91&lt;=H$2), 'ProductSprint Backlog'!$F91 / MAX(1, 'ProductSprint Backlog'!$J91-'ProductSprint Backlog'!$I91), AND('ProductSprint Backlog'!$J91=H$2,'ProductSprint Backlog'!$I91=H$2), 'ProductSprint Backlog'!$F91, TRUE, 0)</f>
        <v>0.33333333333333331</v>
      </c>
      <c r="I91" s="4" cm="1">
        <f t="array" ref="I91">_xlfn.IFS('ProductSprint Backlog'!$F91="", "", AND('ProductSprint Backlog'!$J91&gt;I$2,'ProductSprint Backlog'!$I91&lt;=I$2), 'ProductSprint Backlog'!$F91 / MAX(1, 'ProductSprint Backlog'!$J91-'ProductSprint Backlog'!$I91), AND('ProductSprint Backlog'!$J91=I$2,'ProductSprint Backlog'!$I91=I$2), 'ProductSprint Backlog'!$F91, TRUE, 0)</f>
        <v>0.33333333333333331</v>
      </c>
      <c r="J91" s="4" cm="1">
        <f t="array" ref="J91">_xlfn.IFS('ProductSprint Backlog'!$F91="", "", AND('ProductSprint Backlog'!$J91&gt;J$2,'ProductSprint Backlog'!$I91&lt;=J$2), 'ProductSprint Backlog'!$F91 / MAX(1, 'ProductSprint Backlog'!$J91-'ProductSprint Backlog'!$I91), AND('ProductSprint Backlog'!$J91=J$2,'ProductSprint Backlog'!$I91=J$2), 'ProductSprint Backlog'!$F91, TRUE, 0)</f>
        <v>0</v>
      </c>
      <c r="K91" s="4" cm="1">
        <f t="array" ref="K91">_xlfn.IFS('ProductSprint Backlog'!$F91="", "", AND('ProductSprint Backlog'!$J91&gt;K$2,'ProductSprint Backlog'!$I91&lt;=K$2), 'ProductSprint Backlog'!$F91 / MAX(1, 'ProductSprint Backlog'!$J91-'ProductSprint Backlog'!$I91), AND('ProductSprint Backlog'!$J91=K$2,'ProductSprint Backlog'!$I91=K$2), 'ProductSprint Backlog'!$F91, TRUE, 0)</f>
        <v>0</v>
      </c>
      <c r="L91" s="4" cm="1">
        <f t="array" ref="L91">_xlfn.IFS('ProductSprint Backlog'!$F91="", "", AND('ProductSprint Backlog'!$J91&gt;L$2,'ProductSprint Backlog'!$I91&lt;=L$2), 'ProductSprint Backlog'!$F91 / MAX(1, 'ProductSprint Backlog'!$J91-'ProductSprint Backlog'!$I91), AND('ProductSprint Backlog'!$J91=L$2,'ProductSprint Backlog'!$I91=L$2), 'ProductSprint Backlog'!$F91, TRUE, 0)</f>
        <v>0</v>
      </c>
      <c r="M91" s="4" cm="1">
        <f t="array" ref="M91">_xlfn.IFS('ProductSprint Backlog'!$F91="", "", AND('ProductSprint Backlog'!$J91&gt;M$2,'ProductSprint Backlog'!$I91&lt;=M$2), 'ProductSprint Backlog'!$F91 / MAX(1, 'ProductSprint Backlog'!$J91-'ProductSprint Backlog'!$I91), AND('ProductSprint Backlog'!$J91=M$2,'ProductSprint Backlog'!$I91=M$2), 'ProductSprint Backlog'!$F91, TRUE, 0)</f>
        <v>0</v>
      </c>
      <c r="N91" s="4" cm="1">
        <f t="array" ref="N91">_xlfn.IFS('ProductSprint Backlog'!$F91="", "", AND('ProductSprint Backlog'!$J91&gt;N$2,'ProductSprint Backlog'!$I91&lt;=N$2), 'ProductSprint Backlog'!$F91 / MAX(1, 'ProductSprint Backlog'!$J91-'ProductSprint Backlog'!$I91), AND('ProductSprint Backlog'!$J91=N$2,'ProductSprint Backlog'!$I91=N$2), 'ProductSprint Backlog'!$F91, TRUE, 0)</f>
        <v>0</v>
      </c>
      <c r="O91" s="4" cm="1">
        <f t="array" ref="O91">_xlfn.IFS('ProductSprint Backlog'!$F91="", "", AND('ProductSprint Backlog'!$J91&gt;O$2,'ProductSprint Backlog'!$I91&lt;=O$2), 'ProductSprint Backlog'!$F91 / MAX(1, 'ProductSprint Backlog'!$J91-'ProductSprint Backlog'!$I91), AND('ProductSprint Backlog'!$J91=O$2,'ProductSprint Backlog'!$I91=O$2), 'ProductSprint Backlog'!$F91, TRUE, 0)</f>
        <v>0</v>
      </c>
      <c r="P91" s="4" cm="1">
        <f t="array" ref="P91">_xlfn.IFS('ProductSprint Backlog'!$F91="", "", AND('ProductSprint Backlog'!$J91&gt;P$2,'ProductSprint Backlog'!$I91&lt;=P$2), 'ProductSprint Backlog'!$F91 / MAX(1, 'ProductSprint Backlog'!$J91-'ProductSprint Backlog'!$I91), AND('ProductSprint Backlog'!$J91=P$2,'ProductSprint Backlog'!$I91=P$2), 'ProductSprint Backlog'!$F91, TRUE, 0)</f>
        <v>0</v>
      </c>
      <c r="Q91" s="4" cm="1">
        <f t="array" ref="Q91">_xlfn.IFS('ProductSprint Backlog'!$F91="", "", AND('ProductSprint Backlog'!$J91&gt;Q$2,'ProductSprint Backlog'!$I91&lt;=Q$2), 'ProductSprint Backlog'!$F91 / MAX(1, 'ProductSprint Backlog'!$J91-'ProductSprint Backlog'!$I91), AND('ProductSprint Backlog'!$J91=Q$2,'ProductSprint Backlog'!$I91=Q$2), 'ProductSprint Backlog'!$F91, TRUE, 0)</f>
        <v>0</v>
      </c>
      <c r="R91" s="4" cm="1">
        <f t="array" ref="R91">_xlfn.IFS('ProductSprint Backlog'!$F91="", "", AND('ProductSprint Backlog'!$J91&gt;R$2,'ProductSprint Backlog'!$I91&lt;=R$2), 'ProductSprint Backlog'!$F91 / MAX(1, 'ProductSprint Backlog'!$J91-'ProductSprint Backlog'!$I91), AND('ProductSprint Backlog'!$J91=R$2,'ProductSprint Backlog'!$I91=R$2), 'ProductSprint Backlog'!$F91, TRUE, 0)</f>
        <v>0</v>
      </c>
      <c r="S91" s="4" cm="1">
        <f t="array" ref="S91">_xlfn.IFS('ProductSprint Backlog'!$F91="", "", AND('ProductSprint Backlog'!$J91&gt;S$2,'ProductSprint Backlog'!$I91&lt;=S$2), 'ProductSprint Backlog'!$F91 / MAX(1, 'ProductSprint Backlog'!$J91-'ProductSprint Backlog'!$I91), AND('ProductSprint Backlog'!$J91=S$2,'ProductSprint Backlog'!$I91=S$2), 'ProductSprint Backlog'!$F91, TRUE, 0)</f>
        <v>0</v>
      </c>
      <c r="T91" s="4" cm="1">
        <f t="array" ref="T91">_xlfn.IFS('ProductSprint Backlog'!$F91="", "", AND('ProductSprint Backlog'!$J91&gt;T$2,'ProductSprint Backlog'!$I91&lt;=T$2), 'ProductSprint Backlog'!$F91 / MAX(1, 'ProductSprint Backlog'!$J91-'ProductSprint Backlog'!$I91), AND('ProductSprint Backlog'!$J91=T$2,'ProductSprint Backlog'!$I91=T$2), 'ProductSprint Backlog'!$F91, TRUE, 0)</f>
        <v>0</v>
      </c>
    </row>
    <row r="92" spans="2:20" x14ac:dyDescent="0.2">
      <c r="B92" s="4" cm="1">
        <f t="array" ref="B92">_xlfn.IFS('ProductSprint Backlog'!$F92="", "", AND('ProductSprint Backlog'!$J92&gt;B$2,'ProductSprint Backlog'!$I92&lt;=B$2), 'ProductSprint Backlog'!$F92 / MAX(1, 'ProductSprint Backlog'!$J92-'ProductSprint Backlog'!$I92), AND('ProductSprint Backlog'!$J92=B$2,'ProductSprint Backlog'!$I92=B$2), 'ProductSprint Backlog'!$F92, TRUE, 0)</f>
        <v>0</v>
      </c>
      <c r="C92" s="4" cm="1">
        <f t="array" ref="C92">_xlfn.IFS('ProductSprint Backlog'!$F92="", "", AND('ProductSprint Backlog'!$J92&gt;C$2,'ProductSprint Backlog'!$I92&lt;=C$2), 'ProductSprint Backlog'!$F92 / MAX(1, 'ProductSprint Backlog'!$J92-'ProductSprint Backlog'!$I92), AND('ProductSprint Backlog'!$J92=C$2,'ProductSprint Backlog'!$I92=C$2), 'ProductSprint Backlog'!$F92, TRUE, 0)</f>
        <v>0</v>
      </c>
      <c r="D92" s="4" cm="1">
        <f t="array" ref="D92">_xlfn.IFS('ProductSprint Backlog'!$F92="", "", AND('ProductSprint Backlog'!$J92&gt;D$2,'ProductSprint Backlog'!$I92&lt;=D$2), 'ProductSprint Backlog'!$F92 / MAX(1, 'ProductSprint Backlog'!$J92-'ProductSprint Backlog'!$I92), AND('ProductSprint Backlog'!$J92=D$2,'ProductSprint Backlog'!$I92=D$2), 'ProductSprint Backlog'!$F92, TRUE, 0)</f>
        <v>0</v>
      </c>
      <c r="E92" s="4" cm="1">
        <f t="array" ref="E92">_xlfn.IFS('ProductSprint Backlog'!$F92="", "", AND('ProductSprint Backlog'!$J92&gt;E$2,'ProductSprint Backlog'!$I92&lt;=E$2), 'ProductSprint Backlog'!$F92 / MAX(1, 'ProductSprint Backlog'!$J92-'ProductSprint Backlog'!$I92), AND('ProductSprint Backlog'!$J92=E$2,'ProductSprint Backlog'!$I92=E$2), 'ProductSprint Backlog'!$F92, TRUE, 0)</f>
        <v>0</v>
      </c>
      <c r="F92" s="4" cm="1">
        <f t="array" ref="F92">_xlfn.IFS('ProductSprint Backlog'!$F92="", "", AND('ProductSprint Backlog'!$J92&gt;F$2,'ProductSprint Backlog'!$I92&lt;=F$2), 'ProductSprint Backlog'!$F92 / MAX(1, 'ProductSprint Backlog'!$J92-'ProductSprint Backlog'!$I92), AND('ProductSprint Backlog'!$J92=F$2,'ProductSprint Backlog'!$I92=F$2), 'ProductSprint Backlog'!$F92, TRUE, 0)</f>
        <v>0</v>
      </c>
      <c r="G92" s="4" cm="1">
        <f t="array" ref="G92">_xlfn.IFS('ProductSprint Backlog'!$F92="", "", AND('ProductSprint Backlog'!$J92&gt;G$2,'ProductSprint Backlog'!$I92&lt;=G$2), 'ProductSprint Backlog'!$F92 / MAX(1, 'ProductSprint Backlog'!$J92-'ProductSprint Backlog'!$I92), AND('ProductSprint Backlog'!$J92=G$2,'ProductSprint Backlog'!$I92=G$2), 'ProductSprint Backlog'!$F92, TRUE, 0)</f>
        <v>0.33333333333333331</v>
      </c>
      <c r="H92" s="4" cm="1">
        <f t="array" ref="H92">_xlfn.IFS('ProductSprint Backlog'!$F92="", "", AND('ProductSprint Backlog'!$J92&gt;H$2,'ProductSprint Backlog'!$I92&lt;=H$2), 'ProductSprint Backlog'!$F92 / MAX(1, 'ProductSprint Backlog'!$J92-'ProductSprint Backlog'!$I92), AND('ProductSprint Backlog'!$J92=H$2,'ProductSprint Backlog'!$I92=H$2), 'ProductSprint Backlog'!$F92, TRUE, 0)</f>
        <v>0.33333333333333331</v>
      </c>
      <c r="I92" s="4" cm="1">
        <f t="array" ref="I92">_xlfn.IFS('ProductSprint Backlog'!$F92="", "", AND('ProductSprint Backlog'!$J92&gt;I$2,'ProductSprint Backlog'!$I92&lt;=I$2), 'ProductSprint Backlog'!$F92 / MAX(1, 'ProductSprint Backlog'!$J92-'ProductSprint Backlog'!$I92), AND('ProductSprint Backlog'!$J92=I$2,'ProductSprint Backlog'!$I92=I$2), 'ProductSprint Backlog'!$F92, TRUE, 0)</f>
        <v>0.33333333333333331</v>
      </c>
      <c r="J92" s="4" cm="1">
        <f t="array" ref="J92">_xlfn.IFS('ProductSprint Backlog'!$F92="", "", AND('ProductSprint Backlog'!$J92&gt;J$2,'ProductSprint Backlog'!$I92&lt;=J$2), 'ProductSprint Backlog'!$F92 / MAX(1, 'ProductSprint Backlog'!$J92-'ProductSprint Backlog'!$I92), AND('ProductSprint Backlog'!$J92=J$2,'ProductSprint Backlog'!$I92=J$2), 'ProductSprint Backlog'!$F92, TRUE, 0)</f>
        <v>0</v>
      </c>
      <c r="K92" s="4" cm="1">
        <f t="array" ref="K92">_xlfn.IFS('ProductSprint Backlog'!$F92="", "", AND('ProductSprint Backlog'!$J92&gt;K$2,'ProductSprint Backlog'!$I92&lt;=K$2), 'ProductSprint Backlog'!$F92 / MAX(1, 'ProductSprint Backlog'!$J92-'ProductSprint Backlog'!$I92), AND('ProductSprint Backlog'!$J92=K$2,'ProductSprint Backlog'!$I92=K$2), 'ProductSprint Backlog'!$F92, TRUE, 0)</f>
        <v>0</v>
      </c>
      <c r="L92" s="4" cm="1">
        <f t="array" ref="L92">_xlfn.IFS('ProductSprint Backlog'!$F92="", "", AND('ProductSprint Backlog'!$J92&gt;L$2,'ProductSprint Backlog'!$I92&lt;=L$2), 'ProductSprint Backlog'!$F92 / MAX(1, 'ProductSprint Backlog'!$J92-'ProductSprint Backlog'!$I92), AND('ProductSprint Backlog'!$J92=L$2,'ProductSprint Backlog'!$I92=L$2), 'ProductSprint Backlog'!$F92, TRUE, 0)</f>
        <v>0</v>
      </c>
      <c r="M92" s="4" cm="1">
        <f t="array" ref="M92">_xlfn.IFS('ProductSprint Backlog'!$F92="", "", AND('ProductSprint Backlog'!$J92&gt;M$2,'ProductSprint Backlog'!$I92&lt;=M$2), 'ProductSprint Backlog'!$F92 / MAX(1, 'ProductSprint Backlog'!$J92-'ProductSprint Backlog'!$I92), AND('ProductSprint Backlog'!$J92=M$2,'ProductSprint Backlog'!$I92=M$2), 'ProductSprint Backlog'!$F92, TRUE, 0)</f>
        <v>0</v>
      </c>
      <c r="N92" s="4" cm="1">
        <f t="array" ref="N92">_xlfn.IFS('ProductSprint Backlog'!$F92="", "", AND('ProductSprint Backlog'!$J92&gt;N$2,'ProductSprint Backlog'!$I92&lt;=N$2), 'ProductSprint Backlog'!$F92 / MAX(1, 'ProductSprint Backlog'!$J92-'ProductSprint Backlog'!$I92), AND('ProductSprint Backlog'!$J92=N$2,'ProductSprint Backlog'!$I92=N$2), 'ProductSprint Backlog'!$F92, TRUE, 0)</f>
        <v>0</v>
      </c>
      <c r="O92" s="4" cm="1">
        <f t="array" ref="O92">_xlfn.IFS('ProductSprint Backlog'!$F92="", "", AND('ProductSprint Backlog'!$J92&gt;O$2,'ProductSprint Backlog'!$I92&lt;=O$2), 'ProductSprint Backlog'!$F92 / MAX(1, 'ProductSprint Backlog'!$J92-'ProductSprint Backlog'!$I92), AND('ProductSprint Backlog'!$J92=O$2,'ProductSprint Backlog'!$I92=O$2), 'ProductSprint Backlog'!$F92, TRUE, 0)</f>
        <v>0</v>
      </c>
      <c r="P92" s="4" cm="1">
        <f t="array" ref="P92">_xlfn.IFS('ProductSprint Backlog'!$F92="", "", AND('ProductSprint Backlog'!$J92&gt;P$2,'ProductSprint Backlog'!$I92&lt;=P$2), 'ProductSprint Backlog'!$F92 / MAX(1, 'ProductSprint Backlog'!$J92-'ProductSprint Backlog'!$I92), AND('ProductSprint Backlog'!$J92=P$2,'ProductSprint Backlog'!$I92=P$2), 'ProductSprint Backlog'!$F92, TRUE, 0)</f>
        <v>0</v>
      </c>
      <c r="Q92" s="4" cm="1">
        <f t="array" ref="Q92">_xlfn.IFS('ProductSprint Backlog'!$F92="", "", AND('ProductSprint Backlog'!$J92&gt;Q$2,'ProductSprint Backlog'!$I92&lt;=Q$2), 'ProductSprint Backlog'!$F92 / MAX(1, 'ProductSprint Backlog'!$J92-'ProductSprint Backlog'!$I92), AND('ProductSprint Backlog'!$J92=Q$2,'ProductSprint Backlog'!$I92=Q$2), 'ProductSprint Backlog'!$F92, TRUE, 0)</f>
        <v>0</v>
      </c>
      <c r="R92" s="4" cm="1">
        <f t="array" ref="R92">_xlfn.IFS('ProductSprint Backlog'!$F92="", "", AND('ProductSprint Backlog'!$J92&gt;R$2,'ProductSprint Backlog'!$I92&lt;=R$2), 'ProductSprint Backlog'!$F92 / MAX(1, 'ProductSprint Backlog'!$J92-'ProductSprint Backlog'!$I92), AND('ProductSprint Backlog'!$J92=R$2,'ProductSprint Backlog'!$I92=R$2), 'ProductSprint Backlog'!$F92, TRUE, 0)</f>
        <v>0</v>
      </c>
      <c r="S92" s="4" cm="1">
        <f t="array" ref="S92">_xlfn.IFS('ProductSprint Backlog'!$F92="", "", AND('ProductSprint Backlog'!$J92&gt;S$2,'ProductSprint Backlog'!$I92&lt;=S$2), 'ProductSprint Backlog'!$F92 / MAX(1, 'ProductSprint Backlog'!$J92-'ProductSprint Backlog'!$I92), AND('ProductSprint Backlog'!$J92=S$2,'ProductSprint Backlog'!$I92=S$2), 'ProductSprint Backlog'!$F92, TRUE, 0)</f>
        <v>0</v>
      </c>
      <c r="T92" s="4" cm="1">
        <f t="array" ref="T92">_xlfn.IFS('ProductSprint Backlog'!$F92="", "", AND('ProductSprint Backlog'!$J92&gt;T$2,'ProductSprint Backlog'!$I92&lt;=T$2), 'ProductSprint Backlog'!$F92 / MAX(1, 'ProductSprint Backlog'!$J92-'ProductSprint Backlog'!$I92), AND('ProductSprint Backlog'!$J92=T$2,'ProductSprint Backlog'!$I92=T$2), 'ProductSprint Backlog'!$F92, TRUE, 0)</f>
        <v>0</v>
      </c>
    </row>
    <row r="93" spans="2:20" x14ac:dyDescent="0.2">
      <c r="B93" s="4" cm="1">
        <f t="array" ref="B93">_xlfn.IFS('ProductSprint Backlog'!$F93="", "", AND('ProductSprint Backlog'!$J93&gt;B$2,'ProductSprint Backlog'!$I93&lt;=B$2), 'ProductSprint Backlog'!$F93 / MAX(1, 'ProductSprint Backlog'!$J93-'ProductSprint Backlog'!$I93), AND('ProductSprint Backlog'!$J93=B$2,'ProductSprint Backlog'!$I93=B$2), 'ProductSprint Backlog'!$F93, TRUE, 0)</f>
        <v>0</v>
      </c>
      <c r="C93" s="4" cm="1">
        <f t="array" ref="C93">_xlfn.IFS('ProductSprint Backlog'!$F93="", "", AND('ProductSprint Backlog'!$J93&gt;C$2,'ProductSprint Backlog'!$I93&lt;=C$2), 'ProductSprint Backlog'!$F93 / MAX(1, 'ProductSprint Backlog'!$J93-'ProductSprint Backlog'!$I93), AND('ProductSprint Backlog'!$J93=C$2,'ProductSprint Backlog'!$I93=C$2), 'ProductSprint Backlog'!$F93, TRUE, 0)</f>
        <v>0</v>
      </c>
      <c r="D93" s="4" cm="1">
        <f t="array" ref="D93">_xlfn.IFS('ProductSprint Backlog'!$F93="", "", AND('ProductSprint Backlog'!$J93&gt;D$2,'ProductSprint Backlog'!$I93&lt;=D$2), 'ProductSprint Backlog'!$F93 / MAX(1, 'ProductSprint Backlog'!$J93-'ProductSprint Backlog'!$I93), AND('ProductSprint Backlog'!$J93=D$2,'ProductSprint Backlog'!$I93=D$2), 'ProductSprint Backlog'!$F93, TRUE, 0)</f>
        <v>0</v>
      </c>
      <c r="E93" s="4" cm="1">
        <f t="array" ref="E93">_xlfn.IFS('ProductSprint Backlog'!$F93="", "", AND('ProductSprint Backlog'!$J93&gt;E$2,'ProductSprint Backlog'!$I93&lt;=E$2), 'ProductSprint Backlog'!$F93 / MAX(1, 'ProductSprint Backlog'!$J93-'ProductSprint Backlog'!$I93), AND('ProductSprint Backlog'!$J93=E$2,'ProductSprint Backlog'!$I93=E$2), 'ProductSprint Backlog'!$F93, TRUE, 0)</f>
        <v>0</v>
      </c>
      <c r="F93" s="4" cm="1">
        <f t="array" ref="F93">_xlfn.IFS('ProductSprint Backlog'!$F93="", "", AND('ProductSprint Backlog'!$J93&gt;F$2,'ProductSprint Backlog'!$I93&lt;=F$2), 'ProductSprint Backlog'!$F93 / MAX(1, 'ProductSprint Backlog'!$J93-'ProductSprint Backlog'!$I93), AND('ProductSprint Backlog'!$J93=F$2,'ProductSprint Backlog'!$I93=F$2), 'ProductSprint Backlog'!$F93, TRUE, 0)</f>
        <v>0</v>
      </c>
      <c r="G93" s="4" cm="1">
        <f t="array" ref="G93">_xlfn.IFS('ProductSprint Backlog'!$F93="", "", AND('ProductSprint Backlog'!$J93&gt;G$2,'ProductSprint Backlog'!$I93&lt;=G$2), 'ProductSprint Backlog'!$F93 / MAX(1, 'ProductSprint Backlog'!$J93-'ProductSprint Backlog'!$I93), AND('ProductSprint Backlog'!$J93=G$2,'ProductSprint Backlog'!$I93=G$2), 'ProductSprint Backlog'!$F93, TRUE, 0)</f>
        <v>0.33333333333333331</v>
      </c>
      <c r="H93" s="4" cm="1">
        <f t="array" ref="H93">_xlfn.IFS('ProductSprint Backlog'!$F93="", "", AND('ProductSprint Backlog'!$J93&gt;H$2,'ProductSprint Backlog'!$I93&lt;=H$2), 'ProductSprint Backlog'!$F93 / MAX(1, 'ProductSprint Backlog'!$J93-'ProductSprint Backlog'!$I93), AND('ProductSprint Backlog'!$J93=H$2,'ProductSprint Backlog'!$I93=H$2), 'ProductSprint Backlog'!$F93, TRUE, 0)</f>
        <v>0.33333333333333331</v>
      </c>
      <c r="I93" s="4" cm="1">
        <f t="array" ref="I93">_xlfn.IFS('ProductSprint Backlog'!$F93="", "", AND('ProductSprint Backlog'!$J93&gt;I$2,'ProductSprint Backlog'!$I93&lt;=I$2), 'ProductSprint Backlog'!$F93 / MAX(1, 'ProductSprint Backlog'!$J93-'ProductSprint Backlog'!$I93), AND('ProductSprint Backlog'!$J93=I$2,'ProductSprint Backlog'!$I93=I$2), 'ProductSprint Backlog'!$F93, TRUE, 0)</f>
        <v>0.33333333333333331</v>
      </c>
      <c r="J93" s="4" cm="1">
        <f t="array" ref="J93">_xlfn.IFS('ProductSprint Backlog'!$F93="", "", AND('ProductSprint Backlog'!$J93&gt;J$2,'ProductSprint Backlog'!$I93&lt;=J$2), 'ProductSprint Backlog'!$F93 / MAX(1, 'ProductSprint Backlog'!$J93-'ProductSprint Backlog'!$I93), AND('ProductSprint Backlog'!$J93=J$2,'ProductSprint Backlog'!$I93=J$2), 'ProductSprint Backlog'!$F93, TRUE, 0)</f>
        <v>0</v>
      </c>
      <c r="K93" s="4" cm="1">
        <f t="array" ref="K93">_xlfn.IFS('ProductSprint Backlog'!$F93="", "", AND('ProductSprint Backlog'!$J93&gt;K$2,'ProductSprint Backlog'!$I93&lt;=K$2), 'ProductSprint Backlog'!$F93 / MAX(1, 'ProductSprint Backlog'!$J93-'ProductSprint Backlog'!$I93), AND('ProductSprint Backlog'!$J93=K$2,'ProductSprint Backlog'!$I93=K$2), 'ProductSprint Backlog'!$F93, TRUE, 0)</f>
        <v>0</v>
      </c>
      <c r="L93" s="4" cm="1">
        <f t="array" ref="L93">_xlfn.IFS('ProductSprint Backlog'!$F93="", "", AND('ProductSprint Backlog'!$J93&gt;L$2,'ProductSprint Backlog'!$I93&lt;=L$2), 'ProductSprint Backlog'!$F93 / MAX(1, 'ProductSprint Backlog'!$J93-'ProductSprint Backlog'!$I93), AND('ProductSprint Backlog'!$J93=L$2,'ProductSprint Backlog'!$I93=L$2), 'ProductSprint Backlog'!$F93, TRUE, 0)</f>
        <v>0</v>
      </c>
      <c r="M93" s="4" cm="1">
        <f t="array" ref="M93">_xlfn.IFS('ProductSprint Backlog'!$F93="", "", AND('ProductSprint Backlog'!$J93&gt;M$2,'ProductSprint Backlog'!$I93&lt;=M$2), 'ProductSprint Backlog'!$F93 / MAX(1, 'ProductSprint Backlog'!$J93-'ProductSprint Backlog'!$I93), AND('ProductSprint Backlog'!$J93=M$2,'ProductSprint Backlog'!$I93=M$2), 'ProductSprint Backlog'!$F93, TRUE, 0)</f>
        <v>0</v>
      </c>
      <c r="N93" s="4" cm="1">
        <f t="array" ref="N93">_xlfn.IFS('ProductSprint Backlog'!$F93="", "", AND('ProductSprint Backlog'!$J93&gt;N$2,'ProductSprint Backlog'!$I93&lt;=N$2), 'ProductSprint Backlog'!$F93 / MAX(1, 'ProductSprint Backlog'!$J93-'ProductSprint Backlog'!$I93), AND('ProductSprint Backlog'!$J93=N$2,'ProductSprint Backlog'!$I93=N$2), 'ProductSprint Backlog'!$F93, TRUE, 0)</f>
        <v>0</v>
      </c>
      <c r="O93" s="4" cm="1">
        <f t="array" ref="O93">_xlfn.IFS('ProductSprint Backlog'!$F93="", "", AND('ProductSprint Backlog'!$J93&gt;O$2,'ProductSprint Backlog'!$I93&lt;=O$2), 'ProductSprint Backlog'!$F93 / MAX(1, 'ProductSprint Backlog'!$J93-'ProductSprint Backlog'!$I93), AND('ProductSprint Backlog'!$J93=O$2,'ProductSprint Backlog'!$I93=O$2), 'ProductSprint Backlog'!$F93, TRUE, 0)</f>
        <v>0</v>
      </c>
      <c r="P93" s="4" cm="1">
        <f t="array" ref="P93">_xlfn.IFS('ProductSprint Backlog'!$F93="", "", AND('ProductSprint Backlog'!$J93&gt;P$2,'ProductSprint Backlog'!$I93&lt;=P$2), 'ProductSprint Backlog'!$F93 / MAX(1, 'ProductSprint Backlog'!$J93-'ProductSprint Backlog'!$I93), AND('ProductSprint Backlog'!$J93=P$2,'ProductSprint Backlog'!$I93=P$2), 'ProductSprint Backlog'!$F93, TRUE, 0)</f>
        <v>0</v>
      </c>
      <c r="Q93" s="4" cm="1">
        <f t="array" ref="Q93">_xlfn.IFS('ProductSprint Backlog'!$F93="", "", AND('ProductSprint Backlog'!$J93&gt;Q$2,'ProductSprint Backlog'!$I93&lt;=Q$2), 'ProductSprint Backlog'!$F93 / MAX(1, 'ProductSprint Backlog'!$J93-'ProductSprint Backlog'!$I93), AND('ProductSprint Backlog'!$J93=Q$2,'ProductSprint Backlog'!$I93=Q$2), 'ProductSprint Backlog'!$F93, TRUE, 0)</f>
        <v>0</v>
      </c>
      <c r="R93" s="4" cm="1">
        <f t="array" ref="R93">_xlfn.IFS('ProductSprint Backlog'!$F93="", "", AND('ProductSprint Backlog'!$J93&gt;R$2,'ProductSprint Backlog'!$I93&lt;=R$2), 'ProductSprint Backlog'!$F93 / MAX(1, 'ProductSprint Backlog'!$J93-'ProductSprint Backlog'!$I93), AND('ProductSprint Backlog'!$J93=R$2,'ProductSprint Backlog'!$I93=R$2), 'ProductSprint Backlog'!$F93, TRUE, 0)</f>
        <v>0</v>
      </c>
      <c r="S93" s="4" cm="1">
        <f t="array" ref="S93">_xlfn.IFS('ProductSprint Backlog'!$F93="", "", AND('ProductSprint Backlog'!$J93&gt;S$2,'ProductSprint Backlog'!$I93&lt;=S$2), 'ProductSprint Backlog'!$F93 / MAX(1, 'ProductSprint Backlog'!$J93-'ProductSprint Backlog'!$I93), AND('ProductSprint Backlog'!$J93=S$2,'ProductSprint Backlog'!$I93=S$2), 'ProductSprint Backlog'!$F93, TRUE, 0)</f>
        <v>0</v>
      </c>
      <c r="T93" s="4" cm="1">
        <f t="array" ref="T93">_xlfn.IFS('ProductSprint Backlog'!$F93="", "", AND('ProductSprint Backlog'!$J93&gt;T$2,'ProductSprint Backlog'!$I93&lt;=T$2), 'ProductSprint Backlog'!$F93 / MAX(1, 'ProductSprint Backlog'!$J93-'ProductSprint Backlog'!$I93), AND('ProductSprint Backlog'!$J93=T$2,'ProductSprint Backlog'!$I93=T$2), 'ProductSprint Backlog'!$F93, TRUE, 0)</f>
        <v>0</v>
      </c>
    </row>
    <row r="94" spans="2:20" x14ac:dyDescent="0.2">
      <c r="B94" s="4" cm="1">
        <f t="array" ref="B94">_xlfn.IFS('ProductSprint Backlog'!$F94="", "", AND('ProductSprint Backlog'!$J94&gt;B$2,'ProductSprint Backlog'!$I94&lt;=B$2), 'ProductSprint Backlog'!$F94 / MAX(1, 'ProductSprint Backlog'!$J94-'ProductSprint Backlog'!$I94), AND('ProductSprint Backlog'!$J94=B$2,'ProductSprint Backlog'!$I94=B$2), 'ProductSprint Backlog'!$F94, TRUE, 0)</f>
        <v>0</v>
      </c>
      <c r="C94" s="4" cm="1">
        <f t="array" ref="C94">_xlfn.IFS('ProductSprint Backlog'!$F94="", "", AND('ProductSprint Backlog'!$J94&gt;C$2,'ProductSprint Backlog'!$I94&lt;=C$2), 'ProductSprint Backlog'!$F94 / MAX(1, 'ProductSprint Backlog'!$J94-'ProductSprint Backlog'!$I94), AND('ProductSprint Backlog'!$J94=C$2,'ProductSprint Backlog'!$I94=C$2), 'ProductSprint Backlog'!$F94, TRUE, 0)</f>
        <v>0</v>
      </c>
      <c r="D94" s="4" cm="1">
        <f t="array" ref="D94">_xlfn.IFS('ProductSprint Backlog'!$F94="", "", AND('ProductSprint Backlog'!$J94&gt;D$2,'ProductSprint Backlog'!$I94&lt;=D$2), 'ProductSprint Backlog'!$F94 / MAX(1, 'ProductSprint Backlog'!$J94-'ProductSprint Backlog'!$I94), AND('ProductSprint Backlog'!$J94=D$2,'ProductSprint Backlog'!$I94=D$2), 'ProductSprint Backlog'!$F94, TRUE, 0)</f>
        <v>0</v>
      </c>
      <c r="E94" s="4" cm="1">
        <f t="array" ref="E94">_xlfn.IFS('ProductSprint Backlog'!$F94="", "", AND('ProductSprint Backlog'!$J94&gt;E$2,'ProductSprint Backlog'!$I94&lt;=E$2), 'ProductSprint Backlog'!$F94 / MAX(1, 'ProductSprint Backlog'!$J94-'ProductSprint Backlog'!$I94), AND('ProductSprint Backlog'!$J94=E$2,'ProductSprint Backlog'!$I94=E$2), 'ProductSprint Backlog'!$F94, TRUE, 0)</f>
        <v>0</v>
      </c>
      <c r="F94" s="4" cm="1">
        <f t="array" ref="F94">_xlfn.IFS('ProductSprint Backlog'!$F94="", "", AND('ProductSprint Backlog'!$J94&gt;F$2,'ProductSprint Backlog'!$I94&lt;=F$2), 'ProductSprint Backlog'!$F94 / MAX(1, 'ProductSprint Backlog'!$J94-'ProductSprint Backlog'!$I94), AND('ProductSprint Backlog'!$J94=F$2,'ProductSprint Backlog'!$I94=F$2), 'ProductSprint Backlog'!$F94, TRUE, 0)</f>
        <v>0</v>
      </c>
      <c r="G94" s="4" cm="1">
        <f t="array" ref="G94">_xlfn.IFS('ProductSprint Backlog'!$F94="", "", AND('ProductSprint Backlog'!$J94&gt;G$2,'ProductSprint Backlog'!$I94&lt;=G$2), 'ProductSprint Backlog'!$F94 / MAX(1, 'ProductSprint Backlog'!$J94-'ProductSprint Backlog'!$I94), AND('ProductSprint Backlog'!$J94=G$2,'ProductSprint Backlog'!$I94=G$2), 'ProductSprint Backlog'!$F94, TRUE, 0)</f>
        <v>0.33333333333333331</v>
      </c>
      <c r="H94" s="4" cm="1">
        <f t="array" ref="H94">_xlfn.IFS('ProductSprint Backlog'!$F94="", "", AND('ProductSprint Backlog'!$J94&gt;H$2,'ProductSprint Backlog'!$I94&lt;=H$2), 'ProductSprint Backlog'!$F94 / MAX(1, 'ProductSprint Backlog'!$J94-'ProductSprint Backlog'!$I94), AND('ProductSprint Backlog'!$J94=H$2,'ProductSprint Backlog'!$I94=H$2), 'ProductSprint Backlog'!$F94, TRUE, 0)</f>
        <v>0.33333333333333331</v>
      </c>
      <c r="I94" s="4" cm="1">
        <f t="array" ref="I94">_xlfn.IFS('ProductSprint Backlog'!$F94="", "", AND('ProductSprint Backlog'!$J94&gt;I$2,'ProductSprint Backlog'!$I94&lt;=I$2), 'ProductSprint Backlog'!$F94 / MAX(1, 'ProductSprint Backlog'!$J94-'ProductSprint Backlog'!$I94), AND('ProductSprint Backlog'!$J94=I$2,'ProductSprint Backlog'!$I94=I$2), 'ProductSprint Backlog'!$F94, TRUE, 0)</f>
        <v>0.33333333333333331</v>
      </c>
      <c r="J94" s="4" cm="1">
        <f t="array" ref="J94">_xlfn.IFS('ProductSprint Backlog'!$F94="", "", AND('ProductSprint Backlog'!$J94&gt;J$2,'ProductSprint Backlog'!$I94&lt;=J$2), 'ProductSprint Backlog'!$F94 / MAX(1, 'ProductSprint Backlog'!$J94-'ProductSprint Backlog'!$I94), AND('ProductSprint Backlog'!$J94=J$2,'ProductSprint Backlog'!$I94=J$2), 'ProductSprint Backlog'!$F94, TRUE, 0)</f>
        <v>0</v>
      </c>
      <c r="K94" s="4" cm="1">
        <f t="array" ref="K94">_xlfn.IFS('ProductSprint Backlog'!$F94="", "", AND('ProductSprint Backlog'!$J94&gt;K$2,'ProductSprint Backlog'!$I94&lt;=K$2), 'ProductSprint Backlog'!$F94 / MAX(1, 'ProductSprint Backlog'!$J94-'ProductSprint Backlog'!$I94), AND('ProductSprint Backlog'!$J94=K$2,'ProductSprint Backlog'!$I94=K$2), 'ProductSprint Backlog'!$F94, TRUE, 0)</f>
        <v>0</v>
      </c>
      <c r="L94" s="4" cm="1">
        <f t="array" ref="L94">_xlfn.IFS('ProductSprint Backlog'!$F94="", "", AND('ProductSprint Backlog'!$J94&gt;L$2,'ProductSprint Backlog'!$I94&lt;=L$2), 'ProductSprint Backlog'!$F94 / MAX(1, 'ProductSprint Backlog'!$J94-'ProductSprint Backlog'!$I94), AND('ProductSprint Backlog'!$J94=L$2,'ProductSprint Backlog'!$I94=L$2), 'ProductSprint Backlog'!$F94, TRUE, 0)</f>
        <v>0</v>
      </c>
      <c r="M94" s="4" cm="1">
        <f t="array" ref="M94">_xlfn.IFS('ProductSprint Backlog'!$F94="", "", AND('ProductSprint Backlog'!$J94&gt;M$2,'ProductSprint Backlog'!$I94&lt;=M$2), 'ProductSprint Backlog'!$F94 / MAX(1, 'ProductSprint Backlog'!$J94-'ProductSprint Backlog'!$I94), AND('ProductSprint Backlog'!$J94=M$2,'ProductSprint Backlog'!$I94=M$2), 'ProductSprint Backlog'!$F94, TRUE, 0)</f>
        <v>0</v>
      </c>
      <c r="N94" s="4" cm="1">
        <f t="array" ref="N94">_xlfn.IFS('ProductSprint Backlog'!$F94="", "", AND('ProductSprint Backlog'!$J94&gt;N$2,'ProductSprint Backlog'!$I94&lt;=N$2), 'ProductSprint Backlog'!$F94 / MAX(1, 'ProductSprint Backlog'!$J94-'ProductSprint Backlog'!$I94), AND('ProductSprint Backlog'!$J94=N$2,'ProductSprint Backlog'!$I94=N$2), 'ProductSprint Backlog'!$F94, TRUE, 0)</f>
        <v>0</v>
      </c>
      <c r="O94" s="4" cm="1">
        <f t="array" ref="O94">_xlfn.IFS('ProductSprint Backlog'!$F94="", "", AND('ProductSprint Backlog'!$J94&gt;O$2,'ProductSprint Backlog'!$I94&lt;=O$2), 'ProductSprint Backlog'!$F94 / MAX(1, 'ProductSprint Backlog'!$J94-'ProductSprint Backlog'!$I94), AND('ProductSprint Backlog'!$J94=O$2,'ProductSprint Backlog'!$I94=O$2), 'ProductSprint Backlog'!$F94, TRUE, 0)</f>
        <v>0</v>
      </c>
      <c r="P94" s="4" cm="1">
        <f t="array" ref="P94">_xlfn.IFS('ProductSprint Backlog'!$F94="", "", AND('ProductSprint Backlog'!$J94&gt;P$2,'ProductSprint Backlog'!$I94&lt;=P$2), 'ProductSprint Backlog'!$F94 / MAX(1, 'ProductSprint Backlog'!$J94-'ProductSprint Backlog'!$I94), AND('ProductSprint Backlog'!$J94=P$2,'ProductSprint Backlog'!$I94=P$2), 'ProductSprint Backlog'!$F94, TRUE, 0)</f>
        <v>0</v>
      </c>
      <c r="Q94" s="4" cm="1">
        <f t="array" ref="Q94">_xlfn.IFS('ProductSprint Backlog'!$F94="", "", AND('ProductSprint Backlog'!$J94&gt;Q$2,'ProductSprint Backlog'!$I94&lt;=Q$2), 'ProductSprint Backlog'!$F94 / MAX(1, 'ProductSprint Backlog'!$J94-'ProductSprint Backlog'!$I94), AND('ProductSprint Backlog'!$J94=Q$2,'ProductSprint Backlog'!$I94=Q$2), 'ProductSprint Backlog'!$F94, TRUE, 0)</f>
        <v>0</v>
      </c>
      <c r="R94" s="4" cm="1">
        <f t="array" ref="R94">_xlfn.IFS('ProductSprint Backlog'!$F94="", "", AND('ProductSprint Backlog'!$J94&gt;R$2,'ProductSprint Backlog'!$I94&lt;=R$2), 'ProductSprint Backlog'!$F94 / MAX(1, 'ProductSprint Backlog'!$J94-'ProductSprint Backlog'!$I94), AND('ProductSprint Backlog'!$J94=R$2,'ProductSprint Backlog'!$I94=R$2), 'ProductSprint Backlog'!$F94, TRUE, 0)</f>
        <v>0</v>
      </c>
      <c r="S94" s="4" cm="1">
        <f t="array" ref="S94">_xlfn.IFS('ProductSprint Backlog'!$F94="", "", AND('ProductSprint Backlog'!$J94&gt;S$2,'ProductSprint Backlog'!$I94&lt;=S$2), 'ProductSprint Backlog'!$F94 / MAX(1, 'ProductSprint Backlog'!$J94-'ProductSprint Backlog'!$I94), AND('ProductSprint Backlog'!$J94=S$2,'ProductSprint Backlog'!$I94=S$2), 'ProductSprint Backlog'!$F94, TRUE, 0)</f>
        <v>0</v>
      </c>
      <c r="T94" s="4" cm="1">
        <f t="array" ref="T94">_xlfn.IFS('ProductSprint Backlog'!$F94="", "", AND('ProductSprint Backlog'!$J94&gt;T$2,'ProductSprint Backlog'!$I94&lt;=T$2), 'ProductSprint Backlog'!$F94 / MAX(1, 'ProductSprint Backlog'!$J94-'ProductSprint Backlog'!$I94), AND('ProductSprint Backlog'!$J94=T$2,'ProductSprint Backlog'!$I94=T$2), 'ProductSprint Backlog'!$F94, TRUE, 0)</f>
        <v>0</v>
      </c>
    </row>
    <row r="95" spans="2:20" x14ac:dyDescent="0.2">
      <c r="B95" s="4" cm="1">
        <f t="array" ref="B95">_xlfn.IFS('ProductSprint Backlog'!$F95="", "", AND('ProductSprint Backlog'!$J95&gt;B$2,'ProductSprint Backlog'!$I95&lt;=B$2), 'ProductSprint Backlog'!$F95 / MAX(1, 'ProductSprint Backlog'!$J95-'ProductSprint Backlog'!$I95), AND('ProductSprint Backlog'!$J95=B$2,'ProductSprint Backlog'!$I95=B$2), 'ProductSprint Backlog'!$F95, TRUE, 0)</f>
        <v>0</v>
      </c>
      <c r="C95" s="4" cm="1">
        <f t="array" ref="C95">_xlfn.IFS('ProductSprint Backlog'!$F95="", "", AND('ProductSprint Backlog'!$J95&gt;C$2,'ProductSprint Backlog'!$I95&lt;=C$2), 'ProductSprint Backlog'!$F95 / MAX(1, 'ProductSprint Backlog'!$J95-'ProductSprint Backlog'!$I95), AND('ProductSprint Backlog'!$J95=C$2,'ProductSprint Backlog'!$I95=C$2), 'ProductSprint Backlog'!$F95, TRUE, 0)</f>
        <v>0</v>
      </c>
      <c r="D95" s="4" cm="1">
        <f t="array" ref="D95">_xlfn.IFS('ProductSprint Backlog'!$F95="", "", AND('ProductSprint Backlog'!$J95&gt;D$2,'ProductSprint Backlog'!$I95&lt;=D$2), 'ProductSprint Backlog'!$F95 / MAX(1, 'ProductSprint Backlog'!$J95-'ProductSprint Backlog'!$I95), AND('ProductSprint Backlog'!$J95=D$2,'ProductSprint Backlog'!$I95=D$2), 'ProductSprint Backlog'!$F95, TRUE, 0)</f>
        <v>0</v>
      </c>
      <c r="E95" s="4" cm="1">
        <f t="array" ref="E95">_xlfn.IFS('ProductSprint Backlog'!$F95="", "", AND('ProductSprint Backlog'!$J95&gt;E$2,'ProductSprint Backlog'!$I95&lt;=E$2), 'ProductSprint Backlog'!$F95 / MAX(1, 'ProductSprint Backlog'!$J95-'ProductSprint Backlog'!$I95), AND('ProductSprint Backlog'!$J95=E$2,'ProductSprint Backlog'!$I95=E$2), 'ProductSprint Backlog'!$F95, TRUE, 0)</f>
        <v>0</v>
      </c>
      <c r="F95" s="4" cm="1">
        <f t="array" ref="F95">_xlfn.IFS('ProductSprint Backlog'!$F95="", "", AND('ProductSprint Backlog'!$J95&gt;F$2,'ProductSprint Backlog'!$I95&lt;=F$2), 'ProductSprint Backlog'!$F95 / MAX(1, 'ProductSprint Backlog'!$J95-'ProductSprint Backlog'!$I95), AND('ProductSprint Backlog'!$J95=F$2,'ProductSprint Backlog'!$I95=F$2), 'ProductSprint Backlog'!$F95, TRUE, 0)</f>
        <v>0</v>
      </c>
      <c r="G95" s="4" cm="1">
        <f t="array" ref="G95">_xlfn.IFS('ProductSprint Backlog'!$F95="", "", AND('ProductSprint Backlog'!$J95&gt;G$2,'ProductSprint Backlog'!$I95&lt;=G$2), 'ProductSprint Backlog'!$F95 / MAX(1, 'ProductSprint Backlog'!$J95-'ProductSprint Backlog'!$I95), AND('ProductSprint Backlog'!$J95=G$2,'ProductSprint Backlog'!$I95=G$2), 'ProductSprint Backlog'!$F95, TRUE, 0)</f>
        <v>0.33333333333333331</v>
      </c>
      <c r="H95" s="4" cm="1">
        <f t="array" ref="H95">_xlfn.IFS('ProductSprint Backlog'!$F95="", "", AND('ProductSprint Backlog'!$J95&gt;H$2,'ProductSprint Backlog'!$I95&lt;=H$2), 'ProductSprint Backlog'!$F95 / MAX(1, 'ProductSprint Backlog'!$J95-'ProductSprint Backlog'!$I95), AND('ProductSprint Backlog'!$J95=H$2,'ProductSprint Backlog'!$I95=H$2), 'ProductSprint Backlog'!$F95, TRUE, 0)</f>
        <v>0.33333333333333331</v>
      </c>
      <c r="I95" s="4" cm="1">
        <f t="array" ref="I95">_xlfn.IFS('ProductSprint Backlog'!$F95="", "", AND('ProductSprint Backlog'!$J95&gt;I$2,'ProductSprint Backlog'!$I95&lt;=I$2), 'ProductSprint Backlog'!$F95 / MAX(1, 'ProductSprint Backlog'!$J95-'ProductSprint Backlog'!$I95), AND('ProductSprint Backlog'!$J95=I$2,'ProductSprint Backlog'!$I95=I$2), 'ProductSprint Backlog'!$F95, TRUE, 0)</f>
        <v>0.33333333333333331</v>
      </c>
      <c r="J95" s="4" cm="1">
        <f t="array" ref="J95">_xlfn.IFS('ProductSprint Backlog'!$F95="", "", AND('ProductSprint Backlog'!$J95&gt;J$2,'ProductSprint Backlog'!$I95&lt;=J$2), 'ProductSprint Backlog'!$F95 / MAX(1, 'ProductSprint Backlog'!$J95-'ProductSprint Backlog'!$I95), AND('ProductSprint Backlog'!$J95=J$2,'ProductSprint Backlog'!$I95=J$2), 'ProductSprint Backlog'!$F95, TRUE, 0)</f>
        <v>0</v>
      </c>
      <c r="K95" s="4" cm="1">
        <f t="array" ref="K95">_xlfn.IFS('ProductSprint Backlog'!$F95="", "", AND('ProductSprint Backlog'!$J95&gt;K$2,'ProductSprint Backlog'!$I95&lt;=K$2), 'ProductSprint Backlog'!$F95 / MAX(1, 'ProductSprint Backlog'!$J95-'ProductSprint Backlog'!$I95), AND('ProductSprint Backlog'!$J95=K$2,'ProductSprint Backlog'!$I95=K$2), 'ProductSprint Backlog'!$F95, TRUE, 0)</f>
        <v>0</v>
      </c>
      <c r="L95" s="4" cm="1">
        <f t="array" ref="L95">_xlfn.IFS('ProductSprint Backlog'!$F95="", "", AND('ProductSprint Backlog'!$J95&gt;L$2,'ProductSprint Backlog'!$I95&lt;=L$2), 'ProductSprint Backlog'!$F95 / MAX(1, 'ProductSprint Backlog'!$J95-'ProductSprint Backlog'!$I95), AND('ProductSprint Backlog'!$J95=L$2,'ProductSprint Backlog'!$I95=L$2), 'ProductSprint Backlog'!$F95, TRUE, 0)</f>
        <v>0</v>
      </c>
      <c r="M95" s="4" cm="1">
        <f t="array" ref="M95">_xlfn.IFS('ProductSprint Backlog'!$F95="", "", AND('ProductSprint Backlog'!$J95&gt;M$2,'ProductSprint Backlog'!$I95&lt;=M$2), 'ProductSprint Backlog'!$F95 / MAX(1, 'ProductSprint Backlog'!$J95-'ProductSprint Backlog'!$I95), AND('ProductSprint Backlog'!$J95=M$2,'ProductSprint Backlog'!$I95=M$2), 'ProductSprint Backlog'!$F95, TRUE, 0)</f>
        <v>0</v>
      </c>
      <c r="N95" s="4" cm="1">
        <f t="array" ref="N95">_xlfn.IFS('ProductSprint Backlog'!$F95="", "", AND('ProductSprint Backlog'!$J95&gt;N$2,'ProductSprint Backlog'!$I95&lt;=N$2), 'ProductSprint Backlog'!$F95 / MAX(1, 'ProductSprint Backlog'!$J95-'ProductSprint Backlog'!$I95), AND('ProductSprint Backlog'!$J95=N$2,'ProductSprint Backlog'!$I95=N$2), 'ProductSprint Backlog'!$F95, TRUE, 0)</f>
        <v>0</v>
      </c>
      <c r="O95" s="4" cm="1">
        <f t="array" ref="O95">_xlfn.IFS('ProductSprint Backlog'!$F95="", "", AND('ProductSprint Backlog'!$J95&gt;O$2,'ProductSprint Backlog'!$I95&lt;=O$2), 'ProductSprint Backlog'!$F95 / MAX(1, 'ProductSprint Backlog'!$J95-'ProductSprint Backlog'!$I95), AND('ProductSprint Backlog'!$J95=O$2,'ProductSprint Backlog'!$I95=O$2), 'ProductSprint Backlog'!$F95, TRUE, 0)</f>
        <v>0</v>
      </c>
      <c r="P95" s="4" cm="1">
        <f t="array" ref="P95">_xlfn.IFS('ProductSprint Backlog'!$F95="", "", AND('ProductSprint Backlog'!$J95&gt;P$2,'ProductSprint Backlog'!$I95&lt;=P$2), 'ProductSprint Backlog'!$F95 / MAX(1, 'ProductSprint Backlog'!$J95-'ProductSprint Backlog'!$I95), AND('ProductSprint Backlog'!$J95=P$2,'ProductSprint Backlog'!$I95=P$2), 'ProductSprint Backlog'!$F95, TRUE, 0)</f>
        <v>0</v>
      </c>
      <c r="Q95" s="4" cm="1">
        <f t="array" ref="Q95">_xlfn.IFS('ProductSprint Backlog'!$F95="", "", AND('ProductSprint Backlog'!$J95&gt;Q$2,'ProductSprint Backlog'!$I95&lt;=Q$2), 'ProductSprint Backlog'!$F95 / MAX(1, 'ProductSprint Backlog'!$J95-'ProductSprint Backlog'!$I95), AND('ProductSprint Backlog'!$J95=Q$2,'ProductSprint Backlog'!$I95=Q$2), 'ProductSprint Backlog'!$F95, TRUE, 0)</f>
        <v>0</v>
      </c>
      <c r="R95" s="4" cm="1">
        <f t="array" ref="R95">_xlfn.IFS('ProductSprint Backlog'!$F95="", "", AND('ProductSprint Backlog'!$J95&gt;R$2,'ProductSprint Backlog'!$I95&lt;=R$2), 'ProductSprint Backlog'!$F95 / MAX(1, 'ProductSprint Backlog'!$J95-'ProductSprint Backlog'!$I95), AND('ProductSprint Backlog'!$J95=R$2,'ProductSprint Backlog'!$I95=R$2), 'ProductSprint Backlog'!$F95, TRUE, 0)</f>
        <v>0</v>
      </c>
      <c r="S95" s="4" cm="1">
        <f t="array" ref="S95">_xlfn.IFS('ProductSprint Backlog'!$F95="", "", AND('ProductSprint Backlog'!$J95&gt;S$2,'ProductSprint Backlog'!$I95&lt;=S$2), 'ProductSprint Backlog'!$F95 / MAX(1, 'ProductSprint Backlog'!$J95-'ProductSprint Backlog'!$I95), AND('ProductSprint Backlog'!$J95=S$2,'ProductSprint Backlog'!$I95=S$2), 'ProductSprint Backlog'!$F95, TRUE, 0)</f>
        <v>0</v>
      </c>
      <c r="T95" s="4" cm="1">
        <f t="array" ref="T95">_xlfn.IFS('ProductSprint Backlog'!$F95="", "", AND('ProductSprint Backlog'!$J95&gt;T$2,'ProductSprint Backlog'!$I95&lt;=T$2), 'ProductSprint Backlog'!$F95 / MAX(1, 'ProductSprint Backlog'!$J95-'ProductSprint Backlog'!$I95), AND('ProductSprint Backlog'!$J95=T$2,'ProductSprint Backlog'!$I95=T$2), 'ProductSprint Backlog'!$F95, TRUE, 0)</f>
        <v>0</v>
      </c>
    </row>
    <row r="96" spans="2:20" x14ac:dyDescent="0.2">
      <c r="B96" s="4" t="str" cm="1">
        <f t="array" ref="B96">_xlfn.IFS('ProductSprint Backlog'!$F96="", "", AND('ProductSprint Backlog'!$J96&gt;B$2,'ProductSprint Backlog'!$I96&lt;=B$2), 'ProductSprint Backlog'!$F96 / MAX(1, 'ProductSprint Backlog'!$J96-'ProductSprint Backlog'!$I96), AND('ProductSprint Backlog'!$J96=B$2,'ProductSprint Backlog'!$I96=B$2), 'ProductSprint Backlog'!$F96, TRUE, 0)</f>
        <v/>
      </c>
      <c r="C96" s="4" t="str" cm="1">
        <f t="array" ref="C96">_xlfn.IFS('ProductSprint Backlog'!$F96="", "", AND('ProductSprint Backlog'!$J96&gt;C$2,'ProductSprint Backlog'!$I96&lt;=C$2), 'ProductSprint Backlog'!$F96 / MAX(1, 'ProductSprint Backlog'!$J96-'ProductSprint Backlog'!$I96), AND('ProductSprint Backlog'!$J96=C$2,'ProductSprint Backlog'!$I96=C$2), 'ProductSprint Backlog'!$F96, TRUE, 0)</f>
        <v/>
      </c>
      <c r="D96" s="4" t="str" cm="1">
        <f t="array" ref="D96">_xlfn.IFS('ProductSprint Backlog'!$F96="", "", AND('ProductSprint Backlog'!$J96&gt;D$2,'ProductSprint Backlog'!$I96&lt;=D$2), 'ProductSprint Backlog'!$F96 / MAX(1, 'ProductSprint Backlog'!$J96-'ProductSprint Backlog'!$I96), AND('ProductSprint Backlog'!$J96=D$2,'ProductSprint Backlog'!$I96=D$2), 'ProductSprint Backlog'!$F96, TRUE, 0)</f>
        <v/>
      </c>
      <c r="E96" s="4" t="str" cm="1">
        <f t="array" ref="E96">_xlfn.IFS('ProductSprint Backlog'!$F96="", "", AND('ProductSprint Backlog'!$J96&gt;E$2,'ProductSprint Backlog'!$I96&lt;=E$2), 'ProductSprint Backlog'!$F96 / MAX(1, 'ProductSprint Backlog'!$J96-'ProductSprint Backlog'!$I96), AND('ProductSprint Backlog'!$J96=E$2,'ProductSprint Backlog'!$I96=E$2), 'ProductSprint Backlog'!$F96, TRUE, 0)</f>
        <v/>
      </c>
      <c r="F96" s="4" t="str" cm="1">
        <f t="array" ref="F96">_xlfn.IFS('ProductSprint Backlog'!$F96="", "", AND('ProductSprint Backlog'!$J96&gt;F$2,'ProductSprint Backlog'!$I96&lt;=F$2), 'ProductSprint Backlog'!$F96 / MAX(1, 'ProductSprint Backlog'!$J96-'ProductSprint Backlog'!$I96), AND('ProductSprint Backlog'!$J96=F$2,'ProductSprint Backlog'!$I96=F$2), 'ProductSprint Backlog'!$F96, TRUE, 0)</f>
        <v/>
      </c>
      <c r="G96" s="4" t="str" cm="1">
        <f t="array" ref="G96">_xlfn.IFS('ProductSprint Backlog'!$F96="", "", AND('ProductSprint Backlog'!$J96&gt;G$2,'ProductSprint Backlog'!$I96&lt;=G$2), 'ProductSprint Backlog'!$F96 / MAX(1, 'ProductSprint Backlog'!$J96-'ProductSprint Backlog'!$I96), AND('ProductSprint Backlog'!$J96=G$2,'ProductSprint Backlog'!$I96=G$2), 'ProductSprint Backlog'!$F96, TRUE, 0)</f>
        <v/>
      </c>
      <c r="H96" s="4" t="str" cm="1">
        <f t="array" ref="H96">_xlfn.IFS('ProductSprint Backlog'!$F96="", "", AND('ProductSprint Backlog'!$J96&gt;H$2,'ProductSprint Backlog'!$I96&lt;=H$2), 'ProductSprint Backlog'!$F96 / MAX(1, 'ProductSprint Backlog'!$J96-'ProductSprint Backlog'!$I96), AND('ProductSprint Backlog'!$J96=H$2,'ProductSprint Backlog'!$I96=H$2), 'ProductSprint Backlog'!$F96, TRUE, 0)</f>
        <v/>
      </c>
      <c r="I96" s="4" t="str" cm="1">
        <f t="array" ref="I96">_xlfn.IFS('ProductSprint Backlog'!$F96="", "", AND('ProductSprint Backlog'!$J96&gt;I$2,'ProductSprint Backlog'!$I96&lt;=I$2), 'ProductSprint Backlog'!$F96 / MAX(1, 'ProductSprint Backlog'!$J96-'ProductSprint Backlog'!$I96), AND('ProductSprint Backlog'!$J96=I$2,'ProductSprint Backlog'!$I96=I$2), 'ProductSprint Backlog'!$F96, TRUE, 0)</f>
        <v/>
      </c>
      <c r="J96" s="4" t="str" cm="1">
        <f t="array" ref="J96">_xlfn.IFS('ProductSprint Backlog'!$F96="", "", AND('ProductSprint Backlog'!$J96&gt;J$2,'ProductSprint Backlog'!$I96&lt;=J$2), 'ProductSprint Backlog'!$F96 / MAX(1, 'ProductSprint Backlog'!$J96-'ProductSprint Backlog'!$I96), AND('ProductSprint Backlog'!$J96=J$2,'ProductSprint Backlog'!$I96=J$2), 'ProductSprint Backlog'!$F96, TRUE, 0)</f>
        <v/>
      </c>
      <c r="K96" s="4" t="str" cm="1">
        <f t="array" ref="K96">_xlfn.IFS('ProductSprint Backlog'!$F96="", "", AND('ProductSprint Backlog'!$J96&gt;K$2,'ProductSprint Backlog'!$I96&lt;=K$2), 'ProductSprint Backlog'!$F96 / MAX(1, 'ProductSprint Backlog'!$J96-'ProductSprint Backlog'!$I96), AND('ProductSprint Backlog'!$J96=K$2,'ProductSprint Backlog'!$I96=K$2), 'ProductSprint Backlog'!$F96, TRUE, 0)</f>
        <v/>
      </c>
      <c r="L96" s="4" t="str" cm="1">
        <f t="array" ref="L96">_xlfn.IFS('ProductSprint Backlog'!$F96="", "", AND('ProductSprint Backlog'!$J96&gt;L$2,'ProductSprint Backlog'!$I96&lt;=L$2), 'ProductSprint Backlog'!$F96 / MAX(1, 'ProductSprint Backlog'!$J96-'ProductSprint Backlog'!$I96), AND('ProductSprint Backlog'!$J96=L$2,'ProductSprint Backlog'!$I96=L$2), 'ProductSprint Backlog'!$F96, TRUE, 0)</f>
        <v/>
      </c>
      <c r="M96" s="4" t="str" cm="1">
        <f t="array" ref="M96">_xlfn.IFS('ProductSprint Backlog'!$F96="", "", AND('ProductSprint Backlog'!$J96&gt;M$2,'ProductSprint Backlog'!$I96&lt;=M$2), 'ProductSprint Backlog'!$F96 / MAX(1, 'ProductSprint Backlog'!$J96-'ProductSprint Backlog'!$I96), AND('ProductSprint Backlog'!$J96=M$2,'ProductSprint Backlog'!$I96=M$2), 'ProductSprint Backlog'!$F96, TRUE, 0)</f>
        <v/>
      </c>
      <c r="N96" s="4" t="str" cm="1">
        <f t="array" ref="N96">_xlfn.IFS('ProductSprint Backlog'!$F96="", "", AND('ProductSprint Backlog'!$J96&gt;N$2,'ProductSprint Backlog'!$I96&lt;=N$2), 'ProductSprint Backlog'!$F96 / MAX(1, 'ProductSprint Backlog'!$J96-'ProductSprint Backlog'!$I96), AND('ProductSprint Backlog'!$J96=N$2,'ProductSprint Backlog'!$I96=N$2), 'ProductSprint Backlog'!$F96, TRUE, 0)</f>
        <v/>
      </c>
      <c r="O96" s="4" t="str" cm="1">
        <f t="array" ref="O96">_xlfn.IFS('ProductSprint Backlog'!$F96="", "", AND('ProductSprint Backlog'!$J96&gt;O$2,'ProductSprint Backlog'!$I96&lt;=O$2), 'ProductSprint Backlog'!$F96 / MAX(1, 'ProductSprint Backlog'!$J96-'ProductSprint Backlog'!$I96), AND('ProductSprint Backlog'!$J96=O$2,'ProductSprint Backlog'!$I96=O$2), 'ProductSprint Backlog'!$F96, TRUE, 0)</f>
        <v/>
      </c>
      <c r="P96" s="4" t="str" cm="1">
        <f t="array" ref="P96">_xlfn.IFS('ProductSprint Backlog'!$F96="", "", AND('ProductSprint Backlog'!$J96&gt;P$2,'ProductSprint Backlog'!$I96&lt;=P$2), 'ProductSprint Backlog'!$F96 / MAX(1, 'ProductSprint Backlog'!$J96-'ProductSprint Backlog'!$I96), AND('ProductSprint Backlog'!$J96=P$2,'ProductSprint Backlog'!$I96=P$2), 'ProductSprint Backlog'!$F96, TRUE, 0)</f>
        <v/>
      </c>
      <c r="Q96" s="4" t="str" cm="1">
        <f t="array" ref="Q96">_xlfn.IFS('ProductSprint Backlog'!$F96="", "", AND('ProductSprint Backlog'!$J96&gt;Q$2,'ProductSprint Backlog'!$I96&lt;=Q$2), 'ProductSprint Backlog'!$F96 / MAX(1, 'ProductSprint Backlog'!$J96-'ProductSprint Backlog'!$I96), AND('ProductSprint Backlog'!$J96=Q$2,'ProductSprint Backlog'!$I96=Q$2), 'ProductSprint Backlog'!$F96, TRUE, 0)</f>
        <v/>
      </c>
      <c r="R96" s="4" t="str" cm="1">
        <f t="array" ref="R96">_xlfn.IFS('ProductSprint Backlog'!$F96="", "", AND('ProductSprint Backlog'!$J96&gt;R$2,'ProductSprint Backlog'!$I96&lt;=R$2), 'ProductSprint Backlog'!$F96 / MAX(1, 'ProductSprint Backlog'!$J96-'ProductSprint Backlog'!$I96), AND('ProductSprint Backlog'!$J96=R$2,'ProductSprint Backlog'!$I96=R$2), 'ProductSprint Backlog'!$F96, TRUE, 0)</f>
        <v/>
      </c>
      <c r="S96" s="4" t="str" cm="1">
        <f t="array" ref="S96">_xlfn.IFS('ProductSprint Backlog'!$F96="", "", AND('ProductSprint Backlog'!$J96&gt;S$2,'ProductSprint Backlog'!$I96&lt;=S$2), 'ProductSprint Backlog'!$F96 / MAX(1, 'ProductSprint Backlog'!$J96-'ProductSprint Backlog'!$I96), AND('ProductSprint Backlog'!$J96=S$2,'ProductSprint Backlog'!$I96=S$2), 'ProductSprint Backlog'!$F96, TRUE, 0)</f>
        <v/>
      </c>
      <c r="T96" s="4" t="str" cm="1">
        <f t="array" ref="T96">_xlfn.IFS('ProductSprint Backlog'!$F96="", "", AND('ProductSprint Backlog'!$J96&gt;T$2,'ProductSprint Backlog'!$I96&lt;=T$2), 'ProductSprint Backlog'!$F96 / MAX(1, 'ProductSprint Backlog'!$J96-'ProductSprint Backlog'!$I96), AND('ProductSprint Backlog'!$J96=T$2,'ProductSprint Backlog'!$I96=T$2), 'ProductSprint Backlog'!$F96, TRUE, 0)</f>
        <v/>
      </c>
    </row>
    <row r="97" spans="2:20" x14ac:dyDescent="0.2">
      <c r="B97" s="4" cm="1">
        <f t="array" ref="B97">_xlfn.IFS('ProductSprint Backlog'!$F97="", "", AND('ProductSprint Backlog'!$J97&gt;B$2,'ProductSprint Backlog'!$I97&lt;=B$2), 'ProductSprint Backlog'!$F97 / MAX(1, 'ProductSprint Backlog'!$J97-'ProductSprint Backlog'!$I97), AND('ProductSprint Backlog'!$J97=B$2,'ProductSprint Backlog'!$I97=B$2), 'ProductSprint Backlog'!$F97, TRUE, 0)</f>
        <v>0</v>
      </c>
      <c r="C97" s="4" cm="1">
        <f t="array" ref="C97">_xlfn.IFS('ProductSprint Backlog'!$F97="", "", AND('ProductSprint Backlog'!$J97&gt;C$2,'ProductSprint Backlog'!$I97&lt;=C$2), 'ProductSprint Backlog'!$F97 / MAX(1, 'ProductSprint Backlog'!$J97-'ProductSprint Backlog'!$I97), AND('ProductSprint Backlog'!$J97=C$2,'ProductSprint Backlog'!$I97=C$2), 'ProductSprint Backlog'!$F97, TRUE, 0)</f>
        <v>0</v>
      </c>
      <c r="D97" s="4" cm="1">
        <f t="array" ref="D97">_xlfn.IFS('ProductSprint Backlog'!$F97="", "", AND('ProductSprint Backlog'!$J97&gt;D$2,'ProductSprint Backlog'!$I97&lt;=D$2), 'ProductSprint Backlog'!$F97 / MAX(1, 'ProductSprint Backlog'!$J97-'ProductSprint Backlog'!$I97), AND('ProductSprint Backlog'!$J97=D$2,'ProductSprint Backlog'!$I97=D$2), 'ProductSprint Backlog'!$F97, TRUE, 0)</f>
        <v>0</v>
      </c>
      <c r="E97" s="4" cm="1">
        <f t="array" ref="E97">_xlfn.IFS('ProductSprint Backlog'!$F97="", "", AND('ProductSprint Backlog'!$J97&gt;E$2,'ProductSprint Backlog'!$I97&lt;=E$2), 'ProductSprint Backlog'!$F97 / MAX(1, 'ProductSprint Backlog'!$J97-'ProductSprint Backlog'!$I97), AND('ProductSprint Backlog'!$J97=E$2,'ProductSprint Backlog'!$I97=E$2), 'ProductSprint Backlog'!$F97, TRUE, 0)</f>
        <v>0</v>
      </c>
      <c r="F97" s="4" cm="1">
        <f t="array" ref="F97">_xlfn.IFS('ProductSprint Backlog'!$F97="", "", AND('ProductSprint Backlog'!$J97&gt;F$2,'ProductSprint Backlog'!$I97&lt;=F$2), 'ProductSprint Backlog'!$F97 / MAX(1, 'ProductSprint Backlog'!$J97-'ProductSprint Backlog'!$I97), AND('ProductSprint Backlog'!$J97=F$2,'ProductSprint Backlog'!$I97=F$2), 'ProductSprint Backlog'!$F97, TRUE, 0)</f>
        <v>0</v>
      </c>
      <c r="G97" s="4" cm="1">
        <f t="array" ref="G97">_xlfn.IFS('ProductSprint Backlog'!$F97="", "", AND('ProductSprint Backlog'!$J97&gt;G$2,'ProductSprint Backlog'!$I97&lt;=G$2), 'ProductSprint Backlog'!$F97 / MAX(1, 'ProductSprint Backlog'!$J97-'ProductSprint Backlog'!$I97), AND('ProductSprint Backlog'!$J97=G$2,'ProductSprint Backlog'!$I97=G$2), 'ProductSprint Backlog'!$F97, TRUE, 0)</f>
        <v>0</v>
      </c>
      <c r="H97" s="4" cm="1">
        <f t="array" ref="H97">_xlfn.IFS('ProductSprint Backlog'!$F97="", "", AND('ProductSprint Backlog'!$J97&gt;H$2,'ProductSprint Backlog'!$I97&lt;=H$2), 'ProductSprint Backlog'!$F97 / MAX(1, 'ProductSprint Backlog'!$J97-'ProductSprint Backlog'!$I97), AND('ProductSprint Backlog'!$J97=H$2,'ProductSprint Backlog'!$I97=H$2), 'ProductSprint Backlog'!$F97, TRUE, 0)</f>
        <v>0</v>
      </c>
      <c r="I97" s="4" cm="1">
        <f t="array" ref="I97">_xlfn.IFS('ProductSprint Backlog'!$F97="", "", AND('ProductSprint Backlog'!$J97&gt;I$2,'ProductSprint Backlog'!$I97&lt;=I$2), 'ProductSprint Backlog'!$F97 / MAX(1, 'ProductSprint Backlog'!$J97-'ProductSprint Backlog'!$I97), AND('ProductSprint Backlog'!$J97=I$2,'ProductSprint Backlog'!$I97=I$2), 'ProductSprint Backlog'!$F97, TRUE, 0)</f>
        <v>0</v>
      </c>
      <c r="J97" s="4" cm="1">
        <f t="array" ref="J97">_xlfn.IFS('ProductSprint Backlog'!$F97="", "", AND('ProductSprint Backlog'!$J97&gt;J$2,'ProductSprint Backlog'!$I97&lt;=J$2), 'ProductSprint Backlog'!$F97 / MAX(1, 'ProductSprint Backlog'!$J97-'ProductSprint Backlog'!$I97), AND('ProductSprint Backlog'!$J97=J$2,'ProductSprint Backlog'!$I97=J$2), 'ProductSprint Backlog'!$F97, TRUE, 0)</f>
        <v>0.33333333333333331</v>
      </c>
      <c r="K97" s="4" cm="1">
        <f t="array" ref="K97">_xlfn.IFS('ProductSprint Backlog'!$F97="", "", AND('ProductSprint Backlog'!$J97&gt;K$2,'ProductSprint Backlog'!$I97&lt;=K$2), 'ProductSprint Backlog'!$F97 / MAX(1, 'ProductSprint Backlog'!$J97-'ProductSprint Backlog'!$I97), AND('ProductSprint Backlog'!$J97=K$2,'ProductSprint Backlog'!$I97=K$2), 'ProductSprint Backlog'!$F97, TRUE, 0)</f>
        <v>0.33333333333333331</v>
      </c>
      <c r="L97" s="4" cm="1">
        <f t="array" ref="L97">_xlfn.IFS('ProductSprint Backlog'!$F97="", "", AND('ProductSprint Backlog'!$J97&gt;L$2,'ProductSprint Backlog'!$I97&lt;=L$2), 'ProductSprint Backlog'!$F97 / MAX(1, 'ProductSprint Backlog'!$J97-'ProductSprint Backlog'!$I97), AND('ProductSprint Backlog'!$J97=L$2,'ProductSprint Backlog'!$I97=L$2), 'ProductSprint Backlog'!$F97, TRUE, 0)</f>
        <v>0.33333333333333331</v>
      </c>
      <c r="M97" s="4" cm="1">
        <f t="array" ref="M97">_xlfn.IFS('ProductSprint Backlog'!$F97="", "", AND('ProductSprint Backlog'!$J97&gt;M$2,'ProductSprint Backlog'!$I97&lt;=M$2), 'ProductSprint Backlog'!$F97 / MAX(1, 'ProductSprint Backlog'!$J97-'ProductSprint Backlog'!$I97), AND('ProductSprint Backlog'!$J97=M$2,'ProductSprint Backlog'!$I97=M$2), 'ProductSprint Backlog'!$F97, TRUE, 0)</f>
        <v>0</v>
      </c>
      <c r="N97" s="4" cm="1">
        <f t="array" ref="N97">_xlfn.IFS('ProductSprint Backlog'!$F97="", "", AND('ProductSprint Backlog'!$J97&gt;N$2,'ProductSprint Backlog'!$I97&lt;=N$2), 'ProductSprint Backlog'!$F97 / MAX(1, 'ProductSprint Backlog'!$J97-'ProductSprint Backlog'!$I97), AND('ProductSprint Backlog'!$J97=N$2,'ProductSprint Backlog'!$I97=N$2), 'ProductSprint Backlog'!$F97, TRUE, 0)</f>
        <v>0</v>
      </c>
      <c r="O97" s="4" cm="1">
        <f t="array" ref="O97">_xlfn.IFS('ProductSprint Backlog'!$F97="", "", AND('ProductSprint Backlog'!$J97&gt;O$2,'ProductSprint Backlog'!$I97&lt;=O$2), 'ProductSprint Backlog'!$F97 / MAX(1, 'ProductSprint Backlog'!$J97-'ProductSprint Backlog'!$I97), AND('ProductSprint Backlog'!$J97=O$2,'ProductSprint Backlog'!$I97=O$2), 'ProductSprint Backlog'!$F97, TRUE, 0)</f>
        <v>0</v>
      </c>
      <c r="P97" s="4" cm="1">
        <f t="array" ref="P97">_xlfn.IFS('ProductSprint Backlog'!$F97="", "", AND('ProductSprint Backlog'!$J97&gt;P$2,'ProductSprint Backlog'!$I97&lt;=P$2), 'ProductSprint Backlog'!$F97 / MAX(1, 'ProductSprint Backlog'!$J97-'ProductSprint Backlog'!$I97), AND('ProductSprint Backlog'!$J97=P$2,'ProductSprint Backlog'!$I97=P$2), 'ProductSprint Backlog'!$F97, TRUE, 0)</f>
        <v>0</v>
      </c>
      <c r="Q97" s="4" cm="1">
        <f t="array" ref="Q97">_xlfn.IFS('ProductSprint Backlog'!$F97="", "", AND('ProductSprint Backlog'!$J97&gt;Q$2,'ProductSprint Backlog'!$I97&lt;=Q$2), 'ProductSprint Backlog'!$F97 / MAX(1, 'ProductSprint Backlog'!$J97-'ProductSprint Backlog'!$I97), AND('ProductSprint Backlog'!$J97=Q$2,'ProductSprint Backlog'!$I97=Q$2), 'ProductSprint Backlog'!$F97, TRUE, 0)</f>
        <v>0</v>
      </c>
      <c r="R97" s="4" cm="1">
        <f t="array" ref="R97">_xlfn.IFS('ProductSprint Backlog'!$F97="", "", AND('ProductSprint Backlog'!$J97&gt;R$2,'ProductSprint Backlog'!$I97&lt;=R$2), 'ProductSprint Backlog'!$F97 / MAX(1, 'ProductSprint Backlog'!$J97-'ProductSprint Backlog'!$I97), AND('ProductSprint Backlog'!$J97=R$2,'ProductSprint Backlog'!$I97=R$2), 'ProductSprint Backlog'!$F97, TRUE, 0)</f>
        <v>0</v>
      </c>
      <c r="S97" s="4" cm="1">
        <f t="array" ref="S97">_xlfn.IFS('ProductSprint Backlog'!$F97="", "", AND('ProductSprint Backlog'!$J97&gt;S$2,'ProductSprint Backlog'!$I97&lt;=S$2), 'ProductSprint Backlog'!$F97 / MAX(1, 'ProductSprint Backlog'!$J97-'ProductSprint Backlog'!$I97), AND('ProductSprint Backlog'!$J97=S$2,'ProductSprint Backlog'!$I97=S$2), 'ProductSprint Backlog'!$F97, TRUE, 0)</f>
        <v>0</v>
      </c>
      <c r="T97" s="4" cm="1">
        <f t="array" ref="T97">_xlfn.IFS('ProductSprint Backlog'!$F97="", "", AND('ProductSprint Backlog'!$J97&gt;T$2,'ProductSprint Backlog'!$I97&lt;=T$2), 'ProductSprint Backlog'!$F97 / MAX(1, 'ProductSprint Backlog'!$J97-'ProductSprint Backlog'!$I97), AND('ProductSprint Backlog'!$J97=T$2,'ProductSprint Backlog'!$I97=T$2), 'ProductSprint Backlog'!$F97, TRUE, 0)</f>
        <v>0</v>
      </c>
    </row>
    <row r="98" spans="2:20" x14ac:dyDescent="0.2">
      <c r="B98" s="4" cm="1">
        <f t="array" ref="B98">_xlfn.IFS('ProductSprint Backlog'!$F98="", "", AND('ProductSprint Backlog'!$J98&gt;B$2,'ProductSprint Backlog'!$I98&lt;=B$2), 'ProductSprint Backlog'!$F98 / MAX(1, 'ProductSprint Backlog'!$J98-'ProductSprint Backlog'!$I98), AND('ProductSprint Backlog'!$J98=B$2,'ProductSprint Backlog'!$I98=B$2), 'ProductSprint Backlog'!$F98, TRUE, 0)</f>
        <v>0</v>
      </c>
      <c r="C98" s="4" cm="1">
        <f t="array" ref="C98">_xlfn.IFS('ProductSprint Backlog'!$F98="", "", AND('ProductSprint Backlog'!$J98&gt;C$2,'ProductSprint Backlog'!$I98&lt;=C$2), 'ProductSprint Backlog'!$F98 / MAX(1, 'ProductSprint Backlog'!$J98-'ProductSprint Backlog'!$I98), AND('ProductSprint Backlog'!$J98=C$2,'ProductSprint Backlog'!$I98=C$2), 'ProductSprint Backlog'!$F98, TRUE, 0)</f>
        <v>0</v>
      </c>
      <c r="D98" s="4" cm="1">
        <f t="array" ref="D98">_xlfn.IFS('ProductSprint Backlog'!$F98="", "", AND('ProductSprint Backlog'!$J98&gt;D$2,'ProductSprint Backlog'!$I98&lt;=D$2), 'ProductSprint Backlog'!$F98 / MAX(1, 'ProductSprint Backlog'!$J98-'ProductSprint Backlog'!$I98), AND('ProductSprint Backlog'!$J98=D$2,'ProductSprint Backlog'!$I98=D$2), 'ProductSprint Backlog'!$F98, TRUE, 0)</f>
        <v>0</v>
      </c>
      <c r="E98" s="4" cm="1">
        <f t="array" ref="E98">_xlfn.IFS('ProductSprint Backlog'!$F98="", "", AND('ProductSprint Backlog'!$J98&gt;E$2,'ProductSprint Backlog'!$I98&lt;=E$2), 'ProductSprint Backlog'!$F98 / MAX(1, 'ProductSprint Backlog'!$J98-'ProductSprint Backlog'!$I98), AND('ProductSprint Backlog'!$J98=E$2,'ProductSprint Backlog'!$I98=E$2), 'ProductSprint Backlog'!$F98, TRUE, 0)</f>
        <v>0</v>
      </c>
      <c r="F98" s="4" cm="1">
        <f t="array" ref="F98">_xlfn.IFS('ProductSprint Backlog'!$F98="", "", AND('ProductSprint Backlog'!$J98&gt;F$2,'ProductSprint Backlog'!$I98&lt;=F$2), 'ProductSprint Backlog'!$F98 / MAX(1, 'ProductSprint Backlog'!$J98-'ProductSprint Backlog'!$I98), AND('ProductSprint Backlog'!$J98=F$2,'ProductSprint Backlog'!$I98=F$2), 'ProductSprint Backlog'!$F98, TRUE, 0)</f>
        <v>0</v>
      </c>
      <c r="G98" s="4" cm="1">
        <f t="array" ref="G98">_xlfn.IFS('ProductSprint Backlog'!$F98="", "", AND('ProductSprint Backlog'!$J98&gt;G$2,'ProductSprint Backlog'!$I98&lt;=G$2), 'ProductSprint Backlog'!$F98 / MAX(1, 'ProductSprint Backlog'!$J98-'ProductSprint Backlog'!$I98), AND('ProductSprint Backlog'!$J98=G$2,'ProductSprint Backlog'!$I98=G$2), 'ProductSprint Backlog'!$F98, TRUE, 0)</f>
        <v>0</v>
      </c>
      <c r="H98" s="4" cm="1">
        <f t="array" ref="H98">_xlfn.IFS('ProductSprint Backlog'!$F98="", "", AND('ProductSprint Backlog'!$J98&gt;H$2,'ProductSprint Backlog'!$I98&lt;=H$2), 'ProductSprint Backlog'!$F98 / MAX(1, 'ProductSprint Backlog'!$J98-'ProductSprint Backlog'!$I98), AND('ProductSprint Backlog'!$J98=H$2,'ProductSprint Backlog'!$I98=H$2), 'ProductSprint Backlog'!$F98, TRUE, 0)</f>
        <v>0</v>
      </c>
      <c r="I98" s="4" cm="1">
        <f t="array" ref="I98">_xlfn.IFS('ProductSprint Backlog'!$F98="", "", AND('ProductSprint Backlog'!$J98&gt;I$2,'ProductSprint Backlog'!$I98&lt;=I$2), 'ProductSprint Backlog'!$F98 / MAX(1, 'ProductSprint Backlog'!$J98-'ProductSprint Backlog'!$I98), AND('ProductSprint Backlog'!$J98=I$2,'ProductSprint Backlog'!$I98=I$2), 'ProductSprint Backlog'!$F98, TRUE, 0)</f>
        <v>0</v>
      </c>
      <c r="J98" s="4" cm="1">
        <f t="array" ref="J98">_xlfn.IFS('ProductSprint Backlog'!$F98="", "", AND('ProductSprint Backlog'!$J98&gt;J$2,'ProductSprint Backlog'!$I98&lt;=J$2), 'ProductSprint Backlog'!$F98 / MAX(1, 'ProductSprint Backlog'!$J98-'ProductSprint Backlog'!$I98), AND('ProductSprint Backlog'!$J98=J$2,'ProductSprint Backlog'!$I98=J$2), 'ProductSprint Backlog'!$F98, TRUE, 0)</f>
        <v>0.33333333333333331</v>
      </c>
      <c r="K98" s="4" cm="1">
        <f t="array" ref="K98">_xlfn.IFS('ProductSprint Backlog'!$F98="", "", AND('ProductSprint Backlog'!$J98&gt;K$2,'ProductSprint Backlog'!$I98&lt;=K$2), 'ProductSprint Backlog'!$F98 / MAX(1, 'ProductSprint Backlog'!$J98-'ProductSprint Backlog'!$I98), AND('ProductSprint Backlog'!$J98=K$2,'ProductSprint Backlog'!$I98=K$2), 'ProductSprint Backlog'!$F98, TRUE, 0)</f>
        <v>0.33333333333333331</v>
      </c>
      <c r="L98" s="4" cm="1">
        <f t="array" ref="L98">_xlfn.IFS('ProductSprint Backlog'!$F98="", "", AND('ProductSprint Backlog'!$J98&gt;L$2,'ProductSprint Backlog'!$I98&lt;=L$2), 'ProductSprint Backlog'!$F98 / MAX(1, 'ProductSprint Backlog'!$J98-'ProductSprint Backlog'!$I98), AND('ProductSprint Backlog'!$J98=L$2,'ProductSprint Backlog'!$I98=L$2), 'ProductSprint Backlog'!$F98, TRUE, 0)</f>
        <v>0.33333333333333331</v>
      </c>
      <c r="M98" s="4" cm="1">
        <f t="array" ref="M98">_xlfn.IFS('ProductSprint Backlog'!$F98="", "", AND('ProductSprint Backlog'!$J98&gt;M$2,'ProductSprint Backlog'!$I98&lt;=M$2), 'ProductSprint Backlog'!$F98 / MAX(1, 'ProductSprint Backlog'!$J98-'ProductSprint Backlog'!$I98), AND('ProductSprint Backlog'!$J98=M$2,'ProductSprint Backlog'!$I98=M$2), 'ProductSprint Backlog'!$F98, TRUE, 0)</f>
        <v>0</v>
      </c>
      <c r="N98" s="4" cm="1">
        <f t="array" ref="N98">_xlfn.IFS('ProductSprint Backlog'!$F98="", "", AND('ProductSprint Backlog'!$J98&gt;N$2,'ProductSprint Backlog'!$I98&lt;=N$2), 'ProductSprint Backlog'!$F98 / MAX(1, 'ProductSprint Backlog'!$J98-'ProductSprint Backlog'!$I98), AND('ProductSprint Backlog'!$J98=N$2,'ProductSprint Backlog'!$I98=N$2), 'ProductSprint Backlog'!$F98, TRUE, 0)</f>
        <v>0</v>
      </c>
      <c r="O98" s="4" cm="1">
        <f t="array" ref="O98">_xlfn.IFS('ProductSprint Backlog'!$F98="", "", AND('ProductSprint Backlog'!$J98&gt;O$2,'ProductSprint Backlog'!$I98&lt;=O$2), 'ProductSprint Backlog'!$F98 / MAX(1, 'ProductSprint Backlog'!$J98-'ProductSprint Backlog'!$I98), AND('ProductSprint Backlog'!$J98=O$2,'ProductSprint Backlog'!$I98=O$2), 'ProductSprint Backlog'!$F98, TRUE, 0)</f>
        <v>0</v>
      </c>
      <c r="P98" s="4" cm="1">
        <f t="array" ref="P98">_xlfn.IFS('ProductSprint Backlog'!$F98="", "", AND('ProductSprint Backlog'!$J98&gt;P$2,'ProductSprint Backlog'!$I98&lt;=P$2), 'ProductSprint Backlog'!$F98 / MAX(1, 'ProductSprint Backlog'!$J98-'ProductSprint Backlog'!$I98), AND('ProductSprint Backlog'!$J98=P$2,'ProductSprint Backlog'!$I98=P$2), 'ProductSprint Backlog'!$F98, TRUE, 0)</f>
        <v>0</v>
      </c>
      <c r="Q98" s="4" cm="1">
        <f t="array" ref="Q98">_xlfn.IFS('ProductSprint Backlog'!$F98="", "", AND('ProductSprint Backlog'!$J98&gt;Q$2,'ProductSprint Backlog'!$I98&lt;=Q$2), 'ProductSprint Backlog'!$F98 / MAX(1, 'ProductSprint Backlog'!$J98-'ProductSprint Backlog'!$I98), AND('ProductSprint Backlog'!$J98=Q$2,'ProductSprint Backlog'!$I98=Q$2), 'ProductSprint Backlog'!$F98, TRUE, 0)</f>
        <v>0</v>
      </c>
      <c r="R98" s="4" cm="1">
        <f t="array" ref="R98">_xlfn.IFS('ProductSprint Backlog'!$F98="", "", AND('ProductSprint Backlog'!$J98&gt;R$2,'ProductSprint Backlog'!$I98&lt;=R$2), 'ProductSprint Backlog'!$F98 / MAX(1, 'ProductSprint Backlog'!$J98-'ProductSprint Backlog'!$I98), AND('ProductSprint Backlog'!$J98=R$2,'ProductSprint Backlog'!$I98=R$2), 'ProductSprint Backlog'!$F98, TRUE, 0)</f>
        <v>0</v>
      </c>
      <c r="S98" s="4" cm="1">
        <f t="array" ref="S98">_xlfn.IFS('ProductSprint Backlog'!$F98="", "", AND('ProductSprint Backlog'!$J98&gt;S$2,'ProductSprint Backlog'!$I98&lt;=S$2), 'ProductSprint Backlog'!$F98 / MAX(1, 'ProductSprint Backlog'!$J98-'ProductSprint Backlog'!$I98), AND('ProductSprint Backlog'!$J98=S$2,'ProductSprint Backlog'!$I98=S$2), 'ProductSprint Backlog'!$F98, TRUE, 0)</f>
        <v>0</v>
      </c>
      <c r="T98" s="4" cm="1">
        <f t="array" ref="T98">_xlfn.IFS('ProductSprint Backlog'!$F98="", "", AND('ProductSprint Backlog'!$J98&gt;T$2,'ProductSprint Backlog'!$I98&lt;=T$2), 'ProductSprint Backlog'!$F98 / MAX(1, 'ProductSprint Backlog'!$J98-'ProductSprint Backlog'!$I98), AND('ProductSprint Backlog'!$J98=T$2,'ProductSprint Backlog'!$I98=T$2), 'ProductSprint Backlog'!$F98, TRUE, 0)</f>
        <v>0</v>
      </c>
    </row>
    <row r="99" spans="2:20" x14ac:dyDescent="0.2">
      <c r="B99" s="4" cm="1">
        <f t="array" ref="B99">_xlfn.IFS('ProductSprint Backlog'!$F99="", "", AND('ProductSprint Backlog'!$J99&gt;B$2,'ProductSprint Backlog'!$I99&lt;=B$2), 'ProductSprint Backlog'!$F99 / MAX(1, 'ProductSprint Backlog'!$J99-'ProductSprint Backlog'!$I99), AND('ProductSprint Backlog'!$J99=B$2,'ProductSprint Backlog'!$I99=B$2), 'ProductSprint Backlog'!$F99, TRUE, 0)</f>
        <v>0</v>
      </c>
      <c r="C99" s="4" cm="1">
        <f t="array" ref="C99">_xlfn.IFS('ProductSprint Backlog'!$F99="", "", AND('ProductSprint Backlog'!$J99&gt;C$2,'ProductSprint Backlog'!$I99&lt;=C$2), 'ProductSprint Backlog'!$F99 / MAX(1, 'ProductSprint Backlog'!$J99-'ProductSprint Backlog'!$I99), AND('ProductSprint Backlog'!$J99=C$2,'ProductSprint Backlog'!$I99=C$2), 'ProductSprint Backlog'!$F99, TRUE, 0)</f>
        <v>0</v>
      </c>
      <c r="D99" s="4" cm="1">
        <f t="array" ref="D99">_xlfn.IFS('ProductSprint Backlog'!$F99="", "", AND('ProductSprint Backlog'!$J99&gt;D$2,'ProductSprint Backlog'!$I99&lt;=D$2), 'ProductSprint Backlog'!$F99 / MAX(1, 'ProductSprint Backlog'!$J99-'ProductSprint Backlog'!$I99), AND('ProductSprint Backlog'!$J99=D$2,'ProductSprint Backlog'!$I99=D$2), 'ProductSprint Backlog'!$F99, TRUE, 0)</f>
        <v>0</v>
      </c>
      <c r="E99" s="4" cm="1">
        <f t="array" ref="E99">_xlfn.IFS('ProductSprint Backlog'!$F99="", "", AND('ProductSprint Backlog'!$J99&gt;E$2,'ProductSprint Backlog'!$I99&lt;=E$2), 'ProductSprint Backlog'!$F99 / MAX(1, 'ProductSprint Backlog'!$J99-'ProductSprint Backlog'!$I99), AND('ProductSprint Backlog'!$J99=E$2,'ProductSprint Backlog'!$I99=E$2), 'ProductSprint Backlog'!$F99, TRUE, 0)</f>
        <v>0</v>
      </c>
      <c r="F99" s="4" cm="1">
        <f t="array" ref="F99">_xlfn.IFS('ProductSprint Backlog'!$F99="", "", AND('ProductSprint Backlog'!$J99&gt;F$2,'ProductSprint Backlog'!$I99&lt;=F$2), 'ProductSprint Backlog'!$F99 / MAX(1, 'ProductSprint Backlog'!$J99-'ProductSprint Backlog'!$I99), AND('ProductSprint Backlog'!$J99=F$2,'ProductSprint Backlog'!$I99=F$2), 'ProductSprint Backlog'!$F99, TRUE, 0)</f>
        <v>0</v>
      </c>
      <c r="G99" s="4" cm="1">
        <f t="array" ref="G99">_xlfn.IFS('ProductSprint Backlog'!$F99="", "", AND('ProductSprint Backlog'!$J99&gt;G$2,'ProductSprint Backlog'!$I99&lt;=G$2), 'ProductSprint Backlog'!$F99 / MAX(1, 'ProductSprint Backlog'!$J99-'ProductSprint Backlog'!$I99), AND('ProductSprint Backlog'!$J99=G$2,'ProductSprint Backlog'!$I99=G$2), 'ProductSprint Backlog'!$F99, TRUE, 0)</f>
        <v>0</v>
      </c>
      <c r="H99" s="4" cm="1">
        <f t="array" ref="H99">_xlfn.IFS('ProductSprint Backlog'!$F99="", "", AND('ProductSprint Backlog'!$J99&gt;H$2,'ProductSprint Backlog'!$I99&lt;=H$2), 'ProductSprint Backlog'!$F99 / MAX(1, 'ProductSprint Backlog'!$J99-'ProductSprint Backlog'!$I99), AND('ProductSprint Backlog'!$J99=H$2,'ProductSprint Backlog'!$I99=H$2), 'ProductSprint Backlog'!$F99, TRUE, 0)</f>
        <v>0</v>
      </c>
      <c r="I99" s="4" cm="1">
        <f t="array" ref="I99">_xlfn.IFS('ProductSprint Backlog'!$F99="", "", AND('ProductSprint Backlog'!$J99&gt;I$2,'ProductSprint Backlog'!$I99&lt;=I$2), 'ProductSprint Backlog'!$F99 / MAX(1, 'ProductSprint Backlog'!$J99-'ProductSprint Backlog'!$I99), AND('ProductSprint Backlog'!$J99=I$2,'ProductSprint Backlog'!$I99=I$2), 'ProductSprint Backlog'!$F99, TRUE, 0)</f>
        <v>0</v>
      </c>
      <c r="J99" s="4" cm="1">
        <f t="array" ref="J99">_xlfn.IFS('ProductSprint Backlog'!$F99="", "", AND('ProductSprint Backlog'!$J99&gt;J$2,'ProductSprint Backlog'!$I99&lt;=J$2), 'ProductSprint Backlog'!$F99 / MAX(1, 'ProductSprint Backlog'!$J99-'ProductSprint Backlog'!$I99), AND('ProductSprint Backlog'!$J99=J$2,'ProductSprint Backlog'!$I99=J$2), 'ProductSprint Backlog'!$F99, TRUE, 0)</f>
        <v>0.33333333333333331</v>
      </c>
      <c r="K99" s="4" cm="1">
        <f t="array" ref="K99">_xlfn.IFS('ProductSprint Backlog'!$F99="", "", AND('ProductSprint Backlog'!$J99&gt;K$2,'ProductSprint Backlog'!$I99&lt;=K$2), 'ProductSprint Backlog'!$F99 / MAX(1, 'ProductSprint Backlog'!$J99-'ProductSprint Backlog'!$I99), AND('ProductSprint Backlog'!$J99=K$2,'ProductSprint Backlog'!$I99=K$2), 'ProductSprint Backlog'!$F99, TRUE, 0)</f>
        <v>0.33333333333333331</v>
      </c>
      <c r="L99" s="4" cm="1">
        <f t="array" ref="L99">_xlfn.IFS('ProductSprint Backlog'!$F99="", "", AND('ProductSprint Backlog'!$J99&gt;L$2,'ProductSprint Backlog'!$I99&lt;=L$2), 'ProductSprint Backlog'!$F99 / MAX(1, 'ProductSprint Backlog'!$J99-'ProductSprint Backlog'!$I99), AND('ProductSprint Backlog'!$J99=L$2,'ProductSprint Backlog'!$I99=L$2), 'ProductSprint Backlog'!$F99, TRUE, 0)</f>
        <v>0.33333333333333331</v>
      </c>
      <c r="M99" s="4" cm="1">
        <f t="array" ref="M99">_xlfn.IFS('ProductSprint Backlog'!$F99="", "", AND('ProductSprint Backlog'!$J99&gt;M$2,'ProductSprint Backlog'!$I99&lt;=M$2), 'ProductSprint Backlog'!$F99 / MAX(1, 'ProductSprint Backlog'!$J99-'ProductSprint Backlog'!$I99), AND('ProductSprint Backlog'!$J99=M$2,'ProductSprint Backlog'!$I99=M$2), 'ProductSprint Backlog'!$F99, TRUE, 0)</f>
        <v>0</v>
      </c>
      <c r="N99" s="4" cm="1">
        <f t="array" ref="N99">_xlfn.IFS('ProductSprint Backlog'!$F99="", "", AND('ProductSprint Backlog'!$J99&gt;N$2,'ProductSprint Backlog'!$I99&lt;=N$2), 'ProductSprint Backlog'!$F99 / MAX(1, 'ProductSprint Backlog'!$J99-'ProductSprint Backlog'!$I99), AND('ProductSprint Backlog'!$J99=N$2,'ProductSprint Backlog'!$I99=N$2), 'ProductSprint Backlog'!$F99, TRUE, 0)</f>
        <v>0</v>
      </c>
      <c r="O99" s="4" cm="1">
        <f t="array" ref="O99">_xlfn.IFS('ProductSprint Backlog'!$F99="", "", AND('ProductSprint Backlog'!$J99&gt;O$2,'ProductSprint Backlog'!$I99&lt;=O$2), 'ProductSprint Backlog'!$F99 / MAX(1, 'ProductSprint Backlog'!$J99-'ProductSprint Backlog'!$I99), AND('ProductSprint Backlog'!$J99=O$2,'ProductSprint Backlog'!$I99=O$2), 'ProductSprint Backlog'!$F99, TRUE, 0)</f>
        <v>0</v>
      </c>
      <c r="P99" s="4" cm="1">
        <f t="array" ref="P99">_xlfn.IFS('ProductSprint Backlog'!$F99="", "", AND('ProductSprint Backlog'!$J99&gt;P$2,'ProductSprint Backlog'!$I99&lt;=P$2), 'ProductSprint Backlog'!$F99 / MAX(1, 'ProductSprint Backlog'!$J99-'ProductSprint Backlog'!$I99), AND('ProductSprint Backlog'!$J99=P$2,'ProductSprint Backlog'!$I99=P$2), 'ProductSprint Backlog'!$F99, TRUE, 0)</f>
        <v>0</v>
      </c>
      <c r="Q99" s="4" cm="1">
        <f t="array" ref="Q99">_xlfn.IFS('ProductSprint Backlog'!$F99="", "", AND('ProductSprint Backlog'!$J99&gt;Q$2,'ProductSprint Backlog'!$I99&lt;=Q$2), 'ProductSprint Backlog'!$F99 / MAX(1, 'ProductSprint Backlog'!$J99-'ProductSprint Backlog'!$I99), AND('ProductSprint Backlog'!$J99=Q$2,'ProductSprint Backlog'!$I99=Q$2), 'ProductSprint Backlog'!$F99, TRUE, 0)</f>
        <v>0</v>
      </c>
      <c r="R99" s="4" cm="1">
        <f t="array" ref="R99">_xlfn.IFS('ProductSprint Backlog'!$F99="", "", AND('ProductSprint Backlog'!$J99&gt;R$2,'ProductSprint Backlog'!$I99&lt;=R$2), 'ProductSprint Backlog'!$F99 / MAX(1, 'ProductSprint Backlog'!$J99-'ProductSprint Backlog'!$I99), AND('ProductSprint Backlog'!$J99=R$2,'ProductSprint Backlog'!$I99=R$2), 'ProductSprint Backlog'!$F99, TRUE, 0)</f>
        <v>0</v>
      </c>
      <c r="S99" s="4" cm="1">
        <f t="array" ref="S99">_xlfn.IFS('ProductSprint Backlog'!$F99="", "", AND('ProductSprint Backlog'!$J99&gt;S$2,'ProductSprint Backlog'!$I99&lt;=S$2), 'ProductSprint Backlog'!$F99 / MAX(1, 'ProductSprint Backlog'!$J99-'ProductSprint Backlog'!$I99), AND('ProductSprint Backlog'!$J99=S$2,'ProductSprint Backlog'!$I99=S$2), 'ProductSprint Backlog'!$F99, TRUE, 0)</f>
        <v>0</v>
      </c>
      <c r="T99" s="4" cm="1">
        <f t="array" ref="T99">_xlfn.IFS('ProductSprint Backlog'!$F99="", "", AND('ProductSprint Backlog'!$J99&gt;T$2,'ProductSprint Backlog'!$I99&lt;=T$2), 'ProductSprint Backlog'!$F99 / MAX(1, 'ProductSprint Backlog'!$J99-'ProductSprint Backlog'!$I99), AND('ProductSprint Backlog'!$J99=T$2,'ProductSprint Backlog'!$I99=T$2), 'ProductSprint Backlog'!$F99, TRUE, 0)</f>
        <v>0</v>
      </c>
    </row>
    <row r="100" spans="2:20" x14ac:dyDescent="0.2">
      <c r="B100" s="4" cm="1">
        <f t="array" ref="B100">_xlfn.IFS('ProductSprint Backlog'!$F100="", "", AND('ProductSprint Backlog'!$J100&gt;B$2,'ProductSprint Backlog'!$I100&lt;=B$2), 'ProductSprint Backlog'!$F100 / MAX(1, 'ProductSprint Backlog'!$J100-'ProductSprint Backlog'!$I100), AND('ProductSprint Backlog'!$J100=B$2,'ProductSprint Backlog'!$I100=B$2), 'ProductSprint Backlog'!$F100, TRUE, 0)</f>
        <v>0</v>
      </c>
      <c r="C100" s="4" cm="1">
        <f t="array" ref="C100">_xlfn.IFS('ProductSprint Backlog'!$F100="", "", AND('ProductSprint Backlog'!$J100&gt;C$2,'ProductSprint Backlog'!$I100&lt;=C$2), 'ProductSprint Backlog'!$F100 / MAX(1, 'ProductSprint Backlog'!$J100-'ProductSprint Backlog'!$I100), AND('ProductSprint Backlog'!$J100=C$2,'ProductSprint Backlog'!$I100=C$2), 'ProductSprint Backlog'!$F100, TRUE, 0)</f>
        <v>0</v>
      </c>
      <c r="D100" s="4" cm="1">
        <f t="array" ref="D100">_xlfn.IFS('ProductSprint Backlog'!$F100="", "", AND('ProductSprint Backlog'!$J100&gt;D$2,'ProductSprint Backlog'!$I100&lt;=D$2), 'ProductSprint Backlog'!$F100 / MAX(1, 'ProductSprint Backlog'!$J100-'ProductSprint Backlog'!$I100), AND('ProductSprint Backlog'!$J100=D$2,'ProductSprint Backlog'!$I100=D$2), 'ProductSprint Backlog'!$F100, TRUE, 0)</f>
        <v>0</v>
      </c>
      <c r="E100" s="4" cm="1">
        <f t="array" ref="E100">_xlfn.IFS('ProductSprint Backlog'!$F100="", "", AND('ProductSprint Backlog'!$J100&gt;E$2,'ProductSprint Backlog'!$I100&lt;=E$2), 'ProductSprint Backlog'!$F100 / MAX(1, 'ProductSprint Backlog'!$J100-'ProductSprint Backlog'!$I100), AND('ProductSprint Backlog'!$J100=E$2,'ProductSprint Backlog'!$I100=E$2), 'ProductSprint Backlog'!$F100, TRUE, 0)</f>
        <v>0</v>
      </c>
      <c r="F100" s="4" cm="1">
        <f t="array" ref="F100">_xlfn.IFS('ProductSprint Backlog'!$F100="", "", AND('ProductSprint Backlog'!$J100&gt;F$2,'ProductSprint Backlog'!$I100&lt;=F$2), 'ProductSprint Backlog'!$F100 / MAX(1, 'ProductSprint Backlog'!$J100-'ProductSprint Backlog'!$I100), AND('ProductSprint Backlog'!$J100=F$2,'ProductSprint Backlog'!$I100=F$2), 'ProductSprint Backlog'!$F100, TRUE, 0)</f>
        <v>0</v>
      </c>
      <c r="G100" s="4" cm="1">
        <f t="array" ref="G100">_xlfn.IFS('ProductSprint Backlog'!$F100="", "", AND('ProductSprint Backlog'!$J100&gt;G$2,'ProductSprint Backlog'!$I100&lt;=G$2), 'ProductSprint Backlog'!$F100 / MAX(1, 'ProductSprint Backlog'!$J100-'ProductSprint Backlog'!$I100), AND('ProductSprint Backlog'!$J100=G$2,'ProductSprint Backlog'!$I100=G$2), 'ProductSprint Backlog'!$F100, TRUE, 0)</f>
        <v>0</v>
      </c>
      <c r="H100" s="4" cm="1">
        <f t="array" ref="H100">_xlfn.IFS('ProductSprint Backlog'!$F100="", "", AND('ProductSprint Backlog'!$J100&gt;H$2,'ProductSprint Backlog'!$I100&lt;=H$2), 'ProductSprint Backlog'!$F100 / MAX(1, 'ProductSprint Backlog'!$J100-'ProductSprint Backlog'!$I100), AND('ProductSprint Backlog'!$J100=H$2,'ProductSprint Backlog'!$I100=H$2), 'ProductSprint Backlog'!$F100, TRUE, 0)</f>
        <v>0</v>
      </c>
      <c r="I100" s="4" cm="1">
        <f t="array" ref="I100">_xlfn.IFS('ProductSprint Backlog'!$F100="", "", AND('ProductSprint Backlog'!$J100&gt;I$2,'ProductSprint Backlog'!$I100&lt;=I$2), 'ProductSprint Backlog'!$F100 / MAX(1, 'ProductSprint Backlog'!$J100-'ProductSprint Backlog'!$I100), AND('ProductSprint Backlog'!$J100=I$2,'ProductSprint Backlog'!$I100=I$2), 'ProductSprint Backlog'!$F100, TRUE, 0)</f>
        <v>0</v>
      </c>
      <c r="J100" s="4" cm="1">
        <f t="array" ref="J100">_xlfn.IFS('ProductSprint Backlog'!$F100="", "", AND('ProductSprint Backlog'!$J100&gt;J$2,'ProductSprint Backlog'!$I100&lt;=J$2), 'ProductSprint Backlog'!$F100 / MAX(1, 'ProductSprint Backlog'!$J100-'ProductSprint Backlog'!$I100), AND('ProductSprint Backlog'!$J100=J$2,'ProductSprint Backlog'!$I100=J$2), 'ProductSprint Backlog'!$F100, TRUE, 0)</f>
        <v>0.33333333333333331</v>
      </c>
      <c r="K100" s="4" cm="1">
        <f t="array" ref="K100">_xlfn.IFS('ProductSprint Backlog'!$F100="", "", AND('ProductSprint Backlog'!$J100&gt;K$2,'ProductSprint Backlog'!$I100&lt;=K$2), 'ProductSprint Backlog'!$F100 / MAX(1, 'ProductSprint Backlog'!$J100-'ProductSprint Backlog'!$I100), AND('ProductSprint Backlog'!$J100=K$2,'ProductSprint Backlog'!$I100=K$2), 'ProductSprint Backlog'!$F100, TRUE, 0)</f>
        <v>0.33333333333333331</v>
      </c>
      <c r="L100" s="4" cm="1">
        <f t="array" ref="L100">_xlfn.IFS('ProductSprint Backlog'!$F100="", "", AND('ProductSprint Backlog'!$J100&gt;L$2,'ProductSprint Backlog'!$I100&lt;=L$2), 'ProductSprint Backlog'!$F100 / MAX(1, 'ProductSprint Backlog'!$J100-'ProductSprint Backlog'!$I100), AND('ProductSprint Backlog'!$J100=L$2,'ProductSprint Backlog'!$I100=L$2), 'ProductSprint Backlog'!$F100, TRUE, 0)</f>
        <v>0.33333333333333331</v>
      </c>
      <c r="M100" s="4" cm="1">
        <f t="array" ref="M100">_xlfn.IFS('ProductSprint Backlog'!$F100="", "", AND('ProductSprint Backlog'!$J100&gt;M$2,'ProductSprint Backlog'!$I100&lt;=M$2), 'ProductSprint Backlog'!$F100 / MAX(1, 'ProductSprint Backlog'!$J100-'ProductSprint Backlog'!$I100), AND('ProductSprint Backlog'!$J100=M$2,'ProductSprint Backlog'!$I100=M$2), 'ProductSprint Backlog'!$F100, TRUE, 0)</f>
        <v>0</v>
      </c>
      <c r="N100" s="4" cm="1">
        <f t="array" ref="N100">_xlfn.IFS('ProductSprint Backlog'!$F100="", "", AND('ProductSprint Backlog'!$J100&gt;N$2,'ProductSprint Backlog'!$I100&lt;=N$2), 'ProductSprint Backlog'!$F100 / MAX(1, 'ProductSprint Backlog'!$J100-'ProductSprint Backlog'!$I100), AND('ProductSprint Backlog'!$J100=N$2,'ProductSprint Backlog'!$I100=N$2), 'ProductSprint Backlog'!$F100, TRUE, 0)</f>
        <v>0</v>
      </c>
      <c r="O100" s="4" cm="1">
        <f t="array" ref="O100">_xlfn.IFS('ProductSprint Backlog'!$F100="", "", AND('ProductSprint Backlog'!$J100&gt;O$2,'ProductSprint Backlog'!$I100&lt;=O$2), 'ProductSprint Backlog'!$F100 / MAX(1, 'ProductSprint Backlog'!$J100-'ProductSprint Backlog'!$I100), AND('ProductSprint Backlog'!$J100=O$2,'ProductSprint Backlog'!$I100=O$2), 'ProductSprint Backlog'!$F100, TRUE, 0)</f>
        <v>0</v>
      </c>
      <c r="P100" s="4" cm="1">
        <f t="array" ref="P100">_xlfn.IFS('ProductSprint Backlog'!$F100="", "", AND('ProductSprint Backlog'!$J100&gt;P$2,'ProductSprint Backlog'!$I100&lt;=P$2), 'ProductSprint Backlog'!$F100 / MAX(1, 'ProductSprint Backlog'!$J100-'ProductSprint Backlog'!$I100), AND('ProductSprint Backlog'!$J100=P$2,'ProductSprint Backlog'!$I100=P$2), 'ProductSprint Backlog'!$F100, TRUE, 0)</f>
        <v>0</v>
      </c>
      <c r="Q100" s="4" cm="1">
        <f t="array" ref="Q100">_xlfn.IFS('ProductSprint Backlog'!$F100="", "", AND('ProductSprint Backlog'!$J100&gt;Q$2,'ProductSprint Backlog'!$I100&lt;=Q$2), 'ProductSprint Backlog'!$F100 / MAX(1, 'ProductSprint Backlog'!$J100-'ProductSprint Backlog'!$I100), AND('ProductSprint Backlog'!$J100=Q$2,'ProductSprint Backlog'!$I100=Q$2), 'ProductSprint Backlog'!$F100, TRUE, 0)</f>
        <v>0</v>
      </c>
      <c r="R100" s="4" cm="1">
        <f t="array" ref="R100">_xlfn.IFS('ProductSprint Backlog'!$F100="", "", AND('ProductSprint Backlog'!$J100&gt;R$2,'ProductSprint Backlog'!$I100&lt;=R$2), 'ProductSprint Backlog'!$F100 / MAX(1, 'ProductSprint Backlog'!$J100-'ProductSprint Backlog'!$I100), AND('ProductSprint Backlog'!$J100=R$2,'ProductSprint Backlog'!$I100=R$2), 'ProductSprint Backlog'!$F100, TRUE, 0)</f>
        <v>0</v>
      </c>
      <c r="S100" s="4" cm="1">
        <f t="array" ref="S100">_xlfn.IFS('ProductSprint Backlog'!$F100="", "", AND('ProductSprint Backlog'!$J100&gt;S$2,'ProductSprint Backlog'!$I100&lt;=S$2), 'ProductSprint Backlog'!$F100 / MAX(1, 'ProductSprint Backlog'!$J100-'ProductSprint Backlog'!$I100), AND('ProductSprint Backlog'!$J100=S$2,'ProductSprint Backlog'!$I100=S$2), 'ProductSprint Backlog'!$F100, TRUE, 0)</f>
        <v>0</v>
      </c>
      <c r="T100" s="4" cm="1">
        <f t="array" ref="T100">_xlfn.IFS('ProductSprint Backlog'!$F100="", "", AND('ProductSprint Backlog'!$J100&gt;T$2,'ProductSprint Backlog'!$I100&lt;=T$2), 'ProductSprint Backlog'!$F100 / MAX(1, 'ProductSprint Backlog'!$J100-'ProductSprint Backlog'!$I100), AND('ProductSprint Backlog'!$J100=T$2,'ProductSprint Backlog'!$I100=T$2), 'ProductSprint Backlog'!$F100, TRUE, 0)</f>
        <v>0</v>
      </c>
    </row>
    <row r="101" spans="2:20" x14ac:dyDescent="0.2">
      <c r="B101" s="4" cm="1">
        <f t="array" ref="B101">_xlfn.IFS('ProductSprint Backlog'!$F101="", "", AND('ProductSprint Backlog'!$J101&gt;B$2,'ProductSprint Backlog'!$I101&lt;=B$2), 'ProductSprint Backlog'!$F101 / MAX(1, 'ProductSprint Backlog'!$J101-'ProductSprint Backlog'!$I101), AND('ProductSprint Backlog'!$J101=B$2,'ProductSprint Backlog'!$I101=B$2), 'ProductSprint Backlog'!$F101, TRUE, 0)</f>
        <v>0</v>
      </c>
      <c r="C101" s="4" cm="1">
        <f t="array" ref="C101">_xlfn.IFS('ProductSprint Backlog'!$F101="", "", AND('ProductSprint Backlog'!$J101&gt;C$2,'ProductSprint Backlog'!$I101&lt;=C$2), 'ProductSprint Backlog'!$F101 / MAX(1, 'ProductSprint Backlog'!$J101-'ProductSprint Backlog'!$I101), AND('ProductSprint Backlog'!$J101=C$2,'ProductSprint Backlog'!$I101=C$2), 'ProductSprint Backlog'!$F101, TRUE, 0)</f>
        <v>0</v>
      </c>
      <c r="D101" s="4" cm="1">
        <f t="array" ref="D101">_xlfn.IFS('ProductSprint Backlog'!$F101="", "", AND('ProductSprint Backlog'!$J101&gt;D$2,'ProductSprint Backlog'!$I101&lt;=D$2), 'ProductSprint Backlog'!$F101 / MAX(1, 'ProductSprint Backlog'!$J101-'ProductSprint Backlog'!$I101), AND('ProductSprint Backlog'!$J101=D$2,'ProductSprint Backlog'!$I101=D$2), 'ProductSprint Backlog'!$F101, TRUE, 0)</f>
        <v>0</v>
      </c>
      <c r="E101" s="4" cm="1">
        <f t="array" ref="E101">_xlfn.IFS('ProductSprint Backlog'!$F101="", "", AND('ProductSprint Backlog'!$J101&gt;E$2,'ProductSprint Backlog'!$I101&lt;=E$2), 'ProductSprint Backlog'!$F101 / MAX(1, 'ProductSprint Backlog'!$J101-'ProductSprint Backlog'!$I101), AND('ProductSprint Backlog'!$J101=E$2,'ProductSprint Backlog'!$I101=E$2), 'ProductSprint Backlog'!$F101, TRUE, 0)</f>
        <v>0</v>
      </c>
      <c r="F101" s="4" cm="1">
        <f t="array" ref="F101">_xlfn.IFS('ProductSprint Backlog'!$F101="", "", AND('ProductSprint Backlog'!$J101&gt;F$2,'ProductSprint Backlog'!$I101&lt;=F$2), 'ProductSprint Backlog'!$F101 / MAX(1, 'ProductSprint Backlog'!$J101-'ProductSprint Backlog'!$I101), AND('ProductSprint Backlog'!$J101=F$2,'ProductSprint Backlog'!$I101=F$2), 'ProductSprint Backlog'!$F101, TRUE, 0)</f>
        <v>0</v>
      </c>
      <c r="G101" s="4" cm="1">
        <f t="array" ref="G101">_xlfn.IFS('ProductSprint Backlog'!$F101="", "", AND('ProductSprint Backlog'!$J101&gt;G$2,'ProductSprint Backlog'!$I101&lt;=G$2), 'ProductSprint Backlog'!$F101 / MAX(1, 'ProductSprint Backlog'!$J101-'ProductSprint Backlog'!$I101), AND('ProductSprint Backlog'!$J101=G$2,'ProductSprint Backlog'!$I101=G$2), 'ProductSprint Backlog'!$F101, TRUE, 0)</f>
        <v>0</v>
      </c>
      <c r="H101" s="4" cm="1">
        <f t="array" ref="H101">_xlfn.IFS('ProductSprint Backlog'!$F101="", "", AND('ProductSprint Backlog'!$J101&gt;H$2,'ProductSprint Backlog'!$I101&lt;=H$2), 'ProductSprint Backlog'!$F101 / MAX(1, 'ProductSprint Backlog'!$J101-'ProductSprint Backlog'!$I101), AND('ProductSprint Backlog'!$J101=H$2,'ProductSprint Backlog'!$I101=H$2), 'ProductSprint Backlog'!$F101, TRUE, 0)</f>
        <v>0</v>
      </c>
      <c r="I101" s="4" cm="1">
        <f t="array" ref="I101">_xlfn.IFS('ProductSprint Backlog'!$F101="", "", AND('ProductSprint Backlog'!$J101&gt;I$2,'ProductSprint Backlog'!$I101&lt;=I$2), 'ProductSprint Backlog'!$F101 / MAX(1, 'ProductSprint Backlog'!$J101-'ProductSprint Backlog'!$I101), AND('ProductSprint Backlog'!$J101=I$2,'ProductSprint Backlog'!$I101=I$2), 'ProductSprint Backlog'!$F101, TRUE, 0)</f>
        <v>0</v>
      </c>
      <c r="J101" s="4" cm="1">
        <f t="array" ref="J101">_xlfn.IFS('ProductSprint Backlog'!$F101="", "", AND('ProductSprint Backlog'!$J101&gt;J$2,'ProductSprint Backlog'!$I101&lt;=J$2), 'ProductSprint Backlog'!$F101 / MAX(1, 'ProductSprint Backlog'!$J101-'ProductSprint Backlog'!$I101), AND('ProductSprint Backlog'!$J101=J$2,'ProductSprint Backlog'!$I101=J$2), 'ProductSprint Backlog'!$F101, TRUE, 0)</f>
        <v>0.33333333333333331</v>
      </c>
      <c r="K101" s="4" cm="1">
        <f t="array" ref="K101">_xlfn.IFS('ProductSprint Backlog'!$F101="", "", AND('ProductSprint Backlog'!$J101&gt;K$2,'ProductSprint Backlog'!$I101&lt;=K$2), 'ProductSprint Backlog'!$F101 / MAX(1, 'ProductSprint Backlog'!$J101-'ProductSprint Backlog'!$I101), AND('ProductSprint Backlog'!$J101=K$2,'ProductSprint Backlog'!$I101=K$2), 'ProductSprint Backlog'!$F101, TRUE, 0)</f>
        <v>0.33333333333333331</v>
      </c>
      <c r="L101" s="4" cm="1">
        <f t="array" ref="L101">_xlfn.IFS('ProductSprint Backlog'!$F101="", "", AND('ProductSprint Backlog'!$J101&gt;L$2,'ProductSprint Backlog'!$I101&lt;=L$2), 'ProductSprint Backlog'!$F101 / MAX(1, 'ProductSprint Backlog'!$J101-'ProductSprint Backlog'!$I101), AND('ProductSprint Backlog'!$J101=L$2,'ProductSprint Backlog'!$I101=L$2), 'ProductSprint Backlog'!$F101, TRUE, 0)</f>
        <v>0.33333333333333331</v>
      </c>
      <c r="M101" s="4" cm="1">
        <f t="array" ref="M101">_xlfn.IFS('ProductSprint Backlog'!$F101="", "", AND('ProductSprint Backlog'!$J101&gt;M$2,'ProductSprint Backlog'!$I101&lt;=M$2), 'ProductSprint Backlog'!$F101 / MAX(1, 'ProductSprint Backlog'!$J101-'ProductSprint Backlog'!$I101), AND('ProductSprint Backlog'!$J101=M$2,'ProductSprint Backlog'!$I101=M$2), 'ProductSprint Backlog'!$F101, TRUE, 0)</f>
        <v>0</v>
      </c>
      <c r="N101" s="4" cm="1">
        <f t="array" ref="N101">_xlfn.IFS('ProductSprint Backlog'!$F101="", "", AND('ProductSprint Backlog'!$J101&gt;N$2,'ProductSprint Backlog'!$I101&lt;=N$2), 'ProductSprint Backlog'!$F101 / MAX(1, 'ProductSprint Backlog'!$J101-'ProductSprint Backlog'!$I101), AND('ProductSprint Backlog'!$J101=N$2,'ProductSprint Backlog'!$I101=N$2), 'ProductSprint Backlog'!$F101, TRUE, 0)</f>
        <v>0</v>
      </c>
      <c r="O101" s="4" cm="1">
        <f t="array" ref="O101">_xlfn.IFS('ProductSprint Backlog'!$F101="", "", AND('ProductSprint Backlog'!$J101&gt;O$2,'ProductSprint Backlog'!$I101&lt;=O$2), 'ProductSprint Backlog'!$F101 / MAX(1, 'ProductSprint Backlog'!$J101-'ProductSprint Backlog'!$I101), AND('ProductSprint Backlog'!$J101=O$2,'ProductSprint Backlog'!$I101=O$2), 'ProductSprint Backlog'!$F101, TRUE, 0)</f>
        <v>0</v>
      </c>
      <c r="P101" s="4" cm="1">
        <f t="array" ref="P101">_xlfn.IFS('ProductSprint Backlog'!$F101="", "", AND('ProductSprint Backlog'!$J101&gt;P$2,'ProductSprint Backlog'!$I101&lt;=P$2), 'ProductSprint Backlog'!$F101 / MAX(1, 'ProductSprint Backlog'!$J101-'ProductSprint Backlog'!$I101), AND('ProductSprint Backlog'!$J101=P$2,'ProductSprint Backlog'!$I101=P$2), 'ProductSprint Backlog'!$F101, TRUE, 0)</f>
        <v>0</v>
      </c>
      <c r="Q101" s="4" cm="1">
        <f t="array" ref="Q101">_xlfn.IFS('ProductSprint Backlog'!$F101="", "", AND('ProductSprint Backlog'!$J101&gt;Q$2,'ProductSprint Backlog'!$I101&lt;=Q$2), 'ProductSprint Backlog'!$F101 / MAX(1, 'ProductSprint Backlog'!$J101-'ProductSprint Backlog'!$I101), AND('ProductSprint Backlog'!$J101=Q$2,'ProductSprint Backlog'!$I101=Q$2), 'ProductSprint Backlog'!$F101, TRUE, 0)</f>
        <v>0</v>
      </c>
      <c r="R101" s="4" cm="1">
        <f t="array" ref="R101">_xlfn.IFS('ProductSprint Backlog'!$F101="", "", AND('ProductSprint Backlog'!$J101&gt;R$2,'ProductSprint Backlog'!$I101&lt;=R$2), 'ProductSprint Backlog'!$F101 / MAX(1, 'ProductSprint Backlog'!$J101-'ProductSprint Backlog'!$I101), AND('ProductSprint Backlog'!$J101=R$2,'ProductSprint Backlog'!$I101=R$2), 'ProductSprint Backlog'!$F101, TRUE, 0)</f>
        <v>0</v>
      </c>
      <c r="S101" s="4" cm="1">
        <f t="array" ref="S101">_xlfn.IFS('ProductSprint Backlog'!$F101="", "", AND('ProductSprint Backlog'!$J101&gt;S$2,'ProductSprint Backlog'!$I101&lt;=S$2), 'ProductSprint Backlog'!$F101 / MAX(1, 'ProductSprint Backlog'!$J101-'ProductSprint Backlog'!$I101), AND('ProductSprint Backlog'!$J101=S$2,'ProductSprint Backlog'!$I101=S$2), 'ProductSprint Backlog'!$F101, TRUE, 0)</f>
        <v>0</v>
      </c>
      <c r="T101" s="4" cm="1">
        <f t="array" ref="T101">_xlfn.IFS('ProductSprint Backlog'!$F101="", "", AND('ProductSprint Backlog'!$J101&gt;T$2,'ProductSprint Backlog'!$I101&lt;=T$2), 'ProductSprint Backlog'!$F101 / MAX(1, 'ProductSprint Backlog'!$J101-'ProductSprint Backlog'!$I101), AND('ProductSprint Backlog'!$J101=T$2,'ProductSprint Backlog'!$I101=T$2), 'ProductSprint Backlog'!$F101, TRUE, 0)</f>
        <v>0</v>
      </c>
    </row>
    <row r="102" spans="2:20" x14ac:dyDescent="0.2">
      <c r="B102" s="4" cm="1">
        <f t="array" ref="B102">_xlfn.IFS('ProductSprint Backlog'!$F102="", "", AND('ProductSprint Backlog'!$J102&gt;B$2,'ProductSprint Backlog'!$I102&lt;=B$2), 'ProductSprint Backlog'!$F102 / MAX(1, 'ProductSprint Backlog'!$J102-'ProductSprint Backlog'!$I102), AND('ProductSprint Backlog'!$J102=B$2,'ProductSprint Backlog'!$I102=B$2), 'ProductSprint Backlog'!$F102, TRUE, 0)</f>
        <v>0</v>
      </c>
      <c r="C102" s="4" cm="1">
        <f t="array" ref="C102">_xlfn.IFS('ProductSprint Backlog'!$F102="", "", AND('ProductSprint Backlog'!$J102&gt;C$2,'ProductSprint Backlog'!$I102&lt;=C$2), 'ProductSprint Backlog'!$F102 / MAX(1, 'ProductSprint Backlog'!$J102-'ProductSprint Backlog'!$I102), AND('ProductSprint Backlog'!$J102=C$2,'ProductSprint Backlog'!$I102=C$2), 'ProductSprint Backlog'!$F102, TRUE, 0)</f>
        <v>0</v>
      </c>
      <c r="D102" s="4" cm="1">
        <f t="array" ref="D102">_xlfn.IFS('ProductSprint Backlog'!$F102="", "", AND('ProductSprint Backlog'!$J102&gt;D$2,'ProductSprint Backlog'!$I102&lt;=D$2), 'ProductSprint Backlog'!$F102 / MAX(1, 'ProductSprint Backlog'!$J102-'ProductSprint Backlog'!$I102), AND('ProductSprint Backlog'!$J102=D$2,'ProductSprint Backlog'!$I102=D$2), 'ProductSprint Backlog'!$F102, TRUE, 0)</f>
        <v>0</v>
      </c>
      <c r="E102" s="4" cm="1">
        <f t="array" ref="E102">_xlfn.IFS('ProductSprint Backlog'!$F102="", "", AND('ProductSprint Backlog'!$J102&gt;E$2,'ProductSprint Backlog'!$I102&lt;=E$2), 'ProductSprint Backlog'!$F102 / MAX(1, 'ProductSprint Backlog'!$J102-'ProductSprint Backlog'!$I102), AND('ProductSprint Backlog'!$J102=E$2,'ProductSprint Backlog'!$I102=E$2), 'ProductSprint Backlog'!$F102, TRUE, 0)</f>
        <v>0</v>
      </c>
      <c r="F102" s="4" cm="1">
        <f t="array" ref="F102">_xlfn.IFS('ProductSprint Backlog'!$F102="", "", AND('ProductSprint Backlog'!$J102&gt;F$2,'ProductSprint Backlog'!$I102&lt;=F$2), 'ProductSprint Backlog'!$F102 / MAX(1, 'ProductSprint Backlog'!$J102-'ProductSprint Backlog'!$I102), AND('ProductSprint Backlog'!$J102=F$2,'ProductSprint Backlog'!$I102=F$2), 'ProductSprint Backlog'!$F102, TRUE, 0)</f>
        <v>0</v>
      </c>
      <c r="G102" s="4" cm="1">
        <f t="array" ref="G102">_xlfn.IFS('ProductSprint Backlog'!$F102="", "", AND('ProductSprint Backlog'!$J102&gt;G$2,'ProductSprint Backlog'!$I102&lt;=G$2), 'ProductSprint Backlog'!$F102 / MAX(1, 'ProductSprint Backlog'!$J102-'ProductSprint Backlog'!$I102), AND('ProductSprint Backlog'!$J102=G$2,'ProductSprint Backlog'!$I102=G$2), 'ProductSprint Backlog'!$F102, TRUE, 0)</f>
        <v>0</v>
      </c>
      <c r="H102" s="4" cm="1">
        <f t="array" ref="H102">_xlfn.IFS('ProductSprint Backlog'!$F102="", "", AND('ProductSprint Backlog'!$J102&gt;H$2,'ProductSprint Backlog'!$I102&lt;=H$2), 'ProductSprint Backlog'!$F102 / MAX(1, 'ProductSprint Backlog'!$J102-'ProductSprint Backlog'!$I102), AND('ProductSprint Backlog'!$J102=H$2,'ProductSprint Backlog'!$I102=H$2), 'ProductSprint Backlog'!$F102, TRUE, 0)</f>
        <v>0</v>
      </c>
      <c r="I102" s="4" cm="1">
        <f t="array" ref="I102">_xlfn.IFS('ProductSprint Backlog'!$F102="", "", AND('ProductSprint Backlog'!$J102&gt;I$2,'ProductSprint Backlog'!$I102&lt;=I$2), 'ProductSprint Backlog'!$F102 / MAX(1, 'ProductSprint Backlog'!$J102-'ProductSprint Backlog'!$I102), AND('ProductSprint Backlog'!$J102=I$2,'ProductSprint Backlog'!$I102=I$2), 'ProductSprint Backlog'!$F102, TRUE, 0)</f>
        <v>0</v>
      </c>
      <c r="J102" s="4" cm="1">
        <f t="array" ref="J102">_xlfn.IFS('ProductSprint Backlog'!$F102="", "", AND('ProductSprint Backlog'!$J102&gt;J$2,'ProductSprint Backlog'!$I102&lt;=J$2), 'ProductSprint Backlog'!$F102 / MAX(1, 'ProductSprint Backlog'!$J102-'ProductSprint Backlog'!$I102), AND('ProductSprint Backlog'!$J102=J$2,'ProductSprint Backlog'!$I102=J$2), 'ProductSprint Backlog'!$F102, TRUE, 0)</f>
        <v>0</v>
      </c>
      <c r="K102" s="4" cm="1">
        <f t="array" ref="K102">_xlfn.IFS('ProductSprint Backlog'!$F102="", "", AND('ProductSprint Backlog'!$J102&gt;K$2,'ProductSprint Backlog'!$I102&lt;=K$2), 'ProductSprint Backlog'!$F102 / MAX(1, 'ProductSprint Backlog'!$J102-'ProductSprint Backlog'!$I102), AND('ProductSprint Backlog'!$J102=K$2,'ProductSprint Backlog'!$I102=K$2), 'ProductSprint Backlog'!$F102, TRUE, 0)</f>
        <v>0</v>
      </c>
      <c r="L102" s="4" cm="1">
        <f t="array" ref="L102">_xlfn.IFS('ProductSprint Backlog'!$F102="", "", AND('ProductSprint Backlog'!$J102&gt;L$2,'ProductSprint Backlog'!$I102&lt;=L$2), 'ProductSprint Backlog'!$F102 / MAX(1, 'ProductSprint Backlog'!$J102-'ProductSprint Backlog'!$I102), AND('ProductSprint Backlog'!$J102=L$2,'ProductSprint Backlog'!$I102=L$2), 'ProductSprint Backlog'!$F102, TRUE, 0)</f>
        <v>0</v>
      </c>
      <c r="M102" s="4" cm="1">
        <f t="array" ref="M102">_xlfn.IFS('ProductSprint Backlog'!$F102="", "", AND('ProductSprint Backlog'!$J102&gt;M$2,'ProductSprint Backlog'!$I102&lt;=M$2), 'ProductSprint Backlog'!$F102 / MAX(1, 'ProductSprint Backlog'!$J102-'ProductSprint Backlog'!$I102), AND('ProductSprint Backlog'!$J102=M$2,'ProductSprint Backlog'!$I102=M$2), 'ProductSprint Backlog'!$F102, TRUE, 0)</f>
        <v>0</v>
      </c>
      <c r="N102" s="4" cm="1">
        <f t="array" ref="N102">_xlfn.IFS('ProductSprint Backlog'!$F102="", "", AND('ProductSprint Backlog'!$J102&gt;N$2,'ProductSprint Backlog'!$I102&lt;=N$2), 'ProductSprint Backlog'!$F102 / MAX(1, 'ProductSprint Backlog'!$J102-'ProductSprint Backlog'!$I102), AND('ProductSprint Backlog'!$J102=N$2,'ProductSprint Backlog'!$I102=N$2), 'ProductSprint Backlog'!$F102, TRUE, 0)</f>
        <v>0.5</v>
      </c>
      <c r="O102" s="4" cm="1">
        <f t="array" ref="O102">_xlfn.IFS('ProductSprint Backlog'!$F102="", "", AND('ProductSprint Backlog'!$J102&gt;O$2,'ProductSprint Backlog'!$I102&lt;=O$2), 'ProductSprint Backlog'!$F102 / MAX(1, 'ProductSprint Backlog'!$J102-'ProductSprint Backlog'!$I102), AND('ProductSprint Backlog'!$J102=O$2,'ProductSprint Backlog'!$I102=O$2), 'ProductSprint Backlog'!$F102, TRUE, 0)</f>
        <v>0.5</v>
      </c>
      <c r="P102" s="4" cm="1">
        <f t="array" ref="P102">_xlfn.IFS('ProductSprint Backlog'!$F102="", "", AND('ProductSprint Backlog'!$J102&gt;P$2,'ProductSprint Backlog'!$I102&lt;=P$2), 'ProductSprint Backlog'!$F102 / MAX(1, 'ProductSprint Backlog'!$J102-'ProductSprint Backlog'!$I102), AND('ProductSprint Backlog'!$J102=P$2,'ProductSprint Backlog'!$I102=P$2), 'ProductSprint Backlog'!$F102, TRUE, 0)</f>
        <v>0</v>
      </c>
      <c r="Q102" s="4" cm="1">
        <f t="array" ref="Q102">_xlfn.IFS('ProductSprint Backlog'!$F102="", "", AND('ProductSprint Backlog'!$J102&gt;Q$2,'ProductSprint Backlog'!$I102&lt;=Q$2), 'ProductSprint Backlog'!$F102 / MAX(1, 'ProductSprint Backlog'!$J102-'ProductSprint Backlog'!$I102), AND('ProductSprint Backlog'!$J102=Q$2,'ProductSprint Backlog'!$I102=Q$2), 'ProductSprint Backlog'!$F102, TRUE, 0)</f>
        <v>0</v>
      </c>
      <c r="R102" s="4" cm="1">
        <f t="array" ref="R102">_xlfn.IFS('ProductSprint Backlog'!$F102="", "", AND('ProductSprint Backlog'!$J102&gt;R$2,'ProductSprint Backlog'!$I102&lt;=R$2), 'ProductSprint Backlog'!$F102 / MAX(1, 'ProductSprint Backlog'!$J102-'ProductSprint Backlog'!$I102), AND('ProductSprint Backlog'!$J102=R$2,'ProductSprint Backlog'!$I102=R$2), 'ProductSprint Backlog'!$F102, TRUE, 0)</f>
        <v>0</v>
      </c>
      <c r="S102" s="4" cm="1">
        <f t="array" ref="S102">_xlfn.IFS('ProductSprint Backlog'!$F102="", "", AND('ProductSprint Backlog'!$J102&gt;S$2,'ProductSprint Backlog'!$I102&lt;=S$2), 'ProductSprint Backlog'!$F102 / MAX(1, 'ProductSprint Backlog'!$J102-'ProductSprint Backlog'!$I102), AND('ProductSprint Backlog'!$J102=S$2,'ProductSprint Backlog'!$I102=S$2), 'ProductSprint Backlog'!$F102, TRUE, 0)</f>
        <v>0</v>
      </c>
      <c r="T102" s="4" cm="1">
        <f t="array" ref="T102">_xlfn.IFS('ProductSprint Backlog'!$F102="", "", AND('ProductSprint Backlog'!$J102&gt;T$2,'ProductSprint Backlog'!$I102&lt;=T$2), 'ProductSprint Backlog'!$F102 / MAX(1, 'ProductSprint Backlog'!$J102-'ProductSprint Backlog'!$I102), AND('ProductSprint Backlog'!$J102=T$2,'ProductSprint Backlog'!$I102=T$2), 'ProductSprint Backlog'!$F102, TRUE, 0)</f>
        <v>0</v>
      </c>
    </row>
    <row r="103" spans="2:20" x14ac:dyDescent="0.2">
      <c r="B103" s="4" cm="1">
        <f t="array" ref="B103">_xlfn.IFS('ProductSprint Backlog'!$F103="", "", AND('ProductSprint Backlog'!$J103&gt;B$2,'ProductSprint Backlog'!$I103&lt;=B$2), 'ProductSprint Backlog'!$F103 / MAX(1, 'ProductSprint Backlog'!$J103-'ProductSprint Backlog'!$I103), AND('ProductSprint Backlog'!$J103=B$2,'ProductSprint Backlog'!$I103=B$2), 'ProductSprint Backlog'!$F103, TRUE, 0)</f>
        <v>0</v>
      </c>
      <c r="C103" s="4" cm="1">
        <f t="array" ref="C103">_xlfn.IFS('ProductSprint Backlog'!$F103="", "", AND('ProductSprint Backlog'!$J103&gt;C$2,'ProductSprint Backlog'!$I103&lt;=C$2), 'ProductSprint Backlog'!$F103 / MAX(1, 'ProductSprint Backlog'!$J103-'ProductSprint Backlog'!$I103), AND('ProductSprint Backlog'!$J103=C$2,'ProductSprint Backlog'!$I103=C$2), 'ProductSprint Backlog'!$F103, TRUE, 0)</f>
        <v>0</v>
      </c>
      <c r="D103" s="4" cm="1">
        <f t="array" ref="D103">_xlfn.IFS('ProductSprint Backlog'!$F103="", "", AND('ProductSprint Backlog'!$J103&gt;D$2,'ProductSprint Backlog'!$I103&lt;=D$2), 'ProductSprint Backlog'!$F103 / MAX(1, 'ProductSprint Backlog'!$J103-'ProductSprint Backlog'!$I103), AND('ProductSprint Backlog'!$J103=D$2,'ProductSprint Backlog'!$I103=D$2), 'ProductSprint Backlog'!$F103, TRUE, 0)</f>
        <v>0</v>
      </c>
      <c r="E103" s="4" cm="1">
        <f t="array" ref="E103">_xlfn.IFS('ProductSprint Backlog'!$F103="", "", AND('ProductSprint Backlog'!$J103&gt;E$2,'ProductSprint Backlog'!$I103&lt;=E$2), 'ProductSprint Backlog'!$F103 / MAX(1, 'ProductSprint Backlog'!$J103-'ProductSprint Backlog'!$I103), AND('ProductSprint Backlog'!$J103=E$2,'ProductSprint Backlog'!$I103=E$2), 'ProductSprint Backlog'!$F103, TRUE, 0)</f>
        <v>0</v>
      </c>
      <c r="F103" s="4" cm="1">
        <f t="array" ref="F103">_xlfn.IFS('ProductSprint Backlog'!$F103="", "", AND('ProductSprint Backlog'!$J103&gt;F$2,'ProductSprint Backlog'!$I103&lt;=F$2), 'ProductSprint Backlog'!$F103 / MAX(1, 'ProductSprint Backlog'!$J103-'ProductSprint Backlog'!$I103), AND('ProductSprint Backlog'!$J103=F$2,'ProductSprint Backlog'!$I103=F$2), 'ProductSprint Backlog'!$F103, TRUE, 0)</f>
        <v>0</v>
      </c>
      <c r="G103" s="4" cm="1">
        <f t="array" ref="G103">_xlfn.IFS('ProductSprint Backlog'!$F103="", "", AND('ProductSprint Backlog'!$J103&gt;G$2,'ProductSprint Backlog'!$I103&lt;=G$2), 'ProductSprint Backlog'!$F103 / MAX(1, 'ProductSprint Backlog'!$J103-'ProductSprint Backlog'!$I103), AND('ProductSprint Backlog'!$J103=G$2,'ProductSprint Backlog'!$I103=G$2), 'ProductSprint Backlog'!$F103, TRUE, 0)</f>
        <v>0</v>
      </c>
      <c r="H103" s="4" cm="1">
        <f t="array" ref="H103">_xlfn.IFS('ProductSprint Backlog'!$F103="", "", AND('ProductSprint Backlog'!$J103&gt;H$2,'ProductSprint Backlog'!$I103&lt;=H$2), 'ProductSprint Backlog'!$F103 / MAX(1, 'ProductSprint Backlog'!$J103-'ProductSprint Backlog'!$I103), AND('ProductSprint Backlog'!$J103=H$2,'ProductSprint Backlog'!$I103=H$2), 'ProductSprint Backlog'!$F103, TRUE, 0)</f>
        <v>0</v>
      </c>
      <c r="I103" s="4" cm="1">
        <f t="array" ref="I103">_xlfn.IFS('ProductSprint Backlog'!$F103="", "", AND('ProductSprint Backlog'!$J103&gt;I$2,'ProductSprint Backlog'!$I103&lt;=I$2), 'ProductSprint Backlog'!$F103 / MAX(1, 'ProductSprint Backlog'!$J103-'ProductSprint Backlog'!$I103), AND('ProductSprint Backlog'!$J103=I$2,'ProductSprint Backlog'!$I103=I$2), 'ProductSprint Backlog'!$F103, TRUE, 0)</f>
        <v>0</v>
      </c>
      <c r="J103" s="4" cm="1">
        <f t="array" ref="J103">_xlfn.IFS('ProductSprint Backlog'!$F103="", "", AND('ProductSprint Backlog'!$J103&gt;J$2,'ProductSprint Backlog'!$I103&lt;=J$2), 'ProductSprint Backlog'!$F103 / MAX(1, 'ProductSprint Backlog'!$J103-'ProductSprint Backlog'!$I103), AND('ProductSprint Backlog'!$J103=J$2,'ProductSprint Backlog'!$I103=J$2), 'ProductSprint Backlog'!$F103, TRUE, 0)</f>
        <v>0</v>
      </c>
      <c r="K103" s="4" cm="1">
        <f t="array" ref="K103">_xlfn.IFS('ProductSprint Backlog'!$F103="", "", AND('ProductSprint Backlog'!$J103&gt;K$2,'ProductSprint Backlog'!$I103&lt;=K$2), 'ProductSprint Backlog'!$F103 / MAX(1, 'ProductSprint Backlog'!$J103-'ProductSprint Backlog'!$I103), AND('ProductSprint Backlog'!$J103=K$2,'ProductSprint Backlog'!$I103=K$2), 'ProductSprint Backlog'!$F103, TRUE, 0)</f>
        <v>0</v>
      </c>
      <c r="L103" s="4" cm="1">
        <f t="array" ref="L103">_xlfn.IFS('ProductSprint Backlog'!$F103="", "", AND('ProductSprint Backlog'!$J103&gt;L$2,'ProductSprint Backlog'!$I103&lt;=L$2), 'ProductSprint Backlog'!$F103 / MAX(1, 'ProductSprint Backlog'!$J103-'ProductSprint Backlog'!$I103), AND('ProductSprint Backlog'!$J103=L$2,'ProductSprint Backlog'!$I103=L$2), 'ProductSprint Backlog'!$F103, TRUE, 0)</f>
        <v>0</v>
      </c>
      <c r="M103" s="4" cm="1">
        <f t="array" ref="M103">_xlfn.IFS('ProductSprint Backlog'!$F103="", "", AND('ProductSprint Backlog'!$J103&gt;M$2,'ProductSprint Backlog'!$I103&lt;=M$2), 'ProductSprint Backlog'!$F103 / MAX(1, 'ProductSprint Backlog'!$J103-'ProductSprint Backlog'!$I103), AND('ProductSprint Backlog'!$J103=M$2,'ProductSprint Backlog'!$I103=M$2), 'ProductSprint Backlog'!$F103, TRUE, 0)</f>
        <v>0</v>
      </c>
      <c r="N103" s="4" cm="1">
        <f t="array" ref="N103">_xlfn.IFS('ProductSprint Backlog'!$F103="", "", AND('ProductSprint Backlog'!$J103&gt;N$2,'ProductSprint Backlog'!$I103&lt;=N$2), 'ProductSprint Backlog'!$F103 / MAX(1, 'ProductSprint Backlog'!$J103-'ProductSprint Backlog'!$I103), AND('ProductSprint Backlog'!$J103=N$2,'ProductSprint Backlog'!$I103=N$2), 'ProductSprint Backlog'!$F103, TRUE, 0)</f>
        <v>0.5</v>
      </c>
      <c r="O103" s="4" cm="1">
        <f t="array" ref="O103">_xlfn.IFS('ProductSprint Backlog'!$F103="", "", AND('ProductSprint Backlog'!$J103&gt;O$2,'ProductSprint Backlog'!$I103&lt;=O$2), 'ProductSprint Backlog'!$F103 / MAX(1, 'ProductSprint Backlog'!$J103-'ProductSprint Backlog'!$I103), AND('ProductSprint Backlog'!$J103=O$2,'ProductSprint Backlog'!$I103=O$2), 'ProductSprint Backlog'!$F103, TRUE, 0)</f>
        <v>0.5</v>
      </c>
      <c r="P103" s="4" cm="1">
        <f t="array" ref="P103">_xlfn.IFS('ProductSprint Backlog'!$F103="", "", AND('ProductSprint Backlog'!$J103&gt;P$2,'ProductSprint Backlog'!$I103&lt;=P$2), 'ProductSprint Backlog'!$F103 / MAX(1, 'ProductSprint Backlog'!$J103-'ProductSprint Backlog'!$I103), AND('ProductSprint Backlog'!$J103=P$2,'ProductSprint Backlog'!$I103=P$2), 'ProductSprint Backlog'!$F103, TRUE, 0)</f>
        <v>0</v>
      </c>
      <c r="Q103" s="4" cm="1">
        <f t="array" ref="Q103">_xlfn.IFS('ProductSprint Backlog'!$F103="", "", AND('ProductSprint Backlog'!$J103&gt;Q$2,'ProductSprint Backlog'!$I103&lt;=Q$2), 'ProductSprint Backlog'!$F103 / MAX(1, 'ProductSprint Backlog'!$J103-'ProductSprint Backlog'!$I103), AND('ProductSprint Backlog'!$J103=Q$2,'ProductSprint Backlog'!$I103=Q$2), 'ProductSprint Backlog'!$F103, TRUE, 0)</f>
        <v>0</v>
      </c>
      <c r="R103" s="4" cm="1">
        <f t="array" ref="R103">_xlfn.IFS('ProductSprint Backlog'!$F103="", "", AND('ProductSprint Backlog'!$J103&gt;R$2,'ProductSprint Backlog'!$I103&lt;=R$2), 'ProductSprint Backlog'!$F103 / MAX(1, 'ProductSprint Backlog'!$J103-'ProductSprint Backlog'!$I103), AND('ProductSprint Backlog'!$J103=R$2,'ProductSprint Backlog'!$I103=R$2), 'ProductSprint Backlog'!$F103, TRUE, 0)</f>
        <v>0</v>
      </c>
      <c r="S103" s="4" cm="1">
        <f t="array" ref="S103">_xlfn.IFS('ProductSprint Backlog'!$F103="", "", AND('ProductSprint Backlog'!$J103&gt;S$2,'ProductSprint Backlog'!$I103&lt;=S$2), 'ProductSprint Backlog'!$F103 / MAX(1, 'ProductSprint Backlog'!$J103-'ProductSprint Backlog'!$I103), AND('ProductSprint Backlog'!$J103=S$2,'ProductSprint Backlog'!$I103=S$2), 'ProductSprint Backlog'!$F103, TRUE, 0)</f>
        <v>0</v>
      </c>
      <c r="T103" s="4" cm="1">
        <f t="array" ref="T103">_xlfn.IFS('ProductSprint Backlog'!$F103="", "", AND('ProductSprint Backlog'!$J103&gt;T$2,'ProductSprint Backlog'!$I103&lt;=T$2), 'ProductSprint Backlog'!$F103 / MAX(1, 'ProductSprint Backlog'!$J103-'ProductSprint Backlog'!$I103), AND('ProductSprint Backlog'!$J103=T$2,'ProductSprint Backlog'!$I103=T$2), 'ProductSprint Backlog'!$F103, TRUE, 0)</f>
        <v>0</v>
      </c>
    </row>
    <row r="104" spans="2:20" x14ac:dyDescent="0.2">
      <c r="B104" s="4" cm="1">
        <f t="array" ref="B104">_xlfn.IFS('ProductSprint Backlog'!$F104="", "", AND('ProductSprint Backlog'!$J104&gt;B$2,'ProductSprint Backlog'!$I104&lt;=B$2), 'ProductSprint Backlog'!$F104 / MAX(1, 'ProductSprint Backlog'!$J104-'ProductSprint Backlog'!$I104), AND('ProductSprint Backlog'!$J104=B$2,'ProductSprint Backlog'!$I104=B$2), 'ProductSprint Backlog'!$F104, TRUE, 0)</f>
        <v>0</v>
      </c>
      <c r="C104" s="4" cm="1">
        <f t="array" ref="C104">_xlfn.IFS('ProductSprint Backlog'!$F104="", "", AND('ProductSprint Backlog'!$J104&gt;C$2,'ProductSprint Backlog'!$I104&lt;=C$2), 'ProductSprint Backlog'!$F104 / MAX(1, 'ProductSprint Backlog'!$J104-'ProductSprint Backlog'!$I104), AND('ProductSprint Backlog'!$J104=C$2,'ProductSprint Backlog'!$I104=C$2), 'ProductSprint Backlog'!$F104, TRUE, 0)</f>
        <v>0</v>
      </c>
      <c r="D104" s="4" cm="1">
        <f t="array" ref="D104">_xlfn.IFS('ProductSprint Backlog'!$F104="", "", AND('ProductSprint Backlog'!$J104&gt;D$2,'ProductSprint Backlog'!$I104&lt;=D$2), 'ProductSprint Backlog'!$F104 / MAX(1, 'ProductSprint Backlog'!$J104-'ProductSprint Backlog'!$I104), AND('ProductSprint Backlog'!$J104=D$2,'ProductSprint Backlog'!$I104=D$2), 'ProductSprint Backlog'!$F104, TRUE, 0)</f>
        <v>0</v>
      </c>
      <c r="E104" s="4" cm="1">
        <f t="array" ref="E104">_xlfn.IFS('ProductSprint Backlog'!$F104="", "", AND('ProductSprint Backlog'!$J104&gt;E$2,'ProductSprint Backlog'!$I104&lt;=E$2), 'ProductSprint Backlog'!$F104 / MAX(1, 'ProductSprint Backlog'!$J104-'ProductSprint Backlog'!$I104), AND('ProductSprint Backlog'!$J104=E$2,'ProductSprint Backlog'!$I104=E$2), 'ProductSprint Backlog'!$F104, TRUE, 0)</f>
        <v>0</v>
      </c>
      <c r="F104" s="4" cm="1">
        <f t="array" ref="F104">_xlfn.IFS('ProductSprint Backlog'!$F104="", "", AND('ProductSprint Backlog'!$J104&gt;F$2,'ProductSprint Backlog'!$I104&lt;=F$2), 'ProductSprint Backlog'!$F104 / MAX(1, 'ProductSprint Backlog'!$J104-'ProductSprint Backlog'!$I104), AND('ProductSprint Backlog'!$J104=F$2,'ProductSprint Backlog'!$I104=F$2), 'ProductSprint Backlog'!$F104, TRUE, 0)</f>
        <v>0</v>
      </c>
      <c r="G104" s="4" cm="1">
        <f t="array" ref="G104">_xlfn.IFS('ProductSprint Backlog'!$F104="", "", AND('ProductSprint Backlog'!$J104&gt;G$2,'ProductSprint Backlog'!$I104&lt;=G$2), 'ProductSprint Backlog'!$F104 / MAX(1, 'ProductSprint Backlog'!$J104-'ProductSprint Backlog'!$I104), AND('ProductSprint Backlog'!$J104=G$2,'ProductSprint Backlog'!$I104=G$2), 'ProductSprint Backlog'!$F104, TRUE, 0)</f>
        <v>0</v>
      </c>
      <c r="H104" s="4" cm="1">
        <f t="array" ref="H104">_xlfn.IFS('ProductSprint Backlog'!$F104="", "", AND('ProductSprint Backlog'!$J104&gt;H$2,'ProductSprint Backlog'!$I104&lt;=H$2), 'ProductSprint Backlog'!$F104 / MAX(1, 'ProductSprint Backlog'!$J104-'ProductSprint Backlog'!$I104), AND('ProductSprint Backlog'!$J104=H$2,'ProductSprint Backlog'!$I104=H$2), 'ProductSprint Backlog'!$F104, TRUE, 0)</f>
        <v>0</v>
      </c>
      <c r="I104" s="4" cm="1">
        <f t="array" ref="I104">_xlfn.IFS('ProductSprint Backlog'!$F104="", "", AND('ProductSprint Backlog'!$J104&gt;I$2,'ProductSprint Backlog'!$I104&lt;=I$2), 'ProductSprint Backlog'!$F104 / MAX(1, 'ProductSprint Backlog'!$J104-'ProductSprint Backlog'!$I104), AND('ProductSprint Backlog'!$J104=I$2,'ProductSprint Backlog'!$I104=I$2), 'ProductSprint Backlog'!$F104, TRUE, 0)</f>
        <v>0</v>
      </c>
      <c r="J104" s="4" cm="1">
        <f t="array" ref="J104">_xlfn.IFS('ProductSprint Backlog'!$F104="", "", AND('ProductSprint Backlog'!$J104&gt;J$2,'ProductSprint Backlog'!$I104&lt;=J$2), 'ProductSprint Backlog'!$F104 / MAX(1, 'ProductSprint Backlog'!$J104-'ProductSprint Backlog'!$I104), AND('ProductSprint Backlog'!$J104=J$2,'ProductSprint Backlog'!$I104=J$2), 'ProductSprint Backlog'!$F104, TRUE, 0)</f>
        <v>0</v>
      </c>
      <c r="K104" s="4" cm="1">
        <f t="array" ref="K104">_xlfn.IFS('ProductSprint Backlog'!$F104="", "", AND('ProductSprint Backlog'!$J104&gt;K$2,'ProductSprint Backlog'!$I104&lt;=K$2), 'ProductSprint Backlog'!$F104 / MAX(1, 'ProductSprint Backlog'!$J104-'ProductSprint Backlog'!$I104), AND('ProductSprint Backlog'!$J104=K$2,'ProductSprint Backlog'!$I104=K$2), 'ProductSprint Backlog'!$F104, TRUE, 0)</f>
        <v>0</v>
      </c>
      <c r="L104" s="4" cm="1">
        <f t="array" ref="L104">_xlfn.IFS('ProductSprint Backlog'!$F104="", "", AND('ProductSprint Backlog'!$J104&gt;L$2,'ProductSprint Backlog'!$I104&lt;=L$2), 'ProductSprint Backlog'!$F104 / MAX(1, 'ProductSprint Backlog'!$J104-'ProductSprint Backlog'!$I104), AND('ProductSprint Backlog'!$J104=L$2,'ProductSprint Backlog'!$I104=L$2), 'ProductSprint Backlog'!$F104, TRUE, 0)</f>
        <v>0</v>
      </c>
      <c r="M104" s="4" cm="1">
        <f t="array" ref="M104">_xlfn.IFS('ProductSprint Backlog'!$F104="", "", AND('ProductSprint Backlog'!$J104&gt;M$2,'ProductSprint Backlog'!$I104&lt;=M$2), 'ProductSprint Backlog'!$F104 / MAX(1, 'ProductSprint Backlog'!$J104-'ProductSprint Backlog'!$I104), AND('ProductSprint Backlog'!$J104=M$2,'ProductSprint Backlog'!$I104=M$2), 'ProductSprint Backlog'!$F104, TRUE, 0)</f>
        <v>0</v>
      </c>
      <c r="N104" s="4" cm="1">
        <f t="array" ref="N104">_xlfn.IFS('ProductSprint Backlog'!$F104="", "", AND('ProductSprint Backlog'!$J104&gt;N$2,'ProductSprint Backlog'!$I104&lt;=N$2), 'ProductSprint Backlog'!$F104 / MAX(1, 'ProductSprint Backlog'!$J104-'ProductSprint Backlog'!$I104), AND('ProductSprint Backlog'!$J104=N$2,'ProductSprint Backlog'!$I104=N$2), 'ProductSprint Backlog'!$F104, TRUE, 0)</f>
        <v>0.5</v>
      </c>
      <c r="O104" s="4" cm="1">
        <f t="array" ref="O104">_xlfn.IFS('ProductSprint Backlog'!$F104="", "", AND('ProductSprint Backlog'!$J104&gt;O$2,'ProductSprint Backlog'!$I104&lt;=O$2), 'ProductSprint Backlog'!$F104 / MAX(1, 'ProductSprint Backlog'!$J104-'ProductSprint Backlog'!$I104), AND('ProductSprint Backlog'!$J104=O$2,'ProductSprint Backlog'!$I104=O$2), 'ProductSprint Backlog'!$F104, TRUE, 0)</f>
        <v>0.5</v>
      </c>
      <c r="P104" s="4" cm="1">
        <f t="array" ref="P104">_xlfn.IFS('ProductSprint Backlog'!$F104="", "", AND('ProductSprint Backlog'!$J104&gt;P$2,'ProductSprint Backlog'!$I104&lt;=P$2), 'ProductSprint Backlog'!$F104 / MAX(1, 'ProductSprint Backlog'!$J104-'ProductSprint Backlog'!$I104), AND('ProductSprint Backlog'!$J104=P$2,'ProductSprint Backlog'!$I104=P$2), 'ProductSprint Backlog'!$F104, TRUE, 0)</f>
        <v>0</v>
      </c>
      <c r="Q104" s="4" cm="1">
        <f t="array" ref="Q104">_xlfn.IFS('ProductSprint Backlog'!$F104="", "", AND('ProductSprint Backlog'!$J104&gt;Q$2,'ProductSprint Backlog'!$I104&lt;=Q$2), 'ProductSprint Backlog'!$F104 / MAX(1, 'ProductSprint Backlog'!$J104-'ProductSprint Backlog'!$I104), AND('ProductSprint Backlog'!$J104=Q$2,'ProductSprint Backlog'!$I104=Q$2), 'ProductSprint Backlog'!$F104, TRUE, 0)</f>
        <v>0</v>
      </c>
      <c r="R104" s="4" cm="1">
        <f t="array" ref="R104">_xlfn.IFS('ProductSprint Backlog'!$F104="", "", AND('ProductSprint Backlog'!$J104&gt;R$2,'ProductSprint Backlog'!$I104&lt;=R$2), 'ProductSprint Backlog'!$F104 / MAX(1, 'ProductSprint Backlog'!$J104-'ProductSprint Backlog'!$I104), AND('ProductSprint Backlog'!$J104=R$2,'ProductSprint Backlog'!$I104=R$2), 'ProductSprint Backlog'!$F104, TRUE, 0)</f>
        <v>0</v>
      </c>
      <c r="S104" s="4" cm="1">
        <f t="array" ref="S104">_xlfn.IFS('ProductSprint Backlog'!$F104="", "", AND('ProductSprint Backlog'!$J104&gt;S$2,'ProductSprint Backlog'!$I104&lt;=S$2), 'ProductSprint Backlog'!$F104 / MAX(1, 'ProductSprint Backlog'!$J104-'ProductSprint Backlog'!$I104), AND('ProductSprint Backlog'!$J104=S$2,'ProductSprint Backlog'!$I104=S$2), 'ProductSprint Backlog'!$F104, TRUE, 0)</f>
        <v>0</v>
      </c>
      <c r="T104" s="4" cm="1">
        <f t="array" ref="T104">_xlfn.IFS('ProductSprint Backlog'!$F104="", "", AND('ProductSprint Backlog'!$J104&gt;T$2,'ProductSprint Backlog'!$I104&lt;=T$2), 'ProductSprint Backlog'!$F104 / MAX(1, 'ProductSprint Backlog'!$J104-'ProductSprint Backlog'!$I104), AND('ProductSprint Backlog'!$J104=T$2,'ProductSprint Backlog'!$I104=T$2), 'ProductSprint Backlog'!$F104, TRUE, 0)</f>
        <v>0</v>
      </c>
    </row>
    <row r="105" spans="2:20" x14ac:dyDescent="0.2">
      <c r="B105" s="4" cm="1">
        <f t="array" ref="B105">_xlfn.IFS('ProductSprint Backlog'!$F105="", "", AND('ProductSprint Backlog'!$J105&gt;B$2,'ProductSprint Backlog'!$I105&lt;=B$2), 'ProductSprint Backlog'!$F105 / MAX(1, 'ProductSprint Backlog'!$J105-'ProductSprint Backlog'!$I105), AND('ProductSprint Backlog'!$J105=B$2,'ProductSprint Backlog'!$I105=B$2), 'ProductSprint Backlog'!$F105, TRUE, 0)</f>
        <v>0</v>
      </c>
      <c r="C105" s="4" cm="1">
        <f t="array" ref="C105">_xlfn.IFS('ProductSprint Backlog'!$F105="", "", AND('ProductSprint Backlog'!$J105&gt;C$2,'ProductSprint Backlog'!$I105&lt;=C$2), 'ProductSprint Backlog'!$F105 / MAX(1, 'ProductSprint Backlog'!$J105-'ProductSprint Backlog'!$I105), AND('ProductSprint Backlog'!$J105=C$2,'ProductSprint Backlog'!$I105=C$2), 'ProductSprint Backlog'!$F105, TRUE, 0)</f>
        <v>0</v>
      </c>
      <c r="D105" s="4" cm="1">
        <f t="array" ref="D105">_xlfn.IFS('ProductSprint Backlog'!$F105="", "", AND('ProductSprint Backlog'!$J105&gt;D$2,'ProductSprint Backlog'!$I105&lt;=D$2), 'ProductSprint Backlog'!$F105 / MAX(1, 'ProductSprint Backlog'!$J105-'ProductSprint Backlog'!$I105), AND('ProductSprint Backlog'!$J105=D$2,'ProductSprint Backlog'!$I105=D$2), 'ProductSprint Backlog'!$F105, TRUE, 0)</f>
        <v>0</v>
      </c>
      <c r="E105" s="4" cm="1">
        <f t="array" ref="E105">_xlfn.IFS('ProductSprint Backlog'!$F105="", "", AND('ProductSprint Backlog'!$J105&gt;E$2,'ProductSprint Backlog'!$I105&lt;=E$2), 'ProductSprint Backlog'!$F105 / MAX(1, 'ProductSprint Backlog'!$J105-'ProductSprint Backlog'!$I105), AND('ProductSprint Backlog'!$J105=E$2,'ProductSprint Backlog'!$I105=E$2), 'ProductSprint Backlog'!$F105, TRUE, 0)</f>
        <v>0</v>
      </c>
      <c r="F105" s="4" cm="1">
        <f t="array" ref="F105">_xlfn.IFS('ProductSprint Backlog'!$F105="", "", AND('ProductSprint Backlog'!$J105&gt;F$2,'ProductSprint Backlog'!$I105&lt;=F$2), 'ProductSprint Backlog'!$F105 / MAX(1, 'ProductSprint Backlog'!$J105-'ProductSprint Backlog'!$I105), AND('ProductSprint Backlog'!$J105=F$2,'ProductSprint Backlog'!$I105=F$2), 'ProductSprint Backlog'!$F105, TRUE, 0)</f>
        <v>0</v>
      </c>
      <c r="G105" s="4" cm="1">
        <f t="array" ref="G105">_xlfn.IFS('ProductSprint Backlog'!$F105="", "", AND('ProductSprint Backlog'!$J105&gt;G$2,'ProductSprint Backlog'!$I105&lt;=G$2), 'ProductSprint Backlog'!$F105 / MAX(1, 'ProductSprint Backlog'!$J105-'ProductSprint Backlog'!$I105), AND('ProductSprint Backlog'!$J105=G$2,'ProductSprint Backlog'!$I105=G$2), 'ProductSprint Backlog'!$F105, TRUE, 0)</f>
        <v>0</v>
      </c>
      <c r="H105" s="4" cm="1">
        <f t="array" ref="H105">_xlfn.IFS('ProductSprint Backlog'!$F105="", "", AND('ProductSprint Backlog'!$J105&gt;H$2,'ProductSprint Backlog'!$I105&lt;=H$2), 'ProductSprint Backlog'!$F105 / MAX(1, 'ProductSprint Backlog'!$J105-'ProductSprint Backlog'!$I105), AND('ProductSprint Backlog'!$J105=H$2,'ProductSprint Backlog'!$I105=H$2), 'ProductSprint Backlog'!$F105, TRUE, 0)</f>
        <v>0</v>
      </c>
      <c r="I105" s="4" cm="1">
        <f t="array" ref="I105">_xlfn.IFS('ProductSprint Backlog'!$F105="", "", AND('ProductSprint Backlog'!$J105&gt;I$2,'ProductSprint Backlog'!$I105&lt;=I$2), 'ProductSprint Backlog'!$F105 / MAX(1, 'ProductSprint Backlog'!$J105-'ProductSprint Backlog'!$I105), AND('ProductSprint Backlog'!$J105=I$2,'ProductSprint Backlog'!$I105=I$2), 'ProductSprint Backlog'!$F105, TRUE, 0)</f>
        <v>0</v>
      </c>
      <c r="J105" s="4" cm="1">
        <f t="array" ref="J105">_xlfn.IFS('ProductSprint Backlog'!$F105="", "", AND('ProductSprint Backlog'!$J105&gt;J$2,'ProductSprint Backlog'!$I105&lt;=J$2), 'ProductSprint Backlog'!$F105 / MAX(1, 'ProductSprint Backlog'!$J105-'ProductSprint Backlog'!$I105), AND('ProductSprint Backlog'!$J105=J$2,'ProductSprint Backlog'!$I105=J$2), 'ProductSprint Backlog'!$F105, TRUE, 0)</f>
        <v>0</v>
      </c>
      <c r="K105" s="4" cm="1">
        <f t="array" ref="K105">_xlfn.IFS('ProductSprint Backlog'!$F105="", "", AND('ProductSprint Backlog'!$J105&gt;K$2,'ProductSprint Backlog'!$I105&lt;=K$2), 'ProductSprint Backlog'!$F105 / MAX(1, 'ProductSprint Backlog'!$J105-'ProductSprint Backlog'!$I105), AND('ProductSprint Backlog'!$J105=K$2,'ProductSprint Backlog'!$I105=K$2), 'ProductSprint Backlog'!$F105, TRUE, 0)</f>
        <v>0</v>
      </c>
      <c r="L105" s="4" cm="1">
        <f t="array" ref="L105">_xlfn.IFS('ProductSprint Backlog'!$F105="", "", AND('ProductSprint Backlog'!$J105&gt;L$2,'ProductSprint Backlog'!$I105&lt;=L$2), 'ProductSprint Backlog'!$F105 / MAX(1, 'ProductSprint Backlog'!$J105-'ProductSprint Backlog'!$I105), AND('ProductSprint Backlog'!$J105=L$2,'ProductSprint Backlog'!$I105=L$2), 'ProductSprint Backlog'!$F105, TRUE, 0)</f>
        <v>0</v>
      </c>
      <c r="M105" s="4" cm="1">
        <f t="array" ref="M105">_xlfn.IFS('ProductSprint Backlog'!$F105="", "", AND('ProductSprint Backlog'!$J105&gt;M$2,'ProductSprint Backlog'!$I105&lt;=M$2), 'ProductSprint Backlog'!$F105 / MAX(1, 'ProductSprint Backlog'!$J105-'ProductSprint Backlog'!$I105), AND('ProductSprint Backlog'!$J105=M$2,'ProductSprint Backlog'!$I105=M$2), 'ProductSprint Backlog'!$F105, TRUE, 0)</f>
        <v>0</v>
      </c>
      <c r="N105" s="4" cm="1">
        <f t="array" ref="N105">_xlfn.IFS('ProductSprint Backlog'!$F105="", "", AND('ProductSprint Backlog'!$J105&gt;N$2,'ProductSprint Backlog'!$I105&lt;=N$2), 'ProductSprint Backlog'!$F105 / MAX(1, 'ProductSprint Backlog'!$J105-'ProductSprint Backlog'!$I105), AND('ProductSprint Backlog'!$J105=N$2,'ProductSprint Backlog'!$I105=N$2), 'ProductSprint Backlog'!$F105, TRUE, 0)</f>
        <v>0.5</v>
      </c>
      <c r="O105" s="4" cm="1">
        <f t="array" ref="O105">_xlfn.IFS('ProductSprint Backlog'!$F105="", "", AND('ProductSprint Backlog'!$J105&gt;O$2,'ProductSprint Backlog'!$I105&lt;=O$2), 'ProductSprint Backlog'!$F105 / MAX(1, 'ProductSprint Backlog'!$J105-'ProductSprint Backlog'!$I105), AND('ProductSprint Backlog'!$J105=O$2,'ProductSprint Backlog'!$I105=O$2), 'ProductSprint Backlog'!$F105, TRUE, 0)</f>
        <v>0.5</v>
      </c>
      <c r="P105" s="4" cm="1">
        <f t="array" ref="P105">_xlfn.IFS('ProductSprint Backlog'!$F105="", "", AND('ProductSprint Backlog'!$J105&gt;P$2,'ProductSprint Backlog'!$I105&lt;=P$2), 'ProductSprint Backlog'!$F105 / MAX(1, 'ProductSprint Backlog'!$J105-'ProductSprint Backlog'!$I105), AND('ProductSprint Backlog'!$J105=P$2,'ProductSprint Backlog'!$I105=P$2), 'ProductSprint Backlog'!$F105, TRUE, 0)</f>
        <v>0</v>
      </c>
      <c r="Q105" s="4" cm="1">
        <f t="array" ref="Q105">_xlfn.IFS('ProductSprint Backlog'!$F105="", "", AND('ProductSprint Backlog'!$J105&gt;Q$2,'ProductSprint Backlog'!$I105&lt;=Q$2), 'ProductSprint Backlog'!$F105 / MAX(1, 'ProductSprint Backlog'!$J105-'ProductSprint Backlog'!$I105), AND('ProductSprint Backlog'!$J105=Q$2,'ProductSprint Backlog'!$I105=Q$2), 'ProductSprint Backlog'!$F105, TRUE, 0)</f>
        <v>0</v>
      </c>
      <c r="R105" s="4" cm="1">
        <f t="array" ref="R105">_xlfn.IFS('ProductSprint Backlog'!$F105="", "", AND('ProductSprint Backlog'!$J105&gt;R$2,'ProductSprint Backlog'!$I105&lt;=R$2), 'ProductSprint Backlog'!$F105 / MAX(1, 'ProductSprint Backlog'!$J105-'ProductSprint Backlog'!$I105), AND('ProductSprint Backlog'!$J105=R$2,'ProductSprint Backlog'!$I105=R$2), 'ProductSprint Backlog'!$F105, TRUE, 0)</f>
        <v>0</v>
      </c>
      <c r="S105" s="4" cm="1">
        <f t="array" ref="S105">_xlfn.IFS('ProductSprint Backlog'!$F105="", "", AND('ProductSprint Backlog'!$J105&gt;S$2,'ProductSprint Backlog'!$I105&lt;=S$2), 'ProductSprint Backlog'!$F105 / MAX(1, 'ProductSprint Backlog'!$J105-'ProductSprint Backlog'!$I105), AND('ProductSprint Backlog'!$J105=S$2,'ProductSprint Backlog'!$I105=S$2), 'ProductSprint Backlog'!$F105, TRUE, 0)</f>
        <v>0</v>
      </c>
      <c r="T105" s="4" cm="1">
        <f t="array" ref="T105">_xlfn.IFS('ProductSprint Backlog'!$F105="", "", AND('ProductSprint Backlog'!$J105&gt;T$2,'ProductSprint Backlog'!$I105&lt;=T$2), 'ProductSprint Backlog'!$F105 / MAX(1, 'ProductSprint Backlog'!$J105-'ProductSprint Backlog'!$I105), AND('ProductSprint Backlog'!$J105=T$2,'ProductSprint Backlog'!$I105=T$2), 'ProductSprint Backlog'!$F105, TRUE, 0)</f>
        <v>0</v>
      </c>
    </row>
    <row r="106" spans="2:20" x14ac:dyDescent="0.2">
      <c r="B106" s="4" cm="1">
        <f t="array" ref="B106">_xlfn.IFS('ProductSprint Backlog'!$F106="", "", AND('ProductSprint Backlog'!$J106&gt;B$2,'ProductSprint Backlog'!$I106&lt;=B$2), 'ProductSprint Backlog'!$F106 / MAX(1, 'ProductSprint Backlog'!$J106-'ProductSprint Backlog'!$I106), AND('ProductSprint Backlog'!$J106=B$2,'ProductSprint Backlog'!$I106=B$2), 'ProductSprint Backlog'!$F106, TRUE, 0)</f>
        <v>0</v>
      </c>
      <c r="C106" s="4" cm="1">
        <f t="array" ref="C106">_xlfn.IFS('ProductSprint Backlog'!$F106="", "", AND('ProductSprint Backlog'!$J106&gt;C$2,'ProductSprint Backlog'!$I106&lt;=C$2), 'ProductSprint Backlog'!$F106 / MAX(1, 'ProductSprint Backlog'!$J106-'ProductSprint Backlog'!$I106), AND('ProductSprint Backlog'!$J106=C$2,'ProductSprint Backlog'!$I106=C$2), 'ProductSprint Backlog'!$F106, TRUE, 0)</f>
        <v>0</v>
      </c>
      <c r="D106" s="4" cm="1">
        <f t="array" ref="D106">_xlfn.IFS('ProductSprint Backlog'!$F106="", "", AND('ProductSprint Backlog'!$J106&gt;D$2,'ProductSprint Backlog'!$I106&lt;=D$2), 'ProductSprint Backlog'!$F106 / MAX(1, 'ProductSprint Backlog'!$J106-'ProductSprint Backlog'!$I106), AND('ProductSprint Backlog'!$J106=D$2,'ProductSprint Backlog'!$I106=D$2), 'ProductSprint Backlog'!$F106, TRUE, 0)</f>
        <v>0</v>
      </c>
      <c r="E106" s="4" cm="1">
        <f t="array" ref="E106">_xlfn.IFS('ProductSprint Backlog'!$F106="", "", AND('ProductSprint Backlog'!$J106&gt;E$2,'ProductSprint Backlog'!$I106&lt;=E$2), 'ProductSprint Backlog'!$F106 / MAX(1, 'ProductSprint Backlog'!$J106-'ProductSprint Backlog'!$I106), AND('ProductSprint Backlog'!$J106=E$2,'ProductSprint Backlog'!$I106=E$2), 'ProductSprint Backlog'!$F106, TRUE, 0)</f>
        <v>0</v>
      </c>
      <c r="F106" s="4" cm="1">
        <f t="array" ref="F106">_xlfn.IFS('ProductSprint Backlog'!$F106="", "", AND('ProductSprint Backlog'!$J106&gt;F$2,'ProductSprint Backlog'!$I106&lt;=F$2), 'ProductSprint Backlog'!$F106 / MAX(1, 'ProductSprint Backlog'!$J106-'ProductSprint Backlog'!$I106), AND('ProductSprint Backlog'!$J106=F$2,'ProductSprint Backlog'!$I106=F$2), 'ProductSprint Backlog'!$F106, TRUE, 0)</f>
        <v>0</v>
      </c>
      <c r="G106" s="4" cm="1">
        <f t="array" ref="G106">_xlfn.IFS('ProductSprint Backlog'!$F106="", "", AND('ProductSprint Backlog'!$J106&gt;G$2,'ProductSprint Backlog'!$I106&lt;=G$2), 'ProductSprint Backlog'!$F106 / MAX(1, 'ProductSprint Backlog'!$J106-'ProductSprint Backlog'!$I106), AND('ProductSprint Backlog'!$J106=G$2,'ProductSprint Backlog'!$I106=G$2), 'ProductSprint Backlog'!$F106, TRUE, 0)</f>
        <v>0</v>
      </c>
      <c r="H106" s="4" cm="1">
        <f t="array" ref="H106">_xlfn.IFS('ProductSprint Backlog'!$F106="", "", AND('ProductSprint Backlog'!$J106&gt;H$2,'ProductSprint Backlog'!$I106&lt;=H$2), 'ProductSprint Backlog'!$F106 / MAX(1, 'ProductSprint Backlog'!$J106-'ProductSprint Backlog'!$I106), AND('ProductSprint Backlog'!$J106=H$2,'ProductSprint Backlog'!$I106=H$2), 'ProductSprint Backlog'!$F106, TRUE, 0)</f>
        <v>0</v>
      </c>
      <c r="I106" s="4" cm="1">
        <f t="array" ref="I106">_xlfn.IFS('ProductSprint Backlog'!$F106="", "", AND('ProductSprint Backlog'!$J106&gt;I$2,'ProductSprint Backlog'!$I106&lt;=I$2), 'ProductSprint Backlog'!$F106 / MAX(1, 'ProductSprint Backlog'!$J106-'ProductSprint Backlog'!$I106), AND('ProductSprint Backlog'!$J106=I$2,'ProductSprint Backlog'!$I106=I$2), 'ProductSprint Backlog'!$F106, TRUE, 0)</f>
        <v>0</v>
      </c>
      <c r="J106" s="4" cm="1">
        <f t="array" ref="J106">_xlfn.IFS('ProductSprint Backlog'!$F106="", "", AND('ProductSprint Backlog'!$J106&gt;J$2,'ProductSprint Backlog'!$I106&lt;=J$2), 'ProductSprint Backlog'!$F106 / MAX(1, 'ProductSprint Backlog'!$J106-'ProductSprint Backlog'!$I106), AND('ProductSprint Backlog'!$J106=J$2,'ProductSprint Backlog'!$I106=J$2), 'ProductSprint Backlog'!$F106, TRUE, 0)</f>
        <v>0</v>
      </c>
      <c r="K106" s="4" cm="1">
        <f t="array" ref="K106">_xlfn.IFS('ProductSprint Backlog'!$F106="", "", AND('ProductSprint Backlog'!$J106&gt;K$2,'ProductSprint Backlog'!$I106&lt;=K$2), 'ProductSprint Backlog'!$F106 / MAX(1, 'ProductSprint Backlog'!$J106-'ProductSprint Backlog'!$I106), AND('ProductSprint Backlog'!$J106=K$2,'ProductSprint Backlog'!$I106=K$2), 'ProductSprint Backlog'!$F106, TRUE, 0)</f>
        <v>0</v>
      </c>
      <c r="L106" s="4" cm="1">
        <f t="array" ref="L106">_xlfn.IFS('ProductSprint Backlog'!$F106="", "", AND('ProductSprint Backlog'!$J106&gt;L$2,'ProductSprint Backlog'!$I106&lt;=L$2), 'ProductSprint Backlog'!$F106 / MAX(1, 'ProductSprint Backlog'!$J106-'ProductSprint Backlog'!$I106), AND('ProductSprint Backlog'!$J106=L$2,'ProductSprint Backlog'!$I106=L$2), 'ProductSprint Backlog'!$F106, TRUE, 0)</f>
        <v>0</v>
      </c>
      <c r="M106" s="4" cm="1">
        <f t="array" ref="M106">_xlfn.IFS('ProductSprint Backlog'!$F106="", "", AND('ProductSprint Backlog'!$J106&gt;M$2,'ProductSprint Backlog'!$I106&lt;=M$2), 'ProductSprint Backlog'!$F106 / MAX(1, 'ProductSprint Backlog'!$J106-'ProductSprint Backlog'!$I106), AND('ProductSprint Backlog'!$J106=M$2,'ProductSprint Backlog'!$I106=M$2), 'ProductSprint Backlog'!$F106, TRUE, 0)</f>
        <v>0</v>
      </c>
      <c r="N106" s="4" cm="1">
        <f t="array" ref="N106">_xlfn.IFS('ProductSprint Backlog'!$F106="", "", AND('ProductSprint Backlog'!$J106&gt;N$2,'ProductSprint Backlog'!$I106&lt;=N$2), 'ProductSprint Backlog'!$F106 / MAX(1, 'ProductSprint Backlog'!$J106-'ProductSprint Backlog'!$I106), AND('ProductSprint Backlog'!$J106=N$2,'ProductSprint Backlog'!$I106=N$2), 'ProductSprint Backlog'!$F106, TRUE, 0)</f>
        <v>0.5</v>
      </c>
      <c r="O106" s="4" cm="1">
        <f t="array" ref="O106">_xlfn.IFS('ProductSprint Backlog'!$F106="", "", AND('ProductSprint Backlog'!$J106&gt;O$2,'ProductSprint Backlog'!$I106&lt;=O$2), 'ProductSprint Backlog'!$F106 / MAX(1, 'ProductSprint Backlog'!$J106-'ProductSprint Backlog'!$I106), AND('ProductSprint Backlog'!$J106=O$2,'ProductSprint Backlog'!$I106=O$2), 'ProductSprint Backlog'!$F106, TRUE, 0)</f>
        <v>0.5</v>
      </c>
      <c r="P106" s="4" cm="1">
        <f t="array" ref="P106">_xlfn.IFS('ProductSprint Backlog'!$F106="", "", AND('ProductSprint Backlog'!$J106&gt;P$2,'ProductSprint Backlog'!$I106&lt;=P$2), 'ProductSprint Backlog'!$F106 / MAX(1, 'ProductSprint Backlog'!$J106-'ProductSprint Backlog'!$I106), AND('ProductSprint Backlog'!$J106=P$2,'ProductSprint Backlog'!$I106=P$2), 'ProductSprint Backlog'!$F106, TRUE, 0)</f>
        <v>0</v>
      </c>
      <c r="Q106" s="4" cm="1">
        <f t="array" ref="Q106">_xlfn.IFS('ProductSprint Backlog'!$F106="", "", AND('ProductSprint Backlog'!$J106&gt;Q$2,'ProductSprint Backlog'!$I106&lt;=Q$2), 'ProductSprint Backlog'!$F106 / MAX(1, 'ProductSprint Backlog'!$J106-'ProductSprint Backlog'!$I106), AND('ProductSprint Backlog'!$J106=Q$2,'ProductSprint Backlog'!$I106=Q$2), 'ProductSprint Backlog'!$F106, TRUE, 0)</f>
        <v>0</v>
      </c>
      <c r="R106" s="4" cm="1">
        <f t="array" ref="R106">_xlfn.IFS('ProductSprint Backlog'!$F106="", "", AND('ProductSprint Backlog'!$J106&gt;R$2,'ProductSprint Backlog'!$I106&lt;=R$2), 'ProductSprint Backlog'!$F106 / MAX(1, 'ProductSprint Backlog'!$J106-'ProductSprint Backlog'!$I106), AND('ProductSprint Backlog'!$J106=R$2,'ProductSprint Backlog'!$I106=R$2), 'ProductSprint Backlog'!$F106, TRUE, 0)</f>
        <v>0</v>
      </c>
      <c r="S106" s="4" cm="1">
        <f t="array" ref="S106">_xlfn.IFS('ProductSprint Backlog'!$F106="", "", AND('ProductSprint Backlog'!$J106&gt;S$2,'ProductSprint Backlog'!$I106&lt;=S$2), 'ProductSprint Backlog'!$F106 / MAX(1, 'ProductSprint Backlog'!$J106-'ProductSprint Backlog'!$I106), AND('ProductSprint Backlog'!$J106=S$2,'ProductSprint Backlog'!$I106=S$2), 'ProductSprint Backlog'!$F106, TRUE, 0)</f>
        <v>0</v>
      </c>
      <c r="T106" s="4" cm="1">
        <f t="array" ref="T106">_xlfn.IFS('ProductSprint Backlog'!$F106="", "", AND('ProductSprint Backlog'!$J106&gt;T$2,'ProductSprint Backlog'!$I106&lt;=T$2), 'ProductSprint Backlog'!$F106 / MAX(1, 'ProductSprint Backlog'!$J106-'ProductSprint Backlog'!$I106), AND('ProductSprint Backlog'!$J106=T$2,'ProductSprint Backlog'!$I106=T$2), 'ProductSprint Backlog'!$F106, TRUE, 0)</f>
        <v>0</v>
      </c>
    </row>
    <row r="107" spans="2:20" x14ac:dyDescent="0.2">
      <c r="B107" s="4" t="str" cm="1">
        <f t="array" ref="B107">_xlfn.IFS('ProductSprint Backlog'!$F107="", "", AND('ProductSprint Backlog'!$J107&gt;B$2,'ProductSprint Backlog'!$I107&lt;=B$2), 'ProductSprint Backlog'!$F107 / MAX(1, 'ProductSprint Backlog'!$J107-'ProductSprint Backlog'!$I107), AND('ProductSprint Backlog'!$J107=B$2,'ProductSprint Backlog'!$I107=B$2), 'ProductSprint Backlog'!$F107, TRUE, 0)</f>
        <v/>
      </c>
      <c r="C107" s="4" t="str" cm="1">
        <f t="array" ref="C107">_xlfn.IFS('ProductSprint Backlog'!$F107="", "", AND('ProductSprint Backlog'!$J107&gt;C$2,'ProductSprint Backlog'!$I107&lt;=C$2), 'ProductSprint Backlog'!$F107 / MAX(1, 'ProductSprint Backlog'!$J107-'ProductSprint Backlog'!$I107), AND('ProductSprint Backlog'!$J107=C$2,'ProductSprint Backlog'!$I107=C$2), 'ProductSprint Backlog'!$F107, TRUE, 0)</f>
        <v/>
      </c>
      <c r="D107" s="4" t="str" cm="1">
        <f t="array" ref="D107">_xlfn.IFS('ProductSprint Backlog'!$F107="", "", AND('ProductSprint Backlog'!$J107&gt;D$2,'ProductSprint Backlog'!$I107&lt;=D$2), 'ProductSprint Backlog'!$F107 / MAX(1, 'ProductSprint Backlog'!$J107-'ProductSprint Backlog'!$I107), AND('ProductSprint Backlog'!$J107=D$2,'ProductSprint Backlog'!$I107=D$2), 'ProductSprint Backlog'!$F107, TRUE, 0)</f>
        <v/>
      </c>
      <c r="E107" s="4" t="str" cm="1">
        <f t="array" ref="E107">_xlfn.IFS('ProductSprint Backlog'!$F107="", "", AND('ProductSprint Backlog'!$J107&gt;E$2,'ProductSprint Backlog'!$I107&lt;=E$2), 'ProductSprint Backlog'!$F107 / MAX(1, 'ProductSprint Backlog'!$J107-'ProductSprint Backlog'!$I107), AND('ProductSprint Backlog'!$J107=E$2,'ProductSprint Backlog'!$I107=E$2), 'ProductSprint Backlog'!$F107, TRUE, 0)</f>
        <v/>
      </c>
      <c r="F107" s="4" t="str" cm="1">
        <f t="array" ref="F107">_xlfn.IFS('ProductSprint Backlog'!$F107="", "", AND('ProductSprint Backlog'!$J107&gt;F$2,'ProductSprint Backlog'!$I107&lt;=F$2), 'ProductSprint Backlog'!$F107 / MAX(1, 'ProductSprint Backlog'!$J107-'ProductSprint Backlog'!$I107), AND('ProductSprint Backlog'!$J107=F$2,'ProductSprint Backlog'!$I107=F$2), 'ProductSprint Backlog'!$F107, TRUE, 0)</f>
        <v/>
      </c>
      <c r="G107" s="4" t="str" cm="1">
        <f t="array" ref="G107">_xlfn.IFS('ProductSprint Backlog'!$F107="", "", AND('ProductSprint Backlog'!$J107&gt;G$2,'ProductSprint Backlog'!$I107&lt;=G$2), 'ProductSprint Backlog'!$F107 / MAX(1, 'ProductSprint Backlog'!$J107-'ProductSprint Backlog'!$I107), AND('ProductSprint Backlog'!$J107=G$2,'ProductSprint Backlog'!$I107=G$2), 'ProductSprint Backlog'!$F107, TRUE, 0)</f>
        <v/>
      </c>
      <c r="H107" s="4" t="str" cm="1">
        <f t="array" ref="H107">_xlfn.IFS('ProductSprint Backlog'!$F107="", "", AND('ProductSprint Backlog'!$J107&gt;H$2,'ProductSprint Backlog'!$I107&lt;=H$2), 'ProductSprint Backlog'!$F107 / MAX(1, 'ProductSprint Backlog'!$J107-'ProductSprint Backlog'!$I107), AND('ProductSprint Backlog'!$J107=H$2,'ProductSprint Backlog'!$I107=H$2), 'ProductSprint Backlog'!$F107, TRUE, 0)</f>
        <v/>
      </c>
      <c r="I107" s="4" t="str" cm="1">
        <f t="array" ref="I107">_xlfn.IFS('ProductSprint Backlog'!$F107="", "", AND('ProductSprint Backlog'!$J107&gt;I$2,'ProductSprint Backlog'!$I107&lt;=I$2), 'ProductSprint Backlog'!$F107 / MAX(1, 'ProductSprint Backlog'!$J107-'ProductSprint Backlog'!$I107), AND('ProductSprint Backlog'!$J107=I$2,'ProductSprint Backlog'!$I107=I$2), 'ProductSprint Backlog'!$F107, TRUE, 0)</f>
        <v/>
      </c>
      <c r="J107" s="4" t="str" cm="1">
        <f t="array" ref="J107">_xlfn.IFS('ProductSprint Backlog'!$F107="", "", AND('ProductSprint Backlog'!$J107&gt;J$2,'ProductSprint Backlog'!$I107&lt;=J$2), 'ProductSprint Backlog'!$F107 / MAX(1, 'ProductSprint Backlog'!$J107-'ProductSprint Backlog'!$I107), AND('ProductSprint Backlog'!$J107=J$2,'ProductSprint Backlog'!$I107=J$2), 'ProductSprint Backlog'!$F107, TRUE, 0)</f>
        <v/>
      </c>
      <c r="K107" s="4" t="str" cm="1">
        <f t="array" ref="K107">_xlfn.IFS('ProductSprint Backlog'!$F107="", "", AND('ProductSprint Backlog'!$J107&gt;K$2,'ProductSprint Backlog'!$I107&lt;=K$2), 'ProductSprint Backlog'!$F107 / MAX(1, 'ProductSprint Backlog'!$J107-'ProductSprint Backlog'!$I107), AND('ProductSprint Backlog'!$J107=K$2,'ProductSprint Backlog'!$I107=K$2), 'ProductSprint Backlog'!$F107, TRUE, 0)</f>
        <v/>
      </c>
      <c r="L107" s="4" t="str" cm="1">
        <f t="array" ref="L107">_xlfn.IFS('ProductSprint Backlog'!$F107="", "", AND('ProductSprint Backlog'!$J107&gt;L$2,'ProductSprint Backlog'!$I107&lt;=L$2), 'ProductSprint Backlog'!$F107 / MAX(1, 'ProductSprint Backlog'!$J107-'ProductSprint Backlog'!$I107), AND('ProductSprint Backlog'!$J107=L$2,'ProductSprint Backlog'!$I107=L$2), 'ProductSprint Backlog'!$F107, TRUE, 0)</f>
        <v/>
      </c>
      <c r="M107" s="4" t="str" cm="1">
        <f t="array" ref="M107">_xlfn.IFS('ProductSprint Backlog'!$F107="", "", AND('ProductSprint Backlog'!$J107&gt;M$2,'ProductSprint Backlog'!$I107&lt;=M$2), 'ProductSprint Backlog'!$F107 / MAX(1, 'ProductSprint Backlog'!$J107-'ProductSprint Backlog'!$I107), AND('ProductSprint Backlog'!$J107=M$2,'ProductSprint Backlog'!$I107=M$2), 'ProductSprint Backlog'!$F107, TRUE, 0)</f>
        <v/>
      </c>
      <c r="N107" s="4" t="str" cm="1">
        <f t="array" ref="N107">_xlfn.IFS('ProductSprint Backlog'!$F107="", "", AND('ProductSprint Backlog'!$J107&gt;N$2,'ProductSprint Backlog'!$I107&lt;=N$2), 'ProductSprint Backlog'!$F107 / MAX(1, 'ProductSprint Backlog'!$J107-'ProductSprint Backlog'!$I107), AND('ProductSprint Backlog'!$J107=N$2,'ProductSprint Backlog'!$I107=N$2), 'ProductSprint Backlog'!$F107, TRUE, 0)</f>
        <v/>
      </c>
      <c r="O107" s="4" t="str" cm="1">
        <f t="array" ref="O107">_xlfn.IFS('ProductSprint Backlog'!$F107="", "", AND('ProductSprint Backlog'!$J107&gt;O$2,'ProductSprint Backlog'!$I107&lt;=O$2), 'ProductSprint Backlog'!$F107 / MAX(1, 'ProductSprint Backlog'!$J107-'ProductSprint Backlog'!$I107), AND('ProductSprint Backlog'!$J107=O$2,'ProductSprint Backlog'!$I107=O$2), 'ProductSprint Backlog'!$F107, TRUE, 0)</f>
        <v/>
      </c>
      <c r="P107" s="4" t="str" cm="1">
        <f t="array" ref="P107">_xlfn.IFS('ProductSprint Backlog'!$F107="", "", AND('ProductSprint Backlog'!$J107&gt;P$2,'ProductSprint Backlog'!$I107&lt;=P$2), 'ProductSprint Backlog'!$F107 / MAX(1, 'ProductSprint Backlog'!$J107-'ProductSprint Backlog'!$I107), AND('ProductSprint Backlog'!$J107=P$2,'ProductSprint Backlog'!$I107=P$2), 'ProductSprint Backlog'!$F107, TRUE, 0)</f>
        <v/>
      </c>
      <c r="Q107" s="4" t="str" cm="1">
        <f t="array" ref="Q107">_xlfn.IFS('ProductSprint Backlog'!$F107="", "", AND('ProductSprint Backlog'!$J107&gt;Q$2,'ProductSprint Backlog'!$I107&lt;=Q$2), 'ProductSprint Backlog'!$F107 / MAX(1, 'ProductSprint Backlog'!$J107-'ProductSprint Backlog'!$I107), AND('ProductSprint Backlog'!$J107=Q$2,'ProductSprint Backlog'!$I107=Q$2), 'ProductSprint Backlog'!$F107, TRUE, 0)</f>
        <v/>
      </c>
      <c r="R107" s="4" t="str" cm="1">
        <f t="array" ref="R107">_xlfn.IFS('ProductSprint Backlog'!$F107="", "", AND('ProductSprint Backlog'!$J107&gt;R$2,'ProductSprint Backlog'!$I107&lt;=R$2), 'ProductSprint Backlog'!$F107 / MAX(1, 'ProductSprint Backlog'!$J107-'ProductSprint Backlog'!$I107), AND('ProductSprint Backlog'!$J107=R$2,'ProductSprint Backlog'!$I107=R$2), 'ProductSprint Backlog'!$F107, TRUE, 0)</f>
        <v/>
      </c>
      <c r="S107" s="4" t="str" cm="1">
        <f t="array" ref="S107">_xlfn.IFS('ProductSprint Backlog'!$F107="", "", AND('ProductSprint Backlog'!$J107&gt;S$2,'ProductSprint Backlog'!$I107&lt;=S$2), 'ProductSprint Backlog'!$F107 / MAX(1, 'ProductSprint Backlog'!$J107-'ProductSprint Backlog'!$I107), AND('ProductSprint Backlog'!$J107=S$2,'ProductSprint Backlog'!$I107=S$2), 'ProductSprint Backlog'!$F107, TRUE, 0)</f>
        <v/>
      </c>
      <c r="T107" s="4" t="str" cm="1">
        <f t="array" ref="T107">_xlfn.IFS('ProductSprint Backlog'!$F107="", "", AND('ProductSprint Backlog'!$J107&gt;T$2,'ProductSprint Backlog'!$I107&lt;=T$2), 'ProductSprint Backlog'!$F107 / MAX(1, 'ProductSprint Backlog'!$J107-'ProductSprint Backlog'!$I107), AND('ProductSprint Backlog'!$J107=T$2,'ProductSprint Backlog'!$I107=T$2), 'ProductSprint Backlog'!$F107, TRUE, 0)</f>
        <v/>
      </c>
    </row>
    <row r="108" spans="2:20" x14ac:dyDescent="0.2">
      <c r="B108" s="4" cm="1">
        <f t="array" ref="B108">_xlfn.IFS('ProductSprint Backlog'!$F108="", "", AND('ProductSprint Backlog'!$J108&gt;B$2,'ProductSprint Backlog'!$I108&lt;=B$2), 'ProductSprint Backlog'!$F108 / MAX(1, 'ProductSprint Backlog'!$J108-'ProductSprint Backlog'!$I108), AND('ProductSprint Backlog'!$J108=B$2,'ProductSprint Backlog'!$I108=B$2), 'ProductSprint Backlog'!$F108, TRUE, 0)</f>
        <v>0.25</v>
      </c>
      <c r="C108" s="4" cm="1">
        <f t="array" ref="C108">_xlfn.IFS('ProductSprint Backlog'!$F108="", "", AND('ProductSprint Backlog'!$J108&gt;C$2,'ProductSprint Backlog'!$I108&lt;=C$2), 'ProductSprint Backlog'!$F108 / MAX(1, 'ProductSprint Backlog'!$J108-'ProductSprint Backlog'!$I108), AND('ProductSprint Backlog'!$J108=C$2,'ProductSprint Backlog'!$I108=C$2), 'ProductSprint Backlog'!$F108, TRUE, 0)</f>
        <v>0.25</v>
      </c>
      <c r="D108" s="4" cm="1">
        <f t="array" ref="D108">_xlfn.IFS('ProductSprint Backlog'!$F108="", "", AND('ProductSprint Backlog'!$J108&gt;D$2,'ProductSprint Backlog'!$I108&lt;=D$2), 'ProductSprint Backlog'!$F108 / MAX(1, 'ProductSprint Backlog'!$J108-'ProductSprint Backlog'!$I108), AND('ProductSprint Backlog'!$J108=D$2,'ProductSprint Backlog'!$I108=D$2), 'ProductSprint Backlog'!$F108, TRUE, 0)</f>
        <v>0.25</v>
      </c>
      <c r="E108" s="4" cm="1">
        <f t="array" ref="E108">_xlfn.IFS('ProductSprint Backlog'!$F108="", "", AND('ProductSprint Backlog'!$J108&gt;E$2,'ProductSprint Backlog'!$I108&lt;=E$2), 'ProductSprint Backlog'!$F108 / MAX(1, 'ProductSprint Backlog'!$J108-'ProductSprint Backlog'!$I108), AND('ProductSprint Backlog'!$J108=E$2,'ProductSprint Backlog'!$I108=E$2), 'ProductSprint Backlog'!$F108, TRUE, 0)</f>
        <v>0.25</v>
      </c>
      <c r="F108" s="4" cm="1">
        <f t="array" ref="F108">_xlfn.IFS('ProductSprint Backlog'!$F108="", "", AND('ProductSprint Backlog'!$J108&gt;F$2,'ProductSprint Backlog'!$I108&lt;=F$2), 'ProductSprint Backlog'!$F108 / MAX(1, 'ProductSprint Backlog'!$J108-'ProductSprint Backlog'!$I108), AND('ProductSprint Backlog'!$J108=F$2,'ProductSprint Backlog'!$I108=F$2), 'ProductSprint Backlog'!$F108, TRUE, 0)</f>
        <v>0</v>
      </c>
      <c r="G108" s="4" cm="1">
        <f t="array" ref="G108">_xlfn.IFS('ProductSprint Backlog'!$F108="", "", AND('ProductSprint Backlog'!$J108&gt;G$2,'ProductSprint Backlog'!$I108&lt;=G$2), 'ProductSprint Backlog'!$F108 / MAX(1, 'ProductSprint Backlog'!$J108-'ProductSprint Backlog'!$I108), AND('ProductSprint Backlog'!$J108=G$2,'ProductSprint Backlog'!$I108=G$2), 'ProductSprint Backlog'!$F108, TRUE, 0)</f>
        <v>0</v>
      </c>
      <c r="H108" s="4" cm="1">
        <f t="array" ref="H108">_xlfn.IFS('ProductSprint Backlog'!$F108="", "", AND('ProductSprint Backlog'!$J108&gt;H$2,'ProductSprint Backlog'!$I108&lt;=H$2), 'ProductSprint Backlog'!$F108 / MAX(1, 'ProductSprint Backlog'!$J108-'ProductSprint Backlog'!$I108), AND('ProductSprint Backlog'!$J108=H$2,'ProductSprint Backlog'!$I108=H$2), 'ProductSprint Backlog'!$F108, TRUE, 0)</f>
        <v>0</v>
      </c>
      <c r="I108" s="4" cm="1">
        <f t="array" ref="I108">_xlfn.IFS('ProductSprint Backlog'!$F108="", "", AND('ProductSprint Backlog'!$J108&gt;I$2,'ProductSprint Backlog'!$I108&lt;=I$2), 'ProductSprint Backlog'!$F108 / MAX(1, 'ProductSprint Backlog'!$J108-'ProductSprint Backlog'!$I108), AND('ProductSprint Backlog'!$J108=I$2,'ProductSprint Backlog'!$I108=I$2), 'ProductSprint Backlog'!$F108, TRUE, 0)</f>
        <v>0</v>
      </c>
      <c r="J108" s="4" cm="1">
        <f t="array" ref="J108">_xlfn.IFS('ProductSprint Backlog'!$F108="", "", AND('ProductSprint Backlog'!$J108&gt;J$2,'ProductSprint Backlog'!$I108&lt;=J$2), 'ProductSprint Backlog'!$F108 / MAX(1, 'ProductSprint Backlog'!$J108-'ProductSprint Backlog'!$I108), AND('ProductSprint Backlog'!$J108=J$2,'ProductSprint Backlog'!$I108=J$2), 'ProductSprint Backlog'!$F108, TRUE, 0)</f>
        <v>0</v>
      </c>
      <c r="K108" s="4" cm="1">
        <f t="array" ref="K108">_xlfn.IFS('ProductSprint Backlog'!$F108="", "", AND('ProductSprint Backlog'!$J108&gt;K$2,'ProductSprint Backlog'!$I108&lt;=K$2), 'ProductSprint Backlog'!$F108 / MAX(1, 'ProductSprint Backlog'!$J108-'ProductSprint Backlog'!$I108), AND('ProductSprint Backlog'!$J108=K$2,'ProductSprint Backlog'!$I108=K$2), 'ProductSprint Backlog'!$F108, TRUE, 0)</f>
        <v>0</v>
      </c>
      <c r="L108" s="4" cm="1">
        <f t="array" ref="L108">_xlfn.IFS('ProductSprint Backlog'!$F108="", "", AND('ProductSprint Backlog'!$J108&gt;L$2,'ProductSprint Backlog'!$I108&lt;=L$2), 'ProductSprint Backlog'!$F108 / MAX(1, 'ProductSprint Backlog'!$J108-'ProductSprint Backlog'!$I108), AND('ProductSprint Backlog'!$J108=L$2,'ProductSprint Backlog'!$I108=L$2), 'ProductSprint Backlog'!$F108, TRUE, 0)</f>
        <v>0</v>
      </c>
      <c r="M108" s="4" cm="1">
        <f t="array" ref="M108">_xlfn.IFS('ProductSprint Backlog'!$F108="", "", AND('ProductSprint Backlog'!$J108&gt;M$2,'ProductSprint Backlog'!$I108&lt;=M$2), 'ProductSprint Backlog'!$F108 / MAX(1, 'ProductSprint Backlog'!$J108-'ProductSprint Backlog'!$I108), AND('ProductSprint Backlog'!$J108=M$2,'ProductSprint Backlog'!$I108=M$2), 'ProductSprint Backlog'!$F108, TRUE, 0)</f>
        <v>0</v>
      </c>
      <c r="N108" s="4" cm="1">
        <f t="array" ref="N108">_xlfn.IFS('ProductSprint Backlog'!$F108="", "", AND('ProductSprint Backlog'!$J108&gt;N$2,'ProductSprint Backlog'!$I108&lt;=N$2), 'ProductSprint Backlog'!$F108 / MAX(1, 'ProductSprint Backlog'!$J108-'ProductSprint Backlog'!$I108), AND('ProductSprint Backlog'!$J108=N$2,'ProductSprint Backlog'!$I108=N$2), 'ProductSprint Backlog'!$F108, TRUE, 0)</f>
        <v>0</v>
      </c>
      <c r="O108" s="4" cm="1">
        <f t="array" ref="O108">_xlfn.IFS('ProductSprint Backlog'!$F108="", "", AND('ProductSprint Backlog'!$J108&gt;O$2,'ProductSprint Backlog'!$I108&lt;=O$2), 'ProductSprint Backlog'!$F108 / MAX(1, 'ProductSprint Backlog'!$J108-'ProductSprint Backlog'!$I108), AND('ProductSprint Backlog'!$J108=O$2,'ProductSprint Backlog'!$I108=O$2), 'ProductSprint Backlog'!$F108, TRUE, 0)</f>
        <v>0</v>
      </c>
      <c r="P108" s="4" cm="1">
        <f t="array" ref="P108">_xlfn.IFS('ProductSprint Backlog'!$F108="", "", AND('ProductSprint Backlog'!$J108&gt;P$2,'ProductSprint Backlog'!$I108&lt;=P$2), 'ProductSprint Backlog'!$F108 / MAX(1, 'ProductSprint Backlog'!$J108-'ProductSprint Backlog'!$I108), AND('ProductSprint Backlog'!$J108=P$2,'ProductSprint Backlog'!$I108=P$2), 'ProductSprint Backlog'!$F108, TRUE, 0)</f>
        <v>0</v>
      </c>
      <c r="Q108" s="4" cm="1">
        <f t="array" ref="Q108">_xlfn.IFS('ProductSprint Backlog'!$F108="", "", AND('ProductSprint Backlog'!$J108&gt;Q$2,'ProductSprint Backlog'!$I108&lt;=Q$2), 'ProductSprint Backlog'!$F108 / MAX(1, 'ProductSprint Backlog'!$J108-'ProductSprint Backlog'!$I108), AND('ProductSprint Backlog'!$J108=Q$2,'ProductSprint Backlog'!$I108=Q$2), 'ProductSprint Backlog'!$F108, TRUE, 0)</f>
        <v>0</v>
      </c>
      <c r="R108" s="4" cm="1">
        <f t="array" ref="R108">_xlfn.IFS('ProductSprint Backlog'!$F108="", "", AND('ProductSprint Backlog'!$J108&gt;R$2,'ProductSprint Backlog'!$I108&lt;=R$2), 'ProductSprint Backlog'!$F108 / MAX(1, 'ProductSprint Backlog'!$J108-'ProductSprint Backlog'!$I108), AND('ProductSprint Backlog'!$J108=R$2,'ProductSprint Backlog'!$I108=R$2), 'ProductSprint Backlog'!$F108, TRUE, 0)</f>
        <v>0</v>
      </c>
      <c r="S108" s="4" cm="1">
        <f t="array" ref="S108">_xlfn.IFS('ProductSprint Backlog'!$F108="", "", AND('ProductSprint Backlog'!$J108&gt;S$2,'ProductSprint Backlog'!$I108&lt;=S$2), 'ProductSprint Backlog'!$F108 / MAX(1, 'ProductSprint Backlog'!$J108-'ProductSprint Backlog'!$I108), AND('ProductSprint Backlog'!$J108=S$2,'ProductSprint Backlog'!$I108=S$2), 'ProductSprint Backlog'!$F108, TRUE, 0)</f>
        <v>0</v>
      </c>
      <c r="T108" s="4" cm="1">
        <f t="array" ref="T108">_xlfn.IFS('ProductSprint Backlog'!$F108="", "", AND('ProductSprint Backlog'!$J108&gt;T$2,'ProductSprint Backlog'!$I108&lt;=T$2), 'ProductSprint Backlog'!$F108 / MAX(1, 'ProductSprint Backlog'!$J108-'ProductSprint Backlog'!$I108), AND('ProductSprint Backlog'!$J108=T$2,'ProductSprint Backlog'!$I108=T$2), 'ProductSprint Backlog'!$F108, TRUE, 0)</f>
        <v>0</v>
      </c>
    </row>
    <row r="109" spans="2:20" x14ac:dyDescent="0.2">
      <c r="B109" s="4" cm="1">
        <f t="array" ref="B109">_xlfn.IFS('ProductSprint Backlog'!$F109="", "", AND('ProductSprint Backlog'!$J109&gt;B$2,'ProductSprint Backlog'!$I109&lt;=B$2), 'ProductSprint Backlog'!$F109 / MAX(1, 'ProductSprint Backlog'!$J109-'ProductSprint Backlog'!$I109), AND('ProductSprint Backlog'!$J109=B$2,'ProductSprint Backlog'!$I109=B$2), 'ProductSprint Backlog'!$F109, TRUE, 0)</f>
        <v>0.25</v>
      </c>
      <c r="C109" s="4" cm="1">
        <f t="array" ref="C109">_xlfn.IFS('ProductSprint Backlog'!$F109="", "", AND('ProductSprint Backlog'!$J109&gt;C$2,'ProductSprint Backlog'!$I109&lt;=C$2), 'ProductSprint Backlog'!$F109 / MAX(1, 'ProductSprint Backlog'!$J109-'ProductSprint Backlog'!$I109), AND('ProductSprint Backlog'!$J109=C$2,'ProductSprint Backlog'!$I109=C$2), 'ProductSprint Backlog'!$F109, TRUE, 0)</f>
        <v>0.25</v>
      </c>
      <c r="D109" s="4" cm="1">
        <f t="array" ref="D109">_xlfn.IFS('ProductSprint Backlog'!$F109="", "", AND('ProductSprint Backlog'!$J109&gt;D$2,'ProductSprint Backlog'!$I109&lt;=D$2), 'ProductSprint Backlog'!$F109 / MAX(1, 'ProductSprint Backlog'!$J109-'ProductSprint Backlog'!$I109), AND('ProductSprint Backlog'!$J109=D$2,'ProductSprint Backlog'!$I109=D$2), 'ProductSprint Backlog'!$F109, TRUE, 0)</f>
        <v>0.25</v>
      </c>
      <c r="E109" s="4" cm="1">
        <f t="array" ref="E109">_xlfn.IFS('ProductSprint Backlog'!$F109="", "", AND('ProductSprint Backlog'!$J109&gt;E$2,'ProductSprint Backlog'!$I109&lt;=E$2), 'ProductSprint Backlog'!$F109 / MAX(1, 'ProductSprint Backlog'!$J109-'ProductSprint Backlog'!$I109), AND('ProductSprint Backlog'!$J109=E$2,'ProductSprint Backlog'!$I109=E$2), 'ProductSprint Backlog'!$F109, TRUE, 0)</f>
        <v>0.25</v>
      </c>
      <c r="F109" s="4" cm="1">
        <f t="array" ref="F109">_xlfn.IFS('ProductSprint Backlog'!$F109="", "", AND('ProductSprint Backlog'!$J109&gt;F$2,'ProductSprint Backlog'!$I109&lt;=F$2), 'ProductSprint Backlog'!$F109 / MAX(1, 'ProductSprint Backlog'!$J109-'ProductSprint Backlog'!$I109), AND('ProductSprint Backlog'!$J109=F$2,'ProductSprint Backlog'!$I109=F$2), 'ProductSprint Backlog'!$F109, TRUE, 0)</f>
        <v>0</v>
      </c>
      <c r="G109" s="4" cm="1">
        <f t="array" ref="G109">_xlfn.IFS('ProductSprint Backlog'!$F109="", "", AND('ProductSprint Backlog'!$J109&gt;G$2,'ProductSprint Backlog'!$I109&lt;=G$2), 'ProductSprint Backlog'!$F109 / MAX(1, 'ProductSprint Backlog'!$J109-'ProductSprint Backlog'!$I109), AND('ProductSprint Backlog'!$J109=G$2,'ProductSprint Backlog'!$I109=G$2), 'ProductSprint Backlog'!$F109, TRUE, 0)</f>
        <v>0</v>
      </c>
      <c r="H109" s="4" cm="1">
        <f t="array" ref="H109">_xlfn.IFS('ProductSprint Backlog'!$F109="", "", AND('ProductSprint Backlog'!$J109&gt;H$2,'ProductSprint Backlog'!$I109&lt;=H$2), 'ProductSprint Backlog'!$F109 / MAX(1, 'ProductSprint Backlog'!$J109-'ProductSprint Backlog'!$I109), AND('ProductSprint Backlog'!$J109=H$2,'ProductSprint Backlog'!$I109=H$2), 'ProductSprint Backlog'!$F109, TRUE, 0)</f>
        <v>0</v>
      </c>
      <c r="I109" s="4" cm="1">
        <f t="array" ref="I109">_xlfn.IFS('ProductSprint Backlog'!$F109="", "", AND('ProductSprint Backlog'!$J109&gt;I$2,'ProductSprint Backlog'!$I109&lt;=I$2), 'ProductSprint Backlog'!$F109 / MAX(1, 'ProductSprint Backlog'!$J109-'ProductSprint Backlog'!$I109), AND('ProductSprint Backlog'!$J109=I$2,'ProductSprint Backlog'!$I109=I$2), 'ProductSprint Backlog'!$F109, TRUE, 0)</f>
        <v>0</v>
      </c>
      <c r="J109" s="4" cm="1">
        <f t="array" ref="J109">_xlfn.IFS('ProductSprint Backlog'!$F109="", "", AND('ProductSprint Backlog'!$J109&gt;J$2,'ProductSprint Backlog'!$I109&lt;=J$2), 'ProductSprint Backlog'!$F109 / MAX(1, 'ProductSprint Backlog'!$J109-'ProductSprint Backlog'!$I109), AND('ProductSprint Backlog'!$J109=J$2,'ProductSprint Backlog'!$I109=J$2), 'ProductSprint Backlog'!$F109, TRUE, 0)</f>
        <v>0</v>
      </c>
      <c r="K109" s="4" cm="1">
        <f t="array" ref="K109">_xlfn.IFS('ProductSprint Backlog'!$F109="", "", AND('ProductSprint Backlog'!$J109&gt;K$2,'ProductSprint Backlog'!$I109&lt;=K$2), 'ProductSprint Backlog'!$F109 / MAX(1, 'ProductSprint Backlog'!$J109-'ProductSprint Backlog'!$I109), AND('ProductSprint Backlog'!$J109=K$2,'ProductSprint Backlog'!$I109=K$2), 'ProductSprint Backlog'!$F109, TRUE, 0)</f>
        <v>0</v>
      </c>
      <c r="L109" s="4" cm="1">
        <f t="array" ref="L109">_xlfn.IFS('ProductSprint Backlog'!$F109="", "", AND('ProductSprint Backlog'!$J109&gt;L$2,'ProductSprint Backlog'!$I109&lt;=L$2), 'ProductSprint Backlog'!$F109 / MAX(1, 'ProductSprint Backlog'!$J109-'ProductSprint Backlog'!$I109), AND('ProductSprint Backlog'!$J109=L$2,'ProductSprint Backlog'!$I109=L$2), 'ProductSprint Backlog'!$F109, TRUE, 0)</f>
        <v>0</v>
      </c>
      <c r="M109" s="4" cm="1">
        <f t="array" ref="M109">_xlfn.IFS('ProductSprint Backlog'!$F109="", "", AND('ProductSprint Backlog'!$J109&gt;M$2,'ProductSprint Backlog'!$I109&lt;=M$2), 'ProductSprint Backlog'!$F109 / MAX(1, 'ProductSprint Backlog'!$J109-'ProductSprint Backlog'!$I109), AND('ProductSprint Backlog'!$J109=M$2,'ProductSprint Backlog'!$I109=M$2), 'ProductSprint Backlog'!$F109, TRUE, 0)</f>
        <v>0</v>
      </c>
      <c r="N109" s="4" cm="1">
        <f t="array" ref="N109">_xlfn.IFS('ProductSprint Backlog'!$F109="", "", AND('ProductSprint Backlog'!$J109&gt;N$2,'ProductSprint Backlog'!$I109&lt;=N$2), 'ProductSprint Backlog'!$F109 / MAX(1, 'ProductSprint Backlog'!$J109-'ProductSprint Backlog'!$I109), AND('ProductSprint Backlog'!$J109=N$2,'ProductSprint Backlog'!$I109=N$2), 'ProductSprint Backlog'!$F109, TRUE, 0)</f>
        <v>0</v>
      </c>
      <c r="O109" s="4" cm="1">
        <f t="array" ref="O109">_xlfn.IFS('ProductSprint Backlog'!$F109="", "", AND('ProductSprint Backlog'!$J109&gt;O$2,'ProductSprint Backlog'!$I109&lt;=O$2), 'ProductSprint Backlog'!$F109 / MAX(1, 'ProductSprint Backlog'!$J109-'ProductSprint Backlog'!$I109), AND('ProductSprint Backlog'!$J109=O$2,'ProductSprint Backlog'!$I109=O$2), 'ProductSprint Backlog'!$F109, TRUE, 0)</f>
        <v>0</v>
      </c>
      <c r="P109" s="4" cm="1">
        <f t="array" ref="P109">_xlfn.IFS('ProductSprint Backlog'!$F109="", "", AND('ProductSprint Backlog'!$J109&gt;P$2,'ProductSprint Backlog'!$I109&lt;=P$2), 'ProductSprint Backlog'!$F109 / MAX(1, 'ProductSprint Backlog'!$J109-'ProductSprint Backlog'!$I109), AND('ProductSprint Backlog'!$J109=P$2,'ProductSprint Backlog'!$I109=P$2), 'ProductSprint Backlog'!$F109, TRUE, 0)</f>
        <v>0</v>
      </c>
      <c r="Q109" s="4" cm="1">
        <f t="array" ref="Q109">_xlfn.IFS('ProductSprint Backlog'!$F109="", "", AND('ProductSprint Backlog'!$J109&gt;Q$2,'ProductSprint Backlog'!$I109&lt;=Q$2), 'ProductSprint Backlog'!$F109 / MAX(1, 'ProductSprint Backlog'!$J109-'ProductSprint Backlog'!$I109), AND('ProductSprint Backlog'!$J109=Q$2,'ProductSprint Backlog'!$I109=Q$2), 'ProductSprint Backlog'!$F109, TRUE, 0)</f>
        <v>0</v>
      </c>
      <c r="R109" s="4" cm="1">
        <f t="array" ref="R109">_xlfn.IFS('ProductSprint Backlog'!$F109="", "", AND('ProductSprint Backlog'!$J109&gt;R$2,'ProductSprint Backlog'!$I109&lt;=R$2), 'ProductSprint Backlog'!$F109 / MAX(1, 'ProductSprint Backlog'!$J109-'ProductSprint Backlog'!$I109), AND('ProductSprint Backlog'!$J109=R$2,'ProductSprint Backlog'!$I109=R$2), 'ProductSprint Backlog'!$F109, TRUE, 0)</f>
        <v>0</v>
      </c>
      <c r="S109" s="4" cm="1">
        <f t="array" ref="S109">_xlfn.IFS('ProductSprint Backlog'!$F109="", "", AND('ProductSprint Backlog'!$J109&gt;S$2,'ProductSprint Backlog'!$I109&lt;=S$2), 'ProductSprint Backlog'!$F109 / MAX(1, 'ProductSprint Backlog'!$J109-'ProductSprint Backlog'!$I109), AND('ProductSprint Backlog'!$J109=S$2,'ProductSprint Backlog'!$I109=S$2), 'ProductSprint Backlog'!$F109, TRUE, 0)</f>
        <v>0</v>
      </c>
      <c r="T109" s="4" cm="1">
        <f t="array" ref="T109">_xlfn.IFS('ProductSprint Backlog'!$F109="", "", AND('ProductSprint Backlog'!$J109&gt;T$2,'ProductSprint Backlog'!$I109&lt;=T$2), 'ProductSprint Backlog'!$F109 / MAX(1, 'ProductSprint Backlog'!$J109-'ProductSprint Backlog'!$I109), AND('ProductSprint Backlog'!$J109=T$2,'ProductSprint Backlog'!$I109=T$2), 'ProductSprint Backlog'!$F109, TRUE, 0)</f>
        <v>0</v>
      </c>
    </row>
    <row r="110" spans="2:20" x14ac:dyDescent="0.2">
      <c r="B110" s="4" cm="1">
        <f t="array" ref="B110">_xlfn.IFS('ProductSprint Backlog'!$F110="", "", AND('ProductSprint Backlog'!$J110&gt;B$2,'ProductSprint Backlog'!$I110&lt;=B$2), 'ProductSprint Backlog'!$F110 / MAX(1, 'ProductSprint Backlog'!$J110-'ProductSprint Backlog'!$I110), AND('ProductSprint Backlog'!$J110=B$2,'ProductSprint Backlog'!$I110=B$2), 'ProductSprint Backlog'!$F110, TRUE, 0)</f>
        <v>0.25</v>
      </c>
      <c r="C110" s="4" cm="1">
        <f t="array" ref="C110">_xlfn.IFS('ProductSprint Backlog'!$F110="", "", AND('ProductSprint Backlog'!$J110&gt;C$2,'ProductSprint Backlog'!$I110&lt;=C$2), 'ProductSprint Backlog'!$F110 / MAX(1, 'ProductSprint Backlog'!$J110-'ProductSprint Backlog'!$I110), AND('ProductSprint Backlog'!$J110=C$2,'ProductSprint Backlog'!$I110=C$2), 'ProductSprint Backlog'!$F110, TRUE, 0)</f>
        <v>0.25</v>
      </c>
      <c r="D110" s="4" cm="1">
        <f t="array" ref="D110">_xlfn.IFS('ProductSprint Backlog'!$F110="", "", AND('ProductSprint Backlog'!$J110&gt;D$2,'ProductSprint Backlog'!$I110&lt;=D$2), 'ProductSprint Backlog'!$F110 / MAX(1, 'ProductSprint Backlog'!$J110-'ProductSprint Backlog'!$I110), AND('ProductSprint Backlog'!$J110=D$2,'ProductSprint Backlog'!$I110=D$2), 'ProductSprint Backlog'!$F110, TRUE, 0)</f>
        <v>0.25</v>
      </c>
      <c r="E110" s="4" cm="1">
        <f t="array" ref="E110">_xlfn.IFS('ProductSprint Backlog'!$F110="", "", AND('ProductSprint Backlog'!$J110&gt;E$2,'ProductSprint Backlog'!$I110&lt;=E$2), 'ProductSprint Backlog'!$F110 / MAX(1, 'ProductSprint Backlog'!$J110-'ProductSprint Backlog'!$I110), AND('ProductSprint Backlog'!$J110=E$2,'ProductSprint Backlog'!$I110=E$2), 'ProductSprint Backlog'!$F110, TRUE, 0)</f>
        <v>0.25</v>
      </c>
      <c r="F110" s="4" cm="1">
        <f t="array" ref="F110">_xlfn.IFS('ProductSprint Backlog'!$F110="", "", AND('ProductSprint Backlog'!$J110&gt;F$2,'ProductSprint Backlog'!$I110&lt;=F$2), 'ProductSprint Backlog'!$F110 / MAX(1, 'ProductSprint Backlog'!$J110-'ProductSprint Backlog'!$I110), AND('ProductSprint Backlog'!$J110=F$2,'ProductSprint Backlog'!$I110=F$2), 'ProductSprint Backlog'!$F110, TRUE, 0)</f>
        <v>0</v>
      </c>
      <c r="G110" s="4" cm="1">
        <f t="array" ref="G110">_xlfn.IFS('ProductSprint Backlog'!$F110="", "", AND('ProductSprint Backlog'!$J110&gt;G$2,'ProductSprint Backlog'!$I110&lt;=G$2), 'ProductSprint Backlog'!$F110 / MAX(1, 'ProductSprint Backlog'!$J110-'ProductSprint Backlog'!$I110), AND('ProductSprint Backlog'!$J110=G$2,'ProductSprint Backlog'!$I110=G$2), 'ProductSprint Backlog'!$F110, TRUE, 0)</f>
        <v>0</v>
      </c>
      <c r="H110" s="4" cm="1">
        <f t="array" ref="H110">_xlfn.IFS('ProductSprint Backlog'!$F110="", "", AND('ProductSprint Backlog'!$J110&gt;H$2,'ProductSprint Backlog'!$I110&lt;=H$2), 'ProductSprint Backlog'!$F110 / MAX(1, 'ProductSprint Backlog'!$J110-'ProductSprint Backlog'!$I110), AND('ProductSprint Backlog'!$J110=H$2,'ProductSprint Backlog'!$I110=H$2), 'ProductSprint Backlog'!$F110, TRUE, 0)</f>
        <v>0</v>
      </c>
      <c r="I110" s="4" cm="1">
        <f t="array" ref="I110">_xlfn.IFS('ProductSprint Backlog'!$F110="", "", AND('ProductSprint Backlog'!$J110&gt;I$2,'ProductSprint Backlog'!$I110&lt;=I$2), 'ProductSprint Backlog'!$F110 / MAX(1, 'ProductSprint Backlog'!$J110-'ProductSprint Backlog'!$I110), AND('ProductSprint Backlog'!$J110=I$2,'ProductSprint Backlog'!$I110=I$2), 'ProductSprint Backlog'!$F110, TRUE, 0)</f>
        <v>0</v>
      </c>
      <c r="J110" s="4" cm="1">
        <f t="array" ref="J110">_xlfn.IFS('ProductSprint Backlog'!$F110="", "", AND('ProductSprint Backlog'!$J110&gt;J$2,'ProductSprint Backlog'!$I110&lt;=J$2), 'ProductSprint Backlog'!$F110 / MAX(1, 'ProductSprint Backlog'!$J110-'ProductSprint Backlog'!$I110), AND('ProductSprint Backlog'!$J110=J$2,'ProductSprint Backlog'!$I110=J$2), 'ProductSprint Backlog'!$F110, TRUE, 0)</f>
        <v>0</v>
      </c>
      <c r="K110" s="4" cm="1">
        <f t="array" ref="K110">_xlfn.IFS('ProductSprint Backlog'!$F110="", "", AND('ProductSprint Backlog'!$J110&gt;K$2,'ProductSprint Backlog'!$I110&lt;=K$2), 'ProductSprint Backlog'!$F110 / MAX(1, 'ProductSprint Backlog'!$J110-'ProductSprint Backlog'!$I110), AND('ProductSprint Backlog'!$J110=K$2,'ProductSprint Backlog'!$I110=K$2), 'ProductSprint Backlog'!$F110, TRUE, 0)</f>
        <v>0</v>
      </c>
      <c r="L110" s="4" cm="1">
        <f t="array" ref="L110">_xlfn.IFS('ProductSprint Backlog'!$F110="", "", AND('ProductSprint Backlog'!$J110&gt;L$2,'ProductSprint Backlog'!$I110&lt;=L$2), 'ProductSprint Backlog'!$F110 / MAX(1, 'ProductSprint Backlog'!$J110-'ProductSprint Backlog'!$I110), AND('ProductSprint Backlog'!$J110=L$2,'ProductSprint Backlog'!$I110=L$2), 'ProductSprint Backlog'!$F110, TRUE, 0)</f>
        <v>0</v>
      </c>
      <c r="M110" s="4" cm="1">
        <f t="array" ref="M110">_xlfn.IFS('ProductSprint Backlog'!$F110="", "", AND('ProductSprint Backlog'!$J110&gt;M$2,'ProductSprint Backlog'!$I110&lt;=M$2), 'ProductSprint Backlog'!$F110 / MAX(1, 'ProductSprint Backlog'!$J110-'ProductSprint Backlog'!$I110), AND('ProductSprint Backlog'!$J110=M$2,'ProductSprint Backlog'!$I110=M$2), 'ProductSprint Backlog'!$F110, TRUE, 0)</f>
        <v>0</v>
      </c>
      <c r="N110" s="4" cm="1">
        <f t="array" ref="N110">_xlfn.IFS('ProductSprint Backlog'!$F110="", "", AND('ProductSprint Backlog'!$J110&gt;N$2,'ProductSprint Backlog'!$I110&lt;=N$2), 'ProductSprint Backlog'!$F110 / MAX(1, 'ProductSprint Backlog'!$J110-'ProductSprint Backlog'!$I110), AND('ProductSprint Backlog'!$J110=N$2,'ProductSprint Backlog'!$I110=N$2), 'ProductSprint Backlog'!$F110, TRUE, 0)</f>
        <v>0</v>
      </c>
      <c r="O110" s="4" cm="1">
        <f t="array" ref="O110">_xlfn.IFS('ProductSprint Backlog'!$F110="", "", AND('ProductSprint Backlog'!$J110&gt;O$2,'ProductSprint Backlog'!$I110&lt;=O$2), 'ProductSprint Backlog'!$F110 / MAX(1, 'ProductSprint Backlog'!$J110-'ProductSprint Backlog'!$I110), AND('ProductSprint Backlog'!$J110=O$2,'ProductSprint Backlog'!$I110=O$2), 'ProductSprint Backlog'!$F110, TRUE, 0)</f>
        <v>0</v>
      </c>
      <c r="P110" s="4" cm="1">
        <f t="array" ref="P110">_xlfn.IFS('ProductSprint Backlog'!$F110="", "", AND('ProductSprint Backlog'!$J110&gt;P$2,'ProductSprint Backlog'!$I110&lt;=P$2), 'ProductSprint Backlog'!$F110 / MAX(1, 'ProductSprint Backlog'!$J110-'ProductSprint Backlog'!$I110), AND('ProductSprint Backlog'!$J110=P$2,'ProductSprint Backlog'!$I110=P$2), 'ProductSprint Backlog'!$F110, TRUE, 0)</f>
        <v>0</v>
      </c>
      <c r="Q110" s="4" cm="1">
        <f t="array" ref="Q110">_xlfn.IFS('ProductSprint Backlog'!$F110="", "", AND('ProductSprint Backlog'!$J110&gt;Q$2,'ProductSprint Backlog'!$I110&lt;=Q$2), 'ProductSprint Backlog'!$F110 / MAX(1, 'ProductSprint Backlog'!$J110-'ProductSprint Backlog'!$I110), AND('ProductSprint Backlog'!$J110=Q$2,'ProductSprint Backlog'!$I110=Q$2), 'ProductSprint Backlog'!$F110, TRUE, 0)</f>
        <v>0</v>
      </c>
      <c r="R110" s="4" cm="1">
        <f t="array" ref="R110">_xlfn.IFS('ProductSprint Backlog'!$F110="", "", AND('ProductSprint Backlog'!$J110&gt;R$2,'ProductSprint Backlog'!$I110&lt;=R$2), 'ProductSprint Backlog'!$F110 / MAX(1, 'ProductSprint Backlog'!$J110-'ProductSprint Backlog'!$I110), AND('ProductSprint Backlog'!$J110=R$2,'ProductSprint Backlog'!$I110=R$2), 'ProductSprint Backlog'!$F110, TRUE, 0)</f>
        <v>0</v>
      </c>
      <c r="S110" s="4" cm="1">
        <f t="array" ref="S110">_xlfn.IFS('ProductSprint Backlog'!$F110="", "", AND('ProductSprint Backlog'!$J110&gt;S$2,'ProductSprint Backlog'!$I110&lt;=S$2), 'ProductSprint Backlog'!$F110 / MAX(1, 'ProductSprint Backlog'!$J110-'ProductSprint Backlog'!$I110), AND('ProductSprint Backlog'!$J110=S$2,'ProductSprint Backlog'!$I110=S$2), 'ProductSprint Backlog'!$F110, TRUE, 0)</f>
        <v>0</v>
      </c>
      <c r="T110" s="4" cm="1">
        <f t="array" ref="T110">_xlfn.IFS('ProductSprint Backlog'!$F110="", "", AND('ProductSprint Backlog'!$J110&gt;T$2,'ProductSprint Backlog'!$I110&lt;=T$2), 'ProductSprint Backlog'!$F110 / MAX(1, 'ProductSprint Backlog'!$J110-'ProductSprint Backlog'!$I110), AND('ProductSprint Backlog'!$J110=T$2,'ProductSprint Backlog'!$I110=T$2), 'ProductSprint Backlog'!$F110, TRUE, 0)</f>
        <v>0</v>
      </c>
    </row>
    <row r="111" spans="2:20" x14ac:dyDescent="0.2">
      <c r="B111" s="4" cm="1">
        <f t="array" ref="B111">_xlfn.IFS('ProductSprint Backlog'!$F111="", "", AND('ProductSprint Backlog'!$J111&gt;B$2,'ProductSprint Backlog'!$I111&lt;=B$2), 'ProductSprint Backlog'!$F111 / MAX(1, 'ProductSprint Backlog'!$J111-'ProductSprint Backlog'!$I111), AND('ProductSprint Backlog'!$J111=B$2,'ProductSprint Backlog'!$I111=B$2), 'ProductSprint Backlog'!$F111, TRUE, 0)</f>
        <v>0</v>
      </c>
      <c r="C111" s="4" cm="1">
        <f t="array" ref="C111">_xlfn.IFS('ProductSprint Backlog'!$F111="", "", AND('ProductSprint Backlog'!$J111&gt;C$2,'ProductSprint Backlog'!$I111&lt;=C$2), 'ProductSprint Backlog'!$F111 / MAX(1, 'ProductSprint Backlog'!$J111-'ProductSprint Backlog'!$I111), AND('ProductSprint Backlog'!$J111=C$2,'ProductSprint Backlog'!$I111=C$2), 'ProductSprint Backlog'!$F111, TRUE, 0)</f>
        <v>0</v>
      </c>
      <c r="D111" s="4" cm="1">
        <f t="array" ref="D111">_xlfn.IFS('ProductSprint Backlog'!$F111="", "", AND('ProductSprint Backlog'!$J111&gt;D$2,'ProductSprint Backlog'!$I111&lt;=D$2), 'ProductSprint Backlog'!$F111 / MAX(1, 'ProductSprint Backlog'!$J111-'ProductSprint Backlog'!$I111), AND('ProductSprint Backlog'!$J111=D$2,'ProductSprint Backlog'!$I111=D$2), 'ProductSprint Backlog'!$F111, TRUE, 0)</f>
        <v>0</v>
      </c>
      <c r="E111" s="4" cm="1">
        <f t="array" ref="E111">_xlfn.IFS('ProductSprint Backlog'!$F111="", "", AND('ProductSprint Backlog'!$J111&gt;E$2,'ProductSprint Backlog'!$I111&lt;=E$2), 'ProductSprint Backlog'!$F111 / MAX(1, 'ProductSprint Backlog'!$J111-'ProductSprint Backlog'!$I111), AND('ProductSprint Backlog'!$J111=E$2,'ProductSprint Backlog'!$I111=E$2), 'ProductSprint Backlog'!$F111, TRUE, 0)</f>
        <v>0</v>
      </c>
      <c r="F111" s="4" cm="1">
        <f t="array" ref="F111">_xlfn.IFS('ProductSprint Backlog'!$F111="", "", AND('ProductSprint Backlog'!$J111&gt;F$2,'ProductSprint Backlog'!$I111&lt;=F$2), 'ProductSprint Backlog'!$F111 / MAX(1, 'ProductSprint Backlog'!$J111-'ProductSprint Backlog'!$I111), AND('ProductSprint Backlog'!$J111=F$2,'ProductSprint Backlog'!$I111=F$2), 'ProductSprint Backlog'!$F111, TRUE, 0)</f>
        <v>0</v>
      </c>
      <c r="G111" s="4" cm="1">
        <f t="array" ref="G111">_xlfn.IFS('ProductSprint Backlog'!$F111="", "", AND('ProductSprint Backlog'!$J111&gt;G$2,'ProductSprint Backlog'!$I111&lt;=G$2), 'ProductSprint Backlog'!$F111 / MAX(1, 'ProductSprint Backlog'!$J111-'ProductSprint Backlog'!$I111), AND('ProductSprint Backlog'!$J111=G$2,'ProductSprint Backlog'!$I111=G$2), 'ProductSprint Backlog'!$F111, TRUE, 0)</f>
        <v>0.33333333333333331</v>
      </c>
      <c r="H111" s="4" cm="1">
        <f t="array" ref="H111">_xlfn.IFS('ProductSprint Backlog'!$F111="", "", AND('ProductSprint Backlog'!$J111&gt;H$2,'ProductSprint Backlog'!$I111&lt;=H$2), 'ProductSprint Backlog'!$F111 / MAX(1, 'ProductSprint Backlog'!$J111-'ProductSprint Backlog'!$I111), AND('ProductSprint Backlog'!$J111=H$2,'ProductSprint Backlog'!$I111=H$2), 'ProductSprint Backlog'!$F111, TRUE, 0)</f>
        <v>0.33333333333333331</v>
      </c>
      <c r="I111" s="4" cm="1">
        <f t="array" ref="I111">_xlfn.IFS('ProductSprint Backlog'!$F111="", "", AND('ProductSprint Backlog'!$J111&gt;I$2,'ProductSprint Backlog'!$I111&lt;=I$2), 'ProductSprint Backlog'!$F111 / MAX(1, 'ProductSprint Backlog'!$J111-'ProductSprint Backlog'!$I111), AND('ProductSprint Backlog'!$J111=I$2,'ProductSprint Backlog'!$I111=I$2), 'ProductSprint Backlog'!$F111, TRUE, 0)</f>
        <v>0.33333333333333331</v>
      </c>
      <c r="J111" s="4" cm="1">
        <f t="array" ref="J111">_xlfn.IFS('ProductSprint Backlog'!$F111="", "", AND('ProductSprint Backlog'!$J111&gt;J$2,'ProductSprint Backlog'!$I111&lt;=J$2), 'ProductSprint Backlog'!$F111 / MAX(1, 'ProductSprint Backlog'!$J111-'ProductSprint Backlog'!$I111), AND('ProductSprint Backlog'!$J111=J$2,'ProductSprint Backlog'!$I111=J$2), 'ProductSprint Backlog'!$F111, TRUE, 0)</f>
        <v>0</v>
      </c>
      <c r="K111" s="4" cm="1">
        <f t="array" ref="K111">_xlfn.IFS('ProductSprint Backlog'!$F111="", "", AND('ProductSprint Backlog'!$J111&gt;K$2,'ProductSprint Backlog'!$I111&lt;=K$2), 'ProductSprint Backlog'!$F111 / MAX(1, 'ProductSprint Backlog'!$J111-'ProductSprint Backlog'!$I111), AND('ProductSprint Backlog'!$J111=K$2,'ProductSprint Backlog'!$I111=K$2), 'ProductSprint Backlog'!$F111, TRUE, 0)</f>
        <v>0</v>
      </c>
      <c r="L111" s="4" cm="1">
        <f t="array" ref="L111">_xlfn.IFS('ProductSprint Backlog'!$F111="", "", AND('ProductSprint Backlog'!$J111&gt;L$2,'ProductSprint Backlog'!$I111&lt;=L$2), 'ProductSprint Backlog'!$F111 / MAX(1, 'ProductSprint Backlog'!$J111-'ProductSprint Backlog'!$I111), AND('ProductSprint Backlog'!$J111=L$2,'ProductSprint Backlog'!$I111=L$2), 'ProductSprint Backlog'!$F111, TRUE, 0)</f>
        <v>0</v>
      </c>
      <c r="M111" s="4" cm="1">
        <f t="array" ref="M111">_xlfn.IFS('ProductSprint Backlog'!$F111="", "", AND('ProductSprint Backlog'!$J111&gt;M$2,'ProductSprint Backlog'!$I111&lt;=M$2), 'ProductSprint Backlog'!$F111 / MAX(1, 'ProductSprint Backlog'!$J111-'ProductSprint Backlog'!$I111), AND('ProductSprint Backlog'!$J111=M$2,'ProductSprint Backlog'!$I111=M$2), 'ProductSprint Backlog'!$F111, TRUE, 0)</f>
        <v>0</v>
      </c>
      <c r="N111" s="4" cm="1">
        <f t="array" ref="N111">_xlfn.IFS('ProductSprint Backlog'!$F111="", "", AND('ProductSprint Backlog'!$J111&gt;N$2,'ProductSprint Backlog'!$I111&lt;=N$2), 'ProductSprint Backlog'!$F111 / MAX(1, 'ProductSprint Backlog'!$J111-'ProductSprint Backlog'!$I111), AND('ProductSprint Backlog'!$J111=N$2,'ProductSprint Backlog'!$I111=N$2), 'ProductSprint Backlog'!$F111, TRUE, 0)</f>
        <v>0</v>
      </c>
      <c r="O111" s="4" cm="1">
        <f t="array" ref="O111">_xlfn.IFS('ProductSprint Backlog'!$F111="", "", AND('ProductSprint Backlog'!$J111&gt;O$2,'ProductSprint Backlog'!$I111&lt;=O$2), 'ProductSprint Backlog'!$F111 / MAX(1, 'ProductSprint Backlog'!$J111-'ProductSprint Backlog'!$I111), AND('ProductSprint Backlog'!$J111=O$2,'ProductSprint Backlog'!$I111=O$2), 'ProductSprint Backlog'!$F111, TRUE, 0)</f>
        <v>0</v>
      </c>
      <c r="P111" s="4" cm="1">
        <f t="array" ref="P111">_xlfn.IFS('ProductSprint Backlog'!$F111="", "", AND('ProductSprint Backlog'!$J111&gt;P$2,'ProductSprint Backlog'!$I111&lt;=P$2), 'ProductSprint Backlog'!$F111 / MAX(1, 'ProductSprint Backlog'!$J111-'ProductSprint Backlog'!$I111), AND('ProductSprint Backlog'!$J111=P$2,'ProductSprint Backlog'!$I111=P$2), 'ProductSprint Backlog'!$F111, TRUE, 0)</f>
        <v>0</v>
      </c>
      <c r="Q111" s="4" cm="1">
        <f t="array" ref="Q111">_xlfn.IFS('ProductSprint Backlog'!$F111="", "", AND('ProductSprint Backlog'!$J111&gt;Q$2,'ProductSprint Backlog'!$I111&lt;=Q$2), 'ProductSprint Backlog'!$F111 / MAX(1, 'ProductSprint Backlog'!$J111-'ProductSprint Backlog'!$I111), AND('ProductSprint Backlog'!$J111=Q$2,'ProductSprint Backlog'!$I111=Q$2), 'ProductSprint Backlog'!$F111, TRUE, 0)</f>
        <v>0</v>
      </c>
      <c r="R111" s="4" cm="1">
        <f t="array" ref="R111">_xlfn.IFS('ProductSprint Backlog'!$F111="", "", AND('ProductSprint Backlog'!$J111&gt;R$2,'ProductSprint Backlog'!$I111&lt;=R$2), 'ProductSprint Backlog'!$F111 / MAX(1, 'ProductSprint Backlog'!$J111-'ProductSprint Backlog'!$I111), AND('ProductSprint Backlog'!$J111=R$2,'ProductSprint Backlog'!$I111=R$2), 'ProductSprint Backlog'!$F111, TRUE, 0)</f>
        <v>0</v>
      </c>
      <c r="S111" s="4" cm="1">
        <f t="array" ref="S111">_xlfn.IFS('ProductSprint Backlog'!$F111="", "", AND('ProductSprint Backlog'!$J111&gt;S$2,'ProductSprint Backlog'!$I111&lt;=S$2), 'ProductSprint Backlog'!$F111 / MAX(1, 'ProductSprint Backlog'!$J111-'ProductSprint Backlog'!$I111), AND('ProductSprint Backlog'!$J111=S$2,'ProductSprint Backlog'!$I111=S$2), 'ProductSprint Backlog'!$F111, TRUE, 0)</f>
        <v>0</v>
      </c>
      <c r="T111" s="4" cm="1">
        <f t="array" ref="T111">_xlfn.IFS('ProductSprint Backlog'!$F111="", "", AND('ProductSprint Backlog'!$J111&gt;T$2,'ProductSprint Backlog'!$I111&lt;=T$2), 'ProductSprint Backlog'!$F111 / MAX(1, 'ProductSprint Backlog'!$J111-'ProductSprint Backlog'!$I111), AND('ProductSprint Backlog'!$J111=T$2,'ProductSprint Backlog'!$I111=T$2), 'ProductSprint Backlog'!$F111, TRUE, 0)</f>
        <v>0</v>
      </c>
    </row>
    <row r="112" spans="2:20" x14ac:dyDescent="0.2">
      <c r="B112" s="4" cm="1">
        <f t="array" ref="B112">_xlfn.IFS('ProductSprint Backlog'!$F112="", "", AND('ProductSprint Backlog'!$J112&gt;B$2,'ProductSprint Backlog'!$I112&lt;=B$2), 'ProductSprint Backlog'!$F112 / MAX(1, 'ProductSprint Backlog'!$J112-'ProductSprint Backlog'!$I112), AND('ProductSprint Backlog'!$J112=B$2,'ProductSprint Backlog'!$I112=B$2), 'ProductSprint Backlog'!$F112, TRUE, 0)</f>
        <v>0</v>
      </c>
      <c r="C112" s="4" cm="1">
        <f t="array" ref="C112">_xlfn.IFS('ProductSprint Backlog'!$F112="", "", AND('ProductSprint Backlog'!$J112&gt;C$2,'ProductSprint Backlog'!$I112&lt;=C$2), 'ProductSprint Backlog'!$F112 / MAX(1, 'ProductSprint Backlog'!$J112-'ProductSprint Backlog'!$I112), AND('ProductSprint Backlog'!$J112=C$2,'ProductSprint Backlog'!$I112=C$2), 'ProductSprint Backlog'!$F112, TRUE, 0)</f>
        <v>0</v>
      </c>
      <c r="D112" s="4" cm="1">
        <f t="array" ref="D112">_xlfn.IFS('ProductSprint Backlog'!$F112="", "", AND('ProductSprint Backlog'!$J112&gt;D$2,'ProductSprint Backlog'!$I112&lt;=D$2), 'ProductSprint Backlog'!$F112 / MAX(1, 'ProductSprint Backlog'!$J112-'ProductSprint Backlog'!$I112), AND('ProductSprint Backlog'!$J112=D$2,'ProductSprint Backlog'!$I112=D$2), 'ProductSprint Backlog'!$F112, TRUE, 0)</f>
        <v>0</v>
      </c>
      <c r="E112" s="4" cm="1">
        <f t="array" ref="E112">_xlfn.IFS('ProductSprint Backlog'!$F112="", "", AND('ProductSprint Backlog'!$J112&gt;E$2,'ProductSprint Backlog'!$I112&lt;=E$2), 'ProductSprint Backlog'!$F112 / MAX(1, 'ProductSprint Backlog'!$J112-'ProductSprint Backlog'!$I112), AND('ProductSprint Backlog'!$J112=E$2,'ProductSprint Backlog'!$I112=E$2), 'ProductSprint Backlog'!$F112, TRUE, 0)</f>
        <v>0</v>
      </c>
      <c r="F112" s="4" cm="1">
        <f t="array" ref="F112">_xlfn.IFS('ProductSprint Backlog'!$F112="", "", AND('ProductSprint Backlog'!$J112&gt;F$2,'ProductSprint Backlog'!$I112&lt;=F$2), 'ProductSprint Backlog'!$F112 / MAX(1, 'ProductSprint Backlog'!$J112-'ProductSprint Backlog'!$I112), AND('ProductSprint Backlog'!$J112=F$2,'ProductSprint Backlog'!$I112=F$2), 'ProductSprint Backlog'!$F112, TRUE, 0)</f>
        <v>0</v>
      </c>
      <c r="G112" s="4" cm="1">
        <f t="array" ref="G112">_xlfn.IFS('ProductSprint Backlog'!$F112="", "", AND('ProductSprint Backlog'!$J112&gt;G$2,'ProductSprint Backlog'!$I112&lt;=G$2), 'ProductSprint Backlog'!$F112 / MAX(1, 'ProductSprint Backlog'!$J112-'ProductSprint Backlog'!$I112), AND('ProductSprint Backlog'!$J112=G$2,'ProductSprint Backlog'!$I112=G$2), 'ProductSprint Backlog'!$F112, TRUE, 0)</f>
        <v>0.33333333333333331</v>
      </c>
      <c r="H112" s="4" cm="1">
        <f t="array" ref="H112">_xlfn.IFS('ProductSprint Backlog'!$F112="", "", AND('ProductSprint Backlog'!$J112&gt;H$2,'ProductSprint Backlog'!$I112&lt;=H$2), 'ProductSprint Backlog'!$F112 / MAX(1, 'ProductSprint Backlog'!$J112-'ProductSprint Backlog'!$I112), AND('ProductSprint Backlog'!$J112=H$2,'ProductSprint Backlog'!$I112=H$2), 'ProductSprint Backlog'!$F112, TRUE, 0)</f>
        <v>0.33333333333333331</v>
      </c>
      <c r="I112" s="4" cm="1">
        <f t="array" ref="I112">_xlfn.IFS('ProductSprint Backlog'!$F112="", "", AND('ProductSprint Backlog'!$J112&gt;I$2,'ProductSprint Backlog'!$I112&lt;=I$2), 'ProductSprint Backlog'!$F112 / MAX(1, 'ProductSprint Backlog'!$J112-'ProductSprint Backlog'!$I112), AND('ProductSprint Backlog'!$J112=I$2,'ProductSprint Backlog'!$I112=I$2), 'ProductSprint Backlog'!$F112, TRUE, 0)</f>
        <v>0.33333333333333331</v>
      </c>
      <c r="J112" s="4" cm="1">
        <f t="array" ref="J112">_xlfn.IFS('ProductSprint Backlog'!$F112="", "", AND('ProductSprint Backlog'!$J112&gt;J$2,'ProductSprint Backlog'!$I112&lt;=J$2), 'ProductSprint Backlog'!$F112 / MAX(1, 'ProductSprint Backlog'!$J112-'ProductSprint Backlog'!$I112), AND('ProductSprint Backlog'!$J112=J$2,'ProductSprint Backlog'!$I112=J$2), 'ProductSprint Backlog'!$F112, TRUE, 0)</f>
        <v>0</v>
      </c>
      <c r="K112" s="4" cm="1">
        <f t="array" ref="K112">_xlfn.IFS('ProductSprint Backlog'!$F112="", "", AND('ProductSprint Backlog'!$J112&gt;K$2,'ProductSprint Backlog'!$I112&lt;=K$2), 'ProductSprint Backlog'!$F112 / MAX(1, 'ProductSprint Backlog'!$J112-'ProductSprint Backlog'!$I112), AND('ProductSprint Backlog'!$J112=K$2,'ProductSprint Backlog'!$I112=K$2), 'ProductSprint Backlog'!$F112, TRUE, 0)</f>
        <v>0</v>
      </c>
      <c r="L112" s="4" cm="1">
        <f t="array" ref="L112">_xlfn.IFS('ProductSprint Backlog'!$F112="", "", AND('ProductSprint Backlog'!$J112&gt;L$2,'ProductSprint Backlog'!$I112&lt;=L$2), 'ProductSprint Backlog'!$F112 / MAX(1, 'ProductSprint Backlog'!$J112-'ProductSprint Backlog'!$I112), AND('ProductSprint Backlog'!$J112=L$2,'ProductSprint Backlog'!$I112=L$2), 'ProductSprint Backlog'!$F112, TRUE, 0)</f>
        <v>0</v>
      </c>
      <c r="M112" s="4" cm="1">
        <f t="array" ref="M112">_xlfn.IFS('ProductSprint Backlog'!$F112="", "", AND('ProductSprint Backlog'!$J112&gt;M$2,'ProductSprint Backlog'!$I112&lt;=M$2), 'ProductSprint Backlog'!$F112 / MAX(1, 'ProductSprint Backlog'!$J112-'ProductSprint Backlog'!$I112), AND('ProductSprint Backlog'!$J112=M$2,'ProductSprint Backlog'!$I112=M$2), 'ProductSprint Backlog'!$F112, TRUE, 0)</f>
        <v>0</v>
      </c>
      <c r="N112" s="4" cm="1">
        <f t="array" ref="N112">_xlfn.IFS('ProductSprint Backlog'!$F112="", "", AND('ProductSprint Backlog'!$J112&gt;N$2,'ProductSprint Backlog'!$I112&lt;=N$2), 'ProductSprint Backlog'!$F112 / MAX(1, 'ProductSprint Backlog'!$J112-'ProductSprint Backlog'!$I112), AND('ProductSprint Backlog'!$J112=N$2,'ProductSprint Backlog'!$I112=N$2), 'ProductSprint Backlog'!$F112, TRUE, 0)</f>
        <v>0</v>
      </c>
      <c r="O112" s="4" cm="1">
        <f t="array" ref="O112">_xlfn.IFS('ProductSprint Backlog'!$F112="", "", AND('ProductSprint Backlog'!$J112&gt;O$2,'ProductSprint Backlog'!$I112&lt;=O$2), 'ProductSprint Backlog'!$F112 / MAX(1, 'ProductSprint Backlog'!$J112-'ProductSprint Backlog'!$I112), AND('ProductSprint Backlog'!$J112=O$2,'ProductSprint Backlog'!$I112=O$2), 'ProductSprint Backlog'!$F112, TRUE, 0)</f>
        <v>0</v>
      </c>
      <c r="P112" s="4" cm="1">
        <f t="array" ref="P112">_xlfn.IFS('ProductSprint Backlog'!$F112="", "", AND('ProductSprint Backlog'!$J112&gt;P$2,'ProductSprint Backlog'!$I112&lt;=P$2), 'ProductSprint Backlog'!$F112 / MAX(1, 'ProductSprint Backlog'!$J112-'ProductSprint Backlog'!$I112), AND('ProductSprint Backlog'!$J112=P$2,'ProductSprint Backlog'!$I112=P$2), 'ProductSprint Backlog'!$F112, TRUE, 0)</f>
        <v>0</v>
      </c>
      <c r="Q112" s="4" cm="1">
        <f t="array" ref="Q112">_xlfn.IFS('ProductSprint Backlog'!$F112="", "", AND('ProductSprint Backlog'!$J112&gt;Q$2,'ProductSprint Backlog'!$I112&lt;=Q$2), 'ProductSprint Backlog'!$F112 / MAX(1, 'ProductSprint Backlog'!$J112-'ProductSprint Backlog'!$I112), AND('ProductSprint Backlog'!$J112=Q$2,'ProductSprint Backlog'!$I112=Q$2), 'ProductSprint Backlog'!$F112, TRUE, 0)</f>
        <v>0</v>
      </c>
      <c r="R112" s="4" cm="1">
        <f t="array" ref="R112">_xlfn.IFS('ProductSprint Backlog'!$F112="", "", AND('ProductSprint Backlog'!$J112&gt;R$2,'ProductSprint Backlog'!$I112&lt;=R$2), 'ProductSprint Backlog'!$F112 / MAX(1, 'ProductSprint Backlog'!$J112-'ProductSprint Backlog'!$I112), AND('ProductSprint Backlog'!$J112=R$2,'ProductSprint Backlog'!$I112=R$2), 'ProductSprint Backlog'!$F112, TRUE, 0)</f>
        <v>0</v>
      </c>
      <c r="S112" s="4" cm="1">
        <f t="array" ref="S112">_xlfn.IFS('ProductSprint Backlog'!$F112="", "", AND('ProductSprint Backlog'!$J112&gt;S$2,'ProductSprint Backlog'!$I112&lt;=S$2), 'ProductSprint Backlog'!$F112 / MAX(1, 'ProductSprint Backlog'!$J112-'ProductSprint Backlog'!$I112), AND('ProductSprint Backlog'!$J112=S$2,'ProductSprint Backlog'!$I112=S$2), 'ProductSprint Backlog'!$F112, TRUE, 0)</f>
        <v>0</v>
      </c>
      <c r="T112" s="4" cm="1">
        <f t="array" ref="T112">_xlfn.IFS('ProductSprint Backlog'!$F112="", "", AND('ProductSprint Backlog'!$J112&gt;T$2,'ProductSprint Backlog'!$I112&lt;=T$2), 'ProductSprint Backlog'!$F112 / MAX(1, 'ProductSprint Backlog'!$J112-'ProductSprint Backlog'!$I112), AND('ProductSprint Backlog'!$J112=T$2,'ProductSprint Backlog'!$I112=T$2), 'ProductSprint Backlog'!$F112, TRUE, 0)</f>
        <v>0</v>
      </c>
    </row>
    <row r="113" spans="2:20" x14ac:dyDescent="0.2">
      <c r="B113" s="4" cm="1">
        <f t="array" ref="B113">_xlfn.IFS('ProductSprint Backlog'!$F113="", "", AND('ProductSprint Backlog'!$J113&gt;B$2,'ProductSprint Backlog'!$I113&lt;=B$2), 'ProductSprint Backlog'!$F113 / MAX(1, 'ProductSprint Backlog'!$J113-'ProductSprint Backlog'!$I113), AND('ProductSprint Backlog'!$J113=B$2,'ProductSprint Backlog'!$I113=B$2), 'ProductSprint Backlog'!$F113, TRUE, 0)</f>
        <v>0</v>
      </c>
      <c r="C113" s="4" cm="1">
        <f t="array" ref="C113">_xlfn.IFS('ProductSprint Backlog'!$F113="", "", AND('ProductSprint Backlog'!$J113&gt;C$2,'ProductSprint Backlog'!$I113&lt;=C$2), 'ProductSprint Backlog'!$F113 / MAX(1, 'ProductSprint Backlog'!$J113-'ProductSprint Backlog'!$I113), AND('ProductSprint Backlog'!$J113=C$2,'ProductSprint Backlog'!$I113=C$2), 'ProductSprint Backlog'!$F113, TRUE, 0)</f>
        <v>0</v>
      </c>
      <c r="D113" s="4" cm="1">
        <f t="array" ref="D113">_xlfn.IFS('ProductSprint Backlog'!$F113="", "", AND('ProductSprint Backlog'!$J113&gt;D$2,'ProductSprint Backlog'!$I113&lt;=D$2), 'ProductSprint Backlog'!$F113 / MAX(1, 'ProductSprint Backlog'!$J113-'ProductSprint Backlog'!$I113), AND('ProductSprint Backlog'!$J113=D$2,'ProductSprint Backlog'!$I113=D$2), 'ProductSprint Backlog'!$F113, TRUE, 0)</f>
        <v>0</v>
      </c>
      <c r="E113" s="4" cm="1">
        <f t="array" ref="E113">_xlfn.IFS('ProductSprint Backlog'!$F113="", "", AND('ProductSprint Backlog'!$J113&gt;E$2,'ProductSprint Backlog'!$I113&lt;=E$2), 'ProductSprint Backlog'!$F113 / MAX(1, 'ProductSprint Backlog'!$J113-'ProductSprint Backlog'!$I113), AND('ProductSprint Backlog'!$J113=E$2,'ProductSprint Backlog'!$I113=E$2), 'ProductSprint Backlog'!$F113, TRUE, 0)</f>
        <v>0</v>
      </c>
      <c r="F113" s="4" cm="1">
        <f t="array" ref="F113">_xlfn.IFS('ProductSprint Backlog'!$F113="", "", AND('ProductSprint Backlog'!$J113&gt;F$2,'ProductSprint Backlog'!$I113&lt;=F$2), 'ProductSprint Backlog'!$F113 / MAX(1, 'ProductSprint Backlog'!$J113-'ProductSprint Backlog'!$I113), AND('ProductSprint Backlog'!$J113=F$2,'ProductSprint Backlog'!$I113=F$2), 'ProductSprint Backlog'!$F113, TRUE, 0)</f>
        <v>0</v>
      </c>
      <c r="G113" s="4" cm="1">
        <f t="array" ref="G113">_xlfn.IFS('ProductSprint Backlog'!$F113="", "", AND('ProductSprint Backlog'!$J113&gt;G$2,'ProductSprint Backlog'!$I113&lt;=G$2), 'ProductSprint Backlog'!$F113 / MAX(1, 'ProductSprint Backlog'!$J113-'ProductSprint Backlog'!$I113), AND('ProductSprint Backlog'!$J113=G$2,'ProductSprint Backlog'!$I113=G$2), 'ProductSprint Backlog'!$F113, TRUE, 0)</f>
        <v>0.33333333333333331</v>
      </c>
      <c r="H113" s="4" cm="1">
        <f t="array" ref="H113">_xlfn.IFS('ProductSprint Backlog'!$F113="", "", AND('ProductSprint Backlog'!$J113&gt;H$2,'ProductSprint Backlog'!$I113&lt;=H$2), 'ProductSprint Backlog'!$F113 / MAX(1, 'ProductSprint Backlog'!$J113-'ProductSprint Backlog'!$I113), AND('ProductSprint Backlog'!$J113=H$2,'ProductSprint Backlog'!$I113=H$2), 'ProductSprint Backlog'!$F113, TRUE, 0)</f>
        <v>0.33333333333333331</v>
      </c>
      <c r="I113" s="4" cm="1">
        <f t="array" ref="I113">_xlfn.IFS('ProductSprint Backlog'!$F113="", "", AND('ProductSprint Backlog'!$J113&gt;I$2,'ProductSprint Backlog'!$I113&lt;=I$2), 'ProductSprint Backlog'!$F113 / MAX(1, 'ProductSprint Backlog'!$J113-'ProductSprint Backlog'!$I113), AND('ProductSprint Backlog'!$J113=I$2,'ProductSprint Backlog'!$I113=I$2), 'ProductSprint Backlog'!$F113, TRUE, 0)</f>
        <v>0.33333333333333331</v>
      </c>
      <c r="J113" s="4" cm="1">
        <f t="array" ref="J113">_xlfn.IFS('ProductSprint Backlog'!$F113="", "", AND('ProductSprint Backlog'!$J113&gt;J$2,'ProductSprint Backlog'!$I113&lt;=J$2), 'ProductSprint Backlog'!$F113 / MAX(1, 'ProductSprint Backlog'!$J113-'ProductSprint Backlog'!$I113), AND('ProductSprint Backlog'!$J113=J$2,'ProductSprint Backlog'!$I113=J$2), 'ProductSprint Backlog'!$F113, TRUE, 0)</f>
        <v>0</v>
      </c>
      <c r="K113" s="4" cm="1">
        <f t="array" ref="K113">_xlfn.IFS('ProductSprint Backlog'!$F113="", "", AND('ProductSprint Backlog'!$J113&gt;K$2,'ProductSprint Backlog'!$I113&lt;=K$2), 'ProductSprint Backlog'!$F113 / MAX(1, 'ProductSprint Backlog'!$J113-'ProductSprint Backlog'!$I113), AND('ProductSprint Backlog'!$J113=K$2,'ProductSprint Backlog'!$I113=K$2), 'ProductSprint Backlog'!$F113, TRUE, 0)</f>
        <v>0</v>
      </c>
      <c r="L113" s="4" cm="1">
        <f t="array" ref="L113">_xlfn.IFS('ProductSprint Backlog'!$F113="", "", AND('ProductSprint Backlog'!$J113&gt;L$2,'ProductSprint Backlog'!$I113&lt;=L$2), 'ProductSprint Backlog'!$F113 / MAX(1, 'ProductSprint Backlog'!$J113-'ProductSprint Backlog'!$I113), AND('ProductSprint Backlog'!$J113=L$2,'ProductSprint Backlog'!$I113=L$2), 'ProductSprint Backlog'!$F113, TRUE, 0)</f>
        <v>0</v>
      </c>
      <c r="M113" s="4" cm="1">
        <f t="array" ref="M113">_xlfn.IFS('ProductSprint Backlog'!$F113="", "", AND('ProductSprint Backlog'!$J113&gt;M$2,'ProductSprint Backlog'!$I113&lt;=M$2), 'ProductSprint Backlog'!$F113 / MAX(1, 'ProductSprint Backlog'!$J113-'ProductSprint Backlog'!$I113), AND('ProductSprint Backlog'!$J113=M$2,'ProductSprint Backlog'!$I113=M$2), 'ProductSprint Backlog'!$F113, TRUE, 0)</f>
        <v>0</v>
      </c>
      <c r="N113" s="4" cm="1">
        <f t="array" ref="N113">_xlfn.IFS('ProductSprint Backlog'!$F113="", "", AND('ProductSprint Backlog'!$J113&gt;N$2,'ProductSprint Backlog'!$I113&lt;=N$2), 'ProductSprint Backlog'!$F113 / MAX(1, 'ProductSprint Backlog'!$J113-'ProductSprint Backlog'!$I113), AND('ProductSprint Backlog'!$J113=N$2,'ProductSprint Backlog'!$I113=N$2), 'ProductSprint Backlog'!$F113, TRUE, 0)</f>
        <v>0</v>
      </c>
      <c r="O113" s="4" cm="1">
        <f t="array" ref="O113">_xlfn.IFS('ProductSprint Backlog'!$F113="", "", AND('ProductSprint Backlog'!$J113&gt;O$2,'ProductSprint Backlog'!$I113&lt;=O$2), 'ProductSprint Backlog'!$F113 / MAX(1, 'ProductSprint Backlog'!$J113-'ProductSprint Backlog'!$I113), AND('ProductSprint Backlog'!$J113=O$2,'ProductSprint Backlog'!$I113=O$2), 'ProductSprint Backlog'!$F113, TRUE, 0)</f>
        <v>0</v>
      </c>
      <c r="P113" s="4" cm="1">
        <f t="array" ref="P113">_xlfn.IFS('ProductSprint Backlog'!$F113="", "", AND('ProductSprint Backlog'!$J113&gt;P$2,'ProductSprint Backlog'!$I113&lt;=P$2), 'ProductSprint Backlog'!$F113 / MAX(1, 'ProductSprint Backlog'!$J113-'ProductSprint Backlog'!$I113), AND('ProductSprint Backlog'!$J113=P$2,'ProductSprint Backlog'!$I113=P$2), 'ProductSprint Backlog'!$F113, TRUE, 0)</f>
        <v>0</v>
      </c>
      <c r="Q113" s="4" cm="1">
        <f t="array" ref="Q113">_xlfn.IFS('ProductSprint Backlog'!$F113="", "", AND('ProductSprint Backlog'!$J113&gt;Q$2,'ProductSprint Backlog'!$I113&lt;=Q$2), 'ProductSprint Backlog'!$F113 / MAX(1, 'ProductSprint Backlog'!$J113-'ProductSprint Backlog'!$I113), AND('ProductSprint Backlog'!$J113=Q$2,'ProductSprint Backlog'!$I113=Q$2), 'ProductSprint Backlog'!$F113, TRUE, 0)</f>
        <v>0</v>
      </c>
      <c r="R113" s="4" cm="1">
        <f t="array" ref="R113">_xlfn.IFS('ProductSprint Backlog'!$F113="", "", AND('ProductSprint Backlog'!$J113&gt;R$2,'ProductSprint Backlog'!$I113&lt;=R$2), 'ProductSprint Backlog'!$F113 / MAX(1, 'ProductSprint Backlog'!$J113-'ProductSprint Backlog'!$I113), AND('ProductSprint Backlog'!$J113=R$2,'ProductSprint Backlog'!$I113=R$2), 'ProductSprint Backlog'!$F113, TRUE, 0)</f>
        <v>0</v>
      </c>
      <c r="S113" s="4" cm="1">
        <f t="array" ref="S113">_xlfn.IFS('ProductSprint Backlog'!$F113="", "", AND('ProductSprint Backlog'!$J113&gt;S$2,'ProductSprint Backlog'!$I113&lt;=S$2), 'ProductSprint Backlog'!$F113 / MAX(1, 'ProductSprint Backlog'!$J113-'ProductSprint Backlog'!$I113), AND('ProductSprint Backlog'!$J113=S$2,'ProductSprint Backlog'!$I113=S$2), 'ProductSprint Backlog'!$F113, TRUE, 0)</f>
        <v>0</v>
      </c>
      <c r="T113" s="4" cm="1">
        <f t="array" ref="T113">_xlfn.IFS('ProductSprint Backlog'!$F113="", "", AND('ProductSprint Backlog'!$J113&gt;T$2,'ProductSprint Backlog'!$I113&lt;=T$2), 'ProductSprint Backlog'!$F113 / MAX(1, 'ProductSprint Backlog'!$J113-'ProductSprint Backlog'!$I113), AND('ProductSprint Backlog'!$J113=T$2,'ProductSprint Backlog'!$I113=T$2), 'ProductSprint Backlog'!$F113, TRUE, 0)</f>
        <v>0</v>
      </c>
    </row>
    <row r="114" spans="2:20" x14ac:dyDescent="0.2">
      <c r="B114" s="4" cm="1">
        <f t="array" ref="B114">_xlfn.IFS('ProductSprint Backlog'!$F114="", "", AND('ProductSprint Backlog'!$J114&gt;B$2,'ProductSprint Backlog'!$I114&lt;=B$2), 'ProductSprint Backlog'!$F114 / MAX(1, 'ProductSprint Backlog'!$J114-'ProductSprint Backlog'!$I114), AND('ProductSprint Backlog'!$J114=B$2,'ProductSprint Backlog'!$I114=B$2), 'ProductSprint Backlog'!$F114, TRUE, 0)</f>
        <v>0</v>
      </c>
      <c r="C114" s="4" cm="1">
        <f t="array" ref="C114">_xlfn.IFS('ProductSprint Backlog'!$F114="", "", AND('ProductSprint Backlog'!$J114&gt;C$2,'ProductSprint Backlog'!$I114&lt;=C$2), 'ProductSprint Backlog'!$F114 / MAX(1, 'ProductSprint Backlog'!$J114-'ProductSprint Backlog'!$I114), AND('ProductSprint Backlog'!$J114=C$2,'ProductSprint Backlog'!$I114=C$2), 'ProductSprint Backlog'!$F114, TRUE, 0)</f>
        <v>0</v>
      </c>
      <c r="D114" s="4" cm="1">
        <f t="array" ref="D114">_xlfn.IFS('ProductSprint Backlog'!$F114="", "", AND('ProductSprint Backlog'!$J114&gt;D$2,'ProductSprint Backlog'!$I114&lt;=D$2), 'ProductSprint Backlog'!$F114 / MAX(1, 'ProductSprint Backlog'!$J114-'ProductSprint Backlog'!$I114), AND('ProductSprint Backlog'!$J114=D$2,'ProductSprint Backlog'!$I114=D$2), 'ProductSprint Backlog'!$F114, TRUE, 0)</f>
        <v>0</v>
      </c>
      <c r="E114" s="4" cm="1">
        <f t="array" ref="E114">_xlfn.IFS('ProductSprint Backlog'!$F114="", "", AND('ProductSprint Backlog'!$J114&gt;E$2,'ProductSprint Backlog'!$I114&lt;=E$2), 'ProductSprint Backlog'!$F114 / MAX(1, 'ProductSprint Backlog'!$J114-'ProductSprint Backlog'!$I114), AND('ProductSprint Backlog'!$J114=E$2,'ProductSprint Backlog'!$I114=E$2), 'ProductSprint Backlog'!$F114, TRUE, 0)</f>
        <v>0</v>
      </c>
      <c r="F114" s="4" cm="1">
        <f t="array" ref="F114">_xlfn.IFS('ProductSprint Backlog'!$F114="", "", AND('ProductSprint Backlog'!$J114&gt;F$2,'ProductSprint Backlog'!$I114&lt;=F$2), 'ProductSprint Backlog'!$F114 / MAX(1, 'ProductSprint Backlog'!$J114-'ProductSprint Backlog'!$I114), AND('ProductSprint Backlog'!$J114=F$2,'ProductSprint Backlog'!$I114=F$2), 'ProductSprint Backlog'!$F114, TRUE, 0)</f>
        <v>0</v>
      </c>
      <c r="G114" s="4" cm="1">
        <f t="array" ref="G114">_xlfn.IFS('ProductSprint Backlog'!$F114="", "", AND('ProductSprint Backlog'!$J114&gt;G$2,'ProductSprint Backlog'!$I114&lt;=G$2), 'ProductSprint Backlog'!$F114 / MAX(1, 'ProductSprint Backlog'!$J114-'ProductSprint Backlog'!$I114), AND('ProductSprint Backlog'!$J114=G$2,'ProductSprint Backlog'!$I114=G$2), 'ProductSprint Backlog'!$F114, TRUE, 0)</f>
        <v>0</v>
      </c>
      <c r="H114" s="4" cm="1">
        <f t="array" ref="H114">_xlfn.IFS('ProductSprint Backlog'!$F114="", "", AND('ProductSprint Backlog'!$J114&gt;H$2,'ProductSprint Backlog'!$I114&lt;=H$2), 'ProductSprint Backlog'!$F114 / MAX(1, 'ProductSprint Backlog'!$J114-'ProductSprint Backlog'!$I114), AND('ProductSprint Backlog'!$J114=H$2,'ProductSprint Backlog'!$I114=H$2), 'ProductSprint Backlog'!$F114, TRUE, 0)</f>
        <v>0</v>
      </c>
      <c r="I114" s="4" cm="1">
        <f t="array" ref="I114">_xlfn.IFS('ProductSprint Backlog'!$F114="", "", AND('ProductSprint Backlog'!$J114&gt;I$2,'ProductSprint Backlog'!$I114&lt;=I$2), 'ProductSprint Backlog'!$F114 / MAX(1, 'ProductSprint Backlog'!$J114-'ProductSprint Backlog'!$I114), AND('ProductSprint Backlog'!$J114=I$2,'ProductSprint Backlog'!$I114=I$2), 'ProductSprint Backlog'!$F114, TRUE, 0)</f>
        <v>0</v>
      </c>
      <c r="J114" s="4" cm="1">
        <f t="array" ref="J114">_xlfn.IFS('ProductSprint Backlog'!$F114="", "", AND('ProductSprint Backlog'!$J114&gt;J$2,'ProductSprint Backlog'!$I114&lt;=J$2), 'ProductSprint Backlog'!$F114 / MAX(1, 'ProductSprint Backlog'!$J114-'ProductSprint Backlog'!$I114), AND('ProductSprint Backlog'!$J114=J$2,'ProductSprint Backlog'!$I114=J$2), 'ProductSprint Backlog'!$F114, TRUE, 0)</f>
        <v>0</v>
      </c>
      <c r="K114" s="4" cm="1">
        <f t="array" ref="K114">_xlfn.IFS('ProductSprint Backlog'!$F114="", "", AND('ProductSprint Backlog'!$J114&gt;K$2,'ProductSprint Backlog'!$I114&lt;=K$2), 'ProductSprint Backlog'!$F114 / MAX(1, 'ProductSprint Backlog'!$J114-'ProductSprint Backlog'!$I114), AND('ProductSprint Backlog'!$J114=K$2,'ProductSprint Backlog'!$I114=K$2), 'ProductSprint Backlog'!$F114, TRUE, 0)</f>
        <v>0.2</v>
      </c>
      <c r="L114" s="4" cm="1">
        <f t="array" ref="L114">_xlfn.IFS('ProductSprint Backlog'!$F114="", "", AND('ProductSprint Backlog'!$J114&gt;L$2,'ProductSprint Backlog'!$I114&lt;=L$2), 'ProductSprint Backlog'!$F114 / MAX(1, 'ProductSprint Backlog'!$J114-'ProductSprint Backlog'!$I114), AND('ProductSprint Backlog'!$J114=L$2,'ProductSprint Backlog'!$I114=L$2), 'ProductSprint Backlog'!$F114, TRUE, 0)</f>
        <v>0.2</v>
      </c>
      <c r="M114" s="4" cm="1">
        <f t="array" ref="M114">_xlfn.IFS('ProductSprint Backlog'!$F114="", "", AND('ProductSprint Backlog'!$J114&gt;M$2,'ProductSprint Backlog'!$I114&lt;=M$2), 'ProductSprint Backlog'!$F114 / MAX(1, 'ProductSprint Backlog'!$J114-'ProductSprint Backlog'!$I114), AND('ProductSprint Backlog'!$J114=M$2,'ProductSprint Backlog'!$I114=M$2), 'ProductSprint Backlog'!$F114, TRUE, 0)</f>
        <v>0.2</v>
      </c>
      <c r="N114" s="4" cm="1">
        <f t="array" ref="N114">_xlfn.IFS('ProductSprint Backlog'!$F114="", "", AND('ProductSprint Backlog'!$J114&gt;N$2,'ProductSprint Backlog'!$I114&lt;=N$2), 'ProductSprint Backlog'!$F114 / MAX(1, 'ProductSprint Backlog'!$J114-'ProductSprint Backlog'!$I114), AND('ProductSprint Backlog'!$J114=N$2,'ProductSprint Backlog'!$I114=N$2), 'ProductSprint Backlog'!$F114, TRUE, 0)</f>
        <v>0.2</v>
      </c>
      <c r="O114" s="4" cm="1">
        <f t="array" ref="O114">_xlfn.IFS('ProductSprint Backlog'!$F114="", "", AND('ProductSprint Backlog'!$J114&gt;O$2,'ProductSprint Backlog'!$I114&lt;=O$2), 'ProductSprint Backlog'!$F114 / MAX(1, 'ProductSprint Backlog'!$J114-'ProductSprint Backlog'!$I114), AND('ProductSprint Backlog'!$J114=O$2,'ProductSprint Backlog'!$I114=O$2), 'ProductSprint Backlog'!$F114, TRUE, 0)</f>
        <v>0.2</v>
      </c>
      <c r="P114" s="4" cm="1">
        <f t="array" ref="P114">_xlfn.IFS('ProductSprint Backlog'!$F114="", "", AND('ProductSprint Backlog'!$J114&gt;P$2,'ProductSprint Backlog'!$I114&lt;=P$2), 'ProductSprint Backlog'!$F114 / MAX(1, 'ProductSprint Backlog'!$J114-'ProductSprint Backlog'!$I114), AND('ProductSprint Backlog'!$J114=P$2,'ProductSprint Backlog'!$I114=P$2), 'ProductSprint Backlog'!$F114, TRUE, 0)</f>
        <v>0</v>
      </c>
      <c r="Q114" s="4" cm="1">
        <f t="array" ref="Q114">_xlfn.IFS('ProductSprint Backlog'!$F114="", "", AND('ProductSprint Backlog'!$J114&gt;Q$2,'ProductSprint Backlog'!$I114&lt;=Q$2), 'ProductSprint Backlog'!$F114 / MAX(1, 'ProductSprint Backlog'!$J114-'ProductSprint Backlog'!$I114), AND('ProductSprint Backlog'!$J114=Q$2,'ProductSprint Backlog'!$I114=Q$2), 'ProductSprint Backlog'!$F114, TRUE, 0)</f>
        <v>0</v>
      </c>
      <c r="R114" s="4" cm="1">
        <f t="array" ref="R114">_xlfn.IFS('ProductSprint Backlog'!$F114="", "", AND('ProductSprint Backlog'!$J114&gt;R$2,'ProductSprint Backlog'!$I114&lt;=R$2), 'ProductSprint Backlog'!$F114 / MAX(1, 'ProductSprint Backlog'!$J114-'ProductSprint Backlog'!$I114), AND('ProductSprint Backlog'!$J114=R$2,'ProductSprint Backlog'!$I114=R$2), 'ProductSprint Backlog'!$F114, TRUE, 0)</f>
        <v>0</v>
      </c>
      <c r="S114" s="4" cm="1">
        <f t="array" ref="S114">_xlfn.IFS('ProductSprint Backlog'!$F114="", "", AND('ProductSprint Backlog'!$J114&gt;S$2,'ProductSprint Backlog'!$I114&lt;=S$2), 'ProductSprint Backlog'!$F114 / MAX(1, 'ProductSprint Backlog'!$J114-'ProductSprint Backlog'!$I114), AND('ProductSprint Backlog'!$J114=S$2,'ProductSprint Backlog'!$I114=S$2), 'ProductSprint Backlog'!$F114, TRUE, 0)</f>
        <v>0</v>
      </c>
      <c r="T114" s="4" cm="1">
        <f t="array" ref="T114">_xlfn.IFS('ProductSprint Backlog'!$F114="", "", AND('ProductSprint Backlog'!$J114&gt;T$2,'ProductSprint Backlog'!$I114&lt;=T$2), 'ProductSprint Backlog'!$F114 / MAX(1, 'ProductSprint Backlog'!$J114-'ProductSprint Backlog'!$I114), AND('ProductSprint Backlog'!$J114=T$2,'ProductSprint Backlog'!$I114=T$2), 'ProductSprint Backlog'!$F114, TRUE, 0)</f>
        <v>0</v>
      </c>
    </row>
    <row r="115" spans="2:20" x14ac:dyDescent="0.2">
      <c r="B115" s="4" cm="1">
        <f t="array" ref="B115">_xlfn.IFS('ProductSprint Backlog'!$F115="", "", AND('ProductSprint Backlog'!$J115&gt;B$2,'ProductSprint Backlog'!$I115&lt;=B$2), 'ProductSprint Backlog'!$F115 / MAX(1, 'ProductSprint Backlog'!$J115-'ProductSprint Backlog'!$I115), AND('ProductSprint Backlog'!$J115=B$2,'ProductSprint Backlog'!$I115=B$2), 'ProductSprint Backlog'!$F115, TRUE, 0)</f>
        <v>0</v>
      </c>
      <c r="C115" s="4" cm="1">
        <f t="array" ref="C115">_xlfn.IFS('ProductSprint Backlog'!$F115="", "", AND('ProductSprint Backlog'!$J115&gt;C$2,'ProductSprint Backlog'!$I115&lt;=C$2), 'ProductSprint Backlog'!$F115 / MAX(1, 'ProductSprint Backlog'!$J115-'ProductSprint Backlog'!$I115), AND('ProductSprint Backlog'!$J115=C$2,'ProductSprint Backlog'!$I115=C$2), 'ProductSprint Backlog'!$F115, TRUE, 0)</f>
        <v>0</v>
      </c>
      <c r="D115" s="4" cm="1">
        <f t="array" ref="D115">_xlfn.IFS('ProductSprint Backlog'!$F115="", "", AND('ProductSprint Backlog'!$J115&gt;D$2,'ProductSprint Backlog'!$I115&lt;=D$2), 'ProductSprint Backlog'!$F115 / MAX(1, 'ProductSprint Backlog'!$J115-'ProductSprint Backlog'!$I115), AND('ProductSprint Backlog'!$J115=D$2,'ProductSprint Backlog'!$I115=D$2), 'ProductSprint Backlog'!$F115, TRUE, 0)</f>
        <v>0</v>
      </c>
      <c r="E115" s="4" cm="1">
        <f t="array" ref="E115">_xlfn.IFS('ProductSprint Backlog'!$F115="", "", AND('ProductSprint Backlog'!$J115&gt;E$2,'ProductSprint Backlog'!$I115&lt;=E$2), 'ProductSprint Backlog'!$F115 / MAX(1, 'ProductSprint Backlog'!$J115-'ProductSprint Backlog'!$I115), AND('ProductSprint Backlog'!$J115=E$2,'ProductSprint Backlog'!$I115=E$2), 'ProductSprint Backlog'!$F115, TRUE, 0)</f>
        <v>0</v>
      </c>
      <c r="F115" s="4" cm="1">
        <f t="array" ref="F115">_xlfn.IFS('ProductSprint Backlog'!$F115="", "", AND('ProductSprint Backlog'!$J115&gt;F$2,'ProductSprint Backlog'!$I115&lt;=F$2), 'ProductSprint Backlog'!$F115 / MAX(1, 'ProductSprint Backlog'!$J115-'ProductSprint Backlog'!$I115), AND('ProductSprint Backlog'!$J115=F$2,'ProductSprint Backlog'!$I115=F$2), 'ProductSprint Backlog'!$F115, TRUE, 0)</f>
        <v>0</v>
      </c>
      <c r="G115" s="4" cm="1">
        <f t="array" ref="G115">_xlfn.IFS('ProductSprint Backlog'!$F115="", "", AND('ProductSprint Backlog'!$J115&gt;G$2,'ProductSprint Backlog'!$I115&lt;=G$2), 'ProductSprint Backlog'!$F115 / MAX(1, 'ProductSprint Backlog'!$J115-'ProductSprint Backlog'!$I115), AND('ProductSprint Backlog'!$J115=G$2,'ProductSprint Backlog'!$I115=G$2), 'ProductSprint Backlog'!$F115, TRUE, 0)</f>
        <v>0</v>
      </c>
      <c r="H115" s="4" cm="1">
        <f t="array" ref="H115">_xlfn.IFS('ProductSprint Backlog'!$F115="", "", AND('ProductSprint Backlog'!$J115&gt;H$2,'ProductSprint Backlog'!$I115&lt;=H$2), 'ProductSprint Backlog'!$F115 / MAX(1, 'ProductSprint Backlog'!$J115-'ProductSprint Backlog'!$I115), AND('ProductSprint Backlog'!$J115=H$2,'ProductSprint Backlog'!$I115=H$2), 'ProductSprint Backlog'!$F115, TRUE, 0)</f>
        <v>0</v>
      </c>
      <c r="I115" s="4" cm="1">
        <f t="array" ref="I115">_xlfn.IFS('ProductSprint Backlog'!$F115="", "", AND('ProductSprint Backlog'!$J115&gt;I$2,'ProductSprint Backlog'!$I115&lt;=I$2), 'ProductSprint Backlog'!$F115 / MAX(1, 'ProductSprint Backlog'!$J115-'ProductSprint Backlog'!$I115), AND('ProductSprint Backlog'!$J115=I$2,'ProductSprint Backlog'!$I115=I$2), 'ProductSprint Backlog'!$F115, TRUE, 0)</f>
        <v>0</v>
      </c>
      <c r="J115" s="4" cm="1">
        <f t="array" ref="J115">_xlfn.IFS('ProductSprint Backlog'!$F115="", "", AND('ProductSprint Backlog'!$J115&gt;J$2,'ProductSprint Backlog'!$I115&lt;=J$2), 'ProductSprint Backlog'!$F115 / MAX(1, 'ProductSprint Backlog'!$J115-'ProductSprint Backlog'!$I115), AND('ProductSprint Backlog'!$J115=J$2,'ProductSprint Backlog'!$I115=J$2), 'ProductSprint Backlog'!$F115, TRUE, 0)</f>
        <v>0</v>
      </c>
      <c r="K115" s="4" cm="1">
        <f t="array" ref="K115">_xlfn.IFS('ProductSprint Backlog'!$F115="", "", AND('ProductSprint Backlog'!$J115&gt;K$2,'ProductSprint Backlog'!$I115&lt;=K$2), 'ProductSprint Backlog'!$F115 / MAX(1, 'ProductSprint Backlog'!$J115-'ProductSprint Backlog'!$I115), AND('ProductSprint Backlog'!$J115=K$2,'ProductSprint Backlog'!$I115=K$2), 'ProductSprint Backlog'!$F115, TRUE, 0)</f>
        <v>0.2</v>
      </c>
      <c r="L115" s="4" cm="1">
        <f t="array" ref="L115">_xlfn.IFS('ProductSprint Backlog'!$F115="", "", AND('ProductSprint Backlog'!$J115&gt;L$2,'ProductSprint Backlog'!$I115&lt;=L$2), 'ProductSprint Backlog'!$F115 / MAX(1, 'ProductSprint Backlog'!$J115-'ProductSprint Backlog'!$I115), AND('ProductSprint Backlog'!$J115=L$2,'ProductSprint Backlog'!$I115=L$2), 'ProductSprint Backlog'!$F115, TRUE, 0)</f>
        <v>0.2</v>
      </c>
      <c r="M115" s="4" cm="1">
        <f t="array" ref="M115">_xlfn.IFS('ProductSprint Backlog'!$F115="", "", AND('ProductSprint Backlog'!$J115&gt;M$2,'ProductSprint Backlog'!$I115&lt;=M$2), 'ProductSprint Backlog'!$F115 / MAX(1, 'ProductSprint Backlog'!$J115-'ProductSprint Backlog'!$I115), AND('ProductSprint Backlog'!$J115=M$2,'ProductSprint Backlog'!$I115=M$2), 'ProductSprint Backlog'!$F115, TRUE, 0)</f>
        <v>0.2</v>
      </c>
      <c r="N115" s="4" cm="1">
        <f t="array" ref="N115">_xlfn.IFS('ProductSprint Backlog'!$F115="", "", AND('ProductSprint Backlog'!$J115&gt;N$2,'ProductSprint Backlog'!$I115&lt;=N$2), 'ProductSprint Backlog'!$F115 / MAX(1, 'ProductSprint Backlog'!$J115-'ProductSprint Backlog'!$I115), AND('ProductSprint Backlog'!$J115=N$2,'ProductSprint Backlog'!$I115=N$2), 'ProductSprint Backlog'!$F115, TRUE, 0)</f>
        <v>0.2</v>
      </c>
      <c r="O115" s="4" cm="1">
        <f t="array" ref="O115">_xlfn.IFS('ProductSprint Backlog'!$F115="", "", AND('ProductSprint Backlog'!$J115&gt;O$2,'ProductSprint Backlog'!$I115&lt;=O$2), 'ProductSprint Backlog'!$F115 / MAX(1, 'ProductSprint Backlog'!$J115-'ProductSprint Backlog'!$I115), AND('ProductSprint Backlog'!$J115=O$2,'ProductSprint Backlog'!$I115=O$2), 'ProductSprint Backlog'!$F115, TRUE, 0)</f>
        <v>0.2</v>
      </c>
      <c r="P115" s="4" cm="1">
        <f t="array" ref="P115">_xlfn.IFS('ProductSprint Backlog'!$F115="", "", AND('ProductSprint Backlog'!$J115&gt;P$2,'ProductSprint Backlog'!$I115&lt;=P$2), 'ProductSprint Backlog'!$F115 / MAX(1, 'ProductSprint Backlog'!$J115-'ProductSprint Backlog'!$I115), AND('ProductSprint Backlog'!$J115=P$2,'ProductSprint Backlog'!$I115=P$2), 'ProductSprint Backlog'!$F115, TRUE, 0)</f>
        <v>0</v>
      </c>
      <c r="Q115" s="4" cm="1">
        <f t="array" ref="Q115">_xlfn.IFS('ProductSprint Backlog'!$F115="", "", AND('ProductSprint Backlog'!$J115&gt;Q$2,'ProductSprint Backlog'!$I115&lt;=Q$2), 'ProductSprint Backlog'!$F115 / MAX(1, 'ProductSprint Backlog'!$J115-'ProductSprint Backlog'!$I115), AND('ProductSprint Backlog'!$J115=Q$2,'ProductSprint Backlog'!$I115=Q$2), 'ProductSprint Backlog'!$F115, TRUE, 0)</f>
        <v>0</v>
      </c>
      <c r="R115" s="4" cm="1">
        <f t="array" ref="R115">_xlfn.IFS('ProductSprint Backlog'!$F115="", "", AND('ProductSprint Backlog'!$J115&gt;R$2,'ProductSprint Backlog'!$I115&lt;=R$2), 'ProductSprint Backlog'!$F115 / MAX(1, 'ProductSprint Backlog'!$J115-'ProductSprint Backlog'!$I115), AND('ProductSprint Backlog'!$J115=R$2,'ProductSprint Backlog'!$I115=R$2), 'ProductSprint Backlog'!$F115, TRUE, 0)</f>
        <v>0</v>
      </c>
      <c r="S115" s="4" cm="1">
        <f t="array" ref="S115">_xlfn.IFS('ProductSprint Backlog'!$F115="", "", AND('ProductSprint Backlog'!$J115&gt;S$2,'ProductSprint Backlog'!$I115&lt;=S$2), 'ProductSprint Backlog'!$F115 / MAX(1, 'ProductSprint Backlog'!$J115-'ProductSprint Backlog'!$I115), AND('ProductSprint Backlog'!$J115=S$2,'ProductSprint Backlog'!$I115=S$2), 'ProductSprint Backlog'!$F115, TRUE, 0)</f>
        <v>0</v>
      </c>
      <c r="T115" s="4" cm="1">
        <f t="array" ref="T115">_xlfn.IFS('ProductSprint Backlog'!$F115="", "", AND('ProductSprint Backlog'!$J115&gt;T$2,'ProductSprint Backlog'!$I115&lt;=T$2), 'ProductSprint Backlog'!$F115 / MAX(1, 'ProductSprint Backlog'!$J115-'ProductSprint Backlog'!$I115), AND('ProductSprint Backlog'!$J115=T$2,'ProductSprint Backlog'!$I115=T$2), 'ProductSprint Backlog'!$F115, TRUE, 0)</f>
        <v>0</v>
      </c>
    </row>
    <row r="116" spans="2:20" x14ac:dyDescent="0.2">
      <c r="B116" s="4" cm="1">
        <f t="array" ref="B116">_xlfn.IFS('ProductSprint Backlog'!$F116="", "", AND('ProductSprint Backlog'!$J116&gt;B$2,'ProductSprint Backlog'!$I116&lt;=B$2), 'ProductSprint Backlog'!$F116 / MAX(1, 'ProductSprint Backlog'!$J116-'ProductSprint Backlog'!$I116), AND('ProductSprint Backlog'!$J116=B$2,'ProductSprint Backlog'!$I116=B$2), 'ProductSprint Backlog'!$F116, TRUE, 0)</f>
        <v>0</v>
      </c>
      <c r="C116" s="4" cm="1">
        <f t="array" ref="C116">_xlfn.IFS('ProductSprint Backlog'!$F116="", "", AND('ProductSprint Backlog'!$J116&gt;C$2,'ProductSprint Backlog'!$I116&lt;=C$2), 'ProductSprint Backlog'!$F116 / MAX(1, 'ProductSprint Backlog'!$J116-'ProductSprint Backlog'!$I116), AND('ProductSprint Backlog'!$J116=C$2,'ProductSprint Backlog'!$I116=C$2), 'ProductSprint Backlog'!$F116, TRUE, 0)</f>
        <v>0</v>
      </c>
      <c r="D116" s="4" cm="1">
        <f t="array" ref="D116">_xlfn.IFS('ProductSprint Backlog'!$F116="", "", AND('ProductSprint Backlog'!$J116&gt;D$2,'ProductSprint Backlog'!$I116&lt;=D$2), 'ProductSprint Backlog'!$F116 / MAX(1, 'ProductSprint Backlog'!$J116-'ProductSprint Backlog'!$I116), AND('ProductSprint Backlog'!$J116=D$2,'ProductSprint Backlog'!$I116=D$2), 'ProductSprint Backlog'!$F116, TRUE, 0)</f>
        <v>0</v>
      </c>
      <c r="E116" s="4" cm="1">
        <f t="array" ref="E116">_xlfn.IFS('ProductSprint Backlog'!$F116="", "", AND('ProductSprint Backlog'!$J116&gt;E$2,'ProductSprint Backlog'!$I116&lt;=E$2), 'ProductSprint Backlog'!$F116 / MAX(1, 'ProductSprint Backlog'!$J116-'ProductSprint Backlog'!$I116), AND('ProductSprint Backlog'!$J116=E$2,'ProductSprint Backlog'!$I116=E$2), 'ProductSprint Backlog'!$F116, TRUE, 0)</f>
        <v>0</v>
      </c>
      <c r="F116" s="4" cm="1">
        <f t="array" ref="F116">_xlfn.IFS('ProductSprint Backlog'!$F116="", "", AND('ProductSprint Backlog'!$J116&gt;F$2,'ProductSprint Backlog'!$I116&lt;=F$2), 'ProductSprint Backlog'!$F116 / MAX(1, 'ProductSprint Backlog'!$J116-'ProductSprint Backlog'!$I116), AND('ProductSprint Backlog'!$J116=F$2,'ProductSprint Backlog'!$I116=F$2), 'ProductSprint Backlog'!$F116, TRUE, 0)</f>
        <v>0</v>
      </c>
      <c r="G116" s="4" cm="1">
        <f t="array" ref="G116">_xlfn.IFS('ProductSprint Backlog'!$F116="", "", AND('ProductSprint Backlog'!$J116&gt;G$2,'ProductSprint Backlog'!$I116&lt;=G$2), 'ProductSprint Backlog'!$F116 / MAX(1, 'ProductSprint Backlog'!$J116-'ProductSprint Backlog'!$I116), AND('ProductSprint Backlog'!$J116=G$2,'ProductSprint Backlog'!$I116=G$2), 'ProductSprint Backlog'!$F116, TRUE, 0)</f>
        <v>0</v>
      </c>
      <c r="H116" s="4" cm="1">
        <f t="array" ref="H116">_xlfn.IFS('ProductSprint Backlog'!$F116="", "", AND('ProductSprint Backlog'!$J116&gt;H$2,'ProductSprint Backlog'!$I116&lt;=H$2), 'ProductSprint Backlog'!$F116 / MAX(1, 'ProductSprint Backlog'!$J116-'ProductSprint Backlog'!$I116), AND('ProductSprint Backlog'!$J116=H$2,'ProductSprint Backlog'!$I116=H$2), 'ProductSprint Backlog'!$F116, TRUE, 0)</f>
        <v>0</v>
      </c>
      <c r="I116" s="4" cm="1">
        <f t="array" ref="I116">_xlfn.IFS('ProductSprint Backlog'!$F116="", "", AND('ProductSprint Backlog'!$J116&gt;I$2,'ProductSprint Backlog'!$I116&lt;=I$2), 'ProductSprint Backlog'!$F116 / MAX(1, 'ProductSprint Backlog'!$J116-'ProductSprint Backlog'!$I116), AND('ProductSprint Backlog'!$J116=I$2,'ProductSprint Backlog'!$I116=I$2), 'ProductSprint Backlog'!$F116, TRUE, 0)</f>
        <v>0</v>
      </c>
      <c r="J116" s="4" cm="1">
        <f t="array" ref="J116">_xlfn.IFS('ProductSprint Backlog'!$F116="", "", AND('ProductSprint Backlog'!$J116&gt;J$2,'ProductSprint Backlog'!$I116&lt;=J$2), 'ProductSprint Backlog'!$F116 / MAX(1, 'ProductSprint Backlog'!$J116-'ProductSprint Backlog'!$I116), AND('ProductSprint Backlog'!$J116=J$2,'ProductSprint Backlog'!$I116=J$2), 'ProductSprint Backlog'!$F116, TRUE, 0)</f>
        <v>0</v>
      </c>
      <c r="K116" s="4" cm="1">
        <f t="array" ref="K116">_xlfn.IFS('ProductSprint Backlog'!$F116="", "", AND('ProductSprint Backlog'!$J116&gt;K$2,'ProductSprint Backlog'!$I116&lt;=K$2), 'ProductSprint Backlog'!$F116 / MAX(1, 'ProductSprint Backlog'!$J116-'ProductSprint Backlog'!$I116), AND('ProductSprint Backlog'!$J116=K$2,'ProductSprint Backlog'!$I116=K$2), 'ProductSprint Backlog'!$F116, TRUE, 0)</f>
        <v>0.2</v>
      </c>
      <c r="L116" s="4" cm="1">
        <f t="array" ref="L116">_xlfn.IFS('ProductSprint Backlog'!$F116="", "", AND('ProductSprint Backlog'!$J116&gt;L$2,'ProductSprint Backlog'!$I116&lt;=L$2), 'ProductSprint Backlog'!$F116 / MAX(1, 'ProductSprint Backlog'!$J116-'ProductSprint Backlog'!$I116), AND('ProductSprint Backlog'!$J116=L$2,'ProductSprint Backlog'!$I116=L$2), 'ProductSprint Backlog'!$F116, TRUE, 0)</f>
        <v>0.2</v>
      </c>
      <c r="M116" s="4" cm="1">
        <f t="array" ref="M116">_xlfn.IFS('ProductSprint Backlog'!$F116="", "", AND('ProductSprint Backlog'!$J116&gt;M$2,'ProductSprint Backlog'!$I116&lt;=M$2), 'ProductSprint Backlog'!$F116 / MAX(1, 'ProductSprint Backlog'!$J116-'ProductSprint Backlog'!$I116), AND('ProductSprint Backlog'!$J116=M$2,'ProductSprint Backlog'!$I116=M$2), 'ProductSprint Backlog'!$F116, TRUE, 0)</f>
        <v>0.2</v>
      </c>
      <c r="N116" s="4" cm="1">
        <f t="array" ref="N116">_xlfn.IFS('ProductSprint Backlog'!$F116="", "", AND('ProductSprint Backlog'!$J116&gt;N$2,'ProductSprint Backlog'!$I116&lt;=N$2), 'ProductSprint Backlog'!$F116 / MAX(1, 'ProductSprint Backlog'!$J116-'ProductSprint Backlog'!$I116), AND('ProductSprint Backlog'!$J116=N$2,'ProductSprint Backlog'!$I116=N$2), 'ProductSprint Backlog'!$F116, TRUE, 0)</f>
        <v>0.2</v>
      </c>
      <c r="O116" s="4" cm="1">
        <f t="array" ref="O116">_xlfn.IFS('ProductSprint Backlog'!$F116="", "", AND('ProductSprint Backlog'!$J116&gt;O$2,'ProductSprint Backlog'!$I116&lt;=O$2), 'ProductSprint Backlog'!$F116 / MAX(1, 'ProductSprint Backlog'!$J116-'ProductSprint Backlog'!$I116), AND('ProductSprint Backlog'!$J116=O$2,'ProductSprint Backlog'!$I116=O$2), 'ProductSprint Backlog'!$F116, TRUE, 0)</f>
        <v>0.2</v>
      </c>
      <c r="P116" s="4" cm="1">
        <f t="array" ref="P116">_xlfn.IFS('ProductSprint Backlog'!$F116="", "", AND('ProductSprint Backlog'!$J116&gt;P$2,'ProductSprint Backlog'!$I116&lt;=P$2), 'ProductSprint Backlog'!$F116 / MAX(1, 'ProductSprint Backlog'!$J116-'ProductSprint Backlog'!$I116), AND('ProductSprint Backlog'!$J116=P$2,'ProductSprint Backlog'!$I116=P$2), 'ProductSprint Backlog'!$F116, TRUE, 0)</f>
        <v>0</v>
      </c>
      <c r="Q116" s="4" cm="1">
        <f t="array" ref="Q116">_xlfn.IFS('ProductSprint Backlog'!$F116="", "", AND('ProductSprint Backlog'!$J116&gt;Q$2,'ProductSprint Backlog'!$I116&lt;=Q$2), 'ProductSprint Backlog'!$F116 / MAX(1, 'ProductSprint Backlog'!$J116-'ProductSprint Backlog'!$I116), AND('ProductSprint Backlog'!$J116=Q$2,'ProductSprint Backlog'!$I116=Q$2), 'ProductSprint Backlog'!$F116, TRUE, 0)</f>
        <v>0</v>
      </c>
      <c r="R116" s="4" cm="1">
        <f t="array" ref="R116">_xlfn.IFS('ProductSprint Backlog'!$F116="", "", AND('ProductSprint Backlog'!$J116&gt;R$2,'ProductSprint Backlog'!$I116&lt;=R$2), 'ProductSprint Backlog'!$F116 / MAX(1, 'ProductSprint Backlog'!$J116-'ProductSprint Backlog'!$I116), AND('ProductSprint Backlog'!$J116=R$2,'ProductSprint Backlog'!$I116=R$2), 'ProductSprint Backlog'!$F116, TRUE, 0)</f>
        <v>0</v>
      </c>
      <c r="S116" s="4" cm="1">
        <f t="array" ref="S116">_xlfn.IFS('ProductSprint Backlog'!$F116="", "", AND('ProductSprint Backlog'!$J116&gt;S$2,'ProductSprint Backlog'!$I116&lt;=S$2), 'ProductSprint Backlog'!$F116 / MAX(1, 'ProductSprint Backlog'!$J116-'ProductSprint Backlog'!$I116), AND('ProductSprint Backlog'!$J116=S$2,'ProductSprint Backlog'!$I116=S$2), 'ProductSprint Backlog'!$F116, TRUE, 0)</f>
        <v>0</v>
      </c>
      <c r="T116" s="4" cm="1">
        <f t="array" ref="T116">_xlfn.IFS('ProductSprint Backlog'!$F116="", "", AND('ProductSprint Backlog'!$J116&gt;T$2,'ProductSprint Backlog'!$I116&lt;=T$2), 'ProductSprint Backlog'!$F116 / MAX(1, 'ProductSprint Backlog'!$J116-'ProductSprint Backlog'!$I116), AND('ProductSprint Backlog'!$J116=T$2,'ProductSprint Backlog'!$I116=T$2), 'ProductSprint Backlog'!$F116, TRUE, 0)</f>
        <v>0</v>
      </c>
    </row>
    <row r="117" spans="2:20" x14ac:dyDescent="0.2">
      <c r="B117" s="4" t="str" cm="1">
        <f t="array" ref="B117">_xlfn.IFS('ProductSprint Backlog'!$F117="", "", AND('ProductSprint Backlog'!$J117&gt;B$2,'ProductSprint Backlog'!$I117&lt;=B$2), 'ProductSprint Backlog'!$F117 / MAX(1, 'ProductSprint Backlog'!$J117-'ProductSprint Backlog'!$I117), AND('ProductSprint Backlog'!$J117=B$2,'ProductSprint Backlog'!$I117=B$2), 'ProductSprint Backlog'!$F117, TRUE, 0)</f>
        <v/>
      </c>
      <c r="C117" s="4" t="str" cm="1">
        <f t="array" ref="C117">_xlfn.IFS('ProductSprint Backlog'!$F117="", "", AND('ProductSprint Backlog'!$J117&gt;C$2,'ProductSprint Backlog'!$I117&lt;=C$2), 'ProductSprint Backlog'!$F117 / MAX(1, 'ProductSprint Backlog'!$J117-'ProductSprint Backlog'!$I117), AND('ProductSprint Backlog'!$J117=C$2,'ProductSprint Backlog'!$I117=C$2), 'ProductSprint Backlog'!$F117, TRUE, 0)</f>
        <v/>
      </c>
      <c r="D117" s="4" t="str" cm="1">
        <f t="array" ref="D117">_xlfn.IFS('ProductSprint Backlog'!$F117="", "", AND('ProductSprint Backlog'!$J117&gt;D$2,'ProductSprint Backlog'!$I117&lt;=D$2), 'ProductSprint Backlog'!$F117 / MAX(1, 'ProductSprint Backlog'!$J117-'ProductSprint Backlog'!$I117), AND('ProductSprint Backlog'!$J117=D$2,'ProductSprint Backlog'!$I117=D$2), 'ProductSprint Backlog'!$F117, TRUE, 0)</f>
        <v/>
      </c>
      <c r="E117" s="4" t="str" cm="1">
        <f t="array" ref="E117">_xlfn.IFS('ProductSprint Backlog'!$F117="", "", AND('ProductSprint Backlog'!$J117&gt;E$2,'ProductSprint Backlog'!$I117&lt;=E$2), 'ProductSprint Backlog'!$F117 / MAX(1, 'ProductSprint Backlog'!$J117-'ProductSprint Backlog'!$I117), AND('ProductSprint Backlog'!$J117=E$2,'ProductSprint Backlog'!$I117=E$2), 'ProductSprint Backlog'!$F117, TRUE, 0)</f>
        <v/>
      </c>
      <c r="F117" s="4" t="str" cm="1">
        <f t="array" ref="F117">_xlfn.IFS('ProductSprint Backlog'!$F117="", "", AND('ProductSprint Backlog'!$J117&gt;F$2,'ProductSprint Backlog'!$I117&lt;=F$2), 'ProductSprint Backlog'!$F117 / MAX(1, 'ProductSprint Backlog'!$J117-'ProductSprint Backlog'!$I117), AND('ProductSprint Backlog'!$J117=F$2,'ProductSprint Backlog'!$I117=F$2), 'ProductSprint Backlog'!$F117, TRUE, 0)</f>
        <v/>
      </c>
      <c r="G117" s="4" t="str" cm="1">
        <f t="array" ref="G117">_xlfn.IFS('ProductSprint Backlog'!$F117="", "", AND('ProductSprint Backlog'!$J117&gt;G$2,'ProductSprint Backlog'!$I117&lt;=G$2), 'ProductSprint Backlog'!$F117 / MAX(1, 'ProductSprint Backlog'!$J117-'ProductSprint Backlog'!$I117), AND('ProductSprint Backlog'!$J117=G$2,'ProductSprint Backlog'!$I117=G$2), 'ProductSprint Backlog'!$F117, TRUE, 0)</f>
        <v/>
      </c>
      <c r="H117" s="4" t="str" cm="1">
        <f t="array" ref="H117">_xlfn.IFS('ProductSprint Backlog'!$F117="", "", AND('ProductSprint Backlog'!$J117&gt;H$2,'ProductSprint Backlog'!$I117&lt;=H$2), 'ProductSprint Backlog'!$F117 / MAX(1, 'ProductSprint Backlog'!$J117-'ProductSprint Backlog'!$I117), AND('ProductSprint Backlog'!$J117=H$2,'ProductSprint Backlog'!$I117=H$2), 'ProductSprint Backlog'!$F117, TRUE, 0)</f>
        <v/>
      </c>
      <c r="I117" s="4" t="str" cm="1">
        <f t="array" ref="I117">_xlfn.IFS('ProductSprint Backlog'!$F117="", "", AND('ProductSprint Backlog'!$J117&gt;I$2,'ProductSprint Backlog'!$I117&lt;=I$2), 'ProductSprint Backlog'!$F117 / MAX(1, 'ProductSprint Backlog'!$J117-'ProductSprint Backlog'!$I117), AND('ProductSprint Backlog'!$J117=I$2,'ProductSprint Backlog'!$I117=I$2), 'ProductSprint Backlog'!$F117, TRUE, 0)</f>
        <v/>
      </c>
      <c r="J117" s="4" t="str" cm="1">
        <f t="array" ref="J117">_xlfn.IFS('ProductSprint Backlog'!$F117="", "", AND('ProductSprint Backlog'!$J117&gt;J$2,'ProductSprint Backlog'!$I117&lt;=J$2), 'ProductSprint Backlog'!$F117 / MAX(1, 'ProductSprint Backlog'!$J117-'ProductSprint Backlog'!$I117), AND('ProductSprint Backlog'!$J117=J$2,'ProductSprint Backlog'!$I117=J$2), 'ProductSprint Backlog'!$F117, TRUE, 0)</f>
        <v/>
      </c>
      <c r="K117" s="4" t="str" cm="1">
        <f t="array" ref="K117">_xlfn.IFS('ProductSprint Backlog'!$F117="", "", AND('ProductSprint Backlog'!$J117&gt;K$2,'ProductSprint Backlog'!$I117&lt;=K$2), 'ProductSprint Backlog'!$F117 / MAX(1, 'ProductSprint Backlog'!$J117-'ProductSprint Backlog'!$I117), AND('ProductSprint Backlog'!$J117=K$2,'ProductSprint Backlog'!$I117=K$2), 'ProductSprint Backlog'!$F117, TRUE, 0)</f>
        <v/>
      </c>
      <c r="L117" s="4" t="str" cm="1">
        <f t="array" ref="L117">_xlfn.IFS('ProductSprint Backlog'!$F117="", "", AND('ProductSprint Backlog'!$J117&gt;L$2,'ProductSprint Backlog'!$I117&lt;=L$2), 'ProductSprint Backlog'!$F117 / MAX(1, 'ProductSprint Backlog'!$J117-'ProductSprint Backlog'!$I117), AND('ProductSprint Backlog'!$J117=L$2,'ProductSprint Backlog'!$I117=L$2), 'ProductSprint Backlog'!$F117, TRUE, 0)</f>
        <v/>
      </c>
      <c r="M117" s="4" t="str" cm="1">
        <f t="array" ref="M117">_xlfn.IFS('ProductSprint Backlog'!$F117="", "", AND('ProductSprint Backlog'!$J117&gt;M$2,'ProductSprint Backlog'!$I117&lt;=M$2), 'ProductSprint Backlog'!$F117 / MAX(1, 'ProductSprint Backlog'!$J117-'ProductSprint Backlog'!$I117), AND('ProductSprint Backlog'!$J117=M$2,'ProductSprint Backlog'!$I117=M$2), 'ProductSprint Backlog'!$F117, TRUE, 0)</f>
        <v/>
      </c>
      <c r="N117" s="4" t="str" cm="1">
        <f t="array" ref="N117">_xlfn.IFS('ProductSprint Backlog'!$F117="", "", AND('ProductSprint Backlog'!$J117&gt;N$2,'ProductSprint Backlog'!$I117&lt;=N$2), 'ProductSprint Backlog'!$F117 / MAX(1, 'ProductSprint Backlog'!$J117-'ProductSprint Backlog'!$I117), AND('ProductSprint Backlog'!$J117=N$2,'ProductSprint Backlog'!$I117=N$2), 'ProductSprint Backlog'!$F117, TRUE, 0)</f>
        <v/>
      </c>
      <c r="O117" s="4" t="str" cm="1">
        <f t="array" ref="O117">_xlfn.IFS('ProductSprint Backlog'!$F117="", "", AND('ProductSprint Backlog'!$J117&gt;O$2,'ProductSprint Backlog'!$I117&lt;=O$2), 'ProductSprint Backlog'!$F117 / MAX(1, 'ProductSprint Backlog'!$J117-'ProductSprint Backlog'!$I117), AND('ProductSprint Backlog'!$J117=O$2,'ProductSprint Backlog'!$I117=O$2), 'ProductSprint Backlog'!$F117, TRUE, 0)</f>
        <v/>
      </c>
      <c r="P117" s="4" t="str" cm="1">
        <f t="array" ref="P117">_xlfn.IFS('ProductSprint Backlog'!$F117="", "", AND('ProductSprint Backlog'!$J117&gt;P$2,'ProductSprint Backlog'!$I117&lt;=P$2), 'ProductSprint Backlog'!$F117 / MAX(1, 'ProductSprint Backlog'!$J117-'ProductSprint Backlog'!$I117), AND('ProductSprint Backlog'!$J117=P$2,'ProductSprint Backlog'!$I117=P$2), 'ProductSprint Backlog'!$F117, TRUE, 0)</f>
        <v/>
      </c>
      <c r="Q117" s="4" t="str" cm="1">
        <f t="array" ref="Q117">_xlfn.IFS('ProductSprint Backlog'!$F117="", "", AND('ProductSprint Backlog'!$J117&gt;Q$2,'ProductSprint Backlog'!$I117&lt;=Q$2), 'ProductSprint Backlog'!$F117 / MAX(1, 'ProductSprint Backlog'!$J117-'ProductSprint Backlog'!$I117), AND('ProductSprint Backlog'!$J117=Q$2,'ProductSprint Backlog'!$I117=Q$2), 'ProductSprint Backlog'!$F117, TRUE, 0)</f>
        <v/>
      </c>
      <c r="R117" s="4" t="str" cm="1">
        <f t="array" ref="R117">_xlfn.IFS('ProductSprint Backlog'!$F117="", "", AND('ProductSprint Backlog'!$J117&gt;R$2,'ProductSprint Backlog'!$I117&lt;=R$2), 'ProductSprint Backlog'!$F117 / MAX(1, 'ProductSprint Backlog'!$J117-'ProductSprint Backlog'!$I117), AND('ProductSprint Backlog'!$J117=R$2,'ProductSprint Backlog'!$I117=R$2), 'ProductSprint Backlog'!$F117, TRUE, 0)</f>
        <v/>
      </c>
      <c r="S117" s="4" t="str" cm="1">
        <f t="array" ref="S117">_xlfn.IFS('ProductSprint Backlog'!$F117="", "", AND('ProductSprint Backlog'!$J117&gt;S$2,'ProductSprint Backlog'!$I117&lt;=S$2), 'ProductSprint Backlog'!$F117 / MAX(1, 'ProductSprint Backlog'!$J117-'ProductSprint Backlog'!$I117), AND('ProductSprint Backlog'!$J117=S$2,'ProductSprint Backlog'!$I117=S$2), 'ProductSprint Backlog'!$F117, TRUE, 0)</f>
        <v/>
      </c>
      <c r="T117" s="4" t="str" cm="1">
        <f t="array" ref="T117">_xlfn.IFS('ProductSprint Backlog'!$F117="", "", AND('ProductSprint Backlog'!$J117&gt;T$2,'ProductSprint Backlog'!$I117&lt;=T$2), 'ProductSprint Backlog'!$F117 / MAX(1, 'ProductSprint Backlog'!$J117-'ProductSprint Backlog'!$I117), AND('ProductSprint Backlog'!$J117=T$2,'ProductSprint Backlog'!$I117=T$2), 'ProductSprint Backlog'!$F117, TRUE, 0)</f>
        <v/>
      </c>
    </row>
    <row r="118" spans="2:20" x14ac:dyDescent="0.2">
      <c r="B118" s="4" cm="1">
        <f t="array" ref="B118">_xlfn.IFS('ProductSprint Backlog'!$F118="", "", AND('ProductSprint Backlog'!$J118&gt;B$2,'ProductSprint Backlog'!$I118&lt;=B$2), 'ProductSprint Backlog'!$F118 / MAX(1, 'ProductSprint Backlog'!$J118-'ProductSprint Backlog'!$I118), AND('ProductSprint Backlog'!$J118=B$2,'ProductSprint Backlog'!$I118=B$2), 'ProductSprint Backlog'!$F118, TRUE, 0)</f>
        <v>0.1</v>
      </c>
      <c r="C118" s="4" cm="1">
        <f t="array" ref="C118">_xlfn.IFS('ProductSprint Backlog'!$F118="", "", AND('ProductSprint Backlog'!$J118&gt;C$2,'ProductSprint Backlog'!$I118&lt;=C$2), 'ProductSprint Backlog'!$F118 / MAX(1, 'ProductSprint Backlog'!$J118-'ProductSprint Backlog'!$I118), AND('ProductSprint Backlog'!$J118=C$2,'ProductSprint Backlog'!$I118=C$2), 'ProductSprint Backlog'!$F118, TRUE, 0)</f>
        <v>0.1</v>
      </c>
      <c r="D118" s="4" cm="1">
        <f t="array" ref="D118">_xlfn.IFS('ProductSprint Backlog'!$F118="", "", AND('ProductSprint Backlog'!$J118&gt;D$2,'ProductSprint Backlog'!$I118&lt;=D$2), 'ProductSprint Backlog'!$F118 / MAX(1, 'ProductSprint Backlog'!$J118-'ProductSprint Backlog'!$I118), AND('ProductSprint Backlog'!$J118=D$2,'ProductSprint Backlog'!$I118=D$2), 'ProductSprint Backlog'!$F118, TRUE, 0)</f>
        <v>0.1</v>
      </c>
      <c r="E118" s="4" cm="1">
        <f t="array" ref="E118">_xlfn.IFS('ProductSprint Backlog'!$F118="", "", AND('ProductSprint Backlog'!$J118&gt;E$2,'ProductSprint Backlog'!$I118&lt;=E$2), 'ProductSprint Backlog'!$F118 / MAX(1, 'ProductSprint Backlog'!$J118-'ProductSprint Backlog'!$I118), AND('ProductSprint Backlog'!$J118=E$2,'ProductSprint Backlog'!$I118=E$2), 'ProductSprint Backlog'!$F118, TRUE, 0)</f>
        <v>0.1</v>
      </c>
      <c r="F118" s="4" cm="1">
        <f t="array" ref="F118">_xlfn.IFS('ProductSprint Backlog'!$F118="", "", AND('ProductSprint Backlog'!$J118&gt;F$2,'ProductSprint Backlog'!$I118&lt;=F$2), 'ProductSprint Backlog'!$F118 / MAX(1, 'ProductSprint Backlog'!$J118-'ProductSprint Backlog'!$I118), AND('ProductSprint Backlog'!$J118=F$2,'ProductSprint Backlog'!$I118=F$2), 'ProductSprint Backlog'!$F118, TRUE, 0)</f>
        <v>0.1</v>
      </c>
      <c r="G118" s="4" cm="1">
        <f t="array" ref="G118">_xlfn.IFS('ProductSprint Backlog'!$F118="", "", AND('ProductSprint Backlog'!$J118&gt;G$2,'ProductSprint Backlog'!$I118&lt;=G$2), 'ProductSprint Backlog'!$F118 / MAX(1, 'ProductSprint Backlog'!$J118-'ProductSprint Backlog'!$I118), AND('ProductSprint Backlog'!$J118=G$2,'ProductSprint Backlog'!$I118=G$2), 'ProductSprint Backlog'!$F118, TRUE, 0)</f>
        <v>0.1</v>
      </c>
      <c r="H118" s="4" cm="1">
        <f t="array" ref="H118">_xlfn.IFS('ProductSprint Backlog'!$F118="", "", AND('ProductSprint Backlog'!$J118&gt;H$2,'ProductSprint Backlog'!$I118&lt;=H$2), 'ProductSprint Backlog'!$F118 / MAX(1, 'ProductSprint Backlog'!$J118-'ProductSprint Backlog'!$I118), AND('ProductSprint Backlog'!$J118=H$2,'ProductSprint Backlog'!$I118=H$2), 'ProductSprint Backlog'!$F118, TRUE, 0)</f>
        <v>0.1</v>
      </c>
      <c r="I118" s="4" cm="1">
        <f t="array" ref="I118">_xlfn.IFS('ProductSprint Backlog'!$F118="", "", AND('ProductSprint Backlog'!$J118&gt;I$2,'ProductSprint Backlog'!$I118&lt;=I$2), 'ProductSprint Backlog'!$F118 / MAX(1, 'ProductSprint Backlog'!$J118-'ProductSprint Backlog'!$I118), AND('ProductSprint Backlog'!$J118=I$2,'ProductSprint Backlog'!$I118=I$2), 'ProductSprint Backlog'!$F118, TRUE, 0)</f>
        <v>0.1</v>
      </c>
      <c r="J118" s="4" cm="1">
        <f t="array" ref="J118">_xlfn.IFS('ProductSprint Backlog'!$F118="", "", AND('ProductSprint Backlog'!$J118&gt;J$2,'ProductSprint Backlog'!$I118&lt;=J$2), 'ProductSprint Backlog'!$F118 / MAX(1, 'ProductSprint Backlog'!$J118-'ProductSprint Backlog'!$I118), AND('ProductSprint Backlog'!$J118=J$2,'ProductSprint Backlog'!$I118=J$2), 'ProductSprint Backlog'!$F118, TRUE, 0)</f>
        <v>0.1</v>
      </c>
      <c r="K118" s="4" cm="1">
        <f t="array" ref="K118">_xlfn.IFS('ProductSprint Backlog'!$F118="", "", AND('ProductSprint Backlog'!$J118&gt;K$2,'ProductSprint Backlog'!$I118&lt;=K$2), 'ProductSprint Backlog'!$F118 / MAX(1, 'ProductSprint Backlog'!$J118-'ProductSprint Backlog'!$I118), AND('ProductSprint Backlog'!$J118=K$2,'ProductSprint Backlog'!$I118=K$2), 'ProductSprint Backlog'!$F118, TRUE, 0)</f>
        <v>0.1</v>
      </c>
      <c r="L118" s="4" cm="1">
        <f t="array" ref="L118">_xlfn.IFS('ProductSprint Backlog'!$F118="", "", AND('ProductSprint Backlog'!$J118&gt;L$2,'ProductSprint Backlog'!$I118&lt;=L$2), 'ProductSprint Backlog'!$F118 / MAX(1, 'ProductSprint Backlog'!$J118-'ProductSprint Backlog'!$I118), AND('ProductSprint Backlog'!$J118=L$2,'ProductSprint Backlog'!$I118=L$2), 'ProductSprint Backlog'!$F118, TRUE, 0)</f>
        <v>0</v>
      </c>
      <c r="M118" s="4" cm="1">
        <f t="array" ref="M118">_xlfn.IFS('ProductSprint Backlog'!$F118="", "", AND('ProductSprint Backlog'!$J118&gt;M$2,'ProductSprint Backlog'!$I118&lt;=M$2), 'ProductSprint Backlog'!$F118 / MAX(1, 'ProductSprint Backlog'!$J118-'ProductSprint Backlog'!$I118), AND('ProductSprint Backlog'!$J118=M$2,'ProductSprint Backlog'!$I118=M$2), 'ProductSprint Backlog'!$F118, TRUE, 0)</f>
        <v>0</v>
      </c>
      <c r="N118" s="4" cm="1">
        <f t="array" ref="N118">_xlfn.IFS('ProductSprint Backlog'!$F118="", "", AND('ProductSprint Backlog'!$J118&gt;N$2,'ProductSprint Backlog'!$I118&lt;=N$2), 'ProductSprint Backlog'!$F118 / MAX(1, 'ProductSprint Backlog'!$J118-'ProductSprint Backlog'!$I118), AND('ProductSprint Backlog'!$J118=N$2,'ProductSprint Backlog'!$I118=N$2), 'ProductSprint Backlog'!$F118, TRUE, 0)</f>
        <v>0</v>
      </c>
      <c r="O118" s="4" cm="1">
        <f t="array" ref="O118">_xlfn.IFS('ProductSprint Backlog'!$F118="", "", AND('ProductSprint Backlog'!$J118&gt;O$2,'ProductSprint Backlog'!$I118&lt;=O$2), 'ProductSprint Backlog'!$F118 / MAX(1, 'ProductSprint Backlog'!$J118-'ProductSprint Backlog'!$I118), AND('ProductSprint Backlog'!$J118=O$2,'ProductSprint Backlog'!$I118=O$2), 'ProductSprint Backlog'!$F118, TRUE, 0)</f>
        <v>0</v>
      </c>
      <c r="P118" s="4" cm="1">
        <f t="array" ref="P118">_xlfn.IFS('ProductSprint Backlog'!$F118="", "", AND('ProductSprint Backlog'!$J118&gt;P$2,'ProductSprint Backlog'!$I118&lt;=P$2), 'ProductSprint Backlog'!$F118 / MAX(1, 'ProductSprint Backlog'!$J118-'ProductSprint Backlog'!$I118), AND('ProductSprint Backlog'!$J118=P$2,'ProductSprint Backlog'!$I118=P$2), 'ProductSprint Backlog'!$F118, TRUE, 0)</f>
        <v>0</v>
      </c>
      <c r="Q118" s="4" cm="1">
        <f t="array" ref="Q118">_xlfn.IFS('ProductSprint Backlog'!$F118="", "", AND('ProductSprint Backlog'!$J118&gt;Q$2,'ProductSprint Backlog'!$I118&lt;=Q$2), 'ProductSprint Backlog'!$F118 / MAX(1, 'ProductSprint Backlog'!$J118-'ProductSprint Backlog'!$I118), AND('ProductSprint Backlog'!$J118=Q$2,'ProductSprint Backlog'!$I118=Q$2), 'ProductSprint Backlog'!$F118, TRUE, 0)</f>
        <v>0</v>
      </c>
      <c r="R118" s="4" cm="1">
        <f t="array" ref="R118">_xlfn.IFS('ProductSprint Backlog'!$F118="", "", AND('ProductSprint Backlog'!$J118&gt;R$2,'ProductSprint Backlog'!$I118&lt;=R$2), 'ProductSprint Backlog'!$F118 / MAX(1, 'ProductSprint Backlog'!$J118-'ProductSprint Backlog'!$I118), AND('ProductSprint Backlog'!$J118=R$2,'ProductSprint Backlog'!$I118=R$2), 'ProductSprint Backlog'!$F118, TRUE, 0)</f>
        <v>0</v>
      </c>
      <c r="S118" s="4" cm="1">
        <f t="array" ref="S118">_xlfn.IFS('ProductSprint Backlog'!$F118="", "", AND('ProductSprint Backlog'!$J118&gt;S$2,'ProductSprint Backlog'!$I118&lt;=S$2), 'ProductSprint Backlog'!$F118 / MAX(1, 'ProductSprint Backlog'!$J118-'ProductSprint Backlog'!$I118), AND('ProductSprint Backlog'!$J118=S$2,'ProductSprint Backlog'!$I118=S$2), 'ProductSprint Backlog'!$F118, TRUE, 0)</f>
        <v>0</v>
      </c>
      <c r="T118" s="4" cm="1">
        <f t="array" ref="T118">_xlfn.IFS('ProductSprint Backlog'!$F118="", "", AND('ProductSprint Backlog'!$J118&gt;T$2,'ProductSprint Backlog'!$I118&lt;=T$2), 'ProductSprint Backlog'!$F118 / MAX(1, 'ProductSprint Backlog'!$J118-'ProductSprint Backlog'!$I118), AND('ProductSprint Backlog'!$J118=T$2,'ProductSprint Backlog'!$I118=T$2), 'ProductSprint Backlog'!$F118, TRUE, 0)</f>
        <v>0</v>
      </c>
    </row>
    <row r="119" spans="2:20" x14ac:dyDescent="0.2">
      <c r="B119" s="4" cm="1">
        <f t="array" ref="B119">_xlfn.IFS('ProductSprint Backlog'!$F119="", "", AND('ProductSprint Backlog'!$J119&gt;B$2,'ProductSprint Backlog'!$I119&lt;=B$2), 'ProductSprint Backlog'!$F119 / MAX(1, 'ProductSprint Backlog'!$J119-'ProductSprint Backlog'!$I119), AND('ProductSprint Backlog'!$J119=B$2,'ProductSprint Backlog'!$I119=B$2), 'ProductSprint Backlog'!$F119, TRUE, 0)</f>
        <v>0.2</v>
      </c>
      <c r="C119" s="4" cm="1">
        <f t="array" ref="C119">_xlfn.IFS('ProductSprint Backlog'!$F119="", "", AND('ProductSprint Backlog'!$J119&gt;C$2,'ProductSprint Backlog'!$I119&lt;=C$2), 'ProductSprint Backlog'!$F119 / MAX(1, 'ProductSprint Backlog'!$J119-'ProductSprint Backlog'!$I119), AND('ProductSprint Backlog'!$J119=C$2,'ProductSprint Backlog'!$I119=C$2), 'ProductSprint Backlog'!$F119, TRUE, 0)</f>
        <v>0.2</v>
      </c>
      <c r="D119" s="4" cm="1">
        <f t="array" ref="D119">_xlfn.IFS('ProductSprint Backlog'!$F119="", "", AND('ProductSprint Backlog'!$J119&gt;D$2,'ProductSprint Backlog'!$I119&lt;=D$2), 'ProductSprint Backlog'!$F119 / MAX(1, 'ProductSprint Backlog'!$J119-'ProductSprint Backlog'!$I119), AND('ProductSprint Backlog'!$J119=D$2,'ProductSprint Backlog'!$I119=D$2), 'ProductSprint Backlog'!$F119, TRUE, 0)</f>
        <v>0.2</v>
      </c>
      <c r="E119" s="4" cm="1">
        <f t="array" ref="E119">_xlfn.IFS('ProductSprint Backlog'!$F119="", "", AND('ProductSprint Backlog'!$J119&gt;E$2,'ProductSprint Backlog'!$I119&lt;=E$2), 'ProductSprint Backlog'!$F119 / MAX(1, 'ProductSprint Backlog'!$J119-'ProductSprint Backlog'!$I119), AND('ProductSprint Backlog'!$J119=E$2,'ProductSprint Backlog'!$I119=E$2), 'ProductSprint Backlog'!$F119, TRUE, 0)</f>
        <v>0.2</v>
      </c>
      <c r="F119" s="4" cm="1">
        <f t="array" ref="F119">_xlfn.IFS('ProductSprint Backlog'!$F119="", "", AND('ProductSprint Backlog'!$J119&gt;F$2,'ProductSprint Backlog'!$I119&lt;=F$2), 'ProductSprint Backlog'!$F119 / MAX(1, 'ProductSprint Backlog'!$J119-'ProductSprint Backlog'!$I119), AND('ProductSprint Backlog'!$J119=F$2,'ProductSprint Backlog'!$I119=F$2), 'ProductSprint Backlog'!$F119, TRUE, 0)</f>
        <v>0.2</v>
      </c>
      <c r="G119" s="4" cm="1">
        <f t="array" ref="G119">_xlfn.IFS('ProductSprint Backlog'!$F119="", "", AND('ProductSprint Backlog'!$J119&gt;G$2,'ProductSprint Backlog'!$I119&lt;=G$2), 'ProductSprint Backlog'!$F119 / MAX(1, 'ProductSprint Backlog'!$J119-'ProductSprint Backlog'!$I119), AND('ProductSprint Backlog'!$J119=G$2,'ProductSprint Backlog'!$I119=G$2), 'ProductSprint Backlog'!$F119, TRUE, 0)</f>
        <v>0.2</v>
      </c>
      <c r="H119" s="4" cm="1">
        <f t="array" ref="H119">_xlfn.IFS('ProductSprint Backlog'!$F119="", "", AND('ProductSprint Backlog'!$J119&gt;H$2,'ProductSprint Backlog'!$I119&lt;=H$2), 'ProductSprint Backlog'!$F119 / MAX(1, 'ProductSprint Backlog'!$J119-'ProductSprint Backlog'!$I119), AND('ProductSprint Backlog'!$J119=H$2,'ProductSprint Backlog'!$I119=H$2), 'ProductSprint Backlog'!$F119, TRUE, 0)</f>
        <v>0.2</v>
      </c>
      <c r="I119" s="4" cm="1">
        <f t="array" ref="I119">_xlfn.IFS('ProductSprint Backlog'!$F119="", "", AND('ProductSprint Backlog'!$J119&gt;I$2,'ProductSprint Backlog'!$I119&lt;=I$2), 'ProductSprint Backlog'!$F119 / MAX(1, 'ProductSprint Backlog'!$J119-'ProductSprint Backlog'!$I119), AND('ProductSprint Backlog'!$J119=I$2,'ProductSprint Backlog'!$I119=I$2), 'ProductSprint Backlog'!$F119, TRUE, 0)</f>
        <v>0.2</v>
      </c>
      <c r="J119" s="4" cm="1">
        <f t="array" ref="J119">_xlfn.IFS('ProductSprint Backlog'!$F119="", "", AND('ProductSprint Backlog'!$J119&gt;J$2,'ProductSprint Backlog'!$I119&lt;=J$2), 'ProductSprint Backlog'!$F119 / MAX(1, 'ProductSprint Backlog'!$J119-'ProductSprint Backlog'!$I119), AND('ProductSprint Backlog'!$J119=J$2,'ProductSprint Backlog'!$I119=J$2), 'ProductSprint Backlog'!$F119, TRUE, 0)</f>
        <v>0.2</v>
      </c>
      <c r="K119" s="4" cm="1">
        <f t="array" ref="K119">_xlfn.IFS('ProductSprint Backlog'!$F119="", "", AND('ProductSprint Backlog'!$J119&gt;K$2,'ProductSprint Backlog'!$I119&lt;=K$2), 'ProductSprint Backlog'!$F119 / MAX(1, 'ProductSprint Backlog'!$J119-'ProductSprint Backlog'!$I119), AND('ProductSprint Backlog'!$J119=K$2,'ProductSprint Backlog'!$I119=K$2), 'ProductSprint Backlog'!$F119, TRUE, 0)</f>
        <v>0.2</v>
      </c>
      <c r="L119" s="4" cm="1">
        <f t="array" ref="L119">_xlfn.IFS('ProductSprint Backlog'!$F119="", "", AND('ProductSprint Backlog'!$J119&gt;L$2,'ProductSprint Backlog'!$I119&lt;=L$2), 'ProductSprint Backlog'!$F119 / MAX(1, 'ProductSprint Backlog'!$J119-'ProductSprint Backlog'!$I119), AND('ProductSprint Backlog'!$J119=L$2,'ProductSprint Backlog'!$I119=L$2), 'ProductSprint Backlog'!$F119, TRUE, 0)</f>
        <v>0</v>
      </c>
      <c r="M119" s="4" cm="1">
        <f t="array" ref="M119">_xlfn.IFS('ProductSprint Backlog'!$F119="", "", AND('ProductSprint Backlog'!$J119&gt;M$2,'ProductSprint Backlog'!$I119&lt;=M$2), 'ProductSprint Backlog'!$F119 / MAX(1, 'ProductSprint Backlog'!$J119-'ProductSprint Backlog'!$I119), AND('ProductSprint Backlog'!$J119=M$2,'ProductSprint Backlog'!$I119=M$2), 'ProductSprint Backlog'!$F119, TRUE, 0)</f>
        <v>0</v>
      </c>
      <c r="N119" s="4" cm="1">
        <f t="array" ref="N119">_xlfn.IFS('ProductSprint Backlog'!$F119="", "", AND('ProductSprint Backlog'!$J119&gt;N$2,'ProductSprint Backlog'!$I119&lt;=N$2), 'ProductSprint Backlog'!$F119 / MAX(1, 'ProductSprint Backlog'!$J119-'ProductSprint Backlog'!$I119), AND('ProductSprint Backlog'!$J119=N$2,'ProductSprint Backlog'!$I119=N$2), 'ProductSprint Backlog'!$F119, TRUE, 0)</f>
        <v>0</v>
      </c>
      <c r="O119" s="4" cm="1">
        <f t="array" ref="O119">_xlfn.IFS('ProductSprint Backlog'!$F119="", "", AND('ProductSprint Backlog'!$J119&gt;O$2,'ProductSprint Backlog'!$I119&lt;=O$2), 'ProductSprint Backlog'!$F119 / MAX(1, 'ProductSprint Backlog'!$J119-'ProductSprint Backlog'!$I119), AND('ProductSprint Backlog'!$J119=O$2,'ProductSprint Backlog'!$I119=O$2), 'ProductSprint Backlog'!$F119, TRUE, 0)</f>
        <v>0</v>
      </c>
      <c r="P119" s="4" cm="1">
        <f t="array" ref="P119">_xlfn.IFS('ProductSprint Backlog'!$F119="", "", AND('ProductSprint Backlog'!$J119&gt;P$2,'ProductSprint Backlog'!$I119&lt;=P$2), 'ProductSprint Backlog'!$F119 / MAX(1, 'ProductSprint Backlog'!$J119-'ProductSprint Backlog'!$I119), AND('ProductSprint Backlog'!$J119=P$2,'ProductSprint Backlog'!$I119=P$2), 'ProductSprint Backlog'!$F119, TRUE, 0)</f>
        <v>0</v>
      </c>
      <c r="Q119" s="4" cm="1">
        <f t="array" ref="Q119">_xlfn.IFS('ProductSprint Backlog'!$F119="", "", AND('ProductSprint Backlog'!$J119&gt;Q$2,'ProductSprint Backlog'!$I119&lt;=Q$2), 'ProductSprint Backlog'!$F119 / MAX(1, 'ProductSprint Backlog'!$J119-'ProductSprint Backlog'!$I119), AND('ProductSprint Backlog'!$J119=Q$2,'ProductSprint Backlog'!$I119=Q$2), 'ProductSprint Backlog'!$F119, TRUE, 0)</f>
        <v>0</v>
      </c>
      <c r="R119" s="4" cm="1">
        <f t="array" ref="R119">_xlfn.IFS('ProductSprint Backlog'!$F119="", "", AND('ProductSprint Backlog'!$J119&gt;R$2,'ProductSprint Backlog'!$I119&lt;=R$2), 'ProductSprint Backlog'!$F119 / MAX(1, 'ProductSprint Backlog'!$J119-'ProductSprint Backlog'!$I119), AND('ProductSprint Backlog'!$J119=R$2,'ProductSprint Backlog'!$I119=R$2), 'ProductSprint Backlog'!$F119, TRUE, 0)</f>
        <v>0</v>
      </c>
      <c r="S119" s="4" cm="1">
        <f t="array" ref="S119">_xlfn.IFS('ProductSprint Backlog'!$F119="", "", AND('ProductSprint Backlog'!$J119&gt;S$2,'ProductSprint Backlog'!$I119&lt;=S$2), 'ProductSprint Backlog'!$F119 / MAX(1, 'ProductSprint Backlog'!$J119-'ProductSprint Backlog'!$I119), AND('ProductSprint Backlog'!$J119=S$2,'ProductSprint Backlog'!$I119=S$2), 'ProductSprint Backlog'!$F119, TRUE, 0)</f>
        <v>0</v>
      </c>
      <c r="T119" s="4" cm="1">
        <f t="array" ref="T119">_xlfn.IFS('ProductSprint Backlog'!$F119="", "", AND('ProductSprint Backlog'!$J119&gt;T$2,'ProductSprint Backlog'!$I119&lt;=T$2), 'ProductSprint Backlog'!$F119 / MAX(1, 'ProductSprint Backlog'!$J119-'ProductSprint Backlog'!$I119), AND('ProductSprint Backlog'!$J119=T$2,'ProductSprint Backlog'!$I119=T$2), 'ProductSprint Backlog'!$F119, TRUE, 0)</f>
        <v>0</v>
      </c>
    </row>
    <row r="120" spans="2:20" x14ac:dyDescent="0.2">
      <c r="B120" s="4" cm="1">
        <f t="array" ref="B120">_xlfn.IFS('ProductSprint Backlog'!$F120="", "", AND('ProductSprint Backlog'!$J120&gt;B$2,'ProductSprint Backlog'!$I120&lt;=B$2), 'ProductSprint Backlog'!$F120 / MAX(1, 'ProductSprint Backlog'!$J120-'ProductSprint Backlog'!$I120), AND('ProductSprint Backlog'!$J120=B$2,'ProductSprint Backlog'!$I120=B$2), 'ProductSprint Backlog'!$F120, TRUE, 0)</f>
        <v>0.1</v>
      </c>
      <c r="C120" s="4" cm="1">
        <f t="array" ref="C120">_xlfn.IFS('ProductSprint Backlog'!$F120="", "", AND('ProductSprint Backlog'!$J120&gt;C$2,'ProductSprint Backlog'!$I120&lt;=C$2), 'ProductSprint Backlog'!$F120 / MAX(1, 'ProductSprint Backlog'!$J120-'ProductSprint Backlog'!$I120), AND('ProductSprint Backlog'!$J120=C$2,'ProductSprint Backlog'!$I120=C$2), 'ProductSprint Backlog'!$F120, TRUE, 0)</f>
        <v>0.1</v>
      </c>
      <c r="D120" s="4" cm="1">
        <f t="array" ref="D120">_xlfn.IFS('ProductSprint Backlog'!$F120="", "", AND('ProductSprint Backlog'!$J120&gt;D$2,'ProductSprint Backlog'!$I120&lt;=D$2), 'ProductSprint Backlog'!$F120 / MAX(1, 'ProductSprint Backlog'!$J120-'ProductSprint Backlog'!$I120), AND('ProductSprint Backlog'!$J120=D$2,'ProductSprint Backlog'!$I120=D$2), 'ProductSprint Backlog'!$F120, TRUE, 0)</f>
        <v>0.1</v>
      </c>
      <c r="E120" s="4" cm="1">
        <f t="array" ref="E120">_xlfn.IFS('ProductSprint Backlog'!$F120="", "", AND('ProductSprint Backlog'!$J120&gt;E$2,'ProductSprint Backlog'!$I120&lt;=E$2), 'ProductSprint Backlog'!$F120 / MAX(1, 'ProductSprint Backlog'!$J120-'ProductSprint Backlog'!$I120), AND('ProductSprint Backlog'!$J120=E$2,'ProductSprint Backlog'!$I120=E$2), 'ProductSprint Backlog'!$F120, TRUE, 0)</f>
        <v>0.1</v>
      </c>
      <c r="F120" s="4" cm="1">
        <f t="array" ref="F120">_xlfn.IFS('ProductSprint Backlog'!$F120="", "", AND('ProductSprint Backlog'!$J120&gt;F$2,'ProductSprint Backlog'!$I120&lt;=F$2), 'ProductSprint Backlog'!$F120 / MAX(1, 'ProductSprint Backlog'!$J120-'ProductSprint Backlog'!$I120), AND('ProductSprint Backlog'!$J120=F$2,'ProductSprint Backlog'!$I120=F$2), 'ProductSprint Backlog'!$F120, TRUE, 0)</f>
        <v>0.1</v>
      </c>
      <c r="G120" s="4" cm="1">
        <f t="array" ref="G120">_xlfn.IFS('ProductSprint Backlog'!$F120="", "", AND('ProductSprint Backlog'!$J120&gt;G$2,'ProductSprint Backlog'!$I120&lt;=G$2), 'ProductSprint Backlog'!$F120 / MAX(1, 'ProductSprint Backlog'!$J120-'ProductSprint Backlog'!$I120), AND('ProductSprint Backlog'!$J120=G$2,'ProductSprint Backlog'!$I120=G$2), 'ProductSprint Backlog'!$F120, TRUE, 0)</f>
        <v>0.1</v>
      </c>
      <c r="H120" s="4" cm="1">
        <f t="array" ref="H120">_xlfn.IFS('ProductSprint Backlog'!$F120="", "", AND('ProductSprint Backlog'!$J120&gt;H$2,'ProductSprint Backlog'!$I120&lt;=H$2), 'ProductSprint Backlog'!$F120 / MAX(1, 'ProductSprint Backlog'!$J120-'ProductSprint Backlog'!$I120), AND('ProductSprint Backlog'!$J120=H$2,'ProductSprint Backlog'!$I120=H$2), 'ProductSprint Backlog'!$F120, TRUE, 0)</f>
        <v>0.1</v>
      </c>
      <c r="I120" s="4" cm="1">
        <f t="array" ref="I120">_xlfn.IFS('ProductSprint Backlog'!$F120="", "", AND('ProductSprint Backlog'!$J120&gt;I$2,'ProductSprint Backlog'!$I120&lt;=I$2), 'ProductSprint Backlog'!$F120 / MAX(1, 'ProductSprint Backlog'!$J120-'ProductSprint Backlog'!$I120), AND('ProductSprint Backlog'!$J120=I$2,'ProductSprint Backlog'!$I120=I$2), 'ProductSprint Backlog'!$F120, TRUE, 0)</f>
        <v>0.1</v>
      </c>
      <c r="J120" s="4" cm="1">
        <f t="array" ref="J120">_xlfn.IFS('ProductSprint Backlog'!$F120="", "", AND('ProductSprint Backlog'!$J120&gt;J$2,'ProductSprint Backlog'!$I120&lt;=J$2), 'ProductSprint Backlog'!$F120 / MAX(1, 'ProductSprint Backlog'!$J120-'ProductSprint Backlog'!$I120), AND('ProductSprint Backlog'!$J120=J$2,'ProductSprint Backlog'!$I120=J$2), 'ProductSprint Backlog'!$F120, TRUE, 0)</f>
        <v>0.1</v>
      </c>
      <c r="K120" s="4" cm="1">
        <f t="array" ref="K120">_xlfn.IFS('ProductSprint Backlog'!$F120="", "", AND('ProductSprint Backlog'!$J120&gt;K$2,'ProductSprint Backlog'!$I120&lt;=K$2), 'ProductSprint Backlog'!$F120 / MAX(1, 'ProductSprint Backlog'!$J120-'ProductSprint Backlog'!$I120), AND('ProductSprint Backlog'!$J120=K$2,'ProductSprint Backlog'!$I120=K$2), 'ProductSprint Backlog'!$F120, TRUE, 0)</f>
        <v>0.1</v>
      </c>
      <c r="L120" s="4" cm="1">
        <f t="array" ref="L120">_xlfn.IFS('ProductSprint Backlog'!$F120="", "", AND('ProductSprint Backlog'!$J120&gt;L$2,'ProductSprint Backlog'!$I120&lt;=L$2), 'ProductSprint Backlog'!$F120 / MAX(1, 'ProductSprint Backlog'!$J120-'ProductSprint Backlog'!$I120), AND('ProductSprint Backlog'!$J120=L$2,'ProductSprint Backlog'!$I120=L$2), 'ProductSprint Backlog'!$F120, TRUE, 0)</f>
        <v>0</v>
      </c>
      <c r="M120" s="4" cm="1">
        <f t="array" ref="M120">_xlfn.IFS('ProductSprint Backlog'!$F120="", "", AND('ProductSprint Backlog'!$J120&gt;M$2,'ProductSprint Backlog'!$I120&lt;=M$2), 'ProductSprint Backlog'!$F120 / MAX(1, 'ProductSprint Backlog'!$J120-'ProductSprint Backlog'!$I120), AND('ProductSprint Backlog'!$J120=M$2,'ProductSprint Backlog'!$I120=M$2), 'ProductSprint Backlog'!$F120, TRUE, 0)</f>
        <v>0</v>
      </c>
      <c r="N120" s="4" cm="1">
        <f t="array" ref="N120">_xlfn.IFS('ProductSprint Backlog'!$F120="", "", AND('ProductSprint Backlog'!$J120&gt;N$2,'ProductSprint Backlog'!$I120&lt;=N$2), 'ProductSprint Backlog'!$F120 / MAX(1, 'ProductSprint Backlog'!$J120-'ProductSprint Backlog'!$I120), AND('ProductSprint Backlog'!$J120=N$2,'ProductSprint Backlog'!$I120=N$2), 'ProductSprint Backlog'!$F120, TRUE, 0)</f>
        <v>0</v>
      </c>
      <c r="O120" s="4" cm="1">
        <f t="array" ref="O120">_xlfn.IFS('ProductSprint Backlog'!$F120="", "", AND('ProductSprint Backlog'!$J120&gt;O$2,'ProductSprint Backlog'!$I120&lt;=O$2), 'ProductSprint Backlog'!$F120 / MAX(1, 'ProductSprint Backlog'!$J120-'ProductSprint Backlog'!$I120), AND('ProductSprint Backlog'!$J120=O$2,'ProductSprint Backlog'!$I120=O$2), 'ProductSprint Backlog'!$F120, TRUE, 0)</f>
        <v>0</v>
      </c>
      <c r="P120" s="4" cm="1">
        <f t="array" ref="P120">_xlfn.IFS('ProductSprint Backlog'!$F120="", "", AND('ProductSprint Backlog'!$J120&gt;P$2,'ProductSprint Backlog'!$I120&lt;=P$2), 'ProductSprint Backlog'!$F120 / MAX(1, 'ProductSprint Backlog'!$J120-'ProductSprint Backlog'!$I120), AND('ProductSprint Backlog'!$J120=P$2,'ProductSprint Backlog'!$I120=P$2), 'ProductSprint Backlog'!$F120, TRUE, 0)</f>
        <v>0</v>
      </c>
      <c r="Q120" s="4" cm="1">
        <f t="array" ref="Q120">_xlfn.IFS('ProductSprint Backlog'!$F120="", "", AND('ProductSprint Backlog'!$J120&gt;Q$2,'ProductSprint Backlog'!$I120&lt;=Q$2), 'ProductSprint Backlog'!$F120 / MAX(1, 'ProductSprint Backlog'!$J120-'ProductSprint Backlog'!$I120), AND('ProductSprint Backlog'!$J120=Q$2,'ProductSprint Backlog'!$I120=Q$2), 'ProductSprint Backlog'!$F120, TRUE, 0)</f>
        <v>0</v>
      </c>
      <c r="R120" s="4" cm="1">
        <f t="array" ref="R120">_xlfn.IFS('ProductSprint Backlog'!$F120="", "", AND('ProductSprint Backlog'!$J120&gt;R$2,'ProductSprint Backlog'!$I120&lt;=R$2), 'ProductSprint Backlog'!$F120 / MAX(1, 'ProductSprint Backlog'!$J120-'ProductSprint Backlog'!$I120), AND('ProductSprint Backlog'!$J120=R$2,'ProductSprint Backlog'!$I120=R$2), 'ProductSprint Backlog'!$F120, TRUE, 0)</f>
        <v>0</v>
      </c>
      <c r="S120" s="4" cm="1">
        <f t="array" ref="S120">_xlfn.IFS('ProductSprint Backlog'!$F120="", "", AND('ProductSprint Backlog'!$J120&gt;S$2,'ProductSprint Backlog'!$I120&lt;=S$2), 'ProductSprint Backlog'!$F120 / MAX(1, 'ProductSprint Backlog'!$J120-'ProductSprint Backlog'!$I120), AND('ProductSprint Backlog'!$J120=S$2,'ProductSprint Backlog'!$I120=S$2), 'ProductSprint Backlog'!$F120, TRUE, 0)</f>
        <v>0</v>
      </c>
      <c r="T120" s="4" cm="1">
        <f t="array" ref="T120">_xlfn.IFS('ProductSprint Backlog'!$F120="", "", AND('ProductSprint Backlog'!$J120&gt;T$2,'ProductSprint Backlog'!$I120&lt;=T$2), 'ProductSprint Backlog'!$F120 / MAX(1, 'ProductSprint Backlog'!$J120-'ProductSprint Backlog'!$I120), AND('ProductSprint Backlog'!$J120=T$2,'ProductSprint Backlog'!$I120=T$2), 'ProductSprint Backlog'!$F120, TRUE, 0)</f>
        <v>0</v>
      </c>
    </row>
    <row r="121" spans="2:20" x14ac:dyDescent="0.2">
      <c r="B121" s="4" cm="1">
        <f t="array" ref="B121">_xlfn.IFS('ProductSprint Backlog'!$F121="", "", AND('ProductSprint Backlog'!$J121&gt;B$2,'ProductSprint Backlog'!$I121&lt;=B$2), 'ProductSprint Backlog'!$F121 / MAX(1, 'ProductSprint Backlog'!$J121-'ProductSprint Backlog'!$I121), AND('ProductSprint Backlog'!$J121=B$2,'ProductSprint Backlog'!$I121=B$2), 'ProductSprint Backlog'!$F121, TRUE, 0)</f>
        <v>0</v>
      </c>
      <c r="C121" s="4" cm="1">
        <f t="array" ref="C121">_xlfn.IFS('ProductSprint Backlog'!$F121="", "", AND('ProductSprint Backlog'!$J121&gt;C$2,'ProductSprint Backlog'!$I121&lt;=C$2), 'ProductSprint Backlog'!$F121 / MAX(1, 'ProductSprint Backlog'!$J121-'ProductSprint Backlog'!$I121), AND('ProductSprint Backlog'!$J121=C$2,'ProductSprint Backlog'!$I121=C$2), 'ProductSprint Backlog'!$F121, TRUE, 0)</f>
        <v>0</v>
      </c>
      <c r="D121" s="4" cm="1">
        <f t="array" ref="D121">_xlfn.IFS('ProductSprint Backlog'!$F121="", "", AND('ProductSprint Backlog'!$J121&gt;D$2,'ProductSprint Backlog'!$I121&lt;=D$2), 'ProductSprint Backlog'!$F121 / MAX(1, 'ProductSprint Backlog'!$J121-'ProductSprint Backlog'!$I121), AND('ProductSprint Backlog'!$J121=D$2,'ProductSprint Backlog'!$I121=D$2), 'ProductSprint Backlog'!$F121, TRUE, 0)</f>
        <v>0</v>
      </c>
      <c r="E121" s="4" cm="1">
        <f t="array" ref="E121">_xlfn.IFS('ProductSprint Backlog'!$F121="", "", AND('ProductSprint Backlog'!$J121&gt;E$2,'ProductSprint Backlog'!$I121&lt;=E$2), 'ProductSprint Backlog'!$F121 / MAX(1, 'ProductSprint Backlog'!$J121-'ProductSprint Backlog'!$I121), AND('ProductSprint Backlog'!$J121=E$2,'ProductSprint Backlog'!$I121=E$2), 'ProductSprint Backlog'!$F121, TRUE, 0)</f>
        <v>0</v>
      </c>
      <c r="F121" s="4" cm="1">
        <f t="array" ref="F121">_xlfn.IFS('ProductSprint Backlog'!$F121="", "", AND('ProductSprint Backlog'!$J121&gt;F$2,'ProductSprint Backlog'!$I121&lt;=F$2), 'ProductSprint Backlog'!$F121 / MAX(1, 'ProductSprint Backlog'!$J121-'ProductSprint Backlog'!$I121), AND('ProductSprint Backlog'!$J121=F$2,'ProductSprint Backlog'!$I121=F$2), 'ProductSprint Backlog'!$F121, TRUE, 0)</f>
        <v>0</v>
      </c>
      <c r="G121" s="4" cm="1">
        <f t="array" ref="G121">_xlfn.IFS('ProductSprint Backlog'!$F121="", "", AND('ProductSprint Backlog'!$J121&gt;G$2,'ProductSprint Backlog'!$I121&lt;=G$2), 'ProductSprint Backlog'!$F121 / MAX(1, 'ProductSprint Backlog'!$J121-'ProductSprint Backlog'!$I121), AND('ProductSprint Backlog'!$J121=G$2,'ProductSprint Backlog'!$I121=G$2), 'ProductSprint Backlog'!$F121, TRUE, 0)</f>
        <v>0</v>
      </c>
      <c r="H121" s="4" cm="1">
        <f t="array" ref="H121">_xlfn.IFS('ProductSprint Backlog'!$F121="", "", AND('ProductSprint Backlog'!$J121&gt;H$2,'ProductSprint Backlog'!$I121&lt;=H$2), 'ProductSprint Backlog'!$F121 / MAX(1, 'ProductSprint Backlog'!$J121-'ProductSprint Backlog'!$I121), AND('ProductSprint Backlog'!$J121=H$2,'ProductSprint Backlog'!$I121=H$2), 'ProductSprint Backlog'!$F121, TRUE, 0)</f>
        <v>0</v>
      </c>
      <c r="I121" s="4" cm="1">
        <f t="array" ref="I121">_xlfn.IFS('ProductSprint Backlog'!$F121="", "", AND('ProductSprint Backlog'!$J121&gt;I$2,'ProductSprint Backlog'!$I121&lt;=I$2), 'ProductSprint Backlog'!$F121 / MAX(1, 'ProductSprint Backlog'!$J121-'ProductSprint Backlog'!$I121), AND('ProductSprint Backlog'!$J121=I$2,'ProductSprint Backlog'!$I121=I$2), 'ProductSprint Backlog'!$F121, TRUE, 0)</f>
        <v>0</v>
      </c>
      <c r="J121" s="4" cm="1">
        <f t="array" ref="J121">_xlfn.IFS('ProductSprint Backlog'!$F121="", "", AND('ProductSprint Backlog'!$J121&gt;J$2,'ProductSprint Backlog'!$I121&lt;=J$2), 'ProductSprint Backlog'!$F121 / MAX(1, 'ProductSprint Backlog'!$J121-'ProductSprint Backlog'!$I121), AND('ProductSprint Backlog'!$J121=J$2,'ProductSprint Backlog'!$I121=J$2), 'ProductSprint Backlog'!$F121, TRUE, 0)</f>
        <v>0</v>
      </c>
      <c r="K121" s="4" cm="1">
        <f t="array" ref="K121">_xlfn.IFS('ProductSprint Backlog'!$F121="", "", AND('ProductSprint Backlog'!$J121&gt;K$2,'ProductSprint Backlog'!$I121&lt;=K$2), 'ProductSprint Backlog'!$F121 / MAX(1, 'ProductSprint Backlog'!$J121-'ProductSprint Backlog'!$I121), AND('ProductSprint Backlog'!$J121=K$2,'ProductSprint Backlog'!$I121=K$2), 'ProductSprint Backlog'!$F121, TRUE, 0)</f>
        <v>0</v>
      </c>
      <c r="L121" s="4" cm="1">
        <f t="array" ref="L121">_xlfn.IFS('ProductSprint Backlog'!$F121="", "", AND('ProductSprint Backlog'!$J121&gt;L$2,'ProductSprint Backlog'!$I121&lt;=L$2), 'ProductSprint Backlog'!$F121 / MAX(1, 'ProductSprint Backlog'!$J121-'ProductSprint Backlog'!$I121), AND('ProductSprint Backlog'!$J121=L$2,'ProductSprint Backlog'!$I121=L$2), 'ProductSprint Backlog'!$F121, TRUE, 0)</f>
        <v>0</v>
      </c>
      <c r="M121" s="4" cm="1">
        <f t="array" ref="M121">_xlfn.IFS('ProductSprint Backlog'!$F121="", "", AND('ProductSprint Backlog'!$J121&gt;M$2,'ProductSprint Backlog'!$I121&lt;=M$2), 'ProductSprint Backlog'!$F121 / MAX(1, 'ProductSprint Backlog'!$J121-'ProductSprint Backlog'!$I121), AND('ProductSprint Backlog'!$J121=M$2,'ProductSprint Backlog'!$I121=M$2), 'ProductSprint Backlog'!$F121, TRUE, 0)</f>
        <v>0.33333333333333331</v>
      </c>
      <c r="N121" s="4" cm="1">
        <f t="array" ref="N121">_xlfn.IFS('ProductSprint Backlog'!$F121="", "", AND('ProductSprint Backlog'!$J121&gt;N$2,'ProductSprint Backlog'!$I121&lt;=N$2), 'ProductSprint Backlog'!$F121 / MAX(1, 'ProductSprint Backlog'!$J121-'ProductSprint Backlog'!$I121), AND('ProductSprint Backlog'!$J121=N$2,'ProductSprint Backlog'!$I121=N$2), 'ProductSprint Backlog'!$F121, TRUE, 0)</f>
        <v>0.33333333333333331</v>
      </c>
      <c r="O121" s="4" cm="1">
        <f t="array" ref="O121">_xlfn.IFS('ProductSprint Backlog'!$F121="", "", AND('ProductSprint Backlog'!$J121&gt;O$2,'ProductSprint Backlog'!$I121&lt;=O$2), 'ProductSprint Backlog'!$F121 / MAX(1, 'ProductSprint Backlog'!$J121-'ProductSprint Backlog'!$I121), AND('ProductSprint Backlog'!$J121=O$2,'ProductSprint Backlog'!$I121=O$2), 'ProductSprint Backlog'!$F121, TRUE, 0)</f>
        <v>0.33333333333333331</v>
      </c>
      <c r="P121" s="4" cm="1">
        <f t="array" ref="P121">_xlfn.IFS('ProductSprint Backlog'!$F121="", "", AND('ProductSprint Backlog'!$J121&gt;P$2,'ProductSprint Backlog'!$I121&lt;=P$2), 'ProductSprint Backlog'!$F121 / MAX(1, 'ProductSprint Backlog'!$J121-'ProductSprint Backlog'!$I121), AND('ProductSprint Backlog'!$J121=P$2,'ProductSprint Backlog'!$I121=P$2), 'ProductSprint Backlog'!$F121, TRUE, 0)</f>
        <v>0</v>
      </c>
      <c r="Q121" s="4" cm="1">
        <f t="array" ref="Q121">_xlfn.IFS('ProductSprint Backlog'!$F121="", "", AND('ProductSprint Backlog'!$J121&gt;Q$2,'ProductSprint Backlog'!$I121&lt;=Q$2), 'ProductSprint Backlog'!$F121 / MAX(1, 'ProductSprint Backlog'!$J121-'ProductSprint Backlog'!$I121), AND('ProductSprint Backlog'!$J121=Q$2,'ProductSprint Backlog'!$I121=Q$2), 'ProductSprint Backlog'!$F121, TRUE, 0)</f>
        <v>0</v>
      </c>
      <c r="R121" s="4" cm="1">
        <f t="array" ref="R121">_xlfn.IFS('ProductSprint Backlog'!$F121="", "", AND('ProductSprint Backlog'!$J121&gt;R$2,'ProductSprint Backlog'!$I121&lt;=R$2), 'ProductSprint Backlog'!$F121 / MAX(1, 'ProductSprint Backlog'!$J121-'ProductSprint Backlog'!$I121), AND('ProductSprint Backlog'!$J121=R$2,'ProductSprint Backlog'!$I121=R$2), 'ProductSprint Backlog'!$F121, TRUE, 0)</f>
        <v>0</v>
      </c>
      <c r="S121" s="4" cm="1">
        <f t="array" ref="S121">_xlfn.IFS('ProductSprint Backlog'!$F121="", "", AND('ProductSprint Backlog'!$J121&gt;S$2,'ProductSprint Backlog'!$I121&lt;=S$2), 'ProductSprint Backlog'!$F121 / MAX(1, 'ProductSprint Backlog'!$J121-'ProductSprint Backlog'!$I121), AND('ProductSprint Backlog'!$J121=S$2,'ProductSprint Backlog'!$I121=S$2), 'ProductSprint Backlog'!$F121, TRUE, 0)</f>
        <v>0</v>
      </c>
      <c r="T121" s="4" cm="1">
        <f t="array" ref="T121">_xlfn.IFS('ProductSprint Backlog'!$F121="", "", AND('ProductSprint Backlog'!$J121&gt;T$2,'ProductSprint Backlog'!$I121&lt;=T$2), 'ProductSprint Backlog'!$F121 / MAX(1, 'ProductSprint Backlog'!$J121-'ProductSprint Backlog'!$I121), AND('ProductSprint Backlog'!$J121=T$2,'ProductSprint Backlog'!$I121=T$2), 'ProductSprint Backlog'!$F121, TRUE, 0)</f>
        <v>0</v>
      </c>
    </row>
    <row r="122" spans="2:20" x14ac:dyDescent="0.2">
      <c r="B122" s="4" cm="1">
        <f t="array" ref="B122">_xlfn.IFS('ProductSprint Backlog'!$F122="", "", AND('ProductSprint Backlog'!$J122&gt;B$2,'ProductSprint Backlog'!$I122&lt;=B$2), 'ProductSprint Backlog'!$F122 / MAX(1, 'ProductSprint Backlog'!$J122-'ProductSprint Backlog'!$I122), AND('ProductSprint Backlog'!$J122=B$2,'ProductSprint Backlog'!$I122=B$2), 'ProductSprint Backlog'!$F122, TRUE, 0)</f>
        <v>0</v>
      </c>
      <c r="C122" s="4" cm="1">
        <f t="array" ref="C122">_xlfn.IFS('ProductSprint Backlog'!$F122="", "", AND('ProductSprint Backlog'!$J122&gt;C$2,'ProductSprint Backlog'!$I122&lt;=C$2), 'ProductSprint Backlog'!$F122 / MAX(1, 'ProductSprint Backlog'!$J122-'ProductSprint Backlog'!$I122), AND('ProductSprint Backlog'!$J122=C$2,'ProductSprint Backlog'!$I122=C$2), 'ProductSprint Backlog'!$F122, TRUE, 0)</f>
        <v>0</v>
      </c>
      <c r="D122" s="4" cm="1">
        <f t="array" ref="D122">_xlfn.IFS('ProductSprint Backlog'!$F122="", "", AND('ProductSprint Backlog'!$J122&gt;D$2,'ProductSprint Backlog'!$I122&lt;=D$2), 'ProductSprint Backlog'!$F122 / MAX(1, 'ProductSprint Backlog'!$J122-'ProductSprint Backlog'!$I122), AND('ProductSprint Backlog'!$J122=D$2,'ProductSprint Backlog'!$I122=D$2), 'ProductSprint Backlog'!$F122, TRUE, 0)</f>
        <v>0</v>
      </c>
      <c r="E122" s="4" cm="1">
        <f t="array" ref="E122">_xlfn.IFS('ProductSprint Backlog'!$F122="", "", AND('ProductSprint Backlog'!$J122&gt;E$2,'ProductSprint Backlog'!$I122&lt;=E$2), 'ProductSprint Backlog'!$F122 / MAX(1, 'ProductSprint Backlog'!$J122-'ProductSprint Backlog'!$I122), AND('ProductSprint Backlog'!$J122=E$2,'ProductSprint Backlog'!$I122=E$2), 'ProductSprint Backlog'!$F122, TRUE, 0)</f>
        <v>0</v>
      </c>
      <c r="F122" s="4" cm="1">
        <f t="array" ref="F122">_xlfn.IFS('ProductSprint Backlog'!$F122="", "", AND('ProductSprint Backlog'!$J122&gt;F$2,'ProductSprint Backlog'!$I122&lt;=F$2), 'ProductSprint Backlog'!$F122 / MAX(1, 'ProductSprint Backlog'!$J122-'ProductSprint Backlog'!$I122), AND('ProductSprint Backlog'!$J122=F$2,'ProductSprint Backlog'!$I122=F$2), 'ProductSprint Backlog'!$F122, TRUE, 0)</f>
        <v>0</v>
      </c>
      <c r="G122" s="4" cm="1">
        <f t="array" ref="G122">_xlfn.IFS('ProductSprint Backlog'!$F122="", "", AND('ProductSprint Backlog'!$J122&gt;G$2,'ProductSprint Backlog'!$I122&lt;=G$2), 'ProductSprint Backlog'!$F122 / MAX(1, 'ProductSprint Backlog'!$J122-'ProductSprint Backlog'!$I122), AND('ProductSprint Backlog'!$J122=G$2,'ProductSprint Backlog'!$I122=G$2), 'ProductSprint Backlog'!$F122, TRUE, 0)</f>
        <v>0</v>
      </c>
      <c r="H122" s="4" cm="1">
        <f t="array" ref="H122">_xlfn.IFS('ProductSprint Backlog'!$F122="", "", AND('ProductSprint Backlog'!$J122&gt;H$2,'ProductSprint Backlog'!$I122&lt;=H$2), 'ProductSprint Backlog'!$F122 / MAX(1, 'ProductSprint Backlog'!$J122-'ProductSprint Backlog'!$I122), AND('ProductSprint Backlog'!$J122=H$2,'ProductSprint Backlog'!$I122=H$2), 'ProductSprint Backlog'!$F122, TRUE, 0)</f>
        <v>0</v>
      </c>
      <c r="I122" s="4" cm="1">
        <f t="array" ref="I122">_xlfn.IFS('ProductSprint Backlog'!$F122="", "", AND('ProductSprint Backlog'!$J122&gt;I$2,'ProductSprint Backlog'!$I122&lt;=I$2), 'ProductSprint Backlog'!$F122 / MAX(1, 'ProductSprint Backlog'!$J122-'ProductSprint Backlog'!$I122), AND('ProductSprint Backlog'!$J122=I$2,'ProductSprint Backlog'!$I122=I$2), 'ProductSprint Backlog'!$F122, TRUE, 0)</f>
        <v>0</v>
      </c>
      <c r="J122" s="4" cm="1">
        <f t="array" ref="J122">_xlfn.IFS('ProductSprint Backlog'!$F122="", "", AND('ProductSprint Backlog'!$J122&gt;J$2,'ProductSprint Backlog'!$I122&lt;=J$2), 'ProductSprint Backlog'!$F122 / MAX(1, 'ProductSprint Backlog'!$J122-'ProductSprint Backlog'!$I122), AND('ProductSprint Backlog'!$J122=J$2,'ProductSprint Backlog'!$I122=J$2), 'ProductSprint Backlog'!$F122, TRUE, 0)</f>
        <v>0</v>
      </c>
      <c r="K122" s="4" cm="1">
        <f t="array" ref="K122">_xlfn.IFS('ProductSprint Backlog'!$F122="", "", AND('ProductSprint Backlog'!$J122&gt;K$2,'ProductSprint Backlog'!$I122&lt;=K$2), 'ProductSprint Backlog'!$F122 / MAX(1, 'ProductSprint Backlog'!$J122-'ProductSprint Backlog'!$I122), AND('ProductSprint Backlog'!$J122=K$2,'ProductSprint Backlog'!$I122=K$2), 'ProductSprint Backlog'!$F122, TRUE, 0)</f>
        <v>0</v>
      </c>
      <c r="L122" s="4" cm="1">
        <f t="array" ref="L122">_xlfn.IFS('ProductSprint Backlog'!$F122="", "", AND('ProductSprint Backlog'!$J122&gt;L$2,'ProductSprint Backlog'!$I122&lt;=L$2), 'ProductSprint Backlog'!$F122 / MAX(1, 'ProductSprint Backlog'!$J122-'ProductSprint Backlog'!$I122), AND('ProductSprint Backlog'!$J122=L$2,'ProductSprint Backlog'!$I122=L$2), 'ProductSprint Backlog'!$F122, TRUE, 0)</f>
        <v>0</v>
      </c>
      <c r="M122" s="4" cm="1">
        <f t="array" ref="M122">_xlfn.IFS('ProductSprint Backlog'!$F122="", "", AND('ProductSprint Backlog'!$J122&gt;M$2,'ProductSprint Backlog'!$I122&lt;=M$2), 'ProductSprint Backlog'!$F122 / MAX(1, 'ProductSprint Backlog'!$J122-'ProductSprint Backlog'!$I122), AND('ProductSprint Backlog'!$J122=M$2,'ProductSprint Backlog'!$I122=M$2), 'ProductSprint Backlog'!$F122, TRUE, 0)</f>
        <v>0.33333333333333331</v>
      </c>
      <c r="N122" s="4" cm="1">
        <f t="array" ref="N122">_xlfn.IFS('ProductSprint Backlog'!$F122="", "", AND('ProductSprint Backlog'!$J122&gt;N$2,'ProductSprint Backlog'!$I122&lt;=N$2), 'ProductSprint Backlog'!$F122 / MAX(1, 'ProductSprint Backlog'!$J122-'ProductSprint Backlog'!$I122), AND('ProductSprint Backlog'!$J122=N$2,'ProductSprint Backlog'!$I122=N$2), 'ProductSprint Backlog'!$F122, TRUE, 0)</f>
        <v>0.33333333333333331</v>
      </c>
      <c r="O122" s="4" cm="1">
        <f t="array" ref="O122">_xlfn.IFS('ProductSprint Backlog'!$F122="", "", AND('ProductSprint Backlog'!$J122&gt;O$2,'ProductSprint Backlog'!$I122&lt;=O$2), 'ProductSprint Backlog'!$F122 / MAX(1, 'ProductSprint Backlog'!$J122-'ProductSprint Backlog'!$I122), AND('ProductSprint Backlog'!$J122=O$2,'ProductSprint Backlog'!$I122=O$2), 'ProductSprint Backlog'!$F122, TRUE, 0)</f>
        <v>0.33333333333333331</v>
      </c>
      <c r="P122" s="4" cm="1">
        <f t="array" ref="P122">_xlfn.IFS('ProductSprint Backlog'!$F122="", "", AND('ProductSprint Backlog'!$J122&gt;P$2,'ProductSprint Backlog'!$I122&lt;=P$2), 'ProductSprint Backlog'!$F122 / MAX(1, 'ProductSprint Backlog'!$J122-'ProductSprint Backlog'!$I122), AND('ProductSprint Backlog'!$J122=P$2,'ProductSprint Backlog'!$I122=P$2), 'ProductSprint Backlog'!$F122, TRUE, 0)</f>
        <v>0</v>
      </c>
      <c r="Q122" s="4" cm="1">
        <f t="array" ref="Q122">_xlfn.IFS('ProductSprint Backlog'!$F122="", "", AND('ProductSprint Backlog'!$J122&gt;Q$2,'ProductSprint Backlog'!$I122&lt;=Q$2), 'ProductSprint Backlog'!$F122 / MAX(1, 'ProductSprint Backlog'!$J122-'ProductSprint Backlog'!$I122), AND('ProductSprint Backlog'!$J122=Q$2,'ProductSprint Backlog'!$I122=Q$2), 'ProductSprint Backlog'!$F122, TRUE, 0)</f>
        <v>0</v>
      </c>
      <c r="R122" s="4" cm="1">
        <f t="array" ref="R122">_xlfn.IFS('ProductSprint Backlog'!$F122="", "", AND('ProductSprint Backlog'!$J122&gt;R$2,'ProductSprint Backlog'!$I122&lt;=R$2), 'ProductSprint Backlog'!$F122 / MAX(1, 'ProductSprint Backlog'!$J122-'ProductSprint Backlog'!$I122), AND('ProductSprint Backlog'!$J122=R$2,'ProductSprint Backlog'!$I122=R$2), 'ProductSprint Backlog'!$F122, TRUE, 0)</f>
        <v>0</v>
      </c>
      <c r="S122" s="4" cm="1">
        <f t="array" ref="S122">_xlfn.IFS('ProductSprint Backlog'!$F122="", "", AND('ProductSprint Backlog'!$J122&gt;S$2,'ProductSprint Backlog'!$I122&lt;=S$2), 'ProductSprint Backlog'!$F122 / MAX(1, 'ProductSprint Backlog'!$J122-'ProductSprint Backlog'!$I122), AND('ProductSprint Backlog'!$J122=S$2,'ProductSprint Backlog'!$I122=S$2), 'ProductSprint Backlog'!$F122, TRUE, 0)</f>
        <v>0</v>
      </c>
      <c r="T122" s="4" cm="1">
        <f t="array" ref="T122">_xlfn.IFS('ProductSprint Backlog'!$F122="", "", AND('ProductSprint Backlog'!$J122&gt;T$2,'ProductSprint Backlog'!$I122&lt;=T$2), 'ProductSprint Backlog'!$F122 / MAX(1, 'ProductSprint Backlog'!$J122-'ProductSprint Backlog'!$I122), AND('ProductSprint Backlog'!$J122=T$2,'ProductSprint Backlog'!$I122=T$2), 'ProductSprint Backlog'!$F122, TRUE, 0)</f>
        <v>0</v>
      </c>
    </row>
    <row r="123" spans="2:20" x14ac:dyDescent="0.2">
      <c r="B123" s="4" cm="1">
        <f t="array" ref="B123">_xlfn.IFS('ProductSprint Backlog'!$F123="", "", AND('ProductSprint Backlog'!$J123&gt;B$2,'ProductSprint Backlog'!$I123&lt;=B$2), 'ProductSprint Backlog'!$F123 / MAX(1, 'ProductSprint Backlog'!$J123-'ProductSprint Backlog'!$I123), AND('ProductSprint Backlog'!$J123=B$2,'ProductSprint Backlog'!$I123=B$2), 'ProductSprint Backlog'!$F123, TRUE, 0)</f>
        <v>0</v>
      </c>
      <c r="C123" s="4" cm="1">
        <f t="array" ref="C123">_xlfn.IFS('ProductSprint Backlog'!$F123="", "", AND('ProductSprint Backlog'!$J123&gt;C$2,'ProductSprint Backlog'!$I123&lt;=C$2), 'ProductSprint Backlog'!$F123 / MAX(1, 'ProductSprint Backlog'!$J123-'ProductSprint Backlog'!$I123), AND('ProductSprint Backlog'!$J123=C$2,'ProductSprint Backlog'!$I123=C$2), 'ProductSprint Backlog'!$F123, TRUE, 0)</f>
        <v>0</v>
      </c>
      <c r="D123" s="4" cm="1">
        <f t="array" ref="D123">_xlfn.IFS('ProductSprint Backlog'!$F123="", "", AND('ProductSprint Backlog'!$J123&gt;D$2,'ProductSprint Backlog'!$I123&lt;=D$2), 'ProductSprint Backlog'!$F123 / MAX(1, 'ProductSprint Backlog'!$J123-'ProductSprint Backlog'!$I123), AND('ProductSprint Backlog'!$J123=D$2,'ProductSprint Backlog'!$I123=D$2), 'ProductSprint Backlog'!$F123, TRUE, 0)</f>
        <v>0</v>
      </c>
      <c r="E123" s="4" cm="1">
        <f t="array" ref="E123">_xlfn.IFS('ProductSprint Backlog'!$F123="", "", AND('ProductSprint Backlog'!$J123&gt;E$2,'ProductSprint Backlog'!$I123&lt;=E$2), 'ProductSprint Backlog'!$F123 / MAX(1, 'ProductSprint Backlog'!$J123-'ProductSprint Backlog'!$I123), AND('ProductSprint Backlog'!$J123=E$2,'ProductSprint Backlog'!$I123=E$2), 'ProductSprint Backlog'!$F123, TRUE, 0)</f>
        <v>0</v>
      </c>
      <c r="F123" s="4" cm="1">
        <f t="array" ref="F123">_xlfn.IFS('ProductSprint Backlog'!$F123="", "", AND('ProductSprint Backlog'!$J123&gt;F$2,'ProductSprint Backlog'!$I123&lt;=F$2), 'ProductSprint Backlog'!$F123 / MAX(1, 'ProductSprint Backlog'!$J123-'ProductSprint Backlog'!$I123), AND('ProductSprint Backlog'!$J123=F$2,'ProductSprint Backlog'!$I123=F$2), 'ProductSprint Backlog'!$F123, TRUE, 0)</f>
        <v>0</v>
      </c>
      <c r="G123" s="4" cm="1">
        <f t="array" ref="G123">_xlfn.IFS('ProductSprint Backlog'!$F123="", "", AND('ProductSprint Backlog'!$J123&gt;G$2,'ProductSprint Backlog'!$I123&lt;=G$2), 'ProductSprint Backlog'!$F123 / MAX(1, 'ProductSprint Backlog'!$J123-'ProductSprint Backlog'!$I123), AND('ProductSprint Backlog'!$J123=G$2,'ProductSprint Backlog'!$I123=G$2), 'ProductSprint Backlog'!$F123, TRUE, 0)</f>
        <v>0</v>
      </c>
      <c r="H123" s="4" cm="1">
        <f t="array" ref="H123">_xlfn.IFS('ProductSprint Backlog'!$F123="", "", AND('ProductSprint Backlog'!$J123&gt;H$2,'ProductSprint Backlog'!$I123&lt;=H$2), 'ProductSprint Backlog'!$F123 / MAX(1, 'ProductSprint Backlog'!$J123-'ProductSprint Backlog'!$I123), AND('ProductSprint Backlog'!$J123=H$2,'ProductSprint Backlog'!$I123=H$2), 'ProductSprint Backlog'!$F123, TRUE, 0)</f>
        <v>0</v>
      </c>
      <c r="I123" s="4" cm="1">
        <f t="array" ref="I123">_xlfn.IFS('ProductSprint Backlog'!$F123="", "", AND('ProductSprint Backlog'!$J123&gt;I$2,'ProductSprint Backlog'!$I123&lt;=I$2), 'ProductSprint Backlog'!$F123 / MAX(1, 'ProductSprint Backlog'!$J123-'ProductSprint Backlog'!$I123), AND('ProductSprint Backlog'!$J123=I$2,'ProductSprint Backlog'!$I123=I$2), 'ProductSprint Backlog'!$F123, TRUE, 0)</f>
        <v>0</v>
      </c>
      <c r="J123" s="4" cm="1">
        <f t="array" ref="J123">_xlfn.IFS('ProductSprint Backlog'!$F123="", "", AND('ProductSprint Backlog'!$J123&gt;J$2,'ProductSprint Backlog'!$I123&lt;=J$2), 'ProductSprint Backlog'!$F123 / MAX(1, 'ProductSprint Backlog'!$J123-'ProductSprint Backlog'!$I123), AND('ProductSprint Backlog'!$J123=J$2,'ProductSprint Backlog'!$I123=J$2), 'ProductSprint Backlog'!$F123, TRUE, 0)</f>
        <v>0</v>
      </c>
      <c r="K123" s="4" cm="1">
        <f t="array" ref="K123">_xlfn.IFS('ProductSprint Backlog'!$F123="", "", AND('ProductSprint Backlog'!$J123&gt;K$2,'ProductSprint Backlog'!$I123&lt;=K$2), 'ProductSprint Backlog'!$F123 / MAX(1, 'ProductSprint Backlog'!$J123-'ProductSprint Backlog'!$I123), AND('ProductSprint Backlog'!$J123=K$2,'ProductSprint Backlog'!$I123=K$2), 'ProductSprint Backlog'!$F123, TRUE, 0)</f>
        <v>0</v>
      </c>
      <c r="L123" s="4" cm="1">
        <f t="array" ref="L123">_xlfn.IFS('ProductSprint Backlog'!$F123="", "", AND('ProductSprint Backlog'!$J123&gt;L$2,'ProductSprint Backlog'!$I123&lt;=L$2), 'ProductSprint Backlog'!$F123 / MAX(1, 'ProductSprint Backlog'!$J123-'ProductSprint Backlog'!$I123), AND('ProductSprint Backlog'!$J123=L$2,'ProductSprint Backlog'!$I123=L$2), 'ProductSprint Backlog'!$F123, TRUE, 0)</f>
        <v>0</v>
      </c>
      <c r="M123" s="4" cm="1">
        <f t="array" ref="M123">_xlfn.IFS('ProductSprint Backlog'!$F123="", "", AND('ProductSprint Backlog'!$J123&gt;M$2,'ProductSprint Backlog'!$I123&lt;=M$2), 'ProductSprint Backlog'!$F123 / MAX(1, 'ProductSprint Backlog'!$J123-'ProductSprint Backlog'!$I123), AND('ProductSprint Backlog'!$J123=M$2,'ProductSprint Backlog'!$I123=M$2), 'ProductSprint Backlog'!$F123, TRUE, 0)</f>
        <v>0.33333333333333331</v>
      </c>
      <c r="N123" s="4" cm="1">
        <f t="array" ref="N123">_xlfn.IFS('ProductSprint Backlog'!$F123="", "", AND('ProductSprint Backlog'!$J123&gt;N$2,'ProductSprint Backlog'!$I123&lt;=N$2), 'ProductSprint Backlog'!$F123 / MAX(1, 'ProductSprint Backlog'!$J123-'ProductSprint Backlog'!$I123), AND('ProductSprint Backlog'!$J123=N$2,'ProductSprint Backlog'!$I123=N$2), 'ProductSprint Backlog'!$F123, TRUE, 0)</f>
        <v>0.33333333333333331</v>
      </c>
      <c r="O123" s="4" cm="1">
        <f t="array" ref="O123">_xlfn.IFS('ProductSprint Backlog'!$F123="", "", AND('ProductSprint Backlog'!$J123&gt;O$2,'ProductSprint Backlog'!$I123&lt;=O$2), 'ProductSprint Backlog'!$F123 / MAX(1, 'ProductSprint Backlog'!$J123-'ProductSprint Backlog'!$I123), AND('ProductSprint Backlog'!$J123=O$2,'ProductSprint Backlog'!$I123=O$2), 'ProductSprint Backlog'!$F123, TRUE, 0)</f>
        <v>0.33333333333333331</v>
      </c>
      <c r="P123" s="4" cm="1">
        <f t="array" ref="P123">_xlfn.IFS('ProductSprint Backlog'!$F123="", "", AND('ProductSprint Backlog'!$J123&gt;P$2,'ProductSprint Backlog'!$I123&lt;=P$2), 'ProductSprint Backlog'!$F123 / MAX(1, 'ProductSprint Backlog'!$J123-'ProductSprint Backlog'!$I123), AND('ProductSprint Backlog'!$J123=P$2,'ProductSprint Backlog'!$I123=P$2), 'ProductSprint Backlog'!$F123, TRUE, 0)</f>
        <v>0</v>
      </c>
      <c r="Q123" s="4" cm="1">
        <f t="array" ref="Q123">_xlfn.IFS('ProductSprint Backlog'!$F123="", "", AND('ProductSprint Backlog'!$J123&gt;Q$2,'ProductSprint Backlog'!$I123&lt;=Q$2), 'ProductSprint Backlog'!$F123 / MAX(1, 'ProductSprint Backlog'!$J123-'ProductSprint Backlog'!$I123), AND('ProductSprint Backlog'!$J123=Q$2,'ProductSprint Backlog'!$I123=Q$2), 'ProductSprint Backlog'!$F123, TRUE, 0)</f>
        <v>0</v>
      </c>
      <c r="R123" s="4" cm="1">
        <f t="array" ref="R123">_xlfn.IFS('ProductSprint Backlog'!$F123="", "", AND('ProductSprint Backlog'!$J123&gt;R$2,'ProductSprint Backlog'!$I123&lt;=R$2), 'ProductSprint Backlog'!$F123 / MAX(1, 'ProductSprint Backlog'!$J123-'ProductSprint Backlog'!$I123), AND('ProductSprint Backlog'!$J123=R$2,'ProductSprint Backlog'!$I123=R$2), 'ProductSprint Backlog'!$F123, TRUE, 0)</f>
        <v>0</v>
      </c>
      <c r="S123" s="4" cm="1">
        <f t="array" ref="S123">_xlfn.IFS('ProductSprint Backlog'!$F123="", "", AND('ProductSprint Backlog'!$J123&gt;S$2,'ProductSprint Backlog'!$I123&lt;=S$2), 'ProductSprint Backlog'!$F123 / MAX(1, 'ProductSprint Backlog'!$J123-'ProductSprint Backlog'!$I123), AND('ProductSprint Backlog'!$J123=S$2,'ProductSprint Backlog'!$I123=S$2), 'ProductSprint Backlog'!$F123, TRUE, 0)</f>
        <v>0</v>
      </c>
      <c r="T123" s="4" cm="1">
        <f t="array" ref="T123">_xlfn.IFS('ProductSprint Backlog'!$F123="", "", AND('ProductSprint Backlog'!$J123&gt;T$2,'ProductSprint Backlog'!$I123&lt;=T$2), 'ProductSprint Backlog'!$F123 / MAX(1, 'ProductSprint Backlog'!$J123-'ProductSprint Backlog'!$I123), AND('ProductSprint Backlog'!$J123=T$2,'ProductSprint Backlog'!$I123=T$2), 'ProductSprint Backlog'!$F123, TRUE, 0)</f>
        <v>0</v>
      </c>
    </row>
    <row r="124" spans="2:20" x14ac:dyDescent="0.2">
      <c r="B124" s="4" t="str" cm="1">
        <f t="array" ref="B124">_xlfn.IFS('ProductSprint Backlog'!$F124="", "", AND('ProductSprint Backlog'!$J124&gt;B$2,'ProductSprint Backlog'!$I124&lt;=B$2), 'ProductSprint Backlog'!$F124 / MAX(1, 'ProductSprint Backlog'!$J124-'ProductSprint Backlog'!$I124), AND('ProductSprint Backlog'!$J124=B$2,'ProductSprint Backlog'!$I124=B$2), 'ProductSprint Backlog'!$F124, TRUE, 0)</f>
        <v/>
      </c>
      <c r="C124" s="4" t="str" cm="1">
        <f t="array" ref="C124">_xlfn.IFS('ProductSprint Backlog'!$F124="", "", AND('ProductSprint Backlog'!$J124&gt;C$2,'ProductSprint Backlog'!$I124&lt;=C$2), 'ProductSprint Backlog'!$F124 / MAX(1, 'ProductSprint Backlog'!$J124-'ProductSprint Backlog'!$I124), AND('ProductSprint Backlog'!$J124=C$2,'ProductSprint Backlog'!$I124=C$2), 'ProductSprint Backlog'!$F124, TRUE, 0)</f>
        <v/>
      </c>
      <c r="D124" s="4" t="str" cm="1">
        <f t="array" ref="D124">_xlfn.IFS('ProductSprint Backlog'!$F124="", "", AND('ProductSprint Backlog'!$J124&gt;D$2,'ProductSprint Backlog'!$I124&lt;=D$2), 'ProductSprint Backlog'!$F124 / MAX(1, 'ProductSprint Backlog'!$J124-'ProductSprint Backlog'!$I124), AND('ProductSprint Backlog'!$J124=D$2,'ProductSprint Backlog'!$I124=D$2), 'ProductSprint Backlog'!$F124, TRUE, 0)</f>
        <v/>
      </c>
      <c r="E124" s="4" t="str" cm="1">
        <f t="array" ref="E124">_xlfn.IFS('ProductSprint Backlog'!$F124="", "", AND('ProductSprint Backlog'!$J124&gt;E$2,'ProductSprint Backlog'!$I124&lt;=E$2), 'ProductSprint Backlog'!$F124 / MAX(1, 'ProductSprint Backlog'!$J124-'ProductSprint Backlog'!$I124), AND('ProductSprint Backlog'!$J124=E$2,'ProductSprint Backlog'!$I124=E$2), 'ProductSprint Backlog'!$F124, TRUE, 0)</f>
        <v/>
      </c>
      <c r="F124" s="4" t="str" cm="1">
        <f t="array" ref="F124">_xlfn.IFS('ProductSprint Backlog'!$F124="", "", AND('ProductSprint Backlog'!$J124&gt;F$2,'ProductSprint Backlog'!$I124&lt;=F$2), 'ProductSprint Backlog'!$F124 / MAX(1, 'ProductSprint Backlog'!$J124-'ProductSprint Backlog'!$I124), AND('ProductSprint Backlog'!$J124=F$2,'ProductSprint Backlog'!$I124=F$2), 'ProductSprint Backlog'!$F124, TRUE, 0)</f>
        <v/>
      </c>
      <c r="G124" s="4" t="str" cm="1">
        <f t="array" ref="G124">_xlfn.IFS('ProductSprint Backlog'!$F124="", "", AND('ProductSprint Backlog'!$J124&gt;G$2,'ProductSprint Backlog'!$I124&lt;=G$2), 'ProductSprint Backlog'!$F124 / MAX(1, 'ProductSprint Backlog'!$J124-'ProductSprint Backlog'!$I124), AND('ProductSprint Backlog'!$J124=G$2,'ProductSprint Backlog'!$I124=G$2), 'ProductSprint Backlog'!$F124, TRUE, 0)</f>
        <v/>
      </c>
      <c r="H124" s="4" t="str" cm="1">
        <f t="array" ref="H124">_xlfn.IFS('ProductSprint Backlog'!$F124="", "", AND('ProductSprint Backlog'!$J124&gt;H$2,'ProductSprint Backlog'!$I124&lt;=H$2), 'ProductSprint Backlog'!$F124 / MAX(1, 'ProductSprint Backlog'!$J124-'ProductSprint Backlog'!$I124), AND('ProductSprint Backlog'!$J124=H$2,'ProductSprint Backlog'!$I124=H$2), 'ProductSprint Backlog'!$F124, TRUE, 0)</f>
        <v/>
      </c>
      <c r="I124" s="4" t="str" cm="1">
        <f t="array" ref="I124">_xlfn.IFS('ProductSprint Backlog'!$F124="", "", AND('ProductSprint Backlog'!$J124&gt;I$2,'ProductSprint Backlog'!$I124&lt;=I$2), 'ProductSprint Backlog'!$F124 / MAX(1, 'ProductSprint Backlog'!$J124-'ProductSprint Backlog'!$I124), AND('ProductSprint Backlog'!$J124=I$2,'ProductSprint Backlog'!$I124=I$2), 'ProductSprint Backlog'!$F124, TRUE, 0)</f>
        <v/>
      </c>
      <c r="J124" s="4" t="str" cm="1">
        <f t="array" ref="J124">_xlfn.IFS('ProductSprint Backlog'!$F124="", "", AND('ProductSprint Backlog'!$J124&gt;J$2,'ProductSprint Backlog'!$I124&lt;=J$2), 'ProductSprint Backlog'!$F124 / MAX(1, 'ProductSprint Backlog'!$J124-'ProductSprint Backlog'!$I124), AND('ProductSprint Backlog'!$J124=J$2,'ProductSprint Backlog'!$I124=J$2), 'ProductSprint Backlog'!$F124, TRUE, 0)</f>
        <v/>
      </c>
      <c r="K124" s="4" t="str" cm="1">
        <f t="array" ref="K124">_xlfn.IFS('ProductSprint Backlog'!$F124="", "", AND('ProductSprint Backlog'!$J124&gt;K$2,'ProductSprint Backlog'!$I124&lt;=K$2), 'ProductSprint Backlog'!$F124 / MAX(1, 'ProductSprint Backlog'!$J124-'ProductSprint Backlog'!$I124), AND('ProductSprint Backlog'!$J124=K$2,'ProductSprint Backlog'!$I124=K$2), 'ProductSprint Backlog'!$F124, TRUE, 0)</f>
        <v/>
      </c>
      <c r="L124" s="4" t="str" cm="1">
        <f t="array" ref="L124">_xlfn.IFS('ProductSprint Backlog'!$F124="", "", AND('ProductSprint Backlog'!$J124&gt;L$2,'ProductSprint Backlog'!$I124&lt;=L$2), 'ProductSprint Backlog'!$F124 / MAX(1, 'ProductSprint Backlog'!$J124-'ProductSprint Backlog'!$I124), AND('ProductSprint Backlog'!$J124=L$2,'ProductSprint Backlog'!$I124=L$2), 'ProductSprint Backlog'!$F124, TRUE, 0)</f>
        <v/>
      </c>
      <c r="M124" s="4" t="str" cm="1">
        <f t="array" ref="M124">_xlfn.IFS('ProductSprint Backlog'!$F124="", "", AND('ProductSprint Backlog'!$J124&gt;M$2,'ProductSprint Backlog'!$I124&lt;=M$2), 'ProductSprint Backlog'!$F124 / MAX(1, 'ProductSprint Backlog'!$J124-'ProductSprint Backlog'!$I124), AND('ProductSprint Backlog'!$J124=M$2,'ProductSprint Backlog'!$I124=M$2), 'ProductSprint Backlog'!$F124, TRUE, 0)</f>
        <v/>
      </c>
      <c r="N124" s="4" t="str" cm="1">
        <f t="array" ref="N124">_xlfn.IFS('ProductSprint Backlog'!$F124="", "", AND('ProductSprint Backlog'!$J124&gt;N$2,'ProductSprint Backlog'!$I124&lt;=N$2), 'ProductSprint Backlog'!$F124 / MAX(1, 'ProductSprint Backlog'!$J124-'ProductSprint Backlog'!$I124), AND('ProductSprint Backlog'!$J124=N$2,'ProductSprint Backlog'!$I124=N$2), 'ProductSprint Backlog'!$F124, TRUE, 0)</f>
        <v/>
      </c>
      <c r="O124" s="4" t="str" cm="1">
        <f t="array" ref="O124">_xlfn.IFS('ProductSprint Backlog'!$F124="", "", AND('ProductSprint Backlog'!$J124&gt;O$2,'ProductSprint Backlog'!$I124&lt;=O$2), 'ProductSprint Backlog'!$F124 / MAX(1, 'ProductSprint Backlog'!$J124-'ProductSprint Backlog'!$I124), AND('ProductSprint Backlog'!$J124=O$2,'ProductSprint Backlog'!$I124=O$2), 'ProductSprint Backlog'!$F124, TRUE, 0)</f>
        <v/>
      </c>
      <c r="P124" s="4" t="str" cm="1">
        <f t="array" ref="P124">_xlfn.IFS('ProductSprint Backlog'!$F124="", "", AND('ProductSprint Backlog'!$J124&gt;P$2,'ProductSprint Backlog'!$I124&lt;=P$2), 'ProductSprint Backlog'!$F124 / MAX(1, 'ProductSprint Backlog'!$J124-'ProductSprint Backlog'!$I124), AND('ProductSprint Backlog'!$J124=P$2,'ProductSprint Backlog'!$I124=P$2), 'ProductSprint Backlog'!$F124, TRUE, 0)</f>
        <v/>
      </c>
      <c r="Q124" s="4" t="str" cm="1">
        <f t="array" ref="Q124">_xlfn.IFS('ProductSprint Backlog'!$F124="", "", AND('ProductSprint Backlog'!$J124&gt;Q$2,'ProductSprint Backlog'!$I124&lt;=Q$2), 'ProductSprint Backlog'!$F124 / MAX(1, 'ProductSprint Backlog'!$J124-'ProductSprint Backlog'!$I124), AND('ProductSprint Backlog'!$J124=Q$2,'ProductSprint Backlog'!$I124=Q$2), 'ProductSprint Backlog'!$F124, TRUE, 0)</f>
        <v/>
      </c>
      <c r="R124" s="4" t="str" cm="1">
        <f t="array" ref="R124">_xlfn.IFS('ProductSprint Backlog'!$F124="", "", AND('ProductSprint Backlog'!$J124&gt;R$2,'ProductSprint Backlog'!$I124&lt;=R$2), 'ProductSprint Backlog'!$F124 / MAX(1, 'ProductSprint Backlog'!$J124-'ProductSprint Backlog'!$I124), AND('ProductSprint Backlog'!$J124=R$2,'ProductSprint Backlog'!$I124=R$2), 'ProductSprint Backlog'!$F124, TRUE, 0)</f>
        <v/>
      </c>
      <c r="S124" s="4" t="str" cm="1">
        <f t="array" ref="S124">_xlfn.IFS('ProductSprint Backlog'!$F124="", "", AND('ProductSprint Backlog'!$J124&gt;S$2,'ProductSprint Backlog'!$I124&lt;=S$2), 'ProductSprint Backlog'!$F124 / MAX(1, 'ProductSprint Backlog'!$J124-'ProductSprint Backlog'!$I124), AND('ProductSprint Backlog'!$J124=S$2,'ProductSprint Backlog'!$I124=S$2), 'ProductSprint Backlog'!$F124, TRUE, 0)</f>
        <v/>
      </c>
      <c r="T124" s="4" t="str" cm="1">
        <f t="array" ref="T124">_xlfn.IFS('ProductSprint Backlog'!$F124="", "", AND('ProductSprint Backlog'!$J124&gt;T$2,'ProductSprint Backlog'!$I124&lt;=T$2), 'ProductSprint Backlog'!$F124 / MAX(1, 'ProductSprint Backlog'!$J124-'ProductSprint Backlog'!$I124), AND('ProductSprint Backlog'!$J124=T$2,'ProductSprint Backlog'!$I124=T$2), 'ProductSprint Backlog'!$F124, TRUE, 0)</f>
        <v/>
      </c>
    </row>
    <row r="125" spans="2:20" x14ac:dyDescent="0.2">
      <c r="B125" s="4" cm="1">
        <f t="array" ref="B125">_xlfn.IFS('ProductSprint Backlog'!$F125="", "", AND('ProductSprint Backlog'!$J125&gt;B$2,'ProductSprint Backlog'!$I125&lt;=B$2), 'ProductSprint Backlog'!$F125 / MAX(1, 'ProductSprint Backlog'!$J125-'ProductSprint Backlog'!$I125), AND('ProductSprint Backlog'!$J125=B$2,'ProductSprint Backlog'!$I125=B$2), 'ProductSprint Backlog'!$F125, TRUE, 0)</f>
        <v>0.33333333333333331</v>
      </c>
      <c r="C125" s="4" cm="1">
        <f t="array" ref="C125">_xlfn.IFS('ProductSprint Backlog'!$F125="", "", AND('ProductSprint Backlog'!$J125&gt;C$2,'ProductSprint Backlog'!$I125&lt;=C$2), 'ProductSprint Backlog'!$F125 / MAX(1, 'ProductSprint Backlog'!$J125-'ProductSprint Backlog'!$I125), AND('ProductSprint Backlog'!$J125=C$2,'ProductSprint Backlog'!$I125=C$2), 'ProductSprint Backlog'!$F125, TRUE, 0)</f>
        <v>0.33333333333333331</v>
      </c>
      <c r="D125" s="4" cm="1">
        <f t="array" ref="D125">_xlfn.IFS('ProductSprint Backlog'!$F125="", "", AND('ProductSprint Backlog'!$J125&gt;D$2,'ProductSprint Backlog'!$I125&lt;=D$2), 'ProductSprint Backlog'!$F125 / MAX(1, 'ProductSprint Backlog'!$J125-'ProductSprint Backlog'!$I125), AND('ProductSprint Backlog'!$J125=D$2,'ProductSprint Backlog'!$I125=D$2), 'ProductSprint Backlog'!$F125, TRUE, 0)</f>
        <v>0.33333333333333331</v>
      </c>
      <c r="E125" s="4" cm="1">
        <f t="array" ref="E125">_xlfn.IFS('ProductSprint Backlog'!$F125="", "", AND('ProductSprint Backlog'!$J125&gt;E$2,'ProductSprint Backlog'!$I125&lt;=E$2), 'ProductSprint Backlog'!$F125 / MAX(1, 'ProductSprint Backlog'!$J125-'ProductSprint Backlog'!$I125), AND('ProductSprint Backlog'!$J125=E$2,'ProductSprint Backlog'!$I125=E$2), 'ProductSprint Backlog'!$F125, TRUE, 0)</f>
        <v>0.33333333333333331</v>
      </c>
      <c r="F125" s="4" cm="1">
        <f t="array" ref="F125">_xlfn.IFS('ProductSprint Backlog'!$F125="", "", AND('ProductSprint Backlog'!$J125&gt;F$2,'ProductSprint Backlog'!$I125&lt;=F$2), 'ProductSprint Backlog'!$F125 / MAX(1, 'ProductSprint Backlog'!$J125-'ProductSprint Backlog'!$I125), AND('ProductSprint Backlog'!$J125=F$2,'ProductSprint Backlog'!$I125=F$2), 'ProductSprint Backlog'!$F125, TRUE, 0)</f>
        <v>0.33333333333333331</v>
      </c>
      <c r="G125" s="4" cm="1">
        <f t="array" ref="G125">_xlfn.IFS('ProductSprint Backlog'!$F125="", "", AND('ProductSprint Backlog'!$J125&gt;G$2,'ProductSprint Backlog'!$I125&lt;=G$2), 'ProductSprint Backlog'!$F125 / MAX(1, 'ProductSprint Backlog'!$J125-'ProductSprint Backlog'!$I125), AND('ProductSprint Backlog'!$J125=G$2,'ProductSprint Backlog'!$I125=G$2), 'ProductSprint Backlog'!$F125, TRUE, 0)</f>
        <v>0.33333333333333331</v>
      </c>
      <c r="H125" s="4" cm="1">
        <f t="array" ref="H125">_xlfn.IFS('ProductSprint Backlog'!$F125="", "", AND('ProductSprint Backlog'!$J125&gt;H$2,'ProductSprint Backlog'!$I125&lt;=H$2), 'ProductSprint Backlog'!$F125 / MAX(1, 'ProductSprint Backlog'!$J125-'ProductSprint Backlog'!$I125), AND('ProductSprint Backlog'!$J125=H$2,'ProductSprint Backlog'!$I125=H$2), 'ProductSprint Backlog'!$F125, TRUE, 0)</f>
        <v>0</v>
      </c>
      <c r="I125" s="4" cm="1">
        <f t="array" ref="I125">_xlfn.IFS('ProductSprint Backlog'!$F125="", "", AND('ProductSprint Backlog'!$J125&gt;I$2,'ProductSprint Backlog'!$I125&lt;=I$2), 'ProductSprint Backlog'!$F125 / MAX(1, 'ProductSprint Backlog'!$J125-'ProductSprint Backlog'!$I125), AND('ProductSprint Backlog'!$J125=I$2,'ProductSprint Backlog'!$I125=I$2), 'ProductSprint Backlog'!$F125, TRUE, 0)</f>
        <v>0</v>
      </c>
      <c r="J125" s="4" cm="1">
        <f t="array" ref="J125">_xlfn.IFS('ProductSprint Backlog'!$F125="", "", AND('ProductSprint Backlog'!$J125&gt;J$2,'ProductSprint Backlog'!$I125&lt;=J$2), 'ProductSprint Backlog'!$F125 / MAX(1, 'ProductSprint Backlog'!$J125-'ProductSprint Backlog'!$I125), AND('ProductSprint Backlog'!$J125=J$2,'ProductSprint Backlog'!$I125=J$2), 'ProductSprint Backlog'!$F125, TRUE, 0)</f>
        <v>0</v>
      </c>
      <c r="K125" s="4" cm="1">
        <f t="array" ref="K125">_xlfn.IFS('ProductSprint Backlog'!$F125="", "", AND('ProductSprint Backlog'!$J125&gt;K$2,'ProductSprint Backlog'!$I125&lt;=K$2), 'ProductSprint Backlog'!$F125 / MAX(1, 'ProductSprint Backlog'!$J125-'ProductSprint Backlog'!$I125), AND('ProductSprint Backlog'!$J125=K$2,'ProductSprint Backlog'!$I125=K$2), 'ProductSprint Backlog'!$F125, TRUE, 0)</f>
        <v>0</v>
      </c>
      <c r="L125" s="4" cm="1">
        <f t="array" ref="L125">_xlfn.IFS('ProductSprint Backlog'!$F125="", "", AND('ProductSprint Backlog'!$J125&gt;L$2,'ProductSprint Backlog'!$I125&lt;=L$2), 'ProductSprint Backlog'!$F125 / MAX(1, 'ProductSprint Backlog'!$J125-'ProductSprint Backlog'!$I125), AND('ProductSprint Backlog'!$J125=L$2,'ProductSprint Backlog'!$I125=L$2), 'ProductSprint Backlog'!$F125, TRUE, 0)</f>
        <v>0</v>
      </c>
      <c r="M125" s="4" cm="1">
        <f t="array" ref="M125">_xlfn.IFS('ProductSprint Backlog'!$F125="", "", AND('ProductSprint Backlog'!$J125&gt;M$2,'ProductSprint Backlog'!$I125&lt;=M$2), 'ProductSprint Backlog'!$F125 / MAX(1, 'ProductSprint Backlog'!$J125-'ProductSprint Backlog'!$I125), AND('ProductSprint Backlog'!$J125=M$2,'ProductSprint Backlog'!$I125=M$2), 'ProductSprint Backlog'!$F125, TRUE, 0)</f>
        <v>0</v>
      </c>
      <c r="N125" s="4" cm="1">
        <f t="array" ref="N125">_xlfn.IFS('ProductSprint Backlog'!$F125="", "", AND('ProductSprint Backlog'!$J125&gt;N$2,'ProductSprint Backlog'!$I125&lt;=N$2), 'ProductSprint Backlog'!$F125 / MAX(1, 'ProductSprint Backlog'!$J125-'ProductSprint Backlog'!$I125), AND('ProductSprint Backlog'!$J125=N$2,'ProductSprint Backlog'!$I125=N$2), 'ProductSprint Backlog'!$F125, TRUE, 0)</f>
        <v>0</v>
      </c>
      <c r="O125" s="4" cm="1">
        <f t="array" ref="O125">_xlfn.IFS('ProductSprint Backlog'!$F125="", "", AND('ProductSprint Backlog'!$J125&gt;O$2,'ProductSprint Backlog'!$I125&lt;=O$2), 'ProductSprint Backlog'!$F125 / MAX(1, 'ProductSprint Backlog'!$J125-'ProductSprint Backlog'!$I125), AND('ProductSprint Backlog'!$J125=O$2,'ProductSprint Backlog'!$I125=O$2), 'ProductSprint Backlog'!$F125, TRUE, 0)</f>
        <v>0</v>
      </c>
      <c r="P125" s="4" cm="1">
        <f t="array" ref="P125">_xlfn.IFS('ProductSprint Backlog'!$F125="", "", AND('ProductSprint Backlog'!$J125&gt;P$2,'ProductSprint Backlog'!$I125&lt;=P$2), 'ProductSprint Backlog'!$F125 / MAX(1, 'ProductSprint Backlog'!$J125-'ProductSprint Backlog'!$I125), AND('ProductSprint Backlog'!$J125=P$2,'ProductSprint Backlog'!$I125=P$2), 'ProductSprint Backlog'!$F125, TRUE, 0)</f>
        <v>0</v>
      </c>
      <c r="Q125" s="4" cm="1">
        <f t="array" ref="Q125">_xlfn.IFS('ProductSprint Backlog'!$F125="", "", AND('ProductSprint Backlog'!$J125&gt;Q$2,'ProductSprint Backlog'!$I125&lt;=Q$2), 'ProductSprint Backlog'!$F125 / MAX(1, 'ProductSprint Backlog'!$J125-'ProductSprint Backlog'!$I125), AND('ProductSprint Backlog'!$J125=Q$2,'ProductSprint Backlog'!$I125=Q$2), 'ProductSprint Backlog'!$F125, TRUE, 0)</f>
        <v>0</v>
      </c>
      <c r="R125" s="4" cm="1">
        <f t="array" ref="R125">_xlfn.IFS('ProductSprint Backlog'!$F125="", "", AND('ProductSprint Backlog'!$J125&gt;R$2,'ProductSprint Backlog'!$I125&lt;=R$2), 'ProductSprint Backlog'!$F125 / MAX(1, 'ProductSprint Backlog'!$J125-'ProductSprint Backlog'!$I125), AND('ProductSprint Backlog'!$J125=R$2,'ProductSprint Backlog'!$I125=R$2), 'ProductSprint Backlog'!$F125, TRUE, 0)</f>
        <v>0</v>
      </c>
      <c r="S125" s="4" cm="1">
        <f t="array" ref="S125">_xlfn.IFS('ProductSprint Backlog'!$F125="", "", AND('ProductSprint Backlog'!$J125&gt;S$2,'ProductSprint Backlog'!$I125&lt;=S$2), 'ProductSprint Backlog'!$F125 / MAX(1, 'ProductSprint Backlog'!$J125-'ProductSprint Backlog'!$I125), AND('ProductSprint Backlog'!$J125=S$2,'ProductSprint Backlog'!$I125=S$2), 'ProductSprint Backlog'!$F125, TRUE, 0)</f>
        <v>0</v>
      </c>
      <c r="T125" s="4" cm="1">
        <f t="array" ref="T125">_xlfn.IFS('ProductSprint Backlog'!$F125="", "", AND('ProductSprint Backlog'!$J125&gt;T$2,'ProductSprint Backlog'!$I125&lt;=T$2), 'ProductSprint Backlog'!$F125 / MAX(1, 'ProductSprint Backlog'!$J125-'ProductSprint Backlog'!$I125), AND('ProductSprint Backlog'!$J125=T$2,'ProductSprint Backlog'!$I125=T$2), 'ProductSprint Backlog'!$F125, TRUE, 0)</f>
        <v>0</v>
      </c>
    </row>
    <row r="126" spans="2:20" x14ac:dyDescent="0.2">
      <c r="B126" s="4" cm="1">
        <f t="array" ref="B126">_xlfn.IFS('ProductSprint Backlog'!$F126="", "", AND('ProductSprint Backlog'!$J126&gt;B$2,'ProductSprint Backlog'!$I126&lt;=B$2), 'ProductSprint Backlog'!$F126 / MAX(1, 'ProductSprint Backlog'!$J126-'ProductSprint Backlog'!$I126), AND('ProductSprint Backlog'!$J126=B$2,'ProductSprint Backlog'!$I126=B$2), 'ProductSprint Backlog'!$F126, TRUE, 0)</f>
        <v>0.16666666666666666</v>
      </c>
      <c r="C126" s="4" cm="1">
        <f t="array" ref="C126">_xlfn.IFS('ProductSprint Backlog'!$F126="", "", AND('ProductSprint Backlog'!$J126&gt;C$2,'ProductSprint Backlog'!$I126&lt;=C$2), 'ProductSprint Backlog'!$F126 / MAX(1, 'ProductSprint Backlog'!$J126-'ProductSprint Backlog'!$I126), AND('ProductSprint Backlog'!$J126=C$2,'ProductSprint Backlog'!$I126=C$2), 'ProductSprint Backlog'!$F126, TRUE, 0)</f>
        <v>0.16666666666666666</v>
      </c>
      <c r="D126" s="4" cm="1">
        <f t="array" ref="D126">_xlfn.IFS('ProductSprint Backlog'!$F126="", "", AND('ProductSprint Backlog'!$J126&gt;D$2,'ProductSprint Backlog'!$I126&lt;=D$2), 'ProductSprint Backlog'!$F126 / MAX(1, 'ProductSprint Backlog'!$J126-'ProductSprint Backlog'!$I126), AND('ProductSprint Backlog'!$J126=D$2,'ProductSprint Backlog'!$I126=D$2), 'ProductSprint Backlog'!$F126, TRUE, 0)</f>
        <v>0.16666666666666666</v>
      </c>
      <c r="E126" s="4" cm="1">
        <f t="array" ref="E126">_xlfn.IFS('ProductSprint Backlog'!$F126="", "", AND('ProductSprint Backlog'!$J126&gt;E$2,'ProductSprint Backlog'!$I126&lt;=E$2), 'ProductSprint Backlog'!$F126 / MAX(1, 'ProductSprint Backlog'!$J126-'ProductSprint Backlog'!$I126), AND('ProductSprint Backlog'!$J126=E$2,'ProductSprint Backlog'!$I126=E$2), 'ProductSprint Backlog'!$F126, TRUE, 0)</f>
        <v>0.16666666666666666</v>
      </c>
      <c r="F126" s="4" cm="1">
        <f t="array" ref="F126">_xlfn.IFS('ProductSprint Backlog'!$F126="", "", AND('ProductSprint Backlog'!$J126&gt;F$2,'ProductSprint Backlog'!$I126&lt;=F$2), 'ProductSprint Backlog'!$F126 / MAX(1, 'ProductSprint Backlog'!$J126-'ProductSprint Backlog'!$I126), AND('ProductSprint Backlog'!$J126=F$2,'ProductSprint Backlog'!$I126=F$2), 'ProductSprint Backlog'!$F126, TRUE, 0)</f>
        <v>0.16666666666666666</v>
      </c>
      <c r="G126" s="4" cm="1">
        <f t="array" ref="G126">_xlfn.IFS('ProductSprint Backlog'!$F126="", "", AND('ProductSprint Backlog'!$J126&gt;G$2,'ProductSprint Backlog'!$I126&lt;=G$2), 'ProductSprint Backlog'!$F126 / MAX(1, 'ProductSprint Backlog'!$J126-'ProductSprint Backlog'!$I126), AND('ProductSprint Backlog'!$J126=G$2,'ProductSprint Backlog'!$I126=G$2), 'ProductSprint Backlog'!$F126, TRUE, 0)</f>
        <v>0.16666666666666666</v>
      </c>
      <c r="H126" s="4" cm="1">
        <f t="array" ref="H126">_xlfn.IFS('ProductSprint Backlog'!$F126="", "", AND('ProductSprint Backlog'!$J126&gt;H$2,'ProductSprint Backlog'!$I126&lt;=H$2), 'ProductSprint Backlog'!$F126 / MAX(1, 'ProductSprint Backlog'!$J126-'ProductSprint Backlog'!$I126), AND('ProductSprint Backlog'!$J126=H$2,'ProductSprint Backlog'!$I126=H$2), 'ProductSprint Backlog'!$F126, TRUE, 0)</f>
        <v>0</v>
      </c>
      <c r="I126" s="4" cm="1">
        <f t="array" ref="I126">_xlfn.IFS('ProductSprint Backlog'!$F126="", "", AND('ProductSprint Backlog'!$J126&gt;I$2,'ProductSprint Backlog'!$I126&lt;=I$2), 'ProductSprint Backlog'!$F126 / MAX(1, 'ProductSprint Backlog'!$J126-'ProductSprint Backlog'!$I126), AND('ProductSprint Backlog'!$J126=I$2,'ProductSprint Backlog'!$I126=I$2), 'ProductSprint Backlog'!$F126, TRUE, 0)</f>
        <v>0</v>
      </c>
      <c r="J126" s="4" cm="1">
        <f t="array" ref="J126">_xlfn.IFS('ProductSprint Backlog'!$F126="", "", AND('ProductSprint Backlog'!$J126&gt;J$2,'ProductSprint Backlog'!$I126&lt;=J$2), 'ProductSprint Backlog'!$F126 / MAX(1, 'ProductSprint Backlog'!$J126-'ProductSprint Backlog'!$I126), AND('ProductSprint Backlog'!$J126=J$2,'ProductSprint Backlog'!$I126=J$2), 'ProductSprint Backlog'!$F126, TRUE, 0)</f>
        <v>0</v>
      </c>
      <c r="K126" s="4" cm="1">
        <f t="array" ref="K126">_xlfn.IFS('ProductSprint Backlog'!$F126="", "", AND('ProductSprint Backlog'!$J126&gt;K$2,'ProductSprint Backlog'!$I126&lt;=K$2), 'ProductSprint Backlog'!$F126 / MAX(1, 'ProductSprint Backlog'!$J126-'ProductSprint Backlog'!$I126), AND('ProductSprint Backlog'!$J126=K$2,'ProductSprint Backlog'!$I126=K$2), 'ProductSprint Backlog'!$F126, TRUE, 0)</f>
        <v>0</v>
      </c>
      <c r="L126" s="4" cm="1">
        <f t="array" ref="L126">_xlfn.IFS('ProductSprint Backlog'!$F126="", "", AND('ProductSprint Backlog'!$J126&gt;L$2,'ProductSprint Backlog'!$I126&lt;=L$2), 'ProductSprint Backlog'!$F126 / MAX(1, 'ProductSprint Backlog'!$J126-'ProductSprint Backlog'!$I126), AND('ProductSprint Backlog'!$J126=L$2,'ProductSprint Backlog'!$I126=L$2), 'ProductSprint Backlog'!$F126, TRUE, 0)</f>
        <v>0</v>
      </c>
      <c r="M126" s="4" cm="1">
        <f t="array" ref="M126">_xlfn.IFS('ProductSprint Backlog'!$F126="", "", AND('ProductSprint Backlog'!$J126&gt;M$2,'ProductSprint Backlog'!$I126&lt;=M$2), 'ProductSprint Backlog'!$F126 / MAX(1, 'ProductSprint Backlog'!$J126-'ProductSprint Backlog'!$I126), AND('ProductSprint Backlog'!$J126=M$2,'ProductSprint Backlog'!$I126=M$2), 'ProductSprint Backlog'!$F126, TRUE, 0)</f>
        <v>0</v>
      </c>
      <c r="N126" s="4" cm="1">
        <f t="array" ref="N126">_xlfn.IFS('ProductSprint Backlog'!$F126="", "", AND('ProductSprint Backlog'!$J126&gt;N$2,'ProductSprint Backlog'!$I126&lt;=N$2), 'ProductSprint Backlog'!$F126 / MAX(1, 'ProductSprint Backlog'!$J126-'ProductSprint Backlog'!$I126), AND('ProductSprint Backlog'!$J126=N$2,'ProductSprint Backlog'!$I126=N$2), 'ProductSprint Backlog'!$F126, TRUE, 0)</f>
        <v>0</v>
      </c>
      <c r="O126" s="4" cm="1">
        <f t="array" ref="O126">_xlfn.IFS('ProductSprint Backlog'!$F126="", "", AND('ProductSprint Backlog'!$J126&gt;O$2,'ProductSprint Backlog'!$I126&lt;=O$2), 'ProductSprint Backlog'!$F126 / MAX(1, 'ProductSprint Backlog'!$J126-'ProductSprint Backlog'!$I126), AND('ProductSprint Backlog'!$J126=O$2,'ProductSprint Backlog'!$I126=O$2), 'ProductSprint Backlog'!$F126, TRUE, 0)</f>
        <v>0</v>
      </c>
      <c r="P126" s="4" cm="1">
        <f t="array" ref="P126">_xlfn.IFS('ProductSprint Backlog'!$F126="", "", AND('ProductSprint Backlog'!$J126&gt;P$2,'ProductSprint Backlog'!$I126&lt;=P$2), 'ProductSprint Backlog'!$F126 / MAX(1, 'ProductSprint Backlog'!$J126-'ProductSprint Backlog'!$I126), AND('ProductSprint Backlog'!$J126=P$2,'ProductSprint Backlog'!$I126=P$2), 'ProductSprint Backlog'!$F126, TRUE, 0)</f>
        <v>0</v>
      </c>
      <c r="Q126" s="4" cm="1">
        <f t="array" ref="Q126">_xlfn.IFS('ProductSprint Backlog'!$F126="", "", AND('ProductSprint Backlog'!$J126&gt;Q$2,'ProductSprint Backlog'!$I126&lt;=Q$2), 'ProductSprint Backlog'!$F126 / MAX(1, 'ProductSprint Backlog'!$J126-'ProductSprint Backlog'!$I126), AND('ProductSprint Backlog'!$J126=Q$2,'ProductSprint Backlog'!$I126=Q$2), 'ProductSprint Backlog'!$F126, TRUE, 0)</f>
        <v>0</v>
      </c>
      <c r="R126" s="4" cm="1">
        <f t="array" ref="R126">_xlfn.IFS('ProductSprint Backlog'!$F126="", "", AND('ProductSprint Backlog'!$J126&gt;R$2,'ProductSprint Backlog'!$I126&lt;=R$2), 'ProductSprint Backlog'!$F126 / MAX(1, 'ProductSprint Backlog'!$J126-'ProductSprint Backlog'!$I126), AND('ProductSprint Backlog'!$J126=R$2,'ProductSprint Backlog'!$I126=R$2), 'ProductSprint Backlog'!$F126, TRUE, 0)</f>
        <v>0</v>
      </c>
      <c r="S126" s="4" cm="1">
        <f t="array" ref="S126">_xlfn.IFS('ProductSprint Backlog'!$F126="", "", AND('ProductSprint Backlog'!$J126&gt;S$2,'ProductSprint Backlog'!$I126&lt;=S$2), 'ProductSprint Backlog'!$F126 / MAX(1, 'ProductSprint Backlog'!$J126-'ProductSprint Backlog'!$I126), AND('ProductSprint Backlog'!$J126=S$2,'ProductSprint Backlog'!$I126=S$2), 'ProductSprint Backlog'!$F126, TRUE, 0)</f>
        <v>0</v>
      </c>
      <c r="T126" s="4" cm="1">
        <f t="array" ref="T126">_xlfn.IFS('ProductSprint Backlog'!$F126="", "", AND('ProductSprint Backlog'!$J126&gt;T$2,'ProductSprint Backlog'!$I126&lt;=T$2), 'ProductSprint Backlog'!$F126 / MAX(1, 'ProductSprint Backlog'!$J126-'ProductSprint Backlog'!$I126), AND('ProductSprint Backlog'!$J126=T$2,'ProductSprint Backlog'!$I126=T$2), 'ProductSprint Backlog'!$F126, TRUE, 0)</f>
        <v>0</v>
      </c>
    </row>
    <row r="127" spans="2:20" x14ac:dyDescent="0.2">
      <c r="B127" s="4" cm="1">
        <f t="array" ref="B127">_xlfn.IFS('ProductSprint Backlog'!$F127="", "", AND('ProductSprint Backlog'!$J127&gt;B$2,'ProductSprint Backlog'!$I127&lt;=B$2), 'ProductSprint Backlog'!$F127 / MAX(1, 'ProductSprint Backlog'!$J127-'ProductSprint Backlog'!$I127), AND('ProductSprint Backlog'!$J127=B$2,'ProductSprint Backlog'!$I127=B$2), 'ProductSprint Backlog'!$F127, TRUE, 0)</f>
        <v>0.16666666666666666</v>
      </c>
      <c r="C127" s="4" cm="1">
        <f t="array" ref="C127">_xlfn.IFS('ProductSprint Backlog'!$F127="", "", AND('ProductSprint Backlog'!$J127&gt;C$2,'ProductSprint Backlog'!$I127&lt;=C$2), 'ProductSprint Backlog'!$F127 / MAX(1, 'ProductSprint Backlog'!$J127-'ProductSprint Backlog'!$I127), AND('ProductSprint Backlog'!$J127=C$2,'ProductSprint Backlog'!$I127=C$2), 'ProductSprint Backlog'!$F127, TRUE, 0)</f>
        <v>0.16666666666666666</v>
      </c>
      <c r="D127" s="4" cm="1">
        <f t="array" ref="D127">_xlfn.IFS('ProductSprint Backlog'!$F127="", "", AND('ProductSprint Backlog'!$J127&gt;D$2,'ProductSprint Backlog'!$I127&lt;=D$2), 'ProductSprint Backlog'!$F127 / MAX(1, 'ProductSprint Backlog'!$J127-'ProductSprint Backlog'!$I127), AND('ProductSprint Backlog'!$J127=D$2,'ProductSprint Backlog'!$I127=D$2), 'ProductSprint Backlog'!$F127, TRUE, 0)</f>
        <v>0.16666666666666666</v>
      </c>
      <c r="E127" s="4" cm="1">
        <f t="array" ref="E127">_xlfn.IFS('ProductSprint Backlog'!$F127="", "", AND('ProductSprint Backlog'!$J127&gt;E$2,'ProductSprint Backlog'!$I127&lt;=E$2), 'ProductSprint Backlog'!$F127 / MAX(1, 'ProductSprint Backlog'!$J127-'ProductSprint Backlog'!$I127), AND('ProductSprint Backlog'!$J127=E$2,'ProductSprint Backlog'!$I127=E$2), 'ProductSprint Backlog'!$F127, TRUE, 0)</f>
        <v>0.16666666666666666</v>
      </c>
      <c r="F127" s="4" cm="1">
        <f t="array" ref="F127">_xlfn.IFS('ProductSprint Backlog'!$F127="", "", AND('ProductSprint Backlog'!$J127&gt;F$2,'ProductSprint Backlog'!$I127&lt;=F$2), 'ProductSprint Backlog'!$F127 / MAX(1, 'ProductSprint Backlog'!$J127-'ProductSprint Backlog'!$I127), AND('ProductSprint Backlog'!$J127=F$2,'ProductSprint Backlog'!$I127=F$2), 'ProductSprint Backlog'!$F127, TRUE, 0)</f>
        <v>0.16666666666666666</v>
      </c>
      <c r="G127" s="4" cm="1">
        <f t="array" ref="G127">_xlfn.IFS('ProductSprint Backlog'!$F127="", "", AND('ProductSprint Backlog'!$J127&gt;G$2,'ProductSprint Backlog'!$I127&lt;=G$2), 'ProductSprint Backlog'!$F127 / MAX(1, 'ProductSprint Backlog'!$J127-'ProductSprint Backlog'!$I127), AND('ProductSprint Backlog'!$J127=G$2,'ProductSprint Backlog'!$I127=G$2), 'ProductSprint Backlog'!$F127, TRUE, 0)</f>
        <v>0.16666666666666666</v>
      </c>
      <c r="H127" s="4" cm="1">
        <f t="array" ref="H127">_xlfn.IFS('ProductSprint Backlog'!$F127="", "", AND('ProductSprint Backlog'!$J127&gt;H$2,'ProductSprint Backlog'!$I127&lt;=H$2), 'ProductSprint Backlog'!$F127 / MAX(1, 'ProductSprint Backlog'!$J127-'ProductSprint Backlog'!$I127), AND('ProductSprint Backlog'!$J127=H$2,'ProductSprint Backlog'!$I127=H$2), 'ProductSprint Backlog'!$F127, TRUE, 0)</f>
        <v>0</v>
      </c>
      <c r="I127" s="4" cm="1">
        <f t="array" ref="I127">_xlfn.IFS('ProductSprint Backlog'!$F127="", "", AND('ProductSprint Backlog'!$J127&gt;I$2,'ProductSprint Backlog'!$I127&lt;=I$2), 'ProductSprint Backlog'!$F127 / MAX(1, 'ProductSprint Backlog'!$J127-'ProductSprint Backlog'!$I127), AND('ProductSprint Backlog'!$J127=I$2,'ProductSprint Backlog'!$I127=I$2), 'ProductSprint Backlog'!$F127, TRUE, 0)</f>
        <v>0</v>
      </c>
      <c r="J127" s="4" cm="1">
        <f t="array" ref="J127">_xlfn.IFS('ProductSprint Backlog'!$F127="", "", AND('ProductSprint Backlog'!$J127&gt;J$2,'ProductSprint Backlog'!$I127&lt;=J$2), 'ProductSprint Backlog'!$F127 / MAX(1, 'ProductSprint Backlog'!$J127-'ProductSprint Backlog'!$I127), AND('ProductSprint Backlog'!$J127=J$2,'ProductSprint Backlog'!$I127=J$2), 'ProductSprint Backlog'!$F127, TRUE, 0)</f>
        <v>0</v>
      </c>
      <c r="K127" s="4" cm="1">
        <f t="array" ref="K127">_xlfn.IFS('ProductSprint Backlog'!$F127="", "", AND('ProductSprint Backlog'!$J127&gt;K$2,'ProductSprint Backlog'!$I127&lt;=K$2), 'ProductSprint Backlog'!$F127 / MAX(1, 'ProductSprint Backlog'!$J127-'ProductSprint Backlog'!$I127), AND('ProductSprint Backlog'!$J127=K$2,'ProductSprint Backlog'!$I127=K$2), 'ProductSprint Backlog'!$F127, TRUE, 0)</f>
        <v>0</v>
      </c>
      <c r="L127" s="4" cm="1">
        <f t="array" ref="L127">_xlfn.IFS('ProductSprint Backlog'!$F127="", "", AND('ProductSprint Backlog'!$J127&gt;L$2,'ProductSprint Backlog'!$I127&lt;=L$2), 'ProductSprint Backlog'!$F127 / MAX(1, 'ProductSprint Backlog'!$J127-'ProductSprint Backlog'!$I127), AND('ProductSprint Backlog'!$J127=L$2,'ProductSprint Backlog'!$I127=L$2), 'ProductSprint Backlog'!$F127, TRUE, 0)</f>
        <v>0</v>
      </c>
      <c r="M127" s="4" cm="1">
        <f t="array" ref="M127">_xlfn.IFS('ProductSprint Backlog'!$F127="", "", AND('ProductSprint Backlog'!$J127&gt;M$2,'ProductSprint Backlog'!$I127&lt;=M$2), 'ProductSprint Backlog'!$F127 / MAX(1, 'ProductSprint Backlog'!$J127-'ProductSprint Backlog'!$I127), AND('ProductSprint Backlog'!$J127=M$2,'ProductSprint Backlog'!$I127=M$2), 'ProductSprint Backlog'!$F127, TRUE, 0)</f>
        <v>0</v>
      </c>
      <c r="N127" s="4" cm="1">
        <f t="array" ref="N127">_xlfn.IFS('ProductSprint Backlog'!$F127="", "", AND('ProductSprint Backlog'!$J127&gt;N$2,'ProductSprint Backlog'!$I127&lt;=N$2), 'ProductSprint Backlog'!$F127 / MAX(1, 'ProductSprint Backlog'!$J127-'ProductSprint Backlog'!$I127), AND('ProductSprint Backlog'!$J127=N$2,'ProductSprint Backlog'!$I127=N$2), 'ProductSprint Backlog'!$F127, TRUE, 0)</f>
        <v>0</v>
      </c>
      <c r="O127" s="4" cm="1">
        <f t="array" ref="O127">_xlfn.IFS('ProductSprint Backlog'!$F127="", "", AND('ProductSprint Backlog'!$J127&gt;O$2,'ProductSprint Backlog'!$I127&lt;=O$2), 'ProductSprint Backlog'!$F127 / MAX(1, 'ProductSprint Backlog'!$J127-'ProductSprint Backlog'!$I127), AND('ProductSprint Backlog'!$J127=O$2,'ProductSprint Backlog'!$I127=O$2), 'ProductSprint Backlog'!$F127, TRUE, 0)</f>
        <v>0</v>
      </c>
      <c r="P127" s="4" cm="1">
        <f t="array" ref="P127">_xlfn.IFS('ProductSprint Backlog'!$F127="", "", AND('ProductSprint Backlog'!$J127&gt;P$2,'ProductSprint Backlog'!$I127&lt;=P$2), 'ProductSprint Backlog'!$F127 / MAX(1, 'ProductSprint Backlog'!$J127-'ProductSprint Backlog'!$I127), AND('ProductSprint Backlog'!$J127=P$2,'ProductSprint Backlog'!$I127=P$2), 'ProductSprint Backlog'!$F127, TRUE, 0)</f>
        <v>0</v>
      </c>
      <c r="Q127" s="4" cm="1">
        <f t="array" ref="Q127">_xlfn.IFS('ProductSprint Backlog'!$F127="", "", AND('ProductSprint Backlog'!$J127&gt;Q$2,'ProductSprint Backlog'!$I127&lt;=Q$2), 'ProductSprint Backlog'!$F127 / MAX(1, 'ProductSprint Backlog'!$J127-'ProductSprint Backlog'!$I127), AND('ProductSprint Backlog'!$J127=Q$2,'ProductSprint Backlog'!$I127=Q$2), 'ProductSprint Backlog'!$F127, TRUE, 0)</f>
        <v>0</v>
      </c>
      <c r="R127" s="4" cm="1">
        <f t="array" ref="R127">_xlfn.IFS('ProductSprint Backlog'!$F127="", "", AND('ProductSprint Backlog'!$J127&gt;R$2,'ProductSprint Backlog'!$I127&lt;=R$2), 'ProductSprint Backlog'!$F127 / MAX(1, 'ProductSprint Backlog'!$J127-'ProductSprint Backlog'!$I127), AND('ProductSprint Backlog'!$J127=R$2,'ProductSprint Backlog'!$I127=R$2), 'ProductSprint Backlog'!$F127, TRUE, 0)</f>
        <v>0</v>
      </c>
      <c r="S127" s="4" cm="1">
        <f t="array" ref="S127">_xlfn.IFS('ProductSprint Backlog'!$F127="", "", AND('ProductSprint Backlog'!$J127&gt;S$2,'ProductSprint Backlog'!$I127&lt;=S$2), 'ProductSprint Backlog'!$F127 / MAX(1, 'ProductSprint Backlog'!$J127-'ProductSprint Backlog'!$I127), AND('ProductSprint Backlog'!$J127=S$2,'ProductSprint Backlog'!$I127=S$2), 'ProductSprint Backlog'!$F127, TRUE, 0)</f>
        <v>0</v>
      </c>
      <c r="T127" s="4" cm="1">
        <f t="array" ref="T127">_xlfn.IFS('ProductSprint Backlog'!$F127="", "", AND('ProductSprint Backlog'!$J127&gt;T$2,'ProductSprint Backlog'!$I127&lt;=T$2), 'ProductSprint Backlog'!$F127 / MAX(1, 'ProductSprint Backlog'!$J127-'ProductSprint Backlog'!$I127), AND('ProductSprint Backlog'!$J127=T$2,'ProductSprint Backlog'!$I127=T$2), 'ProductSprint Backlog'!$F127, TRUE, 0)</f>
        <v>0</v>
      </c>
    </row>
    <row r="128" spans="2:20" x14ac:dyDescent="0.2">
      <c r="B128" s="4" t="str" cm="1">
        <f t="array" ref="B128">_xlfn.IFS('ProductSprint Backlog'!$F128="", "", AND('ProductSprint Backlog'!$J128&gt;B$2,'ProductSprint Backlog'!$I128&lt;=B$2), 'ProductSprint Backlog'!$F128 / MAX(1, 'ProductSprint Backlog'!$J128-'ProductSprint Backlog'!$I128), AND('ProductSprint Backlog'!$J128=B$2,'ProductSprint Backlog'!$I128=B$2), 'ProductSprint Backlog'!$F128, TRUE, 0)</f>
        <v/>
      </c>
      <c r="C128" s="4" t="str" cm="1">
        <f t="array" ref="C128">_xlfn.IFS('ProductSprint Backlog'!$F128="", "", AND('ProductSprint Backlog'!$J128&gt;C$2,'ProductSprint Backlog'!$I128&lt;=C$2), 'ProductSprint Backlog'!$F128 / MAX(1, 'ProductSprint Backlog'!$J128-'ProductSprint Backlog'!$I128), AND('ProductSprint Backlog'!$J128=C$2,'ProductSprint Backlog'!$I128=C$2), 'ProductSprint Backlog'!$F128, TRUE, 0)</f>
        <v/>
      </c>
      <c r="D128" s="4" t="str" cm="1">
        <f t="array" ref="D128">_xlfn.IFS('ProductSprint Backlog'!$F128="", "", AND('ProductSprint Backlog'!$J128&gt;D$2,'ProductSprint Backlog'!$I128&lt;=D$2), 'ProductSprint Backlog'!$F128 / MAX(1, 'ProductSprint Backlog'!$J128-'ProductSprint Backlog'!$I128), AND('ProductSprint Backlog'!$J128=D$2,'ProductSprint Backlog'!$I128=D$2), 'ProductSprint Backlog'!$F128, TRUE, 0)</f>
        <v/>
      </c>
      <c r="E128" s="4" t="str" cm="1">
        <f t="array" ref="E128">_xlfn.IFS('ProductSprint Backlog'!$F128="", "", AND('ProductSprint Backlog'!$J128&gt;E$2,'ProductSprint Backlog'!$I128&lt;=E$2), 'ProductSprint Backlog'!$F128 / MAX(1, 'ProductSprint Backlog'!$J128-'ProductSprint Backlog'!$I128), AND('ProductSprint Backlog'!$J128=E$2,'ProductSprint Backlog'!$I128=E$2), 'ProductSprint Backlog'!$F128, TRUE, 0)</f>
        <v/>
      </c>
      <c r="F128" s="4" t="str" cm="1">
        <f t="array" ref="F128">_xlfn.IFS('ProductSprint Backlog'!$F128="", "", AND('ProductSprint Backlog'!$J128&gt;F$2,'ProductSprint Backlog'!$I128&lt;=F$2), 'ProductSprint Backlog'!$F128 / MAX(1, 'ProductSprint Backlog'!$J128-'ProductSprint Backlog'!$I128), AND('ProductSprint Backlog'!$J128=F$2,'ProductSprint Backlog'!$I128=F$2), 'ProductSprint Backlog'!$F128, TRUE, 0)</f>
        <v/>
      </c>
      <c r="G128" s="4" t="str" cm="1">
        <f t="array" ref="G128">_xlfn.IFS('ProductSprint Backlog'!$F128="", "", AND('ProductSprint Backlog'!$J128&gt;G$2,'ProductSprint Backlog'!$I128&lt;=G$2), 'ProductSprint Backlog'!$F128 / MAX(1, 'ProductSprint Backlog'!$J128-'ProductSprint Backlog'!$I128), AND('ProductSprint Backlog'!$J128=G$2,'ProductSprint Backlog'!$I128=G$2), 'ProductSprint Backlog'!$F128, TRUE, 0)</f>
        <v/>
      </c>
      <c r="H128" s="4" t="str" cm="1">
        <f t="array" ref="H128">_xlfn.IFS('ProductSprint Backlog'!$F128="", "", AND('ProductSprint Backlog'!$J128&gt;H$2,'ProductSprint Backlog'!$I128&lt;=H$2), 'ProductSprint Backlog'!$F128 / MAX(1, 'ProductSprint Backlog'!$J128-'ProductSprint Backlog'!$I128), AND('ProductSprint Backlog'!$J128=H$2,'ProductSprint Backlog'!$I128=H$2), 'ProductSprint Backlog'!$F128, TRUE, 0)</f>
        <v/>
      </c>
      <c r="I128" s="4" t="str" cm="1">
        <f t="array" ref="I128">_xlfn.IFS('ProductSprint Backlog'!$F128="", "", AND('ProductSprint Backlog'!$J128&gt;I$2,'ProductSprint Backlog'!$I128&lt;=I$2), 'ProductSprint Backlog'!$F128 / MAX(1, 'ProductSprint Backlog'!$J128-'ProductSprint Backlog'!$I128), AND('ProductSprint Backlog'!$J128=I$2,'ProductSprint Backlog'!$I128=I$2), 'ProductSprint Backlog'!$F128, TRUE, 0)</f>
        <v/>
      </c>
      <c r="J128" s="4" t="str" cm="1">
        <f t="array" ref="J128">_xlfn.IFS('ProductSprint Backlog'!$F128="", "", AND('ProductSprint Backlog'!$J128&gt;J$2,'ProductSprint Backlog'!$I128&lt;=J$2), 'ProductSprint Backlog'!$F128 / MAX(1, 'ProductSprint Backlog'!$J128-'ProductSprint Backlog'!$I128), AND('ProductSprint Backlog'!$J128=J$2,'ProductSprint Backlog'!$I128=J$2), 'ProductSprint Backlog'!$F128, TRUE, 0)</f>
        <v/>
      </c>
      <c r="K128" s="4" t="str" cm="1">
        <f t="array" ref="K128">_xlfn.IFS('ProductSprint Backlog'!$F128="", "", AND('ProductSprint Backlog'!$J128&gt;K$2,'ProductSprint Backlog'!$I128&lt;=K$2), 'ProductSprint Backlog'!$F128 / MAX(1, 'ProductSprint Backlog'!$J128-'ProductSprint Backlog'!$I128), AND('ProductSprint Backlog'!$J128=K$2,'ProductSprint Backlog'!$I128=K$2), 'ProductSprint Backlog'!$F128, TRUE, 0)</f>
        <v/>
      </c>
      <c r="L128" s="4" t="str" cm="1">
        <f t="array" ref="L128">_xlfn.IFS('ProductSprint Backlog'!$F128="", "", AND('ProductSprint Backlog'!$J128&gt;L$2,'ProductSprint Backlog'!$I128&lt;=L$2), 'ProductSprint Backlog'!$F128 / MAX(1, 'ProductSprint Backlog'!$J128-'ProductSprint Backlog'!$I128), AND('ProductSprint Backlog'!$J128=L$2,'ProductSprint Backlog'!$I128=L$2), 'ProductSprint Backlog'!$F128, TRUE, 0)</f>
        <v/>
      </c>
      <c r="M128" s="4" t="str" cm="1">
        <f t="array" ref="M128">_xlfn.IFS('ProductSprint Backlog'!$F128="", "", AND('ProductSprint Backlog'!$J128&gt;M$2,'ProductSprint Backlog'!$I128&lt;=M$2), 'ProductSprint Backlog'!$F128 / MAX(1, 'ProductSprint Backlog'!$J128-'ProductSprint Backlog'!$I128), AND('ProductSprint Backlog'!$J128=M$2,'ProductSprint Backlog'!$I128=M$2), 'ProductSprint Backlog'!$F128, TRUE, 0)</f>
        <v/>
      </c>
      <c r="N128" s="4" t="str" cm="1">
        <f t="array" ref="N128">_xlfn.IFS('ProductSprint Backlog'!$F128="", "", AND('ProductSprint Backlog'!$J128&gt;N$2,'ProductSprint Backlog'!$I128&lt;=N$2), 'ProductSprint Backlog'!$F128 / MAX(1, 'ProductSprint Backlog'!$J128-'ProductSprint Backlog'!$I128), AND('ProductSprint Backlog'!$J128=N$2,'ProductSprint Backlog'!$I128=N$2), 'ProductSprint Backlog'!$F128, TRUE, 0)</f>
        <v/>
      </c>
      <c r="O128" s="4" t="str" cm="1">
        <f t="array" ref="O128">_xlfn.IFS('ProductSprint Backlog'!$F128="", "", AND('ProductSprint Backlog'!$J128&gt;O$2,'ProductSprint Backlog'!$I128&lt;=O$2), 'ProductSprint Backlog'!$F128 / MAX(1, 'ProductSprint Backlog'!$J128-'ProductSprint Backlog'!$I128), AND('ProductSprint Backlog'!$J128=O$2,'ProductSprint Backlog'!$I128=O$2), 'ProductSprint Backlog'!$F128, TRUE, 0)</f>
        <v/>
      </c>
      <c r="P128" s="4" t="str" cm="1">
        <f t="array" ref="P128">_xlfn.IFS('ProductSprint Backlog'!$F128="", "", AND('ProductSprint Backlog'!$J128&gt;P$2,'ProductSprint Backlog'!$I128&lt;=P$2), 'ProductSprint Backlog'!$F128 / MAX(1, 'ProductSprint Backlog'!$J128-'ProductSprint Backlog'!$I128), AND('ProductSprint Backlog'!$J128=P$2,'ProductSprint Backlog'!$I128=P$2), 'ProductSprint Backlog'!$F128, TRUE, 0)</f>
        <v/>
      </c>
      <c r="Q128" s="4" t="str" cm="1">
        <f t="array" ref="Q128">_xlfn.IFS('ProductSprint Backlog'!$F128="", "", AND('ProductSprint Backlog'!$J128&gt;Q$2,'ProductSprint Backlog'!$I128&lt;=Q$2), 'ProductSprint Backlog'!$F128 / MAX(1, 'ProductSprint Backlog'!$J128-'ProductSprint Backlog'!$I128), AND('ProductSprint Backlog'!$J128=Q$2,'ProductSprint Backlog'!$I128=Q$2), 'ProductSprint Backlog'!$F128, TRUE, 0)</f>
        <v/>
      </c>
      <c r="R128" s="4" t="str" cm="1">
        <f t="array" ref="R128">_xlfn.IFS('ProductSprint Backlog'!$F128="", "", AND('ProductSprint Backlog'!$J128&gt;R$2,'ProductSprint Backlog'!$I128&lt;=R$2), 'ProductSprint Backlog'!$F128 / MAX(1, 'ProductSprint Backlog'!$J128-'ProductSprint Backlog'!$I128), AND('ProductSprint Backlog'!$J128=R$2,'ProductSprint Backlog'!$I128=R$2), 'ProductSprint Backlog'!$F128, TRUE, 0)</f>
        <v/>
      </c>
      <c r="S128" s="4" t="str" cm="1">
        <f t="array" ref="S128">_xlfn.IFS('ProductSprint Backlog'!$F128="", "", AND('ProductSprint Backlog'!$J128&gt;S$2,'ProductSprint Backlog'!$I128&lt;=S$2), 'ProductSprint Backlog'!$F128 / MAX(1, 'ProductSprint Backlog'!$J128-'ProductSprint Backlog'!$I128), AND('ProductSprint Backlog'!$J128=S$2,'ProductSprint Backlog'!$I128=S$2), 'ProductSprint Backlog'!$F128, TRUE, 0)</f>
        <v/>
      </c>
      <c r="T128" s="4" t="str" cm="1">
        <f t="array" ref="T128">_xlfn.IFS('ProductSprint Backlog'!$F128="", "", AND('ProductSprint Backlog'!$J128&gt;T$2,'ProductSprint Backlog'!$I128&lt;=T$2), 'ProductSprint Backlog'!$F128 / MAX(1, 'ProductSprint Backlog'!$J128-'ProductSprint Backlog'!$I128), AND('ProductSprint Backlog'!$J128=T$2,'ProductSprint Backlog'!$I128=T$2), 'ProductSprint Backlog'!$F128, TRUE, 0)</f>
        <v/>
      </c>
    </row>
    <row r="129" spans="2:20" x14ac:dyDescent="0.2">
      <c r="B129" s="4" cm="1">
        <f t="array" ref="B129">_xlfn.IFS('ProductSprint Backlog'!$F129="", "", AND('ProductSprint Backlog'!$J129&gt;B$2,'ProductSprint Backlog'!$I129&lt;=B$2), 'ProductSprint Backlog'!$F129 / MAX(1, 'ProductSprint Backlog'!$J129-'ProductSprint Backlog'!$I129), AND('ProductSprint Backlog'!$J129=B$2,'ProductSprint Backlog'!$I129=B$2), 'ProductSprint Backlog'!$F129, TRUE, 0)</f>
        <v>0.66666666666666663</v>
      </c>
      <c r="C129" s="4" cm="1">
        <f t="array" ref="C129">_xlfn.IFS('ProductSprint Backlog'!$F129="", "", AND('ProductSprint Backlog'!$J129&gt;C$2,'ProductSprint Backlog'!$I129&lt;=C$2), 'ProductSprint Backlog'!$F129 / MAX(1, 'ProductSprint Backlog'!$J129-'ProductSprint Backlog'!$I129), AND('ProductSprint Backlog'!$J129=C$2,'ProductSprint Backlog'!$I129=C$2), 'ProductSprint Backlog'!$F129, TRUE, 0)</f>
        <v>0.66666666666666663</v>
      </c>
      <c r="D129" s="4" cm="1">
        <f t="array" ref="D129">_xlfn.IFS('ProductSprint Backlog'!$F129="", "", AND('ProductSprint Backlog'!$J129&gt;D$2,'ProductSprint Backlog'!$I129&lt;=D$2), 'ProductSprint Backlog'!$F129 / MAX(1, 'ProductSprint Backlog'!$J129-'ProductSprint Backlog'!$I129), AND('ProductSprint Backlog'!$J129=D$2,'ProductSprint Backlog'!$I129=D$2), 'ProductSprint Backlog'!$F129, TRUE, 0)</f>
        <v>0.66666666666666663</v>
      </c>
      <c r="E129" s="4" cm="1">
        <f t="array" ref="E129">_xlfn.IFS('ProductSprint Backlog'!$F129="", "", AND('ProductSprint Backlog'!$J129&gt;E$2,'ProductSprint Backlog'!$I129&lt;=E$2), 'ProductSprint Backlog'!$F129 / MAX(1, 'ProductSprint Backlog'!$J129-'ProductSprint Backlog'!$I129), AND('ProductSprint Backlog'!$J129=E$2,'ProductSprint Backlog'!$I129=E$2), 'ProductSprint Backlog'!$F129, TRUE, 0)</f>
        <v>0</v>
      </c>
      <c r="F129" s="4" cm="1">
        <f t="array" ref="F129">_xlfn.IFS('ProductSprint Backlog'!$F129="", "", AND('ProductSprint Backlog'!$J129&gt;F$2,'ProductSprint Backlog'!$I129&lt;=F$2), 'ProductSprint Backlog'!$F129 / MAX(1, 'ProductSprint Backlog'!$J129-'ProductSprint Backlog'!$I129), AND('ProductSprint Backlog'!$J129=F$2,'ProductSprint Backlog'!$I129=F$2), 'ProductSprint Backlog'!$F129, TRUE, 0)</f>
        <v>0</v>
      </c>
      <c r="G129" s="4" cm="1">
        <f t="array" ref="G129">_xlfn.IFS('ProductSprint Backlog'!$F129="", "", AND('ProductSprint Backlog'!$J129&gt;G$2,'ProductSprint Backlog'!$I129&lt;=G$2), 'ProductSprint Backlog'!$F129 / MAX(1, 'ProductSprint Backlog'!$J129-'ProductSprint Backlog'!$I129), AND('ProductSprint Backlog'!$J129=G$2,'ProductSprint Backlog'!$I129=G$2), 'ProductSprint Backlog'!$F129, TRUE, 0)</f>
        <v>0</v>
      </c>
      <c r="H129" s="4" cm="1">
        <f t="array" ref="H129">_xlfn.IFS('ProductSprint Backlog'!$F129="", "", AND('ProductSprint Backlog'!$J129&gt;H$2,'ProductSprint Backlog'!$I129&lt;=H$2), 'ProductSprint Backlog'!$F129 / MAX(1, 'ProductSprint Backlog'!$J129-'ProductSprint Backlog'!$I129), AND('ProductSprint Backlog'!$J129=H$2,'ProductSprint Backlog'!$I129=H$2), 'ProductSprint Backlog'!$F129, TRUE, 0)</f>
        <v>0</v>
      </c>
      <c r="I129" s="4" cm="1">
        <f t="array" ref="I129">_xlfn.IFS('ProductSprint Backlog'!$F129="", "", AND('ProductSprint Backlog'!$J129&gt;I$2,'ProductSprint Backlog'!$I129&lt;=I$2), 'ProductSprint Backlog'!$F129 / MAX(1, 'ProductSprint Backlog'!$J129-'ProductSprint Backlog'!$I129), AND('ProductSprint Backlog'!$J129=I$2,'ProductSprint Backlog'!$I129=I$2), 'ProductSprint Backlog'!$F129, TRUE, 0)</f>
        <v>0</v>
      </c>
      <c r="J129" s="4" cm="1">
        <f t="array" ref="J129">_xlfn.IFS('ProductSprint Backlog'!$F129="", "", AND('ProductSprint Backlog'!$J129&gt;J$2,'ProductSprint Backlog'!$I129&lt;=J$2), 'ProductSprint Backlog'!$F129 / MAX(1, 'ProductSprint Backlog'!$J129-'ProductSprint Backlog'!$I129), AND('ProductSprint Backlog'!$J129=J$2,'ProductSprint Backlog'!$I129=J$2), 'ProductSprint Backlog'!$F129, TRUE, 0)</f>
        <v>0</v>
      </c>
      <c r="K129" s="4" cm="1">
        <f t="array" ref="K129">_xlfn.IFS('ProductSprint Backlog'!$F129="", "", AND('ProductSprint Backlog'!$J129&gt;K$2,'ProductSprint Backlog'!$I129&lt;=K$2), 'ProductSprint Backlog'!$F129 / MAX(1, 'ProductSprint Backlog'!$J129-'ProductSprint Backlog'!$I129), AND('ProductSprint Backlog'!$J129=K$2,'ProductSprint Backlog'!$I129=K$2), 'ProductSprint Backlog'!$F129, TRUE, 0)</f>
        <v>0</v>
      </c>
      <c r="L129" s="4" cm="1">
        <f t="array" ref="L129">_xlfn.IFS('ProductSprint Backlog'!$F129="", "", AND('ProductSprint Backlog'!$J129&gt;L$2,'ProductSprint Backlog'!$I129&lt;=L$2), 'ProductSprint Backlog'!$F129 / MAX(1, 'ProductSprint Backlog'!$J129-'ProductSprint Backlog'!$I129), AND('ProductSprint Backlog'!$J129=L$2,'ProductSprint Backlog'!$I129=L$2), 'ProductSprint Backlog'!$F129, TRUE, 0)</f>
        <v>0</v>
      </c>
      <c r="M129" s="4" cm="1">
        <f t="array" ref="M129">_xlfn.IFS('ProductSprint Backlog'!$F129="", "", AND('ProductSprint Backlog'!$J129&gt;M$2,'ProductSprint Backlog'!$I129&lt;=M$2), 'ProductSprint Backlog'!$F129 / MAX(1, 'ProductSprint Backlog'!$J129-'ProductSprint Backlog'!$I129), AND('ProductSprint Backlog'!$J129=M$2,'ProductSprint Backlog'!$I129=M$2), 'ProductSprint Backlog'!$F129, TRUE, 0)</f>
        <v>0</v>
      </c>
      <c r="N129" s="4" cm="1">
        <f t="array" ref="N129">_xlfn.IFS('ProductSprint Backlog'!$F129="", "", AND('ProductSprint Backlog'!$J129&gt;N$2,'ProductSprint Backlog'!$I129&lt;=N$2), 'ProductSprint Backlog'!$F129 / MAX(1, 'ProductSprint Backlog'!$J129-'ProductSprint Backlog'!$I129), AND('ProductSprint Backlog'!$J129=N$2,'ProductSprint Backlog'!$I129=N$2), 'ProductSprint Backlog'!$F129, TRUE, 0)</f>
        <v>0</v>
      </c>
      <c r="O129" s="4" cm="1">
        <f t="array" ref="O129">_xlfn.IFS('ProductSprint Backlog'!$F129="", "", AND('ProductSprint Backlog'!$J129&gt;O$2,'ProductSprint Backlog'!$I129&lt;=O$2), 'ProductSprint Backlog'!$F129 / MAX(1, 'ProductSprint Backlog'!$J129-'ProductSprint Backlog'!$I129), AND('ProductSprint Backlog'!$J129=O$2,'ProductSprint Backlog'!$I129=O$2), 'ProductSprint Backlog'!$F129, TRUE, 0)</f>
        <v>0</v>
      </c>
      <c r="P129" s="4" cm="1">
        <f t="array" ref="P129">_xlfn.IFS('ProductSprint Backlog'!$F129="", "", AND('ProductSprint Backlog'!$J129&gt;P$2,'ProductSprint Backlog'!$I129&lt;=P$2), 'ProductSprint Backlog'!$F129 / MAX(1, 'ProductSprint Backlog'!$J129-'ProductSprint Backlog'!$I129), AND('ProductSprint Backlog'!$J129=P$2,'ProductSprint Backlog'!$I129=P$2), 'ProductSprint Backlog'!$F129, TRUE, 0)</f>
        <v>0</v>
      </c>
      <c r="Q129" s="4" cm="1">
        <f t="array" ref="Q129">_xlfn.IFS('ProductSprint Backlog'!$F129="", "", AND('ProductSprint Backlog'!$J129&gt;Q$2,'ProductSprint Backlog'!$I129&lt;=Q$2), 'ProductSprint Backlog'!$F129 / MAX(1, 'ProductSprint Backlog'!$J129-'ProductSprint Backlog'!$I129), AND('ProductSprint Backlog'!$J129=Q$2,'ProductSprint Backlog'!$I129=Q$2), 'ProductSprint Backlog'!$F129, TRUE, 0)</f>
        <v>0</v>
      </c>
      <c r="R129" s="4" cm="1">
        <f t="array" ref="R129">_xlfn.IFS('ProductSprint Backlog'!$F129="", "", AND('ProductSprint Backlog'!$J129&gt;R$2,'ProductSprint Backlog'!$I129&lt;=R$2), 'ProductSprint Backlog'!$F129 / MAX(1, 'ProductSprint Backlog'!$J129-'ProductSprint Backlog'!$I129), AND('ProductSprint Backlog'!$J129=R$2,'ProductSprint Backlog'!$I129=R$2), 'ProductSprint Backlog'!$F129, TRUE, 0)</f>
        <v>0</v>
      </c>
      <c r="S129" s="4" cm="1">
        <f t="array" ref="S129">_xlfn.IFS('ProductSprint Backlog'!$F129="", "", AND('ProductSprint Backlog'!$J129&gt;S$2,'ProductSprint Backlog'!$I129&lt;=S$2), 'ProductSprint Backlog'!$F129 / MAX(1, 'ProductSprint Backlog'!$J129-'ProductSprint Backlog'!$I129), AND('ProductSprint Backlog'!$J129=S$2,'ProductSprint Backlog'!$I129=S$2), 'ProductSprint Backlog'!$F129, TRUE, 0)</f>
        <v>0</v>
      </c>
      <c r="T129" s="4" cm="1">
        <f t="array" ref="T129">_xlfn.IFS('ProductSprint Backlog'!$F129="", "", AND('ProductSprint Backlog'!$J129&gt;T$2,'ProductSprint Backlog'!$I129&lt;=T$2), 'ProductSprint Backlog'!$F129 / MAX(1, 'ProductSprint Backlog'!$J129-'ProductSprint Backlog'!$I129), AND('ProductSprint Backlog'!$J129=T$2,'ProductSprint Backlog'!$I129=T$2), 'ProductSprint Backlog'!$F129, TRUE, 0)</f>
        <v>0</v>
      </c>
    </row>
    <row r="130" spans="2:20" x14ac:dyDescent="0.2">
      <c r="B130" s="4" cm="1">
        <f t="array" ref="B130">_xlfn.IFS('ProductSprint Backlog'!$F130="", "", AND('ProductSprint Backlog'!$J130&gt;B$2,'ProductSprint Backlog'!$I130&lt;=B$2), 'ProductSprint Backlog'!$F130 / MAX(1, 'ProductSprint Backlog'!$J130-'ProductSprint Backlog'!$I130), AND('ProductSprint Backlog'!$J130=B$2,'ProductSprint Backlog'!$I130=B$2), 'ProductSprint Backlog'!$F130, TRUE, 0)</f>
        <v>0.66666666666666663</v>
      </c>
      <c r="C130" s="4" cm="1">
        <f t="array" ref="C130">_xlfn.IFS('ProductSprint Backlog'!$F130="", "", AND('ProductSprint Backlog'!$J130&gt;C$2,'ProductSprint Backlog'!$I130&lt;=C$2), 'ProductSprint Backlog'!$F130 / MAX(1, 'ProductSprint Backlog'!$J130-'ProductSprint Backlog'!$I130), AND('ProductSprint Backlog'!$J130=C$2,'ProductSprint Backlog'!$I130=C$2), 'ProductSprint Backlog'!$F130, TRUE, 0)</f>
        <v>0.66666666666666663</v>
      </c>
      <c r="D130" s="4" cm="1">
        <f t="array" ref="D130">_xlfn.IFS('ProductSprint Backlog'!$F130="", "", AND('ProductSprint Backlog'!$J130&gt;D$2,'ProductSprint Backlog'!$I130&lt;=D$2), 'ProductSprint Backlog'!$F130 / MAX(1, 'ProductSprint Backlog'!$J130-'ProductSprint Backlog'!$I130), AND('ProductSprint Backlog'!$J130=D$2,'ProductSprint Backlog'!$I130=D$2), 'ProductSprint Backlog'!$F130, TRUE, 0)</f>
        <v>0.66666666666666663</v>
      </c>
      <c r="E130" s="4" cm="1">
        <f t="array" ref="E130">_xlfn.IFS('ProductSprint Backlog'!$F130="", "", AND('ProductSprint Backlog'!$J130&gt;E$2,'ProductSprint Backlog'!$I130&lt;=E$2), 'ProductSprint Backlog'!$F130 / MAX(1, 'ProductSprint Backlog'!$J130-'ProductSprint Backlog'!$I130), AND('ProductSprint Backlog'!$J130=E$2,'ProductSprint Backlog'!$I130=E$2), 'ProductSprint Backlog'!$F130, TRUE, 0)</f>
        <v>0</v>
      </c>
      <c r="F130" s="4" cm="1">
        <f t="array" ref="F130">_xlfn.IFS('ProductSprint Backlog'!$F130="", "", AND('ProductSprint Backlog'!$J130&gt;F$2,'ProductSprint Backlog'!$I130&lt;=F$2), 'ProductSprint Backlog'!$F130 / MAX(1, 'ProductSprint Backlog'!$J130-'ProductSprint Backlog'!$I130), AND('ProductSprint Backlog'!$J130=F$2,'ProductSprint Backlog'!$I130=F$2), 'ProductSprint Backlog'!$F130, TRUE, 0)</f>
        <v>0</v>
      </c>
      <c r="G130" s="4" cm="1">
        <f t="array" ref="G130">_xlfn.IFS('ProductSprint Backlog'!$F130="", "", AND('ProductSprint Backlog'!$J130&gt;G$2,'ProductSprint Backlog'!$I130&lt;=G$2), 'ProductSprint Backlog'!$F130 / MAX(1, 'ProductSprint Backlog'!$J130-'ProductSprint Backlog'!$I130), AND('ProductSprint Backlog'!$J130=G$2,'ProductSprint Backlog'!$I130=G$2), 'ProductSprint Backlog'!$F130, TRUE, 0)</f>
        <v>0</v>
      </c>
      <c r="H130" s="4" cm="1">
        <f t="array" ref="H130">_xlfn.IFS('ProductSprint Backlog'!$F130="", "", AND('ProductSprint Backlog'!$J130&gt;H$2,'ProductSprint Backlog'!$I130&lt;=H$2), 'ProductSprint Backlog'!$F130 / MAX(1, 'ProductSprint Backlog'!$J130-'ProductSprint Backlog'!$I130), AND('ProductSprint Backlog'!$J130=H$2,'ProductSprint Backlog'!$I130=H$2), 'ProductSprint Backlog'!$F130, TRUE, 0)</f>
        <v>0</v>
      </c>
      <c r="I130" s="4" cm="1">
        <f t="array" ref="I130">_xlfn.IFS('ProductSprint Backlog'!$F130="", "", AND('ProductSprint Backlog'!$J130&gt;I$2,'ProductSprint Backlog'!$I130&lt;=I$2), 'ProductSprint Backlog'!$F130 / MAX(1, 'ProductSprint Backlog'!$J130-'ProductSprint Backlog'!$I130), AND('ProductSprint Backlog'!$J130=I$2,'ProductSprint Backlog'!$I130=I$2), 'ProductSprint Backlog'!$F130, TRUE, 0)</f>
        <v>0</v>
      </c>
      <c r="J130" s="4" cm="1">
        <f t="array" ref="J130">_xlfn.IFS('ProductSprint Backlog'!$F130="", "", AND('ProductSprint Backlog'!$J130&gt;J$2,'ProductSprint Backlog'!$I130&lt;=J$2), 'ProductSprint Backlog'!$F130 / MAX(1, 'ProductSprint Backlog'!$J130-'ProductSprint Backlog'!$I130), AND('ProductSprint Backlog'!$J130=J$2,'ProductSprint Backlog'!$I130=J$2), 'ProductSprint Backlog'!$F130, TRUE, 0)</f>
        <v>0</v>
      </c>
      <c r="K130" s="4" cm="1">
        <f t="array" ref="K130">_xlfn.IFS('ProductSprint Backlog'!$F130="", "", AND('ProductSprint Backlog'!$J130&gt;K$2,'ProductSprint Backlog'!$I130&lt;=K$2), 'ProductSprint Backlog'!$F130 / MAX(1, 'ProductSprint Backlog'!$J130-'ProductSprint Backlog'!$I130), AND('ProductSprint Backlog'!$J130=K$2,'ProductSprint Backlog'!$I130=K$2), 'ProductSprint Backlog'!$F130, TRUE, 0)</f>
        <v>0</v>
      </c>
      <c r="L130" s="4" cm="1">
        <f t="array" ref="L130">_xlfn.IFS('ProductSprint Backlog'!$F130="", "", AND('ProductSprint Backlog'!$J130&gt;L$2,'ProductSprint Backlog'!$I130&lt;=L$2), 'ProductSprint Backlog'!$F130 / MAX(1, 'ProductSprint Backlog'!$J130-'ProductSprint Backlog'!$I130), AND('ProductSprint Backlog'!$J130=L$2,'ProductSprint Backlog'!$I130=L$2), 'ProductSprint Backlog'!$F130, TRUE, 0)</f>
        <v>0</v>
      </c>
      <c r="M130" s="4" cm="1">
        <f t="array" ref="M130">_xlfn.IFS('ProductSprint Backlog'!$F130="", "", AND('ProductSprint Backlog'!$J130&gt;M$2,'ProductSprint Backlog'!$I130&lt;=M$2), 'ProductSprint Backlog'!$F130 / MAX(1, 'ProductSprint Backlog'!$J130-'ProductSprint Backlog'!$I130), AND('ProductSprint Backlog'!$J130=M$2,'ProductSprint Backlog'!$I130=M$2), 'ProductSprint Backlog'!$F130, TRUE, 0)</f>
        <v>0</v>
      </c>
      <c r="N130" s="4" cm="1">
        <f t="array" ref="N130">_xlfn.IFS('ProductSprint Backlog'!$F130="", "", AND('ProductSprint Backlog'!$J130&gt;N$2,'ProductSprint Backlog'!$I130&lt;=N$2), 'ProductSprint Backlog'!$F130 / MAX(1, 'ProductSprint Backlog'!$J130-'ProductSprint Backlog'!$I130), AND('ProductSprint Backlog'!$J130=N$2,'ProductSprint Backlog'!$I130=N$2), 'ProductSprint Backlog'!$F130, TRUE, 0)</f>
        <v>0</v>
      </c>
      <c r="O130" s="4" cm="1">
        <f t="array" ref="O130">_xlfn.IFS('ProductSprint Backlog'!$F130="", "", AND('ProductSprint Backlog'!$J130&gt;O$2,'ProductSprint Backlog'!$I130&lt;=O$2), 'ProductSprint Backlog'!$F130 / MAX(1, 'ProductSprint Backlog'!$J130-'ProductSprint Backlog'!$I130), AND('ProductSprint Backlog'!$J130=O$2,'ProductSprint Backlog'!$I130=O$2), 'ProductSprint Backlog'!$F130, TRUE, 0)</f>
        <v>0</v>
      </c>
      <c r="P130" s="4" cm="1">
        <f t="array" ref="P130">_xlfn.IFS('ProductSprint Backlog'!$F130="", "", AND('ProductSprint Backlog'!$J130&gt;P$2,'ProductSprint Backlog'!$I130&lt;=P$2), 'ProductSprint Backlog'!$F130 / MAX(1, 'ProductSprint Backlog'!$J130-'ProductSprint Backlog'!$I130), AND('ProductSprint Backlog'!$J130=P$2,'ProductSprint Backlog'!$I130=P$2), 'ProductSprint Backlog'!$F130, TRUE, 0)</f>
        <v>0</v>
      </c>
      <c r="Q130" s="4" cm="1">
        <f t="array" ref="Q130">_xlfn.IFS('ProductSprint Backlog'!$F130="", "", AND('ProductSprint Backlog'!$J130&gt;Q$2,'ProductSprint Backlog'!$I130&lt;=Q$2), 'ProductSprint Backlog'!$F130 / MAX(1, 'ProductSprint Backlog'!$J130-'ProductSprint Backlog'!$I130), AND('ProductSprint Backlog'!$J130=Q$2,'ProductSprint Backlog'!$I130=Q$2), 'ProductSprint Backlog'!$F130, TRUE, 0)</f>
        <v>0</v>
      </c>
      <c r="R130" s="4" cm="1">
        <f t="array" ref="R130">_xlfn.IFS('ProductSprint Backlog'!$F130="", "", AND('ProductSprint Backlog'!$J130&gt;R$2,'ProductSprint Backlog'!$I130&lt;=R$2), 'ProductSprint Backlog'!$F130 / MAX(1, 'ProductSprint Backlog'!$J130-'ProductSprint Backlog'!$I130), AND('ProductSprint Backlog'!$J130=R$2,'ProductSprint Backlog'!$I130=R$2), 'ProductSprint Backlog'!$F130, TRUE, 0)</f>
        <v>0</v>
      </c>
      <c r="S130" s="4" cm="1">
        <f t="array" ref="S130">_xlfn.IFS('ProductSprint Backlog'!$F130="", "", AND('ProductSprint Backlog'!$J130&gt;S$2,'ProductSprint Backlog'!$I130&lt;=S$2), 'ProductSprint Backlog'!$F130 / MAX(1, 'ProductSprint Backlog'!$J130-'ProductSprint Backlog'!$I130), AND('ProductSprint Backlog'!$J130=S$2,'ProductSprint Backlog'!$I130=S$2), 'ProductSprint Backlog'!$F130, TRUE, 0)</f>
        <v>0</v>
      </c>
      <c r="T130" s="4" cm="1">
        <f t="array" ref="T130">_xlfn.IFS('ProductSprint Backlog'!$F130="", "", AND('ProductSprint Backlog'!$J130&gt;T$2,'ProductSprint Backlog'!$I130&lt;=T$2), 'ProductSprint Backlog'!$F130 / MAX(1, 'ProductSprint Backlog'!$J130-'ProductSprint Backlog'!$I130), AND('ProductSprint Backlog'!$J130=T$2,'ProductSprint Backlog'!$I130=T$2), 'ProductSprint Backlog'!$F130, TRUE, 0)</f>
        <v>0</v>
      </c>
    </row>
    <row r="131" spans="2:20" x14ac:dyDescent="0.2">
      <c r="B131" s="4" cm="1">
        <f t="array" ref="B131">_xlfn.IFS('ProductSprint Backlog'!$F131="", "", AND('ProductSprint Backlog'!$J131&gt;B$2,'ProductSprint Backlog'!$I131&lt;=B$2), 'ProductSprint Backlog'!$F131 / MAX(1, 'ProductSprint Backlog'!$J131-'ProductSprint Backlog'!$I131), AND('ProductSprint Backlog'!$J131=B$2,'ProductSprint Backlog'!$I131=B$2), 'ProductSprint Backlog'!$F131, TRUE, 0)</f>
        <v>0.33333333333333331</v>
      </c>
      <c r="C131" s="4" cm="1">
        <f t="array" ref="C131">_xlfn.IFS('ProductSprint Backlog'!$F131="", "", AND('ProductSprint Backlog'!$J131&gt;C$2,'ProductSprint Backlog'!$I131&lt;=C$2), 'ProductSprint Backlog'!$F131 / MAX(1, 'ProductSprint Backlog'!$J131-'ProductSprint Backlog'!$I131), AND('ProductSprint Backlog'!$J131=C$2,'ProductSprint Backlog'!$I131=C$2), 'ProductSprint Backlog'!$F131, TRUE, 0)</f>
        <v>0.33333333333333331</v>
      </c>
      <c r="D131" s="4" cm="1">
        <f t="array" ref="D131">_xlfn.IFS('ProductSprint Backlog'!$F131="", "", AND('ProductSprint Backlog'!$J131&gt;D$2,'ProductSprint Backlog'!$I131&lt;=D$2), 'ProductSprint Backlog'!$F131 / MAX(1, 'ProductSprint Backlog'!$J131-'ProductSprint Backlog'!$I131), AND('ProductSprint Backlog'!$J131=D$2,'ProductSprint Backlog'!$I131=D$2), 'ProductSprint Backlog'!$F131, TRUE, 0)</f>
        <v>0.33333333333333331</v>
      </c>
      <c r="E131" s="4" cm="1">
        <f t="array" ref="E131">_xlfn.IFS('ProductSprint Backlog'!$F131="", "", AND('ProductSprint Backlog'!$J131&gt;E$2,'ProductSprint Backlog'!$I131&lt;=E$2), 'ProductSprint Backlog'!$F131 / MAX(1, 'ProductSprint Backlog'!$J131-'ProductSprint Backlog'!$I131), AND('ProductSprint Backlog'!$J131=E$2,'ProductSprint Backlog'!$I131=E$2), 'ProductSprint Backlog'!$F131, TRUE, 0)</f>
        <v>0</v>
      </c>
      <c r="F131" s="4" cm="1">
        <f t="array" ref="F131">_xlfn.IFS('ProductSprint Backlog'!$F131="", "", AND('ProductSprint Backlog'!$J131&gt;F$2,'ProductSprint Backlog'!$I131&lt;=F$2), 'ProductSprint Backlog'!$F131 / MAX(1, 'ProductSprint Backlog'!$J131-'ProductSprint Backlog'!$I131), AND('ProductSprint Backlog'!$J131=F$2,'ProductSprint Backlog'!$I131=F$2), 'ProductSprint Backlog'!$F131, TRUE, 0)</f>
        <v>0</v>
      </c>
      <c r="G131" s="4" cm="1">
        <f t="array" ref="G131">_xlfn.IFS('ProductSprint Backlog'!$F131="", "", AND('ProductSprint Backlog'!$J131&gt;G$2,'ProductSprint Backlog'!$I131&lt;=G$2), 'ProductSprint Backlog'!$F131 / MAX(1, 'ProductSprint Backlog'!$J131-'ProductSprint Backlog'!$I131), AND('ProductSprint Backlog'!$J131=G$2,'ProductSprint Backlog'!$I131=G$2), 'ProductSprint Backlog'!$F131, TRUE, 0)</f>
        <v>0</v>
      </c>
      <c r="H131" s="4" cm="1">
        <f t="array" ref="H131">_xlfn.IFS('ProductSprint Backlog'!$F131="", "", AND('ProductSprint Backlog'!$J131&gt;H$2,'ProductSprint Backlog'!$I131&lt;=H$2), 'ProductSprint Backlog'!$F131 / MAX(1, 'ProductSprint Backlog'!$J131-'ProductSprint Backlog'!$I131), AND('ProductSprint Backlog'!$J131=H$2,'ProductSprint Backlog'!$I131=H$2), 'ProductSprint Backlog'!$F131, TRUE, 0)</f>
        <v>0</v>
      </c>
      <c r="I131" s="4" cm="1">
        <f t="array" ref="I131">_xlfn.IFS('ProductSprint Backlog'!$F131="", "", AND('ProductSprint Backlog'!$J131&gt;I$2,'ProductSprint Backlog'!$I131&lt;=I$2), 'ProductSprint Backlog'!$F131 / MAX(1, 'ProductSprint Backlog'!$J131-'ProductSprint Backlog'!$I131), AND('ProductSprint Backlog'!$J131=I$2,'ProductSprint Backlog'!$I131=I$2), 'ProductSprint Backlog'!$F131, TRUE, 0)</f>
        <v>0</v>
      </c>
      <c r="J131" s="4" cm="1">
        <f t="array" ref="J131">_xlfn.IFS('ProductSprint Backlog'!$F131="", "", AND('ProductSprint Backlog'!$J131&gt;J$2,'ProductSprint Backlog'!$I131&lt;=J$2), 'ProductSprint Backlog'!$F131 / MAX(1, 'ProductSprint Backlog'!$J131-'ProductSprint Backlog'!$I131), AND('ProductSprint Backlog'!$J131=J$2,'ProductSprint Backlog'!$I131=J$2), 'ProductSprint Backlog'!$F131, TRUE, 0)</f>
        <v>0</v>
      </c>
      <c r="K131" s="4" cm="1">
        <f t="array" ref="K131">_xlfn.IFS('ProductSprint Backlog'!$F131="", "", AND('ProductSprint Backlog'!$J131&gt;K$2,'ProductSprint Backlog'!$I131&lt;=K$2), 'ProductSprint Backlog'!$F131 / MAX(1, 'ProductSprint Backlog'!$J131-'ProductSprint Backlog'!$I131), AND('ProductSprint Backlog'!$J131=K$2,'ProductSprint Backlog'!$I131=K$2), 'ProductSprint Backlog'!$F131, TRUE, 0)</f>
        <v>0</v>
      </c>
      <c r="L131" s="4" cm="1">
        <f t="array" ref="L131">_xlfn.IFS('ProductSprint Backlog'!$F131="", "", AND('ProductSprint Backlog'!$J131&gt;L$2,'ProductSprint Backlog'!$I131&lt;=L$2), 'ProductSprint Backlog'!$F131 / MAX(1, 'ProductSprint Backlog'!$J131-'ProductSprint Backlog'!$I131), AND('ProductSprint Backlog'!$J131=L$2,'ProductSprint Backlog'!$I131=L$2), 'ProductSprint Backlog'!$F131, TRUE, 0)</f>
        <v>0</v>
      </c>
      <c r="M131" s="4" cm="1">
        <f t="array" ref="M131">_xlfn.IFS('ProductSprint Backlog'!$F131="", "", AND('ProductSprint Backlog'!$J131&gt;M$2,'ProductSprint Backlog'!$I131&lt;=M$2), 'ProductSprint Backlog'!$F131 / MAX(1, 'ProductSprint Backlog'!$J131-'ProductSprint Backlog'!$I131), AND('ProductSprint Backlog'!$J131=M$2,'ProductSprint Backlog'!$I131=M$2), 'ProductSprint Backlog'!$F131, TRUE, 0)</f>
        <v>0</v>
      </c>
      <c r="N131" s="4" cm="1">
        <f t="array" ref="N131">_xlfn.IFS('ProductSprint Backlog'!$F131="", "", AND('ProductSprint Backlog'!$J131&gt;N$2,'ProductSprint Backlog'!$I131&lt;=N$2), 'ProductSprint Backlog'!$F131 / MAX(1, 'ProductSprint Backlog'!$J131-'ProductSprint Backlog'!$I131), AND('ProductSprint Backlog'!$J131=N$2,'ProductSprint Backlog'!$I131=N$2), 'ProductSprint Backlog'!$F131, TRUE, 0)</f>
        <v>0</v>
      </c>
      <c r="O131" s="4" cm="1">
        <f t="array" ref="O131">_xlfn.IFS('ProductSprint Backlog'!$F131="", "", AND('ProductSprint Backlog'!$J131&gt;O$2,'ProductSprint Backlog'!$I131&lt;=O$2), 'ProductSprint Backlog'!$F131 / MAX(1, 'ProductSprint Backlog'!$J131-'ProductSprint Backlog'!$I131), AND('ProductSprint Backlog'!$J131=O$2,'ProductSprint Backlog'!$I131=O$2), 'ProductSprint Backlog'!$F131, TRUE, 0)</f>
        <v>0</v>
      </c>
      <c r="P131" s="4" cm="1">
        <f t="array" ref="P131">_xlfn.IFS('ProductSprint Backlog'!$F131="", "", AND('ProductSprint Backlog'!$J131&gt;P$2,'ProductSprint Backlog'!$I131&lt;=P$2), 'ProductSprint Backlog'!$F131 / MAX(1, 'ProductSprint Backlog'!$J131-'ProductSprint Backlog'!$I131), AND('ProductSprint Backlog'!$J131=P$2,'ProductSprint Backlog'!$I131=P$2), 'ProductSprint Backlog'!$F131, TRUE, 0)</f>
        <v>0</v>
      </c>
      <c r="Q131" s="4" cm="1">
        <f t="array" ref="Q131">_xlfn.IFS('ProductSprint Backlog'!$F131="", "", AND('ProductSprint Backlog'!$J131&gt;Q$2,'ProductSprint Backlog'!$I131&lt;=Q$2), 'ProductSprint Backlog'!$F131 / MAX(1, 'ProductSprint Backlog'!$J131-'ProductSprint Backlog'!$I131), AND('ProductSprint Backlog'!$J131=Q$2,'ProductSprint Backlog'!$I131=Q$2), 'ProductSprint Backlog'!$F131, TRUE, 0)</f>
        <v>0</v>
      </c>
      <c r="R131" s="4" cm="1">
        <f t="array" ref="R131">_xlfn.IFS('ProductSprint Backlog'!$F131="", "", AND('ProductSprint Backlog'!$J131&gt;R$2,'ProductSprint Backlog'!$I131&lt;=R$2), 'ProductSprint Backlog'!$F131 / MAX(1, 'ProductSprint Backlog'!$J131-'ProductSprint Backlog'!$I131), AND('ProductSprint Backlog'!$J131=R$2,'ProductSprint Backlog'!$I131=R$2), 'ProductSprint Backlog'!$F131, TRUE, 0)</f>
        <v>0</v>
      </c>
      <c r="S131" s="4" cm="1">
        <f t="array" ref="S131">_xlfn.IFS('ProductSprint Backlog'!$F131="", "", AND('ProductSprint Backlog'!$J131&gt;S$2,'ProductSprint Backlog'!$I131&lt;=S$2), 'ProductSprint Backlog'!$F131 / MAX(1, 'ProductSprint Backlog'!$J131-'ProductSprint Backlog'!$I131), AND('ProductSprint Backlog'!$J131=S$2,'ProductSprint Backlog'!$I131=S$2), 'ProductSprint Backlog'!$F131, TRUE, 0)</f>
        <v>0</v>
      </c>
      <c r="T131" s="4" cm="1">
        <f t="array" ref="T131">_xlfn.IFS('ProductSprint Backlog'!$F131="", "", AND('ProductSprint Backlog'!$J131&gt;T$2,'ProductSprint Backlog'!$I131&lt;=T$2), 'ProductSprint Backlog'!$F131 / MAX(1, 'ProductSprint Backlog'!$J131-'ProductSprint Backlog'!$I131), AND('ProductSprint Backlog'!$J131=T$2,'ProductSprint Backlog'!$I131=T$2), 'ProductSprint Backlog'!$F131, TRUE, 0)</f>
        <v>0</v>
      </c>
    </row>
    <row r="132" spans="2:20" x14ac:dyDescent="0.2">
      <c r="B132" s="4" cm="1">
        <f t="array" ref="B132">_xlfn.IFS('ProductSprint Backlog'!$F132="", "", AND('ProductSprint Backlog'!$J132&gt;B$2,'ProductSprint Backlog'!$I132&lt;=B$2), 'ProductSprint Backlog'!$F132 / MAX(1, 'ProductSprint Backlog'!$J132-'ProductSprint Backlog'!$I132), AND('ProductSprint Backlog'!$J132=B$2,'ProductSprint Backlog'!$I132=B$2), 'ProductSprint Backlog'!$F132, TRUE, 0)</f>
        <v>0</v>
      </c>
      <c r="C132" s="4" cm="1">
        <f t="array" ref="C132">_xlfn.IFS('ProductSprint Backlog'!$F132="", "", AND('ProductSprint Backlog'!$J132&gt;C$2,'ProductSprint Backlog'!$I132&lt;=C$2), 'ProductSprint Backlog'!$F132 / MAX(1, 'ProductSprint Backlog'!$J132-'ProductSprint Backlog'!$I132), AND('ProductSprint Backlog'!$J132=C$2,'ProductSprint Backlog'!$I132=C$2), 'ProductSprint Backlog'!$F132, TRUE, 0)</f>
        <v>0</v>
      </c>
      <c r="D132" s="4" cm="1">
        <f t="array" ref="D132">_xlfn.IFS('ProductSprint Backlog'!$F132="", "", AND('ProductSprint Backlog'!$J132&gt;D$2,'ProductSprint Backlog'!$I132&lt;=D$2), 'ProductSprint Backlog'!$F132 / MAX(1, 'ProductSprint Backlog'!$J132-'ProductSprint Backlog'!$I132), AND('ProductSprint Backlog'!$J132=D$2,'ProductSprint Backlog'!$I132=D$2), 'ProductSprint Backlog'!$F132, TRUE, 0)</f>
        <v>0</v>
      </c>
      <c r="E132" s="4" cm="1">
        <f t="array" ref="E132">_xlfn.IFS('ProductSprint Backlog'!$F132="", "", AND('ProductSprint Backlog'!$J132&gt;E$2,'ProductSprint Backlog'!$I132&lt;=E$2), 'ProductSprint Backlog'!$F132 / MAX(1, 'ProductSprint Backlog'!$J132-'ProductSprint Backlog'!$I132), AND('ProductSprint Backlog'!$J132=E$2,'ProductSprint Backlog'!$I132=E$2), 'ProductSprint Backlog'!$F132, TRUE, 0)</f>
        <v>0</v>
      </c>
      <c r="F132" s="4" cm="1">
        <f t="array" ref="F132">_xlfn.IFS('ProductSprint Backlog'!$F132="", "", AND('ProductSprint Backlog'!$J132&gt;F$2,'ProductSprint Backlog'!$I132&lt;=F$2), 'ProductSprint Backlog'!$F132 / MAX(1, 'ProductSprint Backlog'!$J132-'ProductSprint Backlog'!$I132), AND('ProductSprint Backlog'!$J132=F$2,'ProductSprint Backlog'!$I132=F$2), 'ProductSprint Backlog'!$F132, TRUE, 0)</f>
        <v>0.5</v>
      </c>
      <c r="G132" s="4" cm="1">
        <f t="array" ref="G132">_xlfn.IFS('ProductSprint Backlog'!$F132="", "", AND('ProductSprint Backlog'!$J132&gt;G$2,'ProductSprint Backlog'!$I132&lt;=G$2), 'ProductSprint Backlog'!$F132 / MAX(1, 'ProductSprint Backlog'!$J132-'ProductSprint Backlog'!$I132), AND('ProductSprint Backlog'!$J132=G$2,'ProductSprint Backlog'!$I132=G$2), 'ProductSprint Backlog'!$F132, TRUE, 0)</f>
        <v>0.5</v>
      </c>
      <c r="H132" s="4" cm="1">
        <f t="array" ref="H132">_xlfn.IFS('ProductSprint Backlog'!$F132="", "", AND('ProductSprint Backlog'!$J132&gt;H$2,'ProductSprint Backlog'!$I132&lt;=H$2), 'ProductSprint Backlog'!$F132 / MAX(1, 'ProductSprint Backlog'!$J132-'ProductSprint Backlog'!$I132), AND('ProductSprint Backlog'!$J132=H$2,'ProductSprint Backlog'!$I132=H$2), 'ProductSprint Backlog'!$F132, TRUE, 0)</f>
        <v>0</v>
      </c>
      <c r="I132" s="4" cm="1">
        <f t="array" ref="I132">_xlfn.IFS('ProductSprint Backlog'!$F132="", "", AND('ProductSprint Backlog'!$J132&gt;I$2,'ProductSprint Backlog'!$I132&lt;=I$2), 'ProductSprint Backlog'!$F132 / MAX(1, 'ProductSprint Backlog'!$J132-'ProductSprint Backlog'!$I132), AND('ProductSprint Backlog'!$J132=I$2,'ProductSprint Backlog'!$I132=I$2), 'ProductSprint Backlog'!$F132, TRUE, 0)</f>
        <v>0</v>
      </c>
      <c r="J132" s="4" cm="1">
        <f t="array" ref="J132">_xlfn.IFS('ProductSprint Backlog'!$F132="", "", AND('ProductSprint Backlog'!$J132&gt;J$2,'ProductSprint Backlog'!$I132&lt;=J$2), 'ProductSprint Backlog'!$F132 / MAX(1, 'ProductSprint Backlog'!$J132-'ProductSprint Backlog'!$I132), AND('ProductSprint Backlog'!$J132=J$2,'ProductSprint Backlog'!$I132=J$2), 'ProductSprint Backlog'!$F132, TRUE, 0)</f>
        <v>0</v>
      </c>
      <c r="K132" s="4" cm="1">
        <f t="array" ref="K132">_xlfn.IFS('ProductSprint Backlog'!$F132="", "", AND('ProductSprint Backlog'!$J132&gt;K$2,'ProductSprint Backlog'!$I132&lt;=K$2), 'ProductSprint Backlog'!$F132 / MAX(1, 'ProductSprint Backlog'!$J132-'ProductSprint Backlog'!$I132), AND('ProductSprint Backlog'!$J132=K$2,'ProductSprint Backlog'!$I132=K$2), 'ProductSprint Backlog'!$F132, TRUE, 0)</f>
        <v>0</v>
      </c>
      <c r="L132" s="4" cm="1">
        <f t="array" ref="L132">_xlfn.IFS('ProductSprint Backlog'!$F132="", "", AND('ProductSprint Backlog'!$J132&gt;L$2,'ProductSprint Backlog'!$I132&lt;=L$2), 'ProductSprint Backlog'!$F132 / MAX(1, 'ProductSprint Backlog'!$J132-'ProductSprint Backlog'!$I132), AND('ProductSprint Backlog'!$J132=L$2,'ProductSprint Backlog'!$I132=L$2), 'ProductSprint Backlog'!$F132, TRUE, 0)</f>
        <v>0</v>
      </c>
      <c r="M132" s="4" cm="1">
        <f t="array" ref="M132">_xlfn.IFS('ProductSprint Backlog'!$F132="", "", AND('ProductSprint Backlog'!$J132&gt;M$2,'ProductSprint Backlog'!$I132&lt;=M$2), 'ProductSprint Backlog'!$F132 / MAX(1, 'ProductSprint Backlog'!$J132-'ProductSprint Backlog'!$I132), AND('ProductSprint Backlog'!$J132=M$2,'ProductSprint Backlog'!$I132=M$2), 'ProductSprint Backlog'!$F132, TRUE, 0)</f>
        <v>0</v>
      </c>
      <c r="N132" s="4" cm="1">
        <f t="array" ref="N132">_xlfn.IFS('ProductSprint Backlog'!$F132="", "", AND('ProductSprint Backlog'!$J132&gt;N$2,'ProductSprint Backlog'!$I132&lt;=N$2), 'ProductSprint Backlog'!$F132 / MAX(1, 'ProductSprint Backlog'!$J132-'ProductSprint Backlog'!$I132), AND('ProductSprint Backlog'!$J132=N$2,'ProductSprint Backlog'!$I132=N$2), 'ProductSprint Backlog'!$F132, TRUE, 0)</f>
        <v>0</v>
      </c>
      <c r="O132" s="4" cm="1">
        <f t="array" ref="O132">_xlfn.IFS('ProductSprint Backlog'!$F132="", "", AND('ProductSprint Backlog'!$J132&gt;O$2,'ProductSprint Backlog'!$I132&lt;=O$2), 'ProductSprint Backlog'!$F132 / MAX(1, 'ProductSprint Backlog'!$J132-'ProductSprint Backlog'!$I132), AND('ProductSprint Backlog'!$J132=O$2,'ProductSprint Backlog'!$I132=O$2), 'ProductSprint Backlog'!$F132, TRUE, 0)</f>
        <v>0</v>
      </c>
      <c r="P132" s="4" cm="1">
        <f t="array" ref="P132">_xlfn.IFS('ProductSprint Backlog'!$F132="", "", AND('ProductSprint Backlog'!$J132&gt;P$2,'ProductSprint Backlog'!$I132&lt;=P$2), 'ProductSprint Backlog'!$F132 / MAX(1, 'ProductSprint Backlog'!$J132-'ProductSprint Backlog'!$I132), AND('ProductSprint Backlog'!$J132=P$2,'ProductSprint Backlog'!$I132=P$2), 'ProductSprint Backlog'!$F132, TRUE, 0)</f>
        <v>0</v>
      </c>
      <c r="Q132" s="4" cm="1">
        <f t="array" ref="Q132">_xlfn.IFS('ProductSprint Backlog'!$F132="", "", AND('ProductSprint Backlog'!$J132&gt;Q$2,'ProductSprint Backlog'!$I132&lt;=Q$2), 'ProductSprint Backlog'!$F132 / MAX(1, 'ProductSprint Backlog'!$J132-'ProductSprint Backlog'!$I132), AND('ProductSprint Backlog'!$J132=Q$2,'ProductSprint Backlog'!$I132=Q$2), 'ProductSprint Backlog'!$F132, TRUE, 0)</f>
        <v>0</v>
      </c>
      <c r="R132" s="4" cm="1">
        <f t="array" ref="R132">_xlfn.IFS('ProductSprint Backlog'!$F132="", "", AND('ProductSprint Backlog'!$J132&gt;R$2,'ProductSprint Backlog'!$I132&lt;=R$2), 'ProductSprint Backlog'!$F132 / MAX(1, 'ProductSprint Backlog'!$J132-'ProductSprint Backlog'!$I132), AND('ProductSprint Backlog'!$J132=R$2,'ProductSprint Backlog'!$I132=R$2), 'ProductSprint Backlog'!$F132, TRUE, 0)</f>
        <v>0</v>
      </c>
      <c r="S132" s="4" cm="1">
        <f t="array" ref="S132">_xlfn.IFS('ProductSprint Backlog'!$F132="", "", AND('ProductSprint Backlog'!$J132&gt;S$2,'ProductSprint Backlog'!$I132&lt;=S$2), 'ProductSprint Backlog'!$F132 / MAX(1, 'ProductSprint Backlog'!$J132-'ProductSprint Backlog'!$I132), AND('ProductSprint Backlog'!$J132=S$2,'ProductSprint Backlog'!$I132=S$2), 'ProductSprint Backlog'!$F132, TRUE, 0)</f>
        <v>0</v>
      </c>
      <c r="T132" s="4" cm="1">
        <f t="array" ref="T132">_xlfn.IFS('ProductSprint Backlog'!$F132="", "", AND('ProductSprint Backlog'!$J132&gt;T$2,'ProductSprint Backlog'!$I132&lt;=T$2), 'ProductSprint Backlog'!$F132 / MAX(1, 'ProductSprint Backlog'!$J132-'ProductSprint Backlog'!$I132), AND('ProductSprint Backlog'!$J132=T$2,'ProductSprint Backlog'!$I132=T$2), 'ProductSprint Backlog'!$F132, TRUE, 0)</f>
        <v>0</v>
      </c>
    </row>
    <row r="133" spans="2:20" x14ac:dyDescent="0.2">
      <c r="B133" s="4" cm="1">
        <f t="array" ref="B133">_xlfn.IFS('ProductSprint Backlog'!$F133="", "", AND('ProductSprint Backlog'!$J133&gt;B$2,'ProductSprint Backlog'!$I133&lt;=B$2), 'ProductSprint Backlog'!$F133 / MAX(1, 'ProductSprint Backlog'!$J133-'ProductSprint Backlog'!$I133), AND('ProductSprint Backlog'!$J133=B$2,'ProductSprint Backlog'!$I133=B$2), 'ProductSprint Backlog'!$F133, TRUE, 0)</f>
        <v>0</v>
      </c>
      <c r="C133" s="4" cm="1">
        <f t="array" ref="C133">_xlfn.IFS('ProductSprint Backlog'!$F133="", "", AND('ProductSprint Backlog'!$J133&gt;C$2,'ProductSprint Backlog'!$I133&lt;=C$2), 'ProductSprint Backlog'!$F133 / MAX(1, 'ProductSprint Backlog'!$J133-'ProductSprint Backlog'!$I133), AND('ProductSprint Backlog'!$J133=C$2,'ProductSprint Backlog'!$I133=C$2), 'ProductSprint Backlog'!$F133, TRUE, 0)</f>
        <v>0</v>
      </c>
      <c r="D133" s="4" cm="1">
        <f t="array" ref="D133">_xlfn.IFS('ProductSprint Backlog'!$F133="", "", AND('ProductSprint Backlog'!$J133&gt;D$2,'ProductSprint Backlog'!$I133&lt;=D$2), 'ProductSprint Backlog'!$F133 / MAX(1, 'ProductSprint Backlog'!$J133-'ProductSprint Backlog'!$I133), AND('ProductSprint Backlog'!$J133=D$2,'ProductSprint Backlog'!$I133=D$2), 'ProductSprint Backlog'!$F133, TRUE, 0)</f>
        <v>0</v>
      </c>
      <c r="E133" s="4" cm="1">
        <f t="array" ref="E133">_xlfn.IFS('ProductSprint Backlog'!$F133="", "", AND('ProductSprint Backlog'!$J133&gt;E$2,'ProductSprint Backlog'!$I133&lt;=E$2), 'ProductSprint Backlog'!$F133 / MAX(1, 'ProductSprint Backlog'!$J133-'ProductSprint Backlog'!$I133), AND('ProductSprint Backlog'!$J133=E$2,'ProductSprint Backlog'!$I133=E$2), 'ProductSprint Backlog'!$F133, TRUE, 0)</f>
        <v>0</v>
      </c>
      <c r="F133" s="4" cm="1">
        <f t="array" ref="F133">_xlfn.IFS('ProductSprint Backlog'!$F133="", "", AND('ProductSprint Backlog'!$J133&gt;F$2,'ProductSprint Backlog'!$I133&lt;=F$2), 'ProductSprint Backlog'!$F133 / MAX(1, 'ProductSprint Backlog'!$J133-'ProductSprint Backlog'!$I133), AND('ProductSprint Backlog'!$J133=F$2,'ProductSprint Backlog'!$I133=F$2), 'ProductSprint Backlog'!$F133, TRUE, 0)</f>
        <v>0.5</v>
      </c>
      <c r="G133" s="4" cm="1">
        <f t="array" ref="G133">_xlfn.IFS('ProductSprint Backlog'!$F133="", "", AND('ProductSprint Backlog'!$J133&gt;G$2,'ProductSprint Backlog'!$I133&lt;=G$2), 'ProductSprint Backlog'!$F133 / MAX(1, 'ProductSprint Backlog'!$J133-'ProductSprint Backlog'!$I133), AND('ProductSprint Backlog'!$J133=G$2,'ProductSprint Backlog'!$I133=G$2), 'ProductSprint Backlog'!$F133, TRUE, 0)</f>
        <v>0.5</v>
      </c>
      <c r="H133" s="4" cm="1">
        <f t="array" ref="H133">_xlfn.IFS('ProductSprint Backlog'!$F133="", "", AND('ProductSprint Backlog'!$J133&gt;H$2,'ProductSprint Backlog'!$I133&lt;=H$2), 'ProductSprint Backlog'!$F133 / MAX(1, 'ProductSprint Backlog'!$J133-'ProductSprint Backlog'!$I133), AND('ProductSprint Backlog'!$J133=H$2,'ProductSprint Backlog'!$I133=H$2), 'ProductSprint Backlog'!$F133, TRUE, 0)</f>
        <v>0</v>
      </c>
      <c r="I133" s="4" cm="1">
        <f t="array" ref="I133">_xlfn.IFS('ProductSprint Backlog'!$F133="", "", AND('ProductSprint Backlog'!$J133&gt;I$2,'ProductSprint Backlog'!$I133&lt;=I$2), 'ProductSprint Backlog'!$F133 / MAX(1, 'ProductSprint Backlog'!$J133-'ProductSprint Backlog'!$I133), AND('ProductSprint Backlog'!$J133=I$2,'ProductSprint Backlog'!$I133=I$2), 'ProductSprint Backlog'!$F133, TRUE, 0)</f>
        <v>0</v>
      </c>
      <c r="J133" s="4" cm="1">
        <f t="array" ref="J133">_xlfn.IFS('ProductSprint Backlog'!$F133="", "", AND('ProductSprint Backlog'!$J133&gt;J$2,'ProductSprint Backlog'!$I133&lt;=J$2), 'ProductSprint Backlog'!$F133 / MAX(1, 'ProductSprint Backlog'!$J133-'ProductSprint Backlog'!$I133), AND('ProductSprint Backlog'!$J133=J$2,'ProductSprint Backlog'!$I133=J$2), 'ProductSprint Backlog'!$F133, TRUE, 0)</f>
        <v>0</v>
      </c>
      <c r="K133" s="4" cm="1">
        <f t="array" ref="K133">_xlfn.IFS('ProductSprint Backlog'!$F133="", "", AND('ProductSprint Backlog'!$J133&gt;K$2,'ProductSprint Backlog'!$I133&lt;=K$2), 'ProductSprint Backlog'!$F133 / MAX(1, 'ProductSprint Backlog'!$J133-'ProductSprint Backlog'!$I133), AND('ProductSprint Backlog'!$J133=K$2,'ProductSprint Backlog'!$I133=K$2), 'ProductSprint Backlog'!$F133, TRUE, 0)</f>
        <v>0</v>
      </c>
      <c r="L133" s="4" cm="1">
        <f t="array" ref="L133">_xlfn.IFS('ProductSprint Backlog'!$F133="", "", AND('ProductSprint Backlog'!$J133&gt;L$2,'ProductSprint Backlog'!$I133&lt;=L$2), 'ProductSprint Backlog'!$F133 / MAX(1, 'ProductSprint Backlog'!$J133-'ProductSprint Backlog'!$I133), AND('ProductSprint Backlog'!$J133=L$2,'ProductSprint Backlog'!$I133=L$2), 'ProductSprint Backlog'!$F133, TRUE, 0)</f>
        <v>0</v>
      </c>
      <c r="M133" s="4" cm="1">
        <f t="array" ref="M133">_xlfn.IFS('ProductSprint Backlog'!$F133="", "", AND('ProductSprint Backlog'!$J133&gt;M$2,'ProductSprint Backlog'!$I133&lt;=M$2), 'ProductSprint Backlog'!$F133 / MAX(1, 'ProductSprint Backlog'!$J133-'ProductSprint Backlog'!$I133), AND('ProductSprint Backlog'!$J133=M$2,'ProductSprint Backlog'!$I133=M$2), 'ProductSprint Backlog'!$F133, TRUE, 0)</f>
        <v>0</v>
      </c>
      <c r="N133" s="4" cm="1">
        <f t="array" ref="N133">_xlfn.IFS('ProductSprint Backlog'!$F133="", "", AND('ProductSprint Backlog'!$J133&gt;N$2,'ProductSprint Backlog'!$I133&lt;=N$2), 'ProductSprint Backlog'!$F133 / MAX(1, 'ProductSprint Backlog'!$J133-'ProductSprint Backlog'!$I133), AND('ProductSprint Backlog'!$J133=N$2,'ProductSprint Backlog'!$I133=N$2), 'ProductSprint Backlog'!$F133, TRUE, 0)</f>
        <v>0</v>
      </c>
      <c r="O133" s="4" cm="1">
        <f t="array" ref="O133">_xlfn.IFS('ProductSprint Backlog'!$F133="", "", AND('ProductSprint Backlog'!$J133&gt;O$2,'ProductSprint Backlog'!$I133&lt;=O$2), 'ProductSprint Backlog'!$F133 / MAX(1, 'ProductSprint Backlog'!$J133-'ProductSprint Backlog'!$I133), AND('ProductSprint Backlog'!$J133=O$2,'ProductSprint Backlog'!$I133=O$2), 'ProductSprint Backlog'!$F133, TRUE, 0)</f>
        <v>0</v>
      </c>
      <c r="P133" s="4" cm="1">
        <f t="array" ref="P133">_xlfn.IFS('ProductSprint Backlog'!$F133="", "", AND('ProductSprint Backlog'!$J133&gt;P$2,'ProductSprint Backlog'!$I133&lt;=P$2), 'ProductSprint Backlog'!$F133 / MAX(1, 'ProductSprint Backlog'!$J133-'ProductSprint Backlog'!$I133), AND('ProductSprint Backlog'!$J133=P$2,'ProductSprint Backlog'!$I133=P$2), 'ProductSprint Backlog'!$F133, TRUE, 0)</f>
        <v>0</v>
      </c>
      <c r="Q133" s="4" cm="1">
        <f t="array" ref="Q133">_xlfn.IFS('ProductSprint Backlog'!$F133="", "", AND('ProductSprint Backlog'!$J133&gt;Q$2,'ProductSprint Backlog'!$I133&lt;=Q$2), 'ProductSprint Backlog'!$F133 / MAX(1, 'ProductSprint Backlog'!$J133-'ProductSprint Backlog'!$I133), AND('ProductSprint Backlog'!$J133=Q$2,'ProductSprint Backlog'!$I133=Q$2), 'ProductSprint Backlog'!$F133, TRUE, 0)</f>
        <v>0</v>
      </c>
      <c r="R133" s="4" cm="1">
        <f t="array" ref="R133">_xlfn.IFS('ProductSprint Backlog'!$F133="", "", AND('ProductSprint Backlog'!$J133&gt;R$2,'ProductSprint Backlog'!$I133&lt;=R$2), 'ProductSprint Backlog'!$F133 / MAX(1, 'ProductSprint Backlog'!$J133-'ProductSprint Backlog'!$I133), AND('ProductSprint Backlog'!$J133=R$2,'ProductSprint Backlog'!$I133=R$2), 'ProductSprint Backlog'!$F133, TRUE, 0)</f>
        <v>0</v>
      </c>
      <c r="S133" s="4" cm="1">
        <f t="array" ref="S133">_xlfn.IFS('ProductSprint Backlog'!$F133="", "", AND('ProductSprint Backlog'!$J133&gt;S$2,'ProductSprint Backlog'!$I133&lt;=S$2), 'ProductSprint Backlog'!$F133 / MAX(1, 'ProductSprint Backlog'!$J133-'ProductSprint Backlog'!$I133), AND('ProductSprint Backlog'!$J133=S$2,'ProductSprint Backlog'!$I133=S$2), 'ProductSprint Backlog'!$F133, TRUE, 0)</f>
        <v>0</v>
      </c>
      <c r="T133" s="4" cm="1">
        <f t="array" ref="T133">_xlfn.IFS('ProductSprint Backlog'!$F133="", "", AND('ProductSprint Backlog'!$J133&gt;T$2,'ProductSprint Backlog'!$I133&lt;=T$2), 'ProductSprint Backlog'!$F133 / MAX(1, 'ProductSprint Backlog'!$J133-'ProductSprint Backlog'!$I133), AND('ProductSprint Backlog'!$J133=T$2,'ProductSprint Backlog'!$I133=T$2), 'ProductSprint Backlog'!$F133, TRUE, 0)</f>
        <v>0</v>
      </c>
    </row>
    <row r="134" spans="2:20" x14ac:dyDescent="0.2">
      <c r="B134" s="4" cm="1">
        <f t="array" ref="B134">_xlfn.IFS('ProductSprint Backlog'!$F134="", "", AND('ProductSprint Backlog'!$J134&gt;B$2,'ProductSprint Backlog'!$I134&lt;=B$2), 'ProductSprint Backlog'!$F134 / MAX(1, 'ProductSprint Backlog'!$J134-'ProductSprint Backlog'!$I134), AND('ProductSprint Backlog'!$J134=B$2,'ProductSprint Backlog'!$I134=B$2), 'ProductSprint Backlog'!$F134, TRUE, 0)</f>
        <v>0</v>
      </c>
      <c r="C134" s="4" cm="1">
        <f t="array" ref="C134">_xlfn.IFS('ProductSprint Backlog'!$F134="", "", AND('ProductSprint Backlog'!$J134&gt;C$2,'ProductSprint Backlog'!$I134&lt;=C$2), 'ProductSprint Backlog'!$F134 / MAX(1, 'ProductSprint Backlog'!$J134-'ProductSprint Backlog'!$I134), AND('ProductSprint Backlog'!$J134=C$2,'ProductSprint Backlog'!$I134=C$2), 'ProductSprint Backlog'!$F134, TRUE, 0)</f>
        <v>0</v>
      </c>
      <c r="D134" s="4" cm="1">
        <f t="array" ref="D134">_xlfn.IFS('ProductSprint Backlog'!$F134="", "", AND('ProductSprint Backlog'!$J134&gt;D$2,'ProductSprint Backlog'!$I134&lt;=D$2), 'ProductSprint Backlog'!$F134 / MAX(1, 'ProductSprint Backlog'!$J134-'ProductSprint Backlog'!$I134), AND('ProductSprint Backlog'!$J134=D$2,'ProductSprint Backlog'!$I134=D$2), 'ProductSprint Backlog'!$F134, TRUE, 0)</f>
        <v>0</v>
      </c>
      <c r="E134" s="4" cm="1">
        <f t="array" ref="E134">_xlfn.IFS('ProductSprint Backlog'!$F134="", "", AND('ProductSprint Backlog'!$J134&gt;E$2,'ProductSprint Backlog'!$I134&lt;=E$2), 'ProductSprint Backlog'!$F134 / MAX(1, 'ProductSprint Backlog'!$J134-'ProductSprint Backlog'!$I134), AND('ProductSprint Backlog'!$J134=E$2,'ProductSprint Backlog'!$I134=E$2), 'ProductSprint Backlog'!$F134, TRUE, 0)</f>
        <v>0</v>
      </c>
      <c r="F134" s="4" cm="1">
        <f t="array" ref="F134">_xlfn.IFS('ProductSprint Backlog'!$F134="", "", AND('ProductSprint Backlog'!$J134&gt;F$2,'ProductSprint Backlog'!$I134&lt;=F$2), 'ProductSprint Backlog'!$F134 / MAX(1, 'ProductSprint Backlog'!$J134-'ProductSprint Backlog'!$I134), AND('ProductSprint Backlog'!$J134=F$2,'ProductSprint Backlog'!$I134=F$2), 'ProductSprint Backlog'!$F134, TRUE, 0)</f>
        <v>0.5</v>
      </c>
      <c r="G134" s="4" cm="1">
        <f t="array" ref="G134">_xlfn.IFS('ProductSprint Backlog'!$F134="", "", AND('ProductSprint Backlog'!$J134&gt;G$2,'ProductSprint Backlog'!$I134&lt;=G$2), 'ProductSprint Backlog'!$F134 / MAX(1, 'ProductSprint Backlog'!$J134-'ProductSprint Backlog'!$I134), AND('ProductSprint Backlog'!$J134=G$2,'ProductSprint Backlog'!$I134=G$2), 'ProductSprint Backlog'!$F134, TRUE, 0)</f>
        <v>0.5</v>
      </c>
      <c r="H134" s="4" cm="1">
        <f t="array" ref="H134">_xlfn.IFS('ProductSprint Backlog'!$F134="", "", AND('ProductSprint Backlog'!$J134&gt;H$2,'ProductSprint Backlog'!$I134&lt;=H$2), 'ProductSprint Backlog'!$F134 / MAX(1, 'ProductSprint Backlog'!$J134-'ProductSprint Backlog'!$I134), AND('ProductSprint Backlog'!$J134=H$2,'ProductSprint Backlog'!$I134=H$2), 'ProductSprint Backlog'!$F134, TRUE, 0)</f>
        <v>0</v>
      </c>
      <c r="I134" s="4" cm="1">
        <f t="array" ref="I134">_xlfn.IFS('ProductSprint Backlog'!$F134="", "", AND('ProductSprint Backlog'!$J134&gt;I$2,'ProductSprint Backlog'!$I134&lt;=I$2), 'ProductSprint Backlog'!$F134 / MAX(1, 'ProductSprint Backlog'!$J134-'ProductSprint Backlog'!$I134), AND('ProductSprint Backlog'!$J134=I$2,'ProductSprint Backlog'!$I134=I$2), 'ProductSprint Backlog'!$F134, TRUE, 0)</f>
        <v>0</v>
      </c>
      <c r="J134" s="4" cm="1">
        <f t="array" ref="J134">_xlfn.IFS('ProductSprint Backlog'!$F134="", "", AND('ProductSprint Backlog'!$J134&gt;J$2,'ProductSprint Backlog'!$I134&lt;=J$2), 'ProductSprint Backlog'!$F134 / MAX(1, 'ProductSprint Backlog'!$J134-'ProductSprint Backlog'!$I134), AND('ProductSprint Backlog'!$J134=J$2,'ProductSprint Backlog'!$I134=J$2), 'ProductSprint Backlog'!$F134, TRUE, 0)</f>
        <v>0</v>
      </c>
      <c r="K134" s="4" cm="1">
        <f t="array" ref="K134">_xlfn.IFS('ProductSprint Backlog'!$F134="", "", AND('ProductSprint Backlog'!$J134&gt;K$2,'ProductSprint Backlog'!$I134&lt;=K$2), 'ProductSprint Backlog'!$F134 / MAX(1, 'ProductSprint Backlog'!$J134-'ProductSprint Backlog'!$I134), AND('ProductSprint Backlog'!$J134=K$2,'ProductSprint Backlog'!$I134=K$2), 'ProductSprint Backlog'!$F134, TRUE, 0)</f>
        <v>0</v>
      </c>
      <c r="L134" s="4" cm="1">
        <f t="array" ref="L134">_xlfn.IFS('ProductSprint Backlog'!$F134="", "", AND('ProductSprint Backlog'!$J134&gt;L$2,'ProductSprint Backlog'!$I134&lt;=L$2), 'ProductSprint Backlog'!$F134 / MAX(1, 'ProductSprint Backlog'!$J134-'ProductSprint Backlog'!$I134), AND('ProductSprint Backlog'!$J134=L$2,'ProductSprint Backlog'!$I134=L$2), 'ProductSprint Backlog'!$F134, TRUE, 0)</f>
        <v>0</v>
      </c>
      <c r="M134" s="4" cm="1">
        <f t="array" ref="M134">_xlfn.IFS('ProductSprint Backlog'!$F134="", "", AND('ProductSprint Backlog'!$J134&gt;M$2,'ProductSprint Backlog'!$I134&lt;=M$2), 'ProductSprint Backlog'!$F134 / MAX(1, 'ProductSprint Backlog'!$J134-'ProductSprint Backlog'!$I134), AND('ProductSprint Backlog'!$J134=M$2,'ProductSprint Backlog'!$I134=M$2), 'ProductSprint Backlog'!$F134, TRUE, 0)</f>
        <v>0</v>
      </c>
      <c r="N134" s="4" cm="1">
        <f t="array" ref="N134">_xlfn.IFS('ProductSprint Backlog'!$F134="", "", AND('ProductSprint Backlog'!$J134&gt;N$2,'ProductSprint Backlog'!$I134&lt;=N$2), 'ProductSprint Backlog'!$F134 / MAX(1, 'ProductSprint Backlog'!$J134-'ProductSprint Backlog'!$I134), AND('ProductSprint Backlog'!$J134=N$2,'ProductSprint Backlog'!$I134=N$2), 'ProductSprint Backlog'!$F134, TRUE, 0)</f>
        <v>0</v>
      </c>
      <c r="O134" s="4" cm="1">
        <f t="array" ref="O134">_xlfn.IFS('ProductSprint Backlog'!$F134="", "", AND('ProductSprint Backlog'!$J134&gt;O$2,'ProductSprint Backlog'!$I134&lt;=O$2), 'ProductSprint Backlog'!$F134 / MAX(1, 'ProductSprint Backlog'!$J134-'ProductSprint Backlog'!$I134), AND('ProductSprint Backlog'!$J134=O$2,'ProductSprint Backlog'!$I134=O$2), 'ProductSprint Backlog'!$F134, TRUE, 0)</f>
        <v>0</v>
      </c>
      <c r="P134" s="4" cm="1">
        <f t="array" ref="P134">_xlfn.IFS('ProductSprint Backlog'!$F134="", "", AND('ProductSprint Backlog'!$J134&gt;P$2,'ProductSprint Backlog'!$I134&lt;=P$2), 'ProductSprint Backlog'!$F134 / MAX(1, 'ProductSprint Backlog'!$J134-'ProductSprint Backlog'!$I134), AND('ProductSprint Backlog'!$J134=P$2,'ProductSprint Backlog'!$I134=P$2), 'ProductSprint Backlog'!$F134, TRUE, 0)</f>
        <v>0</v>
      </c>
      <c r="Q134" s="4" cm="1">
        <f t="array" ref="Q134">_xlfn.IFS('ProductSprint Backlog'!$F134="", "", AND('ProductSprint Backlog'!$J134&gt;Q$2,'ProductSprint Backlog'!$I134&lt;=Q$2), 'ProductSprint Backlog'!$F134 / MAX(1, 'ProductSprint Backlog'!$J134-'ProductSprint Backlog'!$I134), AND('ProductSprint Backlog'!$J134=Q$2,'ProductSprint Backlog'!$I134=Q$2), 'ProductSprint Backlog'!$F134, TRUE, 0)</f>
        <v>0</v>
      </c>
      <c r="R134" s="4" cm="1">
        <f t="array" ref="R134">_xlfn.IFS('ProductSprint Backlog'!$F134="", "", AND('ProductSprint Backlog'!$J134&gt;R$2,'ProductSprint Backlog'!$I134&lt;=R$2), 'ProductSprint Backlog'!$F134 / MAX(1, 'ProductSprint Backlog'!$J134-'ProductSprint Backlog'!$I134), AND('ProductSprint Backlog'!$J134=R$2,'ProductSprint Backlog'!$I134=R$2), 'ProductSprint Backlog'!$F134, TRUE, 0)</f>
        <v>0</v>
      </c>
      <c r="S134" s="4" cm="1">
        <f t="array" ref="S134">_xlfn.IFS('ProductSprint Backlog'!$F134="", "", AND('ProductSprint Backlog'!$J134&gt;S$2,'ProductSprint Backlog'!$I134&lt;=S$2), 'ProductSprint Backlog'!$F134 / MAX(1, 'ProductSprint Backlog'!$J134-'ProductSprint Backlog'!$I134), AND('ProductSprint Backlog'!$J134=S$2,'ProductSprint Backlog'!$I134=S$2), 'ProductSprint Backlog'!$F134, TRUE, 0)</f>
        <v>0</v>
      </c>
      <c r="T134" s="4" cm="1">
        <f t="array" ref="T134">_xlfn.IFS('ProductSprint Backlog'!$F134="", "", AND('ProductSprint Backlog'!$J134&gt;T$2,'ProductSprint Backlog'!$I134&lt;=T$2), 'ProductSprint Backlog'!$F134 / MAX(1, 'ProductSprint Backlog'!$J134-'ProductSprint Backlog'!$I134), AND('ProductSprint Backlog'!$J134=T$2,'ProductSprint Backlog'!$I134=T$2), 'ProductSprint Backlog'!$F134, TRUE, 0)</f>
        <v>0</v>
      </c>
    </row>
    <row r="135" spans="2:20" x14ac:dyDescent="0.2">
      <c r="B135" s="4" cm="1">
        <f t="array" ref="B135">_xlfn.IFS('ProductSprint Backlog'!$F135="", "", AND('ProductSprint Backlog'!$J135&gt;B$2,'ProductSprint Backlog'!$I135&lt;=B$2), 'ProductSprint Backlog'!$F135 / MAX(1, 'ProductSprint Backlog'!$J135-'ProductSprint Backlog'!$I135), AND('ProductSprint Backlog'!$J135=B$2,'ProductSprint Backlog'!$I135=B$2), 'ProductSprint Backlog'!$F135, TRUE, 0)</f>
        <v>0</v>
      </c>
      <c r="C135" s="4" cm="1">
        <f t="array" ref="C135">_xlfn.IFS('ProductSprint Backlog'!$F135="", "", AND('ProductSprint Backlog'!$J135&gt;C$2,'ProductSprint Backlog'!$I135&lt;=C$2), 'ProductSprint Backlog'!$F135 / MAX(1, 'ProductSprint Backlog'!$J135-'ProductSprint Backlog'!$I135), AND('ProductSprint Backlog'!$J135=C$2,'ProductSprint Backlog'!$I135=C$2), 'ProductSprint Backlog'!$F135, TRUE, 0)</f>
        <v>0</v>
      </c>
      <c r="D135" s="4" cm="1">
        <f t="array" ref="D135">_xlfn.IFS('ProductSprint Backlog'!$F135="", "", AND('ProductSprint Backlog'!$J135&gt;D$2,'ProductSprint Backlog'!$I135&lt;=D$2), 'ProductSprint Backlog'!$F135 / MAX(1, 'ProductSprint Backlog'!$J135-'ProductSprint Backlog'!$I135), AND('ProductSprint Backlog'!$J135=D$2,'ProductSprint Backlog'!$I135=D$2), 'ProductSprint Backlog'!$F135, TRUE, 0)</f>
        <v>0</v>
      </c>
      <c r="E135" s="4" cm="1">
        <f t="array" ref="E135">_xlfn.IFS('ProductSprint Backlog'!$F135="", "", AND('ProductSprint Backlog'!$J135&gt;E$2,'ProductSprint Backlog'!$I135&lt;=E$2), 'ProductSprint Backlog'!$F135 / MAX(1, 'ProductSprint Backlog'!$J135-'ProductSprint Backlog'!$I135), AND('ProductSprint Backlog'!$J135=E$2,'ProductSprint Backlog'!$I135=E$2), 'ProductSprint Backlog'!$F135, TRUE, 0)</f>
        <v>0</v>
      </c>
      <c r="F135" s="4" cm="1">
        <f t="array" ref="F135">_xlfn.IFS('ProductSprint Backlog'!$F135="", "", AND('ProductSprint Backlog'!$J135&gt;F$2,'ProductSprint Backlog'!$I135&lt;=F$2), 'ProductSprint Backlog'!$F135 / MAX(1, 'ProductSprint Backlog'!$J135-'ProductSprint Backlog'!$I135), AND('ProductSprint Backlog'!$J135=F$2,'ProductSprint Backlog'!$I135=F$2), 'ProductSprint Backlog'!$F135, TRUE, 0)</f>
        <v>0</v>
      </c>
      <c r="G135" s="4" cm="1">
        <f t="array" ref="G135">_xlfn.IFS('ProductSprint Backlog'!$F135="", "", AND('ProductSprint Backlog'!$J135&gt;G$2,'ProductSprint Backlog'!$I135&lt;=G$2), 'ProductSprint Backlog'!$F135 / MAX(1, 'ProductSprint Backlog'!$J135-'ProductSprint Backlog'!$I135), AND('ProductSprint Backlog'!$J135=G$2,'ProductSprint Backlog'!$I135=G$2), 'ProductSprint Backlog'!$F135, TRUE, 0)</f>
        <v>0</v>
      </c>
      <c r="H135" s="4" cm="1">
        <f t="array" ref="H135">_xlfn.IFS('ProductSprint Backlog'!$F135="", "", AND('ProductSprint Backlog'!$J135&gt;H$2,'ProductSprint Backlog'!$I135&lt;=H$2), 'ProductSprint Backlog'!$F135 / MAX(1, 'ProductSprint Backlog'!$J135-'ProductSprint Backlog'!$I135), AND('ProductSprint Backlog'!$J135=H$2,'ProductSprint Backlog'!$I135=H$2), 'ProductSprint Backlog'!$F135, TRUE, 0)</f>
        <v>0</v>
      </c>
      <c r="I135" s="4" cm="1">
        <f t="array" ref="I135">_xlfn.IFS('ProductSprint Backlog'!$F135="", "", AND('ProductSprint Backlog'!$J135&gt;I$2,'ProductSprint Backlog'!$I135&lt;=I$2), 'ProductSprint Backlog'!$F135 / MAX(1, 'ProductSprint Backlog'!$J135-'ProductSprint Backlog'!$I135), AND('ProductSprint Backlog'!$J135=I$2,'ProductSprint Backlog'!$I135=I$2), 'ProductSprint Backlog'!$F135, TRUE, 0)</f>
        <v>0.5</v>
      </c>
      <c r="J135" s="4" cm="1">
        <f t="array" ref="J135">_xlfn.IFS('ProductSprint Backlog'!$F135="", "", AND('ProductSprint Backlog'!$J135&gt;J$2,'ProductSprint Backlog'!$I135&lt;=J$2), 'ProductSprint Backlog'!$F135 / MAX(1, 'ProductSprint Backlog'!$J135-'ProductSprint Backlog'!$I135), AND('ProductSprint Backlog'!$J135=J$2,'ProductSprint Backlog'!$I135=J$2), 'ProductSprint Backlog'!$F135, TRUE, 0)</f>
        <v>0.5</v>
      </c>
      <c r="K135" s="4" cm="1">
        <f t="array" ref="K135">_xlfn.IFS('ProductSprint Backlog'!$F135="", "", AND('ProductSprint Backlog'!$J135&gt;K$2,'ProductSprint Backlog'!$I135&lt;=K$2), 'ProductSprint Backlog'!$F135 / MAX(1, 'ProductSprint Backlog'!$J135-'ProductSprint Backlog'!$I135), AND('ProductSprint Backlog'!$J135=K$2,'ProductSprint Backlog'!$I135=K$2), 'ProductSprint Backlog'!$F135, TRUE, 0)</f>
        <v>0</v>
      </c>
      <c r="L135" s="4" cm="1">
        <f t="array" ref="L135">_xlfn.IFS('ProductSprint Backlog'!$F135="", "", AND('ProductSprint Backlog'!$J135&gt;L$2,'ProductSprint Backlog'!$I135&lt;=L$2), 'ProductSprint Backlog'!$F135 / MAX(1, 'ProductSprint Backlog'!$J135-'ProductSprint Backlog'!$I135), AND('ProductSprint Backlog'!$J135=L$2,'ProductSprint Backlog'!$I135=L$2), 'ProductSprint Backlog'!$F135, TRUE, 0)</f>
        <v>0</v>
      </c>
      <c r="M135" s="4" cm="1">
        <f t="array" ref="M135">_xlfn.IFS('ProductSprint Backlog'!$F135="", "", AND('ProductSprint Backlog'!$J135&gt;M$2,'ProductSprint Backlog'!$I135&lt;=M$2), 'ProductSprint Backlog'!$F135 / MAX(1, 'ProductSprint Backlog'!$J135-'ProductSprint Backlog'!$I135), AND('ProductSprint Backlog'!$J135=M$2,'ProductSprint Backlog'!$I135=M$2), 'ProductSprint Backlog'!$F135, TRUE, 0)</f>
        <v>0</v>
      </c>
      <c r="N135" s="4" cm="1">
        <f t="array" ref="N135">_xlfn.IFS('ProductSprint Backlog'!$F135="", "", AND('ProductSprint Backlog'!$J135&gt;N$2,'ProductSprint Backlog'!$I135&lt;=N$2), 'ProductSprint Backlog'!$F135 / MAX(1, 'ProductSprint Backlog'!$J135-'ProductSprint Backlog'!$I135), AND('ProductSprint Backlog'!$J135=N$2,'ProductSprint Backlog'!$I135=N$2), 'ProductSprint Backlog'!$F135, TRUE, 0)</f>
        <v>0</v>
      </c>
      <c r="O135" s="4" cm="1">
        <f t="array" ref="O135">_xlfn.IFS('ProductSprint Backlog'!$F135="", "", AND('ProductSprint Backlog'!$J135&gt;O$2,'ProductSprint Backlog'!$I135&lt;=O$2), 'ProductSprint Backlog'!$F135 / MAX(1, 'ProductSprint Backlog'!$J135-'ProductSprint Backlog'!$I135), AND('ProductSprint Backlog'!$J135=O$2,'ProductSprint Backlog'!$I135=O$2), 'ProductSprint Backlog'!$F135, TRUE, 0)</f>
        <v>0</v>
      </c>
      <c r="P135" s="4" cm="1">
        <f t="array" ref="P135">_xlfn.IFS('ProductSprint Backlog'!$F135="", "", AND('ProductSprint Backlog'!$J135&gt;P$2,'ProductSprint Backlog'!$I135&lt;=P$2), 'ProductSprint Backlog'!$F135 / MAX(1, 'ProductSprint Backlog'!$J135-'ProductSprint Backlog'!$I135), AND('ProductSprint Backlog'!$J135=P$2,'ProductSprint Backlog'!$I135=P$2), 'ProductSprint Backlog'!$F135, TRUE, 0)</f>
        <v>0</v>
      </c>
      <c r="Q135" s="4" cm="1">
        <f t="array" ref="Q135">_xlfn.IFS('ProductSprint Backlog'!$F135="", "", AND('ProductSprint Backlog'!$J135&gt;Q$2,'ProductSprint Backlog'!$I135&lt;=Q$2), 'ProductSprint Backlog'!$F135 / MAX(1, 'ProductSprint Backlog'!$J135-'ProductSprint Backlog'!$I135), AND('ProductSprint Backlog'!$J135=Q$2,'ProductSprint Backlog'!$I135=Q$2), 'ProductSprint Backlog'!$F135, TRUE, 0)</f>
        <v>0</v>
      </c>
      <c r="R135" s="4" cm="1">
        <f t="array" ref="R135">_xlfn.IFS('ProductSprint Backlog'!$F135="", "", AND('ProductSprint Backlog'!$J135&gt;R$2,'ProductSprint Backlog'!$I135&lt;=R$2), 'ProductSprint Backlog'!$F135 / MAX(1, 'ProductSprint Backlog'!$J135-'ProductSprint Backlog'!$I135), AND('ProductSprint Backlog'!$J135=R$2,'ProductSprint Backlog'!$I135=R$2), 'ProductSprint Backlog'!$F135, TRUE, 0)</f>
        <v>0</v>
      </c>
      <c r="S135" s="4" cm="1">
        <f t="array" ref="S135">_xlfn.IFS('ProductSprint Backlog'!$F135="", "", AND('ProductSprint Backlog'!$J135&gt;S$2,'ProductSprint Backlog'!$I135&lt;=S$2), 'ProductSprint Backlog'!$F135 / MAX(1, 'ProductSprint Backlog'!$J135-'ProductSprint Backlog'!$I135), AND('ProductSprint Backlog'!$J135=S$2,'ProductSprint Backlog'!$I135=S$2), 'ProductSprint Backlog'!$F135, TRUE, 0)</f>
        <v>0</v>
      </c>
      <c r="T135" s="4" cm="1">
        <f t="array" ref="T135">_xlfn.IFS('ProductSprint Backlog'!$F135="", "", AND('ProductSprint Backlog'!$J135&gt;T$2,'ProductSprint Backlog'!$I135&lt;=T$2), 'ProductSprint Backlog'!$F135 / MAX(1, 'ProductSprint Backlog'!$J135-'ProductSprint Backlog'!$I135), AND('ProductSprint Backlog'!$J135=T$2,'ProductSprint Backlog'!$I135=T$2), 'ProductSprint Backlog'!$F135, TRUE, 0)</f>
        <v>0</v>
      </c>
    </row>
    <row r="136" spans="2:20" x14ac:dyDescent="0.2">
      <c r="B136" s="4" cm="1">
        <f t="array" ref="B136">_xlfn.IFS('ProductSprint Backlog'!$F136="", "", AND('ProductSprint Backlog'!$J136&gt;B$2,'ProductSprint Backlog'!$I136&lt;=B$2), 'ProductSprint Backlog'!$F136 / MAX(1, 'ProductSprint Backlog'!$J136-'ProductSprint Backlog'!$I136), AND('ProductSprint Backlog'!$J136=B$2,'ProductSprint Backlog'!$I136=B$2), 'ProductSprint Backlog'!$F136, TRUE, 0)</f>
        <v>0</v>
      </c>
      <c r="C136" s="4" cm="1">
        <f t="array" ref="C136">_xlfn.IFS('ProductSprint Backlog'!$F136="", "", AND('ProductSprint Backlog'!$J136&gt;C$2,'ProductSprint Backlog'!$I136&lt;=C$2), 'ProductSprint Backlog'!$F136 / MAX(1, 'ProductSprint Backlog'!$J136-'ProductSprint Backlog'!$I136), AND('ProductSprint Backlog'!$J136=C$2,'ProductSprint Backlog'!$I136=C$2), 'ProductSprint Backlog'!$F136, TRUE, 0)</f>
        <v>0</v>
      </c>
      <c r="D136" s="4" cm="1">
        <f t="array" ref="D136">_xlfn.IFS('ProductSprint Backlog'!$F136="", "", AND('ProductSprint Backlog'!$J136&gt;D$2,'ProductSprint Backlog'!$I136&lt;=D$2), 'ProductSprint Backlog'!$F136 / MAX(1, 'ProductSprint Backlog'!$J136-'ProductSprint Backlog'!$I136), AND('ProductSprint Backlog'!$J136=D$2,'ProductSprint Backlog'!$I136=D$2), 'ProductSprint Backlog'!$F136, TRUE, 0)</f>
        <v>0</v>
      </c>
      <c r="E136" s="4" cm="1">
        <f t="array" ref="E136">_xlfn.IFS('ProductSprint Backlog'!$F136="", "", AND('ProductSprint Backlog'!$J136&gt;E$2,'ProductSprint Backlog'!$I136&lt;=E$2), 'ProductSprint Backlog'!$F136 / MAX(1, 'ProductSprint Backlog'!$J136-'ProductSprint Backlog'!$I136), AND('ProductSprint Backlog'!$J136=E$2,'ProductSprint Backlog'!$I136=E$2), 'ProductSprint Backlog'!$F136, TRUE, 0)</f>
        <v>0</v>
      </c>
      <c r="F136" s="4" cm="1">
        <f t="array" ref="F136">_xlfn.IFS('ProductSprint Backlog'!$F136="", "", AND('ProductSprint Backlog'!$J136&gt;F$2,'ProductSprint Backlog'!$I136&lt;=F$2), 'ProductSprint Backlog'!$F136 / MAX(1, 'ProductSprint Backlog'!$J136-'ProductSprint Backlog'!$I136), AND('ProductSprint Backlog'!$J136=F$2,'ProductSprint Backlog'!$I136=F$2), 'ProductSprint Backlog'!$F136, TRUE, 0)</f>
        <v>0</v>
      </c>
      <c r="G136" s="4" cm="1">
        <f t="array" ref="G136">_xlfn.IFS('ProductSprint Backlog'!$F136="", "", AND('ProductSprint Backlog'!$J136&gt;G$2,'ProductSprint Backlog'!$I136&lt;=G$2), 'ProductSprint Backlog'!$F136 / MAX(1, 'ProductSprint Backlog'!$J136-'ProductSprint Backlog'!$I136), AND('ProductSprint Backlog'!$J136=G$2,'ProductSprint Backlog'!$I136=G$2), 'ProductSprint Backlog'!$F136, TRUE, 0)</f>
        <v>0</v>
      </c>
      <c r="H136" s="4" cm="1">
        <f t="array" ref="H136">_xlfn.IFS('ProductSprint Backlog'!$F136="", "", AND('ProductSprint Backlog'!$J136&gt;H$2,'ProductSprint Backlog'!$I136&lt;=H$2), 'ProductSprint Backlog'!$F136 / MAX(1, 'ProductSprint Backlog'!$J136-'ProductSprint Backlog'!$I136), AND('ProductSprint Backlog'!$J136=H$2,'ProductSprint Backlog'!$I136=H$2), 'ProductSprint Backlog'!$F136, TRUE, 0)</f>
        <v>0</v>
      </c>
      <c r="I136" s="4" cm="1">
        <f t="array" ref="I136">_xlfn.IFS('ProductSprint Backlog'!$F136="", "", AND('ProductSprint Backlog'!$J136&gt;I$2,'ProductSprint Backlog'!$I136&lt;=I$2), 'ProductSprint Backlog'!$F136 / MAX(1, 'ProductSprint Backlog'!$J136-'ProductSprint Backlog'!$I136), AND('ProductSprint Backlog'!$J136=I$2,'ProductSprint Backlog'!$I136=I$2), 'ProductSprint Backlog'!$F136, TRUE, 0)</f>
        <v>0.5</v>
      </c>
      <c r="J136" s="4" cm="1">
        <f t="array" ref="J136">_xlfn.IFS('ProductSprint Backlog'!$F136="", "", AND('ProductSprint Backlog'!$J136&gt;J$2,'ProductSprint Backlog'!$I136&lt;=J$2), 'ProductSprint Backlog'!$F136 / MAX(1, 'ProductSprint Backlog'!$J136-'ProductSprint Backlog'!$I136), AND('ProductSprint Backlog'!$J136=J$2,'ProductSprint Backlog'!$I136=J$2), 'ProductSprint Backlog'!$F136, TRUE, 0)</f>
        <v>0.5</v>
      </c>
      <c r="K136" s="4" cm="1">
        <f t="array" ref="K136">_xlfn.IFS('ProductSprint Backlog'!$F136="", "", AND('ProductSprint Backlog'!$J136&gt;K$2,'ProductSprint Backlog'!$I136&lt;=K$2), 'ProductSprint Backlog'!$F136 / MAX(1, 'ProductSprint Backlog'!$J136-'ProductSprint Backlog'!$I136), AND('ProductSprint Backlog'!$J136=K$2,'ProductSprint Backlog'!$I136=K$2), 'ProductSprint Backlog'!$F136, TRUE, 0)</f>
        <v>0</v>
      </c>
      <c r="L136" s="4" cm="1">
        <f t="array" ref="L136">_xlfn.IFS('ProductSprint Backlog'!$F136="", "", AND('ProductSprint Backlog'!$J136&gt;L$2,'ProductSprint Backlog'!$I136&lt;=L$2), 'ProductSprint Backlog'!$F136 / MAX(1, 'ProductSprint Backlog'!$J136-'ProductSprint Backlog'!$I136), AND('ProductSprint Backlog'!$J136=L$2,'ProductSprint Backlog'!$I136=L$2), 'ProductSprint Backlog'!$F136, TRUE, 0)</f>
        <v>0</v>
      </c>
      <c r="M136" s="4" cm="1">
        <f t="array" ref="M136">_xlfn.IFS('ProductSprint Backlog'!$F136="", "", AND('ProductSprint Backlog'!$J136&gt;M$2,'ProductSprint Backlog'!$I136&lt;=M$2), 'ProductSprint Backlog'!$F136 / MAX(1, 'ProductSprint Backlog'!$J136-'ProductSprint Backlog'!$I136), AND('ProductSprint Backlog'!$J136=M$2,'ProductSprint Backlog'!$I136=M$2), 'ProductSprint Backlog'!$F136, TRUE, 0)</f>
        <v>0</v>
      </c>
      <c r="N136" s="4" cm="1">
        <f t="array" ref="N136">_xlfn.IFS('ProductSprint Backlog'!$F136="", "", AND('ProductSprint Backlog'!$J136&gt;N$2,'ProductSprint Backlog'!$I136&lt;=N$2), 'ProductSprint Backlog'!$F136 / MAX(1, 'ProductSprint Backlog'!$J136-'ProductSprint Backlog'!$I136), AND('ProductSprint Backlog'!$J136=N$2,'ProductSprint Backlog'!$I136=N$2), 'ProductSprint Backlog'!$F136, TRUE, 0)</f>
        <v>0</v>
      </c>
      <c r="O136" s="4" cm="1">
        <f t="array" ref="O136">_xlfn.IFS('ProductSprint Backlog'!$F136="", "", AND('ProductSprint Backlog'!$J136&gt;O$2,'ProductSprint Backlog'!$I136&lt;=O$2), 'ProductSprint Backlog'!$F136 / MAX(1, 'ProductSprint Backlog'!$J136-'ProductSprint Backlog'!$I136), AND('ProductSprint Backlog'!$J136=O$2,'ProductSprint Backlog'!$I136=O$2), 'ProductSprint Backlog'!$F136, TRUE, 0)</f>
        <v>0</v>
      </c>
      <c r="P136" s="4" cm="1">
        <f t="array" ref="P136">_xlfn.IFS('ProductSprint Backlog'!$F136="", "", AND('ProductSprint Backlog'!$J136&gt;P$2,'ProductSprint Backlog'!$I136&lt;=P$2), 'ProductSprint Backlog'!$F136 / MAX(1, 'ProductSprint Backlog'!$J136-'ProductSprint Backlog'!$I136), AND('ProductSprint Backlog'!$J136=P$2,'ProductSprint Backlog'!$I136=P$2), 'ProductSprint Backlog'!$F136, TRUE, 0)</f>
        <v>0</v>
      </c>
      <c r="Q136" s="4" cm="1">
        <f t="array" ref="Q136">_xlfn.IFS('ProductSprint Backlog'!$F136="", "", AND('ProductSprint Backlog'!$J136&gt;Q$2,'ProductSprint Backlog'!$I136&lt;=Q$2), 'ProductSprint Backlog'!$F136 / MAX(1, 'ProductSprint Backlog'!$J136-'ProductSprint Backlog'!$I136), AND('ProductSprint Backlog'!$J136=Q$2,'ProductSprint Backlog'!$I136=Q$2), 'ProductSprint Backlog'!$F136, TRUE, 0)</f>
        <v>0</v>
      </c>
      <c r="R136" s="4" cm="1">
        <f t="array" ref="R136">_xlfn.IFS('ProductSprint Backlog'!$F136="", "", AND('ProductSprint Backlog'!$J136&gt;R$2,'ProductSprint Backlog'!$I136&lt;=R$2), 'ProductSprint Backlog'!$F136 / MAX(1, 'ProductSprint Backlog'!$J136-'ProductSprint Backlog'!$I136), AND('ProductSprint Backlog'!$J136=R$2,'ProductSprint Backlog'!$I136=R$2), 'ProductSprint Backlog'!$F136, TRUE, 0)</f>
        <v>0</v>
      </c>
      <c r="S136" s="4" cm="1">
        <f t="array" ref="S136">_xlfn.IFS('ProductSprint Backlog'!$F136="", "", AND('ProductSprint Backlog'!$J136&gt;S$2,'ProductSprint Backlog'!$I136&lt;=S$2), 'ProductSprint Backlog'!$F136 / MAX(1, 'ProductSprint Backlog'!$J136-'ProductSprint Backlog'!$I136), AND('ProductSprint Backlog'!$J136=S$2,'ProductSprint Backlog'!$I136=S$2), 'ProductSprint Backlog'!$F136, TRUE, 0)</f>
        <v>0</v>
      </c>
      <c r="T136" s="4" cm="1">
        <f t="array" ref="T136">_xlfn.IFS('ProductSprint Backlog'!$F136="", "", AND('ProductSprint Backlog'!$J136&gt;T$2,'ProductSprint Backlog'!$I136&lt;=T$2), 'ProductSprint Backlog'!$F136 / MAX(1, 'ProductSprint Backlog'!$J136-'ProductSprint Backlog'!$I136), AND('ProductSprint Backlog'!$J136=T$2,'ProductSprint Backlog'!$I136=T$2), 'ProductSprint Backlog'!$F136, TRUE, 0)</f>
        <v>0</v>
      </c>
    </row>
    <row r="137" spans="2:20" x14ac:dyDescent="0.2">
      <c r="B137" s="4" cm="1">
        <f t="array" ref="B137">_xlfn.IFS('ProductSprint Backlog'!$F137="", "", AND('ProductSprint Backlog'!$J137&gt;B$2,'ProductSprint Backlog'!$I137&lt;=B$2), 'ProductSprint Backlog'!$F137 / MAX(1, 'ProductSprint Backlog'!$J137-'ProductSprint Backlog'!$I137), AND('ProductSprint Backlog'!$J137=B$2,'ProductSprint Backlog'!$I137=B$2), 'ProductSprint Backlog'!$F137, TRUE, 0)</f>
        <v>0</v>
      </c>
      <c r="C137" s="4" cm="1">
        <f t="array" ref="C137">_xlfn.IFS('ProductSprint Backlog'!$F137="", "", AND('ProductSprint Backlog'!$J137&gt;C$2,'ProductSprint Backlog'!$I137&lt;=C$2), 'ProductSprint Backlog'!$F137 / MAX(1, 'ProductSprint Backlog'!$J137-'ProductSprint Backlog'!$I137), AND('ProductSprint Backlog'!$J137=C$2,'ProductSprint Backlog'!$I137=C$2), 'ProductSprint Backlog'!$F137, TRUE, 0)</f>
        <v>0</v>
      </c>
      <c r="D137" s="4" cm="1">
        <f t="array" ref="D137">_xlfn.IFS('ProductSprint Backlog'!$F137="", "", AND('ProductSprint Backlog'!$J137&gt;D$2,'ProductSprint Backlog'!$I137&lt;=D$2), 'ProductSprint Backlog'!$F137 / MAX(1, 'ProductSprint Backlog'!$J137-'ProductSprint Backlog'!$I137), AND('ProductSprint Backlog'!$J137=D$2,'ProductSprint Backlog'!$I137=D$2), 'ProductSprint Backlog'!$F137, TRUE, 0)</f>
        <v>0</v>
      </c>
      <c r="E137" s="4" cm="1">
        <f t="array" ref="E137">_xlfn.IFS('ProductSprint Backlog'!$F137="", "", AND('ProductSprint Backlog'!$J137&gt;E$2,'ProductSprint Backlog'!$I137&lt;=E$2), 'ProductSprint Backlog'!$F137 / MAX(1, 'ProductSprint Backlog'!$J137-'ProductSprint Backlog'!$I137), AND('ProductSprint Backlog'!$J137=E$2,'ProductSprint Backlog'!$I137=E$2), 'ProductSprint Backlog'!$F137, TRUE, 0)</f>
        <v>0</v>
      </c>
      <c r="F137" s="4" cm="1">
        <f t="array" ref="F137">_xlfn.IFS('ProductSprint Backlog'!$F137="", "", AND('ProductSprint Backlog'!$J137&gt;F$2,'ProductSprint Backlog'!$I137&lt;=F$2), 'ProductSprint Backlog'!$F137 / MAX(1, 'ProductSprint Backlog'!$J137-'ProductSprint Backlog'!$I137), AND('ProductSprint Backlog'!$J137=F$2,'ProductSprint Backlog'!$I137=F$2), 'ProductSprint Backlog'!$F137, TRUE, 0)</f>
        <v>0</v>
      </c>
      <c r="G137" s="4" cm="1">
        <f t="array" ref="G137">_xlfn.IFS('ProductSprint Backlog'!$F137="", "", AND('ProductSprint Backlog'!$J137&gt;G$2,'ProductSprint Backlog'!$I137&lt;=G$2), 'ProductSprint Backlog'!$F137 / MAX(1, 'ProductSprint Backlog'!$J137-'ProductSprint Backlog'!$I137), AND('ProductSprint Backlog'!$J137=G$2,'ProductSprint Backlog'!$I137=G$2), 'ProductSprint Backlog'!$F137, TRUE, 0)</f>
        <v>0</v>
      </c>
      <c r="H137" s="4" cm="1">
        <f t="array" ref="H137">_xlfn.IFS('ProductSprint Backlog'!$F137="", "", AND('ProductSprint Backlog'!$J137&gt;H$2,'ProductSprint Backlog'!$I137&lt;=H$2), 'ProductSprint Backlog'!$F137 / MAX(1, 'ProductSprint Backlog'!$J137-'ProductSprint Backlog'!$I137), AND('ProductSprint Backlog'!$J137=H$2,'ProductSprint Backlog'!$I137=H$2), 'ProductSprint Backlog'!$F137, TRUE, 0)</f>
        <v>0</v>
      </c>
      <c r="I137" s="4" cm="1">
        <f t="array" ref="I137">_xlfn.IFS('ProductSprint Backlog'!$F137="", "", AND('ProductSprint Backlog'!$J137&gt;I$2,'ProductSprint Backlog'!$I137&lt;=I$2), 'ProductSprint Backlog'!$F137 / MAX(1, 'ProductSprint Backlog'!$J137-'ProductSprint Backlog'!$I137), AND('ProductSprint Backlog'!$J137=I$2,'ProductSprint Backlog'!$I137=I$2), 'ProductSprint Backlog'!$F137, TRUE, 0)</f>
        <v>0.5</v>
      </c>
      <c r="J137" s="4" cm="1">
        <f t="array" ref="J137">_xlfn.IFS('ProductSprint Backlog'!$F137="", "", AND('ProductSprint Backlog'!$J137&gt;J$2,'ProductSprint Backlog'!$I137&lt;=J$2), 'ProductSprint Backlog'!$F137 / MAX(1, 'ProductSprint Backlog'!$J137-'ProductSprint Backlog'!$I137), AND('ProductSprint Backlog'!$J137=J$2,'ProductSprint Backlog'!$I137=J$2), 'ProductSprint Backlog'!$F137, TRUE, 0)</f>
        <v>0.5</v>
      </c>
      <c r="K137" s="4" cm="1">
        <f t="array" ref="K137">_xlfn.IFS('ProductSprint Backlog'!$F137="", "", AND('ProductSprint Backlog'!$J137&gt;K$2,'ProductSprint Backlog'!$I137&lt;=K$2), 'ProductSprint Backlog'!$F137 / MAX(1, 'ProductSprint Backlog'!$J137-'ProductSprint Backlog'!$I137), AND('ProductSprint Backlog'!$J137=K$2,'ProductSprint Backlog'!$I137=K$2), 'ProductSprint Backlog'!$F137, TRUE, 0)</f>
        <v>0</v>
      </c>
      <c r="L137" s="4" cm="1">
        <f t="array" ref="L137">_xlfn.IFS('ProductSprint Backlog'!$F137="", "", AND('ProductSprint Backlog'!$J137&gt;L$2,'ProductSprint Backlog'!$I137&lt;=L$2), 'ProductSprint Backlog'!$F137 / MAX(1, 'ProductSprint Backlog'!$J137-'ProductSprint Backlog'!$I137), AND('ProductSprint Backlog'!$J137=L$2,'ProductSprint Backlog'!$I137=L$2), 'ProductSprint Backlog'!$F137, TRUE, 0)</f>
        <v>0</v>
      </c>
      <c r="M137" s="4" cm="1">
        <f t="array" ref="M137">_xlfn.IFS('ProductSprint Backlog'!$F137="", "", AND('ProductSprint Backlog'!$J137&gt;M$2,'ProductSprint Backlog'!$I137&lt;=M$2), 'ProductSprint Backlog'!$F137 / MAX(1, 'ProductSprint Backlog'!$J137-'ProductSprint Backlog'!$I137), AND('ProductSprint Backlog'!$J137=M$2,'ProductSprint Backlog'!$I137=M$2), 'ProductSprint Backlog'!$F137, TRUE, 0)</f>
        <v>0</v>
      </c>
      <c r="N137" s="4" cm="1">
        <f t="array" ref="N137">_xlfn.IFS('ProductSprint Backlog'!$F137="", "", AND('ProductSprint Backlog'!$J137&gt;N$2,'ProductSprint Backlog'!$I137&lt;=N$2), 'ProductSprint Backlog'!$F137 / MAX(1, 'ProductSprint Backlog'!$J137-'ProductSprint Backlog'!$I137), AND('ProductSprint Backlog'!$J137=N$2,'ProductSprint Backlog'!$I137=N$2), 'ProductSprint Backlog'!$F137, TRUE, 0)</f>
        <v>0</v>
      </c>
      <c r="O137" s="4" cm="1">
        <f t="array" ref="O137">_xlfn.IFS('ProductSprint Backlog'!$F137="", "", AND('ProductSprint Backlog'!$J137&gt;O$2,'ProductSprint Backlog'!$I137&lt;=O$2), 'ProductSprint Backlog'!$F137 / MAX(1, 'ProductSprint Backlog'!$J137-'ProductSprint Backlog'!$I137), AND('ProductSprint Backlog'!$J137=O$2,'ProductSprint Backlog'!$I137=O$2), 'ProductSprint Backlog'!$F137, TRUE, 0)</f>
        <v>0</v>
      </c>
      <c r="P137" s="4" cm="1">
        <f t="array" ref="P137">_xlfn.IFS('ProductSprint Backlog'!$F137="", "", AND('ProductSprint Backlog'!$J137&gt;P$2,'ProductSprint Backlog'!$I137&lt;=P$2), 'ProductSprint Backlog'!$F137 / MAX(1, 'ProductSprint Backlog'!$J137-'ProductSprint Backlog'!$I137), AND('ProductSprint Backlog'!$J137=P$2,'ProductSprint Backlog'!$I137=P$2), 'ProductSprint Backlog'!$F137, TRUE, 0)</f>
        <v>0</v>
      </c>
      <c r="Q137" s="4" cm="1">
        <f t="array" ref="Q137">_xlfn.IFS('ProductSprint Backlog'!$F137="", "", AND('ProductSprint Backlog'!$J137&gt;Q$2,'ProductSprint Backlog'!$I137&lt;=Q$2), 'ProductSprint Backlog'!$F137 / MAX(1, 'ProductSprint Backlog'!$J137-'ProductSprint Backlog'!$I137), AND('ProductSprint Backlog'!$J137=Q$2,'ProductSprint Backlog'!$I137=Q$2), 'ProductSprint Backlog'!$F137, TRUE, 0)</f>
        <v>0</v>
      </c>
      <c r="R137" s="4" cm="1">
        <f t="array" ref="R137">_xlfn.IFS('ProductSprint Backlog'!$F137="", "", AND('ProductSprint Backlog'!$J137&gt;R$2,'ProductSprint Backlog'!$I137&lt;=R$2), 'ProductSprint Backlog'!$F137 / MAX(1, 'ProductSprint Backlog'!$J137-'ProductSprint Backlog'!$I137), AND('ProductSprint Backlog'!$J137=R$2,'ProductSprint Backlog'!$I137=R$2), 'ProductSprint Backlog'!$F137, TRUE, 0)</f>
        <v>0</v>
      </c>
      <c r="S137" s="4" cm="1">
        <f t="array" ref="S137">_xlfn.IFS('ProductSprint Backlog'!$F137="", "", AND('ProductSprint Backlog'!$J137&gt;S$2,'ProductSprint Backlog'!$I137&lt;=S$2), 'ProductSprint Backlog'!$F137 / MAX(1, 'ProductSprint Backlog'!$J137-'ProductSprint Backlog'!$I137), AND('ProductSprint Backlog'!$J137=S$2,'ProductSprint Backlog'!$I137=S$2), 'ProductSprint Backlog'!$F137, TRUE, 0)</f>
        <v>0</v>
      </c>
      <c r="T137" s="4" cm="1">
        <f t="array" ref="T137">_xlfn.IFS('ProductSprint Backlog'!$F137="", "", AND('ProductSprint Backlog'!$J137&gt;T$2,'ProductSprint Backlog'!$I137&lt;=T$2), 'ProductSprint Backlog'!$F137 / MAX(1, 'ProductSprint Backlog'!$J137-'ProductSprint Backlog'!$I137), AND('ProductSprint Backlog'!$J137=T$2,'ProductSprint Backlog'!$I137=T$2), 'ProductSprint Backlog'!$F137, TRUE, 0)</f>
        <v>0</v>
      </c>
    </row>
    <row r="138" spans="2:20" x14ac:dyDescent="0.2">
      <c r="B138" s="4" cm="1">
        <f t="array" ref="B138">_xlfn.IFS('ProductSprint Backlog'!$F138="", "", AND('ProductSprint Backlog'!$J138&gt;B$2,'ProductSprint Backlog'!$I138&lt;=B$2), 'ProductSprint Backlog'!$F138 / MAX(1, 'ProductSprint Backlog'!$J138-'ProductSprint Backlog'!$I138), AND('ProductSprint Backlog'!$J138=B$2,'ProductSprint Backlog'!$I138=B$2), 'ProductSprint Backlog'!$F138, TRUE, 0)</f>
        <v>0</v>
      </c>
      <c r="C138" s="4" cm="1">
        <f t="array" ref="C138">_xlfn.IFS('ProductSprint Backlog'!$F138="", "", AND('ProductSprint Backlog'!$J138&gt;C$2,'ProductSprint Backlog'!$I138&lt;=C$2), 'ProductSprint Backlog'!$F138 / MAX(1, 'ProductSprint Backlog'!$J138-'ProductSprint Backlog'!$I138), AND('ProductSprint Backlog'!$J138=C$2,'ProductSprint Backlog'!$I138=C$2), 'ProductSprint Backlog'!$F138, TRUE, 0)</f>
        <v>0</v>
      </c>
      <c r="D138" s="4" cm="1">
        <f t="array" ref="D138">_xlfn.IFS('ProductSprint Backlog'!$F138="", "", AND('ProductSprint Backlog'!$J138&gt;D$2,'ProductSprint Backlog'!$I138&lt;=D$2), 'ProductSprint Backlog'!$F138 / MAX(1, 'ProductSprint Backlog'!$J138-'ProductSprint Backlog'!$I138), AND('ProductSprint Backlog'!$J138=D$2,'ProductSprint Backlog'!$I138=D$2), 'ProductSprint Backlog'!$F138, TRUE, 0)</f>
        <v>0</v>
      </c>
      <c r="E138" s="4" cm="1">
        <f t="array" ref="E138">_xlfn.IFS('ProductSprint Backlog'!$F138="", "", AND('ProductSprint Backlog'!$J138&gt;E$2,'ProductSprint Backlog'!$I138&lt;=E$2), 'ProductSprint Backlog'!$F138 / MAX(1, 'ProductSprint Backlog'!$J138-'ProductSprint Backlog'!$I138), AND('ProductSprint Backlog'!$J138=E$2,'ProductSprint Backlog'!$I138=E$2), 'ProductSprint Backlog'!$F138, TRUE, 0)</f>
        <v>0</v>
      </c>
      <c r="F138" s="4" cm="1">
        <f t="array" ref="F138">_xlfn.IFS('ProductSprint Backlog'!$F138="", "", AND('ProductSprint Backlog'!$J138&gt;F$2,'ProductSprint Backlog'!$I138&lt;=F$2), 'ProductSprint Backlog'!$F138 / MAX(1, 'ProductSprint Backlog'!$J138-'ProductSprint Backlog'!$I138), AND('ProductSprint Backlog'!$J138=F$2,'ProductSprint Backlog'!$I138=F$2), 'ProductSprint Backlog'!$F138, TRUE, 0)</f>
        <v>0</v>
      </c>
      <c r="G138" s="4" cm="1">
        <f t="array" ref="G138">_xlfn.IFS('ProductSprint Backlog'!$F138="", "", AND('ProductSprint Backlog'!$J138&gt;G$2,'ProductSprint Backlog'!$I138&lt;=G$2), 'ProductSprint Backlog'!$F138 / MAX(1, 'ProductSprint Backlog'!$J138-'ProductSprint Backlog'!$I138), AND('ProductSprint Backlog'!$J138=G$2,'ProductSprint Backlog'!$I138=G$2), 'ProductSprint Backlog'!$F138, TRUE, 0)</f>
        <v>0</v>
      </c>
      <c r="H138" s="4" cm="1">
        <f t="array" ref="H138">_xlfn.IFS('ProductSprint Backlog'!$F138="", "", AND('ProductSprint Backlog'!$J138&gt;H$2,'ProductSprint Backlog'!$I138&lt;=H$2), 'ProductSprint Backlog'!$F138 / MAX(1, 'ProductSprint Backlog'!$J138-'ProductSprint Backlog'!$I138), AND('ProductSprint Backlog'!$J138=H$2,'ProductSprint Backlog'!$I138=H$2), 'ProductSprint Backlog'!$F138, TRUE, 0)</f>
        <v>0</v>
      </c>
      <c r="I138" s="4" cm="1">
        <f t="array" ref="I138">_xlfn.IFS('ProductSprint Backlog'!$F138="", "", AND('ProductSprint Backlog'!$J138&gt;I$2,'ProductSprint Backlog'!$I138&lt;=I$2), 'ProductSprint Backlog'!$F138 / MAX(1, 'ProductSprint Backlog'!$J138-'ProductSprint Backlog'!$I138), AND('ProductSprint Backlog'!$J138=I$2,'ProductSprint Backlog'!$I138=I$2), 'ProductSprint Backlog'!$F138, TRUE, 0)</f>
        <v>0</v>
      </c>
      <c r="J138" s="4" cm="1">
        <f t="array" ref="J138">_xlfn.IFS('ProductSprint Backlog'!$F138="", "", AND('ProductSprint Backlog'!$J138&gt;J$2,'ProductSprint Backlog'!$I138&lt;=J$2), 'ProductSprint Backlog'!$F138 / MAX(1, 'ProductSprint Backlog'!$J138-'ProductSprint Backlog'!$I138), AND('ProductSprint Backlog'!$J138=J$2,'ProductSprint Backlog'!$I138=J$2), 'ProductSprint Backlog'!$F138, TRUE, 0)</f>
        <v>0</v>
      </c>
      <c r="K138" s="4" cm="1">
        <f t="array" ref="K138">_xlfn.IFS('ProductSprint Backlog'!$F138="", "", AND('ProductSprint Backlog'!$J138&gt;K$2,'ProductSprint Backlog'!$I138&lt;=K$2), 'ProductSprint Backlog'!$F138 / MAX(1, 'ProductSprint Backlog'!$J138-'ProductSprint Backlog'!$I138), AND('ProductSprint Backlog'!$J138=K$2,'ProductSprint Backlog'!$I138=K$2), 'ProductSprint Backlog'!$F138, TRUE, 0)</f>
        <v>0</v>
      </c>
      <c r="L138" s="4" cm="1">
        <f t="array" ref="L138">_xlfn.IFS('ProductSprint Backlog'!$F138="", "", AND('ProductSprint Backlog'!$J138&gt;L$2,'ProductSprint Backlog'!$I138&lt;=L$2), 'ProductSprint Backlog'!$F138 / MAX(1, 'ProductSprint Backlog'!$J138-'ProductSprint Backlog'!$I138), AND('ProductSprint Backlog'!$J138=L$2,'ProductSprint Backlog'!$I138=L$2), 'ProductSprint Backlog'!$F138, TRUE, 0)</f>
        <v>0.5</v>
      </c>
      <c r="M138" s="4" cm="1">
        <f t="array" ref="M138">_xlfn.IFS('ProductSprint Backlog'!$F138="", "", AND('ProductSprint Backlog'!$J138&gt;M$2,'ProductSprint Backlog'!$I138&lt;=M$2), 'ProductSprint Backlog'!$F138 / MAX(1, 'ProductSprint Backlog'!$J138-'ProductSprint Backlog'!$I138), AND('ProductSprint Backlog'!$J138=M$2,'ProductSprint Backlog'!$I138=M$2), 'ProductSprint Backlog'!$F138, TRUE, 0)</f>
        <v>0.5</v>
      </c>
      <c r="N138" s="4" cm="1">
        <f t="array" ref="N138">_xlfn.IFS('ProductSprint Backlog'!$F138="", "", AND('ProductSprint Backlog'!$J138&gt;N$2,'ProductSprint Backlog'!$I138&lt;=N$2), 'ProductSprint Backlog'!$F138 / MAX(1, 'ProductSprint Backlog'!$J138-'ProductSprint Backlog'!$I138), AND('ProductSprint Backlog'!$J138=N$2,'ProductSprint Backlog'!$I138=N$2), 'ProductSprint Backlog'!$F138, TRUE, 0)</f>
        <v>0</v>
      </c>
      <c r="O138" s="4" cm="1">
        <f t="array" ref="O138">_xlfn.IFS('ProductSprint Backlog'!$F138="", "", AND('ProductSprint Backlog'!$J138&gt;O$2,'ProductSprint Backlog'!$I138&lt;=O$2), 'ProductSprint Backlog'!$F138 / MAX(1, 'ProductSprint Backlog'!$J138-'ProductSprint Backlog'!$I138), AND('ProductSprint Backlog'!$J138=O$2,'ProductSprint Backlog'!$I138=O$2), 'ProductSprint Backlog'!$F138, TRUE, 0)</f>
        <v>0</v>
      </c>
      <c r="P138" s="4" cm="1">
        <f t="array" ref="P138">_xlfn.IFS('ProductSprint Backlog'!$F138="", "", AND('ProductSprint Backlog'!$J138&gt;P$2,'ProductSprint Backlog'!$I138&lt;=P$2), 'ProductSprint Backlog'!$F138 / MAX(1, 'ProductSprint Backlog'!$J138-'ProductSprint Backlog'!$I138), AND('ProductSprint Backlog'!$J138=P$2,'ProductSprint Backlog'!$I138=P$2), 'ProductSprint Backlog'!$F138, TRUE, 0)</f>
        <v>0</v>
      </c>
      <c r="Q138" s="4" cm="1">
        <f t="array" ref="Q138">_xlfn.IFS('ProductSprint Backlog'!$F138="", "", AND('ProductSprint Backlog'!$J138&gt;Q$2,'ProductSprint Backlog'!$I138&lt;=Q$2), 'ProductSprint Backlog'!$F138 / MAX(1, 'ProductSprint Backlog'!$J138-'ProductSprint Backlog'!$I138), AND('ProductSprint Backlog'!$J138=Q$2,'ProductSprint Backlog'!$I138=Q$2), 'ProductSprint Backlog'!$F138, TRUE, 0)</f>
        <v>0</v>
      </c>
      <c r="R138" s="4" cm="1">
        <f t="array" ref="R138">_xlfn.IFS('ProductSprint Backlog'!$F138="", "", AND('ProductSprint Backlog'!$J138&gt;R$2,'ProductSprint Backlog'!$I138&lt;=R$2), 'ProductSprint Backlog'!$F138 / MAX(1, 'ProductSprint Backlog'!$J138-'ProductSprint Backlog'!$I138), AND('ProductSprint Backlog'!$J138=R$2,'ProductSprint Backlog'!$I138=R$2), 'ProductSprint Backlog'!$F138, TRUE, 0)</f>
        <v>0</v>
      </c>
      <c r="S138" s="4" cm="1">
        <f t="array" ref="S138">_xlfn.IFS('ProductSprint Backlog'!$F138="", "", AND('ProductSprint Backlog'!$J138&gt;S$2,'ProductSprint Backlog'!$I138&lt;=S$2), 'ProductSprint Backlog'!$F138 / MAX(1, 'ProductSprint Backlog'!$J138-'ProductSprint Backlog'!$I138), AND('ProductSprint Backlog'!$J138=S$2,'ProductSprint Backlog'!$I138=S$2), 'ProductSprint Backlog'!$F138, TRUE, 0)</f>
        <v>0</v>
      </c>
      <c r="T138" s="4" cm="1">
        <f t="array" ref="T138">_xlfn.IFS('ProductSprint Backlog'!$F138="", "", AND('ProductSprint Backlog'!$J138&gt;T$2,'ProductSprint Backlog'!$I138&lt;=T$2), 'ProductSprint Backlog'!$F138 / MAX(1, 'ProductSprint Backlog'!$J138-'ProductSprint Backlog'!$I138), AND('ProductSprint Backlog'!$J138=T$2,'ProductSprint Backlog'!$I138=T$2), 'ProductSprint Backlog'!$F138, TRUE, 0)</f>
        <v>0</v>
      </c>
    </row>
    <row r="139" spans="2:20" x14ac:dyDescent="0.2">
      <c r="B139" s="4" cm="1">
        <f t="array" ref="B139">_xlfn.IFS('ProductSprint Backlog'!$F139="", "", AND('ProductSprint Backlog'!$J139&gt;B$2,'ProductSprint Backlog'!$I139&lt;=B$2), 'ProductSprint Backlog'!$F139 / MAX(1, 'ProductSprint Backlog'!$J139-'ProductSprint Backlog'!$I139), AND('ProductSprint Backlog'!$J139=B$2,'ProductSprint Backlog'!$I139=B$2), 'ProductSprint Backlog'!$F139, TRUE, 0)</f>
        <v>0</v>
      </c>
      <c r="C139" s="4" cm="1">
        <f t="array" ref="C139">_xlfn.IFS('ProductSprint Backlog'!$F139="", "", AND('ProductSprint Backlog'!$J139&gt;C$2,'ProductSprint Backlog'!$I139&lt;=C$2), 'ProductSprint Backlog'!$F139 / MAX(1, 'ProductSprint Backlog'!$J139-'ProductSprint Backlog'!$I139), AND('ProductSprint Backlog'!$J139=C$2,'ProductSprint Backlog'!$I139=C$2), 'ProductSprint Backlog'!$F139, TRUE, 0)</f>
        <v>0</v>
      </c>
      <c r="D139" s="4" cm="1">
        <f t="array" ref="D139">_xlfn.IFS('ProductSprint Backlog'!$F139="", "", AND('ProductSprint Backlog'!$J139&gt;D$2,'ProductSprint Backlog'!$I139&lt;=D$2), 'ProductSprint Backlog'!$F139 / MAX(1, 'ProductSprint Backlog'!$J139-'ProductSprint Backlog'!$I139), AND('ProductSprint Backlog'!$J139=D$2,'ProductSprint Backlog'!$I139=D$2), 'ProductSprint Backlog'!$F139, TRUE, 0)</f>
        <v>0</v>
      </c>
      <c r="E139" s="4" cm="1">
        <f t="array" ref="E139">_xlfn.IFS('ProductSprint Backlog'!$F139="", "", AND('ProductSprint Backlog'!$J139&gt;E$2,'ProductSprint Backlog'!$I139&lt;=E$2), 'ProductSprint Backlog'!$F139 / MAX(1, 'ProductSprint Backlog'!$J139-'ProductSprint Backlog'!$I139), AND('ProductSprint Backlog'!$J139=E$2,'ProductSprint Backlog'!$I139=E$2), 'ProductSprint Backlog'!$F139, TRUE, 0)</f>
        <v>0</v>
      </c>
      <c r="F139" s="4" cm="1">
        <f t="array" ref="F139">_xlfn.IFS('ProductSprint Backlog'!$F139="", "", AND('ProductSprint Backlog'!$J139&gt;F$2,'ProductSprint Backlog'!$I139&lt;=F$2), 'ProductSprint Backlog'!$F139 / MAX(1, 'ProductSprint Backlog'!$J139-'ProductSprint Backlog'!$I139), AND('ProductSprint Backlog'!$J139=F$2,'ProductSprint Backlog'!$I139=F$2), 'ProductSprint Backlog'!$F139, TRUE, 0)</f>
        <v>0</v>
      </c>
      <c r="G139" s="4" cm="1">
        <f t="array" ref="G139">_xlfn.IFS('ProductSprint Backlog'!$F139="", "", AND('ProductSprint Backlog'!$J139&gt;G$2,'ProductSprint Backlog'!$I139&lt;=G$2), 'ProductSprint Backlog'!$F139 / MAX(1, 'ProductSprint Backlog'!$J139-'ProductSprint Backlog'!$I139), AND('ProductSprint Backlog'!$J139=G$2,'ProductSprint Backlog'!$I139=G$2), 'ProductSprint Backlog'!$F139, TRUE, 0)</f>
        <v>0</v>
      </c>
      <c r="H139" s="4" cm="1">
        <f t="array" ref="H139">_xlfn.IFS('ProductSprint Backlog'!$F139="", "", AND('ProductSprint Backlog'!$J139&gt;H$2,'ProductSprint Backlog'!$I139&lt;=H$2), 'ProductSprint Backlog'!$F139 / MAX(1, 'ProductSprint Backlog'!$J139-'ProductSprint Backlog'!$I139), AND('ProductSprint Backlog'!$J139=H$2,'ProductSprint Backlog'!$I139=H$2), 'ProductSprint Backlog'!$F139, TRUE, 0)</f>
        <v>0</v>
      </c>
      <c r="I139" s="4" cm="1">
        <f t="array" ref="I139">_xlfn.IFS('ProductSprint Backlog'!$F139="", "", AND('ProductSprint Backlog'!$J139&gt;I$2,'ProductSprint Backlog'!$I139&lt;=I$2), 'ProductSprint Backlog'!$F139 / MAX(1, 'ProductSprint Backlog'!$J139-'ProductSprint Backlog'!$I139), AND('ProductSprint Backlog'!$J139=I$2,'ProductSprint Backlog'!$I139=I$2), 'ProductSprint Backlog'!$F139, TRUE, 0)</f>
        <v>0</v>
      </c>
      <c r="J139" s="4" cm="1">
        <f t="array" ref="J139">_xlfn.IFS('ProductSprint Backlog'!$F139="", "", AND('ProductSprint Backlog'!$J139&gt;J$2,'ProductSprint Backlog'!$I139&lt;=J$2), 'ProductSprint Backlog'!$F139 / MAX(1, 'ProductSprint Backlog'!$J139-'ProductSprint Backlog'!$I139), AND('ProductSprint Backlog'!$J139=J$2,'ProductSprint Backlog'!$I139=J$2), 'ProductSprint Backlog'!$F139, TRUE, 0)</f>
        <v>0</v>
      </c>
      <c r="K139" s="4" cm="1">
        <f t="array" ref="K139">_xlfn.IFS('ProductSprint Backlog'!$F139="", "", AND('ProductSprint Backlog'!$J139&gt;K$2,'ProductSprint Backlog'!$I139&lt;=K$2), 'ProductSprint Backlog'!$F139 / MAX(1, 'ProductSprint Backlog'!$J139-'ProductSprint Backlog'!$I139), AND('ProductSprint Backlog'!$J139=K$2,'ProductSprint Backlog'!$I139=K$2), 'ProductSprint Backlog'!$F139, TRUE, 0)</f>
        <v>0</v>
      </c>
      <c r="L139" s="4" cm="1">
        <f t="array" ref="L139">_xlfn.IFS('ProductSprint Backlog'!$F139="", "", AND('ProductSprint Backlog'!$J139&gt;L$2,'ProductSprint Backlog'!$I139&lt;=L$2), 'ProductSprint Backlog'!$F139 / MAX(1, 'ProductSprint Backlog'!$J139-'ProductSprint Backlog'!$I139), AND('ProductSprint Backlog'!$J139=L$2,'ProductSprint Backlog'!$I139=L$2), 'ProductSprint Backlog'!$F139, TRUE, 0)</f>
        <v>0.5</v>
      </c>
      <c r="M139" s="4" cm="1">
        <f t="array" ref="M139">_xlfn.IFS('ProductSprint Backlog'!$F139="", "", AND('ProductSprint Backlog'!$J139&gt;M$2,'ProductSprint Backlog'!$I139&lt;=M$2), 'ProductSprint Backlog'!$F139 / MAX(1, 'ProductSprint Backlog'!$J139-'ProductSprint Backlog'!$I139), AND('ProductSprint Backlog'!$J139=M$2,'ProductSprint Backlog'!$I139=M$2), 'ProductSprint Backlog'!$F139, TRUE, 0)</f>
        <v>0.5</v>
      </c>
      <c r="N139" s="4" cm="1">
        <f t="array" ref="N139">_xlfn.IFS('ProductSprint Backlog'!$F139="", "", AND('ProductSprint Backlog'!$J139&gt;N$2,'ProductSprint Backlog'!$I139&lt;=N$2), 'ProductSprint Backlog'!$F139 / MAX(1, 'ProductSprint Backlog'!$J139-'ProductSprint Backlog'!$I139), AND('ProductSprint Backlog'!$J139=N$2,'ProductSprint Backlog'!$I139=N$2), 'ProductSprint Backlog'!$F139, TRUE, 0)</f>
        <v>0</v>
      </c>
      <c r="O139" s="4" cm="1">
        <f t="array" ref="O139">_xlfn.IFS('ProductSprint Backlog'!$F139="", "", AND('ProductSprint Backlog'!$J139&gt;O$2,'ProductSprint Backlog'!$I139&lt;=O$2), 'ProductSprint Backlog'!$F139 / MAX(1, 'ProductSprint Backlog'!$J139-'ProductSprint Backlog'!$I139), AND('ProductSprint Backlog'!$J139=O$2,'ProductSprint Backlog'!$I139=O$2), 'ProductSprint Backlog'!$F139, TRUE, 0)</f>
        <v>0</v>
      </c>
      <c r="P139" s="4" cm="1">
        <f t="array" ref="P139">_xlfn.IFS('ProductSprint Backlog'!$F139="", "", AND('ProductSprint Backlog'!$J139&gt;P$2,'ProductSprint Backlog'!$I139&lt;=P$2), 'ProductSprint Backlog'!$F139 / MAX(1, 'ProductSprint Backlog'!$J139-'ProductSprint Backlog'!$I139), AND('ProductSprint Backlog'!$J139=P$2,'ProductSprint Backlog'!$I139=P$2), 'ProductSprint Backlog'!$F139, TRUE, 0)</f>
        <v>0</v>
      </c>
      <c r="Q139" s="4" cm="1">
        <f t="array" ref="Q139">_xlfn.IFS('ProductSprint Backlog'!$F139="", "", AND('ProductSprint Backlog'!$J139&gt;Q$2,'ProductSprint Backlog'!$I139&lt;=Q$2), 'ProductSprint Backlog'!$F139 / MAX(1, 'ProductSprint Backlog'!$J139-'ProductSprint Backlog'!$I139), AND('ProductSprint Backlog'!$J139=Q$2,'ProductSprint Backlog'!$I139=Q$2), 'ProductSprint Backlog'!$F139, TRUE, 0)</f>
        <v>0</v>
      </c>
      <c r="R139" s="4" cm="1">
        <f t="array" ref="R139">_xlfn.IFS('ProductSprint Backlog'!$F139="", "", AND('ProductSprint Backlog'!$J139&gt;R$2,'ProductSprint Backlog'!$I139&lt;=R$2), 'ProductSprint Backlog'!$F139 / MAX(1, 'ProductSprint Backlog'!$J139-'ProductSprint Backlog'!$I139), AND('ProductSprint Backlog'!$J139=R$2,'ProductSprint Backlog'!$I139=R$2), 'ProductSprint Backlog'!$F139, TRUE, 0)</f>
        <v>0</v>
      </c>
      <c r="S139" s="4" cm="1">
        <f t="array" ref="S139">_xlfn.IFS('ProductSprint Backlog'!$F139="", "", AND('ProductSprint Backlog'!$J139&gt;S$2,'ProductSprint Backlog'!$I139&lt;=S$2), 'ProductSprint Backlog'!$F139 / MAX(1, 'ProductSprint Backlog'!$J139-'ProductSprint Backlog'!$I139), AND('ProductSprint Backlog'!$J139=S$2,'ProductSprint Backlog'!$I139=S$2), 'ProductSprint Backlog'!$F139, TRUE, 0)</f>
        <v>0</v>
      </c>
      <c r="T139" s="4" cm="1">
        <f t="array" ref="T139">_xlfn.IFS('ProductSprint Backlog'!$F139="", "", AND('ProductSprint Backlog'!$J139&gt;T$2,'ProductSprint Backlog'!$I139&lt;=T$2), 'ProductSprint Backlog'!$F139 / MAX(1, 'ProductSprint Backlog'!$J139-'ProductSprint Backlog'!$I139), AND('ProductSprint Backlog'!$J139=T$2,'ProductSprint Backlog'!$I139=T$2), 'ProductSprint Backlog'!$F139, TRUE, 0)</f>
        <v>0</v>
      </c>
    </row>
    <row r="140" spans="2:20" x14ac:dyDescent="0.2">
      <c r="B140" s="4" cm="1">
        <f t="array" ref="B140">_xlfn.IFS('ProductSprint Backlog'!$F140="", "", AND('ProductSprint Backlog'!$J140&gt;B$2,'ProductSprint Backlog'!$I140&lt;=B$2), 'ProductSprint Backlog'!$F140 / MAX(1, 'ProductSprint Backlog'!$J140-'ProductSprint Backlog'!$I140), AND('ProductSprint Backlog'!$J140=B$2,'ProductSprint Backlog'!$I140=B$2), 'ProductSprint Backlog'!$F140, TRUE, 0)</f>
        <v>0</v>
      </c>
      <c r="C140" s="4" cm="1">
        <f t="array" ref="C140">_xlfn.IFS('ProductSprint Backlog'!$F140="", "", AND('ProductSprint Backlog'!$J140&gt;C$2,'ProductSprint Backlog'!$I140&lt;=C$2), 'ProductSprint Backlog'!$F140 / MAX(1, 'ProductSprint Backlog'!$J140-'ProductSprint Backlog'!$I140), AND('ProductSprint Backlog'!$J140=C$2,'ProductSprint Backlog'!$I140=C$2), 'ProductSprint Backlog'!$F140, TRUE, 0)</f>
        <v>0</v>
      </c>
      <c r="D140" s="4" cm="1">
        <f t="array" ref="D140">_xlfn.IFS('ProductSprint Backlog'!$F140="", "", AND('ProductSprint Backlog'!$J140&gt;D$2,'ProductSprint Backlog'!$I140&lt;=D$2), 'ProductSprint Backlog'!$F140 / MAX(1, 'ProductSprint Backlog'!$J140-'ProductSprint Backlog'!$I140), AND('ProductSprint Backlog'!$J140=D$2,'ProductSprint Backlog'!$I140=D$2), 'ProductSprint Backlog'!$F140, TRUE, 0)</f>
        <v>0</v>
      </c>
      <c r="E140" s="4" cm="1">
        <f t="array" ref="E140">_xlfn.IFS('ProductSprint Backlog'!$F140="", "", AND('ProductSprint Backlog'!$J140&gt;E$2,'ProductSprint Backlog'!$I140&lt;=E$2), 'ProductSprint Backlog'!$F140 / MAX(1, 'ProductSprint Backlog'!$J140-'ProductSprint Backlog'!$I140), AND('ProductSprint Backlog'!$J140=E$2,'ProductSprint Backlog'!$I140=E$2), 'ProductSprint Backlog'!$F140, TRUE, 0)</f>
        <v>0</v>
      </c>
      <c r="F140" s="4" cm="1">
        <f t="array" ref="F140">_xlfn.IFS('ProductSprint Backlog'!$F140="", "", AND('ProductSprint Backlog'!$J140&gt;F$2,'ProductSprint Backlog'!$I140&lt;=F$2), 'ProductSprint Backlog'!$F140 / MAX(1, 'ProductSprint Backlog'!$J140-'ProductSprint Backlog'!$I140), AND('ProductSprint Backlog'!$J140=F$2,'ProductSprint Backlog'!$I140=F$2), 'ProductSprint Backlog'!$F140, TRUE, 0)</f>
        <v>0</v>
      </c>
      <c r="G140" s="4" cm="1">
        <f t="array" ref="G140">_xlfn.IFS('ProductSprint Backlog'!$F140="", "", AND('ProductSprint Backlog'!$J140&gt;G$2,'ProductSprint Backlog'!$I140&lt;=G$2), 'ProductSprint Backlog'!$F140 / MAX(1, 'ProductSprint Backlog'!$J140-'ProductSprint Backlog'!$I140), AND('ProductSprint Backlog'!$J140=G$2,'ProductSprint Backlog'!$I140=G$2), 'ProductSprint Backlog'!$F140, TRUE, 0)</f>
        <v>0</v>
      </c>
      <c r="H140" s="4" cm="1">
        <f t="array" ref="H140">_xlfn.IFS('ProductSprint Backlog'!$F140="", "", AND('ProductSprint Backlog'!$J140&gt;H$2,'ProductSprint Backlog'!$I140&lt;=H$2), 'ProductSprint Backlog'!$F140 / MAX(1, 'ProductSprint Backlog'!$J140-'ProductSprint Backlog'!$I140), AND('ProductSprint Backlog'!$J140=H$2,'ProductSprint Backlog'!$I140=H$2), 'ProductSprint Backlog'!$F140, TRUE, 0)</f>
        <v>0</v>
      </c>
      <c r="I140" s="4" cm="1">
        <f t="array" ref="I140">_xlfn.IFS('ProductSprint Backlog'!$F140="", "", AND('ProductSprint Backlog'!$J140&gt;I$2,'ProductSprint Backlog'!$I140&lt;=I$2), 'ProductSprint Backlog'!$F140 / MAX(1, 'ProductSprint Backlog'!$J140-'ProductSprint Backlog'!$I140), AND('ProductSprint Backlog'!$J140=I$2,'ProductSprint Backlog'!$I140=I$2), 'ProductSprint Backlog'!$F140, TRUE, 0)</f>
        <v>0</v>
      </c>
      <c r="J140" s="4" cm="1">
        <f t="array" ref="J140">_xlfn.IFS('ProductSprint Backlog'!$F140="", "", AND('ProductSprint Backlog'!$J140&gt;J$2,'ProductSprint Backlog'!$I140&lt;=J$2), 'ProductSprint Backlog'!$F140 / MAX(1, 'ProductSprint Backlog'!$J140-'ProductSprint Backlog'!$I140), AND('ProductSprint Backlog'!$J140=J$2,'ProductSprint Backlog'!$I140=J$2), 'ProductSprint Backlog'!$F140, TRUE, 0)</f>
        <v>0</v>
      </c>
      <c r="K140" s="4" cm="1">
        <f t="array" ref="K140">_xlfn.IFS('ProductSprint Backlog'!$F140="", "", AND('ProductSprint Backlog'!$J140&gt;K$2,'ProductSprint Backlog'!$I140&lt;=K$2), 'ProductSprint Backlog'!$F140 / MAX(1, 'ProductSprint Backlog'!$J140-'ProductSprint Backlog'!$I140), AND('ProductSprint Backlog'!$J140=K$2,'ProductSprint Backlog'!$I140=K$2), 'ProductSprint Backlog'!$F140, TRUE, 0)</f>
        <v>0</v>
      </c>
      <c r="L140" s="4" cm="1">
        <f t="array" ref="L140">_xlfn.IFS('ProductSprint Backlog'!$F140="", "", AND('ProductSprint Backlog'!$J140&gt;L$2,'ProductSprint Backlog'!$I140&lt;=L$2), 'ProductSprint Backlog'!$F140 / MAX(1, 'ProductSprint Backlog'!$J140-'ProductSprint Backlog'!$I140), AND('ProductSprint Backlog'!$J140=L$2,'ProductSprint Backlog'!$I140=L$2), 'ProductSprint Backlog'!$F140, TRUE, 0)</f>
        <v>0.5</v>
      </c>
      <c r="M140" s="4" cm="1">
        <f t="array" ref="M140">_xlfn.IFS('ProductSprint Backlog'!$F140="", "", AND('ProductSprint Backlog'!$J140&gt;M$2,'ProductSprint Backlog'!$I140&lt;=M$2), 'ProductSprint Backlog'!$F140 / MAX(1, 'ProductSprint Backlog'!$J140-'ProductSprint Backlog'!$I140), AND('ProductSprint Backlog'!$J140=M$2,'ProductSprint Backlog'!$I140=M$2), 'ProductSprint Backlog'!$F140, TRUE, 0)</f>
        <v>0.5</v>
      </c>
      <c r="N140" s="4" cm="1">
        <f t="array" ref="N140">_xlfn.IFS('ProductSprint Backlog'!$F140="", "", AND('ProductSprint Backlog'!$J140&gt;N$2,'ProductSprint Backlog'!$I140&lt;=N$2), 'ProductSprint Backlog'!$F140 / MAX(1, 'ProductSprint Backlog'!$J140-'ProductSprint Backlog'!$I140), AND('ProductSprint Backlog'!$J140=N$2,'ProductSprint Backlog'!$I140=N$2), 'ProductSprint Backlog'!$F140, TRUE, 0)</f>
        <v>0</v>
      </c>
      <c r="O140" s="4" cm="1">
        <f t="array" ref="O140">_xlfn.IFS('ProductSprint Backlog'!$F140="", "", AND('ProductSprint Backlog'!$J140&gt;O$2,'ProductSprint Backlog'!$I140&lt;=O$2), 'ProductSprint Backlog'!$F140 / MAX(1, 'ProductSprint Backlog'!$J140-'ProductSprint Backlog'!$I140), AND('ProductSprint Backlog'!$J140=O$2,'ProductSprint Backlog'!$I140=O$2), 'ProductSprint Backlog'!$F140, TRUE, 0)</f>
        <v>0</v>
      </c>
      <c r="P140" s="4" cm="1">
        <f t="array" ref="P140">_xlfn.IFS('ProductSprint Backlog'!$F140="", "", AND('ProductSprint Backlog'!$J140&gt;P$2,'ProductSprint Backlog'!$I140&lt;=P$2), 'ProductSprint Backlog'!$F140 / MAX(1, 'ProductSprint Backlog'!$J140-'ProductSprint Backlog'!$I140), AND('ProductSprint Backlog'!$J140=P$2,'ProductSprint Backlog'!$I140=P$2), 'ProductSprint Backlog'!$F140, TRUE, 0)</f>
        <v>0</v>
      </c>
      <c r="Q140" s="4" cm="1">
        <f t="array" ref="Q140">_xlfn.IFS('ProductSprint Backlog'!$F140="", "", AND('ProductSprint Backlog'!$J140&gt;Q$2,'ProductSprint Backlog'!$I140&lt;=Q$2), 'ProductSprint Backlog'!$F140 / MAX(1, 'ProductSprint Backlog'!$J140-'ProductSprint Backlog'!$I140), AND('ProductSprint Backlog'!$J140=Q$2,'ProductSprint Backlog'!$I140=Q$2), 'ProductSprint Backlog'!$F140, TRUE, 0)</f>
        <v>0</v>
      </c>
      <c r="R140" s="4" cm="1">
        <f t="array" ref="R140">_xlfn.IFS('ProductSprint Backlog'!$F140="", "", AND('ProductSprint Backlog'!$J140&gt;R$2,'ProductSprint Backlog'!$I140&lt;=R$2), 'ProductSprint Backlog'!$F140 / MAX(1, 'ProductSprint Backlog'!$J140-'ProductSprint Backlog'!$I140), AND('ProductSprint Backlog'!$J140=R$2,'ProductSprint Backlog'!$I140=R$2), 'ProductSprint Backlog'!$F140, TRUE, 0)</f>
        <v>0</v>
      </c>
      <c r="S140" s="4" cm="1">
        <f t="array" ref="S140">_xlfn.IFS('ProductSprint Backlog'!$F140="", "", AND('ProductSprint Backlog'!$J140&gt;S$2,'ProductSprint Backlog'!$I140&lt;=S$2), 'ProductSprint Backlog'!$F140 / MAX(1, 'ProductSprint Backlog'!$J140-'ProductSprint Backlog'!$I140), AND('ProductSprint Backlog'!$J140=S$2,'ProductSprint Backlog'!$I140=S$2), 'ProductSprint Backlog'!$F140, TRUE, 0)</f>
        <v>0</v>
      </c>
      <c r="T140" s="4" cm="1">
        <f t="array" ref="T140">_xlfn.IFS('ProductSprint Backlog'!$F140="", "", AND('ProductSprint Backlog'!$J140&gt;T$2,'ProductSprint Backlog'!$I140&lt;=T$2), 'ProductSprint Backlog'!$F140 / MAX(1, 'ProductSprint Backlog'!$J140-'ProductSprint Backlog'!$I140), AND('ProductSprint Backlog'!$J140=T$2,'ProductSprint Backlog'!$I140=T$2), 'ProductSprint Backlog'!$F140, TRUE, 0)</f>
        <v>0</v>
      </c>
    </row>
    <row r="141" spans="2:20" x14ac:dyDescent="0.2">
      <c r="B141" s="4" cm="1">
        <f t="array" ref="B141">_xlfn.IFS('ProductSprint Backlog'!$F141="", "", AND('ProductSprint Backlog'!$J141&gt;B$2,'ProductSprint Backlog'!$I141&lt;=B$2), 'ProductSprint Backlog'!$F141 / MAX(1, 'ProductSprint Backlog'!$J141-'ProductSprint Backlog'!$I141), AND('ProductSprint Backlog'!$J141=B$2,'ProductSprint Backlog'!$I141=B$2), 'ProductSprint Backlog'!$F141, TRUE, 0)</f>
        <v>0</v>
      </c>
      <c r="C141" s="4" cm="1">
        <f t="array" ref="C141">_xlfn.IFS('ProductSprint Backlog'!$F141="", "", AND('ProductSprint Backlog'!$J141&gt;C$2,'ProductSprint Backlog'!$I141&lt;=C$2), 'ProductSprint Backlog'!$F141 / MAX(1, 'ProductSprint Backlog'!$J141-'ProductSprint Backlog'!$I141), AND('ProductSprint Backlog'!$J141=C$2,'ProductSprint Backlog'!$I141=C$2), 'ProductSprint Backlog'!$F141, TRUE, 0)</f>
        <v>0</v>
      </c>
      <c r="D141" s="4" cm="1">
        <f t="array" ref="D141">_xlfn.IFS('ProductSprint Backlog'!$F141="", "", AND('ProductSprint Backlog'!$J141&gt;D$2,'ProductSprint Backlog'!$I141&lt;=D$2), 'ProductSprint Backlog'!$F141 / MAX(1, 'ProductSprint Backlog'!$J141-'ProductSprint Backlog'!$I141), AND('ProductSprint Backlog'!$J141=D$2,'ProductSprint Backlog'!$I141=D$2), 'ProductSprint Backlog'!$F141, TRUE, 0)</f>
        <v>0</v>
      </c>
      <c r="E141" s="4" cm="1">
        <f t="array" ref="E141">_xlfn.IFS('ProductSprint Backlog'!$F141="", "", AND('ProductSprint Backlog'!$J141&gt;E$2,'ProductSprint Backlog'!$I141&lt;=E$2), 'ProductSprint Backlog'!$F141 / MAX(1, 'ProductSprint Backlog'!$J141-'ProductSprint Backlog'!$I141), AND('ProductSprint Backlog'!$J141=E$2,'ProductSprint Backlog'!$I141=E$2), 'ProductSprint Backlog'!$F141, TRUE, 0)</f>
        <v>0</v>
      </c>
      <c r="F141" s="4" cm="1">
        <f t="array" ref="F141">_xlfn.IFS('ProductSprint Backlog'!$F141="", "", AND('ProductSprint Backlog'!$J141&gt;F$2,'ProductSprint Backlog'!$I141&lt;=F$2), 'ProductSprint Backlog'!$F141 / MAX(1, 'ProductSprint Backlog'!$J141-'ProductSprint Backlog'!$I141), AND('ProductSprint Backlog'!$J141=F$2,'ProductSprint Backlog'!$I141=F$2), 'ProductSprint Backlog'!$F141, TRUE, 0)</f>
        <v>0</v>
      </c>
      <c r="G141" s="4" cm="1">
        <f t="array" ref="G141">_xlfn.IFS('ProductSprint Backlog'!$F141="", "", AND('ProductSprint Backlog'!$J141&gt;G$2,'ProductSprint Backlog'!$I141&lt;=G$2), 'ProductSprint Backlog'!$F141 / MAX(1, 'ProductSprint Backlog'!$J141-'ProductSprint Backlog'!$I141), AND('ProductSprint Backlog'!$J141=G$2,'ProductSprint Backlog'!$I141=G$2), 'ProductSprint Backlog'!$F141, TRUE, 0)</f>
        <v>0</v>
      </c>
      <c r="H141" s="4" cm="1">
        <f t="array" ref="H141">_xlfn.IFS('ProductSprint Backlog'!$F141="", "", AND('ProductSprint Backlog'!$J141&gt;H$2,'ProductSprint Backlog'!$I141&lt;=H$2), 'ProductSprint Backlog'!$F141 / MAX(1, 'ProductSprint Backlog'!$J141-'ProductSprint Backlog'!$I141), AND('ProductSprint Backlog'!$J141=H$2,'ProductSprint Backlog'!$I141=H$2), 'ProductSprint Backlog'!$F141, TRUE, 0)</f>
        <v>0</v>
      </c>
      <c r="I141" s="4" cm="1">
        <f t="array" ref="I141">_xlfn.IFS('ProductSprint Backlog'!$F141="", "", AND('ProductSprint Backlog'!$J141&gt;I$2,'ProductSprint Backlog'!$I141&lt;=I$2), 'ProductSprint Backlog'!$F141 / MAX(1, 'ProductSprint Backlog'!$J141-'ProductSprint Backlog'!$I141), AND('ProductSprint Backlog'!$J141=I$2,'ProductSprint Backlog'!$I141=I$2), 'ProductSprint Backlog'!$F141, TRUE, 0)</f>
        <v>0</v>
      </c>
      <c r="J141" s="4" cm="1">
        <f t="array" ref="J141">_xlfn.IFS('ProductSprint Backlog'!$F141="", "", AND('ProductSprint Backlog'!$J141&gt;J$2,'ProductSprint Backlog'!$I141&lt;=J$2), 'ProductSprint Backlog'!$F141 / MAX(1, 'ProductSprint Backlog'!$J141-'ProductSprint Backlog'!$I141), AND('ProductSprint Backlog'!$J141=J$2,'ProductSprint Backlog'!$I141=J$2), 'ProductSprint Backlog'!$F141, TRUE, 0)</f>
        <v>0</v>
      </c>
      <c r="K141" s="4" cm="1">
        <f t="array" ref="K141">_xlfn.IFS('ProductSprint Backlog'!$F141="", "", AND('ProductSprint Backlog'!$J141&gt;K$2,'ProductSprint Backlog'!$I141&lt;=K$2), 'ProductSprint Backlog'!$F141 / MAX(1, 'ProductSprint Backlog'!$J141-'ProductSprint Backlog'!$I141), AND('ProductSprint Backlog'!$J141=K$2,'ProductSprint Backlog'!$I141=K$2), 'ProductSprint Backlog'!$F141, TRUE, 0)</f>
        <v>0</v>
      </c>
      <c r="L141" s="4" cm="1">
        <f t="array" ref="L141">_xlfn.IFS('ProductSprint Backlog'!$F141="", "", AND('ProductSprint Backlog'!$J141&gt;L$2,'ProductSprint Backlog'!$I141&lt;=L$2), 'ProductSprint Backlog'!$F141 / MAX(1, 'ProductSprint Backlog'!$J141-'ProductSprint Backlog'!$I141), AND('ProductSprint Backlog'!$J141=L$2,'ProductSprint Backlog'!$I141=L$2), 'ProductSprint Backlog'!$F141, TRUE, 0)</f>
        <v>0</v>
      </c>
      <c r="M141" s="4" cm="1">
        <f t="array" ref="M141">_xlfn.IFS('ProductSprint Backlog'!$F141="", "", AND('ProductSprint Backlog'!$J141&gt;M$2,'ProductSprint Backlog'!$I141&lt;=M$2), 'ProductSprint Backlog'!$F141 / MAX(1, 'ProductSprint Backlog'!$J141-'ProductSprint Backlog'!$I141), AND('ProductSprint Backlog'!$J141=M$2,'ProductSprint Backlog'!$I141=M$2), 'ProductSprint Backlog'!$F141, TRUE, 0)</f>
        <v>0</v>
      </c>
      <c r="N141" s="4" cm="1">
        <f t="array" ref="N141">_xlfn.IFS('ProductSprint Backlog'!$F141="", "", AND('ProductSprint Backlog'!$J141&gt;N$2,'ProductSprint Backlog'!$I141&lt;=N$2), 'ProductSprint Backlog'!$F141 / MAX(1, 'ProductSprint Backlog'!$J141-'ProductSprint Backlog'!$I141), AND('ProductSprint Backlog'!$J141=N$2,'ProductSprint Backlog'!$I141=N$2), 'ProductSprint Backlog'!$F141, TRUE, 0)</f>
        <v>0</v>
      </c>
      <c r="O141" s="4" cm="1">
        <f t="array" ref="O141">_xlfn.IFS('ProductSprint Backlog'!$F141="", "", AND('ProductSprint Backlog'!$J141&gt;O$2,'ProductSprint Backlog'!$I141&lt;=O$2), 'ProductSprint Backlog'!$F141 / MAX(1, 'ProductSprint Backlog'!$J141-'ProductSprint Backlog'!$I141), AND('ProductSprint Backlog'!$J141=O$2,'ProductSprint Backlog'!$I141=O$2), 'ProductSprint Backlog'!$F141, TRUE, 0)</f>
        <v>1</v>
      </c>
      <c r="P141" s="4" cm="1">
        <f t="array" ref="P141">_xlfn.IFS('ProductSprint Backlog'!$F141="", "", AND('ProductSprint Backlog'!$J141&gt;P$2,'ProductSprint Backlog'!$I141&lt;=P$2), 'ProductSprint Backlog'!$F141 / MAX(1, 'ProductSprint Backlog'!$J141-'ProductSprint Backlog'!$I141), AND('ProductSprint Backlog'!$J141=P$2,'ProductSprint Backlog'!$I141=P$2), 'ProductSprint Backlog'!$F141, TRUE, 0)</f>
        <v>0</v>
      </c>
      <c r="Q141" s="4" cm="1">
        <f t="array" ref="Q141">_xlfn.IFS('ProductSprint Backlog'!$F141="", "", AND('ProductSprint Backlog'!$J141&gt;Q$2,'ProductSprint Backlog'!$I141&lt;=Q$2), 'ProductSprint Backlog'!$F141 / MAX(1, 'ProductSprint Backlog'!$J141-'ProductSprint Backlog'!$I141), AND('ProductSprint Backlog'!$J141=Q$2,'ProductSprint Backlog'!$I141=Q$2), 'ProductSprint Backlog'!$F141, TRUE, 0)</f>
        <v>0</v>
      </c>
      <c r="R141" s="4" cm="1">
        <f t="array" ref="R141">_xlfn.IFS('ProductSprint Backlog'!$F141="", "", AND('ProductSprint Backlog'!$J141&gt;R$2,'ProductSprint Backlog'!$I141&lt;=R$2), 'ProductSprint Backlog'!$F141 / MAX(1, 'ProductSprint Backlog'!$J141-'ProductSprint Backlog'!$I141), AND('ProductSprint Backlog'!$J141=R$2,'ProductSprint Backlog'!$I141=R$2), 'ProductSprint Backlog'!$F141, TRUE, 0)</f>
        <v>0</v>
      </c>
      <c r="S141" s="4" cm="1">
        <f t="array" ref="S141">_xlfn.IFS('ProductSprint Backlog'!$F141="", "", AND('ProductSprint Backlog'!$J141&gt;S$2,'ProductSprint Backlog'!$I141&lt;=S$2), 'ProductSprint Backlog'!$F141 / MAX(1, 'ProductSprint Backlog'!$J141-'ProductSprint Backlog'!$I141), AND('ProductSprint Backlog'!$J141=S$2,'ProductSprint Backlog'!$I141=S$2), 'ProductSprint Backlog'!$F141, TRUE, 0)</f>
        <v>0</v>
      </c>
      <c r="T141" s="4" cm="1">
        <f t="array" ref="T141">_xlfn.IFS('ProductSprint Backlog'!$F141="", "", AND('ProductSprint Backlog'!$J141&gt;T$2,'ProductSprint Backlog'!$I141&lt;=T$2), 'ProductSprint Backlog'!$F141 / MAX(1, 'ProductSprint Backlog'!$J141-'ProductSprint Backlog'!$I141), AND('ProductSprint Backlog'!$J141=T$2,'ProductSprint Backlog'!$I141=T$2), 'ProductSprint Backlog'!$F141, TRUE, 0)</f>
        <v>0</v>
      </c>
    </row>
    <row r="142" spans="2:20" x14ac:dyDescent="0.2">
      <c r="B142" s="4" cm="1">
        <f t="array" ref="B142">_xlfn.IFS('ProductSprint Backlog'!$F142="", "", AND('ProductSprint Backlog'!$J142&gt;B$2,'ProductSprint Backlog'!$I142&lt;=B$2), 'ProductSprint Backlog'!$F142 / MAX(1, 'ProductSprint Backlog'!$J142-'ProductSprint Backlog'!$I142), AND('ProductSprint Backlog'!$J142=B$2,'ProductSprint Backlog'!$I142=B$2), 'ProductSprint Backlog'!$F142, TRUE, 0)</f>
        <v>0</v>
      </c>
      <c r="C142" s="4" cm="1">
        <f t="array" ref="C142">_xlfn.IFS('ProductSprint Backlog'!$F142="", "", AND('ProductSprint Backlog'!$J142&gt;C$2,'ProductSprint Backlog'!$I142&lt;=C$2), 'ProductSprint Backlog'!$F142 / MAX(1, 'ProductSprint Backlog'!$J142-'ProductSprint Backlog'!$I142), AND('ProductSprint Backlog'!$J142=C$2,'ProductSprint Backlog'!$I142=C$2), 'ProductSprint Backlog'!$F142, TRUE, 0)</f>
        <v>0</v>
      </c>
      <c r="D142" s="4" cm="1">
        <f t="array" ref="D142">_xlfn.IFS('ProductSprint Backlog'!$F142="", "", AND('ProductSprint Backlog'!$J142&gt;D$2,'ProductSprint Backlog'!$I142&lt;=D$2), 'ProductSprint Backlog'!$F142 / MAX(1, 'ProductSprint Backlog'!$J142-'ProductSprint Backlog'!$I142), AND('ProductSprint Backlog'!$J142=D$2,'ProductSprint Backlog'!$I142=D$2), 'ProductSprint Backlog'!$F142, TRUE, 0)</f>
        <v>0</v>
      </c>
      <c r="E142" s="4" cm="1">
        <f t="array" ref="E142">_xlfn.IFS('ProductSprint Backlog'!$F142="", "", AND('ProductSprint Backlog'!$J142&gt;E$2,'ProductSprint Backlog'!$I142&lt;=E$2), 'ProductSprint Backlog'!$F142 / MAX(1, 'ProductSprint Backlog'!$J142-'ProductSprint Backlog'!$I142), AND('ProductSprint Backlog'!$J142=E$2,'ProductSprint Backlog'!$I142=E$2), 'ProductSprint Backlog'!$F142, TRUE, 0)</f>
        <v>0</v>
      </c>
      <c r="F142" s="4" cm="1">
        <f t="array" ref="F142">_xlfn.IFS('ProductSprint Backlog'!$F142="", "", AND('ProductSprint Backlog'!$J142&gt;F$2,'ProductSprint Backlog'!$I142&lt;=F$2), 'ProductSprint Backlog'!$F142 / MAX(1, 'ProductSprint Backlog'!$J142-'ProductSprint Backlog'!$I142), AND('ProductSprint Backlog'!$J142=F$2,'ProductSprint Backlog'!$I142=F$2), 'ProductSprint Backlog'!$F142, TRUE, 0)</f>
        <v>0</v>
      </c>
      <c r="G142" s="4" cm="1">
        <f t="array" ref="G142">_xlfn.IFS('ProductSprint Backlog'!$F142="", "", AND('ProductSprint Backlog'!$J142&gt;G$2,'ProductSprint Backlog'!$I142&lt;=G$2), 'ProductSprint Backlog'!$F142 / MAX(1, 'ProductSprint Backlog'!$J142-'ProductSprint Backlog'!$I142), AND('ProductSprint Backlog'!$J142=G$2,'ProductSprint Backlog'!$I142=G$2), 'ProductSprint Backlog'!$F142, TRUE, 0)</f>
        <v>0</v>
      </c>
      <c r="H142" s="4" cm="1">
        <f t="array" ref="H142">_xlfn.IFS('ProductSprint Backlog'!$F142="", "", AND('ProductSprint Backlog'!$J142&gt;H$2,'ProductSprint Backlog'!$I142&lt;=H$2), 'ProductSprint Backlog'!$F142 / MAX(1, 'ProductSprint Backlog'!$J142-'ProductSprint Backlog'!$I142), AND('ProductSprint Backlog'!$J142=H$2,'ProductSprint Backlog'!$I142=H$2), 'ProductSprint Backlog'!$F142, TRUE, 0)</f>
        <v>0</v>
      </c>
      <c r="I142" s="4" cm="1">
        <f t="array" ref="I142">_xlfn.IFS('ProductSprint Backlog'!$F142="", "", AND('ProductSprint Backlog'!$J142&gt;I$2,'ProductSprint Backlog'!$I142&lt;=I$2), 'ProductSprint Backlog'!$F142 / MAX(1, 'ProductSprint Backlog'!$J142-'ProductSprint Backlog'!$I142), AND('ProductSprint Backlog'!$J142=I$2,'ProductSprint Backlog'!$I142=I$2), 'ProductSprint Backlog'!$F142, TRUE, 0)</f>
        <v>0</v>
      </c>
      <c r="J142" s="4" cm="1">
        <f t="array" ref="J142">_xlfn.IFS('ProductSprint Backlog'!$F142="", "", AND('ProductSprint Backlog'!$J142&gt;J$2,'ProductSprint Backlog'!$I142&lt;=J$2), 'ProductSprint Backlog'!$F142 / MAX(1, 'ProductSprint Backlog'!$J142-'ProductSprint Backlog'!$I142), AND('ProductSprint Backlog'!$J142=J$2,'ProductSprint Backlog'!$I142=J$2), 'ProductSprint Backlog'!$F142, TRUE, 0)</f>
        <v>0</v>
      </c>
      <c r="K142" s="4" cm="1">
        <f t="array" ref="K142">_xlfn.IFS('ProductSprint Backlog'!$F142="", "", AND('ProductSprint Backlog'!$J142&gt;K$2,'ProductSprint Backlog'!$I142&lt;=K$2), 'ProductSprint Backlog'!$F142 / MAX(1, 'ProductSprint Backlog'!$J142-'ProductSprint Backlog'!$I142), AND('ProductSprint Backlog'!$J142=K$2,'ProductSprint Backlog'!$I142=K$2), 'ProductSprint Backlog'!$F142, TRUE, 0)</f>
        <v>0</v>
      </c>
      <c r="L142" s="4" cm="1">
        <f t="array" ref="L142">_xlfn.IFS('ProductSprint Backlog'!$F142="", "", AND('ProductSprint Backlog'!$J142&gt;L$2,'ProductSprint Backlog'!$I142&lt;=L$2), 'ProductSprint Backlog'!$F142 / MAX(1, 'ProductSprint Backlog'!$J142-'ProductSprint Backlog'!$I142), AND('ProductSprint Backlog'!$J142=L$2,'ProductSprint Backlog'!$I142=L$2), 'ProductSprint Backlog'!$F142, TRUE, 0)</f>
        <v>0</v>
      </c>
      <c r="M142" s="4" cm="1">
        <f t="array" ref="M142">_xlfn.IFS('ProductSprint Backlog'!$F142="", "", AND('ProductSprint Backlog'!$J142&gt;M$2,'ProductSprint Backlog'!$I142&lt;=M$2), 'ProductSprint Backlog'!$F142 / MAX(1, 'ProductSprint Backlog'!$J142-'ProductSprint Backlog'!$I142), AND('ProductSprint Backlog'!$J142=M$2,'ProductSprint Backlog'!$I142=M$2), 'ProductSprint Backlog'!$F142, TRUE, 0)</f>
        <v>0</v>
      </c>
      <c r="N142" s="4" cm="1">
        <f t="array" ref="N142">_xlfn.IFS('ProductSprint Backlog'!$F142="", "", AND('ProductSprint Backlog'!$J142&gt;N$2,'ProductSprint Backlog'!$I142&lt;=N$2), 'ProductSprint Backlog'!$F142 / MAX(1, 'ProductSprint Backlog'!$J142-'ProductSprint Backlog'!$I142), AND('ProductSprint Backlog'!$J142=N$2,'ProductSprint Backlog'!$I142=N$2), 'ProductSprint Backlog'!$F142, TRUE, 0)</f>
        <v>0</v>
      </c>
      <c r="O142" s="4" cm="1">
        <f t="array" ref="O142">_xlfn.IFS('ProductSprint Backlog'!$F142="", "", AND('ProductSprint Backlog'!$J142&gt;O$2,'ProductSprint Backlog'!$I142&lt;=O$2), 'ProductSprint Backlog'!$F142 / MAX(1, 'ProductSprint Backlog'!$J142-'ProductSprint Backlog'!$I142), AND('ProductSprint Backlog'!$J142=O$2,'ProductSprint Backlog'!$I142=O$2), 'ProductSprint Backlog'!$F142, TRUE, 0)</f>
        <v>1</v>
      </c>
      <c r="P142" s="4" cm="1">
        <f t="array" ref="P142">_xlfn.IFS('ProductSprint Backlog'!$F142="", "", AND('ProductSprint Backlog'!$J142&gt;P$2,'ProductSprint Backlog'!$I142&lt;=P$2), 'ProductSprint Backlog'!$F142 / MAX(1, 'ProductSprint Backlog'!$J142-'ProductSprint Backlog'!$I142), AND('ProductSprint Backlog'!$J142=P$2,'ProductSprint Backlog'!$I142=P$2), 'ProductSprint Backlog'!$F142, TRUE, 0)</f>
        <v>0</v>
      </c>
      <c r="Q142" s="4" cm="1">
        <f t="array" ref="Q142">_xlfn.IFS('ProductSprint Backlog'!$F142="", "", AND('ProductSprint Backlog'!$J142&gt;Q$2,'ProductSprint Backlog'!$I142&lt;=Q$2), 'ProductSprint Backlog'!$F142 / MAX(1, 'ProductSprint Backlog'!$J142-'ProductSprint Backlog'!$I142), AND('ProductSprint Backlog'!$J142=Q$2,'ProductSprint Backlog'!$I142=Q$2), 'ProductSprint Backlog'!$F142, TRUE, 0)</f>
        <v>0</v>
      </c>
      <c r="R142" s="4" cm="1">
        <f t="array" ref="R142">_xlfn.IFS('ProductSprint Backlog'!$F142="", "", AND('ProductSprint Backlog'!$J142&gt;R$2,'ProductSprint Backlog'!$I142&lt;=R$2), 'ProductSprint Backlog'!$F142 / MAX(1, 'ProductSprint Backlog'!$J142-'ProductSprint Backlog'!$I142), AND('ProductSprint Backlog'!$J142=R$2,'ProductSprint Backlog'!$I142=R$2), 'ProductSprint Backlog'!$F142, TRUE, 0)</f>
        <v>0</v>
      </c>
      <c r="S142" s="4" cm="1">
        <f t="array" ref="S142">_xlfn.IFS('ProductSprint Backlog'!$F142="", "", AND('ProductSprint Backlog'!$J142&gt;S$2,'ProductSprint Backlog'!$I142&lt;=S$2), 'ProductSprint Backlog'!$F142 / MAX(1, 'ProductSprint Backlog'!$J142-'ProductSprint Backlog'!$I142), AND('ProductSprint Backlog'!$J142=S$2,'ProductSprint Backlog'!$I142=S$2), 'ProductSprint Backlog'!$F142, TRUE, 0)</f>
        <v>0</v>
      </c>
      <c r="T142" s="4" cm="1">
        <f t="array" ref="T142">_xlfn.IFS('ProductSprint Backlog'!$F142="", "", AND('ProductSprint Backlog'!$J142&gt;T$2,'ProductSprint Backlog'!$I142&lt;=T$2), 'ProductSprint Backlog'!$F142 / MAX(1, 'ProductSprint Backlog'!$J142-'ProductSprint Backlog'!$I142), AND('ProductSprint Backlog'!$J142=T$2,'ProductSprint Backlog'!$I142=T$2), 'ProductSprint Backlog'!$F142, TRUE, 0)</f>
        <v>0</v>
      </c>
    </row>
    <row r="143" spans="2:20" x14ac:dyDescent="0.2">
      <c r="B143" s="4" cm="1">
        <f t="array" ref="B143">_xlfn.IFS('ProductSprint Backlog'!$F143="", "", AND('ProductSprint Backlog'!$J143&gt;B$2,'ProductSprint Backlog'!$I143&lt;=B$2), 'ProductSprint Backlog'!$F143 / MAX(1, 'ProductSprint Backlog'!$J143-'ProductSprint Backlog'!$I143), AND('ProductSprint Backlog'!$J143=B$2,'ProductSprint Backlog'!$I143=B$2), 'ProductSprint Backlog'!$F143, TRUE, 0)</f>
        <v>0</v>
      </c>
      <c r="C143" s="4" cm="1">
        <f t="array" ref="C143">_xlfn.IFS('ProductSprint Backlog'!$F143="", "", AND('ProductSprint Backlog'!$J143&gt;C$2,'ProductSprint Backlog'!$I143&lt;=C$2), 'ProductSprint Backlog'!$F143 / MAX(1, 'ProductSprint Backlog'!$J143-'ProductSprint Backlog'!$I143), AND('ProductSprint Backlog'!$J143=C$2,'ProductSprint Backlog'!$I143=C$2), 'ProductSprint Backlog'!$F143, TRUE, 0)</f>
        <v>0</v>
      </c>
      <c r="D143" s="4" cm="1">
        <f t="array" ref="D143">_xlfn.IFS('ProductSprint Backlog'!$F143="", "", AND('ProductSprint Backlog'!$J143&gt;D$2,'ProductSprint Backlog'!$I143&lt;=D$2), 'ProductSprint Backlog'!$F143 / MAX(1, 'ProductSprint Backlog'!$J143-'ProductSprint Backlog'!$I143), AND('ProductSprint Backlog'!$J143=D$2,'ProductSprint Backlog'!$I143=D$2), 'ProductSprint Backlog'!$F143, TRUE, 0)</f>
        <v>0</v>
      </c>
      <c r="E143" s="4" cm="1">
        <f t="array" ref="E143">_xlfn.IFS('ProductSprint Backlog'!$F143="", "", AND('ProductSprint Backlog'!$J143&gt;E$2,'ProductSprint Backlog'!$I143&lt;=E$2), 'ProductSprint Backlog'!$F143 / MAX(1, 'ProductSprint Backlog'!$J143-'ProductSprint Backlog'!$I143), AND('ProductSprint Backlog'!$J143=E$2,'ProductSprint Backlog'!$I143=E$2), 'ProductSprint Backlog'!$F143, TRUE, 0)</f>
        <v>0</v>
      </c>
      <c r="F143" s="4" cm="1">
        <f t="array" ref="F143">_xlfn.IFS('ProductSprint Backlog'!$F143="", "", AND('ProductSprint Backlog'!$J143&gt;F$2,'ProductSprint Backlog'!$I143&lt;=F$2), 'ProductSprint Backlog'!$F143 / MAX(1, 'ProductSprint Backlog'!$J143-'ProductSprint Backlog'!$I143), AND('ProductSprint Backlog'!$J143=F$2,'ProductSprint Backlog'!$I143=F$2), 'ProductSprint Backlog'!$F143, TRUE, 0)</f>
        <v>0</v>
      </c>
      <c r="G143" s="4" cm="1">
        <f t="array" ref="G143">_xlfn.IFS('ProductSprint Backlog'!$F143="", "", AND('ProductSprint Backlog'!$J143&gt;G$2,'ProductSprint Backlog'!$I143&lt;=G$2), 'ProductSprint Backlog'!$F143 / MAX(1, 'ProductSprint Backlog'!$J143-'ProductSprint Backlog'!$I143), AND('ProductSprint Backlog'!$J143=G$2,'ProductSprint Backlog'!$I143=G$2), 'ProductSprint Backlog'!$F143, TRUE, 0)</f>
        <v>0</v>
      </c>
      <c r="H143" s="4" cm="1">
        <f t="array" ref="H143">_xlfn.IFS('ProductSprint Backlog'!$F143="", "", AND('ProductSprint Backlog'!$J143&gt;H$2,'ProductSprint Backlog'!$I143&lt;=H$2), 'ProductSprint Backlog'!$F143 / MAX(1, 'ProductSprint Backlog'!$J143-'ProductSprint Backlog'!$I143), AND('ProductSprint Backlog'!$J143=H$2,'ProductSprint Backlog'!$I143=H$2), 'ProductSprint Backlog'!$F143, TRUE, 0)</f>
        <v>0</v>
      </c>
      <c r="I143" s="4" cm="1">
        <f t="array" ref="I143">_xlfn.IFS('ProductSprint Backlog'!$F143="", "", AND('ProductSprint Backlog'!$J143&gt;I$2,'ProductSprint Backlog'!$I143&lt;=I$2), 'ProductSprint Backlog'!$F143 / MAX(1, 'ProductSprint Backlog'!$J143-'ProductSprint Backlog'!$I143), AND('ProductSprint Backlog'!$J143=I$2,'ProductSprint Backlog'!$I143=I$2), 'ProductSprint Backlog'!$F143, TRUE, 0)</f>
        <v>0</v>
      </c>
      <c r="J143" s="4" cm="1">
        <f t="array" ref="J143">_xlfn.IFS('ProductSprint Backlog'!$F143="", "", AND('ProductSprint Backlog'!$J143&gt;J$2,'ProductSprint Backlog'!$I143&lt;=J$2), 'ProductSprint Backlog'!$F143 / MAX(1, 'ProductSprint Backlog'!$J143-'ProductSprint Backlog'!$I143), AND('ProductSprint Backlog'!$J143=J$2,'ProductSprint Backlog'!$I143=J$2), 'ProductSprint Backlog'!$F143, TRUE, 0)</f>
        <v>0</v>
      </c>
      <c r="K143" s="4" cm="1">
        <f t="array" ref="K143">_xlfn.IFS('ProductSprint Backlog'!$F143="", "", AND('ProductSprint Backlog'!$J143&gt;K$2,'ProductSprint Backlog'!$I143&lt;=K$2), 'ProductSprint Backlog'!$F143 / MAX(1, 'ProductSprint Backlog'!$J143-'ProductSprint Backlog'!$I143), AND('ProductSprint Backlog'!$J143=K$2,'ProductSprint Backlog'!$I143=K$2), 'ProductSprint Backlog'!$F143, TRUE, 0)</f>
        <v>0</v>
      </c>
      <c r="L143" s="4" cm="1">
        <f t="array" ref="L143">_xlfn.IFS('ProductSprint Backlog'!$F143="", "", AND('ProductSprint Backlog'!$J143&gt;L$2,'ProductSprint Backlog'!$I143&lt;=L$2), 'ProductSprint Backlog'!$F143 / MAX(1, 'ProductSprint Backlog'!$J143-'ProductSprint Backlog'!$I143), AND('ProductSprint Backlog'!$J143=L$2,'ProductSprint Backlog'!$I143=L$2), 'ProductSprint Backlog'!$F143, TRUE, 0)</f>
        <v>0</v>
      </c>
      <c r="M143" s="4" cm="1">
        <f t="array" ref="M143">_xlfn.IFS('ProductSprint Backlog'!$F143="", "", AND('ProductSprint Backlog'!$J143&gt;M$2,'ProductSprint Backlog'!$I143&lt;=M$2), 'ProductSprint Backlog'!$F143 / MAX(1, 'ProductSprint Backlog'!$J143-'ProductSprint Backlog'!$I143), AND('ProductSprint Backlog'!$J143=M$2,'ProductSprint Backlog'!$I143=M$2), 'ProductSprint Backlog'!$F143, TRUE, 0)</f>
        <v>0</v>
      </c>
      <c r="N143" s="4" cm="1">
        <f t="array" ref="N143">_xlfn.IFS('ProductSprint Backlog'!$F143="", "", AND('ProductSprint Backlog'!$J143&gt;N$2,'ProductSprint Backlog'!$I143&lt;=N$2), 'ProductSprint Backlog'!$F143 / MAX(1, 'ProductSprint Backlog'!$J143-'ProductSprint Backlog'!$I143), AND('ProductSprint Backlog'!$J143=N$2,'ProductSprint Backlog'!$I143=N$2), 'ProductSprint Backlog'!$F143, TRUE, 0)</f>
        <v>0</v>
      </c>
      <c r="O143" s="4" cm="1">
        <f t="array" ref="O143">_xlfn.IFS('ProductSprint Backlog'!$F143="", "", AND('ProductSprint Backlog'!$J143&gt;O$2,'ProductSprint Backlog'!$I143&lt;=O$2), 'ProductSprint Backlog'!$F143 / MAX(1, 'ProductSprint Backlog'!$J143-'ProductSprint Backlog'!$I143), AND('ProductSprint Backlog'!$J143=O$2,'ProductSprint Backlog'!$I143=O$2), 'ProductSprint Backlog'!$F143, TRUE, 0)</f>
        <v>1</v>
      </c>
      <c r="P143" s="4" cm="1">
        <f t="array" ref="P143">_xlfn.IFS('ProductSprint Backlog'!$F143="", "", AND('ProductSprint Backlog'!$J143&gt;P$2,'ProductSprint Backlog'!$I143&lt;=P$2), 'ProductSprint Backlog'!$F143 / MAX(1, 'ProductSprint Backlog'!$J143-'ProductSprint Backlog'!$I143), AND('ProductSprint Backlog'!$J143=P$2,'ProductSprint Backlog'!$I143=P$2), 'ProductSprint Backlog'!$F143, TRUE, 0)</f>
        <v>0</v>
      </c>
      <c r="Q143" s="4" cm="1">
        <f t="array" ref="Q143">_xlfn.IFS('ProductSprint Backlog'!$F143="", "", AND('ProductSprint Backlog'!$J143&gt;Q$2,'ProductSprint Backlog'!$I143&lt;=Q$2), 'ProductSprint Backlog'!$F143 / MAX(1, 'ProductSprint Backlog'!$J143-'ProductSprint Backlog'!$I143), AND('ProductSprint Backlog'!$J143=Q$2,'ProductSprint Backlog'!$I143=Q$2), 'ProductSprint Backlog'!$F143, TRUE, 0)</f>
        <v>0</v>
      </c>
      <c r="R143" s="4" cm="1">
        <f t="array" ref="R143">_xlfn.IFS('ProductSprint Backlog'!$F143="", "", AND('ProductSprint Backlog'!$J143&gt;R$2,'ProductSprint Backlog'!$I143&lt;=R$2), 'ProductSprint Backlog'!$F143 / MAX(1, 'ProductSprint Backlog'!$J143-'ProductSprint Backlog'!$I143), AND('ProductSprint Backlog'!$J143=R$2,'ProductSprint Backlog'!$I143=R$2), 'ProductSprint Backlog'!$F143, TRUE, 0)</f>
        <v>0</v>
      </c>
      <c r="S143" s="4" cm="1">
        <f t="array" ref="S143">_xlfn.IFS('ProductSprint Backlog'!$F143="", "", AND('ProductSprint Backlog'!$J143&gt;S$2,'ProductSprint Backlog'!$I143&lt;=S$2), 'ProductSprint Backlog'!$F143 / MAX(1, 'ProductSprint Backlog'!$J143-'ProductSprint Backlog'!$I143), AND('ProductSprint Backlog'!$J143=S$2,'ProductSprint Backlog'!$I143=S$2), 'ProductSprint Backlog'!$F143, TRUE, 0)</f>
        <v>0</v>
      </c>
      <c r="T143" s="4" cm="1">
        <f t="array" ref="T143">_xlfn.IFS('ProductSprint Backlog'!$F143="", "", AND('ProductSprint Backlog'!$J143&gt;T$2,'ProductSprint Backlog'!$I143&lt;=T$2), 'ProductSprint Backlog'!$F143 / MAX(1, 'ProductSprint Backlog'!$J143-'ProductSprint Backlog'!$I143), AND('ProductSprint Backlog'!$J143=T$2,'ProductSprint Backlog'!$I143=T$2), 'ProductSprint Backlog'!$F143, TRUE, 0)</f>
        <v>0</v>
      </c>
    </row>
    <row r="144" spans="2:20" x14ac:dyDescent="0.2">
      <c r="B144" s="4" cm="1">
        <f t="array" ref="B144">_xlfn.IFS('ProductSprint Backlog'!$F144="", "", AND('ProductSprint Backlog'!$J144&gt;B$2,'ProductSprint Backlog'!$I144&lt;=B$2), 'ProductSprint Backlog'!$F144 / MAX(1, 'ProductSprint Backlog'!$J144-'ProductSprint Backlog'!$I144), AND('ProductSprint Backlog'!$J144=B$2,'ProductSprint Backlog'!$I144=B$2), 'ProductSprint Backlog'!$F144, TRUE, 0)</f>
        <v>0.33333333333333331</v>
      </c>
      <c r="C144" s="4" cm="1">
        <f t="array" ref="C144">_xlfn.IFS('ProductSprint Backlog'!$F144="", "", AND('ProductSprint Backlog'!$J144&gt;C$2,'ProductSprint Backlog'!$I144&lt;=C$2), 'ProductSprint Backlog'!$F144 / MAX(1, 'ProductSprint Backlog'!$J144-'ProductSprint Backlog'!$I144), AND('ProductSprint Backlog'!$J144=C$2,'ProductSprint Backlog'!$I144=C$2), 'ProductSprint Backlog'!$F144, TRUE, 0)</f>
        <v>0.33333333333333331</v>
      </c>
      <c r="D144" s="4" cm="1">
        <f t="array" ref="D144">_xlfn.IFS('ProductSprint Backlog'!$F144="", "", AND('ProductSprint Backlog'!$J144&gt;D$2,'ProductSprint Backlog'!$I144&lt;=D$2), 'ProductSprint Backlog'!$F144 / MAX(1, 'ProductSprint Backlog'!$J144-'ProductSprint Backlog'!$I144), AND('ProductSprint Backlog'!$J144=D$2,'ProductSprint Backlog'!$I144=D$2), 'ProductSprint Backlog'!$F144, TRUE, 0)</f>
        <v>0.33333333333333331</v>
      </c>
      <c r="E144" s="4" cm="1">
        <f t="array" ref="E144">_xlfn.IFS('ProductSprint Backlog'!$F144="", "", AND('ProductSprint Backlog'!$J144&gt;E$2,'ProductSprint Backlog'!$I144&lt;=E$2), 'ProductSprint Backlog'!$F144 / MAX(1, 'ProductSprint Backlog'!$J144-'ProductSprint Backlog'!$I144), AND('ProductSprint Backlog'!$J144=E$2,'ProductSprint Backlog'!$I144=E$2), 'ProductSprint Backlog'!$F144, TRUE, 0)</f>
        <v>0</v>
      </c>
      <c r="F144" s="4" cm="1">
        <f t="array" ref="F144">_xlfn.IFS('ProductSprint Backlog'!$F144="", "", AND('ProductSprint Backlog'!$J144&gt;F$2,'ProductSprint Backlog'!$I144&lt;=F$2), 'ProductSprint Backlog'!$F144 / MAX(1, 'ProductSprint Backlog'!$J144-'ProductSprint Backlog'!$I144), AND('ProductSprint Backlog'!$J144=F$2,'ProductSprint Backlog'!$I144=F$2), 'ProductSprint Backlog'!$F144, TRUE, 0)</f>
        <v>0</v>
      </c>
      <c r="G144" s="4" cm="1">
        <f t="array" ref="G144">_xlfn.IFS('ProductSprint Backlog'!$F144="", "", AND('ProductSprint Backlog'!$J144&gt;G$2,'ProductSprint Backlog'!$I144&lt;=G$2), 'ProductSprint Backlog'!$F144 / MAX(1, 'ProductSprint Backlog'!$J144-'ProductSprint Backlog'!$I144), AND('ProductSprint Backlog'!$J144=G$2,'ProductSprint Backlog'!$I144=G$2), 'ProductSprint Backlog'!$F144, TRUE, 0)</f>
        <v>0</v>
      </c>
      <c r="H144" s="4" cm="1">
        <f t="array" ref="H144">_xlfn.IFS('ProductSprint Backlog'!$F144="", "", AND('ProductSprint Backlog'!$J144&gt;H$2,'ProductSprint Backlog'!$I144&lt;=H$2), 'ProductSprint Backlog'!$F144 / MAX(1, 'ProductSprint Backlog'!$J144-'ProductSprint Backlog'!$I144), AND('ProductSprint Backlog'!$J144=H$2,'ProductSprint Backlog'!$I144=H$2), 'ProductSprint Backlog'!$F144, TRUE, 0)</f>
        <v>0</v>
      </c>
      <c r="I144" s="4" cm="1">
        <f t="array" ref="I144">_xlfn.IFS('ProductSprint Backlog'!$F144="", "", AND('ProductSprint Backlog'!$J144&gt;I$2,'ProductSprint Backlog'!$I144&lt;=I$2), 'ProductSprint Backlog'!$F144 / MAX(1, 'ProductSprint Backlog'!$J144-'ProductSprint Backlog'!$I144), AND('ProductSprint Backlog'!$J144=I$2,'ProductSprint Backlog'!$I144=I$2), 'ProductSprint Backlog'!$F144, TRUE, 0)</f>
        <v>0</v>
      </c>
      <c r="J144" s="4" cm="1">
        <f t="array" ref="J144">_xlfn.IFS('ProductSprint Backlog'!$F144="", "", AND('ProductSprint Backlog'!$J144&gt;J$2,'ProductSprint Backlog'!$I144&lt;=J$2), 'ProductSprint Backlog'!$F144 / MAX(1, 'ProductSprint Backlog'!$J144-'ProductSprint Backlog'!$I144), AND('ProductSprint Backlog'!$J144=J$2,'ProductSprint Backlog'!$I144=J$2), 'ProductSprint Backlog'!$F144, TRUE, 0)</f>
        <v>0</v>
      </c>
      <c r="K144" s="4" cm="1">
        <f t="array" ref="K144">_xlfn.IFS('ProductSprint Backlog'!$F144="", "", AND('ProductSprint Backlog'!$J144&gt;K$2,'ProductSprint Backlog'!$I144&lt;=K$2), 'ProductSprint Backlog'!$F144 / MAX(1, 'ProductSprint Backlog'!$J144-'ProductSprint Backlog'!$I144), AND('ProductSprint Backlog'!$J144=K$2,'ProductSprint Backlog'!$I144=K$2), 'ProductSprint Backlog'!$F144, TRUE, 0)</f>
        <v>0</v>
      </c>
      <c r="L144" s="4" cm="1">
        <f t="array" ref="L144">_xlfn.IFS('ProductSprint Backlog'!$F144="", "", AND('ProductSprint Backlog'!$J144&gt;L$2,'ProductSprint Backlog'!$I144&lt;=L$2), 'ProductSprint Backlog'!$F144 / MAX(1, 'ProductSprint Backlog'!$J144-'ProductSprint Backlog'!$I144), AND('ProductSprint Backlog'!$J144=L$2,'ProductSprint Backlog'!$I144=L$2), 'ProductSprint Backlog'!$F144, TRUE, 0)</f>
        <v>0</v>
      </c>
      <c r="M144" s="4" cm="1">
        <f t="array" ref="M144">_xlfn.IFS('ProductSprint Backlog'!$F144="", "", AND('ProductSprint Backlog'!$J144&gt;M$2,'ProductSprint Backlog'!$I144&lt;=M$2), 'ProductSprint Backlog'!$F144 / MAX(1, 'ProductSprint Backlog'!$J144-'ProductSprint Backlog'!$I144), AND('ProductSprint Backlog'!$J144=M$2,'ProductSprint Backlog'!$I144=M$2), 'ProductSprint Backlog'!$F144, TRUE, 0)</f>
        <v>0</v>
      </c>
      <c r="N144" s="4" cm="1">
        <f t="array" ref="N144">_xlfn.IFS('ProductSprint Backlog'!$F144="", "", AND('ProductSprint Backlog'!$J144&gt;N$2,'ProductSprint Backlog'!$I144&lt;=N$2), 'ProductSprint Backlog'!$F144 / MAX(1, 'ProductSprint Backlog'!$J144-'ProductSprint Backlog'!$I144), AND('ProductSprint Backlog'!$J144=N$2,'ProductSprint Backlog'!$I144=N$2), 'ProductSprint Backlog'!$F144, TRUE, 0)</f>
        <v>0</v>
      </c>
      <c r="O144" s="4" cm="1">
        <f t="array" ref="O144">_xlfn.IFS('ProductSprint Backlog'!$F144="", "", AND('ProductSprint Backlog'!$J144&gt;O$2,'ProductSprint Backlog'!$I144&lt;=O$2), 'ProductSprint Backlog'!$F144 / MAX(1, 'ProductSprint Backlog'!$J144-'ProductSprint Backlog'!$I144), AND('ProductSprint Backlog'!$J144=O$2,'ProductSprint Backlog'!$I144=O$2), 'ProductSprint Backlog'!$F144, TRUE, 0)</f>
        <v>0</v>
      </c>
      <c r="P144" s="4" cm="1">
        <f t="array" ref="P144">_xlfn.IFS('ProductSprint Backlog'!$F144="", "", AND('ProductSprint Backlog'!$J144&gt;P$2,'ProductSprint Backlog'!$I144&lt;=P$2), 'ProductSprint Backlog'!$F144 / MAX(1, 'ProductSprint Backlog'!$J144-'ProductSprint Backlog'!$I144), AND('ProductSprint Backlog'!$J144=P$2,'ProductSprint Backlog'!$I144=P$2), 'ProductSprint Backlog'!$F144, TRUE, 0)</f>
        <v>0</v>
      </c>
      <c r="Q144" s="4" cm="1">
        <f t="array" ref="Q144">_xlfn.IFS('ProductSprint Backlog'!$F144="", "", AND('ProductSprint Backlog'!$J144&gt;Q$2,'ProductSprint Backlog'!$I144&lt;=Q$2), 'ProductSprint Backlog'!$F144 / MAX(1, 'ProductSprint Backlog'!$J144-'ProductSprint Backlog'!$I144), AND('ProductSprint Backlog'!$J144=Q$2,'ProductSprint Backlog'!$I144=Q$2), 'ProductSprint Backlog'!$F144, TRUE, 0)</f>
        <v>0</v>
      </c>
      <c r="R144" s="4" cm="1">
        <f t="array" ref="R144">_xlfn.IFS('ProductSprint Backlog'!$F144="", "", AND('ProductSprint Backlog'!$J144&gt;R$2,'ProductSprint Backlog'!$I144&lt;=R$2), 'ProductSprint Backlog'!$F144 / MAX(1, 'ProductSprint Backlog'!$J144-'ProductSprint Backlog'!$I144), AND('ProductSprint Backlog'!$J144=R$2,'ProductSprint Backlog'!$I144=R$2), 'ProductSprint Backlog'!$F144, TRUE, 0)</f>
        <v>0</v>
      </c>
      <c r="S144" s="4" cm="1">
        <f t="array" ref="S144">_xlfn.IFS('ProductSprint Backlog'!$F144="", "", AND('ProductSprint Backlog'!$J144&gt;S$2,'ProductSprint Backlog'!$I144&lt;=S$2), 'ProductSprint Backlog'!$F144 / MAX(1, 'ProductSprint Backlog'!$J144-'ProductSprint Backlog'!$I144), AND('ProductSprint Backlog'!$J144=S$2,'ProductSprint Backlog'!$I144=S$2), 'ProductSprint Backlog'!$F144, TRUE, 0)</f>
        <v>0</v>
      </c>
      <c r="T144" s="4" cm="1">
        <f t="array" ref="T144">_xlfn.IFS('ProductSprint Backlog'!$F144="", "", AND('ProductSprint Backlog'!$J144&gt;T$2,'ProductSprint Backlog'!$I144&lt;=T$2), 'ProductSprint Backlog'!$F144 / MAX(1, 'ProductSprint Backlog'!$J144-'ProductSprint Backlog'!$I144), AND('ProductSprint Backlog'!$J144=T$2,'ProductSprint Backlog'!$I144=T$2), 'ProductSprint Backlog'!$F144, TRUE, 0)</f>
        <v>0</v>
      </c>
    </row>
    <row r="145" spans="2:20" x14ac:dyDescent="0.2">
      <c r="B145" s="4" cm="1">
        <f t="array" ref="B145">_xlfn.IFS('ProductSprint Backlog'!$F145="", "", AND('ProductSprint Backlog'!$J145&gt;B$2,'ProductSprint Backlog'!$I145&lt;=B$2), 'ProductSprint Backlog'!$F145 / MAX(1, 'ProductSprint Backlog'!$J145-'ProductSprint Backlog'!$I145), AND('ProductSprint Backlog'!$J145=B$2,'ProductSprint Backlog'!$I145=B$2), 'ProductSprint Backlog'!$F145, TRUE, 0)</f>
        <v>0.33333333333333331</v>
      </c>
      <c r="C145" s="4" cm="1">
        <f t="array" ref="C145">_xlfn.IFS('ProductSprint Backlog'!$F145="", "", AND('ProductSprint Backlog'!$J145&gt;C$2,'ProductSprint Backlog'!$I145&lt;=C$2), 'ProductSprint Backlog'!$F145 / MAX(1, 'ProductSprint Backlog'!$J145-'ProductSprint Backlog'!$I145), AND('ProductSprint Backlog'!$J145=C$2,'ProductSprint Backlog'!$I145=C$2), 'ProductSprint Backlog'!$F145, TRUE, 0)</f>
        <v>0.33333333333333331</v>
      </c>
      <c r="D145" s="4" cm="1">
        <f t="array" ref="D145">_xlfn.IFS('ProductSprint Backlog'!$F145="", "", AND('ProductSprint Backlog'!$J145&gt;D$2,'ProductSprint Backlog'!$I145&lt;=D$2), 'ProductSprint Backlog'!$F145 / MAX(1, 'ProductSprint Backlog'!$J145-'ProductSprint Backlog'!$I145), AND('ProductSprint Backlog'!$J145=D$2,'ProductSprint Backlog'!$I145=D$2), 'ProductSprint Backlog'!$F145, TRUE, 0)</f>
        <v>0.33333333333333331</v>
      </c>
      <c r="E145" s="4" cm="1">
        <f t="array" ref="E145">_xlfn.IFS('ProductSprint Backlog'!$F145="", "", AND('ProductSprint Backlog'!$J145&gt;E$2,'ProductSprint Backlog'!$I145&lt;=E$2), 'ProductSprint Backlog'!$F145 / MAX(1, 'ProductSprint Backlog'!$J145-'ProductSprint Backlog'!$I145), AND('ProductSprint Backlog'!$J145=E$2,'ProductSprint Backlog'!$I145=E$2), 'ProductSprint Backlog'!$F145, TRUE, 0)</f>
        <v>0</v>
      </c>
      <c r="F145" s="4" cm="1">
        <f t="array" ref="F145">_xlfn.IFS('ProductSprint Backlog'!$F145="", "", AND('ProductSprint Backlog'!$J145&gt;F$2,'ProductSprint Backlog'!$I145&lt;=F$2), 'ProductSprint Backlog'!$F145 / MAX(1, 'ProductSprint Backlog'!$J145-'ProductSprint Backlog'!$I145), AND('ProductSprint Backlog'!$J145=F$2,'ProductSprint Backlog'!$I145=F$2), 'ProductSprint Backlog'!$F145, TRUE, 0)</f>
        <v>0</v>
      </c>
      <c r="G145" s="4" cm="1">
        <f t="array" ref="G145">_xlfn.IFS('ProductSprint Backlog'!$F145="", "", AND('ProductSprint Backlog'!$J145&gt;G$2,'ProductSprint Backlog'!$I145&lt;=G$2), 'ProductSprint Backlog'!$F145 / MAX(1, 'ProductSprint Backlog'!$J145-'ProductSprint Backlog'!$I145), AND('ProductSprint Backlog'!$J145=G$2,'ProductSprint Backlog'!$I145=G$2), 'ProductSprint Backlog'!$F145, TRUE, 0)</f>
        <v>0</v>
      </c>
      <c r="H145" s="4" cm="1">
        <f t="array" ref="H145">_xlfn.IFS('ProductSprint Backlog'!$F145="", "", AND('ProductSprint Backlog'!$J145&gt;H$2,'ProductSprint Backlog'!$I145&lt;=H$2), 'ProductSprint Backlog'!$F145 / MAX(1, 'ProductSprint Backlog'!$J145-'ProductSprint Backlog'!$I145), AND('ProductSprint Backlog'!$J145=H$2,'ProductSprint Backlog'!$I145=H$2), 'ProductSprint Backlog'!$F145, TRUE, 0)</f>
        <v>0</v>
      </c>
      <c r="I145" s="4" cm="1">
        <f t="array" ref="I145">_xlfn.IFS('ProductSprint Backlog'!$F145="", "", AND('ProductSprint Backlog'!$J145&gt;I$2,'ProductSprint Backlog'!$I145&lt;=I$2), 'ProductSprint Backlog'!$F145 / MAX(1, 'ProductSprint Backlog'!$J145-'ProductSprint Backlog'!$I145), AND('ProductSprint Backlog'!$J145=I$2,'ProductSprint Backlog'!$I145=I$2), 'ProductSprint Backlog'!$F145, TRUE, 0)</f>
        <v>0</v>
      </c>
      <c r="J145" s="4" cm="1">
        <f t="array" ref="J145">_xlfn.IFS('ProductSprint Backlog'!$F145="", "", AND('ProductSprint Backlog'!$J145&gt;J$2,'ProductSprint Backlog'!$I145&lt;=J$2), 'ProductSprint Backlog'!$F145 / MAX(1, 'ProductSprint Backlog'!$J145-'ProductSprint Backlog'!$I145), AND('ProductSprint Backlog'!$J145=J$2,'ProductSprint Backlog'!$I145=J$2), 'ProductSprint Backlog'!$F145, TRUE, 0)</f>
        <v>0</v>
      </c>
      <c r="K145" s="4" cm="1">
        <f t="array" ref="K145">_xlfn.IFS('ProductSprint Backlog'!$F145="", "", AND('ProductSprint Backlog'!$J145&gt;K$2,'ProductSprint Backlog'!$I145&lt;=K$2), 'ProductSprint Backlog'!$F145 / MAX(1, 'ProductSprint Backlog'!$J145-'ProductSprint Backlog'!$I145), AND('ProductSprint Backlog'!$J145=K$2,'ProductSprint Backlog'!$I145=K$2), 'ProductSprint Backlog'!$F145, TRUE, 0)</f>
        <v>0</v>
      </c>
      <c r="L145" s="4" cm="1">
        <f t="array" ref="L145">_xlfn.IFS('ProductSprint Backlog'!$F145="", "", AND('ProductSprint Backlog'!$J145&gt;L$2,'ProductSprint Backlog'!$I145&lt;=L$2), 'ProductSprint Backlog'!$F145 / MAX(1, 'ProductSprint Backlog'!$J145-'ProductSprint Backlog'!$I145), AND('ProductSprint Backlog'!$J145=L$2,'ProductSprint Backlog'!$I145=L$2), 'ProductSprint Backlog'!$F145, TRUE, 0)</f>
        <v>0</v>
      </c>
      <c r="M145" s="4" cm="1">
        <f t="array" ref="M145">_xlfn.IFS('ProductSprint Backlog'!$F145="", "", AND('ProductSprint Backlog'!$J145&gt;M$2,'ProductSprint Backlog'!$I145&lt;=M$2), 'ProductSprint Backlog'!$F145 / MAX(1, 'ProductSprint Backlog'!$J145-'ProductSprint Backlog'!$I145), AND('ProductSprint Backlog'!$J145=M$2,'ProductSprint Backlog'!$I145=M$2), 'ProductSprint Backlog'!$F145, TRUE, 0)</f>
        <v>0</v>
      </c>
      <c r="N145" s="4" cm="1">
        <f t="array" ref="N145">_xlfn.IFS('ProductSprint Backlog'!$F145="", "", AND('ProductSprint Backlog'!$J145&gt;N$2,'ProductSprint Backlog'!$I145&lt;=N$2), 'ProductSprint Backlog'!$F145 / MAX(1, 'ProductSprint Backlog'!$J145-'ProductSprint Backlog'!$I145), AND('ProductSprint Backlog'!$J145=N$2,'ProductSprint Backlog'!$I145=N$2), 'ProductSprint Backlog'!$F145, TRUE, 0)</f>
        <v>0</v>
      </c>
      <c r="O145" s="4" cm="1">
        <f t="array" ref="O145">_xlfn.IFS('ProductSprint Backlog'!$F145="", "", AND('ProductSprint Backlog'!$J145&gt;O$2,'ProductSprint Backlog'!$I145&lt;=O$2), 'ProductSprint Backlog'!$F145 / MAX(1, 'ProductSprint Backlog'!$J145-'ProductSprint Backlog'!$I145), AND('ProductSprint Backlog'!$J145=O$2,'ProductSprint Backlog'!$I145=O$2), 'ProductSprint Backlog'!$F145, TRUE, 0)</f>
        <v>0</v>
      </c>
      <c r="P145" s="4" cm="1">
        <f t="array" ref="P145">_xlfn.IFS('ProductSprint Backlog'!$F145="", "", AND('ProductSprint Backlog'!$J145&gt;P$2,'ProductSprint Backlog'!$I145&lt;=P$2), 'ProductSprint Backlog'!$F145 / MAX(1, 'ProductSprint Backlog'!$J145-'ProductSprint Backlog'!$I145), AND('ProductSprint Backlog'!$J145=P$2,'ProductSprint Backlog'!$I145=P$2), 'ProductSprint Backlog'!$F145, TRUE, 0)</f>
        <v>0</v>
      </c>
      <c r="Q145" s="4" cm="1">
        <f t="array" ref="Q145">_xlfn.IFS('ProductSprint Backlog'!$F145="", "", AND('ProductSprint Backlog'!$J145&gt;Q$2,'ProductSprint Backlog'!$I145&lt;=Q$2), 'ProductSprint Backlog'!$F145 / MAX(1, 'ProductSprint Backlog'!$J145-'ProductSprint Backlog'!$I145), AND('ProductSprint Backlog'!$J145=Q$2,'ProductSprint Backlog'!$I145=Q$2), 'ProductSprint Backlog'!$F145, TRUE, 0)</f>
        <v>0</v>
      </c>
      <c r="R145" s="4" cm="1">
        <f t="array" ref="R145">_xlfn.IFS('ProductSprint Backlog'!$F145="", "", AND('ProductSprint Backlog'!$J145&gt;R$2,'ProductSprint Backlog'!$I145&lt;=R$2), 'ProductSprint Backlog'!$F145 / MAX(1, 'ProductSprint Backlog'!$J145-'ProductSprint Backlog'!$I145), AND('ProductSprint Backlog'!$J145=R$2,'ProductSprint Backlog'!$I145=R$2), 'ProductSprint Backlog'!$F145, TRUE, 0)</f>
        <v>0</v>
      </c>
      <c r="S145" s="4" cm="1">
        <f t="array" ref="S145">_xlfn.IFS('ProductSprint Backlog'!$F145="", "", AND('ProductSprint Backlog'!$J145&gt;S$2,'ProductSprint Backlog'!$I145&lt;=S$2), 'ProductSprint Backlog'!$F145 / MAX(1, 'ProductSprint Backlog'!$J145-'ProductSprint Backlog'!$I145), AND('ProductSprint Backlog'!$J145=S$2,'ProductSprint Backlog'!$I145=S$2), 'ProductSprint Backlog'!$F145, TRUE, 0)</f>
        <v>0</v>
      </c>
      <c r="T145" s="4" cm="1">
        <f t="array" ref="T145">_xlfn.IFS('ProductSprint Backlog'!$F145="", "", AND('ProductSprint Backlog'!$J145&gt;T$2,'ProductSprint Backlog'!$I145&lt;=T$2), 'ProductSprint Backlog'!$F145 / MAX(1, 'ProductSprint Backlog'!$J145-'ProductSprint Backlog'!$I145), AND('ProductSprint Backlog'!$J145=T$2,'ProductSprint Backlog'!$I145=T$2), 'ProductSprint Backlog'!$F145, TRUE, 0)</f>
        <v>0</v>
      </c>
    </row>
    <row r="146" spans="2:20" x14ac:dyDescent="0.2">
      <c r="B146" s="4" cm="1">
        <f t="array" ref="B146">_xlfn.IFS('ProductSprint Backlog'!$F146="", "", AND('ProductSprint Backlog'!$J146&gt;B$2,'ProductSprint Backlog'!$I146&lt;=B$2), 'ProductSprint Backlog'!$F146 / MAX(1, 'ProductSprint Backlog'!$J146-'ProductSprint Backlog'!$I146), AND('ProductSprint Backlog'!$J146=B$2,'ProductSprint Backlog'!$I146=B$2), 'ProductSprint Backlog'!$F146, TRUE, 0)</f>
        <v>0.33333333333333331</v>
      </c>
      <c r="C146" s="4" cm="1">
        <f t="array" ref="C146">_xlfn.IFS('ProductSprint Backlog'!$F146="", "", AND('ProductSprint Backlog'!$J146&gt;C$2,'ProductSprint Backlog'!$I146&lt;=C$2), 'ProductSprint Backlog'!$F146 / MAX(1, 'ProductSprint Backlog'!$J146-'ProductSprint Backlog'!$I146), AND('ProductSprint Backlog'!$J146=C$2,'ProductSprint Backlog'!$I146=C$2), 'ProductSprint Backlog'!$F146, TRUE, 0)</f>
        <v>0.33333333333333331</v>
      </c>
      <c r="D146" s="4" cm="1">
        <f t="array" ref="D146">_xlfn.IFS('ProductSprint Backlog'!$F146="", "", AND('ProductSprint Backlog'!$J146&gt;D$2,'ProductSprint Backlog'!$I146&lt;=D$2), 'ProductSprint Backlog'!$F146 / MAX(1, 'ProductSprint Backlog'!$J146-'ProductSprint Backlog'!$I146), AND('ProductSprint Backlog'!$J146=D$2,'ProductSprint Backlog'!$I146=D$2), 'ProductSprint Backlog'!$F146, TRUE, 0)</f>
        <v>0.33333333333333331</v>
      </c>
      <c r="E146" s="4" cm="1">
        <f t="array" ref="E146">_xlfn.IFS('ProductSprint Backlog'!$F146="", "", AND('ProductSprint Backlog'!$J146&gt;E$2,'ProductSprint Backlog'!$I146&lt;=E$2), 'ProductSprint Backlog'!$F146 / MAX(1, 'ProductSprint Backlog'!$J146-'ProductSprint Backlog'!$I146), AND('ProductSprint Backlog'!$J146=E$2,'ProductSprint Backlog'!$I146=E$2), 'ProductSprint Backlog'!$F146, TRUE, 0)</f>
        <v>0</v>
      </c>
      <c r="F146" s="4" cm="1">
        <f t="array" ref="F146">_xlfn.IFS('ProductSprint Backlog'!$F146="", "", AND('ProductSprint Backlog'!$J146&gt;F$2,'ProductSprint Backlog'!$I146&lt;=F$2), 'ProductSprint Backlog'!$F146 / MAX(1, 'ProductSprint Backlog'!$J146-'ProductSprint Backlog'!$I146), AND('ProductSprint Backlog'!$J146=F$2,'ProductSprint Backlog'!$I146=F$2), 'ProductSprint Backlog'!$F146, TRUE, 0)</f>
        <v>0</v>
      </c>
      <c r="G146" s="4" cm="1">
        <f t="array" ref="G146">_xlfn.IFS('ProductSprint Backlog'!$F146="", "", AND('ProductSprint Backlog'!$J146&gt;G$2,'ProductSprint Backlog'!$I146&lt;=G$2), 'ProductSprint Backlog'!$F146 / MAX(1, 'ProductSprint Backlog'!$J146-'ProductSprint Backlog'!$I146), AND('ProductSprint Backlog'!$J146=G$2,'ProductSprint Backlog'!$I146=G$2), 'ProductSprint Backlog'!$F146, TRUE, 0)</f>
        <v>0</v>
      </c>
      <c r="H146" s="4" cm="1">
        <f t="array" ref="H146">_xlfn.IFS('ProductSprint Backlog'!$F146="", "", AND('ProductSprint Backlog'!$J146&gt;H$2,'ProductSprint Backlog'!$I146&lt;=H$2), 'ProductSprint Backlog'!$F146 / MAX(1, 'ProductSprint Backlog'!$J146-'ProductSprint Backlog'!$I146), AND('ProductSprint Backlog'!$J146=H$2,'ProductSprint Backlog'!$I146=H$2), 'ProductSprint Backlog'!$F146, TRUE, 0)</f>
        <v>0</v>
      </c>
      <c r="I146" s="4" cm="1">
        <f t="array" ref="I146">_xlfn.IFS('ProductSprint Backlog'!$F146="", "", AND('ProductSprint Backlog'!$J146&gt;I$2,'ProductSprint Backlog'!$I146&lt;=I$2), 'ProductSprint Backlog'!$F146 / MAX(1, 'ProductSprint Backlog'!$J146-'ProductSprint Backlog'!$I146), AND('ProductSprint Backlog'!$J146=I$2,'ProductSprint Backlog'!$I146=I$2), 'ProductSprint Backlog'!$F146, TRUE, 0)</f>
        <v>0</v>
      </c>
      <c r="J146" s="4" cm="1">
        <f t="array" ref="J146">_xlfn.IFS('ProductSprint Backlog'!$F146="", "", AND('ProductSprint Backlog'!$J146&gt;J$2,'ProductSprint Backlog'!$I146&lt;=J$2), 'ProductSprint Backlog'!$F146 / MAX(1, 'ProductSprint Backlog'!$J146-'ProductSprint Backlog'!$I146), AND('ProductSprint Backlog'!$J146=J$2,'ProductSprint Backlog'!$I146=J$2), 'ProductSprint Backlog'!$F146, TRUE, 0)</f>
        <v>0</v>
      </c>
      <c r="K146" s="4" cm="1">
        <f t="array" ref="K146">_xlfn.IFS('ProductSprint Backlog'!$F146="", "", AND('ProductSprint Backlog'!$J146&gt;K$2,'ProductSprint Backlog'!$I146&lt;=K$2), 'ProductSprint Backlog'!$F146 / MAX(1, 'ProductSprint Backlog'!$J146-'ProductSprint Backlog'!$I146), AND('ProductSprint Backlog'!$J146=K$2,'ProductSprint Backlog'!$I146=K$2), 'ProductSprint Backlog'!$F146, TRUE, 0)</f>
        <v>0</v>
      </c>
      <c r="L146" s="4" cm="1">
        <f t="array" ref="L146">_xlfn.IFS('ProductSprint Backlog'!$F146="", "", AND('ProductSprint Backlog'!$J146&gt;L$2,'ProductSprint Backlog'!$I146&lt;=L$2), 'ProductSprint Backlog'!$F146 / MAX(1, 'ProductSprint Backlog'!$J146-'ProductSprint Backlog'!$I146), AND('ProductSprint Backlog'!$J146=L$2,'ProductSprint Backlog'!$I146=L$2), 'ProductSprint Backlog'!$F146, TRUE, 0)</f>
        <v>0</v>
      </c>
      <c r="M146" s="4" cm="1">
        <f t="array" ref="M146">_xlfn.IFS('ProductSprint Backlog'!$F146="", "", AND('ProductSprint Backlog'!$J146&gt;M$2,'ProductSprint Backlog'!$I146&lt;=M$2), 'ProductSprint Backlog'!$F146 / MAX(1, 'ProductSprint Backlog'!$J146-'ProductSprint Backlog'!$I146), AND('ProductSprint Backlog'!$J146=M$2,'ProductSprint Backlog'!$I146=M$2), 'ProductSprint Backlog'!$F146, TRUE, 0)</f>
        <v>0</v>
      </c>
      <c r="N146" s="4" cm="1">
        <f t="array" ref="N146">_xlfn.IFS('ProductSprint Backlog'!$F146="", "", AND('ProductSprint Backlog'!$J146&gt;N$2,'ProductSprint Backlog'!$I146&lt;=N$2), 'ProductSprint Backlog'!$F146 / MAX(1, 'ProductSprint Backlog'!$J146-'ProductSprint Backlog'!$I146), AND('ProductSprint Backlog'!$J146=N$2,'ProductSprint Backlog'!$I146=N$2), 'ProductSprint Backlog'!$F146, TRUE, 0)</f>
        <v>0</v>
      </c>
      <c r="O146" s="4" cm="1">
        <f t="array" ref="O146">_xlfn.IFS('ProductSprint Backlog'!$F146="", "", AND('ProductSprint Backlog'!$J146&gt;O$2,'ProductSprint Backlog'!$I146&lt;=O$2), 'ProductSprint Backlog'!$F146 / MAX(1, 'ProductSprint Backlog'!$J146-'ProductSprint Backlog'!$I146), AND('ProductSprint Backlog'!$J146=O$2,'ProductSprint Backlog'!$I146=O$2), 'ProductSprint Backlog'!$F146, TRUE, 0)</f>
        <v>0</v>
      </c>
      <c r="P146" s="4" cm="1">
        <f t="array" ref="P146">_xlfn.IFS('ProductSprint Backlog'!$F146="", "", AND('ProductSprint Backlog'!$J146&gt;P$2,'ProductSprint Backlog'!$I146&lt;=P$2), 'ProductSprint Backlog'!$F146 / MAX(1, 'ProductSprint Backlog'!$J146-'ProductSprint Backlog'!$I146), AND('ProductSprint Backlog'!$J146=P$2,'ProductSprint Backlog'!$I146=P$2), 'ProductSprint Backlog'!$F146, TRUE, 0)</f>
        <v>0</v>
      </c>
      <c r="Q146" s="4" cm="1">
        <f t="array" ref="Q146">_xlfn.IFS('ProductSprint Backlog'!$F146="", "", AND('ProductSprint Backlog'!$J146&gt;Q$2,'ProductSprint Backlog'!$I146&lt;=Q$2), 'ProductSprint Backlog'!$F146 / MAX(1, 'ProductSprint Backlog'!$J146-'ProductSprint Backlog'!$I146), AND('ProductSprint Backlog'!$J146=Q$2,'ProductSprint Backlog'!$I146=Q$2), 'ProductSprint Backlog'!$F146, TRUE, 0)</f>
        <v>0</v>
      </c>
      <c r="R146" s="4" cm="1">
        <f t="array" ref="R146">_xlfn.IFS('ProductSprint Backlog'!$F146="", "", AND('ProductSprint Backlog'!$J146&gt;R$2,'ProductSprint Backlog'!$I146&lt;=R$2), 'ProductSprint Backlog'!$F146 / MAX(1, 'ProductSprint Backlog'!$J146-'ProductSprint Backlog'!$I146), AND('ProductSprint Backlog'!$J146=R$2,'ProductSprint Backlog'!$I146=R$2), 'ProductSprint Backlog'!$F146, TRUE, 0)</f>
        <v>0</v>
      </c>
      <c r="S146" s="4" cm="1">
        <f t="array" ref="S146">_xlfn.IFS('ProductSprint Backlog'!$F146="", "", AND('ProductSprint Backlog'!$J146&gt;S$2,'ProductSprint Backlog'!$I146&lt;=S$2), 'ProductSprint Backlog'!$F146 / MAX(1, 'ProductSprint Backlog'!$J146-'ProductSprint Backlog'!$I146), AND('ProductSprint Backlog'!$J146=S$2,'ProductSprint Backlog'!$I146=S$2), 'ProductSprint Backlog'!$F146, TRUE, 0)</f>
        <v>0</v>
      </c>
      <c r="T146" s="4" cm="1">
        <f t="array" ref="T146">_xlfn.IFS('ProductSprint Backlog'!$F146="", "", AND('ProductSprint Backlog'!$J146&gt;T$2,'ProductSprint Backlog'!$I146&lt;=T$2), 'ProductSprint Backlog'!$F146 / MAX(1, 'ProductSprint Backlog'!$J146-'ProductSprint Backlog'!$I146), AND('ProductSprint Backlog'!$J146=T$2,'ProductSprint Backlog'!$I146=T$2), 'ProductSprint Backlog'!$F146, TRUE, 0)</f>
        <v>0</v>
      </c>
    </row>
    <row r="147" spans="2:20" x14ac:dyDescent="0.2">
      <c r="B147" s="4" cm="1">
        <f t="array" ref="B147">_xlfn.IFS('ProductSprint Backlog'!$F147="", "", AND('ProductSprint Backlog'!$J147&gt;B$2,'ProductSprint Backlog'!$I147&lt;=B$2), 'ProductSprint Backlog'!$F147 / MAX(1, 'ProductSprint Backlog'!$J147-'ProductSprint Backlog'!$I147), AND('ProductSprint Backlog'!$J147=B$2,'ProductSprint Backlog'!$I147=B$2), 'ProductSprint Backlog'!$F147, TRUE, 0)</f>
        <v>0</v>
      </c>
      <c r="C147" s="4" cm="1">
        <f t="array" ref="C147">_xlfn.IFS('ProductSprint Backlog'!$F147="", "", AND('ProductSprint Backlog'!$J147&gt;C$2,'ProductSprint Backlog'!$I147&lt;=C$2), 'ProductSprint Backlog'!$F147 / MAX(1, 'ProductSprint Backlog'!$J147-'ProductSprint Backlog'!$I147), AND('ProductSprint Backlog'!$J147=C$2,'ProductSprint Backlog'!$I147=C$2), 'ProductSprint Backlog'!$F147, TRUE, 0)</f>
        <v>0</v>
      </c>
      <c r="D147" s="4" cm="1">
        <f t="array" ref="D147">_xlfn.IFS('ProductSprint Backlog'!$F147="", "", AND('ProductSprint Backlog'!$J147&gt;D$2,'ProductSprint Backlog'!$I147&lt;=D$2), 'ProductSprint Backlog'!$F147 / MAX(1, 'ProductSprint Backlog'!$J147-'ProductSprint Backlog'!$I147), AND('ProductSprint Backlog'!$J147=D$2,'ProductSprint Backlog'!$I147=D$2), 'ProductSprint Backlog'!$F147, TRUE, 0)</f>
        <v>0</v>
      </c>
      <c r="E147" s="4" cm="1">
        <f t="array" ref="E147">_xlfn.IFS('ProductSprint Backlog'!$F147="", "", AND('ProductSprint Backlog'!$J147&gt;E$2,'ProductSprint Backlog'!$I147&lt;=E$2), 'ProductSprint Backlog'!$F147 / MAX(1, 'ProductSprint Backlog'!$J147-'ProductSprint Backlog'!$I147), AND('ProductSprint Backlog'!$J147=E$2,'ProductSprint Backlog'!$I147=E$2), 'ProductSprint Backlog'!$F147, TRUE, 0)</f>
        <v>0</v>
      </c>
      <c r="F147" s="4" cm="1">
        <f t="array" ref="F147">_xlfn.IFS('ProductSprint Backlog'!$F147="", "", AND('ProductSprint Backlog'!$J147&gt;F$2,'ProductSprint Backlog'!$I147&lt;=F$2), 'ProductSprint Backlog'!$F147 / MAX(1, 'ProductSprint Backlog'!$J147-'ProductSprint Backlog'!$I147), AND('ProductSprint Backlog'!$J147=F$2,'ProductSprint Backlog'!$I147=F$2), 'ProductSprint Backlog'!$F147, TRUE, 0)</f>
        <v>0.5</v>
      </c>
      <c r="G147" s="4" cm="1">
        <f t="array" ref="G147">_xlfn.IFS('ProductSprint Backlog'!$F147="", "", AND('ProductSprint Backlog'!$J147&gt;G$2,'ProductSprint Backlog'!$I147&lt;=G$2), 'ProductSprint Backlog'!$F147 / MAX(1, 'ProductSprint Backlog'!$J147-'ProductSprint Backlog'!$I147), AND('ProductSprint Backlog'!$J147=G$2,'ProductSprint Backlog'!$I147=G$2), 'ProductSprint Backlog'!$F147, TRUE, 0)</f>
        <v>0.5</v>
      </c>
      <c r="H147" s="4" cm="1">
        <f t="array" ref="H147">_xlfn.IFS('ProductSprint Backlog'!$F147="", "", AND('ProductSprint Backlog'!$J147&gt;H$2,'ProductSprint Backlog'!$I147&lt;=H$2), 'ProductSprint Backlog'!$F147 / MAX(1, 'ProductSprint Backlog'!$J147-'ProductSprint Backlog'!$I147), AND('ProductSprint Backlog'!$J147=H$2,'ProductSprint Backlog'!$I147=H$2), 'ProductSprint Backlog'!$F147, TRUE, 0)</f>
        <v>0</v>
      </c>
      <c r="I147" s="4" cm="1">
        <f t="array" ref="I147">_xlfn.IFS('ProductSprint Backlog'!$F147="", "", AND('ProductSprint Backlog'!$J147&gt;I$2,'ProductSprint Backlog'!$I147&lt;=I$2), 'ProductSprint Backlog'!$F147 / MAX(1, 'ProductSprint Backlog'!$J147-'ProductSprint Backlog'!$I147), AND('ProductSprint Backlog'!$J147=I$2,'ProductSprint Backlog'!$I147=I$2), 'ProductSprint Backlog'!$F147, TRUE, 0)</f>
        <v>0</v>
      </c>
      <c r="J147" s="4" cm="1">
        <f t="array" ref="J147">_xlfn.IFS('ProductSprint Backlog'!$F147="", "", AND('ProductSprint Backlog'!$J147&gt;J$2,'ProductSprint Backlog'!$I147&lt;=J$2), 'ProductSprint Backlog'!$F147 / MAX(1, 'ProductSprint Backlog'!$J147-'ProductSprint Backlog'!$I147), AND('ProductSprint Backlog'!$J147=J$2,'ProductSprint Backlog'!$I147=J$2), 'ProductSprint Backlog'!$F147, TRUE, 0)</f>
        <v>0</v>
      </c>
      <c r="K147" s="4" cm="1">
        <f t="array" ref="K147">_xlfn.IFS('ProductSprint Backlog'!$F147="", "", AND('ProductSprint Backlog'!$J147&gt;K$2,'ProductSprint Backlog'!$I147&lt;=K$2), 'ProductSprint Backlog'!$F147 / MAX(1, 'ProductSprint Backlog'!$J147-'ProductSprint Backlog'!$I147), AND('ProductSprint Backlog'!$J147=K$2,'ProductSprint Backlog'!$I147=K$2), 'ProductSprint Backlog'!$F147, TRUE, 0)</f>
        <v>0</v>
      </c>
      <c r="L147" s="4" cm="1">
        <f t="array" ref="L147">_xlfn.IFS('ProductSprint Backlog'!$F147="", "", AND('ProductSprint Backlog'!$J147&gt;L$2,'ProductSprint Backlog'!$I147&lt;=L$2), 'ProductSprint Backlog'!$F147 / MAX(1, 'ProductSprint Backlog'!$J147-'ProductSprint Backlog'!$I147), AND('ProductSprint Backlog'!$J147=L$2,'ProductSprint Backlog'!$I147=L$2), 'ProductSprint Backlog'!$F147, TRUE, 0)</f>
        <v>0</v>
      </c>
      <c r="M147" s="4" cm="1">
        <f t="array" ref="M147">_xlfn.IFS('ProductSprint Backlog'!$F147="", "", AND('ProductSprint Backlog'!$J147&gt;M$2,'ProductSprint Backlog'!$I147&lt;=M$2), 'ProductSprint Backlog'!$F147 / MAX(1, 'ProductSprint Backlog'!$J147-'ProductSprint Backlog'!$I147), AND('ProductSprint Backlog'!$J147=M$2,'ProductSprint Backlog'!$I147=M$2), 'ProductSprint Backlog'!$F147, TRUE, 0)</f>
        <v>0</v>
      </c>
      <c r="N147" s="4" cm="1">
        <f t="array" ref="N147">_xlfn.IFS('ProductSprint Backlog'!$F147="", "", AND('ProductSprint Backlog'!$J147&gt;N$2,'ProductSprint Backlog'!$I147&lt;=N$2), 'ProductSprint Backlog'!$F147 / MAX(1, 'ProductSprint Backlog'!$J147-'ProductSprint Backlog'!$I147), AND('ProductSprint Backlog'!$J147=N$2,'ProductSprint Backlog'!$I147=N$2), 'ProductSprint Backlog'!$F147, TRUE, 0)</f>
        <v>0</v>
      </c>
      <c r="O147" s="4" cm="1">
        <f t="array" ref="O147">_xlfn.IFS('ProductSprint Backlog'!$F147="", "", AND('ProductSprint Backlog'!$J147&gt;O$2,'ProductSprint Backlog'!$I147&lt;=O$2), 'ProductSprint Backlog'!$F147 / MAX(1, 'ProductSprint Backlog'!$J147-'ProductSprint Backlog'!$I147), AND('ProductSprint Backlog'!$J147=O$2,'ProductSprint Backlog'!$I147=O$2), 'ProductSprint Backlog'!$F147, TRUE, 0)</f>
        <v>0</v>
      </c>
      <c r="P147" s="4" cm="1">
        <f t="array" ref="P147">_xlfn.IFS('ProductSprint Backlog'!$F147="", "", AND('ProductSprint Backlog'!$J147&gt;P$2,'ProductSprint Backlog'!$I147&lt;=P$2), 'ProductSprint Backlog'!$F147 / MAX(1, 'ProductSprint Backlog'!$J147-'ProductSprint Backlog'!$I147), AND('ProductSprint Backlog'!$J147=P$2,'ProductSprint Backlog'!$I147=P$2), 'ProductSprint Backlog'!$F147, TRUE, 0)</f>
        <v>0</v>
      </c>
      <c r="Q147" s="4" cm="1">
        <f t="array" ref="Q147">_xlfn.IFS('ProductSprint Backlog'!$F147="", "", AND('ProductSprint Backlog'!$J147&gt;Q$2,'ProductSprint Backlog'!$I147&lt;=Q$2), 'ProductSprint Backlog'!$F147 / MAX(1, 'ProductSprint Backlog'!$J147-'ProductSprint Backlog'!$I147), AND('ProductSprint Backlog'!$J147=Q$2,'ProductSprint Backlog'!$I147=Q$2), 'ProductSprint Backlog'!$F147, TRUE, 0)</f>
        <v>0</v>
      </c>
      <c r="R147" s="4" cm="1">
        <f t="array" ref="R147">_xlfn.IFS('ProductSprint Backlog'!$F147="", "", AND('ProductSprint Backlog'!$J147&gt;R$2,'ProductSprint Backlog'!$I147&lt;=R$2), 'ProductSprint Backlog'!$F147 / MAX(1, 'ProductSprint Backlog'!$J147-'ProductSprint Backlog'!$I147), AND('ProductSprint Backlog'!$J147=R$2,'ProductSprint Backlog'!$I147=R$2), 'ProductSprint Backlog'!$F147, TRUE, 0)</f>
        <v>0</v>
      </c>
      <c r="S147" s="4" cm="1">
        <f t="array" ref="S147">_xlfn.IFS('ProductSprint Backlog'!$F147="", "", AND('ProductSprint Backlog'!$J147&gt;S$2,'ProductSprint Backlog'!$I147&lt;=S$2), 'ProductSprint Backlog'!$F147 / MAX(1, 'ProductSprint Backlog'!$J147-'ProductSprint Backlog'!$I147), AND('ProductSprint Backlog'!$J147=S$2,'ProductSprint Backlog'!$I147=S$2), 'ProductSprint Backlog'!$F147, TRUE, 0)</f>
        <v>0</v>
      </c>
      <c r="T147" s="4" cm="1">
        <f t="array" ref="T147">_xlfn.IFS('ProductSprint Backlog'!$F147="", "", AND('ProductSprint Backlog'!$J147&gt;T$2,'ProductSprint Backlog'!$I147&lt;=T$2), 'ProductSprint Backlog'!$F147 / MAX(1, 'ProductSprint Backlog'!$J147-'ProductSprint Backlog'!$I147), AND('ProductSprint Backlog'!$J147=T$2,'ProductSprint Backlog'!$I147=T$2), 'ProductSprint Backlog'!$F147, TRUE, 0)</f>
        <v>0</v>
      </c>
    </row>
    <row r="148" spans="2:20" x14ac:dyDescent="0.2">
      <c r="B148" s="4" cm="1">
        <f t="array" ref="B148">_xlfn.IFS('ProductSprint Backlog'!$F148="", "", AND('ProductSprint Backlog'!$J148&gt;B$2,'ProductSprint Backlog'!$I148&lt;=B$2), 'ProductSprint Backlog'!$F148 / MAX(1, 'ProductSprint Backlog'!$J148-'ProductSprint Backlog'!$I148), AND('ProductSprint Backlog'!$J148=B$2,'ProductSprint Backlog'!$I148=B$2), 'ProductSprint Backlog'!$F148, TRUE, 0)</f>
        <v>0</v>
      </c>
      <c r="C148" s="4" cm="1">
        <f t="array" ref="C148">_xlfn.IFS('ProductSprint Backlog'!$F148="", "", AND('ProductSprint Backlog'!$J148&gt;C$2,'ProductSprint Backlog'!$I148&lt;=C$2), 'ProductSprint Backlog'!$F148 / MAX(1, 'ProductSprint Backlog'!$J148-'ProductSprint Backlog'!$I148), AND('ProductSprint Backlog'!$J148=C$2,'ProductSprint Backlog'!$I148=C$2), 'ProductSprint Backlog'!$F148, TRUE, 0)</f>
        <v>0</v>
      </c>
      <c r="D148" s="4" cm="1">
        <f t="array" ref="D148">_xlfn.IFS('ProductSprint Backlog'!$F148="", "", AND('ProductSprint Backlog'!$J148&gt;D$2,'ProductSprint Backlog'!$I148&lt;=D$2), 'ProductSprint Backlog'!$F148 / MAX(1, 'ProductSprint Backlog'!$J148-'ProductSprint Backlog'!$I148), AND('ProductSprint Backlog'!$J148=D$2,'ProductSprint Backlog'!$I148=D$2), 'ProductSprint Backlog'!$F148, TRUE, 0)</f>
        <v>0</v>
      </c>
      <c r="E148" s="4" cm="1">
        <f t="array" ref="E148">_xlfn.IFS('ProductSprint Backlog'!$F148="", "", AND('ProductSprint Backlog'!$J148&gt;E$2,'ProductSprint Backlog'!$I148&lt;=E$2), 'ProductSprint Backlog'!$F148 / MAX(1, 'ProductSprint Backlog'!$J148-'ProductSprint Backlog'!$I148), AND('ProductSprint Backlog'!$J148=E$2,'ProductSprint Backlog'!$I148=E$2), 'ProductSprint Backlog'!$F148, TRUE, 0)</f>
        <v>0</v>
      </c>
      <c r="F148" s="4" cm="1">
        <f t="array" ref="F148">_xlfn.IFS('ProductSprint Backlog'!$F148="", "", AND('ProductSprint Backlog'!$J148&gt;F$2,'ProductSprint Backlog'!$I148&lt;=F$2), 'ProductSprint Backlog'!$F148 / MAX(1, 'ProductSprint Backlog'!$J148-'ProductSprint Backlog'!$I148), AND('ProductSprint Backlog'!$J148=F$2,'ProductSprint Backlog'!$I148=F$2), 'ProductSprint Backlog'!$F148, TRUE, 0)</f>
        <v>0.5</v>
      </c>
      <c r="G148" s="4" cm="1">
        <f t="array" ref="G148">_xlfn.IFS('ProductSprint Backlog'!$F148="", "", AND('ProductSprint Backlog'!$J148&gt;G$2,'ProductSprint Backlog'!$I148&lt;=G$2), 'ProductSprint Backlog'!$F148 / MAX(1, 'ProductSprint Backlog'!$J148-'ProductSprint Backlog'!$I148), AND('ProductSprint Backlog'!$J148=G$2,'ProductSprint Backlog'!$I148=G$2), 'ProductSprint Backlog'!$F148, TRUE, 0)</f>
        <v>0.5</v>
      </c>
      <c r="H148" s="4" cm="1">
        <f t="array" ref="H148">_xlfn.IFS('ProductSprint Backlog'!$F148="", "", AND('ProductSprint Backlog'!$J148&gt;H$2,'ProductSprint Backlog'!$I148&lt;=H$2), 'ProductSprint Backlog'!$F148 / MAX(1, 'ProductSprint Backlog'!$J148-'ProductSprint Backlog'!$I148), AND('ProductSprint Backlog'!$J148=H$2,'ProductSprint Backlog'!$I148=H$2), 'ProductSprint Backlog'!$F148, TRUE, 0)</f>
        <v>0</v>
      </c>
      <c r="I148" s="4" cm="1">
        <f t="array" ref="I148">_xlfn.IFS('ProductSprint Backlog'!$F148="", "", AND('ProductSprint Backlog'!$J148&gt;I$2,'ProductSprint Backlog'!$I148&lt;=I$2), 'ProductSprint Backlog'!$F148 / MAX(1, 'ProductSprint Backlog'!$J148-'ProductSprint Backlog'!$I148), AND('ProductSprint Backlog'!$J148=I$2,'ProductSprint Backlog'!$I148=I$2), 'ProductSprint Backlog'!$F148, TRUE, 0)</f>
        <v>0</v>
      </c>
      <c r="J148" s="4" cm="1">
        <f t="array" ref="J148">_xlfn.IFS('ProductSprint Backlog'!$F148="", "", AND('ProductSprint Backlog'!$J148&gt;J$2,'ProductSprint Backlog'!$I148&lt;=J$2), 'ProductSprint Backlog'!$F148 / MAX(1, 'ProductSprint Backlog'!$J148-'ProductSprint Backlog'!$I148), AND('ProductSprint Backlog'!$J148=J$2,'ProductSprint Backlog'!$I148=J$2), 'ProductSprint Backlog'!$F148, TRUE, 0)</f>
        <v>0</v>
      </c>
      <c r="K148" s="4" cm="1">
        <f t="array" ref="K148">_xlfn.IFS('ProductSprint Backlog'!$F148="", "", AND('ProductSprint Backlog'!$J148&gt;K$2,'ProductSprint Backlog'!$I148&lt;=K$2), 'ProductSprint Backlog'!$F148 / MAX(1, 'ProductSprint Backlog'!$J148-'ProductSprint Backlog'!$I148), AND('ProductSprint Backlog'!$J148=K$2,'ProductSprint Backlog'!$I148=K$2), 'ProductSprint Backlog'!$F148, TRUE, 0)</f>
        <v>0</v>
      </c>
      <c r="L148" s="4" cm="1">
        <f t="array" ref="L148">_xlfn.IFS('ProductSprint Backlog'!$F148="", "", AND('ProductSprint Backlog'!$J148&gt;L$2,'ProductSprint Backlog'!$I148&lt;=L$2), 'ProductSprint Backlog'!$F148 / MAX(1, 'ProductSprint Backlog'!$J148-'ProductSprint Backlog'!$I148), AND('ProductSprint Backlog'!$J148=L$2,'ProductSprint Backlog'!$I148=L$2), 'ProductSprint Backlog'!$F148, TRUE, 0)</f>
        <v>0</v>
      </c>
      <c r="M148" s="4" cm="1">
        <f t="array" ref="M148">_xlfn.IFS('ProductSprint Backlog'!$F148="", "", AND('ProductSprint Backlog'!$J148&gt;M$2,'ProductSprint Backlog'!$I148&lt;=M$2), 'ProductSprint Backlog'!$F148 / MAX(1, 'ProductSprint Backlog'!$J148-'ProductSprint Backlog'!$I148), AND('ProductSprint Backlog'!$J148=M$2,'ProductSprint Backlog'!$I148=M$2), 'ProductSprint Backlog'!$F148, TRUE, 0)</f>
        <v>0</v>
      </c>
      <c r="N148" s="4" cm="1">
        <f t="array" ref="N148">_xlfn.IFS('ProductSprint Backlog'!$F148="", "", AND('ProductSprint Backlog'!$J148&gt;N$2,'ProductSprint Backlog'!$I148&lt;=N$2), 'ProductSprint Backlog'!$F148 / MAX(1, 'ProductSprint Backlog'!$J148-'ProductSprint Backlog'!$I148), AND('ProductSprint Backlog'!$J148=N$2,'ProductSprint Backlog'!$I148=N$2), 'ProductSprint Backlog'!$F148, TRUE, 0)</f>
        <v>0</v>
      </c>
      <c r="O148" s="4" cm="1">
        <f t="array" ref="O148">_xlfn.IFS('ProductSprint Backlog'!$F148="", "", AND('ProductSprint Backlog'!$J148&gt;O$2,'ProductSprint Backlog'!$I148&lt;=O$2), 'ProductSprint Backlog'!$F148 / MAX(1, 'ProductSprint Backlog'!$J148-'ProductSprint Backlog'!$I148), AND('ProductSprint Backlog'!$J148=O$2,'ProductSprint Backlog'!$I148=O$2), 'ProductSprint Backlog'!$F148, TRUE, 0)</f>
        <v>0</v>
      </c>
      <c r="P148" s="4" cm="1">
        <f t="array" ref="P148">_xlfn.IFS('ProductSprint Backlog'!$F148="", "", AND('ProductSprint Backlog'!$J148&gt;P$2,'ProductSprint Backlog'!$I148&lt;=P$2), 'ProductSprint Backlog'!$F148 / MAX(1, 'ProductSprint Backlog'!$J148-'ProductSprint Backlog'!$I148), AND('ProductSprint Backlog'!$J148=P$2,'ProductSprint Backlog'!$I148=P$2), 'ProductSprint Backlog'!$F148, TRUE, 0)</f>
        <v>0</v>
      </c>
      <c r="Q148" s="4" cm="1">
        <f t="array" ref="Q148">_xlfn.IFS('ProductSprint Backlog'!$F148="", "", AND('ProductSprint Backlog'!$J148&gt;Q$2,'ProductSprint Backlog'!$I148&lt;=Q$2), 'ProductSprint Backlog'!$F148 / MAX(1, 'ProductSprint Backlog'!$J148-'ProductSprint Backlog'!$I148), AND('ProductSprint Backlog'!$J148=Q$2,'ProductSprint Backlog'!$I148=Q$2), 'ProductSprint Backlog'!$F148, TRUE, 0)</f>
        <v>0</v>
      </c>
      <c r="R148" s="4" cm="1">
        <f t="array" ref="R148">_xlfn.IFS('ProductSprint Backlog'!$F148="", "", AND('ProductSprint Backlog'!$J148&gt;R$2,'ProductSprint Backlog'!$I148&lt;=R$2), 'ProductSprint Backlog'!$F148 / MAX(1, 'ProductSprint Backlog'!$J148-'ProductSprint Backlog'!$I148), AND('ProductSprint Backlog'!$J148=R$2,'ProductSprint Backlog'!$I148=R$2), 'ProductSprint Backlog'!$F148, TRUE, 0)</f>
        <v>0</v>
      </c>
      <c r="S148" s="4" cm="1">
        <f t="array" ref="S148">_xlfn.IFS('ProductSprint Backlog'!$F148="", "", AND('ProductSprint Backlog'!$J148&gt;S$2,'ProductSprint Backlog'!$I148&lt;=S$2), 'ProductSprint Backlog'!$F148 / MAX(1, 'ProductSprint Backlog'!$J148-'ProductSprint Backlog'!$I148), AND('ProductSprint Backlog'!$J148=S$2,'ProductSprint Backlog'!$I148=S$2), 'ProductSprint Backlog'!$F148, TRUE, 0)</f>
        <v>0</v>
      </c>
      <c r="T148" s="4" cm="1">
        <f t="array" ref="T148">_xlfn.IFS('ProductSprint Backlog'!$F148="", "", AND('ProductSprint Backlog'!$J148&gt;T$2,'ProductSprint Backlog'!$I148&lt;=T$2), 'ProductSprint Backlog'!$F148 / MAX(1, 'ProductSprint Backlog'!$J148-'ProductSprint Backlog'!$I148), AND('ProductSprint Backlog'!$J148=T$2,'ProductSprint Backlog'!$I148=T$2), 'ProductSprint Backlog'!$F148, TRUE, 0)</f>
        <v>0</v>
      </c>
    </row>
    <row r="149" spans="2:20" x14ac:dyDescent="0.2">
      <c r="B149" s="4" cm="1">
        <f t="array" ref="B149">_xlfn.IFS('ProductSprint Backlog'!$F149="", "", AND('ProductSprint Backlog'!$J149&gt;B$2,'ProductSprint Backlog'!$I149&lt;=B$2), 'ProductSprint Backlog'!$F149 / MAX(1, 'ProductSprint Backlog'!$J149-'ProductSprint Backlog'!$I149), AND('ProductSprint Backlog'!$J149=B$2,'ProductSprint Backlog'!$I149=B$2), 'ProductSprint Backlog'!$F149, TRUE, 0)</f>
        <v>0</v>
      </c>
      <c r="C149" s="4" cm="1">
        <f t="array" ref="C149">_xlfn.IFS('ProductSprint Backlog'!$F149="", "", AND('ProductSprint Backlog'!$J149&gt;C$2,'ProductSprint Backlog'!$I149&lt;=C$2), 'ProductSprint Backlog'!$F149 / MAX(1, 'ProductSprint Backlog'!$J149-'ProductSprint Backlog'!$I149), AND('ProductSprint Backlog'!$J149=C$2,'ProductSprint Backlog'!$I149=C$2), 'ProductSprint Backlog'!$F149, TRUE, 0)</f>
        <v>0</v>
      </c>
      <c r="D149" s="4" cm="1">
        <f t="array" ref="D149">_xlfn.IFS('ProductSprint Backlog'!$F149="", "", AND('ProductSprint Backlog'!$J149&gt;D$2,'ProductSprint Backlog'!$I149&lt;=D$2), 'ProductSprint Backlog'!$F149 / MAX(1, 'ProductSprint Backlog'!$J149-'ProductSprint Backlog'!$I149), AND('ProductSprint Backlog'!$J149=D$2,'ProductSprint Backlog'!$I149=D$2), 'ProductSprint Backlog'!$F149, TRUE, 0)</f>
        <v>0</v>
      </c>
      <c r="E149" s="4" cm="1">
        <f t="array" ref="E149">_xlfn.IFS('ProductSprint Backlog'!$F149="", "", AND('ProductSprint Backlog'!$J149&gt;E$2,'ProductSprint Backlog'!$I149&lt;=E$2), 'ProductSprint Backlog'!$F149 / MAX(1, 'ProductSprint Backlog'!$J149-'ProductSprint Backlog'!$I149), AND('ProductSprint Backlog'!$J149=E$2,'ProductSprint Backlog'!$I149=E$2), 'ProductSprint Backlog'!$F149, TRUE, 0)</f>
        <v>0</v>
      </c>
      <c r="F149" s="4" cm="1">
        <f t="array" ref="F149">_xlfn.IFS('ProductSprint Backlog'!$F149="", "", AND('ProductSprint Backlog'!$J149&gt;F$2,'ProductSprint Backlog'!$I149&lt;=F$2), 'ProductSprint Backlog'!$F149 / MAX(1, 'ProductSprint Backlog'!$J149-'ProductSprint Backlog'!$I149), AND('ProductSprint Backlog'!$J149=F$2,'ProductSprint Backlog'!$I149=F$2), 'ProductSprint Backlog'!$F149, TRUE, 0)</f>
        <v>0.5</v>
      </c>
      <c r="G149" s="4" cm="1">
        <f t="array" ref="G149">_xlfn.IFS('ProductSprint Backlog'!$F149="", "", AND('ProductSprint Backlog'!$J149&gt;G$2,'ProductSprint Backlog'!$I149&lt;=G$2), 'ProductSprint Backlog'!$F149 / MAX(1, 'ProductSprint Backlog'!$J149-'ProductSprint Backlog'!$I149), AND('ProductSprint Backlog'!$J149=G$2,'ProductSprint Backlog'!$I149=G$2), 'ProductSprint Backlog'!$F149, TRUE, 0)</f>
        <v>0.5</v>
      </c>
      <c r="H149" s="4" cm="1">
        <f t="array" ref="H149">_xlfn.IFS('ProductSprint Backlog'!$F149="", "", AND('ProductSprint Backlog'!$J149&gt;H$2,'ProductSprint Backlog'!$I149&lt;=H$2), 'ProductSprint Backlog'!$F149 / MAX(1, 'ProductSprint Backlog'!$J149-'ProductSprint Backlog'!$I149), AND('ProductSprint Backlog'!$J149=H$2,'ProductSprint Backlog'!$I149=H$2), 'ProductSprint Backlog'!$F149, TRUE, 0)</f>
        <v>0</v>
      </c>
      <c r="I149" s="4" cm="1">
        <f t="array" ref="I149">_xlfn.IFS('ProductSprint Backlog'!$F149="", "", AND('ProductSprint Backlog'!$J149&gt;I$2,'ProductSprint Backlog'!$I149&lt;=I$2), 'ProductSprint Backlog'!$F149 / MAX(1, 'ProductSprint Backlog'!$J149-'ProductSprint Backlog'!$I149), AND('ProductSprint Backlog'!$J149=I$2,'ProductSprint Backlog'!$I149=I$2), 'ProductSprint Backlog'!$F149, TRUE, 0)</f>
        <v>0</v>
      </c>
      <c r="J149" s="4" cm="1">
        <f t="array" ref="J149">_xlfn.IFS('ProductSprint Backlog'!$F149="", "", AND('ProductSprint Backlog'!$J149&gt;J$2,'ProductSprint Backlog'!$I149&lt;=J$2), 'ProductSprint Backlog'!$F149 / MAX(1, 'ProductSprint Backlog'!$J149-'ProductSprint Backlog'!$I149), AND('ProductSprint Backlog'!$J149=J$2,'ProductSprint Backlog'!$I149=J$2), 'ProductSprint Backlog'!$F149, TRUE, 0)</f>
        <v>0</v>
      </c>
      <c r="K149" s="4" cm="1">
        <f t="array" ref="K149">_xlfn.IFS('ProductSprint Backlog'!$F149="", "", AND('ProductSprint Backlog'!$J149&gt;K$2,'ProductSprint Backlog'!$I149&lt;=K$2), 'ProductSprint Backlog'!$F149 / MAX(1, 'ProductSprint Backlog'!$J149-'ProductSprint Backlog'!$I149), AND('ProductSprint Backlog'!$J149=K$2,'ProductSprint Backlog'!$I149=K$2), 'ProductSprint Backlog'!$F149, TRUE, 0)</f>
        <v>0</v>
      </c>
      <c r="L149" s="4" cm="1">
        <f t="array" ref="L149">_xlfn.IFS('ProductSprint Backlog'!$F149="", "", AND('ProductSprint Backlog'!$J149&gt;L$2,'ProductSprint Backlog'!$I149&lt;=L$2), 'ProductSprint Backlog'!$F149 / MAX(1, 'ProductSprint Backlog'!$J149-'ProductSprint Backlog'!$I149), AND('ProductSprint Backlog'!$J149=L$2,'ProductSprint Backlog'!$I149=L$2), 'ProductSprint Backlog'!$F149, TRUE, 0)</f>
        <v>0</v>
      </c>
      <c r="M149" s="4" cm="1">
        <f t="array" ref="M149">_xlfn.IFS('ProductSprint Backlog'!$F149="", "", AND('ProductSprint Backlog'!$J149&gt;M$2,'ProductSprint Backlog'!$I149&lt;=M$2), 'ProductSprint Backlog'!$F149 / MAX(1, 'ProductSprint Backlog'!$J149-'ProductSprint Backlog'!$I149), AND('ProductSprint Backlog'!$J149=M$2,'ProductSprint Backlog'!$I149=M$2), 'ProductSprint Backlog'!$F149, TRUE, 0)</f>
        <v>0</v>
      </c>
      <c r="N149" s="4" cm="1">
        <f t="array" ref="N149">_xlfn.IFS('ProductSprint Backlog'!$F149="", "", AND('ProductSprint Backlog'!$J149&gt;N$2,'ProductSprint Backlog'!$I149&lt;=N$2), 'ProductSprint Backlog'!$F149 / MAX(1, 'ProductSprint Backlog'!$J149-'ProductSprint Backlog'!$I149), AND('ProductSprint Backlog'!$J149=N$2,'ProductSprint Backlog'!$I149=N$2), 'ProductSprint Backlog'!$F149, TRUE, 0)</f>
        <v>0</v>
      </c>
      <c r="O149" s="4" cm="1">
        <f t="array" ref="O149">_xlfn.IFS('ProductSprint Backlog'!$F149="", "", AND('ProductSprint Backlog'!$J149&gt;O$2,'ProductSprint Backlog'!$I149&lt;=O$2), 'ProductSprint Backlog'!$F149 / MAX(1, 'ProductSprint Backlog'!$J149-'ProductSprint Backlog'!$I149), AND('ProductSprint Backlog'!$J149=O$2,'ProductSprint Backlog'!$I149=O$2), 'ProductSprint Backlog'!$F149, TRUE, 0)</f>
        <v>0</v>
      </c>
      <c r="P149" s="4" cm="1">
        <f t="array" ref="P149">_xlfn.IFS('ProductSprint Backlog'!$F149="", "", AND('ProductSprint Backlog'!$J149&gt;P$2,'ProductSprint Backlog'!$I149&lt;=P$2), 'ProductSprint Backlog'!$F149 / MAX(1, 'ProductSprint Backlog'!$J149-'ProductSprint Backlog'!$I149), AND('ProductSprint Backlog'!$J149=P$2,'ProductSprint Backlog'!$I149=P$2), 'ProductSprint Backlog'!$F149, TRUE, 0)</f>
        <v>0</v>
      </c>
      <c r="Q149" s="4" cm="1">
        <f t="array" ref="Q149">_xlfn.IFS('ProductSprint Backlog'!$F149="", "", AND('ProductSprint Backlog'!$J149&gt;Q$2,'ProductSprint Backlog'!$I149&lt;=Q$2), 'ProductSprint Backlog'!$F149 / MAX(1, 'ProductSprint Backlog'!$J149-'ProductSprint Backlog'!$I149), AND('ProductSprint Backlog'!$J149=Q$2,'ProductSprint Backlog'!$I149=Q$2), 'ProductSprint Backlog'!$F149, TRUE, 0)</f>
        <v>0</v>
      </c>
      <c r="R149" s="4" cm="1">
        <f t="array" ref="R149">_xlfn.IFS('ProductSprint Backlog'!$F149="", "", AND('ProductSprint Backlog'!$J149&gt;R$2,'ProductSprint Backlog'!$I149&lt;=R$2), 'ProductSprint Backlog'!$F149 / MAX(1, 'ProductSprint Backlog'!$J149-'ProductSprint Backlog'!$I149), AND('ProductSprint Backlog'!$J149=R$2,'ProductSprint Backlog'!$I149=R$2), 'ProductSprint Backlog'!$F149, TRUE, 0)</f>
        <v>0</v>
      </c>
      <c r="S149" s="4" cm="1">
        <f t="array" ref="S149">_xlfn.IFS('ProductSprint Backlog'!$F149="", "", AND('ProductSprint Backlog'!$J149&gt;S$2,'ProductSprint Backlog'!$I149&lt;=S$2), 'ProductSprint Backlog'!$F149 / MAX(1, 'ProductSprint Backlog'!$J149-'ProductSprint Backlog'!$I149), AND('ProductSprint Backlog'!$J149=S$2,'ProductSprint Backlog'!$I149=S$2), 'ProductSprint Backlog'!$F149, TRUE, 0)</f>
        <v>0</v>
      </c>
      <c r="T149" s="4" cm="1">
        <f t="array" ref="T149">_xlfn.IFS('ProductSprint Backlog'!$F149="", "", AND('ProductSprint Backlog'!$J149&gt;T$2,'ProductSprint Backlog'!$I149&lt;=T$2), 'ProductSprint Backlog'!$F149 / MAX(1, 'ProductSprint Backlog'!$J149-'ProductSprint Backlog'!$I149), AND('ProductSprint Backlog'!$J149=T$2,'ProductSprint Backlog'!$I149=T$2), 'ProductSprint Backlog'!$F149, TRUE, 0)</f>
        <v>0</v>
      </c>
    </row>
    <row r="150" spans="2:20" x14ac:dyDescent="0.2">
      <c r="B150" s="4" cm="1">
        <f t="array" ref="B150">_xlfn.IFS('ProductSprint Backlog'!$F150="", "", AND('ProductSprint Backlog'!$J150&gt;B$2,'ProductSprint Backlog'!$I150&lt;=B$2), 'ProductSprint Backlog'!$F150 / MAX(1, 'ProductSprint Backlog'!$J150-'ProductSprint Backlog'!$I150), AND('ProductSprint Backlog'!$J150=B$2,'ProductSprint Backlog'!$I150=B$2), 'ProductSprint Backlog'!$F150, TRUE, 0)</f>
        <v>0</v>
      </c>
      <c r="C150" s="4" cm="1">
        <f t="array" ref="C150">_xlfn.IFS('ProductSprint Backlog'!$F150="", "", AND('ProductSprint Backlog'!$J150&gt;C$2,'ProductSprint Backlog'!$I150&lt;=C$2), 'ProductSprint Backlog'!$F150 / MAX(1, 'ProductSprint Backlog'!$J150-'ProductSprint Backlog'!$I150), AND('ProductSprint Backlog'!$J150=C$2,'ProductSprint Backlog'!$I150=C$2), 'ProductSprint Backlog'!$F150, TRUE, 0)</f>
        <v>0</v>
      </c>
      <c r="D150" s="4" cm="1">
        <f t="array" ref="D150">_xlfn.IFS('ProductSprint Backlog'!$F150="", "", AND('ProductSprint Backlog'!$J150&gt;D$2,'ProductSprint Backlog'!$I150&lt;=D$2), 'ProductSprint Backlog'!$F150 / MAX(1, 'ProductSprint Backlog'!$J150-'ProductSprint Backlog'!$I150), AND('ProductSprint Backlog'!$J150=D$2,'ProductSprint Backlog'!$I150=D$2), 'ProductSprint Backlog'!$F150, TRUE, 0)</f>
        <v>0</v>
      </c>
      <c r="E150" s="4" cm="1">
        <f t="array" ref="E150">_xlfn.IFS('ProductSprint Backlog'!$F150="", "", AND('ProductSprint Backlog'!$J150&gt;E$2,'ProductSprint Backlog'!$I150&lt;=E$2), 'ProductSprint Backlog'!$F150 / MAX(1, 'ProductSprint Backlog'!$J150-'ProductSprint Backlog'!$I150), AND('ProductSprint Backlog'!$J150=E$2,'ProductSprint Backlog'!$I150=E$2), 'ProductSprint Backlog'!$F150, TRUE, 0)</f>
        <v>0</v>
      </c>
      <c r="F150" s="4" cm="1">
        <f t="array" ref="F150">_xlfn.IFS('ProductSprint Backlog'!$F150="", "", AND('ProductSprint Backlog'!$J150&gt;F$2,'ProductSprint Backlog'!$I150&lt;=F$2), 'ProductSprint Backlog'!$F150 / MAX(1, 'ProductSprint Backlog'!$J150-'ProductSprint Backlog'!$I150), AND('ProductSprint Backlog'!$J150=F$2,'ProductSprint Backlog'!$I150=F$2), 'ProductSprint Backlog'!$F150, TRUE, 0)</f>
        <v>0</v>
      </c>
      <c r="G150" s="4" cm="1">
        <f t="array" ref="G150">_xlfn.IFS('ProductSprint Backlog'!$F150="", "", AND('ProductSprint Backlog'!$J150&gt;G$2,'ProductSprint Backlog'!$I150&lt;=G$2), 'ProductSprint Backlog'!$F150 / MAX(1, 'ProductSprint Backlog'!$J150-'ProductSprint Backlog'!$I150), AND('ProductSprint Backlog'!$J150=G$2,'ProductSprint Backlog'!$I150=G$2), 'ProductSprint Backlog'!$F150, TRUE, 0)</f>
        <v>0</v>
      </c>
      <c r="H150" s="4" cm="1">
        <f t="array" ref="H150">_xlfn.IFS('ProductSprint Backlog'!$F150="", "", AND('ProductSprint Backlog'!$J150&gt;H$2,'ProductSprint Backlog'!$I150&lt;=H$2), 'ProductSprint Backlog'!$F150 / MAX(1, 'ProductSprint Backlog'!$J150-'ProductSprint Backlog'!$I150), AND('ProductSprint Backlog'!$J150=H$2,'ProductSprint Backlog'!$I150=H$2), 'ProductSprint Backlog'!$F150, TRUE, 0)</f>
        <v>0</v>
      </c>
      <c r="I150" s="4" cm="1">
        <f t="array" ref="I150">_xlfn.IFS('ProductSprint Backlog'!$F150="", "", AND('ProductSprint Backlog'!$J150&gt;I$2,'ProductSprint Backlog'!$I150&lt;=I$2), 'ProductSprint Backlog'!$F150 / MAX(1, 'ProductSprint Backlog'!$J150-'ProductSprint Backlog'!$I150), AND('ProductSprint Backlog'!$J150=I$2,'ProductSprint Backlog'!$I150=I$2), 'ProductSprint Backlog'!$F150, TRUE, 0)</f>
        <v>0.5</v>
      </c>
      <c r="J150" s="4" cm="1">
        <f t="array" ref="J150">_xlfn.IFS('ProductSprint Backlog'!$F150="", "", AND('ProductSprint Backlog'!$J150&gt;J$2,'ProductSprint Backlog'!$I150&lt;=J$2), 'ProductSprint Backlog'!$F150 / MAX(1, 'ProductSprint Backlog'!$J150-'ProductSprint Backlog'!$I150), AND('ProductSprint Backlog'!$J150=J$2,'ProductSprint Backlog'!$I150=J$2), 'ProductSprint Backlog'!$F150, TRUE, 0)</f>
        <v>0.5</v>
      </c>
      <c r="K150" s="4" cm="1">
        <f t="array" ref="K150">_xlfn.IFS('ProductSprint Backlog'!$F150="", "", AND('ProductSprint Backlog'!$J150&gt;K$2,'ProductSprint Backlog'!$I150&lt;=K$2), 'ProductSprint Backlog'!$F150 / MAX(1, 'ProductSprint Backlog'!$J150-'ProductSprint Backlog'!$I150), AND('ProductSprint Backlog'!$J150=K$2,'ProductSprint Backlog'!$I150=K$2), 'ProductSprint Backlog'!$F150, TRUE, 0)</f>
        <v>0</v>
      </c>
      <c r="L150" s="4" cm="1">
        <f t="array" ref="L150">_xlfn.IFS('ProductSprint Backlog'!$F150="", "", AND('ProductSprint Backlog'!$J150&gt;L$2,'ProductSprint Backlog'!$I150&lt;=L$2), 'ProductSprint Backlog'!$F150 / MAX(1, 'ProductSprint Backlog'!$J150-'ProductSprint Backlog'!$I150), AND('ProductSprint Backlog'!$J150=L$2,'ProductSprint Backlog'!$I150=L$2), 'ProductSprint Backlog'!$F150, TRUE, 0)</f>
        <v>0</v>
      </c>
      <c r="M150" s="4" cm="1">
        <f t="array" ref="M150">_xlfn.IFS('ProductSprint Backlog'!$F150="", "", AND('ProductSprint Backlog'!$J150&gt;M$2,'ProductSprint Backlog'!$I150&lt;=M$2), 'ProductSprint Backlog'!$F150 / MAX(1, 'ProductSprint Backlog'!$J150-'ProductSprint Backlog'!$I150), AND('ProductSprint Backlog'!$J150=M$2,'ProductSprint Backlog'!$I150=M$2), 'ProductSprint Backlog'!$F150, TRUE, 0)</f>
        <v>0</v>
      </c>
      <c r="N150" s="4" cm="1">
        <f t="array" ref="N150">_xlfn.IFS('ProductSprint Backlog'!$F150="", "", AND('ProductSprint Backlog'!$J150&gt;N$2,'ProductSprint Backlog'!$I150&lt;=N$2), 'ProductSprint Backlog'!$F150 / MAX(1, 'ProductSprint Backlog'!$J150-'ProductSprint Backlog'!$I150), AND('ProductSprint Backlog'!$J150=N$2,'ProductSprint Backlog'!$I150=N$2), 'ProductSprint Backlog'!$F150, TRUE, 0)</f>
        <v>0</v>
      </c>
      <c r="O150" s="4" cm="1">
        <f t="array" ref="O150">_xlfn.IFS('ProductSprint Backlog'!$F150="", "", AND('ProductSprint Backlog'!$J150&gt;O$2,'ProductSprint Backlog'!$I150&lt;=O$2), 'ProductSprint Backlog'!$F150 / MAX(1, 'ProductSprint Backlog'!$J150-'ProductSprint Backlog'!$I150), AND('ProductSprint Backlog'!$J150=O$2,'ProductSprint Backlog'!$I150=O$2), 'ProductSprint Backlog'!$F150, TRUE, 0)</f>
        <v>0</v>
      </c>
      <c r="P150" s="4" cm="1">
        <f t="array" ref="P150">_xlfn.IFS('ProductSprint Backlog'!$F150="", "", AND('ProductSprint Backlog'!$J150&gt;P$2,'ProductSprint Backlog'!$I150&lt;=P$2), 'ProductSprint Backlog'!$F150 / MAX(1, 'ProductSprint Backlog'!$J150-'ProductSprint Backlog'!$I150), AND('ProductSprint Backlog'!$J150=P$2,'ProductSprint Backlog'!$I150=P$2), 'ProductSprint Backlog'!$F150, TRUE, 0)</f>
        <v>0</v>
      </c>
      <c r="Q150" s="4" cm="1">
        <f t="array" ref="Q150">_xlfn.IFS('ProductSprint Backlog'!$F150="", "", AND('ProductSprint Backlog'!$J150&gt;Q$2,'ProductSprint Backlog'!$I150&lt;=Q$2), 'ProductSprint Backlog'!$F150 / MAX(1, 'ProductSprint Backlog'!$J150-'ProductSprint Backlog'!$I150), AND('ProductSprint Backlog'!$J150=Q$2,'ProductSprint Backlog'!$I150=Q$2), 'ProductSprint Backlog'!$F150, TRUE, 0)</f>
        <v>0</v>
      </c>
      <c r="R150" s="4" cm="1">
        <f t="array" ref="R150">_xlfn.IFS('ProductSprint Backlog'!$F150="", "", AND('ProductSprint Backlog'!$J150&gt;R$2,'ProductSprint Backlog'!$I150&lt;=R$2), 'ProductSprint Backlog'!$F150 / MAX(1, 'ProductSprint Backlog'!$J150-'ProductSprint Backlog'!$I150), AND('ProductSprint Backlog'!$J150=R$2,'ProductSprint Backlog'!$I150=R$2), 'ProductSprint Backlog'!$F150, TRUE, 0)</f>
        <v>0</v>
      </c>
      <c r="S150" s="4" cm="1">
        <f t="array" ref="S150">_xlfn.IFS('ProductSprint Backlog'!$F150="", "", AND('ProductSprint Backlog'!$J150&gt;S$2,'ProductSprint Backlog'!$I150&lt;=S$2), 'ProductSprint Backlog'!$F150 / MAX(1, 'ProductSprint Backlog'!$J150-'ProductSprint Backlog'!$I150), AND('ProductSprint Backlog'!$J150=S$2,'ProductSprint Backlog'!$I150=S$2), 'ProductSprint Backlog'!$F150, TRUE, 0)</f>
        <v>0</v>
      </c>
      <c r="T150" s="4" cm="1">
        <f t="array" ref="T150">_xlfn.IFS('ProductSprint Backlog'!$F150="", "", AND('ProductSprint Backlog'!$J150&gt;T$2,'ProductSprint Backlog'!$I150&lt;=T$2), 'ProductSprint Backlog'!$F150 / MAX(1, 'ProductSprint Backlog'!$J150-'ProductSprint Backlog'!$I150), AND('ProductSprint Backlog'!$J150=T$2,'ProductSprint Backlog'!$I150=T$2), 'ProductSprint Backlog'!$F150, TRUE, 0)</f>
        <v>0</v>
      </c>
    </row>
    <row r="151" spans="2:20" x14ac:dyDescent="0.2">
      <c r="B151" s="4" cm="1">
        <f t="array" ref="B151">_xlfn.IFS('ProductSprint Backlog'!$F151="", "", AND('ProductSprint Backlog'!$J151&gt;B$2,'ProductSprint Backlog'!$I151&lt;=B$2), 'ProductSprint Backlog'!$F151 / MAX(1, 'ProductSprint Backlog'!$J151-'ProductSprint Backlog'!$I151), AND('ProductSprint Backlog'!$J151=B$2,'ProductSprint Backlog'!$I151=B$2), 'ProductSprint Backlog'!$F151, TRUE, 0)</f>
        <v>0</v>
      </c>
      <c r="C151" s="4" cm="1">
        <f t="array" ref="C151">_xlfn.IFS('ProductSprint Backlog'!$F151="", "", AND('ProductSprint Backlog'!$J151&gt;C$2,'ProductSprint Backlog'!$I151&lt;=C$2), 'ProductSprint Backlog'!$F151 / MAX(1, 'ProductSprint Backlog'!$J151-'ProductSprint Backlog'!$I151), AND('ProductSprint Backlog'!$J151=C$2,'ProductSprint Backlog'!$I151=C$2), 'ProductSprint Backlog'!$F151, TRUE, 0)</f>
        <v>0</v>
      </c>
      <c r="D151" s="4" cm="1">
        <f t="array" ref="D151">_xlfn.IFS('ProductSprint Backlog'!$F151="", "", AND('ProductSprint Backlog'!$J151&gt;D$2,'ProductSprint Backlog'!$I151&lt;=D$2), 'ProductSprint Backlog'!$F151 / MAX(1, 'ProductSprint Backlog'!$J151-'ProductSprint Backlog'!$I151), AND('ProductSprint Backlog'!$J151=D$2,'ProductSprint Backlog'!$I151=D$2), 'ProductSprint Backlog'!$F151, TRUE, 0)</f>
        <v>0</v>
      </c>
      <c r="E151" s="4" cm="1">
        <f t="array" ref="E151">_xlfn.IFS('ProductSprint Backlog'!$F151="", "", AND('ProductSprint Backlog'!$J151&gt;E$2,'ProductSprint Backlog'!$I151&lt;=E$2), 'ProductSprint Backlog'!$F151 / MAX(1, 'ProductSprint Backlog'!$J151-'ProductSprint Backlog'!$I151), AND('ProductSprint Backlog'!$J151=E$2,'ProductSprint Backlog'!$I151=E$2), 'ProductSprint Backlog'!$F151, TRUE, 0)</f>
        <v>0</v>
      </c>
      <c r="F151" s="4" cm="1">
        <f t="array" ref="F151">_xlfn.IFS('ProductSprint Backlog'!$F151="", "", AND('ProductSprint Backlog'!$J151&gt;F$2,'ProductSprint Backlog'!$I151&lt;=F$2), 'ProductSprint Backlog'!$F151 / MAX(1, 'ProductSprint Backlog'!$J151-'ProductSprint Backlog'!$I151), AND('ProductSprint Backlog'!$J151=F$2,'ProductSprint Backlog'!$I151=F$2), 'ProductSprint Backlog'!$F151, TRUE, 0)</f>
        <v>0</v>
      </c>
      <c r="G151" s="4" cm="1">
        <f t="array" ref="G151">_xlfn.IFS('ProductSprint Backlog'!$F151="", "", AND('ProductSprint Backlog'!$J151&gt;G$2,'ProductSprint Backlog'!$I151&lt;=G$2), 'ProductSprint Backlog'!$F151 / MAX(1, 'ProductSprint Backlog'!$J151-'ProductSprint Backlog'!$I151), AND('ProductSprint Backlog'!$J151=G$2,'ProductSprint Backlog'!$I151=G$2), 'ProductSprint Backlog'!$F151, TRUE, 0)</f>
        <v>0</v>
      </c>
      <c r="H151" s="4" cm="1">
        <f t="array" ref="H151">_xlfn.IFS('ProductSprint Backlog'!$F151="", "", AND('ProductSprint Backlog'!$J151&gt;H$2,'ProductSprint Backlog'!$I151&lt;=H$2), 'ProductSprint Backlog'!$F151 / MAX(1, 'ProductSprint Backlog'!$J151-'ProductSprint Backlog'!$I151), AND('ProductSprint Backlog'!$J151=H$2,'ProductSprint Backlog'!$I151=H$2), 'ProductSprint Backlog'!$F151, TRUE, 0)</f>
        <v>0</v>
      </c>
      <c r="I151" s="4" cm="1">
        <f t="array" ref="I151">_xlfn.IFS('ProductSprint Backlog'!$F151="", "", AND('ProductSprint Backlog'!$J151&gt;I$2,'ProductSprint Backlog'!$I151&lt;=I$2), 'ProductSprint Backlog'!$F151 / MAX(1, 'ProductSprint Backlog'!$J151-'ProductSprint Backlog'!$I151), AND('ProductSprint Backlog'!$J151=I$2,'ProductSprint Backlog'!$I151=I$2), 'ProductSprint Backlog'!$F151, TRUE, 0)</f>
        <v>0.5</v>
      </c>
      <c r="J151" s="4" cm="1">
        <f t="array" ref="J151">_xlfn.IFS('ProductSprint Backlog'!$F151="", "", AND('ProductSprint Backlog'!$J151&gt;J$2,'ProductSprint Backlog'!$I151&lt;=J$2), 'ProductSprint Backlog'!$F151 / MAX(1, 'ProductSprint Backlog'!$J151-'ProductSprint Backlog'!$I151), AND('ProductSprint Backlog'!$J151=J$2,'ProductSprint Backlog'!$I151=J$2), 'ProductSprint Backlog'!$F151, TRUE, 0)</f>
        <v>0.5</v>
      </c>
      <c r="K151" s="4" cm="1">
        <f t="array" ref="K151">_xlfn.IFS('ProductSprint Backlog'!$F151="", "", AND('ProductSprint Backlog'!$J151&gt;K$2,'ProductSprint Backlog'!$I151&lt;=K$2), 'ProductSprint Backlog'!$F151 / MAX(1, 'ProductSprint Backlog'!$J151-'ProductSprint Backlog'!$I151), AND('ProductSprint Backlog'!$J151=K$2,'ProductSprint Backlog'!$I151=K$2), 'ProductSprint Backlog'!$F151, TRUE, 0)</f>
        <v>0</v>
      </c>
      <c r="L151" s="4" cm="1">
        <f t="array" ref="L151">_xlfn.IFS('ProductSprint Backlog'!$F151="", "", AND('ProductSprint Backlog'!$J151&gt;L$2,'ProductSprint Backlog'!$I151&lt;=L$2), 'ProductSprint Backlog'!$F151 / MAX(1, 'ProductSprint Backlog'!$J151-'ProductSprint Backlog'!$I151), AND('ProductSprint Backlog'!$J151=L$2,'ProductSprint Backlog'!$I151=L$2), 'ProductSprint Backlog'!$F151, TRUE, 0)</f>
        <v>0</v>
      </c>
      <c r="M151" s="4" cm="1">
        <f t="array" ref="M151">_xlfn.IFS('ProductSprint Backlog'!$F151="", "", AND('ProductSprint Backlog'!$J151&gt;M$2,'ProductSprint Backlog'!$I151&lt;=M$2), 'ProductSprint Backlog'!$F151 / MAX(1, 'ProductSprint Backlog'!$J151-'ProductSprint Backlog'!$I151), AND('ProductSprint Backlog'!$J151=M$2,'ProductSprint Backlog'!$I151=M$2), 'ProductSprint Backlog'!$F151, TRUE, 0)</f>
        <v>0</v>
      </c>
      <c r="N151" s="4" cm="1">
        <f t="array" ref="N151">_xlfn.IFS('ProductSprint Backlog'!$F151="", "", AND('ProductSprint Backlog'!$J151&gt;N$2,'ProductSprint Backlog'!$I151&lt;=N$2), 'ProductSprint Backlog'!$F151 / MAX(1, 'ProductSprint Backlog'!$J151-'ProductSprint Backlog'!$I151), AND('ProductSprint Backlog'!$J151=N$2,'ProductSprint Backlog'!$I151=N$2), 'ProductSprint Backlog'!$F151, TRUE, 0)</f>
        <v>0</v>
      </c>
      <c r="O151" s="4" cm="1">
        <f t="array" ref="O151">_xlfn.IFS('ProductSprint Backlog'!$F151="", "", AND('ProductSprint Backlog'!$J151&gt;O$2,'ProductSprint Backlog'!$I151&lt;=O$2), 'ProductSprint Backlog'!$F151 / MAX(1, 'ProductSprint Backlog'!$J151-'ProductSprint Backlog'!$I151), AND('ProductSprint Backlog'!$J151=O$2,'ProductSprint Backlog'!$I151=O$2), 'ProductSprint Backlog'!$F151, TRUE, 0)</f>
        <v>0</v>
      </c>
      <c r="P151" s="4" cm="1">
        <f t="array" ref="P151">_xlfn.IFS('ProductSprint Backlog'!$F151="", "", AND('ProductSprint Backlog'!$J151&gt;P$2,'ProductSprint Backlog'!$I151&lt;=P$2), 'ProductSprint Backlog'!$F151 / MAX(1, 'ProductSprint Backlog'!$J151-'ProductSprint Backlog'!$I151), AND('ProductSprint Backlog'!$J151=P$2,'ProductSprint Backlog'!$I151=P$2), 'ProductSprint Backlog'!$F151, TRUE, 0)</f>
        <v>0</v>
      </c>
      <c r="Q151" s="4" cm="1">
        <f t="array" ref="Q151">_xlfn.IFS('ProductSprint Backlog'!$F151="", "", AND('ProductSprint Backlog'!$J151&gt;Q$2,'ProductSprint Backlog'!$I151&lt;=Q$2), 'ProductSprint Backlog'!$F151 / MAX(1, 'ProductSprint Backlog'!$J151-'ProductSprint Backlog'!$I151), AND('ProductSprint Backlog'!$J151=Q$2,'ProductSprint Backlog'!$I151=Q$2), 'ProductSprint Backlog'!$F151, TRUE, 0)</f>
        <v>0</v>
      </c>
      <c r="R151" s="4" cm="1">
        <f t="array" ref="R151">_xlfn.IFS('ProductSprint Backlog'!$F151="", "", AND('ProductSprint Backlog'!$J151&gt;R$2,'ProductSprint Backlog'!$I151&lt;=R$2), 'ProductSprint Backlog'!$F151 / MAX(1, 'ProductSprint Backlog'!$J151-'ProductSprint Backlog'!$I151), AND('ProductSprint Backlog'!$J151=R$2,'ProductSprint Backlog'!$I151=R$2), 'ProductSprint Backlog'!$F151, TRUE, 0)</f>
        <v>0</v>
      </c>
      <c r="S151" s="4" cm="1">
        <f t="array" ref="S151">_xlfn.IFS('ProductSprint Backlog'!$F151="", "", AND('ProductSprint Backlog'!$J151&gt;S$2,'ProductSprint Backlog'!$I151&lt;=S$2), 'ProductSprint Backlog'!$F151 / MAX(1, 'ProductSprint Backlog'!$J151-'ProductSprint Backlog'!$I151), AND('ProductSprint Backlog'!$J151=S$2,'ProductSprint Backlog'!$I151=S$2), 'ProductSprint Backlog'!$F151, TRUE, 0)</f>
        <v>0</v>
      </c>
      <c r="T151" s="4" cm="1">
        <f t="array" ref="T151">_xlfn.IFS('ProductSprint Backlog'!$F151="", "", AND('ProductSprint Backlog'!$J151&gt;T$2,'ProductSprint Backlog'!$I151&lt;=T$2), 'ProductSprint Backlog'!$F151 / MAX(1, 'ProductSprint Backlog'!$J151-'ProductSprint Backlog'!$I151), AND('ProductSprint Backlog'!$J151=T$2,'ProductSprint Backlog'!$I151=T$2), 'ProductSprint Backlog'!$F151, TRUE, 0)</f>
        <v>0</v>
      </c>
    </row>
    <row r="152" spans="2:20" x14ac:dyDescent="0.2">
      <c r="B152" s="4" cm="1">
        <f t="array" ref="B152">_xlfn.IFS('ProductSprint Backlog'!$F152="", "", AND('ProductSprint Backlog'!$J152&gt;B$2,'ProductSprint Backlog'!$I152&lt;=B$2), 'ProductSprint Backlog'!$F152 / MAX(1, 'ProductSprint Backlog'!$J152-'ProductSprint Backlog'!$I152), AND('ProductSprint Backlog'!$J152=B$2,'ProductSprint Backlog'!$I152=B$2), 'ProductSprint Backlog'!$F152, TRUE, 0)</f>
        <v>0</v>
      </c>
      <c r="C152" s="4" cm="1">
        <f t="array" ref="C152">_xlfn.IFS('ProductSprint Backlog'!$F152="", "", AND('ProductSprint Backlog'!$J152&gt;C$2,'ProductSprint Backlog'!$I152&lt;=C$2), 'ProductSprint Backlog'!$F152 / MAX(1, 'ProductSprint Backlog'!$J152-'ProductSprint Backlog'!$I152), AND('ProductSprint Backlog'!$J152=C$2,'ProductSprint Backlog'!$I152=C$2), 'ProductSprint Backlog'!$F152, TRUE, 0)</f>
        <v>0</v>
      </c>
      <c r="D152" s="4" cm="1">
        <f t="array" ref="D152">_xlfn.IFS('ProductSprint Backlog'!$F152="", "", AND('ProductSprint Backlog'!$J152&gt;D$2,'ProductSprint Backlog'!$I152&lt;=D$2), 'ProductSprint Backlog'!$F152 / MAX(1, 'ProductSprint Backlog'!$J152-'ProductSprint Backlog'!$I152), AND('ProductSprint Backlog'!$J152=D$2,'ProductSprint Backlog'!$I152=D$2), 'ProductSprint Backlog'!$F152, TRUE, 0)</f>
        <v>0</v>
      </c>
      <c r="E152" s="4" cm="1">
        <f t="array" ref="E152">_xlfn.IFS('ProductSprint Backlog'!$F152="", "", AND('ProductSprint Backlog'!$J152&gt;E$2,'ProductSprint Backlog'!$I152&lt;=E$2), 'ProductSprint Backlog'!$F152 / MAX(1, 'ProductSprint Backlog'!$J152-'ProductSprint Backlog'!$I152), AND('ProductSprint Backlog'!$J152=E$2,'ProductSprint Backlog'!$I152=E$2), 'ProductSprint Backlog'!$F152, TRUE, 0)</f>
        <v>0</v>
      </c>
      <c r="F152" s="4" cm="1">
        <f t="array" ref="F152">_xlfn.IFS('ProductSprint Backlog'!$F152="", "", AND('ProductSprint Backlog'!$J152&gt;F$2,'ProductSprint Backlog'!$I152&lt;=F$2), 'ProductSprint Backlog'!$F152 / MAX(1, 'ProductSprint Backlog'!$J152-'ProductSprint Backlog'!$I152), AND('ProductSprint Backlog'!$J152=F$2,'ProductSprint Backlog'!$I152=F$2), 'ProductSprint Backlog'!$F152, TRUE, 0)</f>
        <v>0</v>
      </c>
      <c r="G152" s="4" cm="1">
        <f t="array" ref="G152">_xlfn.IFS('ProductSprint Backlog'!$F152="", "", AND('ProductSprint Backlog'!$J152&gt;G$2,'ProductSprint Backlog'!$I152&lt;=G$2), 'ProductSprint Backlog'!$F152 / MAX(1, 'ProductSprint Backlog'!$J152-'ProductSprint Backlog'!$I152), AND('ProductSprint Backlog'!$J152=G$2,'ProductSprint Backlog'!$I152=G$2), 'ProductSprint Backlog'!$F152, TRUE, 0)</f>
        <v>0</v>
      </c>
      <c r="H152" s="4" cm="1">
        <f t="array" ref="H152">_xlfn.IFS('ProductSprint Backlog'!$F152="", "", AND('ProductSprint Backlog'!$J152&gt;H$2,'ProductSprint Backlog'!$I152&lt;=H$2), 'ProductSprint Backlog'!$F152 / MAX(1, 'ProductSprint Backlog'!$J152-'ProductSprint Backlog'!$I152), AND('ProductSprint Backlog'!$J152=H$2,'ProductSprint Backlog'!$I152=H$2), 'ProductSprint Backlog'!$F152, TRUE, 0)</f>
        <v>0</v>
      </c>
      <c r="I152" s="4" cm="1">
        <f t="array" ref="I152">_xlfn.IFS('ProductSprint Backlog'!$F152="", "", AND('ProductSprint Backlog'!$J152&gt;I$2,'ProductSprint Backlog'!$I152&lt;=I$2), 'ProductSprint Backlog'!$F152 / MAX(1, 'ProductSprint Backlog'!$J152-'ProductSprint Backlog'!$I152), AND('ProductSprint Backlog'!$J152=I$2,'ProductSprint Backlog'!$I152=I$2), 'ProductSprint Backlog'!$F152, TRUE, 0)</f>
        <v>0.5</v>
      </c>
      <c r="J152" s="4" cm="1">
        <f t="array" ref="J152">_xlfn.IFS('ProductSprint Backlog'!$F152="", "", AND('ProductSprint Backlog'!$J152&gt;J$2,'ProductSprint Backlog'!$I152&lt;=J$2), 'ProductSprint Backlog'!$F152 / MAX(1, 'ProductSprint Backlog'!$J152-'ProductSprint Backlog'!$I152), AND('ProductSprint Backlog'!$J152=J$2,'ProductSprint Backlog'!$I152=J$2), 'ProductSprint Backlog'!$F152, TRUE, 0)</f>
        <v>0.5</v>
      </c>
      <c r="K152" s="4" cm="1">
        <f t="array" ref="K152">_xlfn.IFS('ProductSprint Backlog'!$F152="", "", AND('ProductSprint Backlog'!$J152&gt;K$2,'ProductSprint Backlog'!$I152&lt;=K$2), 'ProductSprint Backlog'!$F152 / MAX(1, 'ProductSprint Backlog'!$J152-'ProductSprint Backlog'!$I152), AND('ProductSprint Backlog'!$J152=K$2,'ProductSprint Backlog'!$I152=K$2), 'ProductSprint Backlog'!$F152, TRUE, 0)</f>
        <v>0</v>
      </c>
      <c r="L152" s="4" cm="1">
        <f t="array" ref="L152">_xlfn.IFS('ProductSprint Backlog'!$F152="", "", AND('ProductSprint Backlog'!$J152&gt;L$2,'ProductSprint Backlog'!$I152&lt;=L$2), 'ProductSprint Backlog'!$F152 / MAX(1, 'ProductSprint Backlog'!$J152-'ProductSprint Backlog'!$I152), AND('ProductSprint Backlog'!$J152=L$2,'ProductSprint Backlog'!$I152=L$2), 'ProductSprint Backlog'!$F152, TRUE, 0)</f>
        <v>0</v>
      </c>
      <c r="M152" s="4" cm="1">
        <f t="array" ref="M152">_xlfn.IFS('ProductSprint Backlog'!$F152="", "", AND('ProductSprint Backlog'!$J152&gt;M$2,'ProductSprint Backlog'!$I152&lt;=M$2), 'ProductSprint Backlog'!$F152 / MAX(1, 'ProductSprint Backlog'!$J152-'ProductSprint Backlog'!$I152), AND('ProductSprint Backlog'!$J152=M$2,'ProductSprint Backlog'!$I152=M$2), 'ProductSprint Backlog'!$F152, TRUE, 0)</f>
        <v>0</v>
      </c>
      <c r="N152" s="4" cm="1">
        <f t="array" ref="N152">_xlfn.IFS('ProductSprint Backlog'!$F152="", "", AND('ProductSprint Backlog'!$J152&gt;N$2,'ProductSprint Backlog'!$I152&lt;=N$2), 'ProductSprint Backlog'!$F152 / MAX(1, 'ProductSprint Backlog'!$J152-'ProductSprint Backlog'!$I152), AND('ProductSprint Backlog'!$J152=N$2,'ProductSprint Backlog'!$I152=N$2), 'ProductSprint Backlog'!$F152, TRUE, 0)</f>
        <v>0</v>
      </c>
      <c r="O152" s="4" cm="1">
        <f t="array" ref="O152">_xlfn.IFS('ProductSprint Backlog'!$F152="", "", AND('ProductSprint Backlog'!$J152&gt;O$2,'ProductSprint Backlog'!$I152&lt;=O$2), 'ProductSprint Backlog'!$F152 / MAX(1, 'ProductSprint Backlog'!$J152-'ProductSprint Backlog'!$I152), AND('ProductSprint Backlog'!$J152=O$2,'ProductSprint Backlog'!$I152=O$2), 'ProductSprint Backlog'!$F152, TRUE, 0)</f>
        <v>0</v>
      </c>
      <c r="P152" s="4" cm="1">
        <f t="array" ref="P152">_xlfn.IFS('ProductSprint Backlog'!$F152="", "", AND('ProductSprint Backlog'!$J152&gt;P$2,'ProductSprint Backlog'!$I152&lt;=P$2), 'ProductSprint Backlog'!$F152 / MAX(1, 'ProductSprint Backlog'!$J152-'ProductSprint Backlog'!$I152), AND('ProductSprint Backlog'!$J152=P$2,'ProductSprint Backlog'!$I152=P$2), 'ProductSprint Backlog'!$F152, TRUE, 0)</f>
        <v>0</v>
      </c>
      <c r="Q152" s="4" cm="1">
        <f t="array" ref="Q152">_xlfn.IFS('ProductSprint Backlog'!$F152="", "", AND('ProductSprint Backlog'!$J152&gt;Q$2,'ProductSprint Backlog'!$I152&lt;=Q$2), 'ProductSprint Backlog'!$F152 / MAX(1, 'ProductSprint Backlog'!$J152-'ProductSprint Backlog'!$I152), AND('ProductSprint Backlog'!$J152=Q$2,'ProductSprint Backlog'!$I152=Q$2), 'ProductSprint Backlog'!$F152, TRUE, 0)</f>
        <v>0</v>
      </c>
      <c r="R152" s="4" cm="1">
        <f t="array" ref="R152">_xlfn.IFS('ProductSprint Backlog'!$F152="", "", AND('ProductSprint Backlog'!$J152&gt;R$2,'ProductSprint Backlog'!$I152&lt;=R$2), 'ProductSprint Backlog'!$F152 / MAX(1, 'ProductSprint Backlog'!$J152-'ProductSprint Backlog'!$I152), AND('ProductSprint Backlog'!$J152=R$2,'ProductSprint Backlog'!$I152=R$2), 'ProductSprint Backlog'!$F152, TRUE, 0)</f>
        <v>0</v>
      </c>
      <c r="S152" s="4" cm="1">
        <f t="array" ref="S152">_xlfn.IFS('ProductSprint Backlog'!$F152="", "", AND('ProductSprint Backlog'!$J152&gt;S$2,'ProductSprint Backlog'!$I152&lt;=S$2), 'ProductSprint Backlog'!$F152 / MAX(1, 'ProductSprint Backlog'!$J152-'ProductSprint Backlog'!$I152), AND('ProductSprint Backlog'!$J152=S$2,'ProductSprint Backlog'!$I152=S$2), 'ProductSprint Backlog'!$F152, TRUE, 0)</f>
        <v>0</v>
      </c>
      <c r="T152" s="4" cm="1">
        <f t="array" ref="T152">_xlfn.IFS('ProductSprint Backlog'!$F152="", "", AND('ProductSprint Backlog'!$J152&gt;T$2,'ProductSprint Backlog'!$I152&lt;=T$2), 'ProductSprint Backlog'!$F152 / MAX(1, 'ProductSprint Backlog'!$J152-'ProductSprint Backlog'!$I152), AND('ProductSprint Backlog'!$J152=T$2,'ProductSprint Backlog'!$I152=T$2), 'ProductSprint Backlog'!$F152, TRUE, 0)</f>
        <v>0</v>
      </c>
    </row>
    <row r="153" spans="2:20" x14ac:dyDescent="0.2">
      <c r="B153" s="4" cm="1">
        <f t="array" ref="B153">_xlfn.IFS('ProductSprint Backlog'!$F153="", "", AND('ProductSprint Backlog'!$J153&gt;B$2,'ProductSprint Backlog'!$I153&lt;=B$2), 'ProductSprint Backlog'!$F153 / MAX(1, 'ProductSprint Backlog'!$J153-'ProductSprint Backlog'!$I153), AND('ProductSprint Backlog'!$J153=B$2,'ProductSprint Backlog'!$I153=B$2), 'ProductSprint Backlog'!$F153, TRUE, 0)</f>
        <v>0</v>
      </c>
      <c r="C153" s="4" cm="1">
        <f t="array" ref="C153">_xlfn.IFS('ProductSprint Backlog'!$F153="", "", AND('ProductSprint Backlog'!$J153&gt;C$2,'ProductSprint Backlog'!$I153&lt;=C$2), 'ProductSprint Backlog'!$F153 / MAX(1, 'ProductSprint Backlog'!$J153-'ProductSprint Backlog'!$I153), AND('ProductSprint Backlog'!$J153=C$2,'ProductSprint Backlog'!$I153=C$2), 'ProductSprint Backlog'!$F153, TRUE, 0)</f>
        <v>0</v>
      </c>
      <c r="D153" s="4" cm="1">
        <f t="array" ref="D153">_xlfn.IFS('ProductSprint Backlog'!$F153="", "", AND('ProductSprint Backlog'!$J153&gt;D$2,'ProductSprint Backlog'!$I153&lt;=D$2), 'ProductSprint Backlog'!$F153 / MAX(1, 'ProductSprint Backlog'!$J153-'ProductSprint Backlog'!$I153), AND('ProductSprint Backlog'!$J153=D$2,'ProductSprint Backlog'!$I153=D$2), 'ProductSprint Backlog'!$F153, TRUE, 0)</f>
        <v>0</v>
      </c>
      <c r="E153" s="4" cm="1">
        <f t="array" ref="E153">_xlfn.IFS('ProductSprint Backlog'!$F153="", "", AND('ProductSprint Backlog'!$J153&gt;E$2,'ProductSprint Backlog'!$I153&lt;=E$2), 'ProductSprint Backlog'!$F153 / MAX(1, 'ProductSprint Backlog'!$J153-'ProductSprint Backlog'!$I153), AND('ProductSprint Backlog'!$J153=E$2,'ProductSprint Backlog'!$I153=E$2), 'ProductSprint Backlog'!$F153, TRUE, 0)</f>
        <v>0</v>
      </c>
      <c r="F153" s="4" cm="1">
        <f t="array" ref="F153">_xlfn.IFS('ProductSprint Backlog'!$F153="", "", AND('ProductSprint Backlog'!$J153&gt;F$2,'ProductSprint Backlog'!$I153&lt;=F$2), 'ProductSprint Backlog'!$F153 / MAX(1, 'ProductSprint Backlog'!$J153-'ProductSprint Backlog'!$I153), AND('ProductSprint Backlog'!$J153=F$2,'ProductSprint Backlog'!$I153=F$2), 'ProductSprint Backlog'!$F153, TRUE, 0)</f>
        <v>0</v>
      </c>
      <c r="G153" s="4" cm="1">
        <f t="array" ref="G153">_xlfn.IFS('ProductSprint Backlog'!$F153="", "", AND('ProductSprint Backlog'!$J153&gt;G$2,'ProductSprint Backlog'!$I153&lt;=G$2), 'ProductSprint Backlog'!$F153 / MAX(1, 'ProductSprint Backlog'!$J153-'ProductSprint Backlog'!$I153), AND('ProductSprint Backlog'!$J153=G$2,'ProductSprint Backlog'!$I153=G$2), 'ProductSprint Backlog'!$F153, TRUE, 0)</f>
        <v>0</v>
      </c>
      <c r="H153" s="4" cm="1">
        <f t="array" ref="H153">_xlfn.IFS('ProductSprint Backlog'!$F153="", "", AND('ProductSprint Backlog'!$J153&gt;H$2,'ProductSprint Backlog'!$I153&lt;=H$2), 'ProductSprint Backlog'!$F153 / MAX(1, 'ProductSprint Backlog'!$J153-'ProductSprint Backlog'!$I153), AND('ProductSprint Backlog'!$J153=H$2,'ProductSprint Backlog'!$I153=H$2), 'ProductSprint Backlog'!$F153, TRUE, 0)</f>
        <v>0</v>
      </c>
      <c r="I153" s="4" cm="1">
        <f t="array" ref="I153">_xlfn.IFS('ProductSprint Backlog'!$F153="", "", AND('ProductSprint Backlog'!$J153&gt;I$2,'ProductSprint Backlog'!$I153&lt;=I$2), 'ProductSprint Backlog'!$F153 / MAX(1, 'ProductSprint Backlog'!$J153-'ProductSprint Backlog'!$I153), AND('ProductSprint Backlog'!$J153=I$2,'ProductSprint Backlog'!$I153=I$2), 'ProductSprint Backlog'!$F153, TRUE, 0)</f>
        <v>0</v>
      </c>
      <c r="J153" s="4" cm="1">
        <f t="array" ref="J153">_xlfn.IFS('ProductSprint Backlog'!$F153="", "", AND('ProductSprint Backlog'!$J153&gt;J$2,'ProductSprint Backlog'!$I153&lt;=J$2), 'ProductSprint Backlog'!$F153 / MAX(1, 'ProductSprint Backlog'!$J153-'ProductSprint Backlog'!$I153), AND('ProductSprint Backlog'!$J153=J$2,'ProductSprint Backlog'!$I153=J$2), 'ProductSprint Backlog'!$F153, TRUE, 0)</f>
        <v>0</v>
      </c>
      <c r="K153" s="4" cm="1">
        <f t="array" ref="K153">_xlfn.IFS('ProductSprint Backlog'!$F153="", "", AND('ProductSprint Backlog'!$J153&gt;K$2,'ProductSprint Backlog'!$I153&lt;=K$2), 'ProductSprint Backlog'!$F153 / MAX(1, 'ProductSprint Backlog'!$J153-'ProductSprint Backlog'!$I153), AND('ProductSprint Backlog'!$J153=K$2,'ProductSprint Backlog'!$I153=K$2), 'ProductSprint Backlog'!$F153, TRUE, 0)</f>
        <v>0</v>
      </c>
      <c r="L153" s="4" cm="1">
        <f t="array" ref="L153">_xlfn.IFS('ProductSprint Backlog'!$F153="", "", AND('ProductSprint Backlog'!$J153&gt;L$2,'ProductSprint Backlog'!$I153&lt;=L$2), 'ProductSprint Backlog'!$F153 / MAX(1, 'ProductSprint Backlog'!$J153-'ProductSprint Backlog'!$I153), AND('ProductSprint Backlog'!$J153=L$2,'ProductSprint Backlog'!$I153=L$2), 'ProductSprint Backlog'!$F153, TRUE, 0)</f>
        <v>0.5</v>
      </c>
      <c r="M153" s="4" cm="1">
        <f t="array" ref="M153">_xlfn.IFS('ProductSprint Backlog'!$F153="", "", AND('ProductSprint Backlog'!$J153&gt;M$2,'ProductSprint Backlog'!$I153&lt;=M$2), 'ProductSprint Backlog'!$F153 / MAX(1, 'ProductSprint Backlog'!$J153-'ProductSprint Backlog'!$I153), AND('ProductSprint Backlog'!$J153=M$2,'ProductSprint Backlog'!$I153=M$2), 'ProductSprint Backlog'!$F153, TRUE, 0)</f>
        <v>0.5</v>
      </c>
      <c r="N153" s="4" cm="1">
        <f t="array" ref="N153">_xlfn.IFS('ProductSprint Backlog'!$F153="", "", AND('ProductSprint Backlog'!$J153&gt;N$2,'ProductSprint Backlog'!$I153&lt;=N$2), 'ProductSprint Backlog'!$F153 / MAX(1, 'ProductSprint Backlog'!$J153-'ProductSprint Backlog'!$I153), AND('ProductSprint Backlog'!$J153=N$2,'ProductSprint Backlog'!$I153=N$2), 'ProductSprint Backlog'!$F153, TRUE, 0)</f>
        <v>0</v>
      </c>
      <c r="O153" s="4" cm="1">
        <f t="array" ref="O153">_xlfn.IFS('ProductSprint Backlog'!$F153="", "", AND('ProductSprint Backlog'!$J153&gt;O$2,'ProductSprint Backlog'!$I153&lt;=O$2), 'ProductSprint Backlog'!$F153 / MAX(1, 'ProductSprint Backlog'!$J153-'ProductSprint Backlog'!$I153), AND('ProductSprint Backlog'!$J153=O$2,'ProductSprint Backlog'!$I153=O$2), 'ProductSprint Backlog'!$F153, TRUE, 0)</f>
        <v>0</v>
      </c>
      <c r="P153" s="4" cm="1">
        <f t="array" ref="P153">_xlfn.IFS('ProductSprint Backlog'!$F153="", "", AND('ProductSprint Backlog'!$J153&gt;P$2,'ProductSprint Backlog'!$I153&lt;=P$2), 'ProductSprint Backlog'!$F153 / MAX(1, 'ProductSprint Backlog'!$J153-'ProductSprint Backlog'!$I153), AND('ProductSprint Backlog'!$J153=P$2,'ProductSprint Backlog'!$I153=P$2), 'ProductSprint Backlog'!$F153, TRUE, 0)</f>
        <v>0</v>
      </c>
      <c r="Q153" s="4" cm="1">
        <f t="array" ref="Q153">_xlfn.IFS('ProductSprint Backlog'!$F153="", "", AND('ProductSprint Backlog'!$J153&gt;Q$2,'ProductSprint Backlog'!$I153&lt;=Q$2), 'ProductSprint Backlog'!$F153 / MAX(1, 'ProductSprint Backlog'!$J153-'ProductSprint Backlog'!$I153), AND('ProductSprint Backlog'!$J153=Q$2,'ProductSprint Backlog'!$I153=Q$2), 'ProductSprint Backlog'!$F153, TRUE, 0)</f>
        <v>0</v>
      </c>
      <c r="R153" s="4" cm="1">
        <f t="array" ref="R153">_xlfn.IFS('ProductSprint Backlog'!$F153="", "", AND('ProductSprint Backlog'!$J153&gt;R$2,'ProductSprint Backlog'!$I153&lt;=R$2), 'ProductSprint Backlog'!$F153 / MAX(1, 'ProductSprint Backlog'!$J153-'ProductSprint Backlog'!$I153), AND('ProductSprint Backlog'!$J153=R$2,'ProductSprint Backlog'!$I153=R$2), 'ProductSprint Backlog'!$F153, TRUE, 0)</f>
        <v>0</v>
      </c>
      <c r="S153" s="4" cm="1">
        <f t="array" ref="S153">_xlfn.IFS('ProductSprint Backlog'!$F153="", "", AND('ProductSprint Backlog'!$J153&gt;S$2,'ProductSprint Backlog'!$I153&lt;=S$2), 'ProductSprint Backlog'!$F153 / MAX(1, 'ProductSprint Backlog'!$J153-'ProductSprint Backlog'!$I153), AND('ProductSprint Backlog'!$J153=S$2,'ProductSprint Backlog'!$I153=S$2), 'ProductSprint Backlog'!$F153, TRUE, 0)</f>
        <v>0</v>
      </c>
      <c r="T153" s="4" cm="1">
        <f t="array" ref="T153">_xlfn.IFS('ProductSprint Backlog'!$F153="", "", AND('ProductSprint Backlog'!$J153&gt;T$2,'ProductSprint Backlog'!$I153&lt;=T$2), 'ProductSprint Backlog'!$F153 / MAX(1, 'ProductSprint Backlog'!$J153-'ProductSprint Backlog'!$I153), AND('ProductSprint Backlog'!$J153=T$2,'ProductSprint Backlog'!$I153=T$2), 'ProductSprint Backlog'!$F153, TRUE, 0)</f>
        <v>0</v>
      </c>
    </row>
    <row r="154" spans="2:20" x14ac:dyDescent="0.2">
      <c r="B154" s="4" cm="1">
        <f t="array" ref="B154">_xlfn.IFS('ProductSprint Backlog'!$F154="", "", AND('ProductSprint Backlog'!$J154&gt;B$2,'ProductSprint Backlog'!$I154&lt;=B$2), 'ProductSprint Backlog'!$F154 / MAX(1, 'ProductSprint Backlog'!$J154-'ProductSprint Backlog'!$I154), AND('ProductSprint Backlog'!$J154=B$2,'ProductSprint Backlog'!$I154=B$2), 'ProductSprint Backlog'!$F154, TRUE, 0)</f>
        <v>0</v>
      </c>
      <c r="C154" s="4" cm="1">
        <f t="array" ref="C154">_xlfn.IFS('ProductSprint Backlog'!$F154="", "", AND('ProductSprint Backlog'!$J154&gt;C$2,'ProductSprint Backlog'!$I154&lt;=C$2), 'ProductSprint Backlog'!$F154 / MAX(1, 'ProductSprint Backlog'!$J154-'ProductSprint Backlog'!$I154), AND('ProductSprint Backlog'!$J154=C$2,'ProductSprint Backlog'!$I154=C$2), 'ProductSprint Backlog'!$F154, TRUE, 0)</f>
        <v>0</v>
      </c>
      <c r="D154" s="4" cm="1">
        <f t="array" ref="D154">_xlfn.IFS('ProductSprint Backlog'!$F154="", "", AND('ProductSprint Backlog'!$J154&gt;D$2,'ProductSprint Backlog'!$I154&lt;=D$2), 'ProductSprint Backlog'!$F154 / MAX(1, 'ProductSprint Backlog'!$J154-'ProductSprint Backlog'!$I154), AND('ProductSprint Backlog'!$J154=D$2,'ProductSprint Backlog'!$I154=D$2), 'ProductSprint Backlog'!$F154, TRUE, 0)</f>
        <v>0</v>
      </c>
      <c r="E154" s="4" cm="1">
        <f t="array" ref="E154">_xlfn.IFS('ProductSprint Backlog'!$F154="", "", AND('ProductSprint Backlog'!$J154&gt;E$2,'ProductSprint Backlog'!$I154&lt;=E$2), 'ProductSprint Backlog'!$F154 / MAX(1, 'ProductSprint Backlog'!$J154-'ProductSprint Backlog'!$I154), AND('ProductSprint Backlog'!$J154=E$2,'ProductSprint Backlog'!$I154=E$2), 'ProductSprint Backlog'!$F154, TRUE, 0)</f>
        <v>0</v>
      </c>
      <c r="F154" s="4" cm="1">
        <f t="array" ref="F154">_xlfn.IFS('ProductSprint Backlog'!$F154="", "", AND('ProductSprint Backlog'!$J154&gt;F$2,'ProductSprint Backlog'!$I154&lt;=F$2), 'ProductSprint Backlog'!$F154 / MAX(1, 'ProductSprint Backlog'!$J154-'ProductSprint Backlog'!$I154), AND('ProductSprint Backlog'!$J154=F$2,'ProductSprint Backlog'!$I154=F$2), 'ProductSprint Backlog'!$F154, TRUE, 0)</f>
        <v>0</v>
      </c>
      <c r="G154" s="4" cm="1">
        <f t="array" ref="G154">_xlfn.IFS('ProductSprint Backlog'!$F154="", "", AND('ProductSprint Backlog'!$J154&gt;G$2,'ProductSprint Backlog'!$I154&lt;=G$2), 'ProductSprint Backlog'!$F154 / MAX(1, 'ProductSprint Backlog'!$J154-'ProductSprint Backlog'!$I154), AND('ProductSprint Backlog'!$J154=G$2,'ProductSprint Backlog'!$I154=G$2), 'ProductSprint Backlog'!$F154, TRUE, 0)</f>
        <v>0</v>
      </c>
      <c r="H154" s="4" cm="1">
        <f t="array" ref="H154">_xlfn.IFS('ProductSprint Backlog'!$F154="", "", AND('ProductSprint Backlog'!$J154&gt;H$2,'ProductSprint Backlog'!$I154&lt;=H$2), 'ProductSprint Backlog'!$F154 / MAX(1, 'ProductSprint Backlog'!$J154-'ProductSprint Backlog'!$I154), AND('ProductSprint Backlog'!$J154=H$2,'ProductSprint Backlog'!$I154=H$2), 'ProductSprint Backlog'!$F154, TRUE, 0)</f>
        <v>0</v>
      </c>
      <c r="I154" s="4" cm="1">
        <f t="array" ref="I154">_xlfn.IFS('ProductSprint Backlog'!$F154="", "", AND('ProductSprint Backlog'!$J154&gt;I$2,'ProductSprint Backlog'!$I154&lt;=I$2), 'ProductSprint Backlog'!$F154 / MAX(1, 'ProductSprint Backlog'!$J154-'ProductSprint Backlog'!$I154), AND('ProductSprint Backlog'!$J154=I$2,'ProductSprint Backlog'!$I154=I$2), 'ProductSprint Backlog'!$F154, TRUE, 0)</f>
        <v>0</v>
      </c>
      <c r="J154" s="4" cm="1">
        <f t="array" ref="J154">_xlfn.IFS('ProductSprint Backlog'!$F154="", "", AND('ProductSprint Backlog'!$J154&gt;J$2,'ProductSprint Backlog'!$I154&lt;=J$2), 'ProductSprint Backlog'!$F154 / MAX(1, 'ProductSprint Backlog'!$J154-'ProductSprint Backlog'!$I154), AND('ProductSprint Backlog'!$J154=J$2,'ProductSprint Backlog'!$I154=J$2), 'ProductSprint Backlog'!$F154, TRUE, 0)</f>
        <v>0</v>
      </c>
      <c r="K154" s="4" cm="1">
        <f t="array" ref="K154">_xlfn.IFS('ProductSprint Backlog'!$F154="", "", AND('ProductSprint Backlog'!$J154&gt;K$2,'ProductSprint Backlog'!$I154&lt;=K$2), 'ProductSprint Backlog'!$F154 / MAX(1, 'ProductSprint Backlog'!$J154-'ProductSprint Backlog'!$I154), AND('ProductSprint Backlog'!$J154=K$2,'ProductSprint Backlog'!$I154=K$2), 'ProductSprint Backlog'!$F154, TRUE, 0)</f>
        <v>0</v>
      </c>
      <c r="L154" s="4" cm="1">
        <f t="array" ref="L154">_xlfn.IFS('ProductSprint Backlog'!$F154="", "", AND('ProductSprint Backlog'!$J154&gt;L$2,'ProductSprint Backlog'!$I154&lt;=L$2), 'ProductSprint Backlog'!$F154 / MAX(1, 'ProductSprint Backlog'!$J154-'ProductSprint Backlog'!$I154), AND('ProductSprint Backlog'!$J154=L$2,'ProductSprint Backlog'!$I154=L$2), 'ProductSprint Backlog'!$F154, TRUE, 0)</f>
        <v>0.5</v>
      </c>
      <c r="M154" s="4" cm="1">
        <f t="array" ref="M154">_xlfn.IFS('ProductSprint Backlog'!$F154="", "", AND('ProductSprint Backlog'!$J154&gt;M$2,'ProductSprint Backlog'!$I154&lt;=M$2), 'ProductSprint Backlog'!$F154 / MAX(1, 'ProductSprint Backlog'!$J154-'ProductSprint Backlog'!$I154), AND('ProductSprint Backlog'!$J154=M$2,'ProductSprint Backlog'!$I154=M$2), 'ProductSprint Backlog'!$F154, TRUE, 0)</f>
        <v>0.5</v>
      </c>
      <c r="N154" s="4" cm="1">
        <f t="array" ref="N154">_xlfn.IFS('ProductSprint Backlog'!$F154="", "", AND('ProductSprint Backlog'!$J154&gt;N$2,'ProductSprint Backlog'!$I154&lt;=N$2), 'ProductSprint Backlog'!$F154 / MAX(1, 'ProductSprint Backlog'!$J154-'ProductSprint Backlog'!$I154), AND('ProductSprint Backlog'!$J154=N$2,'ProductSprint Backlog'!$I154=N$2), 'ProductSprint Backlog'!$F154, TRUE, 0)</f>
        <v>0</v>
      </c>
      <c r="O154" s="4" cm="1">
        <f t="array" ref="O154">_xlfn.IFS('ProductSprint Backlog'!$F154="", "", AND('ProductSprint Backlog'!$J154&gt;O$2,'ProductSprint Backlog'!$I154&lt;=O$2), 'ProductSprint Backlog'!$F154 / MAX(1, 'ProductSprint Backlog'!$J154-'ProductSprint Backlog'!$I154), AND('ProductSprint Backlog'!$J154=O$2,'ProductSprint Backlog'!$I154=O$2), 'ProductSprint Backlog'!$F154, TRUE, 0)</f>
        <v>0</v>
      </c>
      <c r="P154" s="4" cm="1">
        <f t="array" ref="P154">_xlfn.IFS('ProductSprint Backlog'!$F154="", "", AND('ProductSprint Backlog'!$J154&gt;P$2,'ProductSprint Backlog'!$I154&lt;=P$2), 'ProductSprint Backlog'!$F154 / MAX(1, 'ProductSprint Backlog'!$J154-'ProductSprint Backlog'!$I154), AND('ProductSprint Backlog'!$J154=P$2,'ProductSprint Backlog'!$I154=P$2), 'ProductSprint Backlog'!$F154, TRUE, 0)</f>
        <v>0</v>
      </c>
      <c r="Q154" s="4" cm="1">
        <f t="array" ref="Q154">_xlfn.IFS('ProductSprint Backlog'!$F154="", "", AND('ProductSprint Backlog'!$J154&gt;Q$2,'ProductSprint Backlog'!$I154&lt;=Q$2), 'ProductSprint Backlog'!$F154 / MAX(1, 'ProductSprint Backlog'!$J154-'ProductSprint Backlog'!$I154), AND('ProductSprint Backlog'!$J154=Q$2,'ProductSprint Backlog'!$I154=Q$2), 'ProductSprint Backlog'!$F154, TRUE, 0)</f>
        <v>0</v>
      </c>
      <c r="R154" s="4" cm="1">
        <f t="array" ref="R154">_xlfn.IFS('ProductSprint Backlog'!$F154="", "", AND('ProductSprint Backlog'!$J154&gt;R$2,'ProductSprint Backlog'!$I154&lt;=R$2), 'ProductSprint Backlog'!$F154 / MAX(1, 'ProductSprint Backlog'!$J154-'ProductSprint Backlog'!$I154), AND('ProductSprint Backlog'!$J154=R$2,'ProductSprint Backlog'!$I154=R$2), 'ProductSprint Backlog'!$F154, TRUE, 0)</f>
        <v>0</v>
      </c>
      <c r="S154" s="4" cm="1">
        <f t="array" ref="S154">_xlfn.IFS('ProductSprint Backlog'!$F154="", "", AND('ProductSprint Backlog'!$J154&gt;S$2,'ProductSprint Backlog'!$I154&lt;=S$2), 'ProductSprint Backlog'!$F154 / MAX(1, 'ProductSprint Backlog'!$J154-'ProductSprint Backlog'!$I154), AND('ProductSprint Backlog'!$J154=S$2,'ProductSprint Backlog'!$I154=S$2), 'ProductSprint Backlog'!$F154, TRUE, 0)</f>
        <v>0</v>
      </c>
      <c r="T154" s="4" cm="1">
        <f t="array" ref="T154">_xlfn.IFS('ProductSprint Backlog'!$F154="", "", AND('ProductSprint Backlog'!$J154&gt;T$2,'ProductSprint Backlog'!$I154&lt;=T$2), 'ProductSprint Backlog'!$F154 / MAX(1, 'ProductSprint Backlog'!$J154-'ProductSprint Backlog'!$I154), AND('ProductSprint Backlog'!$J154=T$2,'ProductSprint Backlog'!$I154=T$2), 'ProductSprint Backlog'!$F154, TRUE, 0)</f>
        <v>0</v>
      </c>
    </row>
    <row r="155" spans="2:20" x14ac:dyDescent="0.2">
      <c r="B155" s="4" cm="1">
        <f t="array" ref="B155">_xlfn.IFS('ProductSprint Backlog'!$F155="", "", AND('ProductSprint Backlog'!$J155&gt;B$2,'ProductSprint Backlog'!$I155&lt;=B$2), 'ProductSprint Backlog'!$F155 / MAX(1, 'ProductSprint Backlog'!$J155-'ProductSprint Backlog'!$I155), AND('ProductSprint Backlog'!$J155=B$2,'ProductSprint Backlog'!$I155=B$2), 'ProductSprint Backlog'!$F155, TRUE, 0)</f>
        <v>0</v>
      </c>
      <c r="C155" s="4" cm="1">
        <f t="array" ref="C155">_xlfn.IFS('ProductSprint Backlog'!$F155="", "", AND('ProductSprint Backlog'!$J155&gt;C$2,'ProductSprint Backlog'!$I155&lt;=C$2), 'ProductSprint Backlog'!$F155 / MAX(1, 'ProductSprint Backlog'!$J155-'ProductSprint Backlog'!$I155), AND('ProductSprint Backlog'!$J155=C$2,'ProductSprint Backlog'!$I155=C$2), 'ProductSprint Backlog'!$F155, TRUE, 0)</f>
        <v>0</v>
      </c>
      <c r="D155" s="4" cm="1">
        <f t="array" ref="D155">_xlfn.IFS('ProductSprint Backlog'!$F155="", "", AND('ProductSprint Backlog'!$J155&gt;D$2,'ProductSprint Backlog'!$I155&lt;=D$2), 'ProductSprint Backlog'!$F155 / MAX(1, 'ProductSprint Backlog'!$J155-'ProductSprint Backlog'!$I155), AND('ProductSprint Backlog'!$J155=D$2,'ProductSprint Backlog'!$I155=D$2), 'ProductSprint Backlog'!$F155, TRUE, 0)</f>
        <v>0</v>
      </c>
      <c r="E155" s="4" cm="1">
        <f t="array" ref="E155">_xlfn.IFS('ProductSprint Backlog'!$F155="", "", AND('ProductSprint Backlog'!$J155&gt;E$2,'ProductSprint Backlog'!$I155&lt;=E$2), 'ProductSprint Backlog'!$F155 / MAX(1, 'ProductSprint Backlog'!$J155-'ProductSprint Backlog'!$I155), AND('ProductSprint Backlog'!$J155=E$2,'ProductSprint Backlog'!$I155=E$2), 'ProductSprint Backlog'!$F155, TRUE, 0)</f>
        <v>0</v>
      </c>
      <c r="F155" s="4" cm="1">
        <f t="array" ref="F155">_xlfn.IFS('ProductSprint Backlog'!$F155="", "", AND('ProductSprint Backlog'!$J155&gt;F$2,'ProductSprint Backlog'!$I155&lt;=F$2), 'ProductSprint Backlog'!$F155 / MAX(1, 'ProductSprint Backlog'!$J155-'ProductSprint Backlog'!$I155), AND('ProductSprint Backlog'!$J155=F$2,'ProductSprint Backlog'!$I155=F$2), 'ProductSprint Backlog'!$F155, TRUE, 0)</f>
        <v>0</v>
      </c>
      <c r="G155" s="4" cm="1">
        <f t="array" ref="G155">_xlfn.IFS('ProductSprint Backlog'!$F155="", "", AND('ProductSprint Backlog'!$J155&gt;G$2,'ProductSprint Backlog'!$I155&lt;=G$2), 'ProductSprint Backlog'!$F155 / MAX(1, 'ProductSprint Backlog'!$J155-'ProductSprint Backlog'!$I155), AND('ProductSprint Backlog'!$J155=G$2,'ProductSprint Backlog'!$I155=G$2), 'ProductSprint Backlog'!$F155, TRUE, 0)</f>
        <v>0</v>
      </c>
      <c r="H155" s="4" cm="1">
        <f t="array" ref="H155">_xlfn.IFS('ProductSprint Backlog'!$F155="", "", AND('ProductSprint Backlog'!$J155&gt;H$2,'ProductSprint Backlog'!$I155&lt;=H$2), 'ProductSprint Backlog'!$F155 / MAX(1, 'ProductSprint Backlog'!$J155-'ProductSprint Backlog'!$I155), AND('ProductSprint Backlog'!$J155=H$2,'ProductSprint Backlog'!$I155=H$2), 'ProductSprint Backlog'!$F155, TRUE, 0)</f>
        <v>0</v>
      </c>
      <c r="I155" s="4" cm="1">
        <f t="array" ref="I155">_xlfn.IFS('ProductSprint Backlog'!$F155="", "", AND('ProductSprint Backlog'!$J155&gt;I$2,'ProductSprint Backlog'!$I155&lt;=I$2), 'ProductSprint Backlog'!$F155 / MAX(1, 'ProductSprint Backlog'!$J155-'ProductSprint Backlog'!$I155), AND('ProductSprint Backlog'!$J155=I$2,'ProductSprint Backlog'!$I155=I$2), 'ProductSprint Backlog'!$F155, TRUE, 0)</f>
        <v>0</v>
      </c>
      <c r="J155" s="4" cm="1">
        <f t="array" ref="J155">_xlfn.IFS('ProductSprint Backlog'!$F155="", "", AND('ProductSprint Backlog'!$J155&gt;J$2,'ProductSprint Backlog'!$I155&lt;=J$2), 'ProductSprint Backlog'!$F155 / MAX(1, 'ProductSprint Backlog'!$J155-'ProductSprint Backlog'!$I155), AND('ProductSprint Backlog'!$J155=J$2,'ProductSprint Backlog'!$I155=J$2), 'ProductSprint Backlog'!$F155, TRUE, 0)</f>
        <v>0</v>
      </c>
      <c r="K155" s="4" cm="1">
        <f t="array" ref="K155">_xlfn.IFS('ProductSprint Backlog'!$F155="", "", AND('ProductSprint Backlog'!$J155&gt;K$2,'ProductSprint Backlog'!$I155&lt;=K$2), 'ProductSprint Backlog'!$F155 / MAX(1, 'ProductSprint Backlog'!$J155-'ProductSprint Backlog'!$I155), AND('ProductSprint Backlog'!$J155=K$2,'ProductSprint Backlog'!$I155=K$2), 'ProductSprint Backlog'!$F155, TRUE, 0)</f>
        <v>0</v>
      </c>
      <c r="L155" s="4" cm="1">
        <f t="array" ref="L155">_xlfn.IFS('ProductSprint Backlog'!$F155="", "", AND('ProductSprint Backlog'!$J155&gt;L$2,'ProductSprint Backlog'!$I155&lt;=L$2), 'ProductSprint Backlog'!$F155 / MAX(1, 'ProductSprint Backlog'!$J155-'ProductSprint Backlog'!$I155), AND('ProductSprint Backlog'!$J155=L$2,'ProductSprint Backlog'!$I155=L$2), 'ProductSprint Backlog'!$F155, TRUE, 0)</f>
        <v>0.5</v>
      </c>
      <c r="M155" s="4" cm="1">
        <f t="array" ref="M155">_xlfn.IFS('ProductSprint Backlog'!$F155="", "", AND('ProductSprint Backlog'!$J155&gt;M$2,'ProductSprint Backlog'!$I155&lt;=M$2), 'ProductSprint Backlog'!$F155 / MAX(1, 'ProductSprint Backlog'!$J155-'ProductSprint Backlog'!$I155), AND('ProductSprint Backlog'!$J155=M$2,'ProductSprint Backlog'!$I155=M$2), 'ProductSprint Backlog'!$F155, TRUE, 0)</f>
        <v>0.5</v>
      </c>
      <c r="N155" s="4" cm="1">
        <f t="array" ref="N155">_xlfn.IFS('ProductSprint Backlog'!$F155="", "", AND('ProductSprint Backlog'!$J155&gt;N$2,'ProductSprint Backlog'!$I155&lt;=N$2), 'ProductSprint Backlog'!$F155 / MAX(1, 'ProductSprint Backlog'!$J155-'ProductSprint Backlog'!$I155), AND('ProductSprint Backlog'!$J155=N$2,'ProductSprint Backlog'!$I155=N$2), 'ProductSprint Backlog'!$F155, TRUE, 0)</f>
        <v>0</v>
      </c>
      <c r="O155" s="4" cm="1">
        <f t="array" ref="O155">_xlfn.IFS('ProductSprint Backlog'!$F155="", "", AND('ProductSprint Backlog'!$J155&gt;O$2,'ProductSprint Backlog'!$I155&lt;=O$2), 'ProductSprint Backlog'!$F155 / MAX(1, 'ProductSprint Backlog'!$J155-'ProductSprint Backlog'!$I155), AND('ProductSprint Backlog'!$J155=O$2,'ProductSprint Backlog'!$I155=O$2), 'ProductSprint Backlog'!$F155, TRUE, 0)</f>
        <v>0</v>
      </c>
      <c r="P155" s="4" cm="1">
        <f t="array" ref="P155">_xlfn.IFS('ProductSprint Backlog'!$F155="", "", AND('ProductSprint Backlog'!$J155&gt;P$2,'ProductSprint Backlog'!$I155&lt;=P$2), 'ProductSprint Backlog'!$F155 / MAX(1, 'ProductSprint Backlog'!$J155-'ProductSprint Backlog'!$I155), AND('ProductSprint Backlog'!$J155=P$2,'ProductSprint Backlog'!$I155=P$2), 'ProductSprint Backlog'!$F155, TRUE, 0)</f>
        <v>0</v>
      </c>
      <c r="Q155" s="4" cm="1">
        <f t="array" ref="Q155">_xlfn.IFS('ProductSprint Backlog'!$F155="", "", AND('ProductSprint Backlog'!$J155&gt;Q$2,'ProductSprint Backlog'!$I155&lt;=Q$2), 'ProductSprint Backlog'!$F155 / MAX(1, 'ProductSprint Backlog'!$J155-'ProductSprint Backlog'!$I155), AND('ProductSprint Backlog'!$J155=Q$2,'ProductSprint Backlog'!$I155=Q$2), 'ProductSprint Backlog'!$F155, TRUE, 0)</f>
        <v>0</v>
      </c>
      <c r="R155" s="4" cm="1">
        <f t="array" ref="R155">_xlfn.IFS('ProductSprint Backlog'!$F155="", "", AND('ProductSprint Backlog'!$J155&gt;R$2,'ProductSprint Backlog'!$I155&lt;=R$2), 'ProductSprint Backlog'!$F155 / MAX(1, 'ProductSprint Backlog'!$J155-'ProductSprint Backlog'!$I155), AND('ProductSprint Backlog'!$J155=R$2,'ProductSprint Backlog'!$I155=R$2), 'ProductSprint Backlog'!$F155, TRUE, 0)</f>
        <v>0</v>
      </c>
      <c r="S155" s="4" cm="1">
        <f t="array" ref="S155">_xlfn.IFS('ProductSprint Backlog'!$F155="", "", AND('ProductSprint Backlog'!$J155&gt;S$2,'ProductSprint Backlog'!$I155&lt;=S$2), 'ProductSprint Backlog'!$F155 / MAX(1, 'ProductSprint Backlog'!$J155-'ProductSprint Backlog'!$I155), AND('ProductSprint Backlog'!$J155=S$2,'ProductSprint Backlog'!$I155=S$2), 'ProductSprint Backlog'!$F155, TRUE, 0)</f>
        <v>0</v>
      </c>
      <c r="T155" s="4" cm="1">
        <f t="array" ref="T155">_xlfn.IFS('ProductSprint Backlog'!$F155="", "", AND('ProductSprint Backlog'!$J155&gt;T$2,'ProductSprint Backlog'!$I155&lt;=T$2), 'ProductSprint Backlog'!$F155 / MAX(1, 'ProductSprint Backlog'!$J155-'ProductSprint Backlog'!$I155), AND('ProductSprint Backlog'!$J155=T$2,'ProductSprint Backlog'!$I155=T$2), 'ProductSprint Backlog'!$F155, TRUE, 0)</f>
        <v>0</v>
      </c>
    </row>
    <row r="156" spans="2:20" x14ac:dyDescent="0.2">
      <c r="B156" s="4" cm="1">
        <f t="array" ref="B156">_xlfn.IFS('ProductSprint Backlog'!$F156="", "", AND('ProductSprint Backlog'!$J156&gt;B$2,'ProductSprint Backlog'!$I156&lt;=B$2), 'ProductSprint Backlog'!$F156 / MAX(1, 'ProductSprint Backlog'!$J156-'ProductSprint Backlog'!$I156), AND('ProductSprint Backlog'!$J156=B$2,'ProductSprint Backlog'!$I156=B$2), 'ProductSprint Backlog'!$F156, TRUE, 0)</f>
        <v>0</v>
      </c>
      <c r="C156" s="4" cm="1">
        <f t="array" ref="C156">_xlfn.IFS('ProductSprint Backlog'!$F156="", "", AND('ProductSprint Backlog'!$J156&gt;C$2,'ProductSprint Backlog'!$I156&lt;=C$2), 'ProductSprint Backlog'!$F156 / MAX(1, 'ProductSprint Backlog'!$J156-'ProductSprint Backlog'!$I156), AND('ProductSprint Backlog'!$J156=C$2,'ProductSprint Backlog'!$I156=C$2), 'ProductSprint Backlog'!$F156, TRUE, 0)</f>
        <v>0</v>
      </c>
      <c r="D156" s="4" cm="1">
        <f t="array" ref="D156">_xlfn.IFS('ProductSprint Backlog'!$F156="", "", AND('ProductSprint Backlog'!$J156&gt;D$2,'ProductSprint Backlog'!$I156&lt;=D$2), 'ProductSprint Backlog'!$F156 / MAX(1, 'ProductSprint Backlog'!$J156-'ProductSprint Backlog'!$I156), AND('ProductSprint Backlog'!$J156=D$2,'ProductSprint Backlog'!$I156=D$2), 'ProductSprint Backlog'!$F156, TRUE, 0)</f>
        <v>0</v>
      </c>
      <c r="E156" s="4" cm="1">
        <f t="array" ref="E156">_xlfn.IFS('ProductSprint Backlog'!$F156="", "", AND('ProductSprint Backlog'!$J156&gt;E$2,'ProductSprint Backlog'!$I156&lt;=E$2), 'ProductSprint Backlog'!$F156 / MAX(1, 'ProductSprint Backlog'!$J156-'ProductSprint Backlog'!$I156), AND('ProductSprint Backlog'!$J156=E$2,'ProductSprint Backlog'!$I156=E$2), 'ProductSprint Backlog'!$F156, TRUE, 0)</f>
        <v>0</v>
      </c>
      <c r="F156" s="4" cm="1">
        <f t="array" ref="F156">_xlfn.IFS('ProductSprint Backlog'!$F156="", "", AND('ProductSprint Backlog'!$J156&gt;F$2,'ProductSprint Backlog'!$I156&lt;=F$2), 'ProductSprint Backlog'!$F156 / MAX(1, 'ProductSprint Backlog'!$J156-'ProductSprint Backlog'!$I156), AND('ProductSprint Backlog'!$J156=F$2,'ProductSprint Backlog'!$I156=F$2), 'ProductSprint Backlog'!$F156, TRUE, 0)</f>
        <v>0</v>
      </c>
      <c r="G156" s="4" cm="1">
        <f t="array" ref="G156">_xlfn.IFS('ProductSprint Backlog'!$F156="", "", AND('ProductSprint Backlog'!$J156&gt;G$2,'ProductSprint Backlog'!$I156&lt;=G$2), 'ProductSprint Backlog'!$F156 / MAX(1, 'ProductSprint Backlog'!$J156-'ProductSprint Backlog'!$I156), AND('ProductSprint Backlog'!$J156=G$2,'ProductSprint Backlog'!$I156=G$2), 'ProductSprint Backlog'!$F156, TRUE, 0)</f>
        <v>0</v>
      </c>
      <c r="H156" s="4" cm="1">
        <f t="array" ref="H156">_xlfn.IFS('ProductSprint Backlog'!$F156="", "", AND('ProductSprint Backlog'!$J156&gt;H$2,'ProductSprint Backlog'!$I156&lt;=H$2), 'ProductSprint Backlog'!$F156 / MAX(1, 'ProductSprint Backlog'!$J156-'ProductSprint Backlog'!$I156), AND('ProductSprint Backlog'!$J156=H$2,'ProductSprint Backlog'!$I156=H$2), 'ProductSprint Backlog'!$F156, TRUE, 0)</f>
        <v>0</v>
      </c>
      <c r="I156" s="4" cm="1">
        <f t="array" ref="I156">_xlfn.IFS('ProductSprint Backlog'!$F156="", "", AND('ProductSprint Backlog'!$J156&gt;I$2,'ProductSprint Backlog'!$I156&lt;=I$2), 'ProductSprint Backlog'!$F156 / MAX(1, 'ProductSprint Backlog'!$J156-'ProductSprint Backlog'!$I156), AND('ProductSprint Backlog'!$J156=I$2,'ProductSprint Backlog'!$I156=I$2), 'ProductSprint Backlog'!$F156, TRUE, 0)</f>
        <v>0</v>
      </c>
      <c r="J156" s="4" cm="1">
        <f t="array" ref="J156">_xlfn.IFS('ProductSprint Backlog'!$F156="", "", AND('ProductSprint Backlog'!$J156&gt;J$2,'ProductSprint Backlog'!$I156&lt;=J$2), 'ProductSprint Backlog'!$F156 / MAX(1, 'ProductSprint Backlog'!$J156-'ProductSprint Backlog'!$I156), AND('ProductSprint Backlog'!$J156=J$2,'ProductSprint Backlog'!$I156=J$2), 'ProductSprint Backlog'!$F156, TRUE, 0)</f>
        <v>0</v>
      </c>
      <c r="K156" s="4" cm="1">
        <f t="array" ref="K156">_xlfn.IFS('ProductSprint Backlog'!$F156="", "", AND('ProductSprint Backlog'!$J156&gt;K$2,'ProductSprint Backlog'!$I156&lt;=K$2), 'ProductSprint Backlog'!$F156 / MAX(1, 'ProductSprint Backlog'!$J156-'ProductSprint Backlog'!$I156), AND('ProductSprint Backlog'!$J156=K$2,'ProductSprint Backlog'!$I156=K$2), 'ProductSprint Backlog'!$F156, TRUE, 0)</f>
        <v>0</v>
      </c>
      <c r="L156" s="4" cm="1">
        <f t="array" ref="L156">_xlfn.IFS('ProductSprint Backlog'!$F156="", "", AND('ProductSprint Backlog'!$J156&gt;L$2,'ProductSprint Backlog'!$I156&lt;=L$2), 'ProductSprint Backlog'!$F156 / MAX(1, 'ProductSprint Backlog'!$J156-'ProductSprint Backlog'!$I156), AND('ProductSprint Backlog'!$J156=L$2,'ProductSprint Backlog'!$I156=L$2), 'ProductSprint Backlog'!$F156, TRUE, 0)</f>
        <v>0</v>
      </c>
      <c r="M156" s="4" cm="1">
        <f t="array" ref="M156">_xlfn.IFS('ProductSprint Backlog'!$F156="", "", AND('ProductSprint Backlog'!$J156&gt;M$2,'ProductSprint Backlog'!$I156&lt;=M$2), 'ProductSprint Backlog'!$F156 / MAX(1, 'ProductSprint Backlog'!$J156-'ProductSprint Backlog'!$I156), AND('ProductSprint Backlog'!$J156=M$2,'ProductSprint Backlog'!$I156=M$2), 'ProductSprint Backlog'!$F156, TRUE, 0)</f>
        <v>0</v>
      </c>
      <c r="N156" s="4" cm="1">
        <f t="array" ref="N156">_xlfn.IFS('ProductSprint Backlog'!$F156="", "", AND('ProductSprint Backlog'!$J156&gt;N$2,'ProductSprint Backlog'!$I156&lt;=N$2), 'ProductSprint Backlog'!$F156 / MAX(1, 'ProductSprint Backlog'!$J156-'ProductSprint Backlog'!$I156), AND('ProductSprint Backlog'!$J156=N$2,'ProductSprint Backlog'!$I156=N$2), 'ProductSprint Backlog'!$F156, TRUE, 0)</f>
        <v>0</v>
      </c>
      <c r="O156" s="4" cm="1">
        <f t="array" ref="O156">_xlfn.IFS('ProductSprint Backlog'!$F156="", "", AND('ProductSprint Backlog'!$J156&gt;O$2,'ProductSprint Backlog'!$I156&lt;=O$2), 'ProductSprint Backlog'!$F156 / MAX(1, 'ProductSprint Backlog'!$J156-'ProductSprint Backlog'!$I156), AND('ProductSprint Backlog'!$J156=O$2,'ProductSprint Backlog'!$I156=O$2), 'ProductSprint Backlog'!$F156, TRUE, 0)</f>
        <v>1</v>
      </c>
      <c r="P156" s="4" cm="1">
        <f t="array" ref="P156">_xlfn.IFS('ProductSprint Backlog'!$F156="", "", AND('ProductSprint Backlog'!$J156&gt;P$2,'ProductSprint Backlog'!$I156&lt;=P$2), 'ProductSprint Backlog'!$F156 / MAX(1, 'ProductSprint Backlog'!$J156-'ProductSprint Backlog'!$I156), AND('ProductSprint Backlog'!$J156=P$2,'ProductSprint Backlog'!$I156=P$2), 'ProductSprint Backlog'!$F156, TRUE, 0)</f>
        <v>0</v>
      </c>
      <c r="Q156" s="4" cm="1">
        <f t="array" ref="Q156">_xlfn.IFS('ProductSprint Backlog'!$F156="", "", AND('ProductSprint Backlog'!$J156&gt;Q$2,'ProductSprint Backlog'!$I156&lt;=Q$2), 'ProductSprint Backlog'!$F156 / MAX(1, 'ProductSprint Backlog'!$J156-'ProductSprint Backlog'!$I156), AND('ProductSprint Backlog'!$J156=Q$2,'ProductSprint Backlog'!$I156=Q$2), 'ProductSprint Backlog'!$F156, TRUE, 0)</f>
        <v>0</v>
      </c>
      <c r="R156" s="4" cm="1">
        <f t="array" ref="R156">_xlfn.IFS('ProductSprint Backlog'!$F156="", "", AND('ProductSprint Backlog'!$J156&gt;R$2,'ProductSprint Backlog'!$I156&lt;=R$2), 'ProductSprint Backlog'!$F156 / MAX(1, 'ProductSprint Backlog'!$J156-'ProductSprint Backlog'!$I156), AND('ProductSprint Backlog'!$J156=R$2,'ProductSprint Backlog'!$I156=R$2), 'ProductSprint Backlog'!$F156, TRUE, 0)</f>
        <v>0</v>
      </c>
      <c r="S156" s="4" cm="1">
        <f t="array" ref="S156">_xlfn.IFS('ProductSprint Backlog'!$F156="", "", AND('ProductSprint Backlog'!$J156&gt;S$2,'ProductSprint Backlog'!$I156&lt;=S$2), 'ProductSprint Backlog'!$F156 / MAX(1, 'ProductSprint Backlog'!$J156-'ProductSprint Backlog'!$I156), AND('ProductSprint Backlog'!$J156=S$2,'ProductSprint Backlog'!$I156=S$2), 'ProductSprint Backlog'!$F156, TRUE, 0)</f>
        <v>0</v>
      </c>
      <c r="T156" s="4" cm="1">
        <f t="array" ref="T156">_xlfn.IFS('ProductSprint Backlog'!$F156="", "", AND('ProductSprint Backlog'!$J156&gt;T$2,'ProductSprint Backlog'!$I156&lt;=T$2), 'ProductSprint Backlog'!$F156 / MAX(1, 'ProductSprint Backlog'!$J156-'ProductSprint Backlog'!$I156), AND('ProductSprint Backlog'!$J156=T$2,'ProductSprint Backlog'!$I156=T$2), 'ProductSprint Backlog'!$F156, TRUE, 0)</f>
        <v>0</v>
      </c>
    </row>
    <row r="157" spans="2:20" x14ac:dyDescent="0.2">
      <c r="B157" s="4" cm="1">
        <f t="array" ref="B157">_xlfn.IFS('ProductSprint Backlog'!$F157="", "", AND('ProductSprint Backlog'!$J157&gt;B$2,'ProductSprint Backlog'!$I157&lt;=B$2), 'ProductSprint Backlog'!$F157 / MAX(1, 'ProductSprint Backlog'!$J157-'ProductSprint Backlog'!$I157), AND('ProductSprint Backlog'!$J157=B$2,'ProductSprint Backlog'!$I157=B$2), 'ProductSprint Backlog'!$F157, TRUE, 0)</f>
        <v>0</v>
      </c>
      <c r="C157" s="4" cm="1">
        <f t="array" ref="C157">_xlfn.IFS('ProductSprint Backlog'!$F157="", "", AND('ProductSprint Backlog'!$J157&gt;C$2,'ProductSprint Backlog'!$I157&lt;=C$2), 'ProductSprint Backlog'!$F157 / MAX(1, 'ProductSprint Backlog'!$J157-'ProductSprint Backlog'!$I157), AND('ProductSprint Backlog'!$J157=C$2,'ProductSprint Backlog'!$I157=C$2), 'ProductSprint Backlog'!$F157, TRUE, 0)</f>
        <v>0</v>
      </c>
      <c r="D157" s="4" cm="1">
        <f t="array" ref="D157">_xlfn.IFS('ProductSprint Backlog'!$F157="", "", AND('ProductSprint Backlog'!$J157&gt;D$2,'ProductSprint Backlog'!$I157&lt;=D$2), 'ProductSprint Backlog'!$F157 / MAX(1, 'ProductSprint Backlog'!$J157-'ProductSprint Backlog'!$I157), AND('ProductSprint Backlog'!$J157=D$2,'ProductSprint Backlog'!$I157=D$2), 'ProductSprint Backlog'!$F157, TRUE, 0)</f>
        <v>0</v>
      </c>
      <c r="E157" s="4" cm="1">
        <f t="array" ref="E157">_xlfn.IFS('ProductSprint Backlog'!$F157="", "", AND('ProductSprint Backlog'!$J157&gt;E$2,'ProductSprint Backlog'!$I157&lt;=E$2), 'ProductSprint Backlog'!$F157 / MAX(1, 'ProductSprint Backlog'!$J157-'ProductSprint Backlog'!$I157), AND('ProductSprint Backlog'!$J157=E$2,'ProductSprint Backlog'!$I157=E$2), 'ProductSprint Backlog'!$F157, TRUE, 0)</f>
        <v>0</v>
      </c>
      <c r="F157" s="4" cm="1">
        <f t="array" ref="F157">_xlfn.IFS('ProductSprint Backlog'!$F157="", "", AND('ProductSprint Backlog'!$J157&gt;F$2,'ProductSprint Backlog'!$I157&lt;=F$2), 'ProductSprint Backlog'!$F157 / MAX(1, 'ProductSprint Backlog'!$J157-'ProductSprint Backlog'!$I157), AND('ProductSprint Backlog'!$J157=F$2,'ProductSprint Backlog'!$I157=F$2), 'ProductSprint Backlog'!$F157, TRUE, 0)</f>
        <v>0</v>
      </c>
      <c r="G157" s="4" cm="1">
        <f t="array" ref="G157">_xlfn.IFS('ProductSprint Backlog'!$F157="", "", AND('ProductSprint Backlog'!$J157&gt;G$2,'ProductSprint Backlog'!$I157&lt;=G$2), 'ProductSprint Backlog'!$F157 / MAX(1, 'ProductSprint Backlog'!$J157-'ProductSprint Backlog'!$I157), AND('ProductSprint Backlog'!$J157=G$2,'ProductSprint Backlog'!$I157=G$2), 'ProductSprint Backlog'!$F157, TRUE, 0)</f>
        <v>0</v>
      </c>
      <c r="H157" s="4" cm="1">
        <f t="array" ref="H157">_xlfn.IFS('ProductSprint Backlog'!$F157="", "", AND('ProductSprint Backlog'!$J157&gt;H$2,'ProductSprint Backlog'!$I157&lt;=H$2), 'ProductSprint Backlog'!$F157 / MAX(1, 'ProductSprint Backlog'!$J157-'ProductSprint Backlog'!$I157), AND('ProductSprint Backlog'!$J157=H$2,'ProductSprint Backlog'!$I157=H$2), 'ProductSprint Backlog'!$F157, TRUE, 0)</f>
        <v>0</v>
      </c>
      <c r="I157" s="4" cm="1">
        <f t="array" ref="I157">_xlfn.IFS('ProductSprint Backlog'!$F157="", "", AND('ProductSprint Backlog'!$J157&gt;I$2,'ProductSprint Backlog'!$I157&lt;=I$2), 'ProductSprint Backlog'!$F157 / MAX(1, 'ProductSprint Backlog'!$J157-'ProductSprint Backlog'!$I157), AND('ProductSprint Backlog'!$J157=I$2,'ProductSprint Backlog'!$I157=I$2), 'ProductSprint Backlog'!$F157, TRUE, 0)</f>
        <v>0</v>
      </c>
      <c r="J157" s="4" cm="1">
        <f t="array" ref="J157">_xlfn.IFS('ProductSprint Backlog'!$F157="", "", AND('ProductSprint Backlog'!$J157&gt;J$2,'ProductSprint Backlog'!$I157&lt;=J$2), 'ProductSprint Backlog'!$F157 / MAX(1, 'ProductSprint Backlog'!$J157-'ProductSprint Backlog'!$I157), AND('ProductSprint Backlog'!$J157=J$2,'ProductSprint Backlog'!$I157=J$2), 'ProductSprint Backlog'!$F157, TRUE, 0)</f>
        <v>0</v>
      </c>
      <c r="K157" s="4" cm="1">
        <f t="array" ref="K157">_xlfn.IFS('ProductSprint Backlog'!$F157="", "", AND('ProductSprint Backlog'!$J157&gt;K$2,'ProductSprint Backlog'!$I157&lt;=K$2), 'ProductSprint Backlog'!$F157 / MAX(1, 'ProductSprint Backlog'!$J157-'ProductSprint Backlog'!$I157), AND('ProductSprint Backlog'!$J157=K$2,'ProductSprint Backlog'!$I157=K$2), 'ProductSprint Backlog'!$F157, TRUE, 0)</f>
        <v>0</v>
      </c>
      <c r="L157" s="4" cm="1">
        <f t="array" ref="L157">_xlfn.IFS('ProductSprint Backlog'!$F157="", "", AND('ProductSprint Backlog'!$J157&gt;L$2,'ProductSprint Backlog'!$I157&lt;=L$2), 'ProductSprint Backlog'!$F157 / MAX(1, 'ProductSprint Backlog'!$J157-'ProductSprint Backlog'!$I157), AND('ProductSprint Backlog'!$J157=L$2,'ProductSprint Backlog'!$I157=L$2), 'ProductSprint Backlog'!$F157, TRUE, 0)</f>
        <v>0</v>
      </c>
      <c r="M157" s="4" cm="1">
        <f t="array" ref="M157">_xlfn.IFS('ProductSprint Backlog'!$F157="", "", AND('ProductSprint Backlog'!$J157&gt;M$2,'ProductSprint Backlog'!$I157&lt;=M$2), 'ProductSprint Backlog'!$F157 / MAX(1, 'ProductSprint Backlog'!$J157-'ProductSprint Backlog'!$I157), AND('ProductSprint Backlog'!$J157=M$2,'ProductSprint Backlog'!$I157=M$2), 'ProductSprint Backlog'!$F157, TRUE, 0)</f>
        <v>0</v>
      </c>
      <c r="N157" s="4" cm="1">
        <f t="array" ref="N157">_xlfn.IFS('ProductSprint Backlog'!$F157="", "", AND('ProductSprint Backlog'!$J157&gt;N$2,'ProductSprint Backlog'!$I157&lt;=N$2), 'ProductSprint Backlog'!$F157 / MAX(1, 'ProductSprint Backlog'!$J157-'ProductSprint Backlog'!$I157), AND('ProductSprint Backlog'!$J157=N$2,'ProductSprint Backlog'!$I157=N$2), 'ProductSprint Backlog'!$F157, TRUE, 0)</f>
        <v>0</v>
      </c>
      <c r="O157" s="4" cm="1">
        <f t="array" ref="O157">_xlfn.IFS('ProductSprint Backlog'!$F157="", "", AND('ProductSprint Backlog'!$J157&gt;O$2,'ProductSprint Backlog'!$I157&lt;=O$2), 'ProductSprint Backlog'!$F157 / MAX(1, 'ProductSprint Backlog'!$J157-'ProductSprint Backlog'!$I157), AND('ProductSprint Backlog'!$J157=O$2,'ProductSprint Backlog'!$I157=O$2), 'ProductSprint Backlog'!$F157, TRUE, 0)</f>
        <v>1</v>
      </c>
      <c r="P157" s="4" cm="1">
        <f t="array" ref="P157">_xlfn.IFS('ProductSprint Backlog'!$F157="", "", AND('ProductSprint Backlog'!$J157&gt;P$2,'ProductSprint Backlog'!$I157&lt;=P$2), 'ProductSprint Backlog'!$F157 / MAX(1, 'ProductSprint Backlog'!$J157-'ProductSprint Backlog'!$I157), AND('ProductSprint Backlog'!$J157=P$2,'ProductSprint Backlog'!$I157=P$2), 'ProductSprint Backlog'!$F157, TRUE, 0)</f>
        <v>0</v>
      </c>
      <c r="Q157" s="4" cm="1">
        <f t="array" ref="Q157">_xlfn.IFS('ProductSprint Backlog'!$F157="", "", AND('ProductSprint Backlog'!$J157&gt;Q$2,'ProductSprint Backlog'!$I157&lt;=Q$2), 'ProductSprint Backlog'!$F157 / MAX(1, 'ProductSprint Backlog'!$J157-'ProductSprint Backlog'!$I157), AND('ProductSprint Backlog'!$J157=Q$2,'ProductSprint Backlog'!$I157=Q$2), 'ProductSprint Backlog'!$F157, TRUE, 0)</f>
        <v>0</v>
      </c>
      <c r="R157" s="4" cm="1">
        <f t="array" ref="R157">_xlfn.IFS('ProductSprint Backlog'!$F157="", "", AND('ProductSprint Backlog'!$J157&gt;R$2,'ProductSprint Backlog'!$I157&lt;=R$2), 'ProductSprint Backlog'!$F157 / MAX(1, 'ProductSprint Backlog'!$J157-'ProductSprint Backlog'!$I157), AND('ProductSprint Backlog'!$J157=R$2,'ProductSprint Backlog'!$I157=R$2), 'ProductSprint Backlog'!$F157, TRUE, 0)</f>
        <v>0</v>
      </c>
      <c r="S157" s="4" cm="1">
        <f t="array" ref="S157">_xlfn.IFS('ProductSprint Backlog'!$F157="", "", AND('ProductSprint Backlog'!$J157&gt;S$2,'ProductSprint Backlog'!$I157&lt;=S$2), 'ProductSprint Backlog'!$F157 / MAX(1, 'ProductSprint Backlog'!$J157-'ProductSprint Backlog'!$I157), AND('ProductSprint Backlog'!$J157=S$2,'ProductSprint Backlog'!$I157=S$2), 'ProductSprint Backlog'!$F157, TRUE, 0)</f>
        <v>0</v>
      </c>
      <c r="T157" s="4" cm="1">
        <f t="array" ref="T157">_xlfn.IFS('ProductSprint Backlog'!$F157="", "", AND('ProductSprint Backlog'!$J157&gt;T$2,'ProductSprint Backlog'!$I157&lt;=T$2), 'ProductSprint Backlog'!$F157 / MAX(1, 'ProductSprint Backlog'!$J157-'ProductSprint Backlog'!$I157), AND('ProductSprint Backlog'!$J157=T$2,'ProductSprint Backlog'!$I157=T$2), 'ProductSprint Backlog'!$F157, TRUE, 0)</f>
        <v>0</v>
      </c>
    </row>
    <row r="158" spans="2:20" x14ac:dyDescent="0.2">
      <c r="B158" s="4" cm="1">
        <f t="array" ref="B158">_xlfn.IFS('ProductSprint Backlog'!$F158="", "", AND('ProductSprint Backlog'!$J158&gt;B$2,'ProductSprint Backlog'!$I158&lt;=B$2), 'ProductSprint Backlog'!$F158 / MAX(1, 'ProductSprint Backlog'!$J158-'ProductSprint Backlog'!$I158), AND('ProductSprint Backlog'!$J158=B$2,'ProductSprint Backlog'!$I158=B$2), 'ProductSprint Backlog'!$F158, TRUE, 0)</f>
        <v>0</v>
      </c>
      <c r="C158" s="4" cm="1">
        <f t="array" ref="C158">_xlfn.IFS('ProductSprint Backlog'!$F158="", "", AND('ProductSprint Backlog'!$J158&gt;C$2,'ProductSprint Backlog'!$I158&lt;=C$2), 'ProductSprint Backlog'!$F158 / MAX(1, 'ProductSprint Backlog'!$J158-'ProductSprint Backlog'!$I158), AND('ProductSprint Backlog'!$J158=C$2,'ProductSprint Backlog'!$I158=C$2), 'ProductSprint Backlog'!$F158, TRUE, 0)</f>
        <v>0</v>
      </c>
      <c r="D158" s="4" cm="1">
        <f t="array" ref="D158">_xlfn.IFS('ProductSprint Backlog'!$F158="", "", AND('ProductSprint Backlog'!$J158&gt;D$2,'ProductSprint Backlog'!$I158&lt;=D$2), 'ProductSprint Backlog'!$F158 / MAX(1, 'ProductSprint Backlog'!$J158-'ProductSprint Backlog'!$I158), AND('ProductSprint Backlog'!$J158=D$2,'ProductSprint Backlog'!$I158=D$2), 'ProductSprint Backlog'!$F158, TRUE, 0)</f>
        <v>0</v>
      </c>
      <c r="E158" s="4" cm="1">
        <f t="array" ref="E158">_xlfn.IFS('ProductSprint Backlog'!$F158="", "", AND('ProductSprint Backlog'!$J158&gt;E$2,'ProductSprint Backlog'!$I158&lt;=E$2), 'ProductSprint Backlog'!$F158 / MAX(1, 'ProductSprint Backlog'!$J158-'ProductSprint Backlog'!$I158), AND('ProductSprint Backlog'!$J158=E$2,'ProductSprint Backlog'!$I158=E$2), 'ProductSprint Backlog'!$F158, TRUE, 0)</f>
        <v>0</v>
      </c>
      <c r="F158" s="4" cm="1">
        <f t="array" ref="F158">_xlfn.IFS('ProductSprint Backlog'!$F158="", "", AND('ProductSprint Backlog'!$J158&gt;F$2,'ProductSprint Backlog'!$I158&lt;=F$2), 'ProductSprint Backlog'!$F158 / MAX(1, 'ProductSprint Backlog'!$J158-'ProductSprint Backlog'!$I158), AND('ProductSprint Backlog'!$J158=F$2,'ProductSprint Backlog'!$I158=F$2), 'ProductSprint Backlog'!$F158, TRUE, 0)</f>
        <v>0</v>
      </c>
      <c r="G158" s="4" cm="1">
        <f t="array" ref="G158">_xlfn.IFS('ProductSprint Backlog'!$F158="", "", AND('ProductSprint Backlog'!$J158&gt;G$2,'ProductSprint Backlog'!$I158&lt;=G$2), 'ProductSprint Backlog'!$F158 / MAX(1, 'ProductSprint Backlog'!$J158-'ProductSprint Backlog'!$I158), AND('ProductSprint Backlog'!$J158=G$2,'ProductSprint Backlog'!$I158=G$2), 'ProductSprint Backlog'!$F158, TRUE, 0)</f>
        <v>0</v>
      </c>
      <c r="H158" s="4" cm="1">
        <f t="array" ref="H158">_xlfn.IFS('ProductSprint Backlog'!$F158="", "", AND('ProductSprint Backlog'!$J158&gt;H$2,'ProductSprint Backlog'!$I158&lt;=H$2), 'ProductSprint Backlog'!$F158 / MAX(1, 'ProductSprint Backlog'!$J158-'ProductSprint Backlog'!$I158), AND('ProductSprint Backlog'!$J158=H$2,'ProductSprint Backlog'!$I158=H$2), 'ProductSprint Backlog'!$F158, TRUE, 0)</f>
        <v>0</v>
      </c>
      <c r="I158" s="4" cm="1">
        <f t="array" ref="I158">_xlfn.IFS('ProductSprint Backlog'!$F158="", "", AND('ProductSprint Backlog'!$J158&gt;I$2,'ProductSprint Backlog'!$I158&lt;=I$2), 'ProductSprint Backlog'!$F158 / MAX(1, 'ProductSprint Backlog'!$J158-'ProductSprint Backlog'!$I158), AND('ProductSprint Backlog'!$J158=I$2,'ProductSprint Backlog'!$I158=I$2), 'ProductSprint Backlog'!$F158, TRUE, 0)</f>
        <v>0</v>
      </c>
      <c r="J158" s="4" cm="1">
        <f t="array" ref="J158">_xlfn.IFS('ProductSprint Backlog'!$F158="", "", AND('ProductSprint Backlog'!$J158&gt;J$2,'ProductSprint Backlog'!$I158&lt;=J$2), 'ProductSprint Backlog'!$F158 / MAX(1, 'ProductSprint Backlog'!$J158-'ProductSprint Backlog'!$I158), AND('ProductSprint Backlog'!$J158=J$2,'ProductSprint Backlog'!$I158=J$2), 'ProductSprint Backlog'!$F158, TRUE, 0)</f>
        <v>0</v>
      </c>
      <c r="K158" s="4" cm="1">
        <f t="array" ref="K158">_xlfn.IFS('ProductSprint Backlog'!$F158="", "", AND('ProductSprint Backlog'!$J158&gt;K$2,'ProductSprint Backlog'!$I158&lt;=K$2), 'ProductSprint Backlog'!$F158 / MAX(1, 'ProductSprint Backlog'!$J158-'ProductSprint Backlog'!$I158), AND('ProductSprint Backlog'!$J158=K$2,'ProductSprint Backlog'!$I158=K$2), 'ProductSprint Backlog'!$F158, TRUE, 0)</f>
        <v>0</v>
      </c>
      <c r="L158" s="4" cm="1">
        <f t="array" ref="L158">_xlfn.IFS('ProductSprint Backlog'!$F158="", "", AND('ProductSprint Backlog'!$J158&gt;L$2,'ProductSprint Backlog'!$I158&lt;=L$2), 'ProductSprint Backlog'!$F158 / MAX(1, 'ProductSprint Backlog'!$J158-'ProductSprint Backlog'!$I158), AND('ProductSprint Backlog'!$J158=L$2,'ProductSprint Backlog'!$I158=L$2), 'ProductSprint Backlog'!$F158, TRUE, 0)</f>
        <v>0</v>
      </c>
      <c r="M158" s="4" cm="1">
        <f t="array" ref="M158">_xlfn.IFS('ProductSprint Backlog'!$F158="", "", AND('ProductSprint Backlog'!$J158&gt;M$2,'ProductSprint Backlog'!$I158&lt;=M$2), 'ProductSprint Backlog'!$F158 / MAX(1, 'ProductSprint Backlog'!$J158-'ProductSprint Backlog'!$I158), AND('ProductSprint Backlog'!$J158=M$2,'ProductSprint Backlog'!$I158=M$2), 'ProductSprint Backlog'!$F158, TRUE, 0)</f>
        <v>0</v>
      </c>
      <c r="N158" s="4" cm="1">
        <f t="array" ref="N158">_xlfn.IFS('ProductSprint Backlog'!$F158="", "", AND('ProductSprint Backlog'!$J158&gt;N$2,'ProductSprint Backlog'!$I158&lt;=N$2), 'ProductSprint Backlog'!$F158 / MAX(1, 'ProductSprint Backlog'!$J158-'ProductSprint Backlog'!$I158), AND('ProductSprint Backlog'!$J158=N$2,'ProductSprint Backlog'!$I158=N$2), 'ProductSprint Backlog'!$F158, TRUE, 0)</f>
        <v>0</v>
      </c>
      <c r="O158" s="4" cm="1">
        <f t="array" ref="O158">_xlfn.IFS('ProductSprint Backlog'!$F158="", "", AND('ProductSprint Backlog'!$J158&gt;O$2,'ProductSprint Backlog'!$I158&lt;=O$2), 'ProductSprint Backlog'!$F158 / MAX(1, 'ProductSprint Backlog'!$J158-'ProductSprint Backlog'!$I158), AND('ProductSprint Backlog'!$J158=O$2,'ProductSprint Backlog'!$I158=O$2), 'ProductSprint Backlog'!$F158, TRUE, 0)</f>
        <v>1</v>
      </c>
      <c r="P158" s="4" cm="1">
        <f t="array" ref="P158">_xlfn.IFS('ProductSprint Backlog'!$F158="", "", AND('ProductSprint Backlog'!$J158&gt;P$2,'ProductSprint Backlog'!$I158&lt;=P$2), 'ProductSprint Backlog'!$F158 / MAX(1, 'ProductSprint Backlog'!$J158-'ProductSprint Backlog'!$I158), AND('ProductSprint Backlog'!$J158=P$2,'ProductSprint Backlog'!$I158=P$2), 'ProductSprint Backlog'!$F158, TRUE, 0)</f>
        <v>0</v>
      </c>
      <c r="Q158" s="4" cm="1">
        <f t="array" ref="Q158">_xlfn.IFS('ProductSprint Backlog'!$F158="", "", AND('ProductSprint Backlog'!$J158&gt;Q$2,'ProductSprint Backlog'!$I158&lt;=Q$2), 'ProductSprint Backlog'!$F158 / MAX(1, 'ProductSprint Backlog'!$J158-'ProductSprint Backlog'!$I158), AND('ProductSprint Backlog'!$J158=Q$2,'ProductSprint Backlog'!$I158=Q$2), 'ProductSprint Backlog'!$F158, TRUE, 0)</f>
        <v>0</v>
      </c>
      <c r="R158" s="4" cm="1">
        <f t="array" ref="R158">_xlfn.IFS('ProductSprint Backlog'!$F158="", "", AND('ProductSprint Backlog'!$J158&gt;R$2,'ProductSprint Backlog'!$I158&lt;=R$2), 'ProductSprint Backlog'!$F158 / MAX(1, 'ProductSprint Backlog'!$J158-'ProductSprint Backlog'!$I158), AND('ProductSprint Backlog'!$J158=R$2,'ProductSprint Backlog'!$I158=R$2), 'ProductSprint Backlog'!$F158, TRUE, 0)</f>
        <v>0</v>
      </c>
      <c r="S158" s="4" cm="1">
        <f t="array" ref="S158">_xlfn.IFS('ProductSprint Backlog'!$F158="", "", AND('ProductSprint Backlog'!$J158&gt;S$2,'ProductSprint Backlog'!$I158&lt;=S$2), 'ProductSprint Backlog'!$F158 / MAX(1, 'ProductSprint Backlog'!$J158-'ProductSprint Backlog'!$I158), AND('ProductSprint Backlog'!$J158=S$2,'ProductSprint Backlog'!$I158=S$2), 'ProductSprint Backlog'!$F158, TRUE, 0)</f>
        <v>0</v>
      </c>
      <c r="T158" s="4" cm="1">
        <f t="array" ref="T158">_xlfn.IFS('ProductSprint Backlog'!$F158="", "", AND('ProductSprint Backlog'!$J158&gt;T$2,'ProductSprint Backlog'!$I158&lt;=T$2), 'ProductSprint Backlog'!$F158 / MAX(1, 'ProductSprint Backlog'!$J158-'ProductSprint Backlog'!$I158), AND('ProductSprint Backlog'!$J158=T$2,'ProductSprint Backlog'!$I158=T$2), 'ProductSprint Backlog'!$F158, TRUE, 0)</f>
        <v>0</v>
      </c>
    </row>
    <row r="159" spans="2:20" x14ac:dyDescent="0.2">
      <c r="B159" s="4" t="str" cm="1">
        <f t="array" ref="B159">_xlfn.IFS('ProductSprint Backlog'!$F159="", "", AND('ProductSprint Backlog'!$J159&gt;B$2,'ProductSprint Backlog'!$I159&lt;=B$2), 'ProductSprint Backlog'!$F159 / MAX(1, 'ProductSprint Backlog'!$J159-'ProductSprint Backlog'!$I159), AND('ProductSprint Backlog'!$J159=B$2,'ProductSprint Backlog'!$I159=B$2), 'ProductSprint Backlog'!$F159, TRUE, 0)</f>
        <v/>
      </c>
      <c r="C159" s="4" t="str" cm="1">
        <f t="array" ref="C159">_xlfn.IFS('ProductSprint Backlog'!$F159="", "", AND('ProductSprint Backlog'!$J159&gt;C$2,'ProductSprint Backlog'!$I159&lt;=C$2), 'ProductSprint Backlog'!$F159 / MAX(1, 'ProductSprint Backlog'!$J159-'ProductSprint Backlog'!$I159), AND('ProductSprint Backlog'!$J159=C$2,'ProductSprint Backlog'!$I159=C$2), 'ProductSprint Backlog'!$F159, TRUE, 0)</f>
        <v/>
      </c>
      <c r="D159" s="4" t="str" cm="1">
        <f t="array" ref="D159">_xlfn.IFS('ProductSprint Backlog'!$F159="", "", AND('ProductSprint Backlog'!$J159&gt;D$2,'ProductSprint Backlog'!$I159&lt;=D$2), 'ProductSprint Backlog'!$F159 / MAX(1, 'ProductSprint Backlog'!$J159-'ProductSprint Backlog'!$I159), AND('ProductSprint Backlog'!$J159=D$2,'ProductSprint Backlog'!$I159=D$2), 'ProductSprint Backlog'!$F159, TRUE, 0)</f>
        <v/>
      </c>
      <c r="E159" s="4" t="str" cm="1">
        <f t="array" ref="E159">_xlfn.IFS('ProductSprint Backlog'!$F159="", "", AND('ProductSprint Backlog'!$J159&gt;E$2,'ProductSprint Backlog'!$I159&lt;=E$2), 'ProductSprint Backlog'!$F159 / MAX(1, 'ProductSprint Backlog'!$J159-'ProductSprint Backlog'!$I159), AND('ProductSprint Backlog'!$J159=E$2,'ProductSprint Backlog'!$I159=E$2), 'ProductSprint Backlog'!$F159, TRUE, 0)</f>
        <v/>
      </c>
      <c r="F159" s="4" t="str" cm="1">
        <f t="array" ref="F159">_xlfn.IFS('ProductSprint Backlog'!$F159="", "", AND('ProductSprint Backlog'!$J159&gt;F$2,'ProductSprint Backlog'!$I159&lt;=F$2), 'ProductSprint Backlog'!$F159 / MAX(1, 'ProductSprint Backlog'!$J159-'ProductSprint Backlog'!$I159), AND('ProductSprint Backlog'!$J159=F$2,'ProductSprint Backlog'!$I159=F$2), 'ProductSprint Backlog'!$F159, TRUE, 0)</f>
        <v/>
      </c>
      <c r="G159" s="4" t="str" cm="1">
        <f t="array" ref="G159">_xlfn.IFS('ProductSprint Backlog'!$F159="", "", AND('ProductSprint Backlog'!$J159&gt;G$2,'ProductSprint Backlog'!$I159&lt;=G$2), 'ProductSprint Backlog'!$F159 / MAX(1, 'ProductSprint Backlog'!$J159-'ProductSprint Backlog'!$I159), AND('ProductSprint Backlog'!$J159=G$2,'ProductSprint Backlog'!$I159=G$2), 'ProductSprint Backlog'!$F159, TRUE, 0)</f>
        <v/>
      </c>
      <c r="H159" s="4" t="str" cm="1">
        <f t="array" ref="H159">_xlfn.IFS('ProductSprint Backlog'!$F159="", "", AND('ProductSprint Backlog'!$J159&gt;H$2,'ProductSprint Backlog'!$I159&lt;=H$2), 'ProductSprint Backlog'!$F159 / MAX(1, 'ProductSprint Backlog'!$J159-'ProductSprint Backlog'!$I159), AND('ProductSprint Backlog'!$J159=H$2,'ProductSprint Backlog'!$I159=H$2), 'ProductSprint Backlog'!$F159, TRUE, 0)</f>
        <v/>
      </c>
      <c r="I159" s="4" t="str" cm="1">
        <f t="array" ref="I159">_xlfn.IFS('ProductSprint Backlog'!$F159="", "", AND('ProductSprint Backlog'!$J159&gt;I$2,'ProductSprint Backlog'!$I159&lt;=I$2), 'ProductSprint Backlog'!$F159 / MAX(1, 'ProductSprint Backlog'!$J159-'ProductSprint Backlog'!$I159), AND('ProductSprint Backlog'!$J159=I$2,'ProductSprint Backlog'!$I159=I$2), 'ProductSprint Backlog'!$F159, TRUE, 0)</f>
        <v/>
      </c>
      <c r="J159" s="4" t="str" cm="1">
        <f t="array" ref="J159">_xlfn.IFS('ProductSprint Backlog'!$F159="", "", AND('ProductSprint Backlog'!$J159&gt;J$2,'ProductSprint Backlog'!$I159&lt;=J$2), 'ProductSprint Backlog'!$F159 / MAX(1, 'ProductSprint Backlog'!$J159-'ProductSprint Backlog'!$I159), AND('ProductSprint Backlog'!$J159=J$2,'ProductSprint Backlog'!$I159=J$2), 'ProductSprint Backlog'!$F159, TRUE, 0)</f>
        <v/>
      </c>
      <c r="K159" s="4" t="str" cm="1">
        <f t="array" ref="K159">_xlfn.IFS('ProductSprint Backlog'!$F159="", "", AND('ProductSprint Backlog'!$J159&gt;K$2,'ProductSprint Backlog'!$I159&lt;=K$2), 'ProductSprint Backlog'!$F159 / MAX(1, 'ProductSprint Backlog'!$J159-'ProductSprint Backlog'!$I159), AND('ProductSprint Backlog'!$J159=K$2,'ProductSprint Backlog'!$I159=K$2), 'ProductSprint Backlog'!$F159, TRUE, 0)</f>
        <v/>
      </c>
      <c r="L159" s="4" t="str" cm="1">
        <f t="array" ref="L159">_xlfn.IFS('ProductSprint Backlog'!$F159="", "", AND('ProductSprint Backlog'!$J159&gt;L$2,'ProductSprint Backlog'!$I159&lt;=L$2), 'ProductSprint Backlog'!$F159 / MAX(1, 'ProductSprint Backlog'!$J159-'ProductSprint Backlog'!$I159), AND('ProductSprint Backlog'!$J159=L$2,'ProductSprint Backlog'!$I159=L$2), 'ProductSprint Backlog'!$F159, TRUE, 0)</f>
        <v/>
      </c>
      <c r="M159" s="4" t="str" cm="1">
        <f t="array" ref="M159">_xlfn.IFS('ProductSprint Backlog'!$F159="", "", AND('ProductSprint Backlog'!$J159&gt;M$2,'ProductSprint Backlog'!$I159&lt;=M$2), 'ProductSprint Backlog'!$F159 / MAX(1, 'ProductSprint Backlog'!$J159-'ProductSprint Backlog'!$I159), AND('ProductSprint Backlog'!$J159=M$2,'ProductSprint Backlog'!$I159=M$2), 'ProductSprint Backlog'!$F159, TRUE, 0)</f>
        <v/>
      </c>
      <c r="N159" s="4" t="str" cm="1">
        <f t="array" ref="N159">_xlfn.IFS('ProductSprint Backlog'!$F159="", "", AND('ProductSprint Backlog'!$J159&gt;N$2,'ProductSprint Backlog'!$I159&lt;=N$2), 'ProductSprint Backlog'!$F159 / MAX(1, 'ProductSprint Backlog'!$J159-'ProductSprint Backlog'!$I159), AND('ProductSprint Backlog'!$J159=N$2,'ProductSprint Backlog'!$I159=N$2), 'ProductSprint Backlog'!$F159, TRUE, 0)</f>
        <v/>
      </c>
      <c r="O159" s="4" t="str" cm="1">
        <f t="array" ref="O159">_xlfn.IFS('ProductSprint Backlog'!$F159="", "", AND('ProductSprint Backlog'!$J159&gt;O$2,'ProductSprint Backlog'!$I159&lt;=O$2), 'ProductSprint Backlog'!$F159 / MAX(1, 'ProductSprint Backlog'!$J159-'ProductSprint Backlog'!$I159), AND('ProductSprint Backlog'!$J159=O$2,'ProductSprint Backlog'!$I159=O$2), 'ProductSprint Backlog'!$F159, TRUE, 0)</f>
        <v/>
      </c>
      <c r="P159" s="4" t="str" cm="1">
        <f t="array" ref="P159">_xlfn.IFS('ProductSprint Backlog'!$F159="", "", AND('ProductSprint Backlog'!$J159&gt;P$2,'ProductSprint Backlog'!$I159&lt;=P$2), 'ProductSprint Backlog'!$F159 / MAX(1, 'ProductSprint Backlog'!$J159-'ProductSprint Backlog'!$I159), AND('ProductSprint Backlog'!$J159=P$2,'ProductSprint Backlog'!$I159=P$2), 'ProductSprint Backlog'!$F159, TRUE, 0)</f>
        <v/>
      </c>
      <c r="Q159" s="4" t="str" cm="1">
        <f t="array" ref="Q159">_xlfn.IFS('ProductSprint Backlog'!$F159="", "", AND('ProductSprint Backlog'!$J159&gt;Q$2,'ProductSprint Backlog'!$I159&lt;=Q$2), 'ProductSprint Backlog'!$F159 / MAX(1, 'ProductSprint Backlog'!$J159-'ProductSprint Backlog'!$I159), AND('ProductSprint Backlog'!$J159=Q$2,'ProductSprint Backlog'!$I159=Q$2), 'ProductSprint Backlog'!$F159, TRUE, 0)</f>
        <v/>
      </c>
      <c r="R159" s="4" t="str" cm="1">
        <f t="array" ref="R159">_xlfn.IFS('ProductSprint Backlog'!$F159="", "", AND('ProductSprint Backlog'!$J159&gt;R$2,'ProductSprint Backlog'!$I159&lt;=R$2), 'ProductSprint Backlog'!$F159 / MAX(1, 'ProductSprint Backlog'!$J159-'ProductSprint Backlog'!$I159), AND('ProductSprint Backlog'!$J159=R$2,'ProductSprint Backlog'!$I159=R$2), 'ProductSprint Backlog'!$F159, TRUE, 0)</f>
        <v/>
      </c>
      <c r="S159" s="4" t="str" cm="1">
        <f t="array" ref="S159">_xlfn.IFS('ProductSprint Backlog'!$F159="", "", AND('ProductSprint Backlog'!$J159&gt;S$2,'ProductSprint Backlog'!$I159&lt;=S$2), 'ProductSprint Backlog'!$F159 / MAX(1, 'ProductSprint Backlog'!$J159-'ProductSprint Backlog'!$I159), AND('ProductSprint Backlog'!$J159=S$2,'ProductSprint Backlog'!$I159=S$2), 'ProductSprint Backlog'!$F159, TRUE, 0)</f>
        <v/>
      </c>
      <c r="T159" s="4" t="str" cm="1">
        <f t="array" ref="T159">_xlfn.IFS('ProductSprint Backlog'!$F159="", "", AND('ProductSprint Backlog'!$J159&gt;T$2,'ProductSprint Backlog'!$I159&lt;=T$2), 'ProductSprint Backlog'!$F159 / MAX(1, 'ProductSprint Backlog'!$J159-'ProductSprint Backlog'!$I159), AND('ProductSprint Backlog'!$J159=T$2,'ProductSprint Backlog'!$I159=T$2), 'ProductSprint Backlog'!$F159, TRUE, 0)</f>
        <v/>
      </c>
    </row>
    <row r="160" spans="2:20" x14ac:dyDescent="0.2">
      <c r="B160" s="4" cm="1">
        <f t="array" ref="B160">_xlfn.IFS('ProductSprint Backlog'!$F160="", "", AND('ProductSprint Backlog'!$J160&gt;B$2,'ProductSprint Backlog'!$I160&lt;=B$2), 'ProductSprint Backlog'!$F160 / MAX(1, 'ProductSprint Backlog'!$J160-'ProductSprint Backlog'!$I160), AND('ProductSprint Backlog'!$J160=B$2,'ProductSprint Backlog'!$I160=B$2), 'ProductSprint Backlog'!$F160, TRUE, 0)</f>
        <v>0</v>
      </c>
      <c r="C160" s="4" cm="1">
        <f t="array" ref="C160">_xlfn.IFS('ProductSprint Backlog'!$F160="", "", AND('ProductSprint Backlog'!$J160&gt;C$2,'ProductSprint Backlog'!$I160&lt;=C$2), 'ProductSprint Backlog'!$F160 / MAX(1, 'ProductSprint Backlog'!$J160-'ProductSprint Backlog'!$I160), AND('ProductSprint Backlog'!$J160=C$2,'ProductSprint Backlog'!$I160=C$2), 'ProductSprint Backlog'!$F160, TRUE, 0)</f>
        <v>0</v>
      </c>
      <c r="D160" s="4" cm="1">
        <f t="array" ref="D160">_xlfn.IFS('ProductSprint Backlog'!$F160="", "", AND('ProductSprint Backlog'!$J160&gt;D$2,'ProductSprint Backlog'!$I160&lt;=D$2), 'ProductSprint Backlog'!$F160 / MAX(1, 'ProductSprint Backlog'!$J160-'ProductSprint Backlog'!$I160), AND('ProductSprint Backlog'!$J160=D$2,'ProductSprint Backlog'!$I160=D$2), 'ProductSprint Backlog'!$F160, TRUE, 0)</f>
        <v>0</v>
      </c>
      <c r="E160" s="4" cm="1">
        <f t="array" ref="E160">_xlfn.IFS('ProductSprint Backlog'!$F160="", "", AND('ProductSprint Backlog'!$J160&gt;E$2,'ProductSprint Backlog'!$I160&lt;=E$2), 'ProductSprint Backlog'!$F160 / MAX(1, 'ProductSprint Backlog'!$J160-'ProductSprint Backlog'!$I160), AND('ProductSprint Backlog'!$J160=E$2,'ProductSprint Backlog'!$I160=E$2), 'ProductSprint Backlog'!$F160, TRUE, 0)</f>
        <v>0</v>
      </c>
      <c r="F160" s="4" cm="1">
        <f t="array" ref="F160">_xlfn.IFS('ProductSprint Backlog'!$F160="", "", AND('ProductSprint Backlog'!$J160&gt;F$2,'ProductSprint Backlog'!$I160&lt;=F$2), 'ProductSprint Backlog'!$F160 / MAX(1, 'ProductSprint Backlog'!$J160-'ProductSprint Backlog'!$I160), AND('ProductSprint Backlog'!$J160=F$2,'ProductSprint Backlog'!$I160=F$2), 'ProductSprint Backlog'!$F160, TRUE, 0)</f>
        <v>0</v>
      </c>
      <c r="G160" s="4" cm="1">
        <f t="array" ref="G160">_xlfn.IFS('ProductSprint Backlog'!$F160="", "", AND('ProductSprint Backlog'!$J160&gt;G$2,'ProductSprint Backlog'!$I160&lt;=G$2), 'ProductSprint Backlog'!$F160 / MAX(1, 'ProductSprint Backlog'!$J160-'ProductSprint Backlog'!$I160), AND('ProductSprint Backlog'!$J160=G$2,'ProductSprint Backlog'!$I160=G$2), 'ProductSprint Backlog'!$F160, TRUE, 0)</f>
        <v>0</v>
      </c>
      <c r="H160" s="4" cm="1">
        <f t="array" ref="H160">_xlfn.IFS('ProductSprint Backlog'!$F160="", "", AND('ProductSprint Backlog'!$J160&gt;H$2,'ProductSprint Backlog'!$I160&lt;=H$2), 'ProductSprint Backlog'!$F160 / MAX(1, 'ProductSprint Backlog'!$J160-'ProductSprint Backlog'!$I160), AND('ProductSprint Backlog'!$J160=H$2,'ProductSprint Backlog'!$I160=H$2), 'ProductSprint Backlog'!$F160, TRUE, 0)</f>
        <v>0</v>
      </c>
      <c r="I160" s="4" cm="1">
        <f t="array" ref="I160">_xlfn.IFS('ProductSprint Backlog'!$F160="", "", AND('ProductSprint Backlog'!$J160&gt;I$2,'ProductSprint Backlog'!$I160&lt;=I$2), 'ProductSprint Backlog'!$F160 / MAX(1, 'ProductSprint Backlog'!$J160-'ProductSprint Backlog'!$I160), AND('ProductSprint Backlog'!$J160=I$2,'ProductSprint Backlog'!$I160=I$2), 'ProductSprint Backlog'!$F160, TRUE, 0)</f>
        <v>0.33333333333333331</v>
      </c>
      <c r="J160" s="4" cm="1">
        <f t="array" ref="J160">_xlfn.IFS('ProductSprint Backlog'!$F160="", "", AND('ProductSprint Backlog'!$J160&gt;J$2,'ProductSprint Backlog'!$I160&lt;=J$2), 'ProductSprint Backlog'!$F160 / MAX(1, 'ProductSprint Backlog'!$J160-'ProductSprint Backlog'!$I160), AND('ProductSprint Backlog'!$J160=J$2,'ProductSprint Backlog'!$I160=J$2), 'ProductSprint Backlog'!$F160, TRUE, 0)</f>
        <v>0.33333333333333331</v>
      </c>
      <c r="K160" s="4" cm="1">
        <f t="array" ref="K160">_xlfn.IFS('ProductSprint Backlog'!$F160="", "", AND('ProductSprint Backlog'!$J160&gt;K$2,'ProductSprint Backlog'!$I160&lt;=K$2), 'ProductSprint Backlog'!$F160 / MAX(1, 'ProductSprint Backlog'!$J160-'ProductSprint Backlog'!$I160), AND('ProductSprint Backlog'!$J160=K$2,'ProductSprint Backlog'!$I160=K$2), 'ProductSprint Backlog'!$F160, TRUE, 0)</f>
        <v>0.33333333333333331</v>
      </c>
      <c r="L160" s="4" cm="1">
        <f t="array" ref="L160">_xlfn.IFS('ProductSprint Backlog'!$F160="", "", AND('ProductSprint Backlog'!$J160&gt;L$2,'ProductSprint Backlog'!$I160&lt;=L$2), 'ProductSprint Backlog'!$F160 / MAX(1, 'ProductSprint Backlog'!$J160-'ProductSprint Backlog'!$I160), AND('ProductSprint Backlog'!$J160=L$2,'ProductSprint Backlog'!$I160=L$2), 'ProductSprint Backlog'!$F160, TRUE, 0)</f>
        <v>0.33333333333333331</v>
      </c>
      <c r="M160" s="4" cm="1">
        <f t="array" ref="M160">_xlfn.IFS('ProductSprint Backlog'!$F160="", "", AND('ProductSprint Backlog'!$J160&gt;M$2,'ProductSprint Backlog'!$I160&lt;=M$2), 'ProductSprint Backlog'!$F160 / MAX(1, 'ProductSprint Backlog'!$J160-'ProductSprint Backlog'!$I160), AND('ProductSprint Backlog'!$J160=M$2,'ProductSprint Backlog'!$I160=M$2), 'ProductSprint Backlog'!$F160, TRUE, 0)</f>
        <v>0.33333333333333331</v>
      </c>
      <c r="N160" s="4" cm="1">
        <f t="array" ref="N160">_xlfn.IFS('ProductSprint Backlog'!$F160="", "", AND('ProductSprint Backlog'!$J160&gt;N$2,'ProductSprint Backlog'!$I160&lt;=N$2), 'ProductSprint Backlog'!$F160 / MAX(1, 'ProductSprint Backlog'!$J160-'ProductSprint Backlog'!$I160), AND('ProductSprint Backlog'!$J160=N$2,'ProductSprint Backlog'!$I160=N$2), 'ProductSprint Backlog'!$F160, TRUE, 0)</f>
        <v>0.33333333333333331</v>
      </c>
      <c r="O160" s="4" cm="1">
        <f t="array" ref="O160">_xlfn.IFS('ProductSprint Backlog'!$F160="", "", AND('ProductSprint Backlog'!$J160&gt;O$2,'ProductSprint Backlog'!$I160&lt;=O$2), 'ProductSprint Backlog'!$F160 / MAX(1, 'ProductSprint Backlog'!$J160-'ProductSprint Backlog'!$I160), AND('ProductSprint Backlog'!$J160=O$2,'ProductSprint Backlog'!$I160=O$2), 'ProductSprint Backlog'!$F160, TRUE, 0)</f>
        <v>0</v>
      </c>
      <c r="P160" s="4" cm="1">
        <f t="array" ref="P160">_xlfn.IFS('ProductSprint Backlog'!$F160="", "", AND('ProductSprint Backlog'!$J160&gt;P$2,'ProductSprint Backlog'!$I160&lt;=P$2), 'ProductSprint Backlog'!$F160 / MAX(1, 'ProductSprint Backlog'!$J160-'ProductSprint Backlog'!$I160), AND('ProductSprint Backlog'!$J160=P$2,'ProductSprint Backlog'!$I160=P$2), 'ProductSprint Backlog'!$F160, TRUE, 0)</f>
        <v>0</v>
      </c>
      <c r="Q160" s="4" cm="1">
        <f t="array" ref="Q160">_xlfn.IFS('ProductSprint Backlog'!$F160="", "", AND('ProductSprint Backlog'!$J160&gt;Q$2,'ProductSprint Backlog'!$I160&lt;=Q$2), 'ProductSprint Backlog'!$F160 / MAX(1, 'ProductSprint Backlog'!$J160-'ProductSprint Backlog'!$I160), AND('ProductSprint Backlog'!$J160=Q$2,'ProductSprint Backlog'!$I160=Q$2), 'ProductSprint Backlog'!$F160, TRUE, 0)</f>
        <v>0</v>
      </c>
      <c r="R160" s="4" cm="1">
        <f t="array" ref="R160">_xlfn.IFS('ProductSprint Backlog'!$F160="", "", AND('ProductSprint Backlog'!$J160&gt;R$2,'ProductSprint Backlog'!$I160&lt;=R$2), 'ProductSprint Backlog'!$F160 / MAX(1, 'ProductSprint Backlog'!$J160-'ProductSprint Backlog'!$I160), AND('ProductSprint Backlog'!$J160=R$2,'ProductSprint Backlog'!$I160=R$2), 'ProductSprint Backlog'!$F160, TRUE, 0)</f>
        <v>0</v>
      </c>
      <c r="S160" s="4" cm="1">
        <f t="array" ref="S160">_xlfn.IFS('ProductSprint Backlog'!$F160="", "", AND('ProductSprint Backlog'!$J160&gt;S$2,'ProductSprint Backlog'!$I160&lt;=S$2), 'ProductSprint Backlog'!$F160 / MAX(1, 'ProductSprint Backlog'!$J160-'ProductSprint Backlog'!$I160), AND('ProductSprint Backlog'!$J160=S$2,'ProductSprint Backlog'!$I160=S$2), 'ProductSprint Backlog'!$F160, TRUE, 0)</f>
        <v>0</v>
      </c>
      <c r="T160" s="4" cm="1">
        <f t="array" ref="T160">_xlfn.IFS('ProductSprint Backlog'!$F160="", "", AND('ProductSprint Backlog'!$J160&gt;T$2,'ProductSprint Backlog'!$I160&lt;=T$2), 'ProductSprint Backlog'!$F160 / MAX(1, 'ProductSprint Backlog'!$J160-'ProductSprint Backlog'!$I160), AND('ProductSprint Backlog'!$J160=T$2,'ProductSprint Backlog'!$I160=T$2), 'ProductSprint Backlog'!$F160, TRUE, 0)</f>
        <v>0</v>
      </c>
    </row>
    <row r="161" spans="2:20" x14ac:dyDescent="0.2">
      <c r="B161" s="4" cm="1">
        <f t="array" ref="B161">_xlfn.IFS('ProductSprint Backlog'!$F161="", "", AND('ProductSprint Backlog'!$J161&gt;B$2,'ProductSprint Backlog'!$I161&lt;=B$2), 'ProductSprint Backlog'!$F161 / MAX(1, 'ProductSprint Backlog'!$J161-'ProductSprint Backlog'!$I161), AND('ProductSprint Backlog'!$J161=B$2,'ProductSprint Backlog'!$I161=B$2), 'ProductSprint Backlog'!$F161, TRUE, 0)</f>
        <v>0</v>
      </c>
      <c r="C161" s="4" cm="1">
        <f t="array" ref="C161">_xlfn.IFS('ProductSprint Backlog'!$F161="", "", AND('ProductSprint Backlog'!$J161&gt;C$2,'ProductSprint Backlog'!$I161&lt;=C$2), 'ProductSprint Backlog'!$F161 / MAX(1, 'ProductSprint Backlog'!$J161-'ProductSprint Backlog'!$I161), AND('ProductSprint Backlog'!$J161=C$2,'ProductSprint Backlog'!$I161=C$2), 'ProductSprint Backlog'!$F161, TRUE, 0)</f>
        <v>0</v>
      </c>
      <c r="D161" s="4" cm="1">
        <f t="array" ref="D161">_xlfn.IFS('ProductSprint Backlog'!$F161="", "", AND('ProductSprint Backlog'!$J161&gt;D$2,'ProductSprint Backlog'!$I161&lt;=D$2), 'ProductSprint Backlog'!$F161 / MAX(1, 'ProductSprint Backlog'!$J161-'ProductSprint Backlog'!$I161), AND('ProductSprint Backlog'!$J161=D$2,'ProductSprint Backlog'!$I161=D$2), 'ProductSprint Backlog'!$F161, TRUE, 0)</f>
        <v>0</v>
      </c>
      <c r="E161" s="4" cm="1">
        <f t="array" ref="E161">_xlfn.IFS('ProductSprint Backlog'!$F161="", "", AND('ProductSprint Backlog'!$J161&gt;E$2,'ProductSprint Backlog'!$I161&lt;=E$2), 'ProductSprint Backlog'!$F161 / MAX(1, 'ProductSprint Backlog'!$J161-'ProductSprint Backlog'!$I161), AND('ProductSprint Backlog'!$J161=E$2,'ProductSprint Backlog'!$I161=E$2), 'ProductSprint Backlog'!$F161, TRUE, 0)</f>
        <v>0</v>
      </c>
      <c r="F161" s="4" cm="1">
        <f t="array" ref="F161">_xlfn.IFS('ProductSprint Backlog'!$F161="", "", AND('ProductSprint Backlog'!$J161&gt;F$2,'ProductSprint Backlog'!$I161&lt;=F$2), 'ProductSprint Backlog'!$F161 / MAX(1, 'ProductSprint Backlog'!$J161-'ProductSprint Backlog'!$I161), AND('ProductSprint Backlog'!$J161=F$2,'ProductSprint Backlog'!$I161=F$2), 'ProductSprint Backlog'!$F161, TRUE, 0)</f>
        <v>0</v>
      </c>
      <c r="G161" s="4" cm="1">
        <f t="array" ref="G161">_xlfn.IFS('ProductSprint Backlog'!$F161="", "", AND('ProductSprint Backlog'!$J161&gt;G$2,'ProductSprint Backlog'!$I161&lt;=G$2), 'ProductSprint Backlog'!$F161 / MAX(1, 'ProductSprint Backlog'!$J161-'ProductSprint Backlog'!$I161), AND('ProductSprint Backlog'!$J161=G$2,'ProductSprint Backlog'!$I161=G$2), 'ProductSprint Backlog'!$F161, TRUE, 0)</f>
        <v>0</v>
      </c>
      <c r="H161" s="4" cm="1">
        <f t="array" ref="H161">_xlfn.IFS('ProductSprint Backlog'!$F161="", "", AND('ProductSprint Backlog'!$J161&gt;H$2,'ProductSprint Backlog'!$I161&lt;=H$2), 'ProductSprint Backlog'!$F161 / MAX(1, 'ProductSprint Backlog'!$J161-'ProductSprint Backlog'!$I161), AND('ProductSprint Backlog'!$J161=H$2,'ProductSprint Backlog'!$I161=H$2), 'ProductSprint Backlog'!$F161, TRUE, 0)</f>
        <v>0</v>
      </c>
      <c r="I161" s="4" cm="1">
        <f t="array" ref="I161">_xlfn.IFS('ProductSprint Backlog'!$F161="", "", AND('ProductSprint Backlog'!$J161&gt;I$2,'ProductSprint Backlog'!$I161&lt;=I$2), 'ProductSprint Backlog'!$F161 / MAX(1, 'ProductSprint Backlog'!$J161-'ProductSprint Backlog'!$I161), AND('ProductSprint Backlog'!$J161=I$2,'ProductSprint Backlog'!$I161=I$2), 'ProductSprint Backlog'!$F161, TRUE, 0)</f>
        <v>0.16666666666666666</v>
      </c>
      <c r="J161" s="4" cm="1">
        <f t="array" ref="J161">_xlfn.IFS('ProductSprint Backlog'!$F161="", "", AND('ProductSprint Backlog'!$J161&gt;J$2,'ProductSprint Backlog'!$I161&lt;=J$2), 'ProductSprint Backlog'!$F161 / MAX(1, 'ProductSprint Backlog'!$J161-'ProductSprint Backlog'!$I161), AND('ProductSprint Backlog'!$J161=J$2,'ProductSprint Backlog'!$I161=J$2), 'ProductSprint Backlog'!$F161, TRUE, 0)</f>
        <v>0.16666666666666666</v>
      </c>
      <c r="K161" s="4" cm="1">
        <f t="array" ref="K161">_xlfn.IFS('ProductSprint Backlog'!$F161="", "", AND('ProductSprint Backlog'!$J161&gt;K$2,'ProductSprint Backlog'!$I161&lt;=K$2), 'ProductSprint Backlog'!$F161 / MAX(1, 'ProductSprint Backlog'!$J161-'ProductSprint Backlog'!$I161), AND('ProductSprint Backlog'!$J161=K$2,'ProductSprint Backlog'!$I161=K$2), 'ProductSprint Backlog'!$F161, TRUE, 0)</f>
        <v>0.16666666666666666</v>
      </c>
      <c r="L161" s="4" cm="1">
        <f t="array" ref="L161">_xlfn.IFS('ProductSprint Backlog'!$F161="", "", AND('ProductSprint Backlog'!$J161&gt;L$2,'ProductSprint Backlog'!$I161&lt;=L$2), 'ProductSprint Backlog'!$F161 / MAX(1, 'ProductSprint Backlog'!$J161-'ProductSprint Backlog'!$I161), AND('ProductSprint Backlog'!$J161=L$2,'ProductSprint Backlog'!$I161=L$2), 'ProductSprint Backlog'!$F161, TRUE, 0)</f>
        <v>0.16666666666666666</v>
      </c>
      <c r="M161" s="4" cm="1">
        <f t="array" ref="M161">_xlfn.IFS('ProductSprint Backlog'!$F161="", "", AND('ProductSprint Backlog'!$J161&gt;M$2,'ProductSprint Backlog'!$I161&lt;=M$2), 'ProductSprint Backlog'!$F161 / MAX(1, 'ProductSprint Backlog'!$J161-'ProductSprint Backlog'!$I161), AND('ProductSprint Backlog'!$J161=M$2,'ProductSprint Backlog'!$I161=M$2), 'ProductSprint Backlog'!$F161, TRUE, 0)</f>
        <v>0.16666666666666666</v>
      </c>
      <c r="N161" s="4" cm="1">
        <f t="array" ref="N161">_xlfn.IFS('ProductSprint Backlog'!$F161="", "", AND('ProductSprint Backlog'!$J161&gt;N$2,'ProductSprint Backlog'!$I161&lt;=N$2), 'ProductSprint Backlog'!$F161 / MAX(1, 'ProductSprint Backlog'!$J161-'ProductSprint Backlog'!$I161), AND('ProductSprint Backlog'!$J161=N$2,'ProductSprint Backlog'!$I161=N$2), 'ProductSprint Backlog'!$F161, TRUE, 0)</f>
        <v>0.16666666666666666</v>
      </c>
      <c r="O161" s="4" cm="1">
        <f t="array" ref="O161">_xlfn.IFS('ProductSprint Backlog'!$F161="", "", AND('ProductSprint Backlog'!$J161&gt;O$2,'ProductSprint Backlog'!$I161&lt;=O$2), 'ProductSprint Backlog'!$F161 / MAX(1, 'ProductSprint Backlog'!$J161-'ProductSprint Backlog'!$I161), AND('ProductSprint Backlog'!$J161=O$2,'ProductSprint Backlog'!$I161=O$2), 'ProductSprint Backlog'!$F161, TRUE, 0)</f>
        <v>0</v>
      </c>
      <c r="P161" s="4" cm="1">
        <f t="array" ref="P161">_xlfn.IFS('ProductSprint Backlog'!$F161="", "", AND('ProductSprint Backlog'!$J161&gt;P$2,'ProductSprint Backlog'!$I161&lt;=P$2), 'ProductSprint Backlog'!$F161 / MAX(1, 'ProductSprint Backlog'!$J161-'ProductSprint Backlog'!$I161), AND('ProductSprint Backlog'!$J161=P$2,'ProductSprint Backlog'!$I161=P$2), 'ProductSprint Backlog'!$F161, TRUE, 0)</f>
        <v>0</v>
      </c>
      <c r="Q161" s="4" cm="1">
        <f t="array" ref="Q161">_xlfn.IFS('ProductSprint Backlog'!$F161="", "", AND('ProductSprint Backlog'!$J161&gt;Q$2,'ProductSprint Backlog'!$I161&lt;=Q$2), 'ProductSprint Backlog'!$F161 / MAX(1, 'ProductSprint Backlog'!$J161-'ProductSprint Backlog'!$I161), AND('ProductSprint Backlog'!$J161=Q$2,'ProductSprint Backlog'!$I161=Q$2), 'ProductSprint Backlog'!$F161, TRUE, 0)</f>
        <v>0</v>
      </c>
      <c r="R161" s="4" cm="1">
        <f t="array" ref="R161">_xlfn.IFS('ProductSprint Backlog'!$F161="", "", AND('ProductSprint Backlog'!$J161&gt;R$2,'ProductSprint Backlog'!$I161&lt;=R$2), 'ProductSprint Backlog'!$F161 / MAX(1, 'ProductSprint Backlog'!$J161-'ProductSprint Backlog'!$I161), AND('ProductSprint Backlog'!$J161=R$2,'ProductSprint Backlog'!$I161=R$2), 'ProductSprint Backlog'!$F161, TRUE, 0)</f>
        <v>0</v>
      </c>
      <c r="S161" s="4" cm="1">
        <f t="array" ref="S161">_xlfn.IFS('ProductSprint Backlog'!$F161="", "", AND('ProductSprint Backlog'!$J161&gt;S$2,'ProductSprint Backlog'!$I161&lt;=S$2), 'ProductSprint Backlog'!$F161 / MAX(1, 'ProductSprint Backlog'!$J161-'ProductSprint Backlog'!$I161), AND('ProductSprint Backlog'!$J161=S$2,'ProductSprint Backlog'!$I161=S$2), 'ProductSprint Backlog'!$F161, TRUE, 0)</f>
        <v>0</v>
      </c>
      <c r="T161" s="4" cm="1">
        <f t="array" ref="T161">_xlfn.IFS('ProductSprint Backlog'!$F161="", "", AND('ProductSprint Backlog'!$J161&gt;T$2,'ProductSprint Backlog'!$I161&lt;=T$2), 'ProductSprint Backlog'!$F161 / MAX(1, 'ProductSprint Backlog'!$J161-'ProductSprint Backlog'!$I161), AND('ProductSprint Backlog'!$J161=T$2,'ProductSprint Backlog'!$I161=T$2), 'ProductSprint Backlog'!$F161, TRUE, 0)</f>
        <v>0</v>
      </c>
    </row>
    <row r="162" spans="2:20" x14ac:dyDescent="0.2">
      <c r="B162" s="4" cm="1">
        <f t="array" ref="B162">_xlfn.IFS('ProductSprint Backlog'!$F162="", "", AND('ProductSprint Backlog'!$J162&gt;B$2,'ProductSprint Backlog'!$I162&lt;=B$2), 'ProductSprint Backlog'!$F162 / MAX(1, 'ProductSprint Backlog'!$J162-'ProductSprint Backlog'!$I162), AND('ProductSprint Backlog'!$J162=B$2,'ProductSprint Backlog'!$I162=B$2), 'ProductSprint Backlog'!$F162, TRUE, 0)</f>
        <v>0</v>
      </c>
      <c r="C162" s="4" cm="1">
        <f t="array" ref="C162">_xlfn.IFS('ProductSprint Backlog'!$F162="", "", AND('ProductSprint Backlog'!$J162&gt;C$2,'ProductSprint Backlog'!$I162&lt;=C$2), 'ProductSprint Backlog'!$F162 / MAX(1, 'ProductSprint Backlog'!$J162-'ProductSprint Backlog'!$I162), AND('ProductSprint Backlog'!$J162=C$2,'ProductSprint Backlog'!$I162=C$2), 'ProductSprint Backlog'!$F162, TRUE, 0)</f>
        <v>0</v>
      </c>
      <c r="D162" s="4" cm="1">
        <f t="array" ref="D162">_xlfn.IFS('ProductSprint Backlog'!$F162="", "", AND('ProductSprint Backlog'!$J162&gt;D$2,'ProductSprint Backlog'!$I162&lt;=D$2), 'ProductSprint Backlog'!$F162 / MAX(1, 'ProductSprint Backlog'!$J162-'ProductSprint Backlog'!$I162), AND('ProductSprint Backlog'!$J162=D$2,'ProductSprint Backlog'!$I162=D$2), 'ProductSprint Backlog'!$F162, TRUE, 0)</f>
        <v>0</v>
      </c>
      <c r="E162" s="4" cm="1">
        <f t="array" ref="E162">_xlfn.IFS('ProductSprint Backlog'!$F162="", "", AND('ProductSprint Backlog'!$J162&gt;E$2,'ProductSprint Backlog'!$I162&lt;=E$2), 'ProductSprint Backlog'!$F162 / MAX(1, 'ProductSprint Backlog'!$J162-'ProductSprint Backlog'!$I162), AND('ProductSprint Backlog'!$J162=E$2,'ProductSprint Backlog'!$I162=E$2), 'ProductSprint Backlog'!$F162, TRUE, 0)</f>
        <v>0</v>
      </c>
      <c r="F162" s="4" cm="1">
        <f t="array" ref="F162">_xlfn.IFS('ProductSprint Backlog'!$F162="", "", AND('ProductSprint Backlog'!$J162&gt;F$2,'ProductSprint Backlog'!$I162&lt;=F$2), 'ProductSprint Backlog'!$F162 / MAX(1, 'ProductSprint Backlog'!$J162-'ProductSprint Backlog'!$I162), AND('ProductSprint Backlog'!$J162=F$2,'ProductSprint Backlog'!$I162=F$2), 'ProductSprint Backlog'!$F162, TRUE, 0)</f>
        <v>0</v>
      </c>
      <c r="G162" s="4" cm="1">
        <f t="array" ref="G162">_xlfn.IFS('ProductSprint Backlog'!$F162="", "", AND('ProductSprint Backlog'!$J162&gt;G$2,'ProductSprint Backlog'!$I162&lt;=G$2), 'ProductSprint Backlog'!$F162 / MAX(1, 'ProductSprint Backlog'!$J162-'ProductSprint Backlog'!$I162), AND('ProductSprint Backlog'!$J162=G$2,'ProductSprint Backlog'!$I162=G$2), 'ProductSprint Backlog'!$F162, TRUE, 0)</f>
        <v>0</v>
      </c>
      <c r="H162" s="4" cm="1">
        <f t="array" ref="H162">_xlfn.IFS('ProductSprint Backlog'!$F162="", "", AND('ProductSprint Backlog'!$J162&gt;H$2,'ProductSprint Backlog'!$I162&lt;=H$2), 'ProductSprint Backlog'!$F162 / MAX(1, 'ProductSprint Backlog'!$J162-'ProductSprint Backlog'!$I162), AND('ProductSprint Backlog'!$J162=H$2,'ProductSprint Backlog'!$I162=H$2), 'ProductSprint Backlog'!$F162, TRUE, 0)</f>
        <v>0</v>
      </c>
      <c r="I162" s="4" cm="1">
        <f t="array" ref="I162">_xlfn.IFS('ProductSprint Backlog'!$F162="", "", AND('ProductSprint Backlog'!$J162&gt;I$2,'ProductSprint Backlog'!$I162&lt;=I$2), 'ProductSprint Backlog'!$F162 / MAX(1, 'ProductSprint Backlog'!$J162-'ProductSprint Backlog'!$I162), AND('ProductSprint Backlog'!$J162=I$2,'ProductSprint Backlog'!$I162=I$2), 'ProductSprint Backlog'!$F162, TRUE, 0)</f>
        <v>0.16666666666666666</v>
      </c>
      <c r="J162" s="4" cm="1">
        <f t="array" ref="J162">_xlfn.IFS('ProductSprint Backlog'!$F162="", "", AND('ProductSprint Backlog'!$J162&gt;J$2,'ProductSprint Backlog'!$I162&lt;=J$2), 'ProductSprint Backlog'!$F162 / MAX(1, 'ProductSprint Backlog'!$J162-'ProductSprint Backlog'!$I162), AND('ProductSprint Backlog'!$J162=J$2,'ProductSprint Backlog'!$I162=J$2), 'ProductSprint Backlog'!$F162, TRUE, 0)</f>
        <v>0.16666666666666666</v>
      </c>
      <c r="K162" s="4" cm="1">
        <f t="array" ref="K162">_xlfn.IFS('ProductSprint Backlog'!$F162="", "", AND('ProductSprint Backlog'!$J162&gt;K$2,'ProductSprint Backlog'!$I162&lt;=K$2), 'ProductSprint Backlog'!$F162 / MAX(1, 'ProductSprint Backlog'!$J162-'ProductSprint Backlog'!$I162), AND('ProductSprint Backlog'!$J162=K$2,'ProductSprint Backlog'!$I162=K$2), 'ProductSprint Backlog'!$F162, TRUE, 0)</f>
        <v>0.16666666666666666</v>
      </c>
      <c r="L162" s="4" cm="1">
        <f t="array" ref="L162">_xlfn.IFS('ProductSprint Backlog'!$F162="", "", AND('ProductSprint Backlog'!$J162&gt;L$2,'ProductSprint Backlog'!$I162&lt;=L$2), 'ProductSprint Backlog'!$F162 / MAX(1, 'ProductSprint Backlog'!$J162-'ProductSprint Backlog'!$I162), AND('ProductSprint Backlog'!$J162=L$2,'ProductSprint Backlog'!$I162=L$2), 'ProductSprint Backlog'!$F162, TRUE, 0)</f>
        <v>0.16666666666666666</v>
      </c>
      <c r="M162" s="4" cm="1">
        <f t="array" ref="M162">_xlfn.IFS('ProductSprint Backlog'!$F162="", "", AND('ProductSprint Backlog'!$J162&gt;M$2,'ProductSprint Backlog'!$I162&lt;=M$2), 'ProductSprint Backlog'!$F162 / MAX(1, 'ProductSprint Backlog'!$J162-'ProductSprint Backlog'!$I162), AND('ProductSprint Backlog'!$J162=M$2,'ProductSprint Backlog'!$I162=M$2), 'ProductSprint Backlog'!$F162, TRUE, 0)</f>
        <v>0.16666666666666666</v>
      </c>
      <c r="N162" s="4" cm="1">
        <f t="array" ref="N162">_xlfn.IFS('ProductSprint Backlog'!$F162="", "", AND('ProductSprint Backlog'!$J162&gt;N$2,'ProductSprint Backlog'!$I162&lt;=N$2), 'ProductSprint Backlog'!$F162 / MAX(1, 'ProductSprint Backlog'!$J162-'ProductSprint Backlog'!$I162), AND('ProductSprint Backlog'!$J162=N$2,'ProductSprint Backlog'!$I162=N$2), 'ProductSprint Backlog'!$F162, TRUE, 0)</f>
        <v>0.16666666666666666</v>
      </c>
      <c r="O162" s="4" cm="1">
        <f t="array" ref="O162">_xlfn.IFS('ProductSprint Backlog'!$F162="", "", AND('ProductSprint Backlog'!$J162&gt;O$2,'ProductSprint Backlog'!$I162&lt;=O$2), 'ProductSprint Backlog'!$F162 / MAX(1, 'ProductSprint Backlog'!$J162-'ProductSprint Backlog'!$I162), AND('ProductSprint Backlog'!$J162=O$2,'ProductSprint Backlog'!$I162=O$2), 'ProductSprint Backlog'!$F162, TRUE, 0)</f>
        <v>0</v>
      </c>
      <c r="P162" s="4" cm="1">
        <f t="array" ref="P162">_xlfn.IFS('ProductSprint Backlog'!$F162="", "", AND('ProductSprint Backlog'!$J162&gt;P$2,'ProductSprint Backlog'!$I162&lt;=P$2), 'ProductSprint Backlog'!$F162 / MAX(1, 'ProductSprint Backlog'!$J162-'ProductSprint Backlog'!$I162), AND('ProductSprint Backlog'!$J162=P$2,'ProductSprint Backlog'!$I162=P$2), 'ProductSprint Backlog'!$F162, TRUE, 0)</f>
        <v>0</v>
      </c>
      <c r="Q162" s="4" cm="1">
        <f t="array" ref="Q162">_xlfn.IFS('ProductSprint Backlog'!$F162="", "", AND('ProductSprint Backlog'!$J162&gt;Q$2,'ProductSprint Backlog'!$I162&lt;=Q$2), 'ProductSprint Backlog'!$F162 / MAX(1, 'ProductSprint Backlog'!$J162-'ProductSprint Backlog'!$I162), AND('ProductSprint Backlog'!$J162=Q$2,'ProductSprint Backlog'!$I162=Q$2), 'ProductSprint Backlog'!$F162, TRUE, 0)</f>
        <v>0</v>
      </c>
      <c r="R162" s="4" cm="1">
        <f t="array" ref="R162">_xlfn.IFS('ProductSprint Backlog'!$F162="", "", AND('ProductSprint Backlog'!$J162&gt;R$2,'ProductSprint Backlog'!$I162&lt;=R$2), 'ProductSprint Backlog'!$F162 / MAX(1, 'ProductSprint Backlog'!$J162-'ProductSprint Backlog'!$I162), AND('ProductSprint Backlog'!$J162=R$2,'ProductSprint Backlog'!$I162=R$2), 'ProductSprint Backlog'!$F162, TRUE, 0)</f>
        <v>0</v>
      </c>
      <c r="S162" s="4" cm="1">
        <f t="array" ref="S162">_xlfn.IFS('ProductSprint Backlog'!$F162="", "", AND('ProductSprint Backlog'!$J162&gt;S$2,'ProductSprint Backlog'!$I162&lt;=S$2), 'ProductSprint Backlog'!$F162 / MAX(1, 'ProductSprint Backlog'!$J162-'ProductSprint Backlog'!$I162), AND('ProductSprint Backlog'!$J162=S$2,'ProductSprint Backlog'!$I162=S$2), 'ProductSprint Backlog'!$F162, TRUE, 0)</f>
        <v>0</v>
      </c>
      <c r="T162" s="4" cm="1">
        <f t="array" ref="T162">_xlfn.IFS('ProductSprint Backlog'!$F162="", "", AND('ProductSprint Backlog'!$J162&gt;T$2,'ProductSprint Backlog'!$I162&lt;=T$2), 'ProductSprint Backlog'!$F162 / MAX(1, 'ProductSprint Backlog'!$J162-'ProductSprint Backlog'!$I162), AND('ProductSprint Backlog'!$J162=T$2,'ProductSprint Backlog'!$I162=T$2), 'ProductSprint Backlog'!$F162, TRUE, 0)</f>
        <v>0</v>
      </c>
    </row>
    <row r="163" spans="2:20" x14ac:dyDescent="0.2">
      <c r="B163" s="4" cm="1">
        <f t="array" ref="B163">_xlfn.IFS('ProductSprint Backlog'!$F163="", "", AND('ProductSprint Backlog'!$J163&gt;B$2,'ProductSprint Backlog'!$I163&lt;=B$2), 'ProductSprint Backlog'!$F163 / MAX(1, 'ProductSprint Backlog'!$J163-'ProductSprint Backlog'!$I163), AND('ProductSprint Backlog'!$J163=B$2,'ProductSprint Backlog'!$I163=B$2), 'ProductSprint Backlog'!$F163, TRUE, 0)</f>
        <v>0</v>
      </c>
      <c r="C163" s="4" cm="1">
        <f t="array" ref="C163">_xlfn.IFS('ProductSprint Backlog'!$F163="", "", AND('ProductSprint Backlog'!$J163&gt;C$2,'ProductSprint Backlog'!$I163&lt;=C$2), 'ProductSprint Backlog'!$F163 / MAX(1, 'ProductSprint Backlog'!$J163-'ProductSprint Backlog'!$I163), AND('ProductSprint Backlog'!$J163=C$2,'ProductSprint Backlog'!$I163=C$2), 'ProductSprint Backlog'!$F163, TRUE, 0)</f>
        <v>0</v>
      </c>
      <c r="D163" s="4" cm="1">
        <f t="array" ref="D163">_xlfn.IFS('ProductSprint Backlog'!$F163="", "", AND('ProductSprint Backlog'!$J163&gt;D$2,'ProductSprint Backlog'!$I163&lt;=D$2), 'ProductSprint Backlog'!$F163 / MAX(1, 'ProductSprint Backlog'!$J163-'ProductSprint Backlog'!$I163), AND('ProductSprint Backlog'!$J163=D$2,'ProductSprint Backlog'!$I163=D$2), 'ProductSprint Backlog'!$F163, TRUE, 0)</f>
        <v>0</v>
      </c>
      <c r="E163" s="4" cm="1">
        <f t="array" ref="E163">_xlfn.IFS('ProductSprint Backlog'!$F163="", "", AND('ProductSprint Backlog'!$J163&gt;E$2,'ProductSprint Backlog'!$I163&lt;=E$2), 'ProductSprint Backlog'!$F163 / MAX(1, 'ProductSprint Backlog'!$J163-'ProductSprint Backlog'!$I163), AND('ProductSprint Backlog'!$J163=E$2,'ProductSprint Backlog'!$I163=E$2), 'ProductSprint Backlog'!$F163, TRUE, 0)</f>
        <v>0</v>
      </c>
      <c r="F163" s="4" cm="1">
        <f t="array" ref="F163">_xlfn.IFS('ProductSprint Backlog'!$F163="", "", AND('ProductSprint Backlog'!$J163&gt;F$2,'ProductSprint Backlog'!$I163&lt;=F$2), 'ProductSprint Backlog'!$F163 / MAX(1, 'ProductSprint Backlog'!$J163-'ProductSprint Backlog'!$I163), AND('ProductSprint Backlog'!$J163=F$2,'ProductSprint Backlog'!$I163=F$2), 'ProductSprint Backlog'!$F163, TRUE, 0)</f>
        <v>0</v>
      </c>
      <c r="G163" s="4" cm="1">
        <f t="array" ref="G163">_xlfn.IFS('ProductSprint Backlog'!$F163="", "", AND('ProductSprint Backlog'!$J163&gt;G$2,'ProductSprint Backlog'!$I163&lt;=G$2), 'ProductSprint Backlog'!$F163 / MAX(1, 'ProductSprint Backlog'!$J163-'ProductSprint Backlog'!$I163), AND('ProductSprint Backlog'!$J163=G$2,'ProductSprint Backlog'!$I163=G$2), 'ProductSprint Backlog'!$F163, TRUE, 0)</f>
        <v>0</v>
      </c>
      <c r="H163" s="4" cm="1">
        <f t="array" ref="H163">_xlfn.IFS('ProductSprint Backlog'!$F163="", "", AND('ProductSprint Backlog'!$J163&gt;H$2,'ProductSprint Backlog'!$I163&lt;=H$2), 'ProductSprint Backlog'!$F163 / MAX(1, 'ProductSprint Backlog'!$J163-'ProductSprint Backlog'!$I163), AND('ProductSprint Backlog'!$J163=H$2,'ProductSprint Backlog'!$I163=H$2), 'ProductSprint Backlog'!$F163, TRUE, 0)</f>
        <v>0</v>
      </c>
      <c r="I163" s="4" cm="1">
        <f t="array" ref="I163">_xlfn.IFS('ProductSprint Backlog'!$F163="", "", AND('ProductSprint Backlog'!$J163&gt;I$2,'ProductSprint Backlog'!$I163&lt;=I$2), 'ProductSprint Backlog'!$F163 / MAX(1, 'ProductSprint Backlog'!$J163-'ProductSprint Backlog'!$I163), AND('ProductSprint Backlog'!$J163=I$2,'ProductSprint Backlog'!$I163=I$2), 'ProductSprint Backlog'!$F163, TRUE, 0)</f>
        <v>0.16666666666666666</v>
      </c>
      <c r="J163" s="4" cm="1">
        <f t="array" ref="J163">_xlfn.IFS('ProductSprint Backlog'!$F163="", "", AND('ProductSprint Backlog'!$J163&gt;J$2,'ProductSprint Backlog'!$I163&lt;=J$2), 'ProductSprint Backlog'!$F163 / MAX(1, 'ProductSprint Backlog'!$J163-'ProductSprint Backlog'!$I163), AND('ProductSprint Backlog'!$J163=J$2,'ProductSprint Backlog'!$I163=J$2), 'ProductSprint Backlog'!$F163, TRUE, 0)</f>
        <v>0.16666666666666666</v>
      </c>
      <c r="K163" s="4" cm="1">
        <f t="array" ref="K163">_xlfn.IFS('ProductSprint Backlog'!$F163="", "", AND('ProductSprint Backlog'!$J163&gt;K$2,'ProductSprint Backlog'!$I163&lt;=K$2), 'ProductSprint Backlog'!$F163 / MAX(1, 'ProductSprint Backlog'!$J163-'ProductSprint Backlog'!$I163), AND('ProductSprint Backlog'!$J163=K$2,'ProductSprint Backlog'!$I163=K$2), 'ProductSprint Backlog'!$F163, TRUE, 0)</f>
        <v>0.16666666666666666</v>
      </c>
      <c r="L163" s="4" cm="1">
        <f t="array" ref="L163">_xlfn.IFS('ProductSprint Backlog'!$F163="", "", AND('ProductSprint Backlog'!$J163&gt;L$2,'ProductSprint Backlog'!$I163&lt;=L$2), 'ProductSprint Backlog'!$F163 / MAX(1, 'ProductSprint Backlog'!$J163-'ProductSprint Backlog'!$I163), AND('ProductSprint Backlog'!$J163=L$2,'ProductSprint Backlog'!$I163=L$2), 'ProductSprint Backlog'!$F163, TRUE, 0)</f>
        <v>0.16666666666666666</v>
      </c>
      <c r="M163" s="4" cm="1">
        <f t="array" ref="M163">_xlfn.IFS('ProductSprint Backlog'!$F163="", "", AND('ProductSprint Backlog'!$J163&gt;M$2,'ProductSprint Backlog'!$I163&lt;=M$2), 'ProductSprint Backlog'!$F163 / MAX(1, 'ProductSprint Backlog'!$J163-'ProductSprint Backlog'!$I163), AND('ProductSprint Backlog'!$J163=M$2,'ProductSprint Backlog'!$I163=M$2), 'ProductSprint Backlog'!$F163, TRUE, 0)</f>
        <v>0.16666666666666666</v>
      </c>
      <c r="N163" s="4" cm="1">
        <f t="array" ref="N163">_xlfn.IFS('ProductSprint Backlog'!$F163="", "", AND('ProductSprint Backlog'!$J163&gt;N$2,'ProductSprint Backlog'!$I163&lt;=N$2), 'ProductSprint Backlog'!$F163 / MAX(1, 'ProductSprint Backlog'!$J163-'ProductSprint Backlog'!$I163), AND('ProductSprint Backlog'!$J163=N$2,'ProductSprint Backlog'!$I163=N$2), 'ProductSprint Backlog'!$F163, TRUE, 0)</f>
        <v>0.16666666666666666</v>
      </c>
      <c r="O163" s="4" cm="1">
        <f t="array" ref="O163">_xlfn.IFS('ProductSprint Backlog'!$F163="", "", AND('ProductSprint Backlog'!$J163&gt;O$2,'ProductSprint Backlog'!$I163&lt;=O$2), 'ProductSprint Backlog'!$F163 / MAX(1, 'ProductSprint Backlog'!$J163-'ProductSprint Backlog'!$I163), AND('ProductSprint Backlog'!$J163=O$2,'ProductSprint Backlog'!$I163=O$2), 'ProductSprint Backlog'!$F163, TRUE, 0)</f>
        <v>0</v>
      </c>
      <c r="P163" s="4" cm="1">
        <f t="array" ref="P163">_xlfn.IFS('ProductSprint Backlog'!$F163="", "", AND('ProductSprint Backlog'!$J163&gt;P$2,'ProductSprint Backlog'!$I163&lt;=P$2), 'ProductSprint Backlog'!$F163 / MAX(1, 'ProductSprint Backlog'!$J163-'ProductSprint Backlog'!$I163), AND('ProductSprint Backlog'!$J163=P$2,'ProductSprint Backlog'!$I163=P$2), 'ProductSprint Backlog'!$F163, TRUE, 0)</f>
        <v>0</v>
      </c>
      <c r="Q163" s="4" cm="1">
        <f t="array" ref="Q163">_xlfn.IFS('ProductSprint Backlog'!$F163="", "", AND('ProductSprint Backlog'!$J163&gt;Q$2,'ProductSprint Backlog'!$I163&lt;=Q$2), 'ProductSprint Backlog'!$F163 / MAX(1, 'ProductSprint Backlog'!$J163-'ProductSprint Backlog'!$I163), AND('ProductSprint Backlog'!$J163=Q$2,'ProductSprint Backlog'!$I163=Q$2), 'ProductSprint Backlog'!$F163, TRUE, 0)</f>
        <v>0</v>
      </c>
      <c r="R163" s="4" cm="1">
        <f t="array" ref="R163">_xlfn.IFS('ProductSprint Backlog'!$F163="", "", AND('ProductSprint Backlog'!$J163&gt;R$2,'ProductSprint Backlog'!$I163&lt;=R$2), 'ProductSprint Backlog'!$F163 / MAX(1, 'ProductSprint Backlog'!$J163-'ProductSprint Backlog'!$I163), AND('ProductSprint Backlog'!$J163=R$2,'ProductSprint Backlog'!$I163=R$2), 'ProductSprint Backlog'!$F163, TRUE, 0)</f>
        <v>0</v>
      </c>
      <c r="S163" s="4" cm="1">
        <f t="array" ref="S163">_xlfn.IFS('ProductSprint Backlog'!$F163="", "", AND('ProductSprint Backlog'!$J163&gt;S$2,'ProductSprint Backlog'!$I163&lt;=S$2), 'ProductSprint Backlog'!$F163 / MAX(1, 'ProductSprint Backlog'!$J163-'ProductSprint Backlog'!$I163), AND('ProductSprint Backlog'!$J163=S$2,'ProductSprint Backlog'!$I163=S$2), 'ProductSprint Backlog'!$F163, TRUE, 0)</f>
        <v>0</v>
      </c>
      <c r="T163" s="4" cm="1">
        <f t="array" ref="T163">_xlfn.IFS('ProductSprint Backlog'!$F163="", "", AND('ProductSprint Backlog'!$J163&gt;T$2,'ProductSprint Backlog'!$I163&lt;=T$2), 'ProductSprint Backlog'!$F163 / MAX(1, 'ProductSprint Backlog'!$J163-'ProductSprint Backlog'!$I163), AND('ProductSprint Backlog'!$J163=T$2,'ProductSprint Backlog'!$I163=T$2), 'ProductSprint Backlog'!$F163, TRUE, 0)</f>
        <v>0</v>
      </c>
    </row>
    <row r="164" spans="2:20" x14ac:dyDescent="0.2">
      <c r="B164" s="4" cm="1">
        <f t="array" ref="B164">_xlfn.IFS('ProductSprint Backlog'!$F164="", "", AND('ProductSprint Backlog'!$J164&gt;B$2,'ProductSprint Backlog'!$I164&lt;=B$2), 'ProductSprint Backlog'!$F164 / MAX(1, 'ProductSprint Backlog'!$J164-'ProductSprint Backlog'!$I164), AND('ProductSprint Backlog'!$J164=B$2,'ProductSprint Backlog'!$I164=B$2), 'ProductSprint Backlog'!$F164, TRUE, 0)</f>
        <v>0</v>
      </c>
      <c r="C164" s="4" cm="1">
        <f t="array" ref="C164">_xlfn.IFS('ProductSprint Backlog'!$F164="", "", AND('ProductSprint Backlog'!$J164&gt;C$2,'ProductSprint Backlog'!$I164&lt;=C$2), 'ProductSprint Backlog'!$F164 / MAX(1, 'ProductSprint Backlog'!$J164-'ProductSprint Backlog'!$I164), AND('ProductSprint Backlog'!$J164=C$2,'ProductSprint Backlog'!$I164=C$2), 'ProductSprint Backlog'!$F164, TRUE, 0)</f>
        <v>0</v>
      </c>
      <c r="D164" s="4" cm="1">
        <f t="array" ref="D164">_xlfn.IFS('ProductSprint Backlog'!$F164="", "", AND('ProductSprint Backlog'!$J164&gt;D$2,'ProductSprint Backlog'!$I164&lt;=D$2), 'ProductSprint Backlog'!$F164 / MAX(1, 'ProductSprint Backlog'!$J164-'ProductSprint Backlog'!$I164), AND('ProductSprint Backlog'!$J164=D$2,'ProductSprint Backlog'!$I164=D$2), 'ProductSprint Backlog'!$F164, TRUE, 0)</f>
        <v>0</v>
      </c>
      <c r="E164" s="4" cm="1">
        <f t="array" ref="E164">_xlfn.IFS('ProductSprint Backlog'!$F164="", "", AND('ProductSprint Backlog'!$J164&gt;E$2,'ProductSprint Backlog'!$I164&lt;=E$2), 'ProductSprint Backlog'!$F164 / MAX(1, 'ProductSprint Backlog'!$J164-'ProductSprint Backlog'!$I164), AND('ProductSprint Backlog'!$J164=E$2,'ProductSprint Backlog'!$I164=E$2), 'ProductSprint Backlog'!$F164, TRUE, 0)</f>
        <v>0</v>
      </c>
      <c r="F164" s="4" cm="1">
        <f t="array" ref="F164">_xlfn.IFS('ProductSprint Backlog'!$F164="", "", AND('ProductSprint Backlog'!$J164&gt;F$2,'ProductSprint Backlog'!$I164&lt;=F$2), 'ProductSprint Backlog'!$F164 / MAX(1, 'ProductSprint Backlog'!$J164-'ProductSprint Backlog'!$I164), AND('ProductSprint Backlog'!$J164=F$2,'ProductSprint Backlog'!$I164=F$2), 'ProductSprint Backlog'!$F164, TRUE, 0)</f>
        <v>0</v>
      </c>
      <c r="G164" s="4" cm="1">
        <f t="array" ref="G164">_xlfn.IFS('ProductSprint Backlog'!$F164="", "", AND('ProductSprint Backlog'!$J164&gt;G$2,'ProductSprint Backlog'!$I164&lt;=G$2), 'ProductSprint Backlog'!$F164 / MAX(1, 'ProductSprint Backlog'!$J164-'ProductSprint Backlog'!$I164), AND('ProductSprint Backlog'!$J164=G$2,'ProductSprint Backlog'!$I164=G$2), 'ProductSprint Backlog'!$F164, TRUE, 0)</f>
        <v>0</v>
      </c>
      <c r="H164" s="4" cm="1">
        <f t="array" ref="H164">_xlfn.IFS('ProductSprint Backlog'!$F164="", "", AND('ProductSprint Backlog'!$J164&gt;H$2,'ProductSprint Backlog'!$I164&lt;=H$2), 'ProductSprint Backlog'!$F164 / MAX(1, 'ProductSprint Backlog'!$J164-'ProductSprint Backlog'!$I164), AND('ProductSprint Backlog'!$J164=H$2,'ProductSprint Backlog'!$I164=H$2), 'ProductSprint Backlog'!$F164, TRUE, 0)</f>
        <v>0</v>
      </c>
      <c r="I164" s="4" cm="1">
        <f t="array" ref="I164">_xlfn.IFS('ProductSprint Backlog'!$F164="", "", AND('ProductSprint Backlog'!$J164&gt;I$2,'ProductSprint Backlog'!$I164&lt;=I$2), 'ProductSprint Backlog'!$F164 / MAX(1, 'ProductSprint Backlog'!$J164-'ProductSprint Backlog'!$I164), AND('ProductSprint Backlog'!$J164=I$2,'ProductSprint Backlog'!$I164=I$2), 'ProductSprint Backlog'!$F164, TRUE, 0)</f>
        <v>0</v>
      </c>
      <c r="J164" s="4" cm="1">
        <f t="array" ref="J164">_xlfn.IFS('ProductSprint Backlog'!$F164="", "", AND('ProductSprint Backlog'!$J164&gt;J$2,'ProductSprint Backlog'!$I164&lt;=J$2), 'ProductSprint Backlog'!$F164 / MAX(1, 'ProductSprint Backlog'!$J164-'ProductSprint Backlog'!$I164), AND('ProductSprint Backlog'!$J164=J$2,'ProductSprint Backlog'!$I164=J$2), 'ProductSprint Backlog'!$F164, TRUE, 0)</f>
        <v>0</v>
      </c>
      <c r="K164" s="4" cm="1">
        <f t="array" ref="K164">_xlfn.IFS('ProductSprint Backlog'!$F164="", "", AND('ProductSprint Backlog'!$J164&gt;K$2,'ProductSprint Backlog'!$I164&lt;=K$2), 'ProductSprint Backlog'!$F164 / MAX(1, 'ProductSprint Backlog'!$J164-'ProductSprint Backlog'!$I164), AND('ProductSprint Backlog'!$J164=K$2,'ProductSprint Backlog'!$I164=K$2), 'ProductSprint Backlog'!$F164, TRUE, 0)</f>
        <v>0</v>
      </c>
      <c r="L164" s="4" cm="1">
        <f t="array" ref="L164">_xlfn.IFS('ProductSprint Backlog'!$F164="", "", AND('ProductSprint Backlog'!$J164&gt;L$2,'ProductSprint Backlog'!$I164&lt;=L$2), 'ProductSprint Backlog'!$F164 / MAX(1, 'ProductSprint Backlog'!$J164-'ProductSprint Backlog'!$I164), AND('ProductSprint Backlog'!$J164=L$2,'ProductSprint Backlog'!$I164=L$2), 'ProductSprint Backlog'!$F164, TRUE, 0)</f>
        <v>0</v>
      </c>
      <c r="M164" s="4" cm="1">
        <f t="array" ref="M164">_xlfn.IFS('ProductSprint Backlog'!$F164="", "", AND('ProductSprint Backlog'!$J164&gt;M$2,'ProductSprint Backlog'!$I164&lt;=M$2), 'ProductSprint Backlog'!$F164 / MAX(1, 'ProductSprint Backlog'!$J164-'ProductSprint Backlog'!$I164), AND('ProductSprint Backlog'!$J164=M$2,'ProductSprint Backlog'!$I164=M$2), 'ProductSprint Backlog'!$F164, TRUE, 0)</f>
        <v>0</v>
      </c>
      <c r="N164" s="4" cm="1">
        <f t="array" ref="N164">_xlfn.IFS('ProductSprint Backlog'!$F164="", "", AND('ProductSprint Backlog'!$J164&gt;N$2,'ProductSprint Backlog'!$I164&lt;=N$2), 'ProductSprint Backlog'!$F164 / MAX(1, 'ProductSprint Backlog'!$J164-'ProductSprint Backlog'!$I164), AND('ProductSprint Backlog'!$J164=N$2,'ProductSprint Backlog'!$I164=N$2), 'ProductSprint Backlog'!$F164, TRUE, 0)</f>
        <v>0.33333333333333331</v>
      </c>
      <c r="O164" s="4" cm="1">
        <f t="array" ref="O164">_xlfn.IFS('ProductSprint Backlog'!$F164="", "", AND('ProductSprint Backlog'!$J164&gt;O$2,'ProductSprint Backlog'!$I164&lt;=O$2), 'ProductSprint Backlog'!$F164 / MAX(1, 'ProductSprint Backlog'!$J164-'ProductSprint Backlog'!$I164), AND('ProductSprint Backlog'!$J164=O$2,'ProductSprint Backlog'!$I164=O$2), 'ProductSprint Backlog'!$F164, TRUE, 0)</f>
        <v>0.33333333333333331</v>
      </c>
      <c r="P164" s="4" cm="1">
        <f t="array" ref="P164">_xlfn.IFS('ProductSprint Backlog'!$F164="", "", AND('ProductSprint Backlog'!$J164&gt;P$2,'ProductSprint Backlog'!$I164&lt;=P$2), 'ProductSprint Backlog'!$F164 / MAX(1, 'ProductSprint Backlog'!$J164-'ProductSprint Backlog'!$I164), AND('ProductSprint Backlog'!$J164=P$2,'ProductSprint Backlog'!$I164=P$2), 'ProductSprint Backlog'!$F164, TRUE, 0)</f>
        <v>0.33333333333333331</v>
      </c>
      <c r="Q164" s="4" cm="1">
        <f t="array" ref="Q164">_xlfn.IFS('ProductSprint Backlog'!$F164="", "", AND('ProductSprint Backlog'!$J164&gt;Q$2,'ProductSprint Backlog'!$I164&lt;=Q$2), 'ProductSprint Backlog'!$F164 / MAX(1, 'ProductSprint Backlog'!$J164-'ProductSprint Backlog'!$I164), AND('ProductSprint Backlog'!$J164=Q$2,'ProductSprint Backlog'!$I164=Q$2), 'ProductSprint Backlog'!$F164, TRUE, 0)</f>
        <v>0</v>
      </c>
      <c r="R164" s="4" cm="1">
        <f t="array" ref="R164">_xlfn.IFS('ProductSprint Backlog'!$F164="", "", AND('ProductSprint Backlog'!$J164&gt;R$2,'ProductSprint Backlog'!$I164&lt;=R$2), 'ProductSprint Backlog'!$F164 / MAX(1, 'ProductSprint Backlog'!$J164-'ProductSprint Backlog'!$I164), AND('ProductSprint Backlog'!$J164=R$2,'ProductSprint Backlog'!$I164=R$2), 'ProductSprint Backlog'!$F164, TRUE, 0)</f>
        <v>0</v>
      </c>
      <c r="S164" s="4" cm="1">
        <f t="array" ref="S164">_xlfn.IFS('ProductSprint Backlog'!$F164="", "", AND('ProductSprint Backlog'!$J164&gt;S$2,'ProductSprint Backlog'!$I164&lt;=S$2), 'ProductSprint Backlog'!$F164 / MAX(1, 'ProductSprint Backlog'!$J164-'ProductSprint Backlog'!$I164), AND('ProductSprint Backlog'!$J164=S$2,'ProductSprint Backlog'!$I164=S$2), 'ProductSprint Backlog'!$F164, TRUE, 0)</f>
        <v>0</v>
      </c>
      <c r="T164" s="4" cm="1">
        <f t="array" ref="T164">_xlfn.IFS('ProductSprint Backlog'!$F164="", "", AND('ProductSprint Backlog'!$J164&gt;T$2,'ProductSprint Backlog'!$I164&lt;=T$2), 'ProductSprint Backlog'!$F164 / MAX(1, 'ProductSprint Backlog'!$J164-'ProductSprint Backlog'!$I164), AND('ProductSprint Backlog'!$J164=T$2,'ProductSprint Backlog'!$I164=T$2), 'ProductSprint Backlog'!$F164, TRUE, 0)</f>
        <v>0</v>
      </c>
    </row>
    <row r="165" spans="2:20" x14ac:dyDescent="0.2">
      <c r="B165" s="4" cm="1">
        <f t="array" ref="B165">_xlfn.IFS('ProductSprint Backlog'!$F165="", "", AND('ProductSprint Backlog'!$J165&gt;B$2,'ProductSprint Backlog'!$I165&lt;=B$2), 'ProductSprint Backlog'!$F165 / MAX(1, 'ProductSprint Backlog'!$J165-'ProductSprint Backlog'!$I165), AND('ProductSprint Backlog'!$J165=B$2,'ProductSprint Backlog'!$I165=B$2), 'ProductSprint Backlog'!$F165, TRUE, 0)</f>
        <v>0</v>
      </c>
      <c r="C165" s="4" cm="1">
        <f t="array" ref="C165">_xlfn.IFS('ProductSprint Backlog'!$F165="", "", AND('ProductSprint Backlog'!$J165&gt;C$2,'ProductSprint Backlog'!$I165&lt;=C$2), 'ProductSprint Backlog'!$F165 / MAX(1, 'ProductSprint Backlog'!$J165-'ProductSprint Backlog'!$I165), AND('ProductSprint Backlog'!$J165=C$2,'ProductSprint Backlog'!$I165=C$2), 'ProductSprint Backlog'!$F165, TRUE, 0)</f>
        <v>0</v>
      </c>
      <c r="D165" s="4" cm="1">
        <f t="array" ref="D165">_xlfn.IFS('ProductSprint Backlog'!$F165="", "", AND('ProductSprint Backlog'!$J165&gt;D$2,'ProductSprint Backlog'!$I165&lt;=D$2), 'ProductSprint Backlog'!$F165 / MAX(1, 'ProductSprint Backlog'!$J165-'ProductSprint Backlog'!$I165), AND('ProductSprint Backlog'!$J165=D$2,'ProductSprint Backlog'!$I165=D$2), 'ProductSprint Backlog'!$F165, TRUE, 0)</f>
        <v>0</v>
      </c>
      <c r="E165" s="4" cm="1">
        <f t="array" ref="E165">_xlfn.IFS('ProductSprint Backlog'!$F165="", "", AND('ProductSprint Backlog'!$J165&gt;E$2,'ProductSprint Backlog'!$I165&lt;=E$2), 'ProductSprint Backlog'!$F165 / MAX(1, 'ProductSprint Backlog'!$J165-'ProductSprint Backlog'!$I165), AND('ProductSprint Backlog'!$J165=E$2,'ProductSprint Backlog'!$I165=E$2), 'ProductSprint Backlog'!$F165, TRUE, 0)</f>
        <v>0</v>
      </c>
      <c r="F165" s="4" cm="1">
        <f t="array" ref="F165">_xlfn.IFS('ProductSprint Backlog'!$F165="", "", AND('ProductSprint Backlog'!$J165&gt;F$2,'ProductSprint Backlog'!$I165&lt;=F$2), 'ProductSprint Backlog'!$F165 / MAX(1, 'ProductSprint Backlog'!$J165-'ProductSprint Backlog'!$I165), AND('ProductSprint Backlog'!$J165=F$2,'ProductSprint Backlog'!$I165=F$2), 'ProductSprint Backlog'!$F165, TRUE, 0)</f>
        <v>0</v>
      </c>
      <c r="G165" s="4" cm="1">
        <f t="array" ref="G165">_xlfn.IFS('ProductSprint Backlog'!$F165="", "", AND('ProductSprint Backlog'!$J165&gt;G$2,'ProductSprint Backlog'!$I165&lt;=G$2), 'ProductSprint Backlog'!$F165 / MAX(1, 'ProductSprint Backlog'!$J165-'ProductSprint Backlog'!$I165), AND('ProductSprint Backlog'!$J165=G$2,'ProductSprint Backlog'!$I165=G$2), 'ProductSprint Backlog'!$F165, TRUE, 0)</f>
        <v>0</v>
      </c>
      <c r="H165" s="4" cm="1">
        <f t="array" ref="H165">_xlfn.IFS('ProductSprint Backlog'!$F165="", "", AND('ProductSprint Backlog'!$J165&gt;H$2,'ProductSprint Backlog'!$I165&lt;=H$2), 'ProductSprint Backlog'!$F165 / MAX(1, 'ProductSprint Backlog'!$J165-'ProductSprint Backlog'!$I165), AND('ProductSprint Backlog'!$J165=H$2,'ProductSprint Backlog'!$I165=H$2), 'ProductSprint Backlog'!$F165, TRUE, 0)</f>
        <v>0</v>
      </c>
      <c r="I165" s="4" cm="1">
        <f t="array" ref="I165">_xlfn.IFS('ProductSprint Backlog'!$F165="", "", AND('ProductSprint Backlog'!$J165&gt;I$2,'ProductSprint Backlog'!$I165&lt;=I$2), 'ProductSprint Backlog'!$F165 / MAX(1, 'ProductSprint Backlog'!$J165-'ProductSprint Backlog'!$I165), AND('ProductSprint Backlog'!$J165=I$2,'ProductSprint Backlog'!$I165=I$2), 'ProductSprint Backlog'!$F165, TRUE, 0)</f>
        <v>0</v>
      </c>
      <c r="J165" s="4" cm="1">
        <f t="array" ref="J165">_xlfn.IFS('ProductSprint Backlog'!$F165="", "", AND('ProductSprint Backlog'!$J165&gt;J$2,'ProductSprint Backlog'!$I165&lt;=J$2), 'ProductSprint Backlog'!$F165 / MAX(1, 'ProductSprint Backlog'!$J165-'ProductSprint Backlog'!$I165), AND('ProductSprint Backlog'!$J165=J$2,'ProductSprint Backlog'!$I165=J$2), 'ProductSprint Backlog'!$F165, TRUE, 0)</f>
        <v>0</v>
      </c>
      <c r="K165" s="4" cm="1">
        <f t="array" ref="K165">_xlfn.IFS('ProductSprint Backlog'!$F165="", "", AND('ProductSprint Backlog'!$J165&gt;K$2,'ProductSprint Backlog'!$I165&lt;=K$2), 'ProductSprint Backlog'!$F165 / MAX(1, 'ProductSprint Backlog'!$J165-'ProductSprint Backlog'!$I165), AND('ProductSprint Backlog'!$J165=K$2,'ProductSprint Backlog'!$I165=K$2), 'ProductSprint Backlog'!$F165, TRUE, 0)</f>
        <v>0</v>
      </c>
      <c r="L165" s="4" cm="1">
        <f t="array" ref="L165">_xlfn.IFS('ProductSprint Backlog'!$F165="", "", AND('ProductSprint Backlog'!$J165&gt;L$2,'ProductSprint Backlog'!$I165&lt;=L$2), 'ProductSprint Backlog'!$F165 / MAX(1, 'ProductSprint Backlog'!$J165-'ProductSprint Backlog'!$I165), AND('ProductSprint Backlog'!$J165=L$2,'ProductSprint Backlog'!$I165=L$2), 'ProductSprint Backlog'!$F165, TRUE, 0)</f>
        <v>0</v>
      </c>
      <c r="M165" s="4" cm="1">
        <f t="array" ref="M165">_xlfn.IFS('ProductSprint Backlog'!$F165="", "", AND('ProductSprint Backlog'!$J165&gt;M$2,'ProductSprint Backlog'!$I165&lt;=M$2), 'ProductSprint Backlog'!$F165 / MAX(1, 'ProductSprint Backlog'!$J165-'ProductSprint Backlog'!$I165), AND('ProductSprint Backlog'!$J165=M$2,'ProductSprint Backlog'!$I165=M$2), 'ProductSprint Backlog'!$F165, TRUE, 0)</f>
        <v>0</v>
      </c>
      <c r="N165" s="4" cm="1">
        <f t="array" ref="N165">_xlfn.IFS('ProductSprint Backlog'!$F165="", "", AND('ProductSprint Backlog'!$J165&gt;N$2,'ProductSprint Backlog'!$I165&lt;=N$2), 'ProductSprint Backlog'!$F165 / MAX(1, 'ProductSprint Backlog'!$J165-'ProductSprint Backlog'!$I165), AND('ProductSprint Backlog'!$J165=N$2,'ProductSprint Backlog'!$I165=N$2), 'ProductSprint Backlog'!$F165, TRUE, 0)</f>
        <v>0.66666666666666663</v>
      </c>
      <c r="O165" s="4" cm="1">
        <f t="array" ref="O165">_xlfn.IFS('ProductSprint Backlog'!$F165="", "", AND('ProductSprint Backlog'!$J165&gt;O$2,'ProductSprint Backlog'!$I165&lt;=O$2), 'ProductSprint Backlog'!$F165 / MAX(1, 'ProductSprint Backlog'!$J165-'ProductSprint Backlog'!$I165), AND('ProductSprint Backlog'!$J165=O$2,'ProductSprint Backlog'!$I165=O$2), 'ProductSprint Backlog'!$F165, TRUE, 0)</f>
        <v>0.66666666666666663</v>
      </c>
      <c r="P165" s="4" cm="1">
        <f t="array" ref="P165">_xlfn.IFS('ProductSprint Backlog'!$F165="", "", AND('ProductSprint Backlog'!$J165&gt;P$2,'ProductSprint Backlog'!$I165&lt;=P$2), 'ProductSprint Backlog'!$F165 / MAX(1, 'ProductSprint Backlog'!$J165-'ProductSprint Backlog'!$I165), AND('ProductSprint Backlog'!$J165=P$2,'ProductSprint Backlog'!$I165=P$2), 'ProductSprint Backlog'!$F165, TRUE, 0)</f>
        <v>0.66666666666666663</v>
      </c>
      <c r="Q165" s="4" cm="1">
        <f t="array" ref="Q165">_xlfn.IFS('ProductSprint Backlog'!$F165="", "", AND('ProductSprint Backlog'!$J165&gt;Q$2,'ProductSprint Backlog'!$I165&lt;=Q$2), 'ProductSprint Backlog'!$F165 / MAX(1, 'ProductSprint Backlog'!$J165-'ProductSprint Backlog'!$I165), AND('ProductSprint Backlog'!$J165=Q$2,'ProductSprint Backlog'!$I165=Q$2), 'ProductSprint Backlog'!$F165, TRUE, 0)</f>
        <v>0</v>
      </c>
      <c r="R165" s="4" cm="1">
        <f t="array" ref="R165">_xlfn.IFS('ProductSprint Backlog'!$F165="", "", AND('ProductSprint Backlog'!$J165&gt;R$2,'ProductSprint Backlog'!$I165&lt;=R$2), 'ProductSprint Backlog'!$F165 / MAX(1, 'ProductSprint Backlog'!$J165-'ProductSprint Backlog'!$I165), AND('ProductSprint Backlog'!$J165=R$2,'ProductSprint Backlog'!$I165=R$2), 'ProductSprint Backlog'!$F165, TRUE, 0)</f>
        <v>0</v>
      </c>
      <c r="S165" s="4" cm="1">
        <f t="array" ref="S165">_xlfn.IFS('ProductSprint Backlog'!$F165="", "", AND('ProductSprint Backlog'!$J165&gt;S$2,'ProductSprint Backlog'!$I165&lt;=S$2), 'ProductSprint Backlog'!$F165 / MAX(1, 'ProductSprint Backlog'!$J165-'ProductSprint Backlog'!$I165), AND('ProductSprint Backlog'!$J165=S$2,'ProductSprint Backlog'!$I165=S$2), 'ProductSprint Backlog'!$F165, TRUE, 0)</f>
        <v>0</v>
      </c>
      <c r="T165" s="4" cm="1">
        <f t="array" ref="T165">_xlfn.IFS('ProductSprint Backlog'!$F165="", "", AND('ProductSprint Backlog'!$J165&gt;T$2,'ProductSprint Backlog'!$I165&lt;=T$2), 'ProductSprint Backlog'!$F165 / MAX(1, 'ProductSprint Backlog'!$J165-'ProductSprint Backlog'!$I165), AND('ProductSprint Backlog'!$J165=T$2,'ProductSprint Backlog'!$I165=T$2), 'ProductSprint Backlog'!$F165, TRUE, 0)</f>
        <v>0</v>
      </c>
    </row>
    <row r="166" spans="2:20" x14ac:dyDescent="0.2">
      <c r="B166" s="4" cm="1">
        <f t="array" ref="B166">_xlfn.IFS('ProductSprint Backlog'!$F166="", "", AND('ProductSprint Backlog'!$J166&gt;B$2,'ProductSprint Backlog'!$I166&lt;=B$2), 'ProductSprint Backlog'!$F166 / MAX(1, 'ProductSprint Backlog'!$J166-'ProductSprint Backlog'!$I166), AND('ProductSprint Backlog'!$J166=B$2,'ProductSprint Backlog'!$I166=B$2), 'ProductSprint Backlog'!$F166, TRUE, 0)</f>
        <v>0</v>
      </c>
      <c r="C166" s="4" cm="1">
        <f t="array" ref="C166">_xlfn.IFS('ProductSprint Backlog'!$F166="", "", AND('ProductSprint Backlog'!$J166&gt;C$2,'ProductSprint Backlog'!$I166&lt;=C$2), 'ProductSprint Backlog'!$F166 / MAX(1, 'ProductSprint Backlog'!$J166-'ProductSprint Backlog'!$I166), AND('ProductSprint Backlog'!$J166=C$2,'ProductSprint Backlog'!$I166=C$2), 'ProductSprint Backlog'!$F166, TRUE, 0)</f>
        <v>0</v>
      </c>
      <c r="D166" s="4" cm="1">
        <f t="array" ref="D166">_xlfn.IFS('ProductSprint Backlog'!$F166="", "", AND('ProductSprint Backlog'!$J166&gt;D$2,'ProductSprint Backlog'!$I166&lt;=D$2), 'ProductSprint Backlog'!$F166 / MAX(1, 'ProductSprint Backlog'!$J166-'ProductSprint Backlog'!$I166), AND('ProductSprint Backlog'!$J166=D$2,'ProductSprint Backlog'!$I166=D$2), 'ProductSprint Backlog'!$F166, TRUE, 0)</f>
        <v>0</v>
      </c>
      <c r="E166" s="4" cm="1">
        <f t="array" ref="E166">_xlfn.IFS('ProductSprint Backlog'!$F166="", "", AND('ProductSprint Backlog'!$J166&gt;E$2,'ProductSprint Backlog'!$I166&lt;=E$2), 'ProductSprint Backlog'!$F166 / MAX(1, 'ProductSprint Backlog'!$J166-'ProductSprint Backlog'!$I166), AND('ProductSprint Backlog'!$J166=E$2,'ProductSprint Backlog'!$I166=E$2), 'ProductSprint Backlog'!$F166, TRUE, 0)</f>
        <v>0</v>
      </c>
      <c r="F166" s="4" cm="1">
        <f t="array" ref="F166">_xlfn.IFS('ProductSprint Backlog'!$F166="", "", AND('ProductSprint Backlog'!$J166&gt;F$2,'ProductSprint Backlog'!$I166&lt;=F$2), 'ProductSprint Backlog'!$F166 / MAX(1, 'ProductSprint Backlog'!$J166-'ProductSprint Backlog'!$I166), AND('ProductSprint Backlog'!$J166=F$2,'ProductSprint Backlog'!$I166=F$2), 'ProductSprint Backlog'!$F166, TRUE, 0)</f>
        <v>0</v>
      </c>
      <c r="G166" s="4" cm="1">
        <f t="array" ref="G166">_xlfn.IFS('ProductSprint Backlog'!$F166="", "", AND('ProductSprint Backlog'!$J166&gt;G$2,'ProductSprint Backlog'!$I166&lt;=G$2), 'ProductSprint Backlog'!$F166 / MAX(1, 'ProductSprint Backlog'!$J166-'ProductSprint Backlog'!$I166), AND('ProductSprint Backlog'!$J166=G$2,'ProductSprint Backlog'!$I166=G$2), 'ProductSprint Backlog'!$F166, TRUE, 0)</f>
        <v>0</v>
      </c>
      <c r="H166" s="4" cm="1">
        <f t="array" ref="H166">_xlfn.IFS('ProductSprint Backlog'!$F166="", "", AND('ProductSprint Backlog'!$J166&gt;H$2,'ProductSprint Backlog'!$I166&lt;=H$2), 'ProductSprint Backlog'!$F166 / MAX(1, 'ProductSprint Backlog'!$J166-'ProductSprint Backlog'!$I166), AND('ProductSprint Backlog'!$J166=H$2,'ProductSprint Backlog'!$I166=H$2), 'ProductSprint Backlog'!$F166, TRUE, 0)</f>
        <v>0</v>
      </c>
      <c r="I166" s="4" cm="1">
        <f t="array" ref="I166">_xlfn.IFS('ProductSprint Backlog'!$F166="", "", AND('ProductSprint Backlog'!$J166&gt;I$2,'ProductSprint Backlog'!$I166&lt;=I$2), 'ProductSprint Backlog'!$F166 / MAX(1, 'ProductSprint Backlog'!$J166-'ProductSprint Backlog'!$I166), AND('ProductSprint Backlog'!$J166=I$2,'ProductSprint Backlog'!$I166=I$2), 'ProductSprint Backlog'!$F166, TRUE, 0)</f>
        <v>0</v>
      </c>
      <c r="J166" s="4" cm="1">
        <f t="array" ref="J166">_xlfn.IFS('ProductSprint Backlog'!$F166="", "", AND('ProductSprint Backlog'!$J166&gt;J$2,'ProductSprint Backlog'!$I166&lt;=J$2), 'ProductSprint Backlog'!$F166 / MAX(1, 'ProductSprint Backlog'!$J166-'ProductSprint Backlog'!$I166), AND('ProductSprint Backlog'!$J166=J$2,'ProductSprint Backlog'!$I166=J$2), 'ProductSprint Backlog'!$F166, TRUE, 0)</f>
        <v>0</v>
      </c>
      <c r="K166" s="4" cm="1">
        <f t="array" ref="K166">_xlfn.IFS('ProductSprint Backlog'!$F166="", "", AND('ProductSprint Backlog'!$J166&gt;K$2,'ProductSprint Backlog'!$I166&lt;=K$2), 'ProductSprint Backlog'!$F166 / MAX(1, 'ProductSprint Backlog'!$J166-'ProductSprint Backlog'!$I166), AND('ProductSprint Backlog'!$J166=K$2,'ProductSprint Backlog'!$I166=K$2), 'ProductSprint Backlog'!$F166, TRUE, 0)</f>
        <v>0</v>
      </c>
      <c r="L166" s="4" cm="1">
        <f t="array" ref="L166">_xlfn.IFS('ProductSprint Backlog'!$F166="", "", AND('ProductSprint Backlog'!$J166&gt;L$2,'ProductSprint Backlog'!$I166&lt;=L$2), 'ProductSprint Backlog'!$F166 / MAX(1, 'ProductSprint Backlog'!$J166-'ProductSprint Backlog'!$I166), AND('ProductSprint Backlog'!$J166=L$2,'ProductSprint Backlog'!$I166=L$2), 'ProductSprint Backlog'!$F166, TRUE, 0)</f>
        <v>0</v>
      </c>
      <c r="M166" s="4" cm="1">
        <f t="array" ref="M166">_xlfn.IFS('ProductSprint Backlog'!$F166="", "", AND('ProductSprint Backlog'!$J166&gt;M$2,'ProductSprint Backlog'!$I166&lt;=M$2), 'ProductSprint Backlog'!$F166 / MAX(1, 'ProductSprint Backlog'!$J166-'ProductSprint Backlog'!$I166), AND('ProductSprint Backlog'!$J166=M$2,'ProductSprint Backlog'!$I166=M$2), 'ProductSprint Backlog'!$F166, TRUE, 0)</f>
        <v>0</v>
      </c>
      <c r="N166" s="4" cm="1">
        <f t="array" ref="N166">_xlfn.IFS('ProductSprint Backlog'!$F166="", "", AND('ProductSprint Backlog'!$J166&gt;N$2,'ProductSprint Backlog'!$I166&lt;=N$2), 'ProductSprint Backlog'!$F166 / MAX(1, 'ProductSprint Backlog'!$J166-'ProductSprint Backlog'!$I166), AND('ProductSprint Backlog'!$J166=N$2,'ProductSprint Backlog'!$I166=N$2), 'ProductSprint Backlog'!$F166, TRUE, 0)</f>
        <v>0.66666666666666663</v>
      </c>
      <c r="O166" s="4" cm="1">
        <f t="array" ref="O166">_xlfn.IFS('ProductSprint Backlog'!$F166="", "", AND('ProductSprint Backlog'!$J166&gt;O$2,'ProductSprint Backlog'!$I166&lt;=O$2), 'ProductSprint Backlog'!$F166 / MAX(1, 'ProductSprint Backlog'!$J166-'ProductSprint Backlog'!$I166), AND('ProductSprint Backlog'!$J166=O$2,'ProductSprint Backlog'!$I166=O$2), 'ProductSprint Backlog'!$F166, TRUE, 0)</f>
        <v>0.66666666666666663</v>
      </c>
      <c r="P166" s="4" cm="1">
        <f t="array" ref="P166">_xlfn.IFS('ProductSprint Backlog'!$F166="", "", AND('ProductSprint Backlog'!$J166&gt;P$2,'ProductSprint Backlog'!$I166&lt;=P$2), 'ProductSprint Backlog'!$F166 / MAX(1, 'ProductSprint Backlog'!$J166-'ProductSprint Backlog'!$I166), AND('ProductSprint Backlog'!$J166=P$2,'ProductSprint Backlog'!$I166=P$2), 'ProductSprint Backlog'!$F166, TRUE, 0)</f>
        <v>0.66666666666666663</v>
      </c>
      <c r="Q166" s="4" cm="1">
        <f t="array" ref="Q166">_xlfn.IFS('ProductSprint Backlog'!$F166="", "", AND('ProductSprint Backlog'!$J166&gt;Q$2,'ProductSprint Backlog'!$I166&lt;=Q$2), 'ProductSprint Backlog'!$F166 / MAX(1, 'ProductSprint Backlog'!$J166-'ProductSprint Backlog'!$I166), AND('ProductSprint Backlog'!$J166=Q$2,'ProductSprint Backlog'!$I166=Q$2), 'ProductSprint Backlog'!$F166, TRUE, 0)</f>
        <v>0</v>
      </c>
      <c r="R166" s="4" cm="1">
        <f t="array" ref="R166">_xlfn.IFS('ProductSprint Backlog'!$F166="", "", AND('ProductSprint Backlog'!$J166&gt;R$2,'ProductSprint Backlog'!$I166&lt;=R$2), 'ProductSprint Backlog'!$F166 / MAX(1, 'ProductSprint Backlog'!$J166-'ProductSprint Backlog'!$I166), AND('ProductSprint Backlog'!$J166=R$2,'ProductSprint Backlog'!$I166=R$2), 'ProductSprint Backlog'!$F166, TRUE, 0)</f>
        <v>0</v>
      </c>
      <c r="S166" s="4" cm="1">
        <f t="array" ref="S166">_xlfn.IFS('ProductSprint Backlog'!$F166="", "", AND('ProductSprint Backlog'!$J166&gt;S$2,'ProductSprint Backlog'!$I166&lt;=S$2), 'ProductSprint Backlog'!$F166 / MAX(1, 'ProductSprint Backlog'!$J166-'ProductSprint Backlog'!$I166), AND('ProductSprint Backlog'!$J166=S$2,'ProductSprint Backlog'!$I166=S$2), 'ProductSprint Backlog'!$F166, TRUE, 0)</f>
        <v>0</v>
      </c>
      <c r="T166" s="4" cm="1">
        <f t="array" ref="T166">_xlfn.IFS('ProductSprint Backlog'!$F166="", "", AND('ProductSprint Backlog'!$J166&gt;T$2,'ProductSprint Backlog'!$I166&lt;=T$2), 'ProductSprint Backlog'!$F166 / MAX(1, 'ProductSprint Backlog'!$J166-'ProductSprint Backlog'!$I166), AND('ProductSprint Backlog'!$J166=T$2,'ProductSprint Backlog'!$I166=T$2), 'ProductSprint Backlog'!$F166, TRUE, 0)</f>
        <v>0</v>
      </c>
    </row>
    <row r="167" spans="2:20" x14ac:dyDescent="0.2">
      <c r="B167" s="4" t="str" cm="1">
        <f t="array" ref="B167">_xlfn.IFS('ProductSprint Backlog'!$F167="", "", AND('ProductSprint Backlog'!$J167&gt;B$2,'ProductSprint Backlog'!$I167&lt;=B$2), 'ProductSprint Backlog'!$F167 / MAX(1, 'ProductSprint Backlog'!$J167-'ProductSprint Backlog'!$I167), AND('ProductSprint Backlog'!$J167=B$2,'ProductSprint Backlog'!$I167=B$2), 'ProductSprint Backlog'!$F167, TRUE, 0)</f>
        <v/>
      </c>
      <c r="C167" s="4" t="str" cm="1">
        <f t="array" ref="C167">_xlfn.IFS('ProductSprint Backlog'!$F167="", "", AND('ProductSprint Backlog'!$J167&gt;C$2,'ProductSprint Backlog'!$I167&lt;=C$2), 'ProductSprint Backlog'!$F167 / MAX(1, 'ProductSprint Backlog'!$J167-'ProductSprint Backlog'!$I167), AND('ProductSprint Backlog'!$J167=C$2,'ProductSprint Backlog'!$I167=C$2), 'ProductSprint Backlog'!$F167, TRUE, 0)</f>
        <v/>
      </c>
      <c r="D167" s="4" t="str" cm="1">
        <f t="array" ref="D167">_xlfn.IFS('ProductSprint Backlog'!$F167="", "", AND('ProductSprint Backlog'!$J167&gt;D$2,'ProductSprint Backlog'!$I167&lt;=D$2), 'ProductSprint Backlog'!$F167 / MAX(1, 'ProductSprint Backlog'!$J167-'ProductSprint Backlog'!$I167), AND('ProductSprint Backlog'!$J167=D$2,'ProductSprint Backlog'!$I167=D$2), 'ProductSprint Backlog'!$F167, TRUE, 0)</f>
        <v/>
      </c>
      <c r="E167" s="4" t="str" cm="1">
        <f t="array" ref="E167">_xlfn.IFS('ProductSprint Backlog'!$F167="", "", AND('ProductSprint Backlog'!$J167&gt;E$2,'ProductSprint Backlog'!$I167&lt;=E$2), 'ProductSprint Backlog'!$F167 / MAX(1, 'ProductSprint Backlog'!$J167-'ProductSprint Backlog'!$I167), AND('ProductSprint Backlog'!$J167=E$2,'ProductSprint Backlog'!$I167=E$2), 'ProductSprint Backlog'!$F167, TRUE, 0)</f>
        <v/>
      </c>
      <c r="F167" s="4" t="str" cm="1">
        <f t="array" ref="F167">_xlfn.IFS('ProductSprint Backlog'!$F167="", "", AND('ProductSprint Backlog'!$J167&gt;F$2,'ProductSprint Backlog'!$I167&lt;=F$2), 'ProductSprint Backlog'!$F167 / MAX(1, 'ProductSprint Backlog'!$J167-'ProductSprint Backlog'!$I167), AND('ProductSprint Backlog'!$J167=F$2,'ProductSprint Backlog'!$I167=F$2), 'ProductSprint Backlog'!$F167, TRUE, 0)</f>
        <v/>
      </c>
      <c r="G167" s="4" t="str" cm="1">
        <f t="array" ref="G167">_xlfn.IFS('ProductSprint Backlog'!$F167="", "", AND('ProductSprint Backlog'!$J167&gt;G$2,'ProductSprint Backlog'!$I167&lt;=G$2), 'ProductSprint Backlog'!$F167 / MAX(1, 'ProductSprint Backlog'!$J167-'ProductSprint Backlog'!$I167), AND('ProductSprint Backlog'!$J167=G$2,'ProductSprint Backlog'!$I167=G$2), 'ProductSprint Backlog'!$F167, TRUE, 0)</f>
        <v/>
      </c>
      <c r="H167" s="4" t="str" cm="1">
        <f t="array" ref="H167">_xlfn.IFS('ProductSprint Backlog'!$F167="", "", AND('ProductSprint Backlog'!$J167&gt;H$2,'ProductSprint Backlog'!$I167&lt;=H$2), 'ProductSprint Backlog'!$F167 / MAX(1, 'ProductSprint Backlog'!$J167-'ProductSprint Backlog'!$I167), AND('ProductSprint Backlog'!$J167=H$2,'ProductSprint Backlog'!$I167=H$2), 'ProductSprint Backlog'!$F167, TRUE, 0)</f>
        <v/>
      </c>
      <c r="I167" s="4" t="str" cm="1">
        <f t="array" ref="I167">_xlfn.IFS('ProductSprint Backlog'!$F167="", "", AND('ProductSprint Backlog'!$J167&gt;I$2,'ProductSprint Backlog'!$I167&lt;=I$2), 'ProductSprint Backlog'!$F167 / MAX(1, 'ProductSprint Backlog'!$J167-'ProductSprint Backlog'!$I167), AND('ProductSprint Backlog'!$J167=I$2,'ProductSprint Backlog'!$I167=I$2), 'ProductSprint Backlog'!$F167, TRUE, 0)</f>
        <v/>
      </c>
      <c r="J167" s="4" t="str" cm="1">
        <f t="array" ref="J167">_xlfn.IFS('ProductSprint Backlog'!$F167="", "", AND('ProductSprint Backlog'!$J167&gt;J$2,'ProductSprint Backlog'!$I167&lt;=J$2), 'ProductSprint Backlog'!$F167 / MAX(1, 'ProductSprint Backlog'!$J167-'ProductSprint Backlog'!$I167), AND('ProductSprint Backlog'!$J167=J$2,'ProductSprint Backlog'!$I167=J$2), 'ProductSprint Backlog'!$F167, TRUE, 0)</f>
        <v/>
      </c>
      <c r="K167" s="4" t="str" cm="1">
        <f t="array" ref="K167">_xlfn.IFS('ProductSprint Backlog'!$F167="", "", AND('ProductSprint Backlog'!$J167&gt;K$2,'ProductSprint Backlog'!$I167&lt;=K$2), 'ProductSprint Backlog'!$F167 / MAX(1, 'ProductSprint Backlog'!$J167-'ProductSprint Backlog'!$I167), AND('ProductSprint Backlog'!$J167=K$2,'ProductSprint Backlog'!$I167=K$2), 'ProductSprint Backlog'!$F167, TRUE, 0)</f>
        <v/>
      </c>
      <c r="L167" s="4" t="str" cm="1">
        <f t="array" ref="L167">_xlfn.IFS('ProductSprint Backlog'!$F167="", "", AND('ProductSprint Backlog'!$J167&gt;L$2,'ProductSprint Backlog'!$I167&lt;=L$2), 'ProductSprint Backlog'!$F167 / MAX(1, 'ProductSprint Backlog'!$J167-'ProductSprint Backlog'!$I167), AND('ProductSprint Backlog'!$J167=L$2,'ProductSprint Backlog'!$I167=L$2), 'ProductSprint Backlog'!$F167, TRUE, 0)</f>
        <v/>
      </c>
      <c r="M167" s="4" t="str" cm="1">
        <f t="array" ref="M167">_xlfn.IFS('ProductSprint Backlog'!$F167="", "", AND('ProductSprint Backlog'!$J167&gt;M$2,'ProductSprint Backlog'!$I167&lt;=M$2), 'ProductSprint Backlog'!$F167 / MAX(1, 'ProductSprint Backlog'!$J167-'ProductSprint Backlog'!$I167), AND('ProductSprint Backlog'!$J167=M$2,'ProductSprint Backlog'!$I167=M$2), 'ProductSprint Backlog'!$F167, TRUE, 0)</f>
        <v/>
      </c>
      <c r="N167" s="4" t="str" cm="1">
        <f t="array" ref="N167">_xlfn.IFS('ProductSprint Backlog'!$F167="", "", AND('ProductSprint Backlog'!$J167&gt;N$2,'ProductSprint Backlog'!$I167&lt;=N$2), 'ProductSprint Backlog'!$F167 / MAX(1, 'ProductSprint Backlog'!$J167-'ProductSprint Backlog'!$I167), AND('ProductSprint Backlog'!$J167=N$2,'ProductSprint Backlog'!$I167=N$2), 'ProductSprint Backlog'!$F167, TRUE, 0)</f>
        <v/>
      </c>
      <c r="O167" s="4" t="str" cm="1">
        <f t="array" ref="O167">_xlfn.IFS('ProductSprint Backlog'!$F167="", "", AND('ProductSprint Backlog'!$J167&gt;O$2,'ProductSprint Backlog'!$I167&lt;=O$2), 'ProductSprint Backlog'!$F167 / MAX(1, 'ProductSprint Backlog'!$J167-'ProductSprint Backlog'!$I167), AND('ProductSprint Backlog'!$J167=O$2,'ProductSprint Backlog'!$I167=O$2), 'ProductSprint Backlog'!$F167, TRUE, 0)</f>
        <v/>
      </c>
      <c r="P167" s="4" t="str" cm="1">
        <f t="array" ref="P167">_xlfn.IFS('ProductSprint Backlog'!$F167="", "", AND('ProductSprint Backlog'!$J167&gt;P$2,'ProductSprint Backlog'!$I167&lt;=P$2), 'ProductSprint Backlog'!$F167 / MAX(1, 'ProductSprint Backlog'!$J167-'ProductSprint Backlog'!$I167), AND('ProductSprint Backlog'!$J167=P$2,'ProductSprint Backlog'!$I167=P$2), 'ProductSprint Backlog'!$F167, TRUE, 0)</f>
        <v/>
      </c>
      <c r="Q167" s="4" t="str" cm="1">
        <f t="array" ref="Q167">_xlfn.IFS('ProductSprint Backlog'!$F167="", "", AND('ProductSprint Backlog'!$J167&gt;Q$2,'ProductSprint Backlog'!$I167&lt;=Q$2), 'ProductSprint Backlog'!$F167 / MAX(1, 'ProductSprint Backlog'!$J167-'ProductSprint Backlog'!$I167), AND('ProductSprint Backlog'!$J167=Q$2,'ProductSprint Backlog'!$I167=Q$2), 'ProductSprint Backlog'!$F167, TRUE, 0)</f>
        <v/>
      </c>
      <c r="R167" s="4" t="str" cm="1">
        <f t="array" ref="R167">_xlfn.IFS('ProductSprint Backlog'!$F167="", "", AND('ProductSprint Backlog'!$J167&gt;R$2,'ProductSprint Backlog'!$I167&lt;=R$2), 'ProductSprint Backlog'!$F167 / MAX(1, 'ProductSprint Backlog'!$J167-'ProductSprint Backlog'!$I167), AND('ProductSprint Backlog'!$J167=R$2,'ProductSprint Backlog'!$I167=R$2), 'ProductSprint Backlog'!$F167, TRUE, 0)</f>
        <v/>
      </c>
      <c r="S167" s="4" t="str" cm="1">
        <f t="array" ref="S167">_xlfn.IFS('ProductSprint Backlog'!$F167="", "", AND('ProductSprint Backlog'!$J167&gt;S$2,'ProductSprint Backlog'!$I167&lt;=S$2), 'ProductSprint Backlog'!$F167 / MAX(1, 'ProductSprint Backlog'!$J167-'ProductSprint Backlog'!$I167), AND('ProductSprint Backlog'!$J167=S$2,'ProductSprint Backlog'!$I167=S$2), 'ProductSprint Backlog'!$F167, TRUE, 0)</f>
        <v/>
      </c>
      <c r="T167" s="4" t="str" cm="1">
        <f t="array" ref="T167">_xlfn.IFS('ProductSprint Backlog'!$F167="", "", AND('ProductSprint Backlog'!$J167&gt;T$2,'ProductSprint Backlog'!$I167&lt;=T$2), 'ProductSprint Backlog'!$F167 / MAX(1, 'ProductSprint Backlog'!$J167-'ProductSprint Backlog'!$I167), AND('ProductSprint Backlog'!$J167=T$2,'ProductSprint Backlog'!$I167=T$2), 'ProductSprint Backlog'!$F167, TRUE, 0)</f>
        <v/>
      </c>
    </row>
    <row r="168" spans="2:20" x14ac:dyDescent="0.2">
      <c r="B168" s="4" cm="1">
        <f t="array" ref="B168">_xlfn.IFS('ProductSprint Backlog'!$F168="", "", AND('ProductSprint Backlog'!$J168&gt;B$2,'ProductSprint Backlog'!$I168&lt;=B$2), 'ProductSprint Backlog'!$F168 / MAX(1, 'ProductSprint Backlog'!$J168-'ProductSprint Backlog'!$I168), AND('ProductSprint Backlog'!$J168=B$2,'ProductSprint Backlog'!$I168=B$2), 'ProductSprint Backlog'!$F168, TRUE, 0)</f>
        <v>0</v>
      </c>
      <c r="C168" s="4" cm="1">
        <f t="array" ref="C168">_xlfn.IFS('ProductSprint Backlog'!$F168="", "", AND('ProductSprint Backlog'!$J168&gt;C$2,'ProductSprint Backlog'!$I168&lt;=C$2), 'ProductSprint Backlog'!$F168 / MAX(1, 'ProductSprint Backlog'!$J168-'ProductSprint Backlog'!$I168), AND('ProductSprint Backlog'!$J168=C$2,'ProductSprint Backlog'!$I168=C$2), 'ProductSprint Backlog'!$F168, TRUE, 0)</f>
        <v>0</v>
      </c>
      <c r="D168" s="4" cm="1">
        <f t="array" ref="D168">_xlfn.IFS('ProductSprint Backlog'!$F168="", "", AND('ProductSprint Backlog'!$J168&gt;D$2,'ProductSprint Backlog'!$I168&lt;=D$2), 'ProductSprint Backlog'!$F168 / MAX(1, 'ProductSprint Backlog'!$J168-'ProductSprint Backlog'!$I168), AND('ProductSprint Backlog'!$J168=D$2,'ProductSprint Backlog'!$I168=D$2), 'ProductSprint Backlog'!$F168, TRUE, 0)</f>
        <v>0</v>
      </c>
      <c r="E168" s="4" cm="1">
        <f t="array" ref="E168">_xlfn.IFS('ProductSprint Backlog'!$F168="", "", AND('ProductSprint Backlog'!$J168&gt;E$2,'ProductSprint Backlog'!$I168&lt;=E$2), 'ProductSprint Backlog'!$F168 / MAX(1, 'ProductSprint Backlog'!$J168-'ProductSprint Backlog'!$I168), AND('ProductSprint Backlog'!$J168=E$2,'ProductSprint Backlog'!$I168=E$2), 'ProductSprint Backlog'!$F168, TRUE, 0)</f>
        <v>0</v>
      </c>
      <c r="F168" s="4" cm="1">
        <f t="array" ref="F168">_xlfn.IFS('ProductSprint Backlog'!$F168="", "", AND('ProductSprint Backlog'!$J168&gt;F$2,'ProductSprint Backlog'!$I168&lt;=F$2), 'ProductSprint Backlog'!$F168 / MAX(1, 'ProductSprint Backlog'!$J168-'ProductSprint Backlog'!$I168), AND('ProductSprint Backlog'!$J168=F$2,'ProductSprint Backlog'!$I168=F$2), 'ProductSprint Backlog'!$F168, TRUE, 0)</f>
        <v>0</v>
      </c>
      <c r="G168" s="4" cm="1">
        <f t="array" ref="G168">_xlfn.IFS('ProductSprint Backlog'!$F168="", "", AND('ProductSprint Backlog'!$J168&gt;G$2,'ProductSprint Backlog'!$I168&lt;=G$2), 'ProductSprint Backlog'!$F168 / MAX(1, 'ProductSprint Backlog'!$J168-'ProductSprint Backlog'!$I168), AND('ProductSprint Backlog'!$J168=G$2,'ProductSprint Backlog'!$I168=G$2), 'ProductSprint Backlog'!$F168, TRUE, 0)</f>
        <v>0</v>
      </c>
      <c r="H168" s="4" cm="1">
        <f t="array" ref="H168">_xlfn.IFS('ProductSprint Backlog'!$F168="", "", AND('ProductSprint Backlog'!$J168&gt;H$2,'ProductSprint Backlog'!$I168&lt;=H$2), 'ProductSprint Backlog'!$F168 / MAX(1, 'ProductSprint Backlog'!$J168-'ProductSprint Backlog'!$I168), AND('ProductSprint Backlog'!$J168=H$2,'ProductSprint Backlog'!$I168=H$2), 'ProductSprint Backlog'!$F168, TRUE, 0)</f>
        <v>0</v>
      </c>
      <c r="I168" s="4" cm="1">
        <f t="array" ref="I168">_xlfn.IFS('ProductSprint Backlog'!$F168="", "", AND('ProductSprint Backlog'!$J168&gt;I$2,'ProductSprint Backlog'!$I168&lt;=I$2), 'ProductSprint Backlog'!$F168 / MAX(1, 'ProductSprint Backlog'!$J168-'ProductSprint Backlog'!$I168), AND('ProductSprint Backlog'!$J168=I$2,'ProductSprint Backlog'!$I168=I$2), 'ProductSprint Backlog'!$F168, TRUE, 0)</f>
        <v>0</v>
      </c>
      <c r="J168" s="4" cm="1">
        <f t="array" ref="J168">_xlfn.IFS('ProductSprint Backlog'!$F168="", "", AND('ProductSprint Backlog'!$J168&gt;J$2,'ProductSprint Backlog'!$I168&lt;=J$2), 'ProductSprint Backlog'!$F168 / MAX(1, 'ProductSprint Backlog'!$J168-'ProductSprint Backlog'!$I168), AND('ProductSprint Backlog'!$J168=J$2,'ProductSprint Backlog'!$I168=J$2), 'ProductSprint Backlog'!$F168, TRUE, 0)</f>
        <v>0</v>
      </c>
      <c r="K168" s="4" cm="1">
        <f t="array" ref="K168">_xlfn.IFS('ProductSprint Backlog'!$F168="", "", AND('ProductSprint Backlog'!$J168&gt;K$2,'ProductSprint Backlog'!$I168&lt;=K$2), 'ProductSprint Backlog'!$F168 / MAX(1, 'ProductSprint Backlog'!$J168-'ProductSprint Backlog'!$I168), AND('ProductSprint Backlog'!$J168=K$2,'ProductSprint Backlog'!$I168=K$2), 'ProductSprint Backlog'!$F168, TRUE, 0)</f>
        <v>0</v>
      </c>
      <c r="L168" s="4" cm="1">
        <f t="array" ref="L168">_xlfn.IFS('ProductSprint Backlog'!$F168="", "", AND('ProductSprint Backlog'!$J168&gt;L$2,'ProductSprint Backlog'!$I168&lt;=L$2), 'ProductSprint Backlog'!$F168 / MAX(1, 'ProductSprint Backlog'!$J168-'ProductSprint Backlog'!$I168), AND('ProductSprint Backlog'!$J168=L$2,'ProductSprint Backlog'!$I168=L$2), 'ProductSprint Backlog'!$F168, TRUE, 0)</f>
        <v>0</v>
      </c>
      <c r="M168" s="4" cm="1">
        <f t="array" ref="M168">_xlfn.IFS('ProductSprint Backlog'!$F168="", "", AND('ProductSprint Backlog'!$J168&gt;M$2,'ProductSprint Backlog'!$I168&lt;=M$2), 'ProductSprint Backlog'!$F168 / MAX(1, 'ProductSprint Backlog'!$J168-'ProductSprint Backlog'!$I168), AND('ProductSprint Backlog'!$J168=M$2,'ProductSprint Backlog'!$I168=M$2), 'ProductSprint Backlog'!$F168, TRUE, 0)</f>
        <v>0</v>
      </c>
      <c r="N168" s="4" cm="1">
        <f t="array" ref="N168">_xlfn.IFS('ProductSprint Backlog'!$F168="", "", AND('ProductSprint Backlog'!$J168&gt;N$2,'ProductSprint Backlog'!$I168&lt;=N$2), 'ProductSprint Backlog'!$F168 / MAX(1, 'ProductSprint Backlog'!$J168-'ProductSprint Backlog'!$I168), AND('ProductSprint Backlog'!$J168=N$2,'ProductSprint Backlog'!$I168=N$2), 'ProductSprint Backlog'!$F168, TRUE, 0)</f>
        <v>0</v>
      </c>
      <c r="O168" s="4" cm="1">
        <f t="array" ref="O168">_xlfn.IFS('ProductSprint Backlog'!$F168="", "", AND('ProductSprint Backlog'!$J168&gt;O$2,'ProductSprint Backlog'!$I168&lt;=O$2), 'ProductSprint Backlog'!$F168 / MAX(1, 'ProductSprint Backlog'!$J168-'ProductSprint Backlog'!$I168), AND('ProductSprint Backlog'!$J168=O$2,'ProductSprint Backlog'!$I168=O$2), 'ProductSprint Backlog'!$F168, TRUE, 0)</f>
        <v>0</v>
      </c>
      <c r="P168" s="4" cm="1">
        <f t="array" ref="P168">_xlfn.IFS('ProductSprint Backlog'!$F168="", "", AND('ProductSprint Backlog'!$J168&gt;P$2,'ProductSprint Backlog'!$I168&lt;=P$2), 'ProductSprint Backlog'!$F168 / MAX(1, 'ProductSprint Backlog'!$J168-'ProductSprint Backlog'!$I168), AND('ProductSprint Backlog'!$J168=P$2,'ProductSprint Backlog'!$I168=P$2), 'ProductSprint Backlog'!$F168, TRUE, 0)</f>
        <v>0</v>
      </c>
      <c r="Q168" s="4" cm="1">
        <f t="array" ref="Q168">_xlfn.IFS('ProductSprint Backlog'!$F168="", "", AND('ProductSprint Backlog'!$J168&gt;Q$2,'ProductSprint Backlog'!$I168&lt;=Q$2), 'ProductSprint Backlog'!$F168 / MAX(1, 'ProductSprint Backlog'!$J168-'ProductSprint Backlog'!$I168), AND('ProductSprint Backlog'!$J168=Q$2,'ProductSprint Backlog'!$I168=Q$2), 'ProductSprint Backlog'!$F168, TRUE, 0)</f>
        <v>0</v>
      </c>
      <c r="R168" s="4" cm="1">
        <f t="array" ref="R168">_xlfn.IFS('ProductSprint Backlog'!$F168="", "", AND('ProductSprint Backlog'!$J168&gt;R$2,'ProductSprint Backlog'!$I168&lt;=R$2), 'ProductSprint Backlog'!$F168 / MAX(1, 'ProductSprint Backlog'!$J168-'ProductSprint Backlog'!$I168), AND('ProductSprint Backlog'!$J168=R$2,'ProductSprint Backlog'!$I168=R$2), 'ProductSprint Backlog'!$F168, TRUE, 0)</f>
        <v>0</v>
      </c>
      <c r="S168" s="4" cm="1">
        <f t="array" ref="S168">_xlfn.IFS('ProductSprint Backlog'!$F168="", "", AND('ProductSprint Backlog'!$J168&gt;S$2,'ProductSprint Backlog'!$I168&lt;=S$2), 'ProductSprint Backlog'!$F168 / MAX(1, 'ProductSprint Backlog'!$J168-'ProductSprint Backlog'!$I168), AND('ProductSprint Backlog'!$J168=S$2,'ProductSprint Backlog'!$I168=S$2), 'ProductSprint Backlog'!$F168, TRUE, 0)</f>
        <v>0</v>
      </c>
      <c r="T168" s="4" cm="1">
        <f t="array" ref="T168">_xlfn.IFS('ProductSprint Backlog'!$F168="", "", AND('ProductSprint Backlog'!$J168&gt;T$2,'ProductSprint Backlog'!$I168&lt;=T$2), 'ProductSprint Backlog'!$F168 / MAX(1, 'ProductSprint Backlog'!$J168-'ProductSprint Backlog'!$I168), AND('ProductSprint Backlog'!$J168=T$2,'ProductSprint Backlog'!$I168=T$2), 'ProductSprint Backlog'!$F168, TRUE, 0)</f>
        <v>0</v>
      </c>
    </row>
    <row r="169" spans="2:20" x14ac:dyDescent="0.2">
      <c r="B169" s="4" cm="1">
        <f t="array" ref="B169">_xlfn.IFS('ProductSprint Backlog'!$F169="", "", AND('ProductSprint Backlog'!$J169&gt;B$2,'ProductSprint Backlog'!$I169&lt;=B$2), 'ProductSprint Backlog'!$F169 / MAX(1, 'ProductSprint Backlog'!$J169-'ProductSprint Backlog'!$I169), AND('ProductSprint Backlog'!$J169=B$2,'ProductSprint Backlog'!$I169=B$2), 'ProductSprint Backlog'!$F169, TRUE, 0)</f>
        <v>0</v>
      </c>
      <c r="C169" s="4" cm="1">
        <f t="array" ref="C169">_xlfn.IFS('ProductSprint Backlog'!$F169="", "", AND('ProductSprint Backlog'!$J169&gt;C$2,'ProductSprint Backlog'!$I169&lt;=C$2), 'ProductSprint Backlog'!$F169 / MAX(1, 'ProductSprint Backlog'!$J169-'ProductSprint Backlog'!$I169), AND('ProductSprint Backlog'!$J169=C$2,'ProductSprint Backlog'!$I169=C$2), 'ProductSprint Backlog'!$F169, TRUE, 0)</f>
        <v>0</v>
      </c>
      <c r="D169" s="4" cm="1">
        <f t="array" ref="D169">_xlfn.IFS('ProductSprint Backlog'!$F169="", "", AND('ProductSprint Backlog'!$J169&gt;D$2,'ProductSprint Backlog'!$I169&lt;=D$2), 'ProductSprint Backlog'!$F169 / MAX(1, 'ProductSprint Backlog'!$J169-'ProductSprint Backlog'!$I169), AND('ProductSprint Backlog'!$J169=D$2,'ProductSprint Backlog'!$I169=D$2), 'ProductSprint Backlog'!$F169, TRUE, 0)</f>
        <v>0</v>
      </c>
      <c r="E169" s="4" cm="1">
        <f t="array" ref="E169">_xlfn.IFS('ProductSprint Backlog'!$F169="", "", AND('ProductSprint Backlog'!$J169&gt;E$2,'ProductSprint Backlog'!$I169&lt;=E$2), 'ProductSprint Backlog'!$F169 / MAX(1, 'ProductSprint Backlog'!$J169-'ProductSprint Backlog'!$I169), AND('ProductSprint Backlog'!$J169=E$2,'ProductSprint Backlog'!$I169=E$2), 'ProductSprint Backlog'!$F169, TRUE, 0)</f>
        <v>0</v>
      </c>
      <c r="F169" s="4" cm="1">
        <f t="array" ref="F169">_xlfn.IFS('ProductSprint Backlog'!$F169="", "", AND('ProductSprint Backlog'!$J169&gt;F$2,'ProductSprint Backlog'!$I169&lt;=F$2), 'ProductSprint Backlog'!$F169 / MAX(1, 'ProductSprint Backlog'!$J169-'ProductSprint Backlog'!$I169), AND('ProductSprint Backlog'!$J169=F$2,'ProductSprint Backlog'!$I169=F$2), 'ProductSprint Backlog'!$F169, TRUE, 0)</f>
        <v>0</v>
      </c>
      <c r="G169" s="4" cm="1">
        <f t="array" ref="G169">_xlfn.IFS('ProductSprint Backlog'!$F169="", "", AND('ProductSprint Backlog'!$J169&gt;G$2,'ProductSprint Backlog'!$I169&lt;=G$2), 'ProductSprint Backlog'!$F169 / MAX(1, 'ProductSprint Backlog'!$J169-'ProductSprint Backlog'!$I169), AND('ProductSprint Backlog'!$J169=G$2,'ProductSprint Backlog'!$I169=G$2), 'ProductSprint Backlog'!$F169, TRUE, 0)</f>
        <v>0</v>
      </c>
      <c r="H169" s="4" cm="1">
        <f t="array" ref="H169">_xlfn.IFS('ProductSprint Backlog'!$F169="", "", AND('ProductSprint Backlog'!$J169&gt;H$2,'ProductSprint Backlog'!$I169&lt;=H$2), 'ProductSprint Backlog'!$F169 / MAX(1, 'ProductSprint Backlog'!$J169-'ProductSprint Backlog'!$I169), AND('ProductSprint Backlog'!$J169=H$2,'ProductSprint Backlog'!$I169=H$2), 'ProductSprint Backlog'!$F169, TRUE, 0)</f>
        <v>0</v>
      </c>
      <c r="I169" s="4" cm="1">
        <f t="array" ref="I169">_xlfn.IFS('ProductSprint Backlog'!$F169="", "", AND('ProductSprint Backlog'!$J169&gt;I$2,'ProductSprint Backlog'!$I169&lt;=I$2), 'ProductSprint Backlog'!$F169 / MAX(1, 'ProductSprint Backlog'!$J169-'ProductSprint Backlog'!$I169), AND('ProductSprint Backlog'!$J169=I$2,'ProductSprint Backlog'!$I169=I$2), 'ProductSprint Backlog'!$F169, TRUE, 0)</f>
        <v>0</v>
      </c>
      <c r="J169" s="4" cm="1">
        <f t="array" ref="J169">_xlfn.IFS('ProductSprint Backlog'!$F169="", "", AND('ProductSprint Backlog'!$J169&gt;J$2,'ProductSprint Backlog'!$I169&lt;=J$2), 'ProductSprint Backlog'!$F169 / MAX(1, 'ProductSprint Backlog'!$J169-'ProductSprint Backlog'!$I169), AND('ProductSprint Backlog'!$J169=J$2,'ProductSprint Backlog'!$I169=J$2), 'ProductSprint Backlog'!$F169, TRUE, 0)</f>
        <v>0</v>
      </c>
      <c r="K169" s="4" cm="1">
        <f t="array" ref="K169">_xlfn.IFS('ProductSprint Backlog'!$F169="", "", AND('ProductSprint Backlog'!$J169&gt;K$2,'ProductSprint Backlog'!$I169&lt;=K$2), 'ProductSprint Backlog'!$F169 / MAX(1, 'ProductSprint Backlog'!$J169-'ProductSprint Backlog'!$I169), AND('ProductSprint Backlog'!$J169=K$2,'ProductSprint Backlog'!$I169=K$2), 'ProductSprint Backlog'!$F169, TRUE, 0)</f>
        <v>0</v>
      </c>
      <c r="L169" s="4" cm="1">
        <f t="array" ref="L169">_xlfn.IFS('ProductSprint Backlog'!$F169="", "", AND('ProductSprint Backlog'!$J169&gt;L$2,'ProductSprint Backlog'!$I169&lt;=L$2), 'ProductSprint Backlog'!$F169 / MAX(1, 'ProductSprint Backlog'!$J169-'ProductSprint Backlog'!$I169), AND('ProductSprint Backlog'!$J169=L$2,'ProductSprint Backlog'!$I169=L$2), 'ProductSprint Backlog'!$F169, TRUE, 0)</f>
        <v>0</v>
      </c>
      <c r="M169" s="4" cm="1">
        <f t="array" ref="M169">_xlfn.IFS('ProductSprint Backlog'!$F169="", "", AND('ProductSprint Backlog'!$J169&gt;M$2,'ProductSprint Backlog'!$I169&lt;=M$2), 'ProductSprint Backlog'!$F169 / MAX(1, 'ProductSprint Backlog'!$J169-'ProductSprint Backlog'!$I169), AND('ProductSprint Backlog'!$J169=M$2,'ProductSprint Backlog'!$I169=M$2), 'ProductSprint Backlog'!$F169, TRUE, 0)</f>
        <v>0</v>
      </c>
      <c r="N169" s="4" cm="1">
        <f t="array" ref="N169">_xlfn.IFS('ProductSprint Backlog'!$F169="", "", AND('ProductSprint Backlog'!$J169&gt;N$2,'ProductSprint Backlog'!$I169&lt;=N$2), 'ProductSprint Backlog'!$F169 / MAX(1, 'ProductSprint Backlog'!$J169-'ProductSprint Backlog'!$I169), AND('ProductSprint Backlog'!$J169=N$2,'ProductSprint Backlog'!$I169=N$2), 'ProductSprint Backlog'!$F169, TRUE, 0)</f>
        <v>0</v>
      </c>
      <c r="O169" s="4" cm="1">
        <f t="array" ref="O169">_xlfn.IFS('ProductSprint Backlog'!$F169="", "", AND('ProductSprint Backlog'!$J169&gt;O$2,'ProductSprint Backlog'!$I169&lt;=O$2), 'ProductSprint Backlog'!$F169 / MAX(1, 'ProductSprint Backlog'!$J169-'ProductSprint Backlog'!$I169), AND('ProductSprint Backlog'!$J169=O$2,'ProductSprint Backlog'!$I169=O$2), 'ProductSprint Backlog'!$F169, TRUE, 0)</f>
        <v>0</v>
      </c>
      <c r="P169" s="4" cm="1">
        <f t="array" ref="P169">_xlfn.IFS('ProductSprint Backlog'!$F169="", "", AND('ProductSprint Backlog'!$J169&gt;P$2,'ProductSprint Backlog'!$I169&lt;=P$2), 'ProductSprint Backlog'!$F169 / MAX(1, 'ProductSprint Backlog'!$J169-'ProductSprint Backlog'!$I169), AND('ProductSprint Backlog'!$J169=P$2,'ProductSprint Backlog'!$I169=P$2), 'ProductSprint Backlog'!$F169, TRUE, 0)</f>
        <v>0</v>
      </c>
      <c r="Q169" s="4" cm="1">
        <f t="array" ref="Q169">_xlfn.IFS('ProductSprint Backlog'!$F169="", "", AND('ProductSprint Backlog'!$J169&gt;Q$2,'ProductSprint Backlog'!$I169&lt;=Q$2), 'ProductSprint Backlog'!$F169 / MAX(1, 'ProductSprint Backlog'!$J169-'ProductSprint Backlog'!$I169), AND('ProductSprint Backlog'!$J169=Q$2,'ProductSprint Backlog'!$I169=Q$2), 'ProductSprint Backlog'!$F169, TRUE, 0)</f>
        <v>0</v>
      </c>
      <c r="R169" s="4" cm="1">
        <f t="array" ref="R169">_xlfn.IFS('ProductSprint Backlog'!$F169="", "", AND('ProductSprint Backlog'!$J169&gt;R$2,'ProductSprint Backlog'!$I169&lt;=R$2), 'ProductSprint Backlog'!$F169 / MAX(1, 'ProductSprint Backlog'!$J169-'ProductSprint Backlog'!$I169), AND('ProductSprint Backlog'!$J169=R$2,'ProductSprint Backlog'!$I169=R$2), 'ProductSprint Backlog'!$F169, TRUE, 0)</f>
        <v>0</v>
      </c>
      <c r="S169" s="4" cm="1">
        <f t="array" ref="S169">_xlfn.IFS('ProductSprint Backlog'!$F169="", "", AND('ProductSprint Backlog'!$J169&gt;S$2,'ProductSprint Backlog'!$I169&lt;=S$2), 'ProductSprint Backlog'!$F169 / MAX(1, 'ProductSprint Backlog'!$J169-'ProductSprint Backlog'!$I169), AND('ProductSprint Backlog'!$J169=S$2,'ProductSprint Backlog'!$I169=S$2), 'ProductSprint Backlog'!$F169, TRUE, 0)</f>
        <v>0</v>
      </c>
      <c r="T169" s="4" cm="1">
        <f t="array" ref="T169">_xlfn.IFS('ProductSprint Backlog'!$F169="", "", AND('ProductSprint Backlog'!$J169&gt;T$2,'ProductSprint Backlog'!$I169&lt;=T$2), 'ProductSprint Backlog'!$F169 / MAX(1, 'ProductSprint Backlog'!$J169-'ProductSprint Backlog'!$I169), AND('ProductSprint Backlog'!$J169=T$2,'ProductSprint Backlog'!$I169=T$2), 'ProductSprint Backlog'!$F169, TRUE, 0)</f>
        <v>0</v>
      </c>
    </row>
    <row r="170" spans="2:20" x14ac:dyDescent="0.2">
      <c r="B170" s="4" cm="1">
        <f t="array" ref="B170">_xlfn.IFS('ProductSprint Backlog'!$F170="", "", AND('ProductSprint Backlog'!$J170&gt;B$2,'ProductSprint Backlog'!$I170&lt;=B$2), 'ProductSprint Backlog'!$F170 / MAX(1, 'ProductSprint Backlog'!$J170-'ProductSprint Backlog'!$I170), AND('ProductSprint Backlog'!$J170=B$2,'ProductSprint Backlog'!$I170=B$2), 'ProductSprint Backlog'!$F170, TRUE, 0)</f>
        <v>0</v>
      </c>
      <c r="C170" s="4" cm="1">
        <f t="array" ref="C170">_xlfn.IFS('ProductSprint Backlog'!$F170="", "", AND('ProductSprint Backlog'!$J170&gt;C$2,'ProductSprint Backlog'!$I170&lt;=C$2), 'ProductSprint Backlog'!$F170 / MAX(1, 'ProductSprint Backlog'!$J170-'ProductSprint Backlog'!$I170), AND('ProductSprint Backlog'!$J170=C$2,'ProductSprint Backlog'!$I170=C$2), 'ProductSprint Backlog'!$F170, TRUE, 0)</f>
        <v>0</v>
      </c>
      <c r="D170" s="4" cm="1">
        <f t="array" ref="D170">_xlfn.IFS('ProductSprint Backlog'!$F170="", "", AND('ProductSprint Backlog'!$J170&gt;D$2,'ProductSprint Backlog'!$I170&lt;=D$2), 'ProductSprint Backlog'!$F170 / MAX(1, 'ProductSprint Backlog'!$J170-'ProductSprint Backlog'!$I170), AND('ProductSprint Backlog'!$J170=D$2,'ProductSprint Backlog'!$I170=D$2), 'ProductSprint Backlog'!$F170, TRUE, 0)</f>
        <v>0</v>
      </c>
      <c r="E170" s="4" cm="1">
        <f t="array" ref="E170">_xlfn.IFS('ProductSprint Backlog'!$F170="", "", AND('ProductSprint Backlog'!$J170&gt;E$2,'ProductSprint Backlog'!$I170&lt;=E$2), 'ProductSprint Backlog'!$F170 / MAX(1, 'ProductSprint Backlog'!$J170-'ProductSprint Backlog'!$I170), AND('ProductSprint Backlog'!$J170=E$2,'ProductSprint Backlog'!$I170=E$2), 'ProductSprint Backlog'!$F170, TRUE, 0)</f>
        <v>0</v>
      </c>
      <c r="F170" s="4" cm="1">
        <f t="array" ref="F170">_xlfn.IFS('ProductSprint Backlog'!$F170="", "", AND('ProductSprint Backlog'!$J170&gt;F$2,'ProductSprint Backlog'!$I170&lt;=F$2), 'ProductSprint Backlog'!$F170 / MAX(1, 'ProductSprint Backlog'!$J170-'ProductSprint Backlog'!$I170), AND('ProductSprint Backlog'!$J170=F$2,'ProductSprint Backlog'!$I170=F$2), 'ProductSprint Backlog'!$F170, TRUE, 0)</f>
        <v>0</v>
      </c>
      <c r="G170" s="4" cm="1">
        <f t="array" ref="G170">_xlfn.IFS('ProductSprint Backlog'!$F170="", "", AND('ProductSprint Backlog'!$J170&gt;G$2,'ProductSprint Backlog'!$I170&lt;=G$2), 'ProductSprint Backlog'!$F170 / MAX(1, 'ProductSprint Backlog'!$J170-'ProductSprint Backlog'!$I170), AND('ProductSprint Backlog'!$J170=G$2,'ProductSprint Backlog'!$I170=G$2), 'ProductSprint Backlog'!$F170, TRUE, 0)</f>
        <v>0</v>
      </c>
      <c r="H170" s="4" cm="1">
        <f t="array" ref="H170">_xlfn.IFS('ProductSprint Backlog'!$F170="", "", AND('ProductSprint Backlog'!$J170&gt;H$2,'ProductSprint Backlog'!$I170&lt;=H$2), 'ProductSprint Backlog'!$F170 / MAX(1, 'ProductSprint Backlog'!$J170-'ProductSprint Backlog'!$I170), AND('ProductSprint Backlog'!$J170=H$2,'ProductSprint Backlog'!$I170=H$2), 'ProductSprint Backlog'!$F170, TRUE, 0)</f>
        <v>0</v>
      </c>
      <c r="I170" s="4" cm="1">
        <f t="array" ref="I170">_xlfn.IFS('ProductSprint Backlog'!$F170="", "", AND('ProductSprint Backlog'!$J170&gt;I$2,'ProductSprint Backlog'!$I170&lt;=I$2), 'ProductSprint Backlog'!$F170 / MAX(1, 'ProductSprint Backlog'!$J170-'ProductSprint Backlog'!$I170), AND('ProductSprint Backlog'!$J170=I$2,'ProductSprint Backlog'!$I170=I$2), 'ProductSprint Backlog'!$F170, TRUE, 0)</f>
        <v>0</v>
      </c>
      <c r="J170" s="4" cm="1">
        <f t="array" ref="J170">_xlfn.IFS('ProductSprint Backlog'!$F170="", "", AND('ProductSprint Backlog'!$J170&gt;J$2,'ProductSprint Backlog'!$I170&lt;=J$2), 'ProductSprint Backlog'!$F170 / MAX(1, 'ProductSprint Backlog'!$J170-'ProductSprint Backlog'!$I170), AND('ProductSprint Backlog'!$J170=J$2,'ProductSprint Backlog'!$I170=J$2), 'ProductSprint Backlog'!$F170, TRUE, 0)</f>
        <v>0</v>
      </c>
      <c r="K170" s="4" cm="1">
        <f t="array" ref="K170">_xlfn.IFS('ProductSprint Backlog'!$F170="", "", AND('ProductSprint Backlog'!$J170&gt;K$2,'ProductSprint Backlog'!$I170&lt;=K$2), 'ProductSprint Backlog'!$F170 / MAX(1, 'ProductSprint Backlog'!$J170-'ProductSprint Backlog'!$I170), AND('ProductSprint Backlog'!$J170=K$2,'ProductSprint Backlog'!$I170=K$2), 'ProductSprint Backlog'!$F170, TRUE, 0)</f>
        <v>0</v>
      </c>
      <c r="L170" s="4" cm="1">
        <f t="array" ref="L170">_xlfn.IFS('ProductSprint Backlog'!$F170="", "", AND('ProductSprint Backlog'!$J170&gt;L$2,'ProductSprint Backlog'!$I170&lt;=L$2), 'ProductSprint Backlog'!$F170 / MAX(1, 'ProductSprint Backlog'!$J170-'ProductSprint Backlog'!$I170), AND('ProductSprint Backlog'!$J170=L$2,'ProductSprint Backlog'!$I170=L$2), 'ProductSprint Backlog'!$F170, TRUE, 0)</f>
        <v>0</v>
      </c>
      <c r="M170" s="4" cm="1">
        <f t="array" ref="M170">_xlfn.IFS('ProductSprint Backlog'!$F170="", "", AND('ProductSprint Backlog'!$J170&gt;M$2,'ProductSprint Backlog'!$I170&lt;=M$2), 'ProductSprint Backlog'!$F170 / MAX(1, 'ProductSprint Backlog'!$J170-'ProductSprint Backlog'!$I170), AND('ProductSprint Backlog'!$J170=M$2,'ProductSprint Backlog'!$I170=M$2), 'ProductSprint Backlog'!$F170, TRUE, 0)</f>
        <v>0</v>
      </c>
      <c r="N170" s="4" cm="1">
        <f t="array" ref="N170">_xlfn.IFS('ProductSprint Backlog'!$F170="", "", AND('ProductSprint Backlog'!$J170&gt;N$2,'ProductSprint Backlog'!$I170&lt;=N$2), 'ProductSprint Backlog'!$F170 / MAX(1, 'ProductSprint Backlog'!$J170-'ProductSprint Backlog'!$I170), AND('ProductSprint Backlog'!$J170=N$2,'ProductSprint Backlog'!$I170=N$2), 'ProductSprint Backlog'!$F170, TRUE, 0)</f>
        <v>0</v>
      </c>
      <c r="O170" s="4" cm="1">
        <f t="array" ref="O170">_xlfn.IFS('ProductSprint Backlog'!$F170="", "", AND('ProductSprint Backlog'!$J170&gt;O$2,'ProductSprint Backlog'!$I170&lt;=O$2), 'ProductSprint Backlog'!$F170 / MAX(1, 'ProductSprint Backlog'!$J170-'ProductSprint Backlog'!$I170), AND('ProductSprint Backlog'!$J170=O$2,'ProductSprint Backlog'!$I170=O$2), 'ProductSprint Backlog'!$F170, TRUE, 0)</f>
        <v>0</v>
      </c>
      <c r="P170" s="4" cm="1">
        <f t="array" ref="P170">_xlfn.IFS('ProductSprint Backlog'!$F170="", "", AND('ProductSprint Backlog'!$J170&gt;P$2,'ProductSprint Backlog'!$I170&lt;=P$2), 'ProductSprint Backlog'!$F170 / MAX(1, 'ProductSprint Backlog'!$J170-'ProductSprint Backlog'!$I170), AND('ProductSprint Backlog'!$J170=P$2,'ProductSprint Backlog'!$I170=P$2), 'ProductSprint Backlog'!$F170, TRUE, 0)</f>
        <v>0</v>
      </c>
      <c r="Q170" s="4" cm="1">
        <f t="array" ref="Q170">_xlfn.IFS('ProductSprint Backlog'!$F170="", "", AND('ProductSprint Backlog'!$J170&gt;Q$2,'ProductSprint Backlog'!$I170&lt;=Q$2), 'ProductSprint Backlog'!$F170 / MAX(1, 'ProductSprint Backlog'!$J170-'ProductSprint Backlog'!$I170), AND('ProductSprint Backlog'!$J170=Q$2,'ProductSprint Backlog'!$I170=Q$2), 'ProductSprint Backlog'!$F170, TRUE, 0)</f>
        <v>0</v>
      </c>
      <c r="R170" s="4" cm="1">
        <f t="array" ref="R170">_xlfn.IFS('ProductSprint Backlog'!$F170="", "", AND('ProductSprint Backlog'!$J170&gt;R$2,'ProductSprint Backlog'!$I170&lt;=R$2), 'ProductSprint Backlog'!$F170 / MAX(1, 'ProductSprint Backlog'!$J170-'ProductSprint Backlog'!$I170), AND('ProductSprint Backlog'!$J170=R$2,'ProductSprint Backlog'!$I170=R$2), 'ProductSprint Backlog'!$F170, TRUE, 0)</f>
        <v>0</v>
      </c>
      <c r="S170" s="4" cm="1">
        <f t="array" ref="S170">_xlfn.IFS('ProductSprint Backlog'!$F170="", "", AND('ProductSprint Backlog'!$J170&gt;S$2,'ProductSprint Backlog'!$I170&lt;=S$2), 'ProductSprint Backlog'!$F170 / MAX(1, 'ProductSprint Backlog'!$J170-'ProductSprint Backlog'!$I170), AND('ProductSprint Backlog'!$J170=S$2,'ProductSprint Backlog'!$I170=S$2), 'ProductSprint Backlog'!$F170, TRUE, 0)</f>
        <v>0</v>
      </c>
      <c r="T170" s="4" cm="1">
        <f t="array" ref="T170">_xlfn.IFS('ProductSprint Backlog'!$F170="", "", AND('ProductSprint Backlog'!$J170&gt;T$2,'ProductSprint Backlog'!$I170&lt;=T$2), 'ProductSprint Backlog'!$F170 / MAX(1, 'ProductSprint Backlog'!$J170-'ProductSprint Backlog'!$I170), AND('ProductSprint Backlog'!$J170=T$2,'ProductSprint Backlog'!$I170=T$2), 'ProductSprint Backlog'!$F170, TRUE, 0)</f>
        <v>0</v>
      </c>
    </row>
    <row r="171" spans="2:20" x14ac:dyDescent="0.2">
      <c r="B171" s="4" cm="1">
        <f t="array" ref="B171">_xlfn.IFS('ProductSprint Backlog'!$F171="", "", AND('ProductSprint Backlog'!$J171&gt;B$2,'ProductSprint Backlog'!$I171&lt;=B$2), 'ProductSprint Backlog'!$F171 / MAX(1, 'ProductSprint Backlog'!$J171-'ProductSprint Backlog'!$I171), AND('ProductSprint Backlog'!$J171=B$2,'ProductSprint Backlog'!$I171=B$2), 'ProductSprint Backlog'!$F171, TRUE, 0)</f>
        <v>0</v>
      </c>
      <c r="C171" s="4" cm="1">
        <f t="array" ref="C171">_xlfn.IFS('ProductSprint Backlog'!$F171="", "", AND('ProductSprint Backlog'!$J171&gt;C$2,'ProductSprint Backlog'!$I171&lt;=C$2), 'ProductSprint Backlog'!$F171 / MAX(1, 'ProductSprint Backlog'!$J171-'ProductSprint Backlog'!$I171), AND('ProductSprint Backlog'!$J171=C$2,'ProductSprint Backlog'!$I171=C$2), 'ProductSprint Backlog'!$F171, TRUE, 0)</f>
        <v>0</v>
      </c>
      <c r="D171" s="4" cm="1">
        <f t="array" ref="D171">_xlfn.IFS('ProductSprint Backlog'!$F171="", "", AND('ProductSprint Backlog'!$J171&gt;D$2,'ProductSprint Backlog'!$I171&lt;=D$2), 'ProductSprint Backlog'!$F171 / MAX(1, 'ProductSprint Backlog'!$J171-'ProductSprint Backlog'!$I171), AND('ProductSprint Backlog'!$J171=D$2,'ProductSprint Backlog'!$I171=D$2), 'ProductSprint Backlog'!$F171, TRUE, 0)</f>
        <v>0</v>
      </c>
      <c r="E171" s="4" cm="1">
        <f t="array" ref="E171">_xlfn.IFS('ProductSprint Backlog'!$F171="", "", AND('ProductSprint Backlog'!$J171&gt;E$2,'ProductSprint Backlog'!$I171&lt;=E$2), 'ProductSprint Backlog'!$F171 / MAX(1, 'ProductSprint Backlog'!$J171-'ProductSprint Backlog'!$I171), AND('ProductSprint Backlog'!$J171=E$2,'ProductSprint Backlog'!$I171=E$2), 'ProductSprint Backlog'!$F171, TRUE, 0)</f>
        <v>0</v>
      </c>
      <c r="F171" s="4" cm="1">
        <f t="array" ref="F171">_xlfn.IFS('ProductSprint Backlog'!$F171="", "", AND('ProductSprint Backlog'!$J171&gt;F$2,'ProductSprint Backlog'!$I171&lt;=F$2), 'ProductSprint Backlog'!$F171 / MAX(1, 'ProductSprint Backlog'!$J171-'ProductSprint Backlog'!$I171), AND('ProductSprint Backlog'!$J171=F$2,'ProductSprint Backlog'!$I171=F$2), 'ProductSprint Backlog'!$F171, TRUE, 0)</f>
        <v>0</v>
      </c>
      <c r="G171" s="4" cm="1">
        <f t="array" ref="G171">_xlfn.IFS('ProductSprint Backlog'!$F171="", "", AND('ProductSprint Backlog'!$J171&gt;G$2,'ProductSprint Backlog'!$I171&lt;=G$2), 'ProductSprint Backlog'!$F171 / MAX(1, 'ProductSprint Backlog'!$J171-'ProductSprint Backlog'!$I171), AND('ProductSprint Backlog'!$J171=G$2,'ProductSprint Backlog'!$I171=G$2), 'ProductSprint Backlog'!$F171, TRUE, 0)</f>
        <v>0</v>
      </c>
      <c r="H171" s="4" cm="1">
        <f t="array" ref="H171">_xlfn.IFS('ProductSprint Backlog'!$F171="", "", AND('ProductSprint Backlog'!$J171&gt;H$2,'ProductSprint Backlog'!$I171&lt;=H$2), 'ProductSprint Backlog'!$F171 / MAX(1, 'ProductSprint Backlog'!$J171-'ProductSprint Backlog'!$I171), AND('ProductSprint Backlog'!$J171=H$2,'ProductSprint Backlog'!$I171=H$2), 'ProductSprint Backlog'!$F171, TRUE, 0)</f>
        <v>0</v>
      </c>
      <c r="I171" s="4" cm="1">
        <f t="array" ref="I171">_xlfn.IFS('ProductSprint Backlog'!$F171="", "", AND('ProductSprint Backlog'!$J171&gt;I$2,'ProductSprint Backlog'!$I171&lt;=I$2), 'ProductSprint Backlog'!$F171 / MAX(1, 'ProductSprint Backlog'!$J171-'ProductSprint Backlog'!$I171), AND('ProductSprint Backlog'!$J171=I$2,'ProductSprint Backlog'!$I171=I$2), 'ProductSprint Backlog'!$F171, TRUE, 0)</f>
        <v>0</v>
      </c>
      <c r="J171" s="4" cm="1">
        <f t="array" ref="J171">_xlfn.IFS('ProductSprint Backlog'!$F171="", "", AND('ProductSprint Backlog'!$J171&gt;J$2,'ProductSprint Backlog'!$I171&lt;=J$2), 'ProductSprint Backlog'!$F171 / MAX(1, 'ProductSprint Backlog'!$J171-'ProductSprint Backlog'!$I171), AND('ProductSprint Backlog'!$J171=J$2,'ProductSprint Backlog'!$I171=J$2), 'ProductSprint Backlog'!$F171, TRUE, 0)</f>
        <v>0</v>
      </c>
      <c r="K171" s="4" cm="1">
        <f t="array" ref="K171">_xlfn.IFS('ProductSprint Backlog'!$F171="", "", AND('ProductSprint Backlog'!$J171&gt;K$2,'ProductSprint Backlog'!$I171&lt;=K$2), 'ProductSprint Backlog'!$F171 / MAX(1, 'ProductSprint Backlog'!$J171-'ProductSprint Backlog'!$I171), AND('ProductSprint Backlog'!$J171=K$2,'ProductSprint Backlog'!$I171=K$2), 'ProductSprint Backlog'!$F171, TRUE, 0)</f>
        <v>0</v>
      </c>
      <c r="L171" s="4" cm="1">
        <f t="array" ref="L171">_xlfn.IFS('ProductSprint Backlog'!$F171="", "", AND('ProductSprint Backlog'!$J171&gt;L$2,'ProductSprint Backlog'!$I171&lt;=L$2), 'ProductSprint Backlog'!$F171 / MAX(1, 'ProductSprint Backlog'!$J171-'ProductSprint Backlog'!$I171), AND('ProductSprint Backlog'!$J171=L$2,'ProductSprint Backlog'!$I171=L$2), 'ProductSprint Backlog'!$F171, TRUE, 0)</f>
        <v>0</v>
      </c>
      <c r="M171" s="4" cm="1">
        <f t="array" ref="M171">_xlfn.IFS('ProductSprint Backlog'!$F171="", "", AND('ProductSprint Backlog'!$J171&gt;M$2,'ProductSprint Backlog'!$I171&lt;=M$2), 'ProductSprint Backlog'!$F171 / MAX(1, 'ProductSprint Backlog'!$J171-'ProductSprint Backlog'!$I171), AND('ProductSprint Backlog'!$J171=M$2,'ProductSprint Backlog'!$I171=M$2), 'ProductSprint Backlog'!$F171, TRUE, 0)</f>
        <v>0</v>
      </c>
      <c r="N171" s="4" cm="1">
        <f t="array" ref="N171">_xlfn.IFS('ProductSprint Backlog'!$F171="", "", AND('ProductSprint Backlog'!$J171&gt;N$2,'ProductSprint Backlog'!$I171&lt;=N$2), 'ProductSprint Backlog'!$F171 / MAX(1, 'ProductSprint Backlog'!$J171-'ProductSprint Backlog'!$I171), AND('ProductSprint Backlog'!$J171=N$2,'ProductSprint Backlog'!$I171=N$2), 'ProductSprint Backlog'!$F171, TRUE, 0)</f>
        <v>0</v>
      </c>
      <c r="O171" s="4" cm="1">
        <f t="array" ref="O171">_xlfn.IFS('ProductSprint Backlog'!$F171="", "", AND('ProductSprint Backlog'!$J171&gt;O$2,'ProductSprint Backlog'!$I171&lt;=O$2), 'ProductSprint Backlog'!$F171 / MAX(1, 'ProductSprint Backlog'!$J171-'ProductSprint Backlog'!$I171), AND('ProductSprint Backlog'!$J171=O$2,'ProductSprint Backlog'!$I171=O$2), 'ProductSprint Backlog'!$F171, TRUE, 0)</f>
        <v>0</v>
      </c>
      <c r="P171" s="4" cm="1">
        <f t="array" ref="P171">_xlfn.IFS('ProductSprint Backlog'!$F171="", "", AND('ProductSprint Backlog'!$J171&gt;P$2,'ProductSprint Backlog'!$I171&lt;=P$2), 'ProductSprint Backlog'!$F171 / MAX(1, 'ProductSprint Backlog'!$J171-'ProductSprint Backlog'!$I171), AND('ProductSprint Backlog'!$J171=P$2,'ProductSprint Backlog'!$I171=P$2), 'ProductSprint Backlog'!$F171, TRUE, 0)</f>
        <v>0</v>
      </c>
      <c r="Q171" s="4" cm="1">
        <f t="array" ref="Q171">_xlfn.IFS('ProductSprint Backlog'!$F171="", "", AND('ProductSprint Backlog'!$J171&gt;Q$2,'ProductSprint Backlog'!$I171&lt;=Q$2), 'ProductSprint Backlog'!$F171 / MAX(1, 'ProductSprint Backlog'!$J171-'ProductSprint Backlog'!$I171), AND('ProductSprint Backlog'!$J171=Q$2,'ProductSprint Backlog'!$I171=Q$2), 'ProductSprint Backlog'!$F171, TRUE, 0)</f>
        <v>0</v>
      </c>
      <c r="R171" s="4" cm="1">
        <f t="array" ref="R171">_xlfn.IFS('ProductSprint Backlog'!$F171="", "", AND('ProductSprint Backlog'!$J171&gt;R$2,'ProductSprint Backlog'!$I171&lt;=R$2), 'ProductSprint Backlog'!$F171 / MAX(1, 'ProductSprint Backlog'!$J171-'ProductSprint Backlog'!$I171), AND('ProductSprint Backlog'!$J171=R$2,'ProductSprint Backlog'!$I171=R$2), 'ProductSprint Backlog'!$F171, TRUE, 0)</f>
        <v>0</v>
      </c>
      <c r="S171" s="4" cm="1">
        <f t="array" ref="S171">_xlfn.IFS('ProductSprint Backlog'!$F171="", "", AND('ProductSprint Backlog'!$J171&gt;S$2,'ProductSprint Backlog'!$I171&lt;=S$2), 'ProductSprint Backlog'!$F171 / MAX(1, 'ProductSprint Backlog'!$J171-'ProductSprint Backlog'!$I171), AND('ProductSprint Backlog'!$J171=S$2,'ProductSprint Backlog'!$I171=S$2), 'ProductSprint Backlog'!$F171, TRUE, 0)</f>
        <v>0</v>
      </c>
      <c r="T171" s="4" cm="1">
        <f t="array" ref="T171">_xlfn.IFS('ProductSprint Backlog'!$F171="", "", AND('ProductSprint Backlog'!$J171&gt;T$2,'ProductSprint Backlog'!$I171&lt;=T$2), 'ProductSprint Backlog'!$F171 / MAX(1, 'ProductSprint Backlog'!$J171-'ProductSprint Backlog'!$I171), AND('ProductSprint Backlog'!$J171=T$2,'ProductSprint Backlog'!$I171=T$2), 'ProductSprint Backlog'!$F171, TRUE, 0)</f>
        <v>0</v>
      </c>
    </row>
    <row r="172" spans="2:20" x14ac:dyDescent="0.2">
      <c r="B172" s="4" cm="1">
        <f t="array" ref="B172">_xlfn.IFS('ProductSprint Backlog'!$F172="", "", AND('ProductSprint Backlog'!$J172&gt;B$2,'ProductSprint Backlog'!$I172&lt;=B$2), 'ProductSprint Backlog'!$F172 / MAX(1, 'ProductSprint Backlog'!$J172-'ProductSprint Backlog'!$I172), AND('ProductSprint Backlog'!$J172=B$2,'ProductSprint Backlog'!$I172=B$2), 'ProductSprint Backlog'!$F172, TRUE, 0)</f>
        <v>0</v>
      </c>
      <c r="C172" s="4" cm="1">
        <f t="array" ref="C172">_xlfn.IFS('ProductSprint Backlog'!$F172="", "", AND('ProductSprint Backlog'!$J172&gt;C$2,'ProductSprint Backlog'!$I172&lt;=C$2), 'ProductSprint Backlog'!$F172 / MAX(1, 'ProductSprint Backlog'!$J172-'ProductSprint Backlog'!$I172), AND('ProductSprint Backlog'!$J172=C$2,'ProductSprint Backlog'!$I172=C$2), 'ProductSprint Backlog'!$F172, TRUE, 0)</f>
        <v>0</v>
      </c>
      <c r="D172" s="4" cm="1">
        <f t="array" ref="D172">_xlfn.IFS('ProductSprint Backlog'!$F172="", "", AND('ProductSprint Backlog'!$J172&gt;D$2,'ProductSprint Backlog'!$I172&lt;=D$2), 'ProductSprint Backlog'!$F172 / MAX(1, 'ProductSprint Backlog'!$J172-'ProductSprint Backlog'!$I172), AND('ProductSprint Backlog'!$J172=D$2,'ProductSprint Backlog'!$I172=D$2), 'ProductSprint Backlog'!$F172, TRUE, 0)</f>
        <v>0</v>
      </c>
      <c r="E172" s="4" cm="1">
        <f t="array" ref="E172">_xlfn.IFS('ProductSprint Backlog'!$F172="", "", AND('ProductSprint Backlog'!$J172&gt;E$2,'ProductSprint Backlog'!$I172&lt;=E$2), 'ProductSprint Backlog'!$F172 / MAX(1, 'ProductSprint Backlog'!$J172-'ProductSprint Backlog'!$I172), AND('ProductSprint Backlog'!$J172=E$2,'ProductSprint Backlog'!$I172=E$2), 'ProductSprint Backlog'!$F172, TRUE, 0)</f>
        <v>0</v>
      </c>
      <c r="F172" s="4" cm="1">
        <f t="array" ref="F172">_xlfn.IFS('ProductSprint Backlog'!$F172="", "", AND('ProductSprint Backlog'!$J172&gt;F$2,'ProductSprint Backlog'!$I172&lt;=F$2), 'ProductSprint Backlog'!$F172 / MAX(1, 'ProductSprint Backlog'!$J172-'ProductSprint Backlog'!$I172), AND('ProductSprint Backlog'!$J172=F$2,'ProductSprint Backlog'!$I172=F$2), 'ProductSprint Backlog'!$F172, TRUE, 0)</f>
        <v>0</v>
      </c>
      <c r="G172" s="4" cm="1">
        <f t="array" ref="G172">_xlfn.IFS('ProductSprint Backlog'!$F172="", "", AND('ProductSprint Backlog'!$J172&gt;G$2,'ProductSprint Backlog'!$I172&lt;=G$2), 'ProductSprint Backlog'!$F172 / MAX(1, 'ProductSprint Backlog'!$J172-'ProductSprint Backlog'!$I172), AND('ProductSprint Backlog'!$J172=G$2,'ProductSprint Backlog'!$I172=G$2), 'ProductSprint Backlog'!$F172, TRUE, 0)</f>
        <v>0</v>
      </c>
      <c r="H172" s="4" cm="1">
        <f t="array" ref="H172">_xlfn.IFS('ProductSprint Backlog'!$F172="", "", AND('ProductSprint Backlog'!$J172&gt;H$2,'ProductSprint Backlog'!$I172&lt;=H$2), 'ProductSprint Backlog'!$F172 / MAX(1, 'ProductSprint Backlog'!$J172-'ProductSprint Backlog'!$I172), AND('ProductSprint Backlog'!$J172=H$2,'ProductSprint Backlog'!$I172=H$2), 'ProductSprint Backlog'!$F172, TRUE, 0)</f>
        <v>0</v>
      </c>
      <c r="I172" s="4" cm="1">
        <f t="array" ref="I172">_xlfn.IFS('ProductSprint Backlog'!$F172="", "", AND('ProductSprint Backlog'!$J172&gt;I$2,'ProductSprint Backlog'!$I172&lt;=I$2), 'ProductSprint Backlog'!$F172 / MAX(1, 'ProductSprint Backlog'!$J172-'ProductSprint Backlog'!$I172), AND('ProductSprint Backlog'!$J172=I$2,'ProductSprint Backlog'!$I172=I$2), 'ProductSprint Backlog'!$F172, TRUE, 0)</f>
        <v>0</v>
      </c>
      <c r="J172" s="4" cm="1">
        <f t="array" ref="J172">_xlfn.IFS('ProductSprint Backlog'!$F172="", "", AND('ProductSprint Backlog'!$J172&gt;J$2,'ProductSprint Backlog'!$I172&lt;=J$2), 'ProductSprint Backlog'!$F172 / MAX(1, 'ProductSprint Backlog'!$J172-'ProductSprint Backlog'!$I172), AND('ProductSprint Backlog'!$J172=J$2,'ProductSprint Backlog'!$I172=J$2), 'ProductSprint Backlog'!$F172, TRUE, 0)</f>
        <v>0</v>
      </c>
      <c r="K172" s="4" cm="1">
        <f t="array" ref="K172">_xlfn.IFS('ProductSprint Backlog'!$F172="", "", AND('ProductSprint Backlog'!$J172&gt;K$2,'ProductSprint Backlog'!$I172&lt;=K$2), 'ProductSprint Backlog'!$F172 / MAX(1, 'ProductSprint Backlog'!$J172-'ProductSprint Backlog'!$I172), AND('ProductSprint Backlog'!$J172=K$2,'ProductSprint Backlog'!$I172=K$2), 'ProductSprint Backlog'!$F172, TRUE, 0)</f>
        <v>0</v>
      </c>
      <c r="L172" s="4" cm="1">
        <f t="array" ref="L172">_xlfn.IFS('ProductSprint Backlog'!$F172="", "", AND('ProductSprint Backlog'!$J172&gt;L$2,'ProductSprint Backlog'!$I172&lt;=L$2), 'ProductSprint Backlog'!$F172 / MAX(1, 'ProductSprint Backlog'!$J172-'ProductSprint Backlog'!$I172), AND('ProductSprint Backlog'!$J172=L$2,'ProductSprint Backlog'!$I172=L$2), 'ProductSprint Backlog'!$F172, TRUE, 0)</f>
        <v>0</v>
      </c>
      <c r="M172" s="4" cm="1">
        <f t="array" ref="M172">_xlfn.IFS('ProductSprint Backlog'!$F172="", "", AND('ProductSprint Backlog'!$J172&gt;M$2,'ProductSprint Backlog'!$I172&lt;=M$2), 'ProductSprint Backlog'!$F172 / MAX(1, 'ProductSprint Backlog'!$J172-'ProductSprint Backlog'!$I172), AND('ProductSprint Backlog'!$J172=M$2,'ProductSprint Backlog'!$I172=M$2), 'ProductSprint Backlog'!$F172, TRUE, 0)</f>
        <v>0</v>
      </c>
      <c r="N172" s="4" cm="1">
        <f t="array" ref="N172">_xlfn.IFS('ProductSprint Backlog'!$F172="", "", AND('ProductSprint Backlog'!$J172&gt;N$2,'ProductSprint Backlog'!$I172&lt;=N$2), 'ProductSprint Backlog'!$F172 / MAX(1, 'ProductSprint Backlog'!$J172-'ProductSprint Backlog'!$I172), AND('ProductSprint Backlog'!$J172=N$2,'ProductSprint Backlog'!$I172=N$2), 'ProductSprint Backlog'!$F172, TRUE, 0)</f>
        <v>0</v>
      </c>
      <c r="O172" s="4" cm="1">
        <f t="array" ref="O172">_xlfn.IFS('ProductSprint Backlog'!$F172="", "", AND('ProductSprint Backlog'!$J172&gt;O$2,'ProductSprint Backlog'!$I172&lt;=O$2), 'ProductSprint Backlog'!$F172 / MAX(1, 'ProductSprint Backlog'!$J172-'ProductSprint Backlog'!$I172), AND('ProductSprint Backlog'!$J172=O$2,'ProductSprint Backlog'!$I172=O$2), 'ProductSprint Backlog'!$F172, TRUE, 0)</f>
        <v>0</v>
      </c>
      <c r="P172" s="4" cm="1">
        <f t="array" ref="P172">_xlfn.IFS('ProductSprint Backlog'!$F172="", "", AND('ProductSprint Backlog'!$J172&gt;P$2,'ProductSprint Backlog'!$I172&lt;=P$2), 'ProductSprint Backlog'!$F172 / MAX(1, 'ProductSprint Backlog'!$J172-'ProductSprint Backlog'!$I172), AND('ProductSprint Backlog'!$J172=P$2,'ProductSprint Backlog'!$I172=P$2), 'ProductSprint Backlog'!$F172, TRUE, 0)</f>
        <v>0</v>
      </c>
      <c r="Q172" s="4" cm="1">
        <f t="array" ref="Q172">_xlfn.IFS('ProductSprint Backlog'!$F172="", "", AND('ProductSprint Backlog'!$J172&gt;Q$2,'ProductSprint Backlog'!$I172&lt;=Q$2), 'ProductSprint Backlog'!$F172 / MAX(1, 'ProductSprint Backlog'!$J172-'ProductSprint Backlog'!$I172), AND('ProductSprint Backlog'!$J172=Q$2,'ProductSprint Backlog'!$I172=Q$2), 'ProductSprint Backlog'!$F172, TRUE, 0)</f>
        <v>0</v>
      </c>
      <c r="R172" s="4" cm="1">
        <f t="array" ref="R172">_xlfn.IFS('ProductSprint Backlog'!$F172="", "", AND('ProductSprint Backlog'!$J172&gt;R$2,'ProductSprint Backlog'!$I172&lt;=R$2), 'ProductSprint Backlog'!$F172 / MAX(1, 'ProductSprint Backlog'!$J172-'ProductSprint Backlog'!$I172), AND('ProductSprint Backlog'!$J172=R$2,'ProductSprint Backlog'!$I172=R$2), 'ProductSprint Backlog'!$F172, TRUE, 0)</f>
        <v>0</v>
      </c>
      <c r="S172" s="4" cm="1">
        <f t="array" ref="S172">_xlfn.IFS('ProductSprint Backlog'!$F172="", "", AND('ProductSprint Backlog'!$J172&gt;S$2,'ProductSprint Backlog'!$I172&lt;=S$2), 'ProductSprint Backlog'!$F172 / MAX(1, 'ProductSprint Backlog'!$J172-'ProductSprint Backlog'!$I172), AND('ProductSprint Backlog'!$J172=S$2,'ProductSprint Backlog'!$I172=S$2), 'ProductSprint Backlog'!$F172, TRUE, 0)</f>
        <v>0</v>
      </c>
      <c r="T172" s="4" cm="1">
        <f t="array" ref="T172">_xlfn.IFS('ProductSprint Backlog'!$F172="", "", AND('ProductSprint Backlog'!$J172&gt;T$2,'ProductSprint Backlog'!$I172&lt;=T$2), 'ProductSprint Backlog'!$F172 / MAX(1, 'ProductSprint Backlog'!$J172-'ProductSprint Backlog'!$I172), AND('ProductSprint Backlog'!$J172=T$2,'ProductSprint Backlog'!$I172=T$2), 'ProductSprint Backlog'!$F172, TRUE, 0)</f>
        <v>0</v>
      </c>
    </row>
    <row r="173" spans="2:20" x14ac:dyDescent="0.2">
      <c r="B173" s="4" cm="1">
        <f t="array" ref="B173">_xlfn.IFS('ProductSprint Backlog'!$F173="", "", AND('ProductSprint Backlog'!$J173&gt;B$2,'ProductSprint Backlog'!$I173&lt;=B$2), 'ProductSprint Backlog'!$F173 / MAX(1, 'ProductSprint Backlog'!$J173-'ProductSprint Backlog'!$I173), AND('ProductSprint Backlog'!$J173=B$2,'ProductSprint Backlog'!$I173=B$2), 'ProductSprint Backlog'!$F173, TRUE, 0)</f>
        <v>0</v>
      </c>
      <c r="C173" s="4" cm="1">
        <f t="array" ref="C173">_xlfn.IFS('ProductSprint Backlog'!$F173="", "", AND('ProductSprint Backlog'!$J173&gt;C$2,'ProductSprint Backlog'!$I173&lt;=C$2), 'ProductSprint Backlog'!$F173 / MAX(1, 'ProductSprint Backlog'!$J173-'ProductSprint Backlog'!$I173), AND('ProductSprint Backlog'!$J173=C$2,'ProductSprint Backlog'!$I173=C$2), 'ProductSprint Backlog'!$F173, TRUE, 0)</f>
        <v>0</v>
      </c>
      <c r="D173" s="4" cm="1">
        <f t="array" ref="D173">_xlfn.IFS('ProductSprint Backlog'!$F173="", "", AND('ProductSprint Backlog'!$J173&gt;D$2,'ProductSprint Backlog'!$I173&lt;=D$2), 'ProductSprint Backlog'!$F173 / MAX(1, 'ProductSprint Backlog'!$J173-'ProductSprint Backlog'!$I173), AND('ProductSprint Backlog'!$J173=D$2,'ProductSprint Backlog'!$I173=D$2), 'ProductSprint Backlog'!$F173, TRUE, 0)</f>
        <v>0</v>
      </c>
      <c r="E173" s="4" cm="1">
        <f t="array" ref="E173">_xlfn.IFS('ProductSprint Backlog'!$F173="", "", AND('ProductSprint Backlog'!$J173&gt;E$2,'ProductSprint Backlog'!$I173&lt;=E$2), 'ProductSprint Backlog'!$F173 / MAX(1, 'ProductSprint Backlog'!$J173-'ProductSprint Backlog'!$I173), AND('ProductSprint Backlog'!$J173=E$2,'ProductSprint Backlog'!$I173=E$2), 'ProductSprint Backlog'!$F173, TRUE, 0)</f>
        <v>0</v>
      </c>
      <c r="F173" s="4" cm="1">
        <f t="array" ref="F173">_xlfn.IFS('ProductSprint Backlog'!$F173="", "", AND('ProductSprint Backlog'!$J173&gt;F$2,'ProductSprint Backlog'!$I173&lt;=F$2), 'ProductSprint Backlog'!$F173 / MAX(1, 'ProductSprint Backlog'!$J173-'ProductSprint Backlog'!$I173), AND('ProductSprint Backlog'!$J173=F$2,'ProductSprint Backlog'!$I173=F$2), 'ProductSprint Backlog'!$F173, TRUE, 0)</f>
        <v>0</v>
      </c>
      <c r="G173" s="4" cm="1">
        <f t="array" ref="G173">_xlfn.IFS('ProductSprint Backlog'!$F173="", "", AND('ProductSprint Backlog'!$J173&gt;G$2,'ProductSprint Backlog'!$I173&lt;=G$2), 'ProductSprint Backlog'!$F173 / MAX(1, 'ProductSprint Backlog'!$J173-'ProductSprint Backlog'!$I173), AND('ProductSprint Backlog'!$J173=G$2,'ProductSprint Backlog'!$I173=G$2), 'ProductSprint Backlog'!$F173, TRUE, 0)</f>
        <v>0</v>
      </c>
      <c r="H173" s="4" cm="1">
        <f t="array" ref="H173">_xlfn.IFS('ProductSprint Backlog'!$F173="", "", AND('ProductSprint Backlog'!$J173&gt;H$2,'ProductSprint Backlog'!$I173&lt;=H$2), 'ProductSprint Backlog'!$F173 / MAX(1, 'ProductSprint Backlog'!$J173-'ProductSprint Backlog'!$I173), AND('ProductSprint Backlog'!$J173=H$2,'ProductSprint Backlog'!$I173=H$2), 'ProductSprint Backlog'!$F173, TRUE, 0)</f>
        <v>0</v>
      </c>
      <c r="I173" s="4" cm="1">
        <f t="array" ref="I173">_xlfn.IFS('ProductSprint Backlog'!$F173="", "", AND('ProductSprint Backlog'!$J173&gt;I$2,'ProductSprint Backlog'!$I173&lt;=I$2), 'ProductSprint Backlog'!$F173 / MAX(1, 'ProductSprint Backlog'!$J173-'ProductSprint Backlog'!$I173), AND('ProductSprint Backlog'!$J173=I$2,'ProductSprint Backlog'!$I173=I$2), 'ProductSprint Backlog'!$F173, TRUE, 0)</f>
        <v>0</v>
      </c>
      <c r="J173" s="4" cm="1">
        <f t="array" ref="J173">_xlfn.IFS('ProductSprint Backlog'!$F173="", "", AND('ProductSprint Backlog'!$J173&gt;J$2,'ProductSprint Backlog'!$I173&lt;=J$2), 'ProductSprint Backlog'!$F173 / MAX(1, 'ProductSprint Backlog'!$J173-'ProductSprint Backlog'!$I173), AND('ProductSprint Backlog'!$J173=J$2,'ProductSprint Backlog'!$I173=J$2), 'ProductSprint Backlog'!$F173, TRUE, 0)</f>
        <v>0</v>
      </c>
      <c r="K173" s="4" cm="1">
        <f t="array" ref="K173">_xlfn.IFS('ProductSprint Backlog'!$F173="", "", AND('ProductSprint Backlog'!$J173&gt;K$2,'ProductSprint Backlog'!$I173&lt;=K$2), 'ProductSprint Backlog'!$F173 / MAX(1, 'ProductSprint Backlog'!$J173-'ProductSprint Backlog'!$I173), AND('ProductSprint Backlog'!$J173=K$2,'ProductSprint Backlog'!$I173=K$2), 'ProductSprint Backlog'!$F173, TRUE, 0)</f>
        <v>0</v>
      </c>
      <c r="L173" s="4" cm="1">
        <f t="array" ref="L173">_xlfn.IFS('ProductSprint Backlog'!$F173="", "", AND('ProductSprint Backlog'!$J173&gt;L$2,'ProductSprint Backlog'!$I173&lt;=L$2), 'ProductSprint Backlog'!$F173 / MAX(1, 'ProductSprint Backlog'!$J173-'ProductSprint Backlog'!$I173), AND('ProductSprint Backlog'!$J173=L$2,'ProductSprint Backlog'!$I173=L$2), 'ProductSprint Backlog'!$F173, TRUE, 0)</f>
        <v>0</v>
      </c>
      <c r="M173" s="4" cm="1">
        <f t="array" ref="M173">_xlfn.IFS('ProductSprint Backlog'!$F173="", "", AND('ProductSprint Backlog'!$J173&gt;M$2,'ProductSprint Backlog'!$I173&lt;=M$2), 'ProductSprint Backlog'!$F173 / MAX(1, 'ProductSprint Backlog'!$J173-'ProductSprint Backlog'!$I173), AND('ProductSprint Backlog'!$J173=M$2,'ProductSprint Backlog'!$I173=M$2), 'ProductSprint Backlog'!$F173, TRUE, 0)</f>
        <v>0</v>
      </c>
      <c r="N173" s="4" cm="1">
        <f t="array" ref="N173">_xlfn.IFS('ProductSprint Backlog'!$F173="", "", AND('ProductSprint Backlog'!$J173&gt;N$2,'ProductSprint Backlog'!$I173&lt;=N$2), 'ProductSprint Backlog'!$F173 / MAX(1, 'ProductSprint Backlog'!$J173-'ProductSprint Backlog'!$I173), AND('ProductSprint Backlog'!$J173=N$2,'ProductSprint Backlog'!$I173=N$2), 'ProductSprint Backlog'!$F173, TRUE, 0)</f>
        <v>0</v>
      </c>
      <c r="O173" s="4" cm="1">
        <f t="array" ref="O173">_xlfn.IFS('ProductSprint Backlog'!$F173="", "", AND('ProductSprint Backlog'!$J173&gt;O$2,'ProductSprint Backlog'!$I173&lt;=O$2), 'ProductSprint Backlog'!$F173 / MAX(1, 'ProductSprint Backlog'!$J173-'ProductSprint Backlog'!$I173), AND('ProductSprint Backlog'!$J173=O$2,'ProductSprint Backlog'!$I173=O$2), 'ProductSprint Backlog'!$F173, TRUE, 0)</f>
        <v>0</v>
      </c>
      <c r="P173" s="4" cm="1">
        <f t="array" ref="P173">_xlfn.IFS('ProductSprint Backlog'!$F173="", "", AND('ProductSprint Backlog'!$J173&gt;P$2,'ProductSprint Backlog'!$I173&lt;=P$2), 'ProductSprint Backlog'!$F173 / MAX(1, 'ProductSprint Backlog'!$J173-'ProductSprint Backlog'!$I173), AND('ProductSprint Backlog'!$J173=P$2,'ProductSprint Backlog'!$I173=P$2), 'ProductSprint Backlog'!$F173, TRUE, 0)</f>
        <v>0</v>
      </c>
      <c r="Q173" s="4" cm="1">
        <f t="array" ref="Q173">_xlfn.IFS('ProductSprint Backlog'!$F173="", "", AND('ProductSprint Backlog'!$J173&gt;Q$2,'ProductSprint Backlog'!$I173&lt;=Q$2), 'ProductSprint Backlog'!$F173 / MAX(1, 'ProductSprint Backlog'!$J173-'ProductSprint Backlog'!$I173), AND('ProductSprint Backlog'!$J173=Q$2,'ProductSprint Backlog'!$I173=Q$2), 'ProductSprint Backlog'!$F173, TRUE, 0)</f>
        <v>0</v>
      </c>
      <c r="R173" s="4" cm="1">
        <f t="array" ref="R173">_xlfn.IFS('ProductSprint Backlog'!$F173="", "", AND('ProductSprint Backlog'!$J173&gt;R$2,'ProductSprint Backlog'!$I173&lt;=R$2), 'ProductSprint Backlog'!$F173 / MAX(1, 'ProductSprint Backlog'!$J173-'ProductSprint Backlog'!$I173), AND('ProductSprint Backlog'!$J173=R$2,'ProductSprint Backlog'!$I173=R$2), 'ProductSprint Backlog'!$F173, TRUE, 0)</f>
        <v>0</v>
      </c>
      <c r="S173" s="4" cm="1">
        <f t="array" ref="S173">_xlfn.IFS('ProductSprint Backlog'!$F173="", "", AND('ProductSprint Backlog'!$J173&gt;S$2,'ProductSprint Backlog'!$I173&lt;=S$2), 'ProductSprint Backlog'!$F173 / MAX(1, 'ProductSprint Backlog'!$J173-'ProductSprint Backlog'!$I173), AND('ProductSprint Backlog'!$J173=S$2,'ProductSprint Backlog'!$I173=S$2), 'ProductSprint Backlog'!$F173, TRUE, 0)</f>
        <v>0</v>
      </c>
      <c r="T173" s="4" cm="1">
        <f t="array" ref="T173">_xlfn.IFS('ProductSprint Backlog'!$F173="", "", AND('ProductSprint Backlog'!$J173&gt;T$2,'ProductSprint Backlog'!$I173&lt;=T$2), 'ProductSprint Backlog'!$F173 / MAX(1, 'ProductSprint Backlog'!$J173-'ProductSprint Backlog'!$I173), AND('ProductSprint Backlog'!$J173=T$2,'ProductSprint Backlog'!$I173=T$2), 'ProductSprint Backlog'!$F173, TRUE, 0)</f>
        <v>0</v>
      </c>
    </row>
    <row r="174" spans="2:20" x14ac:dyDescent="0.2">
      <c r="B174" s="4" cm="1">
        <f t="array" ref="B174">_xlfn.IFS('ProductSprint Backlog'!$F174="", "", AND('ProductSprint Backlog'!$J174&gt;B$2,'ProductSprint Backlog'!$I174&lt;=B$2), 'ProductSprint Backlog'!$F174 / MAX(1, 'ProductSprint Backlog'!$J174-'ProductSprint Backlog'!$I174), AND('ProductSprint Backlog'!$J174=B$2,'ProductSprint Backlog'!$I174=B$2), 'ProductSprint Backlog'!$F174, TRUE, 0)</f>
        <v>0</v>
      </c>
      <c r="C174" s="4" cm="1">
        <f t="array" ref="C174">_xlfn.IFS('ProductSprint Backlog'!$F174="", "", AND('ProductSprint Backlog'!$J174&gt;C$2,'ProductSprint Backlog'!$I174&lt;=C$2), 'ProductSprint Backlog'!$F174 / MAX(1, 'ProductSprint Backlog'!$J174-'ProductSprint Backlog'!$I174), AND('ProductSprint Backlog'!$J174=C$2,'ProductSprint Backlog'!$I174=C$2), 'ProductSprint Backlog'!$F174, TRUE, 0)</f>
        <v>0</v>
      </c>
      <c r="D174" s="4" cm="1">
        <f t="array" ref="D174">_xlfn.IFS('ProductSprint Backlog'!$F174="", "", AND('ProductSprint Backlog'!$J174&gt;D$2,'ProductSprint Backlog'!$I174&lt;=D$2), 'ProductSprint Backlog'!$F174 / MAX(1, 'ProductSprint Backlog'!$J174-'ProductSprint Backlog'!$I174), AND('ProductSprint Backlog'!$J174=D$2,'ProductSprint Backlog'!$I174=D$2), 'ProductSprint Backlog'!$F174, TRUE, 0)</f>
        <v>0</v>
      </c>
      <c r="E174" s="4" cm="1">
        <f t="array" ref="E174">_xlfn.IFS('ProductSprint Backlog'!$F174="", "", AND('ProductSprint Backlog'!$J174&gt;E$2,'ProductSprint Backlog'!$I174&lt;=E$2), 'ProductSprint Backlog'!$F174 / MAX(1, 'ProductSprint Backlog'!$J174-'ProductSprint Backlog'!$I174), AND('ProductSprint Backlog'!$J174=E$2,'ProductSprint Backlog'!$I174=E$2), 'ProductSprint Backlog'!$F174, TRUE, 0)</f>
        <v>0</v>
      </c>
      <c r="F174" s="4" cm="1">
        <f t="array" ref="F174">_xlfn.IFS('ProductSprint Backlog'!$F174="", "", AND('ProductSprint Backlog'!$J174&gt;F$2,'ProductSprint Backlog'!$I174&lt;=F$2), 'ProductSprint Backlog'!$F174 / MAX(1, 'ProductSprint Backlog'!$J174-'ProductSprint Backlog'!$I174), AND('ProductSprint Backlog'!$J174=F$2,'ProductSprint Backlog'!$I174=F$2), 'ProductSprint Backlog'!$F174, TRUE, 0)</f>
        <v>0</v>
      </c>
      <c r="G174" s="4" cm="1">
        <f t="array" ref="G174">_xlfn.IFS('ProductSprint Backlog'!$F174="", "", AND('ProductSprint Backlog'!$J174&gt;G$2,'ProductSprint Backlog'!$I174&lt;=G$2), 'ProductSprint Backlog'!$F174 / MAX(1, 'ProductSprint Backlog'!$J174-'ProductSprint Backlog'!$I174), AND('ProductSprint Backlog'!$J174=G$2,'ProductSprint Backlog'!$I174=G$2), 'ProductSprint Backlog'!$F174, TRUE, 0)</f>
        <v>0</v>
      </c>
      <c r="H174" s="4" cm="1">
        <f t="array" ref="H174">_xlfn.IFS('ProductSprint Backlog'!$F174="", "", AND('ProductSprint Backlog'!$J174&gt;H$2,'ProductSprint Backlog'!$I174&lt;=H$2), 'ProductSprint Backlog'!$F174 / MAX(1, 'ProductSprint Backlog'!$J174-'ProductSprint Backlog'!$I174), AND('ProductSprint Backlog'!$J174=H$2,'ProductSprint Backlog'!$I174=H$2), 'ProductSprint Backlog'!$F174, TRUE, 0)</f>
        <v>0</v>
      </c>
      <c r="I174" s="4" cm="1">
        <f t="array" ref="I174">_xlfn.IFS('ProductSprint Backlog'!$F174="", "", AND('ProductSprint Backlog'!$J174&gt;I$2,'ProductSprint Backlog'!$I174&lt;=I$2), 'ProductSprint Backlog'!$F174 / MAX(1, 'ProductSprint Backlog'!$J174-'ProductSprint Backlog'!$I174), AND('ProductSprint Backlog'!$J174=I$2,'ProductSprint Backlog'!$I174=I$2), 'ProductSprint Backlog'!$F174, TRUE, 0)</f>
        <v>0</v>
      </c>
      <c r="J174" s="4" cm="1">
        <f t="array" ref="J174">_xlfn.IFS('ProductSprint Backlog'!$F174="", "", AND('ProductSprint Backlog'!$J174&gt;J$2,'ProductSprint Backlog'!$I174&lt;=J$2), 'ProductSprint Backlog'!$F174 / MAX(1, 'ProductSprint Backlog'!$J174-'ProductSprint Backlog'!$I174), AND('ProductSprint Backlog'!$J174=J$2,'ProductSprint Backlog'!$I174=J$2), 'ProductSprint Backlog'!$F174, TRUE, 0)</f>
        <v>0</v>
      </c>
      <c r="K174" s="4" cm="1">
        <f t="array" ref="K174">_xlfn.IFS('ProductSprint Backlog'!$F174="", "", AND('ProductSprint Backlog'!$J174&gt;K$2,'ProductSprint Backlog'!$I174&lt;=K$2), 'ProductSprint Backlog'!$F174 / MAX(1, 'ProductSprint Backlog'!$J174-'ProductSprint Backlog'!$I174), AND('ProductSprint Backlog'!$J174=K$2,'ProductSprint Backlog'!$I174=K$2), 'ProductSprint Backlog'!$F174, TRUE, 0)</f>
        <v>0</v>
      </c>
      <c r="L174" s="4" cm="1">
        <f t="array" ref="L174">_xlfn.IFS('ProductSprint Backlog'!$F174="", "", AND('ProductSprint Backlog'!$J174&gt;L$2,'ProductSprint Backlog'!$I174&lt;=L$2), 'ProductSprint Backlog'!$F174 / MAX(1, 'ProductSprint Backlog'!$J174-'ProductSprint Backlog'!$I174), AND('ProductSprint Backlog'!$J174=L$2,'ProductSprint Backlog'!$I174=L$2), 'ProductSprint Backlog'!$F174, TRUE, 0)</f>
        <v>0</v>
      </c>
      <c r="M174" s="4" cm="1">
        <f t="array" ref="M174">_xlfn.IFS('ProductSprint Backlog'!$F174="", "", AND('ProductSprint Backlog'!$J174&gt;M$2,'ProductSprint Backlog'!$I174&lt;=M$2), 'ProductSprint Backlog'!$F174 / MAX(1, 'ProductSprint Backlog'!$J174-'ProductSprint Backlog'!$I174), AND('ProductSprint Backlog'!$J174=M$2,'ProductSprint Backlog'!$I174=M$2), 'ProductSprint Backlog'!$F174, TRUE, 0)</f>
        <v>0</v>
      </c>
      <c r="N174" s="4" cm="1">
        <f t="array" ref="N174">_xlfn.IFS('ProductSprint Backlog'!$F174="", "", AND('ProductSprint Backlog'!$J174&gt;N$2,'ProductSprint Backlog'!$I174&lt;=N$2), 'ProductSprint Backlog'!$F174 / MAX(1, 'ProductSprint Backlog'!$J174-'ProductSprint Backlog'!$I174), AND('ProductSprint Backlog'!$J174=N$2,'ProductSprint Backlog'!$I174=N$2), 'ProductSprint Backlog'!$F174, TRUE, 0)</f>
        <v>0</v>
      </c>
      <c r="O174" s="4" cm="1">
        <f t="array" ref="O174">_xlfn.IFS('ProductSprint Backlog'!$F174="", "", AND('ProductSprint Backlog'!$J174&gt;O$2,'ProductSprint Backlog'!$I174&lt;=O$2), 'ProductSprint Backlog'!$F174 / MAX(1, 'ProductSprint Backlog'!$J174-'ProductSprint Backlog'!$I174), AND('ProductSprint Backlog'!$J174=O$2,'ProductSprint Backlog'!$I174=O$2), 'ProductSprint Backlog'!$F174, TRUE, 0)</f>
        <v>0</v>
      </c>
      <c r="P174" s="4" cm="1">
        <f t="array" ref="P174">_xlfn.IFS('ProductSprint Backlog'!$F174="", "", AND('ProductSprint Backlog'!$J174&gt;P$2,'ProductSprint Backlog'!$I174&lt;=P$2), 'ProductSprint Backlog'!$F174 / MAX(1, 'ProductSprint Backlog'!$J174-'ProductSprint Backlog'!$I174), AND('ProductSprint Backlog'!$J174=P$2,'ProductSprint Backlog'!$I174=P$2), 'ProductSprint Backlog'!$F174, TRUE, 0)</f>
        <v>0</v>
      </c>
      <c r="Q174" s="4" cm="1">
        <f t="array" ref="Q174">_xlfn.IFS('ProductSprint Backlog'!$F174="", "", AND('ProductSprint Backlog'!$J174&gt;Q$2,'ProductSprint Backlog'!$I174&lt;=Q$2), 'ProductSprint Backlog'!$F174 / MAX(1, 'ProductSprint Backlog'!$J174-'ProductSprint Backlog'!$I174), AND('ProductSprint Backlog'!$J174=Q$2,'ProductSprint Backlog'!$I174=Q$2), 'ProductSprint Backlog'!$F174, TRUE, 0)</f>
        <v>0</v>
      </c>
      <c r="R174" s="4" cm="1">
        <f t="array" ref="R174">_xlfn.IFS('ProductSprint Backlog'!$F174="", "", AND('ProductSprint Backlog'!$J174&gt;R$2,'ProductSprint Backlog'!$I174&lt;=R$2), 'ProductSprint Backlog'!$F174 / MAX(1, 'ProductSprint Backlog'!$J174-'ProductSprint Backlog'!$I174), AND('ProductSprint Backlog'!$J174=R$2,'ProductSprint Backlog'!$I174=R$2), 'ProductSprint Backlog'!$F174, TRUE, 0)</f>
        <v>0</v>
      </c>
      <c r="S174" s="4" cm="1">
        <f t="array" ref="S174">_xlfn.IFS('ProductSprint Backlog'!$F174="", "", AND('ProductSprint Backlog'!$J174&gt;S$2,'ProductSprint Backlog'!$I174&lt;=S$2), 'ProductSprint Backlog'!$F174 / MAX(1, 'ProductSprint Backlog'!$J174-'ProductSprint Backlog'!$I174), AND('ProductSprint Backlog'!$J174=S$2,'ProductSprint Backlog'!$I174=S$2), 'ProductSprint Backlog'!$F174, TRUE, 0)</f>
        <v>0</v>
      </c>
      <c r="T174" s="4" cm="1">
        <f t="array" ref="T174">_xlfn.IFS('ProductSprint Backlog'!$F174="", "", AND('ProductSprint Backlog'!$J174&gt;T$2,'ProductSprint Backlog'!$I174&lt;=T$2), 'ProductSprint Backlog'!$F174 / MAX(1, 'ProductSprint Backlog'!$J174-'ProductSprint Backlog'!$I174), AND('ProductSprint Backlog'!$J174=T$2,'ProductSprint Backlog'!$I174=T$2), 'ProductSprint Backlog'!$F174, TRUE, 0)</f>
        <v>0</v>
      </c>
    </row>
    <row r="175" spans="2:20" x14ac:dyDescent="0.2">
      <c r="B175" s="4" cm="1">
        <f t="array" ref="B175">_xlfn.IFS('ProductSprint Backlog'!$F175="", "", AND('ProductSprint Backlog'!$J175&gt;B$2,'ProductSprint Backlog'!$I175&lt;=B$2), 'ProductSprint Backlog'!$F175 / MAX(1, 'ProductSprint Backlog'!$J175-'ProductSprint Backlog'!$I175), AND('ProductSprint Backlog'!$J175=B$2,'ProductSprint Backlog'!$I175=B$2), 'ProductSprint Backlog'!$F175, TRUE, 0)</f>
        <v>0</v>
      </c>
      <c r="C175" s="4" cm="1">
        <f t="array" ref="C175">_xlfn.IFS('ProductSprint Backlog'!$F175="", "", AND('ProductSprint Backlog'!$J175&gt;C$2,'ProductSprint Backlog'!$I175&lt;=C$2), 'ProductSprint Backlog'!$F175 / MAX(1, 'ProductSprint Backlog'!$J175-'ProductSprint Backlog'!$I175), AND('ProductSprint Backlog'!$J175=C$2,'ProductSprint Backlog'!$I175=C$2), 'ProductSprint Backlog'!$F175, TRUE, 0)</f>
        <v>0</v>
      </c>
      <c r="D175" s="4" cm="1">
        <f t="array" ref="D175">_xlfn.IFS('ProductSprint Backlog'!$F175="", "", AND('ProductSprint Backlog'!$J175&gt;D$2,'ProductSprint Backlog'!$I175&lt;=D$2), 'ProductSprint Backlog'!$F175 / MAX(1, 'ProductSprint Backlog'!$J175-'ProductSprint Backlog'!$I175), AND('ProductSprint Backlog'!$J175=D$2,'ProductSprint Backlog'!$I175=D$2), 'ProductSprint Backlog'!$F175, TRUE, 0)</f>
        <v>0</v>
      </c>
      <c r="E175" s="4" cm="1">
        <f t="array" ref="E175">_xlfn.IFS('ProductSprint Backlog'!$F175="", "", AND('ProductSprint Backlog'!$J175&gt;E$2,'ProductSprint Backlog'!$I175&lt;=E$2), 'ProductSprint Backlog'!$F175 / MAX(1, 'ProductSprint Backlog'!$J175-'ProductSprint Backlog'!$I175), AND('ProductSprint Backlog'!$J175=E$2,'ProductSprint Backlog'!$I175=E$2), 'ProductSprint Backlog'!$F175, TRUE, 0)</f>
        <v>0</v>
      </c>
      <c r="F175" s="4" cm="1">
        <f t="array" ref="F175">_xlfn.IFS('ProductSprint Backlog'!$F175="", "", AND('ProductSprint Backlog'!$J175&gt;F$2,'ProductSprint Backlog'!$I175&lt;=F$2), 'ProductSprint Backlog'!$F175 / MAX(1, 'ProductSprint Backlog'!$J175-'ProductSprint Backlog'!$I175), AND('ProductSprint Backlog'!$J175=F$2,'ProductSprint Backlog'!$I175=F$2), 'ProductSprint Backlog'!$F175, TRUE, 0)</f>
        <v>0</v>
      </c>
      <c r="G175" s="4" cm="1">
        <f t="array" ref="G175">_xlfn.IFS('ProductSprint Backlog'!$F175="", "", AND('ProductSprint Backlog'!$J175&gt;G$2,'ProductSprint Backlog'!$I175&lt;=G$2), 'ProductSprint Backlog'!$F175 / MAX(1, 'ProductSprint Backlog'!$J175-'ProductSprint Backlog'!$I175), AND('ProductSprint Backlog'!$J175=G$2,'ProductSprint Backlog'!$I175=G$2), 'ProductSprint Backlog'!$F175, TRUE, 0)</f>
        <v>0</v>
      </c>
      <c r="H175" s="4" cm="1">
        <f t="array" ref="H175">_xlfn.IFS('ProductSprint Backlog'!$F175="", "", AND('ProductSprint Backlog'!$J175&gt;H$2,'ProductSprint Backlog'!$I175&lt;=H$2), 'ProductSprint Backlog'!$F175 / MAX(1, 'ProductSprint Backlog'!$J175-'ProductSprint Backlog'!$I175), AND('ProductSprint Backlog'!$J175=H$2,'ProductSprint Backlog'!$I175=H$2), 'ProductSprint Backlog'!$F175, TRUE, 0)</f>
        <v>0</v>
      </c>
      <c r="I175" s="4" cm="1">
        <f t="array" ref="I175">_xlfn.IFS('ProductSprint Backlog'!$F175="", "", AND('ProductSprint Backlog'!$J175&gt;I$2,'ProductSprint Backlog'!$I175&lt;=I$2), 'ProductSprint Backlog'!$F175 / MAX(1, 'ProductSprint Backlog'!$J175-'ProductSprint Backlog'!$I175), AND('ProductSprint Backlog'!$J175=I$2,'ProductSprint Backlog'!$I175=I$2), 'ProductSprint Backlog'!$F175, TRUE, 0)</f>
        <v>0</v>
      </c>
      <c r="J175" s="4" cm="1">
        <f t="array" ref="J175">_xlfn.IFS('ProductSprint Backlog'!$F175="", "", AND('ProductSprint Backlog'!$J175&gt;J$2,'ProductSprint Backlog'!$I175&lt;=J$2), 'ProductSprint Backlog'!$F175 / MAX(1, 'ProductSprint Backlog'!$J175-'ProductSprint Backlog'!$I175), AND('ProductSprint Backlog'!$J175=J$2,'ProductSprint Backlog'!$I175=J$2), 'ProductSprint Backlog'!$F175, TRUE, 0)</f>
        <v>0</v>
      </c>
      <c r="K175" s="4" cm="1">
        <f t="array" ref="K175">_xlfn.IFS('ProductSprint Backlog'!$F175="", "", AND('ProductSprint Backlog'!$J175&gt;K$2,'ProductSprint Backlog'!$I175&lt;=K$2), 'ProductSprint Backlog'!$F175 / MAX(1, 'ProductSprint Backlog'!$J175-'ProductSprint Backlog'!$I175), AND('ProductSprint Backlog'!$J175=K$2,'ProductSprint Backlog'!$I175=K$2), 'ProductSprint Backlog'!$F175, TRUE, 0)</f>
        <v>0</v>
      </c>
      <c r="L175" s="4" cm="1">
        <f t="array" ref="L175">_xlfn.IFS('ProductSprint Backlog'!$F175="", "", AND('ProductSprint Backlog'!$J175&gt;L$2,'ProductSprint Backlog'!$I175&lt;=L$2), 'ProductSprint Backlog'!$F175 / MAX(1, 'ProductSprint Backlog'!$J175-'ProductSprint Backlog'!$I175), AND('ProductSprint Backlog'!$J175=L$2,'ProductSprint Backlog'!$I175=L$2), 'ProductSprint Backlog'!$F175, TRUE, 0)</f>
        <v>0</v>
      </c>
      <c r="M175" s="4" cm="1">
        <f t="array" ref="M175">_xlfn.IFS('ProductSprint Backlog'!$F175="", "", AND('ProductSprint Backlog'!$J175&gt;M$2,'ProductSprint Backlog'!$I175&lt;=M$2), 'ProductSprint Backlog'!$F175 / MAX(1, 'ProductSprint Backlog'!$J175-'ProductSprint Backlog'!$I175), AND('ProductSprint Backlog'!$J175=M$2,'ProductSprint Backlog'!$I175=M$2), 'ProductSprint Backlog'!$F175, TRUE, 0)</f>
        <v>0</v>
      </c>
      <c r="N175" s="4" cm="1">
        <f t="array" ref="N175">_xlfn.IFS('ProductSprint Backlog'!$F175="", "", AND('ProductSprint Backlog'!$J175&gt;N$2,'ProductSprint Backlog'!$I175&lt;=N$2), 'ProductSprint Backlog'!$F175 / MAX(1, 'ProductSprint Backlog'!$J175-'ProductSprint Backlog'!$I175), AND('ProductSprint Backlog'!$J175=N$2,'ProductSprint Backlog'!$I175=N$2), 'ProductSprint Backlog'!$F175, TRUE, 0)</f>
        <v>0</v>
      </c>
      <c r="O175" s="4" cm="1">
        <f t="array" ref="O175">_xlfn.IFS('ProductSprint Backlog'!$F175="", "", AND('ProductSprint Backlog'!$J175&gt;O$2,'ProductSprint Backlog'!$I175&lt;=O$2), 'ProductSprint Backlog'!$F175 / MAX(1, 'ProductSprint Backlog'!$J175-'ProductSprint Backlog'!$I175), AND('ProductSprint Backlog'!$J175=O$2,'ProductSprint Backlog'!$I175=O$2), 'ProductSprint Backlog'!$F175, TRUE, 0)</f>
        <v>0</v>
      </c>
      <c r="P175" s="4" cm="1">
        <f t="array" ref="P175">_xlfn.IFS('ProductSprint Backlog'!$F175="", "", AND('ProductSprint Backlog'!$J175&gt;P$2,'ProductSprint Backlog'!$I175&lt;=P$2), 'ProductSprint Backlog'!$F175 / MAX(1, 'ProductSprint Backlog'!$J175-'ProductSprint Backlog'!$I175), AND('ProductSprint Backlog'!$J175=P$2,'ProductSprint Backlog'!$I175=P$2), 'ProductSprint Backlog'!$F175, TRUE, 0)</f>
        <v>0</v>
      </c>
      <c r="Q175" s="4" cm="1">
        <f t="array" ref="Q175">_xlfn.IFS('ProductSprint Backlog'!$F175="", "", AND('ProductSprint Backlog'!$J175&gt;Q$2,'ProductSprint Backlog'!$I175&lt;=Q$2), 'ProductSprint Backlog'!$F175 / MAX(1, 'ProductSprint Backlog'!$J175-'ProductSprint Backlog'!$I175), AND('ProductSprint Backlog'!$J175=Q$2,'ProductSprint Backlog'!$I175=Q$2), 'ProductSprint Backlog'!$F175, TRUE, 0)</f>
        <v>0</v>
      </c>
      <c r="R175" s="4" cm="1">
        <f t="array" ref="R175">_xlfn.IFS('ProductSprint Backlog'!$F175="", "", AND('ProductSprint Backlog'!$J175&gt;R$2,'ProductSprint Backlog'!$I175&lt;=R$2), 'ProductSprint Backlog'!$F175 / MAX(1, 'ProductSprint Backlog'!$J175-'ProductSprint Backlog'!$I175), AND('ProductSprint Backlog'!$J175=R$2,'ProductSprint Backlog'!$I175=R$2), 'ProductSprint Backlog'!$F175, TRUE, 0)</f>
        <v>0</v>
      </c>
      <c r="S175" s="4" cm="1">
        <f t="array" ref="S175">_xlfn.IFS('ProductSprint Backlog'!$F175="", "", AND('ProductSprint Backlog'!$J175&gt;S$2,'ProductSprint Backlog'!$I175&lt;=S$2), 'ProductSprint Backlog'!$F175 / MAX(1, 'ProductSprint Backlog'!$J175-'ProductSprint Backlog'!$I175), AND('ProductSprint Backlog'!$J175=S$2,'ProductSprint Backlog'!$I175=S$2), 'ProductSprint Backlog'!$F175, TRUE, 0)</f>
        <v>0</v>
      </c>
      <c r="T175" s="4" cm="1">
        <f t="array" ref="T175">_xlfn.IFS('ProductSprint Backlog'!$F175="", "", AND('ProductSprint Backlog'!$J175&gt;T$2,'ProductSprint Backlog'!$I175&lt;=T$2), 'ProductSprint Backlog'!$F175 / MAX(1, 'ProductSprint Backlog'!$J175-'ProductSprint Backlog'!$I175), AND('ProductSprint Backlog'!$J175=T$2,'ProductSprint Backlog'!$I175=T$2), 'ProductSprint Backlog'!$F175, TRUE, 0)</f>
        <v>0</v>
      </c>
    </row>
    <row r="176" spans="2:20" x14ac:dyDescent="0.2">
      <c r="B176" s="4" cm="1">
        <f t="array" ref="B176">_xlfn.IFS('ProductSprint Backlog'!$F176="", "", AND('ProductSprint Backlog'!$J176&gt;B$2,'ProductSprint Backlog'!$I176&lt;=B$2), 'ProductSprint Backlog'!$F176 / MAX(1, 'ProductSprint Backlog'!$J176-'ProductSprint Backlog'!$I176), AND('ProductSprint Backlog'!$J176=B$2,'ProductSprint Backlog'!$I176=B$2), 'ProductSprint Backlog'!$F176, TRUE, 0)</f>
        <v>0</v>
      </c>
      <c r="C176" s="4" cm="1">
        <f t="array" ref="C176">_xlfn.IFS('ProductSprint Backlog'!$F176="", "", AND('ProductSprint Backlog'!$J176&gt;C$2,'ProductSprint Backlog'!$I176&lt;=C$2), 'ProductSprint Backlog'!$F176 / MAX(1, 'ProductSprint Backlog'!$J176-'ProductSprint Backlog'!$I176), AND('ProductSprint Backlog'!$J176=C$2,'ProductSprint Backlog'!$I176=C$2), 'ProductSprint Backlog'!$F176, TRUE, 0)</f>
        <v>0</v>
      </c>
      <c r="D176" s="4" cm="1">
        <f t="array" ref="D176">_xlfn.IFS('ProductSprint Backlog'!$F176="", "", AND('ProductSprint Backlog'!$J176&gt;D$2,'ProductSprint Backlog'!$I176&lt;=D$2), 'ProductSprint Backlog'!$F176 / MAX(1, 'ProductSprint Backlog'!$J176-'ProductSprint Backlog'!$I176), AND('ProductSprint Backlog'!$J176=D$2,'ProductSprint Backlog'!$I176=D$2), 'ProductSprint Backlog'!$F176, TRUE, 0)</f>
        <v>0</v>
      </c>
      <c r="E176" s="4" cm="1">
        <f t="array" ref="E176">_xlfn.IFS('ProductSprint Backlog'!$F176="", "", AND('ProductSprint Backlog'!$J176&gt;E$2,'ProductSprint Backlog'!$I176&lt;=E$2), 'ProductSprint Backlog'!$F176 / MAX(1, 'ProductSprint Backlog'!$J176-'ProductSprint Backlog'!$I176), AND('ProductSprint Backlog'!$J176=E$2,'ProductSprint Backlog'!$I176=E$2), 'ProductSprint Backlog'!$F176, TRUE, 0)</f>
        <v>0</v>
      </c>
      <c r="F176" s="4" cm="1">
        <f t="array" ref="F176">_xlfn.IFS('ProductSprint Backlog'!$F176="", "", AND('ProductSprint Backlog'!$J176&gt;F$2,'ProductSprint Backlog'!$I176&lt;=F$2), 'ProductSprint Backlog'!$F176 / MAX(1, 'ProductSprint Backlog'!$J176-'ProductSprint Backlog'!$I176), AND('ProductSprint Backlog'!$J176=F$2,'ProductSprint Backlog'!$I176=F$2), 'ProductSprint Backlog'!$F176, TRUE, 0)</f>
        <v>0</v>
      </c>
      <c r="G176" s="4" cm="1">
        <f t="array" ref="G176">_xlfn.IFS('ProductSprint Backlog'!$F176="", "", AND('ProductSprint Backlog'!$J176&gt;G$2,'ProductSprint Backlog'!$I176&lt;=G$2), 'ProductSprint Backlog'!$F176 / MAX(1, 'ProductSprint Backlog'!$J176-'ProductSprint Backlog'!$I176), AND('ProductSprint Backlog'!$J176=G$2,'ProductSprint Backlog'!$I176=G$2), 'ProductSprint Backlog'!$F176, TRUE, 0)</f>
        <v>0</v>
      </c>
      <c r="H176" s="4" cm="1">
        <f t="array" ref="H176">_xlfn.IFS('ProductSprint Backlog'!$F176="", "", AND('ProductSprint Backlog'!$J176&gt;H$2,'ProductSprint Backlog'!$I176&lt;=H$2), 'ProductSprint Backlog'!$F176 / MAX(1, 'ProductSprint Backlog'!$J176-'ProductSprint Backlog'!$I176), AND('ProductSprint Backlog'!$J176=H$2,'ProductSprint Backlog'!$I176=H$2), 'ProductSprint Backlog'!$F176, TRUE, 0)</f>
        <v>0</v>
      </c>
      <c r="I176" s="4" cm="1">
        <f t="array" ref="I176">_xlfn.IFS('ProductSprint Backlog'!$F176="", "", AND('ProductSprint Backlog'!$J176&gt;I$2,'ProductSprint Backlog'!$I176&lt;=I$2), 'ProductSprint Backlog'!$F176 / MAX(1, 'ProductSprint Backlog'!$J176-'ProductSprint Backlog'!$I176), AND('ProductSprint Backlog'!$J176=I$2,'ProductSprint Backlog'!$I176=I$2), 'ProductSprint Backlog'!$F176, TRUE, 0)</f>
        <v>0</v>
      </c>
      <c r="J176" s="4" cm="1">
        <f t="array" ref="J176">_xlfn.IFS('ProductSprint Backlog'!$F176="", "", AND('ProductSprint Backlog'!$J176&gt;J$2,'ProductSprint Backlog'!$I176&lt;=J$2), 'ProductSprint Backlog'!$F176 / MAX(1, 'ProductSprint Backlog'!$J176-'ProductSprint Backlog'!$I176), AND('ProductSprint Backlog'!$J176=J$2,'ProductSprint Backlog'!$I176=J$2), 'ProductSprint Backlog'!$F176, TRUE, 0)</f>
        <v>0</v>
      </c>
      <c r="K176" s="4" cm="1">
        <f t="array" ref="K176">_xlfn.IFS('ProductSprint Backlog'!$F176="", "", AND('ProductSprint Backlog'!$J176&gt;K$2,'ProductSprint Backlog'!$I176&lt;=K$2), 'ProductSprint Backlog'!$F176 / MAX(1, 'ProductSprint Backlog'!$J176-'ProductSprint Backlog'!$I176), AND('ProductSprint Backlog'!$J176=K$2,'ProductSprint Backlog'!$I176=K$2), 'ProductSprint Backlog'!$F176, TRUE, 0)</f>
        <v>0</v>
      </c>
      <c r="L176" s="4" cm="1">
        <f t="array" ref="L176">_xlfn.IFS('ProductSprint Backlog'!$F176="", "", AND('ProductSprint Backlog'!$J176&gt;L$2,'ProductSprint Backlog'!$I176&lt;=L$2), 'ProductSprint Backlog'!$F176 / MAX(1, 'ProductSprint Backlog'!$J176-'ProductSprint Backlog'!$I176), AND('ProductSprint Backlog'!$J176=L$2,'ProductSprint Backlog'!$I176=L$2), 'ProductSprint Backlog'!$F176, TRUE, 0)</f>
        <v>0</v>
      </c>
      <c r="M176" s="4" cm="1">
        <f t="array" ref="M176">_xlfn.IFS('ProductSprint Backlog'!$F176="", "", AND('ProductSprint Backlog'!$J176&gt;M$2,'ProductSprint Backlog'!$I176&lt;=M$2), 'ProductSprint Backlog'!$F176 / MAX(1, 'ProductSprint Backlog'!$J176-'ProductSprint Backlog'!$I176), AND('ProductSprint Backlog'!$J176=M$2,'ProductSprint Backlog'!$I176=M$2), 'ProductSprint Backlog'!$F176, TRUE, 0)</f>
        <v>0</v>
      </c>
      <c r="N176" s="4" cm="1">
        <f t="array" ref="N176">_xlfn.IFS('ProductSprint Backlog'!$F176="", "", AND('ProductSprint Backlog'!$J176&gt;N$2,'ProductSprint Backlog'!$I176&lt;=N$2), 'ProductSprint Backlog'!$F176 / MAX(1, 'ProductSprint Backlog'!$J176-'ProductSprint Backlog'!$I176), AND('ProductSprint Backlog'!$J176=N$2,'ProductSprint Backlog'!$I176=N$2), 'ProductSprint Backlog'!$F176, TRUE, 0)</f>
        <v>0</v>
      </c>
      <c r="O176" s="4" cm="1">
        <f t="array" ref="O176">_xlfn.IFS('ProductSprint Backlog'!$F176="", "", AND('ProductSprint Backlog'!$J176&gt;O$2,'ProductSprint Backlog'!$I176&lt;=O$2), 'ProductSprint Backlog'!$F176 / MAX(1, 'ProductSprint Backlog'!$J176-'ProductSprint Backlog'!$I176), AND('ProductSprint Backlog'!$J176=O$2,'ProductSprint Backlog'!$I176=O$2), 'ProductSprint Backlog'!$F176, TRUE, 0)</f>
        <v>0</v>
      </c>
      <c r="P176" s="4" cm="1">
        <f t="array" ref="P176">_xlfn.IFS('ProductSprint Backlog'!$F176="", "", AND('ProductSprint Backlog'!$J176&gt;P$2,'ProductSprint Backlog'!$I176&lt;=P$2), 'ProductSprint Backlog'!$F176 / MAX(1, 'ProductSprint Backlog'!$J176-'ProductSprint Backlog'!$I176), AND('ProductSprint Backlog'!$J176=P$2,'ProductSprint Backlog'!$I176=P$2), 'ProductSprint Backlog'!$F176, TRUE, 0)</f>
        <v>0</v>
      </c>
      <c r="Q176" s="4" cm="1">
        <f t="array" ref="Q176">_xlfn.IFS('ProductSprint Backlog'!$F176="", "", AND('ProductSprint Backlog'!$J176&gt;Q$2,'ProductSprint Backlog'!$I176&lt;=Q$2), 'ProductSprint Backlog'!$F176 / MAX(1, 'ProductSprint Backlog'!$J176-'ProductSprint Backlog'!$I176), AND('ProductSprint Backlog'!$J176=Q$2,'ProductSprint Backlog'!$I176=Q$2), 'ProductSprint Backlog'!$F176, TRUE, 0)</f>
        <v>0</v>
      </c>
      <c r="R176" s="4" cm="1">
        <f t="array" ref="R176">_xlfn.IFS('ProductSprint Backlog'!$F176="", "", AND('ProductSprint Backlog'!$J176&gt;R$2,'ProductSprint Backlog'!$I176&lt;=R$2), 'ProductSprint Backlog'!$F176 / MAX(1, 'ProductSprint Backlog'!$J176-'ProductSprint Backlog'!$I176), AND('ProductSprint Backlog'!$J176=R$2,'ProductSprint Backlog'!$I176=R$2), 'ProductSprint Backlog'!$F176, TRUE, 0)</f>
        <v>0</v>
      </c>
      <c r="S176" s="4" cm="1">
        <f t="array" ref="S176">_xlfn.IFS('ProductSprint Backlog'!$F176="", "", AND('ProductSprint Backlog'!$J176&gt;S$2,'ProductSprint Backlog'!$I176&lt;=S$2), 'ProductSprint Backlog'!$F176 / MAX(1, 'ProductSprint Backlog'!$J176-'ProductSprint Backlog'!$I176), AND('ProductSprint Backlog'!$J176=S$2,'ProductSprint Backlog'!$I176=S$2), 'ProductSprint Backlog'!$F176, TRUE, 0)</f>
        <v>0</v>
      </c>
      <c r="T176" s="4" cm="1">
        <f t="array" ref="T176">_xlfn.IFS('ProductSprint Backlog'!$F176="", "", AND('ProductSprint Backlog'!$J176&gt;T$2,'ProductSprint Backlog'!$I176&lt;=T$2), 'ProductSprint Backlog'!$F176 / MAX(1, 'ProductSprint Backlog'!$J176-'ProductSprint Backlog'!$I176), AND('ProductSprint Backlog'!$J176=T$2,'ProductSprint Backlog'!$I176=T$2), 'ProductSprint Backlog'!$F176, TRUE, 0)</f>
        <v>0</v>
      </c>
    </row>
    <row r="177" spans="2:20" x14ac:dyDescent="0.2">
      <c r="B177" s="4" cm="1">
        <f t="array" ref="B177">_xlfn.IFS('ProductSprint Backlog'!$F177="", "", AND('ProductSprint Backlog'!$J177&gt;B$2,'ProductSprint Backlog'!$I177&lt;=B$2), 'ProductSprint Backlog'!$F177 / MAX(1, 'ProductSprint Backlog'!$J177-'ProductSprint Backlog'!$I177), AND('ProductSprint Backlog'!$J177=B$2,'ProductSprint Backlog'!$I177=B$2), 'ProductSprint Backlog'!$F177, TRUE, 0)</f>
        <v>0</v>
      </c>
      <c r="C177" s="4" cm="1">
        <f t="array" ref="C177">_xlfn.IFS('ProductSprint Backlog'!$F177="", "", AND('ProductSprint Backlog'!$J177&gt;C$2,'ProductSprint Backlog'!$I177&lt;=C$2), 'ProductSprint Backlog'!$F177 / MAX(1, 'ProductSprint Backlog'!$J177-'ProductSprint Backlog'!$I177), AND('ProductSprint Backlog'!$J177=C$2,'ProductSprint Backlog'!$I177=C$2), 'ProductSprint Backlog'!$F177, TRUE, 0)</f>
        <v>0</v>
      </c>
      <c r="D177" s="4" cm="1">
        <f t="array" ref="D177">_xlfn.IFS('ProductSprint Backlog'!$F177="", "", AND('ProductSprint Backlog'!$J177&gt;D$2,'ProductSprint Backlog'!$I177&lt;=D$2), 'ProductSprint Backlog'!$F177 / MAX(1, 'ProductSprint Backlog'!$J177-'ProductSprint Backlog'!$I177), AND('ProductSprint Backlog'!$J177=D$2,'ProductSprint Backlog'!$I177=D$2), 'ProductSprint Backlog'!$F177, TRUE, 0)</f>
        <v>0</v>
      </c>
      <c r="E177" s="4" cm="1">
        <f t="array" ref="E177">_xlfn.IFS('ProductSprint Backlog'!$F177="", "", AND('ProductSprint Backlog'!$J177&gt;E$2,'ProductSprint Backlog'!$I177&lt;=E$2), 'ProductSprint Backlog'!$F177 / MAX(1, 'ProductSprint Backlog'!$J177-'ProductSprint Backlog'!$I177), AND('ProductSprint Backlog'!$J177=E$2,'ProductSprint Backlog'!$I177=E$2), 'ProductSprint Backlog'!$F177, TRUE, 0)</f>
        <v>0</v>
      </c>
      <c r="F177" s="4" cm="1">
        <f t="array" ref="F177">_xlfn.IFS('ProductSprint Backlog'!$F177="", "", AND('ProductSprint Backlog'!$J177&gt;F$2,'ProductSprint Backlog'!$I177&lt;=F$2), 'ProductSprint Backlog'!$F177 / MAX(1, 'ProductSprint Backlog'!$J177-'ProductSprint Backlog'!$I177), AND('ProductSprint Backlog'!$J177=F$2,'ProductSprint Backlog'!$I177=F$2), 'ProductSprint Backlog'!$F177, TRUE, 0)</f>
        <v>0</v>
      </c>
      <c r="G177" s="4" cm="1">
        <f t="array" ref="G177">_xlfn.IFS('ProductSprint Backlog'!$F177="", "", AND('ProductSprint Backlog'!$J177&gt;G$2,'ProductSprint Backlog'!$I177&lt;=G$2), 'ProductSprint Backlog'!$F177 / MAX(1, 'ProductSprint Backlog'!$J177-'ProductSprint Backlog'!$I177), AND('ProductSprint Backlog'!$J177=G$2,'ProductSprint Backlog'!$I177=G$2), 'ProductSprint Backlog'!$F177, TRUE, 0)</f>
        <v>0</v>
      </c>
      <c r="H177" s="4" cm="1">
        <f t="array" ref="H177">_xlfn.IFS('ProductSprint Backlog'!$F177="", "", AND('ProductSprint Backlog'!$J177&gt;H$2,'ProductSprint Backlog'!$I177&lt;=H$2), 'ProductSprint Backlog'!$F177 / MAX(1, 'ProductSprint Backlog'!$J177-'ProductSprint Backlog'!$I177), AND('ProductSprint Backlog'!$J177=H$2,'ProductSprint Backlog'!$I177=H$2), 'ProductSprint Backlog'!$F177, TRUE, 0)</f>
        <v>0</v>
      </c>
      <c r="I177" s="4" cm="1">
        <f t="array" ref="I177">_xlfn.IFS('ProductSprint Backlog'!$F177="", "", AND('ProductSprint Backlog'!$J177&gt;I$2,'ProductSprint Backlog'!$I177&lt;=I$2), 'ProductSprint Backlog'!$F177 / MAX(1, 'ProductSprint Backlog'!$J177-'ProductSprint Backlog'!$I177), AND('ProductSprint Backlog'!$J177=I$2,'ProductSprint Backlog'!$I177=I$2), 'ProductSprint Backlog'!$F177, TRUE, 0)</f>
        <v>0</v>
      </c>
      <c r="J177" s="4" cm="1">
        <f t="array" ref="J177">_xlfn.IFS('ProductSprint Backlog'!$F177="", "", AND('ProductSprint Backlog'!$J177&gt;J$2,'ProductSprint Backlog'!$I177&lt;=J$2), 'ProductSprint Backlog'!$F177 / MAX(1, 'ProductSprint Backlog'!$J177-'ProductSprint Backlog'!$I177), AND('ProductSprint Backlog'!$J177=J$2,'ProductSprint Backlog'!$I177=J$2), 'ProductSprint Backlog'!$F177, TRUE, 0)</f>
        <v>0</v>
      </c>
      <c r="K177" s="4" cm="1">
        <f t="array" ref="K177">_xlfn.IFS('ProductSprint Backlog'!$F177="", "", AND('ProductSprint Backlog'!$J177&gt;K$2,'ProductSprint Backlog'!$I177&lt;=K$2), 'ProductSprint Backlog'!$F177 / MAX(1, 'ProductSprint Backlog'!$J177-'ProductSprint Backlog'!$I177), AND('ProductSprint Backlog'!$J177=K$2,'ProductSprint Backlog'!$I177=K$2), 'ProductSprint Backlog'!$F177, TRUE, 0)</f>
        <v>0</v>
      </c>
      <c r="L177" s="4" cm="1">
        <f t="array" ref="L177">_xlfn.IFS('ProductSprint Backlog'!$F177="", "", AND('ProductSprint Backlog'!$J177&gt;L$2,'ProductSprint Backlog'!$I177&lt;=L$2), 'ProductSprint Backlog'!$F177 / MAX(1, 'ProductSprint Backlog'!$J177-'ProductSprint Backlog'!$I177), AND('ProductSprint Backlog'!$J177=L$2,'ProductSprint Backlog'!$I177=L$2), 'ProductSprint Backlog'!$F177, TRUE, 0)</f>
        <v>0</v>
      </c>
      <c r="M177" s="4" cm="1">
        <f t="array" ref="M177">_xlfn.IFS('ProductSprint Backlog'!$F177="", "", AND('ProductSprint Backlog'!$J177&gt;M$2,'ProductSprint Backlog'!$I177&lt;=M$2), 'ProductSprint Backlog'!$F177 / MAX(1, 'ProductSprint Backlog'!$J177-'ProductSprint Backlog'!$I177), AND('ProductSprint Backlog'!$J177=M$2,'ProductSprint Backlog'!$I177=M$2), 'ProductSprint Backlog'!$F177, TRUE, 0)</f>
        <v>0</v>
      </c>
      <c r="N177" s="4" cm="1">
        <f t="array" ref="N177">_xlfn.IFS('ProductSprint Backlog'!$F177="", "", AND('ProductSprint Backlog'!$J177&gt;N$2,'ProductSprint Backlog'!$I177&lt;=N$2), 'ProductSprint Backlog'!$F177 / MAX(1, 'ProductSprint Backlog'!$J177-'ProductSprint Backlog'!$I177), AND('ProductSprint Backlog'!$J177=N$2,'ProductSprint Backlog'!$I177=N$2), 'ProductSprint Backlog'!$F177, TRUE, 0)</f>
        <v>0</v>
      </c>
      <c r="O177" s="4" cm="1">
        <f t="array" ref="O177">_xlfn.IFS('ProductSprint Backlog'!$F177="", "", AND('ProductSprint Backlog'!$J177&gt;O$2,'ProductSprint Backlog'!$I177&lt;=O$2), 'ProductSprint Backlog'!$F177 / MAX(1, 'ProductSprint Backlog'!$J177-'ProductSprint Backlog'!$I177), AND('ProductSprint Backlog'!$J177=O$2,'ProductSprint Backlog'!$I177=O$2), 'ProductSprint Backlog'!$F177, TRUE, 0)</f>
        <v>0</v>
      </c>
      <c r="P177" s="4" cm="1">
        <f t="array" ref="P177">_xlfn.IFS('ProductSprint Backlog'!$F177="", "", AND('ProductSprint Backlog'!$J177&gt;P$2,'ProductSprint Backlog'!$I177&lt;=P$2), 'ProductSprint Backlog'!$F177 / MAX(1, 'ProductSprint Backlog'!$J177-'ProductSprint Backlog'!$I177), AND('ProductSprint Backlog'!$J177=P$2,'ProductSprint Backlog'!$I177=P$2), 'ProductSprint Backlog'!$F177, TRUE, 0)</f>
        <v>0</v>
      </c>
      <c r="Q177" s="4" cm="1">
        <f t="array" ref="Q177">_xlfn.IFS('ProductSprint Backlog'!$F177="", "", AND('ProductSprint Backlog'!$J177&gt;Q$2,'ProductSprint Backlog'!$I177&lt;=Q$2), 'ProductSprint Backlog'!$F177 / MAX(1, 'ProductSprint Backlog'!$J177-'ProductSprint Backlog'!$I177), AND('ProductSprint Backlog'!$J177=Q$2,'ProductSprint Backlog'!$I177=Q$2), 'ProductSprint Backlog'!$F177, TRUE, 0)</f>
        <v>0</v>
      </c>
      <c r="R177" s="4" cm="1">
        <f t="array" ref="R177">_xlfn.IFS('ProductSprint Backlog'!$F177="", "", AND('ProductSprint Backlog'!$J177&gt;R$2,'ProductSprint Backlog'!$I177&lt;=R$2), 'ProductSprint Backlog'!$F177 / MAX(1, 'ProductSprint Backlog'!$J177-'ProductSprint Backlog'!$I177), AND('ProductSprint Backlog'!$J177=R$2,'ProductSprint Backlog'!$I177=R$2), 'ProductSprint Backlog'!$F177, TRUE, 0)</f>
        <v>0</v>
      </c>
      <c r="S177" s="4" cm="1">
        <f t="array" ref="S177">_xlfn.IFS('ProductSprint Backlog'!$F177="", "", AND('ProductSprint Backlog'!$J177&gt;S$2,'ProductSprint Backlog'!$I177&lt;=S$2), 'ProductSprint Backlog'!$F177 / MAX(1, 'ProductSprint Backlog'!$J177-'ProductSprint Backlog'!$I177), AND('ProductSprint Backlog'!$J177=S$2,'ProductSprint Backlog'!$I177=S$2), 'ProductSprint Backlog'!$F177, TRUE, 0)</f>
        <v>0</v>
      </c>
      <c r="T177" s="4" cm="1">
        <f t="array" ref="T177">_xlfn.IFS('ProductSprint Backlog'!$F177="", "", AND('ProductSprint Backlog'!$J177&gt;T$2,'ProductSprint Backlog'!$I177&lt;=T$2), 'ProductSprint Backlog'!$F177 / MAX(1, 'ProductSprint Backlog'!$J177-'ProductSprint Backlog'!$I177), AND('ProductSprint Backlog'!$J177=T$2,'ProductSprint Backlog'!$I177=T$2), 'ProductSprint Backlog'!$F177, TRUE, 0)</f>
        <v>0</v>
      </c>
    </row>
    <row r="178" spans="2:20" x14ac:dyDescent="0.2">
      <c r="B178" s="4" cm="1">
        <f t="array" ref="B178">_xlfn.IFS('ProductSprint Backlog'!$F178="", "", AND('ProductSprint Backlog'!$J178&gt;B$2,'ProductSprint Backlog'!$I178&lt;=B$2), 'ProductSprint Backlog'!$F178 / MAX(1, 'ProductSprint Backlog'!$J178-'ProductSprint Backlog'!$I178), AND('ProductSprint Backlog'!$J178=B$2,'ProductSprint Backlog'!$I178=B$2), 'ProductSprint Backlog'!$F178, TRUE, 0)</f>
        <v>0</v>
      </c>
      <c r="C178" s="4" cm="1">
        <f t="array" ref="C178">_xlfn.IFS('ProductSprint Backlog'!$F178="", "", AND('ProductSprint Backlog'!$J178&gt;C$2,'ProductSprint Backlog'!$I178&lt;=C$2), 'ProductSprint Backlog'!$F178 / MAX(1, 'ProductSprint Backlog'!$J178-'ProductSprint Backlog'!$I178), AND('ProductSprint Backlog'!$J178=C$2,'ProductSprint Backlog'!$I178=C$2), 'ProductSprint Backlog'!$F178, TRUE, 0)</f>
        <v>0</v>
      </c>
      <c r="D178" s="4" cm="1">
        <f t="array" ref="D178">_xlfn.IFS('ProductSprint Backlog'!$F178="", "", AND('ProductSprint Backlog'!$J178&gt;D$2,'ProductSprint Backlog'!$I178&lt;=D$2), 'ProductSprint Backlog'!$F178 / MAX(1, 'ProductSprint Backlog'!$J178-'ProductSprint Backlog'!$I178), AND('ProductSprint Backlog'!$J178=D$2,'ProductSprint Backlog'!$I178=D$2), 'ProductSprint Backlog'!$F178, TRUE, 0)</f>
        <v>0</v>
      </c>
      <c r="E178" s="4" cm="1">
        <f t="array" ref="E178">_xlfn.IFS('ProductSprint Backlog'!$F178="", "", AND('ProductSprint Backlog'!$J178&gt;E$2,'ProductSprint Backlog'!$I178&lt;=E$2), 'ProductSprint Backlog'!$F178 / MAX(1, 'ProductSprint Backlog'!$J178-'ProductSprint Backlog'!$I178), AND('ProductSprint Backlog'!$J178=E$2,'ProductSprint Backlog'!$I178=E$2), 'ProductSprint Backlog'!$F178, TRUE, 0)</f>
        <v>0</v>
      </c>
      <c r="F178" s="4" cm="1">
        <f t="array" ref="F178">_xlfn.IFS('ProductSprint Backlog'!$F178="", "", AND('ProductSprint Backlog'!$J178&gt;F$2,'ProductSprint Backlog'!$I178&lt;=F$2), 'ProductSprint Backlog'!$F178 / MAX(1, 'ProductSprint Backlog'!$J178-'ProductSprint Backlog'!$I178), AND('ProductSprint Backlog'!$J178=F$2,'ProductSprint Backlog'!$I178=F$2), 'ProductSprint Backlog'!$F178, TRUE, 0)</f>
        <v>0</v>
      </c>
      <c r="G178" s="4" cm="1">
        <f t="array" ref="G178">_xlfn.IFS('ProductSprint Backlog'!$F178="", "", AND('ProductSprint Backlog'!$J178&gt;G$2,'ProductSprint Backlog'!$I178&lt;=G$2), 'ProductSprint Backlog'!$F178 / MAX(1, 'ProductSprint Backlog'!$J178-'ProductSprint Backlog'!$I178), AND('ProductSprint Backlog'!$J178=G$2,'ProductSprint Backlog'!$I178=G$2), 'ProductSprint Backlog'!$F178, TRUE, 0)</f>
        <v>0</v>
      </c>
      <c r="H178" s="4" cm="1">
        <f t="array" ref="H178">_xlfn.IFS('ProductSprint Backlog'!$F178="", "", AND('ProductSprint Backlog'!$J178&gt;H$2,'ProductSprint Backlog'!$I178&lt;=H$2), 'ProductSprint Backlog'!$F178 / MAX(1, 'ProductSprint Backlog'!$J178-'ProductSprint Backlog'!$I178), AND('ProductSprint Backlog'!$J178=H$2,'ProductSprint Backlog'!$I178=H$2), 'ProductSprint Backlog'!$F178, TRUE, 0)</f>
        <v>0</v>
      </c>
      <c r="I178" s="4" cm="1">
        <f t="array" ref="I178">_xlfn.IFS('ProductSprint Backlog'!$F178="", "", AND('ProductSprint Backlog'!$J178&gt;I$2,'ProductSprint Backlog'!$I178&lt;=I$2), 'ProductSprint Backlog'!$F178 / MAX(1, 'ProductSprint Backlog'!$J178-'ProductSprint Backlog'!$I178), AND('ProductSprint Backlog'!$J178=I$2,'ProductSprint Backlog'!$I178=I$2), 'ProductSprint Backlog'!$F178, TRUE, 0)</f>
        <v>0</v>
      </c>
      <c r="J178" s="4" cm="1">
        <f t="array" ref="J178">_xlfn.IFS('ProductSprint Backlog'!$F178="", "", AND('ProductSprint Backlog'!$J178&gt;J$2,'ProductSprint Backlog'!$I178&lt;=J$2), 'ProductSprint Backlog'!$F178 / MAX(1, 'ProductSprint Backlog'!$J178-'ProductSprint Backlog'!$I178), AND('ProductSprint Backlog'!$J178=J$2,'ProductSprint Backlog'!$I178=J$2), 'ProductSprint Backlog'!$F178, TRUE, 0)</f>
        <v>0</v>
      </c>
      <c r="K178" s="4" cm="1">
        <f t="array" ref="K178">_xlfn.IFS('ProductSprint Backlog'!$F178="", "", AND('ProductSprint Backlog'!$J178&gt;K$2,'ProductSprint Backlog'!$I178&lt;=K$2), 'ProductSprint Backlog'!$F178 / MAX(1, 'ProductSprint Backlog'!$J178-'ProductSprint Backlog'!$I178), AND('ProductSprint Backlog'!$J178=K$2,'ProductSprint Backlog'!$I178=K$2), 'ProductSprint Backlog'!$F178, TRUE, 0)</f>
        <v>0</v>
      </c>
      <c r="L178" s="4" cm="1">
        <f t="array" ref="L178">_xlfn.IFS('ProductSprint Backlog'!$F178="", "", AND('ProductSprint Backlog'!$J178&gt;L$2,'ProductSprint Backlog'!$I178&lt;=L$2), 'ProductSprint Backlog'!$F178 / MAX(1, 'ProductSprint Backlog'!$J178-'ProductSprint Backlog'!$I178), AND('ProductSprint Backlog'!$J178=L$2,'ProductSprint Backlog'!$I178=L$2), 'ProductSprint Backlog'!$F178, TRUE, 0)</f>
        <v>0</v>
      </c>
      <c r="M178" s="4" cm="1">
        <f t="array" ref="M178">_xlfn.IFS('ProductSprint Backlog'!$F178="", "", AND('ProductSprint Backlog'!$J178&gt;M$2,'ProductSprint Backlog'!$I178&lt;=M$2), 'ProductSprint Backlog'!$F178 / MAX(1, 'ProductSprint Backlog'!$J178-'ProductSprint Backlog'!$I178), AND('ProductSprint Backlog'!$J178=M$2,'ProductSprint Backlog'!$I178=M$2), 'ProductSprint Backlog'!$F178, TRUE, 0)</f>
        <v>0</v>
      </c>
      <c r="N178" s="4" cm="1">
        <f t="array" ref="N178">_xlfn.IFS('ProductSprint Backlog'!$F178="", "", AND('ProductSprint Backlog'!$J178&gt;N$2,'ProductSprint Backlog'!$I178&lt;=N$2), 'ProductSprint Backlog'!$F178 / MAX(1, 'ProductSprint Backlog'!$J178-'ProductSprint Backlog'!$I178), AND('ProductSprint Backlog'!$J178=N$2,'ProductSprint Backlog'!$I178=N$2), 'ProductSprint Backlog'!$F178, TRUE, 0)</f>
        <v>0</v>
      </c>
      <c r="O178" s="4" cm="1">
        <f t="array" ref="O178">_xlfn.IFS('ProductSprint Backlog'!$F178="", "", AND('ProductSprint Backlog'!$J178&gt;O$2,'ProductSprint Backlog'!$I178&lt;=O$2), 'ProductSprint Backlog'!$F178 / MAX(1, 'ProductSprint Backlog'!$J178-'ProductSprint Backlog'!$I178), AND('ProductSprint Backlog'!$J178=O$2,'ProductSprint Backlog'!$I178=O$2), 'ProductSprint Backlog'!$F178, TRUE, 0)</f>
        <v>0</v>
      </c>
      <c r="P178" s="4" cm="1">
        <f t="array" ref="P178">_xlfn.IFS('ProductSprint Backlog'!$F178="", "", AND('ProductSprint Backlog'!$J178&gt;P$2,'ProductSprint Backlog'!$I178&lt;=P$2), 'ProductSprint Backlog'!$F178 / MAX(1, 'ProductSprint Backlog'!$J178-'ProductSprint Backlog'!$I178), AND('ProductSprint Backlog'!$J178=P$2,'ProductSprint Backlog'!$I178=P$2), 'ProductSprint Backlog'!$F178, TRUE, 0)</f>
        <v>0</v>
      </c>
      <c r="Q178" s="4" cm="1">
        <f t="array" ref="Q178">_xlfn.IFS('ProductSprint Backlog'!$F178="", "", AND('ProductSprint Backlog'!$J178&gt;Q$2,'ProductSprint Backlog'!$I178&lt;=Q$2), 'ProductSprint Backlog'!$F178 / MAX(1, 'ProductSprint Backlog'!$J178-'ProductSprint Backlog'!$I178), AND('ProductSprint Backlog'!$J178=Q$2,'ProductSprint Backlog'!$I178=Q$2), 'ProductSprint Backlog'!$F178, TRUE, 0)</f>
        <v>0</v>
      </c>
      <c r="R178" s="4" cm="1">
        <f t="array" ref="R178">_xlfn.IFS('ProductSprint Backlog'!$F178="", "", AND('ProductSprint Backlog'!$J178&gt;R$2,'ProductSprint Backlog'!$I178&lt;=R$2), 'ProductSprint Backlog'!$F178 / MAX(1, 'ProductSprint Backlog'!$J178-'ProductSprint Backlog'!$I178), AND('ProductSprint Backlog'!$J178=R$2,'ProductSprint Backlog'!$I178=R$2), 'ProductSprint Backlog'!$F178, TRUE, 0)</f>
        <v>0</v>
      </c>
      <c r="S178" s="4" cm="1">
        <f t="array" ref="S178">_xlfn.IFS('ProductSprint Backlog'!$F178="", "", AND('ProductSprint Backlog'!$J178&gt;S$2,'ProductSprint Backlog'!$I178&lt;=S$2), 'ProductSprint Backlog'!$F178 / MAX(1, 'ProductSprint Backlog'!$J178-'ProductSprint Backlog'!$I178), AND('ProductSprint Backlog'!$J178=S$2,'ProductSprint Backlog'!$I178=S$2), 'ProductSprint Backlog'!$F178, TRUE, 0)</f>
        <v>0</v>
      </c>
      <c r="T178" s="4" cm="1">
        <f t="array" ref="T178">_xlfn.IFS('ProductSprint Backlog'!$F178="", "", AND('ProductSprint Backlog'!$J178&gt;T$2,'ProductSprint Backlog'!$I178&lt;=T$2), 'ProductSprint Backlog'!$F178 / MAX(1, 'ProductSprint Backlog'!$J178-'ProductSprint Backlog'!$I178), AND('ProductSprint Backlog'!$J178=T$2,'ProductSprint Backlog'!$I178=T$2), 'ProductSprint Backlog'!$F178, TRUE, 0)</f>
        <v>0</v>
      </c>
    </row>
    <row r="179" spans="2:20" x14ac:dyDescent="0.2">
      <c r="B179" s="4" cm="1">
        <f t="array" ref="B179">_xlfn.IFS('ProductSprint Backlog'!$F179="", "", AND('ProductSprint Backlog'!$J179&gt;B$2,'ProductSprint Backlog'!$I179&lt;=B$2), 'ProductSprint Backlog'!$F179 / MAX(1, 'ProductSprint Backlog'!$J179-'ProductSprint Backlog'!$I179), AND('ProductSprint Backlog'!$J179=B$2,'ProductSprint Backlog'!$I179=B$2), 'ProductSprint Backlog'!$F179, TRUE, 0)</f>
        <v>0</v>
      </c>
      <c r="C179" s="4" cm="1">
        <f t="array" ref="C179">_xlfn.IFS('ProductSprint Backlog'!$F179="", "", AND('ProductSprint Backlog'!$J179&gt;C$2,'ProductSprint Backlog'!$I179&lt;=C$2), 'ProductSprint Backlog'!$F179 / MAX(1, 'ProductSprint Backlog'!$J179-'ProductSprint Backlog'!$I179), AND('ProductSprint Backlog'!$J179=C$2,'ProductSprint Backlog'!$I179=C$2), 'ProductSprint Backlog'!$F179, TRUE, 0)</f>
        <v>0</v>
      </c>
      <c r="D179" s="4" cm="1">
        <f t="array" ref="D179">_xlfn.IFS('ProductSprint Backlog'!$F179="", "", AND('ProductSprint Backlog'!$J179&gt;D$2,'ProductSprint Backlog'!$I179&lt;=D$2), 'ProductSprint Backlog'!$F179 / MAX(1, 'ProductSprint Backlog'!$J179-'ProductSprint Backlog'!$I179), AND('ProductSprint Backlog'!$J179=D$2,'ProductSprint Backlog'!$I179=D$2), 'ProductSprint Backlog'!$F179, TRUE, 0)</f>
        <v>0</v>
      </c>
      <c r="E179" s="4" cm="1">
        <f t="array" ref="E179">_xlfn.IFS('ProductSprint Backlog'!$F179="", "", AND('ProductSprint Backlog'!$J179&gt;E$2,'ProductSprint Backlog'!$I179&lt;=E$2), 'ProductSprint Backlog'!$F179 / MAX(1, 'ProductSprint Backlog'!$J179-'ProductSprint Backlog'!$I179), AND('ProductSprint Backlog'!$J179=E$2,'ProductSprint Backlog'!$I179=E$2), 'ProductSprint Backlog'!$F179, TRUE, 0)</f>
        <v>0</v>
      </c>
      <c r="F179" s="4" cm="1">
        <f t="array" ref="F179">_xlfn.IFS('ProductSprint Backlog'!$F179="", "", AND('ProductSprint Backlog'!$J179&gt;F$2,'ProductSprint Backlog'!$I179&lt;=F$2), 'ProductSprint Backlog'!$F179 / MAX(1, 'ProductSprint Backlog'!$J179-'ProductSprint Backlog'!$I179), AND('ProductSprint Backlog'!$J179=F$2,'ProductSprint Backlog'!$I179=F$2), 'ProductSprint Backlog'!$F179, TRUE, 0)</f>
        <v>0</v>
      </c>
      <c r="G179" s="4" cm="1">
        <f t="array" ref="G179">_xlfn.IFS('ProductSprint Backlog'!$F179="", "", AND('ProductSprint Backlog'!$J179&gt;G$2,'ProductSprint Backlog'!$I179&lt;=G$2), 'ProductSprint Backlog'!$F179 / MAX(1, 'ProductSprint Backlog'!$J179-'ProductSprint Backlog'!$I179), AND('ProductSprint Backlog'!$J179=G$2,'ProductSprint Backlog'!$I179=G$2), 'ProductSprint Backlog'!$F179, TRUE, 0)</f>
        <v>0</v>
      </c>
      <c r="H179" s="4" cm="1">
        <f t="array" ref="H179">_xlfn.IFS('ProductSprint Backlog'!$F179="", "", AND('ProductSprint Backlog'!$J179&gt;H$2,'ProductSprint Backlog'!$I179&lt;=H$2), 'ProductSprint Backlog'!$F179 / MAX(1, 'ProductSprint Backlog'!$J179-'ProductSprint Backlog'!$I179), AND('ProductSprint Backlog'!$J179=H$2,'ProductSprint Backlog'!$I179=H$2), 'ProductSprint Backlog'!$F179, TRUE, 0)</f>
        <v>0</v>
      </c>
      <c r="I179" s="4" cm="1">
        <f t="array" ref="I179">_xlfn.IFS('ProductSprint Backlog'!$F179="", "", AND('ProductSprint Backlog'!$J179&gt;I$2,'ProductSprint Backlog'!$I179&lt;=I$2), 'ProductSprint Backlog'!$F179 / MAX(1, 'ProductSprint Backlog'!$J179-'ProductSprint Backlog'!$I179), AND('ProductSprint Backlog'!$J179=I$2,'ProductSprint Backlog'!$I179=I$2), 'ProductSprint Backlog'!$F179, TRUE, 0)</f>
        <v>0</v>
      </c>
      <c r="J179" s="4" cm="1">
        <f t="array" ref="J179">_xlfn.IFS('ProductSprint Backlog'!$F179="", "", AND('ProductSprint Backlog'!$J179&gt;J$2,'ProductSprint Backlog'!$I179&lt;=J$2), 'ProductSprint Backlog'!$F179 / MAX(1, 'ProductSprint Backlog'!$J179-'ProductSprint Backlog'!$I179), AND('ProductSprint Backlog'!$J179=J$2,'ProductSprint Backlog'!$I179=J$2), 'ProductSprint Backlog'!$F179, TRUE, 0)</f>
        <v>0</v>
      </c>
      <c r="K179" s="4" cm="1">
        <f t="array" ref="K179">_xlfn.IFS('ProductSprint Backlog'!$F179="", "", AND('ProductSprint Backlog'!$J179&gt;K$2,'ProductSprint Backlog'!$I179&lt;=K$2), 'ProductSprint Backlog'!$F179 / MAX(1, 'ProductSprint Backlog'!$J179-'ProductSprint Backlog'!$I179), AND('ProductSprint Backlog'!$J179=K$2,'ProductSprint Backlog'!$I179=K$2), 'ProductSprint Backlog'!$F179, TRUE, 0)</f>
        <v>0</v>
      </c>
      <c r="L179" s="4" cm="1">
        <f t="array" ref="L179">_xlfn.IFS('ProductSprint Backlog'!$F179="", "", AND('ProductSprint Backlog'!$J179&gt;L$2,'ProductSprint Backlog'!$I179&lt;=L$2), 'ProductSprint Backlog'!$F179 / MAX(1, 'ProductSprint Backlog'!$J179-'ProductSprint Backlog'!$I179), AND('ProductSprint Backlog'!$J179=L$2,'ProductSprint Backlog'!$I179=L$2), 'ProductSprint Backlog'!$F179, TRUE, 0)</f>
        <v>0</v>
      </c>
      <c r="M179" s="4" cm="1">
        <f t="array" ref="M179">_xlfn.IFS('ProductSprint Backlog'!$F179="", "", AND('ProductSprint Backlog'!$J179&gt;M$2,'ProductSprint Backlog'!$I179&lt;=M$2), 'ProductSprint Backlog'!$F179 / MAX(1, 'ProductSprint Backlog'!$J179-'ProductSprint Backlog'!$I179), AND('ProductSprint Backlog'!$J179=M$2,'ProductSprint Backlog'!$I179=M$2), 'ProductSprint Backlog'!$F179, TRUE, 0)</f>
        <v>0</v>
      </c>
      <c r="N179" s="4" cm="1">
        <f t="array" ref="N179">_xlfn.IFS('ProductSprint Backlog'!$F179="", "", AND('ProductSprint Backlog'!$J179&gt;N$2,'ProductSprint Backlog'!$I179&lt;=N$2), 'ProductSprint Backlog'!$F179 / MAX(1, 'ProductSprint Backlog'!$J179-'ProductSprint Backlog'!$I179), AND('ProductSprint Backlog'!$J179=N$2,'ProductSprint Backlog'!$I179=N$2), 'ProductSprint Backlog'!$F179, TRUE, 0)</f>
        <v>0</v>
      </c>
      <c r="O179" s="4" cm="1">
        <f t="array" ref="O179">_xlfn.IFS('ProductSprint Backlog'!$F179="", "", AND('ProductSprint Backlog'!$J179&gt;O$2,'ProductSprint Backlog'!$I179&lt;=O$2), 'ProductSprint Backlog'!$F179 / MAX(1, 'ProductSprint Backlog'!$J179-'ProductSprint Backlog'!$I179), AND('ProductSprint Backlog'!$J179=O$2,'ProductSprint Backlog'!$I179=O$2), 'ProductSprint Backlog'!$F179, TRUE, 0)</f>
        <v>0</v>
      </c>
      <c r="P179" s="4" cm="1">
        <f t="array" ref="P179">_xlfn.IFS('ProductSprint Backlog'!$F179="", "", AND('ProductSprint Backlog'!$J179&gt;P$2,'ProductSprint Backlog'!$I179&lt;=P$2), 'ProductSprint Backlog'!$F179 / MAX(1, 'ProductSprint Backlog'!$J179-'ProductSprint Backlog'!$I179), AND('ProductSprint Backlog'!$J179=P$2,'ProductSprint Backlog'!$I179=P$2), 'ProductSprint Backlog'!$F179, TRUE, 0)</f>
        <v>0</v>
      </c>
      <c r="Q179" s="4" cm="1">
        <f t="array" ref="Q179">_xlfn.IFS('ProductSprint Backlog'!$F179="", "", AND('ProductSprint Backlog'!$J179&gt;Q$2,'ProductSprint Backlog'!$I179&lt;=Q$2), 'ProductSprint Backlog'!$F179 / MAX(1, 'ProductSprint Backlog'!$J179-'ProductSprint Backlog'!$I179), AND('ProductSprint Backlog'!$J179=Q$2,'ProductSprint Backlog'!$I179=Q$2), 'ProductSprint Backlog'!$F179, TRUE, 0)</f>
        <v>0</v>
      </c>
      <c r="R179" s="4" cm="1">
        <f t="array" ref="R179">_xlfn.IFS('ProductSprint Backlog'!$F179="", "", AND('ProductSprint Backlog'!$J179&gt;R$2,'ProductSprint Backlog'!$I179&lt;=R$2), 'ProductSprint Backlog'!$F179 / MAX(1, 'ProductSprint Backlog'!$J179-'ProductSprint Backlog'!$I179), AND('ProductSprint Backlog'!$J179=R$2,'ProductSprint Backlog'!$I179=R$2), 'ProductSprint Backlog'!$F179, TRUE, 0)</f>
        <v>0</v>
      </c>
      <c r="S179" s="4" cm="1">
        <f t="array" ref="S179">_xlfn.IFS('ProductSprint Backlog'!$F179="", "", AND('ProductSprint Backlog'!$J179&gt;S$2,'ProductSprint Backlog'!$I179&lt;=S$2), 'ProductSprint Backlog'!$F179 / MAX(1, 'ProductSprint Backlog'!$J179-'ProductSprint Backlog'!$I179), AND('ProductSprint Backlog'!$J179=S$2,'ProductSprint Backlog'!$I179=S$2), 'ProductSprint Backlog'!$F179, TRUE, 0)</f>
        <v>0</v>
      </c>
      <c r="T179" s="4" cm="1">
        <f t="array" ref="T179">_xlfn.IFS('ProductSprint Backlog'!$F179="", "", AND('ProductSprint Backlog'!$J179&gt;T$2,'ProductSprint Backlog'!$I179&lt;=T$2), 'ProductSprint Backlog'!$F179 / MAX(1, 'ProductSprint Backlog'!$J179-'ProductSprint Backlog'!$I179), AND('ProductSprint Backlog'!$J179=T$2,'ProductSprint Backlog'!$I179=T$2), 'ProductSprint Backlog'!$F179, TRUE, 0)</f>
        <v>0</v>
      </c>
    </row>
    <row r="180" spans="2:20" x14ac:dyDescent="0.2">
      <c r="B180" s="4" cm="1">
        <f t="array" ref="B180">_xlfn.IFS('ProductSprint Backlog'!$F180="", "", AND('ProductSprint Backlog'!$J180&gt;B$2,'ProductSprint Backlog'!$I180&lt;=B$2), 'ProductSprint Backlog'!$F180 / MAX(1, 'ProductSprint Backlog'!$J180-'ProductSprint Backlog'!$I180), AND('ProductSprint Backlog'!$J180=B$2,'ProductSprint Backlog'!$I180=B$2), 'ProductSprint Backlog'!$F180, TRUE, 0)</f>
        <v>0</v>
      </c>
      <c r="C180" s="4" cm="1">
        <f t="array" ref="C180">_xlfn.IFS('ProductSprint Backlog'!$F180="", "", AND('ProductSprint Backlog'!$J180&gt;C$2,'ProductSprint Backlog'!$I180&lt;=C$2), 'ProductSprint Backlog'!$F180 / MAX(1, 'ProductSprint Backlog'!$J180-'ProductSprint Backlog'!$I180), AND('ProductSprint Backlog'!$J180=C$2,'ProductSprint Backlog'!$I180=C$2), 'ProductSprint Backlog'!$F180, TRUE, 0)</f>
        <v>0</v>
      </c>
      <c r="D180" s="4" cm="1">
        <f t="array" ref="D180">_xlfn.IFS('ProductSprint Backlog'!$F180="", "", AND('ProductSprint Backlog'!$J180&gt;D$2,'ProductSprint Backlog'!$I180&lt;=D$2), 'ProductSprint Backlog'!$F180 / MAX(1, 'ProductSprint Backlog'!$J180-'ProductSprint Backlog'!$I180), AND('ProductSprint Backlog'!$J180=D$2,'ProductSprint Backlog'!$I180=D$2), 'ProductSprint Backlog'!$F180, TRUE, 0)</f>
        <v>0</v>
      </c>
      <c r="E180" s="4" cm="1">
        <f t="array" ref="E180">_xlfn.IFS('ProductSprint Backlog'!$F180="", "", AND('ProductSprint Backlog'!$J180&gt;E$2,'ProductSprint Backlog'!$I180&lt;=E$2), 'ProductSprint Backlog'!$F180 / MAX(1, 'ProductSprint Backlog'!$J180-'ProductSprint Backlog'!$I180), AND('ProductSprint Backlog'!$J180=E$2,'ProductSprint Backlog'!$I180=E$2), 'ProductSprint Backlog'!$F180, TRUE, 0)</f>
        <v>0</v>
      </c>
      <c r="F180" s="4" cm="1">
        <f t="array" ref="F180">_xlfn.IFS('ProductSprint Backlog'!$F180="", "", AND('ProductSprint Backlog'!$J180&gt;F$2,'ProductSprint Backlog'!$I180&lt;=F$2), 'ProductSprint Backlog'!$F180 / MAX(1, 'ProductSprint Backlog'!$J180-'ProductSprint Backlog'!$I180), AND('ProductSprint Backlog'!$J180=F$2,'ProductSprint Backlog'!$I180=F$2), 'ProductSprint Backlog'!$F180, TRUE, 0)</f>
        <v>0</v>
      </c>
      <c r="G180" s="4" cm="1">
        <f t="array" ref="G180">_xlfn.IFS('ProductSprint Backlog'!$F180="", "", AND('ProductSprint Backlog'!$J180&gt;G$2,'ProductSprint Backlog'!$I180&lt;=G$2), 'ProductSprint Backlog'!$F180 / MAX(1, 'ProductSprint Backlog'!$J180-'ProductSprint Backlog'!$I180), AND('ProductSprint Backlog'!$J180=G$2,'ProductSprint Backlog'!$I180=G$2), 'ProductSprint Backlog'!$F180, TRUE, 0)</f>
        <v>0</v>
      </c>
      <c r="H180" s="4" cm="1">
        <f t="array" ref="H180">_xlfn.IFS('ProductSprint Backlog'!$F180="", "", AND('ProductSprint Backlog'!$J180&gt;H$2,'ProductSprint Backlog'!$I180&lt;=H$2), 'ProductSprint Backlog'!$F180 / MAX(1, 'ProductSprint Backlog'!$J180-'ProductSprint Backlog'!$I180), AND('ProductSprint Backlog'!$J180=H$2,'ProductSprint Backlog'!$I180=H$2), 'ProductSprint Backlog'!$F180, TRUE, 0)</f>
        <v>0</v>
      </c>
      <c r="I180" s="4" cm="1">
        <f t="array" ref="I180">_xlfn.IFS('ProductSprint Backlog'!$F180="", "", AND('ProductSprint Backlog'!$J180&gt;I$2,'ProductSprint Backlog'!$I180&lt;=I$2), 'ProductSprint Backlog'!$F180 / MAX(1, 'ProductSprint Backlog'!$J180-'ProductSprint Backlog'!$I180), AND('ProductSprint Backlog'!$J180=I$2,'ProductSprint Backlog'!$I180=I$2), 'ProductSprint Backlog'!$F180, TRUE, 0)</f>
        <v>0</v>
      </c>
      <c r="J180" s="4" cm="1">
        <f t="array" ref="J180">_xlfn.IFS('ProductSprint Backlog'!$F180="", "", AND('ProductSprint Backlog'!$J180&gt;J$2,'ProductSprint Backlog'!$I180&lt;=J$2), 'ProductSprint Backlog'!$F180 / MAX(1, 'ProductSprint Backlog'!$J180-'ProductSprint Backlog'!$I180), AND('ProductSprint Backlog'!$J180=J$2,'ProductSprint Backlog'!$I180=J$2), 'ProductSprint Backlog'!$F180, TRUE, 0)</f>
        <v>0</v>
      </c>
      <c r="K180" s="4" cm="1">
        <f t="array" ref="K180">_xlfn.IFS('ProductSprint Backlog'!$F180="", "", AND('ProductSprint Backlog'!$J180&gt;K$2,'ProductSprint Backlog'!$I180&lt;=K$2), 'ProductSprint Backlog'!$F180 / MAX(1, 'ProductSprint Backlog'!$J180-'ProductSprint Backlog'!$I180), AND('ProductSprint Backlog'!$J180=K$2,'ProductSprint Backlog'!$I180=K$2), 'ProductSprint Backlog'!$F180, TRUE, 0)</f>
        <v>0</v>
      </c>
      <c r="L180" s="4" cm="1">
        <f t="array" ref="L180">_xlfn.IFS('ProductSprint Backlog'!$F180="", "", AND('ProductSprint Backlog'!$J180&gt;L$2,'ProductSprint Backlog'!$I180&lt;=L$2), 'ProductSprint Backlog'!$F180 / MAX(1, 'ProductSprint Backlog'!$J180-'ProductSprint Backlog'!$I180), AND('ProductSprint Backlog'!$J180=L$2,'ProductSprint Backlog'!$I180=L$2), 'ProductSprint Backlog'!$F180, TRUE, 0)</f>
        <v>0</v>
      </c>
      <c r="M180" s="4" cm="1">
        <f t="array" ref="M180">_xlfn.IFS('ProductSprint Backlog'!$F180="", "", AND('ProductSprint Backlog'!$J180&gt;M$2,'ProductSprint Backlog'!$I180&lt;=M$2), 'ProductSprint Backlog'!$F180 / MAX(1, 'ProductSprint Backlog'!$J180-'ProductSprint Backlog'!$I180), AND('ProductSprint Backlog'!$J180=M$2,'ProductSprint Backlog'!$I180=M$2), 'ProductSprint Backlog'!$F180, TRUE, 0)</f>
        <v>0</v>
      </c>
      <c r="N180" s="4" cm="1">
        <f t="array" ref="N180">_xlfn.IFS('ProductSprint Backlog'!$F180="", "", AND('ProductSprint Backlog'!$J180&gt;N$2,'ProductSprint Backlog'!$I180&lt;=N$2), 'ProductSprint Backlog'!$F180 / MAX(1, 'ProductSprint Backlog'!$J180-'ProductSprint Backlog'!$I180), AND('ProductSprint Backlog'!$J180=N$2,'ProductSprint Backlog'!$I180=N$2), 'ProductSprint Backlog'!$F180, TRUE, 0)</f>
        <v>0</v>
      </c>
      <c r="O180" s="4" cm="1">
        <f t="array" ref="O180">_xlfn.IFS('ProductSprint Backlog'!$F180="", "", AND('ProductSprint Backlog'!$J180&gt;O$2,'ProductSprint Backlog'!$I180&lt;=O$2), 'ProductSprint Backlog'!$F180 / MAX(1, 'ProductSprint Backlog'!$J180-'ProductSprint Backlog'!$I180), AND('ProductSprint Backlog'!$J180=O$2,'ProductSprint Backlog'!$I180=O$2), 'ProductSprint Backlog'!$F180, TRUE, 0)</f>
        <v>0</v>
      </c>
      <c r="P180" s="4" cm="1">
        <f t="array" ref="P180">_xlfn.IFS('ProductSprint Backlog'!$F180="", "", AND('ProductSprint Backlog'!$J180&gt;P$2,'ProductSprint Backlog'!$I180&lt;=P$2), 'ProductSprint Backlog'!$F180 / MAX(1, 'ProductSprint Backlog'!$J180-'ProductSprint Backlog'!$I180), AND('ProductSprint Backlog'!$J180=P$2,'ProductSprint Backlog'!$I180=P$2), 'ProductSprint Backlog'!$F180, TRUE, 0)</f>
        <v>0</v>
      </c>
      <c r="Q180" s="4" cm="1">
        <f t="array" ref="Q180">_xlfn.IFS('ProductSprint Backlog'!$F180="", "", AND('ProductSprint Backlog'!$J180&gt;Q$2,'ProductSprint Backlog'!$I180&lt;=Q$2), 'ProductSprint Backlog'!$F180 / MAX(1, 'ProductSprint Backlog'!$J180-'ProductSprint Backlog'!$I180), AND('ProductSprint Backlog'!$J180=Q$2,'ProductSprint Backlog'!$I180=Q$2), 'ProductSprint Backlog'!$F180, TRUE, 0)</f>
        <v>0</v>
      </c>
      <c r="R180" s="4" cm="1">
        <f t="array" ref="R180">_xlfn.IFS('ProductSprint Backlog'!$F180="", "", AND('ProductSprint Backlog'!$J180&gt;R$2,'ProductSprint Backlog'!$I180&lt;=R$2), 'ProductSprint Backlog'!$F180 / MAX(1, 'ProductSprint Backlog'!$J180-'ProductSprint Backlog'!$I180), AND('ProductSprint Backlog'!$J180=R$2,'ProductSprint Backlog'!$I180=R$2), 'ProductSprint Backlog'!$F180, TRUE, 0)</f>
        <v>0</v>
      </c>
      <c r="S180" s="4" cm="1">
        <f t="array" ref="S180">_xlfn.IFS('ProductSprint Backlog'!$F180="", "", AND('ProductSprint Backlog'!$J180&gt;S$2,'ProductSprint Backlog'!$I180&lt;=S$2), 'ProductSprint Backlog'!$F180 / MAX(1, 'ProductSprint Backlog'!$J180-'ProductSprint Backlog'!$I180), AND('ProductSprint Backlog'!$J180=S$2,'ProductSprint Backlog'!$I180=S$2), 'ProductSprint Backlog'!$F180, TRUE, 0)</f>
        <v>0</v>
      </c>
      <c r="T180" s="4" cm="1">
        <f t="array" ref="T180">_xlfn.IFS('ProductSprint Backlog'!$F180="", "", AND('ProductSprint Backlog'!$J180&gt;T$2,'ProductSprint Backlog'!$I180&lt;=T$2), 'ProductSprint Backlog'!$F180 / MAX(1, 'ProductSprint Backlog'!$J180-'ProductSprint Backlog'!$I180), AND('ProductSprint Backlog'!$J180=T$2,'ProductSprint Backlog'!$I180=T$2), 'ProductSprint Backlog'!$F180, TRUE, 0)</f>
        <v>0</v>
      </c>
    </row>
    <row r="181" spans="2:20" x14ac:dyDescent="0.2">
      <c r="B181" s="4" cm="1">
        <f t="array" ref="B181">_xlfn.IFS('ProductSprint Backlog'!$F181="", "", AND('ProductSprint Backlog'!$J181&gt;B$2,'ProductSprint Backlog'!$I181&lt;=B$2), 'ProductSprint Backlog'!$F181 / MAX(1, 'ProductSprint Backlog'!$J181-'ProductSprint Backlog'!$I181), AND('ProductSprint Backlog'!$J181=B$2,'ProductSprint Backlog'!$I181=B$2), 'ProductSprint Backlog'!$F181, TRUE, 0)</f>
        <v>0</v>
      </c>
      <c r="C181" s="4" cm="1">
        <f t="array" ref="C181">_xlfn.IFS('ProductSprint Backlog'!$F181="", "", AND('ProductSprint Backlog'!$J181&gt;C$2,'ProductSprint Backlog'!$I181&lt;=C$2), 'ProductSprint Backlog'!$F181 / MAX(1, 'ProductSprint Backlog'!$J181-'ProductSprint Backlog'!$I181), AND('ProductSprint Backlog'!$J181=C$2,'ProductSprint Backlog'!$I181=C$2), 'ProductSprint Backlog'!$F181, TRUE, 0)</f>
        <v>0</v>
      </c>
      <c r="D181" s="4" cm="1">
        <f t="array" ref="D181">_xlfn.IFS('ProductSprint Backlog'!$F181="", "", AND('ProductSprint Backlog'!$J181&gt;D$2,'ProductSprint Backlog'!$I181&lt;=D$2), 'ProductSprint Backlog'!$F181 / MAX(1, 'ProductSprint Backlog'!$J181-'ProductSprint Backlog'!$I181), AND('ProductSprint Backlog'!$J181=D$2,'ProductSprint Backlog'!$I181=D$2), 'ProductSprint Backlog'!$F181, TRUE, 0)</f>
        <v>0</v>
      </c>
      <c r="E181" s="4" cm="1">
        <f t="array" ref="E181">_xlfn.IFS('ProductSprint Backlog'!$F181="", "", AND('ProductSprint Backlog'!$J181&gt;E$2,'ProductSprint Backlog'!$I181&lt;=E$2), 'ProductSprint Backlog'!$F181 / MAX(1, 'ProductSprint Backlog'!$J181-'ProductSprint Backlog'!$I181), AND('ProductSprint Backlog'!$J181=E$2,'ProductSprint Backlog'!$I181=E$2), 'ProductSprint Backlog'!$F181, TRUE, 0)</f>
        <v>0</v>
      </c>
      <c r="F181" s="4" cm="1">
        <f t="array" ref="F181">_xlfn.IFS('ProductSprint Backlog'!$F181="", "", AND('ProductSprint Backlog'!$J181&gt;F$2,'ProductSprint Backlog'!$I181&lt;=F$2), 'ProductSprint Backlog'!$F181 / MAX(1, 'ProductSprint Backlog'!$J181-'ProductSprint Backlog'!$I181), AND('ProductSprint Backlog'!$J181=F$2,'ProductSprint Backlog'!$I181=F$2), 'ProductSprint Backlog'!$F181, TRUE, 0)</f>
        <v>0</v>
      </c>
      <c r="G181" s="4" cm="1">
        <f t="array" ref="G181">_xlfn.IFS('ProductSprint Backlog'!$F181="", "", AND('ProductSprint Backlog'!$J181&gt;G$2,'ProductSprint Backlog'!$I181&lt;=G$2), 'ProductSprint Backlog'!$F181 / MAX(1, 'ProductSprint Backlog'!$J181-'ProductSprint Backlog'!$I181), AND('ProductSprint Backlog'!$J181=G$2,'ProductSprint Backlog'!$I181=G$2), 'ProductSprint Backlog'!$F181, TRUE, 0)</f>
        <v>0</v>
      </c>
      <c r="H181" s="4" cm="1">
        <f t="array" ref="H181">_xlfn.IFS('ProductSprint Backlog'!$F181="", "", AND('ProductSprint Backlog'!$J181&gt;H$2,'ProductSprint Backlog'!$I181&lt;=H$2), 'ProductSprint Backlog'!$F181 / MAX(1, 'ProductSprint Backlog'!$J181-'ProductSprint Backlog'!$I181), AND('ProductSprint Backlog'!$J181=H$2,'ProductSprint Backlog'!$I181=H$2), 'ProductSprint Backlog'!$F181, TRUE, 0)</f>
        <v>0</v>
      </c>
      <c r="I181" s="4" cm="1">
        <f t="array" ref="I181">_xlfn.IFS('ProductSprint Backlog'!$F181="", "", AND('ProductSprint Backlog'!$J181&gt;I$2,'ProductSprint Backlog'!$I181&lt;=I$2), 'ProductSprint Backlog'!$F181 / MAX(1, 'ProductSprint Backlog'!$J181-'ProductSprint Backlog'!$I181), AND('ProductSprint Backlog'!$J181=I$2,'ProductSprint Backlog'!$I181=I$2), 'ProductSprint Backlog'!$F181, TRUE, 0)</f>
        <v>0</v>
      </c>
      <c r="J181" s="4" cm="1">
        <f t="array" ref="J181">_xlfn.IFS('ProductSprint Backlog'!$F181="", "", AND('ProductSprint Backlog'!$J181&gt;J$2,'ProductSprint Backlog'!$I181&lt;=J$2), 'ProductSprint Backlog'!$F181 / MAX(1, 'ProductSprint Backlog'!$J181-'ProductSprint Backlog'!$I181), AND('ProductSprint Backlog'!$J181=J$2,'ProductSprint Backlog'!$I181=J$2), 'ProductSprint Backlog'!$F181, TRUE, 0)</f>
        <v>0</v>
      </c>
      <c r="K181" s="4" cm="1">
        <f t="array" ref="K181">_xlfn.IFS('ProductSprint Backlog'!$F181="", "", AND('ProductSprint Backlog'!$J181&gt;K$2,'ProductSprint Backlog'!$I181&lt;=K$2), 'ProductSprint Backlog'!$F181 / MAX(1, 'ProductSprint Backlog'!$J181-'ProductSprint Backlog'!$I181), AND('ProductSprint Backlog'!$J181=K$2,'ProductSprint Backlog'!$I181=K$2), 'ProductSprint Backlog'!$F181, TRUE, 0)</f>
        <v>0</v>
      </c>
      <c r="L181" s="4" cm="1">
        <f t="array" ref="L181">_xlfn.IFS('ProductSprint Backlog'!$F181="", "", AND('ProductSprint Backlog'!$J181&gt;L$2,'ProductSprint Backlog'!$I181&lt;=L$2), 'ProductSprint Backlog'!$F181 / MAX(1, 'ProductSprint Backlog'!$J181-'ProductSprint Backlog'!$I181), AND('ProductSprint Backlog'!$J181=L$2,'ProductSprint Backlog'!$I181=L$2), 'ProductSprint Backlog'!$F181, TRUE, 0)</f>
        <v>0</v>
      </c>
      <c r="M181" s="4" cm="1">
        <f t="array" ref="M181">_xlfn.IFS('ProductSprint Backlog'!$F181="", "", AND('ProductSprint Backlog'!$J181&gt;M$2,'ProductSprint Backlog'!$I181&lt;=M$2), 'ProductSprint Backlog'!$F181 / MAX(1, 'ProductSprint Backlog'!$J181-'ProductSprint Backlog'!$I181), AND('ProductSprint Backlog'!$J181=M$2,'ProductSprint Backlog'!$I181=M$2), 'ProductSprint Backlog'!$F181, TRUE, 0)</f>
        <v>0</v>
      </c>
      <c r="N181" s="4" cm="1">
        <f t="array" ref="N181">_xlfn.IFS('ProductSprint Backlog'!$F181="", "", AND('ProductSprint Backlog'!$J181&gt;N$2,'ProductSprint Backlog'!$I181&lt;=N$2), 'ProductSprint Backlog'!$F181 / MAX(1, 'ProductSprint Backlog'!$J181-'ProductSprint Backlog'!$I181), AND('ProductSprint Backlog'!$J181=N$2,'ProductSprint Backlog'!$I181=N$2), 'ProductSprint Backlog'!$F181, TRUE, 0)</f>
        <v>0</v>
      </c>
      <c r="O181" s="4" cm="1">
        <f t="array" ref="O181">_xlfn.IFS('ProductSprint Backlog'!$F181="", "", AND('ProductSprint Backlog'!$J181&gt;O$2,'ProductSprint Backlog'!$I181&lt;=O$2), 'ProductSprint Backlog'!$F181 / MAX(1, 'ProductSprint Backlog'!$J181-'ProductSprint Backlog'!$I181), AND('ProductSprint Backlog'!$J181=O$2,'ProductSprint Backlog'!$I181=O$2), 'ProductSprint Backlog'!$F181, TRUE, 0)</f>
        <v>0</v>
      </c>
      <c r="P181" s="4" cm="1">
        <f t="array" ref="P181">_xlfn.IFS('ProductSprint Backlog'!$F181="", "", AND('ProductSprint Backlog'!$J181&gt;P$2,'ProductSprint Backlog'!$I181&lt;=P$2), 'ProductSprint Backlog'!$F181 / MAX(1, 'ProductSprint Backlog'!$J181-'ProductSprint Backlog'!$I181), AND('ProductSprint Backlog'!$J181=P$2,'ProductSprint Backlog'!$I181=P$2), 'ProductSprint Backlog'!$F181, TRUE, 0)</f>
        <v>0</v>
      </c>
      <c r="Q181" s="4" cm="1">
        <f t="array" ref="Q181">_xlfn.IFS('ProductSprint Backlog'!$F181="", "", AND('ProductSprint Backlog'!$J181&gt;Q$2,'ProductSprint Backlog'!$I181&lt;=Q$2), 'ProductSprint Backlog'!$F181 / MAX(1, 'ProductSprint Backlog'!$J181-'ProductSprint Backlog'!$I181), AND('ProductSprint Backlog'!$J181=Q$2,'ProductSprint Backlog'!$I181=Q$2), 'ProductSprint Backlog'!$F181, TRUE, 0)</f>
        <v>0</v>
      </c>
      <c r="R181" s="4" cm="1">
        <f t="array" ref="R181">_xlfn.IFS('ProductSprint Backlog'!$F181="", "", AND('ProductSprint Backlog'!$J181&gt;R$2,'ProductSprint Backlog'!$I181&lt;=R$2), 'ProductSprint Backlog'!$F181 / MAX(1, 'ProductSprint Backlog'!$J181-'ProductSprint Backlog'!$I181), AND('ProductSprint Backlog'!$J181=R$2,'ProductSprint Backlog'!$I181=R$2), 'ProductSprint Backlog'!$F181, TRUE, 0)</f>
        <v>0</v>
      </c>
      <c r="S181" s="4" cm="1">
        <f t="array" ref="S181">_xlfn.IFS('ProductSprint Backlog'!$F181="", "", AND('ProductSprint Backlog'!$J181&gt;S$2,'ProductSprint Backlog'!$I181&lt;=S$2), 'ProductSprint Backlog'!$F181 / MAX(1, 'ProductSprint Backlog'!$J181-'ProductSprint Backlog'!$I181), AND('ProductSprint Backlog'!$J181=S$2,'ProductSprint Backlog'!$I181=S$2), 'ProductSprint Backlog'!$F181, TRUE, 0)</f>
        <v>0</v>
      </c>
      <c r="T181" s="4" cm="1">
        <f t="array" ref="T181">_xlfn.IFS('ProductSprint Backlog'!$F181="", "", AND('ProductSprint Backlog'!$J181&gt;T$2,'ProductSprint Backlog'!$I181&lt;=T$2), 'ProductSprint Backlog'!$F181 / MAX(1, 'ProductSprint Backlog'!$J181-'ProductSprint Backlog'!$I181), AND('ProductSprint Backlog'!$J181=T$2,'ProductSprint Backlog'!$I181=T$2), 'ProductSprint Backlog'!$F181, TRUE, 0)</f>
        <v>0</v>
      </c>
    </row>
    <row r="182" spans="2:20" x14ac:dyDescent="0.2">
      <c r="B182" s="4" cm="1">
        <f t="array" ref="B182">_xlfn.IFS('ProductSprint Backlog'!$F182="", "", AND('ProductSprint Backlog'!$J182&gt;B$2,'ProductSprint Backlog'!$I182&lt;=B$2), 'ProductSprint Backlog'!$F182 / MAX(1, 'ProductSprint Backlog'!$J182-'ProductSprint Backlog'!$I182), AND('ProductSprint Backlog'!$J182=B$2,'ProductSprint Backlog'!$I182=B$2), 'ProductSprint Backlog'!$F182, TRUE, 0)</f>
        <v>0</v>
      </c>
      <c r="C182" s="4" cm="1">
        <f t="array" ref="C182">_xlfn.IFS('ProductSprint Backlog'!$F182="", "", AND('ProductSprint Backlog'!$J182&gt;C$2,'ProductSprint Backlog'!$I182&lt;=C$2), 'ProductSprint Backlog'!$F182 / MAX(1, 'ProductSprint Backlog'!$J182-'ProductSprint Backlog'!$I182), AND('ProductSprint Backlog'!$J182=C$2,'ProductSprint Backlog'!$I182=C$2), 'ProductSprint Backlog'!$F182, TRUE, 0)</f>
        <v>0</v>
      </c>
      <c r="D182" s="4" cm="1">
        <f t="array" ref="D182">_xlfn.IFS('ProductSprint Backlog'!$F182="", "", AND('ProductSprint Backlog'!$J182&gt;D$2,'ProductSprint Backlog'!$I182&lt;=D$2), 'ProductSprint Backlog'!$F182 / MAX(1, 'ProductSprint Backlog'!$J182-'ProductSprint Backlog'!$I182), AND('ProductSprint Backlog'!$J182=D$2,'ProductSprint Backlog'!$I182=D$2), 'ProductSprint Backlog'!$F182, TRUE, 0)</f>
        <v>0</v>
      </c>
      <c r="E182" s="4" cm="1">
        <f t="array" ref="E182">_xlfn.IFS('ProductSprint Backlog'!$F182="", "", AND('ProductSprint Backlog'!$J182&gt;E$2,'ProductSprint Backlog'!$I182&lt;=E$2), 'ProductSprint Backlog'!$F182 / MAX(1, 'ProductSprint Backlog'!$J182-'ProductSprint Backlog'!$I182), AND('ProductSprint Backlog'!$J182=E$2,'ProductSprint Backlog'!$I182=E$2), 'ProductSprint Backlog'!$F182, TRUE, 0)</f>
        <v>0</v>
      </c>
      <c r="F182" s="4" cm="1">
        <f t="array" ref="F182">_xlfn.IFS('ProductSprint Backlog'!$F182="", "", AND('ProductSprint Backlog'!$J182&gt;F$2,'ProductSprint Backlog'!$I182&lt;=F$2), 'ProductSprint Backlog'!$F182 / MAX(1, 'ProductSprint Backlog'!$J182-'ProductSprint Backlog'!$I182), AND('ProductSprint Backlog'!$J182=F$2,'ProductSprint Backlog'!$I182=F$2), 'ProductSprint Backlog'!$F182, TRUE, 0)</f>
        <v>0</v>
      </c>
      <c r="G182" s="4" cm="1">
        <f t="array" ref="G182">_xlfn.IFS('ProductSprint Backlog'!$F182="", "", AND('ProductSprint Backlog'!$J182&gt;G$2,'ProductSprint Backlog'!$I182&lt;=G$2), 'ProductSprint Backlog'!$F182 / MAX(1, 'ProductSprint Backlog'!$J182-'ProductSprint Backlog'!$I182), AND('ProductSprint Backlog'!$J182=G$2,'ProductSprint Backlog'!$I182=G$2), 'ProductSprint Backlog'!$F182, TRUE, 0)</f>
        <v>0</v>
      </c>
      <c r="H182" s="4" cm="1">
        <f t="array" ref="H182">_xlfn.IFS('ProductSprint Backlog'!$F182="", "", AND('ProductSprint Backlog'!$J182&gt;H$2,'ProductSprint Backlog'!$I182&lt;=H$2), 'ProductSprint Backlog'!$F182 / MAX(1, 'ProductSprint Backlog'!$J182-'ProductSprint Backlog'!$I182), AND('ProductSprint Backlog'!$J182=H$2,'ProductSprint Backlog'!$I182=H$2), 'ProductSprint Backlog'!$F182, TRUE, 0)</f>
        <v>0</v>
      </c>
      <c r="I182" s="4" cm="1">
        <f t="array" ref="I182">_xlfn.IFS('ProductSprint Backlog'!$F182="", "", AND('ProductSprint Backlog'!$J182&gt;I$2,'ProductSprint Backlog'!$I182&lt;=I$2), 'ProductSprint Backlog'!$F182 / MAX(1, 'ProductSprint Backlog'!$J182-'ProductSprint Backlog'!$I182), AND('ProductSprint Backlog'!$J182=I$2,'ProductSprint Backlog'!$I182=I$2), 'ProductSprint Backlog'!$F182, TRUE, 0)</f>
        <v>0</v>
      </c>
      <c r="J182" s="4" cm="1">
        <f t="array" ref="J182">_xlfn.IFS('ProductSprint Backlog'!$F182="", "", AND('ProductSprint Backlog'!$J182&gt;J$2,'ProductSprint Backlog'!$I182&lt;=J$2), 'ProductSprint Backlog'!$F182 / MAX(1, 'ProductSprint Backlog'!$J182-'ProductSprint Backlog'!$I182), AND('ProductSprint Backlog'!$J182=J$2,'ProductSprint Backlog'!$I182=J$2), 'ProductSprint Backlog'!$F182, TRUE, 0)</f>
        <v>0</v>
      </c>
      <c r="K182" s="4" cm="1">
        <f t="array" ref="K182">_xlfn.IFS('ProductSprint Backlog'!$F182="", "", AND('ProductSprint Backlog'!$J182&gt;K$2,'ProductSprint Backlog'!$I182&lt;=K$2), 'ProductSprint Backlog'!$F182 / MAX(1, 'ProductSprint Backlog'!$J182-'ProductSprint Backlog'!$I182), AND('ProductSprint Backlog'!$J182=K$2,'ProductSprint Backlog'!$I182=K$2), 'ProductSprint Backlog'!$F182, TRUE, 0)</f>
        <v>0</v>
      </c>
      <c r="L182" s="4" cm="1">
        <f t="array" ref="L182">_xlfn.IFS('ProductSprint Backlog'!$F182="", "", AND('ProductSprint Backlog'!$J182&gt;L$2,'ProductSprint Backlog'!$I182&lt;=L$2), 'ProductSprint Backlog'!$F182 / MAX(1, 'ProductSprint Backlog'!$J182-'ProductSprint Backlog'!$I182), AND('ProductSprint Backlog'!$J182=L$2,'ProductSprint Backlog'!$I182=L$2), 'ProductSprint Backlog'!$F182, TRUE, 0)</f>
        <v>0</v>
      </c>
      <c r="M182" s="4" cm="1">
        <f t="array" ref="M182">_xlfn.IFS('ProductSprint Backlog'!$F182="", "", AND('ProductSprint Backlog'!$J182&gt;M$2,'ProductSprint Backlog'!$I182&lt;=M$2), 'ProductSprint Backlog'!$F182 / MAX(1, 'ProductSprint Backlog'!$J182-'ProductSprint Backlog'!$I182), AND('ProductSprint Backlog'!$J182=M$2,'ProductSprint Backlog'!$I182=M$2), 'ProductSprint Backlog'!$F182, TRUE, 0)</f>
        <v>0</v>
      </c>
      <c r="N182" s="4" cm="1">
        <f t="array" ref="N182">_xlfn.IFS('ProductSprint Backlog'!$F182="", "", AND('ProductSprint Backlog'!$J182&gt;N$2,'ProductSprint Backlog'!$I182&lt;=N$2), 'ProductSprint Backlog'!$F182 / MAX(1, 'ProductSprint Backlog'!$J182-'ProductSprint Backlog'!$I182), AND('ProductSprint Backlog'!$J182=N$2,'ProductSprint Backlog'!$I182=N$2), 'ProductSprint Backlog'!$F182, TRUE, 0)</f>
        <v>0</v>
      </c>
      <c r="O182" s="4" cm="1">
        <f t="array" ref="O182">_xlfn.IFS('ProductSprint Backlog'!$F182="", "", AND('ProductSprint Backlog'!$J182&gt;O$2,'ProductSprint Backlog'!$I182&lt;=O$2), 'ProductSprint Backlog'!$F182 / MAX(1, 'ProductSprint Backlog'!$J182-'ProductSprint Backlog'!$I182), AND('ProductSprint Backlog'!$J182=O$2,'ProductSprint Backlog'!$I182=O$2), 'ProductSprint Backlog'!$F182, TRUE, 0)</f>
        <v>0</v>
      </c>
      <c r="P182" s="4" cm="1">
        <f t="array" ref="P182">_xlfn.IFS('ProductSprint Backlog'!$F182="", "", AND('ProductSprint Backlog'!$J182&gt;P$2,'ProductSprint Backlog'!$I182&lt;=P$2), 'ProductSprint Backlog'!$F182 / MAX(1, 'ProductSprint Backlog'!$J182-'ProductSprint Backlog'!$I182), AND('ProductSprint Backlog'!$J182=P$2,'ProductSprint Backlog'!$I182=P$2), 'ProductSprint Backlog'!$F182, TRUE, 0)</f>
        <v>0</v>
      </c>
      <c r="Q182" s="4" cm="1">
        <f t="array" ref="Q182">_xlfn.IFS('ProductSprint Backlog'!$F182="", "", AND('ProductSprint Backlog'!$J182&gt;Q$2,'ProductSprint Backlog'!$I182&lt;=Q$2), 'ProductSprint Backlog'!$F182 / MAX(1, 'ProductSprint Backlog'!$J182-'ProductSprint Backlog'!$I182), AND('ProductSprint Backlog'!$J182=Q$2,'ProductSprint Backlog'!$I182=Q$2), 'ProductSprint Backlog'!$F182, TRUE, 0)</f>
        <v>0</v>
      </c>
      <c r="R182" s="4" cm="1">
        <f t="array" ref="R182">_xlfn.IFS('ProductSprint Backlog'!$F182="", "", AND('ProductSprint Backlog'!$J182&gt;R$2,'ProductSprint Backlog'!$I182&lt;=R$2), 'ProductSprint Backlog'!$F182 / MAX(1, 'ProductSprint Backlog'!$J182-'ProductSprint Backlog'!$I182), AND('ProductSprint Backlog'!$J182=R$2,'ProductSprint Backlog'!$I182=R$2), 'ProductSprint Backlog'!$F182, TRUE, 0)</f>
        <v>0</v>
      </c>
      <c r="S182" s="4" cm="1">
        <f t="array" ref="S182">_xlfn.IFS('ProductSprint Backlog'!$F182="", "", AND('ProductSprint Backlog'!$J182&gt;S$2,'ProductSprint Backlog'!$I182&lt;=S$2), 'ProductSprint Backlog'!$F182 / MAX(1, 'ProductSprint Backlog'!$J182-'ProductSprint Backlog'!$I182), AND('ProductSprint Backlog'!$J182=S$2,'ProductSprint Backlog'!$I182=S$2), 'ProductSprint Backlog'!$F182, TRUE, 0)</f>
        <v>0</v>
      </c>
      <c r="T182" s="4" cm="1">
        <f t="array" ref="T182">_xlfn.IFS('ProductSprint Backlog'!$F182="", "", AND('ProductSprint Backlog'!$J182&gt;T$2,'ProductSprint Backlog'!$I182&lt;=T$2), 'ProductSprint Backlog'!$F182 / MAX(1, 'ProductSprint Backlog'!$J182-'ProductSprint Backlog'!$I182), AND('ProductSprint Backlog'!$J182=T$2,'ProductSprint Backlog'!$I182=T$2), 'ProductSprint Backlog'!$F182, TRUE, 0)</f>
        <v>0</v>
      </c>
    </row>
    <row r="183" spans="2:20" x14ac:dyDescent="0.2">
      <c r="B183" s="4" cm="1">
        <f t="array" ref="B183">_xlfn.IFS('ProductSprint Backlog'!$F183="", "", AND('ProductSprint Backlog'!$J183&gt;B$2,'ProductSprint Backlog'!$I183&lt;=B$2), 'ProductSprint Backlog'!$F183 / MAX(1, 'ProductSprint Backlog'!$J183-'ProductSprint Backlog'!$I183), AND('ProductSprint Backlog'!$J183=B$2,'ProductSprint Backlog'!$I183=B$2), 'ProductSprint Backlog'!$F183, TRUE, 0)</f>
        <v>0</v>
      </c>
      <c r="C183" s="4" cm="1">
        <f t="array" ref="C183">_xlfn.IFS('ProductSprint Backlog'!$F183="", "", AND('ProductSprint Backlog'!$J183&gt;C$2,'ProductSprint Backlog'!$I183&lt;=C$2), 'ProductSprint Backlog'!$F183 / MAX(1, 'ProductSprint Backlog'!$J183-'ProductSprint Backlog'!$I183), AND('ProductSprint Backlog'!$J183=C$2,'ProductSprint Backlog'!$I183=C$2), 'ProductSprint Backlog'!$F183, TRUE, 0)</f>
        <v>0</v>
      </c>
      <c r="D183" s="4" cm="1">
        <f t="array" ref="D183">_xlfn.IFS('ProductSprint Backlog'!$F183="", "", AND('ProductSprint Backlog'!$J183&gt;D$2,'ProductSprint Backlog'!$I183&lt;=D$2), 'ProductSprint Backlog'!$F183 / MAX(1, 'ProductSprint Backlog'!$J183-'ProductSprint Backlog'!$I183), AND('ProductSprint Backlog'!$J183=D$2,'ProductSprint Backlog'!$I183=D$2), 'ProductSprint Backlog'!$F183, TRUE, 0)</f>
        <v>0</v>
      </c>
      <c r="E183" s="4" cm="1">
        <f t="array" ref="E183">_xlfn.IFS('ProductSprint Backlog'!$F183="", "", AND('ProductSprint Backlog'!$J183&gt;E$2,'ProductSprint Backlog'!$I183&lt;=E$2), 'ProductSprint Backlog'!$F183 / MAX(1, 'ProductSprint Backlog'!$J183-'ProductSprint Backlog'!$I183), AND('ProductSprint Backlog'!$J183=E$2,'ProductSprint Backlog'!$I183=E$2), 'ProductSprint Backlog'!$F183, TRUE, 0)</f>
        <v>0</v>
      </c>
      <c r="F183" s="4" cm="1">
        <f t="array" ref="F183">_xlfn.IFS('ProductSprint Backlog'!$F183="", "", AND('ProductSprint Backlog'!$J183&gt;F$2,'ProductSprint Backlog'!$I183&lt;=F$2), 'ProductSprint Backlog'!$F183 / MAX(1, 'ProductSprint Backlog'!$J183-'ProductSprint Backlog'!$I183), AND('ProductSprint Backlog'!$J183=F$2,'ProductSprint Backlog'!$I183=F$2), 'ProductSprint Backlog'!$F183, TRUE, 0)</f>
        <v>0</v>
      </c>
      <c r="G183" s="4" cm="1">
        <f t="array" ref="G183">_xlfn.IFS('ProductSprint Backlog'!$F183="", "", AND('ProductSprint Backlog'!$J183&gt;G$2,'ProductSprint Backlog'!$I183&lt;=G$2), 'ProductSprint Backlog'!$F183 / MAX(1, 'ProductSprint Backlog'!$J183-'ProductSprint Backlog'!$I183), AND('ProductSprint Backlog'!$J183=G$2,'ProductSprint Backlog'!$I183=G$2), 'ProductSprint Backlog'!$F183, TRUE, 0)</f>
        <v>0</v>
      </c>
      <c r="H183" s="4" cm="1">
        <f t="array" ref="H183">_xlfn.IFS('ProductSprint Backlog'!$F183="", "", AND('ProductSprint Backlog'!$J183&gt;H$2,'ProductSprint Backlog'!$I183&lt;=H$2), 'ProductSprint Backlog'!$F183 / MAX(1, 'ProductSprint Backlog'!$J183-'ProductSprint Backlog'!$I183), AND('ProductSprint Backlog'!$J183=H$2,'ProductSprint Backlog'!$I183=H$2), 'ProductSprint Backlog'!$F183, TRUE, 0)</f>
        <v>0</v>
      </c>
      <c r="I183" s="4" cm="1">
        <f t="array" ref="I183">_xlfn.IFS('ProductSprint Backlog'!$F183="", "", AND('ProductSprint Backlog'!$J183&gt;I$2,'ProductSprint Backlog'!$I183&lt;=I$2), 'ProductSprint Backlog'!$F183 / MAX(1, 'ProductSprint Backlog'!$J183-'ProductSprint Backlog'!$I183), AND('ProductSprint Backlog'!$J183=I$2,'ProductSprint Backlog'!$I183=I$2), 'ProductSprint Backlog'!$F183, TRUE, 0)</f>
        <v>0</v>
      </c>
      <c r="J183" s="4" cm="1">
        <f t="array" ref="J183">_xlfn.IFS('ProductSprint Backlog'!$F183="", "", AND('ProductSprint Backlog'!$J183&gt;J$2,'ProductSprint Backlog'!$I183&lt;=J$2), 'ProductSprint Backlog'!$F183 / MAX(1, 'ProductSprint Backlog'!$J183-'ProductSprint Backlog'!$I183), AND('ProductSprint Backlog'!$J183=J$2,'ProductSprint Backlog'!$I183=J$2), 'ProductSprint Backlog'!$F183, TRUE, 0)</f>
        <v>0</v>
      </c>
      <c r="K183" s="4" cm="1">
        <f t="array" ref="K183">_xlfn.IFS('ProductSprint Backlog'!$F183="", "", AND('ProductSprint Backlog'!$J183&gt;K$2,'ProductSprint Backlog'!$I183&lt;=K$2), 'ProductSprint Backlog'!$F183 / MAX(1, 'ProductSprint Backlog'!$J183-'ProductSprint Backlog'!$I183), AND('ProductSprint Backlog'!$J183=K$2,'ProductSprint Backlog'!$I183=K$2), 'ProductSprint Backlog'!$F183, TRUE, 0)</f>
        <v>0</v>
      </c>
      <c r="L183" s="4" cm="1">
        <f t="array" ref="L183">_xlfn.IFS('ProductSprint Backlog'!$F183="", "", AND('ProductSprint Backlog'!$J183&gt;L$2,'ProductSprint Backlog'!$I183&lt;=L$2), 'ProductSprint Backlog'!$F183 / MAX(1, 'ProductSprint Backlog'!$J183-'ProductSprint Backlog'!$I183), AND('ProductSprint Backlog'!$J183=L$2,'ProductSprint Backlog'!$I183=L$2), 'ProductSprint Backlog'!$F183, TRUE, 0)</f>
        <v>0</v>
      </c>
      <c r="M183" s="4" cm="1">
        <f t="array" ref="M183">_xlfn.IFS('ProductSprint Backlog'!$F183="", "", AND('ProductSprint Backlog'!$J183&gt;M$2,'ProductSprint Backlog'!$I183&lt;=M$2), 'ProductSprint Backlog'!$F183 / MAX(1, 'ProductSprint Backlog'!$J183-'ProductSprint Backlog'!$I183), AND('ProductSprint Backlog'!$J183=M$2,'ProductSprint Backlog'!$I183=M$2), 'ProductSprint Backlog'!$F183, TRUE, 0)</f>
        <v>0</v>
      </c>
      <c r="N183" s="4" cm="1">
        <f t="array" ref="N183">_xlfn.IFS('ProductSprint Backlog'!$F183="", "", AND('ProductSprint Backlog'!$J183&gt;N$2,'ProductSprint Backlog'!$I183&lt;=N$2), 'ProductSprint Backlog'!$F183 / MAX(1, 'ProductSprint Backlog'!$J183-'ProductSprint Backlog'!$I183), AND('ProductSprint Backlog'!$J183=N$2,'ProductSprint Backlog'!$I183=N$2), 'ProductSprint Backlog'!$F183, TRUE, 0)</f>
        <v>0</v>
      </c>
      <c r="O183" s="4" cm="1">
        <f t="array" ref="O183">_xlfn.IFS('ProductSprint Backlog'!$F183="", "", AND('ProductSprint Backlog'!$J183&gt;O$2,'ProductSprint Backlog'!$I183&lt;=O$2), 'ProductSprint Backlog'!$F183 / MAX(1, 'ProductSprint Backlog'!$J183-'ProductSprint Backlog'!$I183), AND('ProductSprint Backlog'!$J183=O$2,'ProductSprint Backlog'!$I183=O$2), 'ProductSprint Backlog'!$F183, TRUE, 0)</f>
        <v>0</v>
      </c>
      <c r="P183" s="4" cm="1">
        <f t="array" ref="P183">_xlfn.IFS('ProductSprint Backlog'!$F183="", "", AND('ProductSprint Backlog'!$J183&gt;P$2,'ProductSprint Backlog'!$I183&lt;=P$2), 'ProductSprint Backlog'!$F183 / MAX(1, 'ProductSprint Backlog'!$J183-'ProductSprint Backlog'!$I183), AND('ProductSprint Backlog'!$J183=P$2,'ProductSprint Backlog'!$I183=P$2), 'ProductSprint Backlog'!$F183, TRUE, 0)</f>
        <v>0</v>
      </c>
      <c r="Q183" s="4" cm="1">
        <f t="array" ref="Q183">_xlfn.IFS('ProductSprint Backlog'!$F183="", "", AND('ProductSprint Backlog'!$J183&gt;Q$2,'ProductSprint Backlog'!$I183&lt;=Q$2), 'ProductSprint Backlog'!$F183 / MAX(1, 'ProductSprint Backlog'!$J183-'ProductSprint Backlog'!$I183), AND('ProductSprint Backlog'!$J183=Q$2,'ProductSprint Backlog'!$I183=Q$2), 'ProductSprint Backlog'!$F183, TRUE, 0)</f>
        <v>0</v>
      </c>
      <c r="R183" s="4" cm="1">
        <f t="array" ref="R183">_xlfn.IFS('ProductSprint Backlog'!$F183="", "", AND('ProductSprint Backlog'!$J183&gt;R$2,'ProductSprint Backlog'!$I183&lt;=R$2), 'ProductSprint Backlog'!$F183 / MAX(1, 'ProductSprint Backlog'!$J183-'ProductSprint Backlog'!$I183), AND('ProductSprint Backlog'!$J183=R$2,'ProductSprint Backlog'!$I183=R$2), 'ProductSprint Backlog'!$F183, TRUE, 0)</f>
        <v>0</v>
      </c>
      <c r="S183" s="4" cm="1">
        <f t="array" ref="S183">_xlfn.IFS('ProductSprint Backlog'!$F183="", "", AND('ProductSprint Backlog'!$J183&gt;S$2,'ProductSprint Backlog'!$I183&lt;=S$2), 'ProductSprint Backlog'!$F183 / MAX(1, 'ProductSprint Backlog'!$J183-'ProductSprint Backlog'!$I183), AND('ProductSprint Backlog'!$J183=S$2,'ProductSprint Backlog'!$I183=S$2), 'ProductSprint Backlog'!$F183, TRUE, 0)</f>
        <v>0</v>
      </c>
      <c r="T183" s="4" cm="1">
        <f t="array" ref="T183">_xlfn.IFS('ProductSprint Backlog'!$F183="", "", AND('ProductSprint Backlog'!$J183&gt;T$2,'ProductSprint Backlog'!$I183&lt;=T$2), 'ProductSprint Backlog'!$F183 / MAX(1, 'ProductSprint Backlog'!$J183-'ProductSprint Backlog'!$I183), AND('ProductSprint Backlog'!$J183=T$2,'ProductSprint Backlog'!$I183=T$2), 'ProductSprint Backlog'!$F183, TRUE, 0)</f>
        <v>0</v>
      </c>
    </row>
    <row r="184" spans="2:20" x14ac:dyDescent="0.2">
      <c r="B184" s="4" cm="1">
        <f t="array" ref="B184">_xlfn.IFS('ProductSprint Backlog'!$F184="", "", AND('ProductSprint Backlog'!$J184&gt;B$2,'ProductSprint Backlog'!$I184&lt;=B$2), 'ProductSprint Backlog'!$F184 / MAX(1, 'ProductSprint Backlog'!$J184-'ProductSprint Backlog'!$I184), AND('ProductSprint Backlog'!$J184=B$2,'ProductSprint Backlog'!$I184=B$2), 'ProductSprint Backlog'!$F184, TRUE, 0)</f>
        <v>0</v>
      </c>
      <c r="C184" s="4" cm="1">
        <f t="array" ref="C184">_xlfn.IFS('ProductSprint Backlog'!$F184="", "", AND('ProductSprint Backlog'!$J184&gt;C$2,'ProductSprint Backlog'!$I184&lt;=C$2), 'ProductSprint Backlog'!$F184 / MAX(1, 'ProductSprint Backlog'!$J184-'ProductSprint Backlog'!$I184), AND('ProductSprint Backlog'!$J184=C$2,'ProductSprint Backlog'!$I184=C$2), 'ProductSprint Backlog'!$F184, TRUE, 0)</f>
        <v>0</v>
      </c>
      <c r="D184" s="4" cm="1">
        <f t="array" ref="D184">_xlfn.IFS('ProductSprint Backlog'!$F184="", "", AND('ProductSprint Backlog'!$J184&gt;D$2,'ProductSprint Backlog'!$I184&lt;=D$2), 'ProductSprint Backlog'!$F184 / MAX(1, 'ProductSprint Backlog'!$J184-'ProductSprint Backlog'!$I184), AND('ProductSprint Backlog'!$J184=D$2,'ProductSprint Backlog'!$I184=D$2), 'ProductSprint Backlog'!$F184, TRUE, 0)</f>
        <v>0</v>
      </c>
      <c r="E184" s="4" cm="1">
        <f t="array" ref="E184">_xlfn.IFS('ProductSprint Backlog'!$F184="", "", AND('ProductSprint Backlog'!$J184&gt;E$2,'ProductSprint Backlog'!$I184&lt;=E$2), 'ProductSprint Backlog'!$F184 / MAX(1, 'ProductSprint Backlog'!$J184-'ProductSprint Backlog'!$I184), AND('ProductSprint Backlog'!$J184=E$2,'ProductSprint Backlog'!$I184=E$2), 'ProductSprint Backlog'!$F184, TRUE, 0)</f>
        <v>0</v>
      </c>
      <c r="F184" s="4" cm="1">
        <f t="array" ref="F184">_xlfn.IFS('ProductSprint Backlog'!$F184="", "", AND('ProductSprint Backlog'!$J184&gt;F$2,'ProductSprint Backlog'!$I184&lt;=F$2), 'ProductSprint Backlog'!$F184 / MAX(1, 'ProductSprint Backlog'!$J184-'ProductSprint Backlog'!$I184), AND('ProductSprint Backlog'!$J184=F$2,'ProductSprint Backlog'!$I184=F$2), 'ProductSprint Backlog'!$F184, TRUE, 0)</f>
        <v>0</v>
      </c>
      <c r="G184" s="4" cm="1">
        <f t="array" ref="G184">_xlfn.IFS('ProductSprint Backlog'!$F184="", "", AND('ProductSprint Backlog'!$J184&gt;G$2,'ProductSprint Backlog'!$I184&lt;=G$2), 'ProductSprint Backlog'!$F184 / MAX(1, 'ProductSprint Backlog'!$J184-'ProductSprint Backlog'!$I184), AND('ProductSprint Backlog'!$J184=G$2,'ProductSprint Backlog'!$I184=G$2), 'ProductSprint Backlog'!$F184, TRUE, 0)</f>
        <v>0</v>
      </c>
      <c r="H184" s="4" cm="1">
        <f t="array" ref="H184">_xlfn.IFS('ProductSprint Backlog'!$F184="", "", AND('ProductSprint Backlog'!$J184&gt;H$2,'ProductSprint Backlog'!$I184&lt;=H$2), 'ProductSprint Backlog'!$F184 / MAX(1, 'ProductSprint Backlog'!$J184-'ProductSprint Backlog'!$I184), AND('ProductSprint Backlog'!$J184=H$2,'ProductSprint Backlog'!$I184=H$2), 'ProductSprint Backlog'!$F184, TRUE, 0)</f>
        <v>0</v>
      </c>
      <c r="I184" s="4" cm="1">
        <f t="array" ref="I184">_xlfn.IFS('ProductSprint Backlog'!$F184="", "", AND('ProductSprint Backlog'!$J184&gt;I$2,'ProductSprint Backlog'!$I184&lt;=I$2), 'ProductSprint Backlog'!$F184 / MAX(1, 'ProductSprint Backlog'!$J184-'ProductSprint Backlog'!$I184), AND('ProductSprint Backlog'!$J184=I$2,'ProductSprint Backlog'!$I184=I$2), 'ProductSprint Backlog'!$F184, TRUE, 0)</f>
        <v>0</v>
      </c>
      <c r="J184" s="4" cm="1">
        <f t="array" ref="J184">_xlfn.IFS('ProductSprint Backlog'!$F184="", "", AND('ProductSprint Backlog'!$J184&gt;J$2,'ProductSprint Backlog'!$I184&lt;=J$2), 'ProductSprint Backlog'!$F184 / MAX(1, 'ProductSprint Backlog'!$J184-'ProductSprint Backlog'!$I184), AND('ProductSprint Backlog'!$J184=J$2,'ProductSprint Backlog'!$I184=J$2), 'ProductSprint Backlog'!$F184, TRUE, 0)</f>
        <v>0</v>
      </c>
      <c r="K184" s="4" cm="1">
        <f t="array" ref="K184">_xlfn.IFS('ProductSprint Backlog'!$F184="", "", AND('ProductSprint Backlog'!$J184&gt;K$2,'ProductSprint Backlog'!$I184&lt;=K$2), 'ProductSprint Backlog'!$F184 / MAX(1, 'ProductSprint Backlog'!$J184-'ProductSprint Backlog'!$I184), AND('ProductSprint Backlog'!$J184=K$2,'ProductSprint Backlog'!$I184=K$2), 'ProductSprint Backlog'!$F184, TRUE, 0)</f>
        <v>0</v>
      </c>
      <c r="L184" s="4" cm="1">
        <f t="array" ref="L184">_xlfn.IFS('ProductSprint Backlog'!$F184="", "", AND('ProductSprint Backlog'!$J184&gt;L$2,'ProductSprint Backlog'!$I184&lt;=L$2), 'ProductSprint Backlog'!$F184 / MAX(1, 'ProductSprint Backlog'!$J184-'ProductSprint Backlog'!$I184), AND('ProductSprint Backlog'!$J184=L$2,'ProductSprint Backlog'!$I184=L$2), 'ProductSprint Backlog'!$F184, TRUE, 0)</f>
        <v>0</v>
      </c>
      <c r="M184" s="4" cm="1">
        <f t="array" ref="M184">_xlfn.IFS('ProductSprint Backlog'!$F184="", "", AND('ProductSprint Backlog'!$J184&gt;M$2,'ProductSprint Backlog'!$I184&lt;=M$2), 'ProductSprint Backlog'!$F184 / MAX(1, 'ProductSprint Backlog'!$J184-'ProductSprint Backlog'!$I184), AND('ProductSprint Backlog'!$J184=M$2,'ProductSprint Backlog'!$I184=M$2), 'ProductSprint Backlog'!$F184, TRUE, 0)</f>
        <v>0</v>
      </c>
      <c r="N184" s="4" cm="1">
        <f t="array" ref="N184">_xlfn.IFS('ProductSprint Backlog'!$F184="", "", AND('ProductSprint Backlog'!$J184&gt;N$2,'ProductSprint Backlog'!$I184&lt;=N$2), 'ProductSprint Backlog'!$F184 / MAX(1, 'ProductSprint Backlog'!$J184-'ProductSprint Backlog'!$I184), AND('ProductSprint Backlog'!$J184=N$2,'ProductSprint Backlog'!$I184=N$2), 'ProductSprint Backlog'!$F184, TRUE, 0)</f>
        <v>0</v>
      </c>
      <c r="O184" s="4" cm="1">
        <f t="array" ref="O184">_xlfn.IFS('ProductSprint Backlog'!$F184="", "", AND('ProductSprint Backlog'!$J184&gt;O$2,'ProductSprint Backlog'!$I184&lt;=O$2), 'ProductSprint Backlog'!$F184 / MAX(1, 'ProductSprint Backlog'!$J184-'ProductSprint Backlog'!$I184), AND('ProductSprint Backlog'!$J184=O$2,'ProductSprint Backlog'!$I184=O$2), 'ProductSprint Backlog'!$F184, TRUE, 0)</f>
        <v>0</v>
      </c>
      <c r="P184" s="4" cm="1">
        <f t="array" ref="P184">_xlfn.IFS('ProductSprint Backlog'!$F184="", "", AND('ProductSprint Backlog'!$J184&gt;P$2,'ProductSprint Backlog'!$I184&lt;=P$2), 'ProductSprint Backlog'!$F184 / MAX(1, 'ProductSprint Backlog'!$J184-'ProductSprint Backlog'!$I184), AND('ProductSprint Backlog'!$J184=P$2,'ProductSprint Backlog'!$I184=P$2), 'ProductSprint Backlog'!$F184, TRUE, 0)</f>
        <v>0</v>
      </c>
      <c r="Q184" s="4" cm="1">
        <f t="array" ref="Q184">_xlfn.IFS('ProductSprint Backlog'!$F184="", "", AND('ProductSprint Backlog'!$J184&gt;Q$2,'ProductSprint Backlog'!$I184&lt;=Q$2), 'ProductSprint Backlog'!$F184 / MAX(1, 'ProductSprint Backlog'!$J184-'ProductSprint Backlog'!$I184), AND('ProductSprint Backlog'!$J184=Q$2,'ProductSprint Backlog'!$I184=Q$2), 'ProductSprint Backlog'!$F184, TRUE, 0)</f>
        <v>0</v>
      </c>
      <c r="R184" s="4" cm="1">
        <f t="array" ref="R184">_xlfn.IFS('ProductSprint Backlog'!$F184="", "", AND('ProductSprint Backlog'!$J184&gt;R$2,'ProductSprint Backlog'!$I184&lt;=R$2), 'ProductSprint Backlog'!$F184 / MAX(1, 'ProductSprint Backlog'!$J184-'ProductSprint Backlog'!$I184), AND('ProductSprint Backlog'!$J184=R$2,'ProductSprint Backlog'!$I184=R$2), 'ProductSprint Backlog'!$F184, TRUE, 0)</f>
        <v>0</v>
      </c>
      <c r="S184" s="4" cm="1">
        <f t="array" ref="S184">_xlfn.IFS('ProductSprint Backlog'!$F184="", "", AND('ProductSprint Backlog'!$J184&gt;S$2,'ProductSprint Backlog'!$I184&lt;=S$2), 'ProductSprint Backlog'!$F184 / MAX(1, 'ProductSprint Backlog'!$J184-'ProductSprint Backlog'!$I184), AND('ProductSprint Backlog'!$J184=S$2,'ProductSprint Backlog'!$I184=S$2), 'ProductSprint Backlog'!$F184, TRUE, 0)</f>
        <v>0</v>
      </c>
      <c r="T184" s="4" cm="1">
        <f t="array" ref="T184">_xlfn.IFS('ProductSprint Backlog'!$F184="", "", AND('ProductSprint Backlog'!$J184&gt;T$2,'ProductSprint Backlog'!$I184&lt;=T$2), 'ProductSprint Backlog'!$F184 / MAX(1, 'ProductSprint Backlog'!$J184-'ProductSprint Backlog'!$I184), AND('ProductSprint Backlog'!$J184=T$2,'ProductSprint Backlog'!$I184=T$2), 'ProductSprint Backlog'!$F184, TRUE, 0)</f>
        <v>0</v>
      </c>
    </row>
    <row r="185" spans="2:20" x14ac:dyDescent="0.2">
      <c r="B185" s="4" cm="1">
        <f t="array" ref="B185">_xlfn.IFS('ProductSprint Backlog'!$F185="", "", AND('ProductSprint Backlog'!$J185&gt;B$2,'ProductSprint Backlog'!$I185&lt;=B$2), 'ProductSprint Backlog'!$F185 / MAX(1, 'ProductSprint Backlog'!$J185-'ProductSprint Backlog'!$I185), AND('ProductSprint Backlog'!$J185=B$2,'ProductSprint Backlog'!$I185=B$2), 'ProductSprint Backlog'!$F185, TRUE, 0)</f>
        <v>0</v>
      </c>
      <c r="C185" s="4" cm="1">
        <f t="array" ref="C185">_xlfn.IFS('ProductSprint Backlog'!$F185="", "", AND('ProductSprint Backlog'!$J185&gt;C$2,'ProductSprint Backlog'!$I185&lt;=C$2), 'ProductSprint Backlog'!$F185 / MAX(1, 'ProductSprint Backlog'!$J185-'ProductSprint Backlog'!$I185), AND('ProductSprint Backlog'!$J185=C$2,'ProductSprint Backlog'!$I185=C$2), 'ProductSprint Backlog'!$F185, TRUE, 0)</f>
        <v>0</v>
      </c>
      <c r="D185" s="4" cm="1">
        <f t="array" ref="D185">_xlfn.IFS('ProductSprint Backlog'!$F185="", "", AND('ProductSprint Backlog'!$J185&gt;D$2,'ProductSprint Backlog'!$I185&lt;=D$2), 'ProductSprint Backlog'!$F185 / MAX(1, 'ProductSprint Backlog'!$J185-'ProductSprint Backlog'!$I185), AND('ProductSprint Backlog'!$J185=D$2,'ProductSprint Backlog'!$I185=D$2), 'ProductSprint Backlog'!$F185, TRUE, 0)</f>
        <v>0</v>
      </c>
      <c r="E185" s="4" cm="1">
        <f t="array" ref="E185">_xlfn.IFS('ProductSprint Backlog'!$F185="", "", AND('ProductSprint Backlog'!$J185&gt;E$2,'ProductSprint Backlog'!$I185&lt;=E$2), 'ProductSprint Backlog'!$F185 / MAX(1, 'ProductSprint Backlog'!$J185-'ProductSprint Backlog'!$I185), AND('ProductSprint Backlog'!$J185=E$2,'ProductSprint Backlog'!$I185=E$2), 'ProductSprint Backlog'!$F185, TRUE, 0)</f>
        <v>0</v>
      </c>
      <c r="F185" s="4" cm="1">
        <f t="array" ref="F185">_xlfn.IFS('ProductSprint Backlog'!$F185="", "", AND('ProductSprint Backlog'!$J185&gt;F$2,'ProductSprint Backlog'!$I185&lt;=F$2), 'ProductSprint Backlog'!$F185 / MAX(1, 'ProductSprint Backlog'!$J185-'ProductSprint Backlog'!$I185), AND('ProductSprint Backlog'!$J185=F$2,'ProductSprint Backlog'!$I185=F$2), 'ProductSprint Backlog'!$F185, TRUE, 0)</f>
        <v>0</v>
      </c>
      <c r="G185" s="4" cm="1">
        <f t="array" ref="G185">_xlfn.IFS('ProductSprint Backlog'!$F185="", "", AND('ProductSprint Backlog'!$J185&gt;G$2,'ProductSprint Backlog'!$I185&lt;=G$2), 'ProductSprint Backlog'!$F185 / MAX(1, 'ProductSprint Backlog'!$J185-'ProductSprint Backlog'!$I185), AND('ProductSprint Backlog'!$J185=G$2,'ProductSprint Backlog'!$I185=G$2), 'ProductSprint Backlog'!$F185, TRUE, 0)</f>
        <v>0</v>
      </c>
      <c r="H185" s="4" cm="1">
        <f t="array" ref="H185">_xlfn.IFS('ProductSprint Backlog'!$F185="", "", AND('ProductSprint Backlog'!$J185&gt;H$2,'ProductSprint Backlog'!$I185&lt;=H$2), 'ProductSprint Backlog'!$F185 / MAX(1, 'ProductSprint Backlog'!$J185-'ProductSprint Backlog'!$I185), AND('ProductSprint Backlog'!$J185=H$2,'ProductSprint Backlog'!$I185=H$2), 'ProductSprint Backlog'!$F185, TRUE, 0)</f>
        <v>0</v>
      </c>
      <c r="I185" s="4" cm="1">
        <f t="array" ref="I185">_xlfn.IFS('ProductSprint Backlog'!$F185="", "", AND('ProductSprint Backlog'!$J185&gt;I$2,'ProductSprint Backlog'!$I185&lt;=I$2), 'ProductSprint Backlog'!$F185 / MAX(1, 'ProductSprint Backlog'!$J185-'ProductSprint Backlog'!$I185), AND('ProductSprint Backlog'!$J185=I$2,'ProductSprint Backlog'!$I185=I$2), 'ProductSprint Backlog'!$F185, TRUE, 0)</f>
        <v>0</v>
      </c>
      <c r="J185" s="4" cm="1">
        <f t="array" ref="J185">_xlfn.IFS('ProductSprint Backlog'!$F185="", "", AND('ProductSprint Backlog'!$J185&gt;J$2,'ProductSprint Backlog'!$I185&lt;=J$2), 'ProductSprint Backlog'!$F185 / MAX(1, 'ProductSprint Backlog'!$J185-'ProductSprint Backlog'!$I185), AND('ProductSprint Backlog'!$J185=J$2,'ProductSprint Backlog'!$I185=J$2), 'ProductSprint Backlog'!$F185, TRUE, 0)</f>
        <v>0</v>
      </c>
      <c r="K185" s="4" cm="1">
        <f t="array" ref="K185">_xlfn.IFS('ProductSprint Backlog'!$F185="", "", AND('ProductSprint Backlog'!$J185&gt;K$2,'ProductSprint Backlog'!$I185&lt;=K$2), 'ProductSprint Backlog'!$F185 / MAX(1, 'ProductSprint Backlog'!$J185-'ProductSprint Backlog'!$I185), AND('ProductSprint Backlog'!$J185=K$2,'ProductSprint Backlog'!$I185=K$2), 'ProductSprint Backlog'!$F185, TRUE, 0)</f>
        <v>0</v>
      </c>
      <c r="L185" s="4" cm="1">
        <f t="array" ref="L185">_xlfn.IFS('ProductSprint Backlog'!$F185="", "", AND('ProductSprint Backlog'!$J185&gt;L$2,'ProductSprint Backlog'!$I185&lt;=L$2), 'ProductSprint Backlog'!$F185 / MAX(1, 'ProductSprint Backlog'!$J185-'ProductSprint Backlog'!$I185), AND('ProductSprint Backlog'!$J185=L$2,'ProductSprint Backlog'!$I185=L$2), 'ProductSprint Backlog'!$F185, TRUE, 0)</f>
        <v>0</v>
      </c>
      <c r="M185" s="4" cm="1">
        <f t="array" ref="M185">_xlfn.IFS('ProductSprint Backlog'!$F185="", "", AND('ProductSprint Backlog'!$J185&gt;M$2,'ProductSprint Backlog'!$I185&lt;=M$2), 'ProductSprint Backlog'!$F185 / MAX(1, 'ProductSprint Backlog'!$J185-'ProductSprint Backlog'!$I185), AND('ProductSprint Backlog'!$J185=M$2,'ProductSprint Backlog'!$I185=M$2), 'ProductSprint Backlog'!$F185, TRUE, 0)</f>
        <v>0</v>
      </c>
      <c r="N185" s="4" cm="1">
        <f t="array" ref="N185">_xlfn.IFS('ProductSprint Backlog'!$F185="", "", AND('ProductSprint Backlog'!$J185&gt;N$2,'ProductSprint Backlog'!$I185&lt;=N$2), 'ProductSprint Backlog'!$F185 / MAX(1, 'ProductSprint Backlog'!$J185-'ProductSprint Backlog'!$I185), AND('ProductSprint Backlog'!$J185=N$2,'ProductSprint Backlog'!$I185=N$2), 'ProductSprint Backlog'!$F185, TRUE, 0)</f>
        <v>0</v>
      </c>
      <c r="O185" s="4" cm="1">
        <f t="array" ref="O185">_xlfn.IFS('ProductSprint Backlog'!$F185="", "", AND('ProductSprint Backlog'!$J185&gt;O$2,'ProductSprint Backlog'!$I185&lt;=O$2), 'ProductSprint Backlog'!$F185 / MAX(1, 'ProductSprint Backlog'!$J185-'ProductSprint Backlog'!$I185), AND('ProductSprint Backlog'!$J185=O$2,'ProductSprint Backlog'!$I185=O$2), 'ProductSprint Backlog'!$F185, TRUE, 0)</f>
        <v>0</v>
      </c>
      <c r="P185" s="4" cm="1">
        <f t="array" ref="P185">_xlfn.IFS('ProductSprint Backlog'!$F185="", "", AND('ProductSprint Backlog'!$J185&gt;P$2,'ProductSprint Backlog'!$I185&lt;=P$2), 'ProductSprint Backlog'!$F185 / MAX(1, 'ProductSprint Backlog'!$J185-'ProductSprint Backlog'!$I185), AND('ProductSprint Backlog'!$J185=P$2,'ProductSprint Backlog'!$I185=P$2), 'ProductSprint Backlog'!$F185, TRUE, 0)</f>
        <v>0</v>
      </c>
      <c r="Q185" s="4" cm="1">
        <f t="array" ref="Q185">_xlfn.IFS('ProductSprint Backlog'!$F185="", "", AND('ProductSprint Backlog'!$J185&gt;Q$2,'ProductSprint Backlog'!$I185&lt;=Q$2), 'ProductSprint Backlog'!$F185 / MAX(1, 'ProductSprint Backlog'!$J185-'ProductSprint Backlog'!$I185), AND('ProductSprint Backlog'!$J185=Q$2,'ProductSprint Backlog'!$I185=Q$2), 'ProductSprint Backlog'!$F185, TRUE, 0)</f>
        <v>0</v>
      </c>
      <c r="R185" s="4" cm="1">
        <f t="array" ref="R185">_xlfn.IFS('ProductSprint Backlog'!$F185="", "", AND('ProductSprint Backlog'!$J185&gt;R$2,'ProductSprint Backlog'!$I185&lt;=R$2), 'ProductSprint Backlog'!$F185 / MAX(1, 'ProductSprint Backlog'!$J185-'ProductSprint Backlog'!$I185), AND('ProductSprint Backlog'!$J185=R$2,'ProductSprint Backlog'!$I185=R$2), 'ProductSprint Backlog'!$F185, TRUE, 0)</f>
        <v>0</v>
      </c>
      <c r="S185" s="4" cm="1">
        <f t="array" ref="S185">_xlfn.IFS('ProductSprint Backlog'!$F185="", "", AND('ProductSprint Backlog'!$J185&gt;S$2,'ProductSprint Backlog'!$I185&lt;=S$2), 'ProductSprint Backlog'!$F185 / MAX(1, 'ProductSprint Backlog'!$J185-'ProductSprint Backlog'!$I185), AND('ProductSprint Backlog'!$J185=S$2,'ProductSprint Backlog'!$I185=S$2), 'ProductSprint Backlog'!$F185, TRUE, 0)</f>
        <v>0</v>
      </c>
      <c r="T185" s="4" cm="1">
        <f t="array" ref="T185">_xlfn.IFS('ProductSprint Backlog'!$F185="", "", AND('ProductSprint Backlog'!$J185&gt;T$2,'ProductSprint Backlog'!$I185&lt;=T$2), 'ProductSprint Backlog'!$F185 / MAX(1, 'ProductSprint Backlog'!$J185-'ProductSprint Backlog'!$I185), AND('ProductSprint Backlog'!$J185=T$2,'ProductSprint Backlog'!$I185=T$2), 'ProductSprint Backlog'!$F185, TRUE, 0)</f>
        <v>0</v>
      </c>
    </row>
    <row r="186" spans="2:20" x14ac:dyDescent="0.2">
      <c r="B186" s="4" cm="1">
        <f t="array" ref="B186">_xlfn.IFS('ProductSprint Backlog'!$F186="", "", AND('ProductSprint Backlog'!$J186&gt;B$2,'ProductSprint Backlog'!$I186&lt;=B$2), 'ProductSprint Backlog'!$F186 / MAX(1, 'ProductSprint Backlog'!$J186-'ProductSprint Backlog'!$I186), AND('ProductSprint Backlog'!$J186=B$2,'ProductSprint Backlog'!$I186=B$2), 'ProductSprint Backlog'!$F186, TRUE, 0)</f>
        <v>0</v>
      </c>
      <c r="C186" s="4" cm="1">
        <f t="array" ref="C186">_xlfn.IFS('ProductSprint Backlog'!$F186="", "", AND('ProductSprint Backlog'!$J186&gt;C$2,'ProductSprint Backlog'!$I186&lt;=C$2), 'ProductSprint Backlog'!$F186 / MAX(1, 'ProductSprint Backlog'!$J186-'ProductSprint Backlog'!$I186), AND('ProductSprint Backlog'!$J186=C$2,'ProductSprint Backlog'!$I186=C$2), 'ProductSprint Backlog'!$F186, TRUE, 0)</f>
        <v>0</v>
      </c>
      <c r="D186" s="4" cm="1">
        <f t="array" ref="D186">_xlfn.IFS('ProductSprint Backlog'!$F186="", "", AND('ProductSprint Backlog'!$J186&gt;D$2,'ProductSprint Backlog'!$I186&lt;=D$2), 'ProductSprint Backlog'!$F186 / MAX(1, 'ProductSprint Backlog'!$J186-'ProductSprint Backlog'!$I186), AND('ProductSprint Backlog'!$J186=D$2,'ProductSprint Backlog'!$I186=D$2), 'ProductSprint Backlog'!$F186, TRUE, 0)</f>
        <v>0</v>
      </c>
      <c r="E186" s="4" cm="1">
        <f t="array" ref="E186">_xlfn.IFS('ProductSprint Backlog'!$F186="", "", AND('ProductSprint Backlog'!$J186&gt;E$2,'ProductSprint Backlog'!$I186&lt;=E$2), 'ProductSprint Backlog'!$F186 / MAX(1, 'ProductSprint Backlog'!$J186-'ProductSprint Backlog'!$I186), AND('ProductSprint Backlog'!$J186=E$2,'ProductSprint Backlog'!$I186=E$2), 'ProductSprint Backlog'!$F186, TRUE, 0)</f>
        <v>0</v>
      </c>
      <c r="F186" s="4" cm="1">
        <f t="array" ref="F186">_xlfn.IFS('ProductSprint Backlog'!$F186="", "", AND('ProductSprint Backlog'!$J186&gt;F$2,'ProductSprint Backlog'!$I186&lt;=F$2), 'ProductSprint Backlog'!$F186 / MAX(1, 'ProductSprint Backlog'!$J186-'ProductSprint Backlog'!$I186), AND('ProductSprint Backlog'!$J186=F$2,'ProductSprint Backlog'!$I186=F$2), 'ProductSprint Backlog'!$F186, TRUE, 0)</f>
        <v>0</v>
      </c>
      <c r="G186" s="4" cm="1">
        <f t="array" ref="G186">_xlfn.IFS('ProductSprint Backlog'!$F186="", "", AND('ProductSprint Backlog'!$J186&gt;G$2,'ProductSprint Backlog'!$I186&lt;=G$2), 'ProductSprint Backlog'!$F186 / MAX(1, 'ProductSprint Backlog'!$J186-'ProductSprint Backlog'!$I186), AND('ProductSprint Backlog'!$J186=G$2,'ProductSprint Backlog'!$I186=G$2), 'ProductSprint Backlog'!$F186, TRUE, 0)</f>
        <v>0</v>
      </c>
      <c r="H186" s="4" cm="1">
        <f t="array" ref="H186">_xlfn.IFS('ProductSprint Backlog'!$F186="", "", AND('ProductSprint Backlog'!$J186&gt;H$2,'ProductSprint Backlog'!$I186&lt;=H$2), 'ProductSprint Backlog'!$F186 / MAX(1, 'ProductSprint Backlog'!$J186-'ProductSprint Backlog'!$I186), AND('ProductSprint Backlog'!$J186=H$2,'ProductSprint Backlog'!$I186=H$2), 'ProductSprint Backlog'!$F186, TRUE, 0)</f>
        <v>0</v>
      </c>
      <c r="I186" s="4" cm="1">
        <f t="array" ref="I186">_xlfn.IFS('ProductSprint Backlog'!$F186="", "", AND('ProductSprint Backlog'!$J186&gt;I$2,'ProductSprint Backlog'!$I186&lt;=I$2), 'ProductSprint Backlog'!$F186 / MAX(1, 'ProductSprint Backlog'!$J186-'ProductSprint Backlog'!$I186), AND('ProductSprint Backlog'!$J186=I$2,'ProductSprint Backlog'!$I186=I$2), 'ProductSprint Backlog'!$F186, TRUE, 0)</f>
        <v>0</v>
      </c>
      <c r="J186" s="4" cm="1">
        <f t="array" ref="J186">_xlfn.IFS('ProductSprint Backlog'!$F186="", "", AND('ProductSprint Backlog'!$J186&gt;J$2,'ProductSprint Backlog'!$I186&lt;=J$2), 'ProductSprint Backlog'!$F186 / MAX(1, 'ProductSprint Backlog'!$J186-'ProductSprint Backlog'!$I186), AND('ProductSprint Backlog'!$J186=J$2,'ProductSprint Backlog'!$I186=J$2), 'ProductSprint Backlog'!$F186, TRUE, 0)</f>
        <v>0</v>
      </c>
      <c r="K186" s="4" cm="1">
        <f t="array" ref="K186">_xlfn.IFS('ProductSprint Backlog'!$F186="", "", AND('ProductSprint Backlog'!$J186&gt;K$2,'ProductSprint Backlog'!$I186&lt;=K$2), 'ProductSprint Backlog'!$F186 / MAX(1, 'ProductSprint Backlog'!$J186-'ProductSprint Backlog'!$I186), AND('ProductSprint Backlog'!$J186=K$2,'ProductSprint Backlog'!$I186=K$2), 'ProductSprint Backlog'!$F186, TRUE, 0)</f>
        <v>0</v>
      </c>
      <c r="L186" s="4" cm="1">
        <f t="array" ref="L186">_xlfn.IFS('ProductSprint Backlog'!$F186="", "", AND('ProductSprint Backlog'!$J186&gt;L$2,'ProductSprint Backlog'!$I186&lt;=L$2), 'ProductSprint Backlog'!$F186 / MAX(1, 'ProductSprint Backlog'!$J186-'ProductSprint Backlog'!$I186), AND('ProductSprint Backlog'!$J186=L$2,'ProductSprint Backlog'!$I186=L$2), 'ProductSprint Backlog'!$F186, TRUE, 0)</f>
        <v>0</v>
      </c>
      <c r="M186" s="4" cm="1">
        <f t="array" ref="M186">_xlfn.IFS('ProductSprint Backlog'!$F186="", "", AND('ProductSprint Backlog'!$J186&gt;M$2,'ProductSprint Backlog'!$I186&lt;=M$2), 'ProductSprint Backlog'!$F186 / MAX(1, 'ProductSprint Backlog'!$J186-'ProductSprint Backlog'!$I186), AND('ProductSprint Backlog'!$J186=M$2,'ProductSprint Backlog'!$I186=M$2), 'ProductSprint Backlog'!$F186, TRUE, 0)</f>
        <v>0</v>
      </c>
      <c r="N186" s="4" cm="1">
        <f t="array" ref="N186">_xlfn.IFS('ProductSprint Backlog'!$F186="", "", AND('ProductSprint Backlog'!$J186&gt;N$2,'ProductSprint Backlog'!$I186&lt;=N$2), 'ProductSprint Backlog'!$F186 / MAX(1, 'ProductSprint Backlog'!$J186-'ProductSprint Backlog'!$I186), AND('ProductSprint Backlog'!$J186=N$2,'ProductSprint Backlog'!$I186=N$2), 'ProductSprint Backlog'!$F186, TRUE, 0)</f>
        <v>0</v>
      </c>
      <c r="O186" s="4" cm="1">
        <f t="array" ref="O186">_xlfn.IFS('ProductSprint Backlog'!$F186="", "", AND('ProductSprint Backlog'!$J186&gt;O$2,'ProductSprint Backlog'!$I186&lt;=O$2), 'ProductSprint Backlog'!$F186 / MAX(1, 'ProductSprint Backlog'!$J186-'ProductSprint Backlog'!$I186), AND('ProductSprint Backlog'!$J186=O$2,'ProductSprint Backlog'!$I186=O$2), 'ProductSprint Backlog'!$F186, TRUE, 0)</f>
        <v>0</v>
      </c>
      <c r="P186" s="4" cm="1">
        <f t="array" ref="P186">_xlfn.IFS('ProductSprint Backlog'!$F186="", "", AND('ProductSprint Backlog'!$J186&gt;P$2,'ProductSprint Backlog'!$I186&lt;=P$2), 'ProductSprint Backlog'!$F186 / MAX(1, 'ProductSprint Backlog'!$J186-'ProductSprint Backlog'!$I186), AND('ProductSprint Backlog'!$J186=P$2,'ProductSprint Backlog'!$I186=P$2), 'ProductSprint Backlog'!$F186, TRUE, 0)</f>
        <v>0</v>
      </c>
      <c r="Q186" s="4" cm="1">
        <f t="array" ref="Q186">_xlfn.IFS('ProductSprint Backlog'!$F186="", "", AND('ProductSprint Backlog'!$J186&gt;Q$2,'ProductSprint Backlog'!$I186&lt;=Q$2), 'ProductSprint Backlog'!$F186 / MAX(1, 'ProductSprint Backlog'!$J186-'ProductSprint Backlog'!$I186), AND('ProductSprint Backlog'!$J186=Q$2,'ProductSprint Backlog'!$I186=Q$2), 'ProductSprint Backlog'!$F186, TRUE, 0)</f>
        <v>0</v>
      </c>
      <c r="R186" s="4" cm="1">
        <f t="array" ref="R186">_xlfn.IFS('ProductSprint Backlog'!$F186="", "", AND('ProductSprint Backlog'!$J186&gt;R$2,'ProductSprint Backlog'!$I186&lt;=R$2), 'ProductSprint Backlog'!$F186 / MAX(1, 'ProductSprint Backlog'!$J186-'ProductSprint Backlog'!$I186), AND('ProductSprint Backlog'!$J186=R$2,'ProductSprint Backlog'!$I186=R$2), 'ProductSprint Backlog'!$F186, TRUE, 0)</f>
        <v>0</v>
      </c>
      <c r="S186" s="4" cm="1">
        <f t="array" ref="S186">_xlfn.IFS('ProductSprint Backlog'!$F186="", "", AND('ProductSprint Backlog'!$J186&gt;S$2,'ProductSprint Backlog'!$I186&lt;=S$2), 'ProductSprint Backlog'!$F186 / MAX(1, 'ProductSprint Backlog'!$J186-'ProductSprint Backlog'!$I186), AND('ProductSprint Backlog'!$J186=S$2,'ProductSprint Backlog'!$I186=S$2), 'ProductSprint Backlog'!$F186, TRUE, 0)</f>
        <v>0</v>
      </c>
      <c r="T186" s="4" cm="1">
        <f t="array" ref="T186">_xlfn.IFS('ProductSprint Backlog'!$F186="", "", AND('ProductSprint Backlog'!$J186&gt;T$2,'ProductSprint Backlog'!$I186&lt;=T$2), 'ProductSprint Backlog'!$F186 / MAX(1, 'ProductSprint Backlog'!$J186-'ProductSprint Backlog'!$I186), AND('ProductSprint Backlog'!$J186=T$2,'ProductSprint Backlog'!$I186=T$2), 'ProductSprint Backlog'!$F186, TRUE, 0)</f>
        <v>0</v>
      </c>
    </row>
    <row r="187" spans="2:20" x14ac:dyDescent="0.2">
      <c r="B187" s="4" cm="1">
        <f t="array" ref="B187">_xlfn.IFS('ProductSprint Backlog'!$F187="", "", AND('ProductSprint Backlog'!$J187&gt;B$2,'ProductSprint Backlog'!$I187&lt;=B$2), 'ProductSprint Backlog'!$F187 / MAX(1, 'ProductSprint Backlog'!$J187-'ProductSprint Backlog'!$I187), AND('ProductSprint Backlog'!$J187=B$2,'ProductSprint Backlog'!$I187=B$2), 'ProductSprint Backlog'!$F187, TRUE, 0)</f>
        <v>0</v>
      </c>
      <c r="C187" s="4" cm="1">
        <f t="array" ref="C187">_xlfn.IFS('ProductSprint Backlog'!$F187="", "", AND('ProductSprint Backlog'!$J187&gt;C$2,'ProductSprint Backlog'!$I187&lt;=C$2), 'ProductSprint Backlog'!$F187 / MAX(1, 'ProductSprint Backlog'!$J187-'ProductSprint Backlog'!$I187), AND('ProductSprint Backlog'!$J187=C$2,'ProductSprint Backlog'!$I187=C$2), 'ProductSprint Backlog'!$F187, TRUE, 0)</f>
        <v>0</v>
      </c>
      <c r="D187" s="4" cm="1">
        <f t="array" ref="D187">_xlfn.IFS('ProductSprint Backlog'!$F187="", "", AND('ProductSprint Backlog'!$J187&gt;D$2,'ProductSprint Backlog'!$I187&lt;=D$2), 'ProductSprint Backlog'!$F187 / MAX(1, 'ProductSprint Backlog'!$J187-'ProductSprint Backlog'!$I187), AND('ProductSprint Backlog'!$J187=D$2,'ProductSprint Backlog'!$I187=D$2), 'ProductSprint Backlog'!$F187, TRUE, 0)</f>
        <v>0</v>
      </c>
      <c r="E187" s="4" cm="1">
        <f t="array" ref="E187">_xlfn.IFS('ProductSprint Backlog'!$F187="", "", AND('ProductSprint Backlog'!$J187&gt;E$2,'ProductSprint Backlog'!$I187&lt;=E$2), 'ProductSprint Backlog'!$F187 / MAX(1, 'ProductSprint Backlog'!$J187-'ProductSprint Backlog'!$I187), AND('ProductSprint Backlog'!$J187=E$2,'ProductSprint Backlog'!$I187=E$2), 'ProductSprint Backlog'!$F187, TRUE, 0)</f>
        <v>0</v>
      </c>
      <c r="F187" s="4" cm="1">
        <f t="array" ref="F187">_xlfn.IFS('ProductSprint Backlog'!$F187="", "", AND('ProductSprint Backlog'!$J187&gt;F$2,'ProductSprint Backlog'!$I187&lt;=F$2), 'ProductSprint Backlog'!$F187 / MAX(1, 'ProductSprint Backlog'!$J187-'ProductSprint Backlog'!$I187), AND('ProductSprint Backlog'!$J187=F$2,'ProductSprint Backlog'!$I187=F$2), 'ProductSprint Backlog'!$F187, TRUE, 0)</f>
        <v>0</v>
      </c>
      <c r="G187" s="4" cm="1">
        <f t="array" ref="G187">_xlfn.IFS('ProductSprint Backlog'!$F187="", "", AND('ProductSprint Backlog'!$J187&gt;G$2,'ProductSprint Backlog'!$I187&lt;=G$2), 'ProductSprint Backlog'!$F187 / MAX(1, 'ProductSprint Backlog'!$J187-'ProductSprint Backlog'!$I187), AND('ProductSprint Backlog'!$J187=G$2,'ProductSprint Backlog'!$I187=G$2), 'ProductSprint Backlog'!$F187, TRUE, 0)</f>
        <v>0</v>
      </c>
      <c r="H187" s="4" cm="1">
        <f t="array" ref="H187">_xlfn.IFS('ProductSprint Backlog'!$F187="", "", AND('ProductSprint Backlog'!$J187&gt;H$2,'ProductSprint Backlog'!$I187&lt;=H$2), 'ProductSprint Backlog'!$F187 / MAX(1, 'ProductSprint Backlog'!$J187-'ProductSprint Backlog'!$I187), AND('ProductSprint Backlog'!$J187=H$2,'ProductSprint Backlog'!$I187=H$2), 'ProductSprint Backlog'!$F187, TRUE, 0)</f>
        <v>0</v>
      </c>
      <c r="I187" s="4" cm="1">
        <f t="array" ref="I187">_xlfn.IFS('ProductSprint Backlog'!$F187="", "", AND('ProductSprint Backlog'!$J187&gt;I$2,'ProductSprint Backlog'!$I187&lt;=I$2), 'ProductSprint Backlog'!$F187 / MAX(1, 'ProductSprint Backlog'!$J187-'ProductSprint Backlog'!$I187), AND('ProductSprint Backlog'!$J187=I$2,'ProductSprint Backlog'!$I187=I$2), 'ProductSprint Backlog'!$F187, TRUE, 0)</f>
        <v>0</v>
      </c>
      <c r="J187" s="4" cm="1">
        <f t="array" ref="J187">_xlfn.IFS('ProductSprint Backlog'!$F187="", "", AND('ProductSprint Backlog'!$J187&gt;J$2,'ProductSprint Backlog'!$I187&lt;=J$2), 'ProductSprint Backlog'!$F187 / MAX(1, 'ProductSprint Backlog'!$J187-'ProductSprint Backlog'!$I187), AND('ProductSprint Backlog'!$J187=J$2,'ProductSprint Backlog'!$I187=J$2), 'ProductSprint Backlog'!$F187, TRUE, 0)</f>
        <v>0</v>
      </c>
      <c r="K187" s="4" cm="1">
        <f t="array" ref="K187">_xlfn.IFS('ProductSprint Backlog'!$F187="", "", AND('ProductSprint Backlog'!$J187&gt;K$2,'ProductSprint Backlog'!$I187&lt;=K$2), 'ProductSprint Backlog'!$F187 / MAX(1, 'ProductSprint Backlog'!$J187-'ProductSprint Backlog'!$I187), AND('ProductSprint Backlog'!$J187=K$2,'ProductSprint Backlog'!$I187=K$2), 'ProductSprint Backlog'!$F187, TRUE, 0)</f>
        <v>0</v>
      </c>
      <c r="L187" s="4" cm="1">
        <f t="array" ref="L187">_xlfn.IFS('ProductSprint Backlog'!$F187="", "", AND('ProductSprint Backlog'!$J187&gt;L$2,'ProductSprint Backlog'!$I187&lt;=L$2), 'ProductSprint Backlog'!$F187 / MAX(1, 'ProductSprint Backlog'!$J187-'ProductSprint Backlog'!$I187), AND('ProductSprint Backlog'!$J187=L$2,'ProductSprint Backlog'!$I187=L$2), 'ProductSprint Backlog'!$F187, TRUE, 0)</f>
        <v>0</v>
      </c>
      <c r="M187" s="4" cm="1">
        <f t="array" ref="M187">_xlfn.IFS('ProductSprint Backlog'!$F187="", "", AND('ProductSprint Backlog'!$J187&gt;M$2,'ProductSprint Backlog'!$I187&lt;=M$2), 'ProductSprint Backlog'!$F187 / MAX(1, 'ProductSprint Backlog'!$J187-'ProductSprint Backlog'!$I187), AND('ProductSprint Backlog'!$J187=M$2,'ProductSprint Backlog'!$I187=M$2), 'ProductSprint Backlog'!$F187, TRUE, 0)</f>
        <v>0</v>
      </c>
      <c r="N187" s="4" cm="1">
        <f t="array" ref="N187">_xlfn.IFS('ProductSprint Backlog'!$F187="", "", AND('ProductSprint Backlog'!$J187&gt;N$2,'ProductSprint Backlog'!$I187&lt;=N$2), 'ProductSprint Backlog'!$F187 / MAX(1, 'ProductSprint Backlog'!$J187-'ProductSprint Backlog'!$I187), AND('ProductSprint Backlog'!$J187=N$2,'ProductSprint Backlog'!$I187=N$2), 'ProductSprint Backlog'!$F187, TRUE, 0)</f>
        <v>0</v>
      </c>
      <c r="O187" s="4" cm="1">
        <f t="array" ref="O187">_xlfn.IFS('ProductSprint Backlog'!$F187="", "", AND('ProductSprint Backlog'!$J187&gt;O$2,'ProductSprint Backlog'!$I187&lt;=O$2), 'ProductSprint Backlog'!$F187 / MAX(1, 'ProductSprint Backlog'!$J187-'ProductSprint Backlog'!$I187), AND('ProductSprint Backlog'!$J187=O$2,'ProductSprint Backlog'!$I187=O$2), 'ProductSprint Backlog'!$F187, TRUE, 0)</f>
        <v>0</v>
      </c>
      <c r="P187" s="4" cm="1">
        <f t="array" ref="P187">_xlfn.IFS('ProductSprint Backlog'!$F187="", "", AND('ProductSprint Backlog'!$J187&gt;P$2,'ProductSprint Backlog'!$I187&lt;=P$2), 'ProductSprint Backlog'!$F187 / MAX(1, 'ProductSprint Backlog'!$J187-'ProductSprint Backlog'!$I187), AND('ProductSprint Backlog'!$J187=P$2,'ProductSprint Backlog'!$I187=P$2), 'ProductSprint Backlog'!$F187, TRUE, 0)</f>
        <v>0</v>
      </c>
      <c r="Q187" s="4" cm="1">
        <f t="array" ref="Q187">_xlfn.IFS('ProductSprint Backlog'!$F187="", "", AND('ProductSprint Backlog'!$J187&gt;Q$2,'ProductSprint Backlog'!$I187&lt;=Q$2), 'ProductSprint Backlog'!$F187 / MAX(1, 'ProductSprint Backlog'!$J187-'ProductSprint Backlog'!$I187), AND('ProductSprint Backlog'!$J187=Q$2,'ProductSprint Backlog'!$I187=Q$2), 'ProductSprint Backlog'!$F187, TRUE, 0)</f>
        <v>0</v>
      </c>
      <c r="R187" s="4" cm="1">
        <f t="array" ref="R187">_xlfn.IFS('ProductSprint Backlog'!$F187="", "", AND('ProductSprint Backlog'!$J187&gt;R$2,'ProductSprint Backlog'!$I187&lt;=R$2), 'ProductSprint Backlog'!$F187 / MAX(1, 'ProductSprint Backlog'!$J187-'ProductSprint Backlog'!$I187), AND('ProductSprint Backlog'!$J187=R$2,'ProductSprint Backlog'!$I187=R$2), 'ProductSprint Backlog'!$F187, TRUE, 0)</f>
        <v>0</v>
      </c>
      <c r="S187" s="4" cm="1">
        <f t="array" ref="S187">_xlfn.IFS('ProductSprint Backlog'!$F187="", "", AND('ProductSprint Backlog'!$J187&gt;S$2,'ProductSprint Backlog'!$I187&lt;=S$2), 'ProductSprint Backlog'!$F187 / MAX(1, 'ProductSprint Backlog'!$J187-'ProductSprint Backlog'!$I187), AND('ProductSprint Backlog'!$J187=S$2,'ProductSprint Backlog'!$I187=S$2), 'ProductSprint Backlog'!$F187, TRUE, 0)</f>
        <v>0</v>
      </c>
      <c r="T187" s="4" cm="1">
        <f t="array" ref="T187">_xlfn.IFS('ProductSprint Backlog'!$F187="", "", AND('ProductSprint Backlog'!$J187&gt;T$2,'ProductSprint Backlog'!$I187&lt;=T$2), 'ProductSprint Backlog'!$F187 / MAX(1, 'ProductSprint Backlog'!$J187-'ProductSprint Backlog'!$I187), AND('ProductSprint Backlog'!$J187=T$2,'ProductSprint Backlog'!$I187=T$2), 'ProductSprint Backlog'!$F187, TRUE, 0)</f>
        <v>0</v>
      </c>
    </row>
    <row r="188" spans="2:20" x14ac:dyDescent="0.2">
      <c r="B188" s="4" cm="1">
        <f t="array" ref="B188">_xlfn.IFS('ProductSprint Backlog'!$F188="", "", AND('ProductSprint Backlog'!$J188&gt;B$2,'ProductSprint Backlog'!$I188&lt;=B$2), 'ProductSprint Backlog'!$F188 / MAX(1, 'ProductSprint Backlog'!$J188-'ProductSprint Backlog'!$I188), AND('ProductSprint Backlog'!$J188=B$2,'ProductSprint Backlog'!$I188=B$2), 'ProductSprint Backlog'!$F188, TRUE, 0)</f>
        <v>0</v>
      </c>
      <c r="C188" s="4" cm="1">
        <f t="array" ref="C188">_xlfn.IFS('ProductSprint Backlog'!$F188="", "", AND('ProductSprint Backlog'!$J188&gt;C$2,'ProductSprint Backlog'!$I188&lt;=C$2), 'ProductSprint Backlog'!$F188 / MAX(1, 'ProductSprint Backlog'!$J188-'ProductSprint Backlog'!$I188), AND('ProductSprint Backlog'!$J188=C$2,'ProductSprint Backlog'!$I188=C$2), 'ProductSprint Backlog'!$F188, TRUE, 0)</f>
        <v>0</v>
      </c>
      <c r="D188" s="4" cm="1">
        <f t="array" ref="D188">_xlfn.IFS('ProductSprint Backlog'!$F188="", "", AND('ProductSprint Backlog'!$J188&gt;D$2,'ProductSprint Backlog'!$I188&lt;=D$2), 'ProductSprint Backlog'!$F188 / MAX(1, 'ProductSprint Backlog'!$J188-'ProductSprint Backlog'!$I188), AND('ProductSprint Backlog'!$J188=D$2,'ProductSprint Backlog'!$I188=D$2), 'ProductSprint Backlog'!$F188, TRUE, 0)</f>
        <v>0</v>
      </c>
      <c r="E188" s="4" cm="1">
        <f t="array" ref="E188">_xlfn.IFS('ProductSprint Backlog'!$F188="", "", AND('ProductSprint Backlog'!$J188&gt;E$2,'ProductSprint Backlog'!$I188&lt;=E$2), 'ProductSprint Backlog'!$F188 / MAX(1, 'ProductSprint Backlog'!$J188-'ProductSprint Backlog'!$I188), AND('ProductSprint Backlog'!$J188=E$2,'ProductSprint Backlog'!$I188=E$2), 'ProductSprint Backlog'!$F188, TRUE, 0)</f>
        <v>0</v>
      </c>
      <c r="F188" s="4" cm="1">
        <f t="array" ref="F188">_xlfn.IFS('ProductSprint Backlog'!$F188="", "", AND('ProductSprint Backlog'!$J188&gt;F$2,'ProductSprint Backlog'!$I188&lt;=F$2), 'ProductSprint Backlog'!$F188 / MAX(1, 'ProductSprint Backlog'!$J188-'ProductSprint Backlog'!$I188), AND('ProductSprint Backlog'!$J188=F$2,'ProductSprint Backlog'!$I188=F$2), 'ProductSprint Backlog'!$F188, TRUE, 0)</f>
        <v>0</v>
      </c>
      <c r="G188" s="4" cm="1">
        <f t="array" ref="G188">_xlfn.IFS('ProductSprint Backlog'!$F188="", "", AND('ProductSprint Backlog'!$J188&gt;G$2,'ProductSprint Backlog'!$I188&lt;=G$2), 'ProductSprint Backlog'!$F188 / MAX(1, 'ProductSprint Backlog'!$J188-'ProductSprint Backlog'!$I188), AND('ProductSprint Backlog'!$J188=G$2,'ProductSprint Backlog'!$I188=G$2), 'ProductSprint Backlog'!$F188, TRUE, 0)</f>
        <v>0</v>
      </c>
      <c r="H188" s="4" cm="1">
        <f t="array" ref="H188">_xlfn.IFS('ProductSprint Backlog'!$F188="", "", AND('ProductSprint Backlog'!$J188&gt;H$2,'ProductSprint Backlog'!$I188&lt;=H$2), 'ProductSprint Backlog'!$F188 / MAX(1, 'ProductSprint Backlog'!$J188-'ProductSprint Backlog'!$I188), AND('ProductSprint Backlog'!$J188=H$2,'ProductSprint Backlog'!$I188=H$2), 'ProductSprint Backlog'!$F188, TRUE, 0)</f>
        <v>0</v>
      </c>
      <c r="I188" s="4" cm="1">
        <f t="array" ref="I188">_xlfn.IFS('ProductSprint Backlog'!$F188="", "", AND('ProductSprint Backlog'!$J188&gt;I$2,'ProductSprint Backlog'!$I188&lt;=I$2), 'ProductSprint Backlog'!$F188 / MAX(1, 'ProductSprint Backlog'!$J188-'ProductSprint Backlog'!$I188), AND('ProductSprint Backlog'!$J188=I$2,'ProductSprint Backlog'!$I188=I$2), 'ProductSprint Backlog'!$F188, TRUE, 0)</f>
        <v>0</v>
      </c>
      <c r="J188" s="4" cm="1">
        <f t="array" ref="J188">_xlfn.IFS('ProductSprint Backlog'!$F188="", "", AND('ProductSprint Backlog'!$J188&gt;J$2,'ProductSprint Backlog'!$I188&lt;=J$2), 'ProductSprint Backlog'!$F188 / MAX(1, 'ProductSprint Backlog'!$J188-'ProductSprint Backlog'!$I188), AND('ProductSprint Backlog'!$J188=J$2,'ProductSprint Backlog'!$I188=J$2), 'ProductSprint Backlog'!$F188, TRUE, 0)</f>
        <v>0</v>
      </c>
      <c r="K188" s="4" cm="1">
        <f t="array" ref="K188">_xlfn.IFS('ProductSprint Backlog'!$F188="", "", AND('ProductSprint Backlog'!$J188&gt;K$2,'ProductSprint Backlog'!$I188&lt;=K$2), 'ProductSprint Backlog'!$F188 / MAX(1, 'ProductSprint Backlog'!$J188-'ProductSprint Backlog'!$I188), AND('ProductSprint Backlog'!$J188=K$2,'ProductSprint Backlog'!$I188=K$2), 'ProductSprint Backlog'!$F188, TRUE, 0)</f>
        <v>0</v>
      </c>
      <c r="L188" s="4" cm="1">
        <f t="array" ref="L188">_xlfn.IFS('ProductSprint Backlog'!$F188="", "", AND('ProductSprint Backlog'!$J188&gt;L$2,'ProductSprint Backlog'!$I188&lt;=L$2), 'ProductSprint Backlog'!$F188 / MAX(1, 'ProductSprint Backlog'!$J188-'ProductSprint Backlog'!$I188), AND('ProductSprint Backlog'!$J188=L$2,'ProductSprint Backlog'!$I188=L$2), 'ProductSprint Backlog'!$F188, TRUE, 0)</f>
        <v>0</v>
      </c>
      <c r="M188" s="4" cm="1">
        <f t="array" ref="M188">_xlfn.IFS('ProductSprint Backlog'!$F188="", "", AND('ProductSprint Backlog'!$J188&gt;M$2,'ProductSprint Backlog'!$I188&lt;=M$2), 'ProductSprint Backlog'!$F188 / MAX(1, 'ProductSprint Backlog'!$J188-'ProductSprint Backlog'!$I188), AND('ProductSprint Backlog'!$J188=M$2,'ProductSprint Backlog'!$I188=M$2), 'ProductSprint Backlog'!$F188, TRUE, 0)</f>
        <v>0</v>
      </c>
      <c r="N188" s="4" cm="1">
        <f t="array" ref="N188">_xlfn.IFS('ProductSprint Backlog'!$F188="", "", AND('ProductSprint Backlog'!$J188&gt;N$2,'ProductSprint Backlog'!$I188&lt;=N$2), 'ProductSprint Backlog'!$F188 / MAX(1, 'ProductSprint Backlog'!$J188-'ProductSprint Backlog'!$I188), AND('ProductSprint Backlog'!$J188=N$2,'ProductSprint Backlog'!$I188=N$2), 'ProductSprint Backlog'!$F188, TRUE, 0)</f>
        <v>0</v>
      </c>
      <c r="O188" s="4" cm="1">
        <f t="array" ref="O188">_xlfn.IFS('ProductSprint Backlog'!$F188="", "", AND('ProductSprint Backlog'!$J188&gt;O$2,'ProductSprint Backlog'!$I188&lt;=O$2), 'ProductSprint Backlog'!$F188 / MAX(1, 'ProductSprint Backlog'!$J188-'ProductSprint Backlog'!$I188), AND('ProductSprint Backlog'!$J188=O$2,'ProductSprint Backlog'!$I188=O$2), 'ProductSprint Backlog'!$F188, TRUE, 0)</f>
        <v>0</v>
      </c>
      <c r="P188" s="4" cm="1">
        <f t="array" ref="P188">_xlfn.IFS('ProductSprint Backlog'!$F188="", "", AND('ProductSprint Backlog'!$J188&gt;P$2,'ProductSprint Backlog'!$I188&lt;=P$2), 'ProductSprint Backlog'!$F188 / MAX(1, 'ProductSprint Backlog'!$J188-'ProductSprint Backlog'!$I188), AND('ProductSprint Backlog'!$J188=P$2,'ProductSprint Backlog'!$I188=P$2), 'ProductSprint Backlog'!$F188, TRUE, 0)</f>
        <v>0</v>
      </c>
      <c r="Q188" s="4" cm="1">
        <f t="array" ref="Q188">_xlfn.IFS('ProductSprint Backlog'!$F188="", "", AND('ProductSprint Backlog'!$J188&gt;Q$2,'ProductSprint Backlog'!$I188&lt;=Q$2), 'ProductSprint Backlog'!$F188 / MAX(1, 'ProductSprint Backlog'!$J188-'ProductSprint Backlog'!$I188), AND('ProductSprint Backlog'!$J188=Q$2,'ProductSprint Backlog'!$I188=Q$2), 'ProductSprint Backlog'!$F188, TRUE, 0)</f>
        <v>0</v>
      </c>
      <c r="R188" s="4" cm="1">
        <f t="array" ref="R188">_xlfn.IFS('ProductSprint Backlog'!$F188="", "", AND('ProductSprint Backlog'!$J188&gt;R$2,'ProductSprint Backlog'!$I188&lt;=R$2), 'ProductSprint Backlog'!$F188 / MAX(1, 'ProductSprint Backlog'!$J188-'ProductSprint Backlog'!$I188), AND('ProductSprint Backlog'!$J188=R$2,'ProductSprint Backlog'!$I188=R$2), 'ProductSprint Backlog'!$F188, TRUE, 0)</f>
        <v>0</v>
      </c>
      <c r="S188" s="4" cm="1">
        <f t="array" ref="S188">_xlfn.IFS('ProductSprint Backlog'!$F188="", "", AND('ProductSprint Backlog'!$J188&gt;S$2,'ProductSprint Backlog'!$I188&lt;=S$2), 'ProductSprint Backlog'!$F188 / MAX(1, 'ProductSprint Backlog'!$J188-'ProductSprint Backlog'!$I188), AND('ProductSprint Backlog'!$J188=S$2,'ProductSprint Backlog'!$I188=S$2), 'ProductSprint Backlog'!$F188, TRUE, 0)</f>
        <v>0</v>
      </c>
      <c r="T188" s="4" cm="1">
        <f t="array" ref="T188">_xlfn.IFS('ProductSprint Backlog'!$F188="", "", AND('ProductSprint Backlog'!$J188&gt;T$2,'ProductSprint Backlog'!$I188&lt;=T$2), 'ProductSprint Backlog'!$F188 / MAX(1, 'ProductSprint Backlog'!$J188-'ProductSprint Backlog'!$I188), AND('ProductSprint Backlog'!$J188=T$2,'ProductSprint Backlog'!$I188=T$2), 'ProductSprint Backlog'!$F188, TRUE, 0)</f>
        <v>0</v>
      </c>
    </row>
    <row r="189" spans="2:20" x14ac:dyDescent="0.2">
      <c r="B189" s="4" cm="1">
        <f t="array" ref="B189">_xlfn.IFS('ProductSprint Backlog'!$F189="", "", AND('ProductSprint Backlog'!$J189&gt;B$2,'ProductSprint Backlog'!$I189&lt;=B$2), 'ProductSprint Backlog'!$F189 / MAX(1, 'ProductSprint Backlog'!$J189-'ProductSprint Backlog'!$I189), AND('ProductSprint Backlog'!$J189=B$2,'ProductSprint Backlog'!$I189=B$2), 'ProductSprint Backlog'!$F189, TRUE, 0)</f>
        <v>0</v>
      </c>
      <c r="C189" s="4" cm="1">
        <f t="array" ref="C189">_xlfn.IFS('ProductSprint Backlog'!$F189="", "", AND('ProductSprint Backlog'!$J189&gt;C$2,'ProductSprint Backlog'!$I189&lt;=C$2), 'ProductSprint Backlog'!$F189 / MAX(1, 'ProductSprint Backlog'!$J189-'ProductSprint Backlog'!$I189), AND('ProductSprint Backlog'!$J189=C$2,'ProductSprint Backlog'!$I189=C$2), 'ProductSprint Backlog'!$F189, TRUE, 0)</f>
        <v>0</v>
      </c>
      <c r="D189" s="4" cm="1">
        <f t="array" ref="D189">_xlfn.IFS('ProductSprint Backlog'!$F189="", "", AND('ProductSprint Backlog'!$J189&gt;D$2,'ProductSprint Backlog'!$I189&lt;=D$2), 'ProductSprint Backlog'!$F189 / MAX(1, 'ProductSprint Backlog'!$J189-'ProductSprint Backlog'!$I189), AND('ProductSprint Backlog'!$J189=D$2,'ProductSprint Backlog'!$I189=D$2), 'ProductSprint Backlog'!$F189, TRUE, 0)</f>
        <v>0</v>
      </c>
      <c r="E189" s="4" cm="1">
        <f t="array" ref="E189">_xlfn.IFS('ProductSprint Backlog'!$F189="", "", AND('ProductSprint Backlog'!$J189&gt;E$2,'ProductSprint Backlog'!$I189&lt;=E$2), 'ProductSprint Backlog'!$F189 / MAX(1, 'ProductSprint Backlog'!$J189-'ProductSprint Backlog'!$I189), AND('ProductSprint Backlog'!$J189=E$2,'ProductSprint Backlog'!$I189=E$2), 'ProductSprint Backlog'!$F189, TRUE, 0)</f>
        <v>0</v>
      </c>
      <c r="F189" s="4" cm="1">
        <f t="array" ref="F189">_xlfn.IFS('ProductSprint Backlog'!$F189="", "", AND('ProductSprint Backlog'!$J189&gt;F$2,'ProductSprint Backlog'!$I189&lt;=F$2), 'ProductSprint Backlog'!$F189 / MAX(1, 'ProductSprint Backlog'!$J189-'ProductSprint Backlog'!$I189), AND('ProductSprint Backlog'!$J189=F$2,'ProductSprint Backlog'!$I189=F$2), 'ProductSprint Backlog'!$F189, TRUE, 0)</f>
        <v>0</v>
      </c>
      <c r="G189" s="4" cm="1">
        <f t="array" ref="G189">_xlfn.IFS('ProductSprint Backlog'!$F189="", "", AND('ProductSprint Backlog'!$J189&gt;G$2,'ProductSprint Backlog'!$I189&lt;=G$2), 'ProductSprint Backlog'!$F189 / MAX(1, 'ProductSprint Backlog'!$J189-'ProductSprint Backlog'!$I189), AND('ProductSprint Backlog'!$J189=G$2,'ProductSprint Backlog'!$I189=G$2), 'ProductSprint Backlog'!$F189, TRUE, 0)</f>
        <v>0</v>
      </c>
      <c r="H189" s="4" cm="1">
        <f t="array" ref="H189">_xlfn.IFS('ProductSprint Backlog'!$F189="", "", AND('ProductSprint Backlog'!$J189&gt;H$2,'ProductSprint Backlog'!$I189&lt;=H$2), 'ProductSprint Backlog'!$F189 / MAX(1, 'ProductSprint Backlog'!$J189-'ProductSprint Backlog'!$I189), AND('ProductSprint Backlog'!$J189=H$2,'ProductSprint Backlog'!$I189=H$2), 'ProductSprint Backlog'!$F189, TRUE, 0)</f>
        <v>0</v>
      </c>
      <c r="I189" s="4" cm="1">
        <f t="array" ref="I189">_xlfn.IFS('ProductSprint Backlog'!$F189="", "", AND('ProductSprint Backlog'!$J189&gt;I$2,'ProductSprint Backlog'!$I189&lt;=I$2), 'ProductSprint Backlog'!$F189 / MAX(1, 'ProductSprint Backlog'!$J189-'ProductSprint Backlog'!$I189), AND('ProductSprint Backlog'!$J189=I$2,'ProductSprint Backlog'!$I189=I$2), 'ProductSprint Backlog'!$F189, TRUE, 0)</f>
        <v>0</v>
      </c>
      <c r="J189" s="4" cm="1">
        <f t="array" ref="J189">_xlfn.IFS('ProductSprint Backlog'!$F189="", "", AND('ProductSprint Backlog'!$J189&gt;J$2,'ProductSprint Backlog'!$I189&lt;=J$2), 'ProductSprint Backlog'!$F189 / MAX(1, 'ProductSprint Backlog'!$J189-'ProductSprint Backlog'!$I189), AND('ProductSprint Backlog'!$J189=J$2,'ProductSprint Backlog'!$I189=J$2), 'ProductSprint Backlog'!$F189, TRUE, 0)</f>
        <v>0</v>
      </c>
      <c r="K189" s="4" cm="1">
        <f t="array" ref="K189">_xlfn.IFS('ProductSprint Backlog'!$F189="", "", AND('ProductSprint Backlog'!$J189&gt;K$2,'ProductSprint Backlog'!$I189&lt;=K$2), 'ProductSprint Backlog'!$F189 / MAX(1, 'ProductSprint Backlog'!$J189-'ProductSprint Backlog'!$I189), AND('ProductSprint Backlog'!$J189=K$2,'ProductSprint Backlog'!$I189=K$2), 'ProductSprint Backlog'!$F189, TRUE, 0)</f>
        <v>0</v>
      </c>
      <c r="L189" s="4" cm="1">
        <f t="array" ref="L189">_xlfn.IFS('ProductSprint Backlog'!$F189="", "", AND('ProductSprint Backlog'!$J189&gt;L$2,'ProductSprint Backlog'!$I189&lt;=L$2), 'ProductSprint Backlog'!$F189 / MAX(1, 'ProductSprint Backlog'!$J189-'ProductSprint Backlog'!$I189), AND('ProductSprint Backlog'!$J189=L$2,'ProductSprint Backlog'!$I189=L$2), 'ProductSprint Backlog'!$F189, TRUE, 0)</f>
        <v>0</v>
      </c>
      <c r="M189" s="4" cm="1">
        <f t="array" ref="M189">_xlfn.IFS('ProductSprint Backlog'!$F189="", "", AND('ProductSprint Backlog'!$J189&gt;M$2,'ProductSprint Backlog'!$I189&lt;=M$2), 'ProductSprint Backlog'!$F189 / MAX(1, 'ProductSprint Backlog'!$J189-'ProductSprint Backlog'!$I189), AND('ProductSprint Backlog'!$J189=M$2,'ProductSprint Backlog'!$I189=M$2), 'ProductSprint Backlog'!$F189, TRUE, 0)</f>
        <v>0</v>
      </c>
      <c r="N189" s="4" cm="1">
        <f t="array" ref="N189">_xlfn.IFS('ProductSprint Backlog'!$F189="", "", AND('ProductSprint Backlog'!$J189&gt;N$2,'ProductSprint Backlog'!$I189&lt;=N$2), 'ProductSprint Backlog'!$F189 / MAX(1, 'ProductSprint Backlog'!$J189-'ProductSprint Backlog'!$I189), AND('ProductSprint Backlog'!$J189=N$2,'ProductSprint Backlog'!$I189=N$2), 'ProductSprint Backlog'!$F189, TRUE, 0)</f>
        <v>0</v>
      </c>
      <c r="O189" s="4" cm="1">
        <f t="array" ref="O189">_xlfn.IFS('ProductSprint Backlog'!$F189="", "", AND('ProductSprint Backlog'!$J189&gt;O$2,'ProductSprint Backlog'!$I189&lt;=O$2), 'ProductSprint Backlog'!$F189 / MAX(1, 'ProductSprint Backlog'!$J189-'ProductSprint Backlog'!$I189), AND('ProductSprint Backlog'!$J189=O$2,'ProductSprint Backlog'!$I189=O$2), 'ProductSprint Backlog'!$F189, TRUE, 0)</f>
        <v>0</v>
      </c>
      <c r="P189" s="4" cm="1">
        <f t="array" ref="P189">_xlfn.IFS('ProductSprint Backlog'!$F189="", "", AND('ProductSprint Backlog'!$J189&gt;P$2,'ProductSprint Backlog'!$I189&lt;=P$2), 'ProductSprint Backlog'!$F189 / MAX(1, 'ProductSprint Backlog'!$J189-'ProductSprint Backlog'!$I189), AND('ProductSprint Backlog'!$J189=P$2,'ProductSprint Backlog'!$I189=P$2), 'ProductSprint Backlog'!$F189, TRUE, 0)</f>
        <v>0</v>
      </c>
      <c r="Q189" s="4" cm="1">
        <f t="array" ref="Q189">_xlfn.IFS('ProductSprint Backlog'!$F189="", "", AND('ProductSprint Backlog'!$J189&gt;Q$2,'ProductSprint Backlog'!$I189&lt;=Q$2), 'ProductSprint Backlog'!$F189 / MAX(1, 'ProductSprint Backlog'!$J189-'ProductSprint Backlog'!$I189), AND('ProductSprint Backlog'!$J189=Q$2,'ProductSprint Backlog'!$I189=Q$2), 'ProductSprint Backlog'!$F189, TRUE, 0)</f>
        <v>0</v>
      </c>
      <c r="R189" s="4" cm="1">
        <f t="array" ref="R189">_xlfn.IFS('ProductSprint Backlog'!$F189="", "", AND('ProductSprint Backlog'!$J189&gt;R$2,'ProductSprint Backlog'!$I189&lt;=R$2), 'ProductSprint Backlog'!$F189 / MAX(1, 'ProductSprint Backlog'!$J189-'ProductSprint Backlog'!$I189), AND('ProductSprint Backlog'!$J189=R$2,'ProductSprint Backlog'!$I189=R$2), 'ProductSprint Backlog'!$F189, TRUE, 0)</f>
        <v>0</v>
      </c>
      <c r="S189" s="4" cm="1">
        <f t="array" ref="S189">_xlfn.IFS('ProductSprint Backlog'!$F189="", "", AND('ProductSprint Backlog'!$J189&gt;S$2,'ProductSprint Backlog'!$I189&lt;=S$2), 'ProductSprint Backlog'!$F189 / MAX(1, 'ProductSprint Backlog'!$J189-'ProductSprint Backlog'!$I189), AND('ProductSprint Backlog'!$J189=S$2,'ProductSprint Backlog'!$I189=S$2), 'ProductSprint Backlog'!$F189, TRUE, 0)</f>
        <v>0</v>
      </c>
      <c r="T189" s="4" cm="1">
        <f t="array" ref="T189">_xlfn.IFS('ProductSprint Backlog'!$F189="", "", AND('ProductSprint Backlog'!$J189&gt;T$2,'ProductSprint Backlog'!$I189&lt;=T$2), 'ProductSprint Backlog'!$F189 / MAX(1, 'ProductSprint Backlog'!$J189-'ProductSprint Backlog'!$I189), AND('ProductSprint Backlog'!$J189=T$2,'ProductSprint Backlog'!$I189=T$2), 'ProductSprint Backlog'!$F189, TRUE, 0)</f>
        <v>0</v>
      </c>
    </row>
    <row r="190" spans="2:20" x14ac:dyDescent="0.2">
      <c r="B190" s="4" cm="1">
        <f t="array" ref="B190">_xlfn.IFS('ProductSprint Backlog'!$F190="", "", AND('ProductSprint Backlog'!$J190&gt;B$2,'ProductSprint Backlog'!$I190&lt;=B$2), 'ProductSprint Backlog'!$F190 / MAX(1, 'ProductSprint Backlog'!$J190-'ProductSprint Backlog'!$I190), AND('ProductSprint Backlog'!$J190=B$2,'ProductSprint Backlog'!$I190=B$2), 'ProductSprint Backlog'!$F190, TRUE, 0)</f>
        <v>0</v>
      </c>
      <c r="C190" s="4" cm="1">
        <f t="array" ref="C190">_xlfn.IFS('ProductSprint Backlog'!$F190="", "", AND('ProductSprint Backlog'!$J190&gt;C$2,'ProductSprint Backlog'!$I190&lt;=C$2), 'ProductSprint Backlog'!$F190 / MAX(1, 'ProductSprint Backlog'!$J190-'ProductSprint Backlog'!$I190), AND('ProductSprint Backlog'!$J190=C$2,'ProductSprint Backlog'!$I190=C$2), 'ProductSprint Backlog'!$F190, TRUE, 0)</f>
        <v>0</v>
      </c>
      <c r="D190" s="4" cm="1">
        <f t="array" ref="D190">_xlfn.IFS('ProductSprint Backlog'!$F190="", "", AND('ProductSprint Backlog'!$J190&gt;D$2,'ProductSprint Backlog'!$I190&lt;=D$2), 'ProductSprint Backlog'!$F190 / MAX(1, 'ProductSprint Backlog'!$J190-'ProductSprint Backlog'!$I190), AND('ProductSprint Backlog'!$J190=D$2,'ProductSprint Backlog'!$I190=D$2), 'ProductSprint Backlog'!$F190, TRUE, 0)</f>
        <v>0</v>
      </c>
      <c r="E190" s="4" cm="1">
        <f t="array" ref="E190">_xlfn.IFS('ProductSprint Backlog'!$F190="", "", AND('ProductSprint Backlog'!$J190&gt;E$2,'ProductSprint Backlog'!$I190&lt;=E$2), 'ProductSprint Backlog'!$F190 / MAX(1, 'ProductSprint Backlog'!$J190-'ProductSprint Backlog'!$I190), AND('ProductSprint Backlog'!$J190=E$2,'ProductSprint Backlog'!$I190=E$2), 'ProductSprint Backlog'!$F190, TRUE, 0)</f>
        <v>0</v>
      </c>
      <c r="F190" s="4" cm="1">
        <f t="array" ref="F190">_xlfn.IFS('ProductSprint Backlog'!$F190="", "", AND('ProductSprint Backlog'!$J190&gt;F$2,'ProductSprint Backlog'!$I190&lt;=F$2), 'ProductSprint Backlog'!$F190 / MAX(1, 'ProductSprint Backlog'!$J190-'ProductSprint Backlog'!$I190), AND('ProductSprint Backlog'!$J190=F$2,'ProductSprint Backlog'!$I190=F$2), 'ProductSprint Backlog'!$F190, TRUE, 0)</f>
        <v>0</v>
      </c>
      <c r="G190" s="4" cm="1">
        <f t="array" ref="G190">_xlfn.IFS('ProductSprint Backlog'!$F190="", "", AND('ProductSprint Backlog'!$J190&gt;G$2,'ProductSprint Backlog'!$I190&lt;=G$2), 'ProductSprint Backlog'!$F190 / MAX(1, 'ProductSprint Backlog'!$J190-'ProductSprint Backlog'!$I190), AND('ProductSprint Backlog'!$J190=G$2,'ProductSprint Backlog'!$I190=G$2), 'ProductSprint Backlog'!$F190, TRUE, 0)</f>
        <v>0</v>
      </c>
      <c r="H190" s="4" cm="1">
        <f t="array" ref="H190">_xlfn.IFS('ProductSprint Backlog'!$F190="", "", AND('ProductSprint Backlog'!$J190&gt;H$2,'ProductSprint Backlog'!$I190&lt;=H$2), 'ProductSprint Backlog'!$F190 / MAX(1, 'ProductSprint Backlog'!$J190-'ProductSprint Backlog'!$I190), AND('ProductSprint Backlog'!$J190=H$2,'ProductSprint Backlog'!$I190=H$2), 'ProductSprint Backlog'!$F190, TRUE, 0)</f>
        <v>0</v>
      </c>
      <c r="I190" s="4" cm="1">
        <f t="array" ref="I190">_xlfn.IFS('ProductSprint Backlog'!$F190="", "", AND('ProductSprint Backlog'!$J190&gt;I$2,'ProductSprint Backlog'!$I190&lt;=I$2), 'ProductSprint Backlog'!$F190 / MAX(1, 'ProductSprint Backlog'!$J190-'ProductSprint Backlog'!$I190), AND('ProductSprint Backlog'!$J190=I$2,'ProductSprint Backlog'!$I190=I$2), 'ProductSprint Backlog'!$F190, TRUE, 0)</f>
        <v>0</v>
      </c>
      <c r="J190" s="4" cm="1">
        <f t="array" ref="J190">_xlfn.IFS('ProductSprint Backlog'!$F190="", "", AND('ProductSprint Backlog'!$J190&gt;J$2,'ProductSprint Backlog'!$I190&lt;=J$2), 'ProductSprint Backlog'!$F190 / MAX(1, 'ProductSprint Backlog'!$J190-'ProductSprint Backlog'!$I190), AND('ProductSprint Backlog'!$J190=J$2,'ProductSprint Backlog'!$I190=J$2), 'ProductSprint Backlog'!$F190, TRUE, 0)</f>
        <v>0</v>
      </c>
      <c r="K190" s="4" cm="1">
        <f t="array" ref="K190">_xlfn.IFS('ProductSprint Backlog'!$F190="", "", AND('ProductSprint Backlog'!$J190&gt;K$2,'ProductSprint Backlog'!$I190&lt;=K$2), 'ProductSprint Backlog'!$F190 / MAX(1, 'ProductSprint Backlog'!$J190-'ProductSprint Backlog'!$I190), AND('ProductSprint Backlog'!$J190=K$2,'ProductSprint Backlog'!$I190=K$2), 'ProductSprint Backlog'!$F190, TRUE, 0)</f>
        <v>0</v>
      </c>
      <c r="L190" s="4" cm="1">
        <f t="array" ref="L190">_xlfn.IFS('ProductSprint Backlog'!$F190="", "", AND('ProductSprint Backlog'!$J190&gt;L$2,'ProductSprint Backlog'!$I190&lt;=L$2), 'ProductSprint Backlog'!$F190 / MAX(1, 'ProductSprint Backlog'!$J190-'ProductSprint Backlog'!$I190), AND('ProductSprint Backlog'!$J190=L$2,'ProductSprint Backlog'!$I190=L$2), 'ProductSprint Backlog'!$F190, TRUE, 0)</f>
        <v>0</v>
      </c>
      <c r="M190" s="4" cm="1">
        <f t="array" ref="M190">_xlfn.IFS('ProductSprint Backlog'!$F190="", "", AND('ProductSprint Backlog'!$J190&gt;M$2,'ProductSprint Backlog'!$I190&lt;=M$2), 'ProductSprint Backlog'!$F190 / MAX(1, 'ProductSprint Backlog'!$J190-'ProductSprint Backlog'!$I190), AND('ProductSprint Backlog'!$J190=M$2,'ProductSprint Backlog'!$I190=M$2), 'ProductSprint Backlog'!$F190, TRUE, 0)</f>
        <v>0</v>
      </c>
      <c r="N190" s="4" cm="1">
        <f t="array" ref="N190">_xlfn.IFS('ProductSprint Backlog'!$F190="", "", AND('ProductSprint Backlog'!$J190&gt;N$2,'ProductSprint Backlog'!$I190&lt;=N$2), 'ProductSprint Backlog'!$F190 / MAX(1, 'ProductSprint Backlog'!$J190-'ProductSprint Backlog'!$I190), AND('ProductSprint Backlog'!$J190=N$2,'ProductSprint Backlog'!$I190=N$2), 'ProductSprint Backlog'!$F190, TRUE, 0)</f>
        <v>0</v>
      </c>
      <c r="O190" s="4" cm="1">
        <f t="array" ref="O190">_xlfn.IFS('ProductSprint Backlog'!$F190="", "", AND('ProductSprint Backlog'!$J190&gt;O$2,'ProductSprint Backlog'!$I190&lt;=O$2), 'ProductSprint Backlog'!$F190 / MAX(1, 'ProductSprint Backlog'!$J190-'ProductSprint Backlog'!$I190), AND('ProductSprint Backlog'!$J190=O$2,'ProductSprint Backlog'!$I190=O$2), 'ProductSprint Backlog'!$F190, TRUE, 0)</f>
        <v>0</v>
      </c>
      <c r="P190" s="4" cm="1">
        <f t="array" ref="P190">_xlfn.IFS('ProductSprint Backlog'!$F190="", "", AND('ProductSprint Backlog'!$J190&gt;P$2,'ProductSprint Backlog'!$I190&lt;=P$2), 'ProductSprint Backlog'!$F190 / MAX(1, 'ProductSprint Backlog'!$J190-'ProductSprint Backlog'!$I190), AND('ProductSprint Backlog'!$J190=P$2,'ProductSprint Backlog'!$I190=P$2), 'ProductSprint Backlog'!$F190, TRUE, 0)</f>
        <v>0</v>
      </c>
      <c r="Q190" s="4" cm="1">
        <f t="array" ref="Q190">_xlfn.IFS('ProductSprint Backlog'!$F190="", "", AND('ProductSprint Backlog'!$J190&gt;Q$2,'ProductSprint Backlog'!$I190&lt;=Q$2), 'ProductSprint Backlog'!$F190 / MAX(1, 'ProductSprint Backlog'!$J190-'ProductSprint Backlog'!$I190), AND('ProductSprint Backlog'!$J190=Q$2,'ProductSprint Backlog'!$I190=Q$2), 'ProductSprint Backlog'!$F190, TRUE, 0)</f>
        <v>0</v>
      </c>
      <c r="R190" s="4" cm="1">
        <f t="array" ref="R190">_xlfn.IFS('ProductSprint Backlog'!$F190="", "", AND('ProductSprint Backlog'!$J190&gt;R$2,'ProductSprint Backlog'!$I190&lt;=R$2), 'ProductSprint Backlog'!$F190 / MAX(1, 'ProductSprint Backlog'!$J190-'ProductSprint Backlog'!$I190), AND('ProductSprint Backlog'!$J190=R$2,'ProductSprint Backlog'!$I190=R$2), 'ProductSprint Backlog'!$F190, TRUE, 0)</f>
        <v>0</v>
      </c>
      <c r="S190" s="4" cm="1">
        <f t="array" ref="S190">_xlfn.IFS('ProductSprint Backlog'!$F190="", "", AND('ProductSprint Backlog'!$J190&gt;S$2,'ProductSprint Backlog'!$I190&lt;=S$2), 'ProductSprint Backlog'!$F190 / MAX(1, 'ProductSprint Backlog'!$J190-'ProductSprint Backlog'!$I190), AND('ProductSprint Backlog'!$J190=S$2,'ProductSprint Backlog'!$I190=S$2), 'ProductSprint Backlog'!$F190, TRUE, 0)</f>
        <v>0</v>
      </c>
      <c r="T190" s="4" cm="1">
        <f t="array" ref="T190">_xlfn.IFS('ProductSprint Backlog'!$F190="", "", AND('ProductSprint Backlog'!$J190&gt;T$2,'ProductSprint Backlog'!$I190&lt;=T$2), 'ProductSprint Backlog'!$F190 / MAX(1, 'ProductSprint Backlog'!$J190-'ProductSprint Backlog'!$I190), AND('ProductSprint Backlog'!$J190=T$2,'ProductSprint Backlog'!$I190=T$2), 'ProductSprint Backlog'!$F190, TRUE, 0)</f>
        <v>0</v>
      </c>
    </row>
    <row r="191" spans="2:20" x14ac:dyDescent="0.2">
      <c r="B191" s="4" cm="1">
        <f t="array" ref="B191">_xlfn.IFS('ProductSprint Backlog'!$F191="", "", AND('ProductSprint Backlog'!$J191&gt;B$2,'ProductSprint Backlog'!$I191&lt;=B$2), 'ProductSprint Backlog'!$F191 / MAX(1, 'ProductSprint Backlog'!$J191-'ProductSprint Backlog'!$I191), AND('ProductSprint Backlog'!$J191=B$2,'ProductSprint Backlog'!$I191=B$2), 'ProductSprint Backlog'!$F191, TRUE, 0)</f>
        <v>0</v>
      </c>
      <c r="C191" s="4" cm="1">
        <f t="array" ref="C191">_xlfn.IFS('ProductSprint Backlog'!$F191="", "", AND('ProductSprint Backlog'!$J191&gt;C$2,'ProductSprint Backlog'!$I191&lt;=C$2), 'ProductSprint Backlog'!$F191 / MAX(1, 'ProductSprint Backlog'!$J191-'ProductSprint Backlog'!$I191), AND('ProductSprint Backlog'!$J191=C$2,'ProductSprint Backlog'!$I191=C$2), 'ProductSprint Backlog'!$F191, TRUE, 0)</f>
        <v>0</v>
      </c>
      <c r="D191" s="4" cm="1">
        <f t="array" ref="D191">_xlfn.IFS('ProductSprint Backlog'!$F191="", "", AND('ProductSprint Backlog'!$J191&gt;D$2,'ProductSprint Backlog'!$I191&lt;=D$2), 'ProductSprint Backlog'!$F191 / MAX(1, 'ProductSprint Backlog'!$J191-'ProductSprint Backlog'!$I191), AND('ProductSprint Backlog'!$J191=D$2,'ProductSprint Backlog'!$I191=D$2), 'ProductSprint Backlog'!$F191, TRUE, 0)</f>
        <v>0</v>
      </c>
      <c r="E191" s="4" cm="1">
        <f t="array" ref="E191">_xlfn.IFS('ProductSprint Backlog'!$F191="", "", AND('ProductSprint Backlog'!$J191&gt;E$2,'ProductSprint Backlog'!$I191&lt;=E$2), 'ProductSprint Backlog'!$F191 / MAX(1, 'ProductSprint Backlog'!$J191-'ProductSprint Backlog'!$I191), AND('ProductSprint Backlog'!$J191=E$2,'ProductSprint Backlog'!$I191=E$2), 'ProductSprint Backlog'!$F191, TRUE, 0)</f>
        <v>0</v>
      </c>
      <c r="F191" s="4" cm="1">
        <f t="array" ref="F191">_xlfn.IFS('ProductSprint Backlog'!$F191="", "", AND('ProductSprint Backlog'!$J191&gt;F$2,'ProductSprint Backlog'!$I191&lt;=F$2), 'ProductSprint Backlog'!$F191 / MAX(1, 'ProductSprint Backlog'!$J191-'ProductSprint Backlog'!$I191), AND('ProductSprint Backlog'!$J191=F$2,'ProductSprint Backlog'!$I191=F$2), 'ProductSprint Backlog'!$F191, TRUE, 0)</f>
        <v>0</v>
      </c>
      <c r="G191" s="4" cm="1">
        <f t="array" ref="G191">_xlfn.IFS('ProductSprint Backlog'!$F191="", "", AND('ProductSprint Backlog'!$J191&gt;G$2,'ProductSprint Backlog'!$I191&lt;=G$2), 'ProductSprint Backlog'!$F191 / MAX(1, 'ProductSprint Backlog'!$J191-'ProductSprint Backlog'!$I191), AND('ProductSprint Backlog'!$J191=G$2,'ProductSprint Backlog'!$I191=G$2), 'ProductSprint Backlog'!$F191, TRUE, 0)</f>
        <v>0</v>
      </c>
      <c r="H191" s="4" cm="1">
        <f t="array" ref="H191">_xlfn.IFS('ProductSprint Backlog'!$F191="", "", AND('ProductSprint Backlog'!$J191&gt;H$2,'ProductSprint Backlog'!$I191&lt;=H$2), 'ProductSprint Backlog'!$F191 / MAX(1, 'ProductSprint Backlog'!$J191-'ProductSprint Backlog'!$I191), AND('ProductSprint Backlog'!$J191=H$2,'ProductSprint Backlog'!$I191=H$2), 'ProductSprint Backlog'!$F191, TRUE, 0)</f>
        <v>0</v>
      </c>
      <c r="I191" s="4" cm="1">
        <f t="array" ref="I191">_xlfn.IFS('ProductSprint Backlog'!$F191="", "", AND('ProductSprint Backlog'!$J191&gt;I$2,'ProductSprint Backlog'!$I191&lt;=I$2), 'ProductSprint Backlog'!$F191 / MAX(1, 'ProductSprint Backlog'!$J191-'ProductSprint Backlog'!$I191), AND('ProductSprint Backlog'!$J191=I$2,'ProductSprint Backlog'!$I191=I$2), 'ProductSprint Backlog'!$F191, TRUE, 0)</f>
        <v>0</v>
      </c>
      <c r="J191" s="4" cm="1">
        <f t="array" ref="J191">_xlfn.IFS('ProductSprint Backlog'!$F191="", "", AND('ProductSprint Backlog'!$J191&gt;J$2,'ProductSprint Backlog'!$I191&lt;=J$2), 'ProductSprint Backlog'!$F191 / MAX(1, 'ProductSprint Backlog'!$J191-'ProductSprint Backlog'!$I191), AND('ProductSprint Backlog'!$J191=J$2,'ProductSprint Backlog'!$I191=J$2), 'ProductSprint Backlog'!$F191, TRUE, 0)</f>
        <v>0</v>
      </c>
      <c r="K191" s="4" cm="1">
        <f t="array" ref="K191">_xlfn.IFS('ProductSprint Backlog'!$F191="", "", AND('ProductSprint Backlog'!$J191&gt;K$2,'ProductSprint Backlog'!$I191&lt;=K$2), 'ProductSprint Backlog'!$F191 / MAX(1, 'ProductSprint Backlog'!$J191-'ProductSprint Backlog'!$I191), AND('ProductSprint Backlog'!$J191=K$2,'ProductSprint Backlog'!$I191=K$2), 'ProductSprint Backlog'!$F191, TRUE, 0)</f>
        <v>0</v>
      </c>
      <c r="L191" s="4" cm="1">
        <f t="array" ref="L191">_xlfn.IFS('ProductSprint Backlog'!$F191="", "", AND('ProductSprint Backlog'!$J191&gt;L$2,'ProductSprint Backlog'!$I191&lt;=L$2), 'ProductSprint Backlog'!$F191 / MAX(1, 'ProductSprint Backlog'!$J191-'ProductSprint Backlog'!$I191), AND('ProductSprint Backlog'!$J191=L$2,'ProductSprint Backlog'!$I191=L$2), 'ProductSprint Backlog'!$F191, TRUE, 0)</f>
        <v>0</v>
      </c>
      <c r="M191" s="4" cm="1">
        <f t="array" ref="M191">_xlfn.IFS('ProductSprint Backlog'!$F191="", "", AND('ProductSprint Backlog'!$J191&gt;M$2,'ProductSprint Backlog'!$I191&lt;=M$2), 'ProductSprint Backlog'!$F191 / MAX(1, 'ProductSprint Backlog'!$J191-'ProductSprint Backlog'!$I191), AND('ProductSprint Backlog'!$J191=M$2,'ProductSprint Backlog'!$I191=M$2), 'ProductSprint Backlog'!$F191, TRUE, 0)</f>
        <v>0</v>
      </c>
      <c r="N191" s="4" cm="1">
        <f t="array" ref="N191">_xlfn.IFS('ProductSprint Backlog'!$F191="", "", AND('ProductSprint Backlog'!$J191&gt;N$2,'ProductSprint Backlog'!$I191&lt;=N$2), 'ProductSprint Backlog'!$F191 / MAX(1, 'ProductSprint Backlog'!$J191-'ProductSprint Backlog'!$I191), AND('ProductSprint Backlog'!$J191=N$2,'ProductSprint Backlog'!$I191=N$2), 'ProductSprint Backlog'!$F191, TRUE, 0)</f>
        <v>0</v>
      </c>
      <c r="O191" s="4" cm="1">
        <f t="array" ref="O191">_xlfn.IFS('ProductSprint Backlog'!$F191="", "", AND('ProductSprint Backlog'!$J191&gt;O$2,'ProductSprint Backlog'!$I191&lt;=O$2), 'ProductSprint Backlog'!$F191 / MAX(1, 'ProductSprint Backlog'!$J191-'ProductSprint Backlog'!$I191), AND('ProductSprint Backlog'!$J191=O$2,'ProductSprint Backlog'!$I191=O$2), 'ProductSprint Backlog'!$F191, TRUE, 0)</f>
        <v>0</v>
      </c>
      <c r="P191" s="4" cm="1">
        <f t="array" ref="P191">_xlfn.IFS('ProductSprint Backlog'!$F191="", "", AND('ProductSprint Backlog'!$J191&gt;P$2,'ProductSprint Backlog'!$I191&lt;=P$2), 'ProductSprint Backlog'!$F191 / MAX(1, 'ProductSprint Backlog'!$J191-'ProductSprint Backlog'!$I191), AND('ProductSprint Backlog'!$J191=P$2,'ProductSprint Backlog'!$I191=P$2), 'ProductSprint Backlog'!$F191, TRUE, 0)</f>
        <v>0</v>
      </c>
      <c r="Q191" s="4" cm="1">
        <f t="array" ref="Q191">_xlfn.IFS('ProductSprint Backlog'!$F191="", "", AND('ProductSprint Backlog'!$J191&gt;Q$2,'ProductSprint Backlog'!$I191&lt;=Q$2), 'ProductSprint Backlog'!$F191 / MAX(1, 'ProductSprint Backlog'!$J191-'ProductSprint Backlog'!$I191), AND('ProductSprint Backlog'!$J191=Q$2,'ProductSprint Backlog'!$I191=Q$2), 'ProductSprint Backlog'!$F191, TRUE, 0)</f>
        <v>0</v>
      </c>
      <c r="R191" s="4" cm="1">
        <f t="array" ref="R191">_xlfn.IFS('ProductSprint Backlog'!$F191="", "", AND('ProductSprint Backlog'!$J191&gt;R$2,'ProductSprint Backlog'!$I191&lt;=R$2), 'ProductSprint Backlog'!$F191 / MAX(1, 'ProductSprint Backlog'!$J191-'ProductSprint Backlog'!$I191), AND('ProductSprint Backlog'!$J191=R$2,'ProductSprint Backlog'!$I191=R$2), 'ProductSprint Backlog'!$F191, TRUE, 0)</f>
        <v>0</v>
      </c>
      <c r="S191" s="4" cm="1">
        <f t="array" ref="S191">_xlfn.IFS('ProductSprint Backlog'!$F191="", "", AND('ProductSprint Backlog'!$J191&gt;S$2,'ProductSprint Backlog'!$I191&lt;=S$2), 'ProductSprint Backlog'!$F191 / MAX(1, 'ProductSprint Backlog'!$J191-'ProductSprint Backlog'!$I191), AND('ProductSprint Backlog'!$J191=S$2,'ProductSprint Backlog'!$I191=S$2), 'ProductSprint Backlog'!$F191, TRUE, 0)</f>
        <v>0</v>
      </c>
      <c r="T191" s="4" cm="1">
        <f t="array" ref="T191">_xlfn.IFS('ProductSprint Backlog'!$F191="", "", AND('ProductSprint Backlog'!$J191&gt;T$2,'ProductSprint Backlog'!$I191&lt;=T$2), 'ProductSprint Backlog'!$F191 / MAX(1, 'ProductSprint Backlog'!$J191-'ProductSprint Backlog'!$I191), AND('ProductSprint Backlog'!$J191=T$2,'ProductSprint Backlog'!$I191=T$2), 'ProductSprint Backlog'!$F191, TRUE, 0)</f>
        <v>0</v>
      </c>
    </row>
    <row r="192" spans="2:20" x14ac:dyDescent="0.2">
      <c r="B192" s="4" cm="1">
        <f t="array" ref="B192">_xlfn.IFS('ProductSprint Backlog'!$F192="", "", AND('ProductSprint Backlog'!$J192&gt;B$2,'ProductSprint Backlog'!$I192&lt;=B$2), 'ProductSprint Backlog'!$F192 / MAX(1, 'ProductSprint Backlog'!$J192-'ProductSprint Backlog'!$I192), AND('ProductSprint Backlog'!$J192=B$2,'ProductSprint Backlog'!$I192=B$2), 'ProductSprint Backlog'!$F192, TRUE, 0)</f>
        <v>0</v>
      </c>
      <c r="C192" s="4" cm="1">
        <f t="array" ref="C192">_xlfn.IFS('ProductSprint Backlog'!$F192="", "", AND('ProductSprint Backlog'!$J192&gt;C$2,'ProductSprint Backlog'!$I192&lt;=C$2), 'ProductSprint Backlog'!$F192 / MAX(1, 'ProductSprint Backlog'!$J192-'ProductSprint Backlog'!$I192), AND('ProductSprint Backlog'!$J192=C$2,'ProductSprint Backlog'!$I192=C$2), 'ProductSprint Backlog'!$F192, TRUE, 0)</f>
        <v>0</v>
      </c>
      <c r="D192" s="4" cm="1">
        <f t="array" ref="D192">_xlfn.IFS('ProductSprint Backlog'!$F192="", "", AND('ProductSprint Backlog'!$J192&gt;D$2,'ProductSprint Backlog'!$I192&lt;=D$2), 'ProductSprint Backlog'!$F192 / MAX(1, 'ProductSprint Backlog'!$J192-'ProductSprint Backlog'!$I192), AND('ProductSprint Backlog'!$J192=D$2,'ProductSprint Backlog'!$I192=D$2), 'ProductSprint Backlog'!$F192, TRUE, 0)</f>
        <v>0</v>
      </c>
      <c r="E192" s="4" cm="1">
        <f t="array" ref="E192">_xlfn.IFS('ProductSprint Backlog'!$F192="", "", AND('ProductSprint Backlog'!$J192&gt;E$2,'ProductSprint Backlog'!$I192&lt;=E$2), 'ProductSprint Backlog'!$F192 / MAX(1, 'ProductSprint Backlog'!$J192-'ProductSprint Backlog'!$I192), AND('ProductSprint Backlog'!$J192=E$2,'ProductSprint Backlog'!$I192=E$2), 'ProductSprint Backlog'!$F192, TRUE, 0)</f>
        <v>0</v>
      </c>
      <c r="F192" s="4" cm="1">
        <f t="array" ref="F192">_xlfn.IFS('ProductSprint Backlog'!$F192="", "", AND('ProductSprint Backlog'!$J192&gt;F$2,'ProductSprint Backlog'!$I192&lt;=F$2), 'ProductSprint Backlog'!$F192 / MAX(1, 'ProductSprint Backlog'!$J192-'ProductSprint Backlog'!$I192), AND('ProductSprint Backlog'!$J192=F$2,'ProductSprint Backlog'!$I192=F$2), 'ProductSprint Backlog'!$F192, TRUE, 0)</f>
        <v>0</v>
      </c>
      <c r="G192" s="4" cm="1">
        <f t="array" ref="G192">_xlfn.IFS('ProductSprint Backlog'!$F192="", "", AND('ProductSprint Backlog'!$J192&gt;G$2,'ProductSprint Backlog'!$I192&lt;=G$2), 'ProductSprint Backlog'!$F192 / MAX(1, 'ProductSprint Backlog'!$J192-'ProductSprint Backlog'!$I192), AND('ProductSprint Backlog'!$J192=G$2,'ProductSprint Backlog'!$I192=G$2), 'ProductSprint Backlog'!$F192, TRUE, 0)</f>
        <v>0</v>
      </c>
      <c r="H192" s="4" cm="1">
        <f t="array" ref="H192">_xlfn.IFS('ProductSprint Backlog'!$F192="", "", AND('ProductSprint Backlog'!$J192&gt;H$2,'ProductSprint Backlog'!$I192&lt;=H$2), 'ProductSprint Backlog'!$F192 / MAX(1, 'ProductSprint Backlog'!$J192-'ProductSprint Backlog'!$I192), AND('ProductSprint Backlog'!$J192=H$2,'ProductSprint Backlog'!$I192=H$2), 'ProductSprint Backlog'!$F192, TRUE, 0)</f>
        <v>0</v>
      </c>
      <c r="I192" s="4" cm="1">
        <f t="array" ref="I192">_xlfn.IFS('ProductSprint Backlog'!$F192="", "", AND('ProductSprint Backlog'!$J192&gt;I$2,'ProductSprint Backlog'!$I192&lt;=I$2), 'ProductSprint Backlog'!$F192 / MAX(1, 'ProductSprint Backlog'!$J192-'ProductSprint Backlog'!$I192), AND('ProductSprint Backlog'!$J192=I$2,'ProductSprint Backlog'!$I192=I$2), 'ProductSprint Backlog'!$F192, TRUE, 0)</f>
        <v>0</v>
      </c>
      <c r="J192" s="4" cm="1">
        <f t="array" ref="J192">_xlfn.IFS('ProductSprint Backlog'!$F192="", "", AND('ProductSprint Backlog'!$J192&gt;J$2,'ProductSprint Backlog'!$I192&lt;=J$2), 'ProductSprint Backlog'!$F192 / MAX(1, 'ProductSprint Backlog'!$J192-'ProductSprint Backlog'!$I192), AND('ProductSprint Backlog'!$J192=J$2,'ProductSprint Backlog'!$I192=J$2), 'ProductSprint Backlog'!$F192, TRUE, 0)</f>
        <v>0</v>
      </c>
      <c r="K192" s="4" cm="1">
        <f t="array" ref="K192">_xlfn.IFS('ProductSprint Backlog'!$F192="", "", AND('ProductSprint Backlog'!$J192&gt;K$2,'ProductSprint Backlog'!$I192&lt;=K$2), 'ProductSprint Backlog'!$F192 / MAX(1, 'ProductSprint Backlog'!$J192-'ProductSprint Backlog'!$I192), AND('ProductSprint Backlog'!$J192=K$2,'ProductSprint Backlog'!$I192=K$2), 'ProductSprint Backlog'!$F192, TRUE, 0)</f>
        <v>0</v>
      </c>
      <c r="L192" s="4" cm="1">
        <f t="array" ref="L192">_xlfn.IFS('ProductSprint Backlog'!$F192="", "", AND('ProductSprint Backlog'!$J192&gt;L$2,'ProductSprint Backlog'!$I192&lt;=L$2), 'ProductSprint Backlog'!$F192 / MAX(1, 'ProductSprint Backlog'!$J192-'ProductSprint Backlog'!$I192), AND('ProductSprint Backlog'!$J192=L$2,'ProductSprint Backlog'!$I192=L$2), 'ProductSprint Backlog'!$F192, TRUE, 0)</f>
        <v>0</v>
      </c>
      <c r="M192" s="4" cm="1">
        <f t="array" ref="M192">_xlfn.IFS('ProductSprint Backlog'!$F192="", "", AND('ProductSprint Backlog'!$J192&gt;M$2,'ProductSprint Backlog'!$I192&lt;=M$2), 'ProductSprint Backlog'!$F192 / MAX(1, 'ProductSprint Backlog'!$J192-'ProductSprint Backlog'!$I192), AND('ProductSprint Backlog'!$J192=M$2,'ProductSprint Backlog'!$I192=M$2), 'ProductSprint Backlog'!$F192, TRUE, 0)</f>
        <v>0</v>
      </c>
      <c r="N192" s="4" cm="1">
        <f t="array" ref="N192">_xlfn.IFS('ProductSprint Backlog'!$F192="", "", AND('ProductSprint Backlog'!$J192&gt;N$2,'ProductSprint Backlog'!$I192&lt;=N$2), 'ProductSprint Backlog'!$F192 / MAX(1, 'ProductSprint Backlog'!$J192-'ProductSprint Backlog'!$I192), AND('ProductSprint Backlog'!$J192=N$2,'ProductSprint Backlog'!$I192=N$2), 'ProductSprint Backlog'!$F192, TRUE, 0)</f>
        <v>0</v>
      </c>
      <c r="O192" s="4" cm="1">
        <f t="array" ref="O192">_xlfn.IFS('ProductSprint Backlog'!$F192="", "", AND('ProductSprint Backlog'!$J192&gt;O$2,'ProductSprint Backlog'!$I192&lt;=O$2), 'ProductSprint Backlog'!$F192 / MAX(1, 'ProductSprint Backlog'!$J192-'ProductSprint Backlog'!$I192), AND('ProductSprint Backlog'!$J192=O$2,'ProductSprint Backlog'!$I192=O$2), 'ProductSprint Backlog'!$F192, TRUE, 0)</f>
        <v>0</v>
      </c>
      <c r="P192" s="4" cm="1">
        <f t="array" ref="P192">_xlfn.IFS('ProductSprint Backlog'!$F192="", "", AND('ProductSprint Backlog'!$J192&gt;P$2,'ProductSprint Backlog'!$I192&lt;=P$2), 'ProductSprint Backlog'!$F192 / MAX(1, 'ProductSprint Backlog'!$J192-'ProductSprint Backlog'!$I192), AND('ProductSprint Backlog'!$J192=P$2,'ProductSprint Backlog'!$I192=P$2), 'ProductSprint Backlog'!$F192, TRUE, 0)</f>
        <v>0</v>
      </c>
      <c r="Q192" s="4" cm="1">
        <f t="array" ref="Q192">_xlfn.IFS('ProductSprint Backlog'!$F192="", "", AND('ProductSprint Backlog'!$J192&gt;Q$2,'ProductSprint Backlog'!$I192&lt;=Q$2), 'ProductSprint Backlog'!$F192 / MAX(1, 'ProductSprint Backlog'!$J192-'ProductSprint Backlog'!$I192), AND('ProductSprint Backlog'!$J192=Q$2,'ProductSprint Backlog'!$I192=Q$2), 'ProductSprint Backlog'!$F192, TRUE, 0)</f>
        <v>0</v>
      </c>
      <c r="R192" s="4" cm="1">
        <f t="array" ref="R192">_xlfn.IFS('ProductSprint Backlog'!$F192="", "", AND('ProductSprint Backlog'!$J192&gt;R$2,'ProductSprint Backlog'!$I192&lt;=R$2), 'ProductSprint Backlog'!$F192 / MAX(1, 'ProductSprint Backlog'!$J192-'ProductSprint Backlog'!$I192), AND('ProductSprint Backlog'!$J192=R$2,'ProductSprint Backlog'!$I192=R$2), 'ProductSprint Backlog'!$F192, TRUE, 0)</f>
        <v>0</v>
      </c>
      <c r="S192" s="4" cm="1">
        <f t="array" ref="S192">_xlfn.IFS('ProductSprint Backlog'!$F192="", "", AND('ProductSprint Backlog'!$J192&gt;S$2,'ProductSprint Backlog'!$I192&lt;=S$2), 'ProductSprint Backlog'!$F192 / MAX(1, 'ProductSprint Backlog'!$J192-'ProductSprint Backlog'!$I192), AND('ProductSprint Backlog'!$J192=S$2,'ProductSprint Backlog'!$I192=S$2), 'ProductSprint Backlog'!$F192, TRUE, 0)</f>
        <v>0</v>
      </c>
      <c r="T192" s="4" cm="1">
        <f t="array" ref="T192">_xlfn.IFS('ProductSprint Backlog'!$F192="", "", AND('ProductSprint Backlog'!$J192&gt;T$2,'ProductSprint Backlog'!$I192&lt;=T$2), 'ProductSprint Backlog'!$F192 / MAX(1, 'ProductSprint Backlog'!$J192-'ProductSprint Backlog'!$I192), AND('ProductSprint Backlog'!$J192=T$2,'ProductSprint Backlog'!$I192=T$2), 'ProductSprint Backlog'!$F192, TRUE, 0)</f>
        <v>0</v>
      </c>
    </row>
    <row r="193" spans="2:20" x14ac:dyDescent="0.2">
      <c r="B193" s="4" cm="1">
        <f t="array" ref="B193">_xlfn.IFS('ProductSprint Backlog'!$F193="", "", AND('ProductSprint Backlog'!$J193&gt;B$2,'ProductSprint Backlog'!$I193&lt;=B$2), 'ProductSprint Backlog'!$F193 / MAX(1, 'ProductSprint Backlog'!$J193-'ProductSprint Backlog'!$I193), AND('ProductSprint Backlog'!$J193=B$2,'ProductSprint Backlog'!$I193=B$2), 'ProductSprint Backlog'!$F193, TRUE, 0)</f>
        <v>0</v>
      </c>
      <c r="C193" s="4" cm="1">
        <f t="array" ref="C193">_xlfn.IFS('ProductSprint Backlog'!$F193="", "", AND('ProductSprint Backlog'!$J193&gt;C$2,'ProductSprint Backlog'!$I193&lt;=C$2), 'ProductSprint Backlog'!$F193 / MAX(1, 'ProductSprint Backlog'!$J193-'ProductSprint Backlog'!$I193), AND('ProductSprint Backlog'!$J193=C$2,'ProductSprint Backlog'!$I193=C$2), 'ProductSprint Backlog'!$F193, TRUE, 0)</f>
        <v>0</v>
      </c>
      <c r="D193" s="4" cm="1">
        <f t="array" ref="D193">_xlfn.IFS('ProductSprint Backlog'!$F193="", "", AND('ProductSprint Backlog'!$J193&gt;D$2,'ProductSprint Backlog'!$I193&lt;=D$2), 'ProductSprint Backlog'!$F193 / MAX(1, 'ProductSprint Backlog'!$J193-'ProductSprint Backlog'!$I193), AND('ProductSprint Backlog'!$J193=D$2,'ProductSprint Backlog'!$I193=D$2), 'ProductSprint Backlog'!$F193, TRUE, 0)</f>
        <v>0</v>
      </c>
      <c r="E193" s="4" cm="1">
        <f t="array" ref="E193">_xlfn.IFS('ProductSprint Backlog'!$F193="", "", AND('ProductSprint Backlog'!$J193&gt;E$2,'ProductSprint Backlog'!$I193&lt;=E$2), 'ProductSprint Backlog'!$F193 / MAX(1, 'ProductSprint Backlog'!$J193-'ProductSprint Backlog'!$I193), AND('ProductSprint Backlog'!$J193=E$2,'ProductSprint Backlog'!$I193=E$2), 'ProductSprint Backlog'!$F193, TRUE, 0)</f>
        <v>0</v>
      </c>
      <c r="F193" s="4" cm="1">
        <f t="array" ref="F193">_xlfn.IFS('ProductSprint Backlog'!$F193="", "", AND('ProductSprint Backlog'!$J193&gt;F$2,'ProductSprint Backlog'!$I193&lt;=F$2), 'ProductSprint Backlog'!$F193 / MAX(1, 'ProductSprint Backlog'!$J193-'ProductSprint Backlog'!$I193), AND('ProductSprint Backlog'!$J193=F$2,'ProductSprint Backlog'!$I193=F$2), 'ProductSprint Backlog'!$F193, TRUE, 0)</f>
        <v>0</v>
      </c>
      <c r="G193" s="4" cm="1">
        <f t="array" ref="G193">_xlfn.IFS('ProductSprint Backlog'!$F193="", "", AND('ProductSprint Backlog'!$J193&gt;G$2,'ProductSprint Backlog'!$I193&lt;=G$2), 'ProductSprint Backlog'!$F193 / MAX(1, 'ProductSprint Backlog'!$J193-'ProductSprint Backlog'!$I193), AND('ProductSprint Backlog'!$J193=G$2,'ProductSprint Backlog'!$I193=G$2), 'ProductSprint Backlog'!$F193, TRUE, 0)</f>
        <v>0</v>
      </c>
      <c r="H193" s="4" cm="1">
        <f t="array" ref="H193">_xlfn.IFS('ProductSprint Backlog'!$F193="", "", AND('ProductSprint Backlog'!$J193&gt;H$2,'ProductSprint Backlog'!$I193&lt;=H$2), 'ProductSprint Backlog'!$F193 / MAX(1, 'ProductSprint Backlog'!$J193-'ProductSprint Backlog'!$I193), AND('ProductSprint Backlog'!$J193=H$2,'ProductSprint Backlog'!$I193=H$2), 'ProductSprint Backlog'!$F193, TRUE, 0)</f>
        <v>0</v>
      </c>
      <c r="I193" s="4" cm="1">
        <f t="array" ref="I193">_xlfn.IFS('ProductSprint Backlog'!$F193="", "", AND('ProductSprint Backlog'!$J193&gt;I$2,'ProductSprint Backlog'!$I193&lt;=I$2), 'ProductSprint Backlog'!$F193 / MAX(1, 'ProductSprint Backlog'!$J193-'ProductSprint Backlog'!$I193), AND('ProductSprint Backlog'!$J193=I$2,'ProductSprint Backlog'!$I193=I$2), 'ProductSprint Backlog'!$F193, TRUE, 0)</f>
        <v>0</v>
      </c>
      <c r="J193" s="4" cm="1">
        <f t="array" ref="J193">_xlfn.IFS('ProductSprint Backlog'!$F193="", "", AND('ProductSprint Backlog'!$J193&gt;J$2,'ProductSprint Backlog'!$I193&lt;=J$2), 'ProductSprint Backlog'!$F193 / MAX(1, 'ProductSprint Backlog'!$J193-'ProductSprint Backlog'!$I193), AND('ProductSprint Backlog'!$J193=J$2,'ProductSprint Backlog'!$I193=J$2), 'ProductSprint Backlog'!$F193, TRUE, 0)</f>
        <v>0</v>
      </c>
      <c r="K193" s="4" cm="1">
        <f t="array" ref="K193">_xlfn.IFS('ProductSprint Backlog'!$F193="", "", AND('ProductSprint Backlog'!$J193&gt;K$2,'ProductSprint Backlog'!$I193&lt;=K$2), 'ProductSprint Backlog'!$F193 / MAX(1, 'ProductSprint Backlog'!$J193-'ProductSprint Backlog'!$I193), AND('ProductSprint Backlog'!$J193=K$2,'ProductSprint Backlog'!$I193=K$2), 'ProductSprint Backlog'!$F193, TRUE, 0)</f>
        <v>0</v>
      </c>
      <c r="L193" s="4" cm="1">
        <f t="array" ref="L193">_xlfn.IFS('ProductSprint Backlog'!$F193="", "", AND('ProductSprint Backlog'!$J193&gt;L$2,'ProductSprint Backlog'!$I193&lt;=L$2), 'ProductSprint Backlog'!$F193 / MAX(1, 'ProductSprint Backlog'!$J193-'ProductSprint Backlog'!$I193), AND('ProductSprint Backlog'!$J193=L$2,'ProductSprint Backlog'!$I193=L$2), 'ProductSprint Backlog'!$F193, TRUE, 0)</f>
        <v>0</v>
      </c>
      <c r="M193" s="4" cm="1">
        <f t="array" ref="M193">_xlfn.IFS('ProductSprint Backlog'!$F193="", "", AND('ProductSprint Backlog'!$J193&gt;M$2,'ProductSprint Backlog'!$I193&lt;=M$2), 'ProductSprint Backlog'!$F193 / MAX(1, 'ProductSprint Backlog'!$J193-'ProductSprint Backlog'!$I193), AND('ProductSprint Backlog'!$J193=M$2,'ProductSprint Backlog'!$I193=M$2), 'ProductSprint Backlog'!$F193, TRUE, 0)</f>
        <v>0</v>
      </c>
      <c r="N193" s="4" cm="1">
        <f t="array" ref="N193">_xlfn.IFS('ProductSprint Backlog'!$F193="", "", AND('ProductSprint Backlog'!$J193&gt;N$2,'ProductSprint Backlog'!$I193&lt;=N$2), 'ProductSprint Backlog'!$F193 / MAX(1, 'ProductSprint Backlog'!$J193-'ProductSprint Backlog'!$I193), AND('ProductSprint Backlog'!$J193=N$2,'ProductSprint Backlog'!$I193=N$2), 'ProductSprint Backlog'!$F193, TRUE, 0)</f>
        <v>0</v>
      </c>
      <c r="O193" s="4" cm="1">
        <f t="array" ref="O193">_xlfn.IFS('ProductSprint Backlog'!$F193="", "", AND('ProductSprint Backlog'!$J193&gt;O$2,'ProductSprint Backlog'!$I193&lt;=O$2), 'ProductSprint Backlog'!$F193 / MAX(1, 'ProductSprint Backlog'!$J193-'ProductSprint Backlog'!$I193), AND('ProductSprint Backlog'!$J193=O$2,'ProductSprint Backlog'!$I193=O$2), 'ProductSprint Backlog'!$F193, TRUE, 0)</f>
        <v>0</v>
      </c>
      <c r="P193" s="4" cm="1">
        <f t="array" ref="P193">_xlfn.IFS('ProductSprint Backlog'!$F193="", "", AND('ProductSprint Backlog'!$J193&gt;P$2,'ProductSprint Backlog'!$I193&lt;=P$2), 'ProductSprint Backlog'!$F193 / MAX(1, 'ProductSprint Backlog'!$J193-'ProductSprint Backlog'!$I193), AND('ProductSprint Backlog'!$J193=P$2,'ProductSprint Backlog'!$I193=P$2), 'ProductSprint Backlog'!$F193, TRUE, 0)</f>
        <v>0</v>
      </c>
      <c r="Q193" s="4" cm="1">
        <f t="array" ref="Q193">_xlfn.IFS('ProductSprint Backlog'!$F193="", "", AND('ProductSprint Backlog'!$J193&gt;Q$2,'ProductSprint Backlog'!$I193&lt;=Q$2), 'ProductSprint Backlog'!$F193 / MAX(1, 'ProductSprint Backlog'!$J193-'ProductSprint Backlog'!$I193), AND('ProductSprint Backlog'!$J193=Q$2,'ProductSprint Backlog'!$I193=Q$2), 'ProductSprint Backlog'!$F193, TRUE, 0)</f>
        <v>0</v>
      </c>
      <c r="R193" s="4" cm="1">
        <f t="array" ref="R193">_xlfn.IFS('ProductSprint Backlog'!$F193="", "", AND('ProductSprint Backlog'!$J193&gt;R$2,'ProductSprint Backlog'!$I193&lt;=R$2), 'ProductSprint Backlog'!$F193 / MAX(1, 'ProductSprint Backlog'!$J193-'ProductSprint Backlog'!$I193), AND('ProductSprint Backlog'!$J193=R$2,'ProductSprint Backlog'!$I193=R$2), 'ProductSprint Backlog'!$F193, TRUE, 0)</f>
        <v>0</v>
      </c>
      <c r="S193" s="4" cm="1">
        <f t="array" ref="S193">_xlfn.IFS('ProductSprint Backlog'!$F193="", "", AND('ProductSprint Backlog'!$J193&gt;S$2,'ProductSprint Backlog'!$I193&lt;=S$2), 'ProductSprint Backlog'!$F193 / MAX(1, 'ProductSprint Backlog'!$J193-'ProductSprint Backlog'!$I193), AND('ProductSprint Backlog'!$J193=S$2,'ProductSprint Backlog'!$I193=S$2), 'ProductSprint Backlog'!$F193, TRUE, 0)</f>
        <v>0</v>
      </c>
      <c r="T193" s="4" cm="1">
        <f t="array" ref="T193">_xlfn.IFS('ProductSprint Backlog'!$F193="", "", AND('ProductSprint Backlog'!$J193&gt;T$2,'ProductSprint Backlog'!$I193&lt;=T$2), 'ProductSprint Backlog'!$F193 / MAX(1, 'ProductSprint Backlog'!$J193-'ProductSprint Backlog'!$I193), AND('ProductSprint Backlog'!$J193=T$2,'ProductSprint Backlog'!$I193=T$2), 'ProductSprint Backlog'!$F193, TRUE, 0)</f>
        <v>0</v>
      </c>
    </row>
    <row r="194" spans="2:20" x14ac:dyDescent="0.2">
      <c r="B194" s="4" cm="1">
        <f t="array" ref="B194">_xlfn.IFS('ProductSprint Backlog'!$F194="", "", AND('ProductSprint Backlog'!$J194&gt;B$2,'ProductSprint Backlog'!$I194&lt;=B$2), 'ProductSprint Backlog'!$F194 / MAX(1, 'ProductSprint Backlog'!$J194-'ProductSprint Backlog'!$I194), AND('ProductSprint Backlog'!$J194=B$2,'ProductSprint Backlog'!$I194=B$2), 'ProductSprint Backlog'!$F194, TRUE, 0)</f>
        <v>0</v>
      </c>
      <c r="C194" s="4" cm="1">
        <f t="array" ref="C194">_xlfn.IFS('ProductSprint Backlog'!$F194="", "", AND('ProductSprint Backlog'!$J194&gt;C$2,'ProductSprint Backlog'!$I194&lt;=C$2), 'ProductSprint Backlog'!$F194 / MAX(1, 'ProductSprint Backlog'!$J194-'ProductSprint Backlog'!$I194), AND('ProductSprint Backlog'!$J194=C$2,'ProductSprint Backlog'!$I194=C$2), 'ProductSprint Backlog'!$F194, TRUE, 0)</f>
        <v>0</v>
      </c>
      <c r="D194" s="4" cm="1">
        <f t="array" ref="D194">_xlfn.IFS('ProductSprint Backlog'!$F194="", "", AND('ProductSprint Backlog'!$J194&gt;D$2,'ProductSprint Backlog'!$I194&lt;=D$2), 'ProductSprint Backlog'!$F194 / MAX(1, 'ProductSprint Backlog'!$J194-'ProductSprint Backlog'!$I194), AND('ProductSprint Backlog'!$J194=D$2,'ProductSprint Backlog'!$I194=D$2), 'ProductSprint Backlog'!$F194, TRUE, 0)</f>
        <v>0</v>
      </c>
      <c r="E194" s="4" cm="1">
        <f t="array" ref="E194">_xlfn.IFS('ProductSprint Backlog'!$F194="", "", AND('ProductSprint Backlog'!$J194&gt;E$2,'ProductSprint Backlog'!$I194&lt;=E$2), 'ProductSprint Backlog'!$F194 / MAX(1, 'ProductSprint Backlog'!$J194-'ProductSprint Backlog'!$I194), AND('ProductSprint Backlog'!$J194=E$2,'ProductSprint Backlog'!$I194=E$2), 'ProductSprint Backlog'!$F194, TRUE, 0)</f>
        <v>0</v>
      </c>
      <c r="F194" s="4" cm="1">
        <f t="array" ref="F194">_xlfn.IFS('ProductSprint Backlog'!$F194="", "", AND('ProductSprint Backlog'!$J194&gt;F$2,'ProductSprint Backlog'!$I194&lt;=F$2), 'ProductSprint Backlog'!$F194 / MAX(1, 'ProductSprint Backlog'!$J194-'ProductSprint Backlog'!$I194), AND('ProductSprint Backlog'!$J194=F$2,'ProductSprint Backlog'!$I194=F$2), 'ProductSprint Backlog'!$F194, TRUE, 0)</f>
        <v>0</v>
      </c>
      <c r="G194" s="4" cm="1">
        <f t="array" ref="G194">_xlfn.IFS('ProductSprint Backlog'!$F194="", "", AND('ProductSprint Backlog'!$J194&gt;G$2,'ProductSprint Backlog'!$I194&lt;=G$2), 'ProductSprint Backlog'!$F194 / MAX(1, 'ProductSprint Backlog'!$J194-'ProductSprint Backlog'!$I194), AND('ProductSprint Backlog'!$J194=G$2,'ProductSprint Backlog'!$I194=G$2), 'ProductSprint Backlog'!$F194, TRUE, 0)</f>
        <v>0</v>
      </c>
      <c r="H194" s="4" cm="1">
        <f t="array" ref="H194">_xlfn.IFS('ProductSprint Backlog'!$F194="", "", AND('ProductSprint Backlog'!$J194&gt;H$2,'ProductSprint Backlog'!$I194&lt;=H$2), 'ProductSprint Backlog'!$F194 / MAX(1, 'ProductSprint Backlog'!$J194-'ProductSprint Backlog'!$I194), AND('ProductSprint Backlog'!$J194=H$2,'ProductSprint Backlog'!$I194=H$2), 'ProductSprint Backlog'!$F194, TRUE, 0)</f>
        <v>0</v>
      </c>
      <c r="I194" s="4" cm="1">
        <f t="array" ref="I194">_xlfn.IFS('ProductSprint Backlog'!$F194="", "", AND('ProductSprint Backlog'!$J194&gt;I$2,'ProductSprint Backlog'!$I194&lt;=I$2), 'ProductSprint Backlog'!$F194 / MAX(1, 'ProductSprint Backlog'!$J194-'ProductSprint Backlog'!$I194), AND('ProductSprint Backlog'!$J194=I$2,'ProductSprint Backlog'!$I194=I$2), 'ProductSprint Backlog'!$F194, TRUE, 0)</f>
        <v>0</v>
      </c>
      <c r="J194" s="4" cm="1">
        <f t="array" ref="J194">_xlfn.IFS('ProductSprint Backlog'!$F194="", "", AND('ProductSprint Backlog'!$J194&gt;J$2,'ProductSprint Backlog'!$I194&lt;=J$2), 'ProductSprint Backlog'!$F194 / MAX(1, 'ProductSprint Backlog'!$J194-'ProductSprint Backlog'!$I194), AND('ProductSprint Backlog'!$J194=J$2,'ProductSprint Backlog'!$I194=J$2), 'ProductSprint Backlog'!$F194, TRUE, 0)</f>
        <v>0</v>
      </c>
      <c r="K194" s="4" cm="1">
        <f t="array" ref="K194">_xlfn.IFS('ProductSprint Backlog'!$F194="", "", AND('ProductSprint Backlog'!$J194&gt;K$2,'ProductSprint Backlog'!$I194&lt;=K$2), 'ProductSprint Backlog'!$F194 / MAX(1, 'ProductSprint Backlog'!$J194-'ProductSprint Backlog'!$I194), AND('ProductSprint Backlog'!$J194=K$2,'ProductSprint Backlog'!$I194=K$2), 'ProductSprint Backlog'!$F194, TRUE, 0)</f>
        <v>0</v>
      </c>
      <c r="L194" s="4" cm="1">
        <f t="array" ref="L194">_xlfn.IFS('ProductSprint Backlog'!$F194="", "", AND('ProductSprint Backlog'!$J194&gt;L$2,'ProductSprint Backlog'!$I194&lt;=L$2), 'ProductSprint Backlog'!$F194 / MAX(1, 'ProductSprint Backlog'!$J194-'ProductSprint Backlog'!$I194), AND('ProductSprint Backlog'!$J194=L$2,'ProductSprint Backlog'!$I194=L$2), 'ProductSprint Backlog'!$F194, TRUE, 0)</f>
        <v>0</v>
      </c>
      <c r="M194" s="4" cm="1">
        <f t="array" ref="M194">_xlfn.IFS('ProductSprint Backlog'!$F194="", "", AND('ProductSprint Backlog'!$J194&gt;M$2,'ProductSprint Backlog'!$I194&lt;=M$2), 'ProductSprint Backlog'!$F194 / MAX(1, 'ProductSprint Backlog'!$J194-'ProductSprint Backlog'!$I194), AND('ProductSprint Backlog'!$J194=M$2,'ProductSprint Backlog'!$I194=M$2), 'ProductSprint Backlog'!$F194, TRUE, 0)</f>
        <v>0</v>
      </c>
      <c r="N194" s="4" cm="1">
        <f t="array" ref="N194">_xlfn.IFS('ProductSprint Backlog'!$F194="", "", AND('ProductSprint Backlog'!$J194&gt;N$2,'ProductSprint Backlog'!$I194&lt;=N$2), 'ProductSprint Backlog'!$F194 / MAX(1, 'ProductSprint Backlog'!$J194-'ProductSprint Backlog'!$I194), AND('ProductSprint Backlog'!$J194=N$2,'ProductSprint Backlog'!$I194=N$2), 'ProductSprint Backlog'!$F194, TRUE, 0)</f>
        <v>0</v>
      </c>
      <c r="O194" s="4" cm="1">
        <f t="array" ref="O194">_xlfn.IFS('ProductSprint Backlog'!$F194="", "", AND('ProductSprint Backlog'!$J194&gt;O$2,'ProductSprint Backlog'!$I194&lt;=O$2), 'ProductSprint Backlog'!$F194 / MAX(1, 'ProductSprint Backlog'!$J194-'ProductSprint Backlog'!$I194), AND('ProductSprint Backlog'!$J194=O$2,'ProductSprint Backlog'!$I194=O$2), 'ProductSprint Backlog'!$F194, TRUE, 0)</f>
        <v>0</v>
      </c>
      <c r="P194" s="4" cm="1">
        <f t="array" ref="P194">_xlfn.IFS('ProductSprint Backlog'!$F194="", "", AND('ProductSprint Backlog'!$J194&gt;P$2,'ProductSprint Backlog'!$I194&lt;=P$2), 'ProductSprint Backlog'!$F194 / MAX(1, 'ProductSprint Backlog'!$J194-'ProductSprint Backlog'!$I194), AND('ProductSprint Backlog'!$J194=P$2,'ProductSprint Backlog'!$I194=P$2), 'ProductSprint Backlog'!$F194, TRUE, 0)</f>
        <v>0</v>
      </c>
      <c r="Q194" s="4" cm="1">
        <f t="array" ref="Q194">_xlfn.IFS('ProductSprint Backlog'!$F194="", "", AND('ProductSprint Backlog'!$J194&gt;Q$2,'ProductSprint Backlog'!$I194&lt;=Q$2), 'ProductSprint Backlog'!$F194 / MAX(1, 'ProductSprint Backlog'!$J194-'ProductSprint Backlog'!$I194), AND('ProductSprint Backlog'!$J194=Q$2,'ProductSprint Backlog'!$I194=Q$2), 'ProductSprint Backlog'!$F194, TRUE, 0)</f>
        <v>0</v>
      </c>
      <c r="R194" s="4" cm="1">
        <f t="array" ref="R194">_xlfn.IFS('ProductSprint Backlog'!$F194="", "", AND('ProductSprint Backlog'!$J194&gt;R$2,'ProductSprint Backlog'!$I194&lt;=R$2), 'ProductSprint Backlog'!$F194 / MAX(1, 'ProductSprint Backlog'!$J194-'ProductSprint Backlog'!$I194), AND('ProductSprint Backlog'!$J194=R$2,'ProductSprint Backlog'!$I194=R$2), 'ProductSprint Backlog'!$F194, TRUE, 0)</f>
        <v>0</v>
      </c>
      <c r="S194" s="4" cm="1">
        <f t="array" ref="S194">_xlfn.IFS('ProductSprint Backlog'!$F194="", "", AND('ProductSprint Backlog'!$J194&gt;S$2,'ProductSprint Backlog'!$I194&lt;=S$2), 'ProductSprint Backlog'!$F194 / MAX(1, 'ProductSprint Backlog'!$J194-'ProductSprint Backlog'!$I194), AND('ProductSprint Backlog'!$J194=S$2,'ProductSprint Backlog'!$I194=S$2), 'ProductSprint Backlog'!$F194, TRUE, 0)</f>
        <v>0</v>
      </c>
      <c r="T194" s="4" cm="1">
        <f t="array" ref="T194">_xlfn.IFS('ProductSprint Backlog'!$F194="", "", AND('ProductSprint Backlog'!$J194&gt;T$2,'ProductSprint Backlog'!$I194&lt;=T$2), 'ProductSprint Backlog'!$F194 / MAX(1, 'ProductSprint Backlog'!$J194-'ProductSprint Backlog'!$I194), AND('ProductSprint Backlog'!$J194=T$2,'ProductSprint Backlog'!$I194=T$2), 'ProductSprint Backlog'!$F194, TRUE, 0)</f>
        <v>0</v>
      </c>
    </row>
    <row r="195" spans="2:20" x14ac:dyDescent="0.2">
      <c r="B195" s="4" cm="1">
        <f t="array" ref="B195">_xlfn.IFS('ProductSprint Backlog'!$F195="", "", AND('ProductSprint Backlog'!$J195&gt;B$2,'ProductSprint Backlog'!$I195&lt;=B$2), 'ProductSprint Backlog'!$F195 / MAX(1, 'ProductSprint Backlog'!$J195-'ProductSprint Backlog'!$I195), AND('ProductSprint Backlog'!$J195=B$2,'ProductSprint Backlog'!$I195=B$2), 'ProductSprint Backlog'!$F195, TRUE, 0)</f>
        <v>0</v>
      </c>
      <c r="C195" s="4" cm="1">
        <f t="array" ref="C195">_xlfn.IFS('ProductSprint Backlog'!$F195="", "", AND('ProductSprint Backlog'!$J195&gt;C$2,'ProductSprint Backlog'!$I195&lt;=C$2), 'ProductSprint Backlog'!$F195 / MAX(1, 'ProductSprint Backlog'!$J195-'ProductSprint Backlog'!$I195), AND('ProductSprint Backlog'!$J195=C$2,'ProductSprint Backlog'!$I195=C$2), 'ProductSprint Backlog'!$F195, TRUE, 0)</f>
        <v>0</v>
      </c>
      <c r="D195" s="4" cm="1">
        <f t="array" ref="D195">_xlfn.IFS('ProductSprint Backlog'!$F195="", "", AND('ProductSprint Backlog'!$J195&gt;D$2,'ProductSprint Backlog'!$I195&lt;=D$2), 'ProductSprint Backlog'!$F195 / MAX(1, 'ProductSprint Backlog'!$J195-'ProductSprint Backlog'!$I195), AND('ProductSprint Backlog'!$J195=D$2,'ProductSprint Backlog'!$I195=D$2), 'ProductSprint Backlog'!$F195, TRUE, 0)</f>
        <v>0</v>
      </c>
      <c r="E195" s="4" cm="1">
        <f t="array" ref="E195">_xlfn.IFS('ProductSprint Backlog'!$F195="", "", AND('ProductSprint Backlog'!$J195&gt;E$2,'ProductSprint Backlog'!$I195&lt;=E$2), 'ProductSprint Backlog'!$F195 / MAX(1, 'ProductSprint Backlog'!$J195-'ProductSprint Backlog'!$I195), AND('ProductSprint Backlog'!$J195=E$2,'ProductSprint Backlog'!$I195=E$2), 'ProductSprint Backlog'!$F195, TRUE, 0)</f>
        <v>0</v>
      </c>
      <c r="F195" s="4" cm="1">
        <f t="array" ref="F195">_xlfn.IFS('ProductSprint Backlog'!$F195="", "", AND('ProductSprint Backlog'!$J195&gt;F$2,'ProductSprint Backlog'!$I195&lt;=F$2), 'ProductSprint Backlog'!$F195 / MAX(1, 'ProductSprint Backlog'!$J195-'ProductSprint Backlog'!$I195), AND('ProductSprint Backlog'!$J195=F$2,'ProductSprint Backlog'!$I195=F$2), 'ProductSprint Backlog'!$F195, TRUE, 0)</f>
        <v>0</v>
      </c>
      <c r="G195" s="4" cm="1">
        <f t="array" ref="G195">_xlfn.IFS('ProductSprint Backlog'!$F195="", "", AND('ProductSprint Backlog'!$J195&gt;G$2,'ProductSprint Backlog'!$I195&lt;=G$2), 'ProductSprint Backlog'!$F195 / MAX(1, 'ProductSprint Backlog'!$J195-'ProductSprint Backlog'!$I195), AND('ProductSprint Backlog'!$J195=G$2,'ProductSprint Backlog'!$I195=G$2), 'ProductSprint Backlog'!$F195, TRUE, 0)</f>
        <v>0</v>
      </c>
      <c r="H195" s="4" cm="1">
        <f t="array" ref="H195">_xlfn.IFS('ProductSprint Backlog'!$F195="", "", AND('ProductSprint Backlog'!$J195&gt;H$2,'ProductSprint Backlog'!$I195&lt;=H$2), 'ProductSprint Backlog'!$F195 / MAX(1, 'ProductSprint Backlog'!$J195-'ProductSprint Backlog'!$I195), AND('ProductSprint Backlog'!$J195=H$2,'ProductSprint Backlog'!$I195=H$2), 'ProductSprint Backlog'!$F195, TRUE, 0)</f>
        <v>0</v>
      </c>
      <c r="I195" s="4" cm="1">
        <f t="array" ref="I195">_xlfn.IFS('ProductSprint Backlog'!$F195="", "", AND('ProductSprint Backlog'!$J195&gt;I$2,'ProductSprint Backlog'!$I195&lt;=I$2), 'ProductSprint Backlog'!$F195 / MAX(1, 'ProductSprint Backlog'!$J195-'ProductSprint Backlog'!$I195), AND('ProductSprint Backlog'!$J195=I$2,'ProductSprint Backlog'!$I195=I$2), 'ProductSprint Backlog'!$F195, TRUE, 0)</f>
        <v>0</v>
      </c>
      <c r="J195" s="4" cm="1">
        <f t="array" ref="J195">_xlfn.IFS('ProductSprint Backlog'!$F195="", "", AND('ProductSprint Backlog'!$J195&gt;J$2,'ProductSprint Backlog'!$I195&lt;=J$2), 'ProductSprint Backlog'!$F195 / MAX(1, 'ProductSprint Backlog'!$J195-'ProductSprint Backlog'!$I195), AND('ProductSprint Backlog'!$J195=J$2,'ProductSprint Backlog'!$I195=J$2), 'ProductSprint Backlog'!$F195, TRUE, 0)</f>
        <v>0</v>
      </c>
      <c r="K195" s="4" cm="1">
        <f t="array" ref="K195">_xlfn.IFS('ProductSprint Backlog'!$F195="", "", AND('ProductSprint Backlog'!$J195&gt;K$2,'ProductSprint Backlog'!$I195&lt;=K$2), 'ProductSprint Backlog'!$F195 / MAX(1, 'ProductSprint Backlog'!$J195-'ProductSprint Backlog'!$I195), AND('ProductSprint Backlog'!$J195=K$2,'ProductSprint Backlog'!$I195=K$2), 'ProductSprint Backlog'!$F195, TRUE, 0)</f>
        <v>0</v>
      </c>
      <c r="L195" s="4" cm="1">
        <f t="array" ref="L195">_xlfn.IFS('ProductSprint Backlog'!$F195="", "", AND('ProductSprint Backlog'!$J195&gt;L$2,'ProductSprint Backlog'!$I195&lt;=L$2), 'ProductSprint Backlog'!$F195 / MAX(1, 'ProductSprint Backlog'!$J195-'ProductSprint Backlog'!$I195), AND('ProductSprint Backlog'!$J195=L$2,'ProductSprint Backlog'!$I195=L$2), 'ProductSprint Backlog'!$F195, TRUE, 0)</f>
        <v>0</v>
      </c>
      <c r="M195" s="4" cm="1">
        <f t="array" ref="M195">_xlfn.IFS('ProductSprint Backlog'!$F195="", "", AND('ProductSprint Backlog'!$J195&gt;M$2,'ProductSprint Backlog'!$I195&lt;=M$2), 'ProductSprint Backlog'!$F195 / MAX(1, 'ProductSprint Backlog'!$J195-'ProductSprint Backlog'!$I195), AND('ProductSprint Backlog'!$J195=M$2,'ProductSprint Backlog'!$I195=M$2), 'ProductSprint Backlog'!$F195, TRUE, 0)</f>
        <v>0</v>
      </c>
      <c r="N195" s="4" cm="1">
        <f t="array" ref="N195">_xlfn.IFS('ProductSprint Backlog'!$F195="", "", AND('ProductSprint Backlog'!$J195&gt;N$2,'ProductSprint Backlog'!$I195&lt;=N$2), 'ProductSprint Backlog'!$F195 / MAX(1, 'ProductSprint Backlog'!$J195-'ProductSprint Backlog'!$I195), AND('ProductSprint Backlog'!$J195=N$2,'ProductSprint Backlog'!$I195=N$2), 'ProductSprint Backlog'!$F195, TRUE, 0)</f>
        <v>0</v>
      </c>
      <c r="O195" s="4" cm="1">
        <f t="array" ref="O195">_xlfn.IFS('ProductSprint Backlog'!$F195="", "", AND('ProductSprint Backlog'!$J195&gt;O$2,'ProductSprint Backlog'!$I195&lt;=O$2), 'ProductSprint Backlog'!$F195 / MAX(1, 'ProductSprint Backlog'!$J195-'ProductSprint Backlog'!$I195), AND('ProductSprint Backlog'!$J195=O$2,'ProductSprint Backlog'!$I195=O$2), 'ProductSprint Backlog'!$F195, TRUE, 0)</f>
        <v>0</v>
      </c>
      <c r="P195" s="4" cm="1">
        <f t="array" ref="P195">_xlfn.IFS('ProductSprint Backlog'!$F195="", "", AND('ProductSprint Backlog'!$J195&gt;P$2,'ProductSprint Backlog'!$I195&lt;=P$2), 'ProductSprint Backlog'!$F195 / MAX(1, 'ProductSprint Backlog'!$J195-'ProductSprint Backlog'!$I195), AND('ProductSprint Backlog'!$J195=P$2,'ProductSprint Backlog'!$I195=P$2), 'ProductSprint Backlog'!$F195, TRUE, 0)</f>
        <v>0</v>
      </c>
      <c r="Q195" s="4" cm="1">
        <f t="array" ref="Q195">_xlfn.IFS('ProductSprint Backlog'!$F195="", "", AND('ProductSprint Backlog'!$J195&gt;Q$2,'ProductSprint Backlog'!$I195&lt;=Q$2), 'ProductSprint Backlog'!$F195 / MAX(1, 'ProductSprint Backlog'!$J195-'ProductSprint Backlog'!$I195), AND('ProductSprint Backlog'!$J195=Q$2,'ProductSprint Backlog'!$I195=Q$2), 'ProductSprint Backlog'!$F195, TRUE, 0)</f>
        <v>0</v>
      </c>
      <c r="R195" s="4" cm="1">
        <f t="array" ref="R195">_xlfn.IFS('ProductSprint Backlog'!$F195="", "", AND('ProductSprint Backlog'!$J195&gt;R$2,'ProductSprint Backlog'!$I195&lt;=R$2), 'ProductSprint Backlog'!$F195 / MAX(1, 'ProductSprint Backlog'!$J195-'ProductSprint Backlog'!$I195), AND('ProductSprint Backlog'!$J195=R$2,'ProductSprint Backlog'!$I195=R$2), 'ProductSprint Backlog'!$F195, TRUE, 0)</f>
        <v>0</v>
      </c>
      <c r="S195" s="4" cm="1">
        <f t="array" ref="S195">_xlfn.IFS('ProductSprint Backlog'!$F195="", "", AND('ProductSprint Backlog'!$J195&gt;S$2,'ProductSprint Backlog'!$I195&lt;=S$2), 'ProductSprint Backlog'!$F195 / MAX(1, 'ProductSprint Backlog'!$J195-'ProductSprint Backlog'!$I195), AND('ProductSprint Backlog'!$J195=S$2,'ProductSprint Backlog'!$I195=S$2), 'ProductSprint Backlog'!$F195, TRUE, 0)</f>
        <v>0</v>
      </c>
      <c r="T195" s="4" cm="1">
        <f t="array" ref="T195">_xlfn.IFS('ProductSprint Backlog'!$F195="", "", AND('ProductSprint Backlog'!$J195&gt;T$2,'ProductSprint Backlog'!$I195&lt;=T$2), 'ProductSprint Backlog'!$F195 / MAX(1, 'ProductSprint Backlog'!$J195-'ProductSprint Backlog'!$I195), AND('ProductSprint Backlog'!$J195=T$2,'ProductSprint Backlog'!$I195=T$2), 'ProductSprint Backlog'!$F195, TRUE, 0)</f>
        <v>0</v>
      </c>
    </row>
    <row r="196" spans="2:20" x14ac:dyDescent="0.2">
      <c r="B196" s="4" cm="1">
        <f t="array" ref="B196">_xlfn.IFS('ProductSprint Backlog'!$F196="", "", AND('ProductSprint Backlog'!$J196&gt;B$2,'ProductSprint Backlog'!$I196&lt;=B$2), 'ProductSprint Backlog'!$F196 / MAX(1, 'ProductSprint Backlog'!$J196-'ProductSprint Backlog'!$I196), AND('ProductSprint Backlog'!$J196=B$2,'ProductSprint Backlog'!$I196=B$2), 'ProductSprint Backlog'!$F196, TRUE, 0)</f>
        <v>0</v>
      </c>
      <c r="C196" s="4" cm="1">
        <f t="array" ref="C196">_xlfn.IFS('ProductSprint Backlog'!$F196="", "", AND('ProductSprint Backlog'!$J196&gt;C$2,'ProductSprint Backlog'!$I196&lt;=C$2), 'ProductSprint Backlog'!$F196 / MAX(1, 'ProductSprint Backlog'!$J196-'ProductSprint Backlog'!$I196), AND('ProductSprint Backlog'!$J196=C$2,'ProductSprint Backlog'!$I196=C$2), 'ProductSprint Backlog'!$F196, TRUE, 0)</f>
        <v>0</v>
      </c>
      <c r="D196" s="4" cm="1">
        <f t="array" ref="D196">_xlfn.IFS('ProductSprint Backlog'!$F196="", "", AND('ProductSprint Backlog'!$J196&gt;D$2,'ProductSprint Backlog'!$I196&lt;=D$2), 'ProductSprint Backlog'!$F196 / MAX(1, 'ProductSprint Backlog'!$J196-'ProductSprint Backlog'!$I196), AND('ProductSprint Backlog'!$J196=D$2,'ProductSprint Backlog'!$I196=D$2), 'ProductSprint Backlog'!$F196, TRUE, 0)</f>
        <v>0</v>
      </c>
      <c r="E196" s="4" cm="1">
        <f t="array" ref="E196">_xlfn.IFS('ProductSprint Backlog'!$F196="", "", AND('ProductSprint Backlog'!$J196&gt;E$2,'ProductSprint Backlog'!$I196&lt;=E$2), 'ProductSprint Backlog'!$F196 / MAX(1, 'ProductSprint Backlog'!$J196-'ProductSprint Backlog'!$I196), AND('ProductSprint Backlog'!$J196=E$2,'ProductSprint Backlog'!$I196=E$2), 'ProductSprint Backlog'!$F196, TRUE, 0)</f>
        <v>0</v>
      </c>
      <c r="F196" s="4" cm="1">
        <f t="array" ref="F196">_xlfn.IFS('ProductSprint Backlog'!$F196="", "", AND('ProductSprint Backlog'!$J196&gt;F$2,'ProductSprint Backlog'!$I196&lt;=F$2), 'ProductSprint Backlog'!$F196 / MAX(1, 'ProductSprint Backlog'!$J196-'ProductSprint Backlog'!$I196), AND('ProductSprint Backlog'!$J196=F$2,'ProductSprint Backlog'!$I196=F$2), 'ProductSprint Backlog'!$F196, TRUE, 0)</f>
        <v>0</v>
      </c>
      <c r="G196" s="4" cm="1">
        <f t="array" ref="G196">_xlfn.IFS('ProductSprint Backlog'!$F196="", "", AND('ProductSprint Backlog'!$J196&gt;G$2,'ProductSprint Backlog'!$I196&lt;=G$2), 'ProductSprint Backlog'!$F196 / MAX(1, 'ProductSprint Backlog'!$J196-'ProductSprint Backlog'!$I196), AND('ProductSprint Backlog'!$J196=G$2,'ProductSprint Backlog'!$I196=G$2), 'ProductSprint Backlog'!$F196, TRUE, 0)</f>
        <v>0</v>
      </c>
      <c r="H196" s="4" cm="1">
        <f t="array" ref="H196">_xlfn.IFS('ProductSprint Backlog'!$F196="", "", AND('ProductSprint Backlog'!$J196&gt;H$2,'ProductSprint Backlog'!$I196&lt;=H$2), 'ProductSprint Backlog'!$F196 / MAX(1, 'ProductSprint Backlog'!$J196-'ProductSprint Backlog'!$I196), AND('ProductSprint Backlog'!$J196=H$2,'ProductSprint Backlog'!$I196=H$2), 'ProductSprint Backlog'!$F196, TRUE, 0)</f>
        <v>0</v>
      </c>
      <c r="I196" s="4" cm="1">
        <f t="array" ref="I196">_xlfn.IFS('ProductSprint Backlog'!$F196="", "", AND('ProductSprint Backlog'!$J196&gt;I$2,'ProductSprint Backlog'!$I196&lt;=I$2), 'ProductSprint Backlog'!$F196 / MAX(1, 'ProductSprint Backlog'!$J196-'ProductSprint Backlog'!$I196), AND('ProductSprint Backlog'!$J196=I$2,'ProductSprint Backlog'!$I196=I$2), 'ProductSprint Backlog'!$F196, TRUE, 0)</f>
        <v>0</v>
      </c>
      <c r="J196" s="4" cm="1">
        <f t="array" ref="J196">_xlfn.IFS('ProductSprint Backlog'!$F196="", "", AND('ProductSprint Backlog'!$J196&gt;J$2,'ProductSprint Backlog'!$I196&lt;=J$2), 'ProductSprint Backlog'!$F196 / MAX(1, 'ProductSprint Backlog'!$J196-'ProductSprint Backlog'!$I196), AND('ProductSprint Backlog'!$J196=J$2,'ProductSprint Backlog'!$I196=J$2), 'ProductSprint Backlog'!$F196, TRUE, 0)</f>
        <v>0</v>
      </c>
      <c r="K196" s="4" cm="1">
        <f t="array" ref="K196">_xlfn.IFS('ProductSprint Backlog'!$F196="", "", AND('ProductSprint Backlog'!$J196&gt;K$2,'ProductSprint Backlog'!$I196&lt;=K$2), 'ProductSprint Backlog'!$F196 / MAX(1, 'ProductSprint Backlog'!$J196-'ProductSprint Backlog'!$I196), AND('ProductSprint Backlog'!$J196=K$2,'ProductSprint Backlog'!$I196=K$2), 'ProductSprint Backlog'!$F196, TRUE, 0)</f>
        <v>0</v>
      </c>
      <c r="L196" s="4" cm="1">
        <f t="array" ref="L196">_xlfn.IFS('ProductSprint Backlog'!$F196="", "", AND('ProductSprint Backlog'!$J196&gt;L$2,'ProductSprint Backlog'!$I196&lt;=L$2), 'ProductSprint Backlog'!$F196 / MAX(1, 'ProductSprint Backlog'!$J196-'ProductSprint Backlog'!$I196), AND('ProductSprint Backlog'!$J196=L$2,'ProductSprint Backlog'!$I196=L$2), 'ProductSprint Backlog'!$F196, TRUE, 0)</f>
        <v>0</v>
      </c>
      <c r="M196" s="4" cm="1">
        <f t="array" ref="M196">_xlfn.IFS('ProductSprint Backlog'!$F196="", "", AND('ProductSprint Backlog'!$J196&gt;M$2,'ProductSprint Backlog'!$I196&lt;=M$2), 'ProductSprint Backlog'!$F196 / MAX(1, 'ProductSprint Backlog'!$J196-'ProductSprint Backlog'!$I196), AND('ProductSprint Backlog'!$J196=M$2,'ProductSprint Backlog'!$I196=M$2), 'ProductSprint Backlog'!$F196, TRUE, 0)</f>
        <v>0</v>
      </c>
      <c r="N196" s="4" cm="1">
        <f t="array" ref="N196">_xlfn.IFS('ProductSprint Backlog'!$F196="", "", AND('ProductSprint Backlog'!$J196&gt;N$2,'ProductSprint Backlog'!$I196&lt;=N$2), 'ProductSprint Backlog'!$F196 / MAX(1, 'ProductSprint Backlog'!$J196-'ProductSprint Backlog'!$I196), AND('ProductSprint Backlog'!$J196=N$2,'ProductSprint Backlog'!$I196=N$2), 'ProductSprint Backlog'!$F196, TRUE, 0)</f>
        <v>0</v>
      </c>
      <c r="O196" s="4" cm="1">
        <f t="array" ref="O196">_xlfn.IFS('ProductSprint Backlog'!$F196="", "", AND('ProductSprint Backlog'!$J196&gt;O$2,'ProductSprint Backlog'!$I196&lt;=O$2), 'ProductSprint Backlog'!$F196 / MAX(1, 'ProductSprint Backlog'!$J196-'ProductSprint Backlog'!$I196), AND('ProductSprint Backlog'!$J196=O$2,'ProductSprint Backlog'!$I196=O$2), 'ProductSprint Backlog'!$F196, TRUE, 0)</f>
        <v>0</v>
      </c>
      <c r="P196" s="4" cm="1">
        <f t="array" ref="P196">_xlfn.IFS('ProductSprint Backlog'!$F196="", "", AND('ProductSprint Backlog'!$J196&gt;P$2,'ProductSprint Backlog'!$I196&lt;=P$2), 'ProductSprint Backlog'!$F196 / MAX(1, 'ProductSprint Backlog'!$J196-'ProductSprint Backlog'!$I196), AND('ProductSprint Backlog'!$J196=P$2,'ProductSprint Backlog'!$I196=P$2), 'ProductSprint Backlog'!$F196, TRUE, 0)</f>
        <v>0</v>
      </c>
      <c r="Q196" s="4" cm="1">
        <f t="array" ref="Q196">_xlfn.IFS('ProductSprint Backlog'!$F196="", "", AND('ProductSprint Backlog'!$J196&gt;Q$2,'ProductSprint Backlog'!$I196&lt;=Q$2), 'ProductSprint Backlog'!$F196 / MAX(1, 'ProductSprint Backlog'!$J196-'ProductSprint Backlog'!$I196), AND('ProductSprint Backlog'!$J196=Q$2,'ProductSprint Backlog'!$I196=Q$2), 'ProductSprint Backlog'!$F196, TRUE, 0)</f>
        <v>0</v>
      </c>
      <c r="R196" s="4" cm="1">
        <f t="array" ref="R196">_xlfn.IFS('ProductSprint Backlog'!$F196="", "", AND('ProductSprint Backlog'!$J196&gt;R$2,'ProductSprint Backlog'!$I196&lt;=R$2), 'ProductSprint Backlog'!$F196 / MAX(1, 'ProductSprint Backlog'!$J196-'ProductSprint Backlog'!$I196), AND('ProductSprint Backlog'!$J196=R$2,'ProductSprint Backlog'!$I196=R$2), 'ProductSprint Backlog'!$F196, TRUE, 0)</f>
        <v>0</v>
      </c>
      <c r="S196" s="4" cm="1">
        <f t="array" ref="S196">_xlfn.IFS('ProductSprint Backlog'!$F196="", "", AND('ProductSprint Backlog'!$J196&gt;S$2,'ProductSprint Backlog'!$I196&lt;=S$2), 'ProductSprint Backlog'!$F196 / MAX(1, 'ProductSprint Backlog'!$J196-'ProductSprint Backlog'!$I196), AND('ProductSprint Backlog'!$J196=S$2,'ProductSprint Backlog'!$I196=S$2), 'ProductSprint Backlog'!$F196, TRUE, 0)</f>
        <v>0</v>
      </c>
      <c r="T196" s="4" cm="1">
        <f t="array" ref="T196">_xlfn.IFS('ProductSprint Backlog'!$F196="", "", AND('ProductSprint Backlog'!$J196&gt;T$2,'ProductSprint Backlog'!$I196&lt;=T$2), 'ProductSprint Backlog'!$F196 / MAX(1, 'ProductSprint Backlog'!$J196-'ProductSprint Backlog'!$I196), AND('ProductSprint Backlog'!$J196=T$2,'ProductSprint Backlog'!$I196=T$2), 'ProductSprint Backlog'!$F196, TRUE, 0)</f>
        <v>0</v>
      </c>
    </row>
    <row r="197" spans="2:20" x14ac:dyDescent="0.2">
      <c r="B197" s="4" cm="1">
        <f t="array" ref="B197">_xlfn.IFS('ProductSprint Backlog'!$F197="", "", AND('ProductSprint Backlog'!$J197&gt;B$2,'ProductSprint Backlog'!$I197&lt;=B$2), 'ProductSprint Backlog'!$F197 / MAX(1, 'ProductSprint Backlog'!$J197-'ProductSprint Backlog'!$I197), AND('ProductSprint Backlog'!$J197=B$2,'ProductSprint Backlog'!$I197=B$2), 'ProductSprint Backlog'!$F197, TRUE, 0)</f>
        <v>0</v>
      </c>
      <c r="C197" s="4" cm="1">
        <f t="array" ref="C197">_xlfn.IFS('ProductSprint Backlog'!$F197="", "", AND('ProductSprint Backlog'!$J197&gt;C$2,'ProductSprint Backlog'!$I197&lt;=C$2), 'ProductSprint Backlog'!$F197 / MAX(1, 'ProductSprint Backlog'!$J197-'ProductSprint Backlog'!$I197), AND('ProductSprint Backlog'!$J197=C$2,'ProductSprint Backlog'!$I197=C$2), 'ProductSprint Backlog'!$F197, TRUE, 0)</f>
        <v>0</v>
      </c>
      <c r="D197" s="4" cm="1">
        <f t="array" ref="D197">_xlfn.IFS('ProductSprint Backlog'!$F197="", "", AND('ProductSprint Backlog'!$J197&gt;D$2,'ProductSprint Backlog'!$I197&lt;=D$2), 'ProductSprint Backlog'!$F197 / MAX(1, 'ProductSprint Backlog'!$J197-'ProductSprint Backlog'!$I197), AND('ProductSprint Backlog'!$J197=D$2,'ProductSprint Backlog'!$I197=D$2), 'ProductSprint Backlog'!$F197, TRUE, 0)</f>
        <v>0</v>
      </c>
      <c r="E197" s="4" cm="1">
        <f t="array" ref="E197">_xlfn.IFS('ProductSprint Backlog'!$F197="", "", AND('ProductSprint Backlog'!$J197&gt;E$2,'ProductSprint Backlog'!$I197&lt;=E$2), 'ProductSprint Backlog'!$F197 / MAX(1, 'ProductSprint Backlog'!$J197-'ProductSprint Backlog'!$I197), AND('ProductSprint Backlog'!$J197=E$2,'ProductSprint Backlog'!$I197=E$2), 'ProductSprint Backlog'!$F197, TRUE, 0)</f>
        <v>0</v>
      </c>
      <c r="F197" s="4" cm="1">
        <f t="array" ref="F197">_xlfn.IFS('ProductSprint Backlog'!$F197="", "", AND('ProductSprint Backlog'!$J197&gt;F$2,'ProductSprint Backlog'!$I197&lt;=F$2), 'ProductSprint Backlog'!$F197 / MAX(1, 'ProductSprint Backlog'!$J197-'ProductSprint Backlog'!$I197), AND('ProductSprint Backlog'!$J197=F$2,'ProductSprint Backlog'!$I197=F$2), 'ProductSprint Backlog'!$F197, TRUE, 0)</f>
        <v>0</v>
      </c>
      <c r="G197" s="4" cm="1">
        <f t="array" ref="G197">_xlfn.IFS('ProductSprint Backlog'!$F197="", "", AND('ProductSprint Backlog'!$J197&gt;G$2,'ProductSprint Backlog'!$I197&lt;=G$2), 'ProductSprint Backlog'!$F197 / MAX(1, 'ProductSprint Backlog'!$J197-'ProductSprint Backlog'!$I197), AND('ProductSprint Backlog'!$J197=G$2,'ProductSprint Backlog'!$I197=G$2), 'ProductSprint Backlog'!$F197, TRUE, 0)</f>
        <v>0</v>
      </c>
      <c r="H197" s="4" cm="1">
        <f t="array" ref="H197">_xlfn.IFS('ProductSprint Backlog'!$F197="", "", AND('ProductSprint Backlog'!$J197&gt;H$2,'ProductSprint Backlog'!$I197&lt;=H$2), 'ProductSprint Backlog'!$F197 / MAX(1, 'ProductSprint Backlog'!$J197-'ProductSprint Backlog'!$I197), AND('ProductSprint Backlog'!$J197=H$2,'ProductSprint Backlog'!$I197=H$2), 'ProductSprint Backlog'!$F197, TRUE, 0)</f>
        <v>0</v>
      </c>
      <c r="I197" s="4" cm="1">
        <f t="array" ref="I197">_xlfn.IFS('ProductSprint Backlog'!$F197="", "", AND('ProductSprint Backlog'!$J197&gt;I$2,'ProductSprint Backlog'!$I197&lt;=I$2), 'ProductSprint Backlog'!$F197 / MAX(1, 'ProductSprint Backlog'!$J197-'ProductSprint Backlog'!$I197), AND('ProductSprint Backlog'!$J197=I$2,'ProductSprint Backlog'!$I197=I$2), 'ProductSprint Backlog'!$F197, TRUE, 0)</f>
        <v>0</v>
      </c>
      <c r="J197" s="4" cm="1">
        <f t="array" ref="J197">_xlfn.IFS('ProductSprint Backlog'!$F197="", "", AND('ProductSprint Backlog'!$J197&gt;J$2,'ProductSprint Backlog'!$I197&lt;=J$2), 'ProductSprint Backlog'!$F197 / MAX(1, 'ProductSprint Backlog'!$J197-'ProductSprint Backlog'!$I197), AND('ProductSprint Backlog'!$J197=J$2,'ProductSprint Backlog'!$I197=J$2), 'ProductSprint Backlog'!$F197, TRUE, 0)</f>
        <v>0</v>
      </c>
      <c r="K197" s="4" cm="1">
        <f t="array" ref="K197">_xlfn.IFS('ProductSprint Backlog'!$F197="", "", AND('ProductSprint Backlog'!$J197&gt;K$2,'ProductSprint Backlog'!$I197&lt;=K$2), 'ProductSprint Backlog'!$F197 / MAX(1, 'ProductSprint Backlog'!$J197-'ProductSprint Backlog'!$I197), AND('ProductSprint Backlog'!$J197=K$2,'ProductSprint Backlog'!$I197=K$2), 'ProductSprint Backlog'!$F197, TRUE, 0)</f>
        <v>0</v>
      </c>
      <c r="L197" s="4" cm="1">
        <f t="array" ref="L197">_xlfn.IFS('ProductSprint Backlog'!$F197="", "", AND('ProductSprint Backlog'!$J197&gt;L$2,'ProductSprint Backlog'!$I197&lt;=L$2), 'ProductSprint Backlog'!$F197 / MAX(1, 'ProductSprint Backlog'!$J197-'ProductSprint Backlog'!$I197), AND('ProductSprint Backlog'!$J197=L$2,'ProductSprint Backlog'!$I197=L$2), 'ProductSprint Backlog'!$F197, TRUE, 0)</f>
        <v>0</v>
      </c>
      <c r="M197" s="4" cm="1">
        <f t="array" ref="M197">_xlfn.IFS('ProductSprint Backlog'!$F197="", "", AND('ProductSprint Backlog'!$J197&gt;M$2,'ProductSprint Backlog'!$I197&lt;=M$2), 'ProductSprint Backlog'!$F197 / MAX(1, 'ProductSprint Backlog'!$J197-'ProductSprint Backlog'!$I197), AND('ProductSprint Backlog'!$J197=M$2,'ProductSprint Backlog'!$I197=M$2), 'ProductSprint Backlog'!$F197, TRUE, 0)</f>
        <v>0</v>
      </c>
      <c r="N197" s="4" cm="1">
        <f t="array" ref="N197">_xlfn.IFS('ProductSprint Backlog'!$F197="", "", AND('ProductSprint Backlog'!$J197&gt;N$2,'ProductSprint Backlog'!$I197&lt;=N$2), 'ProductSprint Backlog'!$F197 / MAX(1, 'ProductSprint Backlog'!$J197-'ProductSprint Backlog'!$I197), AND('ProductSprint Backlog'!$J197=N$2,'ProductSprint Backlog'!$I197=N$2), 'ProductSprint Backlog'!$F197, TRUE, 0)</f>
        <v>0</v>
      </c>
      <c r="O197" s="4" cm="1">
        <f t="array" ref="O197">_xlfn.IFS('ProductSprint Backlog'!$F197="", "", AND('ProductSprint Backlog'!$J197&gt;O$2,'ProductSprint Backlog'!$I197&lt;=O$2), 'ProductSprint Backlog'!$F197 / MAX(1, 'ProductSprint Backlog'!$J197-'ProductSprint Backlog'!$I197), AND('ProductSprint Backlog'!$J197=O$2,'ProductSprint Backlog'!$I197=O$2), 'ProductSprint Backlog'!$F197, TRUE, 0)</f>
        <v>0</v>
      </c>
      <c r="P197" s="4" cm="1">
        <f t="array" ref="P197">_xlfn.IFS('ProductSprint Backlog'!$F197="", "", AND('ProductSprint Backlog'!$J197&gt;P$2,'ProductSprint Backlog'!$I197&lt;=P$2), 'ProductSprint Backlog'!$F197 / MAX(1, 'ProductSprint Backlog'!$J197-'ProductSprint Backlog'!$I197), AND('ProductSprint Backlog'!$J197=P$2,'ProductSprint Backlog'!$I197=P$2), 'ProductSprint Backlog'!$F197, TRUE, 0)</f>
        <v>0</v>
      </c>
      <c r="Q197" s="4" cm="1">
        <f t="array" ref="Q197">_xlfn.IFS('ProductSprint Backlog'!$F197="", "", AND('ProductSprint Backlog'!$J197&gt;Q$2,'ProductSprint Backlog'!$I197&lt;=Q$2), 'ProductSprint Backlog'!$F197 / MAX(1, 'ProductSprint Backlog'!$J197-'ProductSprint Backlog'!$I197), AND('ProductSprint Backlog'!$J197=Q$2,'ProductSprint Backlog'!$I197=Q$2), 'ProductSprint Backlog'!$F197, TRUE, 0)</f>
        <v>0</v>
      </c>
      <c r="R197" s="4" cm="1">
        <f t="array" ref="R197">_xlfn.IFS('ProductSprint Backlog'!$F197="", "", AND('ProductSprint Backlog'!$J197&gt;R$2,'ProductSprint Backlog'!$I197&lt;=R$2), 'ProductSprint Backlog'!$F197 / MAX(1, 'ProductSprint Backlog'!$J197-'ProductSprint Backlog'!$I197), AND('ProductSprint Backlog'!$J197=R$2,'ProductSprint Backlog'!$I197=R$2), 'ProductSprint Backlog'!$F197, TRUE, 0)</f>
        <v>0</v>
      </c>
      <c r="S197" s="4" cm="1">
        <f t="array" ref="S197">_xlfn.IFS('ProductSprint Backlog'!$F197="", "", AND('ProductSprint Backlog'!$J197&gt;S$2,'ProductSprint Backlog'!$I197&lt;=S$2), 'ProductSprint Backlog'!$F197 / MAX(1, 'ProductSprint Backlog'!$J197-'ProductSprint Backlog'!$I197), AND('ProductSprint Backlog'!$J197=S$2,'ProductSprint Backlog'!$I197=S$2), 'ProductSprint Backlog'!$F197, TRUE, 0)</f>
        <v>0</v>
      </c>
      <c r="T197" s="4" cm="1">
        <f t="array" ref="T197">_xlfn.IFS('ProductSprint Backlog'!$F197="", "", AND('ProductSprint Backlog'!$J197&gt;T$2,'ProductSprint Backlog'!$I197&lt;=T$2), 'ProductSprint Backlog'!$F197 / MAX(1, 'ProductSprint Backlog'!$J197-'ProductSprint Backlog'!$I197), AND('ProductSprint Backlog'!$J197=T$2,'ProductSprint Backlog'!$I197=T$2), 'ProductSprint Backlog'!$F197, TRUE, 0)</f>
        <v>0</v>
      </c>
    </row>
    <row r="198" spans="2:20" x14ac:dyDescent="0.2">
      <c r="B198" s="4" cm="1">
        <f t="array" ref="B198">_xlfn.IFS('ProductSprint Backlog'!$F198="", "", AND('ProductSprint Backlog'!$J198&gt;B$2,'ProductSprint Backlog'!$I198&lt;=B$2), 'ProductSprint Backlog'!$F198 / MAX(1, 'ProductSprint Backlog'!$J198-'ProductSprint Backlog'!$I198), AND('ProductSprint Backlog'!$J198=B$2,'ProductSprint Backlog'!$I198=B$2), 'ProductSprint Backlog'!$F198, TRUE, 0)</f>
        <v>0</v>
      </c>
      <c r="C198" s="4" cm="1">
        <f t="array" ref="C198">_xlfn.IFS('ProductSprint Backlog'!$F198="", "", AND('ProductSprint Backlog'!$J198&gt;C$2,'ProductSprint Backlog'!$I198&lt;=C$2), 'ProductSprint Backlog'!$F198 / MAX(1, 'ProductSprint Backlog'!$J198-'ProductSprint Backlog'!$I198), AND('ProductSprint Backlog'!$J198=C$2,'ProductSprint Backlog'!$I198=C$2), 'ProductSprint Backlog'!$F198, TRUE, 0)</f>
        <v>0</v>
      </c>
      <c r="D198" s="4" cm="1">
        <f t="array" ref="D198">_xlfn.IFS('ProductSprint Backlog'!$F198="", "", AND('ProductSprint Backlog'!$J198&gt;D$2,'ProductSprint Backlog'!$I198&lt;=D$2), 'ProductSprint Backlog'!$F198 / MAX(1, 'ProductSprint Backlog'!$J198-'ProductSprint Backlog'!$I198), AND('ProductSprint Backlog'!$J198=D$2,'ProductSprint Backlog'!$I198=D$2), 'ProductSprint Backlog'!$F198, TRUE, 0)</f>
        <v>0</v>
      </c>
      <c r="E198" s="4" cm="1">
        <f t="array" ref="E198">_xlfn.IFS('ProductSprint Backlog'!$F198="", "", AND('ProductSprint Backlog'!$J198&gt;E$2,'ProductSprint Backlog'!$I198&lt;=E$2), 'ProductSprint Backlog'!$F198 / MAX(1, 'ProductSprint Backlog'!$J198-'ProductSprint Backlog'!$I198), AND('ProductSprint Backlog'!$J198=E$2,'ProductSprint Backlog'!$I198=E$2), 'ProductSprint Backlog'!$F198, TRUE, 0)</f>
        <v>0</v>
      </c>
      <c r="F198" s="4" cm="1">
        <f t="array" ref="F198">_xlfn.IFS('ProductSprint Backlog'!$F198="", "", AND('ProductSprint Backlog'!$J198&gt;F$2,'ProductSprint Backlog'!$I198&lt;=F$2), 'ProductSprint Backlog'!$F198 / MAX(1, 'ProductSprint Backlog'!$J198-'ProductSprint Backlog'!$I198), AND('ProductSprint Backlog'!$J198=F$2,'ProductSprint Backlog'!$I198=F$2), 'ProductSprint Backlog'!$F198, TRUE, 0)</f>
        <v>0</v>
      </c>
      <c r="G198" s="4" cm="1">
        <f t="array" ref="G198">_xlfn.IFS('ProductSprint Backlog'!$F198="", "", AND('ProductSprint Backlog'!$J198&gt;G$2,'ProductSprint Backlog'!$I198&lt;=G$2), 'ProductSprint Backlog'!$F198 / MAX(1, 'ProductSprint Backlog'!$J198-'ProductSprint Backlog'!$I198), AND('ProductSprint Backlog'!$J198=G$2,'ProductSprint Backlog'!$I198=G$2), 'ProductSprint Backlog'!$F198, TRUE, 0)</f>
        <v>0</v>
      </c>
      <c r="H198" s="4" cm="1">
        <f t="array" ref="H198">_xlfn.IFS('ProductSprint Backlog'!$F198="", "", AND('ProductSprint Backlog'!$J198&gt;H$2,'ProductSprint Backlog'!$I198&lt;=H$2), 'ProductSprint Backlog'!$F198 / MAX(1, 'ProductSprint Backlog'!$J198-'ProductSprint Backlog'!$I198), AND('ProductSprint Backlog'!$J198=H$2,'ProductSprint Backlog'!$I198=H$2), 'ProductSprint Backlog'!$F198, TRUE, 0)</f>
        <v>0</v>
      </c>
      <c r="I198" s="4" cm="1">
        <f t="array" ref="I198">_xlfn.IFS('ProductSprint Backlog'!$F198="", "", AND('ProductSprint Backlog'!$J198&gt;I$2,'ProductSprint Backlog'!$I198&lt;=I$2), 'ProductSprint Backlog'!$F198 / MAX(1, 'ProductSprint Backlog'!$J198-'ProductSprint Backlog'!$I198), AND('ProductSprint Backlog'!$J198=I$2,'ProductSprint Backlog'!$I198=I$2), 'ProductSprint Backlog'!$F198, TRUE, 0)</f>
        <v>0</v>
      </c>
      <c r="J198" s="4" cm="1">
        <f t="array" ref="J198">_xlfn.IFS('ProductSprint Backlog'!$F198="", "", AND('ProductSprint Backlog'!$J198&gt;J$2,'ProductSprint Backlog'!$I198&lt;=J$2), 'ProductSprint Backlog'!$F198 / MAX(1, 'ProductSprint Backlog'!$J198-'ProductSprint Backlog'!$I198), AND('ProductSprint Backlog'!$J198=J$2,'ProductSprint Backlog'!$I198=J$2), 'ProductSprint Backlog'!$F198, TRUE, 0)</f>
        <v>0</v>
      </c>
      <c r="K198" s="4" cm="1">
        <f t="array" ref="K198">_xlfn.IFS('ProductSprint Backlog'!$F198="", "", AND('ProductSprint Backlog'!$J198&gt;K$2,'ProductSprint Backlog'!$I198&lt;=K$2), 'ProductSprint Backlog'!$F198 / MAX(1, 'ProductSprint Backlog'!$J198-'ProductSprint Backlog'!$I198), AND('ProductSprint Backlog'!$J198=K$2,'ProductSprint Backlog'!$I198=K$2), 'ProductSprint Backlog'!$F198, TRUE, 0)</f>
        <v>0</v>
      </c>
      <c r="L198" s="4" cm="1">
        <f t="array" ref="L198">_xlfn.IFS('ProductSprint Backlog'!$F198="", "", AND('ProductSprint Backlog'!$J198&gt;L$2,'ProductSprint Backlog'!$I198&lt;=L$2), 'ProductSprint Backlog'!$F198 / MAX(1, 'ProductSprint Backlog'!$J198-'ProductSprint Backlog'!$I198), AND('ProductSprint Backlog'!$J198=L$2,'ProductSprint Backlog'!$I198=L$2), 'ProductSprint Backlog'!$F198, TRUE, 0)</f>
        <v>0</v>
      </c>
      <c r="M198" s="4" cm="1">
        <f t="array" ref="M198">_xlfn.IFS('ProductSprint Backlog'!$F198="", "", AND('ProductSprint Backlog'!$J198&gt;M$2,'ProductSprint Backlog'!$I198&lt;=M$2), 'ProductSprint Backlog'!$F198 / MAX(1, 'ProductSprint Backlog'!$J198-'ProductSprint Backlog'!$I198), AND('ProductSprint Backlog'!$J198=M$2,'ProductSprint Backlog'!$I198=M$2), 'ProductSprint Backlog'!$F198, TRUE, 0)</f>
        <v>0</v>
      </c>
      <c r="N198" s="4" cm="1">
        <f t="array" ref="N198">_xlfn.IFS('ProductSprint Backlog'!$F198="", "", AND('ProductSprint Backlog'!$J198&gt;N$2,'ProductSprint Backlog'!$I198&lt;=N$2), 'ProductSprint Backlog'!$F198 / MAX(1, 'ProductSprint Backlog'!$J198-'ProductSprint Backlog'!$I198), AND('ProductSprint Backlog'!$J198=N$2,'ProductSprint Backlog'!$I198=N$2), 'ProductSprint Backlog'!$F198, TRUE, 0)</f>
        <v>0</v>
      </c>
      <c r="O198" s="4" cm="1">
        <f t="array" ref="O198">_xlfn.IFS('ProductSprint Backlog'!$F198="", "", AND('ProductSprint Backlog'!$J198&gt;O$2,'ProductSprint Backlog'!$I198&lt;=O$2), 'ProductSprint Backlog'!$F198 / MAX(1, 'ProductSprint Backlog'!$J198-'ProductSprint Backlog'!$I198), AND('ProductSprint Backlog'!$J198=O$2,'ProductSprint Backlog'!$I198=O$2), 'ProductSprint Backlog'!$F198, TRUE, 0)</f>
        <v>0</v>
      </c>
      <c r="P198" s="4" cm="1">
        <f t="array" ref="P198">_xlfn.IFS('ProductSprint Backlog'!$F198="", "", AND('ProductSprint Backlog'!$J198&gt;P$2,'ProductSprint Backlog'!$I198&lt;=P$2), 'ProductSprint Backlog'!$F198 / MAX(1, 'ProductSprint Backlog'!$J198-'ProductSprint Backlog'!$I198), AND('ProductSprint Backlog'!$J198=P$2,'ProductSprint Backlog'!$I198=P$2), 'ProductSprint Backlog'!$F198, TRUE, 0)</f>
        <v>0</v>
      </c>
      <c r="Q198" s="4" cm="1">
        <f t="array" ref="Q198">_xlfn.IFS('ProductSprint Backlog'!$F198="", "", AND('ProductSprint Backlog'!$J198&gt;Q$2,'ProductSprint Backlog'!$I198&lt;=Q$2), 'ProductSprint Backlog'!$F198 / MAX(1, 'ProductSprint Backlog'!$J198-'ProductSprint Backlog'!$I198), AND('ProductSprint Backlog'!$J198=Q$2,'ProductSprint Backlog'!$I198=Q$2), 'ProductSprint Backlog'!$F198, TRUE, 0)</f>
        <v>0</v>
      </c>
      <c r="R198" s="4" cm="1">
        <f t="array" ref="R198">_xlfn.IFS('ProductSprint Backlog'!$F198="", "", AND('ProductSprint Backlog'!$J198&gt;R$2,'ProductSprint Backlog'!$I198&lt;=R$2), 'ProductSprint Backlog'!$F198 / MAX(1, 'ProductSprint Backlog'!$J198-'ProductSprint Backlog'!$I198), AND('ProductSprint Backlog'!$J198=R$2,'ProductSprint Backlog'!$I198=R$2), 'ProductSprint Backlog'!$F198, TRUE, 0)</f>
        <v>0</v>
      </c>
      <c r="S198" s="4" cm="1">
        <f t="array" ref="S198">_xlfn.IFS('ProductSprint Backlog'!$F198="", "", AND('ProductSprint Backlog'!$J198&gt;S$2,'ProductSprint Backlog'!$I198&lt;=S$2), 'ProductSprint Backlog'!$F198 / MAX(1, 'ProductSprint Backlog'!$J198-'ProductSprint Backlog'!$I198), AND('ProductSprint Backlog'!$J198=S$2,'ProductSprint Backlog'!$I198=S$2), 'ProductSprint Backlog'!$F198, TRUE, 0)</f>
        <v>0</v>
      </c>
      <c r="T198" s="4" cm="1">
        <f t="array" ref="T198">_xlfn.IFS('ProductSprint Backlog'!$F198="", "", AND('ProductSprint Backlog'!$J198&gt;T$2,'ProductSprint Backlog'!$I198&lt;=T$2), 'ProductSprint Backlog'!$F198 / MAX(1, 'ProductSprint Backlog'!$J198-'ProductSprint Backlog'!$I198), AND('ProductSprint Backlog'!$J198=T$2,'ProductSprint Backlog'!$I198=T$2), 'ProductSprint Backlog'!$F198, TRUE, 0)</f>
        <v>0</v>
      </c>
    </row>
    <row r="199" spans="2:20" x14ac:dyDescent="0.2">
      <c r="B199" s="4" cm="1">
        <f t="array" ref="B199">_xlfn.IFS('ProductSprint Backlog'!$F199="", "", AND('ProductSprint Backlog'!$J199&gt;B$2,'ProductSprint Backlog'!$I199&lt;=B$2), 'ProductSprint Backlog'!$F199 / MAX(1, 'ProductSprint Backlog'!$J199-'ProductSprint Backlog'!$I199), AND('ProductSprint Backlog'!$J199=B$2,'ProductSprint Backlog'!$I199=B$2), 'ProductSprint Backlog'!$F199, TRUE, 0)</f>
        <v>0</v>
      </c>
      <c r="C199" s="4" cm="1">
        <f t="array" ref="C199">_xlfn.IFS('ProductSprint Backlog'!$F199="", "", AND('ProductSprint Backlog'!$J199&gt;C$2,'ProductSprint Backlog'!$I199&lt;=C$2), 'ProductSprint Backlog'!$F199 / MAX(1, 'ProductSprint Backlog'!$J199-'ProductSprint Backlog'!$I199), AND('ProductSprint Backlog'!$J199=C$2,'ProductSprint Backlog'!$I199=C$2), 'ProductSprint Backlog'!$F199, TRUE, 0)</f>
        <v>0</v>
      </c>
      <c r="D199" s="4" cm="1">
        <f t="array" ref="D199">_xlfn.IFS('ProductSprint Backlog'!$F199="", "", AND('ProductSprint Backlog'!$J199&gt;D$2,'ProductSprint Backlog'!$I199&lt;=D$2), 'ProductSprint Backlog'!$F199 / MAX(1, 'ProductSprint Backlog'!$J199-'ProductSprint Backlog'!$I199), AND('ProductSprint Backlog'!$J199=D$2,'ProductSprint Backlog'!$I199=D$2), 'ProductSprint Backlog'!$F199, TRUE, 0)</f>
        <v>0</v>
      </c>
      <c r="E199" s="4" cm="1">
        <f t="array" ref="E199">_xlfn.IFS('ProductSprint Backlog'!$F199="", "", AND('ProductSprint Backlog'!$J199&gt;E$2,'ProductSprint Backlog'!$I199&lt;=E$2), 'ProductSprint Backlog'!$F199 / MAX(1, 'ProductSprint Backlog'!$J199-'ProductSprint Backlog'!$I199), AND('ProductSprint Backlog'!$J199=E$2,'ProductSprint Backlog'!$I199=E$2), 'ProductSprint Backlog'!$F199, TRUE, 0)</f>
        <v>0</v>
      </c>
      <c r="F199" s="4" cm="1">
        <f t="array" ref="F199">_xlfn.IFS('ProductSprint Backlog'!$F199="", "", AND('ProductSprint Backlog'!$J199&gt;F$2,'ProductSprint Backlog'!$I199&lt;=F$2), 'ProductSprint Backlog'!$F199 / MAX(1, 'ProductSprint Backlog'!$J199-'ProductSprint Backlog'!$I199), AND('ProductSprint Backlog'!$J199=F$2,'ProductSprint Backlog'!$I199=F$2), 'ProductSprint Backlog'!$F199, TRUE, 0)</f>
        <v>0</v>
      </c>
      <c r="G199" s="4" cm="1">
        <f t="array" ref="G199">_xlfn.IFS('ProductSprint Backlog'!$F199="", "", AND('ProductSprint Backlog'!$J199&gt;G$2,'ProductSprint Backlog'!$I199&lt;=G$2), 'ProductSprint Backlog'!$F199 / MAX(1, 'ProductSprint Backlog'!$J199-'ProductSprint Backlog'!$I199), AND('ProductSprint Backlog'!$J199=G$2,'ProductSprint Backlog'!$I199=G$2), 'ProductSprint Backlog'!$F199, TRUE, 0)</f>
        <v>0</v>
      </c>
      <c r="H199" s="4" cm="1">
        <f t="array" ref="H199">_xlfn.IFS('ProductSprint Backlog'!$F199="", "", AND('ProductSprint Backlog'!$J199&gt;H$2,'ProductSprint Backlog'!$I199&lt;=H$2), 'ProductSprint Backlog'!$F199 / MAX(1, 'ProductSprint Backlog'!$J199-'ProductSprint Backlog'!$I199), AND('ProductSprint Backlog'!$J199=H$2,'ProductSprint Backlog'!$I199=H$2), 'ProductSprint Backlog'!$F199, TRUE, 0)</f>
        <v>0</v>
      </c>
      <c r="I199" s="4" cm="1">
        <f t="array" ref="I199">_xlfn.IFS('ProductSprint Backlog'!$F199="", "", AND('ProductSprint Backlog'!$J199&gt;I$2,'ProductSprint Backlog'!$I199&lt;=I$2), 'ProductSprint Backlog'!$F199 / MAX(1, 'ProductSprint Backlog'!$J199-'ProductSprint Backlog'!$I199), AND('ProductSprint Backlog'!$J199=I$2,'ProductSprint Backlog'!$I199=I$2), 'ProductSprint Backlog'!$F199, TRUE, 0)</f>
        <v>0</v>
      </c>
      <c r="J199" s="4" cm="1">
        <f t="array" ref="J199">_xlfn.IFS('ProductSprint Backlog'!$F199="", "", AND('ProductSprint Backlog'!$J199&gt;J$2,'ProductSprint Backlog'!$I199&lt;=J$2), 'ProductSprint Backlog'!$F199 / MAX(1, 'ProductSprint Backlog'!$J199-'ProductSprint Backlog'!$I199), AND('ProductSprint Backlog'!$J199=J$2,'ProductSprint Backlog'!$I199=J$2), 'ProductSprint Backlog'!$F199, TRUE, 0)</f>
        <v>0</v>
      </c>
      <c r="K199" s="4" cm="1">
        <f t="array" ref="K199">_xlfn.IFS('ProductSprint Backlog'!$F199="", "", AND('ProductSprint Backlog'!$J199&gt;K$2,'ProductSprint Backlog'!$I199&lt;=K$2), 'ProductSprint Backlog'!$F199 / MAX(1, 'ProductSprint Backlog'!$J199-'ProductSprint Backlog'!$I199), AND('ProductSprint Backlog'!$J199=K$2,'ProductSprint Backlog'!$I199=K$2), 'ProductSprint Backlog'!$F199, TRUE, 0)</f>
        <v>0</v>
      </c>
      <c r="L199" s="4" cm="1">
        <f t="array" ref="L199">_xlfn.IFS('ProductSprint Backlog'!$F199="", "", AND('ProductSprint Backlog'!$J199&gt;L$2,'ProductSprint Backlog'!$I199&lt;=L$2), 'ProductSprint Backlog'!$F199 / MAX(1, 'ProductSprint Backlog'!$J199-'ProductSprint Backlog'!$I199), AND('ProductSprint Backlog'!$J199=L$2,'ProductSprint Backlog'!$I199=L$2), 'ProductSprint Backlog'!$F199, TRUE, 0)</f>
        <v>0</v>
      </c>
      <c r="M199" s="4" cm="1">
        <f t="array" ref="M199">_xlfn.IFS('ProductSprint Backlog'!$F199="", "", AND('ProductSprint Backlog'!$J199&gt;M$2,'ProductSprint Backlog'!$I199&lt;=M$2), 'ProductSprint Backlog'!$F199 / MAX(1, 'ProductSprint Backlog'!$J199-'ProductSprint Backlog'!$I199), AND('ProductSprint Backlog'!$J199=M$2,'ProductSprint Backlog'!$I199=M$2), 'ProductSprint Backlog'!$F199, TRUE, 0)</f>
        <v>0</v>
      </c>
      <c r="N199" s="4" cm="1">
        <f t="array" ref="N199">_xlfn.IFS('ProductSprint Backlog'!$F199="", "", AND('ProductSprint Backlog'!$J199&gt;N$2,'ProductSprint Backlog'!$I199&lt;=N$2), 'ProductSprint Backlog'!$F199 / MAX(1, 'ProductSprint Backlog'!$J199-'ProductSprint Backlog'!$I199), AND('ProductSprint Backlog'!$J199=N$2,'ProductSprint Backlog'!$I199=N$2), 'ProductSprint Backlog'!$F199, TRUE, 0)</f>
        <v>0</v>
      </c>
      <c r="O199" s="4" cm="1">
        <f t="array" ref="O199">_xlfn.IFS('ProductSprint Backlog'!$F199="", "", AND('ProductSprint Backlog'!$J199&gt;O$2,'ProductSprint Backlog'!$I199&lt;=O$2), 'ProductSprint Backlog'!$F199 / MAX(1, 'ProductSprint Backlog'!$J199-'ProductSprint Backlog'!$I199), AND('ProductSprint Backlog'!$J199=O$2,'ProductSprint Backlog'!$I199=O$2), 'ProductSprint Backlog'!$F199, TRUE, 0)</f>
        <v>0</v>
      </c>
      <c r="P199" s="4" cm="1">
        <f t="array" ref="P199">_xlfn.IFS('ProductSprint Backlog'!$F199="", "", AND('ProductSprint Backlog'!$J199&gt;P$2,'ProductSprint Backlog'!$I199&lt;=P$2), 'ProductSprint Backlog'!$F199 / MAX(1, 'ProductSprint Backlog'!$J199-'ProductSprint Backlog'!$I199), AND('ProductSprint Backlog'!$J199=P$2,'ProductSprint Backlog'!$I199=P$2), 'ProductSprint Backlog'!$F199, TRUE, 0)</f>
        <v>0</v>
      </c>
      <c r="Q199" s="4" cm="1">
        <f t="array" ref="Q199">_xlfn.IFS('ProductSprint Backlog'!$F199="", "", AND('ProductSprint Backlog'!$J199&gt;Q$2,'ProductSprint Backlog'!$I199&lt;=Q$2), 'ProductSprint Backlog'!$F199 / MAX(1, 'ProductSprint Backlog'!$J199-'ProductSprint Backlog'!$I199), AND('ProductSprint Backlog'!$J199=Q$2,'ProductSprint Backlog'!$I199=Q$2), 'ProductSprint Backlog'!$F199, TRUE, 0)</f>
        <v>0</v>
      </c>
      <c r="R199" s="4" cm="1">
        <f t="array" ref="R199">_xlfn.IFS('ProductSprint Backlog'!$F199="", "", AND('ProductSprint Backlog'!$J199&gt;R$2,'ProductSprint Backlog'!$I199&lt;=R$2), 'ProductSprint Backlog'!$F199 / MAX(1, 'ProductSprint Backlog'!$J199-'ProductSprint Backlog'!$I199), AND('ProductSprint Backlog'!$J199=R$2,'ProductSprint Backlog'!$I199=R$2), 'ProductSprint Backlog'!$F199, TRUE, 0)</f>
        <v>0</v>
      </c>
      <c r="S199" s="4" cm="1">
        <f t="array" ref="S199">_xlfn.IFS('ProductSprint Backlog'!$F199="", "", AND('ProductSprint Backlog'!$J199&gt;S$2,'ProductSprint Backlog'!$I199&lt;=S$2), 'ProductSprint Backlog'!$F199 / MAX(1, 'ProductSprint Backlog'!$J199-'ProductSprint Backlog'!$I199), AND('ProductSprint Backlog'!$J199=S$2,'ProductSprint Backlog'!$I199=S$2), 'ProductSprint Backlog'!$F199, TRUE, 0)</f>
        <v>0</v>
      </c>
      <c r="T199" s="4" cm="1">
        <f t="array" ref="T199">_xlfn.IFS('ProductSprint Backlog'!$F199="", "", AND('ProductSprint Backlog'!$J199&gt;T$2,'ProductSprint Backlog'!$I199&lt;=T$2), 'ProductSprint Backlog'!$F199 / MAX(1, 'ProductSprint Backlog'!$J199-'ProductSprint Backlog'!$I199), AND('ProductSprint Backlog'!$J199=T$2,'ProductSprint Backlog'!$I199=T$2), 'ProductSprint Backlog'!$F199, TRUE, 0)</f>
        <v>0</v>
      </c>
    </row>
    <row r="200" spans="2:20" x14ac:dyDescent="0.2">
      <c r="B200" s="4" cm="1">
        <f t="array" ref="B200">_xlfn.IFS('ProductSprint Backlog'!$F200="", "", AND('ProductSprint Backlog'!$J200&gt;B$2,'ProductSprint Backlog'!$I200&lt;=B$2), 'ProductSprint Backlog'!$F200 / MAX(1, 'ProductSprint Backlog'!$J200-'ProductSprint Backlog'!$I200), AND('ProductSprint Backlog'!$J200=B$2,'ProductSprint Backlog'!$I200=B$2), 'ProductSprint Backlog'!$F200, TRUE, 0)</f>
        <v>0</v>
      </c>
      <c r="C200" s="4" cm="1">
        <f t="array" ref="C200">_xlfn.IFS('ProductSprint Backlog'!$F200="", "", AND('ProductSprint Backlog'!$J200&gt;C$2,'ProductSprint Backlog'!$I200&lt;=C$2), 'ProductSprint Backlog'!$F200 / MAX(1, 'ProductSprint Backlog'!$J200-'ProductSprint Backlog'!$I200), AND('ProductSprint Backlog'!$J200=C$2,'ProductSprint Backlog'!$I200=C$2), 'ProductSprint Backlog'!$F200, TRUE, 0)</f>
        <v>0</v>
      </c>
      <c r="D200" s="4" cm="1">
        <f t="array" ref="D200">_xlfn.IFS('ProductSprint Backlog'!$F200="", "", AND('ProductSprint Backlog'!$J200&gt;D$2,'ProductSprint Backlog'!$I200&lt;=D$2), 'ProductSprint Backlog'!$F200 / MAX(1, 'ProductSprint Backlog'!$J200-'ProductSprint Backlog'!$I200), AND('ProductSprint Backlog'!$J200=D$2,'ProductSprint Backlog'!$I200=D$2), 'ProductSprint Backlog'!$F200, TRUE, 0)</f>
        <v>0</v>
      </c>
      <c r="E200" s="4" cm="1">
        <f t="array" ref="E200">_xlfn.IFS('ProductSprint Backlog'!$F200="", "", AND('ProductSprint Backlog'!$J200&gt;E$2,'ProductSprint Backlog'!$I200&lt;=E$2), 'ProductSprint Backlog'!$F200 / MAX(1, 'ProductSprint Backlog'!$J200-'ProductSprint Backlog'!$I200), AND('ProductSprint Backlog'!$J200=E$2,'ProductSprint Backlog'!$I200=E$2), 'ProductSprint Backlog'!$F200, TRUE, 0)</f>
        <v>0</v>
      </c>
      <c r="F200" s="4" cm="1">
        <f t="array" ref="F200">_xlfn.IFS('ProductSprint Backlog'!$F200="", "", AND('ProductSprint Backlog'!$J200&gt;F$2,'ProductSprint Backlog'!$I200&lt;=F$2), 'ProductSprint Backlog'!$F200 / MAX(1, 'ProductSprint Backlog'!$J200-'ProductSprint Backlog'!$I200), AND('ProductSprint Backlog'!$J200=F$2,'ProductSprint Backlog'!$I200=F$2), 'ProductSprint Backlog'!$F200, TRUE, 0)</f>
        <v>0</v>
      </c>
      <c r="G200" s="4" cm="1">
        <f t="array" ref="G200">_xlfn.IFS('ProductSprint Backlog'!$F200="", "", AND('ProductSprint Backlog'!$J200&gt;G$2,'ProductSprint Backlog'!$I200&lt;=G$2), 'ProductSprint Backlog'!$F200 / MAX(1, 'ProductSprint Backlog'!$J200-'ProductSprint Backlog'!$I200), AND('ProductSprint Backlog'!$J200=G$2,'ProductSprint Backlog'!$I200=G$2), 'ProductSprint Backlog'!$F200, TRUE, 0)</f>
        <v>0</v>
      </c>
      <c r="H200" s="4" cm="1">
        <f t="array" ref="H200">_xlfn.IFS('ProductSprint Backlog'!$F200="", "", AND('ProductSprint Backlog'!$J200&gt;H$2,'ProductSprint Backlog'!$I200&lt;=H$2), 'ProductSprint Backlog'!$F200 / MAX(1, 'ProductSprint Backlog'!$J200-'ProductSprint Backlog'!$I200), AND('ProductSprint Backlog'!$J200=H$2,'ProductSprint Backlog'!$I200=H$2), 'ProductSprint Backlog'!$F200, TRUE, 0)</f>
        <v>0</v>
      </c>
      <c r="I200" s="4" cm="1">
        <f t="array" ref="I200">_xlfn.IFS('ProductSprint Backlog'!$F200="", "", AND('ProductSprint Backlog'!$J200&gt;I$2,'ProductSprint Backlog'!$I200&lt;=I$2), 'ProductSprint Backlog'!$F200 / MAX(1, 'ProductSprint Backlog'!$J200-'ProductSprint Backlog'!$I200), AND('ProductSprint Backlog'!$J200=I$2,'ProductSprint Backlog'!$I200=I$2), 'ProductSprint Backlog'!$F200, TRUE, 0)</f>
        <v>0</v>
      </c>
      <c r="J200" s="4" cm="1">
        <f t="array" ref="J200">_xlfn.IFS('ProductSprint Backlog'!$F200="", "", AND('ProductSprint Backlog'!$J200&gt;J$2,'ProductSprint Backlog'!$I200&lt;=J$2), 'ProductSprint Backlog'!$F200 / MAX(1, 'ProductSprint Backlog'!$J200-'ProductSprint Backlog'!$I200), AND('ProductSprint Backlog'!$J200=J$2,'ProductSprint Backlog'!$I200=J$2), 'ProductSprint Backlog'!$F200, TRUE, 0)</f>
        <v>0</v>
      </c>
      <c r="K200" s="4" cm="1">
        <f t="array" ref="K200">_xlfn.IFS('ProductSprint Backlog'!$F200="", "", AND('ProductSprint Backlog'!$J200&gt;K$2,'ProductSprint Backlog'!$I200&lt;=K$2), 'ProductSprint Backlog'!$F200 / MAX(1, 'ProductSprint Backlog'!$J200-'ProductSprint Backlog'!$I200), AND('ProductSprint Backlog'!$J200=K$2,'ProductSprint Backlog'!$I200=K$2), 'ProductSprint Backlog'!$F200, TRUE, 0)</f>
        <v>0</v>
      </c>
      <c r="L200" s="4" cm="1">
        <f t="array" ref="L200">_xlfn.IFS('ProductSprint Backlog'!$F200="", "", AND('ProductSprint Backlog'!$J200&gt;L$2,'ProductSprint Backlog'!$I200&lt;=L$2), 'ProductSprint Backlog'!$F200 / MAX(1, 'ProductSprint Backlog'!$J200-'ProductSprint Backlog'!$I200), AND('ProductSprint Backlog'!$J200=L$2,'ProductSprint Backlog'!$I200=L$2), 'ProductSprint Backlog'!$F200, TRUE, 0)</f>
        <v>0</v>
      </c>
      <c r="M200" s="4" cm="1">
        <f t="array" ref="M200">_xlfn.IFS('ProductSprint Backlog'!$F200="", "", AND('ProductSprint Backlog'!$J200&gt;M$2,'ProductSprint Backlog'!$I200&lt;=M$2), 'ProductSprint Backlog'!$F200 / MAX(1, 'ProductSprint Backlog'!$J200-'ProductSprint Backlog'!$I200), AND('ProductSprint Backlog'!$J200=M$2,'ProductSprint Backlog'!$I200=M$2), 'ProductSprint Backlog'!$F200, TRUE, 0)</f>
        <v>0</v>
      </c>
      <c r="N200" s="4" cm="1">
        <f t="array" ref="N200">_xlfn.IFS('ProductSprint Backlog'!$F200="", "", AND('ProductSprint Backlog'!$J200&gt;N$2,'ProductSprint Backlog'!$I200&lt;=N$2), 'ProductSprint Backlog'!$F200 / MAX(1, 'ProductSprint Backlog'!$J200-'ProductSprint Backlog'!$I200), AND('ProductSprint Backlog'!$J200=N$2,'ProductSprint Backlog'!$I200=N$2), 'ProductSprint Backlog'!$F200, TRUE, 0)</f>
        <v>0</v>
      </c>
      <c r="O200" s="4" cm="1">
        <f t="array" ref="O200">_xlfn.IFS('ProductSprint Backlog'!$F200="", "", AND('ProductSprint Backlog'!$J200&gt;O$2,'ProductSprint Backlog'!$I200&lt;=O$2), 'ProductSprint Backlog'!$F200 / MAX(1, 'ProductSprint Backlog'!$J200-'ProductSprint Backlog'!$I200), AND('ProductSprint Backlog'!$J200=O$2,'ProductSprint Backlog'!$I200=O$2), 'ProductSprint Backlog'!$F200, TRUE, 0)</f>
        <v>0</v>
      </c>
      <c r="P200" s="4" cm="1">
        <f t="array" ref="P200">_xlfn.IFS('ProductSprint Backlog'!$F200="", "", AND('ProductSprint Backlog'!$J200&gt;P$2,'ProductSprint Backlog'!$I200&lt;=P$2), 'ProductSprint Backlog'!$F200 / MAX(1, 'ProductSprint Backlog'!$J200-'ProductSprint Backlog'!$I200), AND('ProductSprint Backlog'!$J200=P$2,'ProductSprint Backlog'!$I200=P$2), 'ProductSprint Backlog'!$F200, TRUE, 0)</f>
        <v>0</v>
      </c>
      <c r="Q200" s="4" cm="1">
        <f t="array" ref="Q200">_xlfn.IFS('ProductSprint Backlog'!$F200="", "", AND('ProductSprint Backlog'!$J200&gt;Q$2,'ProductSprint Backlog'!$I200&lt;=Q$2), 'ProductSprint Backlog'!$F200 / MAX(1, 'ProductSprint Backlog'!$J200-'ProductSprint Backlog'!$I200), AND('ProductSprint Backlog'!$J200=Q$2,'ProductSprint Backlog'!$I200=Q$2), 'ProductSprint Backlog'!$F200, TRUE, 0)</f>
        <v>0</v>
      </c>
      <c r="R200" s="4" cm="1">
        <f t="array" ref="R200">_xlfn.IFS('ProductSprint Backlog'!$F200="", "", AND('ProductSprint Backlog'!$J200&gt;R$2,'ProductSprint Backlog'!$I200&lt;=R$2), 'ProductSprint Backlog'!$F200 / MAX(1, 'ProductSprint Backlog'!$J200-'ProductSprint Backlog'!$I200), AND('ProductSprint Backlog'!$J200=R$2,'ProductSprint Backlog'!$I200=R$2), 'ProductSprint Backlog'!$F200, TRUE, 0)</f>
        <v>0</v>
      </c>
      <c r="S200" s="4" cm="1">
        <f t="array" ref="S200">_xlfn.IFS('ProductSprint Backlog'!$F200="", "", AND('ProductSprint Backlog'!$J200&gt;S$2,'ProductSprint Backlog'!$I200&lt;=S$2), 'ProductSprint Backlog'!$F200 / MAX(1, 'ProductSprint Backlog'!$J200-'ProductSprint Backlog'!$I200), AND('ProductSprint Backlog'!$J200=S$2,'ProductSprint Backlog'!$I200=S$2), 'ProductSprint Backlog'!$F200, TRUE, 0)</f>
        <v>0</v>
      </c>
      <c r="T200" s="4" cm="1">
        <f t="array" ref="T200">_xlfn.IFS('ProductSprint Backlog'!$F200="", "", AND('ProductSprint Backlog'!$J200&gt;T$2,'ProductSprint Backlog'!$I200&lt;=T$2), 'ProductSprint Backlog'!$F200 / MAX(1, 'ProductSprint Backlog'!$J200-'ProductSprint Backlog'!$I200), AND('ProductSprint Backlog'!$J200=T$2,'ProductSprint Backlog'!$I200=T$2), 'ProductSprint Backlog'!$F200, TRUE, 0)</f>
        <v>0</v>
      </c>
    </row>
    <row r="201" spans="2:20" x14ac:dyDescent="0.2">
      <c r="B201" s="4" cm="1">
        <f t="array" ref="B201">_xlfn.IFS('ProductSprint Backlog'!$F201="", "", AND('ProductSprint Backlog'!$J201&gt;B$2,'ProductSprint Backlog'!$I201&lt;=B$2), 'ProductSprint Backlog'!$F201 / MAX(1, 'ProductSprint Backlog'!$J201-'ProductSprint Backlog'!$I201), AND('ProductSprint Backlog'!$J201=B$2,'ProductSprint Backlog'!$I201=B$2), 'ProductSprint Backlog'!$F201, TRUE, 0)</f>
        <v>0</v>
      </c>
      <c r="C201" s="4" cm="1">
        <f t="array" ref="C201">_xlfn.IFS('ProductSprint Backlog'!$F201="", "", AND('ProductSprint Backlog'!$J201&gt;C$2,'ProductSprint Backlog'!$I201&lt;=C$2), 'ProductSprint Backlog'!$F201 / MAX(1, 'ProductSprint Backlog'!$J201-'ProductSprint Backlog'!$I201), AND('ProductSprint Backlog'!$J201=C$2,'ProductSprint Backlog'!$I201=C$2), 'ProductSprint Backlog'!$F201, TRUE, 0)</f>
        <v>0</v>
      </c>
      <c r="D201" s="4" cm="1">
        <f t="array" ref="D201">_xlfn.IFS('ProductSprint Backlog'!$F201="", "", AND('ProductSprint Backlog'!$J201&gt;D$2,'ProductSprint Backlog'!$I201&lt;=D$2), 'ProductSprint Backlog'!$F201 / MAX(1, 'ProductSprint Backlog'!$J201-'ProductSprint Backlog'!$I201), AND('ProductSprint Backlog'!$J201=D$2,'ProductSprint Backlog'!$I201=D$2), 'ProductSprint Backlog'!$F201, TRUE, 0)</f>
        <v>0</v>
      </c>
      <c r="E201" s="4" cm="1">
        <f t="array" ref="E201">_xlfn.IFS('ProductSprint Backlog'!$F201="", "", AND('ProductSprint Backlog'!$J201&gt;E$2,'ProductSprint Backlog'!$I201&lt;=E$2), 'ProductSprint Backlog'!$F201 / MAX(1, 'ProductSprint Backlog'!$J201-'ProductSprint Backlog'!$I201), AND('ProductSprint Backlog'!$J201=E$2,'ProductSprint Backlog'!$I201=E$2), 'ProductSprint Backlog'!$F201, TRUE, 0)</f>
        <v>0</v>
      </c>
      <c r="F201" s="4" cm="1">
        <f t="array" ref="F201">_xlfn.IFS('ProductSprint Backlog'!$F201="", "", AND('ProductSprint Backlog'!$J201&gt;F$2,'ProductSprint Backlog'!$I201&lt;=F$2), 'ProductSprint Backlog'!$F201 / MAX(1, 'ProductSprint Backlog'!$J201-'ProductSprint Backlog'!$I201), AND('ProductSprint Backlog'!$J201=F$2,'ProductSprint Backlog'!$I201=F$2), 'ProductSprint Backlog'!$F201, TRUE, 0)</f>
        <v>0</v>
      </c>
      <c r="G201" s="4" cm="1">
        <f t="array" ref="G201">_xlfn.IFS('ProductSprint Backlog'!$F201="", "", AND('ProductSprint Backlog'!$J201&gt;G$2,'ProductSprint Backlog'!$I201&lt;=G$2), 'ProductSprint Backlog'!$F201 / MAX(1, 'ProductSprint Backlog'!$J201-'ProductSprint Backlog'!$I201), AND('ProductSprint Backlog'!$J201=G$2,'ProductSprint Backlog'!$I201=G$2), 'ProductSprint Backlog'!$F201, TRUE, 0)</f>
        <v>0</v>
      </c>
      <c r="H201" s="4" cm="1">
        <f t="array" ref="H201">_xlfn.IFS('ProductSprint Backlog'!$F201="", "", AND('ProductSprint Backlog'!$J201&gt;H$2,'ProductSprint Backlog'!$I201&lt;=H$2), 'ProductSprint Backlog'!$F201 / MAX(1, 'ProductSprint Backlog'!$J201-'ProductSprint Backlog'!$I201), AND('ProductSprint Backlog'!$J201=H$2,'ProductSprint Backlog'!$I201=H$2), 'ProductSprint Backlog'!$F201, TRUE, 0)</f>
        <v>0</v>
      </c>
      <c r="I201" s="4" cm="1">
        <f t="array" ref="I201">_xlfn.IFS('ProductSprint Backlog'!$F201="", "", AND('ProductSprint Backlog'!$J201&gt;I$2,'ProductSprint Backlog'!$I201&lt;=I$2), 'ProductSprint Backlog'!$F201 / MAX(1, 'ProductSprint Backlog'!$J201-'ProductSprint Backlog'!$I201), AND('ProductSprint Backlog'!$J201=I$2,'ProductSprint Backlog'!$I201=I$2), 'ProductSprint Backlog'!$F201, TRUE, 0)</f>
        <v>0</v>
      </c>
      <c r="J201" s="4" cm="1">
        <f t="array" ref="J201">_xlfn.IFS('ProductSprint Backlog'!$F201="", "", AND('ProductSprint Backlog'!$J201&gt;J$2,'ProductSprint Backlog'!$I201&lt;=J$2), 'ProductSprint Backlog'!$F201 / MAX(1, 'ProductSprint Backlog'!$J201-'ProductSprint Backlog'!$I201), AND('ProductSprint Backlog'!$J201=J$2,'ProductSprint Backlog'!$I201=J$2), 'ProductSprint Backlog'!$F201, TRUE, 0)</f>
        <v>0</v>
      </c>
      <c r="K201" s="4" cm="1">
        <f t="array" ref="K201">_xlfn.IFS('ProductSprint Backlog'!$F201="", "", AND('ProductSprint Backlog'!$J201&gt;K$2,'ProductSprint Backlog'!$I201&lt;=K$2), 'ProductSprint Backlog'!$F201 / MAX(1, 'ProductSprint Backlog'!$J201-'ProductSprint Backlog'!$I201), AND('ProductSprint Backlog'!$J201=K$2,'ProductSprint Backlog'!$I201=K$2), 'ProductSprint Backlog'!$F201, TRUE, 0)</f>
        <v>0</v>
      </c>
      <c r="L201" s="4" cm="1">
        <f t="array" ref="L201">_xlfn.IFS('ProductSprint Backlog'!$F201="", "", AND('ProductSprint Backlog'!$J201&gt;L$2,'ProductSprint Backlog'!$I201&lt;=L$2), 'ProductSprint Backlog'!$F201 / MAX(1, 'ProductSprint Backlog'!$J201-'ProductSprint Backlog'!$I201), AND('ProductSprint Backlog'!$J201=L$2,'ProductSprint Backlog'!$I201=L$2), 'ProductSprint Backlog'!$F201, TRUE, 0)</f>
        <v>0</v>
      </c>
      <c r="M201" s="4" cm="1">
        <f t="array" ref="M201">_xlfn.IFS('ProductSprint Backlog'!$F201="", "", AND('ProductSprint Backlog'!$J201&gt;M$2,'ProductSprint Backlog'!$I201&lt;=M$2), 'ProductSprint Backlog'!$F201 / MAX(1, 'ProductSprint Backlog'!$J201-'ProductSprint Backlog'!$I201), AND('ProductSprint Backlog'!$J201=M$2,'ProductSprint Backlog'!$I201=M$2), 'ProductSprint Backlog'!$F201, TRUE, 0)</f>
        <v>0</v>
      </c>
      <c r="N201" s="4" cm="1">
        <f t="array" ref="N201">_xlfn.IFS('ProductSprint Backlog'!$F201="", "", AND('ProductSprint Backlog'!$J201&gt;N$2,'ProductSprint Backlog'!$I201&lt;=N$2), 'ProductSprint Backlog'!$F201 / MAX(1, 'ProductSprint Backlog'!$J201-'ProductSprint Backlog'!$I201), AND('ProductSprint Backlog'!$J201=N$2,'ProductSprint Backlog'!$I201=N$2), 'ProductSprint Backlog'!$F201, TRUE, 0)</f>
        <v>0</v>
      </c>
      <c r="O201" s="4" cm="1">
        <f t="array" ref="O201">_xlfn.IFS('ProductSprint Backlog'!$F201="", "", AND('ProductSprint Backlog'!$J201&gt;O$2,'ProductSprint Backlog'!$I201&lt;=O$2), 'ProductSprint Backlog'!$F201 / MAX(1, 'ProductSprint Backlog'!$J201-'ProductSprint Backlog'!$I201), AND('ProductSprint Backlog'!$J201=O$2,'ProductSprint Backlog'!$I201=O$2), 'ProductSprint Backlog'!$F201, TRUE, 0)</f>
        <v>0</v>
      </c>
      <c r="P201" s="4" cm="1">
        <f t="array" ref="P201">_xlfn.IFS('ProductSprint Backlog'!$F201="", "", AND('ProductSprint Backlog'!$J201&gt;P$2,'ProductSprint Backlog'!$I201&lt;=P$2), 'ProductSprint Backlog'!$F201 / MAX(1, 'ProductSprint Backlog'!$J201-'ProductSprint Backlog'!$I201), AND('ProductSprint Backlog'!$J201=P$2,'ProductSprint Backlog'!$I201=P$2), 'ProductSprint Backlog'!$F201, TRUE, 0)</f>
        <v>0</v>
      </c>
      <c r="Q201" s="4" cm="1">
        <f t="array" ref="Q201">_xlfn.IFS('ProductSprint Backlog'!$F201="", "", AND('ProductSprint Backlog'!$J201&gt;Q$2,'ProductSprint Backlog'!$I201&lt;=Q$2), 'ProductSprint Backlog'!$F201 / MAX(1, 'ProductSprint Backlog'!$J201-'ProductSprint Backlog'!$I201), AND('ProductSprint Backlog'!$J201=Q$2,'ProductSprint Backlog'!$I201=Q$2), 'ProductSprint Backlog'!$F201, TRUE, 0)</f>
        <v>0</v>
      </c>
      <c r="R201" s="4" cm="1">
        <f t="array" ref="R201">_xlfn.IFS('ProductSprint Backlog'!$F201="", "", AND('ProductSprint Backlog'!$J201&gt;R$2,'ProductSprint Backlog'!$I201&lt;=R$2), 'ProductSprint Backlog'!$F201 / MAX(1, 'ProductSprint Backlog'!$J201-'ProductSprint Backlog'!$I201), AND('ProductSprint Backlog'!$J201=R$2,'ProductSprint Backlog'!$I201=R$2), 'ProductSprint Backlog'!$F201, TRUE, 0)</f>
        <v>0</v>
      </c>
      <c r="S201" s="4" cm="1">
        <f t="array" ref="S201">_xlfn.IFS('ProductSprint Backlog'!$F201="", "", AND('ProductSprint Backlog'!$J201&gt;S$2,'ProductSprint Backlog'!$I201&lt;=S$2), 'ProductSprint Backlog'!$F201 / MAX(1, 'ProductSprint Backlog'!$J201-'ProductSprint Backlog'!$I201), AND('ProductSprint Backlog'!$J201=S$2,'ProductSprint Backlog'!$I201=S$2), 'ProductSprint Backlog'!$F201, TRUE, 0)</f>
        <v>0</v>
      </c>
      <c r="T201" s="4" cm="1">
        <f t="array" ref="T201">_xlfn.IFS('ProductSprint Backlog'!$F201="", "", AND('ProductSprint Backlog'!$J201&gt;T$2,'ProductSprint Backlog'!$I201&lt;=T$2), 'ProductSprint Backlog'!$F201 / MAX(1, 'ProductSprint Backlog'!$J201-'ProductSprint Backlog'!$I201), AND('ProductSprint Backlog'!$J201=T$2,'ProductSprint Backlog'!$I201=T$2), 'ProductSprint Backlog'!$F201, TRUE, 0)</f>
        <v>0</v>
      </c>
    </row>
    <row r="202" spans="2:20" x14ac:dyDescent="0.2">
      <c r="B202" s="4" cm="1">
        <f t="array" ref="B202">_xlfn.IFS('ProductSprint Backlog'!$F202="", "", AND('ProductSprint Backlog'!$J202&gt;B$2,'ProductSprint Backlog'!$I202&lt;=B$2), 'ProductSprint Backlog'!$F202 / MAX(1, 'ProductSprint Backlog'!$J202-'ProductSprint Backlog'!$I202), AND('ProductSprint Backlog'!$J202=B$2,'ProductSprint Backlog'!$I202=B$2), 'ProductSprint Backlog'!$F202, TRUE, 0)</f>
        <v>0</v>
      </c>
      <c r="C202" s="4" cm="1">
        <f t="array" ref="C202">_xlfn.IFS('ProductSprint Backlog'!$F202="", "", AND('ProductSprint Backlog'!$J202&gt;C$2,'ProductSprint Backlog'!$I202&lt;=C$2), 'ProductSprint Backlog'!$F202 / MAX(1, 'ProductSprint Backlog'!$J202-'ProductSprint Backlog'!$I202), AND('ProductSprint Backlog'!$J202=C$2,'ProductSprint Backlog'!$I202=C$2), 'ProductSprint Backlog'!$F202, TRUE, 0)</f>
        <v>0</v>
      </c>
      <c r="D202" s="4" cm="1">
        <f t="array" ref="D202">_xlfn.IFS('ProductSprint Backlog'!$F202="", "", AND('ProductSprint Backlog'!$J202&gt;D$2,'ProductSprint Backlog'!$I202&lt;=D$2), 'ProductSprint Backlog'!$F202 / MAX(1, 'ProductSprint Backlog'!$J202-'ProductSprint Backlog'!$I202), AND('ProductSprint Backlog'!$J202=D$2,'ProductSprint Backlog'!$I202=D$2), 'ProductSprint Backlog'!$F202, TRUE, 0)</f>
        <v>0</v>
      </c>
      <c r="E202" s="4" cm="1">
        <f t="array" ref="E202">_xlfn.IFS('ProductSprint Backlog'!$F202="", "", AND('ProductSprint Backlog'!$J202&gt;E$2,'ProductSprint Backlog'!$I202&lt;=E$2), 'ProductSprint Backlog'!$F202 / MAX(1, 'ProductSprint Backlog'!$J202-'ProductSprint Backlog'!$I202), AND('ProductSprint Backlog'!$J202=E$2,'ProductSprint Backlog'!$I202=E$2), 'ProductSprint Backlog'!$F202, TRUE, 0)</f>
        <v>0</v>
      </c>
      <c r="F202" s="4" cm="1">
        <f t="array" ref="F202">_xlfn.IFS('ProductSprint Backlog'!$F202="", "", AND('ProductSprint Backlog'!$J202&gt;F$2,'ProductSprint Backlog'!$I202&lt;=F$2), 'ProductSprint Backlog'!$F202 / MAX(1, 'ProductSprint Backlog'!$J202-'ProductSprint Backlog'!$I202), AND('ProductSprint Backlog'!$J202=F$2,'ProductSprint Backlog'!$I202=F$2), 'ProductSprint Backlog'!$F202, TRUE, 0)</f>
        <v>0</v>
      </c>
      <c r="G202" s="4" cm="1">
        <f t="array" ref="G202">_xlfn.IFS('ProductSprint Backlog'!$F202="", "", AND('ProductSprint Backlog'!$J202&gt;G$2,'ProductSprint Backlog'!$I202&lt;=G$2), 'ProductSprint Backlog'!$F202 / MAX(1, 'ProductSprint Backlog'!$J202-'ProductSprint Backlog'!$I202), AND('ProductSprint Backlog'!$J202=G$2,'ProductSprint Backlog'!$I202=G$2), 'ProductSprint Backlog'!$F202, TRUE, 0)</f>
        <v>0</v>
      </c>
      <c r="H202" s="4" cm="1">
        <f t="array" ref="H202">_xlfn.IFS('ProductSprint Backlog'!$F202="", "", AND('ProductSprint Backlog'!$J202&gt;H$2,'ProductSprint Backlog'!$I202&lt;=H$2), 'ProductSprint Backlog'!$F202 / MAX(1, 'ProductSprint Backlog'!$J202-'ProductSprint Backlog'!$I202), AND('ProductSprint Backlog'!$J202=H$2,'ProductSprint Backlog'!$I202=H$2), 'ProductSprint Backlog'!$F202, TRUE, 0)</f>
        <v>0</v>
      </c>
      <c r="I202" s="4" cm="1">
        <f t="array" ref="I202">_xlfn.IFS('ProductSprint Backlog'!$F202="", "", AND('ProductSprint Backlog'!$J202&gt;I$2,'ProductSprint Backlog'!$I202&lt;=I$2), 'ProductSprint Backlog'!$F202 / MAX(1, 'ProductSprint Backlog'!$J202-'ProductSprint Backlog'!$I202), AND('ProductSprint Backlog'!$J202=I$2,'ProductSprint Backlog'!$I202=I$2), 'ProductSprint Backlog'!$F202, TRUE, 0)</f>
        <v>0</v>
      </c>
      <c r="J202" s="4" cm="1">
        <f t="array" ref="J202">_xlfn.IFS('ProductSprint Backlog'!$F202="", "", AND('ProductSprint Backlog'!$J202&gt;J$2,'ProductSprint Backlog'!$I202&lt;=J$2), 'ProductSprint Backlog'!$F202 / MAX(1, 'ProductSprint Backlog'!$J202-'ProductSprint Backlog'!$I202), AND('ProductSprint Backlog'!$J202=J$2,'ProductSprint Backlog'!$I202=J$2), 'ProductSprint Backlog'!$F202, TRUE, 0)</f>
        <v>0</v>
      </c>
      <c r="K202" s="4" cm="1">
        <f t="array" ref="K202">_xlfn.IFS('ProductSprint Backlog'!$F202="", "", AND('ProductSprint Backlog'!$J202&gt;K$2,'ProductSprint Backlog'!$I202&lt;=K$2), 'ProductSprint Backlog'!$F202 / MAX(1, 'ProductSprint Backlog'!$J202-'ProductSprint Backlog'!$I202), AND('ProductSprint Backlog'!$J202=K$2,'ProductSprint Backlog'!$I202=K$2), 'ProductSprint Backlog'!$F202, TRUE, 0)</f>
        <v>0</v>
      </c>
      <c r="L202" s="4" cm="1">
        <f t="array" ref="L202">_xlfn.IFS('ProductSprint Backlog'!$F202="", "", AND('ProductSprint Backlog'!$J202&gt;L$2,'ProductSprint Backlog'!$I202&lt;=L$2), 'ProductSprint Backlog'!$F202 / MAX(1, 'ProductSprint Backlog'!$J202-'ProductSprint Backlog'!$I202), AND('ProductSprint Backlog'!$J202=L$2,'ProductSprint Backlog'!$I202=L$2), 'ProductSprint Backlog'!$F202, TRUE, 0)</f>
        <v>0</v>
      </c>
      <c r="M202" s="4" cm="1">
        <f t="array" ref="M202">_xlfn.IFS('ProductSprint Backlog'!$F202="", "", AND('ProductSprint Backlog'!$J202&gt;M$2,'ProductSprint Backlog'!$I202&lt;=M$2), 'ProductSprint Backlog'!$F202 / MAX(1, 'ProductSprint Backlog'!$J202-'ProductSprint Backlog'!$I202), AND('ProductSprint Backlog'!$J202=M$2,'ProductSprint Backlog'!$I202=M$2), 'ProductSprint Backlog'!$F202, TRUE, 0)</f>
        <v>0</v>
      </c>
      <c r="N202" s="4" cm="1">
        <f t="array" ref="N202">_xlfn.IFS('ProductSprint Backlog'!$F202="", "", AND('ProductSprint Backlog'!$J202&gt;N$2,'ProductSprint Backlog'!$I202&lt;=N$2), 'ProductSprint Backlog'!$F202 / MAX(1, 'ProductSprint Backlog'!$J202-'ProductSprint Backlog'!$I202), AND('ProductSprint Backlog'!$J202=N$2,'ProductSprint Backlog'!$I202=N$2), 'ProductSprint Backlog'!$F202, TRUE, 0)</f>
        <v>0</v>
      </c>
      <c r="O202" s="4" cm="1">
        <f t="array" ref="O202">_xlfn.IFS('ProductSprint Backlog'!$F202="", "", AND('ProductSprint Backlog'!$J202&gt;O$2,'ProductSprint Backlog'!$I202&lt;=O$2), 'ProductSprint Backlog'!$F202 / MAX(1, 'ProductSprint Backlog'!$J202-'ProductSprint Backlog'!$I202), AND('ProductSprint Backlog'!$J202=O$2,'ProductSprint Backlog'!$I202=O$2), 'ProductSprint Backlog'!$F202, TRUE, 0)</f>
        <v>0</v>
      </c>
      <c r="P202" s="4" cm="1">
        <f t="array" ref="P202">_xlfn.IFS('ProductSprint Backlog'!$F202="", "", AND('ProductSprint Backlog'!$J202&gt;P$2,'ProductSprint Backlog'!$I202&lt;=P$2), 'ProductSprint Backlog'!$F202 / MAX(1, 'ProductSprint Backlog'!$J202-'ProductSprint Backlog'!$I202), AND('ProductSprint Backlog'!$J202=P$2,'ProductSprint Backlog'!$I202=P$2), 'ProductSprint Backlog'!$F202, TRUE, 0)</f>
        <v>0</v>
      </c>
      <c r="Q202" s="4" cm="1">
        <f t="array" ref="Q202">_xlfn.IFS('ProductSprint Backlog'!$F202="", "", AND('ProductSprint Backlog'!$J202&gt;Q$2,'ProductSprint Backlog'!$I202&lt;=Q$2), 'ProductSprint Backlog'!$F202 / MAX(1, 'ProductSprint Backlog'!$J202-'ProductSprint Backlog'!$I202), AND('ProductSprint Backlog'!$J202=Q$2,'ProductSprint Backlog'!$I202=Q$2), 'ProductSprint Backlog'!$F202, TRUE, 0)</f>
        <v>0</v>
      </c>
      <c r="R202" s="4" cm="1">
        <f t="array" ref="R202">_xlfn.IFS('ProductSprint Backlog'!$F202="", "", AND('ProductSprint Backlog'!$J202&gt;R$2,'ProductSprint Backlog'!$I202&lt;=R$2), 'ProductSprint Backlog'!$F202 / MAX(1, 'ProductSprint Backlog'!$J202-'ProductSprint Backlog'!$I202), AND('ProductSprint Backlog'!$J202=R$2,'ProductSprint Backlog'!$I202=R$2), 'ProductSprint Backlog'!$F202, TRUE, 0)</f>
        <v>0</v>
      </c>
      <c r="S202" s="4" cm="1">
        <f t="array" ref="S202">_xlfn.IFS('ProductSprint Backlog'!$F202="", "", AND('ProductSprint Backlog'!$J202&gt;S$2,'ProductSprint Backlog'!$I202&lt;=S$2), 'ProductSprint Backlog'!$F202 / MAX(1, 'ProductSprint Backlog'!$J202-'ProductSprint Backlog'!$I202), AND('ProductSprint Backlog'!$J202=S$2,'ProductSprint Backlog'!$I202=S$2), 'ProductSprint Backlog'!$F202, TRUE, 0)</f>
        <v>0</v>
      </c>
      <c r="T202" s="4" cm="1">
        <f t="array" ref="T202">_xlfn.IFS('ProductSprint Backlog'!$F202="", "", AND('ProductSprint Backlog'!$J202&gt;T$2,'ProductSprint Backlog'!$I202&lt;=T$2), 'ProductSprint Backlog'!$F202 / MAX(1, 'ProductSprint Backlog'!$J202-'ProductSprint Backlog'!$I202), AND('ProductSprint Backlog'!$J202=T$2,'ProductSprint Backlog'!$I202=T$2), 'ProductSprint Backlog'!$F202, TRUE, 0)</f>
        <v>0</v>
      </c>
    </row>
    <row r="203" spans="2:20" x14ac:dyDescent="0.2">
      <c r="B203" s="4" cm="1">
        <f t="array" ref="B203">_xlfn.IFS('ProductSprint Backlog'!$F203="", "", AND('ProductSprint Backlog'!$J203&gt;B$2,'ProductSprint Backlog'!$I203&lt;=B$2), 'ProductSprint Backlog'!$F203 / MAX(1, 'ProductSprint Backlog'!$J203-'ProductSprint Backlog'!$I203), AND('ProductSprint Backlog'!$J203=B$2,'ProductSprint Backlog'!$I203=B$2), 'ProductSprint Backlog'!$F203, TRUE, 0)</f>
        <v>0</v>
      </c>
      <c r="C203" s="4" cm="1">
        <f t="array" ref="C203">_xlfn.IFS('ProductSprint Backlog'!$F203="", "", AND('ProductSprint Backlog'!$J203&gt;C$2,'ProductSprint Backlog'!$I203&lt;=C$2), 'ProductSprint Backlog'!$F203 / MAX(1, 'ProductSprint Backlog'!$J203-'ProductSprint Backlog'!$I203), AND('ProductSprint Backlog'!$J203=C$2,'ProductSprint Backlog'!$I203=C$2), 'ProductSprint Backlog'!$F203, TRUE, 0)</f>
        <v>0</v>
      </c>
      <c r="D203" s="4" cm="1">
        <f t="array" ref="D203">_xlfn.IFS('ProductSprint Backlog'!$F203="", "", AND('ProductSprint Backlog'!$J203&gt;D$2,'ProductSprint Backlog'!$I203&lt;=D$2), 'ProductSprint Backlog'!$F203 / MAX(1, 'ProductSprint Backlog'!$J203-'ProductSprint Backlog'!$I203), AND('ProductSprint Backlog'!$J203=D$2,'ProductSprint Backlog'!$I203=D$2), 'ProductSprint Backlog'!$F203, TRUE, 0)</f>
        <v>0</v>
      </c>
      <c r="E203" s="4" cm="1">
        <f t="array" ref="E203">_xlfn.IFS('ProductSprint Backlog'!$F203="", "", AND('ProductSprint Backlog'!$J203&gt;E$2,'ProductSprint Backlog'!$I203&lt;=E$2), 'ProductSprint Backlog'!$F203 / MAX(1, 'ProductSprint Backlog'!$J203-'ProductSprint Backlog'!$I203), AND('ProductSprint Backlog'!$J203=E$2,'ProductSprint Backlog'!$I203=E$2), 'ProductSprint Backlog'!$F203, TRUE, 0)</f>
        <v>0</v>
      </c>
      <c r="F203" s="4" cm="1">
        <f t="array" ref="F203">_xlfn.IFS('ProductSprint Backlog'!$F203="", "", AND('ProductSprint Backlog'!$J203&gt;F$2,'ProductSprint Backlog'!$I203&lt;=F$2), 'ProductSprint Backlog'!$F203 / MAX(1, 'ProductSprint Backlog'!$J203-'ProductSprint Backlog'!$I203), AND('ProductSprint Backlog'!$J203=F$2,'ProductSprint Backlog'!$I203=F$2), 'ProductSprint Backlog'!$F203, TRUE, 0)</f>
        <v>0</v>
      </c>
      <c r="G203" s="4" cm="1">
        <f t="array" ref="G203">_xlfn.IFS('ProductSprint Backlog'!$F203="", "", AND('ProductSprint Backlog'!$J203&gt;G$2,'ProductSprint Backlog'!$I203&lt;=G$2), 'ProductSprint Backlog'!$F203 / MAX(1, 'ProductSprint Backlog'!$J203-'ProductSprint Backlog'!$I203), AND('ProductSprint Backlog'!$J203=G$2,'ProductSprint Backlog'!$I203=G$2), 'ProductSprint Backlog'!$F203, TRUE, 0)</f>
        <v>0</v>
      </c>
      <c r="H203" s="4" cm="1">
        <f t="array" ref="H203">_xlfn.IFS('ProductSprint Backlog'!$F203="", "", AND('ProductSprint Backlog'!$J203&gt;H$2,'ProductSprint Backlog'!$I203&lt;=H$2), 'ProductSprint Backlog'!$F203 / MAX(1, 'ProductSprint Backlog'!$J203-'ProductSprint Backlog'!$I203), AND('ProductSprint Backlog'!$J203=H$2,'ProductSprint Backlog'!$I203=H$2), 'ProductSprint Backlog'!$F203, TRUE, 0)</f>
        <v>0</v>
      </c>
      <c r="I203" s="4" cm="1">
        <f t="array" ref="I203">_xlfn.IFS('ProductSprint Backlog'!$F203="", "", AND('ProductSprint Backlog'!$J203&gt;I$2,'ProductSprint Backlog'!$I203&lt;=I$2), 'ProductSprint Backlog'!$F203 / MAX(1, 'ProductSprint Backlog'!$J203-'ProductSprint Backlog'!$I203), AND('ProductSprint Backlog'!$J203=I$2,'ProductSprint Backlog'!$I203=I$2), 'ProductSprint Backlog'!$F203, TRUE, 0)</f>
        <v>0</v>
      </c>
      <c r="J203" s="4" cm="1">
        <f t="array" ref="J203">_xlfn.IFS('ProductSprint Backlog'!$F203="", "", AND('ProductSprint Backlog'!$J203&gt;J$2,'ProductSprint Backlog'!$I203&lt;=J$2), 'ProductSprint Backlog'!$F203 / MAX(1, 'ProductSprint Backlog'!$J203-'ProductSprint Backlog'!$I203), AND('ProductSprint Backlog'!$J203=J$2,'ProductSprint Backlog'!$I203=J$2), 'ProductSprint Backlog'!$F203, TRUE, 0)</f>
        <v>0</v>
      </c>
      <c r="K203" s="4" cm="1">
        <f t="array" ref="K203">_xlfn.IFS('ProductSprint Backlog'!$F203="", "", AND('ProductSprint Backlog'!$J203&gt;K$2,'ProductSprint Backlog'!$I203&lt;=K$2), 'ProductSprint Backlog'!$F203 / MAX(1, 'ProductSprint Backlog'!$J203-'ProductSprint Backlog'!$I203), AND('ProductSprint Backlog'!$J203=K$2,'ProductSprint Backlog'!$I203=K$2), 'ProductSprint Backlog'!$F203, TRUE, 0)</f>
        <v>0</v>
      </c>
      <c r="L203" s="4" cm="1">
        <f t="array" ref="L203">_xlfn.IFS('ProductSprint Backlog'!$F203="", "", AND('ProductSprint Backlog'!$J203&gt;L$2,'ProductSprint Backlog'!$I203&lt;=L$2), 'ProductSprint Backlog'!$F203 / MAX(1, 'ProductSprint Backlog'!$J203-'ProductSprint Backlog'!$I203), AND('ProductSprint Backlog'!$J203=L$2,'ProductSprint Backlog'!$I203=L$2), 'ProductSprint Backlog'!$F203, TRUE, 0)</f>
        <v>0</v>
      </c>
      <c r="M203" s="4" cm="1">
        <f t="array" ref="M203">_xlfn.IFS('ProductSprint Backlog'!$F203="", "", AND('ProductSprint Backlog'!$J203&gt;M$2,'ProductSprint Backlog'!$I203&lt;=M$2), 'ProductSprint Backlog'!$F203 / MAX(1, 'ProductSprint Backlog'!$J203-'ProductSprint Backlog'!$I203), AND('ProductSprint Backlog'!$J203=M$2,'ProductSprint Backlog'!$I203=M$2), 'ProductSprint Backlog'!$F203, TRUE, 0)</f>
        <v>0</v>
      </c>
      <c r="N203" s="4" cm="1">
        <f t="array" ref="N203">_xlfn.IFS('ProductSprint Backlog'!$F203="", "", AND('ProductSprint Backlog'!$J203&gt;N$2,'ProductSprint Backlog'!$I203&lt;=N$2), 'ProductSprint Backlog'!$F203 / MAX(1, 'ProductSprint Backlog'!$J203-'ProductSprint Backlog'!$I203), AND('ProductSprint Backlog'!$J203=N$2,'ProductSprint Backlog'!$I203=N$2), 'ProductSprint Backlog'!$F203, TRUE, 0)</f>
        <v>0</v>
      </c>
      <c r="O203" s="4" cm="1">
        <f t="array" ref="O203">_xlfn.IFS('ProductSprint Backlog'!$F203="", "", AND('ProductSprint Backlog'!$J203&gt;O$2,'ProductSprint Backlog'!$I203&lt;=O$2), 'ProductSprint Backlog'!$F203 / MAX(1, 'ProductSprint Backlog'!$J203-'ProductSprint Backlog'!$I203), AND('ProductSprint Backlog'!$J203=O$2,'ProductSprint Backlog'!$I203=O$2), 'ProductSprint Backlog'!$F203, TRUE, 0)</f>
        <v>0</v>
      </c>
      <c r="P203" s="4" cm="1">
        <f t="array" ref="P203">_xlfn.IFS('ProductSprint Backlog'!$F203="", "", AND('ProductSprint Backlog'!$J203&gt;P$2,'ProductSprint Backlog'!$I203&lt;=P$2), 'ProductSprint Backlog'!$F203 / MAX(1, 'ProductSprint Backlog'!$J203-'ProductSprint Backlog'!$I203), AND('ProductSprint Backlog'!$J203=P$2,'ProductSprint Backlog'!$I203=P$2), 'ProductSprint Backlog'!$F203, TRUE, 0)</f>
        <v>0</v>
      </c>
      <c r="Q203" s="4" cm="1">
        <f t="array" ref="Q203">_xlfn.IFS('ProductSprint Backlog'!$F203="", "", AND('ProductSprint Backlog'!$J203&gt;Q$2,'ProductSprint Backlog'!$I203&lt;=Q$2), 'ProductSprint Backlog'!$F203 / MAX(1, 'ProductSprint Backlog'!$J203-'ProductSprint Backlog'!$I203), AND('ProductSprint Backlog'!$J203=Q$2,'ProductSprint Backlog'!$I203=Q$2), 'ProductSprint Backlog'!$F203, TRUE, 0)</f>
        <v>0</v>
      </c>
      <c r="R203" s="4" cm="1">
        <f t="array" ref="R203">_xlfn.IFS('ProductSprint Backlog'!$F203="", "", AND('ProductSprint Backlog'!$J203&gt;R$2,'ProductSprint Backlog'!$I203&lt;=R$2), 'ProductSprint Backlog'!$F203 / MAX(1, 'ProductSprint Backlog'!$J203-'ProductSprint Backlog'!$I203), AND('ProductSprint Backlog'!$J203=R$2,'ProductSprint Backlog'!$I203=R$2), 'ProductSprint Backlog'!$F203, TRUE, 0)</f>
        <v>0</v>
      </c>
      <c r="S203" s="4" cm="1">
        <f t="array" ref="S203">_xlfn.IFS('ProductSprint Backlog'!$F203="", "", AND('ProductSprint Backlog'!$J203&gt;S$2,'ProductSprint Backlog'!$I203&lt;=S$2), 'ProductSprint Backlog'!$F203 / MAX(1, 'ProductSprint Backlog'!$J203-'ProductSprint Backlog'!$I203), AND('ProductSprint Backlog'!$J203=S$2,'ProductSprint Backlog'!$I203=S$2), 'ProductSprint Backlog'!$F203, TRUE, 0)</f>
        <v>0</v>
      </c>
      <c r="T203" s="4" cm="1">
        <f t="array" ref="T203">_xlfn.IFS('ProductSprint Backlog'!$F203="", "", AND('ProductSprint Backlog'!$J203&gt;T$2,'ProductSprint Backlog'!$I203&lt;=T$2), 'ProductSprint Backlog'!$F203 / MAX(1, 'ProductSprint Backlog'!$J203-'ProductSprint Backlog'!$I203), AND('ProductSprint Backlog'!$J203=T$2,'ProductSprint Backlog'!$I203=T$2), 'ProductSprint Backlog'!$F203, TRUE, 0)</f>
        <v>0</v>
      </c>
    </row>
    <row r="204" spans="2:20" x14ac:dyDescent="0.2">
      <c r="B204" s="4" cm="1">
        <f t="array" ref="B204">_xlfn.IFS('ProductSprint Backlog'!$F204="", "", AND('ProductSprint Backlog'!$J204&gt;B$2,'ProductSprint Backlog'!$I204&lt;=B$2), 'ProductSprint Backlog'!$F204 / MAX(1, 'ProductSprint Backlog'!$J204-'ProductSprint Backlog'!$I204), AND('ProductSprint Backlog'!$J204=B$2,'ProductSprint Backlog'!$I204=B$2), 'ProductSprint Backlog'!$F204, TRUE, 0)</f>
        <v>0</v>
      </c>
      <c r="C204" s="4" cm="1">
        <f t="array" ref="C204">_xlfn.IFS('ProductSprint Backlog'!$F204="", "", AND('ProductSprint Backlog'!$J204&gt;C$2,'ProductSprint Backlog'!$I204&lt;=C$2), 'ProductSprint Backlog'!$F204 / MAX(1, 'ProductSprint Backlog'!$J204-'ProductSprint Backlog'!$I204), AND('ProductSprint Backlog'!$J204=C$2,'ProductSprint Backlog'!$I204=C$2), 'ProductSprint Backlog'!$F204, TRUE, 0)</f>
        <v>0</v>
      </c>
      <c r="D204" s="4" cm="1">
        <f t="array" ref="D204">_xlfn.IFS('ProductSprint Backlog'!$F204="", "", AND('ProductSprint Backlog'!$J204&gt;D$2,'ProductSprint Backlog'!$I204&lt;=D$2), 'ProductSprint Backlog'!$F204 / MAX(1, 'ProductSprint Backlog'!$J204-'ProductSprint Backlog'!$I204), AND('ProductSprint Backlog'!$J204=D$2,'ProductSprint Backlog'!$I204=D$2), 'ProductSprint Backlog'!$F204, TRUE, 0)</f>
        <v>0</v>
      </c>
      <c r="E204" s="4" cm="1">
        <f t="array" ref="E204">_xlfn.IFS('ProductSprint Backlog'!$F204="", "", AND('ProductSprint Backlog'!$J204&gt;E$2,'ProductSprint Backlog'!$I204&lt;=E$2), 'ProductSprint Backlog'!$F204 / MAX(1, 'ProductSprint Backlog'!$J204-'ProductSprint Backlog'!$I204), AND('ProductSprint Backlog'!$J204=E$2,'ProductSprint Backlog'!$I204=E$2), 'ProductSprint Backlog'!$F204, TRUE, 0)</f>
        <v>0</v>
      </c>
      <c r="F204" s="4" cm="1">
        <f t="array" ref="F204">_xlfn.IFS('ProductSprint Backlog'!$F204="", "", AND('ProductSprint Backlog'!$J204&gt;F$2,'ProductSprint Backlog'!$I204&lt;=F$2), 'ProductSprint Backlog'!$F204 / MAX(1, 'ProductSprint Backlog'!$J204-'ProductSprint Backlog'!$I204), AND('ProductSprint Backlog'!$J204=F$2,'ProductSprint Backlog'!$I204=F$2), 'ProductSprint Backlog'!$F204, TRUE, 0)</f>
        <v>0</v>
      </c>
      <c r="G204" s="4" cm="1">
        <f t="array" ref="G204">_xlfn.IFS('ProductSprint Backlog'!$F204="", "", AND('ProductSprint Backlog'!$J204&gt;G$2,'ProductSprint Backlog'!$I204&lt;=G$2), 'ProductSprint Backlog'!$F204 / MAX(1, 'ProductSprint Backlog'!$J204-'ProductSprint Backlog'!$I204), AND('ProductSprint Backlog'!$J204=G$2,'ProductSprint Backlog'!$I204=G$2), 'ProductSprint Backlog'!$F204, TRUE, 0)</f>
        <v>0</v>
      </c>
      <c r="H204" s="4" cm="1">
        <f t="array" ref="H204">_xlfn.IFS('ProductSprint Backlog'!$F204="", "", AND('ProductSprint Backlog'!$J204&gt;H$2,'ProductSprint Backlog'!$I204&lt;=H$2), 'ProductSprint Backlog'!$F204 / MAX(1, 'ProductSprint Backlog'!$J204-'ProductSprint Backlog'!$I204), AND('ProductSprint Backlog'!$J204=H$2,'ProductSprint Backlog'!$I204=H$2), 'ProductSprint Backlog'!$F204, TRUE, 0)</f>
        <v>0</v>
      </c>
      <c r="I204" s="4" cm="1">
        <f t="array" ref="I204">_xlfn.IFS('ProductSprint Backlog'!$F204="", "", AND('ProductSprint Backlog'!$J204&gt;I$2,'ProductSprint Backlog'!$I204&lt;=I$2), 'ProductSprint Backlog'!$F204 / MAX(1, 'ProductSprint Backlog'!$J204-'ProductSprint Backlog'!$I204), AND('ProductSprint Backlog'!$J204=I$2,'ProductSprint Backlog'!$I204=I$2), 'ProductSprint Backlog'!$F204, TRUE, 0)</f>
        <v>0</v>
      </c>
      <c r="J204" s="4" cm="1">
        <f t="array" ref="J204">_xlfn.IFS('ProductSprint Backlog'!$F204="", "", AND('ProductSprint Backlog'!$J204&gt;J$2,'ProductSprint Backlog'!$I204&lt;=J$2), 'ProductSprint Backlog'!$F204 / MAX(1, 'ProductSprint Backlog'!$J204-'ProductSprint Backlog'!$I204), AND('ProductSprint Backlog'!$J204=J$2,'ProductSprint Backlog'!$I204=J$2), 'ProductSprint Backlog'!$F204, TRUE, 0)</f>
        <v>0</v>
      </c>
      <c r="K204" s="4" cm="1">
        <f t="array" ref="K204">_xlfn.IFS('ProductSprint Backlog'!$F204="", "", AND('ProductSprint Backlog'!$J204&gt;K$2,'ProductSprint Backlog'!$I204&lt;=K$2), 'ProductSprint Backlog'!$F204 / MAX(1, 'ProductSprint Backlog'!$J204-'ProductSprint Backlog'!$I204), AND('ProductSprint Backlog'!$J204=K$2,'ProductSprint Backlog'!$I204=K$2), 'ProductSprint Backlog'!$F204, TRUE, 0)</f>
        <v>0</v>
      </c>
      <c r="L204" s="4" cm="1">
        <f t="array" ref="L204">_xlfn.IFS('ProductSprint Backlog'!$F204="", "", AND('ProductSprint Backlog'!$J204&gt;L$2,'ProductSprint Backlog'!$I204&lt;=L$2), 'ProductSprint Backlog'!$F204 / MAX(1, 'ProductSprint Backlog'!$J204-'ProductSprint Backlog'!$I204), AND('ProductSprint Backlog'!$J204=L$2,'ProductSprint Backlog'!$I204=L$2), 'ProductSprint Backlog'!$F204, TRUE, 0)</f>
        <v>0</v>
      </c>
      <c r="M204" s="4" cm="1">
        <f t="array" ref="M204">_xlfn.IFS('ProductSprint Backlog'!$F204="", "", AND('ProductSprint Backlog'!$J204&gt;M$2,'ProductSprint Backlog'!$I204&lt;=M$2), 'ProductSprint Backlog'!$F204 / MAX(1, 'ProductSprint Backlog'!$J204-'ProductSprint Backlog'!$I204), AND('ProductSprint Backlog'!$J204=M$2,'ProductSprint Backlog'!$I204=M$2), 'ProductSprint Backlog'!$F204, TRUE, 0)</f>
        <v>0</v>
      </c>
      <c r="N204" s="4" cm="1">
        <f t="array" ref="N204">_xlfn.IFS('ProductSprint Backlog'!$F204="", "", AND('ProductSprint Backlog'!$J204&gt;N$2,'ProductSprint Backlog'!$I204&lt;=N$2), 'ProductSprint Backlog'!$F204 / MAX(1, 'ProductSprint Backlog'!$J204-'ProductSprint Backlog'!$I204), AND('ProductSprint Backlog'!$J204=N$2,'ProductSprint Backlog'!$I204=N$2), 'ProductSprint Backlog'!$F204, TRUE, 0)</f>
        <v>0</v>
      </c>
      <c r="O204" s="4" cm="1">
        <f t="array" ref="O204">_xlfn.IFS('ProductSprint Backlog'!$F204="", "", AND('ProductSprint Backlog'!$J204&gt;O$2,'ProductSprint Backlog'!$I204&lt;=O$2), 'ProductSprint Backlog'!$F204 / MAX(1, 'ProductSprint Backlog'!$J204-'ProductSprint Backlog'!$I204), AND('ProductSprint Backlog'!$J204=O$2,'ProductSprint Backlog'!$I204=O$2), 'ProductSprint Backlog'!$F204, TRUE, 0)</f>
        <v>0</v>
      </c>
      <c r="P204" s="4" cm="1">
        <f t="array" ref="P204">_xlfn.IFS('ProductSprint Backlog'!$F204="", "", AND('ProductSprint Backlog'!$J204&gt;P$2,'ProductSprint Backlog'!$I204&lt;=P$2), 'ProductSprint Backlog'!$F204 / MAX(1, 'ProductSprint Backlog'!$J204-'ProductSprint Backlog'!$I204), AND('ProductSprint Backlog'!$J204=P$2,'ProductSprint Backlog'!$I204=P$2), 'ProductSprint Backlog'!$F204, TRUE, 0)</f>
        <v>0</v>
      </c>
      <c r="Q204" s="4" cm="1">
        <f t="array" ref="Q204">_xlfn.IFS('ProductSprint Backlog'!$F204="", "", AND('ProductSprint Backlog'!$J204&gt;Q$2,'ProductSprint Backlog'!$I204&lt;=Q$2), 'ProductSprint Backlog'!$F204 / MAX(1, 'ProductSprint Backlog'!$J204-'ProductSprint Backlog'!$I204), AND('ProductSprint Backlog'!$J204=Q$2,'ProductSprint Backlog'!$I204=Q$2), 'ProductSprint Backlog'!$F204, TRUE, 0)</f>
        <v>0</v>
      </c>
      <c r="R204" s="4" cm="1">
        <f t="array" ref="R204">_xlfn.IFS('ProductSprint Backlog'!$F204="", "", AND('ProductSprint Backlog'!$J204&gt;R$2,'ProductSprint Backlog'!$I204&lt;=R$2), 'ProductSprint Backlog'!$F204 / MAX(1, 'ProductSprint Backlog'!$J204-'ProductSprint Backlog'!$I204), AND('ProductSprint Backlog'!$J204=R$2,'ProductSprint Backlog'!$I204=R$2), 'ProductSprint Backlog'!$F204, TRUE, 0)</f>
        <v>0</v>
      </c>
      <c r="S204" s="4" cm="1">
        <f t="array" ref="S204">_xlfn.IFS('ProductSprint Backlog'!$F204="", "", AND('ProductSprint Backlog'!$J204&gt;S$2,'ProductSprint Backlog'!$I204&lt;=S$2), 'ProductSprint Backlog'!$F204 / MAX(1, 'ProductSprint Backlog'!$J204-'ProductSprint Backlog'!$I204), AND('ProductSprint Backlog'!$J204=S$2,'ProductSprint Backlog'!$I204=S$2), 'ProductSprint Backlog'!$F204, TRUE, 0)</f>
        <v>0</v>
      </c>
      <c r="T204" s="4" cm="1">
        <f t="array" ref="T204">_xlfn.IFS('ProductSprint Backlog'!$F204="", "", AND('ProductSprint Backlog'!$J204&gt;T$2,'ProductSprint Backlog'!$I204&lt;=T$2), 'ProductSprint Backlog'!$F204 / MAX(1, 'ProductSprint Backlog'!$J204-'ProductSprint Backlog'!$I204), AND('ProductSprint Backlog'!$J204=T$2,'ProductSprint Backlog'!$I204=T$2), 'ProductSprint Backlog'!$F204, TRUE, 0)</f>
        <v>0</v>
      </c>
    </row>
    <row r="205" spans="2:20" x14ac:dyDescent="0.2">
      <c r="B205" s="4" cm="1">
        <f t="array" ref="B205">_xlfn.IFS('ProductSprint Backlog'!$F205="", "", AND('ProductSprint Backlog'!$J205&gt;B$2,'ProductSprint Backlog'!$I205&lt;=B$2), 'ProductSprint Backlog'!$F205 / MAX(1, 'ProductSprint Backlog'!$J205-'ProductSprint Backlog'!$I205), AND('ProductSprint Backlog'!$J205=B$2,'ProductSprint Backlog'!$I205=B$2), 'ProductSprint Backlog'!$F205, TRUE, 0)</f>
        <v>0</v>
      </c>
      <c r="C205" s="4" cm="1">
        <f t="array" ref="C205">_xlfn.IFS('ProductSprint Backlog'!$F205="", "", AND('ProductSprint Backlog'!$J205&gt;C$2,'ProductSprint Backlog'!$I205&lt;=C$2), 'ProductSprint Backlog'!$F205 / MAX(1, 'ProductSprint Backlog'!$J205-'ProductSprint Backlog'!$I205), AND('ProductSprint Backlog'!$J205=C$2,'ProductSprint Backlog'!$I205=C$2), 'ProductSprint Backlog'!$F205, TRUE, 0)</f>
        <v>0</v>
      </c>
      <c r="D205" s="4" cm="1">
        <f t="array" ref="D205">_xlfn.IFS('ProductSprint Backlog'!$F205="", "", AND('ProductSprint Backlog'!$J205&gt;D$2,'ProductSprint Backlog'!$I205&lt;=D$2), 'ProductSprint Backlog'!$F205 / MAX(1, 'ProductSprint Backlog'!$J205-'ProductSprint Backlog'!$I205), AND('ProductSprint Backlog'!$J205=D$2,'ProductSprint Backlog'!$I205=D$2), 'ProductSprint Backlog'!$F205, TRUE, 0)</f>
        <v>0</v>
      </c>
      <c r="E205" s="4" cm="1">
        <f t="array" ref="E205">_xlfn.IFS('ProductSprint Backlog'!$F205="", "", AND('ProductSprint Backlog'!$J205&gt;E$2,'ProductSprint Backlog'!$I205&lt;=E$2), 'ProductSprint Backlog'!$F205 / MAX(1, 'ProductSprint Backlog'!$J205-'ProductSprint Backlog'!$I205), AND('ProductSprint Backlog'!$J205=E$2,'ProductSprint Backlog'!$I205=E$2), 'ProductSprint Backlog'!$F205, TRUE, 0)</f>
        <v>0</v>
      </c>
      <c r="F205" s="4" cm="1">
        <f t="array" ref="F205">_xlfn.IFS('ProductSprint Backlog'!$F205="", "", AND('ProductSprint Backlog'!$J205&gt;F$2,'ProductSprint Backlog'!$I205&lt;=F$2), 'ProductSprint Backlog'!$F205 / MAX(1, 'ProductSprint Backlog'!$J205-'ProductSprint Backlog'!$I205), AND('ProductSprint Backlog'!$J205=F$2,'ProductSprint Backlog'!$I205=F$2), 'ProductSprint Backlog'!$F205, TRUE, 0)</f>
        <v>0</v>
      </c>
      <c r="G205" s="4" cm="1">
        <f t="array" ref="G205">_xlfn.IFS('ProductSprint Backlog'!$F205="", "", AND('ProductSprint Backlog'!$J205&gt;G$2,'ProductSprint Backlog'!$I205&lt;=G$2), 'ProductSprint Backlog'!$F205 / MAX(1, 'ProductSprint Backlog'!$J205-'ProductSprint Backlog'!$I205), AND('ProductSprint Backlog'!$J205=G$2,'ProductSprint Backlog'!$I205=G$2), 'ProductSprint Backlog'!$F205, TRUE, 0)</f>
        <v>0</v>
      </c>
      <c r="H205" s="4" cm="1">
        <f t="array" ref="H205">_xlfn.IFS('ProductSprint Backlog'!$F205="", "", AND('ProductSprint Backlog'!$J205&gt;H$2,'ProductSprint Backlog'!$I205&lt;=H$2), 'ProductSprint Backlog'!$F205 / MAX(1, 'ProductSprint Backlog'!$J205-'ProductSprint Backlog'!$I205), AND('ProductSprint Backlog'!$J205=H$2,'ProductSprint Backlog'!$I205=H$2), 'ProductSprint Backlog'!$F205, TRUE, 0)</f>
        <v>0</v>
      </c>
      <c r="I205" s="4" cm="1">
        <f t="array" ref="I205">_xlfn.IFS('ProductSprint Backlog'!$F205="", "", AND('ProductSprint Backlog'!$J205&gt;I$2,'ProductSprint Backlog'!$I205&lt;=I$2), 'ProductSprint Backlog'!$F205 / MAX(1, 'ProductSprint Backlog'!$J205-'ProductSprint Backlog'!$I205), AND('ProductSprint Backlog'!$J205=I$2,'ProductSprint Backlog'!$I205=I$2), 'ProductSprint Backlog'!$F205, TRUE, 0)</f>
        <v>0</v>
      </c>
      <c r="J205" s="4" cm="1">
        <f t="array" ref="J205">_xlfn.IFS('ProductSprint Backlog'!$F205="", "", AND('ProductSprint Backlog'!$J205&gt;J$2,'ProductSprint Backlog'!$I205&lt;=J$2), 'ProductSprint Backlog'!$F205 / MAX(1, 'ProductSprint Backlog'!$J205-'ProductSprint Backlog'!$I205), AND('ProductSprint Backlog'!$J205=J$2,'ProductSprint Backlog'!$I205=J$2), 'ProductSprint Backlog'!$F205, TRUE, 0)</f>
        <v>0</v>
      </c>
      <c r="K205" s="4" cm="1">
        <f t="array" ref="K205">_xlfn.IFS('ProductSprint Backlog'!$F205="", "", AND('ProductSprint Backlog'!$J205&gt;K$2,'ProductSprint Backlog'!$I205&lt;=K$2), 'ProductSprint Backlog'!$F205 / MAX(1, 'ProductSprint Backlog'!$J205-'ProductSprint Backlog'!$I205), AND('ProductSprint Backlog'!$J205=K$2,'ProductSprint Backlog'!$I205=K$2), 'ProductSprint Backlog'!$F205, TRUE, 0)</f>
        <v>0</v>
      </c>
      <c r="L205" s="4" cm="1">
        <f t="array" ref="L205">_xlfn.IFS('ProductSprint Backlog'!$F205="", "", AND('ProductSprint Backlog'!$J205&gt;L$2,'ProductSprint Backlog'!$I205&lt;=L$2), 'ProductSprint Backlog'!$F205 / MAX(1, 'ProductSprint Backlog'!$J205-'ProductSprint Backlog'!$I205), AND('ProductSprint Backlog'!$J205=L$2,'ProductSprint Backlog'!$I205=L$2), 'ProductSprint Backlog'!$F205, TRUE, 0)</f>
        <v>0</v>
      </c>
      <c r="M205" s="4" cm="1">
        <f t="array" ref="M205">_xlfn.IFS('ProductSprint Backlog'!$F205="", "", AND('ProductSprint Backlog'!$J205&gt;M$2,'ProductSprint Backlog'!$I205&lt;=M$2), 'ProductSprint Backlog'!$F205 / MAX(1, 'ProductSprint Backlog'!$J205-'ProductSprint Backlog'!$I205), AND('ProductSprint Backlog'!$J205=M$2,'ProductSprint Backlog'!$I205=M$2), 'ProductSprint Backlog'!$F205, TRUE, 0)</f>
        <v>0</v>
      </c>
      <c r="N205" s="4" cm="1">
        <f t="array" ref="N205">_xlfn.IFS('ProductSprint Backlog'!$F205="", "", AND('ProductSprint Backlog'!$J205&gt;N$2,'ProductSprint Backlog'!$I205&lt;=N$2), 'ProductSprint Backlog'!$F205 / MAX(1, 'ProductSprint Backlog'!$J205-'ProductSprint Backlog'!$I205), AND('ProductSprint Backlog'!$J205=N$2,'ProductSprint Backlog'!$I205=N$2), 'ProductSprint Backlog'!$F205, TRUE, 0)</f>
        <v>0</v>
      </c>
      <c r="O205" s="4" cm="1">
        <f t="array" ref="O205">_xlfn.IFS('ProductSprint Backlog'!$F205="", "", AND('ProductSprint Backlog'!$J205&gt;O$2,'ProductSprint Backlog'!$I205&lt;=O$2), 'ProductSprint Backlog'!$F205 / MAX(1, 'ProductSprint Backlog'!$J205-'ProductSprint Backlog'!$I205), AND('ProductSprint Backlog'!$J205=O$2,'ProductSprint Backlog'!$I205=O$2), 'ProductSprint Backlog'!$F205, TRUE, 0)</f>
        <v>0</v>
      </c>
      <c r="P205" s="4" cm="1">
        <f t="array" ref="P205">_xlfn.IFS('ProductSprint Backlog'!$F205="", "", AND('ProductSprint Backlog'!$J205&gt;P$2,'ProductSprint Backlog'!$I205&lt;=P$2), 'ProductSprint Backlog'!$F205 / MAX(1, 'ProductSprint Backlog'!$J205-'ProductSprint Backlog'!$I205), AND('ProductSprint Backlog'!$J205=P$2,'ProductSprint Backlog'!$I205=P$2), 'ProductSprint Backlog'!$F205, TRUE, 0)</f>
        <v>0</v>
      </c>
      <c r="Q205" s="4" cm="1">
        <f t="array" ref="Q205">_xlfn.IFS('ProductSprint Backlog'!$F205="", "", AND('ProductSprint Backlog'!$J205&gt;Q$2,'ProductSprint Backlog'!$I205&lt;=Q$2), 'ProductSprint Backlog'!$F205 / MAX(1, 'ProductSprint Backlog'!$J205-'ProductSprint Backlog'!$I205), AND('ProductSprint Backlog'!$J205=Q$2,'ProductSprint Backlog'!$I205=Q$2), 'ProductSprint Backlog'!$F205, TRUE, 0)</f>
        <v>0</v>
      </c>
      <c r="R205" s="4" cm="1">
        <f t="array" ref="R205">_xlfn.IFS('ProductSprint Backlog'!$F205="", "", AND('ProductSprint Backlog'!$J205&gt;R$2,'ProductSprint Backlog'!$I205&lt;=R$2), 'ProductSprint Backlog'!$F205 / MAX(1, 'ProductSprint Backlog'!$J205-'ProductSprint Backlog'!$I205), AND('ProductSprint Backlog'!$J205=R$2,'ProductSprint Backlog'!$I205=R$2), 'ProductSprint Backlog'!$F205, TRUE, 0)</f>
        <v>0</v>
      </c>
      <c r="S205" s="4" cm="1">
        <f t="array" ref="S205">_xlfn.IFS('ProductSprint Backlog'!$F205="", "", AND('ProductSprint Backlog'!$J205&gt;S$2,'ProductSprint Backlog'!$I205&lt;=S$2), 'ProductSprint Backlog'!$F205 / MAX(1, 'ProductSprint Backlog'!$J205-'ProductSprint Backlog'!$I205), AND('ProductSprint Backlog'!$J205=S$2,'ProductSprint Backlog'!$I205=S$2), 'ProductSprint Backlog'!$F205, TRUE, 0)</f>
        <v>0</v>
      </c>
      <c r="T205" s="4" cm="1">
        <f t="array" ref="T205">_xlfn.IFS('ProductSprint Backlog'!$F205="", "", AND('ProductSprint Backlog'!$J205&gt;T$2,'ProductSprint Backlog'!$I205&lt;=T$2), 'ProductSprint Backlog'!$F205 / MAX(1, 'ProductSprint Backlog'!$J205-'ProductSprint Backlog'!$I205), AND('ProductSprint Backlog'!$J205=T$2,'ProductSprint Backlog'!$I205=T$2), 'ProductSprint Backlog'!$F205, TRUE, 0)</f>
        <v>0</v>
      </c>
    </row>
    <row r="206" spans="2:20" x14ac:dyDescent="0.2">
      <c r="B206" s="4" cm="1">
        <f t="array" ref="B206">_xlfn.IFS('ProductSprint Backlog'!$F206="", "", AND('ProductSprint Backlog'!$J206&gt;B$2,'ProductSprint Backlog'!$I206&lt;=B$2), 'ProductSprint Backlog'!$F206 / MAX(1, 'ProductSprint Backlog'!$J206-'ProductSprint Backlog'!$I206), AND('ProductSprint Backlog'!$J206=B$2,'ProductSprint Backlog'!$I206=B$2), 'ProductSprint Backlog'!$F206, TRUE, 0)</f>
        <v>0</v>
      </c>
      <c r="C206" s="4" cm="1">
        <f t="array" ref="C206">_xlfn.IFS('ProductSprint Backlog'!$F206="", "", AND('ProductSprint Backlog'!$J206&gt;C$2,'ProductSprint Backlog'!$I206&lt;=C$2), 'ProductSprint Backlog'!$F206 / MAX(1, 'ProductSprint Backlog'!$J206-'ProductSprint Backlog'!$I206), AND('ProductSprint Backlog'!$J206=C$2,'ProductSprint Backlog'!$I206=C$2), 'ProductSprint Backlog'!$F206, TRUE, 0)</f>
        <v>0</v>
      </c>
      <c r="D206" s="4" cm="1">
        <f t="array" ref="D206">_xlfn.IFS('ProductSprint Backlog'!$F206="", "", AND('ProductSprint Backlog'!$J206&gt;D$2,'ProductSprint Backlog'!$I206&lt;=D$2), 'ProductSprint Backlog'!$F206 / MAX(1, 'ProductSprint Backlog'!$J206-'ProductSprint Backlog'!$I206), AND('ProductSprint Backlog'!$J206=D$2,'ProductSprint Backlog'!$I206=D$2), 'ProductSprint Backlog'!$F206, TRUE, 0)</f>
        <v>0</v>
      </c>
      <c r="E206" s="4" cm="1">
        <f t="array" ref="E206">_xlfn.IFS('ProductSprint Backlog'!$F206="", "", AND('ProductSprint Backlog'!$J206&gt;E$2,'ProductSprint Backlog'!$I206&lt;=E$2), 'ProductSprint Backlog'!$F206 / MAX(1, 'ProductSprint Backlog'!$J206-'ProductSprint Backlog'!$I206), AND('ProductSprint Backlog'!$J206=E$2,'ProductSprint Backlog'!$I206=E$2), 'ProductSprint Backlog'!$F206, TRUE, 0)</f>
        <v>0</v>
      </c>
      <c r="F206" s="4" cm="1">
        <f t="array" ref="F206">_xlfn.IFS('ProductSprint Backlog'!$F206="", "", AND('ProductSprint Backlog'!$J206&gt;F$2,'ProductSprint Backlog'!$I206&lt;=F$2), 'ProductSprint Backlog'!$F206 / MAX(1, 'ProductSprint Backlog'!$J206-'ProductSprint Backlog'!$I206), AND('ProductSprint Backlog'!$J206=F$2,'ProductSprint Backlog'!$I206=F$2), 'ProductSprint Backlog'!$F206, TRUE, 0)</f>
        <v>0</v>
      </c>
      <c r="G206" s="4" cm="1">
        <f t="array" ref="G206">_xlfn.IFS('ProductSprint Backlog'!$F206="", "", AND('ProductSprint Backlog'!$J206&gt;G$2,'ProductSprint Backlog'!$I206&lt;=G$2), 'ProductSprint Backlog'!$F206 / MAX(1, 'ProductSprint Backlog'!$J206-'ProductSprint Backlog'!$I206), AND('ProductSprint Backlog'!$J206=G$2,'ProductSprint Backlog'!$I206=G$2), 'ProductSprint Backlog'!$F206, TRUE, 0)</f>
        <v>0</v>
      </c>
      <c r="H206" s="4" cm="1">
        <f t="array" ref="H206">_xlfn.IFS('ProductSprint Backlog'!$F206="", "", AND('ProductSprint Backlog'!$J206&gt;H$2,'ProductSprint Backlog'!$I206&lt;=H$2), 'ProductSprint Backlog'!$F206 / MAX(1, 'ProductSprint Backlog'!$J206-'ProductSprint Backlog'!$I206), AND('ProductSprint Backlog'!$J206=H$2,'ProductSprint Backlog'!$I206=H$2), 'ProductSprint Backlog'!$F206, TRUE, 0)</f>
        <v>0</v>
      </c>
      <c r="I206" s="4" cm="1">
        <f t="array" ref="I206">_xlfn.IFS('ProductSprint Backlog'!$F206="", "", AND('ProductSprint Backlog'!$J206&gt;I$2,'ProductSprint Backlog'!$I206&lt;=I$2), 'ProductSprint Backlog'!$F206 / MAX(1, 'ProductSprint Backlog'!$J206-'ProductSprint Backlog'!$I206), AND('ProductSprint Backlog'!$J206=I$2,'ProductSprint Backlog'!$I206=I$2), 'ProductSprint Backlog'!$F206, TRUE, 0)</f>
        <v>0</v>
      </c>
      <c r="J206" s="4" cm="1">
        <f t="array" ref="J206">_xlfn.IFS('ProductSprint Backlog'!$F206="", "", AND('ProductSprint Backlog'!$J206&gt;J$2,'ProductSprint Backlog'!$I206&lt;=J$2), 'ProductSprint Backlog'!$F206 / MAX(1, 'ProductSprint Backlog'!$J206-'ProductSprint Backlog'!$I206), AND('ProductSprint Backlog'!$J206=J$2,'ProductSprint Backlog'!$I206=J$2), 'ProductSprint Backlog'!$F206, TRUE, 0)</f>
        <v>0</v>
      </c>
      <c r="K206" s="4" cm="1">
        <f t="array" ref="K206">_xlfn.IFS('ProductSprint Backlog'!$F206="", "", AND('ProductSprint Backlog'!$J206&gt;K$2,'ProductSprint Backlog'!$I206&lt;=K$2), 'ProductSprint Backlog'!$F206 / MAX(1, 'ProductSprint Backlog'!$J206-'ProductSprint Backlog'!$I206), AND('ProductSprint Backlog'!$J206=K$2,'ProductSprint Backlog'!$I206=K$2), 'ProductSprint Backlog'!$F206, TRUE, 0)</f>
        <v>0</v>
      </c>
      <c r="L206" s="4" cm="1">
        <f t="array" ref="L206">_xlfn.IFS('ProductSprint Backlog'!$F206="", "", AND('ProductSprint Backlog'!$J206&gt;L$2,'ProductSprint Backlog'!$I206&lt;=L$2), 'ProductSprint Backlog'!$F206 / MAX(1, 'ProductSprint Backlog'!$J206-'ProductSprint Backlog'!$I206), AND('ProductSprint Backlog'!$J206=L$2,'ProductSprint Backlog'!$I206=L$2), 'ProductSprint Backlog'!$F206, TRUE, 0)</f>
        <v>0</v>
      </c>
      <c r="M206" s="4" cm="1">
        <f t="array" ref="M206">_xlfn.IFS('ProductSprint Backlog'!$F206="", "", AND('ProductSprint Backlog'!$J206&gt;M$2,'ProductSprint Backlog'!$I206&lt;=M$2), 'ProductSprint Backlog'!$F206 / MAX(1, 'ProductSprint Backlog'!$J206-'ProductSprint Backlog'!$I206), AND('ProductSprint Backlog'!$J206=M$2,'ProductSprint Backlog'!$I206=M$2), 'ProductSprint Backlog'!$F206, TRUE, 0)</f>
        <v>0</v>
      </c>
      <c r="N206" s="4" cm="1">
        <f t="array" ref="N206">_xlfn.IFS('ProductSprint Backlog'!$F206="", "", AND('ProductSprint Backlog'!$J206&gt;N$2,'ProductSprint Backlog'!$I206&lt;=N$2), 'ProductSprint Backlog'!$F206 / MAX(1, 'ProductSprint Backlog'!$J206-'ProductSprint Backlog'!$I206), AND('ProductSprint Backlog'!$J206=N$2,'ProductSprint Backlog'!$I206=N$2), 'ProductSprint Backlog'!$F206, TRUE, 0)</f>
        <v>0</v>
      </c>
      <c r="O206" s="4" cm="1">
        <f t="array" ref="O206">_xlfn.IFS('ProductSprint Backlog'!$F206="", "", AND('ProductSprint Backlog'!$J206&gt;O$2,'ProductSprint Backlog'!$I206&lt;=O$2), 'ProductSprint Backlog'!$F206 / MAX(1, 'ProductSprint Backlog'!$J206-'ProductSprint Backlog'!$I206), AND('ProductSprint Backlog'!$J206=O$2,'ProductSprint Backlog'!$I206=O$2), 'ProductSprint Backlog'!$F206, TRUE, 0)</f>
        <v>0</v>
      </c>
      <c r="P206" s="4" cm="1">
        <f t="array" ref="P206">_xlfn.IFS('ProductSprint Backlog'!$F206="", "", AND('ProductSprint Backlog'!$J206&gt;P$2,'ProductSprint Backlog'!$I206&lt;=P$2), 'ProductSprint Backlog'!$F206 / MAX(1, 'ProductSprint Backlog'!$J206-'ProductSprint Backlog'!$I206), AND('ProductSprint Backlog'!$J206=P$2,'ProductSprint Backlog'!$I206=P$2), 'ProductSprint Backlog'!$F206, TRUE, 0)</f>
        <v>0</v>
      </c>
      <c r="Q206" s="4" cm="1">
        <f t="array" ref="Q206">_xlfn.IFS('ProductSprint Backlog'!$F206="", "", AND('ProductSprint Backlog'!$J206&gt;Q$2,'ProductSprint Backlog'!$I206&lt;=Q$2), 'ProductSprint Backlog'!$F206 / MAX(1, 'ProductSprint Backlog'!$J206-'ProductSprint Backlog'!$I206), AND('ProductSprint Backlog'!$J206=Q$2,'ProductSprint Backlog'!$I206=Q$2), 'ProductSprint Backlog'!$F206, TRUE, 0)</f>
        <v>0</v>
      </c>
      <c r="R206" s="4" cm="1">
        <f t="array" ref="R206">_xlfn.IFS('ProductSprint Backlog'!$F206="", "", AND('ProductSprint Backlog'!$J206&gt;R$2,'ProductSprint Backlog'!$I206&lt;=R$2), 'ProductSprint Backlog'!$F206 / MAX(1, 'ProductSprint Backlog'!$J206-'ProductSprint Backlog'!$I206), AND('ProductSprint Backlog'!$J206=R$2,'ProductSprint Backlog'!$I206=R$2), 'ProductSprint Backlog'!$F206, TRUE, 0)</f>
        <v>0</v>
      </c>
      <c r="S206" s="4" cm="1">
        <f t="array" ref="S206">_xlfn.IFS('ProductSprint Backlog'!$F206="", "", AND('ProductSprint Backlog'!$J206&gt;S$2,'ProductSprint Backlog'!$I206&lt;=S$2), 'ProductSprint Backlog'!$F206 / MAX(1, 'ProductSprint Backlog'!$J206-'ProductSprint Backlog'!$I206), AND('ProductSprint Backlog'!$J206=S$2,'ProductSprint Backlog'!$I206=S$2), 'ProductSprint Backlog'!$F206, TRUE, 0)</f>
        <v>0</v>
      </c>
      <c r="T206" s="4" cm="1">
        <f t="array" ref="T206">_xlfn.IFS('ProductSprint Backlog'!$F206="", "", AND('ProductSprint Backlog'!$J206&gt;T$2,'ProductSprint Backlog'!$I206&lt;=T$2), 'ProductSprint Backlog'!$F206 / MAX(1, 'ProductSprint Backlog'!$J206-'ProductSprint Backlog'!$I206), AND('ProductSprint Backlog'!$J206=T$2,'ProductSprint Backlog'!$I206=T$2), 'ProductSprint Backlog'!$F206, TRUE, 0)</f>
        <v>0</v>
      </c>
    </row>
    <row r="207" spans="2:20" x14ac:dyDescent="0.2">
      <c r="B207" s="4" cm="1">
        <f t="array" ref="B207">_xlfn.IFS('ProductSprint Backlog'!$F207="", "", AND('ProductSprint Backlog'!$J207&gt;B$2,'ProductSprint Backlog'!$I207&lt;=B$2), 'ProductSprint Backlog'!$F207 / MAX(1, 'ProductSprint Backlog'!$J207-'ProductSprint Backlog'!$I207), AND('ProductSprint Backlog'!$J207=B$2,'ProductSprint Backlog'!$I207=B$2), 'ProductSprint Backlog'!$F207, TRUE, 0)</f>
        <v>0</v>
      </c>
      <c r="C207" s="4" cm="1">
        <f t="array" ref="C207">_xlfn.IFS('ProductSprint Backlog'!$F207="", "", AND('ProductSprint Backlog'!$J207&gt;C$2,'ProductSprint Backlog'!$I207&lt;=C$2), 'ProductSprint Backlog'!$F207 / MAX(1, 'ProductSprint Backlog'!$J207-'ProductSprint Backlog'!$I207), AND('ProductSprint Backlog'!$J207=C$2,'ProductSprint Backlog'!$I207=C$2), 'ProductSprint Backlog'!$F207, TRUE, 0)</f>
        <v>0</v>
      </c>
      <c r="D207" s="4" cm="1">
        <f t="array" ref="D207">_xlfn.IFS('ProductSprint Backlog'!$F207="", "", AND('ProductSprint Backlog'!$J207&gt;D$2,'ProductSprint Backlog'!$I207&lt;=D$2), 'ProductSprint Backlog'!$F207 / MAX(1, 'ProductSprint Backlog'!$J207-'ProductSprint Backlog'!$I207), AND('ProductSprint Backlog'!$J207=D$2,'ProductSprint Backlog'!$I207=D$2), 'ProductSprint Backlog'!$F207, TRUE, 0)</f>
        <v>0</v>
      </c>
      <c r="E207" s="4" cm="1">
        <f t="array" ref="E207">_xlfn.IFS('ProductSprint Backlog'!$F207="", "", AND('ProductSprint Backlog'!$J207&gt;E$2,'ProductSprint Backlog'!$I207&lt;=E$2), 'ProductSprint Backlog'!$F207 / MAX(1, 'ProductSprint Backlog'!$J207-'ProductSprint Backlog'!$I207), AND('ProductSprint Backlog'!$J207=E$2,'ProductSprint Backlog'!$I207=E$2), 'ProductSprint Backlog'!$F207, TRUE, 0)</f>
        <v>0</v>
      </c>
      <c r="F207" s="4" cm="1">
        <f t="array" ref="F207">_xlfn.IFS('ProductSprint Backlog'!$F207="", "", AND('ProductSprint Backlog'!$J207&gt;F$2,'ProductSprint Backlog'!$I207&lt;=F$2), 'ProductSprint Backlog'!$F207 / MAX(1, 'ProductSprint Backlog'!$J207-'ProductSprint Backlog'!$I207), AND('ProductSprint Backlog'!$J207=F$2,'ProductSprint Backlog'!$I207=F$2), 'ProductSprint Backlog'!$F207, TRUE, 0)</f>
        <v>0</v>
      </c>
      <c r="G207" s="4" cm="1">
        <f t="array" ref="G207">_xlfn.IFS('ProductSprint Backlog'!$F207="", "", AND('ProductSprint Backlog'!$J207&gt;G$2,'ProductSprint Backlog'!$I207&lt;=G$2), 'ProductSprint Backlog'!$F207 / MAX(1, 'ProductSprint Backlog'!$J207-'ProductSprint Backlog'!$I207), AND('ProductSprint Backlog'!$J207=G$2,'ProductSprint Backlog'!$I207=G$2), 'ProductSprint Backlog'!$F207, TRUE, 0)</f>
        <v>0</v>
      </c>
      <c r="H207" s="4" cm="1">
        <f t="array" ref="H207">_xlfn.IFS('ProductSprint Backlog'!$F207="", "", AND('ProductSprint Backlog'!$J207&gt;H$2,'ProductSprint Backlog'!$I207&lt;=H$2), 'ProductSprint Backlog'!$F207 / MAX(1, 'ProductSprint Backlog'!$J207-'ProductSprint Backlog'!$I207), AND('ProductSprint Backlog'!$J207=H$2,'ProductSprint Backlog'!$I207=H$2), 'ProductSprint Backlog'!$F207, TRUE, 0)</f>
        <v>0</v>
      </c>
      <c r="I207" s="4" cm="1">
        <f t="array" ref="I207">_xlfn.IFS('ProductSprint Backlog'!$F207="", "", AND('ProductSprint Backlog'!$J207&gt;I$2,'ProductSprint Backlog'!$I207&lt;=I$2), 'ProductSprint Backlog'!$F207 / MAX(1, 'ProductSprint Backlog'!$J207-'ProductSprint Backlog'!$I207), AND('ProductSprint Backlog'!$J207=I$2,'ProductSprint Backlog'!$I207=I$2), 'ProductSprint Backlog'!$F207, TRUE, 0)</f>
        <v>0</v>
      </c>
      <c r="J207" s="4" cm="1">
        <f t="array" ref="J207">_xlfn.IFS('ProductSprint Backlog'!$F207="", "", AND('ProductSprint Backlog'!$J207&gt;J$2,'ProductSprint Backlog'!$I207&lt;=J$2), 'ProductSprint Backlog'!$F207 / MAX(1, 'ProductSprint Backlog'!$J207-'ProductSprint Backlog'!$I207), AND('ProductSprint Backlog'!$J207=J$2,'ProductSprint Backlog'!$I207=J$2), 'ProductSprint Backlog'!$F207, TRUE, 0)</f>
        <v>0</v>
      </c>
      <c r="K207" s="4" cm="1">
        <f t="array" ref="K207">_xlfn.IFS('ProductSprint Backlog'!$F207="", "", AND('ProductSprint Backlog'!$J207&gt;K$2,'ProductSprint Backlog'!$I207&lt;=K$2), 'ProductSprint Backlog'!$F207 / MAX(1, 'ProductSprint Backlog'!$J207-'ProductSprint Backlog'!$I207), AND('ProductSprint Backlog'!$J207=K$2,'ProductSprint Backlog'!$I207=K$2), 'ProductSprint Backlog'!$F207, TRUE, 0)</f>
        <v>0</v>
      </c>
      <c r="L207" s="4" cm="1">
        <f t="array" ref="L207">_xlfn.IFS('ProductSprint Backlog'!$F207="", "", AND('ProductSprint Backlog'!$J207&gt;L$2,'ProductSprint Backlog'!$I207&lt;=L$2), 'ProductSprint Backlog'!$F207 / MAX(1, 'ProductSprint Backlog'!$J207-'ProductSprint Backlog'!$I207), AND('ProductSprint Backlog'!$J207=L$2,'ProductSprint Backlog'!$I207=L$2), 'ProductSprint Backlog'!$F207, TRUE, 0)</f>
        <v>0</v>
      </c>
      <c r="M207" s="4" cm="1">
        <f t="array" ref="M207">_xlfn.IFS('ProductSprint Backlog'!$F207="", "", AND('ProductSprint Backlog'!$J207&gt;M$2,'ProductSprint Backlog'!$I207&lt;=M$2), 'ProductSprint Backlog'!$F207 / MAX(1, 'ProductSprint Backlog'!$J207-'ProductSprint Backlog'!$I207), AND('ProductSprint Backlog'!$J207=M$2,'ProductSprint Backlog'!$I207=M$2), 'ProductSprint Backlog'!$F207, TRUE, 0)</f>
        <v>0</v>
      </c>
      <c r="N207" s="4" cm="1">
        <f t="array" ref="N207">_xlfn.IFS('ProductSprint Backlog'!$F207="", "", AND('ProductSprint Backlog'!$J207&gt;N$2,'ProductSprint Backlog'!$I207&lt;=N$2), 'ProductSprint Backlog'!$F207 / MAX(1, 'ProductSprint Backlog'!$J207-'ProductSprint Backlog'!$I207), AND('ProductSprint Backlog'!$J207=N$2,'ProductSprint Backlog'!$I207=N$2), 'ProductSprint Backlog'!$F207, TRUE, 0)</f>
        <v>0</v>
      </c>
      <c r="O207" s="4" cm="1">
        <f t="array" ref="O207">_xlfn.IFS('ProductSprint Backlog'!$F207="", "", AND('ProductSprint Backlog'!$J207&gt;O$2,'ProductSprint Backlog'!$I207&lt;=O$2), 'ProductSprint Backlog'!$F207 / MAX(1, 'ProductSprint Backlog'!$J207-'ProductSprint Backlog'!$I207), AND('ProductSprint Backlog'!$J207=O$2,'ProductSprint Backlog'!$I207=O$2), 'ProductSprint Backlog'!$F207, TRUE, 0)</f>
        <v>0</v>
      </c>
      <c r="P207" s="4" cm="1">
        <f t="array" ref="P207">_xlfn.IFS('ProductSprint Backlog'!$F207="", "", AND('ProductSprint Backlog'!$J207&gt;P$2,'ProductSprint Backlog'!$I207&lt;=P$2), 'ProductSprint Backlog'!$F207 / MAX(1, 'ProductSprint Backlog'!$J207-'ProductSprint Backlog'!$I207), AND('ProductSprint Backlog'!$J207=P$2,'ProductSprint Backlog'!$I207=P$2), 'ProductSprint Backlog'!$F207, TRUE, 0)</f>
        <v>0</v>
      </c>
      <c r="Q207" s="4" cm="1">
        <f t="array" ref="Q207">_xlfn.IFS('ProductSprint Backlog'!$F207="", "", AND('ProductSprint Backlog'!$J207&gt;Q$2,'ProductSprint Backlog'!$I207&lt;=Q$2), 'ProductSprint Backlog'!$F207 / MAX(1, 'ProductSprint Backlog'!$J207-'ProductSprint Backlog'!$I207), AND('ProductSprint Backlog'!$J207=Q$2,'ProductSprint Backlog'!$I207=Q$2), 'ProductSprint Backlog'!$F207, TRUE, 0)</f>
        <v>0</v>
      </c>
      <c r="R207" s="4" cm="1">
        <f t="array" ref="R207">_xlfn.IFS('ProductSprint Backlog'!$F207="", "", AND('ProductSprint Backlog'!$J207&gt;R$2,'ProductSprint Backlog'!$I207&lt;=R$2), 'ProductSprint Backlog'!$F207 / MAX(1, 'ProductSprint Backlog'!$J207-'ProductSprint Backlog'!$I207), AND('ProductSprint Backlog'!$J207=R$2,'ProductSprint Backlog'!$I207=R$2), 'ProductSprint Backlog'!$F207, TRUE, 0)</f>
        <v>0</v>
      </c>
      <c r="S207" s="4" cm="1">
        <f t="array" ref="S207">_xlfn.IFS('ProductSprint Backlog'!$F207="", "", AND('ProductSprint Backlog'!$J207&gt;S$2,'ProductSprint Backlog'!$I207&lt;=S$2), 'ProductSprint Backlog'!$F207 / MAX(1, 'ProductSprint Backlog'!$J207-'ProductSprint Backlog'!$I207), AND('ProductSprint Backlog'!$J207=S$2,'ProductSprint Backlog'!$I207=S$2), 'ProductSprint Backlog'!$F207, TRUE, 0)</f>
        <v>0</v>
      </c>
      <c r="T207" s="4" cm="1">
        <f t="array" ref="T207">_xlfn.IFS('ProductSprint Backlog'!$F207="", "", AND('ProductSprint Backlog'!$J207&gt;T$2,'ProductSprint Backlog'!$I207&lt;=T$2), 'ProductSprint Backlog'!$F207 / MAX(1, 'ProductSprint Backlog'!$J207-'ProductSprint Backlog'!$I207), AND('ProductSprint Backlog'!$J207=T$2,'ProductSprint Backlog'!$I207=T$2), 'ProductSprint Backlog'!$F207, TRUE, 0)</f>
        <v>0</v>
      </c>
    </row>
    <row r="208" spans="2:20" x14ac:dyDescent="0.2">
      <c r="B208" s="4" cm="1">
        <f t="array" ref="B208">_xlfn.IFS('ProductSprint Backlog'!$F208="", "", AND('ProductSprint Backlog'!$J208&gt;B$2,'ProductSprint Backlog'!$I208&lt;=B$2), 'ProductSprint Backlog'!$F208 / MAX(1, 'ProductSprint Backlog'!$J208-'ProductSprint Backlog'!$I208), AND('ProductSprint Backlog'!$J208=B$2,'ProductSprint Backlog'!$I208=B$2), 'ProductSprint Backlog'!$F208, TRUE, 0)</f>
        <v>0</v>
      </c>
      <c r="C208" s="4" cm="1">
        <f t="array" ref="C208">_xlfn.IFS('ProductSprint Backlog'!$F208="", "", AND('ProductSprint Backlog'!$J208&gt;C$2,'ProductSprint Backlog'!$I208&lt;=C$2), 'ProductSprint Backlog'!$F208 / MAX(1, 'ProductSprint Backlog'!$J208-'ProductSprint Backlog'!$I208), AND('ProductSprint Backlog'!$J208=C$2,'ProductSprint Backlog'!$I208=C$2), 'ProductSprint Backlog'!$F208, TRUE, 0)</f>
        <v>0</v>
      </c>
      <c r="D208" s="4" cm="1">
        <f t="array" ref="D208">_xlfn.IFS('ProductSprint Backlog'!$F208="", "", AND('ProductSprint Backlog'!$J208&gt;D$2,'ProductSprint Backlog'!$I208&lt;=D$2), 'ProductSprint Backlog'!$F208 / MAX(1, 'ProductSprint Backlog'!$J208-'ProductSprint Backlog'!$I208), AND('ProductSprint Backlog'!$J208=D$2,'ProductSprint Backlog'!$I208=D$2), 'ProductSprint Backlog'!$F208, TRUE, 0)</f>
        <v>0</v>
      </c>
      <c r="E208" s="4" cm="1">
        <f t="array" ref="E208">_xlfn.IFS('ProductSprint Backlog'!$F208="", "", AND('ProductSprint Backlog'!$J208&gt;E$2,'ProductSprint Backlog'!$I208&lt;=E$2), 'ProductSprint Backlog'!$F208 / MAX(1, 'ProductSprint Backlog'!$J208-'ProductSprint Backlog'!$I208), AND('ProductSprint Backlog'!$J208=E$2,'ProductSprint Backlog'!$I208=E$2), 'ProductSprint Backlog'!$F208, TRUE, 0)</f>
        <v>0</v>
      </c>
      <c r="F208" s="4" cm="1">
        <f t="array" ref="F208">_xlfn.IFS('ProductSprint Backlog'!$F208="", "", AND('ProductSprint Backlog'!$J208&gt;F$2,'ProductSprint Backlog'!$I208&lt;=F$2), 'ProductSprint Backlog'!$F208 / MAX(1, 'ProductSprint Backlog'!$J208-'ProductSprint Backlog'!$I208), AND('ProductSprint Backlog'!$J208=F$2,'ProductSprint Backlog'!$I208=F$2), 'ProductSprint Backlog'!$F208, TRUE, 0)</f>
        <v>0</v>
      </c>
      <c r="G208" s="4" cm="1">
        <f t="array" ref="G208">_xlfn.IFS('ProductSprint Backlog'!$F208="", "", AND('ProductSprint Backlog'!$J208&gt;G$2,'ProductSprint Backlog'!$I208&lt;=G$2), 'ProductSprint Backlog'!$F208 / MAX(1, 'ProductSprint Backlog'!$J208-'ProductSprint Backlog'!$I208), AND('ProductSprint Backlog'!$J208=G$2,'ProductSprint Backlog'!$I208=G$2), 'ProductSprint Backlog'!$F208, TRUE, 0)</f>
        <v>0</v>
      </c>
      <c r="H208" s="4" cm="1">
        <f t="array" ref="H208">_xlfn.IFS('ProductSprint Backlog'!$F208="", "", AND('ProductSprint Backlog'!$J208&gt;H$2,'ProductSprint Backlog'!$I208&lt;=H$2), 'ProductSprint Backlog'!$F208 / MAX(1, 'ProductSprint Backlog'!$J208-'ProductSprint Backlog'!$I208), AND('ProductSprint Backlog'!$J208=H$2,'ProductSprint Backlog'!$I208=H$2), 'ProductSprint Backlog'!$F208, TRUE, 0)</f>
        <v>0</v>
      </c>
      <c r="I208" s="4" cm="1">
        <f t="array" ref="I208">_xlfn.IFS('ProductSprint Backlog'!$F208="", "", AND('ProductSprint Backlog'!$J208&gt;I$2,'ProductSprint Backlog'!$I208&lt;=I$2), 'ProductSprint Backlog'!$F208 / MAX(1, 'ProductSprint Backlog'!$J208-'ProductSprint Backlog'!$I208), AND('ProductSprint Backlog'!$J208=I$2,'ProductSprint Backlog'!$I208=I$2), 'ProductSprint Backlog'!$F208, TRUE, 0)</f>
        <v>0</v>
      </c>
      <c r="J208" s="4" cm="1">
        <f t="array" ref="J208">_xlfn.IFS('ProductSprint Backlog'!$F208="", "", AND('ProductSprint Backlog'!$J208&gt;J$2,'ProductSprint Backlog'!$I208&lt;=J$2), 'ProductSprint Backlog'!$F208 / MAX(1, 'ProductSprint Backlog'!$J208-'ProductSprint Backlog'!$I208), AND('ProductSprint Backlog'!$J208=J$2,'ProductSprint Backlog'!$I208=J$2), 'ProductSprint Backlog'!$F208, TRUE, 0)</f>
        <v>0</v>
      </c>
      <c r="K208" s="4" cm="1">
        <f t="array" ref="K208">_xlfn.IFS('ProductSprint Backlog'!$F208="", "", AND('ProductSprint Backlog'!$J208&gt;K$2,'ProductSprint Backlog'!$I208&lt;=K$2), 'ProductSprint Backlog'!$F208 / MAX(1, 'ProductSprint Backlog'!$J208-'ProductSprint Backlog'!$I208), AND('ProductSprint Backlog'!$J208=K$2,'ProductSprint Backlog'!$I208=K$2), 'ProductSprint Backlog'!$F208, TRUE, 0)</f>
        <v>0</v>
      </c>
      <c r="L208" s="4" cm="1">
        <f t="array" ref="L208">_xlfn.IFS('ProductSprint Backlog'!$F208="", "", AND('ProductSprint Backlog'!$J208&gt;L$2,'ProductSprint Backlog'!$I208&lt;=L$2), 'ProductSprint Backlog'!$F208 / MAX(1, 'ProductSprint Backlog'!$J208-'ProductSprint Backlog'!$I208), AND('ProductSprint Backlog'!$J208=L$2,'ProductSprint Backlog'!$I208=L$2), 'ProductSprint Backlog'!$F208, TRUE, 0)</f>
        <v>0</v>
      </c>
      <c r="M208" s="4" cm="1">
        <f t="array" ref="M208">_xlfn.IFS('ProductSprint Backlog'!$F208="", "", AND('ProductSprint Backlog'!$J208&gt;M$2,'ProductSprint Backlog'!$I208&lt;=M$2), 'ProductSprint Backlog'!$F208 / MAX(1, 'ProductSprint Backlog'!$J208-'ProductSprint Backlog'!$I208), AND('ProductSprint Backlog'!$J208=M$2,'ProductSprint Backlog'!$I208=M$2), 'ProductSprint Backlog'!$F208, TRUE, 0)</f>
        <v>0</v>
      </c>
      <c r="N208" s="4" cm="1">
        <f t="array" ref="N208">_xlfn.IFS('ProductSprint Backlog'!$F208="", "", AND('ProductSprint Backlog'!$J208&gt;N$2,'ProductSprint Backlog'!$I208&lt;=N$2), 'ProductSprint Backlog'!$F208 / MAX(1, 'ProductSprint Backlog'!$J208-'ProductSprint Backlog'!$I208), AND('ProductSprint Backlog'!$J208=N$2,'ProductSprint Backlog'!$I208=N$2), 'ProductSprint Backlog'!$F208, TRUE, 0)</f>
        <v>0</v>
      </c>
      <c r="O208" s="4" cm="1">
        <f t="array" ref="O208">_xlfn.IFS('ProductSprint Backlog'!$F208="", "", AND('ProductSprint Backlog'!$J208&gt;O$2,'ProductSprint Backlog'!$I208&lt;=O$2), 'ProductSprint Backlog'!$F208 / MAX(1, 'ProductSprint Backlog'!$J208-'ProductSprint Backlog'!$I208), AND('ProductSprint Backlog'!$J208=O$2,'ProductSprint Backlog'!$I208=O$2), 'ProductSprint Backlog'!$F208, TRUE, 0)</f>
        <v>0</v>
      </c>
      <c r="P208" s="4" cm="1">
        <f t="array" ref="P208">_xlfn.IFS('ProductSprint Backlog'!$F208="", "", AND('ProductSprint Backlog'!$J208&gt;P$2,'ProductSprint Backlog'!$I208&lt;=P$2), 'ProductSprint Backlog'!$F208 / MAX(1, 'ProductSprint Backlog'!$J208-'ProductSprint Backlog'!$I208), AND('ProductSprint Backlog'!$J208=P$2,'ProductSprint Backlog'!$I208=P$2), 'ProductSprint Backlog'!$F208, TRUE, 0)</f>
        <v>0</v>
      </c>
      <c r="Q208" s="4" cm="1">
        <f t="array" ref="Q208">_xlfn.IFS('ProductSprint Backlog'!$F208="", "", AND('ProductSprint Backlog'!$J208&gt;Q$2,'ProductSprint Backlog'!$I208&lt;=Q$2), 'ProductSprint Backlog'!$F208 / MAX(1, 'ProductSprint Backlog'!$J208-'ProductSprint Backlog'!$I208), AND('ProductSprint Backlog'!$J208=Q$2,'ProductSprint Backlog'!$I208=Q$2), 'ProductSprint Backlog'!$F208, TRUE, 0)</f>
        <v>0</v>
      </c>
      <c r="R208" s="4" cm="1">
        <f t="array" ref="R208">_xlfn.IFS('ProductSprint Backlog'!$F208="", "", AND('ProductSprint Backlog'!$J208&gt;R$2,'ProductSprint Backlog'!$I208&lt;=R$2), 'ProductSprint Backlog'!$F208 / MAX(1, 'ProductSprint Backlog'!$J208-'ProductSprint Backlog'!$I208), AND('ProductSprint Backlog'!$J208=R$2,'ProductSprint Backlog'!$I208=R$2), 'ProductSprint Backlog'!$F208, TRUE, 0)</f>
        <v>0</v>
      </c>
      <c r="S208" s="4" cm="1">
        <f t="array" ref="S208">_xlfn.IFS('ProductSprint Backlog'!$F208="", "", AND('ProductSprint Backlog'!$J208&gt;S$2,'ProductSprint Backlog'!$I208&lt;=S$2), 'ProductSprint Backlog'!$F208 / MAX(1, 'ProductSprint Backlog'!$J208-'ProductSprint Backlog'!$I208), AND('ProductSprint Backlog'!$J208=S$2,'ProductSprint Backlog'!$I208=S$2), 'ProductSprint Backlog'!$F208, TRUE, 0)</f>
        <v>0</v>
      </c>
      <c r="T208" s="4" cm="1">
        <f t="array" ref="T208">_xlfn.IFS('ProductSprint Backlog'!$F208="", "", AND('ProductSprint Backlog'!$J208&gt;T$2,'ProductSprint Backlog'!$I208&lt;=T$2), 'ProductSprint Backlog'!$F208 / MAX(1, 'ProductSprint Backlog'!$J208-'ProductSprint Backlog'!$I208), AND('ProductSprint Backlog'!$J208=T$2,'ProductSprint Backlog'!$I208=T$2), 'ProductSprint Backlog'!$F208, TRUE, 0)</f>
        <v>0</v>
      </c>
    </row>
    <row r="209" spans="2:20" x14ac:dyDescent="0.2">
      <c r="B209" s="4" cm="1">
        <f t="array" ref="B209">_xlfn.IFS('ProductSprint Backlog'!$F209="", "", AND('ProductSprint Backlog'!$J209&gt;B$2,'ProductSprint Backlog'!$I209&lt;=B$2), 'ProductSprint Backlog'!$F209 / MAX(1, 'ProductSprint Backlog'!$J209-'ProductSprint Backlog'!$I209), AND('ProductSprint Backlog'!$J209=B$2,'ProductSprint Backlog'!$I209=B$2), 'ProductSprint Backlog'!$F209, TRUE, 0)</f>
        <v>0</v>
      </c>
      <c r="C209" s="4" cm="1">
        <f t="array" ref="C209">_xlfn.IFS('ProductSprint Backlog'!$F209="", "", AND('ProductSprint Backlog'!$J209&gt;C$2,'ProductSprint Backlog'!$I209&lt;=C$2), 'ProductSprint Backlog'!$F209 / MAX(1, 'ProductSprint Backlog'!$J209-'ProductSprint Backlog'!$I209), AND('ProductSprint Backlog'!$J209=C$2,'ProductSprint Backlog'!$I209=C$2), 'ProductSprint Backlog'!$F209, TRUE, 0)</f>
        <v>0</v>
      </c>
      <c r="D209" s="4" cm="1">
        <f t="array" ref="D209">_xlfn.IFS('ProductSprint Backlog'!$F209="", "", AND('ProductSprint Backlog'!$J209&gt;D$2,'ProductSprint Backlog'!$I209&lt;=D$2), 'ProductSprint Backlog'!$F209 / MAX(1, 'ProductSprint Backlog'!$J209-'ProductSprint Backlog'!$I209), AND('ProductSprint Backlog'!$J209=D$2,'ProductSprint Backlog'!$I209=D$2), 'ProductSprint Backlog'!$F209, TRUE, 0)</f>
        <v>0</v>
      </c>
      <c r="E209" s="4" cm="1">
        <f t="array" ref="E209">_xlfn.IFS('ProductSprint Backlog'!$F209="", "", AND('ProductSprint Backlog'!$J209&gt;E$2,'ProductSprint Backlog'!$I209&lt;=E$2), 'ProductSprint Backlog'!$F209 / MAX(1, 'ProductSprint Backlog'!$J209-'ProductSprint Backlog'!$I209), AND('ProductSprint Backlog'!$J209=E$2,'ProductSprint Backlog'!$I209=E$2), 'ProductSprint Backlog'!$F209, TRUE, 0)</f>
        <v>0</v>
      </c>
      <c r="F209" s="4" cm="1">
        <f t="array" ref="F209">_xlfn.IFS('ProductSprint Backlog'!$F209="", "", AND('ProductSprint Backlog'!$J209&gt;F$2,'ProductSprint Backlog'!$I209&lt;=F$2), 'ProductSprint Backlog'!$F209 / MAX(1, 'ProductSprint Backlog'!$J209-'ProductSprint Backlog'!$I209), AND('ProductSprint Backlog'!$J209=F$2,'ProductSprint Backlog'!$I209=F$2), 'ProductSprint Backlog'!$F209, TRUE, 0)</f>
        <v>0</v>
      </c>
      <c r="G209" s="4" cm="1">
        <f t="array" ref="G209">_xlfn.IFS('ProductSprint Backlog'!$F209="", "", AND('ProductSprint Backlog'!$J209&gt;G$2,'ProductSprint Backlog'!$I209&lt;=G$2), 'ProductSprint Backlog'!$F209 / MAX(1, 'ProductSprint Backlog'!$J209-'ProductSprint Backlog'!$I209), AND('ProductSprint Backlog'!$J209=G$2,'ProductSprint Backlog'!$I209=G$2), 'ProductSprint Backlog'!$F209, TRUE, 0)</f>
        <v>0</v>
      </c>
      <c r="H209" s="4" cm="1">
        <f t="array" ref="H209">_xlfn.IFS('ProductSprint Backlog'!$F209="", "", AND('ProductSprint Backlog'!$J209&gt;H$2,'ProductSprint Backlog'!$I209&lt;=H$2), 'ProductSprint Backlog'!$F209 / MAX(1, 'ProductSprint Backlog'!$J209-'ProductSprint Backlog'!$I209), AND('ProductSprint Backlog'!$J209=H$2,'ProductSprint Backlog'!$I209=H$2), 'ProductSprint Backlog'!$F209, TRUE, 0)</f>
        <v>0</v>
      </c>
      <c r="I209" s="4" cm="1">
        <f t="array" ref="I209">_xlfn.IFS('ProductSprint Backlog'!$F209="", "", AND('ProductSprint Backlog'!$J209&gt;I$2,'ProductSprint Backlog'!$I209&lt;=I$2), 'ProductSprint Backlog'!$F209 / MAX(1, 'ProductSprint Backlog'!$J209-'ProductSprint Backlog'!$I209), AND('ProductSprint Backlog'!$J209=I$2,'ProductSprint Backlog'!$I209=I$2), 'ProductSprint Backlog'!$F209, TRUE, 0)</f>
        <v>0</v>
      </c>
      <c r="J209" s="4" cm="1">
        <f t="array" ref="J209">_xlfn.IFS('ProductSprint Backlog'!$F209="", "", AND('ProductSprint Backlog'!$J209&gt;J$2,'ProductSprint Backlog'!$I209&lt;=J$2), 'ProductSprint Backlog'!$F209 / MAX(1, 'ProductSprint Backlog'!$J209-'ProductSprint Backlog'!$I209), AND('ProductSprint Backlog'!$J209=J$2,'ProductSprint Backlog'!$I209=J$2), 'ProductSprint Backlog'!$F209, TRUE, 0)</f>
        <v>0</v>
      </c>
      <c r="K209" s="4" cm="1">
        <f t="array" ref="K209">_xlfn.IFS('ProductSprint Backlog'!$F209="", "", AND('ProductSprint Backlog'!$J209&gt;K$2,'ProductSprint Backlog'!$I209&lt;=K$2), 'ProductSprint Backlog'!$F209 / MAX(1, 'ProductSprint Backlog'!$J209-'ProductSprint Backlog'!$I209), AND('ProductSprint Backlog'!$J209=K$2,'ProductSprint Backlog'!$I209=K$2), 'ProductSprint Backlog'!$F209, TRUE, 0)</f>
        <v>0</v>
      </c>
      <c r="L209" s="4" cm="1">
        <f t="array" ref="L209">_xlfn.IFS('ProductSprint Backlog'!$F209="", "", AND('ProductSprint Backlog'!$J209&gt;L$2,'ProductSprint Backlog'!$I209&lt;=L$2), 'ProductSprint Backlog'!$F209 / MAX(1, 'ProductSprint Backlog'!$J209-'ProductSprint Backlog'!$I209), AND('ProductSprint Backlog'!$J209=L$2,'ProductSprint Backlog'!$I209=L$2), 'ProductSprint Backlog'!$F209, TRUE, 0)</f>
        <v>0</v>
      </c>
      <c r="M209" s="4" cm="1">
        <f t="array" ref="M209">_xlfn.IFS('ProductSprint Backlog'!$F209="", "", AND('ProductSprint Backlog'!$J209&gt;M$2,'ProductSprint Backlog'!$I209&lt;=M$2), 'ProductSprint Backlog'!$F209 / MAX(1, 'ProductSprint Backlog'!$J209-'ProductSprint Backlog'!$I209), AND('ProductSprint Backlog'!$J209=M$2,'ProductSprint Backlog'!$I209=M$2), 'ProductSprint Backlog'!$F209, TRUE, 0)</f>
        <v>0</v>
      </c>
      <c r="N209" s="4" cm="1">
        <f t="array" ref="N209">_xlfn.IFS('ProductSprint Backlog'!$F209="", "", AND('ProductSprint Backlog'!$J209&gt;N$2,'ProductSprint Backlog'!$I209&lt;=N$2), 'ProductSprint Backlog'!$F209 / MAX(1, 'ProductSprint Backlog'!$J209-'ProductSprint Backlog'!$I209), AND('ProductSprint Backlog'!$J209=N$2,'ProductSprint Backlog'!$I209=N$2), 'ProductSprint Backlog'!$F209, TRUE, 0)</f>
        <v>0</v>
      </c>
      <c r="O209" s="4" cm="1">
        <f t="array" ref="O209">_xlfn.IFS('ProductSprint Backlog'!$F209="", "", AND('ProductSprint Backlog'!$J209&gt;O$2,'ProductSprint Backlog'!$I209&lt;=O$2), 'ProductSprint Backlog'!$F209 / MAX(1, 'ProductSprint Backlog'!$J209-'ProductSprint Backlog'!$I209), AND('ProductSprint Backlog'!$J209=O$2,'ProductSprint Backlog'!$I209=O$2), 'ProductSprint Backlog'!$F209, TRUE, 0)</f>
        <v>0</v>
      </c>
      <c r="P209" s="4" cm="1">
        <f t="array" ref="P209">_xlfn.IFS('ProductSprint Backlog'!$F209="", "", AND('ProductSprint Backlog'!$J209&gt;P$2,'ProductSprint Backlog'!$I209&lt;=P$2), 'ProductSprint Backlog'!$F209 / MAX(1, 'ProductSprint Backlog'!$J209-'ProductSprint Backlog'!$I209), AND('ProductSprint Backlog'!$J209=P$2,'ProductSprint Backlog'!$I209=P$2), 'ProductSprint Backlog'!$F209, TRUE, 0)</f>
        <v>0</v>
      </c>
      <c r="Q209" s="4" cm="1">
        <f t="array" ref="Q209">_xlfn.IFS('ProductSprint Backlog'!$F209="", "", AND('ProductSprint Backlog'!$J209&gt;Q$2,'ProductSprint Backlog'!$I209&lt;=Q$2), 'ProductSprint Backlog'!$F209 / MAX(1, 'ProductSprint Backlog'!$J209-'ProductSprint Backlog'!$I209), AND('ProductSprint Backlog'!$J209=Q$2,'ProductSprint Backlog'!$I209=Q$2), 'ProductSprint Backlog'!$F209, TRUE, 0)</f>
        <v>0</v>
      </c>
      <c r="R209" s="4" cm="1">
        <f t="array" ref="R209">_xlfn.IFS('ProductSprint Backlog'!$F209="", "", AND('ProductSprint Backlog'!$J209&gt;R$2,'ProductSprint Backlog'!$I209&lt;=R$2), 'ProductSprint Backlog'!$F209 / MAX(1, 'ProductSprint Backlog'!$J209-'ProductSprint Backlog'!$I209), AND('ProductSprint Backlog'!$J209=R$2,'ProductSprint Backlog'!$I209=R$2), 'ProductSprint Backlog'!$F209, TRUE, 0)</f>
        <v>0</v>
      </c>
      <c r="S209" s="4" cm="1">
        <f t="array" ref="S209">_xlfn.IFS('ProductSprint Backlog'!$F209="", "", AND('ProductSprint Backlog'!$J209&gt;S$2,'ProductSprint Backlog'!$I209&lt;=S$2), 'ProductSprint Backlog'!$F209 / MAX(1, 'ProductSprint Backlog'!$J209-'ProductSprint Backlog'!$I209), AND('ProductSprint Backlog'!$J209=S$2,'ProductSprint Backlog'!$I209=S$2), 'ProductSprint Backlog'!$F209, TRUE, 0)</f>
        <v>0</v>
      </c>
      <c r="T209" s="4" cm="1">
        <f t="array" ref="T209">_xlfn.IFS('ProductSprint Backlog'!$F209="", "", AND('ProductSprint Backlog'!$J209&gt;T$2,'ProductSprint Backlog'!$I209&lt;=T$2), 'ProductSprint Backlog'!$F209 / MAX(1, 'ProductSprint Backlog'!$J209-'ProductSprint Backlog'!$I209), AND('ProductSprint Backlog'!$J209=T$2,'ProductSprint Backlog'!$I209=T$2), 'ProductSprint Backlog'!$F209, TRUE, 0)</f>
        <v>0</v>
      </c>
    </row>
    <row r="210" spans="2:20" x14ac:dyDescent="0.2">
      <c r="B210" s="4" cm="1">
        <f t="array" ref="B210">_xlfn.IFS('ProductSprint Backlog'!$F210="", "", AND('ProductSprint Backlog'!$J210&gt;B$2,'ProductSprint Backlog'!$I210&lt;=B$2), 'ProductSprint Backlog'!$F210 / MAX(1, 'ProductSprint Backlog'!$J210-'ProductSprint Backlog'!$I210), AND('ProductSprint Backlog'!$J210=B$2,'ProductSprint Backlog'!$I210=B$2), 'ProductSprint Backlog'!$F210, TRUE, 0)</f>
        <v>0</v>
      </c>
      <c r="C210" s="4" cm="1">
        <f t="array" ref="C210">_xlfn.IFS('ProductSprint Backlog'!$F210="", "", AND('ProductSprint Backlog'!$J210&gt;C$2,'ProductSprint Backlog'!$I210&lt;=C$2), 'ProductSprint Backlog'!$F210 / MAX(1, 'ProductSprint Backlog'!$J210-'ProductSprint Backlog'!$I210), AND('ProductSprint Backlog'!$J210=C$2,'ProductSprint Backlog'!$I210=C$2), 'ProductSprint Backlog'!$F210, TRUE, 0)</f>
        <v>0</v>
      </c>
      <c r="D210" s="4" cm="1">
        <f t="array" ref="D210">_xlfn.IFS('ProductSprint Backlog'!$F210="", "", AND('ProductSprint Backlog'!$J210&gt;D$2,'ProductSprint Backlog'!$I210&lt;=D$2), 'ProductSprint Backlog'!$F210 / MAX(1, 'ProductSprint Backlog'!$J210-'ProductSprint Backlog'!$I210), AND('ProductSprint Backlog'!$J210=D$2,'ProductSprint Backlog'!$I210=D$2), 'ProductSprint Backlog'!$F210, TRUE, 0)</f>
        <v>0</v>
      </c>
      <c r="E210" s="4" cm="1">
        <f t="array" ref="E210">_xlfn.IFS('ProductSprint Backlog'!$F210="", "", AND('ProductSprint Backlog'!$J210&gt;E$2,'ProductSprint Backlog'!$I210&lt;=E$2), 'ProductSprint Backlog'!$F210 / MAX(1, 'ProductSprint Backlog'!$J210-'ProductSprint Backlog'!$I210), AND('ProductSprint Backlog'!$J210=E$2,'ProductSprint Backlog'!$I210=E$2), 'ProductSprint Backlog'!$F210, TRUE, 0)</f>
        <v>0</v>
      </c>
      <c r="F210" s="4" cm="1">
        <f t="array" ref="F210">_xlfn.IFS('ProductSprint Backlog'!$F210="", "", AND('ProductSprint Backlog'!$J210&gt;F$2,'ProductSprint Backlog'!$I210&lt;=F$2), 'ProductSprint Backlog'!$F210 / MAX(1, 'ProductSprint Backlog'!$J210-'ProductSprint Backlog'!$I210), AND('ProductSprint Backlog'!$J210=F$2,'ProductSprint Backlog'!$I210=F$2), 'ProductSprint Backlog'!$F210, TRUE, 0)</f>
        <v>0</v>
      </c>
      <c r="G210" s="4" cm="1">
        <f t="array" ref="G210">_xlfn.IFS('ProductSprint Backlog'!$F210="", "", AND('ProductSprint Backlog'!$J210&gt;G$2,'ProductSprint Backlog'!$I210&lt;=G$2), 'ProductSprint Backlog'!$F210 / MAX(1, 'ProductSprint Backlog'!$J210-'ProductSprint Backlog'!$I210), AND('ProductSprint Backlog'!$J210=G$2,'ProductSprint Backlog'!$I210=G$2), 'ProductSprint Backlog'!$F210, TRUE, 0)</f>
        <v>0</v>
      </c>
      <c r="H210" s="4" cm="1">
        <f t="array" ref="H210">_xlfn.IFS('ProductSprint Backlog'!$F210="", "", AND('ProductSprint Backlog'!$J210&gt;H$2,'ProductSprint Backlog'!$I210&lt;=H$2), 'ProductSprint Backlog'!$F210 / MAX(1, 'ProductSprint Backlog'!$J210-'ProductSprint Backlog'!$I210), AND('ProductSprint Backlog'!$J210=H$2,'ProductSprint Backlog'!$I210=H$2), 'ProductSprint Backlog'!$F210, TRUE, 0)</f>
        <v>0</v>
      </c>
      <c r="I210" s="4" cm="1">
        <f t="array" ref="I210">_xlfn.IFS('ProductSprint Backlog'!$F210="", "", AND('ProductSprint Backlog'!$J210&gt;I$2,'ProductSprint Backlog'!$I210&lt;=I$2), 'ProductSprint Backlog'!$F210 / MAX(1, 'ProductSprint Backlog'!$J210-'ProductSprint Backlog'!$I210), AND('ProductSprint Backlog'!$J210=I$2,'ProductSprint Backlog'!$I210=I$2), 'ProductSprint Backlog'!$F210, TRUE, 0)</f>
        <v>0</v>
      </c>
      <c r="J210" s="4" cm="1">
        <f t="array" ref="J210">_xlfn.IFS('ProductSprint Backlog'!$F210="", "", AND('ProductSprint Backlog'!$J210&gt;J$2,'ProductSprint Backlog'!$I210&lt;=J$2), 'ProductSprint Backlog'!$F210 / MAX(1, 'ProductSprint Backlog'!$J210-'ProductSprint Backlog'!$I210), AND('ProductSprint Backlog'!$J210=J$2,'ProductSprint Backlog'!$I210=J$2), 'ProductSprint Backlog'!$F210, TRUE, 0)</f>
        <v>0</v>
      </c>
      <c r="K210" s="4" cm="1">
        <f t="array" ref="K210">_xlfn.IFS('ProductSprint Backlog'!$F210="", "", AND('ProductSprint Backlog'!$J210&gt;K$2,'ProductSprint Backlog'!$I210&lt;=K$2), 'ProductSprint Backlog'!$F210 / MAX(1, 'ProductSprint Backlog'!$J210-'ProductSprint Backlog'!$I210), AND('ProductSprint Backlog'!$J210=K$2,'ProductSprint Backlog'!$I210=K$2), 'ProductSprint Backlog'!$F210, TRUE, 0)</f>
        <v>0</v>
      </c>
      <c r="L210" s="4" cm="1">
        <f t="array" ref="L210">_xlfn.IFS('ProductSprint Backlog'!$F210="", "", AND('ProductSprint Backlog'!$J210&gt;L$2,'ProductSprint Backlog'!$I210&lt;=L$2), 'ProductSprint Backlog'!$F210 / MAX(1, 'ProductSprint Backlog'!$J210-'ProductSprint Backlog'!$I210), AND('ProductSprint Backlog'!$J210=L$2,'ProductSprint Backlog'!$I210=L$2), 'ProductSprint Backlog'!$F210, TRUE, 0)</f>
        <v>0</v>
      </c>
      <c r="M210" s="4" cm="1">
        <f t="array" ref="M210">_xlfn.IFS('ProductSprint Backlog'!$F210="", "", AND('ProductSprint Backlog'!$J210&gt;M$2,'ProductSprint Backlog'!$I210&lt;=M$2), 'ProductSprint Backlog'!$F210 / MAX(1, 'ProductSprint Backlog'!$J210-'ProductSprint Backlog'!$I210), AND('ProductSprint Backlog'!$J210=M$2,'ProductSprint Backlog'!$I210=M$2), 'ProductSprint Backlog'!$F210, TRUE, 0)</f>
        <v>0</v>
      </c>
      <c r="N210" s="4" cm="1">
        <f t="array" ref="N210">_xlfn.IFS('ProductSprint Backlog'!$F210="", "", AND('ProductSprint Backlog'!$J210&gt;N$2,'ProductSprint Backlog'!$I210&lt;=N$2), 'ProductSprint Backlog'!$F210 / MAX(1, 'ProductSprint Backlog'!$J210-'ProductSprint Backlog'!$I210), AND('ProductSprint Backlog'!$J210=N$2,'ProductSprint Backlog'!$I210=N$2), 'ProductSprint Backlog'!$F210, TRUE, 0)</f>
        <v>0</v>
      </c>
      <c r="O210" s="4" cm="1">
        <f t="array" ref="O210">_xlfn.IFS('ProductSprint Backlog'!$F210="", "", AND('ProductSprint Backlog'!$J210&gt;O$2,'ProductSprint Backlog'!$I210&lt;=O$2), 'ProductSprint Backlog'!$F210 / MAX(1, 'ProductSprint Backlog'!$J210-'ProductSprint Backlog'!$I210), AND('ProductSprint Backlog'!$J210=O$2,'ProductSprint Backlog'!$I210=O$2), 'ProductSprint Backlog'!$F210, TRUE, 0)</f>
        <v>0</v>
      </c>
      <c r="P210" s="4" cm="1">
        <f t="array" ref="P210">_xlfn.IFS('ProductSprint Backlog'!$F210="", "", AND('ProductSprint Backlog'!$J210&gt;P$2,'ProductSprint Backlog'!$I210&lt;=P$2), 'ProductSprint Backlog'!$F210 / MAX(1, 'ProductSprint Backlog'!$J210-'ProductSprint Backlog'!$I210), AND('ProductSprint Backlog'!$J210=P$2,'ProductSprint Backlog'!$I210=P$2), 'ProductSprint Backlog'!$F210, TRUE, 0)</f>
        <v>0</v>
      </c>
      <c r="Q210" s="4" cm="1">
        <f t="array" ref="Q210">_xlfn.IFS('ProductSprint Backlog'!$F210="", "", AND('ProductSprint Backlog'!$J210&gt;Q$2,'ProductSprint Backlog'!$I210&lt;=Q$2), 'ProductSprint Backlog'!$F210 / MAX(1, 'ProductSprint Backlog'!$J210-'ProductSprint Backlog'!$I210), AND('ProductSprint Backlog'!$J210=Q$2,'ProductSprint Backlog'!$I210=Q$2), 'ProductSprint Backlog'!$F210, TRUE, 0)</f>
        <v>0</v>
      </c>
      <c r="R210" s="4" cm="1">
        <f t="array" ref="R210">_xlfn.IFS('ProductSprint Backlog'!$F210="", "", AND('ProductSprint Backlog'!$J210&gt;R$2,'ProductSprint Backlog'!$I210&lt;=R$2), 'ProductSprint Backlog'!$F210 / MAX(1, 'ProductSprint Backlog'!$J210-'ProductSprint Backlog'!$I210), AND('ProductSprint Backlog'!$J210=R$2,'ProductSprint Backlog'!$I210=R$2), 'ProductSprint Backlog'!$F210, TRUE, 0)</f>
        <v>0</v>
      </c>
      <c r="S210" s="4" cm="1">
        <f t="array" ref="S210">_xlfn.IFS('ProductSprint Backlog'!$F210="", "", AND('ProductSprint Backlog'!$J210&gt;S$2,'ProductSprint Backlog'!$I210&lt;=S$2), 'ProductSprint Backlog'!$F210 / MAX(1, 'ProductSprint Backlog'!$J210-'ProductSprint Backlog'!$I210), AND('ProductSprint Backlog'!$J210=S$2,'ProductSprint Backlog'!$I210=S$2), 'ProductSprint Backlog'!$F210, TRUE, 0)</f>
        <v>0</v>
      </c>
      <c r="T210" s="4" cm="1">
        <f t="array" ref="T210">_xlfn.IFS('ProductSprint Backlog'!$F210="", "", AND('ProductSprint Backlog'!$J210&gt;T$2,'ProductSprint Backlog'!$I210&lt;=T$2), 'ProductSprint Backlog'!$F210 / MAX(1, 'ProductSprint Backlog'!$J210-'ProductSprint Backlog'!$I210), AND('ProductSprint Backlog'!$J210=T$2,'ProductSprint Backlog'!$I210=T$2), 'ProductSprint Backlog'!$F210, TRUE, 0)</f>
        <v>0</v>
      </c>
    </row>
    <row r="211" spans="2:20" x14ac:dyDescent="0.2">
      <c r="B211" s="4" cm="1">
        <f t="array" ref="B211">_xlfn.IFS('ProductSprint Backlog'!$F211="", "", AND('ProductSprint Backlog'!$J211&gt;B$2,'ProductSprint Backlog'!$I211&lt;=B$2), 'ProductSprint Backlog'!$F211 / MAX(1, 'ProductSprint Backlog'!$J211-'ProductSprint Backlog'!$I211), AND('ProductSprint Backlog'!$J211=B$2,'ProductSprint Backlog'!$I211=B$2), 'ProductSprint Backlog'!$F211, TRUE, 0)</f>
        <v>0</v>
      </c>
      <c r="C211" s="4" cm="1">
        <f t="array" ref="C211">_xlfn.IFS('ProductSprint Backlog'!$F211="", "", AND('ProductSprint Backlog'!$J211&gt;C$2,'ProductSprint Backlog'!$I211&lt;=C$2), 'ProductSprint Backlog'!$F211 / MAX(1, 'ProductSprint Backlog'!$J211-'ProductSprint Backlog'!$I211), AND('ProductSprint Backlog'!$J211=C$2,'ProductSprint Backlog'!$I211=C$2), 'ProductSprint Backlog'!$F211, TRUE, 0)</f>
        <v>0</v>
      </c>
      <c r="D211" s="4" cm="1">
        <f t="array" ref="D211">_xlfn.IFS('ProductSprint Backlog'!$F211="", "", AND('ProductSprint Backlog'!$J211&gt;D$2,'ProductSprint Backlog'!$I211&lt;=D$2), 'ProductSprint Backlog'!$F211 / MAX(1, 'ProductSprint Backlog'!$J211-'ProductSprint Backlog'!$I211), AND('ProductSprint Backlog'!$J211=D$2,'ProductSprint Backlog'!$I211=D$2), 'ProductSprint Backlog'!$F211, TRUE, 0)</f>
        <v>0</v>
      </c>
      <c r="E211" s="4" cm="1">
        <f t="array" ref="E211">_xlfn.IFS('ProductSprint Backlog'!$F211="", "", AND('ProductSprint Backlog'!$J211&gt;E$2,'ProductSprint Backlog'!$I211&lt;=E$2), 'ProductSprint Backlog'!$F211 / MAX(1, 'ProductSprint Backlog'!$J211-'ProductSprint Backlog'!$I211), AND('ProductSprint Backlog'!$J211=E$2,'ProductSprint Backlog'!$I211=E$2), 'ProductSprint Backlog'!$F211, TRUE, 0)</f>
        <v>0</v>
      </c>
      <c r="F211" s="4" cm="1">
        <f t="array" ref="F211">_xlfn.IFS('ProductSprint Backlog'!$F211="", "", AND('ProductSprint Backlog'!$J211&gt;F$2,'ProductSprint Backlog'!$I211&lt;=F$2), 'ProductSprint Backlog'!$F211 / MAX(1, 'ProductSprint Backlog'!$J211-'ProductSprint Backlog'!$I211), AND('ProductSprint Backlog'!$J211=F$2,'ProductSprint Backlog'!$I211=F$2), 'ProductSprint Backlog'!$F211, TRUE, 0)</f>
        <v>0</v>
      </c>
      <c r="G211" s="4" cm="1">
        <f t="array" ref="G211">_xlfn.IFS('ProductSprint Backlog'!$F211="", "", AND('ProductSprint Backlog'!$J211&gt;G$2,'ProductSprint Backlog'!$I211&lt;=G$2), 'ProductSprint Backlog'!$F211 / MAX(1, 'ProductSprint Backlog'!$J211-'ProductSprint Backlog'!$I211), AND('ProductSprint Backlog'!$J211=G$2,'ProductSprint Backlog'!$I211=G$2), 'ProductSprint Backlog'!$F211, TRUE, 0)</f>
        <v>0</v>
      </c>
      <c r="H211" s="4" cm="1">
        <f t="array" ref="H211">_xlfn.IFS('ProductSprint Backlog'!$F211="", "", AND('ProductSprint Backlog'!$J211&gt;H$2,'ProductSprint Backlog'!$I211&lt;=H$2), 'ProductSprint Backlog'!$F211 / MAX(1, 'ProductSprint Backlog'!$J211-'ProductSprint Backlog'!$I211), AND('ProductSprint Backlog'!$J211=H$2,'ProductSprint Backlog'!$I211=H$2), 'ProductSprint Backlog'!$F211, TRUE, 0)</f>
        <v>0</v>
      </c>
      <c r="I211" s="4" cm="1">
        <f t="array" ref="I211">_xlfn.IFS('ProductSprint Backlog'!$F211="", "", AND('ProductSprint Backlog'!$J211&gt;I$2,'ProductSprint Backlog'!$I211&lt;=I$2), 'ProductSprint Backlog'!$F211 / MAX(1, 'ProductSprint Backlog'!$J211-'ProductSprint Backlog'!$I211), AND('ProductSprint Backlog'!$J211=I$2,'ProductSprint Backlog'!$I211=I$2), 'ProductSprint Backlog'!$F211, TRUE, 0)</f>
        <v>0</v>
      </c>
      <c r="J211" s="4" cm="1">
        <f t="array" ref="J211">_xlfn.IFS('ProductSprint Backlog'!$F211="", "", AND('ProductSprint Backlog'!$J211&gt;J$2,'ProductSprint Backlog'!$I211&lt;=J$2), 'ProductSprint Backlog'!$F211 / MAX(1, 'ProductSprint Backlog'!$J211-'ProductSprint Backlog'!$I211), AND('ProductSprint Backlog'!$J211=J$2,'ProductSprint Backlog'!$I211=J$2), 'ProductSprint Backlog'!$F211, TRUE, 0)</f>
        <v>0</v>
      </c>
      <c r="K211" s="4" cm="1">
        <f t="array" ref="K211">_xlfn.IFS('ProductSprint Backlog'!$F211="", "", AND('ProductSprint Backlog'!$J211&gt;K$2,'ProductSprint Backlog'!$I211&lt;=K$2), 'ProductSprint Backlog'!$F211 / MAX(1, 'ProductSprint Backlog'!$J211-'ProductSprint Backlog'!$I211), AND('ProductSprint Backlog'!$J211=K$2,'ProductSprint Backlog'!$I211=K$2), 'ProductSprint Backlog'!$F211, TRUE, 0)</f>
        <v>0</v>
      </c>
      <c r="L211" s="4" cm="1">
        <f t="array" ref="L211">_xlfn.IFS('ProductSprint Backlog'!$F211="", "", AND('ProductSprint Backlog'!$J211&gt;L$2,'ProductSprint Backlog'!$I211&lt;=L$2), 'ProductSprint Backlog'!$F211 / MAX(1, 'ProductSprint Backlog'!$J211-'ProductSprint Backlog'!$I211), AND('ProductSprint Backlog'!$J211=L$2,'ProductSprint Backlog'!$I211=L$2), 'ProductSprint Backlog'!$F211, TRUE, 0)</f>
        <v>0</v>
      </c>
      <c r="M211" s="4" cm="1">
        <f t="array" ref="M211">_xlfn.IFS('ProductSprint Backlog'!$F211="", "", AND('ProductSprint Backlog'!$J211&gt;M$2,'ProductSprint Backlog'!$I211&lt;=M$2), 'ProductSprint Backlog'!$F211 / MAX(1, 'ProductSprint Backlog'!$J211-'ProductSprint Backlog'!$I211), AND('ProductSprint Backlog'!$J211=M$2,'ProductSprint Backlog'!$I211=M$2), 'ProductSprint Backlog'!$F211, TRUE, 0)</f>
        <v>0</v>
      </c>
      <c r="N211" s="4" cm="1">
        <f t="array" ref="N211">_xlfn.IFS('ProductSprint Backlog'!$F211="", "", AND('ProductSprint Backlog'!$J211&gt;N$2,'ProductSprint Backlog'!$I211&lt;=N$2), 'ProductSprint Backlog'!$F211 / MAX(1, 'ProductSprint Backlog'!$J211-'ProductSprint Backlog'!$I211), AND('ProductSprint Backlog'!$J211=N$2,'ProductSprint Backlog'!$I211=N$2), 'ProductSprint Backlog'!$F211, TRUE, 0)</f>
        <v>0</v>
      </c>
      <c r="O211" s="4" cm="1">
        <f t="array" ref="O211">_xlfn.IFS('ProductSprint Backlog'!$F211="", "", AND('ProductSprint Backlog'!$J211&gt;O$2,'ProductSprint Backlog'!$I211&lt;=O$2), 'ProductSprint Backlog'!$F211 / MAX(1, 'ProductSprint Backlog'!$J211-'ProductSprint Backlog'!$I211), AND('ProductSprint Backlog'!$J211=O$2,'ProductSprint Backlog'!$I211=O$2), 'ProductSprint Backlog'!$F211, TRUE, 0)</f>
        <v>0</v>
      </c>
      <c r="P211" s="4" cm="1">
        <f t="array" ref="P211">_xlfn.IFS('ProductSprint Backlog'!$F211="", "", AND('ProductSprint Backlog'!$J211&gt;P$2,'ProductSprint Backlog'!$I211&lt;=P$2), 'ProductSprint Backlog'!$F211 / MAX(1, 'ProductSprint Backlog'!$J211-'ProductSprint Backlog'!$I211), AND('ProductSprint Backlog'!$J211=P$2,'ProductSprint Backlog'!$I211=P$2), 'ProductSprint Backlog'!$F211, TRUE, 0)</f>
        <v>0</v>
      </c>
      <c r="Q211" s="4" cm="1">
        <f t="array" ref="Q211">_xlfn.IFS('ProductSprint Backlog'!$F211="", "", AND('ProductSprint Backlog'!$J211&gt;Q$2,'ProductSprint Backlog'!$I211&lt;=Q$2), 'ProductSprint Backlog'!$F211 / MAX(1, 'ProductSprint Backlog'!$J211-'ProductSprint Backlog'!$I211), AND('ProductSprint Backlog'!$J211=Q$2,'ProductSprint Backlog'!$I211=Q$2), 'ProductSprint Backlog'!$F211, TRUE, 0)</f>
        <v>0</v>
      </c>
      <c r="R211" s="4" cm="1">
        <f t="array" ref="R211">_xlfn.IFS('ProductSprint Backlog'!$F211="", "", AND('ProductSprint Backlog'!$J211&gt;R$2,'ProductSprint Backlog'!$I211&lt;=R$2), 'ProductSprint Backlog'!$F211 / MAX(1, 'ProductSprint Backlog'!$J211-'ProductSprint Backlog'!$I211), AND('ProductSprint Backlog'!$J211=R$2,'ProductSprint Backlog'!$I211=R$2), 'ProductSprint Backlog'!$F211, TRUE, 0)</f>
        <v>0</v>
      </c>
      <c r="S211" s="4" cm="1">
        <f t="array" ref="S211">_xlfn.IFS('ProductSprint Backlog'!$F211="", "", AND('ProductSprint Backlog'!$J211&gt;S$2,'ProductSprint Backlog'!$I211&lt;=S$2), 'ProductSprint Backlog'!$F211 / MAX(1, 'ProductSprint Backlog'!$J211-'ProductSprint Backlog'!$I211), AND('ProductSprint Backlog'!$J211=S$2,'ProductSprint Backlog'!$I211=S$2), 'ProductSprint Backlog'!$F211, TRUE, 0)</f>
        <v>0</v>
      </c>
      <c r="T211" s="4" cm="1">
        <f t="array" ref="T211">_xlfn.IFS('ProductSprint Backlog'!$F211="", "", AND('ProductSprint Backlog'!$J211&gt;T$2,'ProductSprint Backlog'!$I211&lt;=T$2), 'ProductSprint Backlog'!$F211 / MAX(1, 'ProductSprint Backlog'!$J211-'ProductSprint Backlog'!$I211), AND('ProductSprint Backlog'!$J211=T$2,'ProductSprint Backlog'!$I211=T$2), 'ProductSprint Backlog'!$F211, TRUE, 0)</f>
        <v>0</v>
      </c>
    </row>
    <row r="212" spans="2:20" x14ac:dyDescent="0.2">
      <c r="B212" s="4" cm="1">
        <f t="array" ref="B212">_xlfn.IFS('ProductSprint Backlog'!$F212="", "", AND('ProductSprint Backlog'!$J212&gt;B$2,'ProductSprint Backlog'!$I212&lt;=B$2), 'ProductSprint Backlog'!$F212 / MAX(1, 'ProductSprint Backlog'!$J212-'ProductSprint Backlog'!$I212), AND('ProductSprint Backlog'!$J212=B$2,'ProductSprint Backlog'!$I212=B$2), 'ProductSprint Backlog'!$F212, TRUE, 0)</f>
        <v>0</v>
      </c>
      <c r="C212" s="4" cm="1">
        <f t="array" ref="C212">_xlfn.IFS('ProductSprint Backlog'!$F212="", "", AND('ProductSprint Backlog'!$J212&gt;C$2,'ProductSprint Backlog'!$I212&lt;=C$2), 'ProductSprint Backlog'!$F212 / MAX(1, 'ProductSprint Backlog'!$J212-'ProductSprint Backlog'!$I212), AND('ProductSprint Backlog'!$J212=C$2,'ProductSprint Backlog'!$I212=C$2), 'ProductSprint Backlog'!$F212, TRUE, 0)</f>
        <v>0</v>
      </c>
      <c r="D212" s="4" cm="1">
        <f t="array" ref="D212">_xlfn.IFS('ProductSprint Backlog'!$F212="", "", AND('ProductSprint Backlog'!$J212&gt;D$2,'ProductSprint Backlog'!$I212&lt;=D$2), 'ProductSprint Backlog'!$F212 / MAX(1, 'ProductSprint Backlog'!$J212-'ProductSprint Backlog'!$I212), AND('ProductSprint Backlog'!$J212=D$2,'ProductSprint Backlog'!$I212=D$2), 'ProductSprint Backlog'!$F212, TRUE, 0)</f>
        <v>0</v>
      </c>
      <c r="E212" s="4" cm="1">
        <f t="array" ref="E212">_xlfn.IFS('ProductSprint Backlog'!$F212="", "", AND('ProductSprint Backlog'!$J212&gt;E$2,'ProductSprint Backlog'!$I212&lt;=E$2), 'ProductSprint Backlog'!$F212 / MAX(1, 'ProductSprint Backlog'!$J212-'ProductSprint Backlog'!$I212), AND('ProductSprint Backlog'!$J212=E$2,'ProductSprint Backlog'!$I212=E$2), 'ProductSprint Backlog'!$F212, TRUE, 0)</f>
        <v>0</v>
      </c>
      <c r="F212" s="4" cm="1">
        <f t="array" ref="F212">_xlfn.IFS('ProductSprint Backlog'!$F212="", "", AND('ProductSprint Backlog'!$J212&gt;F$2,'ProductSprint Backlog'!$I212&lt;=F$2), 'ProductSprint Backlog'!$F212 / MAX(1, 'ProductSprint Backlog'!$J212-'ProductSprint Backlog'!$I212), AND('ProductSprint Backlog'!$J212=F$2,'ProductSprint Backlog'!$I212=F$2), 'ProductSprint Backlog'!$F212, TRUE, 0)</f>
        <v>0</v>
      </c>
      <c r="G212" s="4" cm="1">
        <f t="array" ref="G212">_xlfn.IFS('ProductSprint Backlog'!$F212="", "", AND('ProductSprint Backlog'!$J212&gt;G$2,'ProductSprint Backlog'!$I212&lt;=G$2), 'ProductSprint Backlog'!$F212 / MAX(1, 'ProductSprint Backlog'!$J212-'ProductSprint Backlog'!$I212), AND('ProductSprint Backlog'!$J212=G$2,'ProductSprint Backlog'!$I212=G$2), 'ProductSprint Backlog'!$F212, TRUE, 0)</f>
        <v>0</v>
      </c>
      <c r="H212" s="4" cm="1">
        <f t="array" ref="H212">_xlfn.IFS('ProductSprint Backlog'!$F212="", "", AND('ProductSprint Backlog'!$J212&gt;H$2,'ProductSprint Backlog'!$I212&lt;=H$2), 'ProductSprint Backlog'!$F212 / MAX(1, 'ProductSprint Backlog'!$J212-'ProductSprint Backlog'!$I212), AND('ProductSprint Backlog'!$J212=H$2,'ProductSprint Backlog'!$I212=H$2), 'ProductSprint Backlog'!$F212, TRUE, 0)</f>
        <v>0</v>
      </c>
      <c r="I212" s="4" cm="1">
        <f t="array" ref="I212">_xlfn.IFS('ProductSprint Backlog'!$F212="", "", AND('ProductSprint Backlog'!$J212&gt;I$2,'ProductSprint Backlog'!$I212&lt;=I$2), 'ProductSprint Backlog'!$F212 / MAX(1, 'ProductSprint Backlog'!$J212-'ProductSprint Backlog'!$I212), AND('ProductSprint Backlog'!$J212=I$2,'ProductSprint Backlog'!$I212=I$2), 'ProductSprint Backlog'!$F212, TRUE, 0)</f>
        <v>0</v>
      </c>
      <c r="J212" s="4" cm="1">
        <f t="array" ref="J212">_xlfn.IFS('ProductSprint Backlog'!$F212="", "", AND('ProductSprint Backlog'!$J212&gt;J$2,'ProductSprint Backlog'!$I212&lt;=J$2), 'ProductSprint Backlog'!$F212 / MAX(1, 'ProductSprint Backlog'!$J212-'ProductSprint Backlog'!$I212), AND('ProductSprint Backlog'!$J212=J$2,'ProductSprint Backlog'!$I212=J$2), 'ProductSprint Backlog'!$F212, TRUE, 0)</f>
        <v>0</v>
      </c>
      <c r="K212" s="4" cm="1">
        <f t="array" ref="K212">_xlfn.IFS('ProductSprint Backlog'!$F212="", "", AND('ProductSprint Backlog'!$J212&gt;K$2,'ProductSprint Backlog'!$I212&lt;=K$2), 'ProductSprint Backlog'!$F212 / MAX(1, 'ProductSprint Backlog'!$J212-'ProductSprint Backlog'!$I212), AND('ProductSprint Backlog'!$J212=K$2,'ProductSprint Backlog'!$I212=K$2), 'ProductSprint Backlog'!$F212, TRUE, 0)</f>
        <v>0</v>
      </c>
      <c r="L212" s="4" cm="1">
        <f t="array" ref="L212">_xlfn.IFS('ProductSprint Backlog'!$F212="", "", AND('ProductSprint Backlog'!$J212&gt;L$2,'ProductSprint Backlog'!$I212&lt;=L$2), 'ProductSprint Backlog'!$F212 / MAX(1, 'ProductSprint Backlog'!$J212-'ProductSprint Backlog'!$I212), AND('ProductSprint Backlog'!$J212=L$2,'ProductSprint Backlog'!$I212=L$2), 'ProductSprint Backlog'!$F212, TRUE, 0)</f>
        <v>0</v>
      </c>
      <c r="M212" s="4" cm="1">
        <f t="array" ref="M212">_xlfn.IFS('ProductSprint Backlog'!$F212="", "", AND('ProductSprint Backlog'!$J212&gt;M$2,'ProductSprint Backlog'!$I212&lt;=M$2), 'ProductSprint Backlog'!$F212 / MAX(1, 'ProductSprint Backlog'!$J212-'ProductSprint Backlog'!$I212), AND('ProductSprint Backlog'!$J212=M$2,'ProductSprint Backlog'!$I212=M$2), 'ProductSprint Backlog'!$F212, TRUE, 0)</f>
        <v>0</v>
      </c>
      <c r="N212" s="4" cm="1">
        <f t="array" ref="N212">_xlfn.IFS('ProductSprint Backlog'!$F212="", "", AND('ProductSprint Backlog'!$J212&gt;N$2,'ProductSprint Backlog'!$I212&lt;=N$2), 'ProductSprint Backlog'!$F212 / MAX(1, 'ProductSprint Backlog'!$J212-'ProductSprint Backlog'!$I212), AND('ProductSprint Backlog'!$J212=N$2,'ProductSprint Backlog'!$I212=N$2), 'ProductSprint Backlog'!$F212, TRUE, 0)</f>
        <v>0</v>
      </c>
      <c r="O212" s="4" cm="1">
        <f t="array" ref="O212">_xlfn.IFS('ProductSprint Backlog'!$F212="", "", AND('ProductSprint Backlog'!$J212&gt;O$2,'ProductSprint Backlog'!$I212&lt;=O$2), 'ProductSprint Backlog'!$F212 / MAX(1, 'ProductSprint Backlog'!$J212-'ProductSprint Backlog'!$I212), AND('ProductSprint Backlog'!$J212=O$2,'ProductSprint Backlog'!$I212=O$2), 'ProductSprint Backlog'!$F212, TRUE, 0)</f>
        <v>0</v>
      </c>
      <c r="P212" s="4" cm="1">
        <f t="array" ref="P212">_xlfn.IFS('ProductSprint Backlog'!$F212="", "", AND('ProductSprint Backlog'!$J212&gt;P$2,'ProductSprint Backlog'!$I212&lt;=P$2), 'ProductSprint Backlog'!$F212 / MAX(1, 'ProductSprint Backlog'!$J212-'ProductSprint Backlog'!$I212), AND('ProductSprint Backlog'!$J212=P$2,'ProductSprint Backlog'!$I212=P$2), 'ProductSprint Backlog'!$F212, TRUE, 0)</f>
        <v>0</v>
      </c>
      <c r="Q212" s="4" cm="1">
        <f t="array" ref="Q212">_xlfn.IFS('ProductSprint Backlog'!$F212="", "", AND('ProductSprint Backlog'!$J212&gt;Q$2,'ProductSprint Backlog'!$I212&lt;=Q$2), 'ProductSprint Backlog'!$F212 / MAX(1, 'ProductSprint Backlog'!$J212-'ProductSprint Backlog'!$I212), AND('ProductSprint Backlog'!$J212=Q$2,'ProductSprint Backlog'!$I212=Q$2), 'ProductSprint Backlog'!$F212, TRUE, 0)</f>
        <v>0</v>
      </c>
      <c r="R212" s="4" cm="1">
        <f t="array" ref="R212">_xlfn.IFS('ProductSprint Backlog'!$F212="", "", AND('ProductSprint Backlog'!$J212&gt;R$2,'ProductSprint Backlog'!$I212&lt;=R$2), 'ProductSprint Backlog'!$F212 / MAX(1, 'ProductSprint Backlog'!$J212-'ProductSprint Backlog'!$I212), AND('ProductSprint Backlog'!$J212=R$2,'ProductSprint Backlog'!$I212=R$2), 'ProductSprint Backlog'!$F212, TRUE, 0)</f>
        <v>0</v>
      </c>
      <c r="S212" s="4" cm="1">
        <f t="array" ref="S212">_xlfn.IFS('ProductSprint Backlog'!$F212="", "", AND('ProductSprint Backlog'!$J212&gt;S$2,'ProductSprint Backlog'!$I212&lt;=S$2), 'ProductSprint Backlog'!$F212 / MAX(1, 'ProductSprint Backlog'!$J212-'ProductSprint Backlog'!$I212), AND('ProductSprint Backlog'!$J212=S$2,'ProductSprint Backlog'!$I212=S$2), 'ProductSprint Backlog'!$F212, TRUE, 0)</f>
        <v>0</v>
      </c>
      <c r="T212" s="4" cm="1">
        <f t="array" ref="T212">_xlfn.IFS('ProductSprint Backlog'!$F212="", "", AND('ProductSprint Backlog'!$J212&gt;T$2,'ProductSprint Backlog'!$I212&lt;=T$2), 'ProductSprint Backlog'!$F212 / MAX(1, 'ProductSprint Backlog'!$J212-'ProductSprint Backlog'!$I212), AND('ProductSprint Backlog'!$J212=T$2,'ProductSprint Backlog'!$I212=T$2), 'ProductSprint Backlog'!$F212, TRUE, 0)</f>
        <v>0</v>
      </c>
    </row>
    <row r="213" spans="2:20" x14ac:dyDescent="0.2">
      <c r="B213" s="4" cm="1">
        <f t="array" ref="B213">_xlfn.IFS('ProductSprint Backlog'!$F213="", "", AND('ProductSprint Backlog'!$J213&gt;B$2,'ProductSprint Backlog'!$I213&lt;=B$2), 'ProductSprint Backlog'!$F213 / MAX(1, 'ProductSprint Backlog'!$J213-'ProductSprint Backlog'!$I213), AND('ProductSprint Backlog'!$J213=B$2,'ProductSprint Backlog'!$I213=B$2), 'ProductSprint Backlog'!$F213, TRUE, 0)</f>
        <v>0</v>
      </c>
      <c r="C213" s="4" cm="1">
        <f t="array" ref="C213">_xlfn.IFS('ProductSprint Backlog'!$F213="", "", AND('ProductSprint Backlog'!$J213&gt;C$2,'ProductSprint Backlog'!$I213&lt;=C$2), 'ProductSprint Backlog'!$F213 / MAX(1, 'ProductSprint Backlog'!$J213-'ProductSprint Backlog'!$I213), AND('ProductSprint Backlog'!$J213=C$2,'ProductSprint Backlog'!$I213=C$2), 'ProductSprint Backlog'!$F213, TRUE, 0)</f>
        <v>0</v>
      </c>
      <c r="D213" s="4" cm="1">
        <f t="array" ref="D213">_xlfn.IFS('ProductSprint Backlog'!$F213="", "", AND('ProductSprint Backlog'!$J213&gt;D$2,'ProductSprint Backlog'!$I213&lt;=D$2), 'ProductSprint Backlog'!$F213 / MAX(1, 'ProductSprint Backlog'!$J213-'ProductSprint Backlog'!$I213), AND('ProductSprint Backlog'!$J213=D$2,'ProductSprint Backlog'!$I213=D$2), 'ProductSprint Backlog'!$F213, TRUE, 0)</f>
        <v>0</v>
      </c>
      <c r="E213" s="4" cm="1">
        <f t="array" ref="E213">_xlfn.IFS('ProductSprint Backlog'!$F213="", "", AND('ProductSprint Backlog'!$J213&gt;E$2,'ProductSprint Backlog'!$I213&lt;=E$2), 'ProductSprint Backlog'!$F213 / MAX(1, 'ProductSprint Backlog'!$J213-'ProductSprint Backlog'!$I213), AND('ProductSprint Backlog'!$J213=E$2,'ProductSprint Backlog'!$I213=E$2), 'ProductSprint Backlog'!$F213, TRUE, 0)</f>
        <v>0</v>
      </c>
      <c r="F213" s="4" cm="1">
        <f t="array" ref="F213">_xlfn.IFS('ProductSprint Backlog'!$F213="", "", AND('ProductSprint Backlog'!$J213&gt;F$2,'ProductSprint Backlog'!$I213&lt;=F$2), 'ProductSprint Backlog'!$F213 / MAX(1, 'ProductSprint Backlog'!$J213-'ProductSprint Backlog'!$I213), AND('ProductSprint Backlog'!$J213=F$2,'ProductSprint Backlog'!$I213=F$2), 'ProductSprint Backlog'!$F213, TRUE, 0)</f>
        <v>0</v>
      </c>
      <c r="G213" s="4" cm="1">
        <f t="array" ref="G213">_xlfn.IFS('ProductSprint Backlog'!$F213="", "", AND('ProductSprint Backlog'!$J213&gt;G$2,'ProductSprint Backlog'!$I213&lt;=G$2), 'ProductSprint Backlog'!$F213 / MAX(1, 'ProductSprint Backlog'!$J213-'ProductSprint Backlog'!$I213), AND('ProductSprint Backlog'!$J213=G$2,'ProductSprint Backlog'!$I213=G$2), 'ProductSprint Backlog'!$F213, TRUE, 0)</f>
        <v>0</v>
      </c>
      <c r="H213" s="4" cm="1">
        <f t="array" ref="H213">_xlfn.IFS('ProductSprint Backlog'!$F213="", "", AND('ProductSprint Backlog'!$J213&gt;H$2,'ProductSprint Backlog'!$I213&lt;=H$2), 'ProductSprint Backlog'!$F213 / MAX(1, 'ProductSprint Backlog'!$J213-'ProductSprint Backlog'!$I213), AND('ProductSprint Backlog'!$J213=H$2,'ProductSprint Backlog'!$I213=H$2), 'ProductSprint Backlog'!$F213, TRUE, 0)</f>
        <v>0</v>
      </c>
      <c r="I213" s="4" cm="1">
        <f t="array" ref="I213">_xlfn.IFS('ProductSprint Backlog'!$F213="", "", AND('ProductSprint Backlog'!$J213&gt;I$2,'ProductSprint Backlog'!$I213&lt;=I$2), 'ProductSprint Backlog'!$F213 / MAX(1, 'ProductSprint Backlog'!$J213-'ProductSprint Backlog'!$I213), AND('ProductSprint Backlog'!$J213=I$2,'ProductSprint Backlog'!$I213=I$2), 'ProductSprint Backlog'!$F213, TRUE, 0)</f>
        <v>0</v>
      </c>
      <c r="J213" s="4" cm="1">
        <f t="array" ref="J213">_xlfn.IFS('ProductSprint Backlog'!$F213="", "", AND('ProductSprint Backlog'!$J213&gt;J$2,'ProductSprint Backlog'!$I213&lt;=J$2), 'ProductSprint Backlog'!$F213 / MAX(1, 'ProductSprint Backlog'!$J213-'ProductSprint Backlog'!$I213), AND('ProductSprint Backlog'!$J213=J$2,'ProductSprint Backlog'!$I213=J$2), 'ProductSprint Backlog'!$F213, TRUE, 0)</f>
        <v>0</v>
      </c>
      <c r="K213" s="4" cm="1">
        <f t="array" ref="K213">_xlfn.IFS('ProductSprint Backlog'!$F213="", "", AND('ProductSprint Backlog'!$J213&gt;K$2,'ProductSprint Backlog'!$I213&lt;=K$2), 'ProductSprint Backlog'!$F213 / MAX(1, 'ProductSprint Backlog'!$J213-'ProductSprint Backlog'!$I213), AND('ProductSprint Backlog'!$J213=K$2,'ProductSprint Backlog'!$I213=K$2), 'ProductSprint Backlog'!$F213, TRUE, 0)</f>
        <v>0</v>
      </c>
      <c r="L213" s="4" cm="1">
        <f t="array" ref="L213">_xlfn.IFS('ProductSprint Backlog'!$F213="", "", AND('ProductSprint Backlog'!$J213&gt;L$2,'ProductSprint Backlog'!$I213&lt;=L$2), 'ProductSprint Backlog'!$F213 / MAX(1, 'ProductSprint Backlog'!$J213-'ProductSprint Backlog'!$I213), AND('ProductSprint Backlog'!$J213=L$2,'ProductSprint Backlog'!$I213=L$2), 'ProductSprint Backlog'!$F213, TRUE, 0)</f>
        <v>0</v>
      </c>
      <c r="M213" s="4" cm="1">
        <f t="array" ref="M213">_xlfn.IFS('ProductSprint Backlog'!$F213="", "", AND('ProductSprint Backlog'!$J213&gt;M$2,'ProductSprint Backlog'!$I213&lt;=M$2), 'ProductSprint Backlog'!$F213 / MAX(1, 'ProductSprint Backlog'!$J213-'ProductSprint Backlog'!$I213), AND('ProductSprint Backlog'!$J213=M$2,'ProductSprint Backlog'!$I213=M$2), 'ProductSprint Backlog'!$F213, TRUE, 0)</f>
        <v>0</v>
      </c>
      <c r="N213" s="4" cm="1">
        <f t="array" ref="N213">_xlfn.IFS('ProductSprint Backlog'!$F213="", "", AND('ProductSprint Backlog'!$J213&gt;N$2,'ProductSprint Backlog'!$I213&lt;=N$2), 'ProductSprint Backlog'!$F213 / MAX(1, 'ProductSprint Backlog'!$J213-'ProductSprint Backlog'!$I213), AND('ProductSprint Backlog'!$J213=N$2,'ProductSprint Backlog'!$I213=N$2), 'ProductSprint Backlog'!$F213, TRUE, 0)</f>
        <v>0</v>
      </c>
      <c r="O213" s="4" cm="1">
        <f t="array" ref="O213">_xlfn.IFS('ProductSprint Backlog'!$F213="", "", AND('ProductSprint Backlog'!$J213&gt;O$2,'ProductSprint Backlog'!$I213&lt;=O$2), 'ProductSprint Backlog'!$F213 / MAX(1, 'ProductSprint Backlog'!$J213-'ProductSprint Backlog'!$I213), AND('ProductSprint Backlog'!$J213=O$2,'ProductSprint Backlog'!$I213=O$2), 'ProductSprint Backlog'!$F213, TRUE, 0)</f>
        <v>0</v>
      </c>
      <c r="P213" s="4" cm="1">
        <f t="array" ref="P213">_xlfn.IFS('ProductSprint Backlog'!$F213="", "", AND('ProductSprint Backlog'!$J213&gt;P$2,'ProductSprint Backlog'!$I213&lt;=P$2), 'ProductSprint Backlog'!$F213 / MAX(1, 'ProductSprint Backlog'!$J213-'ProductSprint Backlog'!$I213), AND('ProductSprint Backlog'!$J213=P$2,'ProductSprint Backlog'!$I213=P$2), 'ProductSprint Backlog'!$F213, TRUE, 0)</f>
        <v>0</v>
      </c>
      <c r="Q213" s="4" cm="1">
        <f t="array" ref="Q213">_xlfn.IFS('ProductSprint Backlog'!$F213="", "", AND('ProductSprint Backlog'!$J213&gt;Q$2,'ProductSprint Backlog'!$I213&lt;=Q$2), 'ProductSprint Backlog'!$F213 / MAX(1, 'ProductSprint Backlog'!$J213-'ProductSprint Backlog'!$I213), AND('ProductSprint Backlog'!$J213=Q$2,'ProductSprint Backlog'!$I213=Q$2), 'ProductSprint Backlog'!$F213, TRUE, 0)</f>
        <v>0</v>
      </c>
      <c r="R213" s="4" cm="1">
        <f t="array" ref="R213">_xlfn.IFS('ProductSprint Backlog'!$F213="", "", AND('ProductSprint Backlog'!$J213&gt;R$2,'ProductSprint Backlog'!$I213&lt;=R$2), 'ProductSprint Backlog'!$F213 / MAX(1, 'ProductSprint Backlog'!$J213-'ProductSprint Backlog'!$I213), AND('ProductSprint Backlog'!$J213=R$2,'ProductSprint Backlog'!$I213=R$2), 'ProductSprint Backlog'!$F213, TRUE, 0)</f>
        <v>0</v>
      </c>
      <c r="S213" s="4" cm="1">
        <f t="array" ref="S213">_xlfn.IFS('ProductSprint Backlog'!$F213="", "", AND('ProductSprint Backlog'!$J213&gt;S$2,'ProductSprint Backlog'!$I213&lt;=S$2), 'ProductSprint Backlog'!$F213 / MAX(1, 'ProductSprint Backlog'!$J213-'ProductSprint Backlog'!$I213), AND('ProductSprint Backlog'!$J213=S$2,'ProductSprint Backlog'!$I213=S$2), 'ProductSprint Backlog'!$F213, TRUE, 0)</f>
        <v>0</v>
      </c>
      <c r="T213" s="4" cm="1">
        <f t="array" ref="T213">_xlfn.IFS('ProductSprint Backlog'!$F213="", "", AND('ProductSprint Backlog'!$J213&gt;T$2,'ProductSprint Backlog'!$I213&lt;=T$2), 'ProductSprint Backlog'!$F213 / MAX(1, 'ProductSprint Backlog'!$J213-'ProductSprint Backlog'!$I213), AND('ProductSprint Backlog'!$J213=T$2,'ProductSprint Backlog'!$I213=T$2), 'ProductSprint Backlog'!$F213, TRUE, 0)</f>
        <v>0</v>
      </c>
    </row>
    <row r="214" spans="2:20" x14ac:dyDescent="0.2">
      <c r="B214" s="4" cm="1">
        <f t="array" ref="B214">_xlfn.IFS('ProductSprint Backlog'!$F214="", "", AND('ProductSprint Backlog'!$J214&gt;B$2,'ProductSprint Backlog'!$I214&lt;=B$2), 'ProductSprint Backlog'!$F214 / MAX(1, 'ProductSprint Backlog'!$J214-'ProductSprint Backlog'!$I214), AND('ProductSprint Backlog'!$J214=B$2,'ProductSprint Backlog'!$I214=B$2), 'ProductSprint Backlog'!$F214, TRUE, 0)</f>
        <v>0</v>
      </c>
      <c r="C214" s="4" cm="1">
        <f t="array" ref="C214">_xlfn.IFS('ProductSprint Backlog'!$F214="", "", AND('ProductSprint Backlog'!$J214&gt;C$2,'ProductSprint Backlog'!$I214&lt;=C$2), 'ProductSprint Backlog'!$F214 / MAX(1, 'ProductSprint Backlog'!$J214-'ProductSprint Backlog'!$I214), AND('ProductSprint Backlog'!$J214=C$2,'ProductSprint Backlog'!$I214=C$2), 'ProductSprint Backlog'!$F214, TRUE, 0)</f>
        <v>0</v>
      </c>
      <c r="D214" s="4" cm="1">
        <f t="array" ref="D214">_xlfn.IFS('ProductSprint Backlog'!$F214="", "", AND('ProductSprint Backlog'!$J214&gt;D$2,'ProductSprint Backlog'!$I214&lt;=D$2), 'ProductSprint Backlog'!$F214 / MAX(1, 'ProductSprint Backlog'!$J214-'ProductSprint Backlog'!$I214), AND('ProductSprint Backlog'!$J214=D$2,'ProductSprint Backlog'!$I214=D$2), 'ProductSprint Backlog'!$F214, TRUE, 0)</f>
        <v>0</v>
      </c>
      <c r="E214" s="4" cm="1">
        <f t="array" ref="E214">_xlfn.IFS('ProductSprint Backlog'!$F214="", "", AND('ProductSprint Backlog'!$J214&gt;E$2,'ProductSprint Backlog'!$I214&lt;=E$2), 'ProductSprint Backlog'!$F214 / MAX(1, 'ProductSprint Backlog'!$J214-'ProductSprint Backlog'!$I214), AND('ProductSprint Backlog'!$J214=E$2,'ProductSprint Backlog'!$I214=E$2), 'ProductSprint Backlog'!$F214, TRUE, 0)</f>
        <v>0</v>
      </c>
      <c r="F214" s="4" cm="1">
        <f t="array" ref="F214">_xlfn.IFS('ProductSprint Backlog'!$F214="", "", AND('ProductSprint Backlog'!$J214&gt;F$2,'ProductSprint Backlog'!$I214&lt;=F$2), 'ProductSprint Backlog'!$F214 / MAX(1, 'ProductSprint Backlog'!$J214-'ProductSprint Backlog'!$I214), AND('ProductSprint Backlog'!$J214=F$2,'ProductSprint Backlog'!$I214=F$2), 'ProductSprint Backlog'!$F214, TRUE, 0)</f>
        <v>0</v>
      </c>
      <c r="G214" s="4" cm="1">
        <f t="array" ref="G214">_xlfn.IFS('ProductSprint Backlog'!$F214="", "", AND('ProductSprint Backlog'!$J214&gt;G$2,'ProductSprint Backlog'!$I214&lt;=G$2), 'ProductSprint Backlog'!$F214 / MAX(1, 'ProductSprint Backlog'!$J214-'ProductSprint Backlog'!$I214), AND('ProductSprint Backlog'!$J214=G$2,'ProductSprint Backlog'!$I214=G$2), 'ProductSprint Backlog'!$F214, TRUE, 0)</f>
        <v>0</v>
      </c>
      <c r="H214" s="4" cm="1">
        <f t="array" ref="H214">_xlfn.IFS('ProductSprint Backlog'!$F214="", "", AND('ProductSprint Backlog'!$J214&gt;H$2,'ProductSprint Backlog'!$I214&lt;=H$2), 'ProductSprint Backlog'!$F214 / MAX(1, 'ProductSprint Backlog'!$J214-'ProductSprint Backlog'!$I214), AND('ProductSprint Backlog'!$J214=H$2,'ProductSprint Backlog'!$I214=H$2), 'ProductSprint Backlog'!$F214, TRUE, 0)</f>
        <v>0</v>
      </c>
      <c r="I214" s="4" cm="1">
        <f t="array" ref="I214">_xlfn.IFS('ProductSprint Backlog'!$F214="", "", AND('ProductSprint Backlog'!$J214&gt;I$2,'ProductSprint Backlog'!$I214&lt;=I$2), 'ProductSprint Backlog'!$F214 / MAX(1, 'ProductSprint Backlog'!$J214-'ProductSprint Backlog'!$I214), AND('ProductSprint Backlog'!$J214=I$2,'ProductSprint Backlog'!$I214=I$2), 'ProductSprint Backlog'!$F214, TRUE, 0)</f>
        <v>0</v>
      </c>
      <c r="J214" s="4" cm="1">
        <f t="array" ref="J214">_xlfn.IFS('ProductSprint Backlog'!$F214="", "", AND('ProductSprint Backlog'!$J214&gt;J$2,'ProductSprint Backlog'!$I214&lt;=J$2), 'ProductSprint Backlog'!$F214 / MAX(1, 'ProductSprint Backlog'!$J214-'ProductSprint Backlog'!$I214), AND('ProductSprint Backlog'!$J214=J$2,'ProductSprint Backlog'!$I214=J$2), 'ProductSprint Backlog'!$F214, TRUE, 0)</f>
        <v>0</v>
      </c>
      <c r="K214" s="4" cm="1">
        <f t="array" ref="K214">_xlfn.IFS('ProductSprint Backlog'!$F214="", "", AND('ProductSprint Backlog'!$J214&gt;K$2,'ProductSprint Backlog'!$I214&lt;=K$2), 'ProductSprint Backlog'!$F214 / MAX(1, 'ProductSprint Backlog'!$J214-'ProductSprint Backlog'!$I214), AND('ProductSprint Backlog'!$J214=K$2,'ProductSprint Backlog'!$I214=K$2), 'ProductSprint Backlog'!$F214, TRUE, 0)</f>
        <v>0</v>
      </c>
      <c r="L214" s="4" cm="1">
        <f t="array" ref="L214">_xlfn.IFS('ProductSprint Backlog'!$F214="", "", AND('ProductSprint Backlog'!$J214&gt;L$2,'ProductSprint Backlog'!$I214&lt;=L$2), 'ProductSprint Backlog'!$F214 / MAX(1, 'ProductSprint Backlog'!$J214-'ProductSprint Backlog'!$I214), AND('ProductSprint Backlog'!$J214=L$2,'ProductSprint Backlog'!$I214=L$2), 'ProductSprint Backlog'!$F214, TRUE, 0)</f>
        <v>0</v>
      </c>
      <c r="M214" s="4" cm="1">
        <f t="array" ref="M214">_xlfn.IFS('ProductSprint Backlog'!$F214="", "", AND('ProductSprint Backlog'!$J214&gt;M$2,'ProductSprint Backlog'!$I214&lt;=M$2), 'ProductSprint Backlog'!$F214 / MAX(1, 'ProductSprint Backlog'!$J214-'ProductSprint Backlog'!$I214), AND('ProductSprint Backlog'!$J214=M$2,'ProductSprint Backlog'!$I214=M$2), 'ProductSprint Backlog'!$F214, TRUE, 0)</f>
        <v>0</v>
      </c>
      <c r="N214" s="4" cm="1">
        <f t="array" ref="N214">_xlfn.IFS('ProductSprint Backlog'!$F214="", "", AND('ProductSprint Backlog'!$J214&gt;N$2,'ProductSprint Backlog'!$I214&lt;=N$2), 'ProductSprint Backlog'!$F214 / MAX(1, 'ProductSprint Backlog'!$J214-'ProductSprint Backlog'!$I214), AND('ProductSprint Backlog'!$J214=N$2,'ProductSprint Backlog'!$I214=N$2), 'ProductSprint Backlog'!$F214, TRUE, 0)</f>
        <v>0</v>
      </c>
      <c r="O214" s="4" cm="1">
        <f t="array" ref="O214">_xlfn.IFS('ProductSprint Backlog'!$F214="", "", AND('ProductSprint Backlog'!$J214&gt;O$2,'ProductSprint Backlog'!$I214&lt;=O$2), 'ProductSprint Backlog'!$F214 / MAX(1, 'ProductSprint Backlog'!$J214-'ProductSprint Backlog'!$I214), AND('ProductSprint Backlog'!$J214=O$2,'ProductSprint Backlog'!$I214=O$2), 'ProductSprint Backlog'!$F214, TRUE, 0)</f>
        <v>0</v>
      </c>
      <c r="P214" s="4" cm="1">
        <f t="array" ref="P214">_xlfn.IFS('ProductSprint Backlog'!$F214="", "", AND('ProductSprint Backlog'!$J214&gt;P$2,'ProductSprint Backlog'!$I214&lt;=P$2), 'ProductSprint Backlog'!$F214 / MAX(1, 'ProductSprint Backlog'!$J214-'ProductSprint Backlog'!$I214), AND('ProductSprint Backlog'!$J214=P$2,'ProductSprint Backlog'!$I214=P$2), 'ProductSprint Backlog'!$F214, TRUE, 0)</f>
        <v>0</v>
      </c>
      <c r="Q214" s="4" cm="1">
        <f t="array" ref="Q214">_xlfn.IFS('ProductSprint Backlog'!$F214="", "", AND('ProductSprint Backlog'!$J214&gt;Q$2,'ProductSprint Backlog'!$I214&lt;=Q$2), 'ProductSprint Backlog'!$F214 / MAX(1, 'ProductSprint Backlog'!$J214-'ProductSprint Backlog'!$I214), AND('ProductSprint Backlog'!$J214=Q$2,'ProductSprint Backlog'!$I214=Q$2), 'ProductSprint Backlog'!$F214, TRUE, 0)</f>
        <v>0</v>
      </c>
      <c r="R214" s="4" cm="1">
        <f t="array" ref="R214">_xlfn.IFS('ProductSprint Backlog'!$F214="", "", AND('ProductSprint Backlog'!$J214&gt;R$2,'ProductSprint Backlog'!$I214&lt;=R$2), 'ProductSprint Backlog'!$F214 / MAX(1, 'ProductSprint Backlog'!$J214-'ProductSprint Backlog'!$I214), AND('ProductSprint Backlog'!$J214=R$2,'ProductSprint Backlog'!$I214=R$2), 'ProductSprint Backlog'!$F214, TRUE, 0)</f>
        <v>0</v>
      </c>
      <c r="S214" s="4" cm="1">
        <f t="array" ref="S214">_xlfn.IFS('ProductSprint Backlog'!$F214="", "", AND('ProductSprint Backlog'!$J214&gt;S$2,'ProductSprint Backlog'!$I214&lt;=S$2), 'ProductSprint Backlog'!$F214 / MAX(1, 'ProductSprint Backlog'!$J214-'ProductSprint Backlog'!$I214), AND('ProductSprint Backlog'!$J214=S$2,'ProductSprint Backlog'!$I214=S$2), 'ProductSprint Backlog'!$F214, TRUE, 0)</f>
        <v>0</v>
      </c>
      <c r="T214" s="4" cm="1">
        <f t="array" ref="T214">_xlfn.IFS('ProductSprint Backlog'!$F214="", "", AND('ProductSprint Backlog'!$J214&gt;T$2,'ProductSprint Backlog'!$I214&lt;=T$2), 'ProductSprint Backlog'!$F214 / MAX(1, 'ProductSprint Backlog'!$J214-'ProductSprint Backlog'!$I214), AND('ProductSprint Backlog'!$J214=T$2,'ProductSprint Backlog'!$I214=T$2), 'ProductSprint Backlog'!$F214, TRUE, 0)</f>
        <v>0</v>
      </c>
    </row>
    <row r="215" spans="2:20" x14ac:dyDescent="0.2">
      <c r="B215" s="4" cm="1">
        <f t="array" ref="B215">_xlfn.IFS('ProductSprint Backlog'!$F215="", "", AND('ProductSprint Backlog'!$J215&gt;B$2,'ProductSprint Backlog'!$I215&lt;=B$2), 'ProductSprint Backlog'!$F215 / MAX(1, 'ProductSprint Backlog'!$J215-'ProductSprint Backlog'!$I215), AND('ProductSprint Backlog'!$J215=B$2,'ProductSprint Backlog'!$I215=B$2), 'ProductSprint Backlog'!$F215, TRUE, 0)</f>
        <v>0</v>
      </c>
      <c r="C215" s="4" cm="1">
        <f t="array" ref="C215">_xlfn.IFS('ProductSprint Backlog'!$F215="", "", AND('ProductSprint Backlog'!$J215&gt;C$2,'ProductSprint Backlog'!$I215&lt;=C$2), 'ProductSprint Backlog'!$F215 / MAX(1, 'ProductSprint Backlog'!$J215-'ProductSprint Backlog'!$I215), AND('ProductSprint Backlog'!$J215=C$2,'ProductSprint Backlog'!$I215=C$2), 'ProductSprint Backlog'!$F215, TRUE, 0)</f>
        <v>0</v>
      </c>
      <c r="D215" s="4" cm="1">
        <f t="array" ref="D215">_xlfn.IFS('ProductSprint Backlog'!$F215="", "", AND('ProductSprint Backlog'!$J215&gt;D$2,'ProductSprint Backlog'!$I215&lt;=D$2), 'ProductSprint Backlog'!$F215 / MAX(1, 'ProductSprint Backlog'!$J215-'ProductSprint Backlog'!$I215), AND('ProductSprint Backlog'!$J215=D$2,'ProductSprint Backlog'!$I215=D$2), 'ProductSprint Backlog'!$F215, TRUE, 0)</f>
        <v>0</v>
      </c>
      <c r="E215" s="4" cm="1">
        <f t="array" ref="E215">_xlfn.IFS('ProductSprint Backlog'!$F215="", "", AND('ProductSprint Backlog'!$J215&gt;E$2,'ProductSprint Backlog'!$I215&lt;=E$2), 'ProductSprint Backlog'!$F215 / MAX(1, 'ProductSprint Backlog'!$J215-'ProductSprint Backlog'!$I215), AND('ProductSprint Backlog'!$J215=E$2,'ProductSprint Backlog'!$I215=E$2), 'ProductSprint Backlog'!$F215, TRUE, 0)</f>
        <v>0</v>
      </c>
      <c r="F215" s="4" cm="1">
        <f t="array" ref="F215">_xlfn.IFS('ProductSprint Backlog'!$F215="", "", AND('ProductSprint Backlog'!$J215&gt;F$2,'ProductSprint Backlog'!$I215&lt;=F$2), 'ProductSprint Backlog'!$F215 / MAX(1, 'ProductSprint Backlog'!$J215-'ProductSprint Backlog'!$I215), AND('ProductSprint Backlog'!$J215=F$2,'ProductSprint Backlog'!$I215=F$2), 'ProductSprint Backlog'!$F215, TRUE, 0)</f>
        <v>0</v>
      </c>
      <c r="G215" s="4" cm="1">
        <f t="array" ref="G215">_xlfn.IFS('ProductSprint Backlog'!$F215="", "", AND('ProductSprint Backlog'!$J215&gt;G$2,'ProductSprint Backlog'!$I215&lt;=G$2), 'ProductSprint Backlog'!$F215 / MAX(1, 'ProductSprint Backlog'!$J215-'ProductSprint Backlog'!$I215), AND('ProductSprint Backlog'!$J215=G$2,'ProductSprint Backlog'!$I215=G$2), 'ProductSprint Backlog'!$F215, TRUE, 0)</f>
        <v>0</v>
      </c>
      <c r="H215" s="4" cm="1">
        <f t="array" ref="H215">_xlfn.IFS('ProductSprint Backlog'!$F215="", "", AND('ProductSprint Backlog'!$J215&gt;H$2,'ProductSprint Backlog'!$I215&lt;=H$2), 'ProductSprint Backlog'!$F215 / MAX(1, 'ProductSprint Backlog'!$J215-'ProductSprint Backlog'!$I215), AND('ProductSprint Backlog'!$J215=H$2,'ProductSprint Backlog'!$I215=H$2), 'ProductSprint Backlog'!$F215, TRUE, 0)</f>
        <v>0</v>
      </c>
      <c r="I215" s="4" cm="1">
        <f t="array" ref="I215">_xlfn.IFS('ProductSprint Backlog'!$F215="", "", AND('ProductSprint Backlog'!$J215&gt;I$2,'ProductSprint Backlog'!$I215&lt;=I$2), 'ProductSprint Backlog'!$F215 / MAX(1, 'ProductSprint Backlog'!$J215-'ProductSprint Backlog'!$I215), AND('ProductSprint Backlog'!$J215=I$2,'ProductSprint Backlog'!$I215=I$2), 'ProductSprint Backlog'!$F215, TRUE, 0)</f>
        <v>0</v>
      </c>
      <c r="J215" s="4" cm="1">
        <f t="array" ref="J215">_xlfn.IFS('ProductSprint Backlog'!$F215="", "", AND('ProductSprint Backlog'!$J215&gt;J$2,'ProductSprint Backlog'!$I215&lt;=J$2), 'ProductSprint Backlog'!$F215 / MAX(1, 'ProductSprint Backlog'!$J215-'ProductSprint Backlog'!$I215), AND('ProductSprint Backlog'!$J215=J$2,'ProductSprint Backlog'!$I215=J$2), 'ProductSprint Backlog'!$F215, TRUE, 0)</f>
        <v>0</v>
      </c>
      <c r="K215" s="4" cm="1">
        <f t="array" ref="K215">_xlfn.IFS('ProductSprint Backlog'!$F215="", "", AND('ProductSprint Backlog'!$J215&gt;K$2,'ProductSprint Backlog'!$I215&lt;=K$2), 'ProductSprint Backlog'!$F215 / MAX(1, 'ProductSprint Backlog'!$J215-'ProductSprint Backlog'!$I215), AND('ProductSprint Backlog'!$J215=K$2,'ProductSprint Backlog'!$I215=K$2), 'ProductSprint Backlog'!$F215, TRUE, 0)</f>
        <v>0</v>
      </c>
      <c r="L215" s="4" cm="1">
        <f t="array" ref="L215">_xlfn.IFS('ProductSprint Backlog'!$F215="", "", AND('ProductSprint Backlog'!$J215&gt;L$2,'ProductSprint Backlog'!$I215&lt;=L$2), 'ProductSprint Backlog'!$F215 / MAX(1, 'ProductSprint Backlog'!$J215-'ProductSprint Backlog'!$I215), AND('ProductSprint Backlog'!$J215=L$2,'ProductSprint Backlog'!$I215=L$2), 'ProductSprint Backlog'!$F215, TRUE, 0)</f>
        <v>0</v>
      </c>
      <c r="M215" s="4" cm="1">
        <f t="array" ref="M215">_xlfn.IFS('ProductSprint Backlog'!$F215="", "", AND('ProductSprint Backlog'!$J215&gt;M$2,'ProductSprint Backlog'!$I215&lt;=M$2), 'ProductSprint Backlog'!$F215 / MAX(1, 'ProductSprint Backlog'!$J215-'ProductSprint Backlog'!$I215), AND('ProductSprint Backlog'!$J215=M$2,'ProductSprint Backlog'!$I215=M$2), 'ProductSprint Backlog'!$F215, TRUE, 0)</f>
        <v>0</v>
      </c>
      <c r="N215" s="4" cm="1">
        <f t="array" ref="N215">_xlfn.IFS('ProductSprint Backlog'!$F215="", "", AND('ProductSprint Backlog'!$J215&gt;N$2,'ProductSprint Backlog'!$I215&lt;=N$2), 'ProductSprint Backlog'!$F215 / MAX(1, 'ProductSprint Backlog'!$J215-'ProductSprint Backlog'!$I215), AND('ProductSprint Backlog'!$J215=N$2,'ProductSprint Backlog'!$I215=N$2), 'ProductSprint Backlog'!$F215, TRUE, 0)</f>
        <v>0</v>
      </c>
      <c r="O215" s="4" cm="1">
        <f t="array" ref="O215">_xlfn.IFS('ProductSprint Backlog'!$F215="", "", AND('ProductSprint Backlog'!$J215&gt;O$2,'ProductSprint Backlog'!$I215&lt;=O$2), 'ProductSprint Backlog'!$F215 / MAX(1, 'ProductSprint Backlog'!$J215-'ProductSprint Backlog'!$I215), AND('ProductSprint Backlog'!$J215=O$2,'ProductSprint Backlog'!$I215=O$2), 'ProductSprint Backlog'!$F215, TRUE, 0)</f>
        <v>0</v>
      </c>
      <c r="P215" s="4" cm="1">
        <f t="array" ref="P215">_xlfn.IFS('ProductSprint Backlog'!$F215="", "", AND('ProductSprint Backlog'!$J215&gt;P$2,'ProductSprint Backlog'!$I215&lt;=P$2), 'ProductSprint Backlog'!$F215 / MAX(1, 'ProductSprint Backlog'!$J215-'ProductSprint Backlog'!$I215), AND('ProductSprint Backlog'!$J215=P$2,'ProductSprint Backlog'!$I215=P$2), 'ProductSprint Backlog'!$F215, TRUE, 0)</f>
        <v>0</v>
      </c>
      <c r="Q215" s="4" cm="1">
        <f t="array" ref="Q215">_xlfn.IFS('ProductSprint Backlog'!$F215="", "", AND('ProductSprint Backlog'!$J215&gt;Q$2,'ProductSprint Backlog'!$I215&lt;=Q$2), 'ProductSprint Backlog'!$F215 / MAX(1, 'ProductSprint Backlog'!$J215-'ProductSprint Backlog'!$I215), AND('ProductSprint Backlog'!$J215=Q$2,'ProductSprint Backlog'!$I215=Q$2), 'ProductSprint Backlog'!$F215, TRUE, 0)</f>
        <v>0</v>
      </c>
      <c r="R215" s="4" cm="1">
        <f t="array" ref="R215">_xlfn.IFS('ProductSprint Backlog'!$F215="", "", AND('ProductSprint Backlog'!$J215&gt;R$2,'ProductSprint Backlog'!$I215&lt;=R$2), 'ProductSprint Backlog'!$F215 / MAX(1, 'ProductSprint Backlog'!$J215-'ProductSprint Backlog'!$I215), AND('ProductSprint Backlog'!$J215=R$2,'ProductSprint Backlog'!$I215=R$2), 'ProductSprint Backlog'!$F215, TRUE, 0)</f>
        <v>0</v>
      </c>
      <c r="S215" s="4" cm="1">
        <f t="array" ref="S215">_xlfn.IFS('ProductSprint Backlog'!$F215="", "", AND('ProductSprint Backlog'!$J215&gt;S$2,'ProductSprint Backlog'!$I215&lt;=S$2), 'ProductSprint Backlog'!$F215 / MAX(1, 'ProductSprint Backlog'!$J215-'ProductSprint Backlog'!$I215), AND('ProductSprint Backlog'!$J215=S$2,'ProductSprint Backlog'!$I215=S$2), 'ProductSprint Backlog'!$F215, TRUE, 0)</f>
        <v>0</v>
      </c>
      <c r="T215" s="4" cm="1">
        <f t="array" ref="T215">_xlfn.IFS('ProductSprint Backlog'!$F215="", "", AND('ProductSprint Backlog'!$J215&gt;T$2,'ProductSprint Backlog'!$I215&lt;=T$2), 'ProductSprint Backlog'!$F215 / MAX(1, 'ProductSprint Backlog'!$J215-'ProductSprint Backlog'!$I215), AND('ProductSprint Backlog'!$J215=T$2,'ProductSprint Backlog'!$I215=T$2), 'ProductSprint Backlog'!$F215, TRUE, 0)</f>
        <v>0</v>
      </c>
    </row>
    <row r="216" spans="2:20" x14ac:dyDescent="0.2">
      <c r="B216" s="4" cm="1">
        <f t="array" ref="B216">_xlfn.IFS('ProductSprint Backlog'!$F216="", "", AND('ProductSprint Backlog'!$J216&gt;B$2,'ProductSprint Backlog'!$I216&lt;=B$2), 'ProductSprint Backlog'!$F216 / MAX(1, 'ProductSprint Backlog'!$J216-'ProductSprint Backlog'!$I216), AND('ProductSprint Backlog'!$J216=B$2,'ProductSprint Backlog'!$I216=B$2), 'ProductSprint Backlog'!$F216, TRUE, 0)</f>
        <v>0</v>
      </c>
      <c r="C216" s="4" cm="1">
        <f t="array" ref="C216">_xlfn.IFS('ProductSprint Backlog'!$F216="", "", AND('ProductSprint Backlog'!$J216&gt;C$2,'ProductSprint Backlog'!$I216&lt;=C$2), 'ProductSprint Backlog'!$F216 / MAX(1, 'ProductSprint Backlog'!$J216-'ProductSprint Backlog'!$I216), AND('ProductSprint Backlog'!$J216=C$2,'ProductSprint Backlog'!$I216=C$2), 'ProductSprint Backlog'!$F216, TRUE, 0)</f>
        <v>0</v>
      </c>
      <c r="D216" s="4" cm="1">
        <f t="array" ref="D216">_xlfn.IFS('ProductSprint Backlog'!$F216="", "", AND('ProductSprint Backlog'!$J216&gt;D$2,'ProductSprint Backlog'!$I216&lt;=D$2), 'ProductSprint Backlog'!$F216 / MAX(1, 'ProductSprint Backlog'!$J216-'ProductSprint Backlog'!$I216), AND('ProductSprint Backlog'!$J216=D$2,'ProductSprint Backlog'!$I216=D$2), 'ProductSprint Backlog'!$F216, TRUE, 0)</f>
        <v>0</v>
      </c>
      <c r="E216" s="4" cm="1">
        <f t="array" ref="E216">_xlfn.IFS('ProductSprint Backlog'!$F216="", "", AND('ProductSprint Backlog'!$J216&gt;E$2,'ProductSprint Backlog'!$I216&lt;=E$2), 'ProductSprint Backlog'!$F216 / MAX(1, 'ProductSprint Backlog'!$J216-'ProductSprint Backlog'!$I216), AND('ProductSprint Backlog'!$J216=E$2,'ProductSprint Backlog'!$I216=E$2), 'ProductSprint Backlog'!$F216, TRUE, 0)</f>
        <v>0</v>
      </c>
      <c r="F216" s="4" cm="1">
        <f t="array" ref="F216">_xlfn.IFS('ProductSprint Backlog'!$F216="", "", AND('ProductSprint Backlog'!$J216&gt;F$2,'ProductSprint Backlog'!$I216&lt;=F$2), 'ProductSprint Backlog'!$F216 / MAX(1, 'ProductSprint Backlog'!$J216-'ProductSprint Backlog'!$I216), AND('ProductSprint Backlog'!$J216=F$2,'ProductSprint Backlog'!$I216=F$2), 'ProductSprint Backlog'!$F216, TRUE, 0)</f>
        <v>0</v>
      </c>
      <c r="G216" s="4" cm="1">
        <f t="array" ref="G216">_xlfn.IFS('ProductSprint Backlog'!$F216="", "", AND('ProductSprint Backlog'!$J216&gt;G$2,'ProductSprint Backlog'!$I216&lt;=G$2), 'ProductSprint Backlog'!$F216 / MAX(1, 'ProductSprint Backlog'!$J216-'ProductSprint Backlog'!$I216), AND('ProductSprint Backlog'!$J216=G$2,'ProductSprint Backlog'!$I216=G$2), 'ProductSprint Backlog'!$F216, TRUE, 0)</f>
        <v>0</v>
      </c>
      <c r="H216" s="4" cm="1">
        <f t="array" ref="H216">_xlfn.IFS('ProductSprint Backlog'!$F216="", "", AND('ProductSprint Backlog'!$J216&gt;H$2,'ProductSprint Backlog'!$I216&lt;=H$2), 'ProductSprint Backlog'!$F216 / MAX(1, 'ProductSprint Backlog'!$J216-'ProductSprint Backlog'!$I216), AND('ProductSprint Backlog'!$J216=H$2,'ProductSprint Backlog'!$I216=H$2), 'ProductSprint Backlog'!$F216, TRUE, 0)</f>
        <v>0</v>
      </c>
      <c r="I216" s="4" cm="1">
        <f t="array" ref="I216">_xlfn.IFS('ProductSprint Backlog'!$F216="", "", AND('ProductSprint Backlog'!$J216&gt;I$2,'ProductSprint Backlog'!$I216&lt;=I$2), 'ProductSprint Backlog'!$F216 / MAX(1, 'ProductSprint Backlog'!$J216-'ProductSprint Backlog'!$I216), AND('ProductSprint Backlog'!$J216=I$2,'ProductSprint Backlog'!$I216=I$2), 'ProductSprint Backlog'!$F216, TRUE, 0)</f>
        <v>0</v>
      </c>
      <c r="J216" s="4" cm="1">
        <f t="array" ref="J216">_xlfn.IFS('ProductSprint Backlog'!$F216="", "", AND('ProductSprint Backlog'!$J216&gt;J$2,'ProductSprint Backlog'!$I216&lt;=J$2), 'ProductSprint Backlog'!$F216 / MAX(1, 'ProductSprint Backlog'!$J216-'ProductSprint Backlog'!$I216), AND('ProductSprint Backlog'!$J216=J$2,'ProductSprint Backlog'!$I216=J$2), 'ProductSprint Backlog'!$F216, TRUE, 0)</f>
        <v>0</v>
      </c>
      <c r="K216" s="4" cm="1">
        <f t="array" ref="K216">_xlfn.IFS('ProductSprint Backlog'!$F216="", "", AND('ProductSprint Backlog'!$J216&gt;K$2,'ProductSprint Backlog'!$I216&lt;=K$2), 'ProductSprint Backlog'!$F216 / MAX(1, 'ProductSprint Backlog'!$J216-'ProductSprint Backlog'!$I216), AND('ProductSprint Backlog'!$J216=K$2,'ProductSprint Backlog'!$I216=K$2), 'ProductSprint Backlog'!$F216, TRUE, 0)</f>
        <v>0</v>
      </c>
      <c r="L216" s="4" cm="1">
        <f t="array" ref="L216">_xlfn.IFS('ProductSprint Backlog'!$F216="", "", AND('ProductSprint Backlog'!$J216&gt;L$2,'ProductSprint Backlog'!$I216&lt;=L$2), 'ProductSprint Backlog'!$F216 / MAX(1, 'ProductSprint Backlog'!$J216-'ProductSprint Backlog'!$I216), AND('ProductSprint Backlog'!$J216=L$2,'ProductSprint Backlog'!$I216=L$2), 'ProductSprint Backlog'!$F216, TRUE, 0)</f>
        <v>0</v>
      </c>
      <c r="M216" s="4" cm="1">
        <f t="array" ref="M216">_xlfn.IFS('ProductSprint Backlog'!$F216="", "", AND('ProductSprint Backlog'!$J216&gt;M$2,'ProductSprint Backlog'!$I216&lt;=M$2), 'ProductSprint Backlog'!$F216 / MAX(1, 'ProductSprint Backlog'!$J216-'ProductSprint Backlog'!$I216), AND('ProductSprint Backlog'!$J216=M$2,'ProductSprint Backlog'!$I216=M$2), 'ProductSprint Backlog'!$F216, TRUE, 0)</f>
        <v>0</v>
      </c>
      <c r="N216" s="4" cm="1">
        <f t="array" ref="N216">_xlfn.IFS('ProductSprint Backlog'!$F216="", "", AND('ProductSprint Backlog'!$J216&gt;N$2,'ProductSprint Backlog'!$I216&lt;=N$2), 'ProductSprint Backlog'!$F216 / MAX(1, 'ProductSprint Backlog'!$J216-'ProductSprint Backlog'!$I216), AND('ProductSprint Backlog'!$J216=N$2,'ProductSprint Backlog'!$I216=N$2), 'ProductSprint Backlog'!$F216, TRUE, 0)</f>
        <v>0</v>
      </c>
      <c r="O216" s="4" cm="1">
        <f t="array" ref="O216">_xlfn.IFS('ProductSprint Backlog'!$F216="", "", AND('ProductSprint Backlog'!$J216&gt;O$2,'ProductSprint Backlog'!$I216&lt;=O$2), 'ProductSprint Backlog'!$F216 / MAX(1, 'ProductSprint Backlog'!$J216-'ProductSprint Backlog'!$I216), AND('ProductSprint Backlog'!$J216=O$2,'ProductSprint Backlog'!$I216=O$2), 'ProductSprint Backlog'!$F216, TRUE, 0)</f>
        <v>0</v>
      </c>
      <c r="P216" s="4" cm="1">
        <f t="array" ref="P216">_xlfn.IFS('ProductSprint Backlog'!$F216="", "", AND('ProductSprint Backlog'!$J216&gt;P$2,'ProductSprint Backlog'!$I216&lt;=P$2), 'ProductSprint Backlog'!$F216 / MAX(1, 'ProductSprint Backlog'!$J216-'ProductSprint Backlog'!$I216), AND('ProductSprint Backlog'!$J216=P$2,'ProductSprint Backlog'!$I216=P$2), 'ProductSprint Backlog'!$F216, TRUE, 0)</f>
        <v>0</v>
      </c>
      <c r="Q216" s="4" cm="1">
        <f t="array" ref="Q216">_xlfn.IFS('ProductSprint Backlog'!$F216="", "", AND('ProductSprint Backlog'!$J216&gt;Q$2,'ProductSprint Backlog'!$I216&lt;=Q$2), 'ProductSprint Backlog'!$F216 / MAX(1, 'ProductSprint Backlog'!$J216-'ProductSprint Backlog'!$I216), AND('ProductSprint Backlog'!$J216=Q$2,'ProductSprint Backlog'!$I216=Q$2), 'ProductSprint Backlog'!$F216, TRUE, 0)</f>
        <v>0</v>
      </c>
      <c r="R216" s="4" cm="1">
        <f t="array" ref="R216">_xlfn.IFS('ProductSprint Backlog'!$F216="", "", AND('ProductSprint Backlog'!$J216&gt;R$2,'ProductSprint Backlog'!$I216&lt;=R$2), 'ProductSprint Backlog'!$F216 / MAX(1, 'ProductSprint Backlog'!$J216-'ProductSprint Backlog'!$I216), AND('ProductSprint Backlog'!$J216=R$2,'ProductSprint Backlog'!$I216=R$2), 'ProductSprint Backlog'!$F216, TRUE, 0)</f>
        <v>0</v>
      </c>
      <c r="S216" s="4" cm="1">
        <f t="array" ref="S216">_xlfn.IFS('ProductSprint Backlog'!$F216="", "", AND('ProductSprint Backlog'!$J216&gt;S$2,'ProductSprint Backlog'!$I216&lt;=S$2), 'ProductSprint Backlog'!$F216 / MAX(1, 'ProductSprint Backlog'!$J216-'ProductSprint Backlog'!$I216), AND('ProductSprint Backlog'!$J216=S$2,'ProductSprint Backlog'!$I216=S$2), 'ProductSprint Backlog'!$F216, TRUE, 0)</f>
        <v>0</v>
      </c>
      <c r="T216" s="4" cm="1">
        <f t="array" ref="T216">_xlfn.IFS('ProductSprint Backlog'!$F216="", "", AND('ProductSprint Backlog'!$J216&gt;T$2,'ProductSprint Backlog'!$I216&lt;=T$2), 'ProductSprint Backlog'!$F216 / MAX(1, 'ProductSprint Backlog'!$J216-'ProductSprint Backlog'!$I216), AND('ProductSprint Backlog'!$J216=T$2,'ProductSprint Backlog'!$I216=T$2), 'ProductSprint Backlog'!$F216, TRUE, 0)</f>
        <v>0</v>
      </c>
    </row>
    <row r="217" spans="2:20" x14ac:dyDescent="0.2">
      <c r="B217" s="4" cm="1">
        <f t="array" ref="B217">_xlfn.IFS('ProductSprint Backlog'!$F217="", "", AND('ProductSprint Backlog'!$J217&gt;B$2,'ProductSprint Backlog'!$I217&lt;=B$2), 'ProductSprint Backlog'!$F217 / MAX(1, 'ProductSprint Backlog'!$J217-'ProductSprint Backlog'!$I217), AND('ProductSprint Backlog'!$J217=B$2,'ProductSprint Backlog'!$I217=B$2), 'ProductSprint Backlog'!$F217, TRUE, 0)</f>
        <v>0</v>
      </c>
      <c r="C217" s="4" cm="1">
        <f t="array" ref="C217">_xlfn.IFS('ProductSprint Backlog'!$F217="", "", AND('ProductSprint Backlog'!$J217&gt;C$2,'ProductSprint Backlog'!$I217&lt;=C$2), 'ProductSprint Backlog'!$F217 / MAX(1, 'ProductSprint Backlog'!$J217-'ProductSprint Backlog'!$I217), AND('ProductSprint Backlog'!$J217=C$2,'ProductSprint Backlog'!$I217=C$2), 'ProductSprint Backlog'!$F217, TRUE, 0)</f>
        <v>0</v>
      </c>
      <c r="D217" s="4" cm="1">
        <f t="array" ref="D217">_xlfn.IFS('ProductSprint Backlog'!$F217="", "", AND('ProductSprint Backlog'!$J217&gt;D$2,'ProductSprint Backlog'!$I217&lt;=D$2), 'ProductSprint Backlog'!$F217 / MAX(1, 'ProductSprint Backlog'!$J217-'ProductSprint Backlog'!$I217), AND('ProductSprint Backlog'!$J217=D$2,'ProductSprint Backlog'!$I217=D$2), 'ProductSprint Backlog'!$F217, TRUE, 0)</f>
        <v>0</v>
      </c>
      <c r="E217" s="4" cm="1">
        <f t="array" ref="E217">_xlfn.IFS('ProductSprint Backlog'!$F217="", "", AND('ProductSprint Backlog'!$J217&gt;E$2,'ProductSprint Backlog'!$I217&lt;=E$2), 'ProductSprint Backlog'!$F217 / MAX(1, 'ProductSprint Backlog'!$J217-'ProductSprint Backlog'!$I217), AND('ProductSprint Backlog'!$J217=E$2,'ProductSprint Backlog'!$I217=E$2), 'ProductSprint Backlog'!$F217, TRUE, 0)</f>
        <v>0</v>
      </c>
      <c r="F217" s="4" cm="1">
        <f t="array" ref="F217">_xlfn.IFS('ProductSprint Backlog'!$F217="", "", AND('ProductSprint Backlog'!$J217&gt;F$2,'ProductSprint Backlog'!$I217&lt;=F$2), 'ProductSprint Backlog'!$F217 / MAX(1, 'ProductSprint Backlog'!$J217-'ProductSprint Backlog'!$I217), AND('ProductSprint Backlog'!$J217=F$2,'ProductSprint Backlog'!$I217=F$2), 'ProductSprint Backlog'!$F217, TRUE, 0)</f>
        <v>0</v>
      </c>
      <c r="G217" s="4" cm="1">
        <f t="array" ref="G217">_xlfn.IFS('ProductSprint Backlog'!$F217="", "", AND('ProductSprint Backlog'!$J217&gt;G$2,'ProductSprint Backlog'!$I217&lt;=G$2), 'ProductSprint Backlog'!$F217 / MAX(1, 'ProductSprint Backlog'!$J217-'ProductSprint Backlog'!$I217), AND('ProductSprint Backlog'!$J217=G$2,'ProductSprint Backlog'!$I217=G$2), 'ProductSprint Backlog'!$F217, TRUE, 0)</f>
        <v>0</v>
      </c>
      <c r="H217" s="4" cm="1">
        <f t="array" ref="H217">_xlfn.IFS('ProductSprint Backlog'!$F217="", "", AND('ProductSprint Backlog'!$J217&gt;H$2,'ProductSprint Backlog'!$I217&lt;=H$2), 'ProductSprint Backlog'!$F217 / MAX(1, 'ProductSprint Backlog'!$J217-'ProductSprint Backlog'!$I217), AND('ProductSprint Backlog'!$J217=H$2,'ProductSprint Backlog'!$I217=H$2), 'ProductSprint Backlog'!$F217, TRUE, 0)</f>
        <v>0</v>
      </c>
      <c r="I217" s="4" cm="1">
        <f t="array" ref="I217">_xlfn.IFS('ProductSprint Backlog'!$F217="", "", AND('ProductSprint Backlog'!$J217&gt;I$2,'ProductSprint Backlog'!$I217&lt;=I$2), 'ProductSprint Backlog'!$F217 / MAX(1, 'ProductSprint Backlog'!$J217-'ProductSprint Backlog'!$I217), AND('ProductSprint Backlog'!$J217=I$2,'ProductSprint Backlog'!$I217=I$2), 'ProductSprint Backlog'!$F217, TRUE, 0)</f>
        <v>0</v>
      </c>
      <c r="J217" s="4" cm="1">
        <f t="array" ref="J217">_xlfn.IFS('ProductSprint Backlog'!$F217="", "", AND('ProductSprint Backlog'!$J217&gt;J$2,'ProductSprint Backlog'!$I217&lt;=J$2), 'ProductSprint Backlog'!$F217 / MAX(1, 'ProductSprint Backlog'!$J217-'ProductSprint Backlog'!$I217), AND('ProductSprint Backlog'!$J217=J$2,'ProductSprint Backlog'!$I217=J$2), 'ProductSprint Backlog'!$F217, TRUE, 0)</f>
        <v>0</v>
      </c>
      <c r="K217" s="4" cm="1">
        <f t="array" ref="K217">_xlfn.IFS('ProductSprint Backlog'!$F217="", "", AND('ProductSprint Backlog'!$J217&gt;K$2,'ProductSprint Backlog'!$I217&lt;=K$2), 'ProductSprint Backlog'!$F217 / MAX(1, 'ProductSprint Backlog'!$J217-'ProductSprint Backlog'!$I217), AND('ProductSprint Backlog'!$J217=K$2,'ProductSprint Backlog'!$I217=K$2), 'ProductSprint Backlog'!$F217, TRUE, 0)</f>
        <v>0</v>
      </c>
      <c r="L217" s="4" cm="1">
        <f t="array" ref="L217">_xlfn.IFS('ProductSprint Backlog'!$F217="", "", AND('ProductSprint Backlog'!$J217&gt;L$2,'ProductSprint Backlog'!$I217&lt;=L$2), 'ProductSprint Backlog'!$F217 / MAX(1, 'ProductSprint Backlog'!$J217-'ProductSprint Backlog'!$I217), AND('ProductSprint Backlog'!$J217=L$2,'ProductSprint Backlog'!$I217=L$2), 'ProductSprint Backlog'!$F217, TRUE, 0)</f>
        <v>0</v>
      </c>
      <c r="M217" s="4" cm="1">
        <f t="array" ref="M217">_xlfn.IFS('ProductSprint Backlog'!$F217="", "", AND('ProductSprint Backlog'!$J217&gt;M$2,'ProductSprint Backlog'!$I217&lt;=M$2), 'ProductSprint Backlog'!$F217 / MAX(1, 'ProductSprint Backlog'!$J217-'ProductSprint Backlog'!$I217), AND('ProductSprint Backlog'!$J217=M$2,'ProductSprint Backlog'!$I217=M$2), 'ProductSprint Backlog'!$F217, TRUE, 0)</f>
        <v>0</v>
      </c>
      <c r="N217" s="4" cm="1">
        <f t="array" ref="N217">_xlfn.IFS('ProductSprint Backlog'!$F217="", "", AND('ProductSprint Backlog'!$J217&gt;N$2,'ProductSprint Backlog'!$I217&lt;=N$2), 'ProductSprint Backlog'!$F217 / MAX(1, 'ProductSprint Backlog'!$J217-'ProductSprint Backlog'!$I217), AND('ProductSprint Backlog'!$J217=N$2,'ProductSprint Backlog'!$I217=N$2), 'ProductSprint Backlog'!$F217, TRUE, 0)</f>
        <v>0</v>
      </c>
      <c r="O217" s="4" cm="1">
        <f t="array" ref="O217">_xlfn.IFS('ProductSprint Backlog'!$F217="", "", AND('ProductSprint Backlog'!$J217&gt;O$2,'ProductSprint Backlog'!$I217&lt;=O$2), 'ProductSprint Backlog'!$F217 / MAX(1, 'ProductSprint Backlog'!$J217-'ProductSprint Backlog'!$I217), AND('ProductSprint Backlog'!$J217=O$2,'ProductSprint Backlog'!$I217=O$2), 'ProductSprint Backlog'!$F217, TRUE, 0)</f>
        <v>0</v>
      </c>
      <c r="P217" s="4" cm="1">
        <f t="array" ref="P217">_xlfn.IFS('ProductSprint Backlog'!$F217="", "", AND('ProductSprint Backlog'!$J217&gt;P$2,'ProductSprint Backlog'!$I217&lt;=P$2), 'ProductSprint Backlog'!$F217 / MAX(1, 'ProductSprint Backlog'!$J217-'ProductSprint Backlog'!$I217), AND('ProductSprint Backlog'!$J217=P$2,'ProductSprint Backlog'!$I217=P$2), 'ProductSprint Backlog'!$F217, TRUE, 0)</f>
        <v>0</v>
      </c>
      <c r="Q217" s="4" cm="1">
        <f t="array" ref="Q217">_xlfn.IFS('ProductSprint Backlog'!$F217="", "", AND('ProductSprint Backlog'!$J217&gt;Q$2,'ProductSprint Backlog'!$I217&lt;=Q$2), 'ProductSprint Backlog'!$F217 / MAX(1, 'ProductSprint Backlog'!$J217-'ProductSprint Backlog'!$I217), AND('ProductSprint Backlog'!$J217=Q$2,'ProductSprint Backlog'!$I217=Q$2), 'ProductSprint Backlog'!$F217, TRUE, 0)</f>
        <v>0</v>
      </c>
      <c r="R217" s="4" cm="1">
        <f t="array" ref="R217">_xlfn.IFS('ProductSprint Backlog'!$F217="", "", AND('ProductSprint Backlog'!$J217&gt;R$2,'ProductSprint Backlog'!$I217&lt;=R$2), 'ProductSprint Backlog'!$F217 / MAX(1, 'ProductSprint Backlog'!$J217-'ProductSprint Backlog'!$I217), AND('ProductSprint Backlog'!$J217=R$2,'ProductSprint Backlog'!$I217=R$2), 'ProductSprint Backlog'!$F217, TRUE, 0)</f>
        <v>0</v>
      </c>
      <c r="S217" s="4" cm="1">
        <f t="array" ref="S217">_xlfn.IFS('ProductSprint Backlog'!$F217="", "", AND('ProductSprint Backlog'!$J217&gt;S$2,'ProductSprint Backlog'!$I217&lt;=S$2), 'ProductSprint Backlog'!$F217 / MAX(1, 'ProductSprint Backlog'!$J217-'ProductSprint Backlog'!$I217), AND('ProductSprint Backlog'!$J217=S$2,'ProductSprint Backlog'!$I217=S$2), 'ProductSprint Backlog'!$F217, TRUE, 0)</f>
        <v>0</v>
      </c>
      <c r="T217" s="4" cm="1">
        <f t="array" ref="T217">_xlfn.IFS('ProductSprint Backlog'!$F217="", "", AND('ProductSprint Backlog'!$J217&gt;T$2,'ProductSprint Backlog'!$I217&lt;=T$2), 'ProductSprint Backlog'!$F217 / MAX(1, 'ProductSprint Backlog'!$J217-'ProductSprint Backlog'!$I217), AND('ProductSprint Backlog'!$J217=T$2,'ProductSprint Backlog'!$I217=T$2), 'ProductSprint Backlog'!$F217, TRUE, 0)</f>
        <v>0</v>
      </c>
    </row>
    <row r="218" spans="2:20" x14ac:dyDescent="0.2">
      <c r="B218" s="4" cm="1">
        <f t="array" ref="B218">_xlfn.IFS('ProductSprint Backlog'!$F218="", "", AND('ProductSprint Backlog'!$J218&gt;B$2,'ProductSprint Backlog'!$I218&lt;=B$2), 'ProductSprint Backlog'!$F218 / MAX(1, 'ProductSprint Backlog'!$J218-'ProductSprint Backlog'!$I218), AND('ProductSprint Backlog'!$J218=B$2,'ProductSprint Backlog'!$I218=B$2), 'ProductSprint Backlog'!$F218, TRUE, 0)</f>
        <v>0</v>
      </c>
      <c r="C218" s="4" cm="1">
        <f t="array" ref="C218">_xlfn.IFS('ProductSprint Backlog'!$F218="", "", AND('ProductSprint Backlog'!$J218&gt;C$2,'ProductSprint Backlog'!$I218&lt;=C$2), 'ProductSprint Backlog'!$F218 / MAX(1, 'ProductSprint Backlog'!$J218-'ProductSprint Backlog'!$I218), AND('ProductSprint Backlog'!$J218=C$2,'ProductSprint Backlog'!$I218=C$2), 'ProductSprint Backlog'!$F218, TRUE, 0)</f>
        <v>0</v>
      </c>
      <c r="D218" s="4" cm="1">
        <f t="array" ref="D218">_xlfn.IFS('ProductSprint Backlog'!$F218="", "", AND('ProductSprint Backlog'!$J218&gt;D$2,'ProductSprint Backlog'!$I218&lt;=D$2), 'ProductSprint Backlog'!$F218 / MAX(1, 'ProductSprint Backlog'!$J218-'ProductSprint Backlog'!$I218), AND('ProductSprint Backlog'!$J218=D$2,'ProductSprint Backlog'!$I218=D$2), 'ProductSprint Backlog'!$F218, TRUE, 0)</f>
        <v>0</v>
      </c>
      <c r="E218" s="4" cm="1">
        <f t="array" ref="E218">_xlfn.IFS('ProductSprint Backlog'!$F218="", "", AND('ProductSprint Backlog'!$J218&gt;E$2,'ProductSprint Backlog'!$I218&lt;=E$2), 'ProductSprint Backlog'!$F218 / MAX(1, 'ProductSprint Backlog'!$J218-'ProductSprint Backlog'!$I218), AND('ProductSprint Backlog'!$J218=E$2,'ProductSprint Backlog'!$I218=E$2), 'ProductSprint Backlog'!$F218, TRUE, 0)</f>
        <v>0</v>
      </c>
      <c r="F218" s="4" cm="1">
        <f t="array" ref="F218">_xlfn.IFS('ProductSprint Backlog'!$F218="", "", AND('ProductSprint Backlog'!$J218&gt;F$2,'ProductSprint Backlog'!$I218&lt;=F$2), 'ProductSprint Backlog'!$F218 / MAX(1, 'ProductSprint Backlog'!$J218-'ProductSprint Backlog'!$I218), AND('ProductSprint Backlog'!$J218=F$2,'ProductSprint Backlog'!$I218=F$2), 'ProductSprint Backlog'!$F218, TRUE, 0)</f>
        <v>0</v>
      </c>
      <c r="G218" s="4" cm="1">
        <f t="array" ref="G218">_xlfn.IFS('ProductSprint Backlog'!$F218="", "", AND('ProductSprint Backlog'!$J218&gt;G$2,'ProductSprint Backlog'!$I218&lt;=G$2), 'ProductSprint Backlog'!$F218 / MAX(1, 'ProductSprint Backlog'!$J218-'ProductSprint Backlog'!$I218), AND('ProductSprint Backlog'!$J218=G$2,'ProductSprint Backlog'!$I218=G$2), 'ProductSprint Backlog'!$F218, TRUE, 0)</f>
        <v>0</v>
      </c>
      <c r="H218" s="4" cm="1">
        <f t="array" ref="H218">_xlfn.IFS('ProductSprint Backlog'!$F218="", "", AND('ProductSprint Backlog'!$J218&gt;H$2,'ProductSprint Backlog'!$I218&lt;=H$2), 'ProductSprint Backlog'!$F218 / MAX(1, 'ProductSprint Backlog'!$J218-'ProductSprint Backlog'!$I218), AND('ProductSprint Backlog'!$J218=H$2,'ProductSprint Backlog'!$I218=H$2), 'ProductSprint Backlog'!$F218, TRUE, 0)</f>
        <v>0</v>
      </c>
      <c r="I218" s="4" cm="1">
        <f t="array" ref="I218">_xlfn.IFS('ProductSprint Backlog'!$F218="", "", AND('ProductSprint Backlog'!$J218&gt;I$2,'ProductSprint Backlog'!$I218&lt;=I$2), 'ProductSprint Backlog'!$F218 / MAX(1, 'ProductSprint Backlog'!$J218-'ProductSprint Backlog'!$I218), AND('ProductSprint Backlog'!$J218=I$2,'ProductSprint Backlog'!$I218=I$2), 'ProductSprint Backlog'!$F218, TRUE, 0)</f>
        <v>0</v>
      </c>
      <c r="J218" s="4" cm="1">
        <f t="array" ref="J218">_xlfn.IFS('ProductSprint Backlog'!$F218="", "", AND('ProductSprint Backlog'!$J218&gt;J$2,'ProductSprint Backlog'!$I218&lt;=J$2), 'ProductSprint Backlog'!$F218 / MAX(1, 'ProductSprint Backlog'!$J218-'ProductSprint Backlog'!$I218), AND('ProductSprint Backlog'!$J218=J$2,'ProductSprint Backlog'!$I218=J$2), 'ProductSprint Backlog'!$F218, TRUE, 0)</f>
        <v>0</v>
      </c>
      <c r="K218" s="4" cm="1">
        <f t="array" ref="K218">_xlfn.IFS('ProductSprint Backlog'!$F218="", "", AND('ProductSprint Backlog'!$J218&gt;K$2,'ProductSprint Backlog'!$I218&lt;=K$2), 'ProductSprint Backlog'!$F218 / MAX(1, 'ProductSprint Backlog'!$J218-'ProductSprint Backlog'!$I218), AND('ProductSprint Backlog'!$J218=K$2,'ProductSprint Backlog'!$I218=K$2), 'ProductSprint Backlog'!$F218, TRUE, 0)</f>
        <v>0</v>
      </c>
      <c r="L218" s="4" cm="1">
        <f t="array" ref="L218">_xlfn.IFS('ProductSprint Backlog'!$F218="", "", AND('ProductSprint Backlog'!$J218&gt;L$2,'ProductSprint Backlog'!$I218&lt;=L$2), 'ProductSprint Backlog'!$F218 / MAX(1, 'ProductSprint Backlog'!$J218-'ProductSprint Backlog'!$I218), AND('ProductSprint Backlog'!$J218=L$2,'ProductSprint Backlog'!$I218=L$2), 'ProductSprint Backlog'!$F218, TRUE, 0)</f>
        <v>0</v>
      </c>
      <c r="M218" s="4" cm="1">
        <f t="array" ref="M218">_xlfn.IFS('ProductSprint Backlog'!$F218="", "", AND('ProductSprint Backlog'!$J218&gt;M$2,'ProductSprint Backlog'!$I218&lt;=M$2), 'ProductSprint Backlog'!$F218 / MAX(1, 'ProductSprint Backlog'!$J218-'ProductSprint Backlog'!$I218), AND('ProductSprint Backlog'!$J218=M$2,'ProductSprint Backlog'!$I218=M$2), 'ProductSprint Backlog'!$F218, TRUE, 0)</f>
        <v>0</v>
      </c>
      <c r="N218" s="4" cm="1">
        <f t="array" ref="N218">_xlfn.IFS('ProductSprint Backlog'!$F218="", "", AND('ProductSprint Backlog'!$J218&gt;N$2,'ProductSprint Backlog'!$I218&lt;=N$2), 'ProductSprint Backlog'!$F218 / MAX(1, 'ProductSprint Backlog'!$J218-'ProductSprint Backlog'!$I218), AND('ProductSprint Backlog'!$J218=N$2,'ProductSprint Backlog'!$I218=N$2), 'ProductSprint Backlog'!$F218, TRUE, 0)</f>
        <v>0</v>
      </c>
      <c r="O218" s="4" cm="1">
        <f t="array" ref="O218">_xlfn.IFS('ProductSprint Backlog'!$F218="", "", AND('ProductSprint Backlog'!$J218&gt;O$2,'ProductSprint Backlog'!$I218&lt;=O$2), 'ProductSprint Backlog'!$F218 / MAX(1, 'ProductSprint Backlog'!$J218-'ProductSprint Backlog'!$I218), AND('ProductSprint Backlog'!$J218=O$2,'ProductSprint Backlog'!$I218=O$2), 'ProductSprint Backlog'!$F218, TRUE, 0)</f>
        <v>0</v>
      </c>
      <c r="P218" s="4" cm="1">
        <f t="array" ref="P218">_xlfn.IFS('ProductSprint Backlog'!$F218="", "", AND('ProductSprint Backlog'!$J218&gt;P$2,'ProductSprint Backlog'!$I218&lt;=P$2), 'ProductSprint Backlog'!$F218 / MAX(1, 'ProductSprint Backlog'!$J218-'ProductSprint Backlog'!$I218), AND('ProductSprint Backlog'!$J218=P$2,'ProductSprint Backlog'!$I218=P$2), 'ProductSprint Backlog'!$F218, TRUE, 0)</f>
        <v>0</v>
      </c>
      <c r="Q218" s="4" cm="1">
        <f t="array" ref="Q218">_xlfn.IFS('ProductSprint Backlog'!$F218="", "", AND('ProductSprint Backlog'!$J218&gt;Q$2,'ProductSprint Backlog'!$I218&lt;=Q$2), 'ProductSprint Backlog'!$F218 / MAX(1, 'ProductSprint Backlog'!$J218-'ProductSprint Backlog'!$I218), AND('ProductSprint Backlog'!$J218=Q$2,'ProductSprint Backlog'!$I218=Q$2), 'ProductSprint Backlog'!$F218, TRUE, 0)</f>
        <v>0</v>
      </c>
      <c r="R218" s="4" cm="1">
        <f t="array" ref="R218">_xlfn.IFS('ProductSprint Backlog'!$F218="", "", AND('ProductSprint Backlog'!$J218&gt;R$2,'ProductSprint Backlog'!$I218&lt;=R$2), 'ProductSprint Backlog'!$F218 / MAX(1, 'ProductSprint Backlog'!$J218-'ProductSprint Backlog'!$I218), AND('ProductSprint Backlog'!$J218=R$2,'ProductSprint Backlog'!$I218=R$2), 'ProductSprint Backlog'!$F218, TRUE, 0)</f>
        <v>0</v>
      </c>
      <c r="S218" s="4" cm="1">
        <f t="array" ref="S218">_xlfn.IFS('ProductSprint Backlog'!$F218="", "", AND('ProductSprint Backlog'!$J218&gt;S$2,'ProductSprint Backlog'!$I218&lt;=S$2), 'ProductSprint Backlog'!$F218 / MAX(1, 'ProductSprint Backlog'!$J218-'ProductSprint Backlog'!$I218), AND('ProductSprint Backlog'!$J218=S$2,'ProductSprint Backlog'!$I218=S$2), 'ProductSprint Backlog'!$F218, TRUE, 0)</f>
        <v>0</v>
      </c>
      <c r="T218" s="4" cm="1">
        <f t="array" ref="T218">_xlfn.IFS('ProductSprint Backlog'!$F218="", "", AND('ProductSprint Backlog'!$J218&gt;T$2,'ProductSprint Backlog'!$I218&lt;=T$2), 'ProductSprint Backlog'!$F218 / MAX(1, 'ProductSprint Backlog'!$J218-'ProductSprint Backlog'!$I218), AND('ProductSprint Backlog'!$J218=T$2,'ProductSprint Backlog'!$I218=T$2), 'ProductSprint Backlog'!$F218, TRUE, 0)</f>
        <v>0</v>
      </c>
    </row>
    <row r="219" spans="2:20" x14ac:dyDescent="0.2">
      <c r="B219" s="4" cm="1">
        <f t="array" ref="B219">_xlfn.IFS('ProductSprint Backlog'!$F219="", "", AND('ProductSprint Backlog'!$J219&gt;B$2,'ProductSprint Backlog'!$I219&lt;=B$2), 'ProductSprint Backlog'!$F219 / MAX(1, 'ProductSprint Backlog'!$J219-'ProductSprint Backlog'!$I219), AND('ProductSprint Backlog'!$J219=B$2,'ProductSprint Backlog'!$I219=B$2), 'ProductSprint Backlog'!$F219, TRUE, 0)</f>
        <v>0</v>
      </c>
      <c r="C219" s="4" cm="1">
        <f t="array" ref="C219">_xlfn.IFS('ProductSprint Backlog'!$F219="", "", AND('ProductSprint Backlog'!$J219&gt;C$2,'ProductSprint Backlog'!$I219&lt;=C$2), 'ProductSprint Backlog'!$F219 / MAX(1, 'ProductSprint Backlog'!$J219-'ProductSprint Backlog'!$I219), AND('ProductSprint Backlog'!$J219=C$2,'ProductSprint Backlog'!$I219=C$2), 'ProductSprint Backlog'!$F219, TRUE, 0)</f>
        <v>0</v>
      </c>
      <c r="D219" s="4" cm="1">
        <f t="array" ref="D219">_xlfn.IFS('ProductSprint Backlog'!$F219="", "", AND('ProductSprint Backlog'!$J219&gt;D$2,'ProductSprint Backlog'!$I219&lt;=D$2), 'ProductSprint Backlog'!$F219 / MAX(1, 'ProductSprint Backlog'!$J219-'ProductSprint Backlog'!$I219), AND('ProductSprint Backlog'!$J219=D$2,'ProductSprint Backlog'!$I219=D$2), 'ProductSprint Backlog'!$F219, TRUE, 0)</f>
        <v>0</v>
      </c>
      <c r="E219" s="4" cm="1">
        <f t="array" ref="E219">_xlfn.IFS('ProductSprint Backlog'!$F219="", "", AND('ProductSprint Backlog'!$J219&gt;E$2,'ProductSprint Backlog'!$I219&lt;=E$2), 'ProductSprint Backlog'!$F219 / MAX(1, 'ProductSprint Backlog'!$J219-'ProductSprint Backlog'!$I219), AND('ProductSprint Backlog'!$J219=E$2,'ProductSprint Backlog'!$I219=E$2), 'ProductSprint Backlog'!$F219, TRUE, 0)</f>
        <v>0</v>
      </c>
      <c r="F219" s="4" cm="1">
        <f t="array" ref="F219">_xlfn.IFS('ProductSprint Backlog'!$F219="", "", AND('ProductSprint Backlog'!$J219&gt;F$2,'ProductSprint Backlog'!$I219&lt;=F$2), 'ProductSprint Backlog'!$F219 / MAX(1, 'ProductSprint Backlog'!$J219-'ProductSprint Backlog'!$I219), AND('ProductSprint Backlog'!$J219=F$2,'ProductSprint Backlog'!$I219=F$2), 'ProductSprint Backlog'!$F219, TRUE, 0)</f>
        <v>0</v>
      </c>
      <c r="G219" s="4" cm="1">
        <f t="array" ref="G219">_xlfn.IFS('ProductSprint Backlog'!$F219="", "", AND('ProductSprint Backlog'!$J219&gt;G$2,'ProductSprint Backlog'!$I219&lt;=G$2), 'ProductSprint Backlog'!$F219 / MAX(1, 'ProductSprint Backlog'!$J219-'ProductSprint Backlog'!$I219), AND('ProductSprint Backlog'!$J219=G$2,'ProductSprint Backlog'!$I219=G$2), 'ProductSprint Backlog'!$F219, TRUE, 0)</f>
        <v>0</v>
      </c>
      <c r="H219" s="4" cm="1">
        <f t="array" ref="H219">_xlfn.IFS('ProductSprint Backlog'!$F219="", "", AND('ProductSprint Backlog'!$J219&gt;H$2,'ProductSprint Backlog'!$I219&lt;=H$2), 'ProductSprint Backlog'!$F219 / MAX(1, 'ProductSprint Backlog'!$J219-'ProductSprint Backlog'!$I219), AND('ProductSprint Backlog'!$J219=H$2,'ProductSprint Backlog'!$I219=H$2), 'ProductSprint Backlog'!$F219, TRUE, 0)</f>
        <v>0</v>
      </c>
      <c r="I219" s="4" cm="1">
        <f t="array" ref="I219">_xlfn.IFS('ProductSprint Backlog'!$F219="", "", AND('ProductSprint Backlog'!$J219&gt;I$2,'ProductSprint Backlog'!$I219&lt;=I$2), 'ProductSprint Backlog'!$F219 / MAX(1, 'ProductSprint Backlog'!$J219-'ProductSprint Backlog'!$I219), AND('ProductSprint Backlog'!$J219=I$2,'ProductSprint Backlog'!$I219=I$2), 'ProductSprint Backlog'!$F219, TRUE, 0)</f>
        <v>0</v>
      </c>
      <c r="J219" s="4" cm="1">
        <f t="array" ref="J219">_xlfn.IFS('ProductSprint Backlog'!$F219="", "", AND('ProductSprint Backlog'!$J219&gt;J$2,'ProductSprint Backlog'!$I219&lt;=J$2), 'ProductSprint Backlog'!$F219 / MAX(1, 'ProductSprint Backlog'!$J219-'ProductSprint Backlog'!$I219), AND('ProductSprint Backlog'!$J219=J$2,'ProductSprint Backlog'!$I219=J$2), 'ProductSprint Backlog'!$F219, TRUE, 0)</f>
        <v>0</v>
      </c>
      <c r="K219" s="4" cm="1">
        <f t="array" ref="K219">_xlfn.IFS('ProductSprint Backlog'!$F219="", "", AND('ProductSprint Backlog'!$J219&gt;K$2,'ProductSprint Backlog'!$I219&lt;=K$2), 'ProductSprint Backlog'!$F219 / MAX(1, 'ProductSprint Backlog'!$J219-'ProductSprint Backlog'!$I219), AND('ProductSprint Backlog'!$J219=K$2,'ProductSprint Backlog'!$I219=K$2), 'ProductSprint Backlog'!$F219, TRUE, 0)</f>
        <v>0</v>
      </c>
      <c r="L219" s="4" cm="1">
        <f t="array" ref="L219">_xlfn.IFS('ProductSprint Backlog'!$F219="", "", AND('ProductSprint Backlog'!$J219&gt;L$2,'ProductSprint Backlog'!$I219&lt;=L$2), 'ProductSprint Backlog'!$F219 / MAX(1, 'ProductSprint Backlog'!$J219-'ProductSprint Backlog'!$I219), AND('ProductSprint Backlog'!$J219=L$2,'ProductSprint Backlog'!$I219=L$2), 'ProductSprint Backlog'!$F219, TRUE, 0)</f>
        <v>0</v>
      </c>
      <c r="M219" s="4" cm="1">
        <f t="array" ref="M219">_xlfn.IFS('ProductSprint Backlog'!$F219="", "", AND('ProductSprint Backlog'!$J219&gt;M$2,'ProductSprint Backlog'!$I219&lt;=M$2), 'ProductSprint Backlog'!$F219 / MAX(1, 'ProductSprint Backlog'!$J219-'ProductSprint Backlog'!$I219), AND('ProductSprint Backlog'!$J219=M$2,'ProductSprint Backlog'!$I219=M$2), 'ProductSprint Backlog'!$F219, TRUE, 0)</f>
        <v>0</v>
      </c>
      <c r="N219" s="4" cm="1">
        <f t="array" ref="N219">_xlfn.IFS('ProductSprint Backlog'!$F219="", "", AND('ProductSprint Backlog'!$J219&gt;N$2,'ProductSprint Backlog'!$I219&lt;=N$2), 'ProductSprint Backlog'!$F219 / MAX(1, 'ProductSprint Backlog'!$J219-'ProductSprint Backlog'!$I219), AND('ProductSprint Backlog'!$J219=N$2,'ProductSprint Backlog'!$I219=N$2), 'ProductSprint Backlog'!$F219, TRUE, 0)</f>
        <v>0</v>
      </c>
      <c r="O219" s="4" cm="1">
        <f t="array" ref="O219">_xlfn.IFS('ProductSprint Backlog'!$F219="", "", AND('ProductSprint Backlog'!$J219&gt;O$2,'ProductSprint Backlog'!$I219&lt;=O$2), 'ProductSprint Backlog'!$F219 / MAX(1, 'ProductSprint Backlog'!$J219-'ProductSprint Backlog'!$I219), AND('ProductSprint Backlog'!$J219=O$2,'ProductSprint Backlog'!$I219=O$2), 'ProductSprint Backlog'!$F219, TRUE, 0)</f>
        <v>0</v>
      </c>
      <c r="P219" s="4" cm="1">
        <f t="array" ref="P219">_xlfn.IFS('ProductSprint Backlog'!$F219="", "", AND('ProductSprint Backlog'!$J219&gt;P$2,'ProductSprint Backlog'!$I219&lt;=P$2), 'ProductSprint Backlog'!$F219 / MAX(1, 'ProductSprint Backlog'!$J219-'ProductSprint Backlog'!$I219), AND('ProductSprint Backlog'!$J219=P$2,'ProductSprint Backlog'!$I219=P$2), 'ProductSprint Backlog'!$F219, TRUE, 0)</f>
        <v>0</v>
      </c>
      <c r="Q219" s="4" cm="1">
        <f t="array" ref="Q219">_xlfn.IFS('ProductSprint Backlog'!$F219="", "", AND('ProductSprint Backlog'!$J219&gt;Q$2,'ProductSprint Backlog'!$I219&lt;=Q$2), 'ProductSprint Backlog'!$F219 / MAX(1, 'ProductSprint Backlog'!$J219-'ProductSprint Backlog'!$I219), AND('ProductSprint Backlog'!$J219=Q$2,'ProductSprint Backlog'!$I219=Q$2), 'ProductSprint Backlog'!$F219, TRUE, 0)</f>
        <v>0</v>
      </c>
      <c r="R219" s="4" cm="1">
        <f t="array" ref="R219">_xlfn.IFS('ProductSprint Backlog'!$F219="", "", AND('ProductSprint Backlog'!$J219&gt;R$2,'ProductSprint Backlog'!$I219&lt;=R$2), 'ProductSprint Backlog'!$F219 / MAX(1, 'ProductSprint Backlog'!$J219-'ProductSprint Backlog'!$I219), AND('ProductSprint Backlog'!$J219=R$2,'ProductSprint Backlog'!$I219=R$2), 'ProductSprint Backlog'!$F219, TRUE, 0)</f>
        <v>0</v>
      </c>
      <c r="S219" s="4" cm="1">
        <f t="array" ref="S219">_xlfn.IFS('ProductSprint Backlog'!$F219="", "", AND('ProductSprint Backlog'!$J219&gt;S$2,'ProductSprint Backlog'!$I219&lt;=S$2), 'ProductSprint Backlog'!$F219 / MAX(1, 'ProductSprint Backlog'!$J219-'ProductSprint Backlog'!$I219), AND('ProductSprint Backlog'!$J219=S$2,'ProductSprint Backlog'!$I219=S$2), 'ProductSprint Backlog'!$F219, TRUE, 0)</f>
        <v>0</v>
      </c>
      <c r="T219" s="4" cm="1">
        <f t="array" ref="T219">_xlfn.IFS('ProductSprint Backlog'!$F219="", "", AND('ProductSprint Backlog'!$J219&gt;T$2,'ProductSprint Backlog'!$I219&lt;=T$2), 'ProductSprint Backlog'!$F219 / MAX(1, 'ProductSprint Backlog'!$J219-'ProductSprint Backlog'!$I219), AND('ProductSprint Backlog'!$J219=T$2,'ProductSprint Backlog'!$I219=T$2), 'ProductSprint Backlog'!$F219, TRUE, 0)</f>
        <v>0</v>
      </c>
    </row>
    <row r="220" spans="2:20" x14ac:dyDescent="0.2">
      <c r="B220" s="4" cm="1">
        <f t="array" ref="B220">_xlfn.IFS('ProductSprint Backlog'!$F220="", "", AND('ProductSprint Backlog'!$J220&gt;B$2,'ProductSprint Backlog'!$I220&lt;=B$2), 'ProductSprint Backlog'!$F220 / MAX(1, 'ProductSprint Backlog'!$J220-'ProductSprint Backlog'!$I220), AND('ProductSprint Backlog'!$J220=B$2,'ProductSprint Backlog'!$I220=B$2), 'ProductSprint Backlog'!$F220, TRUE, 0)</f>
        <v>0</v>
      </c>
      <c r="C220" s="4" cm="1">
        <f t="array" ref="C220">_xlfn.IFS('ProductSprint Backlog'!$F220="", "", AND('ProductSprint Backlog'!$J220&gt;C$2,'ProductSprint Backlog'!$I220&lt;=C$2), 'ProductSprint Backlog'!$F220 / MAX(1, 'ProductSprint Backlog'!$J220-'ProductSprint Backlog'!$I220), AND('ProductSprint Backlog'!$J220=C$2,'ProductSprint Backlog'!$I220=C$2), 'ProductSprint Backlog'!$F220, TRUE, 0)</f>
        <v>0</v>
      </c>
      <c r="D220" s="4" cm="1">
        <f t="array" ref="D220">_xlfn.IFS('ProductSprint Backlog'!$F220="", "", AND('ProductSprint Backlog'!$J220&gt;D$2,'ProductSprint Backlog'!$I220&lt;=D$2), 'ProductSprint Backlog'!$F220 / MAX(1, 'ProductSprint Backlog'!$J220-'ProductSprint Backlog'!$I220), AND('ProductSprint Backlog'!$J220=D$2,'ProductSprint Backlog'!$I220=D$2), 'ProductSprint Backlog'!$F220, TRUE, 0)</f>
        <v>0</v>
      </c>
      <c r="E220" s="4" cm="1">
        <f t="array" ref="E220">_xlfn.IFS('ProductSprint Backlog'!$F220="", "", AND('ProductSprint Backlog'!$J220&gt;E$2,'ProductSprint Backlog'!$I220&lt;=E$2), 'ProductSprint Backlog'!$F220 / MAX(1, 'ProductSprint Backlog'!$J220-'ProductSprint Backlog'!$I220), AND('ProductSprint Backlog'!$J220=E$2,'ProductSprint Backlog'!$I220=E$2), 'ProductSprint Backlog'!$F220, TRUE, 0)</f>
        <v>0</v>
      </c>
      <c r="F220" s="4" cm="1">
        <f t="array" ref="F220">_xlfn.IFS('ProductSprint Backlog'!$F220="", "", AND('ProductSprint Backlog'!$J220&gt;F$2,'ProductSprint Backlog'!$I220&lt;=F$2), 'ProductSprint Backlog'!$F220 / MAX(1, 'ProductSprint Backlog'!$J220-'ProductSprint Backlog'!$I220), AND('ProductSprint Backlog'!$J220=F$2,'ProductSprint Backlog'!$I220=F$2), 'ProductSprint Backlog'!$F220, TRUE, 0)</f>
        <v>0</v>
      </c>
      <c r="G220" s="4" cm="1">
        <f t="array" ref="G220">_xlfn.IFS('ProductSprint Backlog'!$F220="", "", AND('ProductSprint Backlog'!$J220&gt;G$2,'ProductSprint Backlog'!$I220&lt;=G$2), 'ProductSprint Backlog'!$F220 / MAX(1, 'ProductSprint Backlog'!$J220-'ProductSprint Backlog'!$I220), AND('ProductSprint Backlog'!$J220=G$2,'ProductSprint Backlog'!$I220=G$2), 'ProductSprint Backlog'!$F220, TRUE, 0)</f>
        <v>0</v>
      </c>
      <c r="H220" s="4" cm="1">
        <f t="array" ref="H220">_xlfn.IFS('ProductSprint Backlog'!$F220="", "", AND('ProductSprint Backlog'!$J220&gt;H$2,'ProductSprint Backlog'!$I220&lt;=H$2), 'ProductSprint Backlog'!$F220 / MAX(1, 'ProductSprint Backlog'!$J220-'ProductSprint Backlog'!$I220), AND('ProductSprint Backlog'!$J220=H$2,'ProductSprint Backlog'!$I220=H$2), 'ProductSprint Backlog'!$F220, TRUE, 0)</f>
        <v>0</v>
      </c>
      <c r="I220" s="4" cm="1">
        <f t="array" ref="I220">_xlfn.IFS('ProductSprint Backlog'!$F220="", "", AND('ProductSprint Backlog'!$J220&gt;I$2,'ProductSprint Backlog'!$I220&lt;=I$2), 'ProductSprint Backlog'!$F220 / MAX(1, 'ProductSprint Backlog'!$J220-'ProductSprint Backlog'!$I220), AND('ProductSprint Backlog'!$J220=I$2,'ProductSprint Backlog'!$I220=I$2), 'ProductSprint Backlog'!$F220, TRUE, 0)</f>
        <v>0</v>
      </c>
      <c r="J220" s="4" cm="1">
        <f t="array" ref="J220">_xlfn.IFS('ProductSprint Backlog'!$F220="", "", AND('ProductSprint Backlog'!$J220&gt;J$2,'ProductSprint Backlog'!$I220&lt;=J$2), 'ProductSprint Backlog'!$F220 / MAX(1, 'ProductSprint Backlog'!$J220-'ProductSprint Backlog'!$I220), AND('ProductSprint Backlog'!$J220=J$2,'ProductSprint Backlog'!$I220=J$2), 'ProductSprint Backlog'!$F220, TRUE, 0)</f>
        <v>0</v>
      </c>
      <c r="K220" s="4" cm="1">
        <f t="array" ref="K220">_xlfn.IFS('ProductSprint Backlog'!$F220="", "", AND('ProductSprint Backlog'!$J220&gt;K$2,'ProductSprint Backlog'!$I220&lt;=K$2), 'ProductSprint Backlog'!$F220 / MAX(1, 'ProductSprint Backlog'!$J220-'ProductSprint Backlog'!$I220), AND('ProductSprint Backlog'!$J220=K$2,'ProductSprint Backlog'!$I220=K$2), 'ProductSprint Backlog'!$F220, TRUE, 0)</f>
        <v>0</v>
      </c>
      <c r="L220" s="4" cm="1">
        <f t="array" ref="L220">_xlfn.IFS('ProductSprint Backlog'!$F220="", "", AND('ProductSprint Backlog'!$J220&gt;L$2,'ProductSprint Backlog'!$I220&lt;=L$2), 'ProductSprint Backlog'!$F220 / MAX(1, 'ProductSprint Backlog'!$J220-'ProductSprint Backlog'!$I220), AND('ProductSprint Backlog'!$J220=L$2,'ProductSprint Backlog'!$I220=L$2), 'ProductSprint Backlog'!$F220, TRUE, 0)</f>
        <v>0</v>
      </c>
      <c r="M220" s="4" cm="1">
        <f t="array" ref="M220">_xlfn.IFS('ProductSprint Backlog'!$F220="", "", AND('ProductSprint Backlog'!$J220&gt;M$2,'ProductSprint Backlog'!$I220&lt;=M$2), 'ProductSprint Backlog'!$F220 / MAX(1, 'ProductSprint Backlog'!$J220-'ProductSprint Backlog'!$I220), AND('ProductSprint Backlog'!$J220=M$2,'ProductSprint Backlog'!$I220=M$2), 'ProductSprint Backlog'!$F220, TRUE, 0)</f>
        <v>0</v>
      </c>
      <c r="N220" s="4" cm="1">
        <f t="array" ref="N220">_xlfn.IFS('ProductSprint Backlog'!$F220="", "", AND('ProductSprint Backlog'!$J220&gt;N$2,'ProductSprint Backlog'!$I220&lt;=N$2), 'ProductSprint Backlog'!$F220 / MAX(1, 'ProductSprint Backlog'!$J220-'ProductSprint Backlog'!$I220), AND('ProductSprint Backlog'!$J220=N$2,'ProductSprint Backlog'!$I220=N$2), 'ProductSprint Backlog'!$F220, TRUE, 0)</f>
        <v>0</v>
      </c>
      <c r="O220" s="4" cm="1">
        <f t="array" ref="O220">_xlfn.IFS('ProductSprint Backlog'!$F220="", "", AND('ProductSprint Backlog'!$J220&gt;O$2,'ProductSprint Backlog'!$I220&lt;=O$2), 'ProductSprint Backlog'!$F220 / MAX(1, 'ProductSprint Backlog'!$J220-'ProductSprint Backlog'!$I220), AND('ProductSprint Backlog'!$J220=O$2,'ProductSprint Backlog'!$I220=O$2), 'ProductSprint Backlog'!$F220, TRUE, 0)</f>
        <v>0</v>
      </c>
      <c r="P220" s="4" cm="1">
        <f t="array" ref="P220">_xlfn.IFS('ProductSprint Backlog'!$F220="", "", AND('ProductSprint Backlog'!$J220&gt;P$2,'ProductSprint Backlog'!$I220&lt;=P$2), 'ProductSprint Backlog'!$F220 / MAX(1, 'ProductSprint Backlog'!$J220-'ProductSprint Backlog'!$I220), AND('ProductSprint Backlog'!$J220=P$2,'ProductSprint Backlog'!$I220=P$2), 'ProductSprint Backlog'!$F220, TRUE, 0)</f>
        <v>0</v>
      </c>
      <c r="Q220" s="4" cm="1">
        <f t="array" ref="Q220">_xlfn.IFS('ProductSprint Backlog'!$F220="", "", AND('ProductSprint Backlog'!$J220&gt;Q$2,'ProductSprint Backlog'!$I220&lt;=Q$2), 'ProductSprint Backlog'!$F220 / MAX(1, 'ProductSprint Backlog'!$J220-'ProductSprint Backlog'!$I220), AND('ProductSprint Backlog'!$J220=Q$2,'ProductSprint Backlog'!$I220=Q$2), 'ProductSprint Backlog'!$F220, TRUE, 0)</f>
        <v>0</v>
      </c>
      <c r="R220" s="4" cm="1">
        <f t="array" ref="R220">_xlfn.IFS('ProductSprint Backlog'!$F220="", "", AND('ProductSprint Backlog'!$J220&gt;R$2,'ProductSprint Backlog'!$I220&lt;=R$2), 'ProductSprint Backlog'!$F220 / MAX(1, 'ProductSprint Backlog'!$J220-'ProductSprint Backlog'!$I220), AND('ProductSprint Backlog'!$J220=R$2,'ProductSprint Backlog'!$I220=R$2), 'ProductSprint Backlog'!$F220, TRUE, 0)</f>
        <v>0</v>
      </c>
      <c r="S220" s="4" cm="1">
        <f t="array" ref="S220">_xlfn.IFS('ProductSprint Backlog'!$F220="", "", AND('ProductSprint Backlog'!$J220&gt;S$2,'ProductSprint Backlog'!$I220&lt;=S$2), 'ProductSprint Backlog'!$F220 / MAX(1, 'ProductSprint Backlog'!$J220-'ProductSprint Backlog'!$I220), AND('ProductSprint Backlog'!$J220=S$2,'ProductSprint Backlog'!$I220=S$2), 'ProductSprint Backlog'!$F220, TRUE, 0)</f>
        <v>0</v>
      </c>
      <c r="T220" s="4" cm="1">
        <f t="array" ref="T220">_xlfn.IFS('ProductSprint Backlog'!$F220="", "", AND('ProductSprint Backlog'!$J220&gt;T$2,'ProductSprint Backlog'!$I220&lt;=T$2), 'ProductSprint Backlog'!$F220 / MAX(1, 'ProductSprint Backlog'!$J220-'ProductSprint Backlog'!$I220), AND('ProductSprint Backlog'!$J220=T$2,'ProductSprint Backlog'!$I220=T$2), 'ProductSprint Backlog'!$F220, TRUE, 0)</f>
        <v>0</v>
      </c>
    </row>
    <row r="221" spans="2:20" x14ac:dyDescent="0.2">
      <c r="B221" s="4" cm="1">
        <f t="array" ref="B221">_xlfn.IFS('ProductSprint Backlog'!$F221="", "", AND('ProductSprint Backlog'!$J221&gt;B$2,'ProductSprint Backlog'!$I221&lt;=B$2), 'ProductSprint Backlog'!$F221 / MAX(1, 'ProductSprint Backlog'!$J221-'ProductSprint Backlog'!$I221), AND('ProductSprint Backlog'!$J221=B$2,'ProductSprint Backlog'!$I221=B$2), 'ProductSprint Backlog'!$F221, TRUE, 0)</f>
        <v>0</v>
      </c>
      <c r="C221" s="4" cm="1">
        <f t="array" ref="C221">_xlfn.IFS('ProductSprint Backlog'!$F221="", "", AND('ProductSprint Backlog'!$J221&gt;C$2,'ProductSprint Backlog'!$I221&lt;=C$2), 'ProductSprint Backlog'!$F221 / MAX(1, 'ProductSprint Backlog'!$J221-'ProductSprint Backlog'!$I221), AND('ProductSprint Backlog'!$J221=C$2,'ProductSprint Backlog'!$I221=C$2), 'ProductSprint Backlog'!$F221, TRUE, 0)</f>
        <v>0</v>
      </c>
      <c r="D221" s="4" cm="1">
        <f t="array" ref="D221">_xlfn.IFS('ProductSprint Backlog'!$F221="", "", AND('ProductSprint Backlog'!$J221&gt;D$2,'ProductSprint Backlog'!$I221&lt;=D$2), 'ProductSprint Backlog'!$F221 / MAX(1, 'ProductSprint Backlog'!$J221-'ProductSprint Backlog'!$I221), AND('ProductSprint Backlog'!$J221=D$2,'ProductSprint Backlog'!$I221=D$2), 'ProductSprint Backlog'!$F221, TRUE, 0)</f>
        <v>0</v>
      </c>
      <c r="E221" s="4" cm="1">
        <f t="array" ref="E221">_xlfn.IFS('ProductSprint Backlog'!$F221="", "", AND('ProductSprint Backlog'!$J221&gt;E$2,'ProductSprint Backlog'!$I221&lt;=E$2), 'ProductSprint Backlog'!$F221 / MAX(1, 'ProductSprint Backlog'!$J221-'ProductSprint Backlog'!$I221), AND('ProductSprint Backlog'!$J221=E$2,'ProductSprint Backlog'!$I221=E$2), 'ProductSprint Backlog'!$F221, TRUE, 0)</f>
        <v>0</v>
      </c>
      <c r="F221" s="4" cm="1">
        <f t="array" ref="F221">_xlfn.IFS('ProductSprint Backlog'!$F221="", "", AND('ProductSprint Backlog'!$J221&gt;F$2,'ProductSprint Backlog'!$I221&lt;=F$2), 'ProductSprint Backlog'!$F221 / MAX(1, 'ProductSprint Backlog'!$J221-'ProductSprint Backlog'!$I221), AND('ProductSprint Backlog'!$J221=F$2,'ProductSprint Backlog'!$I221=F$2), 'ProductSprint Backlog'!$F221, TRUE, 0)</f>
        <v>0</v>
      </c>
      <c r="G221" s="4" cm="1">
        <f t="array" ref="G221">_xlfn.IFS('ProductSprint Backlog'!$F221="", "", AND('ProductSprint Backlog'!$J221&gt;G$2,'ProductSprint Backlog'!$I221&lt;=G$2), 'ProductSprint Backlog'!$F221 / MAX(1, 'ProductSprint Backlog'!$J221-'ProductSprint Backlog'!$I221), AND('ProductSprint Backlog'!$J221=G$2,'ProductSprint Backlog'!$I221=G$2), 'ProductSprint Backlog'!$F221, TRUE, 0)</f>
        <v>0</v>
      </c>
      <c r="H221" s="4" cm="1">
        <f t="array" ref="H221">_xlfn.IFS('ProductSprint Backlog'!$F221="", "", AND('ProductSprint Backlog'!$J221&gt;H$2,'ProductSprint Backlog'!$I221&lt;=H$2), 'ProductSprint Backlog'!$F221 / MAX(1, 'ProductSprint Backlog'!$J221-'ProductSprint Backlog'!$I221), AND('ProductSprint Backlog'!$J221=H$2,'ProductSprint Backlog'!$I221=H$2), 'ProductSprint Backlog'!$F221, TRUE, 0)</f>
        <v>0</v>
      </c>
      <c r="I221" s="4" cm="1">
        <f t="array" ref="I221">_xlfn.IFS('ProductSprint Backlog'!$F221="", "", AND('ProductSprint Backlog'!$J221&gt;I$2,'ProductSprint Backlog'!$I221&lt;=I$2), 'ProductSprint Backlog'!$F221 / MAX(1, 'ProductSprint Backlog'!$J221-'ProductSprint Backlog'!$I221), AND('ProductSprint Backlog'!$J221=I$2,'ProductSprint Backlog'!$I221=I$2), 'ProductSprint Backlog'!$F221, TRUE, 0)</f>
        <v>0</v>
      </c>
      <c r="J221" s="4" cm="1">
        <f t="array" ref="J221">_xlfn.IFS('ProductSprint Backlog'!$F221="", "", AND('ProductSprint Backlog'!$J221&gt;J$2,'ProductSprint Backlog'!$I221&lt;=J$2), 'ProductSprint Backlog'!$F221 / MAX(1, 'ProductSprint Backlog'!$J221-'ProductSprint Backlog'!$I221), AND('ProductSprint Backlog'!$J221=J$2,'ProductSprint Backlog'!$I221=J$2), 'ProductSprint Backlog'!$F221, TRUE, 0)</f>
        <v>0</v>
      </c>
      <c r="K221" s="4" cm="1">
        <f t="array" ref="K221">_xlfn.IFS('ProductSprint Backlog'!$F221="", "", AND('ProductSprint Backlog'!$J221&gt;K$2,'ProductSprint Backlog'!$I221&lt;=K$2), 'ProductSprint Backlog'!$F221 / MAX(1, 'ProductSprint Backlog'!$J221-'ProductSprint Backlog'!$I221), AND('ProductSprint Backlog'!$J221=K$2,'ProductSprint Backlog'!$I221=K$2), 'ProductSprint Backlog'!$F221, TRUE, 0)</f>
        <v>0</v>
      </c>
      <c r="L221" s="4" cm="1">
        <f t="array" ref="L221">_xlfn.IFS('ProductSprint Backlog'!$F221="", "", AND('ProductSprint Backlog'!$J221&gt;L$2,'ProductSprint Backlog'!$I221&lt;=L$2), 'ProductSprint Backlog'!$F221 / MAX(1, 'ProductSprint Backlog'!$J221-'ProductSprint Backlog'!$I221), AND('ProductSprint Backlog'!$J221=L$2,'ProductSprint Backlog'!$I221=L$2), 'ProductSprint Backlog'!$F221, TRUE, 0)</f>
        <v>0</v>
      </c>
      <c r="M221" s="4" cm="1">
        <f t="array" ref="M221">_xlfn.IFS('ProductSprint Backlog'!$F221="", "", AND('ProductSprint Backlog'!$J221&gt;M$2,'ProductSprint Backlog'!$I221&lt;=M$2), 'ProductSprint Backlog'!$F221 / MAX(1, 'ProductSprint Backlog'!$J221-'ProductSprint Backlog'!$I221), AND('ProductSprint Backlog'!$J221=M$2,'ProductSprint Backlog'!$I221=M$2), 'ProductSprint Backlog'!$F221, TRUE, 0)</f>
        <v>0</v>
      </c>
      <c r="N221" s="4" cm="1">
        <f t="array" ref="N221">_xlfn.IFS('ProductSprint Backlog'!$F221="", "", AND('ProductSprint Backlog'!$J221&gt;N$2,'ProductSprint Backlog'!$I221&lt;=N$2), 'ProductSprint Backlog'!$F221 / MAX(1, 'ProductSprint Backlog'!$J221-'ProductSprint Backlog'!$I221), AND('ProductSprint Backlog'!$J221=N$2,'ProductSprint Backlog'!$I221=N$2), 'ProductSprint Backlog'!$F221, TRUE, 0)</f>
        <v>0</v>
      </c>
      <c r="O221" s="4" cm="1">
        <f t="array" ref="O221">_xlfn.IFS('ProductSprint Backlog'!$F221="", "", AND('ProductSprint Backlog'!$J221&gt;O$2,'ProductSprint Backlog'!$I221&lt;=O$2), 'ProductSprint Backlog'!$F221 / MAX(1, 'ProductSprint Backlog'!$J221-'ProductSprint Backlog'!$I221), AND('ProductSprint Backlog'!$J221=O$2,'ProductSprint Backlog'!$I221=O$2), 'ProductSprint Backlog'!$F221, TRUE, 0)</f>
        <v>0</v>
      </c>
      <c r="P221" s="4" cm="1">
        <f t="array" ref="P221">_xlfn.IFS('ProductSprint Backlog'!$F221="", "", AND('ProductSprint Backlog'!$J221&gt;P$2,'ProductSprint Backlog'!$I221&lt;=P$2), 'ProductSprint Backlog'!$F221 / MAX(1, 'ProductSprint Backlog'!$J221-'ProductSprint Backlog'!$I221), AND('ProductSprint Backlog'!$J221=P$2,'ProductSprint Backlog'!$I221=P$2), 'ProductSprint Backlog'!$F221, TRUE, 0)</f>
        <v>0</v>
      </c>
      <c r="Q221" s="4" cm="1">
        <f t="array" ref="Q221">_xlfn.IFS('ProductSprint Backlog'!$F221="", "", AND('ProductSprint Backlog'!$J221&gt;Q$2,'ProductSprint Backlog'!$I221&lt;=Q$2), 'ProductSprint Backlog'!$F221 / MAX(1, 'ProductSprint Backlog'!$J221-'ProductSprint Backlog'!$I221), AND('ProductSprint Backlog'!$J221=Q$2,'ProductSprint Backlog'!$I221=Q$2), 'ProductSprint Backlog'!$F221, TRUE, 0)</f>
        <v>0</v>
      </c>
      <c r="R221" s="4" cm="1">
        <f t="array" ref="R221">_xlfn.IFS('ProductSprint Backlog'!$F221="", "", AND('ProductSprint Backlog'!$J221&gt;R$2,'ProductSprint Backlog'!$I221&lt;=R$2), 'ProductSprint Backlog'!$F221 / MAX(1, 'ProductSprint Backlog'!$J221-'ProductSprint Backlog'!$I221), AND('ProductSprint Backlog'!$J221=R$2,'ProductSprint Backlog'!$I221=R$2), 'ProductSprint Backlog'!$F221, TRUE, 0)</f>
        <v>0</v>
      </c>
      <c r="S221" s="4" cm="1">
        <f t="array" ref="S221">_xlfn.IFS('ProductSprint Backlog'!$F221="", "", AND('ProductSprint Backlog'!$J221&gt;S$2,'ProductSprint Backlog'!$I221&lt;=S$2), 'ProductSprint Backlog'!$F221 / MAX(1, 'ProductSprint Backlog'!$J221-'ProductSprint Backlog'!$I221), AND('ProductSprint Backlog'!$J221=S$2,'ProductSprint Backlog'!$I221=S$2), 'ProductSprint Backlog'!$F221, TRUE, 0)</f>
        <v>0</v>
      </c>
      <c r="T221" s="4" cm="1">
        <f t="array" ref="T221">_xlfn.IFS('ProductSprint Backlog'!$F221="", "", AND('ProductSprint Backlog'!$J221&gt;T$2,'ProductSprint Backlog'!$I221&lt;=T$2), 'ProductSprint Backlog'!$F221 / MAX(1, 'ProductSprint Backlog'!$J221-'ProductSprint Backlog'!$I221), AND('ProductSprint Backlog'!$J221=T$2,'ProductSprint Backlog'!$I221=T$2), 'ProductSprint Backlog'!$F221, TRUE, 0)</f>
        <v>0</v>
      </c>
    </row>
    <row r="222" spans="2:20" x14ac:dyDescent="0.2">
      <c r="B222" s="4" cm="1">
        <f t="array" ref="B222">_xlfn.IFS('ProductSprint Backlog'!$F222="", "", AND('ProductSprint Backlog'!$J222&gt;B$2,'ProductSprint Backlog'!$I222&lt;=B$2), 'ProductSprint Backlog'!$F222 / MAX(1, 'ProductSprint Backlog'!$J222-'ProductSprint Backlog'!$I222), AND('ProductSprint Backlog'!$J222=B$2,'ProductSprint Backlog'!$I222=B$2), 'ProductSprint Backlog'!$F222, TRUE, 0)</f>
        <v>0</v>
      </c>
      <c r="C222" s="4" cm="1">
        <f t="array" ref="C222">_xlfn.IFS('ProductSprint Backlog'!$F222="", "", AND('ProductSprint Backlog'!$J222&gt;C$2,'ProductSprint Backlog'!$I222&lt;=C$2), 'ProductSprint Backlog'!$F222 / MAX(1, 'ProductSprint Backlog'!$J222-'ProductSprint Backlog'!$I222), AND('ProductSprint Backlog'!$J222=C$2,'ProductSprint Backlog'!$I222=C$2), 'ProductSprint Backlog'!$F222, TRUE, 0)</f>
        <v>0</v>
      </c>
      <c r="D222" s="4" cm="1">
        <f t="array" ref="D222">_xlfn.IFS('ProductSprint Backlog'!$F222="", "", AND('ProductSprint Backlog'!$J222&gt;D$2,'ProductSprint Backlog'!$I222&lt;=D$2), 'ProductSprint Backlog'!$F222 / MAX(1, 'ProductSprint Backlog'!$J222-'ProductSprint Backlog'!$I222), AND('ProductSprint Backlog'!$J222=D$2,'ProductSprint Backlog'!$I222=D$2), 'ProductSprint Backlog'!$F222, TRUE, 0)</f>
        <v>0</v>
      </c>
      <c r="E222" s="4" cm="1">
        <f t="array" ref="E222">_xlfn.IFS('ProductSprint Backlog'!$F222="", "", AND('ProductSprint Backlog'!$J222&gt;E$2,'ProductSprint Backlog'!$I222&lt;=E$2), 'ProductSprint Backlog'!$F222 / MAX(1, 'ProductSprint Backlog'!$J222-'ProductSprint Backlog'!$I222), AND('ProductSprint Backlog'!$J222=E$2,'ProductSprint Backlog'!$I222=E$2), 'ProductSprint Backlog'!$F222, TRUE, 0)</f>
        <v>0</v>
      </c>
      <c r="F222" s="4" cm="1">
        <f t="array" ref="F222">_xlfn.IFS('ProductSprint Backlog'!$F222="", "", AND('ProductSprint Backlog'!$J222&gt;F$2,'ProductSprint Backlog'!$I222&lt;=F$2), 'ProductSprint Backlog'!$F222 / MAX(1, 'ProductSprint Backlog'!$J222-'ProductSprint Backlog'!$I222), AND('ProductSprint Backlog'!$J222=F$2,'ProductSprint Backlog'!$I222=F$2), 'ProductSprint Backlog'!$F222, TRUE, 0)</f>
        <v>0</v>
      </c>
      <c r="G222" s="4" cm="1">
        <f t="array" ref="G222">_xlfn.IFS('ProductSprint Backlog'!$F222="", "", AND('ProductSprint Backlog'!$J222&gt;G$2,'ProductSprint Backlog'!$I222&lt;=G$2), 'ProductSprint Backlog'!$F222 / MAX(1, 'ProductSprint Backlog'!$J222-'ProductSprint Backlog'!$I222), AND('ProductSprint Backlog'!$J222=G$2,'ProductSprint Backlog'!$I222=G$2), 'ProductSprint Backlog'!$F222, TRUE, 0)</f>
        <v>0</v>
      </c>
      <c r="H222" s="4" cm="1">
        <f t="array" ref="H222">_xlfn.IFS('ProductSprint Backlog'!$F222="", "", AND('ProductSprint Backlog'!$J222&gt;H$2,'ProductSprint Backlog'!$I222&lt;=H$2), 'ProductSprint Backlog'!$F222 / MAX(1, 'ProductSprint Backlog'!$J222-'ProductSprint Backlog'!$I222), AND('ProductSprint Backlog'!$J222=H$2,'ProductSprint Backlog'!$I222=H$2), 'ProductSprint Backlog'!$F222, TRUE, 0)</f>
        <v>0</v>
      </c>
      <c r="I222" s="4" cm="1">
        <f t="array" ref="I222">_xlfn.IFS('ProductSprint Backlog'!$F222="", "", AND('ProductSprint Backlog'!$J222&gt;I$2,'ProductSprint Backlog'!$I222&lt;=I$2), 'ProductSprint Backlog'!$F222 / MAX(1, 'ProductSprint Backlog'!$J222-'ProductSprint Backlog'!$I222), AND('ProductSprint Backlog'!$J222=I$2,'ProductSprint Backlog'!$I222=I$2), 'ProductSprint Backlog'!$F222, TRUE, 0)</f>
        <v>0</v>
      </c>
      <c r="J222" s="4" cm="1">
        <f t="array" ref="J222">_xlfn.IFS('ProductSprint Backlog'!$F222="", "", AND('ProductSprint Backlog'!$J222&gt;J$2,'ProductSprint Backlog'!$I222&lt;=J$2), 'ProductSprint Backlog'!$F222 / MAX(1, 'ProductSprint Backlog'!$J222-'ProductSprint Backlog'!$I222), AND('ProductSprint Backlog'!$J222=J$2,'ProductSprint Backlog'!$I222=J$2), 'ProductSprint Backlog'!$F222, TRUE, 0)</f>
        <v>0</v>
      </c>
      <c r="K222" s="4" cm="1">
        <f t="array" ref="K222">_xlfn.IFS('ProductSprint Backlog'!$F222="", "", AND('ProductSprint Backlog'!$J222&gt;K$2,'ProductSprint Backlog'!$I222&lt;=K$2), 'ProductSprint Backlog'!$F222 / MAX(1, 'ProductSprint Backlog'!$J222-'ProductSprint Backlog'!$I222), AND('ProductSprint Backlog'!$J222=K$2,'ProductSprint Backlog'!$I222=K$2), 'ProductSprint Backlog'!$F222, TRUE, 0)</f>
        <v>0</v>
      </c>
      <c r="L222" s="4" cm="1">
        <f t="array" ref="L222">_xlfn.IFS('ProductSprint Backlog'!$F222="", "", AND('ProductSprint Backlog'!$J222&gt;L$2,'ProductSprint Backlog'!$I222&lt;=L$2), 'ProductSprint Backlog'!$F222 / MAX(1, 'ProductSprint Backlog'!$J222-'ProductSprint Backlog'!$I222), AND('ProductSprint Backlog'!$J222=L$2,'ProductSprint Backlog'!$I222=L$2), 'ProductSprint Backlog'!$F222, TRUE, 0)</f>
        <v>0</v>
      </c>
      <c r="M222" s="4" cm="1">
        <f t="array" ref="M222">_xlfn.IFS('ProductSprint Backlog'!$F222="", "", AND('ProductSprint Backlog'!$J222&gt;M$2,'ProductSprint Backlog'!$I222&lt;=M$2), 'ProductSprint Backlog'!$F222 / MAX(1, 'ProductSprint Backlog'!$J222-'ProductSprint Backlog'!$I222), AND('ProductSprint Backlog'!$J222=M$2,'ProductSprint Backlog'!$I222=M$2), 'ProductSprint Backlog'!$F222, TRUE, 0)</f>
        <v>0</v>
      </c>
      <c r="N222" s="4" cm="1">
        <f t="array" ref="N222">_xlfn.IFS('ProductSprint Backlog'!$F222="", "", AND('ProductSprint Backlog'!$J222&gt;N$2,'ProductSprint Backlog'!$I222&lt;=N$2), 'ProductSprint Backlog'!$F222 / MAX(1, 'ProductSprint Backlog'!$J222-'ProductSprint Backlog'!$I222), AND('ProductSprint Backlog'!$J222=N$2,'ProductSprint Backlog'!$I222=N$2), 'ProductSprint Backlog'!$F222, TRUE, 0)</f>
        <v>0</v>
      </c>
      <c r="O222" s="4" cm="1">
        <f t="array" ref="O222">_xlfn.IFS('ProductSprint Backlog'!$F222="", "", AND('ProductSprint Backlog'!$J222&gt;O$2,'ProductSprint Backlog'!$I222&lt;=O$2), 'ProductSprint Backlog'!$F222 / MAX(1, 'ProductSprint Backlog'!$J222-'ProductSprint Backlog'!$I222), AND('ProductSprint Backlog'!$J222=O$2,'ProductSprint Backlog'!$I222=O$2), 'ProductSprint Backlog'!$F222, TRUE, 0)</f>
        <v>0</v>
      </c>
      <c r="P222" s="4" cm="1">
        <f t="array" ref="P222">_xlfn.IFS('ProductSprint Backlog'!$F222="", "", AND('ProductSprint Backlog'!$J222&gt;P$2,'ProductSprint Backlog'!$I222&lt;=P$2), 'ProductSprint Backlog'!$F222 / MAX(1, 'ProductSprint Backlog'!$J222-'ProductSprint Backlog'!$I222), AND('ProductSprint Backlog'!$J222=P$2,'ProductSprint Backlog'!$I222=P$2), 'ProductSprint Backlog'!$F222, TRUE, 0)</f>
        <v>0</v>
      </c>
      <c r="Q222" s="4" cm="1">
        <f t="array" ref="Q222">_xlfn.IFS('ProductSprint Backlog'!$F222="", "", AND('ProductSprint Backlog'!$J222&gt;Q$2,'ProductSprint Backlog'!$I222&lt;=Q$2), 'ProductSprint Backlog'!$F222 / MAX(1, 'ProductSprint Backlog'!$J222-'ProductSprint Backlog'!$I222), AND('ProductSprint Backlog'!$J222=Q$2,'ProductSprint Backlog'!$I222=Q$2), 'ProductSprint Backlog'!$F222, TRUE, 0)</f>
        <v>0</v>
      </c>
      <c r="R222" s="4" cm="1">
        <f t="array" ref="R222">_xlfn.IFS('ProductSprint Backlog'!$F222="", "", AND('ProductSprint Backlog'!$J222&gt;R$2,'ProductSprint Backlog'!$I222&lt;=R$2), 'ProductSprint Backlog'!$F222 / MAX(1, 'ProductSprint Backlog'!$J222-'ProductSprint Backlog'!$I222), AND('ProductSprint Backlog'!$J222=R$2,'ProductSprint Backlog'!$I222=R$2), 'ProductSprint Backlog'!$F222, TRUE, 0)</f>
        <v>0</v>
      </c>
      <c r="S222" s="4" cm="1">
        <f t="array" ref="S222">_xlfn.IFS('ProductSprint Backlog'!$F222="", "", AND('ProductSprint Backlog'!$J222&gt;S$2,'ProductSprint Backlog'!$I222&lt;=S$2), 'ProductSprint Backlog'!$F222 / MAX(1, 'ProductSprint Backlog'!$J222-'ProductSprint Backlog'!$I222), AND('ProductSprint Backlog'!$J222=S$2,'ProductSprint Backlog'!$I222=S$2), 'ProductSprint Backlog'!$F222, TRUE, 0)</f>
        <v>0</v>
      </c>
      <c r="T222" s="4" cm="1">
        <f t="array" ref="T222">_xlfn.IFS('ProductSprint Backlog'!$F222="", "", AND('ProductSprint Backlog'!$J222&gt;T$2,'ProductSprint Backlog'!$I222&lt;=T$2), 'ProductSprint Backlog'!$F222 / MAX(1, 'ProductSprint Backlog'!$J222-'ProductSprint Backlog'!$I222), AND('ProductSprint Backlog'!$J222=T$2,'ProductSprint Backlog'!$I222=T$2), 'ProductSprint Backlog'!$F222, TRUE, 0)</f>
        <v>0</v>
      </c>
    </row>
    <row r="223" spans="2:20" x14ac:dyDescent="0.2">
      <c r="B223" s="4" cm="1">
        <f t="array" ref="B223">_xlfn.IFS('ProductSprint Backlog'!$F223="", "", AND('ProductSprint Backlog'!$J223&gt;B$2,'ProductSprint Backlog'!$I223&lt;=B$2), 'ProductSprint Backlog'!$F223 / MAX(1, 'ProductSprint Backlog'!$J223-'ProductSprint Backlog'!$I223), AND('ProductSprint Backlog'!$J223=B$2,'ProductSprint Backlog'!$I223=B$2), 'ProductSprint Backlog'!$F223, TRUE, 0)</f>
        <v>0</v>
      </c>
      <c r="C223" s="4" cm="1">
        <f t="array" ref="C223">_xlfn.IFS('ProductSprint Backlog'!$F223="", "", AND('ProductSprint Backlog'!$J223&gt;C$2,'ProductSprint Backlog'!$I223&lt;=C$2), 'ProductSprint Backlog'!$F223 / MAX(1, 'ProductSprint Backlog'!$J223-'ProductSprint Backlog'!$I223), AND('ProductSprint Backlog'!$J223=C$2,'ProductSprint Backlog'!$I223=C$2), 'ProductSprint Backlog'!$F223, TRUE, 0)</f>
        <v>0</v>
      </c>
      <c r="D223" s="4" cm="1">
        <f t="array" ref="D223">_xlfn.IFS('ProductSprint Backlog'!$F223="", "", AND('ProductSprint Backlog'!$J223&gt;D$2,'ProductSprint Backlog'!$I223&lt;=D$2), 'ProductSprint Backlog'!$F223 / MAX(1, 'ProductSprint Backlog'!$J223-'ProductSprint Backlog'!$I223), AND('ProductSprint Backlog'!$J223=D$2,'ProductSprint Backlog'!$I223=D$2), 'ProductSprint Backlog'!$F223, TRUE, 0)</f>
        <v>0</v>
      </c>
      <c r="E223" s="4" cm="1">
        <f t="array" ref="E223">_xlfn.IFS('ProductSprint Backlog'!$F223="", "", AND('ProductSprint Backlog'!$J223&gt;E$2,'ProductSprint Backlog'!$I223&lt;=E$2), 'ProductSprint Backlog'!$F223 / MAX(1, 'ProductSprint Backlog'!$J223-'ProductSprint Backlog'!$I223), AND('ProductSprint Backlog'!$J223=E$2,'ProductSprint Backlog'!$I223=E$2), 'ProductSprint Backlog'!$F223, TRUE, 0)</f>
        <v>0</v>
      </c>
      <c r="F223" s="4" cm="1">
        <f t="array" ref="F223">_xlfn.IFS('ProductSprint Backlog'!$F223="", "", AND('ProductSprint Backlog'!$J223&gt;F$2,'ProductSprint Backlog'!$I223&lt;=F$2), 'ProductSprint Backlog'!$F223 / MAX(1, 'ProductSprint Backlog'!$J223-'ProductSprint Backlog'!$I223), AND('ProductSprint Backlog'!$J223=F$2,'ProductSprint Backlog'!$I223=F$2), 'ProductSprint Backlog'!$F223, TRUE, 0)</f>
        <v>0</v>
      </c>
      <c r="G223" s="4" cm="1">
        <f t="array" ref="G223">_xlfn.IFS('ProductSprint Backlog'!$F223="", "", AND('ProductSprint Backlog'!$J223&gt;G$2,'ProductSprint Backlog'!$I223&lt;=G$2), 'ProductSprint Backlog'!$F223 / MAX(1, 'ProductSprint Backlog'!$J223-'ProductSprint Backlog'!$I223), AND('ProductSprint Backlog'!$J223=G$2,'ProductSprint Backlog'!$I223=G$2), 'ProductSprint Backlog'!$F223, TRUE, 0)</f>
        <v>0</v>
      </c>
      <c r="H223" s="4" cm="1">
        <f t="array" ref="H223">_xlfn.IFS('ProductSprint Backlog'!$F223="", "", AND('ProductSprint Backlog'!$J223&gt;H$2,'ProductSprint Backlog'!$I223&lt;=H$2), 'ProductSprint Backlog'!$F223 / MAX(1, 'ProductSprint Backlog'!$J223-'ProductSprint Backlog'!$I223), AND('ProductSprint Backlog'!$J223=H$2,'ProductSprint Backlog'!$I223=H$2), 'ProductSprint Backlog'!$F223, TRUE, 0)</f>
        <v>0</v>
      </c>
      <c r="I223" s="4" cm="1">
        <f t="array" ref="I223">_xlfn.IFS('ProductSprint Backlog'!$F223="", "", AND('ProductSprint Backlog'!$J223&gt;I$2,'ProductSprint Backlog'!$I223&lt;=I$2), 'ProductSprint Backlog'!$F223 / MAX(1, 'ProductSprint Backlog'!$J223-'ProductSprint Backlog'!$I223), AND('ProductSprint Backlog'!$J223=I$2,'ProductSprint Backlog'!$I223=I$2), 'ProductSprint Backlog'!$F223, TRUE, 0)</f>
        <v>0</v>
      </c>
      <c r="J223" s="4" cm="1">
        <f t="array" ref="J223">_xlfn.IFS('ProductSprint Backlog'!$F223="", "", AND('ProductSprint Backlog'!$J223&gt;J$2,'ProductSprint Backlog'!$I223&lt;=J$2), 'ProductSprint Backlog'!$F223 / MAX(1, 'ProductSprint Backlog'!$J223-'ProductSprint Backlog'!$I223), AND('ProductSprint Backlog'!$J223=J$2,'ProductSprint Backlog'!$I223=J$2), 'ProductSprint Backlog'!$F223, TRUE, 0)</f>
        <v>0</v>
      </c>
      <c r="K223" s="4" cm="1">
        <f t="array" ref="K223">_xlfn.IFS('ProductSprint Backlog'!$F223="", "", AND('ProductSprint Backlog'!$J223&gt;K$2,'ProductSprint Backlog'!$I223&lt;=K$2), 'ProductSprint Backlog'!$F223 / MAX(1, 'ProductSprint Backlog'!$J223-'ProductSprint Backlog'!$I223), AND('ProductSprint Backlog'!$J223=K$2,'ProductSprint Backlog'!$I223=K$2), 'ProductSprint Backlog'!$F223, TRUE, 0)</f>
        <v>0</v>
      </c>
      <c r="L223" s="4" cm="1">
        <f t="array" ref="L223">_xlfn.IFS('ProductSprint Backlog'!$F223="", "", AND('ProductSprint Backlog'!$J223&gt;L$2,'ProductSprint Backlog'!$I223&lt;=L$2), 'ProductSprint Backlog'!$F223 / MAX(1, 'ProductSprint Backlog'!$J223-'ProductSprint Backlog'!$I223), AND('ProductSprint Backlog'!$J223=L$2,'ProductSprint Backlog'!$I223=L$2), 'ProductSprint Backlog'!$F223, TRUE, 0)</f>
        <v>0</v>
      </c>
      <c r="M223" s="4" cm="1">
        <f t="array" ref="M223">_xlfn.IFS('ProductSprint Backlog'!$F223="", "", AND('ProductSprint Backlog'!$J223&gt;M$2,'ProductSprint Backlog'!$I223&lt;=M$2), 'ProductSprint Backlog'!$F223 / MAX(1, 'ProductSprint Backlog'!$J223-'ProductSprint Backlog'!$I223), AND('ProductSprint Backlog'!$J223=M$2,'ProductSprint Backlog'!$I223=M$2), 'ProductSprint Backlog'!$F223, TRUE, 0)</f>
        <v>0</v>
      </c>
      <c r="N223" s="4" cm="1">
        <f t="array" ref="N223">_xlfn.IFS('ProductSprint Backlog'!$F223="", "", AND('ProductSprint Backlog'!$J223&gt;N$2,'ProductSprint Backlog'!$I223&lt;=N$2), 'ProductSprint Backlog'!$F223 / MAX(1, 'ProductSprint Backlog'!$J223-'ProductSprint Backlog'!$I223), AND('ProductSprint Backlog'!$J223=N$2,'ProductSprint Backlog'!$I223=N$2), 'ProductSprint Backlog'!$F223, TRUE, 0)</f>
        <v>0</v>
      </c>
      <c r="O223" s="4" cm="1">
        <f t="array" ref="O223">_xlfn.IFS('ProductSprint Backlog'!$F223="", "", AND('ProductSprint Backlog'!$J223&gt;O$2,'ProductSprint Backlog'!$I223&lt;=O$2), 'ProductSprint Backlog'!$F223 / MAX(1, 'ProductSprint Backlog'!$J223-'ProductSprint Backlog'!$I223), AND('ProductSprint Backlog'!$J223=O$2,'ProductSprint Backlog'!$I223=O$2), 'ProductSprint Backlog'!$F223, TRUE, 0)</f>
        <v>0</v>
      </c>
      <c r="P223" s="4" cm="1">
        <f t="array" ref="P223">_xlfn.IFS('ProductSprint Backlog'!$F223="", "", AND('ProductSprint Backlog'!$J223&gt;P$2,'ProductSprint Backlog'!$I223&lt;=P$2), 'ProductSprint Backlog'!$F223 / MAX(1, 'ProductSprint Backlog'!$J223-'ProductSprint Backlog'!$I223), AND('ProductSprint Backlog'!$J223=P$2,'ProductSprint Backlog'!$I223=P$2), 'ProductSprint Backlog'!$F223, TRUE, 0)</f>
        <v>0</v>
      </c>
      <c r="Q223" s="4" cm="1">
        <f t="array" ref="Q223">_xlfn.IFS('ProductSprint Backlog'!$F223="", "", AND('ProductSprint Backlog'!$J223&gt;Q$2,'ProductSprint Backlog'!$I223&lt;=Q$2), 'ProductSprint Backlog'!$F223 / MAX(1, 'ProductSprint Backlog'!$J223-'ProductSprint Backlog'!$I223), AND('ProductSprint Backlog'!$J223=Q$2,'ProductSprint Backlog'!$I223=Q$2), 'ProductSprint Backlog'!$F223, TRUE, 0)</f>
        <v>0</v>
      </c>
      <c r="R223" s="4" cm="1">
        <f t="array" ref="R223">_xlfn.IFS('ProductSprint Backlog'!$F223="", "", AND('ProductSprint Backlog'!$J223&gt;R$2,'ProductSprint Backlog'!$I223&lt;=R$2), 'ProductSprint Backlog'!$F223 / MAX(1, 'ProductSprint Backlog'!$J223-'ProductSprint Backlog'!$I223), AND('ProductSprint Backlog'!$J223=R$2,'ProductSprint Backlog'!$I223=R$2), 'ProductSprint Backlog'!$F223, TRUE, 0)</f>
        <v>0</v>
      </c>
      <c r="S223" s="4" cm="1">
        <f t="array" ref="S223">_xlfn.IFS('ProductSprint Backlog'!$F223="", "", AND('ProductSprint Backlog'!$J223&gt;S$2,'ProductSprint Backlog'!$I223&lt;=S$2), 'ProductSprint Backlog'!$F223 / MAX(1, 'ProductSprint Backlog'!$J223-'ProductSprint Backlog'!$I223), AND('ProductSprint Backlog'!$J223=S$2,'ProductSprint Backlog'!$I223=S$2), 'ProductSprint Backlog'!$F223, TRUE, 0)</f>
        <v>0</v>
      </c>
      <c r="T223" s="4" cm="1">
        <f t="array" ref="T223">_xlfn.IFS('ProductSprint Backlog'!$F223="", "", AND('ProductSprint Backlog'!$J223&gt;T$2,'ProductSprint Backlog'!$I223&lt;=T$2), 'ProductSprint Backlog'!$F223 / MAX(1, 'ProductSprint Backlog'!$J223-'ProductSprint Backlog'!$I223), AND('ProductSprint Backlog'!$J223=T$2,'ProductSprint Backlog'!$I223=T$2), 'ProductSprint Backlog'!$F223, TRUE, 0)</f>
        <v>0</v>
      </c>
    </row>
    <row r="224" spans="2:20" x14ac:dyDescent="0.2">
      <c r="B224" s="4" cm="1">
        <f t="array" ref="B224">_xlfn.IFS('ProductSprint Backlog'!$F224="", "", AND('ProductSprint Backlog'!$J224&gt;B$2,'ProductSprint Backlog'!$I224&lt;=B$2), 'ProductSprint Backlog'!$F224 / MAX(1, 'ProductSprint Backlog'!$J224-'ProductSprint Backlog'!$I224), AND('ProductSprint Backlog'!$J224=B$2,'ProductSprint Backlog'!$I224=B$2), 'ProductSprint Backlog'!$F224, TRUE, 0)</f>
        <v>0</v>
      </c>
      <c r="C224" s="4" cm="1">
        <f t="array" ref="C224">_xlfn.IFS('ProductSprint Backlog'!$F224="", "", AND('ProductSprint Backlog'!$J224&gt;C$2,'ProductSprint Backlog'!$I224&lt;=C$2), 'ProductSprint Backlog'!$F224 / MAX(1, 'ProductSprint Backlog'!$J224-'ProductSprint Backlog'!$I224), AND('ProductSprint Backlog'!$J224=C$2,'ProductSprint Backlog'!$I224=C$2), 'ProductSprint Backlog'!$F224, TRUE, 0)</f>
        <v>0</v>
      </c>
      <c r="D224" s="4" cm="1">
        <f t="array" ref="D224">_xlfn.IFS('ProductSprint Backlog'!$F224="", "", AND('ProductSprint Backlog'!$J224&gt;D$2,'ProductSprint Backlog'!$I224&lt;=D$2), 'ProductSprint Backlog'!$F224 / MAX(1, 'ProductSprint Backlog'!$J224-'ProductSprint Backlog'!$I224), AND('ProductSprint Backlog'!$J224=D$2,'ProductSprint Backlog'!$I224=D$2), 'ProductSprint Backlog'!$F224, TRUE, 0)</f>
        <v>0</v>
      </c>
      <c r="E224" s="4" cm="1">
        <f t="array" ref="E224">_xlfn.IFS('ProductSprint Backlog'!$F224="", "", AND('ProductSprint Backlog'!$J224&gt;E$2,'ProductSprint Backlog'!$I224&lt;=E$2), 'ProductSprint Backlog'!$F224 / MAX(1, 'ProductSprint Backlog'!$J224-'ProductSprint Backlog'!$I224), AND('ProductSprint Backlog'!$J224=E$2,'ProductSprint Backlog'!$I224=E$2), 'ProductSprint Backlog'!$F224, TRUE, 0)</f>
        <v>0</v>
      </c>
      <c r="F224" s="4" cm="1">
        <f t="array" ref="F224">_xlfn.IFS('ProductSprint Backlog'!$F224="", "", AND('ProductSprint Backlog'!$J224&gt;F$2,'ProductSprint Backlog'!$I224&lt;=F$2), 'ProductSprint Backlog'!$F224 / MAX(1, 'ProductSprint Backlog'!$J224-'ProductSprint Backlog'!$I224), AND('ProductSprint Backlog'!$J224=F$2,'ProductSprint Backlog'!$I224=F$2), 'ProductSprint Backlog'!$F224, TRUE, 0)</f>
        <v>0</v>
      </c>
      <c r="G224" s="4" cm="1">
        <f t="array" ref="G224">_xlfn.IFS('ProductSprint Backlog'!$F224="", "", AND('ProductSprint Backlog'!$J224&gt;G$2,'ProductSprint Backlog'!$I224&lt;=G$2), 'ProductSprint Backlog'!$F224 / MAX(1, 'ProductSprint Backlog'!$J224-'ProductSprint Backlog'!$I224), AND('ProductSprint Backlog'!$J224=G$2,'ProductSprint Backlog'!$I224=G$2), 'ProductSprint Backlog'!$F224, TRUE, 0)</f>
        <v>0</v>
      </c>
      <c r="H224" s="4" cm="1">
        <f t="array" ref="H224">_xlfn.IFS('ProductSprint Backlog'!$F224="", "", AND('ProductSprint Backlog'!$J224&gt;H$2,'ProductSprint Backlog'!$I224&lt;=H$2), 'ProductSprint Backlog'!$F224 / MAX(1, 'ProductSprint Backlog'!$J224-'ProductSprint Backlog'!$I224), AND('ProductSprint Backlog'!$J224=H$2,'ProductSprint Backlog'!$I224=H$2), 'ProductSprint Backlog'!$F224, TRUE, 0)</f>
        <v>0</v>
      </c>
      <c r="I224" s="4" cm="1">
        <f t="array" ref="I224">_xlfn.IFS('ProductSprint Backlog'!$F224="", "", AND('ProductSprint Backlog'!$J224&gt;I$2,'ProductSprint Backlog'!$I224&lt;=I$2), 'ProductSprint Backlog'!$F224 / MAX(1, 'ProductSprint Backlog'!$J224-'ProductSprint Backlog'!$I224), AND('ProductSprint Backlog'!$J224=I$2,'ProductSprint Backlog'!$I224=I$2), 'ProductSprint Backlog'!$F224, TRUE, 0)</f>
        <v>0</v>
      </c>
      <c r="J224" s="4" cm="1">
        <f t="array" ref="J224">_xlfn.IFS('ProductSprint Backlog'!$F224="", "", AND('ProductSprint Backlog'!$J224&gt;J$2,'ProductSprint Backlog'!$I224&lt;=J$2), 'ProductSprint Backlog'!$F224 / MAX(1, 'ProductSprint Backlog'!$J224-'ProductSprint Backlog'!$I224), AND('ProductSprint Backlog'!$J224=J$2,'ProductSprint Backlog'!$I224=J$2), 'ProductSprint Backlog'!$F224, TRUE, 0)</f>
        <v>0</v>
      </c>
      <c r="K224" s="4" cm="1">
        <f t="array" ref="K224">_xlfn.IFS('ProductSprint Backlog'!$F224="", "", AND('ProductSprint Backlog'!$J224&gt;K$2,'ProductSprint Backlog'!$I224&lt;=K$2), 'ProductSprint Backlog'!$F224 / MAX(1, 'ProductSprint Backlog'!$J224-'ProductSprint Backlog'!$I224), AND('ProductSprint Backlog'!$J224=K$2,'ProductSprint Backlog'!$I224=K$2), 'ProductSprint Backlog'!$F224, TRUE, 0)</f>
        <v>0</v>
      </c>
      <c r="L224" s="4" cm="1">
        <f t="array" ref="L224">_xlfn.IFS('ProductSprint Backlog'!$F224="", "", AND('ProductSprint Backlog'!$J224&gt;L$2,'ProductSprint Backlog'!$I224&lt;=L$2), 'ProductSprint Backlog'!$F224 / MAX(1, 'ProductSprint Backlog'!$J224-'ProductSprint Backlog'!$I224), AND('ProductSprint Backlog'!$J224=L$2,'ProductSprint Backlog'!$I224=L$2), 'ProductSprint Backlog'!$F224, TRUE, 0)</f>
        <v>0</v>
      </c>
      <c r="M224" s="4" cm="1">
        <f t="array" ref="M224">_xlfn.IFS('ProductSprint Backlog'!$F224="", "", AND('ProductSprint Backlog'!$J224&gt;M$2,'ProductSprint Backlog'!$I224&lt;=M$2), 'ProductSprint Backlog'!$F224 / MAX(1, 'ProductSprint Backlog'!$J224-'ProductSprint Backlog'!$I224), AND('ProductSprint Backlog'!$J224=M$2,'ProductSprint Backlog'!$I224=M$2), 'ProductSprint Backlog'!$F224, TRUE, 0)</f>
        <v>0</v>
      </c>
      <c r="N224" s="4" cm="1">
        <f t="array" ref="N224">_xlfn.IFS('ProductSprint Backlog'!$F224="", "", AND('ProductSprint Backlog'!$J224&gt;N$2,'ProductSprint Backlog'!$I224&lt;=N$2), 'ProductSprint Backlog'!$F224 / MAX(1, 'ProductSprint Backlog'!$J224-'ProductSprint Backlog'!$I224), AND('ProductSprint Backlog'!$J224=N$2,'ProductSprint Backlog'!$I224=N$2), 'ProductSprint Backlog'!$F224, TRUE, 0)</f>
        <v>0</v>
      </c>
      <c r="O224" s="4" cm="1">
        <f t="array" ref="O224">_xlfn.IFS('ProductSprint Backlog'!$F224="", "", AND('ProductSprint Backlog'!$J224&gt;O$2,'ProductSprint Backlog'!$I224&lt;=O$2), 'ProductSprint Backlog'!$F224 / MAX(1, 'ProductSprint Backlog'!$J224-'ProductSprint Backlog'!$I224), AND('ProductSprint Backlog'!$J224=O$2,'ProductSprint Backlog'!$I224=O$2), 'ProductSprint Backlog'!$F224, TRUE, 0)</f>
        <v>0</v>
      </c>
      <c r="P224" s="4" cm="1">
        <f t="array" ref="P224">_xlfn.IFS('ProductSprint Backlog'!$F224="", "", AND('ProductSprint Backlog'!$J224&gt;P$2,'ProductSprint Backlog'!$I224&lt;=P$2), 'ProductSprint Backlog'!$F224 / MAX(1, 'ProductSprint Backlog'!$J224-'ProductSprint Backlog'!$I224), AND('ProductSprint Backlog'!$J224=P$2,'ProductSprint Backlog'!$I224=P$2), 'ProductSprint Backlog'!$F224, TRUE, 0)</f>
        <v>0</v>
      </c>
      <c r="Q224" s="4" cm="1">
        <f t="array" ref="Q224">_xlfn.IFS('ProductSprint Backlog'!$F224="", "", AND('ProductSprint Backlog'!$J224&gt;Q$2,'ProductSprint Backlog'!$I224&lt;=Q$2), 'ProductSprint Backlog'!$F224 / MAX(1, 'ProductSprint Backlog'!$J224-'ProductSprint Backlog'!$I224), AND('ProductSprint Backlog'!$J224=Q$2,'ProductSprint Backlog'!$I224=Q$2), 'ProductSprint Backlog'!$F224, TRUE, 0)</f>
        <v>0</v>
      </c>
      <c r="R224" s="4" cm="1">
        <f t="array" ref="R224">_xlfn.IFS('ProductSprint Backlog'!$F224="", "", AND('ProductSprint Backlog'!$J224&gt;R$2,'ProductSprint Backlog'!$I224&lt;=R$2), 'ProductSprint Backlog'!$F224 / MAX(1, 'ProductSprint Backlog'!$J224-'ProductSprint Backlog'!$I224), AND('ProductSprint Backlog'!$J224=R$2,'ProductSprint Backlog'!$I224=R$2), 'ProductSprint Backlog'!$F224, TRUE, 0)</f>
        <v>0</v>
      </c>
      <c r="S224" s="4" cm="1">
        <f t="array" ref="S224">_xlfn.IFS('ProductSprint Backlog'!$F224="", "", AND('ProductSprint Backlog'!$J224&gt;S$2,'ProductSprint Backlog'!$I224&lt;=S$2), 'ProductSprint Backlog'!$F224 / MAX(1, 'ProductSprint Backlog'!$J224-'ProductSprint Backlog'!$I224), AND('ProductSprint Backlog'!$J224=S$2,'ProductSprint Backlog'!$I224=S$2), 'ProductSprint Backlog'!$F224, TRUE, 0)</f>
        <v>0</v>
      </c>
      <c r="T224" s="4" cm="1">
        <f t="array" ref="T224">_xlfn.IFS('ProductSprint Backlog'!$F224="", "", AND('ProductSprint Backlog'!$J224&gt;T$2,'ProductSprint Backlog'!$I224&lt;=T$2), 'ProductSprint Backlog'!$F224 / MAX(1, 'ProductSprint Backlog'!$J224-'ProductSprint Backlog'!$I224), AND('ProductSprint Backlog'!$J224=T$2,'ProductSprint Backlog'!$I224=T$2), 'ProductSprint Backlog'!$F224, TRUE, 0)</f>
        <v>0</v>
      </c>
    </row>
    <row r="225" spans="2:20" x14ac:dyDescent="0.2">
      <c r="B225" s="4" cm="1">
        <f t="array" ref="B225">_xlfn.IFS('ProductSprint Backlog'!$F225="", "", AND('ProductSprint Backlog'!$J225&gt;B$2,'ProductSprint Backlog'!$I225&lt;=B$2), 'ProductSprint Backlog'!$F225 / MAX(1, 'ProductSprint Backlog'!$J225-'ProductSprint Backlog'!$I225), AND('ProductSprint Backlog'!$J225=B$2,'ProductSprint Backlog'!$I225=B$2), 'ProductSprint Backlog'!$F225, TRUE, 0)</f>
        <v>0</v>
      </c>
      <c r="C225" s="4" cm="1">
        <f t="array" ref="C225">_xlfn.IFS('ProductSprint Backlog'!$F225="", "", AND('ProductSprint Backlog'!$J225&gt;C$2,'ProductSprint Backlog'!$I225&lt;=C$2), 'ProductSprint Backlog'!$F225 / MAX(1, 'ProductSprint Backlog'!$J225-'ProductSprint Backlog'!$I225), AND('ProductSprint Backlog'!$J225=C$2,'ProductSprint Backlog'!$I225=C$2), 'ProductSprint Backlog'!$F225, TRUE, 0)</f>
        <v>0</v>
      </c>
      <c r="D225" s="4" cm="1">
        <f t="array" ref="D225">_xlfn.IFS('ProductSprint Backlog'!$F225="", "", AND('ProductSprint Backlog'!$J225&gt;D$2,'ProductSprint Backlog'!$I225&lt;=D$2), 'ProductSprint Backlog'!$F225 / MAX(1, 'ProductSprint Backlog'!$J225-'ProductSprint Backlog'!$I225), AND('ProductSprint Backlog'!$J225=D$2,'ProductSprint Backlog'!$I225=D$2), 'ProductSprint Backlog'!$F225, TRUE, 0)</f>
        <v>0</v>
      </c>
      <c r="E225" s="4" cm="1">
        <f t="array" ref="E225">_xlfn.IFS('ProductSprint Backlog'!$F225="", "", AND('ProductSprint Backlog'!$J225&gt;E$2,'ProductSprint Backlog'!$I225&lt;=E$2), 'ProductSprint Backlog'!$F225 / MAX(1, 'ProductSprint Backlog'!$J225-'ProductSprint Backlog'!$I225), AND('ProductSprint Backlog'!$J225=E$2,'ProductSprint Backlog'!$I225=E$2), 'ProductSprint Backlog'!$F225, TRUE, 0)</f>
        <v>0</v>
      </c>
      <c r="F225" s="4" cm="1">
        <f t="array" ref="F225">_xlfn.IFS('ProductSprint Backlog'!$F225="", "", AND('ProductSprint Backlog'!$J225&gt;F$2,'ProductSprint Backlog'!$I225&lt;=F$2), 'ProductSprint Backlog'!$F225 / MAX(1, 'ProductSprint Backlog'!$J225-'ProductSprint Backlog'!$I225), AND('ProductSprint Backlog'!$J225=F$2,'ProductSprint Backlog'!$I225=F$2), 'ProductSprint Backlog'!$F225, TRUE, 0)</f>
        <v>0</v>
      </c>
      <c r="G225" s="4" cm="1">
        <f t="array" ref="G225">_xlfn.IFS('ProductSprint Backlog'!$F225="", "", AND('ProductSprint Backlog'!$J225&gt;G$2,'ProductSprint Backlog'!$I225&lt;=G$2), 'ProductSprint Backlog'!$F225 / MAX(1, 'ProductSprint Backlog'!$J225-'ProductSprint Backlog'!$I225), AND('ProductSprint Backlog'!$J225=G$2,'ProductSprint Backlog'!$I225=G$2), 'ProductSprint Backlog'!$F225, TRUE, 0)</f>
        <v>0</v>
      </c>
      <c r="H225" s="4" cm="1">
        <f t="array" ref="H225">_xlfn.IFS('ProductSprint Backlog'!$F225="", "", AND('ProductSprint Backlog'!$J225&gt;H$2,'ProductSprint Backlog'!$I225&lt;=H$2), 'ProductSprint Backlog'!$F225 / MAX(1, 'ProductSprint Backlog'!$J225-'ProductSprint Backlog'!$I225), AND('ProductSprint Backlog'!$J225=H$2,'ProductSprint Backlog'!$I225=H$2), 'ProductSprint Backlog'!$F225, TRUE, 0)</f>
        <v>0</v>
      </c>
      <c r="I225" s="4" cm="1">
        <f t="array" ref="I225">_xlfn.IFS('ProductSprint Backlog'!$F225="", "", AND('ProductSprint Backlog'!$J225&gt;I$2,'ProductSprint Backlog'!$I225&lt;=I$2), 'ProductSprint Backlog'!$F225 / MAX(1, 'ProductSprint Backlog'!$J225-'ProductSprint Backlog'!$I225), AND('ProductSprint Backlog'!$J225=I$2,'ProductSprint Backlog'!$I225=I$2), 'ProductSprint Backlog'!$F225, TRUE, 0)</f>
        <v>0</v>
      </c>
      <c r="J225" s="4" cm="1">
        <f t="array" ref="J225">_xlfn.IFS('ProductSprint Backlog'!$F225="", "", AND('ProductSprint Backlog'!$J225&gt;J$2,'ProductSprint Backlog'!$I225&lt;=J$2), 'ProductSprint Backlog'!$F225 / MAX(1, 'ProductSprint Backlog'!$J225-'ProductSprint Backlog'!$I225), AND('ProductSprint Backlog'!$J225=J$2,'ProductSprint Backlog'!$I225=J$2), 'ProductSprint Backlog'!$F225, TRUE, 0)</f>
        <v>0</v>
      </c>
      <c r="K225" s="4" cm="1">
        <f t="array" ref="K225">_xlfn.IFS('ProductSprint Backlog'!$F225="", "", AND('ProductSprint Backlog'!$J225&gt;K$2,'ProductSprint Backlog'!$I225&lt;=K$2), 'ProductSprint Backlog'!$F225 / MAX(1, 'ProductSprint Backlog'!$J225-'ProductSprint Backlog'!$I225), AND('ProductSprint Backlog'!$J225=K$2,'ProductSprint Backlog'!$I225=K$2), 'ProductSprint Backlog'!$F225, TRUE, 0)</f>
        <v>0</v>
      </c>
      <c r="L225" s="4" cm="1">
        <f t="array" ref="L225">_xlfn.IFS('ProductSprint Backlog'!$F225="", "", AND('ProductSprint Backlog'!$J225&gt;L$2,'ProductSprint Backlog'!$I225&lt;=L$2), 'ProductSprint Backlog'!$F225 / MAX(1, 'ProductSprint Backlog'!$J225-'ProductSprint Backlog'!$I225), AND('ProductSprint Backlog'!$J225=L$2,'ProductSprint Backlog'!$I225=L$2), 'ProductSprint Backlog'!$F225, TRUE, 0)</f>
        <v>0</v>
      </c>
      <c r="M225" s="4" cm="1">
        <f t="array" ref="M225">_xlfn.IFS('ProductSprint Backlog'!$F225="", "", AND('ProductSprint Backlog'!$J225&gt;M$2,'ProductSprint Backlog'!$I225&lt;=M$2), 'ProductSprint Backlog'!$F225 / MAX(1, 'ProductSprint Backlog'!$J225-'ProductSprint Backlog'!$I225), AND('ProductSprint Backlog'!$J225=M$2,'ProductSprint Backlog'!$I225=M$2), 'ProductSprint Backlog'!$F225, TRUE, 0)</f>
        <v>0</v>
      </c>
      <c r="N225" s="4" cm="1">
        <f t="array" ref="N225">_xlfn.IFS('ProductSprint Backlog'!$F225="", "", AND('ProductSprint Backlog'!$J225&gt;N$2,'ProductSprint Backlog'!$I225&lt;=N$2), 'ProductSprint Backlog'!$F225 / MAX(1, 'ProductSprint Backlog'!$J225-'ProductSprint Backlog'!$I225), AND('ProductSprint Backlog'!$J225=N$2,'ProductSprint Backlog'!$I225=N$2), 'ProductSprint Backlog'!$F225, TRUE, 0)</f>
        <v>0</v>
      </c>
      <c r="O225" s="4" cm="1">
        <f t="array" ref="O225">_xlfn.IFS('ProductSprint Backlog'!$F225="", "", AND('ProductSprint Backlog'!$J225&gt;O$2,'ProductSprint Backlog'!$I225&lt;=O$2), 'ProductSprint Backlog'!$F225 / MAX(1, 'ProductSprint Backlog'!$J225-'ProductSprint Backlog'!$I225), AND('ProductSprint Backlog'!$J225=O$2,'ProductSprint Backlog'!$I225=O$2), 'ProductSprint Backlog'!$F225, TRUE, 0)</f>
        <v>0</v>
      </c>
      <c r="P225" s="4" cm="1">
        <f t="array" ref="P225">_xlfn.IFS('ProductSprint Backlog'!$F225="", "", AND('ProductSprint Backlog'!$J225&gt;P$2,'ProductSprint Backlog'!$I225&lt;=P$2), 'ProductSprint Backlog'!$F225 / MAX(1, 'ProductSprint Backlog'!$J225-'ProductSprint Backlog'!$I225), AND('ProductSprint Backlog'!$J225=P$2,'ProductSprint Backlog'!$I225=P$2), 'ProductSprint Backlog'!$F225, TRUE, 0)</f>
        <v>0</v>
      </c>
      <c r="Q225" s="4" cm="1">
        <f t="array" ref="Q225">_xlfn.IFS('ProductSprint Backlog'!$F225="", "", AND('ProductSprint Backlog'!$J225&gt;Q$2,'ProductSprint Backlog'!$I225&lt;=Q$2), 'ProductSprint Backlog'!$F225 / MAX(1, 'ProductSprint Backlog'!$J225-'ProductSprint Backlog'!$I225), AND('ProductSprint Backlog'!$J225=Q$2,'ProductSprint Backlog'!$I225=Q$2), 'ProductSprint Backlog'!$F225, TRUE, 0)</f>
        <v>0</v>
      </c>
      <c r="R225" s="4" cm="1">
        <f t="array" ref="R225">_xlfn.IFS('ProductSprint Backlog'!$F225="", "", AND('ProductSprint Backlog'!$J225&gt;R$2,'ProductSprint Backlog'!$I225&lt;=R$2), 'ProductSprint Backlog'!$F225 / MAX(1, 'ProductSprint Backlog'!$J225-'ProductSprint Backlog'!$I225), AND('ProductSprint Backlog'!$J225=R$2,'ProductSprint Backlog'!$I225=R$2), 'ProductSprint Backlog'!$F225, TRUE, 0)</f>
        <v>0</v>
      </c>
      <c r="S225" s="4" cm="1">
        <f t="array" ref="S225">_xlfn.IFS('ProductSprint Backlog'!$F225="", "", AND('ProductSprint Backlog'!$J225&gt;S$2,'ProductSprint Backlog'!$I225&lt;=S$2), 'ProductSprint Backlog'!$F225 / MAX(1, 'ProductSprint Backlog'!$J225-'ProductSprint Backlog'!$I225), AND('ProductSprint Backlog'!$J225=S$2,'ProductSprint Backlog'!$I225=S$2), 'ProductSprint Backlog'!$F225, TRUE, 0)</f>
        <v>0</v>
      </c>
      <c r="T225" s="4" cm="1">
        <f t="array" ref="T225">_xlfn.IFS('ProductSprint Backlog'!$F225="", "", AND('ProductSprint Backlog'!$J225&gt;T$2,'ProductSprint Backlog'!$I225&lt;=T$2), 'ProductSprint Backlog'!$F225 / MAX(1, 'ProductSprint Backlog'!$J225-'ProductSprint Backlog'!$I225), AND('ProductSprint Backlog'!$J225=T$2,'ProductSprint Backlog'!$I225=T$2), 'ProductSprint Backlog'!$F225, TRUE, 0)</f>
        <v>0</v>
      </c>
    </row>
    <row r="226" spans="2:20" x14ac:dyDescent="0.2">
      <c r="B226" s="4" cm="1">
        <f t="array" ref="B226">_xlfn.IFS('ProductSprint Backlog'!$F226="", "", AND('ProductSprint Backlog'!$J226&gt;B$2,'ProductSprint Backlog'!$I226&lt;=B$2), 'ProductSprint Backlog'!$F226 / MAX(1, 'ProductSprint Backlog'!$J226-'ProductSprint Backlog'!$I226), AND('ProductSprint Backlog'!$J226=B$2,'ProductSprint Backlog'!$I226=B$2), 'ProductSprint Backlog'!$F226, TRUE, 0)</f>
        <v>0</v>
      </c>
      <c r="C226" s="4" cm="1">
        <f t="array" ref="C226">_xlfn.IFS('ProductSprint Backlog'!$F226="", "", AND('ProductSprint Backlog'!$J226&gt;C$2,'ProductSprint Backlog'!$I226&lt;=C$2), 'ProductSprint Backlog'!$F226 / MAX(1, 'ProductSprint Backlog'!$J226-'ProductSprint Backlog'!$I226), AND('ProductSprint Backlog'!$J226=C$2,'ProductSprint Backlog'!$I226=C$2), 'ProductSprint Backlog'!$F226, TRUE, 0)</f>
        <v>0</v>
      </c>
      <c r="D226" s="4" cm="1">
        <f t="array" ref="D226">_xlfn.IFS('ProductSprint Backlog'!$F226="", "", AND('ProductSprint Backlog'!$J226&gt;D$2,'ProductSprint Backlog'!$I226&lt;=D$2), 'ProductSprint Backlog'!$F226 / MAX(1, 'ProductSprint Backlog'!$J226-'ProductSprint Backlog'!$I226), AND('ProductSprint Backlog'!$J226=D$2,'ProductSprint Backlog'!$I226=D$2), 'ProductSprint Backlog'!$F226, TRUE, 0)</f>
        <v>0</v>
      </c>
      <c r="E226" s="4" cm="1">
        <f t="array" ref="E226">_xlfn.IFS('ProductSprint Backlog'!$F226="", "", AND('ProductSprint Backlog'!$J226&gt;E$2,'ProductSprint Backlog'!$I226&lt;=E$2), 'ProductSprint Backlog'!$F226 / MAX(1, 'ProductSprint Backlog'!$J226-'ProductSprint Backlog'!$I226), AND('ProductSprint Backlog'!$J226=E$2,'ProductSprint Backlog'!$I226=E$2), 'ProductSprint Backlog'!$F226, TRUE, 0)</f>
        <v>0</v>
      </c>
      <c r="F226" s="4" cm="1">
        <f t="array" ref="F226">_xlfn.IFS('ProductSprint Backlog'!$F226="", "", AND('ProductSprint Backlog'!$J226&gt;F$2,'ProductSprint Backlog'!$I226&lt;=F$2), 'ProductSprint Backlog'!$F226 / MAX(1, 'ProductSprint Backlog'!$J226-'ProductSprint Backlog'!$I226), AND('ProductSprint Backlog'!$J226=F$2,'ProductSprint Backlog'!$I226=F$2), 'ProductSprint Backlog'!$F226, TRUE, 0)</f>
        <v>0</v>
      </c>
      <c r="G226" s="4" cm="1">
        <f t="array" ref="G226">_xlfn.IFS('ProductSprint Backlog'!$F226="", "", AND('ProductSprint Backlog'!$J226&gt;G$2,'ProductSprint Backlog'!$I226&lt;=G$2), 'ProductSprint Backlog'!$F226 / MAX(1, 'ProductSprint Backlog'!$J226-'ProductSprint Backlog'!$I226), AND('ProductSprint Backlog'!$J226=G$2,'ProductSprint Backlog'!$I226=G$2), 'ProductSprint Backlog'!$F226, TRUE, 0)</f>
        <v>0</v>
      </c>
      <c r="H226" s="4" cm="1">
        <f t="array" ref="H226">_xlfn.IFS('ProductSprint Backlog'!$F226="", "", AND('ProductSprint Backlog'!$J226&gt;H$2,'ProductSprint Backlog'!$I226&lt;=H$2), 'ProductSprint Backlog'!$F226 / MAX(1, 'ProductSprint Backlog'!$J226-'ProductSprint Backlog'!$I226), AND('ProductSprint Backlog'!$J226=H$2,'ProductSprint Backlog'!$I226=H$2), 'ProductSprint Backlog'!$F226, TRUE, 0)</f>
        <v>0</v>
      </c>
      <c r="I226" s="4" cm="1">
        <f t="array" ref="I226">_xlfn.IFS('ProductSprint Backlog'!$F226="", "", AND('ProductSprint Backlog'!$J226&gt;I$2,'ProductSprint Backlog'!$I226&lt;=I$2), 'ProductSprint Backlog'!$F226 / MAX(1, 'ProductSprint Backlog'!$J226-'ProductSprint Backlog'!$I226), AND('ProductSprint Backlog'!$J226=I$2,'ProductSprint Backlog'!$I226=I$2), 'ProductSprint Backlog'!$F226, TRUE, 0)</f>
        <v>0</v>
      </c>
      <c r="J226" s="4" cm="1">
        <f t="array" ref="J226">_xlfn.IFS('ProductSprint Backlog'!$F226="", "", AND('ProductSprint Backlog'!$J226&gt;J$2,'ProductSprint Backlog'!$I226&lt;=J$2), 'ProductSprint Backlog'!$F226 / MAX(1, 'ProductSprint Backlog'!$J226-'ProductSprint Backlog'!$I226), AND('ProductSprint Backlog'!$J226=J$2,'ProductSprint Backlog'!$I226=J$2), 'ProductSprint Backlog'!$F226, TRUE, 0)</f>
        <v>0</v>
      </c>
      <c r="K226" s="4" cm="1">
        <f t="array" ref="K226">_xlfn.IFS('ProductSprint Backlog'!$F226="", "", AND('ProductSprint Backlog'!$J226&gt;K$2,'ProductSprint Backlog'!$I226&lt;=K$2), 'ProductSprint Backlog'!$F226 / MAX(1, 'ProductSprint Backlog'!$J226-'ProductSprint Backlog'!$I226), AND('ProductSprint Backlog'!$J226=K$2,'ProductSprint Backlog'!$I226=K$2), 'ProductSprint Backlog'!$F226, TRUE, 0)</f>
        <v>0</v>
      </c>
      <c r="L226" s="4" cm="1">
        <f t="array" ref="L226">_xlfn.IFS('ProductSprint Backlog'!$F226="", "", AND('ProductSprint Backlog'!$J226&gt;L$2,'ProductSprint Backlog'!$I226&lt;=L$2), 'ProductSprint Backlog'!$F226 / MAX(1, 'ProductSprint Backlog'!$J226-'ProductSprint Backlog'!$I226), AND('ProductSprint Backlog'!$J226=L$2,'ProductSprint Backlog'!$I226=L$2), 'ProductSprint Backlog'!$F226, TRUE, 0)</f>
        <v>0</v>
      </c>
      <c r="M226" s="4" cm="1">
        <f t="array" ref="M226">_xlfn.IFS('ProductSprint Backlog'!$F226="", "", AND('ProductSprint Backlog'!$J226&gt;M$2,'ProductSprint Backlog'!$I226&lt;=M$2), 'ProductSprint Backlog'!$F226 / MAX(1, 'ProductSprint Backlog'!$J226-'ProductSprint Backlog'!$I226), AND('ProductSprint Backlog'!$J226=M$2,'ProductSprint Backlog'!$I226=M$2), 'ProductSprint Backlog'!$F226, TRUE, 0)</f>
        <v>0</v>
      </c>
      <c r="N226" s="4" cm="1">
        <f t="array" ref="N226">_xlfn.IFS('ProductSprint Backlog'!$F226="", "", AND('ProductSprint Backlog'!$J226&gt;N$2,'ProductSprint Backlog'!$I226&lt;=N$2), 'ProductSprint Backlog'!$F226 / MAX(1, 'ProductSprint Backlog'!$J226-'ProductSprint Backlog'!$I226), AND('ProductSprint Backlog'!$J226=N$2,'ProductSprint Backlog'!$I226=N$2), 'ProductSprint Backlog'!$F226, TRUE, 0)</f>
        <v>0</v>
      </c>
      <c r="O226" s="4" cm="1">
        <f t="array" ref="O226">_xlfn.IFS('ProductSprint Backlog'!$F226="", "", AND('ProductSprint Backlog'!$J226&gt;O$2,'ProductSprint Backlog'!$I226&lt;=O$2), 'ProductSprint Backlog'!$F226 / MAX(1, 'ProductSprint Backlog'!$J226-'ProductSprint Backlog'!$I226), AND('ProductSprint Backlog'!$J226=O$2,'ProductSprint Backlog'!$I226=O$2), 'ProductSprint Backlog'!$F226, TRUE, 0)</f>
        <v>0</v>
      </c>
      <c r="P226" s="4" cm="1">
        <f t="array" ref="P226">_xlfn.IFS('ProductSprint Backlog'!$F226="", "", AND('ProductSprint Backlog'!$J226&gt;P$2,'ProductSprint Backlog'!$I226&lt;=P$2), 'ProductSprint Backlog'!$F226 / MAX(1, 'ProductSprint Backlog'!$J226-'ProductSprint Backlog'!$I226), AND('ProductSprint Backlog'!$J226=P$2,'ProductSprint Backlog'!$I226=P$2), 'ProductSprint Backlog'!$F226, TRUE, 0)</f>
        <v>0</v>
      </c>
      <c r="Q226" s="4" cm="1">
        <f t="array" ref="Q226">_xlfn.IFS('ProductSprint Backlog'!$F226="", "", AND('ProductSprint Backlog'!$J226&gt;Q$2,'ProductSprint Backlog'!$I226&lt;=Q$2), 'ProductSprint Backlog'!$F226 / MAX(1, 'ProductSprint Backlog'!$J226-'ProductSprint Backlog'!$I226), AND('ProductSprint Backlog'!$J226=Q$2,'ProductSprint Backlog'!$I226=Q$2), 'ProductSprint Backlog'!$F226, TRUE, 0)</f>
        <v>0</v>
      </c>
      <c r="R226" s="4" cm="1">
        <f t="array" ref="R226">_xlfn.IFS('ProductSprint Backlog'!$F226="", "", AND('ProductSprint Backlog'!$J226&gt;R$2,'ProductSprint Backlog'!$I226&lt;=R$2), 'ProductSprint Backlog'!$F226 / MAX(1, 'ProductSprint Backlog'!$J226-'ProductSprint Backlog'!$I226), AND('ProductSprint Backlog'!$J226=R$2,'ProductSprint Backlog'!$I226=R$2), 'ProductSprint Backlog'!$F226, TRUE, 0)</f>
        <v>0</v>
      </c>
      <c r="S226" s="4" cm="1">
        <f t="array" ref="S226">_xlfn.IFS('ProductSprint Backlog'!$F226="", "", AND('ProductSprint Backlog'!$J226&gt;S$2,'ProductSprint Backlog'!$I226&lt;=S$2), 'ProductSprint Backlog'!$F226 / MAX(1, 'ProductSprint Backlog'!$J226-'ProductSprint Backlog'!$I226), AND('ProductSprint Backlog'!$J226=S$2,'ProductSprint Backlog'!$I226=S$2), 'ProductSprint Backlog'!$F226, TRUE, 0)</f>
        <v>0</v>
      </c>
      <c r="T226" s="4" cm="1">
        <f t="array" ref="T226">_xlfn.IFS('ProductSprint Backlog'!$F226="", "", AND('ProductSprint Backlog'!$J226&gt;T$2,'ProductSprint Backlog'!$I226&lt;=T$2), 'ProductSprint Backlog'!$F226 / MAX(1, 'ProductSprint Backlog'!$J226-'ProductSprint Backlog'!$I226), AND('ProductSprint Backlog'!$J226=T$2,'ProductSprint Backlog'!$I226=T$2), 'ProductSprint Backlog'!$F226, TRUE, 0)</f>
        <v>0</v>
      </c>
    </row>
    <row r="227" spans="2:20" x14ac:dyDescent="0.2">
      <c r="B227" s="4" cm="1">
        <f t="array" ref="B227">_xlfn.IFS('ProductSprint Backlog'!$F227="", "", AND('ProductSprint Backlog'!$J227&gt;B$2,'ProductSprint Backlog'!$I227&lt;=B$2), 'ProductSprint Backlog'!$F227 / MAX(1, 'ProductSprint Backlog'!$J227-'ProductSprint Backlog'!$I227), AND('ProductSprint Backlog'!$J227=B$2,'ProductSprint Backlog'!$I227=B$2), 'ProductSprint Backlog'!$F227, TRUE, 0)</f>
        <v>0</v>
      </c>
      <c r="C227" s="4" cm="1">
        <f t="array" ref="C227">_xlfn.IFS('ProductSprint Backlog'!$F227="", "", AND('ProductSprint Backlog'!$J227&gt;C$2,'ProductSprint Backlog'!$I227&lt;=C$2), 'ProductSprint Backlog'!$F227 / MAX(1, 'ProductSprint Backlog'!$J227-'ProductSprint Backlog'!$I227), AND('ProductSprint Backlog'!$J227=C$2,'ProductSprint Backlog'!$I227=C$2), 'ProductSprint Backlog'!$F227, TRUE, 0)</f>
        <v>0</v>
      </c>
      <c r="D227" s="4" cm="1">
        <f t="array" ref="D227">_xlfn.IFS('ProductSprint Backlog'!$F227="", "", AND('ProductSprint Backlog'!$J227&gt;D$2,'ProductSprint Backlog'!$I227&lt;=D$2), 'ProductSprint Backlog'!$F227 / MAX(1, 'ProductSprint Backlog'!$J227-'ProductSprint Backlog'!$I227), AND('ProductSprint Backlog'!$J227=D$2,'ProductSprint Backlog'!$I227=D$2), 'ProductSprint Backlog'!$F227, TRUE, 0)</f>
        <v>0</v>
      </c>
      <c r="E227" s="4" cm="1">
        <f t="array" ref="E227">_xlfn.IFS('ProductSprint Backlog'!$F227="", "", AND('ProductSprint Backlog'!$J227&gt;E$2,'ProductSprint Backlog'!$I227&lt;=E$2), 'ProductSprint Backlog'!$F227 / MAX(1, 'ProductSprint Backlog'!$J227-'ProductSprint Backlog'!$I227), AND('ProductSprint Backlog'!$J227=E$2,'ProductSprint Backlog'!$I227=E$2), 'ProductSprint Backlog'!$F227, TRUE, 0)</f>
        <v>0</v>
      </c>
      <c r="F227" s="4" cm="1">
        <f t="array" ref="F227">_xlfn.IFS('ProductSprint Backlog'!$F227="", "", AND('ProductSprint Backlog'!$J227&gt;F$2,'ProductSprint Backlog'!$I227&lt;=F$2), 'ProductSprint Backlog'!$F227 / MAX(1, 'ProductSprint Backlog'!$J227-'ProductSprint Backlog'!$I227), AND('ProductSprint Backlog'!$J227=F$2,'ProductSprint Backlog'!$I227=F$2), 'ProductSprint Backlog'!$F227, TRUE, 0)</f>
        <v>0</v>
      </c>
      <c r="G227" s="4" cm="1">
        <f t="array" ref="G227">_xlfn.IFS('ProductSprint Backlog'!$F227="", "", AND('ProductSprint Backlog'!$J227&gt;G$2,'ProductSprint Backlog'!$I227&lt;=G$2), 'ProductSprint Backlog'!$F227 / MAX(1, 'ProductSprint Backlog'!$J227-'ProductSprint Backlog'!$I227), AND('ProductSprint Backlog'!$J227=G$2,'ProductSprint Backlog'!$I227=G$2), 'ProductSprint Backlog'!$F227, TRUE, 0)</f>
        <v>0</v>
      </c>
      <c r="H227" s="4" cm="1">
        <f t="array" ref="H227">_xlfn.IFS('ProductSprint Backlog'!$F227="", "", AND('ProductSprint Backlog'!$J227&gt;H$2,'ProductSprint Backlog'!$I227&lt;=H$2), 'ProductSprint Backlog'!$F227 / MAX(1, 'ProductSprint Backlog'!$J227-'ProductSprint Backlog'!$I227), AND('ProductSprint Backlog'!$J227=H$2,'ProductSprint Backlog'!$I227=H$2), 'ProductSprint Backlog'!$F227, TRUE, 0)</f>
        <v>0</v>
      </c>
      <c r="I227" s="4" cm="1">
        <f t="array" ref="I227">_xlfn.IFS('ProductSprint Backlog'!$F227="", "", AND('ProductSprint Backlog'!$J227&gt;I$2,'ProductSprint Backlog'!$I227&lt;=I$2), 'ProductSprint Backlog'!$F227 / MAX(1, 'ProductSprint Backlog'!$J227-'ProductSprint Backlog'!$I227), AND('ProductSprint Backlog'!$J227=I$2,'ProductSprint Backlog'!$I227=I$2), 'ProductSprint Backlog'!$F227, TRUE, 0)</f>
        <v>0</v>
      </c>
      <c r="J227" s="4" cm="1">
        <f t="array" ref="J227">_xlfn.IFS('ProductSprint Backlog'!$F227="", "", AND('ProductSprint Backlog'!$J227&gt;J$2,'ProductSprint Backlog'!$I227&lt;=J$2), 'ProductSprint Backlog'!$F227 / MAX(1, 'ProductSprint Backlog'!$J227-'ProductSprint Backlog'!$I227), AND('ProductSprint Backlog'!$J227=J$2,'ProductSprint Backlog'!$I227=J$2), 'ProductSprint Backlog'!$F227, TRUE, 0)</f>
        <v>0</v>
      </c>
      <c r="K227" s="4" cm="1">
        <f t="array" ref="K227">_xlfn.IFS('ProductSprint Backlog'!$F227="", "", AND('ProductSprint Backlog'!$J227&gt;K$2,'ProductSprint Backlog'!$I227&lt;=K$2), 'ProductSprint Backlog'!$F227 / MAX(1, 'ProductSprint Backlog'!$J227-'ProductSprint Backlog'!$I227), AND('ProductSprint Backlog'!$J227=K$2,'ProductSprint Backlog'!$I227=K$2), 'ProductSprint Backlog'!$F227, TRUE, 0)</f>
        <v>0</v>
      </c>
      <c r="L227" s="4" cm="1">
        <f t="array" ref="L227">_xlfn.IFS('ProductSprint Backlog'!$F227="", "", AND('ProductSprint Backlog'!$J227&gt;L$2,'ProductSprint Backlog'!$I227&lt;=L$2), 'ProductSprint Backlog'!$F227 / MAX(1, 'ProductSprint Backlog'!$J227-'ProductSprint Backlog'!$I227), AND('ProductSprint Backlog'!$J227=L$2,'ProductSprint Backlog'!$I227=L$2), 'ProductSprint Backlog'!$F227, TRUE, 0)</f>
        <v>0</v>
      </c>
      <c r="M227" s="4" cm="1">
        <f t="array" ref="M227">_xlfn.IFS('ProductSprint Backlog'!$F227="", "", AND('ProductSprint Backlog'!$J227&gt;M$2,'ProductSprint Backlog'!$I227&lt;=M$2), 'ProductSprint Backlog'!$F227 / MAX(1, 'ProductSprint Backlog'!$J227-'ProductSprint Backlog'!$I227), AND('ProductSprint Backlog'!$J227=M$2,'ProductSprint Backlog'!$I227=M$2), 'ProductSprint Backlog'!$F227, TRUE, 0)</f>
        <v>0</v>
      </c>
      <c r="N227" s="4" cm="1">
        <f t="array" ref="N227">_xlfn.IFS('ProductSprint Backlog'!$F227="", "", AND('ProductSprint Backlog'!$J227&gt;N$2,'ProductSprint Backlog'!$I227&lt;=N$2), 'ProductSprint Backlog'!$F227 / MAX(1, 'ProductSprint Backlog'!$J227-'ProductSprint Backlog'!$I227), AND('ProductSprint Backlog'!$J227=N$2,'ProductSprint Backlog'!$I227=N$2), 'ProductSprint Backlog'!$F227, TRUE, 0)</f>
        <v>0</v>
      </c>
      <c r="O227" s="4" cm="1">
        <f t="array" ref="O227">_xlfn.IFS('ProductSprint Backlog'!$F227="", "", AND('ProductSprint Backlog'!$J227&gt;O$2,'ProductSprint Backlog'!$I227&lt;=O$2), 'ProductSprint Backlog'!$F227 / MAX(1, 'ProductSprint Backlog'!$J227-'ProductSprint Backlog'!$I227), AND('ProductSprint Backlog'!$J227=O$2,'ProductSprint Backlog'!$I227=O$2), 'ProductSprint Backlog'!$F227, TRUE, 0)</f>
        <v>0</v>
      </c>
      <c r="P227" s="4" cm="1">
        <f t="array" ref="P227">_xlfn.IFS('ProductSprint Backlog'!$F227="", "", AND('ProductSprint Backlog'!$J227&gt;P$2,'ProductSprint Backlog'!$I227&lt;=P$2), 'ProductSprint Backlog'!$F227 / MAX(1, 'ProductSprint Backlog'!$J227-'ProductSprint Backlog'!$I227), AND('ProductSprint Backlog'!$J227=P$2,'ProductSprint Backlog'!$I227=P$2), 'ProductSprint Backlog'!$F227, TRUE, 0)</f>
        <v>0</v>
      </c>
      <c r="Q227" s="4" cm="1">
        <f t="array" ref="Q227">_xlfn.IFS('ProductSprint Backlog'!$F227="", "", AND('ProductSprint Backlog'!$J227&gt;Q$2,'ProductSprint Backlog'!$I227&lt;=Q$2), 'ProductSprint Backlog'!$F227 / MAX(1, 'ProductSprint Backlog'!$J227-'ProductSprint Backlog'!$I227), AND('ProductSprint Backlog'!$J227=Q$2,'ProductSprint Backlog'!$I227=Q$2), 'ProductSprint Backlog'!$F227, TRUE, 0)</f>
        <v>0</v>
      </c>
      <c r="R227" s="4" cm="1">
        <f t="array" ref="R227">_xlfn.IFS('ProductSprint Backlog'!$F227="", "", AND('ProductSprint Backlog'!$J227&gt;R$2,'ProductSprint Backlog'!$I227&lt;=R$2), 'ProductSprint Backlog'!$F227 / MAX(1, 'ProductSprint Backlog'!$J227-'ProductSprint Backlog'!$I227), AND('ProductSprint Backlog'!$J227=R$2,'ProductSprint Backlog'!$I227=R$2), 'ProductSprint Backlog'!$F227, TRUE, 0)</f>
        <v>0</v>
      </c>
      <c r="S227" s="4" cm="1">
        <f t="array" ref="S227">_xlfn.IFS('ProductSprint Backlog'!$F227="", "", AND('ProductSprint Backlog'!$J227&gt;S$2,'ProductSprint Backlog'!$I227&lt;=S$2), 'ProductSprint Backlog'!$F227 / MAX(1, 'ProductSprint Backlog'!$J227-'ProductSprint Backlog'!$I227), AND('ProductSprint Backlog'!$J227=S$2,'ProductSprint Backlog'!$I227=S$2), 'ProductSprint Backlog'!$F227, TRUE, 0)</f>
        <v>0</v>
      </c>
      <c r="T227" s="4" cm="1">
        <f t="array" ref="T227">_xlfn.IFS('ProductSprint Backlog'!$F227="", "", AND('ProductSprint Backlog'!$J227&gt;T$2,'ProductSprint Backlog'!$I227&lt;=T$2), 'ProductSprint Backlog'!$F227 / MAX(1, 'ProductSprint Backlog'!$J227-'ProductSprint Backlog'!$I227), AND('ProductSprint Backlog'!$J227=T$2,'ProductSprint Backlog'!$I227=T$2), 'ProductSprint Backlog'!$F227, TRUE, 0)</f>
        <v>0</v>
      </c>
    </row>
    <row r="228" spans="2:20" x14ac:dyDescent="0.2">
      <c r="B228" s="4" cm="1">
        <f t="array" ref="B228">_xlfn.IFS('ProductSprint Backlog'!$F228="", "", AND('ProductSprint Backlog'!$J228&gt;B$2,'ProductSprint Backlog'!$I228&lt;=B$2), 'ProductSprint Backlog'!$F228 / MAX(1, 'ProductSprint Backlog'!$J228-'ProductSprint Backlog'!$I228), AND('ProductSprint Backlog'!$J228=B$2,'ProductSprint Backlog'!$I228=B$2), 'ProductSprint Backlog'!$F228, TRUE, 0)</f>
        <v>0</v>
      </c>
      <c r="C228" s="4" cm="1">
        <f t="array" ref="C228">_xlfn.IFS('ProductSprint Backlog'!$F228="", "", AND('ProductSprint Backlog'!$J228&gt;C$2,'ProductSprint Backlog'!$I228&lt;=C$2), 'ProductSprint Backlog'!$F228 / MAX(1, 'ProductSprint Backlog'!$J228-'ProductSprint Backlog'!$I228), AND('ProductSprint Backlog'!$J228=C$2,'ProductSprint Backlog'!$I228=C$2), 'ProductSprint Backlog'!$F228, TRUE, 0)</f>
        <v>0</v>
      </c>
      <c r="D228" s="4" cm="1">
        <f t="array" ref="D228">_xlfn.IFS('ProductSprint Backlog'!$F228="", "", AND('ProductSprint Backlog'!$J228&gt;D$2,'ProductSprint Backlog'!$I228&lt;=D$2), 'ProductSprint Backlog'!$F228 / MAX(1, 'ProductSprint Backlog'!$J228-'ProductSprint Backlog'!$I228), AND('ProductSprint Backlog'!$J228=D$2,'ProductSprint Backlog'!$I228=D$2), 'ProductSprint Backlog'!$F228, TRUE, 0)</f>
        <v>0</v>
      </c>
      <c r="E228" s="4" cm="1">
        <f t="array" ref="E228">_xlfn.IFS('ProductSprint Backlog'!$F228="", "", AND('ProductSprint Backlog'!$J228&gt;E$2,'ProductSprint Backlog'!$I228&lt;=E$2), 'ProductSprint Backlog'!$F228 / MAX(1, 'ProductSprint Backlog'!$J228-'ProductSprint Backlog'!$I228), AND('ProductSprint Backlog'!$J228=E$2,'ProductSprint Backlog'!$I228=E$2), 'ProductSprint Backlog'!$F228, TRUE, 0)</f>
        <v>0</v>
      </c>
      <c r="F228" s="4" cm="1">
        <f t="array" ref="F228">_xlfn.IFS('ProductSprint Backlog'!$F228="", "", AND('ProductSprint Backlog'!$J228&gt;F$2,'ProductSprint Backlog'!$I228&lt;=F$2), 'ProductSprint Backlog'!$F228 / MAX(1, 'ProductSprint Backlog'!$J228-'ProductSprint Backlog'!$I228), AND('ProductSprint Backlog'!$J228=F$2,'ProductSprint Backlog'!$I228=F$2), 'ProductSprint Backlog'!$F228, TRUE, 0)</f>
        <v>0</v>
      </c>
      <c r="G228" s="4" cm="1">
        <f t="array" ref="G228">_xlfn.IFS('ProductSprint Backlog'!$F228="", "", AND('ProductSprint Backlog'!$J228&gt;G$2,'ProductSprint Backlog'!$I228&lt;=G$2), 'ProductSprint Backlog'!$F228 / MAX(1, 'ProductSprint Backlog'!$J228-'ProductSprint Backlog'!$I228), AND('ProductSprint Backlog'!$J228=G$2,'ProductSprint Backlog'!$I228=G$2), 'ProductSprint Backlog'!$F228, TRUE, 0)</f>
        <v>0</v>
      </c>
      <c r="H228" s="4" cm="1">
        <f t="array" ref="H228">_xlfn.IFS('ProductSprint Backlog'!$F228="", "", AND('ProductSprint Backlog'!$J228&gt;H$2,'ProductSprint Backlog'!$I228&lt;=H$2), 'ProductSprint Backlog'!$F228 / MAX(1, 'ProductSprint Backlog'!$J228-'ProductSprint Backlog'!$I228), AND('ProductSprint Backlog'!$J228=H$2,'ProductSprint Backlog'!$I228=H$2), 'ProductSprint Backlog'!$F228, TRUE, 0)</f>
        <v>0</v>
      </c>
      <c r="I228" s="4" cm="1">
        <f t="array" ref="I228">_xlfn.IFS('ProductSprint Backlog'!$F228="", "", AND('ProductSprint Backlog'!$J228&gt;I$2,'ProductSprint Backlog'!$I228&lt;=I$2), 'ProductSprint Backlog'!$F228 / MAX(1, 'ProductSprint Backlog'!$J228-'ProductSprint Backlog'!$I228), AND('ProductSprint Backlog'!$J228=I$2,'ProductSprint Backlog'!$I228=I$2), 'ProductSprint Backlog'!$F228, TRUE, 0)</f>
        <v>0</v>
      </c>
      <c r="J228" s="4" cm="1">
        <f t="array" ref="J228">_xlfn.IFS('ProductSprint Backlog'!$F228="", "", AND('ProductSprint Backlog'!$J228&gt;J$2,'ProductSprint Backlog'!$I228&lt;=J$2), 'ProductSprint Backlog'!$F228 / MAX(1, 'ProductSprint Backlog'!$J228-'ProductSprint Backlog'!$I228), AND('ProductSprint Backlog'!$J228=J$2,'ProductSprint Backlog'!$I228=J$2), 'ProductSprint Backlog'!$F228, TRUE, 0)</f>
        <v>0</v>
      </c>
      <c r="K228" s="4" cm="1">
        <f t="array" ref="K228">_xlfn.IFS('ProductSprint Backlog'!$F228="", "", AND('ProductSprint Backlog'!$J228&gt;K$2,'ProductSprint Backlog'!$I228&lt;=K$2), 'ProductSprint Backlog'!$F228 / MAX(1, 'ProductSprint Backlog'!$J228-'ProductSprint Backlog'!$I228), AND('ProductSprint Backlog'!$J228=K$2,'ProductSprint Backlog'!$I228=K$2), 'ProductSprint Backlog'!$F228, TRUE, 0)</f>
        <v>0</v>
      </c>
      <c r="L228" s="4" cm="1">
        <f t="array" ref="L228">_xlfn.IFS('ProductSprint Backlog'!$F228="", "", AND('ProductSprint Backlog'!$J228&gt;L$2,'ProductSprint Backlog'!$I228&lt;=L$2), 'ProductSprint Backlog'!$F228 / MAX(1, 'ProductSprint Backlog'!$J228-'ProductSprint Backlog'!$I228), AND('ProductSprint Backlog'!$J228=L$2,'ProductSprint Backlog'!$I228=L$2), 'ProductSprint Backlog'!$F228, TRUE, 0)</f>
        <v>0</v>
      </c>
      <c r="M228" s="4" cm="1">
        <f t="array" ref="M228">_xlfn.IFS('ProductSprint Backlog'!$F228="", "", AND('ProductSprint Backlog'!$J228&gt;M$2,'ProductSprint Backlog'!$I228&lt;=M$2), 'ProductSprint Backlog'!$F228 / MAX(1, 'ProductSprint Backlog'!$J228-'ProductSprint Backlog'!$I228), AND('ProductSprint Backlog'!$J228=M$2,'ProductSprint Backlog'!$I228=M$2), 'ProductSprint Backlog'!$F228, TRUE, 0)</f>
        <v>0</v>
      </c>
      <c r="N228" s="4" cm="1">
        <f t="array" ref="N228">_xlfn.IFS('ProductSprint Backlog'!$F228="", "", AND('ProductSprint Backlog'!$J228&gt;N$2,'ProductSprint Backlog'!$I228&lt;=N$2), 'ProductSprint Backlog'!$F228 / MAX(1, 'ProductSprint Backlog'!$J228-'ProductSprint Backlog'!$I228), AND('ProductSprint Backlog'!$J228=N$2,'ProductSprint Backlog'!$I228=N$2), 'ProductSprint Backlog'!$F228, TRUE, 0)</f>
        <v>0</v>
      </c>
      <c r="O228" s="4" cm="1">
        <f t="array" ref="O228">_xlfn.IFS('ProductSprint Backlog'!$F228="", "", AND('ProductSprint Backlog'!$J228&gt;O$2,'ProductSprint Backlog'!$I228&lt;=O$2), 'ProductSprint Backlog'!$F228 / MAX(1, 'ProductSprint Backlog'!$J228-'ProductSprint Backlog'!$I228), AND('ProductSprint Backlog'!$J228=O$2,'ProductSprint Backlog'!$I228=O$2), 'ProductSprint Backlog'!$F228, TRUE, 0)</f>
        <v>0</v>
      </c>
      <c r="P228" s="4" cm="1">
        <f t="array" ref="P228">_xlfn.IFS('ProductSprint Backlog'!$F228="", "", AND('ProductSprint Backlog'!$J228&gt;P$2,'ProductSprint Backlog'!$I228&lt;=P$2), 'ProductSprint Backlog'!$F228 / MAX(1, 'ProductSprint Backlog'!$J228-'ProductSprint Backlog'!$I228), AND('ProductSprint Backlog'!$J228=P$2,'ProductSprint Backlog'!$I228=P$2), 'ProductSprint Backlog'!$F228, TRUE, 0)</f>
        <v>0</v>
      </c>
      <c r="Q228" s="4" cm="1">
        <f t="array" ref="Q228">_xlfn.IFS('ProductSprint Backlog'!$F228="", "", AND('ProductSprint Backlog'!$J228&gt;Q$2,'ProductSprint Backlog'!$I228&lt;=Q$2), 'ProductSprint Backlog'!$F228 / MAX(1, 'ProductSprint Backlog'!$J228-'ProductSprint Backlog'!$I228), AND('ProductSprint Backlog'!$J228=Q$2,'ProductSprint Backlog'!$I228=Q$2), 'ProductSprint Backlog'!$F228, TRUE, 0)</f>
        <v>0</v>
      </c>
      <c r="R228" s="4" cm="1">
        <f t="array" ref="R228">_xlfn.IFS('ProductSprint Backlog'!$F228="", "", AND('ProductSprint Backlog'!$J228&gt;R$2,'ProductSprint Backlog'!$I228&lt;=R$2), 'ProductSprint Backlog'!$F228 / MAX(1, 'ProductSprint Backlog'!$J228-'ProductSprint Backlog'!$I228), AND('ProductSprint Backlog'!$J228=R$2,'ProductSprint Backlog'!$I228=R$2), 'ProductSprint Backlog'!$F228, TRUE, 0)</f>
        <v>0</v>
      </c>
      <c r="S228" s="4" cm="1">
        <f t="array" ref="S228">_xlfn.IFS('ProductSprint Backlog'!$F228="", "", AND('ProductSprint Backlog'!$J228&gt;S$2,'ProductSprint Backlog'!$I228&lt;=S$2), 'ProductSprint Backlog'!$F228 / MAX(1, 'ProductSprint Backlog'!$J228-'ProductSprint Backlog'!$I228), AND('ProductSprint Backlog'!$J228=S$2,'ProductSprint Backlog'!$I228=S$2), 'ProductSprint Backlog'!$F228, TRUE, 0)</f>
        <v>0</v>
      </c>
      <c r="T228" s="4" cm="1">
        <f t="array" ref="T228">_xlfn.IFS('ProductSprint Backlog'!$F228="", "", AND('ProductSprint Backlog'!$J228&gt;T$2,'ProductSprint Backlog'!$I228&lt;=T$2), 'ProductSprint Backlog'!$F228 / MAX(1, 'ProductSprint Backlog'!$J228-'ProductSprint Backlog'!$I228), AND('ProductSprint Backlog'!$J228=T$2,'ProductSprint Backlog'!$I228=T$2), 'ProductSprint Backlog'!$F228, TRUE, 0)</f>
        <v>0</v>
      </c>
    </row>
    <row r="229" spans="2:20" x14ac:dyDescent="0.2">
      <c r="B229" s="4" cm="1">
        <f t="array" ref="B229">_xlfn.IFS('ProductSprint Backlog'!$F229="", "", AND('ProductSprint Backlog'!$J229&gt;B$2,'ProductSprint Backlog'!$I229&lt;=B$2), 'ProductSprint Backlog'!$F229 / MAX(1, 'ProductSprint Backlog'!$J229-'ProductSprint Backlog'!$I229), AND('ProductSprint Backlog'!$J229=B$2,'ProductSprint Backlog'!$I229=B$2), 'ProductSprint Backlog'!$F229, TRUE, 0)</f>
        <v>0</v>
      </c>
      <c r="C229" s="4" cm="1">
        <f t="array" ref="C229">_xlfn.IFS('ProductSprint Backlog'!$F229="", "", AND('ProductSprint Backlog'!$J229&gt;C$2,'ProductSprint Backlog'!$I229&lt;=C$2), 'ProductSprint Backlog'!$F229 / MAX(1, 'ProductSprint Backlog'!$J229-'ProductSprint Backlog'!$I229), AND('ProductSprint Backlog'!$J229=C$2,'ProductSprint Backlog'!$I229=C$2), 'ProductSprint Backlog'!$F229, TRUE, 0)</f>
        <v>0</v>
      </c>
      <c r="D229" s="4" cm="1">
        <f t="array" ref="D229">_xlfn.IFS('ProductSprint Backlog'!$F229="", "", AND('ProductSprint Backlog'!$J229&gt;D$2,'ProductSprint Backlog'!$I229&lt;=D$2), 'ProductSprint Backlog'!$F229 / MAX(1, 'ProductSprint Backlog'!$J229-'ProductSprint Backlog'!$I229), AND('ProductSprint Backlog'!$J229=D$2,'ProductSprint Backlog'!$I229=D$2), 'ProductSprint Backlog'!$F229, TRUE, 0)</f>
        <v>0</v>
      </c>
      <c r="E229" s="4" cm="1">
        <f t="array" ref="E229">_xlfn.IFS('ProductSprint Backlog'!$F229="", "", AND('ProductSprint Backlog'!$J229&gt;E$2,'ProductSprint Backlog'!$I229&lt;=E$2), 'ProductSprint Backlog'!$F229 / MAX(1, 'ProductSprint Backlog'!$J229-'ProductSprint Backlog'!$I229), AND('ProductSprint Backlog'!$J229=E$2,'ProductSprint Backlog'!$I229=E$2), 'ProductSprint Backlog'!$F229, TRUE, 0)</f>
        <v>0</v>
      </c>
      <c r="F229" s="4" cm="1">
        <f t="array" ref="F229">_xlfn.IFS('ProductSprint Backlog'!$F229="", "", AND('ProductSprint Backlog'!$J229&gt;F$2,'ProductSprint Backlog'!$I229&lt;=F$2), 'ProductSprint Backlog'!$F229 / MAX(1, 'ProductSprint Backlog'!$J229-'ProductSprint Backlog'!$I229), AND('ProductSprint Backlog'!$J229=F$2,'ProductSprint Backlog'!$I229=F$2), 'ProductSprint Backlog'!$F229, TRUE, 0)</f>
        <v>0</v>
      </c>
      <c r="G229" s="4" cm="1">
        <f t="array" ref="G229">_xlfn.IFS('ProductSprint Backlog'!$F229="", "", AND('ProductSprint Backlog'!$J229&gt;G$2,'ProductSprint Backlog'!$I229&lt;=G$2), 'ProductSprint Backlog'!$F229 / MAX(1, 'ProductSprint Backlog'!$J229-'ProductSprint Backlog'!$I229), AND('ProductSprint Backlog'!$J229=G$2,'ProductSprint Backlog'!$I229=G$2), 'ProductSprint Backlog'!$F229, TRUE, 0)</f>
        <v>0</v>
      </c>
      <c r="H229" s="4" cm="1">
        <f t="array" ref="H229">_xlfn.IFS('ProductSprint Backlog'!$F229="", "", AND('ProductSprint Backlog'!$J229&gt;H$2,'ProductSprint Backlog'!$I229&lt;=H$2), 'ProductSprint Backlog'!$F229 / MAX(1, 'ProductSprint Backlog'!$J229-'ProductSprint Backlog'!$I229), AND('ProductSprint Backlog'!$J229=H$2,'ProductSprint Backlog'!$I229=H$2), 'ProductSprint Backlog'!$F229, TRUE, 0)</f>
        <v>0</v>
      </c>
      <c r="I229" s="4" cm="1">
        <f t="array" ref="I229">_xlfn.IFS('ProductSprint Backlog'!$F229="", "", AND('ProductSprint Backlog'!$J229&gt;I$2,'ProductSprint Backlog'!$I229&lt;=I$2), 'ProductSprint Backlog'!$F229 / MAX(1, 'ProductSprint Backlog'!$J229-'ProductSprint Backlog'!$I229), AND('ProductSprint Backlog'!$J229=I$2,'ProductSprint Backlog'!$I229=I$2), 'ProductSprint Backlog'!$F229, TRUE, 0)</f>
        <v>0</v>
      </c>
      <c r="J229" s="4" cm="1">
        <f t="array" ref="J229">_xlfn.IFS('ProductSprint Backlog'!$F229="", "", AND('ProductSprint Backlog'!$J229&gt;J$2,'ProductSprint Backlog'!$I229&lt;=J$2), 'ProductSprint Backlog'!$F229 / MAX(1, 'ProductSprint Backlog'!$J229-'ProductSprint Backlog'!$I229), AND('ProductSprint Backlog'!$J229=J$2,'ProductSprint Backlog'!$I229=J$2), 'ProductSprint Backlog'!$F229, TRUE, 0)</f>
        <v>0</v>
      </c>
      <c r="K229" s="4" cm="1">
        <f t="array" ref="K229">_xlfn.IFS('ProductSprint Backlog'!$F229="", "", AND('ProductSprint Backlog'!$J229&gt;K$2,'ProductSprint Backlog'!$I229&lt;=K$2), 'ProductSprint Backlog'!$F229 / MAX(1, 'ProductSprint Backlog'!$J229-'ProductSprint Backlog'!$I229), AND('ProductSprint Backlog'!$J229=K$2,'ProductSprint Backlog'!$I229=K$2), 'ProductSprint Backlog'!$F229, TRUE, 0)</f>
        <v>0</v>
      </c>
      <c r="L229" s="4" cm="1">
        <f t="array" ref="L229">_xlfn.IFS('ProductSprint Backlog'!$F229="", "", AND('ProductSprint Backlog'!$J229&gt;L$2,'ProductSprint Backlog'!$I229&lt;=L$2), 'ProductSprint Backlog'!$F229 / MAX(1, 'ProductSprint Backlog'!$J229-'ProductSprint Backlog'!$I229), AND('ProductSprint Backlog'!$J229=L$2,'ProductSprint Backlog'!$I229=L$2), 'ProductSprint Backlog'!$F229, TRUE, 0)</f>
        <v>0</v>
      </c>
      <c r="M229" s="4" cm="1">
        <f t="array" ref="M229">_xlfn.IFS('ProductSprint Backlog'!$F229="", "", AND('ProductSprint Backlog'!$J229&gt;M$2,'ProductSprint Backlog'!$I229&lt;=M$2), 'ProductSprint Backlog'!$F229 / MAX(1, 'ProductSprint Backlog'!$J229-'ProductSprint Backlog'!$I229), AND('ProductSprint Backlog'!$J229=M$2,'ProductSprint Backlog'!$I229=M$2), 'ProductSprint Backlog'!$F229, TRUE, 0)</f>
        <v>0</v>
      </c>
      <c r="N229" s="4" cm="1">
        <f t="array" ref="N229">_xlfn.IFS('ProductSprint Backlog'!$F229="", "", AND('ProductSprint Backlog'!$J229&gt;N$2,'ProductSprint Backlog'!$I229&lt;=N$2), 'ProductSprint Backlog'!$F229 / MAX(1, 'ProductSprint Backlog'!$J229-'ProductSprint Backlog'!$I229), AND('ProductSprint Backlog'!$J229=N$2,'ProductSprint Backlog'!$I229=N$2), 'ProductSprint Backlog'!$F229, TRUE, 0)</f>
        <v>0</v>
      </c>
      <c r="O229" s="4" cm="1">
        <f t="array" ref="O229">_xlfn.IFS('ProductSprint Backlog'!$F229="", "", AND('ProductSprint Backlog'!$J229&gt;O$2,'ProductSprint Backlog'!$I229&lt;=O$2), 'ProductSprint Backlog'!$F229 / MAX(1, 'ProductSprint Backlog'!$J229-'ProductSprint Backlog'!$I229), AND('ProductSprint Backlog'!$J229=O$2,'ProductSprint Backlog'!$I229=O$2), 'ProductSprint Backlog'!$F229, TRUE, 0)</f>
        <v>0</v>
      </c>
      <c r="P229" s="4" cm="1">
        <f t="array" ref="P229">_xlfn.IFS('ProductSprint Backlog'!$F229="", "", AND('ProductSprint Backlog'!$J229&gt;P$2,'ProductSprint Backlog'!$I229&lt;=P$2), 'ProductSprint Backlog'!$F229 / MAX(1, 'ProductSprint Backlog'!$J229-'ProductSprint Backlog'!$I229), AND('ProductSprint Backlog'!$J229=P$2,'ProductSprint Backlog'!$I229=P$2), 'ProductSprint Backlog'!$F229, TRUE, 0)</f>
        <v>0</v>
      </c>
      <c r="Q229" s="4" cm="1">
        <f t="array" ref="Q229">_xlfn.IFS('ProductSprint Backlog'!$F229="", "", AND('ProductSprint Backlog'!$J229&gt;Q$2,'ProductSprint Backlog'!$I229&lt;=Q$2), 'ProductSprint Backlog'!$F229 / MAX(1, 'ProductSprint Backlog'!$J229-'ProductSprint Backlog'!$I229), AND('ProductSprint Backlog'!$J229=Q$2,'ProductSprint Backlog'!$I229=Q$2), 'ProductSprint Backlog'!$F229, TRUE, 0)</f>
        <v>0</v>
      </c>
      <c r="R229" s="4" cm="1">
        <f t="array" ref="R229">_xlfn.IFS('ProductSprint Backlog'!$F229="", "", AND('ProductSprint Backlog'!$J229&gt;R$2,'ProductSprint Backlog'!$I229&lt;=R$2), 'ProductSprint Backlog'!$F229 / MAX(1, 'ProductSprint Backlog'!$J229-'ProductSprint Backlog'!$I229), AND('ProductSprint Backlog'!$J229=R$2,'ProductSprint Backlog'!$I229=R$2), 'ProductSprint Backlog'!$F229, TRUE, 0)</f>
        <v>0</v>
      </c>
      <c r="S229" s="4" cm="1">
        <f t="array" ref="S229">_xlfn.IFS('ProductSprint Backlog'!$F229="", "", AND('ProductSprint Backlog'!$J229&gt;S$2,'ProductSprint Backlog'!$I229&lt;=S$2), 'ProductSprint Backlog'!$F229 / MAX(1, 'ProductSprint Backlog'!$J229-'ProductSprint Backlog'!$I229), AND('ProductSprint Backlog'!$J229=S$2,'ProductSprint Backlog'!$I229=S$2), 'ProductSprint Backlog'!$F229, TRUE, 0)</f>
        <v>0</v>
      </c>
      <c r="T229" s="4" cm="1">
        <f t="array" ref="T229">_xlfn.IFS('ProductSprint Backlog'!$F229="", "", AND('ProductSprint Backlog'!$J229&gt;T$2,'ProductSprint Backlog'!$I229&lt;=T$2), 'ProductSprint Backlog'!$F229 / MAX(1, 'ProductSprint Backlog'!$J229-'ProductSprint Backlog'!$I229), AND('ProductSprint Backlog'!$J229=T$2,'ProductSprint Backlog'!$I229=T$2), 'ProductSprint Backlog'!$F229, TRUE, 0)</f>
        <v>0</v>
      </c>
    </row>
    <row r="230" spans="2:20" x14ac:dyDescent="0.2">
      <c r="B230" s="4" cm="1">
        <f t="array" ref="B230">_xlfn.IFS('ProductSprint Backlog'!$F230="", "", AND('ProductSprint Backlog'!$J230&gt;B$2,'ProductSprint Backlog'!$I230&lt;=B$2), 'ProductSprint Backlog'!$F230 / MAX(1, 'ProductSprint Backlog'!$J230-'ProductSprint Backlog'!$I230), AND('ProductSprint Backlog'!$J230=B$2,'ProductSprint Backlog'!$I230=B$2), 'ProductSprint Backlog'!$F230, TRUE, 0)</f>
        <v>0</v>
      </c>
      <c r="C230" s="4" cm="1">
        <f t="array" ref="C230">_xlfn.IFS('ProductSprint Backlog'!$F230="", "", AND('ProductSprint Backlog'!$J230&gt;C$2,'ProductSprint Backlog'!$I230&lt;=C$2), 'ProductSprint Backlog'!$F230 / MAX(1, 'ProductSprint Backlog'!$J230-'ProductSprint Backlog'!$I230), AND('ProductSprint Backlog'!$J230=C$2,'ProductSprint Backlog'!$I230=C$2), 'ProductSprint Backlog'!$F230, TRUE, 0)</f>
        <v>0</v>
      </c>
      <c r="D230" s="4" cm="1">
        <f t="array" ref="D230">_xlfn.IFS('ProductSprint Backlog'!$F230="", "", AND('ProductSprint Backlog'!$J230&gt;D$2,'ProductSprint Backlog'!$I230&lt;=D$2), 'ProductSprint Backlog'!$F230 / MAX(1, 'ProductSprint Backlog'!$J230-'ProductSprint Backlog'!$I230), AND('ProductSprint Backlog'!$J230=D$2,'ProductSprint Backlog'!$I230=D$2), 'ProductSprint Backlog'!$F230, TRUE, 0)</f>
        <v>0</v>
      </c>
      <c r="E230" s="4" cm="1">
        <f t="array" ref="E230">_xlfn.IFS('ProductSprint Backlog'!$F230="", "", AND('ProductSprint Backlog'!$J230&gt;E$2,'ProductSprint Backlog'!$I230&lt;=E$2), 'ProductSprint Backlog'!$F230 / MAX(1, 'ProductSprint Backlog'!$J230-'ProductSprint Backlog'!$I230), AND('ProductSprint Backlog'!$J230=E$2,'ProductSprint Backlog'!$I230=E$2), 'ProductSprint Backlog'!$F230, TRUE, 0)</f>
        <v>0</v>
      </c>
      <c r="F230" s="4" cm="1">
        <f t="array" ref="F230">_xlfn.IFS('ProductSprint Backlog'!$F230="", "", AND('ProductSprint Backlog'!$J230&gt;F$2,'ProductSprint Backlog'!$I230&lt;=F$2), 'ProductSprint Backlog'!$F230 / MAX(1, 'ProductSprint Backlog'!$J230-'ProductSprint Backlog'!$I230), AND('ProductSprint Backlog'!$J230=F$2,'ProductSprint Backlog'!$I230=F$2), 'ProductSprint Backlog'!$F230, TRUE, 0)</f>
        <v>0</v>
      </c>
      <c r="G230" s="4" cm="1">
        <f t="array" ref="G230">_xlfn.IFS('ProductSprint Backlog'!$F230="", "", AND('ProductSprint Backlog'!$J230&gt;G$2,'ProductSprint Backlog'!$I230&lt;=G$2), 'ProductSprint Backlog'!$F230 / MAX(1, 'ProductSprint Backlog'!$J230-'ProductSprint Backlog'!$I230), AND('ProductSprint Backlog'!$J230=G$2,'ProductSprint Backlog'!$I230=G$2), 'ProductSprint Backlog'!$F230, TRUE, 0)</f>
        <v>0</v>
      </c>
      <c r="H230" s="4" cm="1">
        <f t="array" ref="H230">_xlfn.IFS('ProductSprint Backlog'!$F230="", "", AND('ProductSprint Backlog'!$J230&gt;H$2,'ProductSprint Backlog'!$I230&lt;=H$2), 'ProductSprint Backlog'!$F230 / MAX(1, 'ProductSprint Backlog'!$J230-'ProductSprint Backlog'!$I230), AND('ProductSprint Backlog'!$J230=H$2,'ProductSprint Backlog'!$I230=H$2), 'ProductSprint Backlog'!$F230, TRUE, 0)</f>
        <v>0</v>
      </c>
      <c r="I230" s="4" cm="1">
        <f t="array" ref="I230">_xlfn.IFS('ProductSprint Backlog'!$F230="", "", AND('ProductSprint Backlog'!$J230&gt;I$2,'ProductSprint Backlog'!$I230&lt;=I$2), 'ProductSprint Backlog'!$F230 / MAX(1, 'ProductSprint Backlog'!$J230-'ProductSprint Backlog'!$I230), AND('ProductSprint Backlog'!$J230=I$2,'ProductSprint Backlog'!$I230=I$2), 'ProductSprint Backlog'!$F230, TRUE, 0)</f>
        <v>0</v>
      </c>
      <c r="J230" s="4" cm="1">
        <f t="array" ref="J230">_xlfn.IFS('ProductSprint Backlog'!$F230="", "", AND('ProductSprint Backlog'!$J230&gt;J$2,'ProductSprint Backlog'!$I230&lt;=J$2), 'ProductSprint Backlog'!$F230 / MAX(1, 'ProductSprint Backlog'!$J230-'ProductSprint Backlog'!$I230), AND('ProductSprint Backlog'!$J230=J$2,'ProductSprint Backlog'!$I230=J$2), 'ProductSprint Backlog'!$F230, TRUE, 0)</f>
        <v>0</v>
      </c>
      <c r="K230" s="4" cm="1">
        <f t="array" ref="K230">_xlfn.IFS('ProductSprint Backlog'!$F230="", "", AND('ProductSprint Backlog'!$J230&gt;K$2,'ProductSprint Backlog'!$I230&lt;=K$2), 'ProductSprint Backlog'!$F230 / MAX(1, 'ProductSprint Backlog'!$J230-'ProductSprint Backlog'!$I230), AND('ProductSprint Backlog'!$J230=K$2,'ProductSprint Backlog'!$I230=K$2), 'ProductSprint Backlog'!$F230, TRUE, 0)</f>
        <v>0</v>
      </c>
      <c r="L230" s="4" cm="1">
        <f t="array" ref="L230">_xlfn.IFS('ProductSprint Backlog'!$F230="", "", AND('ProductSprint Backlog'!$J230&gt;L$2,'ProductSprint Backlog'!$I230&lt;=L$2), 'ProductSprint Backlog'!$F230 / MAX(1, 'ProductSprint Backlog'!$J230-'ProductSprint Backlog'!$I230), AND('ProductSprint Backlog'!$J230=L$2,'ProductSprint Backlog'!$I230=L$2), 'ProductSprint Backlog'!$F230, TRUE, 0)</f>
        <v>0</v>
      </c>
      <c r="M230" s="4" cm="1">
        <f t="array" ref="M230">_xlfn.IFS('ProductSprint Backlog'!$F230="", "", AND('ProductSprint Backlog'!$J230&gt;M$2,'ProductSprint Backlog'!$I230&lt;=M$2), 'ProductSprint Backlog'!$F230 / MAX(1, 'ProductSprint Backlog'!$J230-'ProductSprint Backlog'!$I230), AND('ProductSprint Backlog'!$J230=M$2,'ProductSprint Backlog'!$I230=M$2), 'ProductSprint Backlog'!$F230, TRUE, 0)</f>
        <v>0</v>
      </c>
      <c r="N230" s="4" cm="1">
        <f t="array" ref="N230">_xlfn.IFS('ProductSprint Backlog'!$F230="", "", AND('ProductSprint Backlog'!$J230&gt;N$2,'ProductSprint Backlog'!$I230&lt;=N$2), 'ProductSprint Backlog'!$F230 / MAX(1, 'ProductSprint Backlog'!$J230-'ProductSprint Backlog'!$I230), AND('ProductSprint Backlog'!$J230=N$2,'ProductSprint Backlog'!$I230=N$2), 'ProductSprint Backlog'!$F230, TRUE, 0)</f>
        <v>0</v>
      </c>
      <c r="O230" s="4" cm="1">
        <f t="array" ref="O230">_xlfn.IFS('ProductSprint Backlog'!$F230="", "", AND('ProductSprint Backlog'!$J230&gt;O$2,'ProductSprint Backlog'!$I230&lt;=O$2), 'ProductSprint Backlog'!$F230 / MAX(1, 'ProductSprint Backlog'!$J230-'ProductSprint Backlog'!$I230), AND('ProductSprint Backlog'!$J230=O$2,'ProductSprint Backlog'!$I230=O$2), 'ProductSprint Backlog'!$F230, TRUE, 0)</f>
        <v>0</v>
      </c>
      <c r="P230" s="4" cm="1">
        <f t="array" ref="P230">_xlfn.IFS('ProductSprint Backlog'!$F230="", "", AND('ProductSprint Backlog'!$J230&gt;P$2,'ProductSprint Backlog'!$I230&lt;=P$2), 'ProductSprint Backlog'!$F230 / MAX(1, 'ProductSprint Backlog'!$J230-'ProductSprint Backlog'!$I230), AND('ProductSprint Backlog'!$J230=P$2,'ProductSprint Backlog'!$I230=P$2), 'ProductSprint Backlog'!$F230, TRUE, 0)</f>
        <v>0</v>
      </c>
      <c r="Q230" s="4" cm="1">
        <f t="array" ref="Q230">_xlfn.IFS('ProductSprint Backlog'!$F230="", "", AND('ProductSprint Backlog'!$J230&gt;Q$2,'ProductSprint Backlog'!$I230&lt;=Q$2), 'ProductSprint Backlog'!$F230 / MAX(1, 'ProductSprint Backlog'!$J230-'ProductSprint Backlog'!$I230), AND('ProductSprint Backlog'!$J230=Q$2,'ProductSprint Backlog'!$I230=Q$2), 'ProductSprint Backlog'!$F230, TRUE, 0)</f>
        <v>0</v>
      </c>
      <c r="R230" s="4" cm="1">
        <f t="array" ref="R230">_xlfn.IFS('ProductSprint Backlog'!$F230="", "", AND('ProductSprint Backlog'!$J230&gt;R$2,'ProductSprint Backlog'!$I230&lt;=R$2), 'ProductSprint Backlog'!$F230 / MAX(1, 'ProductSprint Backlog'!$J230-'ProductSprint Backlog'!$I230), AND('ProductSprint Backlog'!$J230=R$2,'ProductSprint Backlog'!$I230=R$2), 'ProductSprint Backlog'!$F230, TRUE, 0)</f>
        <v>0</v>
      </c>
      <c r="S230" s="4" cm="1">
        <f t="array" ref="S230">_xlfn.IFS('ProductSprint Backlog'!$F230="", "", AND('ProductSprint Backlog'!$J230&gt;S$2,'ProductSprint Backlog'!$I230&lt;=S$2), 'ProductSprint Backlog'!$F230 / MAX(1, 'ProductSprint Backlog'!$J230-'ProductSprint Backlog'!$I230), AND('ProductSprint Backlog'!$J230=S$2,'ProductSprint Backlog'!$I230=S$2), 'ProductSprint Backlog'!$F230, TRUE, 0)</f>
        <v>0</v>
      </c>
      <c r="T230" s="4" cm="1">
        <f t="array" ref="T230">_xlfn.IFS('ProductSprint Backlog'!$F230="", "", AND('ProductSprint Backlog'!$J230&gt;T$2,'ProductSprint Backlog'!$I230&lt;=T$2), 'ProductSprint Backlog'!$F230 / MAX(1, 'ProductSprint Backlog'!$J230-'ProductSprint Backlog'!$I230), AND('ProductSprint Backlog'!$J230=T$2,'ProductSprint Backlog'!$I230=T$2), 'ProductSprint Backlog'!$F230, TRUE, 0)</f>
        <v>0</v>
      </c>
    </row>
    <row r="231" spans="2:20" x14ac:dyDescent="0.2">
      <c r="B231" s="4" cm="1">
        <f t="array" ref="B231">_xlfn.IFS('ProductSprint Backlog'!$F231="", "", AND('ProductSprint Backlog'!$J231&gt;B$2,'ProductSprint Backlog'!$I231&lt;=B$2), 'ProductSprint Backlog'!$F231 / MAX(1, 'ProductSprint Backlog'!$J231-'ProductSprint Backlog'!$I231), AND('ProductSprint Backlog'!$J231=B$2,'ProductSprint Backlog'!$I231=B$2), 'ProductSprint Backlog'!$F231, TRUE, 0)</f>
        <v>0</v>
      </c>
      <c r="C231" s="4" cm="1">
        <f t="array" ref="C231">_xlfn.IFS('ProductSprint Backlog'!$F231="", "", AND('ProductSprint Backlog'!$J231&gt;C$2,'ProductSprint Backlog'!$I231&lt;=C$2), 'ProductSprint Backlog'!$F231 / MAX(1, 'ProductSprint Backlog'!$J231-'ProductSprint Backlog'!$I231), AND('ProductSprint Backlog'!$J231=C$2,'ProductSprint Backlog'!$I231=C$2), 'ProductSprint Backlog'!$F231, TRUE, 0)</f>
        <v>0</v>
      </c>
      <c r="D231" s="4" cm="1">
        <f t="array" ref="D231">_xlfn.IFS('ProductSprint Backlog'!$F231="", "", AND('ProductSprint Backlog'!$J231&gt;D$2,'ProductSprint Backlog'!$I231&lt;=D$2), 'ProductSprint Backlog'!$F231 / MAX(1, 'ProductSprint Backlog'!$J231-'ProductSprint Backlog'!$I231), AND('ProductSprint Backlog'!$J231=D$2,'ProductSprint Backlog'!$I231=D$2), 'ProductSprint Backlog'!$F231, TRUE, 0)</f>
        <v>0</v>
      </c>
      <c r="E231" s="4" cm="1">
        <f t="array" ref="E231">_xlfn.IFS('ProductSprint Backlog'!$F231="", "", AND('ProductSprint Backlog'!$J231&gt;E$2,'ProductSprint Backlog'!$I231&lt;=E$2), 'ProductSprint Backlog'!$F231 / MAX(1, 'ProductSprint Backlog'!$J231-'ProductSprint Backlog'!$I231), AND('ProductSprint Backlog'!$J231=E$2,'ProductSprint Backlog'!$I231=E$2), 'ProductSprint Backlog'!$F231, TRUE, 0)</f>
        <v>0</v>
      </c>
      <c r="F231" s="4" cm="1">
        <f t="array" ref="F231">_xlfn.IFS('ProductSprint Backlog'!$F231="", "", AND('ProductSprint Backlog'!$J231&gt;F$2,'ProductSprint Backlog'!$I231&lt;=F$2), 'ProductSprint Backlog'!$F231 / MAX(1, 'ProductSprint Backlog'!$J231-'ProductSprint Backlog'!$I231), AND('ProductSprint Backlog'!$J231=F$2,'ProductSprint Backlog'!$I231=F$2), 'ProductSprint Backlog'!$F231, TRUE, 0)</f>
        <v>0</v>
      </c>
      <c r="G231" s="4" cm="1">
        <f t="array" ref="G231">_xlfn.IFS('ProductSprint Backlog'!$F231="", "", AND('ProductSprint Backlog'!$J231&gt;G$2,'ProductSprint Backlog'!$I231&lt;=G$2), 'ProductSprint Backlog'!$F231 / MAX(1, 'ProductSprint Backlog'!$J231-'ProductSprint Backlog'!$I231), AND('ProductSprint Backlog'!$J231=G$2,'ProductSprint Backlog'!$I231=G$2), 'ProductSprint Backlog'!$F231, TRUE, 0)</f>
        <v>0</v>
      </c>
      <c r="H231" s="4" cm="1">
        <f t="array" ref="H231">_xlfn.IFS('ProductSprint Backlog'!$F231="", "", AND('ProductSprint Backlog'!$J231&gt;H$2,'ProductSprint Backlog'!$I231&lt;=H$2), 'ProductSprint Backlog'!$F231 / MAX(1, 'ProductSprint Backlog'!$J231-'ProductSprint Backlog'!$I231), AND('ProductSprint Backlog'!$J231=H$2,'ProductSprint Backlog'!$I231=H$2), 'ProductSprint Backlog'!$F231, TRUE, 0)</f>
        <v>0</v>
      </c>
      <c r="I231" s="4" cm="1">
        <f t="array" ref="I231">_xlfn.IFS('ProductSprint Backlog'!$F231="", "", AND('ProductSprint Backlog'!$J231&gt;I$2,'ProductSprint Backlog'!$I231&lt;=I$2), 'ProductSprint Backlog'!$F231 / MAX(1, 'ProductSprint Backlog'!$J231-'ProductSprint Backlog'!$I231), AND('ProductSprint Backlog'!$J231=I$2,'ProductSprint Backlog'!$I231=I$2), 'ProductSprint Backlog'!$F231, TRUE, 0)</f>
        <v>0</v>
      </c>
      <c r="J231" s="4" cm="1">
        <f t="array" ref="J231">_xlfn.IFS('ProductSprint Backlog'!$F231="", "", AND('ProductSprint Backlog'!$J231&gt;J$2,'ProductSprint Backlog'!$I231&lt;=J$2), 'ProductSprint Backlog'!$F231 / MAX(1, 'ProductSprint Backlog'!$J231-'ProductSprint Backlog'!$I231), AND('ProductSprint Backlog'!$J231=J$2,'ProductSprint Backlog'!$I231=J$2), 'ProductSprint Backlog'!$F231, TRUE, 0)</f>
        <v>0</v>
      </c>
      <c r="K231" s="4" cm="1">
        <f t="array" ref="K231">_xlfn.IFS('ProductSprint Backlog'!$F231="", "", AND('ProductSprint Backlog'!$J231&gt;K$2,'ProductSprint Backlog'!$I231&lt;=K$2), 'ProductSprint Backlog'!$F231 / MAX(1, 'ProductSprint Backlog'!$J231-'ProductSprint Backlog'!$I231), AND('ProductSprint Backlog'!$J231=K$2,'ProductSprint Backlog'!$I231=K$2), 'ProductSprint Backlog'!$F231, TRUE, 0)</f>
        <v>0</v>
      </c>
      <c r="L231" s="4" cm="1">
        <f t="array" ref="L231">_xlfn.IFS('ProductSprint Backlog'!$F231="", "", AND('ProductSprint Backlog'!$J231&gt;L$2,'ProductSprint Backlog'!$I231&lt;=L$2), 'ProductSprint Backlog'!$F231 / MAX(1, 'ProductSprint Backlog'!$J231-'ProductSprint Backlog'!$I231), AND('ProductSprint Backlog'!$J231=L$2,'ProductSprint Backlog'!$I231=L$2), 'ProductSprint Backlog'!$F231, TRUE, 0)</f>
        <v>0</v>
      </c>
      <c r="M231" s="4" cm="1">
        <f t="array" ref="M231">_xlfn.IFS('ProductSprint Backlog'!$F231="", "", AND('ProductSprint Backlog'!$J231&gt;M$2,'ProductSprint Backlog'!$I231&lt;=M$2), 'ProductSprint Backlog'!$F231 / MAX(1, 'ProductSprint Backlog'!$J231-'ProductSprint Backlog'!$I231), AND('ProductSprint Backlog'!$J231=M$2,'ProductSprint Backlog'!$I231=M$2), 'ProductSprint Backlog'!$F231, TRUE, 0)</f>
        <v>0</v>
      </c>
      <c r="N231" s="4" cm="1">
        <f t="array" ref="N231">_xlfn.IFS('ProductSprint Backlog'!$F231="", "", AND('ProductSprint Backlog'!$J231&gt;N$2,'ProductSprint Backlog'!$I231&lt;=N$2), 'ProductSprint Backlog'!$F231 / MAX(1, 'ProductSprint Backlog'!$J231-'ProductSprint Backlog'!$I231), AND('ProductSprint Backlog'!$J231=N$2,'ProductSprint Backlog'!$I231=N$2), 'ProductSprint Backlog'!$F231, TRUE, 0)</f>
        <v>0</v>
      </c>
      <c r="O231" s="4" cm="1">
        <f t="array" ref="O231">_xlfn.IFS('ProductSprint Backlog'!$F231="", "", AND('ProductSprint Backlog'!$J231&gt;O$2,'ProductSprint Backlog'!$I231&lt;=O$2), 'ProductSprint Backlog'!$F231 / MAX(1, 'ProductSprint Backlog'!$J231-'ProductSprint Backlog'!$I231), AND('ProductSprint Backlog'!$J231=O$2,'ProductSprint Backlog'!$I231=O$2), 'ProductSprint Backlog'!$F231, TRUE, 0)</f>
        <v>0</v>
      </c>
      <c r="P231" s="4" cm="1">
        <f t="array" ref="P231">_xlfn.IFS('ProductSprint Backlog'!$F231="", "", AND('ProductSprint Backlog'!$J231&gt;P$2,'ProductSprint Backlog'!$I231&lt;=P$2), 'ProductSprint Backlog'!$F231 / MAX(1, 'ProductSprint Backlog'!$J231-'ProductSprint Backlog'!$I231), AND('ProductSprint Backlog'!$J231=P$2,'ProductSprint Backlog'!$I231=P$2), 'ProductSprint Backlog'!$F231, TRUE, 0)</f>
        <v>0</v>
      </c>
      <c r="Q231" s="4" cm="1">
        <f t="array" ref="Q231">_xlfn.IFS('ProductSprint Backlog'!$F231="", "", AND('ProductSprint Backlog'!$J231&gt;Q$2,'ProductSprint Backlog'!$I231&lt;=Q$2), 'ProductSprint Backlog'!$F231 / MAX(1, 'ProductSprint Backlog'!$J231-'ProductSprint Backlog'!$I231), AND('ProductSprint Backlog'!$J231=Q$2,'ProductSprint Backlog'!$I231=Q$2), 'ProductSprint Backlog'!$F231, TRUE, 0)</f>
        <v>0</v>
      </c>
      <c r="R231" s="4" cm="1">
        <f t="array" ref="R231">_xlfn.IFS('ProductSprint Backlog'!$F231="", "", AND('ProductSprint Backlog'!$J231&gt;R$2,'ProductSprint Backlog'!$I231&lt;=R$2), 'ProductSprint Backlog'!$F231 / MAX(1, 'ProductSprint Backlog'!$J231-'ProductSprint Backlog'!$I231), AND('ProductSprint Backlog'!$J231=R$2,'ProductSprint Backlog'!$I231=R$2), 'ProductSprint Backlog'!$F231, TRUE, 0)</f>
        <v>0</v>
      </c>
      <c r="S231" s="4" cm="1">
        <f t="array" ref="S231">_xlfn.IFS('ProductSprint Backlog'!$F231="", "", AND('ProductSprint Backlog'!$J231&gt;S$2,'ProductSprint Backlog'!$I231&lt;=S$2), 'ProductSprint Backlog'!$F231 / MAX(1, 'ProductSprint Backlog'!$J231-'ProductSprint Backlog'!$I231), AND('ProductSprint Backlog'!$J231=S$2,'ProductSprint Backlog'!$I231=S$2), 'ProductSprint Backlog'!$F231, TRUE, 0)</f>
        <v>0</v>
      </c>
      <c r="T231" s="4" cm="1">
        <f t="array" ref="T231">_xlfn.IFS('ProductSprint Backlog'!$F231="", "", AND('ProductSprint Backlog'!$J231&gt;T$2,'ProductSprint Backlog'!$I231&lt;=T$2), 'ProductSprint Backlog'!$F231 / MAX(1, 'ProductSprint Backlog'!$J231-'ProductSprint Backlog'!$I231), AND('ProductSprint Backlog'!$J231=T$2,'ProductSprint Backlog'!$I231=T$2), 'ProductSprint Backlog'!$F231, TRUE, 0)</f>
        <v>0</v>
      </c>
    </row>
    <row r="232" spans="2:20" x14ac:dyDescent="0.2">
      <c r="B232" s="4" cm="1">
        <f t="array" ref="B232">_xlfn.IFS('ProductSprint Backlog'!$F232="", "", AND('ProductSprint Backlog'!$J232&gt;B$2,'ProductSprint Backlog'!$I232&lt;=B$2), 'ProductSprint Backlog'!$F232 / MAX(1, 'ProductSprint Backlog'!$J232-'ProductSprint Backlog'!$I232), AND('ProductSprint Backlog'!$J232=B$2,'ProductSprint Backlog'!$I232=B$2), 'ProductSprint Backlog'!$F232, TRUE, 0)</f>
        <v>0</v>
      </c>
      <c r="C232" s="4" cm="1">
        <f t="array" ref="C232">_xlfn.IFS('ProductSprint Backlog'!$F232="", "", AND('ProductSprint Backlog'!$J232&gt;C$2,'ProductSprint Backlog'!$I232&lt;=C$2), 'ProductSprint Backlog'!$F232 / MAX(1, 'ProductSprint Backlog'!$J232-'ProductSprint Backlog'!$I232), AND('ProductSprint Backlog'!$J232=C$2,'ProductSprint Backlog'!$I232=C$2), 'ProductSprint Backlog'!$F232, TRUE, 0)</f>
        <v>0</v>
      </c>
      <c r="D232" s="4" cm="1">
        <f t="array" ref="D232">_xlfn.IFS('ProductSprint Backlog'!$F232="", "", AND('ProductSprint Backlog'!$J232&gt;D$2,'ProductSprint Backlog'!$I232&lt;=D$2), 'ProductSprint Backlog'!$F232 / MAX(1, 'ProductSprint Backlog'!$J232-'ProductSprint Backlog'!$I232), AND('ProductSprint Backlog'!$J232=D$2,'ProductSprint Backlog'!$I232=D$2), 'ProductSprint Backlog'!$F232, TRUE, 0)</f>
        <v>0</v>
      </c>
      <c r="E232" s="4" cm="1">
        <f t="array" ref="E232">_xlfn.IFS('ProductSprint Backlog'!$F232="", "", AND('ProductSprint Backlog'!$J232&gt;E$2,'ProductSprint Backlog'!$I232&lt;=E$2), 'ProductSprint Backlog'!$F232 / MAX(1, 'ProductSprint Backlog'!$J232-'ProductSprint Backlog'!$I232), AND('ProductSprint Backlog'!$J232=E$2,'ProductSprint Backlog'!$I232=E$2), 'ProductSprint Backlog'!$F232, TRUE, 0)</f>
        <v>0</v>
      </c>
      <c r="F232" s="4" cm="1">
        <f t="array" ref="F232">_xlfn.IFS('ProductSprint Backlog'!$F232="", "", AND('ProductSprint Backlog'!$J232&gt;F$2,'ProductSprint Backlog'!$I232&lt;=F$2), 'ProductSprint Backlog'!$F232 / MAX(1, 'ProductSprint Backlog'!$J232-'ProductSprint Backlog'!$I232), AND('ProductSprint Backlog'!$J232=F$2,'ProductSprint Backlog'!$I232=F$2), 'ProductSprint Backlog'!$F232, TRUE, 0)</f>
        <v>0</v>
      </c>
      <c r="G232" s="4" cm="1">
        <f t="array" ref="G232">_xlfn.IFS('ProductSprint Backlog'!$F232="", "", AND('ProductSprint Backlog'!$J232&gt;G$2,'ProductSprint Backlog'!$I232&lt;=G$2), 'ProductSprint Backlog'!$F232 / MAX(1, 'ProductSprint Backlog'!$J232-'ProductSprint Backlog'!$I232), AND('ProductSprint Backlog'!$J232=G$2,'ProductSprint Backlog'!$I232=G$2), 'ProductSprint Backlog'!$F232, TRUE, 0)</f>
        <v>0</v>
      </c>
      <c r="H232" s="4" cm="1">
        <f t="array" ref="H232">_xlfn.IFS('ProductSprint Backlog'!$F232="", "", AND('ProductSprint Backlog'!$J232&gt;H$2,'ProductSprint Backlog'!$I232&lt;=H$2), 'ProductSprint Backlog'!$F232 / MAX(1, 'ProductSprint Backlog'!$J232-'ProductSprint Backlog'!$I232), AND('ProductSprint Backlog'!$J232=H$2,'ProductSprint Backlog'!$I232=H$2), 'ProductSprint Backlog'!$F232, TRUE, 0)</f>
        <v>0</v>
      </c>
      <c r="I232" s="4" cm="1">
        <f t="array" ref="I232">_xlfn.IFS('ProductSprint Backlog'!$F232="", "", AND('ProductSprint Backlog'!$J232&gt;I$2,'ProductSprint Backlog'!$I232&lt;=I$2), 'ProductSprint Backlog'!$F232 / MAX(1, 'ProductSprint Backlog'!$J232-'ProductSprint Backlog'!$I232), AND('ProductSprint Backlog'!$J232=I$2,'ProductSprint Backlog'!$I232=I$2), 'ProductSprint Backlog'!$F232, TRUE, 0)</f>
        <v>0</v>
      </c>
      <c r="J232" s="4" cm="1">
        <f t="array" ref="J232">_xlfn.IFS('ProductSprint Backlog'!$F232="", "", AND('ProductSprint Backlog'!$J232&gt;J$2,'ProductSprint Backlog'!$I232&lt;=J$2), 'ProductSprint Backlog'!$F232 / MAX(1, 'ProductSprint Backlog'!$J232-'ProductSprint Backlog'!$I232), AND('ProductSprint Backlog'!$J232=J$2,'ProductSprint Backlog'!$I232=J$2), 'ProductSprint Backlog'!$F232, TRUE, 0)</f>
        <v>0</v>
      </c>
      <c r="K232" s="4" cm="1">
        <f t="array" ref="K232">_xlfn.IFS('ProductSprint Backlog'!$F232="", "", AND('ProductSprint Backlog'!$J232&gt;K$2,'ProductSprint Backlog'!$I232&lt;=K$2), 'ProductSprint Backlog'!$F232 / MAX(1, 'ProductSprint Backlog'!$J232-'ProductSprint Backlog'!$I232), AND('ProductSprint Backlog'!$J232=K$2,'ProductSprint Backlog'!$I232=K$2), 'ProductSprint Backlog'!$F232, TRUE, 0)</f>
        <v>0</v>
      </c>
      <c r="L232" s="4" cm="1">
        <f t="array" ref="L232">_xlfn.IFS('ProductSprint Backlog'!$F232="", "", AND('ProductSprint Backlog'!$J232&gt;L$2,'ProductSprint Backlog'!$I232&lt;=L$2), 'ProductSprint Backlog'!$F232 / MAX(1, 'ProductSprint Backlog'!$J232-'ProductSprint Backlog'!$I232), AND('ProductSprint Backlog'!$J232=L$2,'ProductSprint Backlog'!$I232=L$2), 'ProductSprint Backlog'!$F232, TRUE, 0)</f>
        <v>0</v>
      </c>
      <c r="M232" s="4" cm="1">
        <f t="array" ref="M232">_xlfn.IFS('ProductSprint Backlog'!$F232="", "", AND('ProductSprint Backlog'!$J232&gt;M$2,'ProductSprint Backlog'!$I232&lt;=M$2), 'ProductSprint Backlog'!$F232 / MAX(1, 'ProductSprint Backlog'!$J232-'ProductSprint Backlog'!$I232), AND('ProductSprint Backlog'!$J232=M$2,'ProductSprint Backlog'!$I232=M$2), 'ProductSprint Backlog'!$F232, TRUE, 0)</f>
        <v>0</v>
      </c>
      <c r="N232" s="4" cm="1">
        <f t="array" ref="N232">_xlfn.IFS('ProductSprint Backlog'!$F232="", "", AND('ProductSprint Backlog'!$J232&gt;N$2,'ProductSprint Backlog'!$I232&lt;=N$2), 'ProductSprint Backlog'!$F232 / MAX(1, 'ProductSprint Backlog'!$J232-'ProductSprint Backlog'!$I232), AND('ProductSprint Backlog'!$J232=N$2,'ProductSprint Backlog'!$I232=N$2), 'ProductSprint Backlog'!$F232, TRUE, 0)</f>
        <v>0</v>
      </c>
      <c r="O232" s="4" cm="1">
        <f t="array" ref="O232">_xlfn.IFS('ProductSprint Backlog'!$F232="", "", AND('ProductSprint Backlog'!$J232&gt;O$2,'ProductSprint Backlog'!$I232&lt;=O$2), 'ProductSprint Backlog'!$F232 / MAX(1, 'ProductSprint Backlog'!$J232-'ProductSprint Backlog'!$I232), AND('ProductSprint Backlog'!$J232=O$2,'ProductSprint Backlog'!$I232=O$2), 'ProductSprint Backlog'!$F232, TRUE, 0)</f>
        <v>0</v>
      </c>
      <c r="P232" s="4" cm="1">
        <f t="array" ref="P232">_xlfn.IFS('ProductSprint Backlog'!$F232="", "", AND('ProductSprint Backlog'!$J232&gt;P$2,'ProductSprint Backlog'!$I232&lt;=P$2), 'ProductSprint Backlog'!$F232 / MAX(1, 'ProductSprint Backlog'!$J232-'ProductSprint Backlog'!$I232), AND('ProductSprint Backlog'!$J232=P$2,'ProductSprint Backlog'!$I232=P$2), 'ProductSprint Backlog'!$F232, TRUE, 0)</f>
        <v>0</v>
      </c>
      <c r="Q232" s="4" cm="1">
        <f t="array" ref="Q232">_xlfn.IFS('ProductSprint Backlog'!$F232="", "", AND('ProductSprint Backlog'!$J232&gt;Q$2,'ProductSprint Backlog'!$I232&lt;=Q$2), 'ProductSprint Backlog'!$F232 / MAX(1, 'ProductSprint Backlog'!$J232-'ProductSprint Backlog'!$I232), AND('ProductSprint Backlog'!$J232=Q$2,'ProductSprint Backlog'!$I232=Q$2), 'ProductSprint Backlog'!$F232, TRUE, 0)</f>
        <v>0</v>
      </c>
      <c r="R232" s="4" cm="1">
        <f t="array" ref="R232">_xlfn.IFS('ProductSprint Backlog'!$F232="", "", AND('ProductSprint Backlog'!$J232&gt;R$2,'ProductSprint Backlog'!$I232&lt;=R$2), 'ProductSprint Backlog'!$F232 / MAX(1, 'ProductSprint Backlog'!$J232-'ProductSprint Backlog'!$I232), AND('ProductSprint Backlog'!$J232=R$2,'ProductSprint Backlog'!$I232=R$2), 'ProductSprint Backlog'!$F232, TRUE, 0)</f>
        <v>0</v>
      </c>
      <c r="S232" s="4" cm="1">
        <f t="array" ref="S232">_xlfn.IFS('ProductSprint Backlog'!$F232="", "", AND('ProductSprint Backlog'!$J232&gt;S$2,'ProductSprint Backlog'!$I232&lt;=S$2), 'ProductSprint Backlog'!$F232 / MAX(1, 'ProductSprint Backlog'!$J232-'ProductSprint Backlog'!$I232), AND('ProductSprint Backlog'!$J232=S$2,'ProductSprint Backlog'!$I232=S$2), 'ProductSprint Backlog'!$F232, TRUE, 0)</f>
        <v>0</v>
      </c>
      <c r="T232" s="4" cm="1">
        <f t="array" ref="T232">_xlfn.IFS('ProductSprint Backlog'!$F232="", "", AND('ProductSprint Backlog'!$J232&gt;T$2,'ProductSprint Backlog'!$I232&lt;=T$2), 'ProductSprint Backlog'!$F232 / MAX(1, 'ProductSprint Backlog'!$J232-'ProductSprint Backlog'!$I232), AND('ProductSprint Backlog'!$J232=T$2,'ProductSprint Backlog'!$I232=T$2), 'ProductSprint Backlog'!$F232, TRUE, 0)</f>
        <v>0</v>
      </c>
    </row>
    <row r="233" spans="2:20" x14ac:dyDescent="0.2">
      <c r="B233" s="4" cm="1">
        <f t="array" ref="B233">_xlfn.IFS('ProductSprint Backlog'!$F233="", "", AND('ProductSprint Backlog'!$J233&gt;B$2,'ProductSprint Backlog'!$I233&lt;=B$2), 'ProductSprint Backlog'!$F233 / MAX(1, 'ProductSprint Backlog'!$J233-'ProductSprint Backlog'!$I233), AND('ProductSprint Backlog'!$J233=B$2,'ProductSprint Backlog'!$I233=B$2), 'ProductSprint Backlog'!$F233, TRUE, 0)</f>
        <v>0</v>
      </c>
      <c r="C233" s="4" cm="1">
        <f t="array" ref="C233">_xlfn.IFS('ProductSprint Backlog'!$F233="", "", AND('ProductSprint Backlog'!$J233&gt;C$2,'ProductSprint Backlog'!$I233&lt;=C$2), 'ProductSprint Backlog'!$F233 / MAX(1, 'ProductSprint Backlog'!$J233-'ProductSprint Backlog'!$I233), AND('ProductSprint Backlog'!$J233=C$2,'ProductSprint Backlog'!$I233=C$2), 'ProductSprint Backlog'!$F233, TRUE, 0)</f>
        <v>0</v>
      </c>
      <c r="D233" s="4" cm="1">
        <f t="array" ref="D233">_xlfn.IFS('ProductSprint Backlog'!$F233="", "", AND('ProductSprint Backlog'!$J233&gt;D$2,'ProductSprint Backlog'!$I233&lt;=D$2), 'ProductSprint Backlog'!$F233 / MAX(1, 'ProductSprint Backlog'!$J233-'ProductSprint Backlog'!$I233), AND('ProductSprint Backlog'!$J233=D$2,'ProductSprint Backlog'!$I233=D$2), 'ProductSprint Backlog'!$F233, TRUE, 0)</f>
        <v>0</v>
      </c>
      <c r="E233" s="4" cm="1">
        <f t="array" ref="E233">_xlfn.IFS('ProductSprint Backlog'!$F233="", "", AND('ProductSprint Backlog'!$J233&gt;E$2,'ProductSprint Backlog'!$I233&lt;=E$2), 'ProductSprint Backlog'!$F233 / MAX(1, 'ProductSprint Backlog'!$J233-'ProductSprint Backlog'!$I233), AND('ProductSprint Backlog'!$J233=E$2,'ProductSprint Backlog'!$I233=E$2), 'ProductSprint Backlog'!$F233, TRUE, 0)</f>
        <v>0</v>
      </c>
      <c r="F233" s="4" cm="1">
        <f t="array" ref="F233">_xlfn.IFS('ProductSprint Backlog'!$F233="", "", AND('ProductSprint Backlog'!$J233&gt;F$2,'ProductSprint Backlog'!$I233&lt;=F$2), 'ProductSprint Backlog'!$F233 / MAX(1, 'ProductSprint Backlog'!$J233-'ProductSprint Backlog'!$I233), AND('ProductSprint Backlog'!$J233=F$2,'ProductSprint Backlog'!$I233=F$2), 'ProductSprint Backlog'!$F233, TRUE, 0)</f>
        <v>0</v>
      </c>
      <c r="G233" s="4" cm="1">
        <f t="array" ref="G233">_xlfn.IFS('ProductSprint Backlog'!$F233="", "", AND('ProductSprint Backlog'!$J233&gt;G$2,'ProductSprint Backlog'!$I233&lt;=G$2), 'ProductSprint Backlog'!$F233 / MAX(1, 'ProductSprint Backlog'!$J233-'ProductSprint Backlog'!$I233), AND('ProductSprint Backlog'!$J233=G$2,'ProductSprint Backlog'!$I233=G$2), 'ProductSprint Backlog'!$F233, TRUE, 0)</f>
        <v>0</v>
      </c>
      <c r="H233" s="4" cm="1">
        <f t="array" ref="H233">_xlfn.IFS('ProductSprint Backlog'!$F233="", "", AND('ProductSprint Backlog'!$J233&gt;H$2,'ProductSprint Backlog'!$I233&lt;=H$2), 'ProductSprint Backlog'!$F233 / MAX(1, 'ProductSprint Backlog'!$J233-'ProductSprint Backlog'!$I233), AND('ProductSprint Backlog'!$J233=H$2,'ProductSprint Backlog'!$I233=H$2), 'ProductSprint Backlog'!$F233, TRUE, 0)</f>
        <v>0</v>
      </c>
      <c r="I233" s="4" cm="1">
        <f t="array" ref="I233">_xlfn.IFS('ProductSprint Backlog'!$F233="", "", AND('ProductSprint Backlog'!$J233&gt;I$2,'ProductSprint Backlog'!$I233&lt;=I$2), 'ProductSprint Backlog'!$F233 / MAX(1, 'ProductSprint Backlog'!$J233-'ProductSprint Backlog'!$I233), AND('ProductSprint Backlog'!$J233=I$2,'ProductSprint Backlog'!$I233=I$2), 'ProductSprint Backlog'!$F233, TRUE, 0)</f>
        <v>0</v>
      </c>
      <c r="J233" s="4" cm="1">
        <f t="array" ref="J233">_xlfn.IFS('ProductSprint Backlog'!$F233="", "", AND('ProductSprint Backlog'!$J233&gt;J$2,'ProductSprint Backlog'!$I233&lt;=J$2), 'ProductSprint Backlog'!$F233 / MAX(1, 'ProductSprint Backlog'!$J233-'ProductSprint Backlog'!$I233), AND('ProductSprint Backlog'!$J233=J$2,'ProductSprint Backlog'!$I233=J$2), 'ProductSprint Backlog'!$F233, TRUE, 0)</f>
        <v>0</v>
      </c>
      <c r="K233" s="4" cm="1">
        <f t="array" ref="K233">_xlfn.IFS('ProductSprint Backlog'!$F233="", "", AND('ProductSprint Backlog'!$J233&gt;K$2,'ProductSprint Backlog'!$I233&lt;=K$2), 'ProductSprint Backlog'!$F233 / MAX(1, 'ProductSprint Backlog'!$J233-'ProductSprint Backlog'!$I233), AND('ProductSprint Backlog'!$J233=K$2,'ProductSprint Backlog'!$I233=K$2), 'ProductSprint Backlog'!$F233, TRUE, 0)</f>
        <v>0</v>
      </c>
      <c r="L233" s="4" cm="1">
        <f t="array" ref="L233">_xlfn.IFS('ProductSprint Backlog'!$F233="", "", AND('ProductSprint Backlog'!$J233&gt;L$2,'ProductSprint Backlog'!$I233&lt;=L$2), 'ProductSprint Backlog'!$F233 / MAX(1, 'ProductSprint Backlog'!$J233-'ProductSprint Backlog'!$I233), AND('ProductSprint Backlog'!$J233=L$2,'ProductSprint Backlog'!$I233=L$2), 'ProductSprint Backlog'!$F233, TRUE, 0)</f>
        <v>0</v>
      </c>
      <c r="M233" s="4" cm="1">
        <f t="array" ref="M233">_xlfn.IFS('ProductSprint Backlog'!$F233="", "", AND('ProductSprint Backlog'!$J233&gt;M$2,'ProductSprint Backlog'!$I233&lt;=M$2), 'ProductSprint Backlog'!$F233 / MAX(1, 'ProductSprint Backlog'!$J233-'ProductSprint Backlog'!$I233), AND('ProductSprint Backlog'!$J233=M$2,'ProductSprint Backlog'!$I233=M$2), 'ProductSprint Backlog'!$F233, TRUE, 0)</f>
        <v>0</v>
      </c>
      <c r="N233" s="4" cm="1">
        <f t="array" ref="N233">_xlfn.IFS('ProductSprint Backlog'!$F233="", "", AND('ProductSprint Backlog'!$J233&gt;N$2,'ProductSprint Backlog'!$I233&lt;=N$2), 'ProductSprint Backlog'!$F233 / MAX(1, 'ProductSprint Backlog'!$J233-'ProductSprint Backlog'!$I233), AND('ProductSprint Backlog'!$J233=N$2,'ProductSprint Backlog'!$I233=N$2), 'ProductSprint Backlog'!$F233, TRUE, 0)</f>
        <v>0</v>
      </c>
      <c r="O233" s="4" cm="1">
        <f t="array" ref="O233">_xlfn.IFS('ProductSprint Backlog'!$F233="", "", AND('ProductSprint Backlog'!$J233&gt;O$2,'ProductSprint Backlog'!$I233&lt;=O$2), 'ProductSprint Backlog'!$F233 / MAX(1, 'ProductSprint Backlog'!$J233-'ProductSprint Backlog'!$I233), AND('ProductSprint Backlog'!$J233=O$2,'ProductSprint Backlog'!$I233=O$2), 'ProductSprint Backlog'!$F233, TRUE, 0)</f>
        <v>0</v>
      </c>
      <c r="P233" s="4" cm="1">
        <f t="array" ref="P233">_xlfn.IFS('ProductSprint Backlog'!$F233="", "", AND('ProductSprint Backlog'!$J233&gt;P$2,'ProductSprint Backlog'!$I233&lt;=P$2), 'ProductSprint Backlog'!$F233 / MAX(1, 'ProductSprint Backlog'!$J233-'ProductSprint Backlog'!$I233), AND('ProductSprint Backlog'!$J233=P$2,'ProductSprint Backlog'!$I233=P$2), 'ProductSprint Backlog'!$F233, TRUE, 0)</f>
        <v>0</v>
      </c>
      <c r="Q233" s="4" cm="1">
        <f t="array" ref="Q233">_xlfn.IFS('ProductSprint Backlog'!$F233="", "", AND('ProductSprint Backlog'!$J233&gt;Q$2,'ProductSprint Backlog'!$I233&lt;=Q$2), 'ProductSprint Backlog'!$F233 / MAX(1, 'ProductSprint Backlog'!$J233-'ProductSprint Backlog'!$I233), AND('ProductSprint Backlog'!$J233=Q$2,'ProductSprint Backlog'!$I233=Q$2), 'ProductSprint Backlog'!$F233, TRUE, 0)</f>
        <v>0</v>
      </c>
      <c r="R233" s="4" cm="1">
        <f t="array" ref="R233">_xlfn.IFS('ProductSprint Backlog'!$F233="", "", AND('ProductSprint Backlog'!$J233&gt;R$2,'ProductSprint Backlog'!$I233&lt;=R$2), 'ProductSprint Backlog'!$F233 / MAX(1, 'ProductSprint Backlog'!$J233-'ProductSprint Backlog'!$I233), AND('ProductSprint Backlog'!$J233=R$2,'ProductSprint Backlog'!$I233=R$2), 'ProductSprint Backlog'!$F233, TRUE, 0)</f>
        <v>0</v>
      </c>
      <c r="S233" s="4" cm="1">
        <f t="array" ref="S233">_xlfn.IFS('ProductSprint Backlog'!$F233="", "", AND('ProductSprint Backlog'!$J233&gt;S$2,'ProductSprint Backlog'!$I233&lt;=S$2), 'ProductSprint Backlog'!$F233 / MAX(1, 'ProductSprint Backlog'!$J233-'ProductSprint Backlog'!$I233), AND('ProductSprint Backlog'!$J233=S$2,'ProductSprint Backlog'!$I233=S$2), 'ProductSprint Backlog'!$F233, TRUE, 0)</f>
        <v>0</v>
      </c>
      <c r="T233" s="4" cm="1">
        <f t="array" ref="T233">_xlfn.IFS('ProductSprint Backlog'!$F233="", "", AND('ProductSprint Backlog'!$J233&gt;T$2,'ProductSprint Backlog'!$I233&lt;=T$2), 'ProductSprint Backlog'!$F233 / MAX(1, 'ProductSprint Backlog'!$J233-'ProductSprint Backlog'!$I233), AND('ProductSprint Backlog'!$J233=T$2,'ProductSprint Backlog'!$I233=T$2), 'ProductSprint Backlog'!$F233, TRUE, 0)</f>
        <v>0</v>
      </c>
    </row>
    <row r="234" spans="2:20" x14ac:dyDescent="0.2">
      <c r="B234" s="4" cm="1">
        <f t="array" ref="B234">_xlfn.IFS('ProductSprint Backlog'!$F234="", "", AND('ProductSprint Backlog'!$J234&gt;B$2,'ProductSprint Backlog'!$I234&lt;=B$2), 'ProductSprint Backlog'!$F234 / MAX(1, 'ProductSprint Backlog'!$J234-'ProductSprint Backlog'!$I234), AND('ProductSprint Backlog'!$J234=B$2,'ProductSprint Backlog'!$I234=B$2), 'ProductSprint Backlog'!$F234, TRUE, 0)</f>
        <v>0</v>
      </c>
      <c r="C234" s="4" cm="1">
        <f t="array" ref="C234">_xlfn.IFS('ProductSprint Backlog'!$F234="", "", AND('ProductSprint Backlog'!$J234&gt;C$2,'ProductSprint Backlog'!$I234&lt;=C$2), 'ProductSprint Backlog'!$F234 / MAX(1, 'ProductSprint Backlog'!$J234-'ProductSprint Backlog'!$I234), AND('ProductSprint Backlog'!$J234=C$2,'ProductSprint Backlog'!$I234=C$2), 'ProductSprint Backlog'!$F234, TRUE, 0)</f>
        <v>0</v>
      </c>
      <c r="D234" s="4" cm="1">
        <f t="array" ref="D234">_xlfn.IFS('ProductSprint Backlog'!$F234="", "", AND('ProductSprint Backlog'!$J234&gt;D$2,'ProductSprint Backlog'!$I234&lt;=D$2), 'ProductSprint Backlog'!$F234 / MAX(1, 'ProductSprint Backlog'!$J234-'ProductSprint Backlog'!$I234), AND('ProductSprint Backlog'!$J234=D$2,'ProductSprint Backlog'!$I234=D$2), 'ProductSprint Backlog'!$F234, TRUE, 0)</f>
        <v>0</v>
      </c>
      <c r="E234" s="4" cm="1">
        <f t="array" ref="E234">_xlfn.IFS('ProductSprint Backlog'!$F234="", "", AND('ProductSprint Backlog'!$J234&gt;E$2,'ProductSprint Backlog'!$I234&lt;=E$2), 'ProductSprint Backlog'!$F234 / MAX(1, 'ProductSprint Backlog'!$J234-'ProductSprint Backlog'!$I234), AND('ProductSprint Backlog'!$J234=E$2,'ProductSprint Backlog'!$I234=E$2), 'ProductSprint Backlog'!$F234, TRUE, 0)</f>
        <v>0</v>
      </c>
      <c r="F234" s="4" cm="1">
        <f t="array" ref="F234">_xlfn.IFS('ProductSprint Backlog'!$F234="", "", AND('ProductSprint Backlog'!$J234&gt;F$2,'ProductSprint Backlog'!$I234&lt;=F$2), 'ProductSprint Backlog'!$F234 / MAX(1, 'ProductSprint Backlog'!$J234-'ProductSprint Backlog'!$I234), AND('ProductSprint Backlog'!$J234=F$2,'ProductSprint Backlog'!$I234=F$2), 'ProductSprint Backlog'!$F234, TRUE, 0)</f>
        <v>0</v>
      </c>
      <c r="G234" s="4" cm="1">
        <f t="array" ref="G234">_xlfn.IFS('ProductSprint Backlog'!$F234="", "", AND('ProductSprint Backlog'!$J234&gt;G$2,'ProductSprint Backlog'!$I234&lt;=G$2), 'ProductSprint Backlog'!$F234 / MAX(1, 'ProductSprint Backlog'!$J234-'ProductSprint Backlog'!$I234), AND('ProductSprint Backlog'!$J234=G$2,'ProductSprint Backlog'!$I234=G$2), 'ProductSprint Backlog'!$F234, TRUE, 0)</f>
        <v>0</v>
      </c>
      <c r="H234" s="4" cm="1">
        <f t="array" ref="H234">_xlfn.IFS('ProductSprint Backlog'!$F234="", "", AND('ProductSprint Backlog'!$J234&gt;H$2,'ProductSprint Backlog'!$I234&lt;=H$2), 'ProductSprint Backlog'!$F234 / MAX(1, 'ProductSprint Backlog'!$J234-'ProductSprint Backlog'!$I234), AND('ProductSprint Backlog'!$J234=H$2,'ProductSprint Backlog'!$I234=H$2), 'ProductSprint Backlog'!$F234, TRUE, 0)</f>
        <v>0</v>
      </c>
      <c r="I234" s="4" cm="1">
        <f t="array" ref="I234">_xlfn.IFS('ProductSprint Backlog'!$F234="", "", AND('ProductSprint Backlog'!$J234&gt;I$2,'ProductSprint Backlog'!$I234&lt;=I$2), 'ProductSprint Backlog'!$F234 / MAX(1, 'ProductSprint Backlog'!$J234-'ProductSprint Backlog'!$I234), AND('ProductSprint Backlog'!$J234=I$2,'ProductSprint Backlog'!$I234=I$2), 'ProductSprint Backlog'!$F234, TRUE, 0)</f>
        <v>0</v>
      </c>
      <c r="J234" s="4" cm="1">
        <f t="array" ref="J234">_xlfn.IFS('ProductSprint Backlog'!$F234="", "", AND('ProductSprint Backlog'!$J234&gt;J$2,'ProductSprint Backlog'!$I234&lt;=J$2), 'ProductSprint Backlog'!$F234 / MAX(1, 'ProductSprint Backlog'!$J234-'ProductSprint Backlog'!$I234), AND('ProductSprint Backlog'!$J234=J$2,'ProductSprint Backlog'!$I234=J$2), 'ProductSprint Backlog'!$F234, TRUE, 0)</f>
        <v>0</v>
      </c>
      <c r="K234" s="4" cm="1">
        <f t="array" ref="K234">_xlfn.IFS('ProductSprint Backlog'!$F234="", "", AND('ProductSprint Backlog'!$J234&gt;K$2,'ProductSprint Backlog'!$I234&lt;=K$2), 'ProductSprint Backlog'!$F234 / MAX(1, 'ProductSprint Backlog'!$J234-'ProductSprint Backlog'!$I234), AND('ProductSprint Backlog'!$J234=K$2,'ProductSprint Backlog'!$I234=K$2), 'ProductSprint Backlog'!$F234, TRUE, 0)</f>
        <v>0</v>
      </c>
      <c r="L234" s="4" cm="1">
        <f t="array" ref="L234">_xlfn.IFS('ProductSprint Backlog'!$F234="", "", AND('ProductSprint Backlog'!$J234&gt;L$2,'ProductSprint Backlog'!$I234&lt;=L$2), 'ProductSprint Backlog'!$F234 / MAX(1, 'ProductSprint Backlog'!$J234-'ProductSprint Backlog'!$I234), AND('ProductSprint Backlog'!$J234=L$2,'ProductSprint Backlog'!$I234=L$2), 'ProductSprint Backlog'!$F234, TRUE, 0)</f>
        <v>0</v>
      </c>
      <c r="M234" s="4" cm="1">
        <f t="array" ref="M234">_xlfn.IFS('ProductSprint Backlog'!$F234="", "", AND('ProductSprint Backlog'!$J234&gt;M$2,'ProductSprint Backlog'!$I234&lt;=M$2), 'ProductSprint Backlog'!$F234 / MAX(1, 'ProductSprint Backlog'!$J234-'ProductSprint Backlog'!$I234), AND('ProductSprint Backlog'!$J234=M$2,'ProductSprint Backlog'!$I234=M$2), 'ProductSprint Backlog'!$F234, TRUE, 0)</f>
        <v>0</v>
      </c>
      <c r="N234" s="4" cm="1">
        <f t="array" ref="N234">_xlfn.IFS('ProductSprint Backlog'!$F234="", "", AND('ProductSprint Backlog'!$J234&gt;N$2,'ProductSprint Backlog'!$I234&lt;=N$2), 'ProductSprint Backlog'!$F234 / MAX(1, 'ProductSprint Backlog'!$J234-'ProductSprint Backlog'!$I234), AND('ProductSprint Backlog'!$J234=N$2,'ProductSprint Backlog'!$I234=N$2), 'ProductSprint Backlog'!$F234, TRUE, 0)</f>
        <v>0</v>
      </c>
      <c r="O234" s="4" cm="1">
        <f t="array" ref="O234">_xlfn.IFS('ProductSprint Backlog'!$F234="", "", AND('ProductSprint Backlog'!$J234&gt;O$2,'ProductSprint Backlog'!$I234&lt;=O$2), 'ProductSprint Backlog'!$F234 / MAX(1, 'ProductSprint Backlog'!$J234-'ProductSprint Backlog'!$I234), AND('ProductSprint Backlog'!$J234=O$2,'ProductSprint Backlog'!$I234=O$2), 'ProductSprint Backlog'!$F234, TRUE, 0)</f>
        <v>0</v>
      </c>
      <c r="P234" s="4" cm="1">
        <f t="array" ref="P234">_xlfn.IFS('ProductSprint Backlog'!$F234="", "", AND('ProductSprint Backlog'!$J234&gt;P$2,'ProductSprint Backlog'!$I234&lt;=P$2), 'ProductSprint Backlog'!$F234 / MAX(1, 'ProductSprint Backlog'!$J234-'ProductSprint Backlog'!$I234), AND('ProductSprint Backlog'!$J234=P$2,'ProductSprint Backlog'!$I234=P$2), 'ProductSprint Backlog'!$F234, TRUE, 0)</f>
        <v>0</v>
      </c>
      <c r="Q234" s="4" cm="1">
        <f t="array" ref="Q234">_xlfn.IFS('ProductSprint Backlog'!$F234="", "", AND('ProductSprint Backlog'!$J234&gt;Q$2,'ProductSprint Backlog'!$I234&lt;=Q$2), 'ProductSprint Backlog'!$F234 / MAX(1, 'ProductSprint Backlog'!$J234-'ProductSprint Backlog'!$I234), AND('ProductSprint Backlog'!$J234=Q$2,'ProductSprint Backlog'!$I234=Q$2), 'ProductSprint Backlog'!$F234, TRUE, 0)</f>
        <v>0</v>
      </c>
      <c r="R234" s="4" cm="1">
        <f t="array" ref="R234">_xlfn.IFS('ProductSprint Backlog'!$F234="", "", AND('ProductSprint Backlog'!$J234&gt;R$2,'ProductSprint Backlog'!$I234&lt;=R$2), 'ProductSprint Backlog'!$F234 / MAX(1, 'ProductSprint Backlog'!$J234-'ProductSprint Backlog'!$I234), AND('ProductSprint Backlog'!$J234=R$2,'ProductSprint Backlog'!$I234=R$2), 'ProductSprint Backlog'!$F234, TRUE, 0)</f>
        <v>0</v>
      </c>
      <c r="S234" s="4" cm="1">
        <f t="array" ref="S234">_xlfn.IFS('ProductSprint Backlog'!$F234="", "", AND('ProductSprint Backlog'!$J234&gt;S$2,'ProductSprint Backlog'!$I234&lt;=S$2), 'ProductSprint Backlog'!$F234 / MAX(1, 'ProductSprint Backlog'!$J234-'ProductSprint Backlog'!$I234), AND('ProductSprint Backlog'!$J234=S$2,'ProductSprint Backlog'!$I234=S$2), 'ProductSprint Backlog'!$F234, TRUE, 0)</f>
        <v>0</v>
      </c>
      <c r="T234" s="4" cm="1">
        <f t="array" ref="T234">_xlfn.IFS('ProductSprint Backlog'!$F234="", "", AND('ProductSprint Backlog'!$J234&gt;T$2,'ProductSprint Backlog'!$I234&lt;=T$2), 'ProductSprint Backlog'!$F234 / MAX(1, 'ProductSprint Backlog'!$J234-'ProductSprint Backlog'!$I234), AND('ProductSprint Backlog'!$J234=T$2,'ProductSprint Backlog'!$I234=T$2), 'ProductSprint Backlog'!$F234, TRUE, 0)</f>
        <v>0</v>
      </c>
    </row>
    <row r="235" spans="2:20" x14ac:dyDescent="0.2">
      <c r="B235" s="4" cm="1">
        <f t="array" ref="B235">_xlfn.IFS('ProductSprint Backlog'!$F235="", "", AND('ProductSprint Backlog'!$J235&gt;B$2,'ProductSprint Backlog'!$I235&lt;=B$2), 'ProductSprint Backlog'!$F235 / MAX(1, 'ProductSprint Backlog'!$J235-'ProductSprint Backlog'!$I235), AND('ProductSprint Backlog'!$J235=B$2,'ProductSprint Backlog'!$I235=B$2), 'ProductSprint Backlog'!$F235, TRUE, 0)</f>
        <v>0</v>
      </c>
      <c r="C235" s="4" cm="1">
        <f t="array" ref="C235">_xlfn.IFS('ProductSprint Backlog'!$F235="", "", AND('ProductSprint Backlog'!$J235&gt;C$2,'ProductSprint Backlog'!$I235&lt;=C$2), 'ProductSprint Backlog'!$F235 / MAX(1, 'ProductSprint Backlog'!$J235-'ProductSprint Backlog'!$I235), AND('ProductSprint Backlog'!$J235=C$2,'ProductSprint Backlog'!$I235=C$2), 'ProductSprint Backlog'!$F235, TRUE, 0)</f>
        <v>0</v>
      </c>
      <c r="D235" s="4" cm="1">
        <f t="array" ref="D235">_xlfn.IFS('ProductSprint Backlog'!$F235="", "", AND('ProductSprint Backlog'!$J235&gt;D$2,'ProductSprint Backlog'!$I235&lt;=D$2), 'ProductSprint Backlog'!$F235 / MAX(1, 'ProductSprint Backlog'!$J235-'ProductSprint Backlog'!$I235), AND('ProductSprint Backlog'!$J235=D$2,'ProductSprint Backlog'!$I235=D$2), 'ProductSprint Backlog'!$F235, TRUE, 0)</f>
        <v>0</v>
      </c>
      <c r="E235" s="4" cm="1">
        <f t="array" ref="E235">_xlfn.IFS('ProductSprint Backlog'!$F235="", "", AND('ProductSprint Backlog'!$J235&gt;E$2,'ProductSprint Backlog'!$I235&lt;=E$2), 'ProductSprint Backlog'!$F235 / MAX(1, 'ProductSprint Backlog'!$J235-'ProductSprint Backlog'!$I235), AND('ProductSprint Backlog'!$J235=E$2,'ProductSprint Backlog'!$I235=E$2), 'ProductSprint Backlog'!$F235, TRUE, 0)</f>
        <v>0</v>
      </c>
      <c r="F235" s="4" cm="1">
        <f t="array" ref="F235">_xlfn.IFS('ProductSprint Backlog'!$F235="", "", AND('ProductSprint Backlog'!$J235&gt;F$2,'ProductSprint Backlog'!$I235&lt;=F$2), 'ProductSprint Backlog'!$F235 / MAX(1, 'ProductSprint Backlog'!$J235-'ProductSprint Backlog'!$I235), AND('ProductSprint Backlog'!$J235=F$2,'ProductSprint Backlog'!$I235=F$2), 'ProductSprint Backlog'!$F235, TRUE, 0)</f>
        <v>0</v>
      </c>
      <c r="G235" s="4" cm="1">
        <f t="array" ref="G235">_xlfn.IFS('ProductSprint Backlog'!$F235="", "", AND('ProductSprint Backlog'!$J235&gt;G$2,'ProductSprint Backlog'!$I235&lt;=G$2), 'ProductSprint Backlog'!$F235 / MAX(1, 'ProductSprint Backlog'!$J235-'ProductSprint Backlog'!$I235), AND('ProductSprint Backlog'!$J235=G$2,'ProductSprint Backlog'!$I235=G$2), 'ProductSprint Backlog'!$F235, TRUE, 0)</f>
        <v>0</v>
      </c>
      <c r="H235" s="4" cm="1">
        <f t="array" ref="H235">_xlfn.IFS('ProductSprint Backlog'!$F235="", "", AND('ProductSprint Backlog'!$J235&gt;H$2,'ProductSprint Backlog'!$I235&lt;=H$2), 'ProductSprint Backlog'!$F235 / MAX(1, 'ProductSprint Backlog'!$J235-'ProductSprint Backlog'!$I235), AND('ProductSprint Backlog'!$J235=H$2,'ProductSprint Backlog'!$I235=H$2), 'ProductSprint Backlog'!$F235, TRUE, 0)</f>
        <v>0</v>
      </c>
      <c r="I235" s="4" cm="1">
        <f t="array" ref="I235">_xlfn.IFS('ProductSprint Backlog'!$F235="", "", AND('ProductSprint Backlog'!$J235&gt;I$2,'ProductSprint Backlog'!$I235&lt;=I$2), 'ProductSprint Backlog'!$F235 / MAX(1, 'ProductSprint Backlog'!$J235-'ProductSprint Backlog'!$I235), AND('ProductSprint Backlog'!$J235=I$2,'ProductSprint Backlog'!$I235=I$2), 'ProductSprint Backlog'!$F235, TRUE, 0)</f>
        <v>0</v>
      </c>
      <c r="J235" s="4" cm="1">
        <f t="array" ref="J235">_xlfn.IFS('ProductSprint Backlog'!$F235="", "", AND('ProductSprint Backlog'!$J235&gt;J$2,'ProductSprint Backlog'!$I235&lt;=J$2), 'ProductSprint Backlog'!$F235 / MAX(1, 'ProductSprint Backlog'!$J235-'ProductSprint Backlog'!$I235), AND('ProductSprint Backlog'!$J235=J$2,'ProductSprint Backlog'!$I235=J$2), 'ProductSprint Backlog'!$F235, TRUE, 0)</f>
        <v>0</v>
      </c>
      <c r="K235" s="4" cm="1">
        <f t="array" ref="K235">_xlfn.IFS('ProductSprint Backlog'!$F235="", "", AND('ProductSprint Backlog'!$J235&gt;K$2,'ProductSprint Backlog'!$I235&lt;=K$2), 'ProductSprint Backlog'!$F235 / MAX(1, 'ProductSprint Backlog'!$J235-'ProductSprint Backlog'!$I235), AND('ProductSprint Backlog'!$J235=K$2,'ProductSprint Backlog'!$I235=K$2), 'ProductSprint Backlog'!$F235, TRUE, 0)</f>
        <v>0</v>
      </c>
      <c r="L235" s="4" cm="1">
        <f t="array" ref="L235">_xlfn.IFS('ProductSprint Backlog'!$F235="", "", AND('ProductSprint Backlog'!$J235&gt;L$2,'ProductSprint Backlog'!$I235&lt;=L$2), 'ProductSprint Backlog'!$F235 / MAX(1, 'ProductSprint Backlog'!$J235-'ProductSprint Backlog'!$I235), AND('ProductSprint Backlog'!$J235=L$2,'ProductSprint Backlog'!$I235=L$2), 'ProductSprint Backlog'!$F235, TRUE, 0)</f>
        <v>0</v>
      </c>
      <c r="M235" s="4" cm="1">
        <f t="array" ref="M235">_xlfn.IFS('ProductSprint Backlog'!$F235="", "", AND('ProductSprint Backlog'!$J235&gt;M$2,'ProductSprint Backlog'!$I235&lt;=M$2), 'ProductSprint Backlog'!$F235 / MAX(1, 'ProductSprint Backlog'!$J235-'ProductSprint Backlog'!$I235), AND('ProductSprint Backlog'!$J235=M$2,'ProductSprint Backlog'!$I235=M$2), 'ProductSprint Backlog'!$F235, TRUE, 0)</f>
        <v>0</v>
      </c>
      <c r="N235" s="4" cm="1">
        <f t="array" ref="N235">_xlfn.IFS('ProductSprint Backlog'!$F235="", "", AND('ProductSprint Backlog'!$J235&gt;N$2,'ProductSprint Backlog'!$I235&lt;=N$2), 'ProductSprint Backlog'!$F235 / MAX(1, 'ProductSprint Backlog'!$J235-'ProductSprint Backlog'!$I235), AND('ProductSprint Backlog'!$J235=N$2,'ProductSprint Backlog'!$I235=N$2), 'ProductSprint Backlog'!$F235, TRUE, 0)</f>
        <v>0</v>
      </c>
      <c r="O235" s="4" cm="1">
        <f t="array" ref="O235">_xlfn.IFS('ProductSprint Backlog'!$F235="", "", AND('ProductSprint Backlog'!$J235&gt;O$2,'ProductSprint Backlog'!$I235&lt;=O$2), 'ProductSprint Backlog'!$F235 / MAX(1, 'ProductSprint Backlog'!$J235-'ProductSprint Backlog'!$I235), AND('ProductSprint Backlog'!$J235=O$2,'ProductSprint Backlog'!$I235=O$2), 'ProductSprint Backlog'!$F235, TRUE, 0)</f>
        <v>0</v>
      </c>
      <c r="P235" s="4" cm="1">
        <f t="array" ref="P235">_xlfn.IFS('ProductSprint Backlog'!$F235="", "", AND('ProductSprint Backlog'!$J235&gt;P$2,'ProductSprint Backlog'!$I235&lt;=P$2), 'ProductSprint Backlog'!$F235 / MAX(1, 'ProductSprint Backlog'!$J235-'ProductSprint Backlog'!$I235), AND('ProductSprint Backlog'!$J235=P$2,'ProductSprint Backlog'!$I235=P$2), 'ProductSprint Backlog'!$F235, TRUE, 0)</f>
        <v>0</v>
      </c>
      <c r="Q235" s="4" cm="1">
        <f t="array" ref="Q235">_xlfn.IFS('ProductSprint Backlog'!$F235="", "", AND('ProductSprint Backlog'!$J235&gt;Q$2,'ProductSprint Backlog'!$I235&lt;=Q$2), 'ProductSprint Backlog'!$F235 / MAX(1, 'ProductSprint Backlog'!$J235-'ProductSprint Backlog'!$I235), AND('ProductSprint Backlog'!$J235=Q$2,'ProductSprint Backlog'!$I235=Q$2), 'ProductSprint Backlog'!$F235, TRUE, 0)</f>
        <v>0</v>
      </c>
      <c r="R235" s="4" cm="1">
        <f t="array" ref="R235">_xlfn.IFS('ProductSprint Backlog'!$F235="", "", AND('ProductSprint Backlog'!$J235&gt;R$2,'ProductSprint Backlog'!$I235&lt;=R$2), 'ProductSprint Backlog'!$F235 / MAX(1, 'ProductSprint Backlog'!$J235-'ProductSprint Backlog'!$I235), AND('ProductSprint Backlog'!$J235=R$2,'ProductSprint Backlog'!$I235=R$2), 'ProductSprint Backlog'!$F235, TRUE, 0)</f>
        <v>0</v>
      </c>
      <c r="S235" s="4" cm="1">
        <f t="array" ref="S235">_xlfn.IFS('ProductSprint Backlog'!$F235="", "", AND('ProductSprint Backlog'!$J235&gt;S$2,'ProductSprint Backlog'!$I235&lt;=S$2), 'ProductSprint Backlog'!$F235 / MAX(1, 'ProductSprint Backlog'!$J235-'ProductSprint Backlog'!$I235), AND('ProductSprint Backlog'!$J235=S$2,'ProductSprint Backlog'!$I235=S$2), 'ProductSprint Backlog'!$F235, TRUE, 0)</f>
        <v>0</v>
      </c>
      <c r="T235" s="4" cm="1">
        <f t="array" ref="T235">_xlfn.IFS('ProductSprint Backlog'!$F235="", "", AND('ProductSprint Backlog'!$J235&gt;T$2,'ProductSprint Backlog'!$I235&lt;=T$2), 'ProductSprint Backlog'!$F235 / MAX(1, 'ProductSprint Backlog'!$J235-'ProductSprint Backlog'!$I235), AND('ProductSprint Backlog'!$J235=T$2,'ProductSprint Backlog'!$I235=T$2), 'ProductSprint Backlog'!$F235, TRUE, 0)</f>
        <v>0</v>
      </c>
    </row>
    <row r="236" spans="2:20" x14ac:dyDescent="0.2">
      <c r="B236" s="4" cm="1">
        <f t="array" ref="B236">_xlfn.IFS('ProductSprint Backlog'!$F236="", "", AND('ProductSprint Backlog'!$J236&gt;B$2,'ProductSprint Backlog'!$I236&lt;=B$2), 'ProductSprint Backlog'!$F236 / MAX(1, 'ProductSprint Backlog'!$J236-'ProductSprint Backlog'!$I236), AND('ProductSprint Backlog'!$J236=B$2,'ProductSprint Backlog'!$I236=B$2), 'ProductSprint Backlog'!$F236, TRUE, 0)</f>
        <v>0</v>
      </c>
      <c r="C236" s="4" cm="1">
        <f t="array" ref="C236">_xlfn.IFS('ProductSprint Backlog'!$F236="", "", AND('ProductSprint Backlog'!$J236&gt;C$2,'ProductSprint Backlog'!$I236&lt;=C$2), 'ProductSprint Backlog'!$F236 / MAX(1, 'ProductSprint Backlog'!$J236-'ProductSprint Backlog'!$I236), AND('ProductSprint Backlog'!$J236=C$2,'ProductSprint Backlog'!$I236=C$2), 'ProductSprint Backlog'!$F236, TRUE, 0)</f>
        <v>0</v>
      </c>
      <c r="D236" s="4" cm="1">
        <f t="array" ref="D236">_xlfn.IFS('ProductSprint Backlog'!$F236="", "", AND('ProductSprint Backlog'!$J236&gt;D$2,'ProductSprint Backlog'!$I236&lt;=D$2), 'ProductSprint Backlog'!$F236 / MAX(1, 'ProductSprint Backlog'!$J236-'ProductSprint Backlog'!$I236), AND('ProductSprint Backlog'!$J236=D$2,'ProductSprint Backlog'!$I236=D$2), 'ProductSprint Backlog'!$F236, TRUE, 0)</f>
        <v>0</v>
      </c>
      <c r="E236" s="4" cm="1">
        <f t="array" ref="E236">_xlfn.IFS('ProductSprint Backlog'!$F236="", "", AND('ProductSprint Backlog'!$J236&gt;E$2,'ProductSprint Backlog'!$I236&lt;=E$2), 'ProductSprint Backlog'!$F236 / MAX(1, 'ProductSprint Backlog'!$J236-'ProductSprint Backlog'!$I236), AND('ProductSprint Backlog'!$J236=E$2,'ProductSprint Backlog'!$I236=E$2), 'ProductSprint Backlog'!$F236, TRUE, 0)</f>
        <v>0</v>
      </c>
      <c r="F236" s="4" cm="1">
        <f t="array" ref="F236">_xlfn.IFS('ProductSprint Backlog'!$F236="", "", AND('ProductSprint Backlog'!$J236&gt;F$2,'ProductSprint Backlog'!$I236&lt;=F$2), 'ProductSprint Backlog'!$F236 / MAX(1, 'ProductSprint Backlog'!$J236-'ProductSprint Backlog'!$I236), AND('ProductSprint Backlog'!$J236=F$2,'ProductSprint Backlog'!$I236=F$2), 'ProductSprint Backlog'!$F236, TRUE, 0)</f>
        <v>0</v>
      </c>
      <c r="G236" s="4" cm="1">
        <f t="array" ref="G236">_xlfn.IFS('ProductSprint Backlog'!$F236="", "", AND('ProductSprint Backlog'!$J236&gt;G$2,'ProductSprint Backlog'!$I236&lt;=G$2), 'ProductSprint Backlog'!$F236 / MAX(1, 'ProductSprint Backlog'!$J236-'ProductSprint Backlog'!$I236), AND('ProductSprint Backlog'!$J236=G$2,'ProductSprint Backlog'!$I236=G$2), 'ProductSprint Backlog'!$F236, TRUE, 0)</f>
        <v>0</v>
      </c>
      <c r="H236" s="4" cm="1">
        <f t="array" ref="H236">_xlfn.IFS('ProductSprint Backlog'!$F236="", "", AND('ProductSprint Backlog'!$J236&gt;H$2,'ProductSprint Backlog'!$I236&lt;=H$2), 'ProductSprint Backlog'!$F236 / MAX(1, 'ProductSprint Backlog'!$J236-'ProductSprint Backlog'!$I236), AND('ProductSprint Backlog'!$J236=H$2,'ProductSprint Backlog'!$I236=H$2), 'ProductSprint Backlog'!$F236, TRUE, 0)</f>
        <v>0</v>
      </c>
      <c r="I236" s="4" cm="1">
        <f t="array" ref="I236">_xlfn.IFS('ProductSprint Backlog'!$F236="", "", AND('ProductSprint Backlog'!$J236&gt;I$2,'ProductSprint Backlog'!$I236&lt;=I$2), 'ProductSprint Backlog'!$F236 / MAX(1, 'ProductSprint Backlog'!$J236-'ProductSprint Backlog'!$I236), AND('ProductSprint Backlog'!$J236=I$2,'ProductSprint Backlog'!$I236=I$2), 'ProductSprint Backlog'!$F236, TRUE, 0)</f>
        <v>0</v>
      </c>
      <c r="J236" s="4" cm="1">
        <f t="array" ref="J236">_xlfn.IFS('ProductSprint Backlog'!$F236="", "", AND('ProductSprint Backlog'!$J236&gt;J$2,'ProductSprint Backlog'!$I236&lt;=J$2), 'ProductSprint Backlog'!$F236 / MAX(1, 'ProductSprint Backlog'!$J236-'ProductSprint Backlog'!$I236), AND('ProductSprint Backlog'!$J236=J$2,'ProductSprint Backlog'!$I236=J$2), 'ProductSprint Backlog'!$F236, TRUE, 0)</f>
        <v>0</v>
      </c>
      <c r="K236" s="4" cm="1">
        <f t="array" ref="K236">_xlfn.IFS('ProductSprint Backlog'!$F236="", "", AND('ProductSprint Backlog'!$J236&gt;K$2,'ProductSprint Backlog'!$I236&lt;=K$2), 'ProductSprint Backlog'!$F236 / MAX(1, 'ProductSprint Backlog'!$J236-'ProductSprint Backlog'!$I236), AND('ProductSprint Backlog'!$J236=K$2,'ProductSprint Backlog'!$I236=K$2), 'ProductSprint Backlog'!$F236, TRUE, 0)</f>
        <v>0</v>
      </c>
      <c r="L236" s="4" cm="1">
        <f t="array" ref="L236">_xlfn.IFS('ProductSprint Backlog'!$F236="", "", AND('ProductSprint Backlog'!$J236&gt;L$2,'ProductSprint Backlog'!$I236&lt;=L$2), 'ProductSprint Backlog'!$F236 / MAX(1, 'ProductSprint Backlog'!$J236-'ProductSprint Backlog'!$I236), AND('ProductSprint Backlog'!$J236=L$2,'ProductSprint Backlog'!$I236=L$2), 'ProductSprint Backlog'!$F236, TRUE, 0)</f>
        <v>0</v>
      </c>
      <c r="M236" s="4" cm="1">
        <f t="array" ref="M236">_xlfn.IFS('ProductSprint Backlog'!$F236="", "", AND('ProductSprint Backlog'!$J236&gt;M$2,'ProductSprint Backlog'!$I236&lt;=M$2), 'ProductSprint Backlog'!$F236 / MAX(1, 'ProductSprint Backlog'!$J236-'ProductSprint Backlog'!$I236), AND('ProductSprint Backlog'!$J236=M$2,'ProductSprint Backlog'!$I236=M$2), 'ProductSprint Backlog'!$F236, TRUE, 0)</f>
        <v>0</v>
      </c>
      <c r="N236" s="4" cm="1">
        <f t="array" ref="N236">_xlfn.IFS('ProductSprint Backlog'!$F236="", "", AND('ProductSprint Backlog'!$J236&gt;N$2,'ProductSprint Backlog'!$I236&lt;=N$2), 'ProductSprint Backlog'!$F236 / MAX(1, 'ProductSprint Backlog'!$J236-'ProductSprint Backlog'!$I236), AND('ProductSprint Backlog'!$J236=N$2,'ProductSprint Backlog'!$I236=N$2), 'ProductSprint Backlog'!$F236, TRUE, 0)</f>
        <v>0</v>
      </c>
      <c r="O236" s="4" cm="1">
        <f t="array" ref="O236">_xlfn.IFS('ProductSprint Backlog'!$F236="", "", AND('ProductSprint Backlog'!$J236&gt;O$2,'ProductSprint Backlog'!$I236&lt;=O$2), 'ProductSprint Backlog'!$F236 / MAX(1, 'ProductSprint Backlog'!$J236-'ProductSprint Backlog'!$I236), AND('ProductSprint Backlog'!$J236=O$2,'ProductSprint Backlog'!$I236=O$2), 'ProductSprint Backlog'!$F236, TRUE, 0)</f>
        <v>0</v>
      </c>
      <c r="P236" s="4" cm="1">
        <f t="array" ref="P236">_xlfn.IFS('ProductSprint Backlog'!$F236="", "", AND('ProductSprint Backlog'!$J236&gt;P$2,'ProductSprint Backlog'!$I236&lt;=P$2), 'ProductSprint Backlog'!$F236 / MAX(1, 'ProductSprint Backlog'!$J236-'ProductSprint Backlog'!$I236), AND('ProductSprint Backlog'!$J236=P$2,'ProductSprint Backlog'!$I236=P$2), 'ProductSprint Backlog'!$F236, TRUE, 0)</f>
        <v>0</v>
      </c>
      <c r="Q236" s="4" cm="1">
        <f t="array" ref="Q236">_xlfn.IFS('ProductSprint Backlog'!$F236="", "", AND('ProductSprint Backlog'!$J236&gt;Q$2,'ProductSprint Backlog'!$I236&lt;=Q$2), 'ProductSprint Backlog'!$F236 / MAX(1, 'ProductSprint Backlog'!$J236-'ProductSprint Backlog'!$I236), AND('ProductSprint Backlog'!$J236=Q$2,'ProductSprint Backlog'!$I236=Q$2), 'ProductSprint Backlog'!$F236, TRUE, 0)</f>
        <v>0</v>
      </c>
      <c r="R236" s="4" cm="1">
        <f t="array" ref="R236">_xlfn.IFS('ProductSprint Backlog'!$F236="", "", AND('ProductSprint Backlog'!$J236&gt;R$2,'ProductSprint Backlog'!$I236&lt;=R$2), 'ProductSprint Backlog'!$F236 / MAX(1, 'ProductSprint Backlog'!$J236-'ProductSprint Backlog'!$I236), AND('ProductSprint Backlog'!$J236=R$2,'ProductSprint Backlog'!$I236=R$2), 'ProductSprint Backlog'!$F236, TRUE, 0)</f>
        <v>0</v>
      </c>
      <c r="S236" s="4" cm="1">
        <f t="array" ref="S236">_xlfn.IFS('ProductSprint Backlog'!$F236="", "", AND('ProductSprint Backlog'!$J236&gt;S$2,'ProductSprint Backlog'!$I236&lt;=S$2), 'ProductSprint Backlog'!$F236 / MAX(1, 'ProductSprint Backlog'!$J236-'ProductSprint Backlog'!$I236), AND('ProductSprint Backlog'!$J236=S$2,'ProductSprint Backlog'!$I236=S$2), 'ProductSprint Backlog'!$F236, TRUE, 0)</f>
        <v>0</v>
      </c>
      <c r="T236" s="4" cm="1">
        <f t="array" ref="T236">_xlfn.IFS('ProductSprint Backlog'!$F236="", "", AND('ProductSprint Backlog'!$J236&gt;T$2,'ProductSprint Backlog'!$I236&lt;=T$2), 'ProductSprint Backlog'!$F236 / MAX(1, 'ProductSprint Backlog'!$J236-'ProductSprint Backlog'!$I236), AND('ProductSprint Backlog'!$J236=T$2,'ProductSprint Backlog'!$I236=T$2), 'ProductSprint Backlog'!$F236, TRUE, 0)</f>
        <v>0</v>
      </c>
    </row>
    <row r="237" spans="2:20" x14ac:dyDescent="0.2">
      <c r="B237" s="4" cm="1">
        <f t="array" ref="B237">_xlfn.IFS('ProductSprint Backlog'!$F237="", "", AND('ProductSprint Backlog'!$J237&gt;B$2,'ProductSprint Backlog'!$I237&lt;=B$2), 'ProductSprint Backlog'!$F237 / MAX(1, 'ProductSprint Backlog'!$J237-'ProductSprint Backlog'!$I237), AND('ProductSprint Backlog'!$J237=B$2,'ProductSprint Backlog'!$I237=B$2), 'ProductSprint Backlog'!$F237, TRUE, 0)</f>
        <v>0</v>
      </c>
      <c r="C237" s="4" cm="1">
        <f t="array" ref="C237">_xlfn.IFS('ProductSprint Backlog'!$F237="", "", AND('ProductSprint Backlog'!$J237&gt;C$2,'ProductSprint Backlog'!$I237&lt;=C$2), 'ProductSprint Backlog'!$F237 / MAX(1, 'ProductSprint Backlog'!$J237-'ProductSprint Backlog'!$I237), AND('ProductSprint Backlog'!$J237=C$2,'ProductSprint Backlog'!$I237=C$2), 'ProductSprint Backlog'!$F237, TRUE, 0)</f>
        <v>0</v>
      </c>
      <c r="D237" s="4" cm="1">
        <f t="array" ref="D237">_xlfn.IFS('ProductSprint Backlog'!$F237="", "", AND('ProductSprint Backlog'!$J237&gt;D$2,'ProductSprint Backlog'!$I237&lt;=D$2), 'ProductSprint Backlog'!$F237 / MAX(1, 'ProductSprint Backlog'!$J237-'ProductSprint Backlog'!$I237), AND('ProductSprint Backlog'!$J237=D$2,'ProductSprint Backlog'!$I237=D$2), 'ProductSprint Backlog'!$F237, TRUE, 0)</f>
        <v>0</v>
      </c>
      <c r="E237" s="4" cm="1">
        <f t="array" ref="E237">_xlfn.IFS('ProductSprint Backlog'!$F237="", "", AND('ProductSprint Backlog'!$J237&gt;E$2,'ProductSprint Backlog'!$I237&lt;=E$2), 'ProductSprint Backlog'!$F237 / MAX(1, 'ProductSprint Backlog'!$J237-'ProductSprint Backlog'!$I237), AND('ProductSprint Backlog'!$J237=E$2,'ProductSprint Backlog'!$I237=E$2), 'ProductSprint Backlog'!$F237, TRUE, 0)</f>
        <v>0</v>
      </c>
      <c r="F237" s="4" cm="1">
        <f t="array" ref="F237">_xlfn.IFS('ProductSprint Backlog'!$F237="", "", AND('ProductSprint Backlog'!$J237&gt;F$2,'ProductSprint Backlog'!$I237&lt;=F$2), 'ProductSprint Backlog'!$F237 / MAX(1, 'ProductSprint Backlog'!$J237-'ProductSprint Backlog'!$I237), AND('ProductSprint Backlog'!$J237=F$2,'ProductSprint Backlog'!$I237=F$2), 'ProductSprint Backlog'!$F237, TRUE, 0)</f>
        <v>0</v>
      </c>
      <c r="G237" s="4" cm="1">
        <f t="array" ref="G237">_xlfn.IFS('ProductSprint Backlog'!$F237="", "", AND('ProductSprint Backlog'!$J237&gt;G$2,'ProductSprint Backlog'!$I237&lt;=G$2), 'ProductSprint Backlog'!$F237 / MAX(1, 'ProductSprint Backlog'!$J237-'ProductSprint Backlog'!$I237), AND('ProductSprint Backlog'!$J237=G$2,'ProductSprint Backlog'!$I237=G$2), 'ProductSprint Backlog'!$F237, TRUE, 0)</f>
        <v>0</v>
      </c>
      <c r="H237" s="4" cm="1">
        <f t="array" ref="H237">_xlfn.IFS('ProductSprint Backlog'!$F237="", "", AND('ProductSprint Backlog'!$J237&gt;H$2,'ProductSprint Backlog'!$I237&lt;=H$2), 'ProductSprint Backlog'!$F237 / MAX(1, 'ProductSprint Backlog'!$J237-'ProductSprint Backlog'!$I237), AND('ProductSprint Backlog'!$J237=H$2,'ProductSprint Backlog'!$I237=H$2), 'ProductSprint Backlog'!$F237, TRUE, 0)</f>
        <v>0</v>
      </c>
      <c r="I237" s="4" cm="1">
        <f t="array" ref="I237">_xlfn.IFS('ProductSprint Backlog'!$F237="", "", AND('ProductSprint Backlog'!$J237&gt;I$2,'ProductSprint Backlog'!$I237&lt;=I$2), 'ProductSprint Backlog'!$F237 / MAX(1, 'ProductSprint Backlog'!$J237-'ProductSprint Backlog'!$I237), AND('ProductSprint Backlog'!$J237=I$2,'ProductSprint Backlog'!$I237=I$2), 'ProductSprint Backlog'!$F237, TRUE, 0)</f>
        <v>0</v>
      </c>
      <c r="J237" s="4" cm="1">
        <f t="array" ref="J237">_xlfn.IFS('ProductSprint Backlog'!$F237="", "", AND('ProductSprint Backlog'!$J237&gt;J$2,'ProductSprint Backlog'!$I237&lt;=J$2), 'ProductSprint Backlog'!$F237 / MAX(1, 'ProductSprint Backlog'!$J237-'ProductSprint Backlog'!$I237), AND('ProductSprint Backlog'!$J237=J$2,'ProductSprint Backlog'!$I237=J$2), 'ProductSprint Backlog'!$F237, TRUE, 0)</f>
        <v>0</v>
      </c>
      <c r="K237" s="4" cm="1">
        <f t="array" ref="K237">_xlfn.IFS('ProductSprint Backlog'!$F237="", "", AND('ProductSprint Backlog'!$J237&gt;K$2,'ProductSprint Backlog'!$I237&lt;=K$2), 'ProductSprint Backlog'!$F237 / MAX(1, 'ProductSprint Backlog'!$J237-'ProductSprint Backlog'!$I237), AND('ProductSprint Backlog'!$J237=K$2,'ProductSprint Backlog'!$I237=K$2), 'ProductSprint Backlog'!$F237, TRUE, 0)</f>
        <v>0</v>
      </c>
      <c r="L237" s="4" cm="1">
        <f t="array" ref="L237">_xlfn.IFS('ProductSprint Backlog'!$F237="", "", AND('ProductSprint Backlog'!$J237&gt;L$2,'ProductSprint Backlog'!$I237&lt;=L$2), 'ProductSprint Backlog'!$F237 / MAX(1, 'ProductSprint Backlog'!$J237-'ProductSprint Backlog'!$I237), AND('ProductSprint Backlog'!$J237=L$2,'ProductSprint Backlog'!$I237=L$2), 'ProductSprint Backlog'!$F237, TRUE, 0)</f>
        <v>0</v>
      </c>
      <c r="M237" s="4" cm="1">
        <f t="array" ref="M237">_xlfn.IFS('ProductSprint Backlog'!$F237="", "", AND('ProductSprint Backlog'!$J237&gt;M$2,'ProductSprint Backlog'!$I237&lt;=M$2), 'ProductSprint Backlog'!$F237 / MAX(1, 'ProductSprint Backlog'!$J237-'ProductSprint Backlog'!$I237), AND('ProductSprint Backlog'!$J237=M$2,'ProductSprint Backlog'!$I237=M$2), 'ProductSprint Backlog'!$F237, TRUE, 0)</f>
        <v>0</v>
      </c>
      <c r="N237" s="4" cm="1">
        <f t="array" ref="N237">_xlfn.IFS('ProductSprint Backlog'!$F237="", "", AND('ProductSprint Backlog'!$J237&gt;N$2,'ProductSprint Backlog'!$I237&lt;=N$2), 'ProductSprint Backlog'!$F237 / MAX(1, 'ProductSprint Backlog'!$J237-'ProductSprint Backlog'!$I237), AND('ProductSprint Backlog'!$J237=N$2,'ProductSprint Backlog'!$I237=N$2), 'ProductSprint Backlog'!$F237, TRUE, 0)</f>
        <v>0</v>
      </c>
      <c r="O237" s="4" cm="1">
        <f t="array" ref="O237">_xlfn.IFS('ProductSprint Backlog'!$F237="", "", AND('ProductSprint Backlog'!$J237&gt;O$2,'ProductSprint Backlog'!$I237&lt;=O$2), 'ProductSprint Backlog'!$F237 / MAX(1, 'ProductSprint Backlog'!$J237-'ProductSprint Backlog'!$I237), AND('ProductSprint Backlog'!$J237=O$2,'ProductSprint Backlog'!$I237=O$2), 'ProductSprint Backlog'!$F237, TRUE, 0)</f>
        <v>0</v>
      </c>
      <c r="P237" s="4" cm="1">
        <f t="array" ref="P237">_xlfn.IFS('ProductSprint Backlog'!$F237="", "", AND('ProductSprint Backlog'!$J237&gt;P$2,'ProductSprint Backlog'!$I237&lt;=P$2), 'ProductSprint Backlog'!$F237 / MAX(1, 'ProductSprint Backlog'!$J237-'ProductSprint Backlog'!$I237), AND('ProductSprint Backlog'!$J237=P$2,'ProductSprint Backlog'!$I237=P$2), 'ProductSprint Backlog'!$F237, TRUE, 0)</f>
        <v>0</v>
      </c>
      <c r="Q237" s="4" cm="1">
        <f t="array" ref="Q237">_xlfn.IFS('ProductSprint Backlog'!$F237="", "", AND('ProductSprint Backlog'!$J237&gt;Q$2,'ProductSprint Backlog'!$I237&lt;=Q$2), 'ProductSprint Backlog'!$F237 / MAX(1, 'ProductSprint Backlog'!$J237-'ProductSprint Backlog'!$I237), AND('ProductSprint Backlog'!$J237=Q$2,'ProductSprint Backlog'!$I237=Q$2), 'ProductSprint Backlog'!$F237, TRUE, 0)</f>
        <v>0</v>
      </c>
      <c r="R237" s="4" cm="1">
        <f t="array" ref="R237">_xlfn.IFS('ProductSprint Backlog'!$F237="", "", AND('ProductSprint Backlog'!$J237&gt;R$2,'ProductSprint Backlog'!$I237&lt;=R$2), 'ProductSprint Backlog'!$F237 / MAX(1, 'ProductSprint Backlog'!$J237-'ProductSprint Backlog'!$I237), AND('ProductSprint Backlog'!$J237=R$2,'ProductSprint Backlog'!$I237=R$2), 'ProductSprint Backlog'!$F237, TRUE, 0)</f>
        <v>0</v>
      </c>
      <c r="S237" s="4" cm="1">
        <f t="array" ref="S237">_xlfn.IFS('ProductSprint Backlog'!$F237="", "", AND('ProductSprint Backlog'!$J237&gt;S$2,'ProductSprint Backlog'!$I237&lt;=S$2), 'ProductSprint Backlog'!$F237 / MAX(1, 'ProductSprint Backlog'!$J237-'ProductSprint Backlog'!$I237), AND('ProductSprint Backlog'!$J237=S$2,'ProductSprint Backlog'!$I237=S$2), 'ProductSprint Backlog'!$F237, TRUE, 0)</f>
        <v>0</v>
      </c>
      <c r="T237" s="4" cm="1">
        <f t="array" ref="T237">_xlfn.IFS('ProductSprint Backlog'!$F237="", "", AND('ProductSprint Backlog'!$J237&gt;T$2,'ProductSprint Backlog'!$I237&lt;=T$2), 'ProductSprint Backlog'!$F237 / MAX(1, 'ProductSprint Backlog'!$J237-'ProductSprint Backlog'!$I237), AND('ProductSprint Backlog'!$J237=T$2,'ProductSprint Backlog'!$I237=T$2), 'ProductSprint Backlog'!$F237, TRUE, 0)</f>
        <v>0</v>
      </c>
    </row>
    <row r="238" spans="2:20" x14ac:dyDescent="0.2">
      <c r="B238" s="4" cm="1">
        <f t="array" ref="B238">_xlfn.IFS('ProductSprint Backlog'!$F238="", "", AND('ProductSprint Backlog'!$J238&gt;B$2,'ProductSprint Backlog'!$I238&lt;=B$2), 'ProductSprint Backlog'!$F238 / MAX(1, 'ProductSprint Backlog'!$J238-'ProductSprint Backlog'!$I238), AND('ProductSprint Backlog'!$J238=B$2,'ProductSprint Backlog'!$I238=B$2), 'ProductSprint Backlog'!$F238, TRUE, 0)</f>
        <v>0</v>
      </c>
      <c r="C238" s="4" cm="1">
        <f t="array" ref="C238">_xlfn.IFS('ProductSprint Backlog'!$F238="", "", AND('ProductSprint Backlog'!$J238&gt;C$2,'ProductSprint Backlog'!$I238&lt;=C$2), 'ProductSprint Backlog'!$F238 / MAX(1, 'ProductSprint Backlog'!$J238-'ProductSprint Backlog'!$I238), AND('ProductSprint Backlog'!$J238=C$2,'ProductSprint Backlog'!$I238=C$2), 'ProductSprint Backlog'!$F238, TRUE, 0)</f>
        <v>0</v>
      </c>
      <c r="D238" s="4" cm="1">
        <f t="array" ref="D238">_xlfn.IFS('ProductSprint Backlog'!$F238="", "", AND('ProductSprint Backlog'!$J238&gt;D$2,'ProductSprint Backlog'!$I238&lt;=D$2), 'ProductSprint Backlog'!$F238 / MAX(1, 'ProductSprint Backlog'!$J238-'ProductSprint Backlog'!$I238), AND('ProductSprint Backlog'!$J238=D$2,'ProductSprint Backlog'!$I238=D$2), 'ProductSprint Backlog'!$F238, TRUE, 0)</f>
        <v>0</v>
      </c>
      <c r="E238" s="4" cm="1">
        <f t="array" ref="E238">_xlfn.IFS('ProductSprint Backlog'!$F238="", "", AND('ProductSprint Backlog'!$J238&gt;E$2,'ProductSprint Backlog'!$I238&lt;=E$2), 'ProductSprint Backlog'!$F238 / MAX(1, 'ProductSprint Backlog'!$J238-'ProductSprint Backlog'!$I238), AND('ProductSprint Backlog'!$J238=E$2,'ProductSprint Backlog'!$I238=E$2), 'ProductSprint Backlog'!$F238, TRUE, 0)</f>
        <v>0</v>
      </c>
      <c r="F238" s="4" cm="1">
        <f t="array" ref="F238">_xlfn.IFS('ProductSprint Backlog'!$F238="", "", AND('ProductSprint Backlog'!$J238&gt;F$2,'ProductSprint Backlog'!$I238&lt;=F$2), 'ProductSprint Backlog'!$F238 / MAX(1, 'ProductSprint Backlog'!$J238-'ProductSprint Backlog'!$I238), AND('ProductSprint Backlog'!$J238=F$2,'ProductSprint Backlog'!$I238=F$2), 'ProductSprint Backlog'!$F238, TRUE, 0)</f>
        <v>0</v>
      </c>
      <c r="G238" s="4" cm="1">
        <f t="array" ref="G238">_xlfn.IFS('ProductSprint Backlog'!$F238="", "", AND('ProductSprint Backlog'!$J238&gt;G$2,'ProductSprint Backlog'!$I238&lt;=G$2), 'ProductSprint Backlog'!$F238 / MAX(1, 'ProductSprint Backlog'!$J238-'ProductSprint Backlog'!$I238), AND('ProductSprint Backlog'!$J238=G$2,'ProductSprint Backlog'!$I238=G$2), 'ProductSprint Backlog'!$F238, TRUE, 0)</f>
        <v>0</v>
      </c>
      <c r="H238" s="4" cm="1">
        <f t="array" ref="H238">_xlfn.IFS('ProductSprint Backlog'!$F238="", "", AND('ProductSprint Backlog'!$J238&gt;H$2,'ProductSprint Backlog'!$I238&lt;=H$2), 'ProductSprint Backlog'!$F238 / MAX(1, 'ProductSprint Backlog'!$J238-'ProductSprint Backlog'!$I238), AND('ProductSprint Backlog'!$J238=H$2,'ProductSprint Backlog'!$I238=H$2), 'ProductSprint Backlog'!$F238, TRUE, 0)</f>
        <v>0</v>
      </c>
      <c r="I238" s="4" cm="1">
        <f t="array" ref="I238">_xlfn.IFS('ProductSprint Backlog'!$F238="", "", AND('ProductSprint Backlog'!$J238&gt;I$2,'ProductSprint Backlog'!$I238&lt;=I$2), 'ProductSprint Backlog'!$F238 / MAX(1, 'ProductSprint Backlog'!$J238-'ProductSprint Backlog'!$I238), AND('ProductSprint Backlog'!$J238=I$2,'ProductSprint Backlog'!$I238=I$2), 'ProductSprint Backlog'!$F238, TRUE, 0)</f>
        <v>0</v>
      </c>
      <c r="J238" s="4" cm="1">
        <f t="array" ref="J238">_xlfn.IFS('ProductSprint Backlog'!$F238="", "", AND('ProductSprint Backlog'!$J238&gt;J$2,'ProductSprint Backlog'!$I238&lt;=J$2), 'ProductSprint Backlog'!$F238 / MAX(1, 'ProductSprint Backlog'!$J238-'ProductSprint Backlog'!$I238), AND('ProductSprint Backlog'!$J238=J$2,'ProductSprint Backlog'!$I238=J$2), 'ProductSprint Backlog'!$F238, TRUE, 0)</f>
        <v>0</v>
      </c>
      <c r="K238" s="4" cm="1">
        <f t="array" ref="K238">_xlfn.IFS('ProductSprint Backlog'!$F238="", "", AND('ProductSprint Backlog'!$J238&gt;K$2,'ProductSprint Backlog'!$I238&lt;=K$2), 'ProductSprint Backlog'!$F238 / MAX(1, 'ProductSprint Backlog'!$J238-'ProductSprint Backlog'!$I238), AND('ProductSprint Backlog'!$J238=K$2,'ProductSprint Backlog'!$I238=K$2), 'ProductSprint Backlog'!$F238, TRUE, 0)</f>
        <v>0</v>
      </c>
      <c r="L238" s="4" cm="1">
        <f t="array" ref="L238">_xlfn.IFS('ProductSprint Backlog'!$F238="", "", AND('ProductSprint Backlog'!$J238&gt;L$2,'ProductSprint Backlog'!$I238&lt;=L$2), 'ProductSprint Backlog'!$F238 / MAX(1, 'ProductSprint Backlog'!$J238-'ProductSprint Backlog'!$I238), AND('ProductSprint Backlog'!$J238=L$2,'ProductSprint Backlog'!$I238=L$2), 'ProductSprint Backlog'!$F238, TRUE, 0)</f>
        <v>0</v>
      </c>
      <c r="M238" s="4" cm="1">
        <f t="array" ref="M238">_xlfn.IFS('ProductSprint Backlog'!$F238="", "", AND('ProductSprint Backlog'!$J238&gt;M$2,'ProductSprint Backlog'!$I238&lt;=M$2), 'ProductSprint Backlog'!$F238 / MAX(1, 'ProductSprint Backlog'!$J238-'ProductSprint Backlog'!$I238), AND('ProductSprint Backlog'!$J238=M$2,'ProductSprint Backlog'!$I238=M$2), 'ProductSprint Backlog'!$F238, TRUE, 0)</f>
        <v>0</v>
      </c>
      <c r="N238" s="4" cm="1">
        <f t="array" ref="N238">_xlfn.IFS('ProductSprint Backlog'!$F238="", "", AND('ProductSprint Backlog'!$J238&gt;N$2,'ProductSprint Backlog'!$I238&lt;=N$2), 'ProductSprint Backlog'!$F238 / MAX(1, 'ProductSprint Backlog'!$J238-'ProductSprint Backlog'!$I238), AND('ProductSprint Backlog'!$J238=N$2,'ProductSprint Backlog'!$I238=N$2), 'ProductSprint Backlog'!$F238, TRUE, 0)</f>
        <v>0</v>
      </c>
      <c r="O238" s="4" cm="1">
        <f t="array" ref="O238">_xlfn.IFS('ProductSprint Backlog'!$F238="", "", AND('ProductSprint Backlog'!$J238&gt;O$2,'ProductSprint Backlog'!$I238&lt;=O$2), 'ProductSprint Backlog'!$F238 / MAX(1, 'ProductSprint Backlog'!$J238-'ProductSprint Backlog'!$I238), AND('ProductSprint Backlog'!$J238=O$2,'ProductSprint Backlog'!$I238=O$2), 'ProductSprint Backlog'!$F238, TRUE, 0)</f>
        <v>0</v>
      </c>
      <c r="P238" s="4" cm="1">
        <f t="array" ref="P238">_xlfn.IFS('ProductSprint Backlog'!$F238="", "", AND('ProductSprint Backlog'!$J238&gt;P$2,'ProductSprint Backlog'!$I238&lt;=P$2), 'ProductSprint Backlog'!$F238 / MAX(1, 'ProductSprint Backlog'!$J238-'ProductSprint Backlog'!$I238), AND('ProductSprint Backlog'!$J238=P$2,'ProductSprint Backlog'!$I238=P$2), 'ProductSprint Backlog'!$F238, TRUE, 0)</f>
        <v>0</v>
      </c>
      <c r="Q238" s="4" cm="1">
        <f t="array" ref="Q238">_xlfn.IFS('ProductSprint Backlog'!$F238="", "", AND('ProductSprint Backlog'!$J238&gt;Q$2,'ProductSprint Backlog'!$I238&lt;=Q$2), 'ProductSprint Backlog'!$F238 / MAX(1, 'ProductSprint Backlog'!$J238-'ProductSprint Backlog'!$I238), AND('ProductSprint Backlog'!$J238=Q$2,'ProductSprint Backlog'!$I238=Q$2), 'ProductSprint Backlog'!$F238, TRUE, 0)</f>
        <v>0</v>
      </c>
      <c r="R238" s="4" cm="1">
        <f t="array" ref="R238">_xlfn.IFS('ProductSprint Backlog'!$F238="", "", AND('ProductSprint Backlog'!$J238&gt;R$2,'ProductSprint Backlog'!$I238&lt;=R$2), 'ProductSprint Backlog'!$F238 / MAX(1, 'ProductSprint Backlog'!$J238-'ProductSprint Backlog'!$I238), AND('ProductSprint Backlog'!$J238=R$2,'ProductSprint Backlog'!$I238=R$2), 'ProductSprint Backlog'!$F238, TRUE, 0)</f>
        <v>0</v>
      </c>
      <c r="S238" s="4" cm="1">
        <f t="array" ref="S238">_xlfn.IFS('ProductSprint Backlog'!$F238="", "", AND('ProductSprint Backlog'!$J238&gt;S$2,'ProductSprint Backlog'!$I238&lt;=S$2), 'ProductSprint Backlog'!$F238 / MAX(1, 'ProductSprint Backlog'!$J238-'ProductSprint Backlog'!$I238), AND('ProductSprint Backlog'!$J238=S$2,'ProductSprint Backlog'!$I238=S$2), 'ProductSprint Backlog'!$F238, TRUE, 0)</f>
        <v>0</v>
      </c>
      <c r="T238" s="4" cm="1">
        <f t="array" ref="T238">_xlfn.IFS('ProductSprint Backlog'!$F238="", "", AND('ProductSprint Backlog'!$J238&gt;T$2,'ProductSprint Backlog'!$I238&lt;=T$2), 'ProductSprint Backlog'!$F238 / MAX(1, 'ProductSprint Backlog'!$J238-'ProductSprint Backlog'!$I238), AND('ProductSprint Backlog'!$J238=T$2,'ProductSprint Backlog'!$I238=T$2), 'ProductSprint Backlog'!$F238, TRUE, 0)</f>
        <v>0</v>
      </c>
    </row>
    <row r="239" spans="2:20" x14ac:dyDescent="0.2">
      <c r="B239" s="4" t="str" cm="1">
        <f t="array" ref="B239">_xlfn.IFS('ProductSprint Backlog'!$F239="", "", AND('ProductSprint Backlog'!$J239&gt;B$2,'ProductSprint Backlog'!$I239&lt;=B$2), 'ProductSprint Backlog'!$F239 / MAX(1, 'ProductSprint Backlog'!$J239-'ProductSprint Backlog'!$I239), AND('ProductSprint Backlog'!$J239=B$2,'ProductSprint Backlog'!$I239=B$2), 'ProductSprint Backlog'!$F239, TRUE, 0)</f>
        <v/>
      </c>
      <c r="C239" s="4" t="str" cm="1">
        <f t="array" ref="C239">_xlfn.IFS('ProductSprint Backlog'!$F239="", "", AND('ProductSprint Backlog'!$J239&gt;C$2,'ProductSprint Backlog'!$I239&lt;=C$2), 'ProductSprint Backlog'!$F239 / MAX(1, 'ProductSprint Backlog'!$J239-'ProductSprint Backlog'!$I239), AND('ProductSprint Backlog'!$J239=C$2,'ProductSprint Backlog'!$I239=C$2), 'ProductSprint Backlog'!$F239, TRUE, 0)</f>
        <v/>
      </c>
      <c r="D239" s="4" t="str" cm="1">
        <f t="array" ref="D239">_xlfn.IFS('ProductSprint Backlog'!$F239="", "", AND('ProductSprint Backlog'!$J239&gt;D$2,'ProductSprint Backlog'!$I239&lt;=D$2), 'ProductSprint Backlog'!$F239 / MAX(1, 'ProductSprint Backlog'!$J239-'ProductSprint Backlog'!$I239), AND('ProductSprint Backlog'!$J239=D$2,'ProductSprint Backlog'!$I239=D$2), 'ProductSprint Backlog'!$F239, TRUE, 0)</f>
        <v/>
      </c>
      <c r="E239" s="4" t="str" cm="1">
        <f t="array" ref="E239">_xlfn.IFS('ProductSprint Backlog'!$F239="", "", AND('ProductSprint Backlog'!$J239&gt;E$2,'ProductSprint Backlog'!$I239&lt;=E$2), 'ProductSprint Backlog'!$F239 / MAX(1, 'ProductSprint Backlog'!$J239-'ProductSprint Backlog'!$I239), AND('ProductSprint Backlog'!$J239=E$2,'ProductSprint Backlog'!$I239=E$2), 'ProductSprint Backlog'!$F239, TRUE, 0)</f>
        <v/>
      </c>
      <c r="F239" s="4" t="str" cm="1">
        <f t="array" ref="F239">_xlfn.IFS('ProductSprint Backlog'!$F239="", "", AND('ProductSprint Backlog'!$J239&gt;F$2,'ProductSprint Backlog'!$I239&lt;=F$2), 'ProductSprint Backlog'!$F239 / MAX(1, 'ProductSprint Backlog'!$J239-'ProductSprint Backlog'!$I239), AND('ProductSprint Backlog'!$J239=F$2,'ProductSprint Backlog'!$I239=F$2), 'ProductSprint Backlog'!$F239, TRUE, 0)</f>
        <v/>
      </c>
      <c r="G239" s="4" t="str" cm="1">
        <f t="array" ref="G239">_xlfn.IFS('ProductSprint Backlog'!$F239="", "", AND('ProductSprint Backlog'!$J239&gt;G$2,'ProductSprint Backlog'!$I239&lt;=G$2), 'ProductSprint Backlog'!$F239 / MAX(1, 'ProductSprint Backlog'!$J239-'ProductSprint Backlog'!$I239), AND('ProductSprint Backlog'!$J239=G$2,'ProductSprint Backlog'!$I239=G$2), 'ProductSprint Backlog'!$F239, TRUE, 0)</f>
        <v/>
      </c>
      <c r="H239" s="4" t="str" cm="1">
        <f t="array" ref="H239">_xlfn.IFS('ProductSprint Backlog'!$F239="", "", AND('ProductSprint Backlog'!$J239&gt;H$2,'ProductSprint Backlog'!$I239&lt;=H$2), 'ProductSprint Backlog'!$F239 / MAX(1, 'ProductSprint Backlog'!$J239-'ProductSprint Backlog'!$I239), AND('ProductSprint Backlog'!$J239=H$2,'ProductSprint Backlog'!$I239=H$2), 'ProductSprint Backlog'!$F239, TRUE, 0)</f>
        <v/>
      </c>
      <c r="I239" s="4" t="str" cm="1">
        <f t="array" ref="I239">_xlfn.IFS('ProductSprint Backlog'!$F239="", "", AND('ProductSprint Backlog'!$J239&gt;I$2,'ProductSprint Backlog'!$I239&lt;=I$2), 'ProductSprint Backlog'!$F239 / MAX(1, 'ProductSprint Backlog'!$J239-'ProductSprint Backlog'!$I239), AND('ProductSprint Backlog'!$J239=I$2,'ProductSprint Backlog'!$I239=I$2), 'ProductSprint Backlog'!$F239, TRUE, 0)</f>
        <v/>
      </c>
      <c r="J239" s="4" t="str" cm="1">
        <f t="array" ref="J239">_xlfn.IFS('ProductSprint Backlog'!$F239="", "", AND('ProductSprint Backlog'!$J239&gt;J$2,'ProductSprint Backlog'!$I239&lt;=J$2), 'ProductSprint Backlog'!$F239 / MAX(1, 'ProductSprint Backlog'!$J239-'ProductSprint Backlog'!$I239), AND('ProductSprint Backlog'!$J239=J$2,'ProductSprint Backlog'!$I239=J$2), 'ProductSprint Backlog'!$F239, TRUE, 0)</f>
        <v/>
      </c>
      <c r="K239" s="4" t="str" cm="1">
        <f t="array" ref="K239">_xlfn.IFS('ProductSprint Backlog'!$F239="", "", AND('ProductSprint Backlog'!$J239&gt;K$2,'ProductSprint Backlog'!$I239&lt;=K$2), 'ProductSprint Backlog'!$F239 / MAX(1, 'ProductSprint Backlog'!$J239-'ProductSprint Backlog'!$I239), AND('ProductSprint Backlog'!$J239=K$2,'ProductSprint Backlog'!$I239=K$2), 'ProductSprint Backlog'!$F239, TRUE, 0)</f>
        <v/>
      </c>
      <c r="L239" s="4" t="str" cm="1">
        <f t="array" ref="L239">_xlfn.IFS('ProductSprint Backlog'!$F239="", "", AND('ProductSprint Backlog'!$J239&gt;L$2,'ProductSprint Backlog'!$I239&lt;=L$2), 'ProductSprint Backlog'!$F239 / MAX(1, 'ProductSprint Backlog'!$J239-'ProductSprint Backlog'!$I239), AND('ProductSprint Backlog'!$J239=L$2,'ProductSprint Backlog'!$I239=L$2), 'ProductSprint Backlog'!$F239, TRUE, 0)</f>
        <v/>
      </c>
      <c r="M239" s="4" t="str" cm="1">
        <f t="array" ref="M239">_xlfn.IFS('ProductSprint Backlog'!$F239="", "", AND('ProductSprint Backlog'!$J239&gt;M$2,'ProductSprint Backlog'!$I239&lt;=M$2), 'ProductSprint Backlog'!$F239 / MAX(1, 'ProductSprint Backlog'!$J239-'ProductSprint Backlog'!$I239), AND('ProductSprint Backlog'!$J239=M$2,'ProductSprint Backlog'!$I239=M$2), 'ProductSprint Backlog'!$F239, TRUE, 0)</f>
        <v/>
      </c>
      <c r="N239" s="4" t="str" cm="1">
        <f t="array" ref="N239">_xlfn.IFS('ProductSprint Backlog'!$F239="", "", AND('ProductSprint Backlog'!$J239&gt;N$2,'ProductSprint Backlog'!$I239&lt;=N$2), 'ProductSprint Backlog'!$F239 / MAX(1, 'ProductSprint Backlog'!$J239-'ProductSprint Backlog'!$I239), AND('ProductSprint Backlog'!$J239=N$2,'ProductSprint Backlog'!$I239=N$2), 'ProductSprint Backlog'!$F239, TRUE, 0)</f>
        <v/>
      </c>
      <c r="O239" s="4" t="str" cm="1">
        <f t="array" ref="O239">_xlfn.IFS('ProductSprint Backlog'!$F239="", "", AND('ProductSprint Backlog'!$J239&gt;O$2,'ProductSprint Backlog'!$I239&lt;=O$2), 'ProductSprint Backlog'!$F239 / MAX(1, 'ProductSprint Backlog'!$J239-'ProductSprint Backlog'!$I239), AND('ProductSprint Backlog'!$J239=O$2,'ProductSprint Backlog'!$I239=O$2), 'ProductSprint Backlog'!$F239, TRUE, 0)</f>
        <v/>
      </c>
      <c r="P239" s="4" t="str" cm="1">
        <f t="array" ref="P239">_xlfn.IFS('ProductSprint Backlog'!$F239="", "", AND('ProductSprint Backlog'!$J239&gt;P$2,'ProductSprint Backlog'!$I239&lt;=P$2), 'ProductSprint Backlog'!$F239 / MAX(1, 'ProductSprint Backlog'!$J239-'ProductSprint Backlog'!$I239), AND('ProductSprint Backlog'!$J239=P$2,'ProductSprint Backlog'!$I239=P$2), 'ProductSprint Backlog'!$F239, TRUE, 0)</f>
        <v/>
      </c>
      <c r="Q239" s="4" t="str" cm="1">
        <f t="array" ref="Q239">_xlfn.IFS('ProductSprint Backlog'!$F239="", "", AND('ProductSprint Backlog'!$J239&gt;Q$2,'ProductSprint Backlog'!$I239&lt;=Q$2), 'ProductSprint Backlog'!$F239 / MAX(1, 'ProductSprint Backlog'!$J239-'ProductSprint Backlog'!$I239), AND('ProductSprint Backlog'!$J239=Q$2,'ProductSprint Backlog'!$I239=Q$2), 'ProductSprint Backlog'!$F239, TRUE, 0)</f>
        <v/>
      </c>
      <c r="R239" s="4" t="str" cm="1">
        <f t="array" ref="R239">_xlfn.IFS('ProductSprint Backlog'!$F239="", "", AND('ProductSprint Backlog'!$J239&gt;R$2,'ProductSprint Backlog'!$I239&lt;=R$2), 'ProductSprint Backlog'!$F239 / MAX(1, 'ProductSprint Backlog'!$J239-'ProductSprint Backlog'!$I239), AND('ProductSprint Backlog'!$J239=R$2,'ProductSprint Backlog'!$I239=R$2), 'ProductSprint Backlog'!$F239, TRUE, 0)</f>
        <v/>
      </c>
      <c r="S239" s="4" t="str" cm="1">
        <f t="array" ref="S239">_xlfn.IFS('ProductSprint Backlog'!$F239="", "", AND('ProductSprint Backlog'!$J239&gt;S$2,'ProductSprint Backlog'!$I239&lt;=S$2), 'ProductSprint Backlog'!$F239 / MAX(1, 'ProductSprint Backlog'!$J239-'ProductSprint Backlog'!$I239), AND('ProductSprint Backlog'!$J239=S$2,'ProductSprint Backlog'!$I239=S$2), 'ProductSprint Backlog'!$F239, TRUE, 0)</f>
        <v/>
      </c>
      <c r="T239" s="4" t="str" cm="1">
        <f t="array" ref="T239">_xlfn.IFS('ProductSprint Backlog'!$F239="", "", AND('ProductSprint Backlog'!$J239&gt;T$2,'ProductSprint Backlog'!$I239&lt;=T$2), 'ProductSprint Backlog'!$F239 / MAX(1, 'ProductSprint Backlog'!$J239-'ProductSprint Backlog'!$I239), AND('ProductSprint Backlog'!$J239=T$2,'ProductSprint Backlog'!$I239=T$2), 'ProductSprint Backlog'!$F239, TRUE, 0)</f>
        <v/>
      </c>
    </row>
    <row r="240" spans="2:20" x14ac:dyDescent="0.2">
      <c r="B240" s="4" cm="1">
        <f t="array" ref="B240">_xlfn.IFS('ProductSprint Backlog'!$F240="", "", AND('ProductSprint Backlog'!$J240&gt;B$2,'ProductSprint Backlog'!$I240&lt;=B$2), 'ProductSprint Backlog'!$F240 / MAX(1, 'ProductSprint Backlog'!$J240-'ProductSprint Backlog'!$I240), AND('ProductSprint Backlog'!$J240=B$2,'ProductSprint Backlog'!$I240=B$2), 'ProductSprint Backlog'!$F240, TRUE, 0)</f>
        <v>0</v>
      </c>
      <c r="C240" s="4" cm="1">
        <f t="array" ref="C240">_xlfn.IFS('ProductSprint Backlog'!$F240="", "", AND('ProductSprint Backlog'!$J240&gt;C$2,'ProductSprint Backlog'!$I240&lt;=C$2), 'ProductSprint Backlog'!$F240 / MAX(1, 'ProductSprint Backlog'!$J240-'ProductSprint Backlog'!$I240), AND('ProductSprint Backlog'!$J240=C$2,'ProductSprint Backlog'!$I240=C$2), 'ProductSprint Backlog'!$F240, TRUE, 0)</f>
        <v>0</v>
      </c>
      <c r="D240" s="4" cm="1">
        <f t="array" ref="D240">_xlfn.IFS('ProductSprint Backlog'!$F240="", "", AND('ProductSprint Backlog'!$J240&gt;D$2,'ProductSprint Backlog'!$I240&lt;=D$2), 'ProductSprint Backlog'!$F240 / MAX(1, 'ProductSprint Backlog'!$J240-'ProductSprint Backlog'!$I240), AND('ProductSprint Backlog'!$J240=D$2,'ProductSprint Backlog'!$I240=D$2), 'ProductSprint Backlog'!$F240, TRUE, 0)</f>
        <v>0</v>
      </c>
      <c r="E240" s="4" cm="1">
        <f t="array" ref="E240">_xlfn.IFS('ProductSprint Backlog'!$F240="", "", AND('ProductSprint Backlog'!$J240&gt;E$2,'ProductSprint Backlog'!$I240&lt;=E$2), 'ProductSprint Backlog'!$F240 / MAX(1, 'ProductSprint Backlog'!$J240-'ProductSprint Backlog'!$I240), AND('ProductSprint Backlog'!$J240=E$2,'ProductSprint Backlog'!$I240=E$2), 'ProductSprint Backlog'!$F240, TRUE, 0)</f>
        <v>0</v>
      </c>
      <c r="F240" s="4" cm="1">
        <f t="array" ref="F240">_xlfn.IFS('ProductSprint Backlog'!$F240="", "", AND('ProductSprint Backlog'!$J240&gt;F$2,'ProductSprint Backlog'!$I240&lt;=F$2), 'ProductSprint Backlog'!$F240 / MAX(1, 'ProductSprint Backlog'!$J240-'ProductSprint Backlog'!$I240), AND('ProductSprint Backlog'!$J240=F$2,'ProductSprint Backlog'!$I240=F$2), 'ProductSprint Backlog'!$F240, TRUE, 0)</f>
        <v>0</v>
      </c>
      <c r="G240" s="4" cm="1">
        <f t="array" ref="G240">_xlfn.IFS('ProductSprint Backlog'!$F240="", "", AND('ProductSprint Backlog'!$J240&gt;G$2,'ProductSprint Backlog'!$I240&lt;=G$2), 'ProductSprint Backlog'!$F240 / MAX(1, 'ProductSprint Backlog'!$J240-'ProductSprint Backlog'!$I240), AND('ProductSprint Backlog'!$J240=G$2,'ProductSprint Backlog'!$I240=G$2), 'ProductSprint Backlog'!$F240, TRUE, 0)</f>
        <v>0</v>
      </c>
      <c r="H240" s="4" cm="1">
        <f t="array" ref="H240">_xlfn.IFS('ProductSprint Backlog'!$F240="", "", AND('ProductSprint Backlog'!$J240&gt;H$2,'ProductSprint Backlog'!$I240&lt;=H$2), 'ProductSprint Backlog'!$F240 / MAX(1, 'ProductSprint Backlog'!$J240-'ProductSprint Backlog'!$I240), AND('ProductSprint Backlog'!$J240=H$2,'ProductSprint Backlog'!$I240=H$2), 'ProductSprint Backlog'!$F240, TRUE, 0)</f>
        <v>0</v>
      </c>
      <c r="I240" s="4" cm="1">
        <f t="array" ref="I240">_xlfn.IFS('ProductSprint Backlog'!$F240="", "", AND('ProductSprint Backlog'!$J240&gt;I$2,'ProductSprint Backlog'!$I240&lt;=I$2), 'ProductSprint Backlog'!$F240 / MAX(1, 'ProductSprint Backlog'!$J240-'ProductSprint Backlog'!$I240), AND('ProductSprint Backlog'!$J240=I$2,'ProductSprint Backlog'!$I240=I$2), 'ProductSprint Backlog'!$F240, TRUE, 0)</f>
        <v>0</v>
      </c>
      <c r="J240" s="4" cm="1">
        <f t="array" ref="J240">_xlfn.IFS('ProductSprint Backlog'!$F240="", "", AND('ProductSprint Backlog'!$J240&gt;J$2,'ProductSprint Backlog'!$I240&lt;=J$2), 'ProductSprint Backlog'!$F240 / MAX(1, 'ProductSprint Backlog'!$J240-'ProductSprint Backlog'!$I240), AND('ProductSprint Backlog'!$J240=J$2,'ProductSprint Backlog'!$I240=J$2), 'ProductSprint Backlog'!$F240, TRUE, 0)</f>
        <v>0</v>
      </c>
      <c r="K240" s="4" cm="1">
        <f t="array" ref="K240">_xlfn.IFS('ProductSprint Backlog'!$F240="", "", AND('ProductSprint Backlog'!$J240&gt;K$2,'ProductSprint Backlog'!$I240&lt;=K$2), 'ProductSprint Backlog'!$F240 / MAX(1, 'ProductSprint Backlog'!$J240-'ProductSprint Backlog'!$I240), AND('ProductSprint Backlog'!$J240=K$2,'ProductSprint Backlog'!$I240=K$2), 'ProductSprint Backlog'!$F240, TRUE, 0)</f>
        <v>0</v>
      </c>
      <c r="L240" s="4" cm="1">
        <f t="array" ref="L240">_xlfn.IFS('ProductSprint Backlog'!$F240="", "", AND('ProductSprint Backlog'!$J240&gt;L$2,'ProductSprint Backlog'!$I240&lt;=L$2), 'ProductSprint Backlog'!$F240 / MAX(1, 'ProductSprint Backlog'!$J240-'ProductSprint Backlog'!$I240), AND('ProductSprint Backlog'!$J240=L$2,'ProductSprint Backlog'!$I240=L$2), 'ProductSprint Backlog'!$F240, TRUE, 0)</f>
        <v>0</v>
      </c>
      <c r="M240" s="4" cm="1">
        <f t="array" ref="M240">_xlfn.IFS('ProductSprint Backlog'!$F240="", "", AND('ProductSprint Backlog'!$J240&gt;M$2,'ProductSprint Backlog'!$I240&lt;=M$2), 'ProductSprint Backlog'!$F240 / MAX(1, 'ProductSprint Backlog'!$J240-'ProductSprint Backlog'!$I240), AND('ProductSprint Backlog'!$J240=M$2,'ProductSprint Backlog'!$I240=M$2), 'ProductSprint Backlog'!$F240, TRUE, 0)</f>
        <v>0</v>
      </c>
      <c r="N240" s="4" cm="1">
        <f t="array" ref="N240">_xlfn.IFS('ProductSprint Backlog'!$F240="", "", AND('ProductSprint Backlog'!$J240&gt;N$2,'ProductSprint Backlog'!$I240&lt;=N$2), 'ProductSprint Backlog'!$F240 / MAX(1, 'ProductSprint Backlog'!$J240-'ProductSprint Backlog'!$I240), AND('ProductSprint Backlog'!$J240=N$2,'ProductSprint Backlog'!$I240=N$2), 'ProductSprint Backlog'!$F240, TRUE, 0)</f>
        <v>0</v>
      </c>
      <c r="O240" s="4" cm="1">
        <f t="array" ref="O240">_xlfn.IFS('ProductSprint Backlog'!$F240="", "", AND('ProductSprint Backlog'!$J240&gt;O$2,'ProductSprint Backlog'!$I240&lt;=O$2), 'ProductSprint Backlog'!$F240 / MAX(1, 'ProductSprint Backlog'!$J240-'ProductSprint Backlog'!$I240), AND('ProductSprint Backlog'!$J240=O$2,'ProductSprint Backlog'!$I240=O$2), 'ProductSprint Backlog'!$F240, TRUE, 0)</f>
        <v>0</v>
      </c>
      <c r="P240" s="4" cm="1">
        <f t="array" ref="P240">_xlfn.IFS('ProductSprint Backlog'!$F240="", "", AND('ProductSprint Backlog'!$J240&gt;P$2,'ProductSprint Backlog'!$I240&lt;=P$2), 'ProductSprint Backlog'!$F240 / MAX(1, 'ProductSprint Backlog'!$J240-'ProductSprint Backlog'!$I240), AND('ProductSprint Backlog'!$J240=P$2,'ProductSprint Backlog'!$I240=P$2), 'ProductSprint Backlog'!$F240, TRUE, 0)</f>
        <v>0</v>
      </c>
      <c r="Q240" s="4" cm="1">
        <f t="array" ref="Q240">_xlfn.IFS('ProductSprint Backlog'!$F240="", "", AND('ProductSprint Backlog'!$J240&gt;Q$2,'ProductSprint Backlog'!$I240&lt;=Q$2), 'ProductSprint Backlog'!$F240 / MAX(1, 'ProductSprint Backlog'!$J240-'ProductSprint Backlog'!$I240), AND('ProductSprint Backlog'!$J240=Q$2,'ProductSprint Backlog'!$I240=Q$2), 'ProductSprint Backlog'!$F240, TRUE, 0)</f>
        <v>0</v>
      </c>
      <c r="R240" s="4" cm="1">
        <f t="array" ref="R240">_xlfn.IFS('ProductSprint Backlog'!$F240="", "", AND('ProductSprint Backlog'!$J240&gt;R$2,'ProductSprint Backlog'!$I240&lt;=R$2), 'ProductSprint Backlog'!$F240 / MAX(1, 'ProductSprint Backlog'!$J240-'ProductSprint Backlog'!$I240), AND('ProductSprint Backlog'!$J240=R$2,'ProductSprint Backlog'!$I240=R$2), 'ProductSprint Backlog'!$F240, TRUE, 0)</f>
        <v>0</v>
      </c>
      <c r="S240" s="4" cm="1">
        <f t="array" ref="S240">_xlfn.IFS('ProductSprint Backlog'!$F240="", "", AND('ProductSprint Backlog'!$J240&gt;S$2,'ProductSprint Backlog'!$I240&lt;=S$2), 'ProductSprint Backlog'!$F240 / MAX(1, 'ProductSprint Backlog'!$J240-'ProductSprint Backlog'!$I240), AND('ProductSprint Backlog'!$J240=S$2,'ProductSprint Backlog'!$I240=S$2), 'ProductSprint Backlog'!$F240, TRUE, 0)</f>
        <v>0</v>
      </c>
      <c r="T240" s="4" cm="1">
        <f t="array" ref="T240">_xlfn.IFS('ProductSprint Backlog'!$F240="", "", AND('ProductSprint Backlog'!$J240&gt;T$2,'ProductSprint Backlog'!$I240&lt;=T$2), 'ProductSprint Backlog'!$F240 / MAX(1, 'ProductSprint Backlog'!$J240-'ProductSprint Backlog'!$I240), AND('ProductSprint Backlog'!$J240=T$2,'ProductSprint Backlog'!$I240=T$2), 'ProductSprint Backlog'!$F240, TRUE, 0)</f>
        <v>0</v>
      </c>
    </row>
    <row r="241" spans="2:20" x14ac:dyDescent="0.2">
      <c r="B241" s="4" cm="1">
        <f t="array" ref="B241">_xlfn.IFS('ProductSprint Backlog'!$F241="", "", AND('ProductSprint Backlog'!$J241&gt;B$2,'ProductSprint Backlog'!$I241&lt;=B$2), 'ProductSprint Backlog'!$F241 / MAX(1, 'ProductSprint Backlog'!$J241-'ProductSprint Backlog'!$I241), AND('ProductSprint Backlog'!$J241=B$2,'ProductSprint Backlog'!$I241=B$2), 'ProductSprint Backlog'!$F241, TRUE, 0)</f>
        <v>0</v>
      </c>
      <c r="C241" s="4" cm="1">
        <f t="array" ref="C241">_xlfn.IFS('ProductSprint Backlog'!$F241="", "", AND('ProductSprint Backlog'!$J241&gt;C$2,'ProductSprint Backlog'!$I241&lt;=C$2), 'ProductSprint Backlog'!$F241 / MAX(1, 'ProductSprint Backlog'!$J241-'ProductSprint Backlog'!$I241), AND('ProductSprint Backlog'!$J241=C$2,'ProductSprint Backlog'!$I241=C$2), 'ProductSprint Backlog'!$F241, TRUE, 0)</f>
        <v>0</v>
      </c>
      <c r="D241" s="4" cm="1">
        <f t="array" ref="D241">_xlfn.IFS('ProductSprint Backlog'!$F241="", "", AND('ProductSprint Backlog'!$J241&gt;D$2,'ProductSprint Backlog'!$I241&lt;=D$2), 'ProductSprint Backlog'!$F241 / MAX(1, 'ProductSprint Backlog'!$J241-'ProductSprint Backlog'!$I241), AND('ProductSprint Backlog'!$J241=D$2,'ProductSprint Backlog'!$I241=D$2), 'ProductSprint Backlog'!$F241, TRUE, 0)</f>
        <v>0</v>
      </c>
      <c r="E241" s="4" cm="1">
        <f t="array" ref="E241">_xlfn.IFS('ProductSprint Backlog'!$F241="", "", AND('ProductSprint Backlog'!$J241&gt;E$2,'ProductSprint Backlog'!$I241&lt;=E$2), 'ProductSprint Backlog'!$F241 / MAX(1, 'ProductSprint Backlog'!$J241-'ProductSprint Backlog'!$I241), AND('ProductSprint Backlog'!$J241=E$2,'ProductSprint Backlog'!$I241=E$2), 'ProductSprint Backlog'!$F241, TRUE, 0)</f>
        <v>0</v>
      </c>
      <c r="F241" s="4" cm="1">
        <f t="array" ref="F241">_xlfn.IFS('ProductSprint Backlog'!$F241="", "", AND('ProductSprint Backlog'!$J241&gt;F$2,'ProductSprint Backlog'!$I241&lt;=F$2), 'ProductSprint Backlog'!$F241 / MAX(1, 'ProductSprint Backlog'!$J241-'ProductSprint Backlog'!$I241), AND('ProductSprint Backlog'!$J241=F$2,'ProductSprint Backlog'!$I241=F$2), 'ProductSprint Backlog'!$F241, TRUE, 0)</f>
        <v>0</v>
      </c>
      <c r="G241" s="4" cm="1">
        <f t="array" ref="G241">_xlfn.IFS('ProductSprint Backlog'!$F241="", "", AND('ProductSprint Backlog'!$J241&gt;G$2,'ProductSprint Backlog'!$I241&lt;=G$2), 'ProductSprint Backlog'!$F241 / MAX(1, 'ProductSprint Backlog'!$J241-'ProductSprint Backlog'!$I241), AND('ProductSprint Backlog'!$J241=G$2,'ProductSprint Backlog'!$I241=G$2), 'ProductSprint Backlog'!$F241, TRUE, 0)</f>
        <v>0</v>
      </c>
      <c r="H241" s="4" cm="1">
        <f t="array" ref="H241">_xlfn.IFS('ProductSprint Backlog'!$F241="", "", AND('ProductSprint Backlog'!$J241&gt;H$2,'ProductSprint Backlog'!$I241&lt;=H$2), 'ProductSprint Backlog'!$F241 / MAX(1, 'ProductSprint Backlog'!$J241-'ProductSprint Backlog'!$I241), AND('ProductSprint Backlog'!$J241=H$2,'ProductSprint Backlog'!$I241=H$2), 'ProductSprint Backlog'!$F241, TRUE, 0)</f>
        <v>0</v>
      </c>
      <c r="I241" s="4" cm="1">
        <f t="array" ref="I241">_xlfn.IFS('ProductSprint Backlog'!$F241="", "", AND('ProductSprint Backlog'!$J241&gt;I$2,'ProductSprint Backlog'!$I241&lt;=I$2), 'ProductSprint Backlog'!$F241 / MAX(1, 'ProductSprint Backlog'!$J241-'ProductSprint Backlog'!$I241), AND('ProductSprint Backlog'!$J241=I$2,'ProductSprint Backlog'!$I241=I$2), 'ProductSprint Backlog'!$F241, TRUE, 0)</f>
        <v>0</v>
      </c>
      <c r="J241" s="4" cm="1">
        <f t="array" ref="J241">_xlfn.IFS('ProductSprint Backlog'!$F241="", "", AND('ProductSprint Backlog'!$J241&gt;J$2,'ProductSprint Backlog'!$I241&lt;=J$2), 'ProductSprint Backlog'!$F241 / MAX(1, 'ProductSprint Backlog'!$J241-'ProductSprint Backlog'!$I241), AND('ProductSprint Backlog'!$J241=J$2,'ProductSprint Backlog'!$I241=J$2), 'ProductSprint Backlog'!$F241, TRUE, 0)</f>
        <v>0</v>
      </c>
      <c r="K241" s="4" cm="1">
        <f t="array" ref="K241">_xlfn.IFS('ProductSprint Backlog'!$F241="", "", AND('ProductSprint Backlog'!$J241&gt;K$2,'ProductSprint Backlog'!$I241&lt;=K$2), 'ProductSprint Backlog'!$F241 / MAX(1, 'ProductSprint Backlog'!$J241-'ProductSprint Backlog'!$I241), AND('ProductSprint Backlog'!$J241=K$2,'ProductSprint Backlog'!$I241=K$2), 'ProductSprint Backlog'!$F241, TRUE, 0)</f>
        <v>0</v>
      </c>
      <c r="L241" s="4" cm="1">
        <f t="array" ref="L241">_xlfn.IFS('ProductSprint Backlog'!$F241="", "", AND('ProductSprint Backlog'!$J241&gt;L$2,'ProductSprint Backlog'!$I241&lt;=L$2), 'ProductSprint Backlog'!$F241 / MAX(1, 'ProductSprint Backlog'!$J241-'ProductSprint Backlog'!$I241), AND('ProductSprint Backlog'!$J241=L$2,'ProductSprint Backlog'!$I241=L$2), 'ProductSprint Backlog'!$F241, TRUE, 0)</f>
        <v>0</v>
      </c>
      <c r="M241" s="4" cm="1">
        <f t="array" ref="M241">_xlfn.IFS('ProductSprint Backlog'!$F241="", "", AND('ProductSprint Backlog'!$J241&gt;M$2,'ProductSprint Backlog'!$I241&lt;=M$2), 'ProductSprint Backlog'!$F241 / MAX(1, 'ProductSprint Backlog'!$J241-'ProductSprint Backlog'!$I241), AND('ProductSprint Backlog'!$J241=M$2,'ProductSprint Backlog'!$I241=M$2), 'ProductSprint Backlog'!$F241, TRUE, 0)</f>
        <v>0</v>
      </c>
      <c r="N241" s="4" cm="1">
        <f t="array" ref="N241">_xlfn.IFS('ProductSprint Backlog'!$F241="", "", AND('ProductSprint Backlog'!$J241&gt;N$2,'ProductSprint Backlog'!$I241&lt;=N$2), 'ProductSprint Backlog'!$F241 / MAX(1, 'ProductSprint Backlog'!$J241-'ProductSprint Backlog'!$I241), AND('ProductSprint Backlog'!$J241=N$2,'ProductSprint Backlog'!$I241=N$2), 'ProductSprint Backlog'!$F241, TRUE, 0)</f>
        <v>0</v>
      </c>
      <c r="O241" s="4" cm="1">
        <f t="array" ref="O241">_xlfn.IFS('ProductSprint Backlog'!$F241="", "", AND('ProductSprint Backlog'!$J241&gt;O$2,'ProductSprint Backlog'!$I241&lt;=O$2), 'ProductSprint Backlog'!$F241 / MAX(1, 'ProductSprint Backlog'!$J241-'ProductSprint Backlog'!$I241), AND('ProductSprint Backlog'!$J241=O$2,'ProductSprint Backlog'!$I241=O$2), 'ProductSprint Backlog'!$F241, TRUE, 0)</f>
        <v>0</v>
      </c>
      <c r="P241" s="4" cm="1">
        <f t="array" ref="P241">_xlfn.IFS('ProductSprint Backlog'!$F241="", "", AND('ProductSprint Backlog'!$J241&gt;P$2,'ProductSprint Backlog'!$I241&lt;=P$2), 'ProductSprint Backlog'!$F241 / MAX(1, 'ProductSprint Backlog'!$J241-'ProductSprint Backlog'!$I241), AND('ProductSprint Backlog'!$J241=P$2,'ProductSprint Backlog'!$I241=P$2), 'ProductSprint Backlog'!$F241, TRUE, 0)</f>
        <v>0</v>
      </c>
      <c r="Q241" s="4" cm="1">
        <f t="array" ref="Q241">_xlfn.IFS('ProductSprint Backlog'!$F241="", "", AND('ProductSprint Backlog'!$J241&gt;Q$2,'ProductSprint Backlog'!$I241&lt;=Q$2), 'ProductSprint Backlog'!$F241 / MAX(1, 'ProductSprint Backlog'!$J241-'ProductSprint Backlog'!$I241), AND('ProductSprint Backlog'!$J241=Q$2,'ProductSprint Backlog'!$I241=Q$2), 'ProductSprint Backlog'!$F241, TRUE, 0)</f>
        <v>0</v>
      </c>
      <c r="R241" s="4" cm="1">
        <f t="array" ref="R241">_xlfn.IFS('ProductSprint Backlog'!$F241="", "", AND('ProductSprint Backlog'!$J241&gt;R$2,'ProductSprint Backlog'!$I241&lt;=R$2), 'ProductSprint Backlog'!$F241 / MAX(1, 'ProductSprint Backlog'!$J241-'ProductSprint Backlog'!$I241), AND('ProductSprint Backlog'!$J241=R$2,'ProductSprint Backlog'!$I241=R$2), 'ProductSprint Backlog'!$F241, TRUE, 0)</f>
        <v>0</v>
      </c>
      <c r="S241" s="4" cm="1">
        <f t="array" ref="S241">_xlfn.IFS('ProductSprint Backlog'!$F241="", "", AND('ProductSprint Backlog'!$J241&gt;S$2,'ProductSprint Backlog'!$I241&lt;=S$2), 'ProductSprint Backlog'!$F241 / MAX(1, 'ProductSprint Backlog'!$J241-'ProductSprint Backlog'!$I241), AND('ProductSprint Backlog'!$J241=S$2,'ProductSprint Backlog'!$I241=S$2), 'ProductSprint Backlog'!$F241, TRUE, 0)</f>
        <v>0</v>
      </c>
      <c r="T241" s="4" cm="1">
        <f t="array" ref="T241">_xlfn.IFS('ProductSprint Backlog'!$F241="", "", AND('ProductSprint Backlog'!$J241&gt;T$2,'ProductSprint Backlog'!$I241&lt;=T$2), 'ProductSprint Backlog'!$F241 / MAX(1, 'ProductSprint Backlog'!$J241-'ProductSprint Backlog'!$I241), AND('ProductSprint Backlog'!$J241=T$2,'ProductSprint Backlog'!$I241=T$2), 'ProductSprint Backlog'!$F241, TRUE, 0)</f>
        <v>0</v>
      </c>
    </row>
    <row r="242" spans="2:20" x14ac:dyDescent="0.2">
      <c r="B242" s="4" cm="1">
        <f t="array" ref="B242">_xlfn.IFS('ProductSprint Backlog'!$F242="", "", AND('ProductSprint Backlog'!$J242&gt;B$2,'ProductSprint Backlog'!$I242&lt;=B$2), 'ProductSprint Backlog'!$F242 / MAX(1, 'ProductSprint Backlog'!$J242-'ProductSprint Backlog'!$I242), AND('ProductSprint Backlog'!$J242=B$2,'ProductSprint Backlog'!$I242=B$2), 'ProductSprint Backlog'!$F242, TRUE, 0)</f>
        <v>0</v>
      </c>
      <c r="C242" s="4" cm="1">
        <f t="array" ref="C242">_xlfn.IFS('ProductSprint Backlog'!$F242="", "", AND('ProductSprint Backlog'!$J242&gt;C$2,'ProductSprint Backlog'!$I242&lt;=C$2), 'ProductSprint Backlog'!$F242 / MAX(1, 'ProductSprint Backlog'!$J242-'ProductSprint Backlog'!$I242), AND('ProductSprint Backlog'!$J242=C$2,'ProductSprint Backlog'!$I242=C$2), 'ProductSprint Backlog'!$F242, TRUE, 0)</f>
        <v>0</v>
      </c>
      <c r="D242" s="4" cm="1">
        <f t="array" ref="D242">_xlfn.IFS('ProductSprint Backlog'!$F242="", "", AND('ProductSprint Backlog'!$J242&gt;D$2,'ProductSprint Backlog'!$I242&lt;=D$2), 'ProductSprint Backlog'!$F242 / MAX(1, 'ProductSprint Backlog'!$J242-'ProductSprint Backlog'!$I242), AND('ProductSprint Backlog'!$J242=D$2,'ProductSprint Backlog'!$I242=D$2), 'ProductSprint Backlog'!$F242, TRUE, 0)</f>
        <v>0</v>
      </c>
      <c r="E242" s="4" cm="1">
        <f t="array" ref="E242">_xlfn.IFS('ProductSprint Backlog'!$F242="", "", AND('ProductSprint Backlog'!$J242&gt;E$2,'ProductSprint Backlog'!$I242&lt;=E$2), 'ProductSprint Backlog'!$F242 / MAX(1, 'ProductSprint Backlog'!$J242-'ProductSprint Backlog'!$I242), AND('ProductSprint Backlog'!$J242=E$2,'ProductSprint Backlog'!$I242=E$2), 'ProductSprint Backlog'!$F242, TRUE, 0)</f>
        <v>0</v>
      </c>
      <c r="F242" s="4" cm="1">
        <f t="array" ref="F242">_xlfn.IFS('ProductSprint Backlog'!$F242="", "", AND('ProductSprint Backlog'!$J242&gt;F$2,'ProductSprint Backlog'!$I242&lt;=F$2), 'ProductSprint Backlog'!$F242 / MAX(1, 'ProductSprint Backlog'!$J242-'ProductSprint Backlog'!$I242), AND('ProductSprint Backlog'!$J242=F$2,'ProductSprint Backlog'!$I242=F$2), 'ProductSprint Backlog'!$F242, TRUE, 0)</f>
        <v>0</v>
      </c>
      <c r="G242" s="4" cm="1">
        <f t="array" ref="G242">_xlfn.IFS('ProductSprint Backlog'!$F242="", "", AND('ProductSprint Backlog'!$J242&gt;G$2,'ProductSprint Backlog'!$I242&lt;=G$2), 'ProductSprint Backlog'!$F242 / MAX(1, 'ProductSprint Backlog'!$J242-'ProductSprint Backlog'!$I242), AND('ProductSprint Backlog'!$J242=G$2,'ProductSprint Backlog'!$I242=G$2), 'ProductSprint Backlog'!$F242, TRUE, 0)</f>
        <v>0</v>
      </c>
      <c r="H242" s="4" cm="1">
        <f t="array" ref="H242">_xlfn.IFS('ProductSprint Backlog'!$F242="", "", AND('ProductSprint Backlog'!$J242&gt;H$2,'ProductSprint Backlog'!$I242&lt;=H$2), 'ProductSprint Backlog'!$F242 / MAX(1, 'ProductSprint Backlog'!$J242-'ProductSprint Backlog'!$I242), AND('ProductSprint Backlog'!$J242=H$2,'ProductSprint Backlog'!$I242=H$2), 'ProductSprint Backlog'!$F242, TRUE, 0)</f>
        <v>0</v>
      </c>
      <c r="I242" s="4" cm="1">
        <f t="array" ref="I242">_xlfn.IFS('ProductSprint Backlog'!$F242="", "", AND('ProductSprint Backlog'!$J242&gt;I$2,'ProductSprint Backlog'!$I242&lt;=I$2), 'ProductSprint Backlog'!$F242 / MAX(1, 'ProductSprint Backlog'!$J242-'ProductSprint Backlog'!$I242), AND('ProductSprint Backlog'!$J242=I$2,'ProductSprint Backlog'!$I242=I$2), 'ProductSprint Backlog'!$F242, TRUE, 0)</f>
        <v>0</v>
      </c>
      <c r="J242" s="4" cm="1">
        <f t="array" ref="J242">_xlfn.IFS('ProductSprint Backlog'!$F242="", "", AND('ProductSprint Backlog'!$J242&gt;J$2,'ProductSprint Backlog'!$I242&lt;=J$2), 'ProductSprint Backlog'!$F242 / MAX(1, 'ProductSprint Backlog'!$J242-'ProductSprint Backlog'!$I242), AND('ProductSprint Backlog'!$J242=J$2,'ProductSprint Backlog'!$I242=J$2), 'ProductSprint Backlog'!$F242, TRUE, 0)</f>
        <v>0</v>
      </c>
      <c r="K242" s="4" cm="1">
        <f t="array" ref="K242">_xlfn.IFS('ProductSprint Backlog'!$F242="", "", AND('ProductSprint Backlog'!$J242&gt;K$2,'ProductSprint Backlog'!$I242&lt;=K$2), 'ProductSprint Backlog'!$F242 / MAX(1, 'ProductSprint Backlog'!$J242-'ProductSprint Backlog'!$I242), AND('ProductSprint Backlog'!$J242=K$2,'ProductSprint Backlog'!$I242=K$2), 'ProductSprint Backlog'!$F242, TRUE, 0)</f>
        <v>0</v>
      </c>
      <c r="L242" s="4" cm="1">
        <f t="array" ref="L242">_xlfn.IFS('ProductSprint Backlog'!$F242="", "", AND('ProductSprint Backlog'!$J242&gt;L$2,'ProductSprint Backlog'!$I242&lt;=L$2), 'ProductSprint Backlog'!$F242 / MAX(1, 'ProductSprint Backlog'!$J242-'ProductSprint Backlog'!$I242), AND('ProductSprint Backlog'!$J242=L$2,'ProductSprint Backlog'!$I242=L$2), 'ProductSprint Backlog'!$F242, TRUE, 0)</f>
        <v>0</v>
      </c>
      <c r="M242" s="4" cm="1">
        <f t="array" ref="M242">_xlfn.IFS('ProductSprint Backlog'!$F242="", "", AND('ProductSprint Backlog'!$J242&gt;M$2,'ProductSprint Backlog'!$I242&lt;=M$2), 'ProductSprint Backlog'!$F242 / MAX(1, 'ProductSprint Backlog'!$J242-'ProductSprint Backlog'!$I242), AND('ProductSprint Backlog'!$J242=M$2,'ProductSprint Backlog'!$I242=M$2), 'ProductSprint Backlog'!$F242, TRUE, 0)</f>
        <v>0</v>
      </c>
      <c r="N242" s="4" cm="1">
        <f t="array" ref="N242">_xlfn.IFS('ProductSprint Backlog'!$F242="", "", AND('ProductSprint Backlog'!$J242&gt;N$2,'ProductSprint Backlog'!$I242&lt;=N$2), 'ProductSprint Backlog'!$F242 / MAX(1, 'ProductSprint Backlog'!$J242-'ProductSprint Backlog'!$I242), AND('ProductSprint Backlog'!$J242=N$2,'ProductSprint Backlog'!$I242=N$2), 'ProductSprint Backlog'!$F242, TRUE, 0)</f>
        <v>0</v>
      </c>
      <c r="O242" s="4" cm="1">
        <f t="array" ref="O242">_xlfn.IFS('ProductSprint Backlog'!$F242="", "", AND('ProductSprint Backlog'!$J242&gt;O$2,'ProductSprint Backlog'!$I242&lt;=O$2), 'ProductSprint Backlog'!$F242 / MAX(1, 'ProductSprint Backlog'!$J242-'ProductSprint Backlog'!$I242), AND('ProductSprint Backlog'!$J242=O$2,'ProductSprint Backlog'!$I242=O$2), 'ProductSprint Backlog'!$F242, TRUE, 0)</f>
        <v>0</v>
      </c>
      <c r="P242" s="4" cm="1">
        <f t="array" ref="P242">_xlfn.IFS('ProductSprint Backlog'!$F242="", "", AND('ProductSprint Backlog'!$J242&gt;P$2,'ProductSprint Backlog'!$I242&lt;=P$2), 'ProductSprint Backlog'!$F242 / MAX(1, 'ProductSprint Backlog'!$J242-'ProductSprint Backlog'!$I242), AND('ProductSprint Backlog'!$J242=P$2,'ProductSprint Backlog'!$I242=P$2), 'ProductSprint Backlog'!$F242, TRUE, 0)</f>
        <v>0</v>
      </c>
      <c r="Q242" s="4" cm="1">
        <f t="array" ref="Q242">_xlfn.IFS('ProductSprint Backlog'!$F242="", "", AND('ProductSprint Backlog'!$J242&gt;Q$2,'ProductSprint Backlog'!$I242&lt;=Q$2), 'ProductSprint Backlog'!$F242 / MAX(1, 'ProductSprint Backlog'!$J242-'ProductSprint Backlog'!$I242), AND('ProductSprint Backlog'!$J242=Q$2,'ProductSprint Backlog'!$I242=Q$2), 'ProductSprint Backlog'!$F242, TRUE, 0)</f>
        <v>0</v>
      </c>
      <c r="R242" s="4" cm="1">
        <f t="array" ref="R242">_xlfn.IFS('ProductSprint Backlog'!$F242="", "", AND('ProductSprint Backlog'!$J242&gt;R$2,'ProductSprint Backlog'!$I242&lt;=R$2), 'ProductSprint Backlog'!$F242 / MAX(1, 'ProductSprint Backlog'!$J242-'ProductSprint Backlog'!$I242), AND('ProductSprint Backlog'!$J242=R$2,'ProductSprint Backlog'!$I242=R$2), 'ProductSprint Backlog'!$F242, TRUE, 0)</f>
        <v>0</v>
      </c>
      <c r="S242" s="4" cm="1">
        <f t="array" ref="S242">_xlfn.IFS('ProductSprint Backlog'!$F242="", "", AND('ProductSprint Backlog'!$J242&gt;S$2,'ProductSprint Backlog'!$I242&lt;=S$2), 'ProductSprint Backlog'!$F242 / MAX(1, 'ProductSprint Backlog'!$J242-'ProductSprint Backlog'!$I242), AND('ProductSprint Backlog'!$J242=S$2,'ProductSprint Backlog'!$I242=S$2), 'ProductSprint Backlog'!$F242, TRUE, 0)</f>
        <v>0</v>
      </c>
      <c r="T242" s="4" cm="1">
        <f t="array" ref="T242">_xlfn.IFS('ProductSprint Backlog'!$F242="", "", AND('ProductSprint Backlog'!$J242&gt;T$2,'ProductSprint Backlog'!$I242&lt;=T$2), 'ProductSprint Backlog'!$F242 / MAX(1, 'ProductSprint Backlog'!$J242-'ProductSprint Backlog'!$I242), AND('ProductSprint Backlog'!$J242=T$2,'ProductSprint Backlog'!$I242=T$2), 'ProductSprint Backlog'!$F242, TRUE, 0)</f>
        <v>0</v>
      </c>
    </row>
    <row r="243" spans="2:20" x14ac:dyDescent="0.2">
      <c r="B243" s="4" cm="1">
        <f t="array" ref="B243">_xlfn.IFS('ProductSprint Backlog'!$F243="", "", AND('ProductSprint Backlog'!$J243&gt;B$2,'ProductSprint Backlog'!$I243&lt;=B$2), 'ProductSprint Backlog'!$F243 / MAX(1, 'ProductSprint Backlog'!$J243-'ProductSprint Backlog'!$I243), AND('ProductSprint Backlog'!$J243=B$2,'ProductSprint Backlog'!$I243=B$2), 'ProductSprint Backlog'!$F243, TRUE, 0)</f>
        <v>0</v>
      </c>
      <c r="C243" s="4" cm="1">
        <f t="array" ref="C243">_xlfn.IFS('ProductSprint Backlog'!$F243="", "", AND('ProductSprint Backlog'!$J243&gt;C$2,'ProductSprint Backlog'!$I243&lt;=C$2), 'ProductSprint Backlog'!$F243 / MAX(1, 'ProductSprint Backlog'!$J243-'ProductSprint Backlog'!$I243), AND('ProductSprint Backlog'!$J243=C$2,'ProductSprint Backlog'!$I243=C$2), 'ProductSprint Backlog'!$F243, TRUE, 0)</f>
        <v>0</v>
      </c>
      <c r="D243" s="4" cm="1">
        <f t="array" ref="D243">_xlfn.IFS('ProductSprint Backlog'!$F243="", "", AND('ProductSprint Backlog'!$J243&gt;D$2,'ProductSprint Backlog'!$I243&lt;=D$2), 'ProductSprint Backlog'!$F243 / MAX(1, 'ProductSprint Backlog'!$J243-'ProductSprint Backlog'!$I243), AND('ProductSprint Backlog'!$J243=D$2,'ProductSprint Backlog'!$I243=D$2), 'ProductSprint Backlog'!$F243, TRUE, 0)</f>
        <v>0</v>
      </c>
      <c r="E243" s="4" cm="1">
        <f t="array" ref="E243">_xlfn.IFS('ProductSprint Backlog'!$F243="", "", AND('ProductSprint Backlog'!$J243&gt;E$2,'ProductSprint Backlog'!$I243&lt;=E$2), 'ProductSprint Backlog'!$F243 / MAX(1, 'ProductSprint Backlog'!$J243-'ProductSprint Backlog'!$I243), AND('ProductSprint Backlog'!$J243=E$2,'ProductSprint Backlog'!$I243=E$2), 'ProductSprint Backlog'!$F243, TRUE, 0)</f>
        <v>0</v>
      </c>
      <c r="F243" s="4" cm="1">
        <f t="array" ref="F243">_xlfn.IFS('ProductSprint Backlog'!$F243="", "", AND('ProductSprint Backlog'!$J243&gt;F$2,'ProductSprint Backlog'!$I243&lt;=F$2), 'ProductSprint Backlog'!$F243 / MAX(1, 'ProductSprint Backlog'!$J243-'ProductSprint Backlog'!$I243), AND('ProductSprint Backlog'!$J243=F$2,'ProductSprint Backlog'!$I243=F$2), 'ProductSprint Backlog'!$F243, TRUE, 0)</f>
        <v>0</v>
      </c>
      <c r="G243" s="4" cm="1">
        <f t="array" ref="G243">_xlfn.IFS('ProductSprint Backlog'!$F243="", "", AND('ProductSprint Backlog'!$J243&gt;G$2,'ProductSprint Backlog'!$I243&lt;=G$2), 'ProductSprint Backlog'!$F243 / MAX(1, 'ProductSprint Backlog'!$J243-'ProductSprint Backlog'!$I243), AND('ProductSprint Backlog'!$J243=G$2,'ProductSprint Backlog'!$I243=G$2), 'ProductSprint Backlog'!$F243, TRUE, 0)</f>
        <v>0</v>
      </c>
      <c r="H243" s="4" cm="1">
        <f t="array" ref="H243">_xlfn.IFS('ProductSprint Backlog'!$F243="", "", AND('ProductSprint Backlog'!$J243&gt;H$2,'ProductSprint Backlog'!$I243&lt;=H$2), 'ProductSprint Backlog'!$F243 / MAX(1, 'ProductSprint Backlog'!$J243-'ProductSprint Backlog'!$I243), AND('ProductSprint Backlog'!$J243=H$2,'ProductSprint Backlog'!$I243=H$2), 'ProductSprint Backlog'!$F243, TRUE, 0)</f>
        <v>0</v>
      </c>
      <c r="I243" s="4" cm="1">
        <f t="array" ref="I243">_xlfn.IFS('ProductSprint Backlog'!$F243="", "", AND('ProductSprint Backlog'!$J243&gt;I$2,'ProductSprint Backlog'!$I243&lt;=I$2), 'ProductSprint Backlog'!$F243 / MAX(1, 'ProductSprint Backlog'!$J243-'ProductSprint Backlog'!$I243), AND('ProductSprint Backlog'!$J243=I$2,'ProductSprint Backlog'!$I243=I$2), 'ProductSprint Backlog'!$F243, TRUE, 0)</f>
        <v>0</v>
      </c>
      <c r="J243" s="4" cm="1">
        <f t="array" ref="J243">_xlfn.IFS('ProductSprint Backlog'!$F243="", "", AND('ProductSprint Backlog'!$J243&gt;J$2,'ProductSprint Backlog'!$I243&lt;=J$2), 'ProductSprint Backlog'!$F243 / MAX(1, 'ProductSprint Backlog'!$J243-'ProductSprint Backlog'!$I243), AND('ProductSprint Backlog'!$J243=J$2,'ProductSprint Backlog'!$I243=J$2), 'ProductSprint Backlog'!$F243, TRUE, 0)</f>
        <v>0</v>
      </c>
      <c r="K243" s="4" cm="1">
        <f t="array" ref="K243">_xlfn.IFS('ProductSprint Backlog'!$F243="", "", AND('ProductSprint Backlog'!$J243&gt;K$2,'ProductSprint Backlog'!$I243&lt;=K$2), 'ProductSprint Backlog'!$F243 / MAX(1, 'ProductSprint Backlog'!$J243-'ProductSprint Backlog'!$I243), AND('ProductSprint Backlog'!$J243=K$2,'ProductSprint Backlog'!$I243=K$2), 'ProductSprint Backlog'!$F243, TRUE, 0)</f>
        <v>0</v>
      </c>
      <c r="L243" s="4" cm="1">
        <f t="array" ref="L243">_xlfn.IFS('ProductSprint Backlog'!$F243="", "", AND('ProductSprint Backlog'!$J243&gt;L$2,'ProductSprint Backlog'!$I243&lt;=L$2), 'ProductSprint Backlog'!$F243 / MAX(1, 'ProductSprint Backlog'!$J243-'ProductSprint Backlog'!$I243), AND('ProductSprint Backlog'!$J243=L$2,'ProductSprint Backlog'!$I243=L$2), 'ProductSprint Backlog'!$F243, TRUE, 0)</f>
        <v>0</v>
      </c>
      <c r="M243" s="4" cm="1">
        <f t="array" ref="M243">_xlfn.IFS('ProductSprint Backlog'!$F243="", "", AND('ProductSprint Backlog'!$J243&gt;M$2,'ProductSprint Backlog'!$I243&lt;=M$2), 'ProductSprint Backlog'!$F243 / MAX(1, 'ProductSprint Backlog'!$J243-'ProductSprint Backlog'!$I243), AND('ProductSprint Backlog'!$J243=M$2,'ProductSprint Backlog'!$I243=M$2), 'ProductSprint Backlog'!$F243, TRUE, 0)</f>
        <v>0</v>
      </c>
      <c r="N243" s="4" cm="1">
        <f t="array" ref="N243">_xlfn.IFS('ProductSprint Backlog'!$F243="", "", AND('ProductSprint Backlog'!$J243&gt;N$2,'ProductSprint Backlog'!$I243&lt;=N$2), 'ProductSprint Backlog'!$F243 / MAX(1, 'ProductSprint Backlog'!$J243-'ProductSprint Backlog'!$I243), AND('ProductSprint Backlog'!$J243=N$2,'ProductSprint Backlog'!$I243=N$2), 'ProductSprint Backlog'!$F243, TRUE, 0)</f>
        <v>0</v>
      </c>
      <c r="O243" s="4" cm="1">
        <f t="array" ref="O243">_xlfn.IFS('ProductSprint Backlog'!$F243="", "", AND('ProductSprint Backlog'!$J243&gt;O$2,'ProductSprint Backlog'!$I243&lt;=O$2), 'ProductSprint Backlog'!$F243 / MAX(1, 'ProductSprint Backlog'!$J243-'ProductSprint Backlog'!$I243), AND('ProductSprint Backlog'!$J243=O$2,'ProductSprint Backlog'!$I243=O$2), 'ProductSprint Backlog'!$F243, TRUE, 0)</f>
        <v>0</v>
      </c>
      <c r="P243" s="4" cm="1">
        <f t="array" ref="P243">_xlfn.IFS('ProductSprint Backlog'!$F243="", "", AND('ProductSprint Backlog'!$J243&gt;P$2,'ProductSprint Backlog'!$I243&lt;=P$2), 'ProductSprint Backlog'!$F243 / MAX(1, 'ProductSprint Backlog'!$J243-'ProductSprint Backlog'!$I243), AND('ProductSprint Backlog'!$J243=P$2,'ProductSprint Backlog'!$I243=P$2), 'ProductSprint Backlog'!$F243, TRUE, 0)</f>
        <v>0</v>
      </c>
      <c r="Q243" s="4" cm="1">
        <f t="array" ref="Q243">_xlfn.IFS('ProductSprint Backlog'!$F243="", "", AND('ProductSprint Backlog'!$J243&gt;Q$2,'ProductSprint Backlog'!$I243&lt;=Q$2), 'ProductSprint Backlog'!$F243 / MAX(1, 'ProductSprint Backlog'!$J243-'ProductSprint Backlog'!$I243), AND('ProductSprint Backlog'!$J243=Q$2,'ProductSprint Backlog'!$I243=Q$2), 'ProductSprint Backlog'!$F243, TRUE, 0)</f>
        <v>0</v>
      </c>
      <c r="R243" s="4" cm="1">
        <f t="array" ref="R243">_xlfn.IFS('ProductSprint Backlog'!$F243="", "", AND('ProductSprint Backlog'!$J243&gt;R$2,'ProductSprint Backlog'!$I243&lt;=R$2), 'ProductSprint Backlog'!$F243 / MAX(1, 'ProductSprint Backlog'!$J243-'ProductSprint Backlog'!$I243), AND('ProductSprint Backlog'!$J243=R$2,'ProductSprint Backlog'!$I243=R$2), 'ProductSprint Backlog'!$F243, TRUE, 0)</f>
        <v>0</v>
      </c>
      <c r="S243" s="4" cm="1">
        <f t="array" ref="S243">_xlfn.IFS('ProductSprint Backlog'!$F243="", "", AND('ProductSprint Backlog'!$J243&gt;S$2,'ProductSprint Backlog'!$I243&lt;=S$2), 'ProductSprint Backlog'!$F243 / MAX(1, 'ProductSprint Backlog'!$J243-'ProductSprint Backlog'!$I243), AND('ProductSprint Backlog'!$J243=S$2,'ProductSprint Backlog'!$I243=S$2), 'ProductSprint Backlog'!$F243, TRUE, 0)</f>
        <v>0</v>
      </c>
      <c r="T243" s="4" cm="1">
        <f t="array" ref="T243">_xlfn.IFS('ProductSprint Backlog'!$F243="", "", AND('ProductSprint Backlog'!$J243&gt;T$2,'ProductSprint Backlog'!$I243&lt;=T$2), 'ProductSprint Backlog'!$F243 / MAX(1, 'ProductSprint Backlog'!$J243-'ProductSprint Backlog'!$I243), AND('ProductSprint Backlog'!$J243=T$2,'ProductSprint Backlog'!$I243=T$2), 'ProductSprint Backlog'!$F243, TRUE, 0)</f>
        <v>0</v>
      </c>
    </row>
    <row r="244" spans="2:20" x14ac:dyDescent="0.2">
      <c r="B244" s="4" cm="1">
        <f t="array" ref="B244">_xlfn.IFS('ProductSprint Backlog'!$F244="", "", AND('ProductSprint Backlog'!$J244&gt;B$2,'ProductSprint Backlog'!$I244&lt;=B$2), 'ProductSprint Backlog'!$F244 / MAX(1, 'ProductSprint Backlog'!$J244-'ProductSprint Backlog'!$I244), AND('ProductSprint Backlog'!$J244=B$2,'ProductSprint Backlog'!$I244=B$2), 'ProductSprint Backlog'!$F244, TRUE, 0)</f>
        <v>0</v>
      </c>
      <c r="C244" s="4" cm="1">
        <f t="array" ref="C244">_xlfn.IFS('ProductSprint Backlog'!$F244="", "", AND('ProductSprint Backlog'!$J244&gt;C$2,'ProductSprint Backlog'!$I244&lt;=C$2), 'ProductSprint Backlog'!$F244 / MAX(1, 'ProductSprint Backlog'!$J244-'ProductSprint Backlog'!$I244), AND('ProductSprint Backlog'!$J244=C$2,'ProductSprint Backlog'!$I244=C$2), 'ProductSprint Backlog'!$F244, TRUE, 0)</f>
        <v>0</v>
      </c>
      <c r="D244" s="4" cm="1">
        <f t="array" ref="D244">_xlfn.IFS('ProductSprint Backlog'!$F244="", "", AND('ProductSprint Backlog'!$J244&gt;D$2,'ProductSprint Backlog'!$I244&lt;=D$2), 'ProductSprint Backlog'!$F244 / MAX(1, 'ProductSprint Backlog'!$J244-'ProductSprint Backlog'!$I244), AND('ProductSprint Backlog'!$J244=D$2,'ProductSprint Backlog'!$I244=D$2), 'ProductSprint Backlog'!$F244, TRUE, 0)</f>
        <v>0</v>
      </c>
      <c r="E244" s="4" cm="1">
        <f t="array" ref="E244">_xlfn.IFS('ProductSprint Backlog'!$F244="", "", AND('ProductSprint Backlog'!$J244&gt;E$2,'ProductSprint Backlog'!$I244&lt;=E$2), 'ProductSprint Backlog'!$F244 / MAX(1, 'ProductSprint Backlog'!$J244-'ProductSprint Backlog'!$I244), AND('ProductSprint Backlog'!$J244=E$2,'ProductSprint Backlog'!$I244=E$2), 'ProductSprint Backlog'!$F244, TRUE, 0)</f>
        <v>0</v>
      </c>
      <c r="F244" s="4" cm="1">
        <f t="array" ref="F244">_xlfn.IFS('ProductSprint Backlog'!$F244="", "", AND('ProductSprint Backlog'!$J244&gt;F$2,'ProductSprint Backlog'!$I244&lt;=F$2), 'ProductSprint Backlog'!$F244 / MAX(1, 'ProductSprint Backlog'!$J244-'ProductSprint Backlog'!$I244), AND('ProductSprint Backlog'!$J244=F$2,'ProductSprint Backlog'!$I244=F$2), 'ProductSprint Backlog'!$F244, TRUE, 0)</f>
        <v>0</v>
      </c>
      <c r="G244" s="4" cm="1">
        <f t="array" ref="G244">_xlfn.IFS('ProductSprint Backlog'!$F244="", "", AND('ProductSprint Backlog'!$J244&gt;G$2,'ProductSprint Backlog'!$I244&lt;=G$2), 'ProductSprint Backlog'!$F244 / MAX(1, 'ProductSprint Backlog'!$J244-'ProductSprint Backlog'!$I244), AND('ProductSprint Backlog'!$J244=G$2,'ProductSprint Backlog'!$I244=G$2), 'ProductSprint Backlog'!$F244, TRUE, 0)</f>
        <v>0</v>
      </c>
      <c r="H244" s="4" cm="1">
        <f t="array" ref="H244">_xlfn.IFS('ProductSprint Backlog'!$F244="", "", AND('ProductSprint Backlog'!$J244&gt;H$2,'ProductSprint Backlog'!$I244&lt;=H$2), 'ProductSprint Backlog'!$F244 / MAX(1, 'ProductSprint Backlog'!$J244-'ProductSprint Backlog'!$I244), AND('ProductSprint Backlog'!$J244=H$2,'ProductSprint Backlog'!$I244=H$2), 'ProductSprint Backlog'!$F244, TRUE, 0)</f>
        <v>0</v>
      </c>
      <c r="I244" s="4" cm="1">
        <f t="array" ref="I244">_xlfn.IFS('ProductSprint Backlog'!$F244="", "", AND('ProductSprint Backlog'!$J244&gt;I$2,'ProductSprint Backlog'!$I244&lt;=I$2), 'ProductSprint Backlog'!$F244 / MAX(1, 'ProductSprint Backlog'!$J244-'ProductSprint Backlog'!$I244), AND('ProductSprint Backlog'!$J244=I$2,'ProductSprint Backlog'!$I244=I$2), 'ProductSprint Backlog'!$F244, TRUE, 0)</f>
        <v>0</v>
      </c>
      <c r="J244" s="4" cm="1">
        <f t="array" ref="J244">_xlfn.IFS('ProductSprint Backlog'!$F244="", "", AND('ProductSprint Backlog'!$J244&gt;J$2,'ProductSprint Backlog'!$I244&lt;=J$2), 'ProductSprint Backlog'!$F244 / MAX(1, 'ProductSprint Backlog'!$J244-'ProductSprint Backlog'!$I244), AND('ProductSprint Backlog'!$J244=J$2,'ProductSprint Backlog'!$I244=J$2), 'ProductSprint Backlog'!$F244, TRUE, 0)</f>
        <v>0</v>
      </c>
      <c r="K244" s="4" cm="1">
        <f t="array" ref="K244">_xlfn.IFS('ProductSprint Backlog'!$F244="", "", AND('ProductSprint Backlog'!$J244&gt;K$2,'ProductSprint Backlog'!$I244&lt;=K$2), 'ProductSprint Backlog'!$F244 / MAX(1, 'ProductSprint Backlog'!$J244-'ProductSprint Backlog'!$I244), AND('ProductSprint Backlog'!$J244=K$2,'ProductSprint Backlog'!$I244=K$2), 'ProductSprint Backlog'!$F244, TRUE, 0)</f>
        <v>0</v>
      </c>
      <c r="L244" s="4" cm="1">
        <f t="array" ref="L244">_xlfn.IFS('ProductSprint Backlog'!$F244="", "", AND('ProductSprint Backlog'!$J244&gt;L$2,'ProductSprint Backlog'!$I244&lt;=L$2), 'ProductSprint Backlog'!$F244 / MAX(1, 'ProductSprint Backlog'!$J244-'ProductSprint Backlog'!$I244), AND('ProductSprint Backlog'!$J244=L$2,'ProductSprint Backlog'!$I244=L$2), 'ProductSprint Backlog'!$F244, TRUE, 0)</f>
        <v>0</v>
      </c>
      <c r="M244" s="4" cm="1">
        <f t="array" ref="M244">_xlfn.IFS('ProductSprint Backlog'!$F244="", "", AND('ProductSprint Backlog'!$J244&gt;M$2,'ProductSprint Backlog'!$I244&lt;=M$2), 'ProductSprint Backlog'!$F244 / MAX(1, 'ProductSprint Backlog'!$J244-'ProductSprint Backlog'!$I244), AND('ProductSprint Backlog'!$J244=M$2,'ProductSprint Backlog'!$I244=M$2), 'ProductSprint Backlog'!$F244, TRUE, 0)</f>
        <v>0</v>
      </c>
      <c r="N244" s="4" cm="1">
        <f t="array" ref="N244">_xlfn.IFS('ProductSprint Backlog'!$F244="", "", AND('ProductSprint Backlog'!$J244&gt;N$2,'ProductSprint Backlog'!$I244&lt;=N$2), 'ProductSprint Backlog'!$F244 / MAX(1, 'ProductSprint Backlog'!$J244-'ProductSprint Backlog'!$I244), AND('ProductSprint Backlog'!$J244=N$2,'ProductSprint Backlog'!$I244=N$2), 'ProductSprint Backlog'!$F244, TRUE, 0)</f>
        <v>0</v>
      </c>
      <c r="O244" s="4" cm="1">
        <f t="array" ref="O244">_xlfn.IFS('ProductSprint Backlog'!$F244="", "", AND('ProductSprint Backlog'!$J244&gt;O$2,'ProductSprint Backlog'!$I244&lt;=O$2), 'ProductSprint Backlog'!$F244 / MAX(1, 'ProductSprint Backlog'!$J244-'ProductSprint Backlog'!$I244), AND('ProductSprint Backlog'!$J244=O$2,'ProductSprint Backlog'!$I244=O$2), 'ProductSprint Backlog'!$F244, TRUE, 0)</f>
        <v>0</v>
      </c>
      <c r="P244" s="4" cm="1">
        <f t="array" ref="P244">_xlfn.IFS('ProductSprint Backlog'!$F244="", "", AND('ProductSprint Backlog'!$J244&gt;P$2,'ProductSprint Backlog'!$I244&lt;=P$2), 'ProductSprint Backlog'!$F244 / MAX(1, 'ProductSprint Backlog'!$J244-'ProductSprint Backlog'!$I244), AND('ProductSprint Backlog'!$J244=P$2,'ProductSprint Backlog'!$I244=P$2), 'ProductSprint Backlog'!$F244, TRUE, 0)</f>
        <v>0</v>
      </c>
      <c r="Q244" s="4" cm="1">
        <f t="array" ref="Q244">_xlfn.IFS('ProductSprint Backlog'!$F244="", "", AND('ProductSprint Backlog'!$J244&gt;Q$2,'ProductSprint Backlog'!$I244&lt;=Q$2), 'ProductSprint Backlog'!$F244 / MAX(1, 'ProductSprint Backlog'!$J244-'ProductSprint Backlog'!$I244), AND('ProductSprint Backlog'!$J244=Q$2,'ProductSprint Backlog'!$I244=Q$2), 'ProductSprint Backlog'!$F244, TRUE, 0)</f>
        <v>0</v>
      </c>
      <c r="R244" s="4" cm="1">
        <f t="array" ref="R244">_xlfn.IFS('ProductSprint Backlog'!$F244="", "", AND('ProductSprint Backlog'!$J244&gt;R$2,'ProductSprint Backlog'!$I244&lt;=R$2), 'ProductSprint Backlog'!$F244 / MAX(1, 'ProductSprint Backlog'!$J244-'ProductSprint Backlog'!$I244), AND('ProductSprint Backlog'!$J244=R$2,'ProductSprint Backlog'!$I244=R$2), 'ProductSprint Backlog'!$F244, TRUE, 0)</f>
        <v>0</v>
      </c>
      <c r="S244" s="4" cm="1">
        <f t="array" ref="S244">_xlfn.IFS('ProductSprint Backlog'!$F244="", "", AND('ProductSprint Backlog'!$J244&gt;S$2,'ProductSprint Backlog'!$I244&lt;=S$2), 'ProductSprint Backlog'!$F244 / MAX(1, 'ProductSprint Backlog'!$J244-'ProductSprint Backlog'!$I244), AND('ProductSprint Backlog'!$J244=S$2,'ProductSprint Backlog'!$I244=S$2), 'ProductSprint Backlog'!$F244, TRUE, 0)</f>
        <v>0</v>
      </c>
      <c r="T244" s="4" cm="1">
        <f t="array" ref="T244">_xlfn.IFS('ProductSprint Backlog'!$F244="", "", AND('ProductSprint Backlog'!$J244&gt;T$2,'ProductSprint Backlog'!$I244&lt;=T$2), 'ProductSprint Backlog'!$F244 / MAX(1, 'ProductSprint Backlog'!$J244-'ProductSprint Backlog'!$I244), AND('ProductSprint Backlog'!$J244=T$2,'ProductSprint Backlog'!$I244=T$2), 'ProductSprint Backlog'!$F244, TRUE, 0)</f>
        <v>0</v>
      </c>
    </row>
    <row r="245" spans="2:20" x14ac:dyDescent="0.2">
      <c r="B245" s="4" cm="1">
        <f t="array" ref="B245">_xlfn.IFS('ProductSprint Backlog'!$F245="", "", AND('ProductSprint Backlog'!$J245&gt;B$2,'ProductSprint Backlog'!$I245&lt;=B$2), 'ProductSprint Backlog'!$F245 / MAX(1, 'ProductSprint Backlog'!$J245-'ProductSprint Backlog'!$I245), AND('ProductSprint Backlog'!$J245=B$2,'ProductSprint Backlog'!$I245=B$2), 'ProductSprint Backlog'!$F245, TRUE, 0)</f>
        <v>0</v>
      </c>
      <c r="C245" s="4" cm="1">
        <f t="array" ref="C245">_xlfn.IFS('ProductSprint Backlog'!$F245="", "", AND('ProductSprint Backlog'!$J245&gt;C$2,'ProductSprint Backlog'!$I245&lt;=C$2), 'ProductSprint Backlog'!$F245 / MAX(1, 'ProductSprint Backlog'!$J245-'ProductSprint Backlog'!$I245), AND('ProductSprint Backlog'!$J245=C$2,'ProductSprint Backlog'!$I245=C$2), 'ProductSprint Backlog'!$F245, TRUE, 0)</f>
        <v>0</v>
      </c>
      <c r="D245" s="4" cm="1">
        <f t="array" ref="D245">_xlfn.IFS('ProductSprint Backlog'!$F245="", "", AND('ProductSprint Backlog'!$J245&gt;D$2,'ProductSprint Backlog'!$I245&lt;=D$2), 'ProductSprint Backlog'!$F245 / MAX(1, 'ProductSprint Backlog'!$J245-'ProductSprint Backlog'!$I245), AND('ProductSprint Backlog'!$J245=D$2,'ProductSprint Backlog'!$I245=D$2), 'ProductSprint Backlog'!$F245, TRUE, 0)</f>
        <v>0</v>
      </c>
      <c r="E245" s="4" cm="1">
        <f t="array" ref="E245">_xlfn.IFS('ProductSprint Backlog'!$F245="", "", AND('ProductSprint Backlog'!$J245&gt;E$2,'ProductSprint Backlog'!$I245&lt;=E$2), 'ProductSprint Backlog'!$F245 / MAX(1, 'ProductSprint Backlog'!$J245-'ProductSprint Backlog'!$I245), AND('ProductSprint Backlog'!$J245=E$2,'ProductSprint Backlog'!$I245=E$2), 'ProductSprint Backlog'!$F245, TRUE, 0)</f>
        <v>0</v>
      </c>
      <c r="F245" s="4" cm="1">
        <f t="array" ref="F245">_xlfn.IFS('ProductSprint Backlog'!$F245="", "", AND('ProductSprint Backlog'!$J245&gt;F$2,'ProductSprint Backlog'!$I245&lt;=F$2), 'ProductSprint Backlog'!$F245 / MAX(1, 'ProductSprint Backlog'!$J245-'ProductSprint Backlog'!$I245), AND('ProductSprint Backlog'!$J245=F$2,'ProductSprint Backlog'!$I245=F$2), 'ProductSprint Backlog'!$F245, TRUE, 0)</f>
        <v>0</v>
      </c>
      <c r="G245" s="4" cm="1">
        <f t="array" ref="G245">_xlfn.IFS('ProductSprint Backlog'!$F245="", "", AND('ProductSprint Backlog'!$J245&gt;G$2,'ProductSprint Backlog'!$I245&lt;=G$2), 'ProductSprint Backlog'!$F245 / MAX(1, 'ProductSprint Backlog'!$J245-'ProductSprint Backlog'!$I245), AND('ProductSprint Backlog'!$J245=G$2,'ProductSprint Backlog'!$I245=G$2), 'ProductSprint Backlog'!$F245, TRUE, 0)</f>
        <v>0</v>
      </c>
      <c r="H245" s="4" cm="1">
        <f t="array" ref="H245">_xlfn.IFS('ProductSprint Backlog'!$F245="", "", AND('ProductSprint Backlog'!$J245&gt;H$2,'ProductSprint Backlog'!$I245&lt;=H$2), 'ProductSprint Backlog'!$F245 / MAX(1, 'ProductSprint Backlog'!$J245-'ProductSprint Backlog'!$I245), AND('ProductSprint Backlog'!$J245=H$2,'ProductSprint Backlog'!$I245=H$2), 'ProductSprint Backlog'!$F245, TRUE, 0)</f>
        <v>0</v>
      </c>
      <c r="I245" s="4" cm="1">
        <f t="array" ref="I245">_xlfn.IFS('ProductSprint Backlog'!$F245="", "", AND('ProductSprint Backlog'!$J245&gt;I$2,'ProductSprint Backlog'!$I245&lt;=I$2), 'ProductSprint Backlog'!$F245 / MAX(1, 'ProductSprint Backlog'!$J245-'ProductSprint Backlog'!$I245), AND('ProductSprint Backlog'!$J245=I$2,'ProductSprint Backlog'!$I245=I$2), 'ProductSprint Backlog'!$F245, TRUE, 0)</f>
        <v>0</v>
      </c>
      <c r="J245" s="4" cm="1">
        <f t="array" ref="J245">_xlfn.IFS('ProductSprint Backlog'!$F245="", "", AND('ProductSprint Backlog'!$J245&gt;J$2,'ProductSprint Backlog'!$I245&lt;=J$2), 'ProductSprint Backlog'!$F245 / MAX(1, 'ProductSprint Backlog'!$J245-'ProductSprint Backlog'!$I245), AND('ProductSprint Backlog'!$J245=J$2,'ProductSprint Backlog'!$I245=J$2), 'ProductSprint Backlog'!$F245, TRUE, 0)</f>
        <v>0</v>
      </c>
      <c r="K245" s="4" cm="1">
        <f t="array" ref="K245">_xlfn.IFS('ProductSprint Backlog'!$F245="", "", AND('ProductSprint Backlog'!$J245&gt;K$2,'ProductSprint Backlog'!$I245&lt;=K$2), 'ProductSprint Backlog'!$F245 / MAX(1, 'ProductSprint Backlog'!$J245-'ProductSprint Backlog'!$I245), AND('ProductSprint Backlog'!$J245=K$2,'ProductSprint Backlog'!$I245=K$2), 'ProductSprint Backlog'!$F245, TRUE, 0)</f>
        <v>0</v>
      </c>
      <c r="L245" s="4" cm="1">
        <f t="array" ref="L245">_xlfn.IFS('ProductSprint Backlog'!$F245="", "", AND('ProductSprint Backlog'!$J245&gt;L$2,'ProductSprint Backlog'!$I245&lt;=L$2), 'ProductSprint Backlog'!$F245 / MAX(1, 'ProductSprint Backlog'!$J245-'ProductSprint Backlog'!$I245), AND('ProductSprint Backlog'!$J245=L$2,'ProductSprint Backlog'!$I245=L$2), 'ProductSprint Backlog'!$F245, TRUE, 0)</f>
        <v>0</v>
      </c>
      <c r="M245" s="4" cm="1">
        <f t="array" ref="M245">_xlfn.IFS('ProductSprint Backlog'!$F245="", "", AND('ProductSprint Backlog'!$J245&gt;M$2,'ProductSprint Backlog'!$I245&lt;=M$2), 'ProductSprint Backlog'!$F245 / MAX(1, 'ProductSprint Backlog'!$J245-'ProductSprint Backlog'!$I245), AND('ProductSprint Backlog'!$J245=M$2,'ProductSprint Backlog'!$I245=M$2), 'ProductSprint Backlog'!$F245, TRUE, 0)</f>
        <v>0</v>
      </c>
      <c r="N245" s="4" cm="1">
        <f t="array" ref="N245">_xlfn.IFS('ProductSprint Backlog'!$F245="", "", AND('ProductSprint Backlog'!$J245&gt;N$2,'ProductSprint Backlog'!$I245&lt;=N$2), 'ProductSprint Backlog'!$F245 / MAX(1, 'ProductSprint Backlog'!$J245-'ProductSprint Backlog'!$I245), AND('ProductSprint Backlog'!$J245=N$2,'ProductSprint Backlog'!$I245=N$2), 'ProductSprint Backlog'!$F245, TRUE, 0)</f>
        <v>0</v>
      </c>
      <c r="O245" s="4" cm="1">
        <f t="array" ref="O245">_xlfn.IFS('ProductSprint Backlog'!$F245="", "", AND('ProductSprint Backlog'!$J245&gt;O$2,'ProductSprint Backlog'!$I245&lt;=O$2), 'ProductSprint Backlog'!$F245 / MAX(1, 'ProductSprint Backlog'!$J245-'ProductSprint Backlog'!$I245), AND('ProductSprint Backlog'!$J245=O$2,'ProductSprint Backlog'!$I245=O$2), 'ProductSprint Backlog'!$F245, TRUE, 0)</f>
        <v>0</v>
      </c>
      <c r="P245" s="4" cm="1">
        <f t="array" ref="P245">_xlfn.IFS('ProductSprint Backlog'!$F245="", "", AND('ProductSprint Backlog'!$J245&gt;P$2,'ProductSprint Backlog'!$I245&lt;=P$2), 'ProductSprint Backlog'!$F245 / MAX(1, 'ProductSprint Backlog'!$J245-'ProductSprint Backlog'!$I245), AND('ProductSprint Backlog'!$J245=P$2,'ProductSprint Backlog'!$I245=P$2), 'ProductSprint Backlog'!$F245, TRUE, 0)</f>
        <v>0</v>
      </c>
      <c r="Q245" s="4" cm="1">
        <f t="array" ref="Q245">_xlfn.IFS('ProductSprint Backlog'!$F245="", "", AND('ProductSprint Backlog'!$J245&gt;Q$2,'ProductSprint Backlog'!$I245&lt;=Q$2), 'ProductSprint Backlog'!$F245 / MAX(1, 'ProductSprint Backlog'!$J245-'ProductSprint Backlog'!$I245), AND('ProductSprint Backlog'!$J245=Q$2,'ProductSprint Backlog'!$I245=Q$2), 'ProductSprint Backlog'!$F245, TRUE, 0)</f>
        <v>0</v>
      </c>
      <c r="R245" s="4" cm="1">
        <f t="array" ref="R245">_xlfn.IFS('ProductSprint Backlog'!$F245="", "", AND('ProductSprint Backlog'!$J245&gt;R$2,'ProductSprint Backlog'!$I245&lt;=R$2), 'ProductSprint Backlog'!$F245 / MAX(1, 'ProductSprint Backlog'!$J245-'ProductSprint Backlog'!$I245), AND('ProductSprint Backlog'!$J245=R$2,'ProductSprint Backlog'!$I245=R$2), 'ProductSprint Backlog'!$F245, TRUE, 0)</f>
        <v>0</v>
      </c>
      <c r="S245" s="4" cm="1">
        <f t="array" ref="S245">_xlfn.IFS('ProductSprint Backlog'!$F245="", "", AND('ProductSprint Backlog'!$J245&gt;S$2,'ProductSprint Backlog'!$I245&lt;=S$2), 'ProductSprint Backlog'!$F245 / MAX(1, 'ProductSprint Backlog'!$J245-'ProductSprint Backlog'!$I245), AND('ProductSprint Backlog'!$J245=S$2,'ProductSprint Backlog'!$I245=S$2), 'ProductSprint Backlog'!$F245, TRUE, 0)</f>
        <v>0</v>
      </c>
      <c r="T245" s="4" cm="1">
        <f t="array" ref="T245">_xlfn.IFS('ProductSprint Backlog'!$F245="", "", AND('ProductSprint Backlog'!$J245&gt;T$2,'ProductSprint Backlog'!$I245&lt;=T$2), 'ProductSprint Backlog'!$F245 / MAX(1, 'ProductSprint Backlog'!$J245-'ProductSprint Backlog'!$I245), AND('ProductSprint Backlog'!$J245=T$2,'ProductSprint Backlog'!$I245=T$2), 'ProductSprint Backlog'!$F245, TRUE, 0)</f>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B1:Q156"/>
  <sheetViews>
    <sheetView topLeftCell="A114" workbookViewId="0">
      <selection activeCell="B3" sqref="B3:O156"/>
    </sheetView>
  </sheetViews>
  <sheetFormatPr baseColWidth="10" defaultColWidth="12.5703125" defaultRowHeight="15.75" customHeight="1" x14ac:dyDescent="0.2"/>
  <sheetData>
    <row r="1" spans="2:17" x14ac:dyDescent="0.2">
      <c r="B1" s="4" t="s">
        <v>479</v>
      </c>
      <c r="C1" s="4" t="s">
        <v>480</v>
      </c>
      <c r="D1" s="4" t="s">
        <v>481</v>
      </c>
      <c r="E1" s="4" t="s">
        <v>482</v>
      </c>
      <c r="F1" s="4" t="s">
        <v>483</v>
      </c>
      <c r="G1" s="4" t="s">
        <v>484</v>
      </c>
      <c r="H1" s="4" t="s">
        <v>485</v>
      </c>
      <c r="I1" s="4" t="s">
        <v>486</v>
      </c>
      <c r="J1" s="4" t="s">
        <v>487</v>
      </c>
      <c r="K1" s="4" t="s">
        <v>502</v>
      </c>
      <c r="L1" s="4" t="s">
        <v>503</v>
      </c>
      <c r="M1" s="4" t="s">
        <v>504</v>
      </c>
      <c r="N1" s="4" t="s">
        <v>505</v>
      </c>
      <c r="O1" s="4" t="s">
        <v>506</v>
      </c>
    </row>
    <row r="2" spans="2:17" x14ac:dyDescent="0.2">
      <c r="B2" s="42">
        <v>45806</v>
      </c>
      <c r="C2" s="42">
        <v>45807</v>
      </c>
      <c r="D2" s="42">
        <v>45808</v>
      </c>
      <c r="E2" s="42">
        <v>45809</v>
      </c>
      <c r="F2" s="42">
        <v>45810</v>
      </c>
      <c r="G2" s="42">
        <v>45811</v>
      </c>
      <c r="H2" s="42">
        <v>45812</v>
      </c>
      <c r="I2" s="42">
        <v>45813</v>
      </c>
      <c r="J2" s="42">
        <v>45814</v>
      </c>
      <c r="K2" s="42">
        <v>45815</v>
      </c>
      <c r="L2" s="42">
        <v>45816</v>
      </c>
      <c r="M2" s="42">
        <v>45817</v>
      </c>
      <c r="N2" s="42">
        <v>45818</v>
      </c>
      <c r="O2" s="42">
        <v>45819</v>
      </c>
    </row>
    <row r="3" spans="2:17" x14ac:dyDescent="0.2">
      <c r="B3" s="4" cm="1">
        <f t="array" ref="B3">_xlfn.IFS('ProductSprint Backlog'!$F3="", "", AND('ProductSprint Backlog'!$J3&gt;B$2,'ProductSprint Backlog'!$I3&lt;=B$2), 'ProductSprint Backlog'!$F3 / MAX(1, 'ProductSprint Backlog'!$J3-'ProductSprint Backlog'!$I3), AND('ProductSprint Backlog'!$J3=B$2,'ProductSprint Backlog'!$I3=B$2), 'ProductSprint Backlog'!$F3, TRUE, 0)</f>
        <v>0.83333333333333337</v>
      </c>
      <c r="C3" s="4" cm="1">
        <f t="array" ref="C3">_xlfn.IFS('ProductSprint Backlog'!$F3="", "", AND('ProductSprint Backlog'!$J3&gt;C$2,'ProductSprint Backlog'!$I3&lt;=C$2), 'ProductSprint Backlog'!$F3 / MAX(1, 'ProductSprint Backlog'!$J3-'ProductSprint Backlog'!$I3), AND('ProductSprint Backlog'!$J3=C$2,'ProductSprint Backlog'!$I3=C$2), 'ProductSprint Backlog'!$F3, TRUE, 0)</f>
        <v>0.83333333333333337</v>
      </c>
      <c r="D3" s="4" cm="1">
        <f t="array" ref="D3">_xlfn.IFS('ProductSprint Backlog'!$F3="", "", AND('ProductSprint Backlog'!$J3&gt;D$2,'ProductSprint Backlog'!$I3&lt;=D$2), 'ProductSprint Backlog'!$F3 / MAX(1, 'ProductSprint Backlog'!$J3-'ProductSprint Backlog'!$I3), AND('ProductSprint Backlog'!$J3=D$2,'ProductSprint Backlog'!$I3=D$2), 'ProductSprint Backlog'!$F3, TRUE, 0)</f>
        <v>0.83333333333333337</v>
      </c>
      <c r="E3" s="4" cm="1">
        <f t="array" ref="E3">_xlfn.IFS('ProductSprint Backlog'!$F3="", "", AND('ProductSprint Backlog'!$J3&gt;E$2,'ProductSprint Backlog'!$I3&lt;=E$2), 'ProductSprint Backlog'!$F3 / MAX(1, 'ProductSprint Backlog'!$J3-'ProductSprint Backlog'!$I3), AND('ProductSprint Backlog'!$J3=E$2,'ProductSprint Backlog'!$I3=E$2), 'ProductSprint Backlog'!$F3, TRUE, 0)</f>
        <v>0.83333333333333337</v>
      </c>
      <c r="F3" s="4" cm="1">
        <f t="array" ref="F3">_xlfn.IFS('ProductSprint Backlog'!$F3="", "", AND('ProductSprint Backlog'!$J3&gt;F$2,'ProductSprint Backlog'!$I3&lt;=F$2), 'ProductSprint Backlog'!$F3 / MAX(1, 'ProductSprint Backlog'!$J3-'ProductSprint Backlog'!$I3), AND('ProductSprint Backlog'!$J3=F$2,'ProductSprint Backlog'!$I3=F$2), 'ProductSprint Backlog'!$F3, TRUE, 0)</f>
        <v>0.83333333333333337</v>
      </c>
      <c r="G3" s="4" cm="1">
        <f t="array" ref="G3">_xlfn.IFS('ProductSprint Backlog'!$F3="", "", AND('ProductSprint Backlog'!$J3&gt;G$2,'ProductSprint Backlog'!$I3&lt;=G$2), 'ProductSprint Backlog'!$F3 / MAX(1, 'ProductSprint Backlog'!$J3-'ProductSprint Backlog'!$I3), AND('ProductSprint Backlog'!$J3=G$2,'ProductSprint Backlog'!$I3=G$2), 'ProductSprint Backlog'!$F3, TRUE, 0)</f>
        <v>0.83333333333333337</v>
      </c>
      <c r="H3" s="4" cm="1">
        <f t="array" ref="H3">_xlfn.IFS('ProductSprint Backlog'!$F3="", "", AND('ProductSprint Backlog'!$J3&gt;H$2,'ProductSprint Backlog'!$I3&lt;=H$2), 'ProductSprint Backlog'!$F3 / MAX(1, 'ProductSprint Backlog'!$J3-'ProductSprint Backlog'!$I3), AND('ProductSprint Backlog'!$J3=H$2,'ProductSprint Backlog'!$I3=H$2), 'ProductSprint Backlog'!$F3, TRUE, 0)</f>
        <v>0</v>
      </c>
      <c r="I3" s="4" cm="1">
        <f t="array" ref="I3">_xlfn.IFS('ProductSprint Backlog'!$F3="", "", AND('ProductSprint Backlog'!$J3&gt;I$2,'ProductSprint Backlog'!$I3&lt;=I$2), 'ProductSprint Backlog'!$F3 / MAX(1, 'ProductSprint Backlog'!$J3-'ProductSprint Backlog'!$I3), AND('ProductSprint Backlog'!$J3=I$2,'ProductSprint Backlog'!$I3=I$2), 'ProductSprint Backlog'!$F3, TRUE, 0)</f>
        <v>0</v>
      </c>
      <c r="J3" s="4" cm="1">
        <f t="array" ref="J3">_xlfn.IFS('ProductSprint Backlog'!$F3="", "", AND('ProductSprint Backlog'!$J3&gt;J$2,'ProductSprint Backlog'!$I3&lt;=J$2), 'ProductSprint Backlog'!$F3 / MAX(1, 'ProductSprint Backlog'!$J3-'ProductSprint Backlog'!$I3), AND('ProductSprint Backlog'!$J3=J$2,'ProductSprint Backlog'!$I3=J$2), 'ProductSprint Backlog'!$F3, TRUE, 0)</f>
        <v>0</v>
      </c>
      <c r="K3" s="4" cm="1">
        <f t="array" ref="K3">_xlfn.IFS('ProductSprint Backlog'!$F3="", "", AND('ProductSprint Backlog'!$J3&gt;K$2,'ProductSprint Backlog'!$I3&lt;=K$2), 'ProductSprint Backlog'!$F3 / MAX(1, 'ProductSprint Backlog'!$J3-'ProductSprint Backlog'!$I3), AND('ProductSprint Backlog'!$J3=K$2,'ProductSprint Backlog'!$I3=K$2), 'ProductSprint Backlog'!$F3, TRUE, 0)</f>
        <v>0</v>
      </c>
      <c r="L3" s="4" cm="1">
        <f t="array" ref="L3">_xlfn.IFS('ProductSprint Backlog'!$F3="", "", AND('ProductSprint Backlog'!$J3&gt;L$2,'ProductSprint Backlog'!$I3&lt;=L$2), 'ProductSprint Backlog'!$F3 / MAX(1, 'ProductSprint Backlog'!$J3-'ProductSprint Backlog'!$I3), AND('ProductSprint Backlog'!$J3=L$2,'ProductSprint Backlog'!$I3=L$2), 'ProductSprint Backlog'!$F3, TRUE, 0)</f>
        <v>0</v>
      </c>
      <c r="M3" s="4" cm="1">
        <f t="array" ref="M3">_xlfn.IFS('ProductSprint Backlog'!$F3="", "", AND('ProductSprint Backlog'!$J3&gt;M$2,'ProductSprint Backlog'!$I3&lt;=M$2), 'ProductSprint Backlog'!$F3 / MAX(1, 'ProductSprint Backlog'!$J3-'ProductSprint Backlog'!$I3), AND('ProductSprint Backlog'!$J3=M$2,'ProductSprint Backlog'!$I3=M$2), 'ProductSprint Backlog'!$F3, TRUE, 0)</f>
        <v>0</v>
      </c>
      <c r="N3" s="4" cm="1">
        <f t="array" ref="N3">_xlfn.IFS('ProductSprint Backlog'!$F3="", "", AND('ProductSprint Backlog'!$J3&gt;N$2,'ProductSprint Backlog'!$I3&lt;=N$2), 'ProductSprint Backlog'!$F3 / MAX(1, 'ProductSprint Backlog'!$J3-'ProductSprint Backlog'!$I3), AND('ProductSprint Backlog'!$J3=N$2,'ProductSprint Backlog'!$I3=N$2), 'ProductSprint Backlog'!$F3, TRUE, 0)</f>
        <v>0</v>
      </c>
      <c r="O3" s="4" cm="1">
        <f t="array" ref="O3">_xlfn.IFS('ProductSprint Backlog'!$F3="", "", AND('ProductSprint Backlog'!$J3&gt;O$2,'ProductSprint Backlog'!$I3&lt;=O$2), 'ProductSprint Backlog'!$F3 / MAX(1, 'ProductSprint Backlog'!$J3-'ProductSprint Backlog'!$I3), AND('ProductSprint Backlog'!$J3=O$2,'ProductSprint Backlog'!$I3=O$2), 'ProductSprint Backlog'!$F3, TRUE, 0)</f>
        <v>0</v>
      </c>
    </row>
    <row r="4" spans="2:17" x14ac:dyDescent="0.2">
      <c r="B4" s="4" cm="1">
        <f t="array" ref="B4">_xlfn.IFS('ProductSprint Backlog'!$F4="", "", AND('ProductSprint Backlog'!$J4&gt;B$2,'ProductSprint Backlog'!$I4&lt;=B$2), 'ProductSprint Backlog'!$F4 / MAX(1, 'ProductSprint Backlog'!$J4-'ProductSprint Backlog'!$I4), AND('ProductSprint Backlog'!$J4=B$2,'ProductSprint Backlog'!$I4=B$2), 'ProductSprint Backlog'!$F4, TRUE, 0)</f>
        <v>0</v>
      </c>
      <c r="C4" s="4" cm="1">
        <f t="array" ref="C4">_xlfn.IFS('ProductSprint Backlog'!$F4="", "", AND('ProductSprint Backlog'!$J4&gt;C$2,'ProductSprint Backlog'!$I4&lt;=C$2), 'ProductSprint Backlog'!$F4 / MAX(1, 'ProductSprint Backlog'!$J4-'ProductSprint Backlog'!$I4), AND('ProductSprint Backlog'!$J4=C$2,'ProductSprint Backlog'!$I4=C$2), 'ProductSprint Backlog'!$F4, TRUE, 0)</f>
        <v>0</v>
      </c>
      <c r="D4" s="4" cm="1">
        <f t="array" ref="D4">_xlfn.IFS('ProductSprint Backlog'!$F4="", "", AND('ProductSprint Backlog'!$J4&gt;D$2,'ProductSprint Backlog'!$I4&lt;=D$2), 'ProductSprint Backlog'!$F4 / MAX(1, 'ProductSprint Backlog'!$J4-'ProductSprint Backlog'!$I4), AND('ProductSprint Backlog'!$J4=D$2,'ProductSprint Backlog'!$I4=D$2), 'ProductSprint Backlog'!$F4, TRUE, 0)</f>
        <v>0.6</v>
      </c>
      <c r="E4" s="4" cm="1">
        <f t="array" ref="E4">_xlfn.IFS('ProductSprint Backlog'!$F4="", "", AND('ProductSprint Backlog'!$J4&gt;E$2,'ProductSprint Backlog'!$I4&lt;=E$2), 'ProductSprint Backlog'!$F4 / MAX(1, 'ProductSprint Backlog'!$J4-'ProductSprint Backlog'!$I4), AND('ProductSprint Backlog'!$J4=E$2,'ProductSprint Backlog'!$I4=E$2), 'ProductSprint Backlog'!$F4, TRUE, 0)</f>
        <v>0.6</v>
      </c>
      <c r="F4" s="4" cm="1">
        <f t="array" ref="F4">_xlfn.IFS('ProductSprint Backlog'!$F4="", "", AND('ProductSprint Backlog'!$J4&gt;F$2,'ProductSprint Backlog'!$I4&lt;=F$2), 'ProductSprint Backlog'!$F4 / MAX(1, 'ProductSprint Backlog'!$J4-'ProductSprint Backlog'!$I4), AND('ProductSprint Backlog'!$J4=F$2,'ProductSprint Backlog'!$I4=F$2), 'ProductSprint Backlog'!$F4, TRUE, 0)</f>
        <v>0.6</v>
      </c>
      <c r="G4" s="4" cm="1">
        <f t="array" ref="G4">_xlfn.IFS('ProductSprint Backlog'!$F4="", "", AND('ProductSprint Backlog'!$J4&gt;G$2,'ProductSprint Backlog'!$I4&lt;=G$2), 'ProductSprint Backlog'!$F4 / MAX(1, 'ProductSprint Backlog'!$J4-'ProductSprint Backlog'!$I4), AND('ProductSprint Backlog'!$J4=G$2,'ProductSprint Backlog'!$I4=G$2), 'ProductSprint Backlog'!$F4, TRUE, 0)</f>
        <v>0.6</v>
      </c>
      <c r="H4" s="4" cm="1">
        <f t="array" ref="H4">_xlfn.IFS('ProductSprint Backlog'!$F4="", "", AND('ProductSprint Backlog'!$J4&gt;H$2,'ProductSprint Backlog'!$I4&lt;=H$2), 'ProductSprint Backlog'!$F4 / MAX(1, 'ProductSprint Backlog'!$J4-'ProductSprint Backlog'!$I4), AND('ProductSprint Backlog'!$J4=H$2,'ProductSprint Backlog'!$I4=H$2), 'ProductSprint Backlog'!$F4, TRUE, 0)</f>
        <v>0.6</v>
      </c>
      <c r="I4" s="4" cm="1">
        <f t="array" ref="I4">_xlfn.IFS('ProductSprint Backlog'!$F4="", "", AND('ProductSprint Backlog'!$J4&gt;I$2,'ProductSprint Backlog'!$I4&lt;=I$2), 'ProductSprint Backlog'!$F4 / MAX(1, 'ProductSprint Backlog'!$J4-'ProductSprint Backlog'!$I4), AND('ProductSprint Backlog'!$J4=I$2,'ProductSprint Backlog'!$I4=I$2), 'ProductSprint Backlog'!$F4, TRUE, 0)</f>
        <v>0</v>
      </c>
      <c r="J4" s="4" cm="1">
        <f t="array" ref="J4">_xlfn.IFS('ProductSprint Backlog'!$F4="", "", AND('ProductSprint Backlog'!$J4&gt;J$2,'ProductSprint Backlog'!$I4&lt;=J$2), 'ProductSprint Backlog'!$F4 / MAX(1, 'ProductSprint Backlog'!$J4-'ProductSprint Backlog'!$I4), AND('ProductSprint Backlog'!$J4=J$2,'ProductSprint Backlog'!$I4=J$2), 'ProductSprint Backlog'!$F4, TRUE, 0)</f>
        <v>0</v>
      </c>
      <c r="K4" s="4" cm="1">
        <f t="array" ref="K4">_xlfn.IFS('ProductSprint Backlog'!$F4="", "", AND('ProductSprint Backlog'!$J4&gt;K$2,'ProductSprint Backlog'!$I4&lt;=K$2), 'ProductSprint Backlog'!$F4 / MAX(1, 'ProductSprint Backlog'!$J4-'ProductSprint Backlog'!$I4), AND('ProductSprint Backlog'!$J4=K$2,'ProductSprint Backlog'!$I4=K$2), 'ProductSprint Backlog'!$F4, TRUE, 0)</f>
        <v>0</v>
      </c>
      <c r="L4" s="4" cm="1">
        <f t="array" ref="L4">_xlfn.IFS('ProductSprint Backlog'!$F4="", "", AND('ProductSprint Backlog'!$J4&gt;L$2,'ProductSprint Backlog'!$I4&lt;=L$2), 'ProductSprint Backlog'!$F4 / MAX(1, 'ProductSprint Backlog'!$J4-'ProductSprint Backlog'!$I4), AND('ProductSprint Backlog'!$J4=L$2,'ProductSprint Backlog'!$I4=L$2), 'ProductSprint Backlog'!$F4, TRUE, 0)</f>
        <v>0</v>
      </c>
      <c r="M4" s="4" cm="1">
        <f t="array" ref="M4">_xlfn.IFS('ProductSprint Backlog'!$F4="", "", AND('ProductSprint Backlog'!$J4&gt;M$2,'ProductSprint Backlog'!$I4&lt;=M$2), 'ProductSprint Backlog'!$F4 / MAX(1, 'ProductSprint Backlog'!$J4-'ProductSprint Backlog'!$I4), AND('ProductSprint Backlog'!$J4=M$2,'ProductSprint Backlog'!$I4=M$2), 'ProductSprint Backlog'!$F4, TRUE, 0)</f>
        <v>0</v>
      </c>
      <c r="N4" s="4" cm="1">
        <f t="array" ref="N4">_xlfn.IFS('ProductSprint Backlog'!$F4="", "", AND('ProductSprint Backlog'!$J4&gt;N$2,'ProductSprint Backlog'!$I4&lt;=N$2), 'ProductSprint Backlog'!$F4 / MAX(1, 'ProductSprint Backlog'!$J4-'ProductSprint Backlog'!$I4), AND('ProductSprint Backlog'!$J4=N$2,'ProductSprint Backlog'!$I4=N$2), 'ProductSprint Backlog'!$F4, TRUE, 0)</f>
        <v>0</v>
      </c>
      <c r="O4" s="4" cm="1">
        <f t="array" ref="O4">_xlfn.IFS('ProductSprint Backlog'!$F4="", "", AND('ProductSprint Backlog'!$J4&gt;O$2,'ProductSprint Backlog'!$I4&lt;=O$2), 'ProductSprint Backlog'!$F4 / MAX(1, 'ProductSprint Backlog'!$J4-'ProductSprint Backlog'!$I4), AND('ProductSprint Backlog'!$J4=O$2,'ProductSprint Backlog'!$I4=O$2), 'ProductSprint Backlog'!$F4, TRUE, 0)</f>
        <v>0</v>
      </c>
    </row>
    <row r="5" spans="2:17" x14ac:dyDescent="0.2">
      <c r="B5" s="4" cm="1">
        <f t="array" ref="B5">_xlfn.IFS('ProductSprint Backlog'!$F5="", "", AND('ProductSprint Backlog'!$J5&gt;B$2,'ProductSprint Backlog'!$I5&lt;=B$2), 'ProductSprint Backlog'!$F5 / MAX(1, 'ProductSprint Backlog'!$J5-'ProductSprint Backlog'!$I5), AND('ProductSprint Backlog'!$J5=B$2,'ProductSprint Backlog'!$I5=B$2), 'ProductSprint Backlog'!$F5, TRUE, 0)</f>
        <v>0</v>
      </c>
      <c r="C5" s="4" cm="1">
        <f t="array" ref="C5">_xlfn.IFS('ProductSprint Backlog'!$F5="", "", AND('ProductSprint Backlog'!$J5&gt;C$2,'ProductSprint Backlog'!$I5&lt;=C$2), 'ProductSprint Backlog'!$F5 / MAX(1, 'ProductSprint Backlog'!$J5-'ProductSprint Backlog'!$I5), AND('ProductSprint Backlog'!$J5=C$2,'ProductSprint Backlog'!$I5=C$2), 'ProductSprint Backlog'!$F5, TRUE, 0)</f>
        <v>0</v>
      </c>
      <c r="D5" s="4" cm="1">
        <f t="array" ref="D5">_xlfn.IFS('ProductSprint Backlog'!$F5="", "", AND('ProductSprint Backlog'!$J5&gt;D$2,'ProductSprint Backlog'!$I5&lt;=D$2), 'ProductSprint Backlog'!$F5 / MAX(1, 'ProductSprint Backlog'!$J5-'ProductSprint Backlog'!$I5), AND('ProductSprint Backlog'!$J5=D$2,'ProductSprint Backlog'!$I5=D$2), 'ProductSprint Backlog'!$F5, TRUE, 0)</f>
        <v>0</v>
      </c>
      <c r="E5" s="4" cm="1">
        <f t="array" ref="E5">_xlfn.IFS('ProductSprint Backlog'!$F5="", "", AND('ProductSprint Backlog'!$J5&gt;E$2,'ProductSprint Backlog'!$I5&lt;=E$2), 'ProductSprint Backlog'!$F5 / MAX(1, 'ProductSprint Backlog'!$J5-'ProductSprint Backlog'!$I5), AND('ProductSprint Backlog'!$J5=E$2,'ProductSprint Backlog'!$I5=E$2), 'ProductSprint Backlog'!$F5, TRUE, 0)</f>
        <v>0</v>
      </c>
      <c r="F5" s="4" cm="1">
        <f t="array" ref="F5">_xlfn.IFS('ProductSprint Backlog'!$F5="", "", AND('ProductSprint Backlog'!$J5&gt;F$2,'ProductSprint Backlog'!$I5&lt;=F$2), 'ProductSprint Backlog'!$F5 / MAX(1, 'ProductSprint Backlog'!$J5-'ProductSprint Backlog'!$I5), AND('ProductSprint Backlog'!$J5=F$2,'ProductSprint Backlog'!$I5=F$2), 'ProductSprint Backlog'!$F5, TRUE, 0)</f>
        <v>2</v>
      </c>
      <c r="G5" s="4" cm="1">
        <f t="array" ref="G5">_xlfn.IFS('ProductSprint Backlog'!$F5="", "", AND('ProductSprint Backlog'!$J5&gt;G$2,'ProductSprint Backlog'!$I5&lt;=G$2), 'ProductSprint Backlog'!$F5 / MAX(1, 'ProductSprint Backlog'!$J5-'ProductSprint Backlog'!$I5), AND('ProductSprint Backlog'!$J5=G$2,'ProductSprint Backlog'!$I5=G$2), 'ProductSprint Backlog'!$F5, TRUE, 0)</f>
        <v>0</v>
      </c>
      <c r="H5" s="4" cm="1">
        <f t="array" ref="H5">_xlfn.IFS('ProductSprint Backlog'!$F5="", "", AND('ProductSprint Backlog'!$J5&gt;H$2,'ProductSprint Backlog'!$I5&lt;=H$2), 'ProductSprint Backlog'!$F5 / MAX(1, 'ProductSprint Backlog'!$J5-'ProductSprint Backlog'!$I5), AND('ProductSprint Backlog'!$J5=H$2,'ProductSprint Backlog'!$I5=H$2), 'ProductSprint Backlog'!$F5, TRUE, 0)</f>
        <v>0</v>
      </c>
      <c r="I5" s="4" cm="1">
        <f t="array" ref="I5">_xlfn.IFS('ProductSprint Backlog'!$F5="", "", AND('ProductSprint Backlog'!$J5&gt;I$2,'ProductSprint Backlog'!$I5&lt;=I$2), 'ProductSprint Backlog'!$F5 / MAX(1, 'ProductSprint Backlog'!$J5-'ProductSprint Backlog'!$I5), AND('ProductSprint Backlog'!$J5=I$2,'ProductSprint Backlog'!$I5=I$2), 'ProductSprint Backlog'!$F5, TRUE, 0)</f>
        <v>0</v>
      </c>
      <c r="J5" s="4" cm="1">
        <f t="array" ref="J5">_xlfn.IFS('ProductSprint Backlog'!$F5="", "", AND('ProductSprint Backlog'!$J5&gt;J$2,'ProductSprint Backlog'!$I5&lt;=J$2), 'ProductSprint Backlog'!$F5 / MAX(1, 'ProductSprint Backlog'!$J5-'ProductSprint Backlog'!$I5), AND('ProductSprint Backlog'!$J5=J$2,'ProductSprint Backlog'!$I5=J$2), 'ProductSprint Backlog'!$F5, TRUE, 0)</f>
        <v>0</v>
      </c>
      <c r="K5" s="4" cm="1">
        <f t="array" ref="K5">_xlfn.IFS('ProductSprint Backlog'!$F5="", "", AND('ProductSprint Backlog'!$J5&gt;K$2,'ProductSprint Backlog'!$I5&lt;=K$2), 'ProductSprint Backlog'!$F5 / MAX(1, 'ProductSprint Backlog'!$J5-'ProductSprint Backlog'!$I5), AND('ProductSprint Backlog'!$J5=K$2,'ProductSprint Backlog'!$I5=K$2), 'ProductSprint Backlog'!$F5, TRUE, 0)</f>
        <v>0</v>
      </c>
      <c r="L5" s="4" cm="1">
        <f t="array" ref="L5">_xlfn.IFS('ProductSprint Backlog'!$F5="", "", AND('ProductSprint Backlog'!$J5&gt;L$2,'ProductSprint Backlog'!$I5&lt;=L$2), 'ProductSprint Backlog'!$F5 / MAX(1, 'ProductSprint Backlog'!$J5-'ProductSprint Backlog'!$I5), AND('ProductSprint Backlog'!$J5=L$2,'ProductSprint Backlog'!$I5=L$2), 'ProductSprint Backlog'!$F5, TRUE, 0)</f>
        <v>0</v>
      </c>
      <c r="M5" s="4" cm="1">
        <f t="array" ref="M5">_xlfn.IFS('ProductSprint Backlog'!$F5="", "", AND('ProductSprint Backlog'!$J5&gt;M$2,'ProductSprint Backlog'!$I5&lt;=M$2), 'ProductSprint Backlog'!$F5 / MAX(1, 'ProductSprint Backlog'!$J5-'ProductSprint Backlog'!$I5), AND('ProductSprint Backlog'!$J5=M$2,'ProductSprint Backlog'!$I5=M$2), 'ProductSprint Backlog'!$F5, TRUE, 0)</f>
        <v>0</v>
      </c>
      <c r="N5" s="4" cm="1">
        <f t="array" ref="N5">_xlfn.IFS('ProductSprint Backlog'!$F5="", "", AND('ProductSprint Backlog'!$J5&gt;N$2,'ProductSprint Backlog'!$I5&lt;=N$2), 'ProductSprint Backlog'!$F5 / MAX(1, 'ProductSprint Backlog'!$J5-'ProductSprint Backlog'!$I5), AND('ProductSprint Backlog'!$J5=N$2,'ProductSprint Backlog'!$I5=N$2), 'ProductSprint Backlog'!$F5, TRUE, 0)</f>
        <v>0</v>
      </c>
      <c r="O5" s="4" cm="1">
        <f t="array" ref="O5">_xlfn.IFS('ProductSprint Backlog'!$F5="", "", AND('ProductSprint Backlog'!$J5&gt;O$2,'ProductSprint Backlog'!$I5&lt;=O$2), 'ProductSprint Backlog'!$F5 / MAX(1, 'ProductSprint Backlog'!$J5-'ProductSprint Backlog'!$I5), AND('ProductSprint Backlog'!$J5=O$2,'ProductSprint Backlog'!$I5=O$2), 'ProductSprint Backlog'!$F5, TRUE, 0)</f>
        <v>0</v>
      </c>
      <c r="Q5" s="4">
        <f>SUM(B3:O1000)</f>
        <v>142.99999999999994</v>
      </c>
    </row>
    <row r="6" spans="2:17" x14ac:dyDescent="0.2">
      <c r="B6" s="4" cm="1">
        <f t="array" ref="B6">_xlfn.IFS('ProductSprint Backlog'!$F6="", "", AND('ProductSprint Backlog'!$J6&gt;B$2,'ProductSprint Backlog'!$I6&lt;=B$2), 'ProductSprint Backlog'!$F6 / MAX(1, 'ProductSprint Backlog'!$J6-'ProductSprint Backlog'!$I6), AND('ProductSprint Backlog'!$J6=B$2,'ProductSprint Backlog'!$I6=B$2), 'ProductSprint Backlog'!$F6, TRUE, 0)</f>
        <v>0</v>
      </c>
      <c r="C6" s="4" cm="1">
        <f t="array" ref="C6">_xlfn.IFS('ProductSprint Backlog'!$F6="", "", AND('ProductSprint Backlog'!$J6&gt;C$2,'ProductSprint Backlog'!$I6&lt;=C$2), 'ProductSprint Backlog'!$F6 / MAX(1, 'ProductSprint Backlog'!$J6-'ProductSprint Backlog'!$I6), AND('ProductSprint Backlog'!$J6=C$2,'ProductSprint Backlog'!$I6=C$2), 'ProductSprint Backlog'!$F6, TRUE, 0)</f>
        <v>0</v>
      </c>
      <c r="D6" s="4" cm="1">
        <f t="array" ref="D6">_xlfn.IFS('ProductSprint Backlog'!$F6="", "", AND('ProductSprint Backlog'!$J6&gt;D$2,'ProductSprint Backlog'!$I6&lt;=D$2), 'ProductSprint Backlog'!$F6 / MAX(1, 'ProductSprint Backlog'!$J6-'ProductSprint Backlog'!$I6), AND('ProductSprint Backlog'!$J6=D$2,'ProductSprint Backlog'!$I6=D$2), 'ProductSprint Backlog'!$F6, TRUE, 0)</f>
        <v>0</v>
      </c>
      <c r="E6" s="4" cm="1">
        <f t="array" ref="E6">_xlfn.IFS('ProductSprint Backlog'!$F6="", "", AND('ProductSprint Backlog'!$J6&gt;E$2,'ProductSprint Backlog'!$I6&lt;=E$2), 'ProductSprint Backlog'!$F6 / MAX(1, 'ProductSprint Backlog'!$J6-'ProductSprint Backlog'!$I6), AND('ProductSprint Backlog'!$J6=E$2,'ProductSprint Backlog'!$I6=E$2), 'ProductSprint Backlog'!$F6, TRUE, 0)</f>
        <v>0</v>
      </c>
      <c r="F6" s="4" cm="1">
        <f t="array" ref="F6">_xlfn.IFS('ProductSprint Backlog'!$F6="", "", AND('ProductSprint Backlog'!$J6&gt;F$2,'ProductSprint Backlog'!$I6&lt;=F$2), 'ProductSprint Backlog'!$F6 / MAX(1, 'ProductSprint Backlog'!$J6-'ProductSprint Backlog'!$I6), AND('ProductSprint Backlog'!$J6=F$2,'ProductSprint Backlog'!$I6=F$2), 'ProductSprint Backlog'!$F6, TRUE, 0)</f>
        <v>0</v>
      </c>
      <c r="G6" s="4" cm="1">
        <f t="array" ref="G6">_xlfn.IFS('ProductSprint Backlog'!$F6="", "", AND('ProductSprint Backlog'!$J6&gt;G$2,'ProductSprint Backlog'!$I6&lt;=G$2), 'ProductSprint Backlog'!$F6 / MAX(1, 'ProductSprint Backlog'!$J6-'ProductSprint Backlog'!$I6), AND('ProductSprint Backlog'!$J6=G$2,'ProductSprint Backlog'!$I6=G$2), 'ProductSprint Backlog'!$F6, TRUE, 0)</f>
        <v>0</v>
      </c>
      <c r="H6" s="4" cm="1">
        <f t="array" ref="H6">_xlfn.IFS('ProductSprint Backlog'!$F6="", "", AND('ProductSprint Backlog'!$J6&gt;H$2,'ProductSprint Backlog'!$I6&lt;=H$2), 'ProductSprint Backlog'!$F6 / MAX(1, 'ProductSprint Backlog'!$J6-'ProductSprint Backlog'!$I6), AND('ProductSprint Backlog'!$J6=H$2,'ProductSprint Backlog'!$I6=H$2), 'ProductSprint Backlog'!$F6, TRUE, 0)</f>
        <v>0</v>
      </c>
      <c r="I6" s="4" cm="1">
        <f t="array" ref="I6">_xlfn.IFS('ProductSprint Backlog'!$F6="", "", AND('ProductSprint Backlog'!$J6&gt;I$2,'ProductSprint Backlog'!$I6&lt;=I$2), 'ProductSprint Backlog'!$F6 / MAX(1, 'ProductSprint Backlog'!$J6-'ProductSprint Backlog'!$I6), AND('ProductSprint Backlog'!$J6=I$2,'ProductSprint Backlog'!$I6=I$2), 'ProductSprint Backlog'!$F6, TRUE, 0)</f>
        <v>0.4</v>
      </c>
      <c r="J6" s="4" cm="1">
        <f t="array" ref="J6">_xlfn.IFS('ProductSprint Backlog'!$F6="", "", AND('ProductSprint Backlog'!$J6&gt;J$2,'ProductSprint Backlog'!$I6&lt;=J$2), 'ProductSprint Backlog'!$F6 / MAX(1, 'ProductSprint Backlog'!$J6-'ProductSprint Backlog'!$I6), AND('ProductSprint Backlog'!$J6=J$2,'ProductSprint Backlog'!$I6=J$2), 'ProductSprint Backlog'!$F6, TRUE, 0)</f>
        <v>0.4</v>
      </c>
      <c r="K6" s="4" cm="1">
        <f t="array" ref="K6">_xlfn.IFS('ProductSprint Backlog'!$F6="", "", AND('ProductSprint Backlog'!$J6&gt;K$2,'ProductSprint Backlog'!$I6&lt;=K$2), 'ProductSprint Backlog'!$F6 / MAX(1, 'ProductSprint Backlog'!$J6-'ProductSprint Backlog'!$I6), AND('ProductSprint Backlog'!$J6=K$2,'ProductSprint Backlog'!$I6=K$2), 'ProductSprint Backlog'!$F6, TRUE, 0)</f>
        <v>0.4</v>
      </c>
      <c r="L6" s="4" cm="1">
        <f t="array" ref="L6">_xlfn.IFS('ProductSprint Backlog'!$F6="", "", AND('ProductSprint Backlog'!$J6&gt;L$2,'ProductSprint Backlog'!$I6&lt;=L$2), 'ProductSprint Backlog'!$F6 / MAX(1, 'ProductSprint Backlog'!$J6-'ProductSprint Backlog'!$I6), AND('ProductSprint Backlog'!$J6=L$2,'ProductSprint Backlog'!$I6=L$2), 'ProductSprint Backlog'!$F6, TRUE, 0)</f>
        <v>0.4</v>
      </c>
      <c r="M6" s="4" cm="1">
        <f t="array" ref="M6">_xlfn.IFS('ProductSprint Backlog'!$F6="", "", AND('ProductSprint Backlog'!$J6&gt;M$2,'ProductSprint Backlog'!$I6&lt;=M$2), 'ProductSprint Backlog'!$F6 / MAX(1, 'ProductSprint Backlog'!$J6-'ProductSprint Backlog'!$I6), AND('ProductSprint Backlog'!$J6=M$2,'ProductSprint Backlog'!$I6=M$2), 'ProductSprint Backlog'!$F6, TRUE, 0)</f>
        <v>0.4</v>
      </c>
      <c r="N6" s="4" cm="1">
        <f t="array" ref="N6">_xlfn.IFS('ProductSprint Backlog'!$F6="", "", AND('ProductSprint Backlog'!$J6&gt;N$2,'ProductSprint Backlog'!$I6&lt;=N$2), 'ProductSprint Backlog'!$F6 / MAX(1, 'ProductSprint Backlog'!$J6-'ProductSprint Backlog'!$I6), AND('ProductSprint Backlog'!$J6=N$2,'ProductSprint Backlog'!$I6=N$2), 'ProductSprint Backlog'!$F6, TRUE, 0)</f>
        <v>0</v>
      </c>
      <c r="O6" s="4" cm="1">
        <f t="array" ref="O6">_xlfn.IFS('ProductSprint Backlog'!$F6="", "", AND('ProductSprint Backlog'!$J6&gt;O$2,'ProductSprint Backlog'!$I6&lt;=O$2), 'ProductSprint Backlog'!$F6 / MAX(1, 'ProductSprint Backlog'!$J6-'ProductSprint Backlog'!$I6), AND('ProductSprint Backlog'!$J6=O$2,'ProductSprint Backlog'!$I6=O$2), 'ProductSprint Backlog'!$F6, TRUE, 0)</f>
        <v>0</v>
      </c>
    </row>
    <row r="7" spans="2:17" x14ac:dyDescent="0.2">
      <c r="B7" s="4" t="str" cm="1">
        <f t="array" ref="B7">_xlfn.IFS('ProductSprint Backlog'!$F7="", "", AND('ProductSprint Backlog'!$J7&gt;B$2,'ProductSprint Backlog'!$I7&lt;=B$2), 'ProductSprint Backlog'!$F7 / MAX(1, 'ProductSprint Backlog'!$J7-'ProductSprint Backlog'!$I7), AND('ProductSprint Backlog'!$J7=B$2,'ProductSprint Backlog'!$I7=B$2), 'ProductSprint Backlog'!$F7, TRUE, 0)</f>
        <v/>
      </c>
      <c r="C7" s="4" t="str" cm="1">
        <f t="array" ref="C7">_xlfn.IFS('ProductSprint Backlog'!$F7="", "", AND('ProductSprint Backlog'!$J7&gt;C$2,'ProductSprint Backlog'!$I7&lt;=C$2), 'ProductSprint Backlog'!$F7 / MAX(1, 'ProductSprint Backlog'!$J7-'ProductSprint Backlog'!$I7), AND('ProductSprint Backlog'!$J7=C$2,'ProductSprint Backlog'!$I7=C$2), 'ProductSprint Backlog'!$F7, TRUE, 0)</f>
        <v/>
      </c>
      <c r="D7" s="4" t="str" cm="1">
        <f t="array" ref="D7">_xlfn.IFS('ProductSprint Backlog'!$F7="", "", AND('ProductSprint Backlog'!$J7&gt;D$2,'ProductSprint Backlog'!$I7&lt;=D$2), 'ProductSprint Backlog'!$F7 / MAX(1, 'ProductSprint Backlog'!$J7-'ProductSprint Backlog'!$I7), AND('ProductSprint Backlog'!$J7=D$2,'ProductSprint Backlog'!$I7=D$2), 'ProductSprint Backlog'!$F7, TRUE, 0)</f>
        <v/>
      </c>
      <c r="E7" s="4" t="str" cm="1">
        <f t="array" ref="E7">_xlfn.IFS('ProductSprint Backlog'!$F7="", "", AND('ProductSprint Backlog'!$J7&gt;E$2,'ProductSprint Backlog'!$I7&lt;=E$2), 'ProductSprint Backlog'!$F7 / MAX(1, 'ProductSprint Backlog'!$J7-'ProductSprint Backlog'!$I7), AND('ProductSprint Backlog'!$J7=E$2,'ProductSprint Backlog'!$I7=E$2), 'ProductSprint Backlog'!$F7, TRUE, 0)</f>
        <v/>
      </c>
      <c r="F7" s="4" t="str" cm="1">
        <f t="array" ref="F7">_xlfn.IFS('ProductSprint Backlog'!$F7="", "", AND('ProductSprint Backlog'!$J7&gt;F$2,'ProductSprint Backlog'!$I7&lt;=F$2), 'ProductSprint Backlog'!$F7 / MAX(1, 'ProductSprint Backlog'!$J7-'ProductSprint Backlog'!$I7), AND('ProductSprint Backlog'!$J7=F$2,'ProductSprint Backlog'!$I7=F$2), 'ProductSprint Backlog'!$F7, TRUE, 0)</f>
        <v/>
      </c>
      <c r="G7" s="4" t="str" cm="1">
        <f t="array" ref="G7">_xlfn.IFS('ProductSprint Backlog'!$F7="", "", AND('ProductSprint Backlog'!$J7&gt;G$2,'ProductSprint Backlog'!$I7&lt;=G$2), 'ProductSprint Backlog'!$F7 / MAX(1, 'ProductSprint Backlog'!$J7-'ProductSprint Backlog'!$I7), AND('ProductSprint Backlog'!$J7=G$2,'ProductSprint Backlog'!$I7=G$2), 'ProductSprint Backlog'!$F7, TRUE, 0)</f>
        <v/>
      </c>
      <c r="H7" s="4" t="str" cm="1">
        <f t="array" ref="H7">_xlfn.IFS('ProductSprint Backlog'!$F7="", "", AND('ProductSprint Backlog'!$J7&gt;H$2,'ProductSprint Backlog'!$I7&lt;=H$2), 'ProductSprint Backlog'!$F7 / MAX(1, 'ProductSprint Backlog'!$J7-'ProductSprint Backlog'!$I7), AND('ProductSprint Backlog'!$J7=H$2,'ProductSprint Backlog'!$I7=H$2), 'ProductSprint Backlog'!$F7, TRUE, 0)</f>
        <v/>
      </c>
      <c r="I7" s="4" t="str" cm="1">
        <f t="array" ref="I7">_xlfn.IFS('ProductSprint Backlog'!$F7="", "", AND('ProductSprint Backlog'!$J7&gt;I$2,'ProductSprint Backlog'!$I7&lt;=I$2), 'ProductSprint Backlog'!$F7 / MAX(1, 'ProductSprint Backlog'!$J7-'ProductSprint Backlog'!$I7), AND('ProductSprint Backlog'!$J7=I$2,'ProductSprint Backlog'!$I7=I$2), 'ProductSprint Backlog'!$F7, TRUE, 0)</f>
        <v/>
      </c>
      <c r="J7" s="4" t="str" cm="1">
        <f t="array" ref="J7">_xlfn.IFS('ProductSprint Backlog'!$F7="", "", AND('ProductSprint Backlog'!$J7&gt;J$2,'ProductSprint Backlog'!$I7&lt;=J$2), 'ProductSprint Backlog'!$F7 / MAX(1, 'ProductSprint Backlog'!$J7-'ProductSprint Backlog'!$I7), AND('ProductSprint Backlog'!$J7=J$2,'ProductSprint Backlog'!$I7=J$2), 'ProductSprint Backlog'!$F7, TRUE, 0)</f>
        <v/>
      </c>
      <c r="K7" s="4" t="str" cm="1">
        <f t="array" ref="K7">_xlfn.IFS('ProductSprint Backlog'!$F7="", "", AND('ProductSprint Backlog'!$J7&gt;K$2,'ProductSprint Backlog'!$I7&lt;=K$2), 'ProductSprint Backlog'!$F7 / MAX(1, 'ProductSprint Backlog'!$J7-'ProductSprint Backlog'!$I7), AND('ProductSprint Backlog'!$J7=K$2,'ProductSprint Backlog'!$I7=K$2), 'ProductSprint Backlog'!$F7, TRUE, 0)</f>
        <v/>
      </c>
      <c r="L7" s="4" t="str" cm="1">
        <f t="array" ref="L7">_xlfn.IFS('ProductSprint Backlog'!$F7="", "", AND('ProductSprint Backlog'!$J7&gt;L$2,'ProductSprint Backlog'!$I7&lt;=L$2), 'ProductSprint Backlog'!$F7 / MAX(1, 'ProductSprint Backlog'!$J7-'ProductSprint Backlog'!$I7), AND('ProductSprint Backlog'!$J7=L$2,'ProductSprint Backlog'!$I7=L$2), 'ProductSprint Backlog'!$F7, TRUE, 0)</f>
        <v/>
      </c>
      <c r="M7" s="4" t="str" cm="1">
        <f t="array" ref="M7">_xlfn.IFS('ProductSprint Backlog'!$F7="", "", AND('ProductSprint Backlog'!$J7&gt;M$2,'ProductSprint Backlog'!$I7&lt;=M$2), 'ProductSprint Backlog'!$F7 / MAX(1, 'ProductSprint Backlog'!$J7-'ProductSprint Backlog'!$I7), AND('ProductSprint Backlog'!$J7=M$2,'ProductSprint Backlog'!$I7=M$2), 'ProductSprint Backlog'!$F7, TRUE, 0)</f>
        <v/>
      </c>
      <c r="N7" s="4" t="str" cm="1">
        <f t="array" ref="N7">_xlfn.IFS('ProductSprint Backlog'!$F7="", "", AND('ProductSprint Backlog'!$J7&gt;N$2,'ProductSprint Backlog'!$I7&lt;=N$2), 'ProductSprint Backlog'!$F7 / MAX(1, 'ProductSprint Backlog'!$J7-'ProductSprint Backlog'!$I7), AND('ProductSprint Backlog'!$J7=N$2,'ProductSprint Backlog'!$I7=N$2), 'ProductSprint Backlog'!$F7, TRUE, 0)</f>
        <v/>
      </c>
      <c r="O7" s="4" t="str" cm="1">
        <f t="array" ref="O7">_xlfn.IFS('ProductSprint Backlog'!$F7="", "", AND('ProductSprint Backlog'!$J7&gt;O$2,'ProductSprint Backlog'!$I7&lt;=O$2), 'ProductSprint Backlog'!$F7 / MAX(1, 'ProductSprint Backlog'!$J7-'ProductSprint Backlog'!$I7), AND('ProductSprint Backlog'!$J7=O$2,'ProductSprint Backlog'!$I7=O$2), 'ProductSprint Backlog'!$F7, TRUE, 0)</f>
        <v/>
      </c>
    </row>
    <row r="8" spans="2:17" x14ac:dyDescent="0.2">
      <c r="B8" s="4" cm="1">
        <f t="array" ref="B8">_xlfn.IFS('ProductSprint Backlog'!$F8="", "", AND('ProductSprint Backlog'!$J8&gt;B$2,'ProductSprint Backlog'!$I8&lt;=B$2), 'ProductSprint Backlog'!$F8 / MAX(1, 'ProductSprint Backlog'!$J8-'ProductSprint Backlog'!$I8), AND('ProductSprint Backlog'!$J8=B$2,'ProductSprint Backlog'!$I8=B$2), 'ProductSprint Backlog'!$F8, TRUE, 0)</f>
        <v>0</v>
      </c>
      <c r="C8" s="4" cm="1">
        <f t="array" ref="C8">_xlfn.IFS('ProductSprint Backlog'!$F8="", "", AND('ProductSprint Backlog'!$J8&gt;C$2,'ProductSprint Backlog'!$I8&lt;=C$2), 'ProductSprint Backlog'!$F8 / MAX(1, 'ProductSprint Backlog'!$J8-'ProductSprint Backlog'!$I8), AND('ProductSprint Backlog'!$J8=C$2,'ProductSprint Backlog'!$I8=C$2), 'ProductSprint Backlog'!$F8, TRUE, 0)</f>
        <v>0</v>
      </c>
      <c r="D8" s="4" cm="1">
        <f t="array" ref="D8">_xlfn.IFS('ProductSprint Backlog'!$F8="", "", AND('ProductSprint Backlog'!$J8&gt;D$2,'ProductSprint Backlog'!$I8&lt;=D$2), 'ProductSprint Backlog'!$F8 / MAX(1, 'ProductSprint Backlog'!$J8-'ProductSprint Backlog'!$I8), AND('ProductSprint Backlog'!$J8=D$2,'ProductSprint Backlog'!$I8=D$2), 'ProductSprint Backlog'!$F8, TRUE, 0)</f>
        <v>0</v>
      </c>
      <c r="E8" s="4" cm="1">
        <f t="array" ref="E8">_xlfn.IFS('ProductSprint Backlog'!$F8="", "", AND('ProductSprint Backlog'!$J8&gt;E$2,'ProductSprint Backlog'!$I8&lt;=E$2), 'ProductSprint Backlog'!$F8 / MAX(1, 'ProductSprint Backlog'!$J8-'ProductSprint Backlog'!$I8), AND('ProductSprint Backlog'!$J8=E$2,'ProductSprint Backlog'!$I8=E$2), 'ProductSprint Backlog'!$F8, TRUE, 0)</f>
        <v>0</v>
      </c>
      <c r="F8" s="4" cm="1">
        <f t="array" ref="F8">_xlfn.IFS('ProductSprint Backlog'!$F8="", "", AND('ProductSprint Backlog'!$J8&gt;F$2,'ProductSprint Backlog'!$I8&lt;=F$2), 'ProductSprint Backlog'!$F8 / MAX(1, 'ProductSprint Backlog'!$J8-'ProductSprint Backlog'!$I8), AND('ProductSprint Backlog'!$J8=F$2,'ProductSprint Backlog'!$I8=F$2), 'ProductSprint Backlog'!$F8, TRUE, 0)</f>
        <v>0.5</v>
      </c>
      <c r="G8" s="4" cm="1">
        <f t="array" ref="G8">_xlfn.IFS('ProductSprint Backlog'!$F8="", "", AND('ProductSprint Backlog'!$J8&gt;G$2,'ProductSprint Backlog'!$I8&lt;=G$2), 'ProductSprint Backlog'!$F8 / MAX(1, 'ProductSprint Backlog'!$J8-'ProductSprint Backlog'!$I8), AND('ProductSprint Backlog'!$J8=G$2,'ProductSprint Backlog'!$I8=G$2), 'ProductSprint Backlog'!$F8, TRUE, 0)</f>
        <v>0.5</v>
      </c>
      <c r="H8" s="4" cm="1">
        <f t="array" ref="H8">_xlfn.IFS('ProductSprint Backlog'!$F8="", "", AND('ProductSprint Backlog'!$J8&gt;H$2,'ProductSprint Backlog'!$I8&lt;=H$2), 'ProductSprint Backlog'!$F8 / MAX(1, 'ProductSprint Backlog'!$J8-'ProductSprint Backlog'!$I8), AND('ProductSprint Backlog'!$J8=H$2,'ProductSprint Backlog'!$I8=H$2), 'ProductSprint Backlog'!$F8, TRUE, 0)</f>
        <v>0</v>
      </c>
      <c r="I8" s="4" cm="1">
        <f t="array" ref="I8">_xlfn.IFS('ProductSprint Backlog'!$F8="", "", AND('ProductSprint Backlog'!$J8&gt;I$2,'ProductSprint Backlog'!$I8&lt;=I$2), 'ProductSprint Backlog'!$F8 / MAX(1, 'ProductSprint Backlog'!$J8-'ProductSprint Backlog'!$I8), AND('ProductSprint Backlog'!$J8=I$2,'ProductSprint Backlog'!$I8=I$2), 'ProductSprint Backlog'!$F8, TRUE, 0)</f>
        <v>0</v>
      </c>
      <c r="J8" s="4" cm="1">
        <f t="array" ref="J8">_xlfn.IFS('ProductSprint Backlog'!$F8="", "", AND('ProductSprint Backlog'!$J8&gt;J$2,'ProductSprint Backlog'!$I8&lt;=J$2), 'ProductSprint Backlog'!$F8 / MAX(1, 'ProductSprint Backlog'!$J8-'ProductSprint Backlog'!$I8), AND('ProductSprint Backlog'!$J8=J$2,'ProductSprint Backlog'!$I8=J$2), 'ProductSprint Backlog'!$F8, TRUE, 0)</f>
        <v>0</v>
      </c>
      <c r="K8" s="4" cm="1">
        <f t="array" ref="K8">_xlfn.IFS('ProductSprint Backlog'!$F8="", "", AND('ProductSprint Backlog'!$J8&gt;K$2,'ProductSprint Backlog'!$I8&lt;=K$2), 'ProductSprint Backlog'!$F8 / MAX(1, 'ProductSprint Backlog'!$J8-'ProductSprint Backlog'!$I8), AND('ProductSprint Backlog'!$J8=K$2,'ProductSprint Backlog'!$I8=K$2), 'ProductSprint Backlog'!$F8, TRUE, 0)</f>
        <v>0</v>
      </c>
      <c r="L8" s="4" cm="1">
        <f t="array" ref="L8">_xlfn.IFS('ProductSprint Backlog'!$F8="", "", AND('ProductSprint Backlog'!$J8&gt;L$2,'ProductSprint Backlog'!$I8&lt;=L$2), 'ProductSprint Backlog'!$F8 / MAX(1, 'ProductSprint Backlog'!$J8-'ProductSprint Backlog'!$I8), AND('ProductSprint Backlog'!$J8=L$2,'ProductSprint Backlog'!$I8=L$2), 'ProductSprint Backlog'!$F8, TRUE, 0)</f>
        <v>0</v>
      </c>
      <c r="M8" s="4" cm="1">
        <f t="array" ref="M8">_xlfn.IFS('ProductSprint Backlog'!$F8="", "", AND('ProductSprint Backlog'!$J8&gt;M$2,'ProductSprint Backlog'!$I8&lt;=M$2), 'ProductSprint Backlog'!$F8 / MAX(1, 'ProductSprint Backlog'!$J8-'ProductSprint Backlog'!$I8), AND('ProductSprint Backlog'!$J8=M$2,'ProductSprint Backlog'!$I8=M$2), 'ProductSprint Backlog'!$F8, TRUE, 0)</f>
        <v>0</v>
      </c>
      <c r="N8" s="4" cm="1">
        <f t="array" ref="N8">_xlfn.IFS('ProductSprint Backlog'!$F8="", "", AND('ProductSprint Backlog'!$J8&gt;N$2,'ProductSprint Backlog'!$I8&lt;=N$2), 'ProductSprint Backlog'!$F8 / MAX(1, 'ProductSprint Backlog'!$J8-'ProductSprint Backlog'!$I8), AND('ProductSprint Backlog'!$J8=N$2,'ProductSprint Backlog'!$I8=N$2), 'ProductSprint Backlog'!$F8, TRUE, 0)</f>
        <v>0</v>
      </c>
      <c r="O8" s="4" cm="1">
        <f t="array" ref="O8">_xlfn.IFS('ProductSprint Backlog'!$F8="", "", AND('ProductSprint Backlog'!$J8&gt;O$2,'ProductSprint Backlog'!$I8&lt;=O$2), 'ProductSprint Backlog'!$F8 / MAX(1, 'ProductSprint Backlog'!$J8-'ProductSprint Backlog'!$I8), AND('ProductSprint Backlog'!$J8=O$2,'ProductSprint Backlog'!$I8=O$2), 'ProductSprint Backlog'!$F8, TRUE, 0)</f>
        <v>0</v>
      </c>
    </row>
    <row r="9" spans="2:17" x14ac:dyDescent="0.2">
      <c r="B9" s="4" cm="1">
        <f t="array" ref="B9">_xlfn.IFS('ProductSprint Backlog'!$F9="", "", AND('ProductSprint Backlog'!$J9&gt;B$2,'ProductSprint Backlog'!$I9&lt;=B$2), 'ProductSprint Backlog'!$F9 / MAX(1, 'ProductSprint Backlog'!$J9-'ProductSprint Backlog'!$I9), AND('ProductSprint Backlog'!$J9=B$2,'ProductSprint Backlog'!$I9=B$2), 'ProductSprint Backlog'!$F9, TRUE, 0)</f>
        <v>0</v>
      </c>
      <c r="C9" s="4" cm="1">
        <f t="array" ref="C9">_xlfn.IFS('ProductSprint Backlog'!$F9="", "", AND('ProductSprint Backlog'!$J9&gt;C$2,'ProductSprint Backlog'!$I9&lt;=C$2), 'ProductSprint Backlog'!$F9 / MAX(1, 'ProductSprint Backlog'!$J9-'ProductSprint Backlog'!$I9), AND('ProductSprint Backlog'!$J9=C$2,'ProductSprint Backlog'!$I9=C$2), 'ProductSprint Backlog'!$F9, TRUE, 0)</f>
        <v>0</v>
      </c>
      <c r="D9" s="4" cm="1">
        <f t="array" ref="D9">_xlfn.IFS('ProductSprint Backlog'!$F9="", "", AND('ProductSprint Backlog'!$J9&gt;D$2,'ProductSprint Backlog'!$I9&lt;=D$2), 'ProductSprint Backlog'!$F9 / MAX(1, 'ProductSprint Backlog'!$J9-'ProductSprint Backlog'!$I9), AND('ProductSprint Backlog'!$J9=D$2,'ProductSprint Backlog'!$I9=D$2), 'ProductSprint Backlog'!$F9, TRUE, 0)</f>
        <v>0</v>
      </c>
      <c r="E9" s="4" cm="1">
        <f t="array" ref="E9">_xlfn.IFS('ProductSprint Backlog'!$F9="", "", AND('ProductSprint Backlog'!$J9&gt;E$2,'ProductSprint Backlog'!$I9&lt;=E$2), 'ProductSprint Backlog'!$F9 / MAX(1, 'ProductSprint Backlog'!$J9-'ProductSprint Backlog'!$I9), AND('ProductSprint Backlog'!$J9=E$2,'ProductSprint Backlog'!$I9=E$2), 'ProductSprint Backlog'!$F9, TRUE, 0)</f>
        <v>0</v>
      </c>
      <c r="F9" s="4" cm="1">
        <f t="array" ref="F9">_xlfn.IFS('ProductSprint Backlog'!$F9="", "", AND('ProductSprint Backlog'!$J9&gt;F$2,'ProductSprint Backlog'!$I9&lt;=F$2), 'ProductSprint Backlog'!$F9 / MAX(1, 'ProductSprint Backlog'!$J9-'ProductSprint Backlog'!$I9), AND('ProductSprint Backlog'!$J9=F$2,'ProductSprint Backlog'!$I9=F$2), 'ProductSprint Backlog'!$F9, TRUE, 0)</f>
        <v>1</v>
      </c>
      <c r="G9" s="4" cm="1">
        <f t="array" ref="G9">_xlfn.IFS('ProductSprint Backlog'!$F9="", "", AND('ProductSprint Backlog'!$J9&gt;G$2,'ProductSprint Backlog'!$I9&lt;=G$2), 'ProductSprint Backlog'!$F9 / MAX(1, 'ProductSprint Backlog'!$J9-'ProductSprint Backlog'!$I9), AND('ProductSprint Backlog'!$J9=G$2,'ProductSprint Backlog'!$I9=G$2), 'ProductSprint Backlog'!$F9, TRUE, 0)</f>
        <v>1</v>
      </c>
      <c r="H9" s="4" cm="1">
        <f t="array" ref="H9">_xlfn.IFS('ProductSprint Backlog'!$F9="", "", AND('ProductSprint Backlog'!$J9&gt;H$2,'ProductSprint Backlog'!$I9&lt;=H$2), 'ProductSprint Backlog'!$F9 / MAX(1, 'ProductSprint Backlog'!$J9-'ProductSprint Backlog'!$I9), AND('ProductSprint Backlog'!$J9=H$2,'ProductSprint Backlog'!$I9=H$2), 'ProductSprint Backlog'!$F9, TRUE, 0)</f>
        <v>0</v>
      </c>
      <c r="I9" s="4" cm="1">
        <f t="array" ref="I9">_xlfn.IFS('ProductSprint Backlog'!$F9="", "", AND('ProductSprint Backlog'!$J9&gt;I$2,'ProductSprint Backlog'!$I9&lt;=I$2), 'ProductSprint Backlog'!$F9 / MAX(1, 'ProductSprint Backlog'!$J9-'ProductSprint Backlog'!$I9), AND('ProductSprint Backlog'!$J9=I$2,'ProductSprint Backlog'!$I9=I$2), 'ProductSprint Backlog'!$F9, TRUE, 0)</f>
        <v>0</v>
      </c>
      <c r="J9" s="4" cm="1">
        <f t="array" ref="J9">_xlfn.IFS('ProductSprint Backlog'!$F9="", "", AND('ProductSprint Backlog'!$J9&gt;J$2,'ProductSprint Backlog'!$I9&lt;=J$2), 'ProductSprint Backlog'!$F9 / MAX(1, 'ProductSprint Backlog'!$J9-'ProductSprint Backlog'!$I9), AND('ProductSprint Backlog'!$J9=J$2,'ProductSprint Backlog'!$I9=J$2), 'ProductSprint Backlog'!$F9, TRUE, 0)</f>
        <v>0</v>
      </c>
      <c r="K9" s="4" cm="1">
        <f t="array" ref="K9">_xlfn.IFS('ProductSprint Backlog'!$F9="", "", AND('ProductSprint Backlog'!$J9&gt;K$2,'ProductSprint Backlog'!$I9&lt;=K$2), 'ProductSprint Backlog'!$F9 / MAX(1, 'ProductSprint Backlog'!$J9-'ProductSprint Backlog'!$I9), AND('ProductSprint Backlog'!$J9=K$2,'ProductSprint Backlog'!$I9=K$2), 'ProductSprint Backlog'!$F9, TRUE, 0)</f>
        <v>0</v>
      </c>
      <c r="L9" s="4" cm="1">
        <f t="array" ref="L9">_xlfn.IFS('ProductSprint Backlog'!$F9="", "", AND('ProductSprint Backlog'!$J9&gt;L$2,'ProductSprint Backlog'!$I9&lt;=L$2), 'ProductSprint Backlog'!$F9 / MAX(1, 'ProductSprint Backlog'!$J9-'ProductSprint Backlog'!$I9), AND('ProductSprint Backlog'!$J9=L$2,'ProductSprint Backlog'!$I9=L$2), 'ProductSprint Backlog'!$F9, TRUE, 0)</f>
        <v>0</v>
      </c>
      <c r="M9" s="4" cm="1">
        <f t="array" ref="M9">_xlfn.IFS('ProductSprint Backlog'!$F9="", "", AND('ProductSprint Backlog'!$J9&gt;M$2,'ProductSprint Backlog'!$I9&lt;=M$2), 'ProductSprint Backlog'!$F9 / MAX(1, 'ProductSprint Backlog'!$J9-'ProductSprint Backlog'!$I9), AND('ProductSprint Backlog'!$J9=M$2,'ProductSprint Backlog'!$I9=M$2), 'ProductSprint Backlog'!$F9, TRUE, 0)</f>
        <v>0</v>
      </c>
      <c r="N9" s="4" cm="1">
        <f t="array" ref="N9">_xlfn.IFS('ProductSprint Backlog'!$F9="", "", AND('ProductSprint Backlog'!$J9&gt;N$2,'ProductSprint Backlog'!$I9&lt;=N$2), 'ProductSprint Backlog'!$F9 / MAX(1, 'ProductSprint Backlog'!$J9-'ProductSprint Backlog'!$I9), AND('ProductSprint Backlog'!$J9=N$2,'ProductSprint Backlog'!$I9=N$2), 'ProductSprint Backlog'!$F9, TRUE, 0)</f>
        <v>0</v>
      </c>
      <c r="O9" s="4" cm="1">
        <f t="array" ref="O9">_xlfn.IFS('ProductSprint Backlog'!$F9="", "", AND('ProductSprint Backlog'!$J9&gt;O$2,'ProductSprint Backlog'!$I9&lt;=O$2), 'ProductSprint Backlog'!$F9 / MAX(1, 'ProductSprint Backlog'!$J9-'ProductSprint Backlog'!$I9), AND('ProductSprint Backlog'!$J9=O$2,'ProductSprint Backlog'!$I9=O$2), 'ProductSprint Backlog'!$F9, TRUE, 0)</f>
        <v>0</v>
      </c>
    </row>
    <row r="10" spans="2:17" x14ac:dyDescent="0.2">
      <c r="B10" s="4" cm="1">
        <f t="array" ref="B10">_xlfn.IFS('ProductSprint Backlog'!$F10="", "", AND('ProductSprint Backlog'!$J10&gt;B$2,'ProductSprint Backlog'!$I10&lt;=B$2), 'ProductSprint Backlog'!$F10 / MAX(1, 'ProductSprint Backlog'!$J10-'ProductSprint Backlog'!$I10), AND('ProductSprint Backlog'!$J10=B$2,'ProductSprint Backlog'!$I10=B$2), 'ProductSprint Backlog'!$F10, TRUE, 0)</f>
        <v>0</v>
      </c>
      <c r="C10" s="4" cm="1">
        <f t="array" ref="C10">_xlfn.IFS('ProductSprint Backlog'!$F10="", "", AND('ProductSprint Backlog'!$J10&gt;C$2,'ProductSprint Backlog'!$I10&lt;=C$2), 'ProductSprint Backlog'!$F10 / MAX(1, 'ProductSprint Backlog'!$J10-'ProductSprint Backlog'!$I10), AND('ProductSprint Backlog'!$J10=C$2,'ProductSprint Backlog'!$I10=C$2), 'ProductSprint Backlog'!$F10, TRUE, 0)</f>
        <v>0</v>
      </c>
      <c r="D10" s="4" cm="1">
        <f t="array" ref="D10">_xlfn.IFS('ProductSprint Backlog'!$F10="", "", AND('ProductSprint Backlog'!$J10&gt;D$2,'ProductSprint Backlog'!$I10&lt;=D$2), 'ProductSprint Backlog'!$F10 / MAX(1, 'ProductSprint Backlog'!$J10-'ProductSprint Backlog'!$I10), AND('ProductSprint Backlog'!$J10=D$2,'ProductSprint Backlog'!$I10=D$2), 'ProductSprint Backlog'!$F10, TRUE, 0)</f>
        <v>0</v>
      </c>
      <c r="E10" s="4" cm="1">
        <f t="array" ref="E10">_xlfn.IFS('ProductSprint Backlog'!$F10="", "", AND('ProductSprint Backlog'!$J10&gt;E$2,'ProductSprint Backlog'!$I10&lt;=E$2), 'ProductSprint Backlog'!$F10 / MAX(1, 'ProductSprint Backlog'!$J10-'ProductSprint Backlog'!$I10), AND('ProductSprint Backlog'!$J10=E$2,'ProductSprint Backlog'!$I10=E$2), 'ProductSprint Backlog'!$F10, TRUE, 0)</f>
        <v>0</v>
      </c>
      <c r="F10" s="4" cm="1">
        <f t="array" ref="F10">_xlfn.IFS('ProductSprint Backlog'!$F10="", "", AND('ProductSprint Backlog'!$J10&gt;F$2,'ProductSprint Backlog'!$I10&lt;=F$2), 'ProductSprint Backlog'!$F10 / MAX(1, 'ProductSprint Backlog'!$J10-'ProductSprint Backlog'!$I10), AND('ProductSprint Backlog'!$J10=F$2,'ProductSprint Backlog'!$I10=F$2), 'ProductSprint Backlog'!$F10, TRUE, 0)</f>
        <v>0</v>
      </c>
      <c r="G10" s="4" cm="1">
        <f t="array" ref="G10">_xlfn.IFS('ProductSprint Backlog'!$F10="", "", AND('ProductSprint Backlog'!$J10&gt;G$2,'ProductSprint Backlog'!$I10&lt;=G$2), 'ProductSprint Backlog'!$F10 / MAX(1, 'ProductSprint Backlog'!$J10-'ProductSprint Backlog'!$I10), AND('ProductSprint Backlog'!$J10=G$2,'ProductSprint Backlog'!$I10=G$2), 'ProductSprint Backlog'!$F10, TRUE, 0)</f>
        <v>1.5</v>
      </c>
      <c r="H10" s="4" cm="1">
        <f t="array" ref="H10">_xlfn.IFS('ProductSprint Backlog'!$F10="", "", AND('ProductSprint Backlog'!$J10&gt;H$2,'ProductSprint Backlog'!$I10&lt;=H$2), 'ProductSprint Backlog'!$F10 / MAX(1, 'ProductSprint Backlog'!$J10-'ProductSprint Backlog'!$I10), AND('ProductSprint Backlog'!$J10=H$2,'ProductSprint Backlog'!$I10=H$2), 'ProductSprint Backlog'!$F10, TRUE, 0)</f>
        <v>1.5</v>
      </c>
      <c r="I10" s="4" cm="1">
        <f t="array" ref="I10">_xlfn.IFS('ProductSprint Backlog'!$F10="", "", AND('ProductSprint Backlog'!$J10&gt;I$2,'ProductSprint Backlog'!$I10&lt;=I$2), 'ProductSprint Backlog'!$F10 / MAX(1, 'ProductSprint Backlog'!$J10-'ProductSprint Backlog'!$I10), AND('ProductSprint Backlog'!$J10=I$2,'ProductSprint Backlog'!$I10=I$2), 'ProductSprint Backlog'!$F10, TRUE, 0)</f>
        <v>0</v>
      </c>
      <c r="J10" s="4" cm="1">
        <f t="array" ref="J10">_xlfn.IFS('ProductSprint Backlog'!$F10="", "", AND('ProductSprint Backlog'!$J10&gt;J$2,'ProductSprint Backlog'!$I10&lt;=J$2), 'ProductSprint Backlog'!$F10 / MAX(1, 'ProductSprint Backlog'!$J10-'ProductSprint Backlog'!$I10), AND('ProductSprint Backlog'!$J10=J$2,'ProductSprint Backlog'!$I10=J$2), 'ProductSprint Backlog'!$F10, TRUE, 0)</f>
        <v>0</v>
      </c>
      <c r="K10" s="4" cm="1">
        <f t="array" ref="K10">_xlfn.IFS('ProductSprint Backlog'!$F10="", "", AND('ProductSprint Backlog'!$J10&gt;K$2,'ProductSprint Backlog'!$I10&lt;=K$2), 'ProductSprint Backlog'!$F10 / MAX(1, 'ProductSprint Backlog'!$J10-'ProductSprint Backlog'!$I10), AND('ProductSprint Backlog'!$J10=K$2,'ProductSprint Backlog'!$I10=K$2), 'ProductSprint Backlog'!$F10, TRUE, 0)</f>
        <v>0</v>
      </c>
      <c r="L10" s="4" cm="1">
        <f t="array" ref="L10">_xlfn.IFS('ProductSprint Backlog'!$F10="", "", AND('ProductSprint Backlog'!$J10&gt;L$2,'ProductSprint Backlog'!$I10&lt;=L$2), 'ProductSprint Backlog'!$F10 / MAX(1, 'ProductSprint Backlog'!$J10-'ProductSprint Backlog'!$I10), AND('ProductSprint Backlog'!$J10=L$2,'ProductSprint Backlog'!$I10=L$2), 'ProductSprint Backlog'!$F10, TRUE, 0)</f>
        <v>0</v>
      </c>
      <c r="M10" s="4" cm="1">
        <f t="array" ref="M10">_xlfn.IFS('ProductSprint Backlog'!$F10="", "", AND('ProductSprint Backlog'!$J10&gt;M$2,'ProductSprint Backlog'!$I10&lt;=M$2), 'ProductSprint Backlog'!$F10 / MAX(1, 'ProductSprint Backlog'!$J10-'ProductSprint Backlog'!$I10), AND('ProductSprint Backlog'!$J10=M$2,'ProductSprint Backlog'!$I10=M$2), 'ProductSprint Backlog'!$F10, TRUE, 0)</f>
        <v>0</v>
      </c>
      <c r="N10" s="4" cm="1">
        <f t="array" ref="N10">_xlfn.IFS('ProductSprint Backlog'!$F10="", "", AND('ProductSprint Backlog'!$J10&gt;N$2,'ProductSprint Backlog'!$I10&lt;=N$2), 'ProductSprint Backlog'!$F10 / MAX(1, 'ProductSprint Backlog'!$J10-'ProductSprint Backlog'!$I10), AND('ProductSprint Backlog'!$J10=N$2,'ProductSprint Backlog'!$I10=N$2), 'ProductSprint Backlog'!$F10, TRUE, 0)</f>
        <v>0</v>
      </c>
      <c r="O10" s="4" cm="1">
        <f t="array" ref="O10">_xlfn.IFS('ProductSprint Backlog'!$F10="", "", AND('ProductSprint Backlog'!$J10&gt;O$2,'ProductSprint Backlog'!$I10&lt;=O$2), 'ProductSprint Backlog'!$F10 / MAX(1, 'ProductSprint Backlog'!$J10-'ProductSprint Backlog'!$I10), AND('ProductSprint Backlog'!$J10=O$2,'ProductSprint Backlog'!$I10=O$2), 'ProductSprint Backlog'!$F10, TRUE, 0)</f>
        <v>0</v>
      </c>
    </row>
    <row r="11" spans="2:17" x14ac:dyDescent="0.2">
      <c r="B11" s="4" cm="1">
        <f t="array" ref="B11">_xlfn.IFS('ProductSprint Backlog'!$F11="", "", AND('ProductSprint Backlog'!$J11&gt;B$2,'ProductSprint Backlog'!$I11&lt;=B$2), 'ProductSprint Backlog'!$F11 / MAX(1, 'ProductSprint Backlog'!$J11-'ProductSprint Backlog'!$I11), AND('ProductSprint Backlog'!$J11=B$2,'ProductSprint Backlog'!$I11=B$2), 'ProductSprint Backlog'!$F11, TRUE, 0)</f>
        <v>0</v>
      </c>
      <c r="C11" s="4" cm="1">
        <f t="array" ref="C11">_xlfn.IFS('ProductSprint Backlog'!$F11="", "", AND('ProductSprint Backlog'!$J11&gt;C$2,'ProductSprint Backlog'!$I11&lt;=C$2), 'ProductSprint Backlog'!$F11 / MAX(1, 'ProductSprint Backlog'!$J11-'ProductSprint Backlog'!$I11), AND('ProductSprint Backlog'!$J11=C$2,'ProductSprint Backlog'!$I11=C$2), 'ProductSprint Backlog'!$F11, TRUE, 0)</f>
        <v>0</v>
      </c>
      <c r="D11" s="4" cm="1">
        <f t="array" ref="D11">_xlfn.IFS('ProductSprint Backlog'!$F11="", "", AND('ProductSprint Backlog'!$J11&gt;D$2,'ProductSprint Backlog'!$I11&lt;=D$2), 'ProductSprint Backlog'!$F11 / MAX(1, 'ProductSprint Backlog'!$J11-'ProductSprint Backlog'!$I11), AND('ProductSprint Backlog'!$J11=D$2,'ProductSprint Backlog'!$I11=D$2), 'ProductSprint Backlog'!$F11, TRUE, 0)</f>
        <v>0</v>
      </c>
      <c r="E11" s="4" cm="1">
        <f t="array" ref="E11">_xlfn.IFS('ProductSprint Backlog'!$F11="", "", AND('ProductSprint Backlog'!$J11&gt;E$2,'ProductSprint Backlog'!$I11&lt;=E$2), 'ProductSprint Backlog'!$F11 / MAX(1, 'ProductSprint Backlog'!$J11-'ProductSprint Backlog'!$I11), AND('ProductSprint Backlog'!$J11=E$2,'ProductSprint Backlog'!$I11=E$2), 'ProductSprint Backlog'!$F11, TRUE, 0)</f>
        <v>0</v>
      </c>
      <c r="F11" s="4" cm="1">
        <f t="array" ref="F11">_xlfn.IFS('ProductSprint Backlog'!$F11="", "", AND('ProductSprint Backlog'!$J11&gt;F$2,'ProductSprint Backlog'!$I11&lt;=F$2), 'ProductSprint Backlog'!$F11 / MAX(1, 'ProductSprint Backlog'!$J11-'ProductSprint Backlog'!$I11), AND('ProductSprint Backlog'!$J11=F$2,'ProductSprint Backlog'!$I11=F$2), 'ProductSprint Backlog'!$F11, TRUE, 0)</f>
        <v>0</v>
      </c>
      <c r="G11" s="4" cm="1">
        <f t="array" ref="G11">_xlfn.IFS('ProductSprint Backlog'!$F11="", "", AND('ProductSprint Backlog'!$J11&gt;G$2,'ProductSprint Backlog'!$I11&lt;=G$2), 'ProductSprint Backlog'!$F11 / MAX(1, 'ProductSprint Backlog'!$J11-'ProductSprint Backlog'!$I11), AND('ProductSprint Backlog'!$J11=G$2,'ProductSprint Backlog'!$I11=G$2), 'ProductSprint Backlog'!$F11, TRUE, 0)</f>
        <v>1</v>
      </c>
      <c r="H11" s="4" cm="1">
        <f t="array" ref="H11">_xlfn.IFS('ProductSprint Backlog'!$F11="", "", AND('ProductSprint Backlog'!$J11&gt;H$2,'ProductSprint Backlog'!$I11&lt;=H$2), 'ProductSprint Backlog'!$F11 / MAX(1, 'ProductSprint Backlog'!$J11-'ProductSprint Backlog'!$I11), AND('ProductSprint Backlog'!$J11=H$2,'ProductSprint Backlog'!$I11=H$2), 'ProductSprint Backlog'!$F11, TRUE, 0)</f>
        <v>1</v>
      </c>
      <c r="I11" s="4" cm="1">
        <f t="array" ref="I11">_xlfn.IFS('ProductSprint Backlog'!$F11="", "", AND('ProductSprint Backlog'!$J11&gt;I$2,'ProductSprint Backlog'!$I11&lt;=I$2), 'ProductSprint Backlog'!$F11 / MAX(1, 'ProductSprint Backlog'!$J11-'ProductSprint Backlog'!$I11), AND('ProductSprint Backlog'!$J11=I$2,'ProductSprint Backlog'!$I11=I$2), 'ProductSprint Backlog'!$F11, TRUE, 0)</f>
        <v>1</v>
      </c>
      <c r="J11" s="4" cm="1">
        <f t="array" ref="J11">_xlfn.IFS('ProductSprint Backlog'!$F11="", "", AND('ProductSprint Backlog'!$J11&gt;J$2,'ProductSprint Backlog'!$I11&lt;=J$2), 'ProductSprint Backlog'!$F11 / MAX(1, 'ProductSprint Backlog'!$J11-'ProductSprint Backlog'!$I11), AND('ProductSprint Backlog'!$J11=J$2,'ProductSprint Backlog'!$I11=J$2), 'ProductSprint Backlog'!$F11, TRUE, 0)</f>
        <v>0</v>
      </c>
      <c r="K11" s="4" cm="1">
        <f t="array" ref="K11">_xlfn.IFS('ProductSprint Backlog'!$F11="", "", AND('ProductSprint Backlog'!$J11&gt;K$2,'ProductSprint Backlog'!$I11&lt;=K$2), 'ProductSprint Backlog'!$F11 / MAX(1, 'ProductSprint Backlog'!$J11-'ProductSprint Backlog'!$I11), AND('ProductSprint Backlog'!$J11=K$2,'ProductSprint Backlog'!$I11=K$2), 'ProductSprint Backlog'!$F11, TRUE, 0)</f>
        <v>0</v>
      </c>
      <c r="L11" s="4" cm="1">
        <f t="array" ref="L11">_xlfn.IFS('ProductSprint Backlog'!$F11="", "", AND('ProductSprint Backlog'!$J11&gt;L$2,'ProductSprint Backlog'!$I11&lt;=L$2), 'ProductSprint Backlog'!$F11 / MAX(1, 'ProductSprint Backlog'!$J11-'ProductSprint Backlog'!$I11), AND('ProductSprint Backlog'!$J11=L$2,'ProductSprint Backlog'!$I11=L$2), 'ProductSprint Backlog'!$F11, TRUE, 0)</f>
        <v>0</v>
      </c>
      <c r="M11" s="4" cm="1">
        <f t="array" ref="M11">_xlfn.IFS('ProductSprint Backlog'!$F11="", "", AND('ProductSprint Backlog'!$J11&gt;M$2,'ProductSprint Backlog'!$I11&lt;=M$2), 'ProductSprint Backlog'!$F11 / MAX(1, 'ProductSprint Backlog'!$J11-'ProductSprint Backlog'!$I11), AND('ProductSprint Backlog'!$J11=M$2,'ProductSprint Backlog'!$I11=M$2), 'ProductSprint Backlog'!$F11, TRUE, 0)</f>
        <v>0</v>
      </c>
      <c r="N11" s="4" cm="1">
        <f t="array" ref="N11">_xlfn.IFS('ProductSprint Backlog'!$F11="", "", AND('ProductSprint Backlog'!$J11&gt;N$2,'ProductSprint Backlog'!$I11&lt;=N$2), 'ProductSprint Backlog'!$F11 / MAX(1, 'ProductSprint Backlog'!$J11-'ProductSprint Backlog'!$I11), AND('ProductSprint Backlog'!$J11=N$2,'ProductSprint Backlog'!$I11=N$2), 'ProductSprint Backlog'!$F11, TRUE, 0)</f>
        <v>0</v>
      </c>
      <c r="O11" s="4" cm="1">
        <f t="array" ref="O11">_xlfn.IFS('ProductSprint Backlog'!$F11="", "", AND('ProductSprint Backlog'!$J11&gt;O$2,'ProductSprint Backlog'!$I11&lt;=O$2), 'ProductSprint Backlog'!$F11 / MAX(1, 'ProductSprint Backlog'!$J11-'ProductSprint Backlog'!$I11), AND('ProductSprint Backlog'!$J11=O$2,'ProductSprint Backlog'!$I11=O$2), 'ProductSprint Backlog'!$F11, TRUE, 0)</f>
        <v>0</v>
      </c>
    </row>
    <row r="12" spans="2:17" x14ac:dyDescent="0.2">
      <c r="B12" s="4" cm="1">
        <f t="array" ref="B12">_xlfn.IFS('ProductSprint Backlog'!$F12="", "", AND('ProductSprint Backlog'!$J12&gt;B$2,'ProductSprint Backlog'!$I12&lt;=B$2), 'ProductSprint Backlog'!$F12 / MAX(1, 'ProductSprint Backlog'!$J12-'ProductSprint Backlog'!$I12), AND('ProductSprint Backlog'!$J12=B$2,'ProductSprint Backlog'!$I12=B$2), 'ProductSprint Backlog'!$F12, TRUE, 0)</f>
        <v>0</v>
      </c>
      <c r="C12" s="4" cm="1">
        <f t="array" ref="C12">_xlfn.IFS('ProductSprint Backlog'!$F12="", "", AND('ProductSprint Backlog'!$J12&gt;C$2,'ProductSprint Backlog'!$I12&lt;=C$2), 'ProductSprint Backlog'!$F12 / MAX(1, 'ProductSprint Backlog'!$J12-'ProductSprint Backlog'!$I12), AND('ProductSprint Backlog'!$J12=C$2,'ProductSprint Backlog'!$I12=C$2), 'ProductSprint Backlog'!$F12, TRUE, 0)</f>
        <v>0</v>
      </c>
      <c r="D12" s="4" cm="1">
        <f t="array" ref="D12">_xlfn.IFS('ProductSprint Backlog'!$F12="", "", AND('ProductSprint Backlog'!$J12&gt;D$2,'ProductSprint Backlog'!$I12&lt;=D$2), 'ProductSprint Backlog'!$F12 / MAX(1, 'ProductSprint Backlog'!$J12-'ProductSprint Backlog'!$I12), AND('ProductSprint Backlog'!$J12=D$2,'ProductSprint Backlog'!$I12=D$2), 'ProductSprint Backlog'!$F12, TRUE, 0)</f>
        <v>0</v>
      </c>
      <c r="E12" s="4" cm="1">
        <f t="array" ref="E12">_xlfn.IFS('ProductSprint Backlog'!$F12="", "", AND('ProductSprint Backlog'!$J12&gt;E$2,'ProductSprint Backlog'!$I12&lt;=E$2), 'ProductSprint Backlog'!$F12 / MAX(1, 'ProductSprint Backlog'!$J12-'ProductSprint Backlog'!$I12), AND('ProductSprint Backlog'!$J12=E$2,'ProductSprint Backlog'!$I12=E$2), 'ProductSprint Backlog'!$F12, TRUE, 0)</f>
        <v>0</v>
      </c>
      <c r="F12" s="4" cm="1">
        <f t="array" ref="F12">_xlfn.IFS('ProductSprint Backlog'!$F12="", "", AND('ProductSprint Backlog'!$J12&gt;F$2,'ProductSprint Backlog'!$I12&lt;=F$2), 'ProductSprint Backlog'!$F12 / MAX(1, 'ProductSprint Backlog'!$J12-'ProductSprint Backlog'!$I12), AND('ProductSprint Backlog'!$J12=F$2,'ProductSprint Backlog'!$I12=F$2), 'ProductSprint Backlog'!$F12, TRUE, 0)</f>
        <v>0</v>
      </c>
      <c r="G12" s="4" cm="1">
        <f t="array" ref="G12">_xlfn.IFS('ProductSprint Backlog'!$F12="", "", AND('ProductSprint Backlog'!$J12&gt;G$2,'ProductSprint Backlog'!$I12&lt;=G$2), 'ProductSprint Backlog'!$F12 / MAX(1, 'ProductSprint Backlog'!$J12-'ProductSprint Backlog'!$I12), AND('ProductSprint Backlog'!$J12=G$2,'ProductSprint Backlog'!$I12=G$2), 'ProductSprint Backlog'!$F12, TRUE, 0)</f>
        <v>0</v>
      </c>
      <c r="H12" s="4" cm="1">
        <f t="array" ref="H12">_xlfn.IFS('ProductSprint Backlog'!$F12="", "", AND('ProductSprint Backlog'!$J12&gt;H$2,'ProductSprint Backlog'!$I12&lt;=H$2), 'ProductSprint Backlog'!$F12 / MAX(1, 'ProductSprint Backlog'!$J12-'ProductSprint Backlog'!$I12), AND('ProductSprint Backlog'!$J12=H$2,'ProductSprint Backlog'!$I12=H$2), 'ProductSprint Backlog'!$F12, TRUE, 0)</f>
        <v>1</v>
      </c>
      <c r="I12" s="4" cm="1">
        <f t="array" ref="I12">_xlfn.IFS('ProductSprint Backlog'!$F12="", "", AND('ProductSprint Backlog'!$J12&gt;I$2,'ProductSprint Backlog'!$I12&lt;=I$2), 'ProductSprint Backlog'!$F12 / MAX(1, 'ProductSprint Backlog'!$J12-'ProductSprint Backlog'!$I12), AND('ProductSprint Backlog'!$J12=I$2,'ProductSprint Backlog'!$I12=I$2), 'ProductSprint Backlog'!$F12, TRUE, 0)</f>
        <v>1</v>
      </c>
      <c r="J12" s="4" cm="1">
        <f t="array" ref="J12">_xlfn.IFS('ProductSprint Backlog'!$F12="", "", AND('ProductSprint Backlog'!$J12&gt;J$2,'ProductSprint Backlog'!$I12&lt;=J$2), 'ProductSprint Backlog'!$F12 / MAX(1, 'ProductSprint Backlog'!$J12-'ProductSprint Backlog'!$I12), AND('ProductSprint Backlog'!$J12=J$2,'ProductSprint Backlog'!$I12=J$2), 'ProductSprint Backlog'!$F12, TRUE, 0)</f>
        <v>0</v>
      </c>
      <c r="K12" s="4" cm="1">
        <f t="array" ref="K12">_xlfn.IFS('ProductSprint Backlog'!$F12="", "", AND('ProductSprint Backlog'!$J12&gt;K$2,'ProductSprint Backlog'!$I12&lt;=K$2), 'ProductSprint Backlog'!$F12 / MAX(1, 'ProductSprint Backlog'!$J12-'ProductSprint Backlog'!$I12), AND('ProductSprint Backlog'!$J12=K$2,'ProductSprint Backlog'!$I12=K$2), 'ProductSprint Backlog'!$F12, TRUE, 0)</f>
        <v>0</v>
      </c>
      <c r="L12" s="4" cm="1">
        <f t="array" ref="L12">_xlfn.IFS('ProductSprint Backlog'!$F12="", "", AND('ProductSprint Backlog'!$J12&gt;L$2,'ProductSprint Backlog'!$I12&lt;=L$2), 'ProductSprint Backlog'!$F12 / MAX(1, 'ProductSprint Backlog'!$J12-'ProductSprint Backlog'!$I12), AND('ProductSprint Backlog'!$J12=L$2,'ProductSprint Backlog'!$I12=L$2), 'ProductSprint Backlog'!$F12, TRUE, 0)</f>
        <v>0</v>
      </c>
      <c r="M12" s="4" cm="1">
        <f t="array" ref="M12">_xlfn.IFS('ProductSprint Backlog'!$F12="", "", AND('ProductSprint Backlog'!$J12&gt;M$2,'ProductSprint Backlog'!$I12&lt;=M$2), 'ProductSprint Backlog'!$F12 / MAX(1, 'ProductSprint Backlog'!$J12-'ProductSprint Backlog'!$I12), AND('ProductSprint Backlog'!$J12=M$2,'ProductSprint Backlog'!$I12=M$2), 'ProductSprint Backlog'!$F12, TRUE, 0)</f>
        <v>0</v>
      </c>
      <c r="N12" s="4" cm="1">
        <f t="array" ref="N12">_xlfn.IFS('ProductSprint Backlog'!$F12="", "", AND('ProductSprint Backlog'!$J12&gt;N$2,'ProductSprint Backlog'!$I12&lt;=N$2), 'ProductSprint Backlog'!$F12 / MAX(1, 'ProductSprint Backlog'!$J12-'ProductSprint Backlog'!$I12), AND('ProductSprint Backlog'!$J12=N$2,'ProductSprint Backlog'!$I12=N$2), 'ProductSprint Backlog'!$F12, TRUE, 0)</f>
        <v>0</v>
      </c>
      <c r="O12" s="4" cm="1">
        <f t="array" ref="O12">_xlfn.IFS('ProductSprint Backlog'!$F12="", "", AND('ProductSprint Backlog'!$J12&gt;O$2,'ProductSprint Backlog'!$I12&lt;=O$2), 'ProductSprint Backlog'!$F12 / MAX(1, 'ProductSprint Backlog'!$J12-'ProductSprint Backlog'!$I12), AND('ProductSprint Backlog'!$J12=O$2,'ProductSprint Backlog'!$I12=O$2), 'ProductSprint Backlog'!$F12, TRUE, 0)</f>
        <v>0</v>
      </c>
    </row>
    <row r="13" spans="2:17" x14ac:dyDescent="0.2">
      <c r="B13" s="4" t="str" cm="1">
        <f t="array" ref="B13">_xlfn.IFS('ProductSprint Backlog'!$F13="", "", AND('ProductSprint Backlog'!$J13&gt;B$2,'ProductSprint Backlog'!$I13&lt;=B$2), 'ProductSprint Backlog'!$F13 / MAX(1, 'ProductSprint Backlog'!$J13-'ProductSprint Backlog'!$I13), AND('ProductSprint Backlog'!$J13=B$2,'ProductSprint Backlog'!$I13=B$2), 'ProductSprint Backlog'!$F13, TRUE, 0)</f>
        <v/>
      </c>
      <c r="C13" s="4" t="str" cm="1">
        <f t="array" ref="C13">_xlfn.IFS('ProductSprint Backlog'!$F13="", "", AND('ProductSprint Backlog'!$J13&gt;C$2,'ProductSprint Backlog'!$I13&lt;=C$2), 'ProductSprint Backlog'!$F13 / MAX(1, 'ProductSprint Backlog'!$J13-'ProductSprint Backlog'!$I13), AND('ProductSprint Backlog'!$J13=C$2,'ProductSprint Backlog'!$I13=C$2), 'ProductSprint Backlog'!$F13, TRUE, 0)</f>
        <v/>
      </c>
      <c r="D13" s="4" t="str" cm="1">
        <f t="array" ref="D13">_xlfn.IFS('ProductSprint Backlog'!$F13="", "", AND('ProductSprint Backlog'!$J13&gt;D$2,'ProductSprint Backlog'!$I13&lt;=D$2), 'ProductSprint Backlog'!$F13 / MAX(1, 'ProductSprint Backlog'!$J13-'ProductSprint Backlog'!$I13), AND('ProductSprint Backlog'!$J13=D$2,'ProductSprint Backlog'!$I13=D$2), 'ProductSprint Backlog'!$F13, TRUE, 0)</f>
        <v/>
      </c>
      <c r="E13" s="4" t="str" cm="1">
        <f t="array" ref="E13">_xlfn.IFS('ProductSprint Backlog'!$F13="", "", AND('ProductSprint Backlog'!$J13&gt;E$2,'ProductSprint Backlog'!$I13&lt;=E$2), 'ProductSprint Backlog'!$F13 / MAX(1, 'ProductSprint Backlog'!$J13-'ProductSprint Backlog'!$I13), AND('ProductSprint Backlog'!$J13=E$2,'ProductSprint Backlog'!$I13=E$2), 'ProductSprint Backlog'!$F13, TRUE, 0)</f>
        <v/>
      </c>
      <c r="F13" s="4" t="str" cm="1">
        <f t="array" ref="F13">_xlfn.IFS('ProductSprint Backlog'!$F13="", "", AND('ProductSprint Backlog'!$J13&gt;F$2,'ProductSprint Backlog'!$I13&lt;=F$2), 'ProductSprint Backlog'!$F13 / MAX(1, 'ProductSprint Backlog'!$J13-'ProductSprint Backlog'!$I13), AND('ProductSprint Backlog'!$J13=F$2,'ProductSprint Backlog'!$I13=F$2), 'ProductSprint Backlog'!$F13, TRUE, 0)</f>
        <v/>
      </c>
      <c r="G13" s="4" t="str" cm="1">
        <f t="array" ref="G13">_xlfn.IFS('ProductSprint Backlog'!$F13="", "", AND('ProductSprint Backlog'!$J13&gt;G$2,'ProductSprint Backlog'!$I13&lt;=G$2), 'ProductSprint Backlog'!$F13 / MAX(1, 'ProductSprint Backlog'!$J13-'ProductSprint Backlog'!$I13), AND('ProductSprint Backlog'!$J13=G$2,'ProductSprint Backlog'!$I13=G$2), 'ProductSprint Backlog'!$F13, TRUE, 0)</f>
        <v/>
      </c>
      <c r="H13" s="4" t="str" cm="1">
        <f t="array" ref="H13">_xlfn.IFS('ProductSprint Backlog'!$F13="", "", AND('ProductSprint Backlog'!$J13&gt;H$2,'ProductSprint Backlog'!$I13&lt;=H$2), 'ProductSprint Backlog'!$F13 / MAX(1, 'ProductSprint Backlog'!$J13-'ProductSprint Backlog'!$I13), AND('ProductSprint Backlog'!$J13=H$2,'ProductSprint Backlog'!$I13=H$2), 'ProductSprint Backlog'!$F13, TRUE, 0)</f>
        <v/>
      </c>
      <c r="I13" s="4" t="str" cm="1">
        <f t="array" ref="I13">_xlfn.IFS('ProductSprint Backlog'!$F13="", "", AND('ProductSprint Backlog'!$J13&gt;I$2,'ProductSprint Backlog'!$I13&lt;=I$2), 'ProductSprint Backlog'!$F13 / MAX(1, 'ProductSprint Backlog'!$J13-'ProductSprint Backlog'!$I13), AND('ProductSprint Backlog'!$J13=I$2,'ProductSprint Backlog'!$I13=I$2), 'ProductSprint Backlog'!$F13, TRUE, 0)</f>
        <v/>
      </c>
      <c r="J13" s="4" t="str" cm="1">
        <f t="array" ref="J13">_xlfn.IFS('ProductSprint Backlog'!$F13="", "", AND('ProductSprint Backlog'!$J13&gt;J$2,'ProductSprint Backlog'!$I13&lt;=J$2), 'ProductSprint Backlog'!$F13 / MAX(1, 'ProductSprint Backlog'!$J13-'ProductSprint Backlog'!$I13), AND('ProductSprint Backlog'!$J13=J$2,'ProductSprint Backlog'!$I13=J$2), 'ProductSprint Backlog'!$F13, TRUE, 0)</f>
        <v/>
      </c>
      <c r="K13" s="4" t="str" cm="1">
        <f t="array" ref="K13">_xlfn.IFS('ProductSprint Backlog'!$F13="", "", AND('ProductSprint Backlog'!$J13&gt;K$2,'ProductSprint Backlog'!$I13&lt;=K$2), 'ProductSprint Backlog'!$F13 / MAX(1, 'ProductSprint Backlog'!$J13-'ProductSprint Backlog'!$I13), AND('ProductSprint Backlog'!$J13=K$2,'ProductSprint Backlog'!$I13=K$2), 'ProductSprint Backlog'!$F13, TRUE, 0)</f>
        <v/>
      </c>
      <c r="L13" s="4" t="str" cm="1">
        <f t="array" ref="L13">_xlfn.IFS('ProductSprint Backlog'!$F13="", "", AND('ProductSprint Backlog'!$J13&gt;L$2,'ProductSprint Backlog'!$I13&lt;=L$2), 'ProductSprint Backlog'!$F13 / MAX(1, 'ProductSprint Backlog'!$J13-'ProductSprint Backlog'!$I13), AND('ProductSprint Backlog'!$J13=L$2,'ProductSprint Backlog'!$I13=L$2), 'ProductSprint Backlog'!$F13, TRUE, 0)</f>
        <v/>
      </c>
      <c r="M13" s="4" t="str" cm="1">
        <f t="array" ref="M13">_xlfn.IFS('ProductSprint Backlog'!$F13="", "", AND('ProductSprint Backlog'!$J13&gt;M$2,'ProductSprint Backlog'!$I13&lt;=M$2), 'ProductSprint Backlog'!$F13 / MAX(1, 'ProductSprint Backlog'!$J13-'ProductSprint Backlog'!$I13), AND('ProductSprint Backlog'!$J13=M$2,'ProductSprint Backlog'!$I13=M$2), 'ProductSprint Backlog'!$F13, TRUE, 0)</f>
        <v/>
      </c>
      <c r="N13" s="4" t="str" cm="1">
        <f t="array" ref="N13">_xlfn.IFS('ProductSprint Backlog'!$F13="", "", AND('ProductSprint Backlog'!$J13&gt;N$2,'ProductSprint Backlog'!$I13&lt;=N$2), 'ProductSprint Backlog'!$F13 / MAX(1, 'ProductSprint Backlog'!$J13-'ProductSprint Backlog'!$I13), AND('ProductSprint Backlog'!$J13=N$2,'ProductSprint Backlog'!$I13=N$2), 'ProductSprint Backlog'!$F13, TRUE, 0)</f>
        <v/>
      </c>
      <c r="O13" s="4" t="str" cm="1">
        <f t="array" ref="O13">_xlfn.IFS('ProductSprint Backlog'!$F13="", "", AND('ProductSprint Backlog'!$J13&gt;O$2,'ProductSprint Backlog'!$I13&lt;=O$2), 'ProductSprint Backlog'!$F13 / MAX(1, 'ProductSprint Backlog'!$J13-'ProductSprint Backlog'!$I13), AND('ProductSprint Backlog'!$J13=O$2,'ProductSprint Backlog'!$I13=O$2), 'ProductSprint Backlog'!$F13, TRUE, 0)</f>
        <v/>
      </c>
    </row>
    <row r="14" spans="2:17" x14ac:dyDescent="0.2">
      <c r="B14" s="4" cm="1">
        <f t="array" ref="B14">_xlfn.IFS('ProductSprint Backlog'!$F14="", "", AND('ProductSprint Backlog'!$J14&gt;B$2,'ProductSprint Backlog'!$I14&lt;=B$2), 'ProductSprint Backlog'!$F14 / MAX(1, 'ProductSprint Backlog'!$J14-'ProductSprint Backlog'!$I14), AND('ProductSprint Backlog'!$J14=B$2,'ProductSprint Backlog'!$I14=B$2), 'ProductSprint Backlog'!$F14, TRUE, 0)</f>
        <v>0</v>
      </c>
      <c r="C14" s="4" cm="1">
        <f t="array" ref="C14">_xlfn.IFS('ProductSprint Backlog'!$F14="", "", AND('ProductSprint Backlog'!$J14&gt;C$2,'ProductSprint Backlog'!$I14&lt;=C$2), 'ProductSprint Backlog'!$F14 / MAX(1, 'ProductSprint Backlog'!$J14-'ProductSprint Backlog'!$I14), AND('ProductSprint Backlog'!$J14=C$2,'ProductSprint Backlog'!$I14=C$2), 'ProductSprint Backlog'!$F14, TRUE, 0)</f>
        <v>0</v>
      </c>
      <c r="D14" s="4" cm="1">
        <f t="array" ref="D14">_xlfn.IFS('ProductSprint Backlog'!$F14="", "", AND('ProductSprint Backlog'!$J14&gt;D$2,'ProductSprint Backlog'!$I14&lt;=D$2), 'ProductSprint Backlog'!$F14 / MAX(1, 'ProductSprint Backlog'!$J14-'ProductSprint Backlog'!$I14), AND('ProductSprint Backlog'!$J14=D$2,'ProductSprint Backlog'!$I14=D$2), 'ProductSprint Backlog'!$F14, TRUE, 0)</f>
        <v>0</v>
      </c>
      <c r="E14" s="4" cm="1">
        <f t="array" ref="E14">_xlfn.IFS('ProductSprint Backlog'!$F14="", "", AND('ProductSprint Backlog'!$J14&gt;E$2,'ProductSprint Backlog'!$I14&lt;=E$2), 'ProductSprint Backlog'!$F14 / MAX(1, 'ProductSprint Backlog'!$J14-'ProductSprint Backlog'!$I14), AND('ProductSprint Backlog'!$J14=E$2,'ProductSprint Backlog'!$I14=E$2), 'ProductSprint Backlog'!$F14, TRUE, 0)</f>
        <v>0</v>
      </c>
      <c r="F14" s="4" cm="1">
        <f t="array" ref="F14">_xlfn.IFS('ProductSprint Backlog'!$F14="", "", AND('ProductSprint Backlog'!$J14&gt;F$2,'ProductSprint Backlog'!$I14&lt;=F$2), 'ProductSprint Backlog'!$F14 / MAX(1, 'ProductSprint Backlog'!$J14-'ProductSprint Backlog'!$I14), AND('ProductSprint Backlog'!$J14=F$2,'ProductSprint Backlog'!$I14=F$2), 'ProductSprint Backlog'!$F14, TRUE, 0)</f>
        <v>0</v>
      </c>
      <c r="G14" s="4" cm="1">
        <f t="array" ref="G14">_xlfn.IFS('ProductSprint Backlog'!$F14="", "", AND('ProductSprint Backlog'!$J14&gt;G$2,'ProductSprint Backlog'!$I14&lt;=G$2), 'ProductSprint Backlog'!$F14 / MAX(1, 'ProductSprint Backlog'!$J14-'ProductSprint Backlog'!$I14), AND('ProductSprint Backlog'!$J14=G$2,'ProductSprint Backlog'!$I14=G$2), 'ProductSprint Backlog'!$F14, TRUE, 0)</f>
        <v>0</v>
      </c>
      <c r="H14" s="4" cm="1">
        <f t="array" ref="H14">_xlfn.IFS('ProductSprint Backlog'!$F14="", "", AND('ProductSprint Backlog'!$J14&gt;H$2,'ProductSprint Backlog'!$I14&lt;=H$2), 'ProductSprint Backlog'!$F14 / MAX(1, 'ProductSprint Backlog'!$J14-'ProductSprint Backlog'!$I14), AND('ProductSprint Backlog'!$J14=H$2,'ProductSprint Backlog'!$I14=H$2), 'ProductSprint Backlog'!$F14, TRUE, 0)</f>
        <v>0</v>
      </c>
      <c r="I14" s="4" cm="1">
        <f t="array" ref="I14">_xlfn.IFS('ProductSprint Backlog'!$F14="", "", AND('ProductSprint Backlog'!$J14&gt;I$2,'ProductSprint Backlog'!$I14&lt;=I$2), 'ProductSprint Backlog'!$F14 / MAX(1, 'ProductSprint Backlog'!$J14-'ProductSprint Backlog'!$I14), AND('ProductSprint Backlog'!$J14=I$2,'ProductSprint Backlog'!$I14=I$2), 'ProductSprint Backlog'!$F14, TRUE, 0)</f>
        <v>1</v>
      </c>
      <c r="J14" s="4" cm="1">
        <f t="array" ref="J14">_xlfn.IFS('ProductSprint Backlog'!$F14="", "", AND('ProductSprint Backlog'!$J14&gt;J$2,'ProductSprint Backlog'!$I14&lt;=J$2), 'ProductSprint Backlog'!$F14 / MAX(1, 'ProductSprint Backlog'!$J14-'ProductSprint Backlog'!$I14), AND('ProductSprint Backlog'!$J14=J$2,'ProductSprint Backlog'!$I14=J$2), 'ProductSprint Backlog'!$F14, TRUE, 0)</f>
        <v>1</v>
      </c>
      <c r="K14" s="4" cm="1">
        <f t="array" ref="K14">_xlfn.IFS('ProductSprint Backlog'!$F14="", "", AND('ProductSprint Backlog'!$J14&gt;K$2,'ProductSprint Backlog'!$I14&lt;=K$2), 'ProductSprint Backlog'!$F14 / MAX(1, 'ProductSprint Backlog'!$J14-'ProductSprint Backlog'!$I14), AND('ProductSprint Backlog'!$J14=K$2,'ProductSprint Backlog'!$I14=K$2), 'ProductSprint Backlog'!$F14, TRUE, 0)</f>
        <v>0</v>
      </c>
      <c r="L14" s="4" cm="1">
        <f t="array" ref="L14">_xlfn.IFS('ProductSprint Backlog'!$F14="", "", AND('ProductSprint Backlog'!$J14&gt;L$2,'ProductSprint Backlog'!$I14&lt;=L$2), 'ProductSprint Backlog'!$F14 / MAX(1, 'ProductSprint Backlog'!$J14-'ProductSprint Backlog'!$I14), AND('ProductSprint Backlog'!$J14=L$2,'ProductSprint Backlog'!$I14=L$2), 'ProductSprint Backlog'!$F14, TRUE, 0)</f>
        <v>0</v>
      </c>
      <c r="M14" s="4" cm="1">
        <f t="array" ref="M14">_xlfn.IFS('ProductSprint Backlog'!$F14="", "", AND('ProductSprint Backlog'!$J14&gt;M$2,'ProductSprint Backlog'!$I14&lt;=M$2), 'ProductSprint Backlog'!$F14 / MAX(1, 'ProductSprint Backlog'!$J14-'ProductSprint Backlog'!$I14), AND('ProductSprint Backlog'!$J14=M$2,'ProductSprint Backlog'!$I14=M$2), 'ProductSprint Backlog'!$F14, TRUE, 0)</f>
        <v>0</v>
      </c>
      <c r="N14" s="4" cm="1">
        <f t="array" ref="N14">_xlfn.IFS('ProductSprint Backlog'!$F14="", "", AND('ProductSprint Backlog'!$J14&gt;N$2,'ProductSprint Backlog'!$I14&lt;=N$2), 'ProductSprint Backlog'!$F14 / MAX(1, 'ProductSprint Backlog'!$J14-'ProductSprint Backlog'!$I14), AND('ProductSprint Backlog'!$J14=N$2,'ProductSprint Backlog'!$I14=N$2), 'ProductSprint Backlog'!$F14, TRUE, 0)</f>
        <v>0</v>
      </c>
      <c r="O14" s="4" cm="1">
        <f t="array" ref="O14">_xlfn.IFS('ProductSprint Backlog'!$F14="", "", AND('ProductSprint Backlog'!$J14&gt;O$2,'ProductSprint Backlog'!$I14&lt;=O$2), 'ProductSprint Backlog'!$F14 / MAX(1, 'ProductSprint Backlog'!$J14-'ProductSprint Backlog'!$I14), AND('ProductSprint Backlog'!$J14=O$2,'ProductSprint Backlog'!$I14=O$2), 'ProductSprint Backlog'!$F14, TRUE, 0)</f>
        <v>0</v>
      </c>
    </row>
    <row r="15" spans="2:17" x14ac:dyDescent="0.2">
      <c r="B15" s="4" cm="1">
        <f t="array" ref="B15">_xlfn.IFS('ProductSprint Backlog'!$F15="", "", AND('ProductSprint Backlog'!$J15&gt;B$2,'ProductSprint Backlog'!$I15&lt;=B$2), 'ProductSprint Backlog'!$F15 / MAX(1, 'ProductSprint Backlog'!$J15-'ProductSprint Backlog'!$I15), AND('ProductSprint Backlog'!$J15=B$2,'ProductSprint Backlog'!$I15=B$2), 'ProductSprint Backlog'!$F15, TRUE, 0)</f>
        <v>0</v>
      </c>
      <c r="C15" s="4" cm="1">
        <f t="array" ref="C15">_xlfn.IFS('ProductSprint Backlog'!$F15="", "", AND('ProductSprint Backlog'!$J15&gt;C$2,'ProductSprint Backlog'!$I15&lt;=C$2), 'ProductSprint Backlog'!$F15 / MAX(1, 'ProductSprint Backlog'!$J15-'ProductSprint Backlog'!$I15), AND('ProductSprint Backlog'!$J15=C$2,'ProductSprint Backlog'!$I15=C$2), 'ProductSprint Backlog'!$F15, TRUE, 0)</f>
        <v>0</v>
      </c>
      <c r="D15" s="4" cm="1">
        <f t="array" ref="D15">_xlfn.IFS('ProductSprint Backlog'!$F15="", "", AND('ProductSprint Backlog'!$J15&gt;D$2,'ProductSprint Backlog'!$I15&lt;=D$2), 'ProductSprint Backlog'!$F15 / MAX(1, 'ProductSprint Backlog'!$J15-'ProductSprint Backlog'!$I15), AND('ProductSprint Backlog'!$J15=D$2,'ProductSprint Backlog'!$I15=D$2), 'ProductSprint Backlog'!$F15, TRUE, 0)</f>
        <v>0</v>
      </c>
      <c r="E15" s="4" cm="1">
        <f t="array" ref="E15">_xlfn.IFS('ProductSprint Backlog'!$F15="", "", AND('ProductSprint Backlog'!$J15&gt;E$2,'ProductSprint Backlog'!$I15&lt;=E$2), 'ProductSprint Backlog'!$F15 / MAX(1, 'ProductSprint Backlog'!$J15-'ProductSprint Backlog'!$I15), AND('ProductSprint Backlog'!$J15=E$2,'ProductSprint Backlog'!$I15=E$2), 'ProductSprint Backlog'!$F15, TRUE, 0)</f>
        <v>0</v>
      </c>
      <c r="F15" s="4" cm="1">
        <f t="array" ref="F15">_xlfn.IFS('ProductSprint Backlog'!$F15="", "", AND('ProductSprint Backlog'!$J15&gt;F$2,'ProductSprint Backlog'!$I15&lt;=F$2), 'ProductSprint Backlog'!$F15 / MAX(1, 'ProductSprint Backlog'!$J15-'ProductSprint Backlog'!$I15), AND('ProductSprint Backlog'!$J15=F$2,'ProductSprint Backlog'!$I15=F$2), 'ProductSprint Backlog'!$F15, TRUE, 0)</f>
        <v>0</v>
      </c>
      <c r="G15" s="4" cm="1">
        <f t="array" ref="G15">_xlfn.IFS('ProductSprint Backlog'!$F15="", "", AND('ProductSprint Backlog'!$J15&gt;G$2,'ProductSprint Backlog'!$I15&lt;=G$2), 'ProductSprint Backlog'!$F15 / MAX(1, 'ProductSprint Backlog'!$J15-'ProductSprint Backlog'!$I15), AND('ProductSprint Backlog'!$J15=G$2,'ProductSprint Backlog'!$I15=G$2), 'ProductSprint Backlog'!$F15, TRUE, 0)</f>
        <v>0</v>
      </c>
      <c r="H15" s="4" cm="1">
        <f t="array" ref="H15">_xlfn.IFS('ProductSprint Backlog'!$F15="", "", AND('ProductSprint Backlog'!$J15&gt;H$2,'ProductSprint Backlog'!$I15&lt;=H$2), 'ProductSprint Backlog'!$F15 / MAX(1, 'ProductSprint Backlog'!$J15-'ProductSprint Backlog'!$I15), AND('ProductSprint Backlog'!$J15=H$2,'ProductSprint Backlog'!$I15=H$2), 'ProductSprint Backlog'!$F15, TRUE, 0)</f>
        <v>0</v>
      </c>
      <c r="I15" s="4" cm="1">
        <f t="array" ref="I15">_xlfn.IFS('ProductSprint Backlog'!$F15="", "", AND('ProductSprint Backlog'!$J15&gt;I$2,'ProductSprint Backlog'!$I15&lt;=I$2), 'ProductSprint Backlog'!$F15 / MAX(1, 'ProductSprint Backlog'!$J15-'ProductSprint Backlog'!$I15), AND('ProductSprint Backlog'!$J15=I$2,'ProductSprint Backlog'!$I15=I$2), 'ProductSprint Backlog'!$F15, TRUE, 0)</f>
        <v>2</v>
      </c>
      <c r="J15" s="4" cm="1">
        <f t="array" ref="J15">_xlfn.IFS('ProductSprint Backlog'!$F15="", "", AND('ProductSprint Backlog'!$J15&gt;J$2,'ProductSprint Backlog'!$I15&lt;=J$2), 'ProductSprint Backlog'!$F15 / MAX(1, 'ProductSprint Backlog'!$J15-'ProductSprint Backlog'!$I15), AND('ProductSprint Backlog'!$J15=J$2,'ProductSprint Backlog'!$I15=J$2), 'ProductSprint Backlog'!$F15, TRUE, 0)</f>
        <v>2</v>
      </c>
      <c r="K15" s="4" cm="1">
        <f t="array" ref="K15">_xlfn.IFS('ProductSprint Backlog'!$F15="", "", AND('ProductSprint Backlog'!$J15&gt;K$2,'ProductSprint Backlog'!$I15&lt;=K$2), 'ProductSprint Backlog'!$F15 / MAX(1, 'ProductSprint Backlog'!$J15-'ProductSprint Backlog'!$I15), AND('ProductSprint Backlog'!$J15=K$2,'ProductSprint Backlog'!$I15=K$2), 'ProductSprint Backlog'!$F15, TRUE, 0)</f>
        <v>0</v>
      </c>
      <c r="L15" s="4" cm="1">
        <f t="array" ref="L15">_xlfn.IFS('ProductSprint Backlog'!$F15="", "", AND('ProductSprint Backlog'!$J15&gt;L$2,'ProductSprint Backlog'!$I15&lt;=L$2), 'ProductSprint Backlog'!$F15 / MAX(1, 'ProductSprint Backlog'!$J15-'ProductSprint Backlog'!$I15), AND('ProductSprint Backlog'!$J15=L$2,'ProductSprint Backlog'!$I15=L$2), 'ProductSprint Backlog'!$F15, TRUE, 0)</f>
        <v>0</v>
      </c>
      <c r="M15" s="4" cm="1">
        <f t="array" ref="M15">_xlfn.IFS('ProductSprint Backlog'!$F15="", "", AND('ProductSprint Backlog'!$J15&gt;M$2,'ProductSprint Backlog'!$I15&lt;=M$2), 'ProductSprint Backlog'!$F15 / MAX(1, 'ProductSprint Backlog'!$J15-'ProductSprint Backlog'!$I15), AND('ProductSprint Backlog'!$J15=M$2,'ProductSprint Backlog'!$I15=M$2), 'ProductSprint Backlog'!$F15, TRUE, 0)</f>
        <v>0</v>
      </c>
      <c r="N15" s="4" cm="1">
        <f t="array" ref="N15">_xlfn.IFS('ProductSprint Backlog'!$F15="", "", AND('ProductSprint Backlog'!$J15&gt;N$2,'ProductSprint Backlog'!$I15&lt;=N$2), 'ProductSprint Backlog'!$F15 / MAX(1, 'ProductSprint Backlog'!$J15-'ProductSprint Backlog'!$I15), AND('ProductSprint Backlog'!$J15=N$2,'ProductSprint Backlog'!$I15=N$2), 'ProductSprint Backlog'!$F15, TRUE, 0)</f>
        <v>0</v>
      </c>
      <c r="O15" s="4" cm="1">
        <f t="array" ref="O15">_xlfn.IFS('ProductSprint Backlog'!$F15="", "", AND('ProductSprint Backlog'!$J15&gt;O$2,'ProductSprint Backlog'!$I15&lt;=O$2), 'ProductSprint Backlog'!$F15 / MAX(1, 'ProductSprint Backlog'!$J15-'ProductSprint Backlog'!$I15), AND('ProductSprint Backlog'!$J15=O$2,'ProductSprint Backlog'!$I15=O$2), 'ProductSprint Backlog'!$F15, TRUE, 0)</f>
        <v>0</v>
      </c>
    </row>
    <row r="16" spans="2:17" x14ac:dyDescent="0.2">
      <c r="B16" s="4" cm="1">
        <f t="array" ref="B16">_xlfn.IFS('ProductSprint Backlog'!$F16="", "", AND('ProductSprint Backlog'!$J16&gt;B$2,'ProductSprint Backlog'!$I16&lt;=B$2), 'ProductSprint Backlog'!$F16 / MAX(1, 'ProductSprint Backlog'!$J16-'ProductSprint Backlog'!$I16), AND('ProductSprint Backlog'!$J16=B$2,'ProductSprint Backlog'!$I16=B$2), 'ProductSprint Backlog'!$F16, TRUE, 0)</f>
        <v>0</v>
      </c>
      <c r="C16" s="4" cm="1">
        <f t="array" ref="C16">_xlfn.IFS('ProductSprint Backlog'!$F16="", "", AND('ProductSprint Backlog'!$J16&gt;C$2,'ProductSprint Backlog'!$I16&lt;=C$2), 'ProductSprint Backlog'!$F16 / MAX(1, 'ProductSprint Backlog'!$J16-'ProductSprint Backlog'!$I16), AND('ProductSprint Backlog'!$J16=C$2,'ProductSprint Backlog'!$I16=C$2), 'ProductSprint Backlog'!$F16, TRUE, 0)</f>
        <v>0</v>
      </c>
      <c r="D16" s="4" cm="1">
        <f t="array" ref="D16">_xlfn.IFS('ProductSprint Backlog'!$F16="", "", AND('ProductSprint Backlog'!$J16&gt;D$2,'ProductSprint Backlog'!$I16&lt;=D$2), 'ProductSprint Backlog'!$F16 / MAX(1, 'ProductSprint Backlog'!$J16-'ProductSprint Backlog'!$I16), AND('ProductSprint Backlog'!$J16=D$2,'ProductSprint Backlog'!$I16=D$2), 'ProductSprint Backlog'!$F16, TRUE, 0)</f>
        <v>0</v>
      </c>
      <c r="E16" s="4" cm="1">
        <f t="array" ref="E16">_xlfn.IFS('ProductSprint Backlog'!$F16="", "", AND('ProductSprint Backlog'!$J16&gt;E$2,'ProductSprint Backlog'!$I16&lt;=E$2), 'ProductSprint Backlog'!$F16 / MAX(1, 'ProductSprint Backlog'!$J16-'ProductSprint Backlog'!$I16), AND('ProductSprint Backlog'!$J16=E$2,'ProductSprint Backlog'!$I16=E$2), 'ProductSprint Backlog'!$F16, TRUE, 0)</f>
        <v>0</v>
      </c>
      <c r="F16" s="4" cm="1">
        <f t="array" ref="F16">_xlfn.IFS('ProductSprint Backlog'!$F16="", "", AND('ProductSprint Backlog'!$J16&gt;F$2,'ProductSprint Backlog'!$I16&lt;=F$2), 'ProductSprint Backlog'!$F16 / MAX(1, 'ProductSprint Backlog'!$J16-'ProductSprint Backlog'!$I16), AND('ProductSprint Backlog'!$J16=F$2,'ProductSprint Backlog'!$I16=F$2), 'ProductSprint Backlog'!$F16, TRUE, 0)</f>
        <v>0</v>
      </c>
      <c r="G16" s="4" cm="1">
        <f t="array" ref="G16">_xlfn.IFS('ProductSprint Backlog'!$F16="", "", AND('ProductSprint Backlog'!$J16&gt;G$2,'ProductSprint Backlog'!$I16&lt;=G$2), 'ProductSprint Backlog'!$F16 / MAX(1, 'ProductSprint Backlog'!$J16-'ProductSprint Backlog'!$I16), AND('ProductSprint Backlog'!$J16=G$2,'ProductSprint Backlog'!$I16=G$2), 'ProductSprint Backlog'!$F16, TRUE, 0)</f>
        <v>0</v>
      </c>
      <c r="H16" s="4" cm="1">
        <f t="array" ref="H16">_xlfn.IFS('ProductSprint Backlog'!$F16="", "", AND('ProductSprint Backlog'!$J16&gt;H$2,'ProductSprint Backlog'!$I16&lt;=H$2), 'ProductSprint Backlog'!$F16 / MAX(1, 'ProductSprint Backlog'!$J16-'ProductSprint Backlog'!$I16), AND('ProductSprint Backlog'!$J16=H$2,'ProductSprint Backlog'!$I16=H$2), 'ProductSprint Backlog'!$F16, TRUE, 0)</f>
        <v>0</v>
      </c>
      <c r="I16" s="4" cm="1">
        <f t="array" ref="I16">_xlfn.IFS('ProductSprint Backlog'!$F16="", "", AND('ProductSprint Backlog'!$J16&gt;I$2,'ProductSprint Backlog'!$I16&lt;=I$2), 'ProductSprint Backlog'!$F16 / MAX(1, 'ProductSprint Backlog'!$J16-'ProductSprint Backlog'!$I16), AND('ProductSprint Backlog'!$J16=I$2,'ProductSprint Backlog'!$I16=I$2), 'ProductSprint Backlog'!$F16, TRUE, 0)</f>
        <v>0</v>
      </c>
      <c r="J16" s="4" cm="1">
        <f t="array" ref="J16">_xlfn.IFS('ProductSprint Backlog'!$F16="", "", AND('ProductSprint Backlog'!$J16&gt;J$2,'ProductSprint Backlog'!$I16&lt;=J$2), 'ProductSprint Backlog'!$F16 / MAX(1, 'ProductSprint Backlog'!$J16-'ProductSprint Backlog'!$I16), AND('ProductSprint Backlog'!$J16=J$2,'ProductSprint Backlog'!$I16=J$2), 'ProductSprint Backlog'!$F16, TRUE, 0)</f>
        <v>0</v>
      </c>
      <c r="K16" s="4" cm="1">
        <f t="array" ref="K16">_xlfn.IFS('ProductSprint Backlog'!$F16="", "", AND('ProductSprint Backlog'!$J16&gt;K$2,'ProductSprint Backlog'!$I16&lt;=K$2), 'ProductSprint Backlog'!$F16 / MAX(1, 'ProductSprint Backlog'!$J16-'ProductSprint Backlog'!$I16), AND('ProductSprint Backlog'!$J16=K$2,'ProductSprint Backlog'!$I16=K$2), 'ProductSprint Backlog'!$F16, TRUE, 0)</f>
        <v>1</v>
      </c>
      <c r="L16" s="4" cm="1">
        <f t="array" ref="L16">_xlfn.IFS('ProductSprint Backlog'!$F16="", "", AND('ProductSprint Backlog'!$J16&gt;L$2,'ProductSprint Backlog'!$I16&lt;=L$2), 'ProductSprint Backlog'!$F16 / MAX(1, 'ProductSprint Backlog'!$J16-'ProductSprint Backlog'!$I16), AND('ProductSprint Backlog'!$J16=L$2,'ProductSprint Backlog'!$I16=L$2), 'ProductSprint Backlog'!$F16, TRUE, 0)</f>
        <v>1</v>
      </c>
      <c r="M16" s="4" cm="1">
        <f t="array" ref="M16">_xlfn.IFS('ProductSprint Backlog'!$F16="", "", AND('ProductSprint Backlog'!$J16&gt;M$2,'ProductSprint Backlog'!$I16&lt;=M$2), 'ProductSprint Backlog'!$F16 / MAX(1, 'ProductSprint Backlog'!$J16-'ProductSprint Backlog'!$I16), AND('ProductSprint Backlog'!$J16=M$2,'ProductSprint Backlog'!$I16=M$2), 'ProductSprint Backlog'!$F16, TRUE, 0)</f>
        <v>1</v>
      </c>
      <c r="N16" s="4" cm="1">
        <f t="array" ref="N16">_xlfn.IFS('ProductSprint Backlog'!$F16="", "", AND('ProductSprint Backlog'!$J16&gt;N$2,'ProductSprint Backlog'!$I16&lt;=N$2), 'ProductSprint Backlog'!$F16 / MAX(1, 'ProductSprint Backlog'!$J16-'ProductSprint Backlog'!$I16), AND('ProductSprint Backlog'!$J16=N$2,'ProductSprint Backlog'!$I16=N$2), 'ProductSprint Backlog'!$F16, TRUE, 0)</f>
        <v>0</v>
      </c>
      <c r="O16" s="4" cm="1">
        <f t="array" ref="O16">_xlfn.IFS('ProductSprint Backlog'!$F16="", "", AND('ProductSprint Backlog'!$J16&gt;O$2,'ProductSprint Backlog'!$I16&lt;=O$2), 'ProductSprint Backlog'!$F16 / MAX(1, 'ProductSprint Backlog'!$J16-'ProductSprint Backlog'!$I16), AND('ProductSprint Backlog'!$J16=O$2,'ProductSprint Backlog'!$I16=O$2), 'ProductSprint Backlog'!$F16, TRUE, 0)</f>
        <v>0</v>
      </c>
    </row>
    <row r="17" spans="2:15" x14ac:dyDescent="0.2">
      <c r="B17" s="4" cm="1">
        <f t="array" ref="B17">_xlfn.IFS('ProductSprint Backlog'!$F17="", "", AND('ProductSprint Backlog'!$J17&gt;B$2,'ProductSprint Backlog'!$I17&lt;=B$2), 'ProductSprint Backlog'!$F17 / MAX(1, 'ProductSprint Backlog'!$J17-'ProductSprint Backlog'!$I17), AND('ProductSprint Backlog'!$J17=B$2,'ProductSprint Backlog'!$I17=B$2), 'ProductSprint Backlog'!$F17, TRUE, 0)</f>
        <v>0</v>
      </c>
      <c r="C17" s="4" cm="1">
        <f t="array" ref="C17">_xlfn.IFS('ProductSprint Backlog'!$F17="", "", AND('ProductSprint Backlog'!$J17&gt;C$2,'ProductSprint Backlog'!$I17&lt;=C$2), 'ProductSprint Backlog'!$F17 / MAX(1, 'ProductSprint Backlog'!$J17-'ProductSprint Backlog'!$I17), AND('ProductSprint Backlog'!$J17=C$2,'ProductSprint Backlog'!$I17=C$2), 'ProductSprint Backlog'!$F17, TRUE, 0)</f>
        <v>0</v>
      </c>
      <c r="D17" s="4" cm="1">
        <f t="array" ref="D17">_xlfn.IFS('ProductSprint Backlog'!$F17="", "", AND('ProductSprint Backlog'!$J17&gt;D$2,'ProductSprint Backlog'!$I17&lt;=D$2), 'ProductSprint Backlog'!$F17 / MAX(1, 'ProductSprint Backlog'!$J17-'ProductSprint Backlog'!$I17), AND('ProductSprint Backlog'!$J17=D$2,'ProductSprint Backlog'!$I17=D$2), 'ProductSprint Backlog'!$F17, TRUE, 0)</f>
        <v>0</v>
      </c>
      <c r="E17" s="4" cm="1">
        <f t="array" ref="E17">_xlfn.IFS('ProductSprint Backlog'!$F17="", "", AND('ProductSprint Backlog'!$J17&gt;E$2,'ProductSprint Backlog'!$I17&lt;=E$2), 'ProductSprint Backlog'!$F17 / MAX(1, 'ProductSprint Backlog'!$J17-'ProductSprint Backlog'!$I17), AND('ProductSprint Backlog'!$J17=E$2,'ProductSprint Backlog'!$I17=E$2), 'ProductSprint Backlog'!$F17, TRUE, 0)</f>
        <v>0</v>
      </c>
      <c r="F17" s="4" cm="1">
        <f t="array" ref="F17">_xlfn.IFS('ProductSprint Backlog'!$F17="", "", AND('ProductSprint Backlog'!$J17&gt;F$2,'ProductSprint Backlog'!$I17&lt;=F$2), 'ProductSprint Backlog'!$F17 / MAX(1, 'ProductSprint Backlog'!$J17-'ProductSprint Backlog'!$I17), AND('ProductSprint Backlog'!$J17=F$2,'ProductSprint Backlog'!$I17=F$2), 'ProductSprint Backlog'!$F17, TRUE, 0)</f>
        <v>0</v>
      </c>
      <c r="G17" s="4" cm="1">
        <f t="array" ref="G17">_xlfn.IFS('ProductSprint Backlog'!$F17="", "", AND('ProductSprint Backlog'!$J17&gt;G$2,'ProductSprint Backlog'!$I17&lt;=G$2), 'ProductSprint Backlog'!$F17 / MAX(1, 'ProductSprint Backlog'!$J17-'ProductSprint Backlog'!$I17), AND('ProductSprint Backlog'!$J17=G$2,'ProductSprint Backlog'!$I17=G$2), 'ProductSprint Backlog'!$F17, TRUE, 0)</f>
        <v>0</v>
      </c>
      <c r="H17" s="4" cm="1">
        <f t="array" ref="H17">_xlfn.IFS('ProductSprint Backlog'!$F17="", "", AND('ProductSprint Backlog'!$J17&gt;H$2,'ProductSprint Backlog'!$I17&lt;=H$2), 'ProductSprint Backlog'!$F17 / MAX(1, 'ProductSprint Backlog'!$J17-'ProductSprint Backlog'!$I17), AND('ProductSprint Backlog'!$J17=H$2,'ProductSprint Backlog'!$I17=H$2), 'ProductSprint Backlog'!$F17, TRUE, 0)</f>
        <v>0</v>
      </c>
      <c r="I17" s="4" cm="1">
        <f t="array" ref="I17">_xlfn.IFS('ProductSprint Backlog'!$F17="", "", AND('ProductSprint Backlog'!$J17&gt;I$2,'ProductSprint Backlog'!$I17&lt;=I$2), 'ProductSprint Backlog'!$F17 / MAX(1, 'ProductSprint Backlog'!$J17-'ProductSprint Backlog'!$I17), AND('ProductSprint Backlog'!$J17=I$2,'ProductSprint Backlog'!$I17=I$2), 'ProductSprint Backlog'!$F17, TRUE, 0)</f>
        <v>0</v>
      </c>
      <c r="J17" s="4" cm="1">
        <f t="array" ref="J17">_xlfn.IFS('ProductSprint Backlog'!$F17="", "", AND('ProductSprint Backlog'!$J17&gt;J$2,'ProductSprint Backlog'!$I17&lt;=J$2), 'ProductSprint Backlog'!$F17 / MAX(1, 'ProductSprint Backlog'!$J17-'ProductSprint Backlog'!$I17), AND('ProductSprint Backlog'!$J17=J$2,'ProductSprint Backlog'!$I17=J$2), 'ProductSprint Backlog'!$F17, TRUE, 0)</f>
        <v>0</v>
      </c>
      <c r="K17" s="4" cm="1">
        <f t="array" ref="K17">_xlfn.IFS('ProductSprint Backlog'!$F17="", "", AND('ProductSprint Backlog'!$J17&gt;K$2,'ProductSprint Backlog'!$I17&lt;=K$2), 'ProductSprint Backlog'!$F17 / MAX(1, 'ProductSprint Backlog'!$J17-'ProductSprint Backlog'!$I17), AND('ProductSprint Backlog'!$J17=K$2,'ProductSprint Backlog'!$I17=K$2), 'ProductSprint Backlog'!$F17, TRUE, 0)</f>
        <v>0</v>
      </c>
      <c r="L17" s="4" cm="1">
        <f t="array" ref="L17">_xlfn.IFS('ProductSprint Backlog'!$F17="", "", AND('ProductSprint Backlog'!$J17&gt;L$2,'ProductSprint Backlog'!$I17&lt;=L$2), 'ProductSprint Backlog'!$F17 / MAX(1, 'ProductSprint Backlog'!$J17-'ProductSprint Backlog'!$I17), AND('ProductSprint Backlog'!$J17=L$2,'ProductSprint Backlog'!$I17=L$2), 'ProductSprint Backlog'!$F17, TRUE, 0)</f>
        <v>0</v>
      </c>
      <c r="M17" s="4" cm="1">
        <f t="array" ref="M17">_xlfn.IFS('ProductSprint Backlog'!$F17="", "", AND('ProductSprint Backlog'!$J17&gt;M$2,'ProductSprint Backlog'!$I17&lt;=M$2), 'ProductSprint Backlog'!$F17 / MAX(1, 'ProductSprint Backlog'!$J17-'ProductSprint Backlog'!$I17), AND('ProductSprint Backlog'!$J17=M$2,'ProductSprint Backlog'!$I17=M$2), 'ProductSprint Backlog'!$F17, TRUE, 0)</f>
        <v>2</v>
      </c>
      <c r="N17" s="4" cm="1">
        <f t="array" ref="N17">_xlfn.IFS('ProductSprint Backlog'!$F17="", "", AND('ProductSprint Backlog'!$J17&gt;N$2,'ProductSprint Backlog'!$I17&lt;=N$2), 'ProductSprint Backlog'!$F17 / MAX(1, 'ProductSprint Backlog'!$J17-'ProductSprint Backlog'!$I17), AND('ProductSprint Backlog'!$J17=N$2,'ProductSprint Backlog'!$I17=N$2), 'ProductSprint Backlog'!$F17, TRUE, 0)</f>
        <v>0</v>
      </c>
      <c r="O17" s="4" cm="1">
        <f t="array" ref="O17">_xlfn.IFS('ProductSprint Backlog'!$F17="", "", AND('ProductSprint Backlog'!$J17&gt;O$2,'ProductSprint Backlog'!$I17&lt;=O$2), 'ProductSprint Backlog'!$F17 / MAX(1, 'ProductSprint Backlog'!$J17-'ProductSprint Backlog'!$I17), AND('ProductSprint Backlog'!$J17=O$2,'ProductSprint Backlog'!$I17=O$2), 'ProductSprint Backlog'!$F17, TRUE, 0)</f>
        <v>0</v>
      </c>
    </row>
    <row r="18" spans="2:15" x14ac:dyDescent="0.2">
      <c r="B18" s="4" t="str" cm="1">
        <f t="array" ref="B18">_xlfn.IFS('ProductSprint Backlog'!$F18="", "", AND('ProductSprint Backlog'!$J18&gt;B$2,'ProductSprint Backlog'!$I18&lt;=B$2), 'ProductSprint Backlog'!$F18 / MAX(1, 'ProductSprint Backlog'!$J18-'ProductSprint Backlog'!$I18), AND('ProductSprint Backlog'!$J18=B$2,'ProductSprint Backlog'!$I18=B$2), 'ProductSprint Backlog'!$F18, TRUE, 0)</f>
        <v/>
      </c>
      <c r="C18" s="4" t="str" cm="1">
        <f t="array" ref="C18">_xlfn.IFS('ProductSprint Backlog'!$F18="", "", AND('ProductSprint Backlog'!$J18&gt;C$2,'ProductSprint Backlog'!$I18&lt;=C$2), 'ProductSprint Backlog'!$F18 / MAX(1, 'ProductSprint Backlog'!$J18-'ProductSprint Backlog'!$I18), AND('ProductSprint Backlog'!$J18=C$2,'ProductSprint Backlog'!$I18=C$2), 'ProductSprint Backlog'!$F18, TRUE, 0)</f>
        <v/>
      </c>
      <c r="D18" s="4" t="str" cm="1">
        <f t="array" ref="D18">_xlfn.IFS('ProductSprint Backlog'!$F18="", "", AND('ProductSprint Backlog'!$J18&gt;D$2,'ProductSprint Backlog'!$I18&lt;=D$2), 'ProductSprint Backlog'!$F18 / MAX(1, 'ProductSprint Backlog'!$J18-'ProductSprint Backlog'!$I18), AND('ProductSprint Backlog'!$J18=D$2,'ProductSprint Backlog'!$I18=D$2), 'ProductSprint Backlog'!$F18, TRUE, 0)</f>
        <v/>
      </c>
      <c r="E18" s="4" t="str" cm="1">
        <f t="array" ref="E18">_xlfn.IFS('ProductSprint Backlog'!$F18="", "", AND('ProductSprint Backlog'!$J18&gt;E$2,'ProductSprint Backlog'!$I18&lt;=E$2), 'ProductSprint Backlog'!$F18 / MAX(1, 'ProductSprint Backlog'!$J18-'ProductSprint Backlog'!$I18), AND('ProductSprint Backlog'!$J18=E$2,'ProductSprint Backlog'!$I18=E$2), 'ProductSprint Backlog'!$F18, TRUE, 0)</f>
        <v/>
      </c>
      <c r="F18" s="4" t="str" cm="1">
        <f t="array" ref="F18">_xlfn.IFS('ProductSprint Backlog'!$F18="", "", AND('ProductSprint Backlog'!$J18&gt;F$2,'ProductSprint Backlog'!$I18&lt;=F$2), 'ProductSprint Backlog'!$F18 / MAX(1, 'ProductSprint Backlog'!$J18-'ProductSprint Backlog'!$I18), AND('ProductSprint Backlog'!$J18=F$2,'ProductSprint Backlog'!$I18=F$2), 'ProductSprint Backlog'!$F18, TRUE, 0)</f>
        <v/>
      </c>
      <c r="G18" s="4" t="str" cm="1">
        <f t="array" ref="G18">_xlfn.IFS('ProductSprint Backlog'!$F18="", "", AND('ProductSprint Backlog'!$J18&gt;G$2,'ProductSprint Backlog'!$I18&lt;=G$2), 'ProductSprint Backlog'!$F18 / MAX(1, 'ProductSprint Backlog'!$J18-'ProductSprint Backlog'!$I18), AND('ProductSprint Backlog'!$J18=G$2,'ProductSprint Backlog'!$I18=G$2), 'ProductSprint Backlog'!$F18, TRUE, 0)</f>
        <v/>
      </c>
      <c r="H18" s="4" t="str" cm="1">
        <f t="array" ref="H18">_xlfn.IFS('ProductSprint Backlog'!$F18="", "", AND('ProductSprint Backlog'!$J18&gt;H$2,'ProductSprint Backlog'!$I18&lt;=H$2), 'ProductSprint Backlog'!$F18 / MAX(1, 'ProductSprint Backlog'!$J18-'ProductSprint Backlog'!$I18), AND('ProductSprint Backlog'!$J18=H$2,'ProductSprint Backlog'!$I18=H$2), 'ProductSprint Backlog'!$F18, TRUE, 0)</f>
        <v/>
      </c>
      <c r="I18" s="4" t="str" cm="1">
        <f t="array" ref="I18">_xlfn.IFS('ProductSprint Backlog'!$F18="", "", AND('ProductSprint Backlog'!$J18&gt;I$2,'ProductSprint Backlog'!$I18&lt;=I$2), 'ProductSprint Backlog'!$F18 / MAX(1, 'ProductSprint Backlog'!$J18-'ProductSprint Backlog'!$I18), AND('ProductSprint Backlog'!$J18=I$2,'ProductSprint Backlog'!$I18=I$2), 'ProductSprint Backlog'!$F18, TRUE, 0)</f>
        <v/>
      </c>
      <c r="J18" s="4" t="str" cm="1">
        <f t="array" ref="J18">_xlfn.IFS('ProductSprint Backlog'!$F18="", "", AND('ProductSprint Backlog'!$J18&gt;J$2,'ProductSprint Backlog'!$I18&lt;=J$2), 'ProductSprint Backlog'!$F18 / MAX(1, 'ProductSprint Backlog'!$J18-'ProductSprint Backlog'!$I18), AND('ProductSprint Backlog'!$J18=J$2,'ProductSprint Backlog'!$I18=J$2), 'ProductSprint Backlog'!$F18, TRUE, 0)</f>
        <v/>
      </c>
      <c r="K18" s="4" t="str" cm="1">
        <f t="array" ref="K18">_xlfn.IFS('ProductSprint Backlog'!$F18="", "", AND('ProductSprint Backlog'!$J18&gt;K$2,'ProductSprint Backlog'!$I18&lt;=K$2), 'ProductSprint Backlog'!$F18 / MAX(1, 'ProductSprint Backlog'!$J18-'ProductSprint Backlog'!$I18), AND('ProductSprint Backlog'!$J18=K$2,'ProductSprint Backlog'!$I18=K$2), 'ProductSprint Backlog'!$F18, TRUE, 0)</f>
        <v/>
      </c>
      <c r="L18" s="4" t="str" cm="1">
        <f t="array" ref="L18">_xlfn.IFS('ProductSprint Backlog'!$F18="", "", AND('ProductSprint Backlog'!$J18&gt;L$2,'ProductSprint Backlog'!$I18&lt;=L$2), 'ProductSprint Backlog'!$F18 / MAX(1, 'ProductSprint Backlog'!$J18-'ProductSprint Backlog'!$I18), AND('ProductSprint Backlog'!$J18=L$2,'ProductSprint Backlog'!$I18=L$2), 'ProductSprint Backlog'!$F18, TRUE, 0)</f>
        <v/>
      </c>
      <c r="M18" s="4" t="str" cm="1">
        <f t="array" ref="M18">_xlfn.IFS('ProductSprint Backlog'!$F18="", "", AND('ProductSprint Backlog'!$J18&gt;M$2,'ProductSprint Backlog'!$I18&lt;=M$2), 'ProductSprint Backlog'!$F18 / MAX(1, 'ProductSprint Backlog'!$J18-'ProductSprint Backlog'!$I18), AND('ProductSprint Backlog'!$J18=M$2,'ProductSprint Backlog'!$I18=M$2), 'ProductSprint Backlog'!$F18, TRUE, 0)</f>
        <v/>
      </c>
      <c r="N18" s="4" t="str" cm="1">
        <f t="array" ref="N18">_xlfn.IFS('ProductSprint Backlog'!$F18="", "", AND('ProductSprint Backlog'!$J18&gt;N$2,'ProductSprint Backlog'!$I18&lt;=N$2), 'ProductSprint Backlog'!$F18 / MAX(1, 'ProductSprint Backlog'!$J18-'ProductSprint Backlog'!$I18), AND('ProductSprint Backlog'!$J18=N$2,'ProductSprint Backlog'!$I18=N$2), 'ProductSprint Backlog'!$F18, TRUE, 0)</f>
        <v/>
      </c>
      <c r="O18" s="4" t="str" cm="1">
        <f t="array" ref="O18">_xlfn.IFS('ProductSprint Backlog'!$F18="", "", AND('ProductSprint Backlog'!$J18&gt;O$2,'ProductSprint Backlog'!$I18&lt;=O$2), 'ProductSprint Backlog'!$F18 / MAX(1, 'ProductSprint Backlog'!$J18-'ProductSprint Backlog'!$I18), AND('ProductSprint Backlog'!$J18=O$2,'ProductSprint Backlog'!$I18=O$2), 'ProductSprint Backlog'!$F18, TRUE, 0)</f>
        <v/>
      </c>
    </row>
    <row r="19" spans="2:15" x14ac:dyDescent="0.2">
      <c r="B19" s="4" cm="1">
        <f t="array" ref="B19">_xlfn.IFS('ProductSprint Backlog'!$F19="", "", AND('ProductSprint Backlog'!$J19&gt;B$2,'ProductSprint Backlog'!$I19&lt;=B$2), 'ProductSprint Backlog'!$F19 / MAX(1, 'ProductSprint Backlog'!$J19-'ProductSprint Backlog'!$I19), AND('ProductSprint Backlog'!$J19=B$2,'ProductSprint Backlog'!$I19=B$2), 'ProductSprint Backlog'!$F19, TRUE, 0)</f>
        <v>1</v>
      </c>
      <c r="C19" s="4" cm="1">
        <f t="array" ref="C19">_xlfn.IFS('ProductSprint Backlog'!$F19="", "", AND('ProductSprint Backlog'!$J19&gt;C$2,'ProductSprint Backlog'!$I19&lt;=C$2), 'ProductSprint Backlog'!$F19 / MAX(1, 'ProductSprint Backlog'!$J19-'ProductSprint Backlog'!$I19), AND('ProductSprint Backlog'!$J19=C$2,'ProductSprint Backlog'!$I19=C$2), 'ProductSprint Backlog'!$F19, TRUE, 0)</f>
        <v>1</v>
      </c>
      <c r="D19" s="4" cm="1">
        <f t="array" ref="D19">_xlfn.IFS('ProductSprint Backlog'!$F19="", "", AND('ProductSprint Backlog'!$J19&gt;D$2,'ProductSprint Backlog'!$I19&lt;=D$2), 'ProductSprint Backlog'!$F19 / MAX(1, 'ProductSprint Backlog'!$J19-'ProductSprint Backlog'!$I19), AND('ProductSprint Backlog'!$J19=D$2,'ProductSprint Backlog'!$I19=D$2), 'ProductSprint Backlog'!$F19, TRUE, 0)</f>
        <v>1</v>
      </c>
      <c r="E19" s="4" cm="1">
        <f t="array" ref="E19">_xlfn.IFS('ProductSprint Backlog'!$F19="", "", AND('ProductSprint Backlog'!$J19&gt;E$2,'ProductSprint Backlog'!$I19&lt;=E$2), 'ProductSprint Backlog'!$F19 / MAX(1, 'ProductSprint Backlog'!$J19-'ProductSprint Backlog'!$I19), AND('ProductSprint Backlog'!$J19=E$2,'ProductSprint Backlog'!$I19=E$2), 'ProductSprint Backlog'!$F19, TRUE, 0)</f>
        <v>1</v>
      </c>
      <c r="F19" s="4" cm="1">
        <f t="array" ref="F19">_xlfn.IFS('ProductSprint Backlog'!$F19="", "", AND('ProductSprint Backlog'!$J19&gt;F$2,'ProductSprint Backlog'!$I19&lt;=F$2), 'ProductSprint Backlog'!$F19 / MAX(1, 'ProductSprint Backlog'!$J19-'ProductSprint Backlog'!$I19), AND('ProductSprint Backlog'!$J19=F$2,'ProductSprint Backlog'!$I19=F$2), 'ProductSprint Backlog'!$F19, TRUE, 0)</f>
        <v>1</v>
      </c>
      <c r="G19" s="4" cm="1">
        <f t="array" ref="G19">_xlfn.IFS('ProductSprint Backlog'!$F19="", "", AND('ProductSprint Backlog'!$J19&gt;G$2,'ProductSprint Backlog'!$I19&lt;=G$2), 'ProductSprint Backlog'!$F19 / MAX(1, 'ProductSprint Backlog'!$J19-'ProductSprint Backlog'!$I19), AND('ProductSprint Backlog'!$J19=G$2,'ProductSprint Backlog'!$I19=G$2), 'ProductSprint Backlog'!$F19, TRUE, 0)</f>
        <v>1</v>
      </c>
      <c r="H19" s="4" cm="1">
        <f t="array" ref="H19">_xlfn.IFS('ProductSprint Backlog'!$F19="", "", AND('ProductSprint Backlog'!$J19&gt;H$2,'ProductSprint Backlog'!$I19&lt;=H$2), 'ProductSprint Backlog'!$F19 / MAX(1, 'ProductSprint Backlog'!$J19-'ProductSprint Backlog'!$I19), AND('ProductSprint Backlog'!$J19=H$2,'ProductSprint Backlog'!$I19=H$2), 'ProductSprint Backlog'!$F19, TRUE, 0)</f>
        <v>0</v>
      </c>
      <c r="I19" s="4" cm="1">
        <f t="array" ref="I19">_xlfn.IFS('ProductSprint Backlog'!$F19="", "", AND('ProductSprint Backlog'!$J19&gt;I$2,'ProductSprint Backlog'!$I19&lt;=I$2), 'ProductSprint Backlog'!$F19 / MAX(1, 'ProductSprint Backlog'!$J19-'ProductSprint Backlog'!$I19), AND('ProductSprint Backlog'!$J19=I$2,'ProductSprint Backlog'!$I19=I$2), 'ProductSprint Backlog'!$F19, TRUE, 0)</f>
        <v>0</v>
      </c>
      <c r="J19" s="4" cm="1">
        <f t="array" ref="J19">_xlfn.IFS('ProductSprint Backlog'!$F19="", "", AND('ProductSprint Backlog'!$J19&gt;J$2,'ProductSprint Backlog'!$I19&lt;=J$2), 'ProductSprint Backlog'!$F19 / MAX(1, 'ProductSprint Backlog'!$J19-'ProductSprint Backlog'!$I19), AND('ProductSprint Backlog'!$J19=J$2,'ProductSprint Backlog'!$I19=J$2), 'ProductSprint Backlog'!$F19, TRUE, 0)</f>
        <v>0</v>
      </c>
      <c r="K19" s="4" cm="1">
        <f t="array" ref="K19">_xlfn.IFS('ProductSprint Backlog'!$F19="", "", AND('ProductSprint Backlog'!$J19&gt;K$2,'ProductSprint Backlog'!$I19&lt;=K$2), 'ProductSprint Backlog'!$F19 / MAX(1, 'ProductSprint Backlog'!$J19-'ProductSprint Backlog'!$I19), AND('ProductSprint Backlog'!$J19=K$2,'ProductSprint Backlog'!$I19=K$2), 'ProductSprint Backlog'!$F19, TRUE, 0)</f>
        <v>0</v>
      </c>
      <c r="L19" s="4" cm="1">
        <f t="array" ref="L19">_xlfn.IFS('ProductSprint Backlog'!$F19="", "", AND('ProductSprint Backlog'!$J19&gt;L$2,'ProductSprint Backlog'!$I19&lt;=L$2), 'ProductSprint Backlog'!$F19 / MAX(1, 'ProductSprint Backlog'!$J19-'ProductSprint Backlog'!$I19), AND('ProductSprint Backlog'!$J19=L$2,'ProductSprint Backlog'!$I19=L$2), 'ProductSprint Backlog'!$F19, TRUE, 0)</f>
        <v>0</v>
      </c>
      <c r="M19" s="4" cm="1">
        <f t="array" ref="M19">_xlfn.IFS('ProductSprint Backlog'!$F19="", "", AND('ProductSprint Backlog'!$J19&gt;M$2,'ProductSprint Backlog'!$I19&lt;=M$2), 'ProductSprint Backlog'!$F19 / MAX(1, 'ProductSprint Backlog'!$J19-'ProductSprint Backlog'!$I19), AND('ProductSprint Backlog'!$J19=M$2,'ProductSprint Backlog'!$I19=M$2), 'ProductSprint Backlog'!$F19, TRUE, 0)</f>
        <v>0</v>
      </c>
      <c r="N19" s="4" cm="1">
        <f t="array" ref="N19">_xlfn.IFS('ProductSprint Backlog'!$F19="", "", AND('ProductSprint Backlog'!$J19&gt;N$2,'ProductSprint Backlog'!$I19&lt;=N$2), 'ProductSprint Backlog'!$F19 / MAX(1, 'ProductSprint Backlog'!$J19-'ProductSprint Backlog'!$I19), AND('ProductSprint Backlog'!$J19=N$2,'ProductSprint Backlog'!$I19=N$2), 'ProductSprint Backlog'!$F19, TRUE, 0)</f>
        <v>0</v>
      </c>
      <c r="O19" s="4" cm="1">
        <f t="array" ref="O19">_xlfn.IFS('ProductSprint Backlog'!$F19="", "", AND('ProductSprint Backlog'!$J19&gt;O$2,'ProductSprint Backlog'!$I19&lt;=O$2), 'ProductSprint Backlog'!$F19 / MAX(1, 'ProductSprint Backlog'!$J19-'ProductSprint Backlog'!$I19), AND('ProductSprint Backlog'!$J19=O$2,'ProductSprint Backlog'!$I19=O$2), 'ProductSprint Backlog'!$F19, TRUE, 0)</f>
        <v>0</v>
      </c>
    </row>
    <row r="20" spans="2:15" x14ac:dyDescent="0.2">
      <c r="B20" s="4" cm="1">
        <f t="array" ref="B20">_xlfn.IFS('ProductSprint Backlog'!$F20="", "", AND('ProductSprint Backlog'!$J20&gt;B$2,'ProductSprint Backlog'!$I20&lt;=B$2), 'ProductSprint Backlog'!$F20 / MAX(1, 'ProductSprint Backlog'!$J20-'ProductSprint Backlog'!$I20), AND('ProductSprint Backlog'!$J20=B$2,'ProductSprint Backlog'!$I20=B$2), 'ProductSprint Backlog'!$F20, TRUE, 0)</f>
        <v>0</v>
      </c>
      <c r="C20" s="4" cm="1">
        <f t="array" ref="C20">_xlfn.IFS('ProductSprint Backlog'!$F20="", "", AND('ProductSprint Backlog'!$J20&gt;C$2,'ProductSprint Backlog'!$I20&lt;=C$2), 'ProductSprint Backlog'!$F20 / MAX(1, 'ProductSprint Backlog'!$J20-'ProductSprint Backlog'!$I20), AND('ProductSprint Backlog'!$J20=C$2,'ProductSprint Backlog'!$I20=C$2), 'ProductSprint Backlog'!$F20, TRUE, 0)</f>
        <v>0</v>
      </c>
      <c r="D20" s="4" cm="1">
        <f t="array" ref="D20">_xlfn.IFS('ProductSprint Backlog'!$F20="", "", AND('ProductSprint Backlog'!$J20&gt;D$2,'ProductSprint Backlog'!$I20&lt;=D$2), 'ProductSprint Backlog'!$F20 / MAX(1, 'ProductSprint Backlog'!$J20-'ProductSprint Backlog'!$I20), AND('ProductSprint Backlog'!$J20=D$2,'ProductSprint Backlog'!$I20=D$2), 'ProductSprint Backlog'!$F20, TRUE, 0)</f>
        <v>1.5</v>
      </c>
      <c r="E20" s="4" cm="1">
        <f t="array" ref="E20">_xlfn.IFS('ProductSprint Backlog'!$F20="", "", AND('ProductSprint Backlog'!$J20&gt;E$2,'ProductSprint Backlog'!$I20&lt;=E$2), 'ProductSprint Backlog'!$F20 / MAX(1, 'ProductSprint Backlog'!$J20-'ProductSprint Backlog'!$I20), AND('ProductSprint Backlog'!$J20=E$2,'ProductSprint Backlog'!$I20=E$2), 'ProductSprint Backlog'!$F20, TRUE, 0)</f>
        <v>1.5</v>
      </c>
      <c r="F20" s="4" cm="1">
        <f t="array" ref="F20">_xlfn.IFS('ProductSprint Backlog'!$F20="", "", AND('ProductSprint Backlog'!$J20&gt;F$2,'ProductSprint Backlog'!$I20&lt;=F$2), 'ProductSprint Backlog'!$F20 / MAX(1, 'ProductSprint Backlog'!$J20-'ProductSprint Backlog'!$I20), AND('ProductSprint Backlog'!$J20=F$2,'ProductSprint Backlog'!$I20=F$2), 'ProductSprint Backlog'!$F20, TRUE, 0)</f>
        <v>0</v>
      </c>
      <c r="G20" s="4" cm="1">
        <f t="array" ref="G20">_xlfn.IFS('ProductSprint Backlog'!$F20="", "", AND('ProductSprint Backlog'!$J20&gt;G$2,'ProductSprint Backlog'!$I20&lt;=G$2), 'ProductSprint Backlog'!$F20 / MAX(1, 'ProductSprint Backlog'!$J20-'ProductSprint Backlog'!$I20), AND('ProductSprint Backlog'!$J20=G$2,'ProductSprint Backlog'!$I20=G$2), 'ProductSprint Backlog'!$F20, TRUE, 0)</f>
        <v>0</v>
      </c>
      <c r="H20" s="4" cm="1">
        <f t="array" ref="H20">_xlfn.IFS('ProductSprint Backlog'!$F20="", "", AND('ProductSprint Backlog'!$J20&gt;H$2,'ProductSprint Backlog'!$I20&lt;=H$2), 'ProductSprint Backlog'!$F20 / MAX(1, 'ProductSprint Backlog'!$J20-'ProductSprint Backlog'!$I20), AND('ProductSprint Backlog'!$J20=H$2,'ProductSprint Backlog'!$I20=H$2), 'ProductSprint Backlog'!$F20, TRUE, 0)</f>
        <v>0</v>
      </c>
      <c r="I20" s="4" cm="1">
        <f t="array" ref="I20">_xlfn.IFS('ProductSprint Backlog'!$F20="", "", AND('ProductSprint Backlog'!$J20&gt;I$2,'ProductSprint Backlog'!$I20&lt;=I$2), 'ProductSprint Backlog'!$F20 / MAX(1, 'ProductSprint Backlog'!$J20-'ProductSprint Backlog'!$I20), AND('ProductSprint Backlog'!$J20=I$2,'ProductSprint Backlog'!$I20=I$2), 'ProductSprint Backlog'!$F20, TRUE, 0)</f>
        <v>0</v>
      </c>
      <c r="J20" s="4" cm="1">
        <f t="array" ref="J20">_xlfn.IFS('ProductSprint Backlog'!$F20="", "", AND('ProductSprint Backlog'!$J20&gt;J$2,'ProductSprint Backlog'!$I20&lt;=J$2), 'ProductSprint Backlog'!$F20 / MAX(1, 'ProductSprint Backlog'!$J20-'ProductSprint Backlog'!$I20), AND('ProductSprint Backlog'!$J20=J$2,'ProductSprint Backlog'!$I20=J$2), 'ProductSprint Backlog'!$F20, TRUE, 0)</f>
        <v>0</v>
      </c>
      <c r="K20" s="4" cm="1">
        <f t="array" ref="K20">_xlfn.IFS('ProductSprint Backlog'!$F20="", "", AND('ProductSprint Backlog'!$J20&gt;K$2,'ProductSprint Backlog'!$I20&lt;=K$2), 'ProductSprint Backlog'!$F20 / MAX(1, 'ProductSprint Backlog'!$J20-'ProductSprint Backlog'!$I20), AND('ProductSprint Backlog'!$J20=K$2,'ProductSprint Backlog'!$I20=K$2), 'ProductSprint Backlog'!$F20, TRUE, 0)</f>
        <v>0</v>
      </c>
      <c r="L20" s="4" cm="1">
        <f t="array" ref="L20">_xlfn.IFS('ProductSprint Backlog'!$F20="", "", AND('ProductSprint Backlog'!$J20&gt;L$2,'ProductSprint Backlog'!$I20&lt;=L$2), 'ProductSprint Backlog'!$F20 / MAX(1, 'ProductSprint Backlog'!$J20-'ProductSprint Backlog'!$I20), AND('ProductSprint Backlog'!$J20=L$2,'ProductSprint Backlog'!$I20=L$2), 'ProductSprint Backlog'!$F20, TRUE, 0)</f>
        <v>0</v>
      </c>
      <c r="M20" s="4" cm="1">
        <f t="array" ref="M20">_xlfn.IFS('ProductSprint Backlog'!$F20="", "", AND('ProductSprint Backlog'!$J20&gt;M$2,'ProductSprint Backlog'!$I20&lt;=M$2), 'ProductSprint Backlog'!$F20 / MAX(1, 'ProductSprint Backlog'!$J20-'ProductSprint Backlog'!$I20), AND('ProductSprint Backlog'!$J20=M$2,'ProductSprint Backlog'!$I20=M$2), 'ProductSprint Backlog'!$F20, TRUE, 0)</f>
        <v>0</v>
      </c>
      <c r="N20" s="4" cm="1">
        <f t="array" ref="N20">_xlfn.IFS('ProductSprint Backlog'!$F20="", "", AND('ProductSprint Backlog'!$J20&gt;N$2,'ProductSprint Backlog'!$I20&lt;=N$2), 'ProductSprint Backlog'!$F20 / MAX(1, 'ProductSprint Backlog'!$J20-'ProductSprint Backlog'!$I20), AND('ProductSprint Backlog'!$J20=N$2,'ProductSprint Backlog'!$I20=N$2), 'ProductSprint Backlog'!$F20, TRUE, 0)</f>
        <v>0</v>
      </c>
      <c r="O20" s="4" cm="1">
        <f t="array" ref="O20">_xlfn.IFS('ProductSprint Backlog'!$F20="", "", AND('ProductSprint Backlog'!$J20&gt;O$2,'ProductSprint Backlog'!$I20&lt;=O$2), 'ProductSprint Backlog'!$F20 / MAX(1, 'ProductSprint Backlog'!$J20-'ProductSprint Backlog'!$I20), AND('ProductSprint Backlog'!$J20=O$2,'ProductSprint Backlog'!$I20=O$2), 'ProductSprint Backlog'!$F20, TRUE, 0)</f>
        <v>0</v>
      </c>
    </row>
    <row r="21" spans="2:15" x14ac:dyDescent="0.2">
      <c r="B21" s="4" cm="1">
        <f t="array" ref="B21">_xlfn.IFS('ProductSprint Backlog'!$F21="", "", AND('ProductSprint Backlog'!$J21&gt;B$2,'ProductSprint Backlog'!$I21&lt;=B$2), 'ProductSprint Backlog'!$F21 / MAX(1, 'ProductSprint Backlog'!$J21-'ProductSprint Backlog'!$I21), AND('ProductSprint Backlog'!$J21=B$2,'ProductSprint Backlog'!$I21=B$2), 'ProductSprint Backlog'!$F21, TRUE, 0)</f>
        <v>0</v>
      </c>
      <c r="C21" s="4" cm="1">
        <f t="array" ref="C21">_xlfn.IFS('ProductSprint Backlog'!$F21="", "", AND('ProductSprint Backlog'!$J21&gt;C$2,'ProductSprint Backlog'!$I21&lt;=C$2), 'ProductSprint Backlog'!$F21 / MAX(1, 'ProductSprint Backlog'!$J21-'ProductSprint Backlog'!$I21), AND('ProductSprint Backlog'!$J21=C$2,'ProductSprint Backlog'!$I21=C$2), 'ProductSprint Backlog'!$F21, TRUE, 0)</f>
        <v>0</v>
      </c>
      <c r="D21" s="4" cm="1">
        <f t="array" ref="D21">_xlfn.IFS('ProductSprint Backlog'!$F21="", "", AND('ProductSprint Backlog'!$J21&gt;D$2,'ProductSprint Backlog'!$I21&lt;=D$2), 'ProductSprint Backlog'!$F21 / MAX(1, 'ProductSprint Backlog'!$J21-'ProductSprint Backlog'!$I21), AND('ProductSprint Backlog'!$J21=D$2,'ProductSprint Backlog'!$I21=D$2), 'ProductSprint Backlog'!$F21, TRUE, 0)</f>
        <v>0</v>
      </c>
      <c r="E21" s="4" cm="1">
        <f t="array" ref="E21">_xlfn.IFS('ProductSprint Backlog'!$F21="", "", AND('ProductSprint Backlog'!$J21&gt;E$2,'ProductSprint Backlog'!$I21&lt;=E$2), 'ProductSprint Backlog'!$F21 / MAX(1, 'ProductSprint Backlog'!$J21-'ProductSprint Backlog'!$I21), AND('ProductSprint Backlog'!$J21=E$2,'ProductSprint Backlog'!$I21=E$2), 'ProductSprint Backlog'!$F21, TRUE, 0)</f>
        <v>0</v>
      </c>
      <c r="F21" s="4" cm="1">
        <f t="array" ref="F21">_xlfn.IFS('ProductSprint Backlog'!$F21="", "", AND('ProductSprint Backlog'!$J21&gt;F$2,'ProductSprint Backlog'!$I21&lt;=F$2), 'ProductSprint Backlog'!$F21 / MAX(1, 'ProductSprint Backlog'!$J21-'ProductSprint Backlog'!$I21), AND('ProductSprint Backlog'!$J21=F$2,'ProductSprint Backlog'!$I21=F$2), 'ProductSprint Backlog'!$F21, TRUE, 0)</f>
        <v>0</v>
      </c>
      <c r="G21" s="4" cm="1">
        <f t="array" ref="G21">_xlfn.IFS('ProductSprint Backlog'!$F21="", "", AND('ProductSprint Backlog'!$J21&gt;G$2,'ProductSprint Backlog'!$I21&lt;=G$2), 'ProductSprint Backlog'!$F21 / MAX(1, 'ProductSprint Backlog'!$J21-'ProductSprint Backlog'!$I21), AND('ProductSprint Backlog'!$J21=G$2,'ProductSprint Backlog'!$I21=G$2), 'ProductSprint Backlog'!$F21, TRUE, 0)</f>
        <v>0.66666666666666663</v>
      </c>
      <c r="H21" s="4" cm="1">
        <f t="array" ref="H21">_xlfn.IFS('ProductSprint Backlog'!$F21="", "", AND('ProductSprint Backlog'!$J21&gt;H$2,'ProductSprint Backlog'!$I21&lt;=H$2), 'ProductSprint Backlog'!$F21 / MAX(1, 'ProductSprint Backlog'!$J21-'ProductSprint Backlog'!$I21), AND('ProductSprint Backlog'!$J21=H$2,'ProductSprint Backlog'!$I21=H$2), 'ProductSprint Backlog'!$F21, TRUE, 0)</f>
        <v>0.66666666666666663</v>
      </c>
      <c r="I21" s="4" cm="1">
        <f t="array" ref="I21">_xlfn.IFS('ProductSprint Backlog'!$F21="", "", AND('ProductSprint Backlog'!$J21&gt;I$2,'ProductSprint Backlog'!$I21&lt;=I$2), 'ProductSprint Backlog'!$F21 / MAX(1, 'ProductSprint Backlog'!$J21-'ProductSprint Backlog'!$I21), AND('ProductSprint Backlog'!$J21=I$2,'ProductSprint Backlog'!$I21=I$2), 'ProductSprint Backlog'!$F21, TRUE, 0)</f>
        <v>0.66666666666666663</v>
      </c>
      <c r="J21" s="4" cm="1">
        <f t="array" ref="J21">_xlfn.IFS('ProductSprint Backlog'!$F21="", "", AND('ProductSprint Backlog'!$J21&gt;J$2,'ProductSprint Backlog'!$I21&lt;=J$2), 'ProductSprint Backlog'!$F21 / MAX(1, 'ProductSprint Backlog'!$J21-'ProductSprint Backlog'!$I21), AND('ProductSprint Backlog'!$J21=J$2,'ProductSprint Backlog'!$I21=J$2), 'ProductSprint Backlog'!$F21, TRUE, 0)</f>
        <v>0</v>
      </c>
      <c r="K21" s="4" cm="1">
        <f t="array" ref="K21">_xlfn.IFS('ProductSprint Backlog'!$F21="", "", AND('ProductSprint Backlog'!$J21&gt;K$2,'ProductSprint Backlog'!$I21&lt;=K$2), 'ProductSprint Backlog'!$F21 / MAX(1, 'ProductSprint Backlog'!$J21-'ProductSprint Backlog'!$I21), AND('ProductSprint Backlog'!$J21=K$2,'ProductSprint Backlog'!$I21=K$2), 'ProductSprint Backlog'!$F21, TRUE, 0)</f>
        <v>0</v>
      </c>
      <c r="L21" s="4" cm="1">
        <f t="array" ref="L21">_xlfn.IFS('ProductSprint Backlog'!$F21="", "", AND('ProductSprint Backlog'!$J21&gt;L$2,'ProductSprint Backlog'!$I21&lt;=L$2), 'ProductSprint Backlog'!$F21 / MAX(1, 'ProductSprint Backlog'!$J21-'ProductSprint Backlog'!$I21), AND('ProductSprint Backlog'!$J21=L$2,'ProductSprint Backlog'!$I21=L$2), 'ProductSprint Backlog'!$F21, TRUE, 0)</f>
        <v>0</v>
      </c>
      <c r="M21" s="4" cm="1">
        <f t="array" ref="M21">_xlfn.IFS('ProductSprint Backlog'!$F21="", "", AND('ProductSprint Backlog'!$J21&gt;M$2,'ProductSprint Backlog'!$I21&lt;=M$2), 'ProductSprint Backlog'!$F21 / MAX(1, 'ProductSprint Backlog'!$J21-'ProductSprint Backlog'!$I21), AND('ProductSprint Backlog'!$J21=M$2,'ProductSprint Backlog'!$I21=M$2), 'ProductSprint Backlog'!$F21, TRUE, 0)</f>
        <v>0</v>
      </c>
      <c r="N21" s="4" cm="1">
        <f t="array" ref="N21">_xlfn.IFS('ProductSprint Backlog'!$F21="", "", AND('ProductSprint Backlog'!$J21&gt;N$2,'ProductSprint Backlog'!$I21&lt;=N$2), 'ProductSprint Backlog'!$F21 / MAX(1, 'ProductSprint Backlog'!$J21-'ProductSprint Backlog'!$I21), AND('ProductSprint Backlog'!$J21=N$2,'ProductSprint Backlog'!$I21=N$2), 'ProductSprint Backlog'!$F21, TRUE, 0)</f>
        <v>0</v>
      </c>
      <c r="O21" s="4" cm="1">
        <f t="array" ref="O21">_xlfn.IFS('ProductSprint Backlog'!$F21="", "", AND('ProductSprint Backlog'!$J21&gt;O$2,'ProductSprint Backlog'!$I21&lt;=O$2), 'ProductSprint Backlog'!$F21 / MAX(1, 'ProductSprint Backlog'!$J21-'ProductSprint Backlog'!$I21), AND('ProductSprint Backlog'!$J21=O$2,'ProductSprint Backlog'!$I21=O$2), 'ProductSprint Backlog'!$F21, TRUE, 0)</f>
        <v>0</v>
      </c>
    </row>
    <row r="22" spans="2:15" x14ac:dyDescent="0.2">
      <c r="B22" s="4" cm="1">
        <f t="array" ref="B22">_xlfn.IFS('ProductSprint Backlog'!$F22="", "", AND('ProductSprint Backlog'!$J22&gt;B$2,'ProductSprint Backlog'!$I22&lt;=B$2), 'ProductSprint Backlog'!$F22 / MAX(1, 'ProductSprint Backlog'!$J22-'ProductSprint Backlog'!$I22), AND('ProductSprint Backlog'!$J22=B$2,'ProductSprint Backlog'!$I22=B$2), 'ProductSprint Backlog'!$F22, TRUE, 0)</f>
        <v>0</v>
      </c>
      <c r="C22" s="4" cm="1">
        <f t="array" ref="C22">_xlfn.IFS('ProductSprint Backlog'!$F22="", "", AND('ProductSprint Backlog'!$J22&gt;C$2,'ProductSprint Backlog'!$I22&lt;=C$2), 'ProductSprint Backlog'!$F22 / MAX(1, 'ProductSprint Backlog'!$J22-'ProductSprint Backlog'!$I22), AND('ProductSprint Backlog'!$J22=C$2,'ProductSprint Backlog'!$I22=C$2), 'ProductSprint Backlog'!$F22, TRUE, 0)</f>
        <v>0</v>
      </c>
      <c r="D22" s="4" cm="1">
        <f t="array" ref="D22">_xlfn.IFS('ProductSprint Backlog'!$F22="", "", AND('ProductSprint Backlog'!$J22&gt;D$2,'ProductSprint Backlog'!$I22&lt;=D$2), 'ProductSprint Backlog'!$F22 / MAX(1, 'ProductSprint Backlog'!$J22-'ProductSprint Backlog'!$I22), AND('ProductSprint Backlog'!$J22=D$2,'ProductSprint Backlog'!$I22=D$2), 'ProductSprint Backlog'!$F22, TRUE, 0)</f>
        <v>0</v>
      </c>
      <c r="E22" s="4" cm="1">
        <f t="array" ref="E22">_xlfn.IFS('ProductSprint Backlog'!$F22="", "", AND('ProductSprint Backlog'!$J22&gt;E$2,'ProductSprint Backlog'!$I22&lt;=E$2), 'ProductSprint Backlog'!$F22 / MAX(1, 'ProductSprint Backlog'!$J22-'ProductSprint Backlog'!$I22), AND('ProductSprint Backlog'!$J22=E$2,'ProductSprint Backlog'!$I22=E$2), 'ProductSprint Backlog'!$F22, TRUE, 0)</f>
        <v>0</v>
      </c>
      <c r="F22" s="4" cm="1">
        <f t="array" ref="F22">_xlfn.IFS('ProductSprint Backlog'!$F22="", "", AND('ProductSprint Backlog'!$J22&gt;F$2,'ProductSprint Backlog'!$I22&lt;=F$2), 'ProductSprint Backlog'!$F22 / MAX(1, 'ProductSprint Backlog'!$J22-'ProductSprint Backlog'!$I22), AND('ProductSprint Backlog'!$J22=F$2,'ProductSprint Backlog'!$I22=F$2), 'ProductSprint Backlog'!$F22, TRUE, 0)</f>
        <v>0</v>
      </c>
      <c r="G22" s="4" cm="1">
        <f t="array" ref="G22">_xlfn.IFS('ProductSprint Backlog'!$F22="", "", AND('ProductSprint Backlog'!$J22&gt;G$2,'ProductSprint Backlog'!$I22&lt;=G$2), 'ProductSprint Backlog'!$F22 / MAX(1, 'ProductSprint Backlog'!$J22-'ProductSprint Backlog'!$I22), AND('ProductSprint Backlog'!$J22=G$2,'ProductSprint Backlog'!$I22=G$2), 'ProductSprint Backlog'!$F22, TRUE, 0)</f>
        <v>0</v>
      </c>
      <c r="H22" s="4" cm="1">
        <f t="array" ref="H22">_xlfn.IFS('ProductSprint Backlog'!$F22="", "", AND('ProductSprint Backlog'!$J22&gt;H$2,'ProductSprint Backlog'!$I22&lt;=H$2), 'ProductSprint Backlog'!$F22 / MAX(1, 'ProductSprint Backlog'!$J22-'ProductSprint Backlog'!$I22), AND('ProductSprint Backlog'!$J22=H$2,'ProductSprint Backlog'!$I22=H$2), 'ProductSprint Backlog'!$F22, TRUE, 0)</f>
        <v>1.5</v>
      </c>
      <c r="I22" s="4" cm="1">
        <f t="array" ref="I22">_xlfn.IFS('ProductSprint Backlog'!$F22="", "", AND('ProductSprint Backlog'!$J22&gt;I$2,'ProductSprint Backlog'!$I22&lt;=I$2), 'ProductSprint Backlog'!$F22 / MAX(1, 'ProductSprint Backlog'!$J22-'ProductSprint Backlog'!$I22), AND('ProductSprint Backlog'!$J22=I$2,'ProductSprint Backlog'!$I22=I$2), 'ProductSprint Backlog'!$F22, TRUE, 0)</f>
        <v>1.5</v>
      </c>
      <c r="J22" s="4" cm="1">
        <f t="array" ref="J22">_xlfn.IFS('ProductSprint Backlog'!$F22="", "", AND('ProductSprint Backlog'!$J22&gt;J$2,'ProductSprint Backlog'!$I22&lt;=J$2), 'ProductSprint Backlog'!$F22 / MAX(1, 'ProductSprint Backlog'!$J22-'ProductSprint Backlog'!$I22), AND('ProductSprint Backlog'!$J22=J$2,'ProductSprint Backlog'!$I22=J$2), 'ProductSprint Backlog'!$F22, TRUE, 0)</f>
        <v>0</v>
      </c>
      <c r="K22" s="4" cm="1">
        <f t="array" ref="K22">_xlfn.IFS('ProductSprint Backlog'!$F22="", "", AND('ProductSprint Backlog'!$J22&gt;K$2,'ProductSprint Backlog'!$I22&lt;=K$2), 'ProductSprint Backlog'!$F22 / MAX(1, 'ProductSprint Backlog'!$J22-'ProductSprint Backlog'!$I22), AND('ProductSprint Backlog'!$J22=K$2,'ProductSprint Backlog'!$I22=K$2), 'ProductSprint Backlog'!$F22, TRUE, 0)</f>
        <v>0</v>
      </c>
      <c r="L22" s="4" cm="1">
        <f t="array" ref="L22">_xlfn.IFS('ProductSprint Backlog'!$F22="", "", AND('ProductSprint Backlog'!$J22&gt;L$2,'ProductSprint Backlog'!$I22&lt;=L$2), 'ProductSprint Backlog'!$F22 / MAX(1, 'ProductSprint Backlog'!$J22-'ProductSprint Backlog'!$I22), AND('ProductSprint Backlog'!$J22=L$2,'ProductSprint Backlog'!$I22=L$2), 'ProductSprint Backlog'!$F22, TRUE, 0)</f>
        <v>0</v>
      </c>
      <c r="M22" s="4" cm="1">
        <f t="array" ref="M22">_xlfn.IFS('ProductSprint Backlog'!$F22="", "", AND('ProductSprint Backlog'!$J22&gt;M$2,'ProductSprint Backlog'!$I22&lt;=M$2), 'ProductSprint Backlog'!$F22 / MAX(1, 'ProductSprint Backlog'!$J22-'ProductSprint Backlog'!$I22), AND('ProductSprint Backlog'!$J22=M$2,'ProductSprint Backlog'!$I22=M$2), 'ProductSprint Backlog'!$F22, TRUE, 0)</f>
        <v>0</v>
      </c>
      <c r="N22" s="4" cm="1">
        <f t="array" ref="N22">_xlfn.IFS('ProductSprint Backlog'!$F22="", "", AND('ProductSprint Backlog'!$J22&gt;N$2,'ProductSprint Backlog'!$I22&lt;=N$2), 'ProductSprint Backlog'!$F22 / MAX(1, 'ProductSprint Backlog'!$J22-'ProductSprint Backlog'!$I22), AND('ProductSprint Backlog'!$J22=N$2,'ProductSprint Backlog'!$I22=N$2), 'ProductSprint Backlog'!$F22, TRUE, 0)</f>
        <v>0</v>
      </c>
      <c r="O22" s="4" cm="1">
        <f t="array" ref="O22">_xlfn.IFS('ProductSprint Backlog'!$F22="", "", AND('ProductSprint Backlog'!$J22&gt;O$2,'ProductSprint Backlog'!$I22&lt;=O$2), 'ProductSprint Backlog'!$F22 / MAX(1, 'ProductSprint Backlog'!$J22-'ProductSprint Backlog'!$I22), AND('ProductSprint Backlog'!$J22=O$2,'ProductSprint Backlog'!$I22=O$2), 'ProductSprint Backlog'!$F22, TRUE, 0)</f>
        <v>0</v>
      </c>
    </row>
    <row r="23" spans="2:15" x14ac:dyDescent="0.2">
      <c r="B23" s="4" t="str" cm="1">
        <f t="array" ref="B23">_xlfn.IFS('ProductSprint Backlog'!$F23="", "", AND('ProductSprint Backlog'!$J23&gt;B$2,'ProductSprint Backlog'!$I23&lt;=B$2), 'ProductSprint Backlog'!$F23 / MAX(1, 'ProductSprint Backlog'!$J23-'ProductSprint Backlog'!$I23), AND('ProductSprint Backlog'!$J23=B$2,'ProductSprint Backlog'!$I23=B$2), 'ProductSprint Backlog'!$F23, TRUE, 0)</f>
        <v/>
      </c>
      <c r="C23" s="4" t="str" cm="1">
        <f t="array" ref="C23">_xlfn.IFS('ProductSprint Backlog'!$F23="", "", AND('ProductSprint Backlog'!$J23&gt;C$2,'ProductSprint Backlog'!$I23&lt;=C$2), 'ProductSprint Backlog'!$F23 / MAX(1, 'ProductSprint Backlog'!$J23-'ProductSprint Backlog'!$I23), AND('ProductSprint Backlog'!$J23=C$2,'ProductSprint Backlog'!$I23=C$2), 'ProductSprint Backlog'!$F23, TRUE, 0)</f>
        <v/>
      </c>
      <c r="D23" s="4" t="str" cm="1">
        <f t="array" ref="D23">_xlfn.IFS('ProductSprint Backlog'!$F23="", "", AND('ProductSprint Backlog'!$J23&gt;D$2,'ProductSprint Backlog'!$I23&lt;=D$2), 'ProductSprint Backlog'!$F23 / MAX(1, 'ProductSprint Backlog'!$J23-'ProductSprint Backlog'!$I23), AND('ProductSprint Backlog'!$J23=D$2,'ProductSprint Backlog'!$I23=D$2), 'ProductSprint Backlog'!$F23, TRUE, 0)</f>
        <v/>
      </c>
      <c r="E23" s="4" t="str" cm="1">
        <f t="array" ref="E23">_xlfn.IFS('ProductSprint Backlog'!$F23="", "", AND('ProductSprint Backlog'!$J23&gt;E$2,'ProductSprint Backlog'!$I23&lt;=E$2), 'ProductSprint Backlog'!$F23 / MAX(1, 'ProductSprint Backlog'!$J23-'ProductSprint Backlog'!$I23), AND('ProductSprint Backlog'!$J23=E$2,'ProductSprint Backlog'!$I23=E$2), 'ProductSprint Backlog'!$F23, TRUE, 0)</f>
        <v/>
      </c>
      <c r="F23" s="4" t="str" cm="1">
        <f t="array" ref="F23">_xlfn.IFS('ProductSprint Backlog'!$F23="", "", AND('ProductSprint Backlog'!$J23&gt;F$2,'ProductSprint Backlog'!$I23&lt;=F$2), 'ProductSprint Backlog'!$F23 / MAX(1, 'ProductSprint Backlog'!$J23-'ProductSprint Backlog'!$I23), AND('ProductSprint Backlog'!$J23=F$2,'ProductSprint Backlog'!$I23=F$2), 'ProductSprint Backlog'!$F23, TRUE, 0)</f>
        <v/>
      </c>
      <c r="G23" s="4" t="str" cm="1">
        <f t="array" ref="G23">_xlfn.IFS('ProductSprint Backlog'!$F23="", "", AND('ProductSprint Backlog'!$J23&gt;G$2,'ProductSprint Backlog'!$I23&lt;=G$2), 'ProductSprint Backlog'!$F23 / MAX(1, 'ProductSprint Backlog'!$J23-'ProductSprint Backlog'!$I23), AND('ProductSprint Backlog'!$J23=G$2,'ProductSprint Backlog'!$I23=G$2), 'ProductSprint Backlog'!$F23, TRUE, 0)</f>
        <v/>
      </c>
      <c r="H23" s="4" t="str" cm="1">
        <f t="array" ref="H23">_xlfn.IFS('ProductSprint Backlog'!$F23="", "", AND('ProductSprint Backlog'!$J23&gt;H$2,'ProductSprint Backlog'!$I23&lt;=H$2), 'ProductSprint Backlog'!$F23 / MAX(1, 'ProductSprint Backlog'!$J23-'ProductSprint Backlog'!$I23), AND('ProductSprint Backlog'!$J23=H$2,'ProductSprint Backlog'!$I23=H$2), 'ProductSprint Backlog'!$F23, TRUE, 0)</f>
        <v/>
      </c>
      <c r="I23" s="4" t="str" cm="1">
        <f t="array" ref="I23">_xlfn.IFS('ProductSprint Backlog'!$F23="", "", AND('ProductSprint Backlog'!$J23&gt;I$2,'ProductSprint Backlog'!$I23&lt;=I$2), 'ProductSprint Backlog'!$F23 / MAX(1, 'ProductSprint Backlog'!$J23-'ProductSprint Backlog'!$I23), AND('ProductSprint Backlog'!$J23=I$2,'ProductSprint Backlog'!$I23=I$2), 'ProductSprint Backlog'!$F23, TRUE, 0)</f>
        <v/>
      </c>
      <c r="J23" s="4" t="str" cm="1">
        <f t="array" ref="J23">_xlfn.IFS('ProductSprint Backlog'!$F23="", "", AND('ProductSprint Backlog'!$J23&gt;J$2,'ProductSprint Backlog'!$I23&lt;=J$2), 'ProductSprint Backlog'!$F23 / MAX(1, 'ProductSprint Backlog'!$J23-'ProductSprint Backlog'!$I23), AND('ProductSprint Backlog'!$J23=J$2,'ProductSprint Backlog'!$I23=J$2), 'ProductSprint Backlog'!$F23, TRUE, 0)</f>
        <v/>
      </c>
      <c r="K23" s="4" t="str" cm="1">
        <f t="array" ref="K23">_xlfn.IFS('ProductSprint Backlog'!$F23="", "", AND('ProductSprint Backlog'!$J23&gt;K$2,'ProductSprint Backlog'!$I23&lt;=K$2), 'ProductSprint Backlog'!$F23 / MAX(1, 'ProductSprint Backlog'!$J23-'ProductSprint Backlog'!$I23), AND('ProductSprint Backlog'!$J23=K$2,'ProductSprint Backlog'!$I23=K$2), 'ProductSprint Backlog'!$F23, TRUE, 0)</f>
        <v/>
      </c>
      <c r="L23" s="4" t="str" cm="1">
        <f t="array" ref="L23">_xlfn.IFS('ProductSprint Backlog'!$F23="", "", AND('ProductSprint Backlog'!$J23&gt;L$2,'ProductSprint Backlog'!$I23&lt;=L$2), 'ProductSprint Backlog'!$F23 / MAX(1, 'ProductSprint Backlog'!$J23-'ProductSprint Backlog'!$I23), AND('ProductSprint Backlog'!$J23=L$2,'ProductSprint Backlog'!$I23=L$2), 'ProductSprint Backlog'!$F23, TRUE, 0)</f>
        <v/>
      </c>
      <c r="M23" s="4" t="str" cm="1">
        <f t="array" ref="M23">_xlfn.IFS('ProductSprint Backlog'!$F23="", "", AND('ProductSprint Backlog'!$J23&gt;M$2,'ProductSprint Backlog'!$I23&lt;=M$2), 'ProductSprint Backlog'!$F23 / MAX(1, 'ProductSprint Backlog'!$J23-'ProductSprint Backlog'!$I23), AND('ProductSprint Backlog'!$J23=M$2,'ProductSprint Backlog'!$I23=M$2), 'ProductSprint Backlog'!$F23, TRUE, 0)</f>
        <v/>
      </c>
      <c r="N23" s="4" t="str" cm="1">
        <f t="array" ref="N23">_xlfn.IFS('ProductSprint Backlog'!$F23="", "", AND('ProductSprint Backlog'!$J23&gt;N$2,'ProductSprint Backlog'!$I23&lt;=N$2), 'ProductSprint Backlog'!$F23 / MAX(1, 'ProductSprint Backlog'!$J23-'ProductSprint Backlog'!$I23), AND('ProductSprint Backlog'!$J23=N$2,'ProductSprint Backlog'!$I23=N$2), 'ProductSprint Backlog'!$F23, TRUE, 0)</f>
        <v/>
      </c>
      <c r="O23" s="4" t="str" cm="1">
        <f t="array" ref="O23">_xlfn.IFS('ProductSprint Backlog'!$F23="", "", AND('ProductSprint Backlog'!$J23&gt;O$2,'ProductSprint Backlog'!$I23&lt;=O$2), 'ProductSprint Backlog'!$F23 / MAX(1, 'ProductSprint Backlog'!$J23-'ProductSprint Backlog'!$I23), AND('ProductSprint Backlog'!$J23=O$2,'ProductSprint Backlog'!$I23=O$2), 'ProductSprint Backlog'!$F23, TRUE, 0)</f>
        <v/>
      </c>
    </row>
    <row r="24" spans="2:15" x14ac:dyDescent="0.2">
      <c r="B24" s="4" cm="1">
        <f t="array" ref="B24">_xlfn.IFS('ProductSprint Backlog'!$F24="", "", AND('ProductSprint Backlog'!$J24&gt;B$2,'ProductSprint Backlog'!$I24&lt;=B$2), 'ProductSprint Backlog'!$F24 / MAX(1, 'ProductSprint Backlog'!$J24-'ProductSprint Backlog'!$I24), AND('ProductSprint Backlog'!$J24=B$2,'ProductSprint Backlog'!$I24=B$2), 'ProductSprint Backlog'!$F24, TRUE, 0)</f>
        <v>0</v>
      </c>
      <c r="C24" s="4" cm="1">
        <f t="array" ref="C24">_xlfn.IFS('ProductSprint Backlog'!$F24="", "", AND('ProductSprint Backlog'!$J24&gt;C$2,'ProductSprint Backlog'!$I24&lt;=C$2), 'ProductSprint Backlog'!$F24 / MAX(1, 'ProductSprint Backlog'!$J24-'ProductSprint Backlog'!$I24), AND('ProductSprint Backlog'!$J24=C$2,'ProductSprint Backlog'!$I24=C$2), 'ProductSprint Backlog'!$F24, TRUE, 0)</f>
        <v>0</v>
      </c>
      <c r="D24" s="4" cm="1">
        <f t="array" ref="D24">_xlfn.IFS('ProductSprint Backlog'!$F24="", "", AND('ProductSprint Backlog'!$J24&gt;D$2,'ProductSprint Backlog'!$I24&lt;=D$2), 'ProductSprint Backlog'!$F24 / MAX(1, 'ProductSprint Backlog'!$J24-'ProductSprint Backlog'!$I24), AND('ProductSprint Backlog'!$J24=D$2,'ProductSprint Backlog'!$I24=D$2), 'ProductSprint Backlog'!$F24, TRUE, 0)</f>
        <v>1</v>
      </c>
      <c r="E24" s="4" cm="1">
        <f t="array" ref="E24">_xlfn.IFS('ProductSprint Backlog'!$F24="", "", AND('ProductSprint Backlog'!$J24&gt;E$2,'ProductSprint Backlog'!$I24&lt;=E$2), 'ProductSprint Backlog'!$F24 / MAX(1, 'ProductSprint Backlog'!$J24-'ProductSprint Backlog'!$I24), AND('ProductSprint Backlog'!$J24=E$2,'ProductSprint Backlog'!$I24=E$2), 'ProductSprint Backlog'!$F24, TRUE, 0)</f>
        <v>0</v>
      </c>
      <c r="F24" s="4" cm="1">
        <f t="array" ref="F24">_xlfn.IFS('ProductSprint Backlog'!$F24="", "", AND('ProductSprint Backlog'!$J24&gt;F$2,'ProductSprint Backlog'!$I24&lt;=F$2), 'ProductSprint Backlog'!$F24 / MAX(1, 'ProductSprint Backlog'!$J24-'ProductSprint Backlog'!$I24), AND('ProductSprint Backlog'!$J24=F$2,'ProductSprint Backlog'!$I24=F$2), 'ProductSprint Backlog'!$F24, TRUE, 0)</f>
        <v>0</v>
      </c>
      <c r="G24" s="4" cm="1">
        <f t="array" ref="G24">_xlfn.IFS('ProductSprint Backlog'!$F24="", "", AND('ProductSprint Backlog'!$J24&gt;G$2,'ProductSprint Backlog'!$I24&lt;=G$2), 'ProductSprint Backlog'!$F24 / MAX(1, 'ProductSprint Backlog'!$J24-'ProductSprint Backlog'!$I24), AND('ProductSprint Backlog'!$J24=G$2,'ProductSprint Backlog'!$I24=G$2), 'ProductSprint Backlog'!$F24, TRUE, 0)</f>
        <v>0</v>
      </c>
      <c r="H24" s="4" cm="1">
        <f t="array" ref="H24">_xlfn.IFS('ProductSprint Backlog'!$F24="", "", AND('ProductSprint Backlog'!$J24&gt;H$2,'ProductSprint Backlog'!$I24&lt;=H$2), 'ProductSprint Backlog'!$F24 / MAX(1, 'ProductSprint Backlog'!$J24-'ProductSprint Backlog'!$I24), AND('ProductSprint Backlog'!$J24=H$2,'ProductSprint Backlog'!$I24=H$2), 'ProductSprint Backlog'!$F24, TRUE, 0)</f>
        <v>0</v>
      </c>
      <c r="I24" s="4" cm="1">
        <f t="array" ref="I24">_xlfn.IFS('ProductSprint Backlog'!$F24="", "", AND('ProductSprint Backlog'!$J24&gt;I$2,'ProductSprint Backlog'!$I24&lt;=I$2), 'ProductSprint Backlog'!$F24 / MAX(1, 'ProductSprint Backlog'!$J24-'ProductSprint Backlog'!$I24), AND('ProductSprint Backlog'!$J24=I$2,'ProductSprint Backlog'!$I24=I$2), 'ProductSprint Backlog'!$F24, TRUE, 0)</f>
        <v>0</v>
      </c>
      <c r="J24" s="4" cm="1">
        <f t="array" ref="J24">_xlfn.IFS('ProductSprint Backlog'!$F24="", "", AND('ProductSprint Backlog'!$J24&gt;J$2,'ProductSprint Backlog'!$I24&lt;=J$2), 'ProductSprint Backlog'!$F24 / MAX(1, 'ProductSprint Backlog'!$J24-'ProductSprint Backlog'!$I24), AND('ProductSprint Backlog'!$J24=J$2,'ProductSprint Backlog'!$I24=J$2), 'ProductSprint Backlog'!$F24, TRUE, 0)</f>
        <v>0</v>
      </c>
      <c r="K24" s="4" cm="1">
        <f t="array" ref="K24">_xlfn.IFS('ProductSprint Backlog'!$F24="", "", AND('ProductSprint Backlog'!$J24&gt;K$2,'ProductSprint Backlog'!$I24&lt;=K$2), 'ProductSprint Backlog'!$F24 / MAX(1, 'ProductSprint Backlog'!$J24-'ProductSprint Backlog'!$I24), AND('ProductSprint Backlog'!$J24=K$2,'ProductSprint Backlog'!$I24=K$2), 'ProductSprint Backlog'!$F24, TRUE, 0)</f>
        <v>0</v>
      </c>
      <c r="L24" s="4" cm="1">
        <f t="array" ref="L24">_xlfn.IFS('ProductSprint Backlog'!$F24="", "", AND('ProductSprint Backlog'!$J24&gt;L$2,'ProductSprint Backlog'!$I24&lt;=L$2), 'ProductSprint Backlog'!$F24 / MAX(1, 'ProductSprint Backlog'!$J24-'ProductSprint Backlog'!$I24), AND('ProductSprint Backlog'!$J24=L$2,'ProductSprint Backlog'!$I24=L$2), 'ProductSprint Backlog'!$F24, TRUE, 0)</f>
        <v>0</v>
      </c>
      <c r="M24" s="4" cm="1">
        <f t="array" ref="M24">_xlfn.IFS('ProductSprint Backlog'!$F24="", "", AND('ProductSprint Backlog'!$J24&gt;M$2,'ProductSprint Backlog'!$I24&lt;=M$2), 'ProductSprint Backlog'!$F24 / MAX(1, 'ProductSprint Backlog'!$J24-'ProductSprint Backlog'!$I24), AND('ProductSprint Backlog'!$J24=M$2,'ProductSprint Backlog'!$I24=M$2), 'ProductSprint Backlog'!$F24, TRUE, 0)</f>
        <v>0</v>
      </c>
      <c r="N24" s="4" cm="1">
        <f t="array" ref="N24">_xlfn.IFS('ProductSprint Backlog'!$F24="", "", AND('ProductSprint Backlog'!$J24&gt;N$2,'ProductSprint Backlog'!$I24&lt;=N$2), 'ProductSprint Backlog'!$F24 / MAX(1, 'ProductSprint Backlog'!$J24-'ProductSprint Backlog'!$I24), AND('ProductSprint Backlog'!$J24=N$2,'ProductSprint Backlog'!$I24=N$2), 'ProductSprint Backlog'!$F24, TRUE, 0)</f>
        <v>0</v>
      </c>
      <c r="O24" s="4" cm="1">
        <f t="array" ref="O24">_xlfn.IFS('ProductSprint Backlog'!$F24="", "", AND('ProductSprint Backlog'!$J24&gt;O$2,'ProductSprint Backlog'!$I24&lt;=O$2), 'ProductSprint Backlog'!$F24 / MAX(1, 'ProductSprint Backlog'!$J24-'ProductSprint Backlog'!$I24), AND('ProductSprint Backlog'!$J24=O$2,'ProductSprint Backlog'!$I24=O$2), 'ProductSprint Backlog'!$F24, TRUE, 0)</f>
        <v>0</v>
      </c>
    </row>
    <row r="25" spans="2:15" x14ac:dyDescent="0.2">
      <c r="B25" s="4" cm="1">
        <f t="array" ref="B25">_xlfn.IFS('ProductSprint Backlog'!$F25="", "", AND('ProductSprint Backlog'!$J25&gt;B$2,'ProductSprint Backlog'!$I25&lt;=B$2), 'ProductSprint Backlog'!$F25 / MAX(1, 'ProductSprint Backlog'!$J25-'ProductSprint Backlog'!$I25), AND('ProductSprint Backlog'!$J25=B$2,'ProductSprint Backlog'!$I25=B$2), 'ProductSprint Backlog'!$F25, TRUE, 0)</f>
        <v>0</v>
      </c>
      <c r="C25" s="4" cm="1">
        <f t="array" ref="C25">_xlfn.IFS('ProductSprint Backlog'!$F25="", "", AND('ProductSprint Backlog'!$J25&gt;C$2,'ProductSprint Backlog'!$I25&lt;=C$2), 'ProductSprint Backlog'!$F25 / MAX(1, 'ProductSprint Backlog'!$J25-'ProductSprint Backlog'!$I25), AND('ProductSprint Backlog'!$J25=C$2,'ProductSprint Backlog'!$I25=C$2), 'ProductSprint Backlog'!$F25, TRUE, 0)</f>
        <v>0</v>
      </c>
      <c r="D25" s="4" cm="1">
        <f t="array" ref="D25">_xlfn.IFS('ProductSprint Backlog'!$F25="", "", AND('ProductSprint Backlog'!$J25&gt;D$2,'ProductSprint Backlog'!$I25&lt;=D$2), 'ProductSprint Backlog'!$F25 / MAX(1, 'ProductSprint Backlog'!$J25-'ProductSprint Backlog'!$I25), AND('ProductSprint Backlog'!$J25=D$2,'ProductSprint Backlog'!$I25=D$2), 'ProductSprint Backlog'!$F25, TRUE, 0)</f>
        <v>0.75</v>
      </c>
      <c r="E25" s="4" cm="1">
        <f t="array" ref="E25">_xlfn.IFS('ProductSprint Backlog'!$F25="", "", AND('ProductSprint Backlog'!$J25&gt;E$2,'ProductSprint Backlog'!$I25&lt;=E$2), 'ProductSprint Backlog'!$F25 / MAX(1, 'ProductSprint Backlog'!$J25-'ProductSprint Backlog'!$I25), AND('ProductSprint Backlog'!$J25=E$2,'ProductSprint Backlog'!$I25=E$2), 'ProductSprint Backlog'!$F25, TRUE, 0)</f>
        <v>0.75</v>
      </c>
      <c r="F25" s="4" cm="1">
        <f t="array" ref="F25">_xlfn.IFS('ProductSprint Backlog'!$F25="", "", AND('ProductSprint Backlog'!$J25&gt;F$2,'ProductSprint Backlog'!$I25&lt;=F$2), 'ProductSprint Backlog'!$F25 / MAX(1, 'ProductSprint Backlog'!$J25-'ProductSprint Backlog'!$I25), AND('ProductSprint Backlog'!$J25=F$2,'ProductSprint Backlog'!$I25=F$2), 'ProductSprint Backlog'!$F25, TRUE, 0)</f>
        <v>0.75</v>
      </c>
      <c r="G25" s="4" cm="1">
        <f t="array" ref="G25">_xlfn.IFS('ProductSprint Backlog'!$F25="", "", AND('ProductSprint Backlog'!$J25&gt;G$2,'ProductSprint Backlog'!$I25&lt;=G$2), 'ProductSprint Backlog'!$F25 / MAX(1, 'ProductSprint Backlog'!$J25-'ProductSprint Backlog'!$I25), AND('ProductSprint Backlog'!$J25=G$2,'ProductSprint Backlog'!$I25=G$2), 'ProductSprint Backlog'!$F25, TRUE, 0)</f>
        <v>0.75</v>
      </c>
      <c r="H25" s="4" cm="1">
        <f t="array" ref="H25">_xlfn.IFS('ProductSprint Backlog'!$F25="", "", AND('ProductSprint Backlog'!$J25&gt;H$2,'ProductSprint Backlog'!$I25&lt;=H$2), 'ProductSprint Backlog'!$F25 / MAX(1, 'ProductSprint Backlog'!$J25-'ProductSprint Backlog'!$I25), AND('ProductSprint Backlog'!$J25=H$2,'ProductSprint Backlog'!$I25=H$2), 'ProductSprint Backlog'!$F25, TRUE, 0)</f>
        <v>0</v>
      </c>
      <c r="I25" s="4" cm="1">
        <f t="array" ref="I25">_xlfn.IFS('ProductSprint Backlog'!$F25="", "", AND('ProductSprint Backlog'!$J25&gt;I$2,'ProductSprint Backlog'!$I25&lt;=I$2), 'ProductSprint Backlog'!$F25 / MAX(1, 'ProductSprint Backlog'!$J25-'ProductSprint Backlog'!$I25), AND('ProductSprint Backlog'!$J25=I$2,'ProductSprint Backlog'!$I25=I$2), 'ProductSprint Backlog'!$F25, TRUE, 0)</f>
        <v>0</v>
      </c>
      <c r="J25" s="4" cm="1">
        <f t="array" ref="J25">_xlfn.IFS('ProductSprint Backlog'!$F25="", "", AND('ProductSprint Backlog'!$J25&gt;J$2,'ProductSprint Backlog'!$I25&lt;=J$2), 'ProductSprint Backlog'!$F25 / MAX(1, 'ProductSprint Backlog'!$J25-'ProductSprint Backlog'!$I25), AND('ProductSprint Backlog'!$J25=J$2,'ProductSprint Backlog'!$I25=J$2), 'ProductSprint Backlog'!$F25, TRUE, 0)</f>
        <v>0</v>
      </c>
      <c r="K25" s="4" cm="1">
        <f t="array" ref="K25">_xlfn.IFS('ProductSprint Backlog'!$F25="", "", AND('ProductSprint Backlog'!$J25&gt;K$2,'ProductSprint Backlog'!$I25&lt;=K$2), 'ProductSprint Backlog'!$F25 / MAX(1, 'ProductSprint Backlog'!$J25-'ProductSprint Backlog'!$I25), AND('ProductSprint Backlog'!$J25=K$2,'ProductSprint Backlog'!$I25=K$2), 'ProductSprint Backlog'!$F25, TRUE, 0)</f>
        <v>0</v>
      </c>
      <c r="L25" s="4" cm="1">
        <f t="array" ref="L25">_xlfn.IFS('ProductSprint Backlog'!$F25="", "", AND('ProductSprint Backlog'!$J25&gt;L$2,'ProductSprint Backlog'!$I25&lt;=L$2), 'ProductSprint Backlog'!$F25 / MAX(1, 'ProductSprint Backlog'!$J25-'ProductSprint Backlog'!$I25), AND('ProductSprint Backlog'!$J25=L$2,'ProductSprint Backlog'!$I25=L$2), 'ProductSprint Backlog'!$F25, TRUE, 0)</f>
        <v>0</v>
      </c>
      <c r="M25" s="4" cm="1">
        <f t="array" ref="M25">_xlfn.IFS('ProductSprint Backlog'!$F25="", "", AND('ProductSprint Backlog'!$J25&gt;M$2,'ProductSprint Backlog'!$I25&lt;=M$2), 'ProductSprint Backlog'!$F25 / MAX(1, 'ProductSprint Backlog'!$J25-'ProductSprint Backlog'!$I25), AND('ProductSprint Backlog'!$J25=M$2,'ProductSprint Backlog'!$I25=M$2), 'ProductSprint Backlog'!$F25, TRUE, 0)</f>
        <v>0</v>
      </c>
      <c r="N25" s="4" cm="1">
        <f t="array" ref="N25">_xlfn.IFS('ProductSprint Backlog'!$F25="", "", AND('ProductSprint Backlog'!$J25&gt;N$2,'ProductSprint Backlog'!$I25&lt;=N$2), 'ProductSprint Backlog'!$F25 / MAX(1, 'ProductSprint Backlog'!$J25-'ProductSprint Backlog'!$I25), AND('ProductSprint Backlog'!$J25=N$2,'ProductSprint Backlog'!$I25=N$2), 'ProductSprint Backlog'!$F25, TRUE, 0)</f>
        <v>0</v>
      </c>
      <c r="O25" s="4" cm="1">
        <f t="array" ref="O25">_xlfn.IFS('ProductSprint Backlog'!$F25="", "", AND('ProductSprint Backlog'!$J25&gt;O$2,'ProductSprint Backlog'!$I25&lt;=O$2), 'ProductSprint Backlog'!$F25 / MAX(1, 'ProductSprint Backlog'!$J25-'ProductSprint Backlog'!$I25), AND('ProductSprint Backlog'!$J25=O$2,'ProductSprint Backlog'!$I25=O$2), 'ProductSprint Backlog'!$F25, TRUE, 0)</f>
        <v>0</v>
      </c>
    </row>
    <row r="26" spans="2:15" x14ac:dyDescent="0.2">
      <c r="B26" s="4" cm="1">
        <f t="array" ref="B26">_xlfn.IFS('ProductSprint Backlog'!$F26="", "", AND('ProductSprint Backlog'!$J26&gt;B$2,'ProductSprint Backlog'!$I26&lt;=B$2), 'ProductSprint Backlog'!$F26 / MAX(1, 'ProductSprint Backlog'!$J26-'ProductSprint Backlog'!$I26), AND('ProductSprint Backlog'!$J26=B$2,'ProductSprint Backlog'!$I26=B$2), 'ProductSprint Backlog'!$F26, TRUE, 0)</f>
        <v>0</v>
      </c>
      <c r="C26" s="4" cm="1">
        <f t="array" ref="C26">_xlfn.IFS('ProductSprint Backlog'!$F26="", "", AND('ProductSprint Backlog'!$J26&gt;C$2,'ProductSprint Backlog'!$I26&lt;=C$2), 'ProductSprint Backlog'!$F26 / MAX(1, 'ProductSprint Backlog'!$J26-'ProductSprint Backlog'!$I26), AND('ProductSprint Backlog'!$J26=C$2,'ProductSprint Backlog'!$I26=C$2), 'ProductSprint Backlog'!$F26, TRUE, 0)</f>
        <v>0</v>
      </c>
      <c r="D26" s="4" cm="1">
        <f t="array" ref="D26">_xlfn.IFS('ProductSprint Backlog'!$F26="", "", AND('ProductSprint Backlog'!$J26&gt;D$2,'ProductSprint Backlog'!$I26&lt;=D$2), 'ProductSprint Backlog'!$F26 / MAX(1, 'ProductSprint Backlog'!$J26-'ProductSprint Backlog'!$I26), AND('ProductSprint Backlog'!$J26=D$2,'ProductSprint Backlog'!$I26=D$2), 'ProductSprint Backlog'!$F26, TRUE, 0)</f>
        <v>0</v>
      </c>
      <c r="E26" s="4" cm="1">
        <f t="array" ref="E26">_xlfn.IFS('ProductSprint Backlog'!$F26="", "", AND('ProductSprint Backlog'!$J26&gt;E$2,'ProductSprint Backlog'!$I26&lt;=E$2), 'ProductSprint Backlog'!$F26 / MAX(1, 'ProductSprint Backlog'!$J26-'ProductSprint Backlog'!$I26), AND('ProductSprint Backlog'!$J26=E$2,'ProductSprint Backlog'!$I26=E$2), 'ProductSprint Backlog'!$F26, TRUE, 0)</f>
        <v>0</v>
      </c>
      <c r="F26" s="4" cm="1">
        <f t="array" ref="F26">_xlfn.IFS('ProductSprint Backlog'!$F26="", "", AND('ProductSprint Backlog'!$J26&gt;F$2,'ProductSprint Backlog'!$I26&lt;=F$2), 'ProductSprint Backlog'!$F26 / MAX(1, 'ProductSprint Backlog'!$J26-'ProductSprint Backlog'!$I26), AND('ProductSprint Backlog'!$J26=F$2,'ProductSprint Backlog'!$I26=F$2), 'ProductSprint Backlog'!$F26, TRUE, 0)</f>
        <v>0</v>
      </c>
      <c r="G26" s="4" cm="1">
        <f t="array" ref="G26">_xlfn.IFS('ProductSprint Backlog'!$F26="", "", AND('ProductSprint Backlog'!$J26&gt;G$2,'ProductSprint Backlog'!$I26&lt;=G$2), 'ProductSprint Backlog'!$F26 / MAX(1, 'ProductSprint Backlog'!$J26-'ProductSprint Backlog'!$I26), AND('ProductSprint Backlog'!$J26=G$2,'ProductSprint Backlog'!$I26=G$2), 'ProductSprint Backlog'!$F26, TRUE, 0)</f>
        <v>0</v>
      </c>
      <c r="H26" s="4" cm="1">
        <f t="array" ref="H26">_xlfn.IFS('ProductSprint Backlog'!$F26="", "", AND('ProductSprint Backlog'!$J26&gt;H$2,'ProductSprint Backlog'!$I26&lt;=H$2), 'ProductSprint Backlog'!$F26 / MAX(1, 'ProductSprint Backlog'!$J26-'ProductSprint Backlog'!$I26), AND('ProductSprint Backlog'!$J26=H$2,'ProductSprint Backlog'!$I26=H$2), 'ProductSprint Backlog'!$F26, TRUE, 0)</f>
        <v>1</v>
      </c>
      <c r="I26" s="4" cm="1">
        <f t="array" ref="I26">_xlfn.IFS('ProductSprint Backlog'!$F26="", "", AND('ProductSprint Backlog'!$J26&gt;I$2,'ProductSprint Backlog'!$I26&lt;=I$2), 'ProductSprint Backlog'!$F26 / MAX(1, 'ProductSprint Backlog'!$J26-'ProductSprint Backlog'!$I26), AND('ProductSprint Backlog'!$J26=I$2,'ProductSprint Backlog'!$I26=I$2), 'ProductSprint Backlog'!$F26, TRUE, 0)</f>
        <v>1</v>
      </c>
      <c r="J26" s="4" cm="1">
        <f t="array" ref="J26">_xlfn.IFS('ProductSprint Backlog'!$F26="", "", AND('ProductSprint Backlog'!$J26&gt;J$2,'ProductSprint Backlog'!$I26&lt;=J$2), 'ProductSprint Backlog'!$F26 / MAX(1, 'ProductSprint Backlog'!$J26-'ProductSprint Backlog'!$I26), AND('ProductSprint Backlog'!$J26=J$2,'ProductSprint Backlog'!$I26=J$2), 'ProductSprint Backlog'!$F26, TRUE, 0)</f>
        <v>0</v>
      </c>
      <c r="K26" s="4" cm="1">
        <f t="array" ref="K26">_xlfn.IFS('ProductSprint Backlog'!$F26="", "", AND('ProductSprint Backlog'!$J26&gt;K$2,'ProductSprint Backlog'!$I26&lt;=K$2), 'ProductSprint Backlog'!$F26 / MAX(1, 'ProductSprint Backlog'!$J26-'ProductSprint Backlog'!$I26), AND('ProductSprint Backlog'!$J26=K$2,'ProductSprint Backlog'!$I26=K$2), 'ProductSprint Backlog'!$F26, TRUE, 0)</f>
        <v>0</v>
      </c>
      <c r="L26" s="4" cm="1">
        <f t="array" ref="L26">_xlfn.IFS('ProductSprint Backlog'!$F26="", "", AND('ProductSprint Backlog'!$J26&gt;L$2,'ProductSprint Backlog'!$I26&lt;=L$2), 'ProductSprint Backlog'!$F26 / MAX(1, 'ProductSprint Backlog'!$J26-'ProductSprint Backlog'!$I26), AND('ProductSprint Backlog'!$J26=L$2,'ProductSprint Backlog'!$I26=L$2), 'ProductSprint Backlog'!$F26, TRUE, 0)</f>
        <v>0</v>
      </c>
      <c r="M26" s="4" cm="1">
        <f t="array" ref="M26">_xlfn.IFS('ProductSprint Backlog'!$F26="", "", AND('ProductSprint Backlog'!$J26&gt;M$2,'ProductSprint Backlog'!$I26&lt;=M$2), 'ProductSprint Backlog'!$F26 / MAX(1, 'ProductSprint Backlog'!$J26-'ProductSprint Backlog'!$I26), AND('ProductSprint Backlog'!$J26=M$2,'ProductSprint Backlog'!$I26=M$2), 'ProductSprint Backlog'!$F26, TRUE, 0)</f>
        <v>0</v>
      </c>
      <c r="N26" s="4" cm="1">
        <f t="array" ref="N26">_xlfn.IFS('ProductSprint Backlog'!$F26="", "", AND('ProductSprint Backlog'!$J26&gt;N$2,'ProductSprint Backlog'!$I26&lt;=N$2), 'ProductSprint Backlog'!$F26 / MAX(1, 'ProductSprint Backlog'!$J26-'ProductSprint Backlog'!$I26), AND('ProductSprint Backlog'!$J26=N$2,'ProductSprint Backlog'!$I26=N$2), 'ProductSprint Backlog'!$F26, TRUE, 0)</f>
        <v>0</v>
      </c>
      <c r="O26" s="4" cm="1">
        <f t="array" ref="O26">_xlfn.IFS('ProductSprint Backlog'!$F26="", "", AND('ProductSprint Backlog'!$J26&gt;O$2,'ProductSprint Backlog'!$I26&lt;=O$2), 'ProductSprint Backlog'!$F26 / MAX(1, 'ProductSprint Backlog'!$J26-'ProductSprint Backlog'!$I26), AND('ProductSprint Backlog'!$J26=O$2,'ProductSprint Backlog'!$I26=O$2), 'ProductSprint Backlog'!$F26, TRUE, 0)</f>
        <v>0</v>
      </c>
    </row>
    <row r="27" spans="2:15" x14ac:dyDescent="0.2">
      <c r="B27" s="4" t="str" cm="1">
        <f t="array" ref="B27">_xlfn.IFS('ProductSprint Backlog'!$F27="", "", AND('ProductSprint Backlog'!$J27&gt;B$2,'ProductSprint Backlog'!$I27&lt;=B$2), 'ProductSprint Backlog'!$F27 / MAX(1, 'ProductSprint Backlog'!$J27-'ProductSprint Backlog'!$I27), AND('ProductSprint Backlog'!$J27=B$2,'ProductSprint Backlog'!$I27=B$2), 'ProductSprint Backlog'!$F27, TRUE, 0)</f>
        <v/>
      </c>
      <c r="C27" s="4" t="str" cm="1">
        <f t="array" ref="C27">_xlfn.IFS('ProductSprint Backlog'!$F27="", "", AND('ProductSprint Backlog'!$J27&gt;C$2,'ProductSprint Backlog'!$I27&lt;=C$2), 'ProductSprint Backlog'!$F27 / MAX(1, 'ProductSprint Backlog'!$J27-'ProductSprint Backlog'!$I27), AND('ProductSprint Backlog'!$J27=C$2,'ProductSprint Backlog'!$I27=C$2), 'ProductSprint Backlog'!$F27, TRUE, 0)</f>
        <v/>
      </c>
      <c r="D27" s="4" t="str" cm="1">
        <f t="array" ref="D27">_xlfn.IFS('ProductSprint Backlog'!$F27="", "", AND('ProductSprint Backlog'!$J27&gt;D$2,'ProductSprint Backlog'!$I27&lt;=D$2), 'ProductSprint Backlog'!$F27 / MAX(1, 'ProductSprint Backlog'!$J27-'ProductSprint Backlog'!$I27), AND('ProductSprint Backlog'!$J27=D$2,'ProductSprint Backlog'!$I27=D$2), 'ProductSprint Backlog'!$F27, TRUE, 0)</f>
        <v/>
      </c>
      <c r="E27" s="4" t="str" cm="1">
        <f t="array" ref="E27">_xlfn.IFS('ProductSprint Backlog'!$F27="", "", AND('ProductSprint Backlog'!$J27&gt;E$2,'ProductSprint Backlog'!$I27&lt;=E$2), 'ProductSprint Backlog'!$F27 / MAX(1, 'ProductSprint Backlog'!$J27-'ProductSprint Backlog'!$I27), AND('ProductSprint Backlog'!$J27=E$2,'ProductSprint Backlog'!$I27=E$2), 'ProductSprint Backlog'!$F27, TRUE, 0)</f>
        <v/>
      </c>
      <c r="F27" s="4" t="str" cm="1">
        <f t="array" ref="F27">_xlfn.IFS('ProductSprint Backlog'!$F27="", "", AND('ProductSprint Backlog'!$J27&gt;F$2,'ProductSprint Backlog'!$I27&lt;=F$2), 'ProductSprint Backlog'!$F27 / MAX(1, 'ProductSprint Backlog'!$J27-'ProductSprint Backlog'!$I27), AND('ProductSprint Backlog'!$J27=F$2,'ProductSprint Backlog'!$I27=F$2), 'ProductSprint Backlog'!$F27, TRUE, 0)</f>
        <v/>
      </c>
      <c r="G27" s="4" t="str" cm="1">
        <f t="array" ref="G27">_xlfn.IFS('ProductSprint Backlog'!$F27="", "", AND('ProductSprint Backlog'!$J27&gt;G$2,'ProductSprint Backlog'!$I27&lt;=G$2), 'ProductSprint Backlog'!$F27 / MAX(1, 'ProductSprint Backlog'!$J27-'ProductSprint Backlog'!$I27), AND('ProductSprint Backlog'!$J27=G$2,'ProductSprint Backlog'!$I27=G$2), 'ProductSprint Backlog'!$F27, TRUE, 0)</f>
        <v/>
      </c>
      <c r="H27" s="4" t="str" cm="1">
        <f t="array" ref="H27">_xlfn.IFS('ProductSprint Backlog'!$F27="", "", AND('ProductSprint Backlog'!$J27&gt;H$2,'ProductSprint Backlog'!$I27&lt;=H$2), 'ProductSprint Backlog'!$F27 / MAX(1, 'ProductSprint Backlog'!$J27-'ProductSprint Backlog'!$I27), AND('ProductSprint Backlog'!$J27=H$2,'ProductSprint Backlog'!$I27=H$2), 'ProductSprint Backlog'!$F27, TRUE, 0)</f>
        <v/>
      </c>
      <c r="I27" s="4" t="str" cm="1">
        <f t="array" ref="I27">_xlfn.IFS('ProductSprint Backlog'!$F27="", "", AND('ProductSprint Backlog'!$J27&gt;I$2,'ProductSprint Backlog'!$I27&lt;=I$2), 'ProductSprint Backlog'!$F27 / MAX(1, 'ProductSprint Backlog'!$J27-'ProductSprint Backlog'!$I27), AND('ProductSprint Backlog'!$J27=I$2,'ProductSprint Backlog'!$I27=I$2), 'ProductSprint Backlog'!$F27, TRUE, 0)</f>
        <v/>
      </c>
      <c r="J27" s="4" t="str" cm="1">
        <f t="array" ref="J27">_xlfn.IFS('ProductSprint Backlog'!$F27="", "", AND('ProductSprint Backlog'!$J27&gt;J$2,'ProductSprint Backlog'!$I27&lt;=J$2), 'ProductSprint Backlog'!$F27 / MAX(1, 'ProductSprint Backlog'!$J27-'ProductSprint Backlog'!$I27), AND('ProductSprint Backlog'!$J27=J$2,'ProductSprint Backlog'!$I27=J$2), 'ProductSprint Backlog'!$F27, TRUE, 0)</f>
        <v/>
      </c>
      <c r="K27" s="4" t="str" cm="1">
        <f t="array" ref="K27">_xlfn.IFS('ProductSprint Backlog'!$F27="", "", AND('ProductSprint Backlog'!$J27&gt;K$2,'ProductSprint Backlog'!$I27&lt;=K$2), 'ProductSprint Backlog'!$F27 / MAX(1, 'ProductSprint Backlog'!$J27-'ProductSprint Backlog'!$I27), AND('ProductSprint Backlog'!$J27=K$2,'ProductSprint Backlog'!$I27=K$2), 'ProductSprint Backlog'!$F27, TRUE, 0)</f>
        <v/>
      </c>
      <c r="L27" s="4" t="str" cm="1">
        <f t="array" ref="L27">_xlfn.IFS('ProductSprint Backlog'!$F27="", "", AND('ProductSprint Backlog'!$J27&gt;L$2,'ProductSprint Backlog'!$I27&lt;=L$2), 'ProductSprint Backlog'!$F27 / MAX(1, 'ProductSprint Backlog'!$J27-'ProductSprint Backlog'!$I27), AND('ProductSprint Backlog'!$J27=L$2,'ProductSprint Backlog'!$I27=L$2), 'ProductSprint Backlog'!$F27, TRUE, 0)</f>
        <v/>
      </c>
      <c r="M27" s="4" t="str" cm="1">
        <f t="array" ref="M27">_xlfn.IFS('ProductSprint Backlog'!$F27="", "", AND('ProductSprint Backlog'!$J27&gt;M$2,'ProductSprint Backlog'!$I27&lt;=M$2), 'ProductSprint Backlog'!$F27 / MAX(1, 'ProductSprint Backlog'!$J27-'ProductSprint Backlog'!$I27), AND('ProductSprint Backlog'!$J27=M$2,'ProductSprint Backlog'!$I27=M$2), 'ProductSprint Backlog'!$F27, TRUE, 0)</f>
        <v/>
      </c>
      <c r="N27" s="4" t="str" cm="1">
        <f t="array" ref="N27">_xlfn.IFS('ProductSprint Backlog'!$F27="", "", AND('ProductSprint Backlog'!$J27&gt;N$2,'ProductSprint Backlog'!$I27&lt;=N$2), 'ProductSprint Backlog'!$F27 / MAX(1, 'ProductSprint Backlog'!$J27-'ProductSprint Backlog'!$I27), AND('ProductSprint Backlog'!$J27=N$2,'ProductSprint Backlog'!$I27=N$2), 'ProductSprint Backlog'!$F27, TRUE, 0)</f>
        <v/>
      </c>
      <c r="O27" s="4" t="str" cm="1">
        <f t="array" ref="O27">_xlfn.IFS('ProductSprint Backlog'!$F27="", "", AND('ProductSprint Backlog'!$J27&gt;O$2,'ProductSprint Backlog'!$I27&lt;=O$2), 'ProductSprint Backlog'!$F27 / MAX(1, 'ProductSprint Backlog'!$J27-'ProductSprint Backlog'!$I27), AND('ProductSprint Backlog'!$J27=O$2,'ProductSprint Backlog'!$I27=O$2), 'ProductSprint Backlog'!$F27, TRUE, 0)</f>
        <v/>
      </c>
    </row>
    <row r="28" spans="2:15" x14ac:dyDescent="0.2">
      <c r="B28" s="4" cm="1">
        <f t="array" ref="B28">_xlfn.IFS('ProductSprint Backlog'!$F28="", "", AND('ProductSprint Backlog'!$J28&gt;B$2,'ProductSprint Backlog'!$I28&lt;=B$2), 'ProductSprint Backlog'!$F28 / MAX(1, 'ProductSprint Backlog'!$J28-'ProductSprint Backlog'!$I28), AND('ProductSprint Backlog'!$J28=B$2,'ProductSprint Backlog'!$I28=B$2), 'ProductSprint Backlog'!$F28, TRUE, 0)</f>
        <v>0</v>
      </c>
      <c r="C28" s="4" cm="1">
        <f t="array" ref="C28">_xlfn.IFS('ProductSprint Backlog'!$F28="", "", AND('ProductSprint Backlog'!$J28&gt;C$2,'ProductSprint Backlog'!$I28&lt;=C$2), 'ProductSprint Backlog'!$F28 / MAX(1, 'ProductSprint Backlog'!$J28-'ProductSprint Backlog'!$I28), AND('ProductSprint Backlog'!$J28=C$2,'ProductSprint Backlog'!$I28=C$2), 'ProductSprint Backlog'!$F28, TRUE, 0)</f>
        <v>0</v>
      </c>
      <c r="D28" s="4" cm="1">
        <f t="array" ref="D28">_xlfn.IFS('ProductSprint Backlog'!$F28="", "", AND('ProductSprint Backlog'!$J28&gt;D$2,'ProductSprint Backlog'!$I28&lt;=D$2), 'ProductSprint Backlog'!$F28 / MAX(1, 'ProductSprint Backlog'!$J28-'ProductSprint Backlog'!$I28), AND('ProductSprint Backlog'!$J28=D$2,'ProductSprint Backlog'!$I28=D$2), 'ProductSprint Backlog'!$F28, TRUE, 0)</f>
        <v>0</v>
      </c>
      <c r="E28" s="4" cm="1">
        <f t="array" ref="E28">_xlfn.IFS('ProductSprint Backlog'!$F28="", "", AND('ProductSprint Backlog'!$J28&gt;E$2,'ProductSprint Backlog'!$I28&lt;=E$2), 'ProductSprint Backlog'!$F28 / MAX(1, 'ProductSprint Backlog'!$J28-'ProductSprint Backlog'!$I28), AND('ProductSprint Backlog'!$J28=E$2,'ProductSprint Backlog'!$I28=E$2), 'ProductSprint Backlog'!$F28, TRUE, 0)</f>
        <v>0</v>
      </c>
      <c r="F28" s="4" cm="1">
        <f t="array" ref="F28">_xlfn.IFS('ProductSprint Backlog'!$F28="", "", AND('ProductSprint Backlog'!$J28&gt;F$2,'ProductSprint Backlog'!$I28&lt;=F$2), 'ProductSprint Backlog'!$F28 / MAX(1, 'ProductSprint Backlog'!$J28-'ProductSprint Backlog'!$I28), AND('ProductSprint Backlog'!$J28=F$2,'ProductSprint Backlog'!$I28=F$2), 'ProductSprint Backlog'!$F28, TRUE, 0)</f>
        <v>0</v>
      </c>
      <c r="G28" s="4" cm="1">
        <f t="array" ref="G28">_xlfn.IFS('ProductSprint Backlog'!$F28="", "", AND('ProductSprint Backlog'!$J28&gt;G$2,'ProductSprint Backlog'!$I28&lt;=G$2), 'ProductSprint Backlog'!$F28 / MAX(1, 'ProductSprint Backlog'!$J28-'ProductSprint Backlog'!$I28), AND('ProductSprint Backlog'!$J28=G$2,'ProductSprint Backlog'!$I28=G$2), 'ProductSprint Backlog'!$F28, TRUE, 0)</f>
        <v>0</v>
      </c>
      <c r="H28" s="4" cm="1">
        <f t="array" ref="H28">_xlfn.IFS('ProductSprint Backlog'!$F28="", "", AND('ProductSprint Backlog'!$J28&gt;H$2,'ProductSprint Backlog'!$I28&lt;=H$2), 'ProductSprint Backlog'!$F28 / MAX(1, 'ProductSprint Backlog'!$J28-'ProductSprint Backlog'!$I28), AND('ProductSprint Backlog'!$J28=H$2,'ProductSprint Backlog'!$I28=H$2), 'ProductSprint Backlog'!$F28, TRUE, 0)</f>
        <v>0</v>
      </c>
      <c r="I28" s="4" cm="1">
        <f t="array" ref="I28">_xlfn.IFS('ProductSprint Backlog'!$F28="", "", AND('ProductSprint Backlog'!$J28&gt;I$2,'ProductSprint Backlog'!$I28&lt;=I$2), 'ProductSprint Backlog'!$F28 / MAX(1, 'ProductSprint Backlog'!$J28-'ProductSprint Backlog'!$I28), AND('ProductSprint Backlog'!$J28=I$2,'ProductSprint Backlog'!$I28=I$2), 'ProductSprint Backlog'!$F28, TRUE, 0)</f>
        <v>0.5</v>
      </c>
      <c r="J28" s="4" cm="1">
        <f t="array" ref="J28">_xlfn.IFS('ProductSprint Backlog'!$F28="", "", AND('ProductSprint Backlog'!$J28&gt;J$2,'ProductSprint Backlog'!$I28&lt;=J$2), 'ProductSprint Backlog'!$F28 / MAX(1, 'ProductSprint Backlog'!$J28-'ProductSprint Backlog'!$I28), AND('ProductSprint Backlog'!$J28=J$2,'ProductSprint Backlog'!$I28=J$2), 'ProductSprint Backlog'!$F28, TRUE, 0)</f>
        <v>0.5</v>
      </c>
      <c r="K28" s="4" cm="1">
        <f t="array" ref="K28">_xlfn.IFS('ProductSprint Backlog'!$F28="", "", AND('ProductSprint Backlog'!$J28&gt;K$2,'ProductSprint Backlog'!$I28&lt;=K$2), 'ProductSprint Backlog'!$F28 / MAX(1, 'ProductSprint Backlog'!$J28-'ProductSprint Backlog'!$I28), AND('ProductSprint Backlog'!$J28=K$2,'ProductSprint Backlog'!$I28=K$2), 'ProductSprint Backlog'!$F28, TRUE, 0)</f>
        <v>0</v>
      </c>
      <c r="L28" s="4" cm="1">
        <f t="array" ref="L28">_xlfn.IFS('ProductSprint Backlog'!$F28="", "", AND('ProductSprint Backlog'!$J28&gt;L$2,'ProductSprint Backlog'!$I28&lt;=L$2), 'ProductSprint Backlog'!$F28 / MAX(1, 'ProductSprint Backlog'!$J28-'ProductSprint Backlog'!$I28), AND('ProductSprint Backlog'!$J28=L$2,'ProductSprint Backlog'!$I28=L$2), 'ProductSprint Backlog'!$F28, TRUE, 0)</f>
        <v>0</v>
      </c>
      <c r="M28" s="4" cm="1">
        <f t="array" ref="M28">_xlfn.IFS('ProductSprint Backlog'!$F28="", "", AND('ProductSprint Backlog'!$J28&gt;M$2,'ProductSprint Backlog'!$I28&lt;=M$2), 'ProductSprint Backlog'!$F28 / MAX(1, 'ProductSprint Backlog'!$J28-'ProductSprint Backlog'!$I28), AND('ProductSprint Backlog'!$J28=M$2,'ProductSprint Backlog'!$I28=M$2), 'ProductSprint Backlog'!$F28, TRUE, 0)</f>
        <v>0</v>
      </c>
      <c r="N28" s="4" cm="1">
        <f t="array" ref="N28">_xlfn.IFS('ProductSprint Backlog'!$F28="", "", AND('ProductSprint Backlog'!$J28&gt;N$2,'ProductSprint Backlog'!$I28&lt;=N$2), 'ProductSprint Backlog'!$F28 / MAX(1, 'ProductSprint Backlog'!$J28-'ProductSprint Backlog'!$I28), AND('ProductSprint Backlog'!$J28=N$2,'ProductSprint Backlog'!$I28=N$2), 'ProductSprint Backlog'!$F28, TRUE, 0)</f>
        <v>0</v>
      </c>
      <c r="O28" s="4" cm="1">
        <f t="array" ref="O28">_xlfn.IFS('ProductSprint Backlog'!$F28="", "", AND('ProductSprint Backlog'!$J28&gt;O$2,'ProductSprint Backlog'!$I28&lt;=O$2), 'ProductSprint Backlog'!$F28 / MAX(1, 'ProductSprint Backlog'!$J28-'ProductSprint Backlog'!$I28), AND('ProductSprint Backlog'!$J28=O$2,'ProductSprint Backlog'!$I28=O$2), 'ProductSprint Backlog'!$F28, TRUE, 0)</f>
        <v>0</v>
      </c>
    </row>
    <row r="29" spans="2:15" x14ac:dyDescent="0.2">
      <c r="B29" s="4" cm="1">
        <f t="array" ref="B29">_xlfn.IFS('ProductSprint Backlog'!$F29="", "", AND('ProductSprint Backlog'!$J29&gt;B$2,'ProductSprint Backlog'!$I29&lt;=B$2), 'ProductSprint Backlog'!$F29 / MAX(1, 'ProductSprint Backlog'!$J29-'ProductSprint Backlog'!$I29), AND('ProductSprint Backlog'!$J29=B$2,'ProductSprint Backlog'!$I29=B$2), 'ProductSprint Backlog'!$F29, TRUE, 0)</f>
        <v>0</v>
      </c>
      <c r="C29" s="4" cm="1">
        <f t="array" ref="C29">_xlfn.IFS('ProductSprint Backlog'!$F29="", "", AND('ProductSprint Backlog'!$J29&gt;C$2,'ProductSprint Backlog'!$I29&lt;=C$2), 'ProductSprint Backlog'!$F29 / MAX(1, 'ProductSprint Backlog'!$J29-'ProductSprint Backlog'!$I29), AND('ProductSprint Backlog'!$J29=C$2,'ProductSprint Backlog'!$I29=C$2), 'ProductSprint Backlog'!$F29, TRUE, 0)</f>
        <v>0</v>
      </c>
      <c r="D29" s="4" cm="1">
        <f t="array" ref="D29">_xlfn.IFS('ProductSprint Backlog'!$F29="", "", AND('ProductSprint Backlog'!$J29&gt;D$2,'ProductSprint Backlog'!$I29&lt;=D$2), 'ProductSprint Backlog'!$F29 / MAX(1, 'ProductSprint Backlog'!$J29-'ProductSprint Backlog'!$I29), AND('ProductSprint Backlog'!$J29=D$2,'ProductSprint Backlog'!$I29=D$2), 'ProductSprint Backlog'!$F29, TRUE, 0)</f>
        <v>0</v>
      </c>
      <c r="E29" s="4" cm="1">
        <f t="array" ref="E29">_xlfn.IFS('ProductSprint Backlog'!$F29="", "", AND('ProductSprint Backlog'!$J29&gt;E$2,'ProductSprint Backlog'!$I29&lt;=E$2), 'ProductSprint Backlog'!$F29 / MAX(1, 'ProductSprint Backlog'!$J29-'ProductSprint Backlog'!$I29), AND('ProductSprint Backlog'!$J29=E$2,'ProductSprint Backlog'!$I29=E$2), 'ProductSprint Backlog'!$F29, TRUE, 0)</f>
        <v>0</v>
      </c>
      <c r="F29" s="4" cm="1">
        <f t="array" ref="F29">_xlfn.IFS('ProductSprint Backlog'!$F29="", "", AND('ProductSprint Backlog'!$J29&gt;F$2,'ProductSprint Backlog'!$I29&lt;=F$2), 'ProductSprint Backlog'!$F29 / MAX(1, 'ProductSprint Backlog'!$J29-'ProductSprint Backlog'!$I29), AND('ProductSprint Backlog'!$J29=F$2,'ProductSprint Backlog'!$I29=F$2), 'ProductSprint Backlog'!$F29, TRUE, 0)</f>
        <v>0</v>
      </c>
      <c r="G29" s="4" cm="1">
        <f t="array" ref="G29">_xlfn.IFS('ProductSprint Backlog'!$F29="", "", AND('ProductSprint Backlog'!$J29&gt;G$2,'ProductSprint Backlog'!$I29&lt;=G$2), 'ProductSprint Backlog'!$F29 / MAX(1, 'ProductSprint Backlog'!$J29-'ProductSprint Backlog'!$I29), AND('ProductSprint Backlog'!$J29=G$2,'ProductSprint Backlog'!$I29=G$2), 'ProductSprint Backlog'!$F29, TRUE, 0)</f>
        <v>0</v>
      </c>
      <c r="H29" s="4" cm="1">
        <f t="array" ref="H29">_xlfn.IFS('ProductSprint Backlog'!$F29="", "", AND('ProductSprint Backlog'!$J29&gt;H$2,'ProductSprint Backlog'!$I29&lt;=H$2), 'ProductSprint Backlog'!$F29 / MAX(1, 'ProductSprint Backlog'!$J29-'ProductSprint Backlog'!$I29), AND('ProductSprint Backlog'!$J29=H$2,'ProductSprint Backlog'!$I29=H$2), 'ProductSprint Backlog'!$F29, TRUE, 0)</f>
        <v>0</v>
      </c>
      <c r="I29" s="4" cm="1">
        <f t="array" ref="I29">_xlfn.IFS('ProductSprint Backlog'!$F29="", "", AND('ProductSprint Backlog'!$J29&gt;I$2,'ProductSprint Backlog'!$I29&lt;=I$2), 'ProductSprint Backlog'!$F29 / MAX(1, 'ProductSprint Backlog'!$J29-'ProductSprint Backlog'!$I29), AND('ProductSprint Backlog'!$J29=I$2,'ProductSprint Backlog'!$I29=I$2), 'ProductSprint Backlog'!$F29, TRUE, 0)</f>
        <v>0.5</v>
      </c>
      <c r="J29" s="4" cm="1">
        <f t="array" ref="J29">_xlfn.IFS('ProductSprint Backlog'!$F29="", "", AND('ProductSprint Backlog'!$J29&gt;J$2,'ProductSprint Backlog'!$I29&lt;=J$2), 'ProductSprint Backlog'!$F29 / MAX(1, 'ProductSprint Backlog'!$J29-'ProductSprint Backlog'!$I29), AND('ProductSprint Backlog'!$J29=J$2,'ProductSprint Backlog'!$I29=J$2), 'ProductSprint Backlog'!$F29, TRUE, 0)</f>
        <v>0.5</v>
      </c>
      <c r="K29" s="4" cm="1">
        <f t="array" ref="K29">_xlfn.IFS('ProductSprint Backlog'!$F29="", "", AND('ProductSprint Backlog'!$J29&gt;K$2,'ProductSprint Backlog'!$I29&lt;=K$2), 'ProductSprint Backlog'!$F29 / MAX(1, 'ProductSprint Backlog'!$J29-'ProductSprint Backlog'!$I29), AND('ProductSprint Backlog'!$J29=K$2,'ProductSprint Backlog'!$I29=K$2), 'ProductSprint Backlog'!$F29, TRUE, 0)</f>
        <v>0</v>
      </c>
      <c r="L29" s="4" cm="1">
        <f t="array" ref="L29">_xlfn.IFS('ProductSprint Backlog'!$F29="", "", AND('ProductSprint Backlog'!$J29&gt;L$2,'ProductSprint Backlog'!$I29&lt;=L$2), 'ProductSprint Backlog'!$F29 / MAX(1, 'ProductSprint Backlog'!$J29-'ProductSprint Backlog'!$I29), AND('ProductSprint Backlog'!$J29=L$2,'ProductSprint Backlog'!$I29=L$2), 'ProductSprint Backlog'!$F29, TRUE, 0)</f>
        <v>0</v>
      </c>
      <c r="M29" s="4" cm="1">
        <f t="array" ref="M29">_xlfn.IFS('ProductSprint Backlog'!$F29="", "", AND('ProductSprint Backlog'!$J29&gt;M$2,'ProductSprint Backlog'!$I29&lt;=M$2), 'ProductSprint Backlog'!$F29 / MAX(1, 'ProductSprint Backlog'!$J29-'ProductSprint Backlog'!$I29), AND('ProductSprint Backlog'!$J29=M$2,'ProductSprint Backlog'!$I29=M$2), 'ProductSprint Backlog'!$F29, TRUE, 0)</f>
        <v>0</v>
      </c>
      <c r="N29" s="4" cm="1">
        <f t="array" ref="N29">_xlfn.IFS('ProductSprint Backlog'!$F29="", "", AND('ProductSprint Backlog'!$J29&gt;N$2,'ProductSprint Backlog'!$I29&lt;=N$2), 'ProductSprint Backlog'!$F29 / MAX(1, 'ProductSprint Backlog'!$J29-'ProductSprint Backlog'!$I29), AND('ProductSprint Backlog'!$J29=N$2,'ProductSprint Backlog'!$I29=N$2), 'ProductSprint Backlog'!$F29, TRUE, 0)</f>
        <v>0</v>
      </c>
      <c r="O29" s="4" cm="1">
        <f t="array" ref="O29">_xlfn.IFS('ProductSprint Backlog'!$F29="", "", AND('ProductSprint Backlog'!$J29&gt;O$2,'ProductSprint Backlog'!$I29&lt;=O$2), 'ProductSprint Backlog'!$F29 / MAX(1, 'ProductSprint Backlog'!$J29-'ProductSprint Backlog'!$I29), AND('ProductSprint Backlog'!$J29=O$2,'ProductSprint Backlog'!$I29=O$2), 'ProductSprint Backlog'!$F29, TRUE, 0)</f>
        <v>0</v>
      </c>
    </row>
    <row r="30" spans="2:15" x14ac:dyDescent="0.2">
      <c r="B30" s="4" cm="1">
        <f t="array" ref="B30">_xlfn.IFS('ProductSprint Backlog'!$F30="", "", AND('ProductSprint Backlog'!$J30&gt;B$2,'ProductSprint Backlog'!$I30&lt;=B$2), 'ProductSprint Backlog'!$F30 / MAX(1, 'ProductSprint Backlog'!$J30-'ProductSprint Backlog'!$I30), AND('ProductSprint Backlog'!$J30=B$2,'ProductSprint Backlog'!$I30=B$2), 'ProductSprint Backlog'!$F30, TRUE, 0)</f>
        <v>0</v>
      </c>
      <c r="C30" s="4" cm="1">
        <f t="array" ref="C30">_xlfn.IFS('ProductSprint Backlog'!$F30="", "", AND('ProductSprint Backlog'!$J30&gt;C$2,'ProductSprint Backlog'!$I30&lt;=C$2), 'ProductSprint Backlog'!$F30 / MAX(1, 'ProductSprint Backlog'!$J30-'ProductSprint Backlog'!$I30), AND('ProductSprint Backlog'!$J30=C$2,'ProductSprint Backlog'!$I30=C$2), 'ProductSprint Backlog'!$F30, TRUE, 0)</f>
        <v>0</v>
      </c>
      <c r="D30" s="4" cm="1">
        <f t="array" ref="D30">_xlfn.IFS('ProductSprint Backlog'!$F30="", "", AND('ProductSprint Backlog'!$J30&gt;D$2,'ProductSprint Backlog'!$I30&lt;=D$2), 'ProductSprint Backlog'!$F30 / MAX(1, 'ProductSprint Backlog'!$J30-'ProductSprint Backlog'!$I30), AND('ProductSprint Backlog'!$J30=D$2,'ProductSprint Backlog'!$I30=D$2), 'ProductSprint Backlog'!$F30, TRUE, 0)</f>
        <v>0</v>
      </c>
      <c r="E30" s="4" cm="1">
        <f t="array" ref="E30">_xlfn.IFS('ProductSprint Backlog'!$F30="", "", AND('ProductSprint Backlog'!$J30&gt;E$2,'ProductSprint Backlog'!$I30&lt;=E$2), 'ProductSprint Backlog'!$F30 / MAX(1, 'ProductSprint Backlog'!$J30-'ProductSprint Backlog'!$I30), AND('ProductSprint Backlog'!$J30=E$2,'ProductSprint Backlog'!$I30=E$2), 'ProductSprint Backlog'!$F30, TRUE, 0)</f>
        <v>0</v>
      </c>
      <c r="F30" s="4" cm="1">
        <f t="array" ref="F30">_xlfn.IFS('ProductSprint Backlog'!$F30="", "", AND('ProductSprint Backlog'!$J30&gt;F$2,'ProductSprint Backlog'!$I30&lt;=F$2), 'ProductSprint Backlog'!$F30 / MAX(1, 'ProductSprint Backlog'!$J30-'ProductSprint Backlog'!$I30), AND('ProductSprint Backlog'!$J30=F$2,'ProductSprint Backlog'!$I30=F$2), 'ProductSprint Backlog'!$F30, TRUE, 0)</f>
        <v>0</v>
      </c>
      <c r="G30" s="4" cm="1">
        <f t="array" ref="G30">_xlfn.IFS('ProductSprint Backlog'!$F30="", "", AND('ProductSprint Backlog'!$J30&gt;G$2,'ProductSprint Backlog'!$I30&lt;=G$2), 'ProductSprint Backlog'!$F30 / MAX(1, 'ProductSprint Backlog'!$J30-'ProductSprint Backlog'!$I30), AND('ProductSprint Backlog'!$J30=G$2,'ProductSprint Backlog'!$I30=G$2), 'ProductSprint Backlog'!$F30, TRUE, 0)</f>
        <v>0</v>
      </c>
      <c r="H30" s="4" cm="1">
        <f t="array" ref="H30">_xlfn.IFS('ProductSprint Backlog'!$F30="", "", AND('ProductSprint Backlog'!$J30&gt;H$2,'ProductSprint Backlog'!$I30&lt;=H$2), 'ProductSprint Backlog'!$F30 / MAX(1, 'ProductSprint Backlog'!$J30-'ProductSprint Backlog'!$I30), AND('ProductSprint Backlog'!$J30=H$2,'ProductSprint Backlog'!$I30=H$2), 'ProductSprint Backlog'!$F30, TRUE, 0)</f>
        <v>0</v>
      </c>
      <c r="I30" s="4" cm="1">
        <f t="array" ref="I30">_xlfn.IFS('ProductSprint Backlog'!$F30="", "", AND('ProductSprint Backlog'!$J30&gt;I$2,'ProductSprint Backlog'!$I30&lt;=I$2), 'ProductSprint Backlog'!$F30 / MAX(1, 'ProductSprint Backlog'!$J30-'ProductSprint Backlog'!$I30), AND('ProductSprint Backlog'!$J30=I$2,'ProductSprint Backlog'!$I30=I$2), 'ProductSprint Backlog'!$F30, TRUE, 0)</f>
        <v>0</v>
      </c>
      <c r="J30" s="4" cm="1">
        <f t="array" ref="J30">_xlfn.IFS('ProductSprint Backlog'!$F30="", "", AND('ProductSprint Backlog'!$J30&gt;J$2,'ProductSprint Backlog'!$I30&lt;=J$2), 'ProductSprint Backlog'!$F30 / MAX(1, 'ProductSprint Backlog'!$J30-'ProductSprint Backlog'!$I30), AND('ProductSprint Backlog'!$J30=J$2,'ProductSprint Backlog'!$I30=J$2), 'ProductSprint Backlog'!$F30, TRUE, 0)</f>
        <v>1</v>
      </c>
      <c r="K30" s="4" cm="1">
        <f t="array" ref="K30">_xlfn.IFS('ProductSprint Backlog'!$F30="", "", AND('ProductSprint Backlog'!$J30&gt;K$2,'ProductSprint Backlog'!$I30&lt;=K$2), 'ProductSprint Backlog'!$F30 / MAX(1, 'ProductSprint Backlog'!$J30-'ProductSprint Backlog'!$I30), AND('ProductSprint Backlog'!$J30=K$2,'ProductSprint Backlog'!$I30=K$2), 'ProductSprint Backlog'!$F30, TRUE, 0)</f>
        <v>0</v>
      </c>
      <c r="L30" s="4" cm="1">
        <f t="array" ref="L30">_xlfn.IFS('ProductSprint Backlog'!$F30="", "", AND('ProductSprint Backlog'!$J30&gt;L$2,'ProductSprint Backlog'!$I30&lt;=L$2), 'ProductSprint Backlog'!$F30 / MAX(1, 'ProductSprint Backlog'!$J30-'ProductSprint Backlog'!$I30), AND('ProductSprint Backlog'!$J30=L$2,'ProductSprint Backlog'!$I30=L$2), 'ProductSprint Backlog'!$F30, TRUE, 0)</f>
        <v>0</v>
      </c>
      <c r="M30" s="4" cm="1">
        <f t="array" ref="M30">_xlfn.IFS('ProductSprint Backlog'!$F30="", "", AND('ProductSprint Backlog'!$J30&gt;M$2,'ProductSprint Backlog'!$I30&lt;=M$2), 'ProductSprint Backlog'!$F30 / MAX(1, 'ProductSprint Backlog'!$J30-'ProductSprint Backlog'!$I30), AND('ProductSprint Backlog'!$J30=M$2,'ProductSprint Backlog'!$I30=M$2), 'ProductSprint Backlog'!$F30, TRUE, 0)</f>
        <v>0</v>
      </c>
      <c r="N30" s="4" cm="1">
        <f t="array" ref="N30">_xlfn.IFS('ProductSprint Backlog'!$F30="", "", AND('ProductSprint Backlog'!$J30&gt;N$2,'ProductSprint Backlog'!$I30&lt;=N$2), 'ProductSprint Backlog'!$F30 / MAX(1, 'ProductSprint Backlog'!$J30-'ProductSprint Backlog'!$I30), AND('ProductSprint Backlog'!$J30=N$2,'ProductSprint Backlog'!$I30=N$2), 'ProductSprint Backlog'!$F30, TRUE, 0)</f>
        <v>0</v>
      </c>
      <c r="O30" s="4" cm="1">
        <f t="array" ref="O30">_xlfn.IFS('ProductSprint Backlog'!$F30="", "", AND('ProductSprint Backlog'!$J30&gt;O$2,'ProductSprint Backlog'!$I30&lt;=O$2), 'ProductSprint Backlog'!$F30 / MAX(1, 'ProductSprint Backlog'!$J30-'ProductSprint Backlog'!$I30), AND('ProductSprint Backlog'!$J30=O$2,'ProductSprint Backlog'!$I30=O$2), 'ProductSprint Backlog'!$F30, TRUE, 0)</f>
        <v>0</v>
      </c>
    </row>
    <row r="31" spans="2:15" x14ac:dyDescent="0.2">
      <c r="B31" s="4" t="str" cm="1">
        <f t="array" ref="B31">_xlfn.IFS('ProductSprint Backlog'!$F31="", "", AND('ProductSprint Backlog'!$J31&gt;B$2,'ProductSprint Backlog'!$I31&lt;=B$2), 'ProductSprint Backlog'!$F31 / MAX(1, 'ProductSprint Backlog'!$J31-'ProductSprint Backlog'!$I31), AND('ProductSprint Backlog'!$J31=B$2,'ProductSprint Backlog'!$I31=B$2), 'ProductSprint Backlog'!$F31, TRUE, 0)</f>
        <v/>
      </c>
      <c r="C31" s="4" t="str" cm="1">
        <f t="array" ref="C31">_xlfn.IFS('ProductSprint Backlog'!$F31="", "", AND('ProductSprint Backlog'!$J31&gt;C$2,'ProductSprint Backlog'!$I31&lt;=C$2), 'ProductSprint Backlog'!$F31 / MAX(1, 'ProductSprint Backlog'!$J31-'ProductSprint Backlog'!$I31), AND('ProductSprint Backlog'!$J31=C$2,'ProductSprint Backlog'!$I31=C$2), 'ProductSprint Backlog'!$F31, TRUE, 0)</f>
        <v/>
      </c>
      <c r="D31" s="4" t="str" cm="1">
        <f t="array" ref="D31">_xlfn.IFS('ProductSprint Backlog'!$F31="", "", AND('ProductSprint Backlog'!$J31&gt;D$2,'ProductSprint Backlog'!$I31&lt;=D$2), 'ProductSprint Backlog'!$F31 / MAX(1, 'ProductSprint Backlog'!$J31-'ProductSprint Backlog'!$I31), AND('ProductSprint Backlog'!$J31=D$2,'ProductSprint Backlog'!$I31=D$2), 'ProductSprint Backlog'!$F31, TRUE, 0)</f>
        <v/>
      </c>
      <c r="E31" s="4" t="str" cm="1">
        <f t="array" ref="E31">_xlfn.IFS('ProductSprint Backlog'!$F31="", "", AND('ProductSprint Backlog'!$J31&gt;E$2,'ProductSprint Backlog'!$I31&lt;=E$2), 'ProductSprint Backlog'!$F31 / MAX(1, 'ProductSprint Backlog'!$J31-'ProductSprint Backlog'!$I31), AND('ProductSprint Backlog'!$J31=E$2,'ProductSprint Backlog'!$I31=E$2), 'ProductSprint Backlog'!$F31, TRUE, 0)</f>
        <v/>
      </c>
      <c r="F31" s="4" t="str" cm="1">
        <f t="array" ref="F31">_xlfn.IFS('ProductSprint Backlog'!$F31="", "", AND('ProductSprint Backlog'!$J31&gt;F$2,'ProductSprint Backlog'!$I31&lt;=F$2), 'ProductSprint Backlog'!$F31 / MAX(1, 'ProductSprint Backlog'!$J31-'ProductSprint Backlog'!$I31), AND('ProductSprint Backlog'!$J31=F$2,'ProductSprint Backlog'!$I31=F$2), 'ProductSprint Backlog'!$F31, TRUE, 0)</f>
        <v/>
      </c>
      <c r="G31" s="4" t="str" cm="1">
        <f t="array" ref="G31">_xlfn.IFS('ProductSprint Backlog'!$F31="", "", AND('ProductSprint Backlog'!$J31&gt;G$2,'ProductSprint Backlog'!$I31&lt;=G$2), 'ProductSprint Backlog'!$F31 / MAX(1, 'ProductSprint Backlog'!$J31-'ProductSprint Backlog'!$I31), AND('ProductSprint Backlog'!$J31=G$2,'ProductSprint Backlog'!$I31=G$2), 'ProductSprint Backlog'!$F31, TRUE, 0)</f>
        <v/>
      </c>
      <c r="H31" s="4" t="str" cm="1">
        <f t="array" ref="H31">_xlfn.IFS('ProductSprint Backlog'!$F31="", "", AND('ProductSprint Backlog'!$J31&gt;H$2,'ProductSprint Backlog'!$I31&lt;=H$2), 'ProductSprint Backlog'!$F31 / MAX(1, 'ProductSprint Backlog'!$J31-'ProductSprint Backlog'!$I31), AND('ProductSprint Backlog'!$J31=H$2,'ProductSprint Backlog'!$I31=H$2), 'ProductSprint Backlog'!$F31, TRUE, 0)</f>
        <v/>
      </c>
      <c r="I31" s="4" t="str" cm="1">
        <f t="array" ref="I31">_xlfn.IFS('ProductSprint Backlog'!$F31="", "", AND('ProductSprint Backlog'!$J31&gt;I$2,'ProductSprint Backlog'!$I31&lt;=I$2), 'ProductSprint Backlog'!$F31 / MAX(1, 'ProductSprint Backlog'!$J31-'ProductSprint Backlog'!$I31), AND('ProductSprint Backlog'!$J31=I$2,'ProductSprint Backlog'!$I31=I$2), 'ProductSprint Backlog'!$F31, TRUE, 0)</f>
        <v/>
      </c>
      <c r="J31" s="4" t="str" cm="1">
        <f t="array" ref="J31">_xlfn.IFS('ProductSprint Backlog'!$F31="", "", AND('ProductSprint Backlog'!$J31&gt;J$2,'ProductSprint Backlog'!$I31&lt;=J$2), 'ProductSprint Backlog'!$F31 / MAX(1, 'ProductSprint Backlog'!$J31-'ProductSprint Backlog'!$I31), AND('ProductSprint Backlog'!$J31=J$2,'ProductSprint Backlog'!$I31=J$2), 'ProductSprint Backlog'!$F31, TRUE, 0)</f>
        <v/>
      </c>
      <c r="K31" s="4" t="str" cm="1">
        <f t="array" ref="K31">_xlfn.IFS('ProductSprint Backlog'!$F31="", "", AND('ProductSprint Backlog'!$J31&gt;K$2,'ProductSprint Backlog'!$I31&lt;=K$2), 'ProductSprint Backlog'!$F31 / MAX(1, 'ProductSprint Backlog'!$J31-'ProductSprint Backlog'!$I31), AND('ProductSprint Backlog'!$J31=K$2,'ProductSprint Backlog'!$I31=K$2), 'ProductSprint Backlog'!$F31, TRUE, 0)</f>
        <v/>
      </c>
      <c r="L31" s="4" t="str" cm="1">
        <f t="array" ref="L31">_xlfn.IFS('ProductSprint Backlog'!$F31="", "", AND('ProductSprint Backlog'!$J31&gt;L$2,'ProductSprint Backlog'!$I31&lt;=L$2), 'ProductSprint Backlog'!$F31 / MAX(1, 'ProductSprint Backlog'!$J31-'ProductSprint Backlog'!$I31), AND('ProductSprint Backlog'!$J31=L$2,'ProductSprint Backlog'!$I31=L$2), 'ProductSprint Backlog'!$F31, TRUE, 0)</f>
        <v/>
      </c>
      <c r="M31" s="4" t="str" cm="1">
        <f t="array" ref="M31">_xlfn.IFS('ProductSprint Backlog'!$F31="", "", AND('ProductSprint Backlog'!$J31&gt;M$2,'ProductSprint Backlog'!$I31&lt;=M$2), 'ProductSprint Backlog'!$F31 / MAX(1, 'ProductSprint Backlog'!$J31-'ProductSprint Backlog'!$I31), AND('ProductSprint Backlog'!$J31=M$2,'ProductSprint Backlog'!$I31=M$2), 'ProductSprint Backlog'!$F31, TRUE, 0)</f>
        <v/>
      </c>
      <c r="N31" s="4" t="str" cm="1">
        <f t="array" ref="N31">_xlfn.IFS('ProductSprint Backlog'!$F31="", "", AND('ProductSprint Backlog'!$J31&gt;N$2,'ProductSprint Backlog'!$I31&lt;=N$2), 'ProductSprint Backlog'!$F31 / MAX(1, 'ProductSprint Backlog'!$J31-'ProductSprint Backlog'!$I31), AND('ProductSprint Backlog'!$J31=N$2,'ProductSprint Backlog'!$I31=N$2), 'ProductSprint Backlog'!$F31, TRUE, 0)</f>
        <v/>
      </c>
      <c r="O31" s="4" t="str" cm="1">
        <f t="array" ref="O31">_xlfn.IFS('ProductSprint Backlog'!$F31="", "", AND('ProductSprint Backlog'!$J31&gt;O$2,'ProductSprint Backlog'!$I31&lt;=O$2), 'ProductSprint Backlog'!$F31 / MAX(1, 'ProductSprint Backlog'!$J31-'ProductSprint Backlog'!$I31), AND('ProductSprint Backlog'!$J31=O$2,'ProductSprint Backlog'!$I31=O$2), 'ProductSprint Backlog'!$F31, TRUE, 0)</f>
        <v/>
      </c>
    </row>
    <row r="32" spans="2:15" x14ac:dyDescent="0.2">
      <c r="B32" s="4" cm="1">
        <f t="array" ref="B32">_xlfn.IFS('ProductSprint Backlog'!$F32="", "", AND('ProductSprint Backlog'!$J32&gt;B$2,'ProductSprint Backlog'!$I32&lt;=B$2), 'ProductSprint Backlog'!$F32 / MAX(1, 'ProductSprint Backlog'!$J32-'ProductSprint Backlog'!$I32), AND('ProductSprint Backlog'!$J32=B$2,'ProductSprint Backlog'!$I32=B$2), 'ProductSprint Backlog'!$F32, TRUE, 0)</f>
        <v>0</v>
      </c>
      <c r="C32" s="4" cm="1">
        <f t="array" ref="C32">_xlfn.IFS('ProductSprint Backlog'!$F32="", "", AND('ProductSprint Backlog'!$J32&gt;C$2,'ProductSprint Backlog'!$I32&lt;=C$2), 'ProductSprint Backlog'!$F32 / MAX(1, 'ProductSprint Backlog'!$J32-'ProductSprint Backlog'!$I32), AND('ProductSprint Backlog'!$J32=C$2,'ProductSprint Backlog'!$I32=C$2), 'ProductSprint Backlog'!$F32, TRUE, 0)</f>
        <v>1</v>
      </c>
      <c r="D32" s="4" cm="1">
        <f t="array" ref="D32">_xlfn.IFS('ProductSprint Backlog'!$F32="", "", AND('ProductSprint Backlog'!$J32&gt;D$2,'ProductSprint Backlog'!$I32&lt;=D$2), 'ProductSprint Backlog'!$F32 / MAX(1, 'ProductSprint Backlog'!$J32-'ProductSprint Backlog'!$I32), AND('ProductSprint Backlog'!$J32=D$2,'ProductSprint Backlog'!$I32=D$2), 'ProductSprint Backlog'!$F32, TRUE, 0)</f>
        <v>1</v>
      </c>
      <c r="E32" s="4" cm="1">
        <f t="array" ref="E32">_xlfn.IFS('ProductSprint Backlog'!$F32="", "", AND('ProductSprint Backlog'!$J32&gt;E$2,'ProductSprint Backlog'!$I32&lt;=E$2), 'ProductSprint Backlog'!$F32 / MAX(1, 'ProductSprint Backlog'!$J32-'ProductSprint Backlog'!$I32), AND('ProductSprint Backlog'!$J32=E$2,'ProductSprint Backlog'!$I32=E$2), 'ProductSprint Backlog'!$F32, TRUE, 0)</f>
        <v>1</v>
      </c>
      <c r="F32" s="4" cm="1">
        <f t="array" ref="F32">_xlfn.IFS('ProductSprint Backlog'!$F32="", "", AND('ProductSprint Backlog'!$J32&gt;F$2,'ProductSprint Backlog'!$I32&lt;=F$2), 'ProductSprint Backlog'!$F32 / MAX(1, 'ProductSprint Backlog'!$J32-'ProductSprint Backlog'!$I32), AND('ProductSprint Backlog'!$J32=F$2,'ProductSprint Backlog'!$I32=F$2), 'ProductSprint Backlog'!$F32, TRUE, 0)</f>
        <v>0</v>
      </c>
      <c r="G32" s="4" cm="1">
        <f t="array" ref="G32">_xlfn.IFS('ProductSprint Backlog'!$F32="", "", AND('ProductSprint Backlog'!$J32&gt;G$2,'ProductSprint Backlog'!$I32&lt;=G$2), 'ProductSprint Backlog'!$F32 / MAX(1, 'ProductSprint Backlog'!$J32-'ProductSprint Backlog'!$I32), AND('ProductSprint Backlog'!$J32=G$2,'ProductSprint Backlog'!$I32=G$2), 'ProductSprint Backlog'!$F32, TRUE, 0)</f>
        <v>0</v>
      </c>
      <c r="H32" s="4" cm="1">
        <f t="array" ref="H32">_xlfn.IFS('ProductSprint Backlog'!$F32="", "", AND('ProductSprint Backlog'!$J32&gt;H$2,'ProductSprint Backlog'!$I32&lt;=H$2), 'ProductSprint Backlog'!$F32 / MAX(1, 'ProductSprint Backlog'!$J32-'ProductSprint Backlog'!$I32), AND('ProductSprint Backlog'!$J32=H$2,'ProductSprint Backlog'!$I32=H$2), 'ProductSprint Backlog'!$F32, TRUE, 0)</f>
        <v>0</v>
      </c>
      <c r="I32" s="4" cm="1">
        <f t="array" ref="I32">_xlfn.IFS('ProductSprint Backlog'!$F32="", "", AND('ProductSprint Backlog'!$J32&gt;I$2,'ProductSprint Backlog'!$I32&lt;=I$2), 'ProductSprint Backlog'!$F32 / MAX(1, 'ProductSprint Backlog'!$J32-'ProductSprint Backlog'!$I32), AND('ProductSprint Backlog'!$J32=I$2,'ProductSprint Backlog'!$I32=I$2), 'ProductSprint Backlog'!$F32, TRUE, 0)</f>
        <v>0</v>
      </c>
      <c r="J32" s="4" cm="1">
        <f t="array" ref="J32">_xlfn.IFS('ProductSprint Backlog'!$F32="", "", AND('ProductSprint Backlog'!$J32&gt;J$2,'ProductSprint Backlog'!$I32&lt;=J$2), 'ProductSprint Backlog'!$F32 / MAX(1, 'ProductSprint Backlog'!$J32-'ProductSprint Backlog'!$I32), AND('ProductSprint Backlog'!$J32=J$2,'ProductSprint Backlog'!$I32=J$2), 'ProductSprint Backlog'!$F32, TRUE, 0)</f>
        <v>0</v>
      </c>
      <c r="K32" s="4" cm="1">
        <f t="array" ref="K32">_xlfn.IFS('ProductSprint Backlog'!$F32="", "", AND('ProductSprint Backlog'!$J32&gt;K$2,'ProductSprint Backlog'!$I32&lt;=K$2), 'ProductSprint Backlog'!$F32 / MAX(1, 'ProductSprint Backlog'!$J32-'ProductSprint Backlog'!$I32), AND('ProductSprint Backlog'!$J32=K$2,'ProductSprint Backlog'!$I32=K$2), 'ProductSprint Backlog'!$F32, TRUE, 0)</f>
        <v>0</v>
      </c>
      <c r="L32" s="4" cm="1">
        <f t="array" ref="L32">_xlfn.IFS('ProductSprint Backlog'!$F32="", "", AND('ProductSprint Backlog'!$J32&gt;L$2,'ProductSprint Backlog'!$I32&lt;=L$2), 'ProductSprint Backlog'!$F32 / MAX(1, 'ProductSprint Backlog'!$J32-'ProductSprint Backlog'!$I32), AND('ProductSprint Backlog'!$J32=L$2,'ProductSprint Backlog'!$I32=L$2), 'ProductSprint Backlog'!$F32, TRUE, 0)</f>
        <v>0</v>
      </c>
      <c r="M32" s="4" cm="1">
        <f t="array" ref="M32">_xlfn.IFS('ProductSprint Backlog'!$F32="", "", AND('ProductSprint Backlog'!$J32&gt;M$2,'ProductSprint Backlog'!$I32&lt;=M$2), 'ProductSprint Backlog'!$F32 / MAX(1, 'ProductSprint Backlog'!$J32-'ProductSprint Backlog'!$I32), AND('ProductSprint Backlog'!$J32=M$2,'ProductSprint Backlog'!$I32=M$2), 'ProductSprint Backlog'!$F32, TRUE, 0)</f>
        <v>0</v>
      </c>
      <c r="N32" s="4" cm="1">
        <f t="array" ref="N32">_xlfn.IFS('ProductSprint Backlog'!$F32="", "", AND('ProductSprint Backlog'!$J32&gt;N$2,'ProductSprint Backlog'!$I32&lt;=N$2), 'ProductSprint Backlog'!$F32 / MAX(1, 'ProductSprint Backlog'!$J32-'ProductSprint Backlog'!$I32), AND('ProductSprint Backlog'!$J32=N$2,'ProductSprint Backlog'!$I32=N$2), 'ProductSprint Backlog'!$F32, TRUE, 0)</f>
        <v>0</v>
      </c>
      <c r="O32" s="4" cm="1">
        <f t="array" ref="O32">_xlfn.IFS('ProductSprint Backlog'!$F32="", "", AND('ProductSprint Backlog'!$J32&gt;O$2,'ProductSprint Backlog'!$I32&lt;=O$2), 'ProductSprint Backlog'!$F32 / MAX(1, 'ProductSprint Backlog'!$J32-'ProductSprint Backlog'!$I32), AND('ProductSprint Backlog'!$J32=O$2,'ProductSprint Backlog'!$I32=O$2), 'ProductSprint Backlog'!$F32, TRUE, 0)</f>
        <v>0</v>
      </c>
    </row>
    <row r="33" spans="2:15" x14ac:dyDescent="0.2">
      <c r="B33" s="4" cm="1">
        <f t="array" ref="B33">_xlfn.IFS('ProductSprint Backlog'!$F33="", "", AND('ProductSprint Backlog'!$J33&gt;B$2,'ProductSprint Backlog'!$I33&lt;=B$2), 'ProductSprint Backlog'!$F33 / MAX(1, 'ProductSprint Backlog'!$J33-'ProductSprint Backlog'!$I33), AND('ProductSprint Backlog'!$J33=B$2,'ProductSprint Backlog'!$I33=B$2), 'ProductSprint Backlog'!$F33, TRUE, 0)</f>
        <v>0</v>
      </c>
      <c r="C33" s="4" cm="1">
        <f t="array" ref="C33">_xlfn.IFS('ProductSprint Backlog'!$F33="", "", AND('ProductSprint Backlog'!$J33&gt;C$2,'ProductSprint Backlog'!$I33&lt;=C$2), 'ProductSprint Backlog'!$F33 / MAX(1, 'ProductSprint Backlog'!$J33-'ProductSprint Backlog'!$I33), AND('ProductSprint Backlog'!$J33=C$2,'ProductSprint Backlog'!$I33=C$2), 'ProductSprint Backlog'!$F33, TRUE, 0)</f>
        <v>0</v>
      </c>
      <c r="D33" s="4" cm="1">
        <f t="array" ref="D33">_xlfn.IFS('ProductSprint Backlog'!$F33="", "", AND('ProductSprint Backlog'!$J33&gt;D$2,'ProductSprint Backlog'!$I33&lt;=D$2), 'ProductSprint Backlog'!$F33 / MAX(1, 'ProductSprint Backlog'!$J33-'ProductSprint Backlog'!$I33), AND('ProductSprint Backlog'!$J33=D$2,'ProductSprint Backlog'!$I33=D$2), 'ProductSprint Backlog'!$F33, TRUE, 0)</f>
        <v>0</v>
      </c>
      <c r="E33" s="4" cm="1">
        <f t="array" ref="E33">_xlfn.IFS('ProductSprint Backlog'!$F33="", "", AND('ProductSprint Backlog'!$J33&gt;E$2,'ProductSprint Backlog'!$I33&lt;=E$2), 'ProductSprint Backlog'!$F33 / MAX(1, 'ProductSprint Backlog'!$J33-'ProductSprint Backlog'!$I33), AND('ProductSprint Backlog'!$J33=E$2,'ProductSprint Backlog'!$I33=E$2), 'ProductSprint Backlog'!$F33, TRUE, 0)</f>
        <v>1</v>
      </c>
      <c r="F33" s="4" cm="1">
        <f t="array" ref="F33">_xlfn.IFS('ProductSprint Backlog'!$F33="", "", AND('ProductSprint Backlog'!$J33&gt;F$2,'ProductSprint Backlog'!$I33&lt;=F$2), 'ProductSprint Backlog'!$F33 / MAX(1, 'ProductSprint Backlog'!$J33-'ProductSprint Backlog'!$I33), AND('ProductSprint Backlog'!$J33=F$2,'ProductSprint Backlog'!$I33=F$2), 'ProductSprint Backlog'!$F33, TRUE, 0)</f>
        <v>1</v>
      </c>
      <c r="G33" s="4" cm="1">
        <f t="array" ref="G33">_xlfn.IFS('ProductSprint Backlog'!$F33="", "", AND('ProductSprint Backlog'!$J33&gt;G$2,'ProductSprint Backlog'!$I33&lt;=G$2), 'ProductSprint Backlog'!$F33 / MAX(1, 'ProductSprint Backlog'!$J33-'ProductSprint Backlog'!$I33), AND('ProductSprint Backlog'!$J33=G$2,'ProductSprint Backlog'!$I33=G$2), 'ProductSprint Backlog'!$F33, TRUE, 0)</f>
        <v>0</v>
      </c>
      <c r="H33" s="4" cm="1">
        <f t="array" ref="H33">_xlfn.IFS('ProductSprint Backlog'!$F33="", "", AND('ProductSprint Backlog'!$J33&gt;H$2,'ProductSprint Backlog'!$I33&lt;=H$2), 'ProductSprint Backlog'!$F33 / MAX(1, 'ProductSprint Backlog'!$J33-'ProductSprint Backlog'!$I33), AND('ProductSprint Backlog'!$J33=H$2,'ProductSprint Backlog'!$I33=H$2), 'ProductSprint Backlog'!$F33, TRUE, 0)</f>
        <v>0</v>
      </c>
      <c r="I33" s="4" cm="1">
        <f t="array" ref="I33">_xlfn.IFS('ProductSprint Backlog'!$F33="", "", AND('ProductSprint Backlog'!$J33&gt;I$2,'ProductSprint Backlog'!$I33&lt;=I$2), 'ProductSprint Backlog'!$F33 / MAX(1, 'ProductSprint Backlog'!$J33-'ProductSprint Backlog'!$I33), AND('ProductSprint Backlog'!$J33=I$2,'ProductSprint Backlog'!$I33=I$2), 'ProductSprint Backlog'!$F33, TRUE, 0)</f>
        <v>0</v>
      </c>
      <c r="J33" s="4" cm="1">
        <f t="array" ref="J33">_xlfn.IFS('ProductSprint Backlog'!$F33="", "", AND('ProductSprint Backlog'!$J33&gt;J$2,'ProductSprint Backlog'!$I33&lt;=J$2), 'ProductSprint Backlog'!$F33 / MAX(1, 'ProductSprint Backlog'!$J33-'ProductSprint Backlog'!$I33), AND('ProductSprint Backlog'!$J33=J$2,'ProductSprint Backlog'!$I33=J$2), 'ProductSprint Backlog'!$F33, TRUE, 0)</f>
        <v>0</v>
      </c>
      <c r="K33" s="4" cm="1">
        <f t="array" ref="K33">_xlfn.IFS('ProductSprint Backlog'!$F33="", "", AND('ProductSprint Backlog'!$J33&gt;K$2,'ProductSprint Backlog'!$I33&lt;=K$2), 'ProductSprint Backlog'!$F33 / MAX(1, 'ProductSprint Backlog'!$J33-'ProductSprint Backlog'!$I33), AND('ProductSprint Backlog'!$J33=K$2,'ProductSprint Backlog'!$I33=K$2), 'ProductSprint Backlog'!$F33, TRUE, 0)</f>
        <v>0</v>
      </c>
      <c r="L33" s="4" cm="1">
        <f t="array" ref="L33">_xlfn.IFS('ProductSprint Backlog'!$F33="", "", AND('ProductSprint Backlog'!$J33&gt;L$2,'ProductSprint Backlog'!$I33&lt;=L$2), 'ProductSprint Backlog'!$F33 / MAX(1, 'ProductSprint Backlog'!$J33-'ProductSprint Backlog'!$I33), AND('ProductSprint Backlog'!$J33=L$2,'ProductSprint Backlog'!$I33=L$2), 'ProductSprint Backlog'!$F33, TRUE, 0)</f>
        <v>0</v>
      </c>
      <c r="M33" s="4" cm="1">
        <f t="array" ref="M33">_xlfn.IFS('ProductSprint Backlog'!$F33="", "", AND('ProductSprint Backlog'!$J33&gt;M$2,'ProductSprint Backlog'!$I33&lt;=M$2), 'ProductSprint Backlog'!$F33 / MAX(1, 'ProductSprint Backlog'!$J33-'ProductSprint Backlog'!$I33), AND('ProductSprint Backlog'!$J33=M$2,'ProductSprint Backlog'!$I33=M$2), 'ProductSprint Backlog'!$F33, TRUE, 0)</f>
        <v>0</v>
      </c>
      <c r="N33" s="4" cm="1">
        <f t="array" ref="N33">_xlfn.IFS('ProductSprint Backlog'!$F33="", "", AND('ProductSprint Backlog'!$J33&gt;N$2,'ProductSprint Backlog'!$I33&lt;=N$2), 'ProductSprint Backlog'!$F33 / MAX(1, 'ProductSprint Backlog'!$J33-'ProductSprint Backlog'!$I33), AND('ProductSprint Backlog'!$J33=N$2,'ProductSprint Backlog'!$I33=N$2), 'ProductSprint Backlog'!$F33, TRUE, 0)</f>
        <v>0</v>
      </c>
      <c r="O33" s="4" cm="1">
        <f t="array" ref="O33">_xlfn.IFS('ProductSprint Backlog'!$F33="", "", AND('ProductSprint Backlog'!$J33&gt;O$2,'ProductSprint Backlog'!$I33&lt;=O$2), 'ProductSprint Backlog'!$F33 / MAX(1, 'ProductSprint Backlog'!$J33-'ProductSprint Backlog'!$I33), AND('ProductSprint Backlog'!$J33=O$2,'ProductSprint Backlog'!$I33=O$2), 'ProductSprint Backlog'!$F33, TRUE, 0)</f>
        <v>0</v>
      </c>
    </row>
    <row r="34" spans="2:15" x14ac:dyDescent="0.2">
      <c r="B34" s="4" cm="1">
        <f t="array" ref="B34">_xlfn.IFS('ProductSprint Backlog'!$F34="", "", AND('ProductSprint Backlog'!$J34&gt;B$2,'ProductSprint Backlog'!$I34&lt;=B$2), 'ProductSprint Backlog'!$F34 / MAX(1, 'ProductSprint Backlog'!$J34-'ProductSprint Backlog'!$I34), AND('ProductSprint Backlog'!$J34=B$2,'ProductSprint Backlog'!$I34=B$2), 'ProductSprint Backlog'!$F34, TRUE, 0)</f>
        <v>0</v>
      </c>
      <c r="C34" s="4" cm="1">
        <f t="array" ref="C34">_xlfn.IFS('ProductSprint Backlog'!$F34="", "", AND('ProductSprint Backlog'!$J34&gt;C$2,'ProductSprint Backlog'!$I34&lt;=C$2), 'ProductSprint Backlog'!$F34 / MAX(1, 'ProductSprint Backlog'!$J34-'ProductSprint Backlog'!$I34), AND('ProductSprint Backlog'!$J34=C$2,'ProductSprint Backlog'!$I34=C$2), 'ProductSprint Backlog'!$F34, TRUE, 0)</f>
        <v>0</v>
      </c>
      <c r="D34" s="4" cm="1">
        <f t="array" ref="D34">_xlfn.IFS('ProductSprint Backlog'!$F34="", "", AND('ProductSprint Backlog'!$J34&gt;D$2,'ProductSprint Backlog'!$I34&lt;=D$2), 'ProductSprint Backlog'!$F34 / MAX(1, 'ProductSprint Backlog'!$J34-'ProductSprint Backlog'!$I34), AND('ProductSprint Backlog'!$J34=D$2,'ProductSprint Backlog'!$I34=D$2), 'ProductSprint Backlog'!$F34, TRUE, 0)</f>
        <v>0</v>
      </c>
      <c r="E34" s="4" cm="1">
        <f t="array" ref="E34">_xlfn.IFS('ProductSprint Backlog'!$F34="", "", AND('ProductSprint Backlog'!$J34&gt;E$2,'ProductSprint Backlog'!$I34&lt;=E$2), 'ProductSprint Backlog'!$F34 / MAX(1, 'ProductSprint Backlog'!$J34-'ProductSprint Backlog'!$I34), AND('ProductSprint Backlog'!$J34=E$2,'ProductSprint Backlog'!$I34=E$2), 'ProductSprint Backlog'!$F34, TRUE, 0)</f>
        <v>0</v>
      </c>
      <c r="F34" s="4" cm="1">
        <f t="array" ref="F34">_xlfn.IFS('ProductSprint Backlog'!$F34="", "", AND('ProductSprint Backlog'!$J34&gt;F$2,'ProductSprint Backlog'!$I34&lt;=F$2), 'ProductSprint Backlog'!$F34 / MAX(1, 'ProductSprint Backlog'!$J34-'ProductSprint Backlog'!$I34), AND('ProductSprint Backlog'!$J34=F$2,'ProductSprint Backlog'!$I34=F$2), 'ProductSprint Backlog'!$F34, TRUE, 0)</f>
        <v>2</v>
      </c>
      <c r="G34" s="4" cm="1">
        <f t="array" ref="G34">_xlfn.IFS('ProductSprint Backlog'!$F34="", "", AND('ProductSprint Backlog'!$J34&gt;G$2,'ProductSprint Backlog'!$I34&lt;=G$2), 'ProductSprint Backlog'!$F34 / MAX(1, 'ProductSprint Backlog'!$J34-'ProductSprint Backlog'!$I34), AND('ProductSprint Backlog'!$J34=G$2,'ProductSprint Backlog'!$I34=G$2), 'ProductSprint Backlog'!$F34, TRUE, 0)</f>
        <v>0</v>
      </c>
      <c r="H34" s="4" cm="1">
        <f t="array" ref="H34">_xlfn.IFS('ProductSprint Backlog'!$F34="", "", AND('ProductSprint Backlog'!$J34&gt;H$2,'ProductSprint Backlog'!$I34&lt;=H$2), 'ProductSprint Backlog'!$F34 / MAX(1, 'ProductSprint Backlog'!$J34-'ProductSprint Backlog'!$I34), AND('ProductSprint Backlog'!$J34=H$2,'ProductSprint Backlog'!$I34=H$2), 'ProductSprint Backlog'!$F34, TRUE, 0)</f>
        <v>0</v>
      </c>
      <c r="I34" s="4" cm="1">
        <f t="array" ref="I34">_xlfn.IFS('ProductSprint Backlog'!$F34="", "", AND('ProductSprint Backlog'!$J34&gt;I$2,'ProductSprint Backlog'!$I34&lt;=I$2), 'ProductSprint Backlog'!$F34 / MAX(1, 'ProductSprint Backlog'!$J34-'ProductSprint Backlog'!$I34), AND('ProductSprint Backlog'!$J34=I$2,'ProductSprint Backlog'!$I34=I$2), 'ProductSprint Backlog'!$F34, TRUE, 0)</f>
        <v>0</v>
      </c>
      <c r="J34" s="4" cm="1">
        <f t="array" ref="J34">_xlfn.IFS('ProductSprint Backlog'!$F34="", "", AND('ProductSprint Backlog'!$J34&gt;J$2,'ProductSprint Backlog'!$I34&lt;=J$2), 'ProductSprint Backlog'!$F34 / MAX(1, 'ProductSprint Backlog'!$J34-'ProductSprint Backlog'!$I34), AND('ProductSprint Backlog'!$J34=J$2,'ProductSprint Backlog'!$I34=J$2), 'ProductSprint Backlog'!$F34, TRUE, 0)</f>
        <v>0</v>
      </c>
      <c r="K34" s="4" cm="1">
        <f t="array" ref="K34">_xlfn.IFS('ProductSprint Backlog'!$F34="", "", AND('ProductSprint Backlog'!$J34&gt;K$2,'ProductSprint Backlog'!$I34&lt;=K$2), 'ProductSprint Backlog'!$F34 / MAX(1, 'ProductSprint Backlog'!$J34-'ProductSprint Backlog'!$I34), AND('ProductSprint Backlog'!$J34=K$2,'ProductSprint Backlog'!$I34=K$2), 'ProductSprint Backlog'!$F34, TRUE, 0)</f>
        <v>0</v>
      </c>
      <c r="L34" s="4" cm="1">
        <f t="array" ref="L34">_xlfn.IFS('ProductSprint Backlog'!$F34="", "", AND('ProductSprint Backlog'!$J34&gt;L$2,'ProductSprint Backlog'!$I34&lt;=L$2), 'ProductSprint Backlog'!$F34 / MAX(1, 'ProductSprint Backlog'!$J34-'ProductSprint Backlog'!$I34), AND('ProductSprint Backlog'!$J34=L$2,'ProductSprint Backlog'!$I34=L$2), 'ProductSprint Backlog'!$F34, TRUE, 0)</f>
        <v>0</v>
      </c>
      <c r="M34" s="4" cm="1">
        <f t="array" ref="M34">_xlfn.IFS('ProductSprint Backlog'!$F34="", "", AND('ProductSprint Backlog'!$J34&gt;M$2,'ProductSprint Backlog'!$I34&lt;=M$2), 'ProductSprint Backlog'!$F34 / MAX(1, 'ProductSprint Backlog'!$J34-'ProductSprint Backlog'!$I34), AND('ProductSprint Backlog'!$J34=M$2,'ProductSprint Backlog'!$I34=M$2), 'ProductSprint Backlog'!$F34, TRUE, 0)</f>
        <v>0</v>
      </c>
      <c r="N34" s="4" cm="1">
        <f t="array" ref="N34">_xlfn.IFS('ProductSprint Backlog'!$F34="", "", AND('ProductSprint Backlog'!$J34&gt;N$2,'ProductSprint Backlog'!$I34&lt;=N$2), 'ProductSprint Backlog'!$F34 / MAX(1, 'ProductSprint Backlog'!$J34-'ProductSprint Backlog'!$I34), AND('ProductSprint Backlog'!$J34=N$2,'ProductSprint Backlog'!$I34=N$2), 'ProductSprint Backlog'!$F34, TRUE, 0)</f>
        <v>0</v>
      </c>
      <c r="O34" s="4" cm="1">
        <f t="array" ref="O34">_xlfn.IFS('ProductSprint Backlog'!$F34="", "", AND('ProductSprint Backlog'!$J34&gt;O$2,'ProductSprint Backlog'!$I34&lt;=O$2), 'ProductSprint Backlog'!$F34 / MAX(1, 'ProductSprint Backlog'!$J34-'ProductSprint Backlog'!$I34), AND('ProductSprint Backlog'!$J34=O$2,'ProductSprint Backlog'!$I34=O$2), 'ProductSprint Backlog'!$F34, TRUE, 0)</f>
        <v>0</v>
      </c>
    </row>
    <row r="35" spans="2:15" x14ac:dyDescent="0.2">
      <c r="B35" s="4" cm="1">
        <f t="array" ref="B35">_xlfn.IFS('ProductSprint Backlog'!$F35="", "", AND('ProductSprint Backlog'!$J35&gt;B$2,'ProductSprint Backlog'!$I35&lt;=B$2), 'ProductSprint Backlog'!$F35 / MAX(1, 'ProductSprint Backlog'!$J35-'ProductSprint Backlog'!$I35), AND('ProductSprint Backlog'!$J35=B$2,'ProductSprint Backlog'!$I35=B$2), 'ProductSprint Backlog'!$F35, TRUE, 0)</f>
        <v>0</v>
      </c>
      <c r="C35" s="4" cm="1">
        <f t="array" ref="C35">_xlfn.IFS('ProductSprint Backlog'!$F35="", "", AND('ProductSprint Backlog'!$J35&gt;C$2,'ProductSprint Backlog'!$I35&lt;=C$2), 'ProductSprint Backlog'!$F35 / MAX(1, 'ProductSprint Backlog'!$J35-'ProductSprint Backlog'!$I35), AND('ProductSprint Backlog'!$J35=C$2,'ProductSprint Backlog'!$I35=C$2), 'ProductSprint Backlog'!$F35, TRUE, 0)</f>
        <v>0</v>
      </c>
      <c r="D35" s="4" cm="1">
        <f t="array" ref="D35">_xlfn.IFS('ProductSprint Backlog'!$F35="", "", AND('ProductSprint Backlog'!$J35&gt;D$2,'ProductSprint Backlog'!$I35&lt;=D$2), 'ProductSprint Backlog'!$F35 / MAX(1, 'ProductSprint Backlog'!$J35-'ProductSprint Backlog'!$I35), AND('ProductSprint Backlog'!$J35=D$2,'ProductSprint Backlog'!$I35=D$2), 'ProductSprint Backlog'!$F35, TRUE, 0)</f>
        <v>0</v>
      </c>
      <c r="E35" s="4" cm="1">
        <f t="array" ref="E35">_xlfn.IFS('ProductSprint Backlog'!$F35="", "", AND('ProductSprint Backlog'!$J35&gt;E$2,'ProductSprint Backlog'!$I35&lt;=E$2), 'ProductSprint Backlog'!$F35 / MAX(1, 'ProductSprint Backlog'!$J35-'ProductSprint Backlog'!$I35), AND('ProductSprint Backlog'!$J35=E$2,'ProductSprint Backlog'!$I35=E$2), 'ProductSprint Backlog'!$F35, TRUE, 0)</f>
        <v>0</v>
      </c>
      <c r="F35" s="4" cm="1">
        <f t="array" ref="F35">_xlfn.IFS('ProductSprint Backlog'!$F35="", "", AND('ProductSprint Backlog'!$J35&gt;F$2,'ProductSprint Backlog'!$I35&lt;=F$2), 'ProductSprint Backlog'!$F35 / MAX(1, 'ProductSprint Backlog'!$J35-'ProductSprint Backlog'!$I35), AND('ProductSprint Backlog'!$J35=F$2,'ProductSprint Backlog'!$I35=F$2), 'ProductSprint Backlog'!$F35, TRUE, 0)</f>
        <v>2</v>
      </c>
      <c r="G35" s="4" cm="1">
        <f t="array" ref="G35">_xlfn.IFS('ProductSprint Backlog'!$F35="", "", AND('ProductSprint Backlog'!$J35&gt;G$2,'ProductSprint Backlog'!$I35&lt;=G$2), 'ProductSprint Backlog'!$F35 / MAX(1, 'ProductSprint Backlog'!$J35-'ProductSprint Backlog'!$I35), AND('ProductSprint Backlog'!$J35=G$2,'ProductSprint Backlog'!$I35=G$2), 'ProductSprint Backlog'!$F35, TRUE, 0)</f>
        <v>0</v>
      </c>
      <c r="H35" s="4" cm="1">
        <f t="array" ref="H35">_xlfn.IFS('ProductSprint Backlog'!$F35="", "", AND('ProductSprint Backlog'!$J35&gt;H$2,'ProductSprint Backlog'!$I35&lt;=H$2), 'ProductSprint Backlog'!$F35 / MAX(1, 'ProductSprint Backlog'!$J35-'ProductSprint Backlog'!$I35), AND('ProductSprint Backlog'!$J35=H$2,'ProductSprint Backlog'!$I35=H$2), 'ProductSprint Backlog'!$F35, TRUE, 0)</f>
        <v>0</v>
      </c>
      <c r="I35" s="4" cm="1">
        <f t="array" ref="I35">_xlfn.IFS('ProductSprint Backlog'!$F35="", "", AND('ProductSprint Backlog'!$J35&gt;I$2,'ProductSprint Backlog'!$I35&lt;=I$2), 'ProductSprint Backlog'!$F35 / MAX(1, 'ProductSprint Backlog'!$J35-'ProductSprint Backlog'!$I35), AND('ProductSprint Backlog'!$J35=I$2,'ProductSprint Backlog'!$I35=I$2), 'ProductSprint Backlog'!$F35, TRUE, 0)</f>
        <v>0</v>
      </c>
      <c r="J35" s="4" cm="1">
        <f t="array" ref="J35">_xlfn.IFS('ProductSprint Backlog'!$F35="", "", AND('ProductSprint Backlog'!$J35&gt;J$2,'ProductSprint Backlog'!$I35&lt;=J$2), 'ProductSprint Backlog'!$F35 / MAX(1, 'ProductSprint Backlog'!$J35-'ProductSprint Backlog'!$I35), AND('ProductSprint Backlog'!$J35=J$2,'ProductSprint Backlog'!$I35=J$2), 'ProductSprint Backlog'!$F35, TRUE, 0)</f>
        <v>0</v>
      </c>
      <c r="K35" s="4" cm="1">
        <f t="array" ref="K35">_xlfn.IFS('ProductSprint Backlog'!$F35="", "", AND('ProductSprint Backlog'!$J35&gt;K$2,'ProductSprint Backlog'!$I35&lt;=K$2), 'ProductSprint Backlog'!$F35 / MAX(1, 'ProductSprint Backlog'!$J35-'ProductSprint Backlog'!$I35), AND('ProductSprint Backlog'!$J35=K$2,'ProductSprint Backlog'!$I35=K$2), 'ProductSprint Backlog'!$F35, TRUE, 0)</f>
        <v>0</v>
      </c>
      <c r="L35" s="4" cm="1">
        <f t="array" ref="L35">_xlfn.IFS('ProductSprint Backlog'!$F35="", "", AND('ProductSprint Backlog'!$J35&gt;L$2,'ProductSprint Backlog'!$I35&lt;=L$2), 'ProductSprint Backlog'!$F35 / MAX(1, 'ProductSprint Backlog'!$J35-'ProductSprint Backlog'!$I35), AND('ProductSprint Backlog'!$J35=L$2,'ProductSprint Backlog'!$I35=L$2), 'ProductSprint Backlog'!$F35, TRUE, 0)</f>
        <v>0</v>
      </c>
      <c r="M35" s="4" cm="1">
        <f t="array" ref="M35">_xlfn.IFS('ProductSprint Backlog'!$F35="", "", AND('ProductSprint Backlog'!$J35&gt;M$2,'ProductSprint Backlog'!$I35&lt;=M$2), 'ProductSprint Backlog'!$F35 / MAX(1, 'ProductSprint Backlog'!$J35-'ProductSprint Backlog'!$I35), AND('ProductSprint Backlog'!$J35=M$2,'ProductSprint Backlog'!$I35=M$2), 'ProductSprint Backlog'!$F35, TRUE, 0)</f>
        <v>0</v>
      </c>
      <c r="N35" s="4" cm="1">
        <f t="array" ref="N35">_xlfn.IFS('ProductSprint Backlog'!$F35="", "", AND('ProductSprint Backlog'!$J35&gt;N$2,'ProductSprint Backlog'!$I35&lt;=N$2), 'ProductSprint Backlog'!$F35 / MAX(1, 'ProductSprint Backlog'!$J35-'ProductSprint Backlog'!$I35), AND('ProductSprint Backlog'!$J35=N$2,'ProductSprint Backlog'!$I35=N$2), 'ProductSprint Backlog'!$F35, TRUE, 0)</f>
        <v>0</v>
      </c>
      <c r="O35" s="4" cm="1">
        <f t="array" ref="O35">_xlfn.IFS('ProductSprint Backlog'!$F35="", "", AND('ProductSprint Backlog'!$J35&gt;O$2,'ProductSprint Backlog'!$I35&lt;=O$2), 'ProductSprint Backlog'!$F35 / MAX(1, 'ProductSprint Backlog'!$J35-'ProductSprint Backlog'!$I35), AND('ProductSprint Backlog'!$J35=O$2,'ProductSprint Backlog'!$I35=O$2), 'ProductSprint Backlog'!$F35, TRUE, 0)</f>
        <v>0</v>
      </c>
    </row>
    <row r="36" spans="2:15" x14ac:dyDescent="0.2">
      <c r="B36" s="4" t="str" cm="1">
        <f t="array" ref="B36">_xlfn.IFS('ProductSprint Backlog'!$F36="", "", AND('ProductSprint Backlog'!$J36&gt;B$2,'ProductSprint Backlog'!$I36&lt;=B$2), 'ProductSprint Backlog'!$F36 / MAX(1, 'ProductSprint Backlog'!$J36-'ProductSprint Backlog'!$I36), AND('ProductSprint Backlog'!$J36=B$2,'ProductSprint Backlog'!$I36=B$2), 'ProductSprint Backlog'!$F36, TRUE, 0)</f>
        <v/>
      </c>
      <c r="C36" s="4" t="str" cm="1">
        <f t="array" ref="C36">_xlfn.IFS('ProductSprint Backlog'!$F36="", "", AND('ProductSprint Backlog'!$J36&gt;C$2,'ProductSprint Backlog'!$I36&lt;=C$2), 'ProductSprint Backlog'!$F36 / MAX(1, 'ProductSprint Backlog'!$J36-'ProductSprint Backlog'!$I36), AND('ProductSprint Backlog'!$J36=C$2,'ProductSprint Backlog'!$I36=C$2), 'ProductSprint Backlog'!$F36, TRUE, 0)</f>
        <v/>
      </c>
      <c r="D36" s="4" t="str" cm="1">
        <f t="array" ref="D36">_xlfn.IFS('ProductSprint Backlog'!$F36="", "", AND('ProductSprint Backlog'!$J36&gt;D$2,'ProductSprint Backlog'!$I36&lt;=D$2), 'ProductSprint Backlog'!$F36 / MAX(1, 'ProductSprint Backlog'!$J36-'ProductSprint Backlog'!$I36), AND('ProductSprint Backlog'!$J36=D$2,'ProductSprint Backlog'!$I36=D$2), 'ProductSprint Backlog'!$F36, TRUE, 0)</f>
        <v/>
      </c>
      <c r="E36" s="4" t="str" cm="1">
        <f t="array" ref="E36">_xlfn.IFS('ProductSprint Backlog'!$F36="", "", AND('ProductSprint Backlog'!$J36&gt;E$2,'ProductSprint Backlog'!$I36&lt;=E$2), 'ProductSprint Backlog'!$F36 / MAX(1, 'ProductSprint Backlog'!$J36-'ProductSprint Backlog'!$I36), AND('ProductSprint Backlog'!$J36=E$2,'ProductSprint Backlog'!$I36=E$2), 'ProductSprint Backlog'!$F36, TRUE, 0)</f>
        <v/>
      </c>
      <c r="F36" s="4" t="str" cm="1">
        <f t="array" ref="F36">_xlfn.IFS('ProductSprint Backlog'!$F36="", "", AND('ProductSprint Backlog'!$J36&gt;F$2,'ProductSprint Backlog'!$I36&lt;=F$2), 'ProductSprint Backlog'!$F36 / MAX(1, 'ProductSprint Backlog'!$J36-'ProductSprint Backlog'!$I36), AND('ProductSprint Backlog'!$J36=F$2,'ProductSprint Backlog'!$I36=F$2), 'ProductSprint Backlog'!$F36, TRUE, 0)</f>
        <v/>
      </c>
      <c r="G36" s="4" t="str" cm="1">
        <f t="array" ref="G36">_xlfn.IFS('ProductSprint Backlog'!$F36="", "", AND('ProductSprint Backlog'!$J36&gt;G$2,'ProductSprint Backlog'!$I36&lt;=G$2), 'ProductSprint Backlog'!$F36 / MAX(1, 'ProductSprint Backlog'!$J36-'ProductSprint Backlog'!$I36), AND('ProductSprint Backlog'!$J36=G$2,'ProductSprint Backlog'!$I36=G$2), 'ProductSprint Backlog'!$F36, TRUE, 0)</f>
        <v/>
      </c>
      <c r="H36" s="4" t="str" cm="1">
        <f t="array" ref="H36">_xlfn.IFS('ProductSprint Backlog'!$F36="", "", AND('ProductSprint Backlog'!$J36&gt;H$2,'ProductSprint Backlog'!$I36&lt;=H$2), 'ProductSprint Backlog'!$F36 / MAX(1, 'ProductSprint Backlog'!$J36-'ProductSprint Backlog'!$I36), AND('ProductSprint Backlog'!$J36=H$2,'ProductSprint Backlog'!$I36=H$2), 'ProductSprint Backlog'!$F36, TRUE, 0)</f>
        <v/>
      </c>
      <c r="I36" s="4" t="str" cm="1">
        <f t="array" ref="I36">_xlfn.IFS('ProductSprint Backlog'!$F36="", "", AND('ProductSprint Backlog'!$J36&gt;I$2,'ProductSprint Backlog'!$I36&lt;=I$2), 'ProductSprint Backlog'!$F36 / MAX(1, 'ProductSprint Backlog'!$J36-'ProductSprint Backlog'!$I36), AND('ProductSprint Backlog'!$J36=I$2,'ProductSprint Backlog'!$I36=I$2), 'ProductSprint Backlog'!$F36, TRUE, 0)</f>
        <v/>
      </c>
      <c r="J36" s="4" t="str" cm="1">
        <f t="array" ref="J36">_xlfn.IFS('ProductSprint Backlog'!$F36="", "", AND('ProductSprint Backlog'!$J36&gt;J$2,'ProductSprint Backlog'!$I36&lt;=J$2), 'ProductSprint Backlog'!$F36 / MAX(1, 'ProductSprint Backlog'!$J36-'ProductSprint Backlog'!$I36), AND('ProductSprint Backlog'!$J36=J$2,'ProductSprint Backlog'!$I36=J$2), 'ProductSprint Backlog'!$F36, TRUE, 0)</f>
        <v/>
      </c>
      <c r="K36" s="4" t="str" cm="1">
        <f t="array" ref="K36">_xlfn.IFS('ProductSprint Backlog'!$F36="", "", AND('ProductSprint Backlog'!$J36&gt;K$2,'ProductSprint Backlog'!$I36&lt;=K$2), 'ProductSprint Backlog'!$F36 / MAX(1, 'ProductSprint Backlog'!$J36-'ProductSprint Backlog'!$I36), AND('ProductSprint Backlog'!$J36=K$2,'ProductSprint Backlog'!$I36=K$2), 'ProductSprint Backlog'!$F36, TRUE, 0)</f>
        <v/>
      </c>
      <c r="L36" s="4" t="str" cm="1">
        <f t="array" ref="L36">_xlfn.IFS('ProductSprint Backlog'!$F36="", "", AND('ProductSprint Backlog'!$J36&gt;L$2,'ProductSprint Backlog'!$I36&lt;=L$2), 'ProductSprint Backlog'!$F36 / MAX(1, 'ProductSprint Backlog'!$J36-'ProductSprint Backlog'!$I36), AND('ProductSprint Backlog'!$J36=L$2,'ProductSprint Backlog'!$I36=L$2), 'ProductSprint Backlog'!$F36, TRUE, 0)</f>
        <v/>
      </c>
      <c r="M36" s="4" t="str" cm="1">
        <f t="array" ref="M36">_xlfn.IFS('ProductSprint Backlog'!$F36="", "", AND('ProductSprint Backlog'!$J36&gt;M$2,'ProductSprint Backlog'!$I36&lt;=M$2), 'ProductSprint Backlog'!$F36 / MAX(1, 'ProductSprint Backlog'!$J36-'ProductSprint Backlog'!$I36), AND('ProductSprint Backlog'!$J36=M$2,'ProductSprint Backlog'!$I36=M$2), 'ProductSprint Backlog'!$F36, TRUE, 0)</f>
        <v/>
      </c>
      <c r="N36" s="4" t="str" cm="1">
        <f t="array" ref="N36">_xlfn.IFS('ProductSprint Backlog'!$F36="", "", AND('ProductSprint Backlog'!$J36&gt;N$2,'ProductSprint Backlog'!$I36&lt;=N$2), 'ProductSprint Backlog'!$F36 / MAX(1, 'ProductSprint Backlog'!$J36-'ProductSprint Backlog'!$I36), AND('ProductSprint Backlog'!$J36=N$2,'ProductSprint Backlog'!$I36=N$2), 'ProductSprint Backlog'!$F36, TRUE, 0)</f>
        <v/>
      </c>
      <c r="O36" s="4" t="str" cm="1">
        <f t="array" ref="O36">_xlfn.IFS('ProductSprint Backlog'!$F36="", "", AND('ProductSprint Backlog'!$J36&gt;O$2,'ProductSprint Backlog'!$I36&lt;=O$2), 'ProductSprint Backlog'!$F36 / MAX(1, 'ProductSprint Backlog'!$J36-'ProductSprint Backlog'!$I36), AND('ProductSprint Backlog'!$J36=O$2,'ProductSprint Backlog'!$I36=O$2), 'ProductSprint Backlog'!$F36, TRUE, 0)</f>
        <v/>
      </c>
    </row>
    <row r="37" spans="2:15" x14ac:dyDescent="0.2">
      <c r="B37" s="4" cm="1">
        <f t="array" ref="B37">_xlfn.IFS('ProductSprint Backlog'!$F37="", "", AND('ProductSprint Backlog'!$J37&gt;B$2,'ProductSprint Backlog'!$I37&lt;=B$2), 'ProductSprint Backlog'!$F37 / MAX(1, 'ProductSprint Backlog'!$J37-'ProductSprint Backlog'!$I37), AND('ProductSprint Backlog'!$J37=B$2,'ProductSprint Backlog'!$I37=B$2), 'ProductSprint Backlog'!$F37, TRUE, 0)</f>
        <v>0</v>
      </c>
      <c r="C37" s="4" cm="1">
        <f t="array" ref="C37">_xlfn.IFS('ProductSprint Backlog'!$F37="", "", AND('ProductSprint Backlog'!$J37&gt;C$2,'ProductSprint Backlog'!$I37&lt;=C$2), 'ProductSprint Backlog'!$F37 / MAX(1, 'ProductSprint Backlog'!$J37-'ProductSprint Backlog'!$I37), AND('ProductSprint Backlog'!$J37=C$2,'ProductSprint Backlog'!$I37=C$2), 'ProductSprint Backlog'!$F37, TRUE, 0)</f>
        <v>0</v>
      </c>
      <c r="D37" s="4" cm="1">
        <f t="array" ref="D37">_xlfn.IFS('ProductSprint Backlog'!$F37="", "", AND('ProductSprint Backlog'!$J37&gt;D$2,'ProductSprint Backlog'!$I37&lt;=D$2), 'ProductSprint Backlog'!$F37 / MAX(1, 'ProductSprint Backlog'!$J37-'ProductSprint Backlog'!$I37), AND('ProductSprint Backlog'!$J37=D$2,'ProductSprint Backlog'!$I37=D$2), 'ProductSprint Backlog'!$F37, TRUE, 0)</f>
        <v>0</v>
      </c>
      <c r="E37" s="4" cm="1">
        <f t="array" ref="E37">_xlfn.IFS('ProductSprint Backlog'!$F37="", "", AND('ProductSprint Backlog'!$J37&gt;E$2,'ProductSprint Backlog'!$I37&lt;=E$2), 'ProductSprint Backlog'!$F37 / MAX(1, 'ProductSprint Backlog'!$J37-'ProductSprint Backlog'!$I37), AND('ProductSprint Backlog'!$J37=E$2,'ProductSprint Backlog'!$I37=E$2), 'ProductSprint Backlog'!$F37, TRUE, 0)</f>
        <v>0</v>
      </c>
      <c r="F37" s="4" cm="1">
        <f t="array" ref="F37">_xlfn.IFS('ProductSprint Backlog'!$F37="", "", AND('ProductSprint Backlog'!$J37&gt;F$2,'ProductSprint Backlog'!$I37&lt;=F$2), 'ProductSprint Backlog'!$F37 / MAX(1, 'ProductSprint Backlog'!$J37-'ProductSprint Backlog'!$I37), AND('ProductSprint Backlog'!$J37=F$2,'ProductSprint Backlog'!$I37=F$2), 'ProductSprint Backlog'!$F37, TRUE, 0)</f>
        <v>3</v>
      </c>
      <c r="G37" s="4" cm="1">
        <f t="array" ref="G37">_xlfn.IFS('ProductSprint Backlog'!$F37="", "", AND('ProductSprint Backlog'!$J37&gt;G$2,'ProductSprint Backlog'!$I37&lt;=G$2), 'ProductSprint Backlog'!$F37 / MAX(1, 'ProductSprint Backlog'!$J37-'ProductSprint Backlog'!$I37), AND('ProductSprint Backlog'!$J37=G$2,'ProductSprint Backlog'!$I37=G$2), 'ProductSprint Backlog'!$F37, TRUE, 0)</f>
        <v>0</v>
      </c>
      <c r="H37" s="4" cm="1">
        <f t="array" ref="H37">_xlfn.IFS('ProductSprint Backlog'!$F37="", "", AND('ProductSprint Backlog'!$J37&gt;H$2,'ProductSprint Backlog'!$I37&lt;=H$2), 'ProductSprint Backlog'!$F37 / MAX(1, 'ProductSprint Backlog'!$J37-'ProductSprint Backlog'!$I37), AND('ProductSprint Backlog'!$J37=H$2,'ProductSprint Backlog'!$I37=H$2), 'ProductSprint Backlog'!$F37, TRUE, 0)</f>
        <v>0</v>
      </c>
      <c r="I37" s="4" cm="1">
        <f t="array" ref="I37">_xlfn.IFS('ProductSprint Backlog'!$F37="", "", AND('ProductSprint Backlog'!$J37&gt;I$2,'ProductSprint Backlog'!$I37&lt;=I$2), 'ProductSprint Backlog'!$F37 / MAX(1, 'ProductSprint Backlog'!$J37-'ProductSprint Backlog'!$I37), AND('ProductSprint Backlog'!$J37=I$2,'ProductSprint Backlog'!$I37=I$2), 'ProductSprint Backlog'!$F37, TRUE, 0)</f>
        <v>0</v>
      </c>
      <c r="J37" s="4" cm="1">
        <f t="array" ref="J37">_xlfn.IFS('ProductSprint Backlog'!$F37="", "", AND('ProductSprint Backlog'!$J37&gt;J$2,'ProductSprint Backlog'!$I37&lt;=J$2), 'ProductSprint Backlog'!$F37 / MAX(1, 'ProductSprint Backlog'!$J37-'ProductSprint Backlog'!$I37), AND('ProductSprint Backlog'!$J37=J$2,'ProductSprint Backlog'!$I37=J$2), 'ProductSprint Backlog'!$F37, TRUE, 0)</f>
        <v>0</v>
      </c>
      <c r="K37" s="4" cm="1">
        <f t="array" ref="K37">_xlfn.IFS('ProductSprint Backlog'!$F37="", "", AND('ProductSprint Backlog'!$J37&gt;K$2,'ProductSprint Backlog'!$I37&lt;=K$2), 'ProductSprint Backlog'!$F37 / MAX(1, 'ProductSprint Backlog'!$J37-'ProductSprint Backlog'!$I37), AND('ProductSprint Backlog'!$J37=K$2,'ProductSprint Backlog'!$I37=K$2), 'ProductSprint Backlog'!$F37, TRUE, 0)</f>
        <v>0</v>
      </c>
      <c r="L37" s="4" cm="1">
        <f t="array" ref="L37">_xlfn.IFS('ProductSprint Backlog'!$F37="", "", AND('ProductSprint Backlog'!$J37&gt;L$2,'ProductSprint Backlog'!$I37&lt;=L$2), 'ProductSprint Backlog'!$F37 / MAX(1, 'ProductSprint Backlog'!$J37-'ProductSprint Backlog'!$I37), AND('ProductSprint Backlog'!$J37=L$2,'ProductSprint Backlog'!$I37=L$2), 'ProductSprint Backlog'!$F37, TRUE, 0)</f>
        <v>0</v>
      </c>
      <c r="M37" s="4" cm="1">
        <f t="array" ref="M37">_xlfn.IFS('ProductSprint Backlog'!$F37="", "", AND('ProductSprint Backlog'!$J37&gt;M$2,'ProductSprint Backlog'!$I37&lt;=M$2), 'ProductSprint Backlog'!$F37 / MAX(1, 'ProductSprint Backlog'!$J37-'ProductSprint Backlog'!$I37), AND('ProductSprint Backlog'!$J37=M$2,'ProductSprint Backlog'!$I37=M$2), 'ProductSprint Backlog'!$F37, TRUE, 0)</f>
        <v>0</v>
      </c>
      <c r="N37" s="4" cm="1">
        <f t="array" ref="N37">_xlfn.IFS('ProductSprint Backlog'!$F37="", "", AND('ProductSprint Backlog'!$J37&gt;N$2,'ProductSprint Backlog'!$I37&lt;=N$2), 'ProductSprint Backlog'!$F37 / MAX(1, 'ProductSprint Backlog'!$J37-'ProductSprint Backlog'!$I37), AND('ProductSprint Backlog'!$J37=N$2,'ProductSprint Backlog'!$I37=N$2), 'ProductSprint Backlog'!$F37, TRUE, 0)</f>
        <v>0</v>
      </c>
      <c r="O37" s="4" cm="1">
        <f t="array" ref="O37">_xlfn.IFS('ProductSprint Backlog'!$F37="", "", AND('ProductSprint Backlog'!$J37&gt;O$2,'ProductSprint Backlog'!$I37&lt;=O$2), 'ProductSprint Backlog'!$F37 / MAX(1, 'ProductSprint Backlog'!$J37-'ProductSprint Backlog'!$I37), AND('ProductSprint Backlog'!$J37=O$2,'ProductSprint Backlog'!$I37=O$2), 'ProductSprint Backlog'!$F37, TRUE, 0)</f>
        <v>0</v>
      </c>
    </row>
    <row r="38" spans="2:15" x14ac:dyDescent="0.2">
      <c r="B38" s="4" cm="1">
        <f t="array" ref="B38">_xlfn.IFS('ProductSprint Backlog'!$F38="", "", AND('ProductSprint Backlog'!$J38&gt;B$2,'ProductSprint Backlog'!$I38&lt;=B$2), 'ProductSprint Backlog'!$F38 / MAX(1, 'ProductSprint Backlog'!$J38-'ProductSprint Backlog'!$I38), AND('ProductSprint Backlog'!$J38=B$2,'ProductSprint Backlog'!$I38=B$2), 'ProductSprint Backlog'!$F38, TRUE, 0)</f>
        <v>0</v>
      </c>
      <c r="C38" s="4" cm="1">
        <f t="array" ref="C38">_xlfn.IFS('ProductSprint Backlog'!$F38="", "", AND('ProductSprint Backlog'!$J38&gt;C$2,'ProductSprint Backlog'!$I38&lt;=C$2), 'ProductSprint Backlog'!$F38 / MAX(1, 'ProductSprint Backlog'!$J38-'ProductSprint Backlog'!$I38), AND('ProductSprint Backlog'!$J38=C$2,'ProductSprint Backlog'!$I38=C$2), 'ProductSprint Backlog'!$F38, TRUE, 0)</f>
        <v>0</v>
      </c>
      <c r="D38" s="4" cm="1">
        <f t="array" ref="D38">_xlfn.IFS('ProductSprint Backlog'!$F38="", "", AND('ProductSprint Backlog'!$J38&gt;D$2,'ProductSprint Backlog'!$I38&lt;=D$2), 'ProductSprint Backlog'!$F38 / MAX(1, 'ProductSprint Backlog'!$J38-'ProductSprint Backlog'!$I38), AND('ProductSprint Backlog'!$J38=D$2,'ProductSprint Backlog'!$I38=D$2), 'ProductSprint Backlog'!$F38, TRUE, 0)</f>
        <v>0</v>
      </c>
      <c r="E38" s="4" cm="1">
        <f t="array" ref="E38">_xlfn.IFS('ProductSprint Backlog'!$F38="", "", AND('ProductSprint Backlog'!$J38&gt;E$2,'ProductSprint Backlog'!$I38&lt;=E$2), 'ProductSprint Backlog'!$F38 / MAX(1, 'ProductSprint Backlog'!$J38-'ProductSprint Backlog'!$I38), AND('ProductSprint Backlog'!$J38=E$2,'ProductSprint Backlog'!$I38=E$2), 'ProductSprint Backlog'!$F38, TRUE, 0)</f>
        <v>0</v>
      </c>
      <c r="F38" s="4" cm="1">
        <f t="array" ref="F38">_xlfn.IFS('ProductSprint Backlog'!$F38="", "", AND('ProductSprint Backlog'!$J38&gt;F$2,'ProductSprint Backlog'!$I38&lt;=F$2), 'ProductSprint Backlog'!$F38 / MAX(1, 'ProductSprint Backlog'!$J38-'ProductSprint Backlog'!$I38), AND('ProductSprint Backlog'!$J38=F$2,'ProductSprint Backlog'!$I38=F$2), 'ProductSprint Backlog'!$F38, TRUE, 0)</f>
        <v>2</v>
      </c>
      <c r="G38" s="4" cm="1">
        <f t="array" ref="G38">_xlfn.IFS('ProductSprint Backlog'!$F38="", "", AND('ProductSprint Backlog'!$J38&gt;G$2,'ProductSprint Backlog'!$I38&lt;=G$2), 'ProductSprint Backlog'!$F38 / MAX(1, 'ProductSprint Backlog'!$J38-'ProductSprint Backlog'!$I38), AND('ProductSprint Backlog'!$J38=G$2,'ProductSprint Backlog'!$I38=G$2), 'ProductSprint Backlog'!$F38, TRUE, 0)</f>
        <v>0</v>
      </c>
      <c r="H38" s="4" cm="1">
        <f t="array" ref="H38">_xlfn.IFS('ProductSprint Backlog'!$F38="", "", AND('ProductSprint Backlog'!$J38&gt;H$2,'ProductSprint Backlog'!$I38&lt;=H$2), 'ProductSprint Backlog'!$F38 / MAX(1, 'ProductSprint Backlog'!$J38-'ProductSprint Backlog'!$I38), AND('ProductSprint Backlog'!$J38=H$2,'ProductSprint Backlog'!$I38=H$2), 'ProductSprint Backlog'!$F38, TRUE, 0)</f>
        <v>0</v>
      </c>
      <c r="I38" s="4" cm="1">
        <f t="array" ref="I38">_xlfn.IFS('ProductSprint Backlog'!$F38="", "", AND('ProductSprint Backlog'!$J38&gt;I$2,'ProductSprint Backlog'!$I38&lt;=I$2), 'ProductSprint Backlog'!$F38 / MAX(1, 'ProductSprint Backlog'!$J38-'ProductSprint Backlog'!$I38), AND('ProductSprint Backlog'!$J38=I$2,'ProductSprint Backlog'!$I38=I$2), 'ProductSprint Backlog'!$F38, TRUE, 0)</f>
        <v>0</v>
      </c>
      <c r="J38" s="4" cm="1">
        <f t="array" ref="J38">_xlfn.IFS('ProductSprint Backlog'!$F38="", "", AND('ProductSprint Backlog'!$J38&gt;J$2,'ProductSprint Backlog'!$I38&lt;=J$2), 'ProductSprint Backlog'!$F38 / MAX(1, 'ProductSprint Backlog'!$J38-'ProductSprint Backlog'!$I38), AND('ProductSprint Backlog'!$J38=J$2,'ProductSprint Backlog'!$I38=J$2), 'ProductSprint Backlog'!$F38, TRUE, 0)</f>
        <v>0</v>
      </c>
      <c r="K38" s="4" cm="1">
        <f t="array" ref="K38">_xlfn.IFS('ProductSprint Backlog'!$F38="", "", AND('ProductSprint Backlog'!$J38&gt;K$2,'ProductSprint Backlog'!$I38&lt;=K$2), 'ProductSprint Backlog'!$F38 / MAX(1, 'ProductSprint Backlog'!$J38-'ProductSprint Backlog'!$I38), AND('ProductSprint Backlog'!$J38=K$2,'ProductSprint Backlog'!$I38=K$2), 'ProductSprint Backlog'!$F38, TRUE, 0)</f>
        <v>0</v>
      </c>
      <c r="L38" s="4" cm="1">
        <f t="array" ref="L38">_xlfn.IFS('ProductSprint Backlog'!$F38="", "", AND('ProductSprint Backlog'!$J38&gt;L$2,'ProductSprint Backlog'!$I38&lt;=L$2), 'ProductSprint Backlog'!$F38 / MAX(1, 'ProductSprint Backlog'!$J38-'ProductSprint Backlog'!$I38), AND('ProductSprint Backlog'!$J38=L$2,'ProductSprint Backlog'!$I38=L$2), 'ProductSprint Backlog'!$F38, TRUE, 0)</f>
        <v>0</v>
      </c>
      <c r="M38" s="4" cm="1">
        <f t="array" ref="M38">_xlfn.IFS('ProductSprint Backlog'!$F38="", "", AND('ProductSprint Backlog'!$J38&gt;M$2,'ProductSprint Backlog'!$I38&lt;=M$2), 'ProductSprint Backlog'!$F38 / MAX(1, 'ProductSprint Backlog'!$J38-'ProductSprint Backlog'!$I38), AND('ProductSprint Backlog'!$J38=M$2,'ProductSprint Backlog'!$I38=M$2), 'ProductSprint Backlog'!$F38, TRUE, 0)</f>
        <v>0</v>
      </c>
      <c r="N38" s="4" cm="1">
        <f t="array" ref="N38">_xlfn.IFS('ProductSprint Backlog'!$F38="", "", AND('ProductSprint Backlog'!$J38&gt;N$2,'ProductSprint Backlog'!$I38&lt;=N$2), 'ProductSprint Backlog'!$F38 / MAX(1, 'ProductSprint Backlog'!$J38-'ProductSprint Backlog'!$I38), AND('ProductSprint Backlog'!$J38=N$2,'ProductSprint Backlog'!$I38=N$2), 'ProductSprint Backlog'!$F38, TRUE, 0)</f>
        <v>0</v>
      </c>
      <c r="O38" s="4" cm="1">
        <f t="array" ref="O38">_xlfn.IFS('ProductSprint Backlog'!$F38="", "", AND('ProductSprint Backlog'!$J38&gt;O$2,'ProductSprint Backlog'!$I38&lt;=O$2), 'ProductSprint Backlog'!$F38 / MAX(1, 'ProductSprint Backlog'!$J38-'ProductSprint Backlog'!$I38), AND('ProductSprint Backlog'!$J38=O$2,'ProductSprint Backlog'!$I38=O$2), 'ProductSprint Backlog'!$F38, TRUE, 0)</f>
        <v>0</v>
      </c>
    </row>
    <row r="39" spans="2:15" x14ac:dyDescent="0.2">
      <c r="B39" s="4" cm="1">
        <f t="array" ref="B39">_xlfn.IFS('ProductSprint Backlog'!$F39="", "", AND('ProductSprint Backlog'!$J39&gt;B$2,'ProductSprint Backlog'!$I39&lt;=B$2), 'ProductSprint Backlog'!$F39 / MAX(1, 'ProductSprint Backlog'!$J39-'ProductSprint Backlog'!$I39), AND('ProductSprint Backlog'!$J39=B$2,'ProductSprint Backlog'!$I39=B$2), 'ProductSprint Backlog'!$F39, TRUE, 0)</f>
        <v>0</v>
      </c>
      <c r="C39" s="4" cm="1">
        <f t="array" ref="C39">_xlfn.IFS('ProductSprint Backlog'!$F39="", "", AND('ProductSprint Backlog'!$J39&gt;C$2,'ProductSprint Backlog'!$I39&lt;=C$2), 'ProductSprint Backlog'!$F39 / MAX(1, 'ProductSprint Backlog'!$J39-'ProductSprint Backlog'!$I39), AND('ProductSprint Backlog'!$J39=C$2,'ProductSprint Backlog'!$I39=C$2), 'ProductSprint Backlog'!$F39, TRUE, 0)</f>
        <v>0</v>
      </c>
      <c r="D39" s="4" cm="1">
        <f t="array" ref="D39">_xlfn.IFS('ProductSprint Backlog'!$F39="", "", AND('ProductSprint Backlog'!$J39&gt;D$2,'ProductSprint Backlog'!$I39&lt;=D$2), 'ProductSprint Backlog'!$F39 / MAX(1, 'ProductSprint Backlog'!$J39-'ProductSprint Backlog'!$I39), AND('ProductSprint Backlog'!$J39=D$2,'ProductSprint Backlog'!$I39=D$2), 'ProductSprint Backlog'!$F39, TRUE, 0)</f>
        <v>0</v>
      </c>
      <c r="E39" s="4" cm="1">
        <f t="array" ref="E39">_xlfn.IFS('ProductSprint Backlog'!$F39="", "", AND('ProductSprint Backlog'!$J39&gt;E$2,'ProductSprint Backlog'!$I39&lt;=E$2), 'ProductSprint Backlog'!$F39 / MAX(1, 'ProductSprint Backlog'!$J39-'ProductSprint Backlog'!$I39), AND('ProductSprint Backlog'!$J39=E$2,'ProductSprint Backlog'!$I39=E$2), 'ProductSprint Backlog'!$F39, TRUE, 0)</f>
        <v>0</v>
      </c>
      <c r="F39" s="4" cm="1">
        <f t="array" ref="F39">_xlfn.IFS('ProductSprint Backlog'!$F39="", "", AND('ProductSprint Backlog'!$J39&gt;F$2,'ProductSprint Backlog'!$I39&lt;=F$2), 'ProductSprint Backlog'!$F39 / MAX(1, 'ProductSprint Backlog'!$J39-'ProductSprint Backlog'!$I39), AND('ProductSprint Backlog'!$J39=F$2,'ProductSprint Backlog'!$I39=F$2), 'ProductSprint Backlog'!$F39, TRUE, 0)</f>
        <v>0</v>
      </c>
      <c r="G39" s="4" cm="1">
        <f t="array" ref="G39">_xlfn.IFS('ProductSprint Backlog'!$F39="", "", AND('ProductSprint Backlog'!$J39&gt;G$2,'ProductSprint Backlog'!$I39&lt;=G$2), 'ProductSprint Backlog'!$F39 / MAX(1, 'ProductSprint Backlog'!$J39-'ProductSprint Backlog'!$I39), AND('ProductSprint Backlog'!$J39=G$2,'ProductSprint Backlog'!$I39=G$2), 'ProductSprint Backlog'!$F39, TRUE, 0)</f>
        <v>2</v>
      </c>
      <c r="H39" s="4" cm="1">
        <f t="array" ref="H39">_xlfn.IFS('ProductSprint Backlog'!$F39="", "", AND('ProductSprint Backlog'!$J39&gt;H$2,'ProductSprint Backlog'!$I39&lt;=H$2), 'ProductSprint Backlog'!$F39 / MAX(1, 'ProductSprint Backlog'!$J39-'ProductSprint Backlog'!$I39), AND('ProductSprint Backlog'!$J39=H$2,'ProductSprint Backlog'!$I39=H$2), 'ProductSprint Backlog'!$F39, TRUE, 0)</f>
        <v>0</v>
      </c>
      <c r="I39" s="4" cm="1">
        <f t="array" ref="I39">_xlfn.IFS('ProductSprint Backlog'!$F39="", "", AND('ProductSprint Backlog'!$J39&gt;I$2,'ProductSprint Backlog'!$I39&lt;=I$2), 'ProductSprint Backlog'!$F39 / MAX(1, 'ProductSprint Backlog'!$J39-'ProductSprint Backlog'!$I39), AND('ProductSprint Backlog'!$J39=I$2,'ProductSprint Backlog'!$I39=I$2), 'ProductSprint Backlog'!$F39, TRUE, 0)</f>
        <v>0</v>
      </c>
      <c r="J39" s="4" cm="1">
        <f t="array" ref="J39">_xlfn.IFS('ProductSprint Backlog'!$F39="", "", AND('ProductSprint Backlog'!$J39&gt;J$2,'ProductSprint Backlog'!$I39&lt;=J$2), 'ProductSprint Backlog'!$F39 / MAX(1, 'ProductSprint Backlog'!$J39-'ProductSprint Backlog'!$I39), AND('ProductSprint Backlog'!$J39=J$2,'ProductSprint Backlog'!$I39=J$2), 'ProductSprint Backlog'!$F39, TRUE, 0)</f>
        <v>0</v>
      </c>
      <c r="K39" s="4" cm="1">
        <f t="array" ref="K39">_xlfn.IFS('ProductSprint Backlog'!$F39="", "", AND('ProductSprint Backlog'!$J39&gt;K$2,'ProductSprint Backlog'!$I39&lt;=K$2), 'ProductSprint Backlog'!$F39 / MAX(1, 'ProductSprint Backlog'!$J39-'ProductSprint Backlog'!$I39), AND('ProductSprint Backlog'!$J39=K$2,'ProductSprint Backlog'!$I39=K$2), 'ProductSprint Backlog'!$F39, TRUE, 0)</f>
        <v>0</v>
      </c>
      <c r="L39" s="4" cm="1">
        <f t="array" ref="L39">_xlfn.IFS('ProductSprint Backlog'!$F39="", "", AND('ProductSprint Backlog'!$J39&gt;L$2,'ProductSprint Backlog'!$I39&lt;=L$2), 'ProductSprint Backlog'!$F39 / MAX(1, 'ProductSprint Backlog'!$J39-'ProductSprint Backlog'!$I39), AND('ProductSprint Backlog'!$J39=L$2,'ProductSprint Backlog'!$I39=L$2), 'ProductSprint Backlog'!$F39, TRUE, 0)</f>
        <v>0</v>
      </c>
      <c r="M39" s="4" cm="1">
        <f t="array" ref="M39">_xlfn.IFS('ProductSprint Backlog'!$F39="", "", AND('ProductSprint Backlog'!$J39&gt;M$2,'ProductSprint Backlog'!$I39&lt;=M$2), 'ProductSprint Backlog'!$F39 / MAX(1, 'ProductSprint Backlog'!$J39-'ProductSprint Backlog'!$I39), AND('ProductSprint Backlog'!$J39=M$2,'ProductSprint Backlog'!$I39=M$2), 'ProductSprint Backlog'!$F39, TRUE, 0)</f>
        <v>0</v>
      </c>
      <c r="N39" s="4" cm="1">
        <f t="array" ref="N39">_xlfn.IFS('ProductSprint Backlog'!$F39="", "", AND('ProductSprint Backlog'!$J39&gt;N$2,'ProductSprint Backlog'!$I39&lt;=N$2), 'ProductSprint Backlog'!$F39 / MAX(1, 'ProductSprint Backlog'!$J39-'ProductSprint Backlog'!$I39), AND('ProductSprint Backlog'!$J39=N$2,'ProductSprint Backlog'!$I39=N$2), 'ProductSprint Backlog'!$F39, TRUE, 0)</f>
        <v>0</v>
      </c>
      <c r="O39" s="4" cm="1">
        <f t="array" ref="O39">_xlfn.IFS('ProductSprint Backlog'!$F39="", "", AND('ProductSprint Backlog'!$J39&gt;O$2,'ProductSprint Backlog'!$I39&lt;=O$2), 'ProductSprint Backlog'!$F39 / MAX(1, 'ProductSprint Backlog'!$J39-'ProductSprint Backlog'!$I39), AND('ProductSprint Backlog'!$J39=O$2,'ProductSprint Backlog'!$I39=O$2), 'ProductSprint Backlog'!$F39, TRUE, 0)</f>
        <v>0</v>
      </c>
    </row>
    <row r="40" spans="2:15" x14ac:dyDescent="0.2">
      <c r="B40" s="4" cm="1">
        <f t="array" ref="B40">_xlfn.IFS('ProductSprint Backlog'!$F40="", "", AND('ProductSprint Backlog'!$J40&gt;B$2,'ProductSprint Backlog'!$I40&lt;=B$2), 'ProductSprint Backlog'!$F40 / MAX(1, 'ProductSprint Backlog'!$J40-'ProductSprint Backlog'!$I40), AND('ProductSprint Backlog'!$J40=B$2,'ProductSprint Backlog'!$I40=B$2), 'ProductSprint Backlog'!$F40, TRUE, 0)</f>
        <v>0</v>
      </c>
      <c r="C40" s="4" cm="1">
        <f t="array" ref="C40">_xlfn.IFS('ProductSprint Backlog'!$F40="", "", AND('ProductSprint Backlog'!$J40&gt;C$2,'ProductSprint Backlog'!$I40&lt;=C$2), 'ProductSprint Backlog'!$F40 / MAX(1, 'ProductSprint Backlog'!$J40-'ProductSprint Backlog'!$I40), AND('ProductSprint Backlog'!$J40=C$2,'ProductSprint Backlog'!$I40=C$2), 'ProductSprint Backlog'!$F40, TRUE, 0)</f>
        <v>0</v>
      </c>
      <c r="D40" s="4" cm="1">
        <f t="array" ref="D40">_xlfn.IFS('ProductSprint Backlog'!$F40="", "", AND('ProductSprint Backlog'!$J40&gt;D$2,'ProductSprint Backlog'!$I40&lt;=D$2), 'ProductSprint Backlog'!$F40 / MAX(1, 'ProductSprint Backlog'!$J40-'ProductSprint Backlog'!$I40), AND('ProductSprint Backlog'!$J40=D$2,'ProductSprint Backlog'!$I40=D$2), 'ProductSprint Backlog'!$F40, TRUE, 0)</f>
        <v>0</v>
      </c>
      <c r="E40" s="4" cm="1">
        <f t="array" ref="E40">_xlfn.IFS('ProductSprint Backlog'!$F40="", "", AND('ProductSprint Backlog'!$J40&gt;E$2,'ProductSprint Backlog'!$I40&lt;=E$2), 'ProductSprint Backlog'!$F40 / MAX(1, 'ProductSprint Backlog'!$J40-'ProductSprint Backlog'!$I40), AND('ProductSprint Backlog'!$J40=E$2,'ProductSprint Backlog'!$I40=E$2), 'ProductSprint Backlog'!$F40, TRUE, 0)</f>
        <v>0</v>
      </c>
      <c r="F40" s="4" cm="1">
        <f t="array" ref="F40">_xlfn.IFS('ProductSprint Backlog'!$F40="", "", AND('ProductSprint Backlog'!$J40&gt;F$2,'ProductSprint Backlog'!$I40&lt;=F$2), 'ProductSprint Backlog'!$F40 / MAX(1, 'ProductSprint Backlog'!$J40-'ProductSprint Backlog'!$I40), AND('ProductSprint Backlog'!$J40=F$2,'ProductSprint Backlog'!$I40=F$2), 'ProductSprint Backlog'!$F40, TRUE, 0)</f>
        <v>0</v>
      </c>
      <c r="G40" s="4" cm="1">
        <f t="array" ref="G40">_xlfn.IFS('ProductSprint Backlog'!$F40="", "", AND('ProductSprint Backlog'!$J40&gt;G$2,'ProductSprint Backlog'!$I40&lt;=G$2), 'ProductSprint Backlog'!$F40 / MAX(1, 'ProductSprint Backlog'!$J40-'ProductSprint Backlog'!$I40), AND('ProductSprint Backlog'!$J40=G$2,'ProductSprint Backlog'!$I40=G$2), 'ProductSprint Backlog'!$F40, TRUE, 0)</f>
        <v>0</v>
      </c>
      <c r="H40" s="4" cm="1">
        <f t="array" ref="H40">_xlfn.IFS('ProductSprint Backlog'!$F40="", "", AND('ProductSprint Backlog'!$J40&gt;H$2,'ProductSprint Backlog'!$I40&lt;=H$2), 'ProductSprint Backlog'!$F40 / MAX(1, 'ProductSprint Backlog'!$J40-'ProductSprint Backlog'!$I40), AND('ProductSprint Backlog'!$J40=H$2,'ProductSprint Backlog'!$I40=H$2), 'ProductSprint Backlog'!$F40, TRUE, 0)</f>
        <v>2</v>
      </c>
      <c r="I40" s="4" cm="1">
        <f t="array" ref="I40">_xlfn.IFS('ProductSprint Backlog'!$F40="", "", AND('ProductSprint Backlog'!$J40&gt;I$2,'ProductSprint Backlog'!$I40&lt;=I$2), 'ProductSprint Backlog'!$F40 / MAX(1, 'ProductSprint Backlog'!$J40-'ProductSprint Backlog'!$I40), AND('ProductSprint Backlog'!$J40=I$2,'ProductSprint Backlog'!$I40=I$2), 'ProductSprint Backlog'!$F40, TRUE, 0)</f>
        <v>0</v>
      </c>
      <c r="J40" s="4" cm="1">
        <f t="array" ref="J40">_xlfn.IFS('ProductSprint Backlog'!$F40="", "", AND('ProductSprint Backlog'!$J40&gt;J$2,'ProductSprint Backlog'!$I40&lt;=J$2), 'ProductSprint Backlog'!$F40 / MAX(1, 'ProductSprint Backlog'!$J40-'ProductSprint Backlog'!$I40), AND('ProductSprint Backlog'!$J40=J$2,'ProductSprint Backlog'!$I40=J$2), 'ProductSprint Backlog'!$F40, TRUE, 0)</f>
        <v>0</v>
      </c>
      <c r="K40" s="4" cm="1">
        <f t="array" ref="K40">_xlfn.IFS('ProductSprint Backlog'!$F40="", "", AND('ProductSprint Backlog'!$J40&gt;K$2,'ProductSprint Backlog'!$I40&lt;=K$2), 'ProductSprint Backlog'!$F40 / MAX(1, 'ProductSprint Backlog'!$J40-'ProductSprint Backlog'!$I40), AND('ProductSprint Backlog'!$J40=K$2,'ProductSprint Backlog'!$I40=K$2), 'ProductSprint Backlog'!$F40, TRUE, 0)</f>
        <v>0</v>
      </c>
      <c r="L40" s="4" cm="1">
        <f t="array" ref="L40">_xlfn.IFS('ProductSprint Backlog'!$F40="", "", AND('ProductSprint Backlog'!$J40&gt;L$2,'ProductSprint Backlog'!$I40&lt;=L$2), 'ProductSprint Backlog'!$F40 / MAX(1, 'ProductSprint Backlog'!$J40-'ProductSprint Backlog'!$I40), AND('ProductSprint Backlog'!$J40=L$2,'ProductSprint Backlog'!$I40=L$2), 'ProductSprint Backlog'!$F40, TRUE, 0)</f>
        <v>0</v>
      </c>
      <c r="M40" s="4" cm="1">
        <f t="array" ref="M40">_xlfn.IFS('ProductSprint Backlog'!$F40="", "", AND('ProductSprint Backlog'!$J40&gt;M$2,'ProductSprint Backlog'!$I40&lt;=M$2), 'ProductSprint Backlog'!$F40 / MAX(1, 'ProductSprint Backlog'!$J40-'ProductSprint Backlog'!$I40), AND('ProductSprint Backlog'!$J40=M$2,'ProductSprint Backlog'!$I40=M$2), 'ProductSprint Backlog'!$F40, TRUE, 0)</f>
        <v>0</v>
      </c>
      <c r="N40" s="4" cm="1">
        <f t="array" ref="N40">_xlfn.IFS('ProductSprint Backlog'!$F40="", "", AND('ProductSprint Backlog'!$J40&gt;N$2,'ProductSprint Backlog'!$I40&lt;=N$2), 'ProductSprint Backlog'!$F40 / MAX(1, 'ProductSprint Backlog'!$J40-'ProductSprint Backlog'!$I40), AND('ProductSprint Backlog'!$J40=N$2,'ProductSprint Backlog'!$I40=N$2), 'ProductSprint Backlog'!$F40, TRUE, 0)</f>
        <v>0</v>
      </c>
      <c r="O40" s="4" cm="1">
        <f t="array" ref="O40">_xlfn.IFS('ProductSprint Backlog'!$F40="", "", AND('ProductSprint Backlog'!$J40&gt;O$2,'ProductSprint Backlog'!$I40&lt;=O$2), 'ProductSprint Backlog'!$F40 / MAX(1, 'ProductSprint Backlog'!$J40-'ProductSprint Backlog'!$I40), AND('ProductSprint Backlog'!$J40=O$2,'ProductSprint Backlog'!$I40=O$2), 'ProductSprint Backlog'!$F40, TRUE, 0)</f>
        <v>0</v>
      </c>
    </row>
    <row r="41" spans="2:15" x14ac:dyDescent="0.2">
      <c r="B41" s="4" t="str" cm="1">
        <f t="array" ref="B41">_xlfn.IFS('ProductSprint Backlog'!$F41="", "", AND('ProductSprint Backlog'!$J41&gt;B$2,'ProductSprint Backlog'!$I41&lt;=B$2), 'ProductSprint Backlog'!$F41 / MAX(1, 'ProductSprint Backlog'!$J41-'ProductSprint Backlog'!$I41), AND('ProductSprint Backlog'!$J41=B$2,'ProductSprint Backlog'!$I41=B$2), 'ProductSprint Backlog'!$F41, TRUE, 0)</f>
        <v/>
      </c>
      <c r="C41" s="4" t="str" cm="1">
        <f t="array" ref="C41">_xlfn.IFS('ProductSprint Backlog'!$F41="", "", AND('ProductSprint Backlog'!$J41&gt;C$2,'ProductSprint Backlog'!$I41&lt;=C$2), 'ProductSprint Backlog'!$F41 / MAX(1, 'ProductSprint Backlog'!$J41-'ProductSprint Backlog'!$I41), AND('ProductSprint Backlog'!$J41=C$2,'ProductSprint Backlog'!$I41=C$2), 'ProductSprint Backlog'!$F41, TRUE, 0)</f>
        <v/>
      </c>
      <c r="D41" s="4" t="str" cm="1">
        <f t="array" ref="D41">_xlfn.IFS('ProductSprint Backlog'!$F41="", "", AND('ProductSprint Backlog'!$J41&gt;D$2,'ProductSprint Backlog'!$I41&lt;=D$2), 'ProductSprint Backlog'!$F41 / MAX(1, 'ProductSprint Backlog'!$J41-'ProductSprint Backlog'!$I41), AND('ProductSprint Backlog'!$J41=D$2,'ProductSprint Backlog'!$I41=D$2), 'ProductSprint Backlog'!$F41, TRUE, 0)</f>
        <v/>
      </c>
      <c r="E41" s="4" t="str" cm="1">
        <f t="array" ref="E41">_xlfn.IFS('ProductSprint Backlog'!$F41="", "", AND('ProductSprint Backlog'!$J41&gt;E$2,'ProductSprint Backlog'!$I41&lt;=E$2), 'ProductSprint Backlog'!$F41 / MAX(1, 'ProductSprint Backlog'!$J41-'ProductSprint Backlog'!$I41), AND('ProductSprint Backlog'!$J41=E$2,'ProductSprint Backlog'!$I41=E$2), 'ProductSprint Backlog'!$F41, TRUE, 0)</f>
        <v/>
      </c>
      <c r="F41" s="4" t="str" cm="1">
        <f t="array" ref="F41">_xlfn.IFS('ProductSprint Backlog'!$F41="", "", AND('ProductSprint Backlog'!$J41&gt;F$2,'ProductSprint Backlog'!$I41&lt;=F$2), 'ProductSprint Backlog'!$F41 / MAX(1, 'ProductSprint Backlog'!$J41-'ProductSprint Backlog'!$I41), AND('ProductSprint Backlog'!$J41=F$2,'ProductSprint Backlog'!$I41=F$2), 'ProductSprint Backlog'!$F41, TRUE, 0)</f>
        <v/>
      </c>
      <c r="G41" s="4" t="str" cm="1">
        <f t="array" ref="G41">_xlfn.IFS('ProductSprint Backlog'!$F41="", "", AND('ProductSprint Backlog'!$J41&gt;G$2,'ProductSprint Backlog'!$I41&lt;=G$2), 'ProductSprint Backlog'!$F41 / MAX(1, 'ProductSprint Backlog'!$J41-'ProductSprint Backlog'!$I41), AND('ProductSprint Backlog'!$J41=G$2,'ProductSprint Backlog'!$I41=G$2), 'ProductSprint Backlog'!$F41, TRUE, 0)</f>
        <v/>
      </c>
      <c r="H41" s="4" t="str" cm="1">
        <f t="array" ref="H41">_xlfn.IFS('ProductSprint Backlog'!$F41="", "", AND('ProductSprint Backlog'!$J41&gt;H$2,'ProductSprint Backlog'!$I41&lt;=H$2), 'ProductSprint Backlog'!$F41 / MAX(1, 'ProductSprint Backlog'!$J41-'ProductSprint Backlog'!$I41), AND('ProductSprint Backlog'!$J41=H$2,'ProductSprint Backlog'!$I41=H$2), 'ProductSprint Backlog'!$F41, TRUE, 0)</f>
        <v/>
      </c>
      <c r="I41" s="4" t="str" cm="1">
        <f t="array" ref="I41">_xlfn.IFS('ProductSprint Backlog'!$F41="", "", AND('ProductSprint Backlog'!$J41&gt;I$2,'ProductSprint Backlog'!$I41&lt;=I$2), 'ProductSprint Backlog'!$F41 / MAX(1, 'ProductSprint Backlog'!$J41-'ProductSprint Backlog'!$I41), AND('ProductSprint Backlog'!$J41=I$2,'ProductSprint Backlog'!$I41=I$2), 'ProductSprint Backlog'!$F41, TRUE, 0)</f>
        <v/>
      </c>
      <c r="J41" s="4" t="str" cm="1">
        <f t="array" ref="J41">_xlfn.IFS('ProductSprint Backlog'!$F41="", "", AND('ProductSprint Backlog'!$J41&gt;J$2,'ProductSprint Backlog'!$I41&lt;=J$2), 'ProductSprint Backlog'!$F41 / MAX(1, 'ProductSprint Backlog'!$J41-'ProductSprint Backlog'!$I41), AND('ProductSprint Backlog'!$J41=J$2,'ProductSprint Backlog'!$I41=J$2), 'ProductSprint Backlog'!$F41, TRUE, 0)</f>
        <v/>
      </c>
      <c r="K41" s="4" t="str" cm="1">
        <f t="array" ref="K41">_xlfn.IFS('ProductSprint Backlog'!$F41="", "", AND('ProductSprint Backlog'!$J41&gt;K$2,'ProductSprint Backlog'!$I41&lt;=K$2), 'ProductSprint Backlog'!$F41 / MAX(1, 'ProductSprint Backlog'!$J41-'ProductSprint Backlog'!$I41), AND('ProductSprint Backlog'!$J41=K$2,'ProductSprint Backlog'!$I41=K$2), 'ProductSprint Backlog'!$F41, TRUE, 0)</f>
        <v/>
      </c>
      <c r="L41" s="4" t="str" cm="1">
        <f t="array" ref="L41">_xlfn.IFS('ProductSprint Backlog'!$F41="", "", AND('ProductSprint Backlog'!$J41&gt;L$2,'ProductSprint Backlog'!$I41&lt;=L$2), 'ProductSprint Backlog'!$F41 / MAX(1, 'ProductSprint Backlog'!$J41-'ProductSprint Backlog'!$I41), AND('ProductSprint Backlog'!$J41=L$2,'ProductSprint Backlog'!$I41=L$2), 'ProductSprint Backlog'!$F41, TRUE, 0)</f>
        <v/>
      </c>
      <c r="M41" s="4" t="str" cm="1">
        <f t="array" ref="M41">_xlfn.IFS('ProductSprint Backlog'!$F41="", "", AND('ProductSprint Backlog'!$J41&gt;M$2,'ProductSprint Backlog'!$I41&lt;=M$2), 'ProductSprint Backlog'!$F41 / MAX(1, 'ProductSprint Backlog'!$J41-'ProductSprint Backlog'!$I41), AND('ProductSprint Backlog'!$J41=M$2,'ProductSprint Backlog'!$I41=M$2), 'ProductSprint Backlog'!$F41, TRUE, 0)</f>
        <v/>
      </c>
      <c r="N41" s="4" t="str" cm="1">
        <f t="array" ref="N41">_xlfn.IFS('ProductSprint Backlog'!$F41="", "", AND('ProductSprint Backlog'!$J41&gt;N$2,'ProductSprint Backlog'!$I41&lt;=N$2), 'ProductSprint Backlog'!$F41 / MAX(1, 'ProductSprint Backlog'!$J41-'ProductSprint Backlog'!$I41), AND('ProductSprint Backlog'!$J41=N$2,'ProductSprint Backlog'!$I41=N$2), 'ProductSprint Backlog'!$F41, TRUE, 0)</f>
        <v/>
      </c>
      <c r="O41" s="4" t="str" cm="1">
        <f t="array" ref="O41">_xlfn.IFS('ProductSprint Backlog'!$F41="", "", AND('ProductSprint Backlog'!$J41&gt;O$2,'ProductSprint Backlog'!$I41&lt;=O$2), 'ProductSprint Backlog'!$F41 / MAX(1, 'ProductSprint Backlog'!$J41-'ProductSprint Backlog'!$I41), AND('ProductSprint Backlog'!$J41=O$2,'ProductSprint Backlog'!$I41=O$2), 'ProductSprint Backlog'!$F41, TRUE, 0)</f>
        <v/>
      </c>
    </row>
    <row r="42" spans="2:15" x14ac:dyDescent="0.2">
      <c r="B42" s="4" cm="1">
        <f t="array" ref="B42">_xlfn.IFS('ProductSprint Backlog'!$F42="", "", AND('ProductSprint Backlog'!$J42&gt;B$2,'ProductSprint Backlog'!$I42&lt;=B$2), 'ProductSprint Backlog'!$F42 / MAX(1, 'ProductSprint Backlog'!$J42-'ProductSprint Backlog'!$I42), AND('ProductSprint Backlog'!$J42=B$2,'ProductSprint Backlog'!$I42=B$2), 'ProductSprint Backlog'!$F42, TRUE, 0)</f>
        <v>0</v>
      </c>
      <c r="C42" s="4" cm="1">
        <f t="array" ref="C42">_xlfn.IFS('ProductSprint Backlog'!$F42="", "", AND('ProductSprint Backlog'!$J42&gt;C$2,'ProductSprint Backlog'!$I42&lt;=C$2), 'ProductSprint Backlog'!$F42 / MAX(1, 'ProductSprint Backlog'!$J42-'ProductSprint Backlog'!$I42), AND('ProductSprint Backlog'!$J42=C$2,'ProductSprint Backlog'!$I42=C$2), 'ProductSprint Backlog'!$F42, TRUE, 0)</f>
        <v>0</v>
      </c>
      <c r="D42" s="4" cm="1">
        <f t="array" ref="D42">_xlfn.IFS('ProductSprint Backlog'!$F42="", "", AND('ProductSprint Backlog'!$J42&gt;D$2,'ProductSprint Backlog'!$I42&lt;=D$2), 'ProductSprint Backlog'!$F42 / MAX(1, 'ProductSprint Backlog'!$J42-'ProductSprint Backlog'!$I42), AND('ProductSprint Backlog'!$J42=D$2,'ProductSprint Backlog'!$I42=D$2), 'ProductSprint Backlog'!$F42, TRUE, 0)</f>
        <v>0</v>
      </c>
      <c r="E42" s="4" cm="1">
        <f t="array" ref="E42">_xlfn.IFS('ProductSprint Backlog'!$F42="", "", AND('ProductSprint Backlog'!$J42&gt;E$2,'ProductSprint Backlog'!$I42&lt;=E$2), 'ProductSprint Backlog'!$F42 / MAX(1, 'ProductSprint Backlog'!$J42-'ProductSprint Backlog'!$I42), AND('ProductSprint Backlog'!$J42=E$2,'ProductSprint Backlog'!$I42=E$2), 'ProductSprint Backlog'!$F42, TRUE, 0)</f>
        <v>0</v>
      </c>
      <c r="F42" s="4" cm="1">
        <f t="array" ref="F42">_xlfn.IFS('ProductSprint Backlog'!$F42="", "", AND('ProductSprint Backlog'!$J42&gt;F$2,'ProductSprint Backlog'!$I42&lt;=F$2), 'ProductSprint Backlog'!$F42 / MAX(1, 'ProductSprint Backlog'!$J42-'ProductSprint Backlog'!$I42), AND('ProductSprint Backlog'!$J42=F$2,'ProductSprint Backlog'!$I42=F$2), 'ProductSprint Backlog'!$F42, TRUE, 0)</f>
        <v>0</v>
      </c>
      <c r="G42" s="4" cm="1">
        <f t="array" ref="G42">_xlfn.IFS('ProductSprint Backlog'!$F42="", "", AND('ProductSprint Backlog'!$J42&gt;G$2,'ProductSprint Backlog'!$I42&lt;=G$2), 'ProductSprint Backlog'!$F42 / MAX(1, 'ProductSprint Backlog'!$J42-'ProductSprint Backlog'!$I42), AND('ProductSprint Backlog'!$J42=G$2,'ProductSprint Backlog'!$I42=G$2), 'ProductSprint Backlog'!$F42, TRUE, 0)</f>
        <v>0</v>
      </c>
      <c r="H42" s="4" cm="1">
        <f t="array" ref="H42">_xlfn.IFS('ProductSprint Backlog'!$F42="", "", AND('ProductSprint Backlog'!$J42&gt;H$2,'ProductSprint Backlog'!$I42&lt;=H$2), 'ProductSprint Backlog'!$F42 / MAX(1, 'ProductSprint Backlog'!$J42-'ProductSprint Backlog'!$I42), AND('ProductSprint Backlog'!$J42=H$2,'ProductSprint Backlog'!$I42=H$2), 'ProductSprint Backlog'!$F42, TRUE, 0)</f>
        <v>0</v>
      </c>
      <c r="I42" s="4" cm="1">
        <f t="array" ref="I42">_xlfn.IFS('ProductSprint Backlog'!$F42="", "", AND('ProductSprint Backlog'!$J42&gt;I$2,'ProductSprint Backlog'!$I42&lt;=I$2), 'ProductSprint Backlog'!$F42 / MAX(1, 'ProductSprint Backlog'!$J42-'ProductSprint Backlog'!$I42), AND('ProductSprint Backlog'!$J42=I$2,'ProductSprint Backlog'!$I42=I$2), 'ProductSprint Backlog'!$F42, TRUE, 0)</f>
        <v>0</v>
      </c>
      <c r="J42" s="4" cm="1">
        <f t="array" ref="J42">_xlfn.IFS('ProductSprint Backlog'!$F42="", "", AND('ProductSprint Backlog'!$J42&gt;J$2,'ProductSprint Backlog'!$I42&lt;=J$2), 'ProductSprint Backlog'!$F42 / MAX(1, 'ProductSprint Backlog'!$J42-'ProductSprint Backlog'!$I42), AND('ProductSprint Backlog'!$J42=J$2,'ProductSprint Backlog'!$I42=J$2), 'ProductSprint Backlog'!$F42, TRUE, 0)</f>
        <v>0</v>
      </c>
      <c r="K42" s="4" cm="1">
        <f t="array" ref="K42">_xlfn.IFS('ProductSprint Backlog'!$F42="", "", AND('ProductSprint Backlog'!$J42&gt;K$2,'ProductSprint Backlog'!$I42&lt;=K$2), 'ProductSprint Backlog'!$F42 / MAX(1, 'ProductSprint Backlog'!$J42-'ProductSprint Backlog'!$I42), AND('ProductSprint Backlog'!$J42=K$2,'ProductSprint Backlog'!$I42=K$2), 'ProductSprint Backlog'!$F42, TRUE, 0)</f>
        <v>0.5</v>
      </c>
      <c r="L42" s="4" cm="1">
        <f t="array" ref="L42">_xlfn.IFS('ProductSprint Backlog'!$F42="", "", AND('ProductSprint Backlog'!$J42&gt;L$2,'ProductSprint Backlog'!$I42&lt;=L$2), 'ProductSprint Backlog'!$F42 / MAX(1, 'ProductSprint Backlog'!$J42-'ProductSprint Backlog'!$I42), AND('ProductSprint Backlog'!$J42=L$2,'ProductSprint Backlog'!$I42=L$2), 'ProductSprint Backlog'!$F42, TRUE, 0)</f>
        <v>0.5</v>
      </c>
      <c r="M42" s="4" cm="1">
        <f t="array" ref="M42">_xlfn.IFS('ProductSprint Backlog'!$F42="", "", AND('ProductSprint Backlog'!$J42&gt;M$2,'ProductSprint Backlog'!$I42&lt;=M$2), 'ProductSprint Backlog'!$F42 / MAX(1, 'ProductSprint Backlog'!$J42-'ProductSprint Backlog'!$I42), AND('ProductSprint Backlog'!$J42=M$2,'ProductSprint Backlog'!$I42=M$2), 'ProductSprint Backlog'!$F42, TRUE, 0)</f>
        <v>0</v>
      </c>
      <c r="N42" s="4" cm="1">
        <f t="array" ref="N42">_xlfn.IFS('ProductSprint Backlog'!$F42="", "", AND('ProductSprint Backlog'!$J42&gt;N$2,'ProductSprint Backlog'!$I42&lt;=N$2), 'ProductSprint Backlog'!$F42 / MAX(1, 'ProductSprint Backlog'!$J42-'ProductSprint Backlog'!$I42), AND('ProductSprint Backlog'!$J42=N$2,'ProductSprint Backlog'!$I42=N$2), 'ProductSprint Backlog'!$F42, TRUE, 0)</f>
        <v>0</v>
      </c>
      <c r="O42" s="4" cm="1">
        <f t="array" ref="O42">_xlfn.IFS('ProductSprint Backlog'!$F42="", "", AND('ProductSprint Backlog'!$J42&gt;O$2,'ProductSprint Backlog'!$I42&lt;=O$2), 'ProductSprint Backlog'!$F42 / MAX(1, 'ProductSprint Backlog'!$J42-'ProductSprint Backlog'!$I42), AND('ProductSprint Backlog'!$J42=O$2,'ProductSprint Backlog'!$I42=O$2), 'ProductSprint Backlog'!$F42, TRUE, 0)</f>
        <v>0</v>
      </c>
    </row>
    <row r="43" spans="2:15" x14ac:dyDescent="0.2">
      <c r="B43" s="4" cm="1">
        <f t="array" ref="B43">_xlfn.IFS('ProductSprint Backlog'!$F43="", "", AND('ProductSprint Backlog'!$J43&gt;B$2,'ProductSprint Backlog'!$I43&lt;=B$2), 'ProductSprint Backlog'!$F43 / MAX(1, 'ProductSprint Backlog'!$J43-'ProductSprint Backlog'!$I43), AND('ProductSprint Backlog'!$J43=B$2,'ProductSprint Backlog'!$I43=B$2), 'ProductSprint Backlog'!$F43, TRUE, 0)</f>
        <v>0</v>
      </c>
      <c r="C43" s="4" cm="1">
        <f t="array" ref="C43">_xlfn.IFS('ProductSprint Backlog'!$F43="", "", AND('ProductSprint Backlog'!$J43&gt;C$2,'ProductSprint Backlog'!$I43&lt;=C$2), 'ProductSprint Backlog'!$F43 / MAX(1, 'ProductSprint Backlog'!$J43-'ProductSprint Backlog'!$I43), AND('ProductSprint Backlog'!$J43=C$2,'ProductSprint Backlog'!$I43=C$2), 'ProductSprint Backlog'!$F43, TRUE, 0)</f>
        <v>0</v>
      </c>
      <c r="D43" s="4" cm="1">
        <f t="array" ref="D43">_xlfn.IFS('ProductSprint Backlog'!$F43="", "", AND('ProductSprint Backlog'!$J43&gt;D$2,'ProductSprint Backlog'!$I43&lt;=D$2), 'ProductSprint Backlog'!$F43 / MAX(1, 'ProductSprint Backlog'!$J43-'ProductSprint Backlog'!$I43), AND('ProductSprint Backlog'!$J43=D$2,'ProductSprint Backlog'!$I43=D$2), 'ProductSprint Backlog'!$F43, TRUE, 0)</f>
        <v>0</v>
      </c>
      <c r="E43" s="4" cm="1">
        <f t="array" ref="E43">_xlfn.IFS('ProductSprint Backlog'!$F43="", "", AND('ProductSprint Backlog'!$J43&gt;E$2,'ProductSprint Backlog'!$I43&lt;=E$2), 'ProductSprint Backlog'!$F43 / MAX(1, 'ProductSprint Backlog'!$J43-'ProductSprint Backlog'!$I43), AND('ProductSprint Backlog'!$J43=E$2,'ProductSprint Backlog'!$I43=E$2), 'ProductSprint Backlog'!$F43, TRUE, 0)</f>
        <v>0</v>
      </c>
      <c r="F43" s="4" cm="1">
        <f t="array" ref="F43">_xlfn.IFS('ProductSprint Backlog'!$F43="", "", AND('ProductSprint Backlog'!$J43&gt;F$2,'ProductSprint Backlog'!$I43&lt;=F$2), 'ProductSprint Backlog'!$F43 / MAX(1, 'ProductSprint Backlog'!$J43-'ProductSprint Backlog'!$I43), AND('ProductSprint Backlog'!$J43=F$2,'ProductSprint Backlog'!$I43=F$2), 'ProductSprint Backlog'!$F43, TRUE, 0)</f>
        <v>0</v>
      </c>
      <c r="G43" s="4" cm="1">
        <f t="array" ref="G43">_xlfn.IFS('ProductSprint Backlog'!$F43="", "", AND('ProductSprint Backlog'!$J43&gt;G$2,'ProductSprint Backlog'!$I43&lt;=G$2), 'ProductSprint Backlog'!$F43 / MAX(1, 'ProductSprint Backlog'!$J43-'ProductSprint Backlog'!$I43), AND('ProductSprint Backlog'!$J43=G$2,'ProductSprint Backlog'!$I43=G$2), 'ProductSprint Backlog'!$F43, TRUE, 0)</f>
        <v>0</v>
      </c>
      <c r="H43" s="4" cm="1">
        <f t="array" ref="H43">_xlfn.IFS('ProductSprint Backlog'!$F43="", "", AND('ProductSprint Backlog'!$J43&gt;H$2,'ProductSprint Backlog'!$I43&lt;=H$2), 'ProductSprint Backlog'!$F43 / MAX(1, 'ProductSprint Backlog'!$J43-'ProductSprint Backlog'!$I43), AND('ProductSprint Backlog'!$J43=H$2,'ProductSprint Backlog'!$I43=H$2), 'ProductSprint Backlog'!$F43, TRUE, 0)</f>
        <v>0</v>
      </c>
      <c r="I43" s="4" cm="1">
        <f t="array" ref="I43">_xlfn.IFS('ProductSprint Backlog'!$F43="", "", AND('ProductSprint Backlog'!$J43&gt;I$2,'ProductSprint Backlog'!$I43&lt;=I$2), 'ProductSprint Backlog'!$F43 / MAX(1, 'ProductSprint Backlog'!$J43-'ProductSprint Backlog'!$I43), AND('ProductSprint Backlog'!$J43=I$2,'ProductSprint Backlog'!$I43=I$2), 'ProductSprint Backlog'!$F43, TRUE, 0)</f>
        <v>0</v>
      </c>
      <c r="J43" s="4" cm="1">
        <f t="array" ref="J43">_xlfn.IFS('ProductSprint Backlog'!$F43="", "", AND('ProductSprint Backlog'!$J43&gt;J$2,'ProductSprint Backlog'!$I43&lt;=J$2), 'ProductSprint Backlog'!$F43 / MAX(1, 'ProductSprint Backlog'!$J43-'ProductSprint Backlog'!$I43), AND('ProductSprint Backlog'!$J43=J$2,'ProductSprint Backlog'!$I43=J$2), 'ProductSprint Backlog'!$F43, TRUE, 0)</f>
        <v>0</v>
      </c>
      <c r="K43" s="4" cm="1">
        <f t="array" ref="K43">_xlfn.IFS('ProductSprint Backlog'!$F43="", "", AND('ProductSprint Backlog'!$J43&gt;K$2,'ProductSprint Backlog'!$I43&lt;=K$2), 'ProductSprint Backlog'!$F43 / MAX(1, 'ProductSprint Backlog'!$J43-'ProductSprint Backlog'!$I43), AND('ProductSprint Backlog'!$J43=K$2,'ProductSprint Backlog'!$I43=K$2), 'ProductSprint Backlog'!$F43, TRUE, 0)</f>
        <v>0</v>
      </c>
      <c r="L43" s="4" cm="1">
        <f t="array" ref="L43">_xlfn.IFS('ProductSprint Backlog'!$F43="", "", AND('ProductSprint Backlog'!$J43&gt;L$2,'ProductSprint Backlog'!$I43&lt;=L$2), 'ProductSprint Backlog'!$F43 / MAX(1, 'ProductSprint Backlog'!$J43-'ProductSprint Backlog'!$I43), AND('ProductSprint Backlog'!$J43=L$2,'ProductSprint Backlog'!$I43=L$2), 'ProductSprint Backlog'!$F43, TRUE, 0)</f>
        <v>1.5</v>
      </c>
      <c r="M43" s="4" cm="1">
        <f t="array" ref="M43">_xlfn.IFS('ProductSprint Backlog'!$F43="", "", AND('ProductSprint Backlog'!$J43&gt;M$2,'ProductSprint Backlog'!$I43&lt;=M$2), 'ProductSprint Backlog'!$F43 / MAX(1, 'ProductSprint Backlog'!$J43-'ProductSprint Backlog'!$I43), AND('ProductSprint Backlog'!$J43=M$2,'ProductSprint Backlog'!$I43=M$2), 'ProductSprint Backlog'!$F43, TRUE, 0)</f>
        <v>1.5</v>
      </c>
      <c r="N43" s="4" cm="1">
        <f t="array" ref="N43">_xlfn.IFS('ProductSprint Backlog'!$F43="", "", AND('ProductSprint Backlog'!$J43&gt;N$2,'ProductSprint Backlog'!$I43&lt;=N$2), 'ProductSprint Backlog'!$F43 / MAX(1, 'ProductSprint Backlog'!$J43-'ProductSprint Backlog'!$I43), AND('ProductSprint Backlog'!$J43=N$2,'ProductSprint Backlog'!$I43=N$2), 'ProductSprint Backlog'!$F43, TRUE, 0)</f>
        <v>0</v>
      </c>
      <c r="O43" s="4" cm="1">
        <f t="array" ref="O43">_xlfn.IFS('ProductSprint Backlog'!$F43="", "", AND('ProductSprint Backlog'!$J43&gt;O$2,'ProductSprint Backlog'!$I43&lt;=O$2), 'ProductSprint Backlog'!$F43 / MAX(1, 'ProductSprint Backlog'!$J43-'ProductSprint Backlog'!$I43), AND('ProductSprint Backlog'!$J43=O$2,'ProductSprint Backlog'!$I43=O$2), 'ProductSprint Backlog'!$F43, TRUE, 0)</f>
        <v>0</v>
      </c>
    </row>
    <row r="44" spans="2:15" x14ac:dyDescent="0.2">
      <c r="B44" s="4" t="str" cm="1">
        <f t="array" ref="B44">_xlfn.IFS('ProductSprint Backlog'!$F44="", "", AND('ProductSprint Backlog'!$J44&gt;B$2,'ProductSprint Backlog'!$I44&lt;=B$2), 'ProductSprint Backlog'!$F44 / MAX(1, 'ProductSprint Backlog'!$J44-'ProductSprint Backlog'!$I44), AND('ProductSprint Backlog'!$J44=B$2,'ProductSprint Backlog'!$I44=B$2), 'ProductSprint Backlog'!$F44, TRUE, 0)</f>
        <v/>
      </c>
      <c r="C44" s="4" t="str" cm="1">
        <f t="array" ref="C44">_xlfn.IFS('ProductSprint Backlog'!$F44="", "", AND('ProductSprint Backlog'!$J44&gt;C$2,'ProductSprint Backlog'!$I44&lt;=C$2), 'ProductSprint Backlog'!$F44 / MAX(1, 'ProductSprint Backlog'!$J44-'ProductSprint Backlog'!$I44), AND('ProductSprint Backlog'!$J44=C$2,'ProductSprint Backlog'!$I44=C$2), 'ProductSprint Backlog'!$F44, TRUE, 0)</f>
        <v/>
      </c>
      <c r="D44" s="4" t="str" cm="1">
        <f t="array" ref="D44">_xlfn.IFS('ProductSprint Backlog'!$F44="", "", AND('ProductSprint Backlog'!$J44&gt;D$2,'ProductSprint Backlog'!$I44&lt;=D$2), 'ProductSprint Backlog'!$F44 / MAX(1, 'ProductSprint Backlog'!$J44-'ProductSprint Backlog'!$I44), AND('ProductSprint Backlog'!$J44=D$2,'ProductSprint Backlog'!$I44=D$2), 'ProductSprint Backlog'!$F44, TRUE, 0)</f>
        <v/>
      </c>
      <c r="E44" s="4" t="str" cm="1">
        <f t="array" ref="E44">_xlfn.IFS('ProductSprint Backlog'!$F44="", "", AND('ProductSprint Backlog'!$J44&gt;E$2,'ProductSprint Backlog'!$I44&lt;=E$2), 'ProductSprint Backlog'!$F44 / MAX(1, 'ProductSprint Backlog'!$J44-'ProductSprint Backlog'!$I44), AND('ProductSprint Backlog'!$J44=E$2,'ProductSprint Backlog'!$I44=E$2), 'ProductSprint Backlog'!$F44, TRUE, 0)</f>
        <v/>
      </c>
      <c r="F44" s="4" t="str" cm="1">
        <f t="array" ref="F44">_xlfn.IFS('ProductSprint Backlog'!$F44="", "", AND('ProductSprint Backlog'!$J44&gt;F$2,'ProductSprint Backlog'!$I44&lt;=F$2), 'ProductSprint Backlog'!$F44 / MAX(1, 'ProductSprint Backlog'!$J44-'ProductSprint Backlog'!$I44), AND('ProductSprint Backlog'!$J44=F$2,'ProductSprint Backlog'!$I44=F$2), 'ProductSprint Backlog'!$F44, TRUE, 0)</f>
        <v/>
      </c>
      <c r="G44" s="4" t="str" cm="1">
        <f t="array" ref="G44">_xlfn.IFS('ProductSprint Backlog'!$F44="", "", AND('ProductSprint Backlog'!$J44&gt;G$2,'ProductSprint Backlog'!$I44&lt;=G$2), 'ProductSprint Backlog'!$F44 / MAX(1, 'ProductSprint Backlog'!$J44-'ProductSprint Backlog'!$I44), AND('ProductSprint Backlog'!$J44=G$2,'ProductSprint Backlog'!$I44=G$2), 'ProductSprint Backlog'!$F44, TRUE, 0)</f>
        <v/>
      </c>
      <c r="H44" s="4" t="str" cm="1">
        <f t="array" ref="H44">_xlfn.IFS('ProductSprint Backlog'!$F44="", "", AND('ProductSprint Backlog'!$J44&gt;H$2,'ProductSprint Backlog'!$I44&lt;=H$2), 'ProductSprint Backlog'!$F44 / MAX(1, 'ProductSprint Backlog'!$J44-'ProductSprint Backlog'!$I44), AND('ProductSprint Backlog'!$J44=H$2,'ProductSprint Backlog'!$I44=H$2), 'ProductSprint Backlog'!$F44, TRUE, 0)</f>
        <v/>
      </c>
      <c r="I44" s="4" t="str" cm="1">
        <f t="array" ref="I44">_xlfn.IFS('ProductSprint Backlog'!$F44="", "", AND('ProductSprint Backlog'!$J44&gt;I$2,'ProductSprint Backlog'!$I44&lt;=I$2), 'ProductSprint Backlog'!$F44 / MAX(1, 'ProductSprint Backlog'!$J44-'ProductSprint Backlog'!$I44), AND('ProductSprint Backlog'!$J44=I$2,'ProductSprint Backlog'!$I44=I$2), 'ProductSprint Backlog'!$F44, TRUE, 0)</f>
        <v/>
      </c>
      <c r="J44" s="4" t="str" cm="1">
        <f t="array" ref="J44">_xlfn.IFS('ProductSprint Backlog'!$F44="", "", AND('ProductSprint Backlog'!$J44&gt;J$2,'ProductSprint Backlog'!$I44&lt;=J$2), 'ProductSprint Backlog'!$F44 / MAX(1, 'ProductSprint Backlog'!$J44-'ProductSprint Backlog'!$I44), AND('ProductSprint Backlog'!$J44=J$2,'ProductSprint Backlog'!$I44=J$2), 'ProductSprint Backlog'!$F44, TRUE, 0)</f>
        <v/>
      </c>
      <c r="K44" s="4" t="str" cm="1">
        <f t="array" ref="K44">_xlfn.IFS('ProductSprint Backlog'!$F44="", "", AND('ProductSprint Backlog'!$J44&gt;K$2,'ProductSprint Backlog'!$I44&lt;=K$2), 'ProductSprint Backlog'!$F44 / MAX(1, 'ProductSprint Backlog'!$J44-'ProductSprint Backlog'!$I44), AND('ProductSprint Backlog'!$J44=K$2,'ProductSprint Backlog'!$I44=K$2), 'ProductSprint Backlog'!$F44, TRUE, 0)</f>
        <v/>
      </c>
      <c r="L44" s="4" t="str" cm="1">
        <f t="array" ref="L44">_xlfn.IFS('ProductSprint Backlog'!$F44="", "", AND('ProductSprint Backlog'!$J44&gt;L$2,'ProductSprint Backlog'!$I44&lt;=L$2), 'ProductSprint Backlog'!$F44 / MAX(1, 'ProductSprint Backlog'!$J44-'ProductSprint Backlog'!$I44), AND('ProductSprint Backlog'!$J44=L$2,'ProductSprint Backlog'!$I44=L$2), 'ProductSprint Backlog'!$F44, TRUE, 0)</f>
        <v/>
      </c>
      <c r="M44" s="4" t="str" cm="1">
        <f t="array" ref="M44">_xlfn.IFS('ProductSprint Backlog'!$F44="", "", AND('ProductSprint Backlog'!$J44&gt;M$2,'ProductSprint Backlog'!$I44&lt;=M$2), 'ProductSprint Backlog'!$F44 / MAX(1, 'ProductSprint Backlog'!$J44-'ProductSprint Backlog'!$I44), AND('ProductSprint Backlog'!$J44=M$2,'ProductSprint Backlog'!$I44=M$2), 'ProductSprint Backlog'!$F44, TRUE, 0)</f>
        <v/>
      </c>
      <c r="N44" s="4" t="str" cm="1">
        <f t="array" ref="N44">_xlfn.IFS('ProductSprint Backlog'!$F44="", "", AND('ProductSprint Backlog'!$J44&gt;N$2,'ProductSprint Backlog'!$I44&lt;=N$2), 'ProductSprint Backlog'!$F44 / MAX(1, 'ProductSprint Backlog'!$J44-'ProductSprint Backlog'!$I44), AND('ProductSprint Backlog'!$J44=N$2,'ProductSprint Backlog'!$I44=N$2), 'ProductSprint Backlog'!$F44, TRUE, 0)</f>
        <v/>
      </c>
      <c r="O44" s="4" t="str" cm="1">
        <f t="array" ref="O44">_xlfn.IFS('ProductSprint Backlog'!$F44="", "", AND('ProductSprint Backlog'!$J44&gt;O$2,'ProductSprint Backlog'!$I44&lt;=O$2), 'ProductSprint Backlog'!$F44 / MAX(1, 'ProductSprint Backlog'!$J44-'ProductSprint Backlog'!$I44), AND('ProductSprint Backlog'!$J44=O$2,'ProductSprint Backlog'!$I44=O$2), 'ProductSprint Backlog'!$F44, TRUE, 0)</f>
        <v/>
      </c>
    </row>
    <row r="45" spans="2:15" x14ac:dyDescent="0.2">
      <c r="B45" s="4" cm="1">
        <f t="array" ref="B45">_xlfn.IFS('ProductSprint Backlog'!$F45="", "", AND('ProductSprint Backlog'!$J45&gt;B$2,'ProductSprint Backlog'!$I45&lt;=B$2), 'ProductSprint Backlog'!$F45 / MAX(1, 'ProductSprint Backlog'!$J45-'ProductSprint Backlog'!$I45), AND('ProductSprint Backlog'!$J45=B$2,'ProductSprint Backlog'!$I45=B$2), 'ProductSprint Backlog'!$F45, TRUE, 0)</f>
        <v>0</v>
      </c>
      <c r="C45" s="4" cm="1">
        <f t="array" ref="C45">_xlfn.IFS('ProductSprint Backlog'!$F45="", "", AND('ProductSprint Backlog'!$J45&gt;C$2,'ProductSprint Backlog'!$I45&lt;=C$2), 'ProductSprint Backlog'!$F45 / MAX(1, 'ProductSprint Backlog'!$J45-'ProductSprint Backlog'!$I45), AND('ProductSprint Backlog'!$J45=C$2,'ProductSprint Backlog'!$I45=C$2), 'ProductSprint Backlog'!$F45, TRUE, 0)</f>
        <v>0</v>
      </c>
      <c r="D45" s="4" cm="1">
        <f t="array" ref="D45">_xlfn.IFS('ProductSprint Backlog'!$F45="", "", AND('ProductSprint Backlog'!$J45&gt;D$2,'ProductSprint Backlog'!$I45&lt;=D$2), 'ProductSprint Backlog'!$F45 / MAX(1, 'ProductSprint Backlog'!$J45-'ProductSprint Backlog'!$I45), AND('ProductSprint Backlog'!$J45=D$2,'ProductSprint Backlog'!$I45=D$2), 'ProductSprint Backlog'!$F45, TRUE, 0)</f>
        <v>0</v>
      </c>
      <c r="E45" s="4" cm="1">
        <f t="array" ref="E45">_xlfn.IFS('ProductSprint Backlog'!$F45="", "", AND('ProductSprint Backlog'!$J45&gt;E$2,'ProductSprint Backlog'!$I45&lt;=E$2), 'ProductSprint Backlog'!$F45 / MAX(1, 'ProductSprint Backlog'!$J45-'ProductSprint Backlog'!$I45), AND('ProductSprint Backlog'!$J45=E$2,'ProductSprint Backlog'!$I45=E$2), 'ProductSprint Backlog'!$F45, TRUE, 0)</f>
        <v>0</v>
      </c>
      <c r="F45" s="4" cm="1">
        <f t="array" ref="F45">_xlfn.IFS('ProductSprint Backlog'!$F45="", "", AND('ProductSprint Backlog'!$J45&gt;F$2,'ProductSprint Backlog'!$I45&lt;=F$2), 'ProductSprint Backlog'!$F45 / MAX(1, 'ProductSprint Backlog'!$J45-'ProductSprint Backlog'!$I45), AND('ProductSprint Backlog'!$J45=F$2,'ProductSprint Backlog'!$I45=F$2), 'ProductSprint Backlog'!$F45, TRUE, 0)</f>
        <v>0</v>
      </c>
      <c r="G45" s="4" cm="1">
        <f t="array" ref="G45">_xlfn.IFS('ProductSprint Backlog'!$F45="", "", AND('ProductSprint Backlog'!$J45&gt;G$2,'ProductSprint Backlog'!$I45&lt;=G$2), 'ProductSprint Backlog'!$F45 / MAX(1, 'ProductSprint Backlog'!$J45-'ProductSprint Backlog'!$I45), AND('ProductSprint Backlog'!$J45=G$2,'ProductSprint Backlog'!$I45=G$2), 'ProductSprint Backlog'!$F45, TRUE, 0)</f>
        <v>0</v>
      </c>
      <c r="H45" s="4" cm="1">
        <f t="array" ref="H45">_xlfn.IFS('ProductSprint Backlog'!$F45="", "", AND('ProductSprint Backlog'!$J45&gt;H$2,'ProductSprint Backlog'!$I45&lt;=H$2), 'ProductSprint Backlog'!$F45 / MAX(1, 'ProductSprint Backlog'!$J45-'ProductSprint Backlog'!$I45), AND('ProductSprint Backlog'!$J45=H$2,'ProductSprint Backlog'!$I45=H$2), 'ProductSprint Backlog'!$F45, TRUE, 0)</f>
        <v>0</v>
      </c>
      <c r="I45" s="4" cm="1">
        <f t="array" ref="I45">_xlfn.IFS('ProductSprint Backlog'!$F45="", "", AND('ProductSprint Backlog'!$J45&gt;I$2,'ProductSprint Backlog'!$I45&lt;=I$2), 'ProductSprint Backlog'!$F45 / MAX(1, 'ProductSprint Backlog'!$J45-'ProductSprint Backlog'!$I45), AND('ProductSprint Backlog'!$J45=I$2,'ProductSprint Backlog'!$I45=I$2), 'ProductSprint Backlog'!$F45, TRUE, 0)</f>
        <v>0</v>
      </c>
      <c r="J45" s="4" cm="1">
        <f t="array" ref="J45">_xlfn.IFS('ProductSprint Backlog'!$F45="", "", AND('ProductSprint Backlog'!$J45&gt;J$2,'ProductSprint Backlog'!$I45&lt;=J$2), 'ProductSprint Backlog'!$F45 / MAX(1, 'ProductSprint Backlog'!$J45-'ProductSprint Backlog'!$I45), AND('ProductSprint Backlog'!$J45=J$2,'ProductSprint Backlog'!$I45=J$2), 'ProductSprint Backlog'!$F45, TRUE, 0)</f>
        <v>0</v>
      </c>
      <c r="K45" s="4" cm="1">
        <f t="array" ref="K45">_xlfn.IFS('ProductSprint Backlog'!$F45="", "", AND('ProductSprint Backlog'!$J45&gt;K$2,'ProductSprint Backlog'!$I45&lt;=K$2), 'ProductSprint Backlog'!$F45 / MAX(1, 'ProductSprint Backlog'!$J45-'ProductSprint Backlog'!$I45), AND('ProductSprint Backlog'!$J45=K$2,'ProductSprint Backlog'!$I45=K$2), 'ProductSprint Backlog'!$F45, TRUE, 0)</f>
        <v>0.5</v>
      </c>
      <c r="L45" s="4" cm="1">
        <f t="array" ref="L45">_xlfn.IFS('ProductSprint Backlog'!$F45="", "", AND('ProductSprint Backlog'!$J45&gt;L$2,'ProductSprint Backlog'!$I45&lt;=L$2), 'ProductSprint Backlog'!$F45 / MAX(1, 'ProductSprint Backlog'!$J45-'ProductSprint Backlog'!$I45), AND('ProductSprint Backlog'!$J45=L$2,'ProductSprint Backlog'!$I45=L$2), 'ProductSprint Backlog'!$F45, TRUE, 0)</f>
        <v>0.5</v>
      </c>
      <c r="M45" s="4" cm="1">
        <f t="array" ref="M45">_xlfn.IFS('ProductSprint Backlog'!$F45="", "", AND('ProductSprint Backlog'!$J45&gt;M$2,'ProductSprint Backlog'!$I45&lt;=M$2), 'ProductSprint Backlog'!$F45 / MAX(1, 'ProductSprint Backlog'!$J45-'ProductSprint Backlog'!$I45), AND('ProductSprint Backlog'!$J45=M$2,'ProductSprint Backlog'!$I45=M$2), 'ProductSprint Backlog'!$F45, TRUE, 0)</f>
        <v>0</v>
      </c>
      <c r="N45" s="4" cm="1">
        <f t="array" ref="N45">_xlfn.IFS('ProductSprint Backlog'!$F45="", "", AND('ProductSprint Backlog'!$J45&gt;N$2,'ProductSprint Backlog'!$I45&lt;=N$2), 'ProductSprint Backlog'!$F45 / MAX(1, 'ProductSprint Backlog'!$J45-'ProductSprint Backlog'!$I45), AND('ProductSprint Backlog'!$J45=N$2,'ProductSprint Backlog'!$I45=N$2), 'ProductSprint Backlog'!$F45, TRUE, 0)</f>
        <v>0</v>
      </c>
      <c r="O45" s="4" cm="1">
        <f t="array" ref="O45">_xlfn.IFS('ProductSprint Backlog'!$F45="", "", AND('ProductSprint Backlog'!$J45&gt;O$2,'ProductSprint Backlog'!$I45&lt;=O$2), 'ProductSprint Backlog'!$F45 / MAX(1, 'ProductSprint Backlog'!$J45-'ProductSprint Backlog'!$I45), AND('ProductSprint Backlog'!$J45=O$2,'ProductSprint Backlog'!$I45=O$2), 'ProductSprint Backlog'!$F45, TRUE, 0)</f>
        <v>0</v>
      </c>
    </row>
    <row r="46" spans="2:15" x14ac:dyDescent="0.2">
      <c r="B46" s="4" cm="1">
        <f t="array" ref="B46">_xlfn.IFS('ProductSprint Backlog'!$F46="", "", AND('ProductSprint Backlog'!$J46&gt;B$2,'ProductSprint Backlog'!$I46&lt;=B$2), 'ProductSprint Backlog'!$F46 / MAX(1, 'ProductSprint Backlog'!$J46-'ProductSprint Backlog'!$I46), AND('ProductSprint Backlog'!$J46=B$2,'ProductSprint Backlog'!$I46=B$2), 'ProductSprint Backlog'!$F46, TRUE, 0)</f>
        <v>0</v>
      </c>
      <c r="C46" s="4" cm="1">
        <f t="array" ref="C46">_xlfn.IFS('ProductSprint Backlog'!$F46="", "", AND('ProductSprint Backlog'!$J46&gt;C$2,'ProductSprint Backlog'!$I46&lt;=C$2), 'ProductSprint Backlog'!$F46 / MAX(1, 'ProductSprint Backlog'!$J46-'ProductSprint Backlog'!$I46), AND('ProductSprint Backlog'!$J46=C$2,'ProductSprint Backlog'!$I46=C$2), 'ProductSprint Backlog'!$F46, TRUE, 0)</f>
        <v>0</v>
      </c>
      <c r="D46" s="4" cm="1">
        <f t="array" ref="D46">_xlfn.IFS('ProductSprint Backlog'!$F46="", "", AND('ProductSprint Backlog'!$J46&gt;D$2,'ProductSprint Backlog'!$I46&lt;=D$2), 'ProductSprint Backlog'!$F46 / MAX(1, 'ProductSprint Backlog'!$J46-'ProductSprint Backlog'!$I46), AND('ProductSprint Backlog'!$J46=D$2,'ProductSprint Backlog'!$I46=D$2), 'ProductSprint Backlog'!$F46, TRUE, 0)</f>
        <v>0</v>
      </c>
      <c r="E46" s="4" cm="1">
        <f t="array" ref="E46">_xlfn.IFS('ProductSprint Backlog'!$F46="", "", AND('ProductSprint Backlog'!$J46&gt;E$2,'ProductSprint Backlog'!$I46&lt;=E$2), 'ProductSprint Backlog'!$F46 / MAX(1, 'ProductSprint Backlog'!$J46-'ProductSprint Backlog'!$I46), AND('ProductSprint Backlog'!$J46=E$2,'ProductSprint Backlog'!$I46=E$2), 'ProductSprint Backlog'!$F46, TRUE, 0)</f>
        <v>0</v>
      </c>
      <c r="F46" s="4" cm="1">
        <f t="array" ref="F46">_xlfn.IFS('ProductSprint Backlog'!$F46="", "", AND('ProductSprint Backlog'!$J46&gt;F$2,'ProductSprint Backlog'!$I46&lt;=F$2), 'ProductSprint Backlog'!$F46 / MAX(1, 'ProductSprint Backlog'!$J46-'ProductSprint Backlog'!$I46), AND('ProductSprint Backlog'!$J46=F$2,'ProductSprint Backlog'!$I46=F$2), 'ProductSprint Backlog'!$F46, TRUE, 0)</f>
        <v>0</v>
      </c>
      <c r="G46" s="4" cm="1">
        <f t="array" ref="G46">_xlfn.IFS('ProductSprint Backlog'!$F46="", "", AND('ProductSprint Backlog'!$J46&gt;G$2,'ProductSprint Backlog'!$I46&lt;=G$2), 'ProductSprint Backlog'!$F46 / MAX(1, 'ProductSprint Backlog'!$J46-'ProductSprint Backlog'!$I46), AND('ProductSprint Backlog'!$J46=G$2,'ProductSprint Backlog'!$I46=G$2), 'ProductSprint Backlog'!$F46, TRUE, 0)</f>
        <v>0</v>
      </c>
      <c r="H46" s="4" cm="1">
        <f t="array" ref="H46">_xlfn.IFS('ProductSprint Backlog'!$F46="", "", AND('ProductSprint Backlog'!$J46&gt;H$2,'ProductSprint Backlog'!$I46&lt;=H$2), 'ProductSprint Backlog'!$F46 / MAX(1, 'ProductSprint Backlog'!$J46-'ProductSprint Backlog'!$I46), AND('ProductSprint Backlog'!$J46=H$2,'ProductSprint Backlog'!$I46=H$2), 'ProductSprint Backlog'!$F46, TRUE, 0)</f>
        <v>0</v>
      </c>
      <c r="I46" s="4" cm="1">
        <f t="array" ref="I46">_xlfn.IFS('ProductSprint Backlog'!$F46="", "", AND('ProductSprint Backlog'!$J46&gt;I$2,'ProductSprint Backlog'!$I46&lt;=I$2), 'ProductSprint Backlog'!$F46 / MAX(1, 'ProductSprint Backlog'!$J46-'ProductSprint Backlog'!$I46), AND('ProductSprint Backlog'!$J46=I$2,'ProductSprint Backlog'!$I46=I$2), 'ProductSprint Backlog'!$F46, TRUE, 0)</f>
        <v>0</v>
      </c>
      <c r="J46" s="4" cm="1">
        <f t="array" ref="J46">_xlfn.IFS('ProductSprint Backlog'!$F46="", "", AND('ProductSprint Backlog'!$J46&gt;J$2,'ProductSprint Backlog'!$I46&lt;=J$2), 'ProductSprint Backlog'!$F46 / MAX(1, 'ProductSprint Backlog'!$J46-'ProductSprint Backlog'!$I46), AND('ProductSprint Backlog'!$J46=J$2,'ProductSprint Backlog'!$I46=J$2), 'ProductSprint Backlog'!$F46, TRUE, 0)</f>
        <v>0</v>
      </c>
      <c r="K46" s="4" cm="1">
        <f t="array" ref="K46">_xlfn.IFS('ProductSprint Backlog'!$F46="", "", AND('ProductSprint Backlog'!$J46&gt;K$2,'ProductSprint Backlog'!$I46&lt;=K$2), 'ProductSprint Backlog'!$F46 / MAX(1, 'ProductSprint Backlog'!$J46-'ProductSprint Backlog'!$I46), AND('ProductSprint Backlog'!$J46=K$2,'ProductSprint Backlog'!$I46=K$2), 'ProductSprint Backlog'!$F46, TRUE, 0)</f>
        <v>0</v>
      </c>
      <c r="L46" s="4" cm="1">
        <f t="array" ref="L46">_xlfn.IFS('ProductSprint Backlog'!$F46="", "", AND('ProductSprint Backlog'!$J46&gt;L$2,'ProductSprint Backlog'!$I46&lt;=L$2), 'ProductSprint Backlog'!$F46 / MAX(1, 'ProductSprint Backlog'!$J46-'ProductSprint Backlog'!$I46), AND('ProductSprint Backlog'!$J46=L$2,'ProductSprint Backlog'!$I46=L$2), 'ProductSprint Backlog'!$F46, TRUE, 0)</f>
        <v>1.5</v>
      </c>
      <c r="M46" s="4" cm="1">
        <f t="array" ref="M46">_xlfn.IFS('ProductSprint Backlog'!$F46="", "", AND('ProductSprint Backlog'!$J46&gt;M$2,'ProductSprint Backlog'!$I46&lt;=M$2), 'ProductSprint Backlog'!$F46 / MAX(1, 'ProductSprint Backlog'!$J46-'ProductSprint Backlog'!$I46), AND('ProductSprint Backlog'!$J46=M$2,'ProductSprint Backlog'!$I46=M$2), 'ProductSprint Backlog'!$F46, TRUE, 0)</f>
        <v>1.5</v>
      </c>
      <c r="N46" s="4" cm="1">
        <f t="array" ref="N46">_xlfn.IFS('ProductSprint Backlog'!$F46="", "", AND('ProductSprint Backlog'!$J46&gt;N$2,'ProductSprint Backlog'!$I46&lt;=N$2), 'ProductSprint Backlog'!$F46 / MAX(1, 'ProductSprint Backlog'!$J46-'ProductSprint Backlog'!$I46), AND('ProductSprint Backlog'!$J46=N$2,'ProductSprint Backlog'!$I46=N$2), 'ProductSprint Backlog'!$F46, TRUE, 0)</f>
        <v>0</v>
      </c>
      <c r="O46" s="4" cm="1">
        <f t="array" ref="O46">_xlfn.IFS('ProductSprint Backlog'!$F46="", "", AND('ProductSprint Backlog'!$J46&gt;O$2,'ProductSprint Backlog'!$I46&lt;=O$2), 'ProductSprint Backlog'!$F46 / MAX(1, 'ProductSprint Backlog'!$J46-'ProductSprint Backlog'!$I46), AND('ProductSprint Backlog'!$J46=O$2,'ProductSprint Backlog'!$I46=O$2), 'ProductSprint Backlog'!$F46, TRUE, 0)</f>
        <v>0</v>
      </c>
    </row>
    <row r="47" spans="2:15" x14ac:dyDescent="0.2">
      <c r="B47" s="4" t="str" cm="1">
        <f t="array" ref="B47">_xlfn.IFS('ProductSprint Backlog'!$F47="", "", AND('ProductSprint Backlog'!$J47&gt;B$2,'ProductSprint Backlog'!$I47&lt;=B$2), 'ProductSprint Backlog'!$F47 / MAX(1, 'ProductSprint Backlog'!$J47-'ProductSprint Backlog'!$I47), AND('ProductSprint Backlog'!$J47=B$2,'ProductSprint Backlog'!$I47=B$2), 'ProductSprint Backlog'!$F47, TRUE, 0)</f>
        <v/>
      </c>
      <c r="C47" s="4" t="str" cm="1">
        <f t="array" ref="C47">_xlfn.IFS('ProductSprint Backlog'!$F47="", "", AND('ProductSprint Backlog'!$J47&gt;C$2,'ProductSprint Backlog'!$I47&lt;=C$2), 'ProductSprint Backlog'!$F47 / MAX(1, 'ProductSprint Backlog'!$J47-'ProductSprint Backlog'!$I47), AND('ProductSprint Backlog'!$J47=C$2,'ProductSprint Backlog'!$I47=C$2), 'ProductSprint Backlog'!$F47, TRUE, 0)</f>
        <v/>
      </c>
      <c r="D47" s="4" t="str" cm="1">
        <f t="array" ref="D47">_xlfn.IFS('ProductSprint Backlog'!$F47="", "", AND('ProductSprint Backlog'!$J47&gt;D$2,'ProductSprint Backlog'!$I47&lt;=D$2), 'ProductSprint Backlog'!$F47 / MAX(1, 'ProductSprint Backlog'!$J47-'ProductSprint Backlog'!$I47), AND('ProductSprint Backlog'!$J47=D$2,'ProductSprint Backlog'!$I47=D$2), 'ProductSprint Backlog'!$F47, TRUE, 0)</f>
        <v/>
      </c>
      <c r="E47" s="4" t="str" cm="1">
        <f t="array" ref="E47">_xlfn.IFS('ProductSprint Backlog'!$F47="", "", AND('ProductSprint Backlog'!$J47&gt;E$2,'ProductSprint Backlog'!$I47&lt;=E$2), 'ProductSprint Backlog'!$F47 / MAX(1, 'ProductSprint Backlog'!$J47-'ProductSprint Backlog'!$I47), AND('ProductSprint Backlog'!$J47=E$2,'ProductSprint Backlog'!$I47=E$2), 'ProductSprint Backlog'!$F47, TRUE, 0)</f>
        <v/>
      </c>
      <c r="F47" s="4" t="str" cm="1">
        <f t="array" ref="F47">_xlfn.IFS('ProductSprint Backlog'!$F47="", "", AND('ProductSprint Backlog'!$J47&gt;F$2,'ProductSprint Backlog'!$I47&lt;=F$2), 'ProductSprint Backlog'!$F47 / MAX(1, 'ProductSprint Backlog'!$J47-'ProductSprint Backlog'!$I47), AND('ProductSprint Backlog'!$J47=F$2,'ProductSprint Backlog'!$I47=F$2), 'ProductSprint Backlog'!$F47, TRUE, 0)</f>
        <v/>
      </c>
      <c r="G47" s="4" t="str" cm="1">
        <f t="array" ref="G47">_xlfn.IFS('ProductSprint Backlog'!$F47="", "", AND('ProductSprint Backlog'!$J47&gt;G$2,'ProductSprint Backlog'!$I47&lt;=G$2), 'ProductSprint Backlog'!$F47 / MAX(1, 'ProductSprint Backlog'!$J47-'ProductSprint Backlog'!$I47), AND('ProductSprint Backlog'!$J47=G$2,'ProductSprint Backlog'!$I47=G$2), 'ProductSprint Backlog'!$F47, TRUE, 0)</f>
        <v/>
      </c>
      <c r="H47" s="4" t="str" cm="1">
        <f t="array" ref="H47">_xlfn.IFS('ProductSprint Backlog'!$F47="", "", AND('ProductSprint Backlog'!$J47&gt;H$2,'ProductSprint Backlog'!$I47&lt;=H$2), 'ProductSprint Backlog'!$F47 / MAX(1, 'ProductSprint Backlog'!$J47-'ProductSprint Backlog'!$I47), AND('ProductSprint Backlog'!$J47=H$2,'ProductSprint Backlog'!$I47=H$2), 'ProductSprint Backlog'!$F47, TRUE, 0)</f>
        <v/>
      </c>
      <c r="I47" s="4" t="str" cm="1">
        <f t="array" ref="I47">_xlfn.IFS('ProductSprint Backlog'!$F47="", "", AND('ProductSprint Backlog'!$J47&gt;I$2,'ProductSprint Backlog'!$I47&lt;=I$2), 'ProductSprint Backlog'!$F47 / MAX(1, 'ProductSprint Backlog'!$J47-'ProductSprint Backlog'!$I47), AND('ProductSprint Backlog'!$J47=I$2,'ProductSprint Backlog'!$I47=I$2), 'ProductSprint Backlog'!$F47, TRUE, 0)</f>
        <v/>
      </c>
      <c r="J47" s="4" t="str" cm="1">
        <f t="array" ref="J47">_xlfn.IFS('ProductSprint Backlog'!$F47="", "", AND('ProductSprint Backlog'!$J47&gt;J$2,'ProductSprint Backlog'!$I47&lt;=J$2), 'ProductSprint Backlog'!$F47 / MAX(1, 'ProductSprint Backlog'!$J47-'ProductSprint Backlog'!$I47), AND('ProductSprint Backlog'!$J47=J$2,'ProductSprint Backlog'!$I47=J$2), 'ProductSprint Backlog'!$F47, TRUE, 0)</f>
        <v/>
      </c>
      <c r="K47" s="4" t="str" cm="1">
        <f t="array" ref="K47">_xlfn.IFS('ProductSprint Backlog'!$F47="", "", AND('ProductSprint Backlog'!$J47&gt;K$2,'ProductSprint Backlog'!$I47&lt;=K$2), 'ProductSprint Backlog'!$F47 / MAX(1, 'ProductSprint Backlog'!$J47-'ProductSprint Backlog'!$I47), AND('ProductSprint Backlog'!$J47=K$2,'ProductSprint Backlog'!$I47=K$2), 'ProductSprint Backlog'!$F47, TRUE, 0)</f>
        <v/>
      </c>
      <c r="L47" s="4" t="str" cm="1">
        <f t="array" ref="L47">_xlfn.IFS('ProductSprint Backlog'!$F47="", "", AND('ProductSprint Backlog'!$J47&gt;L$2,'ProductSprint Backlog'!$I47&lt;=L$2), 'ProductSprint Backlog'!$F47 / MAX(1, 'ProductSprint Backlog'!$J47-'ProductSprint Backlog'!$I47), AND('ProductSprint Backlog'!$J47=L$2,'ProductSprint Backlog'!$I47=L$2), 'ProductSprint Backlog'!$F47, TRUE, 0)</f>
        <v/>
      </c>
      <c r="M47" s="4" t="str" cm="1">
        <f t="array" ref="M47">_xlfn.IFS('ProductSprint Backlog'!$F47="", "", AND('ProductSprint Backlog'!$J47&gt;M$2,'ProductSprint Backlog'!$I47&lt;=M$2), 'ProductSprint Backlog'!$F47 / MAX(1, 'ProductSprint Backlog'!$J47-'ProductSprint Backlog'!$I47), AND('ProductSprint Backlog'!$J47=M$2,'ProductSprint Backlog'!$I47=M$2), 'ProductSprint Backlog'!$F47, TRUE, 0)</f>
        <v/>
      </c>
      <c r="N47" s="4" t="str" cm="1">
        <f t="array" ref="N47">_xlfn.IFS('ProductSprint Backlog'!$F47="", "", AND('ProductSprint Backlog'!$J47&gt;N$2,'ProductSprint Backlog'!$I47&lt;=N$2), 'ProductSprint Backlog'!$F47 / MAX(1, 'ProductSprint Backlog'!$J47-'ProductSprint Backlog'!$I47), AND('ProductSprint Backlog'!$J47=N$2,'ProductSprint Backlog'!$I47=N$2), 'ProductSprint Backlog'!$F47, TRUE, 0)</f>
        <v/>
      </c>
      <c r="O47" s="4" t="str" cm="1">
        <f t="array" ref="O47">_xlfn.IFS('ProductSprint Backlog'!$F47="", "", AND('ProductSprint Backlog'!$J47&gt;O$2,'ProductSprint Backlog'!$I47&lt;=O$2), 'ProductSprint Backlog'!$F47 / MAX(1, 'ProductSprint Backlog'!$J47-'ProductSprint Backlog'!$I47), AND('ProductSprint Backlog'!$J47=O$2,'ProductSprint Backlog'!$I47=O$2), 'ProductSprint Backlog'!$F47, TRUE, 0)</f>
        <v/>
      </c>
    </row>
    <row r="48" spans="2:15" x14ac:dyDescent="0.2">
      <c r="B48" s="4" cm="1">
        <f t="array" ref="B48">_xlfn.IFS('ProductSprint Backlog'!$F48="", "", AND('ProductSprint Backlog'!$J48&gt;B$2,'ProductSprint Backlog'!$I48&lt;=B$2), 'ProductSprint Backlog'!$F48 / MAX(1, 'ProductSprint Backlog'!$J48-'ProductSprint Backlog'!$I48), AND('ProductSprint Backlog'!$J48=B$2,'ProductSprint Backlog'!$I48=B$2), 'ProductSprint Backlog'!$F48, TRUE, 0)</f>
        <v>0</v>
      </c>
      <c r="C48" s="4" cm="1">
        <f t="array" ref="C48">_xlfn.IFS('ProductSprint Backlog'!$F48="", "", AND('ProductSprint Backlog'!$J48&gt;C$2,'ProductSprint Backlog'!$I48&lt;=C$2), 'ProductSprint Backlog'!$F48 / MAX(1, 'ProductSprint Backlog'!$J48-'ProductSprint Backlog'!$I48), AND('ProductSprint Backlog'!$J48=C$2,'ProductSprint Backlog'!$I48=C$2), 'ProductSprint Backlog'!$F48, TRUE, 0)</f>
        <v>0</v>
      </c>
      <c r="D48" s="4" cm="1">
        <f t="array" ref="D48">_xlfn.IFS('ProductSprint Backlog'!$F48="", "", AND('ProductSprint Backlog'!$J48&gt;D$2,'ProductSprint Backlog'!$I48&lt;=D$2), 'ProductSprint Backlog'!$F48 / MAX(1, 'ProductSprint Backlog'!$J48-'ProductSprint Backlog'!$I48), AND('ProductSprint Backlog'!$J48=D$2,'ProductSprint Backlog'!$I48=D$2), 'ProductSprint Backlog'!$F48, TRUE, 0)</f>
        <v>0</v>
      </c>
      <c r="E48" s="4" cm="1">
        <f t="array" ref="E48">_xlfn.IFS('ProductSprint Backlog'!$F48="", "", AND('ProductSprint Backlog'!$J48&gt;E$2,'ProductSprint Backlog'!$I48&lt;=E$2), 'ProductSprint Backlog'!$F48 / MAX(1, 'ProductSprint Backlog'!$J48-'ProductSprint Backlog'!$I48), AND('ProductSprint Backlog'!$J48=E$2,'ProductSprint Backlog'!$I48=E$2), 'ProductSprint Backlog'!$F48, TRUE, 0)</f>
        <v>0</v>
      </c>
      <c r="F48" s="4" cm="1">
        <f t="array" ref="F48">_xlfn.IFS('ProductSprint Backlog'!$F48="", "", AND('ProductSprint Backlog'!$J48&gt;F$2,'ProductSprint Backlog'!$I48&lt;=F$2), 'ProductSprint Backlog'!$F48 / MAX(1, 'ProductSprint Backlog'!$J48-'ProductSprint Backlog'!$I48), AND('ProductSprint Backlog'!$J48=F$2,'ProductSprint Backlog'!$I48=F$2), 'ProductSprint Backlog'!$F48, TRUE, 0)</f>
        <v>0</v>
      </c>
      <c r="G48" s="4" cm="1">
        <f t="array" ref="G48">_xlfn.IFS('ProductSprint Backlog'!$F48="", "", AND('ProductSprint Backlog'!$J48&gt;G$2,'ProductSprint Backlog'!$I48&lt;=G$2), 'ProductSprint Backlog'!$F48 / MAX(1, 'ProductSprint Backlog'!$J48-'ProductSprint Backlog'!$I48), AND('ProductSprint Backlog'!$J48=G$2,'ProductSprint Backlog'!$I48=G$2), 'ProductSprint Backlog'!$F48, TRUE, 0)</f>
        <v>0</v>
      </c>
      <c r="H48" s="4" cm="1">
        <f t="array" ref="H48">_xlfn.IFS('ProductSprint Backlog'!$F48="", "", AND('ProductSprint Backlog'!$J48&gt;H$2,'ProductSprint Backlog'!$I48&lt;=H$2), 'ProductSprint Backlog'!$F48 / MAX(1, 'ProductSprint Backlog'!$J48-'ProductSprint Backlog'!$I48), AND('ProductSprint Backlog'!$J48=H$2,'ProductSprint Backlog'!$I48=H$2), 'ProductSprint Backlog'!$F48, TRUE, 0)</f>
        <v>0</v>
      </c>
      <c r="I48" s="4" cm="1">
        <f t="array" ref="I48">_xlfn.IFS('ProductSprint Backlog'!$F48="", "", AND('ProductSprint Backlog'!$J48&gt;I$2,'ProductSprint Backlog'!$I48&lt;=I$2), 'ProductSprint Backlog'!$F48 / MAX(1, 'ProductSprint Backlog'!$J48-'ProductSprint Backlog'!$I48), AND('ProductSprint Backlog'!$J48=I$2,'ProductSprint Backlog'!$I48=I$2), 'ProductSprint Backlog'!$F48, TRUE, 0)</f>
        <v>0</v>
      </c>
      <c r="J48" s="4" cm="1">
        <f t="array" ref="J48">_xlfn.IFS('ProductSprint Backlog'!$F48="", "", AND('ProductSprint Backlog'!$J48&gt;J$2,'ProductSprint Backlog'!$I48&lt;=J$2), 'ProductSprint Backlog'!$F48 / MAX(1, 'ProductSprint Backlog'!$J48-'ProductSprint Backlog'!$I48), AND('ProductSprint Backlog'!$J48=J$2,'ProductSprint Backlog'!$I48=J$2), 'ProductSprint Backlog'!$F48, TRUE, 0)</f>
        <v>0</v>
      </c>
      <c r="K48" s="4" cm="1">
        <f t="array" ref="K48">_xlfn.IFS('ProductSprint Backlog'!$F48="", "", AND('ProductSprint Backlog'!$J48&gt;K$2,'ProductSprint Backlog'!$I48&lt;=K$2), 'ProductSprint Backlog'!$F48 / MAX(1, 'ProductSprint Backlog'!$J48-'ProductSprint Backlog'!$I48), AND('ProductSprint Backlog'!$J48=K$2,'ProductSprint Backlog'!$I48=K$2), 'ProductSprint Backlog'!$F48, TRUE, 0)</f>
        <v>0.5</v>
      </c>
      <c r="L48" s="4" cm="1">
        <f t="array" ref="L48">_xlfn.IFS('ProductSprint Backlog'!$F48="", "", AND('ProductSprint Backlog'!$J48&gt;L$2,'ProductSprint Backlog'!$I48&lt;=L$2), 'ProductSprint Backlog'!$F48 / MAX(1, 'ProductSprint Backlog'!$J48-'ProductSprint Backlog'!$I48), AND('ProductSprint Backlog'!$J48=L$2,'ProductSprint Backlog'!$I48=L$2), 'ProductSprint Backlog'!$F48, TRUE, 0)</f>
        <v>0.5</v>
      </c>
      <c r="M48" s="4" cm="1">
        <f t="array" ref="M48">_xlfn.IFS('ProductSprint Backlog'!$F48="", "", AND('ProductSprint Backlog'!$J48&gt;M$2,'ProductSprint Backlog'!$I48&lt;=M$2), 'ProductSprint Backlog'!$F48 / MAX(1, 'ProductSprint Backlog'!$J48-'ProductSprint Backlog'!$I48), AND('ProductSprint Backlog'!$J48=M$2,'ProductSprint Backlog'!$I48=M$2), 'ProductSprint Backlog'!$F48, TRUE, 0)</f>
        <v>0</v>
      </c>
      <c r="N48" s="4" cm="1">
        <f t="array" ref="N48">_xlfn.IFS('ProductSprint Backlog'!$F48="", "", AND('ProductSprint Backlog'!$J48&gt;N$2,'ProductSprint Backlog'!$I48&lt;=N$2), 'ProductSprint Backlog'!$F48 / MAX(1, 'ProductSprint Backlog'!$J48-'ProductSprint Backlog'!$I48), AND('ProductSprint Backlog'!$J48=N$2,'ProductSprint Backlog'!$I48=N$2), 'ProductSprint Backlog'!$F48, TRUE, 0)</f>
        <v>0</v>
      </c>
      <c r="O48" s="4" cm="1">
        <f t="array" ref="O48">_xlfn.IFS('ProductSprint Backlog'!$F48="", "", AND('ProductSprint Backlog'!$J48&gt;O$2,'ProductSprint Backlog'!$I48&lt;=O$2), 'ProductSprint Backlog'!$F48 / MAX(1, 'ProductSprint Backlog'!$J48-'ProductSprint Backlog'!$I48), AND('ProductSprint Backlog'!$J48=O$2,'ProductSprint Backlog'!$I48=O$2), 'ProductSprint Backlog'!$F48, TRUE, 0)</f>
        <v>0</v>
      </c>
    </row>
    <row r="49" spans="2:15" x14ac:dyDescent="0.2">
      <c r="B49" s="4" cm="1">
        <f t="array" ref="B49">_xlfn.IFS('ProductSprint Backlog'!$F49="", "", AND('ProductSprint Backlog'!$J49&gt;B$2,'ProductSprint Backlog'!$I49&lt;=B$2), 'ProductSprint Backlog'!$F49 / MAX(1, 'ProductSprint Backlog'!$J49-'ProductSprint Backlog'!$I49), AND('ProductSprint Backlog'!$J49=B$2,'ProductSprint Backlog'!$I49=B$2), 'ProductSprint Backlog'!$F49, TRUE, 0)</f>
        <v>0</v>
      </c>
      <c r="C49" s="4" cm="1">
        <f t="array" ref="C49">_xlfn.IFS('ProductSprint Backlog'!$F49="", "", AND('ProductSprint Backlog'!$J49&gt;C$2,'ProductSprint Backlog'!$I49&lt;=C$2), 'ProductSprint Backlog'!$F49 / MAX(1, 'ProductSprint Backlog'!$J49-'ProductSprint Backlog'!$I49), AND('ProductSprint Backlog'!$J49=C$2,'ProductSprint Backlog'!$I49=C$2), 'ProductSprint Backlog'!$F49, TRUE, 0)</f>
        <v>0</v>
      </c>
      <c r="D49" s="4" cm="1">
        <f t="array" ref="D49">_xlfn.IFS('ProductSprint Backlog'!$F49="", "", AND('ProductSprint Backlog'!$J49&gt;D$2,'ProductSprint Backlog'!$I49&lt;=D$2), 'ProductSprint Backlog'!$F49 / MAX(1, 'ProductSprint Backlog'!$J49-'ProductSprint Backlog'!$I49), AND('ProductSprint Backlog'!$J49=D$2,'ProductSprint Backlog'!$I49=D$2), 'ProductSprint Backlog'!$F49, TRUE, 0)</f>
        <v>0</v>
      </c>
      <c r="E49" s="4" cm="1">
        <f t="array" ref="E49">_xlfn.IFS('ProductSprint Backlog'!$F49="", "", AND('ProductSprint Backlog'!$J49&gt;E$2,'ProductSprint Backlog'!$I49&lt;=E$2), 'ProductSprint Backlog'!$F49 / MAX(1, 'ProductSprint Backlog'!$J49-'ProductSprint Backlog'!$I49), AND('ProductSprint Backlog'!$J49=E$2,'ProductSprint Backlog'!$I49=E$2), 'ProductSprint Backlog'!$F49, TRUE, 0)</f>
        <v>0</v>
      </c>
      <c r="F49" s="4" cm="1">
        <f t="array" ref="F49">_xlfn.IFS('ProductSprint Backlog'!$F49="", "", AND('ProductSprint Backlog'!$J49&gt;F$2,'ProductSprint Backlog'!$I49&lt;=F$2), 'ProductSprint Backlog'!$F49 / MAX(1, 'ProductSprint Backlog'!$J49-'ProductSprint Backlog'!$I49), AND('ProductSprint Backlog'!$J49=F$2,'ProductSprint Backlog'!$I49=F$2), 'ProductSprint Backlog'!$F49, TRUE, 0)</f>
        <v>0</v>
      </c>
      <c r="G49" s="4" cm="1">
        <f t="array" ref="G49">_xlfn.IFS('ProductSprint Backlog'!$F49="", "", AND('ProductSprint Backlog'!$J49&gt;G$2,'ProductSprint Backlog'!$I49&lt;=G$2), 'ProductSprint Backlog'!$F49 / MAX(1, 'ProductSprint Backlog'!$J49-'ProductSprint Backlog'!$I49), AND('ProductSprint Backlog'!$J49=G$2,'ProductSprint Backlog'!$I49=G$2), 'ProductSprint Backlog'!$F49, TRUE, 0)</f>
        <v>0</v>
      </c>
      <c r="H49" s="4" cm="1">
        <f t="array" ref="H49">_xlfn.IFS('ProductSprint Backlog'!$F49="", "", AND('ProductSprint Backlog'!$J49&gt;H$2,'ProductSprint Backlog'!$I49&lt;=H$2), 'ProductSprint Backlog'!$F49 / MAX(1, 'ProductSprint Backlog'!$J49-'ProductSprint Backlog'!$I49), AND('ProductSprint Backlog'!$J49=H$2,'ProductSprint Backlog'!$I49=H$2), 'ProductSprint Backlog'!$F49, TRUE, 0)</f>
        <v>0</v>
      </c>
      <c r="I49" s="4" cm="1">
        <f t="array" ref="I49">_xlfn.IFS('ProductSprint Backlog'!$F49="", "", AND('ProductSprint Backlog'!$J49&gt;I$2,'ProductSprint Backlog'!$I49&lt;=I$2), 'ProductSprint Backlog'!$F49 / MAX(1, 'ProductSprint Backlog'!$J49-'ProductSprint Backlog'!$I49), AND('ProductSprint Backlog'!$J49=I$2,'ProductSprint Backlog'!$I49=I$2), 'ProductSprint Backlog'!$F49, TRUE, 0)</f>
        <v>0</v>
      </c>
      <c r="J49" s="4" cm="1">
        <f t="array" ref="J49">_xlfn.IFS('ProductSprint Backlog'!$F49="", "", AND('ProductSprint Backlog'!$J49&gt;J$2,'ProductSprint Backlog'!$I49&lt;=J$2), 'ProductSprint Backlog'!$F49 / MAX(1, 'ProductSprint Backlog'!$J49-'ProductSprint Backlog'!$I49), AND('ProductSprint Backlog'!$J49=J$2,'ProductSprint Backlog'!$I49=J$2), 'ProductSprint Backlog'!$F49, TRUE, 0)</f>
        <v>0</v>
      </c>
      <c r="K49" s="4" cm="1">
        <f t="array" ref="K49">_xlfn.IFS('ProductSprint Backlog'!$F49="", "", AND('ProductSprint Backlog'!$J49&gt;K$2,'ProductSprint Backlog'!$I49&lt;=K$2), 'ProductSprint Backlog'!$F49 / MAX(1, 'ProductSprint Backlog'!$J49-'ProductSprint Backlog'!$I49), AND('ProductSprint Backlog'!$J49=K$2,'ProductSprint Backlog'!$I49=K$2), 'ProductSprint Backlog'!$F49, TRUE, 0)</f>
        <v>0</v>
      </c>
      <c r="L49" s="4" cm="1">
        <f t="array" ref="L49">_xlfn.IFS('ProductSprint Backlog'!$F49="", "", AND('ProductSprint Backlog'!$J49&gt;L$2,'ProductSprint Backlog'!$I49&lt;=L$2), 'ProductSprint Backlog'!$F49 / MAX(1, 'ProductSprint Backlog'!$J49-'ProductSprint Backlog'!$I49), AND('ProductSprint Backlog'!$J49=L$2,'ProductSprint Backlog'!$I49=L$2), 'ProductSprint Backlog'!$F49, TRUE, 0)</f>
        <v>1.5</v>
      </c>
      <c r="M49" s="4" cm="1">
        <f t="array" ref="M49">_xlfn.IFS('ProductSprint Backlog'!$F49="", "", AND('ProductSprint Backlog'!$J49&gt;M$2,'ProductSprint Backlog'!$I49&lt;=M$2), 'ProductSprint Backlog'!$F49 / MAX(1, 'ProductSprint Backlog'!$J49-'ProductSprint Backlog'!$I49), AND('ProductSprint Backlog'!$J49=M$2,'ProductSprint Backlog'!$I49=M$2), 'ProductSprint Backlog'!$F49, TRUE, 0)</f>
        <v>1.5</v>
      </c>
      <c r="N49" s="4" cm="1">
        <f t="array" ref="N49">_xlfn.IFS('ProductSprint Backlog'!$F49="", "", AND('ProductSprint Backlog'!$J49&gt;N$2,'ProductSprint Backlog'!$I49&lt;=N$2), 'ProductSprint Backlog'!$F49 / MAX(1, 'ProductSprint Backlog'!$J49-'ProductSprint Backlog'!$I49), AND('ProductSprint Backlog'!$J49=N$2,'ProductSprint Backlog'!$I49=N$2), 'ProductSprint Backlog'!$F49, TRUE, 0)</f>
        <v>0</v>
      </c>
      <c r="O49" s="4" cm="1">
        <f t="array" ref="O49">_xlfn.IFS('ProductSprint Backlog'!$F49="", "", AND('ProductSprint Backlog'!$J49&gt;O$2,'ProductSprint Backlog'!$I49&lt;=O$2), 'ProductSprint Backlog'!$F49 / MAX(1, 'ProductSprint Backlog'!$J49-'ProductSprint Backlog'!$I49), AND('ProductSprint Backlog'!$J49=O$2,'ProductSprint Backlog'!$I49=O$2), 'ProductSprint Backlog'!$F49, TRUE, 0)</f>
        <v>0</v>
      </c>
    </row>
    <row r="50" spans="2:15" x14ac:dyDescent="0.2">
      <c r="B50" s="4" t="str" cm="1">
        <f t="array" ref="B50">_xlfn.IFS('ProductSprint Backlog'!$F50="", "", AND('ProductSprint Backlog'!$J50&gt;B$2,'ProductSprint Backlog'!$I50&lt;=B$2), 'ProductSprint Backlog'!$F50 / MAX(1, 'ProductSprint Backlog'!$J50-'ProductSprint Backlog'!$I50), AND('ProductSprint Backlog'!$J50=B$2,'ProductSprint Backlog'!$I50=B$2), 'ProductSprint Backlog'!$F50, TRUE, 0)</f>
        <v/>
      </c>
      <c r="C50" s="4" t="str" cm="1">
        <f t="array" ref="C50">_xlfn.IFS('ProductSprint Backlog'!$F50="", "", AND('ProductSprint Backlog'!$J50&gt;C$2,'ProductSprint Backlog'!$I50&lt;=C$2), 'ProductSprint Backlog'!$F50 / MAX(1, 'ProductSprint Backlog'!$J50-'ProductSprint Backlog'!$I50), AND('ProductSprint Backlog'!$J50=C$2,'ProductSprint Backlog'!$I50=C$2), 'ProductSprint Backlog'!$F50, TRUE, 0)</f>
        <v/>
      </c>
      <c r="D50" s="4" t="str" cm="1">
        <f t="array" ref="D50">_xlfn.IFS('ProductSprint Backlog'!$F50="", "", AND('ProductSprint Backlog'!$J50&gt;D$2,'ProductSprint Backlog'!$I50&lt;=D$2), 'ProductSprint Backlog'!$F50 / MAX(1, 'ProductSprint Backlog'!$J50-'ProductSprint Backlog'!$I50), AND('ProductSprint Backlog'!$J50=D$2,'ProductSprint Backlog'!$I50=D$2), 'ProductSprint Backlog'!$F50, TRUE, 0)</f>
        <v/>
      </c>
      <c r="E50" s="4" t="str" cm="1">
        <f t="array" ref="E50">_xlfn.IFS('ProductSprint Backlog'!$F50="", "", AND('ProductSprint Backlog'!$J50&gt;E$2,'ProductSprint Backlog'!$I50&lt;=E$2), 'ProductSprint Backlog'!$F50 / MAX(1, 'ProductSprint Backlog'!$J50-'ProductSprint Backlog'!$I50), AND('ProductSprint Backlog'!$J50=E$2,'ProductSprint Backlog'!$I50=E$2), 'ProductSprint Backlog'!$F50, TRUE, 0)</f>
        <v/>
      </c>
      <c r="F50" s="4" t="str" cm="1">
        <f t="array" ref="F50">_xlfn.IFS('ProductSprint Backlog'!$F50="", "", AND('ProductSprint Backlog'!$J50&gt;F$2,'ProductSprint Backlog'!$I50&lt;=F$2), 'ProductSprint Backlog'!$F50 / MAX(1, 'ProductSprint Backlog'!$J50-'ProductSprint Backlog'!$I50), AND('ProductSprint Backlog'!$J50=F$2,'ProductSprint Backlog'!$I50=F$2), 'ProductSprint Backlog'!$F50, TRUE, 0)</f>
        <v/>
      </c>
      <c r="G50" s="4" t="str" cm="1">
        <f t="array" ref="G50">_xlfn.IFS('ProductSprint Backlog'!$F50="", "", AND('ProductSprint Backlog'!$J50&gt;G$2,'ProductSprint Backlog'!$I50&lt;=G$2), 'ProductSprint Backlog'!$F50 / MAX(1, 'ProductSprint Backlog'!$J50-'ProductSprint Backlog'!$I50), AND('ProductSprint Backlog'!$J50=G$2,'ProductSprint Backlog'!$I50=G$2), 'ProductSprint Backlog'!$F50, TRUE, 0)</f>
        <v/>
      </c>
      <c r="H50" s="4" t="str" cm="1">
        <f t="array" ref="H50">_xlfn.IFS('ProductSprint Backlog'!$F50="", "", AND('ProductSprint Backlog'!$J50&gt;H$2,'ProductSprint Backlog'!$I50&lt;=H$2), 'ProductSprint Backlog'!$F50 / MAX(1, 'ProductSprint Backlog'!$J50-'ProductSprint Backlog'!$I50), AND('ProductSprint Backlog'!$J50=H$2,'ProductSprint Backlog'!$I50=H$2), 'ProductSprint Backlog'!$F50, TRUE, 0)</f>
        <v/>
      </c>
      <c r="I50" s="4" t="str" cm="1">
        <f t="array" ref="I50">_xlfn.IFS('ProductSprint Backlog'!$F50="", "", AND('ProductSprint Backlog'!$J50&gt;I$2,'ProductSprint Backlog'!$I50&lt;=I$2), 'ProductSprint Backlog'!$F50 / MAX(1, 'ProductSprint Backlog'!$J50-'ProductSprint Backlog'!$I50), AND('ProductSprint Backlog'!$J50=I$2,'ProductSprint Backlog'!$I50=I$2), 'ProductSprint Backlog'!$F50, TRUE, 0)</f>
        <v/>
      </c>
      <c r="J50" s="4" t="str" cm="1">
        <f t="array" ref="J50">_xlfn.IFS('ProductSprint Backlog'!$F50="", "", AND('ProductSprint Backlog'!$J50&gt;J$2,'ProductSprint Backlog'!$I50&lt;=J$2), 'ProductSprint Backlog'!$F50 / MAX(1, 'ProductSprint Backlog'!$J50-'ProductSprint Backlog'!$I50), AND('ProductSprint Backlog'!$J50=J$2,'ProductSprint Backlog'!$I50=J$2), 'ProductSprint Backlog'!$F50, TRUE, 0)</f>
        <v/>
      </c>
      <c r="K50" s="4" t="str" cm="1">
        <f t="array" ref="K50">_xlfn.IFS('ProductSprint Backlog'!$F50="", "", AND('ProductSprint Backlog'!$J50&gt;K$2,'ProductSprint Backlog'!$I50&lt;=K$2), 'ProductSprint Backlog'!$F50 / MAX(1, 'ProductSprint Backlog'!$J50-'ProductSprint Backlog'!$I50), AND('ProductSprint Backlog'!$J50=K$2,'ProductSprint Backlog'!$I50=K$2), 'ProductSprint Backlog'!$F50, TRUE, 0)</f>
        <v/>
      </c>
      <c r="L50" s="4" t="str" cm="1">
        <f t="array" ref="L50">_xlfn.IFS('ProductSprint Backlog'!$F50="", "", AND('ProductSprint Backlog'!$J50&gt;L$2,'ProductSprint Backlog'!$I50&lt;=L$2), 'ProductSprint Backlog'!$F50 / MAX(1, 'ProductSprint Backlog'!$J50-'ProductSprint Backlog'!$I50), AND('ProductSprint Backlog'!$J50=L$2,'ProductSprint Backlog'!$I50=L$2), 'ProductSprint Backlog'!$F50, TRUE, 0)</f>
        <v/>
      </c>
      <c r="M50" s="4" t="str" cm="1">
        <f t="array" ref="M50">_xlfn.IFS('ProductSprint Backlog'!$F50="", "", AND('ProductSprint Backlog'!$J50&gt;M$2,'ProductSprint Backlog'!$I50&lt;=M$2), 'ProductSprint Backlog'!$F50 / MAX(1, 'ProductSprint Backlog'!$J50-'ProductSprint Backlog'!$I50), AND('ProductSprint Backlog'!$J50=M$2,'ProductSprint Backlog'!$I50=M$2), 'ProductSprint Backlog'!$F50, TRUE, 0)</f>
        <v/>
      </c>
      <c r="N50" s="4" t="str" cm="1">
        <f t="array" ref="N50">_xlfn.IFS('ProductSprint Backlog'!$F50="", "", AND('ProductSprint Backlog'!$J50&gt;N$2,'ProductSprint Backlog'!$I50&lt;=N$2), 'ProductSprint Backlog'!$F50 / MAX(1, 'ProductSprint Backlog'!$J50-'ProductSprint Backlog'!$I50), AND('ProductSprint Backlog'!$J50=N$2,'ProductSprint Backlog'!$I50=N$2), 'ProductSprint Backlog'!$F50, TRUE, 0)</f>
        <v/>
      </c>
      <c r="O50" s="4" t="str" cm="1">
        <f t="array" ref="O50">_xlfn.IFS('ProductSprint Backlog'!$F50="", "", AND('ProductSprint Backlog'!$J50&gt;O$2,'ProductSprint Backlog'!$I50&lt;=O$2), 'ProductSprint Backlog'!$F50 / MAX(1, 'ProductSprint Backlog'!$J50-'ProductSprint Backlog'!$I50), AND('ProductSprint Backlog'!$J50=O$2,'ProductSprint Backlog'!$I50=O$2), 'ProductSprint Backlog'!$F50, TRUE, 0)</f>
        <v/>
      </c>
    </row>
    <row r="51" spans="2:15" x14ac:dyDescent="0.2">
      <c r="B51" s="4" cm="1">
        <f t="array" ref="B51">_xlfn.IFS('ProductSprint Backlog'!$F51="", "", AND('ProductSprint Backlog'!$J51&gt;B$2,'ProductSprint Backlog'!$I51&lt;=B$2), 'ProductSprint Backlog'!$F51 / MAX(1, 'ProductSprint Backlog'!$J51-'ProductSprint Backlog'!$I51), AND('ProductSprint Backlog'!$J51=B$2,'ProductSprint Backlog'!$I51=B$2), 'ProductSprint Backlog'!$F51, TRUE, 0)</f>
        <v>0</v>
      </c>
      <c r="C51" s="4" cm="1">
        <f t="array" ref="C51">_xlfn.IFS('ProductSprint Backlog'!$F51="", "", AND('ProductSprint Backlog'!$J51&gt;C$2,'ProductSprint Backlog'!$I51&lt;=C$2), 'ProductSprint Backlog'!$F51 / MAX(1, 'ProductSprint Backlog'!$J51-'ProductSprint Backlog'!$I51), AND('ProductSprint Backlog'!$J51=C$2,'ProductSprint Backlog'!$I51=C$2), 'ProductSprint Backlog'!$F51, TRUE, 0)</f>
        <v>0</v>
      </c>
      <c r="D51" s="4" cm="1">
        <f t="array" ref="D51">_xlfn.IFS('ProductSprint Backlog'!$F51="", "", AND('ProductSprint Backlog'!$J51&gt;D$2,'ProductSprint Backlog'!$I51&lt;=D$2), 'ProductSprint Backlog'!$F51 / MAX(1, 'ProductSprint Backlog'!$J51-'ProductSprint Backlog'!$I51), AND('ProductSprint Backlog'!$J51=D$2,'ProductSprint Backlog'!$I51=D$2), 'ProductSprint Backlog'!$F51, TRUE, 0)</f>
        <v>0</v>
      </c>
      <c r="E51" s="4" cm="1">
        <f t="array" ref="E51">_xlfn.IFS('ProductSprint Backlog'!$F51="", "", AND('ProductSprint Backlog'!$J51&gt;E$2,'ProductSprint Backlog'!$I51&lt;=E$2), 'ProductSprint Backlog'!$F51 / MAX(1, 'ProductSprint Backlog'!$J51-'ProductSprint Backlog'!$I51), AND('ProductSprint Backlog'!$J51=E$2,'ProductSprint Backlog'!$I51=E$2), 'ProductSprint Backlog'!$F51, TRUE, 0)</f>
        <v>0</v>
      </c>
      <c r="F51" s="4" cm="1">
        <f t="array" ref="F51">_xlfn.IFS('ProductSprint Backlog'!$F51="", "", AND('ProductSprint Backlog'!$J51&gt;F$2,'ProductSprint Backlog'!$I51&lt;=F$2), 'ProductSprint Backlog'!$F51 / MAX(1, 'ProductSprint Backlog'!$J51-'ProductSprint Backlog'!$I51), AND('ProductSprint Backlog'!$J51=F$2,'ProductSprint Backlog'!$I51=F$2), 'ProductSprint Backlog'!$F51, TRUE, 0)</f>
        <v>0</v>
      </c>
      <c r="G51" s="4" cm="1">
        <f t="array" ref="G51">_xlfn.IFS('ProductSprint Backlog'!$F51="", "", AND('ProductSprint Backlog'!$J51&gt;G$2,'ProductSprint Backlog'!$I51&lt;=G$2), 'ProductSprint Backlog'!$F51 / MAX(1, 'ProductSprint Backlog'!$J51-'ProductSprint Backlog'!$I51), AND('ProductSprint Backlog'!$J51=G$2,'ProductSprint Backlog'!$I51=G$2), 'ProductSprint Backlog'!$F51, TRUE, 0)</f>
        <v>0</v>
      </c>
      <c r="H51" s="4" cm="1">
        <f t="array" ref="H51">_xlfn.IFS('ProductSprint Backlog'!$F51="", "", AND('ProductSprint Backlog'!$J51&gt;H$2,'ProductSprint Backlog'!$I51&lt;=H$2), 'ProductSprint Backlog'!$F51 / MAX(1, 'ProductSprint Backlog'!$J51-'ProductSprint Backlog'!$I51), AND('ProductSprint Backlog'!$J51=H$2,'ProductSprint Backlog'!$I51=H$2), 'ProductSprint Backlog'!$F51, TRUE, 0)</f>
        <v>0</v>
      </c>
      <c r="I51" s="4" cm="1">
        <f t="array" ref="I51">_xlfn.IFS('ProductSprint Backlog'!$F51="", "", AND('ProductSprint Backlog'!$J51&gt;I$2,'ProductSprint Backlog'!$I51&lt;=I$2), 'ProductSprint Backlog'!$F51 / MAX(1, 'ProductSprint Backlog'!$J51-'ProductSprint Backlog'!$I51), AND('ProductSprint Backlog'!$J51=I$2,'ProductSprint Backlog'!$I51=I$2), 'ProductSprint Backlog'!$F51, TRUE, 0)</f>
        <v>0</v>
      </c>
      <c r="J51" s="4" cm="1">
        <f t="array" ref="J51">_xlfn.IFS('ProductSprint Backlog'!$F51="", "", AND('ProductSprint Backlog'!$J51&gt;J$2,'ProductSprint Backlog'!$I51&lt;=J$2), 'ProductSprint Backlog'!$F51 / MAX(1, 'ProductSprint Backlog'!$J51-'ProductSprint Backlog'!$I51), AND('ProductSprint Backlog'!$J51=J$2,'ProductSprint Backlog'!$I51=J$2), 'ProductSprint Backlog'!$F51, TRUE, 0)</f>
        <v>0</v>
      </c>
      <c r="K51" s="4" cm="1">
        <f t="array" ref="K51">_xlfn.IFS('ProductSprint Backlog'!$F51="", "", AND('ProductSprint Backlog'!$J51&gt;K$2,'ProductSprint Backlog'!$I51&lt;=K$2), 'ProductSprint Backlog'!$F51 / MAX(1, 'ProductSprint Backlog'!$J51-'ProductSprint Backlog'!$I51), AND('ProductSprint Backlog'!$J51=K$2,'ProductSprint Backlog'!$I51=K$2), 'ProductSprint Backlog'!$F51, TRUE, 0)</f>
        <v>0.5</v>
      </c>
      <c r="L51" s="4" cm="1">
        <f t="array" ref="L51">_xlfn.IFS('ProductSprint Backlog'!$F51="", "", AND('ProductSprint Backlog'!$J51&gt;L$2,'ProductSprint Backlog'!$I51&lt;=L$2), 'ProductSprint Backlog'!$F51 / MAX(1, 'ProductSprint Backlog'!$J51-'ProductSprint Backlog'!$I51), AND('ProductSprint Backlog'!$J51=L$2,'ProductSprint Backlog'!$I51=L$2), 'ProductSprint Backlog'!$F51, TRUE, 0)</f>
        <v>0.5</v>
      </c>
      <c r="M51" s="4" cm="1">
        <f t="array" ref="M51">_xlfn.IFS('ProductSprint Backlog'!$F51="", "", AND('ProductSprint Backlog'!$J51&gt;M$2,'ProductSprint Backlog'!$I51&lt;=M$2), 'ProductSprint Backlog'!$F51 / MAX(1, 'ProductSprint Backlog'!$J51-'ProductSprint Backlog'!$I51), AND('ProductSprint Backlog'!$J51=M$2,'ProductSprint Backlog'!$I51=M$2), 'ProductSprint Backlog'!$F51, TRUE, 0)</f>
        <v>0</v>
      </c>
      <c r="N51" s="4" cm="1">
        <f t="array" ref="N51">_xlfn.IFS('ProductSprint Backlog'!$F51="", "", AND('ProductSprint Backlog'!$J51&gt;N$2,'ProductSprint Backlog'!$I51&lt;=N$2), 'ProductSprint Backlog'!$F51 / MAX(1, 'ProductSprint Backlog'!$J51-'ProductSprint Backlog'!$I51), AND('ProductSprint Backlog'!$J51=N$2,'ProductSprint Backlog'!$I51=N$2), 'ProductSprint Backlog'!$F51, TRUE, 0)</f>
        <v>0</v>
      </c>
      <c r="O51" s="4" cm="1">
        <f t="array" ref="O51">_xlfn.IFS('ProductSprint Backlog'!$F51="", "", AND('ProductSprint Backlog'!$J51&gt;O$2,'ProductSprint Backlog'!$I51&lt;=O$2), 'ProductSprint Backlog'!$F51 / MAX(1, 'ProductSprint Backlog'!$J51-'ProductSprint Backlog'!$I51), AND('ProductSprint Backlog'!$J51=O$2,'ProductSprint Backlog'!$I51=O$2), 'ProductSprint Backlog'!$F51, TRUE, 0)</f>
        <v>0</v>
      </c>
    </row>
    <row r="52" spans="2:15" x14ac:dyDescent="0.2">
      <c r="B52" s="4" cm="1">
        <f t="array" ref="B52">_xlfn.IFS('ProductSprint Backlog'!$F52="", "", AND('ProductSprint Backlog'!$J52&gt;B$2,'ProductSprint Backlog'!$I52&lt;=B$2), 'ProductSprint Backlog'!$F52 / MAX(1, 'ProductSprint Backlog'!$J52-'ProductSprint Backlog'!$I52), AND('ProductSprint Backlog'!$J52=B$2,'ProductSprint Backlog'!$I52=B$2), 'ProductSprint Backlog'!$F52, TRUE, 0)</f>
        <v>0</v>
      </c>
      <c r="C52" s="4" cm="1">
        <f t="array" ref="C52">_xlfn.IFS('ProductSprint Backlog'!$F52="", "", AND('ProductSprint Backlog'!$J52&gt;C$2,'ProductSprint Backlog'!$I52&lt;=C$2), 'ProductSprint Backlog'!$F52 / MAX(1, 'ProductSprint Backlog'!$J52-'ProductSprint Backlog'!$I52), AND('ProductSprint Backlog'!$J52=C$2,'ProductSprint Backlog'!$I52=C$2), 'ProductSprint Backlog'!$F52, TRUE, 0)</f>
        <v>0</v>
      </c>
      <c r="D52" s="4" cm="1">
        <f t="array" ref="D52">_xlfn.IFS('ProductSprint Backlog'!$F52="", "", AND('ProductSprint Backlog'!$J52&gt;D$2,'ProductSprint Backlog'!$I52&lt;=D$2), 'ProductSprint Backlog'!$F52 / MAX(1, 'ProductSprint Backlog'!$J52-'ProductSprint Backlog'!$I52), AND('ProductSprint Backlog'!$J52=D$2,'ProductSprint Backlog'!$I52=D$2), 'ProductSprint Backlog'!$F52, TRUE, 0)</f>
        <v>0</v>
      </c>
      <c r="E52" s="4" cm="1">
        <f t="array" ref="E52">_xlfn.IFS('ProductSprint Backlog'!$F52="", "", AND('ProductSprint Backlog'!$J52&gt;E$2,'ProductSprint Backlog'!$I52&lt;=E$2), 'ProductSprint Backlog'!$F52 / MAX(1, 'ProductSprint Backlog'!$J52-'ProductSprint Backlog'!$I52), AND('ProductSprint Backlog'!$J52=E$2,'ProductSprint Backlog'!$I52=E$2), 'ProductSprint Backlog'!$F52, TRUE, 0)</f>
        <v>0</v>
      </c>
      <c r="F52" s="4" cm="1">
        <f t="array" ref="F52">_xlfn.IFS('ProductSprint Backlog'!$F52="", "", AND('ProductSprint Backlog'!$J52&gt;F$2,'ProductSprint Backlog'!$I52&lt;=F$2), 'ProductSprint Backlog'!$F52 / MAX(1, 'ProductSprint Backlog'!$J52-'ProductSprint Backlog'!$I52), AND('ProductSprint Backlog'!$J52=F$2,'ProductSprint Backlog'!$I52=F$2), 'ProductSprint Backlog'!$F52, TRUE, 0)</f>
        <v>0</v>
      </c>
      <c r="G52" s="4" cm="1">
        <f t="array" ref="G52">_xlfn.IFS('ProductSprint Backlog'!$F52="", "", AND('ProductSprint Backlog'!$J52&gt;G$2,'ProductSprint Backlog'!$I52&lt;=G$2), 'ProductSprint Backlog'!$F52 / MAX(1, 'ProductSprint Backlog'!$J52-'ProductSprint Backlog'!$I52), AND('ProductSprint Backlog'!$J52=G$2,'ProductSprint Backlog'!$I52=G$2), 'ProductSprint Backlog'!$F52, TRUE, 0)</f>
        <v>0</v>
      </c>
      <c r="H52" s="4" cm="1">
        <f t="array" ref="H52">_xlfn.IFS('ProductSprint Backlog'!$F52="", "", AND('ProductSprint Backlog'!$J52&gt;H$2,'ProductSprint Backlog'!$I52&lt;=H$2), 'ProductSprint Backlog'!$F52 / MAX(1, 'ProductSprint Backlog'!$J52-'ProductSprint Backlog'!$I52), AND('ProductSprint Backlog'!$J52=H$2,'ProductSprint Backlog'!$I52=H$2), 'ProductSprint Backlog'!$F52, TRUE, 0)</f>
        <v>0</v>
      </c>
      <c r="I52" s="4" cm="1">
        <f t="array" ref="I52">_xlfn.IFS('ProductSprint Backlog'!$F52="", "", AND('ProductSprint Backlog'!$J52&gt;I$2,'ProductSprint Backlog'!$I52&lt;=I$2), 'ProductSprint Backlog'!$F52 / MAX(1, 'ProductSprint Backlog'!$J52-'ProductSprint Backlog'!$I52), AND('ProductSprint Backlog'!$J52=I$2,'ProductSprint Backlog'!$I52=I$2), 'ProductSprint Backlog'!$F52, TRUE, 0)</f>
        <v>0</v>
      </c>
      <c r="J52" s="4" cm="1">
        <f t="array" ref="J52">_xlfn.IFS('ProductSprint Backlog'!$F52="", "", AND('ProductSprint Backlog'!$J52&gt;J$2,'ProductSprint Backlog'!$I52&lt;=J$2), 'ProductSprint Backlog'!$F52 / MAX(1, 'ProductSprint Backlog'!$J52-'ProductSprint Backlog'!$I52), AND('ProductSprint Backlog'!$J52=J$2,'ProductSprint Backlog'!$I52=J$2), 'ProductSprint Backlog'!$F52, TRUE, 0)</f>
        <v>0</v>
      </c>
      <c r="K52" s="4" cm="1">
        <f t="array" ref="K52">_xlfn.IFS('ProductSprint Backlog'!$F52="", "", AND('ProductSprint Backlog'!$J52&gt;K$2,'ProductSprint Backlog'!$I52&lt;=K$2), 'ProductSprint Backlog'!$F52 / MAX(1, 'ProductSprint Backlog'!$J52-'ProductSprint Backlog'!$I52), AND('ProductSprint Backlog'!$J52=K$2,'ProductSprint Backlog'!$I52=K$2), 'ProductSprint Backlog'!$F52, TRUE, 0)</f>
        <v>0</v>
      </c>
      <c r="L52" s="4" cm="1">
        <f t="array" ref="L52">_xlfn.IFS('ProductSprint Backlog'!$F52="", "", AND('ProductSprint Backlog'!$J52&gt;L$2,'ProductSprint Backlog'!$I52&lt;=L$2), 'ProductSprint Backlog'!$F52 / MAX(1, 'ProductSprint Backlog'!$J52-'ProductSprint Backlog'!$I52), AND('ProductSprint Backlog'!$J52=L$2,'ProductSprint Backlog'!$I52=L$2), 'ProductSprint Backlog'!$F52, TRUE, 0)</f>
        <v>1.5</v>
      </c>
      <c r="M52" s="4" cm="1">
        <f t="array" ref="M52">_xlfn.IFS('ProductSprint Backlog'!$F52="", "", AND('ProductSprint Backlog'!$J52&gt;M$2,'ProductSprint Backlog'!$I52&lt;=M$2), 'ProductSprint Backlog'!$F52 / MAX(1, 'ProductSprint Backlog'!$J52-'ProductSprint Backlog'!$I52), AND('ProductSprint Backlog'!$J52=M$2,'ProductSprint Backlog'!$I52=M$2), 'ProductSprint Backlog'!$F52, TRUE, 0)</f>
        <v>1.5</v>
      </c>
      <c r="N52" s="4" cm="1">
        <f t="array" ref="N52">_xlfn.IFS('ProductSprint Backlog'!$F52="", "", AND('ProductSprint Backlog'!$J52&gt;N$2,'ProductSprint Backlog'!$I52&lt;=N$2), 'ProductSprint Backlog'!$F52 / MAX(1, 'ProductSprint Backlog'!$J52-'ProductSprint Backlog'!$I52), AND('ProductSprint Backlog'!$J52=N$2,'ProductSprint Backlog'!$I52=N$2), 'ProductSprint Backlog'!$F52, TRUE, 0)</f>
        <v>0</v>
      </c>
      <c r="O52" s="4" cm="1">
        <f t="array" ref="O52">_xlfn.IFS('ProductSprint Backlog'!$F52="", "", AND('ProductSprint Backlog'!$J52&gt;O$2,'ProductSprint Backlog'!$I52&lt;=O$2), 'ProductSprint Backlog'!$F52 / MAX(1, 'ProductSprint Backlog'!$J52-'ProductSprint Backlog'!$I52), AND('ProductSprint Backlog'!$J52=O$2,'ProductSprint Backlog'!$I52=O$2), 'ProductSprint Backlog'!$F52, TRUE, 0)</f>
        <v>0</v>
      </c>
    </row>
    <row r="53" spans="2:15" x14ac:dyDescent="0.2">
      <c r="B53" s="4" t="str" cm="1">
        <f t="array" ref="B53">_xlfn.IFS('ProductSprint Backlog'!$F53="", "", AND('ProductSprint Backlog'!$J53&gt;B$2,'ProductSprint Backlog'!$I53&lt;=B$2), 'ProductSprint Backlog'!$F53 / MAX(1, 'ProductSprint Backlog'!$J53-'ProductSprint Backlog'!$I53), AND('ProductSprint Backlog'!$J53=B$2,'ProductSprint Backlog'!$I53=B$2), 'ProductSprint Backlog'!$F53, TRUE, 0)</f>
        <v/>
      </c>
      <c r="C53" s="4" t="str" cm="1">
        <f t="array" ref="C53">_xlfn.IFS('ProductSprint Backlog'!$F53="", "", AND('ProductSprint Backlog'!$J53&gt;C$2,'ProductSprint Backlog'!$I53&lt;=C$2), 'ProductSprint Backlog'!$F53 / MAX(1, 'ProductSprint Backlog'!$J53-'ProductSprint Backlog'!$I53), AND('ProductSprint Backlog'!$J53=C$2,'ProductSprint Backlog'!$I53=C$2), 'ProductSprint Backlog'!$F53, TRUE, 0)</f>
        <v/>
      </c>
      <c r="D53" s="4" t="str" cm="1">
        <f t="array" ref="D53">_xlfn.IFS('ProductSprint Backlog'!$F53="", "", AND('ProductSprint Backlog'!$J53&gt;D$2,'ProductSprint Backlog'!$I53&lt;=D$2), 'ProductSprint Backlog'!$F53 / MAX(1, 'ProductSprint Backlog'!$J53-'ProductSprint Backlog'!$I53), AND('ProductSprint Backlog'!$J53=D$2,'ProductSprint Backlog'!$I53=D$2), 'ProductSprint Backlog'!$F53, TRUE, 0)</f>
        <v/>
      </c>
      <c r="E53" s="4" t="str" cm="1">
        <f t="array" ref="E53">_xlfn.IFS('ProductSprint Backlog'!$F53="", "", AND('ProductSprint Backlog'!$J53&gt;E$2,'ProductSprint Backlog'!$I53&lt;=E$2), 'ProductSprint Backlog'!$F53 / MAX(1, 'ProductSprint Backlog'!$J53-'ProductSprint Backlog'!$I53), AND('ProductSprint Backlog'!$J53=E$2,'ProductSprint Backlog'!$I53=E$2), 'ProductSprint Backlog'!$F53, TRUE, 0)</f>
        <v/>
      </c>
      <c r="F53" s="4" t="str" cm="1">
        <f t="array" ref="F53">_xlfn.IFS('ProductSprint Backlog'!$F53="", "", AND('ProductSprint Backlog'!$J53&gt;F$2,'ProductSprint Backlog'!$I53&lt;=F$2), 'ProductSprint Backlog'!$F53 / MAX(1, 'ProductSprint Backlog'!$J53-'ProductSprint Backlog'!$I53), AND('ProductSprint Backlog'!$J53=F$2,'ProductSprint Backlog'!$I53=F$2), 'ProductSprint Backlog'!$F53, TRUE, 0)</f>
        <v/>
      </c>
      <c r="G53" s="4" t="str" cm="1">
        <f t="array" ref="G53">_xlfn.IFS('ProductSprint Backlog'!$F53="", "", AND('ProductSprint Backlog'!$J53&gt;G$2,'ProductSprint Backlog'!$I53&lt;=G$2), 'ProductSprint Backlog'!$F53 / MAX(1, 'ProductSprint Backlog'!$J53-'ProductSprint Backlog'!$I53), AND('ProductSprint Backlog'!$J53=G$2,'ProductSprint Backlog'!$I53=G$2), 'ProductSprint Backlog'!$F53, TRUE, 0)</f>
        <v/>
      </c>
      <c r="H53" s="4" t="str" cm="1">
        <f t="array" ref="H53">_xlfn.IFS('ProductSprint Backlog'!$F53="", "", AND('ProductSprint Backlog'!$J53&gt;H$2,'ProductSprint Backlog'!$I53&lt;=H$2), 'ProductSprint Backlog'!$F53 / MAX(1, 'ProductSprint Backlog'!$J53-'ProductSprint Backlog'!$I53), AND('ProductSprint Backlog'!$J53=H$2,'ProductSprint Backlog'!$I53=H$2), 'ProductSprint Backlog'!$F53, TRUE, 0)</f>
        <v/>
      </c>
      <c r="I53" s="4" t="str" cm="1">
        <f t="array" ref="I53">_xlfn.IFS('ProductSprint Backlog'!$F53="", "", AND('ProductSprint Backlog'!$J53&gt;I$2,'ProductSprint Backlog'!$I53&lt;=I$2), 'ProductSprint Backlog'!$F53 / MAX(1, 'ProductSprint Backlog'!$J53-'ProductSprint Backlog'!$I53), AND('ProductSprint Backlog'!$J53=I$2,'ProductSprint Backlog'!$I53=I$2), 'ProductSprint Backlog'!$F53, TRUE, 0)</f>
        <v/>
      </c>
      <c r="J53" s="4" t="str" cm="1">
        <f t="array" ref="J53">_xlfn.IFS('ProductSprint Backlog'!$F53="", "", AND('ProductSprint Backlog'!$J53&gt;J$2,'ProductSprint Backlog'!$I53&lt;=J$2), 'ProductSprint Backlog'!$F53 / MAX(1, 'ProductSprint Backlog'!$J53-'ProductSprint Backlog'!$I53), AND('ProductSprint Backlog'!$J53=J$2,'ProductSprint Backlog'!$I53=J$2), 'ProductSprint Backlog'!$F53, TRUE, 0)</f>
        <v/>
      </c>
      <c r="K53" s="4" t="str" cm="1">
        <f t="array" ref="K53">_xlfn.IFS('ProductSprint Backlog'!$F53="", "", AND('ProductSprint Backlog'!$J53&gt;K$2,'ProductSprint Backlog'!$I53&lt;=K$2), 'ProductSprint Backlog'!$F53 / MAX(1, 'ProductSprint Backlog'!$J53-'ProductSprint Backlog'!$I53), AND('ProductSprint Backlog'!$J53=K$2,'ProductSprint Backlog'!$I53=K$2), 'ProductSprint Backlog'!$F53, TRUE, 0)</f>
        <v/>
      </c>
      <c r="L53" s="4" t="str" cm="1">
        <f t="array" ref="L53">_xlfn.IFS('ProductSprint Backlog'!$F53="", "", AND('ProductSprint Backlog'!$J53&gt;L$2,'ProductSprint Backlog'!$I53&lt;=L$2), 'ProductSprint Backlog'!$F53 / MAX(1, 'ProductSprint Backlog'!$J53-'ProductSprint Backlog'!$I53), AND('ProductSprint Backlog'!$J53=L$2,'ProductSprint Backlog'!$I53=L$2), 'ProductSprint Backlog'!$F53, TRUE, 0)</f>
        <v/>
      </c>
      <c r="M53" s="4" t="str" cm="1">
        <f t="array" ref="M53">_xlfn.IFS('ProductSprint Backlog'!$F53="", "", AND('ProductSprint Backlog'!$J53&gt;M$2,'ProductSprint Backlog'!$I53&lt;=M$2), 'ProductSprint Backlog'!$F53 / MAX(1, 'ProductSprint Backlog'!$J53-'ProductSprint Backlog'!$I53), AND('ProductSprint Backlog'!$J53=M$2,'ProductSprint Backlog'!$I53=M$2), 'ProductSprint Backlog'!$F53, TRUE, 0)</f>
        <v/>
      </c>
      <c r="N53" s="4" t="str" cm="1">
        <f t="array" ref="N53">_xlfn.IFS('ProductSprint Backlog'!$F53="", "", AND('ProductSprint Backlog'!$J53&gt;N$2,'ProductSprint Backlog'!$I53&lt;=N$2), 'ProductSprint Backlog'!$F53 / MAX(1, 'ProductSprint Backlog'!$J53-'ProductSprint Backlog'!$I53), AND('ProductSprint Backlog'!$J53=N$2,'ProductSprint Backlog'!$I53=N$2), 'ProductSprint Backlog'!$F53, TRUE, 0)</f>
        <v/>
      </c>
      <c r="O53" s="4" t="str" cm="1">
        <f t="array" ref="O53">_xlfn.IFS('ProductSprint Backlog'!$F53="", "", AND('ProductSprint Backlog'!$J53&gt;O$2,'ProductSprint Backlog'!$I53&lt;=O$2), 'ProductSprint Backlog'!$F53 / MAX(1, 'ProductSprint Backlog'!$J53-'ProductSprint Backlog'!$I53), AND('ProductSprint Backlog'!$J53=O$2,'ProductSprint Backlog'!$I53=O$2), 'ProductSprint Backlog'!$F53, TRUE, 0)</f>
        <v/>
      </c>
    </row>
    <row r="54" spans="2:15" x14ac:dyDescent="0.2">
      <c r="B54" s="4" cm="1">
        <f t="array" ref="B54">_xlfn.IFS('ProductSprint Backlog'!$F54="", "", AND('ProductSprint Backlog'!$J54&gt;B$2,'ProductSprint Backlog'!$I54&lt;=B$2), 'ProductSprint Backlog'!$F54 / MAX(1, 'ProductSprint Backlog'!$J54-'ProductSprint Backlog'!$I54), AND('ProductSprint Backlog'!$J54=B$2,'ProductSprint Backlog'!$I54=B$2), 'ProductSprint Backlog'!$F54, TRUE, 0)</f>
        <v>0.83333333333333337</v>
      </c>
      <c r="C54" s="4" cm="1">
        <f t="array" ref="C54">_xlfn.IFS('ProductSprint Backlog'!$F54="", "", AND('ProductSprint Backlog'!$J54&gt;C$2,'ProductSprint Backlog'!$I54&lt;=C$2), 'ProductSprint Backlog'!$F54 / MAX(1, 'ProductSprint Backlog'!$J54-'ProductSprint Backlog'!$I54), AND('ProductSprint Backlog'!$J54=C$2,'ProductSprint Backlog'!$I54=C$2), 'ProductSprint Backlog'!$F54, TRUE, 0)</f>
        <v>0.83333333333333337</v>
      </c>
      <c r="D54" s="4" cm="1">
        <f t="array" ref="D54">_xlfn.IFS('ProductSprint Backlog'!$F54="", "", AND('ProductSprint Backlog'!$J54&gt;D$2,'ProductSprint Backlog'!$I54&lt;=D$2), 'ProductSprint Backlog'!$F54 / MAX(1, 'ProductSprint Backlog'!$J54-'ProductSprint Backlog'!$I54), AND('ProductSprint Backlog'!$J54=D$2,'ProductSprint Backlog'!$I54=D$2), 'ProductSprint Backlog'!$F54, TRUE, 0)</f>
        <v>0.83333333333333337</v>
      </c>
      <c r="E54" s="4" cm="1">
        <f t="array" ref="E54">_xlfn.IFS('ProductSprint Backlog'!$F54="", "", AND('ProductSprint Backlog'!$J54&gt;E$2,'ProductSprint Backlog'!$I54&lt;=E$2), 'ProductSprint Backlog'!$F54 / MAX(1, 'ProductSprint Backlog'!$J54-'ProductSprint Backlog'!$I54), AND('ProductSprint Backlog'!$J54=E$2,'ProductSprint Backlog'!$I54=E$2), 'ProductSprint Backlog'!$F54, TRUE, 0)</f>
        <v>0.83333333333333337</v>
      </c>
      <c r="F54" s="4" cm="1">
        <f t="array" ref="F54">_xlfn.IFS('ProductSprint Backlog'!$F54="", "", AND('ProductSprint Backlog'!$J54&gt;F$2,'ProductSprint Backlog'!$I54&lt;=F$2), 'ProductSprint Backlog'!$F54 / MAX(1, 'ProductSprint Backlog'!$J54-'ProductSprint Backlog'!$I54), AND('ProductSprint Backlog'!$J54=F$2,'ProductSprint Backlog'!$I54=F$2), 'ProductSprint Backlog'!$F54, TRUE, 0)</f>
        <v>0.83333333333333337</v>
      </c>
      <c r="G54" s="4" cm="1">
        <f t="array" ref="G54">_xlfn.IFS('ProductSprint Backlog'!$F54="", "", AND('ProductSprint Backlog'!$J54&gt;G$2,'ProductSprint Backlog'!$I54&lt;=G$2), 'ProductSprint Backlog'!$F54 / MAX(1, 'ProductSprint Backlog'!$J54-'ProductSprint Backlog'!$I54), AND('ProductSprint Backlog'!$J54=G$2,'ProductSprint Backlog'!$I54=G$2), 'ProductSprint Backlog'!$F54, TRUE, 0)</f>
        <v>0.83333333333333337</v>
      </c>
      <c r="H54" s="4" cm="1">
        <f t="array" ref="H54">_xlfn.IFS('ProductSprint Backlog'!$F54="", "", AND('ProductSprint Backlog'!$J54&gt;H$2,'ProductSprint Backlog'!$I54&lt;=H$2), 'ProductSprint Backlog'!$F54 / MAX(1, 'ProductSprint Backlog'!$J54-'ProductSprint Backlog'!$I54), AND('ProductSprint Backlog'!$J54=H$2,'ProductSprint Backlog'!$I54=H$2), 'ProductSprint Backlog'!$F54, TRUE, 0)</f>
        <v>0</v>
      </c>
      <c r="I54" s="4" cm="1">
        <f t="array" ref="I54">_xlfn.IFS('ProductSprint Backlog'!$F54="", "", AND('ProductSprint Backlog'!$J54&gt;I$2,'ProductSprint Backlog'!$I54&lt;=I$2), 'ProductSprint Backlog'!$F54 / MAX(1, 'ProductSprint Backlog'!$J54-'ProductSprint Backlog'!$I54), AND('ProductSprint Backlog'!$J54=I$2,'ProductSprint Backlog'!$I54=I$2), 'ProductSprint Backlog'!$F54, TRUE, 0)</f>
        <v>0</v>
      </c>
      <c r="J54" s="4" cm="1">
        <f t="array" ref="J54">_xlfn.IFS('ProductSprint Backlog'!$F54="", "", AND('ProductSprint Backlog'!$J54&gt;J$2,'ProductSprint Backlog'!$I54&lt;=J$2), 'ProductSprint Backlog'!$F54 / MAX(1, 'ProductSprint Backlog'!$J54-'ProductSprint Backlog'!$I54), AND('ProductSprint Backlog'!$J54=J$2,'ProductSprint Backlog'!$I54=J$2), 'ProductSprint Backlog'!$F54, TRUE, 0)</f>
        <v>0</v>
      </c>
      <c r="K54" s="4" cm="1">
        <f t="array" ref="K54">_xlfn.IFS('ProductSprint Backlog'!$F54="", "", AND('ProductSprint Backlog'!$J54&gt;K$2,'ProductSprint Backlog'!$I54&lt;=K$2), 'ProductSprint Backlog'!$F54 / MAX(1, 'ProductSprint Backlog'!$J54-'ProductSprint Backlog'!$I54), AND('ProductSprint Backlog'!$J54=K$2,'ProductSprint Backlog'!$I54=K$2), 'ProductSprint Backlog'!$F54, TRUE, 0)</f>
        <v>0</v>
      </c>
      <c r="L54" s="4" cm="1">
        <f t="array" ref="L54">_xlfn.IFS('ProductSprint Backlog'!$F54="", "", AND('ProductSprint Backlog'!$J54&gt;L$2,'ProductSprint Backlog'!$I54&lt;=L$2), 'ProductSprint Backlog'!$F54 / MAX(1, 'ProductSprint Backlog'!$J54-'ProductSprint Backlog'!$I54), AND('ProductSprint Backlog'!$J54=L$2,'ProductSprint Backlog'!$I54=L$2), 'ProductSprint Backlog'!$F54, TRUE, 0)</f>
        <v>0</v>
      </c>
      <c r="M54" s="4" cm="1">
        <f t="array" ref="M54">_xlfn.IFS('ProductSprint Backlog'!$F54="", "", AND('ProductSprint Backlog'!$J54&gt;M$2,'ProductSprint Backlog'!$I54&lt;=M$2), 'ProductSprint Backlog'!$F54 / MAX(1, 'ProductSprint Backlog'!$J54-'ProductSprint Backlog'!$I54), AND('ProductSprint Backlog'!$J54=M$2,'ProductSprint Backlog'!$I54=M$2), 'ProductSprint Backlog'!$F54, TRUE, 0)</f>
        <v>0</v>
      </c>
      <c r="N54" s="4" cm="1">
        <f t="array" ref="N54">_xlfn.IFS('ProductSprint Backlog'!$F54="", "", AND('ProductSprint Backlog'!$J54&gt;N$2,'ProductSprint Backlog'!$I54&lt;=N$2), 'ProductSprint Backlog'!$F54 / MAX(1, 'ProductSprint Backlog'!$J54-'ProductSprint Backlog'!$I54), AND('ProductSprint Backlog'!$J54=N$2,'ProductSprint Backlog'!$I54=N$2), 'ProductSprint Backlog'!$F54, TRUE, 0)</f>
        <v>0</v>
      </c>
      <c r="O54" s="4" cm="1">
        <f t="array" ref="O54">_xlfn.IFS('ProductSprint Backlog'!$F54="", "", AND('ProductSprint Backlog'!$J54&gt;O$2,'ProductSprint Backlog'!$I54&lt;=O$2), 'ProductSprint Backlog'!$F54 / MAX(1, 'ProductSprint Backlog'!$J54-'ProductSprint Backlog'!$I54), AND('ProductSprint Backlog'!$J54=O$2,'ProductSprint Backlog'!$I54=O$2), 'ProductSprint Backlog'!$F54, TRUE, 0)</f>
        <v>0</v>
      </c>
    </row>
    <row r="55" spans="2:15" x14ac:dyDescent="0.2">
      <c r="B55" s="4" cm="1">
        <f t="array" ref="B55">_xlfn.IFS('ProductSprint Backlog'!$F55="", "", AND('ProductSprint Backlog'!$J55&gt;B$2,'ProductSprint Backlog'!$I55&lt;=B$2), 'ProductSprint Backlog'!$F55 / MAX(1, 'ProductSprint Backlog'!$J55-'ProductSprint Backlog'!$I55), AND('ProductSprint Backlog'!$J55=B$2,'ProductSprint Backlog'!$I55=B$2), 'ProductSprint Backlog'!$F55, TRUE, 0)</f>
        <v>0</v>
      </c>
      <c r="C55" s="4" cm="1">
        <f t="array" ref="C55">_xlfn.IFS('ProductSprint Backlog'!$F55="", "", AND('ProductSprint Backlog'!$J55&gt;C$2,'ProductSprint Backlog'!$I55&lt;=C$2), 'ProductSprint Backlog'!$F55 / MAX(1, 'ProductSprint Backlog'!$J55-'ProductSprint Backlog'!$I55), AND('ProductSprint Backlog'!$J55=C$2,'ProductSprint Backlog'!$I55=C$2), 'ProductSprint Backlog'!$F55, TRUE, 0)</f>
        <v>0</v>
      </c>
      <c r="D55" s="4" cm="1">
        <f t="array" ref="D55">_xlfn.IFS('ProductSprint Backlog'!$F55="", "", AND('ProductSprint Backlog'!$J55&gt;D$2,'ProductSprint Backlog'!$I55&lt;=D$2), 'ProductSprint Backlog'!$F55 / MAX(1, 'ProductSprint Backlog'!$J55-'ProductSprint Backlog'!$I55), AND('ProductSprint Backlog'!$J55=D$2,'ProductSprint Backlog'!$I55=D$2), 'ProductSprint Backlog'!$F55, TRUE, 0)</f>
        <v>0</v>
      </c>
      <c r="E55" s="4" cm="1">
        <f t="array" ref="E55">_xlfn.IFS('ProductSprint Backlog'!$F55="", "", AND('ProductSprint Backlog'!$J55&gt;E$2,'ProductSprint Backlog'!$I55&lt;=E$2), 'ProductSprint Backlog'!$F55 / MAX(1, 'ProductSprint Backlog'!$J55-'ProductSprint Backlog'!$I55), AND('ProductSprint Backlog'!$J55=E$2,'ProductSprint Backlog'!$I55=E$2), 'ProductSprint Backlog'!$F55, TRUE, 0)</f>
        <v>0</v>
      </c>
      <c r="F55" s="4" cm="1">
        <f t="array" ref="F55">_xlfn.IFS('ProductSprint Backlog'!$F55="", "", AND('ProductSprint Backlog'!$J55&gt;F$2,'ProductSprint Backlog'!$I55&lt;=F$2), 'ProductSprint Backlog'!$F55 / MAX(1, 'ProductSprint Backlog'!$J55-'ProductSprint Backlog'!$I55), AND('ProductSprint Backlog'!$J55=F$2,'ProductSprint Backlog'!$I55=F$2), 'ProductSprint Backlog'!$F55, TRUE, 0)</f>
        <v>1</v>
      </c>
      <c r="G55" s="4" cm="1">
        <f t="array" ref="G55">_xlfn.IFS('ProductSprint Backlog'!$F55="", "", AND('ProductSprint Backlog'!$J55&gt;G$2,'ProductSprint Backlog'!$I55&lt;=G$2), 'ProductSprint Backlog'!$F55 / MAX(1, 'ProductSprint Backlog'!$J55-'ProductSprint Backlog'!$I55), AND('ProductSprint Backlog'!$J55=G$2,'ProductSprint Backlog'!$I55=G$2), 'ProductSprint Backlog'!$F55, TRUE, 0)</f>
        <v>1</v>
      </c>
      <c r="H55" s="4" cm="1">
        <f t="array" ref="H55">_xlfn.IFS('ProductSprint Backlog'!$F55="", "", AND('ProductSprint Backlog'!$J55&gt;H$2,'ProductSprint Backlog'!$I55&lt;=H$2), 'ProductSprint Backlog'!$F55 / MAX(1, 'ProductSprint Backlog'!$J55-'ProductSprint Backlog'!$I55), AND('ProductSprint Backlog'!$J55=H$2,'ProductSprint Backlog'!$I55=H$2), 'ProductSprint Backlog'!$F55, TRUE, 0)</f>
        <v>1</v>
      </c>
      <c r="I55" s="4" cm="1">
        <f t="array" ref="I55">_xlfn.IFS('ProductSprint Backlog'!$F55="", "", AND('ProductSprint Backlog'!$J55&gt;I$2,'ProductSprint Backlog'!$I55&lt;=I$2), 'ProductSprint Backlog'!$F55 / MAX(1, 'ProductSprint Backlog'!$J55-'ProductSprint Backlog'!$I55), AND('ProductSprint Backlog'!$J55=I$2,'ProductSprint Backlog'!$I55=I$2), 'ProductSprint Backlog'!$F55, TRUE, 0)</f>
        <v>0</v>
      </c>
      <c r="J55" s="4" cm="1">
        <f t="array" ref="J55">_xlfn.IFS('ProductSprint Backlog'!$F55="", "", AND('ProductSprint Backlog'!$J55&gt;J$2,'ProductSprint Backlog'!$I55&lt;=J$2), 'ProductSprint Backlog'!$F55 / MAX(1, 'ProductSprint Backlog'!$J55-'ProductSprint Backlog'!$I55), AND('ProductSprint Backlog'!$J55=J$2,'ProductSprint Backlog'!$I55=J$2), 'ProductSprint Backlog'!$F55, TRUE, 0)</f>
        <v>0</v>
      </c>
      <c r="K55" s="4" cm="1">
        <f t="array" ref="K55">_xlfn.IFS('ProductSprint Backlog'!$F55="", "", AND('ProductSprint Backlog'!$J55&gt;K$2,'ProductSprint Backlog'!$I55&lt;=K$2), 'ProductSprint Backlog'!$F55 / MAX(1, 'ProductSprint Backlog'!$J55-'ProductSprint Backlog'!$I55), AND('ProductSprint Backlog'!$J55=K$2,'ProductSprint Backlog'!$I55=K$2), 'ProductSprint Backlog'!$F55, TRUE, 0)</f>
        <v>0</v>
      </c>
      <c r="L55" s="4" cm="1">
        <f t="array" ref="L55">_xlfn.IFS('ProductSprint Backlog'!$F55="", "", AND('ProductSprint Backlog'!$J55&gt;L$2,'ProductSprint Backlog'!$I55&lt;=L$2), 'ProductSprint Backlog'!$F55 / MAX(1, 'ProductSprint Backlog'!$J55-'ProductSprint Backlog'!$I55), AND('ProductSprint Backlog'!$J55=L$2,'ProductSprint Backlog'!$I55=L$2), 'ProductSprint Backlog'!$F55, TRUE, 0)</f>
        <v>0</v>
      </c>
      <c r="M55" s="4" cm="1">
        <f t="array" ref="M55">_xlfn.IFS('ProductSprint Backlog'!$F55="", "", AND('ProductSprint Backlog'!$J55&gt;M$2,'ProductSprint Backlog'!$I55&lt;=M$2), 'ProductSprint Backlog'!$F55 / MAX(1, 'ProductSprint Backlog'!$J55-'ProductSprint Backlog'!$I55), AND('ProductSprint Backlog'!$J55=M$2,'ProductSprint Backlog'!$I55=M$2), 'ProductSprint Backlog'!$F55, TRUE, 0)</f>
        <v>0</v>
      </c>
      <c r="N55" s="4" cm="1">
        <f t="array" ref="N55">_xlfn.IFS('ProductSprint Backlog'!$F55="", "", AND('ProductSprint Backlog'!$J55&gt;N$2,'ProductSprint Backlog'!$I55&lt;=N$2), 'ProductSprint Backlog'!$F55 / MAX(1, 'ProductSprint Backlog'!$J55-'ProductSprint Backlog'!$I55), AND('ProductSprint Backlog'!$J55=N$2,'ProductSprint Backlog'!$I55=N$2), 'ProductSprint Backlog'!$F55, TRUE, 0)</f>
        <v>0</v>
      </c>
      <c r="O55" s="4" cm="1">
        <f t="array" ref="O55">_xlfn.IFS('ProductSprint Backlog'!$F55="", "", AND('ProductSprint Backlog'!$J55&gt;O$2,'ProductSprint Backlog'!$I55&lt;=O$2), 'ProductSprint Backlog'!$F55 / MAX(1, 'ProductSprint Backlog'!$J55-'ProductSprint Backlog'!$I55), AND('ProductSprint Backlog'!$J55=O$2,'ProductSprint Backlog'!$I55=O$2), 'ProductSprint Backlog'!$F55, TRUE, 0)</f>
        <v>0</v>
      </c>
    </row>
    <row r="56" spans="2:15" x14ac:dyDescent="0.2">
      <c r="B56" s="4" cm="1">
        <f t="array" ref="B56">_xlfn.IFS('ProductSprint Backlog'!$F56="", "", AND('ProductSprint Backlog'!$J56&gt;B$2,'ProductSprint Backlog'!$I56&lt;=B$2), 'ProductSprint Backlog'!$F56 / MAX(1, 'ProductSprint Backlog'!$J56-'ProductSprint Backlog'!$I56), AND('ProductSprint Backlog'!$J56=B$2,'ProductSprint Backlog'!$I56=B$2), 'ProductSprint Backlog'!$F56, TRUE, 0)</f>
        <v>0</v>
      </c>
      <c r="C56" s="4" cm="1">
        <f t="array" ref="C56">_xlfn.IFS('ProductSprint Backlog'!$F56="", "", AND('ProductSprint Backlog'!$J56&gt;C$2,'ProductSprint Backlog'!$I56&lt;=C$2), 'ProductSprint Backlog'!$F56 / MAX(1, 'ProductSprint Backlog'!$J56-'ProductSprint Backlog'!$I56), AND('ProductSprint Backlog'!$J56=C$2,'ProductSprint Backlog'!$I56=C$2), 'ProductSprint Backlog'!$F56, TRUE, 0)</f>
        <v>0</v>
      </c>
      <c r="D56" s="4" cm="1">
        <f t="array" ref="D56">_xlfn.IFS('ProductSprint Backlog'!$F56="", "", AND('ProductSprint Backlog'!$J56&gt;D$2,'ProductSprint Backlog'!$I56&lt;=D$2), 'ProductSprint Backlog'!$F56 / MAX(1, 'ProductSprint Backlog'!$J56-'ProductSprint Backlog'!$I56), AND('ProductSprint Backlog'!$J56=D$2,'ProductSprint Backlog'!$I56=D$2), 'ProductSprint Backlog'!$F56, TRUE, 0)</f>
        <v>0</v>
      </c>
      <c r="E56" s="4" cm="1">
        <f t="array" ref="E56">_xlfn.IFS('ProductSprint Backlog'!$F56="", "", AND('ProductSprint Backlog'!$J56&gt;E$2,'ProductSprint Backlog'!$I56&lt;=E$2), 'ProductSprint Backlog'!$F56 / MAX(1, 'ProductSprint Backlog'!$J56-'ProductSprint Backlog'!$I56), AND('ProductSprint Backlog'!$J56=E$2,'ProductSprint Backlog'!$I56=E$2), 'ProductSprint Backlog'!$F56, TRUE, 0)</f>
        <v>0</v>
      </c>
      <c r="F56" s="4" cm="1">
        <f t="array" ref="F56">_xlfn.IFS('ProductSprint Backlog'!$F56="", "", AND('ProductSprint Backlog'!$J56&gt;F$2,'ProductSprint Backlog'!$I56&lt;=F$2), 'ProductSprint Backlog'!$F56 / MAX(1, 'ProductSprint Backlog'!$J56-'ProductSprint Backlog'!$I56), AND('ProductSprint Backlog'!$J56=F$2,'ProductSprint Backlog'!$I56=F$2), 'ProductSprint Backlog'!$F56, TRUE, 0)</f>
        <v>1</v>
      </c>
      <c r="G56" s="4" cm="1">
        <f t="array" ref="G56">_xlfn.IFS('ProductSprint Backlog'!$F56="", "", AND('ProductSprint Backlog'!$J56&gt;G$2,'ProductSprint Backlog'!$I56&lt;=G$2), 'ProductSprint Backlog'!$F56 / MAX(1, 'ProductSprint Backlog'!$J56-'ProductSprint Backlog'!$I56), AND('ProductSprint Backlog'!$J56=G$2,'ProductSprint Backlog'!$I56=G$2), 'ProductSprint Backlog'!$F56, TRUE, 0)</f>
        <v>1</v>
      </c>
      <c r="H56" s="4" cm="1">
        <f t="array" ref="H56">_xlfn.IFS('ProductSprint Backlog'!$F56="", "", AND('ProductSprint Backlog'!$J56&gt;H$2,'ProductSprint Backlog'!$I56&lt;=H$2), 'ProductSprint Backlog'!$F56 / MAX(1, 'ProductSprint Backlog'!$J56-'ProductSprint Backlog'!$I56), AND('ProductSprint Backlog'!$J56=H$2,'ProductSprint Backlog'!$I56=H$2), 'ProductSprint Backlog'!$F56, TRUE, 0)</f>
        <v>0</v>
      </c>
      <c r="I56" s="4" cm="1">
        <f t="array" ref="I56">_xlfn.IFS('ProductSprint Backlog'!$F56="", "", AND('ProductSprint Backlog'!$J56&gt;I$2,'ProductSprint Backlog'!$I56&lt;=I$2), 'ProductSprint Backlog'!$F56 / MAX(1, 'ProductSprint Backlog'!$J56-'ProductSprint Backlog'!$I56), AND('ProductSprint Backlog'!$J56=I$2,'ProductSprint Backlog'!$I56=I$2), 'ProductSprint Backlog'!$F56, TRUE, 0)</f>
        <v>0</v>
      </c>
      <c r="J56" s="4" cm="1">
        <f t="array" ref="J56">_xlfn.IFS('ProductSprint Backlog'!$F56="", "", AND('ProductSprint Backlog'!$J56&gt;J$2,'ProductSprint Backlog'!$I56&lt;=J$2), 'ProductSprint Backlog'!$F56 / MAX(1, 'ProductSprint Backlog'!$J56-'ProductSprint Backlog'!$I56), AND('ProductSprint Backlog'!$J56=J$2,'ProductSprint Backlog'!$I56=J$2), 'ProductSprint Backlog'!$F56, TRUE, 0)</f>
        <v>0</v>
      </c>
      <c r="K56" s="4" cm="1">
        <f t="array" ref="K56">_xlfn.IFS('ProductSprint Backlog'!$F56="", "", AND('ProductSprint Backlog'!$J56&gt;K$2,'ProductSprint Backlog'!$I56&lt;=K$2), 'ProductSprint Backlog'!$F56 / MAX(1, 'ProductSprint Backlog'!$J56-'ProductSprint Backlog'!$I56), AND('ProductSprint Backlog'!$J56=K$2,'ProductSprint Backlog'!$I56=K$2), 'ProductSprint Backlog'!$F56, TRUE, 0)</f>
        <v>0</v>
      </c>
      <c r="L56" s="4" cm="1">
        <f t="array" ref="L56">_xlfn.IFS('ProductSprint Backlog'!$F56="", "", AND('ProductSprint Backlog'!$J56&gt;L$2,'ProductSprint Backlog'!$I56&lt;=L$2), 'ProductSprint Backlog'!$F56 / MAX(1, 'ProductSprint Backlog'!$J56-'ProductSprint Backlog'!$I56), AND('ProductSprint Backlog'!$J56=L$2,'ProductSprint Backlog'!$I56=L$2), 'ProductSprint Backlog'!$F56, TRUE, 0)</f>
        <v>0</v>
      </c>
      <c r="M56" s="4" cm="1">
        <f t="array" ref="M56">_xlfn.IFS('ProductSprint Backlog'!$F56="", "", AND('ProductSprint Backlog'!$J56&gt;M$2,'ProductSprint Backlog'!$I56&lt;=M$2), 'ProductSprint Backlog'!$F56 / MAX(1, 'ProductSprint Backlog'!$J56-'ProductSprint Backlog'!$I56), AND('ProductSprint Backlog'!$J56=M$2,'ProductSprint Backlog'!$I56=M$2), 'ProductSprint Backlog'!$F56, TRUE, 0)</f>
        <v>0</v>
      </c>
      <c r="N56" s="4" cm="1">
        <f t="array" ref="N56">_xlfn.IFS('ProductSprint Backlog'!$F56="", "", AND('ProductSprint Backlog'!$J56&gt;N$2,'ProductSprint Backlog'!$I56&lt;=N$2), 'ProductSprint Backlog'!$F56 / MAX(1, 'ProductSprint Backlog'!$J56-'ProductSprint Backlog'!$I56), AND('ProductSprint Backlog'!$J56=N$2,'ProductSprint Backlog'!$I56=N$2), 'ProductSprint Backlog'!$F56, TRUE, 0)</f>
        <v>0</v>
      </c>
      <c r="O56" s="4" cm="1">
        <f t="array" ref="O56">_xlfn.IFS('ProductSprint Backlog'!$F56="", "", AND('ProductSprint Backlog'!$J56&gt;O$2,'ProductSprint Backlog'!$I56&lt;=O$2), 'ProductSprint Backlog'!$F56 / MAX(1, 'ProductSprint Backlog'!$J56-'ProductSprint Backlog'!$I56), AND('ProductSprint Backlog'!$J56=O$2,'ProductSprint Backlog'!$I56=O$2), 'ProductSprint Backlog'!$F56, TRUE, 0)</f>
        <v>0</v>
      </c>
    </row>
    <row r="57" spans="2:15" x14ac:dyDescent="0.2">
      <c r="B57" s="4" cm="1">
        <f t="array" ref="B57">_xlfn.IFS('ProductSprint Backlog'!$F57="", "", AND('ProductSprint Backlog'!$J57&gt;B$2,'ProductSprint Backlog'!$I57&lt;=B$2), 'ProductSprint Backlog'!$F57 / MAX(1, 'ProductSprint Backlog'!$J57-'ProductSprint Backlog'!$I57), AND('ProductSprint Backlog'!$J57=B$2,'ProductSprint Backlog'!$I57=B$2), 'ProductSprint Backlog'!$F57, TRUE, 0)</f>
        <v>0</v>
      </c>
      <c r="C57" s="4" cm="1">
        <f t="array" ref="C57">_xlfn.IFS('ProductSprint Backlog'!$F57="", "", AND('ProductSprint Backlog'!$J57&gt;C$2,'ProductSprint Backlog'!$I57&lt;=C$2), 'ProductSprint Backlog'!$F57 / MAX(1, 'ProductSprint Backlog'!$J57-'ProductSprint Backlog'!$I57), AND('ProductSprint Backlog'!$J57=C$2,'ProductSprint Backlog'!$I57=C$2), 'ProductSprint Backlog'!$F57, TRUE, 0)</f>
        <v>0</v>
      </c>
      <c r="D57" s="4" cm="1">
        <f t="array" ref="D57">_xlfn.IFS('ProductSprint Backlog'!$F57="", "", AND('ProductSprint Backlog'!$J57&gt;D$2,'ProductSprint Backlog'!$I57&lt;=D$2), 'ProductSprint Backlog'!$F57 / MAX(1, 'ProductSprint Backlog'!$J57-'ProductSprint Backlog'!$I57), AND('ProductSprint Backlog'!$J57=D$2,'ProductSprint Backlog'!$I57=D$2), 'ProductSprint Backlog'!$F57, TRUE, 0)</f>
        <v>0</v>
      </c>
      <c r="E57" s="4" cm="1">
        <f t="array" ref="E57">_xlfn.IFS('ProductSprint Backlog'!$F57="", "", AND('ProductSprint Backlog'!$J57&gt;E$2,'ProductSprint Backlog'!$I57&lt;=E$2), 'ProductSprint Backlog'!$F57 / MAX(1, 'ProductSprint Backlog'!$J57-'ProductSprint Backlog'!$I57), AND('ProductSprint Backlog'!$J57=E$2,'ProductSprint Backlog'!$I57=E$2), 'ProductSprint Backlog'!$F57, TRUE, 0)</f>
        <v>0</v>
      </c>
      <c r="F57" s="4" cm="1">
        <f t="array" ref="F57">_xlfn.IFS('ProductSprint Backlog'!$F57="", "", AND('ProductSprint Backlog'!$J57&gt;F$2,'ProductSprint Backlog'!$I57&lt;=F$2), 'ProductSprint Backlog'!$F57 / MAX(1, 'ProductSprint Backlog'!$J57-'ProductSprint Backlog'!$I57), AND('ProductSprint Backlog'!$J57=F$2,'ProductSprint Backlog'!$I57=F$2), 'ProductSprint Backlog'!$F57, TRUE, 0)</f>
        <v>0</v>
      </c>
      <c r="G57" s="4" cm="1">
        <f t="array" ref="G57">_xlfn.IFS('ProductSprint Backlog'!$F57="", "", AND('ProductSprint Backlog'!$J57&gt;G$2,'ProductSprint Backlog'!$I57&lt;=G$2), 'ProductSprint Backlog'!$F57 / MAX(1, 'ProductSprint Backlog'!$J57-'ProductSprint Backlog'!$I57), AND('ProductSprint Backlog'!$J57=G$2,'ProductSprint Backlog'!$I57=G$2), 'ProductSprint Backlog'!$F57, TRUE, 0)</f>
        <v>1</v>
      </c>
      <c r="H57" s="4" cm="1">
        <f t="array" ref="H57">_xlfn.IFS('ProductSprint Backlog'!$F57="", "", AND('ProductSprint Backlog'!$J57&gt;H$2,'ProductSprint Backlog'!$I57&lt;=H$2), 'ProductSprint Backlog'!$F57 / MAX(1, 'ProductSprint Backlog'!$J57-'ProductSprint Backlog'!$I57), AND('ProductSprint Backlog'!$J57=H$2,'ProductSprint Backlog'!$I57=H$2), 'ProductSprint Backlog'!$F57, TRUE, 0)</f>
        <v>1</v>
      </c>
      <c r="I57" s="4" cm="1">
        <f t="array" ref="I57">_xlfn.IFS('ProductSprint Backlog'!$F57="", "", AND('ProductSprint Backlog'!$J57&gt;I$2,'ProductSprint Backlog'!$I57&lt;=I$2), 'ProductSprint Backlog'!$F57 / MAX(1, 'ProductSprint Backlog'!$J57-'ProductSprint Backlog'!$I57), AND('ProductSprint Backlog'!$J57=I$2,'ProductSprint Backlog'!$I57=I$2), 'ProductSprint Backlog'!$F57, TRUE, 0)</f>
        <v>0</v>
      </c>
      <c r="J57" s="4" cm="1">
        <f t="array" ref="J57">_xlfn.IFS('ProductSprint Backlog'!$F57="", "", AND('ProductSprint Backlog'!$J57&gt;J$2,'ProductSprint Backlog'!$I57&lt;=J$2), 'ProductSprint Backlog'!$F57 / MAX(1, 'ProductSprint Backlog'!$J57-'ProductSprint Backlog'!$I57), AND('ProductSprint Backlog'!$J57=J$2,'ProductSprint Backlog'!$I57=J$2), 'ProductSprint Backlog'!$F57, TRUE, 0)</f>
        <v>0</v>
      </c>
      <c r="K57" s="4" cm="1">
        <f t="array" ref="K57">_xlfn.IFS('ProductSprint Backlog'!$F57="", "", AND('ProductSprint Backlog'!$J57&gt;K$2,'ProductSprint Backlog'!$I57&lt;=K$2), 'ProductSprint Backlog'!$F57 / MAX(1, 'ProductSprint Backlog'!$J57-'ProductSprint Backlog'!$I57), AND('ProductSprint Backlog'!$J57=K$2,'ProductSprint Backlog'!$I57=K$2), 'ProductSprint Backlog'!$F57, TRUE, 0)</f>
        <v>0</v>
      </c>
      <c r="L57" s="4" cm="1">
        <f t="array" ref="L57">_xlfn.IFS('ProductSprint Backlog'!$F57="", "", AND('ProductSprint Backlog'!$J57&gt;L$2,'ProductSprint Backlog'!$I57&lt;=L$2), 'ProductSprint Backlog'!$F57 / MAX(1, 'ProductSprint Backlog'!$J57-'ProductSprint Backlog'!$I57), AND('ProductSprint Backlog'!$J57=L$2,'ProductSprint Backlog'!$I57=L$2), 'ProductSprint Backlog'!$F57, TRUE, 0)</f>
        <v>0</v>
      </c>
      <c r="M57" s="4" cm="1">
        <f t="array" ref="M57">_xlfn.IFS('ProductSprint Backlog'!$F57="", "", AND('ProductSprint Backlog'!$J57&gt;M$2,'ProductSprint Backlog'!$I57&lt;=M$2), 'ProductSprint Backlog'!$F57 / MAX(1, 'ProductSprint Backlog'!$J57-'ProductSprint Backlog'!$I57), AND('ProductSprint Backlog'!$J57=M$2,'ProductSprint Backlog'!$I57=M$2), 'ProductSprint Backlog'!$F57, TRUE, 0)</f>
        <v>0</v>
      </c>
      <c r="N57" s="4" cm="1">
        <f t="array" ref="N57">_xlfn.IFS('ProductSprint Backlog'!$F57="", "", AND('ProductSprint Backlog'!$J57&gt;N$2,'ProductSprint Backlog'!$I57&lt;=N$2), 'ProductSprint Backlog'!$F57 / MAX(1, 'ProductSprint Backlog'!$J57-'ProductSprint Backlog'!$I57), AND('ProductSprint Backlog'!$J57=N$2,'ProductSprint Backlog'!$I57=N$2), 'ProductSprint Backlog'!$F57, TRUE, 0)</f>
        <v>0</v>
      </c>
      <c r="O57" s="4" cm="1">
        <f t="array" ref="O57">_xlfn.IFS('ProductSprint Backlog'!$F57="", "", AND('ProductSprint Backlog'!$J57&gt;O$2,'ProductSprint Backlog'!$I57&lt;=O$2), 'ProductSprint Backlog'!$F57 / MAX(1, 'ProductSprint Backlog'!$J57-'ProductSprint Backlog'!$I57), AND('ProductSprint Backlog'!$J57=O$2,'ProductSprint Backlog'!$I57=O$2), 'ProductSprint Backlog'!$F57, TRUE, 0)</f>
        <v>0</v>
      </c>
    </row>
    <row r="58" spans="2:15" x14ac:dyDescent="0.2">
      <c r="B58" s="4" cm="1">
        <f t="array" ref="B58">_xlfn.IFS('ProductSprint Backlog'!$F58="", "", AND('ProductSprint Backlog'!$J58&gt;B$2,'ProductSprint Backlog'!$I58&lt;=B$2), 'ProductSprint Backlog'!$F58 / MAX(1, 'ProductSprint Backlog'!$J58-'ProductSprint Backlog'!$I58), AND('ProductSprint Backlog'!$J58=B$2,'ProductSprint Backlog'!$I58=B$2), 'ProductSprint Backlog'!$F58, TRUE, 0)</f>
        <v>0</v>
      </c>
      <c r="C58" s="4" cm="1">
        <f t="array" ref="C58">_xlfn.IFS('ProductSprint Backlog'!$F58="", "", AND('ProductSprint Backlog'!$J58&gt;C$2,'ProductSprint Backlog'!$I58&lt;=C$2), 'ProductSprint Backlog'!$F58 / MAX(1, 'ProductSprint Backlog'!$J58-'ProductSprint Backlog'!$I58), AND('ProductSprint Backlog'!$J58=C$2,'ProductSprint Backlog'!$I58=C$2), 'ProductSprint Backlog'!$F58, TRUE, 0)</f>
        <v>0</v>
      </c>
      <c r="D58" s="4" cm="1">
        <f t="array" ref="D58">_xlfn.IFS('ProductSprint Backlog'!$F58="", "", AND('ProductSprint Backlog'!$J58&gt;D$2,'ProductSprint Backlog'!$I58&lt;=D$2), 'ProductSprint Backlog'!$F58 / MAX(1, 'ProductSprint Backlog'!$J58-'ProductSprint Backlog'!$I58), AND('ProductSprint Backlog'!$J58=D$2,'ProductSprint Backlog'!$I58=D$2), 'ProductSprint Backlog'!$F58, TRUE, 0)</f>
        <v>0</v>
      </c>
      <c r="E58" s="4" cm="1">
        <f t="array" ref="E58">_xlfn.IFS('ProductSprint Backlog'!$F58="", "", AND('ProductSprint Backlog'!$J58&gt;E$2,'ProductSprint Backlog'!$I58&lt;=E$2), 'ProductSprint Backlog'!$F58 / MAX(1, 'ProductSprint Backlog'!$J58-'ProductSprint Backlog'!$I58), AND('ProductSprint Backlog'!$J58=E$2,'ProductSprint Backlog'!$I58=E$2), 'ProductSprint Backlog'!$F58, TRUE, 0)</f>
        <v>0</v>
      </c>
      <c r="F58" s="4" cm="1">
        <f t="array" ref="F58">_xlfn.IFS('ProductSprint Backlog'!$F58="", "", AND('ProductSprint Backlog'!$J58&gt;F$2,'ProductSprint Backlog'!$I58&lt;=F$2), 'ProductSprint Backlog'!$F58 / MAX(1, 'ProductSprint Backlog'!$J58-'ProductSprint Backlog'!$I58), AND('ProductSprint Backlog'!$J58=F$2,'ProductSprint Backlog'!$I58=F$2), 'ProductSprint Backlog'!$F58, TRUE, 0)</f>
        <v>0</v>
      </c>
      <c r="G58" s="4" cm="1">
        <f t="array" ref="G58">_xlfn.IFS('ProductSprint Backlog'!$F58="", "", AND('ProductSprint Backlog'!$J58&gt;G$2,'ProductSprint Backlog'!$I58&lt;=G$2), 'ProductSprint Backlog'!$F58 / MAX(1, 'ProductSprint Backlog'!$J58-'ProductSprint Backlog'!$I58), AND('ProductSprint Backlog'!$J58=G$2,'ProductSprint Backlog'!$I58=G$2), 'ProductSprint Backlog'!$F58, TRUE, 0)</f>
        <v>0</v>
      </c>
      <c r="H58" s="4" cm="1">
        <f t="array" ref="H58">_xlfn.IFS('ProductSprint Backlog'!$F58="", "", AND('ProductSprint Backlog'!$J58&gt;H$2,'ProductSprint Backlog'!$I58&lt;=H$2), 'ProductSprint Backlog'!$F58 / MAX(1, 'ProductSprint Backlog'!$J58-'ProductSprint Backlog'!$I58), AND('ProductSprint Backlog'!$J58=H$2,'ProductSprint Backlog'!$I58=H$2), 'ProductSprint Backlog'!$F58, TRUE, 0)</f>
        <v>2</v>
      </c>
      <c r="I58" s="4" cm="1">
        <f t="array" ref="I58">_xlfn.IFS('ProductSprint Backlog'!$F58="", "", AND('ProductSprint Backlog'!$J58&gt;I$2,'ProductSprint Backlog'!$I58&lt;=I$2), 'ProductSprint Backlog'!$F58 / MAX(1, 'ProductSprint Backlog'!$J58-'ProductSprint Backlog'!$I58), AND('ProductSprint Backlog'!$J58=I$2,'ProductSprint Backlog'!$I58=I$2), 'ProductSprint Backlog'!$F58, TRUE, 0)</f>
        <v>0</v>
      </c>
      <c r="J58" s="4" cm="1">
        <f t="array" ref="J58">_xlfn.IFS('ProductSprint Backlog'!$F58="", "", AND('ProductSprint Backlog'!$J58&gt;J$2,'ProductSprint Backlog'!$I58&lt;=J$2), 'ProductSprint Backlog'!$F58 / MAX(1, 'ProductSprint Backlog'!$J58-'ProductSprint Backlog'!$I58), AND('ProductSprint Backlog'!$J58=J$2,'ProductSprint Backlog'!$I58=J$2), 'ProductSprint Backlog'!$F58, TRUE, 0)</f>
        <v>0</v>
      </c>
      <c r="K58" s="4" cm="1">
        <f t="array" ref="K58">_xlfn.IFS('ProductSprint Backlog'!$F58="", "", AND('ProductSprint Backlog'!$J58&gt;K$2,'ProductSprint Backlog'!$I58&lt;=K$2), 'ProductSprint Backlog'!$F58 / MAX(1, 'ProductSprint Backlog'!$J58-'ProductSprint Backlog'!$I58), AND('ProductSprint Backlog'!$J58=K$2,'ProductSprint Backlog'!$I58=K$2), 'ProductSprint Backlog'!$F58, TRUE, 0)</f>
        <v>0</v>
      </c>
      <c r="L58" s="4" cm="1">
        <f t="array" ref="L58">_xlfn.IFS('ProductSprint Backlog'!$F58="", "", AND('ProductSprint Backlog'!$J58&gt;L$2,'ProductSprint Backlog'!$I58&lt;=L$2), 'ProductSprint Backlog'!$F58 / MAX(1, 'ProductSprint Backlog'!$J58-'ProductSprint Backlog'!$I58), AND('ProductSprint Backlog'!$J58=L$2,'ProductSprint Backlog'!$I58=L$2), 'ProductSprint Backlog'!$F58, TRUE, 0)</f>
        <v>0</v>
      </c>
      <c r="M58" s="4" cm="1">
        <f t="array" ref="M58">_xlfn.IFS('ProductSprint Backlog'!$F58="", "", AND('ProductSprint Backlog'!$J58&gt;M$2,'ProductSprint Backlog'!$I58&lt;=M$2), 'ProductSprint Backlog'!$F58 / MAX(1, 'ProductSprint Backlog'!$J58-'ProductSprint Backlog'!$I58), AND('ProductSprint Backlog'!$J58=M$2,'ProductSprint Backlog'!$I58=M$2), 'ProductSprint Backlog'!$F58, TRUE, 0)</f>
        <v>0</v>
      </c>
      <c r="N58" s="4" cm="1">
        <f t="array" ref="N58">_xlfn.IFS('ProductSprint Backlog'!$F58="", "", AND('ProductSprint Backlog'!$J58&gt;N$2,'ProductSprint Backlog'!$I58&lt;=N$2), 'ProductSprint Backlog'!$F58 / MAX(1, 'ProductSprint Backlog'!$J58-'ProductSprint Backlog'!$I58), AND('ProductSprint Backlog'!$J58=N$2,'ProductSprint Backlog'!$I58=N$2), 'ProductSprint Backlog'!$F58, TRUE, 0)</f>
        <v>0</v>
      </c>
      <c r="O58" s="4" cm="1">
        <f t="array" ref="O58">_xlfn.IFS('ProductSprint Backlog'!$F58="", "", AND('ProductSprint Backlog'!$J58&gt;O$2,'ProductSprint Backlog'!$I58&lt;=O$2), 'ProductSprint Backlog'!$F58 / MAX(1, 'ProductSprint Backlog'!$J58-'ProductSprint Backlog'!$I58), AND('ProductSprint Backlog'!$J58=O$2,'ProductSprint Backlog'!$I58=O$2), 'ProductSprint Backlog'!$F58, TRUE, 0)</f>
        <v>0</v>
      </c>
    </row>
    <row r="59" spans="2:15" x14ac:dyDescent="0.2">
      <c r="B59" s="4" t="str" cm="1">
        <f t="array" ref="B59">_xlfn.IFS('ProductSprint Backlog'!$F59="", "", AND('ProductSprint Backlog'!$J59&gt;B$2,'ProductSprint Backlog'!$I59&lt;=B$2), 'ProductSprint Backlog'!$F59 / MAX(1, 'ProductSprint Backlog'!$J59-'ProductSprint Backlog'!$I59), AND('ProductSprint Backlog'!$J59=B$2,'ProductSprint Backlog'!$I59=B$2), 'ProductSprint Backlog'!$F59, TRUE, 0)</f>
        <v/>
      </c>
      <c r="C59" s="4" t="str" cm="1">
        <f t="array" ref="C59">_xlfn.IFS('ProductSprint Backlog'!$F59="", "", AND('ProductSprint Backlog'!$J59&gt;C$2,'ProductSprint Backlog'!$I59&lt;=C$2), 'ProductSprint Backlog'!$F59 / MAX(1, 'ProductSprint Backlog'!$J59-'ProductSprint Backlog'!$I59), AND('ProductSprint Backlog'!$J59=C$2,'ProductSprint Backlog'!$I59=C$2), 'ProductSprint Backlog'!$F59, TRUE, 0)</f>
        <v/>
      </c>
      <c r="D59" s="4" t="str" cm="1">
        <f t="array" ref="D59">_xlfn.IFS('ProductSprint Backlog'!$F59="", "", AND('ProductSprint Backlog'!$J59&gt;D$2,'ProductSprint Backlog'!$I59&lt;=D$2), 'ProductSprint Backlog'!$F59 / MAX(1, 'ProductSprint Backlog'!$J59-'ProductSprint Backlog'!$I59), AND('ProductSprint Backlog'!$J59=D$2,'ProductSprint Backlog'!$I59=D$2), 'ProductSprint Backlog'!$F59, TRUE, 0)</f>
        <v/>
      </c>
      <c r="E59" s="4" t="str" cm="1">
        <f t="array" ref="E59">_xlfn.IFS('ProductSprint Backlog'!$F59="", "", AND('ProductSprint Backlog'!$J59&gt;E$2,'ProductSprint Backlog'!$I59&lt;=E$2), 'ProductSprint Backlog'!$F59 / MAX(1, 'ProductSprint Backlog'!$J59-'ProductSprint Backlog'!$I59), AND('ProductSprint Backlog'!$J59=E$2,'ProductSprint Backlog'!$I59=E$2), 'ProductSprint Backlog'!$F59, TRUE, 0)</f>
        <v/>
      </c>
      <c r="F59" s="4" t="str" cm="1">
        <f t="array" ref="F59">_xlfn.IFS('ProductSprint Backlog'!$F59="", "", AND('ProductSprint Backlog'!$J59&gt;F$2,'ProductSprint Backlog'!$I59&lt;=F$2), 'ProductSprint Backlog'!$F59 / MAX(1, 'ProductSprint Backlog'!$J59-'ProductSprint Backlog'!$I59), AND('ProductSprint Backlog'!$J59=F$2,'ProductSprint Backlog'!$I59=F$2), 'ProductSprint Backlog'!$F59, TRUE, 0)</f>
        <v/>
      </c>
      <c r="G59" s="4" t="str" cm="1">
        <f t="array" ref="G59">_xlfn.IFS('ProductSprint Backlog'!$F59="", "", AND('ProductSprint Backlog'!$J59&gt;G$2,'ProductSprint Backlog'!$I59&lt;=G$2), 'ProductSprint Backlog'!$F59 / MAX(1, 'ProductSprint Backlog'!$J59-'ProductSprint Backlog'!$I59), AND('ProductSprint Backlog'!$J59=G$2,'ProductSprint Backlog'!$I59=G$2), 'ProductSprint Backlog'!$F59, TRUE, 0)</f>
        <v/>
      </c>
      <c r="H59" s="4" t="str" cm="1">
        <f t="array" ref="H59">_xlfn.IFS('ProductSprint Backlog'!$F59="", "", AND('ProductSprint Backlog'!$J59&gt;H$2,'ProductSprint Backlog'!$I59&lt;=H$2), 'ProductSprint Backlog'!$F59 / MAX(1, 'ProductSprint Backlog'!$J59-'ProductSprint Backlog'!$I59), AND('ProductSprint Backlog'!$J59=H$2,'ProductSprint Backlog'!$I59=H$2), 'ProductSprint Backlog'!$F59, TRUE, 0)</f>
        <v/>
      </c>
      <c r="I59" s="4" t="str" cm="1">
        <f t="array" ref="I59">_xlfn.IFS('ProductSprint Backlog'!$F59="", "", AND('ProductSprint Backlog'!$J59&gt;I$2,'ProductSprint Backlog'!$I59&lt;=I$2), 'ProductSprint Backlog'!$F59 / MAX(1, 'ProductSprint Backlog'!$J59-'ProductSprint Backlog'!$I59), AND('ProductSprint Backlog'!$J59=I$2,'ProductSprint Backlog'!$I59=I$2), 'ProductSprint Backlog'!$F59, TRUE, 0)</f>
        <v/>
      </c>
      <c r="J59" s="4" t="str" cm="1">
        <f t="array" ref="J59">_xlfn.IFS('ProductSprint Backlog'!$F59="", "", AND('ProductSprint Backlog'!$J59&gt;J$2,'ProductSprint Backlog'!$I59&lt;=J$2), 'ProductSprint Backlog'!$F59 / MAX(1, 'ProductSprint Backlog'!$J59-'ProductSprint Backlog'!$I59), AND('ProductSprint Backlog'!$J59=J$2,'ProductSprint Backlog'!$I59=J$2), 'ProductSprint Backlog'!$F59, TRUE, 0)</f>
        <v/>
      </c>
      <c r="K59" s="4" t="str" cm="1">
        <f t="array" ref="K59">_xlfn.IFS('ProductSprint Backlog'!$F59="", "", AND('ProductSprint Backlog'!$J59&gt;K$2,'ProductSprint Backlog'!$I59&lt;=K$2), 'ProductSprint Backlog'!$F59 / MAX(1, 'ProductSprint Backlog'!$J59-'ProductSprint Backlog'!$I59), AND('ProductSprint Backlog'!$J59=K$2,'ProductSprint Backlog'!$I59=K$2), 'ProductSprint Backlog'!$F59, TRUE, 0)</f>
        <v/>
      </c>
      <c r="L59" s="4" t="str" cm="1">
        <f t="array" ref="L59">_xlfn.IFS('ProductSprint Backlog'!$F59="", "", AND('ProductSprint Backlog'!$J59&gt;L$2,'ProductSprint Backlog'!$I59&lt;=L$2), 'ProductSprint Backlog'!$F59 / MAX(1, 'ProductSprint Backlog'!$J59-'ProductSprint Backlog'!$I59), AND('ProductSprint Backlog'!$J59=L$2,'ProductSprint Backlog'!$I59=L$2), 'ProductSprint Backlog'!$F59, TRUE, 0)</f>
        <v/>
      </c>
      <c r="M59" s="4" t="str" cm="1">
        <f t="array" ref="M59">_xlfn.IFS('ProductSprint Backlog'!$F59="", "", AND('ProductSprint Backlog'!$J59&gt;M$2,'ProductSprint Backlog'!$I59&lt;=M$2), 'ProductSprint Backlog'!$F59 / MAX(1, 'ProductSprint Backlog'!$J59-'ProductSprint Backlog'!$I59), AND('ProductSprint Backlog'!$J59=M$2,'ProductSprint Backlog'!$I59=M$2), 'ProductSprint Backlog'!$F59, TRUE, 0)</f>
        <v/>
      </c>
      <c r="N59" s="4" t="str" cm="1">
        <f t="array" ref="N59">_xlfn.IFS('ProductSprint Backlog'!$F59="", "", AND('ProductSprint Backlog'!$J59&gt;N$2,'ProductSprint Backlog'!$I59&lt;=N$2), 'ProductSprint Backlog'!$F59 / MAX(1, 'ProductSprint Backlog'!$J59-'ProductSprint Backlog'!$I59), AND('ProductSprint Backlog'!$J59=N$2,'ProductSprint Backlog'!$I59=N$2), 'ProductSprint Backlog'!$F59, TRUE, 0)</f>
        <v/>
      </c>
      <c r="O59" s="4" t="str" cm="1">
        <f t="array" ref="O59">_xlfn.IFS('ProductSprint Backlog'!$F59="", "", AND('ProductSprint Backlog'!$J59&gt;O$2,'ProductSprint Backlog'!$I59&lt;=O$2), 'ProductSprint Backlog'!$F59 / MAX(1, 'ProductSprint Backlog'!$J59-'ProductSprint Backlog'!$I59), AND('ProductSprint Backlog'!$J59=O$2,'ProductSprint Backlog'!$I59=O$2), 'ProductSprint Backlog'!$F59, TRUE, 0)</f>
        <v/>
      </c>
    </row>
    <row r="60" spans="2:15" x14ac:dyDescent="0.2">
      <c r="B60" s="4" cm="1">
        <f t="array" ref="B60">_xlfn.IFS('ProductSprint Backlog'!$F60="", "", AND('ProductSprint Backlog'!$J60&gt;B$2,'ProductSprint Backlog'!$I60&lt;=B$2), 'ProductSprint Backlog'!$F60 / MAX(1, 'ProductSprint Backlog'!$J60-'ProductSprint Backlog'!$I60), AND('ProductSprint Backlog'!$J60=B$2,'ProductSprint Backlog'!$I60=B$2), 'ProductSprint Backlog'!$F60, TRUE, 0)</f>
        <v>0</v>
      </c>
      <c r="C60" s="4" cm="1">
        <f t="array" ref="C60">_xlfn.IFS('ProductSprint Backlog'!$F60="", "", AND('ProductSprint Backlog'!$J60&gt;C$2,'ProductSprint Backlog'!$I60&lt;=C$2), 'ProductSprint Backlog'!$F60 / MAX(1, 'ProductSprint Backlog'!$J60-'ProductSprint Backlog'!$I60), AND('ProductSprint Backlog'!$J60=C$2,'ProductSprint Backlog'!$I60=C$2), 'ProductSprint Backlog'!$F60, TRUE, 0)</f>
        <v>0</v>
      </c>
      <c r="D60" s="4" cm="1">
        <f t="array" ref="D60">_xlfn.IFS('ProductSprint Backlog'!$F60="", "", AND('ProductSprint Backlog'!$J60&gt;D$2,'ProductSprint Backlog'!$I60&lt;=D$2), 'ProductSprint Backlog'!$F60 / MAX(1, 'ProductSprint Backlog'!$J60-'ProductSprint Backlog'!$I60), AND('ProductSprint Backlog'!$J60=D$2,'ProductSprint Backlog'!$I60=D$2), 'ProductSprint Backlog'!$F60, TRUE, 0)</f>
        <v>0</v>
      </c>
      <c r="E60" s="4" cm="1">
        <f t="array" ref="E60">_xlfn.IFS('ProductSprint Backlog'!$F60="", "", AND('ProductSprint Backlog'!$J60&gt;E$2,'ProductSprint Backlog'!$I60&lt;=E$2), 'ProductSprint Backlog'!$F60 / MAX(1, 'ProductSprint Backlog'!$J60-'ProductSprint Backlog'!$I60), AND('ProductSprint Backlog'!$J60=E$2,'ProductSprint Backlog'!$I60=E$2), 'ProductSprint Backlog'!$F60, TRUE, 0)</f>
        <v>0</v>
      </c>
      <c r="F60" s="4" cm="1">
        <f t="array" ref="F60">_xlfn.IFS('ProductSprint Backlog'!$F60="", "", AND('ProductSprint Backlog'!$J60&gt;F$2,'ProductSprint Backlog'!$I60&lt;=F$2), 'ProductSprint Backlog'!$F60 / MAX(1, 'ProductSprint Backlog'!$J60-'ProductSprint Backlog'!$I60), AND('ProductSprint Backlog'!$J60=F$2,'ProductSprint Backlog'!$I60=F$2), 'ProductSprint Backlog'!$F60, TRUE, 0)</f>
        <v>0</v>
      </c>
      <c r="G60" s="4" cm="1">
        <f t="array" ref="G60">_xlfn.IFS('ProductSprint Backlog'!$F60="", "", AND('ProductSprint Backlog'!$J60&gt;G$2,'ProductSprint Backlog'!$I60&lt;=G$2), 'ProductSprint Backlog'!$F60 / MAX(1, 'ProductSprint Backlog'!$J60-'ProductSprint Backlog'!$I60), AND('ProductSprint Backlog'!$J60=G$2,'ProductSprint Backlog'!$I60=G$2), 'ProductSprint Backlog'!$F60, TRUE, 0)</f>
        <v>0</v>
      </c>
      <c r="H60" s="4" cm="1">
        <f t="array" ref="H60">_xlfn.IFS('ProductSprint Backlog'!$F60="", "", AND('ProductSprint Backlog'!$J60&gt;H$2,'ProductSprint Backlog'!$I60&lt;=H$2), 'ProductSprint Backlog'!$F60 / MAX(1, 'ProductSprint Backlog'!$J60-'ProductSprint Backlog'!$I60), AND('ProductSprint Backlog'!$J60=H$2,'ProductSprint Backlog'!$I60=H$2), 'ProductSprint Backlog'!$F60, TRUE, 0)</f>
        <v>0</v>
      </c>
      <c r="I60" s="4" cm="1">
        <f t="array" ref="I60">_xlfn.IFS('ProductSprint Backlog'!$F60="", "", AND('ProductSprint Backlog'!$J60&gt;I$2,'ProductSprint Backlog'!$I60&lt;=I$2), 'ProductSprint Backlog'!$F60 / MAX(1, 'ProductSprint Backlog'!$J60-'ProductSprint Backlog'!$I60), AND('ProductSprint Backlog'!$J60=I$2,'ProductSprint Backlog'!$I60=I$2), 'ProductSprint Backlog'!$F60, TRUE, 0)</f>
        <v>1</v>
      </c>
      <c r="J60" s="4" cm="1">
        <f t="array" ref="J60">_xlfn.IFS('ProductSprint Backlog'!$F60="", "", AND('ProductSprint Backlog'!$J60&gt;J$2,'ProductSprint Backlog'!$I60&lt;=J$2), 'ProductSprint Backlog'!$F60 / MAX(1, 'ProductSprint Backlog'!$J60-'ProductSprint Backlog'!$I60), AND('ProductSprint Backlog'!$J60=J$2,'ProductSprint Backlog'!$I60=J$2), 'ProductSprint Backlog'!$F60, TRUE, 0)</f>
        <v>0</v>
      </c>
      <c r="K60" s="4" cm="1">
        <f t="array" ref="K60">_xlfn.IFS('ProductSprint Backlog'!$F60="", "", AND('ProductSprint Backlog'!$J60&gt;K$2,'ProductSprint Backlog'!$I60&lt;=K$2), 'ProductSprint Backlog'!$F60 / MAX(1, 'ProductSprint Backlog'!$J60-'ProductSprint Backlog'!$I60), AND('ProductSprint Backlog'!$J60=K$2,'ProductSprint Backlog'!$I60=K$2), 'ProductSprint Backlog'!$F60, TRUE, 0)</f>
        <v>0</v>
      </c>
      <c r="L60" s="4" cm="1">
        <f t="array" ref="L60">_xlfn.IFS('ProductSprint Backlog'!$F60="", "", AND('ProductSprint Backlog'!$J60&gt;L$2,'ProductSprint Backlog'!$I60&lt;=L$2), 'ProductSprint Backlog'!$F60 / MAX(1, 'ProductSprint Backlog'!$J60-'ProductSprint Backlog'!$I60), AND('ProductSprint Backlog'!$J60=L$2,'ProductSprint Backlog'!$I60=L$2), 'ProductSprint Backlog'!$F60, TRUE, 0)</f>
        <v>0</v>
      </c>
      <c r="M60" s="4" cm="1">
        <f t="array" ref="M60">_xlfn.IFS('ProductSprint Backlog'!$F60="", "", AND('ProductSprint Backlog'!$J60&gt;M$2,'ProductSprint Backlog'!$I60&lt;=M$2), 'ProductSprint Backlog'!$F60 / MAX(1, 'ProductSprint Backlog'!$J60-'ProductSprint Backlog'!$I60), AND('ProductSprint Backlog'!$J60=M$2,'ProductSprint Backlog'!$I60=M$2), 'ProductSprint Backlog'!$F60, TRUE, 0)</f>
        <v>0</v>
      </c>
      <c r="N60" s="4" cm="1">
        <f t="array" ref="N60">_xlfn.IFS('ProductSprint Backlog'!$F60="", "", AND('ProductSprint Backlog'!$J60&gt;N$2,'ProductSprint Backlog'!$I60&lt;=N$2), 'ProductSprint Backlog'!$F60 / MAX(1, 'ProductSprint Backlog'!$J60-'ProductSprint Backlog'!$I60), AND('ProductSprint Backlog'!$J60=N$2,'ProductSprint Backlog'!$I60=N$2), 'ProductSprint Backlog'!$F60, TRUE, 0)</f>
        <v>0</v>
      </c>
      <c r="O60" s="4" cm="1">
        <f t="array" ref="O60">_xlfn.IFS('ProductSprint Backlog'!$F60="", "", AND('ProductSprint Backlog'!$J60&gt;O$2,'ProductSprint Backlog'!$I60&lt;=O$2), 'ProductSprint Backlog'!$F60 / MAX(1, 'ProductSprint Backlog'!$J60-'ProductSprint Backlog'!$I60), AND('ProductSprint Backlog'!$J60=O$2,'ProductSprint Backlog'!$I60=O$2), 'ProductSprint Backlog'!$F60, TRUE, 0)</f>
        <v>0</v>
      </c>
    </row>
    <row r="61" spans="2:15" x14ac:dyDescent="0.2">
      <c r="B61" s="4" cm="1">
        <f t="array" ref="B61">_xlfn.IFS('ProductSprint Backlog'!$F61="", "", AND('ProductSprint Backlog'!$J61&gt;B$2,'ProductSprint Backlog'!$I61&lt;=B$2), 'ProductSprint Backlog'!$F61 / MAX(1, 'ProductSprint Backlog'!$J61-'ProductSprint Backlog'!$I61), AND('ProductSprint Backlog'!$J61=B$2,'ProductSprint Backlog'!$I61=B$2), 'ProductSprint Backlog'!$F61, TRUE, 0)</f>
        <v>0</v>
      </c>
      <c r="C61" s="4" cm="1">
        <f t="array" ref="C61">_xlfn.IFS('ProductSprint Backlog'!$F61="", "", AND('ProductSprint Backlog'!$J61&gt;C$2,'ProductSprint Backlog'!$I61&lt;=C$2), 'ProductSprint Backlog'!$F61 / MAX(1, 'ProductSprint Backlog'!$J61-'ProductSprint Backlog'!$I61), AND('ProductSprint Backlog'!$J61=C$2,'ProductSprint Backlog'!$I61=C$2), 'ProductSprint Backlog'!$F61, TRUE, 0)</f>
        <v>0</v>
      </c>
      <c r="D61" s="4" cm="1">
        <f t="array" ref="D61">_xlfn.IFS('ProductSprint Backlog'!$F61="", "", AND('ProductSprint Backlog'!$J61&gt;D$2,'ProductSprint Backlog'!$I61&lt;=D$2), 'ProductSprint Backlog'!$F61 / MAX(1, 'ProductSprint Backlog'!$J61-'ProductSprint Backlog'!$I61), AND('ProductSprint Backlog'!$J61=D$2,'ProductSprint Backlog'!$I61=D$2), 'ProductSprint Backlog'!$F61, TRUE, 0)</f>
        <v>0</v>
      </c>
      <c r="E61" s="4" cm="1">
        <f t="array" ref="E61">_xlfn.IFS('ProductSprint Backlog'!$F61="", "", AND('ProductSprint Backlog'!$J61&gt;E$2,'ProductSprint Backlog'!$I61&lt;=E$2), 'ProductSprint Backlog'!$F61 / MAX(1, 'ProductSprint Backlog'!$J61-'ProductSprint Backlog'!$I61), AND('ProductSprint Backlog'!$J61=E$2,'ProductSprint Backlog'!$I61=E$2), 'ProductSprint Backlog'!$F61, TRUE, 0)</f>
        <v>0</v>
      </c>
      <c r="F61" s="4" cm="1">
        <f t="array" ref="F61">_xlfn.IFS('ProductSprint Backlog'!$F61="", "", AND('ProductSprint Backlog'!$J61&gt;F$2,'ProductSprint Backlog'!$I61&lt;=F$2), 'ProductSprint Backlog'!$F61 / MAX(1, 'ProductSprint Backlog'!$J61-'ProductSprint Backlog'!$I61), AND('ProductSprint Backlog'!$J61=F$2,'ProductSprint Backlog'!$I61=F$2), 'ProductSprint Backlog'!$F61, TRUE, 0)</f>
        <v>0</v>
      </c>
      <c r="G61" s="4" cm="1">
        <f t="array" ref="G61">_xlfn.IFS('ProductSprint Backlog'!$F61="", "", AND('ProductSprint Backlog'!$J61&gt;G$2,'ProductSprint Backlog'!$I61&lt;=G$2), 'ProductSprint Backlog'!$F61 / MAX(1, 'ProductSprint Backlog'!$J61-'ProductSprint Backlog'!$I61), AND('ProductSprint Backlog'!$J61=G$2,'ProductSprint Backlog'!$I61=G$2), 'ProductSprint Backlog'!$F61, TRUE, 0)</f>
        <v>0</v>
      </c>
      <c r="H61" s="4" cm="1">
        <f t="array" ref="H61">_xlfn.IFS('ProductSprint Backlog'!$F61="", "", AND('ProductSprint Backlog'!$J61&gt;H$2,'ProductSprint Backlog'!$I61&lt;=H$2), 'ProductSprint Backlog'!$F61 / MAX(1, 'ProductSprint Backlog'!$J61-'ProductSprint Backlog'!$I61), AND('ProductSprint Backlog'!$J61=H$2,'ProductSprint Backlog'!$I61=H$2), 'ProductSprint Backlog'!$F61, TRUE, 0)</f>
        <v>0</v>
      </c>
      <c r="I61" s="4" cm="1">
        <f t="array" ref="I61">_xlfn.IFS('ProductSprint Backlog'!$F61="", "", AND('ProductSprint Backlog'!$J61&gt;I$2,'ProductSprint Backlog'!$I61&lt;=I$2), 'ProductSprint Backlog'!$F61 / MAX(1, 'ProductSprint Backlog'!$J61-'ProductSprint Backlog'!$I61), AND('ProductSprint Backlog'!$J61=I$2,'ProductSprint Backlog'!$I61=I$2), 'ProductSprint Backlog'!$F61, TRUE, 0)</f>
        <v>2</v>
      </c>
      <c r="J61" s="4" cm="1">
        <f t="array" ref="J61">_xlfn.IFS('ProductSprint Backlog'!$F61="", "", AND('ProductSprint Backlog'!$J61&gt;J$2,'ProductSprint Backlog'!$I61&lt;=J$2), 'ProductSprint Backlog'!$F61 / MAX(1, 'ProductSprint Backlog'!$J61-'ProductSprint Backlog'!$I61), AND('ProductSprint Backlog'!$J61=J$2,'ProductSprint Backlog'!$I61=J$2), 'ProductSprint Backlog'!$F61, TRUE, 0)</f>
        <v>0</v>
      </c>
      <c r="K61" s="4" cm="1">
        <f t="array" ref="K61">_xlfn.IFS('ProductSprint Backlog'!$F61="", "", AND('ProductSprint Backlog'!$J61&gt;K$2,'ProductSprint Backlog'!$I61&lt;=K$2), 'ProductSprint Backlog'!$F61 / MAX(1, 'ProductSprint Backlog'!$J61-'ProductSprint Backlog'!$I61), AND('ProductSprint Backlog'!$J61=K$2,'ProductSprint Backlog'!$I61=K$2), 'ProductSprint Backlog'!$F61, TRUE, 0)</f>
        <v>0</v>
      </c>
      <c r="L61" s="4" cm="1">
        <f t="array" ref="L61">_xlfn.IFS('ProductSprint Backlog'!$F61="", "", AND('ProductSprint Backlog'!$J61&gt;L$2,'ProductSprint Backlog'!$I61&lt;=L$2), 'ProductSprint Backlog'!$F61 / MAX(1, 'ProductSprint Backlog'!$J61-'ProductSprint Backlog'!$I61), AND('ProductSprint Backlog'!$J61=L$2,'ProductSprint Backlog'!$I61=L$2), 'ProductSprint Backlog'!$F61, TRUE, 0)</f>
        <v>0</v>
      </c>
      <c r="M61" s="4" cm="1">
        <f t="array" ref="M61">_xlfn.IFS('ProductSprint Backlog'!$F61="", "", AND('ProductSprint Backlog'!$J61&gt;M$2,'ProductSprint Backlog'!$I61&lt;=M$2), 'ProductSprint Backlog'!$F61 / MAX(1, 'ProductSprint Backlog'!$J61-'ProductSprint Backlog'!$I61), AND('ProductSprint Backlog'!$J61=M$2,'ProductSprint Backlog'!$I61=M$2), 'ProductSprint Backlog'!$F61, TRUE, 0)</f>
        <v>0</v>
      </c>
      <c r="N61" s="4" cm="1">
        <f t="array" ref="N61">_xlfn.IFS('ProductSprint Backlog'!$F61="", "", AND('ProductSprint Backlog'!$J61&gt;N$2,'ProductSprint Backlog'!$I61&lt;=N$2), 'ProductSprint Backlog'!$F61 / MAX(1, 'ProductSprint Backlog'!$J61-'ProductSprint Backlog'!$I61), AND('ProductSprint Backlog'!$J61=N$2,'ProductSprint Backlog'!$I61=N$2), 'ProductSprint Backlog'!$F61, TRUE, 0)</f>
        <v>0</v>
      </c>
      <c r="O61" s="4" cm="1">
        <f t="array" ref="O61">_xlfn.IFS('ProductSprint Backlog'!$F61="", "", AND('ProductSprint Backlog'!$J61&gt;O$2,'ProductSprint Backlog'!$I61&lt;=O$2), 'ProductSprint Backlog'!$F61 / MAX(1, 'ProductSprint Backlog'!$J61-'ProductSprint Backlog'!$I61), AND('ProductSprint Backlog'!$J61=O$2,'ProductSprint Backlog'!$I61=O$2), 'ProductSprint Backlog'!$F61, TRUE, 0)</f>
        <v>0</v>
      </c>
    </row>
    <row r="62" spans="2:15" x14ac:dyDescent="0.2">
      <c r="B62" s="4" cm="1">
        <f t="array" ref="B62">_xlfn.IFS('ProductSprint Backlog'!$F62="", "", AND('ProductSprint Backlog'!$J62&gt;B$2,'ProductSprint Backlog'!$I62&lt;=B$2), 'ProductSprint Backlog'!$F62 / MAX(1, 'ProductSprint Backlog'!$J62-'ProductSprint Backlog'!$I62), AND('ProductSprint Backlog'!$J62=B$2,'ProductSprint Backlog'!$I62=B$2), 'ProductSprint Backlog'!$F62, TRUE, 0)</f>
        <v>0</v>
      </c>
      <c r="C62" s="4" cm="1">
        <f t="array" ref="C62">_xlfn.IFS('ProductSprint Backlog'!$F62="", "", AND('ProductSprint Backlog'!$J62&gt;C$2,'ProductSprint Backlog'!$I62&lt;=C$2), 'ProductSprint Backlog'!$F62 / MAX(1, 'ProductSprint Backlog'!$J62-'ProductSprint Backlog'!$I62), AND('ProductSprint Backlog'!$J62=C$2,'ProductSprint Backlog'!$I62=C$2), 'ProductSprint Backlog'!$F62, TRUE, 0)</f>
        <v>0</v>
      </c>
      <c r="D62" s="4" cm="1">
        <f t="array" ref="D62">_xlfn.IFS('ProductSprint Backlog'!$F62="", "", AND('ProductSprint Backlog'!$J62&gt;D$2,'ProductSprint Backlog'!$I62&lt;=D$2), 'ProductSprint Backlog'!$F62 / MAX(1, 'ProductSprint Backlog'!$J62-'ProductSprint Backlog'!$I62), AND('ProductSprint Backlog'!$J62=D$2,'ProductSprint Backlog'!$I62=D$2), 'ProductSprint Backlog'!$F62, TRUE, 0)</f>
        <v>0</v>
      </c>
      <c r="E62" s="4" cm="1">
        <f t="array" ref="E62">_xlfn.IFS('ProductSprint Backlog'!$F62="", "", AND('ProductSprint Backlog'!$J62&gt;E$2,'ProductSprint Backlog'!$I62&lt;=E$2), 'ProductSprint Backlog'!$F62 / MAX(1, 'ProductSprint Backlog'!$J62-'ProductSprint Backlog'!$I62), AND('ProductSprint Backlog'!$J62=E$2,'ProductSprint Backlog'!$I62=E$2), 'ProductSprint Backlog'!$F62, TRUE, 0)</f>
        <v>0</v>
      </c>
      <c r="F62" s="4" cm="1">
        <f t="array" ref="F62">_xlfn.IFS('ProductSprint Backlog'!$F62="", "", AND('ProductSprint Backlog'!$J62&gt;F$2,'ProductSprint Backlog'!$I62&lt;=F$2), 'ProductSprint Backlog'!$F62 / MAX(1, 'ProductSprint Backlog'!$J62-'ProductSprint Backlog'!$I62), AND('ProductSprint Backlog'!$J62=F$2,'ProductSprint Backlog'!$I62=F$2), 'ProductSprint Backlog'!$F62, TRUE, 0)</f>
        <v>0</v>
      </c>
      <c r="G62" s="4" cm="1">
        <f t="array" ref="G62">_xlfn.IFS('ProductSprint Backlog'!$F62="", "", AND('ProductSprint Backlog'!$J62&gt;G$2,'ProductSprint Backlog'!$I62&lt;=G$2), 'ProductSprint Backlog'!$F62 / MAX(1, 'ProductSprint Backlog'!$J62-'ProductSprint Backlog'!$I62), AND('ProductSprint Backlog'!$J62=G$2,'ProductSprint Backlog'!$I62=G$2), 'ProductSprint Backlog'!$F62, TRUE, 0)</f>
        <v>0</v>
      </c>
      <c r="H62" s="4" cm="1">
        <f t="array" ref="H62">_xlfn.IFS('ProductSprint Backlog'!$F62="", "", AND('ProductSprint Backlog'!$J62&gt;H$2,'ProductSprint Backlog'!$I62&lt;=H$2), 'ProductSprint Backlog'!$F62 / MAX(1, 'ProductSprint Backlog'!$J62-'ProductSprint Backlog'!$I62), AND('ProductSprint Backlog'!$J62=H$2,'ProductSprint Backlog'!$I62=H$2), 'ProductSprint Backlog'!$F62, TRUE, 0)</f>
        <v>0</v>
      </c>
      <c r="I62" s="4" cm="1">
        <f t="array" ref="I62">_xlfn.IFS('ProductSprint Backlog'!$F62="", "", AND('ProductSprint Backlog'!$J62&gt;I$2,'ProductSprint Backlog'!$I62&lt;=I$2), 'ProductSprint Backlog'!$F62 / MAX(1, 'ProductSprint Backlog'!$J62-'ProductSprint Backlog'!$I62), AND('ProductSprint Backlog'!$J62=I$2,'ProductSprint Backlog'!$I62=I$2), 'ProductSprint Backlog'!$F62, TRUE, 0)</f>
        <v>0</v>
      </c>
      <c r="J62" s="4" cm="1">
        <f t="array" ref="J62">_xlfn.IFS('ProductSprint Backlog'!$F62="", "", AND('ProductSprint Backlog'!$J62&gt;J$2,'ProductSprint Backlog'!$I62&lt;=J$2), 'ProductSprint Backlog'!$F62 / MAX(1, 'ProductSprint Backlog'!$J62-'ProductSprint Backlog'!$I62), AND('ProductSprint Backlog'!$J62=J$2,'ProductSprint Backlog'!$I62=J$2), 'ProductSprint Backlog'!$F62, TRUE, 0)</f>
        <v>1</v>
      </c>
      <c r="K62" s="4" cm="1">
        <f t="array" ref="K62">_xlfn.IFS('ProductSprint Backlog'!$F62="", "", AND('ProductSprint Backlog'!$J62&gt;K$2,'ProductSprint Backlog'!$I62&lt;=K$2), 'ProductSprint Backlog'!$F62 / MAX(1, 'ProductSprint Backlog'!$J62-'ProductSprint Backlog'!$I62), AND('ProductSprint Backlog'!$J62=K$2,'ProductSprint Backlog'!$I62=K$2), 'ProductSprint Backlog'!$F62, TRUE, 0)</f>
        <v>1</v>
      </c>
      <c r="L62" s="4" cm="1">
        <f t="array" ref="L62">_xlfn.IFS('ProductSprint Backlog'!$F62="", "", AND('ProductSprint Backlog'!$J62&gt;L$2,'ProductSprint Backlog'!$I62&lt;=L$2), 'ProductSprint Backlog'!$F62 / MAX(1, 'ProductSprint Backlog'!$J62-'ProductSprint Backlog'!$I62), AND('ProductSprint Backlog'!$J62=L$2,'ProductSprint Backlog'!$I62=L$2), 'ProductSprint Backlog'!$F62, TRUE, 0)</f>
        <v>0</v>
      </c>
      <c r="M62" s="4" cm="1">
        <f t="array" ref="M62">_xlfn.IFS('ProductSprint Backlog'!$F62="", "", AND('ProductSprint Backlog'!$J62&gt;M$2,'ProductSprint Backlog'!$I62&lt;=M$2), 'ProductSprint Backlog'!$F62 / MAX(1, 'ProductSprint Backlog'!$J62-'ProductSprint Backlog'!$I62), AND('ProductSprint Backlog'!$J62=M$2,'ProductSprint Backlog'!$I62=M$2), 'ProductSprint Backlog'!$F62, TRUE, 0)</f>
        <v>0</v>
      </c>
      <c r="N62" s="4" cm="1">
        <f t="array" ref="N62">_xlfn.IFS('ProductSprint Backlog'!$F62="", "", AND('ProductSprint Backlog'!$J62&gt;N$2,'ProductSprint Backlog'!$I62&lt;=N$2), 'ProductSprint Backlog'!$F62 / MAX(1, 'ProductSprint Backlog'!$J62-'ProductSprint Backlog'!$I62), AND('ProductSprint Backlog'!$J62=N$2,'ProductSprint Backlog'!$I62=N$2), 'ProductSprint Backlog'!$F62, TRUE, 0)</f>
        <v>0</v>
      </c>
      <c r="O62" s="4" cm="1">
        <f t="array" ref="O62">_xlfn.IFS('ProductSprint Backlog'!$F62="", "", AND('ProductSprint Backlog'!$J62&gt;O$2,'ProductSprint Backlog'!$I62&lt;=O$2), 'ProductSprint Backlog'!$F62 / MAX(1, 'ProductSprint Backlog'!$J62-'ProductSprint Backlog'!$I62), AND('ProductSprint Backlog'!$J62=O$2,'ProductSprint Backlog'!$I62=O$2), 'ProductSprint Backlog'!$F62, TRUE, 0)</f>
        <v>0</v>
      </c>
    </row>
    <row r="63" spans="2:15" x14ac:dyDescent="0.2">
      <c r="B63" s="4" cm="1">
        <f t="array" ref="B63">_xlfn.IFS('ProductSprint Backlog'!$F63="", "", AND('ProductSprint Backlog'!$J63&gt;B$2,'ProductSprint Backlog'!$I63&lt;=B$2), 'ProductSprint Backlog'!$F63 / MAX(1, 'ProductSprint Backlog'!$J63-'ProductSprint Backlog'!$I63), AND('ProductSprint Backlog'!$J63=B$2,'ProductSprint Backlog'!$I63=B$2), 'ProductSprint Backlog'!$F63, TRUE, 0)</f>
        <v>0</v>
      </c>
      <c r="C63" s="4" cm="1">
        <f t="array" ref="C63">_xlfn.IFS('ProductSprint Backlog'!$F63="", "", AND('ProductSprint Backlog'!$J63&gt;C$2,'ProductSprint Backlog'!$I63&lt;=C$2), 'ProductSprint Backlog'!$F63 / MAX(1, 'ProductSprint Backlog'!$J63-'ProductSprint Backlog'!$I63), AND('ProductSprint Backlog'!$J63=C$2,'ProductSprint Backlog'!$I63=C$2), 'ProductSprint Backlog'!$F63, TRUE, 0)</f>
        <v>0</v>
      </c>
      <c r="D63" s="4" cm="1">
        <f t="array" ref="D63">_xlfn.IFS('ProductSprint Backlog'!$F63="", "", AND('ProductSprint Backlog'!$J63&gt;D$2,'ProductSprint Backlog'!$I63&lt;=D$2), 'ProductSprint Backlog'!$F63 / MAX(1, 'ProductSprint Backlog'!$J63-'ProductSprint Backlog'!$I63), AND('ProductSprint Backlog'!$J63=D$2,'ProductSprint Backlog'!$I63=D$2), 'ProductSprint Backlog'!$F63, TRUE, 0)</f>
        <v>0</v>
      </c>
      <c r="E63" s="4" cm="1">
        <f t="array" ref="E63">_xlfn.IFS('ProductSprint Backlog'!$F63="", "", AND('ProductSprint Backlog'!$J63&gt;E$2,'ProductSprint Backlog'!$I63&lt;=E$2), 'ProductSprint Backlog'!$F63 / MAX(1, 'ProductSprint Backlog'!$J63-'ProductSprint Backlog'!$I63), AND('ProductSprint Backlog'!$J63=E$2,'ProductSprint Backlog'!$I63=E$2), 'ProductSprint Backlog'!$F63, TRUE, 0)</f>
        <v>0</v>
      </c>
      <c r="F63" s="4" cm="1">
        <f t="array" ref="F63">_xlfn.IFS('ProductSprint Backlog'!$F63="", "", AND('ProductSprint Backlog'!$J63&gt;F$2,'ProductSprint Backlog'!$I63&lt;=F$2), 'ProductSprint Backlog'!$F63 / MAX(1, 'ProductSprint Backlog'!$J63-'ProductSprint Backlog'!$I63), AND('ProductSprint Backlog'!$J63=F$2,'ProductSprint Backlog'!$I63=F$2), 'ProductSprint Backlog'!$F63, TRUE, 0)</f>
        <v>0</v>
      </c>
      <c r="G63" s="4" cm="1">
        <f t="array" ref="G63">_xlfn.IFS('ProductSprint Backlog'!$F63="", "", AND('ProductSprint Backlog'!$J63&gt;G$2,'ProductSprint Backlog'!$I63&lt;=G$2), 'ProductSprint Backlog'!$F63 / MAX(1, 'ProductSprint Backlog'!$J63-'ProductSprint Backlog'!$I63), AND('ProductSprint Backlog'!$J63=G$2,'ProductSprint Backlog'!$I63=G$2), 'ProductSprint Backlog'!$F63, TRUE, 0)</f>
        <v>0</v>
      </c>
      <c r="H63" s="4" cm="1">
        <f t="array" ref="H63">_xlfn.IFS('ProductSprint Backlog'!$F63="", "", AND('ProductSprint Backlog'!$J63&gt;H$2,'ProductSprint Backlog'!$I63&lt;=H$2), 'ProductSprint Backlog'!$F63 / MAX(1, 'ProductSprint Backlog'!$J63-'ProductSprint Backlog'!$I63), AND('ProductSprint Backlog'!$J63=H$2,'ProductSprint Backlog'!$I63=H$2), 'ProductSprint Backlog'!$F63, TRUE, 0)</f>
        <v>0</v>
      </c>
      <c r="I63" s="4" cm="1">
        <f t="array" ref="I63">_xlfn.IFS('ProductSprint Backlog'!$F63="", "", AND('ProductSprint Backlog'!$J63&gt;I$2,'ProductSprint Backlog'!$I63&lt;=I$2), 'ProductSprint Backlog'!$F63 / MAX(1, 'ProductSprint Backlog'!$J63-'ProductSprint Backlog'!$I63), AND('ProductSprint Backlog'!$J63=I$2,'ProductSprint Backlog'!$I63=I$2), 'ProductSprint Backlog'!$F63, TRUE, 0)</f>
        <v>0</v>
      </c>
      <c r="J63" s="4" cm="1">
        <f t="array" ref="J63">_xlfn.IFS('ProductSprint Backlog'!$F63="", "", AND('ProductSprint Backlog'!$J63&gt;J$2,'ProductSprint Backlog'!$I63&lt;=J$2), 'ProductSprint Backlog'!$F63 / MAX(1, 'ProductSprint Backlog'!$J63-'ProductSprint Backlog'!$I63), AND('ProductSprint Backlog'!$J63=J$2,'ProductSprint Backlog'!$I63=J$2), 'ProductSprint Backlog'!$F63, TRUE, 0)</f>
        <v>1</v>
      </c>
      <c r="K63" s="4" cm="1">
        <f t="array" ref="K63">_xlfn.IFS('ProductSprint Backlog'!$F63="", "", AND('ProductSprint Backlog'!$J63&gt;K$2,'ProductSprint Backlog'!$I63&lt;=K$2), 'ProductSprint Backlog'!$F63 / MAX(1, 'ProductSprint Backlog'!$J63-'ProductSprint Backlog'!$I63), AND('ProductSprint Backlog'!$J63=K$2,'ProductSprint Backlog'!$I63=K$2), 'ProductSprint Backlog'!$F63, TRUE, 0)</f>
        <v>0</v>
      </c>
      <c r="L63" s="4" cm="1">
        <f t="array" ref="L63">_xlfn.IFS('ProductSprint Backlog'!$F63="", "", AND('ProductSprint Backlog'!$J63&gt;L$2,'ProductSprint Backlog'!$I63&lt;=L$2), 'ProductSprint Backlog'!$F63 / MAX(1, 'ProductSprint Backlog'!$J63-'ProductSprint Backlog'!$I63), AND('ProductSprint Backlog'!$J63=L$2,'ProductSprint Backlog'!$I63=L$2), 'ProductSprint Backlog'!$F63, TRUE, 0)</f>
        <v>0</v>
      </c>
      <c r="M63" s="4" cm="1">
        <f t="array" ref="M63">_xlfn.IFS('ProductSprint Backlog'!$F63="", "", AND('ProductSprint Backlog'!$J63&gt;M$2,'ProductSprint Backlog'!$I63&lt;=M$2), 'ProductSprint Backlog'!$F63 / MAX(1, 'ProductSprint Backlog'!$J63-'ProductSprint Backlog'!$I63), AND('ProductSprint Backlog'!$J63=M$2,'ProductSprint Backlog'!$I63=M$2), 'ProductSprint Backlog'!$F63, TRUE, 0)</f>
        <v>0</v>
      </c>
      <c r="N63" s="4" cm="1">
        <f t="array" ref="N63">_xlfn.IFS('ProductSprint Backlog'!$F63="", "", AND('ProductSprint Backlog'!$J63&gt;N$2,'ProductSprint Backlog'!$I63&lt;=N$2), 'ProductSprint Backlog'!$F63 / MAX(1, 'ProductSprint Backlog'!$J63-'ProductSprint Backlog'!$I63), AND('ProductSprint Backlog'!$J63=N$2,'ProductSprint Backlog'!$I63=N$2), 'ProductSprint Backlog'!$F63, TRUE, 0)</f>
        <v>0</v>
      </c>
      <c r="O63" s="4" cm="1">
        <f t="array" ref="O63">_xlfn.IFS('ProductSprint Backlog'!$F63="", "", AND('ProductSprint Backlog'!$J63&gt;O$2,'ProductSprint Backlog'!$I63&lt;=O$2), 'ProductSprint Backlog'!$F63 / MAX(1, 'ProductSprint Backlog'!$J63-'ProductSprint Backlog'!$I63), AND('ProductSprint Backlog'!$J63=O$2,'ProductSprint Backlog'!$I63=O$2), 'ProductSprint Backlog'!$F63, TRUE, 0)</f>
        <v>0</v>
      </c>
    </row>
    <row r="64" spans="2:15" x14ac:dyDescent="0.2">
      <c r="B64" s="4" cm="1">
        <f t="array" ref="B64">_xlfn.IFS('ProductSprint Backlog'!$F64="", "", AND('ProductSprint Backlog'!$J64&gt;B$2,'ProductSprint Backlog'!$I64&lt;=B$2), 'ProductSprint Backlog'!$F64 / MAX(1, 'ProductSprint Backlog'!$J64-'ProductSprint Backlog'!$I64), AND('ProductSprint Backlog'!$J64=B$2,'ProductSprint Backlog'!$I64=B$2), 'ProductSprint Backlog'!$F64, TRUE, 0)</f>
        <v>0</v>
      </c>
      <c r="C64" s="4" cm="1">
        <f t="array" ref="C64">_xlfn.IFS('ProductSprint Backlog'!$F64="", "", AND('ProductSprint Backlog'!$J64&gt;C$2,'ProductSprint Backlog'!$I64&lt;=C$2), 'ProductSprint Backlog'!$F64 / MAX(1, 'ProductSprint Backlog'!$J64-'ProductSprint Backlog'!$I64), AND('ProductSprint Backlog'!$J64=C$2,'ProductSprint Backlog'!$I64=C$2), 'ProductSprint Backlog'!$F64, TRUE, 0)</f>
        <v>0</v>
      </c>
      <c r="D64" s="4" cm="1">
        <f t="array" ref="D64">_xlfn.IFS('ProductSprint Backlog'!$F64="", "", AND('ProductSprint Backlog'!$J64&gt;D$2,'ProductSprint Backlog'!$I64&lt;=D$2), 'ProductSprint Backlog'!$F64 / MAX(1, 'ProductSprint Backlog'!$J64-'ProductSprint Backlog'!$I64), AND('ProductSprint Backlog'!$J64=D$2,'ProductSprint Backlog'!$I64=D$2), 'ProductSprint Backlog'!$F64, TRUE, 0)</f>
        <v>0</v>
      </c>
      <c r="E64" s="4" cm="1">
        <f t="array" ref="E64">_xlfn.IFS('ProductSprint Backlog'!$F64="", "", AND('ProductSprint Backlog'!$J64&gt;E$2,'ProductSprint Backlog'!$I64&lt;=E$2), 'ProductSprint Backlog'!$F64 / MAX(1, 'ProductSprint Backlog'!$J64-'ProductSprint Backlog'!$I64), AND('ProductSprint Backlog'!$J64=E$2,'ProductSprint Backlog'!$I64=E$2), 'ProductSprint Backlog'!$F64, TRUE, 0)</f>
        <v>0</v>
      </c>
      <c r="F64" s="4" cm="1">
        <f t="array" ref="F64">_xlfn.IFS('ProductSprint Backlog'!$F64="", "", AND('ProductSprint Backlog'!$J64&gt;F$2,'ProductSprint Backlog'!$I64&lt;=F$2), 'ProductSprint Backlog'!$F64 / MAX(1, 'ProductSprint Backlog'!$J64-'ProductSprint Backlog'!$I64), AND('ProductSprint Backlog'!$J64=F$2,'ProductSprint Backlog'!$I64=F$2), 'ProductSprint Backlog'!$F64, TRUE, 0)</f>
        <v>0</v>
      </c>
      <c r="G64" s="4" cm="1">
        <f t="array" ref="G64">_xlfn.IFS('ProductSprint Backlog'!$F64="", "", AND('ProductSprint Backlog'!$J64&gt;G$2,'ProductSprint Backlog'!$I64&lt;=G$2), 'ProductSprint Backlog'!$F64 / MAX(1, 'ProductSprint Backlog'!$J64-'ProductSprint Backlog'!$I64), AND('ProductSprint Backlog'!$J64=G$2,'ProductSprint Backlog'!$I64=G$2), 'ProductSprint Backlog'!$F64, TRUE, 0)</f>
        <v>0</v>
      </c>
      <c r="H64" s="4" cm="1">
        <f t="array" ref="H64">_xlfn.IFS('ProductSprint Backlog'!$F64="", "", AND('ProductSprint Backlog'!$J64&gt;H$2,'ProductSprint Backlog'!$I64&lt;=H$2), 'ProductSprint Backlog'!$F64 / MAX(1, 'ProductSprint Backlog'!$J64-'ProductSprint Backlog'!$I64), AND('ProductSprint Backlog'!$J64=H$2,'ProductSprint Backlog'!$I64=H$2), 'ProductSprint Backlog'!$F64, TRUE, 0)</f>
        <v>0</v>
      </c>
      <c r="I64" s="4" cm="1">
        <f t="array" ref="I64">_xlfn.IFS('ProductSprint Backlog'!$F64="", "", AND('ProductSprint Backlog'!$J64&gt;I$2,'ProductSprint Backlog'!$I64&lt;=I$2), 'ProductSprint Backlog'!$F64 / MAX(1, 'ProductSprint Backlog'!$J64-'ProductSprint Backlog'!$I64), AND('ProductSprint Backlog'!$J64=I$2,'ProductSprint Backlog'!$I64=I$2), 'ProductSprint Backlog'!$F64, TRUE, 0)</f>
        <v>0</v>
      </c>
      <c r="J64" s="4" cm="1">
        <f t="array" ref="J64">_xlfn.IFS('ProductSprint Backlog'!$F64="", "", AND('ProductSprint Backlog'!$J64&gt;J$2,'ProductSprint Backlog'!$I64&lt;=J$2), 'ProductSprint Backlog'!$F64 / MAX(1, 'ProductSprint Backlog'!$J64-'ProductSprint Backlog'!$I64), AND('ProductSprint Backlog'!$J64=J$2,'ProductSprint Backlog'!$I64=J$2), 'ProductSprint Backlog'!$F64, TRUE, 0)</f>
        <v>0</v>
      </c>
      <c r="K64" s="4" cm="1">
        <f t="array" ref="K64">_xlfn.IFS('ProductSprint Backlog'!$F64="", "", AND('ProductSprint Backlog'!$J64&gt;K$2,'ProductSprint Backlog'!$I64&lt;=K$2), 'ProductSprint Backlog'!$F64 / MAX(1, 'ProductSprint Backlog'!$J64-'ProductSprint Backlog'!$I64), AND('ProductSprint Backlog'!$J64=K$2,'ProductSprint Backlog'!$I64=K$2), 'ProductSprint Backlog'!$F64, TRUE, 0)</f>
        <v>2</v>
      </c>
      <c r="L64" s="4" cm="1">
        <f t="array" ref="L64">_xlfn.IFS('ProductSprint Backlog'!$F64="", "", AND('ProductSprint Backlog'!$J64&gt;L$2,'ProductSprint Backlog'!$I64&lt;=L$2), 'ProductSprint Backlog'!$F64 / MAX(1, 'ProductSprint Backlog'!$J64-'ProductSprint Backlog'!$I64), AND('ProductSprint Backlog'!$J64=L$2,'ProductSprint Backlog'!$I64=L$2), 'ProductSprint Backlog'!$F64, TRUE, 0)</f>
        <v>0</v>
      </c>
      <c r="M64" s="4" cm="1">
        <f t="array" ref="M64">_xlfn.IFS('ProductSprint Backlog'!$F64="", "", AND('ProductSprint Backlog'!$J64&gt;M$2,'ProductSprint Backlog'!$I64&lt;=M$2), 'ProductSprint Backlog'!$F64 / MAX(1, 'ProductSprint Backlog'!$J64-'ProductSprint Backlog'!$I64), AND('ProductSprint Backlog'!$J64=M$2,'ProductSprint Backlog'!$I64=M$2), 'ProductSprint Backlog'!$F64, TRUE, 0)</f>
        <v>0</v>
      </c>
      <c r="N64" s="4" cm="1">
        <f t="array" ref="N64">_xlfn.IFS('ProductSprint Backlog'!$F64="", "", AND('ProductSprint Backlog'!$J64&gt;N$2,'ProductSprint Backlog'!$I64&lt;=N$2), 'ProductSprint Backlog'!$F64 / MAX(1, 'ProductSprint Backlog'!$J64-'ProductSprint Backlog'!$I64), AND('ProductSprint Backlog'!$J64=N$2,'ProductSprint Backlog'!$I64=N$2), 'ProductSprint Backlog'!$F64, TRUE, 0)</f>
        <v>0</v>
      </c>
      <c r="O64" s="4" cm="1">
        <f t="array" ref="O64">_xlfn.IFS('ProductSprint Backlog'!$F64="", "", AND('ProductSprint Backlog'!$J64&gt;O$2,'ProductSprint Backlog'!$I64&lt;=O$2), 'ProductSprint Backlog'!$F64 / MAX(1, 'ProductSprint Backlog'!$J64-'ProductSprint Backlog'!$I64), AND('ProductSprint Backlog'!$J64=O$2,'ProductSprint Backlog'!$I64=O$2), 'ProductSprint Backlog'!$F64, TRUE, 0)</f>
        <v>0</v>
      </c>
    </row>
    <row r="65" spans="2:15" x14ac:dyDescent="0.2">
      <c r="B65" s="4" cm="1">
        <f t="array" ref="B65">_xlfn.IFS('ProductSprint Backlog'!$F65="", "", AND('ProductSprint Backlog'!$J65&gt;B$2,'ProductSprint Backlog'!$I65&lt;=B$2), 'ProductSprint Backlog'!$F65 / MAX(1, 'ProductSprint Backlog'!$J65-'ProductSprint Backlog'!$I65), AND('ProductSprint Backlog'!$J65=B$2,'ProductSprint Backlog'!$I65=B$2), 'ProductSprint Backlog'!$F65, TRUE, 0)</f>
        <v>0</v>
      </c>
      <c r="C65" s="4" cm="1">
        <f t="array" ref="C65">_xlfn.IFS('ProductSprint Backlog'!$F65="", "", AND('ProductSprint Backlog'!$J65&gt;C$2,'ProductSprint Backlog'!$I65&lt;=C$2), 'ProductSprint Backlog'!$F65 / MAX(1, 'ProductSprint Backlog'!$J65-'ProductSprint Backlog'!$I65), AND('ProductSprint Backlog'!$J65=C$2,'ProductSprint Backlog'!$I65=C$2), 'ProductSprint Backlog'!$F65, TRUE, 0)</f>
        <v>0</v>
      </c>
      <c r="D65" s="4" cm="1">
        <f t="array" ref="D65">_xlfn.IFS('ProductSprint Backlog'!$F65="", "", AND('ProductSprint Backlog'!$J65&gt;D$2,'ProductSprint Backlog'!$I65&lt;=D$2), 'ProductSprint Backlog'!$F65 / MAX(1, 'ProductSprint Backlog'!$J65-'ProductSprint Backlog'!$I65), AND('ProductSprint Backlog'!$J65=D$2,'ProductSprint Backlog'!$I65=D$2), 'ProductSprint Backlog'!$F65, TRUE, 0)</f>
        <v>0</v>
      </c>
      <c r="E65" s="4" cm="1">
        <f t="array" ref="E65">_xlfn.IFS('ProductSprint Backlog'!$F65="", "", AND('ProductSprint Backlog'!$J65&gt;E$2,'ProductSprint Backlog'!$I65&lt;=E$2), 'ProductSprint Backlog'!$F65 / MAX(1, 'ProductSprint Backlog'!$J65-'ProductSprint Backlog'!$I65), AND('ProductSprint Backlog'!$J65=E$2,'ProductSprint Backlog'!$I65=E$2), 'ProductSprint Backlog'!$F65, TRUE, 0)</f>
        <v>0</v>
      </c>
      <c r="F65" s="4" cm="1">
        <f t="array" ref="F65">_xlfn.IFS('ProductSprint Backlog'!$F65="", "", AND('ProductSprint Backlog'!$J65&gt;F$2,'ProductSprint Backlog'!$I65&lt;=F$2), 'ProductSprint Backlog'!$F65 / MAX(1, 'ProductSprint Backlog'!$J65-'ProductSprint Backlog'!$I65), AND('ProductSprint Backlog'!$J65=F$2,'ProductSprint Backlog'!$I65=F$2), 'ProductSprint Backlog'!$F65, TRUE, 0)</f>
        <v>0</v>
      </c>
      <c r="G65" s="4" cm="1">
        <f t="array" ref="G65">_xlfn.IFS('ProductSprint Backlog'!$F65="", "", AND('ProductSprint Backlog'!$J65&gt;G$2,'ProductSprint Backlog'!$I65&lt;=G$2), 'ProductSprint Backlog'!$F65 / MAX(1, 'ProductSprint Backlog'!$J65-'ProductSprint Backlog'!$I65), AND('ProductSprint Backlog'!$J65=G$2,'ProductSprint Backlog'!$I65=G$2), 'ProductSprint Backlog'!$F65, TRUE, 0)</f>
        <v>0</v>
      </c>
      <c r="H65" s="4" cm="1">
        <f t="array" ref="H65">_xlfn.IFS('ProductSprint Backlog'!$F65="", "", AND('ProductSprint Backlog'!$J65&gt;H$2,'ProductSprint Backlog'!$I65&lt;=H$2), 'ProductSprint Backlog'!$F65 / MAX(1, 'ProductSprint Backlog'!$J65-'ProductSprint Backlog'!$I65), AND('ProductSprint Backlog'!$J65=H$2,'ProductSprint Backlog'!$I65=H$2), 'ProductSprint Backlog'!$F65, TRUE, 0)</f>
        <v>0</v>
      </c>
      <c r="I65" s="4" cm="1">
        <f t="array" ref="I65">_xlfn.IFS('ProductSprint Backlog'!$F65="", "", AND('ProductSprint Backlog'!$J65&gt;I$2,'ProductSprint Backlog'!$I65&lt;=I$2), 'ProductSprint Backlog'!$F65 / MAX(1, 'ProductSprint Backlog'!$J65-'ProductSprint Backlog'!$I65), AND('ProductSprint Backlog'!$J65=I$2,'ProductSprint Backlog'!$I65=I$2), 'ProductSprint Backlog'!$F65, TRUE, 0)</f>
        <v>0</v>
      </c>
      <c r="J65" s="4" cm="1">
        <f t="array" ref="J65">_xlfn.IFS('ProductSprint Backlog'!$F65="", "", AND('ProductSprint Backlog'!$J65&gt;J$2,'ProductSprint Backlog'!$I65&lt;=J$2), 'ProductSprint Backlog'!$F65 / MAX(1, 'ProductSprint Backlog'!$J65-'ProductSprint Backlog'!$I65), AND('ProductSprint Backlog'!$J65=J$2,'ProductSprint Backlog'!$I65=J$2), 'ProductSprint Backlog'!$F65, TRUE, 0)</f>
        <v>0</v>
      </c>
      <c r="K65" s="4" cm="1">
        <f t="array" ref="K65">_xlfn.IFS('ProductSprint Backlog'!$F65="", "", AND('ProductSprint Backlog'!$J65&gt;K$2,'ProductSprint Backlog'!$I65&lt;=K$2), 'ProductSprint Backlog'!$F65 / MAX(1, 'ProductSprint Backlog'!$J65-'ProductSprint Backlog'!$I65), AND('ProductSprint Backlog'!$J65=K$2,'ProductSprint Backlog'!$I65=K$2), 'ProductSprint Backlog'!$F65, TRUE, 0)</f>
        <v>1</v>
      </c>
      <c r="L65" s="4" cm="1">
        <f t="array" ref="L65">_xlfn.IFS('ProductSprint Backlog'!$F65="", "", AND('ProductSprint Backlog'!$J65&gt;L$2,'ProductSprint Backlog'!$I65&lt;=L$2), 'ProductSprint Backlog'!$F65 / MAX(1, 'ProductSprint Backlog'!$J65-'ProductSprint Backlog'!$I65), AND('ProductSprint Backlog'!$J65=L$2,'ProductSprint Backlog'!$I65=L$2), 'ProductSprint Backlog'!$F65, TRUE, 0)</f>
        <v>0</v>
      </c>
      <c r="M65" s="4" cm="1">
        <f t="array" ref="M65">_xlfn.IFS('ProductSprint Backlog'!$F65="", "", AND('ProductSprint Backlog'!$J65&gt;M$2,'ProductSprint Backlog'!$I65&lt;=M$2), 'ProductSprint Backlog'!$F65 / MAX(1, 'ProductSprint Backlog'!$J65-'ProductSprint Backlog'!$I65), AND('ProductSprint Backlog'!$J65=M$2,'ProductSprint Backlog'!$I65=M$2), 'ProductSprint Backlog'!$F65, TRUE, 0)</f>
        <v>0</v>
      </c>
      <c r="N65" s="4" cm="1">
        <f t="array" ref="N65">_xlfn.IFS('ProductSprint Backlog'!$F65="", "", AND('ProductSprint Backlog'!$J65&gt;N$2,'ProductSprint Backlog'!$I65&lt;=N$2), 'ProductSprint Backlog'!$F65 / MAX(1, 'ProductSprint Backlog'!$J65-'ProductSprint Backlog'!$I65), AND('ProductSprint Backlog'!$J65=N$2,'ProductSprint Backlog'!$I65=N$2), 'ProductSprint Backlog'!$F65, TRUE, 0)</f>
        <v>0</v>
      </c>
      <c r="O65" s="4" cm="1">
        <f t="array" ref="O65">_xlfn.IFS('ProductSprint Backlog'!$F65="", "", AND('ProductSprint Backlog'!$J65&gt;O$2,'ProductSprint Backlog'!$I65&lt;=O$2), 'ProductSprint Backlog'!$F65 / MAX(1, 'ProductSprint Backlog'!$J65-'ProductSprint Backlog'!$I65), AND('ProductSprint Backlog'!$J65=O$2,'ProductSprint Backlog'!$I65=O$2), 'ProductSprint Backlog'!$F65, TRUE, 0)</f>
        <v>0</v>
      </c>
    </row>
    <row r="66" spans="2:15" x14ac:dyDescent="0.2">
      <c r="B66" s="4" t="str" cm="1">
        <f t="array" ref="B66">_xlfn.IFS('ProductSprint Backlog'!$F66="", "", AND('ProductSprint Backlog'!$J66&gt;B$2,'ProductSprint Backlog'!$I66&lt;=B$2), 'ProductSprint Backlog'!$F66 / MAX(1, 'ProductSprint Backlog'!$J66-'ProductSprint Backlog'!$I66), AND('ProductSprint Backlog'!$J66=B$2,'ProductSprint Backlog'!$I66=B$2), 'ProductSprint Backlog'!$F66, TRUE, 0)</f>
        <v/>
      </c>
      <c r="C66" s="4" t="str" cm="1">
        <f t="array" ref="C66">_xlfn.IFS('ProductSprint Backlog'!$F66="", "", AND('ProductSprint Backlog'!$J66&gt;C$2,'ProductSprint Backlog'!$I66&lt;=C$2), 'ProductSprint Backlog'!$F66 / MAX(1, 'ProductSprint Backlog'!$J66-'ProductSprint Backlog'!$I66), AND('ProductSprint Backlog'!$J66=C$2,'ProductSprint Backlog'!$I66=C$2), 'ProductSprint Backlog'!$F66, TRUE, 0)</f>
        <v/>
      </c>
      <c r="D66" s="4" t="str" cm="1">
        <f t="array" ref="D66">_xlfn.IFS('ProductSprint Backlog'!$F66="", "", AND('ProductSprint Backlog'!$J66&gt;D$2,'ProductSprint Backlog'!$I66&lt;=D$2), 'ProductSprint Backlog'!$F66 / MAX(1, 'ProductSprint Backlog'!$J66-'ProductSprint Backlog'!$I66), AND('ProductSprint Backlog'!$J66=D$2,'ProductSprint Backlog'!$I66=D$2), 'ProductSprint Backlog'!$F66, TRUE, 0)</f>
        <v/>
      </c>
      <c r="E66" s="4" t="str" cm="1">
        <f t="array" ref="E66">_xlfn.IFS('ProductSprint Backlog'!$F66="", "", AND('ProductSprint Backlog'!$J66&gt;E$2,'ProductSprint Backlog'!$I66&lt;=E$2), 'ProductSprint Backlog'!$F66 / MAX(1, 'ProductSprint Backlog'!$J66-'ProductSprint Backlog'!$I66), AND('ProductSprint Backlog'!$J66=E$2,'ProductSprint Backlog'!$I66=E$2), 'ProductSprint Backlog'!$F66, TRUE, 0)</f>
        <v/>
      </c>
      <c r="F66" s="4" t="str" cm="1">
        <f t="array" ref="F66">_xlfn.IFS('ProductSprint Backlog'!$F66="", "", AND('ProductSprint Backlog'!$J66&gt;F$2,'ProductSprint Backlog'!$I66&lt;=F$2), 'ProductSprint Backlog'!$F66 / MAX(1, 'ProductSprint Backlog'!$J66-'ProductSprint Backlog'!$I66), AND('ProductSprint Backlog'!$J66=F$2,'ProductSprint Backlog'!$I66=F$2), 'ProductSprint Backlog'!$F66, TRUE, 0)</f>
        <v/>
      </c>
      <c r="G66" s="4" t="str" cm="1">
        <f t="array" ref="G66">_xlfn.IFS('ProductSprint Backlog'!$F66="", "", AND('ProductSprint Backlog'!$J66&gt;G$2,'ProductSprint Backlog'!$I66&lt;=G$2), 'ProductSprint Backlog'!$F66 / MAX(1, 'ProductSprint Backlog'!$J66-'ProductSprint Backlog'!$I66), AND('ProductSprint Backlog'!$J66=G$2,'ProductSprint Backlog'!$I66=G$2), 'ProductSprint Backlog'!$F66, TRUE, 0)</f>
        <v/>
      </c>
      <c r="H66" s="4" t="str" cm="1">
        <f t="array" ref="H66">_xlfn.IFS('ProductSprint Backlog'!$F66="", "", AND('ProductSprint Backlog'!$J66&gt;H$2,'ProductSprint Backlog'!$I66&lt;=H$2), 'ProductSprint Backlog'!$F66 / MAX(1, 'ProductSprint Backlog'!$J66-'ProductSprint Backlog'!$I66), AND('ProductSprint Backlog'!$J66=H$2,'ProductSprint Backlog'!$I66=H$2), 'ProductSprint Backlog'!$F66, TRUE, 0)</f>
        <v/>
      </c>
      <c r="I66" s="4" t="str" cm="1">
        <f t="array" ref="I66">_xlfn.IFS('ProductSprint Backlog'!$F66="", "", AND('ProductSprint Backlog'!$J66&gt;I$2,'ProductSprint Backlog'!$I66&lt;=I$2), 'ProductSprint Backlog'!$F66 / MAX(1, 'ProductSprint Backlog'!$J66-'ProductSprint Backlog'!$I66), AND('ProductSprint Backlog'!$J66=I$2,'ProductSprint Backlog'!$I66=I$2), 'ProductSprint Backlog'!$F66, TRUE, 0)</f>
        <v/>
      </c>
      <c r="J66" s="4" t="str" cm="1">
        <f t="array" ref="J66">_xlfn.IFS('ProductSprint Backlog'!$F66="", "", AND('ProductSprint Backlog'!$J66&gt;J$2,'ProductSprint Backlog'!$I66&lt;=J$2), 'ProductSprint Backlog'!$F66 / MAX(1, 'ProductSprint Backlog'!$J66-'ProductSprint Backlog'!$I66), AND('ProductSprint Backlog'!$J66=J$2,'ProductSprint Backlog'!$I66=J$2), 'ProductSprint Backlog'!$F66, TRUE, 0)</f>
        <v/>
      </c>
      <c r="K66" s="4" t="str" cm="1">
        <f t="array" ref="K66">_xlfn.IFS('ProductSprint Backlog'!$F66="", "", AND('ProductSprint Backlog'!$J66&gt;K$2,'ProductSprint Backlog'!$I66&lt;=K$2), 'ProductSprint Backlog'!$F66 / MAX(1, 'ProductSprint Backlog'!$J66-'ProductSprint Backlog'!$I66), AND('ProductSprint Backlog'!$J66=K$2,'ProductSprint Backlog'!$I66=K$2), 'ProductSprint Backlog'!$F66, TRUE, 0)</f>
        <v/>
      </c>
      <c r="L66" s="4" t="str" cm="1">
        <f t="array" ref="L66">_xlfn.IFS('ProductSprint Backlog'!$F66="", "", AND('ProductSprint Backlog'!$J66&gt;L$2,'ProductSprint Backlog'!$I66&lt;=L$2), 'ProductSprint Backlog'!$F66 / MAX(1, 'ProductSprint Backlog'!$J66-'ProductSprint Backlog'!$I66), AND('ProductSprint Backlog'!$J66=L$2,'ProductSprint Backlog'!$I66=L$2), 'ProductSprint Backlog'!$F66, TRUE, 0)</f>
        <v/>
      </c>
      <c r="M66" s="4" t="str" cm="1">
        <f t="array" ref="M66">_xlfn.IFS('ProductSprint Backlog'!$F66="", "", AND('ProductSprint Backlog'!$J66&gt;M$2,'ProductSprint Backlog'!$I66&lt;=M$2), 'ProductSprint Backlog'!$F66 / MAX(1, 'ProductSprint Backlog'!$J66-'ProductSprint Backlog'!$I66), AND('ProductSprint Backlog'!$J66=M$2,'ProductSprint Backlog'!$I66=M$2), 'ProductSprint Backlog'!$F66, TRUE, 0)</f>
        <v/>
      </c>
      <c r="N66" s="4" t="str" cm="1">
        <f t="array" ref="N66">_xlfn.IFS('ProductSprint Backlog'!$F66="", "", AND('ProductSprint Backlog'!$J66&gt;N$2,'ProductSprint Backlog'!$I66&lt;=N$2), 'ProductSprint Backlog'!$F66 / MAX(1, 'ProductSprint Backlog'!$J66-'ProductSprint Backlog'!$I66), AND('ProductSprint Backlog'!$J66=N$2,'ProductSprint Backlog'!$I66=N$2), 'ProductSprint Backlog'!$F66, TRUE, 0)</f>
        <v/>
      </c>
      <c r="O66" s="4" t="str" cm="1">
        <f t="array" ref="O66">_xlfn.IFS('ProductSprint Backlog'!$F66="", "", AND('ProductSprint Backlog'!$J66&gt;O$2,'ProductSprint Backlog'!$I66&lt;=O$2), 'ProductSprint Backlog'!$F66 / MAX(1, 'ProductSprint Backlog'!$J66-'ProductSprint Backlog'!$I66), AND('ProductSprint Backlog'!$J66=O$2,'ProductSprint Backlog'!$I66=O$2), 'ProductSprint Backlog'!$F66, TRUE, 0)</f>
        <v/>
      </c>
    </row>
    <row r="67" spans="2:15" x14ac:dyDescent="0.2">
      <c r="B67" s="4" cm="1">
        <f t="array" ref="B67">_xlfn.IFS('ProductSprint Backlog'!$F67="", "", AND('ProductSprint Backlog'!$J67&gt;B$2,'ProductSprint Backlog'!$I67&lt;=B$2), 'ProductSprint Backlog'!$F67 / MAX(1, 'ProductSprint Backlog'!$J67-'ProductSprint Backlog'!$I67), AND('ProductSprint Backlog'!$J67=B$2,'ProductSprint Backlog'!$I67=B$2), 'ProductSprint Backlog'!$F67, TRUE, 0)</f>
        <v>0.83333333333333337</v>
      </c>
      <c r="C67" s="4" cm="1">
        <f t="array" ref="C67">_xlfn.IFS('ProductSprint Backlog'!$F67="", "", AND('ProductSprint Backlog'!$J67&gt;C$2,'ProductSprint Backlog'!$I67&lt;=C$2), 'ProductSprint Backlog'!$F67 / MAX(1, 'ProductSprint Backlog'!$J67-'ProductSprint Backlog'!$I67), AND('ProductSprint Backlog'!$J67=C$2,'ProductSprint Backlog'!$I67=C$2), 'ProductSprint Backlog'!$F67, TRUE, 0)</f>
        <v>0.83333333333333337</v>
      </c>
      <c r="D67" s="4" cm="1">
        <f t="array" ref="D67">_xlfn.IFS('ProductSprint Backlog'!$F67="", "", AND('ProductSprint Backlog'!$J67&gt;D$2,'ProductSprint Backlog'!$I67&lt;=D$2), 'ProductSprint Backlog'!$F67 / MAX(1, 'ProductSprint Backlog'!$J67-'ProductSprint Backlog'!$I67), AND('ProductSprint Backlog'!$J67=D$2,'ProductSprint Backlog'!$I67=D$2), 'ProductSprint Backlog'!$F67, TRUE, 0)</f>
        <v>0.83333333333333337</v>
      </c>
      <c r="E67" s="4" cm="1">
        <f t="array" ref="E67">_xlfn.IFS('ProductSprint Backlog'!$F67="", "", AND('ProductSprint Backlog'!$J67&gt;E$2,'ProductSprint Backlog'!$I67&lt;=E$2), 'ProductSprint Backlog'!$F67 / MAX(1, 'ProductSprint Backlog'!$J67-'ProductSprint Backlog'!$I67), AND('ProductSprint Backlog'!$J67=E$2,'ProductSprint Backlog'!$I67=E$2), 'ProductSprint Backlog'!$F67, TRUE, 0)</f>
        <v>0.83333333333333337</v>
      </c>
      <c r="F67" s="4" cm="1">
        <f t="array" ref="F67">_xlfn.IFS('ProductSprint Backlog'!$F67="", "", AND('ProductSprint Backlog'!$J67&gt;F$2,'ProductSprint Backlog'!$I67&lt;=F$2), 'ProductSprint Backlog'!$F67 / MAX(1, 'ProductSprint Backlog'!$J67-'ProductSprint Backlog'!$I67), AND('ProductSprint Backlog'!$J67=F$2,'ProductSprint Backlog'!$I67=F$2), 'ProductSprint Backlog'!$F67, TRUE, 0)</f>
        <v>0.83333333333333337</v>
      </c>
      <c r="G67" s="4" cm="1">
        <f t="array" ref="G67">_xlfn.IFS('ProductSprint Backlog'!$F67="", "", AND('ProductSprint Backlog'!$J67&gt;G$2,'ProductSprint Backlog'!$I67&lt;=G$2), 'ProductSprint Backlog'!$F67 / MAX(1, 'ProductSprint Backlog'!$J67-'ProductSprint Backlog'!$I67), AND('ProductSprint Backlog'!$J67=G$2,'ProductSprint Backlog'!$I67=G$2), 'ProductSprint Backlog'!$F67, TRUE, 0)</f>
        <v>0.83333333333333337</v>
      </c>
      <c r="H67" s="4" cm="1">
        <f t="array" ref="H67">_xlfn.IFS('ProductSprint Backlog'!$F67="", "", AND('ProductSprint Backlog'!$J67&gt;H$2,'ProductSprint Backlog'!$I67&lt;=H$2), 'ProductSprint Backlog'!$F67 / MAX(1, 'ProductSprint Backlog'!$J67-'ProductSprint Backlog'!$I67), AND('ProductSprint Backlog'!$J67=H$2,'ProductSprint Backlog'!$I67=H$2), 'ProductSprint Backlog'!$F67, TRUE, 0)</f>
        <v>0</v>
      </c>
      <c r="I67" s="4" cm="1">
        <f t="array" ref="I67">_xlfn.IFS('ProductSprint Backlog'!$F67="", "", AND('ProductSprint Backlog'!$J67&gt;I$2,'ProductSprint Backlog'!$I67&lt;=I$2), 'ProductSprint Backlog'!$F67 / MAX(1, 'ProductSprint Backlog'!$J67-'ProductSprint Backlog'!$I67), AND('ProductSprint Backlog'!$J67=I$2,'ProductSprint Backlog'!$I67=I$2), 'ProductSprint Backlog'!$F67, TRUE, 0)</f>
        <v>0</v>
      </c>
      <c r="J67" s="4" cm="1">
        <f t="array" ref="J67">_xlfn.IFS('ProductSprint Backlog'!$F67="", "", AND('ProductSprint Backlog'!$J67&gt;J$2,'ProductSprint Backlog'!$I67&lt;=J$2), 'ProductSprint Backlog'!$F67 / MAX(1, 'ProductSprint Backlog'!$J67-'ProductSprint Backlog'!$I67), AND('ProductSprint Backlog'!$J67=J$2,'ProductSprint Backlog'!$I67=J$2), 'ProductSprint Backlog'!$F67, TRUE, 0)</f>
        <v>0</v>
      </c>
      <c r="K67" s="4" cm="1">
        <f t="array" ref="K67">_xlfn.IFS('ProductSprint Backlog'!$F67="", "", AND('ProductSprint Backlog'!$J67&gt;K$2,'ProductSprint Backlog'!$I67&lt;=K$2), 'ProductSprint Backlog'!$F67 / MAX(1, 'ProductSprint Backlog'!$J67-'ProductSprint Backlog'!$I67), AND('ProductSprint Backlog'!$J67=K$2,'ProductSprint Backlog'!$I67=K$2), 'ProductSprint Backlog'!$F67, TRUE, 0)</f>
        <v>0</v>
      </c>
      <c r="L67" s="4" cm="1">
        <f t="array" ref="L67">_xlfn.IFS('ProductSprint Backlog'!$F67="", "", AND('ProductSprint Backlog'!$J67&gt;L$2,'ProductSprint Backlog'!$I67&lt;=L$2), 'ProductSprint Backlog'!$F67 / MAX(1, 'ProductSprint Backlog'!$J67-'ProductSprint Backlog'!$I67), AND('ProductSprint Backlog'!$J67=L$2,'ProductSprint Backlog'!$I67=L$2), 'ProductSprint Backlog'!$F67, TRUE, 0)</f>
        <v>0</v>
      </c>
      <c r="M67" s="4" cm="1">
        <f t="array" ref="M67">_xlfn.IFS('ProductSprint Backlog'!$F67="", "", AND('ProductSprint Backlog'!$J67&gt;M$2,'ProductSprint Backlog'!$I67&lt;=M$2), 'ProductSprint Backlog'!$F67 / MAX(1, 'ProductSprint Backlog'!$J67-'ProductSprint Backlog'!$I67), AND('ProductSprint Backlog'!$J67=M$2,'ProductSprint Backlog'!$I67=M$2), 'ProductSprint Backlog'!$F67, TRUE, 0)</f>
        <v>0</v>
      </c>
      <c r="N67" s="4" cm="1">
        <f t="array" ref="N67">_xlfn.IFS('ProductSprint Backlog'!$F67="", "", AND('ProductSprint Backlog'!$J67&gt;N$2,'ProductSprint Backlog'!$I67&lt;=N$2), 'ProductSprint Backlog'!$F67 / MAX(1, 'ProductSprint Backlog'!$J67-'ProductSprint Backlog'!$I67), AND('ProductSprint Backlog'!$J67=N$2,'ProductSprint Backlog'!$I67=N$2), 'ProductSprint Backlog'!$F67, TRUE, 0)</f>
        <v>0</v>
      </c>
      <c r="O67" s="4" cm="1">
        <f t="array" ref="O67">_xlfn.IFS('ProductSprint Backlog'!$F67="", "", AND('ProductSprint Backlog'!$J67&gt;O$2,'ProductSprint Backlog'!$I67&lt;=O$2), 'ProductSprint Backlog'!$F67 / MAX(1, 'ProductSprint Backlog'!$J67-'ProductSprint Backlog'!$I67), AND('ProductSprint Backlog'!$J67=O$2,'ProductSprint Backlog'!$I67=O$2), 'ProductSprint Backlog'!$F67, TRUE, 0)</f>
        <v>0</v>
      </c>
    </row>
    <row r="68" spans="2:15" x14ac:dyDescent="0.2">
      <c r="B68" s="4" cm="1">
        <f t="array" ref="B68">_xlfn.IFS('ProductSprint Backlog'!$F68="", "", AND('ProductSprint Backlog'!$J68&gt;B$2,'ProductSprint Backlog'!$I68&lt;=B$2), 'ProductSprint Backlog'!$F68 / MAX(1, 'ProductSprint Backlog'!$J68-'ProductSprint Backlog'!$I68), AND('ProductSprint Backlog'!$J68=B$2,'ProductSprint Backlog'!$I68=B$2), 'ProductSprint Backlog'!$F68, TRUE, 0)</f>
        <v>0</v>
      </c>
      <c r="C68" s="4" cm="1">
        <f t="array" ref="C68">_xlfn.IFS('ProductSprint Backlog'!$F68="", "", AND('ProductSprint Backlog'!$J68&gt;C$2,'ProductSprint Backlog'!$I68&lt;=C$2), 'ProductSprint Backlog'!$F68 / MAX(1, 'ProductSprint Backlog'!$J68-'ProductSprint Backlog'!$I68), AND('ProductSprint Backlog'!$J68=C$2,'ProductSprint Backlog'!$I68=C$2), 'ProductSprint Backlog'!$F68, TRUE, 0)</f>
        <v>0</v>
      </c>
      <c r="D68" s="4" cm="1">
        <f t="array" ref="D68">_xlfn.IFS('ProductSprint Backlog'!$F68="", "", AND('ProductSprint Backlog'!$J68&gt;D$2,'ProductSprint Backlog'!$I68&lt;=D$2), 'ProductSprint Backlog'!$F68 / MAX(1, 'ProductSprint Backlog'!$J68-'ProductSprint Backlog'!$I68), AND('ProductSprint Backlog'!$J68=D$2,'ProductSprint Backlog'!$I68=D$2), 'ProductSprint Backlog'!$F68, TRUE, 0)</f>
        <v>0</v>
      </c>
      <c r="E68" s="4" cm="1">
        <f t="array" ref="E68">_xlfn.IFS('ProductSprint Backlog'!$F68="", "", AND('ProductSprint Backlog'!$J68&gt;E$2,'ProductSprint Backlog'!$I68&lt;=E$2), 'ProductSprint Backlog'!$F68 / MAX(1, 'ProductSprint Backlog'!$J68-'ProductSprint Backlog'!$I68), AND('ProductSprint Backlog'!$J68=E$2,'ProductSprint Backlog'!$I68=E$2), 'ProductSprint Backlog'!$F68, TRUE, 0)</f>
        <v>0</v>
      </c>
      <c r="F68" s="4" cm="1">
        <f t="array" ref="F68">_xlfn.IFS('ProductSprint Backlog'!$F68="", "", AND('ProductSprint Backlog'!$J68&gt;F$2,'ProductSprint Backlog'!$I68&lt;=F$2), 'ProductSprint Backlog'!$F68 / MAX(1, 'ProductSprint Backlog'!$J68-'ProductSprint Backlog'!$I68), AND('ProductSprint Backlog'!$J68=F$2,'ProductSprint Backlog'!$I68=F$2), 'ProductSprint Backlog'!$F68, TRUE, 0)</f>
        <v>1</v>
      </c>
      <c r="G68" s="4" cm="1">
        <f t="array" ref="G68">_xlfn.IFS('ProductSprint Backlog'!$F68="", "", AND('ProductSprint Backlog'!$J68&gt;G$2,'ProductSprint Backlog'!$I68&lt;=G$2), 'ProductSprint Backlog'!$F68 / MAX(1, 'ProductSprint Backlog'!$J68-'ProductSprint Backlog'!$I68), AND('ProductSprint Backlog'!$J68=G$2,'ProductSprint Backlog'!$I68=G$2), 'ProductSprint Backlog'!$F68, TRUE, 0)</f>
        <v>1</v>
      </c>
      <c r="H68" s="4" cm="1">
        <f t="array" ref="H68">_xlfn.IFS('ProductSprint Backlog'!$F68="", "", AND('ProductSprint Backlog'!$J68&gt;H$2,'ProductSprint Backlog'!$I68&lt;=H$2), 'ProductSprint Backlog'!$F68 / MAX(1, 'ProductSprint Backlog'!$J68-'ProductSprint Backlog'!$I68), AND('ProductSprint Backlog'!$J68=H$2,'ProductSprint Backlog'!$I68=H$2), 'ProductSprint Backlog'!$F68, TRUE, 0)</f>
        <v>1</v>
      </c>
      <c r="I68" s="4" cm="1">
        <f t="array" ref="I68">_xlfn.IFS('ProductSprint Backlog'!$F68="", "", AND('ProductSprint Backlog'!$J68&gt;I$2,'ProductSprint Backlog'!$I68&lt;=I$2), 'ProductSprint Backlog'!$F68 / MAX(1, 'ProductSprint Backlog'!$J68-'ProductSprint Backlog'!$I68), AND('ProductSprint Backlog'!$J68=I$2,'ProductSprint Backlog'!$I68=I$2), 'ProductSprint Backlog'!$F68, TRUE, 0)</f>
        <v>0</v>
      </c>
      <c r="J68" s="4" cm="1">
        <f t="array" ref="J68">_xlfn.IFS('ProductSprint Backlog'!$F68="", "", AND('ProductSprint Backlog'!$J68&gt;J$2,'ProductSprint Backlog'!$I68&lt;=J$2), 'ProductSprint Backlog'!$F68 / MAX(1, 'ProductSprint Backlog'!$J68-'ProductSprint Backlog'!$I68), AND('ProductSprint Backlog'!$J68=J$2,'ProductSprint Backlog'!$I68=J$2), 'ProductSprint Backlog'!$F68, TRUE, 0)</f>
        <v>0</v>
      </c>
      <c r="K68" s="4" cm="1">
        <f t="array" ref="K68">_xlfn.IFS('ProductSprint Backlog'!$F68="", "", AND('ProductSprint Backlog'!$J68&gt;K$2,'ProductSprint Backlog'!$I68&lt;=K$2), 'ProductSprint Backlog'!$F68 / MAX(1, 'ProductSprint Backlog'!$J68-'ProductSprint Backlog'!$I68), AND('ProductSprint Backlog'!$J68=K$2,'ProductSprint Backlog'!$I68=K$2), 'ProductSprint Backlog'!$F68, TRUE, 0)</f>
        <v>0</v>
      </c>
      <c r="L68" s="4" cm="1">
        <f t="array" ref="L68">_xlfn.IFS('ProductSprint Backlog'!$F68="", "", AND('ProductSprint Backlog'!$J68&gt;L$2,'ProductSprint Backlog'!$I68&lt;=L$2), 'ProductSprint Backlog'!$F68 / MAX(1, 'ProductSprint Backlog'!$J68-'ProductSprint Backlog'!$I68), AND('ProductSprint Backlog'!$J68=L$2,'ProductSprint Backlog'!$I68=L$2), 'ProductSprint Backlog'!$F68, TRUE, 0)</f>
        <v>0</v>
      </c>
      <c r="M68" s="4" cm="1">
        <f t="array" ref="M68">_xlfn.IFS('ProductSprint Backlog'!$F68="", "", AND('ProductSprint Backlog'!$J68&gt;M$2,'ProductSprint Backlog'!$I68&lt;=M$2), 'ProductSprint Backlog'!$F68 / MAX(1, 'ProductSprint Backlog'!$J68-'ProductSprint Backlog'!$I68), AND('ProductSprint Backlog'!$J68=M$2,'ProductSprint Backlog'!$I68=M$2), 'ProductSprint Backlog'!$F68, TRUE, 0)</f>
        <v>0</v>
      </c>
      <c r="N68" s="4" cm="1">
        <f t="array" ref="N68">_xlfn.IFS('ProductSprint Backlog'!$F68="", "", AND('ProductSprint Backlog'!$J68&gt;N$2,'ProductSprint Backlog'!$I68&lt;=N$2), 'ProductSprint Backlog'!$F68 / MAX(1, 'ProductSprint Backlog'!$J68-'ProductSprint Backlog'!$I68), AND('ProductSprint Backlog'!$J68=N$2,'ProductSprint Backlog'!$I68=N$2), 'ProductSprint Backlog'!$F68, TRUE, 0)</f>
        <v>0</v>
      </c>
      <c r="O68" s="4" cm="1">
        <f t="array" ref="O68">_xlfn.IFS('ProductSprint Backlog'!$F68="", "", AND('ProductSprint Backlog'!$J68&gt;O$2,'ProductSprint Backlog'!$I68&lt;=O$2), 'ProductSprint Backlog'!$F68 / MAX(1, 'ProductSprint Backlog'!$J68-'ProductSprint Backlog'!$I68), AND('ProductSprint Backlog'!$J68=O$2,'ProductSprint Backlog'!$I68=O$2), 'ProductSprint Backlog'!$F68, TRUE, 0)</f>
        <v>0</v>
      </c>
    </row>
    <row r="69" spans="2:15" x14ac:dyDescent="0.2">
      <c r="B69" s="4" cm="1">
        <f t="array" ref="B69">_xlfn.IFS('ProductSprint Backlog'!$F69="", "", AND('ProductSprint Backlog'!$J69&gt;B$2,'ProductSprint Backlog'!$I69&lt;=B$2), 'ProductSprint Backlog'!$F69 / MAX(1, 'ProductSprint Backlog'!$J69-'ProductSprint Backlog'!$I69), AND('ProductSprint Backlog'!$J69=B$2,'ProductSprint Backlog'!$I69=B$2), 'ProductSprint Backlog'!$F69, TRUE, 0)</f>
        <v>0</v>
      </c>
      <c r="C69" s="4" cm="1">
        <f t="array" ref="C69">_xlfn.IFS('ProductSprint Backlog'!$F69="", "", AND('ProductSprint Backlog'!$J69&gt;C$2,'ProductSprint Backlog'!$I69&lt;=C$2), 'ProductSprint Backlog'!$F69 / MAX(1, 'ProductSprint Backlog'!$J69-'ProductSprint Backlog'!$I69), AND('ProductSprint Backlog'!$J69=C$2,'ProductSprint Backlog'!$I69=C$2), 'ProductSprint Backlog'!$F69, TRUE, 0)</f>
        <v>0</v>
      </c>
      <c r="D69" s="4" cm="1">
        <f t="array" ref="D69">_xlfn.IFS('ProductSprint Backlog'!$F69="", "", AND('ProductSprint Backlog'!$J69&gt;D$2,'ProductSprint Backlog'!$I69&lt;=D$2), 'ProductSprint Backlog'!$F69 / MAX(1, 'ProductSprint Backlog'!$J69-'ProductSprint Backlog'!$I69), AND('ProductSprint Backlog'!$J69=D$2,'ProductSprint Backlog'!$I69=D$2), 'ProductSprint Backlog'!$F69, TRUE, 0)</f>
        <v>0</v>
      </c>
      <c r="E69" s="4" cm="1">
        <f t="array" ref="E69">_xlfn.IFS('ProductSprint Backlog'!$F69="", "", AND('ProductSprint Backlog'!$J69&gt;E$2,'ProductSprint Backlog'!$I69&lt;=E$2), 'ProductSprint Backlog'!$F69 / MAX(1, 'ProductSprint Backlog'!$J69-'ProductSprint Backlog'!$I69), AND('ProductSprint Backlog'!$J69=E$2,'ProductSprint Backlog'!$I69=E$2), 'ProductSprint Backlog'!$F69, TRUE, 0)</f>
        <v>0</v>
      </c>
      <c r="F69" s="4" cm="1">
        <f t="array" ref="F69">_xlfn.IFS('ProductSprint Backlog'!$F69="", "", AND('ProductSprint Backlog'!$J69&gt;F$2,'ProductSprint Backlog'!$I69&lt;=F$2), 'ProductSprint Backlog'!$F69 / MAX(1, 'ProductSprint Backlog'!$J69-'ProductSprint Backlog'!$I69), AND('ProductSprint Backlog'!$J69=F$2,'ProductSprint Backlog'!$I69=F$2), 'ProductSprint Backlog'!$F69, TRUE, 0)</f>
        <v>1</v>
      </c>
      <c r="G69" s="4" cm="1">
        <f t="array" ref="G69">_xlfn.IFS('ProductSprint Backlog'!$F69="", "", AND('ProductSprint Backlog'!$J69&gt;G$2,'ProductSprint Backlog'!$I69&lt;=G$2), 'ProductSprint Backlog'!$F69 / MAX(1, 'ProductSprint Backlog'!$J69-'ProductSprint Backlog'!$I69), AND('ProductSprint Backlog'!$J69=G$2,'ProductSprint Backlog'!$I69=G$2), 'ProductSprint Backlog'!$F69, TRUE, 0)</f>
        <v>1</v>
      </c>
      <c r="H69" s="4" cm="1">
        <f t="array" ref="H69">_xlfn.IFS('ProductSprint Backlog'!$F69="", "", AND('ProductSprint Backlog'!$J69&gt;H$2,'ProductSprint Backlog'!$I69&lt;=H$2), 'ProductSprint Backlog'!$F69 / MAX(1, 'ProductSprint Backlog'!$J69-'ProductSprint Backlog'!$I69), AND('ProductSprint Backlog'!$J69=H$2,'ProductSprint Backlog'!$I69=H$2), 'ProductSprint Backlog'!$F69, TRUE, 0)</f>
        <v>0</v>
      </c>
      <c r="I69" s="4" cm="1">
        <f t="array" ref="I69">_xlfn.IFS('ProductSprint Backlog'!$F69="", "", AND('ProductSprint Backlog'!$J69&gt;I$2,'ProductSprint Backlog'!$I69&lt;=I$2), 'ProductSprint Backlog'!$F69 / MAX(1, 'ProductSprint Backlog'!$J69-'ProductSprint Backlog'!$I69), AND('ProductSprint Backlog'!$J69=I$2,'ProductSprint Backlog'!$I69=I$2), 'ProductSprint Backlog'!$F69, TRUE, 0)</f>
        <v>0</v>
      </c>
      <c r="J69" s="4" cm="1">
        <f t="array" ref="J69">_xlfn.IFS('ProductSprint Backlog'!$F69="", "", AND('ProductSprint Backlog'!$J69&gt;J$2,'ProductSprint Backlog'!$I69&lt;=J$2), 'ProductSprint Backlog'!$F69 / MAX(1, 'ProductSprint Backlog'!$J69-'ProductSprint Backlog'!$I69), AND('ProductSprint Backlog'!$J69=J$2,'ProductSprint Backlog'!$I69=J$2), 'ProductSprint Backlog'!$F69, TRUE, 0)</f>
        <v>0</v>
      </c>
      <c r="K69" s="4" cm="1">
        <f t="array" ref="K69">_xlfn.IFS('ProductSprint Backlog'!$F69="", "", AND('ProductSprint Backlog'!$J69&gt;K$2,'ProductSprint Backlog'!$I69&lt;=K$2), 'ProductSprint Backlog'!$F69 / MAX(1, 'ProductSprint Backlog'!$J69-'ProductSprint Backlog'!$I69), AND('ProductSprint Backlog'!$J69=K$2,'ProductSprint Backlog'!$I69=K$2), 'ProductSprint Backlog'!$F69, TRUE, 0)</f>
        <v>0</v>
      </c>
      <c r="L69" s="4" cm="1">
        <f t="array" ref="L69">_xlfn.IFS('ProductSprint Backlog'!$F69="", "", AND('ProductSprint Backlog'!$J69&gt;L$2,'ProductSprint Backlog'!$I69&lt;=L$2), 'ProductSprint Backlog'!$F69 / MAX(1, 'ProductSprint Backlog'!$J69-'ProductSprint Backlog'!$I69), AND('ProductSprint Backlog'!$J69=L$2,'ProductSprint Backlog'!$I69=L$2), 'ProductSprint Backlog'!$F69, TRUE, 0)</f>
        <v>0</v>
      </c>
      <c r="M69" s="4" cm="1">
        <f t="array" ref="M69">_xlfn.IFS('ProductSprint Backlog'!$F69="", "", AND('ProductSprint Backlog'!$J69&gt;M$2,'ProductSprint Backlog'!$I69&lt;=M$2), 'ProductSprint Backlog'!$F69 / MAX(1, 'ProductSprint Backlog'!$J69-'ProductSprint Backlog'!$I69), AND('ProductSprint Backlog'!$J69=M$2,'ProductSprint Backlog'!$I69=M$2), 'ProductSprint Backlog'!$F69, TRUE, 0)</f>
        <v>0</v>
      </c>
      <c r="N69" s="4" cm="1">
        <f t="array" ref="N69">_xlfn.IFS('ProductSprint Backlog'!$F69="", "", AND('ProductSprint Backlog'!$J69&gt;N$2,'ProductSprint Backlog'!$I69&lt;=N$2), 'ProductSprint Backlog'!$F69 / MAX(1, 'ProductSprint Backlog'!$J69-'ProductSprint Backlog'!$I69), AND('ProductSprint Backlog'!$J69=N$2,'ProductSprint Backlog'!$I69=N$2), 'ProductSprint Backlog'!$F69, TRUE, 0)</f>
        <v>0</v>
      </c>
      <c r="O69" s="4" cm="1">
        <f t="array" ref="O69">_xlfn.IFS('ProductSprint Backlog'!$F69="", "", AND('ProductSprint Backlog'!$J69&gt;O$2,'ProductSprint Backlog'!$I69&lt;=O$2), 'ProductSprint Backlog'!$F69 / MAX(1, 'ProductSprint Backlog'!$J69-'ProductSprint Backlog'!$I69), AND('ProductSprint Backlog'!$J69=O$2,'ProductSprint Backlog'!$I69=O$2), 'ProductSprint Backlog'!$F69, TRUE, 0)</f>
        <v>0</v>
      </c>
    </row>
    <row r="70" spans="2:15" x14ac:dyDescent="0.2">
      <c r="B70" s="4" cm="1">
        <f t="array" ref="B70">_xlfn.IFS('ProductSprint Backlog'!$F70="", "", AND('ProductSprint Backlog'!$J70&gt;B$2,'ProductSprint Backlog'!$I70&lt;=B$2), 'ProductSprint Backlog'!$F70 / MAX(1, 'ProductSprint Backlog'!$J70-'ProductSprint Backlog'!$I70), AND('ProductSprint Backlog'!$J70=B$2,'ProductSprint Backlog'!$I70=B$2), 'ProductSprint Backlog'!$F70, TRUE, 0)</f>
        <v>0</v>
      </c>
      <c r="C70" s="4" cm="1">
        <f t="array" ref="C70">_xlfn.IFS('ProductSprint Backlog'!$F70="", "", AND('ProductSprint Backlog'!$J70&gt;C$2,'ProductSprint Backlog'!$I70&lt;=C$2), 'ProductSprint Backlog'!$F70 / MAX(1, 'ProductSprint Backlog'!$J70-'ProductSprint Backlog'!$I70), AND('ProductSprint Backlog'!$J70=C$2,'ProductSprint Backlog'!$I70=C$2), 'ProductSprint Backlog'!$F70, TRUE, 0)</f>
        <v>0</v>
      </c>
      <c r="D70" s="4" cm="1">
        <f t="array" ref="D70">_xlfn.IFS('ProductSprint Backlog'!$F70="", "", AND('ProductSprint Backlog'!$J70&gt;D$2,'ProductSprint Backlog'!$I70&lt;=D$2), 'ProductSprint Backlog'!$F70 / MAX(1, 'ProductSprint Backlog'!$J70-'ProductSprint Backlog'!$I70), AND('ProductSprint Backlog'!$J70=D$2,'ProductSprint Backlog'!$I70=D$2), 'ProductSprint Backlog'!$F70, TRUE, 0)</f>
        <v>0</v>
      </c>
      <c r="E70" s="4" cm="1">
        <f t="array" ref="E70">_xlfn.IFS('ProductSprint Backlog'!$F70="", "", AND('ProductSprint Backlog'!$J70&gt;E$2,'ProductSprint Backlog'!$I70&lt;=E$2), 'ProductSprint Backlog'!$F70 / MAX(1, 'ProductSprint Backlog'!$J70-'ProductSprint Backlog'!$I70), AND('ProductSprint Backlog'!$J70=E$2,'ProductSprint Backlog'!$I70=E$2), 'ProductSprint Backlog'!$F70, TRUE, 0)</f>
        <v>0</v>
      </c>
      <c r="F70" s="4" cm="1">
        <f t="array" ref="F70">_xlfn.IFS('ProductSprint Backlog'!$F70="", "", AND('ProductSprint Backlog'!$J70&gt;F$2,'ProductSprint Backlog'!$I70&lt;=F$2), 'ProductSprint Backlog'!$F70 / MAX(1, 'ProductSprint Backlog'!$J70-'ProductSprint Backlog'!$I70), AND('ProductSprint Backlog'!$J70=F$2,'ProductSprint Backlog'!$I70=F$2), 'ProductSprint Backlog'!$F70, TRUE, 0)</f>
        <v>0</v>
      </c>
      <c r="G70" s="4" cm="1">
        <f t="array" ref="G70">_xlfn.IFS('ProductSprint Backlog'!$F70="", "", AND('ProductSprint Backlog'!$J70&gt;G$2,'ProductSprint Backlog'!$I70&lt;=G$2), 'ProductSprint Backlog'!$F70 / MAX(1, 'ProductSprint Backlog'!$J70-'ProductSprint Backlog'!$I70), AND('ProductSprint Backlog'!$J70=G$2,'ProductSprint Backlog'!$I70=G$2), 'ProductSprint Backlog'!$F70, TRUE, 0)</f>
        <v>0.5</v>
      </c>
      <c r="H70" s="4" cm="1">
        <f t="array" ref="H70">_xlfn.IFS('ProductSprint Backlog'!$F70="", "", AND('ProductSprint Backlog'!$J70&gt;H$2,'ProductSprint Backlog'!$I70&lt;=H$2), 'ProductSprint Backlog'!$F70 / MAX(1, 'ProductSprint Backlog'!$J70-'ProductSprint Backlog'!$I70), AND('ProductSprint Backlog'!$J70=H$2,'ProductSprint Backlog'!$I70=H$2), 'ProductSprint Backlog'!$F70, TRUE, 0)</f>
        <v>0.5</v>
      </c>
      <c r="I70" s="4" cm="1">
        <f t="array" ref="I70">_xlfn.IFS('ProductSprint Backlog'!$F70="", "", AND('ProductSprint Backlog'!$J70&gt;I$2,'ProductSprint Backlog'!$I70&lt;=I$2), 'ProductSprint Backlog'!$F70 / MAX(1, 'ProductSprint Backlog'!$J70-'ProductSprint Backlog'!$I70), AND('ProductSprint Backlog'!$J70=I$2,'ProductSprint Backlog'!$I70=I$2), 'ProductSprint Backlog'!$F70, TRUE, 0)</f>
        <v>0</v>
      </c>
      <c r="J70" s="4" cm="1">
        <f t="array" ref="J70">_xlfn.IFS('ProductSprint Backlog'!$F70="", "", AND('ProductSprint Backlog'!$J70&gt;J$2,'ProductSprint Backlog'!$I70&lt;=J$2), 'ProductSprint Backlog'!$F70 / MAX(1, 'ProductSprint Backlog'!$J70-'ProductSprint Backlog'!$I70), AND('ProductSprint Backlog'!$J70=J$2,'ProductSprint Backlog'!$I70=J$2), 'ProductSprint Backlog'!$F70, TRUE, 0)</f>
        <v>0</v>
      </c>
      <c r="K70" s="4" cm="1">
        <f t="array" ref="K70">_xlfn.IFS('ProductSprint Backlog'!$F70="", "", AND('ProductSprint Backlog'!$J70&gt;K$2,'ProductSprint Backlog'!$I70&lt;=K$2), 'ProductSprint Backlog'!$F70 / MAX(1, 'ProductSprint Backlog'!$J70-'ProductSprint Backlog'!$I70), AND('ProductSprint Backlog'!$J70=K$2,'ProductSprint Backlog'!$I70=K$2), 'ProductSprint Backlog'!$F70, TRUE, 0)</f>
        <v>0</v>
      </c>
      <c r="L70" s="4" cm="1">
        <f t="array" ref="L70">_xlfn.IFS('ProductSprint Backlog'!$F70="", "", AND('ProductSprint Backlog'!$J70&gt;L$2,'ProductSprint Backlog'!$I70&lt;=L$2), 'ProductSprint Backlog'!$F70 / MAX(1, 'ProductSprint Backlog'!$J70-'ProductSprint Backlog'!$I70), AND('ProductSprint Backlog'!$J70=L$2,'ProductSprint Backlog'!$I70=L$2), 'ProductSprint Backlog'!$F70, TRUE, 0)</f>
        <v>0</v>
      </c>
      <c r="M70" s="4" cm="1">
        <f t="array" ref="M70">_xlfn.IFS('ProductSprint Backlog'!$F70="", "", AND('ProductSprint Backlog'!$J70&gt;M$2,'ProductSprint Backlog'!$I70&lt;=M$2), 'ProductSprint Backlog'!$F70 / MAX(1, 'ProductSprint Backlog'!$J70-'ProductSprint Backlog'!$I70), AND('ProductSprint Backlog'!$J70=M$2,'ProductSprint Backlog'!$I70=M$2), 'ProductSprint Backlog'!$F70, TRUE, 0)</f>
        <v>0</v>
      </c>
      <c r="N70" s="4" cm="1">
        <f t="array" ref="N70">_xlfn.IFS('ProductSprint Backlog'!$F70="", "", AND('ProductSprint Backlog'!$J70&gt;N$2,'ProductSprint Backlog'!$I70&lt;=N$2), 'ProductSprint Backlog'!$F70 / MAX(1, 'ProductSprint Backlog'!$J70-'ProductSprint Backlog'!$I70), AND('ProductSprint Backlog'!$J70=N$2,'ProductSprint Backlog'!$I70=N$2), 'ProductSprint Backlog'!$F70, TRUE, 0)</f>
        <v>0</v>
      </c>
      <c r="O70" s="4" cm="1">
        <f t="array" ref="O70">_xlfn.IFS('ProductSprint Backlog'!$F70="", "", AND('ProductSprint Backlog'!$J70&gt;O$2,'ProductSprint Backlog'!$I70&lt;=O$2), 'ProductSprint Backlog'!$F70 / MAX(1, 'ProductSprint Backlog'!$J70-'ProductSprint Backlog'!$I70), AND('ProductSprint Backlog'!$J70=O$2,'ProductSprint Backlog'!$I70=O$2), 'ProductSprint Backlog'!$F70, TRUE, 0)</f>
        <v>0</v>
      </c>
    </row>
    <row r="71" spans="2:15" x14ac:dyDescent="0.2">
      <c r="B71" s="4" cm="1">
        <f t="array" ref="B71">_xlfn.IFS('ProductSprint Backlog'!$F71="", "", AND('ProductSprint Backlog'!$J71&gt;B$2,'ProductSprint Backlog'!$I71&lt;=B$2), 'ProductSprint Backlog'!$F71 / MAX(1, 'ProductSprint Backlog'!$J71-'ProductSprint Backlog'!$I71), AND('ProductSprint Backlog'!$J71=B$2,'ProductSprint Backlog'!$I71=B$2), 'ProductSprint Backlog'!$F71, TRUE, 0)</f>
        <v>0</v>
      </c>
      <c r="C71" s="4" cm="1">
        <f t="array" ref="C71">_xlfn.IFS('ProductSprint Backlog'!$F71="", "", AND('ProductSprint Backlog'!$J71&gt;C$2,'ProductSprint Backlog'!$I71&lt;=C$2), 'ProductSprint Backlog'!$F71 / MAX(1, 'ProductSprint Backlog'!$J71-'ProductSprint Backlog'!$I71), AND('ProductSprint Backlog'!$J71=C$2,'ProductSprint Backlog'!$I71=C$2), 'ProductSprint Backlog'!$F71, TRUE, 0)</f>
        <v>0</v>
      </c>
      <c r="D71" s="4" cm="1">
        <f t="array" ref="D71">_xlfn.IFS('ProductSprint Backlog'!$F71="", "", AND('ProductSprint Backlog'!$J71&gt;D$2,'ProductSprint Backlog'!$I71&lt;=D$2), 'ProductSprint Backlog'!$F71 / MAX(1, 'ProductSprint Backlog'!$J71-'ProductSprint Backlog'!$I71), AND('ProductSprint Backlog'!$J71=D$2,'ProductSprint Backlog'!$I71=D$2), 'ProductSprint Backlog'!$F71, TRUE, 0)</f>
        <v>0</v>
      </c>
      <c r="E71" s="4" cm="1">
        <f t="array" ref="E71">_xlfn.IFS('ProductSprint Backlog'!$F71="", "", AND('ProductSprint Backlog'!$J71&gt;E$2,'ProductSprint Backlog'!$I71&lt;=E$2), 'ProductSprint Backlog'!$F71 / MAX(1, 'ProductSprint Backlog'!$J71-'ProductSprint Backlog'!$I71), AND('ProductSprint Backlog'!$J71=E$2,'ProductSprint Backlog'!$I71=E$2), 'ProductSprint Backlog'!$F71, TRUE, 0)</f>
        <v>0</v>
      </c>
      <c r="F71" s="4" cm="1">
        <f t="array" ref="F71">_xlfn.IFS('ProductSprint Backlog'!$F71="", "", AND('ProductSprint Backlog'!$J71&gt;F$2,'ProductSprint Backlog'!$I71&lt;=F$2), 'ProductSprint Backlog'!$F71 / MAX(1, 'ProductSprint Backlog'!$J71-'ProductSprint Backlog'!$I71), AND('ProductSprint Backlog'!$J71=F$2,'ProductSprint Backlog'!$I71=F$2), 'ProductSprint Backlog'!$F71, TRUE, 0)</f>
        <v>0</v>
      </c>
      <c r="G71" s="4" cm="1">
        <f t="array" ref="G71">_xlfn.IFS('ProductSprint Backlog'!$F71="", "", AND('ProductSprint Backlog'!$J71&gt;G$2,'ProductSprint Backlog'!$I71&lt;=G$2), 'ProductSprint Backlog'!$F71 / MAX(1, 'ProductSprint Backlog'!$J71-'ProductSprint Backlog'!$I71), AND('ProductSprint Backlog'!$J71=G$2,'ProductSprint Backlog'!$I71=G$2), 'ProductSprint Backlog'!$F71, TRUE, 0)</f>
        <v>1</v>
      </c>
      <c r="H71" s="4" cm="1">
        <f t="array" ref="H71">_xlfn.IFS('ProductSprint Backlog'!$F71="", "", AND('ProductSprint Backlog'!$J71&gt;H$2,'ProductSprint Backlog'!$I71&lt;=H$2), 'ProductSprint Backlog'!$F71 / MAX(1, 'ProductSprint Backlog'!$J71-'ProductSprint Backlog'!$I71), AND('ProductSprint Backlog'!$J71=H$2,'ProductSprint Backlog'!$I71=H$2), 'ProductSprint Backlog'!$F71, TRUE, 0)</f>
        <v>1</v>
      </c>
      <c r="I71" s="4" cm="1">
        <f t="array" ref="I71">_xlfn.IFS('ProductSprint Backlog'!$F71="", "", AND('ProductSprint Backlog'!$J71&gt;I$2,'ProductSprint Backlog'!$I71&lt;=I$2), 'ProductSprint Backlog'!$F71 / MAX(1, 'ProductSprint Backlog'!$J71-'ProductSprint Backlog'!$I71), AND('ProductSprint Backlog'!$J71=I$2,'ProductSprint Backlog'!$I71=I$2), 'ProductSprint Backlog'!$F71, TRUE, 0)</f>
        <v>0</v>
      </c>
      <c r="J71" s="4" cm="1">
        <f t="array" ref="J71">_xlfn.IFS('ProductSprint Backlog'!$F71="", "", AND('ProductSprint Backlog'!$J71&gt;J$2,'ProductSprint Backlog'!$I71&lt;=J$2), 'ProductSprint Backlog'!$F71 / MAX(1, 'ProductSprint Backlog'!$J71-'ProductSprint Backlog'!$I71), AND('ProductSprint Backlog'!$J71=J$2,'ProductSprint Backlog'!$I71=J$2), 'ProductSprint Backlog'!$F71, TRUE, 0)</f>
        <v>0</v>
      </c>
      <c r="K71" s="4" cm="1">
        <f t="array" ref="K71">_xlfn.IFS('ProductSprint Backlog'!$F71="", "", AND('ProductSprint Backlog'!$J71&gt;K$2,'ProductSprint Backlog'!$I71&lt;=K$2), 'ProductSprint Backlog'!$F71 / MAX(1, 'ProductSprint Backlog'!$J71-'ProductSprint Backlog'!$I71), AND('ProductSprint Backlog'!$J71=K$2,'ProductSprint Backlog'!$I71=K$2), 'ProductSprint Backlog'!$F71, TRUE, 0)</f>
        <v>0</v>
      </c>
      <c r="L71" s="4" cm="1">
        <f t="array" ref="L71">_xlfn.IFS('ProductSprint Backlog'!$F71="", "", AND('ProductSprint Backlog'!$J71&gt;L$2,'ProductSprint Backlog'!$I71&lt;=L$2), 'ProductSprint Backlog'!$F71 / MAX(1, 'ProductSprint Backlog'!$J71-'ProductSprint Backlog'!$I71), AND('ProductSprint Backlog'!$J71=L$2,'ProductSprint Backlog'!$I71=L$2), 'ProductSprint Backlog'!$F71, TRUE, 0)</f>
        <v>0</v>
      </c>
      <c r="M71" s="4" cm="1">
        <f t="array" ref="M71">_xlfn.IFS('ProductSprint Backlog'!$F71="", "", AND('ProductSprint Backlog'!$J71&gt;M$2,'ProductSprint Backlog'!$I71&lt;=M$2), 'ProductSprint Backlog'!$F71 / MAX(1, 'ProductSprint Backlog'!$J71-'ProductSprint Backlog'!$I71), AND('ProductSprint Backlog'!$J71=M$2,'ProductSprint Backlog'!$I71=M$2), 'ProductSprint Backlog'!$F71, TRUE, 0)</f>
        <v>0</v>
      </c>
      <c r="N71" s="4" cm="1">
        <f t="array" ref="N71">_xlfn.IFS('ProductSprint Backlog'!$F71="", "", AND('ProductSprint Backlog'!$J71&gt;N$2,'ProductSprint Backlog'!$I71&lt;=N$2), 'ProductSprint Backlog'!$F71 / MAX(1, 'ProductSprint Backlog'!$J71-'ProductSprint Backlog'!$I71), AND('ProductSprint Backlog'!$J71=N$2,'ProductSprint Backlog'!$I71=N$2), 'ProductSprint Backlog'!$F71, TRUE, 0)</f>
        <v>0</v>
      </c>
      <c r="O71" s="4" cm="1">
        <f t="array" ref="O71">_xlfn.IFS('ProductSprint Backlog'!$F71="", "", AND('ProductSprint Backlog'!$J71&gt;O$2,'ProductSprint Backlog'!$I71&lt;=O$2), 'ProductSprint Backlog'!$F71 / MAX(1, 'ProductSprint Backlog'!$J71-'ProductSprint Backlog'!$I71), AND('ProductSprint Backlog'!$J71=O$2,'ProductSprint Backlog'!$I71=O$2), 'ProductSprint Backlog'!$F71, TRUE, 0)</f>
        <v>0</v>
      </c>
    </row>
    <row r="72" spans="2:15" x14ac:dyDescent="0.2">
      <c r="B72" s="4" cm="1">
        <f t="array" ref="B72">_xlfn.IFS('ProductSprint Backlog'!$F72="", "", AND('ProductSprint Backlog'!$J72&gt;B$2,'ProductSprint Backlog'!$I72&lt;=B$2), 'ProductSprint Backlog'!$F72 / MAX(1, 'ProductSprint Backlog'!$J72-'ProductSprint Backlog'!$I72), AND('ProductSprint Backlog'!$J72=B$2,'ProductSprint Backlog'!$I72=B$2), 'ProductSprint Backlog'!$F72, TRUE, 0)</f>
        <v>0</v>
      </c>
      <c r="C72" s="4" cm="1">
        <f t="array" ref="C72">_xlfn.IFS('ProductSprint Backlog'!$F72="", "", AND('ProductSprint Backlog'!$J72&gt;C$2,'ProductSprint Backlog'!$I72&lt;=C$2), 'ProductSprint Backlog'!$F72 / MAX(1, 'ProductSprint Backlog'!$J72-'ProductSprint Backlog'!$I72), AND('ProductSprint Backlog'!$J72=C$2,'ProductSprint Backlog'!$I72=C$2), 'ProductSprint Backlog'!$F72, TRUE, 0)</f>
        <v>0</v>
      </c>
      <c r="D72" s="4" cm="1">
        <f t="array" ref="D72">_xlfn.IFS('ProductSprint Backlog'!$F72="", "", AND('ProductSprint Backlog'!$J72&gt;D$2,'ProductSprint Backlog'!$I72&lt;=D$2), 'ProductSprint Backlog'!$F72 / MAX(1, 'ProductSprint Backlog'!$J72-'ProductSprint Backlog'!$I72), AND('ProductSprint Backlog'!$J72=D$2,'ProductSprint Backlog'!$I72=D$2), 'ProductSprint Backlog'!$F72, TRUE, 0)</f>
        <v>0</v>
      </c>
      <c r="E72" s="4" cm="1">
        <f t="array" ref="E72">_xlfn.IFS('ProductSprint Backlog'!$F72="", "", AND('ProductSprint Backlog'!$J72&gt;E$2,'ProductSprint Backlog'!$I72&lt;=E$2), 'ProductSprint Backlog'!$F72 / MAX(1, 'ProductSprint Backlog'!$J72-'ProductSprint Backlog'!$I72), AND('ProductSprint Backlog'!$J72=E$2,'ProductSprint Backlog'!$I72=E$2), 'ProductSprint Backlog'!$F72, TRUE, 0)</f>
        <v>0</v>
      </c>
      <c r="F72" s="4" cm="1">
        <f t="array" ref="F72">_xlfn.IFS('ProductSprint Backlog'!$F72="", "", AND('ProductSprint Backlog'!$J72&gt;F$2,'ProductSprint Backlog'!$I72&lt;=F$2), 'ProductSprint Backlog'!$F72 / MAX(1, 'ProductSprint Backlog'!$J72-'ProductSprint Backlog'!$I72), AND('ProductSprint Backlog'!$J72=F$2,'ProductSprint Backlog'!$I72=F$2), 'ProductSprint Backlog'!$F72, TRUE, 0)</f>
        <v>0</v>
      </c>
      <c r="G72" s="4" cm="1">
        <f t="array" ref="G72">_xlfn.IFS('ProductSprint Backlog'!$F72="", "", AND('ProductSprint Backlog'!$J72&gt;G$2,'ProductSprint Backlog'!$I72&lt;=G$2), 'ProductSprint Backlog'!$F72 / MAX(1, 'ProductSprint Backlog'!$J72-'ProductSprint Backlog'!$I72), AND('ProductSprint Backlog'!$J72=G$2,'ProductSprint Backlog'!$I72=G$2), 'ProductSprint Backlog'!$F72, TRUE, 0)</f>
        <v>0</v>
      </c>
      <c r="H72" s="4" cm="1">
        <f t="array" ref="H72">_xlfn.IFS('ProductSprint Backlog'!$F72="", "", AND('ProductSprint Backlog'!$J72&gt;H$2,'ProductSprint Backlog'!$I72&lt;=H$2), 'ProductSprint Backlog'!$F72 / MAX(1, 'ProductSprint Backlog'!$J72-'ProductSprint Backlog'!$I72), AND('ProductSprint Backlog'!$J72=H$2,'ProductSprint Backlog'!$I72=H$2), 'ProductSprint Backlog'!$F72, TRUE, 0)</f>
        <v>2</v>
      </c>
      <c r="I72" s="4" cm="1">
        <f t="array" ref="I72">_xlfn.IFS('ProductSprint Backlog'!$F72="", "", AND('ProductSprint Backlog'!$J72&gt;I$2,'ProductSprint Backlog'!$I72&lt;=I$2), 'ProductSprint Backlog'!$F72 / MAX(1, 'ProductSprint Backlog'!$J72-'ProductSprint Backlog'!$I72), AND('ProductSprint Backlog'!$J72=I$2,'ProductSprint Backlog'!$I72=I$2), 'ProductSprint Backlog'!$F72, TRUE, 0)</f>
        <v>0</v>
      </c>
      <c r="J72" s="4" cm="1">
        <f t="array" ref="J72">_xlfn.IFS('ProductSprint Backlog'!$F72="", "", AND('ProductSprint Backlog'!$J72&gt;J$2,'ProductSprint Backlog'!$I72&lt;=J$2), 'ProductSprint Backlog'!$F72 / MAX(1, 'ProductSprint Backlog'!$J72-'ProductSprint Backlog'!$I72), AND('ProductSprint Backlog'!$J72=J$2,'ProductSprint Backlog'!$I72=J$2), 'ProductSprint Backlog'!$F72, TRUE, 0)</f>
        <v>0</v>
      </c>
      <c r="K72" s="4" cm="1">
        <f t="array" ref="K72">_xlfn.IFS('ProductSprint Backlog'!$F72="", "", AND('ProductSprint Backlog'!$J72&gt;K$2,'ProductSprint Backlog'!$I72&lt;=K$2), 'ProductSprint Backlog'!$F72 / MAX(1, 'ProductSprint Backlog'!$J72-'ProductSprint Backlog'!$I72), AND('ProductSprint Backlog'!$J72=K$2,'ProductSprint Backlog'!$I72=K$2), 'ProductSprint Backlog'!$F72, TRUE, 0)</f>
        <v>0</v>
      </c>
      <c r="L72" s="4" cm="1">
        <f t="array" ref="L72">_xlfn.IFS('ProductSprint Backlog'!$F72="", "", AND('ProductSprint Backlog'!$J72&gt;L$2,'ProductSprint Backlog'!$I72&lt;=L$2), 'ProductSprint Backlog'!$F72 / MAX(1, 'ProductSprint Backlog'!$J72-'ProductSprint Backlog'!$I72), AND('ProductSprint Backlog'!$J72=L$2,'ProductSprint Backlog'!$I72=L$2), 'ProductSprint Backlog'!$F72, TRUE, 0)</f>
        <v>0</v>
      </c>
      <c r="M72" s="4" cm="1">
        <f t="array" ref="M72">_xlfn.IFS('ProductSprint Backlog'!$F72="", "", AND('ProductSprint Backlog'!$J72&gt;M$2,'ProductSprint Backlog'!$I72&lt;=M$2), 'ProductSprint Backlog'!$F72 / MAX(1, 'ProductSprint Backlog'!$J72-'ProductSprint Backlog'!$I72), AND('ProductSprint Backlog'!$J72=M$2,'ProductSprint Backlog'!$I72=M$2), 'ProductSprint Backlog'!$F72, TRUE, 0)</f>
        <v>0</v>
      </c>
      <c r="N72" s="4" cm="1">
        <f t="array" ref="N72">_xlfn.IFS('ProductSprint Backlog'!$F72="", "", AND('ProductSprint Backlog'!$J72&gt;N$2,'ProductSprint Backlog'!$I72&lt;=N$2), 'ProductSprint Backlog'!$F72 / MAX(1, 'ProductSprint Backlog'!$J72-'ProductSprint Backlog'!$I72), AND('ProductSprint Backlog'!$J72=N$2,'ProductSprint Backlog'!$I72=N$2), 'ProductSprint Backlog'!$F72, TRUE, 0)</f>
        <v>0</v>
      </c>
      <c r="O72" s="4" cm="1">
        <f t="array" ref="O72">_xlfn.IFS('ProductSprint Backlog'!$F72="", "", AND('ProductSprint Backlog'!$J72&gt;O$2,'ProductSprint Backlog'!$I72&lt;=O$2), 'ProductSprint Backlog'!$F72 / MAX(1, 'ProductSprint Backlog'!$J72-'ProductSprint Backlog'!$I72), AND('ProductSprint Backlog'!$J72=O$2,'ProductSprint Backlog'!$I72=O$2), 'ProductSprint Backlog'!$F72, TRUE, 0)</f>
        <v>0</v>
      </c>
    </row>
    <row r="73" spans="2:15" x14ac:dyDescent="0.2">
      <c r="B73" s="4" t="str" cm="1">
        <f t="array" ref="B73">_xlfn.IFS('ProductSprint Backlog'!$F73="", "", AND('ProductSprint Backlog'!$J73&gt;B$2,'ProductSprint Backlog'!$I73&lt;=B$2), 'ProductSprint Backlog'!$F73 / MAX(1, 'ProductSprint Backlog'!$J73-'ProductSprint Backlog'!$I73), AND('ProductSprint Backlog'!$J73=B$2,'ProductSprint Backlog'!$I73=B$2), 'ProductSprint Backlog'!$F73, TRUE, 0)</f>
        <v/>
      </c>
      <c r="C73" s="4" t="str" cm="1">
        <f t="array" ref="C73">_xlfn.IFS('ProductSprint Backlog'!$F73="", "", AND('ProductSprint Backlog'!$J73&gt;C$2,'ProductSprint Backlog'!$I73&lt;=C$2), 'ProductSprint Backlog'!$F73 / MAX(1, 'ProductSprint Backlog'!$J73-'ProductSprint Backlog'!$I73), AND('ProductSprint Backlog'!$J73=C$2,'ProductSprint Backlog'!$I73=C$2), 'ProductSprint Backlog'!$F73, TRUE, 0)</f>
        <v/>
      </c>
      <c r="D73" s="4" t="str" cm="1">
        <f t="array" ref="D73">_xlfn.IFS('ProductSprint Backlog'!$F73="", "", AND('ProductSprint Backlog'!$J73&gt;D$2,'ProductSprint Backlog'!$I73&lt;=D$2), 'ProductSprint Backlog'!$F73 / MAX(1, 'ProductSprint Backlog'!$J73-'ProductSprint Backlog'!$I73), AND('ProductSprint Backlog'!$J73=D$2,'ProductSprint Backlog'!$I73=D$2), 'ProductSprint Backlog'!$F73, TRUE, 0)</f>
        <v/>
      </c>
      <c r="E73" s="4" t="str" cm="1">
        <f t="array" ref="E73">_xlfn.IFS('ProductSprint Backlog'!$F73="", "", AND('ProductSprint Backlog'!$J73&gt;E$2,'ProductSprint Backlog'!$I73&lt;=E$2), 'ProductSprint Backlog'!$F73 / MAX(1, 'ProductSprint Backlog'!$J73-'ProductSprint Backlog'!$I73), AND('ProductSprint Backlog'!$J73=E$2,'ProductSprint Backlog'!$I73=E$2), 'ProductSprint Backlog'!$F73, TRUE, 0)</f>
        <v/>
      </c>
      <c r="F73" s="4" t="str" cm="1">
        <f t="array" ref="F73">_xlfn.IFS('ProductSprint Backlog'!$F73="", "", AND('ProductSprint Backlog'!$J73&gt;F$2,'ProductSprint Backlog'!$I73&lt;=F$2), 'ProductSprint Backlog'!$F73 / MAX(1, 'ProductSprint Backlog'!$J73-'ProductSprint Backlog'!$I73), AND('ProductSprint Backlog'!$J73=F$2,'ProductSprint Backlog'!$I73=F$2), 'ProductSprint Backlog'!$F73, TRUE, 0)</f>
        <v/>
      </c>
      <c r="G73" s="4" t="str" cm="1">
        <f t="array" ref="G73">_xlfn.IFS('ProductSprint Backlog'!$F73="", "", AND('ProductSprint Backlog'!$J73&gt;G$2,'ProductSprint Backlog'!$I73&lt;=G$2), 'ProductSprint Backlog'!$F73 / MAX(1, 'ProductSprint Backlog'!$J73-'ProductSprint Backlog'!$I73), AND('ProductSprint Backlog'!$J73=G$2,'ProductSprint Backlog'!$I73=G$2), 'ProductSprint Backlog'!$F73, TRUE, 0)</f>
        <v/>
      </c>
      <c r="H73" s="4" t="str" cm="1">
        <f t="array" ref="H73">_xlfn.IFS('ProductSprint Backlog'!$F73="", "", AND('ProductSprint Backlog'!$J73&gt;H$2,'ProductSprint Backlog'!$I73&lt;=H$2), 'ProductSprint Backlog'!$F73 / MAX(1, 'ProductSprint Backlog'!$J73-'ProductSprint Backlog'!$I73), AND('ProductSprint Backlog'!$J73=H$2,'ProductSprint Backlog'!$I73=H$2), 'ProductSprint Backlog'!$F73, TRUE, 0)</f>
        <v/>
      </c>
      <c r="I73" s="4" t="str" cm="1">
        <f t="array" ref="I73">_xlfn.IFS('ProductSprint Backlog'!$F73="", "", AND('ProductSprint Backlog'!$J73&gt;I$2,'ProductSprint Backlog'!$I73&lt;=I$2), 'ProductSprint Backlog'!$F73 / MAX(1, 'ProductSprint Backlog'!$J73-'ProductSprint Backlog'!$I73), AND('ProductSprint Backlog'!$J73=I$2,'ProductSprint Backlog'!$I73=I$2), 'ProductSprint Backlog'!$F73, TRUE, 0)</f>
        <v/>
      </c>
      <c r="J73" s="4" t="str" cm="1">
        <f t="array" ref="J73">_xlfn.IFS('ProductSprint Backlog'!$F73="", "", AND('ProductSprint Backlog'!$J73&gt;J$2,'ProductSprint Backlog'!$I73&lt;=J$2), 'ProductSprint Backlog'!$F73 / MAX(1, 'ProductSprint Backlog'!$J73-'ProductSprint Backlog'!$I73), AND('ProductSprint Backlog'!$J73=J$2,'ProductSprint Backlog'!$I73=J$2), 'ProductSprint Backlog'!$F73, TRUE, 0)</f>
        <v/>
      </c>
      <c r="K73" s="4" t="str" cm="1">
        <f t="array" ref="K73">_xlfn.IFS('ProductSprint Backlog'!$F73="", "", AND('ProductSprint Backlog'!$J73&gt;K$2,'ProductSprint Backlog'!$I73&lt;=K$2), 'ProductSprint Backlog'!$F73 / MAX(1, 'ProductSprint Backlog'!$J73-'ProductSprint Backlog'!$I73), AND('ProductSprint Backlog'!$J73=K$2,'ProductSprint Backlog'!$I73=K$2), 'ProductSprint Backlog'!$F73, TRUE, 0)</f>
        <v/>
      </c>
      <c r="L73" s="4" t="str" cm="1">
        <f t="array" ref="L73">_xlfn.IFS('ProductSprint Backlog'!$F73="", "", AND('ProductSprint Backlog'!$J73&gt;L$2,'ProductSprint Backlog'!$I73&lt;=L$2), 'ProductSprint Backlog'!$F73 / MAX(1, 'ProductSprint Backlog'!$J73-'ProductSprint Backlog'!$I73), AND('ProductSprint Backlog'!$J73=L$2,'ProductSprint Backlog'!$I73=L$2), 'ProductSprint Backlog'!$F73, TRUE, 0)</f>
        <v/>
      </c>
      <c r="M73" s="4" t="str" cm="1">
        <f t="array" ref="M73">_xlfn.IFS('ProductSprint Backlog'!$F73="", "", AND('ProductSprint Backlog'!$J73&gt;M$2,'ProductSprint Backlog'!$I73&lt;=M$2), 'ProductSprint Backlog'!$F73 / MAX(1, 'ProductSprint Backlog'!$J73-'ProductSprint Backlog'!$I73), AND('ProductSprint Backlog'!$J73=M$2,'ProductSprint Backlog'!$I73=M$2), 'ProductSprint Backlog'!$F73, TRUE, 0)</f>
        <v/>
      </c>
      <c r="N73" s="4" t="str" cm="1">
        <f t="array" ref="N73">_xlfn.IFS('ProductSprint Backlog'!$F73="", "", AND('ProductSprint Backlog'!$J73&gt;N$2,'ProductSprint Backlog'!$I73&lt;=N$2), 'ProductSprint Backlog'!$F73 / MAX(1, 'ProductSprint Backlog'!$J73-'ProductSprint Backlog'!$I73), AND('ProductSprint Backlog'!$J73=N$2,'ProductSprint Backlog'!$I73=N$2), 'ProductSprint Backlog'!$F73, TRUE, 0)</f>
        <v/>
      </c>
      <c r="O73" s="4" t="str" cm="1">
        <f t="array" ref="O73">_xlfn.IFS('ProductSprint Backlog'!$F73="", "", AND('ProductSprint Backlog'!$J73&gt;O$2,'ProductSprint Backlog'!$I73&lt;=O$2), 'ProductSprint Backlog'!$F73 / MAX(1, 'ProductSprint Backlog'!$J73-'ProductSprint Backlog'!$I73), AND('ProductSprint Backlog'!$J73=O$2,'ProductSprint Backlog'!$I73=O$2), 'ProductSprint Backlog'!$F73, TRUE, 0)</f>
        <v/>
      </c>
    </row>
    <row r="74" spans="2:15" x14ac:dyDescent="0.2">
      <c r="B74" s="4" cm="1">
        <f t="array" ref="B74">_xlfn.IFS('ProductSprint Backlog'!$F74="", "", AND('ProductSprint Backlog'!$J74&gt;B$2,'ProductSprint Backlog'!$I74&lt;=B$2), 'ProductSprint Backlog'!$F74 / MAX(1, 'ProductSprint Backlog'!$J74-'ProductSprint Backlog'!$I74), AND('ProductSprint Backlog'!$J74=B$2,'ProductSprint Backlog'!$I74=B$2), 'ProductSprint Backlog'!$F74, TRUE, 0)</f>
        <v>0</v>
      </c>
      <c r="C74" s="4" cm="1">
        <f t="array" ref="C74">_xlfn.IFS('ProductSprint Backlog'!$F74="", "", AND('ProductSprint Backlog'!$J74&gt;C$2,'ProductSprint Backlog'!$I74&lt;=C$2), 'ProductSprint Backlog'!$F74 / MAX(1, 'ProductSprint Backlog'!$J74-'ProductSprint Backlog'!$I74), AND('ProductSprint Backlog'!$J74=C$2,'ProductSprint Backlog'!$I74=C$2), 'ProductSprint Backlog'!$F74, TRUE, 0)</f>
        <v>0</v>
      </c>
      <c r="D74" s="4" cm="1">
        <f t="array" ref="D74">_xlfn.IFS('ProductSprint Backlog'!$F74="", "", AND('ProductSprint Backlog'!$J74&gt;D$2,'ProductSprint Backlog'!$I74&lt;=D$2), 'ProductSprint Backlog'!$F74 / MAX(1, 'ProductSprint Backlog'!$J74-'ProductSprint Backlog'!$I74), AND('ProductSprint Backlog'!$J74=D$2,'ProductSprint Backlog'!$I74=D$2), 'ProductSprint Backlog'!$F74, TRUE, 0)</f>
        <v>0</v>
      </c>
      <c r="E74" s="4" cm="1">
        <f t="array" ref="E74">_xlfn.IFS('ProductSprint Backlog'!$F74="", "", AND('ProductSprint Backlog'!$J74&gt;E$2,'ProductSprint Backlog'!$I74&lt;=E$2), 'ProductSprint Backlog'!$F74 / MAX(1, 'ProductSprint Backlog'!$J74-'ProductSprint Backlog'!$I74), AND('ProductSprint Backlog'!$J74=E$2,'ProductSprint Backlog'!$I74=E$2), 'ProductSprint Backlog'!$F74, TRUE, 0)</f>
        <v>0</v>
      </c>
      <c r="F74" s="4" cm="1">
        <f t="array" ref="F74">_xlfn.IFS('ProductSprint Backlog'!$F74="", "", AND('ProductSprint Backlog'!$J74&gt;F$2,'ProductSprint Backlog'!$I74&lt;=F$2), 'ProductSprint Backlog'!$F74 / MAX(1, 'ProductSprint Backlog'!$J74-'ProductSprint Backlog'!$I74), AND('ProductSprint Backlog'!$J74=F$2,'ProductSprint Backlog'!$I74=F$2), 'ProductSprint Backlog'!$F74, TRUE, 0)</f>
        <v>0</v>
      </c>
      <c r="G74" s="4" cm="1">
        <f t="array" ref="G74">_xlfn.IFS('ProductSprint Backlog'!$F74="", "", AND('ProductSprint Backlog'!$J74&gt;G$2,'ProductSprint Backlog'!$I74&lt;=G$2), 'ProductSprint Backlog'!$F74 / MAX(1, 'ProductSprint Backlog'!$J74-'ProductSprint Backlog'!$I74), AND('ProductSprint Backlog'!$J74=G$2,'ProductSprint Backlog'!$I74=G$2), 'ProductSprint Backlog'!$F74, TRUE, 0)</f>
        <v>0</v>
      </c>
      <c r="H74" s="4" cm="1">
        <f t="array" ref="H74">_xlfn.IFS('ProductSprint Backlog'!$F74="", "", AND('ProductSprint Backlog'!$J74&gt;H$2,'ProductSprint Backlog'!$I74&lt;=H$2), 'ProductSprint Backlog'!$F74 / MAX(1, 'ProductSprint Backlog'!$J74-'ProductSprint Backlog'!$I74), AND('ProductSprint Backlog'!$J74=H$2,'ProductSprint Backlog'!$I74=H$2), 'ProductSprint Backlog'!$F74, TRUE, 0)</f>
        <v>0</v>
      </c>
      <c r="I74" s="4" cm="1">
        <f t="array" ref="I74">_xlfn.IFS('ProductSprint Backlog'!$F74="", "", AND('ProductSprint Backlog'!$J74&gt;I$2,'ProductSprint Backlog'!$I74&lt;=I$2), 'ProductSprint Backlog'!$F74 / MAX(1, 'ProductSprint Backlog'!$J74-'ProductSprint Backlog'!$I74), AND('ProductSprint Backlog'!$J74=I$2,'ProductSprint Backlog'!$I74=I$2), 'ProductSprint Backlog'!$F74, TRUE, 0)</f>
        <v>1</v>
      </c>
      <c r="J74" s="4" cm="1">
        <f t="array" ref="J74">_xlfn.IFS('ProductSprint Backlog'!$F74="", "", AND('ProductSprint Backlog'!$J74&gt;J$2,'ProductSprint Backlog'!$I74&lt;=J$2), 'ProductSprint Backlog'!$F74 / MAX(1, 'ProductSprint Backlog'!$J74-'ProductSprint Backlog'!$I74), AND('ProductSprint Backlog'!$J74=J$2,'ProductSprint Backlog'!$I74=J$2), 'ProductSprint Backlog'!$F74, TRUE, 0)</f>
        <v>0</v>
      </c>
      <c r="K74" s="4" cm="1">
        <f t="array" ref="K74">_xlfn.IFS('ProductSprint Backlog'!$F74="", "", AND('ProductSprint Backlog'!$J74&gt;K$2,'ProductSprint Backlog'!$I74&lt;=K$2), 'ProductSprint Backlog'!$F74 / MAX(1, 'ProductSprint Backlog'!$J74-'ProductSprint Backlog'!$I74), AND('ProductSprint Backlog'!$J74=K$2,'ProductSprint Backlog'!$I74=K$2), 'ProductSprint Backlog'!$F74, TRUE, 0)</f>
        <v>0</v>
      </c>
      <c r="L74" s="4" cm="1">
        <f t="array" ref="L74">_xlfn.IFS('ProductSprint Backlog'!$F74="", "", AND('ProductSprint Backlog'!$J74&gt;L$2,'ProductSprint Backlog'!$I74&lt;=L$2), 'ProductSprint Backlog'!$F74 / MAX(1, 'ProductSprint Backlog'!$J74-'ProductSprint Backlog'!$I74), AND('ProductSprint Backlog'!$J74=L$2,'ProductSprint Backlog'!$I74=L$2), 'ProductSprint Backlog'!$F74, TRUE, 0)</f>
        <v>0</v>
      </c>
      <c r="M74" s="4" cm="1">
        <f t="array" ref="M74">_xlfn.IFS('ProductSprint Backlog'!$F74="", "", AND('ProductSprint Backlog'!$J74&gt;M$2,'ProductSprint Backlog'!$I74&lt;=M$2), 'ProductSprint Backlog'!$F74 / MAX(1, 'ProductSprint Backlog'!$J74-'ProductSprint Backlog'!$I74), AND('ProductSprint Backlog'!$J74=M$2,'ProductSprint Backlog'!$I74=M$2), 'ProductSprint Backlog'!$F74, TRUE, 0)</f>
        <v>0</v>
      </c>
      <c r="N74" s="4" cm="1">
        <f t="array" ref="N74">_xlfn.IFS('ProductSprint Backlog'!$F74="", "", AND('ProductSprint Backlog'!$J74&gt;N$2,'ProductSprint Backlog'!$I74&lt;=N$2), 'ProductSprint Backlog'!$F74 / MAX(1, 'ProductSprint Backlog'!$J74-'ProductSprint Backlog'!$I74), AND('ProductSprint Backlog'!$J74=N$2,'ProductSprint Backlog'!$I74=N$2), 'ProductSprint Backlog'!$F74, TRUE, 0)</f>
        <v>0</v>
      </c>
      <c r="O74" s="4" cm="1">
        <f t="array" ref="O74">_xlfn.IFS('ProductSprint Backlog'!$F74="", "", AND('ProductSprint Backlog'!$J74&gt;O$2,'ProductSprint Backlog'!$I74&lt;=O$2), 'ProductSprint Backlog'!$F74 / MAX(1, 'ProductSprint Backlog'!$J74-'ProductSprint Backlog'!$I74), AND('ProductSprint Backlog'!$J74=O$2,'ProductSprint Backlog'!$I74=O$2), 'ProductSprint Backlog'!$F74, TRUE, 0)</f>
        <v>0</v>
      </c>
    </row>
    <row r="75" spans="2:15" x14ac:dyDescent="0.2">
      <c r="B75" s="4" cm="1">
        <f t="array" ref="B75">_xlfn.IFS('ProductSprint Backlog'!$F75="", "", AND('ProductSprint Backlog'!$J75&gt;B$2,'ProductSprint Backlog'!$I75&lt;=B$2), 'ProductSprint Backlog'!$F75 / MAX(1, 'ProductSprint Backlog'!$J75-'ProductSprint Backlog'!$I75), AND('ProductSprint Backlog'!$J75=B$2,'ProductSprint Backlog'!$I75=B$2), 'ProductSprint Backlog'!$F75, TRUE, 0)</f>
        <v>0</v>
      </c>
      <c r="C75" s="4" cm="1">
        <f t="array" ref="C75">_xlfn.IFS('ProductSprint Backlog'!$F75="", "", AND('ProductSprint Backlog'!$J75&gt;C$2,'ProductSprint Backlog'!$I75&lt;=C$2), 'ProductSprint Backlog'!$F75 / MAX(1, 'ProductSprint Backlog'!$J75-'ProductSprint Backlog'!$I75), AND('ProductSprint Backlog'!$J75=C$2,'ProductSprint Backlog'!$I75=C$2), 'ProductSprint Backlog'!$F75, TRUE, 0)</f>
        <v>0</v>
      </c>
      <c r="D75" s="4" cm="1">
        <f t="array" ref="D75">_xlfn.IFS('ProductSprint Backlog'!$F75="", "", AND('ProductSprint Backlog'!$J75&gt;D$2,'ProductSprint Backlog'!$I75&lt;=D$2), 'ProductSprint Backlog'!$F75 / MAX(1, 'ProductSprint Backlog'!$J75-'ProductSprint Backlog'!$I75), AND('ProductSprint Backlog'!$J75=D$2,'ProductSprint Backlog'!$I75=D$2), 'ProductSprint Backlog'!$F75, TRUE, 0)</f>
        <v>0</v>
      </c>
      <c r="E75" s="4" cm="1">
        <f t="array" ref="E75">_xlfn.IFS('ProductSprint Backlog'!$F75="", "", AND('ProductSprint Backlog'!$J75&gt;E$2,'ProductSprint Backlog'!$I75&lt;=E$2), 'ProductSprint Backlog'!$F75 / MAX(1, 'ProductSprint Backlog'!$J75-'ProductSprint Backlog'!$I75), AND('ProductSprint Backlog'!$J75=E$2,'ProductSprint Backlog'!$I75=E$2), 'ProductSprint Backlog'!$F75, TRUE, 0)</f>
        <v>0</v>
      </c>
      <c r="F75" s="4" cm="1">
        <f t="array" ref="F75">_xlfn.IFS('ProductSprint Backlog'!$F75="", "", AND('ProductSprint Backlog'!$J75&gt;F$2,'ProductSprint Backlog'!$I75&lt;=F$2), 'ProductSprint Backlog'!$F75 / MAX(1, 'ProductSprint Backlog'!$J75-'ProductSprint Backlog'!$I75), AND('ProductSprint Backlog'!$J75=F$2,'ProductSprint Backlog'!$I75=F$2), 'ProductSprint Backlog'!$F75, TRUE, 0)</f>
        <v>0</v>
      </c>
      <c r="G75" s="4" cm="1">
        <f t="array" ref="G75">_xlfn.IFS('ProductSprint Backlog'!$F75="", "", AND('ProductSprint Backlog'!$J75&gt;G$2,'ProductSprint Backlog'!$I75&lt;=G$2), 'ProductSprint Backlog'!$F75 / MAX(1, 'ProductSprint Backlog'!$J75-'ProductSprint Backlog'!$I75), AND('ProductSprint Backlog'!$J75=G$2,'ProductSprint Backlog'!$I75=G$2), 'ProductSprint Backlog'!$F75, TRUE, 0)</f>
        <v>0</v>
      </c>
      <c r="H75" s="4" cm="1">
        <f t="array" ref="H75">_xlfn.IFS('ProductSprint Backlog'!$F75="", "", AND('ProductSprint Backlog'!$J75&gt;H$2,'ProductSprint Backlog'!$I75&lt;=H$2), 'ProductSprint Backlog'!$F75 / MAX(1, 'ProductSprint Backlog'!$J75-'ProductSprint Backlog'!$I75), AND('ProductSprint Backlog'!$J75=H$2,'ProductSprint Backlog'!$I75=H$2), 'ProductSprint Backlog'!$F75, TRUE, 0)</f>
        <v>0</v>
      </c>
      <c r="I75" s="4" cm="1">
        <f t="array" ref="I75">_xlfn.IFS('ProductSprint Backlog'!$F75="", "", AND('ProductSprint Backlog'!$J75&gt;I$2,'ProductSprint Backlog'!$I75&lt;=I$2), 'ProductSprint Backlog'!$F75 / MAX(1, 'ProductSprint Backlog'!$J75-'ProductSprint Backlog'!$I75), AND('ProductSprint Backlog'!$J75=I$2,'ProductSprint Backlog'!$I75=I$2), 'ProductSprint Backlog'!$F75, TRUE, 0)</f>
        <v>2</v>
      </c>
      <c r="J75" s="4" cm="1">
        <f t="array" ref="J75">_xlfn.IFS('ProductSprint Backlog'!$F75="", "", AND('ProductSprint Backlog'!$J75&gt;J$2,'ProductSprint Backlog'!$I75&lt;=J$2), 'ProductSprint Backlog'!$F75 / MAX(1, 'ProductSprint Backlog'!$J75-'ProductSprint Backlog'!$I75), AND('ProductSprint Backlog'!$J75=J$2,'ProductSprint Backlog'!$I75=J$2), 'ProductSprint Backlog'!$F75, TRUE, 0)</f>
        <v>0</v>
      </c>
      <c r="K75" s="4" cm="1">
        <f t="array" ref="K75">_xlfn.IFS('ProductSprint Backlog'!$F75="", "", AND('ProductSprint Backlog'!$J75&gt;K$2,'ProductSprint Backlog'!$I75&lt;=K$2), 'ProductSprint Backlog'!$F75 / MAX(1, 'ProductSprint Backlog'!$J75-'ProductSprint Backlog'!$I75), AND('ProductSprint Backlog'!$J75=K$2,'ProductSprint Backlog'!$I75=K$2), 'ProductSprint Backlog'!$F75, TRUE, 0)</f>
        <v>0</v>
      </c>
      <c r="L75" s="4" cm="1">
        <f t="array" ref="L75">_xlfn.IFS('ProductSprint Backlog'!$F75="", "", AND('ProductSprint Backlog'!$J75&gt;L$2,'ProductSprint Backlog'!$I75&lt;=L$2), 'ProductSprint Backlog'!$F75 / MAX(1, 'ProductSprint Backlog'!$J75-'ProductSprint Backlog'!$I75), AND('ProductSprint Backlog'!$J75=L$2,'ProductSprint Backlog'!$I75=L$2), 'ProductSprint Backlog'!$F75, TRUE, 0)</f>
        <v>0</v>
      </c>
      <c r="M75" s="4" cm="1">
        <f t="array" ref="M75">_xlfn.IFS('ProductSprint Backlog'!$F75="", "", AND('ProductSprint Backlog'!$J75&gt;M$2,'ProductSprint Backlog'!$I75&lt;=M$2), 'ProductSprint Backlog'!$F75 / MAX(1, 'ProductSprint Backlog'!$J75-'ProductSprint Backlog'!$I75), AND('ProductSprint Backlog'!$J75=M$2,'ProductSprint Backlog'!$I75=M$2), 'ProductSprint Backlog'!$F75, TRUE, 0)</f>
        <v>0</v>
      </c>
      <c r="N75" s="4" cm="1">
        <f t="array" ref="N75">_xlfn.IFS('ProductSprint Backlog'!$F75="", "", AND('ProductSprint Backlog'!$J75&gt;N$2,'ProductSprint Backlog'!$I75&lt;=N$2), 'ProductSprint Backlog'!$F75 / MAX(1, 'ProductSprint Backlog'!$J75-'ProductSprint Backlog'!$I75), AND('ProductSprint Backlog'!$J75=N$2,'ProductSprint Backlog'!$I75=N$2), 'ProductSprint Backlog'!$F75, TRUE, 0)</f>
        <v>0</v>
      </c>
      <c r="O75" s="4" cm="1">
        <f t="array" ref="O75">_xlfn.IFS('ProductSprint Backlog'!$F75="", "", AND('ProductSprint Backlog'!$J75&gt;O$2,'ProductSprint Backlog'!$I75&lt;=O$2), 'ProductSprint Backlog'!$F75 / MAX(1, 'ProductSprint Backlog'!$J75-'ProductSprint Backlog'!$I75), AND('ProductSprint Backlog'!$J75=O$2,'ProductSprint Backlog'!$I75=O$2), 'ProductSprint Backlog'!$F75, TRUE, 0)</f>
        <v>0</v>
      </c>
    </row>
    <row r="76" spans="2:15" x14ac:dyDescent="0.2">
      <c r="B76" s="4" cm="1">
        <f t="array" ref="B76">_xlfn.IFS('ProductSprint Backlog'!$F76="", "", AND('ProductSprint Backlog'!$J76&gt;B$2,'ProductSprint Backlog'!$I76&lt;=B$2), 'ProductSprint Backlog'!$F76 / MAX(1, 'ProductSprint Backlog'!$J76-'ProductSprint Backlog'!$I76), AND('ProductSprint Backlog'!$J76=B$2,'ProductSprint Backlog'!$I76=B$2), 'ProductSprint Backlog'!$F76, TRUE, 0)</f>
        <v>0</v>
      </c>
      <c r="C76" s="4" cm="1">
        <f t="array" ref="C76">_xlfn.IFS('ProductSprint Backlog'!$F76="", "", AND('ProductSprint Backlog'!$J76&gt;C$2,'ProductSprint Backlog'!$I76&lt;=C$2), 'ProductSprint Backlog'!$F76 / MAX(1, 'ProductSprint Backlog'!$J76-'ProductSprint Backlog'!$I76), AND('ProductSprint Backlog'!$J76=C$2,'ProductSprint Backlog'!$I76=C$2), 'ProductSprint Backlog'!$F76, TRUE, 0)</f>
        <v>0</v>
      </c>
      <c r="D76" s="4" cm="1">
        <f t="array" ref="D76">_xlfn.IFS('ProductSprint Backlog'!$F76="", "", AND('ProductSprint Backlog'!$J76&gt;D$2,'ProductSprint Backlog'!$I76&lt;=D$2), 'ProductSprint Backlog'!$F76 / MAX(1, 'ProductSprint Backlog'!$J76-'ProductSprint Backlog'!$I76), AND('ProductSprint Backlog'!$J76=D$2,'ProductSprint Backlog'!$I76=D$2), 'ProductSprint Backlog'!$F76, TRUE, 0)</f>
        <v>0</v>
      </c>
      <c r="E76" s="4" cm="1">
        <f t="array" ref="E76">_xlfn.IFS('ProductSprint Backlog'!$F76="", "", AND('ProductSprint Backlog'!$J76&gt;E$2,'ProductSprint Backlog'!$I76&lt;=E$2), 'ProductSprint Backlog'!$F76 / MAX(1, 'ProductSprint Backlog'!$J76-'ProductSprint Backlog'!$I76), AND('ProductSprint Backlog'!$J76=E$2,'ProductSprint Backlog'!$I76=E$2), 'ProductSprint Backlog'!$F76, TRUE, 0)</f>
        <v>0</v>
      </c>
      <c r="F76" s="4" cm="1">
        <f t="array" ref="F76">_xlfn.IFS('ProductSprint Backlog'!$F76="", "", AND('ProductSprint Backlog'!$J76&gt;F$2,'ProductSprint Backlog'!$I76&lt;=F$2), 'ProductSprint Backlog'!$F76 / MAX(1, 'ProductSprint Backlog'!$J76-'ProductSprint Backlog'!$I76), AND('ProductSprint Backlog'!$J76=F$2,'ProductSprint Backlog'!$I76=F$2), 'ProductSprint Backlog'!$F76, TRUE, 0)</f>
        <v>0</v>
      </c>
      <c r="G76" s="4" cm="1">
        <f t="array" ref="G76">_xlfn.IFS('ProductSprint Backlog'!$F76="", "", AND('ProductSprint Backlog'!$J76&gt;G$2,'ProductSprint Backlog'!$I76&lt;=G$2), 'ProductSprint Backlog'!$F76 / MAX(1, 'ProductSprint Backlog'!$J76-'ProductSprint Backlog'!$I76), AND('ProductSprint Backlog'!$J76=G$2,'ProductSprint Backlog'!$I76=G$2), 'ProductSprint Backlog'!$F76, TRUE, 0)</f>
        <v>0</v>
      </c>
      <c r="H76" s="4" cm="1">
        <f t="array" ref="H76">_xlfn.IFS('ProductSprint Backlog'!$F76="", "", AND('ProductSprint Backlog'!$J76&gt;H$2,'ProductSprint Backlog'!$I76&lt;=H$2), 'ProductSprint Backlog'!$F76 / MAX(1, 'ProductSprint Backlog'!$J76-'ProductSprint Backlog'!$I76), AND('ProductSprint Backlog'!$J76=H$2,'ProductSprint Backlog'!$I76=H$2), 'ProductSprint Backlog'!$F76, TRUE, 0)</f>
        <v>0</v>
      </c>
      <c r="I76" s="4" cm="1">
        <f t="array" ref="I76">_xlfn.IFS('ProductSprint Backlog'!$F76="", "", AND('ProductSprint Backlog'!$J76&gt;I$2,'ProductSprint Backlog'!$I76&lt;=I$2), 'ProductSprint Backlog'!$F76 / MAX(1, 'ProductSprint Backlog'!$J76-'ProductSprint Backlog'!$I76), AND('ProductSprint Backlog'!$J76=I$2,'ProductSprint Backlog'!$I76=I$2), 'ProductSprint Backlog'!$F76, TRUE, 0)</f>
        <v>0</v>
      </c>
      <c r="J76" s="4" cm="1">
        <f t="array" ref="J76">_xlfn.IFS('ProductSprint Backlog'!$F76="", "", AND('ProductSprint Backlog'!$J76&gt;J$2,'ProductSprint Backlog'!$I76&lt;=J$2), 'ProductSprint Backlog'!$F76 / MAX(1, 'ProductSprint Backlog'!$J76-'ProductSprint Backlog'!$I76), AND('ProductSprint Backlog'!$J76=J$2,'ProductSprint Backlog'!$I76=J$2), 'ProductSprint Backlog'!$F76, TRUE, 0)</f>
        <v>0.5</v>
      </c>
      <c r="K76" s="4" cm="1">
        <f t="array" ref="K76">_xlfn.IFS('ProductSprint Backlog'!$F76="", "", AND('ProductSprint Backlog'!$J76&gt;K$2,'ProductSprint Backlog'!$I76&lt;=K$2), 'ProductSprint Backlog'!$F76 / MAX(1, 'ProductSprint Backlog'!$J76-'ProductSprint Backlog'!$I76), AND('ProductSprint Backlog'!$J76=K$2,'ProductSprint Backlog'!$I76=K$2), 'ProductSprint Backlog'!$F76, TRUE, 0)</f>
        <v>0.5</v>
      </c>
      <c r="L76" s="4" cm="1">
        <f t="array" ref="L76">_xlfn.IFS('ProductSprint Backlog'!$F76="", "", AND('ProductSprint Backlog'!$J76&gt;L$2,'ProductSprint Backlog'!$I76&lt;=L$2), 'ProductSprint Backlog'!$F76 / MAX(1, 'ProductSprint Backlog'!$J76-'ProductSprint Backlog'!$I76), AND('ProductSprint Backlog'!$J76=L$2,'ProductSprint Backlog'!$I76=L$2), 'ProductSprint Backlog'!$F76, TRUE, 0)</f>
        <v>0</v>
      </c>
      <c r="M76" s="4" cm="1">
        <f t="array" ref="M76">_xlfn.IFS('ProductSprint Backlog'!$F76="", "", AND('ProductSprint Backlog'!$J76&gt;M$2,'ProductSprint Backlog'!$I76&lt;=M$2), 'ProductSprint Backlog'!$F76 / MAX(1, 'ProductSprint Backlog'!$J76-'ProductSprint Backlog'!$I76), AND('ProductSprint Backlog'!$J76=M$2,'ProductSprint Backlog'!$I76=M$2), 'ProductSprint Backlog'!$F76, TRUE, 0)</f>
        <v>0</v>
      </c>
      <c r="N76" s="4" cm="1">
        <f t="array" ref="N76">_xlfn.IFS('ProductSprint Backlog'!$F76="", "", AND('ProductSprint Backlog'!$J76&gt;N$2,'ProductSprint Backlog'!$I76&lt;=N$2), 'ProductSprint Backlog'!$F76 / MAX(1, 'ProductSprint Backlog'!$J76-'ProductSprint Backlog'!$I76), AND('ProductSprint Backlog'!$J76=N$2,'ProductSprint Backlog'!$I76=N$2), 'ProductSprint Backlog'!$F76, TRUE, 0)</f>
        <v>0</v>
      </c>
      <c r="O76" s="4" cm="1">
        <f t="array" ref="O76">_xlfn.IFS('ProductSprint Backlog'!$F76="", "", AND('ProductSprint Backlog'!$J76&gt;O$2,'ProductSprint Backlog'!$I76&lt;=O$2), 'ProductSprint Backlog'!$F76 / MAX(1, 'ProductSprint Backlog'!$J76-'ProductSprint Backlog'!$I76), AND('ProductSprint Backlog'!$J76=O$2,'ProductSprint Backlog'!$I76=O$2), 'ProductSprint Backlog'!$F76, TRUE, 0)</f>
        <v>0</v>
      </c>
    </row>
    <row r="77" spans="2:15" x14ac:dyDescent="0.2">
      <c r="B77" s="4" cm="1">
        <f t="array" ref="B77">_xlfn.IFS('ProductSprint Backlog'!$F77="", "", AND('ProductSprint Backlog'!$J77&gt;B$2,'ProductSprint Backlog'!$I77&lt;=B$2), 'ProductSprint Backlog'!$F77 / MAX(1, 'ProductSprint Backlog'!$J77-'ProductSprint Backlog'!$I77), AND('ProductSprint Backlog'!$J77=B$2,'ProductSprint Backlog'!$I77=B$2), 'ProductSprint Backlog'!$F77, TRUE, 0)</f>
        <v>0</v>
      </c>
      <c r="C77" s="4" cm="1">
        <f t="array" ref="C77">_xlfn.IFS('ProductSprint Backlog'!$F77="", "", AND('ProductSprint Backlog'!$J77&gt;C$2,'ProductSprint Backlog'!$I77&lt;=C$2), 'ProductSprint Backlog'!$F77 / MAX(1, 'ProductSprint Backlog'!$J77-'ProductSprint Backlog'!$I77), AND('ProductSprint Backlog'!$J77=C$2,'ProductSprint Backlog'!$I77=C$2), 'ProductSprint Backlog'!$F77, TRUE, 0)</f>
        <v>0</v>
      </c>
      <c r="D77" s="4" cm="1">
        <f t="array" ref="D77">_xlfn.IFS('ProductSprint Backlog'!$F77="", "", AND('ProductSprint Backlog'!$J77&gt;D$2,'ProductSprint Backlog'!$I77&lt;=D$2), 'ProductSprint Backlog'!$F77 / MAX(1, 'ProductSprint Backlog'!$J77-'ProductSprint Backlog'!$I77), AND('ProductSprint Backlog'!$J77=D$2,'ProductSprint Backlog'!$I77=D$2), 'ProductSprint Backlog'!$F77, TRUE, 0)</f>
        <v>0</v>
      </c>
      <c r="E77" s="4" cm="1">
        <f t="array" ref="E77">_xlfn.IFS('ProductSprint Backlog'!$F77="", "", AND('ProductSprint Backlog'!$J77&gt;E$2,'ProductSprint Backlog'!$I77&lt;=E$2), 'ProductSprint Backlog'!$F77 / MAX(1, 'ProductSprint Backlog'!$J77-'ProductSprint Backlog'!$I77), AND('ProductSprint Backlog'!$J77=E$2,'ProductSprint Backlog'!$I77=E$2), 'ProductSprint Backlog'!$F77, TRUE, 0)</f>
        <v>0</v>
      </c>
      <c r="F77" s="4" cm="1">
        <f t="array" ref="F77">_xlfn.IFS('ProductSprint Backlog'!$F77="", "", AND('ProductSprint Backlog'!$J77&gt;F$2,'ProductSprint Backlog'!$I77&lt;=F$2), 'ProductSprint Backlog'!$F77 / MAX(1, 'ProductSprint Backlog'!$J77-'ProductSprint Backlog'!$I77), AND('ProductSprint Backlog'!$J77=F$2,'ProductSprint Backlog'!$I77=F$2), 'ProductSprint Backlog'!$F77, TRUE, 0)</f>
        <v>0</v>
      </c>
      <c r="G77" s="4" cm="1">
        <f t="array" ref="G77">_xlfn.IFS('ProductSprint Backlog'!$F77="", "", AND('ProductSprint Backlog'!$J77&gt;G$2,'ProductSprint Backlog'!$I77&lt;=G$2), 'ProductSprint Backlog'!$F77 / MAX(1, 'ProductSprint Backlog'!$J77-'ProductSprint Backlog'!$I77), AND('ProductSprint Backlog'!$J77=G$2,'ProductSprint Backlog'!$I77=G$2), 'ProductSprint Backlog'!$F77, TRUE, 0)</f>
        <v>0</v>
      </c>
      <c r="H77" s="4" cm="1">
        <f t="array" ref="H77">_xlfn.IFS('ProductSprint Backlog'!$F77="", "", AND('ProductSprint Backlog'!$J77&gt;H$2,'ProductSprint Backlog'!$I77&lt;=H$2), 'ProductSprint Backlog'!$F77 / MAX(1, 'ProductSprint Backlog'!$J77-'ProductSprint Backlog'!$I77), AND('ProductSprint Backlog'!$J77=H$2,'ProductSprint Backlog'!$I77=H$2), 'ProductSprint Backlog'!$F77, TRUE, 0)</f>
        <v>0</v>
      </c>
      <c r="I77" s="4" cm="1">
        <f t="array" ref="I77">_xlfn.IFS('ProductSprint Backlog'!$F77="", "", AND('ProductSprint Backlog'!$J77&gt;I$2,'ProductSprint Backlog'!$I77&lt;=I$2), 'ProductSprint Backlog'!$F77 / MAX(1, 'ProductSprint Backlog'!$J77-'ProductSprint Backlog'!$I77), AND('ProductSprint Backlog'!$J77=I$2,'ProductSprint Backlog'!$I77=I$2), 'ProductSprint Backlog'!$F77, TRUE, 0)</f>
        <v>0</v>
      </c>
      <c r="J77" s="4" cm="1">
        <f t="array" ref="J77">_xlfn.IFS('ProductSprint Backlog'!$F77="", "", AND('ProductSprint Backlog'!$J77&gt;J$2,'ProductSprint Backlog'!$I77&lt;=J$2), 'ProductSprint Backlog'!$F77 / MAX(1, 'ProductSprint Backlog'!$J77-'ProductSprint Backlog'!$I77), AND('ProductSprint Backlog'!$J77=J$2,'ProductSprint Backlog'!$I77=J$2), 'ProductSprint Backlog'!$F77, TRUE, 0)</f>
        <v>2</v>
      </c>
      <c r="K77" s="4" cm="1">
        <f t="array" ref="K77">_xlfn.IFS('ProductSprint Backlog'!$F77="", "", AND('ProductSprint Backlog'!$J77&gt;K$2,'ProductSprint Backlog'!$I77&lt;=K$2), 'ProductSprint Backlog'!$F77 / MAX(1, 'ProductSprint Backlog'!$J77-'ProductSprint Backlog'!$I77), AND('ProductSprint Backlog'!$J77=K$2,'ProductSprint Backlog'!$I77=K$2), 'ProductSprint Backlog'!$F77, TRUE, 0)</f>
        <v>0</v>
      </c>
      <c r="L77" s="4" cm="1">
        <f t="array" ref="L77">_xlfn.IFS('ProductSprint Backlog'!$F77="", "", AND('ProductSprint Backlog'!$J77&gt;L$2,'ProductSprint Backlog'!$I77&lt;=L$2), 'ProductSprint Backlog'!$F77 / MAX(1, 'ProductSprint Backlog'!$J77-'ProductSprint Backlog'!$I77), AND('ProductSprint Backlog'!$J77=L$2,'ProductSprint Backlog'!$I77=L$2), 'ProductSprint Backlog'!$F77, TRUE, 0)</f>
        <v>0</v>
      </c>
      <c r="M77" s="4" cm="1">
        <f t="array" ref="M77">_xlfn.IFS('ProductSprint Backlog'!$F77="", "", AND('ProductSprint Backlog'!$J77&gt;M$2,'ProductSprint Backlog'!$I77&lt;=M$2), 'ProductSprint Backlog'!$F77 / MAX(1, 'ProductSprint Backlog'!$J77-'ProductSprint Backlog'!$I77), AND('ProductSprint Backlog'!$J77=M$2,'ProductSprint Backlog'!$I77=M$2), 'ProductSprint Backlog'!$F77, TRUE, 0)</f>
        <v>0</v>
      </c>
      <c r="N77" s="4" cm="1">
        <f t="array" ref="N77">_xlfn.IFS('ProductSprint Backlog'!$F77="", "", AND('ProductSprint Backlog'!$J77&gt;N$2,'ProductSprint Backlog'!$I77&lt;=N$2), 'ProductSprint Backlog'!$F77 / MAX(1, 'ProductSprint Backlog'!$J77-'ProductSprint Backlog'!$I77), AND('ProductSprint Backlog'!$J77=N$2,'ProductSprint Backlog'!$I77=N$2), 'ProductSprint Backlog'!$F77, TRUE, 0)</f>
        <v>0</v>
      </c>
      <c r="O77" s="4" cm="1">
        <f t="array" ref="O77">_xlfn.IFS('ProductSprint Backlog'!$F77="", "", AND('ProductSprint Backlog'!$J77&gt;O$2,'ProductSprint Backlog'!$I77&lt;=O$2), 'ProductSprint Backlog'!$F77 / MAX(1, 'ProductSprint Backlog'!$J77-'ProductSprint Backlog'!$I77), AND('ProductSprint Backlog'!$J77=O$2,'ProductSprint Backlog'!$I77=O$2), 'ProductSprint Backlog'!$F77, TRUE, 0)</f>
        <v>0</v>
      </c>
    </row>
    <row r="78" spans="2:15" x14ac:dyDescent="0.2">
      <c r="B78" s="4" cm="1">
        <f t="array" ref="B78">_xlfn.IFS('ProductSprint Backlog'!$F78="", "", AND('ProductSprint Backlog'!$J78&gt;B$2,'ProductSprint Backlog'!$I78&lt;=B$2), 'ProductSprint Backlog'!$F78 / MAX(1, 'ProductSprint Backlog'!$J78-'ProductSprint Backlog'!$I78), AND('ProductSprint Backlog'!$J78=B$2,'ProductSprint Backlog'!$I78=B$2), 'ProductSprint Backlog'!$F78, TRUE, 0)</f>
        <v>0</v>
      </c>
      <c r="C78" s="4" cm="1">
        <f t="array" ref="C78">_xlfn.IFS('ProductSprint Backlog'!$F78="", "", AND('ProductSprint Backlog'!$J78&gt;C$2,'ProductSprint Backlog'!$I78&lt;=C$2), 'ProductSprint Backlog'!$F78 / MAX(1, 'ProductSprint Backlog'!$J78-'ProductSprint Backlog'!$I78), AND('ProductSprint Backlog'!$J78=C$2,'ProductSprint Backlog'!$I78=C$2), 'ProductSprint Backlog'!$F78, TRUE, 0)</f>
        <v>0</v>
      </c>
      <c r="D78" s="4" cm="1">
        <f t="array" ref="D78">_xlfn.IFS('ProductSprint Backlog'!$F78="", "", AND('ProductSprint Backlog'!$J78&gt;D$2,'ProductSprint Backlog'!$I78&lt;=D$2), 'ProductSprint Backlog'!$F78 / MAX(1, 'ProductSprint Backlog'!$J78-'ProductSprint Backlog'!$I78), AND('ProductSprint Backlog'!$J78=D$2,'ProductSprint Backlog'!$I78=D$2), 'ProductSprint Backlog'!$F78, TRUE, 0)</f>
        <v>0</v>
      </c>
      <c r="E78" s="4" cm="1">
        <f t="array" ref="E78">_xlfn.IFS('ProductSprint Backlog'!$F78="", "", AND('ProductSprint Backlog'!$J78&gt;E$2,'ProductSprint Backlog'!$I78&lt;=E$2), 'ProductSprint Backlog'!$F78 / MAX(1, 'ProductSprint Backlog'!$J78-'ProductSprint Backlog'!$I78), AND('ProductSprint Backlog'!$J78=E$2,'ProductSprint Backlog'!$I78=E$2), 'ProductSprint Backlog'!$F78, TRUE, 0)</f>
        <v>0</v>
      </c>
      <c r="F78" s="4" cm="1">
        <f t="array" ref="F78">_xlfn.IFS('ProductSprint Backlog'!$F78="", "", AND('ProductSprint Backlog'!$J78&gt;F$2,'ProductSprint Backlog'!$I78&lt;=F$2), 'ProductSprint Backlog'!$F78 / MAX(1, 'ProductSprint Backlog'!$J78-'ProductSprint Backlog'!$I78), AND('ProductSprint Backlog'!$J78=F$2,'ProductSprint Backlog'!$I78=F$2), 'ProductSprint Backlog'!$F78, TRUE, 0)</f>
        <v>0</v>
      </c>
      <c r="G78" s="4" cm="1">
        <f t="array" ref="G78">_xlfn.IFS('ProductSprint Backlog'!$F78="", "", AND('ProductSprint Backlog'!$J78&gt;G$2,'ProductSprint Backlog'!$I78&lt;=G$2), 'ProductSprint Backlog'!$F78 / MAX(1, 'ProductSprint Backlog'!$J78-'ProductSprint Backlog'!$I78), AND('ProductSprint Backlog'!$J78=G$2,'ProductSprint Backlog'!$I78=G$2), 'ProductSprint Backlog'!$F78, TRUE, 0)</f>
        <v>0</v>
      </c>
      <c r="H78" s="4" cm="1">
        <f t="array" ref="H78">_xlfn.IFS('ProductSprint Backlog'!$F78="", "", AND('ProductSprint Backlog'!$J78&gt;H$2,'ProductSprint Backlog'!$I78&lt;=H$2), 'ProductSprint Backlog'!$F78 / MAX(1, 'ProductSprint Backlog'!$J78-'ProductSprint Backlog'!$I78), AND('ProductSprint Backlog'!$J78=H$2,'ProductSprint Backlog'!$I78=H$2), 'ProductSprint Backlog'!$F78, TRUE, 0)</f>
        <v>0</v>
      </c>
      <c r="I78" s="4" cm="1">
        <f t="array" ref="I78">_xlfn.IFS('ProductSprint Backlog'!$F78="", "", AND('ProductSprint Backlog'!$J78&gt;I$2,'ProductSprint Backlog'!$I78&lt;=I$2), 'ProductSprint Backlog'!$F78 / MAX(1, 'ProductSprint Backlog'!$J78-'ProductSprint Backlog'!$I78), AND('ProductSprint Backlog'!$J78=I$2,'ProductSprint Backlog'!$I78=I$2), 'ProductSprint Backlog'!$F78, TRUE, 0)</f>
        <v>0</v>
      </c>
      <c r="J78" s="4" cm="1">
        <f t="array" ref="J78">_xlfn.IFS('ProductSprint Backlog'!$F78="", "", AND('ProductSprint Backlog'!$J78&gt;J$2,'ProductSprint Backlog'!$I78&lt;=J$2), 'ProductSprint Backlog'!$F78 / MAX(1, 'ProductSprint Backlog'!$J78-'ProductSprint Backlog'!$I78), AND('ProductSprint Backlog'!$J78=J$2,'ProductSprint Backlog'!$I78=J$2), 'ProductSprint Backlog'!$F78, TRUE, 0)</f>
        <v>0</v>
      </c>
      <c r="K78" s="4" cm="1">
        <f t="array" ref="K78">_xlfn.IFS('ProductSprint Backlog'!$F78="", "", AND('ProductSprint Backlog'!$J78&gt;K$2,'ProductSprint Backlog'!$I78&lt;=K$2), 'ProductSprint Backlog'!$F78 / MAX(1, 'ProductSprint Backlog'!$J78-'ProductSprint Backlog'!$I78), AND('ProductSprint Backlog'!$J78=K$2,'ProductSprint Backlog'!$I78=K$2), 'ProductSprint Backlog'!$F78, TRUE, 0)</f>
        <v>1</v>
      </c>
      <c r="L78" s="4" cm="1">
        <f t="array" ref="L78">_xlfn.IFS('ProductSprint Backlog'!$F78="", "", AND('ProductSprint Backlog'!$J78&gt;L$2,'ProductSprint Backlog'!$I78&lt;=L$2), 'ProductSprint Backlog'!$F78 / MAX(1, 'ProductSprint Backlog'!$J78-'ProductSprint Backlog'!$I78), AND('ProductSprint Backlog'!$J78=L$2,'ProductSprint Backlog'!$I78=L$2), 'ProductSprint Backlog'!$F78, TRUE, 0)</f>
        <v>0</v>
      </c>
      <c r="M78" s="4" cm="1">
        <f t="array" ref="M78">_xlfn.IFS('ProductSprint Backlog'!$F78="", "", AND('ProductSprint Backlog'!$J78&gt;M$2,'ProductSprint Backlog'!$I78&lt;=M$2), 'ProductSprint Backlog'!$F78 / MAX(1, 'ProductSprint Backlog'!$J78-'ProductSprint Backlog'!$I78), AND('ProductSprint Backlog'!$J78=M$2,'ProductSprint Backlog'!$I78=M$2), 'ProductSprint Backlog'!$F78, TRUE, 0)</f>
        <v>0</v>
      </c>
      <c r="N78" s="4" cm="1">
        <f t="array" ref="N78">_xlfn.IFS('ProductSprint Backlog'!$F78="", "", AND('ProductSprint Backlog'!$J78&gt;N$2,'ProductSprint Backlog'!$I78&lt;=N$2), 'ProductSprint Backlog'!$F78 / MAX(1, 'ProductSprint Backlog'!$J78-'ProductSprint Backlog'!$I78), AND('ProductSprint Backlog'!$J78=N$2,'ProductSprint Backlog'!$I78=N$2), 'ProductSprint Backlog'!$F78, TRUE, 0)</f>
        <v>0</v>
      </c>
      <c r="O78" s="4" cm="1">
        <f t="array" ref="O78">_xlfn.IFS('ProductSprint Backlog'!$F78="", "", AND('ProductSprint Backlog'!$J78&gt;O$2,'ProductSprint Backlog'!$I78&lt;=O$2), 'ProductSprint Backlog'!$F78 / MAX(1, 'ProductSprint Backlog'!$J78-'ProductSprint Backlog'!$I78), AND('ProductSprint Backlog'!$J78=O$2,'ProductSprint Backlog'!$I78=O$2), 'ProductSprint Backlog'!$F78, TRUE, 0)</f>
        <v>0</v>
      </c>
    </row>
    <row r="79" spans="2:15" x14ac:dyDescent="0.2">
      <c r="B79" s="4" t="str" cm="1">
        <f t="array" ref="B79">_xlfn.IFS('ProductSprint Backlog'!$F79="", "", AND('ProductSprint Backlog'!$J79&gt;B$2,'ProductSprint Backlog'!$I79&lt;=B$2), 'ProductSprint Backlog'!$F79 / MAX(1, 'ProductSprint Backlog'!$J79-'ProductSprint Backlog'!$I79), AND('ProductSprint Backlog'!$J79=B$2,'ProductSprint Backlog'!$I79=B$2), 'ProductSprint Backlog'!$F79, TRUE, 0)</f>
        <v/>
      </c>
      <c r="C79" s="4" t="str" cm="1">
        <f t="array" ref="C79">_xlfn.IFS('ProductSprint Backlog'!$F79="", "", AND('ProductSprint Backlog'!$J79&gt;C$2,'ProductSprint Backlog'!$I79&lt;=C$2), 'ProductSprint Backlog'!$F79 / MAX(1, 'ProductSprint Backlog'!$J79-'ProductSprint Backlog'!$I79), AND('ProductSprint Backlog'!$J79=C$2,'ProductSprint Backlog'!$I79=C$2), 'ProductSprint Backlog'!$F79, TRUE, 0)</f>
        <v/>
      </c>
      <c r="D79" s="4" t="str" cm="1">
        <f t="array" ref="D79">_xlfn.IFS('ProductSprint Backlog'!$F79="", "", AND('ProductSprint Backlog'!$J79&gt;D$2,'ProductSprint Backlog'!$I79&lt;=D$2), 'ProductSprint Backlog'!$F79 / MAX(1, 'ProductSprint Backlog'!$J79-'ProductSprint Backlog'!$I79), AND('ProductSprint Backlog'!$J79=D$2,'ProductSprint Backlog'!$I79=D$2), 'ProductSprint Backlog'!$F79, TRUE, 0)</f>
        <v/>
      </c>
      <c r="E79" s="4" t="str" cm="1">
        <f t="array" ref="E79">_xlfn.IFS('ProductSprint Backlog'!$F79="", "", AND('ProductSprint Backlog'!$J79&gt;E$2,'ProductSprint Backlog'!$I79&lt;=E$2), 'ProductSprint Backlog'!$F79 / MAX(1, 'ProductSprint Backlog'!$J79-'ProductSprint Backlog'!$I79), AND('ProductSprint Backlog'!$J79=E$2,'ProductSprint Backlog'!$I79=E$2), 'ProductSprint Backlog'!$F79, TRUE, 0)</f>
        <v/>
      </c>
      <c r="F79" s="4" t="str" cm="1">
        <f t="array" ref="F79">_xlfn.IFS('ProductSprint Backlog'!$F79="", "", AND('ProductSprint Backlog'!$J79&gt;F$2,'ProductSprint Backlog'!$I79&lt;=F$2), 'ProductSprint Backlog'!$F79 / MAX(1, 'ProductSprint Backlog'!$J79-'ProductSprint Backlog'!$I79), AND('ProductSprint Backlog'!$J79=F$2,'ProductSprint Backlog'!$I79=F$2), 'ProductSprint Backlog'!$F79, TRUE, 0)</f>
        <v/>
      </c>
      <c r="G79" s="4" t="str" cm="1">
        <f t="array" ref="G79">_xlfn.IFS('ProductSprint Backlog'!$F79="", "", AND('ProductSprint Backlog'!$J79&gt;G$2,'ProductSprint Backlog'!$I79&lt;=G$2), 'ProductSprint Backlog'!$F79 / MAX(1, 'ProductSprint Backlog'!$J79-'ProductSprint Backlog'!$I79), AND('ProductSprint Backlog'!$J79=G$2,'ProductSprint Backlog'!$I79=G$2), 'ProductSprint Backlog'!$F79, TRUE, 0)</f>
        <v/>
      </c>
      <c r="H79" s="4" t="str" cm="1">
        <f t="array" ref="H79">_xlfn.IFS('ProductSprint Backlog'!$F79="", "", AND('ProductSprint Backlog'!$J79&gt;H$2,'ProductSprint Backlog'!$I79&lt;=H$2), 'ProductSprint Backlog'!$F79 / MAX(1, 'ProductSprint Backlog'!$J79-'ProductSprint Backlog'!$I79), AND('ProductSprint Backlog'!$J79=H$2,'ProductSprint Backlog'!$I79=H$2), 'ProductSprint Backlog'!$F79, TRUE, 0)</f>
        <v/>
      </c>
      <c r="I79" s="4" t="str" cm="1">
        <f t="array" ref="I79">_xlfn.IFS('ProductSprint Backlog'!$F79="", "", AND('ProductSprint Backlog'!$J79&gt;I$2,'ProductSprint Backlog'!$I79&lt;=I$2), 'ProductSprint Backlog'!$F79 / MAX(1, 'ProductSprint Backlog'!$J79-'ProductSprint Backlog'!$I79), AND('ProductSprint Backlog'!$J79=I$2,'ProductSprint Backlog'!$I79=I$2), 'ProductSprint Backlog'!$F79, TRUE, 0)</f>
        <v/>
      </c>
      <c r="J79" s="4" t="str" cm="1">
        <f t="array" ref="J79">_xlfn.IFS('ProductSprint Backlog'!$F79="", "", AND('ProductSprint Backlog'!$J79&gt;J$2,'ProductSprint Backlog'!$I79&lt;=J$2), 'ProductSprint Backlog'!$F79 / MAX(1, 'ProductSprint Backlog'!$J79-'ProductSprint Backlog'!$I79), AND('ProductSprint Backlog'!$J79=J$2,'ProductSprint Backlog'!$I79=J$2), 'ProductSprint Backlog'!$F79, TRUE, 0)</f>
        <v/>
      </c>
      <c r="K79" s="4" t="str" cm="1">
        <f t="array" ref="K79">_xlfn.IFS('ProductSprint Backlog'!$F79="", "", AND('ProductSprint Backlog'!$J79&gt;K$2,'ProductSprint Backlog'!$I79&lt;=K$2), 'ProductSprint Backlog'!$F79 / MAX(1, 'ProductSprint Backlog'!$J79-'ProductSprint Backlog'!$I79), AND('ProductSprint Backlog'!$J79=K$2,'ProductSprint Backlog'!$I79=K$2), 'ProductSprint Backlog'!$F79, TRUE, 0)</f>
        <v/>
      </c>
      <c r="L79" s="4" t="str" cm="1">
        <f t="array" ref="L79">_xlfn.IFS('ProductSprint Backlog'!$F79="", "", AND('ProductSprint Backlog'!$J79&gt;L$2,'ProductSprint Backlog'!$I79&lt;=L$2), 'ProductSprint Backlog'!$F79 / MAX(1, 'ProductSprint Backlog'!$J79-'ProductSprint Backlog'!$I79), AND('ProductSprint Backlog'!$J79=L$2,'ProductSprint Backlog'!$I79=L$2), 'ProductSprint Backlog'!$F79, TRUE, 0)</f>
        <v/>
      </c>
      <c r="M79" s="4" t="str" cm="1">
        <f t="array" ref="M79">_xlfn.IFS('ProductSprint Backlog'!$F79="", "", AND('ProductSprint Backlog'!$J79&gt;M$2,'ProductSprint Backlog'!$I79&lt;=M$2), 'ProductSprint Backlog'!$F79 / MAX(1, 'ProductSprint Backlog'!$J79-'ProductSprint Backlog'!$I79), AND('ProductSprint Backlog'!$J79=M$2,'ProductSprint Backlog'!$I79=M$2), 'ProductSprint Backlog'!$F79, TRUE, 0)</f>
        <v/>
      </c>
      <c r="N79" s="4" t="str" cm="1">
        <f t="array" ref="N79">_xlfn.IFS('ProductSprint Backlog'!$F79="", "", AND('ProductSprint Backlog'!$J79&gt;N$2,'ProductSprint Backlog'!$I79&lt;=N$2), 'ProductSprint Backlog'!$F79 / MAX(1, 'ProductSprint Backlog'!$J79-'ProductSprint Backlog'!$I79), AND('ProductSprint Backlog'!$J79=N$2,'ProductSprint Backlog'!$I79=N$2), 'ProductSprint Backlog'!$F79, TRUE, 0)</f>
        <v/>
      </c>
      <c r="O79" s="4" t="str" cm="1">
        <f t="array" ref="O79">_xlfn.IFS('ProductSprint Backlog'!$F79="", "", AND('ProductSprint Backlog'!$J79&gt;O$2,'ProductSprint Backlog'!$I79&lt;=O$2), 'ProductSprint Backlog'!$F79 / MAX(1, 'ProductSprint Backlog'!$J79-'ProductSprint Backlog'!$I79), AND('ProductSprint Backlog'!$J79=O$2,'ProductSprint Backlog'!$I79=O$2), 'ProductSprint Backlog'!$F79, TRUE, 0)</f>
        <v/>
      </c>
    </row>
    <row r="80" spans="2:15" x14ac:dyDescent="0.2">
      <c r="B80" s="4" cm="1">
        <f t="array" ref="B80">_xlfn.IFS('ProductSprint Backlog'!$F80="", "", AND('ProductSprint Backlog'!$J80&gt;B$2,'ProductSprint Backlog'!$I80&lt;=B$2), 'ProductSprint Backlog'!$F80 / MAX(1, 'ProductSprint Backlog'!$J80-'ProductSprint Backlog'!$I80), AND('ProductSprint Backlog'!$J80=B$2,'ProductSprint Backlog'!$I80=B$2), 'ProductSprint Backlog'!$F80, TRUE, 0)</f>
        <v>0</v>
      </c>
      <c r="C80" s="4" cm="1">
        <f t="array" ref="C80">_xlfn.IFS('ProductSprint Backlog'!$F80="", "", AND('ProductSprint Backlog'!$J80&gt;C$2,'ProductSprint Backlog'!$I80&lt;=C$2), 'ProductSprint Backlog'!$F80 / MAX(1, 'ProductSprint Backlog'!$J80-'ProductSprint Backlog'!$I80), AND('ProductSprint Backlog'!$J80=C$2,'ProductSprint Backlog'!$I80=C$2), 'ProductSprint Backlog'!$F80, TRUE, 0)</f>
        <v>0</v>
      </c>
      <c r="D80" s="4" cm="1">
        <f t="array" ref="D80">_xlfn.IFS('ProductSprint Backlog'!$F80="", "", AND('ProductSprint Backlog'!$J80&gt;D$2,'ProductSprint Backlog'!$I80&lt;=D$2), 'ProductSprint Backlog'!$F80 / MAX(1, 'ProductSprint Backlog'!$J80-'ProductSprint Backlog'!$I80), AND('ProductSprint Backlog'!$J80=D$2,'ProductSprint Backlog'!$I80=D$2), 'ProductSprint Backlog'!$F80, TRUE, 0)</f>
        <v>0</v>
      </c>
      <c r="E80" s="4" cm="1">
        <f t="array" ref="E80">_xlfn.IFS('ProductSprint Backlog'!$F80="", "", AND('ProductSprint Backlog'!$J80&gt;E$2,'ProductSprint Backlog'!$I80&lt;=E$2), 'ProductSprint Backlog'!$F80 / MAX(1, 'ProductSprint Backlog'!$J80-'ProductSprint Backlog'!$I80), AND('ProductSprint Backlog'!$J80=E$2,'ProductSprint Backlog'!$I80=E$2), 'ProductSprint Backlog'!$F80, TRUE, 0)</f>
        <v>0</v>
      </c>
      <c r="F80" s="4" cm="1">
        <f t="array" ref="F80">_xlfn.IFS('ProductSprint Backlog'!$F80="", "", AND('ProductSprint Backlog'!$J80&gt;F$2,'ProductSprint Backlog'!$I80&lt;=F$2), 'ProductSprint Backlog'!$F80 / MAX(1, 'ProductSprint Backlog'!$J80-'ProductSprint Backlog'!$I80), AND('ProductSprint Backlog'!$J80=F$2,'ProductSprint Backlog'!$I80=F$2), 'ProductSprint Backlog'!$F80, TRUE, 0)</f>
        <v>0</v>
      </c>
      <c r="G80" s="4" cm="1">
        <f t="array" ref="G80">_xlfn.IFS('ProductSprint Backlog'!$F80="", "", AND('ProductSprint Backlog'!$J80&gt;G$2,'ProductSprint Backlog'!$I80&lt;=G$2), 'ProductSprint Backlog'!$F80 / MAX(1, 'ProductSprint Backlog'!$J80-'ProductSprint Backlog'!$I80), AND('ProductSprint Backlog'!$J80=G$2,'ProductSprint Backlog'!$I80=G$2), 'ProductSprint Backlog'!$F80, TRUE, 0)</f>
        <v>0</v>
      </c>
      <c r="H80" s="4" cm="1">
        <f t="array" ref="H80">_xlfn.IFS('ProductSprint Backlog'!$F80="", "", AND('ProductSprint Backlog'!$J80&gt;H$2,'ProductSprint Backlog'!$I80&lt;=H$2), 'ProductSprint Backlog'!$F80 / MAX(1, 'ProductSprint Backlog'!$J80-'ProductSprint Backlog'!$I80), AND('ProductSprint Backlog'!$J80=H$2,'ProductSprint Backlog'!$I80=H$2), 'ProductSprint Backlog'!$F80, TRUE, 0)</f>
        <v>0</v>
      </c>
      <c r="I80" s="4" cm="1">
        <f t="array" ref="I80">_xlfn.IFS('ProductSprint Backlog'!$F80="", "", AND('ProductSprint Backlog'!$J80&gt;I$2,'ProductSprint Backlog'!$I80&lt;=I$2), 'ProductSprint Backlog'!$F80 / MAX(1, 'ProductSprint Backlog'!$J80-'ProductSprint Backlog'!$I80), AND('ProductSprint Backlog'!$J80=I$2,'ProductSprint Backlog'!$I80=I$2), 'ProductSprint Backlog'!$F80, TRUE, 0)</f>
        <v>1</v>
      </c>
      <c r="J80" s="4" cm="1">
        <f t="array" ref="J80">_xlfn.IFS('ProductSprint Backlog'!$F80="", "", AND('ProductSprint Backlog'!$J80&gt;J$2,'ProductSprint Backlog'!$I80&lt;=J$2), 'ProductSprint Backlog'!$F80 / MAX(1, 'ProductSprint Backlog'!$J80-'ProductSprint Backlog'!$I80), AND('ProductSprint Backlog'!$J80=J$2,'ProductSprint Backlog'!$I80=J$2), 'ProductSprint Backlog'!$F80, TRUE, 0)</f>
        <v>1</v>
      </c>
      <c r="K80" s="4" cm="1">
        <f t="array" ref="K80">_xlfn.IFS('ProductSprint Backlog'!$F80="", "", AND('ProductSprint Backlog'!$J80&gt;K$2,'ProductSprint Backlog'!$I80&lt;=K$2), 'ProductSprint Backlog'!$F80 / MAX(1, 'ProductSprint Backlog'!$J80-'ProductSprint Backlog'!$I80), AND('ProductSprint Backlog'!$J80=K$2,'ProductSprint Backlog'!$I80=K$2), 'ProductSprint Backlog'!$F80, TRUE, 0)</f>
        <v>0</v>
      </c>
      <c r="L80" s="4" cm="1">
        <f t="array" ref="L80">_xlfn.IFS('ProductSprint Backlog'!$F80="", "", AND('ProductSprint Backlog'!$J80&gt;L$2,'ProductSprint Backlog'!$I80&lt;=L$2), 'ProductSprint Backlog'!$F80 / MAX(1, 'ProductSprint Backlog'!$J80-'ProductSprint Backlog'!$I80), AND('ProductSprint Backlog'!$J80=L$2,'ProductSprint Backlog'!$I80=L$2), 'ProductSprint Backlog'!$F80, TRUE, 0)</f>
        <v>0</v>
      </c>
      <c r="M80" s="4" cm="1">
        <f t="array" ref="M80">_xlfn.IFS('ProductSprint Backlog'!$F80="", "", AND('ProductSprint Backlog'!$J80&gt;M$2,'ProductSprint Backlog'!$I80&lt;=M$2), 'ProductSprint Backlog'!$F80 / MAX(1, 'ProductSprint Backlog'!$J80-'ProductSprint Backlog'!$I80), AND('ProductSprint Backlog'!$J80=M$2,'ProductSprint Backlog'!$I80=M$2), 'ProductSprint Backlog'!$F80, TRUE, 0)</f>
        <v>0</v>
      </c>
      <c r="N80" s="4" cm="1">
        <f t="array" ref="N80">_xlfn.IFS('ProductSprint Backlog'!$F80="", "", AND('ProductSprint Backlog'!$J80&gt;N$2,'ProductSprint Backlog'!$I80&lt;=N$2), 'ProductSprint Backlog'!$F80 / MAX(1, 'ProductSprint Backlog'!$J80-'ProductSprint Backlog'!$I80), AND('ProductSprint Backlog'!$J80=N$2,'ProductSprint Backlog'!$I80=N$2), 'ProductSprint Backlog'!$F80, TRUE, 0)</f>
        <v>0</v>
      </c>
      <c r="O80" s="4" cm="1">
        <f t="array" ref="O80">_xlfn.IFS('ProductSprint Backlog'!$F80="", "", AND('ProductSprint Backlog'!$J80&gt;O$2,'ProductSprint Backlog'!$I80&lt;=O$2), 'ProductSprint Backlog'!$F80 / MAX(1, 'ProductSprint Backlog'!$J80-'ProductSprint Backlog'!$I80), AND('ProductSprint Backlog'!$J80=O$2,'ProductSprint Backlog'!$I80=O$2), 'ProductSprint Backlog'!$F80, TRUE, 0)</f>
        <v>0</v>
      </c>
    </row>
    <row r="81" spans="2:15" x14ac:dyDescent="0.2">
      <c r="B81" s="4" cm="1">
        <f t="array" ref="B81">_xlfn.IFS('ProductSprint Backlog'!$F81="", "", AND('ProductSprint Backlog'!$J81&gt;B$2,'ProductSprint Backlog'!$I81&lt;=B$2), 'ProductSprint Backlog'!$F81 / MAX(1, 'ProductSprint Backlog'!$J81-'ProductSprint Backlog'!$I81), AND('ProductSprint Backlog'!$J81=B$2,'ProductSprint Backlog'!$I81=B$2), 'ProductSprint Backlog'!$F81, TRUE, 0)</f>
        <v>0</v>
      </c>
      <c r="C81" s="4" cm="1">
        <f t="array" ref="C81">_xlfn.IFS('ProductSprint Backlog'!$F81="", "", AND('ProductSprint Backlog'!$J81&gt;C$2,'ProductSprint Backlog'!$I81&lt;=C$2), 'ProductSprint Backlog'!$F81 / MAX(1, 'ProductSprint Backlog'!$J81-'ProductSprint Backlog'!$I81), AND('ProductSprint Backlog'!$J81=C$2,'ProductSprint Backlog'!$I81=C$2), 'ProductSprint Backlog'!$F81, TRUE, 0)</f>
        <v>0</v>
      </c>
      <c r="D81" s="4" cm="1">
        <f t="array" ref="D81">_xlfn.IFS('ProductSprint Backlog'!$F81="", "", AND('ProductSprint Backlog'!$J81&gt;D$2,'ProductSprint Backlog'!$I81&lt;=D$2), 'ProductSprint Backlog'!$F81 / MAX(1, 'ProductSprint Backlog'!$J81-'ProductSprint Backlog'!$I81), AND('ProductSprint Backlog'!$J81=D$2,'ProductSprint Backlog'!$I81=D$2), 'ProductSprint Backlog'!$F81, TRUE, 0)</f>
        <v>0</v>
      </c>
      <c r="E81" s="4" cm="1">
        <f t="array" ref="E81">_xlfn.IFS('ProductSprint Backlog'!$F81="", "", AND('ProductSprint Backlog'!$J81&gt;E$2,'ProductSprint Backlog'!$I81&lt;=E$2), 'ProductSprint Backlog'!$F81 / MAX(1, 'ProductSprint Backlog'!$J81-'ProductSprint Backlog'!$I81), AND('ProductSprint Backlog'!$J81=E$2,'ProductSprint Backlog'!$I81=E$2), 'ProductSprint Backlog'!$F81, TRUE, 0)</f>
        <v>0</v>
      </c>
      <c r="F81" s="4" cm="1">
        <f t="array" ref="F81">_xlfn.IFS('ProductSprint Backlog'!$F81="", "", AND('ProductSprint Backlog'!$J81&gt;F$2,'ProductSprint Backlog'!$I81&lt;=F$2), 'ProductSprint Backlog'!$F81 / MAX(1, 'ProductSprint Backlog'!$J81-'ProductSprint Backlog'!$I81), AND('ProductSprint Backlog'!$J81=F$2,'ProductSprint Backlog'!$I81=F$2), 'ProductSprint Backlog'!$F81, TRUE, 0)</f>
        <v>0</v>
      </c>
      <c r="G81" s="4" cm="1">
        <f t="array" ref="G81">_xlfn.IFS('ProductSprint Backlog'!$F81="", "", AND('ProductSprint Backlog'!$J81&gt;G$2,'ProductSprint Backlog'!$I81&lt;=G$2), 'ProductSprint Backlog'!$F81 / MAX(1, 'ProductSprint Backlog'!$J81-'ProductSprint Backlog'!$I81), AND('ProductSprint Backlog'!$J81=G$2,'ProductSprint Backlog'!$I81=G$2), 'ProductSprint Backlog'!$F81, TRUE, 0)</f>
        <v>0</v>
      </c>
      <c r="H81" s="4" cm="1">
        <f t="array" ref="H81">_xlfn.IFS('ProductSprint Backlog'!$F81="", "", AND('ProductSprint Backlog'!$J81&gt;H$2,'ProductSprint Backlog'!$I81&lt;=H$2), 'ProductSprint Backlog'!$F81 / MAX(1, 'ProductSprint Backlog'!$J81-'ProductSprint Backlog'!$I81), AND('ProductSprint Backlog'!$J81=H$2,'ProductSprint Backlog'!$I81=H$2), 'ProductSprint Backlog'!$F81, TRUE, 0)</f>
        <v>0</v>
      </c>
      <c r="I81" s="4" cm="1">
        <f t="array" ref="I81">_xlfn.IFS('ProductSprint Backlog'!$F81="", "", AND('ProductSprint Backlog'!$J81&gt;I$2,'ProductSprint Backlog'!$I81&lt;=I$2), 'ProductSprint Backlog'!$F81 / MAX(1, 'ProductSprint Backlog'!$J81-'ProductSprint Backlog'!$I81), AND('ProductSprint Backlog'!$J81=I$2,'ProductSprint Backlog'!$I81=I$2), 'ProductSprint Backlog'!$F81, TRUE, 0)</f>
        <v>0.5</v>
      </c>
      <c r="J81" s="4" cm="1">
        <f t="array" ref="J81">_xlfn.IFS('ProductSprint Backlog'!$F81="", "", AND('ProductSprint Backlog'!$J81&gt;J$2,'ProductSprint Backlog'!$I81&lt;=J$2), 'ProductSprint Backlog'!$F81 / MAX(1, 'ProductSprint Backlog'!$J81-'ProductSprint Backlog'!$I81), AND('ProductSprint Backlog'!$J81=J$2,'ProductSprint Backlog'!$I81=J$2), 'ProductSprint Backlog'!$F81, TRUE, 0)</f>
        <v>0.5</v>
      </c>
      <c r="K81" s="4" cm="1">
        <f t="array" ref="K81">_xlfn.IFS('ProductSprint Backlog'!$F81="", "", AND('ProductSprint Backlog'!$J81&gt;K$2,'ProductSprint Backlog'!$I81&lt;=K$2), 'ProductSprint Backlog'!$F81 / MAX(1, 'ProductSprint Backlog'!$J81-'ProductSprint Backlog'!$I81), AND('ProductSprint Backlog'!$J81=K$2,'ProductSprint Backlog'!$I81=K$2), 'ProductSprint Backlog'!$F81, TRUE, 0)</f>
        <v>0</v>
      </c>
      <c r="L81" s="4" cm="1">
        <f t="array" ref="L81">_xlfn.IFS('ProductSprint Backlog'!$F81="", "", AND('ProductSprint Backlog'!$J81&gt;L$2,'ProductSprint Backlog'!$I81&lt;=L$2), 'ProductSprint Backlog'!$F81 / MAX(1, 'ProductSprint Backlog'!$J81-'ProductSprint Backlog'!$I81), AND('ProductSprint Backlog'!$J81=L$2,'ProductSprint Backlog'!$I81=L$2), 'ProductSprint Backlog'!$F81, TRUE, 0)</f>
        <v>0</v>
      </c>
      <c r="M81" s="4" cm="1">
        <f t="array" ref="M81">_xlfn.IFS('ProductSprint Backlog'!$F81="", "", AND('ProductSprint Backlog'!$J81&gt;M$2,'ProductSprint Backlog'!$I81&lt;=M$2), 'ProductSprint Backlog'!$F81 / MAX(1, 'ProductSprint Backlog'!$J81-'ProductSprint Backlog'!$I81), AND('ProductSprint Backlog'!$J81=M$2,'ProductSprint Backlog'!$I81=M$2), 'ProductSprint Backlog'!$F81, TRUE, 0)</f>
        <v>0</v>
      </c>
      <c r="N81" s="4" cm="1">
        <f t="array" ref="N81">_xlfn.IFS('ProductSprint Backlog'!$F81="", "", AND('ProductSprint Backlog'!$J81&gt;N$2,'ProductSprint Backlog'!$I81&lt;=N$2), 'ProductSprint Backlog'!$F81 / MAX(1, 'ProductSprint Backlog'!$J81-'ProductSprint Backlog'!$I81), AND('ProductSprint Backlog'!$J81=N$2,'ProductSprint Backlog'!$I81=N$2), 'ProductSprint Backlog'!$F81, TRUE, 0)</f>
        <v>0</v>
      </c>
      <c r="O81" s="4" cm="1">
        <f t="array" ref="O81">_xlfn.IFS('ProductSprint Backlog'!$F81="", "", AND('ProductSprint Backlog'!$J81&gt;O$2,'ProductSprint Backlog'!$I81&lt;=O$2), 'ProductSprint Backlog'!$F81 / MAX(1, 'ProductSprint Backlog'!$J81-'ProductSprint Backlog'!$I81), AND('ProductSprint Backlog'!$J81=O$2,'ProductSprint Backlog'!$I81=O$2), 'ProductSprint Backlog'!$F81, TRUE, 0)</f>
        <v>0</v>
      </c>
    </row>
    <row r="82" spans="2:15" x14ac:dyDescent="0.2">
      <c r="B82" s="4" cm="1">
        <f t="array" ref="B82">_xlfn.IFS('ProductSprint Backlog'!$F82="", "", AND('ProductSprint Backlog'!$J82&gt;B$2,'ProductSprint Backlog'!$I82&lt;=B$2), 'ProductSprint Backlog'!$F82 / MAX(1, 'ProductSprint Backlog'!$J82-'ProductSprint Backlog'!$I82), AND('ProductSprint Backlog'!$J82=B$2,'ProductSprint Backlog'!$I82=B$2), 'ProductSprint Backlog'!$F82, TRUE, 0)</f>
        <v>0</v>
      </c>
      <c r="C82" s="4" cm="1">
        <f t="array" ref="C82">_xlfn.IFS('ProductSprint Backlog'!$F82="", "", AND('ProductSprint Backlog'!$J82&gt;C$2,'ProductSprint Backlog'!$I82&lt;=C$2), 'ProductSprint Backlog'!$F82 / MAX(1, 'ProductSprint Backlog'!$J82-'ProductSprint Backlog'!$I82), AND('ProductSprint Backlog'!$J82=C$2,'ProductSprint Backlog'!$I82=C$2), 'ProductSprint Backlog'!$F82, TRUE, 0)</f>
        <v>0</v>
      </c>
      <c r="D82" s="4" cm="1">
        <f t="array" ref="D82">_xlfn.IFS('ProductSprint Backlog'!$F82="", "", AND('ProductSprint Backlog'!$J82&gt;D$2,'ProductSprint Backlog'!$I82&lt;=D$2), 'ProductSprint Backlog'!$F82 / MAX(1, 'ProductSprint Backlog'!$J82-'ProductSprint Backlog'!$I82), AND('ProductSprint Backlog'!$J82=D$2,'ProductSprint Backlog'!$I82=D$2), 'ProductSprint Backlog'!$F82, TRUE, 0)</f>
        <v>0</v>
      </c>
      <c r="E82" s="4" cm="1">
        <f t="array" ref="E82">_xlfn.IFS('ProductSprint Backlog'!$F82="", "", AND('ProductSprint Backlog'!$J82&gt;E$2,'ProductSprint Backlog'!$I82&lt;=E$2), 'ProductSprint Backlog'!$F82 / MAX(1, 'ProductSprint Backlog'!$J82-'ProductSprint Backlog'!$I82), AND('ProductSprint Backlog'!$J82=E$2,'ProductSprint Backlog'!$I82=E$2), 'ProductSprint Backlog'!$F82, TRUE, 0)</f>
        <v>0</v>
      </c>
      <c r="F82" s="4" cm="1">
        <f t="array" ref="F82">_xlfn.IFS('ProductSprint Backlog'!$F82="", "", AND('ProductSprint Backlog'!$J82&gt;F$2,'ProductSprint Backlog'!$I82&lt;=F$2), 'ProductSprint Backlog'!$F82 / MAX(1, 'ProductSprint Backlog'!$J82-'ProductSprint Backlog'!$I82), AND('ProductSprint Backlog'!$J82=F$2,'ProductSprint Backlog'!$I82=F$2), 'ProductSprint Backlog'!$F82, TRUE, 0)</f>
        <v>0</v>
      </c>
      <c r="G82" s="4" cm="1">
        <f t="array" ref="G82">_xlfn.IFS('ProductSprint Backlog'!$F82="", "", AND('ProductSprint Backlog'!$J82&gt;G$2,'ProductSprint Backlog'!$I82&lt;=G$2), 'ProductSprint Backlog'!$F82 / MAX(1, 'ProductSprint Backlog'!$J82-'ProductSprint Backlog'!$I82), AND('ProductSprint Backlog'!$J82=G$2,'ProductSprint Backlog'!$I82=G$2), 'ProductSprint Backlog'!$F82, TRUE, 0)</f>
        <v>0</v>
      </c>
      <c r="H82" s="4" cm="1">
        <f t="array" ref="H82">_xlfn.IFS('ProductSprint Backlog'!$F82="", "", AND('ProductSprint Backlog'!$J82&gt;H$2,'ProductSprint Backlog'!$I82&lt;=H$2), 'ProductSprint Backlog'!$F82 / MAX(1, 'ProductSprint Backlog'!$J82-'ProductSprint Backlog'!$I82), AND('ProductSprint Backlog'!$J82=H$2,'ProductSprint Backlog'!$I82=H$2), 'ProductSprint Backlog'!$F82, TRUE, 0)</f>
        <v>0</v>
      </c>
      <c r="I82" s="4" cm="1">
        <f t="array" ref="I82">_xlfn.IFS('ProductSprint Backlog'!$F82="", "", AND('ProductSprint Backlog'!$J82&gt;I$2,'ProductSprint Backlog'!$I82&lt;=I$2), 'ProductSprint Backlog'!$F82 / MAX(1, 'ProductSprint Backlog'!$J82-'ProductSprint Backlog'!$I82), AND('ProductSprint Backlog'!$J82=I$2,'ProductSprint Backlog'!$I82=I$2), 'ProductSprint Backlog'!$F82, TRUE, 0)</f>
        <v>0</v>
      </c>
      <c r="J82" s="4" cm="1">
        <f t="array" ref="J82">_xlfn.IFS('ProductSprint Backlog'!$F82="", "", AND('ProductSprint Backlog'!$J82&gt;J$2,'ProductSprint Backlog'!$I82&lt;=J$2), 'ProductSprint Backlog'!$F82 / MAX(1, 'ProductSprint Backlog'!$J82-'ProductSprint Backlog'!$I82), AND('ProductSprint Backlog'!$J82=J$2,'ProductSprint Backlog'!$I82=J$2), 'ProductSprint Backlog'!$F82, TRUE, 0)</f>
        <v>1</v>
      </c>
      <c r="K82" s="4" cm="1">
        <f t="array" ref="K82">_xlfn.IFS('ProductSprint Backlog'!$F82="", "", AND('ProductSprint Backlog'!$J82&gt;K$2,'ProductSprint Backlog'!$I82&lt;=K$2), 'ProductSprint Backlog'!$F82 / MAX(1, 'ProductSprint Backlog'!$J82-'ProductSprint Backlog'!$I82), AND('ProductSprint Backlog'!$J82=K$2,'ProductSprint Backlog'!$I82=K$2), 'ProductSprint Backlog'!$F82, TRUE, 0)</f>
        <v>1</v>
      </c>
      <c r="L82" s="4" cm="1">
        <f t="array" ref="L82">_xlfn.IFS('ProductSprint Backlog'!$F82="", "", AND('ProductSprint Backlog'!$J82&gt;L$2,'ProductSprint Backlog'!$I82&lt;=L$2), 'ProductSprint Backlog'!$F82 / MAX(1, 'ProductSprint Backlog'!$J82-'ProductSprint Backlog'!$I82), AND('ProductSprint Backlog'!$J82=L$2,'ProductSprint Backlog'!$I82=L$2), 'ProductSprint Backlog'!$F82, TRUE, 0)</f>
        <v>0</v>
      </c>
      <c r="M82" s="4" cm="1">
        <f t="array" ref="M82">_xlfn.IFS('ProductSprint Backlog'!$F82="", "", AND('ProductSprint Backlog'!$J82&gt;M$2,'ProductSprint Backlog'!$I82&lt;=M$2), 'ProductSprint Backlog'!$F82 / MAX(1, 'ProductSprint Backlog'!$J82-'ProductSprint Backlog'!$I82), AND('ProductSprint Backlog'!$J82=M$2,'ProductSprint Backlog'!$I82=M$2), 'ProductSprint Backlog'!$F82, TRUE, 0)</f>
        <v>0</v>
      </c>
      <c r="N82" s="4" cm="1">
        <f t="array" ref="N82">_xlfn.IFS('ProductSprint Backlog'!$F82="", "", AND('ProductSprint Backlog'!$J82&gt;N$2,'ProductSprint Backlog'!$I82&lt;=N$2), 'ProductSprint Backlog'!$F82 / MAX(1, 'ProductSprint Backlog'!$J82-'ProductSprint Backlog'!$I82), AND('ProductSprint Backlog'!$J82=N$2,'ProductSprint Backlog'!$I82=N$2), 'ProductSprint Backlog'!$F82, TRUE, 0)</f>
        <v>0</v>
      </c>
      <c r="O82" s="4" cm="1">
        <f t="array" ref="O82">_xlfn.IFS('ProductSprint Backlog'!$F82="", "", AND('ProductSprint Backlog'!$J82&gt;O$2,'ProductSprint Backlog'!$I82&lt;=O$2), 'ProductSprint Backlog'!$F82 / MAX(1, 'ProductSprint Backlog'!$J82-'ProductSprint Backlog'!$I82), AND('ProductSprint Backlog'!$J82=O$2,'ProductSprint Backlog'!$I82=O$2), 'ProductSprint Backlog'!$F82, TRUE, 0)</f>
        <v>0</v>
      </c>
    </row>
    <row r="83" spans="2:15" x14ac:dyDescent="0.2">
      <c r="B83" s="4" cm="1">
        <f t="array" ref="B83">_xlfn.IFS('ProductSprint Backlog'!$F83="", "", AND('ProductSprint Backlog'!$J83&gt;B$2,'ProductSprint Backlog'!$I83&lt;=B$2), 'ProductSprint Backlog'!$F83 / MAX(1, 'ProductSprint Backlog'!$J83-'ProductSprint Backlog'!$I83), AND('ProductSprint Backlog'!$J83=B$2,'ProductSprint Backlog'!$I83=B$2), 'ProductSprint Backlog'!$F83, TRUE, 0)</f>
        <v>0</v>
      </c>
      <c r="C83" s="4" cm="1">
        <f t="array" ref="C83">_xlfn.IFS('ProductSprint Backlog'!$F83="", "", AND('ProductSprint Backlog'!$J83&gt;C$2,'ProductSprint Backlog'!$I83&lt;=C$2), 'ProductSprint Backlog'!$F83 / MAX(1, 'ProductSprint Backlog'!$J83-'ProductSprint Backlog'!$I83), AND('ProductSprint Backlog'!$J83=C$2,'ProductSprint Backlog'!$I83=C$2), 'ProductSprint Backlog'!$F83, TRUE, 0)</f>
        <v>0</v>
      </c>
      <c r="D83" s="4" cm="1">
        <f t="array" ref="D83">_xlfn.IFS('ProductSprint Backlog'!$F83="", "", AND('ProductSprint Backlog'!$J83&gt;D$2,'ProductSprint Backlog'!$I83&lt;=D$2), 'ProductSprint Backlog'!$F83 / MAX(1, 'ProductSprint Backlog'!$J83-'ProductSprint Backlog'!$I83), AND('ProductSprint Backlog'!$J83=D$2,'ProductSprint Backlog'!$I83=D$2), 'ProductSprint Backlog'!$F83, TRUE, 0)</f>
        <v>0</v>
      </c>
      <c r="E83" s="4" cm="1">
        <f t="array" ref="E83">_xlfn.IFS('ProductSprint Backlog'!$F83="", "", AND('ProductSprint Backlog'!$J83&gt;E$2,'ProductSprint Backlog'!$I83&lt;=E$2), 'ProductSprint Backlog'!$F83 / MAX(1, 'ProductSprint Backlog'!$J83-'ProductSprint Backlog'!$I83), AND('ProductSprint Backlog'!$J83=E$2,'ProductSprint Backlog'!$I83=E$2), 'ProductSprint Backlog'!$F83, TRUE, 0)</f>
        <v>0</v>
      </c>
      <c r="F83" s="4" cm="1">
        <f t="array" ref="F83">_xlfn.IFS('ProductSprint Backlog'!$F83="", "", AND('ProductSprint Backlog'!$J83&gt;F$2,'ProductSprint Backlog'!$I83&lt;=F$2), 'ProductSprint Backlog'!$F83 / MAX(1, 'ProductSprint Backlog'!$J83-'ProductSprint Backlog'!$I83), AND('ProductSprint Backlog'!$J83=F$2,'ProductSprint Backlog'!$I83=F$2), 'ProductSprint Backlog'!$F83, TRUE, 0)</f>
        <v>0</v>
      </c>
      <c r="G83" s="4" cm="1">
        <f t="array" ref="G83">_xlfn.IFS('ProductSprint Backlog'!$F83="", "", AND('ProductSprint Backlog'!$J83&gt;G$2,'ProductSprint Backlog'!$I83&lt;=G$2), 'ProductSprint Backlog'!$F83 / MAX(1, 'ProductSprint Backlog'!$J83-'ProductSprint Backlog'!$I83), AND('ProductSprint Backlog'!$J83=G$2,'ProductSprint Backlog'!$I83=G$2), 'ProductSprint Backlog'!$F83, TRUE, 0)</f>
        <v>0</v>
      </c>
      <c r="H83" s="4" cm="1">
        <f t="array" ref="H83">_xlfn.IFS('ProductSprint Backlog'!$F83="", "", AND('ProductSprint Backlog'!$J83&gt;H$2,'ProductSprint Backlog'!$I83&lt;=H$2), 'ProductSprint Backlog'!$F83 / MAX(1, 'ProductSprint Backlog'!$J83-'ProductSprint Backlog'!$I83), AND('ProductSprint Backlog'!$J83=H$2,'ProductSprint Backlog'!$I83=H$2), 'ProductSprint Backlog'!$F83, TRUE, 0)</f>
        <v>0</v>
      </c>
      <c r="I83" s="4" cm="1">
        <f t="array" ref="I83">_xlfn.IFS('ProductSprint Backlog'!$F83="", "", AND('ProductSprint Backlog'!$J83&gt;I$2,'ProductSprint Backlog'!$I83&lt;=I$2), 'ProductSprint Backlog'!$F83 / MAX(1, 'ProductSprint Backlog'!$J83-'ProductSprint Backlog'!$I83), AND('ProductSprint Backlog'!$J83=I$2,'ProductSprint Backlog'!$I83=I$2), 'ProductSprint Backlog'!$F83, TRUE, 0)</f>
        <v>0</v>
      </c>
      <c r="J83" s="4" cm="1">
        <f t="array" ref="J83">_xlfn.IFS('ProductSprint Backlog'!$F83="", "", AND('ProductSprint Backlog'!$J83&gt;J$2,'ProductSprint Backlog'!$I83&lt;=J$2), 'ProductSprint Backlog'!$F83 / MAX(1, 'ProductSprint Backlog'!$J83-'ProductSprint Backlog'!$I83), AND('ProductSprint Backlog'!$J83=J$2,'ProductSprint Backlog'!$I83=J$2), 'ProductSprint Backlog'!$F83, TRUE, 0)</f>
        <v>0</v>
      </c>
      <c r="K83" s="4" cm="1">
        <f t="array" ref="K83">_xlfn.IFS('ProductSprint Backlog'!$F83="", "", AND('ProductSprint Backlog'!$J83&gt;K$2,'ProductSprint Backlog'!$I83&lt;=K$2), 'ProductSprint Backlog'!$F83 / MAX(1, 'ProductSprint Backlog'!$J83-'ProductSprint Backlog'!$I83), AND('ProductSprint Backlog'!$J83=K$2,'ProductSprint Backlog'!$I83=K$2), 'ProductSprint Backlog'!$F83, TRUE, 0)</f>
        <v>0.5</v>
      </c>
      <c r="L83" s="4" cm="1">
        <f t="array" ref="L83">_xlfn.IFS('ProductSprint Backlog'!$F83="", "", AND('ProductSprint Backlog'!$J83&gt;L$2,'ProductSprint Backlog'!$I83&lt;=L$2), 'ProductSprint Backlog'!$F83 / MAX(1, 'ProductSprint Backlog'!$J83-'ProductSprint Backlog'!$I83), AND('ProductSprint Backlog'!$J83=L$2,'ProductSprint Backlog'!$I83=L$2), 'ProductSprint Backlog'!$F83, TRUE, 0)</f>
        <v>0.5</v>
      </c>
      <c r="M83" s="4" cm="1">
        <f t="array" ref="M83">_xlfn.IFS('ProductSprint Backlog'!$F83="", "", AND('ProductSprint Backlog'!$J83&gt;M$2,'ProductSprint Backlog'!$I83&lt;=M$2), 'ProductSprint Backlog'!$F83 / MAX(1, 'ProductSprint Backlog'!$J83-'ProductSprint Backlog'!$I83), AND('ProductSprint Backlog'!$J83=M$2,'ProductSprint Backlog'!$I83=M$2), 'ProductSprint Backlog'!$F83, TRUE, 0)</f>
        <v>0</v>
      </c>
      <c r="N83" s="4" cm="1">
        <f t="array" ref="N83">_xlfn.IFS('ProductSprint Backlog'!$F83="", "", AND('ProductSprint Backlog'!$J83&gt;N$2,'ProductSprint Backlog'!$I83&lt;=N$2), 'ProductSprint Backlog'!$F83 / MAX(1, 'ProductSprint Backlog'!$J83-'ProductSprint Backlog'!$I83), AND('ProductSprint Backlog'!$J83=N$2,'ProductSprint Backlog'!$I83=N$2), 'ProductSprint Backlog'!$F83, TRUE, 0)</f>
        <v>0</v>
      </c>
      <c r="O83" s="4" cm="1">
        <f t="array" ref="O83">_xlfn.IFS('ProductSprint Backlog'!$F83="", "", AND('ProductSprint Backlog'!$J83&gt;O$2,'ProductSprint Backlog'!$I83&lt;=O$2), 'ProductSprint Backlog'!$F83 / MAX(1, 'ProductSprint Backlog'!$J83-'ProductSprint Backlog'!$I83), AND('ProductSprint Backlog'!$J83=O$2,'ProductSprint Backlog'!$I83=O$2), 'ProductSprint Backlog'!$F83, TRUE, 0)</f>
        <v>0</v>
      </c>
    </row>
    <row r="84" spans="2:15" x14ac:dyDescent="0.2">
      <c r="B84" s="4" cm="1">
        <f t="array" ref="B84">_xlfn.IFS('ProductSprint Backlog'!$F84="", "", AND('ProductSprint Backlog'!$J84&gt;B$2,'ProductSprint Backlog'!$I84&lt;=B$2), 'ProductSprint Backlog'!$F84 / MAX(1, 'ProductSprint Backlog'!$J84-'ProductSprint Backlog'!$I84), AND('ProductSprint Backlog'!$J84=B$2,'ProductSprint Backlog'!$I84=B$2), 'ProductSprint Backlog'!$F84, TRUE, 0)</f>
        <v>0</v>
      </c>
      <c r="C84" s="4" cm="1">
        <f t="array" ref="C84">_xlfn.IFS('ProductSprint Backlog'!$F84="", "", AND('ProductSprint Backlog'!$J84&gt;C$2,'ProductSprint Backlog'!$I84&lt;=C$2), 'ProductSprint Backlog'!$F84 / MAX(1, 'ProductSprint Backlog'!$J84-'ProductSprint Backlog'!$I84), AND('ProductSprint Backlog'!$J84=C$2,'ProductSprint Backlog'!$I84=C$2), 'ProductSprint Backlog'!$F84, TRUE, 0)</f>
        <v>0</v>
      </c>
      <c r="D84" s="4" cm="1">
        <f t="array" ref="D84">_xlfn.IFS('ProductSprint Backlog'!$F84="", "", AND('ProductSprint Backlog'!$J84&gt;D$2,'ProductSprint Backlog'!$I84&lt;=D$2), 'ProductSprint Backlog'!$F84 / MAX(1, 'ProductSprint Backlog'!$J84-'ProductSprint Backlog'!$I84), AND('ProductSprint Backlog'!$J84=D$2,'ProductSprint Backlog'!$I84=D$2), 'ProductSprint Backlog'!$F84, TRUE, 0)</f>
        <v>0</v>
      </c>
      <c r="E84" s="4" cm="1">
        <f t="array" ref="E84">_xlfn.IFS('ProductSprint Backlog'!$F84="", "", AND('ProductSprint Backlog'!$J84&gt;E$2,'ProductSprint Backlog'!$I84&lt;=E$2), 'ProductSprint Backlog'!$F84 / MAX(1, 'ProductSprint Backlog'!$J84-'ProductSprint Backlog'!$I84), AND('ProductSprint Backlog'!$J84=E$2,'ProductSprint Backlog'!$I84=E$2), 'ProductSprint Backlog'!$F84, TRUE, 0)</f>
        <v>0</v>
      </c>
      <c r="F84" s="4" cm="1">
        <f t="array" ref="F84">_xlfn.IFS('ProductSprint Backlog'!$F84="", "", AND('ProductSprint Backlog'!$J84&gt;F$2,'ProductSprint Backlog'!$I84&lt;=F$2), 'ProductSprint Backlog'!$F84 / MAX(1, 'ProductSprint Backlog'!$J84-'ProductSprint Backlog'!$I84), AND('ProductSprint Backlog'!$J84=F$2,'ProductSprint Backlog'!$I84=F$2), 'ProductSprint Backlog'!$F84, TRUE, 0)</f>
        <v>0</v>
      </c>
      <c r="G84" s="4" cm="1">
        <f t="array" ref="G84">_xlfn.IFS('ProductSprint Backlog'!$F84="", "", AND('ProductSprint Backlog'!$J84&gt;G$2,'ProductSprint Backlog'!$I84&lt;=G$2), 'ProductSprint Backlog'!$F84 / MAX(1, 'ProductSprint Backlog'!$J84-'ProductSprint Backlog'!$I84), AND('ProductSprint Backlog'!$J84=G$2,'ProductSprint Backlog'!$I84=G$2), 'ProductSprint Backlog'!$F84, TRUE, 0)</f>
        <v>0</v>
      </c>
      <c r="H84" s="4" cm="1">
        <f t="array" ref="H84">_xlfn.IFS('ProductSprint Backlog'!$F84="", "", AND('ProductSprint Backlog'!$J84&gt;H$2,'ProductSprint Backlog'!$I84&lt;=H$2), 'ProductSprint Backlog'!$F84 / MAX(1, 'ProductSprint Backlog'!$J84-'ProductSprint Backlog'!$I84), AND('ProductSprint Backlog'!$J84=H$2,'ProductSprint Backlog'!$I84=H$2), 'ProductSprint Backlog'!$F84, TRUE, 0)</f>
        <v>0</v>
      </c>
      <c r="I84" s="4" cm="1">
        <f t="array" ref="I84">_xlfn.IFS('ProductSprint Backlog'!$F84="", "", AND('ProductSprint Backlog'!$J84&gt;I$2,'ProductSprint Backlog'!$I84&lt;=I$2), 'ProductSprint Backlog'!$F84 / MAX(1, 'ProductSprint Backlog'!$J84-'ProductSprint Backlog'!$I84), AND('ProductSprint Backlog'!$J84=I$2,'ProductSprint Backlog'!$I84=I$2), 'ProductSprint Backlog'!$F84, TRUE, 0)</f>
        <v>0</v>
      </c>
      <c r="J84" s="4" cm="1">
        <f t="array" ref="J84">_xlfn.IFS('ProductSprint Backlog'!$F84="", "", AND('ProductSprint Backlog'!$J84&gt;J$2,'ProductSprint Backlog'!$I84&lt;=J$2), 'ProductSprint Backlog'!$F84 / MAX(1, 'ProductSprint Backlog'!$J84-'ProductSprint Backlog'!$I84), AND('ProductSprint Backlog'!$J84=J$2,'ProductSprint Backlog'!$I84=J$2), 'ProductSprint Backlog'!$F84, TRUE, 0)</f>
        <v>0</v>
      </c>
      <c r="K84" s="4" cm="1">
        <f t="array" ref="K84">_xlfn.IFS('ProductSprint Backlog'!$F84="", "", AND('ProductSprint Backlog'!$J84&gt;K$2,'ProductSprint Backlog'!$I84&lt;=K$2), 'ProductSprint Backlog'!$F84 / MAX(1, 'ProductSprint Backlog'!$J84-'ProductSprint Backlog'!$I84), AND('ProductSprint Backlog'!$J84=K$2,'ProductSprint Backlog'!$I84=K$2), 'ProductSprint Backlog'!$F84, TRUE, 0)</f>
        <v>0</v>
      </c>
      <c r="L84" s="4" cm="1">
        <f t="array" ref="L84">_xlfn.IFS('ProductSprint Backlog'!$F84="", "", AND('ProductSprint Backlog'!$J84&gt;L$2,'ProductSprint Backlog'!$I84&lt;=L$2), 'ProductSprint Backlog'!$F84 / MAX(1, 'ProductSprint Backlog'!$J84-'ProductSprint Backlog'!$I84), AND('ProductSprint Backlog'!$J84=L$2,'ProductSprint Backlog'!$I84=L$2), 'ProductSprint Backlog'!$F84, TRUE, 0)</f>
        <v>0.5</v>
      </c>
      <c r="M84" s="4" cm="1">
        <f t="array" ref="M84">_xlfn.IFS('ProductSprint Backlog'!$F84="", "", AND('ProductSprint Backlog'!$J84&gt;M$2,'ProductSprint Backlog'!$I84&lt;=M$2), 'ProductSprint Backlog'!$F84 / MAX(1, 'ProductSprint Backlog'!$J84-'ProductSprint Backlog'!$I84), AND('ProductSprint Backlog'!$J84=M$2,'ProductSprint Backlog'!$I84=M$2), 'ProductSprint Backlog'!$F84, TRUE, 0)</f>
        <v>0.5</v>
      </c>
      <c r="N84" s="4" cm="1">
        <f t="array" ref="N84">_xlfn.IFS('ProductSprint Backlog'!$F84="", "", AND('ProductSprint Backlog'!$J84&gt;N$2,'ProductSprint Backlog'!$I84&lt;=N$2), 'ProductSprint Backlog'!$F84 / MAX(1, 'ProductSprint Backlog'!$J84-'ProductSprint Backlog'!$I84), AND('ProductSprint Backlog'!$J84=N$2,'ProductSprint Backlog'!$I84=N$2), 'ProductSprint Backlog'!$F84, TRUE, 0)</f>
        <v>0</v>
      </c>
      <c r="O84" s="4" cm="1">
        <f t="array" ref="O84">_xlfn.IFS('ProductSprint Backlog'!$F84="", "", AND('ProductSprint Backlog'!$J84&gt;O$2,'ProductSprint Backlog'!$I84&lt;=O$2), 'ProductSprint Backlog'!$F84 / MAX(1, 'ProductSprint Backlog'!$J84-'ProductSprint Backlog'!$I84), AND('ProductSprint Backlog'!$J84=O$2,'ProductSprint Backlog'!$I84=O$2), 'ProductSprint Backlog'!$F84, TRUE, 0)</f>
        <v>0</v>
      </c>
    </row>
    <row r="85" spans="2:15" x14ac:dyDescent="0.2">
      <c r="B85" s="4" t="str" cm="1">
        <f t="array" ref="B85">_xlfn.IFS('ProductSprint Backlog'!$F85="", "", AND('ProductSprint Backlog'!$J85&gt;B$2,'ProductSprint Backlog'!$I85&lt;=B$2), 'ProductSprint Backlog'!$F85 / MAX(1, 'ProductSprint Backlog'!$J85-'ProductSprint Backlog'!$I85), AND('ProductSprint Backlog'!$J85=B$2,'ProductSprint Backlog'!$I85=B$2), 'ProductSprint Backlog'!$F85, TRUE, 0)</f>
        <v/>
      </c>
      <c r="C85" s="4" t="str" cm="1">
        <f t="array" ref="C85">_xlfn.IFS('ProductSprint Backlog'!$F85="", "", AND('ProductSprint Backlog'!$J85&gt;C$2,'ProductSprint Backlog'!$I85&lt;=C$2), 'ProductSprint Backlog'!$F85 / MAX(1, 'ProductSprint Backlog'!$J85-'ProductSprint Backlog'!$I85), AND('ProductSprint Backlog'!$J85=C$2,'ProductSprint Backlog'!$I85=C$2), 'ProductSprint Backlog'!$F85, TRUE, 0)</f>
        <v/>
      </c>
      <c r="D85" s="4" t="str" cm="1">
        <f t="array" ref="D85">_xlfn.IFS('ProductSprint Backlog'!$F85="", "", AND('ProductSprint Backlog'!$J85&gt;D$2,'ProductSprint Backlog'!$I85&lt;=D$2), 'ProductSprint Backlog'!$F85 / MAX(1, 'ProductSprint Backlog'!$J85-'ProductSprint Backlog'!$I85), AND('ProductSprint Backlog'!$J85=D$2,'ProductSprint Backlog'!$I85=D$2), 'ProductSprint Backlog'!$F85, TRUE, 0)</f>
        <v/>
      </c>
      <c r="E85" s="4" t="str" cm="1">
        <f t="array" ref="E85">_xlfn.IFS('ProductSprint Backlog'!$F85="", "", AND('ProductSprint Backlog'!$J85&gt;E$2,'ProductSprint Backlog'!$I85&lt;=E$2), 'ProductSprint Backlog'!$F85 / MAX(1, 'ProductSprint Backlog'!$J85-'ProductSprint Backlog'!$I85), AND('ProductSprint Backlog'!$J85=E$2,'ProductSprint Backlog'!$I85=E$2), 'ProductSprint Backlog'!$F85, TRUE, 0)</f>
        <v/>
      </c>
      <c r="F85" s="4" t="str" cm="1">
        <f t="array" ref="F85">_xlfn.IFS('ProductSprint Backlog'!$F85="", "", AND('ProductSprint Backlog'!$J85&gt;F$2,'ProductSprint Backlog'!$I85&lt;=F$2), 'ProductSprint Backlog'!$F85 / MAX(1, 'ProductSprint Backlog'!$J85-'ProductSprint Backlog'!$I85), AND('ProductSprint Backlog'!$J85=F$2,'ProductSprint Backlog'!$I85=F$2), 'ProductSprint Backlog'!$F85, TRUE, 0)</f>
        <v/>
      </c>
      <c r="G85" s="4" t="str" cm="1">
        <f t="array" ref="G85">_xlfn.IFS('ProductSprint Backlog'!$F85="", "", AND('ProductSprint Backlog'!$J85&gt;G$2,'ProductSprint Backlog'!$I85&lt;=G$2), 'ProductSprint Backlog'!$F85 / MAX(1, 'ProductSprint Backlog'!$J85-'ProductSprint Backlog'!$I85), AND('ProductSprint Backlog'!$J85=G$2,'ProductSprint Backlog'!$I85=G$2), 'ProductSprint Backlog'!$F85, TRUE, 0)</f>
        <v/>
      </c>
      <c r="H85" s="4" t="str" cm="1">
        <f t="array" ref="H85">_xlfn.IFS('ProductSprint Backlog'!$F85="", "", AND('ProductSprint Backlog'!$J85&gt;H$2,'ProductSprint Backlog'!$I85&lt;=H$2), 'ProductSprint Backlog'!$F85 / MAX(1, 'ProductSprint Backlog'!$J85-'ProductSprint Backlog'!$I85), AND('ProductSprint Backlog'!$J85=H$2,'ProductSprint Backlog'!$I85=H$2), 'ProductSprint Backlog'!$F85, TRUE, 0)</f>
        <v/>
      </c>
      <c r="I85" s="4" t="str" cm="1">
        <f t="array" ref="I85">_xlfn.IFS('ProductSprint Backlog'!$F85="", "", AND('ProductSprint Backlog'!$J85&gt;I$2,'ProductSprint Backlog'!$I85&lt;=I$2), 'ProductSprint Backlog'!$F85 / MAX(1, 'ProductSprint Backlog'!$J85-'ProductSprint Backlog'!$I85), AND('ProductSprint Backlog'!$J85=I$2,'ProductSprint Backlog'!$I85=I$2), 'ProductSprint Backlog'!$F85, TRUE, 0)</f>
        <v/>
      </c>
      <c r="J85" s="4" t="str" cm="1">
        <f t="array" ref="J85">_xlfn.IFS('ProductSprint Backlog'!$F85="", "", AND('ProductSprint Backlog'!$J85&gt;J$2,'ProductSprint Backlog'!$I85&lt;=J$2), 'ProductSprint Backlog'!$F85 / MAX(1, 'ProductSprint Backlog'!$J85-'ProductSprint Backlog'!$I85), AND('ProductSprint Backlog'!$J85=J$2,'ProductSprint Backlog'!$I85=J$2), 'ProductSprint Backlog'!$F85, TRUE, 0)</f>
        <v/>
      </c>
      <c r="K85" s="4" t="str" cm="1">
        <f t="array" ref="K85">_xlfn.IFS('ProductSprint Backlog'!$F85="", "", AND('ProductSprint Backlog'!$J85&gt;K$2,'ProductSprint Backlog'!$I85&lt;=K$2), 'ProductSprint Backlog'!$F85 / MAX(1, 'ProductSprint Backlog'!$J85-'ProductSprint Backlog'!$I85), AND('ProductSprint Backlog'!$J85=K$2,'ProductSprint Backlog'!$I85=K$2), 'ProductSprint Backlog'!$F85, TRUE, 0)</f>
        <v/>
      </c>
      <c r="L85" s="4" t="str" cm="1">
        <f t="array" ref="L85">_xlfn.IFS('ProductSprint Backlog'!$F85="", "", AND('ProductSprint Backlog'!$J85&gt;L$2,'ProductSprint Backlog'!$I85&lt;=L$2), 'ProductSprint Backlog'!$F85 / MAX(1, 'ProductSprint Backlog'!$J85-'ProductSprint Backlog'!$I85), AND('ProductSprint Backlog'!$J85=L$2,'ProductSprint Backlog'!$I85=L$2), 'ProductSprint Backlog'!$F85, TRUE, 0)</f>
        <v/>
      </c>
      <c r="M85" s="4" t="str" cm="1">
        <f t="array" ref="M85">_xlfn.IFS('ProductSprint Backlog'!$F85="", "", AND('ProductSprint Backlog'!$J85&gt;M$2,'ProductSprint Backlog'!$I85&lt;=M$2), 'ProductSprint Backlog'!$F85 / MAX(1, 'ProductSprint Backlog'!$J85-'ProductSprint Backlog'!$I85), AND('ProductSprint Backlog'!$J85=M$2,'ProductSprint Backlog'!$I85=M$2), 'ProductSprint Backlog'!$F85, TRUE, 0)</f>
        <v/>
      </c>
      <c r="N85" s="4" t="str" cm="1">
        <f t="array" ref="N85">_xlfn.IFS('ProductSprint Backlog'!$F85="", "", AND('ProductSprint Backlog'!$J85&gt;N$2,'ProductSprint Backlog'!$I85&lt;=N$2), 'ProductSprint Backlog'!$F85 / MAX(1, 'ProductSprint Backlog'!$J85-'ProductSprint Backlog'!$I85), AND('ProductSprint Backlog'!$J85=N$2,'ProductSprint Backlog'!$I85=N$2), 'ProductSprint Backlog'!$F85, TRUE, 0)</f>
        <v/>
      </c>
      <c r="O85" s="4" t="str" cm="1">
        <f t="array" ref="O85">_xlfn.IFS('ProductSprint Backlog'!$F85="", "", AND('ProductSprint Backlog'!$J85&gt;O$2,'ProductSprint Backlog'!$I85&lt;=O$2), 'ProductSprint Backlog'!$F85 / MAX(1, 'ProductSprint Backlog'!$J85-'ProductSprint Backlog'!$I85), AND('ProductSprint Backlog'!$J85=O$2,'ProductSprint Backlog'!$I85=O$2), 'ProductSprint Backlog'!$F85, TRUE, 0)</f>
        <v/>
      </c>
    </row>
    <row r="86" spans="2:15" x14ac:dyDescent="0.2">
      <c r="B86" s="4" cm="1">
        <f t="array" ref="B86">_xlfn.IFS('ProductSprint Backlog'!$F86="", "", AND('ProductSprint Backlog'!$J86&gt;B$2,'ProductSprint Backlog'!$I86&lt;=B$2), 'ProductSprint Backlog'!$F86 / MAX(1, 'ProductSprint Backlog'!$J86-'ProductSprint Backlog'!$I86), AND('ProductSprint Backlog'!$J86=B$2,'ProductSprint Backlog'!$I86=B$2), 'ProductSprint Backlog'!$F86, TRUE, 0)</f>
        <v>0</v>
      </c>
      <c r="C86" s="4" cm="1">
        <f t="array" ref="C86">_xlfn.IFS('ProductSprint Backlog'!$F86="", "", AND('ProductSprint Backlog'!$J86&gt;C$2,'ProductSprint Backlog'!$I86&lt;=C$2), 'ProductSprint Backlog'!$F86 / MAX(1, 'ProductSprint Backlog'!$J86-'ProductSprint Backlog'!$I86), AND('ProductSprint Backlog'!$J86=C$2,'ProductSprint Backlog'!$I86=C$2), 'ProductSprint Backlog'!$F86, TRUE, 0)</f>
        <v>0</v>
      </c>
      <c r="D86" s="4" cm="1">
        <f t="array" ref="D86">_xlfn.IFS('ProductSprint Backlog'!$F86="", "", AND('ProductSprint Backlog'!$J86&gt;D$2,'ProductSprint Backlog'!$I86&lt;=D$2), 'ProductSprint Backlog'!$F86 / MAX(1, 'ProductSprint Backlog'!$J86-'ProductSprint Backlog'!$I86), AND('ProductSprint Backlog'!$J86=D$2,'ProductSprint Backlog'!$I86=D$2), 'ProductSprint Backlog'!$F86, TRUE, 0)</f>
        <v>0</v>
      </c>
      <c r="E86" s="4" cm="1">
        <f t="array" ref="E86">_xlfn.IFS('ProductSprint Backlog'!$F86="", "", AND('ProductSprint Backlog'!$J86&gt;E$2,'ProductSprint Backlog'!$I86&lt;=E$2), 'ProductSprint Backlog'!$F86 / MAX(1, 'ProductSprint Backlog'!$J86-'ProductSprint Backlog'!$I86), AND('ProductSprint Backlog'!$J86=E$2,'ProductSprint Backlog'!$I86=E$2), 'ProductSprint Backlog'!$F86, TRUE, 0)</f>
        <v>0</v>
      </c>
      <c r="F86" s="4" cm="1">
        <f t="array" ref="F86">_xlfn.IFS('ProductSprint Backlog'!$F86="", "", AND('ProductSprint Backlog'!$J86&gt;F$2,'ProductSprint Backlog'!$I86&lt;=F$2), 'ProductSprint Backlog'!$F86 / MAX(1, 'ProductSprint Backlog'!$J86-'ProductSprint Backlog'!$I86), AND('ProductSprint Backlog'!$J86=F$2,'ProductSprint Backlog'!$I86=F$2), 'ProductSprint Backlog'!$F86, TRUE, 0)</f>
        <v>0</v>
      </c>
      <c r="G86" s="4" cm="1">
        <f t="array" ref="G86">_xlfn.IFS('ProductSprint Backlog'!$F86="", "", AND('ProductSprint Backlog'!$J86&gt;G$2,'ProductSprint Backlog'!$I86&lt;=G$2), 'ProductSprint Backlog'!$F86 / MAX(1, 'ProductSprint Backlog'!$J86-'ProductSprint Backlog'!$I86), AND('ProductSprint Backlog'!$J86=G$2,'ProductSprint Backlog'!$I86=G$2), 'ProductSprint Backlog'!$F86, TRUE, 0)</f>
        <v>0</v>
      </c>
      <c r="H86" s="4" cm="1">
        <f t="array" ref="H86">_xlfn.IFS('ProductSprint Backlog'!$F86="", "", AND('ProductSprint Backlog'!$J86&gt;H$2,'ProductSprint Backlog'!$I86&lt;=H$2), 'ProductSprint Backlog'!$F86 / MAX(1, 'ProductSprint Backlog'!$J86-'ProductSprint Backlog'!$I86), AND('ProductSprint Backlog'!$J86=H$2,'ProductSprint Backlog'!$I86=H$2), 'ProductSprint Backlog'!$F86, TRUE, 0)</f>
        <v>0</v>
      </c>
      <c r="I86" s="4" cm="1">
        <f t="array" ref="I86">_xlfn.IFS('ProductSprint Backlog'!$F86="", "", AND('ProductSprint Backlog'!$J86&gt;I$2,'ProductSprint Backlog'!$I86&lt;=I$2), 'ProductSprint Backlog'!$F86 / MAX(1, 'ProductSprint Backlog'!$J86-'ProductSprint Backlog'!$I86), AND('ProductSprint Backlog'!$J86=I$2,'ProductSprint Backlog'!$I86=I$2), 'ProductSprint Backlog'!$F86, TRUE, 0)</f>
        <v>0</v>
      </c>
      <c r="J86" s="4" cm="1">
        <f t="array" ref="J86">_xlfn.IFS('ProductSprint Backlog'!$F86="", "", AND('ProductSprint Backlog'!$J86&gt;J$2,'ProductSprint Backlog'!$I86&lt;=J$2), 'ProductSprint Backlog'!$F86 / MAX(1, 'ProductSprint Backlog'!$J86-'ProductSprint Backlog'!$I86), AND('ProductSprint Backlog'!$J86=J$2,'ProductSprint Backlog'!$I86=J$2), 'ProductSprint Backlog'!$F86, TRUE, 0)</f>
        <v>0</v>
      </c>
      <c r="K86" s="4" cm="1">
        <f t="array" ref="K86">_xlfn.IFS('ProductSprint Backlog'!$F86="", "", AND('ProductSprint Backlog'!$J86&gt;K$2,'ProductSprint Backlog'!$I86&lt;=K$2), 'ProductSprint Backlog'!$F86 / MAX(1, 'ProductSprint Backlog'!$J86-'ProductSprint Backlog'!$I86), AND('ProductSprint Backlog'!$J86=K$2,'ProductSprint Backlog'!$I86=K$2), 'ProductSprint Backlog'!$F86, TRUE, 0)</f>
        <v>0</v>
      </c>
      <c r="L86" s="4" cm="1">
        <f t="array" ref="L86">_xlfn.IFS('ProductSprint Backlog'!$F86="", "", AND('ProductSprint Backlog'!$J86&gt;L$2,'ProductSprint Backlog'!$I86&lt;=L$2), 'ProductSprint Backlog'!$F86 / MAX(1, 'ProductSprint Backlog'!$J86-'ProductSprint Backlog'!$I86), AND('ProductSprint Backlog'!$J86=L$2,'ProductSprint Backlog'!$I86=L$2), 'ProductSprint Backlog'!$F86, TRUE, 0)</f>
        <v>0</v>
      </c>
      <c r="M86" s="4" cm="1">
        <f t="array" ref="M86">_xlfn.IFS('ProductSprint Backlog'!$F86="", "", AND('ProductSprint Backlog'!$J86&gt;M$2,'ProductSprint Backlog'!$I86&lt;=M$2), 'ProductSprint Backlog'!$F86 / MAX(1, 'ProductSprint Backlog'!$J86-'ProductSprint Backlog'!$I86), AND('ProductSprint Backlog'!$J86=M$2,'ProductSprint Backlog'!$I86=M$2), 'ProductSprint Backlog'!$F86, TRUE, 0)</f>
        <v>0</v>
      </c>
      <c r="N86" s="4" cm="1">
        <f t="array" ref="N86">_xlfn.IFS('ProductSprint Backlog'!$F86="", "", AND('ProductSprint Backlog'!$J86&gt;N$2,'ProductSprint Backlog'!$I86&lt;=N$2), 'ProductSprint Backlog'!$F86 / MAX(1, 'ProductSprint Backlog'!$J86-'ProductSprint Backlog'!$I86), AND('ProductSprint Backlog'!$J86=N$2,'ProductSprint Backlog'!$I86=N$2), 'ProductSprint Backlog'!$F86, TRUE, 0)</f>
        <v>0</v>
      </c>
      <c r="O86" s="4" cm="1">
        <f t="array" ref="O86">_xlfn.IFS('ProductSprint Backlog'!$F86="", "", AND('ProductSprint Backlog'!$J86&gt;O$2,'ProductSprint Backlog'!$I86&lt;=O$2), 'ProductSprint Backlog'!$F86 / MAX(1, 'ProductSprint Backlog'!$J86-'ProductSprint Backlog'!$I86), AND('ProductSprint Backlog'!$J86=O$2,'ProductSprint Backlog'!$I86=O$2), 'ProductSprint Backlog'!$F86, TRUE, 0)</f>
        <v>0</v>
      </c>
    </row>
    <row r="87" spans="2:15" x14ac:dyDescent="0.2">
      <c r="B87" s="4" cm="1">
        <f t="array" ref="B87">_xlfn.IFS('ProductSprint Backlog'!$F87="", "", AND('ProductSprint Backlog'!$J87&gt;B$2,'ProductSprint Backlog'!$I87&lt;=B$2), 'ProductSprint Backlog'!$F87 / MAX(1, 'ProductSprint Backlog'!$J87-'ProductSprint Backlog'!$I87), AND('ProductSprint Backlog'!$J87=B$2,'ProductSprint Backlog'!$I87=B$2), 'ProductSprint Backlog'!$F87, TRUE, 0)</f>
        <v>0</v>
      </c>
      <c r="C87" s="4" cm="1">
        <f t="array" ref="C87">_xlfn.IFS('ProductSprint Backlog'!$F87="", "", AND('ProductSprint Backlog'!$J87&gt;C$2,'ProductSprint Backlog'!$I87&lt;=C$2), 'ProductSprint Backlog'!$F87 / MAX(1, 'ProductSprint Backlog'!$J87-'ProductSprint Backlog'!$I87), AND('ProductSprint Backlog'!$J87=C$2,'ProductSprint Backlog'!$I87=C$2), 'ProductSprint Backlog'!$F87, TRUE, 0)</f>
        <v>0</v>
      </c>
      <c r="D87" s="4" cm="1">
        <f t="array" ref="D87">_xlfn.IFS('ProductSprint Backlog'!$F87="", "", AND('ProductSprint Backlog'!$J87&gt;D$2,'ProductSprint Backlog'!$I87&lt;=D$2), 'ProductSprint Backlog'!$F87 / MAX(1, 'ProductSprint Backlog'!$J87-'ProductSprint Backlog'!$I87), AND('ProductSprint Backlog'!$J87=D$2,'ProductSprint Backlog'!$I87=D$2), 'ProductSprint Backlog'!$F87, TRUE, 0)</f>
        <v>0</v>
      </c>
      <c r="E87" s="4" cm="1">
        <f t="array" ref="E87">_xlfn.IFS('ProductSprint Backlog'!$F87="", "", AND('ProductSprint Backlog'!$J87&gt;E$2,'ProductSprint Backlog'!$I87&lt;=E$2), 'ProductSprint Backlog'!$F87 / MAX(1, 'ProductSprint Backlog'!$J87-'ProductSprint Backlog'!$I87), AND('ProductSprint Backlog'!$J87=E$2,'ProductSprint Backlog'!$I87=E$2), 'ProductSprint Backlog'!$F87, TRUE, 0)</f>
        <v>0</v>
      </c>
      <c r="F87" s="4" cm="1">
        <f t="array" ref="F87">_xlfn.IFS('ProductSprint Backlog'!$F87="", "", AND('ProductSprint Backlog'!$J87&gt;F$2,'ProductSprint Backlog'!$I87&lt;=F$2), 'ProductSprint Backlog'!$F87 / MAX(1, 'ProductSprint Backlog'!$J87-'ProductSprint Backlog'!$I87), AND('ProductSprint Backlog'!$J87=F$2,'ProductSprint Backlog'!$I87=F$2), 'ProductSprint Backlog'!$F87, TRUE, 0)</f>
        <v>0</v>
      </c>
      <c r="G87" s="4" cm="1">
        <f t="array" ref="G87">_xlfn.IFS('ProductSprint Backlog'!$F87="", "", AND('ProductSprint Backlog'!$J87&gt;G$2,'ProductSprint Backlog'!$I87&lt;=G$2), 'ProductSprint Backlog'!$F87 / MAX(1, 'ProductSprint Backlog'!$J87-'ProductSprint Backlog'!$I87), AND('ProductSprint Backlog'!$J87=G$2,'ProductSprint Backlog'!$I87=G$2), 'ProductSprint Backlog'!$F87, TRUE, 0)</f>
        <v>0</v>
      </c>
      <c r="H87" s="4" cm="1">
        <f t="array" ref="H87">_xlfn.IFS('ProductSprint Backlog'!$F87="", "", AND('ProductSprint Backlog'!$J87&gt;H$2,'ProductSprint Backlog'!$I87&lt;=H$2), 'ProductSprint Backlog'!$F87 / MAX(1, 'ProductSprint Backlog'!$J87-'ProductSprint Backlog'!$I87), AND('ProductSprint Backlog'!$J87=H$2,'ProductSprint Backlog'!$I87=H$2), 'ProductSprint Backlog'!$F87, TRUE, 0)</f>
        <v>0</v>
      </c>
      <c r="I87" s="4" cm="1">
        <f t="array" ref="I87">_xlfn.IFS('ProductSprint Backlog'!$F87="", "", AND('ProductSprint Backlog'!$J87&gt;I$2,'ProductSprint Backlog'!$I87&lt;=I$2), 'ProductSprint Backlog'!$F87 / MAX(1, 'ProductSprint Backlog'!$J87-'ProductSprint Backlog'!$I87), AND('ProductSprint Backlog'!$J87=I$2,'ProductSprint Backlog'!$I87=I$2), 'ProductSprint Backlog'!$F87, TRUE, 0)</f>
        <v>0</v>
      </c>
      <c r="J87" s="4" cm="1">
        <f t="array" ref="J87">_xlfn.IFS('ProductSprint Backlog'!$F87="", "", AND('ProductSprint Backlog'!$J87&gt;J$2,'ProductSprint Backlog'!$I87&lt;=J$2), 'ProductSprint Backlog'!$F87 / MAX(1, 'ProductSprint Backlog'!$J87-'ProductSprint Backlog'!$I87), AND('ProductSprint Backlog'!$J87=J$2,'ProductSprint Backlog'!$I87=J$2), 'ProductSprint Backlog'!$F87, TRUE, 0)</f>
        <v>0</v>
      </c>
      <c r="K87" s="4" cm="1">
        <f t="array" ref="K87">_xlfn.IFS('ProductSprint Backlog'!$F87="", "", AND('ProductSprint Backlog'!$J87&gt;K$2,'ProductSprint Backlog'!$I87&lt;=K$2), 'ProductSprint Backlog'!$F87 / MAX(1, 'ProductSprint Backlog'!$J87-'ProductSprint Backlog'!$I87), AND('ProductSprint Backlog'!$J87=K$2,'ProductSprint Backlog'!$I87=K$2), 'ProductSprint Backlog'!$F87, TRUE, 0)</f>
        <v>0</v>
      </c>
      <c r="L87" s="4" cm="1">
        <f t="array" ref="L87">_xlfn.IFS('ProductSprint Backlog'!$F87="", "", AND('ProductSprint Backlog'!$J87&gt;L$2,'ProductSprint Backlog'!$I87&lt;=L$2), 'ProductSprint Backlog'!$F87 / MAX(1, 'ProductSprint Backlog'!$J87-'ProductSprint Backlog'!$I87), AND('ProductSprint Backlog'!$J87=L$2,'ProductSprint Backlog'!$I87=L$2), 'ProductSprint Backlog'!$F87, TRUE, 0)</f>
        <v>0</v>
      </c>
      <c r="M87" s="4" cm="1">
        <f t="array" ref="M87">_xlfn.IFS('ProductSprint Backlog'!$F87="", "", AND('ProductSprint Backlog'!$J87&gt;M$2,'ProductSprint Backlog'!$I87&lt;=M$2), 'ProductSprint Backlog'!$F87 / MAX(1, 'ProductSprint Backlog'!$J87-'ProductSprint Backlog'!$I87), AND('ProductSprint Backlog'!$J87=M$2,'ProductSprint Backlog'!$I87=M$2), 'ProductSprint Backlog'!$F87, TRUE, 0)</f>
        <v>0</v>
      </c>
      <c r="N87" s="4" cm="1">
        <f t="array" ref="N87">_xlfn.IFS('ProductSprint Backlog'!$F87="", "", AND('ProductSprint Backlog'!$J87&gt;N$2,'ProductSprint Backlog'!$I87&lt;=N$2), 'ProductSprint Backlog'!$F87 / MAX(1, 'ProductSprint Backlog'!$J87-'ProductSprint Backlog'!$I87), AND('ProductSprint Backlog'!$J87=N$2,'ProductSprint Backlog'!$I87=N$2), 'ProductSprint Backlog'!$F87, TRUE, 0)</f>
        <v>0</v>
      </c>
      <c r="O87" s="4" cm="1">
        <f t="array" ref="O87">_xlfn.IFS('ProductSprint Backlog'!$F87="", "", AND('ProductSprint Backlog'!$J87&gt;O$2,'ProductSprint Backlog'!$I87&lt;=O$2), 'ProductSprint Backlog'!$F87 / MAX(1, 'ProductSprint Backlog'!$J87-'ProductSprint Backlog'!$I87), AND('ProductSprint Backlog'!$J87=O$2,'ProductSprint Backlog'!$I87=O$2), 'ProductSprint Backlog'!$F87, TRUE, 0)</f>
        <v>0</v>
      </c>
    </row>
    <row r="88" spans="2:15" x14ac:dyDescent="0.2">
      <c r="B88" s="4" cm="1">
        <f t="array" ref="B88">_xlfn.IFS('ProductSprint Backlog'!$F88="", "", AND('ProductSprint Backlog'!$J88&gt;B$2,'ProductSprint Backlog'!$I88&lt;=B$2), 'ProductSprint Backlog'!$F88 / MAX(1, 'ProductSprint Backlog'!$J88-'ProductSprint Backlog'!$I88), AND('ProductSprint Backlog'!$J88=B$2,'ProductSprint Backlog'!$I88=B$2), 'ProductSprint Backlog'!$F88, TRUE, 0)</f>
        <v>0</v>
      </c>
      <c r="C88" s="4" cm="1">
        <f t="array" ref="C88">_xlfn.IFS('ProductSprint Backlog'!$F88="", "", AND('ProductSprint Backlog'!$J88&gt;C$2,'ProductSprint Backlog'!$I88&lt;=C$2), 'ProductSprint Backlog'!$F88 / MAX(1, 'ProductSprint Backlog'!$J88-'ProductSprint Backlog'!$I88), AND('ProductSprint Backlog'!$J88=C$2,'ProductSprint Backlog'!$I88=C$2), 'ProductSprint Backlog'!$F88, TRUE, 0)</f>
        <v>0</v>
      </c>
      <c r="D88" s="4" cm="1">
        <f t="array" ref="D88">_xlfn.IFS('ProductSprint Backlog'!$F88="", "", AND('ProductSprint Backlog'!$J88&gt;D$2,'ProductSprint Backlog'!$I88&lt;=D$2), 'ProductSprint Backlog'!$F88 / MAX(1, 'ProductSprint Backlog'!$J88-'ProductSprint Backlog'!$I88), AND('ProductSprint Backlog'!$J88=D$2,'ProductSprint Backlog'!$I88=D$2), 'ProductSprint Backlog'!$F88, TRUE, 0)</f>
        <v>0</v>
      </c>
      <c r="E88" s="4" cm="1">
        <f t="array" ref="E88">_xlfn.IFS('ProductSprint Backlog'!$F88="", "", AND('ProductSprint Backlog'!$J88&gt;E$2,'ProductSprint Backlog'!$I88&lt;=E$2), 'ProductSprint Backlog'!$F88 / MAX(1, 'ProductSprint Backlog'!$J88-'ProductSprint Backlog'!$I88), AND('ProductSprint Backlog'!$J88=E$2,'ProductSprint Backlog'!$I88=E$2), 'ProductSprint Backlog'!$F88, TRUE, 0)</f>
        <v>0</v>
      </c>
      <c r="F88" s="4" cm="1">
        <f t="array" ref="F88">_xlfn.IFS('ProductSprint Backlog'!$F88="", "", AND('ProductSprint Backlog'!$J88&gt;F$2,'ProductSprint Backlog'!$I88&lt;=F$2), 'ProductSprint Backlog'!$F88 / MAX(1, 'ProductSprint Backlog'!$J88-'ProductSprint Backlog'!$I88), AND('ProductSprint Backlog'!$J88=F$2,'ProductSprint Backlog'!$I88=F$2), 'ProductSprint Backlog'!$F88, TRUE, 0)</f>
        <v>0</v>
      </c>
      <c r="G88" s="4" cm="1">
        <f t="array" ref="G88">_xlfn.IFS('ProductSprint Backlog'!$F88="", "", AND('ProductSprint Backlog'!$J88&gt;G$2,'ProductSprint Backlog'!$I88&lt;=G$2), 'ProductSprint Backlog'!$F88 / MAX(1, 'ProductSprint Backlog'!$J88-'ProductSprint Backlog'!$I88), AND('ProductSprint Backlog'!$J88=G$2,'ProductSprint Backlog'!$I88=G$2), 'ProductSprint Backlog'!$F88, TRUE, 0)</f>
        <v>0</v>
      </c>
      <c r="H88" s="4" cm="1">
        <f t="array" ref="H88">_xlfn.IFS('ProductSprint Backlog'!$F88="", "", AND('ProductSprint Backlog'!$J88&gt;H$2,'ProductSprint Backlog'!$I88&lt;=H$2), 'ProductSprint Backlog'!$F88 / MAX(1, 'ProductSprint Backlog'!$J88-'ProductSprint Backlog'!$I88), AND('ProductSprint Backlog'!$J88=H$2,'ProductSprint Backlog'!$I88=H$2), 'ProductSprint Backlog'!$F88, TRUE, 0)</f>
        <v>0</v>
      </c>
      <c r="I88" s="4" cm="1">
        <f t="array" ref="I88">_xlfn.IFS('ProductSprint Backlog'!$F88="", "", AND('ProductSprint Backlog'!$J88&gt;I$2,'ProductSprint Backlog'!$I88&lt;=I$2), 'ProductSprint Backlog'!$F88 / MAX(1, 'ProductSprint Backlog'!$J88-'ProductSprint Backlog'!$I88), AND('ProductSprint Backlog'!$J88=I$2,'ProductSprint Backlog'!$I88=I$2), 'ProductSprint Backlog'!$F88, TRUE, 0)</f>
        <v>0</v>
      </c>
      <c r="J88" s="4" cm="1">
        <f t="array" ref="J88">_xlfn.IFS('ProductSprint Backlog'!$F88="", "", AND('ProductSprint Backlog'!$J88&gt;J$2,'ProductSprint Backlog'!$I88&lt;=J$2), 'ProductSprint Backlog'!$F88 / MAX(1, 'ProductSprint Backlog'!$J88-'ProductSprint Backlog'!$I88), AND('ProductSprint Backlog'!$J88=J$2,'ProductSprint Backlog'!$I88=J$2), 'ProductSprint Backlog'!$F88, TRUE, 0)</f>
        <v>0</v>
      </c>
      <c r="K88" s="4" cm="1">
        <f t="array" ref="K88">_xlfn.IFS('ProductSprint Backlog'!$F88="", "", AND('ProductSprint Backlog'!$J88&gt;K$2,'ProductSprint Backlog'!$I88&lt;=K$2), 'ProductSprint Backlog'!$F88 / MAX(1, 'ProductSprint Backlog'!$J88-'ProductSprint Backlog'!$I88), AND('ProductSprint Backlog'!$J88=K$2,'ProductSprint Backlog'!$I88=K$2), 'ProductSprint Backlog'!$F88, TRUE, 0)</f>
        <v>0</v>
      </c>
      <c r="L88" s="4" cm="1">
        <f t="array" ref="L88">_xlfn.IFS('ProductSprint Backlog'!$F88="", "", AND('ProductSprint Backlog'!$J88&gt;L$2,'ProductSprint Backlog'!$I88&lt;=L$2), 'ProductSprint Backlog'!$F88 / MAX(1, 'ProductSprint Backlog'!$J88-'ProductSprint Backlog'!$I88), AND('ProductSprint Backlog'!$J88=L$2,'ProductSprint Backlog'!$I88=L$2), 'ProductSprint Backlog'!$F88, TRUE, 0)</f>
        <v>0</v>
      </c>
      <c r="M88" s="4" cm="1">
        <f t="array" ref="M88">_xlfn.IFS('ProductSprint Backlog'!$F88="", "", AND('ProductSprint Backlog'!$J88&gt;M$2,'ProductSprint Backlog'!$I88&lt;=M$2), 'ProductSprint Backlog'!$F88 / MAX(1, 'ProductSprint Backlog'!$J88-'ProductSprint Backlog'!$I88), AND('ProductSprint Backlog'!$J88=M$2,'ProductSprint Backlog'!$I88=M$2), 'ProductSprint Backlog'!$F88, TRUE, 0)</f>
        <v>0</v>
      </c>
      <c r="N88" s="4" cm="1">
        <f t="array" ref="N88">_xlfn.IFS('ProductSprint Backlog'!$F88="", "", AND('ProductSprint Backlog'!$J88&gt;N$2,'ProductSprint Backlog'!$I88&lt;=N$2), 'ProductSprint Backlog'!$F88 / MAX(1, 'ProductSprint Backlog'!$J88-'ProductSprint Backlog'!$I88), AND('ProductSprint Backlog'!$J88=N$2,'ProductSprint Backlog'!$I88=N$2), 'ProductSprint Backlog'!$F88, TRUE, 0)</f>
        <v>0</v>
      </c>
      <c r="O88" s="4" cm="1">
        <f t="array" ref="O88">_xlfn.IFS('ProductSprint Backlog'!$F88="", "", AND('ProductSprint Backlog'!$J88&gt;O$2,'ProductSprint Backlog'!$I88&lt;=O$2), 'ProductSprint Backlog'!$F88 / MAX(1, 'ProductSprint Backlog'!$J88-'ProductSprint Backlog'!$I88), AND('ProductSprint Backlog'!$J88=O$2,'ProductSprint Backlog'!$I88=O$2), 'ProductSprint Backlog'!$F88, TRUE, 0)</f>
        <v>0</v>
      </c>
    </row>
    <row r="89" spans="2:15" x14ac:dyDescent="0.2">
      <c r="B89" s="4" cm="1">
        <f t="array" ref="B89">_xlfn.IFS('ProductSprint Backlog'!$F89="", "", AND('ProductSprint Backlog'!$J89&gt;B$2,'ProductSprint Backlog'!$I89&lt;=B$2), 'ProductSprint Backlog'!$F89 / MAX(1, 'ProductSprint Backlog'!$J89-'ProductSprint Backlog'!$I89), AND('ProductSprint Backlog'!$J89=B$2,'ProductSprint Backlog'!$I89=B$2), 'ProductSprint Backlog'!$F89, TRUE, 0)</f>
        <v>0</v>
      </c>
      <c r="C89" s="4" cm="1">
        <f t="array" ref="C89">_xlfn.IFS('ProductSprint Backlog'!$F89="", "", AND('ProductSprint Backlog'!$J89&gt;C$2,'ProductSprint Backlog'!$I89&lt;=C$2), 'ProductSprint Backlog'!$F89 / MAX(1, 'ProductSprint Backlog'!$J89-'ProductSprint Backlog'!$I89), AND('ProductSprint Backlog'!$J89=C$2,'ProductSprint Backlog'!$I89=C$2), 'ProductSprint Backlog'!$F89, TRUE, 0)</f>
        <v>0</v>
      </c>
      <c r="D89" s="4" cm="1">
        <f t="array" ref="D89">_xlfn.IFS('ProductSprint Backlog'!$F89="", "", AND('ProductSprint Backlog'!$J89&gt;D$2,'ProductSprint Backlog'!$I89&lt;=D$2), 'ProductSprint Backlog'!$F89 / MAX(1, 'ProductSprint Backlog'!$J89-'ProductSprint Backlog'!$I89), AND('ProductSprint Backlog'!$J89=D$2,'ProductSprint Backlog'!$I89=D$2), 'ProductSprint Backlog'!$F89, TRUE, 0)</f>
        <v>0</v>
      </c>
      <c r="E89" s="4" cm="1">
        <f t="array" ref="E89">_xlfn.IFS('ProductSprint Backlog'!$F89="", "", AND('ProductSprint Backlog'!$J89&gt;E$2,'ProductSprint Backlog'!$I89&lt;=E$2), 'ProductSprint Backlog'!$F89 / MAX(1, 'ProductSprint Backlog'!$J89-'ProductSprint Backlog'!$I89), AND('ProductSprint Backlog'!$J89=E$2,'ProductSprint Backlog'!$I89=E$2), 'ProductSprint Backlog'!$F89, TRUE, 0)</f>
        <v>0</v>
      </c>
      <c r="F89" s="4" cm="1">
        <f t="array" ref="F89">_xlfn.IFS('ProductSprint Backlog'!$F89="", "", AND('ProductSprint Backlog'!$J89&gt;F$2,'ProductSprint Backlog'!$I89&lt;=F$2), 'ProductSprint Backlog'!$F89 / MAX(1, 'ProductSprint Backlog'!$J89-'ProductSprint Backlog'!$I89), AND('ProductSprint Backlog'!$J89=F$2,'ProductSprint Backlog'!$I89=F$2), 'ProductSprint Backlog'!$F89, TRUE, 0)</f>
        <v>0</v>
      </c>
      <c r="G89" s="4" cm="1">
        <f t="array" ref="G89">_xlfn.IFS('ProductSprint Backlog'!$F89="", "", AND('ProductSprint Backlog'!$J89&gt;G$2,'ProductSprint Backlog'!$I89&lt;=G$2), 'ProductSprint Backlog'!$F89 / MAX(1, 'ProductSprint Backlog'!$J89-'ProductSprint Backlog'!$I89), AND('ProductSprint Backlog'!$J89=G$2,'ProductSprint Backlog'!$I89=G$2), 'ProductSprint Backlog'!$F89, TRUE, 0)</f>
        <v>0</v>
      </c>
      <c r="H89" s="4" cm="1">
        <f t="array" ref="H89">_xlfn.IFS('ProductSprint Backlog'!$F89="", "", AND('ProductSprint Backlog'!$J89&gt;H$2,'ProductSprint Backlog'!$I89&lt;=H$2), 'ProductSprint Backlog'!$F89 / MAX(1, 'ProductSprint Backlog'!$J89-'ProductSprint Backlog'!$I89), AND('ProductSprint Backlog'!$J89=H$2,'ProductSprint Backlog'!$I89=H$2), 'ProductSprint Backlog'!$F89, TRUE, 0)</f>
        <v>0</v>
      </c>
      <c r="I89" s="4" cm="1">
        <f t="array" ref="I89">_xlfn.IFS('ProductSprint Backlog'!$F89="", "", AND('ProductSprint Backlog'!$J89&gt;I$2,'ProductSprint Backlog'!$I89&lt;=I$2), 'ProductSprint Backlog'!$F89 / MAX(1, 'ProductSprint Backlog'!$J89-'ProductSprint Backlog'!$I89), AND('ProductSprint Backlog'!$J89=I$2,'ProductSprint Backlog'!$I89=I$2), 'ProductSprint Backlog'!$F89, TRUE, 0)</f>
        <v>0</v>
      </c>
      <c r="J89" s="4" cm="1">
        <f t="array" ref="J89">_xlfn.IFS('ProductSprint Backlog'!$F89="", "", AND('ProductSprint Backlog'!$J89&gt;J$2,'ProductSprint Backlog'!$I89&lt;=J$2), 'ProductSprint Backlog'!$F89 / MAX(1, 'ProductSprint Backlog'!$J89-'ProductSprint Backlog'!$I89), AND('ProductSprint Backlog'!$J89=J$2,'ProductSprint Backlog'!$I89=J$2), 'ProductSprint Backlog'!$F89, TRUE, 0)</f>
        <v>0</v>
      </c>
      <c r="K89" s="4" cm="1">
        <f t="array" ref="K89">_xlfn.IFS('ProductSprint Backlog'!$F89="", "", AND('ProductSprint Backlog'!$J89&gt;K$2,'ProductSprint Backlog'!$I89&lt;=K$2), 'ProductSprint Backlog'!$F89 / MAX(1, 'ProductSprint Backlog'!$J89-'ProductSprint Backlog'!$I89), AND('ProductSprint Backlog'!$J89=K$2,'ProductSprint Backlog'!$I89=K$2), 'ProductSprint Backlog'!$F89, TRUE, 0)</f>
        <v>0</v>
      </c>
      <c r="L89" s="4" cm="1">
        <f t="array" ref="L89">_xlfn.IFS('ProductSprint Backlog'!$F89="", "", AND('ProductSprint Backlog'!$J89&gt;L$2,'ProductSprint Backlog'!$I89&lt;=L$2), 'ProductSprint Backlog'!$F89 / MAX(1, 'ProductSprint Backlog'!$J89-'ProductSprint Backlog'!$I89), AND('ProductSprint Backlog'!$J89=L$2,'ProductSprint Backlog'!$I89=L$2), 'ProductSprint Backlog'!$F89, TRUE, 0)</f>
        <v>0</v>
      </c>
      <c r="M89" s="4" cm="1">
        <f t="array" ref="M89">_xlfn.IFS('ProductSprint Backlog'!$F89="", "", AND('ProductSprint Backlog'!$J89&gt;M$2,'ProductSprint Backlog'!$I89&lt;=M$2), 'ProductSprint Backlog'!$F89 / MAX(1, 'ProductSprint Backlog'!$J89-'ProductSprint Backlog'!$I89), AND('ProductSprint Backlog'!$J89=M$2,'ProductSprint Backlog'!$I89=M$2), 'ProductSprint Backlog'!$F89, TRUE, 0)</f>
        <v>0</v>
      </c>
      <c r="N89" s="4" cm="1">
        <f t="array" ref="N89">_xlfn.IFS('ProductSprint Backlog'!$F89="", "", AND('ProductSprint Backlog'!$J89&gt;N$2,'ProductSprint Backlog'!$I89&lt;=N$2), 'ProductSprint Backlog'!$F89 / MAX(1, 'ProductSprint Backlog'!$J89-'ProductSprint Backlog'!$I89), AND('ProductSprint Backlog'!$J89=N$2,'ProductSprint Backlog'!$I89=N$2), 'ProductSprint Backlog'!$F89, TRUE, 0)</f>
        <v>0</v>
      </c>
      <c r="O89" s="4" cm="1">
        <f t="array" ref="O89">_xlfn.IFS('ProductSprint Backlog'!$F89="", "", AND('ProductSprint Backlog'!$J89&gt;O$2,'ProductSprint Backlog'!$I89&lt;=O$2), 'ProductSprint Backlog'!$F89 / MAX(1, 'ProductSprint Backlog'!$J89-'ProductSprint Backlog'!$I89), AND('ProductSprint Backlog'!$J89=O$2,'ProductSprint Backlog'!$I89=O$2), 'ProductSprint Backlog'!$F89, TRUE, 0)</f>
        <v>0</v>
      </c>
    </row>
    <row r="90" spans="2:15" x14ac:dyDescent="0.2">
      <c r="B90" s="4" cm="1">
        <f t="array" ref="B90">_xlfn.IFS('ProductSprint Backlog'!$F90="", "", AND('ProductSprint Backlog'!$J90&gt;B$2,'ProductSprint Backlog'!$I90&lt;=B$2), 'ProductSprint Backlog'!$F90 / MAX(1, 'ProductSprint Backlog'!$J90-'ProductSprint Backlog'!$I90), AND('ProductSprint Backlog'!$J90=B$2,'ProductSprint Backlog'!$I90=B$2), 'ProductSprint Backlog'!$F90, TRUE, 0)</f>
        <v>0</v>
      </c>
      <c r="C90" s="4" cm="1">
        <f t="array" ref="C90">_xlfn.IFS('ProductSprint Backlog'!$F90="", "", AND('ProductSprint Backlog'!$J90&gt;C$2,'ProductSprint Backlog'!$I90&lt;=C$2), 'ProductSprint Backlog'!$F90 / MAX(1, 'ProductSprint Backlog'!$J90-'ProductSprint Backlog'!$I90), AND('ProductSprint Backlog'!$J90=C$2,'ProductSprint Backlog'!$I90=C$2), 'ProductSprint Backlog'!$F90, TRUE, 0)</f>
        <v>0</v>
      </c>
      <c r="D90" s="4" cm="1">
        <f t="array" ref="D90">_xlfn.IFS('ProductSprint Backlog'!$F90="", "", AND('ProductSprint Backlog'!$J90&gt;D$2,'ProductSprint Backlog'!$I90&lt;=D$2), 'ProductSprint Backlog'!$F90 / MAX(1, 'ProductSprint Backlog'!$J90-'ProductSprint Backlog'!$I90), AND('ProductSprint Backlog'!$J90=D$2,'ProductSprint Backlog'!$I90=D$2), 'ProductSprint Backlog'!$F90, TRUE, 0)</f>
        <v>0</v>
      </c>
      <c r="E90" s="4" cm="1">
        <f t="array" ref="E90">_xlfn.IFS('ProductSprint Backlog'!$F90="", "", AND('ProductSprint Backlog'!$J90&gt;E$2,'ProductSprint Backlog'!$I90&lt;=E$2), 'ProductSprint Backlog'!$F90 / MAX(1, 'ProductSprint Backlog'!$J90-'ProductSprint Backlog'!$I90), AND('ProductSprint Backlog'!$J90=E$2,'ProductSprint Backlog'!$I90=E$2), 'ProductSprint Backlog'!$F90, TRUE, 0)</f>
        <v>0</v>
      </c>
      <c r="F90" s="4" cm="1">
        <f t="array" ref="F90">_xlfn.IFS('ProductSprint Backlog'!$F90="", "", AND('ProductSprint Backlog'!$J90&gt;F$2,'ProductSprint Backlog'!$I90&lt;=F$2), 'ProductSprint Backlog'!$F90 / MAX(1, 'ProductSprint Backlog'!$J90-'ProductSprint Backlog'!$I90), AND('ProductSprint Backlog'!$J90=F$2,'ProductSprint Backlog'!$I90=F$2), 'ProductSprint Backlog'!$F90, TRUE, 0)</f>
        <v>0</v>
      </c>
      <c r="G90" s="4" cm="1">
        <f t="array" ref="G90">_xlfn.IFS('ProductSprint Backlog'!$F90="", "", AND('ProductSprint Backlog'!$J90&gt;G$2,'ProductSprint Backlog'!$I90&lt;=G$2), 'ProductSprint Backlog'!$F90 / MAX(1, 'ProductSprint Backlog'!$J90-'ProductSprint Backlog'!$I90), AND('ProductSprint Backlog'!$J90=G$2,'ProductSprint Backlog'!$I90=G$2), 'ProductSprint Backlog'!$F90, TRUE, 0)</f>
        <v>0</v>
      </c>
      <c r="H90" s="4" cm="1">
        <f t="array" ref="H90">_xlfn.IFS('ProductSprint Backlog'!$F90="", "", AND('ProductSprint Backlog'!$J90&gt;H$2,'ProductSprint Backlog'!$I90&lt;=H$2), 'ProductSprint Backlog'!$F90 / MAX(1, 'ProductSprint Backlog'!$J90-'ProductSprint Backlog'!$I90), AND('ProductSprint Backlog'!$J90=H$2,'ProductSprint Backlog'!$I90=H$2), 'ProductSprint Backlog'!$F90, TRUE, 0)</f>
        <v>0</v>
      </c>
      <c r="I90" s="4" cm="1">
        <f t="array" ref="I90">_xlfn.IFS('ProductSprint Backlog'!$F90="", "", AND('ProductSprint Backlog'!$J90&gt;I$2,'ProductSprint Backlog'!$I90&lt;=I$2), 'ProductSprint Backlog'!$F90 / MAX(1, 'ProductSprint Backlog'!$J90-'ProductSprint Backlog'!$I90), AND('ProductSprint Backlog'!$J90=I$2,'ProductSprint Backlog'!$I90=I$2), 'ProductSprint Backlog'!$F90, TRUE, 0)</f>
        <v>0</v>
      </c>
      <c r="J90" s="4" cm="1">
        <f t="array" ref="J90">_xlfn.IFS('ProductSprint Backlog'!$F90="", "", AND('ProductSprint Backlog'!$J90&gt;J$2,'ProductSprint Backlog'!$I90&lt;=J$2), 'ProductSprint Backlog'!$F90 / MAX(1, 'ProductSprint Backlog'!$J90-'ProductSprint Backlog'!$I90), AND('ProductSprint Backlog'!$J90=J$2,'ProductSprint Backlog'!$I90=J$2), 'ProductSprint Backlog'!$F90, TRUE, 0)</f>
        <v>0</v>
      </c>
      <c r="K90" s="4" cm="1">
        <f t="array" ref="K90">_xlfn.IFS('ProductSprint Backlog'!$F90="", "", AND('ProductSprint Backlog'!$J90&gt;K$2,'ProductSprint Backlog'!$I90&lt;=K$2), 'ProductSprint Backlog'!$F90 / MAX(1, 'ProductSprint Backlog'!$J90-'ProductSprint Backlog'!$I90), AND('ProductSprint Backlog'!$J90=K$2,'ProductSprint Backlog'!$I90=K$2), 'ProductSprint Backlog'!$F90, TRUE, 0)</f>
        <v>0</v>
      </c>
      <c r="L90" s="4" cm="1">
        <f t="array" ref="L90">_xlfn.IFS('ProductSprint Backlog'!$F90="", "", AND('ProductSprint Backlog'!$J90&gt;L$2,'ProductSprint Backlog'!$I90&lt;=L$2), 'ProductSprint Backlog'!$F90 / MAX(1, 'ProductSprint Backlog'!$J90-'ProductSprint Backlog'!$I90), AND('ProductSprint Backlog'!$J90=L$2,'ProductSprint Backlog'!$I90=L$2), 'ProductSprint Backlog'!$F90, TRUE, 0)</f>
        <v>0</v>
      </c>
      <c r="M90" s="4" cm="1">
        <f t="array" ref="M90">_xlfn.IFS('ProductSprint Backlog'!$F90="", "", AND('ProductSprint Backlog'!$J90&gt;M$2,'ProductSprint Backlog'!$I90&lt;=M$2), 'ProductSprint Backlog'!$F90 / MAX(1, 'ProductSprint Backlog'!$J90-'ProductSprint Backlog'!$I90), AND('ProductSprint Backlog'!$J90=M$2,'ProductSprint Backlog'!$I90=M$2), 'ProductSprint Backlog'!$F90, TRUE, 0)</f>
        <v>0</v>
      </c>
      <c r="N90" s="4" cm="1">
        <f t="array" ref="N90">_xlfn.IFS('ProductSprint Backlog'!$F90="", "", AND('ProductSprint Backlog'!$J90&gt;N$2,'ProductSprint Backlog'!$I90&lt;=N$2), 'ProductSprint Backlog'!$F90 / MAX(1, 'ProductSprint Backlog'!$J90-'ProductSprint Backlog'!$I90), AND('ProductSprint Backlog'!$J90=N$2,'ProductSprint Backlog'!$I90=N$2), 'ProductSprint Backlog'!$F90, TRUE, 0)</f>
        <v>0</v>
      </c>
      <c r="O90" s="4" cm="1">
        <f t="array" ref="O90">_xlfn.IFS('ProductSprint Backlog'!$F90="", "", AND('ProductSprint Backlog'!$J90&gt;O$2,'ProductSprint Backlog'!$I90&lt;=O$2), 'ProductSprint Backlog'!$F90 / MAX(1, 'ProductSprint Backlog'!$J90-'ProductSprint Backlog'!$I90), AND('ProductSprint Backlog'!$J90=O$2,'ProductSprint Backlog'!$I90=O$2), 'ProductSprint Backlog'!$F90, TRUE, 0)</f>
        <v>0</v>
      </c>
    </row>
    <row r="91" spans="2:15" x14ac:dyDescent="0.2">
      <c r="B91" s="4" cm="1">
        <f t="array" ref="B91">_xlfn.IFS('ProductSprint Backlog'!$F91="", "", AND('ProductSprint Backlog'!$J91&gt;B$2,'ProductSprint Backlog'!$I91&lt;=B$2), 'ProductSprint Backlog'!$F91 / MAX(1, 'ProductSprint Backlog'!$J91-'ProductSprint Backlog'!$I91), AND('ProductSprint Backlog'!$J91=B$2,'ProductSprint Backlog'!$I91=B$2), 'ProductSprint Backlog'!$F91, TRUE, 0)</f>
        <v>0</v>
      </c>
      <c r="C91" s="4" cm="1">
        <f t="array" ref="C91">_xlfn.IFS('ProductSprint Backlog'!$F91="", "", AND('ProductSprint Backlog'!$J91&gt;C$2,'ProductSprint Backlog'!$I91&lt;=C$2), 'ProductSprint Backlog'!$F91 / MAX(1, 'ProductSprint Backlog'!$J91-'ProductSprint Backlog'!$I91), AND('ProductSprint Backlog'!$J91=C$2,'ProductSprint Backlog'!$I91=C$2), 'ProductSprint Backlog'!$F91, TRUE, 0)</f>
        <v>0</v>
      </c>
      <c r="D91" s="4" cm="1">
        <f t="array" ref="D91">_xlfn.IFS('ProductSprint Backlog'!$F91="", "", AND('ProductSprint Backlog'!$J91&gt;D$2,'ProductSprint Backlog'!$I91&lt;=D$2), 'ProductSprint Backlog'!$F91 / MAX(1, 'ProductSprint Backlog'!$J91-'ProductSprint Backlog'!$I91), AND('ProductSprint Backlog'!$J91=D$2,'ProductSprint Backlog'!$I91=D$2), 'ProductSprint Backlog'!$F91, TRUE, 0)</f>
        <v>0</v>
      </c>
      <c r="E91" s="4" cm="1">
        <f t="array" ref="E91">_xlfn.IFS('ProductSprint Backlog'!$F91="", "", AND('ProductSprint Backlog'!$J91&gt;E$2,'ProductSprint Backlog'!$I91&lt;=E$2), 'ProductSprint Backlog'!$F91 / MAX(1, 'ProductSprint Backlog'!$J91-'ProductSprint Backlog'!$I91), AND('ProductSprint Backlog'!$J91=E$2,'ProductSprint Backlog'!$I91=E$2), 'ProductSprint Backlog'!$F91, TRUE, 0)</f>
        <v>0</v>
      </c>
      <c r="F91" s="4" cm="1">
        <f t="array" ref="F91">_xlfn.IFS('ProductSprint Backlog'!$F91="", "", AND('ProductSprint Backlog'!$J91&gt;F$2,'ProductSprint Backlog'!$I91&lt;=F$2), 'ProductSprint Backlog'!$F91 / MAX(1, 'ProductSprint Backlog'!$J91-'ProductSprint Backlog'!$I91), AND('ProductSprint Backlog'!$J91=F$2,'ProductSprint Backlog'!$I91=F$2), 'ProductSprint Backlog'!$F91, TRUE, 0)</f>
        <v>0</v>
      </c>
      <c r="G91" s="4" cm="1">
        <f t="array" ref="G91">_xlfn.IFS('ProductSprint Backlog'!$F91="", "", AND('ProductSprint Backlog'!$J91&gt;G$2,'ProductSprint Backlog'!$I91&lt;=G$2), 'ProductSprint Backlog'!$F91 / MAX(1, 'ProductSprint Backlog'!$J91-'ProductSprint Backlog'!$I91), AND('ProductSprint Backlog'!$J91=G$2,'ProductSprint Backlog'!$I91=G$2), 'ProductSprint Backlog'!$F91, TRUE, 0)</f>
        <v>0</v>
      </c>
      <c r="H91" s="4" cm="1">
        <f t="array" ref="H91">_xlfn.IFS('ProductSprint Backlog'!$F91="", "", AND('ProductSprint Backlog'!$J91&gt;H$2,'ProductSprint Backlog'!$I91&lt;=H$2), 'ProductSprint Backlog'!$F91 / MAX(1, 'ProductSprint Backlog'!$J91-'ProductSprint Backlog'!$I91), AND('ProductSprint Backlog'!$J91=H$2,'ProductSprint Backlog'!$I91=H$2), 'ProductSprint Backlog'!$F91, TRUE, 0)</f>
        <v>0</v>
      </c>
      <c r="I91" s="4" cm="1">
        <f t="array" ref="I91">_xlfn.IFS('ProductSprint Backlog'!$F91="", "", AND('ProductSprint Backlog'!$J91&gt;I$2,'ProductSprint Backlog'!$I91&lt;=I$2), 'ProductSprint Backlog'!$F91 / MAX(1, 'ProductSprint Backlog'!$J91-'ProductSprint Backlog'!$I91), AND('ProductSprint Backlog'!$J91=I$2,'ProductSprint Backlog'!$I91=I$2), 'ProductSprint Backlog'!$F91, TRUE, 0)</f>
        <v>0</v>
      </c>
      <c r="J91" s="4" cm="1">
        <f t="array" ref="J91">_xlfn.IFS('ProductSprint Backlog'!$F91="", "", AND('ProductSprint Backlog'!$J91&gt;J$2,'ProductSprint Backlog'!$I91&lt;=J$2), 'ProductSprint Backlog'!$F91 / MAX(1, 'ProductSprint Backlog'!$J91-'ProductSprint Backlog'!$I91), AND('ProductSprint Backlog'!$J91=J$2,'ProductSprint Backlog'!$I91=J$2), 'ProductSprint Backlog'!$F91, TRUE, 0)</f>
        <v>0</v>
      </c>
      <c r="K91" s="4" cm="1">
        <f t="array" ref="K91">_xlfn.IFS('ProductSprint Backlog'!$F91="", "", AND('ProductSprint Backlog'!$J91&gt;K$2,'ProductSprint Backlog'!$I91&lt;=K$2), 'ProductSprint Backlog'!$F91 / MAX(1, 'ProductSprint Backlog'!$J91-'ProductSprint Backlog'!$I91), AND('ProductSprint Backlog'!$J91=K$2,'ProductSprint Backlog'!$I91=K$2), 'ProductSprint Backlog'!$F91, TRUE, 0)</f>
        <v>0</v>
      </c>
      <c r="L91" s="4" cm="1">
        <f t="array" ref="L91">_xlfn.IFS('ProductSprint Backlog'!$F91="", "", AND('ProductSprint Backlog'!$J91&gt;L$2,'ProductSprint Backlog'!$I91&lt;=L$2), 'ProductSprint Backlog'!$F91 / MAX(1, 'ProductSprint Backlog'!$J91-'ProductSprint Backlog'!$I91), AND('ProductSprint Backlog'!$J91=L$2,'ProductSprint Backlog'!$I91=L$2), 'ProductSprint Backlog'!$F91, TRUE, 0)</f>
        <v>0</v>
      </c>
      <c r="M91" s="4" cm="1">
        <f t="array" ref="M91">_xlfn.IFS('ProductSprint Backlog'!$F91="", "", AND('ProductSprint Backlog'!$J91&gt;M$2,'ProductSprint Backlog'!$I91&lt;=M$2), 'ProductSprint Backlog'!$F91 / MAX(1, 'ProductSprint Backlog'!$J91-'ProductSprint Backlog'!$I91), AND('ProductSprint Backlog'!$J91=M$2,'ProductSprint Backlog'!$I91=M$2), 'ProductSprint Backlog'!$F91, TRUE, 0)</f>
        <v>0</v>
      </c>
      <c r="N91" s="4" cm="1">
        <f t="array" ref="N91">_xlfn.IFS('ProductSprint Backlog'!$F91="", "", AND('ProductSprint Backlog'!$J91&gt;N$2,'ProductSprint Backlog'!$I91&lt;=N$2), 'ProductSprint Backlog'!$F91 / MAX(1, 'ProductSprint Backlog'!$J91-'ProductSprint Backlog'!$I91), AND('ProductSprint Backlog'!$J91=N$2,'ProductSprint Backlog'!$I91=N$2), 'ProductSprint Backlog'!$F91, TRUE, 0)</f>
        <v>0</v>
      </c>
      <c r="O91" s="4" cm="1">
        <f t="array" ref="O91">_xlfn.IFS('ProductSprint Backlog'!$F91="", "", AND('ProductSprint Backlog'!$J91&gt;O$2,'ProductSprint Backlog'!$I91&lt;=O$2), 'ProductSprint Backlog'!$F91 / MAX(1, 'ProductSprint Backlog'!$J91-'ProductSprint Backlog'!$I91), AND('ProductSprint Backlog'!$J91=O$2,'ProductSprint Backlog'!$I91=O$2), 'ProductSprint Backlog'!$F91, TRUE, 0)</f>
        <v>0</v>
      </c>
    </row>
    <row r="92" spans="2:15" x14ac:dyDescent="0.2">
      <c r="B92" s="4" cm="1">
        <f t="array" ref="B92">_xlfn.IFS('ProductSprint Backlog'!$F92="", "", AND('ProductSprint Backlog'!$J92&gt;B$2,'ProductSprint Backlog'!$I92&lt;=B$2), 'ProductSprint Backlog'!$F92 / MAX(1, 'ProductSprint Backlog'!$J92-'ProductSprint Backlog'!$I92), AND('ProductSprint Backlog'!$J92=B$2,'ProductSprint Backlog'!$I92=B$2), 'ProductSprint Backlog'!$F92, TRUE, 0)</f>
        <v>0</v>
      </c>
      <c r="C92" s="4" cm="1">
        <f t="array" ref="C92">_xlfn.IFS('ProductSprint Backlog'!$F92="", "", AND('ProductSprint Backlog'!$J92&gt;C$2,'ProductSprint Backlog'!$I92&lt;=C$2), 'ProductSprint Backlog'!$F92 / MAX(1, 'ProductSprint Backlog'!$J92-'ProductSprint Backlog'!$I92), AND('ProductSprint Backlog'!$J92=C$2,'ProductSprint Backlog'!$I92=C$2), 'ProductSprint Backlog'!$F92, TRUE, 0)</f>
        <v>0</v>
      </c>
      <c r="D92" s="4" cm="1">
        <f t="array" ref="D92">_xlfn.IFS('ProductSprint Backlog'!$F92="", "", AND('ProductSprint Backlog'!$J92&gt;D$2,'ProductSprint Backlog'!$I92&lt;=D$2), 'ProductSprint Backlog'!$F92 / MAX(1, 'ProductSprint Backlog'!$J92-'ProductSprint Backlog'!$I92), AND('ProductSprint Backlog'!$J92=D$2,'ProductSprint Backlog'!$I92=D$2), 'ProductSprint Backlog'!$F92, TRUE, 0)</f>
        <v>0</v>
      </c>
      <c r="E92" s="4" cm="1">
        <f t="array" ref="E92">_xlfn.IFS('ProductSprint Backlog'!$F92="", "", AND('ProductSprint Backlog'!$J92&gt;E$2,'ProductSprint Backlog'!$I92&lt;=E$2), 'ProductSprint Backlog'!$F92 / MAX(1, 'ProductSprint Backlog'!$J92-'ProductSprint Backlog'!$I92), AND('ProductSprint Backlog'!$J92=E$2,'ProductSprint Backlog'!$I92=E$2), 'ProductSprint Backlog'!$F92, TRUE, 0)</f>
        <v>0</v>
      </c>
      <c r="F92" s="4" cm="1">
        <f t="array" ref="F92">_xlfn.IFS('ProductSprint Backlog'!$F92="", "", AND('ProductSprint Backlog'!$J92&gt;F$2,'ProductSprint Backlog'!$I92&lt;=F$2), 'ProductSprint Backlog'!$F92 / MAX(1, 'ProductSprint Backlog'!$J92-'ProductSprint Backlog'!$I92), AND('ProductSprint Backlog'!$J92=F$2,'ProductSprint Backlog'!$I92=F$2), 'ProductSprint Backlog'!$F92, TRUE, 0)</f>
        <v>0</v>
      </c>
      <c r="G92" s="4" cm="1">
        <f t="array" ref="G92">_xlfn.IFS('ProductSprint Backlog'!$F92="", "", AND('ProductSprint Backlog'!$J92&gt;G$2,'ProductSprint Backlog'!$I92&lt;=G$2), 'ProductSprint Backlog'!$F92 / MAX(1, 'ProductSprint Backlog'!$J92-'ProductSprint Backlog'!$I92), AND('ProductSprint Backlog'!$J92=G$2,'ProductSprint Backlog'!$I92=G$2), 'ProductSprint Backlog'!$F92, TRUE, 0)</f>
        <v>0</v>
      </c>
      <c r="H92" s="4" cm="1">
        <f t="array" ref="H92">_xlfn.IFS('ProductSprint Backlog'!$F92="", "", AND('ProductSprint Backlog'!$J92&gt;H$2,'ProductSprint Backlog'!$I92&lt;=H$2), 'ProductSprint Backlog'!$F92 / MAX(1, 'ProductSprint Backlog'!$J92-'ProductSprint Backlog'!$I92), AND('ProductSprint Backlog'!$J92=H$2,'ProductSprint Backlog'!$I92=H$2), 'ProductSprint Backlog'!$F92, TRUE, 0)</f>
        <v>0</v>
      </c>
      <c r="I92" s="4" cm="1">
        <f t="array" ref="I92">_xlfn.IFS('ProductSprint Backlog'!$F92="", "", AND('ProductSprint Backlog'!$J92&gt;I$2,'ProductSprint Backlog'!$I92&lt;=I$2), 'ProductSprint Backlog'!$F92 / MAX(1, 'ProductSprint Backlog'!$J92-'ProductSprint Backlog'!$I92), AND('ProductSprint Backlog'!$J92=I$2,'ProductSprint Backlog'!$I92=I$2), 'ProductSprint Backlog'!$F92, TRUE, 0)</f>
        <v>0</v>
      </c>
      <c r="J92" s="4" cm="1">
        <f t="array" ref="J92">_xlfn.IFS('ProductSprint Backlog'!$F92="", "", AND('ProductSprint Backlog'!$J92&gt;J$2,'ProductSprint Backlog'!$I92&lt;=J$2), 'ProductSprint Backlog'!$F92 / MAX(1, 'ProductSprint Backlog'!$J92-'ProductSprint Backlog'!$I92), AND('ProductSprint Backlog'!$J92=J$2,'ProductSprint Backlog'!$I92=J$2), 'ProductSprint Backlog'!$F92, TRUE, 0)</f>
        <v>0</v>
      </c>
      <c r="K92" s="4" cm="1">
        <f t="array" ref="K92">_xlfn.IFS('ProductSprint Backlog'!$F92="", "", AND('ProductSprint Backlog'!$J92&gt;K$2,'ProductSprint Backlog'!$I92&lt;=K$2), 'ProductSprint Backlog'!$F92 / MAX(1, 'ProductSprint Backlog'!$J92-'ProductSprint Backlog'!$I92), AND('ProductSprint Backlog'!$J92=K$2,'ProductSprint Backlog'!$I92=K$2), 'ProductSprint Backlog'!$F92, TRUE, 0)</f>
        <v>0</v>
      </c>
      <c r="L92" s="4" cm="1">
        <f t="array" ref="L92">_xlfn.IFS('ProductSprint Backlog'!$F92="", "", AND('ProductSprint Backlog'!$J92&gt;L$2,'ProductSprint Backlog'!$I92&lt;=L$2), 'ProductSprint Backlog'!$F92 / MAX(1, 'ProductSprint Backlog'!$J92-'ProductSprint Backlog'!$I92), AND('ProductSprint Backlog'!$J92=L$2,'ProductSprint Backlog'!$I92=L$2), 'ProductSprint Backlog'!$F92, TRUE, 0)</f>
        <v>0</v>
      </c>
      <c r="M92" s="4" cm="1">
        <f t="array" ref="M92">_xlfn.IFS('ProductSprint Backlog'!$F92="", "", AND('ProductSprint Backlog'!$J92&gt;M$2,'ProductSprint Backlog'!$I92&lt;=M$2), 'ProductSprint Backlog'!$F92 / MAX(1, 'ProductSprint Backlog'!$J92-'ProductSprint Backlog'!$I92), AND('ProductSprint Backlog'!$J92=M$2,'ProductSprint Backlog'!$I92=M$2), 'ProductSprint Backlog'!$F92, TRUE, 0)</f>
        <v>0</v>
      </c>
      <c r="N92" s="4" cm="1">
        <f t="array" ref="N92">_xlfn.IFS('ProductSprint Backlog'!$F92="", "", AND('ProductSprint Backlog'!$J92&gt;N$2,'ProductSprint Backlog'!$I92&lt;=N$2), 'ProductSprint Backlog'!$F92 / MAX(1, 'ProductSprint Backlog'!$J92-'ProductSprint Backlog'!$I92), AND('ProductSprint Backlog'!$J92=N$2,'ProductSprint Backlog'!$I92=N$2), 'ProductSprint Backlog'!$F92, TRUE, 0)</f>
        <v>0</v>
      </c>
      <c r="O92" s="4" cm="1">
        <f t="array" ref="O92">_xlfn.IFS('ProductSprint Backlog'!$F92="", "", AND('ProductSprint Backlog'!$J92&gt;O$2,'ProductSprint Backlog'!$I92&lt;=O$2), 'ProductSprint Backlog'!$F92 / MAX(1, 'ProductSprint Backlog'!$J92-'ProductSprint Backlog'!$I92), AND('ProductSprint Backlog'!$J92=O$2,'ProductSprint Backlog'!$I92=O$2), 'ProductSprint Backlog'!$F92, TRUE, 0)</f>
        <v>0</v>
      </c>
    </row>
    <row r="93" spans="2:15" x14ac:dyDescent="0.2">
      <c r="B93" s="4" cm="1">
        <f t="array" ref="B93">_xlfn.IFS('ProductSprint Backlog'!$F93="", "", AND('ProductSprint Backlog'!$J93&gt;B$2,'ProductSprint Backlog'!$I93&lt;=B$2), 'ProductSprint Backlog'!$F93 / MAX(1, 'ProductSprint Backlog'!$J93-'ProductSprint Backlog'!$I93), AND('ProductSprint Backlog'!$J93=B$2,'ProductSprint Backlog'!$I93=B$2), 'ProductSprint Backlog'!$F93, TRUE, 0)</f>
        <v>0</v>
      </c>
      <c r="C93" s="4" cm="1">
        <f t="array" ref="C93">_xlfn.IFS('ProductSprint Backlog'!$F93="", "", AND('ProductSprint Backlog'!$J93&gt;C$2,'ProductSprint Backlog'!$I93&lt;=C$2), 'ProductSprint Backlog'!$F93 / MAX(1, 'ProductSprint Backlog'!$J93-'ProductSprint Backlog'!$I93), AND('ProductSprint Backlog'!$J93=C$2,'ProductSprint Backlog'!$I93=C$2), 'ProductSprint Backlog'!$F93, TRUE, 0)</f>
        <v>0</v>
      </c>
      <c r="D93" s="4" cm="1">
        <f t="array" ref="D93">_xlfn.IFS('ProductSprint Backlog'!$F93="", "", AND('ProductSprint Backlog'!$J93&gt;D$2,'ProductSprint Backlog'!$I93&lt;=D$2), 'ProductSprint Backlog'!$F93 / MAX(1, 'ProductSprint Backlog'!$J93-'ProductSprint Backlog'!$I93), AND('ProductSprint Backlog'!$J93=D$2,'ProductSprint Backlog'!$I93=D$2), 'ProductSprint Backlog'!$F93, TRUE, 0)</f>
        <v>0</v>
      </c>
      <c r="E93" s="4" cm="1">
        <f t="array" ref="E93">_xlfn.IFS('ProductSprint Backlog'!$F93="", "", AND('ProductSprint Backlog'!$J93&gt;E$2,'ProductSprint Backlog'!$I93&lt;=E$2), 'ProductSprint Backlog'!$F93 / MAX(1, 'ProductSprint Backlog'!$J93-'ProductSprint Backlog'!$I93), AND('ProductSprint Backlog'!$J93=E$2,'ProductSprint Backlog'!$I93=E$2), 'ProductSprint Backlog'!$F93, TRUE, 0)</f>
        <v>0</v>
      </c>
      <c r="F93" s="4" cm="1">
        <f t="array" ref="F93">_xlfn.IFS('ProductSprint Backlog'!$F93="", "", AND('ProductSprint Backlog'!$J93&gt;F$2,'ProductSprint Backlog'!$I93&lt;=F$2), 'ProductSprint Backlog'!$F93 / MAX(1, 'ProductSprint Backlog'!$J93-'ProductSprint Backlog'!$I93), AND('ProductSprint Backlog'!$J93=F$2,'ProductSprint Backlog'!$I93=F$2), 'ProductSprint Backlog'!$F93, TRUE, 0)</f>
        <v>0</v>
      </c>
      <c r="G93" s="4" cm="1">
        <f t="array" ref="G93">_xlfn.IFS('ProductSprint Backlog'!$F93="", "", AND('ProductSprint Backlog'!$J93&gt;G$2,'ProductSprint Backlog'!$I93&lt;=G$2), 'ProductSprint Backlog'!$F93 / MAX(1, 'ProductSprint Backlog'!$J93-'ProductSprint Backlog'!$I93), AND('ProductSprint Backlog'!$J93=G$2,'ProductSprint Backlog'!$I93=G$2), 'ProductSprint Backlog'!$F93, TRUE, 0)</f>
        <v>0</v>
      </c>
      <c r="H93" s="4" cm="1">
        <f t="array" ref="H93">_xlfn.IFS('ProductSprint Backlog'!$F93="", "", AND('ProductSprint Backlog'!$J93&gt;H$2,'ProductSprint Backlog'!$I93&lt;=H$2), 'ProductSprint Backlog'!$F93 / MAX(1, 'ProductSprint Backlog'!$J93-'ProductSprint Backlog'!$I93), AND('ProductSprint Backlog'!$J93=H$2,'ProductSprint Backlog'!$I93=H$2), 'ProductSprint Backlog'!$F93, TRUE, 0)</f>
        <v>0</v>
      </c>
      <c r="I93" s="4" cm="1">
        <f t="array" ref="I93">_xlfn.IFS('ProductSprint Backlog'!$F93="", "", AND('ProductSprint Backlog'!$J93&gt;I$2,'ProductSprint Backlog'!$I93&lt;=I$2), 'ProductSprint Backlog'!$F93 / MAX(1, 'ProductSprint Backlog'!$J93-'ProductSprint Backlog'!$I93), AND('ProductSprint Backlog'!$J93=I$2,'ProductSprint Backlog'!$I93=I$2), 'ProductSprint Backlog'!$F93, TRUE, 0)</f>
        <v>0</v>
      </c>
      <c r="J93" s="4" cm="1">
        <f t="array" ref="J93">_xlfn.IFS('ProductSprint Backlog'!$F93="", "", AND('ProductSprint Backlog'!$J93&gt;J$2,'ProductSprint Backlog'!$I93&lt;=J$2), 'ProductSprint Backlog'!$F93 / MAX(1, 'ProductSprint Backlog'!$J93-'ProductSprint Backlog'!$I93), AND('ProductSprint Backlog'!$J93=J$2,'ProductSprint Backlog'!$I93=J$2), 'ProductSprint Backlog'!$F93, TRUE, 0)</f>
        <v>0</v>
      </c>
      <c r="K93" s="4" cm="1">
        <f t="array" ref="K93">_xlfn.IFS('ProductSprint Backlog'!$F93="", "", AND('ProductSprint Backlog'!$J93&gt;K$2,'ProductSprint Backlog'!$I93&lt;=K$2), 'ProductSprint Backlog'!$F93 / MAX(1, 'ProductSprint Backlog'!$J93-'ProductSprint Backlog'!$I93), AND('ProductSprint Backlog'!$J93=K$2,'ProductSprint Backlog'!$I93=K$2), 'ProductSprint Backlog'!$F93, TRUE, 0)</f>
        <v>0</v>
      </c>
      <c r="L93" s="4" cm="1">
        <f t="array" ref="L93">_xlfn.IFS('ProductSprint Backlog'!$F93="", "", AND('ProductSprint Backlog'!$J93&gt;L$2,'ProductSprint Backlog'!$I93&lt;=L$2), 'ProductSprint Backlog'!$F93 / MAX(1, 'ProductSprint Backlog'!$J93-'ProductSprint Backlog'!$I93), AND('ProductSprint Backlog'!$J93=L$2,'ProductSprint Backlog'!$I93=L$2), 'ProductSprint Backlog'!$F93, TRUE, 0)</f>
        <v>0</v>
      </c>
      <c r="M93" s="4" cm="1">
        <f t="array" ref="M93">_xlfn.IFS('ProductSprint Backlog'!$F93="", "", AND('ProductSprint Backlog'!$J93&gt;M$2,'ProductSprint Backlog'!$I93&lt;=M$2), 'ProductSprint Backlog'!$F93 / MAX(1, 'ProductSprint Backlog'!$J93-'ProductSprint Backlog'!$I93), AND('ProductSprint Backlog'!$J93=M$2,'ProductSprint Backlog'!$I93=M$2), 'ProductSprint Backlog'!$F93, TRUE, 0)</f>
        <v>0</v>
      </c>
      <c r="N93" s="4" cm="1">
        <f t="array" ref="N93">_xlfn.IFS('ProductSprint Backlog'!$F93="", "", AND('ProductSprint Backlog'!$J93&gt;N$2,'ProductSprint Backlog'!$I93&lt;=N$2), 'ProductSprint Backlog'!$F93 / MAX(1, 'ProductSprint Backlog'!$J93-'ProductSprint Backlog'!$I93), AND('ProductSprint Backlog'!$J93=N$2,'ProductSprint Backlog'!$I93=N$2), 'ProductSprint Backlog'!$F93, TRUE, 0)</f>
        <v>0</v>
      </c>
      <c r="O93" s="4" cm="1">
        <f t="array" ref="O93">_xlfn.IFS('ProductSprint Backlog'!$F93="", "", AND('ProductSprint Backlog'!$J93&gt;O$2,'ProductSprint Backlog'!$I93&lt;=O$2), 'ProductSprint Backlog'!$F93 / MAX(1, 'ProductSprint Backlog'!$J93-'ProductSprint Backlog'!$I93), AND('ProductSprint Backlog'!$J93=O$2,'ProductSprint Backlog'!$I93=O$2), 'ProductSprint Backlog'!$F93, TRUE, 0)</f>
        <v>0</v>
      </c>
    </row>
    <row r="94" spans="2:15" x14ac:dyDescent="0.2">
      <c r="B94" s="4" cm="1">
        <f t="array" ref="B94">_xlfn.IFS('ProductSprint Backlog'!$F94="", "", AND('ProductSprint Backlog'!$J94&gt;B$2,'ProductSprint Backlog'!$I94&lt;=B$2), 'ProductSprint Backlog'!$F94 / MAX(1, 'ProductSprint Backlog'!$J94-'ProductSprint Backlog'!$I94), AND('ProductSprint Backlog'!$J94=B$2,'ProductSprint Backlog'!$I94=B$2), 'ProductSprint Backlog'!$F94, TRUE, 0)</f>
        <v>0</v>
      </c>
      <c r="C94" s="4" cm="1">
        <f t="array" ref="C94">_xlfn.IFS('ProductSprint Backlog'!$F94="", "", AND('ProductSprint Backlog'!$J94&gt;C$2,'ProductSprint Backlog'!$I94&lt;=C$2), 'ProductSprint Backlog'!$F94 / MAX(1, 'ProductSprint Backlog'!$J94-'ProductSprint Backlog'!$I94), AND('ProductSprint Backlog'!$J94=C$2,'ProductSprint Backlog'!$I94=C$2), 'ProductSprint Backlog'!$F94, TRUE, 0)</f>
        <v>0</v>
      </c>
      <c r="D94" s="4" cm="1">
        <f t="array" ref="D94">_xlfn.IFS('ProductSprint Backlog'!$F94="", "", AND('ProductSprint Backlog'!$J94&gt;D$2,'ProductSprint Backlog'!$I94&lt;=D$2), 'ProductSprint Backlog'!$F94 / MAX(1, 'ProductSprint Backlog'!$J94-'ProductSprint Backlog'!$I94), AND('ProductSprint Backlog'!$J94=D$2,'ProductSprint Backlog'!$I94=D$2), 'ProductSprint Backlog'!$F94, TRUE, 0)</f>
        <v>0</v>
      </c>
      <c r="E94" s="4" cm="1">
        <f t="array" ref="E94">_xlfn.IFS('ProductSprint Backlog'!$F94="", "", AND('ProductSprint Backlog'!$J94&gt;E$2,'ProductSprint Backlog'!$I94&lt;=E$2), 'ProductSprint Backlog'!$F94 / MAX(1, 'ProductSprint Backlog'!$J94-'ProductSprint Backlog'!$I94), AND('ProductSprint Backlog'!$J94=E$2,'ProductSprint Backlog'!$I94=E$2), 'ProductSprint Backlog'!$F94, TRUE, 0)</f>
        <v>0</v>
      </c>
      <c r="F94" s="4" cm="1">
        <f t="array" ref="F94">_xlfn.IFS('ProductSprint Backlog'!$F94="", "", AND('ProductSprint Backlog'!$J94&gt;F$2,'ProductSprint Backlog'!$I94&lt;=F$2), 'ProductSprint Backlog'!$F94 / MAX(1, 'ProductSprint Backlog'!$J94-'ProductSprint Backlog'!$I94), AND('ProductSprint Backlog'!$J94=F$2,'ProductSprint Backlog'!$I94=F$2), 'ProductSprint Backlog'!$F94, TRUE, 0)</f>
        <v>0</v>
      </c>
      <c r="G94" s="4" cm="1">
        <f t="array" ref="G94">_xlfn.IFS('ProductSprint Backlog'!$F94="", "", AND('ProductSprint Backlog'!$J94&gt;G$2,'ProductSprint Backlog'!$I94&lt;=G$2), 'ProductSprint Backlog'!$F94 / MAX(1, 'ProductSprint Backlog'!$J94-'ProductSprint Backlog'!$I94), AND('ProductSprint Backlog'!$J94=G$2,'ProductSprint Backlog'!$I94=G$2), 'ProductSprint Backlog'!$F94, TRUE, 0)</f>
        <v>0</v>
      </c>
      <c r="H94" s="4" cm="1">
        <f t="array" ref="H94">_xlfn.IFS('ProductSprint Backlog'!$F94="", "", AND('ProductSprint Backlog'!$J94&gt;H$2,'ProductSprint Backlog'!$I94&lt;=H$2), 'ProductSprint Backlog'!$F94 / MAX(1, 'ProductSprint Backlog'!$J94-'ProductSprint Backlog'!$I94), AND('ProductSprint Backlog'!$J94=H$2,'ProductSprint Backlog'!$I94=H$2), 'ProductSprint Backlog'!$F94, TRUE, 0)</f>
        <v>0</v>
      </c>
      <c r="I94" s="4" cm="1">
        <f t="array" ref="I94">_xlfn.IFS('ProductSprint Backlog'!$F94="", "", AND('ProductSprint Backlog'!$J94&gt;I$2,'ProductSprint Backlog'!$I94&lt;=I$2), 'ProductSprint Backlog'!$F94 / MAX(1, 'ProductSprint Backlog'!$J94-'ProductSprint Backlog'!$I94), AND('ProductSprint Backlog'!$J94=I$2,'ProductSprint Backlog'!$I94=I$2), 'ProductSprint Backlog'!$F94, TRUE, 0)</f>
        <v>0</v>
      </c>
      <c r="J94" s="4" cm="1">
        <f t="array" ref="J94">_xlfn.IFS('ProductSprint Backlog'!$F94="", "", AND('ProductSprint Backlog'!$J94&gt;J$2,'ProductSprint Backlog'!$I94&lt;=J$2), 'ProductSprint Backlog'!$F94 / MAX(1, 'ProductSprint Backlog'!$J94-'ProductSprint Backlog'!$I94), AND('ProductSprint Backlog'!$J94=J$2,'ProductSprint Backlog'!$I94=J$2), 'ProductSprint Backlog'!$F94, TRUE, 0)</f>
        <v>0</v>
      </c>
      <c r="K94" s="4" cm="1">
        <f t="array" ref="K94">_xlfn.IFS('ProductSprint Backlog'!$F94="", "", AND('ProductSprint Backlog'!$J94&gt;K$2,'ProductSprint Backlog'!$I94&lt;=K$2), 'ProductSprint Backlog'!$F94 / MAX(1, 'ProductSprint Backlog'!$J94-'ProductSprint Backlog'!$I94), AND('ProductSprint Backlog'!$J94=K$2,'ProductSprint Backlog'!$I94=K$2), 'ProductSprint Backlog'!$F94, TRUE, 0)</f>
        <v>0</v>
      </c>
      <c r="L94" s="4" cm="1">
        <f t="array" ref="L94">_xlfn.IFS('ProductSprint Backlog'!$F94="", "", AND('ProductSprint Backlog'!$J94&gt;L$2,'ProductSprint Backlog'!$I94&lt;=L$2), 'ProductSprint Backlog'!$F94 / MAX(1, 'ProductSprint Backlog'!$J94-'ProductSprint Backlog'!$I94), AND('ProductSprint Backlog'!$J94=L$2,'ProductSprint Backlog'!$I94=L$2), 'ProductSprint Backlog'!$F94, TRUE, 0)</f>
        <v>0</v>
      </c>
      <c r="M94" s="4" cm="1">
        <f t="array" ref="M94">_xlfn.IFS('ProductSprint Backlog'!$F94="", "", AND('ProductSprint Backlog'!$J94&gt;M$2,'ProductSprint Backlog'!$I94&lt;=M$2), 'ProductSprint Backlog'!$F94 / MAX(1, 'ProductSprint Backlog'!$J94-'ProductSprint Backlog'!$I94), AND('ProductSprint Backlog'!$J94=M$2,'ProductSprint Backlog'!$I94=M$2), 'ProductSprint Backlog'!$F94, TRUE, 0)</f>
        <v>0</v>
      </c>
      <c r="N94" s="4" cm="1">
        <f t="array" ref="N94">_xlfn.IFS('ProductSprint Backlog'!$F94="", "", AND('ProductSprint Backlog'!$J94&gt;N$2,'ProductSprint Backlog'!$I94&lt;=N$2), 'ProductSprint Backlog'!$F94 / MAX(1, 'ProductSprint Backlog'!$J94-'ProductSprint Backlog'!$I94), AND('ProductSprint Backlog'!$J94=N$2,'ProductSprint Backlog'!$I94=N$2), 'ProductSprint Backlog'!$F94, TRUE, 0)</f>
        <v>0</v>
      </c>
      <c r="O94" s="4" cm="1">
        <f t="array" ref="O94">_xlfn.IFS('ProductSprint Backlog'!$F94="", "", AND('ProductSprint Backlog'!$J94&gt;O$2,'ProductSprint Backlog'!$I94&lt;=O$2), 'ProductSprint Backlog'!$F94 / MAX(1, 'ProductSprint Backlog'!$J94-'ProductSprint Backlog'!$I94), AND('ProductSprint Backlog'!$J94=O$2,'ProductSprint Backlog'!$I94=O$2), 'ProductSprint Backlog'!$F94, TRUE, 0)</f>
        <v>0</v>
      </c>
    </row>
    <row r="95" spans="2:15" x14ac:dyDescent="0.2">
      <c r="B95" s="4" cm="1">
        <f t="array" ref="B95">_xlfn.IFS('ProductSprint Backlog'!$F95="", "", AND('ProductSprint Backlog'!$J95&gt;B$2,'ProductSprint Backlog'!$I95&lt;=B$2), 'ProductSprint Backlog'!$F95 / MAX(1, 'ProductSprint Backlog'!$J95-'ProductSprint Backlog'!$I95), AND('ProductSprint Backlog'!$J95=B$2,'ProductSprint Backlog'!$I95=B$2), 'ProductSprint Backlog'!$F95, TRUE, 0)</f>
        <v>0</v>
      </c>
      <c r="C95" s="4" cm="1">
        <f t="array" ref="C95">_xlfn.IFS('ProductSprint Backlog'!$F95="", "", AND('ProductSprint Backlog'!$J95&gt;C$2,'ProductSprint Backlog'!$I95&lt;=C$2), 'ProductSprint Backlog'!$F95 / MAX(1, 'ProductSprint Backlog'!$J95-'ProductSprint Backlog'!$I95), AND('ProductSprint Backlog'!$J95=C$2,'ProductSprint Backlog'!$I95=C$2), 'ProductSprint Backlog'!$F95, TRUE, 0)</f>
        <v>0</v>
      </c>
      <c r="D95" s="4" cm="1">
        <f t="array" ref="D95">_xlfn.IFS('ProductSprint Backlog'!$F95="", "", AND('ProductSprint Backlog'!$J95&gt;D$2,'ProductSprint Backlog'!$I95&lt;=D$2), 'ProductSprint Backlog'!$F95 / MAX(1, 'ProductSprint Backlog'!$J95-'ProductSprint Backlog'!$I95), AND('ProductSprint Backlog'!$J95=D$2,'ProductSprint Backlog'!$I95=D$2), 'ProductSprint Backlog'!$F95, TRUE, 0)</f>
        <v>0</v>
      </c>
      <c r="E95" s="4" cm="1">
        <f t="array" ref="E95">_xlfn.IFS('ProductSprint Backlog'!$F95="", "", AND('ProductSprint Backlog'!$J95&gt;E$2,'ProductSprint Backlog'!$I95&lt;=E$2), 'ProductSprint Backlog'!$F95 / MAX(1, 'ProductSprint Backlog'!$J95-'ProductSprint Backlog'!$I95), AND('ProductSprint Backlog'!$J95=E$2,'ProductSprint Backlog'!$I95=E$2), 'ProductSprint Backlog'!$F95, TRUE, 0)</f>
        <v>0</v>
      </c>
      <c r="F95" s="4" cm="1">
        <f t="array" ref="F95">_xlfn.IFS('ProductSprint Backlog'!$F95="", "", AND('ProductSprint Backlog'!$J95&gt;F$2,'ProductSprint Backlog'!$I95&lt;=F$2), 'ProductSprint Backlog'!$F95 / MAX(1, 'ProductSprint Backlog'!$J95-'ProductSprint Backlog'!$I95), AND('ProductSprint Backlog'!$J95=F$2,'ProductSprint Backlog'!$I95=F$2), 'ProductSprint Backlog'!$F95, TRUE, 0)</f>
        <v>0</v>
      </c>
      <c r="G95" s="4" cm="1">
        <f t="array" ref="G95">_xlfn.IFS('ProductSprint Backlog'!$F95="", "", AND('ProductSprint Backlog'!$J95&gt;G$2,'ProductSprint Backlog'!$I95&lt;=G$2), 'ProductSprint Backlog'!$F95 / MAX(1, 'ProductSprint Backlog'!$J95-'ProductSprint Backlog'!$I95), AND('ProductSprint Backlog'!$J95=G$2,'ProductSprint Backlog'!$I95=G$2), 'ProductSprint Backlog'!$F95, TRUE, 0)</f>
        <v>0</v>
      </c>
      <c r="H95" s="4" cm="1">
        <f t="array" ref="H95">_xlfn.IFS('ProductSprint Backlog'!$F95="", "", AND('ProductSprint Backlog'!$J95&gt;H$2,'ProductSprint Backlog'!$I95&lt;=H$2), 'ProductSprint Backlog'!$F95 / MAX(1, 'ProductSprint Backlog'!$J95-'ProductSprint Backlog'!$I95), AND('ProductSprint Backlog'!$J95=H$2,'ProductSprint Backlog'!$I95=H$2), 'ProductSprint Backlog'!$F95, TRUE, 0)</f>
        <v>0</v>
      </c>
      <c r="I95" s="4" cm="1">
        <f t="array" ref="I95">_xlfn.IFS('ProductSprint Backlog'!$F95="", "", AND('ProductSprint Backlog'!$J95&gt;I$2,'ProductSprint Backlog'!$I95&lt;=I$2), 'ProductSprint Backlog'!$F95 / MAX(1, 'ProductSprint Backlog'!$J95-'ProductSprint Backlog'!$I95), AND('ProductSprint Backlog'!$J95=I$2,'ProductSprint Backlog'!$I95=I$2), 'ProductSprint Backlog'!$F95, TRUE, 0)</f>
        <v>0</v>
      </c>
      <c r="J95" s="4" cm="1">
        <f t="array" ref="J95">_xlfn.IFS('ProductSprint Backlog'!$F95="", "", AND('ProductSprint Backlog'!$J95&gt;J$2,'ProductSprint Backlog'!$I95&lt;=J$2), 'ProductSprint Backlog'!$F95 / MAX(1, 'ProductSprint Backlog'!$J95-'ProductSprint Backlog'!$I95), AND('ProductSprint Backlog'!$J95=J$2,'ProductSprint Backlog'!$I95=J$2), 'ProductSprint Backlog'!$F95, TRUE, 0)</f>
        <v>0</v>
      </c>
      <c r="K95" s="4" cm="1">
        <f t="array" ref="K95">_xlfn.IFS('ProductSprint Backlog'!$F95="", "", AND('ProductSprint Backlog'!$J95&gt;K$2,'ProductSprint Backlog'!$I95&lt;=K$2), 'ProductSprint Backlog'!$F95 / MAX(1, 'ProductSprint Backlog'!$J95-'ProductSprint Backlog'!$I95), AND('ProductSprint Backlog'!$J95=K$2,'ProductSprint Backlog'!$I95=K$2), 'ProductSprint Backlog'!$F95, TRUE, 0)</f>
        <v>0</v>
      </c>
      <c r="L95" s="4" cm="1">
        <f t="array" ref="L95">_xlfn.IFS('ProductSprint Backlog'!$F95="", "", AND('ProductSprint Backlog'!$J95&gt;L$2,'ProductSprint Backlog'!$I95&lt;=L$2), 'ProductSprint Backlog'!$F95 / MAX(1, 'ProductSprint Backlog'!$J95-'ProductSprint Backlog'!$I95), AND('ProductSprint Backlog'!$J95=L$2,'ProductSprint Backlog'!$I95=L$2), 'ProductSprint Backlog'!$F95, TRUE, 0)</f>
        <v>0</v>
      </c>
      <c r="M95" s="4" cm="1">
        <f t="array" ref="M95">_xlfn.IFS('ProductSprint Backlog'!$F95="", "", AND('ProductSprint Backlog'!$J95&gt;M$2,'ProductSprint Backlog'!$I95&lt;=M$2), 'ProductSprint Backlog'!$F95 / MAX(1, 'ProductSprint Backlog'!$J95-'ProductSprint Backlog'!$I95), AND('ProductSprint Backlog'!$J95=M$2,'ProductSprint Backlog'!$I95=M$2), 'ProductSprint Backlog'!$F95, TRUE, 0)</f>
        <v>0</v>
      </c>
      <c r="N95" s="4" cm="1">
        <f t="array" ref="N95">_xlfn.IFS('ProductSprint Backlog'!$F95="", "", AND('ProductSprint Backlog'!$J95&gt;N$2,'ProductSprint Backlog'!$I95&lt;=N$2), 'ProductSprint Backlog'!$F95 / MAX(1, 'ProductSprint Backlog'!$J95-'ProductSprint Backlog'!$I95), AND('ProductSprint Backlog'!$J95=N$2,'ProductSprint Backlog'!$I95=N$2), 'ProductSprint Backlog'!$F95, TRUE, 0)</f>
        <v>0</v>
      </c>
      <c r="O95" s="4" cm="1">
        <f t="array" ref="O95">_xlfn.IFS('ProductSprint Backlog'!$F95="", "", AND('ProductSprint Backlog'!$J95&gt;O$2,'ProductSprint Backlog'!$I95&lt;=O$2), 'ProductSprint Backlog'!$F95 / MAX(1, 'ProductSprint Backlog'!$J95-'ProductSprint Backlog'!$I95), AND('ProductSprint Backlog'!$J95=O$2,'ProductSprint Backlog'!$I95=O$2), 'ProductSprint Backlog'!$F95, TRUE, 0)</f>
        <v>0</v>
      </c>
    </row>
    <row r="96" spans="2:15" x14ac:dyDescent="0.2">
      <c r="B96" s="4" t="str" cm="1">
        <f t="array" ref="B96">_xlfn.IFS('ProductSprint Backlog'!$F96="", "", AND('ProductSprint Backlog'!$J96&gt;B$2,'ProductSprint Backlog'!$I96&lt;=B$2), 'ProductSprint Backlog'!$F96 / MAX(1, 'ProductSprint Backlog'!$J96-'ProductSprint Backlog'!$I96), AND('ProductSprint Backlog'!$J96=B$2,'ProductSprint Backlog'!$I96=B$2), 'ProductSprint Backlog'!$F96, TRUE, 0)</f>
        <v/>
      </c>
      <c r="C96" s="4" t="str" cm="1">
        <f t="array" ref="C96">_xlfn.IFS('ProductSprint Backlog'!$F96="", "", AND('ProductSprint Backlog'!$J96&gt;C$2,'ProductSprint Backlog'!$I96&lt;=C$2), 'ProductSprint Backlog'!$F96 / MAX(1, 'ProductSprint Backlog'!$J96-'ProductSprint Backlog'!$I96), AND('ProductSprint Backlog'!$J96=C$2,'ProductSprint Backlog'!$I96=C$2), 'ProductSprint Backlog'!$F96, TRUE, 0)</f>
        <v/>
      </c>
      <c r="D96" s="4" t="str" cm="1">
        <f t="array" ref="D96">_xlfn.IFS('ProductSprint Backlog'!$F96="", "", AND('ProductSprint Backlog'!$J96&gt;D$2,'ProductSprint Backlog'!$I96&lt;=D$2), 'ProductSprint Backlog'!$F96 / MAX(1, 'ProductSprint Backlog'!$J96-'ProductSprint Backlog'!$I96), AND('ProductSprint Backlog'!$J96=D$2,'ProductSprint Backlog'!$I96=D$2), 'ProductSprint Backlog'!$F96, TRUE, 0)</f>
        <v/>
      </c>
      <c r="E96" s="4" t="str" cm="1">
        <f t="array" ref="E96">_xlfn.IFS('ProductSprint Backlog'!$F96="", "", AND('ProductSprint Backlog'!$J96&gt;E$2,'ProductSprint Backlog'!$I96&lt;=E$2), 'ProductSprint Backlog'!$F96 / MAX(1, 'ProductSprint Backlog'!$J96-'ProductSprint Backlog'!$I96), AND('ProductSprint Backlog'!$J96=E$2,'ProductSprint Backlog'!$I96=E$2), 'ProductSprint Backlog'!$F96, TRUE, 0)</f>
        <v/>
      </c>
      <c r="F96" s="4" t="str" cm="1">
        <f t="array" ref="F96">_xlfn.IFS('ProductSprint Backlog'!$F96="", "", AND('ProductSprint Backlog'!$J96&gt;F$2,'ProductSprint Backlog'!$I96&lt;=F$2), 'ProductSprint Backlog'!$F96 / MAX(1, 'ProductSprint Backlog'!$J96-'ProductSprint Backlog'!$I96), AND('ProductSprint Backlog'!$J96=F$2,'ProductSprint Backlog'!$I96=F$2), 'ProductSprint Backlog'!$F96, TRUE, 0)</f>
        <v/>
      </c>
      <c r="G96" s="4" t="str" cm="1">
        <f t="array" ref="G96">_xlfn.IFS('ProductSprint Backlog'!$F96="", "", AND('ProductSprint Backlog'!$J96&gt;G$2,'ProductSprint Backlog'!$I96&lt;=G$2), 'ProductSprint Backlog'!$F96 / MAX(1, 'ProductSprint Backlog'!$J96-'ProductSprint Backlog'!$I96), AND('ProductSprint Backlog'!$J96=G$2,'ProductSprint Backlog'!$I96=G$2), 'ProductSprint Backlog'!$F96, TRUE, 0)</f>
        <v/>
      </c>
      <c r="H96" s="4" t="str" cm="1">
        <f t="array" ref="H96">_xlfn.IFS('ProductSprint Backlog'!$F96="", "", AND('ProductSprint Backlog'!$J96&gt;H$2,'ProductSprint Backlog'!$I96&lt;=H$2), 'ProductSprint Backlog'!$F96 / MAX(1, 'ProductSprint Backlog'!$J96-'ProductSprint Backlog'!$I96), AND('ProductSprint Backlog'!$J96=H$2,'ProductSprint Backlog'!$I96=H$2), 'ProductSprint Backlog'!$F96, TRUE, 0)</f>
        <v/>
      </c>
      <c r="I96" s="4" t="str" cm="1">
        <f t="array" ref="I96">_xlfn.IFS('ProductSprint Backlog'!$F96="", "", AND('ProductSprint Backlog'!$J96&gt;I$2,'ProductSprint Backlog'!$I96&lt;=I$2), 'ProductSprint Backlog'!$F96 / MAX(1, 'ProductSprint Backlog'!$J96-'ProductSprint Backlog'!$I96), AND('ProductSprint Backlog'!$J96=I$2,'ProductSprint Backlog'!$I96=I$2), 'ProductSprint Backlog'!$F96, TRUE, 0)</f>
        <v/>
      </c>
      <c r="J96" s="4" t="str" cm="1">
        <f t="array" ref="J96">_xlfn.IFS('ProductSprint Backlog'!$F96="", "", AND('ProductSprint Backlog'!$J96&gt;J$2,'ProductSprint Backlog'!$I96&lt;=J$2), 'ProductSprint Backlog'!$F96 / MAX(1, 'ProductSprint Backlog'!$J96-'ProductSprint Backlog'!$I96), AND('ProductSprint Backlog'!$J96=J$2,'ProductSprint Backlog'!$I96=J$2), 'ProductSprint Backlog'!$F96, TRUE, 0)</f>
        <v/>
      </c>
      <c r="K96" s="4" t="str" cm="1">
        <f t="array" ref="K96">_xlfn.IFS('ProductSprint Backlog'!$F96="", "", AND('ProductSprint Backlog'!$J96&gt;K$2,'ProductSprint Backlog'!$I96&lt;=K$2), 'ProductSprint Backlog'!$F96 / MAX(1, 'ProductSprint Backlog'!$J96-'ProductSprint Backlog'!$I96), AND('ProductSprint Backlog'!$J96=K$2,'ProductSprint Backlog'!$I96=K$2), 'ProductSprint Backlog'!$F96, TRUE, 0)</f>
        <v/>
      </c>
      <c r="L96" s="4" t="str" cm="1">
        <f t="array" ref="L96">_xlfn.IFS('ProductSprint Backlog'!$F96="", "", AND('ProductSprint Backlog'!$J96&gt;L$2,'ProductSprint Backlog'!$I96&lt;=L$2), 'ProductSprint Backlog'!$F96 / MAX(1, 'ProductSprint Backlog'!$J96-'ProductSprint Backlog'!$I96), AND('ProductSprint Backlog'!$J96=L$2,'ProductSprint Backlog'!$I96=L$2), 'ProductSprint Backlog'!$F96, TRUE, 0)</f>
        <v/>
      </c>
      <c r="M96" s="4" t="str" cm="1">
        <f t="array" ref="M96">_xlfn.IFS('ProductSprint Backlog'!$F96="", "", AND('ProductSprint Backlog'!$J96&gt;M$2,'ProductSprint Backlog'!$I96&lt;=M$2), 'ProductSprint Backlog'!$F96 / MAX(1, 'ProductSprint Backlog'!$J96-'ProductSprint Backlog'!$I96), AND('ProductSprint Backlog'!$J96=M$2,'ProductSprint Backlog'!$I96=M$2), 'ProductSprint Backlog'!$F96, TRUE, 0)</f>
        <v/>
      </c>
      <c r="N96" s="4" t="str" cm="1">
        <f t="array" ref="N96">_xlfn.IFS('ProductSprint Backlog'!$F96="", "", AND('ProductSprint Backlog'!$J96&gt;N$2,'ProductSprint Backlog'!$I96&lt;=N$2), 'ProductSprint Backlog'!$F96 / MAX(1, 'ProductSprint Backlog'!$J96-'ProductSprint Backlog'!$I96), AND('ProductSprint Backlog'!$J96=N$2,'ProductSprint Backlog'!$I96=N$2), 'ProductSprint Backlog'!$F96, TRUE, 0)</f>
        <v/>
      </c>
      <c r="O96" s="4" t="str" cm="1">
        <f t="array" ref="O96">_xlfn.IFS('ProductSprint Backlog'!$F96="", "", AND('ProductSprint Backlog'!$J96&gt;O$2,'ProductSprint Backlog'!$I96&lt;=O$2), 'ProductSprint Backlog'!$F96 / MAX(1, 'ProductSprint Backlog'!$J96-'ProductSprint Backlog'!$I96), AND('ProductSprint Backlog'!$J96=O$2,'ProductSprint Backlog'!$I96=O$2), 'ProductSprint Backlog'!$F96, TRUE, 0)</f>
        <v/>
      </c>
    </row>
    <row r="97" spans="2:15" x14ac:dyDescent="0.2">
      <c r="B97" s="4" cm="1">
        <f t="array" ref="B97">_xlfn.IFS('ProductSprint Backlog'!$F97="", "", AND('ProductSprint Backlog'!$J97&gt;B$2,'ProductSprint Backlog'!$I97&lt;=B$2), 'ProductSprint Backlog'!$F97 / MAX(1, 'ProductSprint Backlog'!$J97-'ProductSprint Backlog'!$I97), AND('ProductSprint Backlog'!$J97=B$2,'ProductSprint Backlog'!$I97=B$2), 'ProductSprint Backlog'!$F97, TRUE, 0)</f>
        <v>0</v>
      </c>
      <c r="C97" s="4" cm="1">
        <f t="array" ref="C97">_xlfn.IFS('ProductSprint Backlog'!$F97="", "", AND('ProductSprint Backlog'!$J97&gt;C$2,'ProductSprint Backlog'!$I97&lt;=C$2), 'ProductSprint Backlog'!$F97 / MAX(1, 'ProductSprint Backlog'!$J97-'ProductSprint Backlog'!$I97), AND('ProductSprint Backlog'!$J97=C$2,'ProductSprint Backlog'!$I97=C$2), 'ProductSprint Backlog'!$F97, TRUE, 0)</f>
        <v>0</v>
      </c>
      <c r="D97" s="4" cm="1">
        <f t="array" ref="D97">_xlfn.IFS('ProductSprint Backlog'!$F97="", "", AND('ProductSprint Backlog'!$J97&gt;D$2,'ProductSprint Backlog'!$I97&lt;=D$2), 'ProductSprint Backlog'!$F97 / MAX(1, 'ProductSprint Backlog'!$J97-'ProductSprint Backlog'!$I97), AND('ProductSprint Backlog'!$J97=D$2,'ProductSprint Backlog'!$I97=D$2), 'ProductSprint Backlog'!$F97, TRUE, 0)</f>
        <v>0</v>
      </c>
      <c r="E97" s="4" cm="1">
        <f t="array" ref="E97">_xlfn.IFS('ProductSprint Backlog'!$F97="", "", AND('ProductSprint Backlog'!$J97&gt;E$2,'ProductSprint Backlog'!$I97&lt;=E$2), 'ProductSprint Backlog'!$F97 / MAX(1, 'ProductSprint Backlog'!$J97-'ProductSprint Backlog'!$I97), AND('ProductSprint Backlog'!$J97=E$2,'ProductSprint Backlog'!$I97=E$2), 'ProductSprint Backlog'!$F97, TRUE, 0)</f>
        <v>0</v>
      </c>
      <c r="F97" s="4" cm="1">
        <f t="array" ref="F97">_xlfn.IFS('ProductSprint Backlog'!$F97="", "", AND('ProductSprint Backlog'!$J97&gt;F$2,'ProductSprint Backlog'!$I97&lt;=F$2), 'ProductSprint Backlog'!$F97 / MAX(1, 'ProductSprint Backlog'!$J97-'ProductSprint Backlog'!$I97), AND('ProductSprint Backlog'!$J97=F$2,'ProductSprint Backlog'!$I97=F$2), 'ProductSprint Backlog'!$F97, TRUE, 0)</f>
        <v>0</v>
      </c>
      <c r="G97" s="4" cm="1">
        <f t="array" ref="G97">_xlfn.IFS('ProductSprint Backlog'!$F97="", "", AND('ProductSprint Backlog'!$J97&gt;G$2,'ProductSprint Backlog'!$I97&lt;=G$2), 'ProductSprint Backlog'!$F97 / MAX(1, 'ProductSprint Backlog'!$J97-'ProductSprint Backlog'!$I97), AND('ProductSprint Backlog'!$J97=G$2,'ProductSprint Backlog'!$I97=G$2), 'ProductSprint Backlog'!$F97, TRUE, 0)</f>
        <v>0</v>
      </c>
      <c r="H97" s="4" cm="1">
        <f t="array" ref="H97">_xlfn.IFS('ProductSprint Backlog'!$F97="", "", AND('ProductSprint Backlog'!$J97&gt;H$2,'ProductSprint Backlog'!$I97&lt;=H$2), 'ProductSprint Backlog'!$F97 / MAX(1, 'ProductSprint Backlog'!$J97-'ProductSprint Backlog'!$I97), AND('ProductSprint Backlog'!$J97=H$2,'ProductSprint Backlog'!$I97=H$2), 'ProductSprint Backlog'!$F97, TRUE, 0)</f>
        <v>0</v>
      </c>
      <c r="I97" s="4" cm="1">
        <f t="array" ref="I97">_xlfn.IFS('ProductSprint Backlog'!$F97="", "", AND('ProductSprint Backlog'!$J97&gt;I$2,'ProductSprint Backlog'!$I97&lt;=I$2), 'ProductSprint Backlog'!$F97 / MAX(1, 'ProductSprint Backlog'!$J97-'ProductSprint Backlog'!$I97), AND('ProductSprint Backlog'!$J97=I$2,'ProductSprint Backlog'!$I97=I$2), 'ProductSprint Backlog'!$F97, TRUE, 0)</f>
        <v>0</v>
      </c>
      <c r="J97" s="4" cm="1">
        <f t="array" ref="J97">_xlfn.IFS('ProductSprint Backlog'!$F97="", "", AND('ProductSprint Backlog'!$J97&gt;J$2,'ProductSprint Backlog'!$I97&lt;=J$2), 'ProductSprint Backlog'!$F97 / MAX(1, 'ProductSprint Backlog'!$J97-'ProductSprint Backlog'!$I97), AND('ProductSprint Backlog'!$J97=J$2,'ProductSprint Backlog'!$I97=J$2), 'ProductSprint Backlog'!$F97, TRUE, 0)</f>
        <v>0</v>
      </c>
      <c r="K97" s="4" cm="1">
        <f t="array" ref="K97">_xlfn.IFS('ProductSprint Backlog'!$F97="", "", AND('ProductSprint Backlog'!$J97&gt;K$2,'ProductSprint Backlog'!$I97&lt;=K$2), 'ProductSprint Backlog'!$F97 / MAX(1, 'ProductSprint Backlog'!$J97-'ProductSprint Backlog'!$I97), AND('ProductSprint Backlog'!$J97=K$2,'ProductSprint Backlog'!$I97=K$2), 'ProductSprint Backlog'!$F97, TRUE, 0)</f>
        <v>0</v>
      </c>
      <c r="L97" s="4" cm="1">
        <f t="array" ref="L97">_xlfn.IFS('ProductSprint Backlog'!$F97="", "", AND('ProductSprint Backlog'!$J97&gt;L$2,'ProductSprint Backlog'!$I97&lt;=L$2), 'ProductSprint Backlog'!$F97 / MAX(1, 'ProductSprint Backlog'!$J97-'ProductSprint Backlog'!$I97), AND('ProductSprint Backlog'!$J97=L$2,'ProductSprint Backlog'!$I97=L$2), 'ProductSprint Backlog'!$F97, TRUE, 0)</f>
        <v>0</v>
      </c>
      <c r="M97" s="4" cm="1">
        <f t="array" ref="M97">_xlfn.IFS('ProductSprint Backlog'!$F97="", "", AND('ProductSprint Backlog'!$J97&gt;M$2,'ProductSprint Backlog'!$I97&lt;=M$2), 'ProductSprint Backlog'!$F97 / MAX(1, 'ProductSprint Backlog'!$J97-'ProductSprint Backlog'!$I97), AND('ProductSprint Backlog'!$J97=M$2,'ProductSprint Backlog'!$I97=M$2), 'ProductSprint Backlog'!$F97, TRUE, 0)</f>
        <v>0</v>
      </c>
      <c r="N97" s="4" cm="1">
        <f t="array" ref="N97">_xlfn.IFS('ProductSprint Backlog'!$F97="", "", AND('ProductSprint Backlog'!$J97&gt;N$2,'ProductSprint Backlog'!$I97&lt;=N$2), 'ProductSprint Backlog'!$F97 / MAX(1, 'ProductSprint Backlog'!$J97-'ProductSprint Backlog'!$I97), AND('ProductSprint Backlog'!$J97=N$2,'ProductSprint Backlog'!$I97=N$2), 'ProductSprint Backlog'!$F97, TRUE, 0)</f>
        <v>0</v>
      </c>
      <c r="O97" s="4" cm="1">
        <f t="array" ref="O97">_xlfn.IFS('ProductSprint Backlog'!$F97="", "", AND('ProductSprint Backlog'!$J97&gt;O$2,'ProductSprint Backlog'!$I97&lt;=O$2), 'ProductSprint Backlog'!$F97 / MAX(1, 'ProductSprint Backlog'!$J97-'ProductSprint Backlog'!$I97), AND('ProductSprint Backlog'!$J97=O$2,'ProductSprint Backlog'!$I97=O$2), 'ProductSprint Backlog'!$F97, TRUE, 0)</f>
        <v>0</v>
      </c>
    </row>
    <row r="98" spans="2:15" x14ac:dyDescent="0.2">
      <c r="B98" s="4" cm="1">
        <f t="array" ref="B98">_xlfn.IFS('ProductSprint Backlog'!$F98="", "", AND('ProductSprint Backlog'!$J98&gt;B$2,'ProductSprint Backlog'!$I98&lt;=B$2), 'ProductSprint Backlog'!$F98 / MAX(1, 'ProductSprint Backlog'!$J98-'ProductSprint Backlog'!$I98), AND('ProductSprint Backlog'!$J98=B$2,'ProductSprint Backlog'!$I98=B$2), 'ProductSprint Backlog'!$F98, TRUE, 0)</f>
        <v>0</v>
      </c>
      <c r="C98" s="4" cm="1">
        <f t="array" ref="C98">_xlfn.IFS('ProductSprint Backlog'!$F98="", "", AND('ProductSprint Backlog'!$J98&gt;C$2,'ProductSprint Backlog'!$I98&lt;=C$2), 'ProductSprint Backlog'!$F98 / MAX(1, 'ProductSprint Backlog'!$J98-'ProductSprint Backlog'!$I98), AND('ProductSprint Backlog'!$J98=C$2,'ProductSprint Backlog'!$I98=C$2), 'ProductSprint Backlog'!$F98, TRUE, 0)</f>
        <v>0</v>
      </c>
      <c r="D98" s="4" cm="1">
        <f t="array" ref="D98">_xlfn.IFS('ProductSprint Backlog'!$F98="", "", AND('ProductSprint Backlog'!$J98&gt;D$2,'ProductSprint Backlog'!$I98&lt;=D$2), 'ProductSprint Backlog'!$F98 / MAX(1, 'ProductSprint Backlog'!$J98-'ProductSprint Backlog'!$I98), AND('ProductSprint Backlog'!$J98=D$2,'ProductSprint Backlog'!$I98=D$2), 'ProductSprint Backlog'!$F98, TRUE, 0)</f>
        <v>0</v>
      </c>
      <c r="E98" s="4" cm="1">
        <f t="array" ref="E98">_xlfn.IFS('ProductSprint Backlog'!$F98="", "", AND('ProductSprint Backlog'!$J98&gt;E$2,'ProductSprint Backlog'!$I98&lt;=E$2), 'ProductSprint Backlog'!$F98 / MAX(1, 'ProductSprint Backlog'!$J98-'ProductSprint Backlog'!$I98), AND('ProductSprint Backlog'!$J98=E$2,'ProductSprint Backlog'!$I98=E$2), 'ProductSprint Backlog'!$F98, TRUE, 0)</f>
        <v>0</v>
      </c>
      <c r="F98" s="4" cm="1">
        <f t="array" ref="F98">_xlfn.IFS('ProductSprint Backlog'!$F98="", "", AND('ProductSprint Backlog'!$J98&gt;F$2,'ProductSprint Backlog'!$I98&lt;=F$2), 'ProductSprint Backlog'!$F98 / MAX(1, 'ProductSprint Backlog'!$J98-'ProductSprint Backlog'!$I98), AND('ProductSprint Backlog'!$J98=F$2,'ProductSprint Backlog'!$I98=F$2), 'ProductSprint Backlog'!$F98, TRUE, 0)</f>
        <v>0</v>
      </c>
      <c r="G98" s="4" cm="1">
        <f t="array" ref="G98">_xlfn.IFS('ProductSprint Backlog'!$F98="", "", AND('ProductSprint Backlog'!$J98&gt;G$2,'ProductSprint Backlog'!$I98&lt;=G$2), 'ProductSprint Backlog'!$F98 / MAX(1, 'ProductSprint Backlog'!$J98-'ProductSprint Backlog'!$I98), AND('ProductSprint Backlog'!$J98=G$2,'ProductSprint Backlog'!$I98=G$2), 'ProductSprint Backlog'!$F98, TRUE, 0)</f>
        <v>0</v>
      </c>
      <c r="H98" s="4" cm="1">
        <f t="array" ref="H98">_xlfn.IFS('ProductSprint Backlog'!$F98="", "", AND('ProductSprint Backlog'!$J98&gt;H$2,'ProductSprint Backlog'!$I98&lt;=H$2), 'ProductSprint Backlog'!$F98 / MAX(1, 'ProductSprint Backlog'!$J98-'ProductSprint Backlog'!$I98), AND('ProductSprint Backlog'!$J98=H$2,'ProductSprint Backlog'!$I98=H$2), 'ProductSprint Backlog'!$F98, TRUE, 0)</f>
        <v>0</v>
      </c>
      <c r="I98" s="4" cm="1">
        <f t="array" ref="I98">_xlfn.IFS('ProductSprint Backlog'!$F98="", "", AND('ProductSprint Backlog'!$J98&gt;I$2,'ProductSprint Backlog'!$I98&lt;=I$2), 'ProductSprint Backlog'!$F98 / MAX(1, 'ProductSprint Backlog'!$J98-'ProductSprint Backlog'!$I98), AND('ProductSprint Backlog'!$J98=I$2,'ProductSprint Backlog'!$I98=I$2), 'ProductSprint Backlog'!$F98, TRUE, 0)</f>
        <v>0</v>
      </c>
      <c r="J98" s="4" cm="1">
        <f t="array" ref="J98">_xlfn.IFS('ProductSprint Backlog'!$F98="", "", AND('ProductSprint Backlog'!$J98&gt;J$2,'ProductSprint Backlog'!$I98&lt;=J$2), 'ProductSprint Backlog'!$F98 / MAX(1, 'ProductSprint Backlog'!$J98-'ProductSprint Backlog'!$I98), AND('ProductSprint Backlog'!$J98=J$2,'ProductSprint Backlog'!$I98=J$2), 'ProductSprint Backlog'!$F98, TRUE, 0)</f>
        <v>0</v>
      </c>
      <c r="K98" s="4" cm="1">
        <f t="array" ref="K98">_xlfn.IFS('ProductSprint Backlog'!$F98="", "", AND('ProductSprint Backlog'!$J98&gt;K$2,'ProductSprint Backlog'!$I98&lt;=K$2), 'ProductSprint Backlog'!$F98 / MAX(1, 'ProductSprint Backlog'!$J98-'ProductSprint Backlog'!$I98), AND('ProductSprint Backlog'!$J98=K$2,'ProductSprint Backlog'!$I98=K$2), 'ProductSprint Backlog'!$F98, TRUE, 0)</f>
        <v>0</v>
      </c>
      <c r="L98" s="4" cm="1">
        <f t="array" ref="L98">_xlfn.IFS('ProductSprint Backlog'!$F98="", "", AND('ProductSprint Backlog'!$J98&gt;L$2,'ProductSprint Backlog'!$I98&lt;=L$2), 'ProductSprint Backlog'!$F98 / MAX(1, 'ProductSprint Backlog'!$J98-'ProductSprint Backlog'!$I98), AND('ProductSprint Backlog'!$J98=L$2,'ProductSprint Backlog'!$I98=L$2), 'ProductSprint Backlog'!$F98, TRUE, 0)</f>
        <v>0</v>
      </c>
      <c r="M98" s="4" cm="1">
        <f t="array" ref="M98">_xlfn.IFS('ProductSprint Backlog'!$F98="", "", AND('ProductSprint Backlog'!$J98&gt;M$2,'ProductSprint Backlog'!$I98&lt;=M$2), 'ProductSprint Backlog'!$F98 / MAX(1, 'ProductSprint Backlog'!$J98-'ProductSprint Backlog'!$I98), AND('ProductSprint Backlog'!$J98=M$2,'ProductSprint Backlog'!$I98=M$2), 'ProductSprint Backlog'!$F98, TRUE, 0)</f>
        <v>0</v>
      </c>
      <c r="N98" s="4" cm="1">
        <f t="array" ref="N98">_xlfn.IFS('ProductSprint Backlog'!$F98="", "", AND('ProductSprint Backlog'!$J98&gt;N$2,'ProductSprint Backlog'!$I98&lt;=N$2), 'ProductSprint Backlog'!$F98 / MAX(1, 'ProductSprint Backlog'!$J98-'ProductSprint Backlog'!$I98), AND('ProductSprint Backlog'!$J98=N$2,'ProductSprint Backlog'!$I98=N$2), 'ProductSprint Backlog'!$F98, TRUE, 0)</f>
        <v>0</v>
      </c>
      <c r="O98" s="4" cm="1">
        <f t="array" ref="O98">_xlfn.IFS('ProductSprint Backlog'!$F98="", "", AND('ProductSprint Backlog'!$J98&gt;O$2,'ProductSprint Backlog'!$I98&lt;=O$2), 'ProductSprint Backlog'!$F98 / MAX(1, 'ProductSprint Backlog'!$J98-'ProductSprint Backlog'!$I98), AND('ProductSprint Backlog'!$J98=O$2,'ProductSprint Backlog'!$I98=O$2), 'ProductSprint Backlog'!$F98, TRUE, 0)</f>
        <v>0</v>
      </c>
    </row>
    <row r="99" spans="2:15" x14ac:dyDescent="0.2">
      <c r="B99" s="4" cm="1">
        <f t="array" ref="B99">_xlfn.IFS('ProductSprint Backlog'!$F99="", "", AND('ProductSprint Backlog'!$J99&gt;B$2,'ProductSprint Backlog'!$I99&lt;=B$2), 'ProductSprint Backlog'!$F99 / MAX(1, 'ProductSprint Backlog'!$J99-'ProductSprint Backlog'!$I99), AND('ProductSprint Backlog'!$J99=B$2,'ProductSprint Backlog'!$I99=B$2), 'ProductSprint Backlog'!$F99, TRUE, 0)</f>
        <v>0</v>
      </c>
      <c r="C99" s="4" cm="1">
        <f t="array" ref="C99">_xlfn.IFS('ProductSprint Backlog'!$F99="", "", AND('ProductSprint Backlog'!$J99&gt;C$2,'ProductSprint Backlog'!$I99&lt;=C$2), 'ProductSprint Backlog'!$F99 / MAX(1, 'ProductSprint Backlog'!$J99-'ProductSprint Backlog'!$I99), AND('ProductSprint Backlog'!$J99=C$2,'ProductSprint Backlog'!$I99=C$2), 'ProductSprint Backlog'!$F99, TRUE, 0)</f>
        <v>0</v>
      </c>
      <c r="D99" s="4" cm="1">
        <f t="array" ref="D99">_xlfn.IFS('ProductSprint Backlog'!$F99="", "", AND('ProductSprint Backlog'!$J99&gt;D$2,'ProductSprint Backlog'!$I99&lt;=D$2), 'ProductSprint Backlog'!$F99 / MAX(1, 'ProductSprint Backlog'!$J99-'ProductSprint Backlog'!$I99), AND('ProductSprint Backlog'!$J99=D$2,'ProductSprint Backlog'!$I99=D$2), 'ProductSprint Backlog'!$F99, TRUE, 0)</f>
        <v>0</v>
      </c>
      <c r="E99" s="4" cm="1">
        <f t="array" ref="E99">_xlfn.IFS('ProductSprint Backlog'!$F99="", "", AND('ProductSprint Backlog'!$J99&gt;E$2,'ProductSprint Backlog'!$I99&lt;=E$2), 'ProductSprint Backlog'!$F99 / MAX(1, 'ProductSprint Backlog'!$J99-'ProductSprint Backlog'!$I99), AND('ProductSprint Backlog'!$J99=E$2,'ProductSprint Backlog'!$I99=E$2), 'ProductSprint Backlog'!$F99, TRUE, 0)</f>
        <v>0</v>
      </c>
      <c r="F99" s="4" cm="1">
        <f t="array" ref="F99">_xlfn.IFS('ProductSprint Backlog'!$F99="", "", AND('ProductSprint Backlog'!$J99&gt;F$2,'ProductSprint Backlog'!$I99&lt;=F$2), 'ProductSprint Backlog'!$F99 / MAX(1, 'ProductSprint Backlog'!$J99-'ProductSprint Backlog'!$I99), AND('ProductSprint Backlog'!$J99=F$2,'ProductSprint Backlog'!$I99=F$2), 'ProductSprint Backlog'!$F99, TRUE, 0)</f>
        <v>0</v>
      </c>
      <c r="G99" s="4" cm="1">
        <f t="array" ref="G99">_xlfn.IFS('ProductSprint Backlog'!$F99="", "", AND('ProductSprint Backlog'!$J99&gt;G$2,'ProductSprint Backlog'!$I99&lt;=G$2), 'ProductSprint Backlog'!$F99 / MAX(1, 'ProductSprint Backlog'!$J99-'ProductSprint Backlog'!$I99), AND('ProductSprint Backlog'!$J99=G$2,'ProductSprint Backlog'!$I99=G$2), 'ProductSprint Backlog'!$F99, TRUE, 0)</f>
        <v>0</v>
      </c>
      <c r="H99" s="4" cm="1">
        <f t="array" ref="H99">_xlfn.IFS('ProductSprint Backlog'!$F99="", "", AND('ProductSprint Backlog'!$J99&gt;H$2,'ProductSprint Backlog'!$I99&lt;=H$2), 'ProductSprint Backlog'!$F99 / MAX(1, 'ProductSprint Backlog'!$J99-'ProductSprint Backlog'!$I99), AND('ProductSprint Backlog'!$J99=H$2,'ProductSprint Backlog'!$I99=H$2), 'ProductSprint Backlog'!$F99, TRUE, 0)</f>
        <v>0</v>
      </c>
      <c r="I99" s="4" cm="1">
        <f t="array" ref="I99">_xlfn.IFS('ProductSprint Backlog'!$F99="", "", AND('ProductSprint Backlog'!$J99&gt;I$2,'ProductSprint Backlog'!$I99&lt;=I$2), 'ProductSprint Backlog'!$F99 / MAX(1, 'ProductSprint Backlog'!$J99-'ProductSprint Backlog'!$I99), AND('ProductSprint Backlog'!$J99=I$2,'ProductSprint Backlog'!$I99=I$2), 'ProductSprint Backlog'!$F99, TRUE, 0)</f>
        <v>0</v>
      </c>
      <c r="J99" s="4" cm="1">
        <f t="array" ref="J99">_xlfn.IFS('ProductSprint Backlog'!$F99="", "", AND('ProductSprint Backlog'!$J99&gt;J$2,'ProductSprint Backlog'!$I99&lt;=J$2), 'ProductSprint Backlog'!$F99 / MAX(1, 'ProductSprint Backlog'!$J99-'ProductSprint Backlog'!$I99), AND('ProductSprint Backlog'!$J99=J$2,'ProductSprint Backlog'!$I99=J$2), 'ProductSprint Backlog'!$F99, TRUE, 0)</f>
        <v>0</v>
      </c>
      <c r="K99" s="4" cm="1">
        <f t="array" ref="K99">_xlfn.IFS('ProductSprint Backlog'!$F99="", "", AND('ProductSprint Backlog'!$J99&gt;K$2,'ProductSprint Backlog'!$I99&lt;=K$2), 'ProductSprint Backlog'!$F99 / MAX(1, 'ProductSprint Backlog'!$J99-'ProductSprint Backlog'!$I99), AND('ProductSprint Backlog'!$J99=K$2,'ProductSprint Backlog'!$I99=K$2), 'ProductSprint Backlog'!$F99, TRUE, 0)</f>
        <v>0</v>
      </c>
      <c r="L99" s="4" cm="1">
        <f t="array" ref="L99">_xlfn.IFS('ProductSprint Backlog'!$F99="", "", AND('ProductSprint Backlog'!$J99&gt;L$2,'ProductSprint Backlog'!$I99&lt;=L$2), 'ProductSprint Backlog'!$F99 / MAX(1, 'ProductSprint Backlog'!$J99-'ProductSprint Backlog'!$I99), AND('ProductSprint Backlog'!$J99=L$2,'ProductSprint Backlog'!$I99=L$2), 'ProductSprint Backlog'!$F99, TRUE, 0)</f>
        <v>0</v>
      </c>
      <c r="M99" s="4" cm="1">
        <f t="array" ref="M99">_xlfn.IFS('ProductSprint Backlog'!$F99="", "", AND('ProductSprint Backlog'!$J99&gt;M$2,'ProductSprint Backlog'!$I99&lt;=M$2), 'ProductSprint Backlog'!$F99 / MAX(1, 'ProductSprint Backlog'!$J99-'ProductSprint Backlog'!$I99), AND('ProductSprint Backlog'!$J99=M$2,'ProductSprint Backlog'!$I99=M$2), 'ProductSprint Backlog'!$F99, TRUE, 0)</f>
        <v>0</v>
      </c>
      <c r="N99" s="4" cm="1">
        <f t="array" ref="N99">_xlfn.IFS('ProductSprint Backlog'!$F99="", "", AND('ProductSprint Backlog'!$J99&gt;N$2,'ProductSprint Backlog'!$I99&lt;=N$2), 'ProductSprint Backlog'!$F99 / MAX(1, 'ProductSprint Backlog'!$J99-'ProductSprint Backlog'!$I99), AND('ProductSprint Backlog'!$J99=N$2,'ProductSprint Backlog'!$I99=N$2), 'ProductSprint Backlog'!$F99, TRUE, 0)</f>
        <v>0</v>
      </c>
      <c r="O99" s="4" cm="1">
        <f t="array" ref="O99">_xlfn.IFS('ProductSprint Backlog'!$F99="", "", AND('ProductSprint Backlog'!$J99&gt;O$2,'ProductSprint Backlog'!$I99&lt;=O$2), 'ProductSprint Backlog'!$F99 / MAX(1, 'ProductSprint Backlog'!$J99-'ProductSprint Backlog'!$I99), AND('ProductSprint Backlog'!$J99=O$2,'ProductSprint Backlog'!$I99=O$2), 'ProductSprint Backlog'!$F99, TRUE, 0)</f>
        <v>0</v>
      </c>
    </row>
    <row r="100" spans="2:15" x14ac:dyDescent="0.2">
      <c r="B100" s="4" cm="1">
        <f t="array" ref="B100">_xlfn.IFS('ProductSprint Backlog'!$F100="", "", AND('ProductSprint Backlog'!$J100&gt;B$2,'ProductSprint Backlog'!$I100&lt;=B$2), 'ProductSprint Backlog'!$F100 / MAX(1, 'ProductSprint Backlog'!$J100-'ProductSprint Backlog'!$I100), AND('ProductSprint Backlog'!$J100=B$2,'ProductSprint Backlog'!$I100=B$2), 'ProductSprint Backlog'!$F100, TRUE, 0)</f>
        <v>0</v>
      </c>
      <c r="C100" s="4" cm="1">
        <f t="array" ref="C100">_xlfn.IFS('ProductSprint Backlog'!$F100="", "", AND('ProductSprint Backlog'!$J100&gt;C$2,'ProductSprint Backlog'!$I100&lt;=C$2), 'ProductSprint Backlog'!$F100 / MAX(1, 'ProductSprint Backlog'!$J100-'ProductSprint Backlog'!$I100), AND('ProductSprint Backlog'!$J100=C$2,'ProductSprint Backlog'!$I100=C$2), 'ProductSprint Backlog'!$F100, TRUE, 0)</f>
        <v>0</v>
      </c>
      <c r="D100" s="4" cm="1">
        <f t="array" ref="D100">_xlfn.IFS('ProductSprint Backlog'!$F100="", "", AND('ProductSprint Backlog'!$J100&gt;D$2,'ProductSprint Backlog'!$I100&lt;=D$2), 'ProductSprint Backlog'!$F100 / MAX(1, 'ProductSprint Backlog'!$J100-'ProductSprint Backlog'!$I100), AND('ProductSprint Backlog'!$J100=D$2,'ProductSprint Backlog'!$I100=D$2), 'ProductSprint Backlog'!$F100, TRUE, 0)</f>
        <v>0</v>
      </c>
      <c r="E100" s="4" cm="1">
        <f t="array" ref="E100">_xlfn.IFS('ProductSprint Backlog'!$F100="", "", AND('ProductSprint Backlog'!$J100&gt;E$2,'ProductSprint Backlog'!$I100&lt;=E$2), 'ProductSprint Backlog'!$F100 / MAX(1, 'ProductSprint Backlog'!$J100-'ProductSprint Backlog'!$I100), AND('ProductSprint Backlog'!$J100=E$2,'ProductSprint Backlog'!$I100=E$2), 'ProductSprint Backlog'!$F100, TRUE, 0)</f>
        <v>0</v>
      </c>
      <c r="F100" s="4" cm="1">
        <f t="array" ref="F100">_xlfn.IFS('ProductSprint Backlog'!$F100="", "", AND('ProductSprint Backlog'!$J100&gt;F$2,'ProductSprint Backlog'!$I100&lt;=F$2), 'ProductSprint Backlog'!$F100 / MAX(1, 'ProductSprint Backlog'!$J100-'ProductSprint Backlog'!$I100), AND('ProductSprint Backlog'!$J100=F$2,'ProductSprint Backlog'!$I100=F$2), 'ProductSprint Backlog'!$F100, TRUE, 0)</f>
        <v>0</v>
      </c>
      <c r="G100" s="4" cm="1">
        <f t="array" ref="G100">_xlfn.IFS('ProductSprint Backlog'!$F100="", "", AND('ProductSprint Backlog'!$J100&gt;G$2,'ProductSprint Backlog'!$I100&lt;=G$2), 'ProductSprint Backlog'!$F100 / MAX(1, 'ProductSprint Backlog'!$J100-'ProductSprint Backlog'!$I100), AND('ProductSprint Backlog'!$J100=G$2,'ProductSprint Backlog'!$I100=G$2), 'ProductSprint Backlog'!$F100, TRUE, 0)</f>
        <v>0</v>
      </c>
      <c r="H100" s="4" cm="1">
        <f t="array" ref="H100">_xlfn.IFS('ProductSprint Backlog'!$F100="", "", AND('ProductSprint Backlog'!$J100&gt;H$2,'ProductSprint Backlog'!$I100&lt;=H$2), 'ProductSprint Backlog'!$F100 / MAX(1, 'ProductSprint Backlog'!$J100-'ProductSprint Backlog'!$I100), AND('ProductSprint Backlog'!$J100=H$2,'ProductSprint Backlog'!$I100=H$2), 'ProductSprint Backlog'!$F100, TRUE, 0)</f>
        <v>0</v>
      </c>
      <c r="I100" s="4" cm="1">
        <f t="array" ref="I100">_xlfn.IFS('ProductSprint Backlog'!$F100="", "", AND('ProductSprint Backlog'!$J100&gt;I$2,'ProductSprint Backlog'!$I100&lt;=I$2), 'ProductSprint Backlog'!$F100 / MAX(1, 'ProductSprint Backlog'!$J100-'ProductSprint Backlog'!$I100), AND('ProductSprint Backlog'!$J100=I$2,'ProductSprint Backlog'!$I100=I$2), 'ProductSprint Backlog'!$F100, TRUE, 0)</f>
        <v>0</v>
      </c>
      <c r="J100" s="4" cm="1">
        <f t="array" ref="J100">_xlfn.IFS('ProductSprint Backlog'!$F100="", "", AND('ProductSprint Backlog'!$J100&gt;J$2,'ProductSprint Backlog'!$I100&lt;=J$2), 'ProductSprint Backlog'!$F100 / MAX(1, 'ProductSprint Backlog'!$J100-'ProductSprint Backlog'!$I100), AND('ProductSprint Backlog'!$J100=J$2,'ProductSprint Backlog'!$I100=J$2), 'ProductSprint Backlog'!$F100, TRUE, 0)</f>
        <v>0</v>
      </c>
      <c r="K100" s="4" cm="1">
        <f t="array" ref="K100">_xlfn.IFS('ProductSprint Backlog'!$F100="", "", AND('ProductSprint Backlog'!$J100&gt;K$2,'ProductSprint Backlog'!$I100&lt;=K$2), 'ProductSprint Backlog'!$F100 / MAX(1, 'ProductSprint Backlog'!$J100-'ProductSprint Backlog'!$I100), AND('ProductSprint Backlog'!$J100=K$2,'ProductSprint Backlog'!$I100=K$2), 'ProductSprint Backlog'!$F100, TRUE, 0)</f>
        <v>0</v>
      </c>
      <c r="L100" s="4" cm="1">
        <f t="array" ref="L100">_xlfn.IFS('ProductSprint Backlog'!$F100="", "", AND('ProductSprint Backlog'!$J100&gt;L$2,'ProductSprint Backlog'!$I100&lt;=L$2), 'ProductSprint Backlog'!$F100 / MAX(1, 'ProductSprint Backlog'!$J100-'ProductSprint Backlog'!$I100), AND('ProductSprint Backlog'!$J100=L$2,'ProductSprint Backlog'!$I100=L$2), 'ProductSprint Backlog'!$F100, TRUE, 0)</f>
        <v>0</v>
      </c>
      <c r="M100" s="4" cm="1">
        <f t="array" ref="M100">_xlfn.IFS('ProductSprint Backlog'!$F100="", "", AND('ProductSprint Backlog'!$J100&gt;M$2,'ProductSprint Backlog'!$I100&lt;=M$2), 'ProductSprint Backlog'!$F100 / MAX(1, 'ProductSprint Backlog'!$J100-'ProductSprint Backlog'!$I100), AND('ProductSprint Backlog'!$J100=M$2,'ProductSprint Backlog'!$I100=M$2), 'ProductSprint Backlog'!$F100, TRUE, 0)</f>
        <v>0</v>
      </c>
      <c r="N100" s="4" cm="1">
        <f t="array" ref="N100">_xlfn.IFS('ProductSprint Backlog'!$F100="", "", AND('ProductSprint Backlog'!$J100&gt;N$2,'ProductSprint Backlog'!$I100&lt;=N$2), 'ProductSprint Backlog'!$F100 / MAX(1, 'ProductSprint Backlog'!$J100-'ProductSprint Backlog'!$I100), AND('ProductSprint Backlog'!$J100=N$2,'ProductSprint Backlog'!$I100=N$2), 'ProductSprint Backlog'!$F100, TRUE, 0)</f>
        <v>0</v>
      </c>
      <c r="O100" s="4" cm="1">
        <f t="array" ref="O100">_xlfn.IFS('ProductSprint Backlog'!$F100="", "", AND('ProductSprint Backlog'!$J100&gt;O$2,'ProductSprint Backlog'!$I100&lt;=O$2), 'ProductSprint Backlog'!$F100 / MAX(1, 'ProductSprint Backlog'!$J100-'ProductSprint Backlog'!$I100), AND('ProductSprint Backlog'!$J100=O$2,'ProductSprint Backlog'!$I100=O$2), 'ProductSprint Backlog'!$F100, TRUE, 0)</f>
        <v>0</v>
      </c>
    </row>
    <row r="101" spans="2:15" x14ac:dyDescent="0.2">
      <c r="B101" s="4" cm="1">
        <f t="array" ref="B101">_xlfn.IFS('ProductSprint Backlog'!$F101="", "", AND('ProductSprint Backlog'!$J101&gt;B$2,'ProductSprint Backlog'!$I101&lt;=B$2), 'ProductSprint Backlog'!$F101 / MAX(1, 'ProductSprint Backlog'!$J101-'ProductSprint Backlog'!$I101), AND('ProductSprint Backlog'!$J101=B$2,'ProductSprint Backlog'!$I101=B$2), 'ProductSprint Backlog'!$F101, TRUE, 0)</f>
        <v>0</v>
      </c>
      <c r="C101" s="4" cm="1">
        <f t="array" ref="C101">_xlfn.IFS('ProductSprint Backlog'!$F101="", "", AND('ProductSprint Backlog'!$J101&gt;C$2,'ProductSprint Backlog'!$I101&lt;=C$2), 'ProductSprint Backlog'!$F101 / MAX(1, 'ProductSprint Backlog'!$J101-'ProductSprint Backlog'!$I101), AND('ProductSprint Backlog'!$J101=C$2,'ProductSprint Backlog'!$I101=C$2), 'ProductSprint Backlog'!$F101, TRUE, 0)</f>
        <v>0</v>
      </c>
      <c r="D101" s="4" cm="1">
        <f t="array" ref="D101">_xlfn.IFS('ProductSprint Backlog'!$F101="", "", AND('ProductSprint Backlog'!$J101&gt;D$2,'ProductSprint Backlog'!$I101&lt;=D$2), 'ProductSprint Backlog'!$F101 / MAX(1, 'ProductSprint Backlog'!$J101-'ProductSprint Backlog'!$I101), AND('ProductSprint Backlog'!$J101=D$2,'ProductSprint Backlog'!$I101=D$2), 'ProductSprint Backlog'!$F101, TRUE, 0)</f>
        <v>0</v>
      </c>
      <c r="E101" s="4" cm="1">
        <f t="array" ref="E101">_xlfn.IFS('ProductSprint Backlog'!$F101="", "", AND('ProductSprint Backlog'!$J101&gt;E$2,'ProductSprint Backlog'!$I101&lt;=E$2), 'ProductSprint Backlog'!$F101 / MAX(1, 'ProductSprint Backlog'!$J101-'ProductSprint Backlog'!$I101), AND('ProductSprint Backlog'!$J101=E$2,'ProductSprint Backlog'!$I101=E$2), 'ProductSprint Backlog'!$F101, TRUE, 0)</f>
        <v>0</v>
      </c>
      <c r="F101" s="4" cm="1">
        <f t="array" ref="F101">_xlfn.IFS('ProductSprint Backlog'!$F101="", "", AND('ProductSprint Backlog'!$J101&gt;F$2,'ProductSprint Backlog'!$I101&lt;=F$2), 'ProductSprint Backlog'!$F101 / MAX(1, 'ProductSprint Backlog'!$J101-'ProductSprint Backlog'!$I101), AND('ProductSprint Backlog'!$J101=F$2,'ProductSprint Backlog'!$I101=F$2), 'ProductSprint Backlog'!$F101, TRUE, 0)</f>
        <v>0</v>
      </c>
      <c r="G101" s="4" cm="1">
        <f t="array" ref="G101">_xlfn.IFS('ProductSprint Backlog'!$F101="", "", AND('ProductSprint Backlog'!$J101&gt;G$2,'ProductSprint Backlog'!$I101&lt;=G$2), 'ProductSprint Backlog'!$F101 / MAX(1, 'ProductSprint Backlog'!$J101-'ProductSprint Backlog'!$I101), AND('ProductSprint Backlog'!$J101=G$2,'ProductSprint Backlog'!$I101=G$2), 'ProductSprint Backlog'!$F101, TRUE, 0)</f>
        <v>0</v>
      </c>
      <c r="H101" s="4" cm="1">
        <f t="array" ref="H101">_xlfn.IFS('ProductSprint Backlog'!$F101="", "", AND('ProductSprint Backlog'!$J101&gt;H$2,'ProductSprint Backlog'!$I101&lt;=H$2), 'ProductSprint Backlog'!$F101 / MAX(1, 'ProductSprint Backlog'!$J101-'ProductSprint Backlog'!$I101), AND('ProductSprint Backlog'!$J101=H$2,'ProductSprint Backlog'!$I101=H$2), 'ProductSprint Backlog'!$F101, TRUE, 0)</f>
        <v>0</v>
      </c>
      <c r="I101" s="4" cm="1">
        <f t="array" ref="I101">_xlfn.IFS('ProductSprint Backlog'!$F101="", "", AND('ProductSprint Backlog'!$J101&gt;I$2,'ProductSprint Backlog'!$I101&lt;=I$2), 'ProductSprint Backlog'!$F101 / MAX(1, 'ProductSprint Backlog'!$J101-'ProductSprint Backlog'!$I101), AND('ProductSprint Backlog'!$J101=I$2,'ProductSprint Backlog'!$I101=I$2), 'ProductSprint Backlog'!$F101, TRUE, 0)</f>
        <v>0</v>
      </c>
      <c r="J101" s="4" cm="1">
        <f t="array" ref="J101">_xlfn.IFS('ProductSprint Backlog'!$F101="", "", AND('ProductSprint Backlog'!$J101&gt;J$2,'ProductSprint Backlog'!$I101&lt;=J$2), 'ProductSprint Backlog'!$F101 / MAX(1, 'ProductSprint Backlog'!$J101-'ProductSprint Backlog'!$I101), AND('ProductSprint Backlog'!$J101=J$2,'ProductSprint Backlog'!$I101=J$2), 'ProductSprint Backlog'!$F101, TRUE, 0)</f>
        <v>0</v>
      </c>
      <c r="K101" s="4" cm="1">
        <f t="array" ref="K101">_xlfn.IFS('ProductSprint Backlog'!$F101="", "", AND('ProductSprint Backlog'!$J101&gt;K$2,'ProductSprint Backlog'!$I101&lt;=K$2), 'ProductSprint Backlog'!$F101 / MAX(1, 'ProductSprint Backlog'!$J101-'ProductSprint Backlog'!$I101), AND('ProductSprint Backlog'!$J101=K$2,'ProductSprint Backlog'!$I101=K$2), 'ProductSprint Backlog'!$F101, TRUE, 0)</f>
        <v>0</v>
      </c>
      <c r="L101" s="4" cm="1">
        <f t="array" ref="L101">_xlfn.IFS('ProductSprint Backlog'!$F101="", "", AND('ProductSprint Backlog'!$J101&gt;L$2,'ProductSprint Backlog'!$I101&lt;=L$2), 'ProductSprint Backlog'!$F101 / MAX(1, 'ProductSprint Backlog'!$J101-'ProductSprint Backlog'!$I101), AND('ProductSprint Backlog'!$J101=L$2,'ProductSprint Backlog'!$I101=L$2), 'ProductSprint Backlog'!$F101, TRUE, 0)</f>
        <v>0</v>
      </c>
      <c r="M101" s="4" cm="1">
        <f t="array" ref="M101">_xlfn.IFS('ProductSprint Backlog'!$F101="", "", AND('ProductSprint Backlog'!$J101&gt;M$2,'ProductSprint Backlog'!$I101&lt;=M$2), 'ProductSprint Backlog'!$F101 / MAX(1, 'ProductSprint Backlog'!$J101-'ProductSprint Backlog'!$I101), AND('ProductSprint Backlog'!$J101=M$2,'ProductSprint Backlog'!$I101=M$2), 'ProductSprint Backlog'!$F101, TRUE, 0)</f>
        <v>0</v>
      </c>
      <c r="N101" s="4" cm="1">
        <f t="array" ref="N101">_xlfn.IFS('ProductSprint Backlog'!$F101="", "", AND('ProductSprint Backlog'!$J101&gt;N$2,'ProductSprint Backlog'!$I101&lt;=N$2), 'ProductSprint Backlog'!$F101 / MAX(1, 'ProductSprint Backlog'!$J101-'ProductSprint Backlog'!$I101), AND('ProductSprint Backlog'!$J101=N$2,'ProductSprint Backlog'!$I101=N$2), 'ProductSprint Backlog'!$F101, TRUE, 0)</f>
        <v>0</v>
      </c>
      <c r="O101" s="4" cm="1">
        <f t="array" ref="O101">_xlfn.IFS('ProductSprint Backlog'!$F101="", "", AND('ProductSprint Backlog'!$J101&gt;O$2,'ProductSprint Backlog'!$I101&lt;=O$2), 'ProductSprint Backlog'!$F101 / MAX(1, 'ProductSprint Backlog'!$J101-'ProductSprint Backlog'!$I101), AND('ProductSprint Backlog'!$J101=O$2,'ProductSprint Backlog'!$I101=O$2), 'ProductSprint Backlog'!$F101, TRUE, 0)</f>
        <v>0</v>
      </c>
    </row>
    <row r="102" spans="2:15" x14ac:dyDescent="0.2">
      <c r="B102" s="4" cm="1">
        <f t="array" ref="B102">_xlfn.IFS('ProductSprint Backlog'!$F102="", "", AND('ProductSprint Backlog'!$J102&gt;B$2,'ProductSprint Backlog'!$I102&lt;=B$2), 'ProductSprint Backlog'!$F102 / MAX(1, 'ProductSprint Backlog'!$J102-'ProductSprint Backlog'!$I102), AND('ProductSprint Backlog'!$J102=B$2,'ProductSprint Backlog'!$I102=B$2), 'ProductSprint Backlog'!$F102, TRUE, 0)</f>
        <v>0</v>
      </c>
      <c r="C102" s="4" cm="1">
        <f t="array" ref="C102">_xlfn.IFS('ProductSprint Backlog'!$F102="", "", AND('ProductSprint Backlog'!$J102&gt;C$2,'ProductSprint Backlog'!$I102&lt;=C$2), 'ProductSprint Backlog'!$F102 / MAX(1, 'ProductSprint Backlog'!$J102-'ProductSprint Backlog'!$I102), AND('ProductSprint Backlog'!$J102=C$2,'ProductSprint Backlog'!$I102=C$2), 'ProductSprint Backlog'!$F102, TRUE, 0)</f>
        <v>0</v>
      </c>
      <c r="D102" s="4" cm="1">
        <f t="array" ref="D102">_xlfn.IFS('ProductSprint Backlog'!$F102="", "", AND('ProductSprint Backlog'!$J102&gt;D$2,'ProductSprint Backlog'!$I102&lt;=D$2), 'ProductSprint Backlog'!$F102 / MAX(1, 'ProductSprint Backlog'!$J102-'ProductSprint Backlog'!$I102), AND('ProductSprint Backlog'!$J102=D$2,'ProductSprint Backlog'!$I102=D$2), 'ProductSprint Backlog'!$F102, TRUE, 0)</f>
        <v>0</v>
      </c>
      <c r="E102" s="4" cm="1">
        <f t="array" ref="E102">_xlfn.IFS('ProductSprint Backlog'!$F102="", "", AND('ProductSprint Backlog'!$J102&gt;E$2,'ProductSprint Backlog'!$I102&lt;=E$2), 'ProductSprint Backlog'!$F102 / MAX(1, 'ProductSprint Backlog'!$J102-'ProductSprint Backlog'!$I102), AND('ProductSprint Backlog'!$J102=E$2,'ProductSprint Backlog'!$I102=E$2), 'ProductSprint Backlog'!$F102, TRUE, 0)</f>
        <v>0</v>
      </c>
      <c r="F102" s="4" cm="1">
        <f t="array" ref="F102">_xlfn.IFS('ProductSprint Backlog'!$F102="", "", AND('ProductSprint Backlog'!$J102&gt;F$2,'ProductSprint Backlog'!$I102&lt;=F$2), 'ProductSprint Backlog'!$F102 / MAX(1, 'ProductSprint Backlog'!$J102-'ProductSprint Backlog'!$I102), AND('ProductSprint Backlog'!$J102=F$2,'ProductSprint Backlog'!$I102=F$2), 'ProductSprint Backlog'!$F102, TRUE, 0)</f>
        <v>0</v>
      </c>
      <c r="G102" s="4" cm="1">
        <f t="array" ref="G102">_xlfn.IFS('ProductSprint Backlog'!$F102="", "", AND('ProductSprint Backlog'!$J102&gt;G$2,'ProductSprint Backlog'!$I102&lt;=G$2), 'ProductSprint Backlog'!$F102 / MAX(1, 'ProductSprint Backlog'!$J102-'ProductSprint Backlog'!$I102), AND('ProductSprint Backlog'!$J102=G$2,'ProductSprint Backlog'!$I102=G$2), 'ProductSprint Backlog'!$F102, TRUE, 0)</f>
        <v>0</v>
      </c>
      <c r="H102" s="4" cm="1">
        <f t="array" ref="H102">_xlfn.IFS('ProductSprint Backlog'!$F102="", "", AND('ProductSprint Backlog'!$J102&gt;H$2,'ProductSprint Backlog'!$I102&lt;=H$2), 'ProductSprint Backlog'!$F102 / MAX(1, 'ProductSprint Backlog'!$J102-'ProductSprint Backlog'!$I102), AND('ProductSprint Backlog'!$J102=H$2,'ProductSprint Backlog'!$I102=H$2), 'ProductSprint Backlog'!$F102, TRUE, 0)</f>
        <v>0</v>
      </c>
      <c r="I102" s="4" cm="1">
        <f t="array" ref="I102">_xlfn.IFS('ProductSprint Backlog'!$F102="", "", AND('ProductSprint Backlog'!$J102&gt;I$2,'ProductSprint Backlog'!$I102&lt;=I$2), 'ProductSprint Backlog'!$F102 / MAX(1, 'ProductSprint Backlog'!$J102-'ProductSprint Backlog'!$I102), AND('ProductSprint Backlog'!$J102=I$2,'ProductSprint Backlog'!$I102=I$2), 'ProductSprint Backlog'!$F102, TRUE, 0)</f>
        <v>0</v>
      </c>
      <c r="J102" s="4" cm="1">
        <f t="array" ref="J102">_xlfn.IFS('ProductSprint Backlog'!$F102="", "", AND('ProductSprint Backlog'!$J102&gt;J$2,'ProductSprint Backlog'!$I102&lt;=J$2), 'ProductSprint Backlog'!$F102 / MAX(1, 'ProductSprint Backlog'!$J102-'ProductSprint Backlog'!$I102), AND('ProductSprint Backlog'!$J102=J$2,'ProductSprint Backlog'!$I102=J$2), 'ProductSprint Backlog'!$F102, TRUE, 0)</f>
        <v>0</v>
      </c>
      <c r="K102" s="4" cm="1">
        <f t="array" ref="K102">_xlfn.IFS('ProductSprint Backlog'!$F102="", "", AND('ProductSprint Backlog'!$J102&gt;K$2,'ProductSprint Backlog'!$I102&lt;=K$2), 'ProductSprint Backlog'!$F102 / MAX(1, 'ProductSprint Backlog'!$J102-'ProductSprint Backlog'!$I102), AND('ProductSprint Backlog'!$J102=K$2,'ProductSprint Backlog'!$I102=K$2), 'ProductSprint Backlog'!$F102, TRUE, 0)</f>
        <v>0</v>
      </c>
      <c r="L102" s="4" cm="1">
        <f t="array" ref="L102">_xlfn.IFS('ProductSprint Backlog'!$F102="", "", AND('ProductSprint Backlog'!$J102&gt;L$2,'ProductSprint Backlog'!$I102&lt;=L$2), 'ProductSprint Backlog'!$F102 / MAX(1, 'ProductSprint Backlog'!$J102-'ProductSprint Backlog'!$I102), AND('ProductSprint Backlog'!$J102=L$2,'ProductSprint Backlog'!$I102=L$2), 'ProductSprint Backlog'!$F102, TRUE, 0)</f>
        <v>0</v>
      </c>
      <c r="M102" s="4" cm="1">
        <f t="array" ref="M102">_xlfn.IFS('ProductSprint Backlog'!$F102="", "", AND('ProductSprint Backlog'!$J102&gt;M$2,'ProductSprint Backlog'!$I102&lt;=M$2), 'ProductSprint Backlog'!$F102 / MAX(1, 'ProductSprint Backlog'!$J102-'ProductSprint Backlog'!$I102), AND('ProductSprint Backlog'!$J102=M$2,'ProductSprint Backlog'!$I102=M$2), 'ProductSprint Backlog'!$F102, TRUE, 0)</f>
        <v>0</v>
      </c>
      <c r="N102" s="4" cm="1">
        <f t="array" ref="N102">_xlfn.IFS('ProductSprint Backlog'!$F102="", "", AND('ProductSprint Backlog'!$J102&gt;N$2,'ProductSprint Backlog'!$I102&lt;=N$2), 'ProductSprint Backlog'!$F102 / MAX(1, 'ProductSprint Backlog'!$J102-'ProductSprint Backlog'!$I102), AND('ProductSprint Backlog'!$J102=N$2,'ProductSprint Backlog'!$I102=N$2), 'ProductSprint Backlog'!$F102, TRUE, 0)</f>
        <v>0</v>
      </c>
      <c r="O102" s="4" cm="1">
        <f t="array" ref="O102">_xlfn.IFS('ProductSprint Backlog'!$F102="", "", AND('ProductSprint Backlog'!$J102&gt;O$2,'ProductSprint Backlog'!$I102&lt;=O$2), 'ProductSprint Backlog'!$F102 / MAX(1, 'ProductSprint Backlog'!$J102-'ProductSprint Backlog'!$I102), AND('ProductSprint Backlog'!$J102=O$2,'ProductSprint Backlog'!$I102=O$2), 'ProductSprint Backlog'!$F102, TRUE, 0)</f>
        <v>0</v>
      </c>
    </row>
    <row r="103" spans="2:15" x14ac:dyDescent="0.2">
      <c r="B103" s="4" cm="1">
        <f t="array" ref="B103">_xlfn.IFS('ProductSprint Backlog'!$F103="", "", AND('ProductSprint Backlog'!$J103&gt;B$2,'ProductSprint Backlog'!$I103&lt;=B$2), 'ProductSprint Backlog'!$F103 / MAX(1, 'ProductSprint Backlog'!$J103-'ProductSprint Backlog'!$I103), AND('ProductSprint Backlog'!$J103=B$2,'ProductSprint Backlog'!$I103=B$2), 'ProductSprint Backlog'!$F103, TRUE, 0)</f>
        <v>0</v>
      </c>
      <c r="C103" s="4" cm="1">
        <f t="array" ref="C103">_xlfn.IFS('ProductSprint Backlog'!$F103="", "", AND('ProductSprint Backlog'!$J103&gt;C$2,'ProductSprint Backlog'!$I103&lt;=C$2), 'ProductSprint Backlog'!$F103 / MAX(1, 'ProductSprint Backlog'!$J103-'ProductSprint Backlog'!$I103), AND('ProductSprint Backlog'!$J103=C$2,'ProductSprint Backlog'!$I103=C$2), 'ProductSprint Backlog'!$F103, TRUE, 0)</f>
        <v>0</v>
      </c>
      <c r="D103" s="4" cm="1">
        <f t="array" ref="D103">_xlfn.IFS('ProductSprint Backlog'!$F103="", "", AND('ProductSprint Backlog'!$J103&gt;D$2,'ProductSprint Backlog'!$I103&lt;=D$2), 'ProductSprint Backlog'!$F103 / MAX(1, 'ProductSprint Backlog'!$J103-'ProductSprint Backlog'!$I103), AND('ProductSprint Backlog'!$J103=D$2,'ProductSprint Backlog'!$I103=D$2), 'ProductSprint Backlog'!$F103, TRUE, 0)</f>
        <v>0</v>
      </c>
      <c r="E103" s="4" cm="1">
        <f t="array" ref="E103">_xlfn.IFS('ProductSprint Backlog'!$F103="", "", AND('ProductSprint Backlog'!$J103&gt;E$2,'ProductSprint Backlog'!$I103&lt;=E$2), 'ProductSprint Backlog'!$F103 / MAX(1, 'ProductSprint Backlog'!$J103-'ProductSprint Backlog'!$I103), AND('ProductSprint Backlog'!$J103=E$2,'ProductSprint Backlog'!$I103=E$2), 'ProductSprint Backlog'!$F103, TRUE, 0)</f>
        <v>0</v>
      </c>
      <c r="F103" s="4" cm="1">
        <f t="array" ref="F103">_xlfn.IFS('ProductSprint Backlog'!$F103="", "", AND('ProductSprint Backlog'!$J103&gt;F$2,'ProductSprint Backlog'!$I103&lt;=F$2), 'ProductSprint Backlog'!$F103 / MAX(1, 'ProductSprint Backlog'!$J103-'ProductSprint Backlog'!$I103), AND('ProductSprint Backlog'!$J103=F$2,'ProductSprint Backlog'!$I103=F$2), 'ProductSprint Backlog'!$F103, TRUE, 0)</f>
        <v>0</v>
      </c>
      <c r="G103" s="4" cm="1">
        <f t="array" ref="G103">_xlfn.IFS('ProductSprint Backlog'!$F103="", "", AND('ProductSprint Backlog'!$J103&gt;G$2,'ProductSprint Backlog'!$I103&lt;=G$2), 'ProductSprint Backlog'!$F103 / MAX(1, 'ProductSprint Backlog'!$J103-'ProductSprint Backlog'!$I103), AND('ProductSprint Backlog'!$J103=G$2,'ProductSprint Backlog'!$I103=G$2), 'ProductSprint Backlog'!$F103, TRUE, 0)</f>
        <v>0</v>
      </c>
      <c r="H103" s="4" cm="1">
        <f t="array" ref="H103">_xlfn.IFS('ProductSprint Backlog'!$F103="", "", AND('ProductSprint Backlog'!$J103&gt;H$2,'ProductSprint Backlog'!$I103&lt;=H$2), 'ProductSprint Backlog'!$F103 / MAX(1, 'ProductSprint Backlog'!$J103-'ProductSprint Backlog'!$I103), AND('ProductSprint Backlog'!$J103=H$2,'ProductSprint Backlog'!$I103=H$2), 'ProductSprint Backlog'!$F103, TRUE, 0)</f>
        <v>0</v>
      </c>
      <c r="I103" s="4" cm="1">
        <f t="array" ref="I103">_xlfn.IFS('ProductSprint Backlog'!$F103="", "", AND('ProductSprint Backlog'!$J103&gt;I$2,'ProductSprint Backlog'!$I103&lt;=I$2), 'ProductSprint Backlog'!$F103 / MAX(1, 'ProductSprint Backlog'!$J103-'ProductSprint Backlog'!$I103), AND('ProductSprint Backlog'!$J103=I$2,'ProductSprint Backlog'!$I103=I$2), 'ProductSprint Backlog'!$F103, TRUE, 0)</f>
        <v>0</v>
      </c>
      <c r="J103" s="4" cm="1">
        <f t="array" ref="J103">_xlfn.IFS('ProductSprint Backlog'!$F103="", "", AND('ProductSprint Backlog'!$J103&gt;J$2,'ProductSprint Backlog'!$I103&lt;=J$2), 'ProductSprint Backlog'!$F103 / MAX(1, 'ProductSprint Backlog'!$J103-'ProductSprint Backlog'!$I103), AND('ProductSprint Backlog'!$J103=J$2,'ProductSprint Backlog'!$I103=J$2), 'ProductSprint Backlog'!$F103, TRUE, 0)</f>
        <v>0</v>
      </c>
      <c r="K103" s="4" cm="1">
        <f t="array" ref="K103">_xlfn.IFS('ProductSprint Backlog'!$F103="", "", AND('ProductSprint Backlog'!$J103&gt;K$2,'ProductSprint Backlog'!$I103&lt;=K$2), 'ProductSprint Backlog'!$F103 / MAX(1, 'ProductSprint Backlog'!$J103-'ProductSprint Backlog'!$I103), AND('ProductSprint Backlog'!$J103=K$2,'ProductSprint Backlog'!$I103=K$2), 'ProductSprint Backlog'!$F103, TRUE, 0)</f>
        <v>0</v>
      </c>
      <c r="L103" s="4" cm="1">
        <f t="array" ref="L103">_xlfn.IFS('ProductSprint Backlog'!$F103="", "", AND('ProductSprint Backlog'!$J103&gt;L$2,'ProductSprint Backlog'!$I103&lt;=L$2), 'ProductSprint Backlog'!$F103 / MAX(1, 'ProductSprint Backlog'!$J103-'ProductSprint Backlog'!$I103), AND('ProductSprint Backlog'!$J103=L$2,'ProductSprint Backlog'!$I103=L$2), 'ProductSprint Backlog'!$F103, TRUE, 0)</f>
        <v>0</v>
      </c>
      <c r="M103" s="4" cm="1">
        <f t="array" ref="M103">_xlfn.IFS('ProductSprint Backlog'!$F103="", "", AND('ProductSprint Backlog'!$J103&gt;M$2,'ProductSprint Backlog'!$I103&lt;=M$2), 'ProductSprint Backlog'!$F103 / MAX(1, 'ProductSprint Backlog'!$J103-'ProductSprint Backlog'!$I103), AND('ProductSprint Backlog'!$J103=M$2,'ProductSprint Backlog'!$I103=M$2), 'ProductSprint Backlog'!$F103, TRUE, 0)</f>
        <v>0</v>
      </c>
      <c r="N103" s="4" cm="1">
        <f t="array" ref="N103">_xlfn.IFS('ProductSprint Backlog'!$F103="", "", AND('ProductSprint Backlog'!$J103&gt;N$2,'ProductSprint Backlog'!$I103&lt;=N$2), 'ProductSprint Backlog'!$F103 / MAX(1, 'ProductSprint Backlog'!$J103-'ProductSprint Backlog'!$I103), AND('ProductSprint Backlog'!$J103=N$2,'ProductSprint Backlog'!$I103=N$2), 'ProductSprint Backlog'!$F103, TRUE, 0)</f>
        <v>0</v>
      </c>
      <c r="O103" s="4" cm="1">
        <f t="array" ref="O103">_xlfn.IFS('ProductSprint Backlog'!$F103="", "", AND('ProductSprint Backlog'!$J103&gt;O$2,'ProductSprint Backlog'!$I103&lt;=O$2), 'ProductSprint Backlog'!$F103 / MAX(1, 'ProductSprint Backlog'!$J103-'ProductSprint Backlog'!$I103), AND('ProductSprint Backlog'!$J103=O$2,'ProductSprint Backlog'!$I103=O$2), 'ProductSprint Backlog'!$F103, TRUE, 0)</f>
        <v>0</v>
      </c>
    </row>
    <row r="104" spans="2:15" x14ac:dyDescent="0.2">
      <c r="B104" s="4" cm="1">
        <f t="array" ref="B104">_xlfn.IFS('ProductSprint Backlog'!$F104="", "", AND('ProductSprint Backlog'!$J104&gt;B$2,'ProductSprint Backlog'!$I104&lt;=B$2), 'ProductSprint Backlog'!$F104 / MAX(1, 'ProductSprint Backlog'!$J104-'ProductSprint Backlog'!$I104), AND('ProductSprint Backlog'!$J104=B$2,'ProductSprint Backlog'!$I104=B$2), 'ProductSprint Backlog'!$F104, TRUE, 0)</f>
        <v>0</v>
      </c>
      <c r="C104" s="4" cm="1">
        <f t="array" ref="C104">_xlfn.IFS('ProductSprint Backlog'!$F104="", "", AND('ProductSprint Backlog'!$J104&gt;C$2,'ProductSprint Backlog'!$I104&lt;=C$2), 'ProductSprint Backlog'!$F104 / MAX(1, 'ProductSprint Backlog'!$J104-'ProductSprint Backlog'!$I104), AND('ProductSprint Backlog'!$J104=C$2,'ProductSprint Backlog'!$I104=C$2), 'ProductSprint Backlog'!$F104, TRUE, 0)</f>
        <v>0</v>
      </c>
      <c r="D104" s="4" cm="1">
        <f t="array" ref="D104">_xlfn.IFS('ProductSprint Backlog'!$F104="", "", AND('ProductSprint Backlog'!$J104&gt;D$2,'ProductSprint Backlog'!$I104&lt;=D$2), 'ProductSprint Backlog'!$F104 / MAX(1, 'ProductSprint Backlog'!$J104-'ProductSprint Backlog'!$I104), AND('ProductSprint Backlog'!$J104=D$2,'ProductSprint Backlog'!$I104=D$2), 'ProductSprint Backlog'!$F104, TRUE, 0)</f>
        <v>0</v>
      </c>
      <c r="E104" s="4" cm="1">
        <f t="array" ref="E104">_xlfn.IFS('ProductSprint Backlog'!$F104="", "", AND('ProductSprint Backlog'!$J104&gt;E$2,'ProductSprint Backlog'!$I104&lt;=E$2), 'ProductSprint Backlog'!$F104 / MAX(1, 'ProductSprint Backlog'!$J104-'ProductSprint Backlog'!$I104), AND('ProductSprint Backlog'!$J104=E$2,'ProductSprint Backlog'!$I104=E$2), 'ProductSprint Backlog'!$F104, TRUE, 0)</f>
        <v>0</v>
      </c>
      <c r="F104" s="4" cm="1">
        <f t="array" ref="F104">_xlfn.IFS('ProductSprint Backlog'!$F104="", "", AND('ProductSprint Backlog'!$J104&gt;F$2,'ProductSprint Backlog'!$I104&lt;=F$2), 'ProductSprint Backlog'!$F104 / MAX(1, 'ProductSprint Backlog'!$J104-'ProductSprint Backlog'!$I104), AND('ProductSprint Backlog'!$J104=F$2,'ProductSprint Backlog'!$I104=F$2), 'ProductSprint Backlog'!$F104, TRUE, 0)</f>
        <v>0</v>
      </c>
      <c r="G104" s="4" cm="1">
        <f t="array" ref="G104">_xlfn.IFS('ProductSprint Backlog'!$F104="", "", AND('ProductSprint Backlog'!$J104&gt;G$2,'ProductSprint Backlog'!$I104&lt;=G$2), 'ProductSprint Backlog'!$F104 / MAX(1, 'ProductSprint Backlog'!$J104-'ProductSprint Backlog'!$I104), AND('ProductSprint Backlog'!$J104=G$2,'ProductSprint Backlog'!$I104=G$2), 'ProductSprint Backlog'!$F104, TRUE, 0)</f>
        <v>0</v>
      </c>
      <c r="H104" s="4" cm="1">
        <f t="array" ref="H104">_xlfn.IFS('ProductSprint Backlog'!$F104="", "", AND('ProductSprint Backlog'!$J104&gt;H$2,'ProductSprint Backlog'!$I104&lt;=H$2), 'ProductSprint Backlog'!$F104 / MAX(1, 'ProductSprint Backlog'!$J104-'ProductSprint Backlog'!$I104), AND('ProductSprint Backlog'!$J104=H$2,'ProductSprint Backlog'!$I104=H$2), 'ProductSprint Backlog'!$F104, TRUE, 0)</f>
        <v>0</v>
      </c>
      <c r="I104" s="4" cm="1">
        <f t="array" ref="I104">_xlfn.IFS('ProductSprint Backlog'!$F104="", "", AND('ProductSprint Backlog'!$J104&gt;I$2,'ProductSprint Backlog'!$I104&lt;=I$2), 'ProductSprint Backlog'!$F104 / MAX(1, 'ProductSprint Backlog'!$J104-'ProductSprint Backlog'!$I104), AND('ProductSprint Backlog'!$J104=I$2,'ProductSprint Backlog'!$I104=I$2), 'ProductSprint Backlog'!$F104, TRUE, 0)</f>
        <v>0</v>
      </c>
      <c r="J104" s="4" cm="1">
        <f t="array" ref="J104">_xlfn.IFS('ProductSprint Backlog'!$F104="", "", AND('ProductSprint Backlog'!$J104&gt;J$2,'ProductSprint Backlog'!$I104&lt;=J$2), 'ProductSprint Backlog'!$F104 / MAX(1, 'ProductSprint Backlog'!$J104-'ProductSprint Backlog'!$I104), AND('ProductSprint Backlog'!$J104=J$2,'ProductSprint Backlog'!$I104=J$2), 'ProductSprint Backlog'!$F104, TRUE, 0)</f>
        <v>0</v>
      </c>
      <c r="K104" s="4" cm="1">
        <f t="array" ref="K104">_xlfn.IFS('ProductSprint Backlog'!$F104="", "", AND('ProductSprint Backlog'!$J104&gt;K$2,'ProductSprint Backlog'!$I104&lt;=K$2), 'ProductSprint Backlog'!$F104 / MAX(1, 'ProductSprint Backlog'!$J104-'ProductSprint Backlog'!$I104), AND('ProductSprint Backlog'!$J104=K$2,'ProductSprint Backlog'!$I104=K$2), 'ProductSprint Backlog'!$F104, TRUE, 0)</f>
        <v>0</v>
      </c>
      <c r="L104" s="4" cm="1">
        <f t="array" ref="L104">_xlfn.IFS('ProductSprint Backlog'!$F104="", "", AND('ProductSprint Backlog'!$J104&gt;L$2,'ProductSprint Backlog'!$I104&lt;=L$2), 'ProductSprint Backlog'!$F104 / MAX(1, 'ProductSprint Backlog'!$J104-'ProductSprint Backlog'!$I104), AND('ProductSprint Backlog'!$J104=L$2,'ProductSprint Backlog'!$I104=L$2), 'ProductSprint Backlog'!$F104, TRUE, 0)</f>
        <v>0</v>
      </c>
      <c r="M104" s="4" cm="1">
        <f t="array" ref="M104">_xlfn.IFS('ProductSprint Backlog'!$F104="", "", AND('ProductSprint Backlog'!$J104&gt;M$2,'ProductSprint Backlog'!$I104&lt;=M$2), 'ProductSprint Backlog'!$F104 / MAX(1, 'ProductSprint Backlog'!$J104-'ProductSprint Backlog'!$I104), AND('ProductSprint Backlog'!$J104=M$2,'ProductSprint Backlog'!$I104=M$2), 'ProductSprint Backlog'!$F104, TRUE, 0)</f>
        <v>0</v>
      </c>
      <c r="N104" s="4" cm="1">
        <f t="array" ref="N104">_xlfn.IFS('ProductSprint Backlog'!$F104="", "", AND('ProductSprint Backlog'!$J104&gt;N$2,'ProductSprint Backlog'!$I104&lt;=N$2), 'ProductSprint Backlog'!$F104 / MAX(1, 'ProductSprint Backlog'!$J104-'ProductSprint Backlog'!$I104), AND('ProductSprint Backlog'!$J104=N$2,'ProductSprint Backlog'!$I104=N$2), 'ProductSprint Backlog'!$F104, TRUE, 0)</f>
        <v>0</v>
      </c>
      <c r="O104" s="4" cm="1">
        <f t="array" ref="O104">_xlfn.IFS('ProductSprint Backlog'!$F104="", "", AND('ProductSprint Backlog'!$J104&gt;O$2,'ProductSprint Backlog'!$I104&lt;=O$2), 'ProductSprint Backlog'!$F104 / MAX(1, 'ProductSprint Backlog'!$J104-'ProductSprint Backlog'!$I104), AND('ProductSprint Backlog'!$J104=O$2,'ProductSprint Backlog'!$I104=O$2), 'ProductSprint Backlog'!$F104, TRUE, 0)</f>
        <v>0</v>
      </c>
    </row>
    <row r="105" spans="2:15" x14ac:dyDescent="0.2">
      <c r="B105" s="4" cm="1">
        <f t="array" ref="B105">_xlfn.IFS('ProductSprint Backlog'!$F105="", "", AND('ProductSprint Backlog'!$J105&gt;B$2,'ProductSprint Backlog'!$I105&lt;=B$2), 'ProductSprint Backlog'!$F105 / MAX(1, 'ProductSprint Backlog'!$J105-'ProductSprint Backlog'!$I105), AND('ProductSprint Backlog'!$J105=B$2,'ProductSprint Backlog'!$I105=B$2), 'ProductSprint Backlog'!$F105, TRUE, 0)</f>
        <v>0</v>
      </c>
      <c r="C105" s="4" cm="1">
        <f t="array" ref="C105">_xlfn.IFS('ProductSprint Backlog'!$F105="", "", AND('ProductSprint Backlog'!$J105&gt;C$2,'ProductSprint Backlog'!$I105&lt;=C$2), 'ProductSprint Backlog'!$F105 / MAX(1, 'ProductSprint Backlog'!$J105-'ProductSprint Backlog'!$I105), AND('ProductSprint Backlog'!$J105=C$2,'ProductSprint Backlog'!$I105=C$2), 'ProductSprint Backlog'!$F105, TRUE, 0)</f>
        <v>0</v>
      </c>
      <c r="D105" s="4" cm="1">
        <f t="array" ref="D105">_xlfn.IFS('ProductSprint Backlog'!$F105="", "", AND('ProductSprint Backlog'!$J105&gt;D$2,'ProductSprint Backlog'!$I105&lt;=D$2), 'ProductSprint Backlog'!$F105 / MAX(1, 'ProductSprint Backlog'!$J105-'ProductSprint Backlog'!$I105), AND('ProductSprint Backlog'!$J105=D$2,'ProductSprint Backlog'!$I105=D$2), 'ProductSprint Backlog'!$F105, TRUE, 0)</f>
        <v>0</v>
      </c>
      <c r="E105" s="4" cm="1">
        <f t="array" ref="E105">_xlfn.IFS('ProductSprint Backlog'!$F105="", "", AND('ProductSprint Backlog'!$J105&gt;E$2,'ProductSprint Backlog'!$I105&lt;=E$2), 'ProductSprint Backlog'!$F105 / MAX(1, 'ProductSprint Backlog'!$J105-'ProductSprint Backlog'!$I105), AND('ProductSprint Backlog'!$J105=E$2,'ProductSprint Backlog'!$I105=E$2), 'ProductSprint Backlog'!$F105, TRUE, 0)</f>
        <v>0</v>
      </c>
      <c r="F105" s="4" cm="1">
        <f t="array" ref="F105">_xlfn.IFS('ProductSprint Backlog'!$F105="", "", AND('ProductSprint Backlog'!$J105&gt;F$2,'ProductSprint Backlog'!$I105&lt;=F$2), 'ProductSprint Backlog'!$F105 / MAX(1, 'ProductSprint Backlog'!$J105-'ProductSprint Backlog'!$I105), AND('ProductSprint Backlog'!$J105=F$2,'ProductSprint Backlog'!$I105=F$2), 'ProductSprint Backlog'!$F105, TRUE, 0)</f>
        <v>0</v>
      </c>
      <c r="G105" s="4" cm="1">
        <f t="array" ref="G105">_xlfn.IFS('ProductSprint Backlog'!$F105="", "", AND('ProductSprint Backlog'!$J105&gt;G$2,'ProductSprint Backlog'!$I105&lt;=G$2), 'ProductSprint Backlog'!$F105 / MAX(1, 'ProductSprint Backlog'!$J105-'ProductSprint Backlog'!$I105), AND('ProductSprint Backlog'!$J105=G$2,'ProductSprint Backlog'!$I105=G$2), 'ProductSprint Backlog'!$F105, TRUE, 0)</f>
        <v>0</v>
      </c>
      <c r="H105" s="4" cm="1">
        <f t="array" ref="H105">_xlfn.IFS('ProductSprint Backlog'!$F105="", "", AND('ProductSprint Backlog'!$J105&gt;H$2,'ProductSprint Backlog'!$I105&lt;=H$2), 'ProductSprint Backlog'!$F105 / MAX(1, 'ProductSprint Backlog'!$J105-'ProductSprint Backlog'!$I105), AND('ProductSprint Backlog'!$J105=H$2,'ProductSprint Backlog'!$I105=H$2), 'ProductSprint Backlog'!$F105, TRUE, 0)</f>
        <v>0</v>
      </c>
      <c r="I105" s="4" cm="1">
        <f t="array" ref="I105">_xlfn.IFS('ProductSprint Backlog'!$F105="", "", AND('ProductSprint Backlog'!$J105&gt;I$2,'ProductSprint Backlog'!$I105&lt;=I$2), 'ProductSprint Backlog'!$F105 / MAX(1, 'ProductSprint Backlog'!$J105-'ProductSprint Backlog'!$I105), AND('ProductSprint Backlog'!$J105=I$2,'ProductSprint Backlog'!$I105=I$2), 'ProductSprint Backlog'!$F105, TRUE, 0)</f>
        <v>0</v>
      </c>
      <c r="J105" s="4" cm="1">
        <f t="array" ref="J105">_xlfn.IFS('ProductSprint Backlog'!$F105="", "", AND('ProductSprint Backlog'!$J105&gt;J$2,'ProductSprint Backlog'!$I105&lt;=J$2), 'ProductSprint Backlog'!$F105 / MAX(1, 'ProductSprint Backlog'!$J105-'ProductSprint Backlog'!$I105), AND('ProductSprint Backlog'!$J105=J$2,'ProductSprint Backlog'!$I105=J$2), 'ProductSprint Backlog'!$F105, TRUE, 0)</f>
        <v>0</v>
      </c>
      <c r="K105" s="4" cm="1">
        <f t="array" ref="K105">_xlfn.IFS('ProductSprint Backlog'!$F105="", "", AND('ProductSprint Backlog'!$J105&gt;K$2,'ProductSprint Backlog'!$I105&lt;=K$2), 'ProductSprint Backlog'!$F105 / MAX(1, 'ProductSprint Backlog'!$J105-'ProductSprint Backlog'!$I105), AND('ProductSprint Backlog'!$J105=K$2,'ProductSprint Backlog'!$I105=K$2), 'ProductSprint Backlog'!$F105, TRUE, 0)</f>
        <v>0</v>
      </c>
      <c r="L105" s="4" cm="1">
        <f t="array" ref="L105">_xlfn.IFS('ProductSprint Backlog'!$F105="", "", AND('ProductSprint Backlog'!$J105&gt;L$2,'ProductSprint Backlog'!$I105&lt;=L$2), 'ProductSprint Backlog'!$F105 / MAX(1, 'ProductSprint Backlog'!$J105-'ProductSprint Backlog'!$I105), AND('ProductSprint Backlog'!$J105=L$2,'ProductSprint Backlog'!$I105=L$2), 'ProductSprint Backlog'!$F105, TRUE, 0)</f>
        <v>0</v>
      </c>
      <c r="M105" s="4" cm="1">
        <f t="array" ref="M105">_xlfn.IFS('ProductSprint Backlog'!$F105="", "", AND('ProductSprint Backlog'!$J105&gt;M$2,'ProductSprint Backlog'!$I105&lt;=M$2), 'ProductSprint Backlog'!$F105 / MAX(1, 'ProductSprint Backlog'!$J105-'ProductSprint Backlog'!$I105), AND('ProductSprint Backlog'!$J105=M$2,'ProductSprint Backlog'!$I105=M$2), 'ProductSprint Backlog'!$F105, TRUE, 0)</f>
        <v>0</v>
      </c>
      <c r="N105" s="4" cm="1">
        <f t="array" ref="N105">_xlfn.IFS('ProductSprint Backlog'!$F105="", "", AND('ProductSprint Backlog'!$J105&gt;N$2,'ProductSprint Backlog'!$I105&lt;=N$2), 'ProductSprint Backlog'!$F105 / MAX(1, 'ProductSprint Backlog'!$J105-'ProductSprint Backlog'!$I105), AND('ProductSprint Backlog'!$J105=N$2,'ProductSprint Backlog'!$I105=N$2), 'ProductSprint Backlog'!$F105, TRUE, 0)</f>
        <v>0</v>
      </c>
      <c r="O105" s="4" cm="1">
        <f t="array" ref="O105">_xlfn.IFS('ProductSprint Backlog'!$F105="", "", AND('ProductSprint Backlog'!$J105&gt;O$2,'ProductSprint Backlog'!$I105&lt;=O$2), 'ProductSprint Backlog'!$F105 / MAX(1, 'ProductSprint Backlog'!$J105-'ProductSprint Backlog'!$I105), AND('ProductSprint Backlog'!$J105=O$2,'ProductSprint Backlog'!$I105=O$2), 'ProductSprint Backlog'!$F105, TRUE, 0)</f>
        <v>0</v>
      </c>
    </row>
    <row r="106" spans="2:15" x14ac:dyDescent="0.2">
      <c r="B106" s="4" cm="1">
        <f t="array" ref="B106">_xlfn.IFS('ProductSprint Backlog'!$F106="", "", AND('ProductSprint Backlog'!$J106&gt;B$2,'ProductSprint Backlog'!$I106&lt;=B$2), 'ProductSprint Backlog'!$F106 / MAX(1, 'ProductSprint Backlog'!$J106-'ProductSprint Backlog'!$I106), AND('ProductSprint Backlog'!$J106=B$2,'ProductSprint Backlog'!$I106=B$2), 'ProductSprint Backlog'!$F106, TRUE, 0)</f>
        <v>0</v>
      </c>
      <c r="C106" s="4" cm="1">
        <f t="array" ref="C106">_xlfn.IFS('ProductSprint Backlog'!$F106="", "", AND('ProductSprint Backlog'!$J106&gt;C$2,'ProductSprint Backlog'!$I106&lt;=C$2), 'ProductSprint Backlog'!$F106 / MAX(1, 'ProductSprint Backlog'!$J106-'ProductSprint Backlog'!$I106), AND('ProductSprint Backlog'!$J106=C$2,'ProductSprint Backlog'!$I106=C$2), 'ProductSprint Backlog'!$F106, TRUE, 0)</f>
        <v>0</v>
      </c>
      <c r="D106" s="4" cm="1">
        <f t="array" ref="D106">_xlfn.IFS('ProductSprint Backlog'!$F106="", "", AND('ProductSprint Backlog'!$J106&gt;D$2,'ProductSprint Backlog'!$I106&lt;=D$2), 'ProductSprint Backlog'!$F106 / MAX(1, 'ProductSprint Backlog'!$J106-'ProductSprint Backlog'!$I106), AND('ProductSprint Backlog'!$J106=D$2,'ProductSprint Backlog'!$I106=D$2), 'ProductSprint Backlog'!$F106, TRUE, 0)</f>
        <v>0</v>
      </c>
      <c r="E106" s="4" cm="1">
        <f t="array" ref="E106">_xlfn.IFS('ProductSprint Backlog'!$F106="", "", AND('ProductSprint Backlog'!$J106&gt;E$2,'ProductSprint Backlog'!$I106&lt;=E$2), 'ProductSprint Backlog'!$F106 / MAX(1, 'ProductSprint Backlog'!$J106-'ProductSprint Backlog'!$I106), AND('ProductSprint Backlog'!$J106=E$2,'ProductSprint Backlog'!$I106=E$2), 'ProductSprint Backlog'!$F106, TRUE, 0)</f>
        <v>0</v>
      </c>
      <c r="F106" s="4" cm="1">
        <f t="array" ref="F106">_xlfn.IFS('ProductSprint Backlog'!$F106="", "", AND('ProductSprint Backlog'!$J106&gt;F$2,'ProductSprint Backlog'!$I106&lt;=F$2), 'ProductSprint Backlog'!$F106 / MAX(1, 'ProductSprint Backlog'!$J106-'ProductSprint Backlog'!$I106), AND('ProductSprint Backlog'!$J106=F$2,'ProductSprint Backlog'!$I106=F$2), 'ProductSprint Backlog'!$F106, TRUE, 0)</f>
        <v>0</v>
      </c>
      <c r="G106" s="4" cm="1">
        <f t="array" ref="G106">_xlfn.IFS('ProductSprint Backlog'!$F106="", "", AND('ProductSprint Backlog'!$J106&gt;G$2,'ProductSprint Backlog'!$I106&lt;=G$2), 'ProductSprint Backlog'!$F106 / MAX(1, 'ProductSprint Backlog'!$J106-'ProductSprint Backlog'!$I106), AND('ProductSprint Backlog'!$J106=G$2,'ProductSprint Backlog'!$I106=G$2), 'ProductSprint Backlog'!$F106, TRUE, 0)</f>
        <v>0</v>
      </c>
      <c r="H106" s="4" cm="1">
        <f t="array" ref="H106">_xlfn.IFS('ProductSprint Backlog'!$F106="", "", AND('ProductSprint Backlog'!$J106&gt;H$2,'ProductSprint Backlog'!$I106&lt;=H$2), 'ProductSprint Backlog'!$F106 / MAX(1, 'ProductSprint Backlog'!$J106-'ProductSprint Backlog'!$I106), AND('ProductSprint Backlog'!$J106=H$2,'ProductSprint Backlog'!$I106=H$2), 'ProductSprint Backlog'!$F106, TRUE, 0)</f>
        <v>0</v>
      </c>
      <c r="I106" s="4" cm="1">
        <f t="array" ref="I106">_xlfn.IFS('ProductSprint Backlog'!$F106="", "", AND('ProductSprint Backlog'!$J106&gt;I$2,'ProductSprint Backlog'!$I106&lt;=I$2), 'ProductSprint Backlog'!$F106 / MAX(1, 'ProductSprint Backlog'!$J106-'ProductSprint Backlog'!$I106), AND('ProductSprint Backlog'!$J106=I$2,'ProductSprint Backlog'!$I106=I$2), 'ProductSprint Backlog'!$F106, TRUE, 0)</f>
        <v>0</v>
      </c>
      <c r="J106" s="4" cm="1">
        <f t="array" ref="J106">_xlfn.IFS('ProductSprint Backlog'!$F106="", "", AND('ProductSprint Backlog'!$J106&gt;J$2,'ProductSprint Backlog'!$I106&lt;=J$2), 'ProductSprint Backlog'!$F106 / MAX(1, 'ProductSprint Backlog'!$J106-'ProductSprint Backlog'!$I106), AND('ProductSprint Backlog'!$J106=J$2,'ProductSprint Backlog'!$I106=J$2), 'ProductSprint Backlog'!$F106, TRUE, 0)</f>
        <v>0</v>
      </c>
      <c r="K106" s="4" cm="1">
        <f t="array" ref="K106">_xlfn.IFS('ProductSprint Backlog'!$F106="", "", AND('ProductSprint Backlog'!$J106&gt;K$2,'ProductSprint Backlog'!$I106&lt;=K$2), 'ProductSprint Backlog'!$F106 / MAX(1, 'ProductSprint Backlog'!$J106-'ProductSprint Backlog'!$I106), AND('ProductSprint Backlog'!$J106=K$2,'ProductSprint Backlog'!$I106=K$2), 'ProductSprint Backlog'!$F106, TRUE, 0)</f>
        <v>0</v>
      </c>
      <c r="L106" s="4" cm="1">
        <f t="array" ref="L106">_xlfn.IFS('ProductSprint Backlog'!$F106="", "", AND('ProductSprint Backlog'!$J106&gt;L$2,'ProductSprint Backlog'!$I106&lt;=L$2), 'ProductSprint Backlog'!$F106 / MAX(1, 'ProductSprint Backlog'!$J106-'ProductSprint Backlog'!$I106), AND('ProductSprint Backlog'!$J106=L$2,'ProductSprint Backlog'!$I106=L$2), 'ProductSprint Backlog'!$F106, TRUE, 0)</f>
        <v>0</v>
      </c>
      <c r="M106" s="4" cm="1">
        <f t="array" ref="M106">_xlfn.IFS('ProductSprint Backlog'!$F106="", "", AND('ProductSprint Backlog'!$J106&gt;M$2,'ProductSprint Backlog'!$I106&lt;=M$2), 'ProductSprint Backlog'!$F106 / MAX(1, 'ProductSprint Backlog'!$J106-'ProductSprint Backlog'!$I106), AND('ProductSprint Backlog'!$J106=M$2,'ProductSprint Backlog'!$I106=M$2), 'ProductSprint Backlog'!$F106, TRUE, 0)</f>
        <v>0</v>
      </c>
      <c r="N106" s="4" cm="1">
        <f t="array" ref="N106">_xlfn.IFS('ProductSprint Backlog'!$F106="", "", AND('ProductSprint Backlog'!$J106&gt;N$2,'ProductSprint Backlog'!$I106&lt;=N$2), 'ProductSprint Backlog'!$F106 / MAX(1, 'ProductSprint Backlog'!$J106-'ProductSprint Backlog'!$I106), AND('ProductSprint Backlog'!$J106=N$2,'ProductSprint Backlog'!$I106=N$2), 'ProductSprint Backlog'!$F106, TRUE, 0)</f>
        <v>0</v>
      </c>
      <c r="O106" s="4" cm="1">
        <f t="array" ref="O106">_xlfn.IFS('ProductSprint Backlog'!$F106="", "", AND('ProductSprint Backlog'!$J106&gt;O$2,'ProductSprint Backlog'!$I106&lt;=O$2), 'ProductSprint Backlog'!$F106 / MAX(1, 'ProductSprint Backlog'!$J106-'ProductSprint Backlog'!$I106), AND('ProductSprint Backlog'!$J106=O$2,'ProductSprint Backlog'!$I106=O$2), 'ProductSprint Backlog'!$F106, TRUE, 0)</f>
        <v>0</v>
      </c>
    </row>
    <row r="107" spans="2:15" x14ac:dyDescent="0.2">
      <c r="B107" s="4" t="str" cm="1">
        <f t="array" ref="B107">_xlfn.IFS('ProductSprint Backlog'!$F107="", "", AND('ProductSprint Backlog'!$J107&gt;B$2,'ProductSprint Backlog'!$I107&lt;=B$2), 'ProductSprint Backlog'!$F107 / MAX(1, 'ProductSprint Backlog'!$J107-'ProductSprint Backlog'!$I107), AND('ProductSprint Backlog'!$J107=B$2,'ProductSprint Backlog'!$I107=B$2), 'ProductSprint Backlog'!$F107, TRUE, 0)</f>
        <v/>
      </c>
      <c r="C107" s="4" t="str" cm="1">
        <f t="array" ref="C107">_xlfn.IFS('ProductSprint Backlog'!$F107="", "", AND('ProductSprint Backlog'!$J107&gt;C$2,'ProductSprint Backlog'!$I107&lt;=C$2), 'ProductSprint Backlog'!$F107 / MAX(1, 'ProductSprint Backlog'!$J107-'ProductSprint Backlog'!$I107), AND('ProductSprint Backlog'!$J107=C$2,'ProductSprint Backlog'!$I107=C$2), 'ProductSprint Backlog'!$F107, TRUE, 0)</f>
        <v/>
      </c>
      <c r="D107" s="4" t="str" cm="1">
        <f t="array" ref="D107">_xlfn.IFS('ProductSprint Backlog'!$F107="", "", AND('ProductSprint Backlog'!$J107&gt;D$2,'ProductSprint Backlog'!$I107&lt;=D$2), 'ProductSprint Backlog'!$F107 / MAX(1, 'ProductSprint Backlog'!$J107-'ProductSprint Backlog'!$I107), AND('ProductSprint Backlog'!$J107=D$2,'ProductSprint Backlog'!$I107=D$2), 'ProductSprint Backlog'!$F107, TRUE, 0)</f>
        <v/>
      </c>
      <c r="E107" s="4" t="str" cm="1">
        <f t="array" ref="E107">_xlfn.IFS('ProductSprint Backlog'!$F107="", "", AND('ProductSprint Backlog'!$J107&gt;E$2,'ProductSprint Backlog'!$I107&lt;=E$2), 'ProductSprint Backlog'!$F107 / MAX(1, 'ProductSprint Backlog'!$J107-'ProductSprint Backlog'!$I107), AND('ProductSprint Backlog'!$J107=E$2,'ProductSprint Backlog'!$I107=E$2), 'ProductSprint Backlog'!$F107, TRUE, 0)</f>
        <v/>
      </c>
      <c r="F107" s="4" t="str" cm="1">
        <f t="array" ref="F107">_xlfn.IFS('ProductSprint Backlog'!$F107="", "", AND('ProductSprint Backlog'!$J107&gt;F$2,'ProductSprint Backlog'!$I107&lt;=F$2), 'ProductSprint Backlog'!$F107 / MAX(1, 'ProductSprint Backlog'!$J107-'ProductSprint Backlog'!$I107), AND('ProductSprint Backlog'!$J107=F$2,'ProductSprint Backlog'!$I107=F$2), 'ProductSprint Backlog'!$F107, TRUE, 0)</f>
        <v/>
      </c>
      <c r="G107" s="4" t="str" cm="1">
        <f t="array" ref="G107">_xlfn.IFS('ProductSprint Backlog'!$F107="", "", AND('ProductSprint Backlog'!$J107&gt;G$2,'ProductSprint Backlog'!$I107&lt;=G$2), 'ProductSprint Backlog'!$F107 / MAX(1, 'ProductSprint Backlog'!$J107-'ProductSprint Backlog'!$I107), AND('ProductSprint Backlog'!$J107=G$2,'ProductSprint Backlog'!$I107=G$2), 'ProductSprint Backlog'!$F107, TRUE, 0)</f>
        <v/>
      </c>
      <c r="H107" s="4" t="str" cm="1">
        <f t="array" ref="H107">_xlfn.IFS('ProductSprint Backlog'!$F107="", "", AND('ProductSprint Backlog'!$J107&gt;H$2,'ProductSprint Backlog'!$I107&lt;=H$2), 'ProductSprint Backlog'!$F107 / MAX(1, 'ProductSprint Backlog'!$J107-'ProductSprint Backlog'!$I107), AND('ProductSprint Backlog'!$J107=H$2,'ProductSprint Backlog'!$I107=H$2), 'ProductSprint Backlog'!$F107, TRUE, 0)</f>
        <v/>
      </c>
      <c r="I107" s="4" t="str" cm="1">
        <f t="array" ref="I107">_xlfn.IFS('ProductSprint Backlog'!$F107="", "", AND('ProductSprint Backlog'!$J107&gt;I$2,'ProductSprint Backlog'!$I107&lt;=I$2), 'ProductSprint Backlog'!$F107 / MAX(1, 'ProductSprint Backlog'!$J107-'ProductSprint Backlog'!$I107), AND('ProductSprint Backlog'!$J107=I$2,'ProductSprint Backlog'!$I107=I$2), 'ProductSprint Backlog'!$F107, TRUE, 0)</f>
        <v/>
      </c>
      <c r="J107" s="4" t="str" cm="1">
        <f t="array" ref="J107">_xlfn.IFS('ProductSprint Backlog'!$F107="", "", AND('ProductSprint Backlog'!$J107&gt;J$2,'ProductSprint Backlog'!$I107&lt;=J$2), 'ProductSprint Backlog'!$F107 / MAX(1, 'ProductSprint Backlog'!$J107-'ProductSprint Backlog'!$I107), AND('ProductSprint Backlog'!$J107=J$2,'ProductSprint Backlog'!$I107=J$2), 'ProductSprint Backlog'!$F107, TRUE, 0)</f>
        <v/>
      </c>
      <c r="K107" s="4" t="str" cm="1">
        <f t="array" ref="K107">_xlfn.IFS('ProductSprint Backlog'!$F107="", "", AND('ProductSprint Backlog'!$J107&gt;K$2,'ProductSprint Backlog'!$I107&lt;=K$2), 'ProductSprint Backlog'!$F107 / MAX(1, 'ProductSprint Backlog'!$J107-'ProductSprint Backlog'!$I107), AND('ProductSprint Backlog'!$J107=K$2,'ProductSprint Backlog'!$I107=K$2), 'ProductSprint Backlog'!$F107, TRUE, 0)</f>
        <v/>
      </c>
      <c r="L107" s="4" t="str" cm="1">
        <f t="array" ref="L107">_xlfn.IFS('ProductSprint Backlog'!$F107="", "", AND('ProductSprint Backlog'!$J107&gt;L$2,'ProductSprint Backlog'!$I107&lt;=L$2), 'ProductSprint Backlog'!$F107 / MAX(1, 'ProductSprint Backlog'!$J107-'ProductSprint Backlog'!$I107), AND('ProductSprint Backlog'!$J107=L$2,'ProductSprint Backlog'!$I107=L$2), 'ProductSprint Backlog'!$F107, TRUE, 0)</f>
        <v/>
      </c>
      <c r="M107" s="4" t="str" cm="1">
        <f t="array" ref="M107">_xlfn.IFS('ProductSprint Backlog'!$F107="", "", AND('ProductSprint Backlog'!$J107&gt;M$2,'ProductSprint Backlog'!$I107&lt;=M$2), 'ProductSprint Backlog'!$F107 / MAX(1, 'ProductSprint Backlog'!$J107-'ProductSprint Backlog'!$I107), AND('ProductSprint Backlog'!$J107=M$2,'ProductSprint Backlog'!$I107=M$2), 'ProductSprint Backlog'!$F107, TRUE, 0)</f>
        <v/>
      </c>
      <c r="N107" s="4" t="str" cm="1">
        <f t="array" ref="N107">_xlfn.IFS('ProductSprint Backlog'!$F107="", "", AND('ProductSprint Backlog'!$J107&gt;N$2,'ProductSprint Backlog'!$I107&lt;=N$2), 'ProductSprint Backlog'!$F107 / MAX(1, 'ProductSprint Backlog'!$J107-'ProductSprint Backlog'!$I107), AND('ProductSprint Backlog'!$J107=N$2,'ProductSprint Backlog'!$I107=N$2), 'ProductSprint Backlog'!$F107, TRUE, 0)</f>
        <v/>
      </c>
      <c r="O107" s="4" t="str" cm="1">
        <f t="array" ref="O107">_xlfn.IFS('ProductSprint Backlog'!$F107="", "", AND('ProductSprint Backlog'!$J107&gt;O$2,'ProductSprint Backlog'!$I107&lt;=O$2), 'ProductSprint Backlog'!$F107 / MAX(1, 'ProductSprint Backlog'!$J107-'ProductSprint Backlog'!$I107), AND('ProductSprint Backlog'!$J107=O$2,'ProductSprint Backlog'!$I107=O$2), 'ProductSprint Backlog'!$F107, TRUE, 0)</f>
        <v/>
      </c>
    </row>
    <row r="108" spans="2:15" x14ac:dyDescent="0.2">
      <c r="B108" s="4" cm="1">
        <f t="array" ref="B108">_xlfn.IFS('ProductSprint Backlog'!$F108="", "", AND('ProductSprint Backlog'!$J108&gt;B$2,'ProductSprint Backlog'!$I108&lt;=B$2), 'ProductSprint Backlog'!$F108 / MAX(1, 'ProductSprint Backlog'!$J108-'ProductSprint Backlog'!$I108), AND('ProductSprint Backlog'!$J108=B$2,'ProductSprint Backlog'!$I108=B$2), 'ProductSprint Backlog'!$F108, TRUE, 0)</f>
        <v>0</v>
      </c>
      <c r="C108" s="4" cm="1">
        <f t="array" ref="C108">_xlfn.IFS('ProductSprint Backlog'!$F108="", "", AND('ProductSprint Backlog'!$J108&gt;C$2,'ProductSprint Backlog'!$I108&lt;=C$2), 'ProductSprint Backlog'!$F108 / MAX(1, 'ProductSprint Backlog'!$J108-'ProductSprint Backlog'!$I108), AND('ProductSprint Backlog'!$J108=C$2,'ProductSprint Backlog'!$I108=C$2), 'ProductSprint Backlog'!$F108, TRUE, 0)</f>
        <v>0</v>
      </c>
      <c r="D108" s="4" cm="1">
        <f t="array" ref="D108">_xlfn.IFS('ProductSprint Backlog'!$F108="", "", AND('ProductSprint Backlog'!$J108&gt;D$2,'ProductSprint Backlog'!$I108&lt;=D$2), 'ProductSprint Backlog'!$F108 / MAX(1, 'ProductSprint Backlog'!$J108-'ProductSprint Backlog'!$I108), AND('ProductSprint Backlog'!$J108=D$2,'ProductSprint Backlog'!$I108=D$2), 'ProductSprint Backlog'!$F108, TRUE, 0)</f>
        <v>0</v>
      </c>
      <c r="E108" s="4" cm="1">
        <f t="array" ref="E108">_xlfn.IFS('ProductSprint Backlog'!$F108="", "", AND('ProductSprint Backlog'!$J108&gt;E$2,'ProductSprint Backlog'!$I108&lt;=E$2), 'ProductSprint Backlog'!$F108 / MAX(1, 'ProductSprint Backlog'!$J108-'ProductSprint Backlog'!$I108), AND('ProductSprint Backlog'!$J108=E$2,'ProductSprint Backlog'!$I108=E$2), 'ProductSprint Backlog'!$F108, TRUE, 0)</f>
        <v>0</v>
      </c>
      <c r="F108" s="4" cm="1">
        <f t="array" ref="F108">_xlfn.IFS('ProductSprint Backlog'!$F108="", "", AND('ProductSprint Backlog'!$J108&gt;F$2,'ProductSprint Backlog'!$I108&lt;=F$2), 'ProductSprint Backlog'!$F108 / MAX(1, 'ProductSprint Backlog'!$J108-'ProductSprint Backlog'!$I108), AND('ProductSprint Backlog'!$J108=F$2,'ProductSprint Backlog'!$I108=F$2), 'ProductSprint Backlog'!$F108, TRUE, 0)</f>
        <v>0</v>
      </c>
      <c r="G108" s="4" cm="1">
        <f t="array" ref="G108">_xlfn.IFS('ProductSprint Backlog'!$F108="", "", AND('ProductSprint Backlog'!$J108&gt;G$2,'ProductSprint Backlog'!$I108&lt;=G$2), 'ProductSprint Backlog'!$F108 / MAX(1, 'ProductSprint Backlog'!$J108-'ProductSprint Backlog'!$I108), AND('ProductSprint Backlog'!$J108=G$2,'ProductSprint Backlog'!$I108=G$2), 'ProductSprint Backlog'!$F108, TRUE, 0)</f>
        <v>0</v>
      </c>
      <c r="H108" s="4" cm="1">
        <f t="array" ref="H108">_xlfn.IFS('ProductSprint Backlog'!$F108="", "", AND('ProductSprint Backlog'!$J108&gt;H$2,'ProductSprint Backlog'!$I108&lt;=H$2), 'ProductSprint Backlog'!$F108 / MAX(1, 'ProductSprint Backlog'!$J108-'ProductSprint Backlog'!$I108), AND('ProductSprint Backlog'!$J108=H$2,'ProductSprint Backlog'!$I108=H$2), 'ProductSprint Backlog'!$F108, TRUE, 0)</f>
        <v>0</v>
      </c>
      <c r="I108" s="4" cm="1">
        <f t="array" ref="I108">_xlfn.IFS('ProductSprint Backlog'!$F108="", "", AND('ProductSprint Backlog'!$J108&gt;I$2,'ProductSprint Backlog'!$I108&lt;=I$2), 'ProductSprint Backlog'!$F108 / MAX(1, 'ProductSprint Backlog'!$J108-'ProductSprint Backlog'!$I108), AND('ProductSprint Backlog'!$J108=I$2,'ProductSprint Backlog'!$I108=I$2), 'ProductSprint Backlog'!$F108, TRUE, 0)</f>
        <v>0</v>
      </c>
      <c r="J108" s="4" cm="1">
        <f t="array" ref="J108">_xlfn.IFS('ProductSprint Backlog'!$F108="", "", AND('ProductSprint Backlog'!$J108&gt;J$2,'ProductSprint Backlog'!$I108&lt;=J$2), 'ProductSprint Backlog'!$F108 / MAX(1, 'ProductSprint Backlog'!$J108-'ProductSprint Backlog'!$I108), AND('ProductSprint Backlog'!$J108=J$2,'ProductSprint Backlog'!$I108=J$2), 'ProductSprint Backlog'!$F108, TRUE, 0)</f>
        <v>0</v>
      </c>
      <c r="K108" s="4" cm="1">
        <f t="array" ref="K108">_xlfn.IFS('ProductSprint Backlog'!$F108="", "", AND('ProductSprint Backlog'!$J108&gt;K$2,'ProductSprint Backlog'!$I108&lt;=K$2), 'ProductSprint Backlog'!$F108 / MAX(1, 'ProductSprint Backlog'!$J108-'ProductSprint Backlog'!$I108), AND('ProductSprint Backlog'!$J108=K$2,'ProductSprint Backlog'!$I108=K$2), 'ProductSprint Backlog'!$F108, TRUE, 0)</f>
        <v>0</v>
      </c>
      <c r="L108" s="4" cm="1">
        <f t="array" ref="L108">_xlfn.IFS('ProductSprint Backlog'!$F108="", "", AND('ProductSprint Backlog'!$J108&gt;L$2,'ProductSprint Backlog'!$I108&lt;=L$2), 'ProductSprint Backlog'!$F108 / MAX(1, 'ProductSprint Backlog'!$J108-'ProductSprint Backlog'!$I108), AND('ProductSprint Backlog'!$J108=L$2,'ProductSprint Backlog'!$I108=L$2), 'ProductSprint Backlog'!$F108, TRUE, 0)</f>
        <v>0</v>
      </c>
      <c r="M108" s="4" cm="1">
        <f t="array" ref="M108">_xlfn.IFS('ProductSprint Backlog'!$F108="", "", AND('ProductSprint Backlog'!$J108&gt;M$2,'ProductSprint Backlog'!$I108&lt;=M$2), 'ProductSprint Backlog'!$F108 / MAX(1, 'ProductSprint Backlog'!$J108-'ProductSprint Backlog'!$I108), AND('ProductSprint Backlog'!$J108=M$2,'ProductSprint Backlog'!$I108=M$2), 'ProductSprint Backlog'!$F108, TRUE, 0)</f>
        <v>0</v>
      </c>
      <c r="N108" s="4" cm="1">
        <f t="array" ref="N108">_xlfn.IFS('ProductSprint Backlog'!$F108="", "", AND('ProductSprint Backlog'!$J108&gt;N$2,'ProductSprint Backlog'!$I108&lt;=N$2), 'ProductSprint Backlog'!$F108 / MAX(1, 'ProductSprint Backlog'!$J108-'ProductSprint Backlog'!$I108), AND('ProductSprint Backlog'!$J108=N$2,'ProductSprint Backlog'!$I108=N$2), 'ProductSprint Backlog'!$F108, TRUE, 0)</f>
        <v>0</v>
      </c>
      <c r="O108" s="4" cm="1">
        <f t="array" ref="O108">_xlfn.IFS('ProductSprint Backlog'!$F108="", "", AND('ProductSprint Backlog'!$J108&gt;O$2,'ProductSprint Backlog'!$I108&lt;=O$2), 'ProductSprint Backlog'!$F108 / MAX(1, 'ProductSprint Backlog'!$J108-'ProductSprint Backlog'!$I108), AND('ProductSprint Backlog'!$J108=O$2,'ProductSprint Backlog'!$I108=O$2), 'ProductSprint Backlog'!$F108, TRUE, 0)</f>
        <v>0</v>
      </c>
    </row>
    <row r="109" spans="2:15" x14ac:dyDescent="0.2">
      <c r="B109" s="4" cm="1">
        <f t="array" ref="B109">_xlfn.IFS('ProductSprint Backlog'!$F109="", "", AND('ProductSprint Backlog'!$J109&gt;B$2,'ProductSprint Backlog'!$I109&lt;=B$2), 'ProductSprint Backlog'!$F109 / MAX(1, 'ProductSprint Backlog'!$J109-'ProductSprint Backlog'!$I109), AND('ProductSprint Backlog'!$J109=B$2,'ProductSprint Backlog'!$I109=B$2), 'ProductSprint Backlog'!$F109, TRUE, 0)</f>
        <v>0</v>
      </c>
      <c r="C109" s="4" cm="1">
        <f t="array" ref="C109">_xlfn.IFS('ProductSprint Backlog'!$F109="", "", AND('ProductSprint Backlog'!$J109&gt;C$2,'ProductSprint Backlog'!$I109&lt;=C$2), 'ProductSprint Backlog'!$F109 / MAX(1, 'ProductSprint Backlog'!$J109-'ProductSprint Backlog'!$I109), AND('ProductSprint Backlog'!$J109=C$2,'ProductSprint Backlog'!$I109=C$2), 'ProductSprint Backlog'!$F109, TRUE, 0)</f>
        <v>0</v>
      </c>
      <c r="D109" s="4" cm="1">
        <f t="array" ref="D109">_xlfn.IFS('ProductSprint Backlog'!$F109="", "", AND('ProductSprint Backlog'!$J109&gt;D$2,'ProductSprint Backlog'!$I109&lt;=D$2), 'ProductSprint Backlog'!$F109 / MAX(1, 'ProductSprint Backlog'!$J109-'ProductSprint Backlog'!$I109), AND('ProductSprint Backlog'!$J109=D$2,'ProductSprint Backlog'!$I109=D$2), 'ProductSprint Backlog'!$F109, TRUE, 0)</f>
        <v>0</v>
      </c>
      <c r="E109" s="4" cm="1">
        <f t="array" ref="E109">_xlfn.IFS('ProductSprint Backlog'!$F109="", "", AND('ProductSprint Backlog'!$J109&gt;E$2,'ProductSprint Backlog'!$I109&lt;=E$2), 'ProductSprint Backlog'!$F109 / MAX(1, 'ProductSprint Backlog'!$J109-'ProductSprint Backlog'!$I109), AND('ProductSprint Backlog'!$J109=E$2,'ProductSprint Backlog'!$I109=E$2), 'ProductSprint Backlog'!$F109, TRUE, 0)</f>
        <v>0</v>
      </c>
      <c r="F109" s="4" cm="1">
        <f t="array" ref="F109">_xlfn.IFS('ProductSprint Backlog'!$F109="", "", AND('ProductSprint Backlog'!$J109&gt;F$2,'ProductSprint Backlog'!$I109&lt;=F$2), 'ProductSprint Backlog'!$F109 / MAX(1, 'ProductSprint Backlog'!$J109-'ProductSprint Backlog'!$I109), AND('ProductSprint Backlog'!$J109=F$2,'ProductSprint Backlog'!$I109=F$2), 'ProductSprint Backlog'!$F109, TRUE, 0)</f>
        <v>0</v>
      </c>
      <c r="G109" s="4" cm="1">
        <f t="array" ref="G109">_xlfn.IFS('ProductSprint Backlog'!$F109="", "", AND('ProductSprint Backlog'!$J109&gt;G$2,'ProductSprint Backlog'!$I109&lt;=G$2), 'ProductSprint Backlog'!$F109 / MAX(1, 'ProductSprint Backlog'!$J109-'ProductSprint Backlog'!$I109), AND('ProductSprint Backlog'!$J109=G$2,'ProductSprint Backlog'!$I109=G$2), 'ProductSprint Backlog'!$F109, TRUE, 0)</f>
        <v>0</v>
      </c>
      <c r="H109" s="4" cm="1">
        <f t="array" ref="H109">_xlfn.IFS('ProductSprint Backlog'!$F109="", "", AND('ProductSprint Backlog'!$J109&gt;H$2,'ProductSprint Backlog'!$I109&lt;=H$2), 'ProductSprint Backlog'!$F109 / MAX(1, 'ProductSprint Backlog'!$J109-'ProductSprint Backlog'!$I109), AND('ProductSprint Backlog'!$J109=H$2,'ProductSprint Backlog'!$I109=H$2), 'ProductSprint Backlog'!$F109, TRUE, 0)</f>
        <v>0</v>
      </c>
      <c r="I109" s="4" cm="1">
        <f t="array" ref="I109">_xlfn.IFS('ProductSprint Backlog'!$F109="", "", AND('ProductSprint Backlog'!$J109&gt;I$2,'ProductSprint Backlog'!$I109&lt;=I$2), 'ProductSprint Backlog'!$F109 / MAX(1, 'ProductSprint Backlog'!$J109-'ProductSprint Backlog'!$I109), AND('ProductSprint Backlog'!$J109=I$2,'ProductSprint Backlog'!$I109=I$2), 'ProductSprint Backlog'!$F109, TRUE, 0)</f>
        <v>0</v>
      </c>
      <c r="J109" s="4" cm="1">
        <f t="array" ref="J109">_xlfn.IFS('ProductSprint Backlog'!$F109="", "", AND('ProductSprint Backlog'!$J109&gt;J$2,'ProductSprint Backlog'!$I109&lt;=J$2), 'ProductSprint Backlog'!$F109 / MAX(1, 'ProductSprint Backlog'!$J109-'ProductSprint Backlog'!$I109), AND('ProductSprint Backlog'!$J109=J$2,'ProductSprint Backlog'!$I109=J$2), 'ProductSprint Backlog'!$F109, TRUE, 0)</f>
        <v>0</v>
      </c>
      <c r="K109" s="4" cm="1">
        <f t="array" ref="K109">_xlfn.IFS('ProductSprint Backlog'!$F109="", "", AND('ProductSprint Backlog'!$J109&gt;K$2,'ProductSprint Backlog'!$I109&lt;=K$2), 'ProductSprint Backlog'!$F109 / MAX(1, 'ProductSprint Backlog'!$J109-'ProductSprint Backlog'!$I109), AND('ProductSprint Backlog'!$J109=K$2,'ProductSprint Backlog'!$I109=K$2), 'ProductSprint Backlog'!$F109, TRUE, 0)</f>
        <v>0</v>
      </c>
      <c r="L109" s="4" cm="1">
        <f t="array" ref="L109">_xlfn.IFS('ProductSprint Backlog'!$F109="", "", AND('ProductSprint Backlog'!$J109&gt;L$2,'ProductSprint Backlog'!$I109&lt;=L$2), 'ProductSprint Backlog'!$F109 / MAX(1, 'ProductSprint Backlog'!$J109-'ProductSprint Backlog'!$I109), AND('ProductSprint Backlog'!$J109=L$2,'ProductSprint Backlog'!$I109=L$2), 'ProductSprint Backlog'!$F109, TRUE, 0)</f>
        <v>0</v>
      </c>
      <c r="M109" s="4" cm="1">
        <f t="array" ref="M109">_xlfn.IFS('ProductSprint Backlog'!$F109="", "", AND('ProductSprint Backlog'!$J109&gt;M$2,'ProductSprint Backlog'!$I109&lt;=M$2), 'ProductSprint Backlog'!$F109 / MAX(1, 'ProductSprint Backlog'!$J109-'ProductSprint Backlog'!$I109), AND('ProductSprint Backlog'!$J109=M$2,'ProductSprint Backlog'!$I109=M$2), 'ProductSprint Backlog'!$F109, TRUE, 0)</f>
        <v>0</v>
      </c>
      <c r="N109" s="4" cm="1">
        <f t="array" ref="N109">_xlfn.IFS('ProductSprint Backlog'!$F109="", "", AND('ProductSprint Backlog'!$J109&gt;N$2,'ProductSprint Backlog'!$I109&lt;=N$2), 'ProductSprint Backlog'!$F109 / MAX(1, 'ProductSprint Backlog'!$J109-'ProductSprint Backlog'!$I109), AND('ProductSprint Backlog'!$J109=N$2,'ProductSprint Backlog'!$I109=N$2), 'ProductSprint Backlog'!$F109, TRUE, 0)</f>
        <v>0</v>
      </c>
      <c r="O109" s="4" cm="1">
        <f t="array" ref="O109">_xlfn.IFS('ProductSprint Backlog'!$F109="", "", AND('ProductSprint Backlog'!$J109&gt;O$2,'ProductSprint Backlog'!$I109&lt;=O$2), 'ProductSprint Backlog'!$F109 / MAX(1, 'ProductSprint Backlog'!$J109-'ProductSprint Backlog'!$I109), AND('ProductSprint Backlog'!$J109=O$2,'ProductSprint Backlog'!$I109=O$2), 'ProductSprint Backlog'!$F109, TRUE, 0)</f>
        <v>0</v>
      </c>
    </row>
    <row r="110" spans="2:15" x14ac:dyDescent="0.2">
      <c r="B110" s="4" cm="1">
        <f t="array" ref="B110">_xlfn.IFS('ProductSprint Backlog'!$F110="", "", AND('ProductSprint Backlog'!$J110&gt;B$2,'ProductSprint Backlog'!$I110&lt;=B$2), 'ProductSprint Backlog'!$F110 / MAX(1, 'ProductSprint Backlog'!$J110-'ProductSprint Backlog'!$I110), AND('ProductSprint Backlog'!$J110=B$2,'ProductSprint Backlog'!$I110=B$2), 'ProductSprint Backlog'!$F110, TRUE, 0)</f>
        <v>0</v>
      </c>
      <c r="C110" s="4" cm="1">
        <f t="array" ref="C110">_xlfn.IFS('ProductSprint Backlog'!$F110="", "", AND('ProductSprint Backlog'!$J110&gt;C$2,'ProductSprint Backlog'!$I110&lt;=C$2), 'ProductSprint Backlog'!$F110 / MAX(1, 'ProductSprint Backlog'!$J110-'ProductSprint Backlog'!$I110), AND('ProductSprint Backlog'!$J110=C$2,'ProductSprint Backlog'!$I110=C$2), 'ProductSprint Backlog'!$F110, TRUE, 0)</f>
        <v>0</v>
      </c>
      <c r="D110" s="4" cm="1">
        <f t="array" ref="D110">_xlfn.IFS('ProductSprint Backlog'!$F110="", "", AND('ProductSprint Backlog'!$J110&gt;D$2,'ProductSprint Backlog'!$I110&lt;=D$2), 'ProductSprint Backlog'!$F110 / MAX(1, 'ProductSprint Backlog'!$J110-'ProductSprint Backlog'!$I110), AND('ProductSprint Backlog'!$J110=D$2,'ProductSprint Backlog'!$I110=D$2), 'ProductSprint Backlog'!$F110, TRUE, 0)</f>
        <v>0</v>
      </c>
      <c r="E110" s="4" cm="1">
        <f t="array" ref="E110">_xlfn.IFS('ProductSprint Backlog'!$F110="", "", AND('ProductSprint Backlog'!$J110&gt;E$2,'ProductSprint Backlog'!$I110&lt;=E$2), 'ProductSprint Backlog'!$F110 / MAX(1, 'ProductSprint Backlog'!$J110-'ProductSprint Backlog'!$I110), AND('ProductSprint Backlog'!$J110=E$2,'ProductSprint Backlog'!$I110=E$2), 'ProductSprint Backlog'!$F110, TRUE, 0)</f>
        <v>0</v>
      </c>
      <c r="F110" s="4" cm="1">
        <f t="array" ref="F110">_xlfn.IFS('ProductSprint Backlog'!$F110="", "", AND('ProductSprint Backlog'!$J110&gt;F$2,'ProductSprint Backlog'!$I110&lt;=F$2), 'ProductSprint Backlog'!$F110 / MAX(1, 'ProductSprint Backlog'!$J110-'ProductSprint Backlog'!$I110), AND('ProductSprint Backlog'!$J110=F$2,'ProductSprint Backlog'!$I110=F$2), 'ProductSprint Backlog'!$F110, TRUE, 0)</f>
        <v>0</v>
      </c>
      <c r="G110" s="4" cm="1">
        <f t="array" ref="G110">_xlfn.IFS('ProductSprint Backlog'!$F110="", "", AND('ProductSprint Backlog'!$J110&gt;G$2,'ProductSprint Backlog'!$I110&lt;=G$2), 'ProductSprint Backlog'!$F110 / MAX(1, 'ProductSprint Backlog'!$J110-'ProductSprint Backlog'!$I110), AND('ProductSprint Backlog'!$J110=G$2,'ProductSprint Backlog'!$I110=G$2), 'ProductSprint Backlog'!$F110, TRUE, 0)</f>
        <v>0</v>
      </c>
      <c r="H110" s="4" cm="1">
        <f t="array" ref="H110">_xlfn.IFS('ProductSprint Backlog'!$F110="", "", AND('ProductSprint Backlog'!$J110&gt;H$2,'ProductSprint Backlog'!$I110&lt;=H$2), 'ProductSprint Backlog'!$F110 / MAX(1, 'ProductSprint Backlog'!$J110-'ProductSprint Backlog'!$I110), AND('ProductSprint Backlog'!$J110=H$2,'ProductSprint Backlog'!$I110=H$2), 'ProductSprint Backlog'!$F110, TRUE, 0)</f>
        <v>0</v>
      </c>
      <c r="I110" s="4" cm="1">
        <f t="array" ref="I110">_xlfn.IFS('ProductSprint Backlog'!$F110="", "", AND('ProductSprint Backlog'!$J110&gt;I$2,'ProductSprint Backlog'!$I110&lt;=I$2), 'ProductSprint Backlog'!$F110 / MAX(1, 'ProductSprint Backlog'!$J110-'ProductSprint Backlog'!$I110), AND('ProductSprint Backlog'!$J110=I$2,'ProductSprint Backlog'!$I110=I$2), 'ProductSprint Backlog'!$F110, TRUE, 0)</f>
        <v>0</v>
      </c>
      <c r="J110" s="4" cm="1">
        <f t="array" ref="J110">_xlfn.IFS('ProductSprint Backlog'!$F110="", "", AND('ProductSprint Backlog'!$J110&gt;J$2,'ProductSprint Backlog'!$I110&lt;=J$2), 'ProductSprint Backlog'!$F110 / MAX(1, 'ProductSprint Backlog'!$J110-'ProductSprint Backlog'!$I110), AND('ProductSprint Backlog'!$J110=J$2,'ProductSprint Backlog'!$I110=J$2), 'ProductSprint Backlog'!$F110, TRUE, 0)</f>
        <v>0</v>
      </c>
      <c r="K110" s="4" cm="1">
        <f t="array" ref="K110">_xlfn.IFS('ProductSprint Backlog'!$F110="", "", AND('ProductSprint Backlog'!$J110&gt;K$2,'ProductSprint Backlog'!$I110&lt;=K$2), 'ProductSprint Backlog'!$F110 / MAX(1, 'ProductSprint Backlog'!$J110-'ProductSprint Backlog'!$I110), AND('ProductSprint Backlog'!$J110=K$2,'ProductSprint Backlog'!$I110=K$2), 'ProductSprint Backlog'!$F110, TRUE, 0)</f>
        <v>0</v>
      </c>
      <c r="L110" s="4" cm="1">
        <f t="array" ref="L110">_xlfn.IFS('ProductSprint Backlog'!$F110="", "", AND('ProductSprint Backlog'!$J110&gt;L$2,'ProductSprint Backlog'!$I110&lt;=L$2), 'ProductSprint Backlog'!$F110 / MAX(1, 'ProductSprint Backlog'!$J110-'ProductSprint Backlog'!$I110), AND('ProductSprint Backlog'!$J110=L$2,'ProductSprint Backlog'!$I110=L$2), 'ProductSprint Backlog'!$F110, TRUE, 0)</f>
        <v>0</v>
      </c>
      <c r="M110" s="4" cm="1">
        <f t="array" ref="M110">_xlfn.IFS('ProductSprint Backlog'!$F110="", "", AND('ProductSprint Backlog'!$J110&gt;M$2,'ProductSprint Backlog'!$I110&lt;=M$2), 'ProductSprint Backlog'!$F110 / MAX(1, 'ProductSprint Backlog'!$J110-'ProductSprint Backlog'!$I110), AND('ProductSprint Backlog'!$J110=M$2,'ProductSprint Backlog'!$I110=M$2), 'ProductSprint Backlog'!$F110, TRUE, 0)</f>
        <v>0</v>
      </c>
      <c r="N110" s="4" cm="1">
        <f t="array" ref="N110">_xlfn.IFS('ProductSprint Backlog'!$F110="", "", AND('ProductSprint Backlog'!$J110&gt;N$2,'ProductSprint Backlog'!$I110&lt;=N$2), 'ProductSprint Backlog'!$F110 / MAX(1, 'ProductSprint Backlog'!$J110-'ProductSprint Backlog'!$I110), AND('ProductSprint Backlog'!$J110=N$2,'ProductSprint Backlog'!$I110=N$2), 'ProductSprint Backlog'!$F110, TRUE, 0)</f>
        <v>0</v>
      </c>
      <c r="O110" s="4" cm="1">
        <f t="array" ref="O110">_xlfn.IFS('ProductSprint Backlog'!$F110="", "", AND('ProductSprint Backlog'!$J110&gt;O$2,'ProductSprint Backlog'!$I110&lt;=O$2), 'ProductSprint Backlog'!$F110 / MAX(1, 'ProductSprint Backlog'!$J110-'ProductSprint Backlog'!$I110), AND('ProductSprint Backlog'!$J110=O$2,'ProductSprint Backlog'!$I110=O$2), 'ProductSprint Backlog'!$F110, TRUE, 0)</f>
        <v>0</v>
      </c>
    </row>
    <row r="111" spans="2:15" x14ac:dyDescent="0.2">
      <c r="B111" s="4" cm="1">
        <f t="array" ref="B111">_xlfn.IFS('ProductSprint Backlog'!$F111="", "", AND('ProductSprint Backlog'!$J111&gt;B$2,'ProductSprint Backlog'!$I111&lt;=B$2), 'ProductSprint Backlog'!$F111 / MAX(1, 'ProductSprint Backlog'!$J111-'ProductSprint Backlog'!$I111), AND('ProductSprint Backlog'!$J111=B$2,'ProductSprint Backlog'!$I111=B$2), 'ProductSprint Backlog'!$F111, TRUE, 0)</f>
        <v>0</v>
      </c>
      <c r="C111" s="4" cm="1">
        <f t="array" ref="C111">_xlfn.IFS('ProductSprint Backlog'!$F111="", "", AND('ProductSprint Backlog'!$J111&gt;C$2,'ProductSprint Backlog'!$I111&lt;=C$2), 'ProductSprint Backlog'!$F111 / MAX(1, 'ProductSprint Backlog'!$J111-'ProductSprint Backlog'!$I111), AND('ProductSprint Backlog'!$J111=C$2,'ProductSprint Backlog'!$I111=C$2), 'ProductSprint Backlog'!$F111, TRUE, 0)</f>
        <v>0</v>
      </c>
      <c r="D111" s="4" cm="1">
        <f t="array" ref="D111">_xlfn.IFS('ProductSprint Backlog'!$F111="", "", AND('ProductSprint Backlog'!$J111&gt;D$2,'ProductSprint Backlog'!$I111&lt;=D$2), 'ProductSprint Backlog'!$F111 / MAX(1, 'ProductSprint Backlog'!$J111-'ProductSprint Backlog'!$I111), AND('ProductSprint Backlog'!$J111=D$2,'ProductSprint Backlog'!$I111=D$2), 'ProductSprint Backlog'!$F111, TRUE, 0)</f>
        <v>0</v>
      </c>
      <c r="E111" s="4" cm="1">
        <f t="array" ref="E111">_xlfn.IFS('ProductSprint Backlog'!$F111="", "", AND('ProductSprint Backlog'!$J111&gt;E$2,'ProductSprint Backlog'!$I111&lt;=E$2), 'ProductSprint Backlog'!$F111 / MAX(1, 'ProductSprint Backlog'!$J111-'ProductSprint Backlog'!$I111), AND('ProductSprint Backlog'!$J111=E$2,'ProductSprint Backlog'!$I111=E$2), 'ProductSprint Backlog'!$F111, TRUE, 0)</f>
        <v>0</v>
      </c>
      <c r="F111" s="4" cm="1">
        <f t="array" ref="F111">_xlfn.IFS('ProductSprint Backlog'!$F111="", "", AND('ProductSprint Backlog'!$J111&gt;F$2,'ProductSprint Backlog'!$I111&lt;=F$2), 'ProductSprint Backlog'!$F111 / MAX(1, 'ProductSprint Backlog'!$J111-'ProductSprint Backlog'!$I111), AND('ProductSprint Backlog'!$J111=F$2,'ProductSprint Backlog'!$I111=F$2), 'ProductSprint Backlog'!$F111, TRUE, 0)</f>
        <v>0</v>
      </c>
      <c r="G111" s="4" cm="1">
        <f t="array" ref="G111">_xlfn.IFS('ProductSprint Backlog'!$F111="", "", AND('ProductSprint Backlog'!$J111&gt;G$2,'ProductSprint Backlog'!$I111&lt;=G$2), 'ProductSprint Backlog'!$F111 / MAX(1, 'ProductSprint Backlog'!$J111-'ProductSprint Backlog'!$I111), AND('ProductSprint Backlog'!$J111=G$2,'ProductSprint Backlog'!$I111=G$2), 'ProductSprint Backlog'!$F111, TRUE, 0)</f>
        <v>0</v>
      </c>
      <c r="H111" s="4" cm="1">
        <f t="array" ref="H111">_xlfn.IFS('ProductSprint Backlog'!$F111="", "", AND('ProductSprint Backlog'!$J111&gt;H$2,'ProductSprint Backlog'!$I111&lt;=H$2), 'ProductSprint Backlog'!$F111 / MAX(1, 'ProductSprint Backlog'!$J111-'ProductSprint Backlog'!$I111), AND('ProductSprint Backlog'!$J111=H$2,'ProductSprint Backlog'!$I111=H$2), 'ProductSprint Backlog'!$F111, TRUE, 0)</f>
        <v>0</v>
      </c>
      <c r="I111" s="4" cm="1">
        <f t="array" ref="I111">_xlfn.IFS('ProductSprint Backlog'!$F111="", "", AND('ProductSprint Backlog'!$J111&gt;I$2,'ProductSprint Backlog'!$I111&lt;=I$2), 'ProductSprint Backlog'!$F111 / MAX(1, 'ProductSprint Backlog'!$J111-'ProductSprint Backlog'!$I111), AND('ProductSprint Backlog'!$J111=I$2,'ProductSprint Backlog'!$I111=I$2), 'ProductSprint Backlog'!$F111, TRUE, 0)</f>
        <v>0</v>
      </c>
      <c r="J111" s="4" cm="1">
        <f t="array" ref="J111">_xlfn.IFS('ProductSprint Backlog'!$F111="", "", AND('ProductSprint Backlog'!$J111&gt;J$2,'ProductSprint Backlog'!$I111&lt;=J$2), 'ProductSprint Backlog'!$F111 / MAX(1, 'ProductSprint Backlog'!$J111-'ProductSprint Backlog'!$I111), AND('ProductSprint Backlog'!$J111=J$2,'ProductSprint Backlog'!$I111=J$2), 'ProductSprint Backlog'!$F111, TRUE, 0)</f>
        <v>0</v>
      </c>
      <c r="K111" s="4" cm="1">
        <f t="array" ref="K111">_xlfn.IFS('ProductSprint Backlog'!$F111="", "", AND('ProductSprint Backlog'!$J111&gt;K$2,'ProductSprint Backlog'!$I111&lt;=K$2), 'ProductSprint Backlog'!$F111 / MAX(1, 'ProductSprint Backlog'!$J111-'ProductSprint Backlog'!$I111), AND('ProductSprint Backlog'!$J111=K$2,'ProductSprint Backlog'!$I111=K$2), 'ProductSprint Backlog'!$F111, TRUE, 0)</f>
        <v>0</v>
      </c>
      <c r="L111" s="4" cm="1">
        <f t="array" ref="L111">_xlfn.IFS('ProductSprint Backlog'!$F111="", "", AND('ProductSprint Backlog'!$J111&gt;L$2,'ProductSprint Backlog'!$I111&lt;=L$2), 'ProductSprint Backlog'!$F111 / MAX(1, 'ProductSprint Backlog'!$J111-'ProductSprint Backlog'!$I111), AND('ProductSprint Backlog'!$J111=L$2,'ProductSprint Backlog'!$I111=L$2), 'ProductSprint Backlog'!$F111, TRUE, 0)</f>
        <v>0</v>
      </c>
      <c r="M111" s="4" cm="1">
        <f t="array" ref="M111">_xlfn.IFS('ProductSprint Backlog'!$F111="", "", AND('ProductSprint Backlog'!$J111&gt;M$2,'ProductSprint Backlog'!$I111&lt;=M$2), 'ProductSprint Backlog'!$F111 / MAX(1, 'ProductSprint Backlog'!$J111-'ProductSprint Backlog'!$I111), AND('ProductSprint Backlog'!$J111=M$2,'ProductSprint Backlog'!$I111=M$2), 'ProductSprint Backlog'!$F111, TRUE, 0)</f>
        <v>0</v>
      </c>
      <c r="N111" s="4" cm="1">
        <f t="array" ref="N111">_xlfn.IFS('ProductSprint Backlog'!$F111="", "", AND('ProductSprint Backlog'!$J111&gt;N$2,'ProductSprint Backlog'!$I111&lt;=N$2), 'ProductSprint Backlog'!$F111 / MAX(1, 'ProductSprint Backlog'!$J111-'ProductSprint Backlog'!$I111), AND('ProductSprint Backlog'!$J111=N$2,'ProductSprint Backlog'!$I111=N$2), 'ProductSprint Backlog'!$F111, TRUE, 0)</f>
        <v>0</v>
      </c>
      <c r="O111" s="4" cm="1">
        <f t="array" ref="O111">_xlfn.IFS('ProductSprint Backlog'!$F111="", "", AND('ProductSprint Backlog'!$J111&gt;O$2,'ProductSprint Backlog'!$I111&lt;=O$2), 'ProductSprint Backlog'!$F111 / MAX(1, 'ProductSprint Backlog'!$J111-'ProductSprint Backlog'!$I111), AND('ProductSprint Backlog'!$J111=O$2,'ProductSprint Backlog'!$I111=O$2), 'ProductSprint Backlog'!$F111, TRUE, 0)</f>
        <v>0</v>
      </c>
    </row>
    <row r="112" spans="2:15" x14ac:dyDescent="0.2">
      <c r="B112" s="4" cm="1">
        <f t="array" ref="B112">_xlfn.IFS('ProductSprint Backlog'!$F112="", "", AND('ProductSprint Backlog'!$J112&gt;B$2,'ProductSprint Backlog'!$I112&lt;=B$2), 'ProductSprint Backlog'!$F112 / MAX(1, 'ProductSprint Backlog'!$J112-'ProductSprint Backlog'!$I112), AND('ProductSprint Backlog'!$J112=B$2,'ProductSprint Backlog'!$I112=B$2), 'ProductSprint Backlog'!$F112, TRUE, 0)</f>
        <v>0</v>
      </c>
      <c r="C112" s="4" cm="1">
        <f t="array" ref="C112">_xlfn.IFS('ProductSprint Backlog'!$F112="", "", AND('ProductSprint Backlog'!$J112&gt;C$2,'ProductSprint Backlog'!$I112&lt;=C$2), 'ProductSprint Backlog'!$F112 / MAX(1, 'ProductSprint Backlog'!$J112-'ProductSprint Backlog'!$I112), AND('ProductSprint Backlog'!$J112=C$2,'ProductSprint Backlog'!$I112=C$2), 'ProductSprint Backlog'!$F112, TRUE, 0)</f>
        <v>0</v>
      </c>
      <c r="D112" s="4" cm="1">
        <f t="array" ref="D112">_xlfn.IFS('ProductSprint Backlog'!$F112="", "", AND('ProductSprint Backlog'!$J112&gt;D$2,'ProductSprint Backlog'!$I112&lt;=D$2), 'ProductSprint Backlog'!$F112 / MAX(1, 'ProductSprint Backlog'!$J112-'ProductSprint Backlog'!$I112), AND('ProductSprint Backlog'!$J112=D$2,'ProductSprint Backlog'!$I112=D$2), 'ProductSprint Backlog'!$F112, TRUE, 0)</f>
        <v>0</v>
      </c>
      <c r="E112" s="4" cm="1">
        <f t="array" ref="E112">_xlfn.IFS('ProductSprint Backlog'!$F112="", "", AND('ProductSprint Backlog'!$J112&gt;E$2,'ProductSprint Backlog'!$I112&lt;=E$2), 'ProductSprint Backlog'!$F112 / MAX(1, 'ProductSprint Backlog'!$J112-'ProductSprint Backlog'!$I112), AND('ProductSprint Backlog'!$J112=E$2,'ProductSprint Backlog'!$I112=E$2), 'ProductSprint Backlog'!$F112, TRUE, 0)</f>
        <v>0</v>
      </c>
      <c r="F112" s="4" cm="1">
        <f t="array" ref="F112">_xlfn.IFS('ProductSprint Backlog'!$F112="", "", AND('ProductSprint Backlog'!$J112&gt;F$2,'ProductSprint Backlog'!$I112&lt;=F$2), 'ProductSprint Backlog'!$F112 / MAX(1, 'ProductSprint Backlog'!$J112-'ProductSprint Backlog'!$I112), AND('ProductSprint Backlog'!$J112=F$2,'ProductSprint Backlog'!$I112=F$2), 'ProductSprint Backlog'!$F112, TRUE, 0)</f>
        <v>0</v>
      </c>
      <c r="G112" s="4" cm="1">
        <f t="array" ref="G112">_xlfn.IFS('ProductSprint Backlog'!$F112="", "", AND('ProductSprint Backlog'!$J112&gt;G$2,'ProductSprint Backlog'!$I112&lt;=G$2), 'ProductSprint Backlog'!$F112 / MAX(1, 'ProductSprint Backlog'!$J112-'ProductSprint Backlog'!$I112), AND('ProductSprint Backlog'!$J112=G$2,'ProductSprint Backlog'!$I112=G$2), 'ProductSprint Backlog'!$F112, TRUE, 0)</f>
        <v>0</v>
      </c>
      <c r="H112" s="4" cm="1">
        <f t="array" ref="H112">_xlfn.IFS('ProductSprint Backlog'!$F112="", "", AND('ProductSprint Backlog'!$J112&gt;H$2,'ProductSprint Backlog'!$I112&lt;=H$2), 'ProductSprint Backlog'!$F112 / MAX(1, 'ProductSprint Backlog'!$J112-'ProductSprint Backlog'!$I112), AND('ProductSprint Backlog'!$J112=H$2,'ProductSprint Backlog'!$I112=H$2), 'ProductSprint Backlog'!$F112, TRUE, 0)</f>
        <v>0</v>
      </c>
      <c r="I112" s="4" cm="1">
        <f t="array" ref="I112">_xlfn.IFS('ProductSprint Backlog'!$F112="", "", AND('ProductSprint Backlog'!$J112&gt;I$2,'ProductSprint Backlog'!$I112&lt;=I$2), 'ProductSprint Backlog'!$F112 / MAX(1, 'ProductSprint Backlog'!$J112-'ProductSprint Backlog'!$I112), AND('ProductSprint Backlog'!$J112=I$2,'ProductSprint Backlog'!$I112=I$2), 'ProductSprint Backlog'!$F112, TRUE, 0)</f>
        <v>0</v>
      </c>
      <c r="J112" s="4" cm="1">
        <f t="array" ref="J112">_xlfn.IFS('ProductSprint Backlog'!$F112="", "", AND('ProductSprint Backlog'!$J112&gt;J$2,'ProductSprint Backlog'!$I112&lt;=J$2), 'ProductSprint Backlog'!$F112 / MAX(1, 'ProductSprint Backlog'!$J112-'ProductSprint Backlog'!$I112), AND('ProductSprint Backlog'!$J112=J$2,'ProductSprint Backlog'!$I112=J$2), 'ProductSprint Backlog'!$F112, TRUE, 0)</f>
        <v>0</v>
      </c>
      <c r="K112" s="4" cm="1">
        <f t="array" ref="K112">_xlfn.IFS('ProductSprint Backlog'!$F112="", "", AND('ProductSprint Backlog'!$J112&gt;K$2,'ProductSprint Backlog'!$I112&lt;=K$2), 'ProductSprint Backlog'!$F112 / MAX(1, 'ProductSprint Backlog'!$J112-'ProductSprint Backlog'!$I112), AND('ProductSprint Backlog'!$J112=K$2,'ProductSprint Backlog'!$I112=K$2), 'ProductSprint Backlog'!$F112, TRUE, 0)</f>
        <v>0</v>
      </c>
      <c r="L112" s="4" cm="1">
        <f t="array" ref="L112">_xlfn.IFS('ProductSprint Backlog'!$F112="", "", AND('ProductSprint Backlog'!$J112&gt;L$2,'ProductSprint Backlog'!$I112&lt;=L$2), 'ProductSprint Backlog'!$F112 / MAX(1, 'ProductSprint Backlog'!$J112-'ProductSprint Backlog'!$I112), AND('ProductSprint Backlog'!$J112=L$2,'ProductSprint Backlog'!$I112=L$2), 'ProductSprint Backlog'!$F112, TRUE, 0)</f>
        <v>0</v>
      </c>
      <c r="M112" s="4" cm="1">
        <f t="array" ref="M112">_xlfn.IFS('ProductSprint Backlog'!$F112="", "", AND('ProductSprint Backlog'!$J112&gt;M$2,'ProductSprint Backlog'!$I112&lt;=M$2), 'ProductSprint Backlog'!$F112 / MAX(1, 'ProductSprint Backlog'!$J112-'ProductSprint Backlog'!$I112), AND('ProductSprint Backlog'!$J112=M$2,'ProductSprint Backlog'!$I112=M$2), 'ProductSprint Backlog'!$F112, TRUE, 0)</f>
        <v>0</v>
      </c>
      <c r="N112" s="4" cm="1">
        <f t="array" ref="N112">_xlfn.IFS('ProductSprint Backlog'!$F112="", "", AND('ProductSprint Backlog'!$J112&gt;N$2,'ProductSprint Backlog'!$I112&lt;=N$2), 'ProductSprint Backlog'!$F112 / MAX(1, 'ProductSprint Backlog'!$J112-'ProductSprint Backlog'!$I112), AND('ProductSprint Backlog'!$J112=N$2,'ProductSprint Backlog'!$I112=N$2), 'ProductSprint Backlog'!$F112, TRUE, 0)</f>
        <v>0</v>
      </c>
      <c r="O112" s="4" cm="1">
        <f t="array" ref="O112">_xlfn.IFS('ProductSprint Backlog'!$F112="", "", AND('ProductSprint Backlog'!$J112&gt;O$2,'ProductSprint Backlog'!$I112&lt;=O$2), 'ProductSprint Backlog'!$F112 / MAX(1, 'ProductSprint Backlog'!$J112-'ProductSprint Backlog'!$I112), AND('ProductSprint Backlog'!$J112=O$2,'ProductSprint Backlog'!$I112=O$2), 'ProductSprint Backlog'!$F112, TRUE, 0)</f>
        <v>0</v>
      </c>
    </row>
    <row r="113" spans="2:15" x14ac:dyDescent="0.2">
      <c r="B113" s="4" cm="1">
        <f t="array" ref="B113">_xlfn.IFS('ProductSprint Backlog'!$F113="", "", AND('ProductSprint Backlog'!$J113&gt;B$2,'ProductSprint Backlog'!$I113&lt;=B$2), 'ProductSprint Backlog'!$F113 / MAX(1, 'ProductSprint Backlog'!$J113-'ProductSprint Backlog'!$I113), AND('ProductSprint Backlog'!$J113=B$2,'ProductSprint Backlog'!$I113=B$2), 'ProductSprint Backlog'!$F113, TRUE, 0)</f>
        <v>0</v>
      </c>
      <c r="C113" s="4" cm="1">
        <f t="array" ref="C113">_xlfn.IFS('ProductSprint Backlog'!$F113="", "", AND('ProductSprint Backlog'!$J113&gt;C$2,'ProductSprint Backlog'!$I113&lt;=C$2), 'ProductSprint Backlog'!$F113 / MAX(1, 'ProductSprint Backlog'!$J113-'ProductSprint Backlog'!$I113), AND('ProductSprint Backlog'!$J113=C$2,'ProductSprint Backlog'!$I113=C$2), 'ProductSprint Backlog'!$F113, TRUE, 0)</f>
        <v>0</v>
      </c>
      <c r="D113" s="4" cm="1">
        <f t="array" ref="D113">_xlfn.IFS('ProductSprint Backlog'!$F113="", "", AND('ProductSprint Backlog'!$J113&gt;D$2,'ProductSprint Backlog'!$I113&lt;=D$2), 'ProductSprint Backlog'!$F113 / MAX(1, 'ProductSprint Backlog'!$J113-'ProductSprint Backlog'!$I113), AND('ProductSprint Backlog'!$J113=D$2,'ProductSprint Backlog'!$I113=D$2), 'ProductSprint Backlog'!$F113, TRUE, 0)</f>
        <v>0</v>
      </c>
      <c r="E113" s="4" cm="1">
        <f t="array" ref="E113">_xlfn.IFS('ProductSprint Backlog'!$F113="", "", AND('ProductSprint Backlog'!$J113&gt;E$2,'ProductSprint Backlog'!$I113&lt;=E$2), 'ProductSprint Backlog'!$F113 / MAX(1, 'ProductSprint Backlog'!$J113-'ProductSprint Backlog'!$I113), AND('ProductSprint Backlog'!$J113=E$2,'ProductSprint Backlog'!$I113=E$2), 'ProductSprint Backlog'!$F113, TRUE, 0)</f>
        <v>0</v>
      </c>
      <c r="F113" s="4" cm="1">
        <f t="array" ref="F113">_xlfn.IFS('ProductSprint Backlog'!$F113="", "", AND('ProductSprint Backlog'!$J113&gt;F$2,'ProductSprint Backlog'!$I113&lt;=F$2), 'ProductSprint Backlog'!$F113 / MAX(1, 'ProductSprint Backlog'!$J113-'ProductSprint Backlog'!$I113), AND('ProductSprint Backlog'!$J113=F$2,'ProductSprint Backlog'!$I113=F$2), 'ProductSprint Backlog'!$F113, TRUE, 0)</f>
        <v>0</v>
      </c>
      <c r="G113" s="4" cm="1">
        <f t="array" ref="G113">_xlfn.IFS('ProductSprint Backlog'!$F113="", "", AND('ProductSprint Backlog'!$J113&gt;G$2,'ProductSprint Backlog'!$I113&lt;=G$2), 'ProductSprint Backlog'!$F113 / MAX(1, 'ProductSprint Backlog'!$J113-'ProductSprint Backlog'!$I113), AND('ProductSprint Backlog'!$J113=G$2,'ProductSprint Backlog'!$I113=G$2), 'ProductSprint Backlog'!$F113, TRUE, 0)</f>
        <v>0</v>
      </c>
      <c r="H113" s="4" cm="1">
        <f t="array" ref="H113">_xlfn.IFS('ProductSprint Backlog'!$F113="", "", AND('ProductSprint Backlog'!$J113&gt;H$2,'ProductSprint Backlog'!$I113&lt;=H$2), 'ProductSprint Backlog'!$F113 / MAX(1, 'ProductSprint Backlog'!$J113-'ProductSprint Backlog'!$I113), AND('ProductSprint Backlog'!$J113=H$2,'ProductSprint Backlog'!$I113=H$2), 'ProductSprint Backlog'!$F113, TRUE, 0)</f>
        <v>0</v>
      </c>
      <c r="I113" s="4" cm="1">
        <f t="array" ref="I113">_xlfn.IFS('ProductSprint Backlog'!$F113="", "", AND('ProductSprint Backlog'!$J113&gt;I$2,'ProductSprint Backlog'!$I113&lt;=I$2), 'ProductSprint Backlog'!$F113 / MAX(1, 'ProductSprint Backlog'!$J113-'ProductSprint Backlog'!$I113), AND('ProductSprint Backlog'!$J113=I$2,'ProductSprint Backlog'!$I113=I$2), 'ProductSprint Backlog'!$F113, TRUE, 0)</f>
        <v>0</v>
      </c>
      <c r="J113" s="4" cm="1">
        <f t="array" ref="J113">_xlfn.IFS('ProductSprint Backlog'!$F113="", "", AND('ProductSprint Backlog'!$J113&gt;J$2,'ProductSprint Backlog'!$I113&lt;=J$2), 'ProductSprint Backlog'!$F113 / MAX(1, 'ProductSprint Backlog'!$J113-'ProductSprint Backlog'!$I113), AND('ProductSprint Backlog'!$J113=J$2,'ProductSprint Backlog'!$I113=J$2), 'ProductSprint Backlog'!$F113, TRUE, 0)</f>
        <v>0</v>
      </c>
      <c r="K113" s="4" cm="1">
        <f t="array" ref="K113">_xlfn.IFS('ProductSprint Backlog'!$F113="", "", AND('ProductSprint Backlog'!$J113&gt;K$2,'ProductSprint Backlog'!$I113&lt;=K$2), 'ProductSprint Backlog'!$F113 / MAX(1, 'ProductSprint Backlog'!$J113-'ProductSprint Backlog'!$I113), AND('ProductSprint Backlog'!$J113=K$2,'ProductSprint Backlog'!$I113=K$2), 'ProductSprint Backlog'!$F113, TRUE, 0)</f>
        <v>0</v>
      </c>
      <c r="L113" s="4" cm="1">
        <f t="array" ref="L113">_xlfn.IFS('ProductSprint Backlog'!$F113="", "", AND('ProductSprint Backlog'!$J113&gt;L$2,'ProductSprint Backlog'!$I113&lt;=L$2), 'ProductSprint Backlog'!$F113 / MAX(1, 'ProductSprint Backlog'!$J113-'ProductSprint Backlog'!$I113), AND('ProductSprint Backlog'!$J113=L$2,'ProductSprint Backlog'!$I113=L$2), 'ProductSprint Backlog'!$F113, TRUE, 0)</f>
        <v>0</v>
      </c>
      <c r="M113" s="4" cm="1">
        <f t="array" ref="M113">_xlfn.IFS('ProductSprint Backlog'!$F113="", "", AND('ProductSprint Backlog'!$J113&gt;M$2,'ProductSprint Backlog'!$I113&lt;=M$2), 'ProductSprint Backlog'!$F113 / MAX(1, 'ProductSprint Backlog'!$J113-'ProductSprint Backlog'!$I113), AND('ProductSprint Backlog'!$J113=M$2,'ProductSprint Backlog'!$I113=M$2), 'ProductSprint Backlog'!$F113, TRUE, 0)</f>
        <v>0</v>
      </c>
      <c r="N113" s="4" cm="1">
        <f t="array" ref="N113">_xlfn.IFS('ProductSprint Backlog'!$F113="", "", AND('ProductSprint Backlog'!$J113&gt;N$2,'ProductSprint Backlog'!$I113&lt;=N$2), 'ProductSprint Backlog'!$F113 / MAX(1, 'ProductSprint Backlog'!$J113-'ProductSprint Backlog'!$I113), AND('ProductSprint Backlog'!$J113=N$2,'ProductSprint Backlog'!$I113=N$2), 'ProductSprint Backlog'!$F113, TRUE, 0)</f>
        <v>0</v>
      </c>
      <c r="O113" s="4" cm="1">
        <f t="array" ref="O113">_xlfn.IFS('ProductSprint Backlog'!$F113="", "", AND('ProductSprint Backlog'!$J113&gt;O$2,'ProductSprint Backlog'!$I113&lt;=O$2), 'ProductSprint Backlog'!$F113 / MAX(1, 'ProductSprint Backlog'!$J113-'ProductSprint Backlog'!$I113), AND('ProductSprint Backlog'!$J113=O$2,'ProductSprint Backlog'!$I113=O$2), 'ProductSprint Backlog'!$F113, TRUE, 0)</f>
        <v>0</v>
      </c>
    </row>
    <row r="114" spans="2:15" x14ac:dyDescent="0.2">
      <c r="B114" s="4" cm="1">
        <f t="array" ref="B114">_xlfn.IFS('ProductSprint Backlog'!$F114="", "", AND('ProductSprint Backlog'!$J114&gt;B$2,'ProductSprint Backlog'!$I114&lt;=B$2), 'ProductSprint Backlog'!$F114 / MAX(1, 'ProductSprint Backlog'!$J114-'ProductSprint Backlog'!$I114), AND('ProductSprint Backlog'!$J114=B$2,'ProductSprint Backlog'!$I114=B$2), 'ProductSprint Backlog'!$F114, TRUE, 0)</f>
        <v>0</v>
      </c>
      <c r="C114" s="4" cm="1">
        <f t="array" ref="C114">_xlfn.IFS('ProductSprint Backlog'!$F114="", "", AND('ProductSprint Backlog'!$J114&gt;C$2,'ProductSprint Backlog'!$I114&lt;=C$2), 'ProductSprint Backlog'!$F114 / MAX(1, 'ProductSprint Backlog'!$J114-'ProductSprint Backlog'!$I114), AND('ProductSprint Backlog'!$J114=C$2,'ProductSprint Backlog'!$I114=C$2), 'ProductSprint Backlog'!$F114, TRUE, 0)</f>
        <v>0</v>
      </c>
      <c r="D114" s="4" cm="1">
        <f t="array" ref="D114">_xlfn.IFS('ProductSprint Backlog'!$F114="", "", AND('ProductSprint Backlog'!$J114&gt;D$2,'ProductSprint Backlog'!$I114&lt;=D$2), 'ProductSprint Backlog'!$F114 / MAX(1, 'ProductSprint Backlog'!$J114-'ProductSprint Backlog'!$I114), AND('ProductSprint Backlog'!$J114=D$2,'ProductSprint Backlog'!$I114=D$2), 'ProductSprint Backlog'!$F114, TRUE, 0)</f>
        <v>0</v>
      </c>
      <c r="E114" s="4" cm="1">
        <f t="array" ref="E114">_xlfn.IFS('ProductSprint Backlog'!$F114="", "", AND('ProductSprint Backlog'!$J114&gt;E$2,'ProductSprint Backlog'!$I114&lt;=E$2), 'ProductSprint Backlog'!$F114 / MAX(1, 'ProductSprint Backlog'!$J114-'ProductSprint Backlog'!$I114), AND('ProductSprint Backlog'!$J114=E$2,'ProductSprint Backlog'!$I114=E$2), 'ProductSprint Backlog'!$F114, TRUE, 0)</f>
        <v>0</v>
      </c>
      <c r="F114" s="4" cm="1">
        <f t="array" ref="F114">_xlfn.IFS('ProductSprint Backlog'!$F114="", "", AND('ProductSprint Backlog'!$J114&gt;F$2,'ProductSprint Backlog'!$I114&lt;=F$2), 'ProductSprint Backlog'!$F114 / MAX(1, 'ProductSprint Backlog'!$J114-'ProductSprint Backlog'!$I114), AND('ProductSprint Backlog'!$J114=F$2,'ProductSprint Backlog'!$I114=F$2), 'ProductSprint Backlog'!$F114, TRUE, 0)</f>
        <v>0</v>
      </c>
      <c r="G114" s="4" cm="1">
        <f t="array" ref="G114">_xlfn.IFS('ProductSprint Backlog'!$F114="", "", AND('ProductSprint Backlog'!$J114&gt;G$2,'ProductSprint Backlog'!$I114&lt;=G$2), 'ProductSprint Backlog'!$F114 / MAX(1, 'ProductSprint Backlog'!$J114-'ProductSprint Backlog'!$I114), AND('ProductSprint Backlog'!$J114=G$2,'ProductSprint Backlog'!$I114=G$2), 'ProductSprint Backlog'!$F114, TRUE, 0)</f>
        <v>0</v>
      </c>
      <c r="H114" s="4" cm="1">
        <f t="array" ref="H114">_xlfn.IFS('ProductSprint Backlog'!$F114="", "", AND('ProductSprint Backlog'!$J114&gt;H$2,'ProductSprint Backlog'!$I114&lt;=H$2), 'ProductSprint Backlog'!$F114 / MAX(1, 'ProductSprint Backlog'!$J114-'ProductSprint Backlog'!$I114), AND('ProductSprint Backlog'!$J114=H$2,'ProductSprint Backlog'!$I114=H$2), 'ProductSprint Backlog'!$F114, TRUE, 0)</f>
        <v>0</v>
      </c>
      <c r="I114" s="4" cm="1">
        <f t="array" ref="I114">_xlfn.IFS('ProductSprint Backlog'!$F114="", "", AND('ProductSprint Backlog'!$J114&gt;I$2,'ProductSprint Backlog'!$I114&lt;=I$2), 'ProductSprint Backlog'!$F114 / MAX(1, 'ProductSprint Backlog'!$J114-'ProductSprint Backlog'!$I114), AND('ProductSprint Backlog'!$J114=I$2,'ProductSprint Backlog'!$I114=I$2), 'ProductSprint Backlog'!$F114, TRUE, 0)</f>
        <v>0</v>
      </c>
      <c r="J114" s="4" cm="1">
        <f t="array" ref="J114">_xlfn.IFS('ProductSprint Backlog'!$F114="", "", AND('ProductSprint Backlog'!$J114&gt;J$2,'ProductSprint Backlog'!$I114&lt;=J$2), 'ProductSprint Backlog'!$F114 / MAX(1, 'ProductSprint Backlog'!$J114-'ProductSprint Backlog'!$I114), AND('ProductSprint Backlog'!$J114=J$2,'ProductSprint Backlog'!$I114=J$2), 'ProductSprint Backlog'!$F114, TRUE, 0)</f>
        <v>0</v>
      </c>
      <c r="K114" s="4" cm="1">
        <f t="array" ref="K114">_xlfn.IFS('ProductSprint Backlog'!$F114="", "", AND('ProductSprint Backlog'!$J114&gt;K$2,'ProductSprint Backlog'!$I114&lt;=K$2), 'ProductSprint Backlog'!$F114 / MAX(1, 'ProductSprint Backlog'!$J114-'ProductSprint Backlog'!$I114), AND('ProductSprint Backlog'!$J114=K$2,'ProductSprint Backlog'!$I114=K$2), 'ProductSprint Backlog'!$F114, TRUE, 0)</f>
        <v>0</v>
      </c>
      <c r="L114" s="4" cm="1">
        <f t="array" ref="L114">_xlfn.IFS('ProductSprint Backlog'!$F114="", "", AND('ProductSprint Backlog'!$J114&gt;L$2,'ProductSprint Backlog'!$I114&lt;=L$2), 'ProductSprint Backlog'!$F114 / MAX(1, 'ProductSprint Backlog'!$J114-'ProductSprint Backlog'!$I114), AND('ProductSprint Backlog'!$J114=L$2,'ProductSprint Backlog'!$I114=L$2), 'ProductSprint Backlog'!$F114, TRUE, 0)</f>
        <v>0</v>
      </c>
      <c r="M114" s="4" cm="1">
        <f t="array" ref="M114">_xlfn.IFS('ProductSprint Backlog'!$F114="", "", AND('ProductSprint Backlog'!$J114&gt;M$2,'ProductSprint Backlog'!$I114&lt;=M$2), 'ProductSprint Backlog'!$F114 / MAX(1, 'ProductSprint Backlog'!$J114-'ProductSprint Backlog'!$I114), AND('ProductSprint Backlog'!$J114=M$2,'ProductSprint Backlog'!$I114=M$2), 'ProductSprint Backlog'!$F114, TRUE, 0)</f>
        <v>0</v>
      </c>
      <c r="N114" s="4" cm="1">
        <f t="array" ref="N114">_xlfn.IFS('ProductSprint Backlog'!$F114="", "", AND('ProductSprint Backlog'!$J114&gt;N$2,'ProductSprint Backlog'!$I114&lt;=N$2), 'ProductSprint Backlog'!$F114 / MAX(1, 'ProductSprint Backlog'!$J114-'ProductSprint Backlog'!$I114), AND('ProductSprint Backlog'!$J114=N$2,'ProductSprint Backlog'!$I114=N$2), 'ProductSprint Backlog'!$F114, TRUE, 0)</f>
        <v>0</v>
      </c>
      <c r="O114" s="4" cm="1">
        <f t="array" ref="O114">_xlfn.IFS('ProductSprint Backlog'!$F114="", "", AND('ProductSprint Backlog'!$J114&gt;O$2,'ProductSprint Backlog'!$I114&lt;=O$2), 'ProductSprint Backlog'!$F114 / MAX(1, 'ProductSprint Backlog'!$J114-'ProductSprint Backlog'!$I114), AND('ProductSprint Backlog'!$J114=O$2,'ProductSprint Backlog'!$I114=O$2), 'ProductSprint Backlog'!$F114, TRUE, 0)</f>
        <v>0</v>
      </c>
    </row>
    <row r="115" spans="2:15" x14ac:dyDescent="0.2">
      <c r="B115" s="4" cm="1">
        <f t="array" ref="B115">_xlfn.IFS('ProductSprint Backlog'!$F115="", "", AND('ProductSprint Backlog'!$J115&gt;B$2,'ProductSprint Backlog'!$I115&lt;=B$2), 'ProductSprint Backlog'!$F115 / MAX(1, 'ProductSprint Backlog'!$J115-'ProductSprint Backlog'!$I115), AND('ProductSprint Backlog'!$J115=B$2,'ProductSprint Backlog'!$I115=B$2), 'ProductSprint Backlog'!$F115, TRUE, 0)</f>
        <v>0</v>
      </c>
      <c r="C115" s="4" cm="1">
        <f t="array" ref="C115">_xlfn.IFS('ProductSprint Backlog'!$F115="", "", AND('ProductSprint Backlog'!$J115&gt;C$2,'ProductSprint Backlog'!$I115&lt;=C$2), 'ProductSprint Backlog'!$F115 / MAX(1, 'ProductSprint Backlog'!$J115-'ProductSprint Backlog'!$I115), AND('ProductSprint Backlog'!$J115=C$2,'ProductSprint Backlog'!$I115=C$2), 'ProductSprint Backlog'!$F115, TRUE, 0)</f>
        <v>0</v>
      </c>
      <c r="D115" s="4" cm="1">
        <f t="array" ref="D115">_xlfn.IFS('ProductSprint Backlog'!$F115="", "", AND('ProductSprint Backlog'!$J115&gt;D$2,'ProductSprint Backlog'!$I115&lt;=D$2), 'ProductSprint Backlog'!$F115 / MAX(1, 'ProductSprint Backlog'!$J115-'ProductSprint Backlog'!$I115), AND('ProductSprint Backlog'!$J115=D$2,'ProductSprint Backlog'!$I115=D$2), 'ProductSprint Backlog'!$F115, TRUE, 0)</f>
        <v>0</v>
      </c>
      <c r="E115" s="4" cm="1">
        <f t="array" ref="E115">_xlfn.IFS('ProductSprint Backlog'!$F115="", "", AND('ProductSprint Backlog'!$J115&gt;E$2,'ProductSprint Backlog'!$I115&lt;=E$2), 'ProductSprint Backlog'!$F115 / MAX(1, 'ProductSprint Backlog'!$J115-'ProductSprint Backlog'!$I115), AND('ProductSprint Backlog'!$J115=E$2,'ProductSprint Backlog'!$I115=E$2), 'ProductSprint Backlog'!$F115, TRUE, 0)</f>
        <v>0</v>
      </c>
      <c r="F115" s="4" cm="1">
        <f t="array" ref="F115">_xlfn.IFS('ProductSprint Backlog'!$F115="", "", AND('ProductSprint Backlog'!$J115&gt;F$2,'ProductSprint Backlog'!$I115&lt;=F$2), 'ProductSprint Backlog'!$F115 / MAX(1, 'ProductSprint Backlog'!$J115-'ProductSprint Backlog'!$I115), AND('ProductSprint Backlog'!$J115=F$2,'ProductSprint Backlog'!$I115=F$2), 'ProductSprint Backlog'!$F115, TRUE, 0)</f>
        <v>0</v>
      </c>
      <c r="G115" s="4" cm="1">
        <f t="array" ref="G115">_xlfn.IFS('ProductSprint Backlog'!$F115="", "", AND('ProductSprint Backlog'!$J115&gt;G$2,'ProductSprint Backlog'!$I115&lt;=G$2), 'ProductSprint Backlog'!$F115 / MAX(1, 'ProductSprint Backlog'!$J115-'ProductSprint Backlog'!$I115), AND('ProductSprint Backlog'!$J115=G$2,'ProductSprint Backlog'!$I115=G$2), 'ProductSprint Backlog'!$F115, TRUE, 0)</f>
        <v>0</v>
      </c>
      <c r="H115" s="4" cm="1">
        <f t="array" ref="H115">_xlfn.IFS('ProductSprint Backlog'!$F115="", "", AND('ProductSprint Backlog'!$J115&gt;H$2,'ProductSprint Backlog'!$I115&lt;=H$2), 'ProductSprint Backlog'!$F115 / MAX(1, 'ProductSprint Backlog'!$J115-'ProductSprint Backlog'!$I115), AND('ProductSprint Backlog'!$J115=H$2,'ProductSprint Backlog'!$I115=H$2), 'ProductSprint Backlog'!$F115, TRUE, 0)</f>
        <v>0</v>
      </c>
      <c r="I115" s="4" cm="1">
        <f t="array" ref="I115">_xlfn.IFS('ProductSprint Backlog'!$F115="", "", AND('ProductSprint Backlog'!$J115&gt;I$2,'ProductSprint Backlog'!$I115&lt;=I$2), 'ProductSprint Backlog'!$F115 / MAX(1, 'ProductSprint Backlog'!$J115-'ProductSprint Backlog'!$I115), AND('ProductSprint Backlog'!$J115=I$2,'ProductSprint Backlog'!$I115=I$2), 'ProductSprint Backlog'!$F115, TRUE, 0)</f>
        <v>0</v>
      </c>
      <c r="J115" s="4" cm="1">
        <f t="array" ref="J115">_xlfn.IFS('ProductSprint Backlog'!$F115="", "", AND('ProductSprint Backlog'!$J115&gt;J$2,'ProductSprint Backlog'!$I115&lt;=J$2), 'ProductSprint Backlog'!$F115 / MAX(1, 'ProductSprint Backlog'!$J115-'ProductSprint Backlog'!$I115), AND('ProductSprint Backlog'!$J115=J$2,'ProductSprint Backlog'!$I115=J$2), 'ProductSprint Backlog'!$F115, TRUE, 0)</f>
        <v>0</v>
      </c>
      <c r="K115" s="4" cm="1">
        <f t="array" ref="K115">_xlfn.IFS('ProductSprint Backlog'!$F115="", "", AND('ProductSprint Backlog'!$J115&gt;K$2,'ProductSprint Backlog'!$I115&lt;=K$2), 'ProductSprint Backlog'!$F115 / MAX(1, 'ProductSprint Backlog'!$J115-'ProductSprint Backlog'!$I115), AND('ProductSprint Backlog'!$J115=K$2,'ProductSprint Backlog'!$I115=K$2), 'ProductSprint Backlog'!$F115, TRUE, 0)</f>
        <v>0</v>
      </c>
      <c r="L115" s="4" cm="1">
        <f t="array" ref="L115">_xlfn.IFS('ProductSprint Backlog'!$F115="", "", AND('ProductSprint Backlog'!$J115&gt;L$2,'ProductSprint Backlog'!$I115&lt;=L$2), 'ProductSprint Backlog'!$F115 / MAX(1, 'ProductSprint Backlog'!$J115-'ProductSprint Backlog'!$I115), AND('ProductSprint Backlog'!$J115=L$2,'ProductSprint Backlog'!$I115=L$2), 'ProductSprint Backlog'!$F115, TRUE, 0)</f>
        <v>0</v>
      </c>
      <c r="M115" s="4" cm="1">
        <f t="array" ref="M115">_xlfn.IFS('ProductSprint Backlog'!$F115="", "", AND('ProductSprint Backlog'!$J115&gt;M$2,'ProductSprint Backlog'!$I115&lt;=M$2), 'ProductSprint Backlog'!$F115 / MAX(1, 'ProductSprint Backlog'!$J115-'ProductSprint Backlog'!$I115), AND('ProductSprint Backlog'!$J115=M$2,'ProductSprint Backlog'!$I115=M$2), 'ProductSprint Backlog'!$F115, TRUE, 0)</f>
        <v>0</v>
      </c>
      <c r="N115" s="4" cm="1">
        <f t="array" ref="N115">_xlfn.IFS('ProductSprint Backlog'!$F115="", "", AND('ProductSprint Backlog'!$J115&gt;N$2,'ProductSprint Backlog'!$I115&lt;=N$2), 'ProductSprint Backlog'!$F115 / MAX(1, 'ProductSprint Backlog'!$J115-'ProductSprint Backlog'!$I115), AND('ProductSprint Backlog'!$J115=N$2,'ProductSprint Backlog'!$I115=N$2), 'ProductSprint Backlog'!$F115, TRUE, 0)</f>
        <v>0</v>
      </c>
      <c r="O115" s="4" cm="1">
        <f t="array" ref="O115">_xlfn.IFS('ProductSprint Backlog'!$F115="", "", AND('ProductSprint Backlog'!$J115&gt;O$2,'ProductSprint Backlog'!$I115&lt;=O$2), 'ProductSprint Backlog'!$F115 / MAX(1, 'ProductSprint Backlog'!$J115-'ProductSprint Backlog'!$I115), AND('ProductSprint Backlog'!$J115=O$2,'ProductSprint Backlog'!$I115=O$2), 'ProductSprint Backlog'!$F115, TRUE, 0)</f>
        <v>0</v>
      </c>
    </row>
    <row r="116" spans="2:15" x14ac:dyDescent="0.2">
      <c r="B116" s="4" cm="1">
        <f t="array" ref="B116">_xlfn.IFS('ProductSprint Backlog'!$F116="", "", AND('ProductSprint Backlog'!$J116&gt;B$2,'ProductSprint Backlog'!$I116&lt;=B$2), 'ProductSprint Backlog'!$F116 / MAX(1, 'ProductSprint Backlog'!$J116-'ProductSprint Backlog'!$I116), AND('ProductSprint Backlog'!$J116=B$2,'ProductSprint Backlog'!$I116=B$2), 'ProductSprint Backlog'!$F116, TRUE, 0)</f>
        <v>0</v>
      </c>
      <c r="C116" s="4" cm="1">
        <f t="array" ref="C116">_xlfn.IFS('ProductSprint Backlog'!$F116="", "", AND('ProductSprint Backlog'!$J116&gt;C$2,'ProductSprint Backlog'!$I116&lt;=C$2), 'ProductSprint Backlog'!$F116 / MAX(1, 'ProductSprint Backlog'!$J116-'ProductSprint Backlog'!$I116), AND('ProductSprint Backlog'!$J116=C$2,'ProductSprint Backlog'!$I116=C$2), 'ProductSprint Backlog'!$F116, TRUE, 0)</f>
        <v>0</v>
      </c>
      <c r="D116" s="4" cm="1">
        <f t="array" ref="D116">_xlfn.IFS('ProductSprint Backlog'!$F116="", "", AND('ProductSprint Backlog'!$J116&gt;D$2,'ProductSprint Backlog'!$I116&lt;=D$2), 'ProductSprint Backlog'!$F116 / MAX(1, 'ProductSprint Backlog'!$J116-'ProductSprint Backlog'!$I116), AND('ProductSprint Backlog'!$J116=D$2,'ProductSprint Backlog'!$I116=D$2), 'ProductSprint Backlog'!$F116, TRUE, 0)</f>
        <v>0</v>
      </c>
      <c r="E116" s="4" cm="1">
        <f t="array" ref="E116">_xlfn.IFS('ProductSprint Backlog'!$F116="", "", AND('ProductSprint Backlog'!$J116&gt;E$2,'ProductSprint Backlog'!$I116&lt;=E$2), 'ProductSprint Backlog'!$F116 / MAX(1, 'ProductSprint Backlog'!$J116-'ProductSprint Backlog'!$I116), AND('ProductSprint Backlog'!$J116=E$2,'ProductSprint Backlog'!$I116=E$2), 'ProductSprint Backlog'!$F116, TRUE, 0)</f>
        <v>0</v>
      </c>
      <c r="F116" s="4" cm="1">
        <f t="array" ref="F116">_xlfn.IFS('ProductSprint Backlog'!$F116="", "", AND('ProductSprint Backlog'!$J116&gt;F$2,'ProductSprint Backlog'!$I116&lt;=F$2), 'ProductSprint Backlog'!$F116 / MAX(1, 'ProductSprint Backlog'!$J116-'ProductSprint Backlog'!$I116), AND('ProductSprint Backlog'!$J116=F$2,'ProductSprint Backlog'!$I116=F$2), 'ProductSprint Backlog'!$F116, TRUE, 0)</f>
        <v>0</v>
      </c>
      <c r="G116" s="4" cm="1">
        <f t="array" ref="G116">_xlfn.IFS('ProductSprint Backlog'!$F116="", "", AND('ProductSprint Backlog'!$J116&gt;G$2,'ProductSprint Backlog'!$I116&lt;=G$2), 'ProductSprint Backlog'!$F116 / MAX(1, 'ProductSprint Backlog'!$J116-'ProductSprint Backlog'!$I116), AND('ProductSprint Backlog'!$J116=G$2,'ProductSprint Backlog'!$I116=G$2), 'ProductSprint Backlog'!$F116, TRUE, 0)</f>
        <v>0</v>
      </c>
      <c r="H116" s="4" cm="1">
        <f t="array" ref="H116">_xlfn.IFS('ProductSprint Backlog'!$F116="", "", AND('ProductSprint Backlog'!$J116&gt;H$2,'ProductSprint Backlog'!$I116&lt;=H$2), 'ProductSprint Backlog'!$F116 / MAX(1, 'ProductSprint Backlog'!$J116-'ProductSprint Backlog'!$I116), AND('ProductSprint Backlog'!$J116=H$2,'ProductSprint Backlog'!$I116=H$2), 'ProductSprint Backlog'!$F116, TRUE, 0)</f>
        <v>0</v>
      </c>
      <c r="I116" s="4" cm="1">
        <f t="array" ref="I116">_xlfn.IFS('ProductSprint Backlog'!$F116="", "", AND('ProductSprint Backlog'!$J116&gt;I$2,'ProductSprint Backlog'!$I116&lt;=I$2), 'ProductSprint Backlog'!$F116 / MAX(1, 'ProductSprint Backlog'!$J116-'ProductSprint Backlog'!$I116), AND('ProductSprint Backlog'!$J116=I$2,'ProductSprint Backlog'!$I116=I$2), 'ProductSprint Backlog'!$F116, TRUE, 0)</f>
        <v>0</v>
      </c>
      <c r="J116" s="4" cm="1">
        <f t="array" ref="J116">_xlfn.IFS('ProductSprint Backlog'!$F116="", "", AND('ProductSprint Backlog'!$J116&gt;J$2,'ProductSprint Backlog'!$I116&lt;=J$2), 'ProductSprint Backlog'!$F116 / MAX(1, 'ProductSprint Backlog'!$J116-'ProductSprint Backlog'!$I116), AND('ProductSprint Backlog'!$J116=J$2,'ProductSprint Backlog'!$I116=J$2), 'ProductSprint Backlog'!$F116, TRUE, 0)</f>
        <v>0</v>
      </c>
      <c r="K116" s="4" cm="1">
        <f t="array" ref="K116">_xlfn.IFS('ProductSprint Backlog'!$F116="", "", AND('ProductSprint Backlog'!$J116&gt;K$2,'ProductSprint Backlog'!$I116&lt;=K$2), 'ProductSprint Backlog'!$F116 / MAX(1, 'ProductSprint Backlog'!$J116-'ProductSprint Backlog'!$I116), AND('ProductSprint Backlog'!$J116=K$2,'ProductSprint Backlog'!$I116=K$2), 'ProductSprint Backlog'!$F116, TRUE, 0)</f>
        <v>0</v>
      </c>
      <c r="L116" s="4" cm="1">
        <f t="array" ref="L116">_xlfn.IFS('ProductSprint Backlog'!$F116="", "", AND('ProductSprint Backlog'!$J116&gt;L$2,'ProductSprint Backlog'!$I116&lt;=L$2), 'ProductSprint Backlog'!$F116 / MAX(1, 'ProductSprint Backlog'!$J116-'ProductSprint Backlog'!$I116), AND('ProductSprint Backlog'!$J116=L$2,'ProductSprint Backlog'!$I116=L$2), 'ProductSprint Backlog'!$F116, TRUE, 0)</f>
        <v>0</v>
      </c>
      <c r="M116" s="4" cm="1">
        <f t="array" ref="M116">_xlfn.IFS('ProductSprint Backlog'!$F116="", "", AND('ProductSprint Backlog'!$J116&gt;M$2,'ProductSprint Backlog'!$I116&lt;=M$2), 'ProductSprint Backlog'!$F116 / MAX(1, 'ProductSprint Backlog'!$J116-'ProductSprint Backlog'!$I116), AND('ProductSprint Backlog'!$J116=M$2,'ProductSprint Backlog'!$I116=M$2), 'ProductSprint Backlog'!$F116, TRUE, 0)</f>
        <v>0</v>
      </c>
      <c r="N116" s="4" cm="1">
        <f t="array" ref="N116">_xlfn.IFS('ProductSprint Backlog'!$F116="", "", AND('ProductSprint Backlog'!$J116&gt;N$2,'ProductSprint Backlog'!$I116&lt;=N$2), 'ProductSprint Backlog'!$F116 / MAX(1, 'ProductSprint Backlog'!$J116-'ProductSprint Backlog'!$I116), AND('ProductSprint Backlog'!$J116=N$2,'ProductSprint Backlog'!$I116=N$2), 'ProductSprint Backlog'!$F116, TRUE, 0)</f>
        <v>0</v>
      </c>
      <c r="O116" s="4" cm="1">
        <f t="array" ref="O116">_xlfn.IFS('ProductSprint Backlog'!$F116="", "", AND('ProductSprint Backlog'!$J116&gt;O$2,'ProductSprint Backlog'!$I116&lt;=O$2), 'ProductSprint Backlog'!$F116 / MAX(1, 'ProductSprint Backlog'!$J116-'ProductSprint Backlog'!$I116), AND('ProductSprint Backlog'!$J116=O$2,'ProductSprint Backlog'!$I116=O$2), 'ProductSprint Backlog'!$F116, TRUE, 0)</f>
        <v>0</v>
      </c>
    </row>
    <row r="117" spans="2:15" x14ac:dyDescent="0.2">
      <c r="B117" s="4" t="str" cm="1">
        <f t="array" ref="B117">_xlfn.IFS('ProductSprint Backlog'!$F117="", "", AND('ProductSprint Backlog'!$J117&gt;B$2,'ProductSprint Backlog'!$I117&lt;=B$2), 'ProductSprint Backlog'!$F117 / MAX(1, 'ProductSprint Backlog'!$J117-'ProductSprint Backlog'!$I117), AND('ProductSprint Backlog'!$J117=B$2,'ProductSprint Backlog'!$I117=B$2), 'ProductSprint Backlog'!$F117, TRUE, 0)</f>
        <v/>
      </c>
      <c r="C117" s="4" t="str" cm="1">
        <f t="array" ref="C117">_xlfn.IFS('ProductSprint Backlog'!$F117="", "", AND('ProductSprint Backlog'!$J117&gt;C$2,'ProductSprint Backlog'!$I117&lt;=C$2), 'ProductSprint Backlog'!$F117 / MAX(1, 'ProductSprint Backlog'!$J117-'ProductSprint Backlog'!$I117), AND('ProductSprint Backlog'!$J117=C$2,'ProductSprint Backlog'!$I117=C$2), 'ProductSprint Backlog'!$F117, TRUE, 0)</f>
        <v/>
      </c>
      <c r="D117" s="4" t="str" cm="1">
        <f t="array" ref="D117">_xlfn.IFS('ProductSprint Backlog'!$F117="", "", AND('ProductSprint Backlog'!$J117&gt;D$2,'ProductSprint Backlog'!$I117&lt;=D$2), 'ProductSprint Backlog'!$F117 / MAX(1, 'ProductSprint Backlog'!$J117-'ProductSprint Backlog'!$I117), AND('ProductSprint Backlog'!$J117=D$2,'ProductSprint Backlog'!$I117=D$2), 'ProductSprint Backlog'!$F117, TRUE, 0)</f>
        <v/>
      </c>
      <c r="E117" s="4" t="str" cm="1">
        <f t="array" ref="E117">_xlfn.IFS('ProductSprint Backlog'!$F117="", "", AND('ProductSprint Backlog'!$J117&gt;E$2,'ProductSprint Backlog'!$I117&lt;=E$2), 'ProductSprint Backlog'!$F117 / MAX(1, 'ProductSprint Backlog'!$J117-'ProductSprint Backlog'!$I117), AND('ProductSprint Backlog'!$J117=E$2,'ProductSprint Backlog'!$I117=E$2), 'ProductSprint Backlog'!$F117, TRUE, 0)</f>
        <v/>
      </c>
      <c r="F117" s="4" t="str" cm="1">
        <f t="array" ref="F117">_xlfn.IFS('ProductSprint Backlog'!$F117="", "", AND('ProductSprint Backlog'!$J117&gt;F$2,'ProductSprint Backlog'!$I117&lt;=F$2), 'ProductSprint Backlog'!$F117 / MAX(1, 'ProductSprint Backlog'!$J117-'ProductSprint Backlog'!$I117), AND('ProductSprint Backlog'!$J117=F$2,'ProductSprint Backlog'!$I117=F$2), 'ProductSprint Backlog'!$F117, TRUE, 0)</f>
        <v/>
      </c>
      <c r="G117" s="4" t="str" cm="1">
        <f t="array" ref="G117">_xlfn.IFS('ProductSprint Backlog'!$F117="", "", AND('ProductSprint Backlog'!$J117&gt;G$2,'ProductSprint Backlog'!$I117&lt;=G$2), 'ProductSprint Backlog'!$F117 / MAX(1, 'ProductSprint Backlog'!$J117-'ProductSprint Backlog'!$I117), AND('ProductSprint Backlog'!$J117=G$2,'ProductSprint Backlog'!$I117=G$2), 'ProductSprint Backlog'!$F117, TRUE, 0)</f>
        <v/>
      </c>
      <c r="H117" s="4" t="str" cm="1">
        <f t="array" ref="H117">_xlfn.IFS('ProductSprint Backlog'!$F117="", "", AND('ProductSprint Backlog'!$J117&gt;H$2,'ProductSprint Backlog'!$I117&lt;=H$2), 'ProductSprint Backlog'!$F117 / MAX(1, 'ProductSprint Backlog'!$J117-'ProductSprint Backlog'!$I117), AND('ProductSprint Backlog'!$J117=H$2,'ProductSprint Backlog'!$I117=H$2), 'ProductSprint Backlog'!$F117, TRUE, 0)</f>
        <v/>
      </c>
      <c r="I117" s="4" t="str" cm="1">
        <f t="array" ref="I117">_xlfn.IFS('ProductSprint Backlog'!$F117="", "", AND('ProductSprint Backlog'!$J117&gt;I$2,'ProductSprint Backlog'!$I117&lt;=I$2), 'ProductSprint Backlog'!$F117 / MAX(1, 'ProductSprint Backlog'!$J117-'ProductSprint Backlog'!$I117), AND('ProductSprint Backlog'!$J117=I$2,'ProductSprint Backlog'!$I117=I$2), 'ProductSprint Backlog'!$F117, TRUE, 0)</f>
        <v/>
      </c>
      <c r="J117" s="4" t="str" cm="1">
        <f t="array" ref="J117">_xlfn.IFS('ProductSprint Backlog'!$F117="", "", AND('ProductSprint Backlog'!$J117&gt;J$2,'ProductSprint Backlog'!$I117&lt;=J$2), 'ProductSprint Backlog'!$F117 / MAX(1, 'ProductSprint Backlog'!$J117-'ProductSprint Backlog'!$I117), AND('ProductSprint Backlog'!$J117=J$2,'ProductSprint Backlog'!$I117=J$2), 'ProductSprint Backlog'!$F117, TRUE, 0)</f>
        <v/>
      </c>
      <c r="K117" s="4" t="str" cm="1">
        <f t="array" ref="K117">_xlfn.IFS('ProductSprint Backlog'!$F117="", "", AND('ProductSprint Backlog'!$J117&gt;K$2,'ProductSprint Backlog'!$I117&lt;=K$2), 'ProductSprint Backlog'!$F117 / MAX(1, 'ProductSprint Backlog'!$J117-'ProductSprint Backlog'!$I117), AND('ProductSprint Backlog'!$J117=K$2,'ProductSprint Backlog'!$I117=K$2), 'ProductSprint Backlog'!$F117, TRUE, 0)</f>
        <v/>
      </c>
      <c r="L117" s="4" t="str" cm="1">
        <f t="array" ref="L117">_xlfn.IFS('ProductSprint Backlog'!$F117="", "", AND('ProductSprint Backlog'!$J117&gt;L$2,'ProductSprint Backlog'!$I117&lt;=L$2), 'ProductSprint Backlog'!$F117 / MAX(1, 'ProductSprint Backlog'!$J117-'ProductSprint Backlog'!$I117), AND('ProductSprint Backlog'!$J117=L$2,'ProductSprint Backlog'!$I117=L$2), 'ProductSprint Backlog'!$F117, TRUE, 0)</f>
        <v/>
      </c>
      <c r="M117" s="4" t="str" cm="1">
        <f t="array" ref="M117">_xlfn.IFS('ProductSprint Backlog'!$F117="", "", AND('ProductSprint Backlog'!$J117&gt;M$2,'ProductSprint Backlog'!$I117&lt;=M$2), 'ProductSprint Backlog'!$F117 / MAX(1, 'ProductSprint Backlog'!$J117-'ProductSprint Backlog'!$I117), AND('ProductSprint Backlog'!$J117=M$2,'ProductSprint Backlog'!$I117=M$2), 'ProductSprint Backlog'!$F117, TRUE, 0)</f>
        <v/>
      </c>
      <c r="N117" s="4" t="str" cm="1">
        <f t="array" ref="N117">_xlfn.IFS('ProductSprint Backlog'!$F117="", "", AND('ProductSprint Backlog'!$J117&gt;N$2,'ProductSprint Backlog'!$I117&lt;=N$2), 'ProductSprint Backlog'!$F117 / MAX(1, 'ProductSprint Backlog'!$J117-'ProductSprint Backlog'!$I117), AND('ProductSprint Backlog'!$J117=N$2,'ProductSprint Backlog'!$I117=N$2), 'ProductSprint Backlog'!$F117, TRUE, 0)</f>
        <v/>
      </c>
      <c r="O117" s="4" t="str" cm="1">
        <f t="array" ref="O117">_xlfn.IFS('ProductSprint Backlog'!$F117="", "", AND('ProductSprint Backlog'!$J117&gt;O$2,'ProductSprint Backlog'!$I117&lt;=O$2), 'ProductSprint Backlog'!$F117 / MAX(1, 'ProductSprint Backlog'!$J117-'ProductSprint Backlog'!$I117), AND('ProductSprint Backlog'!$J117=O$2,'ProductSprint Backlog'!$I117=O$2), 'ProductSprint Backlog'!$F117, TRUE, 0)</f>
        <v/>
      </c>
    </row>
    <row r="118" spans="2:15" x14ac:dyDescent="0.2">
      <c r="B118" s="4" cm="1">
        <f t="array" ref="B118">_xlfn.IFS('ProductSprint Backlog'!$F118="", "", AND('ProductSprint Backlog'!$J118&gt;B$2,'ProductSprint Backlog'!$I118&lt;=B$2), 'ProductSprint Backlog'!$F118 / MAX(1, 'ProductSprint Backlog'!$J118-'ProductSprint Backlog'!$I118), AND('ProductSprint Backlog'!$J118=B$2,'ProductSprint Backlog'!$I118=B$2), 'ProductSprint Backlog'!$F118, TRUE, 0)</f>
        <v>0</v>
      </c>
      <c r="C118" s="4" cm="1">
        <f t="array" ref="C118">_xlfn.IFS('ProductSprint Backlog'!$F118="", "", AND('ProductSprint Backlog'!$J118&gt;C$2,'ProductSprint Backlog'!$I118&lt;=C$2), 'ProductSprint Backlog'!$F118 / MAX(1, 'ProductSprint Backlog'!$J118-'ProductSprint Backlog'!$I118), AND('ProductSprint Backlog'!$J118=C$2,'ProductSprint Backlog'!$I118=C$2), 'ProductSprint Backlog'!$F118, TRUE, 0)</f>
        <v>0</v>
      </c>
      <c r="D118" s="4" cm="1">
        <f t="array" ref="D118">_xlfn.IFS('ProductSprint Backlog'!$F118="", "", AND('ProductSprint Backlog'!$J118&gt;D$2,'ProductSprint Backlog'!$I118&lt;=D$2), 'ProductSprint Backlog'!$F118 / MAX(1, 'ProductSprint Backlog'!$J118-'ProductSprint Backlog'!$I118), AND('ProductSprint Backlog'!$J118=D$2,'ProductSprint Backlog'!$I118=D$2), 'ProductSprint Backlog'!$F118, TRUE, 0)</f>
        <v>0</v>
      </c>
      <c r="E118" s="4" cm="1">
        <f t="array" ref="E118">_xlfn.IFS('ProductSprint Backlog'!$F118="", "", AND('ProductSprint Backlog'!$J118&gt;E$2,'ProductSprint Backlog'!$I118&lt;=E$2), 'ProductSprint Backlog'!$F118 / MAX(1, 'ProductSprint Backlog'!$J118-'ProductSprint Backlog'!$I118), AND('ProductSprint Backlog'!$J118=E$2,'ProductSprint Backlog'!$I118=E$2), 'ProductSprint Backlog'!$F118, TRUE, 0)</f>
        <v>0</v>
      </c>
      <c r="F118" s="4" cm="1">
        <f t="array" ref="F118">_xlfn.IFS('ProductSprint Backlog'!$F118="", "", AND('ProductSprint Backlog'!$J118&gt;F$2,'ProductSprint Backlog'!$I118&lt;=F$2), 'ProductSprint Backlog'!$F118 / MAX(1, 'ProductSprint Backlog'!$J118-'ProductSprint Backlog'!$I118), AND('ProductSprint Backlog'!$J118=F$2,'ProductSprint Backlog'!$I118=F$2), 'ProductSprint Backlog'!$F118, TRUE, 0)</f>
        <v>0</v>
      </c>
      <c r="G118" s="4" cm="1">
        <f t="array" ref="G118">_xlfn.IFS('ProductSprint Backlog'!$F118="", "", AND('ProductSprint Backlog'!$J118&gt;G$2,'ProductSprint Backlog'!$I118&lt;=G$2), 'ProductSprint Backlog'!$F118 / MAX(1, 'ProductSprint Backlog'!$J118-'ProductSprint Backlog'!$I118), AND('ProductSprint Backlog'!$J118=G$2,'ProductSprint Backlog'!$I118=G$2), 'ProductSprint Backlog'!$F118, TRUE, 0)</f>
        <v>0</v>
      </c>
      <c r="H118" s="4" cm="1">
        <f t="array" ref="H118">_xlfn.IFS('ProductSprint Backlog'!$F118="", "", AND('ProductSprint Backlog'!$J118&gt;H$2,'ProductSprint Backlog'!$I118&lt;=H$2), 'ProductSprint Backlog'!$F118 / MAX(1, 'ProductSprint Backlog'!$J118-'ProductSprint Backlog'!$I118), AND('ProductSprint Backlog'!$J118=H$2,'ProductSprint Backlog'!$I118=H$2), 'ProductSprint Backlog'!$F118, TRUE, 0)</f>
        <v>0</v>
      </c>
      <c r="I118" s="4" cm="1">
        <f t="array" ref="I118">_xlfn.IFS('ProductSprint Backlog'!$F118="", "", AND('ProductSprint Backlog'!$J118&gt;I$2,'ProductSprint Backlog'!$I118&lt;=I$2), 'ProductSprint Backlog'!$F118 / MAX(1, 'ProductSprint Backlog'!$J118-'ProductSprint Backlog'!$I118), AND('ProductSprint Backlog'!$J118=I$2,'ProductSprint Backlog'!$I118=I$2), 'ProductSprint Backlog'!$F118, TRUE, 0)</f>
        <v>0</v>
      </c>
      <c r="J118" s="4" cm="1">
        <f t="array" ref="J118">_xlfn.IFS('ProductSprint Backlog'!$F118="", "", AND('ProductSprint Backlog'!$J118&gt;J$2,'ProductSprint Backlog'!$I118&lt;=J$2), 'ProductSprint Backlog'!$F118 / MAX(1, 'ProductSprint Backlog'!$J118-'ProductSprint Backlog'!$I118), AND('ProductSprint Backlog'!$J118=J$2,'ProductSprint Backlog'!$I118=J$2), 'ProductSprint Backlog'!$F118, TRUE, 0)</f>
        <v>0</v>
      </c>
      <c r="K118" s="4" cm="1">
        <f t="array" ref="K118">_xlfn.IFS('ProductSprint Backlog'!$F118="", "", AND('ProductSprint Backlog'!$J118&gt;K$2,'ProductSprint Backlog'!$I118&lt;=K$2), 'ProductSprint Backlog'!$F118 / MAX(1, 'ProductSprint Backlog'!$J118-'ProductSprint Backlog'!$I118), AND('ProductSprint Backlog'!$J118=K$2,'ProductSprint Backlog'!$I118=K$2), 'ProductSprint Backlog'!$F118, TRUE, 0)</f>
        <v>0</v>
      </c>
      <c r="L118" s="4" cm="1">
        <f t="array" ref="L118">_xlfn.IFS('ProductSprint Backlog'!$F118="", "", AND('ProductSprint Backlog'!$J118&gt;L$2,'ProductSprint Backlog'!$I118&lt;=L$2), 'ProductSprint Backlog'!$F118 / MAX(1, 'ProductSprint Backlog'!$J118-'ProductSprint Backlog'!$I118), AND('ProductSprint Backlog'!$J118=L$2,'ProductSprint Backlog'!$I118=L$2), 'ProductSprint Backlog'!$F118, TRUE, 0)</f>
        <v>0</v>
      </c>
      <c r="M118" s="4" cm="1">
        <f t="array" ref="M118">_xlfn.IFS('ProductSprint Backlog'!$F118="", "", AND('ProductSprint Backlog'!$J118&gt;M$2,'ProductSprint Backlog'!$I118&lt;=M$2), 'ProductSprint Backlog'!$F118 / MAX(1, 'ProductSprint Backlog'!$J118-'ProductSprint Backlog'!$I118), AND('ProductSprint Backlog'!$J118=M$2,'ProductSprint Backlog'!$I118=M$2), 'ProductSprint Backlog'!$F118, TRUE, 0)</f>
        <v>0</v>
      </c>
      <c r="N118" s="4" cm="1">
        <f t="array" ref="N118">_xlfn.IFS('ProductSprint Backlog'!$F118="", "", AND('ProductSprint Backlog'!$J118&gt;N$2,'ProductSprint Backlog'!$I118&lt;=N$2), 'ProductSprint Backlog'!$F118 / MAX(1, 'ProductSprint Backlog'!$J118-'ProductSprint Backlog'!$I118), AND('ProductSprint Backlog'!$J118=N$2,'ProductSprint Backlog'!$I118=N$2), 'ProductSprint Backlog'!$F118, TRUE, 0)</f>
        <v>0</v>
      </c>
      <c r="O118" s="4" cm="1">
        <f t="array" ref="O118">_xlfn.IFS('ProductSprint Backlog'!$F118="", "", AND('ProductSprint Backlog'!$J118&gt;O$2,'ProductSprint Backlog'!$I118&lt;=O$2), 'ProductSprint Backlog'!$F118 / MAX(1, 'ProductSprint Backlog'!$J118-'ProductSprint Backlog'!$I118), AND('ProductSprint Backlog'!$J118=O$2,'ProductSprint Backlog'!$I118=O$2), 'ProductSprint Backlog'!$F118, TRUE, 0)</f>
        <v>0</v>
      </c>
    </row>
    <row r="119" spans="2:15" x14ac:dyDescent="0.2">
      <c r="B119" s="4" cm="1">
        <f t="array" ref="B119">_xlfn.IFS('ProductSprint Backlog'!$F119="", "", AND('ProductSprint Backlog'!$J119&gt;B$2,'ProductSprint Backlog'!$I119&lt;=B$2), 'ProductSprint Backlog'!$F119 / MAX(1, 'ProductSprint Backlog'!$J119-'ProductSprint Backlog'!$I119), AND('ProductSprint Backlog'!$J119=B$2,'ProductSprint Backlog'!$I119=B$2), 'ProductSprint Backlog'!$F119, TRUE, 0)</f>
        <v>0</v>
      </c>
      <c r="C119" s="4" cm="1">
        <f t="array" ref="C119">_xlfn.IFS('ProductSprint Backlog'!$F119="", "", AND('ProductSprint Backlog'!$J119&gt;C$2,'ProductSprint Backlog'!$I119&lt;=C$2), 'ProductSprint Backlog'!$F119 / MAX(1, 'ProductSprint Backlog'!$J119-'ProductSprint Backlog'!$I119), AND('ProductSprint Backlog'!$J119=C$2,'ProductSprint Backlog'!$I119=C$2), 'ProductSprint Backlog'!$F119, TRUE, 0)</f>
        <v>0</v>
      </c>
      <c r="D119" s="4" cm="1">
        <f t="array" ref="D119">_xlfn.IFS('ProductSprint Backlog'!$F119="", "", AND('ProductSprint Backlog'!$J119&gt;D$2,'ProductSprint Backlog'!$I119&lt;=D$2), 'ProductSprint Backlog'!$F119 / MAX(1, 'ProductSprint Backlog'!$J119-'ProductSprint Backlog'!$I119), AND('ProductSprint Backlog'!$J119=D$2,'ProductSprint Backlog'!$I119=D$2), 'ProductSprint Backlog'!$F119, TRUE, 0)</f>
        <v>0</v>
      </c>
      <c r="E119" s="4" cm="1">
        <f t="array" ref="E119">_xlfn.IFS('ProductSprint Backlog'!$F119="", "", AND('ProductSprint Backlog'!$J119&gt;E$2,'ProductSprint Backlog'!$I119&lt;=E$2), 'ProductSprint Backlog'!$F119 / MAX(1, 'ProductSprint Backlog'!$J119-'ProductSprint Backlog'!$I119), AND('ProductSprint Backlog'!$J119=E$2,'ProductSprint Backlog'!$I119=E$2), 'ProductSprint Backlog'!$F119, TRUE, 0)</f>
        <v>0</v>
      </c>
      <c r="F119" s="4" cm="1">
        <f t="array" ref="F119">_xlfn.IFS('ProductSprint Backlog'!$F119="", "", AND('ProductSprint Backlog'!$J119&gt;F$2,'ProductSprint Backlog'!$I119&lt;=F$2), 'ProductSprint Backlog'!$F119 / MAX(1, 'ProductSprint Backlog'!$J119-'ProductSprint Backlog'!$I119), AND('ProductSprint Backlog'!$J119=F$2,'ProductSprint Backlog'!$I119=F$2), 'ProductSprint Backlog'!$F119, TRUE, 0)</f>
        <v>0</v>
      </c>
      <c r="G119" s="4" cm="1">
        <f t="array" ref="G119">_xlfn.IFS('ProductSprint Backlog'!$F119="", "", AND('ProductSprint Backlog'!$J119&gt;G$2,'ProductSprint Backlog'!$I119&lt;=G$2), 'ProductSprint Backlog'!$F119 / MAX(1, 'ProductSprint Backlog'!$J119-'ProductSprint Backlog'!$I119), AND('ProductSprint Backlog'!$J119=G$2,'ProductSprint Backlog'!$I119=G$2), 'ProductSprint Backlog'!$F119, TRUE, 0)</f>
        <v>0</v>
      </c>
      <c r="H119" s="4" cm="1">
        <f t="array" ref="H119">_xlfn.IFS('ProductSprint Backlog'!$F119="", "", AND('ProductSprint Backlog'!$J119&gt;H$2,'ProductSprint Backlog'!$I119&lt;=H$2), 'ProductSprint Backlog'!$F119 / MAX(1, 'ProductSprint Backlog'!$J119-'ProductSprint Backlog'!$I119), AND('ProductSprint Backlog'!$J119=H$2,'ProductSprint Backlog'!$I119=H$2), 'ProductSprint Backlog'!$F119, TRUE, 0)</f>
        <v>0</v>
      </c>
      <c r="I119" s="4" cm="1">
        <f t="array" ref="I119">_xlfn.IFS('ProductSprint Backlog'!$F119="", "", AND('ProductSprint Backlog'!$J119&gt;I$2,'ProductSprint Backlog'!$I119&lt;=I$2), 'ProductSprint Backlog'!$F119 / MAX(1, 'ProductSprint Backlog'!$J119-'ProductSprint Backlog'!$I119), AND('ProductSprint Backlog'!$J119=I$2,'ProductSprint Backlog'!$I119=I$2), 'ProductSprint Backlog'!$F119, TRUE, 0)</f>
        <v>0</v>
      </c>
      <c r="J119" s="4" cm="1">
        <f t="array" ref="J119">_xlfn.IFS('ProductSprint Backlog'!$F119="", "", AND('ProductSprint Backlog'!$J119&gt;J$2,'ProductSprint Backlog'!$I119&lt;=J$2), 'ProductSprint Backlog'!$F119 / MAX(1, 'ProductSprint Backlog'!$J119-'ProductSprint Backlog'!$I119), AND('ProductSprint Backlog'!$J119=J$2,'ProductSprint Backlog'!$I119=J$2), 'ProductSprint Backlog'!$F119, TRUE, 0)</f>
        <v>0</v>
      </c>
      <c r="K119" s="4" cm="1">
        <f t="array" ref="K119">_xlfn.IFS('ProductSprint Backlog'!$F119="", "", AND('ProductSprint Backlog'!$J119&gt;K$2,'ProductSprint Backlog'!$I119&lt;=K$2), 'ProductSprint Backlog'!$F119 / MAX(1, 'ProductSprint Backlog'!$J119-'ProductSprint Backlog'!$I119), AND('ProductSprint Backlog'!$J119=K$2,'ProductSprint Backlog'!$I119=K$2), 'ProductSprint Backlog'!$F119, TRUE, 0)</f>
        <v>0</v>
      </c>
      <c r="L119" s="4" cm="1">
        <f t="array" ref="L119">_xlfn.IFS('ProductSprint Backlog'!$F119="", "", AND('ProductSprint Backlog'!$J119&gt;L$2,'ProductSprint Backlog'!$I119&lt;=L$2), 'ProductSprint Backlog'!$F119 / MAX(1, 'ProductSprint Backlog'!$J119-'ProductSprint Backlog'!$I119), AND('ProductSprint Backlog'!$J119=L$2,'ProductSprint Backlog'!$I119=L$2), 'ProductSprint Backlog'!$F119, TRUE, 0)</f>
        <v>0</v>
      </c>
      <c r="M119" s="4" cm="1">
        <f t="array" ref="M119">_xlfn.IFS('ProductSprint Backlog'!$F119="", "", AND('ProductSprint Backlog'!$J119&gt;M$2,'ProductSprint Backlog'!$I119&lt;=M$2), 'ProductSprint Backlog'!$F119 / MAX(1, 'ProductSprint Backlog'!$J119-'ProductSprint Backlog'!$I119), AND('ProductSprint Backlog'!$J119=M$2,'ProductSprint Backlog'!$I119=M$2), 'ProductSprint Backlog'!$F119, TRUE, 0)</f>
        <v>0</v>
      </c>
      <c r="N119" s="4" cm="1">
        <f t="array" ref="N119">_xlfn.IFS('ProductSprint Backlog'!$F119="", "", AND('ProductSprint Backlog'!$J119&gt;N$2,'ProductSprint Backlog'!$I119&lt;=N$2), 'ProductSprint Backlog'!$F119 / MAX(1, 'ProductSprint Backlog'!$J119-'ProductSprint Backlog'!$I119), AND('ProductSprint Backlog'!$J119=N$2,'ProductSprint Backlog'!$I119=N$2), 'ProductSprint Backlog'!$F119, TRUE, 0)</f>
        <v>0</v>
      </c>
      <c r="O119" s="4" cm="1">
        <f t="array" ref="O119">_xlfn.IFS('ProductSprint Backlog'!$F119="", "", AND('ProductSprint Backlog'!$J119&gt;O$2,'ProductSprint Backlog'!$I119&lt;=O$2), 'ProductSprint Backlog'!$F119 / MAX(1, 'ProductSprint Backlog'!$J119-'ProductSprint Backlog'!$I119), AND('ProductSprint Backlog'!$J119=O$2,'ProductSprint Backlog'!$I119=O$2), 'ProductSprint Backlog'!$F119, TRUE, 0)</f>
        <v>0</v>
      </c>
    </row>
    <row r="120" spans="2:15" x14ac:dyDescent="0.2">
      <c r="B120" s="4" cm="1">
        <f t="array" ref="B120">_xlfn.IFS('ProductSprint Backlog'!$F120="", "", AND('ProductSprint Backlog'!$J120&gt;B$2,'ProductSprint Backlog'!$I120&lt;=B$2), 'ProductSprint Backlog'!$F120 / MAX(1, 'ProductSprint Backlog'!$J120-'ProductSprint Backlog'!$I120), AND('ProductSprint Backlog'!$J120=B$2,'ProductSprint Backlog'!$I120=B$2), 'ProductSprint Backlog'!$F120, TRUE, 0)</f>
        <v>0</v>
      </c>
      <c r="C120" s="4" cm="1">
        <f t="array" ref="C120">_xlfn.IFS('ProductSprint Backlog'!$F120="", "", AND('ProductSprint Backlog'!$J120&gt;C$2,'ProductSprint Backlog'!$I120&lt;=C$2), 'ProductSprint Backlog'!$F120 / MAX(1, 'ProductSprint Backlog'!$J120-'ProductSprint Backlog'!$I120), AND('ProductSprint Backlog'!$J120=C$2,'ProductSprint Backlog'!$I120=C$2), 'ProductSprint Backlog'!$F120, TRUE, 0)</f>
        <v>0</v>
      </c>
      <c r="D120" s="4" cm="1">
        <f t="array" ref="D120">_xlfn.IFS('ProductSprint Backlog'!$F120="", "", AND('ProductSprint Backlog'!$J120&gt;D$2,'ProductSprint Backlog'!$I120&lt;=D$2), 'ProductSprint Backlog'!$F120 / MAX(1, 'ProductSprint Backlog'!$J120-'ProductSprint Backlog'!$I120), AND('ProductSprint Backlog'!$J120=D$2,'ProductSprint Backlog'!$I120=D$2), 'ProductSprint Backlog'!$F120, TRUE, 0)</f>
        <v>0</v>
      </c>
      <c r="E120" s="4" cm="1">
        <f t="array" ref="E120">_xlfn.IFS('ProductSprint Backlog'!$F120="", "", AND('ProductSprint Backlog'!$J120&gt;E$2,'ProductSprint Backlog'!$I120&lt;=E$2), 'ProductSprint Backlog'!$F120 / MAX(1, 'ProductSprint Backlog'!$J120-'ProductSprint Backlog'!$I120), AND('ProductSprint Backlog'!$J120=E$2,'ProductSprint Backlog'!$I120=E$2), 'ProductSprint Backlog'!$F120, TRUE, 0)</f>
        <v>0</v>
      </c>
      <c r="F120" s="4" cm="1">
        <f t="array" ref="F120">_xlfn.IFS('ProductSprint Backlog'!$F120="", "", AND('ProductSprint Backlog'!$J120&gt;F$2,'ProductSprint Backlog'!$I120&lt;=F$2), 'ProductSprint Backlog'!$F120 / MAX(1, 'ProductSprint Backlog'!$J120-'ProductSprint Backlog'!$I120), AND('ProductSprint Backlog'!$J120=F$2,'ProductSprint Backlog'!$I120=F$2), 'ProductSprint Backlog'!$F120, TRUE, 0)</f>
        <v>0</v>
      </c>
      <c r="G120" s="4" cm="1">
        <f t="array" ref="G120">_xlfn.IFS('ProductSprint Backlog'!$F120="", "", AND('ProductSprint Backlog'!$J120&gt;G$2,'ProductSprint Backlog'!$I120&lt;=G$2), 'ProductSprint Backlog'!$F120 / MAX(1, 'ProductSprint Backlog'!$J120-'ProductSprint Backlog'!$I120), AND('ProductSprint Backlog'!$J120=G$2,'ProductSprint Backlog'!$I120=G$2), 'ProductSprint Backlog'!$F120, TRUE, 0)</f>
        <v>0</v>
      </c>
      <c r="H120" s="4" cm="1">
        <f t="array" ref="H120">_xlfn.IFS('ProductSprint Backlog'!$F120="", "", AND('ProductSprint Backlog'!$J120&gt;H$2,'ProductSprint Backlog'!$I120&lt;=H$2), 'ProductSprint Backlog'!$F120 / MAX(1, 'ProductSprint Backlog'!$J120-'ProductSprint Backlog'!$I120), AND('ProductSprint Backlog'!$J120=H$2,'ProductSprint Backlog'!$I120=H$2), 'ProductSprint Backlog'!$F120, TRUE, 0)</f>
        <v>0</v>
      </c>
      <c r="I120" s="4" cm="1">
        <f t="array" ref="I120">_xlfn.IFS('ProductSprint Backlog'!$F120="", "", AND('ProductSprint Backlog'!$J120&gt;I$2,'ProductSprint Backlog'!$I120&lt;=I$2), 'ProductSprint Backlog'!$F120 / MAX(1, 'ProductSprint Backlog'!$J120-'ProductSprint Backlog'!$I120), AND('ProductSprint Backlog'!$J120=I$2,'ProductSprint Backlog'!$I120=I$2), 'ProductSprint Backlog'!$F120, TRUE, 0)</f>
        <v>0</v>
      </c>
      <c r="J120" s="4" cm="1">
        <f t="array" ref="J120">_xlfn.IFS('ProductSprint Backlog'!$F120="", "", AND('ProductSprint Backlog'!$J120&gt;J$2,'ProductSprint Backlog'!$I120&lt;=J$2), 'ProductSprint Backlog'!$F120 / MAX(1, 'ProductSprint Backlog'!$J120-'ProductSprint Backlog'!$I120), AND('ProductSprint Backlog'!$J120=J$2,'ProductSprint Backlog'!$I120=J$2), 'ProductSprint Backlog'!$F120, TRUE, 0)</f>
        <v>0</v>
      </c>
      <c r="K120" s="4" cm="1">
        <f t="array" ref="K120">_xlfn.IFS('ProductSprint Backlog'!$F120="", "", AND('ProductSprint Backlog'!$J120&gt;K$2,'ProductSprint Backlog'!$I120&lt;=K$2), 'ProductSprint Backlog'!$F120 / MAX(1, 'ProductSprint Backlog'!$J120-'ProductSprint Backlog'!$I120), AND('ProductSprint Backlog'!$J120=K$2,'ProductSprint Backlog'!$I120=K$2), 'ProductSprint Backlog'!$F120, TRUE, 0)</f>
        <v>0</v>
      </c>
      <c r="L120" s="4" cm="1">
        <f t="array" ref="L120">_xlfn.IFS('ProductSprint Backlog'!$F120="", "", AND('ProductSprint Backlog'!$J120&gt;L$2,'ProductSprint Backlog'!$I120&lt;=L$2), 'ProductSprint Backlog'!$F120 / MAX(1, 'ProductSprint Backlog'!$J120-'ProductSprint Backlog'!$I120), AND('ProductSprint Backlog'!$J120=L$2,'ProductSprint Backlog'!$I120=L$2), 'ProductSprint Backlog'!$F120, TRUE, 0)</f>
        <v>0</v>
      </c>
      <c r="M120" s="4" cm="1">
        <f t="array" ref="M120">_xlfn.IFS('ProductSprint Backlog'!$F120="", "", AND('ProductSprint Backlog'!$J120&gt;M$2,'ProductSprint Backlog'!$I120&lt;=M$2), 'ProductSprint Backlog'!$F120 / MAX(1, 'ProductSprint Backlog'!$J120-'ProductSprint Backlog'!$I120), AND('ProductSprint Backlog'!$J120=M$2,'ProductSprint Backlog'!$I120=M$2), 'ProductSprint Backlog'!$F120, TRUE, 0)</f>
        <v>0</v>
      </c>
      <c r="N120" s="4" cm="1">
        <f t="array" ref="N120">_xlfn.IFS('ProductSprint Backlog'!$F120="", "", AND('ProductSprint Backlog'!$J120&gt;N$2,'ProductSprint Backlog'!$I120&lt;=N$2), 'ProductSprint Backlog'!$F120 / MAX(1, 'ProductSprint Backlog'!$J120-'ProductSprint Backlog'!$I120), AND('ProductSprint Backlog'!$J120=N$2,'ProductSprint Backlog'!$I120=N$2), 'ProductSprint Backlog'!$F120, TRUE, 0)</f>
        <v>0</v>
      </c>
      <c r="O120" s="4" cm="1">
        <f t="array" ref="O120">_xlfn.IFS('ProductSprint Backlog'!$F120="", "", AND('ProductSprint Backlog'!$J120&gt;O$2,'ProductSprint Backlog'!$I120&lt;=O$2), 'ProductSprint Backlog'!$F120 / MAX(1, 'ProductSprint Backlog'!$J120-'ProductSprint Backlog'!$I120), AND('ProductSprint Backlog'!$J120=O$2,'ProductSprint Backlog'!$I120=O$2), 'ProductSprint Backlog'!$F120, TRUE, 0)</f>
        <v>0</v>
      </c>
    </row>
    <row r="121" spans="2:15" x14ac:dyDescent="0.2">
      <c r="B121" s="4" cm="1">
        <f t="array" ref="B121">_xlfn.IFS('ProductSprint Backlog'!$F121="", "", AND('ProductSprint Backlog'!$J121&gt;B$2,'ProductSprint Backlog'!$I121&lt;=B$2), 'ProductSprint Backlog'!$F121 / MAX(1, 'ProductSprint Backlog'!$J121-'ProductSprint Backlog'!$I121), AND('ProductSprint Backlog'!$J121=B$2,'ProductSprint Backlog'!$I121=B$2), 'ProductSprint Backlog'!$F121, TRUE, 0)</f>
        <v>0</v>
      </c>
      <c r="C121" s="4" cm="1">
        <f t="array" ref="C121">_xlfn.IFS('ProductSprint Backlog'!$F121="", "", AND('ProductSprint Backlog'!$J121&gt;C$2,'ProductSprint Backlog'!$I121&lt;=C$2), 'ProductSprint Backlog'!$F121 / MAX(1, 'ProductSprint Backlog'!$J121-'ProductSprint Backlog'!$I121), AND('ProductSprint Backlog'!$J121=C$2,'ProductSprint Backlog'!$I121=C$2), 'ProductSprint Backlog'!$F121, TRUE, 0)</f>
        <v>0</v>
      </c>
      <c r="D121" s="4" cm="1">
        <f t="array" ref="D121">_xlfn.IFS('ProductSprint Backlog'!$F121="", "", AND('ProductSprint Backlog'!$J121&gt;D$2,'ProductSprint Backlog'!$I121&lt;=D$2), 'ProductSprint Backlog'!$F121 / MAX(1, 'ProductSprint Backlog'!$J121-'ProductSprint Backlog'!$I121), AND('ProductSprint Backlog'!$J121=D$2,'ProductSprint Backlog'!$I121=D$2), 'ProductSprint Backlog'!$F121, TRUE, 0)</f>
        <v>0</v>
      </c>
      <c r="E121" s="4" cm="1">
        <f t="array" ref="E121">_xlfn.IFS('ProductSprint Backlog'!$F121="", "", AND('ProductSprint Backlog'!$J121&gt;E$2,'ProductSprint Backlog'!$I121&lt;=E$2), 'ProductSprint Backlog'!$F121 / MAX(1, 'ProductSprint Backlog'!$J121-'ProductSprint Backlog'!$I121), AND('ProductSprint Backlog'!$J121=E$2,'ProductSprint Backlog'!$I121=E$2), 'ProductSprint Backlog'!$F121, TRUE, 0)</f>
        <v>0</v>
      </c>
      <c r="F121" s="4" cm="1">
        <f t="array" ref="F121">_xlfn.IFS('ProductSprint Backlog'!$F121="", "", AND('ProductSprint Backlog'!$J121&gt;F$2,'ProductSprint Backlog'!$I121&lt;=F$2), 'ProductSprint Backlog'!$F121 / MAX(1, 'ProductSprint Backlog'!$J121-'ProductSprint Backlog'!$I121), AND('ProductSprint Backlog'!$J121=F$2,'ProductSprint Backlog'!$I121=F$2), 'ProductSprint Backlog'!$F121, TRUE, 0)</f>
        <v>0</v>
      </c>
      <c r="G121" s="4" cm="1">
        <f t="array" ref="G121">_xlfn.IFS('ProductSprint Backlog'!$F121="", "", AND('ProductSprint Backlog'!$J121&gt;G$2,'ProductSprint Backlog'!$I121&lt;=G$2), 'ProductSprint Backlog'!$F121 / MAX(1, 'ProductSprint Backlog'!$J121-'ProductSprint Backlog'!$I121), AND('ProductSprint Backlog'!$J121=G$2,'ProductSprint Backlog'!$I121=G$2), 'ProductSprint Backlog'!$F121, TRUE, 0)</f>
        <v>0</v>
      </c>
      <c r="H121" s="4" cm="1">
        <f t="array" ref="H121">_xlfn.IFS('ProductSprint Backlog'!$F121="", "", AND('ProductSprint Backlog'!$J121&gt;H$2,'ProductSprint Backlog'!$I121&lt;=H$2), 'ProductSprint Backlog'!$F121 / MAX(1, 'ProductSprint Backlog'!$J121-'ProductSprint Backlog'!$I121), AND('ProductSprint Backlog'!$J121=H$2,'ProductSprint Backlog'!$I121=H$2), 'ProductSprint Backlog'!$F121, TRUE, 0)</f>
        <v>0</v>
      </c>
      <c r="I121" s="4" cm="1">
        <f t="array" ref="I121">_xlfn.IFS('ProductSprint Backlog'!$F121="", "", AND('ProductSprint Backlog'!$J121&gt;I$2,'ProductSprint Backlog'!$I121&lt;=I$2), 'ProductSprint Backlog'!$F121 / MAX(1, 'ProductSprint Backlog'!$J121-'ProductSprint Backlog'!$I121), AND('ProductSprint Backlog'!$J121=I$2,'ProductSprint Backlog'!$I121=I$2), 'ProductSprint Backlog'!$F121, TRUE, 0)</f>
        <v>0</v>
      </c>
      <c r="J121" s="4" cm="1">
        <f t="array" ref="J121">_xlfn.IFS('ProductSprint Backlog'!$F121="", "", AND('ProductSprint Backlog'!$J121&gt;J$2,'ProductSprint Backlog'!$I121&lt;=J$2), 'ProductSprint Backlog'!$F121 / MAX(1, 'ProductSprint Backlog'!$J121-'ProductSprint Backlog'!$I121), AND('ProductSprint Backlog'!$J121=J$2,'ProductSprint Backlog'!$I121=J$2), 'ProductSprint Backlog'!$F121, TRUE, 0)</f>
        <v>0</v>
      </c>
      <c r="K121" s="4" cm="1">
        <f t="array" ref="K121">_xlfn.IFS('ProductSprint Backlog'!$F121="", "", AND('ProductSprint Backlog'!$J121&gt;K$2,'ProductSprint Backlog'!$I121&lt;=K$2), 'ProductSprint Backlog'!$F121 / MAX(1, 'ProductSprint Backlog'!$J121-'ProductSprint Backlog'!$I121), AND('ProductSprint Backlog'!$J121=K$2,'ProductSprint Backlog'!$I121=K$2), 'ProductSprint Backlog'!$F121, TRUE, 0)</f>
        <v>0</v>
      </c>
      <c r="L121" s="4" cm="1">
        <f t="array" ref="L121">_xlfn.IFS('ProductSprint Backlog'!$F121="", "", AND('ProductSprint Backlog'!$J121&gt;L$2,'ProductSprint Backlog'!$I121&lt;=L$2), 'ProductSprint Backlog'!$F121 / MAX(1, 'ProductSprint Backlog'!$J121-'ProductSprint Backlog'!$I121), AND('ProductSprint Backlog'!$J121=L$2,'ProductSprint Backlog'!$I121=L$2), 'ProductSprint Backlog'!$F121, TRUE, 0)</f>
        <v>0</v>
      </c>
      <c r="M121" s="4" cm="1">
        <f t="array" ref="M121">_xlfn.IFS('ProductSprint Backlog'!$F121="", "", AND('ProductSprint Backlog'!$J121&gt;M$2,'ProductSprint Backlog'!$I121&lt;=M$2), 'ProductSprint Backlog'!$F121 / MAX(1, 'ProductSprint Backlog'!$J121-'ProductSprint Backlog'!$I121), AND('ProductSprint Backlog'!$J121=M$2,'ProductSprint Backlog'!$I121=M$2), 'ProductSprint Backlog'!$F121, TRUE, 0)</f>
        <v>0</v>
      </c>
      <c r="N121" s="4" cm="1">
        <f t="array" ref="N121">_xlfn.IFS('ProductSprint Backlog'!$F121="", "", AND('ProductSprint Backlog'!$J121&gt;N$2,'ProductSprint Backlog'!$I121&lt;=N$2), 'ProductSprint Backlog'!$F121 / MAX(1, 'ProductSprint Backlog'!$J121-'ProductSprint Backlog'!$I121), AND('ProductSprint Backlog'!$J121=N$2,'ProductSprint Backlog'!$I121=N$2), 'ProductSprint Backlog'!$F121, TRUE, 0)</f>
        <v>0</v>
      </c>
      <c r="O121" s="4" cm="1">
        <f t="array" ref="O121">_xlfn.IFS('ProductSprint Backlog'!$F121="", "", AND('ProductSprint Backlog'!$J121&gt;O$2,'ProductSprint Backlog'!$I121&lt;=O$2), 'ProductSprint Backlog'!$F121 / MAX(1, 'ProductSprint Backlog'!$J121-'ProductSprint Backlog'!$I121), AND('ProductSprint Backlog'!$J121=O$2,'ProductSprint Backlog'!$I121=O$2), 'ProductSprint Backlog'!$F121, TRUE, 0)</f>
        <v>0</v>
      </c>
    </row>
    <row r="122" spans="2:15" x14ac:dyDescent="0.2">
      <c r="B122" s="4" cm="1">
        <f t="array" ref="B122">_xlfn.IFS('ProductSprint Backlog'!$F122="", "", AND('ProductSprint Backlog'!$J122&gt;B$2,'ProductSprint Backlog'!$I122&lt;=B$2), 'ProductSprint Backlog'!$F122 / MAX(1, 'ProductSprint Backlog'!$J122-'ProductSprint Backlog'!$I122), AND('ProductSprint Backlog'!$J122=B$2,'ProductSprint Backlog'!$I122=B$2), 'ProductSprint Backlog'!$F122, TRUE, 0)</f>
        <v>0</v>
      </c>
      <c r="C122" s="4" cm="1">
        <f t="array" ref="C122">_xlfn.IFS('ProductSprint Backlog'!$F122="", "", AND('ProductSprint Backlog'!$J122&gt;C$2,'ProductSprint Backlog'!$I122&lt;=C$2), 'ProductSprint Backlog'!$F122 / MAX(1, 'ProductSprint Backlog'!$J122-'ProductSprint Backlog'!$I122), AND('ProductSprint Backlog'!$J122=C$2,'ProductSprint Backlog'!$I122=C$2), 'ProductSprint Backlog'!$F122, TRUE, 0)</f>
        <v>0</v>
      </c>
      <c r="D122" s="4" cm="1">
        <f t="array" ref="D122">_xlfn.IFS('ProductSprint Backlog'!$F122="", "", AND('ProductSprint Backlog'!$J122&gt;D$2,'ProductSprint Backlog'!$I122&lt;=D$2), 'ProductSprint Backlog'!$F122 / MAX(1, 'ProductSprint Backlog'!$J122-'ProductSprint Backlog'!$I122), AND('ProductSprint Backlog'!$J122=D$2,'ProductSprint Backlog'!$I122=D$2), 'ProductSprint Backlog'!$F122, TRUE, 0)</f>
        <v>0</v>
      </c>
      <c r="E122" s="4" cm="1">
        <f t="array" ref="E122">_xlfn.IFS('ProductSprint Backlog'!$F122="", "", AND('ProductSprint Backlog'!$J122&gt;E$2,'ProductSprint Backlog'!$I122&lt;=E$2), 'ProductSprint Backlog'!$F122 / MAX(1, 'ProductSprint Backlog'!$J122-'ProductSprint Backlog'!$I122), AND('ProductSprint Backlog'!$J122=E$2,'ProductSprint Backlog'!$I122=E$2), 'ProductSprint Backlog'!$F122, TRUE, 0)</f>
        <v>0</v>
      </c>
      <c r="F122" s="4" cm="1">
        <f t="array" ref="F122">_xlfn.IFS('ProductSprint Backlog'!$F122="", "", AND('ProductSprint Backlog'!$J122&gt;F$2,'ProductSprint Backlog'!$I122&lt;=F$2), 'ProductSprint Backlog'!$F122 / MAX(1, 'ProductSprint Backlog'!$J122-'ProductSprint Backlog'!$I122), AND('ProductSprint Backlog'!$J122=F$2,'ProductSprint Backlog'!$I122=F$2), 'ProductSprint Backlog'!$F122, TRUE, 0)</f>
        <v>0</v>
      </c>
      <c r="G122" s="4" cm="1">
        <f t="array" ref="G122">_xlfn.IFS('ProductSprint Backlog'!$F122="", "", AND('ProductSprint Backlog'!$J122&gt;G$2,'ProductSprint Backlog'!$I122&lt;=G$2), 'ProductSprint Backlog'!$F122 / MAX(1, 'ProductSprint Backlog'!$J122-'ProductSprint Backlog'!$I122), AND('ProductSprint Backlog'!$J122=G$2,'ProductSprint Backlog'!$I122=G$2), 'ProductSprint Backlog'!$F122, TRUE, 0)</f>
        <v>0</v>
      </c>
      <c r="H122" s="4" cm="1">
        <f t="array" ref="H122">_xlfn.IFS('ProductSprint Backlog'!$F122="", "", AND('ProductSprint Backlog'!$J122&gt;H$2,'ProductSprint Backlog'!$I122&lt;=H$2), 'ProductSprint Backlog'!$F122 / MAX(1, 'ProductSprint Backlog'!$J122-'ProductSprint Backlog'!$I122), AND('ProductSprint Backlog'!$J122=H$2,'ProductSprint Backlog'!$I122=H$2), 'ProductSprint Backlog'!$F122, TRUE, 0)</f>
        <v>0</v>
      </c>
      <c r="I122" s="4" cm="1">
        <f t="array" ref="I122">_xlfn.IFS('ProductSprint Backlog'!$F122="", "", AND('ProductSprint Backlog'!$J122&gt;I$2,'ProductSprint Backlog'!$I122&lt;=I$2), 'ProductSprint Backlog'!$F122 / MAX(1, 'ProductSprint Backlog'!$J122-'ProductSprint Backlog'!$I122), AND('ProductSprint Backlog'!$J122=I$2,'ProductSprint Backlog'!$I122=I$2), 'ProductSprint Backlog'!$F122, TRUE, 0)</f>
        <v>0</v>
      </c>
      <c r="J122" s="4" cm="1">
        <f t="array" ref="J122">_xlfn.IFS('ProductSprint Backlog'!$F122="", "", AND('ProductSprint Backlog'!$J122&gt;J$2,'ProductSprint Backlog'!$I122&lt;=J$2), 'ProductSprint Backlog'!$F122 / MAX(1, 'ProductSprint Backlog'!$J122-'ProductSprint Backlog'!$I122), AND('ProductSprint Backlog'!$J122=J$2,'ProductSprint Backlog'!$I122=J$2), 'ProductSprint Backlog'!$F122, TRUE, 0)</f>
        <v>0</v>
      </c>
      <c r="K122" s="4" cm="1">
        <f t="array" ref="K122">_xlfn.IFS('ProductSprint Backlog'!$F122="", "", AND('ProductSprint Backlog'!$J122&gt;K$2,'ProductSprint Backlog'!$I122&lt;=K$2), 'ProductSprint Backlog'!$F122 / MAX(1, 'ProductSprint Backlog'!$J122-'ProductSprint Backlog'!$I122), AND('ProductSprint Backlog'!$J122=K$2,'ProductSprint Backlog'!$I122=K$2), 'ProductSprint Backlog'!$F122, TRUE, 0)</f>
        <v>0</v>
      </c>
      <c r="L122" s="4" cm="1">
        <f t="array" ref="L122">_xlfn.IFS('ProductSprint Backlog'!$F122="", "", AND('ProductSprint Backlog'!$J122&gt;L$2,'ProductSprint Backlog'!$I122&lt;=L$2), 'ProductSprint Backlog'!$F122 / MAX(1, 'ProductSprint Backlog'!$J122-'ProductSprint Backlog'!$I122), AND('ProductSprint Backlog'!$J122=L$2,'ProductSprint Backlog'!$I122=L$2), 'ProductSprint Backlog'!$F122, TRUE, 0)</f>
        <v>0</v>
      </c>
      <c r="M122" s="4" cm="1">
        <f t="array" ref="M122">_xlfn.IFS('ProductSprint Backlog'!$F122="", "", AND('ProductSprint Backlog'!$J122&gt;M$2,'ProductSprint Backlog'!$I122&lt;=M$2), 'ProductSprint Backlog'!$F122 / MAX(1, 'ProductSprint Backlog'!$J122-'ProductSprint Backlog'!$I122), AND('ProductSprint Backlog'!$J122=M$2,'ProductSprint Backlog'!$I122=M$2), 'ProductSprint Backlog'!$F122, TRUE, 0)</f>
        <v>0</v>
      </c>
      <c r="N122" s="4" cm="1">
        <f t="array" ref="N122">_xlfn.IFS('ProductSprint Backlog'!$F122="", "", AND('ProductSprint Backlog'!$J122&gt;N$2,'ProductSprint Backlog'!$I122&lt;=N$2), 'ProductSprint Backlog'!$F122 / MAX(1, 'ProductSprint Backlog'!$J122-'ProductSprint Backlog'!$I122), AND('ProductSprint Backlog'!$J122=N$2,'ProductSprint Backlog'!$I122=N$2), 'ProductSprint Backlog'!$F122, TRUE, 0)</f>
        <v>0</v>
      </c>
      <c r="O122" s="4" cm="1">
        <f t="array" ref="O122">_xlfn.IFS('ProductSprint Backlog'!$F122="", "", AND('ProductSprint Backlog'!$J122&gt;O$2,'ProductSprint Backlog'!$I122&lt;=O$2), 'ProductSprint Backlog'!$F122 / MAX(1, 'ProductSprint Backlog'!$J122-'ProductSprint Backlog'!$I122), AND('ProductSprint Backlog'!$J122=O$2,'ProductSprint Backlog'!$I122=O$2), 'ProductSprint Backlog'!$F122, TRUE, 0)</f>
        <v>0</v>
      </c>
    </row>
    <row r="123" spans="2:15" x14ac:dyDescent="0.2">
      <c r="B123" s="4" cm="1">
        <f t="array" ref="B123">_xlfn.IFS('ProductSprint Backlog'!$F123="", "", AND('ProductSprint Backlog'!$J123&gt;B$2,'ProductSprint Backlog'!$I123&lt;=B$2), 'ProductSprint Backlog'!$F123 / MAX(1, 'ProductSprint Backlog'!$J123-'ProductSprint Backlog'!$I123), AND('ProductSprint Backlog'!$J123=B$2,'ProductSprint Backlog'!$I123=B$2), 'ProductSprint Backlog'!$F123, TRUE, 0)</f>
        <v>0</v>
      </c>
      <c r="C123" s="4" cm="1">
        <f t="array" ref="C123">_xlfn.IFS('ProductSprint Backlog'!$F123="", "", AND('ProductSprint Backlog'!$J123&gt;C$2,'ProductSprint Backlog'!$I123&lt;=C$2), 'ProductSprint Backlog'!$F123 / MAX(1, 'ProductSprint Backlog'!$J123-'ProductSprint Backlog'!$I123), AND('ProductSprint Backlog'!$J123=C$2,'ProductSprint Backlog'!$I123=C$2), 'ProductSprint Backlog'!$F123, TRUE, 0)</f>
        <v>0</v>
      </c>
      <c r="D123" s="4" cm="1">
        <f t="array" ref="D123">_xlfn.IFS('ProductSprint Backlog'!$F123="", "", AND('ProductSprint Backlog'!$J123&gt;D$2,'ProductSprint Backlog'!$I123&lt;=D$2), 'ProductSprint Backlog'!$F123 / MAX(1, 'ProductSprint Backlog'!$J123-'ProductSprint Backlog'!$I123), AND('ProductSprint Backlog'!$J123=D$2,'ProductSprint Backlog'!$I123=D$2), 'ProductSprint Backlog'!$F123, TRUE, 0)</f>
        <v>0</v>
      </c>
      <c r="E123" s="4" cm="1">
        <f t="array" ref="E123">_xlfn.IFS('ProductSprint Backlog'!$F123="", "", AND('ProductSprint Backlog'!$J123&gt;E$2,'ProductSprint Backlog'!$I123&lt;=E$2), 'ProductSprint Backlog'!$F123 / MAX(1, 'ProductSprint Backlog'!$J123-'ProductSprint Backlog'!$I123), AND('ProductSprint Backlog'!$J123=E$2,'ProductSprint Backlog'!$I123=E$2), 'ProductSprint Backlog'!$F123, TRUE, 0)</f>
        <v>0</v>
      </c>
      <c r="F123" s="4" cm="1">
        <f t="array" ref="F123">_xlfn.IFS('ProductSprint Backlog'!$F123="", "", AND('ProductSprint Backlog'!$J123&gt;F$2,'ProductSprint Backlog'!$I123&lt;=F$2), 'ProductSprint Backlog'!$F123 / MAX(1, 'ProductSprint Backlog'!$J123-'ProductSprint Backlog'!$I123), AND('ProductSprint Backlog'!$J123=F$2,'ProductSprint Backlog'!$I123=F$2), 'ProductSprint Backlog'!$F123, TRUE, 0)</f>
        <v>0</v>
      </c>
      <c r="G123" s="4" cm="1">
        <f t="array" ref="G123">_xlfn.IFS('ProductSprint Backlog'!$F123="", "", AND('ProductSprint Backlog'!$J123&gt;G$2,'ProductSprint Backlog'!$I123&lt;=G$2), 'ProductSprint Backlog'!$F123 / MAX(1, 'ProductSprint Backlog'!$J123-'ProductSprint Backlog'!$I123), AND('ProductSprint Backlog'!$J123=G$2,'ProductSprint Backlog'!$I123=G$2), 'ProductSprint Backlog'!$F123, TRUE, 0)</f>
        <v>0</v>
      </c>
      <c r="H123" s="4" cm="1">
        <f t="array" ref="H123">_xlfn.IFS('ProductSprint Backlog'!$F123="", "", AND('ProductSprint Backlog'!$J123&gt;H$2,'ProductSprint Backlog'!$I123&lt;=H$2), 'ProductSprint Backlog'!$F123 / MAX(1, 'ProductSprint Backlog'!$J123-'ProductSprint Backlog'!$I123), AND('ProductSprint Backlog'!$J123=H$2,'ProductSprint Backlog'!$I123=H$2), 'ProductSprint Backlog'!$F123, TRUE, 0)</f>
        <v>0</v>
      </c>
      <c r="I123" s="4" cm="1">
        <f t="array" ref="I123">_xlfn.IFS('ProductSprint Backlog'!$F123="", "", AND('ProductSprint Backlog'!$J123&gt;I$2,'ProductSprint Backlog'!$I123&lt;=I$2), 'ProductSprint Backlog'!$F123 / MAX(1, 'ProductSprint Backlog'!$J123-'ProductSprint Backlog'!$I123), AND('ProductSprint Backlog'!$J123=I$2,'ProductSprint Backlog'!$I123=I$2), 'ProductSprint Backlog'!$F123, TRUE, 0)</f>
        <v>0</v>
      </c>
      <c r="J123" s="4" cm="1">
        <f t="array" ref="J123">_xlfn.IFS('ProductSprint Backlog'!$F123="", "", AND('ProductSprint Backlog'!$J123&gt;J$2,'ProductSprint Backlog'!$I123&lt;=J$2), 'ProductSprint Backlog'!$F123 / MAX(1, 'ProductSprint Backlog'!$J123-'ProductSprint Backlog'!$I123), AND('ProductSprint Backlog'!$J123=J$2,'ProductSprint Backlog'!$I123=J$2), 'ProductSprint Backlog'!$F123, TRUE, 0)</f>
        <v>0</v>
      </c>
      <c r="K123" s="4" cm="1">
        <f t="array" ref="K123">_xlfn.IFS('ProductSprint Backlog'!$F123="", "", AND('ProductSprint Backlog'!$J123&gt;K$2,'ProductSprint Backlog'!$I123&lt;=K$2), 'ProductSprint Backlog'!$F123 / MAX(1, 'ProductSprint Backlog'!$J123-'ProductSprint Backlog'!$I123), AND('ProductSprint Backlog'!$J123=K$2,'ProductSprint Backlog'!$I123=K$2), 'ProductSprint Backlog'!$F123, TRUE, 0)</f>
        <v>0</v>
      </c>
      <c r="L123" s="4" cm="1">
        <f t="array" ref="L123">_xlfn.IFS('ProductSprint Backlog'!$F123="", "", AND('ProductSprint Backlog'!$J123&gt;L$2,'ProductSprint Backlog'!$I123&lt;=L$2), 'ProductSprint Backlog'!$F123 / MAX(1, 'ProductSprint Backlog'!$J123-'ProductSprint Backlog'!$I123), AND('ProductSprint Backlog'!$J123=L$2,'ProductSprint Backlog'!$I123=L$2), 'ProductSprint Backlog'!$F123, TRUE, 0)</f>
        <v>0</v>
      </c>
      <c r="M123" s="4" cm="1">
        <f t="array" ref="M123">_xlfn.IFS('ProductSprint Backlog'!$F123="", "", AND('ProductSprint Backlog'!$J123&gt;M$2,'ProductSprint Backlog'!$I123&lt;=M$2), 'ProductSprint Backlog'!$F123 / MAX(1, 'ProductSprint Backlog'!$J123-'ProductSprint Backlog'!$I123), AND('ProductSprint Backlog'!$J123=M$2,'ProductSprint Backlog'!$I123=M$2), 'ProductSprint Backlog'!$F123, TRUE, 0)</f>
        <v>0</v>
      </c>
      <c r="N123" s="4" cm="1">
        <f t="array" ref="N123">_xlfn.IFS('ProductSprint Backlog'!$F123="", "", AND('ProductSprint Backlog'!$J123&gt;N$2,'ProductSprint Backlog'!$I123&lt;=N$2), 'ProductSprint Backlog'!$F123 / MAX(1, 'ProductSprint Backlog'!$J123-'ProductSprint Backlog'!$I123), AND('ProductSprint Backlog'!$J123=N$2,'ProductSprint Backlog'!$I123=N$2), 'ProductSprint Backlog'!$F123, TRUE, 0)</f>
        <v>0</v>
      </c>
      <c r="O123" s="4" cm="1">
        <f t="array" ref="O123">_xlfn.IFS('ProductSprint Backlog'!$F123="", "", AND('ProductSprint Backlog'!$J123&gt;O$2,'ProductSprint Backlog'!$I123&lt;=O$2), 'ProductSprint Backlog'!$F123 / MAX(1, 'ProductSprint Backlog'!$J123-'ProductSprint Backlog'!$I123), AND('ProductSprint Backlog'!$J123=O$2,'ProductSprint Backlog'!$I123=O$2), 'ProductSprint Backlog'!$F123, TRUE, 0)</f>
        <v>0</v>
      </c>
    </row>
    <row r="124" spans="2:15" x14ac:dyDescent="0.2">
      <c r="B124" s="4" t="str" cm="1">
        <f t="array" ref="B124">_xlfn.IFS('ProductSprint Backlog'!$F124="", "", AND('ProductSprint Backlog'!$J124&gt;B$2,'ProductSprint Backlog'!$I124&lt;=B$2), 'ProductSprint Backlog'!$F124 / MAX(1, 'ProductSprint Backlog'!$J124-'ProductSprint Backlog'!$I124), AND('ProductSprint Backlog'!$J124=B$2,'ProductSprint Backlog'!$I124=B$2), 'ProductSprint Backlog'!$F124, TRUE, 0)</f>
        <v/>
      </c>
      <c r="C124" s="4" t="str" cm="1">
        <f t="array" ref="C124">_xlfn.IFS('ProductSprint Backlog'!$F124="", "", AND('ProductSprint Backlog'!$J124&gt;C$2,'ProductSprint Backlog'!$I124&lt;=C$2), 'ProductSprint Backlog'!$F124 / MAX(1, 'ProductSprint Backlog'!$J124-'ProductSprint Backlog'!$I124), AND('ProductSprint Backlog'!$J124=C$2,'ProductSprint Backlog'!$I124=C$2), 'ProductSprint Backlog'!$F124, TRUE, 0)</f>
        <v/>
      </c>
      <c r="D124" s="4" t="str" cm="1">
        <f t="array" ref="D124">_xlfn.IFS('ProductSprint Backlog'!$F124="", "", AND('ProductSprint Backlog'!$J124&gt;D$2,'ProductSprint Backlog'!$I124&lt;=D$2), 'ProductSprint Backlog'!$F124 / MAX(1, 'ProductSprint Backlog'!$J124-'ProductSprint Backlog'!$I124), AND('ProductSprint Backlog'!$J124=D$2,'ProductSprint Backlog'!$I124=D$2), 'ProductSprint Backlog'!$F124, TRUE, 0)</f>
        <v/>
      </c>
      <c r="E124" s="4" t="str" cm="1">
        <f t="array" ref="E124">_xlfn.IFS('ProductSprint Backlog'!$F124="", "", AND('ProductSprint Backlog'!$J124&gt;E$2,'ProductSprint Backlog'!$I124&lt;=E$2), 'ProductSprint Backlog'!$F124 / MAX(1, 'ProductSprint Backlog'!$J124-'ProductSprint Backlog'!$I124), AND('ProductSprint Backlog'!$J124=E$2,'ProductSprint Backlog'!$I124=E$2), 'ProductSprint Backlog'!$F124, TRUE, 0)</f>
        <v/>
      </c>
      <c r="F124" s="4" t="str" cm="1">
        <f t="array" ref="F124">_xlfn.IFS('ProductSprint Backlog'!$F124="", "", AND('ProductSprint Backlog'!$J124&gt;F$2,'ProductSprint Backlog'!$I124&lt;=F$2), 'ProductSprint Backlog'!$F124 / MAX(1, 'ProductSprint Backlog'!$J124-'ProductSprint Backlog'!$I124), AND('ProductSprint Backlog'!$J124=F$2,'ProductSprint Backlog'!$I124=F$2), 'ProductSprint Backlog'!$F124, TRUE, 0)</f>
        <v/>
      </c>
      <c r="G124" s="4" t="str" cm="1">
        <f t="array" ref="G124">_xlfn.IFS('ProductSprint Backlog'!$F124="", "", AND('ProductSprint Backlog'!$J124&gt;G$2,'ProductSprint Backlog'!$I124&lt;=G$2), 'ProductSprint Backlog'!$F124 / MAX(1, 'ProductSprint Backlog'!$J124-'ProductSprint Backlog'!$I124), AND('ProductSprint Backlog'!$J124=G$2,'ProductSprint Backlog'!$I124=G$2), 'ProductSprint Backlog'!$F124, TRUE, 0)</f>
        <v/>
      </c>
      <c r="H124" s="4" t="str" cm="1">
        <f t="array" ref="H124">_xlfn.IFS('ProductSprint Backlog'!$F124="", "", AND('ProductSprint Backlog'!$J124&gt;H$2,'ProductSprint Backlog'!$I124&lt;=H$2), 'ProductSprint Backlog'!$F124 / MAX(1, 'ProductSprint Backlog'!$J124-'ProductSprint Backlog'!$I124), AND('ProductSprint Backlog'!$J124=H$2,'ProductSprint Backlog'!$I124=H$2), 'ProductSprint Backlog'!$F124, TRUE, 0)</f>
        <v/>
      </c>
      <c r="I124" s="4" t="str" cm="1">
        <f t="array" ref="I124">_xlfn.IFS('ProductSprint Backlog'!$F124="", "", AND('ProductSprint Backlog'!$J124&gt;I$2,'ProductSprint Backlog'!$I124&lt;=I$2), 'ProductSprint Backlog'!$F124 / MAX(1, 'ProductSprint Backlog'!$J124-'ProductSprint Backlog'!$I124), AND('ProductSprint Backlog'!$J124=I$2,'ProductSprint Backlog'!$I124=I$2), 'ProductSprint Backlog'!$F124, TRUE, 0)</f>
        <v/>
      </c>
      <c r="J124" s="4" t="str" cm="1">
        <f t="array" ref="J124">_xlfn.IFS('ProductSprint Backlog'!$F124="", "", AND('ProductSprint Backlog'!$J124&gt;J$2,'ProductSprint Backlog'!$I124&lt;=J$2), 'ProductSprint Backlog'!$F124 / MAX(1, 'ProductSprint Backlog'!$J124-'ProductSprint Backlog'!$I124), AND('ProductSprint Backlog'!$J124=J$2,'ProductSprint Backlog'!$I124=J$2), 'ProductSprint Backlog'!$F124, TRUE, 0)</f>
        <v/>
      </c>
      <c r="K124" s="4" t="str" cm="1">
        <f t="array" ref="K124">_xlfn.IFS('ProductSprint Backlog'!$F124="", "", AND('ProductSprint Backlog'!$J124&gt;K$2,'ProductSprint Backlog'!$I124&lt;=K$2), 'ProductSprint Backlog'!$F124 / MAX(1, 'ProductSprint Backlog'!$J124-'ProductSprint Backlog'!$I124), AND('ProductSprint Backlog'!$J124=K$2,'ProductSprint Backlog'!$I124=K$2), 'ProductSprint Backlog'!$F124, TRUE, 0)</f>
        <v/>
      </c>
      <c r="L124" s="4" t="str" cm="1">
        <f t="array" ref="L124">_xlfn.IFS('ProductSprint Backlog'!$F124="", "", AND('ProductSprint Backlog'!$J124&gt;L$2,'ProductSprint Backlog'!$I124&lt;=L$2), 'ProductSprint Backlog'!$F124 / MAX(1, 'ProductSprint Backlog'!$J124-'ProductSprint Backlog'!$I124), AND('ProductSprint Backlog'!$J124=L$2,'ProductSprint Backlog'!$I124=L$2), 'ProductSprint Backlog'!$F124, TRUE, 0)</f>
        <v/>
      </c>
      <c r="M124" s="4" t="str" cm="1">
        <f t="array" ref="M124">_xlfn.IFS('ProductSprint Backlog'!$F124="", "", AND('ProductSprint Backlog'!$J124&gt;M$2,'ProductSprint Backlog'!$I124&lt;=M$2), 'ProductSprint Backlog'!$F124 / MAX(1, 'ProductSprint Backlog'!$J124-'ProductSprint Backlog'!$I124), AND('ProductSprint Backlog'!$J124=M$2,'ProductSprint Backlog'!$I124=M$2), 'ProductSprint Backlog'!$F124, TRUE, 0)</f>
        <v/>
      </c>
      <c r="N124" s="4" t="str" cm="1">
        <f t="array" ref="N124">_xlfn.IFS('ProductSprint Backlog'!$F124="", "", AND('ProductSprint Backlog'!$J124&gt;N$2,'ProductSprint Backlog'!$I124&lt;=N$2), 'ProductSprint Backlog'!$F124 / MAX(1, 'ProductSprint Backlog'!$J124-'ProductSprint Backlog'!$I124), AND('ProductSprint Backlog'!$J124=N$2,'ProductSprint Backlog'!$I124=N$2), 'ProductSprint Backlog'!$F124, TRUE, 0)</f>
        <v/>
      </c>
      <c r="O124" s="4" t="str" cm="1">
        <f t="array" ref="O124">_xlfn.IFS('ProductSprint Backlog'!$F124="", "", AND('ProductSprint Backlog'!$J124&gt;O$2,'ProductSprint Backlog'!$I124&lt;=O$2), 'ProductSprint Backlog'!$F124 / MAX(1, 'ProductSprint Backlog'!$J124-'ProductSprint Backlog'!$I124), AND('ProductSprint Backlog'!$J124=O$2,'ProductSprint Backlog'!$I124=O$2), 'ProductSprint Backlog'!$F124, TRUE, 0)</f>
        <v/>
      </c>
    </row>
    <row r="125" spans="2:15" x14ac:dyDescent="0.2">
      <c r="B125" s="4" cm="1">
        <f t="array" ref="B125">_xlfn.IFS('ProductSprint Backlog'!$F125="", "", AND('ProductSprint Backlog'!$J125&gt;B$2,'ProductSprint Backlog'!$I125&lt;=B$2), 'ProductSprint Backlog'!$F125 / MAX(1, 'ProductSprint Backlog'!$J125-'ProductSprint Backlog'!$I125), AND('ProductSprint Backlog'!$J125=B$2,'ProductSprint Backlog'!$I125=B$2), 'ProductSprint Backlog'!$F125, TRUE, 0)</f>
        <v>0</v>
      </c>
      <c r="C125" s="4" cm="1">
        <f t="array" ref="C125">_xlfn.IFS('ProductSprint Backlog'!$F125="", "", AND('ProductSprint Backlog'!$J125&gt;C$2,'ProductSprint Backlog'!$I125&lt;=C$2), 'ProductSprint Backlog'!$F125 / MAX(1, 'ProductSprint Backlog'!$J125-'ProductSprint Backlog'!$I125), AND('ProductSprint Backlog'!$J125=C$2,'ProductSprint Backlog'!$I125=C$2), 'ProductSprint Backlog'!$F125, TRUE, 0)</f>
        <v>0</v>
      </c>
      <c r="D125" s="4" cm="1">
        <f t="array" ref="D125">_xlfn.IFS('ProductSprint Backlog'!$F125="", "", AND('ProductSprint Backlog'!$J125&gt;D$2,'ProductSprint Backlog'!$I125&lt;=D$2), 'ProductSprint Backlog'!$F125 / MAX(1, 'ProductSprint Backlog'!$J125-'ProductSprint Backlog'!$I125), AND('ProductSprint Backlog'!$J125=D$2,'ProductSprint Backlog'!$I125=D$2), 'ProductSprint Backlog'!$F125, TRUE, 0)</f>
        <v>0</v>
      </c>
      <c r="E125" s="4" cm="1">
        <f t="array" ref="E125">_xlfn.IFS('ProductSprint Backlog'!$F125="", "", AND('ProductSprint Backlog'!$J125&gt;E$2,'ProductSprint Backlog'!$I125&lt;=E$2), 'ProductSprint Backlog'!$F125 / MAX(1, 'ProductSprint Backlog'!$J125-'ProductSprint Backlog'!$I125), AND('ProductSprint Backlog'!$J125=E$2,'ProductSprint Backlog'!$I125=E$2), 'ProductSprint Backlog'!$F125, TRUE, 0)</f>
        <v>0</v>
      </c>
      <c r="F125" s="4" cm="1">
        <f t="array" ref="F125">_xlfn.IFS('ProductSprint Backlog'!$F125="", "", AND('ProductSprint Backlog'!$J125&gt;F$2,'ProductSprint Backlog'!$I125&lt;=F$2), 'ProductSprint Backlog'!$F125 / MAX(1, 'ProductSprint Backlog'!$J125-'ProductSprint Backlog'!$I125), AND('ProductSprint Backlog'!$J125=F$2,'ProductSprint Backlog'!$I125=F$2), 'ProductSprint Backlog'!$F125, TRUE, 0)</f>
        <v>0</v>
      </c>
      <c r="G125" s="4" cm="1">
        <f t="array" ref="G125">_xlfn.IFS('ProductSprint Backlog'!$F125="", "", AND('ProductSprint Backlog'!$J125&gt;G$2,'ProductSprint Backlog'!$I125&lt;=G$2), 'ProductSprint Backlog'!$F125 / MAX(1, 'ProductSprint Backlog'!$J125-'ProductSprint Backlog'!$I125), AND('ProductSprint Backlog'!$J125=G$2,'ProductSprint Backlog'!$I125=G$2), 'ProductSprint Backlog'!$F125, TRUE, 0)</f>
        <v>0</v>
      </c>
      <c r="H125" s="4" cm="1">
        <f t="array" ref="H125">_xlfn.IFS('ProductSprint Backlog'!$F125="", "", AND('ProductSprint Backlog'!$J125&gt;H$2,'ProductSprint Backlog'!$I125&lt;=H$2), 'ProductSprint Backlog'!$F125 / MAX(1, 'ProductSprint Backlog'!$J125-'ProductSprint Backlog'!$I125), AND('ProductSprint Backlog'!$J125=H$2,'ProductSprint Backlog'!$I125=H$2), 'ProductSprint Backlog'!$F125, TRUE, 0)</f>
        <v>0</v>
      </c>
      <c r="I125" s="4" cm="1">
        <f t="array" ref="I125">_xlfn.IFS('ProductSprint Backlog'!$F125="", "", AND('ProductSprint Backlog'!$J125&gt;I$2,'ProductSprint Backlog'!$I125&lt;=I$2), 'ProductSprint Backlog'!$F125 / MAX(1, 'ProductSprint Backlog'!$J125-'ProductSprint Backlog'!$I125), AND('ProductSprint Backlog'!$J125=I$2,'ProductSprint Backlog'!$I125=I$2), 'ProductSprint Backlog'!$F125, TRUE, 0)</f>
        <v>0</v>
      </c>
      <c r="J125" s="4" cm="1">
        <f t="array" ref="J125">_xlfn.IFS('ProductSprint Backlog'!$F125="", "", AND('ProductSprint Backlog'!$J125&gt;J$2,'ProductSprint Backlog'!$I125&lt;=J$2), 'ProductSprint Backlog'!$F125 / MAX(1, 'ProductSprint Backlog'!$J125-'ProductSprint Backlog'!$I125), AND('ProductSprint Backlog'!$J125=J$2,'ProductSprint Backlog'!$I125=J$2), 'ProductSprint Backlog'!$F125, TRUE, 0)</f>
        <v>0</v>
      </c>
      <c r="K125" s="4" cm="1">
        <f t="array" ref="K125">_xlfn.IFS('ProductSprint Backlog'!$F125="", "", AND('ProductSprint Backlog'!$J125&gt;K$2,'ProductSprint Backlog'!$I125&lt;=K$2), 'ProductSprint Backlog'!$F125 / MAX(1, 'ProductSprint Backlog'!$J125-'ProductSprint Backlog'!$I125), AND('ProductSprint Backlog'!$J125=K$2,'ProductSprint Backlog'!$I125=K$2), 'ProductSprint Backlog'!$F125, TRUE, 0)</f>
        <v>0</v>
      </c>
      <c r="L125" s="4" cm="1">
        <f t="array" ref="L125">_xlfn.IFS('ProductSprint Backlog'!$F125="", "", AND('ProductSprint Backlog'!$J125&gt;L$2,'ProductSprint Backlog'!$I125&lt;=L$2), 'ProductSprint Backlog'!$F125 / MAX(1, 'ProductSprint Backlog'!$J125-'ProductSprint Backlog'!$I125), AND('ProductSprint Backlog'!$J125=L$2,'ProductSprint Backlog'!$I125=L$2), 'ProductSprint Backlog'!$F125, TRUE, 0)</f>
        <v>0</v>
      </c>
      <c r="M125" s="4" cm="1">
        <f t="array" ref="M125">_xlfn.IFS('ProductSprint Backlog'!$F125="", "", AND('ProductSprint Backlog'!$J125&gt;M$2,'ProductSprint Backlog'!$I125&lt;=M$2), 'ProductSprint Backlog'!$F125 / MAX(1, 'ProductSprint Backlog'!$J125-'ProductSprint Backlog'!$I125), AND('ProductSprint Backlog'!$J125=M$2,'ProductSprint Backlog'!$I125=M$2), 'ProductSprint Backlog'!$F125, TRUE, 0)</f>
        <v>0</v>
      </c>
      <c r="N125" s="4" cm="1">
        <f t="array" ref="N125">_xlfn.IFS('ProductSprint Backlog'!$F125="", "", AND('ProductSprint Backlog'!$J125&gt;N$2,'ProductSprint Backlog'!$I125&lt;=N$2), 'ProductSprint Backlog'!$F125 / MAX(1, 'ProductSprint Backlog'!$J125-'ProductSprint Backlog'!$I125), AND('ProductSprint Backlog'!$J125=N$2,'ProductSprint Backlog'!$I125=N$2), 'ProductSprint Backlog'!$F125, TRUE, 0)</f>
        <v>0</v>
      </c>
      <c r="O125" s="4" cm="1">
        <f t="array" ref="O125">_xlfn.IFS('ProductSprint Backlog'!$F125="", "", AND('ProductSprint Backlog'!$J125&gt;O$2,'ProductSprint Backlog'!$I125&lt;=O$2), 'ProductSprint Backlog'!$F125 / MAX(1, 'ProductSprint Backlog'!$J125-'ProductSprint Backlog'!$I125), AND('ProductSprint Backlog'!$J125=O$2,'ProductSprint Backlog'!$I125=O$2), 'ProductSprint Backlog'!$F125, TRUE, 0)</f>
        <v>0</v>
      </c>
    </row>
    <row r="126" spans="2:15" x14ac:dyDescent="0.2">
      <c r="B126" s="4" cm="1">
        <f t="array" ref="B126">_xlfn.IFS('ProductSprint Backlog'!$F126="", "", AND('ProductSprint Backlog'!$J126&gt;B$2,'ProductSprint Backlog'!$I126&lt;=B$2), 'ProductSprint Backlog'!$F126 / MAX(1, 'ProductSprint Backlog'!$J126-'ProductSprint Backlog'!$I126), AND('ProductSprint Backlog'!$J126=B$2,'ProductSprint Backlog'!$I126=B$2), 'ProductSprint Backlog'!$F126, TRUE, 0)</f>
        <v>0</v>
      </c>
      <c r="C126" s="4" cm="1">
        <f t="array" ref="C126">_xlfn.IFS('ProductSprint Backlog'!$F126="", "", AND('ProductSprint Backlog'!$J126&gt;C$2,'ProductSprint Backlog'!$I126&lt;=C$2), 'ProductSprint Backlog'!$F126 / MAX(1, 'ProductSprint Backlog'!$J126-'ProductSprint Backlog'!$I126), AND('ProductSprint Backlog'!$J126=C$2,'ProductSprint Backlog'!$I126=C$2), 'ProductSprint Backlog'!$F126, TRUE, 0)</f>
        <v>0</v>
      </c>
      <c r="D126" s="4" cm="1">
        <f t="array" ref="D126">_xlfn.IFS('ProductSprint Backlog'!$F126="", "", AND('ProductSprint Backlog'!$J126&gt;D$2,'ProductSprint Backlog'!$I126&lt;=D$2), 'ProductSprint Backlog'!$F126 / MAX(1, 'ProductSprint Backlog'!$J126-'ProductSprint Backlog'!$I126), AND('ProductSprint Backlog'!$J126=D$2,'ProductSprint Backlog'!$I126=D$2), 'ProductSprint Backlog'!$F126, TRUE, 0)</f>
        <v>0</v>
      </c>
      <c r="E126" s="4" cm="1">
        <f t="array" ref="E126">_xlfn.IFS('ProductSprint Backlog'!$F126="", "", AND('ProductSprint Backlog'!$J126&gt;E$2,'ProductSprint Backlog'!$I126&lt;=E$2), 'ProductSprint Backlog'!$F126 / MAX(1, 'ProductSprint Backlog'!$J126-'ProductSprint Backlog'!$I126), AND('ProductSprint Backlog'!$J126=E$2,'ProductSprint Backlog'!$I126=E$2), 'ProductSprint Backlog'!$F126, TRUE, 0)</f>
        <v>0</v>
      </c>
      <c r="F126" s="4" cm="1">
        <f t="array" ref="F126">_xlfn.IFS('ProductSprint Backlog'!$F126="", "", AND('ProductSprint Backlog'!$J126&gt;F$2,'ProductSprint Backlog'!$I126&lt;=F$2), 'ProductSprint Backlog'!$F126 / MAX(1, 'ProductSprint Backlog'!$J126-'ProductSprint Backlog'!$I126), AND('ProductSprint Backlog'!$J126=F$2,'ProductSprint Backlog'!$I126=F$2), 'ProductSprint Backlog'!$F126, TRUE, 0)</f>
        <v>0</v>
      </c>
      <c r="G126" s="4" cm="1">
        <f t="array" ref="G126">_xlfn.IFS('ProductSprint Backlog'!$F126="", "", AND('ProductSprint Backlog'!$J126&gt;G$2,'ProductSprint Backlog'!$I126&lt;=G$2), 'ProductSprint Backlog'!$F126 / MAX(1, 'ProductSprint Backlog'!$J126-'ProductSprint Backlog'!$I126), AND('ProductSprint Backlog'!$J126=G$2,'ProductSprint Backlog'!$I126=G$2), 'ProductSprint Backlog'!$F126, TRUE, 0)</f>
        <v>0</v>
      </c>
      <c r="H126" s="4" cm="1">
        <f t="array" ref="H126">_xlfn.IFS('ProductSprint Backlog'!$F126="", "", AND('ProductSprint Backlog'!$J126&gt;H$2,'ProductSprint Backlog'!$I126&lt;=H$2), 'ProductSprint Backlog'!$F126 / MAX(1, 'ProductSprint Backlog'!$J126-'ProductSprint Backlog'!$I126), AND('ProductSprint Backlog'!$J126=H$2,'ProductSprint Backlog'!$I126=H$2), 'ProductSprint Backlog'!$F126, TRUE, 0)</f>
        <v>0</v>
      </c>
      <c r="I126" s="4" cm="1">
        <f t="array" ref="I126">_xlfn.IFS('ProductSprint Backlog'!$F126="", "", AND('ProductSprint Backlog'!$J126&gt;I$2,'ProductSprint Backlog'!$I126&lt;=I$2), 'ProductSprint Backlog'!$F126 / MAX(1, 'ProductSprint Backlog'!$J126-'ProductSprint Backlog'!$I126), AND('ProductSprint Backlog'!$J126=I$2,'ProductSprint Backlog'!$I126=I$2), 'ProductSprint Backlog'!$F126, TRUE, 0)</f>
        <v>0</v>
      </c>
      <c r="J126" s="4" cm="1">
        <f t="array" ref="J126">_xlfn.IFS('ProductSprint Backlog'!$F126="", "", AND('ProductSprint Backlog'!$J126&gt;J$2,'ProductSprint Backlog'!$I126&lt;=J$2), 'ProductSprint Backlog'!$F126 / MAX(1, 'ProductSprint Backlog'!$J126-'ProductSprint Backlog'!$I126), AND('ProductSprint Backlog'!$J126=J$2,'ProductSprint Backlog'!$I126=J$2), 'ProductSprint Backlog'!$F126, TRUE, 0)</f>
        <v>0</v>
      </c>
      <c r="K126" s="4" cm="1">
        <f t="array" ref="K126">_xlfn.IFS('ProductSprint Backlog'!$F126="", "", AND('ProductSprint Backlog'!$J126&gt;K$2,'ProductSprint Backlog'!$I126&lt;=K$2), 'ProductSprint Backlog'!$F126 / MAX(1, 'ProductSprint Backlog'!$J126-'ProductSprint Backlog'!$I126), AND('ProductSprint Backlog'!$J126=K$2,'ProductSprint Backlog'!$I126=K$2), 'ProductSprint Backlog'!$F126, TRUE, 0)</f>
        <v>0</v>
      </c>
      <c r="L126" s="4" cm="1">
        <f t="array" ref="L126">_xlfn.IFS('ProductSprint Backlog'!$F126="", "", AND('ProductSprint Backlog'!$J126&gt;L$2,'ProductSprint Backlog'!$I126&lt;=L$2), 'ProductSprint Backlog'!$F126 / MAX(1, 'ProductSprint Backlog'!$J126-'ProductSprint Backlog'!$I126), AND('ProductSprint Backlog'!$J126=L$2,'ProductSprint Backlog'!$I126=L$2), 'ProductSprint Backlog'!$F126, TRUE, 0)</f>
        <v>0</v>
      </c>
      <c r="M126" s="4" cm="1">
        <f t="array" ref="M126">_xlfn.IFS('ProductSprint Backlog'!$F126="", "", AND('ProductSprint Backlog'!$J126&gt;M$2,'ProductSprint Backlog'!$I126&lt;=M$2), 'ProductSprint Backlog'!$F126 / MAX(1, 'ProductSprint Backlog'!$J126-'ProductSprint Backlog'!$I126), AND('ProductSprint Backlog'!$J126=M$2,'ProductSprint Backlog'!$I126=M$2), 'ProductSprint Backlog'!$F126, TRUE, 0)</f>
        <v>0</v>
      </c>
      <c r="N126" s="4" cm="1">
        <f t="array" ref="N126">_xlfn.IFS('ProductSprint Backlog'!$F126="", "", AND('ProductSprint Backlog'!$J126&gt;N$2,'ProductSprint Backlog'!$I126&lt;=N$2), 'ProductSprint Backlog'!$F126 / MAX(1, 'ProductSprint Backlog'!$J126-'ProductSprint Backlog'!$I126), AND('ProductSprint Backlog'!$J126=N$2,'ProductSprint Backlog'!$I126=N$2), 'ProductSprint Backlog'!$F126, TRUE, 0)</f>
        <v>0</v>
      </c>
      <c r="O126" s="4" cm="1">
        <f t="array" ref="O126">_xlfn.IFS('ProductSprint Backlog'!$F126="", "", AND('ProductSprint Backlog'!$J126&gt;O$2,'ProductSprint Backlog'!$I126&lt;=O$2), 'ProductSprint Backlog'!$F126 / MAX(1, 'ProductSprint Backlog'!$J126-'ProductSprint Backlog'!$I126), AND('ProductSprint Backlog'!$J126=O$2,'ProductSprint Backlog'!$I126=O$2), 'ProductSprint Backlog'!$F126, TRUE, 0)</f>
        <v>0</v>
      </c>
    </row>
    <row r="127" spans="2:15" x14ac:dyDescent="0.2">
      <c r="B127" s="4" cm="1">
        <f t="array" ref="B127">_xlfn.IFS('ProductSprint Backlog'!$F127="", "", AND('ProductSprint Backlog'!$J127&gt;B$2,'ProductSprint Backlog'!$I127&lt;=B$2), 'ProductSprint Backlog'!$F127 / MAX(1, 'ProductSprint Backlog'!$J127-'ProductSprint Backlog'!$I127), AND('ProductSprint Backlog'!$J127=B$2,'ProductSprint Backlog'!$I127=B$2), 'ProductSprint Backlog'!$F127, TRUE, 0)</f>
        <v>0</v>
      </c>
      <c r="C127" s="4" cm="1">
        <f t="array" ref="C127">_xlfn.IFS('ProductSprint Backlog'!$F127="", "", AND('ProductSprint Backlog'!$J127&gt;C$2,'ProductSprint Backlog'!$I127&lt;=C$2), 'ProductSprint Backlog'!$F127 / MAX(1, 'ProductSprint Backlog'!$J127-'ProductSprint Backlog'!$I127), AND('ProductSprint Backlog'!$J127=C$2,'ProductSprint Backlog'!$I127=C$2), 'ProductSprint Backlog'!$F127, TRUE, 0)</f>
        <v>0</v>
      </c>
      <c r="D127" s="4" cm="1">
        <f t="array" ref="D127">_xlfn.IFS('ProductSprint Backlog'!$F127="", "", AND('ProductSprint Backlog'!$J127&gt;D$2,'ProductSprint Backlog'!$I127&lt;=D$2), 'ProductSprint Backlog'!$F127 / MAX(1, 'ProductSprint Backlog'!$J127-'ProductSprint Backlog'!$I127), AND('ProductSprint Backlog'!$J127=D$2,'ProductSprint Backlog'!$I127=D$2), 'ProductSprint Backlog'!$F127, TRUE, 0)</f>
        <v>0</v>
      </c>
      <c r="E127" s="4" cm="1">
        <f t="array" ref="E127">_xlfn.IFS('ProductSprint Backlog'!$F127="", "", AND('ProductSprint Backlog'!$J127&gt;E$2,'ProductSprint Backlog'!$I127&lt;=E$2), 'ProductSprint Backlog'!$F127 / MAX(1, 'ProductSprint Backlog'!$J127-'ProductSprint Backlog'!$I127), AND('ProductSprint Backlog'!$J127=E$2,'ProductSprint Backlog'!$I127=E$2), 'ProductSprint Backlog'!$F127, TRUE, 0)</f>
        <v>0</v>
      </c>
      <c r="F127" s="4" cm="1">
        <f t="array" ref="F127">_xlfn.IFS('ProductSprint Backlog'!$F127="", "", AND('ProductSprint Backlog'!$J127&gt;F$2,'ProductSprint Backlog'!$I127&lt;=F$2), 'ProductSprint Backlog'!$F127 / MAX(1, 'ProductSprint Backlog'!$J127-'ProductSprint Backlog'!$I127), AND('ProductSprint Backlog'!$J127=F$2,'ProductSprint Backlog'!$I127=F$2), 'ProductSprint Backlog'!$F127, TRUE, 0)</f>
        <v>0</v>
      </c>
      <c r="G127" s="4" cm="1">
        <f t="array" ref="G127">_xlfn.IFS('ProductSprint Backlog'!$F127="", "", AND('ProductSprint Backlog'!$J127&gt;G$2,'ProductSprint Backlog'!$I127&lt;=G$2), 'ProductSprint Backlog'!$F127 / MAX(1, 'ProductSprint Backlog'!$J127-'ProductSprint Backlog'!$I127), AND('ProductSprint Backlog'!$J127=G$2,'ProductSprint Backlog'!$I127=G$2), 'ProductSprint Backlog'!$F127, TRUE, 0)</f>
        <v>0</v>
      </c>
      <c r="H127" s="4" cm="1">
        <f t="array" ref="H127">_xlfn.IFS('ProductSprint Backlog'!$F127="", "", AND('ProductSprint Backlog'!$J127&gt;H$2,'ProductSprint Backlog'!$I127&lt;=H$2), 'ProductSprint Backlog'!$F127 / MAX(1, 'ProductSprint Backlog'!$J127-'ProductSprint Backlog'!$I127), AND('ProductSprint Backlog'!$J127=H$2,'ProductSprint Backlog'!$I127=H$2), 'ProductSprint Backlog'!$F127, TRUE, 0)</f>
        <v>0</v>
      </c>
      <c r="I127" s="4" cm="1">
        <f t="array" ref="I127">_xlfn.IFS('ProductSprint Backlog'!$F127="", "", AND('ProductSprint Backlog'!$J127&gt;I$2,'ProductSprint Backlog'!$I127&lt;=I$2), 'ProductSprint Backlog'!$F127 / MAX(1, 'ProductSprint Backlog'!$J127-'ProductSprint Backlog'!$I127), AND('ProductSprint Backlog'!$J127=I$2,'ProductSprint Backlog'!$I127=I$2), 'ProductSprint Backlog'!$F127, TRUE, 0)</f>
        <v>0</v>
      </c>
      <c r="J127" s="4" cm="1">
        <f t="array" ref="J127">_xlfn.IFS('ProductSprint Backlog'!$F127="", "", AND('ProductSprint Backlog'!$J127&gt;J$2,'ProductSprint Backlog'!$I127&lt;=J$2), 'ProductSprint Backlog'!$F127 / MAX(1, 'ProductSprint Backlog'!$J127-'ProductSprint Backlog'!$I127), AND('ProductSprint Backlog'!$J127=J$2,'ProductSprint Backlog'!$I127=J$2), 'ProductSprint Backlog'!$F127, TRUE, 0)</f>
        <v>0</v>
      </c>
      <c r="K127" s="4" cm="1">
        <f t="array" ref="K127">_xlfn.IFS('ProductSprint Backlog'!$F127="", "", AND('ProductSprint Backlog'!$J127&gt;K$2,'ProductSprint Backlog'!$I127&lt;=K$2), 'ProductSprint Backlog'!$F127 / MAX(1, 'ProductSprint Backlog'!$J127-'ProductSprint Backlog'!$I127), AND('ProductSprint Backlog'!$J127=K$2,'ProductSprint Backlog'!$I127=K$2), 'ProductSprint Backlog'!$F127, TRUE, 0)</f>
        <v>0</v>
      </c>
      <c r="L127" s="4" cm="1">
        <f t="array" ref="L127">_xlfn.IFS('ProductSprint Backlog'!$F127="", "", AND('ProductSprint Backlog'!$J127&gt;L$2,'ProductSprint Backlog'!$I127&lt;=L$2), 'ProductSprint Backlog'!$F127 / MAX(1, 'ProductSprint Backlog'!$J127-'ProductSprint Backlog'!$I127), AND('ProductSprint Backlog'!$J127=L$2,'ProductSprint Backlog'!$I127=L$2), 'ProductSprint Backlog'!$F127, TRUE, 0)</f>
        <v>0</v>
      </c>
      <c r="M127" s="4" cm="1">
        <f t="array" ref="M127">_xlfn.IFS('ProductSprint Backlog'!$F127="", "", AND('ProductSprint Backlog'!$J127&gt;M$2,'ProductSprint Backlog'!$I127&lt;=M$2), 'ProductSprint Backlog'!$F127 / MAX(1, 'ProductSprint Backlog'!$J127-'ProductSprint Backlog'!$I127), AND('ProductSprint Backlog'!$J127=M$2,'ProductSprint Backlog'!$I127=M$2), 'ProductSprint Backlog'!$F127, TRUE, 0)</f>
        <v>0</v>
      </c>
      <c r="N127" s="4" cm="1">
        <f t="array" ref="N127">_xlfn.IFS('ProductSprint Backlog'!$F127="", "", AND('ProductSprint Backlog'!$J127&gt;N$2,'ProductSprint Backlog'!$I127&lt;=N$2), 'ProductSprint Backlog'!$F127 / MAX(1, 'ProductSprint Backlog'!$J127-'ProductSprint Backlog'!$I127), AND('ProductSprint Backlog'!$J127=N$2,'ProductSprint Backlog'!$I127=N$2), 'ProductSprint Backlog'!$F127, TRUE, 0)</f>
        <v>0</v>
      </c>
      <c r="O127" s="4" cm="1">
        <f t="array" ref="O127">_xlfn.IFS('ProductSprint Backlog'!$F127="", "", AND('ProductSprint Backlog'!$J127&gt;O$2,'ProductSprint Backlog'!$I127&lt;=O$2), 'ProductSprint Backlog'!$F127 / MAX(1, 'ProductSprint Backlog'!$J127-'ProductSprint Backlog'!$I127), AND('ProductSprint Backlog'!$J127=O$2,'ProductSprint Backlog'!$I127=O$2), 'ProductSprint Backlog'!$F127, TRUE, 0)</f>
        <v>0</v>
      </c>
    </row>
    <row r="128" spans="2:15" x14ac:dyDescent="0.2">
      <c r="B128" s="4" t="str" cm="1">
        <f t="array" ref="B128">_xlfn.IFS('ProductSprint Backlog'!$F128="", "", AND('ProductSprint Backlog'!$J128&gt;B$2,'ProductSprint Backlog'!$I128&lt;=B$2), 'ProductSprint Backlog'!$F128 / MAX(1, 'ProductSprint Backlog'!$J128-'ProductSprint Backlog'!$I128), AND('ProductSprint Backlog'!$J128=B$2,'ProductSprint Backlog'!$I128=B$2), 'ProductSprint Backlog'!$F128, TRUE, 0)</f>
        <v/>
      </c>
      <c r="C128" s="4" t="str" cm="1">
        <f t="array" ref="C128">_xlfn.IFS('ProductSprint Backlog'!$F128="", "", AND('ProductSprint Backlog'!$J128&gt;C$2,'ProductSprint Backlog'!$I128&lt;=C$2), 'ProductSprint Backlog'!$F128 / MAX(1, 'ProductSprint Backlog'!$J128-'ProductSprint Backlog'!$I128), AND('ProductSprint Backlog'!$J128=C$2,'ProductSprint Backlog'!$I128=C$2), 'ProductSprint Backlog'!$F128, TRUE, 0)</f>
        <v/>
      </c>
      <c r="D128" s="4" t="str" cm="1">
        <f t="array" ref="D128">_xlfn.IFS('ProductSprint Backlog'!$F128="", "", AND('ProductSprint Backlog'!$J128&gt;D$2,'ProductSprint Backlog'!$I128&lt;=D$2), 'ProductSprint Backlog'!$F128 / MAX(1, 'ProductSprint Backlog'!$J128-'ProductSprint Backlog'!$I128), AND('ProductSprint Backlog'!$J128=D$2,'ProductSprint Backlog'!$I128=D$2), 'ProductSprint Backlog'!$F128, TRUE, 0)</f>
        <v/>
      </c>
      <c r="E128" s="4" t="str" cm="1">
        <f t="array" ref="E128">_xlfn.IFS('ProductSprint Backlog'!$F128="", "", AND('ProductSprint Backlog'!$J128&gt;E$2,'ProductSprint Backlog'!$I128&lt;=E$2), 'ProductSprint Backlog'!$F128 / MAX(1, 'ProductSprint Backlog'!$J128-'ProductSprint Backlog'!$I128), AND('ProductSprint Backlog'!$J128=E$2,'ProductSprint Backlog'!$I128=E$2), 'ProductSprint Backlog'!$F128, TRUE, 0)</f>
        <v/>
      </c>
      <c r="F128" s="4" t="str" cm="1">
        <f t="array" ref="F128">_xlfn.IFS('ProductSprint Backlog'!$F128="", "", AND('ProductSprint Backlog'!$J128&gt;F$2,'ProductSprint Backlog'!$I128&lt;=F$2), 'ProductSprint Backlog'!$F128 / MAX(1, 'ProductSprint Backlog'!$J128-'ProductSprint Backlog'!$I128), AND('ProductSprint Backlog'!$J128=F$2,'ProductSprint Backlog'!$I128=F$2), 'ProductSprint Backlog'!$F128, TRUE, 0)</f>
        <v/>
      </c>
      <c r="G128" s="4" t="str" cm="1">
        <f t="array" ref="G128">_xlfn.IFS('ProductSprint Backlog'!$F128="", "", AND('ProductSprint Backlog'!$J128&gt;G$2,'ProductSprint Backlog'!$I128&lt;=G$2), 'ProductSprint Backlog'!$F128 / MAX(1, 'ProductSprint Backlog'!$J128-'ProductSprint Backlog'!$I128), AND('ProductSprint Backlog'!$J128=G$2,'ProductSprint Backlog'!$I128=G$2), 'ProductSprint Backlog'!$F128, TRUE, 0)</f>
        <v/>
      </c>
      <c r="H128" s="4" t="str" cm="1">
        <f t="array" ref="H128">_xlfn.IFS('ProductSprint Backlog'!$F128="", "", AND('ProductSprint Backlog'!$J128&gt;H$2,'ProductSprint Backlog'!$I128&lt;=H$2), 'ProductSprint Backlog'!$F128 / MAX(1, 'ProductSprint Backlog'!$J128-'ProductSprint Backlog'!$I128), AND('ProductSprint Backlog'!$J128=H$2,'ProductSprint Backlog'!$I128=H$2), 'ProductSprint Backlog'!$F128, TRUE, 0)</f>
        <v/>
      </c>
      <c r="I128" s="4" t="str" cm="1">
        <f t="array" ref="I128">_xlfn.IFS('ProductSprint Backlog'!$F128="", "", AND('ProductSprint Backlog'!$J128&gt;I$2,'ProductSprint Backlog'!$I128&lt;=I$2), 'ProductSprint Backlog'!$F128 / MAX(1, 'ProductSprint Backlog'!$J128-'ProductSprint Backlog'!$I128), AND('ProductSprint Backlog'!$J128=I$2,'ProductSprint Backlog'!$I128=I$2), 'ProductSprint Backlog'!$F128, TRUE, 0)</f>
        <v/>
      </c>
      <c r="J128" s="4" t="str" cm="1">
        <f t="array" ref="J128">_xlfn.IFS('ProductSprint Backlog'!$F128="", "", AND('ProductSprint Backlog'!$J128&gt;J$2,'ProductSprint Backlog'!$I128&lt;=J$2), 'ProductSprint Backlog'!$F128 / MAX(1, 'ProductSprint Backlog'!$J128-'ProductSprint Backlog'!$I128), AND('ProductSprint Backlog'!$J128=J$2,'ProductSprint Backlog'!$I128=J$2), 'ProductSprint Backlog'!$F128, TRUE, 0)</f>
        <v/>
      </c>
      <c r="K128" s="4" t="str" cm="1">
        <f t="array" ref="K128">_xlfn.IFS('ProductSprint Backlog'!$F128="", "", AND('ProductSprint Backlog'!$J128&gt;K$2,'ProductSprint Backlog'!$I128&lt;=K$2), 'ProductSprint Backlog'!$F128 / MAX(1, 'ProductSprint Backlog'!$J128-'ProductSprint Backlog'!$I128), AND('ProductSprint Backlog'!$J128=K$2,'ProductSprint Backlog'!$I128=K$2), 'ProductSprint Backlog'!$F128, TRUE, 0)</f>
        <v/>
      </c>
      <c r="L128" s="4" t="str" cm="1">
        <f t="array" ref="L128">_xlfn.IFS('ProductSprint Backlog'!$F128="", "", AND('ProductSprint Backlog'!$J128&gt;L$2,'ProductSprint Backlog'!$I128&lt;=L$2), 'ProductSprint Backlog'!$F128 / MAX(1, 'ProductSprint Backlog'!$J128-'ProductSprint Backlog'!$I128), AND('ProductSprint Backlog'!$J128=L$2,'ProductSprint Backlog'!$I128=L$2), 'ProductSprint Backlog'!$F128, TRUE, 0)</f>
        <v/>
      </c>
      <c r="M128" s="4" t="str" cm="1">
        <f t="array" ref="M128">_xlfn.IFS('ProductSprint Backlog'!$F128="", "", AND('ProductSprint Backlog'!$J128&gt;M$2,'ProductSprint Backlog'!$I128&lt;=M$2), 'ProductSprint Backlog'!$F128 / MAX(1, 'ProductSprint Backlog'!$J128-'ProductSprint Backlog'!$I128), AND('ProductSprint Backlog'!$J128=M$2,'ProductSprint Backlog'!$I128=M$2), 'ProductSprint Backlog'!$F128, TRUE, 0)</f>
        <v/>
      </c>
      <c r="N128" s="4" t="str" cm="1">
        <f t="array" ref="N128">_xlfn.IFS('ProductSprint Backlog'!$F128="", "", AND('ProductSprint Backlog'!$J128&gt;N$2,'ProductSprint Backlog'!$I128&lt;=N$2), 'ProductSprint Backlog'!$F128 / MAX(1, 'ProductSprint Backlog'!$J128-'ProductSprint Backlog'!$I128), AND('ProductSprint Backlog'!$J128=N$2,'ProductSprint Backlog'!$I128=N$2), 'ProductSprint Backlog'!$F128, TRUE, 0)</f>
        <v/>
      </c>
      <c r="O128" s="4" t="str" cm="1">
        <f t="array" ref="O128">_xlfn.IFS('ProductSprint Backlog'!$F128="", "", AND('ProductSprint Backlog'!$J128&gt;O$2,'ProductSprint Backlog'!$I128&lt;=O$2), 'ProductSprint Backlog'!$F128 / MAX(1, 'ProductSprint Backlog'!$J128-'ProductSprint Backlog'!$I128), AND('ProductSprint Backlog'!$J128=O$2,'ProductSprint Backlog'!$I128=O$2), 'ProductSprint Backlog'!$F128, TRUE, 0)</f>
        <v/>
      </c>
    </row>
    <row r="129" spans="2:15" x14ac:dyDescent="0.2">
      <c r="B129" s="4" cm="1">
        <f t="array" ref="B129">_xlfn.IFS('ProductSprint Backlog'!$F129="", "", AND('ProductSprint Backlog'!$J129&gt;B$2,'ProductSprint Backlog'!$I129&lt;=B$2), 'ProductSprint Backlog'!$F129 / MAX(1, 'ProductSprint Backlog'!$J129-'ProductSprint Backlog'!$I129), AND('ProductSprint Backlog'!$J129=B$2,'ProductSprint Backlog'!$I129=B$2), 'ProductSprint Backlog'!$F129, TRUE, 0)</f>
        <v>0</v>
      </c>
      <c r="C129" s="4" cm="1">
        <f t="array" ref="C129">_xlfn.IFS('ProductSprint Backlog'!$F129="", "", AND('ProductSprint Backlog'!$J129&gt;C$2,'ProductSprint Backlog'!$I129&lt;=C$2), 'ProductSprint Backlog'!$F129 / MAX(1, 'ProductSprint Backlog'!$J129-'ProductSprint Backlog'!$I129), AND('ProductSprint Backlog'!$J129=C$2,'ProductSprint Backlog'!$I129=C$2), 'ProductSprint Backlog'!$F129, TRUE, 0)</f>
        <v>0</v>
      </c>
      <c r="D129" s="4" cm="1">
        <f t="array" ref="D129">_xlfn.IFS('ProductSprint Backlog'!$F129="", "", AND('ProductSprint Backlog'!$J129&gt;D$2,'ProductSprint Backlog'!$I129&lt;=D$2), 'ProductSprint Backlog'!$F129 / MAX(1, 'ProductSprint Backlog'!$J129-'ProductSprint Backlog'!$I129), AND('ProductSprint Backlog'!$J129=D$2,'ProductSprint Backlog'!$I129=D$2), 'ProductSprint Backlog'!$F129, TRUE, 0)</f>
        <v>0</v>
      </c>
      <c r="E129" s="4" cm="1">
        <f t="array" ref="E129">_xlfn.IFS('ProductSprint Backlog'!$F129="", "", AND('ProductSprint Backlog'!$J129&gt;E$2,'ProductSprint Backlog'!$I129&lt;=E$2), 'ProductSprint Backlog'!$F129 / MAX(1, 'ProductSprint Backlog'!$J129-'ProductSprint Backlog'!$I129), AND('ProductSprint Backlog'!$J129=E$2,'ProductSprint Backlog'!$I129=E$2), 'ProductSprint Backlog'!$F129, TRUE, 0)</f>
        <v>0</v>
      </c>
      <c r="F129" s="4" cm="1">
        <f t="array" ref="F129">_xlfn.IFS('ProductSprint Backlog'!$F129="", "", AND('ProductSprint Backlog'!$J129&gt;F$2,'ProductSprint Backlog'!$I129&lt;=F$2), 'ProductSprint Backlog'!$F129 / MAX(1, 'ProductSprint Backlog'!$J129-'ProductSprint Backlog'!$I129), AND('ProductSprint Backlog'!$J129=F$2,'ProductSprint Backlog'!$I129=F$2), 'ProductSprint Backlog'!$F129, TRUE, 0)</f>
        <v>0</v>
      </c>
      <c r="G129" s="4" cm="1">
        <f t="array" ref="G129">_xlfn.IFS('ProductSprint Backlog'!$F129="", "", AND('ProductSprint Backlog'!$J129&gt;G$2,'ProductSprint Backlog'!$I129&lt;=G$2), 'ProductSprint Backlog'!$F129 / MAX(1, 'ProductSprint Backlog'!$J129-'ProductSprint Backlog'!$I129), AND('ProductSprint Backlog'!$J129=G$2,'ProductSprint Backlog'!$I129=G$2), 'ProductSprint Backlog'!$F129, TRUE, 0)</f>
        <v>0</v>
      </c>
      <c r="H129" s="4" cm="1">
        <f t="array" ref="H129">_xlfn.IFS('ProductSprint Backlog'!$F129="", "", AND('ProductSprint Backlog'!$J129&gt;H$2,'ProductSprint Backlog'!$I129&lt;=H$2), 'ProductSprint Backlog'!$F129 / MAX(1, 'ProductSprint Backlog'!$J129-'ProductSprint Backlog'!$I129), AND('ProductSprint Backlog'!$J129=H$2,'ProductSprint Backlog'!$I129=H$2), 'ProductSprint Backlog'!$F129, TRUE, 0)</f>
        <v>0</v>
      </c>
      <c r="I129" s="4" cm="1">
        <f t="array" ref="I129">_xlfn.IFS('ProductSprint Backlog'!$F129="", "", AND('ProductSprint Backlog'!$J129&gt;I$2,'ProductSprint Backlog'!$I129&lt;=I$2), 'ProductSprint Backlog'!$F129 / MAX(1, 'ProductSprint Backlog'!$J129-'ProductSprint Backlog'!$I129), AND('ProductSprint Backlog'!$J129=I$2,'ProductSprint Backlog'!$I129=I$2), 'ProductSprint Backlog'!$F129, TRUE, 0)</f>
        <v>0</v>
      </c>
      <c r="J129" s="4" cm="1">
        <f t="array" ref="J129">_xlfn.IFS('ProductSprint Backlog'!$F129="", "", AND('ProductSprint Backlog'!$J129&gt;J$2,'ProductSprint Backlog'!$I129&lt;=J$2), 'ProductSprint Backlog'!$F129 / MAX(1, 'ProductSprint Backlog'!$J129-'ProductSprint Backlog'!$I129), AND('ProductSprint Backlog'!$J129=J$2,'ProductSprint Backlog'!$I129=J$2), 'ProductSprint Backlog'!$F129, TRUE, 0)</f>
        <v>0</v>
      </c>
      <c r="K129" s="4" cm="1">
        <f t="array" ref="K129">_xlfn.IFS('ProductSprint Backlog'!$F129="", "", AND('ProductSprint Backlog'!$J129&gt;K$2,'ProductSprint Backlog'!$I129&lt;=K$2), 'ProductSprint Backlog'!$F129 / MAX(1, 'ProductSprint Backlog'!$J129-'ProductSprint Backlog'!$I129), AND('ProductSprint Backlog'!$J129=K$2,'ProductSprint Backlog'!$I129=K$2), 'ProductSprint Backlog'!$F129, TRUE, 0)</f>
        <v>0</v>
      </c>
      <c r="L129" s="4" cm="1">
        <f t="array" ref="L129">_xlfn.IFS('ProductSprint Backlog'!$F129="", "", AND('ProductSprint Backlog'!$J129&gt;L$2,'ProductSprint Backlog'!$I129&lt;=L$2), 'ProductSprint Backlog'!$F129 / MAX(1, 'ProductSprint Backlog'!$J129-'ProductSprint Backlog'!$I129), AND('ProductSprint Backlog'!$J129=L$2,'ProductSprint Backlog'!$I129=L$2), 'ProductSprint Backlog'!$F129, TRUE, 0)</f>
        <v>0</v>
      </c>
      <c r="M129" s="4" cm="1">
        <f t="array" ref="M129">_xlfn.IFS('ProductSprint Backlog'!$F129="", "", AND('ProductSprint Backlog'!$J129&gt;M$2,'ProductSprint Backlog'!$I129&lt;=M$2), 'ProductSprint Backlog'!$F129 / MAX(1, 'ProductSprint Backlog'!$J129-'ProductSprint Backlog'!$I129), AND('ProductSprint Backlog'!$J129=M$2,'ProductSprint Backlog'!$I129=M$2), 'ProductSprint Backlog'!$F129, TRUE, 0)</f>
        <v>0</v>
      </c>
      <c r="N129" s="4" cm="1">
        <f t="array" ref="N129">_xlfn.IFS('ProductSprint Backlog'!$F129="", "", AND('ProductSprint Backlog'!$J129&gt;N$2,'ProductSprint Backlog'!$I129&lt;=N$2), 'ProductSprint Backlog'!$F129 / MAX(1, 'ProductSprint Backlog'!$J129-'ProductSprint Backlog'!$I129), AND('ProductSprint Backlog'!$J129=N$2,'ProductSprint Backlog'!$I129=N$2), 'ProductSprint Backlog'!$F129, TRUE, 0)</f>
        <v>0</v>
      </c>
      <c r="O129" s="4" cm="1">
        <f t="array" ref="O129">_xlfn.IFS('ProductSprint Backlog'!$F129="", "", AND('ProductSprint Backlog'!$J129&gt;O$2,'ProductSprint Backlog'!$I129&lt;=O$2), 'ProductSprint Backlog'!$F129 / MAX(1, 'ProductSprint Backlog'!$J129-'ProductSprint Backlog'!$I129), AND('ProductSprint Backlog'!$J129=O$2,'ProductSprint Backlog'!$I129=O$2), 'ProductSprint Backlog'!$F129, TRUE, 0)</f>
        <v>0</v>
      </c>
    </row>
    <row r="130" spans="2:15" x14ac:dyDescent="0.2">
      <c r="B130" s="4" cm="1">
        <f t="array" ref="B130">_xlfn.IFS('ProductSprint Backlog'!$F130="", "", AND('ProductSprint Backlog'!$J130&gt;B$2,'ProductSprint Backlog'!$I130&lt;=B$2), 'ProductSprint Backlog'!$F130 / MAX(1, 'ProductSprint Backlog'!$J130-'ProductSprint Backlog'!$I130), AND('ProductSprint Backlog'!$J130=B$2,'ProductSprint Backlog'!$I130=B$2), 'ProductSprint Backlog'!$F130, TRUE, 0)</f>
        <v>0</v>
      </c>
      <c r="C130" s="4" cm="1">
        <f t="array" ref="C130">_xlfn.IFS('ProductSprint Backlog'!$F130="", "", AND('ProductSprint Backlog'!$J130&gt;C$2,'ProductSprint Backlog'!$I130&lt;=C$2), 'ProductSprint Backlog'!$F130 / MAX(1, 'ProductSprint Backlog'!$J130-'ProductSprint Backlog'!$I130), AND('ProductSprint Backlog'!$J130=C$2,'ProductSprint Backlog'!$I130=C$2), 'ProductSprint Backlog'!$F130, TRUE, 0)</f>
        <v>0</v>
      </c>
      <c r="D130" s="4" cm="1">
        <f t="array" ref="D130">_xlfn.IFS('ProductSprint Backlog'!$F130="", "", AND('ProductSprint Backlog'!$J130&gt;D$2,'ProductSprint Backlog'!$I130&lt;=D$2), 'ProductSprint Backlog'!$F130 / MAX(1, 'ProductSprint Backlog'!$J130-'ProductSprint Backlog'!$I130), AND('ProductSprint Backlog'!$J130=D$2,'ProductSprint Backlog'!$I130=D$2), 'ProductSprint Backlog'!$F130, TRUE, 0)</f>
        <v>0</v>
      </c>
      <c r="E130" s="4" cm="1">
        <f t="array" ref="E130">_xlfn.IFS('ProductSprint Backlog'!$F130="", "", AND('ProductSprint Backlog'!$J130&gt;E$2,'ProductSprint Backlog'!$I130&lt;=E$2), 'ProductSprint Backlog'!$F130 / MAX(1, 'ProductSprint Backlog'!$J130-'ProductSprint Backlog'!$I130), AND('ProductSprint Backlog'!$J130=E$2,'ProductSprint Backlog'!$I130=E$2), 'ProductSprint Backlog'!$F130, TRUE, 0)</f>
        <v>0</v>
      </c>
      <c r="F130" s="4" cm="1">
        <f t="array" ref="F130">_xlfn.IFS('ProductSprint Backlog'!$F130="", "", AND('ProductSprint Backlog'!$J130&gt;F$2,'ProductSprint Backlog'!$I130&lt;=F$2), 'ProductSprint Backlog'!$F130 / MAX(1, 'ProductSprint Backlog'!$J130-'ProductSprint Backlog'!$I130), AND('ProductSprint Backlog'!$J130=F$2,'ProductSprint Backlog'!$I130=F$2), 'ProductSprint Backlog'!$F130, TRUE, 0)</f>
        <v>0</v>
      </c>
      <c r="G130" s="4" cm="1">
        <f t="array" ref="G130">_xlfn.IFS('ProductSprint Backlog'!$F130="", "", AND('ProductSprint Backlog'!$J130&gt;G$2,'ProductSprint Backlog'!$I130&lt;=G$2), 'ProductSprint Backlog'!$F130 / MAX(1, 'ProductSprint Backlog'!$J130-'ProductSprint Backlog'!$I130), AND('ProductSprint Backlog'!$J130=G$2,'ProductSprint Backlog'!$I130=G$2), 'ProductSprint Backlog'!$F130, TRUE, 0)</f>
        <v>0</v>
      </c>
      <c r="H130" s="4" cm="1">
        <f t="array" ref="H130">_xlfn.IFS('ProductSprint Backlog'!$F130="", "", AND('ProductSprint Backlog'!$J130&gt;H$2,'ProductSprint Backlog'!$I130&lt;=H$2), 'ProductSprint Backlog'!$F130 / MAX(1, 'ProductSprint Backlog'!$J130-'ProductSprint Backlog'!$I130), AND('ProductSprint Backlog'!$J130=H$2,'ProductSprint Backlog'!$I130=H$2), 'ProductSprint Backlog'!$F130, TRUE, 0)</f>
        <v>0</v>
      </c>
      <c r="I130" s="4" cm="1">
        <f t="array" ref="I130">_xlfn.IFS('ProductSprint Backlog'!$F130="", "", AND('ProductSprint Backlog'!$J130&gt;I$2,'ProductSprint Backlog'!$I130&lt;=I$2), 'ProductSprint Backlog'!$F130 / MAX(1, 'ProductSprint Backlog'!$J130-'ProductSprint Backlog'!$I130), AND('ProductSprint Backlog'!$J130=I$2,'ProductSprint Backlog'!$I130=I$2), 'ProductSprint Backlog'!$F130, TRUE, 0)</f>
        <v>0</v>
      </c>
      <c r="J130" s="4" cm="1">
        <f t="array" ref="J130">_xlfn.IFS('ProductSprint Backlog'!$F130="", "", AND('ProductSprint Backlog'!$J130&gt;J$2,'ProductSprint Backlog'!$I130&lt;=J$2), 'ProductSprint Backlog'!$F130 / MAX(1, 'ProductSprint Backlog'!$J130-'ProductSprint Backlog'!$I130), AND('ProductSprint Backlog'!$J130=J$2,'ProductSprint Backlog'!$I130=J$2), 'ProductSprint Backlog'!$F130, TRUE, 0)</f>
        <v>0</v>
      </c>
      <c r="K130" s="4" cm="1">
        <f t="array" ref="K130">_xlfn.IFS('ProductSprint Backlog'!$F130="", "", AND('ProductSprint Backlog'!$J130&gt;K$2,'ProductSprint Backlog'!$I130&lt;=K$2), 'ProductSprint Backlog'!$F130 / MAX(1, 'ProductSprint Backlog'!$J130-'ProductSprint Backlog'!$I130), AND('ProductSprint Backlog'!$J130=K$2,'ProductSprint Backlog'!$I130=K$2), 'ProductSprint Backlog'!$F130, TRUE, 0)</f>
        <v>0</v>
      </c>
      <c r="L130" s="4" cm="1">
        <f t="array" ref="L130">_xlfn.IFS('ProductSprint Backlog'!$F130="", "", AND('ProductSprint Backlog'!$J130&gt;L$2,'ProductSprint Backlog'!$I130&lt;=L$2), 'ProductSprint Backlog'!$F130 / MAX(1, 'ProductSprint Backlog'!$J130-'ProductSprint Backlog'!$I130), AND('ProductSprint Backlog'!$J130=L$2,'ProductSprint Backlog'!$I130=L$2), 'ProductSprint Backlog'!$F130, TRUE, 0)</f>
        <v>0</v>
      </c>
      <c r="M130" s="4" cm="1">
        <f t="array" ref="M130">_xlfn.IFS('ProductSprint Backlog'!$F130="", "", AND('ProductSprint Backlog'!$J130&gt;M$2,'ProductSprint Backlog'!$I130&lt;=M$2), 'ProductSprint Backlog'!$F130 / MAX(1, 'ProductSprint Backlog'!$J130-'ProductSprint Backlog'!$I130), AND('ProductSprint Backlog'!$J130=M$2,'ProductSprint Backlog'!$I130=M$2), 'ProductSprint Backlog'!$F130, TRUE, 0)</f>
        <v>0</v>
      </c>
      <c r="N130" s="4" cm="1">
        <f t="array" ref="N130">_xlfn.IFS('ProductSprint Backlog'!$F130="", "", AND('ProductSprint Backlog'!$J130&gt;N$2,'ProductSprint Backlog'!$I130&lt;=N$2), 'ProductSprint Backlog'!$F130 / MAX(1, 'ProductSprint Backlog'!$J130-'ProductSprint Backlog'!$I130), AND('ProductSprint Backlog'!$J130=N$2,'ProductSprint Backlog'!$I130=N$2), 'ProductSprint Backlog'!$F130, TRUE, 0)</f>
        <v>0</v>
      </c>
      <c r="O130" s="4" cm="1">
        <f t="array" ref="O130">_xlfn.IFS('ProductSprint Backlog'!$F130="", "", AND('ProductSprint Backlog'!$J130&gt;O$2,'ProductSprint Backlog'!$I130&lt;=O$2), 'ProductSprint Backlog'!$F130 / MAX(1, 'ProductSprint Backlog'!$J130-'ProductSprint Backlog'!$I130), AND('ProductSprint Backlog'!$J130=O$2,'ProductSprint Backlog'!$I130=O$2), 'ProductSprint Backlog'!$F130, TRUE, 0)</f>
        <v>0</v>
      </c>
    </row>
    <row r="131" spans="2:15" x14ac:dyDescent="0.2">
      <c r="B131" s="4" cm="1">
        <f t="array" ref="B131">_xlfn.IFS('ProductSprint Backlog'!$F131="", "", AND('ProductSprint Backlog'!$J131&gt;B$2,'ProductSprint Backlog'!$I131&lt;=B$2), 'ProductSprint Backlog'!$F131 / MAX(1, 'ProductSprint Backlog'!$J131-'ProductSprint Backlog'!$I131), AND('ProductSprint Backlog'!$J131=B$2,'ProductSprint Backlog'!$I131=B$2), 'ProductSprint Backlog'!$F131, TRUE, 0)</f>
        <v>0</v>
      </c>
      <c r="C131" s="4" cm="1">
        <f t="array" ref="C131">_xlfn.IFS('ProductSprint Backlog'!$F131="", "", AND('ProductSprint Backlog'!$J131&gt;C$2,'ProductSprint Backlog'!$I131&lt;=C$2), 'ProductSprint Backlog'!$F131 / MAX(1, 'ProductSprint Backlog'!$J131-'ProductSprint Backlog'!$I131), AND('ProductSprint Backlog'!$J131=C$2,'ProductSprint Backlog'!$I131=C$2), 'ProductSprint Backlog'!$F131, TRUE, 0)</f>
        <v>0</v>
      </c>
      <c r="D131" s="4" cm="1">
        <f t="array" ref="D131">_xlfn.IFS('ProductSprint Backlog'!$F131="", "", AND('ProductSprint Backlog'!$J131&gt;D$2,'ProductSprint Backlog'!$I131&lt;=D$2), 'ProductSprint Backlog'!$F131 / MAX(1, 'ProductSprint Backlog'!$J131-'ProductSprint Backlog'!$I131), AND('ProductSprint Backlog'!$J131=D$2,'ProductSprint Backlog'!$I131=D$2), 'ProductSprint Backlog'!$F131, TRUE, 0)</f>
        <v>0</v>
      </c>
      <c r="E131" s="4" cm="1">
        <f t="array" ref="E131">_xlfn.IFS('ProductSprint Backlog'!$F131="", "", AND('ProductSprint Backlog'!$J131&gt;E$2,'ProductSprint Backlog'!$I131&lt;=E$2), 'ProductSprint Backlog'!$F131 / MAX(1, 'ProductSprint Backlog'!$J131-'ProductSprint Backlog'!$I131), AND('ProductSprint Backlog'!$J131=E$2,'ProductSprint Backlog'!$I131=E$2), 'ProductSprint Backlog'!$F131, TRUE, 0)</f>
        <v>0</v>
      </c>
      <c r="F131" s="4" cm="1">
        <f t="array" ref="F131">_xlfn.IFS('ProductSprint Backlog'!$F131="", "", AND('ProductSprint Backlog'!$J131&gt;F$2,'ProductSprint Backlog'!$I131&lt;=F$2), 'ProductSprint Backlog'!$F131 / MAX(1, 'ProductSprint Backlog'!$J131-'ProductSprint Backlog'!$I131), AND('ProductSprint Backlog'!$J131=F$2,'ProductSprint Backlog'!$I131=F$2), 'ProductSprint Backlog'!$F131, TRUE, 0)</f>
        <v>0</v>
      </c>
      <c r="G131" s="4" cm="1">
        <f t="array" ref="G131">_xlfn.IFS('ProductSprint Backlog'!$F131="", "", AND('ProductSprint Backlog'!$J131&gt;G$2,'ProductSprint Backlog'!$I131&lt;=G$2), 'ProductSprint Backlog'!$F131 / MAX(1, 'ProductSprint Backlog'!$J131-'ProductSprint Backlog'!$I131), AND('ProductSprint Backlog'!$J131=G$2,'ProductSprint Backlog'!$I131=G$2), 'ProductSprint Backlog'!$F131, TRUE, 0)</f>
        <v>0</v>
      </c>
      <c r="H131" s="4" cm="1">
        <f t="array" ref="H131">_xlfn.IFS('ProductSprint Backlog'!$F131="", "", AND('ProductSprint Backlog'!$J131&gt;H$2,'ProductSprint Backlog'!$I131&lt;=H$2), 'ProductSprint Backlog'!$F131 / MAX(1, 'ProductSprint Backlog'!$J131-'ProductSprint Backlog'!$I131), AND('ProductSprint Backlog'!$J131=H$2,'ProductSprint Backlog'!$I131=H$2), 'ProductSprint Backlog'!$F131, TRUE, 0)</f>
        <v>0</v>
      </c>
      <c r="I131" s="4" cm="1">
        <f t="array" ref="I131">_xlfn.IFS('ProductSprint Backlog'!$F131="", "", AND('ProductSprint Backlog'!$J131&gt;I$2,'ProductSprint Backlog'!$I131&lt;=I$2), 'ProductSprint Backlog'!$F131 / MAX(1, 'ProductSprint Backlog'!$J131-'ProductSprint Backlog'!$I131), AND('ProductSprint Backlog'!$J131=I$2,'ProductSprint Backlog'!$I131=I$2), 'ProductSprint Backlog'!$F131, TRUE, 0)</f>
        <v>0</v>
      </c>
      <c r="J131" s="4" cm="1">
        <f t="array" ref="J131">_xlfn.IFS('ProductSprint Backlog'!$F131="", "", AND('ProductSprint Backlog'!$J131&gt;J$2,'ProductSprint Backlog'!$I131&lt;=J$2), 'ProductSprint Backlog'!$F131 / MAX(1, 'ProductSprint Backlog'!$J131-'ProductSprint Backlog'!$I131), AND('ProductSprint Backlog'!$J131=J$2,'ProductSprint Backlog'!$I131=J$2), 'ProductSprint Backlog'!$F131, TRUE, 0)</f>
        <v>0</v>
      </c>
      <c r="K131" s="4" cm="1">
        <f t="array" ref="K131">_xlfn.IFS('ProductSprint Backlog'!$F131="", "", AND('ProductSprint Backlog'!$J131&gt;K$2,'ProductSprint Backlog'!$I131&lt;=K$2), 'ProductSprint Backlog'!$F131 / MAX(1, 'ProductSprint Backlog'!$J131-'ProductSprint Backlog'!$I131), AND('ProductSprint Backlog'!$J131=K$2,'ProductSprint Backlog'!$I131=K$2), 'ProductSprint Backlog'!$F131, TRUE, 0)</f>
        <v>0</v>
      </c>
      <c r="L131" s="4" cm="1">
        <f t="array" ref="L131">_xlfn.IFS('ProductSprint Backlog'!$F131="", "", AND('ProductSprint Backlog'!$J131&gt;L$2,'ProductSprint Backlog'!$I131&lt;=L$2), 'ProductSprint Backlog'!$F131 / MAX(1, 'ProductSprint Backlog'!$J131-'ProductSprint Backlog'!$I131), AND('ProductSprint Backlog'!$J131=L$2,'ProductSprint Backlog'!$I131=L$2), 'ProductSprint Backlog'!$F131, TRUE, 0)</f>
        <v>0</v>
      </c>
      <c r="M131" s="4" cm="1">
        <f t="array" ref="M131">_xlfn.IFS('ProductSprint Backlog'!$F131="", "", AND('ProductSprint Backlog'!$J131&gt;M$2,'ProductSprint Backlog'!$I131&lt;=M$2), 'ProductSprint Backlog'!$F131 / MAX(1, 'ProductSprint Backlog'!$J131-'ProductSprint Backlog'!$I131), AND('ProductSprint Backlog'!$J131=M$2,'ProductSprint Backlog'!$I131=M$2), 'ProductSprint Backlog'!$F131, TRUE, 0)</f>
        <v>0</v>
      </c>
      <c r="N131" s="4" cm="1">
        <f t="array" ref="N131">_xlfn.IFS('ProductSprint Backlog'!$F131="", "", AND('ProductSprint Backlog'!$J131&gt;N$2,'ProductSprint Backlog'!$I131&lt;=N$2), 'ProductSprint Backlog'!$F131 / MAX(1, 'ProductSprint Backlog'!$J131-'ProductSprint Backlog'!$I131), AND('ProductSprint Backlog'!$J131=N$2,'ProductSprint Backlog'!$I131=N$2), 'ProductSprint Backlog'!$F131, TRUE, 0)</f>
        <v>0</v>
      </c>
      <c r="O131" s="4" cm="1">
        <f t="array" ref="O131">_xlfn.IFS('ProductSprint Backlog'!$F131="", "", AND('ProductSprint Backlog'!$J131&gt;O$2,'ProductSprint Backlog'!$I131&lt;=O$2), 'ProductSprint Backlog'!$F131 / MAX(1, 'ProductSprint Backlog'!$J131-'ProductSprint Backlog'!$I131), AND('ProductSprint Backlog'!$J131=O$2,'ProductSprint Backlog'!$I131=O$2), 'ProductSprint Backlog'!$F131, TRUE, 0)</f>
        <v>0</v>
      </c>
    </row>
    <row r="132" spans="2:15" x14ac:dyDescent="0.2">
      <c r="B132" s="4" cm="1">
        <f t="array" ref="B132">_xlfn.IFS('ProductSprint Backlog'!$F132="", "", AND('ProductSprint Backlog'!$J132&gt;B$2,'ProductSprint Backlog'!$I132&lt;=B$2), 'ProductSprint Backlog'!$F132 / MAX(1, 'ProductSprint Backlog'!$J132-'ProductSprint Backlog'!$I132), AND('ProductSprint Backlog'!$J132=B$2,'ProductSprint Backlog'!$I132=B$2), 'ProductSprint Backlog'!$F132, TRUE, 0)</f>
        <v>0</v>
      </c>
      <c r="C132" s="4" cm="1">
        <f t="array" ref="C132">_xlfn.IFS('ProductSprint Backlog'!$F132="", "", AND('ProductSprint Backlog'!$J132&gt;C$2,'ProductSprint Backlog'!$I132&lt;=C$2), 'ProductSprint Backlog'!$F132 / MAX(1, 'ProductSprint Backlog'!$J132-'ProductSprint Backlog'!$I132), AND('ProductSprint Backlog'!$J132=C$2,'ProductSprint Backlog'!$I132=C$2), 'ProductSprint Backlog'!$F132, TRUE, 0)</f>
        <v>0</v>
      </c>
      <c r="D132" s="4" cm="1">
        <f t="array" ref="D132">_xlfn.IFS('ProductSprint Backlog'!$F132="", "", AND('ProductSprint Backlog'!$J132&gt;D$2,'ProductSprint Backlog'!$I132&lt;=D$2), 'ProductSprint Backlog'!$F132 / MAX(1, 'ProductSprint Backlog'!$J132-'ProductSprint Backlog'!$I132), AND('ProductSprint Backlog'!$J132=D$2,'ProductSprint Backlog'!$I132=D$2), 'ProductSprint Backlog'!$F132, TRUE, 0)</f>
        <v>0</v>
      </c>
      <c r="E132" s="4" cm="1">
        <f t="array" ref="E132">_xlfn.IFS('ProductSprint Backlog'!$F132="", "", AND('ProductSprint Backlog'!$J132&gt;E$2,'ProductSprint Backlog'!$I132&lt;=E$2), 'ProductSprint Backlog'!$F132 / MAX(1, 'ProductSprint Backlog'!$J132-'ProductSprint Backlog'!$I132), AND('ProductSprint Backlog'!$J132=E$2,'ProductSprint Backlog'!$I132=E$2), 'ProductSprint Backlog'!$F132, TRUE, 0)</f>
        <v>0</v>
      </c>
      <c r="F132" s="4" cm="1">
        <f t="array" ref="F132">_xlfn.IFS('ProductSprint Backlog'!$F132="", "", AND('ProductSprint Backlog'!$J132&gt;F$2,'ProductSprint Backlog'!$I132&lt;=F$2), 'ProductSprint Backlog'!$F132 / MAX(1, 'ProductSprint Backlog'!$J132-'ProductSprint Backlog'!$I132), AND('ProductSprint Backlog'!$J132=F$2,'ProductSprint Backlog'!$I132=F$2), 'ProductSprint Backlog'!$F132, TRUE, 0)</f>
        <v>0</v>
      </c>
      <c r="G132" s="4" cm="1">
        <f t="array" ref="G132">_xlfn.IFS('ProductSprint Backlog'!$F132="", "", AND('ProductSprint Backlog'!$J132&gt;G$2,'ProductSprint Backlog'!$I132&lt;=G$2), 'ProductSprint Backlog'!$F132 / MAX(1, 'ProductSprint Backlog'!$J132-'ProductSprint Backlog'!$I132), AND('ProductSprint Backlog'!$J132=G$2,'ProductSprint Backlog'!$I132=G$2), 'ProductSprint Backlog'!$F132, TRUE, 0)</f>
        <v>0</v>
      </c>
      <c r="H132" s="4" cm="1">
        <f t="array" ref="H132">_xlfn.IFS('ProductSprint Backlog'!$F132="", "", AND('ProductSprint Backlog'!$J132&gt;H$2,'ProductSprint Backlog'!$I132&lt;=H$2), 'ProductSprint Backlog'!$F132 / MAX(1, 'ProductSprint Backlog'!$J132-'ProductSprint Backlog'!$I132), AND('ProductSprint Backlog'!$J132=H$2,'ProductSprint Backlog'!$I132=H$2), 'ProductSprint Backlog'!$F132, TRUE, 0)</f>
        <v>0</v>
      </c>
      <c r="I132" s="4" cm="1">
        <f t="array" ref="I132">_xlfn.IFS('ProductSprint Backlog'!$F132="", "", AND('ProductSprint Backlog'!$J132&gt;I$2,'ProductSprint Backlog'!$I132&lt;=I$2), 'ProductSprint Backlog'!$F132 / MAX(1, 'ProductSprint Backlog'!$J132-'ProductSprint Backlog'!$I132), AND('ProductSprint Backlog'!$J132=I$2,'ProductSprint Backlog'!$I132=I$2), 'ProductSprint Backlog'!$F132, TRUE, 0)</f>
        <v>0</v>
      </c>
      <c r="J132" s="4" cm="1">
        <f t="array" ref="J132">_xlfn.IFS('ProductSprint Backlog'!$F132="", "", AND('ProductSprint Backlog'!$J132&gt;J$2,'ProductSprint Backlog'!$I132&lt;=J$2), 'ProductSprint Backlog'!$F132 / MAX(1, 'ProductSprint Backlog'!$J132-'ProductSprint Backlog'!$I132), AND('ProductSprint Backlog'!$J132=J$2,'ProductSprint Backlog'!$I132=J$2), 'ProductSprint Backlog'!$F132, TRUE, 0)</f>
        <v>0</v>
      </c>
      <c r="K132" s="4" cm="1">
        <f t="array" ref="K132">_xlfn.IFS('ProductSprint Backlog'!$F132="", "", AND('ProductSprint Backlog'!$J132&gt;K$2,'ProductSprint Backlog'!$I132&lt;=K$2), 'ProductSprint Backlog'!$F132 / MAX(1, 'ProductSprint Backlog'!$J132-'ProductSprint Backlog'!$I132), AND('ProductSprint Backlog'!$J132=K$2,'ProductSprint Backlog'!$I132=K$2), 'ProductSprint Backlog'!$F132, TRUE, 0)</f>
        <v>0</v>
      </c>
      <c r="L132" s="4" cm="1">
        <f t="array" ref="L132">_xlfn.IFS('ProductSprint Backlog'!$F132="", "", AND('ProductSprint Backlog'!$J132&gt;L$2,'ProductSprint Backlog'!$I132&lt;=L$2), 'ProductSprint Backlog'!$F132 / MAX(1, 'ProductSprint Backlog'!$J132-'ProductSprint Backlog'!$I132), AND('ProductSprint Backlog'!$J132=L$2,'ProductSprint Backlog'!$I132=L$2), 'ProductSprint Backlog'!$F132, TRUE, 0)</f>
        <v>0</v>
      </c>
      <c r="M132" s="4" cm="1">
        <f t="array" ref="M132">_xlfn.IFS('ProductSprint Backlog'!$F132="", "", AND('ProductSprint Backlog'!$J132&gt;M$2,'ProductSprint Backlog'!$I132&lt;=M$2), 'ProductSprint Backlog'!$F132 / MAX(1, 'ProductSprint Backlog'!$J132-'ProductSprint Backlog'!$I132), AND('ProductSprint Backlog'!$J132=M$2,'ProductSprint Backlog'!$I132=M$2), 'ProductSprint Backlog'!$F132, TRUE, 0)</f>
        <v>0</v>
      </c>
      <c r="N132" s="4" cm="1">
        <f t="array" ref="N132">_xlfn.IFS('ProductSprint Backlog'!$F132="", "", AND('ProductSprint Backlog'!$J132&gt;N$2,'ProductSprint Backlog'!$I132&lt;=N$2), 'ProductSprint Backlog'!$F132 / MAX(1, 'ProductSprint Backlog'!$J132-'ProductSprint Backlog'!$I132), AND('ProductSprint Backlog'!$J132=N$2,'ProductSprint Backlog'!$I132=N$2), 'ProductSprint Backlog'!$F132, TRUE, 0)</f>
        <v>0</v>
      </c>
      <c r="O132" s="4" cm="1">
        <f t="array" ref="O132">_xlfn.IFS('ProductSprint Backlog'!$F132="", "", AND('ProductSprint Backlog'!$J132&gt;O$2,'ProductSprint Backlog'!$I132&lt;=O$2), 'ProductSprint Backlog'!$F132 / MAX(1, 'ProductSprint Backlog'!$J132-'ProductSprint Backlog'!$I132), AND('ProductSprint Backlog'!$J132=O$2,'ProductSprint Backlog'!$I132=O$2), 'ProductSprint Backlog'!$F132, TRUE, 0)</f>
        <v>0</v>
      </c>
    </row>
    <row r="133" spans="2:15" x14ac:dyDescent="0.2">
      <c r="B133" s="4" cm="1">
        <f t="array" ref="B133">_xlfn.IFS('ProductSprint Backlog'!$F133="", "", AND('ProductSprint Backlog'!$J133&gt;B$2,'ProductSprint Backlog'!$I133&lt;=B$2), 'ProductSprint Backlog'!$F133 / MAX(1, 'ProductSprint Backlog'!$J133-'ProductSprint Backlog'!$I133), AND('ProductSprint Backlog'!$J133=B$2,'ProductSprint Backlog'!$I133=B$2), 'ProductSprint Backlog'!$F133, TRUE, 0)</f>
        <v>0</v>
      </c>
      <c r="C133" s="4" cm="1">
        <f t="array" ref="C133">_xlfn.IFS('ProductSprint Backlog'!$F133="", "", AND('ProductSprint Backlog'!$J133&gt;C$2,'ProductSprint Backlog'!$I133&lt;=C$2), 'ProductSprint Backlog'!$F133 / MAX(1, 'ProductSprint Backlog'!$J133-'ProductSprint Backlog'!$I133), AND('ProductSprint Backlog'!$J133=C$2,'ProductSprint Backlog'!$I133=C$2), 'ProductSprint Backlog'!$F133, TRUE, 0)</f>
        <v>0</v>
      </c>
      <c r="D133" s="4" cm="1">
        <f t="array" ref="D133">_xlfn.IFS('ProductSprint Backlog'!$F133="", "", AND('ProductSprint Backlog'!$J133&gt;D$2,'ProductSprint Backlog'!$I133&lt;=D$2), 'ProductSprint Backlog'!$F133 / MAX(1, 'ProductSprint Backlog'!$J133-'ProductSprint Backlog'!$I133), AND('ProductSprint Backlog'!$J133=D$2,'ProductSprint Backlog'!$I133=D$2), 'ProductSprint Backlog'!$F133, TRUE, 0)</f>
        <v>0</v>
      </c>
      <c r="E133" s="4" cm="1">
        <f t="array" ref="E133">_xlfn.IFS('ProductSprint Backlog'!$F133="", "", AND('ProductSprint Backlog'!$J133&gt;E$2,'ProductSprint Backlog'!$I133&lt;=E$2), 'ProductSprint Backlog'!$F133 / MAX(1, 'ProductSprint Backlog'!$J133-'ProductSprint Backlog'!$I133), AND('ProductSprint Backlog'!$J133=E$2,'ProductSprint Backlog'!$I133=E$2), 'ProductSprint Backlog'!$F133, TRUE, 0)</f>
        <v>0</v>
      </c>
      <c r="F133" s="4" cm="1">
        <f t="array" ref="F133">_xlfn.IFS('ProductSprint Backlog'!$F133="", "", AND('ProductSprint Backlog'!$J133&gt;F$2,'ProductSprint Backlog'!$I133&lt;=F$2), 'ProductSprint Backlog'!$F133 / MAX(1, 'ProductSprint Backlog'!$J133-'ProductSprint Backlog'!$I133), AND('ProductSprint Backlog'!$J133=F$2,'ProductSprint Backlog'!$I133=F$2), 'ProductSprint Backlog'!$F133, TRUE, 0)</f>
        <v>0</v>
      </c>
      <c r="G133" s="4" cm="1">
        <f t="array" ref="G133">_xlfn.IFS('ProductSprint Backlog'!$F133="", "", AND('ProductSprint Backlog'!$J133&gt;G$2,'ProductSprint Backlog'!$I133&lt;=G$2), 'ProductSprint Backlog'!$F133 / MAX(1, 'ProductSprint Backlog'!$J133-'ProductSprint Backlog'!$I133), AND('ProductSprint Backlog'!$J133=G$2,'ProductSprint Backlog'!$I133=G$2), 'ProductSprint Backlog'!$F133, TRUE, 0)</f>
        <v>0</v>
      </c>
      <c r="H133" s="4" cm="1">
        <f t="array" ref="H133">_xlfn.IFS('ProductSprint Backlog'!$F133="", "", AND('ProductSprint Backlog'!$J133&gt;H$2,'ProductSprint Backlog'!$I133&lt;=H$2), 'ProductSprint Backlog'!$F133 / MAX(1, 'ProductSprint Backlog'!$J133-'ProductSprint Backlog'!$I133), AND('ProductSprint Backlog'!$J133=H$2,'ProductSprint Backlog'!$I133=H$2), 'ProductSprint Backlog'!$F133, TRUE, 0)</f>
        <v>0</v>
      </c>
      <c r="I133" s="4" cm="1">
        <f t="array" ref="I133">_xlfn.IFS('ProductSprint Backlog'!$F133="", "", AND('ProductSprint Backlog'!$J133&gt;I$2,'ProductSprint Backlog'!$I133&lt;=I$2), 'ProductSprint Backlog'!$F133 / MAX(1, 'ProductSprint Backlog'!$J133-'ProductSprint Backlog'!$I133), AND('ProductSprint Backlog'!$J133=I$2,'ProductSprint Backlog'!$I133=I$2), 'ProductSprint Backlog'!$F133, TRUE, 0)</f>
        <v>0</v>
      </c>
      <c r="J133" s="4" cm="1">
        <f t="array" ref="J133">_xlfn.IFS('ProductSprint Backlog'!$F133="", "", AND('ProductSprint Backlog'!$J133&gt;J$2,'ProductSprint Backlog'!$I133&lt;=J$2), 'ProductSprint Backlog'!$F133 / MAX(1, 'ProductSprint Backlog'!$J133-'ProductSprint Backlog'!$I133), AND('ProductSprint Backlog'!$J133=J$2,'ProductSprint Backlog'!$I133=J$2), 'ProductSprint Backlog'!$F133, TRUE, 0)</f>
        <v>0</v>
      </c>
      <c r="K133" s="4" cm="1">
        <f t="array" ref="K133">_xlfn.IFS('ProductSprint Backlog'!$F133="", "", AND('ProductSprint Backlog'!$J133&gt;K$2,'ProductSprint Backlog'!$I133&lt;=K$2), 'ProductSprint Backlog'!$F133 / MAX(1, 'ProductSprint Backlog'!$J133-'ProductSprint Backlog'!$I133), AND('ProductSprint Backlog'!$J133=K$2,'ProductSprint Backlog'!$I133=K$2), 'ProductSprint Backlog'!$F133, TRUE, 0)</f>
        <v>0</v>
      </c>
      <c r="L133" s="4" cm="1">
        <f t="array" ref="L133">_xlfn.IFS('ProductSprint Backlog'!$F133="", "", AND('ProductSprint Backlog'!$J133&gt;L$2,'ProductSprint Backlog'!$I133&lt;=L$2), 'ProductSprint Backlog'!$F133 / MAX(1, 'ProductSprint Backlog'!$J133-'ProductSprint Backlog'!$I133), AND('ProductSprint Backlog'!$J133=L$2,'ProductSprint Backlog'!$I133=L$2), 'ProductSprint Backlog'!$F133, TRUE, 0)</f>
        <v>0</v>
      </c>
      <c r="M133" s="4" cm="1">
        <f t="array" ref="M133">_xlfn.IFS('ProductSprint Backlog'!$F133="", "", AND('ProductSprint Backlog'!$J133&gt;M$2,'ProductSprint Backlog'!$I133&lt;=M$2), 'ProductSprint Backlog'!$F133 / MAX(1, 'ProductSprint Backlog'!$J133-'ProductSprint Backlog'!$I133), AND('ProductSprint Backlog'!$J133=M$2,'ProductSprint Backlog'!$I133=M$2), 'ProductSprint Backlog'!$F133, TRUE, 0)</f>
        <v>0</v>
      </c>
      <c r="N133" s="4" cm="1">
        <f t="array" ref="N133">_xlfn.IFS('ProductSprint Backlog'!$F133="", "", AND('ProductSprint Backlog'!$J133&gt;N$2,'ProductSprint Backlog'!$I133&lt;=N$2), 'ProductSprint Backlog'!$F133 / MAX(1, 'ProductSprint Backlog'!$J133-'ProductSprint Backlog'!$I133), AND('ProductSprint Backlog'!$J133=N$2,'ProductSprint Backlog'!$I133=N$2), 'ProductSprint Backlog'!$F133, TRUE, 0)</f>
        <v>0</v>
      </c>
      <c r="O133" s="4" cm="1">
        <f t="array" ref="O133">_xlfn.IFS('ProductSprint Backlog'!$F133="", "", AND('ProductSprint Backlog'!$J133&gt;O$2,'ProductSprint Backlog'!$I133&lt;=O$2), 'ProductSprint Backlog'!$F133 / MAX(1, 'ProductSprint Backlog'!$J133-'ProductSprint Backlog'!$I133), AND('ProductSprint Backlog'!$J133=O$2,'ProductSprint Backlog'!$I133=O$2), 'ProductSprint Backlog'!$F133, TRUE, 0)</f>
        <v>0</v>
      </c>
    </row>
    <row r="134" spans="2:15" x14ac:dyDescent="0.2">
      <c r="B134" s="4" cm="1">
        <f t="array" ref="B134">_xlfn.IFS('ProductSprint Backlog'!$F134="", "", AND('ProductSprint Backlog'!$J134&gt;B$2,'ProductSprint Backlog'!$I134&lt;=B$2), 'ProductSprint Backlog'!$F134 / MAX(1, 'ProductSprint Backlog'!$J134-'ProductSprint Backlog'!$I134), AND('ProductSprint Backlog'!$J134=B$2,'ProductSprint Backlog'!$I134=B$2), 'ProductSprint Backlog'!$F134, TRUE, 0)</f>
        <v>0</v>
      </c>
      <c r="C134" s="4" cm="1">
        <f t="array" ref="C134">_xlfn.IFS('ProductSprint Backlog'!$F134="", "", AND('ProductSprint Backlog'!$J134&gt;C$2,'ProductSprint Backlog'!$I134&lt;=C$2), 'ProductSprint Backlog'!$F134 / MAX(1, 'ProductSprint Backlog'!$J134-'ProductSprint Backlog'!$I134), AND('ProductSprint Backlog'!$J134=C$2,'ProductSprint Backlog'!$I134=C$2), 'ProductSprint Backlog'!$F134, TRUE, 0)</f>
        <v>0</v>
      </c>
      <c r="D134" s="4" cm="1">
        <f t="array" ref="D134">_xlfn.IFS('ProductSprint Backlog'!$F134="", "", AND('ProductSprint Backlog'!$J134&gt;D$2,'ProductSprint Backlog'!$I134&lt;=D$2), 'ProductSprint Backlog'!$F134 / MAX(1, 'ProductSprint Backlog'!$J134-'ProductSprint Backlog'!$I134), AND('ProductSprint Backlog'!$J134=D$2,'ProductSprint Backlog'!$I134=D$2), 'ProductSprint Backlog'!$F134, TRUE, 0)</f>
        <v>0</v>
      </c>
      <c r="E134" s="4" cm="1">
        <f t="array" ref="E134">_xlfn.IFS('ProductSprint Backlog'!$F134="", "", AND('ProductSprint Backlog'!$J134&gt;E$2,'ProductSprint Backlog'!$I134&lt;=E$2), 'ProductSprint Backlog'!$F134 / MAX(1, 'ProductSprint Backlog'!$J134-'ProductSprint Backlog'!$I134), AND('ProductSprint Backlog'!$J134=E$2,'ProductSprint Backlog'!$I134=E$2), 'ProductSprint Backlog'!$F134, TRUE, 0)</f>
        <v>0</v>
      </c>
      <c r="F134" s="4" cm="1">
        <f t="array" ref="F134">_xlfn.IFS('ProductSprint Backlog'!$F134="", "", AND('ProductSprint Backlog'!$J134&gt;F$2,'ProductSprint Backlog'!$I134&lt;=F$2), 'ProductSprint Backlog'!$F134 / MAX(1, 'ProductSprint Backlog'!$J134-'ProductSprint Backlog'!$I134), AND('ProductSprint Backlog'!$J134=F$2,'ProductSprint Backlog'!$I134=F$2), 'ProductSprint Backlog'!$F134, TRUE, 0)</f>
        <v>0</v>
      </c>
      <c r="G134" s="4" cm="1">
        <f t="array" ref="G134">_xlfn.IFS('ProductSprint Backlog'!$F134="", "", AND('ProductSprint Backlog'!$J134&gt;G$2,'ProductSprint Backlog'!$I134&lt;=G$2), 'ProductSprint Backlog'!$F134 / MAX(1, 'ProductSprint Backlog'!$J134-'ProductSprint Backlog'!$I134), AND('ProductSprint Backlog'!$J134=G$2,'ProductSprint Backlog'!$I134=G$2), 'ProductSprint Backlog'!$F134, TRUE, 0)</f>
        <v>0</v>
      </c>
      <c r="H134" s="4" cm="1">
        <f t="array" ref="H134">_xlfn.IFS('ProductSprint Backlog'!$F134="", "", AND('ProductSprint Backlog'!$J134&gt;H$2,'ProductSprint Backlog'!$I134&lt;=H$2), 'ProductSprint Backlog'!$F134 / MAX(1, 'ProductSprint Backlog'!$J134-'ProductSprint Backlog'!$I134), AND('ProductSprint Backlog'!$J134=H$2,'ProductSprint Backlog'!$I134=H$2), 'ProductSprint Backlog'!$F134, TRUE, 0)</f>
        <v>0</v>
      </c>
      <c r="I134" s="4" cm="1">
        <f t="array" ref="I134">_xlfn.IFS('ProductSprint Backlog'!$F134="", "", AND('ProductSprint Backlog'!$J134&gt;I$2,'ProductSprint Backlog'!$I134&lt;=I$2), 'ProductSprint Backlog'!$F134 / MAX(1, 'ProductSprint Backlog'!$J134-'ProductSprint Backlog'!$I134), AND('ProductSprint Backlog'!$J134=I$2,'ProductSprint Backlog'!$I134=I$2), 'ProductSprint Backlog'!$F134, TRUE, 0)</f>
        <v>0</v>
      </c>
      <c r="J134" s="4" cm="1">
        <f t="array" ref="J134">_xlfn.IFS('ProductSprint Backlog'!$F134="", "", AND('ProductSprint Backlog'!$J134&gt;J$2,'ProductSprint Backlog'!$I134&lt;=J$2), 'ProductSprint Backlog'!$F134 / MAX(1, 'ProductSprint Backlog'!$J134-'ProductSprint Backlog'!$I134), AND('ProductSprint Backlog'!$J134=J$2,'ProductSprint Backlog'!$I134=J$2), 'ProductSprint Backlog'!$F134, TRUE, 0)</f>
        <v>0</v>
      </c>
      <c r="K134" s="4" cm="1">
        <f t="array" ref="K134">_xlfn.IFS('ProductSprint Backlog'!$F134="", "", AND('ProductSprint Backlog'!$J134&gt;K$2,'ProductSprint Backlog'!$I134&lt;=K$2), 'ProductSprint Backlog'!$F134 / MAX(1, 'ProductSprint Backlog'!$J134-'ProductSprint Backlog'!$I134), AND('ProductSprint Backlog'!$J134=K$2,'ProductSprint Backlog'!$I134=K$2), 'ProductSprint Backlog'!$F134, TRUE, 0)</f>
        <v>0</v>
      </c>
      <c r="L134" s="4" cm="1">
        <f t="array" ref="L134">_xlfn.IFS('ProductSprint Backlog'!$F134="", "", AND('ProductSprint Backlog'!$J134&gt;L$2,'ProductSprint Backlog'!$I134&lt;=L$2), 'ProductSprint Backlog'!$F134 / MAX(1, 'ProductSprint Backlog'!$J134-'ProductSprint Backlog'!$I134), AND('ProductSprint Backlog'!$J134=L$2,'ProductSprint Backlog'!$I134=L$2), 'ProductSprint Backlog'!$F134, TRUE, 0)</f>
        <v>0</v>
      </c>
      <c r="M134" s="4" cm="1">
        <f t="array" ref="M134">_xlfn.IFS('ProductSprint Backlog'!$F134="", "", AND('ProductSprint Backlog'!$J134&gt;M$2,'ProductSprint Backlog'!$I134&lt;=M$2), 'ProductSprint Backlog'!$F134 / MAX(1, 'ProductSprint Backlog'!$J134-'ProductSprint Backlog'!$I134), AND('ProductSprint Backlog'!$J134=M$2,'ProductSprint Backlog'!$I134=M$2), 'ProductSprint Backlog'!$F134, TRUE, 0)</f>
        <v>0</v>
      </c>
      <c r="N134" s="4" cm="1">
        <f t="array" ref="N134">_xlfn.IFS('ProductSprint Backlog'!$F134="", "", AND('ProductSprint Backlog'!$J134&gt;N$2,'ProductSprint Backlog'!$I134&lt;=N$2), 'ProductSprint Backlog'!$F134 / MAX(1, 'ProductSprint Backlog'!$J134-'ProductSprint Backlog'!$I134), AND('ProductSprint Backlog'!$J134=N$2,'ProductSprint Backlog'!$I134=N$2), 'ProductSprint Backlog'!$F134, TRUE, 0)</f>
        <v>0</v>
      </c>
      <c r="O134" s="4" cm="1">
        <f t="array" ref="O134">_xlfn.IFS('ProductSprint Backlog'!$F134="", "", AND('ProductSprint Backlog'!$J134&gt;O$2,'ProductSprint Backlog'!$I134&lt;=O$2), 'ProductSprint Backlog'!$F134 / MAX(1, 'ProductSprint Backlog'!$J134-'ProductSprint Backlog'!$I134), AND('ProductSprint Backlog'!$J134=O$2,'ProductSprint Backlog'!$I134=O$2), 'ProductSprint Backlog'!$F134, TRUE, 0)</f>
        <v>0</v>
      </c>
    </row>
    <row r="135" spans="2:15" x14ac:dyDescent="0.2">
      <c r="B135" s="4" cm="1">
        <f t="array" ref="B135">_xlfn.IFS('ProductSprint Backlog'!$F135="", "", AND('ProductSprint Backlog'!$J135&gt;B$2,'ProductSprint Backlog'!$I135&lt;=B$2), 'ProductSprint Backlog'!$F135 / MAX(1, 'ProductSprint Backlog'!$J135-'ProductSprint Backlog'!$I135), AND('ProductSprint Backlog'!$J135=B$2,'ProductSprint Backlog'!$I135=B$2), 'ProductSprint Backlog'!$F135, TRUE, 0)</f>
        <v>0</v>
      </c>
      <c r="C135" s="4" cm="1">
        <f t="array" ref="C135">_xlfn.IFS('ProductSprint Backlog'!$F135="", "", AND('ProductSprint Backlog'!$J135&gt;C$2,'ProductSprint Backlog'!$I135&lt;=C$2), 'ProductSprint Backlog'!$F135 / MAX(1, 'ProductSprint Backlog'!$J135-'ProductSprint Backlog'!$I135), AND('ProductSprint Backlog'!$J135=C$2,'ProductSprint Backlog'!$I135=C$2), 'ProductSprint Backlog'!$F135, TRUE, 0)</f>
        <v>0</v>
      </c>
      <c r="D135" s="4" cm="1">
        <f t="array" ref="D135">_xlfn.IFS('ProductSprint Backlog'!$F135="", "", AND('ProductSprint Backlog'!$J135&gt;D$2,'ProductSprint Backlog'!$I135&lt;=D$2), 'ProductSprint Backlog'!$F135 / MAX(1, 'ProductSprint Backlog'!$J135-'ProductSprint Backlog'!$I135), AND('ProductSprint Backlog'!$J135=D$2,'ProductSprint Backlog'!$I135=D$2), 'ProductSprint Backlog'!$F135, TRUE, 0)</f>
        <v>0</v>
      </c>
      <c r="E135" s="4" cm="1">
        <f t="array" ref="E135">_xlfn.IFS('ProductSprint Backlog'!$F135="", "", AND('ProductSprint Backlog'!$J135&gt;E$2,'ProductSprint Backlog'!$I135&lt;=E$2), 'ProductSprint Backlog'!$F135 / MAX(1, 'ProductSprint Backlog'!$J135-'ProductSprint Backlog'!$I135), AND('ProductSprint Backlog'!$J135=E$2,'ProductSprint Backlog'!$I135=E$2), 'ProductSprint Backlog'!$F135, TRUE, 0)</f>
        <v>0</v>
      </c>
      <c r="F135" s="4" cm="1">
        <f t="array" ref="F135">_xlfn.IFS('ProductSprint Backlog'!$F135="", "", AND('ProductSprint Backlog'!$J135&gt;F$2,'ProductSprint Backlog'!$I135&lt;=F$2), 'ProductSprint Backlog'!$F135 / MAX(1, 'ProductSprint Backlog'!$J135-'ProductSprint Backlog'!$I135), AND('ProductSprint Backlog'!$J135=F$2,'ProductSprint Backlog'!$I135=F$2), 'ProductSprint Backlog'!$F135, TRUE, 0)</f>
        <v>0</v>
      </c>
      <c r="G135" s="4" cm="1">
        <f t="array" ref="G135">_xlfn.IFS('ProductSprint Backlog'!$F135="", "", AND('ProductSprint Backlog'!$J135&gt;G$2,'ProductSprint Backlog'!$I135&lt;=G$2), 'ProductSprint Backlog'!$F135 / MAX(1, 'ProductSprint Backlog'!$J135-'ProductSprint Backlog'!$I135), AND('ProductSprint Backlog'!$J135=G$2,'ProductSprint Backlog'!$I135=G$2), 'ProductSprint Backlog'!$F135, TRUE, 0)</f>
        <v>0</v>
      </c>
      <c r="H135" s="4" cm="1">
        <f t="array" ref="H135">_xlfn.IFS('ProductSprint Backlog'!$F135="", "", AND('ProductSprint Backlog'!$J135&gt;H$2,'ProductSprint Backlog'!$I135&lt;=H$2), 'ProductSprint Backlog'!$F135 / MAX(1, 'ProductSprint Backlog'!$J135-'ProductSprint Backlog'!$I135), AND('ProductSprint Backlog'!$J135=H$2,'ProductSprint Backlog'!$I135=H$2), 'ProductSprint Backlog'!$F135, TRUE, 0)</f>
        <v>0</v>
      </c>
      <c r="I135" s="4" cm="1">
        <f t="array" ref="I135">_xlfn.IFS('ProductSprint Backlog'!$F135="", "", AND('ProductSprint Backlog'!$J135&gt;I$2,'ProductSprint Backlog'!$I135&lt;=I$2), 'ProductSprint Backlog'!$F135 / MAX(1, 'ProductSprint Backlog'!$J135-'ProductSprint Backlog'!$I135), AND('ProductSprint Backlog'!$J135=I$2,'ProductSprint Backlog'!$I135=I$2), 'ProductSprint Backlog'!$F135, TRUE, 0)</f>
        <v>0</v>
      </c>
      <c r="J135" s="4" cm="1">
        <f t="array" ref="J135">_xlfn.IFS('ProductSprint Backlog'!$F135="", "", AND('ProductSprint Backlog'!$J135&gt;J$2,'ProductSprint Backlog'!$I135&lt;=J$2), 'ProductSprint Backlog'!$F135 / MAX(1, 'ProductSprint Backlog'!$J135-'ProductSprint Backlog'!$I135), AND('ProductSprint Backlog'!$J135=J$2,'ProductSprint Backlog'!$I135=J$2), 'ProductSprint Backlog'!$F135, TRUE, 0)</f>
        <v>0</v>
      </c>
      <c r="K135" s="4" cm="1">
        <f t="array" ref="K135">_xlfn.IFS('ProductSprint Backlog'!$F135="", "", AND('ProductSprint Backlog'!$J135&gt;K$2,'ProductSprint Backlog'!$I135&lt;=K$2), 'ProductSprint Backlog'!$F135 / MAX(1, 'ProductSprint Backlog'!$J135-'ProductSprint Backlog'!$I135), AND('ProductSprint Backlog'!$J135=K$2,'ProductSprint Backlog'!$I135=K$2), 'ProductSprint Backlog'!$F135, TRUE, 0)</f>
        <v>0</v>
      </c>
      <c r="L135" s="4" cm="1">
        <f t="array" ref="L135">_xlfn.IFS('ProductSprint Backlog'!$F135="", "", AND('ProductSprint Backlog'!$J135&gt;L$2,'ProductSprint Backlog'!$I135&lt;=L$2), 'ProductSprint Backlog'!$F135 / MAX(1, 'ProductSprint Backlog'!$J135-'ProductSprint Backlog'!$I135), AND('ProductSprint Backlog'!$J135=L$2,'ProductSprint Backlog'!$I135=L$2), 'ProductSprint Backlog'!$F135, TRUE, 0)</f>
        <v>0</v>
      </c>
      <c r="M135" s="4" cm="1">
        <f t="array" ref="M135">_xlfn.IFS('ProductSprint Backlog'!$F135="", "", AND('ProductSprint Backlog'!$J135&gt;M$2,'ProductSprint Backlog'!$I135&lt;=M$2), 'ProductSprint Backlog'!$F135 / MAX(1, 'ProductSprint Backlog'!$J135-'ProductSprint Backlog'!$I135), AND('ProductSprint Backlog'!$J135=M$2,'ProductSprint Backlog'!$I135=M$2), 'ProductSprint Backlog'!$F135, TRUE, 0)</f>
        <v>0</v>
      </c>
      <c r="N135" s="4" cm="1">
        <f t="array" ref="N135">_xlfn.IFS('ProductSprint Backlog'!$F135="", "", AND('ProductSprint Backlog'!$J135&gt;N$2,'ProductSprint Backlog'!$I135&lt;=N$2), 'ProductSprint Backlog'!$F135 / MAX(1, 'ProductSprint Backlog'!$J135-'ProductSprint Backlog'!$I135), AND('ProductSprint Backlog'!$J135=N$2,'ProductSprint Backlog'!$I135=N$2), 'ProductSprint Backlog'!$F135, TRUE, 0)</f>
        <v>0</v>
      </c>
      <c r="O135" s="4" cm="1">
        <f t="array" ref="O135">_xlfn.IFS('ProductSprint Backlog'!$F135="", "", AND('ProductSprint Backlog'!$J135&gt;O$2,'ProductSprint Backlog'!$I135&lt;=O$2), 'ProductSprint Backlog'!$F135 / MAX(1, 'ProductSprint Backlog'!$J135-'ProductSprint Backlog'!$I135), AND('ProductSprint Backlog'!$J135=O$2,'ProductSprint Backlog'!$I135=O$2), 'ProductSprint Backlog'!$F135, TRUE, 0)</f>
        <v>0</v>
      </c>
    </row>
    <row r="136" spans="2:15" x14ac:dyDescent="0.2">
      <c r="B136" s="4" cm="1">
        <f t="array" ref="B136">_xlfn.IFS('ProductSprint Backlog'!$F136="", "", AND('ProductSprint Backlog'!$J136&gt;B$2,'ProductSprint Backlog'!$I136&lt;=B$2), 'ProductSprint Backlog'!$F136 / MAX(1, 'ProductSprint Backlog'!$J136-'ProductSprint Backlog'!$I136), AND('ProductSprint Backlog'!$J136=B$2,'ProductSprint Backlog'!$I136=B$2), 'ProductSprint Backlog'!$F136, TRUE, 0)</f>
        <v>0</v>
      </c>
      <c r="C136" s="4" cm="1">
        <f t="array" ref="C136">_xlfn.IFS('ProductSprint Backlog'!$F136="", "", AND('ProductSprint Backlog'!$J136&gt;C$2,'ProductSprint Backlog'!$I136&lt;=C$2), 'ProductSprint Backlog'!$F136 / MAX(1, 'ProductSprint Backlog'!$J136-'ProductSprint Backlog'!$I136), AND('ProductSprint Backlog'!$J136=C$2,'ProductSprint Backlog'!$I136=C$2), 'ProductSprint Backlog'!$F136, TRUE, 0)</f>
        <v>0</v>
      </c>
      <c r="D136" s="4" cm="1">
        <f t="array" ref="D136">_xlfn.IFS('ProductSprint Backlog'!$F136="", "", AND('ProductSprint Backlog'!$J136&gt;D$2,'ProductSprint Backlog'!$I136&lt;=D$2), 'ProductSprint Backlog'!$F136 / MAX(1, 'ProductSprint Backlog'!$J136-'ProductSprint Backlog'!$I136), AND('ProductSprint Backlog'!$J136=D$2,'ProductSprint Backlog'!$I136=D$2), 'ProductSprint Backlog'!$F136, TRUE, 0)</f>
        <v>0</v>
      </c>
      <c r="E136" s="4" cm="1">
        <f t="array" ref="E136">_xlfn.IFS('ProductSprint Backlog'!$F136="", "", AND('ProductSprint Backlog'!$J136&gt;E$2,'ProductSprint Backlog'!$I136&lt;=E$2), 'ProductSprint Backlog'!$F136 / MAX(1, 'ProductSprint Backlog'!$J136-'ProductSprint Backlog'!$I136), AND('ProductSprint Backlog'!$J136=E$2,'ProductSprint Backlog'!$I136=E$2), 'ProductSprint Backlog'!$F136, TRUE, 0)</f>
        <v>0</v>
      </c>
      <c r="F136" s="4" cm="1">
        <f t="array" ref="F136">_xlfn.IFS('ProductSprint Backlog'!$F136="", "", AND('ProductSprint Backlog'!$J136&gt;F$2,'ProductSprint Backlog'!$I136&lt;=F$2), 'ProductSprint Backlog'!$F136 / MAX(1, 'ProductSprint Backlog'!$J136-'ProductSprint Backlog'!$I136), AND('ProductSprint Backlog'!$J136=F$2,'ProductSprint Backlog'!$I136=F$2), 'ProductSprint Backlog'!$F136, TRUE, 0)</f>
        <v>0</v>
      </c>
      <c r="G136" s="4" cm="1">
        <f t="array" ref="G136">_xlfn.IFS('ProductSprint Backlog'!$F136="", "", AND('ProductSprint Backlog'!$J136&gt;G$2,'ProductSprint Backlog'!$I136&lt;=G$2), 'ProductSprint Backlog'!$F136 / MAX(1, 'ProductSprint Backlog'!$J136-'ProductSprint Backlog'!$I136), AND('ProductSprint Backlog'!$J136=G$2,'ProductSprint Backlog'!$I136=G$2), 'ProductSprint Backlog'!$F136, TRUE, 0)</f>
        <v>0</v>
      </c>
      <c r="H136" s="4" cm="1">
        <f t="array" ref="H136">_xlfn.IFS('ProductSprint Backlog'!$F136="", "", AND('ProductSprint Backlog'!$J136&gt;H$2,'ProductSprint Backlog'!$I136&lt;=H$2), 'ProductSprint Backlog'!$F136 / MAX(1, 'ProductSprint Backlog'!$J136-'ProductSprint Backlog'!$I136), AND('ProductSprint Backlog'!$J136=H$2,'ProductSprint Backlog'!$I136=H$2), 'ProductSprint Backlog'!$F136, TRUE, 0)</f>
        <v>0</v>
      </c>
      <c r="I136" s="4" cm="1">
        <f t="array" ref="I136">_xlfn.IFS('ProductSprint Backlog'!$F136="", "", AND('ProductSprint Backlog'!$J136&gt;I$2,'ProductSprint Backlog'!$I136&lt;=I$2), 'ProductSprint Backlog'!$F136 / MAX(1, 'ProductSprint Backlog'!$J136-'ProductSprint Backlog'!$I136), AND('ProductSprint Backlog'!$J136=I$2,'ProductSprint Backlog'!$I136=I$2), 'ProductSprint Backlog'!$F136, TRUE, 0)</f>
        <v>0</v>
      </c>
      <c r="J136" s="4" cm="1">
        <f t="array" ref="J136">_xlfn.IFS('ProductSprint Backlog'!$F136="", "", AND('ProductSprint Backlog'!$J136&gt;J$2,'ProductSprint Backlog'!$I136&lt;=J$2), 'ProductSprint Backlog'!$F136 / MAX(1, 'ProductSprint Backlog'!$J136-'ProductSprint Backlog'!$I136), AND('ProductSprint Backlog'!$J136=J$2,'ProductSprint Backlog'!$I136=J$2), 'ProductSprint Backlog'!$F136, TRUE, 0)</f>
        <v>0</v>
      </c>
      <c r="K136" s="4" cm="1">
        <f t="array" ref="K136">_xlfn.IFS('ProductSprint Backlog'!$F136="", "", AND('ProductSprint Backlog'!$J136&gt;K$2,'ProductSprint Backlog'!$I136&lt;=K$2), 'ProductSprint Backlog'!$F136 / MAX(1, 'ProductSprint Backlog'!$J136-'ProductSprint Backlog'!$I136), AND('ProductSprint Backlog'!$J136=K$2,'ProductSprint Backlog'!$I136=K$2), 'ProductSprint Backlog'!$F136, TRUE, 0)</f>
        <v>0</v>
      </c>
      <c r="L136" s="4" cm="1">
        <f t="array" ref="L136">_xlfn.IFS('ProductSprint Backlog'!$F136="", "", AND('ProductSprint Backlog'!$J136&gt;L$2,'ProductSprint Backlog'!$I136&lt;=L$2), 'ProductSprint Backlog'!$F136 / MAX(1, 'ProductSprint Backlog'!$J136-'ProductSprint Backlog'!$I136), AND('ProductSprint Backlog'!$J136=L$2,'ProductSprint Backlog'!$I136=L$2), 'ProductSprint Backlog'!$F136, TRUE, 0)</f>
        <v>0</v>
      </c>
      <c r="M136" s="4" cm="1">
        <f t="array" ref="M136">_xlfn.IFS('ProductSprint Backlog'!$F136="", "", AND('ProductSprint Backlog'!$J136&gt;M$2,'ProductSprint Backlog'!$I136&lt;=M$2), 'ProductSprint Backlog'!$F136 / MAX(1, 'ProductSprint Backlog'!$J136-'ProductSprint Backlog'!$I136), AND('ProductSprint Backlog'!$J136=M$2,'ProductSprint Backlog'!$I136=M$2), 'ProductSprint Backlog'!$F136, TRUE, 0)</f>
        <v>0</v>
      </c>
      <c r="N136" s="4" cm="1">
        <f t="array" ref="N136">_xlfn.IFS('ProductSprint Backlog'!$F136="", "", AND('ProductSprint Backlog'!$J136&gt;N$2,'ProductSprint Backlog'!$I136&lt;=N$2), 'ProductSprint Backlog'!$F136 / MAX(1, 'ProductSprint Backlog'!$J136-'ProductSprint Backlog'!$I136), AND('ProductSprint Backlog'!$J136=N$2,'ProductSprint Backlog'!$I136=N$2), 'ProductSprint Backlog'!$F136, TRUE, 0)</f>
        <v>0</v>
      </c>
      <c r="O136" s="4" cm="1">
        <f t="array" ref="O136">_xlfn.IFS('ProductSprint Backlog'!$F136="", "", AND('ProductSprint Backlog'!$J136&gt;O$2,'ProductSprint Backlog'!$I136&lt;=O$2), 'ProductSprint Backlog'!$F136 / MAX(1, 'ProductSprint Backlog'!$J136-'ProductSprint Backlog'!$I136), AND('ProductSprint Backlog'!$J136=O$2,'ProductSprint Backlog'!$I136=O$2), 'ProductSprint Backlog'!$F136, TRUE, 0)</f>
        <v>0</v>
      </c>
    </row>
    <row r="137" spans="2:15" x14ac:dyDescent="0.2">
      <c r="B137" s="4" cm="1">
        <f t="array" ref="B137">_xlfn.IFS('ProductSprint Backlog'!$F137="", "", AND('ProductSprint Backlog'!$J137&gt;B$2,'ProductSprint Backlog'!$I137&lt;=B$2), 'ProductSprint Backlog'!$F137 / MAX(1, 'ProductSprint Backlog'!$J137-'ProductSprint Backlog'!$I137), AND('ProductSprint Backlog'!$J137=B$2,'ProductSprint Backlog'!$I137=B$2), 'ProductSprint Backlog'!$F137, TRUE, 0)</f>
        <v>0</v>
      </c>
      <c r="C137" s="4" cm="1">
        <f t="array" ref="C137">_xlfn.IFS('ProductSprint Backlog'!$F137="", "", AND('ProductSprint Backlog'!$J137&gt;C$2,'ProductSprint Backlog'!$I137&lt;=C$2), 'ProductSprint Backlog'!$F137 / MAX(1, 'ProductSprint Backlog'!$J137-'ProductSprint Backlog'!$I137), AND('ProductSprint Backlog'!$J137=C$2,'ProductSprint Backlog'!$I137=C$2), 'ProductSprint Backlog'!$F137, TRUE, 0)</f>
        <v>0</v>
      </c>
      <c r="D137" s="4" cm="1">
        <f t="array" ref="D137">_xlfn.IFS('ProductSprint Backlog'!$F137="", "", AND('ProductSprint Backlog'!$J137&gt;D$2,'ProductSprint Backlog'!$I137&lt;=D$2), 'ProductSprint Backlog'!$F137 / MAX(1, 'ProductSprint Backlog'!$J137-'ProductSprint Backlog'!$I137), AND('ProductSprint Backlog'!$J137=D$2,'ProductSprint Backlog'!$I137=D$2), 'ProductSprint Backlog'!$F137, TRUE, 0)</f>
        <v>0</v>
      </c>
      <c r="E137" s="4" cm="1">
        <f t="array" ref="E137">_xlfn.IFS('ProductSprint Backlog'!$F137="", "", AND('ProductSprint Backlog'!$J137&gt;E$2,'ProductSprint Backlog'!$I137&lt;=E$2), 'ProductSprint Backlog'!$F137 / MAX(1, 'ProductSprint Backlog'!$J137-'ProductSprint Backlog'!$I137), AND('ProductSprint Backlog'!$J137=E$2,'ProductSprint Backlog'!$I137=E$2), 'ProductSprint Backlog'!$F137, TRUE, 0)</f>
        <v>0</v>
      </c>
      <c r="F137" s="4" cm="1">
        <f t="array" ref="F137">_xlfn.IFS('ProductSprint Backlog'!$F137="", "", AND('ProductSprint Backlog'!$J137&gt;F$2,'ProductSprint Backlog'!$I137&lt;=F$2), 'ProductSprint Backlog'!$F137 / MAX(1, 'ProductSprint Backlog'!$J137-'ProductSprint Backlog'!$I137), AND('ProductSprint Backlog'!$J137=F$2,'ProductSprint Backlog'!$I137=F$2), 'ProductSprint Backlog'!$F137, TRUE, 0)</f>
        <v>0</v>
      </c>
      <c r="G137" s="4" cm="1">
        <f t="array" ref="G137">_xlfn.IFS('ProductSprint Backlog'!$F137="", "", AND('ProductSprint Backlog'!$J137&gt;G$2,'ProductSprint Backlog'!$I137&lt;=G$2), 'ProductSprint Backlog'!$F137 / MAX(1, 'ProductSprint Backlog'!$J137-'ProductSprint Backlog'!$I137), AND('ProductSprint Backlog'!$J137=G$2,'ProductSprint Backlog'!$I137=G$2), 'ProductSprint Backlog'!$F137, TRUE, 0)</f>
        <v>0</v>
      </c>
      <c r="H137" s="4" cm="1">
        <f t="array" ref="H137">_xlfn.IFS('ProductSprint Backlog'!$F137="", "", AND('ProductSprint Backlog'!$J137&gt;H$2,'ProductSprint Backlog'!$I137&lt;=H$2), 'ProductSprint Backlog'!$F137 / MAX(1, 'ProductSprint Backlog'!$J137-'ProductSprint Backlog'!$I137), AND('ProductSprint Backlog'!$J137=H$2,'ProductSprint Backlog'!$I137=H$2), 'ProductSprint Backlog'!$F137, TRUE, 0)</f>
        <v>0</v>
      </c>
      <c r="I137" s="4" cm="1">
        <f t="array" ref="I137">_xlfn.IFS('ProductSprint Backlog'!$F137="", "", AND('ProductSprint Backlog'!$J137&gt;I$2,'ProductSprint Backlog'!$I137&lt;=I$2), 'ProductSprint Backlog'!$F137 / MAX(1, 'ProductSprint Backlog'!$J137-'ProductSprint Backlog'!$I137), AND('ProductSprint Backlog'!$J137=I$2,'ProductSprint Backlog'!$I137=I$2), 'ProductSprint Backlog'!$F137, TRUE, 0)</f>
        <v>0</v>
      </c>
      <c r="J137" s="4" cm="1">
        <f t="array" ref="J137">_xlfn.IFS('ProductSprint Backlog'!$F137="", "", AND('ProductSprint Backlog'!$J137&gt;J$2,'ProductSprint Backlog'!$I137&lt;=J$2), 'ProductSprint Backlog'!$F137 / MAX(1, 'ProductSprint Backlog'!$J137-'ProductSprint Backlog'!$I137), AND('ProductSprint Backlog'!$J137=J$2,'ProductSprint Backlog'!$I137=J$2), 'ProductSprint Backlog'!$F137, TRUE, 0)</f>
        <v>0</v>
      </c>
      <c r="K137" s="4" cm="1">
        <f t="array" ref="K137">_xlfn.IFS('ProductSprint Backlog'!$F137="", "", AND('ProductSprint Backlog'!$J137&gt;K$2,'ProductSprint Backlog'!$I137&lt;=K$2), 'ProductSprint Backlog'!$F137 / MAX(1, 'ProductSprint Backlog'!$J137-'ProductSprint Backlog'!$I137), AND('ProductSprint Backlog'!$J137=K$2,'ProductSprint Backlog'!$I137=K$2), 'ProductSprint Backlog'!$F137, TRUE, 0)</f>
        <v>0</v>
      </c>
      <c r="L137" s="4" cm="1">
        <f t="array" ref="L137">_xlfn.IFS('ProductSprint Backlog'!$F137="", "", AND('ProductSprint Backlog'!$J137&gt;L$2,'ProductSprint Backlog'!$I137&lt;=L$2), 'ProductSprint Backlog'!$F137 / MAX(1, 'ProductSprint Backlog'!$J137-'ProductSprint Backlog'!$I137), AND('ProductSprint Backlog'!$J137=L$2,'ProductSprint Backlog'!$I137=L$2), 'ProductSprint Backlog'!$F137, TRUE, 0)</f>
        <v>0</v>
      </c>
      <c r="M137" s="4" cm="1">
        <f t="array" ref="M137">_xlfn.IFS('ProductSprint Backlog'!$F137="", "", AND('ProductSprint Backlog'!$J137&gt;M$2,'ProductSprint Backlog'!$I137&lt;=M$2), 'ProductSprint Backlog'!$F137 / MAX(1, 'ProductSprint Backlog'!$J137-'ProductSprint Backlog'!$I137), AND('ProductSprint Backlog'!$J137=M$2,'ProductSprint Backlog'!$I137=M$2), 'ProductSprint Backlog'!$F137, TRUE, 0)</f>
        <v>0</v>
      </c>
      <c r="N137" s="4" cm="1">
        <f t="array" ref="N137">_xlfn.IFS('ProductSprint Backlog'!$F137="", "", AND('ProductSprint Backlog'!$J137&gt;N$2,'ProductSprint Backlog'!$I137&lt;=N$2), 'ProductSprint Backlog'!$F137 / MAX(1, 'ProductSprint Backlog'!$J137-'ProductSprint Backlog'!$I137), AND('ProductSprint Backlog'!$J137=N$2,'ProductSprint Backlog'!$I137=N$2), 'ProductSprint Backlog'!$F137, TRUE, 0)</f>
        <v>0</v>
      </c>
      <c r="O137" s="4" cm="1">
        <f t="array" ref="O137">_xlfn.IFS('ProductSprint Backlog'!$F137="", "", AND('ProductSprint Backlog'!$J137&gt;O$2,'ProductSprint Backlog'!$I137&lt;=O$2), 'ProductSprint Backlog'!$F137 / MAX(1, 'ProductSprint Backlog'!$J137-'ProductSprint Backlog'!$I137), AND('ProductSprint Backlog'!$J137=O$2,'ProductSprint Backlog'!$I137=O$2), 'ProductSprint Backlog'!$F137, TRUE, 0)</f>
        <v>0</v>
      </c>
    </row>
    <row r="138" spans="2:15" x14ac:dyDescent="0.2">
      <c r="B138" s="4" cm="1">
        <f t="array" ref="B138">_xlfn.IFS('ProductSprint Backlog'!$F138="", "", AND('ProductSprint Backlog'!$J138&gt;B$2,'ProductSprint Backlog'!$I138&lt;=B$2), 'ProductSprint Backlog'!$F138 / MAX(1, 'ProductSprint Backlog'!$J138-'ProductSprint Backlog'!$I138), AND('ProductSprint Backlog'!$J138=B$2,'ProductSprint Backlog'!$I138=B$2), 'ProductSprint Backlog'!$F138, TRUE, 0)</f>
        <v>0</v>
      </c>
      <c r="C138" s="4" cm="1">
        <f t="array" ref="C138">_xlfn.IFS('ProductSprint Backlog'!$F138="", "", AND('ProductSprint Backlog'!$J138&gt;C$2,'ProductSprint Backlog'!$I138&lt;=C$2), 'ProductSprint Backlog'!$F138 / MAX(1, 'ProductSprint Backlog'!$J138-'ProductSprint Backlog'!$I138), AND('ProductSprint Backlog'!$J138=C$2,'ProductSprint Backlog'!$I138=C$2), 'ProductSprint Backlog'!$F138, TRUE, 0)</f>
        <v>0</v>
      </c>
      <c r="D138" s="4" cm="1">
        <f t="array" ref="D138">_xlfn.IFS('ProductSprint Backlog'!$F138="", "", AND('ProductSprint Backlog'!$J138&gt;D$2,'ProductSprint Backlog'!$I138&lt;=D$2), 'ProductSprint Backlog'!$F138 / MAX(1, 'ProductSprint Backlog'!$J138-'ProductSprint Backlog'!$I138), AND('ProductSprint Backlog'!$J138=D$2,'ProductSprint Backlog'!$I138=D$2), 'ProductSprint Backlog'!$F138, TRUE, 0)</f>
        <v>0</v>
      </c>
      <c r="E138" s="4" cm="1">
        <f t="array" ref="E138">_xlfn.IFS('ProductSprint Backlog'!$F138="", "", AND('ProductSprint Backlog'!$J138&gt;E$2,'ProductSprint Backlog'!$I138&lt;=E$2), 'ProductSprint Backlog'!$F138 / MAX(1, 'ProductSprint Backlog'!$J138-'ProductSprint Backlog'!$I138), AND('ProductSprint Backlog'!$J138=E$2,'ProductSprint Backlog'!$I138=E$2), 'ProductSprint Backlog'!$F138, TRUE, 0)</f>
        <v>0</v>
      </c>
      <c r="F138" s="4" cm="1">
        <f t="array" ref="F138">_xlfn.IFS('ProductSprint Backlog'!$F138="", "", AND('ProductSprint Backlog'!$J138&gt;F$2,'ProductSprint Backlog'!$I138&lt;=F$2), 'ProductSprint Backlog'!$F138 / MAX(1, 'ProductSprint Backlog'!$J138-'ProductSprint Backlog'!$I138), AND('ProductSprint Backlog'!$J138=F$2,'ProductSprint Backlog'!$I138=F$2), 'ProductSprint Backlog'!$F138, TRUE, 0)</f>
        <v>0</v>
      </c>
      <c r="G138" s="4" cm="1">
        <f t="array" ref="G138">_xlfn.IFS('ProductSprint Backlog'!$F138="", "", AND('ProductSprint Backlog'!$J138&gt;G$2,'ProductSprint Backlog'!$I138&lt;=G$2), 'ProductSprint Backlog'!$F138 / MAX(1, 'ProductSprint Backlog'!$J138-'ProductSprint Backlog'!$I138), AND('ProductSprint Backlog'!$J138=G$2,'ProductSprint Backlog'!$I138=G$2), 'ProductSprint Backlog'!$F138, TRUE, 0)</f>
        <v>0</v>
      </c>
      <c r="H138" s="4" cm="1">
        <f t="array" ref="H138">_xlfn.IFS('ProductSprint Backlog'!$F138="", "", AND('ProductSprint Backlog'!$J138&gt;H$2,'ProductSprint Backlog'!$I138&lt;=H$2), 'ProductSprint Backlog'!$F138 / MAX(1, 'ProductSprint Backlog'!$J138-'ProductSprint Backlog'!$I138), AND('ProductSprint Backlog'!$J138=H$2,'ProductSprint Backlog'!$I138=H$2), 'ProductSprint Backlog'!$F138, TRUE, 0)</f>
        <v>0</v>
      </c>
      <c r="I138" s="4" cm="1">
        <f t="array" ref="I138">_xlfn.IFS('ProductSprint Backlog'!$F138="", "", AND('ProductSprint Backlog'!$J138&gt;I$2,'ProductSprint Backlog'!$I138&lt;=I$2), 'ProductSprint Backlog'!$F138 / MAX(1, 'ProductSprint Backlog'!$J138-'ProductSprint Backlog'!$I138), AND('ProductSprint Backlog'!$J138=I$2,'ProductSprint Backlog'!$I138=I$2), 'ProductSprint Backlog'!$F138, TRUE, 0)</f>
        <v>0</v>
      </c>
      <c r="J138" s="4" cm="1">
        <f t="array" ref="J138">_xlfn.IFS('ProductSprint Backlog'!$F138="", "", AND('ProductSprint Backlog'!$J138&gt;J$2,'ProductSprint Backlog'!$I138&lt;=J$2), 'ProductSprint Backlog'!$F138 / MAX(1, 'ProductSprint Backlog'!$J138-'ProductSprint Backlog'!$I138), AND('ProductSprint Backlog'!$J138=J$2,'ProductSprint Backlog'!$I138=J$2), 'ProductSprint Backlog'!$F138, TRUE, 0)</f>
        <v>0</v>
      </c>
      <c r="K138" s="4" cm="1">
        <f t="array" ref="K138">_xlfn.IFS('ProductSprint Backlog'!$F138="", "", AND('ProductSprint Backlog'!$J138&gt;K$2,'ProductSprint Backlog'!$I138&lt;=K$2), 'ProductSprint Backlog'!$F138 / MAX(1, 'ProductSprint Backlog'!$J138-'ProductSprint Backlog'!$I138), AND('ProductSprint Backlog'!$J138=K$2,'ProductSprint Backlog'!$I138=K$2), 'ProductSprint Backlog'!$F138, TRUE, 0)</f>
        <v>0</v>
      </c>
      <c r="L138" s="4" cm="1">
        <f t="array" ref="L138">_xlfn.IFS('ProductSprint Backlog'!$F138="", "", AND('ProductSprint Backlog'!$J138&gt;L$2,'ProductSprint Backlog'!$I138&lt;=L$2), 'ProductSprint Backlog'!$F138 / MAX(1, 'ProductSprint Backlog'!$J138-'ProductSprint Backlog'!$I138), AND('ProductSprint Backlog'!$J138=L$2,'ProductSprint Backlog'!$I138=L$2), 'ProductSprint Backlog'!$F138, TRUE, 0)</f>
        <v>0</v>
      </c>
      <c r="M138" s="4" cm="1">
        <f t="array" ref="M138">_xlfn.IFS('ProductSprint Backlog'!$F138="", "", AND('ProductSprint Backlog'!$J138&gt;M$2,'ProductSprint Backlog'!$I138&lt;=M$2), 'ProductSprint Backlog'!$F138 / MAX(1, 'ProductSprint Backlog'!$J138-'ProductSprint Backlog'!$I138), AND('ProductSprint Backlog'!$J138=M$2,'ProductSprint Backlog'!$I138=M$2), 'ProductSprint Backlog'!$F138, TRUE, 0)</f>
        <v>0</v>
      </c>
      <c r="N138" s="4" cm="1">
        <f t="array" ref="N138">_xlfn.IFS('ProductSprint Backlog'!$F138="", "", AND('ProductSprint Backlog'!$J138&gt;N$2,'ProductSprint Backlog'!$I138&lt;=N$2), 'ProductSprint Backlog'!$F138 / MAX(1, 'ProductSprint Backlog'!$J138-'ProductSprint Backlog'!$I138), AND('ProductSprint Backlog'!$J138=N$2,'ProductSprint Backlog'!$I138=N$2), 'ProductSprint Backlog'!$F138, TRUE, 0)</f>
        <v>0</v>
      </c>
      <c r="O138" s="4" cm="1">
        <f t="array" ref="O138">_xlfn.IFS('ProductSprint Backlog'!$F138="", "", AND('ProductSprint Backlog'!$J138&gt;O$2,'ProductSprint Backlog'!$I138&lt;=O$2), 'ProductSprint Backlog'!$F138 / MAX(1, 'ProductSprint Backlog'!$J138-'ProductSprint Backlog'!$I138), AND('ProductSprint Backlog'!$J138=O$2,'ProductSprint Backlog'!$I138=O$2), 'ProductSprint Backlog'!$F138, TRUE, 0)</f>
        <v>0</v>
      </c>
    </row>
    <row r="139" spans="2:15" x14ac:dyDescent="0.2">
      <c r="B139" s="4" cm="1">
        <f t="array" ref="B139">_xlfn.IFS('ProductSprint Backlog'!$F139="", "", AND('ProductSprint Backlog'!$J139&gt;B$2,'ProductSprint Backlog'!$I139&lt;=B$2), 'ProductSprint Backlog'!$F139 / MAX(1, 'ProductSprint Backlog'!$J139-'ProductSprint Backlog'!$I139), AND('ProductSprint Backlog'!$J139=B$2,'ProductSprint Backlog'!$I139=B$2), 'ProductSprint Backlog'!$F139, TRUE, 0)</f>
        <v>0</v>
      </c>
      <c r="C139" s="4" cm="1">
        <f t="array" ref="C139">_xlfn.IFS('ProductSprint Backlog'!$F139="", "", AND('ProductSprint Backlog'!$J139&gt;C$2,'ProductSprint Backlog'!$I139&lt;=C$2), 'ProductSprint Backlog'!$F139 / MAX(1, 'ProductSprint Backlog'!$J139-'ProductSprint Backlog'!$I139), AND('ProductSprint Backlog'!$J139=C$2,'ProductSprint Backlog'!$I139=C$2), 'ProductSprint Backlog'!$F139, TRUE, 0)</f>
        <v>0</v>
      </c>
      <c r="D139" s="4" cm="1">
        <f t="array" ref="D139">_xlfn.IFS('ProductSprint Backlog'!$F139="", "", AND('ProductSprint Backlog'!$J139&gt;D$2,'ProductSprint Backlog'!$I139&lt;=D$2), 'ProductSprint Backlog'!$F139 / MAX(1, 'ProductSprint Backlog'!$J139-'ProductSprint Backlog'!$I139), AND('ProductSprint Backlog'!$J139=D$2,'ProductSprint Backlog'!$I139=D$2), 'ProductSprint Backlog'!$F139, TRUE, 0)</f>
        <v>0</v>
      </c>
      <c r="E139" s="4" cm="1">
        <f t="array" ref="E139">_xlfn.IFS('ProductSprint Backlog'!$F139="", "", AND('ProductSprint Backlog'!$J139&gt;E$2,'ProductSprint Backlog'!$I139&lt;=E$2), 'ProductSprint Backlog'!$F139 / MAX(1, 'ProductSprint Backlog'!$J139-'ProductSprint Backlog'!$I139), AND('ProductSprint Backlog'!$J139=E$2,'ProductSprint Backlog'!$I139=E$2), 'ProductSprint Backlog'!$F139, TRUE, 0)</f>
        <v>0</v>
      </c>
      <c r="F139" s="4" cm="1">
        <f t="array" ref="F139">_xlfn.IFS('ProductSprint Backlog'!$F139="", "", AND('ProductSprint Backlog'!$J139&gt;F$2,'ProductSprint Backlog'!$I139&lt;=F$2), 'ProductSprint Backlog'!$F139 / MAX(1, 'ProductSprint Backlog'!$J139-'ProductSprint Backlog'!$I139), AND('ProductSprint Backlog'!$J139=F$2,'ProductSprint Backlog'!$I139=F$2), 'ProductSprint Backlog'!$F139, TRUE, 0)</f>
        <v>0</v>
      </c>
      <c r="G139" s="4" cm="1">
        <f t="array" ref="G139">_xlfn.IFS('ProductSprint Backlog'!$F139="", "", AND('ProductSprint Backlog'!$J139&gt;G$2,'ProductSprint Backlog'!$I139&lt;=G$2), 'ProductSprint Backlog'!$F139 / MAX(1, 'ProductSprint Backlog'!$J139-'ProductSprint Backlog'!$I139), AND('ProductSprint Backlog'!$J139=G$2,'ProductSprint Backlog'!$I139=G$2), 'ProductSprint Backlog'!$F139, TRUE, 0)</f>
        <v>0</v>
      </c>
      <c r="H139" s="4" cm="1">
        <f t="array" ref="H139">_xlfn.IFS('ProductSprint Backlog'!$F139="", "", AND('ProductSprint Backlog'!$J139&gt;H$2,'ProductSprint Backlog'!$I139&lt;=H$2), 'ProductSprint Backlog'!$F139 / MAX(1, 'ProductSprint Backlog'!$J139-'ProductSprint Backlog'!$I139), AND('ProductSprint Backlog'!$J139=H$2,'ProductSprint Backlog'!$I139=H$2), 'ProductSprint Backlog'!$F139, TRUE, 0)</f>
        <v>0</v>
      </c>
      <c r="I139" s="4" cm="1">
        <f t="array" ref="I139">_xlfn.IFS('ProductSprint Backlog'!$F139="", "", AND('ProductSprint Backlog'!$J139&gt;I$2,'ProductSprint Backlog'!$I139&lt;=I$2), 'ProductSprint Backlog'!$F139 / MAX(1, 'ProductSprint Backlog'!$J139-'ProductSprint Backlog'!$I139), AND('ProductSprint Backlog'!$J139=I$2,'ProductSprint Backlog'!$I139=I$2), 'ProductSprint Backlog'!$F139, TRUE, 0)</f>
        <v>0</v>
      </c>
      <c r="J139" s="4" cm="1">
        <f t="array" ref="J139">_xlfn.IFS('ProductSprint Backlog'!$F139="", "", AND('ProductSprint Backlog'!$J139&gt;J$2,'ProductSprint Backlog'!$I139&lt;=J$2), 'ProductSprint Backlog'!$F139 / MAX(1, 'ProductSprint Backlog'!$J139-'ProductSprint Backlog'!$I139), AND('ProductSprint Backlog'!$J139=J$2,'ProductSprint Backlog'!$I139=J$2), 'ProductSprint Backlog'!$F139, TRUE, 0)</f>
        <v>0</v>
      </c>
      <c r="K139" s="4" cm="1">
        <f t="array" ref="K139">_xlfn.IFS('ProductSprint Backlog'!$F139="", "", AND('ProductSprint Backlog'!$J139&gt;K$2,'ProductSprint Backlog'!$I139&lt;=K$2), 'ProductSprint Backlog'!$F139 / MAX(1, 'ProductSprint Backlog'!$J139-'ProductSprint Backlog'!$I139), AND('ProductSprint Backlog'!$J139=K$2,'ProductSprint Backlog'!$I139=K$2), 'ProductSprint Backlog'!$F139, TRUE, 0)</f>
        <v>0</v>
      </c>
      <c r="L139" s="4" cm="1">
        <f t="array" ref="L139">_xlfn.IFS('ProductSprint Backlog'!$F139="", "", AND('ProductSprint Backlog'!$J139&gt;L$2,'ProductSprint Backlog'!$I139&lt;=L$2), 'ProductSprint Backlog'!$F139 / MAX(1, 'ProductSprint Backlog'!$J139-'ProductSprint Backlog'!$I139), AND('ProductSprint Backlog'!$J139=L$2,'ProductSprint Backlog'!$I139=L$2), 'ProductSprint Backlog'!$F139, TRUE, 0)</f>
        <v>0</v>
      </c>
      <c r="M139" s="4" cm="1">
        <f t="array" ref="M139">_xlfn.IFS('ProductSprint Backlog'!$F139="", "", AND('ProductSprint Backlog'!$J139&gt;M$2,'ProductSprint Backlog'!$I139&lt;=M$2), 'ProductSprint Backlog'!$F139 / MAX(1, 'ProductSprint Backlog'!$J139-'ProductSprint Backlog'!$I139), AND('ProductSprint Backlog'!$J139=M$2,'ProductSprint Backlog'!$I139=M$2), 'ProductSprint Backlog'!$F139, TRUE, 0)</f>
        <v>0</v>
      </c>
      <c r="N139" s="4" cm="1">
        <f t="array" ref="N139">_xlfn.IFS('ProductSprint Backlog'!$F139="", "", AND('ProductSprint Backlog'!$J139&gt;N$2,'ProductSprint Backlog'!$I139&lt;=N$2), 'ProductSprint Backlog'!$F139 / MAX(1, 'ProductSprint Backlog'!$J139-'ProductSprint Backlog'!$I139), AND('ProductSprint Backlog'!$J139=N$2,'ProductSprint Backlog'!$I139=N$2), 'ProductSprint Backlog'!$F139, TRUE, 0)</f>
        <v>0</v>
      </c>
      <c r="O139" s="4" cm="1">
        <f t="array" ref="O139">_xlfn.IFS('ProductSprint Backlog'!$F139="", "", AND('ProductSprint Backlog'!$J139&gt;O$2,'ProductSprint Backlog'!$I139&lt;=O$2), 'ProductSprint Backlog'!$F139 / MAX(1, 'ProductSprint Backlog'!$J139-'ProductSprint Backlog'!$I139), AND('ProductSprint Backlog'!$J139=O$2,'ProductSprint Backlog'!$I139=O$2), 'ProductSprint Backlog'!$F139, TRUE, 0)</f>
        <v>0</v>
      </c>
    </row>
    <row r="140" spans="2:15" x14ac:dyDescent="0.2">
      <c r="B140" s="4" cm="1">
        <f t="array" ref="B140">_xlfn.IFS('ProductSprint Backlog'!$F140="", "", AND('ProductSprint Backlog'!$J140&gt;B$2,'ProductSprint Backlog'!$I140&lt;=B$2), 'ProductSprint Backlog'!$F140 / MAX(1, 'ProductSprint Backlog'!$J140-'ProductSprint Backlog'!$I140), AND('ProductSprint Backlog'!$J140=B$2,'ProductSprint Backlog'!$I140=B$2), 'ProductSprint Backlog'!$F140, TRUE, 0)</f>
        <v>0</v>
      </c>
      <c r="C140" s="4" cm="1">
        <f t="array" ref="C140">_xlfn.IFS('ProductSprint Backlog'!$F140="", "", AND('ProductSprint Backlog'!$J140&gt;C$2,'ProductSprint Backlog'!$I140&lt;=C$2), 'ProductSprint Backlog'!$F140 / MAX(1, 'ProductSprint Backlog'!$J140-'ProductSprint Backlog'!$I140), AND('ProductSprint Backlog'!$J140=C$2,'ProductSprint Backlog'!$I140=C$2), 'ProductSprint Backlog'!$F140, TRUE, 0)</f>
        <v>0</v>
      </c>
      <c r="D140" s="4" cm="1">
        <f t="array" ref="D140">_xlfn.IFS('ProductSprint Backlog'!$F140="", "", AND('ProductSprint Backlog'!$J140&gt;D$2,'ProductSprint Backlog'!$I140&lt;=D$2), 'ProductSprint Backlog'!$F140 / MAX(1, 'ProductSprint Backlog'!$J140-'ProductSprint Backlog'!$I140), AND('ProductSprint Backlog'!$J140=D$2,'ProductSprint Backlog'!$I140=D$2), 'ProductSprint Backlog'!$F140, TRUE, 0)</f>
        <v>0</v>
      </c>
      <c r="E140" s="4" cm="1">
        <f t="array" ref="E140">_xlfn.IFS('ProductSprint Backlog'!$F140="", "", AND('ProductSprint Backlog'!$J140&gt;E$2,'ProductSprint Backlog'!$I140&lt;=E$2), 'ProductSprint Backlog'!$F140 / MAX(1, 'ProductSprint Backlog'!$J140-'ProductSprint Backlog'!$I140), AND('ProductSprint Backlog'!$J140=E$2,'ProductSprint Backlog'!$I140=E$2), 'ProductSprint Backlog'!$F140, TRUE, 0)</f>
        <v>0</v>
      </c>
      <c r="F140" s="4" cm="1">
        <f t="array" ref="F140">_xlfn.IFS('ProductSprint Backlog'!$F140="", "", AND('ProductSprint Backlog'!$J140&gt;F$2,'ProductSprint Backlog'!$I140&lt;=F$2), 'ProductSprint Backlog'!$F140 / MAX(1, 'ProductSprint Backlog'!$J140-'ProductSprint Backlog'!$I140), AND('ProductSprint Backlog'!$J140=F$2,'ProductSprint Backlog'!$I140=F$2), 'ProductSprint Backlog'!$F140, TRUE, 0)</f>
        <v>0</v>
      </c>
      <c r="G140" s="4" cm="1">
        <f t="array" ref="G140">_xlfn.IFS('ProductSprint Backlog'!$F140="", "", AND('ProductSprint Backlog'!$J140&gt;G$2,'ProductSprint Backlog'!$I140&lt;=G$2), 'ProductSprint Backlog'!$F140 / MAX(1, 'ProductSprint Backlog'!$J140-'ProductSprint Backlog'!$I140), AND('ProductSprint Backlog'!$J140=G$2,'ProductSprint Backlog'!$I140=G$2), 'ProductSprint Backlog'!$F140, TRUE, 0)</f>
        <v>0</v>
      </c>
      <c r="H140" s="4" cm="1">
        <f t="array" ref="H140">_xlfn.IFS('ProductSprint Backlog'!$F140="", "", AND('ProductSprint Backlog'!$J140&gt;H$2,'ProductSprint Backlog'!$I140&lt;=H$2), 'ProductSprint Backlog'!$F140 / MAX(1, 'ProductSprint Backlog'!$J140-'ProductSprint Backlog'!$I140), AND('ProductSprint Backlog'!$J140=H$2,'ProductSprint Backlog'!$I140=H$2), 'ProductSprint Backlog'!$F140, TRUE, 0)</f>
        <v>0</v>
      </c>
      <c r="I140" s="4" cm="1">
        <f t="array" ref="I140">_xlfn.IFS('ProductSprint Backlog'!$F140="", "", AND('ProductSprint Backlog'!$J140&gt;I$2,'ProductSprint Backlog'!$I140&lt;=I$2), 'ProductSprint Backlog'!$F140 / MAX(1, 'ProductSprint Backlog'!$J140-'ProductSprint Backlog'!$I140), AND('ProductSprint Backlog'!$J140=I$2,'ProductSprint Backlog'!$I140=I$2), 'ProductSprint Backlog'!$F140, TRUE, 0)</f>
        <v>0</v>
      </c>
      <c r="J140" s="4" cm="1">
        <f t="array" ref="J140">_xlfn.IFS('ProductSprint Backlog'!$F140="", "", AND('ProductSprint Backlog'!$J140&gt;J$2,'ProductSprint Backlog'!$I140&lt;=J$2), 'ProductSprint Backlog'!$F140 / MAX(1, 'ProductSprint Backlog'!$J140-'ProductSprint Backlog'!$I140), AND('ProductSprint Backlog'!$J140=J$2,'ProductSprint Backlog'!$I140=J$2), 'ProductSprint Backlog'!$F140, TRUE, 0)</f>
        <v>0</v>
      </c>
      <c r="K140" s="4" cm="1">
        <f t="array" ref="K140">_xlfn.IFS('ProductSprint Backlog'!$F140="", "", AND('ProductSprint Backlog'!$J140&gt;K$2,'ProductSprint Backlog'!$I140&lt;=K$2), 'ProductSprint Backlog'!$F140 / MAX(1, 'ProductSprint Backlog'!$J140-'ProductSprint Backlog'!$I140), AND('ProductSprint Backlog'!$J140=K$2,'ProductSprint Backlog'!$I140=K$2), 'ProductSprint Backlog'!$F140, TRUE, 0)</f>
        <v>0</v>
      </c>
      <c r="L140" s="4" cm="1">
        <f t="array" ref="L140">_xlfn.IFS('ProductSprint Backlog'!$F140="", "", AND('ProductSprint Backlog'!$J140&gt;L$2,'ProductSprint Backlog'!$I140&lt;=L$2), 'ProductSprint Backlog'!$F140 / MAX(1, 'ProductSprint Backlog'!$J140-'ProductSprint Backlog'!$I140), AND('ProductSprint Backlog'!$J140=L$2,'ProductSprint Backlog'!$I140=L$2), 'ProductSprint Backlog'!$F140, TRUE, 0)</f>
        <v>0</v>
      </c>
      <c r="M140" s="4" cm="1">
        <f t="array" ref="M140">_xlfn.IFS('ProductSprint Backlog'!$F140="", "", AND('ProductSprint Backlog'!$J140&gt;M$2,'ProductSprint Backlog'!$I140&lt;=M$2), 'ProductSprint Backlog'!$F140 / MAX(1, 'ProductSprint Backlog'!$J140-'ProductSprint Backlog'!$I140), AND('ProductSprint Backlog'!$J140=M$2,'ProductSprint Backlog'!$I140=M$2), 'ProductSprint Backlog'!$F140, TRUE, 0)</f>
        <v>0</v>
      </c>
      <c r="N140" s="4" cm="1">
        <f t="array" ref="N140">_xlfn.IFS('ProductSprint Backlog'!$F140="", "", AND('ProductSprint Backlog'!$J140&gt;N$2,'ProductSprint Backlog'!$I140&lt;=N$2), 'ProductSprint Backlog'!$F140 / MAX(1, 'ProductSprint Backlog'!$J140-'ProductSprint Backlog'!$I140), AND('ProductSprint Backlog'!$J140=N$2,'ProductSprint Backlog'!$I140=N$2), 'ProductSprint Backlog'!$F140, TRUE, 0)</f>
        <v>0</v>
      </c>
      <c r="O140" s="4" cm="1">
        <f t="array" ref="O140">_xlfn.IFS('ProductSprint Backlog'!$F140="", "", AND('ProductSprint Backlog'!$J140&gt;O$2,'ProductSprint Backlog'!$I140&lt;=O$2), 'ProductSprint Backlog'!$F140 / MAX(1, 'ProductSprint Backlog'!$J140-'ProductSprint Backlog'!$I140), AND('ProductSprint Backlog'!$J140=O$2,'ProductSprint Backlog'!$I140=O$2), 'ProductSprint Backlog'!$F140, TRUE, 0)</f>
        <v>0</v>
      </c>
    </row>
    <row r="141" spans="2:15" x14ac:dyDescent="0.2">
      <c r="B141" s="4" cm="1">
        <f t="array" ref="B141">_xlfn.IFS('ProductSprint Backlog'!$F141="", "", AND('ProductSprint Backlog'!$J141&gt;B$2,'ProductSprint Backlog'!$I141&lt;=B$2), 'ProductSprint Backlog'!$F141 / MAX(1, 'ProductSprint Backlog'!$J141-'ProductSprint Backlog'!$I141), AND('ProductSprint Backlog'!$J141=B$2,'ProductSprint Backlog'!$I141=B$2), 'ProductSprint Backlog'!$F141, TRUE, 0)</f>
        <v>0</v>
      </c>
      <c r="C141" s="4" cm="1">
        <f t="array" ref="C141">_xlfn.IFS('ProductSprint Backlog'!$F141="", "", AND('ProductSprint Backlog'!$J141&gt;C$2,'ProductSprint Backlog'!$I141&lt;=C$2), 'ProductSprint Backlog'!$F141 / MAX(1, 'ProductSprint Backlog'!$J141-'ProductSprint Backlog'!$I141), AND('ProductSprint Backlog'!$J141=C$2,'ProductSprint Backlog'!$I141=C$2), 'ProductSprint Backlog'!$F141, TRUE, 0)</f>
        <v>0</v>
      </c>
      <c r="D141" s="4" cm="1">
        <f t="array" ref="D141">_xlfn.IFS('ProductSprint Backlog'!$F141="", "", AND('ProductSprint Backlog'!$J141&gt;D$2,'ProductSprint Backlog'!$I141&lt;=D$2), 'ProductSprint Backlog'!$F141 / MAX(1, 'ProductSprint Backlog'!$J141-'ProductSprint Backlog'!$I141), AND('ProductSprint Backlog'!$J141=D$2,'ProductSprint Backlog'!$I141=D$2), 'ProductSprint Backlog'!$F141, TRUE, 0)</f>
        <v>0</v>
      </c>
      <c r="E141" s="4" cm="1">
        <f t="array" ref="E141">_xlfn.IFS('ProductSprint Backlog'!$F141="", "", AND('ProductSprint Backlog'!$J141&gt;E$2,'ProductSprint Backlog'!$I141&lt;=E$2), 'ProductSprint Backlog'!$F141 / MAX(1, 'ProductSprint Backlog'!$J141-'ProductSprint Backlog'!$I141), AND('ProductSprint Backlog'!$J141=E$2,'ProductSprint Backlog'!$I141=E$2), 'ProductSprint Backlog'!$F141, TRUE, 0)</f>
        <v>0</v>
      </c>
      <c r="F141" s="4" cm="1">
        <f t="array" ref="F141">_xlfn.IFS('ProductSprint Backlog'!$F141="", "", AND('ProductSprint Backlog'!$J141&gt;F$2,'ProductSprint Backlog'!$I141&lt;=F$2), 'ProductSprint Backlog'!$F141 / MAX(1, 'ProductSprint Backlog'!$J141-'ProductSprint Backlog'!$I141), AND('ProductSprint Backlog'!$J141=F$2,'ProductSprint Backlog'!$I141=F$2), 'ProductSprint Backlog'!$F141, TRUE, 0)</f>
        <v>0</v>
      </c>
      <c r="G141" s="4" cm="1">
        <f t="array" ref="G141">_xlfn.IFS('ProductSprint Backlog'!$F141="", "", AND('ProductSprint Backlog'!$J141&gt;G$2,'ProductSprint Backlog'!$I141&lt;=G$2), 'ProductSprint Backlog'!$F141 / MAX(1, 'ProductSprint Backlog'!$J141-'ProductSprint Backlog'!$I141), AND('ProductSprint Backlog'!$J141=G$2,'ProductSprint Backlog'!$I141=G$2), 'ProductSprint Backlog'!$F141, TRUE, 0)</f>
        <v>0</v>
      </c>
      <c r="H141" s="4" cm="1">
        <f t="array" ref="H141">_xlfn.IFS('ProductSprint Backlog'!$F141="", "", AND('ProductSprint Backlog'!$J141&gt;H$2,'ProductSprint Backlog'!$I141&lt;=H$2), 'ProductSprint Backlog'!$F141 / MAX(1, 'ProductSprint Backlog'!$J141-'ProductSprint Backlog'!$I141), AND('ProductSprint Backlog'!$J141=H$2,'ProductSprint Backlog'!$I141=H$2), 'ProductSprint Backlog'!$F141, TRUE, 0)</f>
        <v>0</v>
      </c>
      <c r="I141" s="4" cm="1">
        <f t="array" ref="I141">_xlfn.IFS('ProductSprint Backlog'!$F141="", "", AND('ProductSprint Backlog'!$J141&gt;I$2,'ProductSprint Backlog'!$I141&lt;=I$2), 'ProductSprint Backlog'!$F141 / MAX(1, 'ProductSprint Backlog'!$J141-'ProductSprint Backlog'!$I141), AND('ProductSprint Backlog'!$J141=I$2,'ProductSprint Backlog'!$I141=I$2), 'ProductSprint Backlog'!$F141, TRUE, 0)</f>
        <v>0</v>
      </c>
      <c r="J141" s="4" cm="1">
        <f t="array" ref="J141">_xlfn.IFS('ProductSprint Backlog'!$F141="", "", AND('ProductSprint Backlog'!$J141&gt;J$2,'ProductSprint Backlog'!$I141&lt;=J$2), 'ProductSprint Backlog'!$F141 / MAX(1, 'ProductSprint Backlog'!$J141-'ProductSprint Backlog'!$I141), AND('ProductSprint Backlog'!$J141=J$2,'ProductSprint Backlog'!$I141=J$2), 'ProductSprint Backlog'!$F141, TRUE, 0)</f>
        <v>0</v>
      </c>
      <c r="K141" s="4" cm="1">
        <f t="array" ref="K141">_xlfn.IFS('ProductSprint Backlog'!$F141="", "", AND('ProductSprint Backlog'!$J141&gt;K$2,'ProductSprint Backlog'!$I141&lt;=K$2), 'ProductSprint Backlog'!$F141 / MAX(1, 'ProductSprint Backlog'!$J141-'ProductSprint Backlog'!$I141), AND('ProductSprint Backlog'!$J141=K$2,'ProductSprint Backlog'!$I141=K$2), 'ProductSprint Backlog'!$F141, TRUE, 0)</f>
        <v>0</v>
      </c>
      <c r="L141" s="4" cm="1">
        <f t="array" ref="L141">_xlfn.IFS('ProductSprint Backlog'!$F141="", "", AND('ProductSprint Backlog'!$J141&gt;L$2,'ProductSprint Backlog'!$I141&lt;=L$2), 'ProductSprint Backlog'!$F141 / MAX(1, 'ProductSprint Backlog'!$J141-'ProductSprint Backlog'!$I141), AND('ProductSprint Backlog'!$J141=L$2,'ProductSprint Backlog'!$I141=L$2), 'ProductSprint Backlog'!$F141, TRUE, 0)</f>
        <v>0</v>
      </c>
      <c r="M141" s="4" cm="1">
        <f t="array" ref="M141">_xlfn.IFS('ProductSprint Backlog'!$F141="", "", AND('ProductSprint Backlog'!$J141&gt;M$2,'ProductSprint Backlog'!$I141&lt;=M$2), 'ProductSprint Backlog'!$F141 / MAX(1, 'ProductSprint Backlog'!$J141-'ProductSprint Backlog'!$I141), AND('ProductSprint Backlog'!$J141=M$2,'ProductSprint Backlog'!$I141=M$2), 'ProductSprint Backlog'!$F141, TRUE, 0)</f>
        <v>0</v>
      </c>
      <c r="N141" s="4" cm="1">
        <f t="array" ref="N141">_xlfn.IFS('ProductSprint Backlog'!$F141="", "", AND('ProductSprint Backlog'!$J141&gt;N$2,'ProductSprint Backlog'!$I141&lt;=N$2), 'ProductSprint Backlog'!$F141 / MAX(1, 'ProductSprint Backlog'!$J141-'ProductSprint Backlog'!$I141), AND('ProductSprint Backlog'!$J141=N$2,'ProductSprint Backlog'!$I141=N$2), 'ProductSprint Backlog'!$F141, TRUE, 0)</f>
        <v>0</v>
      </c>
      <c r="O141" s="4" cm="1">
        <f t="array" ref="O141">_xlfn.IFS('ProductSprint Backlog'!$F141="", "", AND('ProductSprint Backlog'!$J141&gt;O$2,'ProductSprint Backlog'!$I141&lt;=O$2), 'ProductSprint Backlog'!$F141 / MAX(1, 'ProductSprint Backlog'!$J141-'ProductSprint Backlog'!$I141), AND('ProductSprint Backlog'!$J141=O$2,'ProductSprint Backlog'!$I141=O$2), 'ProductSprint Backlog'!$F141, TRUE, 0)</f>
        <v>0</v>
      </c>
    </row>
    <row r="142" spans="2:15" x14ac:dyDescent="0.2">
      <c r="B142" s="4" cm="1">
        <f t="array" ref="B142">_xlfn.IFS('ProductSprint Backlog'!$F142="", "", AND('ProductSprint Backlog'!$J142&gt;B$2,'ProductSprint Backlog'!$I142&lt;=B$2), 'ProductSprint Backlog'!$F142 / MAX(1, 'ProductSprint Backlog'!$J142-'ProductSprint Backlog'!$I142), AND('ProductSprint Backlog'!$J142=B$2,'ProductSprint Backlog'!$I142=B$2), 'ProductSprint Backlog'!$F142, TRUE, 0)</f>
        <v>0</v>
      </c>
      <c r="C142" s="4" cm="1">
        <f t="array" ref="C142">_xlfn.IFS('ProductSprint Backlog'!$F142="", "", AND('ProductSprint Backlog'!$J142&gt;C$2,'ProductSprint Backlog'!$I142&lt;=C$2), 'ProductSprint Backlog'!$F142 / MAX(1, 'ProductSprint Backlog'!$J142-'ProductSprint Backlog'!$I142), AND('ProductSprint Backlog'!$J142=C$2,'ProductSprint Backlog'!$I142=C$2), 'ProductSprint Backlog'!$F142, TRUE, 0)</f>
        <v>0</v>
      </c>
      <c r="D142" s="4" cm="1">
        <f t="array" ref="D142">_xlfn.IFS('ProductSprint Backlog'!$F142="", "", AND('ProductSprint Backlog'!$J142&gt;D$2,'ProductSprint Backlog'!$I142&lt;=D$2), 'ProductSprint Backlog'!$F142 / MAX(1, 'ProductSprint Backlog'!$J142-'ProductSprint Backlog'!$I142), AND('ProductSprint Backlog'!$J142=D$2,'ProductSprint Backlog'!$I142=D$2), 'ProductSprint Backlog'!$F142, TRUE, 0)</f>
        <v>0</v>
      </c>
      <c r="E142" s="4" cm="1">
        <f t="array" ref="E142">_xlfn.IFS('ProductSprint Backlog'!$F142="", "", AND('ProductSprint Backlog'!$J142&gt;E$2,'ProductSprint Backlog'!$I142&lt;=E$2), 'ProductSprint Backlog'!$F142 / MAX(1, 'ProductSprint Backlog'!$J142-'ProductSprint Backlog'!$I142), AND('ProductSprint Backlog'!$J142=E$2,'ProductSprint Backlog'!$I142=E$2), 'ProductSprint Backlog'!$F142, TRUE, 0)</f>
        <v>0</v>
      </c>
      <c r="F142" s="4" cm="1">
        <f t="array" ref="F142">_xlfn.IFS('ProductSprint Backlog'!$F142="", "", AND('ProductSprint Backlog'!$J142&gt;F$2,'ProductSprint Backlog'!$I142&lt;=F$2), 'ProductSprint Backlog'!$F142 / MAX(1, 'ProductSprint Backlog'!$J142-'ProductSprint Backlog'!$I142), AND('ProductSprint Backlog'!$J142=F$2,'ProductSprint Backlog'!$I142=F$2), 'ProductSprint Backlog'!$F142, TRUE, 0)</f>
        <v>0</v>
      </c>
      <c r="G142" s="4" cm="1">
        <f t="array" ref="G142">_xlfn.IFS('ProductSprint Backlog'!$F142="", "", AND('ProductSprint Backlog'!$J142&gt;G$2,'ProductSprint Backlog'!$I142&lt;=G$2), 'ProductSprint Backlog'!$F142 / MAX(1, 'ProductSprint Backlog'!$J142-'ProductSprint Backlog'!$I142), AND('ProductSprint Backlog'!$J142=G$2,'ProductSprint Backlog'!$I142=G$2), 'ProductSprint Backlog'!$F142, TRUE, 0)</f>
        <v>0</v>
      </c>
      <c r="H142" s="4" cm="1">
        <f t="array" ref="H142">_xlfn.IFS('ProductSprint Backlog'!$F142="", "", AND('ProductSprint Backlog'!$J142&gt;H$2,'ProductSprint Backlog'!$I142&lt;=H$2), 'ProductSprint Backlog'!$F142 / MAX(1, 'ProductSprint Backlog'!$J142-'ProductSprint Backlog'!$I142), AND('ProductSprint Backlog'!$J142=H$2,'ProductSprint Backlog'!$I142=H$2), 'ProductSprint Backlog'!$F142, TRUE, 0)</f>
        <v>0</v>
      </c>
      <c r="I142" s="4" cm="1">
        <f t="array" ref="I142">_xlfn.IFS('ProductSprint Backlog'!$F142="", "", AND('ProductSprint Backlog'!$J142&gt;I$2,'ProductSprint Backlog'!$I142&lt;=I$2), 'ProductSprint Backlog'!$F142 / MAX(1, 'ProductSprint Backlog'!$J142-'ProductSprint Backlog'!$I142), AND('ProductSprint Backlog'!$J142=I$2,'ProductSprint Backlog'!$I142=I$2), 'ProductSprint Backlog'!$F142, TRUE, 0)</f>
        <v>0</v>
      </c>
      <c r="J142" s="4" cm="1">
        <f t="array" ref="J142">_xlfn.IFS('ProductSprint Backlog'!$F142="", "", AND('ProductSprint Backlog'!$J142&gt;J$2,'ProductSprint Backlog'!$I142&lt;=J$2), 'ProductSprint Backlog'!$F142 / MAX(1, 'ProductSprint Backlog'!$J142-'ProductSprint Backlog'!$I142), AND('ProductSprint Backlog'!$J142=J$2,'ProductSprint Backlog'!$I142=J$2), 'ProductSprint Backlog'!$F142, TRUE, 0)</f>
        <v>0</v>
      </c>
      <c r="K142" s="4" cm="1">
        <f t="array" ref="K142">_xlfn.IFS('ProductSprint Backlog'!$F142="", "", AND('ProductSprint Backlog'!$J142&gt;K$2,'ProductSprint Backlog'!$I142&lt;=K$2), 'ProductSprint Backlog'!$F142 / MAX(1, 'ProductSprint Backlog'!$J142-'ProductSprint Backlog'!$I142), AND('ProductSprint Backlog'!$J142=K$2,'ProductSprint Backlog'!$I142=K$2), 'ProductSprint Backlog'!$F142, TRUE, 0)</f>
        <v>0</v>
      </c>
      <c r="L142" s="4" cm="1">
        <f t="array" ref="L142">_xlfn.IFS('ProductSprint Backlog'!$F142="", "", AND('ProductSprint Backlog'!$J142&gt;L$2,'ProductSprint Backlog'!$I142&lt;=L$2), 'ProductSprint Backlog'!$F142 / MAX(1, 'ProductSprint Backlog'!$J142-'ProductSprint Backlog'!$I142), AND('ProductSprint Backlog'!$J142=L$2,'ProductSprint Backlog'!$I142=L$2), 'ProductSprint Backlog'!$F142, TRUE, 0)</f>
        <v>0</v>
      </c>
      <c r="M142" s="4" cm="1">
        <f t="array" ref="M142">_xlfn.IFS('ProductSprint Backlog'!$F142="", "", AND('ProductSprint Backlog'!$J142&gt;M$2,'ProductSprint Backlog'!$I142&lt;=M$2), 'ProductSprint Backlog'!$F142 / MAX(1, 'ProductSprint Backlog'!$J142-'ProductSprint Backlog'!$I142), AND('ProductSprint Backlog'!$J142=M$2,'ProductSprint Backlog'!$I142=M$2), 'ProductSprint Backlog'!$F142, TRUE, 0)</f>
        <v>0</v>
      </c>
      <c r="N142" s="4" cm="1">
        <f t="array" ref="N142">_xlfn.IFS('ProductSprint Backlog'!$F142="", "", AND('ProductSprint Backlog'!$J142&gt;N$2,'ProductSprint Backlog'!$I142&lt;=N$2), 'ProductSprint Backlog'!$F142 / MAX(1, 'ProductSprint Backlog'!$J142-'ProductSprint Backlog'!$I142), AND('ProductSprint Backlog'!$J142=N$2,'ProductSprint Backlog'!$I142=N$2), 'ProductSprint Backlog'!$F142, TRUE, 0)</f>
        <v>0</v>
      </c>
      <c r="O142" s="4" cm="1">
        <f t="array" ref="O142">_xlfn.IFS('ProductSprint Backlog'!$F142="", "", AND('ProductSprint Backlog'!$J142&gt;O$2,'ProductSprint Backlog'!$I142&lt;=O$2), 'ProductSprint Backlog'!$F142 / MAX(1, 'ProductSprint Backlog'!$J142-'ProductSprint Backlog'!$I142), AND('ProductSprint Backlog'!$J142=O$2,'ProductSprint Backlog'!$I142=O$2), 'ProductSprint Backlog'!$F142, TRUE, 0)</f>
        <v>0</v>
      </c>
    </row>
    <row r="143" spans="2:15" x14ac:dyDescent="0.2">
      <c r="B143" s="4" cm="1">
        <f t="array" ref="B143">_xlfn.IFS('ProductSprint Backlog'!$F143="", "", AND('ProductSprint Backlog'!$J143&gt;B$2,'ProductSprint Backlog'!$I143&lt;=B$2), 'ProductSprint Backlog'!$F143 / MAX(1, 'ProductSprint Backlog'!$J143-'ProductSprint Backlog'!$I143), AND('ProductSprint Backlog'!$J143=B$2,'ProductSprint Backlog'!$I143=B$2), 'ProductSprint Backlog'!$F143, TRUE, 0)</f>
        <v>0</v>
      </c>
      <c r="C143" s="4" cm="1">
        <f t="array" ref="C143">_xlfn.IFS('ProductSprint Backlog'!$F143="", "", AND('ProductSprint Backlog'!$J143&gt;C$2,'ProductSprint Backlog'!$I143&lt;=C$2), 'ProductSprint Backlog'!$F143 / MAX(1, 'ProductSprint Backlog'!$J143-'ProductSprint Backlog'!$I143), AND('ProductSprint Backlog'!$J143=C$2,'ProductSprint Backlog'!$I143=C$2), 'ProductSprint Backlog'!$F143, TRUE, 0)</f>
        <v>0</v>
      </c>
      <c r="D143" s="4" cm="1">
        <f t="array" ref="D143">_xlfn.IFS('ProductSprint Backlog'!$F143="", "", AND('ProductSprint Backlog'!$J143&gt;D$2,'ProductSprint Backlog'!$I143&lt;=D$2), 'ProductSprint Backlog'!$F143 / MAX(1, 'ProductSprint Backlog'!$J143-'ProductSprint Backlog'!$I143), AND('ProductSprint Backlog'!$J143=D$2,'ProductSprint Backlog'!$I143=D$2), 'ProductSprint Backlog'!$F143, TRUE, 0)</f>
        <v>0</v>
      </c>
      <c r="E143" s="4" cm="1">
        <f t="array" ref="E143">_xlfn.IFS('ProductSprint Backlog'!$F143="", "", AND('ProductSprint Backlog'!$J143&gt;E$2,'ProductSprint Backlog'!$I143&lt;=E$2), 'ProductSprint Backlog'!$F143 / MAX(1, 'ProductSprint Backlog'!$J143-'ProductSprint Backlog'!$I143), AND('ProductSprint Backlog'!$J143=E$2,'ProductSprint Backlog'!$I143=E$2), 'ProductSprint Backlog'!$F143, TRUE, 0)</f>
        <v>0</v>
      </c>
      <c r="F143" s="4" cm="1">
        <f t="array" ref="F143">_xlfn.IFS('ProductSprint Backlog'!$F143="", "", AND('ProductSprint Backlog'!$J143&gt;F$2,'ProductSprint Backlog'!$I143&lt;=F$2), 'ProductSprint Backlog'!$F143 / MAX(1, 'ProductSprint Backlog'!$J143-'ProductSprint Backlog'!$I143), AND('ProductSprint Backlog'!$J143=F$2,'ProductSprint Backlog'!$I143=F$2), 'ProductSprint Backlog'!$F143, TRUE, 0)</f>
        <v>0</v>
      </c>
      <c r="G143" s="4" cm="1">
        <f t="array" ref="G143">_xlfn.IFS('ProductSprint Backlog'!$F143="", "", AND('ProductSprint Backlog'!$J143&gt;G$2,'ProductSprint Backlog'!$I143&lt;=G$2), 'ProductSprint Backlog'!$F143 / MAX(1, 'ProductSprint Backlog'!$J143-'ProductSprint Backlog'!$I143), AND('ProductSprint Backlog'!$J143=G$2,'ProductSprint Backlog'!$I143=G$2), 'ProductSprint Backlog'!$F143, TRUE, 0)</f>
        <v>0</v>
      </c>
      <c r="H143" s="4" cm="1">
        <f t="array" ref="H143">_xlfn.IFS('ProductSprint Backlog'!$F143="", "", AND('ProductSprint Backlog'!$J143&gt;H$2,'ProductSprint Backlog'!$I143&lt;=H$2), 'ProductSprint Backlog'!$F143 / MAX(1, 'ProductSprint Backlog'!$J143-'ProductSprint Backlog'!$I143), AND('ProductSprint Backlog'!$J143=H$2,'ProductSprint Backlog'!$I143=H$2), 'ProductSprint Backlog'!$F143, TRUE, 0)</f>
        <v>0</v>
      </c>
      <c r="I143" s="4" cm="1">
        <f t="array" ref="I143">_xlfn.IFS('ProductSprint Backlog'!$F143="", "", AND('ProductSprint Backlog'!$J143&gt;I$2,'ProductSprint Backlog'!$I143&lt;=I$2), 'ProductSprint Backlog'!$F143 / MAX(1, 'ProductSprint Backlog'!$J143-'ProductSprint Backlog'!$I143), AND('ProductSprint Backlog'!$J143=I$2,'ProductSprint Backlog'!$I143=I$2), 'ProductSprint Backlog'!$F143, TRUE, 0)</f>
        <v>0</v>
      </c>
      <c r="J143" s="4" cm="1">
        <f t="array" ref="J143">_xlfn.IFS('ProductSprint Backlog'!$F143="", "", AND('ProductSprint Backlog'!$J143&gt;J$2,'ProductSprint Backlog'!$I143&lt;=J$2), 'ProductSprint Backlog'!$F143 / MAX(1, 'ProductSprint Backlog'!$J143-'ProductSprint Backlog'!$I143), AND('ProductSprint Backlog'!$J143=J$2,'ProductSprint Backlog'!$I143=J$2), 'ProductSprint Backlog'!$F143, TRUE, 0)</f>
        <v>0</v>
      </c>
      <c r="K143" s="4" cm="1">
        <f t="array" ref="K143">_xlfn.IFS('ProductSprint Backlog'!$F143="", "", AND('ProductSprint Backlog'!$J143&gt;K$2,'ProductSprint Backlog'!$I143&lt;=K$2), 'ProductSprint Backlog'!$F143 / MAX(1, 'ProductSprint Backlog'!$J143-'ProductSprint Backlog'!$I143), AND('ProductSprint Backlog'!$J143=K$2,'ProductSprint Backlog'!$I143=K$2), 'ProductSprint Backlog'!$F143, TRUE, 0)</f>
        <v>0</v>
      </c>
      <c r="L143" s="4" cm="1">
        <f t="array" ref="L143">_xlfn.IFS('ProductSprint Backlog'!$F143="", "", AND('ProductSprint Backlog'!$J143&gt;L$2,'ProductSprint Backlog'!$I143&lt;=L$2), 'ProductSprint Backlog'!$F143 / MAX(1, 'ProductSprint Backlog'!$J143-'ProductSprint Backlog'!$I143), AND('ProductSprint Backlog'!$J143=L$2,'ProductSprint Backlog'!$I143=L$2), 'ProductSprint Backlog'!$F143, TRUE, 0)</f>
        <v>0</v>
      </c>
      <c r="M143" s="4" cm="1">
        <f t="array" ref="M143">_xlfn.IFS('ProductSprint Backlog'!$F143="", "", AND('ProductSprint Backlog'!$J143&gt;M$2,'ProductSprint Backlog'!$I143&lt;=M$2), 'ProductSprint Backlog'!$F143 / MAX(1, 'ProductSprint Backlog'!$J143-'ProductSprint Backlog'!$I143), AND('ProductSprint Backlog'!$J143=M$2,'ProductSprint Backlog'!$I143=M$2), 'ProductSprint Backlog'!$F143, TRUE, 0)</f>
        <v>0</v>
      </c>
      <c r="N143" s="4" cm="1">
        <f t="array" ref="N143">_xlfn.IFS('ProductSprint Backlog'!$F143="", "", AND('ProductSprint Backlog'!$J143&gt;N$2,'ProductSprint Backlog'!$I143&lt;=N$2), 'ProductSprint Backlog'!$F143 / MAX(1, 'ProductSprint Backlog'!$J143-'ProductSprint Backlog'!$I143), AND('ProductSprint Backlog'!$J143=N$2,'ProductSprint Backlog'!$I143=N$2), 'ProductSprint Backlog'!$F143, TRUE, 0)</f>
        <v>0</v>
      </c>
      <c r="O143" s="4" cm="1">
        <f t="array" ref="O143">_xlfn.IFS('ProductSprint Backlog'!$F143="", "", AND('ProductSprint Backlog'!$J143&gt;O$2,'ProductSprint Backlog'!$I143&lt;=O$2), 'ProductSprint Backlog'!$F143 / MAX(1, 'ProductSprint Backlog'!$J143-'ProductSprint Backlog'!$I143), AND('ProductSprint Backlog'!$J143=O$2,'ProductSprint Backlog'!$I143=O$2), 'ProductSprint Backlog'!$F143, TRUE, 0)</f>
        <v>0</v>
      </c>
    </row>
    <row r="144" spans="2:15" x14ac:dyDescent="0.2">
      <c r="B144" s="4" cm="1">
        <f t="array" ref="B144">_xlfn.IFS('ProductSprint Backlog'!$F144="", "", AND('ProductSprint Backlog'!$J144&gt;B$2,'ProductSprint Backlog'!$I144&lt;=B$2), 'ProductSprint Backlog'!$F144 / MAX(1, 'ProductSprint Backlog'!$J144-'ProductSprint Backlog'!$I144), AND('ProductSprint Backlog'!$J144=B$2,'ProductSprint Backlog'!$I144=B$2), 'ProductSprint Backlog'!$F144, TRUE, 0)</f>
        <v>0</v>
      </c>
      <c r="C144" s="4" cm="1">
        <f t="array" ref="C144">_xlfn.IFS('ProductSprint Backlog'!$F144="", "", AND('ProductSprint Backlog'!$J144&gt;C$2,'ProductSprint Backlog'!$I144&lt;=C$2), 'ProductSprint Backlog'!$F144 / MAX(1, 'ProductSprint Backlog'!$J144-'ProductSprint Backlog'!$I144), AND('ProductSprint Backlog'!$J144=C$2,'ProductSprint Backlog'!$I144=C$2), 'ProductSprint Backlog'!$F144, TRUE, 0)</f>
        <v>0</v>
      </c>
      <c r="D144" s="4" cm="1">
        <f t="array" ref="D144">_xlfn.IFS('ProductSprint Backlog'!$F144="", "", AND('ProductSprint Backlog'!$J144&gt;D$2,'ProductSprint Backlog'!$I144&lt;=D$2), 'ProductSprint Backlog'!$F144 / MAX(1, 'ProductSprint Backlog'!$J144-'ProductSprint Backlog'!$I144), AND('ProductSprint Backlog'!$J144=D$2,'ProductSprint Backlog'!$I144=D$2), 'ProductSprint Backlog'!$F144, TRUE, 0)</f>
        <v>0</v>
      </c>
      <c r="E144" s="4" cm="1">
        <f t="array" ref="E144">_xlfn.IFS('ProductSprint Backlog'!$F144="", "", AND('ProductSprint Backlog'!$J144&gt;E$2,'ProductSprint Backlog'!$I144&lt;=E$2), 'ProductSprint Backlog'!$F144 / MAX(1, 'ProductSprint Backlog'!$J144-'ProductSprint Backlog'!$I144), AND('ProductSprint Backlog'!$J144=E$2,'ProductSprint Backlog'!$I144=E$2), 'ProductSprint Backlog'!$F144, TRUE, 0)</f>
        <v>0</v>
      </c>
      <c r="F144" s="4" cm="1">
        <f t="array" ref="F144">_xlfn.IFS('ProductSprint Backlog'!$F144="", "", AND('ProductSprint Backlog'!$J144&gt;F$2,'ProductSprint Backlog'!$I144&lt;=F$2), 'ProductSprint Backlog'!$F144 / MAX(1, 'ProductSprint Backlog'!$J144-'ProductSprint Backlog'!$I144), AND('ProductSprint Backlog'!$J144=F$2,'ProductSprint Backlog'!$I144=F$2), 'ProductSprint Backlog'!$F144, TRUE, 0)</f>
        <v>0</v>
      </c>
      <c r="G144" s="4" cm="1">
        <f t="array" ref="G144">_xlfn.IFS('ProductSprint Backlog'!$F144="", "", AND('ProductSprint Backlog'!$J144&gt;G$2,'ProductSprint Backlog'!$I144&lt;=G$2), 'ProductSprint Backlog'!$F144 / MAX(1, 'ProductSprint Backlog'!$J144-'ProductSprint Backlog'!$I144), AND('ProductSprint Backlog'!$J144=G$2,'ProductSprint Backlog'!$I144=G$2), 'ProductSprint Backlog'!$F144, TRUE, 0)</f>
        <v>0</v>
      </c>
      <c r="H144" s="4" cm="1">
        <f t="array" ref="H144">_xlfn.IFS('ProductSprint Backlog'!$F144="", "", AND('ProductSprint Backlog'!$J144&gt;H$2,'ProductSprint Backlog'!$I144&lt;=H$2), 'ProductSprint Backlog'!$F144 / MAX(1, 'ProductSprint Backlog'!$J144-'ProductSprint Backlog'!$I144), AND('ProductSprint Backlog'!$J144=H$2,'ProductSprint Backlog'!$I144=H$2), 'ProductSprint Backlog'!$F144, TRUE, 0)</f>
        <v>0</v>
      </c>
      <c r="I144" s="4" cm="1">
        <f t="array" ref="I144">_xlfn.IFS('ProductSprint Backlog'!$F144="", "", AND('ProductSprint Backlog'!$J144&gt;I$2,'ProductSprint Backlog'!$I144&lt;=I$2), 'ProductSprint Backlog'!$F144 / MAX(1, 'ProductSprint Backlog'!$J144-'ProductSprint Backlog'!$I144), AND('ProductSprint Backlog'!$J144=I$2,'ProductSprint Backlog'!$I144=I$2), 'ProductSprint Backlog'!$F144, TRUE, 0)</f>
        <v>0</v>
      </c>
      <c r="J144" s="4" cm="1">
        <f t="array" ref="J144">_xlfn.IFS('ProductSprint Backlog'!$F144="", "", AND('ProductSprint Backlog'!$J144&gt;J$2,'ProductSprint Backlog'!$I144&lt;=J$2), 'ProductSprint Backlog'!$F144 / MAX(1, 'ProductSprint Backlog'!$J144-'ProductSprint Backlog'!$I144), AND('ProductSprint Backlog'!$J144=J$2,'ProductSprint Backlog'!$I144=J$2), 'ProductSprint Backlog'!$F144, TRUE, 0)</f>
        <v>0</v>
      </c>
      <c r="K144" s="4" cm="1">
        <f t="array" ref="K144">_xlfn.IFS('ProductSprint Backlog'!$F144="", "", AND('ProductSprint Backlog'!$J144&gt;K$2,'ProductSprint Backlog'!$I144&lt;=K$2), 'ProductSprint Backlog'!$F144 / MAX(1, 'ProductSprint Backlog'!$J144-'ProductSprint Backlog'!$I144), AND('ProductSprint Backlog'!$J144=K$2,'ProductSprint Backlog'!$I144=K$2), 'ProductSprint Backlog'!$F144, TRUE, 0)</f>
        <v>0</v>
      </c>
      <c r="L144" s="4" cm="1">
        <f t="array" ref="L144">_xlfn.IFS('ProductSprint Backlog'!$F144="", "", AND('ProductSprint Backlog'!$J144&gt;L$2,'ProductSprint Backlog'!$I144&lt;=L$2), 'ProductSprint Backlog'!$F144 / MAX(1, 'ProductSprint Backlog'!$J144-'ProductSprint Backlog'!$I144), AND('ProductSprint Backlog'!$J144=L$2,'ProductSprint Backlog'!$I144=L$2), 'ProductSprint Backlog'!$F144, TRUE, 0)</f>
        <v>0</v>
      </c>
      <c r="M144" s="4" cm="1">
        <f t="array" ref="M144">_xlfn.IFS('ProductSprint Backlog'!$F144="", "", AND('ProductSprint Backlog'!$J144&gt;M$2,'ProductSprint Backlog'!$I144&lt;=M$2), 'ProductSprint Backlog'!$F144 / MAX(1, 'ProductSprint Backlog'!$J144-'ProductSprint Backlog'!$I144), AND('ProductSprint Backlog'!$J144=M$2,'ProductSprint Backlog'!$I144=M$2), 'ProductSprint Backlog'!$F144, TRUE, 0)</f>
        <v>0</v>
      </c>
      <c r="N144" s="4" cm="1">
        <f t="array" ref="N144">_xlfn.IFS('ProductSprint Backlog'!$F144="", "", AND('ProductSprint Backlog'!$J144&gt;N$2,'ProductSprint Backlog'!$I144&lt;=N$2), 'ProductSprint Backlog'!$F144 / MAX(1, 'ProductSprint Backlog'!$J144-'ProductSprint Backlog'!$I144), AND('ProductSprint Backlog'!$J144=N$2,'ProductSprint Backlog'!$I144=N$2), 'ProductSprint Backlog'!$F144, TRUE, 0)</f>
        <v>0</v>
      </c>
      <c r="O144" s="4" cm="1">
        <f t="array" ref="O144">_xlfn.IFS('ProductSprint Backlog'!$F144="", "", AND('ProductSprint Backlog'!$J144&gt;O$2,'ProductSprint Backlog'!$I144&lt;=O$2), 'ProductSprint Backlog'!$F144 / MAX(1, 'ProductSprint Backlog'!$J144-'ProductSprint Backlog'!$I144), AND('ProductSprint Backlog'!$J144=O$2,'ProductSprint Backlog'!$I144=O$2), 'ProductSprint Backlog'!$F144, TRUE, 0)</f>
        <v>0</v>
      </c>
    </row>
    <row r="145" spans="2:15" x14ac:dyDescent="0.2">
      <c r="B145" s="4" cm="1">
        <f t="array" ref="B145">_xlfn.IFS('ProductSprint Backlog'!$F145="", "", AND('ProductSprint Backlog'!$J145&gt;B$2,'ProductSprint Backlog'!$I145&lt;=B$2), 'ProductSprint Backlog'!$F145 / MAX(1, 'ProductSprint Backlog'!$J145-'ProductSprint Backlog'!$I145), AND('ProductSprint Backlog'!$J145=B$2,'ProductSprint Backlog'!$I145=B$2), 'ProductSprint Backlog'!$F145, TRUE, 0)</f>
        <v>0</v>
      </c>
      <c r="C145" s="4" cm="1">
        <f t="array" ref="C145">_xlfn.IFS('ProductSprint Backlog'!$F145="", "", AND('ProductSprint Backlog'!$J145&gt;C$2,'ProductSprint Backlog'!$I145&lt;=C$2), 'ProductSprint Backlog'!$F145 / MAX(1, 'ProductSprint Backlog'!$J145-'ProductSprint Backlog'!$I145), AND('ProductSprint Backlog'!$J145=C$2,'ProductSprint Backlog'!$I145=C$2), 'ProductSprint Backlog'!$F145, TRUE, 0)</f>
        <v>0</v>
      </c>
      <c r="D145" s="4" cm="1">
        <f t="array" ref="D145">_xlfn.IFS('ProductSprint Backlog'!$F145="", "", AND('ProductSprint Backlog'!$J145&gt;D$2,'ProductSprint Backlog'!$I145&lt;=D$2), 'ProductSprint Backlog'!$F145 / MAX(1, 'ProductSprint Backlog'!$J145-'ProductSprint Backlog'!$I145), AND('ProductSprint Backlog'!$J145=D$2,'ProductSprint Backlog'!$I145=D$2), 'ProductSprint Backlog'!$F145, TRUE, 0)</f>
        <v>0</v>
      </c>
      <c r="E145" s="4" cm="1">
        <f t="array" ref="E145">_xlfn.IFS('ProductSprint Backlog'!$F145="", "", AND('ProductSprint Backlog'!$J145&gt;E$2,'ProductSprint Backlog'!$I145&lt;=E$2), 'ProductSprint Backlog'!$F145 / MAX(1, 'ProductSprint Backlog'!$J145-'ProductSprint Backlog'!$I145), AND('ProductSprint Backlog'!$J145=E$2,'ProductSprint Backlog'!$I145=E$2), 'ProductSprint Backlog'!$F145, TRUE, 0)</f>
        <v>0</v>
      </c>
      <c r="F145" s="4" cm="1">
        <f t="array" ref="F145">_xlfn.IFS('ProductSprint Backlog'!$F145="", "", AND('ProductSprint Backlog'!$J145&gt;F$2,'ProductSprint Backlog'!$I145&lt;=F$2), 'ProductSprint Backlog'!$F145 / MAX(1, 'ProductSprint Backlog'!$J145-'ProductSprint Backlog'!$I145), AND('ProductSprint Backlog'!$J145=F$2,'ProductSprint Backlog'!$I145=F$2), 'ProductSprint Backlog'!$F145, TRUE, 0)</f>
        <v>0</v>
      </c>
      <c r="G145" s="4" cm="1">
        <f t="array" ref="G145">_xlfn.IFS('ProductSprint Backlog'!$F145="", "", AND('ProductSprint Backlog'!$J145&gt;G$2,'ProductSprint Backlog'!$I145&lt;=G$2), 'ProductSprint Backlog'!$F145 / MAX(1, 'ProductSprint Backlog'!$J145-'ProductSprint Backlog'!$I145), AND('ProductSprint Backlog'!$J145=G$2,'ProductSprint Backlog'!$I145=G$2), 'ProductSprint Backlog'!$F145, TRUE, 0)</f>
        <v>0</v>
      </c>
      <c r="H145" s="4" cm="1">
        <f t="array" ref="H145">_xlfn.IFS('ProductSprint Backlog'!$F145="", "", AND('ProductSprint Backlog'!$J145&gt;H$2,'ProductSprint Backlog'!$I145&lt;=H$2), 'ProductSprint Backlog'!$F145 / MAX(1, 'ProductSprint Backlog'!$J145-'ProductSprint Backlog'!$I145), AND('ProductSprint Backlog'!$J145=H$2,'ProductSprint Backlog'!$I145=H$2), 'ProductSprint Backlog'!$F145, TRUE, 0)</f>
        <v>0</v>
      </c>
      <c r="I145" s="4" cm="1">
        <f t="array" ref="I145">_xlfn.IFS('ProductSprint Backlog'!$F145="", "", AND('ProductSprint Backlog'!$J145&gt;I$2,'ProductSprint Backlog'!$I145&lt;=I$2), 'ProductSprint Backlog'!$F145 / MAX(1, 'ProductSprint Backlog'!$J145-'ProductSprint Backlog'!$I145), AND('ProductSprint Backlog'!$J145=I$2,'ProductSprint Backlog'!$I145=I$2), 'ProductSprint Backlog'!$F145, TRUE, 0)</f>
        <v>0</v>
      </c>
      <c r="J145" s="4" cm="1">
        <f t="array" ref="J145">_xlfn.IFS('ProductSprint Backlog'!$F145="", "", AND('ProductSprint Backlog'!$J145&gt;J$2,'ProductSprint Backlog'!$I145&lt;=J$2), 'ProductSprint Backlog'!$F145 / MAX(1, 'ProductSprint Backlog'!$J145-'ProductSprint Backlog'!$I145), AND('ProductSprint Backlog'!$J145=J$2,'ProductSprint Backlog'!$I145=J$2), 'ProductSprint Backlog'!$F145, TRUE, 0)</f>
        <v>0</v>
      </c>
      <c r="K145" s="4" cm="1">
        <f t="array" ref="K145">_xlfn.IFS('ProductSprint Backlog'!$F145="", "", AND('ProductSprint Backlog'!$J145&gt;K$2,'ProductSprint Backlog'!$I145&lt;=K$2), 'ProductSprint Backlog'!$F145 / MAX(1, 'ProductSprint Backlog'!$J145-'ProductSprint Backlog'!$I145), AND('ProductSprint Backlog'!$J145=K$2,'ProductSprint Backlog'!$I145=K$2), 'ProductSprint Backlog'!$F145, TRUE, 0)</f>
        <v>0</v>
      </c>
      <c r="L145" s="4" cm="1">
        <f t="array" ref="L145">_xlfn.IFS('ProductSprint Backlog'!$F145="", "", AND('ProductSprint Backlog'!$J145&gt;L$2,'ProductSprint Backlog'!$I145&lt;=L$2), 'ProductSprint Backlog'!$F145 / MAX(1, 'ProductSprint Backlog'!$J145-'ProductSprint Backlog'!$I145), AND('ProductSprint Backlog'!$J145=L$2,'ProductSprint Backlog'!$I145=L$2), 'ProductSprint Backlog'!$F145, TRUE, 0)</f>
        <v>0</v>
      </c>
      <c r="M145" s="4" cm="1">
        <f t="array" ref="M145">_xlfn.IFS('ProductSprint Backlog'!$F145="", "", AND('ProductSprint Backlog'!$J145&gt;M$2,'ProductSprint Backlog'!$I145&lt;=M$2), 'ProductSprint Backlog'!$F145 / MAX(1, 'ProductSprint Backlog'!$J145-'ProductSprint Backlog'!$I145), AND('ProductSprint Backlog'!$J145=M$2,'ProductSprint Backlog'!$I145=M$2), 'ProductSprint Backlog'!$F145, TRUE, 0)</f>
        <v>0</v>
      </c>
      <c r="N145" s="4" cm="1">
        <f t="array" ref="N145">_xlfn.IFS('ProductSprint Backlog'!$F145="", "", AND('ProductSprint Backlog'!$J145&gt;N$2,'ProductSprint Backlog'!$I145&lt;=N$2), 'ProductSprint Backlog'!$F145 / MAX(1, 'ProductSprint Backlog'!$J145-'ProductSprint Backlog'!$I145), AND('ProductSprint Backlog'!$J145=N$2,'ProductSprint Backlog'!$I145=N$2), 'ProductSprint Backlog'!$F145, TRUE, 0)</f>
        <v>0</v>
      </c>
      <c r="O145" s="4" cm="1">
        <f t="array" ref="O145">_xlfn.IFS('ProductSprint Backlog'!$F145="", "", AND('ProductSprint Backlog'!$J145&gt;O$2,'ProductSprint Backlog'!$I145&lt;=O$2), 'ProductSprint Backlog'!$F145 / MAX(1, 'ProductSprint Backlog'!$J145-'ProductSprint Backlog'!$I145), AND('ProductSprint Backlog'!$J145=O$2,'ProductSprint Backlog'!$I145=O$2), 'ProductSprint Backlog'!$F145, TRUE, 0)</f>
        <v>0</v>
      </c>
    </row>
    <row r="146" spans="2:15" x14ac:dyDescent="0.2">
      <c r="B146" s="4" cm="1">
        <f t="array" ref="B146">_xlfn.IFS('ProductSprint Backlog'!$F146="", "", AND('ProductSprint Backlog'!$J146&gt;B$2,'ProductSprint Backlog'!$I146&lt;=B$2), 'ProductSprint Backlog'!$F146 / MAX(1, 'ProductSprint Backlog'!$J146-'ProductSprint Backlog'!$I146), AND('ProductSprint Backlog'!$J146=B$2,'ProductSprint Backlog'!$I146=B$2), 'ProductSprint Backlog'!$F146, TRUE, 0)</f>
        <v>0</v>
      </c>
      <c r="C146" s="4" cm="1">
        <f t="array" ref="C146">_xlfn.IFS('ProductSprint Backlog'!$F146="", "", AND('ProductSprint Backlog'!$J146&gt;C$2,'ProductSprint Backlog'!$I146&lt;=C$2), 'ProductSprint Backlog'!$F146 / MAX(1, 'ProductSprint Backlog'!$J146-'ProductSprint Backlog'!$I146), AND('ProductSprint Backlog'!$J146=C$2,'ProductSprint Backlog'!$I146=C$2), 'ProductSprint Backlog'!$F146, TRUE, 0)</f>
        <v>0</v>
      </c>
      <c r="D146" s="4" cm="1">
        <f t="array" ref="D146">_xlfn.IFS('ProductSprint Backlog'!$F146="", "", AND('ProductSprint Backlog'!$J146&gt;D$2,'ProductSprint Backlog'!$I146&lt;=D$2), 'ProductSprint Backlog'!$F146 / MAX(1, 'ProductSprint Backlog'!$J146-'ProductSprint Backlog'!$I146), AND('ProductSprint Backlog'!$J146=D$2,'ProductSprint Backlog'!$I146=D$2), 'ProductSprint Backlog'!$F146, TRUE, 0)</f>
        <v>0</v>
      </c>
      <c r="E146" s="4" cm="1">
        <f t="array" ref="E146">_xlfn.IFS('ProductSprint Backlog'!$F146="", "", AND('ProductSprint Backlog'!$J146&gt;E$2,'ProductSprint Backlog'!$I146&lt;=E$2), 'ProductSprint Backlog'!$F146 / MAX(1, 'ProductSprint Backlog'!$J146-'ProductSprint Backlog'!$I146), AND('ProductSprint Backlog'!$J146=E$2,'ProductSprint Backlog'!$I146=E$2), 'ProductSprint Backlog'!$F146, TRUE, 0)</f>
        <v>0</v>
      </c>
      <c r="F146" s="4" cm="1">
        <f t="array" ref="F146">_xlfn.IFS('ProductSprint Backlog'!$F146="", "", AND('ProductSprint Backlog'!$J146&gt;F$2,'ProductSprint Backlog'!$I146&lt;=F$2), 'ProductSprint Backlog'!$F146 / MAX(1, 'ProductSprint Backlog'!$J146-'ProductSprint Backlog'!$I146), AND('ProductSprint Backlog'!$J146=F$2,'ProductSprint Backlog'!$I146=F$2), 'ProductSprint Backlog'!$F146, TRUE, 0)</f>
        <v>0</v>
      </c>
      <c r="G146" s="4" cm="1">
        <f t="array" ref="G146">_xlfn.IFS('ProductSprint Backlog'!$F146="", "", AND('ProductSprint Backlog'!$J146&gt;G$2,'ProductSprint Backlog'!$I146&lt;=G$2), 'ProductSprint Backlog'!$F146 / MAX(1, 'ProductSprint Backlog'!$J146-'ProductSprint Backlog'!$I146), AND('ProductSprint Backlog'!$J146=G$2,'ProductSprint Backlog'!$I146=G$2), 'ProductSprint Backlog'!$F146, TRUE, 0)</f>
        <v>0</v>
      </c>
      <c r="H146" s="4" cm="1">
        <f t="array" ref="H146">_xlfn.IFS('ProductSprint Backlog'!$F146="", "", AND('ProductSprint Backlog'!$J146&gt;H$2,'ProductSprint Backlog'!$I146&lt;=H$2), 'ProductSprint Backlog'!$F146 / MAX(1, 'ProductSprint Backlog'!$J146-'ProductSprint Backlog'!$I146), AND('ProductSprint Backlog'!$J146=H$2,'ProductSprint Backlog'!$I146=H$2), 'ProductSprint Backlog'!$F146, TRUE, 0)</f>
        <v>0</v>
      </c>
      <c r="I146" s="4" cm="1">
        <f t="array" ref="I146">_xlfn.IFS('ProductSprint Backlog'!$F146="", "", AND('ProductSprint Backlog'!$J146&gt;I$2,'ProductSprint Backlog'!$I146&lt;=I$2), 'ProductSprint Backlog'!$F146 / MAX(1, 'ProductSprint Backlog'!$J146-'ProductSprint Backlog'!$I146), AND('ProductSprint Backlog'!$J146=I$2,'ProductSprint Backlog'!$I146=I$2), 'ProductSprint Backlog'!$F146, TRUE, 0)</f>
        <v>0</v>
      </c>
      <c r="J146" s="4" cm="1">
        <f t="array" ref="J146">_xlfn.IFS('ProductSprint Backlog'!$F146="", "", AND('ProductSprint Backlog'!$J146&gt;J$2,'ProductSprint Backlog'!$I146&lt;=J$2), 'ProductSprint Backlog'!$F146 / MAX(1, 'ProductSprint Backlog'!$J146-'ProductSprint Backlog'!$I146), AND('ProductSprint Backlog'!$J146=J$2,'ProductSprint Backlog'!$I146=J$2), 'ProductSprint Backlog'!$F146, TRUE, 0)</f>
        <v>0</v>
      </c>
      <c r="K146" s="4" cm="1">
        <f t="array" ref="K146">_xlfn.IFS('ProductSprint Backlog'!$F146="", "", AND('ProductSprint Backlog'!$J146&gt;K$2,'ProductSprint Backlog'!$I146&lt;=K$2), 'ProductSprint Backlog'!$F146 / MAX(1, 'ProductSprint Backlog'!$J146-'ProductSprint Backlog'!$I146), AND('ProductSprint Backlog'!$J146=K$2,'ProductSprint Backlog'!$I146=K$2), 'ProductSprint Backlog'!$F146, TRUE, 0)</f>
        <v>0</v>
      </c>
      <c r="L146" s="4" cm="1">
        <f t="array" ref="L146">_xlfn.IFS('ProductSprint Backlog'!$F146="", "", AND('ProductSprint Backlog'!$J146&gt;L$2,'ProductSprint Backlog'!$I146&lt;=L$2), 'ProductSprint Backlog'!$F146 / MAX(1, 'ProductSprint Backlog'!$J146-'ProductSprint Backlog'!$I146), AND('ProductSprint Backlog'!$J146=L$2,'ProductSprint Backlog'!$I146=L$2), 'ProductSprint Backlog'!$F146, TRUE, 0)</f>
        <v>0</v>
      </c>
      <c r="M146" s="4" cm="1">
        <f t="array" ref="M146">_xlfn.IFS('ProductSprint Backlog'!$F146="", "", AND('ProductSprint Backlog'!$J146&gt;M$2,'ProductSprint Backlog'!$I146&lt;=M$2), 'ProductSprint Backlog'!$F146 / MAX(1, 'ProductSprint Backlog'!$J146-'ProductSprint Backlog'!$I146), AND('ProductSprint Backlog'!$J146=M$2,'ProductSprint Backlog'!$I146=M$2), 'ProductSprint Backlog'!$F146, TRUE, 0)</f>
        <v>0</v>
      </c>
      <c r="N146" s="4" cm="1">
        <f t="array" ref="N146">_xlfn.IFS('ProductSprint Backlog'!$F146="", "", AND('ProductSprint Backlog'!$J146&gt;N$2,'ProductSprint Backlog'!$I146&lt;=N$2), 'ProductSprint Backlog'!$F146 / MAX(1, 'ProductSprint Backlog'!$J146-'ProductSprint Backlog'!$I146), AND('ProductSprint Backlog'!$J146=N$2,'ProductSprint Backlog'!$I146=N$2), 'ProductSprint Backlog'!$F146, TRUE, 0)</f>
        <v>0</v>
      </c>
      <c r="O146" s="4" cm="1">
        <f t="array" ref="O146">_xlfn.IFS('ProductSprint Backlog'!$F146="", "", AND('ProductSprint Backlog'!$J146&gt;O$2,'ProductSprint Backlog'!$I146&lt;=O$2), 'ProductSprint Backlog'!$F146 / MAX(1, 'ProductSprint Backlog'!$J146-'ProductSprint Backlog'!$I146), AND('ProductSprint Backlog'!$J146=O$2,'ProductSprint Backlog'!$I146=O$2), 'ProductSprint Backlog'!$F146, TRUE, 0)</f>
        <v>0</v>
      </c>
    </row>
    <row r="147" spans="2:15" x14ac:dyDescent="0.2">
      <c r="B147" s="4" cm="1">
        <f t="array" ref="B147">_xlfn.IFS('ProductSprint Backlog'!$F147="", "", AND('ProductSprint Backlog'!$J147&gt;B$2,'ProductSprint Backlog'!$I147&lt;=B$2), 'ProductSprint Backlog'!$F147 / MAX(1, 'ProductSprint Backlog'!$J147-'ProductSprint Backlog'!$I147), AND('ProductSprint Backlog'!$J147=B$2,'ProductSprint Backlog'!$I147=B$2), 'ProductSprint Backlog'!$F147, TRUE, 0)</f>
        <v>0</v>
      </c>
      <c r="C147" s="4" cm="1">
        <f t="array" ref="C147">_xlfn.IFS('ProductSprint Backlog'!$F147="", "", AND('ProductSprint Backlog'!$J147&gt;C$2,'ProductSprint Backlog'!$I147&lt;=C$2), 'ProductSprint Backlog'!$F147 / MAX(1, 'ProductSprint Backlog'!$J147-'ProductSprint Backlog'!$I147), AND('ProductSprint Backlog'!$J147=C$2,'ProductSprint Backlog'!$I147=C$2), 'ProductSprint Backlog'!$F147, TRUE, 0)</f>
        <v>0</v>
      </c>
      <c r="D147" s="4" cm="1">
        <f t="array" ref="D147">_xlfn.IFS('ProductSprint Backlog'!$F147="", "", AND('ProductSprint Backlog'!$J147&gt;D$2,'ProductSprint Backlog'!$I147&lt;=D$2), 'ProductSprint Backlog'!$F147 / MAX(1, 'ProductSprint Backlog'!$J147-'ProductSprint Backlog'!$I147), AND('ProductSprint Backlog'!$J147=D$2,'ProductSprint Backlog'!$I147=D$2), 'ProductSprint Backlog'!$F147, TRUE, 0)</f>
        <v>0</v>
      </c>
      <c r="E147" s="4" cm="1">
        <f t="array" ref="E147">_xlfn.IFS('ProductSprint Backlog'!$F147="", "", AND('ProductSprint Backlog'!$J147&gt;E$2,'ProductSprint Backlog'!$I147&lt;=E$2), 'ProductSprint Backlog'!$F147 / MAX(1, 'ProductSprint Backlog'!$J147-'ProductSprint Backlog'!$I147), AND('ProductSprint Backlog'!$J147=E$2,'ProductSprint Backlog'!$I147=E$2), 'ProductSprint Backlog'!$F147, TRUE, 0)</f>
        <v>0</v>
      </c>
      <c r="F147" s="4" cm="1">
        <f t="array" ref="F147">_xlfn.IFS('ProductSprint Backlog'!$F147="", "", AND('ProductSprint Backlog'!$J147&gt;F$2,'ProductSprint Backlog'!$I147&lt;=F$2), 'ProductSprint Backlog'!$F147 / MAX(1, 'ProductSprint Backlog'!$J147-'ProductSprint Backlog'!$I147), AND('ProductSprint Backlog'!$J147=F$2,'ProductSprint Backlog'!$I147=F$2), 'ProductSprint Backlog'!$F147, TRUE, 0)</f>
        <v>0</v>
      </c>
      <c r="G147" s="4" cm="1">
        <f t="array" ref="G147">_xlfn.IFS('ProductSprint Backlog'!$F147="", "", AND('ProductSprint Backlog'!$J147&gt;G$2,'ProductSprint Backlog'!$I147&lt;=G$2), 'ProductSprint Backlog'!$F147 / MAX(1, 'ProductSprint Backlog'!$J147-'ProductSprint Backlog'!$I147), AND('ProductSprint Backlog'!$J147=G$2,'ProductSprint Backlog'!$I147=G$2), 'ProductSprint Backlog'!$F147, TRUE, 0)</f>
        <v>0</v>
      </c>
      <c r="H147" s="4" cm="1">
        <f t="array" ref="H147">_xlfn.IFS('ProductSprint Backlog'!$F147="", "", AND('ProductSprint Backlog'!$J147&gt;H$2,'ProductSprint Backlog'!$I147&lt;=H$2), 'ProductSprint Backlog'!$F147 / MAX(1, 'ProductSprint Backlog'!$J147-'ProductSprint Backlog'!$I147), AND('ProductSprint Backlog'!$J147=H$2,'ProductSprint Backlog'!$I147=H$2), 'ProductSprint Backlog'!$F147, TRUE, 0)</f>
        <v>0</v>
      </c>
      <c r="I147" s="4" cm="1">
        <f t="array" ref="I147">_xlfn.IFS('ProductSprint Backlog'!$F147="", "", AND('ProductSprint Backlog'!$J147&gt;I$2,'ProductSprint Backlog'!$I147&lt;=I$2), 'ProductSprint Backlog'!$F147 / MAX(1, 'ProductSprint Backlog'!$J147-'ProductSprint Backlog'!$I147), AND('ProductSprint Backlog'!$J147=I$2,'ProductSprint Backlog'!$I147=I$2), 'ProductSprint Backlog'!$F147, TRUE, 0)</f>
        <v>0</v>
      </c>
      <c r="J147" s="4" cm="1">
        <f t="array" ref="J147">_xlfn.IFS('ProductSprint Backlog'!$F147="", "", AND('ProductSprint Backlog'!$J147&gt;J$2,'ProductSprint Backlog'!$I147&lt;=J$2), 'ProductSprint Backlog'!$F147 / MAX(1, 'ProductSprint Backlog'!$J147-'ProductSprint Backlog'!$I147), AND('ProductSprint Backlog'!$J147=J$2,'ProductSprint Backlog'!$I147=J$2), 'ProductSprint Backlog'!$F147, TRUE, 0)</f>
        <v>0</v>
      </c>
      <c r="K147" s="4" cm="1">
        <f t="array" ref="K147">_xlfn.IFS('ProductSprint Backlog'!$F147="", "", AND('ProductSprint Backlog'!$J147&gt;K$2,'ProductSprint Backlog'!$I147&lt;=K$2), 'ProductSprint Backlog'!$F147 / MAX(1, 'ProductSprint Backlog'!$J147-'ProductSprint Backlog'!$I147), AND('ProductSprint Backlog'!$J147=K$2,'ProductSprint Backlog'!$I147=K$2), 'ProductSprint Backlog'!$F147, TRUE, 0)</f>
        <v>0</v>
      </c>
      <c r="L147" s="4" cm="1">
        <f t="array" ref="L147">_xlfn.IFS('ProductSprint Backlog'!$F147="", "", AND('ProductSprint Backlog'!$J147&gt;L$2,'ProductSprint Backlog'!$I147&lt;=L$2), 'ProductSprint Backlog'!$F147 / MAX(1, 'ProductSprint Backlog'!$J147-'ProductSprint Backlog'!$I147), AND('ProductSprint Backlog'!$J147=L$2,'ProductSprint Backlog'!$I147=L$2), 'ProductSprint Backlog'!$F147, TRUE, 0)</f>
        <v>0</v>
      </c>
      <c r="M147" s="4" cm="1">
        <f t="array" ref="M147">_xlfn.IFS('ProductSprint Backlog'!$F147="", "", AND('ProductSprint Backlog'!$J147&gt;M$2,'ProductSprint Backlog'!$I147&lt;=M$2), 'ProductSprint Backlog'!$F147 / MAX(1, 'ProductSprint Backlog'!$J147-'ProductSprint Backlog'!$I147), AND('ProductSprint Backlog'!$J147=M$2,'ProductSprint Backlog'!$I147=M$2), 'ProductSprint Backlog'!$F147, TRUE, 0)</f>
        <v>0</v>
      </c>
      <c r="N147" s="4" cm="1">
        <f t="array" ref="N147">_xlfn.IFS('ProductSprint Backlog'!$F147="", "", AND('ProductSprint Backlog'!$J147&gt;N$2,'ProductSprint Backlog'!$I147&lt;=N$2), 'ProductSprint Backlog'!$F147 / MAX(1, 'ProductSprint Backlog'!$J147-'ProductSprint Backlog'!$I147), AND('ProductSprint Backlog'!$J147=N$2,'ProductSprint Backlog'!$I147=N$2), 'ProductSprint Backlog'!$F147, TRUE, 0)</f>
        <v>0</v>
      </c>
      <c r="O147" s="4" cm="1">
        <f t="array" ref="O147">_xlfn.IFS('ProductSprint Backlog'!$F147="", "", AND('ProductSprint Backlog'!$J147&gt;O$2,'ProductSprint Backlog'!$I147&lt;=O$2), 'ProductSprint Backlog'!$F147 / MAX(1, 'ProductSprint Backlog'!$J147-'ProductSprint Backlog'!$I147), AND('ProductSprint Backlog'!$J147=O$2,'ProductSprint Backlog'!$I147=O$2), 'ProductSprint Backlog'!$F147, TRUE, 0)</f>
        <v>0</v>
      </c>
    </row>
    <row r="148" spans="2:15" x14ac:dyDescent="0.2">
      <c r="B148" s="4" cm="1">
        <f t="array" ref="B148">_xlfn.IFS('ProductSprint Backlog'!$F148="", "", AND('ProductSprint Backlog'!$J148&gt;B$2,'ProductSprint Backlog'!$I148&lt;=B$2), 'ProductSprint Backlog'!$F148 / MAX(1, 'ProductSprint Backlog'!$J148-'ProductSprint Backlog'!$I148), AND('ProductSprint Backlog'!$J148=B$2,'ProductSprint Backlog'!$I148=B$2), 'ProductSprint Backlog'!$F148, TRUE, 0)</f>
        <v>0</v>
      </c>
      <c r="C148" s="4" cm="1">
        <f t="array" ref="C148">_xlfn.IFS('ProductSprint Backlog'!$F148="", "", AND('ProductSprint Backlog'!$J148&gt;C$2,'ProductSprint Backlog'!$I148&lt;=C$2), 'ProductSprint Backlog'!$F148 / MAX(1, 'ProductSprint Backlog'!$J148-'ProductSprint Backlog'!$I148), AND('ProductSprint Backlog'!$J148=C$2,'ProductSprint Backlog'!$I148=C$2), 'ProductSprint Backlog'!$F148, TRUE, 0)</f>
        <v>0</v>
      </c>
      <c r="D148" s="4" cm="1">
        <f t="array" ref="D148">_xlfn.IFS('ProductSprint Backlog'!$F148="", "", AND('ProductSprint Backlog'!$J148&gt;D$2,'ProductSprint Backlog'!$I148&lt;=D$2), 'ProductSprint Backlog'!$F148 / MAX(1, 'ProductSprint Backlog'!$J148-'ProductSprint Backlog'!$I148), AND('ProductSprint Backlog'!$J148=D$2,'ProductSprint Backlog'!$I148=D$2), 'ProductSprint Backlog'!$F148, TRUE, 0)</f>
        <v>0</v>
      </c>
      <c r="E148" s="4" cm="1">
        <f t="array" ref="E148">_xlfn.IFS('ProductSprint Backlog'!$F148="", "", AND('ProductSprint Backlog'!$J148&gt;E$2,'ProductSprint Backlog'!$I148&lt;=E$2), 'ProductSprint Backlog'!$F148 / MAX(1, 'ProductSprint Backlog'!$J148-'ProductSprint Backlog'!$I148), AND('ProductSprint Backlog'!$J148=E$2,'ProductSprint Backlog'!$I148=E$2), 'ProductSprint Backlog'!$F148, TRUE, 0)</f>
        <v>0</v>
      </c>
      <c r="F148" s="4" cm="1">
        <f t="array" ref="F148">_xlfn.IFS('ProductSprint Backlog'!$F148="", "", AND('ProductSprint Backlog'!$J148&gt;F$2,'ProductSprint Backlog'!$I148&lt;=F$2), 'ProductSprint Backlog'!$F148 / MAX(1, 'ProductSprint Backlog'!$J148-'ProductSprint Backlog'!$I148), AND('ProductSprint Backlog'!$J148=F$2,'ProductSprint Backlog'!$I148=F$2), 'ProductSprint Backlog'!$F148, TRUE, 0)</f>
        <v>0</v>
      </c>
      <c r="G148" s="4" cm="1">
        <f t="array" ref="G148">_xlfn.IFS('ProductSprint Backlog'!$F148="", "", AND('ProductSprint Backlog'!$J148&gt;G$2,'ProductSprint Backlog'!$I148&lt;=G$2), 'ProductSprint Backlog'!$F148 / MAX(1, 'ProductSprint Backlog'!$J148-'ProductSprint Backlog'!$I148), AND('ProductSprint Backlog'!$J148=G$2,'ProductSprint Backlog'!$I148=G$2), 'ProductSprint Backlog'!$F148, TRUE, 0)</f>
        <v>0</v>
      </c>
      <c r="H148" s="4" cm="1">
        <f t="array" ref="H148">_xlfn.IFS('ProductSprint Backlog'!$F148="", "", AND('ProductSprint Backlog'!$J148&gt;H$2,'ProductSprint Backlog'!$I148&lt;=H$2), 'ProductSprint Backlog'!$F148 / MAX(1, 'ProductSprint Backlog'!$J148-'ProductSprint Backlog'!$I148), AND('ProductSprint Backlog'!$J148=H$2,'ProductSprint Backlog'!$I148=H$2), 'ProductSprint Backlog'!$F148, TRUE, 0)</f>
        <v>0</v>
      </c>
      <c r="I148" s="4" cm="1">
        <f t="array" ref="I148">_xlfn.IFS('ProductSprint Backlog'!$F148="", "", AND('ProductSprint Backlog'!$J148&gt;I$2,'ProductSprint Backlog'!$I148&lt;=I$2), 'ProductSprint Backlog'!$F148 / MAX(1, 'ProductSprint Backlog'!$J148-'ProductSprint Backlog'!$I148), AND('ProductSprint Backlog'!$J148=I$2,'ProductSprint Backlog'!$I148=I$2), 'ProductSprint Backlog'!$F148, TRUE, 0)</f>
        <v>0</v>
      </c>
      <c r="J148" s="4" cm="1">
        <f t="array" ref="J148">_xlfn.IFS('ProductSprint Backlog'!$F148="", "", AND('ProductSprint Backlog'!$J148&gt;J$2,'ProductSprint Backlog'!$I148&lt;=J$2), 'ProductSprint Backlog'!$F148 / MAX(1, 'ProductSprint Backlog'!$J148-'ProductSprint Backlog'!$I148), AND('ProductSprint Backlog'!$J148=J$2,'ProductSprint Backlog'!$I148=J$2), 'ProductSprint Backlog'!$F148, TRUE, 0)</f>
        <v>0</v>
      </c>
      <c r="K148" s="4" cm="1">
        <f t="array" ref="K148">_xlfn.IFS('ProductSprint Backlog'!$F148="", "", AND('ProductSprint Backlog'!$J148&gt;K$2,'ProductSprint Backlog'!$I148&lt;=K$2), 'ProductSprint Backlog'!$F148 / MAX(1, 'ProductSprint Backlog'!$J148-'ProductSprint Backlog'!$I148), AND('ProductSprint Backlog'!$J148=K$2,'ProductSprint Backlog'!$I148=K$2), 'ProductSprint Backlog'!$F148, TRUE, 0)</f>
        <v>0</v>
      </c>
      <c r="L148" s="4" cm="1">
        <f t="array" ref="L148">_xlfn.IFS('ProductSprint Backlog'!$F148="", "", AND('ProductSprint Backlog'!$J148&gt;L$2,'ProductSprint Backlog'!$I148&lt;=L$2), 'ProductSprint Backlog'!$F148 / MAX(1, 'ProductSprint Backlog'!$J148-'ProductSprint Backlog'!$I148), AND('ProductSprint Backlog'!$J148=L$2,'ProductSprint Backlog'!$I148=L$2), 'ProductSprint Backlog'!$F148, TRUE, 0)</f>
        <v>0</v>
      </c>
      <c r="M148" s="4" cm="1">
        <f t="array" ref="M148">_xlfn.IFS('ProductSprint Backlog'!$F148="", "", AND('ProductSprint Backlog'!$J148&gt;M$2,'ProductSprint Backlog'!$I148&lt;=M$2), 'ProductSprint Backlog'!$F148 / MAX(1, 'ProductSprint Backlog'!$J148-'ProductSprint Backlog'!$I148), AND('ProductSprint Backlog'!$J148=M$2,'ProductSprint Backlog'!$I148=M$2), 'ProductSprint Backlog'!$F148, TRUE, 0)</f>
        <v>0</v>
      </c>
      <c r="N148" s="4" cm="1">
        <f t="array" ref="N148">_xlfn.IFS('ProductSprint Backlog'!$F148="", "", AND('ProductSprint Backlog'!$J148&gt;N$2,'ProductSprint Backlog'!$I148&lt;=N$2), 'ProductSprint Backlog'!$F148 / MAX(1, 'ProductSprint Backlog'!$J148-'ProductSprint Backlog'!$I148), AND('ProductSprint Backlog'!$J148=N$2,'ProductSprint Backlog'!$I148=N$2), 'ProductSprint Backlog'!$F148, TRUE, 0)</f>
        <v>0</v>
      </c>
      <c r="O148" s="4" cm="1">
        <f t="array" ref="O148">_xlfn.IFS('ProductSprint Backlog'!$F148="", "", AND('ProductSprint Backlog'!$J148&gt;O$2,'ProductSprint Backlog'!$I148&lt;=O$2), 'ProductSprint Backlog'!$F148 / MAX(1, 'ProductSprint Backlog'!$J148-'ProductSprint Backlog'!$I148), AND('ProductSprint Backlog'!$J148=O$2,'ProductSprint Backlog'!$I148=O$2), 'ProductSprint Backlog'!$F148, TRUE, 0)</f>
        <v>0</v>
      </c>
    </row>
    <row r="149" spans="2:15" x14ac:dyDescent="0.2">
      <c r="B149" s="4" cm="1">
        <f t="array" ref="B149">_xlfn.IFS('ProductSprint Backlog'!$F149="", "", AND('ProductSprint Backlog'!$J149&gt;B$2,'ProductSprint Backlog'!$I149&lt;=B$2), 'ProductSprint Backlog'!$F149 / MAX(1, 'ProductSprint Backlog'!$J149-'ProductSprint Backlog'!$I149), AND('ProductSprint Backlog'!$J149=B$2,'ProductSprint Backlog'!$I149=B$2), 'ProductSprint Backlog'!$F149, TRUE, 0)</f>
        <v>0</v>
      </c>
      <c r="C149" s="4" cm="1">
        <f t="array" ref="C149">_xlfn.IFS('ProductSprint Backlog'!$F149="", "", AND('ProductSprint Backlog'!$J149&gt;C$2,'ProductSprint Backlog'!$I149&lt;=C$2), 'ProductSprint Backlog'!$F149 / MAX(1, 'ProductSprint Backlog'!$J149-'ProductSprint Backlog'!$I149), AND('ProductSprint Backlog'!$J149=C$2,'ProductSprint Backlog'!$I149=C$2), 'ProductSprint Backlog'!$F149, TRUE, 0)</f>
        <v>0</v>
      </c>
      <c r="D149" s="4" cm="1">
        <f t="array" ref="D149">_xlfn.IFS('ProductSprint Backlog'!$F149="", "", AND('ProductSprint Backlog'!$J149&gt;D$2,'ProductSprint Backlog'!$I149&lt;=D$2), 'ProductSprint Backlog'!$F149 / MAX(1, 'ProductSprint Backlog'!$J149-'ProductSprint Backlog'!$I149), AND('ProductSprint Backlog'!$J149=D$2,'ProductSprint Backlog'!$I149=D$2), 'ProductSprint Backlog'!$F149, TRUE, 0)</f>
        <v>0</v>
      </c>
      <c r="E149" s="4" cm="1">
        <f t="array" ref="E149">_xlfn.IFS('ProductSprint Backlog'!$F149="", "", AND('ProductSprint Backlog'!$J149&gt;E$2,'ProductSprint Backlog'!$I149&lt;=E$2), 'ProductSprint Backlog'!$F149 / MAX(1, 'ProductSprint Backlog'!$J149-'ProductSprint Backlog'!$I149), AND('ProductSprint Backlog'!$J149=E$2,'ProductSprint Backlog'!$I149=E$2), 'ProductSprint Backlog'!$F149, TRUE, 0)</f>
        <v>0</v>
      </c>
      <c r="F149" s="4" cm="1">
        <f t="array" ref="F149">_xlfn.IFS('ProductSprint Backlog'!$F149="", "", AND('ProductSprint Backlog'!$J149&gt;F$2,'ProductSprint Backlog'!$I149&lt;=F$2), 'ProductSprint Backlog'!$F149 / MAX(1, 'ProductSprint Backlog'!$J149-'ProductSprint Backlog'!$I149), AND('ProductSprint Backlog'!$J149=F$2,'ProductSprint Backlog'!$I149=F$2), 'ProductSprint Backlog'!$F149, TRUE, 0)</f>
        <v>0</v>
      </c>
      <c r="G149" s="4" cm="1">
        <f t="array" ref="G149">_xlfn.IFS('ProductSprint Backlog'!$F149="", "", AND('ProductSprint Backlog'!$J149&gt;G$2,'ProductSprint Backlog'!$I149&lt;=G$2), 'ProductSprint Backlog'!$F149 / MAX(1, 'ProductSprint Backlog'!$J149-'ProductSprint Backlog'!$I149), AND('ProductSprint Backlog'!$J149=G$2,'ProductSprint Backlog'!$I149=G$2), 'ProductSprint Backlog'!$F149, TRUE, 0)</f>
        <v>0</v>
      </c>
      <c r="H149" s="4" cm="1">
        <f t="array" ref="H149">_xlfn.IFS('ProductSprint Backlog'!$F149="", "", AND('ProductSprint Backlog'!$J149&gt;H$2,'ProductSprint Backlog'!$I149&lt;=H$2), 'ProductSprint Backlog'!$F149 / MAX(1, 'ProductSprint Backlog'!$J149-'ProductSprint Backlog'!$I149), AND('ProductSprint Backlog'!$J149=H$2,'ProductSprint Backlog'!$I149=H$2), 'ProductSprint Backlog'!$F149, TRUE, 0)</f>
        <v>0</v>
      </c>
      <c r="I149" s="4" cm="1">
        <f t="array" ref="I149">_xlfn.IFS('ProductSprint Backlog'!$F149="", "", AND('ProductSprint Backlog'!$J149&gt;I$2,'ProductSprint Backlog'!$I149&lt;=I$2), 'ProductSprint Backlog'!$F149 / MAX(1, 'ProductSprint Backlog'!$J149-'ProductSprint Backlog'!$I149), AND('ProductSprint Backlog'!$J149=I$2,'ProductSprint Backlog'!$I149=I$2), 'ProductSprint Backlog'!$F149, TRUE, 0)</f>
        <v>0</v>
      </c>
      <c r="J149" s="4" cm="1">
        <f t="array" ref="J149">_xlfn.IFS('ProductSprint Backlog'!$F149="", "", AND('ProductSprint Backlog'!$J149&gt;J$2,'ProductSprint Backlog'!$I149&lt;=J$2), 'ProductSprint Backlog'!$F149 / MAX(1, 'ProductSprint Backlog'!$J149-'ProductSprint Backlog'!$I149), AND('ProductSprint Backlog'!$J149=J$2,'ProductSprint Backlog'!$I149=J$2), 'ProductSprint Backlog'!$F149, TRUE, 0)</f>
        <v>0</v>
      </c>
      <c r="K149" s="4" cm="1">
        <f t="array" ref="K149">_xlfn.IFS('ProductSprint Backlog'!$F149="", "", AND('ProductSprint Backlog'!$J149&gt;K$2,'ProductSprint Backlog'!$I149&lt;=K$2), 'ProductSprint Backlog'!$F149 / MAX(1, 'ProductSprint Backlog'!$J149-'ProductSprint Backlog'!$I149), AND('ProductSprint Backlog'!$J149=K$2,'ProductSprint Backlog'!$I149=K$2), 'ProductSprint Backlog'!$F149, TRUE, 0)</f>
        <v>0</v>
      </c>
      <c r="L149" s="4" cm="1">
        <f t="array" ref="L149">_xlfn.IFS('ProductSprint Backlog'!$F149="", "", AND('ProductSprint Backlog'!$J149&gt;L$2,'ProductSprint Backlog'!$I149&lt;=L$2), 'ProductSprint Backlog'!$F149 / MAX(1, 'ProductSprint Backlog'!$J149-'ProductSprint Backlog'!$I149), AND('ProductSprint Backlog'!$J149=L$2,'ProductSprint Backlog'!$I149=L$2), 'ProductSprint Backlog'!$F149, TRUE, 0)</f>
        <v>0</v>
      </c>
      <c r="M149" s="4" cm="1">
        <f t="array" ref="M149">_xlfn.IFS('ProductSprint Backlog'!$F149="", "", AND('ProductSprint Backlog'!$J149&gt;M$2,'ProductSprint Backlog'!$I149&lt;=M$2), 'ProductSprint Backlog'!$F149 / MAX(1, 'ProductSprint Backlog'!$J149-'ProductSprint Backlog'!$I149), AND('ProductSprint Backlog'!$J149=M$2,'ProductSprint Backlog'!$I149=M$2), 'ProductSprint Backlog'!$F149, TRUE, 0)</f>
        <v>0</v>
      </c>
      <c r="N149" s="4" cm="1">
        <f t="array" ref="N149">_xlfn.IFS('ProductSprint Backlog'!$F149="", "", AND('ProductSprint Backlog'!$J149&gt;N$2,'ProductSprint Backlog'!$I149&lt;=N$2), 'ProductSprint Backlog'!$F149 / MAX(1, 'ProductSprint Backlog'!$J149-'ProductSprint Backlog'!$I149), AND('ProductSprint Backlog'!$J149=N$2,'ProductSprint Backlog'!$I149=N$2), 'ProductSprint Backlog'!$F149, TRUE, 0)</f>
        <v>0</v>
      </c>
      <c r="O149" s="4" cm="1">
        <f t="array" ref="O149">_xlfn.IFS('ProductSprint Backlog'!$F149="", "", AND('ProductSprint Backlog'!$J149&gt;O$2,'ProductSprint Backlog'!$I149&lt;=O$2), 'ProductSprint Backlog'!$F149 / MAX(1, 'ProductSprint Backlog'!$J149-'ProductSprint Backlog'!$I149), AND('ProductSprint Backlog'!$J149=O$2,'ProductSprint Backlog'!$I149=O$2), 'ProductSprint Backlog'!$F149, TRUE, 0)</f>
        <v>0</v>
      </c>
    </row>
    <row r="150" spans="2:15" x14ac:dyDescent="0.2">
      <c r="B150" s="4" cm="1">
        <f t="array" ref="B150">_xlfn.IFS('ProductSprint Backlog'!$F150="", "", AND('ProductSprint Backlog'!$J150&gt;B$2,'ProductSprint Backlog'!$I150&lt;=B$2), 'ProductSprint Backlog'!$F150 / MAX(1, 'ProductSprint Backlog'!$J150-'ProductSprint Backlog'!$I150), AND('ProductSprint Backlog'!$J150=B$2,'ProductSprint Backlog'!$I150=B$2), 'ProductSprint Backlog'!$F150, TRUE, 0)</f>
        <v>0</v>
      </c>
      <c r="C150" s="4" cm="1">
        <f t="array" ref="C150">_xlfn.IFS('ProductSprint Backlog'!$F150="", "", AND('ProductSprint Backlog'!$J150&gt;C$2,'ProductSprint Backlog'!$I150&lt;=C$2), 'ProductSprint Backlog'!$F150 / MAX(1, 'ProductSprint Backlog'!$J150-'ProductSprint Backlog'!$I150), AND('ProductSprint Backlog'!$J150=C$2,'ProductSprint Backlog'!$I150=C$2), 'ProductSprint Backlog'!$F150, TRUE, 0)</f>
        <v>0</v>
      </c>
      <c r="D150" s="4" cm="1">
        <f t="array" ref="D150">_xlfn.IFS('ProductSprint Backlog'!$F150="", "", AND('ProductSprint Backlog'!$J150&gt;D$2,'ProductSprint Backlog'!$I150&lt;=D$2), 'ProductSprint Backlog'!$F150 / MAX(1, 'ProductSprint Backlog'!$J150-'ProductSprint Backlog'!$I150), AND('ProductSprint Backlog'!$J150=D$2,'ProductSprint Backlog'!$I150=D$2), 'ProductSprint Backlog'!$F150, TRUE, 0)</f>
        <v>0</v>
      </c>
      <c r="E150" s="4" cm="1">
        <f t="array" ref="E150">_xlfn.IFS('ProductSprint Backlog'!$F150="", "", AND('ProductSprint Backlog'!$J150&gt;E$2,'ProductSprint Backlog'!$I150&lt;=E$2), 'ProductSprint Backlog'!$F150 / MAX(1, 'ProductSprint Backlog'!$J150-'ProductSprint Backlog'!$I150), AND('ProductSprint Backlog'!$J150=E$2,'ProductSprint Backlog'!$I150=E$2), 'ProductSprint Backlog'!$F150, TRUE, 0)</f>
        <v>0</v>
      </c>
      <c r="F150" s="4" cm="1">
        <f t="array" ref="F150">_xlfn.IFS('ProductSprint Backlog'!$F150="", "", AND('ProductSprint Backlog'!$J150&gt;F$2,'ProductSprint Backlog'!$I150&lt;=F$2), 'ProductSprint Backlog'!$F150 / MAX(1, 'ProductSprint Backlog'!$J150-'ProductSprint Backlog'!$I150), AND('ProductSprint Backlog'!$J150=F$2,'ProductSprint Backlog'!$I150=F$2), 'ProductSprint Backlog'!$F150, TRUE, 0)</f>
        <v>0</v>
      </c>
      <c r="G150" s="4" cm="1">
        <f t="array" ref="G150">_xlfn.IFS('ProductSprint Backlog'!$F150="", "", AND('ProductSprint Backlog'!$J150&gt;G$2,'ProductSprint Backlog'!$I150&lt;=G$2), 'ProductSprint Backlog'!$F150 / MAX(1, 'ProductSprint Backlog'!$J150-'ProductSprint Backlog'!$I150), AND('ProductSprint Backlog'!$J150=G$2,'ProductSprint Backlog'!$I150=G$2), 'ProductSprint Backlog'!$F150, TRUE, 0)</f>
        <v>0</v>
      </c>
      <c r="H150" s="4" cm="1">
        <f t="array" ref="H150">_xlfn.IFS('ProductSprint Backlog'!$F150="", "", AND('ProductSprint Backlog'!$J150&gt;H$2,'ProductSprint Backlog'!$I150&lt;=H$2), 'ProductSprint Backlog'!$F150 / MAX(1, 'ProductSprint Backlog'!$J150-'ProductSprint Backlog'!$I150), AND('ProductSprint Backlog'!$J150=H$2,'ProductSprint Backlog'!$I150=H$2), 'ProductSprint Backlog'!$F150, TRUE, 0)</f>
        <v>0</v>
      </c>
      <c r="I150" s="4" cm="1">
        <f t="array" ref="I150">_xlfn.IFS('ProductSprint Backlog'!$F150="", "", AND('ProductSprint Backlog'!$J150&gt;I$2,'ProductSprint Backlog'!$I150&lt;=I$2), 'ProductSprint Backlog'!$F150 / MAX(1, 'ProductSprint Backlog'!$J150-'ProductSprint Backlog'!$I150), AND('ProductSprint Backlog'!$J150=I$2,'ProductSprint Backlog'!$I150=I$2), 'ProductSprint Backlog'!$F150, TRUE, 0)</f>
        <v>0</v>
      </c>
      <c r="J150" s="4" cm="1">
        <f t="array" ref="J150">_xlfn.IFS('ProductSprint Backlog'!$F150="", "", AND('ProductSprint Backlog'!$J150&gt;J$2,'ProductSprint Backlog'!$I150&lt;=J$2), 'ProductSprint Backlog'!$F150 / MAX(1, 'ProductSprint Backlog'!$J150-'ProductSprint Backlog'!$I150), AND('ProductSprint Backlog'!$J150=J$2,'ProductSprint Backlog'!$I150=J$2), 'ProductSprint Backlog'!$F150, TRUE, 0)</f>
        <v>0</v>
      </c>
      <c r="K150" s="4" cm="1">
        <f t="array" ref="K150">_xlfn.IFS('ProductSprint Backlog'!$F150="", "", AND('ProductSprint Backlog'!$J150&gt;K$2,'ProductSprint Backlog'!$I150&lt;=K$2), 'ProductSprint Backlog'!$F150 / MAX(1, 'ProductSprint Backlog'!$J150-'ProductSprint Backlog'!$I150), AND('ProductSprint Backlog'!$J150=K$2,'ProductSprint Backlog'!$I150=K$2), 'ProductSprint Backlog'!$F150, TRUE, 0)</f>
        <v>0</v>
      </c>
      <c r="L150" s="4" cm="1">
        <f t="array" ref="L150">_xlfn.IFS('ProductSprint Backlog'!$F150="", "", AND('ProductSprint Backlog'!$J150&gt;L$2,'ProductSprint Backlog'!$I150&lt;=L$2), 'ProductSprint Backlog'!$F150 / MAX(1, 'ProductSprint Backlog'!$J150-'ProductSprint Backlog'!$I150), AND('ProductSprint Backlog'!$J150=L$2,'ProductSprint Backlog'!$I150=L$2), 'ProductSprint Backlog'!$F150, TRUE, 0)</f>
        <v>0</v>
      </c>
      <c r="M150" s="4" cm="1">
        <f t="array" ref="M150">_xlfn.IFS('ProductSprint Backlog'!$F150="", "", AND('ProductSprint Backlog'!$J150&gt;M$2,'ProductSprint Backlog'!$I150&lt;=M$2), 'ProductSprint Backlog'!$F150 / MAX(1, 'ProductSprint Backlog'!$J150-'ProductSprint Backlog'!$I150), AND('ProductSprint Backlog'!$J150=M$2,'ProductSprint Backlog'!$I150=M$2), 'ProductSprint Backlog'!$F150, TRUE, 0)</f>
        <v>0</v>
      </c>
      <c r="N150" s="4" cm="1">
        <f t="array" ref="N150">_xlfn.IFS('ProductSprint Backlog'!$F150="", "", AND('ProductSprint Backlog'!$J150&gt;N$2,'ProductSprint Backlog'!$I150&lt;=N$2), 'ProductSprint Backlog'!$F150 / MAX(1, 'ProductSprint Backlog'!$J150-'ProductSprint Backlog'!$I150), AND('ProductSprint Backlog'!$J150=N$2,'ProductSprint Backlog'!$I150=N$2), 'ProductSprint Backlog'!$F150, TRUE, 0)</f>
        <v>0</v>
      </c>
      <c r="O150" s="4" cm="1">
        <f t="array" ref="O150">_xlfn.IFS('ProductSprint Backlog'!$F150="", "", AND('ProductSprint Backlog'!$J150&gt;O$2,'ProductSprint Backlog'!$I150&lt;=O$2), 'ProductSprint Backlog'!$F150 / MAX(1, 'ProductSprint Backlog'!$J150-'ProductSprint Backlog'!$I150), AND('ProductSprint Backlog'!$J150=O$2,'ProductSprint Backlog'!$I150=O$2), 'ProductSprint Backlog'!$F150, TRUE, 0)</f>
        <v>0</v>
      </c>
    </row>
    <row r="151" spans="2:15" x14ac:dyDescent="0.2">
      <c r="B151" s="4" cm="1">
        <f t="array" ref="B151">_xlfn.IFS('ProductSprint Backlog'!$F151="", "", AND('ProductSprint Backlog'!$J151&gt;B$2,'ProductSprint Backlog'!$I151&lt;=B$2), 'ProductSprint Backlog'!$F151 / MAX(1, 'ProductSprint Backlog'!$J151-'ProductSprint Backlog'!$I151), AND('ProductSprint Backlog'!$J151=B$2,'ProductSprint Backlog'!$I151=B$2), 'ProductSprint Backlog'!$F151, TRUE, 0)</f>
        <v>0</v>
      </c>
      <c r="C151" s="4" cm="1">
        <f t="array" ref="C151">_xlfn.IFS('ProductSprint Backlog'!$F151="", "", AND('ProductSprint Backlog'!$J151&gt;C$2,'ProductSprint Backlog'!$I151&lt;=C$2), 'ProductSprint Backlog'!$F151 / MAX(1, 'ProductSprint Backlog'!$J151-'ProductSprint Backlog'!$I151), AND('ProductSprint Backlog'!$J151=C$2,'ProductSprint Backlog'!$I151=C$2), 'ProductSprint Backlog'!$F151, TRUE, 0)</f>
        <v>0</v>
      </c>
      <c r="D151" s="4" cm="1">
        <f t="array" ref="D151">_xlfn.IFS('ProductSprint Backlog'!$F151="", "", AND('ProductSprint Backlog'!$J151&gt;D$2,'ProductSprint Backlog'!$I151&lt;=D$2), 'ProductSprint Backlog'!$F151 / MAX(1, 'ProductSprint Backlog'!$J151-'ProductSprint Backlog'!$I151), AND('ProductSprint Backlog'!$J151=D$2,'ProductSprint Backlog'!$I151=D$2), 'ProductSprint Backlog'!$F151, TRUE, 0)</f>
        <v>0</v>
      </c>
      <c r="E151" s="4" cm="1">
        <f t="array" ref="E151">_xlfn.IFS('ProductSprint Backlog'!$F151="", "", AND('ProductSprint Backlog'!$J151&gt;E$2,'ProductSprint Backlog'!$I151&lt;=E$2), 'ProductSprint Backlog'!$F151 / MAX(1, 'ProductSprint Backlog'!$J151-'ProductSprint Backlog'!$I151), AND('ProductSprint Backlog'!$J151=E$2,'ProductSprint Backlog'!$I151=E$2), 'ProductSprint Backlog'!$F151, TRUE, 0)</f>
        <v>0</v>
      </c>
      <c r="F151" s="4" cm="1">
        <f t="array" ref="F151">_xlfn.IFS('ProductSprint Backlog'!$F151="", "", AND('ProductSprint Backlog'!$J151&gt;F$2,'ProductSprint Backlog'!$I151&lt;=F$2), 'ProductSprint Backlog'!$F151 / MAX(1, 'ProductSprint Backlog'!$J151-'ProductSprint Backlog'!$I151), AND('ProductSprint Backlog'!$J151=F$2,'ProductSprint Backlog'!$I151=F$2), 'ProductSprint Backlog'!$F151, TRUE, 0)</f>
        <v>0</v>
      </c>
      <c r="G151" s="4" cm="1">
        <f t="array" ref="G151">_xlfn.IFS('ProductSprint Backlog'!$F151="", "", AND('ProductSprint Backlog'!$J151&gt;G$2,'ProductSprint Backlog'!$I151&lt;=G$2), 'ProductSprint Backlog'!$F151 / MAX(1, 'ProductSprint Backlog'!$J151-'ProductSprint Backlog'!$I151), AND('ProductSprint Backlog'!$J151=G$2,'ProductSprint Backlog'!$I151=G$2), 'ProductSprint Backlog'!$F151, TRUE, 0)</f>
        <v>0</v>
      </c>
      <c r="H151" s="4" cm="1">
        <f t="array" ref="H151">_xlfn.IFS('ProductSprint Backlog'!$F151="", "", AND('ProductSprint Backlog'!$J151&gt;H$2,'ProductSprint Backlog'!$I151&lt;=H$2), 'ProductSprint Backlog'!$F151 / MAX(1, 'ProductSprint Backlog'!$J151-'ProductSprint Backlog'!$I151), AND('ProductSprint Backlog'!$J151=H$2,'ProductSprint Backlog'!$I151=H$2), 'ProductSprint Backlog'!$F151, TRUE, 0)</f>
        <v>0</v>
      </c>
      <c r="I151" s="4" cm="1">
        <f t="array" ref="I151">_xlfn.IFS('ProductSprint Backlog'!$F151="", "", AND('ProductSprint Backlog'!$J151&gt;I$2,'ProductSprint Backlog'!$I151&lt;=I$2), 'ProductSprint Backlog'!$F151 / MAX(1, 'ProductSprint Backlog'!$J151-'ProductSprint Backlog'!$I151), AND('ProductSprint Backlog'!$J151=I$2,'ProductSprint Backlog'!$I151=I$2), 'ProductSprint Backlog'!$F151, TRUE, 0)</f>
        <v>0</v>
      </c>
      <c r="J151" s="4" cm="1">
        <f t="array" ref="J151">_xlfn.IFS('ProductSprint Backlog'!$F151="", "", AND('ProductSprint Backlog'!$J151&gt;J$2,'ProductSprint Backlog'!$I151&lt;=J$2), 'ProductSprint Backlog'!$F151 / MAX(1, 'ProductSprint Backlog'!$J151-'ProductSprint Backlog'!$I151), AND('ProductSprint Backlog'!$J151=J$2,'ProductSprint Backlog'!$I151=J$2), 'ProductSprint Backlog'!$F151, TRUE, 0)</f>
        <v>0</v>
      </c>
      <c r="K151" s="4" cm="1">
        <f t="array" ref="K151">_xlfn.IFS('ProductSprint Backlog'!$F151="", "", AND('ProductSprint Backlog'!$J151&gt;K$2,'ProductSprint Backlog'!$I151&lt;=K$2), 'ProductSprint Backlog'!$F151 / MAX(1, 'ProductSprint Backlog'!$J151-'ProductSprint Backlog'!$I151), AND('ProductSprint Backlog'!$J151=K$2,'ProductSprint Backlog'!$I151=K$2), 'ProductSprint Backlog'!$F151, TRUE, 0)</f>
        <v>0</v>
      </c>
      <c r="L151" s="4" cm="1">
        <f t="array" ref="L151">_xlfn.IFS('ProductSprint Backlog'!$F151="", "", AND('ProductSprint Backlog'!$J151&gt;L$2,'ProductSprint Backlog'!$I151&lt;=L$2), 'ProductSprint Backlog'!$F151 / MAX(1, 'ProductSprint Backlog'!$J151-'ProductSprint Backlog'!$I151), AND('ProductSprint Backlog'!$J151=L$2,'ProductSprint Backlog'!$I151=L$2), 'ProductSprint Backlog'!$F151, TRUE, 0)</f>
        <v>0</v>
      </c>
      <c r="M151" s="4" cm="1">
        <f t="array" ref="M151">_xlfn.IFS('ProductSprint Backlog'!$F151="", "", AND('ProductSprint Backlog'!$J151&gt;M$2,'ProductSprint Backlog'!$I151&lt;=M$2), 'ProductSprint Backlog'!$F151 / MAX(1, 'ProductSprint Backlog'!$J151-'ProductSprint Backlog'!$I151), AND('ProductSprint Backlog'!$J151=M$2,'ProductSprint Backlog'!$I151=M$2), 'ProductSprint Backlog'!$F151, TRUE, 0)</f>
        <v>0</v>
      </c>
      <c r="N151" s="4" cm="1">
        <f t="array" ref="N151">_xlfn.IFS('ProductSprint Backlog'!$F151="", "", AND('ProductSprint Backlog'!$J151&gt;N$2,'ProductSprint Backlog'!$I151&lt;=N$2), 'ProductSprint Backlog'!$F151 / MAX(1, 'ProductSprint Backlog'!$J151-'ProductSprint Backlog'!$I151), AND('ProductSprint Backlog'!$J151=N$2,'ProductSprint Backlog'!$I151=N$2), 'ProductSprint Backlog'!$F151, TRUE, 0)</f>
        <v>0</v>
      </c>
      <c r="O151" s="4" cm="1">
        <f t="array" ref="O151">_xlfn.IFS('ProductSprint Backlog'!$F151="", "", AND('ProductSprint Backlog'!$J151&gt;O$2,'ProductSprint Backlog'!$I151&lt;=O$2), 'ProductSprint Backlog'!$F151 / MAX(1, 'ProductSprint Backlog'!$J151-'ProductSprint Backlog'!$I151), AND('ProductSprint Backlog'!$J151=O$2,'ProductSprint Backlog'!$I151=O$2), 'ProductSprint Backlog'!$F151, TRUE, 0)</f>
        <v>0</v>
      </c>
    </row>
    <row r="152" spans="2:15" x14ac:dyDescent="0.2">
      <c r="B152" s="4" cm="1">
        <f t="array" ref="B152">_xlfn.IFS('ProductSprint Backlog'!$F152="", "", AND('ProductSprint Backlog'!$J152&gt;B$2,'ProductSprint Backlog'!$I152&lt;=B$2), 'ProductSprint Backlog'!$F152 / MAX(1, 'ProductSprint Backlog'!$J152-'ProductSprint Backlog'!$I152), AND('ProductSprint Backlog'!$J152=B$2,'ProductSprint Backlog'!$I152=B$2), 'ProductSprint Backlog'!$F152, TRUE, 0)</f>
        <v>0</v>
      </c>
      <c r="C152" s="4" cm="1">
        <f t="array" ref="C152">_xlfn.IFS('ProductSprint Backlog'!$F152="", "", AND('ProductSprint Backlog'!$J152&gt;C$2,'ProductSprint Backlog'!$I152&lt;=C$2), 'ProductSprint Backlog'!$F152 / MAX(1, 'ProductSprint Backlog'!$J152-'ProductSprint Backlog'!$I152), AND('ProductSprint Backlog'!$J152=C$2,'ProductSprint Backlog'!$I152=C$2), 'ProductSprint Backlog'!$F152, TRUE, 0)</f>
        <v>0</v>
      </c>
      <c r="D152" s="4" cm="1">
        <f t="array" ref="D152">_xlfn.IFS('ProductSprint Backlog'!$F152="", "", AND('ProductSprint Backlog'!$J152&gt;D$2,'ProductSprint Backlog'!$I152&lt;=D$2), 'ProductSprint Backlog'!$F152 / MAX(1, 'ProductSprint Backlog'!$J152-'ProductSprint Backlog'!$I152), AND('ProductSprint Backlog'!$J152=D$2,'ProductSprint Backlog'!$I152=D$2), 'ProductSprint Backlog'!$F152, TRUE, 0)</f>
        <v>0</v>
      </c>
      <c r="E152" s="4" cm="1">
        <f t="array" ref="E152">_xlfn.IFS('ProductSprint Backlog'!$F152="", "", AND('ProductSprint Backlog'!$J152&gt;E$2,'ProductSprint Backlog'!$I152&lt;=E$2), 'ProductSprint Backlog'!$F152 / MAX(1, 'ProductSprint Backlog'!$J152-'ProductSprint Backlog'!$I152), AND('ProductSprint Backlog'!$J152=E$2,'ProductSprint Backlog'!$I152=E$2), 'ProductSprint Backlog'!$F152, TRUE, 0)</f>
        <v>0</v>
      </c>
      <c r="F152" s="4" cm="1">
        <f t="array" ref="F152">_xlfn.IFS('ProductSprint Backlog'!$F152="", "", AND('ProductSprint Backlog'!$J152&gt;F$2,'ProductSprint Backlog'!$I152&lt;=F$2), 'ProductSprint Backlog'!$F152 / MAX(1, 'ProductSprint Backlog'!$J152-'ProductSprint Backlog'!$I152), AND('ProductSprint Backlog'!$J152=F$2,'ProductSprint Backlog'!$I152=F$2), 'ProductSprint Backlog'!$F152, TRUE, 0)</f>
        <v>0</v>
      </c>
      <c r="G152" s="4" cm="1">
        <f t="array" ref="G152">_xlfn.IFS('ProductSprint Backlog'!$F152="", "", AND('ProductSprint Backlog'!$J152&gt;G$2,'ProductSprint Backlog'!$I152&lt;=G$2), 'ProductSprint Backlog'!$F152 / MAX(1, 'ProductSprint Backlog'!$J152-'ProductSprint Backlog'!$I152), AND('ProductSprint Backlog'!$J152=G$2,'ProductSprint Backlog'!$I152=G$2), 'ProductSprint Backlog'!$F152, TRUE, 0)</f>
        <v>0</v>
      </c>
      <c r="H152" s="4" cm="1">
        <f t="array" ref="H152">_xlfn.IFS('ProductSprint Backlog'!$F152="", "", AND('ProductSprint Backlog'!$J152&gt;H$2,'ProductSprint Backlog'!$I152&lt;=H$2), 'ProductSprint Backlog'!$F152 / MAX(1, 'ProductSprint Backlog'!$J152-'ProductSprint Backlog'!$I152), AND('ProductSprint Backlog'!$J152=H$2,'ProductSprint Backlog'!$I152=H$2), 'ProductSprint Backlog'!$F152, TRUE, 0)</f>
        <v>0</v>
      </c>
      <c r="I152" s="4" cm="1">
        <f t="array" ref="I152">_xlfn.IFS('ProductSprint Backlog'!$F152="", "", AND('ProductSprint Backlog'!$J152&gt;I$2,'ProductSprint Backlog'!$I152&lt;=I$2), 'ProductSprint Backlog'!$F152 / MAX(1, 'ProductSprint Backlog'!$J152-'ProductSprint Backlog'!$I152), AND('ProductSprint Backlog'!$J152=I$2,'ProductSprint Backlog'!$I152=I$2), 'ProductSprint Backlog'!$F152, TRUE, 0)</f>
        <v>0</v>
      </c>
      <c r="J152" s="4" cm="1">
        <f t="array" ref="J152">_xlfn.IFS('ProductSprint Backlog'!$F152="", "", AND('ProductSprint Backlog'!$J152&gt;J$2,'ProductSprint Backlog'!$I152&lt;=J$2), 'ProductSprint Backlog'!$F152 / MAX(1, 'ProductSprint Backlog'!$J152-'ProductSprint Backlog'!$I152), AND('ProductSprint Backlog'!$J152=J$2,'ProductSprint Backlog'!$I152=J$2), 'ProductSprint Backlog'!$F152, TRUE, 0)</f>
        <v>0</v>
      </c>
      <c r="K152" s="4" cm="1">
        <f t="array" ref="K152">_xlfn.IFS('ProductSprint Backlog'!$F152="", "", AND('ProductSprint Backlog'!$J152&gt;K$2,'ProductSprint Backlog'!$I152&lt;=K$2), 'ProductSprint Backlog'!$F152 / MAX(1, 'ProductSprint Backlog'!$J152-'ProductSprint Backlog'!$I152), AND('ProductSprint Backlog'!$J152=K$2,'ProductSprint Backlog'!$I152=K$2), 'ProductSprint Backlog'!$F152, TRUE, 0)</f>
        <v>0</v>
      </c>
      <c r="L152" s="4" cm="1">
        <f t="array" ref="L152">_xlfn.IFS('ProductSprint Backlog'!$F152="", "", AND('ProductSprint Backlog'!$J152&gt;L$2,'ProductSprint Backlog'!$I152&lt;=L$2), 'ProductSprint Backlog'!$F152 / MAX(1, 'ProductSprint Backlog'!$J152-'ProductSprint Backlog'!$I152), AND('ProductSprint Backlog'!$J152=L$2,'ProductSprint Backlog'!$I152=L$2), 'ProductSprint Backlog'!$F152, TRUE, 0)</f>
        <v>0</v>
      </c>
      <c r="M152" s="4" cm="1">
        <f t="array" ref="M152">_xlfn.IFS('ProductSprint Backlog'!$F152="", "", AND('ProductSprint Backlog'!$J152&gt;M$2,'ProductSprint Backlog'!$I152&lt;=M$2), 'ProductSprint Backlog'!$F152 / MAX(1, 'ProductSprint Backlog'!$J152-'ProductSprint Backlog'!$I152), AND('ProductSprint Backlog'!$J152=M$2,'ProductSprint Backlog'!$I152=M$2), 'ProductSprint Backlog'!$F152, TRUE, 0)</f>
        <v>0</v>
      </c>
      <c r="N152" s="4" cm="1">
        <f t="array" ref="N152">_xlfn.IFS('ProductSprint Backlog'!$F152="", "", AND('ProductSprint Backlog'!$J152&gt;N$2,'ProductSprint Backlog'!$I152&lt;=N$2), 'ProductSprint Backlog'!$F152 / MAX(1, 'ProductSprint Backlog'!$J152-'ProductSprint Backlog'!$I152), AND('ProductSprint Backlog'!$J152=N$2,'ProductSprint Backlog'!$I152=N$2), 'ProductSprint Backlog'!$F152, TRUE, 0)</f>
        <v>0</v>
      </c>
      <c r="O152" s="4" cm="1">
        <f t="array" ref="O152">_xlfn.IFS('ProductSprint Backlog'!$F152="", "", AND('ProductSprint Backlog'!$J152&gt;O$2,'ProductSprint Backlog'!$I152&lt;=O$2), 'ProductSprint Backlog'!$F152 / MAX(1, 'ProductSprint Backlog'!$J152-'ProductSprint Backlog'!$I152), AND('ProductSprint Backlog'!$J152=O$2,'ProductSprint Backlog'!$I152=O$2), 'ProductSprint Backlog'!$F152, TRUE, 0)</f>
        <v>0</v>
      </c>
    </row>
    <row r="153" spans="2:15" x14ac:dyDescent="0.2">
      <c r="B153" s="4" cm="1">
        <f t="array" ref="B153">_xlfn.IFS('ProductSprint Backlog'!$F153="", "", AND('ProductSprint Backlog'!$J153&gt;B$2,'ProductSprint Backlog'!$I153&lt;=B$2), 'ProductSprint Backlog'!$F153 / MAX(1, 'ProductSprint Backlog'!$J153-'ProductSprint Backlog'!$I153), AND('ProductSprint Backlog'!$J153=B$2,'ProductSprint Backlog'!$I153=B$2), 'ProductSprint Backlog'!$F153, TRUE, 0)</f>
        <v>0</v>
      </c>
      <c r="C153" s="4" cm="1">
        <f t="array" ref="C153">_xlfn.IFS('ProductSprint Backlog'!$F153="", "", AND('ProductSprint Backlog'!$J153&gt;C$2,'ProductSprint Backlog'!$I153&lt;=C$2), 'ProductSprint Backlog'!$F153 / MAX(1, 'ProductSprint Backlog'!$J153-'ProductSprint Backlog'!$I153), AND('ProductSprint Backlog'!$J153=C$2,'ProductSprint Backlog'!$I153=C$2), 'ProductSprint Backlog'!$F153, TRUE, 0)</f>
        <v>0</v>
      </c>
      <c r="D153" s="4" cm="1">
        <f t="array" ref="D153">_xlfn.IFS('ProductSprint Backlog'!$F153="", "", AND('ProductSprint Backlog'!$J153&gt;D$2,'ProductSprint Backlog'!$I153&lt;=D$2), 'ProductSprint Backlog'!$F153 / MAX(1, 'ProductSprint Backlog'!$J153-'ProductSprint Backlog'!$I153), AND('ProductSprint Backlog'!$J153=D$2,'ProductSprint Backlog'!$I153=D$2), 'ProductSprint Backlog'!$F153, TRUE, 0)</f>
        <v>0</v>
      </c>
      <c r="E153" s="4" cm="1">
        <f t="array" ref="E153">_xlfn.IFS('ProductSprint Backlog'!$F153="", "", AND('ProductSprint Backlog'!$J153&gt;E$2,'ProductSprint Backlog'!$I153&lt;=E$2), 'ProductSprint Backlog'!$F153 / MAX(1, 'ProductSprint Backlog'!$J153-'ProductSprint Backlog'!$I153), AND('ProductSprint Backlog'!$J153=E$2,'ProductSprint Backlog'!$I153=E$2), 'ProductSprint Backlog'!$F153, TRUE, 0)</f>
        <v>0</v>
      </c>
      <c r="F153" s="4" cm="1">
        <f t="array" ref="F153">_xlfn.IFS('ProductSprint Backlog'!$F153="", "", AND('ProductSprint Backlog'!$J153&gt;F$2,'ProductSprint Backlog'!$I153&lt;=F$2), 'ProductSprint Backlog'!$F153 / MAX(1, 'ProductSprint Backlog'!$J153-'ProductSprint Backlog'!$I153), AND('ProductSprint Backlog'!$J153=F$2,'ProductSprint Backlog'!$I153=F$2), 'ProductSprint Backlog'!$F153, TRUE, 0)</f>
        <v>0</v>
      </c>
      <c r="G153" s="4" cm="1">
        <f t="array" ref="G153">_xlfn.IFS('ProductSprint Backlog'!$F153="", "", AND('ProductSprint Backlog'!$J153&gt;G$2,'ProductSprint Backlog'!$I153&lt;=G$2), 'ProductSprint Backlog'!$F153 / MAX(1, 'ProductSprint Backlog'!$J153-'ProductSprint Backlog'!$I153), AND('ProductSprint Backlog'!$J153=G$2,'ProductSprint Backlog'!$I153=G$2), 'ProductSprint Backlog'!$F153, TRUE, 0)</f>
        <v>0</v>
      </c>
      <c r="H153" s="4" cm="1">
        <f t="array" ref="H153">_xlfn.IFS('ProductSprint Backlog'!$F153="", "", AND('ProductSprint Backlog'!$J153&gt;H$2,'ProductSprint Backlog'!$I153&lt;=H$2), 'ProductSprint Backlog'!$F153 / MAX(1, 'ProductSprint Backlog'!$J153-'ProductSprint Backlog'!$I153), AND('ProductSprint Backlog'!$J153=H$2,'ProductSprint Backlog'!$I153=H$2), 'ProductSprint Backlog'!$F153, TRUE, 0)</f>
        <v>0</v>
      </c>
      <c r="I153" s="4" cm="1">
        <f t="array" ref="I153">_xlfn.IFS('ProductSprint Backlog'!$F153="", "", AND('ProductSprint Backlog'!$J153&gt;I$2,'ProductSprint Backlog'!$I153&lt;=I$2), 'ProductSprint Backlog'!$F153 / MAX(1, 'ProductSprint Backlog'!$J153-'ProductSprint Backlog'!$I153), AND('ProductSprint Backlog'!$J153=I$2,'ProductSprint Backlog'!$I153=I$2), 'ProductSprint Backlog'!$F153, TRUE, 0)</f>
        <v>0</v>
      </c>
      <c r="J153" s="4" cm="1">
        <f t="array" ref="J153">_xlfn.IFS('ProductSprint Backlog'!$F153="", "", AND('ProductSprint Backlog'!$J153&gt;J$2,'ProductSprint Backlog'!$I153&lt;=J$2), 'ProductSprint Backlog'!$F153 / MAX(1, 'ProductSprint Backlog'!$J153-'ProductSprint Backlog'!$I153), AND('ProductSprint Backlog'!$J153=J$2,'ProductSprint Backlog'!$I153=J$2), 'ProductSprint Backlog'!$F153, TRUE, 0)</f>
        <v>0</v>
      </c>
      <c r="K153" s="4" cm="1">
        <f t="array" ref="K153">_xlfn.IFS('ProductSprint Backlog'!$F153="", "", AND('ProductSprint Backlog'!$J153&gt;K$2,'ProductSprint Backlog'!$I153&lt;=K$2), 'ProductSprint Backlog'!$F153 / MAX(1, 'ProductSprint Backlog'!$J153-'ProductSprint Backlog'!$I153), AND('ProductSprint Backlog'!$J153=K$2,'ProductSprint Backlog'!$I153=K$2), 'ProductSprint Backlog'!$F153, TRUE, 0)</f>
        <v>0</v>
      </c>
      <c r="L153" s="4" cm="1">
        <f t="array" ref="L153">_xlfn.IFS('ProductSprint Backlog'!$F153="", "", AND('ProductSprint Backlog'!$J153&gt;L$2,'ProductSprint Backlog'!$I153&lt;=L$2), 'ProductSprint Backlog'!$F153 / MAX(1, 'ProductSprint Backlog'!$J153-'ProductSprint Backlog'!$I153), AND('ProductSprint Backlog'!$J153=L$2,'ProductSprint Backlog'!$I153=L$2), 'ProductSprint Backlog'!$F153, TRUE, 0)</f>
        <v>0</v>
      </c>
      <c r="M153" s="4" cm="1">
        <f t="array" ref="M153">_xlfn.IFS('ProductSprint Backlog'!$F153="", "", AND('ProductSprint Backlog'!$J153&gt;M$2,'ProductSprint Backlog'!$I153&lt;=M$2), 'ProductSprint Backlog'!$F153 / MAX(1, 'ProductSprint Backlog'!$J153-'ProductSprint Backlog'!$I153), AND('ProductSprint Backlog'!$J153=M$2,'ProductSprint Backlog'!$I153=M$2), 'ProductSprint Backlog'!$F153, TRUE, 0)</f>
        <v>0</v>
      </c>
      <c r="N153" s="4" cm="1">
        <f t="array" ref="N153">_xlfn.IFS('ProductSprint Backlog'!$F153="", "", AND('ProductSprint Backlog'!$J153&gt;N$2,'ProductSprint Backlog'!$I153&lt;=N$2), 'ProductSprint Backlog'!$F153 / MAX(1, 'ProductSprint Backlog'!$J153-'ProductSprint Backlog'!$I153), AND('ProductSprint Backlog'!$J153=N$2,'ProductSprint Backlog'!$I153=N$2), 'ProductSprint Backlog'!$F153, TRUE, 0)</f>
        <v>0</v>
      </c>
      <c r="O153" s="4" cm="1">
        <f t="array" ref="O153">_xlfn.IFS('ProductSprint Backlog'!$F153="", "", AND('ProductSprint Backlog'!$J153&gt;O$2,'ProductSprint Backlog'!$I153&lt;=O$2), 'ProductSprint Backlog'!$F153 / MAX(1, 'ProductSprint Backlog'!$J153-'ProductSprint Backlog'!$I153), AND('ProductSprint Backlog'!$J153=O$2,'ProductSprint Backlog'!$I153=O$2), 'ProductSprint Backlog'!$F153, TRUE, 0)</f>
        <v>0</v>
      </c>
    </row>
    <row r="154" spans="2:15" x14ac:dyDescent="0.2">
      <c r="B154" s="4" cm="1">
        <f t="array" ref="B154">_xlfn.IFS('ProductSprint Backlog'!$F154="", "", AND('ProductSprint Backlog'!$J154&gt;B$2,'ProductSprint Backlog'!$I154&lt;=B$2), 'ProductSprint Backlog'!$F154 / MAX(1, 'ProductSprint Backlog'!$J154-'ProductSprint Backlog'!$I154), AND('ProductSprint Backlog'!$J154=B$2,'ProductSprint Backlog'!$I154=B$2), 'ProductSprint Backlog'!$F154, TRUE, 0)</f>
        <v>0</v>
      </c>
      <c r="C154" s="4" cm="1">
        <f t="array" ref="C154">_xlfn.IFS('ProductSprint Backlog'!$F154="", "", AND('ProductSprint Backlog'!$J154&gt;C$2,'ProductSprint Backlog'!$I154&lt;=C$2), 'ProductSprint Backlog'!$F154 / MAX(1, 'ProductSprint Backlog'!$J154-'ProductSprint Backlog'!$I154), AND('ProductSprint Backlog'!$J154=C$2,'ProductSprint Backlog'!$I154=C$2), 'ProductSprint Backlog'!$F154, TRUE, 0)</f>
        <v>0</v>
      </c>
      <c r="D154" s="4" cm="1">
        <f t="array" ref="D154">_xlfn.IFS('ProductSprint Backlog'!$F154="", "", AND('ProductSprint Backlog'!$J154&gt;D$2,'ProductSprint Backlog'!$I154&lt;=D$2), 'ProductSprint Backlog'!$F154 / MAX(1, 'ProductSprint Backlog'!$J154-'ProductSprint Backlog'!$I154), AND('ProductSprint Backlog'!$J154=D$2,'ProductSprint Backlog'!$I154=D$2), 'ProductSprint Backlog'!$F154, TRUE, 0)</f>
        <v>0</v>
      </c>
      <c r="E154" s="4" cm="1">
        <f t="array" ref="E154">_xlfn.IFS('ProductSprint Backlog'!$F154="", "", AND('ProductSprint Backlog'!$J154&gt;E$2,'ProductSprint Backlog'!$I154&lt;=E$2), 'ProductSprint Backlog'!$F154 / MAX(1, 'ProductSprint Backlog'!$J154-'ProductSprint Backlog'!$I154), AND('ProductSprint Backlog'!$J154=E$2,'ProductSprint Backlog'!$I154=E$2), 'ProductSprint Backlog'!$F154, TRUE, 0)</f>
        <v>0</v>
      </c>
      <c r="F154" s="4" cm="1">
        <f t="array" ref="F154">_xlfn.IFS('ProductSprint Backlog'!$F154="", "", AND('ProductSprint Backlog'!$J154&gt;F$2,'ProductSprint Backlog'!$I154&lt;=F$2), 'ProductSprint Backlog'!$F154 / MAX(1, 'ProductSprint Backlog'!$J154-'ProductSprint Backlog'!$I154), AND('ProductSprint Backlog'!$J154=F$2,'ProductSprint Backlog'!$I154=F$2), 'ProductSprint Backlog'!$F154, TRUE, 0)</f>
        <v>0</v>
      </c>
      <c r="G154" s="4" cm="1">
        <f t="array" ref="G154">_xlfn.IFS('ProductSprint Backlog'!$F154="", "", AND('ProductSprint Backlog'!$J154&gt;G$2,'ProductSprint Backlog'!$I154&lt;=G$2), 'ProductSprint Backlog'!$F154 / MAX(1, 'ProductSprint Backlog'!$J154-'ProductSprint Backlog'!$I154), AND('ProductSprint Backlog'!$J154=G$2,'ProductSprint Backlog'!$I154=G$2), 'ProductSprint Backlog'!$F154, TRUE, 0)</f>
        <v>0</v>
      </c>
      <c r="H154" s="4" cm="1">
        <f t="array" ref="H154">_xlfn.IFS('ProductSprint Backlog'!$F154="", "", AND('ProductSprint Backlog'!$J154&gt;H$2,'ProductSprint Backlog'!$I154&lt;=H$2), 'ProductSprint Backlog'!$F154 / MAX(1, 'ProductSprint Backlog'!$J154-'ProductSprint Backlog'!$I154), AND('ProductSprint Backlog'!$J154=H$2,'ProductSprint Backlog'!$I154=H$2), 'ProductSprint Backlog'!$F154, TRUE, 0)</f>
        <v>0</v>
      </c>
      <c r="I154" s="4" cm="1">
        <f t="array" ref="I154">_xlfn.IFS('ProductSprint Backlog'!$F154="", "", AND('ProductSprint Backlog'!$J154&gt;I$2,'ProductSprint Backlog'!$I154&lt;=I$2), 'ProductSprint Backlog'!$F154 / MAX(1, 'ProductSprint Backlog'!$J154-'ProductSprint Backlog'!$I154), AND('ProductSprint Backlog'!$J154=I$2,'ProductSprint Backlog'!$I154=I$2), 'ProductSprint Backlog'!$F154, TRUE, 0)</f>
        <v>0</v>
      </c>
      <c r="J154" s="4" cm="1">
        <f t="array" ref="J154">_xlfn.IFS('ProductSprint Backlog'!$F154="", "", AND('ProductSprint Backlog'!$J154&gt;J$2,'ProductSprint Backlog'!$I154&lt;=J$2), 'ProductSprint Backlog'!$F154 / MAX(1, 'ProductSprint Backlog'!$J154-'ProductSprint Backlog'!$I154), AND('ProductSprint Backlog'!$J154=J$2,'ProductSprint Backlog'!$I154=J$2), 'ProductSprint Backlog'!$F154, TRUE, 0)</f>
        <v>0</v>
      </c>
      <c r="K154" s="4" cm="1">
        <f t="array" ref="K154">_xlfn.IFS('ProductSprint Backlog'!$F154="", "", AND('ProductSprint Backlog'!$J154&gt;K$2,'ProductSprint Backlog'!$I154&lt;=K$2), 'ProductSprint Backlog'!$F154 / MAX(1, 'ProductSprint Backlog'!$J154-'ProductSprint Backlog'!$I154), AND('ProductSprint Backlog'!$J154=K$2,'ProductSprint Backlog'!$I154=K$2), 'ProductSprint Backlog'!$F154, TRUE, 0)</f>
        <v>0</v>
      </c>
      <c r="L154" s="4" cm="1">
        <f t="array" ref="L154">_xlfn.IFS('ProductSprint Backlog'!$F154="", "", AND('ProductSprint Backlog'!$J154&gt;L$2,'ProductSprint Backlog'!$I154&lt;=L$2), 'ProductSprint Backlog'!$F154 / MAX(1, 'ProductSprint Backlog'!$J154-'ProductSprint Backlog'!$I154), AND('ProductSprint Backlog'!$J154=L$2,'ProductSprint Backlog'!$I154=L$2), 'ProductSprint Backlog'!$F154, TRUE, 0)</f>
        <v>0</v>
      </c>
      <c r="M154" s="4" cm="1">
        <f t="array" ref="M154">_xlfn.IFS('ProductSprint Backlog'!$F154="", "", AND('ProductSprint Backlog'!$J154&gt;M$2,'ProductSprint Backlog'!$I154&lt;=M$2), 'ProductSprint Backlog'!$F154 / MAX(1, 'ProductSprint Backlog'!$J154-'ProductSprint Backlog'!$I154), AND('ProductSprint Backlog'!$J154=M$2,'ProductSprint Backlog'!$I154=M$2), 'ProductSprint Backlog'!$F154, TRUE, 0)</f>
        <v>0</v>
      </c>
      <c r="N154" s="4" cm="1">
        <f t="array" ref="N154">_xlfn.IFS('ProductSprint Backlog'!$F154="", "", AND('ProductSprint Backlog'!$J154&gt;N$2,'ProductSprint Backlog'!$I154&lt;=N$2), 'ProductSprint Backlog'!$F154 / MAX(1, 'ProductSprint Backlog'!$J154-'ProductSprint Backlog'!$I154), AND('ProductSprint Backlog'!$J154=N$2,'ProductSprint Backlog'!$I154=N$2), 'ProductSprint Backlog'!$F154, TRUE, 0)</f>
        <v>0</v>
      </c>
      <c r="O154" s="4" cm="1">
        <f t="array" ref="O154">_xlfn.IFS('ProductSprint Backlog'!$F154="", "", AND('ProductSprint Backlog'!$J154&gt;O$2,'ProductSprint Backlog'!$I154&lt;=O$2), 'ProductSprint Backlog'!$F154 / MAX(1, 'ProductSprint Backlog'!$J154-'ProductSprint Backlog'!$I154), AND('ProductSprint Backlog'!$J154=O$2,'ProductSprint Backlog'!$I154=O$2), 'ProductSprint Backlog'!$F154, TRUE, 0)</f>
        <v>0</v>
      </c>
    </row>
    <row r="155" spans="2:15" x14ac:dyDescent="0.2">
      <c r="B155" s="4" cm="1">
        <f t="array" ref="B155">_xlfn.IFS('ProductSprint Backlog'!$F155="", "", AND('ProductSprint Backlog'!$J155&gt;B$2,'ProductSprint Backlog'!$I155&lt;=B$2), 'ProductSprint Backlog'!$F155 / MAX(1, 'ProductSprint Backlog'!$J155-'ProductSprint Backlog'!$I155), AND('ProductSprint Backlog'!$J155=B$2,'ProductSprint Backlog'!$I155=B$2), 'ProductSprint Backlog'!$F155, TRUE, 0)</f>
        <v>0</v>
      </c>
      <c r="C155" s="4" cm="1">
        <f t="array" ref="C155">_xlfn.IFS('ProductSprint Backlog'!$F155="", "", AND('ProductSprint Backlog'!$J155&gt;C$2,'ProductSprint Backlog'!$I155&lt;=C$2), 'ProductSprint Backlog'!$F155 / MAX(1, 'ProductSprint Backlog'!$J155-'ProductSprint Backlog'!$I155), AND('ProductSprint Backlog'!$J155=C$2,'ProductSprint Backlog'!$I155=C$2), 'ProductSprint Backlog'!$F155, TRUE, 0)</f>
        <v>0</v>
      </c>
      <c r="D155" s="4" cm="1">
        <f t="array" ref="D155">_xlfn.IFS('ProductSprint Backlog'!$F155="", "", AND('ProductSprint Backlog'!$J155&gt;D$2,'ProductSprint Backlog'!$I155&lt;=D$2), 'ProductSprint Backlog'!$F155 / MAX(1, 'ProductSprint Backlog'!$J155-'ProductSprint Backlog'!$I155), AND('ProductSprint Backlog'!$J155=D$2,'ProductSprint Backlog'!$I155=D$2), 'ProductSprint Backlog'!$F155, TRUE, 0)</f>
        <v>0</v>
      </c>
      <c r="E155" s="4" cm="1">
        <f t="array" ref="E155">_xlfn.IFS('ProductSprint Backlog'!$F155="", "", AND('ProductSprint Backlog'!$J155&gt;E$2,'ProductSprint Backlog'!$I155&lt;=E$2), 'ProductSprint Backlog'!$F155 / MAX(1, 'ProductSprint Backlog'!$J155-'ProductSprint Backlog'!$I155), AND('ProductSprint Backlog'!$J155=E$2,'ProductSprint Backlog'!$I155=E$2), 'ProductSprint Backlog'!$F155, TRUE, 0)</f>
        <v>0</v>
      </c>
      <c r="F155" s="4" cm="1">
        <f t="array" ref="F155">_xlfn.IFS('ProductSprint Backlog'!$F155="", "", AND('ProductSprint Backlog'!$J155&gt;F$2,'ProductSprint Backlog'!$I155&lt;=F$2), 'ProductSprint Backlog'!$F155 / MAX(1, 'ProductSprint Backlog'!$J155-'ProductSprint Backlog'!$I155), AND('ProductSprint Backlog'!$J155=F$2,'ProductSprint Backlog'!$I155=F$2), 'ProductSprint Backlog'!$F155, TRUE, 0)</f>
        <v>0</v>
      </c>
      <c r="G155" s="4" cm="1">
        <f t="array" ref="G155">_xlfn.IFS('ProductSprint Backlog'!$F155="", "", AND('ProductSprint Backlog'!$J155&gt;G$2,'ProductSprint Backlog'!$I155&lt;=G$2), 'ProductSprint Backlog'!$F155 / MAX(1, 'ProductSprint Backlog'!$J155-'ProductSprint Backlog'!$I155), AND('ProductSprint Backlog'!$J155=G$2,'ProductSprint Backlog'!$I155=G$2), 'ProductSprint Backlog'!$F155, TRUE, 0)</f>
        <v>0</v>
      </c>
      <c r="H155" s="4" cm="1">
        <f t="array" ref="H155">_xlfn.IFS('ProductSprint Backlog'!$F155="", "", AND('ProductSprint Backlog'!$J155&gt;H$2,'ProductSprint Backlog'!$I155&lt;=H$2), 'ProductSprint Backlog'!$F155 / MAX(1, 'ProductSprint Backlog'!$J155-'ProductSprint Backlog'!$I155), AND('ProductSprint Backlog'!$J155=H$2,'ProductSprint Backlog'!$I155=H$2), 'ProductSprint Backlog'!$F155, TRUE, 0)</f>
        <v>0</v>
      </c>
      <c r="I155" s="4" cm="1">
        <f t="array" ref="I155">_xlfn.IFS('ProductSprint Backlog'!$F155="", "", AND('ProductSprint Backlog'!$J155&gt;I$2,'ProductSprint Backlog'!$I155&lt;=I$2), 'ProductSprint Backlog'!$F155 / MAX(1, 'ProductSprint Backlog'!$J155-'ProductSprint Backlog'!$I155), AND('ProductSprint Backlog'!$J155=I$2,'ProductSprint Backlog'!$I155=I$2), 'ProductSprint Backlog'!$F155, TRUE, 0)</f>
        <v>0</v>
      </c>
      <c r="J155" s="4" cm="1">
        <f t="array" ref="J155">_xlfn.IFS('ProductSprint Backlog'!$F155="", "", AND('ProductSprint Backlog'!$J155&gt;J$2,'ProductSprint Backlog'!$I155&lt;=J$2), 'ProductSprint Backlog'!$F155 / MAX(1, 'ProductSprint Backlog'!$J155-'ProductSprint Backlog'!$I155), AND('ProductSprint Backlog'!$J155=J$2,'ProductSprint Backlog'!$I155=J$2), 'ProductSprint Backlog'!$F155, TRUE, 0)</f>
        <v>0</v>
      </c>
      <c r="K155" s="4" cm="1">
        <f t="array" ref="K155">_xlfn.IFS('ProductSprint Backlog'!$F155="", "", AND('ProductSprint Backlog'!$J155&gt;K$2,'ProductSprint Backlog'!$I155&lt;=K$2), 'ProductSprint Backlog'!$F155 / MAX(1, 'ProductSprint Backlog'!$J155-'ProductSprint Backlog'!$I155), AND('ProductSprint Backlog'!$J155=K$2,'ProductSprint Backlog'!$I155=K$2), 'ProductSprint Backlog'!$F155, TRUE, 0)</f>
        <v>0</v>
      </c>
      <c r="L155" s="4" cm="1">
        <f t="array" ref="L155">_xlfn.IFS('ProductSprint Backlog'!$F155="", "", AND('ProductSprint Backlog'!$J155&gt;L$2,'ProductSprint Backlog'!$I155&lt;=L$2), 'ProductSprint Backlog'!$F155 / MAX(1, 'ProductSprint Backlog'!$J155-'ProductSprint Backlog'!$I155), AND('ProductSprint Backlog'!$J155=L$2,'ProductSprint Backlog'!$I155=L$2), 'ProductSprint Backlog'!$F155, TRUE, 0)</f>
        <v>0</v>
      </c>
      <c r="M155" s="4" cm="1">
        <f t="array" ref="M155">_xlfn.IFS('ProductSprint Backlog'!$F155="", "", AND('ProductSprint Backlog'!$J155&gt;M$2,'ProductSprint Backlog'!$I155&lt;=M$2), 'ProductSprint Backlog'!$F155 / MAX(1, 'ProductSprint Backlog'!$J155-'ProductSprint Backlog'!$I155), AND('ProductSprint Backlog'!$J155=M$2,'ProductSprint Backlog'!$I155=M$2), 'ProductSprint Backlog'!$F155, TRUE, 0)</f>
        <v>0</v>
      </c>
      <c r="N155" s="4" cm="1">
        <f t="array" ref="N155">_xlfn.IFS('ProductSprint Backlog'!$F155="", "", AND('ProductSprint Backlog'!$J155&gt;N$2,'ProductSprint Backlog'!$I155&lt;=N$2), 'ProductSprint Backlog'!$F155 / MAX(1, 'ProductSprint Backlog'!$J155-'ProductSprint Backlog'!$I155), AND('ProductSprint Backlog'!$J155=N$2,'ProductSprint Backlog'!$I155=N$2), 'ProductSprint Backlog'!$F155, TRUE, 0)</f>
        <v>0</v>
      </c>
      <c r="O155" s="4" cm="1">
        <f t="array" ref="O155">_xlfn.IFS('ProductSprint Backlog'!$F155="", "", AND('ProductSprint Backlog'!$J155&gt;O$2,'ProductSprint Backlog'!$I155&lt;=O$2), 'ProductSprint Backlog'!$F155 / MAX(1, 'ProductSprint Backlog'!$J155-'ProductSprint Backlog'!$I155), AND('ProductSprint Backlog'!$J155=O$2,'ProductSprint Backlog'!$I155=O$2), 'ProductSprint Backlog'!$F155, TRUE, 0)</f>
        <v>0</v>
      </c>
    </row>
    <row r="156" spans="2:15" x14ac:dyDescent="0.2">
      <c r="B156" s="4" cm="1">
        <f t="array" ref="B156">_xlfn.IFS('ProductSprint Backlog'!$F156="", "", AND('ProductSprint Backlog'!$J156&gt;B$2,'ProductSprint Backlog'!$I156&lt;=B$2), 'ProductSprint Backlog'!$F156 / MAX(1, 'ProductSprint Backlog'!$J156-'ProductSprint Backlog'!$I156), AND('ProductSprint Backlog'!$J156=B$2,'ProductSprint Backlog'!$I156=B$2), 'ProductSprint Backlog'!$F156, TRUE, 0)</f>
        <v>0</v>
      </c>
      <c r="C156" s="4" cm="1">
        <f t="array" ref="C156">_xlfn.IFS('ProductSprint Backlog'!$F156="", "", AND('ProductSprint Backlog'!$J156&gt;C$2,'ProductSprint Backlog'!$I156&lt;=C$2), 'ProductSprint Backlog'!$F156 / MAX(1, 'ProductSprint Backlog'!$J156-'ProductSprint Backlog'!$I156), AND('ProductSprint Backlog'!$J156=C$2,'ProductSprint Backlog'!$I156=C$2), 'ProductSprint Backlog'!$F156, TRUE, 0)</f>
        <v>0</v>
      </c>
      <c r="D156" s="4" cm="1">
        <f t="array" ref="D156">_xlfn.IFS('ProductSprint Backlog'!$F156="", "", AND('ProductSprint Backlog'!$J156&gt;D$2,'ProductSprint Backlog'!$I156&lt;=D$2), 'ProductSprint Backlog'!$F156 / MAX(1, 'ProductSprint Backlog'!$J156-'ProductSprint Backlog'!$I156), AND('ProductSprint Backlog'!$J156=D$2,'ProductSprint Backlog'!$I156=D$2), 'ProductSprint Backlog'!$F156, TRUE, 0)</f>
        <v>0</v>
      </c>
      <c r="E156" s="4" cm="1">
        <f t="array" ref="E156">_xlfn.IFS('ProductSprint Backlog'!$F156="", "", AND('ProductSprint Backlog'!$J156&gt;E$2,'ProductSprint Backlog'!$I156&lt;=E$2), 'ProductSprint Backlog'!$F156 / MAX(1, 'ProductSprint Backlog'!$J156-'ProductSprint Backlog'!$I156), AND('ProductSprint Backlog'!$J156=E$2,'ProductSprint Backlog'!$I156=E$2), 'ProductSprint Backlog'!$F156, TRUE, 0)</f>
        <v>0</v>
      </c>
      <c r="F156" s="4" cm="1">
        <f t="array" ref="F156">_xlfn.IFS('ProductSprint Backlog'!$F156="", "", AND('ProductSprint Backlog'!$J156&gt;F$2,'ProductSprint Backlog'!$I156&lt;=F$2), 'ProductSprint Backlog'!$F156 / MAX(1, 'ProductSprint Backlog'!$J156-'ProductSprint Backlog'!$I156), AND('ProductSprint Backlog'!$J156=F$2,'ProductSprint Backlog'!$I156=F$2), 'ProductSprint Backlog'!$F156, TRUE, 0)</f>
        <v>0</v>
      </c>
      <c r="G156" s="4" cm="1">
        <f t="array" ref="G156">_xlfn.IFS('ProductSprint Backlog'!$F156="", "", AND('ProductSprint Backlog'!$J156&gt;G$2,'ProductSprint Backlog'!$I156&lt;=G$2), 'ProductSprint Backlog'!$F156 / MAX(1, 'ProductSprint Backlog'!$J156-'ProductSprint Backlog'!$I156), AND('ProductSprint Backlog'!$J156=G$2,'ProductSprint Backlog'!$I156=G$2), 'ProductSprint Backlog'!$F156, TRUE, 0)</f>
        <v>0</v>
      </c>
      <c r="H156" s="4" cm="1">
        <f t="array" ref="H156">_xlfn.IFS('ProductSprint Backlog'!$F156="", "", AND('ProductSprint Backlog'!$J156&gt;H$2,'ProductSprint Backlog'!$I156&lt;=H$2), 'ProductSprint Backlog'!$F156 / MAX(1, 'ProductSprint Backlog'!$J156-'ProductSprint Backlog'!$I156), AND('ProductSprint Backlog'!$J156=H$2,'ProductSprint Backlog'!$I156=H$2), 'ProductSprint Backlog'!$F156, TRUE, 0)</f>
        <v>0</v>
      </c>
      <c r="I156" s="4" cm="1">
        <f t="array" ref="I156">_xlfn.IFS('ProductSprint Backlog'!$F156="", "", AND('ProductSprint Backlog'!$J156&gt;I$2,'ProductSprint Backlog'!$I156&lt;=I$2), 'ProductSprint Backlog'!$F156 / MAX(1, 'ProductSprint Backlog'!$J156-'ProductSprint Backlog'!$I156), AND('ProductSprint Backlog'!$J156=I$2,'ProductSprint Backlog'!$I156=I$2), 'ProductSprint Backlog'!$F156, TRUE, 0)</f>
        <v>0</v>
      </c>
      <c r="J156" s="4" cm="1">
        <f t="array" ref="J156">_xlfn.IFS('ProductSprint Backlog'!$F156="", "", AND('ProductSprint Backlog'!$J156&gt;J$2,'ProductSprint Backlog'!$I156&lt;=J$2), 'ProductSprint Backlog'!$F156 / MAX(1, 'ProductSprint Backlog'!$J156-'ProductSprint Backlog'!$I156), AND('ProductSprint Backlog'!$J156=J$2,'ProductSprint Backlog'!$I156=J$2), 'ProductSprint Backlog'!$F156, TRUE, 0)</f>
        <v>0</v>
      </c>
      <c r="K156" s="4" cm="1">
        <f t="array" ref="K156">_xlfn.IFS('ProductSprint Backlog'!$F156="", "", AND('ProductSprint Backlog'!$J156&gt;K$2,'ProductSprint Backlog'!$I156&lt;=K$2), 'ProductSprint Backlog'!$F156 / MAX(1, 'ProductSprint Backlog'!$J156-'ProductSprint Backlog'!$I156), AND('ProductSprint Backlog'!$J156=K$2,'ProductSprint Backlog'!$I156=K$2), 'ProductSprint Backlog'!$F156, TRUE, 0)</f>
        <v>0</v>
      </c>
      <c r="L156" s="4" cm="1">
        <f t="array" ref="L156">_xlfn.IFS('ProductSprint Backlog'!$F156="", "", AND('ProductSprint Backlog'!$J156&gt;L$2,'ProductSprint Backlog'!$I156&lt;=L$2), 'ProductSprint Backlog'!$F156 / MAX(1, 'ProductSprint Backlog'!$J156-'ProductSprint Backlog'!$I156), AND('ProductSprint Backlog'!$J156=L$2,'ProductSprint Backlog'!$I156=L$2), 'ProductSprint Backlog'!$F156, TRUE, 0)</f>
        <v>0</v>
      </c>
      <c r="M156" s="4" cm="1">
        <f t="array" ref="M156">_xlfn.IFS('ProductSprint Backlog'!$F156="", "", AND('ProductSprint Backlog'!$J156&gt;M$2,'ProductSprint Backlog'!$I156&lt;=M$2), 'ProductSprint Backlog'!$F156 / MAX(1, 'ProductSprint Backlog'!$J156-'ProductSprint Backlog'!$I156), AND('ProductSprint Backlog'!$J156=M$2,'ProductSprint Backlog'!$I156=M$2), 'ProductSprint Backlog'!$F156, TRUE, 0)</f>
        <v>0</v>
      </c>
      <c r="N156" s="4" cm="1">
        <f t="array" ref="N156">_xlfn.IFS('ProductSprint Backlog'!$F156="", "", AND('ProductSprint Backlog'!$J156&gt;N$2,'ProductSprint Backlog'!$I156&lt;=N$2), 'ProductSprint Backlog'!$F156 / MAX(1, 'ProductSprint Backlog'!$J156-'ProductSprint Backlog'!$I156), AND('ProductSprint Backlog'!$J156=N$2,'ProductSprint Backlog'!$I156=N$2), 'ProductSprint Backlog'!$F156, TRUE, 0)</f>
        <v>0</v>
      </c>
      <c r="O156" s="4" cm="1">
        <f t="array" ref="O156">_xlfn.IFS('ProductSprint Backlog'!$F156="", "", AND('ProductSprint Backlog'!$J156&gt;O$2,'ProductSprint Backlog'!$I156&lt;=O$2), 'ProductSprint Backlog'!$F156 / MAX(1, 'ProductSprint Backlog'!$J156-'ProductSprint Backlog'!$I156), AND('ProductSprint Backlog'!$J156=O$2,'ProductSprint Backlog'!$I156=O$2), 'ProductSprint Backlog'!$F156, TRUE, 0)</f>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B1:R91"/>
  <sheetViews>
    <sheetView topLeftCell="A37" workbookViewId="0">
      <selection activeCell="B3" sqref="B3:P87"/>
    </sheetView>
  </sheetViews>
  <sheetFormatPr baseColWidth="10" defaultColWidth="12.5703125" defaultRowHeight="15.75" customHeight="1" x14ac:dyDescent="0.2"/>
  <sheetData>
    <row r="1" spans="2:18" x14ac:dyDescent="0.2">
      <c r="B1" s="4" t="s">
        <v>479</v>
      </c>
      <c r="C1" s="4" t="s">
        <v>480</v>
      </c>
      <c r="D1" s="4" t="s">
        <v>481</v>
      </c>
      <c r="E1" s="4" t="s">
        <v>482</v>
      </c>
      <c r="F1" s="4" t="s">
        <v>483</v>
      </c>
      <c r="G1" s="4" t="s">
        <v>484</v>
      </c>
      <c r="H1" s="4" t="s">
        <v>485</v>
      </c>
      <c r="I1" s="4" t="s">
        <v>486</v>
      </c>
      <c r="J1" s="4" t="s">
        <v>487</v>
      </c>
      <c r="K1" s="4" t="s">
        <v>502</v>
      </c>
      <c r="L1" s="4" t="s">
        <v>503</v>
      </c>
      <c r="M1" s="4" t="s">
        <v>504</v>
      </c>
      <c r="N1" s="4" t="s">
        <v>505</v>
      </c>
      <c r="O1" s="4" t="s">
        <v>506</v>
      </c>
    </row>
    <row r="2" spans="2:18" x14ac:dyDescent="0.2">
      <c r="B2" s="42">
        <v>45806</v>
      </c>
      <c r="C2" s="42">
        <v>45807</v>
      </c>
      <c r="D2" s="42">
        <v>45808</v>
      </c>
      <c r="E2" s="42">
        <v>45809</v>
      </c>
      <c r="F2" s="42">
        <v>45810</v>
      </c>
      <c r="G2" s="42">
        <v>45811</v>
      </c>
      <c r="H2" s="42">
        <v>45812</v>
      </c>
      <c r="I2" s="42">
        <v>45813</v>
      </c>
      <c r="J2" s="42">
        <v>45814</v>
      </c>
      <c r="K2" s="42">
        <v>45815</v>
      </c>
      <c r="L2" s="42">
        <v>45816</v>
      </c>
      <c r="M2" s="42">
        <v>45817</v>
      </c>
      <c r="N2" s="42">
        <v>45818</v>
      </c>
      <c r="O2" s="42">
        <v>45819</v>
      </c>
      <c r="P2" s="42"/>
    </row>
    <row r="3" spans="2:18" x14ac:dyDescent="0.2">
      <c r="B3" s="4" cm="1">
        <f t="array" ref="B3">_xlfn.IFS('ProductSprint Backlog'!$M3="", "", AND('ProductSprint Backlog'!$L3&gt;B$2,'ProductSprint Backlog'!$K3&lt;=B$2), 'ProductSprint Backlog'!$M3 / MAX(1, 'ProductSprint Backlog'!$L3-'ProductSprint Backlog'!$K3), AND('ProductSprint Backlog'!$L3=B$2,'ProductSprint Backlog'!$K3=B$2), 'ProductSprint Backlog'!$M3, TRUE, 0)</f>
        <v>0.75</v>
      </c>
      <c r="C3" s="4" cm="1">
        <f t="array" ref="C3">_xlfn.IFS('ProductSprint Backlog'!$M3="", "", AND('ProductSprint Backlog'!$L3&gt;C$2,'ProductSprint Backlog'!$K3&lt;=C$2), 'ProductSprint Backlog'!$M3 / MAX(1, 'ProductSprint Backlog'!$L3-'ProductSprint Backlog'!$K3), AND('ProductSprint Backlog'!$L3=C$2,'ProductSprint Backlog'!$K3=C$2), 'ProductSprint Backlog'!$M3, TRUE, 0)</f>
        <v>0.75</v>
      </c>
      <c r="D3" s="4" cm="1">
        <f t="array" ref="D3">_xlfn.IFS('ProductSprint Backlog'!$M3="", "", AND('ProductSprint Backlog'!$L3&gt;D$2,'ProductSprint Backlog'!$K3&lt;=D$2), 'ProductSprint Backlog'!$M3 / MAX(1, 'ProductSprint Backlog'!$L3-'ProductSprint Backlog'!$K3), AND('ProductSprint Backlog'!$L3=D$2,'ProductSprint Backlog'!$K3=D$2), 'ProductSprint Backlog'!$M3, TRUE, 0)</f>
        <v>0.75</v>
      </c>
      <c r="E3" s="4" cm="1">
        <f t="array" ref="E3">_xlfn.IFS('ProductSprint Backlog'!$M3="", "", AND('ProductSprint Backlog'!$L3&gt;E$2,'ProductSprint Backlog'!$K3&lt;=E$2), 'ProductSprint Backlog'!$M3 / MAX(1, 'ProductSprint Backlog'!$L3-'ProductSprint Backlog'!$K3), AND('ProductSprint Backlog'!$L3=E$2,'ProductSprint Backlog'!$K3=E$2), 'ProductSprint Backlog'!$M3, TRUE, 0)</f>
        <v>0.75</v>
      </c>
      <c r="F3" s="4" cm="1">
        <f t="array" ref="F3">_xlfn.IFS('ProductSprint Backlog'!$M3="", "", AND('ProductSprint Backlog'!$L3&gt;F$2,'ProductSprint Backlog'!$K3&lt;=F$2), 'ProductSprint Backlog'!$M3 / MAX(1, 'ProductSprint Backlog'!$L3-'ProductSprint Backlog'!$K3), AND('ProductSprint Backlog'!$L3=F$2,'ProductSprint Backlog'!$K3=F$2), 'ProductSprint Backlog'!$M3, TRUE, 0)</f>
        <v>0.75</v>
      </c>
      <c r="G3" s="4" cm="1">
        <f t="array" ref="G3">_xlfn.IFS('ProductSprint Backlog'!$M3="", "", AND('ProductSprint Backlog'!$L3&gt;G$2,'ProductSprint Backlog'!$K3&lt;=G$2), 'ProductSprint Backlog'!$M3 / MAX(1, 'ProductSprint Backlog'!$L3-'ProductSprint Backlog'!$K3), AND('ProductSprint Backlog'!$L3=G$2,'ProductSprint Backlog'!$K3=G$2), 'ProductSprint Backlog'!$M3, TRUE, 0)</f>
        <v>0.75</v>
      </c>
      <c r="H3" s="4" cm="1">
        <f t="array" ref="H3">_xlfn.IFS('ProductSprint Backlog'!$M3="", "", AND('ProductSprint Backlog'!$L3&gt;H$2,'ProductSprint Backlog'!$K3&lt;=H$2), 'ProductSprint Backlog'!$M3 / MAX(1, 'ProductSprint Backlog'!$L3-'ProductSprint Backlog'!$K3), AND('ProductSprint Backlog'!$L3=H$2,'ProductSprint Backlog'!$K3=H$2), 'ProductSprint Backlog'!$M3, TRUE, 0)</f>
        <v>0</v>
      </c>
      <c r="I3" s="4" cm="1">
        <f t="array" ref="I3">_xlfn.IFS('ProductSprint Backlog'!$M3="", "", AND('ProductSprint Backlog'!$L3&gt;I$2,'ProductSprint Backlog'!$K3&lt;=I$2), 'ProductSprint Backlog'!$M3 / MAX(1, 'ProductSprint Backlog'!$L3-'ProductSprint Backlog'!$K3), AND('ProductSprint Backlog'!$L3=I$2,'ProductSprint Backlog'!$K3=I$2), 'ProductSprint Backlog'!$M3, TRUE, 0)</f>
        <v>0</v>
      </c>
      <c r="J3" s="4" cm="1">
        <f t="array" ref="J3">_xlfn.IFS('ProductSprint Backlog'!$M3="", "", AND('ProductSprint Backlog'!$L3&gt;J$2,'ProductSprint Backlog'!$K3&lt;=J$2), 'ProductSprint Backlog'!$M3 / MAX(1, 'ProductSprint Backlog'!$L3-'ProductSprint Backlog'!$K3), AND('ProductSprint Backlog'!$L3=J$2,'ProductSprint Backlog'!$K3=J$2), 'ProductSprint Backlog'!$M3, TRUE, 0)</f>
        <v>0</v>
      </c>
      <c r="K3" s="4" cm="1">
        <f t="array" ref="K3">_xlfn.IFS('ProductSprint Backlog'!$M3="", "", AND('ProductSprint Backlog'!$L3&gt;K$2,'ProductSprint Backlog'!$K3&lt;=K$2), 'ProductSprint Backlog'!$M3 / MAX(1, 'ProductSprint Backlog'!$L3-'ProductSprint Backlog'!$K3), AND('ProductSprint Backlog'!$L3=K$2,'ProductSprint Backlog'!$K3=K$2), 'ProductSprint Backlog'!$M3, TRUE, 0)</f>
        <v>0</v>
      </c>
      <c r="L3" s="4" cm="1">
        <f t="array" ref="L3">_xlfn.IFS('ProductSprint Backlog'!$M3="", "", AND('ProductSprint Backlog'!$L3&gt;L$2,'ProductSprint Backlog'!$K3&lt;=L$2), 'ProductSprint Backlog'!$M3 / MAX(1, 'ProductSprint Backlog'!$L3-'ProductSprint Backlog'!$K3), AND('ProductSprint Backlog'!$L3=L$2,'ProductSprint Backlog'!$K3=L$2), 'ProductSprint Backlog'!$M3, TRUE, 0)</f>
        <v>0</v>
      </c>
      <c r="M3" s="4" cm="1">
        <f t="array" ref="M3">_xlfn.IFS('ProductSprint Backlog'!$M3="", "", AND('ProductSprint Backlog'!$L3&gt;M$2,'ProductSprint Backlog'!$K3&lt;=M$2), 'ProductSprint Backlog'!$M3 / MAX(1, 'ProductSprint Backlog'!$L3-'ProductSprint Backlog'!$K3), AND('ProductSprint Backlog'!$L3=M$2,'ProductSprint Backlog'!$K3=M$2), 'ProductSprint Backlog'!$M3, TRUE, 0)</f>
        <v>0</v>
      </c>
      <c r="N3" s="4" cm="1">
        <f t="array" ref="N3">_xlfn.IFS('ProductSprint Backlog'!$M3="", "", AND('ProductSprint Backlog'!$L3&gt;N$2,'ProductSprint Backlog'!$K3&lt;=N$2), 'ProductSprint Backlog'!$M3 / MAX(1, 'ProductSprint Backlog'!$L3-'ProductSprint Backlog'!$K3), AND('ProductSprint Backlog'!$L3=N$2,'ProductSprint Backlog'!$K3=N$2), 'ProductSprint Backlog'!$M3, TRUE, 0)</f>
        <v>0</v>
      </c>
      <c r="O3" s="4" cm="1">
        <f t="array" ref="O3">_xlfn.IFS('ProductSprint Backlog'!$M3="", "", AND('ProductSprint Backlog'!$L3&gt;O$2,'ProductSprint Backlog'!$K3&lt;=O$2), 'ProductSprint Backlog'!$M3 / MAX(1, 'ProductSprint Backlog'!$L3-'ProductSprint Backlog'!$K3), AND('ProductSprint Backlog'!$L3=O$2,'ProductSprint Backlog'!$K3=O$2), 'ProductSprint Backlog'!$M3, TRUE, 0)</f>
        <v>0</v>
      </c>
      <c r="P3" s="4" cm="1">
        <f t="array" ref="P3">_xlfn.IFS('ProductSprint Backlog'!$M3="", "", AND('ProductSprint Backlog'!$L3&gt;P$2,'ProductSprint Backlog'!$K3&lt;=P$2), 'ProductSprint Backlog'!$M3 / MAX(1, 'ProductSprint Backlog'!$L3-'ProductSprint Backlog'!$K3), AND('ProductSprint Backlog'!$L3=P$2,'ProductSprint Backlog'!$K3=P$2), 'ProductSprint Backlog'!$M3, TRUE, 0)</f>
        <v>0</v>
      </c>
    </row>
    <row r="4" spans="2:18" x14ac:dyDescent="0.2">
      <c r="B4" s="4" cm="1">
        <f t="array" ref="B4">_xlfn.IFS('ProductSprint Backlog'!$M4="", "", AND('ProductSprint Backlog'!$L4&gt;B$2,'ProductSprint Backlog'!$K4&lt;=B$2), 'ProductSprint Backlog'!$M4 / MAX(1, 'ProductSprint Backlog'!$L4-'ProductSprint Backlog'!$K4), AND('ProductSprint Backlog'!$L4=B$2,'ProductSprint Backlog'!$K4=B$2), 'ProductSprint Backlog'!$M4, TRUE, 0)</f>
        <v>0</v>
      </c>
      <c r="C4" s="4" cm="1">
        <f t="array" ref="C4">_xlfn.IFS('ProductSprint Backlog'!$M4="", "", AND('ProductSprint Backlog'!$L4&gt;C$2,'ProductSprint Backlog'!$K4&lt;=C$2), 'ProductSprint Backlog'!$M4 / MAX(1, 'ProductSprint Backlog'!$L4-'ProductSprint Backlog'!$K4), AND('ProductSprint Backlog'!$L4=C$2,'ProductSprint Backlog'!$K4=C$2), 'ProductSprint Backlog'!$M4, TRUE, 0)</f>
        <v>0</v>
      </c>
      <c r="D4" s="4" cm="1">
        <f t="array" ref="D4">_xlfn.IFS('ProductSprint Backlog'!$M4="", "", AND('ProductSprint Backlog'!$L4&gt;D$2,'ProductSprint Backlog'!$K4&lt;=D$2), 'ProductSprint Backlog'!$M4 / MAX(1, 'ProductSprint Backlog'!$L4-'ProductSprint Backlog'!$K4), AND('ProductSprint Backlog'!$L4=D$2,'ProductSprint Backlog'!$K4=D$2), 'ProductSprint Backlog'!$M4, TRUE, 0)</f>
        <v>0</v>
      </c>
      <c r="E4" s="4" cm="1">
        <f t="array" ref="E4">_xlfn.IFS('ProductSprint Backlog'!$M4="", "", AND('ProductSprint Backlog'!$L4&gt;E$2,'ProductSprint Backlog'!$K4&lt;=E$2), 'ProductSprint Backlog'!$M4 / MAX(1, 'ProductSprint Backlog'!$L4-'ProductSprint Backlog'!$K4), AND('ProductSprint Backlog'!$L4=E$2,'ProductSprint Backlog'!$K4=E$2), 'ProductSprint Backlog'!$M4, TRUE, 0)</f>
        <v>0.5</v>
      </c>
      <c r="F4" s="4" cm="1">
        <f t="array" ref="F4">_xlfn.IFS('ProductSprint Backlog'!$M4="", "", AND('ProductSprint Backlog'!$L4&gt;F$2,'ProductSprint Backlog'!$K4&lt;=F$2), 'ProductSprint Backlog'!$M4 / MAX(1, 'ProductSprint Backlog'!$L4-'ProductSprint Backlog'!$K4), AND('ProductSprint Backlog'!$L4=F$2,'ProductSprint Backlog'!$K4=F$2), 'ProductSprint Backlog'!$M4, TRUE, 0)</f>
        <v>0.5</v>
      </c>
      <c r="G4" s="4" cm="1">
        <f t="array" ref="G4">_xlfn.IFS('ProductSprint Backlog'!$M4="", "", AND('ProductSprint Backlog'!$L4&gt;G$2,'ProductSprint Backlog'!$K4&lt;=G$2), 'ProductSprint Backlog'!$M4 / MAX(1, 'ProductSprint Backlog'!$L4-'ProductSprint Backlog'!$K4), AND('ProductSprint Backlog'!$L4=G$2,'ProductSprint Backlog'!$K4=G$2), 'ProductSprint Backlog'!$M4, TRUE, 0)</f>
        <v>0.5</v>
      </c>
      <c r="H4" s="4" cm="1">
        <f t="array" ref="H4">_xlfn.IFS('ProductSprint Backlog'!$M4="", "", AND('ProductSprint Backlog'!$L4&gt;H$2,'ProductSprint Backlog'!$K4&lt;=H$2), 'ProductSprint Backlog'!$M4 / MAX(1, 'ProductSprint Backlog'!$L4-'ProductSprint Backlog'!$K4), AND('ProductSprint Backlog'!$L4=H$2,'ProductSprint Backlog'!$K4=H$2), 'ProductSprint Backlog'!$M4, TRUE, 0)</f>
        <v>0.5</v>
      </c>
      <c r="I4" s="4" cm="1">
        <f t="array" ref="I4">_xlfn.IFS('ProductSprint Backlog'!$M4="", "", AND('ProductSprint Backlog'!$L4&gt;I$2,'ProductSprint Backlog'!$K4&lt;=I$2), 'ProductSprint Backlog'!$M4 / MAX(1, 'ProductSprint Backlog'!$L4-'ProductSprint Backlog'!$K4), AND('ProductSprint Backlog'!$L4=I$2,'ProductSprint Backlog'!$K4=I$2), 'ProductSprint Backlog'!$M4, TRUE, 0)</f>
        <v>0</v>
      </c>
      <c r="J4" s="4" cm="1">
        <f t="array" ref="J4">_xlfn.IFS('ProductSprint Backlog'!$M4="", "", AND('ProductSprint Backlog'!$L4&gt;J$2,'ProductSprint Backlog'!$K4&lt;=J$2), 'ProductSprint Backlog'!$M4 / MAX(1, 'ProductSprint Backlog'!$L4-'ProductSprint Backlog'!$K4), AND('ProductSprint Backlog'!$L4=J$2,'ProductSprint Backlog'!$K4=J$2), 'ProductSprint Backlog'!$M4, TRUE, 0)</f>
        <v>0</v>
      </c>
      <c r="K4" s="4" cm="1">
        <f t="array" ref="K4">_xlfn.IFS('ProductSprint Backlog'!$M4="", "", AND('ProductSprint Backlog'!$L4&gt;K$2,'ProductSprint Backlog'!$K4&lt;=K$2), 'ProductSprint Backlog'!$M4 / MAX(1, 'ProductSprint Backlog'!$L4-'ProductSprint Backlog'!$K4), AND('ProductSprint Backlog'!$L4=K$2,'ProductSprint Backlog'!$K4=K$2), 'ProductSprint Backlog'!$M4, TRUE, 0)</f>
        <v>0</v>
      </c>
      <c r="L4" s="4" cm="1">
        <f t="array" ref="L4">_xlfn.IFS('ProductSprint Backlog'!$M4="", "", AND('ProductSprint Backlog'!$L4&gt;L$2,'ProductSprint Backlog'!$K4&lt;=L$2), 'ProductSprint Backlog'!$M4 / MAX(1, 'ProductSprint Backlog'!$L4-'ProductSprint Backlog'!$K4), AND('ProductSprint Backlog'!$L4=L$2,'ProductSprint Backlog'!$K4=L$2), 'ProductSprint Backlog'!$M4, TRUE, 0)</f>
        <v>0</v>
      </c>
      <c r="M4" s="4" cm="1">
        <f t="array" ref="M4">_xlfn.IFS('ProductSprint Backlog'!$M4="", "", AND('ProductSprint Backlog'!$L4&gt;M$2,'ProductSprint Backlog'!$K4&lt;=M$2), 'ProductSprint Backlog'!$M4 / MAX(1, 'ProductSprint Backlog'!$L4-'ProductSprint Backlog'!$K4), AND('ProductSprint Backlog'!$L4=M$2,'ProductSprint Backlog'!$K4=M$2), 'ProductSprint Backlog'!$M4, TRUE, 0)</f>
        <v>0</v>
      </c>
      <c r="N4" s="4" cm="1">
        <f t="array" ref="N4">_xlfn.IFS('ProductSprint Backlog'!$M4="", "", AND('ProductSprint Backlog'!$L4&gt;N$2,'ProductSprint Backlog'!$K4&lt;=N$2), 'ProductSprint Backlog'!$M4 / MAX(1, 'ProductSprint Backlog'!$L4-'ProductSprint Backlog'!$K4), AND('ProductSprint Backlog'!$L4=N$2,'ProductSprint Backlog'!$K4=N$2), 'ProductSprint Backlog'!$M4, TRUE, 0)</f>
        <v>0</v>
      </c>
      <c r="O4" s="4" cm="1">
        <f t="array" ref="O4">_xlfn.IFS('ProductSprint Backlog'!$M4="", "", AND('ProductSprint Backlog'!$L4&gt;O$2,'ProductSprint Backlog'!$K4&lt;=O$2), 'ProductSprint Backlog'!$M4 / MAX(1, 'ProductSprint Backlog'!$L4-'ProductSprint Backlog'!$K4), AND('ProductSprint Backlog'!$L4=O$2,'ProductSprint Backlog'!$K4=O$2), 'ProductSprint Backlog'!$M4, TRUE, 0)</f>
        <v>0</v>
      </c>
      <c r="P4" s="4" cm="1">
        <f t="array" ref="P4">_xlfn.IFS('ProductSprint Backlog'!$M4="", "", AND('ProductSprint Backlog'!$L4&gt;P$2,'ProductSprint Backlog'!$K4&lt;=P$2), 'ProductSprint Backlog'!$M4 / MAX(1, 'ProductSprint Backlog'!$L4-'ProductSprint Backlog'!$K4), AND('ProductSprint Backlog'!$L4=P$2,'ProductSprint Backlog'!$K4=P$2), 'ProductSprint Backlog'!$M4, TRUE, 0)</f>
        <v>0</v>
      </c>
    </row>
    <row r="5" spans="2:18" x14ac:dyDescent="0.2">
      <c r="B5" s="4" cm="1">
        <f t="array" ref="B5">_xlfn.IFS('ProductSprint Backlog'!$M5="", "", AND('ProductSprint Backlog'!$L5&gt;B$2,'ProductSprint Backlog'!$K5&lt;=B$2), 'ProductSprint Backlog'!$M5 / MAX(1, 'ProductSprint Backlog'!$L5-'ProductSprint Backlog'!$K5), AND('ProductSprint Backlog'!$L5=B$2,'ProductSprint Backlog'!$K5=B$2), 'ProductSprint Backlog'!$M5, TRUE, 0)</f>
        <v>0</v>
      </c>
      <c r="C5" s="4" cm="1">
        <f t="array" ref="C5">_xlfn.IFS('ProductSprint Backlog'!$M5="", "", AND('ProductSprint Backlog'!$L5&gt;C$2,'ProductSprint Backlog'!$K5&lt;=C$2), 'ProductSprint Backlog'!$M5 / MAX(1, 'ProductSprint Backlog'!$L5-'ProductSprint Backlog'!$K5), AND('ProductSprint Backlog'!$L5=C$2,'ProductSprint Backlog'!$K5=C$2), 'ProductSprint Backlog'!$M5, TRUE, 0)</f>
        <v>0</v>
      </c>
      <c r="D5" s="4" cm="1">
        <f t="array" ref="D5">_xlfn.IFS('ProductSprint Backlog'!$M5="", "", AND('ProductSprint Backlog'!$L5&gt;D$2,'ProductSprint Backlog'!$K5&lt;=D$2), 'ProductSprint Backlog'!$M5 / MAX(1, 'ProductSprint Backlog'!$L5-'ProductSprint Backlog'!$K5), AND('ProductSprint Backlog'!$L5=D$2,'ProductSprint Backlog'!$K5=D$2), 'ProductSprint Backlog'!$M5, TRUE, 0)</f>
        <v>0</v>
      </c>
      <c r="E5" s="4" cm="1">
        <f t="array" ref="E5">_xlfn.IFS('ProductSprint Backlog'!$M5="", "", AND('ProductSprint Backlog'!$L5&gt;E$2,'ProductSprint Backlog'!$K5&lt;=E$2), 'ProductSprint Backlog'!$M5 / MAX(1, 'ProductSprint Backlog'!$L5-'ProductSprint Backlog'!$K5), AND('ProductSprint Backlog'!$L5=E$2,'ProductSprint Backlog'!$K5=E$2), 'ProductSprint Backlog'!$M5, TRUE, 0)</f>
        <v>0</v>
      </c>
      <c r="F5" s="4" cm="1">
        <f t="array" ref="F5">_xlfn.IFS('ProductSprint Backlog'!$M5="", "", AND('ProductSprint Backlog'!$L5&gt;F$2,'ProductSprint Backlog'!$K5&lt;=F$2), 'ProductSprint Backlog'!$M5 / MAX(1, 'ProductSprint Backlog'!$L5-'ProductSprint Backlog'!$K5), AND('ProductSprint Backlog'!$L5=F$2,'ProductSprint Backlog'!$K5=F$2), 'ProductSprint Backlog'!$M5, TRUE, 0)</f>
        <v>0.75</v>
      </c>
      <c r="G5" s="4" cm="1">
        <f t="array" ref="G5">_xlfn.IFS('ProductSprint Backlog'!$M5="", "", AND('ProductSprint Backlog'!$L5&gt;G$2,'ProductSprint Backlog'!$K5&lt;=G$2), 'ProductSprint Backlog'!$M5 / MAX(1, 'ProductSprint Backlog'!$L5-'ProductSprint Backlog'!$K5), AND('ProductSprint Backlog'!$L5=G$2,'ProductSprint Backlog'!$K5=G$2), 'ProductSprint Backlog'!$M5, TRUE, 0)</f>
        <v>0.75</v>
      </c>
      <c r="H5" s="4" cm="1">
        <f t="array" ref="H5">_xlfn.IFS('ProductSprint Backlog'!$M5="", "", AND('ProductSprint Backlog'!$L5&gt;H$2,'ProductSprint Backlog'!$K5&lt;=H$2), 'ProductSprint Backlog'!$M5 / MAX(1, 'ProductSprint Backlog'!$L5-'ProductSprint Backlog'!$K5), AND('ProductSprint Backlog'!$L5=H$2,'ProductSprint Backlog'!$K5=H$2), 'ProductSprint Backlog'!$M5, TRUE, 0)</f>
        <v>0</v>
      </c>
      <c r="I5" s="4" cm="1">
        <f t="array" ref="I5">_xlfn.IFS('ProductSprint Backlog'!$M5="", "", AND('ProductSprint Backlog'!$L5&gt;I$2,'ProductSprint Backlog'!$K5&lt;=I$2), 'ProductSprint Backlog'!$M5 / MAX(1, 'ProductSprint Backlog'!$L5-'ProductSprint Backlog'!$K5), AND('ProductSprint Backlog'!$L5=I$2,'ProductSprint Backlog'!$K5=I$2), 'ProductSprint Backlog'!$M5, TRUE, 0)</f>
        <v>0</v>
      </c>
      <c r="J5" s="4" cm="1">
        <f t="array" ref="J5">_xlfn.IFS('ProductSprint Backlog'!$M5="", "", AND('ProductSprint Backlog'!$L5&gt;J$2,'ProductSprint Backlog'!$K5&lt;=J$2), 'ProductSprint Backlog'!$M5 / MAX(1, 'ProductSprint Backlog'!$L5-'ProductSprint Backlog'!$K5), AND('ProductSprint Backlog'!$L5=J$2,'ProductSprint Backlog'!$K5=J$2), 'ProductSprint Backlog'!$M5, TRUE, 0)</f>
        <v>0</v>
      </c>
      <c r="K5" s="4" cm="1">
        <f t="array" ref="K5">_xlfn.IFS('ProductSprint Backlog'!$M5="", "", AND('ProductSprint Backlog'!$L5&gt;K$2,'ProductSprint Backlog'!$K5&lt;=K$2), 'ProductSprint Backlog'!$M5 / MAX(1, 'ProductSprint Backlog'!$L5-'ProductSprint Backlog'!$K5), AND('ProductSprint Backlog'!$L5=K$2,'ProductSprint Backlog'!$K5=K$2), 'ProductSprint Backlog'!$M5, TRUE, 0)</f>
        <v>0</v>
      </c>
      <c r="L5" s="4" cm="1">
        <f t="array" ref="L5">_xlfn.IFS('ProductSprint Backlog'!$M5="", "", AND('ProductSprint Backlog'!$L5&gt;L$2,'ProductSprint Backlog'!$K5&lt;=L$2), 'ProductSprint Backlog'!$M5 / MAX(1, 'ProductSprint Backlog'!$L5-'ProductSprint Backlog'!$K5), AND('ProductSprint Backlog'!$L5=L$2,'ProductSprint Backlog'!$K5=L$2), 'ProductSprint Backlog'!$M5, TRUE, 0)</f>
        <v>0</v>
      </c>
      <c r="M5" s="4" cm="1">
        <f t="array" ref="M5">_xlfn.IFS('ProductSprint Backlog'!$M5="", "", AND('ProductSprint Backlog'!$L5&gt;M$2,'ProductSprint Backlog'!$K5&lt;=M$2), 'ProductSprint Backlog'!$M5 / MAX(1, 'ProductSprint Backlog'!$L5-'ProductSprint Backlog'!$K5), AND('ProductSprint Backlog'!$L5=M$2,'ProductSprint Backlog'!$K5=M$2), 'ProductSprint Backlog'!$M5, TRUE, 0)</f>
        <v>0</v>
      </c>
      <c r="N5" s="4" cm="1">
        <f t="array" ref="N5">_xlfn.IFS('ProductSprint Backlog'!$M5="", "", AND('ProductSprint Backlog'!$L5&gt;N$2,'ProductSprint Backlog'!$K5&lt;=N$2), 'ProductSprint Backlog'!$M5 / MAX(1, 'ProductSprint Backlog'!$L5-'ProductSprint Backlog'!$K5), AND('ProductSprint Backlog'!$L5=N$2,'ProductSprint Backlog'!$K5=N$2), 'ProductSprint Backlog'!$M5, TRUE, 0)</f>
        <v>0</v>
      </c>
      <c r="O5" s="4" cm="1">
        <f t="array" ref="O5">_xlfn.IFS('ProductSprint Backlog'!$M5="", "", AND('ProductSprint Backlog'!$L5&gt;O$2,'ProductSprint Backlog'!$K5&lt;=O$2), 'ProductSprint Backlog'!$M5 / MAX(1, 'ProductSprint Backlog'!$L5-'ProductSprint Backlog'!$K5), AND('ProductSprint Backlog'!$L5=O$2,'ProductSprint Backlog'!$K5=O$2), 'ProductSprint Backlog'!$M5, TRUE, 0)</f>
        <v>0</v>
      </c>
      <c r="P5" s="4" cm="1">
        <f t="array" ref="P5">_xlfn.IFS('ProductSprint Backlog'!$M5="", "", AND('ProductSprint Backlog'!$L5&gt;P$2,'ProductSprint Backlog'!$K5&lt;=P$2), 'ProductSprint Backlog'!$M5 / MAX(1, 'ProductSprint Backlog'!$L5-'ProductSprint Backlog'!$K5), AND('ProductSprint Backlog'!$L5=P$2,'ProductSprint Backlog'!$K5=P$2), 'ProductSprint Backlog'!$M5, TRUE, 0)</f>
        <v>0</v>
      </c>
    </row>
    <row r="6" spans="2:18" x14ac:dyDescent="0.2">
      <c r="B6" s="4" cm="1">
        <f t="array" ref="B6">_xlfn.IFS('ProductSprint Backlog'!$M6="", "", AND('ProductSprint Backlog'!$L6&gt;B$2,'ProductSprint Backlog'!$K6&lt;=B$2), 'ProductSprint Backlog'!$M6 / MAX(1, 'ProductSprint Backlog'!$L6-'ProductSprint Backlog'!$K6), AND('ProductSprint Backlog'!$L6=B$2,'ProductSprint Backlog'!$K6=B$2), 'ProductSprint Backlog'!$M6, TRUE, 0)</f>
        <v>0</v>
      </c>
      <c r="C6" s="4" cm="1">
        <f t="array" ref="C6">_xlfn.IFS('ProductSprint Backlog'!$M6="", "", AND('ProductSprint Backlog'!$L6&gt;C$2,'ProductSprint Backlog'!$K6&lt;=C$2), 'ProductSprint Backlog'!$M6 / MAX(1, 'ProductSprint Backlog'!$L6-'ProductSprint Backlog'!$K6), AND('ProductSprint Backlog'!$L6=C$2,'ProductSprint Backlog'!$K6=C$2), 'ProductSprint Backlog'!$M6, TRUE, 0)</f>
        <v>0</v>
      </c>
      <c r="D6" s="4" cm="1">
        <f t="array" ref="D6">_xlfn.IFS('ProductSprint Backlog'!$M6="", "", AND('ProductSprint Backlog'!$L6&gt;D$2,'ProductSprint Backlog'!$K6&lt;=D$2), 'ProductSprint Backlog'!$M6 / MAX(1, 'ProductSprint Backlog'!$L6-'ProductSprint Backlog'!$K6), AND('ProductSprint Backlog'!$L6=D$2,'ProductSprint Backlog'!$K6=D$2), 'ProductSprint Backlog'!$M6, TRUE, 0)</f>
        <v>0</v>
      </c>
      <c r="E6" s="4" cm="1">
        <f t="array" ref="E6">_xlfn.IFS('ProductSprint Backlog'!$M6="", "", AND('ProductSprint Backlog'!$L6&gt;E$2,'ProductSprint Backlog'!$K6&lt;=E$2), 'ProductSprint Backlog'!$M6 / MAX(1, 'ProductSprint Backlog'!$L6-'ProductSprint Backlog'!$K6), AND('ProductSprint Backlog'!$L6=E$2,'ProductSprint Backlog'!$K6=E$2), 'ProductSprint Backlog'!$M6, TRUE, 0)</f>
        <v>0</v>
      </c>
      <c r="F6" s="4" cm="1">
        <f t="array" ref="F6">_xlfn.IFS('ProductSprint Backlog'!$M6="", "", AND('ProductSprint Backlog'!$L6&gt;F$2,'ProductSprint Backlog'!$K6&lt;=F$2), 'ProductSprint Backlog'!$M6 / MAX(1, 'ProductSprint Backlog'!$L6-'ProductSprint Backlog'!$K6), AND('ProductSprint Backlog'!$L6=F$2,'ProductSprint Backlog'!$K6=F$2), 'ProductSprint Backlog'!$M6, TRUE, 0)</f>
        <v>0</v>
      </c>
      <c r="G6" s="4" cm="1">
        <f t="array" ref="G6">_xlfn.IFS('ProductSprint Backlog'!$M6="", "", AND('ProductSprint Backlog'!$L6&gt;G$2,'ProductSprint Backlog'!$K6&lt;=G$2), 'ProductSprint Backlog'!$M6 / MAX(1, 'ProductSprint Backlog'!$L6-'ProductSprint Backlog'!$K6), AND('ProductSprint Backlog'!$L6=G$2,'ProductSprint Backlog'!$K6=G$2), 'ProductSprint Backlog'!$M6, TRUE, 0)</f>
        <v>0</v>
      </c>
      <c r="H6" s="4" cm="1">
        <f t="array" ref="H6">_xlfn.IFS('ProductSprint Backlog'!$M6="", "", AND('ProductSprint Backlog'!$L6&gt;H$2,'ProductSprint Backlog'!$K6&lt;=H$2), 'ProductSprint Backlog'!$M6 / MAX(1, 'ProductSprint Backlog'!$L6-'ProductSprint Backlog'!$K6), AND('ProductSprint Backlog'!$L6=H$2,'ProductSprint Backlog'!$K6=H$2), 'ProductSprint Backlog'!$M6, TRUE, 0)</f>
        <v>0</v>
      </c>
      <c r="I6" s="4" cm="1">
        <f t="array" ref="I6">_xlfn.IFS('ProductSprint Backlog'!$M6="", "", AND('ProductSprint Backlog'!$L6&gt;I$2,'ProductSprint Backlog'!$K6&lt;=I$2), 'ProductSprint Backlog'!$M6 / MAX(1, 'ProductSprint Backlog'!$L6-'ProductSprint Backlog'!$K6), AND('ProductSprint Backlog'!$L6=I$2,'ProductSprint Backlog'!$K6=I$2), 'ProductSprint Backlog'!$M6, TRUE, 0)</f>
        <v>0.66666666666666663</v>
      </c>
      <c r="J6" s="4" cm="1">
        <f t="array" ref="J6">_xlfn.IFS('ProductSprint Backlog'!$M6="", "", AND('ProductSprint Backlog'!$L6&gt;J$2,'ProductSprint Backlog'!$K6&lt;=J$2), 'ProductSprint Backlog'!$M6 / MAX(1, 'ProductSprint Backlog'!$L6-'ProductSprint Backlog'!$K6), AND('ProductSprint Backlog'!$L6=J$2,'ProductSprint Backlog'!$K6=J$2), 'ProductSprint Backlog'!$M6, TRUE, 0)</f>
        <v>0.66666666666666663</v>
      </c>
      <c r="K6" s="4" cm="1">
        <f t="array" ref="K6">_xlfn.IFS('ProductSprint Backlog'!$M6="", "", AND('ProductSprint Backlog'!$L6&gt;K$2,'ProductSprint Backlog'!$K6&lt;=K$2), 'ProductSprint Backlog'!$M6 / MAX(1, 'ProductSprint Backlog'!$L6-'ProductSprint Backlog'!$K6), AND('ProductSprint Backlog'!$L6=K$2,'ProductSprint Backlog'!$K6=K$2), 'ProductSprint Backlog'!$M6, TRUE, 0)</f>
        <v>0.66666666666666663</v>
      </c>
      <c r="L6" s="4" cm="1">
        <f t="array" ref="L6">_xlfn.IFS('ProductSprint Backlog'!$M6="", "", AND('ProductSprint Backlog'!$L6&gt;L$2,'ProductSprint Backlog'!$K6&lt;=L$2), 'ProductSprint Backlog'!$M6 / MAX(1, 'ProductSprint Backlog'!$L6-'ProductSprint Backlog'!$K6), AND('ProductSprint Backlog'!$L6=L$2,'ProductSprint Backlog'!$K6=L$2), 'ProductSprint Backlog'!$M6, TRUE, 0)</f>
        <v>0</v>
      </c>
      <c r="M6" s="4" cm="1">
        <f t="array" ref="M6">_xlfn.IFS('ProductSprint Backlog'!$M6="", "", AND('ProductSprint Backlog'!$L6&gt;M$2,'ProductSprint Backlog'!$K6&lt;=M$2), 'ProductSprint Backlog'!$M6 / MAX(1, 'ProductSprint Backlog'!$L6-'ProductSprint Backlog'!$K6), AND('ProductSprint Backlog'!$L6=M$2,'ProductSprint Backlog'!$K6=M$2), 'ProductSprint Backlog'!$M6, TRUE, 0)</f>
        <v>0</v>
      </c>
      <c r="N6" s="4" cm="1">
        <f t="array" ref="N6">_xlfn.IFS('ProductSprint Backlog'!$M6="", "", AND('ProductSprint Backlog'!$L6&gt;N$2,'ProductSprint Backlog'!$K6&lt;=N$2), 'ProductSprint Backlog'!$M6 / MAX(1, 'ProductSprint Backlog'!$L6-'ProductSprint Backlog'!$K6), AND('ProductSprint Backlog'!$L6=N$2,'ProductSprint Backlog'!$K6=N$2), 'ProductSprint Backlog'!$M6, TRUE, 0)</f>
        <v>0</v>
      </c>
      <c r="O6" s="4" cm="1">
        <f t="array" ref="O6">_xlfn.IFS('ProductSprint Backlog'!$M6="", "", AND('ProductSprint Backlog'!$L6&gt;O$2,'ProductSprint Backlog'!$K6&lt;=O$2), 'ProductSprint Backlog'!$M6 / MAX(1, 'ProductSprint Backlog'!$L6-'ProductSprint Backlog'!$K6), AND('ProductSprint Backlog'!$L6=O$2,'ProductSprint Backlog'!$K6=O$2), 'ProductSprint Backlog'!$M6, TRUE, 0)</f>
        <v>0</v>
      </c>
      <c r="P6" s="4" cm="1">
        <f t="array" ref="P6">_xlfn.IFS('ProductSprint Backlog'!$M6="", "", AND('ProductSprint Backlog'!$L6&gt;P$2,'ProductSprint Backlog'!$K6&lt;=P$2), 'ProductSprint Backlog'!$M6 / MAX(1, 'ProductSprint Backlog'!$L6-'ProductSprint Backlog'!$K6), AND('ProductSprint Backlog'!$L6=P$2,'ProductSprint Backlog'!$K6=P$2), 'ProductSprint Backlog'!$M6, TRUE, 0)</f>
        <v>0</v>
      </c>
    </row>
    <row r="7" spans="2:18" x14ac:dyDescent="0.2">
      <c r="B7" s="4" t="str" cm="1">
        <f t="array" ref="B7">_xlfn.IFS('ProductSprint Backlog'!$M7="", "", AND('ProductSprint Backlog'!$L7&gt;B$2,'ProductSprint Backlog'!$K7&lt;=B$2), 'ProductSprint Backlog'!$M7 / MAX(1, 'ProductSprint Backlog'!$L7-'ProductSprint Backlog'!$K7), AND('ProductSprint Backlog'!$L7=B$2,'ProductSprint Backlog'!$K7=B$2), 'ProductSprint Backlog'!$M7, TRUE, 0)</f>
        <v/>
      </c>
      <c r="C7" s="4" t="str" cm="1">
        <f t="array" ref="C7">_xlfn.IFS('ProductSprint Backlog'!$M7="", "", AND('ProductSprint Backlog'!$L7&gt;C$2,'ProductSprint Backlog'!$K7&lt;=C$2), 'ProductSprint Backlog'!$M7 / MAX(1, 'ProductSprint Backlog'!$L7-'ProductSprint Backlog'!$K7), AND('ProductSprint Backlog'!$L7=C$2,'ProductSprint Backlog'!$K7=C$2), 'ProductSprint Backlog'!$M7, TRUE, 0)</f>
        <v/>
      </c>
      <c r="D7" s="4" t="str" cm="1">
        <f t="array" ref="D7">_xlfn.IFS('ProductSprint Backlog'!$M7="", "", AND('ProductSprint Backlog'!$L7&gt;D$2,'ProductSprint Backlog'!$K7&lt;=D$2), 'ProductSprint Backlog'!$M7 / MAX(1, 'ProductSprint Backlog'!$L7-'ProductSprint Backlog'!$K7), AND('ProductSprint Backlog'!$L7=D$2,'ProductSprint Backlog'!$K7=D$2), 'ProductSprint Backlog'!$M7, TRUE, 0)</f>
        <v/>
      </c>
      <c r="E7" s="4" t="str" cm="1">
        <f t="array" ref="E7">_xlfn.IFS('ProductSprint Backlog'!$M7="", "", AND('ProductSprint Backlog'!$L7&gt;E$2,'ProductSprint Backlog'!$K7&lt;=E$2), 'ProductSprint Backlog'!$M7 / MAX(1, 'ProductSprint Backlog'!$L7-'ProductSprint Backlog'!$K7), AND('ProductSprint Backlog'!$L7=E$2,'ProductSprint Backlog'!$K7=E$2), 'ProductSprint Backlog'!$M7, TRUE, 0)</f>
        <v/>
      </c>
      <c r="F7" s="4" t="str" cm="1">
        <f t="array" ref="F7">_xlfn.IFS('ProductSprint Backlog'!$M7="", "", AND('ProductSprint Backlog'!$L7&gt;F$2,'ProductSprint Backlog'!$K7&lt;=F$2), 'ProductSprint Backlog'!$M7 / MAX(1, 'ProductSprint Backlog'!$L7-'ProductSprint Backlog'!$K7), AND('ProductSprint Backlog'!$L7=F$2,'ProductSprint Backlog'!$K7=F$2), 'ProductSprint Backlog'!$M7, TRUE, 0)</f>
        <v/>
      </c>
      <c r="G7" s="4" t="str" cm="1">
        <f t="array" ref="G7">_xlfn.IFS('ProductSprint Backlog'!$M7="", "", AND('ProductSprint Backlog'!$L7&gt;G$2,'ProductSprint Backlog'!$K7&lt;=G$2), 'ProductSprint Backlog'!$M7 / MAX(1, 'ProductSprint Backlog'!$L7-'ProductSprint Backlog'!$K7), AND('ProductSprint Backlog'!$L7=G$2,'ProductSprint Backlog'!$K7=G$2), 'ProductSprint Backlog'!$M7, TRUE, 0)</f>
        <v/>
      </c>
      <c r="H7" s="4" t="str" cm="1">
        <f t="array" ref="H7">_xlfn.IFS('ProductSprint Backlog'!$M7="", "", AND('ProductSprint Backlog'!$L7&gt;H$2,'ProductSprint Backlog'!$K7&lt;=H$2), 'ProductSprint Backlog'!$M7 / MAX(1, 'ProductSprint Backlog'!$L7-'ProductSprint Backlog'!$K7), AND('ProductSprint Backlog'!$L7=H$2,'ProductSprint Backlog'!$K7=H$2), 'ProductSprint Backlog'!$M7, TRUE, 0)</f>
        <v/>
      </c>
      <c r="I7" s="4" t="str" cm="1">
        <f t="array" ref="I7">_xlfn.IFS('ProductSprint Backlog'!$M7="", "", AND('ProductSprint Backlog'!$L7&gt;I$2,'ProductSprint Backlog'!$K7&lt;=I$2), 'ProductSprint Backlog'!$M7 / MAX(1, 'ProductSprint Backlog'!$L7-'ProductSprint Backlog'!$K7), AND('ProductSprint Backlog'!$L7=I$2,'ProductSprint Backlog'!$K7=I$2), 'ProductSprint Backlog'!$M7, TRUE, 0)</f>
        <v/>
      </c>
      <c r="J7" s="4" t="str" cm="1">
        <f t="array" ref="J7">_xlfn.IFS('ProductSprint Backlog'!$M7="", "", AND('ProductSprint Backlog'!$L7&gt;J$2,'ProductSprint Backlog'!$K7&lt;=J$2), 'ProductSprint Backlog'!$M7 / MAX(1, 'ProductSprint Backlog'!$L7-'ProductSprint Backlog'!$K7), AND('ProductSprint Backlog'!$L7=J$2,'ProductSprint Backlog'!$K7=J$2), 'ProductSprint Backlog'!$M7, TRUE, 0)</f>
        <v/>
      </c>
      <c r="K7" s="4" t="str" cm="1">
        <f t="array" ref="K7">_xlfn.IFS('ProductSprint Backlog'!$M7="", "", AND('ProductSprint Backlog'!$L7&gt;K$2,'ProductSprint Backlog'!$K7&lt;=K$2), 'ProductSprint Backlog'!$M7 / MAX(1, 'ProductSprint Backlog'!$L7-'ProductSprint Backlog'!$K7), AND('ProductSprint Backlog'!$L7=K$2,'ProductSprint Backlog'!$K7=K$2), 'ProductSprint Backlog'!$M7, TRUE, 0)</f>
        <v/>
      </c>
      <c r="L7" s="4" t="str" cm="1">
        <f t="array" ref="L7">_xlfn.IFS('ProductSprint Backlog'!$M7="", "", AND('ProductSprint Backlog'!$L7&gt;L$2,'ProductSprint Backlog'!$K7&lt;=L$2), 'ProductSprint Backlog'!$M7 / MAX(1, 'ProductSprint Backlog'!$L7-'ProductSprint Backlog'!$K7), AND('ProductSprint Backlog'!$L7=L$2,'ProductSprint Backlog'!$K7=L$2), 'ProductSprint Backlog'!$M7, TRUE, 0)</f>
        <v/>
      </c>
      <c r="M7" s="4" t="str" cm="1">
        <f t="array" ref="M7">_xlfn.IFS('ProductSprint Backlog'!$M7="", "", AND('ProductSprint Backlog'!$L7&gt;M$2,'ProductSprint Backlog'!$K7&lt;=M$2), 'ProductSprint Backlog'!$M7 / MAX(1, 'ProductSprint Backlog'!$L7-'ProductSprint Backlog'!$K7), AND('ProductSprint Backlog'!$L7=M$2,'ProductSprint Backlog'!$K7=M$2), 'ProductSprint Backlog'!$M7, TRUE, 0)</f>
        <v/>
      </c>
      <c r="N7" s="4" t="str" cm="1">
        <f t="array" ref="N7">_xlfn.IFS('ProductSprint Backlog'!$M7="", "", AND('ProductSprint Backlog'!$L7&gt;N$2,'ProductSprint Backlog'!$K7&lt;=N$2), 'ProductSprint Backlog'!$M7 / MAX(1, 'ProductSprint Backlog'!$L7-'ProductSprint Backlog'!$K7), AND('ProductSprint Backlog'!$L7=N$2,'ProductSprint Backlog'!$K7=N$2), 'ProductSprint Backlog'!$M7, TRUE, 0)</f>
        <v/>
      </c>
      <c r="O7" s="4" t="str" cm="1">
        <f t="array" ref="O7">_xlfn.IFS('ProductSprint Backlog'!$M7="", "", AND('ProductSprint Backlog'!$L7&gt;O$2,'ProductSprint Backlog'!$K7&lt;=O$2), 'ProductSprint Backlog'!$M7 / MAX(1, 'ProductSprint Backlog'!$L7-'ProductSprint Backlog'!$K7), AND('ProductSprint Backlog'!$L7=O$2,'ProductSprint Backlog'!$K7=O$2), 'ProductSprint Backlog'!$M7, TRUE, 0)</f>
        <v/>
      </c>
      <c r="P7" s="4" t="str" cm="1">
        <f t="array" ref="P7">_xlfn.IFS('ProductSprint Backlog'!$M7="", "", AND('ProductSprint Backlog'!$L7&gt;P$2,'ProductSprint Backlog'!$K7&lt;=P$2), 'ProductSprint Backlog'!$M7 / MAX(1, 'ProductSprint Backlog'!$L7-'ProductSprint Backlog'!$K7), AND('ProductSprint Backlog'!$L7=P$2,'ProductSprint Backlog'!$K7=P$2), 'ProductSprint Backlog'!$M7, TRUE, 0)</f>
        <v/>
      </c>
    </row>
    <row r="8" spans="2:18" x14ac:dyDescent="0.2">
      <c r="B8" s="4" cm="1">
        <f t="array" ref="B8">_xlfn.IFS('ProductSprint Backlog'!$M8="", "", AND('ProductSprint Backlog'!$L8&gt;B$2,'ProductSprint Backlog'!$K8&lt;=B$2), 'ProductSprint Backlog'!$M8 / MAX(1, 'ProductSprint Backlog'!$L8-'ProductSprint Backlog'!$K8), AND('ProductSprint Backlog'!$L8=B$2,'ProductSprint Backlog'!$K8=B$2), 'ProductSprint Backlog'!$M8, TRUE, 0)</f>
        <v>0</v>
      </c>
      <c r="C8" s="4" cm="1">
        <f t="array" ref="C8">_xlfn.IFS('ProductSprint Backlog'!$M8="", "", AND('ProductSprint Backlog'!$L8&gt;C$2,'ProductSprint Backlog'!$K8&lt;=C$2), 'ProductSprint Backlog'!$M8 / MAX(1, 'ProductSprint Backlog'!$L8-'ProductSprint Backlog'!$K8), AND('ProductSprint Backlog'!$L8=C$2,'ProductSprint Backlog'!$K8=C$2), 'ProductSprint Backlog'!$M8, TRUE, 0)</f>
        <v>0</v>
      </c>
      <c r="D8" s="4" cm="1">
        <f t="array" ref="D8">_xlfn.IFS('ProductSprint Backlog'!$M8="", "", AND('ProductSprint Backlog'!$L8&gt;D$2,'ProductSprint Backlog'!$K8&lt;=D$2), 'ProductSprint Backlog'!$M8 / MAX(1, 'ProductSprint Backlog'!$L8-'ProductSprint Backlog'!$K8), AND('ProductSprint Backlog'!$L8=D$2,'ProductSprint Backlog'!$K8=D$2), 'ProductSprint Backlog'!$M8, TRUE, 0)</f>
        <v>0</v>
      </c>
      <c r="E8" s="4" cm="1">
        <f t="array" ref="E8">_xlfn.IFS('ProductSprint Backlog'!$M8="", "", AND('ProductSprint Backlog'!$L8&gt;E$2,'ProductSprint Backlog'!$K8&lt;=E$2), 'ProductSprint Backlog'!$M8 / MAX(1, 'ProductSprint Backlog'!$L8-'ProductSprint Backlog'!$K8), AND('ProductSprint Backlog'!$L8=E$2,'ProductSprint Backlog'!$K8=E$2), 'ProductSprint Backlog'!$M8, TRUE, 0)</f>
        <v>0</v>
      </c>
      <c r="F8" s="4" cm="1">
        <f t="array" ref="F8">_xlfn.IFS('ProductSprint Backlog'!$M8="", "", AND('ProductSprint Backlog'!$L8&gt;F$2,'ProductSprint Backlog'!$K8&lt;=F$2), 'ProductSprint Backlog'!$M8 / MAX(1, 'ProductSprint Backlog'!$L8-'ProductSprint Backlog'!$K8), AND('ProductSprint Backlog'!$L8=F$2,'ProductSprint Backlog'!$K8=F$2), 'ProductSprint Backlog'!$M8, TRUE, 0)</f>
        <v>0</v>
      </c>
      <c r="G8" s="4" cm="1">
        <f t="array" ref="G8">_xlfn.IFS('ProductSprint Backlog'!$M8="", "", AND('ProductSprint Backlog'!$L8&gt;G$2,'ProductSprint Backlog'!$K8&lt;=G$2), 'ProductSprint Backlog'!$M8 / MAX(1, 'ProductSprint Backlog'!$L8-'ProductSprint Backlog'!$K8), AND('ProductSprint Backlog'!$L8=G$2,'ProductSprint Backlog'!$K8=G$2), 'ProductSprint Backlog'!$M8, TRUE, 0)</f>
        <v>1.5</v>
      </c>
      <c r="H8" s="4" cm="1">
        <f t="array" ref="H8">_xlfn.IFS('ProductSprint Backlog'!$M8="", "", AND('ProductSprint Backlog'!$L8&gt;H$2,'ProductSprint Backlog'!$K8&lt;=H$2), 'ProductSprint Backlog'!$M8 / MAX(1, 'ProductSprint Backlog'!$L8-'ProductSprint Backlog'!$K8), AND('ProductSprint Backlog'!$L8=H$2,'ProductSprint Backlog'!$K8=H$2), 'ProductSprint Backlog'!$M8, TRUE, 0)</f>
        <v>0</v>
      </c>
      <c r="I8" s="4" cm="1">
        <f t="array" ref="I8">_xlfn.IFS('ProductSprint Backlog'!$M8="", "", AND('ProductSprint Backlog'!$L8&gt;I$2,'ProductSprint Backlog'!$K8&lt;=I$2), 'ProductSprint Backlog'!$M8 / MAX(1, 'ProductSprint Backlog'!$L8-'ProductSprint Backlog'!$K8), AND('ProductSprint Backlog'!$L8=I$2,'ProductSprint Backlog'!$K8=I$2), 'ProductSprint Backlog'!$M8, TRUE, 0)</f>
        <v>0</v>
      </c>
      <c r="J8" s="4" cm="1">
        <f t="array" ref="J8">_xlfn.IFS('ProductSprint Backlog'!$M8="", "", AND('ProductSprint Backlog'!$L8&gt;J$2,'ProductSprint Backlog'!$K8&lt;=J$2), 'ProductSprint Backlog'!$M8 / MAX(1, 'ProductSprint Backlog'!$L8-'ProductSprint Backlog'!$K8), AND('ProductSprint Backlog'!$L8=J$2,'ProductSprint Backlog'!$K8=J$2), 'ProductSprint Backlog'!$M8, TRUE, 0)</f>
        <v>0</v>
      </c>
      <c r="K8" s="4" cm="1">
        <f t="array" ref="K8">_xlfn.IFS('ProductSprint Backlog'!$M8="", "", AND('ProductSprint Backlog'!$L8&gt;K$2,'ProductSprint Backlog'!$K8&lt;=K$2), 'ProductSprint Backlog'!$M8 / MAX(1, 'ProductSprint Backlog'!$L8-'ProductSprint Backlog'!$K8), AND('ProductSprint Backlog'!$L8=K$2,'ProductSprint Backlog'!$K8=K$2), 'ProductSprint Backlog'!$M8, TRUE, 0)</f>
        <v>0</v>
      </c>
      <c r="L8" s="4" cm="1">
        <f t="array" ref="L8">_xlfn.IFS('ProductSprint Backlog'!$M8="", "", AND('ProductSprint Backlog'!$L8&gt;L$2,'ProductSprint Backlog'!$K8&lt;=L$2), 'ProductSprint Backlog'!$M8 / MAX(1, 'ProductSprint Backlog'!$L8-'ProductSprint Backlog'!$K8), AND('ProductSprint Backlog'!$L8=L$2,'ProductSprint Backlog'!$K8=L$2), 'ProductSprint Backlog'!$M8, TRUE, 0)</f>
        <v>0</v>
      </c>
      <c r="M8" s="4" cm="1">
        <f t="array" ref="M8">_xlfn.IFS('ProductSprint Backlog'!$M8="", "", AND('ProductSprint Backlog'!$L8&gt;M$2,'ProductSprint Backlog'!$K8&lt;=M$2), 'ProductSprint Backlog'!$M8 / MAX(1, 'ProductSprint Backlog'!$L8-'ProductSprint Backlog'!$K8), AND('ProductSprint Backlog'!$L8=M$2,'ProductSprint Backlog'!$K8=M$2), 'ProductSprint Backlog'!$M8, TRUE, 0)</f>
        <v>0</v>
      </c>
      <c r="N8" s="4" cm="1">
        <f t="array" ref="N8">_xlfn.IFS('ProductSprint Backlog'!$M8="", "", AND('ProductSprint Backlog'!$L8&gt;N$2,'ProductSprint Backlog'!$K8&lt;=N$2), 'ProductSprint Backlog'!$M8 / MAX(1, 'ProductSprint Backlog'!$L8-'ProductSprint Backlog'!$K8), AND('ProductSprint Backlog'!$L8=N$2,'ProductSprint Backlog'!$K8=N$2), 'ProductSprint Backlog'!$M8, TRUE, 0)</f>
        <v>0</v>
      </c>
      <c r="O8" s="4" cm="1">
        <f t="array" ref="O8">_xlfn.IFS('ProductSprint Backlog'!$M8="", "", AND('ProductSprint Backlog'!$L8&gt;O$2,'ProductSprint Backlog'!$K8&lt;=O$2), 'ProductSprint Backlog'!$M8 / MAX(1, 'ProductSprint Backlog'!$L8-'ProductSprint Backlog'!$K8), AND('ProductSprint Backlog'!$L8=O$2,'ProductSprint Backlog'!$K8=O$2), 'ProductSprint Backlog'!$M8, TRUE, 0)</f>
        <v>0</v>
      </c>
      <c r="P8" s="4" cm="1">
        <f t="array" ref="P8">_xlfn.IFS('ProductSprint Backlog'!$M8="", "", AND('ProductSprint Backlog'!$L8&gt;P$2,'ProductSprint Backlog'!$K8&lt;=P$2), 'ProductSprint Backlog'!$M8 / MAX(1, 'ProductSprint Backlog'!$L8-'ProductSprint Backlog'!$K8), AND('ProductSprint Backlog'!$L8=P$2,'ProductSprint Backlog'!$K8=P$2), 'ProductSprint Backlog'!$M8, TRUE, 0)</f>
        <v>0</v>
      </c>
      <c r="R8" s="4">
        <f>SUM(B3:O1000)</f>
        <v>126.49999999999999</v>
      </c>
    </row>
    <row r="9" spans="2:18" x14ac:dyDescent="0.2">
      <c r="B9" s="4" cm="1">
        <f t="array" ref="B9">_xlfn.IFS('ProductSprint Backlog'!$M9="", "", AND('ProductSprint Backlog'!$L9&gt;B$2,'ProductSprint Backlog'!$K9&lt;=B$2), 'ProductSprint Backlog'!$M9 / MAX(1, 'ProductSprint Backlog'!$L9-'ProductSprint Backlog'!$K9), AND('ProductSprint Backlog'!$L9=B$2,'ProductSprint Backlog'!$K9=B$2), 'ProductSprint Backlog'!$M9, TRUE, 0)</f>
        <v>0</v>
      </c>
      <c r="C9" s="4" cm="1">
        <f t="array" ref="C9">_xlfn.IFS('ProductSprint Backlog'!$M9="", "", AND('ProductSprint Backlog'!$L9&gt;C$2,'ProductSprint Backlog'!$K9&lt;=C$2), 'ProductSprint Backlog'!$M9 / MAX(1, 'ProductSprint Backlog'!$L9-'ProductSprint Backlog'!$K9), AND('ProductSprint Backlog'!$L9=C$2,'ProductSprint Backlog'!$K9=C$2), 'ProductSprint Backlog'!$M9, TRUE, 0)</f>
        <v>0</v>
      </c>
      <c r="D9" s="4" cm="1">
        <f t="array" ref="D9">_xlfn.IFS('ProductSprint Backlog'!$M9="", "", AND('ProductSprint Backlog'!$L9&gt;D$2,'ProductSprint Backlog'!$K9&lt;=D$2), 'ProductSprint Backlog'!$M9 / MAX(1, 'ProductSprint Backlog'!$L9-'ProductSprint Backlog'!$K9), AND('ProductSprint Backlog'!$L9=D$2,'ProductSprint Backlog'!$K9=D$2), 'ProductSprint Backlog'!$M9, TRUE, 0)</f>
        <v>0</v>
      </c>
      <c r="E9" s="4" cm="1">
        <f t="array" ref="E9">_xlfn.IFS('ProductSprint Backlog'!$M9="", "", AND('ProductSprint Backlog'!$L9&gt;E$2,'ProductSprint Backlog'!$K9&lt;=E$2), 'ProductSprint Backlog'!$M9 / MAX(1, 'ProductSprint Backlog'!$L9-'ProductSprint Backlog'!$K9), AND('ProductSprint Backlog'!$L9=E$2,'ProductSprint Backlog'!$K9=E$2), 'ProductSprint Backlog'!$M9, TRUE, 0)</f>
        <v>0</v>
      </c>
      <c r="F9" s="4" cm="1">
        <f t="array" ref="F9">_xlfn.IFS('ProductSprint Backlog'!$M9="", "", AND('ProductSprint Backlog'!$L9&gt;F$2,'ProductSprint Backlog'!$K9&lt;=F$2), 'ProductSprint Backlog'!$M9 / MAX(1, 'ProductSprint Backlog'!$L9-'ProductSprint Backlog'!$K9), AND('ProductSprint Backlog'!$L9=F$2,'ProductSprint Backlog'!$K9=F$2), 'ProductSprint Backlog'!$M9, TRUE, 0)</f>
        <v>0</v>
      </c>
      <c r="G9" s="4" cm="1">
        <f t="array" ref="G9">_xlfn.IFS('ProductSprint Backlog'!$M9="", "", AND('ProductSprint Backlog'!$L9&gt;G$2,'ProductSprint Backlog'!$K9&lt;=G$2), 'ProductSprint Backlog'!$M9 / MAX(1, 'ProductSprint Backlog'!$L9-'ProductSprint Backlog'!$K9), AND('ProductSprint Backlog'!$L9=G$2,'ProductSprint Backlog'!$K9=G$2), 'ProductSprint Backlog'!$M9, TRUE, 0)</f>
        <v>0</v>
      </c>
      <c r="H9" s="4" cm="1">
        <f t="array" ref="H9">_xlfn.IFS('ProductSprint Backlog'!$M9="", "", AND('ProductSprint Backlog'!$L9&gt;H$2,'ProductSprint Backlog'!$K9&lt;=H$2), 'ProductSprint Backlog'!$M9 / MAX(1, 'ProductSprint Backlog'!$L9-'ProductSprint Backlog'!$K9), AND('ProductSprint Backlog'!$L9=H$2,'ProductSprint Backlog'!$K9=H$2), 'ProductSprint Backlog'!$M9, TRUE, 0)</f>
        <v>1</v>
      </c>
      <c r="I9" s="4" cm="1">
        <f t="array" ref="I9">_xlfn.IFS('ProductSprint Backlog'!$M9="", "", AND('ProductSprint Backlog'!$L9&gt;I$2,'ProductSprint Backlog'!$K9&lt;=I$2), 'ProductSprint Backlog'!$M9 / MAX(1, 'ProductSprint Backlog'!$L9-'ProductSprint Backlog'!$K9), AND('ProductSprint Backlog'!$L9=I$2,'ProductSprint Backlog'!$K9=I$2), 'ProductSprint Backlog'!$M9, TRUE, 0)</f>
        <v>0</v>
      </c>
      <c r="J9" s="4" cm="1">
        <f t="array" ref="J9">_xlfn.IFS('ProductSprint Backlog'!$M9="", "", AND('ProductSprint Backlog'!$L9&gt;J$2,'ProductSprint Backlog'!$K9&lt;=J$2), 'ProductSprint Backlog'!$M9 / MAX(1, 'ProductSprint Backlog'!$L9-'ProductSprint Backlog'!$K9), AND('ProductSprint Backlog'!$L9=J$2,'ProductSprint Backlog'!$K9=J$2), 'ProductSprint Backlog'!$M9, TRUE, 0)</f>
        <v>0</v>
      </c>
      <c r="K9" s="4" cm="1">
        <f t="array" ref="K9">_xlfn.IFS('ProductSprint Backlog'!$M9="", "", AND('ProductSprint Backlog'!$L9&gt;K$2,'ProductSprint Backlog'!$K9&lt;=K$2), 'ProductSprint Backlog'!$M9 / MAX(1, 'ProductSprint Backlog'!$L9-'ProductSprint Backlog'!$K9), AND('ProductSprint Backlog'!$L9=K$2,'ProductSprint Backlog'!$K9=K$2), 'ProductSprint Backlog'!$M9, TRUE, 0)</f>
        <v>0</v>
      </c>
      <c r="L9" s="4" cm="1">
        <f t="array" ref="L9">_xlfn.IFS('ProductSprint Backlog'!$M9="", "", AND('ProductSprint Backlog'!$L9&gt;L$2,'ProductSprint Backlog'!$K9&lt;=L$2), 'ProductSprint Backlog'!$M9 / MAX(1, 'ProductSprint Backlog'!$L9-'ProductSprint Backlog'!$K9), AND('ProductSprint Backlog'!$L9=L$2,'ProductSprint Backlog'!$K9=L$2), 'ProductSprint Backlog'!$M9, TRUE, 0)</f>
        <v>0</v>
      </c>
      <c r="M9" s="4" cm="1">
        <f t="array" ref="M9">_xlfn.IFS('ProductSprint Backlog'!$M9="", "", AND('ProductSprint Backlog'!$L9&gt;M$2,'ProductSprint Backlog'!$K9&lt;=M$2), 'ProductSprint Backlog'!$M9 / MAX(1, 'ProductSprint Backlog'!$L9-'ProductSprint Backlog'!$K9), AND('ProductSprint Backlog'!$L9=M$2,'ProductSprint Backlog'!$K9=M$2), 'ProductSprint Backlog'!$M9, TRUE, 0)</f>
        <v>0</v>
      </c>
      <c r="N9" s="4" cm="1">
        <f t="array" ref="N9">_xlfn.IFS('ProductSprint Backlog'!$M9="", "", AND('ProductSprint Backlog'!$L9&gt;N$2,'ProductSprint Backlog'!$K9&lt;=N$2), 'ProductSprint Backlog'!$M9 / MAX(1, 'ProductSprint Backlog'!$L9-'ProductSprint Backlog'!$K9), AND('ProductSprint Backlog'!$L9=N$2,'ProductSprint Backlog'!$K9=N$2), 'ProductSprint Backlog'!$M9, TRUE, 0)</f>
        <v>0</v>
      </c>
      <c r="O9" s="4" cm="1">
        <f t="array" ref="O9">_xlfn.IFS('ProductSprint Backlog'!$M9="", "", AND('ProductSprint Backlog'!$L9&gt;O$2,'ProductSprint Backlog'!$K9&lt;=O$2), 'ProductSprint Backlog'!$M9 / MAX(1, 'ProductSprint Backlog'!$L9-'ProductSprint Backlog'!$K9), AND('ProductSprint Backlog'!$L9=O$2,'ProductSprint Backlog'!$K9=O$2), 'ProductSprint Backlog'!$M9, TRUE, 0)</f>
        <v>0</v>
      </c>
      <c r="P9" s="4" cm="1">
        <f t="array" ref="P9">_xlfn.IFS('ProductSprint Backlog'!$M9="", "", AND('ProductSprint Backlog'!$L9&gt;P$2,'ProductSprint Backlog'!$K9&lt;=P$2), 'ProductSprint Backlog'!$M9 / MAX(1, 'ProductSprint Backlog'!$L9-'ProductSprint Backlog'!$K9), AND('ProductSprint Backlog'!$L9=P$2,'ProductSprint Backlog'!$K9=P$2), 'ProductSprint Backlog'!$M9, TRUE, 0)</f>
        <v>0</v>
      </c>
    </row>
    <row r="10" spans="2:18" x14ac:dyDescent="0.2">
      <c r="B10" s="4" cm="1">
        <f t="array" ref="B10">_xlfn.IFS('ProductSprint Backlog'!$M10="", "", AND('ProductSprint Backlog'!$L10&gt;B$2,'ProductSprint Backlog'!$K10&lt;=B$2), 'ProductSprint Backlog'!$M10 / MAX(1, 'ProductSprint Backlog'!$L10-'ProductSprint Backlog'!$K10), AND('ProductSprint Backlog'!$L10=B$2,'ProductSprint Backlog'!$K10=B$2), 'ProductSprint Backlog'!$M10, TRUE, 0)</f>
        <v>0</v>
      </c>
      <c r="C10" s="4" cm="1">
        <f t="array" ref="C10">_xlfn.IFS('ProductSprint Backlog'!$M10="", "", AND('ProductSprint Backlog'!$L10&gt;C$2,'ProductSprint Backlog'!$K10&lt;=C$2), 'ProductSprint Backlog'!$M10 / MAX(1, 'ProductSprint Backlog'!$L10-'ProductSprint Backlog'!$K10), AND('ProductSprint Backlog'!$L10=C$2,'ProductSprint Backlog'!$K10=C$2), 'ProductSprint Backlog'!$M10, TRUE, 0)</f>
        <v>0</v>
      </c>
      <c r="D10" s="4" cm="1">
        <f t="array" ref="D10">_xlfn.IFS('ProductSprint Backlog'!$M10="", "", AND('ProductSprint Backlog'!$L10&gt;D$2,'ProductSprint Backlog'!$K10&lt;=D$2), 'ProductSprint Backlog'!$M10 / MAX(1, 'ProductSprint Backlog'!$L10-'ProductSprint Backlog'!$K10), AND('ProductSprint Backlog'!$L10=D$2,'ProductSprint Backlog'!$K10=D$2), 'ProductSprint Backlog'!$M10, TRUE, 0)</f>
        <v>0</v>
      </c>
      <c r="E10" s="4" cm="1">
        <f t="array" ref="E10">_xlfn.IFS('ProductSprint Backlog'!$M10="", "", AND('ProductSprint Backlog'!$L10&gt;E$2,'ProductSprint Backlog'!$K10&lt;=E$2), 'ProductSprint Backlog'!$M10 / MAX(1, 'ProductSprint Backlog'!$L10-'ProductSprint Backlog'!$K10), AND('ProductSprint Backlog'!$L10=E$2,'ProductSprint Backlog'!$K10=E$2), 'ProductSprint Backlog'!$M10, TRUE, 0)</f>
        <v>0</v>
      </c>
      <c r="F10" s="4" cm="1">
        <f t="array" ref="F10">_xlfn.IFS('ProductSprint Backlog'!$M10="", "", AND('ProductSprint Backlog'!$L10&gt;F$2,'ProductSprint Backlog'!$K10&lt;=F$2), 'ProductSprint Backlog'!$M10 / MAX(1, 'ProductSprint Backlog'!$L10-'ProductSprint Backlog'!$K10), AND('ProductSprint Backlog'!$L10=F$2,'ProductSprint Backlog'!$K10=F$2), 'ProductSprint Backlog'!$M10, TRUE, 0)</f>
        <v>0</v>
      </c>
      <c r="G10" s="4" cm="1">
        <f t="array" ref="G10">_xlfn.IFS('ProductSprint Backlog'!$M10="", "", AND('ProductSprint Backlog'!$L10&gt;G$2,'ProductSprint Backlog'!$K10&lt;=G$2), 'ProductSprint Backlog'!$M10 / MAX(1, 'ProductSprint Backlog'!$L10-'ProductSprint Backlog'!$K10), AND('ProductSprint Backlog'!$L10=G$2,'ProductSprint Backlog'!$K10=G$2), 'ProductSprint Backlog'!$M10, TRUE, 0)</f>
        <v>0</v>
      </c>
      <c r="H10" s="4" cm="1">
        <f t="array" ref="H10">_xlfn.IFS('ProductSprint Backlog'!$M10="", "", AND('ProductSprint Backlog'!$L10&gt;H$2,'ProductSprint Backlog'!$K10&lt;=H$2), 'ProductSprint Backlog'!$M10 / MAX(1, 'ProductSprint Backlog'!$L10-'ProductSprint Backlog'!$K10), AND('ProductSprint Backlog'!$L10=H$2,'ProductSprint Backlog'!$K10=H$2), 'ProductSprint Backlog'!$M10, TRUE, 0)</f>
        <v>3</v>
      </c>
      <c r="I10" s="4" cm="1">
        <f t="array" ref="I10">_xlfn.IFS('ProductSprint Backlog'!$M10="", "", AND('ProductSprint Backlog'!$L10&gt;I$2,'ProductSprint Backlog'!$K10&lt;=I$2), 'ProductSprint Backlog'!$M10 / MAX(1, 'ProductSprint Backlog'!$L10-'ProductSprint Backlog'!$K10), AND('ProductSprint Backlog'!$L10=I$2,'ProductSprint Backlog'!$K10=I$2), 'ProductSprint Backlog'!$M10, TRUE, 0)</f>
        <v>0</v>
      </c>
      <c r="J10" s="4" cm="1">
        <f t="array" ref="J10">_xlfn.IFS('ProductSprint Backlog'!$M10="", "", AND('ProductSprint Backlog'!$L10&gt;J$2,'ProductSprint Backlog'!$K10&lt;=J$2), 'ProductSprint Backlog'!$M10 / MAX(1, 'ProductSprint Backlog'!$L10-'ProductSprint Backlog'!$K10), AND('ProductSprint Backlog'!$L10=J$2,'ProductSprint Backlog'!$K10=J$2), 'ProductSprint Backlog'!$M10, TRUE, 0)</f>
        <v>0</v>
      </c>
      <c r="K10" s="4" cm="1">
        <f t="array" ref="K10">_xlfn.IFS('ProductSprint Backlog'!$M10="", "", AND('ProductSprint Backlog'!$L10&gt;K$2,'ProductSprint Backlog'!$K10&lt;=K$2), 'ProductSprint Backlog'!$M10 / MAX(1, 'ProductSprint Backlog'!$L10-'ProductSprint Backlog'!$K10), AND('ProductSprint Backlog'!$L10=K$2,'ProductSprint Backlog'!$K10=K$2), 'ProductSprint Backlog'!$M10, TRUE, 0)</f>
        <v>0</v>
      </c>
      <c r="L10" s="4" cm="1">
        <f t="array" ref="L10">_xlfn.IFS('ProductSprint Backlog'!$M10="", "", AND('ProductSprint Backlog'!$L10&gt;L$2,'ProductSprint Backlog'!$K10&lt;=L$2), 'ProductSprint Backlog'!$M10 / MAX(1, 'ProductSprint Backlog'!$L10-'ProductSprint Backlog'!$K10), AND('ProductSprint Backlog'!$L10=L$2,'ProductSprint Backlog'!$K10=L$2), 'ProductSprint Backlog'!$M10, TRUE, 0)</f>
        <v>0</v>
      </c>
      <c r="M10" s="4" cm="1">
        <f t="array" ref="M10">_xlfn.IFS('ProductSprint Backlog'!$M10="", "", AND('ProductSprint Backlog'!$L10&gt;M$2,'ProductSprint Backlog'!$K10&lt;=M$2), 'ProductSprint Backlog'!$M10 / MAX(1, 'ProductSprint Backlog'!$L10-'ProductSprint Backlog'!$K10), AND('ProductSprint Backlog'!$L10=M$2,'ProductSprint Backlog'!$K10=M$2), 'ProductSprint Backlog'!$M10, TRUE, 0)</f>
        <v>0</v>
      </c>
      <c r="N10" s="4" cm="1">
        <f t="array" ref="N10">_xlfn.IFS('ProductSprint Backlog'!$M10="", "", AND('ProductSprint Backlog'!$L10&gt;N$2,'ProductSprint Backlog'!$K10&lt;=N$2), 'ProductSprint Backlog'!$M10 / MAX(1, 'ProductSprint Backlog'!$L10-'ProductSprint Backlog'!$K10), AND('ProductSprint Backlog'!$L10=N$2,'ProductSprint Backlog'!$K10=N$2), 'ProductSprint Backlog'!$M10, TRUE, 0)</f>
        <v>0</v>
      </c>
      <c r="O10" s="4" cm="1">
        <f t="array" ref="O10">_xlfn.IFS('ProductSprint Backlog'!$M10="", "", AND('ProductSprint Backlog'!$L10&gt;O$2,'ProductSprint Backlog'!$K10&lt;=O$2), 'ProductSprint Backlog'!$M10 / MAX(1, 'ProductSprint Backlog'!$L10-'ProductSprint Backlog'!$K10), AND('ProductSprint Backlog'!$L10=O$2,'ProductSprint Backlog'!$K10=O$2), 'ProductSprint Backlog'!$M10, TRUE, 0)</f>
        <v>0</v>
      </c>
      <c r="P10" s="4" cm="1">
        <f t="array" ref="P10">_xlfn.IFS('ProductSprint Backlog'!$M10="", "", AND('ProductSprint Backlog'!$L10&gt;P$2,'ProductSprint Backlog'!$K10&lt;=P$2), 'ProductSprint Backlog'!$M10 / MAX(1, 'ProductSprint Backlog'!$L10-'ProductSprint Backlog'!$K10), AND('ProductSprint Backlog'!$L10=P$2,'ProductSprint Backlog'!$K10=P$2), 'ProductSprint Backlog'!$M10, TRUE, 0)</f>
        <v>0</v>
      </c>
      <c r="R10" s="4">
        <f>SUM(P:P)</f>
        <v>0</v>
      </c>
    </row>
    <row r="11" spans="2:18" x14ac:dyDescent="0.2">
      <c r="B11" s="4" cm="1">
        <f t="array" ref="B11">_xlfn.IFS('ProductSprint Backlog'!$M11="", "", AND('ProductSprint Backlog'!$L11&gt;B$2,'ProductSprint Backlog'!$K11&lt;=B$2), 'ProductSprint Backlog'!$M11 / MAX(1, 'ProductSprint Backlog'!$L11-'ProductSprint Backlog'!$K11), AND('ProductSprint Backlog'!$L11=B$2,'ProductSprint Backlog'!$K11=B$2), 'ProductSprint Backlog'!$M11, TRUE, 0)</f>
        <v>0</v>
      </c>
      <c r="C11" s="4" cm="1">
        <f t="array" ref="C11">_xlfn.IFS('ProductSprint Backlog'!$M11="", "", AND('ProductSprint Backlog'!$L11&gt;C$2,'ProductSprint Backlog'!$K11&lt;=C$2), 'ProductSprint Backlog'!$M11 / MAX(1, 'ProductSprint Backlog'!$L11-'ProductSprint Backlog'!$K11), AND('ProductSprint Backlog'!$L11=C$2,'ProductSprint Backlog'!$K11=C$2), 'ProductSprint Backlog'!$M11, TRUE, 0)</f>
        <v>0</v>
      </c>
      <c r="D11" s="4" cm="1">
        <f t="array" ref="D11">_xlfn.IFS('ProductSprint Backlog'!$M11="", "", AND('ProductSprint Backlog'!$L11&gt;D$2,'ProductSprint Backlog'!$K11&lt;=D$2), 'ProductSprint Backlog'!$M11 / MAX(1, 'ProductSprint Backlog'!$L11-'ProductSprint Backlog'!$K11), AND('ProductSprint Backlog'!$L11=D$2,'ProductSprint Backlog'!$K11=D$2), 'ProductSprint Backlog'!$M11, TRUE, 0)</f>
        <v>0</v>
      </c>
      <c r="E11" s="4" cm="1">
        <f t="array" ref="E11">_xlfn.IFS('ProductSprint Backlog'!$M11="", "", AND('ProductSprint Backlog'!$L11&gt;E$2,'ProductSprint Backlog'!$K11&lt;=E$2), 'ProductSprint Backlog'!$M11 / MAX(1, 'ProductSprint Backlog'!$L11-'ProductSprint Backlog'!$K11), AND('ProductSprint Backlog'!$L11=E$2,'ProductSprint Backlog'!$K11=E$2), 'ProductSprint Backlog'!$M11, TRUE, 0)</f>
        <v>0</v>
      </c>
      <c r="F11" s="4" cm="1">
        <f t="array" ref="F11">_xlfn.IFS('ProductSprint Backlog'!$M11="", "", AND('ProductSprint Backlog'!$L11&gt;F$2,'ProductSprint Backlog'!$K11&lt;=F$2), 'ProductSprint Backlog'!$M11 / MAX(1, 'ProductSprint Backlog'!$L11-'ProductSprint Backlog'!$K11), AND('ProductSprint Backlog'!$L11=F$2,'ProductSprint Backlog'!$K11=F$2), 'ProductSprint Backlog'!$M11, TRUE, 0)</f>
        <v>0</v>
      </c>
      <c r="G11" s="4" cm="1">
        <f t="array" ref="G11">_xlfn.IFS('ProductSprint Backlog'!$M11="", "", AND('ProductSprint Backlog'!$L11&gt;G$2,'ProductSprint Backlog'!$K11&lt;=G$2), 'ProductSprint Backlog'!$M11 / MAX(1, 'ProductSprint Backlog'!$L11-'ProductSprint Backlog'!$K11), AND('ProductSprint Backlog'!$L11=G$2,'ProductSprint Backlog'!$K11=G$2), 'ProductSprint Backlog'!$M11, TRUE, 0)</f>
        <v>0</v>
      </c>
      <c r="H11" s="4" cm="1">
        <f t="array" ref="H11">_xlfn.IFS('ProductSprint Backlog'!$M11="", "", AND('ProductSprint Backlog'!$L11&gt;H$2,'ProductSprint Backlog'!$K11&lt;=H$2), 'ProductSprint Backlog'!$M11 / MAX(1, 'ProductSprint Backlog'!$L11-'ProductSprint Backlog'!$K11), AND('ProductSprint Backlog'!$L11=H$2,'ProductSprint Backlog'!$K11=H$2), 'ProductSprint Backlog'!$M11, TRUE, 0)</f>
        <v>0</v>
      </c>
      <c r="I11" s="4" cm="1">
        <f t="array" ref="I11">_xlfn.IFS('ProductSprint Backlog'!$M11="", "", AND('ProductSprint Backlog'!$L11&gt;I$2,'ProductSprint Backlog'!$K11&lt;=I$2), 'ProductSprint Backlog'!$M11 / MAX(1, 'ProductSprint Backlog'!$L11-'ProductSprint Backlog'!$K11), AND('ProductSprint Backlog'!$L11=I$2,'ProductSprint Backlog'!$K11=I$2), 'ProductSprint Backlog'!$M11, TRUE, 0)</f>
        <v>3</v>
      </c>
      <c r="J11" s="4" cm="1">
        <f t="array" ref="J11">_xlfn.IFS('ProductSprint Backlog'!$M11="", "", AND('ProductSprint Backlog'!$L11&gt;J$2,'ProductSprint Backlog'!$K11&lt;=J$2), 'ProductSprint Backlog'!$M11 / MAX(1, 'ProductSprint Backlog'!$L11-'ProductSprint Backlog'!$K11), AND('ProductSprint Backlog'!$L11=J$2,'ProductSprint Backlog'!$K11=J$2), 'ProductSprint Backlog'!$M11, TRUE, 0)</f>
        <v>0</v>
      </c>
      <c r="K11" s="4" cm="1">
        <f t="array" ref="K11">_xlfn.IFS('ProductSprint Backlog'!$M11="", "", AND('ProductSprint Backlog'!$L11&gt;K$2,'ProductSprint Backlog'!$K11&lt;=K$2), 'ProductSprint Backlog'!$M11 / MAX(1, 'ProductSprint Backlog'!$L11-'ProductSprint Backlog'!$K11), AND('ProductSprint Backlog'!$L11=K$2,'ProductSprint Backlog'!$K11=K$2), 'ProductSprint Backlog'!$M11, TRUE, 0)</f>
        <v>0</v>
      </c>
      <c r="L11" s="4" cm="1">
        <f t="array" ref="L11">_xlfn.IFS('ProductSprint Backlog'!$M11="", "", AND('ProductSprint Backlog'!$L11&gt;L$2,'ProductSprint Backlog'!$K11&lt;=L$2), 'ProductSprint Backlog'!$M11 / MAX(1, 'ProductSprint Backlog'!$L11-'ProductSprint Backlog'!$K11), AND('ProductSprint Backlog'!$L11=L$2,'ProductSprint Backlog'!$K11=L$2), 'ProductSprint Backlog'!$M11, TRUE, 0)</f>
        <v>0</v>
      </c>
      <c r="M11" s="4" cm="1">
        <f t="array" ref="M11">_xlfn.IFS('ProductSprint Backlog'!$M11="", "", AND('ProductSprint Backlog'!$L11&gt;M$2,'ProductSprint Backlog'!$K11&lt;=M$2), 'ProductSprint Backlog'!$M11 / MAX(1, 'ProductSprint Backlog'!$L11-'ProductSprint Backlog'!$K11), AND('ProductSprint Backlog'!$L11=M$2,'ProductSprint Backlog'!$K11=M$2), 'ProductSprint Backlog'!$M11, TRUE, 0)</f>
        <v>0</v>
      </c>
      <c r="N11" s="4" cm="1">
        <f t="array" ref="N11">_xlfn.IFS('ProductSprint Backlog'!$M11="", "", AND('ProductSprint Backlog'!$L11&gt;N$2,'ProductSprint Backlog'!$K11&lt;=N$2), 'ProductSprint Backlog'!$M11 / MAX(1, 'ProductSprint Backlog'!$L11-'ProductSprint Backlog'!$K11), AND('ProductSprint Backlog'!$L11=N$2,'ProductSprint Backlog'!$K11=N$2), 'ProductSprint Backlog'!$M11, TRUE, 0)</f>
        <v>0</v>
      </c>
      <c r="O11" s="4" cm="1">
        <f t="array" ref="O11">_xlfn.IFS('ProductSprint Backlog'!$M11="", "", AND('ProductSprint Backlog'!$L11&gt;O$2,'ProductSprint Backlog'!$K11&lt;=O$2), 'ProductSprint Backlog'!$M11 / MAX(1, 'ProductSprint Backlog'!$L11-'ProductSprint Backlog'!$K11), AND('ProductSprint Backlog'!$L11=O$2,'ProductSprint Backlog'!$K11=O$2), 'ProductSprint Backlog'!$M11, TRUE, 0)</f>
        <v>0</v>
      </c>
      <c r="P11" s="4" cm="1">
        <f t="array" ref="P11">_xlfn.IFS('ProductSprint Backlog'!$M11="", "", AND('ProductSprint Backlog'!$L11&gt;P$2,'ProductSprint Backlog'!$K11&lt;=P$2), 'ProductSprint Backlog'!$M11 / MAX(1, 'ProductSprint Backlog'!$L11-'ProductSprint Backlog'!$K11), AND('ProductSprint Backlog'!$L11=P$2,'ProductSprint Backlog'!$K11=P$2), 'ProductSprint Backlog'!$M11, TRUE, 0)</f>
        <v>0</v>
      </c>
    </row>
    <row r="12" spans="2:18" x14ac:dyDescent="0.2">
      <c r="B12" s="4" cm="1">
        <f t="array" ref="B12">_xlfn.IFS('ProductSprint Backlog'!$M12="", "", AND('ProductSprint Backlog'!$L12&gt;B$2,'ProductSprint Backlog'!$K12&lt;=B$2), 'ProductSprint Backlog'!$M12 / MAX(1, 'ProductSprint Backlog'!$L12-'ProductSprint Backlog'!$K12), AND('ProductSprint Backlog'!$L12=B$2,'ProductSprint Backlog'!$K12=B$2), 'ProductSprint Backlog'!$M12, TRUE, 0)</f>
        <v>0</v>
      </c>
      <c r="C12" s="4" cm="1">
        <f t="array" ref="C12">_xlfn.IFS('ProductSprint Backlog'!$M12="", "", AND('ProductSprint Backlog'!$L12&gt;C$2,'ProductSprint Backlog'!$K12&lt;=C$2), 'ProductSprint Backlog'!$M12 / MAX(1, 'ProductSprint Backlog'!$L12-'ProductSprint Backlog'!$K12), AND('ProductSprint Backlog'!$L12=C$2,'ProductSprint Backlog'!$K12=C$2), 'ProductSprint Backlog'!$M12, TRUE, 0)</f>
        <v>0</v>
      </c>
      <c r="D12" s="4" cm="1">
        <f t="array" ref="D12">_xlfn.IFS('ProductSprint Backlog'!$M12="", "", AND('ProductSprint Backlog'!$L12&gt;D$2,'ProductSprint Backlog'!$K12&lt;=D$2), 'ProductSprint Backlog'!$M12 / MAX(1, 'ProductSprint Backlog'!$L12-'ProductSprint Backlog'!$K12), AND('ProductSprint Backlog'!$L12=D$2,'ProductSprint Backlog'!$K12=D$2), 'ProductSprint Backlog'!$M12, TRUE, 0)</f>
        <v>0</v>
      </c>
      <c r="E12" s="4" cm="1">
        <f t="array" ref="E12">_xlfn.IFS('ProductSprint Backlog'!$M12="", "", AND('ProductSprint Backlog'!$L12&gt;E$2,'ProductSprint Backlog'!$K12&lt;=E$2), 'ProductSprint Backlog'!$M12 / MAX(1, 'ProductSprint Backlog'!$L12-'ProductSprint Backlog'!$K12), AND('ProductSprint Backlog'!$L12=E$2,'ProductSprint Backlog'!$K12=E$2), 'ProductSprint Backlog'!$M12, TRUE, 0)</f>
        <v>0</v>
      </c>
      <c r="F12" s="4" cm="1">
        <f t="array" ref="F12">_xlfn.IFS('ProductSprint Backlog'!$M12="", "", AND('ProductSprint Backlog'!$L12&gt;F$2,'ProductSprint Backlog'!$K12&lt;=F$2), 'ProductSprint Backlog'!$M12 / MAX(1, 'ProductSprint Backlog'!$L12-'ProductSprint Backlog'!$K12), AND('ProductSprint Backlog'!$L12=F$2,'ProductSprint Backlog'!$K12=F$2), 'ProductSprint Backlog'!$M12, TRUE, 0)</f>
        <v>0</v>
      </c>
      <c r="G12" s="4" cm="1">
        <f t="array" ref="G12">_xlfn.IFS('ProductSprint Backlog'!$M12="", "", AND('ProductSprint Backlog'!$L12&gt;G$2,'ProductSprint Backlog'!$K12&lt;=G$2), 'ProductSprint Backlog'!$M12 / MAX(1, 'ProductSprint Backlog'!$L12-'ProductSprint Backlog'!$K12), AND('ProductSprint Backlog'!$L12=G$2,'ProductSprint Backlog'!$K12=G$2), 'ProductSprint Backlog'!$M12, TRUE, 0)</f>
        <v>0</v>
      </c>
      <c r="H12" s="4" cm="1">
        <f t="array" ref="H12">_xlfn.IFS('ProductSprint Backlog'!$M12="", "", AND('ProductSprint Backlog'!$L12&gt;H$2,'ProductSprint Backlog'!$K12&lt;=H$2), 'ProductSprint Backlog'!$M12 / MAX(1, 'ProductSprint Backlog'!$L12-'ProductSprint Backlog'!$K12), AND('ProductSprint Backlog'!$L12=H$2,'ProductSprint Backlog'!$K12=H$2), 'ProductSprint Backlog'!$M12, TRUE, 0)</f>
        <v>0</v>
      </c>
      <c r="I12" s="4" cm="1">
        <f t="array" ref="I12">_xlfn.IFS('ProductSprint Backlog'!$M12="", "", AND('ProductSprint Backlog'!$L12&gt;I$2,'ProductSprint Backlog'!$K12&lt;=I$2), 'ProductSprint Backlog'!$M12 / MAX(1, 'ProductSprint Backlog'!$L12-'ProductSprint Backlog'!$K12), AND('ProductSprint Backlog'!$L12=I$2,'ProductSprint Backlog'!$K12=I$2), 'ProductSprint Backlog'!$M12, TRUE, 0)</f>
        <v>0</v>
      </c>
      <c r="J12" s="4" cm="1">
        <f t="array" ref="J12">_xlfn.IFS('ProductSprint Backlog'!$M12="", "", AND('ProductSprint Backlog'!$L12&gt;J$2,'ProductSprint Backlog'!$K12&lt;=J$2), 'ProductSprint Backlog'!$M12 / MAX(1, 'ProductSprint Backlog'!$L12-'ProductSprint Backlog'!$K12), AND('ProductSprint Backlog'!$L12=J$2,'ProductSprint Backlog'!$K12=J$2), 'ProductSprint Backlog'!$M12, TRUE, 0)</f>
        <v>2</v>
      </c>
      <c r="K12" s="4" cm="1">
        <f t="array" ref="K12">_xlfn.IFS('ProductSprint Backlog'!$M12="", "", AND('ProductSprint Backlog'!$L12&gt;K$2,'ProductSprint Backlog'!$K12&lt;=K$2), 'ProductSprint Backlog'!$M12 / MAX(1, 'ProductSprint Backlog'!$L12-'ProductSprint Backlog'!$K12), AND('ProductSprint Backlog'!$L12=K$2,'ProductSprint Backlog'!$K12=K$2), 'ProductSprint Backlog'!$M12, TRUE, 0)</f>
        <v>0</v>
      </c>
      <c r="L12" s="4" cm="1">
        <f t="array" ref="L12">_xlfn.IFS('ProductSprint Backlog'!$M12="", "", AND('ProductSprint Backlog'!$L12&gt;L$2,'ProductSprint Backlog'!$K12&lt;=L$2), 'ProductSprint Backlog'!$M12 / MAX(1, 'ProductSprint Backlog'!$L12-'ProductSprint Backlog'!$K12), AND('ProductSprint Backlog'!$L12=L$2,'ProductSprint Backlog'!$K12=L$2), 'ProductSprint Backlog'!$M12, TRUE, 0)</f>
        <v>0</v>
      </c>
      <c r="M12" s="4" cm="1">
        <f t="array" ref="M12">_xlfn.IFS('ProductSprint Backlog'!$M12="", "", AND('ProductSprint Backlog'!$L12&gt;M$2,'ProductSprint Backlog'!$K12&lt;=M$2), 'ProductSprint Backlog'!$M12 / MAX(1, 'ProductSprint Backlog'!$L12-'ProductSprint Backlog'!$K12), AND('ProductSprint Backlog'!$L12=M$2,'ProductSprint Backlog'!$K12=M$2), 'ProductSprint Backlog'!$M12, TRUE, 0)</f>
        <v>0</v>
      </c>
      <c r="N12" s="4" cm="1">
        <f t="array" ref="N12">_xlfn.IFS('ProductSprint Backlog'!$M12="", "", AND('ProductSprint Backlog'!$L12&gt;N$2,'ProductSprint Backlog'!$K12&lt;=N$2), 'ProductSprint Backlog'!$M12 / MAX(1, 'ProductSprint Backlog'!$L12-'ProductSprint Backlog'!$K12), AND('ProductSprint Backlog'!$L12=N$2,'ProductSprint Backlog'!$K12=N$2), 'ProductSprint Backlog'!$M12, TRUE, 0)</f>
        <v>0</v>
      </c>
      <c r="O12" s="4" cm="1">
        <f t="array" ref="O12">_xlfn.IFS('ProductSprint Backlog'!$M12="", "", AND('ProductSprint Backlog'!$L12&gt;O$2,'ProductSprint Backlog'!$K12&lt;=O$2), 'ProductSprint Backlog'!$M12 / MAX(1, 'ProductSprint Backlog'!$L12-'ProductSprint Backlog'!$K12), AND('ProductSprint Backlog'!$L12=O$2,'ProductSprint Backlog'!$K12=O$2), 'ProductSprint Backlog'!$M12, TRUE, 0)</f>
        <v>0</v>
      </c>
      <c r="P12" s="4" cm="1">
        <f t="array" ref="P12">_xlfn.IFS('ProductSprint Backlog'!$M12="", "", AND('ProductSprint Backlog'!$L12&gt;P$2,'ProductSprint Backlog'!$K12&lt;=P$2), 'ProductSprint Backlog'!$M12 / MAX(1, 'ProductSprint Backlog'!$L12-'ProductSprint Backlog'!$K12), AND('ProductSprint Backlog'!$L12=P$2,'ProductSprint Backlog'!$K12=P$2), 'ProductSprint Backlog'!$M12, TRUE, 0)</f>
        <v>0</v>
      </c>
    </row>
    <row r="13" spans="2:18" x14ac:dyDescent="0.2">
      <c r="B13" s="4" t="str" cm="1">
        <f t="array" ref="B13">_xlfn.IFS('ProductSprint Backlog'!$M13="", "", AND('ProductSprint Backlog'!$L13&gt;B$2,'ProductSprint Backlog'!$K13&lt;=B$2), 'ProductSprint Backlog'!$M13 / MAX(1, 'ProductSprint Backlog'!$L13-'ProductSprint Backlog'!$K13), AND('ProductSprint Backlog'!$L13=B$2,'ProductSprint Backlog'!$K13=B$2), 'ProductSprint Backlog'!$M13, TRUE, 0)</f>
        <v/>
      </c>
      <c r="C13" s="4" t="str" cm="1">
        <f t="array" ref="C13">_xlfn.IFS('ProductSprint Backlog'!$M13="", "", AND('ProductSprint Backlog'!$L13&gt;C$2,'ProductSprint Backlog'!$K13&lt;=C$2), 'ProductSprint Backlog'!$M13 / MAX(1, 'ProductSprint Backlog'!$L13-'ProductSprint Backlog'!$K13), AND('ProductSprint Backlog'!$L13=C$2,'ProductSprint Backlog'!$K13=C$2), 'ProductSprint Backlog'!$M13, TRUE, 0)</f>
        <v/>
      </c>
      <c r="D13" s="4" t="str" cm="1">
        <f t="array" ref="D13">_xlfn.IFS('ProductSprint Backlog'!$M13="", "", AND('ProductSprint Backlog'!$L13&gt;D$2,'ProductSprint Backlog'!$K13&lt;=D$2), 'ProductSprint Backlog'!$M13 / MAX(1, 'ProductSprint Backlog'!$L13-'ProductSprint Backlog'!$K13), AND('ProductSprint Backlog'!$L13=D$2,'ProductSprint Backlog'!$K13=D$2), 'ProductSprint Backlog'!$M13, TRUE, 0)</f>
        <v/>
      </c>
      <c r="E13" s="4" t="str" cm="1">
        <f t="array" ref="E13">_xlfn.IFS('ProductSprint Backlog'!$M13="", "", AND('ProductSprint Backlog'!$L13&gt;E$2,'ProductSprint Backlog'!$K13&lt;=E$2), 'ProductSprint Backlog'!$M13 / MAX(1, 'ProductSprint Backlog'!$L13-'ProductSprint Backlog'!$K13), AND('ProductSprint Backlog'!$L13=E$2,'ProductSprint Backlog'!$K13=E$2), 'ProductSprint Backlog'!$M13, TRUE, 0)</f>
        <v/>
      </c>
      <c r="F13" s="4" t="str" cm="1">
        <f t="array" ref="F13">_xlfn.IFS('ProductSprint Backlog'!$M13="", "", AND('ProductSprint Backlog'!$L13&gt;F$2,'ProductSprint Backlog'!$K13&lt;=F$2), 'ProductSprint Backlog'!$M13 / MAX(1, 'ProductSprint Backlog'!$L13-'ProductSprint Backlog'!$K13), AND('ProductSprint Backlog'!$L13=F$2,'ProductSprint Backlog'!$K13=F$2), 'ProductSprint Backlog'!$M13, TRUE, 0)</f>
        <v/>
      </c>
      <c r="G13" s="4" t="str" cm="1">
        <f t="array" ref="G13">_xlfn.IFS('ProductSprint Backlog'!$M13="", "", AND('ProductSprint Backlog'!$L13&gt;G$2,'ProductSprint Backlog'!$K13&lt;=G$2), 'ProductSprint Backlog'!$M13 / MAX(1, 'ProductSprint Backlog'!$L13-'ProductSprint Backlog'!$K13), AND('ProductSprint Backlog'!$L13=G$2,'ProductSprint Backlog'!$K13=G$2), 'ProductSprint Backlog'!$M13, TRUE, 0)</f>
        <v/>
      </c>
      <c r="H13" s="4" t="str" cm="1">
        <f t="array" ref="H13">_xlfn.IFS('ProductSprint Backlog'!$M13="", "", AND('ProductSprint Backlog'!$L13&gt;H$2,'ProductSprint Backlog'!$K13&lt;=H$2), 'ProductSprint Backlog'!$M13 / MAX(1, 'ProductSprint Backlog'!$L13-'ProductSprint Backlog'!$K13), AND('ProductSprint Backlog'!$L13=H$2,'ProductSprint Backlog'!$K13=H$2), 'ProductSprint Backlog'!$M13, TRUE, 0)</f>
        <v/>
      </c>
      <c r="I13" s="4" t="str" cm="1">
        <f t="array" ref="I13">_xlfn.IFS('ProductSprint Backlog'!$M13="", "", AND('ProductSprint Backlog'!$L13&gt;I$2,'ProductSprint Backlog'!$K13&lt;=I$2), 'ProductSprint Backlog'!$M13 / MAX(1, 'ProductSprint Backlog'!$L13-'ProductSprint Backlog'!$K13), AND('ProductSprint Backlog'!$L13=I$2,'ProductSprint Backlog'!$K13=I$2), 'ProductSprint Backlog'!$M13, TRUE, 0)</f>
        <v/>
      </c>
      <c r="J13" s="4" t="str" cm="1">
        <f t="array" ref="J13">_xlfn.IFS('ProductSprint Backlog'!$M13="", "", AND('ProductSprint Backlog'!$L13&gt;J$2,'ProductSprint Backlog'!$K13&lt;=J$2), 'ProductSprint Backlog'!$M13 / MAX(1, 'ProductSprint Backlog'!$L13-'ProductSprint Backlog'!$K13), AND('ProductSprint Backlog'!$L13=J$2,'ProductSprint Backlog'!$K13=J$2), 'ProductSprint Backlog'!$M13, TRUE, 0)</f>
        <v/>
      </c>
      <c r="K13" s="4" t="str" cm="1">
        <f t="array" ref="K13">_xlfn.IFS('ProductSprint Backlog'!$M13="", "", AND('ProductSprint Backlog'!$L13&gt;K$2,'ProductSprint Backlog'!$K13&lt;=K$2), 'ProductSprint Backlog'!$M13 / MAX(1, 'ProductSprint Backlog'!$L13-'ProductSprint Backlog'!$K13), AND('ProductSprint Backlog'!$L13=K$2,'ProductSprint Backlog'!$K13=K$2), 'ProductSprint Backlog'!$M13, TRUE, 0)</f>
        <v/>
      </c>
      <c r="L13" s="4" t="str" cm="1">
        <f t="array" ref="L13">_xlfn.IFS('ProductSprint Backlog'!$M13="", "", AND('ProductSprint Backlog'!$L13&gt;L$2,'ProductSprint Backlog'!$K13&lt;=L$2), 'ProductSprint Backlog'!$M13 / MAX(1, 'ProductSprint Backlog'!$L13-'ProductSprint Backlog'!$K13), AND('ProductSprint Backlog'!$L13=L$2,'ProductSprint Backlog'!$K13=L$2), 'ProductSprint Backlog'!$M13, TRUE, 0)</f>
        <v/>
      </c>
      <c r="M13" s="4" t="str" cm="1">
        <f t="array" ref="M13">_xlfn.IFS('ProductSprint Backlog'!$M13="", "", AND('ProductSprint Backlog'!$L13&gt;M$2,'ProductSprint Backlog'!$K13&lt;=M$2), 'ProductSprint Backlog'!$M13 / MAX(1, 'ProductSprint Backlog'!$L13-'ProductSprint Backlog'!$K13), AND('ProductSprint Backlog'!$L13=M$2,'ProductSprint Backlog'!$K13=M$2), 'ProductSprint Backlog'!$M13, TRUE, 0)</f>
        <v/>
      </c>
      <c r="N13" s="4" t="str" cm="1">
        <f t="array" ref="N13">_xlfn.IFS('ProductSprint Backlog'!$M13="", "", AND('ProductSprint Backlog'!$L13&gt;N$2,'ProductSprint Backlog'!$K13&lt;=N$2), 'ProductSprint Backlog'!$M13 / MAX(1, 'ProductSprint Backlog'!$L13-'ProductSprint Backlog'!$K13), AND('ProductSprint Backlog'!$L13=N$2,'ProductSprint Backlog'!$K13=N$2), 'ProductSprint Backlog'!$M13, TRUE, 0)</f>
        <v/>
      </c>
      <c r="O13" s="4" t="str" cm="1">
        <f t="array" ref="O13">_xlfn.IFS('ProductSprint Backlog'!$M13="", "", AND('ProductSprint Backlog'!$L13&gt;O$2,'ProductSprint Backlog'!$K13&lt;=O$2), 'ProductSprint Backlog'!$M13 / MAX(1, 'ProductSprint Backlog'!$L13-'ProductSprint Backlog'!$K13), AND('ProductSprint Backlog'!$L13=O$2,'ProductSprint Backlog'!$K13=O$2), 'ProductSprint Backlog'!$M13, TRUE, 0)</f>
        <v/>
      </c>
      <c r="P13" s="4" t="str" cm="1">
        <f t="array" ref="P13">_xlfn.IFS('ProductSprint Backlog'!$M13="", "", AND('ProductSprint Backlog'!$L13&gt;P$2,'ProductSprint Backlog'!$K13&lt;=P$2), 'ProductSprint Backlog'!$M13 / MAX(1, 'ProductSprint Backlog'!$L13-'ProductSprint Backlog'!$K13), AND('ProductSprint Backlog'!$L13=P$2,'ProductSprint Backlog'!$K13=P$2), 'ProductSprint Backlog'!$M13, TRUE, 0)</f>
        <v/>
      </c>
    </row>
    <row r="14" spans="2:18" x14ac:dyDescent="0.2">
      <c r="B14" s="4" cm="1">
        <f t="array" ref="B14">_xlfn.IFS('ProductSprint Backlog'!$M14="", "", AND('ProductSprint Backlog'!$L14&gt;B$2,'ProductSprint Backlog'!$K14&lt;=B$2), 'ProductSprint Backlog'!$M14 / MAX(1, 'ProductSprint Backlog'!$L14-'ProductSprint Backlog'!$K14), AND('ProductSprint Backlog'!$L14=B$2,'ProductSprint Backlog'!$K14=B$2), 'ProductSprint Backlog'!$M14, TRUE, 0)</f>
        <v>0</v>
      </c>
      <c r="C14" s="4" cm="1">
        <f t="array" ref="C14">_xlfn.IFS('ProductSprint Backlog'!$M14="", "", AND('ProductSprint Backlog'!$L14&gt;C$2,'ProductSprint Backlog'!$K14&lt;=C$2), 'ProductSprint Backlog'!$M14 / MAX(1, 'ProductSprint Backlog'!$L14-'ProductSprint Backlog'!$K14), AND('ProductSprint Backlog'!$L14=C$2,'ProductSprint Backlog'!$K14=C$2), 'ProductSprint Backlog'!$M14, TRUE, 0)</f>
        <v>0</v>
      </c>
      <c r="D14" s="4" cm="1">
        <f t="array" ref="D14">_xlfn.IFS('ProductSprint Backlog'!$M14="", "", AND('ProductSprint Backlog'!$L14&gt;D$2,'ProductSprint Backlog'!$K14&lt;=D$2), 'ProductSprint Backlog'!$M14 / MAX(1, 'ProductSprint Backlog'!$L14-'ProductSprint Backlog'!$K14), AND('ProductSprint Backlog'!$L14=D$2,'ProductSprint Backlog'!$K14=D$2), 'ProductSprint Backlog'!$M14, TRUE, 0)</f>
        <v>0</v>
      </c>
      <c r="E14" s="4" cm="1">
        <f t="array" ref="E14">_xlfn.IFS('ProductSprint Backlog'!$M14="", "", AND('ProductSprint Backlog'!$L14&gt;E$2,'ProductSprint Backlog'!$K14&lt;=E$2), 'ProductSprint Backlog'!$M14 / MAX(1, 'ProductSprint Backlog'!$L14-'ProductSprint Backlog'!$K14), AND('ProductSprint Backlog'!$L14=E$2,'ProductSprint Backlog'!$K14=E$2), 'ProductSprint Backlog'!$M14, TRUE, 0)</f>
        <v>0</v>
      </c>
      <c r="F14" s="4" cm="1">
        <f t="array" ref="F14">_xlfn.IFS('ProductSprint Backlog'!$M14="", "", AND('ProductSprint Backlog'!$L14&gt;F$2,'ProductSprint Backlog'!$K14&lt;=F$2), 'ProductSprint Backlog'!$M14 / MAX(1, 'ProductSprint Backlog'!$L14-'ProductSprint Backlog'!$K14), AND('ProductSprint Backlog'!$L14=F$2,'ProductSprint Backlog'!$K14=F$2), 'ProductSprint Backlog'!$M14, TRUE, 0)</f>
        <v>0</v>
      </c>
      <c r="G14" s="4" cm="1">
        <f t="array" ref="G14">_xlfn.IFS('ProductSprint Backlog'!$M14="", "", AND('ProductSprint Backlog'!$L14&gt;G$2,'ProductSprint Backlog'!$K14&lt;=G$2), 'ProductSprint Backlog'!$M14 / MAX(1, 'ProductSprint Backlog'!$L14-'ProductSprint Backlog'!$K14), AND('ProductSprint Backlog'!$L14=G$2,'ProductSprint Backlog'!$K14=G$2), 'ProductSprint Backlog'!$M14, TRUE, 0)</f>
        <v>0</v>
      </c>
      <c r="H14" s="4" cm="1">
        <f t="array" ref="H14">_xlfn.IFS('ProductSprint Backlog'!$M14="", "", AND('ProductSprint Backlog'!$L14&gt;H$2,'ProductSprint Backlog'!$K14&lt;=H$2), 'ProductSprint Backlog'!$M14 / MAX(1, 'ProductSprint Backlog'!$L14-'ProductSprint Backlog'!$K14), AND('ProductSprint Backlog'!$L14=H$2,'ProductSprint Backlog'!$K14=H$2), 'ProductSprint Backlog'!$M14, TRUE, 0)</f>
        <v>0</v>
      </c>
      <c r="I14" s="4" cm="1">
        <f t="array" ref="I14">_xlfn.IFS('ProductSprint Backlog'!$M14="", "", AND('ProductSprint Backlog'!$L14&gt;I$2,'ProductSprint Backlog'!$K14&lt;=I$2), 'ProductSprint Backlog'!$M14 / MAX(1, 'ProductSprint Backlog'!$L14-'ProductSprint Backlog'!$K14), AND('ProductSprint Backlog'!$L14=I$2,'ProductSprint Backlog'!$K14=I$2), 'ProductSprint Backlog'!$M14, TRUE, 0)</f>
        <v>0</v>
      </c>
      <c r="J14" s="4" cm="1">
        <f t="array" ref="J14">_xlfn.IFS('ProductSprint Backlog'!$M14="", "", AND('ProductSprint Backlog'!$L14&gt;J$2,'ProductSprint Backlog'!$K14&lt;=J$2), 'ProductSprint Backlog'!$M14 / MAX(1, 'ProductSprint Backlog'!$L14-'ProductSprint Backlog'!$K14), AND('ProductSprint Backlog'!$L14=J$2,'ProductSprint Backlog'!$K14=J$2), 'ProductSprint Backlog'!$M14, TRUE, 0)</f>
        <v>0</v>
      </c>
      <c r="K14" s="4" cm="1">
        <f t="array" ref="K14">_xlfn.IFS('ProductSprint Backlog'!$M14="", "", AND('ProductSprint Backlog'!$L14&gt;K$2,'ProductSprint Backlog'!$K14&lt;=K$2), 'ProductSprint Backlog'!$M14 / MAX(1, 'ProductSprint Backlog'!$L14-'ProductSprint Backlog'!$K14), AND('ProductSprint Backlog'!$L14=K$2,'ProductSprint Backlog'!$K14=K$2), 'ProductSprint Backlog'!$M14, TRUE, 0)</f>
        <v>1</v>
      </c>
      <c r="L14" s="4" cm="1">
        <f t="array" ref="L14">_xlfn.IFS('ProductSprint Backlog'!$M14="", "", AND('ProductSprint Backlog'!$L14&gt;L$2,'ProductSprint Backlog'!$K14&lt;=L$2), 'ProductSprint Backlog'!$M14 / MAX(1, 'ProductSprint Backlog'!$L14-'ProductSprint Backlog'!$K14), AND('ProductSprint Backlog'!$L14=L$2,'ProductSprint Backlog'!$K14=L$2), 'ProductSprint Backlog'!$M14, TRUE, 0)</f>
        <v>0</v>
      </c>
      <c r="M14" s="4" cm="1">
        <f t="array" ref="M14">_xlfn.IFS('ProductSprint Backlog'!$M14="", "", AND('ProductSprint Backlog'!$L14&gt;M$2,'ProductSprint Backlog'!$K14&lt;=M$2), 'ProductSprint Backlog'!$M14 / MAX(1, 'ProductSprint Backlog'!$L14-'ProductSprint Backlog'!$K14), AND('ProductSprint Backlog'!$L14=M$2,'ProductSprint Backlog'!$K14=M$2), 'ProductSprint Backlog'!$M14, TRUE, 0)</f>
        <v>0</v>
      </c>
      <c r="N14" s="4" cm="1">
        <f t="array" ref="N14">_xlfn.IFS('ProductSprint Backlog'!$M14="", "", AND('ProductSprint Backlog'!$L14&gt;N$2,'ProductSprint Backlog'!$K14&lt;=N$2), 'ProductSprint Backlog'!$M14 / MAX(1, 'ProductSprint Backlog'!$L14-'ProductSprint Backlog'!$K14), AND('ProductSprint Backlog'!$L14=N$2,'ProductSprint Backlog'!$K14=N$2), 'ProductSprint Backlog'!$M14, TRUE, 0)</f>
        <v>0</v>
      </c>
      <c r="O14" s="4" cm="1">
        <f t="array" ref="O14">_xlfn.IFS('ProductSprint Backlog'!$M14="", "", AND('ProductSprint Backlog'!$L14&gt;O$2,'ProductSprint Backlog'!$K14&lt;=O$2), 'ProductSprint Backlog'!$M14 / MAX(1, 'ProductSprint Backlog'!$L14-'ProductSprint Backlog'!$K14), AND('ProductSprint Backlog'!$L14=O$2,'ProductSprint Backlog'!$K14=O$2), 'ProductSprint Backlog'!$M14, TRUE, 0)</f>
        <v>0</v>
      </c>
      <c r="P14" s="4" cm="1">
        <f t="array" ref="P14">_xlfn.IFS('ProductSprint Backlog'!$M14="", "", AND('ProductSprint Backlog'!$L14&gt;P$2,'ProductSprint Backlog'!$K14&lt;=P$2), 'ProductSprint Backlog'!$M14 / MAX(1, 'ProductSprint Backlog'!$L14-'ProductSprint Backlog'!$K14), AND('ProductSprint Backlog'!$L14=P$2,'ProductSprint Backlog'!$K14=P$2), 'ProductSprint Backlog'!$M14, TRUE, 0)</f>
        <v>0</v>
      </c>
    </row>
    <row r="15" spans="2:18" x14ac:dyDescent="0.2">
      <c r="B15" s="4" cm="1">
        <f t="array" ref="B15">_xlfn.IFS('ProductSprint Backlog'!$M15="", "", AND('ProductSprint Backlog'!$L15&gt;B$2,'ProductSprint Backlog'!$K15&lt;=B$2), 'ProductSprint Backlog'!$M15 / MAX(1, 'ProductSprint Backlog'!$L15-'ProductSprint Backlog'!$K15), AND('ProductSprint Backlog'!$L15=B$2,'ProductSprint Backlog'!$K15=B$2), 'ProductSprint Backlog'!$M15, TRUE, 0)</f>
        <v>0</v>
      </c>
      <c r="C15" s="4" cm="1">
        <f t="array" ref="C15">_xlfn.IFS('ProductSprint Backlog'!$M15="", "", AND('ProductSprint Backlog'!$L15&gt;C$2,'ProductSprint Backlog'!$K15&lt;=C$2), 'ProductSprint Backlog'!$M15 / MAX(1, 'ProductSprint Backlog'!$L15-'ProductSprint Backlog'!$K15), AND('ProductSprint Backlog'!$L15=C$2,'ProductSprint Backlog'!$K15=C$2), 'ProductSprint Backlog'!$M15, TRUE, 0)</f>
        <v>0</v>
      </c>
      <c r="D15" s="4" cm="1">
        <f t="array" ref="D15">_xlfn.IFS('ProductSprint Backlog'!$M15="", "", AND('ProductSprint Backlog'!$L15&gt;D$2,'ProductSprint Backlog'!$K15&lt;=D$2), 'ProductSprint Backlog'!$M15 / MAX(1, 'ProductSprint Backlog'!$L15-'ProductSprint Backlog'!$K15), AND('ProductSprint Backlog'!$L15=D$2,'ProductSprint Backlog'!$K15=D$2), 'ProductSprint Backlog'!$M15, TRUE, 0)</f>
        <v>0</v>
      </c>
      <c r="E15" s="4" cm="1">
        <f t="array" ref="E15">_xlfn.IFS('ProductSprint Backlog'!$M15="", "", AND('ProductSprint Backlog'!$L15&gt;E$2,'ProductSprint Backlog'!$K15&lt;=E$2), 'ProductSprint Backlog'!$M15 / MAX(1, 'ProductSprint Backlog'!$L15-'ProductSprint Backlog'!$K15), AND('ProductSprint Backlog'!$L15=E$2,'ProductSprint Backlog'!$K15=E$2), 'ProductSprint Backlog'!$M15, TRUE, 0)</f>
        <v>0</v>
      </c>
      <c r="F15" s="4" cm="1">
        <f t="array" ref="F15">_xlfn.IFS('ProductSprint Backlog'!$M15="", "", AND('ProductSprint Backlog'!$L15&gt;F$2,'ProductSprint Backlog'!$K15&lt;=F$2), 'ProductSprint Backlog'!$M15 / MAX(1, 'ProductSprint Backlog'!$L15-'ProductSprint Backlog'!$K15), AND('ProductSprint Backlog'!$L15=F$2,'ProductSprint Backlog'!$K15=F$2), 'ProductSprint Backlog'!$M15, TRUE, 0)</f>
        <v>0</v>
      </c>
      <c r="G15" s="4" cm="1">
        <f t="array" ref="G15">_xlfn.IFS('ProductSprint Backlog'!$M15="", "", AND('ProductSprint Backlog'!$L15&gt;G$2,'ProductSprint Backlog'!$K15&lt;=G$2), 'ProductSprint Backlog'!$M15 / MAX(1, 'ProductSprint Backlog'!$L15-'ProductSprint Backlog'!$K15), AND('ProductSprint Backlog'!$L15=G$2,'ProductSprint Backlog'!$K15=G$2), 'ProductSprint Backlog'!$M15, TRUE, 0)</f>
        <v>0</v>
      </c>
      <c r="H15" s="4" cm="1">
        <f t="array" ref="H15">_xlfn.IFS('ProductSprint Backlog'!$M15="", "", AND('ProductSprint Backlog'!$L15&gt;H$2,'ProductSprint Backlog'!$K15&lt;=H$2), 'ProductSprint Backlog'!$M15 / MAX(1, 'ProductSprint Backlog'!$L15-'ProductSprint Backlog'!$K15), AND('ProductSprint Backlog'!$L15=H$2,'ProductSprint Backlog'!$K15=H$2), 'ProductSprint Backlog'!$M15, TRUE, 0)</f>
        <v>0</v>
      </c>
      <c r="I15" s="4" cm="1">
        <f t="array" ref="I15">_xlfn.IFS('ProductSprint Backlog'!$M15="", "", AND('ProductSprint Backlog'!$L15&gt;I$2,'ProductSprint Backlog'!$K15&lt;=I$2), 'ProductSprint Backlog'!$M15 / MAX(1, 'ProductSprint Backlog'!$L15-'ProductSprint Backlog'!$K15), AND('ProductSprint Backlog'!$L15=I$2,'ProductSprint Backlog'!$K15=I$2), 'ProductSprint Backlog'!$M15, TRUE, 0)</f>
        <v>0</v>
      </c>
      <c r="J15" s="4" cm="1">
        <f t="array" ref="J15">_xlfn.IFS('ProductSprint Backlog'!$M15="", "", AND('ProductSprint Backlog'!$L15&gt;J$2,'ProductSprint Backlog'!$K15&lt;=J$2), 'ProductSprint Backlog'!$M15 / MAX(1, 'ProductSprint Backlog'!$L15-'ProductSprint Backlog'!$K15), AND('ProductSprint Backlog'!$L15=J$2,'ProductSprint Backlog'!$K15=J$2), 'ProductSprint Backlog'!$M15, TRUE, 0)</f>
        <v>0</v>
      </c>
      <c r="K15" s="4" cm="1">
        <f t="array" ref="K15">_xlfn.IFS('ProductSprint Backlog'!$M15="", "", AND('ProductSprint Backlog'!$L15&gt;K$2,'ProductSprint Backlog'!$K15&lt;=K$2), 'ProductSprint Backlog'!$M15 / MAX(1, 'ProductSprint Backlog'!$L15-'ProductSprint Backlog'!$K15), AND('ProductSprint Backlog'!$L15=K$2,'ProductSprint Backlog'!$K15=K$2), 'ProductSprint Backlog'!$M15, TRUE, 0)</f>
        <v>2.25</v>
      </c>
      <c r="L15" s="4" cm="1">
        <f t="array" ref="L15">_xlfn.IFS('ProductSprint Backlog'!$M15="", "", AND('ProductSprint Backlog'!$L15&gt;L$2,'ProductSprint Backlog'!$K15&lt;=L$2), 'ProductSprint Backlog'!$M15 / MAX(1, 'ProductSprint Backlog'!$L15-'ProductSprint Backlog'!$K15), AND('ProductSprint Backlog'!$L15=L$2,'ProductSprint Backlog'!$K15=L$2), 'ProductSprint Backlog'!$M15, TRUE, 0)</f>
        <v>2.25</v>
      </c>
      <c r="M15" s="4" cm="1">
        <f t="array" ref="M15">_xlfn.IFS('ProductSprint Backlog'!$M15="", "", AND('ProductSprint Backlog'!$L15&gt;M$2,'ProductSprint Backlog'!$K15&lt;=M$2), 'ProductSprint Backlog'!$M15 / MAX(1, 'ProductSprint Backlog'!$L15-'ProductSprint Backlog'!$K15), AND('ProductSprint Backlog'!$L15=M$2,'ProductSprint Backlog'!$K15=M$2), 'ProductSprint Backlog'!$M15, TRUE, 0)</f>
        <v>0</v>
      </c>
      <c r="N15" s="4" cm="1">
        <f t="array" ref="N15">_xlfn.IFS('ProductSprint Backlog'!$M15="", "", AND('ProductSprint Backlog'!$L15&gt;N$2,'ProductSprint Backlog'!$K15&lt;=N$2), 'ProductSprint Backlog'!$M15 / MAX(1, 'ProductSprint Backlog'!$L15-'ProductSprint Backlog'!$K15), AND('ProductSprint Backlog'!$L15=N$2,'ProductSprint Backlog'!$K15=N$2), 'ProductSprint Backlog'!$M15, TRUE, 0)</f>
        <v>0</v>
      </c>
      <c r="O15" s="4" cm="1">
        <f t="array" ref="O15">_xlfn.IFS('ProductSprint Backlog'!$M15="", "", AND('ProductSprint Backlog'!$L15&gt;O$2,'ProductSprint Backlog'!$K15&lt;=O$2), 'ProductSprint Backlog'!$M15 / MAX(1, 'ProductSprint Backlog'!$L15-'ProductSprint Backlog'!$K15), AND('ProductSprint Backlog'!$L15=O$2,'ProductSprint Backlog'!$K15=O$2), 'ProductSprint Backlog'!$M15, TRUE, 0)</f>
        <v>0</v>
      </c>
      <c r="P15" s="4" cm="1">
        <f t="array" ref="P15">_xlfn.IFS('ProductSprint Backlog'!$M15="", "", AND('ProductSprint Backlog'!$L15&gt;P$2,'ProductSprint Backlog'!$K15&lt;=P$2), 'ProductSprint Backlog'!$M15 / MAX(1, 'ProductSprint Backlog'!$L15-'ProductSprint Backlog'!$K15), AND('ProductSprint Backlog'!$L15=P$2,'ProductSprint Backlog'!$K15=P$2), 'ProductSprint Backlog'!$M15, TRUE, 0)</f>
        <v>0</v>
      </c>
    </row>
    <row r="16" spans="2:18" x14ac:dyDescent="0.2">
      <c r="B16" s="4" cm="1">
        <f t="array" ref="B16">_xlfn.IFS('ProductSprint Backlog'!$M16="", "", AND('ProductSprint Backlog'!$L16&gt;B$2,'ProductSprint Backlog'!$K16&lt;=B$2), 'ProductSprint Backlog'!$M16 / MAX(1, 'ProductSprint Backlog'!$L16-'ProductSprint Backlog'!$K16), AND('ProductSprint Backlog'!$L16=B$2,'ProductSprint Backlog'!$K16=B$2), 'ProductSprint Backlog'!$M16, TRUE, 0)</f>
        <v>0</v>
      </c>
      <c r="C16" s="4" cm="1">
        <f t="array" ref="C16">_xlfn.IFS('ProductSprint Backlog'!$M16="", "", AND('ProductSprint Backlog'!$L16&gt;C$2,'ProductSprint Backlog'!$K16&lt;=C$2), 'ProductSprint Backlog'!$M16 / MAX(1, 'ProductSprint Backlog'!$L16-'ProductSprint Backlog'!$K16), AND('ProductSprint Backlog'!$L16=C$2,'ProductSprint Backlog'!$K16=C$2), 'ProductSprint Backlog'!$M16, TRUE, 0)</f>
        <v>0</v>
      </c>
      <c r="D16" s="4" cm="1">
        <f t="array" ref="D16">_xlfn.IFS('ProductSprint Backlog'!$M16="", "", AND('ProductSprint Backlog'!$L16&gt;D$2,'ProductSprint Backlog'!$K16&lt;=D$2), 'ProductSprint Backlog'!$M16 / MAX(1, 'ProductSprint Backlog'!$L16-'ProductSprint Backlog'!$K16), AND('ProductSprint Backlog'!$L16=D$2,'ProductSprint Backlog'!$K16=D$2), 'ProductSprint Backlog'!$M16, TRUE, 0)</f>
        <v>0</v>
      </c>
      <c r="E16" s="4" cm="1">
        <f t="array" ref="E16">_xlfn.IFS('ProductSprint Backlog'!$M16="", "", AND('ProductSprint Backlog'!$L16&gt;E$2,'ProductSprint Backlog'!$K16&lt;=E$2), 'ProductSprint Backlog'!$M16 / MAX(1, 'ProductSprint Backlog'!$L16-'ProductSprint Backlog'!$K16), AND('ProductSprint Backlog'!$L16=E$2,'ProductSprint Backlog'!$K16=E$2), 'ProductSprint Backlog'!$M16, TRUE, 0)</f>
        <v>0</v>
      </c>
      <c r="F16" s="4" cm="1">
        <f t="array" ref="F16">_xlfn.IFS('ProductSprint Backlog'!$M16="", "", AND('ProductSprint Backlog'!$L16&gt;F$2,'ProductSprint Backlog'!$K16&lt;=F$2), 'ProductSprint Backlog'!$M16 / MAX(1, 'ProductSprint Backlog'!$L16-'ProductSprint Backlog'!$K16), AND('ProductSprint Backlog'!$L16=F$2,'ProductSprint Backlog'!$K16=F$2), 'ProductSprint Backlog'!$M16, TRUE, 0)</f>
        <v>0</v>
      </c>
      <c r="G16" s="4" cm="1">
        <f t="array" ref="G16">_xlfn.IFS('ProductSprint Backlog'!$M16="", "", AND('ProductSprint Backlog'!$L16&gt;G$2,'ProductSprint Backlog'!$K16&lt;=G$2), 'ProductSprint Backlog'!$M16 / MAX(1, 'ProductSprint Backlog'!$L16-'ProductSprint Backlog'!$K16), AND('ProductSprint Backlog'!$L16=G$2,'ProductSprint Backlog'!$K16=G$2), 'ProductSprint Backlog'!$M16, TRUE, 0)</f>
        <v>0</v>
      </c>
      <c r="H16" s="4" cm="1">
        <f t="array" ref="H16">_xlfn.IFS('ProductSprint Backlog'!$M16="", "", AND('ProductSprint Backlog'!$L16&gt;H$2,'ProductSprint Backlog'!$K16&lt;=H$2), 'ProductSprint Backlog'!$M16 / MAX(1, 'ProductSprint Backlog'!$L16-'ProductSprint Backlog'!$K16), AND('ProductSprint Backlog'!$L16=H$2,'ProductSprint Backlog'!$K16=H$2), 'ProductSprint Backlog'!$M16, TRUE, 0)</f>
        <v>0</v>
      </c>
      <c r="I16" s="4" cm="1">
        <f t="array" ref="I16">_xlfn.IFS('ProductSprint Backlog'!$M16="", "", AND('ProductSprint Backlog'!$L16&gt;I$2,'ProductSprint Backlog'!$K16&lt;=I$2), 'ProductSprint Backlog'!$M16 / MAX(1, 'ProductSprint Backlog'!$L16-'ProductSprint Backlog'!$K16), AND('ProductSprint Backlog'!$L16=I$2,'ProductSprint Backlog'!$K16=I$2), 'ProductSprint Backlog'!$M16, TRUE, 0)</f>
        <v>0</v>
      </c>
      <c r="J16" s="4" cm="1">
        <f t="array" ref="J16">_xlfn.IFS('ProductSprint Backlog'!$M16="", "", AND('ProductSprint Backlog'!$L16&gt;J$2,'ProductSprint Backlog'!$K16&lt;=J$2), 'ProductSprint Backlog'!$M16 / MAX(1, 'ProductSprint Backlog'!$L16-'ProductSprint Backlog'!$K16), AND('ProductSprint Backlog'!$L16=J$2,'ProductSprint Backlog'!$K16=J$2), 'ProductSprint Backlog'!$M16, TRUE, 0)</f>
        <v>0</v>
      </c>
      <c r="K16" s="4" cm="1">
        <f t="array" ref="K16">_xlfn.IFS('ProductSprint Backlog'!$M16="", "", AND('ProductSprint Backlog'!$L16&gt;K$2,'ProductSprint Backlog'!$K16&lt;=K$2), 'ProductSprint Backlog'!$M16 / MAX(1, 'ProductSprint Backlog'!$L16-'ProductSprint Backlog'!$K16), AND('ProductSprint Backlog'!$L16=K$2,'ProductSprint Backlog'!$K16=K$2), 'ProductSprint Backlog'!$M16, TRUE, 0)</f>
        <v>0</v>
      </c>
      <c r="L16" s="4" cm="1">
        <f t="array" ref="L16">_xlfn.IFS('ProductSprint Backlog'!$M16="", "", AND('ProductSprint Backlog'!$L16&gt;L$2,'ProductSprint Backlog'!$K16&lt;=L$2), 'ProductSprint Backlog'!$M16 / MAX(1, 'ProductSprint Backlog'!$L16-'ProductSprint Backlog'!$K16), AND('ProductSprint Backlog'!$L16=L$2,'ProductSprint Backlog'!$K16=L$2), 'ProductSprint Backlog'!$M16, TRUE, 0)</f>
        <v>1</v>
      </c>
      <c r="M16" s="4" cm="1">
        <f t="array" ref="M16">_xlfn.IFS('ProductSprint Backlog'!$M16="", "", AND('ProductSprint Backlog'!$L16&gt;M$2,'ProductSprint Backlog'!$K16&lt;=M$2), 'ProductSprint Backlog'!$M16 / MAX(1, 'ProductSprint Backlog'!$L16-'ProductSprint Backlog'!$K16), AND('ProductSprint Backlog'!$L16=M$2,'ProductSprint Backlog'!$K16=M$2), 'ProductSprint Backlog'!$M16, TRUE, 0)</f>
        <v>1</v>
      </c>
      <c r="N16" s="4" cm="1">
        <f t="array" ref="N16">_xlfn.IFS('ProductSprint Backlog'!$M16="", "", AND('ProductSprint Backlog'!$L16&gt;N$2,'ProductSprint Backlog'!$K16&lt;=N$2), 'ProductSprint Backlog'!$M16 / MAX(1, 'ProductSprint Backlog'!$L16-'ProductSprint Backlog'!$K16), AND('ProductSprint Backlog'!$L16=N$2,'ProductSprint Backlog'!$K16=N$2), 'ProductSprint Backlog'!$M16, TRUE, 0)</f>
        <v>0</v>
      </c>
      <c r="O16" s="4" cm="1">
        <f t="array" ref="O16">_xlfn.IFS('ProductSprint Backlog'!$M16="", "", AND('ProductSprint Backlog'!$L16&gt;O$2,'ProductSprint Backlog'!$K16&lt;=O$2), 'ProductSprint Backlog'!$M16 / MAX(1, 'ProductSprint Backlog'!$L16-'ProductSprint Backlog'!$K16), AND('ProductSprint Backlog'!$L16=O$2,'ProductSprint Backlog'!$K16=O$2), 'ProductSprint Backlog'!$M16, TRUE, 0)</f>
        <v>0</v>
      </c>
      <c r="P16" s="4" cm="1">
        <f t="array" ref="P16">_xlfn.IFS('ProductSprint Backlog'!$M16="", "", AND('ProductSprint Backlog'!$L16&gt;P$2,'ProductSprint Backlog'!$K16&lt;=P$2), 'ProductSprint Backlog'!$M16 / MAX(1, 'ProductSprint Backlog'!$L16-'ProductSprint Backlog'!$K16), AND('ProductSprint Backlog'!$L16=P$2,'ProductSprint Backlog'!$K16=P$2), 'ProductSprint Backlog'!$M16, TRUE, 0)</f>
        <v>0</v>
      </c>
    </row>
    <row r="17" spans="2:16" x14ac:dyDescent="0.2">
      <c r="B17" s="4" cm="1">
        <f t="array" ref="B17">_xlfn.IFS('ProductSprint Backlog'!$M17="", "", AND('ProductSprint Backlog'!$L17&gt;B$2,'ProductSprint Backlog'!$K17&lt;=B$2), 'ProductSprint Backlog'!$M17 / MAX(1, 'ProductSprint Backlog'!$L17-'ProductSprint Backlog'!$K17), AND('ProductSprint Backlog'!$L17=B$2,'ProductSprint Backlog'!$K17=B$2), 'ProductSprint Backlog'!$M17, TRUE, 0)</f>
        <v>0</v>
      </c>
      <c r="C17" s="4" cm="1">
        <f t="array" ref="C17">_xlfn.IFS('ProductSprint Backlog'!$M17="", "", AND('ProductSprint Backlog'!$L17&gt;C$2,'ProductSprint Backlog'!$K17&lt;=C$2), 'ProductSprint Backlog'!$M17 / MAX(1, 'ProductSprint Backlog'!$L17-'ProductSprint Backlog'!$K17), AND('ProductSprint Backlog'!$L17=C$2,'ProductSprint Backlog'!$K17=C$2), 'ProductSprint Backlog'!$M17, TRUE, 0)</f>
        <v>0</v>
      </c>
      <c r="D17" s="4" cm="1">
        <f t="array" ref="D17">_xlfn.IFS('ProductSprint Backlog'!$M17="", "", AND('ProductSprint Backlog'!$L17&gt;D$2,'ProductSprint Backlog'!$K17&lt;=D$2), 'ProductSprint Backlog'!$M17 / MAX(1, 'ProductSprint Backlog'!$L17-'ProductSprint Backlog'!$K17), AND('ProductSprint Backlog'!$L17=D$2,'ProductSprint Backlog'!$K17=D$2), 'ProductSprint Backlog'!$M17, TRUE, 0)</f>
        <v>0</v>
      </c>
      <c r="E17" s="4" cm="1">
        <f t="array" ref="E17">_xlfn.IFS('ProductSprint Backlog'!$M17="", "", AND('ProductSprint Backlog'!$L17&gt;E$2,'ProductSprint Backlog'!$K17&lt;=E$2), 'ProductSprint Backlog'!$M17 / MAX(1, 'ProductSprint Backlog'!$L17-'ProductSprint Backlog'!$K17), AND('ProductSprint Backlog'!$L17=E$2,'ProductSprint Backlog'!$K17=E$2), 'ProductSprint Backlog'!$M17, TRUE, 0)</f>
        <v>0</v>
      </c>
      <c r="F17" s="4" cm="1">
        <f t="array" ref="F17">_xlfn.IFS('ProductSprint Backlog'!$M17="", "", AND('ProductSprint Backlog'!$L17&gt;F$2,'ProductSprint Backlog'!$K17&lt;=F$2), 'ProductSprint Backlog'!$M17 / MAX(1, 'ProductSprint Backlog'!$L17-'ProductSprint Backlog'!$K17), AND('ProductSprint Backlog'!$L17=F$2,'ProductSprint Backlog'!$K17=F$2), 'ProductSprint Backlog'!$M17, TRUE, 0)</f>
        <v>0</v>
      </c>
      <c r="G17" s="4" cm="1">
        <f t="array" ref="G17">_xlfn.IFS('ProductSprint Backlog'!$M17="", "", AND('ProductSprint Backlog'!$L17&gt;G$2,'ProductSprint Backlog'!$K17&lt;=G$2), 'ProductSprint Backlog'!$M17 / MAX(1, 'ProductSprint Backlog'!$L17-'ProductSprint Backlog'!$K17), AND('ProductSprint Backlog'!$L17=G$2,'ProductSprint Backlog'!$K17=G$2), 'ProductSprint Backlog'!$M17, TRUE, 0)</f>
        <v>0</v>
      </c>
      <c r="H17" s="4" cm="1">
        <f t="array" ref="H17">_xlfn.IFS('ProductSprint Backlog'!$M17="", "", AND('ProductSprint Backlog'!$L17&gt;H$2,'ProductSprint Backlog'!$K17&lt;=H$2), 'ProductSprint Backlog'!$M17 / MAX(1, 'ProductSprint Backlog'!$L17-'ProductSprint Backlog'!$K17), AND('ProductSprint Backlog'!$L17=H$2,'ProductSprint Backlog'!$K17=H$2), 'ProductSprint Backlog'!$M17, TRUE, 0)</f>
        <v>0</v>
      </c>
      <c r="I17" s="4" cm="1">
        <f t="array" ref="I17">_xlfn.IFS('ProductSprint Backlog'!$M17="", "", AND('ProductSprint Backlog'!$L17&gt;I$2,'ProductSprint Backlog'!$K17&lt;=I$2), 'ProductSprint Backlog'!$M17 / MAX(1, 'ProductSprint Backlog'!$L17-'ProductSprint Backlog'!$K17), AND('ProductSprint Backlog'!$L17=I$2,'ProductSprint Backlog'!$K17=I$2), 'ProductSprint Backlog'!$M17, TRUE, 0)</f>
        <v>0</v>
      </c>
      <c r="J17" s="4" cm="1">
        <f t="array" ref="J17">_xlfn.IFS('ProductSprint Backlog'!$M17="", "", AND('ProductSprint Backlog'!$L17&gt;J$2,'ProductSprint Backlog'!$K17&lt;=J$2), 'ProductSprint Backlog'!$M17 / MAX(1, 'ProductSprint Backlog'!$L17-'ProductSprint Backlog'!$K17), AND('ProductSprint Backlog'!$L17=J$2,'ProductSprint Backlog'!$K17=J$2), 'ProductSprint Backlog'!$M17, TRUE, 0)</f>
        <v>0</v>
      </c>
      <c r="K17" s="4" cm="1">
        <f t="array" ref="K17">_xlfn.IFS('ProductSprint Backlog'!$M17="", "", AND('ProductSprint Backlog'!$L17&gt;K$2,'ProductSprint Backlog'!$K17&lt;=K$2), 'ProductSprint Backlog'!$M17 / MAX(1, 'ProductSprint Backlog'!$L17-'ProductSprint Backlog'!$K17), AND('ProductSprint Backlog'!$L17=K$2,'ProductSprint Backlog'!$K17=K$2), 'ProductSprint Backlog'!$M17, TRUE, 0)</f>
        <v>0</v>
      </c>
      <c r="L17" s="4" cm="1">
        <f t="array" ref="L17">_xlfn.IFS('ProductSprint Backlog'!$M17="", "", AND('ProductSprint Backlog'!$L17&gt;L$2,'ProductSprint Backlog'!$K17&lt;=L$2), 'ProductSprint Backlog'!$M17 / MAX(1, 'ProductSprint Backlog'!$L17-'ProductSprint Backlog'!$K17), AND('ProductSprint Backlog'!$L17=L$2,'ProductSprint Backlog'!$K17=L$2), 'ProductSprint Backlog'!$M17, TRUE, 0)</f>
        <v>0</v>
      </c>
      <c r="M17" s="4" cm="1">
        <f t="array" ref="M17">_xlfn.IFS('ProductSprint Backlog'!$M17="", "", AND('ProductSprint Backlog'!$L17&gt;M$2,'ProductSprint Backlog'!$K17&lt;=M$2), 'ProductSprint Backlog'!$M17 / MAX(1, 'ProductSprint Backlog'!$L17-'ProductSprint Backlog'!$K17), AND('ProductSprint Backlog'!$L17=M$2,'ProductSprint Backlog'!$K17=M$2), 'ProductSprint Backlog'!$M17, TRUE, 0)</f>
        <v>0</v>
      </c>
      <c r="N17" s="4" cm="1">
        <f t="array" ref="N17">_xlfn.IFS('ProductSprint Backlog'!$M17="", "", AND('ProductSprint Backlog'!$L17&gt;N$2,'ProductSprint Backlog'!$K17&lt;=N$2), 'ProductSprint Backlog'!$M17 / MAX(1, 'ProductSprint Backlog'!$L17-'ProductSprint Backlog'!$K17), AND('ProductSprint Backlog'!$L17=N$2,'ProductSprint Backlog'!$K17=N$2), 'ProductSprint Backlog'!$M17, TRUE, 0)</f>
        <v>1</v>
      </c>
      <c r="O17" s="4" cm="1">
        <f t="array" ref="O17">_xlfn.IFS('ProductSprint Backlog'!$M17="", "", AND('ProductSprint Backlog'!$L17&gt;O$2,'ProductSprint Backlog'!$K17&lt;=O$2), 'ProductSprint Backlog'!$M17 / MAX(1, 'ProductSprint Backlog'!$L17-'ProductSprint Backlog'!$K17), AND('ProductSprint Backlog'!$L17=O$2,'ProductSprint Backlog'!$K17=O$2), 'ProductSprint Backlog'!$M17, TRUE, 0)</f>
        <v>0</v>
      </c>
      <c r="P17" s="4" cm="1">
        <f t="array" ref="P17">_xlfn.IFS('ProductSprint Backlog'!$M17="", "", AND('ProductSprint Backlog'!$L17&gt;P$2,'ProductSprint Backlog'!$K17&lt;=P$2), 'ProductSprint Backlog'!$M17 / MAX(1, 'ProductSprint Backlog'!$L17-'ProductSprint Backlog'!$K17), AND('ProductSprint Backlog'!$L17=P$2,'ProductSprint Backlog'!$K17=P$2), 'ProductSprint Backlog'!$M17, TRUE, 0)</f>
        <v>0</v>
      </c>
    </row>
    <row r="18" spans="2:16" x14ac:dyDescent="0.2">
      <c r="B18" s="4" t="str" cm="1">
        <f t="array" ref="B18">_xlfn.IFS('ProductSprint Backlog'!$M18="", "", AND('ProductSprint Backlog'!$L18&gt;B$2,'ProductSprint Backlog'!$K18&lt;=B$2), 'ProductSprint Backlog'!$M18 / MAX(1, 'ProductSprint Backlog'!$L18-'ProductSprint Backlog'!$K18), AND('ProductSprint Backlog'!$L18=B$2,'ProductSprint Backlog'!$K18=B$2), 'ProductSprint Backlog'!$M18, TRUE, 0)</f>
        <v/>
      </c>
      <c r="C18" s="4" t="str" cm="1">
        <f t="array" ref="C18">_xlfn.IFS('ProductSprint Backlog'!$M18="", "", AND('ProductSprint Backlog'!$L18&gt;C$2,'ProductSprint Backlog'!$K18&lt;=C$2), 'ProductSprint Backlog'!$M18 / MAX(1, 'ProductSprint Backlog'!$L18-'ProductSprint Backlog'!$K18), AND('ProductSprint Backlog'!$L18=C$2,'ProductSprint Backlog'!$K18=C$2), 'ProductSprint Backlog'!$M18, TRUE, 0)</f>
        <v/>
      </c>
      <c r="D18" s="4" t="str" cm="1">
        <f t="array" ref="D18">_xlfn.IFS('ProductSprint Backlog'!$M18="", "", AND('ProductSprint Backlog'!$L18&gt;D$2,'ProductSprint Backlog'!$K18&lt;=D$2), 'ProductSprint Backlog'!$M18 / MAX(1, 'ProductSprint Backlog'!$L18-'ProductSprint Backlog'!$K18), AND('ProductSprint Backlog'!$L18=D$2,'ProductSprint Backlog'!$K18=D$2), 'ProductSprint Backlog'!$M18, TRUE, 0)</f>
        <v/>
      </c>
      <c r="E18" s="4" t="str" cm="1">
        <f t="array" ref="E18">_xlfn.IFS('ProductSprint Backlog'!$M18="", "", AND('ProductSprint Backlog'!$L18&gt;E$2,'ProductSprint Backlog'!$K18&lt;=E$2), 'ProductSprint Backlog'!$M18 / MAX(1, 'ProductSprint Backlog'!$L18-'ProductSprint Backlog'!$K18), AND('ProductSprint Backlog'!$L18=E$2,'ProductSprint Backlog'!$K18=E$2), 'ProductSprint Backlog'!$M18, TRUE, 0)</f>
        <v/>
      </c>
      <c r="F18" s="4" t="str" cm="1">
        <f t="array" ref="F18">_xlfn.IFS('ProductSprint Backlog'!$M18="", "", AND('ProductSprint Backlog'!$L18&gt;F$2,'ProductSprint Backlog'!$K18&lt;=F$2), 'ProductSprint Backlog'!$M18 / MAX(1, 'ProductSprint Backlog'!$L18-'ProductSprint Backlog'!$K18), AND('ProductSprint Backlog'!$L18=F$2,'ProductSprint Backlog'!$K18=F$2), 'ProductSprint Backlog'!$M18, TRUE, 0)</f>
        <v/>
      </c>
      <c r="G18" s="4" t="str" cm="1">
        <f t="array" ref="G18">_xlfn.IFS('ProductSprint Backlog'!$M18="", "", AND('ProductSprint Backlog'!$L18&gt;G$2,'ProductSprint Backlog'!$K18&lt;=G$2), 'ProductSprint Backlog'!$M18 / MAX(1, 'ProductSprint Backlog'!$L18-'ProductSprint Backlog'!$K18), AND('ProductSprint Backlog'!$L18=G$2,'ProductSprint Backlog'!$K18=G$2), 'ProductSprint Backlog'!$M18, TRUE, 0)</f>
        <v/>
      </c>
      <c r="H18" s="4" t="str" cm="1">
        <f t="array" ref="H18">_xlfn.IFS('ProductSprint Backlog'!$M18="", "", AND('ProductSprint Backlog'!$L18&gt;H$2,'ProductSprint Backlog'!$K18&lt;=H$2), 'ProductSprint Backlog'!$M18 / MAX(1, 'ProductSprint Backlog'!$L18-'ProductSprint Backlog'!$K18), AND('ProductSprint Backlog'!$L18=H$2,'ProductSprint Backlog'!$K18=H$2), 'ProductSprint Backlog'!$M18, TRUE, 0)</f>
        <v/>
      </c>
      <c r="I18" s="4" t="str" cm="1">
        <f t="array" ref="I18">_xlfn.IFS('ProductSprint Backlog'!$M18="", "", AND('ProductSprint Backlog'!$L18&gt;I$2,'ProductSprint Backlog'!$K18&lt;=I$2), 'ProductSprint Backlog'!$M18 / MAX(1, 'ProductSprint Backlog'!$L18-'ProductSprint Backlog'!$K18), AND('ProductSprint Backlog'!$L18=I$2,'ProductSprint Backlog'!$K18=I$2), 'ProductSprint Backlog'!$M18, TRUE, 0)</f>
        <v/>
      </c>
      <c r="J18" s="4" t="str" cm="1">
        <f t="array" ref="J18">_xlfn.IFS('ProductSprint Backlog'!$M18="", "", AND('ProductSprint Backlog'!$L18&gt;J$2,'ProductSprint Backlog'!$K18&lt;=J$2), 'ProductSprint Backlog'!$M18 / MAX(1, 'ProductSprint Backlog'!$L18-'ProductSprint Backlog'!$K18), AND('ProductSprint Backlog'!$L18=J$2,'ProductSprint Backlog'!$K18=J$2), 'ProductSprint Backlog'!$M18, TRUE, 0)</f>
        <v/>
      </c>
      <c r="K18" s="4" t="str" cm="1">
        <f t="array" ref="K18">_xlfn.IFS('ProductSprint Backlog'!$M18="", "", AND('ProductSprint Backlog'!$L18&gt;K$2,'ProductSprint Backlog'!$K18&lt;=K$2), 'ProductSprint Backlog'!$M18 / MAX(1, 'ProductSprint Backlog'!$L18-'ProductSprint Backlog'!$K18), AND('ProductSprint Backlog'!$L18=K$2,'ProductSprint Backlog'!$K18=K$2), 'ProductSprint Backlog'!$M18, TRUE, 0)</f>
        <v/>
      </c>
      <c r="L18" s="4" t="str" cm="1">
        <f t="array" ref="L18">_xlfn.IFS('ProductSprint Backlog'!$M18="", "", AND('ProductSprint Backlog'!$L18&gt;L$2,'ProductSprint Backlog'!$K18&lt;=L$2), 'ProductSprint Backlog'!$M18 / MAX(1, 'ProductSprint Backlog'!$L18-'ProductSprint Backlog'!$K18), AND('ProductSprint Backlog'!$L18=L$2,'ProductSprint Backlog'!$K18=L$2), 'ProductSprint Backlog'!$M18, TRUE, 0)</f>
        <v/>
      </c>
      <c r="M18" s="4" t="str" cm="1">
        <f t="array" ref="M18">_xlfn.IFS('ProductSprint Backlog'!$M18="", "", AND('ProductSprint Backlog'!$L18&gt;M$2,'ProductSprint Backlog'!$K18&lt;=M$2), 'ProductSprint Backlog'!$M18 / MAX(1, 'ProductSprint Backlog'!$L18-'ProductSprint Backlog'!$K18), AND('ProductSprint Backlog'!$L18=M$2,'ProductSprint Backlog'!$K18=M$2), 'ProductSprint Backlog'!$M18, TRUE, 0)</f>
        <v/>
      </c>
      <c r="N18" s="4" t="str" cm="1">
        <f t="array" ref="N18">_xlfn.IFS('ProductSprint Backlog'!$M18="", "", AND('ProductSprint Backlog'!$L18&gt;N$2,'ProductSprint Backlog'!$K18&lt;=N$2), 'ProductSprint Backlog'!$M18 / MAX(1, 'ProductSprint Backlog'!$L18-'ProductSprint Backlog'!$K18), AND('ProductSprint Backlog'!$L18=N$2,'ProductSprint Backlog'!$K18=N$2), 'ProductSprint Backlog'!$M18, TRUE, 0)</f>
        <v/>
      </c>
      <c r="O18" s="4" t="str" cm="1">
        <f t="array" ref="O18">_xlfn.IFS('ProductSprint Backlog'!$M18="", "", AND('ProductSprint Backlog'!$L18&gt;O$2,'ProductSprint Backlog'!$K18&lt;=O$2), 'ProductSprint Backlog'!$M18 / MAX(1, 'ProductSprint Backlog'!$L18-'ProductSprint Backlog'!$K18), AND('ProductSprint Backlog'!$L18=O$2,'ProductSprint Backlog'!$K18=O$2), 'ProductSprint Backlog'!$M18, TRUE, 0)</f>
        <v/>
      </c>
      <c r="P18" s="4" t="str" cm="1">
        <f t="array" ref="P18">_xlfn.IFS('ProductSprint Backlog'!$M18="", "", AND('ProductSprint Backlog'!$L18&gt;P$2,'ProductSprint Backlog'!$K18&lt;=P$2), 'ProductSprint Backlog'!$M18 / MAX(1, 'ProductSprint Backlog'!$L18-'ProductSprint Backlog'!$K18), AND('ProductSprint Backlog'!$L18=P$2,'ProductSprint Backlog'!$K18=P$2), 'ProductSprint Backlog'!$M18, TRUE, 0)</f>
        <v/>
      </c>
    </row>
    <row r="19" spans="2:16" x14ac:dyDescent="0.2">
      <c r="B19" s="4" cm="1">
        <f t="array" ref="B19">_xlfn.IFS('ProductSprint Backlog'!$M19="", "", AND('ProductSprint Backlog'!$L19&gt;B$2,'ProductSprint Backlog'!$K19&lt;=B$2), 'ProductSprint Backlog'!$M19 / MAX(1, 'ProductSprint Backlog'!$L19-'ProductSprint Backlog'!$K19), AND('ProductSprint Backlog'!$L19=B$2,'ProductSprint Backlog'!$K19=B$2), 'ProductSprint Backlog'!$M19, TRUE, 0)</f>
        <v>0</v>
      </c>
      <c r="C19" s="4" cm="1">
        <f t="array" ref="C19">_xlfn.IFS('ProductSprint Backlog'!$M19="", "", AND('ProductSprint Backlog'!$L19&gt;C$2,'ProductSprint Backlog'!$K19&lt;=C$2), 'ProductSprint Backlog'!$M19 / MAX(1, 'ProductSprint Backlog'!$L19-'ProductSprint Backlog'!$K19), AND('ProductSprint Backlog'!$L19=C$2,'ProductSprint Backlog'!$K19=C$2), 'ProductSprint Backlog'!$M19, TRUE, 0)</f>
        <v>0</v>
      </c>
      <c r="D19" s="4" cm="1">
        <f t="array" ref="D19">_xlfn.IFS('ProductSprint Backlog'!$M19="", "", AND('ProductSprint Backlog'!$L19&gt;D$2,'ProductSprint Backlog'!$K19&lt;=D$2), 'ProductSprint Backlog'!$M19 / MAX(1, 'ProductSprint Backlog'!$L19-'ProductSprint Backlog'!$K19), AND('ProductSprint Backlog'!$L19=D$2,'ProductSprint Backlog'!$K19=D$2), 'ProductSprint Backlog'!$M19, TRUE, 0)</f>
        <v>0.91666666666666663</v>
      </c>
      <c r="E19" s="4" cm="1">
        <f t="array" ref="E19">_xlfn.IFS('ProductSprint Backlog'!$M19="", "", AND('ProductSprint Backlog'!$L19&gt;E$2,'ProductSprint Backlog'!$K19&lt;=E$2), 'ProductSprint Backlog'!$M19 / MAX(1, 'ProductSprint Backlog'!$L19-'ProductSprint Backlog'!$K19), AND('ProductSprint Backlog'!$L19=E$2,'ProductSprint Backlog'!$K19=E$2), 'ProductSprint Backlog'!$M19, TRUE, 0)</f>
        <v>0.91666666666666663</v>
      </c>
      <c r="F19" s="4" cm="1">
        <f t="array" ref="F19">_xlfn.IFS('ProductSprint Backlog'!$M19="", "", AND('ProductSprint Backlog'!$L19&gt;F$2,'ProductSprint Backlog'!$K19&lt;=F$2), 'ProductSprint Backlog'!$M19 / MAX(1, 'ProductSprint Backlog'!$L19-'ProductSprint Backlog'!$K19), AND('ProductSprint Backlog'!$L19=F$2,'ProductSprint Backlog'!$K19=F$2), 'ProductSprint Backlog'!$M19, TRUE, 0)</f>
        <v>0.91666666666666663</v>
      </c>
      <c r="G19" s="4" cm="1">
        <f t="array" ref="G19">_xlfn.IFS('ProductSprint Backlog'!$M19="", "", AND('ProductSprint Backlog'!$L19&gt;G$2,'ProductSprint Backlog'!$K19&lt;=G$2), 'ProductSprint Backlog'!$M19 / MAX(1, 'ProductSprint Backlog'!$L19-'ProductSprint Backlog'!$K19), AND('ProductSprint Backlog'!$L19=G$2,'ProductSprint Backlog'!$K19=G$2), 'ProductSprint Backlog'!$M19, TRUE, 0)</f>
        <v>0.91666666666666663</v>
      </c>
      <c r="H19" s="4" cm="1">
        <f t="array" ref="H19">_xlfn.IFS('ProductSprint Backlog'!$M19="", "", AND('ProductSprint Backlog'!$L19&gt;H$2,'ProductSprint Backlog'!$K19&lt;=H$2), 'ProductSprint Backlog'!$M19 / MAX(1, 'ProductSprint Backlog'!$L19-'ProductSprint Backlog'!$K19), AND('ProductSprint Backlog'!$L19=H$2,'ProductSprint Backlog'!$K19=H$2), 'ProductSprint Backlog'!$M19, TRUE, 0)</f>
        <v>0.91666666666666663</v>
      </c>
      <c r="I19" s="4" cm="1">
        <f t="array" ref="I19">_xlfn.IFS('ProductSprint Backlog'!$M19="", "", AND('ProductSprint Backlog'!$L19&gt;I$2,'ProductSprint Backlog'!$K19&lt;=I$2), 'ProductSprint Backlog'!$M19 / MAX(1, 'ProductSprint Backlog'!$L19-'ProductSprint Backlog'!$K19), AND('ProductSprint Backlog'!$L19=I$2,'ProductSprint Backlog'!$K19=I$2), 'ProductSprint Backlog'!$M19, TRUE, 0)</f>
        <v>0.91666666666666663</v>
      </c>
      <c r="J19" s="4" cm="1">
        <f t="array" ref="J19">_xlfn.IFS('ProductSprint Backlog'!$M19="", "", AND('ProductSprint Backlog'!$L19&gt;J$2,'ProductSprint Backlog'!$K19&lt;=J$2), 'ProductSprint Backlog'!$M19 / MAX(1, 'ProductSprint Backlog'!$L19-'ProductSprint Backlog'!$K19), AND('ProductSprint Backlog'!$L19=J$2,'ProductSprint Backlog'!$K19=J$2), 'ProductSprint Backlog'!$M19, TRUE, 0)</f>
        <v>0</v>
      </c>
      <c r="K19" s="4" cm="1">
        <f t="array" ref="K19">_xlfn.IFS('ProductSprint Backlog'!$M19="", "", AND('ProductSprint Backlog'!$L19&gt;K$2,'ProductSprint Backlog'!$K19&lt;=K$2), 'ProductSprint Backlog'!$M19 / MAX(1, 'ProductSprint Backlog'!$L19-'ProductSprint Backlog'!$K19), AND('ProductSprint Backlog'!$L19=K$2,'ProductSprint Backlog'!$K19=K$2), 'ProductSprint Backlog'!$M19, TRUE, 0)</f>
        <v>0</v>
      </c>
      <c r="L19" s="4" cm="1">
        <f t="array" ref="L19">_xlfn.IFS('ProductSprint Backlog'!$M19="", "", AND('ProductSprint Backlog'!$L19&gt;L$2,'ProductSprint Backlog'!$K19&lt;=L$2), 'ProductSprint Backlog'!$M19 / MAX(1, 'ProductSprint Backlog'!$L19-'ProductSprint Backlog'!$K19), AND('ProductSprint Backlog'!$L19=L$2,'ProductSprint Backlog'!$K19=L$2), 'ProductSprint Backlog'!$M19, TRUE, 0)</f>
        <v>0</v>
      </c>
      <c r="M19" s="4" cm="1">
        <f t="array" ref="M19">_xlfn.IFS('ProductSprint Backlog'!$M19="", "", AND('ProductSprint Backlog'!$L19&gt;M$2,'ProductSprint Backlog'!$K19&lt;=M$2), 'ProductSprint Backlog'!$M19 / MAX(1, 'ProductSprint Backlog'!$L19-'ProductSprint Backlog'!$K19), AND('ProductSprint Backlog'!$L19=M$2,'ProductSprint Backlog'!$K19=M$2), 'ProductSprint Backlog'!$M19, TRUE, 0)</f>
        <v>0</v>
      </c>
      <c r="N19" s="4" cm="1">
        <f t="array" ref="N19">_xlfn.IFS('ProductSprint Backlog'!$M19="", "", AND('ProductSprint Backlog'!$L19&gt;N$2,'ProductSprint Backlog'!$K19&lt;=N$2), 'ProductSprint Backlog'!$M19 / MAX(1, 'ProductSprint Backlog'!$L19-'ProductSprint Backlog'!$K19), AND('ProductSprint Backlog'!$L19=N$2,'ProductSprint Backlog'!$K19=N$2), 'ProductSprint Backlog'!$M19, TRUE, 0)</f>
        <v>0</v>
      </c>
      <c r="O19" s="4" cm="1">
        <f t="array" ref="O19">_xlfn.IFS('ProductSprint Backlog'!$M19="", "", AND('ProductSprint Backlog'!$L19&gt;O$2,'ProductSprint Backlog'!$K19&lt;=O$2), 'ProductSprint Backlog'!$M19 / MAX(1, 'ProductSprint Backlog'!$L19-'ProductSprint Backlog'!$K19), AND('ProductSprint Backlog'!$L19=O$2,'ProductSprint Backlog'!$K19=O$2), 'ProductSprint Backlog'!$M19, TRUE, 0)</f>
        <v>0</v>
      </c>
      <c r="P19" s="4" cm="1">
        <f t="array" ref="P19">_xlfn.IFS('ProductSprint Backlog'!$M19="", "", AND('ProductSprint Backlog'!$L19&gt;P$2,'ProductSprint Backlog'!$K19&lt;=P$2), 'ProductSprint Backlog'!$M19 / MAX(1, 'ProductSprint Backlog'!$L19-'ProductSprint Backlog'!$K19), AND('ProductSprint Backlog'!$L19=P$2,'ProductSprint Backlog'!$K19=P$2), 'ProductSprint Backlog'!$M19, TRUE, 0)</f>
        <v>0</v>
      </c>
    </row>
    <row r="20" spans="2:16" x14ac:dyDescent="0.2">
      <c r="B20" s="4" cm="1">
        <f t="array" ref="B20">_xlfn.IFS('ProductSprint Backlog'!$M20="", "", AND('ProductSprint Backlog'!$L20&gt;B$2,'ProductSprint Backlog'!$K20&lt;=B$2), 'ProductSprint Backlog'!$M20 / MAX(1, 'ProductSprint Backlog'!$L20-'ProductSprint Backlog'!$K20), AND('ProductSprint Backlog'!$L20=B$2,'ProductSprint Backlog'!$K20=B$2), 'ProductSprint Backlog'!$M20, TRUE, 0)</f>
        <v>0</v>
      </c>
      <c r="C20" s="4" cm="1">
        <f t="array" ref="C20">_xlfn.IFS('ProductSprint Backlog'!$M20="", "", AND('ProductSprint Backlog'!$L20&gt;C$2,'ProductSprint Backlog'!$K20&lt;=C$2), 'ProductSprint Backlog'!$M20 / MAX(1, 'ProductSprint Backlog'!$L20-'ProductSprint Backlog'!$K20), AND('ProductSprint Backlog'!$L20=C$2,'ProductSprint Backlog'!$K20=C$2), 'ProductSprint Backlog'!$M20, TRUE, 0)</f>
        <v>0</v>
      </c>
      <c r="D20" s="4" cm="1">
        <f t="array" ref="D20">_xlfn.IFS('ProductSprint Backlog'!$M20="", "", AND('ProductSprint Backlog'!$L20&gt;D$2,'ProductSprint Backlog'!$K20&lt;=D$2), 'ProductSprint Backlog'!$M20 / MAX(1, 'ProductSprint Backlog'!$L20-'ProductSprint Backlog'!$K20), AND('ProductSprint Backlog'!$L20=D$2,'ProductSprint Backlog'!$K20=D$2), 'ProductSprint Backlog'!$M20, TRUE, 0)</f>
        <v>0</v>
      </c>
      <c r="E20" s="4" cm="1">
        <f t="array" ref="E20">_xlfn.IFS('ProductSprint Backlog'!$M20="", "", AND('ProductSprint Backlog'!$L20&gt;E$2,'ProductSprint Backlog'!$K20&lt;=E$2), 'ProductSprint Backlog'!$M20 / MAX(1, 'ProductSprint Backlog'!$L20-'ProductSprint Backlog'!$K20), AND('ProductSprint Backlog'!$L20=E$2,'ProductSprint Backlog'!$K20=E$2), 'ProductSprint Backlog'!$M20, TRUE, 0)</f>
        <v>2</v>
      </c>
      <c r="F20" s="4" cm="1">
        <f t="array" ref="F20">_xlfn.IFS('ProductSprint Backlog'!$M20="", "", AND('ProductSprint Backlog'!$L20&gt;F$2,'ProductSprint Backlog'!$K20&lt;=F$2), 'ProductSprint Backlog'!$M20 / MAX(1, 'ProductSprint Backlog'!$L20-'ProductSprint Backlog'!$K20), AND('ProductSprint Backlog'!$L20=F$2,'ProductSprint Backlog'!$K20=F$2), 'ProductSprint Backlog'!$M20, TRUE, 0)</f>
        <v>0</v>
      </c>
      <c r="G20" s="4" cm="1">
        <f t="array" ref="G20">_xlfn.IFS('ProductSprint Backlog'!$M20="", "", AND('ProductSprint Backlog'!$L20&gt;G$2,'ProductSprint Backlog'!$K20&lt;=G$2), 'ProductSprint Backlog'!$M20 / MAX(1, 'ProductSprint Backlog'!$L20-'ProductSprint Backlog'!$K20), AND('ProductSprint Backlog'!$L20=G$2,'ProductSprint Backlog'!$K20=G$2), 'ProductSprint Backlog'!$M20, TRUE, 0)</f>
        <v>0</v>
      </c>
      <c r="H20" s="4" cm="1">
        <f t="array" ref="H20">_xlfn.IFS('ProductSprint Backlog'!$M20="", "", AND('ProductSprint Backlog'!$L20&gt;H$2,'ProductSprint Backlog'!$K20&lt;=H$2), 'ProductSprint Backlog'!$M20 / MAX(1, 'ProductSprint Backlog'!$L20-'ProductSprint Backlog'!$K20), AND('ProductSprint Backlog'!$L20=H$2,'ProductSprint Backlog'!$K20=H$2), 'ProductSprint Backlog'!$M20, TRUE, 0)</f>
        <v>0</v>
      </c>
      <c r="I20" s="4" cm="1">
        <f t="array" ref="I20">_xlfn.IFS('ProductSprint Backlog'!$M20="", "", AND('ProductSprint Backlog'!$L20&gt;I$2,'ProductSprint Backlog'!$K20&lt;=I$2), 'ProductSprint Backlog'!$M20 / MAX(1, 'ProductSprint Backlog'!$L20-'ProductSprint Backlog'!$K20), AND('ProductSprint Backlog'!$L20=I$2,'ProductSprint Backlog'!$K20=I$2), 'ProductSprint Backlog'!$M20, TRUE, 0)</f>
        <v>0</v>
      </c>
      <c r="J20" s="4" cm="1">
        <f t="array" ref="J20">_xlfn.IFS('ProductSprint Backlog'!$M20="", "", AND('ProductSprint Backlog'!$L20&gt;J$2,'ProductSprint Backlog'!$K20&lt;=J$2), 'ProductSprint Backlog'!$M20 / MAX(1, 'ProductSprint Backlog'!$L20-'ProductSprint Backlog'!$K20), AND('ProductSprint Backlog'!$L20=J$2,'ProductSprint Backlog'!$K20=J$2), 'ProductSprint Backlog'!$M20, TRUE, 0)</f>
        <v>0</v>
      </c>
      <c r="K20" s="4" cm="1">
        <f t="array" ref="K20">_xlfn.IFS('ProductSprint Backlog'!$M20="", "", AND('ProductSprint Backlog'!$L20&gt;K$2,'ProductSprint Backlog'!$K20&lt;=K$2), 'ProductSprint Backlog'!$M20 / MAX(1, 'ProductSprint Backlog'!$L20-'ProductSprint Backlog'!$K20), AND('ProductSprint Backlog'!$L20=K$2,'ProductSprint Backlog'!$K20=K$2), 'ProductSprint Backlog'!$M20, TRUE, 0)</f>
        <v>0</v>
      </c>
      <c r="L20" s="4" cm="1">
        <f t="array" ref="L20">_xlfn.IFS('ProductSprint Backlog'!$M20="", "", AND('ProductSprint Backlog'!$L20&gt;L$2,'ProductSprint Backlog'!$K20&lt;=L$2), 'ProductSprint Backlog'!$M20 / MAX(1, 'ProductSprint Backlog'!$L20-'ProductSprint Backlog'!$K20), AND('ProductSprint Backlog'!$L20=L$2,'ProductSprint Backlog'!$K20=L$2), 'ProductSprint Backlog'!$M20, TRUE, 0)</f>
        <v>0</v>
      </c>
      <c r="M20" s="4" cm="1">
        <f t="array" ref="M20">_xlfn.IFS('ProductSprint Backlog'!$M20="", "", AND('ProductSprint Backlog'!$L20&gt;M$2,'ProductSprint Backlog'!$K20&lt;=M$2), 'ProductSprint Backlog'!$M20 / MAX(1, 'ProductSprint Backlog'!$L20-'ProductSprint Backlog'!$K20), AND('ProductSprint Backlog'!$L20=M$2,'ProductSprint Backlog'!$K20=M$2), 'ProductSprint Backlog'!$M20, TRUE, 0)</f>
        <v>0</v>
      </c>
      <c r="N20" s="4" cm="1">
        <f t="array" ref="N20">_xlfn.IFS('ProductSprint Backlog'!$M20="", "", AND('ProductSprint Backlog'!$L20&gt;N$2,'ProductSprint Backlog'!$K20&lt;=N$2), 'ProductSprint Backlog'!$M20 / MAX(1, 'ProductSprint Backlog'!$L20-'ProductSprint Backlog'!$K20), AND('ProductSprint Backlog'!$L20=N$2,'ProductSprint Backlog'!$K20=N$2), 'ProductSprint Backlog'!$M20, TRUE, 0)</f>
        <v>0</v>
      </c>
      <c r="O20" s="4" cm="1">
        <f t="array" ref="O20">_xlfn.IFS('ProductSprint Backlog'!$M20="", "", AND('ProductSprint Backlog'!$L20&gt;O$2,'ProductSprint Backlog'!$K20&lt;=O$2), 'ProductSprint Backlog'!$M20 / MAX(1, 'ProductSprint Backlog'!$L20-'ProductSprint Backlog'!$K20), AND('ProductSprint Backlog'!$L20=O$2,'ProductSprint Backlog'!$K20=O$2), 'ProductSprint Backlog'!$M20, TRUE, 0)</f>
        <v>0</v>
      </c>
      <c r="P20" s="4" cm="1">
        <f t="array" ref="P20">_xlfn.IFS('ProductSprint Backlog'!$M20="", "", AND('ProductSprint Backlog'!$L20&gt;P$2,'ProductSprint Backlog'!$K20&lt;=P$2), 'ProductSprint Backlog'!$M20 / MAX(1, 'ProductSprint Backlog'!$L20-'ProductSprint Backlog'!$K20), AND('ProductSprint Backlog'!$L20=P$2,'ProductSprint Backlog'!$K20=P$2), 'ProductSprint Backlog'!$M20, TRUE, 0)</f>
        <v>0</v>
      </c>
    </row>
    <row r="21" spans="2:16" x14ac:dyDescent="0.2">
      <c r="B21" s="4" cm="1">
        <f t="array" ref="B21">_xlfn.IFS('ProductSprint Backlog'!$M21="", "", AND('ProductSprint Backlog'!$L21&gt;B$2,'ProductSprint Backlog'!$K21&lt;=B$2), 'ProductSprint Backlog'!$M21 / MAX(1, 'ProductSprint Backlog'!$L21-'ProductSprint Backlog'!$K21), AND('ProductSprint Backlog'!$L21=B$2,'ProductSprint Backlog'!$K21=B$2), 'ProductSprint Backlog'!$M21, TRUE, 0)</f>
        <v>0</v>
      </c>
      <c r="C21" s="4" cm="1">
        <f t="array" ref="C21">_xlfn.IFS('ProductSprint Backlog'!$M21="", "", AND('ProductSprint Backlog'!$L21&gt;C$2,'ProductSprint Backlog'!$K21&lt;=C$2), 'ProductSprint Backlog'!$M21 / MAX(1, 'ProductSprint Backlog'!$L21-'ProductSprint Backlog'!$K21), AND('ProductSprint Backlog'!$L21=C$2,'ProductSprint Backlog'!$K21=C$2), 'ProductSprint Backlog'!$M21, TRUE, 0)</f>
        <v>0</v>
      </c>
      <c r="D21" s="4" cm="1">
        <f t="array" ref="D21">_xlfn.IFS('ProductSprint Backlog'!$M21="", "", AND('ProductSprint Backlog'!$L21&gt;D$2,'ProductSprint Backlog'!$K21&lt;=D$2), 'ProductSprint Backlog'!$M21 / MAX(1, 'ProductSprint Backlog'!$L21-'ProductSprint Backlog'!$K21), AND('ProductSprint Backlog'!$L21=D$2,'ProductSprint Backlog'!$K21=D$2), 'ProductSprint Backlog'!$M21, TRUE, 0)</f>
        <v>0</v>
      </c>
      <c r="E21" s="4" cm="1">
        <f t="array" ref="E21">_xlfn.IFS('ProductSprint Backlog'!$M21="", "", AND('ProductSprint Backlog'!$L21&gt;E$2,'ProductSprint Backlog'!$K21&lt;=E$2), 'ProductSprint Backlog'!$M21 / MAX(1, 'ProductSprint Backlog'!$L21-'ProductSprint Backlog'!$K21), AND('ProductSprint Backlog'!$L21=E$2,'ProductSprint Backlog'!$K21=E$2), 'ProductSprint Backlog'!$M21, TRUE, 0)</f>
        <v>0</v>
      </c>
      <c r="F21" s="4" cm="1">
        <f t="array" ref="F21">_xlfn.IFS('ProductSprint Backlog'!$M21="", "", AND('ProductSprint Backlog'!$L21&gt;F$2,'ProductSprint Backlog'!$K21&lt;=F$2), 'ProductSprint Backlog'!$M21 / MAX(1, 'ProductSprint Backlog'!$L21-'ProductSprint Backlog'!$K21), AND('ProductSprint Backlog'!$L21=F$2,'ProductSprint Backlog'!$K21=F$2), 'ProductSprint Backlog'!$M21, TRUE, 0)</f>
        <v>0</v>
      </c>
      <c r="G21" s="4" cm="1">
        <f t="array" ref="G21">_xlfn.IFS('ProductSprint Backlog'!$M21="", "", AND('ProductSprint Backlog'!$L21&gt;G$2,'ProductSprint Backlog'!$K21&lt;=G$2), 'ProductSprint Backlog'!$M21 / MAX(1, 'ProductSprint Backlog'!$L21-'ProductSprint Backlog'!$K21), AND('ProductSprint Backlog'!$L21=G$2,'ProductSprint Backlog'!$K21=G$2), 'ProductSprint Backlog'!$M21, TRUE, 0)</f>
        <v>3</v>
      </c>
      <c r="H21" s="4" cm="1">
        <f t="array" ref="H21">_xlfn.IFS('ProductSprint Backlog'!$M21="", "", AND('ProductSprint Backlog'!$L21&gt;H$2,'ProductSprint Backlog'!$K21&lt;=H$2), 'ProductSprint Backlog'!$M21 / MAX(1, 'ProductSprint Backlog'!$L21-'ProductSprint Backlog'!$K21), AND('ProductSprint Backlog'!$L21=H$2,'ProductSprint Backlog'!$K21=H$2), 'ProductSprint Backlog'!$M21, TRUE, 0)</f>
        <v>0</v>
      </c>
      <c r="I21" s="4" cm="1">
        <f t="array" ref="I21">_xlfn.IFS('ProductSprint Backlog'!$M21="", "", AND('ProductSprint Backlog'!$L21&gt;I$2,'ProductSprint Backlog'!$K21&lt;=I$2), 'ProductSprint Backlog'!$M21 / MAX(1, 'ProductSprint Backlog'!$L21-'ProductSprint Backlog'!$K21), AND('ProductSprint Backlog'!$L21=I$2,'ProductSprint Backlog'!$K21=I$2), 'ProductSprint Backlog'!$M21, TRUE, 0)</f>
        <v>0</v>
      </c>
      <c r="J21" s="4" cm="1">
        <f t="array" ref="J21">_xlfn.IFS('ProductSprint Backlog'!$M21="", "", AND('ProductSprint Backlog'!$L21&gt;J$2,'ProductSprint Backlog'!$K21&lt;=J$2), 'ProductSprint Backlog'!$M21 / MAX(1, 'ProductSprint Backlog'!$L21-'ProductSprint Backlog'!$K21), AND('ProductSprint Backlog'!$L21=J$2,'ProductSprint Backlog'!$K21=J$2), 'ProductSprint Backlog'!$M21, TRUE, 0)</f>
        <v>0</v>
      </c>
      <c r="K21" s="4" cm="1">
        <f t="array" ref="K21">_xlfn.IFS('ProductSprint Backlog'!$M21="", "", AND('ProductSprint Backlog'!$L21&gt;K$2,'ProductSprint Backlog'!$K21&lt;=K$2), 'ProductSprint Backlog'!$M21 / MAX(1, 'ProductSprint Backlog'!$L21-'ProductSprint Backlog'!$K21), AND('ProductSprint Backlog'!$L21=K$2,'ProductSprint Backlog'!$K21=K$2), 'ProductSprint Backlog'!$M21, TRUE, 0)</f>
        <v>0</v>
      </c>
      <c r="L21" s="4" cm="1">
        <f t="array" ref="L21">_xlfn.IFS('ProductSprint Backlog'!$M21="", "", AND('ProductSprint Backlog'!$L21&gt;L$2,'ProductSprint Backlog'!$K21&lt;=L$2), 'ProductSprint Backlog'!$M21 / MAX(1, 'ProductSprint Backlog'!$L21-'ProductSprint Backlog'!$K21), AND('ProductSprint Backlog'!$L21=L$2,'ProductSprint Backlog'!$K21=L$2), 'ProductSprint Backlog'!$M21, TRUE, 0)</f>
        <v>0</v>
      </c>
      <c r="M21" s="4" cm="1">
        <f t="array" ref="M21">_xlfn.IFS('ProductSprint Backlog'!$M21="", "", AND('ProductSprint Backlog'!$L21&gt;M$2,'ProductSprint Backlog'!$K21&lt;=M$2), 'ProductSprint Backlog'!$M21 / MAX(1, 'ProductSprint Backlog'!$L21-'ProductSprint Backlog'!$K21), AND('ProductSprint Backlog'!$L21=M$2,'ProductSprint Backlog'!$K21=M$2), 'ProductSprint Backlog'!$M21, TRUE, 0)</f>
        <v>0</v>
      </c>
      <c r="N21" s="4" cm="1">
        <f t="array" ref="N21">_xlfn.IFS('ProductSprint Backlog'!$M21="", "", AND('ProductSprint Backlog'!$L21&gt;N$2,'ProductSprint Backlog'!$K21&lt;=N$2), 'ProductSprint Backlog'!$M21 / MAX(1, 'ProductSprint Backlog'!$L21-'ProductSprint Backlog'!$K21), AND('ProductSprint Backlog'!$L21=N$2,'ProductSprint Backlog'!$K21=N$2), 'ProductSprint Backlog'!$M21, TRUE, 0)</f>
        <v>0</v>
      </c>
      <c r="O21" s="4" cm="1">
        <f t="array" ref="O21">_xlfn.IFS('ProductSprint Backlog'!$M21="", "", AND('ProductSprint Backlog'!$L21&gt;O$2,'ProductSprint Backlog'!$K21&lt;=O$2), 'ProductSprint Backlog'!$M21 / MAX(1, 'ProductSprint Backlog'!$L21-'ProductSprint Backlog'!$K21), AND('ProductSprint Backlog'!$L21=O$2,'ProductSprint Backlog'!$K21=O$2), 'ProductSprint Backlog'!$M21, TRUE, 0)</f>
        <v>0</v>
      </c>
      <c r="P21" s="4" cm="1">
        <f t="array" ref="P21">_xlfn.IFS('ProductSprint Backlog'!$M21="", "", AND('ProductSprint Backlog'!$L21&gt;P$2,'ProductSprint Backlog'!$K21&lt;=P$2), 'ProductSprint Backlog'!$M21 / MAX(1, 'ProductSprint Backlog'!$L21-'ProductSprint Backlog'!$K21), AND('ProductSprint Backlog'!$L21=P$2,'ProductSprint Backlog'!$K21=P$2), 'ProductSprint Backlog'!$M21, TRUE, 0)</f>
        <v>0</v>
      </c>
    </row>
    <row r="22" spans="2:16" x14ac:dyDescent="0.2">
      <c r="B22" s="4" cm="1">
        <f t="array" ref="B22">_xlfn.IFS('ProductSprint Backlog'!$M22="", "", AND('ProductSprint Backlog'!$L22&gt;B$2,'ProductSprint Backlog'!$K22&lt;=B$2), 'ProductSprint Backlog'!$M22 / MAX(1, 'ProductSprint Backlog'!$L22-'ProductSprint Backlog'!$K22), AND('ProductSprint Backlog'!$L22=B$2,'ProductSprint Backlog'!$K22=B$2), 'ProductSprint Backlog'!$M22, TRUE, 0)</f>
        <v>0</v>
      </c>
      <c r="C22" s="4" cm="1">
        <f t="array" ref="C22">_xlfn.IFS('ProductSprint Backlog'!$M22="", "", AND('ProductSprint Backlog'!$L22&gt;C$2,'ProductSprint Backlog'!$K22&lt;=C$2), 'ProductSprint Backlog'!$M22 / MAX(1, 'ProductSprint Backlog'!$L22-'ProductSprint Backlog'!$K22), AND('ProductSprint Backlog'!$L22=C$2,'ProductSprint Backlog'!$K22=C$2), 'ProductSprint Backlog'!$M22, TRUE, 0)</f>
        <v>0</v>
      </c>
      <c r="D22" s="4" cm="1">
        <f t="array" ref="D22">_xlfn.IFS('ProductSprint Backlog'!$M22="", "", AND('ProductSprint Backlog'!$L22&gt;D$2,'ProductSprint Backlog'!$K22&lt;=D$2), 'ProductSprint Backlog'!$M22 / MAX(1, 'ProductSprint Backlog'!$L22-'ProductSprint Backlog'!$K22), AND('ProductSprint Backlog'!$L22=D$2,'ProductSprint Backlog'!$K22=D$2), 'ProductSprint Backlog'!$M22, TRUE, 0)</f>
        <v>0</v>
      </c>
      <c r="E22" s="4" cm="1">
        <f t="array" ref="E22">_xlfn.IFS('ProductSprint Backlog'!$M22="", "", AND('ProductSprint Backlog'!$L22&gt;E$2,'ProductSprint Backlog'!$K22&lt;=E$2), 'ProductSprint Backlog'!$M22 / MAX(1, 'ProductSprint Backlog'!$L22-'ProductSprint Backlog'!$K22), AND('ProductSprint Backlog'!$L22=E$2,'ProductSprint Backlog'!$K22=E$2), 'ProductSprint Backlog'!$M22, TRUE, 0)</f>
        <v>0</v>
      </c>
      <c r="F22" s="4" cm="1">
        <f t="array" ref="F22">_xlfn.IFS('ProductSprint Backlog'!$M22="", "", AND('ProductSprint Backlog'!$L22&gt;F$2,'ProductSprint Backlog'!$K22&lt;=F$2), 'ProductSprint Backlog'!$M22 / MAX(1, 'ProductSprint Backlog'!$L22-'ProductSprint Backlog'!$K22), AND('ProductSprint Backlog'!$L22=F$2,'ProductSprint Backlog'!$K22=F$2), 'ProductSprint Backlog'!$M22, TRUE, 0)</f>
        <v>0</v>
      </c>
      <c r="G22" s="4" cm="1">
        <f t="array" ref="G22">_xlfn.IFS('ProductSprint Backlog'!$M22="", "", AND('ProductSprint Backlog'!$L22&gt;G$2,'ProductSprint Backlog'!$K22&lt;=G$2), 'ProductSprint Backlog'!$M22 / MAX(1, 'ProductSprint Backlog'!$L22-'ProductSprint Backlog'!$K22), AND('ProductSprint Backlog'!$L22=G$2,'ProductSprint Backlog'!$K22=G$2), 'ProductSprint Backlog'!$M22, TRUE, 0)</f>
        <v>0</v>
      </c>
      <c r="H22" s="4" cm="1">
        <f t="array" ref="H22">_xlfn.IFS('ProductSprint Backlog'!$M22="", "", AND('ProductSprint Backlog'!$L22&gt;H$2,'ProductSprint Backlog'!$K22&lt;=H$2), 'ProductSprint Backlog'!$M22 / MAX(1, 'ProductSprint Backlog'!$L22-'ProductSprint Backlog'!$K22), AND('ProductSprint Backlog'!$L22=H$2,'ProductSprint Backlog'!$K22=H$2), 'ProductSprint Backlog'!$M22, TRUE, 0)</f>
        <v>1</v>
      </c>
      <c r="I22" s="4" cm="1">
        <f t="array" ref="I22">_xlfn.IFS('ProductSprint Backlog'!$M22="", "", AND('ProductSprint Backlog'!$L22&gt;I$2,'ProductSprint Backlog'!$K22&lt;=I$2), 'ProductSprint Backlog'!$M22 / MAX(1, 'ProductSprint Backlog'!$L22-'ProductSprint Backlog'!$K22), AND('ProductSprint Backlog'!$L22=I$2,'ProductSprint Backlog'!$K22=I$2), 'ProductSprint Backlog'!$M22, TRUE, 0)</f>
        <v>1</v>
      </c>
      <c r="J22" s="4" cm="1">
        <f t="array" ref="J22">_xlfn.IFS('ProductSprint Backlog'!$M22="", "", AND('ProductSprint Backlog'!$L22&gt;J$2,'ProductSprint Backlog'!$K22&lt;=J$2), 'ProductSprint Backlog'!$M22 / MAX(1, 'ProductSprint Backlog'!$L22-'ProductSprint Backlog'!$K22), AND('ProductSprint Backlog'!$L22=J$2,'ProductSprint Backlog'!$K22=J$2), 'ProductSprint Backlog'!$M22, TRUE, 0)</f>
        <v>0</v>
      </c>
      <c r="K22" s="4" cm="1">
        <f t="array" ref="K22">_xlfn.IFS('ProductSprint Backlog'!$M22="", "", AND('ProductSprint Backlog'!$L22&gt;K$2,'ProductSprint Backlog'!$K22&lt;=K$2), 'ProductSprint Backlog'!$M22 / MAX(1, 'ProductSprint Backlog'!$L22-'ProductSprint Backlog'!$K22), AND('ProductSprint Backlog'!$L22=K$2,'ProductSprint Backlog'!$K22=K$2), 'ProductSprint Backlog'!$M22, TRUE, 0)</f>
        <v>0</v>
      </c>
      <c r="L22" s="4" cm="1">
        <f t="array" ref="L22">_xlfn.IFS('ProductSprint Backlog'!$M22="", "", AND('ProductSprint Backlog'!$L22&gt;L$2,'ProductSprint Backlog'!$K22&lt;=L$2), 'ProductSprint Backlog'!$M22 / MAX(1, 'ProductSprint Backlog'!$L22-'ProductSprint Backlog'!$K22), AND('ProductSprint Backlog'!$L22=L$2,'ProductSprint Backlog'!$K22=L$2), 'ProductSprint Backlog'!$M22, TRUE, 0)</f>
        <v>0</v>
      </c>
      <c r="M22" s="4" cm="1">
        <f t="array" ref="M22">_xlfn.IFS('ProductSprint Backlog'!$M22="", "", AND('ProductSprint Backlog'!$L22&gt;M$2,'ProductSprint Backlog'!$K22&lt;=M$2), 'ProductSprint Backlog'!$M22 / MAX(1, 'ProductSprint Backlog'!$L22-'ProductSprint Backlog'!$K22), AND('ProductSprint Backlog'!$L22=M$2,'ProductSprint Backlog'!$K22=M$2), 'ProductSprint Backlog'!$M22, TRUE, 0)</f>
        <v>0</v>
      </c>
      <c r="N22" s="4" cm="1">
        <f t="array" ref="N22">_xlfn.IFS('ProductSprint Backlog'!$M22="", "", AND('ProductSprint Backlog'!$L22&gt;N$2,'ProductSprint Backlog'!$K22&lt;=N$2), 'ProductSprint Backlog'!$M22 / MAX(1, 'ProductSprint Backlog'!$L22-'ProductSprint Backlog'!$K22), AND('ProductSprint Backlog'!$L22=N$2,'ProductSprint Backlog'!$K22=N$2), 'ProductSprint Backlog'!$M22, TRUE, 0)</f>
        <v>0</v>
      </c>
      <c r="O22" s="4" cm="1">
        <f t="array" ref="O22">_xlfn.IFS('ProductSprint Backlog'!$M22="", "", AND('ProductSprint Backlog'!$L22&gt;O$2,'ProductSprint Backlog'!$K22&lt;=O$2), 'ProductSprint Backlog'!$M22 / MAX(1, 'ProductSprint Backlog'!$L22-'ProductSprint Backlog'!$K22), AND('ProductSprint Backlog'!$L22=O$2,'ProductSprint Backlog'!$K22=O$2), 'ProductSprint Backlog'!$M22, TRUE, 0)</f>
        <v>0</v>
      </c>
      <c r="P22" s="4" cm="1">
        <f t="array" ref="P22">_xlfn.IFS('ProductSprint Backlog'!$M22="", "", AND('ProductSprint Backlog'!$L22&gt;P$2,'ProductSprint Backlog'!$K22&lt;=P$2), 'ProductSprint Backlog'!$M22 / MAX(1, 'ProductSprint Backlog'!$L22-'ProductSprint Backlog'!$K22), AND('ProductSprint Backlog'!$L22=P$2,'ProductSprint Backlog'!$K22=P$2), 'ProductSprint Backlog'!$M22, TRUE, 0)</f>
        <v>0</v>
      </c>
    </row>
    <row r="23" spans="2:16" x14ac:dyDescent="0.2">
      <c r="B23" s="4" t="str" cm="1">
        <f t="array" ref="B23">_xlfn.IFS('ProductSprint Backlog'!$M23="", "", AND('ProductSprint Backlog'!$L23&gt;B$2,'ProductSprint Backlog'!$K23&lt;=B$2), 'ProductSprint Backlog'!$M23 / MAX(1, 'ProductSprint Backlog'!$L23-'ProductSprint Backlog'!$K23), AND('ProductSprint Backlog'!$L23=B$2,'ProductSprint Backlog'!$K23=B$2), 'ProductSprint Backlog'!$M23, TRUE, 0)</f>
        <v/>
      </c>
      <c r="C23" s="4" t="str" cm="1">
        <f t="array" ref="C23">_xlfn.IFS('ProductSprint Backlog'!$M23="", "", AND('ProductSprint Backlog'!$L23&gt;C$2,'ProductSprint Backlog'!$K23&lt;=C$2), 'ProductSprint Backlog'!$M23 / MAX(1, 'ProductSprint Backlog'!$L23-'ProductSprint Backlog'!$K23), AND('ProductSprint Backlog'!$L23=C$2,'ProductSprint Backlog'!$K23=C$2), 'ProductSprint Backlog'!$M23, TRUE, 0)</f>
        <v/>
      </c>
      <c r="D23" s="4" t="str" cm="1">
        <f t="array" ref="D23">_xlfn.IFS('ProductSprint Backlog'!$M23="", "", AND('ProductSprint Backlog'!$L23&gt;D$2,'ProductSprint Backlog'!$K23&lt;=D$2), 'ProductSprint Backlog'!$M23 / MAX(1, 'ProductSprint Backlog'!$L23-'ProductSprint Backlog'!$K23), AND('ProductSprint Backlog'!$L23=D$2,'ProductSprint Backlog'!$K23=D$2), 'ProductSprint Backlog'!$M23, TRUE, 0)</f>
        <v/>
      </c>
      <c r="E23" s="4" t="str" cm="1">
        <f t="array" ref="E23">_xlfn.IFS('ProductSprint Backlog'!$M23="", "", AND('ProductSprint Backlog'!$L23&gt;E$2,'ProductSprint Backlog'!$K23&lt;=E$2), 'ProductSprint Backlog'!$M23 / MAX(1, 'ProductSprint Backlog'!$L23-'ProductSprint Backlog'!$K23), AND('ProductSprint Backlog'!$L23=E$2,'ProductSprint Backlog'!$K23=E$2), 'ProductSprint Backlog'!$M23, TRUE, 0)</f>
        <v/>
      </c>
      <c r="F23" s="4" t="str" cm="1">
        <f t="array" ref="F23">_xlfn.IFS('ProductSprint Backlog'!$M23="", "", AND('ProductSprint Backlog'!$L23&gt;F$2,'ProductSprint Backlog'!$K23&lt;=F$2), 'ProductSprint Backlog'!$M23 / MAX(1, 'ProductSprint Backlog'!$L23-'ProductSprint Backlog'!$K23), AND('ProductSprint Backlog'!$L23=F$2,'ProductSprint Backlog'!$K23=F$2), 'ProductSprint Backlog'!$M23, TRUE, 0)</f>
        <v/>
      </c>
      <c r="G23" s="4" t="str" cm="1">
        <f t="array" ref="G23">_xlfn.IFS('ProductSprint Backlog'!$M23="", "", AND('ProductSprint Backlog'!$L23&gt;G$2,'ProductSprint Backlog'!$K23&lt;=G$2), 'ProductSprint Backlog'!$M23 / MAX(1, 'ProductSprint Backlog'!$L23-'ProductSprint Backlog'!$K23), AND('ProductSprint Backlog'!$L23=G$2,'ProductSprint Backlog'!$K23=G$2), 'ProductSprint Backlog'!$M23, TRUE, 0)</f>
        <v/>
      </c>
      <c r="H23" s="4" t="str" cm="1">
        <f t="array" ref="H23">_xlfn.IFS('ProductSprint Backlog'!$M23="", "", AND('ProductSprint Backlog'!$L23&gt;H$2,'ProductSprint Backlog'!$K23&lt;=H$2), 'ProductSprint Backlog'!$M23 / MAX(1, 'ProductSprint Backlog'!$L23-'ProductSprint Backlog'!$K23), AND('ProductSprint Backlog'!$L23=H$2,'ProductSprint Backlog'!$K23=H$2), 'ProductSprint Backlog'!$M23, TRUE, 0)</f>
        <v/>
      </c>
      <c r="I23" s="4" t="str" cm="1">
        <f t="array" ref="I23">_xlfn.IFS('ProductSprint Backlog'!$M23="", "", AND('ProductSprint Backlog'!$L23&gt;I$2,'ProductSprint Backlog'!$K23&lt;=I$2), 'ProductSprint Backlog'!$M23 / MAX(1, 'ProductSprint Backlog'!$L23-'ProductSprint Backlog'!$K23), AND('ProductSprint Backlog'!$L23=I$2,'ProductSprint Backlog'!$K23=I$2), 'ProductSprint Backlog'!$M23, TRUE, 0)</f>
        <v/>
      </c>
      <c r="J23" s="4" t="str" cm="1">
        <f t="array" ref="J23">_xlfn.IFS('ProductSprint Backlog'!$M23="", "", AND('ProductSprint Backlog'!$L23&gt;J$2,'ProductSprint Backlog'!$K23&lt;=J$2), 'ProductSprint Backlog'!$M23 / MAX(1, 'ProductSprint Backlog'!$L23-'ProductSprint Backlog'!$K23), AND('ProductSprint Backlog'!$L23=J$2,'ProductSprint Backlog'!$K23=J$2), 'ProductSprint Backlog'!$M23, TRUE, 0)</f>
        <v/>
      </c>
      <c r="K23" s="4" t="str" cm="1">
        <f t="array" ref="K23">_xlfn.IFS('ProductSprint Backlog'!$M23="", "", AND('ProductSprint Backlog'!$L23&gt;K$2,'ProductSprint Backlog'!$K23&lt;=K$2), 'ProductSprint Backlog'!$M23 / MAX(1, 'ProductSprint Backlog'!$L23-'ProductSprint Backlog'!$K23), AND('ProductSprint Backlog'!$L23=K$2,'ProductSprint Backlog'!$K23=K$2), 'ProductSprint Backlog'!$M23, TRUE, 0)</f>
        <v/>
      </c>
      <c r="L23" s="4" t="str" cm="1">
        <f t="array" ref="L23">_xlfn.IFS('ProductSprint Backlog'!$M23="", "", AND('ProductSprint Backlog'!$L23&gt;L$2,'ProductSprint Backlog'!$K23&lt;=L$2), 'ProductSprint Backlog'!$M23 / MAX(1, 'ProductSprint Backlog'!$L23-'ProductSprint Backlog'!$K23), AND('ProductSprint Backlog'!$L23=L$2,'ProductSprint Backlog'!$K23=L$2), 'ProductSprint Backlog'!$M23, TRUE, 0)</f>
        <v/>
      </c>
      <c r="M23" s="4" t="str" cm="1">
        <f t="array" ref="M23">_xlfn.IFS('ProductSprint Backlog'!$M23="", "", AND('ProductSprint Backlog'!$L23&gt;M$2,'ProductSprint Backlog'!$K23&lt;=M$2), 'ProductSprint Backlog'!$M23 / MAX(1, 'ProductSprint Backlog'!$L23-'ProductSprint Backlog'!$K23), AND('ProductSprint Backlog'!$L23=M$2,'ProductSprint Backlog'!$K23=M$2), 'ProductSprint Backlog'!$M23, TRUE, 0)</f>
        <v/>
      </c>
      <c r="N23" s="4" t="str" cm="1">
        <f t="array" ref="N23">_xlfn.IFS('ProductSprint Backlog'!$M23="", "", AND('ProductSprint Backlog'!$L23&gt;N$2,'ProductSprint Backlog'!$K23&lt;=N$2), 'ProductSprint Backlog'!$M23 / MAX(1, 'ProductSprint Backlog'!$L23-'ProductSprint Backlog'!$K23), AND('ProductSprint Backlog'!$L23=N$2,'ProductSprint Backlog'!$K23=N$2), 'ProductSprint Backlog'!$M23, TRUE, 0)</f>
        <v/>
      </c>
      <c r="O23" s="4" t="str" cm="1">
        <f t="array" ref="O23">_xlfn.IFS('ProductSprint Backlog'!$M23="", "", AND('ProductSprint Backlog'!$L23&gt;O$2,'ProductSprint Backlog'!$K23&lt;=O$2), 'ProductSprint Backlog'!$M23 / MAX(1, 'ProductSprint Backlog'!$L23-'ProductSprint Backlog'!$K23), AND('ProductSprint Backlog'!$L23=O$2,'ProductSprint Backlog'!$K23=O$2), 'ProductSprint Backlog'!$M23, TRUE, 0)</f>
        <v/>
      </c>
      <c r="P23" s="4" t="str" cm="1">
        <f t="array" ref="P23">_xlfn.IFS('ProductSprint Backlog'!$M23="", "", AND('ProductSprint Backlog'!$L23&gt;P$2,'ProductSprint Backlog'!$K23&lt;=P$2), 'ProductSprint Backlog'!$M23 / MAX(1, 'ProductSprint Backlog'!$L23-'ProductSprint Backlog'!$K23), AND('ProductSprint Backlog'!$L23=P$2,'ProductSprint Backlog'!$K23=P$2), 'ProductSprint Backlog'!$M23, TRUE, 0)</f>
        <v/>
      </c>
    </row>
    <row r="24" spans="2:16" x14ac:dyDescent="0.2">
      <c r="B24" s="4" cm="1">
        <f t="array" ref="B24">_xlfn.IFS('ProductSprint Backlog'!$M24="", "", AND('ProductSprint Backlog'!$L24&gt;B$2,'ProductSprint Backlog'!$K24&lt;=B$2), 'ProductSprint Backlog'!$M24 / MAX(1, 'ProductSprint Backlog'!$L24-'ProductSprint Backlog'!$K24), AND('ProductSprint Backlog'!$L24=B$2,'ProductSprint Backlog'!$K24=B$2), 'ProductSprint Backlog'!$M24, TRUE, 0)</f>
        <v>0</v>
      </c>
      <c r="C24" s="4" cm="1">
        <f t="array" ref="C24">_xlfn.IFS('ProductSprint Backlog'!$M24="", "", AND('ProductSprint Backlog'!$L24&gt;C$2,'ProductSprint Backlog'!$K24&lt;=C$2), 'ProductSprint Backlog'!$M24 / MAX(1, 'ProductSprint Backlog'!$L24-'ProductSprint Backlog'!$K24), AND('ProductSprint Backlog'!$L24=C$2,'ProductSprint Backlog'!$K24=C$2), 'ProductSprint Backlog'!$M24, TRUE, 0)</f>
        <v>0</v>
      </c>
      <c r="D24" s="4" cm="1">
        <f t="array" ref="D24">_xlfn.IFS('ProductSprint Backlog'!$M24="", "", AND('ProductSprint Backlog'!$L24&gt;D$2,'ProductSprint Backlog'!$K24&lt;=D$2), 'ProductSprint Backlog'!$M24 / MAX(1, 'ProductSprint Backlog'!$L24-'ProductSprint Backlog'!$K24), AND('ProductSprint Backlog'!$L24=D$2,'ProductSprint Backlog'!$K24=D$2), 'ProductSprint Backlog'!$M24, TRUE, 0)</f>
        <v>1</v>
      </c>
      <c r="E24" s="4" cm="1">
        <f t="array" ref="E24">_xlfn.IFS('ProductSprint Backlog'!$M24="", "", AND('ProductSprint Backlog'!$L24&gt;E$2,'ProductSprint Backlog'!$K24&lt;=E$2), 'ProductSprint Backlog'!$M24 / MAX(1, 'ProductSprint Backlog'!$L24-'ProductSprint Backlog'!$K24), AND('ProductSprint Backlog'!$L24=E$2,'ProductSprint Backlog'!$K24=E$2), 'ProductSprint Backlog'!$M24, TRUE, 0)</f>
        <v>0</v>
      </c>
      <c r="F24" s="4" cm="1">
        <f t="array" ref="F24">_xlfn.IFS('ProductSprint Backlog'!$M24="", "", AND('ProductSprint Backlog'!$L24&gt;F$2,'ProductSprint Backlog'!$K24&lt;=F$2), 'ProductSprint Backlog'!$M24 / MAX(1, 'ProductSprint Backlog'!$L24-'ProductSprint Backlog'!$K24), AND('ProductSprint Backlog'!$L24=F$2,'ProductSprint Backlog'!$K24=F$2), 'ProductSprint Backlog'!$M24, TRUE, 0)</f>
        <v>0</v>
      </c>
      <c r="G24" s="4" cm="1">
        <f t="array" ref="G24">_xlfn.IFS('ProductSprint Backlog'!$M24="", "", AND('ProductSprint Backlog'!$L24&gt;G$2,'ProductSprint Backlog'!$K24&lt;=G$2), 'ProductSprint Backlog'!$M24 / MAX(1, 'ProductSprint Backlog'!$L24-'ProductSprint Backlog'!$K24), AND('ProductSprint Backlog'!$L24=G$2,'ProductSprint Backlog'!$K24=G$2), 'ProductSprint Backlog'!$M24, TRUE, 0)</f>
        <v>0</v>
      </c>
      <c r="H24" s="4" cm="1">
        <f t="array" ref="H24">_xlfn.IFS('ProductSprint Backlog'!$M24="", "", AND('ProductSprint Backlog'!$L24&gt;H$2,'ProductSprint Backlog'!$K24&lt;=H$2), 'ProductSprint Backlog'!$M24 / MAX(1, 'ProductSprint Backlog'!$L24-'ProductSprint Backlog'!$K24), AND('ProductSprint Backlog'!$L24=H$2,'ProductSprint Backlog'!$K24=H$2), 'ProductSprint Backlog'!$M24, TRUE, 0)</f>
        <v>0</v>
      </c>
      <c r="I24" s="4" cm="1">
        <f t="array" ref="I24">_xlfn.IFS('ProductSprint Backlog'!$M24="", "", AND('ProductSprint Backlog'!$L24&gt;I$2,'ProductSprint Backlog'!$K24&lt;=I$2), 'ProductSprint Backlog'!$M24 / MAX(1, 'ProductSprint Backlog'!$L24-'ProductSprint Backlog'!$K24), AND('ProductSprint Backlog'!$L24=I$2,'ProductSprint Backlog'!$K24=I$2), 'ProductSprint Backlog'!$M24, TRUE, 0)</f>
        <v>0</v>
      </c>
      <c r="J24" s="4" cm="1">
        <f t="array" ref="J24">_xlfn.IFS('ProductSprint Backlog'!$M24="", "", AND('ProductSprint Backlog'!$L24&gt;J$2,'ProductSprint Backlog'!$K24&lt;=J$2), 'ProductSprint Backlog'!$M24 / MAX(1, 'ProductSprint Backlog'!$L24-'ProductSprint Backlog'!$K24), AND('ProductSprint Backlog'!$L24=J$2,'ProductSprint Backlog'!$K24=J$2), 'ProductSprint Backlog'!$M24, TRUE, 0)</f>
        <v>0</v>
      </c>
      <c r="K24" s="4" cm="1">
        <f t="array" ref="K24">_xlfn.IFS('ProductSprint Backlog'!$M24="", "", AND('ProductSprint Backlog'!$L24&gt;K$2,'ProductSprint Backlog'!$K24&lt;=K$2), 'ProductSprint Backlog'!$M24 / MAX(1, 'ProductSprint Backlog'!$L24-'ProductSprint Backlog'!$K24), AND('ProductSprint Backlog'!$L24=K$2,'ProductSprint Backlog'!$K24=K$2), 'ProductSprint Backlog'!$M24, TRUE, 0)</f>
        <v>0</v>
      </c>
      <c r="L24" s="4" cm="1">
        <f t="array" ref="L24">_xlfn.IFS('ProductSprint Backlog'!$M24="", "", AND('ProductSprint Backlog'!$L24&gt;L$2,'ProductSprint Backlog'!$K24&lt;=L$2), 'ProductSprint Backlog'!$M24 / MAX(1, 'ProductSprint Backlog'!$L24-'ProductSprint Backlog'!$K24), AND('ProductSprint Backlog'!$L24=L$2,'ProductSprint Backlog'!$K24=L$2), 'ProductSprint Backlog'!$M24, TRUE, 0)</f>
        <v>0</v>
      </c>
      <c r="M24" s="4" cm="1">
        <f t="array" ref="M24">_xlfn.IFS('ProductSprint Backlog'!$M24="", "", AND('ProductSprint Backlog'!$L24&gt;M$2,'ProductSprint Backlog'!$K24&lt;=M$2), 'ProductSprint Backlog'!$M24 / MAX(1, 'ProductSprint Backlog'!$L24-'ProductSprint Backlog'!$K24), AND('ProductSprint Backlog'!$L24=M$2,'ProductSprint Backlog'!$K24=M$2), 'ProductSprint Backlog'!$M24, TRUE, 0)</f>
        <v>0</v>
      </c>
      <c r="N24" s="4" cm="1">
        <f t="array" ref="N24">_xlfn.IFS('ProductSprint Backlog'!$M24="", "", AND('ProductSprint Backlog'!$L24&gt;N$2,'ProductSprint Backlog'!$K24&lt;=N$2), 'ProductSprint Backlog'!$M24 / MAX(1, 'ProductSprint Backlog'!$L24-'ProductSprint Backlog'!$K24), AND('ProductSprint Backlog'!$L24=N$2,'ProductSprint Backlog'!$K24=N$2), 'ProductSprint Backlog'!$M24, TRUE, 0)</f>
        <v>0</v>
      </c>
      <c r="O24" s="4" cm="1">
        <f t="array" ref="O24">_xlfn.IFS('ProductSprint Backlog'!$M24="", "", AND('ProductSprint Backlog'!$L24&gt;O$2,'ProductSprint Backlog'!$K24&lt;=O$2), 'ProductSprint Backlog'!$M24 / MAX(1, 'ProductSprint Backlog'!$L24-'ProductSprint Backlog'!$K24), AND('ProductSprint Backlog'!$L24=O$2,'ProductSprint Backlog'!$K24=O$2), 'ProductSprint Backlog'!$M24, TRUE, 0)</f>
        <v>0</v>
      </c>
      <c r="P24" s="4" cm="1">
        <f t="array" ref="P24">_xlfn.IFS('ProductSprint Backlog'!$M24="", "", AND('ProductSprint Backlog'!$L24&gt;P$2,'ProductSprint Backlog'!$K24&lt;=P$2), 'ProductSprint Backlog'!$M24 / MAX(1, 'ProductSprint Backlog'!$L24-'ProductSprint Backlog'!$K24), AND('ProductSprint Backlog'!$L24=P$2,'ProductSprint Backlog'!$K24=P$2), 'ProductSprint Backlog'!$M24, TRUE, 0)</f>
        <v>0</v>
      </c>
    </row>
    <row r="25" spans="2:16" x14ac:dyDescent="0.2">
      <c r="B25" s="4" cm="1">
        <f t="array" ref="B25">_xlfn.IFS('ProductSprint Backlog'!$M25="", "", AND('ProductSprint Backlog'!$L25&gt;B$2,'ProductSprint Backlog'!$K25&lt;=B$2), 'ProductSprint Backlog'!$M25 / MAX(1, 'ProductSprint Backlog'!$L25-'ProductSprint Backlog'!$K25), AND('ProductSprint Backlog'!$L25=B$2,'ProductSprint Backlog'!$K25=B$2), 'ProductSprint Backlog'!$M25, TRUE, 0)</f>
        <v>0</v>
      </c>
      <c r="C25" s="4" cm="1">
        <f t="array" ref="C25">_xlfn.IFS('ProductSprint Backlog'!$M25="", "", AND('ProductSprint Backlog'!$L25&gt;C$2,'ProductSprint Backlog'!$K25&lt;=C$2), 'ProductSprint Backlog'!$M25 / MAX(1, 'ProductSprint Backlog'!$L25-'ProductSprint Backlog'!$K25), AND('ProductSprint Backlog'!$L25=C$2,'ProductSprint Backlog'!$K25=C$2), 'ProductSprint Backlog'!$M25, TRUE, 0)</f>
        <v>0</v>
      </c>
      <c r="D25" s="4" cm="1">
        <f t="array" ref="D25">_xlfn.IFS('ProductSprint Backlog'!$M25="", "", AND('ProductSprint Backlog'!$L25&gt;D$2,'ProductSprint Backlog'!$K25&lt;=D$2), 'ProductSprint Backlog'!$M25 / MAX(1, 'ProductSprint Backlog'!$L25-'ProductSprint Backlog'!$K25), AND('ProductSprint Backlog'!$L25=D$2,'ProductSprint Backlog'!$K25=D$2), 'ProductSprint Backlog'!$M25, TRUE, 0)</f>
        <v>0</v>
      </c>
      <c r="E25" s="4" cm="1">
        <f t="array" ref="E25">_xlfn.IFS('ProductSprint Backlog'!$M25="", "", AND('ProductSprint Backlog'!$L25&gt;E$2,'ProductSprint Backlog'!$K25&lt;=E$2), 'ProductSprint Backlog'!$M25 / MAX(1, 'ProductSprint Backlog'!$L25-'ProductSprint Backlog'!$K25), AND('ProductSprint Backlog'!$L25=E$2,'ProductSprint Backlog'!$K25=E$2), 'ProductSprint Backlog'!$M25, TRUE, 0)</f>
        <v>0</v>
      </c>
      <c r="F25" s="4" cm="1">
        <f t="array" ref="F25">_xlfn.IFS('ProductSprint Backlog'!$M25="", "", AND('ProductSprint Backlog'!$L25&gt;F$2,'ProductSprint Backlog'!$K25&lt;=F$2), 'ProductSprint Backlog'!$M25 / MAX(1, 'ProductSprint Backlog'!$L25-'ProductSprint Backlog'!$K25), AND('ProductSprint Backlog'!$L25=F$2,'ProductSprint Backlog'!$K25=F$2), 'ProductSprint Backlog'!$M25, TRUE, 0)</f>
        <v>1.75</v>
      </c>
      <c r="G25" s="4" cm="1">
        <f t="array" ref="G25">_xlfn.IFS('ProductSprint Backlog'!$M25="", "", AND('ProductSprint Backlog'!$L25&gt;G$2,'ProductSprint Backlog'!$K25&lt;=G$2), 'ProductSprint Backlog'!$M25 / MAX(1, 'ProductSprint Backlog'!$L25-'ProductSprint Backlog'!$K25), AND('ProductSprint Backlog'!$L25=G$2,'ProductSprint Backlog'!$K25=G$2), 'ProductSprint Backlog'!$M25, TRUE, 0)</f>
        <v>1.75</v>
      </c>
      <c r="H25" s="4" cm="1">
        <f t="array" ref="H25">_xlfn.IFS('ProductSprint Backlog'!$M25="", "", AND('ProductSprint Backlog'!$L25&gt;H$2,'ProductSprint Backlog'!$K25&lt;=H$2), 'ProductSprint Backlog'!$M25 / MAX(1, 'ProductSprint Backlog'!$L25-'ProductSprint Backlog'!$K25), AND('ProductSprint Backlog'!$L25=H$2,'ProductSprint Backlog'!$K25=H$2), 'ProductSprint Backlog'!$M25, TRUE, 0)</f>
        <v>0</v>
      </c>
      <c r="I25" s="4" cm="1">
        <f t="array" ref="I25">_xlfn.IFS('ProductSprint Backlog'!$M25="", "", AND('ProductSprint Backlog'!$L25&gt;I$2,'ProductSprint Backlog'!$K25&lt;=I$2), 'ProductSprint Backlog'!$M25 / MAX(1, 'ProductSprint Backlog'!$L25-'ProductSprint Backlog'!$K25), AND('ProductSprint Backlog'!$L25=I$2,'ProductSprint Backlog'!$K25=I$2), 'ProductSprint Backlog'!$M25, TRUE, 0)</f>
        <v>0</v>
      </c>
      <c r="J25" s="4" cm="1">
        <f t="array" ref="J25">_xlfn.IFS('ProductSprint Backlog'!$M25="", "", AND('ProductSprint Backlog'!$L25&gt;J$2,'ProductSprint Backlog'!$K25&lt;=J$2), 'ProductSprint Backlog'!$M25 / MAX(1, 'ProductSprint Backlog'!$L25-'ProductSprint Backlog'!$K25), AND('ProductSprint Backlog'!$L25=J$2,'ProductSprint Backlog'!$K25=J$2), 'ProductSprint Backlog'!$M25, TRUE, 0)</f>
        <v>0</v>
      </c>
      <c r="K25" s="4" cm="1">
        <f t="array" ref="K25">_xlfn.IFS('ProductSprint Backlog'!$M25="", "", AND('ProductSprint Backlog'!$L25&gt;K$2,'ProductSprint Backlog'!$K25&lt;=K$2), 'ProductSprint Backlog'!$M25 / MAX(1, 'ProductSprint Backlog'!$L25-'ProductSprint Backlog'!$K25), AND('ProductSprint Backlog'!$L25=K$2,'ProductSprint Backlog'!$K25=K$2), 'ProductSprint Backlog'!$M25, TRUE, 0)</f>
        <v>0</v>
      </c>
      <c r="L25" s="4" cm="1">
        <f t="array" ref="L25">_xlfn.IFS('ProductSprint Backlog'!$M25="", "", AND('ProductSprint Backlog'!$L25&gt;L$2,'ProductSprint Backlog'!$K25&lt;=L$2), 'ProductSprint Backlog'!$M25 / MAX(1, 'ProductSprint Backlog'!$L25-'ProductSprint Backlog'!$K25), AND('ProductSprint Backlog'!$L25=L$2,'ProductSprint Backlog'!$K25=L$2), 'ProductSprint Backlog'!$M25, TRUE, 0)</f>
        <v>0</v>
      </c>
      <c r="M25" s="4" cm="1">
        <f t="array" ref="M25">_xlfn.IFS('ProductSprint Backlog'!$M25="", "", AND('ProductSprint Backlog'!$L25&gt;M$2,'ProductSprint Backlog'!$K25&lt;=M$2), 'ProductSprint Backlog'!$M25 / MAX(1, 'ProductSprint Backlog'!$L25-'ProductSprint Backlog'!$K25), AND('ProductSprint Backlog'!$L25=M$2,'ProductSprint Backlog'!$K25=M$2), 'ProductSprint Backlog'!$M25, TRUE, 0)</f>
        <v>0</v>
      </c>
      <c r="N25" s="4" cm="1">
        <f t="array" ref="N25">_xlfn.IFS('ProductSprint Backlog'!$M25="", "", AND('ProductSprint Backlog'!$L25&gt;N$2,'ProductSprint Backlog'!$K25&lt;=N$2), 'ProductSprint Backlog'!$M25 / MAX(1, 'ProductSprint Backlog'!$L25-'ProductSprint Backlog'!$K25), AND('ProductSprint Backlog'!$L25=N$2,'ProductSprint Backlog'!$K25=N$2), 'ProductSprint Backlog'!$M25, TRUE, 0)</f>
        <v>0</v>
      </c>
      <c r="O25" s="4" cm="1">
        <f t="array" ref="O25">_xlfn.IFS('ProductSprint Backlog'!$M25="", "", AND('ProductSprint Backlog'!$L25&gt;O$2,'ProductSprint Backlog'!$K25&lt;=O$2), 'ProductSprint Backlog'!$M25 / MAX(1, 'ProductSprint Backlog'!$L25-'ProductSprint Backlog'!$K25), AND('ProductSprint Backlog'!$L25=O$2,'ProductSprint Backlog'!$K25=O$2), 'ProductSprint Backlog'!$M25, TRUE, 0)</f>
        <v>0</v>
      </c>
      <c r="P25" s="4" cm="1">
        <f t="array" ref="P25">_xlfn.IFS('ProductSprint Backlog'!$M25="", "", AND('ProductSprint Backlog'!$L25&gt;P$2,'ProductSprint Backlog'!$K25&lt;=P$2), 'ProductSprint Backlog'!$M25 / MAX(1, 'ProductSprint Backlog'!$L25-'ProductSprint Backlog'!$K25), AND('ProductSprint Backlog'!$L25=P$2,'ProductSprint Backlog'!$K25=P$2), 'ProductSprint Backlog'!$M25, TRUE, 0)</f>
        <v>0</v>
      </c>
    </row>
    <row r="26" spans="2:16" x14ac:dyDescent="0.2">
      <c r="B26" s="4" cm="1">
        <f t="array" ref="B26">_xlfn.IFS('ProductSprint Backlog'!$M26="", "", AND('ProductSprint Backlog'!$L26&gt;B$2,'ProductSprint Backlog'!$K26&lt;=B$2), 'ProductSprint Backlog'!$M26 / MAX(1, 'ProductSprint Backlog'!$L26-'ProductSprint Backlog'!$K26), AND('ProductSprint Backlog'!$L26=B$2,'ProductSprint Backlog'!$K26=B$2), 'ProductSprint Backlog'!$M26, TRUE, 0)</f>
        <v>0</v>
      </c>
      <c r="C26" s="4" cm="1">
        <f t="array" ref="C26">_xlfn.IFS('ProductSprint Backlog'!$M26="", "", AND('ProductSprint Backlog'!$L26&gt;C$2,'ProductSprint Backlog'!$K26&lt;=C$2), 'ProductSprint Backlog'!$M26 / MAX(1, 'ProductSprint Backlog'!$L26-'ProductSprint Backlog'!$K26), AND('ProductSprint Backlog'!$L26=C$2,'ProductSprint Backlog'!$K26=C$2), 'ProductSprint Backlog'!$M26, TRUE, 0)</f>
        <v>0</v>
      </c>
      <c r="D26" s="4" cm="1">
        <f t="array" ref="D26">_xlfn.IFS('ProductSprint Backlog'!$M26="", "", AND('ProductSprint Backlog'!$L26&gt;D$2,'ProductSprint Backlog'!$K26&lt;=D$2), 'ProductSprint Backlog'!$M26 / MAX(1, 'ProductSprint Backlog'!$L26-'ProductSprint Backlog'!$K26), AND('ProductSprint Backlog'!$L26=D$2,'ProductSprint Backlog'!$K26=D$2), 'ProductSprint Backlog'!$M26, TRUE, 0)</f>
        <v>0</v>
      </c>
      <c r="E26" s="4" cm="1">
        <f t="array" ref="E26">_xlfn.IFS('ProductSprint Backlog'!$M26="", "", AND('ProductSprint Backlog'!$L26&gt;E$2,'ProductSprint Backlog'!$K26&lt;=E$2), 'ProductSprint Backlog'!$M26 / MAX(1, 'ProductSprint Backlog'!$L26-'ProductSprint Backlog'!$K26), AND('ProductSprint Backlog'!$L26=E$2,'ProductSprint Backlog'!$K26=E$2), 'ProductSprint Backlog'!$M26, TRUE, 0)</f>
        <v>0</v>
      </c>
      <c r="F26" s="4" cm="1">
        <f t="array" ref="F26">_xlfn.IFS('ProductSprint Backlog'!$M26="", "", AND('ProductSprint Backlog'!$L26&gt;F$2,'ProductSprint Backlog'!$K26&lt;=F$2), 'ProductSprint Backlog'!$M26 / MAX(1, 'ProductSprint Backlog'!$L26-'ProductSprint Backlog'!$K26), AND('ProductSprint Backlog'!$L26=F$2,'ProductSprint Backlog'!$K26=F$2), 'ProductSprint Backlog'!$M26, TRUE, 0)</f>
        <v>0</v>
      </c>
      <c r="G26" s="4" cm="1">
        <f t="array" ref="G26">_xlfn.IFS('ProductSprint Backlog'!$M26="", "", AND('ProductSprint Backlog'!$L26&gt;G$2,'ProductSprint Backlog'!$K26&lt;=G$2), 'ProductSprint Backlog'!$M26 / MAX(1, 'ProductSprint Backlog'!$L26-'ProductSprint Backlog'!$K26), AND('ProductSprint Backlog'!$L26=G$2,'ProductSprint Backlog'!$K26=G$2), 'ProductSprint Backlog'!$M26, TRUE, 0)</f>
        <v>0</v>
      </c>
      <c r="H26" s="4" cm="1">
        <f t="array" ref="H26">_xlfn.IFS('ProductSprint Backlog'!$M26="", "", AND('ProductSprint Backlog'!$L26&gt;H$2,'ProductSprint Backlog'!$K26&lt;=H$2), 'ProductSprint Backlog'!$M26 / MAX(1, 'ProductSprint Backlog'!$L26-'ProductSprint Backlog'!$K26), AND('ProductSprint Backlog'!$L26=H$2,'ProductSprint Backlog'!$K26=H$2), 'ProductSprint Backlog'!$M26, TRUE, 0)</f>
        <v>0.5</v>
      </c>
      <c r="I26" s="4" cm="1">
        <f t="array" ref="I26">_xlfn.IFS('ProductSprint Backlog'!$M26="", "", AND('ProductSprint Backlog'!$L26&gt;I$2,'ProductSprint Backlog'!$K26&lt;=I$2), 'ProductSprint Backlog'!$M26 / MAX(1, 'ProductSprint Backlog'!$L26-'ProductSprint Backlog'!$K26), AND('ProductSprint Backlog'!$L26=I$2,'ProductSprint Backlog'!$K26=I$2), 'ProductSprint Backlog'!$M26, TRUE, 0)</f>
        <v>0.5</v>
      </c>
      <c r="J26" s="4" cm="1">
        <f t="array" ref="J26">_xlfn.IFS('ProductSprint Backlog'!$M26="", "", AND('ProductSprint Backlog'!$L26&gt;J$2,'ProductSprint Backlog'!$K26&lt;=J$2), 'ProductSprint Backlog'!$M26 / MAX(1, 'ProductSprint Backlog'!$L26-'ProductSprint Backlog'!$K26), AND('ProductSprint Backlog'!$L26=J$2,'ProductSprint Backlog'!$K26=J$2), 'ProductSprint Backlog'!$M26, TRUE, 0)</f>
        <v>0</v>
      </c>
      <c r="K26" s="4" cm="1">
        <f t="array" ref="K26">_xlfn.IFS('ProductSprint Backlog'!$M26="", "", AND('ProductSprint Backlog'!$L26&gt;K$2,'ProductSprint Backlog'!$K26&lt;=K$2), 'ProductSprint Backlog'!$M26 / MAX(1, 'ProductSprint Backlog'!$L26-'ProductSprint Backlog'!$K26), AND('ProductSprint Backlog'!$L26=K$2,'ProductSprint Backlog'!$K26=K$2), 'ProductSprint Backlog'!$M26, TRUE, 0)</f>
        <v>0</v>
      </c>
      <c r="L26" s="4" cm="1">
        <f t="array" ref="L26">_xlfn.IFS('ProductSprint Backlog'!$M26="", "", AND('ProductSprint Backlog'!$L26&gt;L$2,'ProductSprint Backlog'!$K26&lt;=L$2), 'ProductSprint Backlog'!$M26 / MAX(1, 'ProductSprint Backlog'!$L26-'ProductSprint Backlog'!$K26), AND('ProductSprint Backlog'!$L26=L$2,'ProductSprint Backlog'!$K26=L$2), 'ProductSprint Backlog'!$M26, TRUE, 0)</f>
        <v>0</v>
      </c>
      <c r="M26" s="4" cm="1">
        <f t="array" ref="M26">_xlfn.IFS('ProductSprint Backlog'!$M26="", "", AND('ProductSprint Backlog'!$L26&gt;M$2,'ProductSprint Backlog'!$K26&lt;=M$2), 'ProductSprint Backlog'!$M26 / MAX(1, 'ProductSprint Backlog'!$L26-'ProductSprint Backlog'!$K26), AND('ProductSprint Backlog'!$L26=M$2,'ProductSprint Backlog'!$K26=M$2), 'ProductSprint Backlog'!$M26, TRUE, 0)</f>
        <v>0</v>
      </c>
      <c r="N26" s="4" cm="1">
        <f t="array" ref="N26">_xlfn.IFS('ProductSprint Backlog'!$M26="", "", AND('ProductSprint Backlog'!$L26&gt;N$2,'ProductSprint Backlog'!$K26&lt;=N$2), 'ProductSprint Backlog'!$M26 / MAX(1, 'ProductSprint Backlog'!$L26-'ProductSprint Backlog'!$K26), AND('ProductSprint Backlog'!$L26=N$2,'ProductSprint Backlog'!$K26=N$2), 'ProductSprint Backlog'!$M26, TRUE, 0)</f>
        <v>0</v>
      </c>
      <c r="O26" s="4" cm="1">
        <f t="array" ref="O26">_xlfn.IFS('ProductSprint Backlog'!$M26="", "", AND('ProductSprint Backlog'!$L26&gt;O$2,'ProductSprint Backlog'!$K26&lt;=O$2), 'ProductSprint Backlog'!$M26 / MAX(1, 'ProductSprint Backlog'!$L26-'ProductSprint Backlog'!$K26), AND('ProductSprint Backlog'!$L26=O$2,'ProductSprint Backlog'!$K26=O$2), 'ProductSprint Backlog'!$M26, TRUE, 0)</f>
        <v>0</v>
      </c>
      <c r="P26" s="4" cm="1">
        <f t="array" ref="P26">_xlfn.IFS('ProductSprint Backlog'!$M26="", "", AND('ProductSprint Backlog'!$L26&gt;P$2,'ProductSprint Backlog'!$K26&lt;=P$2), 'ProductSprint Backlog'!$M26 / MAX(1, 'ProductSprint Backlog'!$L26-'ProductSprint Backlog'!$K26), AND('ProductSprint Backlog'!$L26=P$2,'ProductSprint Backlog'!$K26=P$2), 'ProductSprint Backlog'!$M26, TRUE, 0)</f>
        <v>0</v>
      </c>
    </row>
    <row r="27" spans="2:16" x14ac:dyDescent="0.2">
      <c r="B27" s="4" t="str" cm="1">
        <f t="array" ref="B27">_xlfn.IFS('ProductSprint Backlog'!$M27="", "", AND('ProductSprint Backlog'!$L27&gt;B$2,'ProductSprint Backlog'!$K27&lt;=B$2), 'ProductSprint Backlog'!$M27 / MAX(1, 'ProductSprint Backlog'!$L27-'ProductSprint Backlog'!$K27), AND('ProductSprint Backlog'!$L27=B$2,'ProductSprint Backlog'!$K27=B$2), 'ProductSprint Backlog'!$M27, TRUE, 0)</f>
        <v/>
      </c>
      <c r="C27" s="4" t="str" cm="1">
        <f t="array" ref="C27">_xlfn.IFS('ProductSprint Backlog'!$M27="", "", AND('ProductSprint Backlog'!$L27&gt;C$2,'ProductSprint Backlog'!$K27&lt;=C$2), 'ProductSprint Backlog'!$M27 / MAX(1, 'ProductSprint Backlog'!$L27-'ProductSprint Backlog'!$K27), AND('ProductSprint Backlog'!$L27=C$2,'ProductSprint Backlog'!$K27=C$2), 'ProductSprint Backlog'!$M27, TRUE, 0)</f>
        <v/>
      </c>
      <c r="D27" s="4" t="str" cm="1">
        <f t="array" ref="D27">_xlfn.IFS('ProductSprint Backlog'!$M27="", "", AND('ProductSprint Backlog'!$L27&gt;D$2,'ProductSprint Backlog'!$K27&lt;=D$2), 'ProductSprint Backlog'!$M27 / MAX(1, 'ProductSprint Backlog'!$L27-'ProductSprint Backlog'!$K27), AND('ProductSprint Backlog'!$L27=D$2,'ProductSprint Backlog'!$K27=D$2), 'ProductSprint Backlog'!$M27, TRUE, 0)</f>
        <v/>
      </c>
      <c r="E27" s="4" t="str" cm="1">
        <f t="array" ref="E27">_xlfn.IFS('ProductSprint Backlog'!$M27="", "", AND('ProductSprint Backlog'!$L27&gt;E$2,'ProductSprint Backlog'!$K27&lt;=E$2), 'ProductSprint Backlog'!$M27 / MAX(1, 'ProductSprint Backlog'!$L27-'ProductSprint Backlog'!$K27), AND('ProductSprint Backlog'!$L27=E$2,'ProductSprint Backlog'!$K27=E$2), 'ProductSprint Backlog'!$M27, TRUE, 0)</f>
        <v/>
      </c>
      <c r="F27" s="4" t="str" cm="1">
        <f t="array" ref="F27">_xlfn.IFS('ProductSprint Backlog'!$M27="", "", AND('ProductSprint Backlog'!$L27&gt;F$2,'ProductSprint Backlog'!$K27&lt;=F$2), 'ProductSprint Backlog'!$M27 / MAX(1, 'ProductSprint Backlog'!$L27-'ProductSprint Backlog'!$K27), AND('ProductSprint Backlog'!$L27=F$2,'ProductSprint Backlog'!$K27=F$2), 'ProductSprint Backlog'!$M27, TRUE, 0)</f>
        <v/>
      </c>
      <c r="G27" s="4" t="str" cm="1">
        <f t="array" ref="G27">_xlfn.IFS('ProductSprint Backlog'!$M27="", "", AND('ProductSprint Backlog'!$L27&gt;G$2,'ProductSprint Backlog'!$K27&lt;=G$2), 'ProductSprint Backlog'!$M27 / MAX(1, 'ProductSprint Backlog'!$L27-'ProductSprint Backlog'!$K27), AND('ProductSprint Backlog'!$L27=G$2,'ProductSprint Backlog'!$K27=G$2), 'ProductSprint Backlog'!$M27, TRUE, 0)</f>
        <v/>
      </c>
      <c r="H27" s="4" t="str" cm="1">
        <f t="array" ref="H27">_xlfn.IFS('ProductSprint Backlog'!$M27="", "", AND('ProductSprint Backlog'!$L27&gt;H$2,'ProductSprint Backlog'!$K27&lt;=H$2), 'ProductSprint Backlog'!$M27 / MAX(1, 'ProductSprint Backlog'!$L27-'ProductSprint Backlog'!$K27), AND('ProductSprint Backlog'!$L27=H$2,'ProductSprint Backlog'!$K27=H$2), 'ProductSprint Backlog'!$M27, TRUE, 0)</f>
        <v/>
      </c>
      <c r="I27" s="4" t="str" cm="1">
        <f t="array" ref="I27">_xlfn.IFS('ProductSprint Backlog'!$M27="", "", AND('ProductSprint Backlog'!$L27&gt;I$2,'ProductSprint Backlog'!$K27&lt;=I$2), 'ProductSprint Backlog'!$M27 / MAX(1, 'ProductSprint Backlog'!$L27-'ProductSprint Backlog'!$K27), AND('ProductSprint Backlog'!$L27=I$2,'ProductSprint Backlog'!$K27=I$2), 'ProductSprint Backlog'!$M27, TRUE, 0)</f>
        <v/>
      </c>
      <c r="J27" s="4" t="str" cm="1">
        <f t="array" ref="J27">_xlfn.IFS('ProductSprint Backlog'!$M27="", "", AND('ProductSprint Backlog'!$L27&gt;J$2,'ProductSprint Backlog'!$K27&lt;=J$2), 'ProductSprint Backlog'!$M27 / MAX(1, 'ProductSprint Backlog'!$L27-'ProductSprint Backlog'!$K27), AND('ProductSprint Backlog'!$L27=J$2,'ProductSprint Backlog'!$K27=J$2), 'ProductSprint Backlog'!$M27, TRUE, 0)</f>
        <v/>
      </c>
      <c r="K27" s="4" t="str" cm="1">
        <f t="array" ref="K27">_xlfn.IFS('ProductSprint Backlog'!$M27="", "", AND('ProductSprint Backlog'!$L27&gt;K$2,'ProductSprint Backlog'!$K27&lt;=K$2), 'ProductSprint Backlog'!$M27 / MAX(1, 'ProductSprint Backlog'!$L27-'ProductSprint Backlog'!$K27), AND('ProductSprint Backlog'!$L27=K$2,'ProductSprint Backlog'!$K27=K$2), 'ProductSprint Backlog'!$M27, TRUE, 0)</f>
        <v/>
      </c>
      <c r="L27" s="4" t="str" cm="1">
        <f t="array" ref="L27">_xlfn.IFS('ProductSprint Backlog'!$M27="", "", AND('ProductSprint Backlog'!$L27&gt;L$2,'ProductSprint Backlog'!$K27&lt;=L$2), 'ProductSprint Backlog'!$M27 / MAX(1, 'ProductSprint Backlog'!$L27-'ProductSprint Backlog'!$K27), AND('ProductSprint Backlog'!$L27=L$2,'ProductSprint Backlog'!$K27=L$2), 'ProductSprint Backlog'!$M27, TRUE, 0)</f>
        <v/>
      </c>
      <c r="M27" s="4" t="str" cm="1">
        <f t="array" ref="M27">_xlfn.IFS('ProductSprint Backlog'!$M27="", "", AND('ProductSprint Backlog'!$L27&gt;M$2,'ProductSprint Backlog'!$K27&lt;=M$2), 'ProductSprint Backlog'!$M27 / MAX(1, 'ProductSprint Backlog'!$L27-'ProductSprint Backlog'!$K27), AND('ProductSprint Backlog'!$L27=M$2,'ProductSprint Backlog'!$K27=M$2), 'ProductSprint Backlog'!$M27, TRUE, 0)</f>
        <v/>
      </c>
      <c r="N27" s="4" t="str" cm="1">
        <f t="array" ref="N27">_xlfn.IFS('ProductSprint Backlog'!$M27="", "", AND('ProductSprint Backlog'!$L27&gt;N$2,'ProductSprint Backlog'!$K27&lt;=N$2), 'ProductSprint Backlog'!$M27 / MAX(1, 'ProductSprint Backlog'!$L27-'ProductSprint Backlog'!$K27), AND('ProductSprint Backlog'!$L27=N$2,'ProductSprint Backlog'!$K27=N$2), 'ProductSprint Backlog'!$M27, TRUE, 0)</f>
        <v/>
      </c>
      <c r="O27" s="4" t="str" cm="1">
        <f t="array" ref="O27">_xlfn.IFS('ProductSprint Backlog'!$M27="", "", AND('ProductSprint Backlog'!$L27&gt;O$2,'ProductSprint Backlog'!$K27&lt;=O$2), 'ProductSprint Backlog'!$M27 / MAX(1, 'ProductSprint Backlog'!$L27-'ProductSprint Backlog'!$K27), AND('ProductSprint Backlog'!$L27=O$2,'ProductSprint Backlog'!$K27=O$2), 'ProductSprint Backlog'!$M27, TRUE, 0)</f>
        <v/>
      </c>
      <c r="P27" s="4" t="str" cm="1">
        <f t="array" ref="P27">_xlfn.IFS('ProductSprint Backlog'!$M27="", "", AND('ProductSprint Backlog'!$L27&gt;P$2,'ProductSprint Backlog'!$K27&lt;=P$2), 'ProductSprint Backlog'!$M27 / MAX(1, 'ProductSprint Backlog'!$L27-'ProductSprint Backlog'!$K27), AND('ProductSprint Backlog'!$L27=P$2,'ProductSprint Backlog'!$K27=P$2), 'ProductSprint Backlog'!$M27, TRUE, 0)</f>
        <v/>
      </c>
    </row>
    <row r="28" spans="2:16" x14ac:dyDescent="0.2">
      <c r="B28" s="4" cm="1">
        <f t="array" ref="B28">_xlfn.IFS('ProductSprint Backlog'!$M28="", "", AND('ProductSprint Backlog'!$L28&gt;B$2,'ProductSprint Backlog'!$K28&lt;=B$2), 'ProductSprint Backlog'!$M28 / MAX(1, 'ProductSprint Backlog'!$L28-'ProductSprint Backlog'!$K28), AND('ProductSprint Backlog'!$L28=B$2,'ProductSprint Backlog'!$K28=B$2), 'ProductSprint Backlog'!$M28, TRUE, 0)</f>
        <v>0</v>
      </c>
      <c r="C28" s="4" cm="1">
        <f t="array" ref="C28">_xlfn.IFS('ProductSprint Backlog'!$M28="", "", AND('ProductSprint Backlog'!$L28&gt;C$2,'ProductSprint Backlog'!$K28&lt;=C$2), 'ProductSprint Backlog'!$M28 / MAX(1, 'ProductSprint Backlog'!$L28-'ProductSprint Backlog'!$K28), AND('ProductSprint Backlog'!$L28=C$2,'ProductSprint Backlog'!$K28=C$2), 'ProductSprint Backlog'!$M28, TRUE, 0)</f>
        <v>0</v>
      </c>
      <c r="D28" s="4" cm="1">
        <f t="array" ref="D28">_xlfn.IFS('ProductSprint Backlog'!$M28="", "", AND('ProductSprint Backlog'!$L28&gt;D$2,'ProductSprint Backlog'!$K28&lt;=D$2), 'ProductSprint Backlog'!$M28 / MAX(1, 'ProductSprint Backlog'!$L28-'ProductSprint Backlog'!$K28), AND('ProductSprint Backlog'!$L28=D$2,'ProductSprint Backlog'!$K28=D$2), 'ProductSprint Backlog'!$M28, TRUE, 0)</f>
        <v>0</v>
      </c>
      <c r="E28" s="4" cm="1">
        <f t="array" ref="E28">_xlfn.IFS('ProductSprint Backlog'!$M28="", "", AND('ProductSprint Backlog'!$L28&gt;E$2,'ProductSprint Backlog'!$K28&lt;=E$2), 'ProductSprint Backlog'!$M28 / MAX(1, 'ProductSprint Backlog'!$L28-'ProductSprint Backlog'!$K28), AND('ProductSprint Backlog'!$L28=E$2,'ProductSprint Backlog'!$K28=E$2), 'ProductSprint Backlog'!$M28, TRUE, 0)</f>
        <v>0</v>
      </c>
      <c r="F28" s="4" cm="1">
        <f t="array" ref="F28">_xlfn.IFS('ProductSprint Backlog'!$M28="", "", AND('ProductSprint Backlog'!$L28&gt;F$2,'ProductSprint Backlog'!$K28&lt;=F$2), 'ProductSprint Backlog'!$M28 / MAX(1, 'ProductSprint Backlog'!$L28-'ProductSprint Backlog'!$K28), AND('ProductSprint Backlog'!$L28=F$2,'ProductSprint Backlog'!$K28=F$2), 'ProductSprint Backlog'!$M28, TRUE, 0)</f>
        <v>0</v>
      </c>
      <c r="G28" s="4" cm="1">
        <f t="array" ref="G28">_xlfn.IFS('ProductSprint Backlog'!$M28="", "", AND('ProductSprint Backlog'!$L28&gt;G$2,'ProductSprint Backlog'!$K28&lt;=G$2), 'ProductSprint Backlog'!$M28 / MAX(1, 'ProductSprint Backlog'!$L28-'ProductSprint Backlog'!$K28), AND('ProductSprint Backlog'!$L28=G$2,'ProductSprint Backlog'!$K28=G$2), 'ProductSprint Backlog'!$M28, TRUE, 0)</f>
        <v>0</v>
      </c>
      <c r="H28" s="4" cm="1">
        <f t="array" ref="H28">_xlfn.IFS('ProductSprint Backlog'!$M28="", "", AND('ProductSprint Backlog'!$L28&gt;H$2,'ProductSprint Backlog'!$K28&lt;=H$2), 'ProductSprint Backlog'!$M28 / MAX(1, 'ProductSprint Backlog'!$L28-'ProductSprint Backlog'!$K28), AND('ProductSprint Backlog'!$L28=H$2,'ProductSprint Backlog'!$K28=H$2), 'ProductSprint Backlog'!$M28, TRUE, 0)</f>
        <v>0</v>
      </c>
      <c r="I28" s="4" cm="1">
        <f t="array" ref="I28">_xlfn.IFS('ProductSprint Backlog'!$M28="", "", AND('ProductSprint Backlog'!$L28&gt;I$2,'ProductSprint Backlog'!$K28&lt;=I$2), 'ProductSprint Backlog'!$M28 / MAX(1, 'ProductSprint Backlog'!$L28-'ProductSprint Backlog'!$K28), AND('ProductSprint Backlog'!$L28=I$2,'ProductSprint Backlog'!$K28=I$2), 'ProductSprint Backlog'!$M28, TRUE, 0)</f>
        <v>0</v>
      </c>
      <c r="J28" s="4" cm="1">
        <f t="array" ref="J28">_xlfn.IFS('ProductSprint Backlog'!$M28="", "", AND('ProductSprint Backlog'!$L28&gt;J$2,'ProductSprint Backlog'!$K28&lt;=J$2), 'ProductSprint Backlog'!$M28 / MAX(1, 'ProductSprint Backlog'!$L28-'ProductSprint Backlog'!$K28), AND('ProductSprint Backlog'!$L28=J$2,'ProductSprint Backlog'!$K28=J$2), 'ProductSprint Backlog'!$M28, TRUE, 0)</f>
        <v>0.5</v>
      </c>
      <c r="K28" s="4" cm="1">
        <f t="array" ref="K28">_xlfn.IFS('ProductSprint Backlog'!$M28="", "", AND('ProductSprint Backlog'!$L28&gt;K$2,'ProductSprint Backlog'!$K28&lt;=K$2), 'ProductSprint Backlog'!$M28 / MAX(1, 'ProductSprint Backlog'!$L28-'ProductSprint Backlog'!$K28), AND('ProductSprint Backlog'!$L28=K$2,'ProductSprint Backlog'!$K28=K$2), 'ProductSprint Backlog'!$M28, TRUE, 0)</f>
        <v>0.5</v>
      </c>
      <c r="L28" s="4" cm="1">
        <f t="array" ref="L28">_xlfn.IFS('ProductSprint Backlog'!$M28="", "", AND('ProductSprint Backlog'!$L28&gt;L$2,'ProductSprint Backlog'!$K28&lt;=L$2), 'ProductSprint Backlog'!$M28 / MAX(1, 'ProductSprint Backlog'!$L28-'ProductSprint Backlog'!$K28), AND('ProductSprint Backlog'!$L28=L$2,'ProductSprint Backlog'!$K28=L$2), 'ProductSprint Backlog'!$M28, TRUE, 0)</f>
        <v>0</v>
      </c>
      <c r="M28" s="4" cm="1">
        <f t="array" ref="M28">_xlfn.IFS('ProductSprint Backlog'!$M28="", "", AND('ProductSprint Backlog'!$L28&gt;M$2,'ProductSprint Backlog'!$K28&lt;=M$2), 'ProductSprint Backlog'!$M28 / MAX(1, 'ProductSprint Backlog'!$L28-'ProductSprint Backlog'!$K28), AND('ProductSprint Backlog'!$L28=M$2,'ProductSprint Backlog'!$K28=M$2), 'ProductSprint Backlog'!$M28, TRUE, 0)</f>
        <v>0</v>
      </c>
      <c r="N28" s="4" cm="1">
        <f t="array" ref="N28">_xlfn.IFS('ProductSprint Backlog'!$M28="", "", AND('ProductSprint Backlog'!$L28&gt;N$2,'ProductSprint Backlog'!$K28&lt;=N$2), 'ProductSprint Backlog'!$M28 / MAX(1, 'ProductSprint Backlog'!$L28-'ProductSprint Backlog'!$K28), AND('ProductSprint Backlog'!$L28=N$2,'ProductSprint Backlog'!$K28=N$2), 'ProductSprint Backlog'!$M28, TRUE, 0)</f>
        <v>0</v>
      </c>
      <c r="O28" s="4" cm="1">
        <f t="array" ref="O28">_xlfn.IFS('ProductSprint Backlog'!$M28="", "", AND('ProductSprint Backlog'!$L28&gt;O$2,'ProductSprint Backlog'!$K28&lt;=O$2), 'ProductSprint Backlog'!$M28 / MAX(1, 'ProductSprint Backlog'!$L28-'ProductSprint Backlog'!$K28), AND('ProductSprint Backlog'!$L28=O$2,'ProductSprint Backlog'!$K28=O$2), 'ProductSprint Backlog'!$M28, TRUE, 0)</f>
        <v>0</v>
      </c>
      <c r="P28" s="4" cm="1">
        <f t="array" ref="P28">_xlfn.IFS('ProductSprint Backlog'!$M28="", "", AND('ProductSprint Backlog'!$L28&gt;P$2,'ProductSprint Backlog'!$K28&lt;=P$2), 'ProductSprint Backlog'!$M28 / MAX(1, 'ProductSprint Backlog'!$L28-'ProductSprint Backlog'!$K28), AND('ProductSprint Backlog'!$L28=P$2,'ProductSprint Backlog'!$K28=P$2), 'ProductSprint Backlog'!$M28, TRUE, 0)</f>
        <v>0</v>
      </c>
    </row>
    <row r="29" spans="2:16" x14ac:dyDescent="0.2">
      <c r="B29" s="4" cm="1">
        <f t="array" ref="B29">_xlfn.IFS('ProductSprint Backlog'!$M29="", "", AND('ProductSprint Backlog'!$L29&gt;B$2,'ProductSprint Backlog'!$K29&lt;=B$2), 'ProductSprint Backlog'!$M29 / MAX(1, 'ProductSprint Backlog'!$L29-'ProductSprint Backlog'!$K29), AND('ProductSprint Backlog'!$L29=B$2,'ProductSprint Backlog'!$K29=B$2), 'ProductSprint Backlog'!$M29, TRUE, 0)</f>
        <v>0</v>
      </c>
      <c r="C29" s="4" cm="1">
        <f t="array" ref="C29">_xlfn.IFS('ProductSprint Backlog'!$M29="", "", AND('ProductSprint Backlog'!$L29&gt;C$2,'ProductSprint Backlog'!$K29&lt;=C$2), 'ProductSprint Backlog'!$M29 / MAX(1, 'ProductSprint Backlog'!$L29-'ProductSprint Backlog'!$K29), AND('ProductSprint Backlog'!$L29=C$2,'ProductSprint Backlog'!$K29=C$2), 'ProductSprint Backlog'!$M29, TRUE, 0)</f>
        <v>0</v>
      </c>
      <c r="D29" s="4" cm="1">
        <f t="array" ref="D29">_xlfn.IFS('ProductSprint Backlog'!$M29="", "", AND('ProductSprint Backlog'!$L29&gt;D$2,'ProductSprint Backlog'!$K29&lt;=D$2), 'ProductSprint Backlog'!$M29 / MAX(1, 'ProductSprint Backlog'!$L29-'ProductSprint Backlog'!$K29), AND('ProductSprint Backlog'!$L29=D$2,'ProductSprint Backlog'!$K29=D$2), 'ProductSprint Backlog'!$M29, TRUE, 0)</f>
        <v>0</v>
      </c>
      <c r="E29" s="4" cm="1">
        <f t="array" ref="E29">_xlfn.IFS('ProductSprint Backlog'!$M29="", "", AND('ProductSprint Backlog'!$L29&gt;E$2,'ProductSprint Backlog'!$K29&lt;=E$2), 'ProductSprint Backlog'!$M29 / MAX(1, 'ProductSprint Backlog'!$L29-'ProductSprint Backlog'!$K29), AND('ProductSprint Backlog'!$L29=E$2,'ProductSprint Backlog'!$K29=E$2), 'ProductSprint Backlog'!$M29, TRUE, 0)</f>
        <v>0</v>
      </c>
      <c r="F29" s="4" cm="1">
        <f t="array" ref="F29">_xlfn.IFS('ProductSprint Backlog'!$M29="", "", AND('ProductSprint Backlog'!$L29&gt;F$2,'ProductSprint Backlog'!$K29&lt;=F$2), 'ProductSprint Backlog'!$M29 / MAX(1, 'ProductSprint Backlog'!$L29-'ProductSprint Backlog'!$K29), AND('ProductSprint Backlog'!$L29=F$2,'ProductSprint Backlog'!$K29=F$2), 'ProductSprint Backlog'!$M29, TRUE, 0)</f>
        <v>0</v>
      </c>
      <c r="G29" s="4" cm="1">
        <f t="array" ref="G29">_xlfn.IFS('ProductSprint Backlog'!$M29="", "", AND('ProductSprint Backlog'!$L29&gt;G$2,'ProductSprint Backlog'!$K29&lt;=G$2), 'ProductSprint Backlog'!$M29 / MAX(1, 'ProductSprint Backlog'!$L29-'ProductSprint Backlog'!$K29), AND('ProductSprint Backlog'!$L29=G$2,'ProductSprint Backlog'!$K29=G$2), 'ProductSprint Backlog'!$M29, TRUE, 0)</f>
        <v>0</v>
      </c>
      <c r="H29" s="4" cm="1">
        <f t="array" ref="H29">_xlfn.IFS('ProductSprint Backlog'!$M29="", "", AND('ProductSprint Backlog'!$L29&gt;H$2,'ProductSprint Backlog'!$K29&lt;=H$2), 'ProductSprint Backlog'!$M29 / MAX(1, 'ProductSprint Backlog'!$L29-'ProductSprint Backlog'!$K29), AND('ProductSprint Backlog'!$L29=H$2,'ProductSprint Backlog'!$K29=H$2), 'ProductSprint Backlog'!$M29, TRUE, 0)</f>
        <v>0</v>
      </c>
      <c r="I29" s="4" cm="1">
        <f t="array" ref="I29">_xlfn.IFS('ProductSprint Backlog'!$M29="", "", AND('ProductSprint Backlog'!$L29&gt;I$2,'ProductSprint Backlog'!$K29&lt;=I$2), 'ProductSprint Backlog'!$M29 / MAX(1, 'ProductSprint Backlog'!$L29-'ProductSprint Backlog'!$K29), AND('ProductSprint Backlog'!$L29=I$2,'ProductSprint Backlog'!$K29=I$2), 'ProductSprint Backlog'!$M29, TRUE, 0)</f>
        <v>0</v>
      </c>
      <c r="J29" s="4" cm="1">
        <f t="array" ref="J29">_xlfn.IFS('ProductSprint Backlog'!$M29="", "", AND('ProductSprint Backlog'!$L29&gt;J$2,'ProductSprint Backlog'!$K29&lt;=J$2), 'ProductSprint Backlog'!$M29 / MAX(1, 'ProductSprint Backlog'!$L29-'ProductSprint Backlog'!$K29), AND('ProductSprint Backlog'!$L29=J$2,'ProductSprint Backlog'!$K29=J$2), 'ProductSprint Backlog'!$M29, TRUE, 0)</f>
        <v>0</v>
      </c>
      <c r="K29" s="4" cm="1">
        <f t="array" ref="K29">_xlfn.IFS('ProductSprint Backlog'!$M29="", "", AND('ProductSprint Backlog'!$L29&gt;K$2,'ProductSprint Backlog'!$K29&lt;=K$2), 'ProductSprint Backlog'!$M29 / MAX(1, 'ProductSprint Backlog'!$L29-'ProductSprint Backlog'!$K29), AND('ProductSprint Backlog'!$L29=K$2,'ProductSprint Backlog'!$K29=K$2), 'ProductSprint Backlog'!$M29, TRUE, 0)</f>
        <v>0.5</v>
      </c>
      <c r="L29" s="4" cm="1">
        <f t="array" ref="L29">_xlfn.IFS('ProductSprint Backlog'!$M29="", "", AND('ProductSprint Backlog'!$L29&gt;L$2,'ProductSprint Backlog'!$K29&lt;=L$2), 'ProductSprint Backlog'!$M29 / MAX(1, 'ProductSprint Backlog'!$L29-'ProductSprint Backlog'!$K29), AND('ProductSprint Backlog'!$L29=L$2,'ProductSprint Backlog'!$K29=L$2), 'ProductSprint Backlog'!$M29, TRUE, 0)</f>
        <v>0</v>
      </c>
      <c r="M29" s="4" cm="1">
        <f t="array" ref="M29">_xlfn.IFS('ProductSprint Backlog'!$M29="", "", AND('ProductSprint Backlog'!$L29&gt;M$2,'ProductSprint Backlog'!$K29&lt;=M$2), 'ProductSprint Backlog'!$M29 / MAX(1, 'ProductSprint Backlog'!$L29-'ProductSprint Backlog'!$K29), AND('ProductSprint Backlog'!$L29=M$2,'ProductSprint Backlog'!$K29=M$2), 'ProductSprint Backlog'!$M29, TRUE, 0)</f>
        <v>0</v>
      </c>
      <c r="N29" s="4" cm="1">
        <f t="array" ref="N29">_xlfn.IFS('ProductSprint Backlog'!$M29="", "", AND('ProductSprint Backlog'!$L29&gt;N$2,'ProductSprint Backlog'!$K29&lt;=N$2), 'ProductSprint Backlog'!$M29 / MAX(1, 'ProductSprint Backlog'!$L29-'ProductSprint Backlog'!$K29), AND('ProductSprint Backlog'!$L29=N$2,'ProductSprint Backlog'!$K29=N$2), 'ProductSprint Backlog'!$M29, TRUE, 0)</f>
        <v>0</v>
      </c>
      <c r="O29" s="4" cm="1">
        <f t="array" ref="O29">_xlfn.IFS('ProductSprint Backlog'!$M29="", "", AND('ProductSprint Backlog'!$L29&gt;O$2,'ProductSprint Backlog'!$K29&lt;=O$2), 'ProductSprint Backlog'!$M29 / MAX(1, 'ProductSprint Backlog'!$L29-'ProductSprint Backlog'!$K29), AND('ProductSprint Backlog'!$L29=O$2,'ProductSprint Backlog'!$K29=O$2), 'ProductSprint Backlog'!$M29, TRUE, 0)</f>
        <v>0</v>
      </c>
      <c r="P29" s="4" cm="1">
        <f t="array" ref="P29">_xlfn.IFS('ProductSprint Backlog'!$M29="", "", AND('ProductSprint Backlog'!$L29&gt;P$2,'ProductSprint Backlog'!$K29&lt;=P$2), 'ProductSprint Backlog'!$M29 / MAX(1, 'ProductSprint Backlog'!$L29-'ProductSprint Backlog'!$K29), AND('ProductSprint Backlog'!$L29=P$2,'ProductSprint Backlog'!$K29=P$2), 'ProductSprint Backlog'!$M29, TRUE, 0)</f>
        <v>0</v>
      </c>
    </row>
    <row r="30" spans="2:16" x14ac:dyDescent="0.2">
      <c r="B30" s="4" cm="1">
        <f t="array" ref="B30">_xlfn.IFS('ProductSprint Backlog'!$M30="", "", AND('ProductSprint Backlog'!$L30&gt;B$2,'ProductSprint Backlog'!$K30&lt;=B$2), 'ProductSprint Backlog'!$M30 / MAX(1, 'ProductSprint Backlog'!$L30-'ProductSprint Backlog'!$K30), AND('ProductSprint Backlog'!$L30=B$2,'ProductSprint Backlog'!$K30=B$2), 'ProductSprint Backlog'!$M30, TRUE, 0)</f>
        <v>0</v>
      </c>
      <c r="C30" s="4" cm="1">
        <f t="array" ref="C30">_xlfn.IFS('ProductSprint Backlog'!$M30="", "", AND('ProductSprint Backlog'!$L30&gt;C$2,'ProductSprint Backlog'!$K30&lt;=C$2), 'ProductSprint Backlog'!$M30 / MAX(1, 'ProductSprint Backlog'!$L30-'ProductSprint Backlog'!$K30), AND('ProductSprint Backlog'!$L30=C$2,'ProductSprint Backlog'!$K30=C$2), 'ProductSprint Backlog'!$M30, TRUE, 0)</f>
        <v>0</v>
      </c>
      <c r="D30" s="4" cm="1">
        <f t="array" ref="D30">_xlfn.IFS('ProductSprint Backlog'!$M30="", "", AND('ProductSprint Backlog'!$L30&gt;D$2,'ProductSprint Backlog'!$K30&lt;=D$2), 'ProductSprint Backlog'!$M30 / MAX(1, 'ProductSprint Backlog'!$L30-'ProductSprint Backlog'!$K30), AND('ProductSprint Backlog'!$L30=D$2,'ProductSprint Backlog'!$K30=D$2), 'ProductSprint Backlog'!$M30, TRUE, 0)</f>
        <v>0</v>
      </c>
      <c r="E30" s="4" cm="1">
        <f t="array" ref="E30">_xlfn.IFS('ProductSprint Backlog'!$M30="", "", AND('ProductSprint Backlog'!$L30&gt;E$2,'ProductSprint Backlog'!$K30&lt;=E$2), 'ProductSprint Backlog'!$M30 / MAX(1, 'ProductSprint Backlog'!$L30-'ProductSprint Backlog'!$K30), AND('ProductSprint Backlog'!$L30=E$2,'ProductSprint Backlog'!$K30=E$2), 'ProductSprint Backlog'!$M30, TRUE, 0)</f>
        <v>0</v>
      </c>
      <c r="F30" s="4" cm="1">
        <f t="array" ref="F30">_xlfn.IFS('ProductSprint Backlog'!$M30="", "", AND('ProductSprint Backlog'!$L30&gt;F$2,'ProductSprint Backlog'!$K30&lt;=F$2), 'ProductSprint Backlog'!$M30 / MAX(1, 'ProductSprint Backlog'!$L30-'ProductSprint Backlog'!$K30), AND('ProductSprint Backlog'!$L30=F$2,'ProductSprint Backlog'!$K30=F$2), 'ProductSprint Backlog'!$M30, TRUE, 0)</f>
        <v>0</v>
      </c>
      <c r="G30" s="4" cm="1">
        <f t="array" ref="G30">_xlfn.IFS('ProductSprint Backlog'!$M30="", "", AND('ProductSprint Backlog'!$L30&gt;G$2,'ProductSprint Backlog'!$K30&lt;=G$2), 'ProductSprint Backlog'!$M30 / MAX(1, 'ProductSprint Backlog'!$L30-'ProductSprint Backlog'!$K30), AND('ProductSprint Backlog'!$L30=G$2,'ProductSprint Backlog'!$K30=G$2), 'ProductSprint Backlog'!$M30, TRUE, 0)</f>
        <v>0</v>
      </c>
      <c r="H30" s="4" cm="1">
        <f t="array" ref="H30">_xlfn.IFS('ProductSprint Backlog'!$M30="", "", AND('ProductSprint Backlog'!$L30&gt;H$2,'ProductSprint Backlog'!$K30&lt;=H$2), 'ProductSprint Backlog'!$M30 / MAX(1, 'ProductSprint Backlog'!$L30-'ProductSprint Backlog'!$K30), AND('ProductSprint Backlog'!$L30=H$2,'ProductSprint Backlog'!$K30=H$2), 'ProductSprint Backlog'!$M30, TRUE, 0)</f>
        <v>0</v>
      </c>
      <c r="I30" s="4" cm="1">
        <f t="array" ref="I30">_xlfn.IFS('ProductSprint Backlog'!$M30="", "", AND('ProductSprint Backlog'!$L30&gt;I$2,'ProductSprint Backlog'!$K30&lt;=I$2), 'ProductSprint Backlog'!$M30 / MAX(1, 'ProductSprint Backlog'!$L30-'ProductSprint Backlog'!$K30), AND('ProductSprint Backlog'!$L30=I$2,'ProductSprint Backlog'!$K30=I$2), 'ProductSprint Backlog'!$M30, TRUE, 0)</f>
        <v>0</v>
      </c>
      <c r="J30" s="4" cm="1">
        <f t="array" ref="J30">_xlfn.IFS('ProductSprint Backlog'!$M30="", "", AND('ProductSprint Backlog'!$L30&gt;J$2,'ProductSprint Backlog'!$K30&lt;=J$2), 'ProductSprint Backlog'!$M30 / MAX(1, 'ProductSprint Backlog'!$L30-'ProductSprint Backlog'!$K30), AND('ProductSprint Backlog'!$L30=J$2,'ProductSprint Backlog'!$K30=J$2), 'ProductSprint Backlog'!$M30, TRUE, 0)</f>
        <v>0</v>
      </c>
      <c r="K30" s="4" cm="1">
        <f t="array" ref="K30">_xlfn.IFS('ProductSprint Backlog'!$M30="", "", AND('ProductSprint Backlog'!$L30&gt;K$2,'ProductSprint Backlog'!$K30&lt;=K$2), 'ProductSprint Backlog'!$M30 / MAX(1, 'ProductSprint Backlog'!$L30-'ProductSprint Backlog'!$K30), AND('ProductSprint Backlog'!$L30=K$2,'ProductSprint Backlog'!$K30=K$2), 'ProductSprint Backlog'!$M30, TRUE, 0)</f>
        <v>1</v>
      </c>
      <c r="L30" s="4" cm="1">
        <f t="array" ref="L30">_xlfn.IFS('ProductSprint Backlog'!$M30="", "", AND('ProductSprint Backlog'!$L30&gt;L$2,'ProductSprint Backlog'!$K30&lt;=L$2), 'ProductSprint Backlog'!$M30 / MAX(1, 'ProductSprint Backlog'!$L30-'ProductSprint Backlog'!$K30), AND('ProductSprint Backlog'!$L30=L$2,'ProductSprint Backlog'!$K30=L$2), 'ProductSprint Backlog'!$M30, TRUE, 0)</f>
        <v>0</v>
      </c>
      <c r="M30" s="4" cm="1">
        <f t="array" ref="M30">_xlfn.IFS('ProductSprint Backlog'!$M30="", "", AND('ProductSprint Backlog'!$L30&gt;M$2,'ProductSprint Backlog'!$K30&lt;=M$2), 'ProductSprint Backlog'!$M30 / MAX(1, 'ProductSprint Backlog'!$L30-'ProductSprint Backlog'!$K30), AND('ProductSprint Backlog'!$L30=M$2,'ProductSprint Backlog'!$K30=M$2), 'ProductSprint Backlog'!$M30, TRUE, 0)</f>
        <v>0</v>
      </c>
      <c r="N30" s="4" cm="1">
        <f t="array" ref="N30">_xlfn.IFS('ProductSprint Backlog'!$M30="", "", AND('ProductSprint Backlog'!$L30&gt;N$2,'ProductSprint Backlog'!$K30&lt;=N$2), 'ProductSprint Backlog'!$M30 / MAX(1, 'ProductSprint Backlog'!$L30-'ProductSprint Backlog'!$K30), AND('ProductSprint Backlog'!$L30=N$2,'ProductSprint Backlog'!$K30=N$2), 'ProductSprint Backlog'!$M30, TRUE, 0)</f>
        <v>0</v>
      </c>
      <c r="O30" s="4" cm="1">
        <f t="array" ref="O30">_xlfn.IFS('ProductSprint Backlog'!$M30="", "", AND('ProductSprint Backlog'!$L30&gt;O$2,'ProductSprint Backlog'!$K30&lt;=O$2), 'ProductSprint Backlog'!$M30 / MAX(1, 'ProductSprint Backlog'!$L30-'ProductSprint Backlog'!$K30), AND('ProductSprint Backlog'!$L30=O$2,'ProductSprint Backlog'!$K30=O$2), 'ProductSprint Backlog'!$M30, TRUE, 0)</f>
        <v>0</v>
      </c>
      <c r="P30" s="4" cm="1">
        <f t="array" ref="P30">_xlfn.IFS('ProductSprint Backlog'!$M30="", "", AND('ProductSprint Backlog'!$L30&gt;P$2,'ProductSprint Backlog'!$K30&lt;=P$2), 'ProductSprint Backlog'!$M30 / MAX(1, 'ProductSprint Backlog'!$L30-'ProductSprint Backlog'!$K30), AND('ProductSprint Backlog'!$L30=P$2,'ProductSprint Backlog'!$K30=P$2), 'ProductSprint Backlog'!$M30, TRUE, 0)</f>
        <v>0</v>
      </c>
    </row>
    <row r="31" spans="2:16" x14ac:dyDescent="0.2">
      <c r="B31" s="4" t="str" cm="1">
        <f t="array" ref="B31">_xlfn.IFS('ProductSprint Backlog'!$M31="", "", AND('ProductSprint Backlog'!$L31&gt;B$2,'ProductSprint Backlog'!$K31&lt;=B$2), 'ProductSprint Backlog'!$M31 / MAX(1, 'ProductSprint Backlog'!$L31-'ProductSprint Backlog'!$K31), AND('ProductSprint Backlog'!$L31=B$2,'ProductSprint Backlog'!$K31=B$2), 'ProductSprint Backlog'!$M31, TRUE, 0)</f>
        <v/>
      </c>
      <c r="C31" s="4" t="str" cm="1">
        <f t="array" ref="C31">_xlfn.IFS('ProductSprint Backlog'!$M31="", "", AND('ProductSprint Backlog'!$L31&gt;C$2,'ProductSprint Backlog'!$K31&lt;=C$2), 'ProductSprint Backlog'!$M31 / MAX(1, 'ProductSprint Backlog'!$L31-'ProductSprint Backlog'!$K31), AND('ProductSprint Backlog'!$L31=C$2,'ProductSprint Backlog'!$K31=C$2), 'ProductSprint Backlog'!$M31, TRUE, 0)</f>
        <v/>
      </c>
      <c r="D31" s="4" t="str" cm="1">
        <f t="array" ref="D31">_xlfn.IFS('ProductSprint Backlog'!$M31="", "", AND('ProductSprint Backlog'!$L31&gt;D$2,'ProductSprint Backlog'!$K31&lt;=D$2), 'ProductSprint Backlog'!$M31 / MAX(1, 'ProductSprint Backlog'!$L31-'ProductSprint Backlog'!$K31), AND('ProductSprint Backlog'!$L31=D$2,'ProductSprint Backlog'!$K31=D$2), 'ProductSprint Backlog'!$M31, TRUE, 0)</f>
        <v/>
      </c>
      <c r="E31" s="4" t="str" cm="1">
        <f t="array" ref="E31">_xlfn.IFS('ProductSprint Backlog'!$M31="", "", AND('ProductSprint Backlog'!$L31&gt;E$2,'ProductSprint Backlog'!$K31&lt;=E$2), 'ProductSprint Backlog'!$M31 / MAX(1, 'ProductSprint Backlog'!$L31-'ProductSprint Backlog'!$K31), AND('ProductSprint Backlog'!$L31=E$2,'ProductSprint Backlog'!$K31=E$2), 'ProductSprint Backlog'!$M31, TRUE, 0)</f>
        <v/>
      </c>
      <c r="F31" s="4" t="str" cm="1">
        <f t="array" ref="F31">_xlfn.IFS('ProductSprint Backlog'!$M31="", "", AND('ProductSprint Backlog'!$L31&gt;F$2,'ProductSprint Backlog'!$K31&lt;=F$2), 'ProductSprint Backlog'!$M31 / MAX(1, 'ProductSprint Backlog'!$L31-'ProductSprint Backlog'!$K31), AND('ProductSprint Backlog'!$L31=F$2,'ProductSprint Backlog'!$K31=F$2), 'ProductSprint Backlog'!$M31, TRUE, 0)</f>
        <v/>
      </c>
      <c r="G31" s="4" t="str" cm="1">
        <f t="array" ref="G31">_xlfn.IFS('ProductSprint Backlog'!$M31="", "", AND('ProductSprint Backlog'!$L31&gt;G$2,'ProductSprint Backlog'!$K31&lt;=G$2), 'ProductSprint Backlog'!$M31 / MAX(1, 'ProductSprint Backlog'!$L31-'ProductSprint Backlog'!$K31), AND('ProductSprint Backlog'!$L31=G$2,'ProductSprint Backlog'!$K31=G$2), 'ProductSprint Backlog'!$M31, TRUE, 0)</f>
        <v/>
      </c>
      <c r="H31" s="4" t="str" cm="1">
        <f t="array" ref="H31">_xlfn.IFS('ProductSprint Backlog'!$M31="", "", AND('ProductSprint Backlog'!$L31&gt;H$2,'ProductSprint Backlog'!$K31&lt;=H$2), 'ProductSprint Backlog'!$M31 / MAX(1, 'ProductSprint Backlog'!$L31-'ProductSprint Backlog'!$K31), AND('ProductSprint Backlog'!$L31=H$2,'ProductSprint Backlog'!$K31=H$2), 'ProductSprint Backlog'!$M31, TRUE, 0)</f>
        <v/>
      </c>
      <c r="I31" s="4" t="str" cm="1">
        <f t="array" ref="I31">_xlfn.IFS('ProductSprint Backlog'!$M31="", "", AND('ProductSprint Backlog'!$L31&gt;I$2,'ProductSprint Backlog'!$K31&lt;=I$2), 'ProductSprint Backlog'!$M31 / MAX(1, 'ProductSprint Backlog'!$L31-'ProductSprint Backlog'!$K31), AND('ProductSprint Backlog'!$L31=I$2,'ProductSprint Backlog'!$K31=I$2), 'ProductSprint Backlog'!$M31, TRUE, 0)</f>
        <v/>
      </c>
      <c r="J31" s="4" t="str" cm="1">
        <f t="array" ref="J31">_xlfn.IFS('ProductSprint Backlog'!$M31="", "", AND('ProductSprint Backlog'!$L31&gt;J$2,'ProductSprint Backlog'!$K31&lt;=J$2), 'ProductSprint Backlog'!$M31 / MAX(1, 'ProductSprint Backlog'!$L31-'ProductSprint Backlog'!$K31), AND('ProductSprint Backlog'!$L31=J$2,'ProductSprint Backlog'!$K31=J$2), 'ProductSprint Backlog'!$M31, TRUE, 0)</f>
        <v/>
      </c>
      <c r="K31" s="4" t="str" cm="1">
        <f t="array" ref="K31">_xlfn.IFS('ProductSprint Backlog'!$M31="", "", AND('ProductSprint Backlog'!$L31&gt;K$2,'ProductSprint Backlog'!$K31&lt;=K$2), 'ProductSprint Backlog'!$M31 / MAX(1, 'ProductSprint Backlog'!$L31-'ProductSprint Backlog'!$K31), AND('ProductSprint Backlog'!$L31=K$2,'ProductSprint Backlog'!$K31=K$2), 'ProductSprint Backlog'!$M31, TRUE, 0)</f>
        <v/>
      </c>
      <c r="L31" s="4" t="str" cm="1">
        <f t="array" ref="L31">_xlfn.IFS('ProductSprint Backlog'!$M31="", "", AND('ProductSprint Backlog'!$L31&gt;L$2,'ProductSprint Backlog'!$K31&lt;=L$2), 'ProductSprint Backlog'!$M31 / MAX(1, 'ProductSprint Backlog'!$L31-'ProductSprint Backlog'!$K31), AND('ProductSprint Backlog'!$L31=L$2,'ProductSprint Backlog'!$K31=L$2), 'ProductSprint Backlog'!$M31, TRUE, 0)</f>
        <v/>
      </c>
      <c r="M31" s="4" t="str" cm="1">
        <f t="array" ref="M31">_xlfn.IFS('ProductSprint Backlog'!$M31="", "", AND('ProductSprint Backlog'!$L31&gt;M$2,'ProductSprint Backlog'!$K31&lt;=M$2), 'ProductSprint Backlog'!$M31 / MAX(1, 'ProductSprint Backlog'!$L31-'ProductSprint Backlog'!$K31), AND('ProductSprint Backlog'!$L31=M$2,'ProductSprint Backlog'!$K31=M$2), 'ProductSprint Backlog'!$M31, TRUE, 0)</f>
        <v/>
      </c>
      <c r="N31" s="4" t="str" cm="1">
        <f t="array" ref="N31">_xlfn.IFS('ProductSprint Backlog'!$M31="", "", AND('ProductSprint Backlog'!$L31&gt;N$2,'ProductSprint Backlog'!$K31&lt;=N$2), 'ProductSprint Backlog'!$M31 / MAX(1, 'ProductSprint Backlog'!$L31-'ProductSprint Backlog'!$K31), AND('ProductSprint Backlog'!$L31=N$2,'ProductSprint Backlog'!$K31=N$2), 'ProductSprint Backlog'!$M31, TRUE, 0)</f>
        <v/>
      </c>
      <c r="O31" s="4" t="str" cm="1">
        <f t="array" ref="O31">_xlfn.IFS('ProductSprint Backlog'!$M31="", "", AND('ProductSprint Backlog'!$L31&gt;O$2,'ProductSprint Backlog'!$K31&lt;=O$2), 'ProductSprint Backlog'!$M31 / MAX(1, 'ProductSprint Backlog'!$L31-'ProductSprint Backlog'!$K31), AND('ProductSprint Backlog'!$L31=O$2,'ProductSprint Backlog'!$K31=O$2), 'ProductSprint Backlog'!$M31, TRUE, 0)</f>
        <v/>
      </c>
      <c r="P31" s="4" t="str" cm="1">
        <f t="array" ref="P31">_xlfn.IFS('ProductSprint Backlog'!$M31="", "", AND('ProductSprint Backlog'!$L31&gt;P$2,'ProductSprint Backlog'!$K31&lt;=P$2), 'ProductSprint Backlog'!$M31 / MAX(1, 'ProductSprint Backlog'!$L31-'ProductSprint Backlog'!$K31), AND('ProductSprint Backlog'!$L31=P$2,'ProductSprint Backlog'!$K31=P$2), 'ProductSprint Backlog'!$M31, TRUE, 0)</f>
        <v/>
      </c>
    </row>
    <row r="32" spans="2:16" x14ac:dyDescent="0.2">
      <c r="B32" s="4" cm="1">
        <f t="array" ref="B32">_xlfn.IFS('ProductSprint Backlog'!$M32="", "", AND('ProductSprint Backlog'!$L32&gt;B$2,'ProductSprint Backlog'!$K32&lt;=B$2), 'ProductSprint Backlog'!$M32 / MAX(1, 'ProductSprint Backlog'!$L32-'ProductSprint Backlog'!$K32), AND('ProductSprint Backlog'!$L32=B$2,'ProductSprint Backlog'!$K32=B$2), 'ProductSprint Backlog'!$M32, TRUE, 0)</f>
        <v>0</v>
      </c>
      <c r="C32" s="4" cm="1">
        <f t="array" ref="C32">_xlfn.IFS('ProductSprint Backlog'!$M32="", "", AND('ProductSprint Backlog'!$L32&gt;C$2,'ProductSprint Backlog'!$K32&lt;=C$2), 'ProductSprint Backlog'!$M32 / MAX(1, 'ProductSprint Backlog'!$L32-'ProductSprint Backlog'!$K32), AND('ProductSprint Backlog'!$L32=C$2,'ProductSprint Backlog'!$K32=C$2), 'ProductSprint Backlog'!$M32, TRUE, 0)</f>
        <v>1</v>
      </c>
      <c r="D32" s="4" cm="1">
        <f t="array" ref="D32">_xlfn.IFS('ProductSprint Backlog'!$M32="", "", AND('ProductSprint Backlog'!$L32&gt;D$2,'ProductSprint Backlog'!$K32&lt;=D$2), 'ProductSprint Backlog'!$M32 / MAX(1, 'ProductSprint Backlog'!$L32-'ProductSprint Backlog'!$K32), AND('ProductSprint Backlog'!$L32=D$2,'ProductSprint Backlog'!$K32=D$2), 'ProductSprint Backlog'!$M32, TRUE, 0)</f>
        <v>1</v>
      </c>
      <c r="E32" s="4" cm="1">
        <f t="array" ref="E32">_xlfn.IFS('ProductSprint Backlog'!$M32="", "", AND('ProductSprint Backlog'!$L32&gt;E$2,'ProductSprint Backlog'!$K32&lt;=E$2), 'ProductSprint Backlog'!$M32 / MAX(1, 'ProductSprint Backlog'!$L32-'ProductSprint Backlog'!$K32), AND('ProductSprint Backlog'!$L32=E$2,'ProductSprint Backlog'!$K32=E$2), 'ProductSprint Backlog'!$M32, TRUE, 0)</f>
        <v>1</v>
      </c>
      <c r="F32" s="4" cm="1">
        <f t="array" ref="F32">_xlfn.IFS('ProductSprint Backlog'!$M32="", "", AND('ProductSprint Backlog'!$L32&gt;F$2,'ProductSprint Backlog'!$K32&lt;=F$2), 'ProductSprint Backlog'!$M32 / MAX(1, 'ProductSprint Backlog'!$L32-'ProductSprint Backlog'!$K32), AND('ProductSprint Backlog'!$L32=F$2,'ProductSprint Backlog'!$K32=F$2), 'ProductSprint Backlog'!$M32, TRUE, 0)</f>
        <v>0</v>
      </c>
      <c r="G32" s="4" cm="1">
        <f t="array" ref="G32">_xlfn.IFS('ProductSprint Backlog'!$M32="", "", AND('ProductSprint Backlog'!$L32&gt;G$2,'ProductSprint Backlog'!$K32&lt;=G$2), 'ProductSprint Backlog'!$M32 / MAX(1, 'ProductSprint Backlog'!$L32-'ProductSprint Backlog'!$K32), AND('ProductSprint Backlog'!$L32=G$2,'ProductSprint Backlog'!$K32=G$2), 'ProductSprint Backlog'!$M32, TRUE, 0)</f>
        <v>0</v>
      </c>
      <c r="H32" s="4" cm="1">
        <f t="array" ref="H32">_xlfn.IFS('ProductSprint Backlog'!$M32="", "", AND('ProductSprint Backlog'!$L32&gt;H$2,'ProductSprint Backlog'!$K32&lt;=H$2), 'ProductSprint Backlog'!$M32 / MAX(1, 'ProductSprint Backlog'!$L32-'ProductSprint Backlog'!$K32), AND('ProductSprint Backlog'!$L32=H$2,'ProductSprint Backlog'!$K32=H$2), 'ProductSprint Backlog'!$M32, TRUE, 0)</f>
        <v>0</v>
      </c>
      <c r="I32" s="4" cm="1">
        <f t="array" ref="I32">_xlfn.IFS('ProductSprint Backlog'!$M32="", "", AND('ProductSprint Backlog'!$L32&gt;I$2,'ProductSprint Backlog'!$K32&lt;=I$2), 'ProductSprint Backlog'!$M32 / MAX(1, 'ProductSprint Backlog'!$L32-'ProductSprint Backlog'!$K32), AND('ProductSprint Backlog'!$L32=I$2,'ProductSprint Backlog'!$K32=I$2), 'ProductSprint Backlog'!$M32, TRUE, 0)</f>
        <v>0</v>
      </c>
      <c r="J32" s="4" cm="1">
        <f t="array" ref="J32">_xlfn.IFS('ProductSprint Backlog'!$M32="", "", AND('ProductSprint Backlog'!$L32&gt;J$2,'ProductSprint Backlog'!$K32&lt;=J$2), 'ProductSprint Backlog'!$M32 / MAX(1, 'ProductSprint Backlog'!$L32-'ProductSprint Backlog'!$K32), AND('ProductSprint Backlog'!$L32=J$2,'ProductSprint Backlog'!$K32=J$2), 'ProductSprint Backlog'!$M32, TRUE, 0)</f>
        <v>0</v>
      </c>
      <c r="K32" s="4" cm="1">
        <f t="array" ref="K32">_xlfn.IFS('ProductSprint Backlog'!$M32="", "", AND('ProductSprint Backlog'!$L32&gt;K$2,'ProductSprint Backlog'!$K32&lt;=K$2), 'ProductSprint Backlog'!$M32 / MAX(1, 'ProductSprint Backlog'!$L32-'ProductSprint Backlog'!$K32), AND('ProductSprint Backlog'!$L32=K$2,'ProductSprint Backlog'!$K32=K$2), 'ProductSprint Backlog'!$M32, TRUE, 0)</f>
        <v>0</v>
      </c>
      <c r="L32" s="4" cm="1">
        <f t="array" ref="L32">_xlfn.IFS('ProductSprint Backlog'!$M32="", "", AND('ProductSprint Backlog'!$L32&gt;L$2,'ProductSprint Backlog'!$K32&lt;=L$2), 'ProductSprint Backlog'!$M32 / MAX(1, 'ProductSprint Backlog'!$L32-'ProductSprint Backlog'!$K32), AND('ProductSprint Backlog'!$L32=L$2,'ProductSprint Backlog'!$K32=L$2), 'ProductSprint Backlog'!$M32, TRUE, 0)</f>
        <v>0</v>
      </c>
      <c r="M32" s="4" cm="1">
        <f t="array" ref="M32">_xlfn.IFS('ProductSprint Backlog'!$M32="", "", AND('ProductSprint Backlog'!$L32&gt;M$2,'ProductSprint Backlog'!$K32&lt;=M$2), 'ProductSprint Backlog'!$M32 / MAX(1, 'ProductSprint Backlog'!$L32-'ProductSprint Backlog'!$K32), AND('ProductSprint Backlog'!$L32=M$2,'ProductSprint Backlog'!$K32=M$2), 'ProductSprint Backlog'!$M32, TRUE, 0)</f>
        <v>0</v>
      </c>
      <c r="N32" s="4" cm="1">
        <f t="array" ref="N32">_xlfn.IFS('ProductSprint Backlog'!$M32="", "", AND('ProductSprint Backlog'!$L32&gt;N$2,'ProductSprint Backlog'!$K32&lt;=N$2), 'ProductSprint Backlog'!$M32 / MAX(1, 'ProductSprint Backlog'!$L32-'ProductSprint Backlog'!$K32), AND('ProductSprint Backlog'!$L32=N$2,'ProductSprint Backlog'!$K32=N$2), 'ProductSprint Backlog'!$M32, TRUE, 0)</f>
        <v>0</v>
      </c>
      <c r="O32" s="4" cm="1">
        <f t="array" ref="O32">_xlfn.IFS('ProductSprint Backlog'!$M32="", "", AND('ProductSprint Backlog'!$L32&gt;O$2,'ProductSprint Backlog'!$K32&lt;=O$2), 'ProductSprint Backlog'!$M32 / MAX(1, 'ProductSprint Backlog'!$L32-'ProductSprint Backlog'!$K32), AND('ProductSprint Backlog'!$L32=O$2,'ProductSprint Backlog'!$K32=O$2), 'ProductSprint Backlog'!$M32, TRUE, 0)</f>
        <v>0</v>
      </c>
      <c r="P32" s="4" cm="1">
        <f t="array" ref="P32">_xlfn.IFS('ProductSprint Backlog'!$M32="", "", AND('ProductSprint Backlog'!$L32&gt;P$2,'ProductSprint Backlog'!$K32&lt;=P$2), 'ProductSprint Backlog'!$M32 / MAX(1, 'ProductSprint Backlog'!$L32-'ProductSprint Backlog'!$K32), AND('ProductSprint Backlog'!$L32=P$2,'ProductSprint Backlog'!$K32=P$2), 'ProductSprint Backlog'!$M32, TRUE, 0)</f>
        <v>0</v>
      </c>
    </row>
    <row r="33" spans="2:16" x14ac:dyDescent="0.2">
      <c r="B33" s="4" cm="1">
        <f t="array" ref="B33">_xlfn.IFS('ProductSprint Backlog'!$M33="", "", AND('ProductSprint Backlog'!$L33&gt;B$2,'ProductSprint Backlog'!$K33&lt;=B$2), 'ProductSprint Backlog'!$M33 / MAX(1, 'ProductSprint Backlog'!$L33-'ProductSprint Backlog'!$K33), AND('ProductSprint Backlog'!$L33=B$2,'ProductSprint Backlog'!$K33=B$2), 'ProductSprint Backlog'!$M33, TRUE, 0)</f>
        <v>0</v>
      </c>
      <c r="C33" s="4" cm="1">
        <f t="array" ref="C33">_xlfn.IFS('ProductSprint Backlog'!$M33="", "", AND('ProductSprint Backlog'!$L33&gt;C$2,'ProductSprint Backlog'!$K33&lt;=C$2), 'ProductSprint Backlog'!$M33 / MAX(1, 'ProductSprint Backlog'!$L33-'ProductSprint Backlog'!$K33), AND('ProductSprint Backlog'!$L33=C$2,'ProductSprint Backlog'!$K33=C$2), 'ProductSprint Backlog'!$M33, TRUE, 0)</f>
        <v>0</v>
      </c>
      <c r="D33" s="4" cm="1">
        <f t="array" ref="D33">_xlfn.IFS('ProductSprint Backlog'!$M33="", "", AND('ProductSprint Backlog'!$L33&gt;D$2,'ProductSprint Backlog'!$K33&lt;=D$2), 'ProductSprint Backlog'!$M33 / MAX(1, 'ProductSprint Backlog'!$L33-'ProductSprint Backlog'!$K33), AND('ProductSprint Backlog'!$L33=D$2,'ProductSprint Backlog'!$K33=D$2), 'ProductSprint Backlog'!$M33, TRUE, 0)</f>
        <v>0</v>
      </c>
      <c r="E33" s="4" cm="1">
        <f t="array" ref="E33">_xlfn.IFS('ProductSprint Backlog'!$M33="", "", AND('ProductSprint Backlog'!$L33&gt;E$2,'ProductSprint Backlog'!$K33&lt;=E$2), 'ProductSprint Backlog'!$M33 / MAX(1, 'ProductSprint Backlog'!$L33-'ProductSprint Backlog'!$K33), AND('ProductSprint Backlog'!$L33=E$2,'ProductSprint Backlog'!$K33=E$2), 'ProductSprint Backlog'!$M33, TRUE, 0)</f>
        <v>2</v>
      </c>
      <c r="F33" s="4" cm="1">
        <f t="array" ref="F33">_xlfn.IFS('ProductSprint Backlog'!$M33="", "", AND('ProductSprint Backlog'!$L33&gt;F$2,'ProductSprint Backlog'!$K33&lt;=F$2), 'ProductSprint Backlog'!$M33 / MAX(1, 'ProductSprint Backlog'!$L33-'ProductSprint Backlog'!$K33), AND('ProductSprint Backlog'!$L33=F$2,'ProductSprint Backlog'!$K33=F$2), 'ProductSprint Backlog'!$M33, TRUE, 0)</f>
        <v>0</v>
      </c>
      <c r="G33" s="4" cm="1">
        <f t="array" ref="G33">_xlfn.IFS('ProductSprint Backlog'!$M33="", "", AND('ProductSprint Backlog'!$L33&gt;G$2,'ProductSprint Backlog'!$K33&lt;=G$2), 'ProductSprint Backlog'!$M33 / MAX(1, 'ProductSprint Backlog'!$L33-'ProductSprint Backlog'!$K33), AND('ProductSprint Backlog'!$L33=G$2,'ProductSprint Backlog'!$K33=G$2), 'ProductSprint Backlog'!$M33, TRUE, 0)</f>
        <v>0</v>
      </c>
      <c r="H33" s="4" cm="1">
        <f t="array" ref="H33">_xlfn.IFS('ProductSprint Backlog'!$M33="", "", AND('ProductSprint Backlog'!$L33&gt;H$2,'ProductSprint Backlog'!$K33&lt;=H$2), 'ProductSprint Backlog'!$M33 / MAX(1, 'ProductSprint Backlog'!$L33-'ProductSprint Backlog'!$K33), AND('ProductSprint Backlog'!$L33=H$2,'ProductSprint Backlog'!$K33=H$2), 'ProductSprint Backlog'!$M33, TRUE, 0)</f>
        <v>0</v>
      </c>
      <c r="I33" s="4" cm="1">
        <f t="array" ref="I33">_xlfn.IFS('ProductSprint Backlog'!$M33="", "", AND('ProductSprint Backlog'!$L33&gt;I$2,'ProductSprint Backlog'!$K33&lt;=I$2), 'ProductSprint Backlog'!$M33 / MAX(1, 'ProductSprint Backlog'!$L33-'ProductSprint Backlog'!$K33), AND('ProductSprint Backlog'!$L33=I$2,'ProductSprint Backlog'!$K33=I$2), 'ProductSprint Backlog'!$M33, TRUE, 0)</f>
        <v>0</v>
      </c>
      <c r="J33" s="4" cm="1">
        <f t="array" ref="J33">_xlfn.IFS('ProductSprint Backlog'!$M33="", "", AND('ProductSprint Backlog'!$L33&gt;J$2,'ProductSprint Backlog'!$K33&lt;=J$2), 'ProductSprint Backlog'!$M33 / MAX(1, 'ProductSprint Backlog'!$L33-'ProductSprint Backlog'!$K33), AND('ProductSprint Backlog'!$L33=J$2,'ProductSprint Backlog'!$K33=J$2), 'ProductSprint Backlog'!$M33, TRUE, 0)</f>
        <v>0</v>
      </c>
      <c r="K33" s="4" cm="1">
        <f t="array" ref="K33">_xlfn.IFS('ProductSprint Backlog'!$M33="", "", AND('ProductSprint Backlog'!$L33&gt;K$2,'ProductSprint Backlog'!$K33&lt;=K$2), 'ProductSprint Backlog'!$M33 / MAX(1, 'ProductSprint Backlog'!$L33-'ProductSprint Backlog'!$K33), AND('ProductSprint Backlog'!$L33=K$2,'ProductSprint Backlog'!$K33=K$2), 'ProductSprint Backlog'!$M33, TRUE, 0)</f>
        <v>0</v>
      </c>
      <c r="L33" s="4" cm="1">
        <f t="array" ref="L33">_xlfn.IFS('ProductSprint Backlog'!$M33="", "", AND('ProductSprint Backlog'!$L33&gt;L$2,'ProductSprint Backlog'!$K33&lt;=L$2), 'ProductSprint Backlog'!$M33 / MAX(1, 'ProductSprint Backlog'!$L33-'ProductSprint Backlog'!$K33), AND('ProductSprint Backlog'!$L33=L$2,'ProductSprint Backlog'!$K33=L$2), 'ProductSprint Backlog'!$M33, TRUE, 0)</f>
        <v>0</v>
      </c>
      <c r="M33" s="4" cm="1">
        <f t="array" ref="M33">_xlfn.IFS('ProductSprint Backlog'!$M33="", "", AND('ProductSprint Backlog'!$L33&gt;M$2,'ProductSprint Backlog'!$K33&lt;=M$2), 'ProductSprint Backlog'!$M33 / MAX(1, 'ProductSprint Backlog'!$L33-'ProductSprint Backlog'!$K33), AND('ProductSprint Backlog'!$L33=M$2,'ProductSprint Backlog'!$K33=M$2), 'ProductSprint Backlog'!$M33, TRUE, 0)</f>
        <v>0</v>
      </c>
      <c r="N33" s="4" cm="1">
        <f t="array" ref="N33">_xlfn.IFS('ProductSprint Backlog'!$M33="", "", AND('ProductSprint Backlog'!$L33&gt;N$2,'ProductSprint Backlog'!$K33&lt;=N$2), 'ProductSprint Backlog'!$M33 / MAX(1, 'ProductSprint Backlog'!$L33-'ProductSprint Backlog'!$K33), AND('ProductSprint Backlog'!$L33=N$2,'ProductSprint Backlog'!$K33=N$2), 'ProductSprint Backlog'!$M33, TRUE, 0)</f>
        <v>0</v>
      </c>
      <c r="O33" s="4" cm="1">
        <f t="array" ref="O33">_xlfn.IFS('ProductSprint Backlog'!$M33="", "", AND('ProductSprint Backlog'!$L33&gt;O$2,'ProductSprint Backlog'!$K33&lt;=O$2), 'ProductSprint Backlog'!$M33 / MAX(1, 'ProductSprint Backlog'!$L33-'ProductSprint Backlog'!$K33), AND('ProductSprint Backlog'!$L33=O$2,'ProductSprint Backlog'!$K33=O$2), 'ProductSprint Backlog'!$M33, TRUE, 0)</f>
        <v>0</v>
      </c>
      <c r="P33" s="4" cm="1">
        <f t="array" ref="P33">_xlfn.IFS('ProductSprint Backlog'!$M33="", "", AND('ProductSprint Backlog'!$L33&gt;P$2,'ProductSprint Backlog'!$K33&lt;=P$2), 'ProductSprint Backlog'!$M33 / MAX(1, 'ProductSprint Backlog'!$L33-'ProductSprint Backlog'!$K33), AND('ProductSprint Backlog'!$L33=P$2,'ProductSprint Backlog'!$K33=P$2), 'ProductSprint Backlog'!$M33, TRUE, 0)</f>
        <v>0</v>
      </c>
    </row>
    <row r="34" spans="2:16" x14ac:dyDescent="0.2">
      <c r="B34" s="4" cm="1">
        <f t="array" ref="B34">_xlfn.IFS('ProductSprint Backlog'!$M34="", "", AND('ProductSprint Backlog'!$L34&gt;B$2,'ProductSprint Backlog'!$K34&lt;=B$2), 'ProductSprint Backlog'!$M34 / MAX(1, 'ProductSprint Backlog'!$L34-'ProductSprint Backlog'!$K34), AND('ProductSprint Backlog'!$L34=B$2,'ProductSprint Backlog'!$K34=B$2), 'ProductSprint Backlog'!$M34, TRUE, 0)</f>
        <v>0</v>
      </c>
      <c r="C34" s="4" cm="1">
        <f t="array" ref="C34">_xlfn.IFS('ProductSprint Backlog'!$M34="", "", AND('ProductSprint Backlog'!$L34&gt;C$2,'ProductSprint Backlog'!$K34&lt;=C$2), 'ProductSprint Backlog'!$M34 / MAX(1, 'ProductSprint Backlog'!$L34-'ProductSprint Backlog'!$K34), AND('ProductSprint Backlog'!$L34=C$2,'ProductSprint Backlog'!$K34=C$2), 'ProductSprint Backlog'!$M34, TRUE, 0)</f>
        <v>0</v>
      </c>
      <c r="D34" s="4" cm="1">
        <f t="array" ref="D34">_xlfn.IFS('ProductSprint Backlog'!$M34="", "", AND('ProductSprint Backlog'!$L34&gt;D$2,'ProductSprint Backlog'!$K34&lt;=D$2), 'ProductSprint Backlog'!$M34 / MAX(1, 'ProductSprint Backlog'!$L34-'ProductSprint Backlog'!$K34), AND('ProductSprint Backlog'!$L34=D$2,'ProductSprint Backlog'!$K34=D$2), 'ProductSprint Backlog'!$M34, TRUE, 0)</f>
        <v>0</v>
      </c>
      <c r="E34" s="4" cm="1">
        <f t="array" ref="E34">_xlfn.IFS('ProductSprint Backlog'!$M34="", "", AND('ProductSprint Backlog'!$L34&gt;E$2,'ProductSprint Backlog'!$K34&lt;=E$2), 'ProductSprint Backlog'!$M34 / MAX(1, 'ProductSprint Backlog'!$L34-'ProductSprint Backlog'!$K34), AND('ProductSprint Backlog'!$L34=E$2,'ProductSprint Backlog'!$K34=E$2), 'ProductSprint Backlog'!$M34, TRUE, 0)</f>
        <v>0</v>
      </c>
      <c r="F34" s="4" cm="1">
        <f t="array" ref="F34">_xlfn.IFS('ProductSprint Backlog'!$M34="", "", AND('ProductSprint Backlog'!$L34&gt;F$2,'ProductSprint Backlog'!$K34&lt;=F$2), 'ProductSprint Backlog'!$M34 / MAX(1, 'ProductSprint Backlog'!$L34-'ProductSprint Backlog'!$K34), AND('ProductSprint Backlog'!$L34=F$2,'ProductSprint Backlog'!$K34=F$2), 'ProductSprint Backlog'!$M34, TRUE, 0)</f>
        <v>1</v>
      </c>
      <c r="G34" s="4" cm="1">
        <f t="array" ref="G34">_xlfn.IFS('ProductSprint Backlog'!$M34="", "", AND('ProductSprint Backlog'!$L34&gt;G$2,'ProductSprint Backlog'!$K34&lt;=G$2), 'ProductSprint Backlog'!$M34 / MAX(1, 'ProductSprint Backlog'!$L34-'ProductSprint Backlog'!$K34), AND('ProductSprint Backlog'!$L34=G$2,'ProductSprint Backlog'!$K34=G$2), 'ProductSprint Backlog'!$M34, TRUE, 0)</f>
        <v>0</v>
      </c>
      <c r="H34" s="4" cm="1">
        <f t="array" ref="H34">_xlfn.IFS('ProductSprint Backlog'!$M34="", "", AND('ProductSprint Backlog'!$L34&gt;H$2,'ProductSprint Backlog'!$K34&lt;=H$2), 'ProductSprint Backlog'!$M34 / MAX(1, 'ProductSprint Backlog'!$L34-'ProductSprint Backlog'!$K34), AND('ProductSprint Backlog'!$L34=H$2,'ProductSprint Backlog'!$K34=H$2), 'ProductSprint Backlog'!$M34, TRUE, 0)</f>
        <v>0</v>
      </c>
      <c r="I34" s="4" cm="1">
        <f t="array" ref="I34">_xlfn.IFS('ProductSprint Backlog'!$M34="", "", AND('ProductSprint Backlog'!$L34&gt;I$2,'ProductSprint Backlog'!$K34&lt;=I$2), 'ProductSprint Backlog'!$M34 / MAX(1, 'ProductSprint Backlog'!$L34-'ProductSprint Backlog'!$K34), AND('ProductSprint Backlog'!$L34=I$2,'ProductSprint Backlog'!$K34=I$2), 'ProductSprint Backlog'!$M34, TRUE, 0)</f>
        <v>0</v>
      </c>
      <c r="J34" s="4" cm="1">
        <f t="array" ref="J34">_xlfn.IFS('ProductSprint Backlog'!$M34="", "", AND('ProductSprint Backlog'!$L34&gt;J$2,'ProductSprint Backlog'!$K34&lt;=J$2), 'ProductSprint Backlog'!$M34 / MAX(1, 'ProductSprint Backlog'!$L34-'ProductSprint Backlog'!$K34), AND('ProductSprint Backlog'!$L34=J$2,'ProductSprint Backlog'!$K34=J$2), 'ProductSprint Backlog'!$M34, TRUE, 0)</f>
        <v>0</v>
      </c>
      <c r="K34" s="4" cm="1">
        <f t="array" ref="K34">_xlfn.IFS('ProductSprint Backlog'!$M34="", "", AND('ProductSprint Backlog'!$L34&gt;K$2,'ProductSprint Backlog'!$K34&lt;=K$2), 'ProductSprint Backlog'!$M34 / MAX(1, 'ProductSprint Backlog'!$L34-'ProductSprint Backlog'!$K34), AND('ProductSprint Backlog'!$L34=K$2,'ProductSprint Backlog'!$K34=K$2), 'ProductSprint Backlog'!$M34, TRUE, 0)</f>
        <v>0</v>
      </c>
      <c r="L34" s="4" cm="1">
        <f t="array" ref="L34">_xlfn.IFS('ProductSprint Backlog'!$M34="", "", AND('ProductSprint Backlog'!$L34&gt;L$2,'ProductSprint Backlog'!$K34&lt;=L$2), 'ProductSprint Backlog'!$M34 / MAX(1, 'ProductSprint Backlog'!$L34-'ProductSprint Backlog'!$K34), AND('ProductSprint Backlog'!$L34=L$2,'ProductSprint Backlog'!$K34=L$2), 'ProductSprint Backlog'!$M34, TRUE, 0)</f>
        <v>0</v>
      </c>
      <c r="M34" s="4" cm="1">
        <f t="array" ref="M34">_xlfn.IFS('ProductSprint Backlog'!$M34="", "", AND('ProductSprint Backlog'!$L34&gt;M$2,'ProductSprint Backlog'!$K34&lt;=M$2), 'ProductSprint Backlog'!$M34 / MAX(1, 'ProductSprint Backlog'!$L34-'ProductSprint Backlog'!$K34), AND('ProductSprint Backlog'!$L34=M$2,'ProductSprint Backlog'!$K34=M$2), 'ProductSprint Backlog'!$M34, TRUE, 0)</f>
        <v>0</v>
      </c>
      <c r="N34" s="4" cm="1">
        <f t="array" ref="N34">_xlfn.IFS('ProductSprint Backlog'!$M34="", "", AND('ProductSprint Backlog'!$L34&gt;N$2,'ProductSprint Backlog'!$K34&lt;=N$2), 'ProductSprint Backlog'!$M34 / MAX(1, 'ProductSprint Backlog'!$L34-'ProductSprint Backlog'!$K34), AND('ProductSprint Backlog'!$L34=N$2,'ProductSprint Backlog'!$K34=N$2), 'ProductSprint Backlog'!$M34, TRUE, 0)</f>
        <v>0</v>
      </c>
      <c r="O34" s="4" cm="1">
        <f t="array" ref="O34">_xlfn.IFS('ProductSprint Backlog'!$M34="", "", AND('ProductSprint Backlog'!$L34&gt;O$2,'ProductSprint Backlog'!$K34&lt;=O$2), 'ProductSprint Backlog'!$M34 / MAX(1, 'ProductSprint Backlog'!$L34-'ProductSprint Backlog'!$K34), AND('ProductSprint Backlog'!$L34=O$2,'ProductSprint Backlog'!$K34=O$2), 'ProductSprint Backlog'!$M34, TRUE, 0)</f>
        <v>0</v>
      </c>
      <c r="P34" s="4" cm="1">
        <f t="array" ref="P34">_xlfn.IFS('ProductSprint Backlog'!$M34="", "", AND('ProductSprint Backlog'!$L34&gt;P$2,'ProductSprint Backlog'!$K34&lt;=P$2), 'ProductSprint Backlog'!$M34 / MAX(1, 'ProductSprint Backlog'!$L34-'ProductSprint Backlog'!$K34), AND('ProductSprint Backlog'!$L34=P$2,'ProductSprint Backlog'!$K34=P$2), 'ProductSprint Backlog'!$M34, TRUE, 0)</f>
        <v>0</v>
      </c>
    </row>
    <row r="35" spans="2:16" x14ac:dyDescent="0.2">
      <c r="B35" s="4" cm="1">
        <f t="array" ref="B35">_xlfn.IFS('ProductSprint Backlog'!$M35="", "", AND('ProductSprint Backlog'!$L35&gt;B$2,'ProductSprint Backlog'!$K35&lt;=B$2), 'ProductSprint Backlog'!$M35 / MAX(1, 'ProductSprint Backlog'!$L35-'ProductSprint Backlog'!$K35), AND('ProductSprint Backlog'!$L35=B$2,'ProductSprint Backlog'!$K35=B$2), 'ProductSprint Backlog'!$M35, TRUE, 0)</f>
        <v>0</v>
      </c>
      <c r="C35" s="4" cm="1">
        <f t="array" ref="C35">_xlfn.IFS('ProductSprint Backlog'!$M35="", "", AND('ProductSprint Backlog'!$L35&gt;C$2,'ProductSprint Backlog'!$K35&lt;=C$2), 'ProductSprint Backlog'!$M35 / MAX(1, 'ProductSprint Backlog'!$L35-'ProductSprint Backlog'!$K35), AND('ProductSprint Backlog'!$L35=C$2,'ProductSprint Backlog'!$K35=C$2), 'ProductSprint Backlog'!$M35, TRUE, 0)</f>
        <v>0</v>
      </c>
      <c r="D35" s="4" cm="1">
        <f t="array" ref="D35">_xlfn.IFS('ProductSprint Backlog'!$M35="", "", AND('ProductSprint Backlog'!$L35&gt;D$2,'ProductSprint Backlog'!$K35&lt;=D$2), 'ProductSprint Backlog'!$M35 / MAX(1, 'ProductSprint Backlog'!$L35-'ProductSprint Backlog'!$K35), AND('ProductSprint Backlog'!$L35=D$2,'ProductSprint Backlog'!$K35=D$2), 'ProductSprint Backlog'!$M35, TRUE, 0)</f>
        <v>0</v>
      </c>
      <c r="E35" s="4" cm="1">
        <f t="array" ref="E35">_xlfn.IFS('ProductSprint Backlog'!$M35="", "", AND('ProductSprint Backlog'!$L35&gt;E$2,'ProductSprint Backlog'!$K35&lt;=E$2), 'ProductSprint Backlog'!$M35 / MAX(1, 'ProductSprint Backlog'!$L35-'ProductSprint Backlog'!$K35), AND('ProductSprint Backlog'!$L35=E$2,'ProductSprint Backlog'!$K35=E$2), 'ProductSprint Backlog'!$M35, TRUE, 0)</f>
        <v>0</v>
      </c>
      <c r="F35" s="4" cm="1">
        <f t="array" ref="F35">_xlfn.IFS('ProductSprint Backlog'!$M35="", "", AND('ProductSprint Backlog'!$L35&gt;F$2,'ProductSprint Backlog'!$K35&lt;=F$2), 'ProductSprint Backlog'!$M35 / MAX(1, 'ProductSprint Backlog'!$L35-'ProductSprint Backlog'!$K35), AND('ProductSprint Backlog'!$L35=F$2,'ProductSprint Backlog'!$K35=F$2), 'ProductSprint Backlog'!$M35, TRUE, 0)</f>
        <v>1</v>
      </c>
      <c r="G35" s="4" cm="1">
        <f t="array" ref="G35">_xlfn.IFS('ProductSprint Backlog'!$M35="", "", AND('ProductSprint Backlog'!$L35&gt;G$2,'ProductSprint Backlog'!$K35&lt;=G$2), 'ProductSprint Backlog'!$M35 / MAX(1, 'ProductSprint Backlog'!$L35-'ProductSprint Backlog'!$K35), AND('ProductSprint Backlog'!$L35=G$2,'ProductSprint Backlog'!$K35=G$2), 'ProductSprint Backlog'!$M35, TRUE, 0)</f>
        <v>0</v>
      </c>
      <c r="H35" s="4" cm="1">
        <f t="array" ref="H35">_xlfn.IFS('ProductSprint Backlog'!$M35="", "", AND('ProductSprint Backlog'!$L35&gt;H$2,'ProductSprint Backlog'!$K35&lt;=H$2), 'ProductSprint Backlog'!$M35 / MAX(1, 'ProductSprint Backlog'!$L35-'ProductSprint Backlog'!$K35), AND('ProductSprint Backlog'!$L35=H$2,'ProductSprint Backlog'!$K35=H$2), 'ProductSprint Backlog'!$M35, TRUE, 0)</f>
        <v>0</v>
      </c>
      <c r="I35" s="4" cm="1">
        <f t="array" ref="I35">_xlfn.IFS('ProductSprint Backlog'!$M35="", "", AND('ProductSprint Backlog'!$L35&gt;I$2,'ProductSprint Backlog'!$K35&lt;=I$2), 'ProductSprint Backlog'!$M35 / MAX(1, 'ProductSprint Backlog'!$L35-'ProductSprint Backlog'!$K35), AND('ProductSprint Backlog'!$L35=I$2,'ProductSprint Backlog'!$K35=I$2), 'ProductSprint Backlog'!$M35, TRUE, 0)</f>
        <v>0</v>
      </c>
      <c r="J35" s="4" cm="1">
        <f t="array" ref="J35">_xlfn.IFS('ProductSprint Backlog'!$M35="", "", AND('ProductSprint Backlog'!$L35&gt;J$2,'ProductSprint Backlog'!$K35&lt;=J$2), 'ProductSprint Backlog'!$M35 / MAX(1, 'ProductSprint Backlog'!$L35-'ProductSprint Backlog'!$K35), AND('ProductSprint Backlog'!$L35=J$2,'ProductSprint Backlog'!$K35=J$2), 'ProductSprint Backlog'!$M35, TRUE, 0)</f>
        <v>0</v>
      </c>
      <c r="K35" s="4" cm="1">
        <f t="array" ref="K35">_xlfn.IFS('ProductSprint Backlog'!$M35="", "", AND('ProductSprint Backlog'!$L35&gt;K$2,'ProductSprint Backlog'!$K35&lt;=K$2), 'ProductSprint Backlog'!$M35 / MAX(1, 'ProductSprint Backlog'!$L35-'ProductSprint Backlog'!$K35), AND('ProductSprint Backlog'!$L35=K$2,'ProductSprint Backlog'!$K35=K$2), 'ProductSprint Backlog'!$M35, TRUE, 0)</f>
        <v>0</v>
      </c>
      <c r="L35" s="4" cm="1">
        <f t="array" ref="L35">_xlfn.IFS('ProductSprint Backlog'!$M35="", "", AND('ProductSprint Backlog'!$L35&gt;L$2,'ProductSprint Backlog'!$K35&lt;=L$2), 'ProductSprint Backlog'!$M35 / MAX(1, 'ProductSprint Backlog'!$L35-'ProductSprint Backlog'!$K35), AND('ProductSprint Backlog'!$L35=L$2,'ProductSprint Backlog'!$K35=L$2), 'ProductSprint Backlog'!$M35, TRUE, 0)</f>
        <v>0</v>
      </c>
      <c r="M35" s="4" cm="1">
        <f t="array" ref="M35">_xlfn.IFS('ProductSprint Backlog'!$M35="", "", AND('ProductSprint Backlog'!$L35&gt;M$2,'ProductSprint Backlog'!$K35&lt;=M$2), 'ProductSprint Backlog'!$M35 / MAX(1, 'ProductSprint Backlog'!$L35-'ProductSprint Backlog'!$K35), AND('ProductSprint Backlog'!$L35=M$2,'ProductSprint Backlog'!$K35=M$2), 'ProductSprint Backlog'!$M35, TRUE, 0)</f>
        <v>0</v>
      </c>
      <c r="N35" s="4" cm="1">
        <f t="array" ref="N35">_xlfn.IFS('ProductSprint Backlog'!$M35="", "", AND('ProductSprint Backlog'!$L35&gt;N$2,'ProductSprint Backlog'!$K35&lt;=N$2), 'ProductSprint Backlog'!$M35 / MAX(1, 'ProductSprint Backlog'!$L35-'ProductSprint Backlog'!$K35), AND('ProductSprint Backlog'!$L35=N$2,'ProductSprint Backlog'!$K35=N$2), 'ProductSprint Backlog'!$M35, TRUE, 0)</f>
        <v>0</v>
      </c>
      <c r="O35" s="4" cm="1">
        <f t="array" ref="O35">_xlfn.IFS('ProductSprint Backlog'!$M35="", "", AND('ProductSprint Backlog'!$L35&gt;O$2,'ProductSprint Backlog'!$K35&lt;=O$2), 'ProductSprint Backlog'!$M35 / MAX(1, 'ProductSprint Backlog'!$L35-'ProductSprint Backlog'!$K35), AND('ProductSprint Backlog'!$L35=O$2,'ProductSprint Backlog'!$K35=O$2), 'ProductSprint Backlog'!$M35, TRUE, 0)</f>
        <v>0</v>
      </c>
      <c r="P35" s="4" cm="1">
        <f t="array" ref="P35">_xlfn.IFS('ProductSprint Backlog'!$M35="", "", AND('ProductSprint Backlog'!$L35&gt;P$2,'ProductSprint Backlog'!$K35&lt;=P$2), 'ProductSprint Backlog'!$M35 / MAX(1, 'ProductSprint Backlog'!$L35-'ProductSprint Backlog'!$K35), AND('ProductSprint Backlog'!$L35=P$2,'ProductSprint Backlog'!$K35=P$2), 'ProductSprint Backlog'!$M35, TRUE, 0)</f>
        <v>0</v>
      </c>
    </row>
    <row r="36" spans="2:16" x14ac:dyDescent="0.2">
      <c r="B36" s="4" t="str" cm="1">
        <f t="array" ref="B36">_xlfn.IFS('ProductSprint Backlog'!$M36="", "", AND('ProductSprint Backlog'!$L36&gt;B$2,'ProductSprint Backlog'!$K36&lt;=B$2), 'ProductSprint Backlog'!$M36 / MAX(1, 'ProductSprint Backlog'!$L36-'ProductSprint Backlog'!$K36), AND('ProductSprint Backlog'!$L36=B$2,'ProductSprint Backlog'!$K36=B$2), 'ProductSprint Backlog'!$M36, TRUE, 0)</f>
        <v/>
      </c>
      <c r="C36" s="4" t="str" cm="1">
        <f t="array" ref="C36">_xlfn.IFS('ProductSprint Backlog'!$M36="", "", AND('ProductSprint Backlog'!$L36&gt;C$2,'ProductSprint Backlog'!$K36&lt;=C$2), 'ProductSprint Backlog'!$M36 / MAX(1, 'ProductSprint Backlog'!$L36-'ProductSprint Backlog'!$K36), AND('ProductSprint Backlog'!$L36=C$2,'ProductSprint Backlog'!$K36=C$2), 'ProductSprint Backlog'!$M36, TRUE, 0)</f>
        <v/>
      </c>
      <c r="D36" s="4" t="str" cm="1">
        <f t="array" ref="D36">_xlfn.IFS('ProductSprint Backlog'!$M36="", "", AND('ProductSprint Backlog'!$L36&gt;D$2,'ProductSprint Backlog'!$K36&lt;=D$2), 'ProductSprint Backlog'!$M36 / MAX(1, 'ProductSprint Backlog'!$L36-'ProductSprint Backlog'!$K36), AND('ProductSprint Backlog'!$L36=D$2,'ProductSprint Backlog'!$K36=D$2), 'ProductSprint Backlog'!$M36, TRUE, 0)</f>
        <v/>
      </c>
      <c r="E36" s="4" t="str" cm="1">
        <f t="array" ref="E36">_xlfn.IFS('ProductSprint Backlog'!$M36="", "", AND('ProductSprint Backlog'!$L36&gt;E$2,'ProductSprint Backlog'!$K36&lt;=E$2), 'ProductSprint Backlog'!$M36 / MAX(1, 'ProductSprint Backlog'!$L36-'ProductSprint Backlog'!$K36), AND('ProductSprint Backlog'!$L36=E$2,'ProductSprint Backlog'!$K36=E$2), 'ProductSprint Backlog'!$M36, TRUE, 0)</f>
        <v/>
      </c>
      <c r="F36" s="4" t="str" cm="1">
        <f t="array" ref="F36">_xlfn.IFS('ProductSprint Backlog'!$M36="", "", AND('ProductSprint Backlog'!$L36&gt;F$2,'ProductSprint Backlog'!$K36&lt;=F$2), 'ProductSprint Backlog'!$M36 / MAX(1, 'ProductSprint Backlog'!$L36-'ProductSprint Backlog'!$K36), AND('ProductSprint Backlog'!$L36=F$2,'ProductSprint Backlog'!$K36=F$2), 'ProductSprint Backlog'!$M36, TRUE, 0)</f>
        <v/>
      </c>
      <c r="G36" s="4" t="str" cm="1">
        <f t="array" ref="G36">_xlfn.IFS('ProductSprint Backlog'!$M36="", "", AND('ProductSprint Backlog'!$L36&gt;G$2,'ProductSprint Backlog'!$K36&lt;=G$2), 'ProductSprint Backlog'!$M36 / MAX(1, 'ProductSprint Backlog'!$L36-'ProductSprint Backlog'!$K36), AND('ProductSprint Backlog'!$L36=G$2,'ProductSprint Backlog'!$K36=G$2), 'ProductSprint Backlog'!$M36, TRUE, 0)</f>
        <v/>
      </c>
      <c r="H36" s="4" t="str" cm="1">
        <f t="array" ref="H36">_xlfn.IFS('ProductSprint Backlog'!$M36="", "", AND('ProductSprint Backlog'!$L36&gt;H$2,'ProductSprint Backlog'!$K36&lt;=H$2), 'ProductSprint Backlog'!$M36 / MAX(1, 'ProductSprint Backlog'!$L36-'ProductSprint Backlog'!$K36), AND('ProductSprint Backlog'!$L36=H$2,'ProductSprint Backlog'!$K36=H$2), 'ProductSprint Backlog'!$M36, TRUE, 0)</f>
        <v/>
      </c>
      <c r="I36" s="4" t="str" cm="1">
        <f t="array" ref="I36">_xlfn.IFS('ProductSprint Backlog'!$M36="", "", AND('ProductSprint Backlog'!$L36&gt;I$2,'ProductSprint Backlog'!$K36&lt;=I$2), 'ProductSprint Backlog'!$M36 / MAX(1, 'ProductSprint Backlog'!$L36-'ProductSprint Backlog'!$K36), AND('ProductSprint Backlog'!$L36=I$2,'ProductSprint Backlog'!$K36=I$2), 'ProductSprint Backlog'!$M36, TRUE, 0)</f>
        <v/>
      </c>
      <c r="J36" s="4" t="str" cm="1">
        <f t="array" ref="J36">_xlfn.IFS('ProductSprint Backlog'!$M36="", "", AND('ProductSprint Backlog'!$L36&gt;J$2,'ProductSprint Backlog'!$K36&lt;=J$2), 'ProductSprint Backlog'!$M36 / MAX(1, 'ProductSprint Backlog'!$L36-'ProductSprint Backlog'!$K36), AND('ProductSprint Backlog'!$L36=J$2,'ProductSprint Backlog'!$K36=J$2), 'ProductSprint Backlog'!$M36, TRUE, 0)</f>
        <v/>
      </c>
      <c r="K36" s="4" t="str" cm="1">
        <f t="array" ref="K36">_xlfn.IFS('ProductSprint Backlog'!$M36="", "", AND('ProductSprint Backlog'!$L36&gt;K$2,'ProductSprint Backlog'!$K36&lt;=K$2), 'ProductSprint Backlog'!$M36 / MAX(1, 'ProductSprint Backlog'!$L36-'ProductSprint Backlog'!$K36), AND('ProductSprint Backlog'!$L36=K$2,'ProductSprint Backlog'!$K36=K$2), 'ProductSprint Backlog'!$M36, TRUE, 0)</f>
        <v/>
      </c>
      <c r="L36" s="4" t="str" cm="1">
        <f t="array" ref="L36">_xlfn.IFS('ProductSprint Backlog'!$M36="", "", AND('ProductSprint Backlog'!$L36&gt;L$2,'ProductSprint Backlog'!$K36&lt;=L$2), 'ProductSprint Backlog'!$M36 / MAX(1, 'ProductSprint Backlog'!$L36-'ProductSprint Backlog'!$K36), AND('ProductSprint Backlog'!$L36=L$2,'ProductSprint Backlog'!$K36=L$2), 'ProductSprint Backlog'!$M36, TRUE, 0)</f>
        <v/>
      </c>
      <c r="M36" s="4" t="str" cm="1">
        <f t="array" ref="M36">_xlfn.IFS('ProductSprint Backlog'!$M36="", "", AND('ProductSprint Backlog'!$L36&gt;M$2,'ProductSprint Backlog'!$K36&lt;=M$2), 'ProductSprint Backlog'!$M36 / MAX(1, 'ProductSprint Backlog'!$L36-'ProductSprint Backlog'!$K36), AND('ProductSprint Backlog'!$L36=M$2,'ProductSprint Backlog'!$K36=M$2), 'ProductSprint Backlog'!$M36, TRUE, 0)</f>
        <v/>
      </c>
      <c r="N36" s="4" t="str" cm="1">
        <f t="array" ref="N36">_xlfn.IFS('ProductSprint Backlog'!$M36="", "", AND('ProductSprint Backlog'!$L36&gt;N$2,'ProductSprint Backlog'!$K36&lt;=N$2), 'ProductSprint Backlog'!$M36 / MAX(1, 'ProductSprint Backlog'!$L36-'ProductSprint Backlog'!$K36), AND('ProductSprint Backlog'!$L36=N$2,'ProductSprint Backlog'!$K36=N$2), 'ProductSprint Backlog'!$M36, TRUE, 0)</f>
        <v/>
      </c>
      <c r="O36" s="4" t="str" cm="1">
        <f t="array" ref="O36">_xlfn.IFS('ProductSprint Backlog'!$M36="", "", AND('ProductSprint Backlog'!$L36&gt;O$2,'ProductSprint Backlog'!$K36&lt;=O$2), 'ProductSprint Backlog'!$M36 / MAX(1, 'ProductSprint Backlog'!$L36-'ProductSprint Backlog'!$K36), AND('ProductSprint Backlog'!$L36=O$2,'ProductSprint Backlog'!$K36=O$2), 'ProductSprint Backlog'!$M36, TRUE, 0)</f>
        <v/>
      </c>
      <c r="P36" s="4" t="str" cm="1">
        <f t="array" ref="P36">_xlfn.IFS('ProductSprint Backlog'!$M36="", "", AND('ProductSprint Backlog'!$L36&gt;P$2,'ProductSprint Backlog'!$K36&lt;=P$2), 'ProductSprint Backlog'!$M36 / MAX(1, 'ProductSprint Backlog'!$L36-'ProductSprint Backlog'!$K36), AND('ProductSprint Backlog'!$L36=P$2,'ProductSprint Backlog'!$K36=P$2), 'ProductSprint Backlog'!$M36, TRUE, 0)</f>
        <v/>
      </c>
    </row>
    <row r="37" spans="2:16" x14ac:dyDescent="0.2">
      <c r="B37" s="4" cm="1">
        <f t="array" ref="B37">_xlfn.IFS('ProductSprint Backlog'!$M37="", "", AND('ProductSprint Backlog'!$L37&gt;B$2,'ProductSprint Backlog'!$K37&lt;=B$2), 'ProductSprint Backlog'!$M37 / MAX(1, 'ProductSprint Backlog'!$L37-'ProductSprint Backlog'!$K37), AND('ProductSprint Backlog'!$L37=B$2,'ProductSprint Backlog'!$K37=B$2), 'ProductSprint Backlog'!$M37, TRUE, 0)</f>
        <v>0</v>
      </c>
      <c r="C37" s="4" cm="1">
        <f t="array" ref="C37">_xlfn.IFS('ProductSprint Backlog'!$M37="", "", AND('ProductSprint Backlog'!$L37&gt;C$2,'ProductSprint Backlog'!$K37&lt;=C$2), 'ProductSprint Backlog'!$M37 / MAX(1, 'ProductSprint Backlog'!$L37-'ProductSprint Backlog'!$K37), AND('ProductSprint Backlog'!$L37=C$2,'ProductSprint Backlog'!$K37=C$2), 'ProductSprint Backlog'!$M37, TRUE, 0)</f>
        <v>0</v>
      </c>
      <c r="D37" s="4" cm="1">
        <f t="array" ref="D37">_xlfn.IFS('ProductSprint Backlog'!$M37="", "", AND('ProductSprint Backlog'!$L37&gt;D$2,'ProductSprint Backlog'!$K37&lt;=D$2), 'ProductSprint Backlog'!$M37 / MAX(1, 'ProductSprint Backlog'!$L37-'ProductSprint Backlog'!$K37), AND('ProductSprint Backlog'!$L37=D$2,'ProductSprint Backlog'!$K37=D$2), 'ProductSprint Backlog'!$M37, TRUE, 0)</f>
        <v>0</v>
      </c>
      <c r="E37" s="4" cm="1">
        <f t="array" ref="E37">_xlfn.IFS('ProductSprint Backlog'!$M37="", "", AND('ProductSprint Backlog'!$L37&gt;E$2,'ProductSprint Backlog'!$K37&lt;=E$2), 'ProductSprint Backlog'!$M37 / MAX(1, 'ProductSprint Backlog'!$L37-'ProductSprint Backlog'!$K37), AND('ProductSprint Backlog'!$L37=E$2,'ProductSprint Backlog'!$K37=E$2), 'ProductSprint Backlog'!$M37, TRUE, 0)</f>
        <v>0</v>
      </c>
      <c r="F37" s="4" cm="1">
        <f t="array" ref="F37">_xlfn.IFS('ProductSprint Backlog'!$M37="", "", AND('ProductSprint Backlog'!$L37&gt;F$2,'ProductSprint Backlog'!$K37&lt;=F$2), 'ProductSprint Backlog'!$M37 / MAX(1, 'ProductSprint Backlog'!$L37-'ProductSprint Backlog'!$K37), AND('ProductSprint Backlog'!$L37=F$2,'ProductSprint Backlog'!$K37=F$2), 'ProductSprint Backlog'!$M37, TRUE, 0)</f>
        <v>2</v>
      </c>
      <c r="G37" s="4" cm="1">
        <f t="array" ref="G37">_xlfn.IFS('ProductSprint Backlog'!$M37="", "", AND('ProductSprint Backlog'!$L37&gt;G$2,'ProductSprint Backlog'!$K37&lt;=G$2), 'ProductSprint Backlog'!$M37 / MAX(1, 'ProductSprint Backlog'!$L37-'ProductSprint Backlog'!$K37), AND('ProductSprint Backlog'!$L37=G$2,'ProductSprint Backlog'!$K37=G$2), 'ProductSprint Backlog'!$M37, TRUE, 0)</f>
        <v>0</v>
      </c>
      <c r="H37" s="4" cm="1">
        <f t="array" ref="H37">_xlfn.IFS('ProductSprint Backlog'!$M37="", "", AND('ProductSprint Backlog'!$L37&gt;H$2,'ProductSprint Backlog'!$K37&lt;=H$2), 'ProductSprint Backlog'!$M37 / MAX(1, 'ProductSprint Backlog'!$L37-'ProductSprint Backlog'!$K37), AND('ProductSprint Backlog'!$L37=H$2,'ProductSprint Backlog'!$K37=H$2), 'ProductSprint Backlog'!$M37, TRUE, 0)</f>
        <v>0</v>
      </c>
      <c r="I37" s="4" cm="1">
        <f t="array" ref="I37">_xlfn.IFS('ProductSprint Backlog'!$M37="", "", AND('ProductSprint Backlog'!$L37&gt;I$2,'ProductSprint Backlog'!$K37&lt;=I$2), 'ProductSprint Backlog'!$M37 / MAX(1, 'ProductSprint Backlog'!$L37-'ProductSprint Backlog'!$K37), AND('ProductSprint Backlog'!$L37=I$2,'ProductSprint Backlog'!$K37=I$2), 'ProductSprint Backlog'!$M37, TRUE, 0)</f>
        <v>0</v>
      </c>
      <c r="J37" s="4" cm="1">
        <f t="array" ref="J37">_xlfn.IFS('ProductSprint Backlog'!$M37="", "", AND('ProductSprint Backlog'!$L37&gt;J$2,'ProductSprint Backlog'!$K37&lt;=J$2), 'ProductSprint Backlog'!$M37 / MAX(1, 'ProductSprint Backlog'!$L37-'ProductSprint Backlog'!$K37), AND('ProductSprint Backlog'!$L37=J$2,'ProductSprint Backlog'!$K37=J$2), 'ProductSprint Backlog'!$M37, TRUE, 0)</f>
        <v>0</v>
      </c>
      <c r="K37" s="4" cm="1">
        <f t="array" ref="K37">_xlfn.IFS('ProductSprint Backlog'!$M37="", "", AND('ProductSprint Backlog'!$L37&gt;K$2,'ProductSprint Backlog'!$K37&lt;=K$2), 'ProductSprint Backlog'!$M37 / MAX(1, 'ProductSprint Backlog'!$L37-'ProductSprint Backlog'!$K37), AND('ProductSprint Backlog'!$L37=K$2,'ProductSprint Backlog'!$K37=K$2), 'ProductSprint Backlog'!$M37, TRUE, 0)</f>
        <v>0</v>
      </c>
      <c r="L37" s="4" cm="1">
        <f t="array" ref="L37">_xlfn.IFS('ProductSprint Backlog'!$M37="", "", AND('ProductSprint Backlog'!$L37&gt;L$2,'ProductSprint Backlog'!$K37&lt;=L$2), 'ProductSprint Backlog'!$M37 / MAX(1, 'ProductSprint Backlog'!$L37-'ProductSprint Backlog'!$K37), AND('ProductSprint Backlog'!$L37=L$2,'ProductSprint Backlog'!$K37=L$2), 'ProductSprint Backlog'!$M37, TRUE, 0)</f>
        <v>0</v>
      </c>
      <c r="M37" s="4" cm="1">
        <f t="array" ref="M37">_xlfn.IFS('ProductSprint Backlog'!$M37="", "", AND('ProductSprint Backlog'!$L37&gt;M$2,'ProductSprint Backlog'!$K37&lt;=M$2), 'ProductSprint Backlog'!$M37 / MAX(1, 'ProductSprint Backlog'!$L37-'ProductSprint Backlog'!$K37), AND('ProductSprint Backlog'!$L37=M$2,'ProductSprint Backlog'!$K37=M$2), 'ProductSprint Backlog'!$M37, TRUE, 0)</f>
        <v>0</v>
      </c>
      <c r="N37" s="4" cm="1">
        <f t="array" ref="N37">_xlfn.IFS('ProductSprint Backlog'!$M37="", "", AND('ProductSprint Backlog'!$L37&gt;N$2,'ProductSprint Backlog'!$K37&lt;=N$2), 'ProductSprint Backlog'!$M37 / MAX(1, 'ProductSprint Backlog'!$L37-'ProductSprint Backlog'!$K37), AND('ProductSprint Backlog'!$L37=N$2,'ProductSprint Backlog'!$K37=N$2), 'ProductSprint Backlog'!$M37, TRUE, 0)</f>
        <v>0</v>
      </c>
      <c r="O37" s="4" cm="1">
        <f t="array" ref="O37">_xlfn.IFS('ProductSprint Backlog'!$M37="", "", AND('ProductSprint Backlog'!$L37&gt;O$2,'ProductSprint Backlog'!$K37&lt;=O$2), 'ProductSprint Backlog'!$M37 / MAX(1, 'ProductSprint Backlog'!$L37-'ProductSprint Backlog'!$K37), AND('ProductSprint Backlog'!$L37=O$2,'ProductSprint Backlog'!$K37=O$2), 'ProductSprint Backlog'!$M37, TRUE, 0)</f>
        <v>0</v>
      </c>
      <c r="P37" s="4" cm="1">
        <f t="array" ref="P37">_xlfn.IFS('ProductSprint Backlog'!$M37="", "", AND('ProductSprint Backlog'!$L37&gt;P$2,'ProductSprint Backlog'!$K37&lt;=P$2), 'ProductSprint Backlog'!$M37 / MAX(1, 'ProductSprint Backlog'!$L37-'ProductSprint Backlog'!$K37), AND('ProductSprint Backlog'!$L37=P$2,'ProductSprint Backlog'!$K37=P$2), 'ProductSprint Backlog'!$M37, TRUE, 0)</f>
        <v>0</v>
      </c>
    </row>
    <row r="38" spans="2:16" x14ac:dyDescent="0.2">
      <c r="B38" s="4" cm="1">
        <f t="array" ref="B38">_xlfn.IFS('ProductSprint Backlog'!$M38="", "", AND('ProductSprint Backlog'!$L38&gt;B$2,'ProductSprint Backlog'!$K38&lt;=B$2), 'ProductSprint Backlog'!$M38 / MAX(1, 'ProductSprint Backlog'!$L38-'ProductSprint Backlog'!$K38), AND('ProductSprint Backlog'!$L38=B$2,'ProductSprint Backlog'!$K38=B$2), 'ProductSprint Backlog'!$M38, TRUE, 0)</f>
        <v>0</v>
      </c>
      <c r="C38" s="4" cm="1">
        <f t="array" ref="C38">_xlfn.IFS('ProductSprint Backlog'!$M38="", "", AND('ProductSprint Backlog'!$L38&gt;C$2,'ProductSprint Backlog'!$K38&lt;=C$2), 'ProductSprint Backlog'!$M38 / MAX(1, 'ProductSprint Backlog'!$L38-'ProductSprint Backlog'!$K38), AND('ProductSprint Backlog'!$L38=C$2,'ProductSprint Backlog'!$K38=C$2), 'ProductSprint Backlog'!$M38, TRUE, 0)</f>
        <v>0</v>
      </c>
      <c r="D38" s="4" cm="1">
        <f t="array" ref="D38">_xlfn.IFS('ProductSprint Backlog'!$M38="", "", AND('ProductSprint Backlog'!$L38&gt;D$2,'ProductSprint Backlog'!$K38&lt;=D$2), 'ProductSprint Backlog'!$M38 / MAX(1, 'ProductSprint Backlog'!$L38-'ProductSprint Backlog'!$K38), AND('ProductSprint Backlog'!$L38=D$2,'ProductSprint Backlog'!$K38=D$2), 'ProductSprint Backlog'!$M38, TRUE, 0)</f>
        <v>0</v>
      </c>
      <c r="E38" s="4" cm="1">
        <f t="array" ref="E38">_xlfn.IFS('ProductSprint Backlog'!$M38="", "", AND('ProductSprint Backlog'!$L38&gt;E$2,'ProductSprint Backlog'!$K38&lt;=E$2), 'ProductSprint Backlog'!$M38 / MAX(1, 'ProductSprint Backlog'!$L38-'ProductSprint Backlog'!$K38), AND('ProductSprint Backlog'!$L38=E$2,'ProductSprint Backlog'!$K38=E$2), 'ProductSprint Backlog'!$M38, TRUE, 0)</f>
        <v>0</v>
      </c>
      <c r="F38" s="4" cm="1">
        <f t="array" ref="F38">_xlfn.IFS('ProductSprint Backlog'!$M38="", "", AND('ProductSprint Backlog'!$L38&gt;F$2,'ProductSprint Backlog'!$K38&lt;=F$2), 'ProductSprint Backlog'!$M38 / MAX(1, 'ProductSprint Backlog'!$L38-'ProductSprint Backlog'!$K38), AND('ProductSprint Backlog'!$L38=F$2,'ProductSprint Backlog'!$K38=F$2), 'ProductSprint Backlog'!$M38, TRUE, 0)</f>
        <v>1</v>
      </c>
      <c r="G38" s="4" cm="1">
        <f t="array" ref="G38">_xlfn.IFS('ProductSprint Backlog'!$M38="", "", AND('ProductSprint Backlog'!$L38&gt;G$2,'ProductSprint Backlog'!$K38&lt;=G$2), 'ProductSprint Backlog'!$M38 / MAX(1, 'ProductSprint Backlog'!$L38-'ProductSprint Backlog'!$K38), AND('ProductSprint Backlog'!$L38=G$2,'ProductSprint Backlog'!$K38=G$2), 'ProductSprint Backlog'!$M38, TRUE, 0)</f>
        <v>0</v>
      </c>
      <c r="H38" s="4" cm="1">
        <f t="array" ref="H38">_xlfn.IFS('ProductSprint Backlog'!$M38="", "", AND('ProductSprint Backlog'!$L38&gt;H$2,'ProductSprint Backlog'!$K38&lt;=H$2), 'ProductSprint Backlog'!$M38 / MAX(1, 'ProductSprint Backlog'!$L38-'ProductSprint Backlog'!$K38), AND('ProductSprint Backlog'!$L38=H$2,'ProductSprint Backlog'!$K38=H$2), 'ProductSprint Backlog'!$M38, TRUE, 0)</f>
        <v>0</v>
      </c>
      <c r="I38" s="4" cm="1">
        <f t="array" ref="I38">_xlfn.IFS('ProductSprint Backlog'!$M38="", "", AND('ProductSprint Backlog'!$L38&gt;I$2,'ProductSprint Backlog'!$K38&lt;=I$2), 'ProductSprint Backlog'!$M38 / MAX(1, 'ProductSprint Backlog'!$L38-'ProductSprint Backlog'!$K38), AND('ProductSprint Backlog'!$L38=I$2,'ProductSprint Backlog'!$K38=I$2), 'ProductSprint Backlog'!$M38, TRUE, 0)</f>
        <v>0</v>
      </c>
      <c r="J38" s="4" cm="1">
        <f t="array" ref="J38">_xlfn.IFS('ProductSprint Backlog'!$M38="", "", AND('ProductSprint Backlog'!$L38&gt;J$2,'ProductSprint Backlog'!$K38&lt;=J$2), 'ProductSprint Backlog'!$M38 / MAX(1, 'ProductSprint Backlog'!$L38-'ProductSprint Backlog'!$K38), AND('ProductSprint Backlog'!$L38=J$2,'ProductSprint Backlog'!$K38=J$2), 'ProductSprint Backlog'!$M38, TRUE, 0)</f>
        <v>0</v>
      </c>
      <c r="K38" s="4" cm="1">
        <f t="array" ref="K38">_xlfn.IFS('ProductSprint Backlog'!$M38="", "", AND('ProductSprint Backlog'!$L38&gt;K$2,'ProductSprint Backlog'!$K38&lt;=K$2), 'ProductSprint Backlog'!$M38 / MAX(1, 'ProductSprint Backlog'!$L38-'ProductSprint Backlog'!$K38), AND('ProductSprint Backlog'!$L38=K$2,'ProductSprint Backlog'!$K38=K$2), 'ProductSprint Backlog'!$M38, TRUE, 0)</f>
        <v>0</v>
      </c>
      <c r="L38" s="4" cm="1">
        <f t="array" ref="L38">_xlfn.IFS('ProductSprint Backlog'!$M38="", "", AND('ProductSprint Backlog'!$L38&gt;L$2,'ProductSprint Backlog'!$K38&lt;=L$2), 'ProductSprint Backlog'!$M38 / MAX(1, 'ProductSprint Backlog'!$L38-'ProductSprint Backlog'!$K38), AND('ProductSprint Backlog'!$L38=L$2,'ProductSprint Backlog'!$K38=L$2), 'ProductSprint Backlog'!$M38, TRUE, 0)</f>
        <v>0</v>
      </c>
      <c r="M38" s="4" cm="1">
        <f t="array" ref="M38">_xlfn.IFS('ProductSprint Backlog'!$M38="", "", AND('ProductSprint Backlog'!$L38&gt;M$2,'ProductSprint Backlog'!$K38&lt;=M$2), 'ProductSprint Backlog'!$M38 / MAX(1, 'ProductSprint Backlog'!$L38-'ProductSprint Backlog'!$K38), AND('ProductSprint Backlog'!$L38=M$2,'ProductSprint Backlog'!$K38=M$2), 'ProductSprint Backlog'!$M38, TRUE, 0)</f>
        <v>0</v>
      </c>
      <c r="N38" s="4" cm="1">
        <f t="array" ref="N38">_xlfn.IFS('ProductSprint Backlog'!$M38="", "", AND('ProductSprint Backlog'!$L38&gt;N$2,'ProductSprint Backlog'!$K38&lt;=N$2), 'ProductSprint Backlog'!$M38 / MAX(1, 'ProductSprint Backlog'!$L38-'ProductSprint Backlog'!$K38), AND('ProductSprint Backlog'!$L38=N$2,'ProductSprint Backlog'!$K38=N$2), 'ProductSprint Backlog'!$M38, TRUE, 0)</f>
        <v>0</v>
      </c>
      <c r="O38" s="4" cm="1">
        <f t="array" ref="O38">_xlfn.IFS('ProductSprint Backlog'!$M38="", "", AND('ProductSprint Backlog'!$L38&gt;O$2,'ProductSprint Backlog'!$K38&lt;=O$2), 'ProductSprint Backlog'!$M38 / MAX(1, 'ProductSprint Backlog'!$L38-'ProductSprint Backlog'!$K38), AND('ProductSprint Backlog'!$L38=O$2,'ProductSprint Backlog'!$K38=O$2), 'ProductSprint Backlog'!$M38, TRUE, 0)</f>
        <v>0</v>
      </c>
      <c r="P38" s="4" cm="1">
        <f t="array" ref="P38">_xlfn.IFS('ProductSprint Backlog'!$M38="", "", AND('ProductSprint Backlog'!$L38&gt;P$2,'ProductSprint Backlog'!$K38&lt;=P$2), 'ProductSprint Backlog'!$M38 / MAX(1, 'ProductSprint Backlog'!$L38-'ProductSprint Backlog'!$K38), AND('ProductSprint Backlog'!$L38=P$2,'ProductSprint Backlog'!$K38=P$2), 'ProductSprint Backlog'!$M38, TRUE, 0)</f>
        <v>0</v>
      </c>
    </row>
    <row r="39" spans="2:16" x14ac:dyDescent="0.2">
      <c r="B39" s="4" cm="1">
        <f t="array" ref="B39">_xlfn.IFS('ProductSprint Backlog'!$M39="", "", AND('ProductSprint Backlog'!$L39&gt;B$2,'ProductSprint Backlog'!$K39&lt;=B$2), 'ProductSprint Backlog'!$M39 / MAX(1, 'ProductSprint Backlog'!$L39-'ProductSprint Backlog'!$K39), AND('ProductSprint Backlog'!$L39=B$2,'ProductSprint Backlog'!$K39=B$2), 'ProductSprint Backlog'!$M39, TRUE, 0)</f>
        <v>0</v>
      </c>
      <c r="C39" s="4" cm="1">
        <f t="array" ref="C39">_xlfn.IFS('ProductSprint Backlog'!$M39="", "", AND('ProductSprint Backlog'!$L39&gt;C$2,'ProductSprint Backlog'!$K39&lt;=C$2), 'ProductSprint Backlog'!$M39 / MAX(1, 'ProductSprint Backlog'!$L39-'ProductSprint Backlog'!$K39), AND('ProductSprint Backlog'!$L39=C$2,'ProductSprint Backlog'!$K39=C$2), 'ProductSprint Backlog'!$M39, TRUE, 0)</f>
        <v>0</v>
      </c>
      <c r="D39" s="4" cm="1">
        <f t="array" ref="D39">_xlfn.IFS('ProductSprint Backlog'!$M39="", "", AND('ProductSprint Backlog'!$L39&gt;D$2,'ProductSprint Backlog'!$K39&lt;=D$2), 'ProductSprint Backlog'!$M39 / MAX(1, 'ProductSprint Backlog'!$L39-'ProductSprint Backlog'!$K39), AND('ProductSprint Backlog'!$L39=D$2,'ProductSprint Backlog'!$K39=D$2), 'ProductSprint Backlog'!$M39, TRUE, 0)</f>
        <v>0</v>
      </c>
      <c r="E39" s="4" cm="1">
        <f t="array" ref="E39">_xlfn.IFS('ProductSprint Backlog'!$M39="", "", AND('ProductSprint Backlog'!$L39&gt;E$2,'ProductSprint Backlog'!$K39&lt;=E$2), 'ProductSprint Backlog'!$M39 / MAX(1, 'ProductSprint Backlog'!$L39-'ProductSprint Backlog'!$K39), AND('ProductSprint Backlog'!$L39=E$2,'ProductSprint Backlog'!$K39=E$2), 'ProductSprint Backlog'!$M39, TRUE, 0)</f>
        <v>0</v>
      </c>
      <c r="F39" s="4" cm="1">
        <f t="array" ref="F39">_xlfn.IFS('ProductSprint Backlog'!$M39="", "", AND('ProductSprint Backlog'!$L39&gt;F$2,'ProductSprint Backlog'!$K39&lt;=F$2), 'ProductSprint Backlog'!$M39 / MAX(1, 'ProductSprint Backlog'!$L39-'ProductSprint Backlog'!$K39), AND('ProductSprint Backlog'!$L39=F$2,'ProductSprint Backlog'!$K39=F$2), 'ProductSprint Backlog'!$M39, TRUE, 0)</f>
        <v>0</v>
      </c>
      <c r="G39" s="4" cm="1">
        <f t="array" ref="G39">_xlfn.IFS('ProductSprint Backlog'!$M39="", "", AND('ProductSprint Backlog'!$L39&gt;G$2,'ProductSprint Backlog'!$K39&lt;=G$2), 'ProductSprint Backlog'!$M39 / MAX(1, 'ProductSprint Backlog'!$L39-'ProductSprint Backlog'!$K39), AND('ProductSprint Backlog'!$L39=G$2,'ProductSprint Backlog'!$K39=G$2), 'ProductSprint Backlog'!$M39, TRUE, 0)</f>
        <v>1</v>
      </c>
      <c r="H39" s="4" cm="1">
        <f t="array" ref="H39">_xlfn.IFS('ProductSprint Backlog'!$M39="", "", AND('ProductSprint Backlog'!$L39&gt;H$2,'ProductSprint Backlog'!$K39&lt;=H$2), 'ProductSprint Backlog'!$M39 / MAX(1, 'ProductSprint Backlog'!$L39-'ProductSprint Backlog'!$K39), AND('ProductSprint Backlog'!$L39=H$2,'ProductSprint Backlog'!$K39=H$2), 'ProductSprint Backlog'!$M39, TRUE, 0)</f>
        <v>0</v>
      </c>
      <c r="I39" s="4" cm="1">
        <f t="array" ref="I39">_xlfn.IFS('ProductSprint Backlog'!$M39="", "", AND('ProductSprint Backlog'!$L39&gt;I$2,'ProductSprint Backlog'!$K39&lt;=I$2), 'ProductSprint Backlog'!$M39 / MAX(1, 'ProductSprint Backlog'!$L39-'ProductSprint Backlog'!$K39), AND('ProductSprint Backlog'!$L39=I$2,'ProductSprint Backlog'!$K39=I$2), 'ProductSprint Backlog'!$M39, TRUE, 0)</f>
        <v>0</v>
      </c>
      <c r="J39" s="4" cm="1">
        <f t="array" ref="J39">_xlfn.IFS('ProductSprint Backlog'!$M39="", "", AND('ProductSprint Backlog'!$L39&gt;J$2,'ProductSprint Backlog'!$K39&lt;=J$2), 'ProductSprint Backlog'!$M39 / MAX(1, 'ProductSprint Backlog'!$L39-'ProductSprint Backlog'!$K39), AND('ProductSprint Backlog'!$L39=J$2,'ProductSprint Backlog'!$K39=J$2), 'ProductSprint Backlog'!$M39, TRUE, 0)</f>
        <v>0</v>
      </c>
      <c r="K39" s="4" cm="1">
        <f t="array" ref="K39">_xlfn.IFS('ProductSprint Backlog'!$M39="", "", AND('ProductSprint Backlog'!$L39&gt;K$2,'ProductSprint Backlog'!$K39&lt;=K$2), 'ProductSprint Backlog'!$M39 / MAX(1, 'ProductSprint Backlog'!$L39-'ProductSprint Backlog'!$K39), AND('ProductSprint Backlog'!$L39=K$2,'ProductSprint Backlog'!$K39=K$2), 'ProductSprint Backlog'!$M39, TRUE, 0)</f>
        <v>0</v>
      </c>
      <c r="L39" s="4" cm="1">
        <f t="array" ref="L39">_xlfn.IFS('ProductSprint Backlog'!$M39="", "", AND('ProductSprint Backlog'!$L39&gt;L$2,'ProductSprint Backlog'!$K39&lt;=L$2), 'ProductSprint Backlog'!$M39 / MAX(1, 'ProductSprint Backlog'!$L39-'ProductSprint Backlog'!$K39), AND('ProductSprint Backlog'!$L39=L$2,'ProductSprint Backlog'!$K39=L$2), 'ProductSprint Backlog'!$M39, TRUE, 0)</f>
        <v>0</v>
      </c>
      <c r="M39" s="4" cm="1">
        <f t="array" ref="M39">_xlfn.IFS('ProductSprint Backlog'!$M39="", "", AND('ProductSprint Backlog'!$L39&gt;M$2,'ProductSprint Backlog'!$K39&lt;=M$2), 'ProductSprint Backlog'!$M39 / MAX(1, 'ProductSprint Backlog'!$L39-'ProductSprint Backlog'!$K39), AND('ProductSprint Backlog'!$L39=M$2,'ProductSprint Backlog'!$K39=M$2), 'ProductSprint Backlog'!$M39, TRUE, 0)</f>
        <v>0</v>
      </c>
      <c r="N39" s="4" cm="1">
        <f t="array" ref="N39">_xlfn.IFS('ProductSprint Backlog'!$M39="", "", AND('ProductSprint Backlog'!$L39&gt;N$2,'ProductSprint Backlog'!$K39&lt;=N$2), 'ProductSprint Backlog'!$M39 / MAX(1, 'ProductSprint Backlog'!$L39-'ProductSprint Backlog'!$K39), AND('ProductSprint Backlog'!$L39=N$2,'ProductSprint Backlog'!$K39=N$2), 'ProductSprint Backlog'!$M39, TRUE, 0)</f>
        <v>0</v>
      </c>
      <c r="O39" s="4" cm="1">
        <f t="array" ref="O39">_xlfn.IFS('ProductSprint Backlog'!$M39="", "", AND('ProductSprint Backlog'!$L39&gt;O$2,'ProductSprint Backlog'!$K39&lt;=O$2), 'ProductSprint Backlog'!$M39 / MAX(1, 'ProductSprint Backlog'!$L39-'ProductSprint Backlog'!$K39), AND('ProductSprint Backlog'!$L39=O$2,'ProductSprint Backlog'!$K39=O$2), 'ProductSprint Backlog'!$M39, TRUE, 0)</f>
        <v>0</v>
      </c>
      <c r="P39" s="4" cm="1">
        <f t="array" ref="P39">_xlfn.IFS('ProductSprint Backlog'!$M39="", "", AND('ProductSprint Backlog'!$L39&gt;P$2,'ProductSprint Backlog'!$K39&lt;=P$2), 'ProductSprint Backlog'!$M39 / MAX(1, 'ProductSprint Backlog'!$L39-'ProductSprint Backlog'!$K39), AND('ProductSprint Backlog'!$L39=P$2,'ProductSprint Backlog'!$K39=P$2), 'ProductSprint Backlog'!$M39, TRUE, 0)</f>
        <v>0</v>
      </c>
    </row>
    <row r="40" spans="2:16" x14ac:dyDescent="0.2">
      <c r="B40" s="4" cm="1">
        <f t="array" ref="B40">_xlfn.IFS('ProductSprint Backlog'!$M40="", "", AND('ProductSprint Backlog'!$L40&gt;B$2,'ProductSprint Backlog'!$K40&lt;=B$2), 'ProductSprint Backlog'!$M40 / MAX(1, 'ProductSprint Backlog'!$L40-'ProductSprint Backlog'!$K40), AND('ProductSprint Backlog'!$L40=B$2,'ProductSprint Backlog'!$K40=B$2), 'ProductSprint Backlog'!$M40, TRUE, 0)</f>
        <v>0</v>
      </c>
      <c r="C40" s="4" cm="1">
        <f t="array" ref="C40">_xlfn.IFS('ProductSprint Backlog'!$M40="", "", AND('ProductSprint Backlog'!$L40&gt;C$2,'ProductSprint Backlog'!$K40&lt;=C$2), 'ProductSprint Backlog'!$M40 / MAX(1, 'ProductSprint Backlog'!$L40-'ProductSprint Backlog'!$K40), AND('ProductSprint Backlog'!$L40=C$2,'ProductSprint Backlog'!$K40=C$2), 'ProductSprint Backlog'!$M40, TRUE, 0)</f>
        <v>0</v>
      </c>
      <c r="D40" s="4" cm="1">
        <f t="array" ref="D40">_xlfn.IFS('ProductSprint Backlog'!$M40="", "", AND('ProductSprint Backlog'!$L40&gt;D$2,'ProductSprint Backlog'!$K40&lt;=D$2), 'ProductSprint Backlog'!$M40 / MAX(1, 'ProductSprint Backlog'!$L40-'ProductSprint Backlog'!$K40), AND('ProductSprint Backlog'!$L40=D$2,'ProductSprint Backlog'!$K40=D$2), 'ProductSprint Backlog'!$M40, TRUE, 0)</f>
        <v>0</v>
      </c>
      <c r="E40" s="4" cm="1">
        <f t="array" ref="E40">_xlfn.IFS('ProductSprint Backlog'!$M40="", "", AND('ProductSprint Backlog'!$L40&gt;E$2,'ProductSprint Backlog'!$K40&lt;=E$2), 'ProductSprint Backlog'!$M40 / MAX(1, 'ProductSprint Backlog'!$L40-'ProductSprint Backlog'!$K40), AND('ProductSprint Backlog'!$L40=E$2,'ProductSprint Backlog'!$K40=E$2), 'ProductSprint Backlog'!$M40, TRUE, 0)</f>
        <v>0</v>
      </c>
      <c r="F40" s="4" cm="1">
        <f t="array" ref="F40">_xlfn.IFS('ProductSprint Backlog'!$M40="", "", AND('ProductSprint Backlog'!$L40&gt;F$2,'ProductSprint Backlog'!$K40&lt;=F$2), 'ProductSprint Backlog'!$M40 / MAX(1, 'ProductSprint Backlog'!$L40-'ProductSprint Backlog'!$K40), AND('ProductSprint Backlog'!$L40=F$2,'ProductSprint Backlog'!$K40=F$2), 'ProductSprint Backlog'!$M40, TRUE, 0)</f>
        <v>0</v>
      </c>
      <c r="G40" s="4" cm="1">
        <f t="array" ref="G40">_xlfn.IFS('ProductSprint Backlog'!$M40="", "", AND('ProductSprint Backlog'!$L40&gt;G$2,'ProductSprint Backlog'!$K40&lt;=G$2), 'ProductSprint Backlog'!$M40 / MAX(1, 'ProductSprint Backlog'!$L40-'ProductSprint Backlog'!$K40), AND('ProductSprint Backlog'!$L40=G$2,'ProductSprint Backlog'!$K40=G$2), 'ProductSprint Backlog'!$M40, TRUE, 0)</f>
        <v>1</v>
      </c>
      <c r="H40" s="4" cm="1">
        <f t="array" ref="H40">_xlfn.IFS('ProductSprint Backlog'!$M40="", "", AND('ProductSprint Backlog'!$L40&gt;H$2,'ProductSprint Backlog'!$K40&lt;=H$2), 'ProductSprint Backlog'!$M40 / MAX(1, 'ProductSprint Backlog'!$L40-'ProductSprint Backlog'!$K40), AND('ProductSprint Backlog'!$L40=H$2,'ProductSprint Backlog'!$K40=H$2), 'ProductSprint Backlog'!$M40, TRUE, 0)</f>
        <v>0</v>
      </c>
      <c r="I40" s="4" cm="1">
        <f t="array" ref="I40">_xlfn.IFS('ProductSprint Backlog'!$M40="", "", AND('ProductSprint Backlog'!$L40&gt;I$2,'ProductSprint Backlog'!$K40&lt;=I$2), 'ProductSprint Backlog'!$M40 / MAX(1, 'ProductSprint Backlog'!$L40-'ProductSprint Backlog'!$K40), AND('ProductSprint Backlog'!$L40=I$2,'ProductSprint Backlog'!$K40=I$2), 'ProductSprint Backlog'!$M40, TRUE, 0)</f>
        <v>0</v>
      </c>
      <c r="J40" s="4" cm="1">
        <f t="array" ref="J40">_xlfn.IFS('ProductSprint Backlog'!$M40="", "", AND('ProductSprint Backlog'!$L40&gt;J$2,'ProductSprint Backlog'!$K40&lt;=J$2), 'ProductSprint Backlog'!$M40 / MAX(1, 'ProductSprint Backlog'!$L40-'ProductSprint Backlog'!$K40), AND('ProductSprint Backlog'!$L40=J$2,'ProductSprint Backlog'!$K40=J$2), 'ProductSprint Backlog'!$M40, TRUE, 0)</f>
        <v>0</v>
      </c>
      <c r="K40" s="4" cm="1">
        <f t="array" ref="K40">_xlfn.IFS('ProductSprint Backlog'!$M40="", "", AND('ProductSprint Backlog'!$L40&gt;K$2,'ProductSprint Backlog'!$K40&lt;=K$2), 'ProductSprint Backlog'!$M40 / MAX(1, 'ProductSprint Backlog'!$L40-'ProductSprint Backlog'!$K40), AND('ProductSprint Backlog'!$L40=K$2,'ProductSprint Backlog'!$K40=K$2), 'ProductSprint Backlog'!$M40, TRUE, 0)</f>
        <v>0</v>
      </c>
      <c r="L40" s="4" cm="1">
        <f t="array" ref="L40">_xlfn.IFS('ProductSprint Backlog'!$M40="", "", AND('ProductSprint Backlog'!$L40&gt;L$2,'ProductSprint Backlog'!$K40&lt;=L$2), 'ProductSprint Backlog'!$M40 / MAX(1, 'ProductSprint Backlog'!$L40-'ProductSprint Backlog'!$K40), AND('ProductSprint Backlog'!$L40=L$2,'ProductSprint Backlog'!$K40=L$2), 'ProductSprint Backlog'!$M40, TRUE, 0)</f>
        <v>0</v>
      </c>
      <c r="M40" s="4" cm="1">
        <f t="array" ref="M40">_xlfn.IFS('ProductSprint Backlog'!$M40="", "", AND('ProductSprint Backlog'!$L40&gt;M$2,'ProductSprint Backlog'!$K40&lt;=M$2), 'ProductSprint Backlog'!$M40 / MAX(1, 'ProductSprint Backlog'!$L40-'ProductSprint Backlog'!$K40), AND('ProductSprint Backlog'!$L40=M$2,'ProductSprint Backlog'!$K40=M$2), 'ProductSprint Backlog'!$M40, TRUE, 0)</f>
        <v>0</v>
      </c>
      <c r="N40" s="4" cm="1">
        <f t="array" ref="N40">_xlfn.IFS('ProductSprint Backlog'!$M40="", "", AND('ProductSprint Backlog'!$L40&gt;N$2,'ProductSprint Backlog'!$K40&lt;=N$2), 'ProductSprint Backlog'!$M40 / MAX(1, 'ProductSprint Backlog'!$L40-'ProductSprint Backlog'!$K40), AND('ProductSprint Backlog'!$L40=N$2,'ProductSprint Backlog'!$K40=N$2), 'ProductSprint Backlog'!$M40, TRUE, 0)</f>
        <v>0</v>
      </c>
      <c r="O40" s="4" cm="1">
        <f t="array" ref="O40">_xlfn.IFS('ProductSprint Backlog'!$M40="", "", AND('ProductSprint Backlog'!$L40&gt;O$2,'ProductSprint Backlog'!$K40&lt;=O$2), 'ProductSprint Backlog'!$M40 / MAX(1, 'ProductSprint Backlog'!$L40-'ProductSprint Backlog'!$K40), AND('ProductSprint Backlog'!$L40=O$2,'ProductSprint Backlog'!$K40=O$2), 'ProductSprint Backlog'!$M40, TRUE, 0)</f>
        <v>0</v>
      </c>
      <c r="P40" s="4" cm="1">
        <f t="array" ref="P40">_xlfn.IFS('ProductSprint Backlog'!$M40="", "", AND('ProductSprint Backlog'!$L40&gt;P$2,'ProductSprint Backlog'!$K40&lt;=P$2), 'ProductSprint Backlog'!$M40 / MAX(1, 'ProductSprint Backlog'!$L40-'ProductSprint Backlog'!$K40), AND('ProductSprint Backlog'!$L40=P$2,'ProductSprint Backlog'!$K40=P$2), 'ProductSprint Backlog'!$M40, TRUE, 0)</f>
        <v>0</v>
      </c>
    </row>
    <row r="41" spans="2:16" x14ac:dyDescent="0.2">
      <c r="B41" s="4" t="str" cm="1">
        <f t="array" ref="B41">_xlfn.IFS('ProductSprint Backlog'!$M41="", "", AND('ProductSprint Backlog'!$L41&gt;B$2,'ProductSprint Backlog'!$K41&lt;=B$2), 'ProductSprint Backlog'!$M41 / MAX(1, 'ProductSprint Backlog'!$L41-'ProductSprint Backlog'!$K41), AND('ProductSprint Backlog'!$L41=B$2,'ProductSprint Backlog'!$K41=B$2), 'ProductSprint Backlog'!$M41, TRUE, 0)</f>
        <v/>
      </c>
      <c r="C41" s="4" t="str" cm="1">
        <f t="array" ref="C41">_xlfn.IFS('ProductSprint Backlog'!$M41="", "", AND('ProductSprint Backlog'!$L41&gt;C$2,'ProductSprint Backlog'!$K41&lt;=C$2), 'ProductSprint Backlog'!$M41 / MAX(1, 'ProductSprint Backlog'!$L41-'ProductSprint Backlog'!$K41), AND('ProductSprint Backlog'!$L41=C$2,'ProductSprint Backlog'!$K41=C$2), 'ProductSprint Backlog'!$M41, TRUE, 0)</f>
        <v/>
      </c>
      <c r="D41" s="4" t="str" cm="1">
        <f t="array" ref="D41">_xlfn.IFS('ProductSprint Backlog'!$M41="", "", AND('ProductSprint Backlog'!$L41&gt;D$2,'ProductSprint Backlog'!$K41&lt;=D$2), 'ProductSprint Backlog'!$M41 / MAX(1, 'ProductSprint Backlog'!$L41-'ProductSprint Backlog'!$K41), AND('ProductSprint Backlog'!$L41=D$2,'ProductSprint Backlog'!$K41=D$2), 'ProductSprint Backlog'!$M41, TRUE, 0)</f>
        <v/>
      </c>
      <c r="E41" s="4" t="str" cm="1">
        <f t="array" ref="E41">_xlfn.IFS('ProductSprint Backlog'!$M41="", "", AND('ProductSprint Backlog'!$L41&gt;E$2,'ProductSprint Backlog'!$K41&lt;=E$2), 'ProductSprint Backlog'!$M41 / MAX(1, 'ProductSprint Backlog'!$L41-'ProductSprint Backlog'!$K41), AND('ProductSprint Backlog'!$L41=E$2,'ProductSprint Backlog'!$K41=E$2), 'ProductSprint Backlog'!$M41, TRUE, 0)</f>
        <v/>
      </c>
      <c r="F41" s="4" t="str" cm="1">
        <f t="array" ref="F41">_xlfn.IFS('ProductSprint Backlog'!$M41="", "", AND('ProductSprint Backlog'!$L41&gt;F$2,'ProductSprint Backlog'!$K41&lt;=F$2), 'ProductSprint Backlog'!$M41 / MAX(1, 'ProductSprint Backlog'!$L41-'ProductSprint Backlog'!$K41), AND('ProductSprint Backlog'!$L41=F$2,'ProductSprint Backlog'!$K41=F$2), 'ProductSprint Backlog'!$M41, TRUE, 0)</f>
        <v/>
      </c>
      <c r="G41" s="4" t="str" cm="1">
        <f t="array" ref="G41">_xlfn.IFS('ProductSprint Backlog'!$M41="", "", AND('ProductSprint Backlog'!$L41&gt;G$2,'ProductSprint Backlog'!$K41&lt;=G$2), 'ProductSprint Backlog'!$M41 / MAX(1, 'ProductSprint Backlog'!$L41-'ProductSprint Backlog'!$K41), AND('ProductSprint Backlog'!$L41=G$2,'ProductSprint Backlog'!$K41=G$2), 'ProductSprint Backlog'!$M41, TRUE, 0)</f>
        <v/>
      </c>
      <c r="H41" s="4" t="str" cm="1">
        <f t="array" ref="H41">_xlfn.IFS('ProductSprint Backlog'!$M41="", "", AND('ProductSprint Backlog'!$L41&gt;H$2,'ProductSprint Backlog'!$K41&lt;=H$2), 'ProductSprint Backlog'!$M41 / MAX(1, 'ProductSprint Backlog'!$L41-'ProductSprint Backlog'!$K41), AND('ProductSprint Backlog'!$L41=H$2,'ProductSprint Backlog'!$K41=H$2), 'ProductSprint Backlog'!$M41, TRUE, 0)</f>
        <v/>
      </c>
      <c r="I41" s="4" t="str" cm="1">
        <f t="array" ref="I41">_xlfn.IFS('ProductSprint Backlog'!$M41="", "", AND('ProductSprint Backlog'!$L41&gt;I$2,'ProductSprint Backlog'!$K41&lt;=I$2), 'ProductSprint Backlog'!$M41 / MAX(1, 'ProductSprint Backlog'!$L41-'ProductSprint Backlog'!$K41), AND('ProductSprint Backlog'!$L41=I$2,'ProductSprint Backlog'!$K41=I$2), 'ProductSprint Backlog'!$M41, TRUE, 0)</f>
        <v/>
      </c>
      <c r="J41" s="4" t="str" cm="1">
        <f t="array" ref="J41">_xlfn.IFS('ProductSprint Backlog'!$M41="", "", AND('ProductSprint Backlog'!$L41&gt;J$2,'ProductSprint Backlog'!$K41&lt;=J$2), 'ProductSprint Backlog'!$M41 / MAX(1, 'ProductSprint Backlog'!$L41-'ProductSprint Backlog'!$K41), AND('ProductSprint Backlog'!$L41=J$2,'ProductSprint Backlog'!$K41=J$2), 'ProductSprint Backlog'!$M41, TRUE, 0)</f>
        <v/>
      </c>
      <c r="K41" s="4" t="str" cm="1">
        <f t="array" ref="K41">_xlfn.IFS('ProductSprint Backlog'!$M41="", "", AND('ProductSprint Backlog'!$L41&gt;K$2,'ProductSprint Backlog'!$K41&lt;=K$2), 'ProductSprint Backlog'!$M41 / MAX(1, 'ProductSprint Backlog'!$L41-'ProductSprint Backlog'!$K41), AND('ProductSprint Backlog'!$L41=K$2,'ProductSprint Backlog'!$K41=K$2), 'ProductSprint Backlog'!$M41, TRUE, 0)</f>
        <v/>
      </c>
      <c r="L41" s="4" t="str" cm="1">
        <f t="array" ref="L41">_xlfn.IFS('ProductSprint Backlog'!$M41="", "", AND('ProductSprint Backlog'!$L41&gt;L$2,'ProductSprint Backlog'!$K41&lt;=L$2), 'ProductSprint Backlog'!$M41 / MAX(1, 'ProductSprint Backlog'!$L41-'ProductSprint Backlog'!$K41), AND('ProductSprint Backlog'!$L41=L$2,'ProductSprint Backlog'!$K41=L$2), 'ProductSprint Backlog'!$M41, TRUE, 0)</f>
        <v/>
      </c>
      <c r="M41" s="4" t="str" cm="1">
        <f t="array" ref="M41">_xlfn.IFS('ProductSprint Backlog'!$M41="", "", AND('ProductSprint Backlog'!$L41&gt;M$2,'ProductSprint Backlog'!$K41&lt;=M$2), 'ProductSprint Backlog'!$M41 / MAX(1, 'ProductSprint Backlog'!$L41-'ProductSprint Backlog'!$K41), AND('ProductSprint Backlog'!$L41=M$2,'ProductSprint Backlog'!$K41=M$2), 'ProductSprint Backlog'!$M41, TRUE, 0)</f>
        <v/>
      </c>
      <c r="N41" s="4" t="str" cm="1">
        <f t="array" ref="N41">_xlfn.IFS('ProductSprint Backlog'!$M41="", "", AND('ProductSprint Backlog'!$L41&gt;N$2,'ProductSprint Backlog'!$K41&lt;=N$2), 'ProductSprint Backlog'!$M41 / MAX(1, 'ProductSprint Backlog'!$L41-'ProductSprint Backlog'!$K41), AND('ProductSprint Backlog'!$L41=N$2,'ProductSprint Backlog'!$K41=N$2), 'ProductSprint Backlog'!$M41, TRUE, 0)</f>
        <v/>
      </c>
      <c r="O41" s="4" t="str" cm="1">
        <f t="array" ref="O41">_xlfn.IFS('ProductSprint Backlog'!$M41="", "", AND('ProductSprint Backlog'!$L41&gt;O$2,'ProductSprint Backlog'!$K41&lt;=O$2), 'ProductSprint Backlog'!$M41 / MAX(1, 'ProductSprint Backlog'!$L41-'ProductSprint Backlog'!$K41), AND('ProductSprint Backlog'!$L41=O$2,'ProductSprint Backlog'!$K41=O$2), 'ProductSprint Backlog'!$M41, TRUE, 0)</f>
        <v/>
      </c>
      <c r="P41" s="4" t="str" cm="1">
        <f t="array" ref="P41">_xlfn.IFS('ProductSprint Backlog'!$M41="", "", AND('ProductSprint Backlog'!$L41&gt;P$2,'ProductSprint Backlog'!$K41&lt;=P$2), 'ProductSprint Backlog'!$M41 / MAX(1, 'ProductSprint Backlog'!$L41-'ProductSprint Backlog'!$K41), AND('ProductSprint Backlog'!$L41=P$2,'ProductSprint Backlog'!$K41=P$2), 'ProductSprint Backlog'!$M41, TRUE, 0)</f>
        <v/>
      </c>
    </row>
    <row r="42" spans="2:16" x14ac:dyDescent="0.2">
      <c r="B42" s="4" cm="1">
        <f t="array" ref="B42">_xlfn.IFS('ProductSprint Backlog'!$M42="", "", AND('ProductSprint Backlog'!$L42&gt;B$2,'ProductSprint Backlog'!$K42&lt;=B$2), 'ProductSprint Backlog'!$M42 / MAX(1, 'ProductSprint Backlog'!$L42-'ProductSprint Backlog'!$K42), AND('ProductSprint Backlog'!$L42=B$2,'ProductSprint Backlog'!$K42=B$2), 'ProductSprint Backlog'!$M42, TRUE, 0)</f>
        <v>0</v>
      </c>
      <c r="C42" s="4" cm="1">
        <f t="array" ref="C42">_xlfn.IFS('ProductSprint Backlog'!$M42="", "", AND('ProductSprint Backlog'!$L42&gt;C$2,'ProductSprint Backlog'!$K42&lt;=C$2), 'ProductSprint Backlog'!$M42 / MAX(1, 'ProductSprint Backlog'!$L42-'ProductSprint Backlog'!$K42), AND('ProductSprint Backlog'!$L42=C$2,'ProductSprint Backlog'!$K42=C$2), 'ProductSprint Backlog'!$M42, TRUE, 0)</f>
        <v>0</v>
      </c>
      <c r="D42" s="4" cm="1">
        <f t="array" ref="D42">_xlfn.IFS('ProductSprint Backlog'!$M42="", "", AND('ProductSprint Backlog'!$L42&gt;D$2,'ProductSprint Backlog'!$K42&lt;=D$2), 'ProductSprint Backlog'!$M42 / MAX(1, 'ProductSprint Backlog'!$L42-'ProductSprint Backlog'!$K42), AND('ProductSprint Backlog'!$L42=D$2,'ProductSprint Backlog'!$K42=D$2), 'ProductSprint Backlog'!$M42, TRUE, 0)</f>
        <v>0</v>
      </c>
      <c r="E42" s="4" cm="1">
        <f t="array" ref="E42">_xlfn.IFS('ProductSprint Backlog'!$M42="", "", AND('ProductSprint Backlog'!$L42&gt;E$2,'ProductSprint Backlog'!$K42&lt;=E$2), 'ProductSprint Backlog'!$M42 / MAX(1, 'ProductSprint Backlog'!$L42-'ProductSprint Backlog'!$K42), AND('ProductSprint Backlog'!$L42=E$2,'ProductSprint Backlog'!$K42=E$2), 'ProductSprint Backlog'!$M42, TRUE, 0)</f>
        <v>0</v>
      </c>
      <c r="F42" s="4" cm="1">
        <f t="array" ref="F42">_xlfn.IFS('ProductSprint Backlog'!$M42="", "", AND('ProductSprint Backlog'!$L42&gt;F$2,'ProductSprint Backlog'!$K42&lt;=F$2), 'ProductSprint Backlog'!$M42 / MAX(1, 'ProductSprint Backlog'!$L42-'ProductSprint Backlog'!$K42), AND('ProductSprint Backlog'!$L42=F$2,'ProductSprint Backlog'!$K42=F$2), 'ProductSprint Backlog'!$M42, TRUE, 0)</f>
        <v>0</v>
      </c>
      <c r="G42" s="4" cm="1">
        <f t="array" ref="G42">_xlfn.IFS('ProductSprint Backlog'!$M42="", "", AND('ProductSprint Backlog'!$L42&gt;G$2,'ProductSprint Backlog'!$K42&lt;=G$2), 'ProductSprint Backlog'!$M42 / MAX(1, 'ProductSprint Backlog'!$L42-'ProductSprint Backlog'!$K42), AND('ProductSprint Backlog'!$L42=G$2,'ProductSprint Backlog'!$K42=G$2), 'ProductSprint Backlog'!$M42, TRUE, 0)</f>
        <v>0</v>
      </c>
      <c r="H42" s="4" cm="1">
        <f t="array" ref="H42">_xlfn.IFS('ProductSprint Backlog'!$M42="", "", AND('ProductSprint Backlog'!$L42&gt;H$2,'ProductSprint Backlog'!$K42&lt;=H$2), 'ProductSprint Backlog'!$M42 / MAX(1, 'ProductSprint Backlog'!$L42-'ProductSprint Backlog'!$K42), AND('ProductSprint Backlog'!$L42=H$2,'ProductSprint Backlog'!$K42=H$2), 'ProductSprint Backlog'!$M42, TRUE, 0)</f>
        <v>0</v>
      </c>
      <c r="I42" s="4" cm="1">
        <f t="array" ref="I42">_xlfn.IFS('ProductSprint Backlog'!$M42="", "", AND('ProductSprint Backlog'!$L42&gt;I$2,'ProductSprint Backlog'!$K42&lt;=I$2), 'ProductSprint Backlog'!$M42 / MAX(1, 'ProductSprint Backlog'!$L42-'ProductSprint Backlog'!$K42), AND('ProductSprint Backlog'!$L42=I$2,'ProductSprint Backlog'!$K42=I$2), 'ProductSprint Backlog'!$M42, TRUE, 0)</f>
        <v>0</v>
      </c>
      <c r="J42" s="4" cm="1">
        <f t="array" ref="J42">_xlfn.IFS('ProductSprint Backlog'!$M42="", "", AND('ProductSprint Backlog'!$L42&gt;J$2,'ProductSprint Backlog'!$K42&lt;=J$2), 'ProductSprint Backlog'!$M42 / MAX(1, 'ProductSprint Backlog'!$L42-'ProductSprint Backlog'!$K42), AND('ProductSprint Backlog'!$L42=J$2,'ProductSprint Backlog'!$K42=J$2), 'ProductSprint Backlog'!$M42, TRUE, 0)</f>
        <v>0</v>
      </c>
      <c r="K42" s="4" cm="1">
        <f t="array" ref="K42">_xlfn.IFS('ProductSprint Backlog'!$M42="", "", AND('ProductSprint Backlog'!$L42&gt;K$2,'ProductSprint Backlog'!$K42&lt;=K$2), 'ProductSprint Backlog'!$M42 / MAX(1, 'ProductSprint Backlog'!$L42-'ProductSprint Backlog'!$K42), AND('ProductSprint Backlog'!$L42=K$2,'ProductSprint Backlog'!$K42=K$2), 'ProductSprint Backlog'!$M42, TRUE, 0)</f>
        <v>0</v>
      </c>
      <c r="L42" s="4" cm="1">
        <f t="array" ref="L42">_xlfn.IFS('ProductSprint Backlog'!$M42="", "", AND('ProductSprint Backlog'!$L42&gt;L$2,'ProductSprint Backlog'!$K42&lt;=L$2), 'ProductSprint Backlog'!$M42 / MAX(1, 'ProductSprint Backlog'!$L42-'ProductSprint Backlog'!$K42), AND('ProductSprint Backlog'!$L42=L$2,'ProductSprint Backlog'!$K42=L$2), 'ProductSprint Backlog'!$M42, TRUE, 0)</f>
        <v>1</v>
      </c>
      <c r="M42" s="4" cm="1">
        <f t="array" ref="M42">_xlfn.IFS('ProductSprint Backlog'!$M42="", "", AND('ProductSprint Backlog'!$L42&gt;M$2,'ProductSprint Backlog'!$K42&lt;=M$2), 'ProductSprint Backlog'!$M42 / MAX(1, 'ProductSprint Backlog'!$L42-'ProductSprint Backlog'!$K42), AND('ProductSprint Backlog'!$L42=M$2,'ProductSprint Backlog'!$K42=M$2), 'ProductSprint Backlog'!$M42, TRUE, 0)</f>
        <v>0</v>
      </c>
      <c r="N42" s="4" cm="1">
        <f t="array" ref="N42">_xlfn.IFS('ProductSprint Backlog'!$M42="", "", AND('ProductSprint Backlog'!$L42&gt;N$2,'ProductSprint Backlog'!$K42&lt;=N$2), 'ProductSprint Backlog'!$M42 / MAX(1, 'ProductSprint Backlog'!$L42-'ProductSprint Backlog'!$K42), AND('ProductSprint Backlog'!$L42=N$2,'ProductSprint Backlog'!$K42=N$2), 'ProductSprint Backlog'!$M42, TRUE, 0)</f>
        <v>0</v>
      </c>
      <c r="O42" s="4" cm="1">
        <f t="array" ref="O42">_xlfn.IFS('ProductSprint Backlog'!$M42="", "", AND('ProductSprint Backlog'!$L42&gt;O$2,'ProductSprint Backlog'!$K42&lt;=O$2), 'ProductSprint Backlog'!$M42 / MAX(1, 'ProductSprint Backlog'!$L42-'ProductSprint Backlog'!$K42), AND('ProductSprint Backlog'!$L42=O$2,'ProductSprint Backlog'!$K42=O$2), 'ProductSprint Backlog'!$M42, TRUE, 0)</f>
        <v>0</v>
      </c>
      <c r="P42" s="4" cm="1">
        <f t="array" ref="P42">_xlfn.IFS('ProductSprint Backlog'!$M42="", "", AND('ProductSprint Backlog'!$L42&gt;P$2,'ProductSprint Backlog'!$K42&lt;=P$2), 'ProductSprint Backlog'!$M42 / MAX(1, 'ProductSprint Backlog'!$L42-'ProductSprint Backlog'!$K42), AND('ProductSprint Backlog'!$L42=P$2,'ProductSprint Backlog'!$K42=P$2), 'ProductSprint Backlog'!$M42, TRUE, 0)</f>
        <v>0</v>
      </c>
    </row>
    <row r="43" spans="2:16" x14ac:dyDescent="0.2">
      <c r="B43" s="4" cm="1">
        <f t="array" ref="B43">_xlfn.IFS('ProductSprint Backlog'!$M43="", "", AND('ProductSprint Backlog'!$L43&gt;B$2,'ProductSprint Backlog'!$K43&lt;=B$2), 'ProductSprint Backlog'!$M43 / MAX(1, 'ProductSprint Backlog'!$L43-'ProductSprint Backlog'!$K43), AND('ProductSprint Backlog'!$L43=B$2,'ProductSprint Backlog'!$K43=B$2), 'ProductSprint Backlog'!$M43, TRUE, 0)</f>
        <v>0</v>
      </c>
      <c r="C43" s="4" cm="1">
        <f t="array" ref="C43">_xlfn.IFS('ProductSprint Backlog'!$M43="", "", AND('ProductSprint Backlog'!$L43&gt;C$2,'ProductSprint Backlog'!$K43&lt;=C$2), 'ProductSprint Backlog'!$M43 / MAX(1, 'ProductSprint Backlog'!$L43-'ProductSprint Backlog'!$K43), AND('ProductSprint Backlog'!$L43=C$2,'ProductSprint Backlog'!$K43=C$2), 'ProductSprint Backlog'!$M43, TRUE, 0)</f>
        <v>0</v>
      </c>
      <c r="D43" s="4" cm="1">
        <f t="array" ref="D43">_xlfn.IFS('ProductSprint Backlog'!$M43="", "", AND('ProductSprint Backlog'!$L43&gt;D$2,'ProductSprint Backlog'!$K43&lt;=D$2), 'ProductSprint Backlog'!$M43 / MAX(1, 'ProductSprint Backlog'!$L43-'ProductSprint Backlog'!$K43), AND('ProductSprint Backlog'!$L43=D$2,'ProductSprint Backlog'!$K43=D$2), 'ProductSprint Backlog'!$M43, TRUE, 0)</f>
        <v>0</v>
      </c>
      <c r="E43" s="4" cm="1">
        <f t="array" ref="E43">_xlfn.IFS('ProductSprint Backlog'!$M43="", "", AND('ProductSprint Backlog'!$L43&gt;E$2,'ProductSprint Backlog'!$K43&lt;=E$2), 'ProductSprint Backlog'!$M43 / MAX(1, 'ProductSprint Backlog'!$L43-'ProductSprint Backlog'!$K43), AND('ProductSprint Backlog'!$L43=E$2,'ProductSprint Backlog'!$K43=E$2), 'ProductSprint Backlog'!$M43, TRUE, 0)</f>
        <v>0</v>
      </c>
      <c r="F43" s="4" cm="1">
        <f t="array" ref="F43">_xlfn.IFS('ProductSprint Backlog'!$M43="", "", AND('ProductSprint Backlog'!$L43&gt;F$2,'ProductSprint Backlog'!$K43&lt;=F$2), 'ProductSprint Backlog'!$M43 / MAX(1, 'ProductSprint Backlog'!$L43-'ProductSprint Backlog'!$K43), AND('ProductSprint Backlog'!$L43=F$2,'ProductSprint Backlog'!$K43=F$2), 'ProductSprint Backlog'!$M43, TRUE, 0)</f>
        <v>0</v>
      </c>
      <c r="G43" s="4" cm="1">
        <f t="array" ref="G43">_xlfn.IFS('ProductSprint Backlog'!$M43="", "", AND('ProductSprint Backlog'!$L43&gt;G$2,'ProductSprint Backlog'!$K43&lt;=G$2), 'ProductSprint Backlog'!$M43 / MAX(1, 'ProductSprint Backlog'!$L43-'ProductSprint Backlog'!$K43), AND('ProductSprint Backlog'!$L43=G$2,'ProductSprint Backlog'!$K43=G$2), 'ProductSprint Backlog'!$M43, TRUE, 0)</f>
        <v>0</v>
      </c>
      <c r="H43" s="4" cm="1">
        <f t="array" ref="H43">_xlfn.IFS('ProductSprint Backlog'!$M43="", "", AND('ProductSprint Backlog'!$L43&gt;H$2,'ProductSprint Backlog'!$K43&lt;=H$2), 'ProductSprint Backlog'!$M43 / MAX(1, 'ProductSprint Backlog'!$L43-'ProductSprint Backlog'!$K43), AND('ProductSprint Backlog'!$L43=H$2,'ProductSprint Backlog'!$K43=H$2), 'ProductSprint Backlog'!$M43, TRUE, 0)</f>
        <v>0</v>
      </c>
      <c r="I43" s="4" cm="1">
        <f t="array" ref="I43">_xlfn.IFS('ProductSprint Backlog'!$M43="", "", AND('ProductSprint Backlog'!$L43&gt;I$2,'ProductSprint Backlog'!$K43&lt;=I$2), 'ProductSprint Backlog'!$M43 / MAX(1, 'ProductSprint Backlog'!$L43-'ProductSprint Backlog'!$K43), AND('ProductSprint Backlog'!$L43=I$2,'ProductSprint Backlog'!$K43=I$2), 'ProductSprint Backlog'!$M43, TRUE, 0)</f>
        <v>0</v>
      </c>
      <c r="J43" s="4" cm="1">
        <f t="array" ref="J43">_xlfn.IFS('ProductSprint Backlog'!$M43="", "", AND('ProductSprint Backlog'!$L43&gt;J$2,'ProductSprint Backlog'!$K43&lt;=J$2), 'ProductSprint Backlog'!$M43 / MAX(1, 'ProductSprint Backlog'!$L43-'ProductSprint Backlog'!$K43), AND('ProductSprint Backlog'!$L43=J$2,'ProductSprint Backlog'!$K43=J$2), 'ProductSprint Backlog'!$M43, TRUE, 0)</f>
        <v>0</v>
      </c>
      <c r="K43" s="4" cm="1">
        <f t="array" ref="K43">_xlfn.IFS('ProductSprint Backlog'!$M43="", "", AND('ProductSprint Backlog'!$L43&gt;K$2,'ProductSprint Backlog'!$K43&lt;=K$2), 'ProductSprint Backlog'!$M43 / MAX(1, 'ProductSprint Backlog'!$L43-'ProductSprint Backlog'!$K43), AND('ProductSprint Backlog'!$L43=K$2,'ProductSprint Backlog'!$K43=K$2), 'ProductSprint Backlog'!$M43, TRUE, 0)</f>
        <v>0</v>
      </c>
      <c r="L43" s="4" cm="1">
        <f t="array" ref="L43">_xlfn.IFS('ProductSprint Backlog'!$M43="", "", AND('ProductSprint Backlog'!$L43&gt;L$2,'ProductSprint Backlog'!$K43&lt;=L$2), 'ProductSprint Backlog'!$M43 / MAX(1, 'ProductSprint Backlog'!$L43-'ProductSprint Backlog'!$K43), AND('ProductSprint Backlog'!$L43=L$2,'ProductSprint Backlog'!$K43=L$2), 'ProductSprint Backlog'!$M43, TRUE, 0)</f>
        <v>2</v>
      </c>
      <c r="M43" s="4" cm="1">
        <f t="array" ref="M43">_xlfn.IFS('ProductSprint Backlog'!$M43="", "", AND('ProductSprint Backlog'!$L43&gt;M$2,'ProductSprint Backlog'!$K43&lt;=M$2), 'ProductSprint Backlog'!$M43 / MAX(1, 'ProductSprint Backlog'!$L43-'ProductSprint Backlog'!$K43), AND('ProductSprint Backlog'!$L43=M$2,'ProductSprint Backlog'!$K43=M$2), 'ProductSprint Backlog'!$M43, TRUE, 0)</f>
        <v>2</v>
      </c>
      <c r="N43" s="4" cm="1">
        <f t="array" ref="N43">_xlfn.IFS('ProductSprint Backlog'!$M43="", "", AND('ProductSprint Backlog'!$L43&gt;N$2,'ProductSprint Backlog'!$K43&lt;=N$2), 'ProductSprint Backlog'!$M43 / MAX(1, 'ProductSprint Backlog'!$L43-'ProductSprint Backlog'!$K43), AND('ProductSprint Backlog'!$L43=N$2,'ProductSprint Backlog'!$K43=N$2), 'ProductSprint Backlog'!$M43, TRUE, 0)</f>
        <v>0</v>
      </c>
      <c r="O43" s="4" cm="1">
        <f t="array" ref="O43">_xlfn.IFS('ProductSprint Backlog'!$M43="", "", AND('ProductSprint Backlog'!$L43&gt;O$2,'ProductSprint Backlog'!$K43&lt;=O$2), 'ProductSprint Backlog'!$M43 / MAX(1, 'ProductSprint Backlog'!$L43-'ProductSprint Backlog'!$K43), AND('ProductSprint Backlog'!$L43=O$2,'ProductSprint Backlog'!$K43=O$2), 'ProductSprint Backlog'!$M43, TRUE, 0)</f>
        <v>0</v>
      </c>
      <c r="P43" s="4" cm="1">
        <f t="array" ref="P43">_xlfn.IFS('ProductSprint Backlog'!$M43="", "", AND('ProductSprint Backlog'!$L43&gt;P$2,'ProductSprint Backlog'!$K43&lt;=P$2), 'ProductSprint Backlog'!$M43 / MAX(1, 'ProductSprint Backlog'!$L43-'ProductSprint Backlog'!$K43), AND('ProductSprint Backlog'!$L43=P$2,'ProductSprint Backlog'!$K43=P$2), 'ProductSprint Backlog'!$M43, TRUE, 0)</f>
        <v>0</v>
      </c>
    </row>
    <row r="44" spans="2:16" x14ac:dyDescent="0.2">
      <c r="B44" s="4" t="str" cm="1">
        <f t="array" ref="B44">_xlfn.IFS('ProductSprint Backlog'!$M44="", "", AND('ProductSprint Backlog'!$L44&gt;B$2,'ProductSprint Backlog'!$K44&lt;=B$2), 'ProductSprint Backlog'!$M44 / MAX(1, 'ProductSprint Backlog'!$L44-'ProductSprint Backlog'!$K44), AND('ProductSprint Backlog'!$L44=B$2,'ProductSprint Backlog'!$K44=B$2), 'ProductSprint Backlog'!$M44, TRUE, 0)</f>
        <v/>
      </c>
      <c r="C44" s="4" t="str" cm="1">
        <f t="array" ref="C44">_xlfn.IFS('ProductSprint Backlog'!$M44="", "", AND('ProductSprint Backlog'!$L44&gt;C$2,'ProductSprint Backlog'!$K44&lt;=C$2), 'ProductSprint Backlog'!$M44 / MAX(1, 'ProductSprint Backlog'!$L44-'ProductSprint Backlog'!$K44), AND('ProductSprint Backlog'!$L44=C$2,'ProductSprint Backlog'!$K44=C$2), 'ProductSprint Backlog'!$M44, TRUE, 0)</f>
        <v/>
      </c>
      <c r="D44" s="4" t="str" cm="1">
        <f t="array" ref="D44">_xlfn.IFS('ProductSprint Backlog'!$M44="", "", AND('ProductSprint Backlog'!$L44&gt;D$2,'ProductSprint Backlog'!$K44&lt;=D$2), 'ProductSprint Backlog'!$M44 / MAX(1, 'ProductSprint Backlog'!$L44-'ProductSprint Backlog'!$K44), AND('ProductSprint Backlog'!$L44=D$2,'ProductSprint Backlog'!$K44=D$2), 'ProductSprint Backlog'!$M44, TRUE, 0)</f>
        <v/>
      </c>
      <c r="E44" s="4" t="str" cm="1">
        <f t="array" ref="E44">_xlfn.IFS('ProductSprint Backlog'!$M44="", "", AND('ProductSprint Backlog'!$L44&gt;E$2,'ProductSprint Backlog'!$K44&lt;=E$2), 'ProductSprint Backlog'!$M44 / MAX(1, 'ProductSprint Backlog'!$L44-'ProductSprint Backlog'!$K44), AND('ProductSprint Backlog'!$L44=E$2,'ProductSprint Backlog'!$K44=E$2), 'ProductSprint Backlog'!$M44, TRUE, 0)</f>
        <v/>
      </c>
      <c r="F44" s="4" t="str" cm="1">
        <f t="array" ref="F44">_xlfn.IFS('ProductSprint Backlog'!$M44="", "", AND('ProductSprint Backlog'!$L44&gt;F$2,'ProductSprint Backlog'!$K44&lt;=F$2), 'ProductSprint Backlog'!$M44 / MAX(1, 'ProductSprint Backlog'!$L44-'ProductSprint Backlog'!$K44), AND('ProductSprint Backlog'!$L44=F$2,'ProductSprint Backlog'!$K44=F$2), 'ProductSprint Backlog'!$M44, TRUE, 0)</f>
        <v/>
      </c>
      <c r="G44" s="4" t="str" cm="1">
        <f t="array" ref="G44">_xlfn.IFS('ProductSprint Backlog'!$M44="", "", AND('ProductSprint Backlog'!$L44&gt;G$2,'ProductSprint Backlog'!$K44&lt;=G$2), 'ProductSprint Backlog'!$M44 / MAX(1, 'ProductSprint Backlog'!$L44-'ProductSprint Backlog'!$K44), AND('ProductSprint Backlog'!$L44=G$2,'ProductSprint Backlog'!$K44=G$2), 'ProductSprint Backlog'!$M44, TRUE, 0)</f>
        <v/>
      </c>
      <c r="H44" s="4" t="str" cm="1">
        <f t="array" ref="H44">_xlfn.IFS('ProductSprint Backlog'!$M44="", "", AND('ProductSprint Backlog'!$L44&gt;H$2,'ProductSprint Backlog'!$K44&lt;=H$2), 'ProductSprint Backlog'!$M44 / MAX(1, 'ProductSprint Backlog'!$L44-'ProductSprint Backlog'!$K44), AND('ProductSprint Backlog'!$L44=H$2,'ProductSprint Backlog'!$K44=H$2), 'ProductSprint Backlog'!$M44, TRUE, 0)</f>
        <v/>
      </c>
      <c r="I44" s="4" t="str" cm="1">
        <f t="array" ref="I44">_xlfn.IFS('ProductSprint Backlog'!$M44="", "", AND('ProductSprint Backlog'!$L44&gt;I$2,'ProductSprint Backlog'!$K44&lt;=I$2), 'ProductSprint Backlog'!$M44 / MAX(1, 'ProductSprint Backlog'!$L44-'ProductSprint Backlog'!$K44), AND('ProductSprint Backlog'!$L44=I$2,'ProductSprint Backlog'!$K44=I$2), 'ProductSprint Backlog'!$M44, TRUE, 0)</f>
        <v/>
      </c>
      <c r="J44" s="4" t="str" cm="1">
        <f t="array" ref="J44">_xlfn.IFS('ProductSprint Backlog'!$M44="", "", AND('ProductSprint Backlog'!$L44&gt;J$2,'ProductSprint Backlog'!$K44&lt;=J$2), 'ProductSprint Backlog'!$M44 / MAX(1, 'ProductSprint Backlog'!$L44-'ProductSprint Backlog'!$K44), AND('ProductSprint Backlog'!$L44=J$2,'ProductSprint Backlog'!$K44=J$2), 'ProductSprint Backlog'!$M44, TRUE, 0)</f>
        <v/>
      </c>
      <c r="K44" s="4" t="str" cm="1">
        <f t="array" ref="K44">_xlfn.IFS('ProductSprint Backlog'!$M44="", "", AND('ProductSprint Backlog'!$L44&gt;K$2,'ProductSprint Backlog'!$K44&lt;=K$2), 'ProductSprint Backlog'!$M44 / MAX(1, 'ProductSprint Backlog'!$L44-'ProductSprint Backlog'!$K44), AND('ProductSprint Backlog'!$L44=K$2,'ProductSprint Backlog'!$K44=K$2), 'ProductSprint Backlog'!$M44, TRUE, 0)</f>
        <v/>
      </c>
      <c r="L44" s="4" t="str" cm="1">
        <f t="array" ref="L44">_xlfn.IFS('ProductSprint Backlog'!$M44="", "", AND('ProductSprint Backlog'!$L44&gt;L$2,'ProductSprint Backlog'!$K44&lt;=L$2), 'ProductSprint Backlog'!$M44 / MAX(1, 'ProductSprint Backlog'!$L44-'ProductSprint Backlog'!$K44), AND('ProductSprint Backlog'!$L44=L$2,'ProductSprint Backlog'!$K44=L$2), 'ProductSprint Backlog'!$M44, TRUE, 0)</f>
        <v/>
      </c>
      <c r="M44" s="4" t="str" cm="1">
        <f t="array" ref="M44">_xlfn.IFS('ProductSprint Backlog'!$M44="", "", AND('ProductSprint Backlog'!$L44&gt;M$2,'ProductSprint Backlog'!$K44&lt;=M$2), 'ProductSprint Backlog'!$M44 / MAX(1, 'ProductSprint Backlog'!$L44-'ProductSprint Backlog'!$K44), AND('ProductSprint Backlog'!$L44=M$2,'ProductSprint Backlog'!$K44=M$2), 'ProductSprint Backlog'!$M44, TRUE, 0)</f>
        <v/>
      </c>
      <c r="N44" s="4" t="str" cm="1">
        <f t="array" ref="N44">_xlfn.IFS('ProductSprint Backlog'!$M44="", "", AND('ProductSprint Backlog'!$L44&gt;N$2,'ProductSprint Backlog'!$K44&lt;=N$2), 'ProductSprint Backlog'!$M44 / MAX(1, 'ProductSprint Backlog'!$L44-'ProductSprint Backlog'!$K44), AND('ProductSprint Backlog'!$L44=N$2,'ProductSprint Backlog'!$K44=N$2), 'ProductSprint Backlog'!$M44, TRUE, 0)</f>
        <v/>
      </c>
      <c r="O44" s="4" t="str" cm="1">
        <f t="array" ref="O44">_xlfn.IFS('ProductSprint Backlog'!$M44="", "", AND('ProductSprint Backlog'!$L44&gt;O$2,'ProductSprint Backlog'!$K44&lt;=O$2), 'ProductSprint Backlog'!$M44 / MAX(1, 'ProductSprint Backlog'!$L44-'ProductSprint Backlog'!$K44), AND('ProductSprint Backlog'!$L44=O$2,'ProductSprint Backlog'!$K44=O$2), 'ProductSprint Backlog'!$M44, TRUE, 0)</f>
        <v/>
      </c>
      <c r="P44" s="4" t="str" cm="1">
        <f t="array" ref="P44">_xlfn.IFS('ProductSprint Backlog'!$M44="", "", AND('ProductSprint Backlog'!$L44&gt;P$2,'ProductSprint Backlog'!$K44&lt;=P$2), 'ProductSprint Backlog'!$M44 / MAX(1, 'ProductSprint Backlog'!$L44-'ProductSprint Backlog'!$K44), AND('ProductSprint Backlog'!$L44=P$2,'ProductSprint Backlog'!$K44=P$2), 'ProductSprint Backlog'!$M44, TRUE, 0)</f>
        <v/>
      </c>
    </row>
    <row r="45" spans="2:16" x14ac:dyDescent="0.2">
      <c r="B45" s="4" cm="1">
        <f t="array" ref="B45">_xlfn.IFS('ProductSprint Backlog'!$M45="", "", AND('ProductSprint Backlog'!$L45&gt;B$2,'ProductSprint Backlog'!$K45&lt;=B$2), 'ProductSprint Backlog'!$M45 / MAX(1, 'ProductSprint Backlog'!$L45-'ProductSprint Backlog'!$K45), AND('ProductSprint Backlog'!$L45=B$2,'ProductSprint Backlog'!$K45=B$2), 'ProductSprint Backlog'!$M45, TRUE, 0)</f>
        <v>0</v>
      </c>
      <c r="C45" s="4" cm="1">
        <f t="array" ref="C45">_xlfn.IFS('ProductSprint Backlog'!$M45="", "", AND('ProductSprint Backlog'!$L45&gt;C$2,'ProductSprint Backlog'!$K45&lt;=C$2), 'ProductSprint Backlog'!$M45 / MAX(1, 'ProductSprint Backlog'!$L45-'ProductSprint Backlog'!$K45), AND('ProductSprint Backlog'!$L45=C$2,'ProductSprint Backlog'!$K45=C$2), 'ProductSprint Backlog'!$M45, TRUE, 0)</f>
        <v>0</v>
      </c>
      <c r="D45" s="4" cm="1">
        <f t="array" ref="D45">_xlfn.IFS('ProductSprint Backlog'!$M45="", "", AND('ProductSprint Backlog'!$L45&gt;D$2,'ProductSprint Backlog'!$K45&lt;=D$2), 'ProductSprint Backlog'!$M45 / MAX(1, 'ProductSprint Backlog'!$L45-'ProductSprint Backlog'!$K45), AND('ProductSprint Backlog'!$L45=D$2,'ProductSprint Backlog'!$K45=D$2), 'ProductSprint Backlog'!$M45, TRUE, 0)</f>
        <v>0</v>
      </c>
      <c r="E45" s="4" cm="1">
        <f t="array" ref="E45">_xlfn.IFS('ProductSprint Backlog'!$M45="", "", AND('ProductSprint Backlog'!$L45&gt;E$2,'ProductSprint Backlog'!$K45&lt;=E$2), 'ProductSprint Backlog'!$M45 / MAX(1, 'ProductSprint Backlog'!$L45-'ProductSprint Backlog'!$K45), AND('ProductSprint Backlog'!$L45=E$2,'ProductSprint Backlog'!$K45=E$2), 'ProductSprint Backlog'!$M45, TRUE, 0)</f>
        <v>0</v>
      </c>
      <c r="F45" s="4" cm="1">
        <f t="array" ref="F45">_xlfn.IFS('ProductSprint Backlog'!$M45="", "", AND('ProductSprint Backlog'!$L45&gt;F$2,'ProductSprint Backlog'!$K45&lt;=F$2), 'ProductSprint Backlog'!$M45 / MAX(1, 'ProductSprint Backlog'!$L45-'ProductSprint Backlog'!$K45), AND('ProductSprint Backlog'!$L45=F$2,'ProductSprint Backlog'!$K45=F$2), 'ProductSprint Backlog'!$M45, TRUE, 0)</f>
        <v>0</v>
      </c>
      <c r="G45" s="4" cm="1">
        <f t="array" ref="G45">_xlfn.IFS('ProductSprint Backlog'!$M45="", "", AND('ProductSprint Backlog'!$L45&gt;G$2,'ProductSprint Backlog'!$K45&lt;=G$2), 'ProductSprint Backlog'!$M45 / MAX(1, 'ProductSprint Backlog'!$L45-'ProductSprint Backlog'!$K45), AND('ProductSprint Backlog'!$L45=G$2,'ProductSprint Backlog'!$K45=G$2), 'ProductSprint Backlog'!$M45, TRUE, 0)</f>
        <v>0</v>
      </c>
      <c r="H45" s="4" cm="1">
        <f t="array" ref="H45">_xlfn.IFS('ProductSprint Backlog'!$M45="", "", AND('ProductSprint Backlog'!$L45&gt;H$2,'ProductSprint Backlog'!$K45&lt;=H$2), 'ProductSprint Backlog'!$M45 / MAX(1, 'ProductSprint Backlog'!$L45-'ProductSprint Backlog'!$K45), AND('ProductSprint Backlog'!$L45=H$2,'ProductSprint Backlog'!$K45=H$2), 'ProductSprint Backlog'!$M45, TRUE, 0)</f>
        <v>0</v>
      </c>
      <c r="I45" s="4" cm="1">
        <f t="array" ref="I45">_xlfn.IFS('ProductSprint Backlog'!$M45="", "", AND('ProductSprint Backlog'!$L45&gt;I$2,'ProductSprint Backlog'!$K45&lt;=I$2), 'ProductSprint Backlog'!$M45 / MAX(1, 'ProductSprint Backlog'!$L45-'ProductSprint Backlog'!$K45), AND('ProductSprint Backlog'!$L45=I$2,'ProductSprint Backlog'!$K45=I$2), 'ProductSprint Backlog'!$M45, TRUE, 0)</f>
        <v>0</v>
      </c>
      <c r="J45" s="4" cm="1">
        <f t="array" ref="J45">_xlfn.IFS('ProductSprint Backlog'!$M45="", "", AND('ProductSprint Backlog'!$L45&gt;J$2,'ProductSprint Backlog'!$K45&lt;=J$2), 'ProductSprint Backlog'!$M45 / MAX(1, 'ProductSprint Backlog'!$L45-'ProductSprint Backlog'!$K45), AND('ProductSprint Backlog'!$L45=J$2,'ProductSprint Backlog'!$K45=J$2), 'ProductSprint Backlog'!$M45, TRUE, 0)</f>
        <v>0</v>
      </c>
      <c r="K45" s="4" cm="1">
        <f t="array" ref="K45">_xlfn.IFS('ProductSprint Backlog'!$M45="", "", AND('ProductSprint Backlog'!$L45&gt;K$2,'ProductSprint Backlog'!$K45&lt;=K$2), 'ProductSprint Backlog'!$M45 / MAX(1, 'ProductSprint Backlog'!$L45-'ProductSprint Backlog'!$K45), AND('ProductSprint Backlog'!$L45=K$2,'ProductSprint Backlog'!$K45=K$2), 'ProductSprint Backlog'!$M45, TRUE, 0)</f>
        <v>0.5</v>
      </c>
      <c r="L45" s="4" cm="1">
        <f t="array" ref="L45">_xlfn.IFS('ProductSprint Backlog'!$M45="", "", AND('ProductSprint Backlog'!$L45&gt;L$2,'ProductSprint Backlog'!$K45&lt;=L$2), 'ProductSprint Backlog'!$M45 / MAX(1, 'ProductSprint Backlog'!$L45-'ProductSprint Backlog'!$K45), AND('ProductSprint Backlog'!$L45=L$2,'ProductSprint Backlog'!$K45=L$2), 'ProductSprint Backlog'!$M45, TRUE, 0)</f>
        <v>0.5</v>
      </c>
      <c r="M45" s="4" cm="1">
        <f t="array" ref="M45">_xlfn.IFS('ProductSprint Backlog'!$M45="", "", AND('ProductSprint Backlog'!$L45&gt;M$2,'ProductSprint Backlog'!$K45&lt;=M$2), 'ProductSprint Backlog'!$M45 / MAX(1, 'ProductSprint Backlog'!$L45-'ProductSprint Backlog'!$K45), AND('ProductSprint Backlog'!$L45=M$2,'ProductSprint Backlog'!$K45=M$2), 'ProductSprint Backlog'!$M45, TRUE, 0)</f>
        <v>0</v>
      </c>
      <c r="N45" s="4" cm="1">
        <f t="array" ref="N45">_xlfn.IFS('ProductSprint Backlog'!$M45="", "", AND('ProductSprint Backlog'!$L45&gt;N$2,'ProductSprint Backlog'!$K45&lt;=N$2), 'ProductSprint Backlog'!$M45 / MAX(1, 'ProductSprint Backlog'!$L45-'ProductSprint Backlog'!$K45), AND('ProductSprint Backlog'!$L45=N$2,'ProductSprint Backlog'!$K45=N$2), 'ProductSprint Backlog'!$M45, TRUE, 0)</f>
        <v>0</v>
      </c>
      <c r="O45" s="4" cm="1">
        <f t="array" ref="O45">_xlfn.IFS('ProductSprint Backlog'!$M45="", "", AND('ProductSprint Backlog'!$L45&gt;O$2,'ProductSprint Backlog'!$K45&lt;=O$2), 'ProductSprint Backlog'!$M45 / MAX(1, 'ProductSprint Backlog'!$L45-'ProductSprint Backlog'!$K45), AND('ProductSprint Backlog'!$L45=O$2,'ProductSprint Backlog'!$K45=O$2), 'ProductSprint Backlog'!$M45, TRUE, 0)</f>
        <v>0</v>
      </c>
      <c r="P45" s="4" cm="1">
        <f t="array" ref="P45">_xlfn.IFS('ProductSprint Backlog'!$M45="", "", AND('ProductSprint Backlog'!$L45&gt;P$2,'ProductSprint Backlog'!$K45&lt;=P$2), 'ProductSprint Backlog'!$M45 / MAX(1, 'ProductSprint Backlog'!$L45-'ProductSprint Backlog'!$K45), AND('ProductSprint Backlog'!$L45=P$2,'ProductSprint Backlog'!$K45=P$2), 'ProductSprint Backlog'!$M45, TRUE, 0)</f>
        <v>0</v>
      </c>
    </row>
    <row r="46" spans="2:16" x14ac:dyDescent="0.2">
      <c r="B46" s="4" cm="1">
        <f t="array" ref="B46">_xlfn.IFS('ProductSprint Backlog'!$M46="", "", AND('ProductSprint Backlog'!$L46&gt;B$2,'ProductSprint Backlog'!$K46&lt;=B$2), 'ProductSprint Backlog'!$M46 / MAX(1, 'ProductSprint Backlog'!$L46-'ProductSprint Backlog'!$K46), AND('ProductSprint Backlog'!$L46=B$2,'ProductSprint Backlog'!$K46=B$2), 'ProductSprint Backlog'!$M46, TRUE, 0)</f>
        <v>0</v>
      </c>
      <c r="C46" s="4" cm="1">
        <f t="array" ref="C46">_xlfn.IFS('ProductSprint Backlog'!$M46="", "", AND('ProductSprint Backlog'!$L46&gt;C$2,'ProductSprint Backlog'!$K46&lt;=C$2), 'ProductSprint Backlog'!$M46 / MAX(1, 'ProductSprint Backlog'!$L46-'ProductSprint Backlog'!$K46), AND('ProductSprint Backlog'!$L46=C$2,'ProductSprint Backlog'!$K46=C$2), 'ProductSprint Backlog'!$M46, TRUE, 0)</f>
        <v>0</v>
      </c>
      <c r="D46" s="4" cm="1">
        <f t="array" ref="D46">_xlfn.IFS('ProductSprint Backlog'!$M46="", "", AND('ProductSprint Backlog'!$L46&gt;D$2,'ProductSprint Backlog'!$K46&lt;=D$2), 'ProductSprint Backlog'!$M46 / MAX(1, 'ProductSprint Backlog'!$L46-'ProductSprint Backlog'!$K46), AND('ProductSprint Backlog'!$L46=D$2,'ProductSprint Backlog'!$K46=D$2), 'ProductSprint Backlog'!$M46, TRUE, 0)</f>
        <v>0</v>
      </c>
      <c r="E46" s="4" cm="1">
        <f t="array" ref="E46">_xlfn.IFS('ProductSprint Backlog'!$M46="", "", AND('ProductSprint Backlog'!$L46&gt;E$2,'ProductSprint Backlog'!$K46&lt;=E$2), 'ProductSprint Backlog'!$M46 / MAX(1, 'ProductSprint Backlog'!$L46-'ProductSprint Backlog'!$K46), AND('ProductSprint Backlog'!$L46=E$2,'ProductSprint Backlog'!$K46=E$2), 'ProductSprint Backlog'!$M46, TRUE, 0)</f>
        <v>0</v>
      </c>
      <c r="F46" s="4" cm="1">
        <f t="array" ref="F46">_xlfn.IFS('ProductSprint Backlog'!$M46="", "", AND('ProductSprint Backlog'!$L46&gt;F$2,'ProductSprint Backlog'!$K46&lt;=F$2), 'ProductSprint Backlog'!$M46 / MAX(1, 'ProductSprint Backlog'!$L46-'ProductSprint Backlog'!$K46), AND('ProductSprint Backlog'!$L46=F$2,'ProductSprint Backlog'!$K46=F$2), 'ProductSprint Backlog'!$M46, TRUE, 0)</f>
        <v>0</v>
      </c>
      <c r="G46" s="4" cm="1">
        <f t="array" ref="G46">_xlfn.IFS('ProductSprint Backlog'!$M46="", "", AND('ProductSprint Backlog'!$L46&gt;G$2,'ProductSprint Backlog'!$K46&lt;=G$2), 'ProductSprint Backlog'!$M46 / MAX(1, 'ProductSprint Backlog'!$L46-'ProductSprint Backlog'!$K46), AND('ProductSprint Backlog'!$L46=G$2,'ProductSprint Backlog'!$K46=G$2), 'ProductSprint Backlog'!$M46, TRUE, 0)</f>
        <v>0</v>
      </c>
      <c r="H46" s="4" cm="1">
        <f t="array" ref="H46">_xlfn.IFS('ProductSprint Backlog'!$M46="", "", AND('ProductSprint Backlog'!$L46&gt;H$2,'ProductSprint Backlog'!$K46&lt;=H$2), 'ProductSprint Backlog'!$M46 / MAX(1, 'ProductSprint Backlog'!$L46-'ProductSprint Backlog'!$K46), AND('ProductSprint Backlog'!$L46=H$2,'ProductSprint Backlog'!$K46=H$2), 'ProductSprint Backlog'!$M46, TRUE, 0)</f>
        <v>0</v>
      </c>
      <c r="I46" s="4" cm="1">
        <f t="array" ref="I46">_xlfn.IFS('ProductSprint Backlog'!$M46="", "", AND('ProductSprint Backlog'!$L46&gt;I$2,'ProductSprint Backlog'!$K46&lt;=I$2), 'ProductSprint Backlog'!$M46 / MAX(1, 'ProductSprint Backlog'!$L46-'ProductSprint Backlog'!$K46), AND('ProductSprint Backlog'!$L46=I$2,'ProductSprint Backlog'!$K46=I$2), 'ProductSprint Backlog'!$M46, TRUE, 0)</f>
        <v>0</v>
      </c>
      <c r="J46" s="4" cm="1">
        <f t="array" ref="J46">_xlfn.IFS('ProductSprint Backlog'!$M46="", "", AND('ProductSprint Backlog'!$L46&gt;J$2,'ProductSprint Backlog'!$K46&lt;=J$2), 'ProductSprint Backlog'!$M46 / MAX(1, 'ProductSprint Backlog'!$L46-'ProductSprint Backlog'!$K46), AND('ProductSprint Backlog'!$L46=J$2,'ProductSprint Backlog'!$K46=J$2), 'ProductSprint Backlog'!$M46, TRUE, 0)</f>
        <v>0</v>
      </c>
      <c r="K46" s="4" cm="1">
        <f t="array" ref="K46">_xlfn.IFS('ProductSprint Backlog'!$M46="", "", AND('ProductSprint Backlog'!$L46&gt;K$2,'ProductSprint Backlog'!$K46&lt;=K$2), 'ProductSprint Backlog'!$M46 / MAX(1, 'ProductSprint Backlog'!$L46-'ProductSprint Backlog'!$K46), AND('ProductSprint Backlog'!$L46=K$2,'ProductSprint Backlog'!$K46=K$2), 'ProductSprint Backlog'!$M46, TRUE, 0)</f>
        <v>0</v>
      </c>
      <c r="L46" s="4" cm="1">
        <f t="array" ref="L46">_xlfn.IFS('ProductSprint Backlog'!$M46="", "", AND('ProductSprint Backlog'!$L46&gt;L$2,'ProductSprint Backlog'!$K46&lt;=L$2), 'ProductSprint Backlog'!$M46 / MAX(1, 'ProductSprint Backlog'!$L46-'ProductSprint Backlog'!$K46), AND('ProductSprint Backlog'!$L46=L$2,'ProductSprint Backlog'!$K46=L$2), 'ProductSprint Backlog'!$M46, TRUE, 0)</f>
        <v>1.5</v>
      </c>
      <c r="M46" s="4" cm="1">
        <f t="array" ref="M46">_xlfn.IFS('ProductSprint Backlog'!$M46="", "", AND('ProductSprint Backlog'!$L46&gt;M$2,'ProductSprint Backlog'!$K46&lt;=M$2), 'ProductSprint Backlog'!$M46 / MAX(1, 'ProductSprint Backlog'!$L46-'ProductSprint Backlog'!$K46), AND('ProductSprint Backlog'!$L46=M$2,'ProductSprint Backlog'!$K46=M$2), 'ProductSprint Backlog'!$M46, TRUE, 0)</f>
        <v>1.5</v>
      </c>
      <c r="N46" s="4" cm="1">
        <f t="array" ref="N46">_xlfn.IFS('ProductSprint Backlog'!$M46="", "", AND('ProductSprint Backlog'!$L46&gt;N$2,'ProductSprint Backlog'!$K46&lt;=N$2), 'ProductSprint Backlog'!$M46 / MAX(1, 'ProductSprint Backlog'!$L46-'ProductSprint Backlog'!$K46), AND('ProductSprint Backlog'!$L46=N$2,'ProductSprint Backlog'!$K46=N$2), 'ProductSprint Backlog'!$M46, TRUE, 0)</f>
        <v>0</v>
      </c>
      <c r="O46" s="4" cm="1">
        <f t="array" ref="O46">_xlfn.IFS('ProductSprint Backlog'!$M46="", "", AND('ProductSprint Backlog'!$L46&gt;O$2,'ProductSprint Backlog'!$K46&lt;=O$2), 'ProductSprint Backlog'!$M46 / MAX(1, 'ProductSprint Backlog'!$L46-'ProductSprint Backlog'!$K46), AND('ProductSprint Backlog'!$L46=O$2,'ProductSprint Backlog'!$K46=O$2), 'ProductSprint Backlog'!$M46, TRUE, 0)</f>
        <v>0</v>
      </c>
      <c r="P46" s="4" cm="1">
        <f t="array" ref="P46">_xlfn.IFS('ProductSprint Backlog'!$M46="", "", AND('ProductSprint Backlog'!$L46&gt;P$2,'ProductSprint Backlog'!$K46&lt;=P$2), 'ProductSprint Backlog'!$M46 / MAX(1, 'ProductSprint Backlog'!$L46-'ProductSprint Backlog'!$K46), AND('ProductSprint Backlog'!$L46=P$2,'ProductSprint Backlog'!$K46=P$2), 'ProductSprint Backlog'!$M46, TRUE, 0)</f>
        <v>0</v>
      </c>
    </row>
    <row r="47" spans="2:16" x14ac:dyDescent="0.2">
      <c r="B47" s="4" t="str" cm="1">
        <f t="array" ref="B47">_xlfn.IFS('ProductSprint Backlog'!$M47="", "", AND('ProductSprint Backlog'!$L47&gt;B$2,'ProductSprint Backlog'!$K47&lt;=B$2), 'ProductSprint Backlog'!$M47 / MAX(1, 'ProductSprint Backlog'!$L47-'ProductSprint Backlog'!$K47), AND('ProductSprint Backlog'!$L47=B$2,'ProductSprint Backlog'!$K47=B$2), 'ProductSprint Backlog'!$M47, TRUE, 0)</f>
        <v/>
      </c>
      <c r="C47" s="4" t="str" cm="1">
        <f t="array" ref="C47">_xlfn.IFS('ProductSprint Backlog'!$M47="", "", AND('ProductSprint Backlog'!$L47&gt;C$2,'ProductSprint Backlog'!$K47&lt;=C$2), 'ProductSprint Backlog'!$M47 / MAX(1, 'ProductSprint Backlog'!$L47-'ProductSprint Backlog'!$K47), AND('ProductSprint Backlog'!$L47=C$2,'ProductSprint Backlog'!$K47=C$2), 'ProductSprint Backlog'!$M47, TRUE, 0)</f>
        <v/>
      </c>
      <c r="D47" s="4" t="str" cm="1">
        <f t="array" ref="D47">_xlfn.IFS('ProductSprint Backlog'!$M47="", "", AND('ProductSprint Backlog'!$L47&gt;D$2,'ProductSprint Backlog'!$K47&lt;=D$2), 'ProductSprint Backlog'!$M47 / MAX(1, 'ProductSprint Backlog'!$L47-'ProductSprint Backlog'!$K47), AND('ProductSprint Backlog'!$L47=D$2,'ProductSprint Backlog'!$K47=D$2), 'ProductSprint Backlog'!$M47, TRUE, 0)</f>
        <v/>
      </c>
      <c r="E47" s="4" t="str" cm="1">
        <f t="array" ref="E47">_xlfn.IFS('ProductSprint Backlog'!$M47="", "", AND('ProductSprint Backlog'!$L47&gt;E$2,'ProductSprint Backlog'!$K47&lt;=E$2), 'ProductSprint Backlog'!$M47 / MAX(1, 'ProductSprint Backlog'!$L47-'ProductSprint Backlog'!$K47), AND('ProductSprint Backlog'!$L47=E$2,'ProductSprint Backlog'!$K47=E$2), 'ProductSprint Backlog'!$M47, TRUE, 0)</f>
        <v/>
      </c>
      <c r="F47" s="4" t="str" cm="1">
        <f t="array" ref="F47">_xlfn.IFS('ProductSprint Backlog'!$M47="", "", AND('ProductSprint Backlog'!$L47&gt;F$2,'ProductSprint Backlog'!$K47&lt;=F$2), 'ProductSprint Backlog'!$M47 / MAX(1, 'ProductSprint Backlog'!$L47-'ProductSprint Backlog'!$K47), AND('ProductSprint Backlog'!$L47=F$2,'ProductSprint Backlog'!$K47=F$2), 'ProductSprint Backlog'!$M47, TRUE, 0)</f>
        <v/>
      </c>
      <c r="G47" s="4" t="str" cm="1">
        <f t="array" ref="G47">_xlfn.IFS('ProductSprint Backlog'!$M47="", "", AND('ProductSprint Backlog'!$L47&gt;G$2,'ProductSprint Backlog'!$K47&lt;=G$2), 'ProductSprint Backlog'!$M47 / MAX(1, 'ProductSprint Backlog'!$L47-'ProductSprint Backlog'!$K47), AND('ProductSprint Backlog'!$L47=G$2,'ProductSprint Backlog'!$K47=G$2), 'ProductSprint Backlog'!$M47, TRUE, 0)</f>
        <v/>
      </c>
      <c r="H47" s="4" t="str" cm="1">
        <f t="array" ref="H47">_xlfn.IFS('ProductSprint Backlog'!$M47="", "", AND('ProductSprint Backlog'!$L47&gt;H$2,'ProductSprint Backlog'!$K47&lt;=H$2), 'ProductSprint Backlog'!$M47 / MAX(1, 'ProductSprint Backlog'!$L47-'ProductSprint Backlog'!$K47), AND('ProductSprint Backlog'!$L47=H$2,'ProductSprint Backlog'!$K47=H$2), 'ProductSprint Backlog'!$M47, TRUE, 0)</f>
        <v/>
      </c>
      <c r="I47" s="4" t="str" cm="1">
        <f t="array" ref="I47">_xlfn.IFS('ProductSprint Backlog'!$M47="", "", AND('ProductSprint Backlog'!$L47&gt;I$2,'ProductSprint Backlog'!$K47&lt;=I$2), 'ProductSprint Backlog'!$M47 / MAX(1, 'ProductSprint Backlog'!$L47-'ProductSprint Backlog'!$K47), AND('ProductSprint Backlog'!$L47=I$2,'ProductSprint Backlog'!$K47=I$2), 'ProductSprint Backlog'!$M47, TRUE, 0)</f>
        <v/>
      </c>
      <c r="J47" s="4" t="str" cm="1">
        <f t="array" ref="J47">_xlfn.IFS('ProductSprint Backlog'!$M47="", "", AND('ProductSprint Backlog'!$L47&gt;J$2,'ProductSprint Backlog'!$K47&lt;=J$2), 'ProductSprint Backlog'!$M47 / MAX(1, 'ProductSprint Backlog'!$L47-'ProductSprint Backlog'!$K47), AND('ProductSprint Backlog'!$L47=J$2,'ProductSprint Backlog'!$K47=J$2), 'ProductSprint Backlog'!$M47, TRUE, 0)</f>
        <v/>
      </c>
      <c r="K47" s="4" t="str" cm="1">
        <f t="array" ref="K47">_xlfn.IFS('ProductSprint Backlog'!$M47="", "", AND('ProductSprint Backlog'!$L47&gt;K$2,'ProductSprint Backlog'!$K47&lt;=K$2), 'ProductSprint Backlog'!$M47 / MAX(1, 'ProductSprint Backlog'!$L47-'ProductSprint Backlog'!$K47), AND('ProductSprint Backlog'!$L47=K$2,'ProductSprint Backlog'!$K47=K$2), 'ProductSprint Backlog'!$M47, TRUE, 0)</f>
        <v/>
      </c>
      <c r="L47" s="4" t="str" cm="1">
        <f t="array" ref="L47">_xlfn.IFS('ProductSprint Backlog'!$M47="", "", AND('ProductSprint Backlog'!$L47&gt;L$2,'ProductSprint Backlog'!$K47&lt;=L$2), 'ProductSprint Backlog'!$M47 / MAX(1, 'ProductSprint Backlog'!$L47-'ProductSprint Backlog'!$K47), AND('ProductSprint Backlog'!$L47=L$2,'ProductSprint Backlog'!$K47=L$2), 'ProductSprint Backlog'!$M47, TRUE, 0)</f>
        <v/>
      </c>
      <c r="M47" s="4" t="str" cm="1">
        <f t="array" ref="M47">_xlfn.IFS('ProductSprint Backlog'!$M47="", "", AND('ProductSprint Backlog'!$L47&gt;M$2,'ProductSprint Backlog'!$K47&lt;=M$2), 'ProductSprint Backlog'!$M47 / MAX(1, 'ProductSprint Backlog'!$L47-'ProductSprint Backlog'!$K47), AND('ProductSprint Backlog'!$L47=M$2,'ProductSprint Backlog'!$K47=M$2), 'ProductSprint Backlog'!$M47, TRUE, 0)</f>
        <v/>
      </c>
      <c r="N47" s="4" t="str" cm="1">
        <f t="array" ref="N47">_xlfn.IFS('ProductSprint Backlog'!$M47="", "", AND('ProductSprint Backlog'!$L47&gt;N$2,'ProductSprint Backlog'!$K47&lt;=N$2), 'ProductSprint Backlog'!$M47 / MAX(1, 'ProductSprint Backlog'!$L47-'ProductSprint Backlog'!$K47), AND('ProductSprint Backlog'!$L47=N$2,'ProductSprint Backlog'!$K47=N$2), 'ProductSprint Backlog'!$M47, TRUE, 0)</f>
        <v/>
      </c>
      <c r="O47" s="4" t="str" cm="1">
        <f t="array" ref="O47">_xlfn.IFS('ProductSprint Backlog'!$M47="", "", AND('ProductSprint Backlog'!$L47&gt;O$2,'ProductSprint Backlog'!$K47&lt;=O$2), 'ProductSprint Backlog'!$M47 / MAX(1, 'ProductSprint Backlog'!$L47-'ProductSprint Backlog'!$K47), AND('ProductSprint Backlog'!$L47=O$2,'ProductSprint Backlog'!$K47=O$2), 'ProductSprint Backlog'!$M47, TRUE, 0)</f>
        <v/>
      </c>
      <c r="P47" s="4" t="str" cm="1">
        <f t="array" ref="P47">_xlfn.IFS('ProductSprint Backlog'!$M47="", "", AND('ProductSprint Backlog'!$L47&gt;P$2,'ProductSprint Backlog'!$K47&lt;=P$2), 'ProductSprint Backlog'!$M47 / MAX(1, 'ProductSprint Backlog'!$L47-'ProductSprint Backlog'!$K47), AND('ProductSprint Backlog'!$L47=P$2,'ProductSprint Backlog'!$K47=P$2), 'ProductSprint Backlog'!$M47, TRUE, 0)</f>
        <v/>
      </c>
    </row>
    <row r="48" spans="2:16" x14ac:dyDescent="0.2">
      <c r="B48" s="4" cm="1">
        <f t="array" ref="B48">_xlfn.IFS('ProductSprint Backlog'!$M48="", "", AND('ProductSprint Backlog'!$L48&gt;B$2,'ProductSprint Backlog'!$K48&lt;=B$2), 'ProductSprint Backlog'!$M48 / MAX(1, 'ProductSprint Backlog'!$L48-'ProductSprint Backlog'!$K48), AND('ProductSprint Backlog'!$L48=B$2,'ProductSprint Backlog'!$K48=B$2), 'ProductSprint Backlog'!$M48, TRUE, 0)</f>
        <v>0</v>
      </c>
      <c r="C48" s="4" cm="1">
        <f t="array" ref="C48">_xlfn.IFS('ProductSprint Backlog'!$M48="", "", AND('ProductSprint Backlog'!$L48&gt;C$2,'ProductSprint Backlog'!$K48&lt;=C$2), 'ProductSprint Backlog'!$M48 / MAX(1, 'ProductSprint Backlog'!$L48-'ProductSprint Backlog'!$K48), AND('ProductSprint Backlog'!$L48=C$2,'ProductSprint Backlog'!$K48=C$2), 'ProductSprint Backlog'!$M48, TRUE, 0)</f>
        <v>0</v>
      </c>
      <c r="D48" s="4" cm="1">
        <f t="array" ref="D48">_xlfn.IFS('ProductSprint Backlog'!$M48="", "", AND('ProductSprint Backlog'!$L48&gt;D$2,'ProductSprint Backlog'!$K48&lt;=D$2), 'ProductSprint Backlog'!$M48 / MAX(1, 'ProductSprint Backlog'!$L48-'ProductSprint Backlog'!$K48), AND('ProductSprint Backlog'!$L48=D$2,'ProductSprint Backlog'!$K48=D$2), 'ProductSprint Backlog'!$M48, TRUE, 0)</f>
        <v>0</v>
      </c>
      <c r="E48" s="4" cm="1">
        <f t="array" ref="E48">_xlfn.IFS('ProductSprint Backlog'!$M48="", "", AND('ProductSprint Backlog'!$L48&gt;E$2,'ProductSprint Backlog'!$K48&lt;=E$2), 'ProductSprint Backlog'!$M48 / MAX(1, 'ProductSprint Backlog'!$L48-'ProductSprint Backlog'!$K48), AND('ProductSprint Backlog'!$L48=E$2,'ProductSprint Backlog'!$K48=E$2), 'ProductSprint Backlog'!$M48, TRUE, 0)</f>
        <v>0</v>
      </c>
      <c r="F48" s="4" cm="1">
        <f t="array" ref="F48">_xlfn.IFS('ProductSprint Backlog'!$M48="", "", AND('ProductSprint Backlog'!$L48&gt;F$2,'ProductSprint Backlog'!$K48&lt;=F$2), 'ProductSprint Backlog'!$M48 / MAX(1, 'ProductSprint Backlog'!$L48-'ProductSprint Backlog'!$K48), AND('ProductSprint Backlog'!$L48=F$2,'ProductSprint Backlog'!$K48=F$2), 'ProductSprint Backlog'!$M48, TRUE, 0)</f>
        <v>0</v>
      </c>
      <c r="G48" s="4" cm="1">
        <f t="array" ref="G48">_xlfn.IFS('ProductSprint Backlog'!$M48="", "", AND('ProductSprint Backlog'!$L48&gt;G$2,'ProductSprint Backlog'!$K48&lt;=G$2), 'ProductSprint Backlog'!$M48 / MAX(1, 'ProductSprint Backlog'!$L48-'ProductSprint Backlog'!$K48), AND('ProductSprint Backlog'!$L48=G$2,'ProductSprint Backlog'!$K48=G$2), 'ProductSprint Backlog'!$M48, TRUE, 0)</f>
        <v>0</v>
      </c>
      <c r="H48" s="4" cm="1">
        <f t="array" ref="H48">_xlfn.IFS('ProductSprint Backlog'!$M48="", "", AND('ProductSprint Backlog'!$L48&gt;H$2,'ProductSprint Backlog'!$K48&lt;=H$2), 'ProductSprint Backlog'!$M48 / MAX(1, 'ProductSprint Backlog'!$L48-'ProductSprint Backlog'!$K48), AND('ProductSprint Backlog'!$L48=H$2,'ProductSprint Backlog'!$K48=H$2), 'ProductSprint Backlog'!$M48, TRUE, 0)</f>
        <v>0</v>
      </c>
      <c r="I48" s="4" cm="1">
        <f t="array" ref="I48">_xlfn.IFS('ProductSprint Backlog'!$M48="", "", AND('ProductSprint Backlog'!$L48&gt;I$2,'ProductSprint Backlog'!$K48&lt;=I$2), 'ProductSprint Backlog'!$M48 / MAX(1, 'ProductSprint Backlog'!$L48-'ProductSprint Backlog'!$K48), AND('ProductSprint Backlog'!$L48=I$2,'ProductSprint Backlog'!$K48=I$2), 'ProductSprint Backlog'!$M48, TRUE, 0)</f>
        <v>0</v>
      </c>
      <c r="J48" s="4" cm="1">
        <f t="array" ref="J48">_xlfn.IFS('ProductSprint Backlog'!$M48="", "", AND('ProductSprint Backlog'!$L48&gt;J$2,'ProductSprint Backlog'!$K48&lt;=J$2), 'ProductSprint Backlog'!$M48 / MAX(1, 'ProductSprint Backlog'!$L48-'ProductSprint Backlog'!$K48), AND('ProductSprint Backlog'!$L48=J$2,'ProductSprint Backlog'!$K48=J$2), 'ProductSprint Backlog'!$M48, TRUE, 0)</f>
        <v>0</v>
      </c>
      <c r="K48" s="4" cm="1">
        <f t="array" ref="K48">_xlfn.IFS('ProductSprint Backlog'!$M48="", "", AND('ProductSprint Backlog'!$L48&gt;K$2,'ProductSprint Backlog'!$K48&lt;=K$2), 'ProductSprint Backlog'!$M48 / MAX(1, 'ProductSprint Backlog'!$L48-'ProductSprint Backlog'!$K48), AND('ProductSprint Backlog'!$L48=K$2,'ProductSprint Backlog'!$K48=K$2), 'ProductSprint Backlog'!$M48, TRUE, 0)</f>
        <v>0</v>
      </c>
      <c r="L48" s="4" cm="1">
        <f t="array" ref="L48">_xlfn.IFS('ProductSprint Backlog'!$M48="", "", AND('ProductSprint Backlog'!$L48&gt;L$2,'ProductSprint Backlog'!$K48&lt;=L$2), 'ProductSprint Backlog'!$M48 / MAX(1, 'ProductSprint Backlog'!$L48-'ProductSprint Backlog'!$K48), AND('ProductSprint Backlog'!$L48=L$2,'ProductSprint Backlog'!$K48=L$2), 'ProductSprint Backlog'!$M48, TRUE, 0)</f>
        <v>0.5</v>
      </c>
      <c r="M48" s="4" cm="1">
        <f t="array" ref="M48">_xlfn.IFS('ProductSprint Backlog'!$M48="", "", AND('ProductSprint Backlog'!$L48&gt;M$2,'ProductSprint Backlog'!$K48&lt;=M$2), 'ProductSprint Backlog'!$M48 / MAX(1, 'ProductSprint Backlog'!$L48-'ProductSprint Backlog'!$K48), AND('ProductSprint Backlog'!$L48=M$2,'ProductSprint Backlog'!$K48=M$2), 'ProductSprint Backlog'!$M48, TRUE, 0)</f>
        <v>0</v>
      </c>
      <c r="N48" s="4" cm="1">
        <f t="array" ref="N48">_xlfn.IFS('ProductSprint Backlog'!$M48="", "", AND('ProductSprint Backlog'!$L48&gt;N$2,'ProductSprint Backlog'!$K48&lt;=N$2), 'ProductSprint Backlog'!$M48 / MAX(1, 'ProductSprint Backlog'!$L48-'ProductSprint Backlog'!$K48), AND('ProductSprint Backlog'!$L48=N$2,'ProductSprint Backlog'!$K48=N$2), 'ProductSprint Backlog'!$M48, TRUE, 0)</f>
        <v>0</v>
      </c>
      <c r="O48" s="4" cm="1">
        <f t="array" ref="O48">_xlfn.IFS('ProductSprint Backlog'!$M48="", "", AND('ProductSprint Backlog'!$L48&gt;O$2,'ProductSprint Backlog'!$K48&lt;=O$2), 'ProductSprint Backlog'!$M48 / MAX(1, 'ProductSprint Backlog'!$L48-'ProductSprint Backlog'!$K48), AND('ProductSprint Backlog'!$L48=O$2,'ProductSprint Backlog'!$K48=O$2), 'ProductSprint Backlog'!$M48, TRUE, 0)</f>
        <v>0</v>
      </c>
      <c r="P48" s="4" cm="1">
        <f t="array" ref="P48">_xlfn.IFS('ProductSprint Backlog'!$M48="", "", AND('ProductSprint Backlog'!$L48&gt;P$2,'ProductSprint Backlog'!$K48&lt;=P$2), 'ProductSprint Backlog'!$M48 / MAX(1, 'ProductSprint Backlog'!$L48-'ProductSprint Backlog'!$K48), AND('ProductSprint Backlog'!$L48=P$2,'ProductSprint Backlog'!$K48=P$2), 'ProductSprint Backlog'!$M48, TRUE, 0)</f>
        <v>0</v>
      </c>
    </row>
    <row r="49" spans="2:16" x14ac:dyDescent="0.2">
      <c r="B49" s="4" cm="1">
        <f t="array" ref="B49">_xlfn.IFS('ProductSprint Backlog'!$M49="", "", AND('ProductSprint Backlog'!$L49&gt;B$2,'ProductSprint Backlog'!$K49&lt;=B$2), 'ProductSprint Backlog'!$M49 / MAX(1, 'ProductSprint Backlog'!$L49-'ProductSprint Backlog'!$K49), AND('ProductSprint Backlog'!$L49=B$2,'ProductSprint Backlog'!$K49=B$2), 'ProductSprint Backlog'!$M49, TRUE, 0)</f>
        <v>0</v>
      </c>
      <c r="C49" s="4" cm="1">
        <f t="array" ref="C49">_xlfn.IFS('ProductSprint Backlog'!$M49="", "", AND('ProductSprint Backlog'!$L49&gt;C$2,'ProductSprint Backlog'!$K49&lt;=C$2), 'ProductSprint Backlog'!$M49 / MAX(1, 'ProductSprint Backlog'!$L49-'ProductSprint Backlog'!$K49), AND('ProductSprint Backlog'!$L49=C$2,'ProductSprint Backlog'!$K49=C$2), 'ProductSprint Backlog'!$M49, TRUE, 0)</f>
        <v>0</v>
      </c>
      <c r="D49" s="4" cm="1">
        <f t="array" ref="D49">_xlfn.IFS('ProductSprint Backlog'!$M49="", "", AND('ProductSprint Backlog'!$L49&gt;D$2,'ProductSprint Backlog'!$K49&lt;=D$2), 'ProductSprint Backlog'!$M49 / MAX(1, 'ProductSprint Backlog'!$L49-'ProductSprint Backlog'!$K49), AND('ProductSprint Backlog'!$L49=D$2,'ProductSprint Backlog'!$K49=D$2), 'ProductSprint Backlog'!$M49, TRUE, 0)</f>
        <v>0</v>
      </c>
      <c r="E49" s="4" cm="1">
        <f t="array" ref="E49">_xlfn.IFS('ProductSprint Backlog'!$M49="", "", AND('ProductSprint Backlog'!$L49&gt;E$2,'ProductSprint Backlog'!$K49&lt;=E$2), 'ProductSprint Backlog'!$M49 / MAX(1, 'ProductSprint Backlog'!$L49-'ProductSprint Backlog'!$K49), AND('ProductSprint Backlog'!$L49=E$2,'ProductSprint Backlog'!$K49=E$2), 'ProductSprint Backlog'!$M49, TRUE, 0)</f>
        <v>0</v>
      </c>
      <c r="F49" s="4" cm="1">
        <f t="array" ref="F49">_xlfn.IFS('ProductSprint Backlog'!$M49="", "", AND('ProductSprint Backlog'!$L49&gt;F$2,'ProductSprint Backlog'!$K49&lt;=F$2), 'ProductSprint Backlog'!$M49 / MAX(1, 'ProductSprint Backlog'!$L49-'ProductSprint Backlog'!$K49), AND('ProductSprint Backlog'!$L49=F$2,'ProductSprint Backlog'!$K49=F$2), 'ProductSprint Backlog'!$M49, TRUE, 0)</f>
        <v>0</v>
      </c>
      <c r="G49" s="4" cm="1">
        <f t="array" ref="G49">_xlfn.IFS('ProductSprint Backlog'!$M49="", "", AND('ProductSprint Backlog'!$L49&gt;G$2,'ProductSprint Backlog'!$K49&lt;=G$2), 'ProductSprint Backlog'!$M49 / MAX(1, 'ProductSprint Backlog'!$L49-'ProductSprint Backlog'!$K49), AND('ProductSprint Backlog'!$L49=G$2,'ProductSprint Backlog'!$K49=G$2), 'ProductSprint Backlog'!$M49, TRUE, 0)</f>
        <v>0</v>
      </c>
      <c r="H49" s="4" cm="1">
        <f t="array" ref="H49">_xlfn.IFS('ProductSprint Backlog'!$M49="", "", AND('ProductSprint Backlog'!$L49&gt;H$2,'ProductSprint Backlog'!$K49&lt;=H$2), 'ProductSprint Backlog'!$M49 / MAX(1, 'ProductSprint Backlog'!$L49-'ProductSprint Backlog'!$K49), AND('ProductSprint Backlog'!$L49=H$2,'ProductSprint Backlog'!$K49=H$2), 'ProductSprint Backlog'!$M49, TRUE, 0)</f>
        <v>0</v>
      </c>
      <c r="I49" s="4" cm="1">
        <f t="array" ref="I49">_xlfn.IFS('ProductSprint Backlog'!$M49="", "", AND('ProductSprint Backlog'!$L49&gt;I$2,'ProductSprint Backlog'!$K49&lt;=I$2), 'ProductSprint Backlog'!$M49 / MAX(1, 'ProductSprint Backlog'!$L49-'ProductSprint Backlog'!$K49), AND('ProductSprint Backlog'!$L49=I$2,'ProductSprint Backlog'!$K49=I$2), 'ProductSprint Backlog'!$M49, TRUE, 0)</f>
        <v>0</v>
      </c>
      <c r="J49" s="4" cm="1">
        <f t="array" ref="J49">_xlfn.IFS('ProductSprint Backlog'!$M49="", "", AND('ProductSprint Backlog'!$L49&gt;J$2,'ProductSprint Backlog'!$K49&lt;=J$2), 'ProductSprint Backlog'!$M49 / MAX(1, 'ProductSprint Backlog'!$L49-'ProductSprint Backlog'!$K49), AND('ProductSprint Backlog'!$L49=J$2,'ProductSprint Backlog'!$K49=J$2), 'ProductSprint Backlog'!$M49, TRUE, 0)</f>
        <v>0</v>
      </c>
      <c r="K49" s="4" cm="1">
        <f t="array" ref="K49">_xlfn.IFS('ProductSprint Backlog'!$M49="", "", AND('ProductSprint Backlog'!$L49&gt;K$2,'ProductSprint Backlog'!$K49&lt;=K$2), 'ProductSprint Backlog'!$M49 / MAX(1, 'ProductSprint Backlog'!$L49-'ProductSprint Backlog'!$K49), AND('ProductSprint Backlog'!$L49=K$2,'ProductSprint Backlog'!$K49=K$2), 'ProductSprint Backlog'!$M49, TRUE, 0)</f>
        <v>0</v>
      </c>
      <c r="L49" s="4" cm="1">
        <f t="array" ref="L49">_xlfn.IFS('ProductSprint Backlog'!$M49="", "", AND('ProductSprint Backlog'!$L49&gt;L$2,'ProductSprint Backlog'!$K49&lt;=L$2), 'ProductSprint Backlog'!$M49 / MAX(1, 'ProductSprint Backlog'!$L49-'ProductSprint Backlog'!$K49), AND('ProductSprint Backlog'!$L49=L$2,'ProductSprint Backlog'!$K49=L$2), 'ProductSprint Backlog'!$M49, TRUE, 0)</f>
        <v>0</v>
      </c>
      <c r="M49" s="4" cm="1">
        <f t="array" ref="M49">_xlfn.IFS('ProductSprint Backlog'!$M49="", "", AND('ProductSprint Backlog'!$L49&gt;M$2,'ProductSprint Backlog'!$K49&lt;=M$2), 'ProductSprint Backlog'!$M49 / MAX(1, 'ProductSprint Backlog'!$L49-'ProductSprint Backlog'!$K49), AND('ProductSprint Backlog'!$L49=M$2,'ProductSprint Backlog'!$K49=M$2), 'ProductSprint Backlog'!$M49, TRUE, 0)</f>
        <v>0</v>
      </c>
      <c r="N49" s="4" cm="1">
        <f t="array" ref="N49">_xlfn.IFS('ProductSprint Backlog'!$M49="", "", AND('ProductSprint Backlog'!$L49&gt;N$2,'ProductSprint Backlog'!$K49&lt;=N$2), 'ProductSprint Backlog'!$M49 / MAX(1, 'ProductSprint Backlog'!$L49-'ProductSprint Backlog'!$K49), AND('ProductSprint Backlog'!$L49=N$2,'ProductSprint Backlog'!$K49=N$2), 'ProductSprint Backlog'!$M49, TRUE, 0)</f>
        <v>3</v>
      </c>
      <c r="O49" s="4" cm="1">
        <f t="array" ref="O49">_xlfn.IFS('ProductSprint Backlog'!$M49="", "", AND('ProductSprint Backlog'!$L49&gt;O$2,'ProductSprint Backlog'!$K49&lt;=O$2), 'ProductSprint Backlog'!$M49 / MAX(1, 'ProductSprint Backlog'!$L49-'ProductSprint Backlog'!$K49), AND('ProductSprint Backlog'!$L49=O$2,'ProductSprint Backlog'!$K49=O$2), 'ProductSprint Backlog'!$M49, TRUE, 0)</f>
        <v>0</v>
      </c>
      <c r="P49" s="4" cm="1">
        <f t="array" ref="P49">_xlfn.IFS('ProductSprint Backlog'!$M49="", "", AND('ProductSprint Backlog'!$L49&gt;P$2,'ProductSprint Backlog'!$K49&lt;=P$2), 'ProductSprint Backlog'!$M49 / MAX(1, 'ProductSprint Backlog'!$L49-'ProductSprint Backlog'!$K49), AND('ProductSprint Backlog'!$L49=P$2,'ProductSprint Backlog'!$K49=P$2), 'ProductSprint Backlog'!$M49, TRUE, 0)</f>
        <v>0</v>
      </c>
    </row>
    <row r="50" spans="2:16" x14ac:dyDescent="0.2">
      <c r="B50" s="4" t="str" cm="1">
        <f t="array" ref="B50">_xlfn.IFS('ProductSprint Backlog'!$M50="", "", AND('ProductSprint Backlog'!$L50&gt;B$2,'ProductSprint Backlog'!$K50&lt;=B$2), 'ProductSprint Backlog'!$M50 / MAX(1, 'ProductSprint Backlog'!$L50-'ProductSprint Backlog'!$K50), AND('ProductSprint Backlog'!$L50=B$2,'ProductSprint Backlog'!$K50=B$2), 'ProductSprint Backlog'!$M50, TRUE, 0)</f>
        <v/>
      </c>
      <c r="C50" s="4" t="str" cm="1">
        <f t="array" ref="C50">_xlfn.IFS('ProductSprint Backlog'!$M50="", "", AND('ProductSprint Backlog'!$L50&gt;C$2,'ProductSprint Backlog'!$K50&lt;=C$2), 'ProductSprint Backlog'!$M50 / MAX(1, 'ProductSprint Backlog'!$L50-'ProductSprint Backlog'!$K50), AND('ProductSprint Backlog'!$L50=C$2,'ProductSprint Backlog'!$K50=C$2), 'ProductSprint Backlog'!$M50, TRUE, 0)</f>
        <v/>
      </c>
      <c r="D50" s="4" t="str" cm="1">
        <f t="array" ref="D50">_xlfn.IFS('ProductSprint Backlog'!$M50="", "", AND('ProductSprint Backlog'!$L50&gt;D$2,'ProductSprint Backlog'!$K50&lt;=D$2), 'ProductSprint Backlog'!$M50 / MAX(1, 'ProductSprint Backlog'!$L50-'ProductSprint Backlog'!$K50), AND('ProductSprint Backlog'!$L50=D$2,'ProductSprint Backlog'!$K50=D$2), 'ProductSprint Backlog'!$M50, TRUE, 0)</f>
        <v/>
      </c>
      <c r="E50" s="4" t="str" cm="1">
        <f t="array" ref="E50">_xlfn.IFS('ProductSprint Backlog'!$M50="", "", AND('ProductSprint Backlog'!$L50&gt;E$2,'ProductSprint Backlog'!$K50&lt;=E$2), 'ProductSprint Backlog'!$M50 / MAX(1, 'ProductSprint Backlog'!$L50-'ProductSprint Backlog'!$K50), AND('ProductSprint Backlog'!$L50=E$2,'ProductSprint Backlog'!$K50=E$2), 'ProductSprint Backlog'!$M50, TRUE, 0)</f>
        <v/>
      </c>
      <c r="F50" s="4" t="str" cm="1">
        <f t="array" ref="F50">_xlfn.IFS('ProductSprint Backlog'!$M50="", "", AND('ProductSprint Backlog'!$L50&gt;F$2,'ProductSprint Backlog'!$K50&lt;=F$2), 'ProductSprint Backlog'!$M50 / MAX(1, 'ProductSprint Backlog'!$L50-'ProductSprint Backlog'!$K50), AND('ProductSprint Backlog'!$L50=F$2,'ProductSprint Backlog'!$K50=F$2), 'ProductSprint Backlog'!$M50, TRUE, 0)</f>
        <v/>
      </c>
      <c r="G50" s="4" t="str" cm="1">
        <f t="array" ref="G50">_xlfn.IFS('ProductSprint Backlog'!$M50="", "", AND('ProductSprint Backlog'!$L50&gt;G$2,'ProductSprint Backlog'!$K50&lt;=G$2), 'ProductSprint Backlog'!$M50 / MAX(1, 'ProductSprint Backlog'!$L50-'ProductSprint Backlog'!$K50), AND('ProductSprint Backlog'!$L50=G$2,'ProductSprint Backlog'!$K50=G$2), 'ProductSprint Backlog'!$M50, TRUE, 0)</f>
        <v/>
      </c>
      <c r="H50" s="4" t="str" cm="1">
        <f t="array" ref="H50">_xlfn.IFS('ProductSprint Backlog'!$M50="", "", AND('ProductSprint Backlog'!$L50&gt;H$2,'ProductSprint Backlog'!$K50&lt;=H$2), 'ProductSprint Backlog'!$M50 / MAX(1, 'ProductSprint Backlog'!$L50-'ProductSprint Backlog'!$K50), AND('ProductSprint Backlog'!$L50=H$2,'ProductSprint Backlog'!$K50=H$2), 'ProductSprint Backlog'!$M50, TRUE, 0)</f>
        <v/>
      </c>
      <c r="I50" s="4" t="str" cm="1">
        <f t="array" ref="I50">_xlfn.IFS('ProductSprint Backlog'!$M50="", "", AND('ProductSprint Backlog'!$L50&gt;I$2,'ProductSprint Backlog'!$K50&lt;=I$2), 'ProductSprint Backlog'!$M50 / MAX(1, 'ProductSprint Backlog'!$L50-'ProductSprint Backlog'!$K50), AND('ProductSprint Backlog'!$L50=I$2,'ProductSprint Backlog'!$K50=I$2), 'ProductSprint Backlog'!$M50, TRUE, 0)</f>
        <v/>
      </c>
      <c r="J50" s="4" t="str" cm="1">
        <f t="array" ref="J50">_xlfn.IFS('ProductSprint Backlog'!$M50="", "", AND('ProductSprint Backlog'!$L50&gt;J$2,'ProductSprint Backlog'!$K50&lt;=J$2), 'ProductSprint Backlog'!$M50 / MAX(1, 'ProductSprint Backlog'!$L50-'ProductSprint Backlog'!$K50), AND('ProductSprint Backlog'!$L50=J$2,'ProductSprint Backlog'!$K50=J$2), 'ProductSprint Backlog'!$M50, TRUE, 0)</f>
        <v/>
      </c>
      <c r="K50" s="4" t="str" cm="1">
        <f t="array" ref="K50">_xlfn.IFS('ProductSprint Backlog'!$M50="", "", AND('ProductSprint Backlog'!$L50&gt;K$2,'ProductSprint Backlog'!$K50&lt;=K$2), 'ProductSprint Backlog'!$M50 / MAX(1, 'ProductSprint Backlog'!$L50-'ProductSprint Backlog'!$K50), AND('ProductSprint Backlog'!$L50=K$2,'ProductSprint Backlog'!$K50=K$2), 'ProductSprint Backlog'!$M50, TRUE, 0)</f>
        <v/>
      </c>
      <c r="L50" s="4" t="str" cm="1">
        <f t="array" ref="L50">_xlfn.IFS('ProductSprint Backlog'!$M50="", "", AND('ProductSprint Backlog'!$L50&gt;L$2,'ProductSprint Backlog'!$K50&lt;=L$2), 'ProductSprint Backlog'!$M50 / MAX(1, 'ProductSprint Backlog'!$L50-'ProductSprint Backlog'!$K50), AND('ProductSprint Backlog'!$L50=L$2,'ProductSprint Backlog'!$K50=L$2), 'ProductSprint Backlog'!$M50, TRUE, 0)</f>
        <v/>
      </c>
      <c r="M50" s="4" t="str" cm="1">
        <f t="array" ref="M50">_xlfn.IFS('ProductSprint Backlog'!$M50="", "", AND('ProductSprint Backlog'!$L50&gt;M$2,'ProductSprint Backlog'!$K50&lt;=M$2), 'ProductSprint Backlog'!$M50 / MAX(1, 'ProductSprint Backlog'!$L50-'ProductSprint Backlog'!$K50), AND('ProductSprint Backlog'!$L50=M$2,'ProductSprint Backlog'!$K50=M$2), 'ProductSprint Backlog'!$M50, TRUE, 0)</f>
        <v/>
      </c>
      <c r="N50" s="4" t="str" cm="1">
        <f t="array" ref="N50">_xlfn.IFS('ProductSprint Backlog'!$M50="", "", AND('ProductSprint Backlog'!$L50&gt;N$2,'ProductSprint Backlog'!$K50&lt;=N$2), 'ProductSprint Backlog'!$M50 / MAX(1, 'ProductSprint Backlog'!$L50-'ProductSprint Backlog'!$K50), AND('ProductSprint Backlog'!$L50=N$2,'ProductSprint Backlog'!$K50=N$2), 'ProductSprint Backlog'!$M50, TRUE, 0)</f>
        <v/>
      </c>
      <c r="O50" s="4" t="str" cm="1">
        <f t="array" ref="O50">_xlfn.IFS('ProductSprint Backlog'!$M50="", "", AND('ProductSprint Backlog'!$L50&gt;O$2,'ProductSprint Backlog'!$K50&lt;=O$2), 'ProductSprint Backlog'!$M50 / MAX(1, 'ProductSprint Backlog'!$L50-'ProductSprint Backlog'!$K50), AND('ProductSprint Backlog'!$L50=O$2,'ProductSprint Backlog'!$K50=O$2), 'ProductSprint Backlog'!$M50, TRUE, 0)</f>
        <v/>
      </c>
      <c r="P50" s="4" t="str" cm="1">
        <f t="array" ref="P50">_xlfn.IFS('ProductSprint Backlog'!$M50="", "", AND('ProductSprint Backlog'!$L50&gt;P$2,'ProductSprint Backlog'!$K50&lt;=P$2), 'ProductSprint Backlog'!$M50 / MAX(1, 'ProductSprint Backlog'!$L50-'ProductSprint Backlog'!$K50), AND('ProductSprint Backlog'!$L50=P$2,'ProductSprint Backlog'!$K50=P$2), 'ProductSprint Backlog'!$M50, TRUE, 0)</f>
        <v/>
      </c>
    </row>
    <row r="51" spans="2:16" x14ac:dyDescent="0.2">
      <c r="B51" s="4" cm="1">
        <f t="array" ref="B51">_xlfn.IFS('ProductSprint Backlog'!$M51="", "", AND('ProductSprint Backlog'!$L51&gt;B$2,'ProductSprint Backlog'!$K51&lt;=B$2), 'ProductSprint Backlog'!$M51 / MAX(1, 'ProductSprint Backlog'!$L51-'ProductSprint Backlog'!$K51), AND('ProductSprint Backlog'!$L51=B$2,'ProductSprint Backlog'!$K51=B$2), 'ProductSprint Backlog'!$M51, TRUE, 0)</f>
        <v>0</v>
      </c>
      <c r="C51" s="4" cm="1">
        <f t="array" ref="C51">_xlfn.IFS('ProductSprint Backlog'!$M51="", "", AND('ProductSprint Backlog'!$L51&gt;C$2,'ProductSprint Backlog'!$K51&lt;=C$2), 'ProductSprint Backlog'!$M51 / MAX(1, 'ProductSprint Backlog'!$L51-'ProductSprint Backlog'!$K51), AND('ProductSprint Backlog'!$L51=C$2,'ProductSprint Backlog'!$K51=C$2), 'ProductSprint Backlog'!$M51, TRUE, 0)</f>
        <v>0</v>
      </c>
      <c r="D51" s="4" cm="1">
        <f t="array" ref="D51">_xlfn.IFS('ProductSprint Backlog'!$M51="", "", AND('ProductSprint Backlog'!$L51&gt;D$2,'ProductSprint Backlog'!$K51&lt;=D$2), 'ProductSprint Backlog'!$M51 / MAX(1, 'ProductSprint Backlog'!$L51-'ProductSprint Backlog'!$K51), AND('ProductSprint Backlog'!$L51=D$2,'ProductSprint Backlog'!$K51=D$2), 'ProductSprint Backlog'!$M51, TRUE, 0)</f>
        <v>0</v>
      </c>
      <c r="E51" s="4" cm="1">
        <f t="array" ref="E51">_xlfn.IFS('ProductSprint Backlog'!$M51="", "", AND('ProductSprint Backlog'!$L51&gt;E$2,'ProductSprint Backlog'!$K51&lt;=E$2), 'ProductSprint Backlog'!$M51 / MAX(1, 'ProductSprint Backlog'!$L51-'ProductSprint Backlog'!$K51), AND('ProductSprint Backlog'!$L51=E$2,'ProductSprint Backlog'!$K51=E$2), 'ProductSprint Backlog'!$M51, TRUE, 0)</f>
        <v>0</v>
      </c>
      <c r="F51" s="4" cm="1">
        <f t="array" ref="F51">_xlfn.IFS('ProductSprint Backlog'!$M51="", "", AND('ProductSprint Backlog'!$L51&gt;F$2,'ProductSprint Backlog'!$K51&lt;=F$2), 'ProductSprint Backlog'!$M51 / MAX(1, 'ProductSprint Backlog'!$L51-'ProductSprint Backlog'!$K51), AND('ProductSprint Backlog'!$L51=F$2,'ProductSprint Backlog'!$K51=F$2), 'ProductSprint Backlog'!$M51, TRUE, 0)</f>
        <v>0</v>
      </c>
      <c r="G51" s="4" cm="1">
        <f t="array" ref="G51">_xlfn.IFS('ProductSprint Backlog'!$M51="", "", AND('ProductSprint Backlog'!$L51&gt;G$2,'ProductSprint Backlog'!$K51&lt;=G$2), 'ProductSprint Backlog'!$M51 / MAX(1, 'ProductSprint Backlog'!$L51-'ProductSprint Backlog'!$K51), AND('ProductSprint Backlog'!$L51=G$2,'ProductSprint Backlog'!$K51=G$2), 'ProductSprint Backlog'!$M51, TRUE, 0)</f>
        <v>0</v>
      </c>
      <c r="H51" s="4" cm="1">
        <f t="array" ref="H51">_xlfn.IFS('ProductSprint Backlog'!$M51="", "", AND('ProductSprint Backlog'!$L51&gt;H$2,'ProductSprint Backlog'!$K51&lt;=H$2), 'ProductSprint Backlog'!$M51 / MAX(1, 'ProductSprint Backlog'!$L51-'ProductSprint Backlog'!$K51), AND('ProductSprint Backlog'!$L51=H$2,'ProductSprint Backlog'!$K51=H$2), 'ProductSprint Backlog'!$M51, TRUE, 0)</f>
        <v>0</v>
      </c>
      <c r="I51" s="4" cm="1">
        <f t="array" ref="I51">_xlfn.IFS('ProductSprint Backlog'!$M51="", "", AND('ProductSprint Backlog'!$L51&gt;I$2,'ProductSprint Backlog'!$K51&lt;=I$2), 'ProductSprint Backlog'!$M51 / MAX(1, 'ProductSprint Backlog'!$L51-'ProductSprint Backlog'!$K51), AND('ProductSprint Backlog'!$L51=I$2,'ProductSprint Backlog'!$K51=I$2), 'ProductSprint Backlog'!$M51, TRUE, 0)</f>
        <v>0</v>
      </c>
      <c r="J51" s="4" cm="1">
        <f t="array" ref="J51">_xlfn.IFS('ProductSprint Backlog'!$M51="", "", AND('ProductSprint Backlog'!$L51&gt;J$2,'ProductSprint Backlog'!$K51&lt;=J$2), 'ProductSprint Backlog'!$M51 / MAX(1, 'ProductSprint Backlog'!$L51-'ProductSprint Backlog'!$K51), AND('ProductSprint Backlog'!$L51=J$2,'ProductSprint Backlog'!$K51=J$2), 'ProductSprint Backlog'!$M51, TRUE, 0)</f>
        <v>0</v>
      </c>
      <c r="K51" s="4" cm="1">
        <f t="array" ref="K51">_xlfn.IFS('ProductSprint Backlog'!$M51="", "", AND('ProductSprint Backlog'!$L51&gt;K$2,'ProductSprint Backlog'!$K51&lt;=K$2), 'ProductSprint Backlog'!$M51 / MAX(1, 'ProductSprint Backlog'!$L51-'ProductSprint Backlog'!$K51), AND('ProductSprint Backlog'!$L51=K$2,'ProductSprint Backlog'!$K51=K$2), 'ProductSprint Backlog'!$M51, TRUE, 0)</f>
        <v>0.5</v>
      </c>
      <c r="L51" s="4" cm="1">
        <f t="array" ref="L51">_xlfn.IFS('ProductSprint Backlog'!$M51="", "", AND('ProductSprint Backlog'!$L51&gt;L$2,'ProductSprint Backlog'!$K51&lt;=L$2), 'ProductSprint Backlog'!$M51 / MAX(1, 'ProductSprint Backlog'!$L51-'ProductSprint Backlog'!$K51), AND('ProductSprint Backlog'!$L51=L$2,'ProductSprint Backlog'!$K51=L$2), 'ProductSprint Backlog'!$M51, TRUE, 0)</f>
        <v>0</v>
      </c>
      <c r="M51" s="4" cm="1">
        <f t="array" ref="M51">_xlfn.IFS('ProductSprint Backlog'!$M51="", "", AND('ProductSprint Backlog'!$L51&gt;M$2,'ProductSprint Backlog'!$K51&lt;=M$2), 'ProductSprint Backlog'!$M51 / MAX(1, 'ProductSprint Backlog'!$L51-'ProductSprint Backlog'!$K51), AND('ProductSprint Backlog'!$L51=M$2,'ProductSprint Backlog'!$K51=M$2), 'ProductSprint Backlog'!$M51, TRUE, 0)</f>
        <v>0</v>
      </c>
      <c r="N51" s="4" cm="1">
        <f t="array" ref="N51">_xlfn.IFS('ProductSprint Backlog'!$M51="", "", AND('ProductSprint Backlog'!$L51&gt;N$2,'ProductSprint Backlog'!$K51&lt;=N$2), 'ProductSprint Backlog'!$M51 / MAX(1, 'ProductSprint Backlog'!$L51-'ProductSprint Backlog'!$K51), AND('ProductSprint Backlog'!$L51=N$2,'ProductSprint Backlog'!$K51=N$2), 'ProductSprint Backlog'!$M51, TRUE, 0)</f>
        <v>0</v>
      </c>
      <c r="O51" s="4" cm="1">
        <f t="array" ref="O51">_xlfn.IFS('ProductSprint Backlog'!$M51="", "", AND('ProductSprint Backlog'!$L51&gt;O$2,'ProductSprint Backlog'!$K51&lt;=O$2), 'ProductSprint Backlog'!$M51 / MAX(1, 'ProductSprint Backlog'!$L51-'ProductSprint Backlog'!$K51), AND('ProductSprint Backlog'!$L51=O$2,'ProductSprint Backlog'!$K51=O$2), 'ProductSprint Backlog'!$M51, TRUE, 0)</f>
        <v>0</v>
      </c>
      <c r="P51" s="4" cm="1">
        <f t="array" ref="P51">_xlfn.IFS('ProductSprint Backlog'!$M51="", "", AND('ProductSprint Backlog'!$L51&gt;P$2,'ProductSprint Backlog'!$K51&lt;=P$2), 'ProductSprint Backlog'!$M51 / MAX(1, 'ProductSprint Backlog'!$L51-'ProductSprint Backlog'!$K51), AND('ProductSprint Backlog'!$L51=P$2,'ProductSprint Backlog'!$K51=P$2), 'ProductSprint Backlog'!$M51, TRUE, 0)</f>
        <v>0</v>
      </c>
    </row>
    <row r="52" spans="2:16" x14ac:dyDescent="0.2">
      <c r="B52" s="4" cm="1">
        <f t="array" ref="B52">_xlfn.IFS('ProductSprint Backlog'!$M52="", "", AND('ProductSprint Backlog'!$L52&gt;B$2,'ProductSprint Backlog'!$K52&lt;=B$2), 'ProductSprint Backlog'!$M52 / MAX(1, 'ProductSprint Backlog'!$L52-'ProductSprint Backlog'!$K52), AND('ProductSprint Backlog'!$L52=B$2,'ProductSprint Backlog'!$K52=B$2), 'ProductSprint Backlog'!$M52, TRUE, 0)</f>
        <v>0</v>
      </c>
      <c r="C52" s="4" cm="1">
        <f t="array" ref="C52">_xlfn.IFS('ProductSprint Backlog'!$M52="", "", AND('ProductSprint Backlog'!$L52&gt;C$2,'ProductSprint Backlog'!$K52&lt;=C$2), 'ProductSprint Backlog'!$M52 / MAX(1, 'ProductSprint Backlog'!$L52-'ProductSprint Backlog'!$K52), AND('ProductSprint Backlog'!$L52=C$2,'ProductSprint Backlog'!$K52=C$2), 'ProductSprint Backlog'!$M52, TRUE, 0)</f>
        <v>0</v>
      </c>
      <c r="D52" s="4" cm="1">
        <f t="array" ref="D52">_xlfn.IFS('ProductSprint Backlog'!$M52="", "", AND('ProductSprint Backlog'!$L52&gt;D$2,'ProductSprint Backlog'!$K52&lt;=D$2), 'ProductSprint Backlog'!$M52 / MAX(1, 'ProductSprint Backlog'!$L52-'ProductSprint Backlog'!$K52), AND('ProductSprint Backlog'!$L52=D$2,'ProductSprint Backlog'!$K52=D$2), 'ProductSprint Backlog'!$M52, TRUE, 0)</f>
        <v>0</v>
      </c>
      <c r="E52" s="4" cm="1">
        <f t="array" ref="E52">_xlfn.IFS('ProductSprint Backlog'!$M52="", "", AND('ProductSprint Backlog'!$L52&gt;E$2,'ProductSprint Backlog'!$K52&lt;=E$2), 'ProductSprint Backlog'!$M52 / MAX(1, 'ProductSprint Backlog'!$L52-'ProductSprint Backlog'!$K52), AND('ProductSprint Backlog'!$L52=E$2,'ProductSprint Backlog'!$K52=E$2), 'ProductSprint Backlog'!$M52, TRUE, 0)</f>
        <v>0</v>
      </c>
      <c r="F52" s="4" cm="1">
        <f t="array" ref="F52">_xlfn.IFS('ProductSprint Backlog'!$M52="", "", AND('ProductSprint Backlog'!$L52&gt;F$2,'ProductSprint Backlog'!$K52&lt;=F$2), 'ProductSprint Backlog'!$M52 / MAX(1, 'ProductSprint Backlog'!$L52-'ProductSprint Backlog'!$K52), AND('ProductSprint Backlog'!$L52=F$2,'ProductSprint Backlog'!$K52=F$2), 'ProductSprint Backlog'!$M52, TRUE, 0)</f>
        <v>0</v>
      </c>
      <c r="G52" s="4" cm="1">
        <f t="array" ref="G52">_xlfn.IFS('ProductSprint Backlog'!$M52="", "", AND('ProductSprint Backlog'!$L52&gt;G$2,'ProductSprint Backlog'!$K52&lt;=G$2), 'ProductSprint Backlog'!$M52 / MAX(1, 'ProductSprint Backlog'!$L52-'ProductSprint Backlog'!$K52), AND('ProductSprint Backlog'!$L52=G$2,'ProductSprint Backlog'!$K52=G$2), 'ProductSprint Backlog'!$M52, TRUE, 0)</f>
        <v>0</v>
      </c>
      <c r="H52" s="4" cm="1">
        <f t="array" ref="H52">_xlfn.IFS('ProductSprint Backlog'!$M52="", "", AND('ProductSprint Backlog'!$L52&gt;H$2,'ProductSprint Backlog'!$K52&lt;=H$2), 'ProductSprint Backlog'!$M52 / MAX(1, 'ProductSprint Backlog'!$L52-'ProductSprint Backlog'!$K52), AND('ProductSprint Backlog'!$L52=H$2,'ProductSprint Backlog'!$K52=H$2), 'ProductSprint Backlog'!$M52, TRUE, 0)</f>
        <v>0</v>
      </c>
      <c r="I52" s="4" cm="1">
        <f t="array" ref="I52">_xlfn.IFS('ProductSprint Backlog'!$M52="", "", AND('ProductSprint Backlog'!$L52&gt;I$2,'ProductSprint Backlog'!$K52&lt;=I$2), 'ProductSprint Backlog'!$M52 / MAX(1, 'ProductSprint Backlog'!$L52-'ProductSprint Backlog'!$K52), AND('ProductSprint Backlog'!$L52=I$2,'ProductSprint Backlog'!$K52=I$2), 'ProductSprint Backlog'!$M52, TRUE, 0)</f>
        <v>0</v>
      </c>
      <c r="J52" s="4" cm="1">
        <f t="array" ref="J52">_xlfn.IFS('ProductSprint Backlog'!$M52="", "", AND('ProductSprint Backlog'!$L52&gt;J$2,'ProductSprint Backlog'!$K52&lt;=J$2), 'ProductSprint Backlog'!$M52 / MAX(1, 'ProductSprint Backlog'!$L52-'ProductSprint Backlog'!$K52), AND('ProductSprint Backlog'!$L52=J$2,'ProductSprint Backlog'!$K52=J$2), 'ProductSprint Backlog'!$M52, TRUE, 0)</f>
        <v>0</v>
      </c>
      <c r="K52" s="4" cm="1">
        <f t="array" ref="K52">_xlfn.IFS('ProductSprint Backlog'!$M52="", "", AND('ProductSprint Backlog'!$L52&gt;K$2,'ProductSprint Backlog'!$K52&lt;=K$2), 'ProductSprint Backlog'!$M52 / MAX(1, 'ProductSprint Backlog'!$L52-'ProductSprint Backlog'!$K52), AND('ProductSprint Backlog'!$L52=K$2,'ProductSprint Backlog'!$K52=K$2), 'ProductSprint Backlog'!$M52, TRUE, 0)</f>
        <v>0</v>
      </c>
      <c r="L52" s="4" cm="1">
        <f t="array" ref="L52">_xlfn.IFS('ProductSprint Backlog'!$M52="", "", AND('ProductSprint Backlog'!$L52&gt;L$2,'ProductSprint Backlog'!$K52&lt;=L$2), 'ProductSprint Backlog'!$M52 / MAX(1, 'ProductSprint Backlog'!$L52-'ProductSprint Backlog'!$K52), AND('ProductSprint Backlog'!$L52=L$2,'ProductSprint Backlog'!$K52=L$2), 'ProductSprint Backlog'!$M52, TRUE, 0)</f>
        <v>2</v>
      </c>
      <c r="M52" s="4" cm="1">
        <f t="array" ref="M52">_xlfn.IFS('ProductSprint Backlog'!$M52="", "", AND('ProductSprint Backlog'!$L52&gt;M$2,'ProductSprint Backlog'!$K52&lt;=M$2), 'ProductSprint Backlog'!$M52 / MAX(1, 'ProductSprint Backlog'!$L52-'ProductSprint Backlog'!$K52), AND('ProductSprint Backlog'!$L52=M$2,'ProductSprint Backlog'!$K52=M$2), 'ProductSprint Backlog'!$M52, TRUE, 0)</f>
        <v>0</v>
      </c>
      <c r="N52" s="4" cm="1">
        <f t="array" ref="N52">_xlfn.IFS('ProductSprint Backlog'!$M52="", "", AND('ProductSprint Backlog'!$L52&gt;N$2,'ProductSprint Backlog'!$K52&lt;=N$2), 'ProductSprint Backlog'!$M52 / MAX(1, 'ProductSprint Backlog'!$L52-'ProductSprint Backlog'!$K52), AND('ProductSprint Backlog'!$L52=N$2,'ProductSprint Backlog'!$K52=N$2), 'ProductSprint Backlog'!$M52, TRUE, 0)</f>
        <v>0</v>
      </c>
      <c r="O52" s="4" cm="1">
        <f t="array" ref="O52">_xlfn.IFS('ProductSprint Backlog'!$M52="", "", AND('ProductSprint Backlog'!$L52&gt;O$2,'ProductSprint Backlog'!$K52&lt;=O$2), 'ProductSprint Backlog'!$M52 / MAX(1, 'ProductSprint Backlog'!$L52-'ProductSprint Backlog'!$K52), AND('ProductSprint Backlog'!$L52=O$2,'ProductSprint Backlog'!$K52=O$2), 'ProductSprint Backlog'!$M52, TRUE, 0)</f>
        <v>0</v>
      </c>
      <c r="P52" s="4" cm="1">
        <f t="array" ref="P52">_xlfn.IFS('ProductSprint Backlog'!$M52="", "", AND('ProductSprint Backlog'!$L52&gt;P$2,'ProductSprint Backlog'!$K52&lt;=P$2), 'ProductSprint Backlog'!$M52 / MAX(1, 'ProductSprint Backlog'!$L52-'ProductSprint Backlog'!$K52), AND('ProductSprint Backlog'!$L52=P$2,'ProductSprint Backlog'!$K52=P$2), 'ProductSprint Backlog'!$M52, TRUE, 0)</f>
        <v>0</v>
      </c>
    </row>
    <row r="53" spans="2:16" x14ac:dyDescent="0.2">
      <c r="B53" s="4" t="str" cm="1">
        <f t="array" ref="B53">_xlfn.IFS('ProductSprint Backlog'!$M53="", "", AND('ProductSprint Backlog'!$L53&gt;B$2,'ProductSprint Backlog'!$K53&lt;=B$2), 'ProductSprint Backlog'!$M53 / MAX(1, 'ProductSprint Backlog'!$L53-'ProductSprint Backlog'!$K53), AND('ProductSprint Backlog'!$L53=B$2,'ProductSprint Backlog'!$K53=B$2), 'ProductSprint Backlog'!$M53, TRUE, 0)</f>
        <v/>
      </c>
      <c r="C53" s="4" t="str" cm="1">
        <f t="array" ref="C53">_xlfn.IFS('ProductSprint Backlog'!$M53="", "", AND('ProductSprint Backlog'!$L53&gt;C$2,'ProductSprint Backlog'!$K53&lt;=C$2), 'ProductSprint Backlog'!$M53 / MAX(1, 'ProductSprint Backlog'!$L53-'ProductSprint Backlog'!$K53), AND('ProductSprint Backlog'!$L53=C$2,'ProductSprint Backlog'!$K53=C$2), 'ProductSprint Backlog'!$M53, TRUE, 0)</f>
        <v/>
      </c>
      <c r="D53" s="4" t="str" cm="1">
        <f t="array" ref="D53">_xlfn.IFS('ProductSprint Backlog'!$M53="", "", AND('ProductSprint Backlog'!$L53&gt;D$2,'ProductSprint Backlog'!$K53&lt;=D$2), 'ProductSprint Backlog'!$M53 / MAX(1, 'ProductSprint Backlog'!$L53-'ProductSprint Backlog'!$K53), AND('ProductSprint Backlog'!$L53=D$2,'ProductSprint Backlog'!$K53=D$2), 'ProductSprint Backlog'!$M53, TRUE, 0)</f>
        <v/>
      </c>
      <c r="E53" s="4" t="str" cm="1">
        <f t="array" ref="E53">_xlfn.IFS('ProductSprint Backlog'!$M53="", "", AND('ProductSprint Backlog'!$L53&gt;E$2,'ProductSprint Backlog'!$K53&lt;=E$2), 'ProductSprint Backlog'!$M53 / MAX(1, 'ProductSprint Backlog'!$L53-'ProductSprint Backlog'!$K53), AND('ProductSprint Backlog'!$L53=E$2,'ProductSprint Backlog'!$K53=E$2), 'ProductSprint Backlog'!$M53, TRUE, 0)</f>
        <v/>
      </c>
      <c r="F53" s="4" t="str" cm="1">
        <f t="array" ref="F53">_xlfn.IFS('ProductSprint Backlog'!$M53="", "", AND('ProductSprint Backlog'!$L53&gt;F$2,'ProductSprint Backlog'!$K53&lt;=F$2), 'ProductSprint Backlog'!$M53 / MAX(1, 'ProductSprint Backlog'!$L53-'ProductSprint Backlog'!$K53), AND('ProductSprint Backlog'!$L53=F$2,'ProductSprint Backlog'!$K53=F$2), 'ProductSprint Backlog'!$M53, TRUE, 0)</f>
        <v/>
      </c>
      <c r="G53" s="4" t="str" cm="1">
        <f t="array" ref="G53">_xlfn.IFS('ProductSprint Backlog'!$M53="", "", AND('ProductSprint Backlog'!$L53&gt;G$2,'ProductSprint Backlog'!$K53&lt;=G$2), 'ProductSprint Backlog'!$M53 / MAX(1, 'ProductSprint Backlog'!$L53-'ProductSprint Backlog'!$K53), AND('ProductSprint Backlog'!$L53=G$2,'ProductSprint Backlog'!$K53=G$2), 'ProductSprint Backlog'!$M53, TRUE, 0)</f>
        <v/>
      </c>
      <c r="H53" s="4" t="str" cm="1">
        <f t="array" ref="H53">_xlfn.IFS('ProductSprint Backlog'!$M53="", "", AND('ProductSprint Backlog'!$L53&gt;H$2,'ProductSprint Backlog'!$K53&lt;=H$2), 'ProductSprint Backlog'!$M53 / MAX(1, 'ProductSprint Backlog'!$L53-'ProductSprint Backlog'!$K53), AND('ProductSprint Backlog'!$L53=H$2,'ProductSprint Backlog'!$K53=H$2), 'ProductSprint Backlog'!$M53, TRUE, 0)</f>
        <v/>
      </c>
      <c r="I53" s="4" t="str" cm="1">
        <f t="array" ref="I53">_xlfn.IFS('ProductSprint Backlog'!$M53="", "", AND('ProductSprint Backlog'!$L53&gt;I$2,'ProductSprint Backlog'!$K53&lt;=I$2), 'ProductSprint Backlog'!$M53 / MAX(1, 'ProductSprint Backlog'!$L53-'ProductSprint Backlog'!$K53), AND('ProductSprint Backlog'!$L53=I$2,'ProductSprint Backlog'!$K53=I$2), 'ProductSprint Backlog'!$M53, TRUE, 0)</f>
        <v/>
      </c>
      <c r="J53" s="4" t="str" cm="1">
        <f t="array" ref="J53">_xlfn.IFS('ProductSprint Backlog'!$M53="", "", AND('ProductSprint Backlog'!$L53&gt;J$2,'ProductSprint Backlog'!$K53&lt;=J$2), 'ProductSprint Backlog'!$M53 / MAX(1, 'ProductSprint Backlog'!$L53-'ProductSprint Backlog'!$K53), AND('ProductSprint Backlog'!$L53=J$2,'ProductSprint Backlog'!$K53=J$2), 'ProductSprint Backlog'!$M53, TRUE, 0)</f>
        <v/>
      </c>
      <c r="K53" s="4" t="str" cm="1">
        <f t="array" ref="K53">_xlfn.IFS('ProductSprint Backlog'!$M53="", "", AND('ProductSprint Backlog'!$L53&gt;K$2,'ProductSprint Backlog'!$K53&lt;=K$2), 'ProductSprint Backlog'!$M53 / MAX(1, 'ProductSprint Backlog'!$L53-'ProductSprint Backlog'!$K53), AND('ProductSprint Backlog'!$L53=K$2,'ProductSprint Backlog'!$K53=K$2), 'ProductSprint Backlog'!$M53, TRUE, 0)</f>
        <v/>
      </c>
      <c r="L53" s="4" t="str" cm="1">
        <f t="array" ref="L53">_xlfn.IFS('ProductSprint Backlog'!$M53="", "", AND('ProductSprint Backlog'!$L53&gt;L$2,'ProductSprint Backlog'!$K53&lt;=L$2), 'ProductSprint Backlog'!$M53 / MAX(1, 'ProductSprint Backlog'!$L53-'ProductSprint Backlog'!$K53), AND('ProductSprint Backlog'!$L53=L$2,'ProductSprint Backlog'!$K53=L$2), 'ProductSprint Backlog'!$M53, TRUE, 0)</f>
        <v/>
      </c>
      <c r="M53" s="4" t="str" cm="1">
        <f t="array" ref="M53">_xlfn.IFS('ProductSprint Backlog'!$M53="", "", AND('ProductSprint Backlog'!$L53&gt;M$2,'ProductSprint Backlog'!$K53&lt;=M$2), 'ProductSprint Backlog'!$M53 / MAX(1, 'ProductSprint Backlog'!$L53-'ProductSprint Backlog'!$K53), AND('ProductSprint Backlog'!$L53=M$2,'ProductSprint Backlog'!$K53=M$2), 'ProductSprint Backlog'!$M53, TRUE, 0)</f>
        <v/>
      </c>
      <c r="N53" s="4" t="str" cm="1">
        <f t="array" ref="N53">_xlfn.IFS('ProductSprint Backlog'!$M53="", "", AND('ProductSprint Backlog'!$L53&gt;N$2,'ProductSprint Backlog'!$K53&lt;=N$2), 'ProductSprint Backlog'!$M53 / MAX(1, 'ProductSprint Backlog'!$L53-'ProductSprint Backlog'!$K53), AND('ProductSprint Backlog'!$L53=N$2,'ProductSprint Backlog'!$K53=N$2), 'ProductSprint Backlog'!$M53, TRUE, 0)</f>
        <v/>
      </c>
      <c r="O53" s="4" t="str" cm="1">
        <f t="array" ref="O53">_xlfn.IFS('ProductSprint Backlog'!$M53="", "", AND('ProductSprint Backlog'!$L53&gt;O$2,'ProductSprint Backlog'!$K53&lt;=O$2), 'ProductSprint Backlog'!$M53 / MAX(1, 'ProductSprint Backlog'!$L53-'ProductSprint Backlog'!$K53), AND('ProductSprint Backlog'!$L53=O$2,'ProductSprint Backlog'!$K53=O$2), 'ProductSprint Backlog'!$M53, TRUE, 0)</f>
        <v/>
      </c>
      <c r="P53" s="4" t="str" cm="1">
        <f t="array" ref="P53">_xlfn.IFS('ProductSprint Backlog'!$M53="", "", AND('ProductSprint Backlog'!$L53&gt;P$2,'ProductSprint Backlog'!$K53&lt;=P$2), 'ProductSprint Backlog'!$M53 / MAX(1, 'ProductSprint Backlog'!$L53-'ProductSprint Backlog'!$K53), AND('ProductSprint Backlog'!$L53=P$2,'ProductSprint Backlog'!$K53=P$2), 'ProductSprint Backlog'!$M53, TRUE, 0)</f>
        <v/>
      </c>
    </row>
    <row r="54" spans="2:16" x14ac:dyDescent="0.2">
      <c r="B54" s="4" cm="1">
        <f t="array" ref="B54">_xlfn.IFS('ProductSprint Backlog'!$M54="", "", AND('ProductSprint Backlog'!$L54&gt;B$2,'ProductSprint Backlog'!$K54&lt;=B$2), 'ProductSprint Backlog'!$M54 / MAX(1, 'ProductSprint Backlog'!$L54-'ProductSprint Backlog'!$K54), AND('ProductSprint Backlog'!$L54=B$2,'ProductSprint Backlog'!$K54=B$2), 'ProductSprint Backlog'!$M54, TRUE, 0)</f>
        <v>0</v>
      </c>
      <c r="C54" s="4" cm="1">
        <f t="array" ref="C54">_xlfn.IFS('ProductSprint Backlog'!$M54="", "", AND('ProductSprint Backlog'!$L54&gt;C$2,'ProductSprint Backlog'!$K54&lt;=C$2), 'ProductSprint Backlog'!$M54 / MAX(1, 'ProductSprint Backlog'!$L54-'ProductSprint Backlog'!$K54), AND('ProductSprint Backlog'!$L54=C$2,'ProductSprint Backlog'!$K54=C$2), 'ProductSprint Backlog'!$M54, TRUE, 0)</f>
        <v>0</v>
      </c>
      <c r="D54" s="4" cm="1">
        <f t="array" ref="D54">_xlfn.IFS('ProductSprint Backlog'!$M54="", "", AND('ProductSprint Backlog'!$L54&gt;D$2,'ProductSprint Backlog'!$K54&lt;=D$2), 'ProductSprint Backlog'!$M54 / MAX(1, 'ProductSprint Backlog'!$L54-'ProductSprint Backlog'!$K54), AND('ProductSprint Backlog'!$L54=D$2,'ProductSprint Backlog'!$K54=D$2), 'ProductSprint Backlog'!$M54, TRUE, 0)</f>
        <v>1</v>
      </c>
      <c r="E54" s="4" cm="1">
        <f t="array" ref="E54">_xlfn.IFS('ProductSprint Backlog'!$M54="", "", AND('ProductSprint Backlog'!$L54&gt;E$2,'ProductSprint Backlog'!$K54&lt;=E$2), 'ProductSprint Backlog'!$M54 / MAX(1, 'ProductSprint Backlog'!$L54-'ProductSprint Backlog'!$K54), AND('ProductSprint Backlog'!$L54=E$2,'ProductSprint Backlog'!$K54=E$2), 'ProductSprint Backlog'!$M54, TRUE, 0)</f>
        <v>1</v>
      </c>
      <c r="F54" s="4" cm="1">
        <f t="array" ref="F54">_xlfn.IFS('ProductSprint Backlog'!$M54="", "", AND('ProductSprint Backlog'!$L54&gt;F$2,'ProductSprint Backlog'!$K54&lt;=F$2), 'ProductSprint Backlog'!$M54 / MAX(1, 'ProductSprint Backlog'!$L54-'ProductSprint Backlog'!$K54), AND('ProductSprint Backlog'!$L54=F$2,'ProductSprint Backlog'!$K54=F$2), 'ProductSprint Backlog'!$M54, TRUE, 0)</f>
        <v>1</v>
      </c>
      <c r="G54" s="4" cm="1">
        <f t="array" ref="G54">_xlfn.IFS('ProductSprint Backlog'!$M54="", "", AND('ProductSprint Backlog'!$L54&gt;G$2,'ProductSprint Backlog'!$K54&lt;=G$2), 'ProductSprint Backlog'!$M54 / MAX(1, 'ProductSprint Backlog'!$L54-'ProductSprint Backlog'!$K54), AND('ProductSprint Backlog'!$L54=G$2,'ProductSprint Backlog'!$K54=G$2), 'ProductSprint Backlog'!$M54, TRUE, 0)</f>
        <v>1</v>
      </c>
      <c r="H54" s="4" cm="1">
        <f t="array" ref="H54">_xlfn.IFS('ProductSprint Backlog'!$M54="", "", AND('ProductSprint Backlog'!$L54&gt;H$2,'ProductSprint Backlog'!$K54&lt;=H$2), 'ProductSprint Backlog'!$M54 / MAX(1, 'ProductSprint Backlog'!$L54-'ProductSprint Backlog'!$K54), AND('ProductSprint Backlog'!$L54=H$2,'ProductSprint Backlog'!$K54=H$2), 'ProductSprint Backlog'!$M54, TRUE, 0)</f>
        <v>1</v>
      </c>
      <c r="I54" s="4" cm="1">
        <f t="array" ref="I54">_xlfn.IFS('ProductSprint Backlog'!$M54="", "", AND('ProductSprint Backlog'!$L54&gt;I$2,'ProductSprint Backlog'!$K54&lt;=I$2), 'ProductSprint Backlog'!$M54 / MAX(1, 'ProductSprint Backlog'!$L54-'ProductSprint Backlog'!$K54), AND('ProductSprint Backlog'!$L54=I$2,'ProductSprint Backlog'!$K54=I$2), 'ProductSprint Backlog'!$M54, TRUE, 0)</f>
        <v>1</v>
      </c>
      <c r="J54" s="4" cm="1">
        <f t="array" ref="J54">_xlfn.IFS('ProductSprint Backlog'!$M54="", "", AND('ProductSprint Backlog'!$L54&gt;J$2,'ProductSprint Backlog'!$K54&lt;=J$2), 'ProductSprint Backlog'!$M54 / MAX(1, 'ProductSprint Backlog'!$L54-'ProductSprint Backlog'!$K54), AND('ProductSprint Backlog'!$L54=J$2,'ProductSprint Backlog'!$K54=J$2), 'ProductSprint Backlog'!$M54, TRUE, 0)</f>
        <v>0</v>
      </c>
      <c r="K54" s="4" cm="1">
        <f t="array" ref="K54">_xlfn.IFS('ProductSprint Backlog'!$M54="", "", AND('ProductSprint Backlog'!$L54&gt;K$2,'ProductSprint Backlog'!$K54&lt;=K$2), 'ProductSprint Backlog'!$M54 / MAX(1, 'ProductSprint Backlog'!$L54-'ProductSprint Backlog'!$K54), AND('ProductSprint Backlog'!$L54=K$2,'ProductSprint Backlog'!$K54=K$2), 'ProductSprint Backlog'!$M54, TRUE, 0)</f>
        <v>0</v>
      </c>
      <c r="L54" s="4" cm="1">
        <f t="array" ref="L54">_xlfn.IFS('ProductSprint Backlog'!$M54="", "", AND('ProductSprint Backlog'!$L54&gt;L$2,'ProductSprint Backlog'!$K54&lt;=L$2), 'ProductSprint Backlog'!$M54 / MAX(1, 'ProductSprint Backlog'!$L54-'ProductSprint Backlog'!$K54), AND('ProductSprint Backlog'!$L54=L$2,'ProductSprint Backlog'!$K54=L$2), 'ProductSprint Backlog'!$M54, TRUE, 0)</f>
        <v>0</v>
      </c>
      <c r="M54" s="4" cm="1">
        <f t="array" ref="M54">_xlfn.IFS('ProductSprint Backlog'!$M54="", "", AND('ProductSprint Backlog'!$L54&gt;M$2,'ProductSprint Backlog'!$K54&lt;=M$2), 'ProductSprint Backlog'!$M54 / MAX(1, 'ProductSprint Backlog'!$L54-'ProductSprint Backlog'!$K54), AND('ProductSprint Backlog'!$L54=M$2,'ProductSprint Backlog'!$K54=M$2), 'ProductSprint Backlog'!$M54, TRUE, 0)</f>
        <v>0</v>
      </c>
      <c r="N54" s="4" cm="1">
        <f t="array" ref="N54">_xlfn.IFS('ProductSprint Backlog'!$M54="", "", AND('ProductSprint Backlog'!$L54&gt;N$2,'ProductSprint Backlog'!$K54&lt;=N$2), 'ProductSprint Backlog'!$M54 / MAX(1, 'ProductSprint Backlog'!$L54-'ProductSprint Backlog'!$K54), AND('ProductSprint Backlog'!$L54=N$2,'ProductSprint Backlog'!$K54=N$2), 'ProductSprint Backlog'!$M54, TRUE, 0)</f>
        <v>0</v>
      </c>
      <c r="O54" s="4" cm="1">
        <f t="array" ref="O54">_xlfn.IFS('ProductSprint Backlog'!$M54="", "", AND('ProductSprint Backlog'!$L54&gt;O$2,'ProductSprint Backlog'!$K54&lt;=O$2), 'ProductSprint Backlog'!$M54 / MAX(1, 'ProductSprint Backlog'!$L54-'ProductSprint Backlog'!$K54), AND('ProductSprint Backlog'!$L54=O$2,'ProductSprint Backlog'!$K54=O$2), 'ProductSprint Backlog'!$M54, TRUE, 0)</f>
        <v>0</v>
      </c>
      <c r="P54" s="4" cm="1">
        <f t="array" ref="P54">_xlfn.IFS('ProductSprint Backlog'!$M54="", "", AND('ProductSprint Backlog'!$L54&gt;P$2,'ProductSprint Backlog'!$K54&lt;=P$2), 'ProductSprint Backlog'!$M54 / MAX(1, 'ProductSprint Backlog'!$L54-'ProductSprint Backlog'!$K54), AND('ProductSprint Backlog'!$L54=P$2,'ProductSprint Backlog'!$K54=P$2), 'ProductSprint Backlog'!$M54, TRUE, 0)</f>
        <v>0</v>
      </c>
    </row>
    <row r="55" spans="2:16" x14ac:dyDescent="0.2">
      <c r="B55" s="4" cm="1">
        <f t="array" ref="B55">_xlfn.IFS('ProductSprint Backlog'!$M55="", "", AND('ProductSprint Backlog'!$L55&gt;B$2,'ProductSprint Backlog'!$K55&lt;=B$2), 'ProductSprint Backlog'!$M55 / MAX(1, 'ProductSprint Backlog'!$L55-'ProductSprint Backlog'!$K55), AND('ProductSprint Backlog'!$L55=B$2,'ProductSprint Backlog'!$K55=B$2), 'ProductSprint Backlog'!$M55, TRUE, 0)</f>
        <v>0</v>
      </c>
      <c r="C55" s="4" cm="1">
        <f t="array" ref="C55">_xlfn.IFS('ProductSprint Backlog'!$M55="", "", AND('ProductSprint Backlog'!$L55&gt;C$2,'ProductSprint Backlog'!$K55&lt;=C$2), 'ProductSprint Backlog'!$M55 / MAX(1, 'ProductSprint Backlog'!$L55-'ProductSprint Backlog'!$K55), AND('ProductSprint Backlog'!$L55=C$2,'ProductSprint Backlog'!$K55=C$2), 'ProductSprint Backlog'!$M55, TRUE, 0)</f>
        <v>0</v>
      </c>
      <c r="D55" s="4" cm="1">
        <f t="array" ref="D55">_xlfn.IFS('ProductSprint Backlog'!$M55="", "", AND('ProductSprint Backlog'!$L55&gt;D$2,'ProductSprint Backlog'!$K55&lt;=D$2), 'ProductSprint Backlog'!$M55 / MAX(1, 'ProductSprint Backlog'!$L55-'ProductSprint Backlog'!$K55), AND('ProductSprint Backlog'!$L55=D$2,'ProductSprint Backlog'!$K55=D$2), 'ProductSprint Backlog'!$M55, TRUE, 0)</f>
        <v>0</v>
      </c>
      <c r="E55" s="4" cm="1">
        <f t="array" ref="E55">_xlfn.IFS('ProductSprint Backlog'!$M55="", "", AND('ProductSprint Backlog'!$L55&gt;E$2,'ProductSprint Backlog'!$K55&lt;=E$2), 'ProductSprint Backlog'!$M55 / MAX(1, 'ProductSprint Backlog'!$L55-'ProductSprint Backlog'!$K55), AND('ProductSprint Backlog'!$L55=E$2,'ProductSprint Backlog'!$K55=E$2), 'ProductSprint Backlog'!$M55, TRUE, 0)</f>
        <v>0</v>
      </c>
      <c r="F55" s="4" cm="1">
        <f t="array" ref="F55">_xlfn.IFS('ProductSprint Backlog'!$M55="", "", AND('ProductSprint Backlog'!$L55&gt;F$2,'ProductSprint Backlog'!$K55&lt;=F$2), 'ProductSprint Backlog'!$M55 / MAX(1, 'ProductSprint Backlog'!$L55-'ProductSprint Backlog'!$K55), AND('ProductSprint Backlog'!$L55=F$2,'ProductSprint Backlog'!$K55=F$2), 'ProductSprint Backlog'!$M55, TRUE, 0)</f>
        <v>0</v>
      </c>
      <c r="G55" s="4" cm="1">
        <f t="array" ref="G55">_xlfn.IFS('ProductSprint Backlog'!$M55="", "", AND('ProductSprint Backlog'!$L55&gt;G$2,'ProductSprint Backlog'!$K55&lt;=G$2), 'ProductSprint Backlog'!$M55 / MAX(1, 'ProductSprint Backlog'!$L55-'ProductSprint Backlog'!$K55), AND('ProductSprint Backlog'!$L55=G$2,'ProductSprint Backlog'!$K55=G$2), 'ProductSprint Backlog'!$M55, TRUE, 0)</f>
        <v>0</v>
      </c>
      <c r="H55" s="4" cm="1">
        <f t="array" ref="H55">_xlfn.IFS('ProductSprint Backlog'!$M55="", "", AND('ProductSprint Backlog'!$L55&gt;H$2,'ProductSprint Backlog'!$K55&lt;=H$2), 'ProductSprint Backlog'!$M55 / MAX(1, 'ProductSprint Backlog'!$L55-'ProductSprint Backlog'!$K55), AND('ProductSprint Backlog'!$L55=H$2,'ProductSprint Backlog'!$K55=H$2), 'ProductSprint Backlog'!$M55, TRUE, 0)</f>
        <v>1.3333333333333333</v>
      </c>
      <c r="I55" s="4" cm="1">
        <f t="array" ref="I55">_xlfn.IFS('ProductSprint Backlog'!$M55="", "", AND('ProductSprint Backlog'!$L55&gt;I$2,'ProductSprint Backlog'!$K55&lt;=I$2), 'ProductSprint Backlog'!$M55 / MAX(1, 'ProductSprint Backlog'!$L55-'ProductSprint Backlog'!$K55), AND('ProductSprint Backlog'!$L55=I$2,'ProductSprint Backlog'!$K55=I$2), 'ProductSprint Backlog'!$M55, TRUE, 0)</f>
        <v>1.3333333333333333</v>
      </c>
      <c r="J55" s="4" cm="1">
        <f t="array" ref="J55">_xlfn.IFS('ProductSprint Backlog'!$M55="", "", AND('ProductSprint Backlog'!$L55&gt;J$2,'ProductSprint Backlog'!$K55&lt;=J$2), 'ProductSprint Backlog'!$M55 / MAX(1, 'ProductSprint Backlog'!$L55-'ProductSprint Backlog'!$K55), AND('ProductSprint Backlog'!$L55=J$2,'ProductSprint Backlog'!$K55=J$2), 'ProductSprint Backlog'!$M55, TRUE, 0)</f>
        <v>1.3333333333333333</v>
      </c>
      <c r="K55" s="4" cm="1">
        <f t="array" ref="K55">_xlfn.IFS('ProductSprint Backlog'!$M55="", "", AND('ProductSprint Backlog'!$L55&gt;K$2,'ProductSprint Backlog'!$K55&lt;=K$2), 'ProductSprint Backlog'!$M55 / MAX(1, 'ProductSprint Backlog'!$L55-'ProductSprint Backlog'!$K55), AND('ProductSprint Backlog'!$L55=K$2,'ProductSprint Backlog'!$K55=K$2), 'ProductSprint Backlog'!$M55, TRUE, 0)</f>
        <v>0</v>
      </c>
      <c r="L55" s="4" cm="1">
        <f t="array" ref="L55">_xlfn.IFS('ProductSprint Backlog'!$M55="", "", AND('ProductSprint Backlog'!$L55&gt;L$2,'ProductSprint Backlog'!$K55&lt;=L$2), 'ProductSprint Backlog'!$M55 / MAX(1, 'ProductSprint Backlog'!$L55-'ProductSprint Backlog'!$K55), AND('ProductSprint Backlog'!$L55=L$2,'ProductSprint Backlog'!$K55=L$2), 'ProductSprint Backlog'!$M55, TRUE, 0)</f>
        <v>0</v>
      </c>
      <c r="M55" s="4" cm="1">
        <f t="array" ref="M55">_xlfn.IFS('ProductSprint Backlog'!$M55="", "", AND('ProductSprint Backlog'!$L55&gt;M$2,'ProductSprint Backlog'!$K55&lt;=M$2), 'ProductSprint Backlog'!$M55 / MAX(1, 'ProductSprint Backlog'!$L55-'ProductSprint Backlog'!$K55), AND('ProductSprint Backlog'!$L55=M$2,'ProductSprint Backlog'!$K55=M$2), 'ProductSprint Backlog'!$M55, TRUE, 0)</f>
        <v>0</v>
      </c>
      <c r="N55" s="4" cm="1">
        <f t="array" ref="N55">_xlfn.IFS('ProductSprint Backlog'!$M55="", "", AND('ProductSprint Backlog'!$L55&gt;N$2,'ProductSprint Backlog'!$K55&lt;=N$2), 'ProductSprint Backlog'!$M55 / MAX(1, 'ProductSprint Backlog'!$L55-'ProductSprint Backlog'!$K55), AND('ProductSprint Backlog'!$L55=N$2,'ProductSprint Backlog'!$K55=N$2), 'ProductSprint Backlog'!$M55, TRUE, 0)</f>
        <v>0</v>
      </c>
      <c r="O55" s="4" cm="1">
        <f t="array" ref="O55">_xlfn.IFS('ProductSprint Backlog'!$M55="", "", AND('ProductSprint Backlog'!$L55&gt;O$2,'ProductSprint Backlog'!$K55&lt;=O$2), 'ProductSprint Backlog'!$M55 / MAX(1, 'ProductSprint Backlog'!$L55-'ProductSprint Backlog'!$K55), AND('ProductSprint Backlog'!$L55=O$2,'ProductSprint Backlog'!$K55=O$2), 'ProductSprint Backlog'!$M55, TRUE, 0)</f>
        <v>0</v>
      </c>
      <c r="P55" s="4" cm="1">
        <f t="array" ref="P55">_xlfn.IFS('ProductSprint Backlog'!$M55="", "", AND('ProductSprint Backlog'!$L55&gt;P$2,'ProductSprint Backlog'!$K55&lt;=P$2), 'ProductSprint Backlog'!$M55 / MAX(1, 'ProductSprint Backlog'!$L55-'ProductSprint Backlog'!$K55), AND('ProductSprint Backlog'!$L55=P$2,'ProductSprint Backlog'!$K55=P$2), 'ProductSprint Backlog'!$M55, TRUE, 0)</f>
        <v>0</v>
      </c>
    </row>
    <row r="56" spans="2:16" x14ac:dyDescent="0.2">
      <c r="B56" s="4" cm="1">
        <f t="array" ref="B56">_xlfn.IFS('ProductSprint Backlog'!$M56="", "", AND('ProductSprint Backlog'!$L56&gt;B$2,'ProductSprint Backlog'!$K56&lt;=B$2), 'ProductSprint Backlog'!$M56 / MAX(1, 'ProductSprint Backlog'!$L56-'ProductSprint Backlog'!$K56), AND('ProductSprint Backlog'!$L56=B$2,'ProductSprint Backlog'!$K56=B$2), 'ProductSprint Backlog'!$M56, TRUE, 0)</f>
        <v>0</v>
      </c>
      <c r="C56" s="4" cm="1">
        <f t="array" ref="C56">_xlfn.IFS('ProductSprint Backlog'!$M56="", "", AND('ProductSprint Backlog'!$L56&gt;C$2,'ProductSprint Backlog'!$K56&lt;=C$2), 'ProductSprint Backlog'!$M56 / MAX(1, 'ProductSprint Backlog'!$L56-'ProductSprint Backlog'!$K56), AND('ProductSprint Backlog'!$L56=C$2,'ProductSprint Backlog'!$K56=C$2), 'ProductSprint Backlog'!$M56, TRUE, 0)</f>
        <v>0</v>
      </c>
      <c r="D56" s="4" cm="1">
        <f t="array" ref="D56">_xlfn.IFS('ProductSprint Backlog'!$M56="", "", AND('ProductSprint Backlog'!$L56&gt;D$2,'ProductSprint Backlog'!$K56&lt;=D$2), 'ProductSprint Backlog'!$M56 / MAX(1, 'ProductSprint Backlog'!$L56-'ProductSprint Backlog'!$K56), AND('ProductSprint Backlog'!$L56=D$2,'ProductSprint Backlog'!$K56=D$2), 'ProductSprint Backlog'!$M56, TRUE, 0)</f>
        <v>0</v>
      </c>
      <c r="E56" s="4" cm="1">
        <f t="array" ref="E56">_xlfn.IFS('ProductSprint Backlog'!$M56="", "", AND('ProductSprint Backlog'!$L56&gt;E$2,'ProductSprint Backlog'!$K56&lt;=E$2), 'ProductSprint Backlog'!$M56 / MAX(1, 'ProductSprint Backlog'!$L56-'ProductSprint Backlog'!$K56), AND('ProductSprint Backlog'!$L56=E$2,'ProductSprint Backlog'!$K56=E$2), 'ProductSprint Backlog'!$M56, TRUE, 0)</f>
        <v>0</v>
      </c>
      <c r="F56" s="4" cm="1">
        <f t="array" ref="F56">_xlfn.IFS('ProductSprint Backlog'!$M56="", "", AND('ProductSprint Backlog'!$L56&gt;F$2,'ProductSprint Backlog'!$K56&lt;=F$2), 'ProductSprint Backlog'!$M56 / MAX(1, 'ProductSprint Backlog'!$L56-'ProductSprint Backlog'!$K56), AND('ProductSprint Backlog'!$L56=F$2,'ProductSprint Backlog'!$K56=F$2), 'ProductSprint Backlog'!$M56, TRUE, 0)</f>
        <v>0</v>
      </c>
      <c r="G56" s="4" cm="1">
        <f t="array" ref="G56">_xlfn.IFS('ProductSprint Backlog'!$M56="", "", AND('ProductSprint Backlog'!$L56&gt;G$2,'ProductSprint Backlog'!$K56&lt;=G$2), 'ProductSprint Backlog'!$M56 / MAX(1, 'ProductSprint Backlog'!$L56-'ProductSprint Backlog'!$K56), AND('ProductSprint Backlog'!$L56=G$2,'ProductSprint Backlog'!$K56=G$2), 'ProductSprint Backlog'!$M56, TRUE, 0)</f>
        <v>0</v>
      </c>
      <c r="H56" s="4" cm="1">
        <f t="array" ref="H56">_xlfn.IFS('ProductSprint Backlog'!$M56="", "", AND('ProductSprint Backlog'!$L56&gt;H$2,'ProductSprint Backlog'!$K56&lt;=H$2), 'ProductSprint Backlog'!$M56 / MAX(1, 'ProductSprint Backlog'!$L56-'ProductSprint Backlog'!$K56), AND('ProductSprint Backlog'!$L56=H$2,'ProductSprint Backlog'!$K56=H$2), 'ProductSprint Backlog'!$M56, TRUE, 0)</f>
        <v>1</v>
      </c>
      <c r="I56" s="4" cm="1">
        <f t="array" ref="I56">_xlfn.IFS('ProductSprint Backlog'!$M56="", "", AND('ProductSprint Backlog'!$L56&gt;I$2,'ProductSprint Backlog'!$K56&lt;=I$2), 'ProductSprint Backlog'!$M56 / MAX(1, 'ProductSprint Backlog'!$L56-'ProductSprint Backlog'!$K56), AND('ProductSprint Backlog'!$L56=I$2,'ProductSprint Backlog'!$K56=I$2), 'ProductSprint Backlog'!$M56, TRUE, 0)</f>
        <v>1</v>
      </c>
      <c r="J56" s="4" cm="1">
        <f t="array" ref="J56">_xlfn.IFS('ProductSprint Backlog'!$M56="", "", AND('ProductSprint Backlog'!$L56&gt;J$2,'ProductSprint Backlog'!$K56&lt;=J$2), 'ProductSprint Backlog'!$M56 / MAX(1, 'ProductSprint Backlog'!$L56-'ProductSprint Backlog'!$K56), AND('ProductSprint Backlog'!$L56=J$2,'ProductSprint Backlog'!$K56=J$2), 'ProductSprint Backlog'!$M56, TRUE, 0)</f>
        <v>0</v>
      </c>
      <c r="K56" s="4" cm="1">
        <f t="array" ref="K56">_xlfn.IFS('ProductSprint Backlog'!$M56="", "", AND('ProductSprint Backlog'!$L56&gt;K$2,'ProductSprint Backlog'!$K56&lt;=K$2), 'ProductSprint Backlog'!$M56 / MAX(1, 'ProductSprint Backlog'!$L56-'ProductSprint Backlog'!$K56), AND('ProductSprint Backlog'!$L56=K$2,'ProductSprint Backlog'!$K56=K$2), 'ProductSprint Backlog'!$M56, TRUE, 0)</f>
        <v>0</v>
      </c>
      <c r="L56" s="4" cm="1">
        <f t="array" ref="L56">_xlfn.IFS('ProductSprint Backlog'!$M56="", "", AND('ProductSprint Backlog'!$L56&gt;L$2,'ProductSprint Backlog'!$K56&lt;=L$2), 'ProductSprint Backlog'!$M56 / MAX(1, 'ProductSprint Backlog'!$L56-'ProductSprint Backlog'!$K56), AND('ProductSprint Backlog'!$L56=L$2,'ProductSprint Backlog'!$K56=L$2), 'ProductSprint Backlog'!$M56, TRUE, 0)</f>
        <v>0</v>
      </c>
      <c r="M56" s="4" cm="1">
        <f t="array" ref="M56">_xlfn.IFS('ProductSprint Backlog'!$M56="", "", AND('ProductSprint Backlog'!$L56&gt;M$2,'ProductSprint Backlog'!$K56&lt;=M$2), 'ProductSprint Backlog'!$M56 / MAX(1, 'ProductSprint Backlog'!$L56-'ProductSprint Backlog'!$K56), AND('ProductSprint Backlog'!$L56=M$2,'ProductSprint Backlog'!$K56=M$2), 'ProductSprint Backlog'!$M56, TRUE, 0)</f>
        <v>0</v>
      </c>
      <c r="N56" s="4" cm="1">
        <f t="array" ref="N56">_xlfn.IFS('ProductSprint Backlog'!$M56="", "", AND('ProductSprint Backlog'!$L56&gt;N$2,'ProductSprint Backlog'!$K56&lt;=N$2), 'ProductSprint Backlog'!$M56 / MAX(1, 'ProductSprint Backlog'!$L56-'ProductSprint Backlog'!$K56), AND('ProductSprint Backlog'!$L56=N$2,'ProductSprint Backlog'!$K56=N$2), 'ProductSprint Backlog'!$M56, TRUE, 0)</f>
        <v>0</v>
      </c>
      <c r="O56" s="4" cm="1">
        <f t="array" ref="O56">_xlfn.IFS('ProductSprint Backlog'!$M56="", "", AND('ProductSprint Backlog'!$L56&gt;O$2,'ProductSprint Backlog'!$K56&lt;=O$2), 'ProductSprint Backlog'!$M56 / MAX(1, 'ProductSprint Backlog'!$L56-'ProductSprint Backlog'!$K56), AND('ProductSprint Backlog'!$L56=O$2,'ProductSprint Backlog'!$K56=O$2), 'ProductSprint Backlog'!$M56, TRUE, 0)</f>
        <v>0</v>
      </c>
      <c r="P56" s="4" cm="1">
        <f t="array" ref="P56">_xlfn.IFS('ProductSprint Backlog'!$M56="", "", AND('ProductSprint Backlog'!$L56&gt;P$2,'ProductSprint Backlog'!$K56&lt;=P$2), 'ProductSprint Backlog'!$M56 / MAX(1, 'ProductSprint Backlog'!$L56-'ProductSprint Backlog'!$K56), AND('ProductSprint Backlog'!$L56=P$2,'ProductSprint Backlog'!$K56=P$2), 'ProductSprint Backlog'!$M56, TRUE, 0)</f>
        <v>0</v>
      </c>
    </row>
    <row r="57" spans="2:16" x14ac:dyDescent="0.2">
      <c r="B57" s="4" cm="1">
        <f t="array" ref="B57">_xlfn.IFS('ProductSprint Backlog'!$M57="", "", AND('ProductSprint Backlog'!$L57&gt;B$2,'ProductSprint Backlog'!$K57&lt;=B$2), 'ProductSprint Backlog'!$M57 / MAX(1, 'ProductSprint Backlog'!$L57-'ProductSprint Backlog'!$K57), AND('ProductSprint Backlog'!$L57=B$2,'ProductSprint Backlog'!$K57=B$2), 'ProductSprint Backlog'!$M57, TRUE, 0)</f>
        <v>0</v>
      </c>
      <c r="C57" s="4" cm="1">
        <f t="array" ref="C57">_xlfn.IFS('ProductSprint Backlog'!$M57="", "", AND('ProductSprint Backlog'!$L57&gt;C$2,'ProductSprint Backlog'!$K57&lt;=C$2), 'ProductSprint Backlog'!$M57 / MAX(1, 'ProductSprint Backlog'!$L57-'ProductSprint Backlog'!$K57), AND('ProductSprint Backlog'!$L57=C$2,'ProductSprint Backlog'!$K57=C$2), 'ProductSprint Backlog'!$M57, TRUE, 0)</f>
        <v>0</v>
      </c>
      <c r="D57" s="4" cm="1">
        <f t="array" ref="D57">_xlfn.IFS('ProductSprint Backlog'!$M57="", "", AND('ProductSprint Backlog'!$L57&gt;D$2,'ProductSprint Backlog'!$K57&lt;=D$2), 'ProductSprint Backlog'!$M57 / MAX(1, 'ProductSprint Backlog'!$L57-'ProductSprint Backlog'!$K57), AND('ProductSprint Backlog'!$L57=D$2,'ProductSprint Backlog'!$K57=D$2), 'ProductSprint Backlog'!$M57, TRUE, 0)</f>
        <v>0</v>
      </c>
      <c r="E57" s="4" cm="1">
        <f t="array" ref="E57">_xlfn.IFS('ProductSprint Backlog'!$M57="", "", AND('ProductSprint Backlog'!$L57&gt;E$2,'ProductSprint Backlog'!$K57&lt;=E$2), 'ProductSprint Backlog'!$M57 / MAX(1, 'ProductSprint Backlog'!$L57-'ProductSprint Backlog'!$K57), AND('ProductSprint Backlog'!$L57=E$2,'ProductSprint Backlog'!$K57=E$2), 'ProductSprint Backlog'!$M57, TRUE, 0)</f>
        <v>0</v>
      </c>
      <c r="F57" s="4" cm="1">
        <f t="array" ref="F57">_xlfn.IFS('ProductSprint Backlog'!$M57="", "", AND('ProductSprint Backlog'!$L57&gt;F$2,'ProductSprint Backlog'!$K57&lt;=F$2), 'ProductSprint Backlog'!$M57 / MAX(1, 'ProductSprint Backlog'!$L57-'ProductSprint Backlog'!$K57), AND('ProductSprint Backlog'!$L57=F$2,'ProductSprint Backlog'!$K57=F$2), 'ProductSprint Backlog'!$M57, TRUE, 0)</f>
        <v>0</v>
      </c>
      <c r="G57" s="4" cm="1">
        <f t="array" ref="G57">_xlfn.IFS('ProductSprint Backlog'!$M57="", "", AND('ProductSprint Backlog'!$L57&gt;G$2,'ProductSprint Backlog'!$K57&lt;=G$2), 'ProductSprint Backlog'!$M57 / MAX(1, 'ProductSprint Backlog'!$L57-'ProductSprint Backlog'!$K57), AND('ProductSprint Backlog'!$L57=G$2,'ProductSprint Backlog'!$K57=G$2), 'ProductSprint Backlog'!$M57, TRUE, 0)</f>
        <v>0</v>
      </c>
      <c r="H57" s="4" cm="1">
        <f t="array" ref="H57">_xlfn.IFS('ProductSprint Backlog'!$M57="", "", AND('ProductSprint Backlog'!$L57&gt;H$2,'ProductSprint Backlog'!$K57&lt;=H$2), 'ProductSprint Backlog'!$M57 / MAX(1, 'ProductSprint Backlog'!$L57-'ProductSprint Backlog'!$K57), AND('ProductSprint Backlog'!$L57=H$2,'ProductSprint Backlog'!$K57=H$2), 'ProductSprint Backlog'!$M57, TRUE, 0)</f>
        <v>0</v>
      </c>
      <c r="I57" s="4" cm="1">
        <f t="array" ref="I57">_xlfn.IFS('ProductSprint Backlog'!$M57="", "", AND('ProductSprint Backlog'!$L57&gt;I$2,'ProductSprint Backlog'!$K57&lt;=I$2), 'ProductSprint Backlog'!$M57 / MAX(1, 'ProductSprint Backlog'!$L57-'ProductSprint Backlog'!$K57), AND('ProductSprint Backlog'!$L57=I$2,'ProductSprint Backlog'!$K57=I$2), 'ProductSprint Backlog'!$M57, TRUE, 0)</f>
        <v>0</v>
      </c>
      <c r="J57" s="4" cm="1">
        <f t="array" ref="J57">_xlfn.IFS('ProductSprint Backlog'!$M57="", "", AND('ProductSprint Backlog'!$L57&gt;J$2,'ProductSprint Backlog'!$K57&lt;=J$2), 'ProductSprint Backlog'!$M57 / MAX(1, 'ProductSprint Backlog'!$L57-'ProductSprint Backlog'!$K57), AND('ProductSprint Backlog'!$L57=J$2,'ProductSprint Backlog'!$K57=J$2), 'ProductSprint Backlog'!$M57, TRUE, 0)</f>
        <v>2</v>
      </c>
      <c r="K57" s="4" cm="1">
        <f t="array" ref="K57">_xlfn.IFS('ProductSprint Backlog'!$M57="", "", AND('ProductSprint Backlog'!$L57&gt;K$2,'ProductSprint Backlog'!$K57&lt;=K$2), 'ProductSprint Backlog'!$M57 / MAX(1, 'ProductSprint Backlog'!$L57-'ProductSprint Backlog'!$K57), AND('ProductSprint Backlog'!$L57=K$2,'ProductSprint Backlog'!$K57=K$2), 'ProductSprint Backlog'!$M57, TRUE, 0)</f>
        <v>0</v>
      </c>
      <c r="L57" s="4" cm="1">
        <f t="array" ref="L57">_xlfn.IFS('ProductSprint Backlog'!$M57="", "", AND('ProductSprint Backlog'!$L57&gt;L$2,'ProductSprint Backlog'!$K57&lt;=L$2), 'ProductSprint Backlog'!$M57 / MAX(1, 'ProductSprint Backlog'!$L57-'ProductSprint Backlog'!$K57), AND('ProductSprint Backlog'!$L57=L$2,'ProductSprint Backlog'!$K57=L$2), 'ProductSprint Backlog'!$M57, TRUE, 0)</f>
        <v>0</v>
      </c>
      <c r="M57" s="4" cm="1">
        <f t="array" ref="M57">_xlfn.IFS('ProductSprint Backlog'!$M57="", "", AND('ProductSprint Backlog'!$L57&gt;M$2,'ProductSprint Backlog'!$K57&lt;=M$2), 'ProductSprint Backlog'!$M57 / MAX(1, 'ProductSprint Backlog'!$L57-'ProductSprint Backlog'!$K57), AND('ProductSprint Backlog'!$L57=M$2,'ProductSprint Backlog'!$K57=M$2), 'ProductSprint Backlog'!$M57, TRUE, 0)</f>
        <v>0</v>
      </c>
      <c r="N57" s="4" cm="1">
        <f t="array" ref="N57">_xlfn.IFS('ProductSprint Backlog'!$M57="", "", AND('ProductSprint Backlog'!$L57&gt;N$2,'ProductSprint Backlog'!$K57&lt;=N$2), 'ProductSprint Backlog'!$M57 / MAX(1, 'ProductSprint Backlog'!$L57-'ProductSprint Backlog'!$K57), AND('ProductSprint Backlog'!$L57=N$2,'ProductSprint Backlog'!$K57=N$2), 'ProductSprint Backlog'!$M57, TRUE, 0)</f>
        <v>0</v>
      </c>
      <c r="O57" s="4" cm="1">
        <f t="array" ref="O57">_xlfn.IFS('ProductSprint Backlog'!$M57="", "", AND('ProductSprint Backlog'!$L57&gt;O$2,'ProductSprint Backlog'!$K57&lt;=O$2), 'ProductSprint Backlog'!$M57 / MAX(1, 'ProductSprint Backlog'!$L57-'ProductSprint Backlog'!$K57), AND('ProductSprint Backlog'!$L57=O$2,'ProductSprint Backlog'!$K57=O$2), 'ProductSprint Backlog'!$M57, TRUE, 0)</f>
        <v>0</v>
      </c>
      <c r="P57" s="4" cm="1">
        <f t="array" ref="P57">_xlfn.IFS('ProductSprint Backlog'!$M57="", "", AND('ProductSprint Backlog'!$L57&gt;P$2,'ProductSprint Backlog'!$K57&lt;=P$2), 'ProductSprint Backlog'!$M57 / MAX(1, 'ProductSprint Backlog'!$L57-'ProductSprint Backlog'!$K57), AND('ProductSprint Backlog'!$L57=P$2,'ProductSprint Backlog'!$K57=P$2), 'ProductSprint Backlog'!$M57, TRUE, 0)</f>
        <v>0</v>
      </c>
    </row>
    <row r="58" spans="2:16" x14ac:dyDescent="0.2">
      <c r="B58" s="4" cm="1">
        <f t="array" ref="B58">_xlfn.IFS('ProductSprint Backlog'!$M58="", "", AND('ProductSprint Backlog'!$L58&gt;B$2,'ProductSprint Backlog'!$K58&lt;=B$2), 'ProductSprint Backlog'!$M58 / MAX(1, 'ProductSprint Backlog'!$L58-'ProductSprint Backlog'!$K58), AND('ProductSprint Backlog'!$L58=B$2,'ProductSprint Backlog'!$K58=B$2), 'ProductSprint Backlog'!$M58, TRUE, 0)</f>
        <v>0</v>
      </c>
      <c r="C58" s="4" cm="1">
        <f t="array" ref="C58">_xlfn.IFS('ProductSprint Backlog'!$M58="", "", AND('ProductSprint Backlog'!$L58&gt;C$2,'ProductSprint Backlog'!$K58&lt;=C$2), 'ProductSprint Backlog'!$M58 / MAX(1, 'ProductSprint Backlog'!$L58-'ProductSprint Backlog'!$K58), AND('ProductSprint Backlog'!$L58=C$2,'ProductSprint Backlog'!$K58=C$2), 'ProductSprint Backlog'!$M58, TRUE, 0)</f>
        <v>0</v>
      </c>
      <c r="D58" s="4" cm="1">
        <f t="array" ref="D58">_xlfn.IFS('ProductSprint Backlog'!$M58="", "", AND('ProductSprint Backlog'!$L58&gt;D$2,'ProductSprint Backlog'!$K58&lt;=D$2), 'ProductSprint Backlog'!$M58 / MAX(1, 'ProductSprint Backlog'!$L58-'ProductSprint Backlog'!$K58), AND('ProductSprint Backlog'!$L58=D$2,'ProductSprint Backlog'!$K58=D$2), 'ProductSprint Backlog'!$M58, TRUE, 0)</f>
        <v>0</v>
      </c>
      <c r="E58" s="4" cm="1">
        <f t="array" ref="E58">_xlfn.IFS('ProductSprint Backlog'!$M58="", "", AND('ProductSprint Backlog'!$L58&gt;E$2,'ProductSprint Backlog'!$K58&lt;=E$2), 'ProductSprint Backlog'!$M58 / MAX(1, 'ProductSprint Backlog'!$L58-'ProductSprint Backlog'!$K58), AND('ProductSprint Backlog'!$L58=E$2,'ProductSprint Backlog'!$K58=E$2), 'ProductSprint Backlog'!$M58, TRUE, 0)</f>
        <v>0</v>
      </c>
      <c r="F58" s="4" cm="1">
        <f t="array" ref="F58">_xlfn.IFS('ProductSprint Backlog'!$M58="", "", AND('ProductSprint Backlog'!$L58&gt;F$2,'ProductSprint Backlog'!$K58&lt;=F$2), 'ProductSprint Backlog'!$M58 / MAX(1, 'ProductSprint Backlog'!$L58-'ProductSprint Backlog'!$K58), AND('ProductSprint Backlog'!$L58=F$2,'ProductSprint Backlog'!$K58=F$2), 'ProductSprint Backlog'!$M58, TRUE, 0)</f>
        <v>0</v>
      </c>
      <c r="G58" s="4" cm="1">
        <f t="array" ref="G58">_xlfn.IFS('ProductSprint Backlog'!$M58="", "", AND('ProductSprint Backlog'!$L58&gt;G$2,'ProductSprint Backlog'!$K58&lt;=G$2), 'ProductSprint Backlog'!$M58 / MAX(1, 'ProductSprint Backlog'!$L58-'ProductSprint Backlog'!$K58), AND('ProductSprint Backlog'!$L58=G$2,'ProductSprint Backlog'!$K58=G$2), 'ProductSprint Backlog'!$M58, TRUE, 0)</f>
        <v>0</v>
      </c>
      <c r="H58" s="4" cm="1">
        <f t="array" ref="H58">_xlfn.IFS('ProductSprint Backlog'!$M58="", "", AND('ProductSprint Backlog'!$L58&gt;H$2,'ProductSprint Backlog'!$K58&lt;=H$2), 'ProductSprint Backlog'!$M58 / MAX(1, 'ProductSprint Backlog'!$L58-'ProductSprint Backlog'!$K58), AND('ProductSprint Backlog'!$L58=H$2,'ProductSprint Backlog'!$K58=H$2), 'ProductSprint Backlog'!$M58, TRUE, 0)</f>
        <v>0</v>
      </c>
      <c r="I58" s="4" cm="1">
        <f t="array" ref="I58">_xlfn.IFS('ProductSprint Backlog'!$M58="", "", AND('ProductSprint Backlog'!$L58&gt;I$2,'ProductSprint Backlog'!$K58&lt;=I$2), 'ProductSprint Backlog'!$M58 / MAX(1, 'ProductSprint Backlog'!$L58-'ProductSprint Backlog'!$K58), AND('ProductSprint Backlog'!$L58=I$2,'ProductSprint Backlog'!$K58=I$2), 'ProductSprint Backlog'!$M58, TRUE, 0)</f>
        <v>0</v>
      </c>
      <c r="J58" s="4" cm="1">
        <f t="array" ref="J58">_xlfn.IFS('ProductSprint Backlog'!$M58="", "", AND('ProductSprint Backlog'!$L58&gt;J$2,'ProductSprint Backlog'!$K58&lt;=J$2), 'ProductSprint Backlog'!$M58 / MAX(1, 'ProductSprint Backlog'!$L58-'ProductSprint Backlog'!$K58), AND('ProductSprint Backlog'!$L58=J$2,'ProductSprint Backlog'!$K58=J$2), 'ProductSprint Backlog'!$M58, TRUE, 0)</f>
        <v>1.5</v>
      </c>
      <c r="K58" s="4" cm="1">
        <f t="array" ref="K58">_xlfn.IFS('ProductSprint Backlog'!$M58="", "", AND('ProductSprint Backlog'!$L58&gt;K$2,'ProductSprint Backlog'!$K58&lt;=K$2), 'ProductSprint Backlog'!$M58 / MAX(1, 'ProductSprint Backlog'!$L58-'ProductSprint Backlog'!$K58), AND('ProductSprint Backlog'!$L58=K$2,'ProductSprint Backlog'!$K58=K$2), 'ProductSprint Backlog'!$M58, TRUE, 0)</f>
        <v>1.5</v>
      </c>
      <c r="L58" s="4" cm="1">
        <f t="array" ref="L58">_xlfn.IFS('ProductSprint Backlog'!$M58="", "", AND('ProductSprint Backlog'!$L58&gt;L$2,'ProductSprint Backlog'!$K58&lt;=L$2), 'ProductSprint Backlog'!$M58 / MAX(1, 'ProductSprint Backlog'!$L58-'ProductSprint Backlog'!$K58), AND('ProductSprint Backlog'!$L58=L$2,'ProductSprint Backlog'!$K58=L$2), 'ProductSprint Backlog'!$M58, TRUE, 0)</f>
        <v>0</v>
      </c>
      <c r="M58" s="4" cm="1">
        <f t="array" ref="M58">_xlfn.IFS('ProductSprint Backlog'!$M58="", "", AND('ProductSprint Backlog'!$L58&gt;M$2,'ProductSprint Backlog'!$K58&lt;=M$2), 'ProductSprint Backlog'!$M58 / MAX(1, 'ProductSprint Backlog'!$L58-'ProductSprint Backlog'!$K58), AND('ProductSprint Backlog'!$L58=M$2,'ProductSprint Backlog'!$K58=M$2), 'ProductSprint Backlog'!$M58, TRUE, 0)</f>
        <v>0</v>
      </c>
      <c r="N58" s="4" cm="1">
        <f t="array" ref="N58">_xlfn.IFS('ProductSprint Backlog'!$M58="", "", AND('ProductSprint Backlog'!$L58&gt;N$2,'ProductSprint Backlog'!$K58&lt;=N$2), 'ProductSprint Backlog'!$M58 / MAX(1, 'ProductSprint Backlog'!$L58-'ProductSprint Backlog'!$K58), AND('ProductSprint Backlog'!$L58=N$2,'ProductSprint Backlog'!$K58=N$2), 'ProductSprint Backlog'!$M58, TRUE, 0)</f>
        <v>0</v>
      </c>
      <c r="O58" s="4" cm="1">
        <f t="array" ref="O58">_xlfn.IFS('ProductSprint Backlog'!$M58="", "", AND('ProductSprint Backlog'!$L58&gt;O$2,'ProductSprint Backlog'!$K58&lt;=O$2), 'ProductSprint Backlog'!$M58 / MAX(1, 'ProductSprint Backlog'!$L58-'ProductSprint Backlog'!$K58), AND('ProductSprint Backlog'!$L58=O$2,'ProductSprint Backlog'!$K58=O$2), 'ProductSprint Backlog'!$M58, TRUE, 0)</f>
        <v>0</v>
      </c>
      <c r="P58" s="4" cm="1">
        <f t="array" ref="P58">_xlfn.IFS('ProductSprint Backlog'!$M58="", "", AND('ProductSprint Backlog'!$L58&gt;P$2,'ProductSprint Backlog'!$K58&lt;=P$2), 'ProductSprint Backlog'!$M58 / MAX(1, 'ProductSprint Backlog'!$L58-'ProductSprint Backlog'!$K58), AND('ProductSprint Backlog'!$L58=P$2,'ProductSprint Backlog'!$K58=P$2), 'ProductSprint Backlog'!$M58, TRUE, 0)</f>
        <v>0</v>
      </c>
    </row>
    <row r="59" spans="2:16" x14ac:dyDescent="0.2">
      <c r="B59" s="4" t="str" cm="1">
        <f t="array" ref="B59">_xlfn.IFS('ProductSprint Backlog'!$M59="", "", AND('ProductSprint Backlog'!$L59&gt;B$2,'ProductSprint Backlog'!$K59&lt;=B$2), 'ProductSprint Backlog'!$M59 / MAX(1, 'ProductSprint Backlog'!$L59-'ProductSprint Backlog'!$K59), AND('ProductSprint Backlog'!$L59=B$2,'ProductSprint Backlog'!$K59=B$2), 'ProductSprint Backlog'!$M59, TRUE, 0)</f>
        <v/>
      </c>
      <c r="C59" s="4" t="str" cm="1">
        <f t="array" ref="C59">_xlfn.IFS('ProductSprint Backlog'!$M59="", "", AND('ProductSprint Backlog'!$L59&gt;C$2,'ProductSprint Backlog'!$K59&lt;=C$2), 'ProductSprint Backlog'!$M59 / MAX(1, 'ProductSprint Backlog'!$L59-'ProductSprint Backlog'!$K59), AND('ProductSprint Backlog'!$L59=C$2,'ProductSprint Backlog'!$K59=C$2), 'ProductSprint Backlog'!$M59, TRUE, 0)</f>
        <v/>
      </c>
      <c r="D59" s="4" t="str" cm="1">
        <f t="array" ref="D59">_xlfn.IFS('ProductSprint Backlog'!$M59="", "", AND('ProductSprint Backlog'!$L59&gt;D$2,'ProductSprint Backlog'!$K59&lt;=D$2), 'ProductSprint Backlog'!$M59 / MAX(1, 'ProductSprint Backlog'!$L59-'ProductSprint Backlog'!$K59), AND('ProductSprint Backlog'!$L59=D$2,'ProductSprint Backlog'!$K59=D$2), 'ProductSprint Backlog'!$M59, TRUE, 0)</f>
        <v/>
      </c>
      <c r="E59" s="4" t="str" cm="1">
        <f t="array" ref="E59">_xlfn.IFS('ProductSprint Backlog'!$M59="", "", AND('ProductSprint Backlog'!$L59&gt;E$2,'ProductSprint Backlog'!$K59&lt;=E$2), 'ProductSprint Backlog'!$M59 / MAX(1, 'ProductSprint Backlog'!$L59-'ProductSprint Backlog'!$K59), AND('ProductSprint Backlog'!$L59=E$2,'ProductSprint Backlog'!$K59=E$2), 'ProductSprint Backlog'!$M59, TRUE, 0)</f>
        <v/>
      </c>
      <c r="F59" s="4" t="str" cm="1">
        <f t="array" ref="F59">_xlfn.IFS('ProductSprint Backlog'!$M59="", "", AND('ProductSprint Backlog'!$L59&gt;F$2,'ProductSprint Backlog'!$K59&lt;=F$2), 'ProductSprint Backlog'!$M59 / MAX(1, 'ProductSprint Backlog'!$L59-'ProductSprint Backlog'!$K59), AND('ProductSprint Backlog'!$L59=F$2,'ProductSprint Backlog'!$K59=F$2), 'ProductSprint Backlog'!$M59, TRUE, 0)</f>
        <v/>
      </c>
      <c r="G59" s="4" t="str" cm="1">
        <f t="array" ref="G59">_xlfn.IFS('ProductSprint Backlog'!$M59="", "", AND('ProductSprint Backlog'!$L59&gt;G$2,'ProductSprint Backlog'!$K59&lt;=G$2), 'ProductSprint Backlog'!$M59 / MAX(1, 'ProductSprint Backlog'!$L59-'ProductSprint Backlog'!$K59), AND('ProductSprint Backlog'!$L59=G$2,'ProductSprint Backlog'!$K59=G$2), 'ProductSprint Backlog'!$M59, TRUE, 0)</f>
        <v/>
      </c>
      <c r="H59" s="4" t="str" cm="1">
        <f t="array" ref="H59">_xlfn.IFS('ProductSprint Backlog'!$M59="", "", AND('ProductSprint Backlog'!$L59&gt;H$2,'ProductSprint Backlog'!$K59&lt;=H$2), 'ProductSprint Backlog'!$M59 / MAX(1, 'ProductSprint Backlog'!$L59-'ProductSprint Backlog'!$K59), AND('ProductSprint Backlog'!$L59=H$2,'ProductSprint Backlog'!$K59=H$2), 'ProductSprint Backlog'!$M59, TRUE, 0)</f>
        <v/>
      </c>
      <c r="I59" s="4" t="str" cm="1">
        <f t="array" ref="I59">_xlfn.IFS('ProductSprint Backlog'!$M59="", "", AND('ProductSprint Backlog'!$L59&gt;I$2,'ProductSprint Backlog'!$K59&lt;=I$2), 'ProductSprint Backlog'!$M59 / MAX(1, 'ProductSprint Backlog'!$L59-'ProductSprint Backlog'!$K59), AND('ProductSprint Backlog'!$L59=I$2,'ProductSprint Backlog'!$K59=I$2), 'ProductSprint Backlog'!$M59, TRUE, 0)</f>
        <v/>
      </c>
      <c r="J59" s="4" t="str" cm="1">
        <f t="array" ref="J59">_xlfn.IFS('ProductSprint Backlog'!$M59="", "", AND('ProductSprint Backlog'!$L59&gt;J$2,'ProductSprint Backlog'!$K59&lt;=J$2), 'ProductSprint Backlog'!$M59 / MAX(1, 'ProductSprint Backlog'!$L59-'ProductSprint Backlog'!$K59), AND('ProductSprint Backlog'!$L59=J$2,'ProductSprint Backlog'!$K59=J$2), 'ProductSprint Backlog'!$M59, TRUE, 0)</f>
        <v/>
      </c>
      <c r="K59" s="4" t="str" cm="1">
        <f t="array" ref="K59">_xlfn.IFS('ProductSprint Backlog'!$M59="", "", AND('ProductSprint Backlog'!$L59&gt;K$2,'ProductSprint Backlog'!$K59&lt;=K$2), 'ProductSprint Backlog'!$M59 / MAX(1, 'ProductSprint Backlog'!$L59-'ProductSprint Backlog'!$K59), AND('ProductSprint Backlog'!$L59=K$2,'ProductSprint Backlog'!$K59=K$2), 'ProductSprint Backlog'!$M59, TRUE, 0)</f>
        <v/>
      </c>
      <c r="L59" s="4" t="str" cm="1">
        <f t="array" ref="L59">_xlfn.IFS('ProductSprint Backlog'!$M59="", "", AND('ProductSprint Backlog'!$L59&gt;L$2,'ProductSprint Backlog'!$K59&lt;=L$2), 'ProductSprint Backlog'!$M59 / MAX(1, 'ProductSprint Backlog'!$L59-'ProductSprint Backlog'!$K59), AND('ProductSprint Backlog'!$L59=L$2,'ProductSprint Backlog'!$K59=L$2), 'ProductSprint Backlog'!$M59, TRUE, 0)</f>
        <v/>
      </c>
      <c r="M59" s="4" t="str" cm="1">
        <f t="array" ref="M59">_xlfn.IFS('ProductSprint Backlog'!$M59="", "", AND('ProductSprint Backlog'!$L59&gt;M$2,'ProductSprint Backlog'!$K59&lt;=M$2), 'ProductSprint Backlog'!$M59 / MAX(1, 'ProductSprint Backlog'!$L59-'ProductSprint Backlog'!$K59), AND('ProductSprint Backlog'!$L59=M$2,'ProductSprint Backlog'!$K59=M$2), 'ProductSprint Backlog'!$M59, TRUE, 0)</f>
        <v/>
      </c>
      <c r="N59" s="4" t="str" cm="1">
        <f t="array" ref="N59">_xlfn.IFS('ProductSprint Backlog'!$M59="", "", AND('ProductSprint Backlog'!$L59&gt;N$2,'ProductSprint Backlog'!$K59&lt;=N$2), 'ProductSprint Backlog'!$M59 / MAX(1, 'ProductSprint Backlog'!$L59-'ProductSprint Backlog'!$K59), AND('ProductSprint Backlog'!$L59=N$2,'ProductSprint Backlog'!$K59=N$2), 'ProductSprint Backlog'!$M59, TRUE, 0)</f>
        <v/>
      </c>
      <c r="O59" s="4" t="str" cm="1">
        <f t="array" ref="O59">_xlfn.IFS('ProductSprint Backlog'!$M59="", "", AND('ProductSprint Backlog'!$L59&gt;O$2,'ProductSprint Backlog'!$K59&lt;=O$2), 'ProductSprint Backlog'!$M59 / MAX(1, 'ProductSprint Backlog'!$L59-'ProductSprint Backlog'!$K59), AND('ProductSprint Backlog'!$L59=O$2,'ProductSprint Backlog'!$K59=O$2), 'ProductSprint Backlog'!$M59, TRUE, 0)</f>
        <v/>
      </c>
      <c r="P59" s="4" t="str" cm="1">
        <f t="array" ref="P59">_xlfn.IFS('ProductSprint Backlog'!$M59="", "", AND('ProductSprint Backlog'!$L59&gt;P$2,'ProductSprint Backlog'!$K59&lt;=P$2), 'ProductSprint Backlog'!$M59 / MAX(1, 'ProductSprint Backlog'!$L59-'ProductSprint Backlog'!$K59), AND('ProductSprint Backlog'!$L59=P$2,'ProductSprint Backlog'!$K59=P$2), 'ProductSprint Backlog'!$M59, TRUE, 0)</f>
        <v/>
      </c>
    </row>
    <row r="60" spans="2:16" x14ac:dyDescent="0.2">
      <c r="B60" s="4" cm="1">
        <f t="array" ref="B60">_xlfn.IFS('ProductSprint Backlog'!$M60="", "", AND('ProductSprint Backlog'!$L60&gt;B$2,'ProductSprint Backlog'!$K60&lt;=B$2), 'ProductSprint Backlog'!$M60 / MAX(1, 'ProductSprint Backlog'!$L60-'ProductSprint Backlog'!$K60), AND('ProductSprint Backlog'!$L60=B$2,'ProductSprint Backlog'!$K60=B$2), 'ProductSprint Backlog'!$M60, TRUE, 0)</f>
        <v>0</v>
      </c>
      <c r="C60" s="4" cm="1">
        <f t="array" ref="C60">_xlfn.IFS('ProductSprint Backlog'!$M60="", "", AND('ProductSprint Backlog'!$L60&gt;C$2,'ProductSprint Backlog'!$K60&lt;=C$2), 'ProductSprint Backlog'!$M60 / MAX(1, 'ProductSprint Backlog'!$L60-'ProductSprint Backlog'!$K60), AND('ProductSprint Backlog'!$L60=C$2,'ProductSprint Backlog'!$K60=C$2), 'ProductSprint Backlog'!$M60, TRUE, 0)</f>
        <v>0</v>
      </c>
      <c r="D60" s="4" cm="1">
        <f t="array" ref="D60">_xlfn.IFS('ProductSprint Backlog'!$M60="", "", AND('ProductSprint Backlog'!$L60&gt;D$2,'ProductSprint Backlog'!$K60&lt;=D$2), 'ProductSprint Backlog'!$M60 / MAX(1, 'ProductSprint Backlog'!$L60-'ProductSprint Backlog'!$K60), AND('ProductSprint Backlog'!$L60=D$2,'ProductSprint Backlog'!$K60=D$2), 'ProductSprint Backlog'!$M60, TRUE, 0)</f>
        <v>0</v>
      </c>
      <c r="E60" s="4" cm="1">
        <f t="array" ref="E60">_xlfn.IFS('ProductSprint Backlog'!$M60="", "", AND('ProductSprint Backlog'!$L60&gt;E$2,'ProductSprint Backlog'!$K60&lt;=E$2), 'ProductSprint Backlog'!$M60 / MAX(1, 'ProductSprint Backlog'!$L60-'ProductSprint Backlog'!$K60), AND('ProductSprint Backlog'!$L60=E$2,'ProductSprint Backlog'!$K60=E$2), 'ProductSprint Backlog'!$M60, TRUE, 0)</f>
        <v>0</v>
      </c>
      <c r="F60" s="4" cm="1">
        <f t="array" ref="F60">_xlfn.IFS('ProductSprint Backlog'!$M60="", "", AND('ProductSprint Backlog'!$L60&gt;F$2,'ProductSprint Backlog'!$K60&lt;=F$2), 'ProductSprint Backlog'!$M60 / MAX(1, 'ProductSprint Backlog'!$L60-'ProductSprint Backlog'!$K60), AND('ProductSprint Backlog'!$L60=F$2,'ProductSprint Backlog'!$K60=F$2), 'ProductSprint Backlog'!$M60, TRUE, 0)</f>
        <v>0</v>
      </c>
      <c r="G60" s="4" cm="1">
        <f t="array" ref="G60">_xlfn.IFS('ProductSprint Backlog'!$M60="", "", AND('ProductSprint Backlog'!$L60&gt;G$2,'ProductSprint Backlog'!$K60&lt;=G$2), 'ProductSprint Backlog'!$M60 / MAX(1, 'ProductSprint Backlog'!$L60-'ProductSprint Backlog'!$K60), AND('ProductSprint Backlog'!$L60=G$2,'ProductSprint Backlog'!$K60=G$2), 'ProductSprint Backlog'!$M60, TRUE, 0)</f>
        <v>0</v>
      </c>
      <c r="H60" s="4" cm="1">
        <f t="array" ref="H60">_xlfn.IFS('ProductSprint Backlog'!$M60="", "", AND('ProductSprint Backlog'!$L60&gt;H$2,'ProductSprint Backlog'!$K60&lt;=H$2), 'ProductSprint Backlog'!$M60 / MAX(1, 'ProductSprint Backlog'!$L60-'ProductSprint Backlog'!$K60), AND('ProductSprint Backlog'!$L60=H$2,'ProductSprint Backlog'!$K60=H$2), 'ProductSprint Backlog'!$M60, TRUE, 0)</f>
        <v>0</v>
      </c>
      <c r="I60" s="4" cm="1">
        <f t="array" ref="I60">_xlfn.IFS('ProductSprint Backlog'!$M60="", "", AND('ProductSprint Backlog'!$L60&gt;I$2,'ProductSprint Backlog'!$K60&lt;=I$2), 'ProductSprint Backlog'!$M60 / MAX(1, 'ProductSprint Backlog'!$L60-'ProductSprint Backlog'!$K60), AND('ProductSprint Backlog'!$L60=I$2,'ProductSprint Backlog'!$K60=I$2), 'ProductSprint Backlog'!$M60, TRUE, 0)</f>
        <v>0</v>
      </c>
      <c r="J60" s="4" cm="1">
        <f t="array" ref="J60">_xlfn.IFS('ProductSprint Backlog'!$M60="", "", AND('ProductSprint Backlog'!$L60&gt;J$2,'ProductSprint Backlog'!$K60&lt;=J$2), 'ProductSprint Backlog'!$M60 / MAX(1, 'ProductSprint Backlog'!$L60-'ProductSprint Backlog'!$K60), AND('ProductSprint Backlog'!$L60=J$2,'ProductSprint Backlog'!$K60=J$2), 'ProductSprint Backlog'!$M60, TRUE, 0)</f>
        <v>0</v>
      </c>
      <c r="K60" s="4" cm="1">
        <f t="array" ref="K60">_xlfn.IFS('ProductSprint Backlog'!$M60="", "", AND('ProductSprint Backlog'!$L60&gt;K$2,'ProductSprint Backlog'!$K60&lt;=K$2), 'ProductSprint Backlog'!$M60 / MAX(1, 'ProductSprint Backlog'!$L60-'ProductSprint Backlog'!$K60), AND('ProductSprint Backlog'!$L60=K$2,'ProductSprint Backlog'!$K60=K$2), 'ProductSprint Backlog'!$M60, TRUE, 0)</f>
        <v>1</v>
      </c>
      <c r="L60" s="4" cm="1">
        <f t="array" ref="L60">_xlfn.IFS('ProductSprint Backlog'!$M60="", "", AND('ProductSprint Backlog'!$L60&gt;L$2,'ProductSprint Backlog'!$K60&lt;=L$2), 'ProductSprint Backlog'!$M60 / MAX(1, 'ProductSprint Backlog'!$L60-'ProductSprint Backlog'!$K60), AND('ProductSprint Backlog'!$L60=L$2,'ProductSprint Backlog'!$K60=L$2), 'ProductSprint Backlog'!$M60, TRUE, 0)</f>
        <v>0</v>
      </c>
      <c r="M60" s="4" cm="1">
        <f t="array" ref="M60">_xlfn.IFS('ProductSprint Backlog'!$M60="", "", AND('ProductSprint Backlog'!$L60&gt;M$2,'ProductSprint Backlog'!$K60&lt;=M$2), 'ProductSprint Backlog'!$M60 / MAX(1, 'ProductSprint Backlog'!$L60-'ProductSprint Backlog'!$K60), AND('ProductSprint Backlog'!$L60=M$2,'ProductSprint Backlog'!$K60=M$2), 'ProductSprint Backlog'!$M60, TRUE, 0)</f>
        <v>0</v>
      </c>
      <c r="N60" s="4" cm="1">
        <f t="array" ref="N60">_xlfn.IFS('ProductSprint Backlog'!$M60="", "", AND('ProductSprint Backlog'!$L60&gt;N$2,'ProductSprint Backlog'!$K60&lt;=N$2), 'ProductSprint Backlog'!$M60 / MAX(1, 'ProductSprint Backlog'!$L60-'ProductSprint Backlog'!$K60), AND('ProductSprint Backlog'!$L60=N$2,'ProductSprint Backlog'!$K60=N$2), 'ProductSprint Backlog'!$M60, TRUE, 0)</f>
        <v>0</v>
      </c>
      <c r="O60" s="4" cm="1">
        <f t="array" ref="O60">_xlfn.IFS('ProductSprint Backlog'!$M60="", "", AND('ProductSprint Backlog'!$L60&gt;O$2,'ProductSprint Backlog'!$K60&lt;=O$2), 'ProductSprint Backlog'!$M60 / MAX(1, 'ProductSprint Backlog'!$L60-'ProductSprint Backlog'!$K60), AND('ProductSprint Backlog'!$L60=O$2,'ProductSprint Backlog'!$K60=O$2), 'ProductSprint Backlog'!$M60, TRUE, 0)</f>
        <v>0</v>
      </c>
      <c r="P60" s="4" cm="1">
        <f t="array" ref="P60">_xlfn.IFS('ProductSprint Backlog'!$M60="", "", AND('ProductSprint Backlog'!$L60&gt;P$2,'ProductSprint Backlog'!$K60&lt;=P$2), 'ProductSprint Backlog'!$M60 / MAX(1, 'ProductSprint Backlog'!$L60-'ProductSprint Backlog'!$K60), AND('ProductSprint Backlog'!$L60=P$2,'ProductSprint Backlog'!$K60=P$2), 'ProductSprint Backlog'!$M60, TRUE, 0)</f>
        <v>0</v>
      </c>
    </row>
    <row r="61" spans="2:16" x14ac:dyDescent="0.2">
      <c r="B61" s="4" cm="1">
        <f t="array" ref="B61">_xlfn.IFS('ProductSprint Backlog'!$M61="", "", AND('ProductSprint Backlog'!$L61&gt;B$2,'ProductSprint Backlog'!$K61&lt;=B$2), 'ProductSprint Backlog'!$M61 / MAX(1, 'ProductSprint Backlog'!$L61-'ProductSprint Backlog'!$K61), AND('ProductSprint Backlog'!$L61=B$2,'ProductSprint Backlog'!$K61=B$2), 'ProductSprint Backlog'!$M61, TRUE, 0)</f>
        <v>0</v>
      </c>
      <c r="C61" s="4" cm="1">
        <f t="array" ref="C61">_xlfn.IFS('ProductSprint Backlog'!$M61="", "", AND('ProductSprint Backlog'!$L61&gt;C$2,'ProductSprint Backlog'!$K61&lt;=C$2), 'ProductSprint Backlog'!$M61 / MAX(1, 'ProductSprint Backlog'!$L61-'ProductSprint Backlog'!$K61), AND('ProductSprint Backlog'!$L61=C$2,'ProductSprint Backlog'!$K61=C$2), 'ProductSprint Backlog'!$M61, TRUE, 0)</f>
        <v>0</v>
      </c>
      <c r="D61" s="4" cm="1">
        <f t="array" ref="D61">_xlfn.IFS('ProductSprint Backlog'!$M61="", "", AND('ProductSprint Backlog'!$L61&gt;D$2,'ProductSprint Backlog'!$K61&lt;=D$2), 'ProductSprint Backlog'!$M61 / MAX(1, 'ProductSprint Backlog'!$L61-'ProductSprint Backlog'!$K61), AND('ProductSprint Backlog'!$L61=D$2,'ProductSprint Backlog'!$K61=D$2), 'ProductSprint Backlog'!$M61, TRUE, 0)</f>
        <v>0</v>
      </c>
      <c r="E61" s="4" cm="1">
        <f t="array" ref="E61">_xlfn.IFS('ProductSprint Backlog'!$M61="", "", AND('ProductSprint Backlog'!$L61&gt;E$2,'ProductSprint Backlog'!$K61&lt;=E$2), 'ProductSprint Backlog'!$M61 / MAX(1, 'ProductSprint Backlog'!$L61-'ProductSprint Backlog'!$K61), AND('ProductSprint Backlog'!$L61=E$2,'ProductSprint Backlog'!$K61=E$2), 'ProductSprint Backlog'!$M61, TRUE, 0)</f>
        <v>0</v>
      </c>
      <c r="F61" s="4" cm="1">
        <f t="array" ref="F61">_xlfn.IFS('ProductSprint Backlog'!$M61="", "", AND('ProductSprint Backlog'!$L61&gt;F$2,'ProductSprint Backlog'!$K61&lt;=F$2), 'ProductSprint Backlog'!$M61 / MAX(1, 'ProductSprint Backlog'!$L61-'ProductSprint Backlog'!$K61), AND('ProductSprint Backlog'!$L61=F$2,'ProductSprint Backlog'!$K61=F$2), 'ProductSprint Backlog'!$M61, TRUE, 0)</f>
        <v>0</v>
      </c>
      <c r="G61" s="4" cm="1">
        <f t="array" ref="G61">_xlfn.IFS('ProductSprint Backlog'!$M61="", "", AND('ProductSprint Backlog'!$L61&gt;G$2,'ProductSprint Backlog'!$K61&lt;=G$2), 'ProductSprint Backlog'!$M61 / MAX(1, 'ProductSprint Backlog'!$L61-'ProductSprint Backlog'!$K61), AND('ProductSprint Backlog'!$L61=G$2,'ProductSprint Backlog'!$K61=G$2), 'ProductSprint Backlog'!$M61, TRUE, 0)</f>
        <v>0</v>
      </c>
      <c r="H61" s="4" cm="1">
        <f t="array" ref="H61">_xlfn.IFS('ProductSprint Backlog'!$M61="", "", AND('ProductSprint Backlog'!$L61&gt;H$2,'ProductSprint Backlog'!$K61&lt;=H$2), 'ProductSprint Backlog'!$M61 / MAX(1, 'ProductSprint Backlog'!$L61-'ProductSprint Backlog'!$K61), AND('ProductSprint Backlog'!$L61=H$2,'ProductSprint Backlog'!$K61=H$2), 'ProductSprint Backlog'!$M61, TRUE, 0)</f>
        <v>0</v>
      </c>
      <c r="I61" s="4" cm="1">
        <f t="array" ref="I61">_xlfn.IFS('ProductSprint Backlog'!$M61="", "", AND('ProductSprint Backlog'!$L61&gt;I$2,'ProductSprint Backlog'!$K61&lt;=I$2), 'ProductSprint Backlog'!$M61 / MAX(1, 'ProductSprint Backlog'!$L61-'ProductSprint Backlog'!$K61), AND('ProductSprint Backlog'!$L61=I$2,'ProductSprint Backlog'!$K61=I$2), 'ProductSprint Backlog'!$M61, TRUE, 0)</f>
        <v>0</v>
      </c>
      <c r="J61" s="4" cm="1">
        <f t="array" ref="J61">_xlfn.IFS('ProductSprint Backlog'!$M61="", "", AND('ProductSprint Backlog'!$L61&gt;J$2,'ProductSprint Backlog'!$K61&lt;=J$2), 'ProductSprint Backlog'!$M61 / MAX(1, 'ProductSprint Backlog'!$L61-'ProductSprint Backlog'!$K61), AND('ProductSprint Backlog'!$L61=J$2,'ProductSprint Backlog'!$K61=J$2), 'ProductSprint Backlog'!$M61, TRUE, 0)</f>
        <v>0</v>
      </c>
      <c r="K61" s="4" cm="1">
        <f t="array" ref="K61">_xlfn.IFS('ProductSprint Backlog'!$M61="", "", AND('ProductSprint Backlog'!$L61&gt;K$2,'ProductSprint Backlog'!$K61&lt;=K$2), 'ProductSprint Backlog'!$M61 / MAX(1, 'ProductSprint Backlog'!$L61-'ProductSprint Backlog'!$K61), AND('ProductSprint Backlog'!$L61=K$2,'ProductSprint Backlog'!$K61=K$2), 'ProductSprint Backlog'!$M61, TRUE, 0)</f>
        <v>1</v>
      </c>
      <c r="L61" s="4" cm="1">
        <f t="array" ref="L61">_xlfn.IFS('ProductSprint Backlog'!$M61="", "", AND('ProductSprint Backlog'!$L61&gt;L$2,'ProductSprint Backlog'!$K61&lt;=L$2), 'ProductSprint Backlog'!$M61 / MAX(1, 'ProductSprint Backlog'!$L61-'ProductSprint Backlog'!$K61), AND('ProductSprint Backlog'!$L61=L$2,'ProductSprint Backlog'!$K61=L$2), 'ProductSprint Backlog'!$M61, TRUE, 0)</f>
        <v>0</v>
      </c>
      <c r="M61" s="4" cm="1">
        <f t="array" ref="M61">_xlfn.IFS('ProductSprint Backlog'!$M61="", "", AND('ProductSprint Backlog'!$L61&gt;M$2,'ProductSprint Backlog'!$K61&lt;=M$2), 'ProductSprint Backlog'!$M61 / MAX(1, 'ProductSprint Backlog'!$L61-'ProductSprint Backlog'!$K61), AND('ProductSprint Backlog'!$L61=M$2,'ProductSprint Backlog'!$K61=M$2), 'ProductSprint Backlog'!$M61, TRUE, 0)</f>
        <v>0</v>
      </c>
      <c r="N61" s="4" cm="1">
        <f t="array" ref="N61">_xlfn.IFS('ProductSprint Backlog'!$M61="", "", AND('ProductSprint Backlog'!$L61&gt;N$2,'ProductSprint Backlog'!$K61&lt;=N$2), 'ProductSprint Backlog'!$M61 / MAX(1, 'ProductSprint Backlog'!$L61-'ProductSprint Backlog'!$K61), AND('ProductSprint Backlog'!$L61=N$2,'ProductSprint Backlog'!$K61=N$2), 'ProductSprint Backlog'!$M61, TRUE, 0)</f>
        <v>0</v>
      </c>
      <c r="O61" s="4" cm="1">
        <f t="array" ref="O61">_xlfn.IFS('ProductSprint Backlog'!$M61="", "", AND('ProductSprint Backlog'!$L61&gt;O$2,'ProductSprint Backlog'!$K61&lt;=O$2), 'ProductSprint Backlog'!$M61 / MAX(1, 'ProductSprint Backlog'!$L61-'ProductSprint Backlog'!$K61), AND('ProductSprint Backlog'!$L61=O$2,'ProductSprint Backlog'!$K61=O$2), 'ProductSprint Backlog'!$M61, TRUE, 0)</f>
        <v>0</v>
      </c>
      <c r="P61" s="4" cm="1">
        <f t="array" ref="P61">_xlfn.IFS('ProductSprint Backlog'!$M61="", "", AND('ProductSprint Backlog'!$L61&gt;P$2,'ProductSprint Backlog'!$K61&lt;=P$2), 'ProductSprint Backlog'!$M61 / MAX(1, 'ProductSprint Backlog'!$L61-'ProductSprint Backlog'!$K61), AND('ProductSprint Backlog'!$L61=P$2,'ProductSprint Backlog'!$K61=P$2), 'ProductSprint Backlog'!$M61, TRUE, 0)</f>
        <v>0</v>
      </c>
    </row>
    <row r="62" spans="2:16" x14ac:dyDescent="0.2">
      <c r="B62" s="4" cm="1">
        <f t="array" ref="B62">_xlfn.IFS('ProductSprint Backlog'!$M62="", "", AND('ProductSprint Backlog'!$L62&gt;B$2,'ProductSprint Backlog'!$K62&lt;=B$2), 'ProductSprint Backlog'!$M62 / MAX(1, 'ProductSprint Backlog'!$L62-'ProductSprint Backlog'!$K62), AND('ProductSprint Backlog'!$L62=B$2,'ProductSprint Backlog'!$K62=B$2), 'ProductSprint Backlog'!$M62, TRUE, 0)</f>
        <v>0</v>
      </c>
      <c r="C62" s="4" cm="1">
        <f t="array" ref="C62">_xlfn.IFS('ProductSprint Backlog'!$M62="", "", AND('ProductSprint Backlog'!$L62&gt;C$2,'ProductSprint Backlog'!$K62&lt;=C$2), 'ProductSprint Backlog'!$M62 / MAX(1, 'ProductSprint Backlog'!$L62-'ProductSprint Backlog'!$K62), AND('ProductSprint Backlog'!$L62=C$2,'ProductSprint Backlog'!$K62=C$2), 'ProductSprint Backlog'!$M62, TRUE, 0)</f>
        <v>0</v>
      </c>
      <c r="D62" s="4" cm="1">
        <f t="array" ref="D62">_xlfn.IFS('ProductSprint Backlog'!$M62="", "", AND('ProductSprint Backlog'!$L62&gt;D$2,'ProductSprint Backlog'!$K62&lt;=D$2), 'ProductSprint Backlog'!$M62 / MAX(1, 'ProductSprint Backlog'!$L62-'ProductSprint Backlog'!$K62), AND('ProductSprint Backlog'!$L62=D$2,'ProductSprint Backlog'!$K62=D$2), 'ProductSprint Backlog'!$M62, TRUE, 0)</f>
        <v>0</v>
      </c>
      <c r="E62" s="4" cm="1">
        <f t="array" ref="E62">_xlfn.IFS('ProductSprint Backlog'!$M62="", "", AND('ProductSprint Backlog'!$L62&gt;E$2,'ProductSprint Backlog'!$K62&lt;=E$2), 'ProductSprint Backlog'!$M62 / MAX(1, 'ProductSprint Backlog'!$L62-'ProductSprint Backlog'!$K62), AND('ProductSprint Backlog'!$L62=E$2,'ProductSprint Backlog'!$K62=E$2), 'ProductSprint Backlog'!$M62, TRUE, 0)</f>
        <v>0</v>
      </c>
      <c r="F62" s="4" cm="1">
        <f t="array" ref="F62">_xlfn.IFS('ProductSprint Backlog'!$M62="", "", AND('ProductSprint Backlog'!$L62&gt;F$2,'ProductSprint Backlog'!$K62&lt;=F$2), 'ProductSprint Backlog'!$M62 / MAX(1, 'ProductSprint Backlog'!$L62-'ProductSprint Backlog'!$K62), AND('ProductSprint Backlog'!$L62=F$2,'ProductSprint Backlog'!$K62=F$2), 'ProductSprint Backlog'!$M62, TRUE, 0)</f>
        <v>0</v>
      </c>
      <c r="G62" s="4" cm="1">
        <f t="array" ref="G62">_xlfn.IFS('ProductSprint Backlog'!$M62="", "", AND('ProductSprint Backlog'!$L62&gt;G$2,'ProductSprint Backlog'!$K62&lt;=G$2), 'ProductSprint Backlog'!$M62 / MAX(1, 'ProductSprint Backlog'!$L62-'ProductSprint Backlog'!$K62), AND('ProductSprint Backlog'!$L62=G$2,'ProductSprint Backlog'!$K62=G$2), 'ProductSprint Backlog'!$M62, TRUE, 0)</f>
        <v>0</v>
      </c>
      <c r="H62" s="4" cm="1">
        <f t="array" ref="H62">_xlfn.IFS('ProductSprint Backlog'!$M62="", "", AND('ProductSprint Backlog'!$L62&gt;H$2,'ProductSprint Backlog'!$K62&lt;=H$2), 'ProductSprint Backlog'!$M62 / MAX(1, 'ProductSprint Backlog'!$L62-'ProductSprint Backlog'!$K62), AND('ProductSprint Backlog'!$L62=H$2,'ProductSprint Backlog'!$K62=H$2), 'ProductSprint Backlog'!$M62, TRUE, 0)</f>
        <v>0</v>
      </c>
      <c r="I62" s="4" cm="1">
        <f t="array" ref="I62">_xlfn.IFS('ProductSprint Backlog'!$M62="", "", AND('ProductSprint Backlog'!$L62&gt;I$2,'ProductSprint Backlog'!$K62&lt;=I$2), 'ProductSprint Backlog'!$M62 / MAX(1, 'ProductSprint Backlog'!$L62-'ProductSprint Backlog'!$K62), AND('ProductSprint Backlog'!$L62=I$2,'ProductSprint Backlog'!$K62=I$2), 'ProductSprint Backlog'!$M62, TRUE, 0)</f>
        <v>0</v>
      </c>
      <c r="J62" s="4" cm="1">
        <f t="array" ref="J62">_xlfn.IFS('ProductSprint Backlog'!$M62="", "", AND('ProductSprint Backlog'!$L62&gt;J$2,'ProductSprint Backlog'!$K62&lt;=J$2), 'ProductSprint Backlog'!$M62 / MAX(1, 'ProductSprint Backlog'!$L62-'ProductSprint Backlog'!$K62), AND('ProductSprint Backlog'!$L62=J$2,'ProductSprint Backlog'!$K62=J$2), 'ProductSprint Backlog'!$M62, TRUE, 0)</f>
        <v>0</v>
      </c>
      <c r="K62" s="4" cm="1">
        <f t="array" ref="K62">_xlfn.IFS('ProductSprint Backlog'!$M62="", "", AND('ProductSprint Backlog'!$L62&gt;K$2,'ProductSprint Backlog'!$K62&lt;=K$2), 'ProductSprint Backlog'!$M62 / MAX(1, 'ProductSprint Backlog'!$L62-'ProductSprint Backlog'!$K62), AND('ProductSprint Backlog'!$L62=K$2,'ProductSprint Backlog'!$K62=K$2), 'ProductSprint Backlog'!$M62, TRUE, 0)</f>
        <v>2</v>
      </c>
      <c r="L62" s="4" cm="1">
        <f t="array" ref="L62">_xlfn.IFS('ProductSprint Backlog'!$M62="", "", AND('ProductSprint Backlog'!$L62&gt;L$2,'ProductSprint Backlog'!$K62&lt;=L$2), 'ProductSprint Backlog'!$M62 / MAX(1, 'ProductSprint Backlog'!$L62-'ProductSprint Backlog'!$K62), AND('ProductSprint Backlog'!$L62=L$2,'ProductSprint Backlog'!$K62=L$2), 'ProductSprint Backlog'!$M62, TRUE, 0)</f>
        <v>0</v>
      </c>
      <c r="M62" s="4" cm="1">
        <f t="array" ref="M62">_xlfn.IFS('ProductSprint Backlog'!$M62="", "", AND('ProductSprint Backlog'!$L62&gt;M$2,'ProductSprint Backlog'!$K62&lt;=M$2), 'ProductSprint Backlog'!$M62 / MAX(1, 'ProductSprint Backlog'!$L62-'ProductSprint Backlog'!$K62), AND('ProductSprint Backlog'!$L62=M$2,'ProductSprint Backlog'!$K62=M$2), 'ProductSprint Backlog'!$M62, TRUE, 0)</f>
        <v>0</v>
      </c>
      <c r="N62" s="4" cm="1">
        <f t="array" ref="N62">_xlfn.IFS('ProductSprint Backlog'!$M62="", "", AND('ProductSprint Backlog'!$L62&gt;N$2,'ProductSprint Backlog'!$K62&lt;=N$2), 'ProductSprint Backlog'!$M62 / MAX(1, 'ProductSprint Backlog'!$L62-'ProductSprint Backlog'!$K62), AND('ProductSprint Backlog'!$L62=N$2,'ProductSprint Backlog'!$K62=N$2), 'ProductSprint Backlog'!$M62, TRUE, 0)</f>
        <v>0</v>
      </c>
      <c r="O62" s="4" cm="1">
        <f t="array" ref="O62">_xlfn.IFS('ProductSprint Backlog'!$M62="", "", AND('ProductSprint Backlog'!$L62&gt;O$2,'ProductSprint Backlog'!$K62&lt;=O$2), 'ProductSprint Backlog'!$M62 / MAX(1, 'ProductSprint Backlog'!$L62-'ProductSprint Backlog'!$K62), AND('ProductSprint Backlog'!$L62=O$2,'ProductSprint Backlog'!$K62=O$2), 'ProductSprint Backlog'!$M62, TRUE, 0)</f>
        <v>0</v>
      </c>
      <c r="P62" s="4" cm="1">
        <f t="array" ref="P62">_xlfn.IFS('ProductSprint Backlog'!$M62="", "", AND('ProductSprint Backlog'!$L62&gt;P$2,'ProductSprint Backlog'!$K62&lt;=P$2), 'ProductSprint Backlog'!$M62 / MAX(1, 'ProductSprint Backlog'!$L62-'ProductSprint Backlog'!$K62), AND('ProductSprint Backlog'!$L62=P$2,'ProductSprint Backlog'!$K62=P$2), 'ProductSprint Backlog'!$M62, TRUE, 0)</f>
        <v>0</v>
      </c>
    </row>
    <row r="63" spans="2:16" x14ac:dyDescent="0.2">
      <c r="B63" s="4" cm="1">
        <f t="array" ref="B63">_xlfn.IFS('ProductSprint Backlog'!$M63="", "", AND('ProductSprint Backlog'!$L63&gt;B$2,'ProductSprint Backlog'!$K63&lt;=B$2), 'ProductSprint Backlog'!$M63 / MAX(1, 'ProductSprint Backlog'!$L63-'ProductSprint Backlog'!$K63), AND('ProductSprint Backlog'!$L63=B$2,'ProductSprint Backlog'!$K63=B$2), 'ProductSprint Backlog'!$M63, TRUE, 0)</f>
        <v>0</v>
      </c>
      <c r="C63" s="4" cm="1">
        <f t="array" ref="C63">_xlfn.IFS('ProductSprint Backlog'!$M63="", "", AND('ProductSprint Backlog'!$L63&gt;C$2,'ProductSprint Backlog'!$K63&lt;=C$2), 'ProductSprint Backlog'!$M63 / MAX(1, 'ProductSprint Backlog'!$L63-'ProductSprint Backlog'!$K63), AND('ProductSprint Backlog'!$L63=C$2,'ProductSprint Backlog'!$K63=C$2), 'ProductSprint Backlog'!$M63, TRUE, 0)</f>
        <v>0</v>
      </c>
      <c r="D63" s="4" cm="1">
        <f t="array" ref="D63">_xlfn.IFS('ProductSprint Backlog'!$M63="", "", AND('ProductSprint Backlog'!$L63&gt;D$2,'ProductSprint Backlog'!$K63&lt;=D$2), 'ProductSprint Backlog'!$M63 / MAX(1, 'ProductSprint Backlog'!$L63-'ProductSprint Backlog'!$K63), AND('ProductSprint Backlog'!$L63=D$2,'ProductSprint Backlog'!$K63=D$2), 'ProductSprint Backlog'!$M63, TRUE, 0)</f>
        <v>0</v>
      </c>
      <c r="E63" s="4" cm="1">
        <f t="array" ref="E63">_xlfn.IFS('ProductSprint Backlog'!$M63="", "", AND('ProductSprint Backlog'!$L63&gt;E$2,'ProductSprint Backlog'!$K63&lt;=E$2), 'ProductSprint Backlog'!$M63 / MAX(1, 'ProductSprint Backlog'!$L63-'ProductSprint Backlog'!$K63), AND('ProductSprint Backlog'!$L63=E$2,'ProductSprint Backlog'!$K63=E$2), 'ProductSprint Backlog'!$M63, TRUE, 0)</f>
        <v>0</v>
      </c>
      <c r="F63" s="4" cm="1">
        <f t="array" ref="F63">_xlfn.IFS('ProductSprint Backlog'!$M63="", "", AND('ProductSprint Backlog'!$L63&gt;F$2,'ProductSprint Backlog'!$K63&lt;=F$2), 'ProductSprint Backlog'!$M63 / MAX(1, 'ProductSprint Backlog'!$L63-'ProductSprint Backlog'!$K63), AND('ProductSprint Backlog'!$L63=F$2,'ProductSprint Backlog'!$K63=F$2), 'ProductSprint Backlog'!$M63, TRUE, 0)</f>
        <v>0</v>
      </c>
      <c r="G63" s="4" cm="1">
        <f t="array" ref="G63">_xlfn.IFS('ProductSprint Backlog'!$M63="", "", AND('ProductSprint Backlog'!$L63&gt;G$2,'ProductSprint Backlog'!$K63&lt;=G$2), 'ProductSprint Backlog'!$M63 / MAX(1, 'ProductSprint Backlog'!$L63-'ProductSprint Backlog'!$K63), AND('ProductSprint Backlog'!$L63=G$2,'ProductSprint Backlog'!$K63=G$2), 'ProductSprint Backlog'!$M63, TRUE, 0)</f>
        <v>0</v>
      </c>
      <c r="H63" s="4" cm="1">
        <f t="array" ref="H63">_xlfn.IFS('ProductSprint Backlog'!$M63="", "", AND('ProductSprint Backlog'!$L63&gt;H$2,'ProductSprint Backlog'!$K63&lt;=H$2), 'ProductSprint Backlog'!$M63 / MAX(1, 'ProductSprint Backlog'!$L63-'ProductSprint Backlog'!$K63), AND('ProductSprint Backlog'!$L63=H$2,'ProductSprint Backlog'!$K63=H$2), 'ProductSprint Backlog'!$M63, TRUE, 0)</f>
        <v>0</v>
      </c>
      <c r="I63" s="4" cm="1">
        <f t="array" ref="I63">_xlfn.IFS('ProductSprint Backlog'!$M63="", "", AND('ProductSprint Backlog'!$L63&gt;I$2,'ProductSprint Backlog'!$K63&lt;=I$2), 'ProductSprint Backlog'!$M63 / MAX(1, 'ProductSprint Backlog'!$L63-'ProductSprint Backlog'!$K63), AND('ProductSprint Backlog'!$L63=I$2,'ProductSprint Backlog'!$K63=I$2), 'ProductSprint Backlog'!$M63, TRUE, 0)</f>
        <v>0</v>
      </c>
      <c r="J63" s="4" cm="1">
        <f t="array" ref="J63">_xlfn.IFS('ProductSprint Backlog'!$M63="", "", AND('ProductSprint Backlog'!$L63&gt;J$2,'ProductSprint Backlog'!$K63&lt;=J$2), 'ProductSprint Backlog'!$M63 / MAX(1, 'ProductSprint Backlog'!$L63-'ProductSprint Backlog'!$K63), AND('ProductSprint Backlog'!$L63=J$2,'ProductSprint Backlog'!$K63=J$2), 'ProductSprint Backlog'!$M63, TRUE, 0)</f>
        <v>0</v>
      </c>
      <c r="K63" s="4" cm="1">
        <f t="array" ref="K63">_xlfn.IFS('ProductSprint Backlog'!$M63="", "", AND('ProductSprint Backlog'!$L63&gt;K$2,'ProductSprint Backlog'!$K63&lt;=K$2), 'ProductSprint Backlog'!$M63 / MAX(1, 'ProductSprint Backlog'!$L63-'ProductSprint Backlog'!$K63), AND('ProductSprint Backlog'!$L63=K$2,'ProductSprint Backlog'!$K63=K$2), 'ProductSprint Backlog'!$M63, TRUE, 0)</f>
        <v>1</v>
      </c>
      <c r="L63" s="4" cm="1">
        <f t="array" ref="L63">_xlfn.IFS('ProductSprint Backlog'!$M63="", "", AND('ProductSprint Backlog'!$L63&gt;L$2,'ProductSprint Backlog'!$K63&lt;=L$2), 'ProductSprint Backlog'!$M63 / MAX(1, 'ProductSprint Backlog'!$L63-'ProductSprint Backlog'!$K63), AND('ProductSprint Backlog'!$L63=L$2,'ProductSprint Backlog'!$K63=L$2), 'ProductSprint Backlog'!$M63, TRUE, 0)</f>
        <v>0</v>
      </c>
      <c r="M63" s="4" cm="1">
        <f t="array" ref="M63">_xlfn.IFS('ProductSprint Backlog'!$M63="", "", AND('ProductSprint Backlog'!$L63&gt;M$2,'ProductSprint Backlog'!$K63&lt;=M$2), 'ProductSprint Backlog'!$M63 / MAX(1, 'ProductSprint Backlog'!$L63-'ProductSprint Backlog'!$K63), AND('ProductSprint Backlog'!$L63=M$2,'ProductSprint Backlog'!$K63=M$2), 'ProductSprint Backlog'!$M63, TRUE, 0)</f>
        <v>0</v>
      </c>
      <c r="N63" s="4" cm="1">
        <f t="array" ref="N63">_xlfn.IFS('ProductSprint Backlog'!$M63="", "", AND('ProductSprint Backlog'!$L63&gt;N$2,'ProductSprint Backlog'!$K63&lt;=N$2), 'ProductSprint Backlog'!$M63 / MAX(1, 'ProductSprint Backlog'!$L63-'ProductSprint Backlog'!$K63), AND('ProductSprint Backlog'!$L63=N$2,'ProductSprint Backlog'!$K63=N$2), 'ProductSprint Backlog'!$M63, TRUE, 0)</f>
        <v>0</v>
      </c>
      <c r="O63" s="4" cm="1">
        <f t="array" ref="O63">_xlfn.IFS('ProductSprint Backlog'!$M63="", "", AND('ProductSprint Backlog'!$L63&gt;O$2,'ProductSprint Backlog'!$K63&lt;=O$2), 'ProductSprint Backlog'!$M63 / MAX(1, 'ProductSprint Backlog'!$L63-'ProductSprint Backlog'!$K63), AND('ProductSprint Backlog'!$L63=O$2,'ProductSprint Backlog'!$K63=O$2), 'ProductSprint Backlog'!$M63, TRUE, 0)</f>
        <v>0</v>
      </c>
      <c r="P63" s="4" cm="1">
        <f t="array" ref="P63">_xlfn.IFS('ProductSprint Backlog'!$M63="", "", AND('ProductSprint Backlog'!$L63&gt;P$2,'ProductSprint Backlog'!$K63&lt;=P$2), 'ProductSprint Backlog'!$M63 / MAX(1, 'ProductSprint Backlog'!$L63-'ProductSprint Backlog'!$K63), AND('ProductSprint Backlog'!$L63=P$2,'ProductSprint Backlog'!$K63=P$2), 'ProductSprint Backlog'!$M63, TRUE, 0)</f>
        <v>0</v>
      </c>
    </row>
    <row r="64" spans="2:16" x14ac:dyDescent="0.2">
      <c r="B64" s="4" cm="1">
        <f t="array" ref="B64">_xlfn.IFS('ProductSprint Backlog'!$M64="", "", AND('ProductSprint Backlog'!$L64&gt;B$2,'ProductSprint Backlog'!$K64&lt;=B$2), 'ProductSprint Backlog'!$M64 / MAX(1, 'ProductSprint Backlog'!$L64-'ProductSprint Backlog'!$K64), AND('ProductSprint Backlog'!$L64=B$2,'ProductSprint Backlog'!$K64=B$2), 'ProductSprint Backlog'!$M64, TRUE, 0)</f>
        <v>0</v>
      </c>
      <c r="C64" s="4" cm="1">
        <f t="array" ref="C64">_xlfn.IFS('ProductSprint Backlog'!$M64="", "", AND('ProductSprint Backlog'!$L64&gt;C$2,'ProductSprint Backlog'!$K64&lt;=C$2), 'ProductSprint Backlog'!$M64 / MAX(1, 'ProductSprint Backlog'!$L64-'ProductSprint Backlog'!$K64), AND('ProductSprint Backlog'!$L64=C$2,'ProductSprint Backlog'!$K64=C$2), 'ProductSprint Backlog'!$M64, TRUE, 0)</f>
        <v>0</v>
      </c>
      <c r="D64" s="4" cm="1">
        <f t="array" ref="D64">_xlfn.IFS('ProductSprint Backlog'!$M64="", "", AND('ProductSprint Backlog'!$L64&gt;D$2,'ProductSprint Backlog'!$K64&lt;=D$2), 'ProductSprint Backlog'!$M64 / MAX(1, 'ProductSprint Backlog'!$L64-'ProductSprint Backlog'!$K64), AND('ProductSprint Backlog'!$L64=D$2,'ProductSprint Backlog'!$K64=D$2), 'ProductSprint Backlog'!$M64, TRUE, 0)</f>
        <v>0</v>
      </c>
      <c r="E64" s="4" cm="1">
        <f t="array" ref="E64">_xlfn.IFS('ProductSprint Backlog'!$M64="", "", AND('ProductSprint Backlog'!$L64&gt;E$2,'ProductSprint Backlog'!$K64&lt;=E$2), 'ProductSprint Backlog'!$M64 / MAX(1, 'ProductSprint Backlog'!$L64-'ProductSprint Backlog'!$K64), AND('ProductSprint Backlog'!$L64=E$2,'ProductSprint Backlog'!$K64=E$2), 'ProductSprint Backlog'!$M64, TRUE, 0)</f>
        <v>0</v>
      </c>
      <c r="F64" s="4" cm="1">
        <f t="array" ref="F64">_xlfn.IFS('ProductSprint Backlog'!$M64="", "", AND('ProductSprint Backlog'!$L64&gt;F$2,'ProductSprint Backlog'!$K64&lt;=F$2), 'ProductSprint Backlog'!$M64 / MAX(1, 'ProductSprint Backlog'!$L64-'ProductSprint Backlog'!$K64), AND('ProductSprint Backlog'!$L64=F$2,'ProductSprint Backlog'!$K64=F$2), 'ProductSprint Backlog'!$M64, TRUE, 0)</f>
        <v>0</v>
      </c>
      <c r="G64" s="4" cm="1">
        <f t="array" ref="G64">_xlfn.IFS('ProductSprint Backlog'!$M64="", "", AND('ProductSprint Backlog'!$L64&gt;G$2,'ProductSprint Backlog'!$K64&lt;=G$2), 'ProductSprint Backlog'!$M64 / MAX(1, 'ProductSprint Backlog'!$L64-'ProductSprint Backlog'!$K64), AND('ProductSprint Backlog'!$L64=G$2,'ProductSprint Backlog'!$K64=G$2), 'ProductSprint Backlog'!$M64, TRUE, 0)</f>
        <v>0</v>
      </c>
      <c r="H64" s="4" cm="1">
        <f t="array" ref="H64">_xlfn.IFS('ProductSprint Backlog'!$M64="", "", AND('ProductSprint Backlog'!$L64&gt;H$2,'ProductSprint Backlog'!$K64&lt;=H$2), 'ProductSprint Backlog'!$M64 / MAX(1, 'ProductSprint Backlog'!$L64-'ProductSprint Backlog'!$K64), AND('ProductSprint Backlog'!$L64=H$2,'ProductSprint Backlog'!$K64=H$2), 'ProductSprint Backlog'!$M64, TRUE, 0)</f>
        <v>0</v>
      </c>
      <c r="I64" s="4" cm="1">
        <f t="array" ref="I64">_xlfn.IFS('ProductSprint Backlog'!$M64="", "", AND('ProductSprint Backlog'!$L64&gt;I$2,'ProductSprint Backlog'!$K64&lt;=I$2), 'ProductSprint Backlog'!$M64 / MAX(1, 'ProductSprint Backlog'!$L64-'ProductSprint Backlog'!$K64), AND('ProductSprint Backlog'!$L64=I$2,'ProductSprint Backlog'!$K64=I$2), 'ProductSprint Backlog'!$M64, TRUE, 0)</f>
        <v>0</v>
      </c>
      <c r="J64" s="4" cm="1">
        <f t="array" ref="J64">_xlfn.IFS('ProductSprint Backlog'!$M64="", "", AND('ProductSprint Backlog'!$L64&gt;J$2,'ProductSprint Backlog'!$K64&lt;=J$2), 'ProductSprint Backlog'!$M64 / MAX(1, 'ProductSprint Backlog'!$L64-'ProductSprint Backlog'!$K64), AND('ProductSprint Backlog'!$L64=J$2,'ProductSprint Backlog'!$K64=J$2), 'ProductSprint Backlog'!$M64, TRUE, 0)</f>
        <v>0</v>
      </c>
      <c r="K64" s="4" cm="1">
        <f t="array" ref="K64">_xlfn.IFS('ProductSprint Backlog'!$M64="", "", AND('ProductSprint Backlog'!$L64&gt;K$2,'ProductSprint Backlog'!$K64&lt;=K$2), 'ProductSprint Backlog'!$M64 / MAX(1, 'ProductSprint Backlog'!$L64-'ProductSprint Backlog'!$K64), AND('ProductSprint Backlog'!$L64=K$2,'ProductSprint Backlog'!$K64=K$2), 'ProductSprint Backlog'!$M64, TRUE, 0)</f>
        <v>0</v>
      </c>
      <c r="L64" s="4" cm="1">
        <f t="array" ref="L64">_xlfn.IFS('ProductSprint Backlog'!$M64="", "", AND('ProductSprint Backlog'!$L64&gt;L$2,'ProductSprint Backlog'!$K64&lt;=L$2), 'ProductSprint Backlog'!$M64 / MAX(1, 'ProductSprint Backlog'!$L64-'ProductSprint Backlog'!$K64), AND('ProductSprint Backlog'!$L64=L$2,'ProductSprint Backlog'!$K64=L$2), 'ProductSprint Backlog'!$M64, TRUE, 0)</f>
        <v>1</v>
      </c>
      <c r="M64" s="4" cm="1">
        <f t="array" ref="M64">_xlfn.IFS('ProductSprint Backlog'!$M64="", "", AND('ProductSprint Backlog'!$L64&gt;M$2,'ProductSprint Backlog'!$K64&lt;=M$2), 'ProductSprint Backlog'!$M64 / MAX(1, 'ProductSprint Backlog'!$L64-'ProductSprint Backlog'!$K64), AND('ProductSprint Backlog'!$L64=M$2,'ProductSprint Backlog'!$K64=M$2), 'ProductSprint Backlog'!$M64, TRUE, 0)</f>
        <v>0</v>
      </c>
      <c r="N64" s="4" cm="1">
        <f t="array" ref="N64">_xlfn.IFS('ProductSprint Backlog'!$M64="", "", AND('ProductSprint Backlog'!$L64&gt;N$2,'ProductSprint Backlog'!$K64&lt;=N$2), 'ProductSprint Backlog'!$M64 / MAX(1, 'ProductSprint Backlog'!$L64-'ProductSprint Backlog'!$K64), AND('ProductSprint Backlog'!$L64=N$2,'ProductSprint Backlog'!$K64=N$2), 'ProductSprint Backlog'!$M64, TRUE, 0)</f>
        <v>0</v>
      </c>
      <c r="O64" s="4" cm="1">
        <f t="array" ref="O64">_xlfn.IFS('ProductSprint Backlog'!$M64="", "", AND('ProductSprint Backlog'!$L64&gt;O$2,'ProductSprint Backlog'!$K64&lt;=O$2), 'ProductSprint Backlog'!$M64 / MAX(1, 'ProductSprint Backlog'!$L64-'ProductSprint Backlog'!$K64), AND('ProductSprint Backlog'!$L64=O$2,'ProductSprint Backlog'!$K64=O$2), 'ProductSprint Backlog'!$M64, TRUE, 0)</f>
        <v>0</v>
      </c>
      <c r="P64" s="4" cm="1">
        <f t="array" ref="P64">_xlfn.IFS('ProductSprint Backlog'!$M64="", "", AND('ProductSprint Backlog'!$L64&gt;P$2,'ProductSprint Backlog'!$K64&lt;=P$2), 'ProductSprint Backlog'!$M64 / MAX(1, 'ProductSprint Backlog'!$L64-'ProductSprint Backlog'!$K64), AND('ProductSprint Backlog'!$L64=P$2,'ProductSprint Backlog'!$K64=P$2), 'ProductSprint Backlog'!$M64, TRUE, 0)</f>
        <v>0</v>
      </c>
    </row>
    <row r="65" spans="2:16" x14ac:dyDescent="0.2">
      <c r="B65" s="4" cm="1">
        <f t="array" ref="B65">_xlfn.IFS('ProductSprint Backlog'!$M65="", "", AND('ProductSprint Backlog'!$L65&gt;B$2,'ProductSprint Backlog'!$K65&lt;=B$2), 'ProductSprint Backlog'!$M65 / MAX(1, 'ProductSprint Backlog'!$L65-'ProductSprint Backlog'!$K65), AND('ProductSprint Backlog'!$L65=B$2,'ProductSprint Backlog'!$K65=B$2), 'ProductSprint Backlog'!$M65, TRUE, 0)</f>
        <v>0</v>
      </c>
      <c r="C65" s="4" cm="1">
        <f t="array" ref="C65">_xlfn.IFS('ProductSprint Backlog'!$M65="", "", AND('ProductSprint Backlog'!$L65&gt;C$2,'ProductSprint Backlog'!$K65&lt;=C$2), 'ProductSprint Backlog'!$M65 / MAX(1, 'ProductSprint Backlog'!$L65-'ProductSprint Backlog'!$K65), AND('ProductSprint Backlog'!$L65=C$2,'ProductSprint Backlog'!$K65=C$2), 'ProductSprint Backlog'!$M65, TRUE, 0)</f>
        <v>0</v>
      </c>
      <c r="D65" s="4" cm="1">
        <f t="array" ref="D65">_xlfn.IFS('ProductSprint Backlog'!$M65="", "", AND('ProductSprint Backlog'!$L65&gt;D$2,'ProductSprint Backlog'!$K65&lt;=D$2), 'ProductSprint Backlog'!$M65 / MAX(1, 'ProductSprint Backlog'!$L65-'ProductSprint Backlog'!$K65), AND('ProductSprint Backlog'!$L65=D$2,'ProductSprint Backlog'!$K65=D$2), 'ProductSprint Backlog'!$M65, TRUE, 0)</f>
        <v>0</v>
      </c>
      <c r="E65" s="4" cm="1">
        <f t="array" ref="E65">_xlfn.IFS('ProductSprint Backlog'!$M65="", "", AND('ProductSprint Backlog'!$L65&gt;E$2,'ProductSprint Backlog'!$K65&lt;=E$2), 'ProductSprint Backlog'!$M65 / MAX(1, 'ProductSprint Backlog'!$L65-'ProductSprint Backlog'!$K65), AND('ProductSprint Backlog'!$L65=E$2,'ProductSprint Backlog'!$K65=E$2), 'ProductSprint Backlog'!$M65, TRUE, 0)</f>
        <v>0</v>
      </c>
      <c r="F65" s="4" cm="1">
        <f t="array" ref="F65">_xlfn.IFS('ProductSprint Backlog'!$M65="", "", AND('ProductSprint Backlog'!$L65&gt;F$2,'ProductSprint Backlog'!$K65&lt;=F$2), 'ProductSprint Backlog'!$M65 / MAX(1, 'ProductSprint Backlog'!$L65-'ProductSprint Backlog'!$K65), AND('ProductSprint Backlog'!$L65=F$2,'ProductSprint Backlog'!$K65=F$2), 'ProductSprint Backlog'!$M65, TRUE, 0)</f>
        <v>0</v>
      </c>
      <c r="G65" s="4" cm="1">
        <f t="array" ref="G65">_xlfn.IFS('ProductSprint Backlog'!$M65="", "", AND('ProductSprint Backlog'!$L65&gt;G$2,'ProductSprint Backlog'!$K65&lt;=G$2), 'ProductSprint Backlog'!$M65 / MAX(1, 'ProductSprint Backlog'!$L65-'ProductSprint Backlog'!$K65), AND('ProductSprint Backlog'!$L65=G$2,'ProductSprint Backlog'!$K65=G$2), 'ProductSprint Backlog'!$M65, TRUE, 0)</f>
        <v>0</v>
      </c>
      <c r="H65" s="4" cm="1">
        <f t="array" ref="H65">_xlfn.IFS('ProductSprint Backlog'!$M65="", "", AND('ProductSprint Backlog'!$L65&gt;H$2,'ProductSprint Backlog'!$K65&lt;=H$2), 'ProductSprint Backlog'!$M65 / MAX(1, 'ProductSprint Backlog'!$L65-'ProductSprint Backlog'!$K65), AND('ProductSprint Backlog'!$L65=H$2,'ProductSprint Backlog'!$K65=H$2), 'ProductSprint Backlog'!$M65, TRUE, 0)</f>
        <v>0</v>
      </c>
      <c r="I65" s="4" cm="1">
        <f t="array" ref="I65">_xlfn.IFS('ProductSprint Backlog'!$M65="", "", AND('ProductSprint Backlog'!$L65&gt;I$2,'ProductSprint Backlog'!$K65&lt;=I$2), 'ProductSprint Backlog'!$M65 / MAX(1, 'ProductSprint Backlog'!$L65-'ProductSprint Backlog'!$K65), AND('ProductSprint Backlog'!$L65=I$2,'ProductSprint Backlog'!$K65=I$2), 'ProductSprint Backlog'!$M65, TRUE, 0)</f>
        <v>0</v>
      </c>
      <c r="J65" s="4" cm="1">
        <f t="array" ref="J65">_xlfn.IFS('ProductSprint Backlog'!$M65="", "", AND('ProductSprint Backlog'!$L65&gt;J$2,'ProductSprint Backlog'!$K65&lt;=J$2), 'ProductSprint Backlog'!$M65 / MAX(1, 'ProductSprint Backlog'!$L65-'ProductSprint Backlog'!$K65), AND('ProductSprint Backlog'!$L65=J$2,'ProductSprint Backlog'!$K65=J$2), 'ProductSprint Backlog'!$M65, TRUE, 0)</f>
        <v>0</v>
      </c>
      <c r="K65" s="4" cm="1">
        <f t="array" ref="K65">_xlfn.IFS('ProductSprint Backlog'!$M65="", "", AND('ProductSprint Backlog'!$L65&gt;K$2,'ProductSprint Backlog'!$K65&lt;=K$2), 'ProductSprint Backlog'!$M65 / MAX(1, 'ProductSprint Backlog'!$L65-'ProductSprint Backlog'!$K65), AND('ProductSprint Backlog'!$L65=K$2,'ProductSprint Backlog'!$K65=K$2), 'ProductSprint Backlog'!$M65, TRUE, 0)</f>
        <v>0</v>
      </c>
      <c r="L65" s="4" cm="1">
        <f t="array" ref="L65">_xlfn.IFS('ProductSprint Backlog'!$M65="", "", AND('ProductSprint Backlog'!$L65&gt;L$2,'ProductSprint Backlog'!$K65&lt;=L$2), 'ProductSprint Backlog'!$M65 / MAX(1, 'ProductSprint Backlog'!$L65-'ProductSprint Backlog'!$K65), AND('ProductSprint Backlog'!$L65=L$2,'ProductSprint Backlog'!$K65=L$2), 'ProductSprint Backlog'!$M65, TRUE, 0)</f>
        <v>1</v>
      </c>
      <c r="M65" s="4" cm="1">
        <f t="array" ref="M65">_xlfn.IFS('ProductSprint Backlog'!$M65="", "", AND('ProductSprint Backlog'!$L65&gt;M$2,'ProductSprint Backlog'!$K65&lt;=M$2), 'ProductSprint Backlog'!$M65 / MAX(1, 'ProductSprint Backlog'!$L65-'ProductSprint Backlog'!$K65), AND('ProductSprint Backlog'!$L65=M$2,'ProductSprint Backlog'!$K65=M$2), 'ProductSprint Backlog'!$M65, TRUE, 0)</f>
        <v>0</v>
      </c>
      <c r="N65" s="4" cm="1">
        <f t="array" ref="N65">_xlfn.IFS('ProductSprint Backlog'!$M65="", "", AND('ProductSprint Backlog'!$L65&gt;N$2,'ProductSprint Backlog'!$K65&lt;=N$2), 'ProductSprint Backlog'!$M65 / MAX(1, 'ProductSprint Backlog'!$L65-'ProductSprint Backlog'!$K65), AND('ProductSprint Backlog'!$L65=N$2,'ProductSprint Backlog'!$K65=N$2), 'ProductSprint Backlog'!$M65, TRUE, 0)</f>
        <v>0</v>
      </c>
      <c r="O65" s="4" cm="1">
        <f t="array" ref="O65">_xlfn.IFS('ProductSprint Backlog'!$M65="", "", AND('ProductSprint Backlog'!$L65&gt;O$2,'ProductSprint Backlog'!$K65&lt;=O$2), 'ProductSprint Backlog'!$M65 / MAX(1, 'ProductSprint Backlog'!$L65-'ProductSprint Backlog'!$K65), AND('ProductSprint Backlog'!$L65=O$2,'ProductSprint Backlog'!$K65=O$2), 'ProductSprint Backlog'!$M65, TRUE, 0)</f>
        <v>0</v>
      </c>
      <c r="P65" s="4" cm="1">
        <f t="array" ref="P65">_xlfn.IFS('ProductSprint Backlog'!$M65="", "", AND('ProductSprint Backlog'!$L65&gt;P$2,'ProductSprint Backlog'!$K65&lt;=P$2), 'ProductSprint Backlog'!$M65 / MAX(1, 'ProductSprint Backlog'!$L65-'ProductSprint Backlog'!$K65), AND('ProductSprint Backlog'!$L65=P$2,'ProductSprint Backlog'!$K65=P$2), 'ProductSprint Backlog'!$M65, TRUE, 0)</f>
        <v>0</v>
      </c>
    </row>
    <row r="66" spans="2:16" x14ac:dyDescent="0.2">
      <c r="B66" s="4" t="str" cm="1">
        <f t="array" ref="B66">_xlfn.IFS('ProductSprint Backlog'!$M66="", "", AND('ProductSprint Backlog'!$L66&gt;B$2,'ProductSprint Backlog'!$K66&lt;=B$2), 'ProductSprint Backlog'!$M66 / MAX(1, 'ProductSprint Backlog'!$L66-'ProductSprint Backlog'!$K66), AND('ProductSprint Backlog'!$L66=B$2,'ProductSprint Backlog'!$K66=B$2), 'ProductSprint Backlog'!$M66, TRUE, 0)</f>
        <v/>
      </c>
      <c r="C66" s="4" t="str" cm="1">
        <f t="array" ref="C66">_xlfn.IFS('ProductSprint Backlog'!$M66="", "", AND('ProductSprint Backlog'!$L66&gt;C$2,'ProductSprint Backlog'!$K66&lt;=C$2), 'ProductSprint Backlog'!$M66 / MAX(1, 'ProductSprint Backlog'!$L66-'ProductSprint Backlog'!$K66), AND('ProductSprint Backlog'!$L66=C$2,'ProductSprint Backlog'!$K66=C$2), 'ProductSprint Backlog'!$M66, TRUE, 0)</f>
        <v/>
      </c>
      <c r="D66" s="4" t="str" cm="1">
        <f t="array" ref="D66">_xlfn.IFS('ProductSprint Backlog'!$M66="", "", AND('ProductSprint Backlog'!$L66&gt;D$2,'ProductSprint Backlog'!$K66&lt;=D$2), 'ProductSprint Backlog'!$M66 / MAX(1, 'ProductSprint Backlog'!$L66-'ProductSprint Backlog'!$K66), AND('ProductSprint Backlog'!$L66=D$2,'ProductSprint Backlog'!$K66=D$2), 'ProductSprint Backlog'!$M66, TRUE, 0)</f>
        <v/>
      </c>
      <c r="E66" s="4" t="str" cm="1">
        <f t="array" ref="E66">_xlfn.IFS('ProductSprint Backlog'!$M66="", "", AND('ProductSprint Backlog'!$L66&gt;E$2,'ProductSprint Backlog'!$K66&lt;=E$2), 'ProductSprint Backlog'!$M66 / MAX(1, 'ProductSprint Backlog'!$L66-'ProductSprint Backlog'!$K66), AND('ProductSprint Backlog'!$L66=E$2,'ProductSprint Backlog'!$K66=E$2), 'ProductSprint Backlog'!$M66, TRUE, 0)</f>
        <v/>
      </c>
      <c r="F66" s="4" t="str" cm="1">
        <f t="array" ref="F66">_xlfn.IFS('ProductSprint Backlog'!$M66="", "", AND('ProductSprint Backlog'!$L66&gt;F$2,'ProductSprint Backlog'!$K66&lt;=F$2), 'ProductSprint Backlog'!$M66 / MAX(1, 'ProductSprint Backlog'!$L66-'ProductSprint Backlog'!$K66), AND('ProductSprint Backlog'!$L66=F$2,'ProductSprint Backlog'!$K66=F$2), 'ProductSprint Backlog'!$M66, TRUE, 0)</f>
        <v/>
      </c>
      <c r="G66" s="4" t="str" cm="1">
        <f t="array" ref="G66">_xlfn.IFS('ProductSprint Backlog'!$M66="", "", AND('ProductSprint Backlog'!$L66&gt;G$2,'ProductSprint Backlog'!$K66&lt;=G$2), 'ProductSprint Backlog'!$M66 / MAX(1, 'ProductSprint Backlog'!$L66-'ProductSprint Backlog'!$K66), AND('ProductSprint Backlog'!$L66=G$2,'ProductSprint Backlog'!$K66=G$2), 'ProductSprint Backlog'!$M66, TRUE, 0)</f>
        <v/>
      </c>
      <c r="H66" s="4" t="str" cm="1">
        <f t="array" ref="H66">_xlfn.IFS('ProductSprint Backlog'!$M66="", "", AND('ProductSprint Backlog'!$L66&gt;H$2,'ProductSprint Backlog'!$K66&lt;=H$2), 'ProductSprint Backlog'!$M66 / MAX(1, 'ProductSprint Backlog'!$L66-'ProductSprint Backlog'!$K66), AND('ProductSprint Backlog'!$L66=H$2,'ProductSprint Backlog'!$K66=H$2), 'ProductSprint Backlog'!$M66, TRUE, 0)</f>
        <v/>
      </c>
      <c r="I66" s="4" t="str" cm="1">
        <f t="array" ref="I66">_xlfn.IFS('ProductSprint Backlog'!$M66="", "", AND('ProductSprint Backlog'!$L66&gt;I$2,'ProductSprint Backlog'!$K66&lt;=I$2), 'ProductSprint Backlog'!$M66 / MAX(1, 'ProductSprint Backlog'!$L66-'ProductSprint Backlog'!$K66), AND('ProductSprint Backlog'!$L66=I$2,'ProductSprint Backlog'!$K66=I$2), 'ProductSprint Backlog'!$M66, TRUE, 0)</f>
        <v/>
      </c>
      <c r="J66" s="4" t="str" cm="1">
        <f t="array" ref="J66">_xlfn.IFS('ProductSprint Backlog'!$M66="", "", AND('ProductSprint Backlog'!$L66&gt;J$2,'ProductSprint Backlog'!$K66&lt;=J$2), 'ProductSprint Backlog'!$M66 / MAX(1, 'ProductSprint Backlog'!$L66-'ProductSprint Backlog'!$K66), AND('ProductSprint Backlog'!$L66=J$2,'ProductSprint Backlog'!$K66=J$2), 'ProductSprint Backlog'!$M66, TRUE, 0)</f>
        <v/>
      </c>
      <c r="K66" s="4" t="str" cm="1">
        <f t="array" ref="K66">_xlfn.IFS('ProductSprint Backlog'!$M66="", "", AND('ProductSprint Backlog'!$L66&gt;K$2,'ProductSprint Backlog'!$K66&lt;=K$2), 'ProductSprint Backlog'!$M66 / MAX(1, 'ProductSprint Backlog'!$L66-'ProductSprint Backlog'!$K66), AND('ProductSprint Backlog'!$L66=K$2,'ProductSprint Backlog'!$K66=K$2), 'ProductSprint Backlog'!$M66, TRUE, 0)</f>
        <v/>
      </c>
      <c r="L66" s="4" t="str" cm="1">
        <f t="array" ref="L66">_xlfn.IFS('ProductSprint Backlog'!$M66="", "", AND('ProductSprint Backlog'!$L66&gt;L$2,'ProductSprint Backlog'!$K66&lt;=L$2), 'ProductSprint Backlog'!$M66 / MAX(1, 'ProductSprint Backlog'!$L66-'ProductSprint Backlog'!$K66), AND('ProductSprint Backlog'!$L66=L$2,'ProductSprint Backlog'!$K66=L$2), 'ProductSprint Backlog'!$M66, TRUE, 0)</f>
        <v/>
      </c>
      <c r="M66" s="4" t="str" cm="1">
        <f t="array" ref="M66">_xlfn.IFS('ProductSprint Backlog'!$M66="", "", AND('ProductSprint Backlog'!$L66&gt;M$2,'ProductSprint Backlog'!$K66&lt;=M$2), 'ProductSprint Backlog'!$M66 / MAX(1, 'ProductSprint Backlog'!$L66-'ProductSprint Backlog'!$K66), AND('ProductSprint Backlog'!$L66=M$2,'ProductSprint Backlog'!$K66=M$2), 'ProductSprint Backlog'!$M66, TRUE, 0)</f>
        <v/>
      </c>
      <c r="N66" s="4" t="str" cm="1">
        <f t="array" ref="N66">_xlfn.IFS('ProductSprint Backlog'!$M66="", "", AND('ProductSprint Backlog'!$L66&gt;N$2,'ProductSprint Backlog'!$K66&lt;=N$2), 'ProductSprint Backlog'!$M66 / MAX(1, 'ProductSprint Backlog'!$L66-'ProductSprint Backlog'!$K66), AND('ProductSprint Backlog'!$L66=N$2,'ProductSprint Backlog'!$K66=N$2), 'ProductSprint Backlog'!$M66, TRUE, 0)</f>
        <v/>
      </c>
      <c r="O66" s="4" t="str" cm="1">
        <f t="array" ref="O66">_xlfn.IFS('ProductSprint Backlog'!$M66="", "", AND('ProductSprint Backlog'!$L66&gt;O$2,'ProductSprint Backlog'!$K66&lt;=O$2), 'ProductSprint Backlog'!$M66 / MAX(1, 'ProductSprint Backlog'!$L66-'ProductSprint Backlog'!$K66), AND('ProductSprint Backlog'!$L66=O$2,'ProductSprint Backlog'!$K66=O$2), 'ProductSprint Backlog'!$M66, TRUE, 0)</f>
        <v/>
      </c>
      <c r="P66" s="4" t="str" cm="1">
        <f t="array" ref="P66">_xlfn.IFS('ProductSprint Backlog'!$M66="", "", AND('ProductSprint Backlog'!$L66&gt;P$2,'ProductSprint Backlog'!$K66&lt;=P$2), 'ProductSprint Backlog'!$M66 / MAX(1, 'ProductSprint Backlog'!$L66-'ProductSprint Backlog'!$K66), AND('ProductSprint Backlog'!$L66=P$2,'ProductSprint Backlog'!$K66=P$2), 'ProductSprint Backlog'!$M66, TRUE, 0)</f>
        <v/>
      </c>
    </row>
    <row r="67" spans="2:16" x14ac:dyDescent="0.2">
      <c r="B67" s="4" cm="1">
        <f t="array" ref="B67">_xlfn.IFS('ProductSprint Backlog'!$M67="", "", AND('ProductSprint Backlog'!$L67&gt;B$2,'ProductSprint Backlog'!$K67&lt;=B$2), 'ProductSprint Backlog'!$M67 / MAX(1, 'ProductSprint Backlog'!$L67-'ProductSprint Backlog'!$K67), AND('ProductSprint Backlog'!$L67=B$2,'ProductSprint Backlog'!$K67=B$2), 'ProductSprint Backlog'!$M67, TRUE, 0)</f>
        <v>1</v>
      </c>
      <c r="C67" s="4" cm="1">
        <f t="array" ref="C67">_xlfn.IFS('ProductSprint Backlog'!$M67="", "", AND('ProductSprint Backlog'!$L67&gt;C$2,'ProductSprint Backlog'!$K67&lt;=C$2), 'ProductSprint Backlog'!$M67 / MAX(1, 'ProductSprint Backlog'!$L67-'ProductSprint Backlog'!$K67), AND('ProductSprint Backlog'!$L67=C$2,'ProductSprint Backlog'!$K67=C$2), 'ProductSprint Backlog'!$M67, TRUE, 0)</f>
        <v>1</v>
      </c>
      <c r="D67" s="4" cm="1">
        <f t="array" ref="D67">_xlfn.IFS('ProductSprint Backlog'!$M67="", "", AND('ProductSprint Backlog'!$L67&gt;D$2,'ProductSprint Backlog'!$K67&lt;=D$2), 'ProductSprint Backlog'!$M67 / MAX(1, 'ProductSprint Backlog'!$L67-'ProductSprint Backlog'!$K67), AND('ProductSprint Backlog'!$L67=D$2,'ProductSprint Backlog'!$K67=D$2), 'ProductSprint Backlog'!$M67, TRUE, 0)</f>
        <v>1</v>
      </c>
      <c r="E67" s="4" cm="1">
        <f t="array" ref="E67">_xlfn.IFS('ProductSprint Backlog'!$M67="", "", AND('ProductSprint Backlog'!$L67&gt;E$2,'ProductSprint Backlog'!$K67&lt;=E$2), 'ProductSprint Backlog'!$M67 / MAX(1, 'ProductSprint Backlog'!$L67-'ProductSprint Backlog'!$K67), AND('ProductSprint Backlog'!$L67=E$2,'ProductSprint Backlog'!$K67=E$2), 'ProductSprint Backlog'!$M67, TRUE, 0)</f>
        <v>1</v>
      </c>
      <c r="F67" s="4" cm="1">
        <f t="array" ref="F67">_xlfn.IFS('ProductSprint Backlog'!$M67="", "", AND('ProductSprint Backlog'!$L67&gt;F$2,'ProductSprint Backlog'!$K67&lt;=F$2), 'ProductSprint Backlog'!$M67 / MAX(1, 'ProductSprint Backlog'!$L67-'ProductSprint Backlog'!$K67), AND('ProductSprint Backlog'!$L67=F$2,'ProductSprint Backlog'!$K67=F$2), 'ProductSprint Backlog'!$M67, TRUE, 0)</f>
        <v>1</v>
      </c>
      <c r="G67" s="4" cm="1">
        <f t="array" ref="G67">_xlfn.IFS('ProductSprint Backlog'!$M67="", "", AND('ProductSprint Backlog'!$L67&gt;G$2,'ProductSprint Backlog'!$K67&lt;=G$2), 'ProductSprint Backlog'!$M67 / MAX(1, 'ProductSprint Backlog'!$L67-'ProductSprint Backlog'!$K67), AND('ProductSprint Backlog'!$L67=G$2,'ProductSprint Backlog'!$K67=G$2), 'ProductSprint Backlog'!$M67, TRUE, 0)</f>
        <v>0</v>
      </c>
      <c r="H67" s="4" cm="1">
        <f t="array" ref="H67">_xlfn.IFS('ProductSprint Backlog'!$M67="", "", AND('ProductSprint Backlog'!$L67&gt;H$2,'ProductSprint Backlog'!$K67&lt;=H$2), 'ProductSprint Backlog'!$M67 / MAX(1, 'ProductSprint Backlog'!$L67-'ProductSprint Backlog'!$K67), AND('ProductSprint Backlog'!$L67=H$2,'ProductSprint Backlog'!$K67=H$2), 'ProductSprint Backlog'!$M67, TRUE, 0)</f>
        <v>0</v>
      </c>
      <c r="I67" s="4" cm="1">
        <f t="array" ref="I67">_xlfn.IFS('ProductSprint Backlog'!$M67="", "", AND('ProductSprint Backlog'!$L67&gt;I$2,'ProductSprint Backlog'!$K67&lt;=I$2), 'ProductSprint Backlog'!$M67 / MAX(1, 'ProductSprint Backlog'!$L67-'ProductSprint Backlog'!$K67), AND('ProductSprint Backlog'!$L67=I$2,'ProductSprint Backlog'!$K67=I$2), 'ProductSprint Backlog'!$M67, TRUE, 0)</f>
        <v>0</v>
      </c>
      <c r="J67" s="4" cm="1">
        <f t="array" ref="J67">_xlfn.IFS('ProductSprint Backlog'!$M67="", "", AND('ProductSprint Backlog'!$L67&gt;J$2,'ProductSprint Backlog'!$K67&lt;=J$2), 'ProductSprint Backlog'!$M67 / MAX(1, 'ProductSprint Backlog'!$L67-'ProductSprint Backlog'!$K67), AND('ProductSprint Backlog'!$L67=J$2,'ProductSprint Backlog'!$K67=J$2), 'ProductSprint Backlog'!$M67, TRUE, 0)</f>
        <v>0</v>
      </c>
      <c r="K67" s="4" cm="1">
        <f t="array" ref="K67">_xlfn.IFS('ProductSprint Backlog'!$M67="", "", AND('ProductSprint Backlog'!$L67&gt;K$2,'ProductSprint Backlog'!$K67&lt;=K$2), 'ProductSprint Backlog'!$M67 / MAX(1, 'ProductSprint Backlog'!$L67-'ProductSprint Backlog'!$K67), AND('ProductSprint Backlog'!$L67=K$2,'ProductSprint Backlog'!$K67=K$2), 'ProductSprint Backlog'!$M67, TRUE, 0)</f>
        <v>0</v>
      </c>
      <c r="L67" s="4" cm="1">
        <f t="array" ref="L67">_xlfn.IFS('ProductSprint Backlog'!$M67="", "", AND('ProductSprint Backlog'!$L67&gt;L$2,'ProductSprint Backlog'!$K67&lt;=L$2), 'ProductSprint Backlog'!$M67 / MAX(1, 'ProductSprint Backlog'!$L67-'ProductSprint Backlog'!$K67), AND('ProductSprint Backlog'!$L67=L$2,'ProductSprint Backlog'!$K67=L$2), 'ProductSprint Backlog'!$M67, TRUE, 0)</f>
        <v>0</v>
      </c>
      <c r="M67" s="4" cm="1">
        <f t="array" ref="M67">_xlfn.IFS('ProductSprint Backlog'!$M67="", "", AND('ProductSprint Backlog'!$L67&gt;M$2,'ProductSprint Backlog'!$K67&lt;=M$2), 'ProductSprint Backlog'!$M67 / MAX(1, 'ProductSprint Backlog'!$L67-'ProductSprint Backlog'!$K67), AND('ProductSprint Backlog'!$L67=M$2,'ProductSprint Backlog'!$K67=M$2), 'ProductSprint Backlog'!$M67, TRUE, 0)</f>
        <v>0</v>
      </c>
      <c r="N67" s="4" cm="1">
        <f t="array" ref="N67">_xlfn.IFS('ProductSprint Backlog'!$M67="", "", AND('ProductSprint Backlog'!$L67&gt;N$2,'ProductSprint Backlog'!$K67&lt;=N$2), 'ProductSprint Backlog'!$M67 / MAX(1, 'ProductSprint Backlog'!$L67-'ProductSprint Backlog'!$K67), AND('ProductSprint Backlog'!$L67=N$2,'ProductSprint Backlog'!$K67=N$2), 'ProductSprint Backlog'!$M67, TRUE, 0)</f>
        <v>0</v>
      </c>
      <c r="O67" s="4" cm="1">
        <f t="array" ref="O67">_xlfn.IFS('ProductSprint Backlog'!$M67="", "", AND('ProductSprint Backlog'!$L67&gt;O$2,'ProductSprint Backlog'!$K67&lt;=O$2), 'ProductSprint Backlog'!$M67 / MAX(1, 'ProductSprint Backlog'!$L67-'ProductSprint Backlog'!$K67), AND('ProductSprint Backlog'!$L67=O$2,'ProductSprint Backlog'!$K67=O$2), 'ProductSprint Backlog'!$M67, TRUE, 0)</f>
        <v>0</v>
      </c>
      <c r="P67" s="4" cm="1">
        <f t="array" ref="P67">_xlfn.IFS('ProductSprint Backlog'!$M67="", "", AND('ProductSprint Backlog'!$L67&gt;P$2,'ProductSprint Backlog'!$K67&lt;=P$2), 'ProductSprint Backlog'!$M67 / MAX(1, 'ProductSprint Backlog'!$L67-'ProductSprint Backlog'!$K67), AND('ProductSprint Backlog'!$L67=P$2,'ProductSprint Backlog'!$K67=P$2), 'ProductSprint Backlog'!$M67, TRUE, 0)</f>
        <v>0</v>
      </c>
    </row>
    <row r="68" spans="2:16" x14ac:dyDescent="0.2">
      <c r="B68" s="4" cm="1">
        <f t="array" ref="B68">_xlfn.IFS('ProductSprint Backlog'!$M68="", "", AND('ProductSprint Backlog'!$L68&gt;B$2,'ProductSprint Backlog'!$K68&lt;=B$2), 'ProductSprint Backlog'!$M68 / MAX(1, 'ProductSprint Backlog'!$L68-'ProductSprint Backlog'!$K68), AND('ProductSprint Backlog'!$L68=B$2,'ProductSprint Backlog'!$K68=B$2), 'ProductSprint Backlog'!$M68, TRUE, 0)</f>
        <v>0</v>
      </c>
      <c r="C68" s="4" cm="1">
        <f t="array" ref="C68">_xlfn.IFS('ProductSprint Backlog'!$M68="", "", AND('ProductSprint Backlog'!$L68&gt;C$2,'ProductSprint Backlog'!$K68&lt;=C$2), 'ProductSprint Backlog'!$M68 / MAX(1, 'ProductSprint Backlog'!$L68-'ProductSprint Backlog'!$K68), AND('ProductSprint Backlog'!$L68=C$2,'ProductSprint Backlog'!$K68=C$2), 'ProductSprint Backlog'!$M68, TRUE, 0)</f>
        <v>0</v>
      </c>
      <c r="D68" s="4" cm="1">
        <f t="array" ref="D68">_xlfn.IFS('ProductSprint Backlog'!$M68="", "", AND('ProductSprint Backlog'!$L68&gt;D$2,'ProductSprint Backlog'!$K68&lt;=D$2), 'ProductSprint Backlog'!$M68 / MAX(1, 'ProductSprint Backlog'!$L68-'ProductSprint Backlog'!$K68), AND('ProductSprint Backlog'!$L68=D$2,'ProductSprint Backlog'!$K68=D$2), 'ProductSprint Backlog'!$M68, TRUE, 0)</f>
        <v>0</v>
      </c>
      <c r="E68" s="4" cm="1">
        <f t="array" ref="E68">_xlfn.IFS('ProductSprint Backlog'!$M68="", "", AND('ProductSprint Backlog'!$L68&gt;E$2,'ProductSprint Backlog'!$K68&lt;=E$2), 'ProductSprint Backlog'!$M68 / MAX(1, 'ProductSprint Backlog'!$L68-'ProductSprint Backlog'!$K68), AND('ProductSprint Backlog'!$L68=E$2,'ProductSprint Backlog'!$K68=E$2), 'ProductSprint Backlog'!$M68, TRUE, 0)</f>
        <v>0</v>
      </c>
      <c r="F68" s="4" cm="1">
        <f t="array" ref="F68">_xlfn.IFS('ProductSprint Backlog'!$M68="", "", AND('ProductSprint Backlog'!$L68&gt;F$2,'ProductSprint Backlog'!$K68&lt;=F$2), 'ProductSprint Backlog'!$M68 / MAX(1, 'ProductSprint Backlog'!$L68-'ProductSprint Backlog'!$K68), AND('ProductSprint Backlog'!$L68=F$2,'ProductSprint Backlog'!$K68=F$2), 'ProductSprint Backlog'!$M68, TRUE, 0)</f>
        <v>1.75</v>
      </c>
      <c r="G68" s="4" cm="1">
        <f t="array" ref="G68">_xlfn.IFS('ProductSprint Backlog'!$M68="", "", AND('ProductSprint Backlog'!$L68&gt;G$2,'ProductSprint Backlog'!$K68&lt;=G$2), 'ProductSprint Backlog'!$M68 / MAX(1, 'ProductSprint Backlog'!$L68-'ProductSprint Backlog'!$K68), AND('ProductSprint Backlog'!$L68=G$2,'ProductSprint Backlog'!$K68=G$2), 'ProductSprint Backlog'!$M68, TRUE, 0)</f>
        <v>1.75</v>
      </c>
      <c r="H68" s="4" cm="1">
        <f t="array" ref="H68">_xlfn.IFS('ProductSprint Backlog'!$M68="", "", AND('ProductSprint Backlog'!$L68&gt;H$2,'ProductSprint Backlog'!$K68&lt;=H$2), 'ProductSprint Backlog'!$M68 / MAX(1, 'ProductSprint Backlog'!$L68-'ProductSprint Backlog'!$K68), AND('ProductSprint Backlog'!$L68=H$2,'ProductSprint Backlog'!$K68=H$2), 'ProductSprint Backlog'!$M68, TRUE, 0)</f>
        <v>0</v>
      </c>
      <c r="I68" s="4" cm="1">
        <f t="array" ref="I68">_xlfn.IFS('ProductSprint Backlog'!$M68="", "", AND('ProductSprint Backlog'!$L68&gt;I$2,'ProductSprint Backlog'!$K68&lt;=I$2), 'ProductSprint Backlog'!$M68 / MAX(1, 'ProductSprint Backlog'!$L68-'ProductSprint Backlog'!$K68), AND('ProductSprint Backlog'!$L68=I$2,'ProductSprint Backlog'!$K68=I$2), 'ProductSprint Backlog'!$M68, TRUE, 0)</f>
        <v>0</v>
      </c>
      <c r="J68" s="4" cm="1">
        <f t="array" ref="J68">_xlfn.IFS('ProductSprint Backlog'!$M68="", "", AND('ProductSprint Backlog'!$L68&gt;J$2,'ProductSprint Backlog'!$K68&lt;=J$2), 'ProductSprint Backlog'!$M68 / MAX(1, 'ProductSprint Backlog'!$L68-'ProductSprint Backlog'!$K68), AND('ProductSprint Backlog'!$L68=J$2,'ProductSprint Backlog'!$K68=J$2), 'ProductSprint Backlog'!$M68, TRUE, 0)</f>
        <v>0</v>
      </c>
      <c r="K68" s="4" cm="1">
        <f t="array" ref="K68">_xlfn.IFS('ProductSprint Backlog'!$M68="", "", AND('ProductSprint Backlog'!$L68&gt;K$2,'ProductSprint Backlog'!$K68&lt;=K$2), 'ProductSprint Backlog'!$M68 / MAX(1, 'ProductSprint Backlog'!$L68-'ProductSprint Backlog'!$K68), AND('ProductSprint Backlog'!$L68=K$2,'ProductSprint Backlog'!$K68=K$2), 'ProductSprint Backlog'!$M68, TRUE, 0)</f>
        <v>0</v>
      </c>
      <c r="L68" s="4" cm="1">
        <f t="array" ref="L68">_xlfn.IFS('ProductSprint Backlog'!$M68="", "", AND('ProductSprint Backlog'!$L68&gt;L$2,'ProductSprint Backlog'!$K68&lt;=L$2), 'ProductSprint Backlog'!$M68 / MAX(1, 'ProductSprint Backlog'!$L68-'ProductSprint Backlog'!$K68), AND('ProductSprint Backlog'!$L68=L$2,'ProductSprint Backlog'!$K68=L$2), 'ProductSprint Backlog'!$M68, TRUE, 0)</f>
        <v>0</v>
      </c>
      <c r="M68" s="4" cm="1">
        <f t="array" ref="M68">_xlfn.IFS('ProductSprint Backlog'!$M68="", "", AND('ProductSprint Backlog'!$L68&gt;M$2,'ProductSprint Backlog'!$K68&lt;=M$2), 'ProductSprint Backlog'!$M68 / MAX(1, 'ProductSprint Backlog'!$L68-'ProductSprint Backlog'!$K68), AND('ProductSprint Backlog'!$L68=M$2,'ProductSprint Backlog'!$K68=M$2), 'ProductSprint Backlog'!$M68, TRUE, 0)</f>
        <v>0</v>
      </c>
      <c r="N68" s="4" cm="1">
        <f t="array" ref="N68">_xlfn.IFS('ProductSprint Backlog'!$M68="", "", AND('ProductSprint Backlog'!$L68&gt;N$2,'ProductSprint Backlog'!$K68&lt;=N$2), 'ProductSprint Backlog'!$M68 / MAX(1, 'ProductSprint Backlog'!$L68-'ProductSprint Backlog'!$K68), AND('ProductSprint Backlog'!$L68=N$2,'ProductSprint Backlog'!$K68=N$2), 'ProductSprint Backlog'!$M68, TRUE, 0)</f>
        <v>0</v>
      </c>
      <c r="O68" s="4" cm="1">
        <f t="array" ref="O68">_xlfn.IFS('ProductSprint Backlog'!$M68="", "", AND('ProductSprint Backlog'!$L68&gt;O$2,'ProductSprint Backlog'!$K68&lt;=O$2), 'ProductSprint Backlog'!$M68 / MAX(1, 'ProductSprint Backlog'!$L68-'ProductSprint Backlog'!$K68), AND('ProductSprint Backlog'!$L68=O$2,'ProductSprint Backlog'!$K68=O$2), 'ProductSprint Backlog'!$M68, TRUE, 0)</f>
        <v>0</v>
      </c>
      <c r="P68" s="4" cm="1">
        <f t="array" ref="P68">_xlfn.IFS('ProductSprint Backlog'!$M68="", "", AND('ProductSprint Backlog'!$L68&gt;P$2,'ProductSprint Backlog'!$K68&lt;=P$2), 'ProductSprint Backlog'!$M68 / MAX(1, 'ProductSprint Backlog'!$L68-'ProductSprint Backlog'!$K68), AND('ProductSprint Backlog'!$L68=P$2,'ProductSprint Backlog'!$K68=P$2), 'ProductSprint Backlog'!$M68, TRUE, 0)</f>
        <v>0</v>
      </c>
    </row>
    <row r="69" spans="2:16" x14ac:dyDescent="0.2">
      <c r="B69" s="4" cm="1">
        <f t="array" ref="B69">_xlfn.IFS('ProductSprint Backlog'!$M69="", "", AND('ProductSprint Backlog'!$L69&gt;B$2,'ProductSprint Backlog'!$K69&lt;=B$2), 'ProductSprint Backlog'!$M69 / MAX(1, 'ProductSprint Backlog'!$L69-'ProductSprint Backlog'!$K69), AND('ProductSprint Backlog'!$L69=B$2,'ProductSprint Backlog'!$K69=B$2), 'ProductSprint Backlog'!$M69, TRUE, 0)</f>
        <v>0</v>
      </c>
      <c r="C69" s="4" cm="1">
        <f t="array" ref="C69">_xlfn.IFS('ProductSprint Backlog'!$M69="", "", AND('ProductSprint Backlog'!$L69&gt;C$2,'ProductSprint Backlog'!$K69&lt;=C$2), 'ProductSprint Backlog'!$M69 / MAX(1, 'ProductSprint Backlog'!$L69-'ProductSprint Backlog'!$K69), AND('ProductSprint Backlog'!$L69=C$2,'ProductSprint Backlog'!$K69=C$2), 'ProductSprint Backlog'!$M69, TRUE, 0)</f>
        <v>0</v>
      </c>
      <c r="D69" s="4" cm="1">
        <f t="array" ref="D69">_xlfn.IFS('ProductSprint Backlog'!$M69="", "", AND('ProductSprint Backlog'!$L69&gt;D$2,'ProductSprint Backlog'!$K69&lt;=D$2), 'ProductSprint Backlog'!$M69 / MAX(1, 'ProductSprint Backlog'!$L69-'ProductSprint Backlog'!$K69), AND('ProductSprint Backlog'!$L69=D$2,'ProductSprint Backlog'!$K69=D$2), 'ProductSprint Backlog'!$M69, TRUE, 0)</f>
        <v>0</v>
      </c>
      <c r="E69" s="4" cm="1">
        <f t="array" ref="E69">_xlfn.IFS('ProductSprint Backlog'!$M69="", "", AND('ProductSprint Backlog'!$L69&gt;E$2,'ProductSprint Backlog'!$K69&lt;=E$2), 'ProductSprint Backlog'!$M69 / MAX(1, 'ProductSprint Backlog'!$L69-'ProductSprint Backlog'!$K69), AND('ProductSprint Backlog'!$L69=E$2,'ProductSprint Backlog'!$K69=E$2), 'ProductSprint Backlog'!$M69, TRUE, 0)</f>
        <v>0</v>
      </c>
      <c r="F69" s="4" cm="1">
        <f t="array" ref="F69">_xlfn.IFS('ProductSprint Backlog'!$M69="", "", AND('ProductSprint Backlog'!$L69&gt;F$2,'ProductSprint Backlog'!$K69&lt;=F$2), 'ProductSprint Backlog'!$M69 / MAX(1, 'ProductSprint Backlog'!$L69-'ProductSprint Backlog'!$K69), AND('ProductSprint Backlog'!$L69=F$2,'ProductSprint Backlog'!$K69=F$2), 'ProductSprint Backlog'!$M69, TRUE, 0)</f>
        <v>1.25</v>
      </c>
      <c r="G69" s="4" cm="1">
        <f t="array" ref="G69">_xlfn.IFS('ProductSprint Backlog'!$M69="", "", AND('ProductSprint Backlog'!$L69&gt;G$2,'ProductSprint Backlog'!$K69&lt;=G$2), 'ProductSprint Backlog'!$M69 / MAX(1, 'ProductSprint Backlog'!$L69-'ProductSprint Backlog'!$K69), AND('ProductSprint Backlog'!$L69=G$2,'ProductSprint Backlog'!$K69=G$2), 'ProductSprint Backlog'!$M69, TRUE, 0)</f>
        <v>1.25</v>
      </c>
      <c r="H69" s="4" cm="1">
        <f t="array" ref="H69">_xlfn.IFS('ProductSprint Backlog'!$M69="", "", AND('ProductSprint Backlog'!$L69&gt;H$2,'ProductSprint Backlog'!$K69&lt;=H$2), 'ProductSprint Backlog'!$M69 / MAX(1, 'ProductSprint Backlog'!$L69-'ProductSprint Backlog'!$K69), AND('ProductSprint Backlog'!$L69=H$2,'ProductSprint Backlog'!$K69=H$2), 'ProductSprint Backlog'!$M69, TRUE, 0)</f>
        <v>0</v>
      </c>
      <c r="I69" s="4" cm="1">
        <f t="array" ref="I69">_xlfn.IFS('ProductSprint Backlog'!$M69="", "", AND('ProductSprint Backlog'!$L69&gt;I$2,'ProductSprint Backlog'!$K69&lt;=I$2), 'ProductSprint Backlog'!$M69 / MAX(1, 'ProductSprint Backlog'!$L69-'ProductSprint Backlog'!$K69), AND('ProductSprint Backlog'!$L69=I$2,'ProductSprint Backlog'!$K69=I$2), 'ProductSprint Backlog'!$M69, TRUE, 0)</f>
        <v>0</v>
      </c>
      <c r="J69" s="4" cm="1">
        <f t="array" ref="J69">_xlfn.IFS('ProductSprint Backlog'!$M69="", "", AND('ProductSprint Backlog'!$L69&gt;J$2,'ProductSprint Backlog'!$K69&lt;=J$2), 'ProductSprint Backlog'!$M69 / MAX(1, 'ProductSprint Backlog'!$L69-'ProductSprint Backlog'!$K69), AND('ProductSprint Backlog'!$L69=J$2,'ProductSprint Backlog'!$K69=J$2), 'ProductSprint Backlog'!$M69, TRUE, 0)</f>
        <v>0</v>
      </c>
      <c r="K69" s="4" cm="1">
        <f t="array" ref="K69">_xlfn.IFS('ProductSprint Backlog'!$M69="", "", AND('ProductSprint Backlog'!$L69&gt;K$2,'ProductSprint Backlog'!$K69&lt;=K$2), 'ProductSprint Backlog'!$M69 / MAX(1, 'ProductSprint Backlog'!$L69-'ProductSprint Backlog'!$K69), AND('ProductSprint Backlog'!$L69=K$2,'ProductSprint Backlog'!$K69=K$2), 'ProductSprint Backlog'!$M69, TRUE, 0)</f>
        <v>0</v>
      </c>
      <c r="L69" s="4" cm="1">
        <f t="array" ref="L69">_xlfn.IFS('ProductSprint Backlog'!$M69="", "", AND('ProductSprint Backlog'!$L69&gt;L$2,'ProductSprint Backlog'!$K69&lt;=L$2), 'ProductSprint Backlog'!$M69 / MAX(1, 'ProductSprint Backlog'!$L69-'ProductSprint Backlog'!$K69), AND('ProductSprint Backlog'!$L69=L$2,'ProductSprint Backlog'!$K69=L$2), 'ProductSprint Backlog'!$M69, TRUE, 0)</f>
        <v>0</v>
      </c>
      <c r="M69" s="4" cm="1">
        <f t="array" ref="M69">_xlfn.IFS('ProductSprint Backlog'!$M69="", "", AND('ProductSprint Backlog'!$L69&gt;M$2,'ProductSprint Backlog'!$K69&lt;=M$2), 'ProductSprint Backlog'!$M69 / MAX(1, 'ProductSprint Backlog'!$L69-'ProductSprint Backlog'!$K69), AND('ProductSprint Backlog'!$L69=M$2,'ProductSprint Backlog'!$K69=M$2), 'ProductSprint Backlog'!$M69, TRUE, 0)</f>
        <v>0</v>
      </c>
      <c r="N69" s="4" cm="1">
        <f t="array" ref="N69">_xlfn.IFS('ProductSprint Backlog'!$M69="", "", AND('ProductSprint Backlog'!$L69&gt;N$2,'ProductSprint Backlog'!$K69&lt;=N$2), 'ProductSprint Backlog'!$M69 / MAX(1, 'ProductSprint Backlog'!$L69-'ProductSprint Backlog'!$K69), AND('ProductSprint Backlog'!$L69=N$2,'ProductSprint Backlog'!$K69=N$2), 'ProductSprint Backlog'!$M69, TRUE, 0)</f>
        <v>0</v>
      </c>
      <c r="O69" s="4" cm="1">
        <f t="array" ref="O69">_xlfn.IFS('ProductSprint Backlog'!$M69="", "", AND('ProductSprint Backlog'!$L69&gt;O$2,'ProductSprint Backlog'!$K69&lt;=O$2), 'ProductSprint Backlog'!$M69 / MAX(1, 'ProductSprint Backlog'!$L69-'ProductSprint Backlog'!$K69), AND('ProductSprint Backlog'!$L69=O$2,'ProductSprint Backlog'!$K69=O$2), 'ProductSprint Backlog'!$M69, TRUE, 0)</f>
        <v>0</v>
      </c>
      <c r="P69" s="4" cm="1">
        <f t="array" ref="P69">_xlfn.IFS('ProductSprint Backlog'!$M69="", "", AND('ProductSprint Backlog'!$L69&gt;P$2,'ProductSprint Backlog'!$K69&lt;=P$2), 'ProductSprint Backlog'!$M69 / MAX(1, 'ProductSprint Backlog'!$L69-'ProductSprint Backlog'!$K69), AND('ProductSprint Backlog'!$L69=P$2,'ProductSprint Backlog'!$K69=P$2), 'ProductSprint Backlog'!$M69, TRUE, 0)</f>
        <v>0</v>
      </c>
    </row>
    <row r="70" spans="2:16" x14ac:dyDescent="0.2">
      <c r="B70" s="4" cm="1">
        <f t="array" ref="B70">_xlfn.IFS('ProductSprint Backlog'!$M70="", "", AND('ProductSprint Backlog'!$L70&gt;B$2,'ProductSprint Backlog'!$K70&lt;=B$2), 'ProductSprint Backlog'!$M70 / MAX(1, 'ProductSprint Backlog'!$L70-'ProductSprint Backlog'!$K70), AND('ProductSprint Backlog'!$L70=B$2,'ProductSprint Backlog'!$K70=B$2), 'ProductSprint Backlog'!$M70, TRUE, 0)</f>
        <v>0</v>
      </c>
      <c r="C70" s="4" cm="1">
        <f t="array" ref="C70">_xlfn.IFS('ProductSprint Backlog'!$M70="", "", AND('ProductSprint Backlog'!$L70&gt;C$2,'ProductSprint Backlog'!$K70&lt;=C$2), 'ProductSprint Backlog'!$M70 / MAX(1, 'ProductSprint Backlog'!$L70-'ProductSprint Backlog'!$K70), AND('ProductSprint Backlog'!$L70=C$2,'ProductSprint Backlog'!$K70=C$2), 'ProductSprint Backlog'!$M70, TRUE, 0)</f>
        <v>0</v>
      </c>
      <c r="D70" s="4" cm="1">
        <f t="array" ref="D70">_xlfn.IFS('ProductSprint Backlog'!$M70="", "", AND('ProductSprint Backlog'!$L70&gt;D$2,'ProductSprint Backlog'!$K70&lt;=D$2), 'ProductSprint Backlog'!$M70 / MAX(1, 'ProductSprint Backlog'!$L70-'ProductSprint Backlog'!$K70), AND('ProductSprint Backlog'!$L70=D$2,'ProductSprint Backlog'!$K70=D$2), 'ProductSprint Backlog'!$M70, TRUE, 0)</f>
        <v>0</v>
      </c>
      <c r="E70" s="4" cm="1">
        <f t="array" ref="E70">_xlfn.IFS('ProductSprint Backlog'!$M70="", "", AND('ProductSprint Backlog'!$L70&gt;E$2,'ProductSprint Backlog'!$K70&lt;=E$2), 'ProductSprint Backlog'!$M70 / MAX(1, 'ProductSprint Backlog'!$L70-'ProductSprint Backlog'!$K70), AND('ProductSprint Backlog'!$L70=E$2,'ProductSprint Backlog'!$K70=E$2), 'ProductSprint Backlog'!$M70, TRUE, 0)</f>
        <v>0</v>
      </c>
      <c r="F70" s="4" cm="1">
        <f t="array" ref="F70">_xlfn.IFS('ProductSprint Backlog'!$M70="", "", AND('ProductSprint Backlog'!$L70&gt;F$2,'ProductSprint Backlog'!$K70&lt;=F$2), 'ProductSprint Backlog'!$M70 / MAX(1, 'ProductSprint Backlog'!$L70-'ProductSprint Backlog'!$K70), AND('ProductSprint Backlog'!$L70=F$2,'ProductSprint Backlog'!$K70=F$2), 'ProductSprint Backlog'!$M70, TRUE, 0)</f>
        <v>0</v>
      </c>
      <c r="G70" s="4" cm="1">
        <f t="array" ref="G70">_xlfn.IFS('ProductSprint Backlog'!$M70="", "", AND('ProductSprint Backlog'!$L70&gt;G$2,'ProductSprint Backlog'!$K70&lt;=G$2), 'ProductSprint Backlog'!$M70 / MAX(1, 'ProductSprint Backlog'!$L70-'ProductSprint Backlog'!$K70), AND('ProductSprint Backlog'!$L70=G$2,'ProductSprint Backlog'!$K70=G$2), 'ProductSprint Backlog'!$M70, TRUE, 0)</f>
        <v>0</v>
      </c>
      <c r="H70" s="4" cm="1">
        <f t="array" ref="H70">_xlfn.IFS('ProductSprint Backlog'!$M70="", "", AND('ProductSprint Backlog'!$L70&gt;H$2,'ProductSprint Backlog'!$K70&lt;=H$2), 'ProductSprint Backlog'!$M70 / MAX(1, 'ProductSprint Backlog'!$L70-'ProductSprint Backlog'!$K70), AND('ProductSprint Backlog'!$L70=H$2,'ProductSprint Backlog'!$K70=H$2), 'ProductSprint Backlog'!$M70, TRUE, 0)</f>
        <v>1</v>
      </c>
      <c r="I70" s="4" cm="1">
        <f t="array" ref="I70">_xlfn.IFS('ProductSprint Backlog'!$M70="", "", AND('ProductSprint Backlog'!$L70&gt;I$2,'ProductSprint Backlog'!$K70&lt;=I$2), 'ProductSprint Backlog'!$M70 / MAX(1, 'ProductSprint Backlog'!$L70-'ProductSprint Backlog'!$K70), AND('ProductSprint Backlog'!$L70=I$2,'ProductSprint Backlog'!$K70=I$2), 'ProductSprint Backlog'!$M70, TRUE, 0)</f>
        <v>0</v>
      </c>
      <c r="J70" s="4" cm="1">
        <f t="array" ref="J70">_xlfn.IFS('ProductSprint Backlog'!$M70="", "", AND('ProductSprint Backlog'!$L70&gt;J$2,'ProductSprint Backlog'!$K70&lt;=J$2), 'ProductSprint Backlog'!$M70 / MAX(1, 'ProductSprint Backlog'!$L70-'ProductSprint Backlog'!$K70), AND('ProductSprint Backlog'!$L70=J$2,'ProductSprint Backlog'!$K70=J$2), 'ProductSprint Backlog'!$M70, TRUE, 0)</f>
        <v>0</v>
      </c>
      <c r="K70" s="4" cm="1">
        <f t="array" ref="K70">_xlfn.IFS('ProductSprint Backlog'!$M70="", "", AND('ProductSprint Backlog'!$L70&gt;K$2,'ProductSprint Backlog'!$K70&lt;=K$2), 'ProductSprint Backlog'!$M70 / MAX(1, 'ProductSprint Backlog'!$L70-'ProductSprint Backlog'!$K70), AND('ProductSprint Backlog'!$L70=K$2,'ProductSprint Backlog'!$K70=K$2), 'ProductSprint Backlog'!$M70, TRUE, 0)</f>
        <v>0</v>
      </c>
      <c r="L70" s="4" cm="1">
        <f t="array" ref="L70">_xlfn.IFS('ProductSprint Backlog'!$M70="", "", AND('ProductSprint Backlog'!$L70&gt;L$2,'ProductSprint Backlog'!$K70&lt;=L$2), 'ProductSprint Backlog'!$M70 / MAX(1, 'ProductSprint Backlog'!$L70-'ProductSprint Backlog'!$K70), AND('ProductSprint Backlog'!$L70=L$2,'ProductSprint Backlog'!$K70=L$2), 'ProductSprint Backlog'!$M70, TRUE, 0)</f>
        <v>0</v>
      </c>
      <c r="M70" s="4" cm="1">
        <f t="array" ref="M70">_xlfn.IFS('ProductSprint Backlog'!$M70="", "", AND('ProductSprint Backlog'!$L70&gt;M$2,'ProductSprint Backlog'!$K70&lt;=M$2), 'ProductSprint Backlog'!$M70 / MAX(1, 'ProductSprint Backlog'!$L70-'ProductSprint Backlog'!$K70), AND('ProductSprint Backlog'!$L70=M$2,'ProductSprint Backlog'!$K70=M$2), 'ProductSprint Backlog'!$M70, TRUE, 0)</f>
        <v>0</v>
      </c>
      <c r="N70" s="4" cm="1">
        <f t="array" ref="N70">_xlfn.IFS('ProductSprint Backlog'!$M70="", "", AND('ProductSprint Backlog'!$L70&gt;N$2,'ProductSprint Backlog'!$K70&lt;=N$2), 'ProductSprint Backlog'!$M70 / MAX(1, 'ProductSprint Backlog'!$L70-'ProductSprint Backlog'!$K70), AND('ProductSprint Backlog'!$L70=N$2,'ProductSprint Backlog'!$K70=N$2), 'ProductSprint Backlog'!$M70, TRUE, 0)</f>
        <v>0</v>
      </c>
      <c r="O70" s="4" cm="1">
        <f t="array" ref="O70">_xlfn.IFS('ProductSprint Backlog'!$M70="", "", AND('ProductSprint Backlog'!$L70&gt;O$2,'ProductSprint Backlog'!$K70&lt;=O$2), 'ProductSprint Backlog'!$M70 / MAX(1, 'ProductSprint Backlog'!$L70-'ProductSprint Backlog'!$K70), AND('ProductSprint Backlog'!$L70=O$2,'ProductSprint Backlog'!$K70=O$2), 'ProductSprint Backlog'!$M70, TRUE, 0)</f>
        <v>0</v>
      </c>
      <c r="P70" s="4" cm="1">
        <f t="array" ref="P70">_xlfn.IFS('ProductSprint Backlog'!$M70="", "", AND('ProductSprint Backlog'!$L70&gt;P$2,'ProductSprint Backlog'!$K70&lt;=P$2), 'ProductSprint Backlog'!$M70 / MAX(1, 'ProductSprint Backlog'!$L70-'ProductSprint Backlog'!$K70), AND('ProductSprint Backlog'!$L70=P$2,'ProductSprint Backlog'!$K70=P$2), 'ProductSprint Backlog'!$M70, TRUE, 0)</f>
        <v>0</v>
      </c>
    </row>
    <row r="71" spans="2:16" x14ac:dyDescent="0.2">
      <c r="B71" s="4" cm="1">
        <f t="array" ref="B71">_xlfn.IFS('ProductSprint Backlog'!$M71="", "", AND('ProductSprint Backlog'!$L71&gt;B$2,'ProductSprint Backlog'!$K71&lt;=B$2), 'ProductSprint Backlog'!$M71 / MAX(1, 'ProductSprint Backlog'!$L71-'ProductSprint Backlog'!$K71), AND('ProductSprint Backlog'!$L71=B$2,'ProductSprint Backlog'!$K71=B$2), 'ProductSprint Backlog'!$M71, TRUE, 0)</f>
        <v>0</v>
      </c>
      <c r="C71" s="4" cm="1">
        <f t="array" ref="C71">_xlfn.IFS('ProductSprint Backlog'!$M71="", "", AND('ProductSprint Backlog'!$L71&gt;C$2,'ProductSprint Backlog'!$K71&lt;=C$2), 'ProductSprint Backlog'!$M71 / MAX(1, 'ProductSprint Backlog'!$L71-'ProductSprint Backlog'!$K71), AND('ProductSprint Backlog'!$L71=C$2,'ProductSprint Backlog'!$K71=C$2), 'ProductSprint Backlog'!$M71, TRUE, 0)</f>
        <v>0</v>
      </c>
      <c r="D71" s="4" cm="1">
        <f t="array" ref="D71">_xlfn.IFS('ProductSprint Backlog'!$M71="", "", AND('ProductSprint Backlog'!$L71&gt;D$2,'ProductSprint Backlog'!$K71&lt;=D$2), 'ProductSprint Backlog'!$M71 / MAX(1, 'ProductSprint Backlog'!$L71-'ProductSprint Backlog'!$K71), AND('ProductSprint Backlog'!$L71=D$2,'ProductSprint Backlog'!$K71=D$2), 'ProductSprint Backlog'!$M71, TRUE, 0)</f>
        <v>0</v>
      </c>
      <c r="E71" s="4" cm="1">
        <f t="array" ref="E71">_xlfn.IFS('ProductSprint Backlog'!$M71="", "", AND('ProductSprint Backlog'!$L71&gt;E$2,'ProductSprint Backlog'!$K71&lt;=E$2), 'ProductSprint Backlog'!$M71 / MAX(1, 'ProductSprint Backlog'!$L71-'ProductSprint Backlog'!$K71), AND('ProductSprint Backlog'!$L71=E$2,'ProductSprint Backlog'!$K71=E$2), 'ProductSprint Backlog'!$M71, TRUE, 0)</f>
        <v>0</v>
      </c>
      <c r="F71" s="4" cm="1">
        <f t="array" ref="F71">_xlfn.IFS('ProductSprint Backlog'!$M71="", "", AND('ProductSprint Backlog'!$L71&gt;F$2,'ProductSprint Backlog'!$K71&lt;=F$2), 'ProductSprint Backlog'!$M71 / MAX(1, 'ProductSprint Backlog'!$L71-'ProductSprint Backlog'!$K71), AND('ProductSprint Backlog'!$L71=F$2,'ProductSprint Backlog'!$K71=F$2), 'ProductSprint Backlog'!$M71, TRUE, 0)</f>
        <v>0</v>
      </c>
      <c r="G71" s="4" cm="1">
        <f t="array" ref="G71">_xlfn.IFS('ProductSprint Backlog'!$M71="", "", AND('ProductSprint Backlog'!$L71&gt;G$2,'ProductSprint Backlog'!$K71&lt;=G$2), 'ProductSprint Backlog'!$M71 / MAX(1, 'ProductSprint Backlog'!$L71-'ProductSprint Backlog'!$K71), AND('ProductSprint Backlog'!$L71=G$2,'ProductSprint Backlog'!$K71=G$2), 'ProductSprint Backlog'!$M71, TRUE, 0)</f>
        <v>1.5</v>
      </c>
      <c r="H71" s="4" cm="1">
        <f t="array" ref="H71">_xlfn.IFS('ProductSprint Backlog'!$M71="", "", AND('ProductSprint Backlog'!$L71&gt;H$2,'ProductSprint Backlog'!$K71&lt;=H$2), 'ProductSprint Backlog'!$M71 / MAX(1, 'ProductSprint Backlog'!$L71-'ProductSprint Backlog'!$K71), AND('ProductSprint Backlog'!$L71=H$2,'ProductSprint Backlog'!$K71=H$2), 'ProductSprint Backlog'!$M71, TRUE, 0)</f>
        <v>0</v>
      </c>
      <c r="I71" s="4" cm="1">
        <f t="array" ref="I71">_xlfn.IFS('ProductSprint Backlog'!$M71="", "", AND('ProductSprint Backlog'!$L71&gt;I$2,'ProductSprint Backlog'!$K71&lt;=I$2), 'ProductSprint Backlog'!$M71 / MAX(1, 'ProductSprint Backlog'!$L71-'ProductSprint Backlog'!$K71), AND('ProductSprint Backlog'!$L71=I$2,'ProductSprint Backlog'!$K71=I$2), 'ProductSprint Backlog'!$M71, TRUE, 0)</f>
        <v>0</v>
      </c>
      <c r="J71" s="4" cm="1">
        <f t="array" ref="J71">_xlfn.IFS('ProductSprint Backlog'!$M71="", "", AND('ProductSprint Backlog'!$L71&gt;J$2,'ProductSprint Backlog'!$K71&lt;=J$2), 'ProductSprint Backlog'!$M71 / MAX(1, 'ProductSprint Backlog'!$L71-'ProductSprint Backlog'!$K71), AND('ProductSprint Backlog'!$L71=J$2,'ProductSprint Backlog'!$K71=J$2), 'ProductSprint Backlog'!$M71, TRUE, 0)</f>
        <v>0</v>
      </c>
      <c r="K71" s="4" cm="1">
        <f t="array" ref="K71">_xlfn.IFS('ProductSprint Backlog'!$M71="", "", AND('ProductSprint Backlog'!$L71&gt;K$2,'ProductSprint Backlog'!$K71&lt;=K$2), 'ProductSprint Backlog'!$M71 / MAX(1, 'ProductSprint Backlog'!$L71-'ProductSprint Backlog'!$K71), AND('ProductSprint Backlog'!$L71=K$2,'ProductSprint Backlog'!$K71=K$2), 'ProductSprint Backlog'!$M71, TRUE, 0)</f>
        <v>0</v>
      </c>
      <c r="L71" s="4" cm="1">
        <f t="array" ref="L71">_xlfn.IFS('ProductSprint Backlog'!$M71="", "", AND('ProductSprint Backlog'!$L71&gt;L$2,'ProductSprint Backlog'!$K71&lt;=L$2), 'ProductSprint Backlog'!$M71 / MAX(1, 'ProductSprint Backlog'!$L71-'ProductSprint Backlog'!$K71), AND('ProductSprint Backlog'!$L71=L$2,'ProductSprint Backlog'!$K71=L$2), 'ProductSprint Backlog'!$M71, TRUE, 0)</f>
        <v>0</v>
      </c>
      <c r="M71" s="4" cm="1">
        <f t="array" ref="M71">_xlfn.IFS('ProductSprint Backlog'!$M71="", "", AND('ProductSprint Backlog'!$L71&gt;M$2,'ProductSprint Backlog'!$K71&lt;=M$2), 'ProductSprint Backlog'!$M71 / MAX(1, 'ProductSprint Backlog'!$L71-'ProductSprint Backlog'!$K71), AND('ProductSprint Backlog'!$L71=M$2,'ProductSprint Backlog'!$K71=M$2), 'ProductSprint Backlog'!$M71, TRUE, 0)</f>
        <v>0</v>
      </c>
      <c r="N71" s="4" cm="1">
        <f t="array" ref="N71">_xlfn.IFS('ProductSprint Backlog'!$M71="", "", AND('ProductSprint Backlog'!$L71&gt;N$2,'ProductSprint Backlog'!$K71&lt;=N$2), 'ProductSprint Backlog'!$M71 / MAX(1, 'ProductSprint Backlog'!$L71-'ProductSprint Backlog'!$K71), AND('ProductSprint Backlog'!$L71=N$2,'ProductSprint Backlog'!$K71=N$2), 'ProductSprint Backlog'!$M71, TRUE, 0)</f>
        <v>0</v>
      </c>
      <c r="O71" s="4" cm="1">
        <f t="array" ref="O71">_xlfn.IFS('ProductSprint Backlog'!$M71="", "", AND('ProductSprint Backlog'!$L71&gt;O$2,'ProductSprint Backlog'!$K71&lt;=O$2), 'ProductSprint Backlog'!$M71 / MAX(1, 'ProductSprint Backlog'!$L71-'ProductSprint Backlog'!$K71), AND('ProductSprint Backlog'!$L71=O$2,'ProductSprint Backlog'!$K71=O$2), 'ProductSprint Backlog'!$M71, TRUE, 0)</f>
        <v>0</v>
      </c>
      <c r="P71" s="4" cm="1">
        <f t="array" ref="P71">_xlfn.IFS('ProductSprint Backlog'!$M71="", "", AND('ProductSprint Backlog'!$L71&gt;P$2,'ProductSprint Backlog'!$K71&lt;=P$2), 'ProductSprint Backlog'!$M71 / MAX(1, 'ProductSprint Backlog'!$L71-'ProductSprint Backlog'!$K71), AND('ProductSprint Backlog'!$L71=P$2,'ProductSprint Backlog'!$K71=P$2), 'ProductSprint Backlog'!$M71, TRUE, 0)</f>
        <v>0</v>
      </c>
    </row>
    <row r="72" spans="2:16" x14ac:dyDescent="0.2">
      <c r="B72" s="4" cm="1">
        <f t="array" ref="B72">_xlfn.IFS('ProductSprint Backlog'!$M72="", "", AND('ProductSprint Backlog'!$L72&gt;B$2,'ProductSprint Backlog'!$K72&lt;=B$2), 'ProductSprint Backlog'!$M72 / MAX(1, 'ProductSprint Backlog'!$L72-'ProductSprint Backlog'!$K72), AND('ProductSprint Backlog'!$L72=B$2,'ProductSprint Backlog'!$K72=B$2), 'ProductSprint Backlog'!$M72, TRUE, 0)</f>
        <v>0</v>
      </c>
      <c r="C72" s="4" cm="1">
        <f t="array" ref="C72">_xlfn.IFS('ProductSprint Backlog'!$M72="", "", AND('ProductSprint Backlog'!$L72&gt;C$2,'ProductSprint Backlog'!$K72&lt;=C$2), 'ProductSprint Backlog'!$M72 / MAX(1, 'ProductSprint Backlog'!$L72-'ProductSprint Backlog'!$K72), AND('ProductSprint Backlog'!$L72=C$2,'ProductSprint Backlog'!$K72=C$2), 'ProductSprint Backlog'!$M72, TRUE, 0)</f>
        <v>0</v>
      </c>
      <c r="D72" s="4" cm="1">
        <f t="array" ref="D72">_xlfn.IFS('ProductSprint Backlog'!$M72="", "", AND('ProductSprint Backlog'!$L72&gt;D$2,'ProductSprint Backlog'!$K72&lt;=D$2), 'ProductSprint Backlog'!$M72 / MAX(1, 'ProductSprint Backlog'!$L72-'ProductSprint Backlog'!$K72), AND('ProductSprint Backlog'!$L72=D$2,'ProductSprint Backlog'!$K72=D$2), 'ProductSprint Backlog'!$M72, TRUE, 0)</f>
        <v>0</v>
      </c>
      <c r="E72" s="4" cm="1">
        <f t="array" ref="E72">_xlfn.IFS('ProductSprint Backlog'!$M72="", "", AND('ProductSprint Backlog'!$L72&gt;E$2,'ProductSprint Backlog'!$K72&lt;=E$2), 'ProductSprint Backlog'!$M72 / MAX(1, 'ProductSprint Backlog'!$L72-'ProductSprint Backlog'!$K72), AND('ProductSprint Backlog'!$L72=E$2,'ProductSprint Backlog'!$K72=E$2), 'ProductSprint Backlog'!$M72, TRUE, 0)</f>
        <v>0</v>
      </c>
      <c r="F72" s="4" cm="1">
        <f t="array" ref="F72">_xlfn.IFS('ProductSprint Backlog'!$M72="", "", AND('ProductSprint Backlog'!$L72&gt;F$2,'ProductSprint Backlog'!$K72&lt;=F$2), 'ProductSprint Backlog'!$M72 / MAX(1, 'ProductSprint Backlog'!$L72-'ProductSprint Backlog'!$K72), AND('ProductSprint Backlog'!$L72=F$2,'ProductSprint Backlog'!$K72=F$2), 'ProductSprint Backlog'!$M72, TRUE, 0)</f>
        <v>0</v>
      </c>
      <c r="G72" s="4" cm="1">
        <f t="array" ref="G72">_xlfn.IFS('ProductSprint Backlog'!$M72="", "", AND('ProductSprint Backlog'!$L72&gt;G$2,'ProductSprint Backlog'!$K72&lt;=G$2), 'ProductSprint Backlog'!$M72 / MAX(1, 'ProductSprint Backlog'!$L72-'ProductSprint Backlog'!$K72), AND('ProductSprint Backlog'!$L72=G$2,'ProductSprint Backlog'!$K72=G$2), 'ProductSprint Backlog'!$M72, TRUE, 0)</f>
        <v>0</v>
      </c>
      <c r="H72" s="4" cm="1">
        <f t="array" ref="H72">_xlfn.IFS('ProductSprint Backlog'!$M72="", "", AND('ProductSprint Backlog'!$L72&gt;H$2,'ProductSprint Backlog'!$K72&lt;=H$2), 'ProductSprint Backlog'!$M72 / MAX(1, 'ProductSprint Backlog'!$L72-'ProductSprint Backlog'!$K72), AND('ProductSprint Backlog'!$L72=H$2,'ProductSprint Backlog'!$K72=H$2), 'ProductSprint Backlog'!$M72, TRUE, 0)</f>
        <v>1.5</v>
      </c>
      <c r="I72" s="4" cm="1">
        <f t="array" ref="I72">_xlfn.IFS('ProductSprint Backlog'!$M72="", "", AND('ProductSprint Backlog'!$L72&gt;I$2,'ProductSprint Backlog'!$K72&lt;=I$2), 'ProductSprint Backlog'!$M72 / MAX(1, 'ProductSprint Backlog'!$L72-'ProductSprint Backlog'!$K72), AND('ProductSprint Backlog'!$L72=I$2,'ProductSprint Backlog'!$K72=I$2), 'ProductSprint Backlog'!$M72, TRUE, 0)</f>
        <v>0</v>
      </c>
      <c r="J72" s="4" cm="1">
        <f t="array" ref="J72">_xlfn.IFS('ProductSprint Backlog'!$M72="", "", AND('ProductSprint Backlog'!$L72&gt;J$2,'ProductSprint Backlog'!$K72&lt;=J$2), 'ProductSprint Backlog'!$M72 / MAX(1, 'ProductSprint Backlog'!$L72-'ProductSprint Backlog'!$K72), AND('ProductSprint Backlog'!$L72=J$2,'ProductSprint Backlog'!$K72=J$2), 'ProductSprint Backlog'!$M72, TRUE, 0)</f>
        <v>0</v>
      </c>
      <c r="K72" s="4" cm="1">
        <f t="array" ref="K72">_xlfn.IFS('ProductSprint Backlog'!$M72="", "", AND('ProductSprint Backlog'!$L72&gt;K$2,'ProductSprint Backlog'!$K72&lt;=K$2), 'ProductSprint Backlog'!$M72 / MAX(1, 'ProductSprint Backlog'!$L72-'ProductSprint Backlog'!$K72), AND('ProductSprint Backlog'!$L72=K$2,'ProductSprint Backlog'!$K72=K$2), 'ProductSprint Backlog'!$M72, TRUE, 0)</f>
        <v>0</v>
      </c>
      <c r="L72" s="4" cm="1">
        <f t="array" ref="L72">_xlfn.IFS('ProductSprint Backlog'!$M72="", "", AND('ProductSprint Backlog'!$L72&gt;L$2,'ProductSprint Backlog'!$K72&lt;=L$2), 'ProductSprint Backlog'!$M72 / MAX(1, 'ProductSprint Backlog'!$L72-'ProductSprint Backlog'!$K72), AND('ProductSprint Backlog'!$L72=L$2,'ProductSprint Backlog'!$K72=L$2), 'ProductSprint Backlog'!$M72, TRUE, 0)</f>
        <v>0</v>
      </c>
      <c r="M72" s="4" cm="1">
        <f t="array" ref="M72">_xlfn.IFS('ProductSprint Backlog'!$M72="", "", AND('ProductSprint Backlog'!$L72&gt;M$2,'ProductSprint Backlog'!$K72&lt;=M$2), 'ProductSprint Backlog'!$M72 / MAX(1, 'ProductSprint Backlog'!$L72-'ProductSprint Backlog'!$K72), AND('ProductSprint Backlog'!$L72=M$2,'ProductSprint Backlog'!$K72=M$2), 'ProductSprint Backlog'!$M72, TRUE, 0)</f>
        <v>0</v>
      </c>
      <c r="N72" s="4" cm="1">
        <f t="array" ref="N72">_xlfn.IFS('ProductSprint Backlog'!$M72="", "", AND('ProductSprint Backlog'!$L72&gt;N$2,'ProductSprint Backlog'!$K72&lt;=N$2), 'ProductSprint Backlog'!$M72 / MAX(1, 'ProductSprint Backlog'!$L72-'ProductSprint Backlog'!$K72), AND('ProductSprint Backlog'!$L72=N$2,'ProductSprint Backlog'!$K72=N$2), 'ProductSprint Backlog'!$M72, TRUE, 0)</f>
        <v>0</v>
      </c>
      <c r="O72" s="4" cm="1">
        <f t="array" ref="O72">_xlfn.IFS('ProductSprint Backlog'!$M72="", "", AND('ProductSprint Backlog'!$L72&gt;O$2,'ProductSprint Backlog'!$K72&lt;=O$2), 'ProductSprint Backlog'!$M72 / MAX(1, 'ProductSprint Backlog'!$L72-'ProductSprint Backlog'!$K72), AND('ProductSprint Backlog'!$L72=O$2,'ProductSprint Backlog'!$K72=O$2), 'ProductSprint Backlog'!$M72, TRUE, 0)</f>
        <v>0</v>
      </c>
      <c r="P72" s="4" cm="1">
        <f t="array" ref="P72">_xlfn.IFS('ProductSprint Backlog'!$M72="", "", AND('ProductSprint Backlog'!$L72&gt;P$2,'ProductSprint Backlog'!$K72&lt;=P$2), 'ProductSprint Backlog'!$M72 / MAX(1, 'ProductSprint Backlog'!$L72-'ProductSprint Backlog'!$K72), AND('ProductSprint Backlog'!$L72=P$2,'ProductSprint Backlog'!$K72=P$2), 'ProductSprint Backlog'!$M72, TRUE, 0)</f>
        <v>0</v>
      </c>
    </row>
    <row r="73" spans="2:16" x14ac:dyDescent="0.2">
      <c r="B73" s="4" t="str" cm="1">
        <f t="array" ref="B73">_xlfn.IFS('ProductSprint Backlog'!$M73="", "", AND('ProductSprint Backlog'!$L73&gt;B$2,'ProductSprint Backlog'!$K73&lt;=B$2), 'ProductSprint Backlog'!$M73 / MAX(1, 'ProductSprint Backlog'!$L73-'ProductSprint Backlog'!$K73), AND('ProductSprint Backlog'!$L73=B$2,'ProductSprint Backlog'!$K73=B$2), 'ProductSprint Backlog'!$M73, TRUE, 0)</f>
        <v/>
      </c>
      <c r="C73" s="4" t="str" cm="1">
        <f t="array" ref="C73">_xlfn.IFS('ProductSprint Backlog'!$M73="", "", AND('ProductSprint Backlog'!$L73&gt;C$2,'ProductSprint Backlog'!$K73&lt;=C$2), 'ProductSprint Backlog'!$M73 / MAX(1, 'ProductSprint Backlog'!$L73-'ProductSprint Backlog'!$K73), AND('ProductSprint Backlog'!$L73=C$2,'ProductSprint Backlog'!$K73=C$2), 'ProductSprint Backlog'!$M73, TRUE, 0)</f>
        <v/>
      </c>
      <c r="D73" s="4" t="str" cm="1">
        <f t="array" ref="D73">_xlfn.IFS('ProductSprint Backlog'!$M73="", "", AND('ProductSprint Backlog'!$L73&gt;D$2,'ProductSprint Backlog'!$K73&lt;=D$2), 'ProductSprint Backlog'!$M73 / MAX(1, 'ProductSprint Backlog'!$L73-'ProductSprint Backlog'!$K73), AND('ProductSprint Backlog'!$L73=D$2,'ProductSprint Backlog'!$K73=D$2), 'ProductSprint Backlog'!$M73, TRUE, 0)</f>
        <v/>
      </c>
      <c r="E73" s="4" t="str" cm="1">
        <f t="array" ref="E73">_xlfn.IFS('ProductSprint Backlog'!$M73="", "", AND('ProductSprint Backlog'!$L73&gt;E$2,'ProductSprint Backlog'!$K73&lt;=E$2), 'ProductSprint Backlog'!$M73 / MAX(1, 'ProductSprint Backlog'!$L73-'ProductSprint Backlog'!$K73), AND('ProductSprint Backlog'!$L73=E$2,'ProductSprint Backlog'!$K73=E$2), 'ProductSprint Backlog'!$M73, TRUE, 0)</f>
        <v/>
      </c>
      <c r="F73" s="4" t="str" cm="1">
        <f t="array" ref="F73">_xlfn.IFS('ProductSprint Backlog'!$M73="", "", AND('ProductSprint Backlog'!$L73&gt;F$2,'ProductSprint Backlog'!$K73&lt;=F$2), 'ProductSprint Backlog'!$M73 / MAX(1, 'ProductSprint Backlog'!$L73-'ProductSprint Backlog'!$K73), AND('ProductSprint Backlog'!$L73=F$2,'ProductSprint Backlog'!$K73=F$2), 'ProductSprint Backlog'!$M73, TRUE, 0)</f>
        <v/>
      </c>
      <c r="G73" s="4" t="str" cm="1">
        <f t="array" ref="G73">_xlfn.IFS('ProductSprint Backlog'!$M73="", "", AND('ProductSprint Backlog'!$L73&gt;G$2,'ProductSprint Backlog'!$K73&lt;=G$2), 'ProductSprint Backlog'!$M73 / MAX(1, 'ProductSprint Backlog'!$L73-'ProductSprint Backlog'!$K73), AND('ProductSprint Backlog'!$L73=G$2,'ProductSprint Backlog'!$K73=G$2), 'ProductSprint Backlog'!$M73, TRUE, 0)</f>
        <v/>
      </c>
      <c r="H73" s="4" t="str" cm="1">
        <f t="array" ref="H73">_xlfn.IFS('ProductSprint Backlog'!$M73="", "", AND('ProductSprint Backlog'!$L73&gt;H$2,'ProductSprint Backlog'!$K73&lt;=H$2), 'ProductSprint Backlog'!$M73 / MAX(1, 'ProductSprint Backlog'!$L73-'ProductSprint Backlog'!$K73), AND('ProductSprint Backlog'!$L73=H$2,'ProductSprint Backlog'!$K73=H$2), 'ProductSprint Backlog'!$M73, TRUE, 0)</f>
        <v/>
      </c>
      <c r="I73" s="4" t="str" cm="1">
        <f t="array" ref="I73">_xlfn.IFS('ProductSprint Backlog'!$M73="", "", AND('ProductSprint Backlog'!$L73&gt;I$2,'ProductSprint Backlog'!$K73&lt;=I$2), 'ProductSprint Backlog'!$M73 / MAX(1, 'ProductSprint Backlog'!$L73-'ProductSprint Backlog'!$K73), AND('ProductSprint Backlog'!$L73=I$2,'ProductSprint Backlog'!$K73=I$2), 'ProductSprint Backlog'!$M73, TRUE, 0)</f>
        <v/>
      </c>
      <c r="J73" s="4" t="str" cm="1">
        <f t="array" ref="J73">_xlfn.IFS('ProductSprint Backlog'!$M73="", "", AND('ProductSprint Backlog'!$L73&gt;J$2,'ProductSprint Backlog'!$K73&lt;=J$2), 'ProductSprint Backlog'!$M73 / MAX(1, 'ProductSprint Backlog'!$L73-'ProductSprint Backlog'!$K73), AND('ProductSprint Backlog'!$L73=J$2,'ProductSprint Backlog'!$K73=J$2), 'ProductSprint Backlog'!$M73, TRUE, 0)</f>
        <v/>
      </c>
      <c r="K73" s="4" t="str" cm="1">
        <f t="array" ref="K73">_xlfn.IFS('ProductSprint Backlog'!$M73="", "", AND('ProductSprint Backlog'!$L73&gt;K$2,'ProductSprint Backlog'!$K73&lt;=K$2), 'ProductSprint Backlog'!$M73 / MAX(1, 'ProductSprint Backlog'!$L73-'ProductSprint Backlog'!$K73), AND('ProductSprint Backlog'!$L73=K$2,'ProductSprint Backlog'!$K73=K$2), 'ProductSprint Backlog'!$M73, TRUE, 0)</f>
        <v/>
      </c>
      <c r="L73" s="4" t="str" cm="1">
        <f t="array" ref="L73">_xlfn.IFS('ProductSprint Backlog'!$M73="", "", AND('ProductSprint Backlog'!$L73&gt;L$2,'ProductSprint Backlog'!$K73&lt;=L$2), 'ProductSprint Backlog'!$M73 / MAX(1, 'ProductSprint Backlog'!$L73-'ProductSprint Backlog'!$K73), AND('ProductSprint Backlog'!$L73=L$2,'ProductSprint Backlog'!$K73=L$2), 'ProductSprint Backlog'!$M73, TRUE, 0)</f>
        <v/>
      </c>
      <c r="M73" s="4" t="str" cm="1">
        <f t="array" ref="M73">_xlfn.IFS('ProductSprint Backlog'!$M73="", "", AND('ProductSprint Backlog'!$L73&gt;M$2,'ProductSprint Backlog'!$K73&lt;=M$2), 'ProductSprint Backlog'!$M73 / MAX(1, 'ProductSprint Backlog'!$L73-'ProductSprint Backlog'!$K73), AND('ProductSprint Backlog'!$L73=M$2,'ProductSprint Backlog'!$K73=M$2), 'ProductSprint Backlog'!$M73, TRUE, 0)</f>
        <v/>
      </c>
      <c r="N73" s="4" t="str" cm="1">
        <f t="array" ref="N73">_xlfn.IFS('ProductSprint Backlog'!$M73="", "", AND('ProductSprint Backlog'!$L73&gt;N$2,'ProductSprint Backlog'!$K73&lt;=N$2), 'ProductSprint Backlog'!$M73 / MAX(1, 'ProductSprint Backlog'!$L73-'ProductSprint Backlog'!$K73), AND('ProductSprint Backlog'!$L73=N$2,'ProductSprint Backlog'!$K73=N$2), 'ProductSprint Backlog'!$M73, TRUE, 0)</f>
        <v/>
      </c>
      <c r="O73" s="4" t="str" cm="1">
        <f t="array" ref="O73">_xlfn.IFS('ProductSprint Backlog'!$M73="", "", AND('ProductSprint Backlog'!$L73&gt;O$2,'ProductSprint Backlog'!$K73&lt;=O$2), 'ProductSprint Backlog'!$M73 / MAX(1, 'ProductSprint Backlog'!$L73-'ProductSprint Backlog'!$K73), AND('ProductSprint Backlog'!$L73=O$2,'ProductSprint Backlog'!$K73=O$2), 'ProductSprint Backlog'!$M73, TRUE, 0)</f>
        <v/>
      </c>
      <c r="P73" s="4" t="str" cm="1">
        <f t="array" ref="P73">_xlfn.IFS('ProductSprint Backlog'!$M73="", "", AND('ProductSprint Backlog'!$L73&gt;P$2,'ProductSprint Backlog'!$K73&lt;=P$2), 'ProductSprint Backlog'!$M73 / MAX(1, 'ProductSprint Backlog'!$L73-'ProductSprint Backlog'!$K73), AND('ProductSprint Backlog'!$L73=P$2,'ProductSprint Backlog'!$K73=P$2), 'ProductSprint Backlog'!$M73, TRUE, 0)</f>
        <v/>
      </c>
    </row>
    <row r="74" spans="2:16" x14ac:dyDescent="0.2">
      <c r="B74" s="4" cm="1">
        <f t="array" ref="B74">_xlfn.IFS('ProductSprint Backlog'!$M74="", "", AND('ProductSprint Backlog'!$L74&gt;B$2,'ProductSprint Backlog'!$K74&lt;=B$2), 'ProductSprint Backlog'!$M74 / MAX(1, 'ProductSprint Backlog'!$L74-'ProductSprint Backlog'!$K74), AND('ProductSprint Backlog'!$L74=B$2,'ProductSprint Backlog'!$K74=B$2), 'ProductSprint Backlog'!$M74, TRUE, 0)</f>
        <v>0</v>
      </c>
      <c r="C74" s="4" cm="1">
        <f t="array" ref="C74">_xlfn.IFS('ProductSprint Backlog'!$M74="", "", AND('ProductSprint Backlog'!$L74&gt;C$2,'ProductSprint Backlog'!$K74&lt;=C$2), 'ProductSprint Backlog'!$M74 / MAX(1, 'ProductSprint Backlog'!$L74-'ProductSprint Backlog'!$K74), AND('ProductSprint Backlog'!$L74=C$2,'ProductSprint Backlog'!$K74=C$2), 'ProductSprint Backlog'!$M74, TRUE, 0)</f>
        <v>0</v>
      </c>
      <c r="D74" s="4" cm="1">
        <f t="array" ref="D74">_xlfn.IFS('ProductSprint Backlog'!$M74="", "", AND('ProductSprint Backlog'!$L74&gt;D$2,'ProductSprint Backlog'!$K74&lt;=D$2), 'ProductSprint Backlog'!$M74 / MAX(1, 'ProductSprint Backlog'!$L74-'ProductSprint Backlog'!$K74), AND('ProductSprint Backlog'!$L74=D$2,'ProductSprint Backlog'!$K74=D$2), 'ProductSprint Backlog'!$M74, TRUE, 0)</f>
        <v>0</v>
      </c>
      <c r="E74" s="4" cm="1">
        <f t="array" ref="E74">_xlfn.IFS('ProductSprint Backlog'!$M74="", "", AND('ProductSprint Backlog'!$L74&gt;E$2,'ProductSprint Backlog'!$K74&lt;=E$2), 'ProductSprint Backlog'!$M74 / MAX(1, 'ProductSprint Backlog'!$L74-'ProductSprint Backlog'!$K74), AND('ProductSprint Backlog'!$L74=E$2,'ProductSprint Backlog'!$K74=E$2), 'ProductSprint Backlog'!$M74, TRUE, 0)</f>
        <v>0</v>
      </c>
      <c r="F74" s="4" cm="1">
        <f t="array" ref="F74">_xlfn.IFS('ProductSprint Backlog'!$M74="", "", AND('ProductSprint Backlog'!$L74&gt;F$2,'ProductSprint Backlog'!$K74&lt;=F$2), 'ProductSprint Backlog'!$M74 / MAX(1, 'ProductSprint Backlog'!$L74-'ProductSprint Backlog'!$K74), AND('ProductSprint Backlog'!$L74=F$2,'ProductSprint Backlog'!$K74=F$2), 'ProductSprint Backlog'!$M74, TRUE, 0)</f>
        <v>0</v>
      </c>
      <c r="G74" s="4" cm="1">
        <f t="array" ref="G74">_xlfn.IFS('ProductSprint Backlog'!$M74="", "", AND('ProductSprint Backlog'!$L74&gt;G$2,'ProductSprint Backlog'!$K74&lt;=G$2), 'ProductSprint Backlog'!$M74 / MAX(1, 'ProductSprint Backlog'!$L74-'ProductSprint Backlog'!$K74), AND('ProductSprint Backlog'!$L74=G$2,'ProductSprint Backlog'!$K74=G$2), 'ProductSprint Backlog'!$M74, TRUE, 0)</f>
        <v>0</v>
      </c>
      <c r="H74" s="4" cm="1">
        <f t="array" ref="H74">_xlfn.IFS('ProductSprint Backlog'!$M74="", "", AND('ProductSprint Backlog'!$L74&gt;H$2,'ProductSprint Backlog'!$K74&lt;=H$2), 'ProductSprint Backlog'!$M74 / MAX(1, 'ProductSprint Backlog'!$L74-'ProductSprint Backlog'!$K74), AND('ProductSprint Backlog'!$L74=H$2,'ProductSprint Backlog'!$K74=H$2), 'ProductSprint Backlog'!$M74, TRUE, 0)</f>
        <v>0</v>
      </c>
      <c r="I74" s="4" cm="1">
        <f t="array" ref="I74">_xlfn.IFS('ProductSprint Backlog'!$M74="", "", AND('ProductSprint Backlog'!$L74&gt;I$2,'ProductSprint Backlog'!$K74&lt;=I$2), 'ProductSprint Backlog'!$M74 / MAX(1, 'ProductSprint Backlog'!$L74-'ProductSprint Backlog'!$K74), AND('ProductSprint Backlog'!$L74=I$2,'ProductSprint Backlog'!$K74=I$2), 'ProductSprint Backlog'!$M74, TRUE, 0)</f>
        <v>0</v>
      </c>
      <c r="J74" s="4" cm="1">
        <f t="array" ref="J74">_xlfn.IFS('ProductSprint Backlog'!$M74="", "", AND('ProductSprint Backlog'!$L74&gt;J$2,'ProductSprint Backlog'!$K74&lt;=J$2), 'ProductSprint Backlog'!$M74 / MAX(1, 'ProductSprint Backlog'!$L74-'ProductSprint Backlog'!$K74), AND('ProductSprint Backlog'!$L74=J$2,'ProductSprint Backlog'!$K74=J$2), 'ProductSprint Backlog'!$M74, TRUE, 0)</f>
        <v>0.5</v>
      </c>
      <c r="K74" s="4" cm="1">
        <f t="array" ref="K74">_xlfn.IFS('ProductSprint Backlog'!$M74="", "", AND('ProductSprint Backlog'!$L74&gt;K$2,'ProductSprint Backlog'!$K74&lt;=K$2), 'ProductSprint Backlog'!$M74 / MAX(1, 'ProductSprint Backlog'!$L74-'ProductSprint Backlog'!$K74), AND('ProductSprint Backlog'!$L74=K$2,'ProductSprint Backlog'!$K74=K$2), 'ProductSprint Backlog'!$M74, TRUE, 0)</f>
        <v>0</v>
      </c>
      <c r="L74" s="4" cm="1">
        <f t="array" ref="L74">_xlfn.IFS('ProductSprint Backlog'!$M74="", "", AND('ProductSprint Backlog'!$L74&gt;L$2,'ProductSprint Backlog'!$K74&lt;=L$2), 'ProductSprint Backlog'!$M74 / MAX(1, 'ProductSprint Backlog'!$L74-'ProductSprint Backlog'!$K74), AND('ProductSprint Backlog'!$L74=L$2,'ProductSprint Backlog'!$K74=L$2), 'ProductSprint Backlog'!$M74, TRUE, 0)</f>
        <v>0</v>
      </c>
      <c r="M74" s="4" cm="1">
        <f t="array" ref="M74">_xlfn.IFS('ProductSprint Backlog'!$M74="", "", AND('ProductSprint Backlog'!$L74&gt;M$2,'ProductSprint Backlog'!$K74&lt;=M$2), 'ProductSprint Backlog'!$M74 / MAX(1, 'ProductSprint Backlog'!$L74-'ProductSprint Backlog'!$K74), AND('ProductSprint Backlog'!$L74=M$2,'ProductSprint Backlog'!$K74=M$2), 'ProductSprint Backlog'!$M74, TRUE, 0)</f>
        <v>0</v>
      </c>
      <c r="N74" s="4" cm="1">
        <f t="array" ref="N74">_xlfn.IFS('ProductSprint Backlog'!$M74="", "", AND('ProductSprint Backlog'!$L74&gt;N$2,'ProductSprint Backlog'!$K74&lt;=N$2), 'ProductSprint Backlog'!$M74 / MAX(1, 'ProductSprint Backlog'!$L74-'ProductSprint Backlog'!$K74), AND('ProductSprint Backlog'!$L74=N$2,'ProductSprint Backlog'!$K74=N$2), 'ProductSprint Backlog'!$M74, TRUE, 0)</f>
        <v>0</v>
      </c>
      <c r="O74" s="4" cm="1">
        <f t="array" ref="O74">_xlfn.IFS('ProductSprint Backlog'!$M74="", "", AND('ProductSprint Backlog'!$L74&gt;O$2,'ProductSprint Backlog'!$K74&lt;=O$2), 'ProductSprint Backlog'!$M74 / MAX(1, 'ProductSprint Backlog'!$L74-'ProductSprint Backlog'!$K74), AND('ProductSprint Backlog'!$L74=O$2,'ProductSprint Backlog'!$K74=O$2), 'ProductSprint Backlog'!$M74, TRUE, 0)</f>
        <v>0</v>
      </c>
      <c r="P74" s="4" cm="1">
        <f t="array" ref="P74">_xlfn.IFS('ProductSprint Backlog'!$M74="", "", AND('ProductSprint Backlog'!$L74&gt;P$2,'ProductSprint Backlog'!$K74&lt;=P$2), 'ProductSprint Backlog'!$M74 / MAX(1, 'ProductSprint Backlog'!$L74-'ProductSprint Backlog'!$K74), AND('ProductSprint Backlog'!$L74=P$2,'ProductSprint Backlog'!$K74=P$2), 'ProductSprint Backlog'!$M74, TRUE, 0)</f>
        <v>0</v>
      </c>
    </row>
    <row r="75" spans="2:16" x14ac:dyDescent="0.2">
      <c r="B75" s="4" cm="1">
        <f t="array" ref="B75">_xlfn.IFS('ProductSprint Backlog'!$M75="", "", AND('ProductSprint Backlog'!$L75&gt;B$2,'ProductSprint Backlog'!$K75&lt;=B$2), 'ProductSprint Backlog'!$M75 / MAX(1, 'ProductSprint Backlog'!$L75-'ProductSprint Backlog'!$K75), AND('ProductSprint Backlog'!$L75=B$2,'ProductSprint Backlog'!$K75=B$2), 'ProductSprint Backlog'!$M75, TRUE, 0)</f>
        <v>0</v>
      </c>
      <c r="C75" s="4" cm="1">
        <f t="array" ref="C75">_xlfn.IFS('ProductSprint Backlog'!$M75="", "", AND('ProductSprint Backlog'!$L75&gt;C$2,'ProductSprint Backlog'!$K75&lt;=C$2), 'ProductSprint Backlog'!$M75 / MAX(1, 'ProductSprint Backlog'!$L75-'ProductSprint Backlog'!$K75), AND('ProductSprint Backlog'!$L75=C$2,'ProductSprint Backlog'!$K75=C$2), 'ProductSprint Backlog'!$M75, TRUE, 0)</f>
        <v>0</v>
      </c>
      <c r="D75" s="4" cm="1">
        <f t="array" ref="D75">_xlfn.IFS('ProductSprint Backlog'!$M75="", "", AND('ProductSprint Backlog'!$L75&gt;D$2,'ProductSprint Backlog'!$K75&lt;=D$2), 'ProductSprint Backlog'!$M75 / MAX(1, 'ProductSprint Backlog'!$L75-'ProductSprint Backlog'!$K75), AND('ProductSprint Backlog'!$L75=D$2,'ProductSprint Backlog'!$K75=D$2), 'ProductSprint Backlog'!$M75, TRUE, 0)</f>
        <v>0</v>
      </c>
      <c r="E75" s="4" cm="1">
        <f t="array" ref="E75">_xlfn.IFS('ProductSprint Backlog'!$M75="", "", AND('ProductSprint Backlog'!$L75&gt;E$2,'ProductSprint Backlog'!$K75&lt;=E$2), 'ProductSprint Backlog'!$M75 / MAX(1, 'ProductSprint Backlog'!$L75-'ProductSprint Backlog'!$K75), AND('ProductSprint Backlog'!$L75=E$2,'ProductSprint Backlog'!$K75=E$2), 'ProductSprint Backlog'!$M75, TRUE, 0)</f>
        <v>0</v>
      </c>
      <c r="F75" s="4" cm="1">
        <f t="array" ref="F75">_xlfn.IFS('ProductSprint Backlog'!$M75="", "", AND('ProductSprint Backlog'!$L75&gt;F$2,'ProductSprint Backlog'!$K75&lt;=F$2), 'ProductSprint Backlog'!$M75 / MAX(1, 'ProductSprint Backlog'!$L75-'ProductSprint Backlog'!$K75), AND('ProductSprint Backlog'!$L75=F$2,'ProductSprint Backlog'!$K75=F$2), 'ProductSprint Backlog'!$M75, TRUE, 0)</f>
        <v>0</v>
      </c>
      <c r="G75" s="4" cm="1">
        <f t="array" ref="G75">_xlfn.IFS('ProductSprint Backlog'!$M75="", "", AND('ProductSprint Backlog'!$L75&gt;G$2,'ProductSprint Backlog'!$K75&lt;=G$2), 'ProductSprint Backlog'!$M75 / MAX(1, 'ProductSprint Backlog'!$L75-'ProductSprint Backlog'!$K75), AND('ProductSprint Backlog'!$L75=G$2,'ProductSprint Backlog'!$K75=G$2), 'ProductSprint Backlog'!$M75, TRUE, 0)</f>
        <v>0</v>
      </c>
      <c r="H75" s="4" cm="1">
        <f t="array" ref="H75">_xlfn.IFS('ProductSprint Backlog'!$M75="", "", AND('ProductSprint Backlog'!$L75&gt;H$2,'ProductSprint Backlog'!$K75&lt;=H$2), 'ProductSprint Backlog'!$M75 / MAX(1, 'ProductSprint Backlog'!$L75-'ProductSprint Backlog'!$K75), AND('ProductSprint Backlog'!$L75=H$2,'ProductSprint Backlog'!$K75=H$2), 'ProductSprint Backlog'!$M75, TRUE, 0)</f>
        <v>0</v>
      </c>
      <c r="I75" s="4" cm="1">
        <f t="array" ref="I75">_xlfn.IFS('ProductSprint Backlog'!$M75="", "", AND('ProductSprint Backlog'!$L75&gt;I$2,'ProductSprint Backlog'!$K75&lt;=I$2), 'ProductSprint Backlog'!$M75 / MAX(1, 'ProductSprint Backlog'!$L75-'ProductSprint Backlog'!$K75), AND('ProductSprint Backlog'!$L75=I$2,'ProductSprint Backlog'!$K75=I$2), 'ProductSprint Backlog'!$M75, TRUE, 0)</f>
        <v>0</v>
      </c>
      <c r="J75" s="4" cm="1">
        <f t="array" ref="J75">_xlfn.IFS('ProductSprint Backlog'!$M75="", "", AND('ProductSprint Backlog'!$L75&gt;J$2,'ProductSprint Backlog'!$K75&lt;=J$2), 'ProductSprint Backlog'!$M75 / MAX(1, 'ProductSprint Backlog'!$L75-'ProductSprint Backlog'!$K75), AND('ProductSprint Backlog'!$L75=J$2,'ProductSprint Backlog'!$K75=J$2), 'ProductSprint Backlog'!$M75, TRUE, 0)</f>
        <v>1.5</v>
      </c>
      <c r="K75" s="4" cm="1">
        <f t="array" ref="K75">_xlfn.IFS('ProductSprint Backlog'!$M75="", "", AND('ProductSprint Backlog'!$L75&gt;K$2,'ProductSprint Backlog'!$K75&lt;=K$2), 'ProductSprint Backlog'!$M75 / MAX(1, 'ProductSprint Backlog'!$L75-'ProductSprint Backlog'!$K75), AND('ProductSprint Backlog'!$L75=K$2,'ProductSprint Backlog'!$K75=K$2), 'ProductSprint Backlog'!$M75, TRUE, 0)</f>
        <v>0</v>
      </c>
      <c r="L75" s="4" cm="1">
        <f t="array" ref="L75">_xlfn.IFS('ProductSprint Backlog'!$M75="", "", AND('ProductSprint Backlog'!$L75&gt;L$2,'ProductSprint Backlog'!$K75&lt;=L$2), 'ProductSprint Backlog'!$M75 / MAX(1, 'ProductSprint Backlog'!$L75-'ProductSprint Backlog'!$K75), AND('ProductSprint Backlog'!$L75=L$2,'ProductSprint Backlog'!$K75=L$2), 'ProductSprint Backlog'!$M75, TRUE, 0)</f>
        <v>0</v>
      </c>
      <c r="M75" s="4" cm="1">
        <f t="array" ref="M75">_xlfn.IFS('ProductSprint Backlog'!$M75="", "", AND('ProductSprint Backlog'!$L75&gt;M$2,'ProductSprint Backlog'!$K75&lt;=M$2), 'ProductSprint Backlog'!$M75 / MAX(1, 'ProductSprint Backlog'!$L75-'ProductSprint Backlog'!$K75), AND('ProductSprint Backlog'!$L75=M$2,'ProductSprint Backlog'!$K75=M$2), 'ProductSprint Backlog'!$M75, TRUE, 0)</f>
        <v>0</v>
      </c>
      <c r="N75" s="4" cm="1">
        <f t="array" ref="N75">_xlfn.IFS('ProductSprint Backlog'!$M75="", "", AND('ProductSprint Backlog'!$L75&gt;N$2,'ProductSprint Backlog'!$K75&lt;=N$2), 'ProductSprint Backlog'!$M75 / MAX(1, 'ProductSprint Backlog'!$L75-'ProductSprint Backlog'!$K75), AND('ProductSprint Backlog'!$L75=N$2,'ProductSprint Backlog'!$K75=N$2), 'ProductSprint Backlog'!$M75, TRUE, 0)</f>
        <v>0</v>
      </c>
      <c r="O75" s="4" cm="1">
        <f t="array" ref="O75">_xlfn.IFS('ProductSprint Backlog'!$M75="", "", AND('ProductSprint Backlog'!$L75&gt;O$2,'ProductSprint Backlog'!$K75&lt;=O$2), 'ProductSprint Backlog'!$M75 / MAX(1, 'ProductSprint Backlog'!$L75-'ProductSprint Backlog'!$K75), AND('ProductSprint Backlog'!$L75=O$2,'ProductSprint Backlog'!$K75=O$2), 'ProductSprint Backlog'!$M75, TRUE, 0)</f>
        <v>0</v>
      </c>
      <c r="P75" s="4" cm="1">
        <f t="array" ref="P75">_xlfn.IFS('ProductSprint Backlog'!$M75="", "", AND('ProductSprint Backlog'!$L75&gt;P$2,'ProductSprint Backlog'!$K75&lt;=P$2), 'ProductSprint Backlog'!$M75 / MAX(1, 'ProductSprint Backlog'!$L75-'ProductSprint Backlog'!$K75), AND('ProductSprint Backlog'!$L75=P$2,'ProductSprint Backlog'!$K75=P$2), 'ProductSprint Backlog'!$M75, TRUE, 0)</f>
        <v>0</v>
      </c>
    </row>
    <row r="76" spans="2:16" x14ac:dyDescent="0.2">
      <c r="B76" s="4" cm="1">
        <f t="array" ref="B76">_xlfn.IFS('ProductSprint Backlog'!$M76="", "", AND('ProductSprint Backlog'!$L76&gt;B$2,'ProductSprint Backlog'!$K76&lt;=B$2), 'ProductSprint Backlog'!$M76 / MAX(1, 'ProductSprint Backlog'!$L76-'ProductSprint Backlog'!$K76), AND('ProductSprint Backlog'!$L76=B$2,'ProductSprint Backlog'!$K76=B$2), 'ProductSprint Backlog'!$M76, TRUE, 0)</f>
        <v>0</v>
      </c>
      <c r="C76" s="4" cm="1">
        <f t="array" ref="C76">_xlfn.IFS('ProductSprint Backlog'!$M76="", "", AND('ProductSprint Backlog'!$L76&gt;C$2,'ProductSprint Backlog'!$K76&lt;=C$2), 'ProductSprint Backlog'!$M76 / MAX(1, 'ProductSprint Backlog'!$L76-'ProductSprint Backlog'!$K76), AND('ProductSprint Backlog'!$L76=C$2,'ProductSprint Backlog'!$K76=C$2), 'ProductSprint Backlog'!$M76, TRUE, 0)</f>
        <v>0</v>
      </c>
      <c r="D76" s="4" cm="1">
        <f t="array" ref="D76">_xlfn.IFS('ProductSprint Backlog'!$M76="", "", AND('ProductSprint Backlog'!$L76&gt;D$2,'ProductSprint Backlog'!$K76&lt;=D$2), 'ProductSprint Backlog'!$M76 / MAX(1, 'ProductSprint Backlog'!$L76-'ProductSprint Backlog'!$K76), AND('ProductSprint Backlog'!$L76=D$2,'ProductSprint Backlog'!$K76=D$2), 'ProductSprint Backlog'!$M76, TRUE, 0)</f>
        <v>0</v>
      </c>
      <c r="E76" s="4" cm="1">
        <f t="array" ref="E76">_xlfn.IFS('ProductSprint Backlog'!$M76="", "", AND('ProductSprint Backlog'!$L76&gt;E$2,'ProductSprint Backlog'!$K76&lt;=E$2), 'ProductSprint Backlog'!$M76 / MAX(1, 'ProductSprint Backlog'!$L76-'ProductSprint Backlog'!$K76), AND('ProductSprint Backlog'!$L76=E$2,'ProductSprint Backlog'!$K76=E$2), 'ProductSprint Backlog'!$M76, TRUE, 0)</f>
        <v>0</v>
      </c>
      <c r="F76" s="4" cm="1">
        <f t="array" ref="F76">_xlfn.IFS('ProductSprint Backlog'!$M76="", "", AND('ProductSprint Backlog'!$L76&gt;F$2,'ProductSprint Backlog'!$K76&lt;=F$2), 'ProductSprint Backlog'!$M76 / MAX(1, 'ProductSprint Backlog'!$L76-'ProductSprint Backlog'!$K76), AND('ProductSprint Backlog'!$L76=F$2,'ProductSprint Backlog'!$K76=F$2), 'ProductSprint Backlog'!$M76, TRUE, 0)</f>
        <v>0</v>
      </c>
      <c r="G76" s="4" cm="1">
        <f t="array" ref="G76">_xlfn.IFS('ProductSprint Backlog'!$M76="", "", AND('ProductSprint Backlog'!$L76&gt;G$2,'ProductSprint Backlog'!$K76&lt;=G$2), 'ProductSprint Backlog'!$M76 / MAX(1, 'ProductSprint Backlog'!$L76-'ProductSprint Backlog'!$K76), AND('ProductSprint Backlog'!$L76=G$2,'ProductSprint Backlog'!$K76=G$2), 'ProductSprint Backlog'!$M76, TRUE, 0)</f>
        <v>0</v>
      </c>
      <c r="H76" s="4" cm="1">
        <f t="array" ref="H76">_xlfn.IFS('ProductSprint Backlog'!$M76="", "", AND('ProductSprint Backlog'!$L76&gt;H$2,'ProductSprint Backlog'!$K76&lt;=H$2), 'ProductSprint Backlog'!$M76 / MAX(1, 'ProductSprint Backlog'!$L76-'ProductSprint Backlog'!$K76), AND('ProductSprint Backlog'!$L76=H$2,'ProductSprint Backlog'!$K76=H$2), 'ProductSprint Backlog'!$M76, TRUE, 0)</f>
        <v>0</v>
      </c>
      <c r="I76" s="4" cm="1">
        <f t="array" ref="I76">_xlfn.IFS('ProductSprint Backlog'!$M76="", "", AND('ProductSprint Backlog'!$L76&gt;I$2,'ProductSprint Backlog'!$K76&lt;=I$2), 'ProductSprint Backlog'!$M76 / MAX(1, 'ProductSprint Backlog'!$L76-'ProductSprint Backlog'!$K76), AND('ProductSprint Backlog'!$L76=I$2,'ProductSprint Backlog'!$K76=I$2), 'ProductSprint Backlog'!$M76, TRUE, 0)</f>
        <v>0</v>
      </c>
      <c r="J76" s="4" cm="1">
        <f t="array" ref="J76">_xlfn.IFS('ProductSprint Backlog'!$M76="", "", AND('ProductSprint Backlog'!$L76&gt;J$2,'ProductSprint Backlog'!$K76&lt;=J$2), 'ProductSprint Backlog'!$M76 / MAX(1, 'ProductSprint Backlog'!$L76-'ProductSprint Backlog'!$K76), AND('ProductSprint Backlog'!$L76=J$2,'ProductSprint Backlog'!$K76=J$2), 'ProductSprint Backlog'!$M76, TRUE, 0)</f>
        <v>0.5</v>
      </c>
      <c r="K76" s="4" cm="1">
        <f t="array" ref="K76">_xlfn.IFS('ProductSprint Backlog'!$M76="", "", AND('ProductSprint Backlog'!$L76&gt;K$2,'ProductSprint Backlog'!$K76&lt;=K$2), 'ProductSprint Backlog'!$M76 / MAX(1, 'ProductSprint Backlog'!$L76-'ProductSprint Backlog'!$K76), AND('ProductSprint Backlog'!$L76=K$2,'ProductSprint Backlog'!$K76=K$2), 'ProductSprint Backlog'!$M76, TRUE, 0)</f>
        <v>0</v>
      </c>
      <c r="L76" s="4" cm="1">
        <f t="array" ref="L76">_xlfn.IFS('ProductSprint Backlog'!$M76="", "", AND('ProductSprint Backlog'!$L76&gt;L$2,'ProductSprint Backlog'!$K76&lt;=L$2), 'ProductSprint Backlog'!$M76 / MAX(1, 'ProductSprint Backlog'!$L76-'ProductSprint Backlog'!$K76), AND('ProductSprint Backlog'!$L76=L$2,'ProductSprint Backlog'!$K76=L$2), 'ProductSprint Backlog'!$M76, TRUE, 0)</f>
        <v>0</v>
      </c>
      <c r="M76" s="4" cm="1">
        <f t="array" ref="M76">_xlfn.IFS('ProductSprint Backlog'!$M76="", "", AND('ProductSprint Backlog'!$L76&gt;M$2,'ProductSprint Backlog'!$K76&lt;=M$2), 'ProductSprint Backlog'!$M76 / MAX(1, 'ProductSprint Backlog'!$L76-'ProductSprint Backlog'!$K76), AND('ProductSprint Backlog'!$L76=M$2,'ProductSprint Backlog'!$K76=M$2), 'ProductSprint Backlog'!$M76, TRUE, 0)</f>
        <v>0</v>
      </c>
      <c r="N76" s="4" cm="1">
        <f t="array" ref="N76">_xlfn.IFS('ProductSprint Backlog'!$M76="", "", AND('ProductSprint Backlog'!$L76&gt;N$2,'ProductSprint Backlog'!$K76&lt;=N$2), 'ProductSprint Backlog'!$M76 / MAX(1, 'ProductSprint Backlog'!$L76-'ProductSprint Backlog'!$K76), AND('ProductSprint Backlog'!$L76=N$2,'ProductSprint Backlog'!$K76=N$2), 'ProductSprint Backlog'!$M76, TRUE, 0)</f>
        <v>0</v>
      </c>
      <c r="O76" s="4" cm="1">
        <f t="array" ref="O76">_xlfn.IFS('ProductSprint Backlog'!$M76="", "", AND('ProductSprint Backlog'!$L76&gt;O$2,'ProductSprint Backlog'!$K76&lt;=O$2), 'ProductSprint Backlog'!$M76 / MAX(1, 'ProductSprint Backlog'!$L76-'ProductSprint Backlog'!$K76), AND('ProductSprint Backlog'!$L76=O$2,'ProductSprint Backlog'!$K76=O$2), 'ProductSprint Backlog'!$M76, TRUE, 0)</f>
        <v>0</v>
      </c>
      <c r="P76" s="4" cm="1">
        <f t="array" ref="P76">_xlfn.IFS('ProductSprint Backlog'!$M76="", "", AND('ProductSprint Backlog'!$L76&gt;P$2,'ProductSprint Backlog'!$K76&lt;=P$2), 'ProductSprint Backlog'!$M76 / MAX(1, 'ProductSprint Backlog'!$L76-'ProductSprint Backlog'!$K76), AND('ProductSprint Backlog'!$L76=P$2,'ProductSprint Backlog'!$K76=P$2), 'ProductSprint Backlog'!$M76, TRUE, 0)</f>
        <v>0</v>
      </c>
    </row>
    <row r="77" spans="2:16" x14ac:dyDescent="0.2">
      <c r="B77" s="4" cm="1">
        <f t="array" ref="B77">_xlfn.IFS('ProductSprint Backlog'!$M77="", "", AND('ProductSprint Backlog'!$L77&gt;B$2,'ProductSprint Backlog'!$K77&lt;=B$2), 'ProductSprint Backlog'!$M77 / MAX(1, 'ProductSprint Backlog'!$L77-'ProductSprint Backlog'!$K77), AND('ProductSprint Backlog'!$L77=B$2,'ProductSprint Backlog'!$K77=B$2), 'ProductSprint Backlog'!$M77, TRUE, 0)</f>
        <v>0</v>
      </c>
      <c r="C77" s="4" cm="1">
        <f t="array" ref="C77">_xlfn.IFS('ProductSprint Backlog'!$M77="", "", AND('ProductSprint Backlog'!$L77&gt;C$2,'ProductSprint Backlog'!$K77&lt;=C$2), 'ProductSprint Backlog'!$M77 / MAX(1, 'ProductSprint Backlog'!$L77-'ProductSprint Backlog'!$K77), AND('ProductSprint Backlog'!$L77=C$2,'ProductSprint Backlog'!$K77=C$2), 'ProductSprint Backlog'!$M77, TRUE, 0)</f>
        <v>0</v>
      </c>
      <c r="D77" s="4" cm="1">
        <f t="array" ref="D77">_xlfn.IFS('ProductSprint Backlog'!$M77="", "", AND('ProductSprint Backlog'!$L77&gt;D$2,'ProductSprint Backlog'!$K77&lt;=D$2), 'ProductSprint Backlog'!$M77 / MAX(1, 'ProductSprint Backlog'!$L77-'ProductSprint Backlog'!$K77), AND('ProductSprint Backlog'!$L77=D$2,'ProductSprint Backlog'!$K77=D$2), 'ProductSprint Backlog'!$M77, TRUE, 0)</f>
        <v>0</v>
      </c>
      <c r="E77" s="4" cm="1">
        <f t="array" ref="E77">_xlfn.IFS('ProductSprint Backlog'!$M77="", "", AND('ProductSprint Backlog'!$L77&gt;E$2,'ProductSprint Backlog'!$K77&lt;=E$2), 'ProductSprint Backlog'!$M77 / MAX(1, 'ProductSprint Backlog'!$L77-'ProductSprint Backlog'!$K77), AND('ProductSprint Backlog'!$L77=E$2,'ProductSprint Backlog'!$K77=E$2), 'ProductSprint Backlog'!$M77, TRUE, 0)</f>
        <v>0</v>
      </c>
      <c r="F77" s="4" cm="1">
        <f t="array" ref="F77">_xlfn.IFS('ProductSprint Backlog'!$M77="", "", AND('ProductSprint Backlog'!$L77&gt;F$2,'ProductSprint Backlog'!$K77&lt;=F$2), 'ProductSprint Backlog'!$M77 / MAX(1, 'ProductSprint Backlog'!$L77-'ProductSprint Backlog'!$K77), AND('ProductSprint Backlog'!$L77=F$2,'ProductSprint Backlog'!$K77=F$2), 'ProductSprint Backlog'!$M77, TRUE, 0)</f>
        <v>0</v>
      </c>
      <c r="G77" s="4" cm="1">
        <f t="array" ref="G77">_xlfn.IFS('ProductSprint Backlog'!$M77="", "", AND('ProductSprint Backlog'!$L77&gt;G$2,'ProductSprint Backlog'!$K77&lt;=G$2), 'ProductSprint Backlog'!$M77 / MAX(1, 'ProductSprint Backlog'!$L77-'ProductSprint Backlog'!$K77), AND('ProductSprint Backlog'!$L77=G$2,'ProductSprint Backlog'!$K77=G$2), 'ProductSprint Backlog'!$M77, TRUE, 0)</f>
        <v>0</v>
      </c>
      <c r="H77" s="4" cm="1">
        <f t="array" ref="H77">_xlfn.IFS('ProductSprint Backlog'!$M77="", "", AND('ProductSprint Backlog'!$L77&gt;H$2,'ProductSprint Backlog'!$K77&lt;=H$2), 'ProductSprint Backlog'!$M77 / MAX(1, 'ProductSprint Backlog'!$L77-'ProductSprint Backlog'!$K77), AND('ProductSprint Backlog'!$L77=H$2,'ProductSprint Backlog'!$K77=H$2), 'ProductSprint Backlog'!$M77, TRUE, 0)</f>
        <v>0</v>
      </c>
      <c r="I77" s="4" cm="1">
        <f t="array" ref="I77">_xlfn.IFS('ProductSprint Backlog'!$M77="", "", AND('ProductSprint Backlog'!$L77&gt;I$2,'ProductSprint Backlog'!$K77&lt;=I$2), 'ProductSprint Backlog'!$M77 / MAX(1, 'ProductSprint Backlog'!$L77-'ProductSprint Backlog'!$K77), AND('ProductSprint Backlog'!$L77=I$2,'ProductSprint Backlog'!$K77=I$2), 'ProductSprint Backlog'!$M77, TRUE, 0)</f>
        <v>0</v>
      </c>
      <c r="J77" s="4" cm="1">
        <f t="array" ref="J77">_xlfn.IFS('ProductSprint Backlog'!$M77="", "", AND('ProductSprint Backlog'!$L77&gt;J$2,'ProductSprint Backlog'!$K77&lt;=J$2), 'ProductSprint Backlog'!$M77 / MAX(1, 'ProductSprint Backlog'!$L77-'ProductSprint Backlog'!$K77), AND('ProductSprint Backlog'!$L77=J$2,'ProductSprint Backlog'!$K77=J$2), 'ProductSprint Backlog'!$M77, TRUE, 0)</f>
        <v>1.5</v>
      </c>
      <c r="K77" s="4" cm="1">
        <f t="array" ref="K77">_xlfn.IFS('ProductSprint Backlog'!$M77="", "", AND('ProductSprint Backlog'!$L77&gt;K$2,'ProductSprint Backlog'!$K77&lt;=K$2), 'ProductSprint Backlog'!$M77 / MAX(1, 'ProductSprint Backlog'!$L77-'ProductSprint Backlog'!$K77), AND('ProductSprint Backlog'!$L77=K$2,'ProductSprint Backlog'!$K77=K$2), 'ProductSprint Backlog'!$M77, TRUE, 0)</f>
        <v>0</v>
      </c>
      <c r="L77" s="4" cm="1">
        <f t="array" ref="L77">_xlfn.IFS('ProductSprint Backlog'!$M77="", "", AND('ProductSprint Backlog'!$L77&gt;L$2,'ProductSprint Backlog'!$K77&lt;=L$2), 'ProductSprint Backlog'!$M77 / MAX(1, 'ProductSprint Backlog'!$L77-'ProductSprint Backlog'!$K77), AND('ProductSprint Backlog'!$L77=L$2,'ProductSprint Backlog'!$K77=L$2), 'ProductSprint Backlog'!$M77, TRUE, 0)</f>
        <v>0</v>
      </c>
      <c r="M77" s="4" cm="1">
        <f t="array" ref="M77">_xlfn.IFS('ProductSprint Backlog'!$M77="", "", AND('ProductSprint Backlog'!$L77&gt;M$2,'ProductSprint Backlog'!$K77&lt;=M$2), 'ProductSprint Backlog'!$M77 / MAX(1, 'ProductSprint Backlog'!$L77-'ProductSprint Backlog'!$K77), AND('ProductSprint Backlog'!$L77=M$2,'ProductSprint Backlog'!$K77=M$2), 'ProductSprint Backlog'!$M77, TRUE, 0)</f>
        <v>0</v>
      </c>
      <c r="N77" s="4" cm="1">
        <f t="array" ref="N77">_xlfn.IFS('ProductSprint Backlog'!$M77="", "", AND('ProductSprint Backlog'!$L77&gt;N$2,'ProductSprint Backlog'!$K77&lt;=N$2), 'ProductSprint Backlog'!$M77 / MAX(1, 'ProductSprint Backlog'!$L77-'ProductSprint Backlog'!$K77), AND('ProductSprint Backlog'!$L77=N$2,'ProductSprint Backlog'!$K77=N$2), 'ProductSprint Backlog'!$M77, TRUE, 0)</f>
        <v>0</v>
      </c>
      <c r="O77" s="4" cm="1">
        <f t="array" ref="O77">_xlfn.IFS('ProductSprint Backlog'!$M77="", "", AND('ProductSprint Backlog'!$L77&gt;O$2,'ProductSprint Backlog'!$K77&lt;=O$2), 'ProductSprint Backlog'!$M77 / MAX(1, 'ProductSprint Backlog'!$L77-'ProductSprint Backlog'!$K77), AND('ProductSprint Backlog'!$L77=O$2,'ProductSprint Backlog'!$K77=O$2), 'ProductSprint Backlog'!$M77, TRUE, 0)</f>
        <v>0</v>
      </c>
      <c r="P77" s="4" cm="1">
        <f t="array" ref="P77">_xlfn.IFS('ProductSprint Backlog'!$M77="", "", AND('ProductSprint Backlog'!$L77&gt;P$2,'ProductSprint Backlog'!$K77&lt;=P$2), 'ProductSprint Backlog'!$M77 / MAX(1, 'ProductSprint Backlog'!$L77-'ProductSprint Backlog'!$K77), AND('ProductSprint Backlog'!$L77=P$2,'ProductSprint Backlog'!$K77=P$2), 'ProductSprint Backlog'!$M77, TRUE, 0)</f>
        <v>0</v>
      </c>
    </row>
    <row r="78" spans="2:16" x14ac:dyDescent="0.2">
      <c r="B78" s="4" cm="1">
        <f t="array" ref="B78">_xlfn.IFS('ProductSprint Backlog'!$M78="", "", AND('ProductSprint Backlog'!$L78&gt;B$2,'ProductSprint Backlog'!$K78&lt;=B$2), 'ProductSprint Backlog'!$M78 / MAX(1, 'ProductSprint Backlog'!$L78-'ProductSprint Backlog'!$K78), AND('ProductSprint Backlog'!$L78=B$2,'ProductSprint Backlog'!$K78=B$2), 'ProductSprint Backlog'!$M78, TRUE, 0)</f>
        <v>0</v>
      </c>
      <c r="C78" s="4" cm="1">
        <f t="array" ref="C78">_xlfn.IFS('ProductSprint Backlog'!$M78="", "", AND('ProductSprint Backlog'!$L78&gt;C$2,'ProductSprint Backlog'!$K78&lt;=C$2), 'ProductSprint Backlog'!$M78 / MAX(1, 'ProductSprint Backlog'!$L78-'ProductSprint Backlog'!$K78), AND('ProductSprint Backlog'!$L78=C$2,'ProductSprint Backlog'!$K78=C$2), 'ProductSprint Backlog'!$M78, TRUE, 0)</f>
        <v>0</v>
      </c>
      <c r="D78" s="4" cm="1">
        <f t="array" ref="D78">_xlfn.IFS('ProductSprint Backlog'!$M78="", "", AND('ProductSprint Backlog'!$L78&gt;D$2,'ProductSprint Backlog'!$K78&lt;=D$2), 'ProductSprint Backlog'!$M78 / MAX(1, 'ProductSprint Backlog'!$L78-'ProductSprint Backlog'!$K78), AND('ProductSprint Backlog'!$L78=D$2,'ProductSprint Backlog'!$K78=D$2), 'ProductSprint Backlog'!$M78, TRUE, 0)</f>
        <v>0</v>
      </c>
      <c r="E78" s="4" cm="1">
        <f t="array" ref="E78">_xlfn.IFS('ProductSprint Backlog'!$M78="", "", AND('ProductSprint Backlog'!$L78&gt;E$2,'ProductSprint Backlog'!$K78&lt;=E$2), 'ProductSprint Backlog'!$M78 / MAX(1, 'ProductSprint Backlog'!$L78-'ProductSprint Backlog'!$K78), AND('ProductSprint Backlog'!$L78=E$2,'ProductSprint Backlog'!$K78=E$2), 'ProductSprint Backlog'!$M78, TRUE, 0)</f>
        <v>0</v>
      </c>
      <c r="F78" s="4" cm="1">
        <f t="array" ref="F78">_xlfn.IFS('ProductSprint Backlog'!$M78="", "", AND('ProductSprint Backlog'!$L78&gt;F$2,'ProductSprint Backlog'!$K78&lt;=F$2), 'ProductSprint Backlog'!$M78 / MAX(1, 'ProductSprint Backlog'!$L78-'ProductSprint Backlog'!$K78), AND('ProductSprint Backlog'!$L78=F$2,'ProductSprint Backlog'!$K78=F$2), 'ProductSprint Backlog'!$M78, TRUE, 0)</f>
        <v>0</v>
      </c>
      <c r="G78" s="4" cm="1">
        <f t="array" ref="G78">_xlfn.IFS('ProductSprint Backlog'!$M78="", "", AND('ProductSprint Backlog'!$L78&gt;G$2,'ProductSprint Backlog'!$K78&lt;=G$2), 'ProductSprint Backlog'!$M78 / MAX(1, 'ProductSprint Backlog'!$L78-'ProductSprint Backlog'!$K78), AND('ProductSprint Backlog'!$L78=G$2,'ProductSprint Backlog'!$K78=G$2), 'ProductSprint Backlog'!$M78, TRUE, 0)</f>
        <v>0</v>
      </c>
      <c r="H78" s="4" cm="1">
        <f t="array" ref="H78">_xlfn.IFS('ProductSprint Backlog'!$M78="", "", AND('ProductSprint Backlog'!$L78&gt;H$2,'ProductSprint Backlog'!$K78&lt;=H$2), 'ProductSprint Backlog'!$M78 / MAX(1, 'ProductSprint Backlog'!$L78-'ProductSprint Backlog'!$K78), AND('ProductSprint Backlog'!$L78=H$2,'ProductSprint Backlog'!$K78=H$2), 'ProductSprint Backlog'!$M78, TRUE, 0)</f>
        <v>0</v>
      </c>
      <c r="I78" s="4" cm="1">
        <f t="array" ref="I78">_xlfn.IFS('ProductSprint Backlog'!$M78="", "", AND('ProductSprint Backlog'!$L78&gt;I$2,'ProductSprint Backlog'!$K78&lt;=I$2), 'ProductSprint Backlog'!$M78 / MAX(1, 'ProductSprint Backlog'!$L78-'ProductSprint Backlog'!$K78), AND('ProductSprint Backlog'!$L78=I$2,'ProductSprint Backlog'!$K78=I$2), 'ProductSprint Backlog'!$M78, TRUE, 0)</f>
        <v>0</v>
      </c>
      <c r="J78" s="4" cm="1">
        <f t="array" ref="J78">_xlfn.IFS('ProductSprint Backlog'!$M78="", "", AND('ProductSprint Backlog'!$L78&gt;J$2,'ProductSprint Backlog'!$K78&lt;=J$2), 'ProductSprint Backlog'!$M78 / MAX(1, 'ProductSprint Backlog'!$L78-'ProductSprint Backlog'!$K78), AND('ProductSprint Backlog'!$L78=J$2,'ProductSprint Backlog'!$K78=J$2), 'ProductSprint Backlog'!$M78, TRUE, 0)</f>
        <v>0</v>
      </c>
      <c r="K78" s="4" cm="1">
        <f t="array" ref="K78">_xlfn.IFS('ProductSprint Backlog'!$M78="", "", AND('ProductSprint Backlog'!$L78&gt;K$2,'ProductSprint Backlog'!$K78&lt;=K$2), 'ProductSprint Backlog'!$M78 / MAX(1, 'ProductSprint Backlog'!$L78-'ProductSprint Backlog'!$K78), AND('ProductSprint Backlog'!$L78=K$2,'ProductSprint Backlog'!$K78=K$2), 'ProductSprint Backlog'!$M78, TRUE, 0)</f>
        <v>0.5</v>
      </c>
      <c r="L78" s="4" cm="1">
        <f t="array" ref="L78">_xlfn.IFS('ProductSprint Backlog'!$M78="", "", AND('ProductSprint Backlog'!$L78&gt;L$2,'ProductSprint Backlog'!$K78&lt;=L$2), 'ProductSprint Backlog'!$M78 / MAX(1, 'ProductSprint Backlog'!$L78-'ProductSprint Backlog'!$K78), AND('ProductSprint Backlog'!$L78=L$2,'ProductSprint Backlog'!$K78=L$2), 'ProductSprint Backlog'!$M78, TRUE, 0)</f>
        <v>0</v>
      </c>
      <c r="M78" s="4" cm="1">
        <f t="array" ref="M78">_xlfn.IFS('ProductSprint Backlog'!$M78="", "", AND('ProductSprint Backlog'!$L78&gt;M$2,'ProductSprint Backlog'!$K78&lt;=M$2), 'ProductSprint Backlog'!$M78 / MAX(1, 'ProductSprint Backlog'!$L78-'ProductSprint Backlog'!$K78), AND('ProductSprint Backlog'!$L78=M$2,'ProductSprint Backlog'!$K78=M$2), 'ProductSprint Backlog'!$M78, TRUE, 0)</f>
        <v>0</v>
      </c>
      <c r="N78" s="4" cm="1">
        <f t="array" ref="N78">_xlfn.IFS('ProductSprint Backlog'!$M78="", "", AND('ProductSprint Backlog'!$L78&gt;N$2,'ProductSprint Backlog'!$K78&lt;=N$2), 'ProductSprint Backlog'!$M78 / MAX(1, 'ProductSprint Backlog'!$L78-'ProductSprint Backlog'!$K78), AND('ProductSprint Backlog'!$L78=N$2,'ProductSprint Backlog'!$K78=N$2), 'ProductSprint Backlog'!$M78, TRUE, 0)</f>
        <v>0</v>
      </c>
      <c r="O78" s="4" cm="1">
        <f t="array" ref="O78">_xlfn.IFS('ProductSprint Backlog'!$M78="", "", AND('ProductSprint Backlog'!$L78&gt;O$2,'ProductSprint Backlog'!$K78&lt;=O$2), 'ProductSprint Backlog'!$M78 / MAX(1, 'ProductSprint Backlog'!$L78-'ProductSprint Backlog'!$K78), AND('ProductSprint Backlog'!$L78=O$2,'ProductSprint Backlog'!$K78=O$2), 'ProductSprint Backlog'!$M78, TRUE, 0)</f>
        <v>0</v>
      </c>
      <c r="P78" s="4" cm="1">
        <f t="array" ref="P78">_xlfn.IFS('ProductSprint Backlog'!$M78="", "", AND('ProductSprint Backlog'!$L78&gt;P$2,'ProductSprint Backlog'!$K78&lt;=P$2), 'ProductSprint Backlog'!$M78 / MAX(1, 'ProductSprint Backlog'!$L78-'ProductSprint Backlog'!$K78), AND('ProductSprint Backlog'!$L78=P$2,'ProductSprint Backlog'!$K78=P$2), 'ProductSprint Backlog'!$M78, TRUE, 0)</f>
        <v>0</v>
      </c>
    </row>
    <row r="79" spans="2:16" x14ac:dyDescent="0.2">
      <c r="B79" s="4" t="str" cm="1">
        <f t="array" ref="B79">_xlfn.IFS('ProductSprint Backlog'!$M79="", "", AND('ProductSprint Backlog'!$L79&gt;B$2,'ProductSprint Backlog'!$K79&lt;=B$2), 'ProductSprint Backlog'!$M79 / MAX(1, 'ProductSprint Backlog'!$L79-'ProductSprint Backlog'!$K79), AND('ProductSprint Backlog'!$L79=B$2,'ProductSprint Backlog'!$K79=B$2), 'ProductSprint Backlog'!$M79, TRUE, 0)</f>
        <v/>
      </c>
      <c r="C79" s="4" t="str" cm="1">
        <f t="array" ref="C79">_xlfn.IFS('ProductSprint Backlog'!$M79="", "", AND('ProductSprint Backlog'!$L79&gt;C$2,'ProductSprint Backlog'!$K79&lt;=C$2), 'ProductSprint Backlog'!$M79 / MAX(1, 'ProductSprint Backlog'!$L79-'ProductSprint Backlog'!$K79), AND('ProductSprint Backlog'!$L79=C$2,'ProductSprint Backlog'!$K79=C$2), 'ProductSprint Backlog'!$M79, TRUE, 0)</f>
        <v/>
      </c>
      <c r="D79" s="4" t="str" cm="1">
        <f t="array" ref="D79">_xlfn.IFS('ProductSprint Backlog'!$M79="", "", AND('ProductSprint Backlog'!$L79&gt;D$2,'ProductSprint Backlog'!$K79&lt;=D$2), 'ProductSprint Backlog'!$M79 / MAX(1, 'ProductSprint Backlog'!$L79-'ProductSprint Backlog'!$K79), AND('ProductSprint Backlog'!$L79=D$2,'ProductSprint Backlog'!$K79=D$2), 'ProductSprint Backlog'!$M79, TRUE, 0)</f>
        <v/>
      </c>
      <c r="E79" s="4" t="str" cm="1">
        <f t="array" ref="E79">_xlfn.IFS('ProductSprint Backlog'!$M79="", "", AND('ProductSprint Backlog'!$L79&gt;E$2,'ProductSprint Backlog'!$K79&lt;=E$2), 'ProductSprint Backlog'!$M79 / MAX(1, 'ProductSprint Backlog'!$L79-'ProductSprint Backlog'!$K79), AND('ProductSprint Backlog'!$L79=E$2,'ProductSprint Backlog'!$K79=E$2), 'ProductSprint Backlog'!$M79, TRUE, 0)</f>
        <v/>
      </c>
      <c r="F79" s="4" t="str" cm="1">
        <f t="array" ref="F79">_xlfn.IFS('ProductSprint Backlog'!$M79="", "", AND('ProductSprint Backlog'!$L79&gt;F$2,'ProductSprint Backlog'!$K79&lt;=F$2), 'ProductSprint Backlog'!$M79 / MAX(1, 'ProductSprint Backlog'!$L79-'ProductSprint Backlog'!$K79), AND('ProductSprint Backlog'!$L79=F$2,'ProductSprint Backlog'!$K79=F$2), 'ProductSprint Backlog'!$M79, TRUE, 0)</f>
        <v/>
      </c>
      <c r="G79" s="4" t="str" cm="1">
        <f t="array" ref="G79">_xlfn.IFS('ProductSprint Backlog'!$M79="", "", AND('ProductSprint Backlog'!$L79&gt;G$2,'ProductSprint Backlog'!$K79&lt;=G$2), 'ProductSprint Backlog'!$M79 / MAX(1, 'ProductSprint Backlog'!$L79-'ProductSprint Backlog'!$K79), AND('ProductSprint Backlog'!$L79=G$2,'ProductSprint Backlog'!$K79=G$2), 'ProductSprint Backlog'!$M79, TRUE, 0)</f>
        <v/>
      </c>
      <c r="H79" s="4" t="str" cm="1">
        <f t="array" ref="H79">_xlfn.IFS('ProductSprint Backlog'!$M79="", "", AND('ProductSprint Backlog'!$L79&gt;H$2,'ProductSprint Backlog'!$K79&lt;=H$2), 'ProductSprint Backlog'!$M79 / MAX(1, 'ProductSprint Backlog'!$L79-'ProductSprint Backlog'!$K79), AND('ProductSprint Backlog'!$L79=H$2,'ProductSprint Backlog'!$K79=H$2), 'ProductSprint Backlog'!$M79, TRUE, 0)</f>
        <v/>
      </c>
      <c r="I79" s="4" t="str" cm="1">
        <f t="array" ref="I79">_xlfn.IFS('ProductSprint Backlog'!$M79="", "", AND('ProductSprint Backlog'!$L79&gt;I$2,'ProductSprint Backlog'!$K79&lt;=I$2), 'ProductSprint Backlog'!$M79 / MAX(1, 'ProductSprint Backlog'!$L79-'ProductSprint Backlog'!$K79), AND('ProductSprint Backlog'!$L79=I$2,'ProductSprint Backlog'!$K79=I$2), 'ProductSprint Backlog'!$M79, TRUE, 0)</f>
        <v/>
      </c>
      <c r="J79" s="4" t="str" cm="1">
        <f t="array" ref="J79">_xlfn.IFS('ProductSprint Backlog'!$M79="", "", AND('ProductSprint Backlog'!$L79&gt;J$2,'ProductSprint Backlog'!$K79&lt;=J$2), 'ProductSprint Backlog'!$M79 / MAX(1, 'ProductSprint Backlog'!$L79-'ProductSprint Backlog'!$K79), AND('ProductSprint Backlog'!$L79=J$2,'ProductSprint Backlog'!$K79=J$2), 'ProductSprint Backlog'!$M79, TRUE, 0)</f>
        <v/>
      </c>
      <c r="K79" s="4" t="str" cm="1">
        <f t="array" ref="K79">_xlfn.IFS('ProductSprint Backlog'!$M79="", "", AND('ProductSprint Backlog'!$L79&gt;K$2,'ProductSprint Backlog'!$K79&lt;=K$2), 'ProductSprint Backlog'!$M79 / MAX(1, 'ProductSprint Backlog'!$L79-'ProductSprint Backlog'!$K79), AND('ProductSprint Backlog'!$L79=K$2,'ProductSprint Backlog'!$K79=K$2), 'ProductSprint Backlog'!$M79, TRUE, 0)</f>
        <v/>
      </c>
      <c r="L79" s="4" t="str" cm="1">
        <f t="array" ref="L79">_xlfn.IFS('ProductSprint Backlog'!$M79="", "", AND('ProductSprint Backlog'!$L79&gt;L$2,'ProductSprint Backlog'!$K79&lt;=L$2), 'ProductSprint Backlog'!$M79 / MAX(1, 'ProductSprint Backlog'!$L79-'ProductSprint Backlog'!$K79), AND('ProductSprint Backlog'!$L79=L$2,'ProductSprint Backlog'!$K79=L$2), 'ProductSprint Backlog'!$M79, TRUE, 0)</f>
        <v/>
      </c>
      <c r="M79" s="4" t="str" cm="1">
        <f t="array" ref="M79">_xlfn.IFS('ProductSprint Backlog'!$M79="", "", AND('ProductSprint Backlog'!$L79&gt;M$2,'ProductSprint Backlog'!$K79&lt;=M$2), 'ProductSprint Backlog'!$M79 / MAX(1, 'ProductSprint Backlog'!$L79-'ProductSprint Backlog'!$K79), AND('ProductSprint Backlog'!$L79=M$2,'ProductSprint Backlog'!$K79=M$2), 'ProductSprint Backlog'!$M79, TRUE, 0)</f>
        <v/>
      </c>
      <c r="N79" s="4" t="str" cm="1">
        <f t="array" ref="N79">_xlfn.IFS('ProductSprint Backlog'!$M79="", "", AND('ProductSprint Backlog'!$L79&gt;N$2,'ProductSprint Backlog'!$K79&lt;=N$2), 'ProductSprint Backlog'!$M79 / MAX(1, 'ProductSprint Backlog'!$L79-'ProductSprint Backlog'!$K79), AND('ProductSprint Backlog'!$L79=N$2,'ProductSprint Backlog'!$K79=N$2), 'ProductSprint Backlog'!$M79, TRUE, 0)</f>
        <v/>
      </c>
      <c r="O79" s="4" t="str" cm="1">
        <f t="array" ref="O79">_xlfn.IFS('ProductSprint Backlog'!$M79="", "", AND('ProductSprint Backlog'!$L79&gt;O$2,'ProductSprint Backlog'!$K79&lt;=O$2), 'ProductSprint Backlog'!$M79 / MAX(1, 'ProductSprint Backlog'!$L79-'ProductSprint Backlog'!$K79), AND('ProductSprint Backlog'!$L79=O$2,'ProductSprint Backlog'!$K79=O$2), 'ProductSprint Backlog'!$M79, TRUE, 0)</f>
        <v/>
      </c>
      <c r="P79" s="4" t="str" cm="1">
        <f t="array" ref="P79">_xlfn.IFS('ProductSprint Backlog'!$M79="", "", AND('ProductSprint Backlog'!$L79&gt;P$2,'ProductSprint Backlog'!$K79&lt;=P$2), 'ProductSprint Backlog'!$M79 / MAX(1, 'ProductSprint Backlog'!$L79-'ProductSprint Backlog'!$K79), AND('ProductSprint Backlog'!$L79=P$2,'ProductSprint Backlog'!$K79=P$2), 'ProductSprint Backlog'!$M79, TRUE, 0)</f>
        <v/>
      </c>
    </row>
    <row r="80" spans="2:16" x14ac:dyDescent="0.2">
      <c r="B80" s="4" cm="1">
        <f t="array" ref="B80">_xlfn.IFS('ProductSprint Backlog'!$M80="", "", AND('ProductSprint Backlog'!$L80&gt;B$2,'ProductSprint Backlog'!$K80&lt;=B$2), 'ProductSprint Backlog'!$M80 / MAX(1, 'ProductSprint Backlog'!$L80-'ProductSprint Backlog'!$K80), AND('ProductSprint Backlog'!$L80=B$2,'ProductSprint Backlog'!$K80=B$2), 'ProductSprint Backlog'!$M80, TRUE, 0)</f>
        <v>0</v>
      </c>
      <c r="C80" s="4" cm="1">
        <f t="array" ref="C80">_xlfn.IFS('ProductSprint Backlog'!$M80="", "", AND('ProductSprint Backlog'!$L80&gt;C$2,'ProductSprint Backlog'!$K80&lt;=C$2), 'ProductSprint Backlog'!$M80 / MAX(1, 'ProductSprint Backlog'!$L80-'ProductSprint Backlog'!$K80), AND('ProductSprint Backlog'!$L80=C$2,'ProductSprint Backlog'!$K80=C$2), 'ProductSprint Backlog'!$M80, TRUE, 0)</f>
        <v>0</v>
      </c>
      <c r="D80" s="4" cm="1">
        <f t="array" ref="D80">_xlfn.IFS('ProductSprint Backlog'!$M80="", "", AND('ProductSprint Backlog'!$L80&gt;D$2,'ProductSprint Backlog'!$K80&lt;=D$2), 'ProductSprint Backlog'!$M80 / MAX(1, 'ProductSprint Backlog'!$L80-'ProductSprint Backlog'!$K80), AND('ProductSprint Backlog'!$L80=D$2,'ProductSprint Backlog'!$K80=D$2), 'ProductSprint Backlog'!$M80, TRUE, 0)</f>
        <v>0</v>
      </c>
      <c r="E80" s="4" cm="1">
        <f t="array" ref="E80">_xlfn.IFS('ProductSprint Backlog'!$M80="", "", AND('ProductSprint Backlog'!$L80&gt;E$2,'ProductSprint Backlog'!$K80&lt;=E$2), 'ProductSprint Backlog'!$M80 / MAX(1, 'ProductSprint Backlog'!$L80-'ProductSprint Backlog'!$K80), AND('ProductSprint Backlog'!$L80=E$2,'ProductSprint Backlog'!$K80=E$2), 'ProductSprint Backlog'!$M80, TRUE, 0)</f>
        <v>0</v>
      </c>
      <c r="F80" s="4" cm="1">
        <f t="array" ref="F80">_xlfn.IFS('ProductSprint Backlog'!$M80="", "", AND('ProductSprint Backlog'!$L80&gt;F$2,'ProductSprint Backlog'!$K80&lt;=F$2), 'ProductSprint Backlog'!$M80 / MAX(1, 'ProductSprint Backlog'!$L80-'ProductSprint Backlog'!$K80), AND('ProductSprint Backlog'!$L80=F$2,'ProductSprint Backlog'!$K80=F$2), 'ProductSprint Backlog'!$M80, TRUE, 0)</f>
        <v>0</v>
      </c>
      <c r="G80" s="4" cm="1">
        <f t="array" ref="G80">_xlfn.IFS('ProductSprint Backlog'!$M80="", "", AND('ProductSprint Backlog'!$L80&gt;G$2,'ProductSprint Backlog'!$K80&lt;=G$2), 'ProductSprint Backlog'!$M80 / MAX(1, 'ProductSprint Backlog'!$L80-'ProductSprint Backlog'!$K80), AND('ProductSprint Backlog'!$L80=G$2,'ProductSprint Backlog'!$K80=G$2), 'ProductSprint Backlog'!$M80, TRUE, 0)</f>
        <v>0</v>
      </c>
      <c r="H80" s="4" cm="1">
        <f t="array" ref="H80">_xlfn.IFS('ProductSprint Backlog'!$M80="", "", AND('ProductSprint Backlog'!$L80&gt;H$2,'ProductSprint Backlog'!$K80&lt;=H$2), 'ProductSprint Backlog'!$M80 / MAX(1, 'ProductSprint Backlog'!$L80-'ProductSprint Backlog'!$K80), AND('ProductSprint Backlog'!$L80=H$2,'ProductSprint Backlog'!$K80=H$2), 'ProductSprint Backlog'!$M80, TRUE, 0)</f>
        <v>0</v>
      </c>
      <c r="I80" s="4" cm="1">
        <f t="array" ref="I80">_xlfn.IFS('ProductSprint Backlog'!$M80="", "", AND('ProductSprint Backlog'!$L80&gt;I$2,'ProductSprint Backlog'!$K80&lt;=I$2), 'ProductSprint Backlog'!$M80 / MAX(1, 'ProductSprint Backlog'!$L80-'ProductSprint Backlog'!$K80), AND('ProductSprint Backlog'!$L80=I$2,'ProductSprint Backlog'!$K80=I$2), 'ProductSprint Backlog'!$M80, TRUE, 0)</f>
        <v>0</v>
      </c>
      <c r="J80" s="4" cm="1">
        <f t="array" ref="J80">_xlfn.IFS('ProductSprint Backlog'!$M80="", "", AND('ProductSprint Backlog'!$L80&gt;J$2,'ProductSprint Backlog'!$K80&lt;=J$2), 'ProductSprint Backlog'!$M80 / MAX(1, 'ProductSprint Backlog'!$L80-'ProductSprint Backlog'!$K80), AND('ProductSprint Backlog'!$L80=J$2,'ProductSprint Backlog'!$K80=J$2), 'ProductSprint Backlog'!$M80, TRUE, 0)</f>
        <v>1.5</v>
      </c>
      <c r="K80" s="4" cm="1">
        <f t="array" ref="K80">_xlfn.IFS('ProductSprint Backlog'!$M80="", "", AND('ProductSprint Backlog'!$L80&gt;K$2,'ProductSprint Backlog'!$K80&lt;=K$2), 'ProductSprint Backlog'!$M80 / MAX(1, 'ProductSprint Backlog'!$L80-'ProductSprint Backlog'!$K80), AND('ProductSprint Backlog'!$L80=K$2,'ProductSprint Backlog'!$K80=K$2), 'ProductSprint Backlog'!$M80, TRUE, 0)</f>
        <v>0</v>
      </c>
      <c r="L80" s="4" cm="1">
        <f t="array" ref="L80">_xlfn.IFS('ProductSprint Backlog'!$M80="", "", AND('ProductSprint Backlog'!$L80&gt;L$2,'ProductSprint Backlog'!$K80&lt;=L$2), 'ProductSprint Backlog'!$M80 / MAX(1, 'ProductSprint Backlog'!$L80-'ProductSprint Backlog'!$K80), AND('ProductSprint Backlog'!$L80=L$2,'ProductSprint Backlog'!$K80=L$2), 'ProductSprint Backlog'!$M80, TRUE, 0)</f>
        <v>0</v>
      </c>
      <c r="M80" s="4" cm="1">
        <f t="array" ref="M80">_xlfn.IFS('ProductSprint Backlog'!$M80="", "", AND('ProductSprint Backlog'!$L80&gt;M$2,'ProductSprint Backlog'!$K80&lt;=M$2), 'ProductSprint Backlog'!$M80 / MAX(1, 'ProductSprint Backlog'!$L80-'ProductSprint Backlog'!$K80), AND('ProductSprint Backlog'!$L80=M$2,'ProductSprint Backlog'!$K80=M$2), 'ProductSprint Backlog'!$M80, TRUE, 0)</f>
        <v>0</v>
      </c>
      <c r="N80" s="4" cm="1">
        <f t="array" ref="N80">_xlfn.IFS('ProductSprint Backlog'!$M80="", "", AND('ProductSprint Backlog'!$L80&gt;N$2,'ProductSprint Backlog'!$K80&lt;=N$2), 'ProductSprint Backlog'!$M80 / MAX(1, 'ProductSprint Backlog'!$L80-'ProductSprint Backlog'!$K80), AND('ProductSprint Backlog'!$L80=N$2,'ProductSprint Backlog'!$K80=N$2), 'ProductSprint Backlog'!$M80, TRUE, 0)</f>
        <v>0</v>
      </c>
      <c r="O80" s="4" cm="1">
        <f t="array" ref="O80">_xlfn.IFS('ProductSprint Backlog'!$M80="", "", AND('ProductSprint Backlog'!$L80&gt;O$2,'ProductSprint Backlog'!$K80&lt;=O$2), 'ProductSprint Backlog'!$M80 / MAX(1, 'ProductSprint Backlog'!$L80-'ProductSprint Backlog'!$K80), AND('ProductSprint Backlog'!$L80=O$2,'ProductSprint Backlog'!$K80=O$2), 'ProductSprint Backlog'!$M80, TRUE, 0)</f>
        <v>0</v>
      </c>
      <c r="P80" s="4" cm="1">
        <f t="array" ref="P80">_xlfn.IFS('ProductSprint Backlog'!$M80="", "", AND('ProductSprint Backlog'!$L80&gt;P$2,'ProductSprint Backlog'!$K80&lt;=P$2), 'ProductSprint Backlog'!$M80 / MAX(1, 'ProductSprint Backlog'!$L80-'ProductSprint Backlog'!$K80), AND('ProductSprint Backlog'!$L80=P$2,'ProductSprint Backlog'!$K80=P$2), 'ProductSprint Backlog'!$M80, TRUE, 0)</f>
        <v>0</v>
      </c>
    </row>
    <row r="81" spans="2:16" x14ac:dyDescent="0.2">
      <c r="B81" s="4" cm="1">
        <f t="array" ref="B81">_xlfn.IFS('ProductSprint Backlog'!$M81="", "", AND('ProductSprint Backlog'!$L81&gt;B$2,'ProductSprint Backlog'!$K81&lt;=B$2), 'ProductSprint Backlog'!$M81 / MAX(1, 'ProductSprint Backlog'!$L81-'ProductSprint Backlog'!$K81), AND('ProductSprint Backlog'!$L81=B$2,'ProductSprint Backlog'!$K81=B$2), 'ProductSprint Backlog'!$M81, TRUE, 0)</f>
        <v>0</v>
      </c>
      <c r="C81" s="4" cm="1">
        <f t="array" ref="C81">_xlfn.IFS('ProductSprint Backlog'!$M81="", "", AND('ProductSprint Backlog'!$L81&gt;C$2,'ProductSprint Backlog'!$K81&lt;=C$2), 'ProductSprint Backlog'!$M81 / MAX(1, 'ProductSprint Backlog'!$L81-'ProductSprint Backlog'!$K81), AND('ProductSprint Backlog'!$L81=C$2,'ProductSprint Backlog'!$K81=C$2), 'ProductSprint Backlog'!$M81, TRUE, 0)</f>
        <v>0</v>
      </c>
      <c r="D81" s="4" cm="1">
        <f t="array" ref="D81">_xlfn.IFS('ProductSprint Backlog'!$M81="", "", AND('ProductSprint Backlog'!$L81&gt;D$2,'ProductSprint Backlog'!$K81&lt;=D$2), 'ProductSprint Backlog'!$M81 / MAX(1, 'ProductSprint Backlog'!$L81-'ProductSprint Backlog'!$K81), AND('ProductSprint Backlog'!$L81=D$2,'ProductSprint Backlog'!$K81=D$2), 'ProductSprint Backlog'!$M81, TRUE, 0)</f>
        <v>0</v>
      </c>
      <c r="E81" s="4" cm="1">
        <f t="array" ref="E81">_xlfn.IFS('ProductSprint Backlog'!$M81="", "", AND('ProductSprint Backlog'!$L81&gt;E$2,'ProductSprint Backlog'!$K81&lt;=E$2), 'ProductSprint Backlog'!$M81 / MAX(1, 'ProductSprint Backlog'!$L81-'ProductSprint Backlog'!$K81), AND('ProductSprint Backlog'!$L81=E$2,'ProductSprint Backlog'!$K81=E$2), 'ProductSprint Backlog'!$M81, TRUE, 0)</f>
        <v>0</v>
      </c>
      <c r="F81" s="4" cm="1">
        <f t="array" ref="F81">_xlfn.IFS('ProductSprint Backlog'!$M81="", "", AND('ProductSprint Backlog'!$L81&gt;F$2,'ProductSprint Backlog'!$K81&lt;=F$2), 'ProductSprint Backlog'!$M81 / MAX(1, 'ProductSprint Backlog'!$L81-'ProductSprint Backlog'!$K81), AND('ProductSprint Backlog'!$L81=F$2,'ProductSprint Backlog'!$K81=F$2), 'ProductSprint Backlog'!$M81, TRUE, 0)</f>
        <v>0</v>
      </c>
      <c r="G81" s="4" cm="1">
        <f t="array" ref="G81">_xlfn.IFS('ProductSprint Backlog'!$M81="", "", AND('ProductSprint Backlog'!$L81&gt;G$2,'ProductSprint Backlog'!$K81&lt;=G$2), 'ProductSprint Backlog'!$M81 / MAX(1, 'ProductSprint Backlog'!$L81-'ProductSprint Backlog'!$K81), AND('ProductSprint Backlog'!$L81=G$2,'ProductSprint Backlog'!$K81=G$2), 'ProductSprint Backlog'!$M81, TRUE, 0)</f>
        <v>0</v>
      </c>
      <c r="H81" s="4" cm="1">
        <f t="array" ref="H81">_xlfn.IFS('ProductSprint Backlog'!$M81="", "", AND('ProductSprint Backlog'!$L81&gt;H$2,'ProductSprint Backlog'!$K81&lt;=H$2), 'ProductSprint Backlog'!$M81 / MAX(1, 'ProductSprint Backlog'!$L81-'ProductSprint Backlog'!$K81), AND('ProductSprint Backlog'!$L81=H$2,'ProductSprint Backlog'!$K81=H$2), 'ProductSprint Backlog'!$M81, TRUE, 0)</f>
        <v>0</v>
      </c>
      <c r="I81" s="4" cm="1">
        <f t="array" ref="I81">_xlfn.IFS('ProductSprint Backlog'!$M81="", "", AND('ProductSprint Backlog'!$L81&gt;I$2,'ProductSprint Backlog'!$K81&lt;=I$2), 'ProductSprint Backlog'!$M81 / MAX(1, 'ProductSprint Backlog'!$L81-'ProductSprint Backlog'!$K81), AND('ProductSprint Backlog'!$L81=I$2,'ProductSprint Backlog'!$K81=I$2), 'ProductSprint Backlog'!$M81, TRUE, 0)</f>
        <v>0</v>
      </c>
      <c r="J81" s="4" cm="1">
        <f t="array" ref="J81">_xlfn.IFS('ProductSprint Backlog'!$M81="", "", AND('ProductSprint Backlog'!$L81&gt;J$2,'ProductSprint Backlog'!$K81&lt;=J$2), 'ProductSprint Backlog'!$M81 / MAX(1, 'ProductSprint Backlog'!$L81-'ProductSprint Backlog'!$K81), AND('ProductSprint Backlog'!$L81=J$2,'ProductSprint Backlog'!$K81=J$2), 'ProductSprint Backlog'!$M81, TRUE, 0)</f>
        <v>1</v>
      </c>
      <c r="K81" s="4" cm="1">
        <f t="array" ref="K81">_xlfn.IFS('ProductSprint Backlog'!$M81="", "", AND('ProductSprint Backlog'!$L81&gt;K$2,'ProductSprint Backlog'!$K81&lt;=K$2), 'ProductSprint Backlog'!$M81 / MAX(1, 'ProductSprint Backlog'!$L81-'ProductSprint Backlog'!$K81), AND('ProductSprint Backlog'!$L81=K$2,'ProductSprint Backlog'!$K81=K$2), 'ProductSprint Backlog'!$M81, TRUE, 0)</f>
        <v>0</v>
      </c>
      <c r="L81" s="4" cm="1">
        <f t="array" ref="L81">_xlfn.IFS('ProductSprint Backlog'!$M81="", "", AND('ProductSprint Backlog'!$L81&gt;L$2,'ProductSprint Backlog'!$K81&lt;=L$2), 'ProductSprint Backlog'!$M81 / MAX(1, 'ProductSprint Backlog'!$L81-'ProductSprint Backlog'!$K81), AND('ProductSprint Backlog'!$L81=L$2,'ProductSprint Backlog'!$K81=L$2), 'ProductSprint Backlog'!$M81, TRUE, 0)</f>
        <v>0</v>
      </c>
      <c r="M81" s="4" cm="1">
        <f t="array" ref="M81">_xlfn.IFS('ProductSprint Backlog'!$M81="", "", AND('ProductSprint Backlog'!$L81&gt;M$2,'ProductSprint Backlog'!$K81&lt;=M$2), 'ProductSprint Backlog'!$M81 / MAX(1, 'ProductSprint Backlog'!$L81-'ProductSprint Backlog'!$K81), AND('ProductSprint Backlog'!$L81=M$2,'ProductSprint Backlog'!$K81=M$2), 'ProductSprint Backlog'!$M81, TRUE, 0)</f>
        <v>0</v>
      </c>
      <c r="N81" s="4" cm="1">
        <f t="array" ref="N81">_xlfn.IFS('ProductSprint Backlog'!$M81="", "", AND('ProductSprint Backlog'!$L81&gt;N$2,'ProductSprint Backlog'!$K81&lt;=N$2), 'ProductSprint Backlog'!$M81 / MAX(1, 'ProductSprint Backlog'!$L81-'ProductSprint Backlog'!$K81), AND('ProductSprint Backlog'!$L81=N$2,'ProductSprint Backlog'!$K81=N$2), 'ProductSprint Backlog'!$M81, TRUE, 0)</f>
        <v>0</v>
      </c>
      <c r="O81" s="4" cm="1">
        <f t="array" ref="O81">_xlfn.IFS('ProductSprint Backlog'!$M81="", "", AND('ProductSprint Backlog'!$L81&gt;O$2,'ProductSprint Backlog'!$K81&lt;=O$2), 'ProductSprint Backlog'!$M81 / MAX(1, 'ProductSprint Backlog'!$L81-'ProductSprint Backlog'!$K81), AND('ProductSprint Backlog'!$L81=O$2,'ProductSprint Backlog'!$K81=O$2), 'ProductSprint Backlog'!$M81, TRUE, 0)</f>
        <v>0</v>
      </c>
      <c r="P81" s="4" cm="1">
        <f t="array" ref="P81">_xlfn.IFS('ProductSprint Backlog'!$M81="", "", AND('ProductSprint Backlog'!$L81&gt;P$2,'ProductSprint Backlog'!$K81&lt;=P$2), 'ProductSprint Backlog'!$M81 / MAX(1, 'ProductSprint Backlog'!$L81-'ProductSprint Backlog'!$K81), AND('ProductSprint Backlog'!$L81=P$2,'ProductSprint Backlog'!$K81=P$2), 'ProductSprint Backlog'!$M81, TRUE, 0)</f>
        <v>0</v>
      </c>
    </row>
    <row r="82" spans="2:16" x14ac:dyDescent="0.2">
      <c r="B82" s="4" cm="1">
        <f t="array" ref="B82">_xlfn.IFS('ProductSprint Backlog'!$M82="", "", AND('ProductSprint Backlog'!$L82&gt;B$2,'ProductSprint Backlog'!$K82&lt;=B$2), 'ProductSprint Backlog'!$M82 / MAX(1, 'ProductSprint Backlog'!$L82-'ProductSprint Backlog'!$K82), AND('ProductSprint Backlog'!$L82=B$2,'ProductSprint Backlog'!$K82=B$2), 'ProductSprint Backlog'!$M82, TRUE, 0)</f>
        <v>0</v>
      </c>
      <c r="C82" s="4" cm="1">
        <f t="array" ref="C82">_xlfn.IFS('ProductSprint Backlog'!$M82="", "", AND('ProductSprint Backlog'!$L82&gt;C$2,'ProductSprint Backlog'!$K82&lt;=C$2), 'ProductSprint Backlog'!$M82 / MAX(1, 'ProductSprint Backlog'!$L82-'ProductSprint Backlog'!$K82), AND('ProductSprint Backlog'!$L82=C$2,'ProductSprint Backlog'!$K82=C$2), 'ProductSprint Backlog'!$M82, TRUE, 0)</f>
        <v>0</v>
      </c>
      <c r="D82" s="4" cm="1">
        <f t="array" ref="D82">_xlfn.IFS('ProductSprint Backlog'!$M82="", "", AND('ProductSprint Backlog'!$L82&gt;D$2,'ProductSprint Backlog'!$K82&lt;=D$2), 'ProductSprint Backlog'!$M82 / MAX(1, 'ProductSprint Backlog'!$L82-'ProductSprint Backlog'!$K82), AND('ProductSprint Backlog'!$L82=D$2,'ProductSprint Backlog'!$K82=D$2), 'ProductSprint Backlog'!$M82, TRUE, 0)</f>
        <v>0</v>
      </c>
      <c r="E82" s="4" cm="1">
        <f t="array" ref="E82">_xlfn.IFS('ProductSprint Backlog'!$M82="", "", AND('ProductSprint Backlog'!$L82&gt;E$2,'ProductSprint Backlog'!$K82&lt;=E$2), 'ProductSprint Backlog'!$M82 / MAX(1, 'ProductSprint Backlog'!$L82-'ProductSprint Backlog'!$K82), AND('ProductSprint Backlog'!$L82=E$2,'ProductSprint Backlog'!$K82=E$2), 'ProductSprint Backlog'!$M82, TRUE, 0)</f>
        <v>0</v>
      </c>
      <c r="F82" s="4" cm="1">
        <f t="array" ref="F82">_xlfn.IFS('ProductSprint Backlog'!$M82="", "", AND('ProductSprint Backlog'!$L82&gt;F$2,'ProductSprint Backlog'!$K82&lt;=F$2), 'ProductSprint Backlog'!$M82 / MAX(1, 'ProductSprint Backlog'!$L82-'ProductSprint Backlog'!$K82), AND('ProductSprint Backlog'!$L82=F$2,'ProductSprint Backlog'!$K82=F$2), 'ProductSprint Backlog'!$M82, TRUE, 0)</f>
        <v>0</v>
      </c>
      <c r="G82" s="4" cm="1">
        <f t="array" ref="G82">_xlfn.IFS('ProductSprint Backlog'!$M82="", "", AND('ProductSprint Backlog'!$L82&gt;G$2,'ProductSprint Backlog'!$K82&lt;=G$2), 'ProductSprint Backlog'!$M82 / MAX(1, 'ProductSprint Backlog'!$L82-'ProductSprint Backlog'!$K82), AND('ProductSprint Backlog'!$L82=G$2,'ProductSprint Backlog'!$K82=G$2), 'ProductSprint Backlog'!$M82, TRUE, 0)</f>
        <v>0</v>
      </c>
      <c r="H82" s="4" cm="1">
        <f t="array" ref="H82">_xlfn.IFS('ProductSprint Backlog'!$M82="", "", AND('ProductSprint Backlog'!$L82&gt;H$2,'ProductSprint Backlog'!$K82&lt;=H$2), 'ProductSprint Backlog'!$M82 / MAX(1, 'ProductSprint Backlog'!$L82-'ProductSprint Backlog'!$K82), AND('ProductSprint Backlog'!$L82=H$2,'ProductSprint Backlog'!$K82=H$2), 'ProductSprint Backlog'!$M82, TRUE, 0)</f>
        <v>0</v>
      </c>
      <c r="I82" s="4" cm="1">
        <f t="array" ref="I82">_xlfn.IFS('ProductSprint Backlog'!$M82="", "", AND('ProductSprint Backlog'!$L82&gt;I$2,'ProductSprint Backlog'!$K82&lt;=I$2), 'ProductSprint Backlog'!$M82 / MAX(1, 'ProductSprint Backlog'!$L82-'ProductSprint Backlog'!$K82), AND('ProductSprint Backlog'!$L82=I$2,'ProductSprint Backlog'!$K82=I$2), 'ProductSprint Backlog'!$M82, TRUE, 0)</f>
        <v>0</v>
      </c>
      <c r="J82" s="4" cm="1">
        <f t="array" ref="J82">_xlfn.IFS('ProductSprint Backlog'!$M82="", "", AND('ProductSprint Backlog'!$L82&gt;J$2,'ProductSprint Backlog'!$K82&lt;=J$2), 'ProductSprint Backlog'!$M82 / MAX(1, 'ProductSprint Backlog'!$L82-'ProductSprint Backlog'!$K82), AND('ProductSprint Backlog'!$L82=J$2,'ProductSprint Backlog'!$K82=J$2), 'ProductSprint Backlog'!$M82, TRUE, 0)</f>
        <v>1.25</v>
      </c>
      <c r="K82" s="4" cm="1">
        <f t="array" ref="K82">_xlfn.IFS('ProductSprint Backlog'!$M82="", "", AND('ProductSprint Backlog'!$L82&gt;K$2,'ProductSprint Backlog'!$K82&lt;=K$2), 'ProductSprint Backlog'!$M82 / MAX(1, 'ProductSprint Backlog'!$L82-'ProductSprint Backlog'!$K82), AND('ProductSprint Backlog'!$L82=K$2,'ProductSprint Backlog'!$K82=K$2), 'ProductSprint Backlog'!$M82, TRUE, 0)</f>
        <v>1.25</v>
      </c>
      <c r="L82" s="4" cm="1">
        <f t="array" ref="L82">_xlfn.IFS('ProductSprint Backlog'!$M82="", "", AND('ProductSprint Backlog'!$L82&gt;L$2,'ProductSprint Backlog'!$K82&lt;=L$2), 'ProductSprint Backlog'!$M82 / MAX(1, 'ProductSprint Backlog'!$L82-'ProductSprint Backlog'!$K82), AND('ProductSprint Backlog'!$L82=L$2,'ProductSprint Backlog'!$K82=L$2), 'ProductSprint Backlog'!$M82, TRUE, 0)</f>
        <v>0</v>
      </c>
      <c r="M82" s="4" cm="1">
        <f t="array" ref="M82">_xlfn.IFS('ProductSprint Backlog'!$M82="", "", AND('ProductSprint Backlog'!$L82&gt;M$2,'ProductSprint Backlog'!$K82&lt;=M$2), 'ProductSprint Backlog'!$M82 / MAX(1, 'ProductSprint Backlog'!$L82-'ProductSprint Backlog'!$K82), AND('ProductSprint Backlog'!$L82=M$2,'ProductSprint Backlog'!$K82=M$2), 'ProductSprint Backlog'!$M82, TRUE, 0)</f>
        <v>0</v>
      </c>
      <c r="N82" s="4" cm="1">
        <f t="array" ref="N82">_xlfn.IFS('ProductSprint Backlog'!$M82="", "", AND('ProductSprint Backlog'!$L82&gt;N$2,'ProductSprint Backlog'!$K82&lt;=N$2), 'ProductSprint Backlog'!$M82 / MAX(1, 'ProductSprint Backlog'!$L82-'ProductSprint Backlog'!$K82), AND('ProductSprint Backlog'!$L82=N$2,'ProductSprint Backlog'!$K82=N$2), 'ProductSprint Backlog'!$M82, TRUE, 0)</f>
        <v>0</v>
      </c>
      <c r="O82" s="4" cm="1">
        <f t="array" ref="O82">_xlfn.IFS('ProductSprint Backlog'!$M82="", "", AND('ProductSprint Backlog'!$L82&gt;O$2,'ProductSprint Backlog'!$K82&lt;=O$2), 'ProductSprint Backlog'!$M82 / MAX(1, 'ProductSprint Backlog'!$L82-'ProductSprint Backlog'!$K82), AND('ProductSprint Backlog'!$L82=O$2,'ProductSprint Backlog'!$K82=O$2), 'ProductSprint Backlog'!$M82, TRUE, 0)</f>
        <v>0</v>
      </c>
      <c r="P82" s="4" cm="1">
        <f t="array" ref="P82">_xlfn.IFS('ProductSprint Backlog'!$M82="", "", AND('ProductSprint Backlog'!$L82&gt;P$2,'ProductSprint Backlog'!$K82&lt;=P$2), 'ProductSprint Backlog'!$M82 / MAX(1, 'ProductSprint Backlog'!$L82-'ProductSprint Backlog'!$K82), AND('ProductSprint Backlog'!$L82=P$2,'ProductSprint Backlog'!$K82=P$2), 'ProductSprint Backlog'!$M82, TRUE, 0)</f>
        <v>0</v>
      </c>
    </row>
    <row r="83" spans="2:16" x14ac:dyDescent="0.2">
      <c r="B83" s="4" cm="1">
        <f t="array" ref="B83">_xlfn.IFS('ProductSprint Backlog'!$M83="", "", AND('ProductSprint Backlog'!$L83&gt;B$2,'ProductSprint Backlog'!$K83&lt;=B$2), 'ProductSprint Backlog'!$M83 / MAX(1, 'ProductSprint Backlog'!$L83-'ProductSprint Backlog'!$K83), AND('ProductSprint Backlog'!$L83=B$2,'ProductSprint Backlog'!$K83=B$2), 'ProductSprint Backlog'!$M83, TRUE, 0)</f>
        <v>0</v>
      </c>
      <c r="C83" s="4" cm="1">
        <f t="array" ref="C83">_xlfn.IFS('ProductSprint Backlog'!$M83="", "", AND('ProductSprint Backlog'!$L83&gt;C$2,'ProductSprint Backlog'!$K83&lt;=C$2), 'ProductSprint Backlog'!$M83 / MAX(1, 'ProductSprint Backlog'!$L83-'ProductSprint Backlog'!$K83), AND('ProductSprint Backlog'!$L83=C$2,'ProductSprint Backlog'!$K83=C$2), 'ProductSprint Backlog'!$M83, TRUE, 0)</f>
        <v>0</v>
      </c>
      <c r="D83" s="4" cm="1">
        <f t="array" ref="D83">_xlfn.IFS('ProductSprint Backlog'!$M83="", "", AND('ProductSprint Backlog'!$L83&gt;D$2,'ProductSprint Backlog'!$K83&lt;=D$2), 'ProductSprint Backlog'!$M83 / MAX(1, 'ProductSprint Backlog'!$L83-'ProductSprint Backlog'!$K83), AND('ProductSprint Backlog'!$L83=D$2,'ProductSprint Backlog'!$K83=D$2), 'ProductSprint Backlog'!$M83, TRUE, 0)</f>
        <v>0</v>
      </c>
      <c r="E83" s="4" cm="1">
        <f t="array" ref="E83">_xlfn.IFS('ProductSprint Backlog'!$M83="", "", AND('ProductSprint Backlog'!$L83&gt;E$2,'ProductSprint Backlog'!$K83&lt;=E$2), 'ProductSprint Backlog'!$M83 / MAX(1, 'ProductSprint Backlog'!$L83-'ProductSprint Backlog'!$K83), AND('ProductSprint Backlog'!$L83=E$2,'ProductSprint Backlog'!$K83=E$2), 'ProductSprint Backlog'!$M83, TRUE, 0)</f>
        <v>0</v>
      </c>
      <c r="F83" s="4" cm="1">
        <f t="array" ref="F83">_xlfn.IFS('ProductSprint Backlog'!$M83="", "", AND('ProductSprint Backlog'!$L83&gt;F$2,'ProductSprint Backlog'!$K83&lt;=F$2), 'ProductSprint Backlog'!$M83 / MAX(1, 'ProductSprint Backlog'!$L83-'ProductSprint Backlog'!$K83), AND('ProductSprint Backlog'!$L83=F$2,'ProductSprint Backlog'!$K83=F$2), 'ProductSprint Backlog'!$M83, TRUE, 0)</f>
        <v>0</v>
      </c>
      <c r="G83" s="4" cm="1">
        <f t="array" ref="G83">_xlfn.IFS('ProductSprint Backlog'!$M83="", "", AND('ProductSprint Backlog'!$L83&gt;G$2,'ProductSprint Backlog'!$K83&lt;=G$2), 'ProductSprint Backlog'!$M83 / MAX(1, 'ProductSprint Backlog'!$L83-'ProductSprint Backlog'!$K83), AND('ProductSprint Backlog'!$L83=G$2,'ProductSprint Backlog'!$K83=G$2), 'ProductSprint Backlog'!$M83, TRUE, 0)</f>
        <v>0</v>
      </c>
      <c r="H83" s="4" cm="1">
        <f t="array" ref="H83">_xlfn.IFS('ProductSprint Backlog'!$M83="", "", AND('ProductSprint Backlog'!$L83&gt;H$2,'ProductSprint Backlog'!$K83&lt;=H$2), 'ProductSprint Backlog'!$M83 / MAX(1, 'ProductSprint Backlog'!$L83-'ProductSprint Backlog'!$K83), AND('ProductSprint Backlog'!$L83=H$2,'ProductSprint Backlog'!$K83=H$2), 'ProductSprint Backlog'!$M83, TRUE, 0)</f>
        <v>0</v>
      </c>
      <c r="I83" s="4" cm="1">
        <f t="array" ref="I83">_xlfn.IFS('ProductSprint Backlog'!$M83="", "", AND('ProductSprint Backlog'!$L83&gt;I$2,'ProductSprint Backlog'!$K83&lt;=I$2), 'ProductSprint Backlog'!$M83 / MAX(1, 'ProductSprint Backlog'!$L83-'ProductSprint Backlog'!$K83), AND('ProductSprint Backlog'!$L83=I$2,'ProductSprint Backlog'!$K83=I$2), 'ProductSprint Backlog'!$M83, TRUE, 0)</f>
        <v>0</v>
      </c>
      <c r="J83" s="4" cm="1">
        <f t="array" ref="J83">_xlfn.IFS('ProductSprint Backlog'!$M83="", "", AND('ProductSprint Backlog'!$L83&gt;J$2,'ProductSprint Backlog'!$K83&lt;=J$2), 'ProductSprint Backlog'!$M83 / MAX(1, 'ProductSprint Backlog'!$L83-'ProductSprint Backlog'!$K83), AND('ProductSprint Backlog'!$L83=J$2,'ProductSprint Backlog'!$K83=J$2), 'ProductSprint Backlog'!$M83, TRUE, 0)</f>
        <v>0</v>
      </c>
      <c r="K83" s="4" cm="1">
        <f t="array" ref="K83">_xlfn.IFS('ProductSprint Backlog'!$M83="", "", AND('ProductSprint Backlog'!$L83&gt;K$2,'ProductSprint Backlog'!$K83&lt;=K$2), 'ProductSprint Backlog'!$M83 / MAX(1, 'ProductSprint Backlog'!$L83-'ProductSprint Backlog'!$K83), AND('ProductSprint Backlog'!$L83=K$2,'ProductSprint Backlog'!$K83=K$2), 'ProductSprint Backlog'!$M83, TRUE, 0)</f>
        <v>0.5</v>
      </c>
      <c r="L83" s="4" cm="1">
        <f t="array" ref="L83">_xlfn.IFS('ProductSprint Backlog'!$M83="", "", AND('ProductSprint Backlog'!$L83&gt;L$2,'ProductSprint Backlog'!$K83&lt;=L$2), 'ProductSprint Backlog'!$M83 / MAX(1, 'ProductSprint Backlog'!$L83-'ProductSprint Backlog'!$K83), AND('ProductSprint Backlog'!$L83=L$2,'ProductSprint Backlog'!$K83=L$2), 'ProductSprint Backlog'!$M83, TRUE, 0)</f>
        <v>0.5</v>
      </c>
      <c r="M83" s="4" cm="1">
        <f t="array" ref="M83">_xlfn.IFS('ProductSprint Backlog'!$M83="", "", AND('ProductSprint Backlog'!$L83&gt;M$2,'ProductSprint Backlog'!$K83&lt;=M$2), 'ProductSprint Backlog'!$M83 / MAX(1, 'ProductSprint Backlog'!$L83-'ProductSprint Backlog'!$K83), AND('ProductSprint Backlog'!$L83=M$2,'ProductSprint Backlog'!$K83=M$2), 'ProductSprint Backlog'!$M83, TRUE, 0)</f>
        <v>0</v>
      </c>
      <c r="N83" s="4" cm="1">
        <f t="array" ref="N83">_xlfn.IFS('ProductSprint Backlog'!$M83="", "", AND('ProductSprint Backlog'!$L83&gt;N$2,'ProductSprint Backlog'!$K83&lt;=N$2), 'ProductSprint Backlog'!$M83 / MAX(1, 'ProductSprint Backlog'!$L83-'ProductSprint Backlog'!$K83), AND('ProductSprint Backlog'!$L83=N$2,'ProductSprint Backlog'!$K83=N$2), 'ProductSprint Backlog'!$M83, TRUE, 0)</f>
        <v>0</v>
      </c>
      <c r="O83" s="4" cm="1">
        <f t="array" ref="O83">_xlfn.IFS('ProductSprint Backlog'!$M83="", "", AND('ProductSprint Backlog'!$L83&gt;O$2,'ProductSprint Backlog'!$K83&lt;=O$2), 'ProductSprint Backlog'!$M83 / MAX(1, 'ProductSprint Backlog'!$L83-'ProductSprint Backlog'!$K83), AND('ProductSprint Backlog'!$L83=O$2,'ProductSprint Backlog'!$K83=O$2), 'ProductSprint Backlog'!$M83, TRUE, 0)</f>
        <v>0</v>
      </c>
      <c r="P83" s="4" cm="1">
        <f t="array" ref="P83">_xlfn.IFS('ProductSprint Backlog'!$M83="", "", AND('ProductSprint Backlog'!$L83&gt;P$2,'ProductSprint Backlog'!$K83&lt;=P$2), 'ProductSprint Backlog'!$M83 / MAX(1, 'ProductSprint Backlog'!$L83-'ProductSprint Backlog'!$K83), AND('ProductSprint Backlog'!$L83=P$2,'ProductSprint Backlog'!$K83=P$2), 'ProductSprint Backlog'!$M83, TRUE, 0)</f>
        <v>0</v>
      </c>
    </row>
    <row r="84" spans="2:16" x14ac:dyDescent="0.2">
      <c r="B84" s="4" cm="1">
        <f t="array" ref="B84">_xlfn.IFS('ProductSprint Backlog'!$M84="", "", AND('ProductSprint Backlog'!$L84&gt;B$2,'ProductSprint Backlog'!$K84&lt;=B$2), 'ProductSprint Backlog'!$M84 / MAX(1, 'ProductSprint Backlog'!$L84-'ProductSprint Backlog'!$K84), AND('ProductSprint Backlog'!$L84=B$2,'ProductSprint Backlog'!$K84=B$2), 'ProductSprint Backlog'!$M84, TRUE, 0)</f>
        <v>0</v>
      </c>
      <c r="C84" s="4" cm="1">
        <f t="array" ref="C84">_xlfn.IFS('ProductSprint Backlog'!$M84="", "", AND('ProductSprint Backlog'!$L84&gt;C$2,'ProductSprint Backlog'!$K84&lt;=C$2), 'ProductSprint Backlog'!$M84 / MAX(1, 'ProductSprint Backlog'!$L84-'ProductSprint Backlog'!$K84), AND('ProductSprint Backlog'!$L84=C$2,'ProductSprint Backlog'!$K84=C$2), 'ProductSprint Backlog'!$M84, TRUE, 0)</f>
        <v>0</v>
      </c>
      <c r="D84" s="4" cm="1">
        <f t="array" ref="D84">_xlfn.IFS('ProductSprint Backlog'!$M84="", "", AND('ProductSprint Backlog'!$L84&gt;D$2,'ProductSprint Backlog'!$K84&lt;=D$2), 'ProductSprint Backlog'!$M84 / MAX(1, 'ProductSprint Backlog'!$L84-'ProductSprint Backlog'!$K84), AND('ProductSprint Backlog'!$L84=D$2,'ProductSprint Backlog'!$K84=D$2), 'ProductSprint Backlog'!$M84, TRUE, 0)</f>
        <v>0</v>
      </c>
      <c r="E84" s="4" cm="1">
        <f t="array" ref="E84">_xlfn.IFS('ProductSprint Backlog'!$M84="", "", AND('ProductSprint Backlog'!$L84&gt;E$2,'ProductSprint Backlog'!$K84&lt;=E$2), 'ProductSprint Backlog'!$M84 / MAX(1, 'ProductSprint Backlog'!$L84-'ProductSprint Backlog'!$K84), AND('ProductSprint Backlog'!$L84=E$2,'ProductSprint Backlog'!$K84=E$2), 'ProductSprint Backlog'!$M84, TRUE, 0)</f>
        <v>0</v>
      </c>
      <c r="F84" s="4" cm="1">
        <f t="array" ref="F84">_xlfn.IFS('ProductSprint Backlog'!$M84="", "", AND('ProductSprint Backlog'!$L84&gt;F$2,'ProductSprint Backlog'!$K84&lt;=F$2), 'ProductSprint Backlog'!$M84 / MAX(1, 'ProductSprint Backlog'!$L84-'ProductSprint Backlog'!$K84), AND('ProductSprint Backlog'!$L84=F$2,'ProductSprint Backlog'!$K84=F$2), 'ProductSprint Backlog'!$M84, TRUE, 0)</f>
        <v>0</v>
      </c>
      <c r="G84" s="4" cm="1">
        <f t="array" ref="G84">_xlfn.IFS('ProductSprint Backlog'!$M84="", "", AND('ProductSprint Backlog'!$L84&gt;G$2,'ProductSprint Backlog'!$K84&lt;=G$2), 'ProductSprint Backlog'!$M84 / MAX(1, 'ProductSprint Backlog'!$L84-'ProductSprint Backlog'!$K84), AND('ProductSprint Backlog'!$L84=G$2,'ProductSprint Backlog'!$K84=G$2), 'ProductSprint Backlog'!$M84, TRUE, 0)</f>
        <v>0</v>
      </c>
      <c r="H84" s="4" cm="1">
        <f t="array" ref="H84">_xlfn.IFS('ProductSprint Backlog'!$M84="", "", AND('ProductSprint Backlog'!$L84&gt;H$2,'ProductSprint Backlog'!$K84&lt;=H$2), 'ProductSprint Backlog'!$M84 / MAX(1, 'ProductSprint Backlog'!$L84-'ProductSprint Backlog'!$K84), AND('ProductSprint Backlog'!$L84=H$2,'ProductSprint Backlog'!$K84=H$2), 'ProductSprint Backlog'!$M84, TRUE, 0)</f>
        <v>0</v>
      </c>
      <c r="I84" s="4" cm="1">
        <f t="array" ref="I84">_xlfn.IFS('ProductSprint Backlog'!$M84="", "", AND('ProductSprint Backlog'!$L84&gt;I$2,'ProductSprint Backlog'!$K84&lt;=I$2), 'ProductSprint Backlog'!$M84 / MAX(1, 'ProductSprint Backlog'!$L84-'ProductSprint Backlog'!$K84), AND('ProductSprint Backlog'!$L84=I$2,'ProductSprint Backlog'!$K84=I$2), 'ProductSprint Backlog'!$M84, TRUE, 0)</f>
        <v>0</v>
      </c>
      <c r="J84" s="4" cm="1">
        <f t="array" ref="J84">_xlfn.IFS('ProductSprint Backlog'!$M84="", "", AND('ProductSprint Backlog'!$L84&gt;J$2,'ProductSprint Backlog'!$K84&lt;=J$2), 'ProductSprint Backlog'!$M84 / MAX(1, 'ProductSprint Backlog'!$L84-'ProductSprint Backlog'!$K84), AND('ProductSprint Backlog'!$L84=J$2,'ProductSprint Backlog'!$K84=J$2), 'ProductSprint Backlog'!$M84, TRUE, 0)</f>
        <v>0</v>
      </c>
      <c r="K84" s="4" cm="1">
        <f t="array" ref="K84">_xlfn.IFS('ProductSprint Backlog'!$M84="", "", AND('ProductSprint Backlog'!$L84&gt;K$2,'ProductSprint Backlog'!$K84&lt;=K$2), 'ProductSprint Backlog'!$M84 / MAX(1, 'ProductSprint Backlog'!$L84-'ProductSprint Backlog'!$K84), AND('ProductSprint Backlog'!$L84=K$2,'ProductSprint Backlog'!$K84=K$2), 'ProductSprint Backlog'!$M84, TRUE, 0)</f>
        <v>0</v>
      </c>
      <c r="L84" s="4" cm="1">
        <f t="array" ref="L84">_xlfn.IFS('ProductSprint Backlog'!$M84="", "", AND('ProductSprint Backlog'!$L84&gt;L$2,'ProductSprint Backlog'!$K84&lt;=L$2), 'ProductSprint Backlog'!$M84 / MAX(1, 'ProductSprint Backlog'!$L84-'ProductSprint Backlog'!$K84), AND('ProductSprint Backlog'!$L84=L$2,'ProductSprint Backlog'!$K84=L$2), 'ProductSprint Backlog'!$M84, TRUE, 0)</f>
        <v>0.5</v>
      </c>
      <c r="M84" s="4" cm="1">
        <f t="array" ref="M84">_xlfn.IFS('ProductSprint Backlog'!$M84="", "", AND('ProductSprint Backlog'!$L84&gt;M$2,'ProductSprint Backlog'!$K84&lt;=M$2), 'ProductSprint Backlog'!$M84 / MAX(1, 'ProductSprint Backlog'!$L84-'ProductSprint Backlog'!$K84), AND('ProductSprint Backlog'!$L84=M$2,'ProductSprint Backlog'!$K84=M$2), 'ProductSprint Backlog'!$M84, TRUE, 0)</f>
        <v>0</v>
      </c>
      <c r="N84" s="4" cm="1">
        <f t="array" ref="N84">_xlfn.IFS('ProductSprint Backlog'!$M84="", "", AND('ProductSprint Backlog'!$L84&gt;N$2,'ProductSprint Backlog'!$K84&lt;=N$2), 'ProductSprint Backlog'!$M84 / MAX(1, 'ProductSprint Backlog'!$L84-'ProductSprint Backlog'!$K84), AND('ProductSprint Backlog'!$L84=N$2,'ProductSprint Backlog'!$K84=N$2), 'ProductSprint Backlog'!$M84, TRUE, 0)</f>
        <v>0</v>
      </c>
      <c r="O84" s="4" cm="1">
        <f t="array" ref="O84">_xlfn.IFS('ProductSprint Backlog'!$M84="", "", AND('ProductSprint Backlog'!$L84&gt;O$2,'ProductSprint Backlog'!$K84&lt;=O$2), 'ProductSprint Backlog'!$M84 / MAX(1, 'ProductSprint Backlog'!$L84-'ProductSprint Backlog'!$K84), AND('ProductSprint Backlog'!$L84=O$2,'ProductSprint Backlog'!$K84=O$2), 'ProductSprint Backlog'!$M84, TRUE, 0)</f>
        <v>0</v>
      </c>
      <c r="P84" s="4" cm="1">
        <f t="array" ref="P84">_xlfn.IFS('ProductSprint Backlog'!$M84="", "", AND('ProductSprint Backlog'!$L84&gt;P$2,'ProductSprint Backlog'!$K84&lt;=P$2), 'ProductSprint Backlog'!$M84 / MAX(1, 'ProductSprint Backlog'!$L84-'ProductSprint Backlog'!$K84), AND('ProductSprint Backlog'!$L84=P$2,'ProductSprint Backlog'!$K84=P$2), 'ProductSprint Backlog'!$M84, TRUE, 0)</f>
        <v>0</v>
      </c>
    </row>
    <row r="85" spans="2:16" x14ac:dyDescent="0.2">
      <c r="B85" s="4" t="str" cm="1">
        <f t="array" ref="B85">_xlfn.IFS('ProductSprint Backlog'!$M85="", "", AND('ProductSprint Backlog'!$L85&gt;B$2,'ProductSprint Backlog'!$K85&lt;=B$2), 'ProductSprint Backlog'!$M85 / MAX(1, 'ProductSprint Backlog'!$L85-'ProductSprint Backlog'!$K85), AND('ProductSprint Backlog'!$L85=B$2,'ProductSprint Backlog'!$K85=B$2), 'ProductSprint Backlog'!$M85, TRUE, 0)</f>
        <v/>
      </c>
      <c r="C85" s="4" t="str" cm="1">
        <f t="array" ref="C85">_xlfn.IFS('ProductSprint Backlog'!$M85="", "", AND('ProductSprint Backlog'!$L85&gt;C$2,'ProductSprint Backlog'!$K85&lt;=C$2), 'ProductSprint Backlog'!$M85 / MAX(1, 'ProductSprint Backlog'!$L85-'ProductSprint Backlog'!$K85), AND('ProductSprint Backlog'!$L85=C$2,'ProductSprint Backlog'!$K85=C$2), 'ProductSprint Backlog'!$M85, TRUE, 0)</f>
        <v/>
      </c>
      <c r="D85" s="4" t="str" cm="1">
        <f t="array" ref="D85">_xlfn.IFS('ProductSprint Backlog'!$M85="", "", AND('ProductSprint Backlog'!$L85&gt;D$2,'ProductSprint Backlog'!$K85&lt;=D$2), 'ProductSprint Backlog'!$M85 / MAX(1, 'ProductSprint Backlog'!$L85-'ProductSprint Backlog'!$K85), AND('ProductSprint Backlog'!$L85=D$2,'ProductSprint Backlog'!$K85=D$2), 'ProductSprint Backlog'!$M85, TRUE, 0)</f>
        <v/>
      </c>
      <c r="E85" s="4" t="str" cm="1">
        <f t="array" ref="E85">_xlfn.IFS('ProductSprint Backlog'!$M85="", "", AND('ProductSprint Backlog'!$L85&gt;E$2,'ProductSprint Backlog'!$K85&lt;=E$2), 'ProductSprint Backlog'!$M85 / MAX(1, 'ProductSprint Backlog'!$L85-'ProductSprint Backlog'!$K85), AND('ProductSprint Backlog'!$L85=E$2,'ProductSprint Backlog'!$K85=E$2), 'ProductSprint Backlog'!$M85, TRUE, 0)</f>
        <v/>
      </c>
      <c r="F85" s="4" t="str" cm="1">
        <f t="array" ref="F85">_xlfn.IFS('ProductSprint Backlog'!$M85="", "", AND('ProductSprint Backlog'!$L85&gt;F$2,'ProductSprint Backlog'!$K85&lt;=F$2), 'ProductSprint Backlog'!$M85 / MAX(1, 'ProductSprint Backlog'!$L85-'ProductSprint Backlog'!$K85), AND('ProductSprint Backlog'!$L85=F$2,'ProductSprint Backlog'!$K85=F$2), 'ProductSprint Backlog'!$M85, TRUE, 0)</f>
        <v/>
      </c>
      <c r="G85" s="4" t="str" cm="1">
        <f t="array" ref="G85">_xlfn.IFS('ProductSprint Backlog'!$M85="", "", AND('ProductSprint Backlog'!$L85&gt;G$2,'ProductSprint Backlog'!$K85&lt;=G$2), 'ProductSprint Backlog'!$M85 / MAX(1, 'ProductSprint Backlog'!$L85-'ProductSprint Backlog'!$K85), AND('ProductSprint Backlog'!$L85=G$2,'ProductSprint Backlog'!$K85=G$2), 'ProductSprint Backlog'!$M85, TRUE, 0)</f>
        <v/>
      </c>
      <c r="H85" s="4" t="str" cm="1">
        <f t="array" ref="H85">_xlfn.IFS('ProductSprint Backlog'!$M85="", "", AND('ProductSprint Backlog'!$L85&gt;H$2,'ProductSprint Backlog'!$K85&lt;=H$2), 'ProductSprint Backlog'!$M85 / MAX(1, 'ProductSprint Backlog'!$L85-'ProductSprint Backlog'!$K85), AND('ProductSprint Backlog'!$L85=H$2,'ProductSprint Backlog'!$K85=H$2), 'ProductSprint Backlog'!$M85, TRUE, 0)</f>
        <v/>
      </c>
      <c r="I85" s="4" t="str" cm="1">
        <f t="array" ref="I85">_xlfn.IFS('ProductSprint Backlog'!$M85="", "", AND('ProductSprint Backlog'!$L85&gt;I$2,'ProductSprint Backlog'!$K85&lt;=I$2), 'ProductSprint Backlog'!$M85 / MAX(1, 'ProductSprint Backlog'!$L85-'ProductSprint Backlog'!$K85), AND('ProductSprint Backlog'!$L85=I$2,'ProductSprint Backlog'!$K85=I$2), 'ProductSprint Backlog'!$M85, TRUE, 0)</f>
        <v/>
      </c>
      <c r="J85" s="4" t="str" cm="1">
        <f t="array" ref="J85">_xlfn.IFS('ProductSprint Backlog'!$M85="", "", AND('ProductSprint Backlog'!$L85&gt;J$2,'ProductSprint Backlog'!$K85&lt;=J$2), 'ProductSprint Backlog'!$M85 / MAX(1, 'ProductSprint Backlog'!$L85-'ProductSprint Backlog'!$K85), AND('ProductSprint Backlog'!$L85=J$2,'ProductSprint Backlog'!$K85=J$2), 'ProductSprint Backlog'!$M85, TRUE, 0)</f>
        <v/>
      </c>
      <c r="K85" s="4" t="str" cm="1">
        <f t="array" ref="K85">_xlfn.IFS('ProductSprint Backlog'!$M85="", "", AND('ProductSprint Backlog'!$L85&gt;K$2,'ProductSprint Backlog'!$K85&lt;=K$2), 'ProductSprint Backlog'!$M85 / MAX(1, 'ProductSprint Backlog'!$L85-'ProductSprint Backlog'!$K85), AND('ProductSprint Backlog'!$L85=K$2,'ProductSprint Backlog'!$K85=K$2), 'ProductSprint Backlog'!$M85, TRUE, 0)</f>
        <v/>
      </c>
      <c r="L85" s="4" t="str" cm="1">
        <f t="array" ref="L85">_xlfn.IFS('ProductSprint Backlog'!$M85="", "", AND('ProductSprint Backlog'!$L85&gt;L$2,'ProductSprint Backlog'!$K85&lt;=L$2), 'ProductSprint Backlog'!$M85 / MAX(1, 'ProductSprint Backlog'!$L85-'ProductSprint Backlog'!$K85), AND('ProductSprint Backlog'!$L85=L$2,'ProductSprint Backlog'!$K85=L$2), 'ProductSprint Backlog'!$M85, TRUE, 0)</f>
        <v/>
      </c>
      <c r="M85" s="4" t="str" cm="1">
        <f t="array" ref="M85">_xlfn.IFS('ProductSprint Backlog'!$M85="", "", AND('ProductSprint Backlog'!$L85&gt;M$2,'ProductSprint Backlog'!$K85&lt;=M$2), 'ProductSprint Backlog'!$M85 / MAX(1, 'ProductSprint Backlog'!$L85-'ProductSprint Backlog'!$K85), AND('ProductSprint Backlog'!$L85=M$2,'ProductSprint Backlog'!$K85=M$2), 'ProductSprint Backlog'!$M85, TRUE, 0)</f>
        <v/>
      </c>
      <c r="N85" s="4" t="str" cm="1">
        <f t="array" ref="N85">_xlfn.IFS('ProductSprint Backlog'!$M85="", "", AND('ProductSprint Backlog'!$L85&gt;N$2,'ProductSprint Backlog'!$K85&lt;=N$2), 'ProductSprint Backlog'!$M85 / MAX(1, 'ProductSprint Backlog'!$L85-'ProductSprint Backlog'!$K85), AND('ProductSprint Backlog'!$L85=N$2,'ProductSprint Backlog'!$K85=N$2), 'ProductSprint Backlog'!$M85, TRUE, 0)</f>
        <v/>
      </c>
      <c r="O85" s="4" t="str" cm="1">
        <f t="array" ref="O85">_xlfn.IFS('ProductSprint Backlog'!$M85="", "", AND('ProductSprint Backlog'!$L85&gt;O$2,'ProductSprint Backlog'!$K85&lt;=O$2), 'ProductSprint Backlog'!$M85 / MAX(1, 'ProductSprint Backlog'!$L85-'ProductSprint Backlog'!$K85), AND('ProductSprint Backlog'!$L85=O$2,'ProductSprint Backlog'!$K85=O$2), 'ProductSprint Backlog'!$M85, TRUE, 0)</f>
        <v/>
      </c>
      <c r="P85" s="4" t="str" cm="1">
        <f t="array" ref="P85">_xlfn.IFS('ProductSprint Backlog'!$M85="", "", AND('ProductSprint Backlog'!$L85&gt;P$2,'ProductSprint Backlog'!$K85&lt;=P$2), 'ProductSprint Backlog'!$M85 / MAX(1, 'ProductSprint Backlog'!$L85-'ProductSprint Backlog'!$K85), AND('ProductSprint Backlog'!$L85=P$2,'ProductSprint Backlog'!$K85=P$2), 'ProductSprint Backlog'!$M85, TRUE, 0)</f>
        <v/>
      </c>
    </row>
    <row r="86" spans="2:16" x14ac:dyDescent="0.2">
      <c r="B86" s="4" cm="1">
        <f t="array" ref="B86">_xlfn.IFS('ProductSprint Backlog'!$M86="", "", AND('ProductSprint Backlog'!$L86&gt;B$2,'ProductSprint Backlog'!$K86&lt;=B$2), 'ProductSprint Backlog'!$M86 / MAX(1, 'ProductSprint Backlog'!$L86-'ProductSprint Backlog'!$K86), AND('ProductSprint Backlog'!$L86=B$2,'ProductSprint Backlog'!$K86=B$2), 'ProductSprint Backlog'!$M86, TRUE, 0)</f>
        <v>0</v>
      </c>
      <c r="C86" s="4" cm="1">
        <f t="array" ref="C86">_xlfn.IFS('ProductSprint Backlog'!$M86="", "", AND('ProductSprint Backlog'!$L86&gt;C$2,'ProductSprint Backlog'!$K86&lt;=C$2), 'ProductSprint Backlog'!$M86 / MAX(1, 'ProductSprint Backlog'!$L86-'ProductSprint Backlog'!$K86), AND('ProductSprint Backlog'!$L86=C$2,'ProductSprint Backlog'!$K86=C$2), 'ProductSprint Backlog'!$M86, TRUE, 0)</f>
        <v>0</v>
      </c>
      <c r="D86" s="4" cm="1">
        <f t="array" ref="D86">_xlfn.IFS('ProductSprint Backlog'!$M86="", "", AND('ProductSprint Backlog'!$L86&gt;D$2,'ProductSprint Backlog'!$K86&lt;=D$2), 'ProductSprint Backlog'!$M86 / MAX(1, 'ProductSprint Backlog'!$L86-'ProductSprint Backlog'!$K86), AND('ProductSprint Backlog'!$L86=D$2,'ProductSprint Backlog'!$K86=D$2), 'ProductSprint Backlog'!$M86, TRUE, 0)</f>
        <v>0</v>
      </c>
      <c r="E86" s="4" cm="1">
        <f t="array" ref="E86">_xlfn.IFS('ProductSprint Backlog'!$M86="", "", AND('ProductSprint Backlog'!$L86&gt;E$2,'ProductSprint Backlog'!$K86&lt;=E$2), 'ProductSprint Backlog'!$M86 / MAX(1, 'ProductSprint Backlog'!$L86-'ProductSprint Backlog'!$K86), AND('ProductSprint Backlog'!$L86=E$2,'ProductSprint Backlog'!$K86=E$2), 'ProductSprint Backlog'!$M86, TRUE, 0)</f>
        <v>0</v>
      </c>
      <c r="F86" s="4" cm="1">
        <f t="array" ref="F86">_xlfn.IFS('ProductSprint Backlog'!$M86="", "", AND('ProductSprint Backlog'!$L86&gt;F$2,'ProductSprint Backlog'!$K86&lt;=F$2), 'ProductSprint Backlog'!$M86 / MAX(1, 'ProductSprint Backlog'!$L86-'ProductSprint Backlog'!$K86), AND('ProductSprint Backlog'!$L86=F$2,'ProductSprint Backlog'!$K86=F$2), 'ProductSprint Backlog'!$M86, TRUE, 0)</f>
        <v>0</v>
      </c>
      <c r="G86" s="4" cm="1">
        <f t="array" ref="G86">_xlfn.IFS('ProductSprint Backlog'!$M86="", "", AND('ProductSprint Backlog'!$L86&gt;G$2,'ProductSprint Backlog'!$K86&lt;=G$2), 'ProductSprint Backlog'!$M86 / MAX(1, 'ProductSprint Backlog'!$L86-'ProductSprint Backlog'!$K86), AND('ProductSprint Backlog'!$L86=G$2,'ProductSprint Backlog'!$K86=G$2), 'ProductSprint Backlog'!$M86, TRUE, 0)</f>
        <v>0</v>
      </c>
      <c r="H86" s="4" cm="1">
        <f t="array" ref="H86">_xlfn.IFS('ProductSprint Backlog'!$M86="", "", AND('ProductSprint Backlog'!$L86&gt;H$2,'ProductSprint Backlog'!$K86&lt;=H$2), 'ProductSprint Backlog'!$M86 / MAX(1, 'ProductSprint Backlog'!$L86-'ProductSprint Backlog'!$K86), AND('ProductSprint Backlog'!$L86=H$2,'ProductSprint Backlog'!$K86=H$2), 'ProductSprint Backlog'!$M86, TRUE, 0)</f>
        <v>0</v>
      </c>
      <c r="I86" s="4" cm="1">
        <f t="array" ref="I86">_xlfn.IFS('ProductSprint Backlog'!$M86="", "", AND('ProductSprint Backlog'!$L86&gt;I$2,'ProductSprint Backlog'!$K86&lt;=I$2), 'ProductSprint Backlog'!$M86 / MAX(1, 'ProductSprint Backlog'!$L86-'ProductSprint Backlog'!$K86), AND('ProductSprint Backlog'!$L86=I$2,'ProductSprint Backlog'!$K86=I$2), 'ProductSprint Backlog'!$M86, TRUE, 0)</f>
        <v>0</v>
      </c>
      <c r="J86" s="4" cm="1">
        <f t="array" ref="J86">_xlfn.IFS('ProductSprint Backlog'!$M86="", "", AND('ProductSprint Backlog'!$L86&gt;J$2,'ProductSprint Backlog'!$K86&lt;=J$2), 'ProductSprint Backlog'!$M86 / MAX(1, 'ProductSprint Backlog'!$L86-'ProductSprint Backlog'!$K86), AND('ProductSprint Backlog'!$L86=J$2,'ProductSprint Backlog'!$K86=J$2), 'ProductSprint Backlog'!$M86, TRUE, 0)</f>
        <v>0</v>
      </c>
      <c r="K86" s="4" cm="1">
        <f t="array" ref="K86">_xlfn.IFS('ProductSprint Backlog'!$M86="", "", AND('ProductSprint Backlog'!$L86&gt;K$2,'ProductSprint Backlog'!$K86&lt;=K$2), 'ProductSprint Backlog'!$M86 / MAX(1, 'ProductSprint Backlog'!$L86-'ProductSprint Backlog'!$K86), AND('ProductSprint Backlog'!$L86=K$2,'ProductSprint Backlog'!$K86=K$2), 'ProductSprint Backlog'!$M86, TRUE, 0)</f>
        <v>0</v>
      </c>
      <c r="L86" s="4" cm="1">
        <f t="array" ref="L86">_xlfn.IFS('ProductSprint Backlog'!$M86="", "", AND('ProductSprint Backlog'!$L86&gt;L$2,'ProductSprint Backlog'!$K86&lt;=L$2), 'ProductSprint Backlog'!$M86 / MAX(1, 'ProductSprint Backlog'!$L86-'ProductSprint Backlog'!$K86), AND('ProductSprint Backlog'!$L86=L$2,'ProductSprint Backlog'!$K86=L$2), 'ProductSprint Backlog'!$M86, TRUE, 0)</f>
        <v>0</v>
      </c>
      <c r="M86" s="4" cm="1">
        <f t="array" ref="M86">_xlfn.IFS('ProductSprint Backlog'!$M86="", "", AND('ProductSprint Backlog'!$L86&gt;M$2,'ProductSprint Backlog'!$K86&lt;=M$2), 'ProductSprint Backlog'!$M86 / MAX(1, 'ProductSprint Backlog'!$L86-'ProductSprint Backlog'!$K86), AND('ProductSprint Backlog'!$L86=M$2,'ProductSprint Backlog'!$K86=M$2), 'ProductSprint Backlog'!$M86, TRUE, 0)</f>
        <v>0</v>
      </c>
      <c r="N86" s="4" cm="1">
        <f t="array" ref="N86">_xlfn.IFS('ProductSprint Backlog'!$M86="", "", AND('ProductSprint Backlog'!$L86&gt;N$2,'ProductSprint Backlog'!$K86&lt;=N$2), 'ProductSprint Backlog'!$M86 / MAX(1, 'ProductSprint Backlog'!$L86-'ProductSprint Backlog'!$K86), AND('ProductSprint Backlog'!$L86=N$2,'ProductSprint Backlog'!$K86=N$2), 'ProductSprint Backlog'!$M86, TRUE, 0)</f>
        <v>0</v>
      </c>
      <c r="O86" s="4" cm="1">
        <f t="array" ref="O86">_xlfn.IFS('ProductSprint Backlog'!$M86="", "", AND('ProductSprint Backlog'!$L86&gt;O$2,'ProductSprint Backlog'!$K86&lt;=O$2), 'ProductSprint Backlog'!$M86 / MAX(1, 'ProductSprint Backlog'!$L86-'ProductSprint Backlog'!$K86), AND('ProductSprint Backlog'!$L86=O$2,'ProductSprint Backlog'!$K86=O$2), 'ProductSprint Backlog'!$M86, TRUE, 0)</f>
        <v>0</v>
      </c>
      <c r="P86" s="4" cm="1">
        <f t="array" ref="P86">_xlfn.IFS('ProductSprint Backlog'!$M86="", "", AND('ProductSprint Backlog'!$L86&gt;P$2,'ProductSprint Backlog'!$K86&lt;=P$2), 'ProductSprint Backlog'!$M86 / MAX(1, 'ProductSprint Backlog'!$L86-'ProductSprint Backlog'!$K86), AND('ProductSprint Backlog'!$L86=P$2,'ProductSprint Backlog'!$K86=P$2), 'ProductSprint Backlog'!$M86, TRUE, 0)</f>
        <v>0</v>
      </c>
    </row>
    <row r="87" spans="2:16" x14ac:dyDescent="0.2">
      <c r="B87" s="4" cm="1">
        <f t="array" ref="B87">_xlfn.IFS('ProductSprint Backlog'!$M87="", "", AND('ProductSprint Backlog'!$L87&gt;B$2,'ProductSprint Backlog'!$K87&lt;=B$2), 'ProductSprint Backlog'!$M87 / MAX(1, 'ProductSprint Backlog'!$L87-'ProductSprint Backlog'!$K87), AND('ProductSprint Backlog'!$L87=B$2,'ProductSprint Backlog'!$K87=B$2), 'ProductSprint Backlog'!$M87, TRUE, 0)</f>
        <v>0</v>
      </c>
      <c r="C87" s="4" cm="1">
        <f t="array" ref="C87">_xlfn.IFS('ProductSprint Backlog'!$M87="", "", AND('ProductSprint Backlog'!$L87&gt;C$2,'ProductSprint Backlog'!$K87&lt;=C$2), 'ProductSprint Backlog'!$M87 / MAX(1, 'ProductSprint Backlog'!$L87-'ProductSprint Backlog'!$K87), AND('ProductSprint Backlog'!$L87=C$2,'ProductSprint Backlog'!$K87=C$2), 'ProductSprint Backlog'!$M87, TRUE, 0)</f>
        <v>0</v>
      </c>
      <c r="D87" s="4" cm="1">
        <f t="array" ref="D87">_xlfn.IFS('ProductSprint Backlog'!$M87="", "", AND('ProductSprint Backlog'!$L87&gt;D$2,'ProductSprint Backlog'!$K87&lt;=D$2), 'ProductSprint Backlog'!$M87 / MAX(1, 'ProductSprint Backlog'!$L87-'ProductSprint Backlog'!$K87), AND('ProductSprint Backlog'!$L87=D$2,'ProductSprint Backlog'!$K87=D$2), 'ProductSprint Backlog'!$M87, TRUE, 0)</f>
        <v>0</v>
      </c>
      <c r="E87" s="4" cm="1">
        <f t="array" ref="E87">_xlfn.IFS('ProductSprint Backlog'!$M87="", "", AND('ProductSprint Backlog'!$L87&gt;E$2,'ProductSprint Backlog'!$K87&lt;=E$2), 'ProductSprint Backlog'!$M87 / MAX(1, 'ProductSprint Backlog'!$L87-'ProductSprint Backlog'!$K87), AND('ProductSprint Backlog'!$L87=E$2,'ProductSprint Backlog'!$K87=E$2), 'ProductSprint Backlog'!$M87, TRUE, 0)</f>
        <v>0</v>
      </c>
      <c r="F87" s="4" cm="1">
        <f t="array" ref="F87">_xlfn.IFS('ProductSprint Backlog'!$M87="", "", AND('ProductSprint Backlog'!$L87&gt;F$2,'ProductSprint Backlog'!$K87&lt;=F$2), 'ProductSprint Backlog'!$M87 / MAX(1, 'ProductSprint Backlog'!$L87-'ProductSprint Backlog'!$K87), AND('ProductSprint Backlog'!$L87=F$2,'ProductSprint Backlog'!$K87=F$2), 'ProductSprint Backlog'!$M87, TRUE, 0)</f>
        <v>0</v>
      </c>
      <c r="G87" s="4" cm="1">
        <f t="array" ref="G87">_xlfn.IFS('ProductSprint Backlog'!$M87="", "", AND('ProductSprint Backlog'!$L87&gt;G$2,'ProductSprint Backlog'!$K87&lt;=G$2), 'ProductSprint Backlog'!$M87 / MAX(1, 'ProductSprint Backlog'!$L87-'ProductSprint Backlog'!$K87), AND('ProductSprint Backlog'!$L87=G$2,'ProductSprint Backlog'!$K87=G$2), 'ProductSprint Backlog'!$M87, TRUE, 0)</f>
        <v>0</v>
      </c>
      <c r="H87" s="4" cm="1">
        <f t="array" ref="H87">_xlfn.IFS('ProductSprint Backlog'!$M87="", "", AND('ProductSprint Backlog'!$L87&gt;H$2,'ProductSprint Backlog'!$K87&lt;=H$2), 'ProductSprint Backlog'!$M87 / MAX(1, 'ProductSprint Backlog'!$L87-'ProductSprint Backlog'!$K87), AND('ProductSprint Backlog'!$L87=H$2,'ProductSprint Backlog'!$K87=H$2), 'ProductSprint Backlog'!$M87, TRUE, 0)</f>
        <v>0</v>
      </c>
      <c r="I87" s="4" cm="1">
        <f t="array" ref="I87">_xlfn.IFS('ProductSprint Backlog'!$M87="", "", AND('ProductSprint Backlog'!$L87&gt;I$2,'ProductSprint Backlog'!$K87&lt;=I$2), 'ProductSprint Backlog'!$M87 / MAX(1, 'ProductSprint Backlog'!$L87-'ProductSprint Backlog'!$K87), AND('ProductSprint Backlog'!$L87=I$2,'ProductSprint Backlog'!$K87=I$2), 'ProductSprint Backlog'!$M87, TRUE, 0)</f>
        <v>0</v>
      </c>
      <c r="J87" s="4" cm="1">
        <f t="array" ref="J87">_xlfn.IFS('ProductSprint Backlog'!$M87="", "", AND('ProductSprint Backlog'!$L87&gt;J$2,'ProductSprint Backlog'!$K87&lt;=J$2), 'ProductSprint Backlog'!$M87 / MAX(1, 'ProductSprint Backlog'!$L87-'ProductSprint Backlog'!$K87), AND('ProductSprint Backlog'!$L87=J$2,'ProductSprint Backlog'!$K87=J$2), 'ProductSprint Backlog'!$M87, TRUE, 0)</f>
        <v>0</v>
      </c>
      <c r="K87" s="4" cm="1">
        <f t="array" ref="K87">_xlfn.IFS('ProductSprint Backlog'!$M87="", "", AND('ProductSprint Backlog'!$L87&gt;K$2,'ProductSprint Backlog'!$K87&lt;=K$2), 'ProductSprint Backlog'!$M87 / MAX(1, 'ProductSprint Backlog'!$L87-'ProductSprint Backlog'!$K87), AND('ProductSprint Backlog'!$L87=K$2,'ProductSprint Backlog'!$K87=K$2), 'ProductSprint Backlog'!$M87, TRUE, 0)</f>
        <v>0</v>
      </c>
      <c r="L87" s="4" cm="1">
        <f t="array" ref="L87">_xlfn.IFS('ProductSprint Backlog'!$M87="", "", AND('ProductSprint Backlog'!$L87&gt;L$2,'ProductSprint Backlog'!$K87&lt;=L$2), 'ProductSprint Backlog'!$M87 / MAX(1, 'ProductSprint Backlog'!$L87-'ProductSprint Backlog'!$K87), AND('ProductSprint Backlog'!$L87=L$2,'ProductSprint Backlog'!$K87=L$2), 'ProductSprint Backlog'!$M87, TRUE, 0)</f>
        <v>0</v>
      </c>
      <c r="M87" s="4" cm="1">
        <f t="array" ref="M87">_xlfn.IFS('ProductSprint Backlog'!$M87="", "", AND('ProductSprint Backlog'!$L87&gt;M$2,'ProductSprint Backlog'!$K87&lt;=M$2), 'ProductSprint Backlog'!$M87 / MAX(1, 'ProductSprint Backlog'!$L87-'ProductSprint Backlog'!$K87), AND('ProductSprint Backlog'!$L87=M$2,'ProductSprint Backlog'!$K87=M$2), 'ProductSprint Backlog'!$M87, TRUE, 0)</f>
        <v>0</v>
      </c>
      <c r="N87" s="4" cm="1">
        <f t="array" ref="N87">_xlfn.IFS('ProductSprint Backlog'!$M87="", "", AND('ProductSprint Backlog'!$L87&gt;N$2,'ProductSprint Backlog'!$K87&lt;=N$2), 'ProductSprint Backlog'!$M87 / MAX(1, 'ProductSprint Backlog'!$L87-'ProductSprint Backlog'!$K87), AND('ProductSprint Backlog'!$L87=N$2,'ProductSprint Backlog'!$K87=N$2), 'ProductSprint Backlog'!$M87, TRUE, 0)</f>
        <v>0</v>
      </c>
      <c r="O87" s="4" cm="1">
        <f t="array" ref="O87">_xlfn.IFS('ProductSprint Backlog'!$M87="", "", AND('ProductSprint Backlog'!$L87&gt;O$2,'ProductSprint Backlog'!$K87&lt;=O$2), 'ProductSprint Backlog'!$M87 / MAX(1, 'ProductSprint Backlog'!$L87-'ProductSprint Backlog'!$K87), AND('ProductSprint Backlog'!$L87=O$2,'ProductSprint Backlog'!$K87=O$2), 'ProductSprint Backlog'!$M87, TRUE, 0)</f>
        <v>0</v>
      </c>
      <c r="P87" s="4" cm="1">
        <f t="array" ref="P87">_xlfn.IFS('ProductSprint Backlog'!$M87="", "", AND('ProductSprint Backlog'!$L87&gt;P$2,'ProductSprint Backlog'!$K87&lt;=P$2), 'ProductSprint Backlog'!$M87 / MAX(1, 'ProductSprint Backlog'!$L87-'ProductSprint Backlog'!$K87), AND('ProductSprint Backlog'!$L87=P$2,'ProductSprint Backlog'!$K87=P$2), 'ProductSprint Backlog'!$M87, TRUE, 0)</f>
        <v>0</v>
      </c>
    </row>
    <row r="88" spans="2:16" x14ac:dyDescent="0.2">
      <c r="B88" s="4" t="str">
        <f>IF('Tabla de Esfuerzo'!B93="", "", 'Tabla de Esfuerzo'!B93 / MAX(1, COUNTIF('Tabla de Esfuerzo'!$B93:$O93, "&lt;&gt;0")))</f>
        <v/>
      </c>
      <c r="C88" s="4" t="str">
        <f>IF('Tabla de Esfuerzo'!C93="", "", 'Tabla de Esfuerzo'!C93 / MAX(1, COUNTIF('Tabla de Esfuerzo'!$B93:$O93, "&lt;&gt;0")))</f>
        <v/>
      </c>
      <c r="D88" s="4" t="str">
        <f>IF('Tabla de Esfuerzo'!D93="", "", 'Tabla de Esfuerzo'!D93 / MAX(1, COUNTIF('Tabla de Esfuerzo'!$B93:$O93, "&lt;&gt;0")))</f>
        <v/>
      </c>
      <c r="E88" s="4" t="str">
        <f>IF('Tabla de Esfuerzo'!E93="", "", 'Tabla de Esfuerzo'!E93 / MAX(1, COUNTIF('Tabla de Esfuerzo'!$B93:$O93, "&lt;&gt;0")))</f>
        <v/>
      </c>
      <c r="F88" s="4" t="str">
        <f>IF('Tabla de Esfuerzo'!F93="", "", 'Tabla de Esfuerzo'!F93 / MAX(1, COUNTIF('Tabla de Esfuerzo'!$B93:$O93, "&lt;&gt;0")))</f>
        <v/>
      </c>
      <c r="G88" s="4" t="str">
        <f>IF('Tabla de Esfuerzo'!G93="", "", 'Tabla de Esfuerzo'!G93 / MAX(1, COUNTIF('Tabla de Esfuerzo'!$B93:$O93, "&lt;&gt;0")))</f>
        <v/>
      </c>
      <c r="H88" s="4" t="str">
        <f>IF('Tabla de Esfuerzo'!H93="", "", 'Tabla de Esfuerzo'!H93 / MAX(1, COUNTIF('Tabla de Esfuerzo'!$B93:$O93, "&lt;&gt;0")))</f>
        <v/>
      </c>
      <c r="I88" s="4" t="str">
        <f>IF('Tabla de Esfuerzo'!I93="", "", 'Tabla de Esfuerzo'!I93 / MAX(1, COUNTIF('Tabla de Esfuerzo'!$B93:$O93, "&lt;&gt;0")))</f>
        <v/>
      </c>
      <c r="J88" s="4" t="str">
        <f>IF('Tabla de Esfuerzo'!J93="", "", 'Tabla de Esfuerzo'!J93 / MAX(1, COUNTIF('Tabla de Esfuerzo'!$B93:$O93, "&lt;&gt;0")))</f>
        <v/>
      </c>
      <c r="K88" s="4" t="str">
        <f>IF('Tabla de Esfuerzo'!K93="", "", 'Tabla de Esfuerzo'!K93 / MAX(1, COUNTIF('Tabla de Esfuerzo'!$B93:$O93, "&lt;&gt;0")))</f>
        <v/>
      </c>
      <c r="L88" s="4" t="str">
        <f>IF('Tabla de Esfuerzo'!L93="", "", 'Tabla de Esfuerzo'!L93 / MAX(1, COUNTIF('Tabla de Esfuerzo'!$B93:$O93, "&lt;&gt;0")))</f>
        <v/>
      </c>
      <c r="M88" s="4" t="str">
        <f>IF('Tabla de Esfuerzo'!M93="", "", 'Tabla de Esfuerzo'!M93 / MAX(1, COUNTIF('Tabla de Esfuerzo'!$B93:$O93, "&lt;&gt;0")))</f>
        <v/>
      </c>
      <c r="N88" s="4" t="str">
        <f>IF('Tabla de Esfuerzo'!N93="", "", 'Tabla de Esfuerzo'!N93 / MAX(1, COUNTIF('Tabla de Esfuerzo'!$B93:$O93, "&lt;&gt;0")))</f>
        <v/>
      </c>
      <c r="O88" s="4" t="str">
        <f>IF('Tabla de Esfuerzo'!O93="", "", 'Tabla de Esfuerzo'!O93 / MAX(1, COUNTIF('Tabla de Esfuerzo'!$B93:$O93, "&lt;&gt;0")))</f>
        <v/>
      </c>
    </row>
    <row r="89" spans="2:16" x14ac:dyDescent="0.2">
      <c r="B89" s="4" t="str">
        <f>IF('Tabla de Esfuerzo'!B94="", "", 'Tabla de Esfuerzo'!B94 / MAX(1, COUNTIF('Tabla de Esfuerzo'!$B94:$O94, "&lt;&gt;0")))</f>
        <v/>
      </c>
      <c r="C89" s="4" t="str">
        <f>IF('Tabla de Esfuerzo'!C94="", "", 'Tabla de Esfuerzo'!C94 / MAX(1, COUNTIF('Tabla de Esfuerzo'!$B94:$O94, "&lt;&gt;0")))</f>
        <v/>
      </c>
      <c r="D89" s="4" t="str">
        <f>IF('Tabla de Esfuerzo'!D94="", "", 'Tabla de Esfuerzo'!D94 / MAX(1, COUNTIF('Tabla de Esfuerzo'!$B94:$O94, "&lt;&gt;0")))</f>
        <v/>
      </c>
      <c r="E89" s="4" t="str">
        <f>IF('Tabla de Esfuerzo'!E94="", "", 'Tabla de Esfuerzo'!E94 / MAX(1, COUNTIF('Tabla de Esfuerzo'!$B94:$O94, "&lt;&gt;0")))</f>
        <v/>
      </c>
      <c r="F89" s="4" t="str">
        <f>IF('Tabla de Esfuerzo'!F94="", "", 'Tabla de Esfuerzo'!F94 / MAX(1, COUNTIF('Tabla de Esfuerzo'!$B94:$O94, "&lt;&gt;0")))</f>
        <v/>
      </c>
      <c r="G89" s="4" t="str">
        <f>IF('Tabla de Esfuerzo'!G94="", "", 'Tabla de Esfuerzo'!G94 / MAX(1, COUNTIF('Tabla de Esfuerzo'!$B94:$O94, "&lt;&gt;0")))</f>
        <v/>
      </c>
      <c r="H89" s="4" t="str">
        <f>IF('Tabla de Esfuerzo'!H94="", "", 'Tabla de Esfuerzo'!H94 / MAX(1, COUNTIF('Tabla de Esfuerzo'!$B94:$O94, "&lt;&gt;0")))</f>
        <v/>
      </c>
      <c r="I89" s="4" t="str">
        <f>IF('Tabla de Esfuerzo'!I94="", "", 'Tabla de Esfuerzo'!I94 / MAX(1, COUNTIF('Tabla de Esfuerzo'!$B94:$O94, "&lt;&gt;0")))</f>
        <v/>
      </c>
      <c r="J89" s="4" t="str">
        <f>IF('Tabla de Esfuerzo'!J94="", "", 'Tabla de Esfuerzo'!J94 / MAX(1, COUNTIF('Tabla de Esfuerzo'!$B94:$O94, "&lt;&gt;0")))</f>
        <v/>
      </c>
      <c r="K89" s="4" t="str">
        <f>IF('Tabla de Esfuerzo'!K94="", "", 'Tabla de Esfuerzo'!K94 / MAX(1, COUNTIF('Tabla de Esfuerzo'!$B94:$O94, "&lt;&gt;0")))</f>
        <v/>
      </c>
      <c r="L89" s="4" t="str">
        <f>IF('Tabla de Esfuerzo'!L94="", "", 'Tabla de Esfuerzo'!L94 / MAX(1, COUNTIF('Tabla de Esfuerzo'!$B94:$O94, "&lt;&gt;0")))</f>
        <v/>
      </c>
      <c r="M89" s="4" t="str">
        <f>IF('Tabla de Esfuerzo'!M94="", "", 'Tabla de Esfuerzo'!M94 / MAX(1, COUNTIF('Tabla de Esfuerzo'!$B94:$O94, "&lt;&gt;0")))</f>
        <v/>
      </c>
      <c r="N89" s="4" t="str">
        <f>IF('Tabla de Esfuerzo'!N94="", "", 'Tabla de Esfuerzo'!N94 / MAX(1, COUNTIF('Tabla de Esfuerzo'!$B94:$O94, "&lt;&gt;0")))</f>
        <v/>
      </c>
      <c r="O89" s="4" t="str">
        <f>IF('Tabla de Esfuerzo'!O94="", "", 'Tabla de Esfuerzo'!O94 / MAX(1, COUNTIF('Tabla de Esfuerzo'!$B94:$O94, "&lt;&gt;0")))</f>
        <v/>
      </c>
    </row>
    <row r="90" spans="2:16" x14ac:dyDescent="0.2">
      <c r="B90" s="4" t="str">
        <f>IF('Tabla de Esfuerzo'!B95="", "", 'Tabla de Esfuerzo'!B95 / MAX(1, COUNTIF('Tabla de Esfuerzo'!$B95:$O95, "&lt;&gt;0")))</f>
        <v/>
      </c>
      <c r="C90" s="4" t="str">
        <f>IF('Tabla de Esfuerzo'!C95="", "", 'Tabla de Esfuerzo'!C95 / MAX(1, COUNTIF('Tabla de Esfuerzo'!$B95:$O95, "&lt;&gt;0")))</f>
        <v/>
      </c>
      <c r="D90" s="4" t="str">
        <f>IF('Tabla de Esfuerzo'!D95="", "", 'Tabla de Esfuerzo'!D95 / MAX(1, COUNTIF('Tabla de Esfuerzo'!$B95:$O95, "&lt;&gt;0")))</f>
        <v/>
      </c>
      <c r="E90" s="4" t="str">
        <f>IF('Tabla de Esfuerzo'!E95="", "", 'Tabla de Esfuerzo'!E95 / MAX(1, COUNTIF('Tabla de Esfuerzo'!$B95:$O95, "&lt;&gt;0")))</f>
        <v/>
      </c>
      <c r="F90" s="4" t="str">
        <f>IF('Tabla de Esfuerzo'!F95="", "", 'Tabla de Esfuerzo'!F95 / MAX(1, COUNTIF('Tabla de Esfuerzo'!$B95:$O95, "&lt;&gt;0")))</f>
        <v/>
      </c>
      <c r="G90" s="4" t="str">
        <f>IF('Tabla de Esfuerzo'!G95="", "", 'Tabla de Esfuerzo'!G95 / MAX(1, COUNTIF('Tabla de Esfuerzo'!$B95:$O95, "&lt;&gt;0")))</f>
        <v/>
      </c>
      <c r="H90" s="4" t="str">
        <f>IF('Tabla de Esfuerzo'!H95="", "", 'Tabla de Esfuerzo'!H95 / MAX(1, COUNTIF('Tabla de Esfuerzo'!$B95:$O95, "&lt;&gt;0")))</f>
        <v/>
      </c>
      <c r="I90" s="4" t="str">
        <f>IF('Tabla de Esfuerzo'!I95="", "", 'Tabla de Esfuerzo'!I95 / MAX(1, COUNTIF('Tabla de Esfuerzo'!$B95:$O95, "&lt;&gt;0")))</f>
        <v/>
      </c>
      <c r="J90" s="4" t="str">
        <f>IF('Tabla de Esfuerzo'!J95="", "", 'Tabla de Esfuerzo'!J95 / MAX(1, COUNTIF('Tabla de Esfuerzo'!$B95:$O95, "&lt;&gt;0")))</f>
        <v/>
      </c>
      <c r="K90" s="4" t="str">
        <f>IF('Tabla de Esfuerzo'!K95="", "", 'Tabla de Esfuerzo'!K95 / MAX(1, COUNTIF('Tabla de Esfuerzo'!$B95:$O95, "&lt;&gt;0")))</f>
        <v/>
      </c>
      <c r="L90" s="4" t="str">
        <f>IF('Tabla de Esfuerzo'!L95="", "", 'Tabla de Esfuerzo'!L95 / MAX(1, COUNTIF('Tabla de Esfuerzo'!$B95:$O95, "&lt;&gt;0")))</f>
        <v/>
      </c>
      <c r="M90" s="4" t="str">
        <f>IF('Tabla de Esfuerzo'!M95="", "", 'Tabla de Esfuerzo'!M95 / MAX(1, COUNTIF('Tabla de Esfuerzo'!$B95:$O95, "&lt;&gt;0")))</f>
        <v/>
      </c>
      <c r="N90" s="4" t="str">
        <f>IF('Tabla de Esfuerzo'!N95="", "", 'Tabla de Esfuerzo'!N95 / MAX(1, COUNTIF('Tabla de Esfuerzo'!$B95:$O95, "&lt;&gt;0")))</f>
        <v/>
      </c>
      <c r="O90" s="4" t="str">
        <f>IF('Tabla de Esfuerzo'!O95="", "", 'Tabla de Esfuerzo'!O95 / MAX(1, COUNTIF('Tabla de Esfuerzo'!$B95:$O95, "&lt;&gt;0")))</f>
        <v/>
      </c>
    </row>
    <row r="91" spans="2:16" x14ac:dyDescent="0.2">
      <c r="B91" s="4" t="str">
        <f>IF('Tabla de Esfuerzo'!B96="", "", 'Tabla de Esfuerzo'!B96 / MAX(1, COUNTIF('Tabla de Esfuerzo'!$B96:$O96, "&lt;&gt;0")))</f>
        <v/>
      </c>
      <c r="C91" s="4" t="str">
        <f>IF('Tabla de Esfuerzo'!C96="", "", 'Tabla de Esfuerzo'!C96 / MAX(1, COUNTIF('Tabla de Esfuerzo'!$B96:$O96, "&lt;&gt;0")))</f>
        <v/>
      </c>
      <c r="D91" s="4" t="str">
        <f>IF('Tabla de Esfuerzo'!D96="", "", 'Tabla de Esfuerzo'!D96 / MAX(1, COUNTIF('Tabla de Esfuerzo'!$B96:$O96, "&lt;&gt;0")))</f>
        <v/>
      </c>
      <c r="E91" s="4" t="str">
        <f>IF('Tabla de Esfuerzo'!E96="", "", 'Tabla de Esfuerzo'!E96 / MAX(1, COUNTIF('Tabla de Esfuerzo'!$B96:$O96, "&lt;&gt;0")))</f>
        <v/>
      </c>
      <c r="F91" s="4" t="str">
        <f>IF('Tabla de Esfuerzo'!F96="", "", 'Tabla de Esfuerzo'!F96 / MAX(1, COUNTIF('Tabla de Esfuerzo'!$B96:$O96, "&lt;&gt;0")))</f>
        <v/>
      </c>
      <c r="G91" s="4" t="str">
        <f>IF('Tabla de Esfuerzo'!G96="", "", 'Tabla de Esfuerzo'!G96 / MAX(1, COUNTIF('Tabla de Esfuerzo'!$B96:$O96, "&lt;&gt;0")))</f>
        <v/>
      </c>
      <c r="H91" s="4" t="str">
        <f>IF('Tabla de Esfuerzo'!H96="", "", 'Tabla de Esfuerzo'!H96 / MAX(1, COUNTIF('Tabla de Esfuerzo'!$B96:$O96, "&lt;&gt;0")))</f>
        <v/>
      </c>
      <c r="I91" s="4" t="str">
        <f>IF('Tabla de Esfuerzo'!I96="", "", 'Tabla de Esfuerzo'!I96 / MAX(1, COUNTIF('Tabla de Esfuerzo'!$B96:$O96, "&lt;&gt;0")))</f>
        <v/>
      </c>
      <c r="J91" s="4" t="str">
        <f>IF('Tabla de Esfuerzo'!J96="", "", 'Tabla de Esfuerzo'!J96 / MAX(1, COUNTIF('Tabla de Esfuerzo'!$B96:$O96, "&lt;&gt;0")))</f>
        <v/>
      </c>
      <c r="K91" s="4" t="str">
        <f>IF('Tabla de Esfuerzo'!K96="", "", 'Tabla de Esfuerzo'!K96 / MAX(1, COUNTIF('Tabla de Esfuerzo'!$B96:$O96, "&lt;&gt;0")))</f>
        <v/>
      </c>
      <c r="L91" s="4" t="str">
        <f>IF('Tabla de Esfuerzo'!L96="", "", 'Tabla de Esfuerzo'!L96 / MAX(1, COUNTIF('Tabla de Esfuerzo'!$B96:$O96, "&lt;&gt;0")))</f>
        <v/>
      </c>
      <c r="M91" s="4" t="str">
        <f>IF('Tabla de Esfuerzo'!M96="", "", 'Tabla de Esfuerzo'!M96 / MAX(1, COUNTIF('Tabla de Esfuerzo'!$B96:$O96, "&lt;&gt;0")))</f>
        <v/>
      </c>
      <c r="N91" s="4" t="str">
        <f>IF('Tabla de Esfuerzo'!N96="", "", 'Tabla de Esfuerzo'!N96 / MAX(1, COUNTIF('Tabla de Esfuerzo'!$B96:$O96, "&lt;&gt;0")))</f>
        <v/>
      </c>
      <c r="O91" s="4" t="str">
        <f>IF('Tabla de Esfuerzo'!O96="", "", 'Tabla de Esfuerzo'!O96 / MAX(1, COUNTIF('Tabla de Esfuerzo'!$B96:$O96, "&lt;&gt;0")))</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20</vt:i4>
      </vt:variant>
    </vt:vector>
  </HeadingPairs>
  <TitlesOfParts>
    <vt:vector size="20" baseType="lpstr">
      <vt:lpstr>Division Incrementos</vt:lpstr>
      <vt:lpstr>ProductSprint Backlog</vt:lpstr>
      <vt:lpstr>BurnUp-Down INC 4</vt:lpstr>
      <vt:lpstr>Registro de HH INC4</vt:lpstr>
      <vt:lpstr>Tabla de Esfuerzo INC4 SPT5</vt:lpstr>
      <vt:lpstr>Aux Esfuerzo Estimado INC4 SPT5</vt:lpstr>
      <vt:lpstr>BurnUp-Down INC 3</vt:lpstr>
      <vt:lpstr>Registro de HH INC3</vt:lpstr>
      <vt:lpstr>Tabla de Esfuerzo INC3 SPT4</vt:lpstr>
      <vt:lpstr>Aux Esfuerzo Estimado INC3 SPT4</vt:lpstr>
      <vt:lpstr>BurnUp-Down INC 2</vt:lpstr>
      <vt:lpstr>Registro de HH INC2</vt:lpstr>
      <vt:lpstr>Tabla de Esfuerzo INC2 SPT2</vt:lpstr>
      <vt:lpstr>Tabla de Esfuerzo INC2 SPT1</vt:lpstr>
      <vt:lpstr>BurnUp-BurnDown INC 1</vt:lpstr>
      <vt:lpstr>Tabla de Esfuerzo</vt:lpstr>
      <vt:lpstr>Aux Esfuerzo Estimado INC2 SPT2</vt:lpstr>
      <vt:lpstr>Aux Esfuerzo Estimado INC2 SPT1</vt:lpstr>
      <vt:lpstr>Auxiliar Esfuerzo Estimado</vt:lpstr>
      <vt:lpstr>Auxiliar EsfuerzoDia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TORRES MORALES FRANCISCO J</cp:lastModifiedBy>
  <dcterms:modified xsi:type="dcterms:W3CDTF">2025-11-23T21:41:58Z</dcterms:modified>
</cp:coreProperties>
</file>